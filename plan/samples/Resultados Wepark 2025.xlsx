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royecto" sheetId="1" r:id="rId4"/>
    <sheet state="visible" name="Mensual" sheetId="2" r:id="rId5"/>
    <sheet state="visible" name="Mes vs Mes" sheetId="3" r:id="rId6"/>
    <sheet state="visible" name="Utilidades" sheetId="4" r:id="rId7"/>
    <sheet state="visible" name="Gastos Admon" sheetId="5" r:id="rId8"/>
    <sheet state="visible" name="Fijos y Variables" sheetId="6" r:id="rId9"/>
    <sheet state="hidden" name="Config" sheetId="7" r:id="rId10"/>
    <sheet state="hidden" name="Menus" sheetId="8" r:id="rId11"/>
    <sheet state="visible" name="EneR" sheetId="9" r:id="rId12"/>
    <sheet state="hidden" name="OtrosR" sheetId="10" r:id="rId13"/>
    <sheet state="visible" name="FebR" sheetId="11" r:id="rId14"/>
    <sheet state="visible" name="MarR" sheetId="12" r:id="rId15"/>
    <sheet state="visible" name="AbrR" sheetId="13" r:id="rId16"/>
    <sheet state="visible" name="MayR" sheetId="14" r:id="rId17"/>
    <sheet state="visible" name="JunR" sheetId="15" r:id="rId18"/>
    <sheet state="visible" name="JulR" sheetId="16" r:id="rId19"/>
    <sheet state="visible" name="AgoR" sheetId="17" r:id="rId20"/>
    <sheet state="visible" name="SepR" sheetId="18" r:id="rId21"/>
    <sheet state="hidden" name="OctR" sheetId="19" r:id="rId22"/>
    <sheet state="hidden" name="NovR" sheetId="20" r:id="rId23"/>
    <sheet state="hidden" name="DicR" sheetId="21" r:id="rId24"/>
    <sheet state="hidden" name="AcumuladoSchema" sheetId="22" r:id="rId25"/>
    <sheet state="hidden" name="Dropdowns" sheetId="23" r:id="rId26"/>
    <sheet state="hidden" name="Schema" sheetId="24" r:id="rId27"/>
    <sheet state="hidden" name="App Settings" sheetId="25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8">
      <text>
        <t xml:space="preserve">sabino 
</t>
      </text>
    </comment>
    <comment authorId="0" ref="Y9">
      <text>
        <t xml:space="preserve">sabino</t>
      </text>
    </comment>
    <comment authorId="0" ref="Y29">
      <text>
        <t xml:space="preserve">sabino $15,583.63</t>
      </text>
    </comment>
    <comment authorId="0" ref="Y43">
      <text>
        <t xml:space="preserve">sabino</t>
      </text>
    </comment>
    <comment authorId="0" ref="Y48">
      <text>
        <t xml:space="preserve">sabino $25.14</t>
      </text>
    </comment>
    <comment authorId="0" ref="Y49">
      <text>
        <t xml:space="preserve">sabino $190.93</t>
      </text>
    </comment>
    <comment authorId="0" ref="Y67">
      <text>
        <t xml:space="preserve">sabino $4,052.26</t>
      </text>
    </comment>
    <comment authorId="0" ref="Y71">
      <text>
        <t xml:space="preserve">sabino</t>
      </text>
    </comment>
    <comment authorId="0" ref="Y73">
      <text>
        <t xml:space="preserve">sabino $72</t>
      </text>
    </comment>
  </commentList>
</comments>
</file>

<file path=xl/sharedStrings.xml><?xml version="1.0" encoding="utf-8"?>
<sst xmlns="http://schemas.openxmlformats.org/spreadsheetml/2006/main" count="1325" uniqueCount="352">
  <si>
    <t>Wepark S.A. de C.V.</t>
  </si>
  <si>
    <t>Total</t>
  </si>
  <si>
    <t>Interlomas</t>
  </si>
  <si>
    <t>Utilidad Wepark</t>
  </si>
  <si>
    <t>Honorario Wepark</t>
  </si>
  <si>
    <t>Utilidad Bruta</t>
  </si>
  <si>
    <t>Total de Ingresos</t>
  </si>
  <si>
    <t>Total de Egresos</t>
  </si>
  <si>
    <t>Otros Ingresos / Egresos</t>
  </si>
  <si>
    <t>(06) Junio</t>
  </si>
  <si>
    <t>(01) Enero</t>
  </si>
  <si>
    <t>The ROOM</t>
  </si>
  <si>
    <t>(03) Marzo</t>
  </si>
  <si>
    <t>Dif</t>
  </si>
  <si>
    <t>Total Egresos</t>
  </si>
  <si>
    <t>Utilidades</t>
  </si>
  <si>
    <t>(02) Febrero</t>
  </si>
  <si>
    <t>(04) Abril</t>
  </si>
  <si>
    <t>(05) Mayo</t>
  </si>
  <si>
    <t>(07) Julio</t>
  </si>
  <si>
    <t>(08) Agosto</t>
  </si>
  <si>
    <t>(09) Septiembre</t>
  </si>
  <si>
    <t>(10) Octubre</t>
  </si>
  <si>
    <t>(11) Noviembre</t>
  </si>
  <si>
    <t>(12) Diciembre</t>
  </si>
  <si>
    <t>Totales</t>
  </si>
  <si>
    <t>Bruta</t>
  </si>
  <si>
    <t>Wepark</t>
  </si>
  <si>
    <t>Cliente</t>
  </si>
  <si>
    <t>Administración</t>
  </si>
  <si>
    <t>Wepark SA CV</t>
  </si>
  <si>
    <t>Desglose de gastos administrativos</t>
  </si>
  <si>
    <t>Al 31 de julio del 2023</t>
  </si>
  <si>
    <t>Concepto/Periodo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</si>
  <si>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</si>
  <si>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</si>
  <si>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</si>
  <si>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</si>
  <si>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</si>
  <si>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</si>
  <si>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</si>
  <si>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</si>
  <si>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</si>
  <si>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</si>
  <si>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</si>
  <si>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</si>
  <si>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%</t>
  </si>
  <si>
    <t>Nomina operativa</t>
  </si>
  <si>
    <t>Nomina gerencial</t>
  </si>
  <si>
    <t>Asesoría contable</t>
  </si>
  <si>
    <t>Renta fija</t>
  </si>
  <si>
    <t>Renta variable</t>
  </si>
  <si>
    <t>Mantenimiento plaza</t>
  </si>
  <si>
    <t>Luz</t>
  </si>
  <si>
    <t>Teléfono</t>
  </si>
  <si>
    <t>Seguridad</t>
  </si>
  <si>
    <t>-</t>
  </si>
  <si>
    <t>Seguros y fianzas</t>
  </si>
  <si>
    <t>Boletos</t>
  </si>
  <si>
    <t>Etiquetas</t>
  </si>
  <si>
    <t>Uniformes</t>
  </si>
  <si>
    <t>Impresiones</t>
  </si>
  <si>
    <t>Equipo de estacionamiento</t>
  </si>
  <si>
    <t>Mantenimiento equipo de estacionamiento</t>
  </si>
  <si>
    <t>Señalizaciones</t>
  </si>
  <si>
    <t>Licencias</t>
  </si>
  <si>
    <t>Mantenimiento equipo de oficina</t>
  </si>
  <si>
    <t>Papelería y artículos de oficina</t>
  </si>
  <si>
    <t>Articulos de limpieza</t>
  </si>
  <si>
    <t>Incidentes</t>
  </si>
  <si>
    <t>Anuncios periodicos</t>
  </si>
  <si>
    <t>Avion</t>
  </si>
  <si>
    <t>Hospedaje</t>
  </si>
  <si>
    <t>Taxis</t>
  </si>
  <si>
    <t>Alimentos</t>
  </si>
  <si>
    <t>Mensajería y paquetería</t>
  </si>
  <si>
    <t>Suministors de oficina</t>
  </si>
  <si>
    <t>Equipo de oficina</t>
  </si>
  <si>
    <t>Depreciación y amortización</t>
  </si>
  <si>
    <t>Reparacion equipo de estacionamiento</t>
  </si>
  <si>
    <t>Comisiones bancarias</t>
  </si>
  <si>
    <t>Renta sanitario</t>
  </si>
  <si>
    <t>Honorarios Legal</t>
  </si>
  <si>
    <t>Gasolina</t>
  </si>
  <si>
    <t>Publicidad</t>
  </si>
  <si>
    <t>Cuotas IMSS</t>
  </si>
  <si>
    <t>Cuotas INFONAVIT</t>
  </si>
  <si>
    <t>Cuotas AFORE</t>
  </si>
  <si>
    <t>Impuesto sobre nóminas</t>
  </si>
  <si>
    <t>Compensaciones Efe Int</t>
  </si>
  <si>
    <t>Compensaciones Efe Ext</t>
  </si>
  <si>
    <t>Varios</t>
  </si>
  <si>
    <t>No deducibles</t>
  </si>
  <si>
    <t>Total de costos</t>
  </si>
  <si>
    <t>Proyecto</t>
  </si>
  <si>
    <t>Fijo</t>
  </si>
  <si>
    <t>Variable 1</t>
  </si>
  <si>
    <t>Variable 2</t>
  </si>
  <si>
    <t>Observaciones</t>
  </si>
  <si>
    <t>Ejemplo</t>
  </si>
  <si>
    <t>Corporativo Polanco</t>
  </si>
  <si>
    <t>30% del primer millon de utilidad</t>
  </si>
  <si>
    <t>25% sobre el restante</t>
  </si>
  <si>
    <t>se suma la utilidad del proyecto The Room</t>
  </si>
  <si>
    <t>Si la utilidad bruta fue de $1,402,500  →  30% sobre el millon y el 25% de los $402,500</t>
  </si>
  <si>
    <t>Santa Fe 230</t>
  </si>
  <si>
    <t>15% sobre la utilidad bruta</t>
  </si>
  <si>
    <t>Leibnitz</t>
  </si>
  <si>
    <t>6% sobre la utilidad bruta</t>
  </si>
  <si>
    <t>Quadrata</t>
  </si>
  <si>
    <t>Monte Pelvoux</t>
  </si>
  <si>
    <t>30% de la utilidad menos el honorario fijo</t>
  </si>
  <si>
    <t>Si la utilidad bruta fue de $35,000 → se restael fijo y sobre este resultado se calcula el 30% y se le suma el fijo.</t>
  </si>
  <si>
    <t>Panorama</t>
  </si>
  <si>
    <t>5% sobre utilidad bruta</t>
  </si>
  <si>
    <t>Puerto Paraiso</t>
  </si>
  <si>
    <t>8.5% sobre utilidad bruta</t>
  </si>
  <si>
    <t>Xochimilco</t>
  </si>
  <si>
    <t>Reforma 115</t>
  </si>
  <si>
    <t>Montes Urales</t>
  </si>
  <si>
    <t>Las Armas</t>
  </si>
  <si>
    <t>7% sobre utilidad bruta</t>
  </si>
  <si>
    <t>Insurgentes</t>
  </si>
  <si>
    <t>20% sobre utilidad bruta</t>
  </si>
  <si>
    <t>Londres</t>
  </si>
  <si>
    <t>Plaza Polanco</t>
  </si>
  <si>
    <t>9% sobre utilidad bruta</t>
  </si>
  <si>
    <t>Sonora</t>
  </si>
  <si>
    <t>a cada incremento de valet parking en la plantilla, incrementa $2,750</t>
  </si>
  <si>
    <t>Summit</t>
  </si>
  <si>
    <t>Es igual que Corporativo Polanco, sin embargo aún no se presenta esta situación</t>
  </si>
  <si>
    <t>Neza</t>
  </si>
  <si>
    <t>Elemento</t>
  </si>
  <si>
    <t>Archivo</t>
  </si>
  <si>
    <t>ID</t>
  </si>
  <si>
    <t>Rango</t>
  </si>
  <si>
    <t>MENSUAL</t>
  </si>
  <si>
    <t>Acumulado, Egresos</t>
  </si>
  <si>
    <t>Presupuesto Wepark</t>
  </si>
  <si>
    <t>1lUMxYVcEVNKpOa1tumnMmCE101pUTdKVkp0E_m8xIqk</t>
  </si>
  <si>
    <t>Acumulado!A1:AN</t>
  </si>
  <si>
    <t>EneR!$B$2:$AS$100</t>
  </si>
  <si>
    <t>EneR!$A$2:$A$100</t>
  </si>
  <si>
    <t>EneR!$B$6:$AS$6</t>
  </si>
  <si>
    <t>EneR</t>
  </si>
  <si>
    <t>Utilidades!$D$1:$D$100</t>
  </si>
  <si>
    <t>Cuenta, Egresos</t>
  </si>
  <si>
    <t>Acumulado!A1:A100</t>
  </si>
  <si>
    <t>FebR!$B$2:$AS$100</t>
  </si>
  <si>
    <t>FebR!$A$2:$A$100</t>
  </si>
  <si>
    <t>FebR!$B$6:$AS$6</t>
  </si>
  <si>
    <t>FebR</t>
  </si>
  <si>
    <t>Utilidades!$G$1:$G$100</t>
  </si>
  <si>
    <t>MarR!$B$2:$AS$100</t>
  </si>
  <si>
    <t>MarR!$A$2:$A$100</t>
  </si>
  <si>
    <t>MarR!$B$6:$AS$6</t>
  </si>
  <si>
    <t>MarR</t>
  </si>
  <si>
    <t>Utilidades!$J$1:$J$100</t>
  </si>
  <si>
    <t>Otros (Real)</t>
  </si>
  <si>
    <t>Conciliación Wepark 2023</t>
  </si>
  <si>
    <t>1x_s9GMdp5qVttM5DZKZblh7Ws5_7R3QGd1_DhgJEkWo</t>
  </si>
  <si>
    <t>Otros!A1:Q</t>
  </si>
  <si>
    <t>AbrR!$B$2:$AS$100</t>
  </si>
  <si>
    <t>AbrR!$A$2:$A$100</t>
  </si>
  <si>
    <t>AbrR!$B$6:$AS$6</t>
  </si>
  <si>
    <t>AbrR</t>
  </si>
  <si>
    <t>Utilidades!$M$1:$M$100</t>
  </si>
  <si>
    <t>MayR!$B$2:$AS$100</t>
  </si>
  <si>
    <t>MayR!$A$2:$A$100</t>
  </si>
  <si>
    <t>MayR!$B$6:$AS$6</t>
  </si>
  <si>
    <t>MayR</t>
  </si>
  <si>
    <t>Utilidades!$P$1:$P$100</t>
  </si>
  <si>
    <t>JunR!$B$2:$AS$100</t>
  </si>
  <si>
    <t>JunR!$A$2:$A$100</t>
  </si>
  <si>
    <t>JunR!$B$6:$AS$6</t>
  </si>
  <si>
    <t>JunR</t>
  </si>
  <si>
    <t>Utilidades!$S$1:$S$100</t>
  </si>
  <si>
    <t>JulR!$B$2:$AS$100</t>
  </si>
  <si>
    <t>JulR!$A$2:$A$100</t>
  </si>
  <si>
    <t>JulR!$B$6:$AS$6</t>
  </si>
  <si>
    <t>JulR</t>
  </si>
  <si>
    <t>Utilidades!$V$1:$V$100</t>
  </si>
  <si>
    <t>AgoR!$B$2:$AS$100</t>
  </si>
  <si>
    <t>AgoR!$A$2:$A$100</t>
  </si>
  <si>
    <t>AgoR!$B$6:$AS$6</t>
  </si>
  <si>
    <t>AgoR</t>
  </si>
  <si>
    <t>Utilidades!$Y$1:$Y$100</t>
  </si>
  <si>
    <t>SepR!$B$2:$AS$100</t>
  </si>
  <si>
    <t>SepR!$A$2:$A$100</t>
  </si>
  <si>
    <t>SepR!$B$6:$AS$6</t>
  </si>
  <si>
    <t>SepR</t>
  </si>
  <si>
    <t>Utilidades!$AB$1:$AB$100</t>
  </si>
  <si>
    <t>OctR!$B$2:$AS$100</t>
  </si>
  <si>
    <t>OctR!$A$2:$A$100</t>
  </si>
  <si>
    <t>OctR!$B$6:$AS$6</t>
  </si>
  <si>
    <t>OctR</t>
  </si>
  <si>
    <t>Utilidades!$AE$1:$AE$100</t>
  </si>
  <si>
    <t>NovR!$B$2:$AS$100</t>
  </si>
  <si>
    <t>NovR!$A$2:$A$100</t>
  </si>
  <si>
    <t>NovR!$B$6:$AS$6</t>
  </si>
  <si>
    <t>NovR</t>
  </si>
  <si>
    <t>Utilidades!$AH$1:$AH$100</t>
  </si>
  <si>
    <t>DicR!$B$2:$AS$100</t>
  </si>
  <si>
    <t>DicR!$A$2:$A$100</t>
  </si>
  <si>
    <t>DicR!$B$6:$AS$6</t>
  </si>
  <si>
    <t>DicR</t>
  </si>
  <si>
    <t>Utilidades!$AK$1:$AK$100</t>
  </si>
  <si>
    <t>Acumulado</t>
  </si>
  <si>
    <t>(01) Acumulado!$D$2:$AS$100</t>
  </si>
  <si>
    <t>Acumulado!$D$6:$AS$6</t>
  </si>
  <si>
    <t>Utilidades!$A$1:$A$100</t>
  </si>
  <si>
    <t>Mes vs Mes 1</t>
  </si>
  <si>
    <t>Mes vs Mes 2</t>
  </si>
  <si>
    <t>!$B$2:$AS$100</t>
  </si>
  <si>
    <t>!$A$2:$A$100</t>
  </si>
  <si>
    <t>!$B$6:$AS$6</t>
  </si>
  <si>
    <t>OtrosR!$E$3:$E</t>
  </si>
  <si>
    <t>Gastos Admon!B7:B</t>
  </si>
  <si>
    <t>OtrosR!$F$3:$F</t>
  </si>
  <si>
    <t>Gastos Admon!C7:C</t>
  </si>
  <si>
    <t>OtrosR!$G$3:$G</t>
  </si>
  <si>
    <t>Gastos Admon!D7:D</t>
  </si>
  <si>
    <t>OtrosR!$H$3:$H</t>
  </si>
  <si>
    <t>Gastos Admon!E7:E</t>
  </si>
  <si>
    <t>OtrosR!$I$3:$I</t>
  </si>
  <si>
    <t>Gastos Admon!F7:F</t>
  </si>
  <si>
    <t>OtrosR!$J$3:$J</t>
  </si>
  <si>
    <t>Gastos Admon!G7:G</t>
  </si>
  <si>
    <t>OtrosR!$K$3:$K</t>
  </si>
  <si>
    <t>Gastos Admon!H7:H</t>
  </si>
  <si>
    <t>julio</t>
  </si>
  <si>
    <t>OtrosR!$L$3:$L</t>
  </si>
  <si>
    <t>Gastos Admon!I7:I</t>
  </si>
  <si>
    <t>OtrosR!$M$3:$M</t>
  </si>
  <si>
    <t>Gastos Admon!J7:J</t>
  </si>
  <si>
    <t>OtrosR!$N$3:$N</t>
  </si>
  <si>
    <t>Gastos Admon!K7:K</t>
  </si>
  <si>
    <t>OtrosR!$O$3:$O</t>
  </si>
  <si>
    <t>Gastos Admon!L7:L</t>
  </si>
  <si>
    <t>OtrosR!$P$3:$P</t>
  </si>
  <si>
    <t>Gastos Admon!M7:M</t>
  </si>
  <si>
    <t>Desglose de ingresos y costos por proyecto</t>
  </si>
  <si>
    <t>Concepto/Proyecto</t>
  </si>
  <si>
    <t>Torre Prisma</t>
  </si>
  <si>
    <t>BETEL</t>
  </si>
  <si>
    <t>Santa Fe</t>
  </si>
  <si>
    <t>Cuadrata</t>
  </si>
  <si>
    <t>Puerto Paraíso</t>
  </si>
  <si>
    <t>P. Panorama</t>
  </si>
  <si>
    <t>Andes</t>
  </si>
  <si>
    <t>JP Morgan</t>
  </si>
  <si>
    <t>Las armas</t>
  </si>
  <si>
    <t>Citi</t>
  </si>
  <si>
    <t>Tarifa horaria</t>
  </si>
  <si>
    <t>Pensiones</t>
  </si>
  <si>
    <t>Boletos sellados</t>
  </si>
  <si>
    <t>Eventos</t>
  </si>
  <si>
    <t>Activación tarjeta</t>
  </si>
  <si>
    <t>Reposición tarjeta</t>
  </si>
  <si>
    <t>Tarifa horaria valet parking</t>
  </si>
  <si>
    <t>Recargos</t>
  </si>
  <si>
    <t>Igualas</t>
  </si>
  <si>
    <t>Bicicleta</t>
  </si>
  <si>
    <t>Venta de equipo</t>
  </si>
  <si>
    <t>Vales magneticos</t>
  </si>
  <si>
    <t>Facturas canceladas</t>
  </si>
  <si>
    <t>Sobrantes</t>
  </si>
  <si>
    <t>Ganancia Cambiaria</t>
  </si>
  <si>
    <t>Daño a vehículos</t>
  </si>
  <si>
    <t>Telefonia</t>
  </si>
  <si>
    <t>Baños</t>
  </si>
  <si>
    <t>Total de ingresos</t>
  </si>
  <si>
    <t>Costos</t>
  </si>
  <si>
    <t>Viaticos</t>
  </si>
  <si>
    <t>Reembolso cliente</t>
  </si>
  <si>
    <t>comisiòn Rafa</t>
  </si>
  <si>
    <t>Otros ingresos</t>
  </si>
  <si>
    <t>Otros gastos</t>
  </si>
  <si>
    <t>Warner</t>
  </si>
  <si>
    <t>key</t>
  </si>
  <si>
    <t>label</t>
  </si>
  <si>
    <t>type</t>
  </si>
  <si>
    <t>required</t>
  </si>
  <si>
    <t>options</t>
  </si>
  <si>
    <t>sortable</t>
  </si>
  <si>
    <t>align</t>
  </si>
  <si>
    <t>min</t>
  </si>
  <si>
    <t>max</t>
  </si>
  <si>
    <t>text</t>
  </si>
  <si>
    <t>start</t>
  </si>
  <si>
    <t>number</t>
  </si>
  <si>
    <t>end</t>
  </si>
  <si>
    <t>Department</t>
  </si>
  <si>
    <t>Project Category</t>
  </si>
  <si>
    <t>Users</t>
  </si>
  <si>
    <t>IT</t>
  </si>
  <si>
    <t>Web Development</t>
  </si>
  <si>
    <t>Alice</t>
  </si>
  <si>
    <t>Finance</t>
  </si>
  <si>
    <t>Mobile App</t>
  </si>
  <si>
    <t>Bob</t>
  </si>
  <si>
    <t>HR</t>
  </si>
  <si>
    <t>Data Analysis</t>
  </si>
  <si>
    <t>Charlie</t>
  </si>
  <si>
    <t>Marketing</t>
  </si>
  <si>
    <t>Machine Learning</t>
  </si>
  <si>
    <t>David</t>
  </si>
  <si>
    <t>UI/UX Design</t>
  </si>
  <si>
    <t>Pritam</t>
  </si>
  <si>
    <t>Database Management</t>
  </si>
  <si>
    <t>DevOps</t>
  </si>
  <si>
    <t>Cybersecurity</t>
  </si>
  <si>
    <t>Cloud Computing</t>
  </si>
  <si>
    <t>Blockchain</t>
  </si>
  <si>
    <t>Artificial Intelligence</t>
  </si>
  <si>
    <t>Software Testing</t>
  </si>
  <si>
    <t>Network Security</t>
  </si>
  <si>
    <t>IoT Development</t>
  </si>
  <si>
    <t>Data Science</t>
  </si>
  <si>
    <t>name</t>
  </si>
  <si>
    <t>Name🤵</t>
  </si>
  <si>
    <t>age</t>
  </si>
  <si>
    <t>Age👴</t>
  </si>
  <si>
    <t>gender</t>
  </si>
  <si>
    <t>Gender💑</t>
  </si>
  <si>
    <t>radio</t>
  </si>
  <si>
    <t>Male,Female</t>
  </si>
  <si>
    <t>amount</t>
  </si>
  <si>
    <t>Salary💰</t>
  </si>
  <si>
    <t>date</t>
  </si>
  <si>
    <t>Date of Joining📆</t>
  </si>
  <si>
    <t>center</t>
  </si>
  <si>
    <t>department</t>
  </si>
  <si>
    <t>Department🏬</t>
  </si>
  <si>
    <t>select</t>
  </si>
  <si>
    <t>city</t>
  </si>
  <si>
    <t>City🏙️</t>
  </si>
  <si>
    <t>employeeId</t>
  </si>
  <si>
    <t>Employee ID🪪</t>
  </si>
  <si>
    <t>rating</t>
  </si>
  <si>
    <t>⭐Rating⭐</t>
  </si>
  <si>
    <t>AppName</t>
  </si>
  <si>
    <t>Locale</t>
  </si>
  <si>
    <t>Currency</t>
  </si>
  <si>
    <t>DataEntrySheet</t>
  </si>
  <si>
    <t>SchemaSheet</t>
  </si>
  <si>
    <t>IdColumn</t>
  </si>
  <si>
    <t>ACME</t>
  </si>
  <si>
    <t>en-US</t>
  </si>
  <si>
    <t>USD</t>
  </si>
  <si>
    <t>AcumuladoSchema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</si>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</sst>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"/>
    <numFmt numFmtId="166" formatCode="d/m/yy"/>
  </numFmts>
  <fonts count="24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b/>
      <color theme="1"/>
      <name val="Arial"/>
    </font>
    <font>
      <b/>
      <sz val="11.0"/>
      <color theme="0"/>
      <name val="Arial"/>
    </font>
    <font>
      <sz val="13.0"/>
      <color rgb="FFFFFFFF"/>
      <name val="Arial"/>
    </font>
    <font/>
    <font>
      <b/>
      <sz val="13.0"/>
      <color rgb="FFFFFFFF"/>
      <name val="Arial"/>
    </font>
    <font>
      <b/>
      <color rgb="FFFFFFFF"/>
      <name val="Arial"/>
    </font>
    <font>
      <sz val="12.0"/>
      <color theme="1"/>
      <name val="Arial"/>
    </font>
    <font>
      <color rgb="FF000000"/>
      <name val="Arial"/>
    </font>
    <font>
      <b/>
      <color rgb="FF000000"/>
      <name val="Arial"/>
    </font>
    <font>
      <sz val="9.0"/>
      <color theme="1"/>
      <name val="Times New Roman"/>
    </font>
    <font>
      <b/>
      <sz val="9.0"/>
      <color theme="1"/>
      <name val="Times New Roman"/>
    </font>
    <font>
      <b/>
      <i/>
      <sz val="9.0"/>
      <color theme="1"/>
      <name val="Times New Roman"/>
    </font>
    <font>
      <sz val="10.0"/>
      <color theme="1"/>
      <name val="Arial"/>
    </font>
    <font>
      <sz val="8.0"/>
      <color theme="1"/>
      <name val="Arial"/>
    </font>
    <font>
      <sz val="12.0"/>
      <color rgb="FF374151"/>
      <name val="Söhne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5">
    <border/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/>
    </xf>
    <xf borderId="0" fillId="5" fontId="2" numFmtId="164" xfId="0" applyAlignment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2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1" fillId="0" fontId="5" numFmtId="0" xfId="0" applyBorder="1" applyFont="1"/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horizontal="left"/>
    </xf>
    <xf borderId="0" fillId="2" fontId="6" numFmtId="164" xfId="0" applyAlignment="1" applyFont="1" applyNumberFormat="1">
      <alignment horizontal="right"/>
    </xf>
    <xf borderId="1" fillId="0" fontId="6" numFmtId="164" xfId="0" applyAlignment="1" applyBorder="1" applyFont="1" applyNumberFormat="1">
      <alignment horizontal="right"/>
    </xf>
    <xf borderId="0" fillId="4" fontId="2" numFmtId="164" xfId="0" applyAlignment="1" applyFont="1" applyNumberFormat="1">
      <alignment horizontal="right"/>
    </xf>
    <xf borderId="0" fillId="5" fontId="2" numFmtId="164" xfId="0" applyAlignment="1" applyFont="1" applyNumberFormat="1">
      <alignment horizontal="right"/>
    </xf>
    <xf borderId="0" fillId="2" fontId="2" numFmtId="164" xfId="0" applyAlignment="1" applyFont="1" applyNumberFormat="1">
      <alignment horizontal="right"/>
    </xf>
    <xf borderId="0" fillId="2" fontId="2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1" fillId="0" fontId="7" numFmtId="0" xfId="0" applyAlignment="1" applyBorder="1" applyFont="1">
      <alignment horizontal="center"/>
    </xf>
    <xf borderId="0" fillId="4" fontId="6" numFmtId="164" xfId="0" applyAlignment="1" applyFont="1" applyNumberFormat="1">
      <alignment horizontal="right"/>
    </xf>
    <xf borderId="0" fillId="5" fontId="6" numFmtId="164" xfId="0" applyAlignment="1" applyFont="1" applyNumberFormat="1">
      <alignment horizontal="right"/>
    </xf>
    <xf borderId="0" fillId="2" fontId="4" numFmtId="164" xfId="0" applyFont="1" applyNumberFormat="1"/>
    <xf borderId="1" fillId="0" fontId="4" numFmtId="164" xfId="0" applyAlignment="1" applyBorder="1" applyFont="1" applyNumberFormat="1">
      <alignment horizontal="right"/>
    </xf>
    <xf borderId="0" fillId="4" fontId="4" numFmtId="164" xfId="0" applyFont="1" applyNumberFormat="1"/>
    <xf borderId="0" fillId="5" fontId="4" numFmtId="164" xfId="0" applyFont="1" applyNumberFormat="1"/>
    <xf borderId="0" fillId="2" fontId="4" numFmtId="164" xfId="0" applyAlignment="1" applyFont="1" applyNumberForma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0" fillId="2" fontId="5" numFmtId="164" xfId="0" applyFont="1" applyNumberFormat="1"/>
    <xf borderId="1" fillId="3" fontId="5" numFmtId="164" xfId="0" applyBorder="1" applyFont="1" applyNumberFormat="1"/>
    <xf borderId="0" fillId="4" fontId="5" numFmtId="164" xfId="0" applyFont="1" applyNumberFormat="1"/>
    <xf borderId="0" fillId="5" fontId="5" numFmtId="164" xfId="0" applyFont="1" applyNumberFormat="1"/>
    <xf borderId="0" fillId="2" fontId="5" numFmtId="164" xfId="0" applyAlignment="1" applyFont="1" applyNumberFormat="1">
      <alignment horizontal="right" vertical="bottom"/>
    </xf>
    <xf borderId="0" fillId="5" fontId="5" numFmtId="164" xfId="0" applyAlignment="1" applyFont="1" applyNumberFormat="1">
      <alignment horizontal="right" vertical="bottom"/>
    </xf>
    <xf borderId="1" fillId="3" fontId="4" numFmtId="164" xfId="0" applyBorder="1" applyFont="1" applyNumberFormat="1"/>
    <xf borderId="0" fillId="0" fontId="5" numFmtId="49" xfId="0" applyFont="1" applyNumberFormat="1"/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6" numFmtId="164" xfId="0" applyFont="1" applyNumberFormat="1"/>
    <xf borderId="1" fillId="0" fontId="6" numFmtId="164" xfId="0" applyBorder="1" applyFont="1" applyNumberFormat="1"/>
    <xf borderId="0" fillId="4" fontId="6" numFmtId="164" xfId="0" applyFont="1" applyNumberFormat="1"/>
    <xf borderId="0" fillId="2" fontId="6" numFmtId="164" xfId="0" applyFont="1" applyNumberFormat="1"/>
    <xf borderId="0" fillId="5" fontId="6" numFmtId="164" xfId="0" applyFont="1" applyNumberFormat="1"/>
    <xf borderId="0" fillId="0" fontId="6" numFmtId="164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4" numFmtId="164" xfId="0" applyFont="1" applyNumberFormat="1"/>
    <xf borderId="0" fillId="0" fontId="5" numFmtId="164" xfId="0" applyFont="1" applyNumberFormat="1"/>
    <xf borderId="0" fillId="0" fontId="10" numFmtId="0" xfId="0" applyAlignment="1" applyFont="1">
      <alignment horizontal="left"/>
    </xf>
    <xf borderId="0" fillId="0" fontId="6" numFmtId="0" xfId="0" applyFont="1"/>
    <xf borderId="0" fillId="0" fontId="11" numFmtId="0" xfId="0" applyAlignment="1" applyFont="1">
      <alignment horizontal="center"/>
    </xf>
    <xf borderId="2" fillId="3" fontId="2" numFmtId="0" xfId="0" applyAlignment="1" applyBorder="1" applyFont="1">
      <alignment horizontal="center"/>
    </xf>
    <xf borderId="1" fillId="0" fontId="12" numFmtId="0" xfId="0" applyBorder="1" applyFont="1"/>
    <xf borderId="0" fillId="2" fontId="6" numFmtId="0" xfId="0" applyAlignment="1" applyFont="1">
      <alignment horizontal="center"/>
    </xf>
    <xf borderId="2" fillId="3" fontId="6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2" fillId="4" fontId="6" numFmtId="0" xfId="0" applyAlignment="1" applyBorder="1" applyFont="1">
      <alignment horizontal="center"/>
    </xf>
    <xf borderId="0" fillId="4" fontId="6" numFmtId="0" xfId="0" applyAlignment="1" applyFont="1">
      <alignment horizontal="center"/>
    </xf>
    <xf borderId="1" fillId="4" fontId="6" numFmtId="0" xfId="0" applyAlignment="1" applyBorder="1" applyFont="1">
      <alignment horizontal="center"/>
    </xf>
    <xf borderId="2" fillId="5" fontId="6" numFmtId="0" xfId="0" applyAlignment="1" applyBorder="1" applyFont="1">
      <alignment horizontal="center"/>
    </xf>
    <xf borderId="0" fillId="5" fontId="6" numFmtId="0" xfId="0" applyAlignment="1" applyFont="1">
      <alignment horizontal="center"/>
    </xf>
    <xf borderId="1" fillId="5" fontId="6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2" fillId="0" fontId="5" numFmtId="0" xfId="0" applyBorder="1" applyFont="1"/>
    <xf borderId="2" fillId="3" fontId="6" numFmtId="164" xfId="0" applyBorder="1" applyFont="1" applyNumberFormat="1"/>
    <xf borderId="0" fillId="3" fontId="6" numFmtId="164" xfId="0" applyAlignment="1" applyFont="1" applyNumberFormat="1">
      <alignment horizontal="right"/>
    </xf>
    <xf borderId="0" fillId="3" fontId="6" numFmtId="164" xfId="0" applyFont="1" applyNumberFormat="1"/>
    <xf borderId="2" fillId="4" fontId="6" numFmtId="164" xfId="0" applyBorder="1" applyFont="1" applyNumberFormat="1"/>
    <xf borderId="1" fillId="4" fontId="6" numFmtId="164" xfId="0" applyBorder="1" applyFont="1" applyNumberFormat="1"/>
    <xf borderId="2" fillId="5" fontId="6" numFmtId="164" xfId="0" applyBorder="1" applyFont="1" applyNumberFormat="1"/>
    <xf borderId="2" fillId="2" fontId="6" numFmtId="164" xfId="0" applyBorder="1" applyFont="1" applyNumberFormat="1"/>
    <xf borderId="1" fillId="2" fontId="6" numFmtId="164" xfId="0" applyBorder="1" applyFont="1" applyNumberFormat="1"/>
    <xf borderId="1" fillId="5" fontId="6" numFmtId="164" xfId="0" applyBorder="1" applyFont="1" applyNumberFormat="1"/>
    <xf borderId="0" fillId="0" fontId="14" numFmtId="0" xfId="0" applyFont="1"/>
    <xf borderId="0" fillId="0" fontId="4" numFmtId="0" xfId="0" applyFont="1"/>
    <xf borderId="2" fillId="3" fontId="4" numFmtId="164" xfId="0" applyBorder="1" applyFont="1" applyNumberFormat="1"/>
    <xf borderId="0" fillId="3" fontId="4" numFmtId="164" xfId="0" applyAlignment="1" applyFont="1" applyNumberFormat="1">
      <alignment horizontal="right"/>
    </xf>
    <xf borderId="0" fillId="3" fontId="4" numFmtId="164" xfId="0" applyFont="1" applyNumberFormat="1"/>
    <xf borderId="2" fillId="4" fontId="4" numFmtId="164" xfId="0" applyBorder="1" applyFont="1" applyNumberFormat="1"/>
    <xf borderId="0" fillId="4" fontId="4" numFmtId="164" xfId="0" applyAlignment="1" applyFont="1" applyNumberFormat="1">
      <alignment horizontal="right"/>
    </xf>
    <xf borderId="1" fillId="4" fontId="4" numFmtId="164" xfId="0" applyBorder="1" applyFont="1" applyNumberFormat="1"/>
    <xf borderId="2" fillId="5" fontId="4" numFmtId="164" xfId="0" applyBorder="1" applyFont="1" applyNumberFormat="1"/>
    <xf borderId="0" fillId="5" fontId="4" numFmtId="164" xfId="0" applyAlignment="1" applyFont="1" applyNumberFormat="1">
      <alignment horizontal="right"/>
    </xf>
    <xf borderId="1" fillId="5" fontId="4" numFmtId="164" xfId="0" applyBorder="1" applyFont="1" applyNumberFormat="1"/>
    <xf borderId="2" fillId="2" fontId="4" numFmtId="164" xfId="0" applyBorder="1" applyFont="1" applyNumberFormat="1"/>
    <xf borderId="0" fillId="2" fontId="4" numFmtId="164" xfId="0" applyAlignment="1" applyFont="1" applyNumberFormat="1">
      <alignment horizontal="right"/>
    </xf>
    <xf borderId="1" fillId="2" fontId="4" numFmtId="164" xfId="0" applyBorder="1" applyFont="1" applyNumberFormat="1"/>
    <xf borderId="2" fillId="3" fontId="5" numFmtId="164" xfId="0" applyBorder="1" applyFont="1" applyNumberFormat="1"/>
    <xf borderId="0" fillId="3" fontId="5" numFmtId="164" xfId="0" applyAlignment="1" applyFont="1" applyNumberFormat="1">
      <alignment horizontal="right"/>
    </xf>
    <xf borderId="0" fillId="3" fontId="5" numFmtId="164" xfId="0" applyFont="1" applyNumberFormat="1"/>
    <xf borderId="2" fillId="4" fontId="5" numFmtId="164" xfId="0" applyBorder="1" applyFont="1" applyNumberFormat="1"/>
    <xf borderId="0" fillId="4" fontId="5" numFmtId="164" xfId="0" applyAlignment="1" applyFont="1" applyNumberFormat="1">
      <alignment horizontal="right"/>
    </xf>
    <xf borderId="1" fillId="4" fontId="5" numFmtId="164" xfId="0" applyBorder="1" applyFont="1" applyNumberFormat="1"/>
    <xf borderId="2" fillId="5" fontId="5" numFmtId="164" xfId="0" applyBorder="1" applyFont="1" applyNumberFormat="1"/>
    <xf borderId="0" fillId="5" fontId="5" numFmtId="164" xfId="0" applyAlignment="1" applyFont="1" applyNumberFormat="1">
      <alignment horizontal="right"/>
    </xf>
    <xf borderId="1" fillId="5" fontId="5" numFmtId="164" xfId="0" applyBorder="1" applyFont="1" applyNumberFormat="1"/>
    <xf borderId="2" fillId="2" fontId="5" numFmtId="164" xfId="0" applyBorder="1" applyFont="1" applyNumberFormat="1"/>
    <xf borderId="0" fillId="2" fontId="5" numFmtId="164" xfId="0" applyAlignment="1" applyFont="1" applyNumberFormat="1">
      <alignment horizontal="right"/>
    </xf>
    <xf borderId="1" fillId="2" fontId="5" numFmtId="164" xfId="0" applyBorder="1" applyFont="1" applyNumberFormat="1"/>
    <xf borderId="2" fillId="0" fontId="4" numFmtId="164" xfId="0" applyBorder="1" applyFont="1" applyNumberFormat="1"/>
    <xf borderId="2" fillId="0" fontId="5" numFmtId="164" xfId="0" applyBorder="1" applyFont="1" applyNumberFormat="1"/>
    <xf borderId="0" fillId="0" fontId="6" numFmtId="164" xfId="0" applyAlignment="1" applyFont="1" applyNumberFormat="1">
      <alignment horizontal="center"/>
    </xf>
    <xf borderId="0" fillId="2" fontId="6" numFmtId="164" xfId="0" applyAlignment="1" applyFont="1" applyNumberFormat="1">
      <alignment horizontal="center"/>
    </xf>
    <xf borderId="0" fillId="2" fontId="6" numFmtId="165" xfId="0" applyAlignment="1" applyFont="1" applyNumberFormat="1">
      <alignment horizontal="center"/>
    </xf>
    <xf borderId="0" fillId="5" fontId="6" numFmtId="164" xfId="0" applyAlignment="1" applyFont="1" applyNumberFormat="1">
      <alignment horizontal="center"/>
    </xf>
    <xf borderId="0" fillId="5" fontId="6" numFmtId="165" xfId="0" applyAlignment="1" applyFont="1" applyNumberFormat="1">
      <alignment horizontal="center" vertical="bottom"/>
    </xf>
    <xf borderId="0" fillId="2" fontId="6" numFmtId="165" xfId="0" applyAlignment="1" applyFont="1" applyNumberFormat="1">
      <alignment horizontal="center" vertical="bottom"/>
    </xf>
    <xf borderId="0" fillId="5" fontId="6" numFmtId="165" xfId="0" applyAlignment="1" applyFont="1" applyNumberFormat="1">
      <alignment horizontal="center"/>
    </xf>
    <xf borderId="0" fillId="5" fontId="6" numFmtId="166" xfId="0" applyAlignment="1" applyFont="1" applyNumberFormat="1">
      <alignment horizontal="center"/>
    </xf>
    <xf borderId="0" fillId="2" fontId="6" numFmtId="166" xfId="0" applyAlignment="1" applyFont="1" applyNumberFormat="1">
      <alignment horizontal="center"/>
    </xf>
    <xf borderId="0" fillId="0" fontId="15" numFmtId="0" xfId="0" applyFont="1"/>
    <xf borderId="0" fillId="0" fontId="2" numFmtId="164" xfId="0" applyAlignment="1" applyFont="1" applyNumberFormat="1">
      <alignment horizontal="right"/>
    </xf>
    <xf borderId="0" fillId="0" fontId="9" numFmtId="0" xfId="0" applyFont="1"/>
    <xf borderId="0" fillId="0" fontId="1" numFmtId="164" xfId="0" applyFont="1" applyNumberFormat="1"/>
    <xf borderId="0" fillId="0" fontId="7" numFmtId="164" xfId="0" applyFont="1" applyNumberFormat="1"/>
    <xf borderId="0" fillId="0" fontId="4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center"/>
    </xf>
    <xf borderId="0" fillId="5" fontId="4" numFmtId="164" xfId="0" applyAlignment="1" applyFont="1" applyNumberFormat="1">
      <alignment horizontal="center"/>
    </xf>
    <xf borderId="0" fillId="2" fontId="5" numFmtId="0" xfId="0" applyFont="1"/>
    <xf borderId="0" fillId="0" fontId="5" numFmtId="9" xfId="0" applyFont="1" applyNumberFormat="1"/>
    <xf borderId="0" fillId="2" fontId="5" numFmtId="3" xfId="0" applyFont="1" applyNumberFormat="1"/>
    <xf borderId="0" fillId="0" fontId="4" numFmtId="9" xfId="0" applyFont="1" applyNumberFormat="1"/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  <xf borderId="0" fillId="3" fontId="16" numFmtId="0" xfId="0" applyAlignment="1" applyFont="1">
      <alignment horizontal="left"/>
    </xf>
    <xf borderId="0" fillId="3" fontId="17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3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3" fontId="18" numFmtId="0" xfId="0" applyAlignment="1" applyFont="1">
      <alignment shrinkToFit="0" vertical="bottom" wrapText="0"/>
    </xf>
    <xf borderId="0" fillId="3" fontId="20" numFmtId="0" xfId="0" applyAlignment="1" applyFont="1">
      <alignment horizontal="center" shrinkToFit="0" vertical="bottom" wrapText="0"/>
    </xf>
    <xf borderId="0" fillId="3" fontId="18" numFmtId="0" xfId="0" applyAlignment="1" applyFont="1">
      <alignment horizontal="right" shrinkToFit="0" vertical="bottom" wrapText="0"/>
    </xf>
    <xf borderId="0" fillId="3" fontId="19" numFmtId="0" xfId="0" applyAlignment="1" applyFont="1">
      <alignment horizontal="right" shrinkToFit="0" vertical="bottom" wrapText="0"/>
    </xf>
    <xf borderId="0" fillId="3" fontId="19" numFmtId="9" xfId="0" applyAlignment="1" applyFont="1" applyNumberFormat="1">
      <alignment horizontal="right" shrinkToFit="0" vertical="bottom" wrapText="0"/>
    </xf>
    <xf borderId="0" fillId="3" fontId="18" numFmtId="4" xfId="0" applyAlignment="1" applyFont="1" applyNumberFormat="1">
      <alignment horizontal="right" shrinkToFit="0" vertical="bottom" wrapText="0"/>
    </xf>
    <xf borderId="0" fillId="3" fontId="19" numFmtId="4" xfId="0" applyAlignment="1" applyFont="1" applyNumberFormat="1">
      <alignment horizontal="right" shrinkToFit="0" vertical="bottom" wrapText="0"/>
    </xf>
    <xf borderId="3" fillId="3" fontId="19" numFmtId="0" xfId="0" applyAlignment="1" applyBorder="1" applyFont="1">
      <alignment shrinkToFit="0" vertical="bottom" wrapText="0"/>
    </xf>
    <xf borderId="3" fillId="3" fontId="19" numFmtId="4" xfId="0" applyAlignment="1" applyBorder="1" applyFont="1" applyNumberFormat="1">
      <alignment shrinkToFit="0" vertical="bottom" wrapText="0"/>
    </xf>
    <xf borderId="3" fillId="3" fontId="19" numFmtId="0" xfId="0" applyAlignment="1" applyBorder="1" applyFont="1">
      <alignment horizontal="right" shrinkToFit="0" vertical="bottom" wrapText="0"/>
    </xf>
    <xf borderId="4" fillId="3" fontId="20" numFmtId="0" xfId="0" applyAlignment="1" applyBorder="1" applyFont="1">
      <alignment horizontal="center" shrinkToFit="0" vertical="bottom" wrapText="0"/>
    </xf>
    <xf borderId="4" fillId="0" fontId="12" numFmtId="0" xfId="0" applyBorder="1" applyFont="1"/>
    <xf borderId="0" fillId="3" fontId="18" numFmtId="0" xfId="0" applyAlignment="1" applyFont="1">
      <alignment horizontal="right" vertical="bottom"/>
    </xf>
    <xf borderId="0" fillId="3" fontId="18" numFmtId="0" xfId="0" applyAlignment="1" applyFont="1">
      <alignment vertical="bottom"/>
    </xf>
    <xf borderId="0" fillId="3" fontId="18" numFmtId="3" xfId="0" applyAlignment="1" applyFont="1" applyNumberFormat="1">
      <alignment horizontal="right" vertical="bottom"/>
    </xf>
    <xf borderId="0" fillId="3" fontId="19" numFmtId="0" xfId="0" applyAlignment="1" applyFont="1">
      <alignment shrinkToFit="0" vertical="bottom" wrapText="0"/>
    </xf>
    <xf borderId="5" fillId="0" fontId="18" numFmtId="0" xfId="0" applyAlignment="1" applyBorder="1" applyFont="1">
      <alignment shrinkToFit="0" vertical="bottom" wrapText="0"/>
    </xf>
    <xf borderId="6" fillId="0" fontId="18" numFmtId="4" xfId="0" applyAlignment="1" applyBorder="1" applyFont="1" applyNumberFormat="1">
      <alignment shrinkToFit="0" vertical="bottom" wrapText="0"/>
    </xf>
    <xf borderId="6" fillId="0" fontId="19" numFmtId="4" xfId="0" applyAlignment="1" applyBorder="1" applyFont="1" applyNumberFormat="1">
      <alignment shrinkToFit="0" vertical="bottom" wrapText="0"/>
    </xf>
    <xf borderId="7" fillId="0" fontId="18" numFmtId="0" xfId="0" applyAlignment="1" applyBorder="1" applyFont="1">
      <alignment shrinkToFit="0" vertical="bottom" wrapText="0"/>
    </xf>
    <xf borderId="8" fillId="0" fontId="18" numFmtId="4" xfId="0" applyAlignment="1" applyBorder="1" applyFont="1" applyNumberFormat="1">
      <alignment shrinkToFit="0" vertical="bottom" wrapText="0"/>
    </xf>
    <xf borderId="8" fillId="0" fontId="18" numFmtId="0" xfId="0" applyAlignment="1" applyBorder="1" applyFont="1">
      <alignment shrinkToFit="0" vertical="bottom" wrapText="0"/>
    </xf>
    <xf borderId="8" fillId="0" fontId="19" numFmtId="4" xfId="0" applyAlignment="1" applyBorder="1" applyFont="1" applyNumberFormat="1">
      <alignment shrinkToFit="0" vertical="bottom" wrapText="0"/>
    </xf>
    <xf borderId="8" fillId="0" fontId="18" numFmtId="0" xfId="0" applyAlignment="1" applyBorder="1" applyFont="1">
      <alignment horizontal="right" shrinkToFit="0" vertical="bottom" wrapText="0"/>
    </xf>
    <xf borderId="7" fillId="6" fontId="19" numFmtId="0" xfId="0" applyAlignment="1" applyBorder="1" applyFill="1" applyFont="1">
      <alignment shrinkToFit="0" vertical="bottom" wrapText="0"/>
    </xf>
    <xf borderId="8" fillId="6" fontId="19" numFmtId="4" xfId="0" applyAlignment="1" applyBorder="1" applyFont="1" applyNumberFormat="1">
      <alignment shrinkToFit="0" vertical="bottom" wrapText="0"/>
    </xf>
    <xf borderId="6" fillId="0" fontId="18" numFmtId="0" xfId="0" applyAlignment="1" applyBorder="1" applyFont="1">
      <alignment shrinkToFit="0" vertical="bottom" wrapText="0"/>
    </xf>
    <xf borderId="6" fillId="0" fontId="19" numFmtId="0" xfId="0" applyAlignment="1" applyBorder="1" applyFont="1">
      <alignment shrinkToFit="0" vertical="bottom" wrapText="0"/>
    </xf>
    <xf borderId="9" fillId="0" fontId="19" numFmtId="0" xfId="0" applyAlignment="1" applyBorder="1" applyFont="1">
      <alignment shrinkToFit="0" vertical="bottom" wrapText="0"/>
    </xf>
    <xf borderId="8" fillId="0" fontId="19" numFmtId="0" xfId="0" applyAlignment="1" applyBorder="1" applyFont="1">
      <alignment shrinkToFit="0" vertical="bottom" wrapText="0"/>
    </xf>
    <xf borderId="0" fillId="0" fontId="21" numFmtId="0" xfId="0" applyFont="1"/>
    <xf borderId="0" fillId="0" fontId="21" numFmtId="164" xfId="0" applyFont="1" applyNumberFormat="1"/>
    <xf borderId="0" fillId="0" fontId="21" numFmtId="4" xfId="0" applyFont="1" applyNumberFormat="1"/>
    <xf borderId="0" fillId="0" fontId="21" numFmtId="49" xfId="0" applyFont="1" applyNumberFormat="1"/>
    <xf borderId="0" fillId="0" fontId="21" numFmtId="3" xfId="0" applyFont="1" applyNumberFormat="1"/>
    <xf borderId="0" fillId="0" fontId="5" numFmtId="0" xfId="0" applyAlignment="1" applyFont="1">
      <alignment shrinkToFit="0" vertical="bottom" wrapText="0"/>
    </xf>
    <xf borderId="0" fillId="3" fontId="18" numFmtId="4" xfId="0" applyAlignment="1" applyFont="1" applyNumberFormat="1">
      <alignment shrinkToFit="0" vertical="bottom" wrapText="0"/>
    </xf>
    <xf borderId="0" fillId="3" fontId="19" numFmtId="4" xfId="0" applyAlignment="1" applyFont="1" applyNumberFormat="1">
      <alignment shrinkToFit="0" vertical="bottom" wrapText="0"/>
    </xf>
    <xf borderId="3" fillId="3" fontId="19" numFmtId="4" xfId="0" applyAlignment="1" applyBorder="1" applyFont="1" applyNumberFormat="1">
      <alignment horizontal="right" shrinkToFit="0" vertical="bottom" wrapText="0"/>
    </xf>
    <xf borderId="3" fillId="3" fontId="19" numFmtId="9" xfId="0" applyAlignment="1" applyBorder="1" applyFont="1" applyNumberFormat="1">
      <alignment horizontal="right" shrinkToFit="0" vertical="bottom" wrapText="0"/>
    </xf>
    <xf borderId="0" fillId="3" fontId="19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3" fontId="20" numFmtId="0" xfId="0" applyAlignment="1" applyFont="1">
      <alignment shrinkToFit="0" vertical="bottom" wrapText="0"/>
    </xf>
    <xf borderId="0" fillId="0" fontId="5" numFmtId="4" xfId="0" applyFont="1" applyNumberFormat="1"/>
    <xf borderId="0" fillId="0" fontId="5" numFmtId="3" xfId="0" applyFont="1" applyNumberFormat="1"/>
    <xf borderId="10" fillId="7" fontId="9" numFmtId="0" xfId="0" applyBorder="1" applyFill="1" applyFont="1"/>
    <xf borderId="10" fillId="7" fontId="7" numFmtId="0" xfId="0" applyAlignment="1" applyBorder="1" applyFont="1">
      <alignment shrinkToFit="0" wrapText="0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wrapText="0"/>
    </xf>
    <xf borderId="0" fillId="8" fontId="5" numFmtId="0" xfId="0" applyFill="1" applyFont="1"/>
    <xf borderId="0" fillId="7" fontId="5" numFmtId="0" xfId="0" applyFont="1"/>
    <xf borderId="11" fillId="4" fontId="9" numFmtId="0" xfId="0" applyAlignment="1" applyBorder="1" applyFont="1">
      <alignment vertical="center"/>
    </xf>
    <xf borderId="12" fillId="4" fontId="9" numFmtId="0" xfId="0" applyAlignment="1" applyBorder="1" applyFont="1">
      <alignment vertical="center"/>
    </xf>
    <xf borderId="9" fillId="4" fontId="9" numFmtId="0" xfId="0" applyAlignment="1" applyBorder="1" applyFont="1">
      <alignment vertical="center"/>
    </xf>
    <xf borderId="0" fillId="7" fontId="9" numFmtId="0" xfId="0" applyAlignment="1" applyFont="1">
      <alignment vertical="center"/>
    </xf>
    <xf borderId="13" fillId="0" fontId="5" numFmtId="0" xfId="0" applyAlignment="1" applyBorder="1" applyFont="1">
      <alignment vertical="center"/>
    </xf>
    <xf borderId="14" fillId="0" fontId="23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0" fillId="0" fontId="23" numFmtId="0" xfId="0" applyFont="1"/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1057275</xdr:colOff>
      <xdr:row>2</xdr:row>
      <xdr:rowOff>180975</xdr:rowOff>
    </xdr:from>
    <xdr:ext cx="1371600" cy="200025"/>
    <xdr:sp>
      <xdr:nvSpPr>
        <xdr:cNvPr id="3" name="Shape 3"/>
        <xdr:cNvSpPr/>
      </xdr:nvSpPr>
      <xdr:spPr>
        <a:xfrm>
          <a:off x="4664963" y="3684750"/>
          <a:ext cx="1362075" cy="190500"/>
        </a:xfrm>
        <a:prstGeom prst="roundRect">
          <a:avLst>
            <a:gd fmla="val 16667" name="adj"/>
          </a:avLst>
        </a:prstGeom>
        <a:gradFill>
          <a:gsLst>
            <a:gs pos="0">
              <a:srgbClr val="51AB2A"/>
            </a:gs>
            <a:gs pos="100000">
              <a:srgbClr val="203E13"/>
            </a:gs>
          </a:gsLst>
          <a:lin ang="5400012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Refresh Sheet List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276225</xdr:colOff>
      <xdr:row>2</xdr:row>
      <xdr:rowOff>123825</xdr:rowOff>
    </xdr:from>
    <xdr:ext cx="1724025" cy="314325"/>
    <xdr:sp>
      <xdr:nvSpPr>
        <xdr:cNvPr id="4" name="Shape 4"/>
        <xdr:cNvSpPr/>
      </xdr:nvSpPr>
      <xdr:spPr>
        <a:xfrm>
          <a:off x="4488750" y="3627600"/>
          <a:ext cx="1714500" cy="304800"/>
        </a:xfrm>
        <a:prstGeom prst="roundRect">
          <a:avLst>
            <a:gd fmla="val 16667" name="adj"/>
          </a:avLst>
        </a:prstGeom>
        <a:solidFill>
          <a:srgbClr val="1155C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Save Settings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2.25"/>
    <col customWidth="1" min="2" max="2" width="14.38"/>
    <col customWidth="1" min="3" max="3" width="21.5"/>
    <col customWidth="1" min="4" max="4" width="16.75"/>
    <col customWidth="1" min="5" max="5" width="22.25"/>
    <col customWidth="1" min="6" max="6" width="13.0"/>
    <col customWidth="1" min="7" max="8" width="14.88"/>
    <col customWidth="1" min="9" max="9" width="12.0"/>
    <col customWidth="1" min="10" max="12" width="13.0"/>
    <col customWidth="1" min="13" max="13" width="16.25"/>
    <col customWidth="1" min="14" max="14" width="17.63"/>
    <col customWidth="1" min="15" max="15" width="14.88"/>
    <col customWidth="1" min="16" max="16" width="12.63"/>
    <col customWidth="1" min="17" max="17" width="13.0"/>
    <col customWidth="1" min="18" max="19" width="14.88"/>
    <col customWidth="1" min="20" max="21" width="13.0"/>
    <col customWidth="1" min="22" max="22" width="13.25"/>
    <col customWidth="1" min="23" max="23" width="13.0"/>
    <col customWidth="1" min="24" max="24" width="13.75"/>
    <col customWidth="1" min="25" max="25" width="13.0"/>
    <col customWidth="1" min="26" max="26" width="13.75"/>
    <col customWidth="1" min="27" max="27" width="14.88"/>
    <col customWidth="1" min="28" max="28" width="15.63"/>
    <col customWidth="1" min="29" max="29" width="13.75"/>
    <col customWidth="1" min="30" max="30" width="11.38"/>
    <col customWidth="1" min="31" max="31" width="11.88"/>
    <col customWidth="1" min="32" max="32" width="12.13"/>
    <col customWidth="1" min="33" max="52" width="6.38"/>
  </cols>
  <sheetData>
    <row r="1" ht="15.75" customHeight="1">
      <c r="A1" s="1" t="s">
        <v>0</v>
      </c>
      <c r="B1" s="2" t="s">
        <v>1</v>
      </c>
      <c r="C1" s="3" t="s">
        <v>2</v>
      </c>
      <c r="D1" s="4" t="str">
        <f t="array" ref="D1:DY1">TRANSPOSE(Menus!A2:A127)</f>
        <v/>
      </c>
      <c r="E1" s="5"/>
      <c r="F1" s="2"/>
      <c r="G1" s="6"/>
      <c r="H1" s="7"/>
      <c r="I1" s="5"/>
      <c r="J1" s="2"/>
      <c r="K1" s="5"/>
      <c r="L1" s="2"/>
      <c r="M1" s="5"/>
      <c r="N1" s="2"/>
      <c r="O1" s="5"/>
      <c r="P1" s="2"/>
      <c r="Q1" s="5"/>
      <c r="R1" s="8"/>
      <c r="S1" s="9"/>
      <c r="T1" s="8"/>
      <c r="U1" s="9"/>
      <c r="V1" s="8"/>
      <c r="W1" s="9"/>
      <c r="X1" s="8"/>
      <c r="Y1" s="9"/>
      <c r="Z1" s="8"/>
      <c r="AA1" s="9"/>
      <c r="AB1" s="8"/>
      <c r="AC1" s="9"/>
      <c r="AD1" s="8"/>
      <c r="AE1" s="9"/>
      <c r="AF1" s="8"/>
      <c r="AG1" s="9"/>
      <c r="AH1" s="8"/>
      <c r="AI1" s="9"/>
      <c r="AJ1" s="8"/>
      <c r="AK1" s="9"/>
      <c r="AL1" s="8"/>
      <c r="AM1" s="9"/>
      <c r="AN1" s="2"/>
      <c r="AO1" s="5"/>
      <c r="AP1" s="8"/>
      <c r="AQ1" s="5"/>
      <c r="AR1" s="8"/>
      <c r="AS1" s="5"/>
      <c r="AT1" s="8"/>
      <c r="AU1" s="5"/>
      <c r="AV1" s="8"/>
      <c r="AW1" s="5"/>
      <c r="AX1" s="8"/>
      <c r="AY1" s="5"/>
      <c r="AZ1" s="5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</row>
    <row r="2" ht="9.0" customHeight="1">
      <c r="A2" s="11"/>
      <c r="B2" s="12"/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2"/>
      <c r="AO2" s="12"/>
      <c r="AP2" s="14"/>
      <c r="AQ2" s="12"/>
      <c r="AR2" s="14"/>
      <c r="AS2" s="12"/>
      <c r="AT2" s="14"/>
      <c r="AU2" s="12"/>
      <c r="AV2" s="14"/>
      <c r="AW2" s="12"/>
      <c r="AX2" s="14"/>
      <c r="AY2" s="12"/>
      <c r="AZ2" s="12"/>
    </row>
    <row r="3" ht="15.75" customHeight="1">
      <c r="A3" s="15" t="s">
        <v>3</v>
      </c>
      <c r="B3" s="16">
        <f>SUM(D3:AZ3)</f>
        <v>0</v>
      </c>
      <c r="C3" s="17">
        <f>C5-C36+C101</f>
        <v>0</v>
      </c>
      <c r="D3" s="18">
        <f>D5-D36+D105</f>
        <v>0</v>
      </c>
      <c r="E3" s="19">
        <f t="shared" ref="E3:AZ3" si="1">E9-E40+E105</f>
        <v>0</v>
      </c>
      <c r="F3" s="20">
        <f t="shared" si="1"/>
        <v>0</v>
      </c>
      <c r="G3" s="19">
        <f t="shared" si="1"/>
        <v>0</v>
      </c>
      <c r="H3" s="20">
        <f t="shared" si="1"/>
        <v>0</v>
      </c>
      <c r="I3" s="19">
        <f t="shared" si="1"/>
        <v>0</v>
      </c>
      <c r="J3" s="20">
        <f t="shared" si="1"/>
        <v>0</v>
      </c>
      <c r="K3" s="19">
        <f t="shared" si="1"/>
        <v>0</v>
      </c>
      <c r="L3" s="20">
        <f t="shared" si="1"/>
        <v>0</v>
      </c>
      <c r="M3" s="19">
        <f t="shared" si="1"/>
        <v>0</v>
      </c>
      <c r="N3" s="20">
        <f t="shared" si="1"/>
        <v>0</v>
      </c>
      <c r="O3" s="19">
        <f t="shared" si="1"/>
        <v>0</v>
      </c>
      <c r="P3" s="20">
        <f t="shared" si="1"/>
        <v>0</v>
      </c>
      <c r="Q3" s="19">
        <f t="shared" si="1"/>
        <v>0</v>
      </c>
      <c r="R3" s="21">
        <f t="shared" si="1"/>
        <v>0</v>
      </c>
      <c r="S3" s="22">
        <f t="shared" si="1"/>
        <v>0</v>
      </c>
      <c r="T3" s="21">
        <f t="shared" si="1"/>
        <v>0</v>
      </c>
      <c r="U3" s="22">
        <f t="shared" si="1"/>
        <v>0</v>
      </c>
      <c r="V3" s="21">
        <f t="shared" si="1"/>
        <v>0</v>
      </c>
      <c r="W3" s="22">
        <f t="shared" si="1"/>
        <v>0</v>
      </c>
      <c r="X3" s="21">
        <f t="shared" si="1"/>
        <v>0</v>
      </c>
      <c r="Y3" s="22">
        <f t="shared" si="1"/>
        <v>0</v>
      </c>
      <c r="Z3" s="21">
        <f t="shared" si="1"/>
        <v>0</v>
      </c>
      <c r="AA3" s="22">
        <f t="shared" si="1"/>
        <v>0</v>
      </c>
      <c r="AB3" s="21">
        <f t="shared" si="1"/>
        <v>0</v>
      </c>
      <c r="AC3" s="22">
        <f t="shared" si="1"/>
        <v>0</v>
      </c>
      <c r="AD3" s="21">
        <f t="shared" si="1"/>
        <v>0</v>
      </c>
      <c r="AE3" s="22">
        <f t="shared" si="1"/>
        <v>0</v>
      </c>
      <c r="AF3" s="21">
        <f t="shared" si="1"/>
        <v>0</v>
      </c>
      <c r="AG3" s="22">
        <f t="shared" si="1"/>
        <v>0</v>
      </c>
      <c r="AH3" s="21">
        <f t="shared" si="1"/>
        <v>0</v>
      </c>
      <c r="AI3" s="22">
        <f t="shared" si="1"/>
        <v>0</v>
      </c>
      <c r="AJ3" s="21">
        <f t="shared" si="1"/>
        <v>0</v>
      </c>
      <c r="AK3" s="22">
        <f t="shared" si="1"/>
        <v>0</v>
      </c>
      <c r="AL3" s="21">
        <f t="shared" si="1"/>
        <v>0</v>
      </c>
      <c r="AM3" s="22">
        <f t="shared" si="1"/>
        <v>0</v>
      </c>
      <c r="AN3" s="20">
        <f t="shared" si="1"/>
        <v>0</v>
      </c>
      <c r="AO3" s="19">
        <f t="shared" si="1"/>
        <v>0</v>
      </c>
      <c r="AP3" s="21">
        <f t="shared" si="1"/>
        <v>0</v>
      </c>
      <c r="AQ3" s="19">
        <f t="shared" si="1"/>
        <v>0</v>
      </c>
      <c r="AR3" s="21">
        <f t="shared" si="1"/>
        <v>0</v>
      </c>
      <c r="AS3" s="19">
        <f t="shared" si="1"/>
        <v>0</v>
      </c>
      <c r="AT3" s="21">
        <f t="shared" si="1"/>
        <v>0</v>
      </c>
      <c r="AU3" s="19">
        <f t="shared" si="1"/>
        <v>0</v>
      </c>
      <c r="AV3" s="21">
        <f t="shared" si="1"/>
        <v>0</v>
      </c>
      <c r="AW3" s="19">
        <f t="shared" si="1"/>
        <v>0</v>
      </c>
      <c r="AX3" s="21">
        <f t="shared" si="1"/>
        <v>0</v>
      </c>
      <c r="AY3" s="19">
        <f t="shared" si="1"/>
        <v>0</v>
      </c>
      <c r="AZ3" s="19">
        <f t="shared" si="1"/>
        <v>0</v>
      </c>
    </row>
    <row r="4" ht="9.0" customHeight="1">
      <c r="A4" s="11"/>
      <c r="B4" s="12"/>
      <c r="C4" s="2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2"/>
      <c r="AO4" s="12"/>
      <c r="AP4" s="14"/>
      <c r="AQ4" s="12"/>
      <c r="AR4" s="14"/>
      <c r="AS4" s="12"/>
      <c r="AT4" s="14"/>
      <c r="AU4" s="12"/>
      <c r="AV4" s="14"/>
      <c r="AW4" s="12"/>
      <c r="AX4" s="14"/>
      <c r="AY4" s="12"/>
      <c r="AZ4" s="12"/>
    </row>
    <row r="5" ht="15.75" customHeight="1">
      <c r="A5" s="15" t="s">
        <v>4</v>
      </c>
      <c r="B5" s="16">
        <f>SUM(D5:AZ5)</f>
        <v>0</v>
      </c>
      <c r="C5" s="17" t="str">
        <f>IF(ISNA(VLOOKUP(C$1,Utilidades!$A$1:$B127,2,FALSE)),"",VLOOKUP(C$1,Utilidades!$A$1:$B127,2,FALSE))</f>
        <v/>
      </c>
      <c r="D5" s="24" t="str">
        <f>IF(ISNA(VLOOKUP(D$1,Utilidades!$A$1:$B127,2,FALSE)),"",VLOOKUP(D$1,Utilidades!$A$1:$B127,2,FALSE))</f>
        <v/>
      </c>
      <c r="E5" s="19" t="str">
        <f>IF(ISNA(VLOOKUP(E$1,Utilidades!$A$1:$B127,2,FALSE)),"",VLOOKUP(E$1,Utilidades!$A$1:$B127,2,FALSE))</f>
        <v/>
      </c>
      <c r="F5" s="20" t="str">
        <f>IF(ISNA(VLOOKUP(F$1,Utilidades!$A$1:$B127,2,FALSE)),"",VLOOKUP(F$1,Utilidades!$A$1:$B127,2,FALSE))</f>
        <v/>
      </c>
      <c r="G5" s="19" t="str">
        <f>IF(ISNA(VLOOKUP(G$1,Utilidades!$A$1:$B127,2,FALSE)),"",VLOOKUP(G$1,Utilidades!$A$1:$B127,2,FALSE))</f>
        <v/>
      </c>
      <c r="H5" s="20" t="str">
        <f>IF(ISNA(VLOOKUP(H$1,Utilidades!$A$1:$B127,2,FALSE)),"",VLOOKUP(H$1,Utilidades!$A$1:$B127,2,FALSE))</f>
        <v/>
      </c>
      <c r="I5" s="19" t="str">
        <f>IF(ISNA(VLOOKUP(I$1,Utilidades!$A$1:$B127,2,FALSE)),"",VLOOKUP(I$1,Utilidades!$A$1:$B127,2,FALSE))</f>
        <v/>
      </c>
      <c r="J5" s="20" t="str">
        <f>IF(ISNA(VLOOKUP(J$1,Utilidades!$A$1:$B127,2,FALSE)),"",VLOOKUP(J$1,Utilidades!$A$1:$B127,2,FALSE))</f>
        <v/>
      </c>
      <c r="K5" s="19" t="str">
        <f>IF(ISNA(VLOOKUP(K$1,Utilidades!$A$1:$B127,2,FALSE)),"",VLOOKUP(K$1,Utilidades!$A$1:$B127,2,FALSE))</f>
        <v/>
      </c>
      <c r="L5" s="20" t="str">
        <f>IF(ISNA(VLOOKUP(L$1,Utilidades!$A$1:$B127,2,FALSE)),"",VLOOKUP(L$1,Utilidades!$A$1:$B127,2,FALSE))</f>
        <v/>
      </c>
      <c r="M5" s="19" t="str">
        <f>IF(ISNA(VLOOKUP(M$1,Utilidades!$A$1:$B127,2,FALSE)),"",VLOOKUP(M$1,Utilidades!$A$1:$B127,2,FALSE))</f>
        <v/>
      </c>
      <c r="N5" s="20" t="str">
        <f>IF(ISNA(VLOOKUP(N$1,Utilidades!$A$1:$B127,2,FALSE)),"",VLOOKUP(N$1,Utilidades!$A$1:$B127,2,FALSE))</f>
        <v/>
      </c>
      <c r="O5" s="19" t="str">
        <f>IF(ISNA(VLOOKUP(O$1,Utilidades!$A$1:$B127,2,FALSE)),"",VLOOKUP(O$1,Utilidades!$A$1:$B127,2,FALSE))</f>
        <v/>
      </c>
      <c r="P5" s="20" t="str">
        <f>IF(ISNA(VLOOKUP(P$1,Utilidades!$A$1:$B127,2,FALSE)),"",VLOOKUP(P$1,Utilidades!$A$1:$B127,2,FALSE))</f>
        <v/>
      </c>
      <c r="Q5" s="19" t="str">
        <f>IF(ISNA(VLOOKUP(Q$1,Utilidades!$A$1:$B127,2,FALSE)),"",VLOOKUP(Q$1,Utilidades!$A$1:$B127,2,FALSE))</f>
        <v/>
      </c>
      <c r="R5" s="21" t="str">
        <f>IF(ISNA(VLOOKUP(R$1,Utilidades!$A$1:$B127,2,FALSE)),"",VLOOKUP(R$1,Utilidades!$A$1:$B127,2,FALSE))</f>
        <v/>
      </c>
      <c r="S5" s="22" t="str">
        <f>IF(ISNA(VLOOKUP(S$1,Utilidades!$A$1:$B127,2,FALSE)),"",VLOOKUP(S$1,Utilidades!$A$1:$B127,2,FALSE))</f>
        <v/>
      </c>
      <c r="T5" s="21" t="str">
        <f>IF(ISNA(VLOOKUP(T$1,Utilidades!$A$1:$B127,2,FALSE)),"",VLOOKUP(T$1,Utilidades!$A$1:$B127,2,FALSE))</f>
        <v/>
      </c>
      <c r="U5" s="22" t="str">
        <f>IF(ISNA(VLOOKUP(U$1,Utilidades!$A$1:$B127,2,FALSE)),"",VLOOKUP(U$1,Utilidades!$A$1:$B127,2,FALSE))</f>
        <v/>
      </c>
      <c r="V5" s="21" t="str">
        <f>IF(ISNA(VLOOKUP(V$1,Utilidades!$A$1:$B127,2,FALSE)),"",VLOOKUP(V$1,Utilidades!$A$1:$B127,2,FALSE))</f>
        <v/>
      </c>
      <c r="W5" s="22" t="str">
        <f>IF(ISNA(VLOOKUP(W$1,Utilidades!$A$1:$B127,2,FALSE)),"",VLOOKUP(W$1,Utilidades!$A$1:$B127,2,FALSE))</f>
        <v/>
      </c>
      <c r="X5" s="21" t="str">
        <f>IF(ISNA(VLOOKUP(X$1,Utilidades!$A$1:$B127,2,FALSE)),"",VLOOKUP(X$1,Utilidades!$A$1:$B127,2,FALSE))</f>
        <v/>
      </c>
      <c r="Y5" s="22" t="str">
        <f>IF(ISNA(VLOOKUP(Y$1,Utilidades!$A$1:$B127,2,FALSE)),"",VLOOKUP(Y$1,Utilidades!$A$1:$B127,2,FALSE))</f>
        <v/>
      </c>
      <c r="Z5" s="21" t="str">
        <f>IF(ISNA(VLOOKUP(Z$1,Utilidades!$A$1:$B127,2,FALSE)),"",VLOOKUP(Z$1,Utilidades!$A$1:$B127,2,FALSE))</f>
        <v/>
      </c>
      <c r="AA5" s="22" t="str">
        <f>IF(ISNA(VLOOKUP(AA$1,Utilidades!$A$1:$B127,2,FALSE)),"",VLOOKUP(AA$1,Utilidades!$A$1:$B127,2,FALSE))</f>
        <v/>
      </c>
      <c r="AB5" s="21" t="str">
        <f>IF(ISNA(VLOOKUP(AB$1,Utilidades!$A$1:$B127,2,FALSE)),"",VLOOKUP(AB$1,Utilidades!$A$1:$B127,2,FALSE))</f>
        <v/>
      </c>
      <c r="AC5" s="22" t="str">
        <f>IF(ISNA(VLOOKUP(AC$1,Utilidades!$A$1:$B127,2,FALSE)),"",VLOOKUP(AC$1,Utilidades!$A$1:$B127,2,FALSE))</f>
        <v/>
      </c>
      <c r="AD5" s="21" t="str">
        <f>IF(ISNA(VLOOKUP(AD$1,Utilidades!$A$1:$B127,2,FALSE)),"",VLOOKUP(AD$1,Utilidades!$A$1:$B127,2,FALSE))</f>
        <v/>
      </c>
      <c r="AE5" s="22" t="str">
        <f>IF(ISNA(VLOOKUP(AE$1,Utilidades!$A$1:$B127,2,FALSE)),"",VLOOKUP(AE$1,Utilidades!$A$1:$B127,2,FALSE))</f>
        <v/>
      </c>
      <c r="AF5" s="21" t="str">
        <f>IF(ISNA(VLOOKUP(AF$1,Utilidades!$A$1:$B127,2,FALSE)),"",VLOOKUP(AF$1,Utilidades!$A$1:$B127,2,FALSE))</f>
        <v/>
      </c>
      <c r="AG5" s="22" t="str">
        <f>IF(ISNA(VLOOKUP(AG$1,Utilidades!$A$1:$B127,2,FALSE)),"",VLOOKUP(AG$1,Utilidades!$A$1:$B127,2,FALSE))</f>
        <v/>
      </c>
      <c r="AH5" s="21" t="str">
        <f>IF(ISNA(VLOOKUP(AH$1,Utilidades!$A$1:$B127,2,FALSE)),"",VLOOKUP(AH$1,Utilidades!$A$1:$B127,2,FALSE))</f>
        <v/>
      </c>
      <c r="AI5" s="22" t="str">
        <f>IF(ISNA(VLOOKUP(AI$1,Utilidades!$A$1:$B127,2,FALSE)),"",VLOOKUP(AI$1,Utilidades!$A$1:$B127,2,FALSE))</f>
        <v/>
      </c>
      <c r="AJ5" s="21" t="str">
        <f>IF(ISNA(VLOOKUP(AJ$1,Utilidades!$A$1:$B127,2,FALSE)),"",VLOOKUP(AJ$1,Utilidades!$A$1:$B127,2,FALSE))</f>
        <v/>
      </c>
      <c r="AK5" s="22" t="str">
        <f>IF(ISNA(VLOOKUP(AK$1,Utilidades!$A$1:$B127,2,FALSE)),"",VLOOKUP(AK$1,Utilidades!$A$1:$B127,2,FALSE))</f>
        <v/>
      </c>
      <c r="AL5" s="21" t="str">
        <f>IF(ISNA(VLOOKUP(AL$1,Utilidades!$A$1:$B127,2,FALSE)),"",VLOOKUP(AL$1,Utilidades!$A$1:$B127,2,FALSE))</f>
        <v/>
      </c>
      <c r="AM5" s="22" t="str">
        <f>IF(ISNA(VLOOKUP(AM$1,Utilidades!$A$1:$B127,2,FALSE)),"",VLOOKUP(AM$1,Utilidades!$A$1:$B127,2,FALSE))</f>
        <v/>
      </c>
      <c r="AN5" s="20" t="str">
        <f>IF(ISNA(VLOOKUP(AN$1,Utilidades!$A$1:$B127,2,FALSE)),"",VLOOKUP(AN$1,Utilidades!$A$1:$B127,2,FALSE))</f>
        <v/>
      </c>
      <c r="AO5" s="19" t="str">
        <f>IF(ISNA(VLOOKUP(AO$1,Utilidades!$A$1:$B127,2,FALSE)),"",VLOOKUP(AO$1,Utilidades!$A$1:$B127,2,FALSE))</f>
        <v/>
      </c>
      <c r="AP5" s="21" t="str">
        <f>IF(ISNA(VLOOKUP(AP$1,Utilidades!$A$1:$B127,2,FALSE)),"",VLOOKUP(AP$1,Utilidades!$A$1:$B127,2,FALSE))</f>
        <v/>
      </c>
      <c r="AQ5" s="19" t="str">
        <f>IF(ISNA(VLOOKUP(AQ$1,Utilidades!$A$1:$B127,2,FALSE)),"",VLOOKUP(AQ$1,Utilidades!$A$1:$B127,2,FALSE))</f>
        <v/>
      </c>
      <c r="AR5" s="21" t="str">
        <f>IF(ISNA(VLOOKUP(AR$1,Utilidades!$A$1:$B127,2,FALSE)),"",VLOOKUP(AR$1,Utilidades!$A$1:$B127,2,FALSE))</f>
        <v/>
      </c>
      <c r="AS5" s="19" t="str">
        <f>IF(ISNA(VLOOKUP(AS$1,Utilidades!$A$1:$B127,2,FALSE)),"",VLOOKUP(AS$1,Utilidades!$A$1:$B127,2,FALSE))</f>
        <v/>
      </c>
      <c r="AT5" s="21" t="str">
        <f>IF(ISNA(VLOOKUP(AT$1,Utilidades!$A$1:$B127,2,FALSE)),"",VLOOKUP(AT$1,Utilidades!$A$1:$B127,2,FALSE))</f>
        <v/>
      </c>
      <c r="AU5" s="19" t="str">
        <f>IF(ISNA(VLOOKUP(AU$1,Utilidades!$A$1:$B127,2,FALSE)),"",VLOOKUP(AU$1,Utilidades!$A$1:$B127,2,FALSE))</f>
        <v/>
      </c>
      <c r="AV5" s="21" t="str">
        <f>IF(ISNA(VLOOKUP(AV$1,Utilidades!$A$1:$B127,2,FALSE)),"",VLOOKUP(AV$1,Utilidades!$A$1:$B127,2,FALSE))</f>
        <v/>
      </c>
      <c r="AW5" s="19" t="str">
        <f>IF(ISNA(VLOOKUP(AW$1,Utilidades!$A$1:$B127,2,FALSE)),"",VLOOKUP(AW$1,Utilidades!$A$1:$B127,2,FALSE))</f>
        <v/>
      </c>
      <c r="AX5" s="21" t="str">
        <f>IF(ISNA(VLOOKUP(AX$1,Utilidades!$A$1:$B127,2,FALSE)),"",VLOOKUP(AX$1,Utilidades!$A$1:$B127,2,FALSE))</f>
        <v/>
      </c>
      <c r="AY5" s="19" t="str">
        <f>IF(ISNA(VLOOKUP(AY$1,Utilidades!$A$1:$B127,2,FALSE)),"",VLOOKUP(AY$1,Utilidades!$A$1:$B127,2,FALSE))</f>
        <v/>
      </c>
      <c r="AZ5" s="25" t="str">
        <f>IF(ISNA(VLOOKUP(AZ$1,Utilidades!$A$1:$B127,2,FALSE)),"",VLOOKUP(AZ$1,Utilidades!$A$1:$B127,2,FALSE))</f>
        <v/>
      </c>
    </row>
    <row r="6" ht="9.0" customHeight="1">
      <c r="A6" s="11"/>
      <c r="B6" s="12"/>
      <c r="C6" s="2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2"/>
      <c r="AO6" s="12"/>
      <c r="AP6" s="14"/>
      <c r="AQ6" s="12"/>
      <c r="AR6" s="14"/>
      <c r="AS6" s="12"/>
      <c r="AT6" s="14"/>
      <c r="AU6" s="12"/>
      <c r="AV6" s="14"/>
      <c r="AW6" s="12"/>
      <c r="AX6" s="14"/>
      <c r="AY6" s="12"/>
      <c r="AZ6" s="12"/>
    </row>
    <row r="7" ht="15.75" customHeight="1">
      <c r="A7" s="15" t="s">
        <v>5</v>
      </c>
      <c r="B7" s="16">
        <f>SUM(D7:AZ7)</f>
        <v>0</v>
      </c>
      <c r="C7" s="17">
        <f>C9-C40+C105</f>
        <v>0</v>
      </c>
      <c r="D7" s="18">
        <f t="shared" ref="D7:AZ7" si="2">D9-D40</f>
        <v>0</v>
      </c>
      <c r="E7" s="19">
        <f t="shared" si="2"/>
        <v>0</v>
      </c>
      <c r="F7" s="20">
        <f t="shared" si="2"/>
        <v>0</v>
      </c>
      <c r="G7" s="19">
        <f t="shared" si="2"/>
        <v>0</v>
      </c>
      <c r="H7" s="20">
        <f t="shared" si="2"/>
        <v>0</v>
      </c>
      <c r="I7" s="19">
        <f t="shared" si="2"/>
        <v>0</v>
      </c>
      <c r="J7" s="20">
        <f t="shared" si="2"/>
        <v>0</v>
      </c>
      <c r="K7" s="19">
        <f t="shared" si="2"/>
        <v>0</v>
      </c>
      <c r="L7" s="20">
        <f t="shared" si="2"/>
        <v>0</v>
      </c>
      <c r="M7" s="19">
        <f t="shared" si="2"/>
        <v>0</v>
      </c>
      <c r="N7" s="20">
        <f t="shared" si="2"/>
        <v>0</v>
      </c>
      <c r="O7" s="19">
        <f t="shared" si="2"/>
        <v>0</v>
      </c>
      <c r="P7" s="20">
        <f t="shared" si="2"/>
        <v>0</v>
      </c>
      <c r="Q7" s="19">
        <f t="shared" si="2"/>
        <v>0</v>
      </c>
      <c r="R7" s="21">
        <f t="shared" si="2"/>
        <v>0</v>
      </c>
      <c r="S7" s="22">
        <f t="shared" si="2"/>
        <v>0</v>
      </c>
      <c r="T7" s="21">
        <f t="shared" si="2"/>
        <v>0</v>
      </c>
      <c r="U7" s="22">
        <f t="shared" si="2"/>
        <v>0</v>
      </c>
      <c r="V7" s="21">
        <f t="shared" si="2"/>
        <v>0</v>
      </c>
      <c r="W7" s="22">
        <f t="shared" si="2"/>
        <v>0</v>
      </c>
      <c r="X7" s="21">
        <f t="shared" si="2"/>
        <v>0</v>
      </c>
      <c r="Y7" s="22">
        <f t="shared" si="2"/>
        <v>0</v>
      </c>
      <c r="Z7" s="21">
        <f t="shared" si="2"/>
        <v>0</v>
      </c>
      <c r="AA7" s="22">
        <f t="shared" si="2"/>
        <v>0</v>
      </c>
      <c r="AB7" s="21">
        <f t="shared" si="2"/>
        <v>0</v>
      </c>
      <c r="AC7" s="22">
        <f t="shared" si="2"/>
        <v>0</v>
      </c>
      <c r="AD7" s="21">
        <f t="shared" si="2"/>
        <v>0</v>
      </c>
      <c r="AE7" s="22">
        <f t="shared" si="2"/>
        <v>0</v>
      </c>
      <c r="AF7" s="21">
        <f t="shared" si="2"/>
        <v>0</v>
      </c>
      <c r="AG7" s="22">
        <f t="shared" si="2"/>
        <v>0</v>
      </c>
      <c r="AH7" s="21">
        <f t="shared" si="2"/>
        <v>0</v>
      </c>
      <c r="AI7" s="22">
        <f t="shared" si="2"/>
        <v>0</v>
      </c>
      <c r="AJ7" s="21">
        <f t="shared" si="2"/>
        <v>0</v>
      </c>
      <c r="AK7" s="22">
        <f t="shared" si="2"/>
        <v>0</v>
      </c>
      <c r="AL7" s="21">
        <f t="shared" si="2"/>
        <v>0</v>
      </c>
      <c r="AM7" s="22">
        <f t="shared" si="2"/>
        <v>0</v>
      </c>
      <c r="AN7" s="20">
        <f t="shared" si="2"/>
        <v>0</v>
      </c>
      <c r="AO7" s="19">
        <f t="shared" si="2"/>
        <v>0</v>
      </c>
      <c r="AP7" s="21">
        <f t="shared" si="2"/>
        <v>0</v>
      </c>
      <c r="AQ7" s="19">
        <f t="shared" si="2"/>
        <v>0</v>
      </c>
      <c r="AR7" s="21">
        <f t="shared" si="2"/>
        <v>0</v>
      </c>
      <c r="AS7" s="19">
        <f t="shared" si="2"/>
        <v>0</v>
      </c>
      <c r="AT7" s="21">
        <f t="shared" si="2"/>
        <v>0</v>
      </c>
      <c r="AU7" s="19">
        <f t="shared" si="2"/>
        <v>0</v>
      </c>
      <c r="AV7" s="21">
        <f t="shared" si="2"/>
        <v>0</v>
      </c>
      <c r="AW7" s="19">
        <f t="shared" si="2"/>
        <v>0</v>
      </c>
      <c r="AX7" s="21">
        <f t="shared" si="2"/>
        <v>0</v>
      </c>
      <c r="AY7" s="19">
        <f t="shared" si="2"/>
        <v>0</v>
      </c>
      <c r="AZ7" s="19">
        <f t="shared" si="2"/>
        <v>0</v>
      </c>
    </row>
    <row r="8" ht="9.0" customHeight="1">
      <c r="A8" s="11"/>
      <c r="B8" s="12"/>
      <c r="C8" s="2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2"/>
      <c r="AO8" s="12"/>
      <c r="AP8" s="14"/>
      <c r="AQ8" s="12"/>
      <c r="AR8" s="14"/>
      <c r="AS8" s="12"/>
      <c r="AT8" s="14"/>
      <c r="AU8" s="12"/>
      <c r="AV8" s="14"/>
      <c r="AW8" s="12"/>
      <c r="AX8" s="14"/>
      <c r="AY8" s="12"/>
      <c r="AZ8" s="12"/>
    </row>
    <row r="9" ht="15.75" customHeight="1">
      <c r="A9" s="11" t="s">
        <v>6</v>
      </c>
      <c r="B9" s="26">
        <f t="shared" ref="B9:AY9" si="3">SUM(B10:B38)</f>
        <v>0</v>
      </c>
      <c r="C9" s="27">
        <f t="shared" si="3"/>
        <v>0</v>
      </c>
      <c r="D9" s="28">
        <f t="shared" si="3"/>
        <v>0</v>
      </c>
      <c r="E9" s="29">
        <f t="shared" si="3"/>
        <v>0</v>
      </c>
      <c r="F9" s="26">
        <f t="shared" si="3"/>
        <v>0</v>
      </c>
      <c r="G9" s="29">
        <f t="shared" si="3"/>
        <v>0</v>
      </c>
      <c r="H9" s="26">
        <f t="shared" si="3"/>
        <v>0</v>
      </c>
      <c r="I9" s="29">
        <f t="shared" si="3"/>
        <v>0</v>
      </c>
      <c r="J9" s="26">
        <f t="shared" si="3"/>
        <v>0</v>
      </c>
      <c r="K9" s="29">
        <f t="shared" si="3"/>
        <v>0</v>
      </c>
      <c r="L9" s="26">
        <f t="shared" si="3"/>
        <v>0</v>
      </c>
      <c r="M9" s="29">
        <f t="shared" si="3"/>
        <v>0</v>
      </c>
      <c r="N9" s="26">
        <f t="shared" si="3"/>
        <v>0</v>
      </c>
      <c r="O9" s="29">
        <f t="shared" si="3"/>
        <v>0</v>
      </c>
      <c r="P9" s="26">
        <f t="shared" si="3"/>
        <v>0</v>
      </c>
      <c r="Q9" s="29">
        <f t="shared" si="3"/>
        <v>0</v>
      </c>
      <c r="R9" s="30">
        <f t="shared" si="3"/>
        <v>0</v>
      </c>
      <c r="S9" s="31">
        <f t="shared" si="3"/>
        <v>0</v>
      </c>
      <c r="T9" s="30">
        <f t="shared" si="3"/>
        <v>0</v>
      </c>
      <c r="U9" s="31">
        <f t="shared" si="3"/>
        <v>0</v>
      </c>
      <c r="V9" s="30">
        <f t="shared" si="3"/>
        <v>0</v>
      </c>
      <c r="W9" s="31">
        <f t="shared" si="3"/>
        <v>0</v>
      </c>
      <c r="X9" s="30">
        <f t="shared" si="3"/>
        <v>0</v>
      </c>
      <c r="Y9" s="31">
        <f t="shared" si="3"/>
        <v>0</v>
      </c>
      <c r="Z9" s="30">
        <f t="shared" si="3"/>
        <v>0</v>
      </c>
      <c r="AA9" s="31">
        <f t="shared" si="3"/>
        <v>0</v>
      </c>
      <c r="AB9" s="30">
        <f t="shared" si="3"/>
        <v>0</v>
      </c>
      <c r="AC9" s="31">
        <f t="shared" si="3"/>
        <v>0</v>
      </c>
      <c r="AD9" s="30">
        <f t="shared" si="3"/>
        <v>0</v>
      </c>
      <c r="AE9" s="31">
        <f t="shared" si="3"/>
        <v>0</v>
      </c>
      <c r="AF9" s="30">
        <f t="shared" si="3"/>
        <v>0</v>
      </c>
      <c r="AG9" s="31">
        <f t="shared" si="3"/>
        <v>0</v>
      </c>
      <c r="AH9" s="30">
        <f t="shared" si="3"/>
        <v>0</v>
      </c>
      <c r="AI9" s="31">
        <f t="shared" si="3"/>
        <v>0</v>
      </c>
      <c r="AJ9" s="30">
        <f t="shared" si="3"/>
        <v>0</v>
      </c>
      <c r="AK9" s="31">
        <f t="shared" si="3"/>
        <v>0</v>
      </c>
      <c r="AL9" s="30">
        <f t="shared" si="3"/>
        <v>0</v>
      </c>
      <c r="AM9" s="31">
        <f t="shared" si="3"/>
        <v>0</v>
      </c>
      <c r="AN9" s="26">
        <f t="shared" si="3"/>
        <v>0</v>
      </c>
      <c r="AO9" s="31">
        <f t="shared" si="3"/>
        <v>0</v>
      </c>
      <c r="AP9" s="30">
        <f t="shared" si="3"/>
        <v>0</v>
      </c>
      <c r="AQ9" s="31">
        <f t="shared" si="3"/>
        <v>0</v>
      </c>
      <c r="AR9" s="30">
        <f t="shared" si="3"/>
        <v>0</v>
      </c>
      <c r="AS9" s="31">
        <f t="shared" si="3"/>
        <v>0</v>
      </c>
      <c r="AT9" s="30">
        <f t="shared" si="3"/>
        <v>0</v>
      </c>
      <c r="AU9" s="31">
        <f t="shared" si="3"/>
        <v>0</v>
      </c>
      <c r="AV9" s="30">
        <f t="shared" si="3"/>
        <v>0</v>
      </c>
      <c r="AW9" s="31">
        <f t="shared" si="3"/>
        <v>0</v>
      </c>
      <c r="AX9" s="30">
        <f t="shared" si="3"/>
        <v>0</v>
      </c>
      <c r="AY9" s="31">
        <f t="shared" si="3"/>
        <v>0</v>
      </c>
      <c r="AZ9" s="31"/>
    </row>
    <row r="10" ht="15.75" customHeight="1">
      <c r="A10" s="12" t="str">
        <f>Menus!R2</f>
        <v/>
      </c>
      <c r="B10" s="32">
        <f t="shared" ref="B10:B28" si="4">IFERROR(SUM(D10:AZ10),"")</f>
        <v>0</v>
      </c>
      <c r="C10" s="33" t="str">
        <f t="shared" ref="C10:C28" si="5">IFERROR(INDEX($D$1:$AQ127, MATCH($A10, $A$1:$A127, 0), MATCH(C$1, $D$1:AZ$1, 0)), "")
</f>
        <v/>
      </c>
      <c r="D10" s="34">
        <f t="array" ref="D10">SUM(
    IFERROR(
            VLOOKUP($A10, INDIRECT("EneR!$A$6:$ZZ$1048576"), MATCH(D$1, EneR!$6:$6, 0), FALSE),
            0
        ) +
        IFERROR(
            VLOOKUP($A10, INDIRECT("FebR!$A$6:$ZZ$1048576"), MATCH(D$1, FebR!$6:$6, 0), FALSE),
            0
        ) +
        IFERROR(
            VLOOKUP($A10, INDIRECT("MarR!$A$6:$ZZ$1048576"), MATCH(D$1, MarR!$6:$6, 0), FALSE),
            0
        ) +
        IFERROR(
            VLOOKUP($A10, INDIRECT("AbrR!$A$6:$ZZ$1048576"), MATCH(D$1, AbrR!$6:$6, 0), FALSE),
            0
        ) +
        IFERROR(
            VLOOKUP($A10, INDIRECT("MayR!$A$6:$ZZ$1048576"), MATCH(D$1, MayR!$6:$6, 0), FALSE),
            0
        ) +
        IFERROR(
            VLOOKUP($A10, INDIRECT("JunR!$A$6:$ZZ$1048576"), MATCH(D$1, JunR!$6:$6, 0), FALSE),
            0
        ) +
        IFERROR(
            VLOOKUP($A10, INDIRECT("JulR!$A$6:$ZZ$1048576"), MATCH(D$1, JulR!$6:$6, 0), FALSE),
            0
        ) +
        IFERROR(
            VLOOKUP($A10, INDIRECT("AgoR!$A$6:$ZZ$1048576"), MATCH(D$1, AgoR!$6:$6, 0), FALSE),
            0
        ) +
        IFERROR(
            VLOOKUP($A10, INDIRECT("SepR!$A$6:$ZZ$1048576"), MATCH(D$1, SepR!$6:$6, 0), FALSE),
            0
        ) +
        IFERROR(
            VLOOKUP($A10, INDIRECT("OctR!$A$6:$ZZ$1048576"), MATCH(D$1, OctR!$6:$6, 0), FALSE),
            0
        ) +
        IFERROR(
            VLOOKUP($A10, INDIRECT("NovR!$A$6:$ZZ$1048576"), MATCH(D$1, NovR!$6:$6, 0), FALSE),
            0
        ) +
        IFERROR(
            VLOOKUP($A10, INDIRECT("DicR!$A$6:$ZZ$1048576"), MATCH(D$1, DicR!$6:$6, 0), FALSE),
            0
        )
)</f>
        <v>0</v>
      </c>
      <c r="E10" s="35">
        <f t="array" ref="E10">SUM(
    IFERROR(
            VLOOKUP($A10, INDIRECT("EneR!$A$6:$ZZ$1048576"), MATCH(E$1, EneR!$6:$6, 0), FALSE),
            0
        ) +
        IFERROR(
            VLOOKUP($A10, INDIRECT("FebR!$A$6:$ZZ$1048576"), MATCH(E$1, FebR!$6:$6, 0), FALSE),
            0
        ) +
        IFERROR(
            VLOOKUP($A10, INDIRECT("MarR!$A$6:$ZZ$1048576"), MATCH(E$1, MarR!$6:$6, 0), FALSE),
            0
        ) +
        IFERROR(
            VLOOKUP($A10, INDIRECT("AbrR!$A$6:$ZZ$1048576"), MATCH(E$1, AbrR!$6:$6, 0), FALSE),
            0
        ) +
        IFERROR(
            VLOOKUP($A10, INDIRECT("MayR!$A$6:$ZZ$1048576"), MATCH(E$1, MayR!$6:$6, 0), FALSE),
            0
        ) +
        IFERROR(
            VLOOKUP($A10, INDIRECT("JunR!$A$6:$ZZ$1048576"), MATCH(E$1, JunR!$6:$6, 0), FALSE),
            0
        ) +
        IFERROR(
            VLOOKUP($A10, INDIRECT("JulR!$A$6:$ZZ$1048576"), MATCH(E$1, JulR!$6:$6, 0), FALSE),
            0
        ) +
        IFERROR(
            VLOOKUP($A10, INDIRECT("AgoR!$A$6:$ZZ$1048576"), MATCH(E$1, AgoR!$6:$6, 0), FALSE),
            0
        ) +
        IFERROR(
            VLOOKUP($A10, INDIRECT("SepR!$A$6:$ZZ$1048576"), MATCH(E$1, SepR!$6:$6, 0), FALSE),
            0
        ) +
        IFERROR(
            VLOOKUP($A10, INDIRECT("OctR!$A$6:$ZZ$1048576"), MATCH(E$1, OctR!$6:$6, 0), FALSE),
            0
        ) +
        IFERROR(
            VLOOKUP($A10, INDIRECT("NovR!$A$6:$ZZ$1048576"), MATCH(E$1, NovR!$6:$6, 0), FALSE),
            0
        ) +
        IFERROR(
            VLOOKUP($A10, INDIRECT("DicR!$A$6:$ZZ$1048576"), MATCH(E$1, DicR!$6:$6, 0), FALSE),
            0
        )
)</f>
        <v>0</v>
      </c>
      <c r="F10" s="32">
        <f t="array" ref="F10">SUM(
    IFERROR(
            VLOOKUP($A10, INDIRECT("EneR!$A$6:$ZZ$1048576"), MATCH(F$1, EneR!$6:$6, 0), FALSE),
            0
        ) +
        IFERROR(
            VLOOKUP($A10, INDIRECT("FebR!$A$6:$ZZ$1048576"), MATCH(F$1, FebR!$6:$6, 0), FALSE),
            0
        ) +
        IFERROR(
            VLOOKUP($A10, INDIRECT("MarR!$A$6:$ZZ$1048576"), MATCH(F$1, MarR!$6:$6, 0), FALSE),
            0
        ) +
        IFERROR(
            VLOOKUP($A10, INDIRECT("AbrR!$A$6:$ZZ$1048576"), MATCH(F$1, AbrR!$6:$6, 0), FALSE),
            0
        ) +
        IFERROR(
            VLOOKUP($A10, INDIRECT("MayR!$A$6:$ZZ$1048576"), MATCH(F$1, MayR!$6:$6, 0), FALSE),
            0
        ) +
        IFERROR(
            VLOOKUP($A10, INDIRECT("JunR!$A$6:$ZZ$1048576"), MATCH(F$1, JunR!$6:$6, 0), FALSE),
            0
        ) +
        IFERROR(
            VLOOKUP($A10, INDIRECT("JulR!$A$6:$ZZ$1048576"), MATCH(F$1, JulR!$6:$6, 0), FALSE),
            0
        ) +
        IFERROR(
            VLOOKUP($A10, INDIRECT("AgoR!$A$6:$ZZ$1048576"), MATCH(F$1, AgoR!$6:$6, 0), FALSE),
            0
        ) +
        IFERROR(
            VLOOKUP($A10, INDIRECT("SepR!$A$6:$ZZ$1048576"), MATCH(F$1, SepR!$6:$6, 0), FALSE),
            0
        ) +
        IFERROR(
            VLOOKUP($A10, INDIRECT("OctR!$A$6:$ZZ$1048576"), MATCH(F$1, OctR!$6:$6, 0), FALSE),
            0
        ) +
        IFERROR(
            VLOOKUP($A10, INDIRECT("NovR!$A$6:$ZZ$1048576"), MATCH(F$1, NovR!$6:$6, 0), FALSE),
            0
        ) +
        IFERROR(
            VLOOKUP($A10, INDIRECT("DicR!$A$6:$ZZ$1048576"), MATCH(F$1, DicR!$6:$6, 0), FALSE),
            0
        )
)</f>
        <v>0</v>
      </c>
      <c r="G10" s="35">
        <f t="array" ref="G10">SUM(
    IFERROR(
            VLOOKUP($A10, INDIRECT("EneR!$A$6:$ZZ$1048576"), MATCH(G$1, EneR!$6:$6, 0), FALSE),
            0
        ) +
        IFERROR(
            VLOOKUP($A10, INDIRECT("FebR!$A$6:$ZZ$1048576"), MATCH(G$1, FebR!$6:$6, 0), FALSE),
            0
        ) +
        IFERROR(
            VLOOKUP($A10, INDIRECT("MarR!$A$6:$ZZ$1048576"), MATCH(G$1, MarR!$6:$6, 0), FALSE),
            0
        ) +
        IFERROR(
            VLOOKUP($A10, INDIRECT("AbrR!$A$6:$ZZ$1048576"), MATCH(G$1, AbrR!$6:$6, 0), FALSE),
            0
        ) +
        IFERROR(
            VLOOKUP($A10, INDIRECT("MayR!$A$6:$ZZ$1048576"), MATCH(G$1, MayR!$6:$6, 0), FALSE),
            0
        ) +
        IFERROR(
            VLOOKUP($A10, INDIRECT("JunR!$A$6:$ZZ$1048576"), MATCH(G$1, JunR!$6:$6, 0), FALSE),
            0
        ) +
        IFERROR(
            VLOOKUP($A10, INDIRECT("JulR!$A$6:$ZZ$1048576"), MATCH(G$1, JulR!$6:$6, 0), FALSE),
            0
        ) +
        IFERROR(
            VLOOKUP($A10, INDIRECT("AgoR!$A$6:$ZZ$1048576"), MATCH(G$1, AgoR!$6:$6, 0), FALSE),
            0
        ) +
        IFERROR(
            VLOOKUP($A10, INDIRECT("SepR!$A$6:$ZZ$1048576"), MATCH(G$1, SepR!$6:$6, 0), FALSE),
            0
        ) +
        IFERROR(
            VLOOKUP($A10, INDIRECT("OctR!$A$6:$ZZ$1048576"), MATCH(G$1, OctR!$6:$6, 0), FALSE),
            0
        ) +
        IFERROR(
            VLOOKUP($A10, INDIRECT("NovR!$A$6:$ZZ$1048576"), MATCH(G$1, NovR!$6:$6, 0), FALSE),
            0
        ) +
        IFERROR(
            VLOOKUP($A10, INDIRECT("DicR!$A$6:$ZZ$1048576"), MATCH(G$1, DicR!$6:$6, 0), FALSE),
            0
        )
)</f>
        <v>0</v>
      </c>
      <c r="H10" s="32">
        <f t="array" ref="H10">SUM(
    IFERROR(
            VLOOKUP($A10, INDIRECT("EneR!$A$6:$ZZ$1048576"), MATCH(H$1, EneR!$6:$6, 0), FALSE),
            0
        ) +
        IFERROR(
            VLOOKUP($A10, INDIRECT("FebR!$A$6:$ZZ$1048576"), MATCH(H$1, FebR!$6:$6, 0), FALSE),
            0
        ) +
        IFERROR(
            VLOOKUP($A10, INDIRECT("MarR!$A$6:$ZZ$1048576"), MATCH(H$1, MarR!$6:$6, 0), FALSE),
            0
        ) +
        IFERROR(
            VLOOKUP($A10, INDIRECT("AbrR!$A$6:$ZZ$1048576"), MATCH(H$1, AbrR!$6:$6, 0), FALSE),
            0
        ) +
        IFERROR(
            VLOOKUP($A10, INDIRECT("MayR!$A$6:$ZZ$1048576"), MATCH(H$1, MayR!$6:$6, 0), FALSE),
            0
        ) +
        IFERROR(
            VLOOKUP($A10, INDIRECT("JunR!$A$6:$ZZ$1048576"), MATCH(H$1, JunR!$6:$6, 0), FALSE),
            0
        ) +
        IFERROR(
            VLOOKUP($A10, INDIRECT("JulR!$A$6:$ZZ$1048576"), MATCH(H$1, JulR!$6:$6, 0), FALSE),
            0
        ) +
        IFERROR(
            VLOOKUP($A10, INDIRECT("AgoR!$A$6:$ZZ$1048576"), MATCH(H$1, AgoR!$6:$6, 0), FALSE),
            0
        ) +
        IFERROR(
            VLOOKUP($A10, INDIRECT("SepR!$A$6:$ZZ$1048576"), MATCH(H$1, SepR!$6:$6, 0), FALSE),
            0
        ) +
        IFERROR(
            VLOOKUP($A10, INDIRECT("OctR!$A$6:$ZZ$1048576"), MATCH(H$1, OctR!$6:$6, 0), FALSE),
            0
        ) +
        IFERROR(
            VLOOKUP($A10, INDIRECT("NovR!$A$6:$ZZ$1048576"), MATCH(H$1, NovR!$6:$6, 0), FALSE),
            0
        ) +
        IFERROR(
            VLOOKUP($A10, INDIRECT("DicR!$A$6:$ZZ$1048576"), MATCH(H$1, DicR!$6:$6, 0), FALSE),
            0
        )
)</f>
        <v>0</v>
      </c>
      <c r="I10" s="35">
        <f t="array" ref="I10">SUM(
    IFERROR(
            VLOOKUP($A10, INDIRECT("EneR!$A$6:$ZZ$1048576"), MATCH(I$1, EneR!$6:$6, 0), FALSE),
            0
        ) +
        IFERROR(
            VLOOKUP($A10, INDIRECT("FebR!$A$6:$ZZ$1048576"), MATCH(I$1, FebR!$6:$6, 0), FALSE),
            0
        ) +
        IFERROR(
            VLOOKUP($A10, INDIRECT("MarR!$A$6:$ZZ$1048576"), MATCH(I$1, MarR!$6:$6, 0), FALSE),
            0
        ) +
        IFERROR(
            VLOOKUP($A10, INDIRECT("AbrR!$A$6:$ZZ$1048576"), MATCH(I$1, AbrR!$6:$6, 0), FALSE),
            0
        ) +
        IFERROR(
            VLOOKUP($A10, INDIRECT("MayR!$A$6:$ZZ$1048576"), MATCH(I$1, MayR!$6:$6, 0), FALSE),
            0
        ) +
        IFERROR(
            VLOOKUP($A10, INDIRECT("JunR!$A$6:$ZZ$1048576"), MATCH(I$1, JunR!$6:$6, 0), FALSE),
            0
        ) +
        IFERROR(
            VLOOKUP($A10, INDIRECT("JulR!$A$6:$ZZ$1048576"), MATCH(I$1, JulR!$6:$6, 0), FALSE),
            0
        ) +
        IFERROR(
            VLOOKUP($A10, INDIRECT("AgoR!$A$6:$ZZ$1048576"), MATCH(I$1, AgoR!$6:$6, 0), FALSE),
            0
        ) +
        IFERROR(
            VLOOKUP($A10, INDIRECT("SepR!$A$6:$ZZ$1048576"), MATCH(I$1, SepR!$6:$6, 0), FALSE),
            0
        ) +
        IFERROR(
            VLOOKUP($A10, INDIRECT("OctR!$A$6:$ZZ$1048576"), MATCH(I$1, OctR!$6:$6, 0), FALSE),
            0
        ) +
        IFERROR(
            VLOOKUP($A10, INDIRECT("NovR!$A$6:$ZZ$1048576"), MATCH(I$1, NovR!$6:$6, 0), FALSE),
            0
        ) +
        IFERROR(
            VLOOKUP($A10, INDIRECT("DicR!$A$6:$ZZ$1048576"), MATCH(I$1, DicR!$6:$6, 0), FALSE),
            0
        )
)</f>
        <v>0</v>
      </c>
      <c r="J10" s="32">
        <f t="array" ref="J10">SUM(
    IFERROR(
            VLOOKUP($A10, INDIRECT("EneR!$A$6:$ZZ$1048576"), MATCH(J$1, EneR!$6:$6, 0), FALSE),
            0
        ) +
        IFERROR(
            VLOOKUP($A10, INDIRECT("FebR!$A$6:$ZZ$1048576"), MATCH(J$1, FebR!$6:$6, 0), FALSE),
            0
        ) +
        IFERROR(
            VLOOKUP($A10, INDIRECT("MarR!$A$6:$ZZ$1048576"), MATCH(J$1, MarR!$6:$6, 0), FALSE),
            0
        ) +
        IFERROR(
            VLOOKUP($A10, INDIRECT("AbrR!$A$6:$ZZ$1048576"), MATCH(J$1, AbrR!$6:$6, 0), FALSE),
            0
        ) +
        IFERROR(
            VLOOKUP($A10, INDIRECT("MayR!$A$6:$ZZ$1048576"), MATCH(J$1, MayR!$6:$6, 0), FALSE),
            0
        ) +
        IFERROR(
            VLOOKUP($A10, INDIRECT("JunR!$A$6:$ZZ$1048576"), MATCH(J$1, JunR!$6:$6, 0), FALSE),
            0
        ) +
        IFERROR(
            VLOOKUP($A10, INDIRECT("JulR!$A$6:$ZZ$1048576"), MATCH(J$1, JulR!$6:$6, 0), FALSE),
            0
        ) +
        IFERROR(
            VLOOKUP($A10, INDIRECT("AgoR!$A$6:$ZZ$1048576"), MATCH(J$1, AgoR!$6:$6, 0), FALSE),
            0
        ) +
        IFERROR(
            VLOOKUP($A10, INDIRECT("SepR!$A$6:$ZZ$1048576"), MATCH(J$1, SepR!$6:$6, 0), FALSE),
            0
        ) +
        IFERROR(
            VLOOKUP($A10, INDIRECT("OctR!$A$6:$ZZ$1048576"), MATCH(J$1, OctR!$6:$6, 0), FALSE),
            0
        ) +
        IFERROR(
            VLOOKUP($A10, INDIRECT("NovR!$A$6:$ZZ$1048576"), MATCH(J$1, NovR!$6:$6, 0), FALSE),
            0
        ) +
        IFERROR(
            VLOOKUP($A10, INDIRECT("DicR!$A$6:$ZZ$1048576"), MATCH(J$1, DicR!$6:$6, 0), FALSE),
            0
        )
)</f>
        <v>0</v>
      </c>
      <c r="K10" s="35">
        <f t="array" ref="K10">SUM(
    IFERROR(
            VLOOKUP($A10, INDIRECT("EneR!$A$6:$ZZ$1048576"), MATCH(K$1, EneR!$6:$6, 0), FALSE),
            0
        ) +
        IFERROR(
            VLOOKUP($A10, INDIRECT("FebR!$A$6:$ZZ$1048576"), MATCH(K$1, FebR!$6:$6, 0), FALSE),
            0
        ) +
        IFERROR(
            VLOOKUP($A10, INDIRECT("MarR!$A$6:$ZZ$1048576"), MATCH(K$1, MarR!$6:$6, 0), FALSE),
            0
        ) +
        IFERROR(
            VLOOKUP($A10, INDIRECT("AbrR!$A$6:$ZZ$1048576"), MATCH(K$1, AbrR!$6:$6, 0), FALSE),
            0
        ) +
        IFERROR(
            VLOOKUP($A10, INDIRECT("MayR!$A$6:$ZZ$1048576"), MATCH(K$1, MayR!$6:$6, 0), FALSE),
            0
        ) +
        IFERROR(
            VLOOKUP($A10, INDIRECT("JunR!$A$6:$ZZ$1048576"), MATCH(K$1, JunR!$6:$6, 0), FALSE),
            0
        ) +
        IFERROR(
            VLOOKUP($A10, INDIRECT("JulR!$A$6:$ZZ$1048576"), MATCH(K$1, JulR!$6:$6, 0), FALSE),
            0
        ) +
        IFERROR(
            VLOOKUP($A10, INDIRECT("AgoR!$A$6:$ZZ$1048576"), MATCH(K$1, AgoR!$6:$6, 0), FALSE),
            0
        ) +
        IFERROR(
            VLOOKUP($A10, INDIRECT("SepR!$A$6:$ZZ$1048576"), MATCH(K$1, SepR!$6:$6, 0), FALSE),
            0
        ) +
        IFERROR(
            VLOOKUP($A10, INDIRECT("OctR!$A$6:$ZZ$1048576"), MATCH(K$1, OctR!$6:$6, 0), FALSE),
            0
        ) +
        IFERROR(
            VLOOKUP($A10, INDIRECT("NovR!$A$6:$ZZ$1048576"), MATCH(K$1, NovR!$6:$6, 0), FALSE),
            0
        ) +
        IFERROR(
            VLOOKUP($A10, INDIRECT("DicR!$A$6:$ZZ$1048576"), MATCH(K$1, DicR!$6:$6, 0), FALSE),
            0
        )
)</f>
        <v>0</v>
      </c>
      <c r="L10" s="32">
        <f t="array" ref="L10">SUM(
    IFERROR(
            VLOOKUP($A10, INDIRECT("EneR!$A$6:$ZZ$1048576"), MATCH(L$1, EneR!$6:$6, 0), FALSE),
            0
        ) +
        IFERROR(
            VLOOKUP($A10, INDIRECT("FebR!$A$6:$ZZ$1048576"), MATCH(L$1, FebR!$6:$6, 0), FALSE),
            0
        ) +
        IFERROR(
            VLOOKUP($A10, INDIRECT("MarR!$A$6:$ZZ$1048576"), MATCH(L$1, MarR!$6:$6, 0), FALSE),
            0
        ) +
        IFERROR(
            VLOOKUP($A10, INDIRECT("AbrR!$A$6:$ZZ$1048576"), MATCH(L$1, AbrR!$6:$6, 0), FALSE),
            0
        ) +
        IFERROR(
            VLOOKUP($A10, INDIRECT("MayR!$A$6:$ZZ$1048576"), MATCH(L$1, MayR!$6:$6, 0), FALSE),
            0
        ) +
        IFERROR(
            VLOOKUP($A10, INDIRECT("JunR!$A$6:$ZZ$1048576"), MATCH(L$1, JunR!$6:$6, 0), FALSE),
            0
        ) +
        IFERROR(
            VLOOKUP($A10, INDIRECT("JulR!$A$6:$ZZ$1048576"), MATCH(L$1, JulR!$6:$6, 0), FALSE),
            0
        ) +
        IFERROR(
            VLOOKUP($A10, INDIRECT("AgoR!$A$6:$ZZ$1048576"), MATCH(L$1, AgoR!$6:$6, 0), FALSE),
            0
        ) +
        IFERROR(
            VLOOKUP($A10, INDIRECT("SepR!$A$6:$ZZ$1048576"), MATCH(L$1, SepR!$6:$6, 0), FALSE),
            0
        ) +
        IFERROR(
            VLOOKUP($A10, INDIRECT("OctR!$A$6:$ZZ$1048576"), MATCH(L$1, OctR!$6:$6, 0), FALSE),
            0
        ) +
        IFERROR(
            VLOOKUP($A10, INDIRECT("NovR!$A$6:$ZZ$1048576"), MATCH(L$1, NovR!$6:$6, 0), FALSE),
            0
        ) +
        IFERROR(
            VLOOKUP($A10, INDIRECT("DicR!$A$6:$ZZ$1048576"), MATCH(L$1, DicR!$6:$6, 0), FALSE),
            0
        )
)</f>
        <v>0</v>
      </c>
      <c r="M10" s="35">
        <f t="array" ref="M10">SUM(
    IFERROR(
            VLOOKUP($A10, INDIRECT("EneR!$A$6:$ZZ$1048576"), MATCH(M$1, EneR!$6:$6, 0), FALSE),
            0
        ) +
        IFERROR(
            VLOOKUP($A10, INDIRECT("FebR!$A$6:$ZZ$1048576"), MATCH(M$1, FebR!$6:$6, 0), FALSE),
            0
        ) +
        IFERROR(
            VLOOKUP($A10, INDIRECT("MarR!$A$6:$ZZ$1048576"), MATCH(M$1, MarR!$6:$6, 0), FALSE),
            0
        ) +
        IFERROR(
            VLOOKUP($A10, INDIRECT("AbrR!$A$6:$ZZ$1048576"), MATCH(M$1, AbrR!$6:$6, 0), FALSE),
            0
        ) +
        IFERROR(
            VLOOKUP($A10, INDIRECT("MayR!$A$6:$ZZ$1048576"), MATCH(M$1, MayR!$6:$6, 0), FALSE),
            0
        ) +
        IFERROR(
            VLOOKUP($A10, INDIRECT("JunR!$A$6:$ZZ$1048576"), MATCH(M$1, JunR!$6:$6, 0), FALSE),
            0
        ) +
        IFERROR(
            VLOOKUP($A10, INDIRECT("JulR!$A$6:$ZZ$1048576"), MATCH(M$1, JulR!$6:$6, 0), FALSE),
            0
        ) +
        IFERROR(
            VLOOKUP($A10, INDIRECT("AgoR!$A$6:$ZZ$1048576"), MATCH(M$1, AgoR!$6:$6, 0), FALSE),
            0
        ) +
        IFERROR(
            VLOOKUP($A10, INDIRECT("SepR!$A$6:$ZZ$1048576"), MATCH(M$1, SepR!$6:$6, 0), FALSE),
            0
        ) +
        IFERROR(
            VLOOKUP($A10, INDIRECT("OctR!$A$6:$ZZ$1048576"), MATCH(M$1, OctR!$6:$6, 0), FALSE),
            0
        ) +
        IFERROR(
            VLOOKUP($A10, INDIRECT("NovR!$A$6:$ZZ$1048576"), MATCH(M$1, NovR!$6:$6, 0), FALSE),
            0
        ) +
        IFERROR(
            VLOOKUP($A10, INDIRECT("DicR!$A$6:$ZZ$1048576"), MATCH(M$1, DicR!$6:$6, 0), FALSE),
            0
        )
)</f>
        <v>0</v>
      </c>
      <c r="N10" s="32">
        <f t="array" ref="N10">SUM(
    IFERROR(
            VLOOKUP($A10, INDIRECT("EneR!$A$6:$ZZ$1048576"), MATCH(N$1, EneR!$6:$6, 0), FALSE),
            0
        ) +
        IFERROR(
            VLOOKUP($A10, INDIRECT("FebR!$A$6:$ZZ$1048576"), MATCH(N$1, FebR!$6:$6, 0), FALSE),
            0
        ) +
        IFERROR(
            VLOOKUP($A10, INDIRECT("MarR!$A$6:$ZZ$1048576"), MATCH(N$1, MarR!$6:$6, 0), FALSE),
            0
        ) +
        IFERROR(
            VLOOKUP($A10, INDIRECT("AbrR!$A$6:$ZZ$1048576"), MATCH(N$1, AbrR!$6:$6, 0), FALSE),
            0
        ) +
        IFERROR(
            VLOOKUP($A10, INDIRECT("MayR!$A$6:$ZZ$1048576"), MATCH(N$1, MayR!$6:$6, 0), FALSE),
            0
        ) +
        IFERROR(
            VLOOKUP($A10, INDIRECT("JunR!$A$6:$ZZ$1048576"), MATCH(N$1, JunR!$6:$6, 0), FALSE),
            0
        ) +
        IFERROR(
            VLOOKUP($A10, INDIRECT("JulR!$A$6:$ZZ$1048576"), MATCH(N$1, JulR!$6:$6, 0), FALSE),
            0
        ) +
        IFERROR(
            VLOOKUP($A10, INDIRECT("AgoR!$A$6:$ZZ$1048576"), MATCH(N$1, AgoR!$6:$6, 0), FALSE),
            0
        ) +
        IFERROR(
            VLOOKUP($A10, INDIRECT("SepR!$A$6:$ZZ$1048576"), MATCH(N$1, SepR!$6:$6, 0), FALSE),
            0
        ) +
        IFERROR(
            VLOOKUP($A10, INDIRECT("OctR!$A$6:$ZZ$1048576"), MATCH(N$1, OctR!$6:$6, 0), FALSE),
            0
        ) +
        IFERROR(
            VLOOKUP($A10, INDIRECT("NovR!$A$6:$ZZ$1048576"), MATCH(N$1, NovR!$6:$6, 0), FALSE),
            0
        ) +
        IFERROR(
            VLOOKUP($A10, INDIRECT("DicR!$A$6:$ZZ$1048576"), MATCH(N$1, DicR!$6:$6, 0), FALSE),
            0
        )
)</f>
        <v>0</v>
      </c>
      <c r="O10" s="35">
        <f t="array" ref="O10">SUM(
    IFERROR(
            VLOOKUP($A10, INDIRECT("EneR!$A$6:$ZZ$1048576"), MATCH(O$1, EneR!$6:$6, 0), FALSE),
            0
        ) +
        IFERROR(
            VLOOKUP($A10, INDIRECT("FebR!$A$6:$ZZ$1048576"), MATCH(O$1, FebR!$6:$6, 0), FALSE),
            0
        ) +
        IFERROR(
            VLOOKUP($A10, INDIRECT("MarR!$A$6:$ZZ$1048576"), MATCH(O$1, MarR!$6:$6, 0), FALSE),
            0
        ) +
        IFERROR(
            VLOOKUP($A10, INDIRECT("AbrR!$A$6:$ZZ$1048576"), MATCH(O$1, AbrR!$6:$6, 0), FALSE),
            0
        ) +
        IFERROR(
            VLOOKUP($A10, INDIRECT("MayR!$A$6:$ZZ$1048576"), MATCH(O$1, MayR!$6:$6, 0), FALSE),
            0
        ) +
        IFERROR(
            VLOOKUP($A10, INDIRECT("JunR!$A$6:$ZZ$1048576"), MATCH(O$1, JunR!$6:$6, 0), FALSE),
            0
        ) +
        IFERROR(
            VLOOKUP($A10, INDIRECT("JulR!$A$6:$ZZ$1048576"), MATCH(O$1, JulR!$6:$6, 0), FALSE),
            0
        ) +
        IFERROR(
            VLOOKUP($A10, INDIRECT("AgoR!$A$6:$ZZ$1048576"), MATCH(O$1, AgoR!$6:$6, 0), FALSE),
            0
        ) +
        IFERROR(
            VLOOKUP($A10, INDIRECT("SepR!$A$6:$ZZ$1048576"), MATCH(O$1, SepR!$6:$6, 0), FALSE),
            0
        ) +
        IFERROR(
            VLOOKUP($A10, INDIRECT("OctR!$A$6:$ZZ$1048576"), MATCH(O$1, OctR!$6:$6, 0), FALSE),
            0
        ) +
        IFERROR(
            VLOOKUP($A10, INDIRECT("NovR!$A$6:$ZZ$1048576"), MATCH(O$1, NovR!$6:$6, 0), FALSE),
            0
        ) +
        IFERROR(
            VLOOKUP($A10, INDIRECT("DicR!$A$6:$ZZ$1048576"), MATCH(O$1, DicR!$6:$6, 0), FALSE),
            0
        )
)</f>
        <v>0</v>
      </c>
      <c r="P10" s="32">
        <f t="array" ref="P10">SUM(
    IFERROR(
            VLOOKUP($A10, INDIRECT("EneR!$A$6:$ZZ$1048576"), MATCH(P$1, EneR!$6:$6, 0), FALSE),
            0
        ) +
        IFERROR(
            VLOOKUP($A10, INDIRECT("FebR!$A$6:$ZZ$1048576"), MATCH(P$1, FebR!$6:$6, 0), FALSE),
            0
        ) +
        IFERROR(
            VLOOKUP($A10, INDIRECT("MarR!$A$6:$ZZ$1048576"), MATCH(P$1, MarR!$6:$6, 0), FALSE),
            0
        ) +
        IFERROR(
            VLOOKUP($A10, INDIRECT("AbrR!$A$6:$ZZ$1048576"), MATCH(P$1, AbrR!$6:$6, 0), FALSE),
            0
        ) +
        IFERROR(
            VLOOKUP($A10, INDIRECT("MayR!$A$6:$ZZ$1048576"), MATCH(P$1, MayR!$6:$6, 0), FALSE),
            0
        ) +
        IFERROR(
            VLOOKUP($A10, INDIRECT("JunR!$A$6:$ZZ$1048576"), MATCH(P$1, JunR!$6:$6, 0), FALSE),
            0
        ) +
        IFERROR(
            VLOOKUP($A10, INDIRECT("JulR!$A$6:$ZZ$1048576"), MATCH(P$1, JulR!$6:$6, 0), FALSE),
            0
        ) +
        IFERROR(
            VLOOKUP($A10, INDIRECT("AgoR!$A$6:$ZZ$1048576"), MATCH(P$1, AgoR!$6:$6, 0), FALSE),
            0
        ) +
        IFERROR(
            VLOOKUP($A10, INDIRECT("SepR!$A$6:$ZZ$1048576"), MATCH(P$1, SepR!$6:$6, 0), FALSE),
            0
        ) +
        IFERROR(
            VLOOKUP($A10, INDIRECT("OctR!$A$6:$ZZ$1048576"), MATCH(P$1, OctR!$6:$6, 0), FALSE),
            0
        ) +
        IFERROR(
            VLOOKUP($A10, INDIRECT("NovR!$A$6:$ZZ$1048576"), MATCH(P$1, NovR!$6:$6, 0), FALSE),
            0
        ) +
        IFERROR(
            VLOOKUP($A10, INDIRECT("DicR!$A$6:$ZZ$1048576"), MATCH(P$1, DicR!$6:$6, 0), FALSE),
            0
        )
)</f>
        <v>0</v>
      </c>
      <c r="Q10" s="35">
        <f t="array" ref="Q10">SUM(
    IFERROR(
            VLOOKUP($A10, INDIRECT("EneR!$A$6:$ZZ$1048576"), MATCH(Q$1, EneR!$6:$6, 0), FALSE),
            0
        ) +
        IFERROR(
            VLOOKUP($A10, INDIRECT("FebR!$A$6:$ZZ$1048576"), MATCH(Q$1, FebR!$6:$6, 0), FALSE),
            0
        ) +
        IFERROR(
            VLOOKUP($A10, INDIRECT("MarR!$A$6:$ZZ$1048576"), MATCH(Q$1, MarR!$6:$6, 0), FALSE),
            0
        ) +
        IFERROR(
            VLOOKUP($A10, INDIRECT("AbrR!$A$6:$ZZ$1048576"), MATCH(Q$1, AbrR!$6:$6, 0), FALSE),
            0
        ) +
        IFERROR(
            VLOOKUP($A10, INDIRECT("MayR!$A$6:$ZZ$1048576"), MATCH(Q$1, MayR!$6:$6, 0), FALSE),
            0
        ) +
        IFERROR(
            VLOOKUP($A10, INDIRECT("JunR!$A$6:$ZZ$1048576"), MATCH(Q$1, JunR!$6:$6, 0), FALSE),
            0
        ) +
        IFERROR(
            VLOOKUP($A10, INDIRECT("JulR!$A$6:$ZZ$1048576"), MATCH(Q$1, JulR!$6:$6, 0), FALSE),
            0
        ) +
        IFERROR(
            VLOOKUP($A10, INDIRECT("AgoR!$A$6:$ZZ$1048576"), MATCH(Q$1, AgoR!$6:$6, 0), FALSE),
            0
        ) +
        IFERROR(
            VLOOKUP($A10, INDIRECT("SepR!$A$6:$ZZ$1048576"), MATCH(Q$1, SepR!$6:$6, 0), FALSE),
            0
        ) +
        IFERROR(
            VLOOKUP($A10, INDIRECT("OctR!$A$6:$ZZ$1048576"), MATCH(Q$1, OctR!$6:$6, 0), FALSE),
            0
        ) +
        IFERROR(
            VLOOKUP($A10, INDIRECT("NovR!$A$6:$ZZ$1048576"), MATCH(Q$1, NovR!$6:$6, 0), FALSE),
            0
        ) +
        IFERROR(
            VLOOKUP($A10, INDIRECT("DicR!$A$6:$ZZ$1048576"), MATCH(Q$1, DicR!$6:$6, 0), FALSE),
            0
        )
)</f>
        <v>0</v>
      </c>
      <c r="R10" s="36">
        <f t="array" ref="R10">SUM(
    IFERROR(
            VLOOKUP($A10, INDIRECT("EneR!$A$6:$ZZ$1048576"), MATCH(R$1, EneR!$6:$6, 0), FALSE),
            0
        ) +
        IFERROR(
            VLOOKUP($A10, INDIRECT("FebR!$A$6:$ZZ$1048576"), MATCH(R$1, FebR!$6:$6, 0), FALSE),
            0
        ) +
        IFERROR(
            VLOOKUP($A10, INDIRECT("MarR!$A$6:$ZZ$1048576"), MATCH(R$1, MarR!$6:$6, 0), FALSE),
            0
        ) +
        IFERROR(
            VLOOKUP($A10, INDIRECT("AbrR!$A$6:$ZZ$1048576"), MATCH(R$1, AbrR!$6:$6, 0), FALSE),
            0
        ) +
        IFERROR(
            VLOOKUP($A10, INDIRECT("MayR!$A$6:$ZZ$1048576"), MATCH(R$1, MayR!$6:$6, 0), FALSE),
            0
        ) +
        IFERROR(
            VLOOKUP($A10, INDIRECT("JunR!$A$6:$ZZ$1048576"), MATCH(R$1, JunR!$6:$6, 0), FALSE),
            0
        ) +
        IFERROR(
            VLOOKUP($A10, INDIRECT("JulR!$A$6:$ZZ$1048576"), MATCH(R$1, JulR!$6:$6, 0), FALSE),
            0
        ) +
        IFERROR(
            VLOOKUP($A10, INDIRECT("AgoR!$A$6:$ZZ$1048576"), MATCH(R$1, AgoR!$6:$6, 0), FALSE),
            0
        ) +
        IFERROR(
            VLOOKUP($A10, INDIRECT("SepR!$A$6:$ZZ$1048576"), MATCH(R$1, SepR!$6:$6, 0), FALSE),
            0
        ) +
        IFERROR(
            VLOOKUP($A10, INDIRECT("OctR!$A$6:$ZZ$1048576"), MATCH(R$1, OctR!$6:$6, 0), FALSE),
            0
        ) +
        IFERROR(
            VLOOKUP($A10, INDIRECT("NovR!$A$6:$ZZ$1048576"), MATCH(R$1, NovR!$6:$6, 0), FALSE),
            0
        ) +
        IFERROR(
            VLOOKUP($A10, INDIRECT("DicR!$A$6:$ZZ$1048576"), MATCH(R$1, DicR!$6:$6, 0), FALSE),
            0
        )
)</f>
        <v>0</v>
      </c>
      <c r="S10" s="37">
        <f t="array" ref="S10">SUM(
    IFERROR(
            VLOOKUP($A10, INDIRECT("EneR!$A$6:$ZZ$1048576"), MATCH(S$1, EneR!$6:$6, 0), FALSE),
            0
        ) +
        IFERROR(
            VLOOKUP($A10, INDIRECT("FebR!$A$6:$ZZ$1048576"), MATCH(S$1, FebR!$6:$6, 0), FALSE),
            0
        ) +
        IFERROR(
            VLOOKUP($A10, INDIRECT("MarR!$A$6:$ZZ$1048576"), MATCH(S$1, MarR!$6:$6, 0), FALSE),
            0
        ) +
        IFERROR(
            VLOOKUP($A10, INDIRECT("AbrR!$A$6:$ZZ$1048576"), MATCH(S$1, AbrR!$6:$6, 0), FALSE),
            0
        ) +
        IFERROR(
            VLOOKUP($A10, INDIRECT("MayR!$A$6:$ZZ$1048576"), MATCH(S$1, MayR!$6:$6, 0), FALSE),
            0
        ) +
        IFERROR(
            VLOOKUP($A10, INDIRECT("JunR!$A$6:$ZZ$1048576"), MATCH(S$1, JunR!$6:$6, 0), FALSE),
            0
        ) +
        IFERROR(
            VLOOKUP($A10, INDIRECT("JulR!$A$6:$ZZ$1048576"), MATCH(S$1, JulR!$6:$6, 0), FALSE),
            0
        ) +
        IFERROR(
            VLOOKUP($A10, INDIRECT("AgoR!$A$6:$ZZ$1048576"), MATCH(S$1, AgoR!$6:$6, 0), FALSE),
            0
        ) +
        IFERROR(
            VLOOKUP($A10, INDIRECT("SepR!$A$6:$ZZ$1048576"), MATCH(S$1, SepR!$6:$6, 0), FALSE),
            0
        ) +
        IFERROR(
            VLOOKUP($A10, INDIRECT("OctR!$A$6:$ZZ$1048576"), MATCH(S$1, OctR!$6:$6, 0), FALSE),
            0
        ) +
        IFERROR(
            VLOOKUP($A10, INDIRECT("NovR!$A$6:$ZZ$1048576"), MATCH(S$1, NovR!$6:$6, 0), FALSE),
            0
        ) +
        IFERROR(
            VLOOKUP($A10, INDIRECT("DicR!$A$6:$ZZ$1048576"), MATCH(S$1, DicR!$6:$6, 0), FALSE),
            0
        )
)</f>
        <v>0</v>
      </c>
      <c r="T10" s="36">
        <f t="array" ref="T10">SUM(
    IFERROR(
            VLOOKUP($A10, INDIRECT("EneR!$A$6:$ZZ$1048576"), MATCH(T$1, EneR!$6:$6, 0), FALSE),
            0
        ) +
        IFERROR(
            VLOOKUP($A10, INDIRECT("FebR!$A$6:$ZZ$1048576"), MATCH(T$1, FebR!$6:$6, 0), FALSE),
            0
        ) +
        IFERROR(
            VLOOKUP($A10, INDIRECT("MarR!$A$6:$ZZ$1048576"), MATCH(T$1, MarR!$6:$6, 0), FALSE),
            0
        ) +
        IFERROR(
            VLOOKUP($A10, INDIRECT("AbrR!$A$6:$ZZ$1048576"), MATCH(T$1, AbrR!$6:$6, 0), FALSE),
            0
        ) +
        IFERROR(
            VLOOKUP($A10, INDIRECT("MayR!$A$6:$ZZ$1048576"), MATCH(T$1, MayR!$6:$6, 0), FALSE),
            0
        ) +
        IFERROR(
            VLOOKUP($A10, INDIRECT("JunR!$A$6:$ZZ$1048576"), MATCH(T$1, JunR!$6:$6, 0), FALSE),
            0
        ) +
        IFERROR(
            VLOOKUP($A10, INDIRECT("JulR!$A$6:$ZZ$1048576"), MATCH(T$1, JulR!$6:$6, 0), FALSE),
            0
        ) +
        IFERROR(
            VLOOKUP($A10, INDIRECT("AgoR!$A$6:$ZZ$1048576"), MATCH(T$1, AgoR!$6:$6, 0), FALSE),
            0
        ) +
        IFERROR(
            VLOOKUP($A10, INDIRECT("SepR!$A$6:$ZZ$1048576"), MATCH(T$1, SepR!$6:$6, 0), FALSE),
            0
        ) +
        IFERROR(
            VLOOKUP($A10, INDIRECT("OctR!$A$6:$ZZ$1048576"), MATCH(T$1, OctR!$6:$6, 0), FALSE),
            0
        ) +
        IFERROR(
            VLOOKUP($A10, INDIRECT("NovR!$A$6:$ZZ$1048576"), MATCH(T$1, NovR!$6:$6, 0), FALSE),
            0
        ) +
        IFERROR(
            VLOOKUP($A10, INDIRECT("DicR!$A$6:$ZZ$1048576"), MATCH(T$1, DicR!$6:$6, 0), FALSE),
            0
        )
)</f>
        <v>0</v>
      </c>
      <c r="U10" s="37">
        <f t="array" ref="U10">SUM(
    IFERROR(
            VLOOKUP($A10, INDIRECT("EneR!$A$6:$ZZ$1048576"), MATCH(U$1, EneR!$6:$6, 0), FALSE),
            0
        ) +
        IFERROR(
            VLOOKUP($A10, INDIRECT("FebR!$A$6:$ZZ$1048576"), MATCH(U$1, FebR!$6:$6, 0), FALSE),
            0
        ) +
        IFERROR(
            VLOOKUP($A10, INDIRECT("MarR!$A$6:$ZZ$1048576"), MATCH(U$1, MarR!$6:$6, 0), FALSE),
            0
        ) +
        IFERROR(
            VLOOKUP($A10, INDIRECT("AbrR!$A$6:$ZZ$1048576"), MATCH(U$1, AbrR!$6:$6, 0), FALSE),
            0
        ) +
        IFERROR(
            VLOOKUP($A10, INDIRECT("MayR!$A$6:$ZZ$1048576"), MATCH(U$1, MayR!$6:$6, 0), FALSE),
            0
        ) +
        IFERROR(
            VLOOKUP($A10, INDIRECT("JunR!$A$6:$ZZ$1048576"), MATCH(U$1, JunR!$6:$6, 0), FALSE),
            0
        ) +
        IFERROR(
            VLOOKUP($A10, INDIRECT("JulR!$A$6:$ZZ$1048576"), MATCH(U$1, JulR!$6:$6, 0), FALSE),
            0
        ) +
        IFERROR(
            VLOOKUP($A10, INDIRECT("AgoR!$A$6:$ZZ$1048576"), MATCH(U$1, AgoR!$6:$6, 0), FALSE),
            0
        ) +
        IFERROR(
            VLOOKUP($A10, INDIRECT("SepR!$A$6:$ZZ$1048576"), MATCH(U$1, SepR!$6:$6, 0), FALSE),
            0
        ) +
        IFERROR(
            VLOOKUP($A10, INDIRECT("OctR!$A$6:$ZZ$1048576"), MATCH(U$1, OctR!$6:$6, 0), FALSE),
            0
        ) +
        IFERROR(
            VLOOKUP($A10, INDIRECT("NovR!$A$6:$ZZ$1048576"), MATCH(U$1, NovR!$6:$6, 0), FALSE),
            0
        ) +
        IFERROR(
            VLOOKUP($A10, INDIRECT("DicR!$A$6:$ZZ$1048576"), MATCH(U$1, DicR!$6:$6, 0), FALSE),
            0
        )
)</f>
        <v>0</v>
      </c>
      <c r="V10" s="36">
        <f t="array" ref="V10">SUM(
    IFERROR(
            VLOOKUP($A10, INDIRECT("EneR!$A$6:$ZZ$1048576"), MATCH(V$1, EneR!$6:$6, 0), FALSE),
            0
        ) +
        IFERROR(
            VLOOKUP($A10, INDIRECT("FebR!$A$6:$ZZ$1048576"), MATCH(V$1, FebR!$6:$6, 0), FALSE),
            0
        ) +
        IFERROR(
            VLOOKUP($A10, INDIRECT("MarR!$A$6:$ZZ$1048576"), MATCH(V$1, MarR!$6:$6, 0), FALSE),
            0
        ) +
        IFERROR(
            VLOOKUP($A10, INDIRECT("AbrR!$A$6:$ZZ$1048576"), MATCH(V$1, AbrR!$6:$6, 0), FALSE),
            0
        ) +
        IFERROR(
            VLOOKUP($A10, INDIRECT("MayR!$A$6:$ZZ$1048576"), MATCH(V$1, MayR!$6:$6, 0), FALSE),
            0
        ) +
        IFERROR(
            VLOOKUP($A10, INDIRECT("JunR!$A$6:$ZZ$1048576"), MATCH(V$1, JunR!$6:$6, 0), FALSE),
            0
        ) +
        IFERROR(
            VLOOKUP($A10, INDIRECT("JulR!$A$6:$ZZ$1048576"), MATCH(V$1, JulR!$6:$6, 0), FALSE),
            0
        ) +
        IFERROR(
            VLOOKUP($A10, INDIRECT("AgoR!$A$6:$ZZ$1048576"), MATCH(V$1, AgoR!$6:$6, 0), FALSE),
            0
        ) +
        IFERROR(
            VLOOKUP($A10, INDIRECT("SepR!$A$6:$ZZ$1048576"), MATCH(V$1, SepR!$6:$6, 0), FALSE),
            0
        ) +
        IFERROR(
            VLOOKUP($A10, INDIRECT("OctR!$A$6:$ZZ$1048576"), MATCH(V$1, OctR!$6:$6, 0), FALSE),
            0
        ) +
        IFERROR(
            VLOOKUP($A10, INDIRECT("NovR!$A$6:$ZZ$1048576"), MATCH(V$1, NovR!$6:$6, 0), FALSE),
            0
        ) +
        IFERROR(
            VLOOKUP($A10, INDIRECT("DicR!$A$6:$ZZ$1048576"), MATCH(V$1, DicR!$6:$6, 0), FALSE),
            0
        )
)</f>
        <v>0</v>
      </c>
      <c r="W10" s="37">
        <f t="array" ref="W10">SUM(
    IFERROR(
            VLOOKUP($A10, INDIRECT("EneR!$A$6:$ZZ$1048576"), MATCH(W$1, EneR!$6:$6, 0), FALSE),
            0
        ) +
        IFERROR(
            VLOOKUP($A10, INDIRECT("FebR!$A$6:$ZZ$1048576"), MATCH(W$1, FebR!$6:$6, 0), FALSE),
            0
        ) +
        IFERROR(
            VLOOKUP($A10, INDIRECT("MarR!$A$6:$ZZ$1048576"), MATCH(W$1, MarR!$6:$6, 0), FALSE),
            0
        ) +
        IFERROR(
            VLOOKUP($A10, INDIRECT("AbrR!$A$6:$ZZ$1048576"), MATCH(W$1, AbrR!$6:$6, 0), FALSE),
            0
        ) +
        IFERROR(
            VLOOKUP($A10, INDIRECT("MayR!$A$6:$ZZ$1048576"), MATCH(W$1, MayR!$6:$6, 0), FALSE),
            0
        ) +
        IFERROR(
            VLOOKUP($A10, INDIRECT("JunR!$A$6:$ZZ$1048576"), MATCH(W$1, JunR!$6:$6, 0), FALSE),
            0
        ) +
        IFERROR(
            VLOOKUP($A10, INDIRECT("JulR!$A$6:$ZZ$1048576"), MATCH(W$1, JulR!$6:$6, 0), FALSE),
            0
        ) +
        IFERROR(
            VLOOKUP($A10, INDIRECT("AgoR!$A$6:$ZZ$1048576"), MATCH(W$1, AgoR!$6:$6, 0), FALSE),
            0
        ) +
        IFERROR(
            VLOOKUP($A10, INDIRECT("SepR!$A$6:$ZZ$1048576"), MATCH(W$1, SepR!$6:$6, 0), FALSE),
            0
        ) +
        IFERROR(
            VLOOKUP($A10, INDIRECT("OctR!$A$6:$ZZ$1048576"), MATCH(W$1, OctR!$6:$6, 0), FALSE),
            0
        ) +
        IFERROR(
            VLOOKUP($A10, INDIRECT("NovR!$A$6:$ZZ$1048576"), MATCH(W$1, NovR!$6:$6, 0), FALSE),
            0
        ) +
        IFERROR(
            VLOOKUP($A10, INDIRECT("DicR!$A$6:$ZZ$1048576"), MATCH(W$1, DicR!$6:$6, 0), FALSE),
            0
        )
)</f>
        <v>0</v>
      </c>
      <c r="X10" s="36">
        <f t="array" ref="X10">SUM(
    IFERROR(
            VLOOKUP($A10, INDIRECT("EneR!$A$6:$ZZ$1048576"), MATCH(X$1, EneR!$6:$6, 0), FALSE),
            0
        ) +
        IFERROR(
            VLOOKUP($A10, INDIRECT("FebR!$A$6:$ZZ$1048576"), MATCH(X$1, FebR!$6:$6, 0), FALSE),
            0
        ) +
        IFERROR(
            VLOOKUP($A10, INDIRECT("MarR!$A$6:$ZZ$1048576"), MATCH(X$1, MarR!$6:$6, 0), FALSE),
            0
        ) +
        IFERROR(
            VLOOKUP($A10, INDIRECT("AbrR!$A$6:$ZZ$1048576"), MATCH(X$1, AbrR!$6:$6, 0), FALSE),
            0
        ) +
        IFERROR(
            VLOOKUP($A10, INDIRECT("MayR!$A$6:$ZZ$1048576"), MATCH(X$1, MayR!$6:$6, 0), FALSE),
            0
        ) +
        IFERROR(
            VLOOKUP($A10, INDIRECT("JunR!$A$6:$ZZ$1048576"), MATCH(X$1, JunR!$6:$6, 0), FALSE),
            0
        ) +
        IFERROR(
            VLOOKUP($A10, INDIRECT("JulR!$A$6:$ZZ$1048576"), MATCH(X$1, JulR!$6:$6, 0), FALSE),
            0
        ) +
        IFERROR(
            VLOOKUP($A10, INDIRECT("AgoR!$A$6:$ZZ$1048576"), MATCH(X$1, AgoR!$6:$6, 0), FALSE),
            0
        ) +
        IFERROR(
            VLOOKUP($A10, INDIRECT("SepR!$A$6:$ZZ$1048576"), MATCH(X$1, SepR!$6:$6, 0), FALSE),
            0
        ) +
        IFERROR(
            VLOOKUP($A10, INDIRECT("OctR!$A$6:$ZZ$1048576"), MATCH(X$1, OctR!$6:$6, 0), FALSE),
            0
        ) +
        IFERROR(
            VLOOKUP($A10, INDIRECT("NovR!$A$6:$ZZ$1048576"), MATCH(X$1, NovR!$6:$6, 0), FALSE),
            0
        ) +
        IFERROR(
            VLOOKUP($A10, INDIRECT("DicR!$A$6:$ZZ$1048576"), MATCH(X$1, DicR!$6:$6, 0), FALSE),
            0
        )
)</f>
        <v>0</v>
      </c>
      <c r="Y10" s="37">
        <f t="array" ref="Y10">SUM(
    IFERROR(
            VLOOKUP($A10, INDIRECT("EneR!$A$6:$ZZ$1048576"), MATCH(Y$1, EneR!$6:$6, 0), FALSE),
            0
        ) +
        IFERROR(
            VLOOKUP($A10, INDIRECT("FebR!$A$6:$ZZ$1048576"), MATCH(Y$1, FebR!$6:$6, 0), FALSE),
            0
        ) +
        IFERROR(
            VLOOKUP($A10, INDIRECT("MarR!$A$6:$ZZ$1048576"), MATCH(Y$1, MarR!$6:$6, 0), FALSE),
            0
        ) +
        IFERROR(
            VLOOKUP($A10, INDIRECT("AbrR!$A$6:$ZZ$1048576"), MATCH(Y$1, AbrR!$6:$6, 0), FALSE),
            0
        ) +
        IFERROR(
            VLOOKUP($A10, INDIRECT("MayR!$A$6:$ZZ$1048576"), MATCH(Y$1, MayR!$6:$6, 0), FALSE),
            0
        ) +
        IFERROR(
            VLOOKUP($A10, INDIRECT("JunR!$A$6:$ZZ$1048576"), MATCH(Y$1, JunR!$6:$6, 0), FALSE),
            0
        ) +
        IFERROR(
            VLOOKUP($A10, INDIRECT("JulR!$A$6:$ZZ$1048576"), MATCH(Y$1, JulR!$6:$6, 0), FALSE),
            0
        ) +
        IFERROR(
            VLOOKUP($A10, INDIRECT("AgoR!$A$6:$ZZ$1048576"), MATCH(Y$1, AgoR!$6:$6, 0), FALSE),
            0
        ) +
        IFERROR(
            VLOOKUP($A10, INDIRECT("SepR!$A$6:$ZZ$1048576"), MATCH(Y$1, SepR!$6:$6, 0), FALSE),
            0
        ) +
        IFERROR(
            VLOOKUP($A10, INDIRECT("OctR!$A$6:$ZZ$1048576"), MATCH(Y$1, OctR!$6:$6, 0), FALSE),
            0
        ) +
        IFERROR(
            VLOOKUP($A10, INDIRECT("NovR!$A$6:$ZZ$1048576"), MATCH(Y$1, NovR!$6:$6, 0), FALSE),
            0
        ) +
        IFERROR(
            VLOOKUP($A10, INDIRECT("DicR!$A$6:$ZZ$1048576"), MATCH(Y$1, DicR!$6:$6, 0), FALSE),
            0
        )
)</f>
        <v>0</v>
      </c>
      <c r="Z10" s="36">
        <f t="array" ref="Z10">SUM(
    IFERROR(
            VLOOKUP($A10, INDIRECT("EneR!$A$6:$ZZ$1048576"), MATCH(Z$1, EneR!$6:$6, 0), FALSE),
            0
        ) +
        IFERROR(
            VLOOKUP($A10, INDIRECT("FebR!$A$6:$ZZ$1048576"), MATCH(Z$1, FebR!$6:$6, 0), FALSE),
            0
        ) +
        IFERROR(
            VLOOKUP($A10, INDIRECT("MarR!$A$6:$ZZ$1048576"), MATCH(Z$1, MarR!$6:$6, 0), FALSE),
            0
        ) +
        IFERROR(
            VLOOKUP($A10, INDIRECT("AbrR!$A$6:$ZZ$1048576"), MATCH(Z$1, AbrR!$6:$6, 0), FALSE),
            0
        ) +
        IFERROR(
            VLOOKUP($A10, INDIRECT("MayR!$A$6:$ZZ$1048576"), MATCH(Z$1, MayR!$6:$6, 0), FALSE),
            0
        ) +
        IFERROR(
            VLOOKUP($A10, INDIRECT("JunR!$A$6:$ZZ$1048576"), MATCH(Z$1, JunR!$6:$6, 0), FALSE),
            0
        ) +
        IFERROR(
            VLOOKUP($A10, INDIRECT("JulR!$A$6:$ZZ$1048576"), MATCH(Z$1, JulR!$6:$6, 0), FALSE),
            0
        ) +
        IFERROR(
            VLOOKUP($A10, INDIRECT("AgoR!$A$6:$ZZ$1048576"), MATCH(Z$1, AgoR!$6:$6, 0), FALSE),
            0
        ) +
        IFERROR(
            VLOOKUP($A10, INDIRECT("SepR!$A$6:$ZZ$1048576"), MATCH(Z$1, SepR!$6:$6, 0), FALSE),
            0
        ) +
        IFERROR(
            VLOOKUP($A10, INDIRECT("OctR!$A$6:$ZZ$1048576"), MATCH(Z$1, OctR!$6:$6, 0), FALSE),
            0
        ) +
        IFERROR(
            VLOOKUP($A10, INDIRECT("NovR!$A$6:$ZZ$1048576"), MATCH(Z$1, NovR!$6:$6, 0), FALSE),
            0
        ) +
        IFERROR(
            VLOOKUP($A10, INDIRECT("DicR!$A$6:$ZZ$1048576"), MATCH(Z$1, DicR!$6:$6, 0), FALSE),
            0
        )
)</f>
        <v>0</v>
      </c>
      <c r="AA10" s="37">
        <f t="array" ref="AA10">SUM(
    IFERROR(
            VLOOKUP($A10, INDIRECT("EneR!$A$6:$ZZ$1048576"), MATCH(AA$1, EneR!$6:$6, 0), FALSE),
            0
        ) +
        IFERROR(
            VLOOKUP($A10, INDIRECT("FebR!$A$6:$ZZ$1048576"), MATCH(AA$1, FebR!$6:$6, 0), FALSE),
            0
        ) +
        IFERROR(
            VLOOKUP($A10, INDIRECT("MarR!$A$6:$ZZ$1048576"), MATCH(AA$1, MarR!$6:$6, 0), FALSE),
            0
        ) +
        IFERROR(
            VLOOKUP($A10, INDIRECT("AbrR!$A$6:$ZZ$1048576"), MATCH(AA$1, AbrR!$6:$6, 0), FALSE),
            0
        ) +
        IFERROR(
            VLOOKUP($A10, INDIRECT("MayR!$A$6:$ZZ$1048576"), MATCH(AA$1, MayR!$6:$6, 0), FALSE),
            0
        ) +
        IFERROR(
            VLOOKUP($A10, INDIRECT("JunR!$A$6:$ZZ$1048576"), MATCH(AA$1, JunR!$6:$6, 0), FALSE),
            0
        ) +
        IFERROR(
            VLOOKUP($A10, INDIRECT("JulR!$A$6:$ZZ$1048576"), MATCH(AA$1, JulR!$6:$6, 0), FALSE),
            0
        ) +
        IFERROR(
            VLOOKUP($A10, INDIRECT("AgoR!$A$6:$ZZ$1048576"), MATCH(AA$1, AgoR!$6:$6, 0), FALSE),
            0
        ) +
        IFERROR(
            VLOOKUP($A10, INDIRECT("SepR!$A$6:$ZZ$1048576"), MATCH(AA$1, SepR!$6:$6, 0), FALSE),
            0
        ) +
        IFERROR(
            VLOOKUP($A10, INDIRECT("OctR!$A$6:$ZZ$1048576"), MATCH(AA$1, OctR!$6:$6, 0), FALSE),
            0
        ) +
        IFERROR(
            VLOOKUP($A10, INDIRECT("NovR!$A$6:$ZZ$1048576"), MATCH(AA$1, NovR!$6:$6, 0), FALSE),
            0
        ) +
        IFERROR(
            VLOOKUP($A10, INDIRECT("DicR!$A$6:$ZZ$1048576"), MATCH(AA$1, DicR!$6:$6, 0), FALSE),
            0
        )
)</f>
        <v>0</v>
      </c>
      <c r="AB10" s="36">
        <f t="array" ref="AB10">SUM(
    IFERROR(
            VLOOKUP($A10, INDIRECT("EneR!$A$6:$ZZ$1048576"), MATCH(AB$1, EneR!$6:$6, 0), FALSE),
            0
        ) +
        IFERROR(
            VLOOKUP($A10, INDIRECT("FebR!$A$6:$ZZ$1048576"), MATCH(AB$1, FebR!$6:$6, 0), FALSE),
            0
        ) +
        IFERROR(
            VLOOKUP($A10, INDIRECT("MarR!$A$6:$ZZ$1048576"), MATCH(AB$1, MarR!$6:$6, 0), FALSE),
            0
        ) +
        IFERROR(
            VLOOKUP($A10, INDIRECT("AbrR!$A$6:$ZZ$1048576"), MATCH(AB$1, AbrR!$6:$6, 0), FALSE),
            0
        ) +
        IFERROR(
            VLOOKUP($A10, INDIRECT("MayR!$A$6:$ZZ$1048576"), MATCH(AB$1, MayR!$6:$6, 0), FALSE),
            0
        ) +
        IFERROR(
            VLOOKUP($A10, INDIRECT("JunR!$A$6:$ZZ$1048576"), MATCH(AB$1, JunR!$6:$6, 0), FALSE),
            0
        ) +
        IFERROR(
            VLOOKUP($A10, INDIRECT("JulR!$A$6:$ZZ$1048576"), MATCH(AB$1, JulR!$6:$6, 0), FALSE),
            0
        ) +
        IFERROR(
            VLOOKUP($A10, INDIRECT("AgoR!$A$6:$ZZ$1048576"), MATCH(AB$1, AgoR!$6:$6, 0), FALSE),
            0
        ) +
        IFERROR(
            VLOOKUP($A10, INDIRECT("SepR!$A$6:$ZZ$1048576"), MATCH(AB$1, SepR!$6:$6, 0), FALSE),
            0
        ) +
        IFERROR(
            VLOOKUP($A10, INDIRECT("OctR!$A$6:$ZZ$1048576"), MATCH(AB$1, OctR!$6:$6, 0), FALSE),
            0
        ) +
        IFERROR(
            VLOOKUP($A10, INDIRECT("NovR!$A$6:$ZZ$1048576"), MATCH(AB$1, NovR!$6:$6, 0), FALSE),
            0
        ) +
        IFERROR(
            VLOOKUP($A10, INDIRECT("DicR!$A$6:$ZZ$1048576"), MATCH(AB$1, DicR!$6:$6, 0), FALSE),
            0
        )
)</f>
        <v>0</v>
      </c>
      <c r="AC10" s="37">
        <f t="array" ref="AC10">SUM(
    IFERROR(
            VLOOKUP($A10, INDIRECT("EneR!$A$6:$ZZ$1048576"), MATCH(AC$1, EneR!$6:$6, 0), FALSE),
            0
        ) +
        IFERROR(
            VLOOKUP($A10, INDIRECT("FebR!$A$6:$ZZ$1048576"), MATCH(AC$1, FebR!$6:$6, 0), FALSE),
            0
        ) +
        IFERROR(
            VLOOKUP($A10, INDIRECT("MarR!$A$6:$ZZ$1048576"), MATCH(AC$1, MarR!$6:$6, 0), FALSE),
            0
        ) +
        IFERROR(
            VLOOKUP($A10, INDIRECT("AbrR!$A$6:$ZZ$1048576"), MATCH(AC$1, AbrR!$6:$6, 0), FALSE),
            0
        ) +
        IFERROR(
            VLOOKUP($A10, INDIRECT("MayR!$A$6:$ZZ$1048576"), MATCH(AC$1, MayR!$6:$6, 0), FALSE),
            0
        ) +
        IFERROR(
            VLOOKUP($A10, INDIRECT("JunR!$A$6:$ZZ$1048576"), MATCH(AC$1, JunR!$6:$6, 0), FALSE),
            0
        ) +
        IFERROR(
            VLOOKUP($A10, INDIRECT("JulR!$A$6:$ZZ$1048576"), MATCH(AC$1, JulR!$6:$6, 0), FALSE),
            0
        ) +
        IFERROR(
            VLOOKUP($A10, INDIRECT("AgoR!$A$6:$ZZ$1048576"), MATCH(AC$1, AgoR!$6:$6, 0), FALSE),
            0
        ) +
        IFERROR(
            VLOOKUP($A10, INDIRECT("SepR!$A$6:$ZZ$1048576"), MATCH(AC$1, SepR!$6:$6, 0), FALSE),
            0
        ) +
        IFERROR(
            VLOOKUP($A10, INDIRECT("OctR!$A$6:$ZZ$1048576"), MATCH(AC$1, OctR!$6:$6, 0), FALSE),
            0
        ) +
        IFERROR(
            VLOOKUP($A10, INDIRECT("NovR!$A$6:$ZZ$1048576"), MATCH(AC$1, NovR!$6:$6, 0), FALSE),
            0
        ) +
        IFERROR(
            VLOOKUP($A10, INDIRECT("DicR!$A$6:$ZZ$1048576"), MATCH(AC$1, DicR!$6:$6, 0), FALSE),
            0
        )
)</f>
        <v>0</v>
      </c>
      <c r="AD10" s="36">
        <f t="array" ref="AD10">SUM(
    IFERROR(
            VLOOKUP($A10, INDIRECT("EneR!$A$6:$ZZ$1048576"), MATCH(AD$1, EneR!$6:$6, 0), FALSE),
            0
        ) +
        IFERROR(
            VLOOKUP($A10, INDIRECT("FebR!$A$6:$ZZ$1048576"), MATCH(AD$1, FebR!$6:$6, 0), FALSE),
            0
        ) +
        IFERROR(
            VLOOKUP($A10, INDIRECT("MarR!$A$6:$ZZ$1048576"), MATCH(AD$1, MarR!$6:$6, 0), FALSE),
            0
        ) +
        IFERROR(
            VLOOKUP($A10, INDIRECT("AbrR!$A$6:$ZZ$1048576"), MATCH(AD$1, AbrR!$6:$6, 0), FALSE),
            0
        ) +
        IFERROR(
            VLOOKUP($A10, INDIRECT("MayR!$A$6:$ZZ$1048576"), MATCH(AD$1, MayR!$6:$6, 0), FALSE),
            0
        ) +
        IFERROR(
            VLOOKUP($A10, INDIRECT("JunR!$A$6:$ZZ$1048576"), MATCH(AD$1, JunR!$6:$6, 0), FALSE),
            0
        ) +
        IFERROR(
            VLOOKUP($A10, INDIRECT("JulR!$A$6:$ZZ$1048576"), MATCH(AD$1, JulR!$6:$6, 0), FALSE),
            0
        ) +
        IFERROR(
            VLOOKUP($A10, INDIRECT("AgoR!$A$6:$ZZ$1048576"), MATCH(AD$1, AgoR!$6:$6, 0), FALSE),
            0
        ) +
        IFERROR(
            VLOOKUP($A10, INDIRECT("SepR!$A$6:$ZZ$1048576"), MATCH(AD$1, SepR!$6:$6, 0), FALSE),
            0
        ) +
        IFERROR(
            VLOOKUP($A10, INDIRECT("OctR!$A$6:$ZZ$1048576"), MATCH(AD$1, OctR!$6:$6, 0), FALSE),
            0
        ) +
        IFERROR(
            VLOOKUP($A10, INDIRECT("NovR!$A$6:$ZZ$1048576"), MATCH(AD$1, NovR!$6:$6, 0), FALSE),
            0
        ) +
        IFERROR(
            VLOOKUP($A10, INDIRECT("DicR!$A$6:$ZZ$1048576"), MATCH(AD$1, DicR!$6:$6, 0), FALSE),
            0
        )
)</f>
        <v>0</v>
      </c>
      <c r="AE10" s="37">
        <f t="array" ref="AE10">SUM(
    IFERROR(
            VLOOKUP($A10, INDIRECT("EneR!$A$6:$ZZ$1048576"), MATCH(AE$1, EneR!$6:$6, 0), FALSE),
            0
        ) +
        IFERROR(
            VLOOKUP($A10, INDIRECT("FebR!$A$6:$ZZ$1048576"), MATCH(AE$1, FebR!$6:$6, 0), FALSE),
            0
        ) +
        IFERROR(
            VLOOKUP($A10, INDIRECT("MarR!$A$6:$ZZ$1048576"), MATCH(AE$1, MarR!$6:$6, 0), FALSE),
            0
        ) +
        IFERROR(
            VLOOKUP($A10, INDIRECT("AbrR!$A$6:$ZZ$1048576"), MATCH(AE$1, AbrR!$6:$6, 0), FALSE),
            0
        ) +
        IFERROR(
            VLOOKUP($A10, INDIRECT("MayR!$A$6:$ZZ$1048576"), MATCH(AE$1, MayR!$6:$6, 0), FALSE),
            0
        ) +
        IFERROR(
            VLOOKUP($A10, INDIRECT("JunR!$A$6:$ZZ$1048576"), MATCH(AE$1, JunR!$6:$6, 0), FALSE),
            0
        ) +
        IFERROR(
            VLOOKUP($A10, INDIRECT("JulR!$A$6:$ZZ$1048576"), MATCH(AE$1, JulR!$6:$6, 0), FALSE),
            0
        ) +
        IFERROR(
            VLOOKUP($A10, INDIRECT("AgoR!$A$6:$ZZ$1048576"), MATCH(AE$1, AgoR!$6:$6, 0), FALSE),
            0
        ) +
        IFERROR(
            VLOOKUP($A10, INDIRECT("SepR!$A$6:$ZZ$1048576"), MATCH(AE$1, SepR!$6:$6, 0), FALSE),
            0
        ) +
        IFERROR(
            VLOOKUP($A10, INDIRECT("OctR!$A$6:$ZZ$1048576"), MATCH(AE$1, OctR!$6:$6, 0), FALSE),
            0
        ) +
        IFERROR(
            VLOOKUP($A10, INDIRECT("NovR!$A$6:$ZZ$1048576"), MATCH(AE$1, NovR!$6:$6, 0), FALSE),
            0
        ) +
        IFERROR(
            VLOOKUP($A10, INDIRECT("DicR!$A$6:$ZZ$1048576"), MATCH(AE$1, DicR!$6:$6, 0), FALSE),
            0
        )
)</f>
        <v>0</v>
      </c>
      <c r="AF10" s="36">
        <f t="array" ref="AF10">SUM(
    IFERROR(
            VLOOKUP($A10, INDIRECT("EneR!$A$6:$ZZ$1048576"), MATCH(AF$1, EneR!$6:$6, 0), FALSE),
            0
        ) +
        IFERROR(
            VLOOKUP($A10, INDIRECT("FebR!$A$6:$ZZ$1048576"), MATCH(AF$1, FebR!$6:$6, 0), FALSE),
            0
        ) +
        IFERROR(
            VLOOKUP($A10, INDIRECT("MarR!$A$6:$ZZ$1048576"), MATCH(AF$1, MarR!$6:$6, 0), FALSE),
            0
        ) +
        IFERROR(
            VLOOKUP($A10, INDIRECT("AbrR!$A$6:$ZZ$1048576"), MATCH(AF$1, AbrR!$6:$6, 0), FALSE),
            0
        ) +
        IFERROR(
            VLOOKUP($A10, INDIRECT("MayR!$A$6:$ZZ$1048576"), MATCH(AF$1, MayR!$6:$6, 0), FALSE),
            0
        ) +
        IFERROR(
            VLOOKUP($A10, INDIRECT("JunR!$A$6:$ZZ$1048576"), MATCH(AF$1, JunR!$6:$6, 0), FALSE),
            0
        ) +
        IFERROR(
            VLOOKUP($A10, INDIRECT("JulR!$A$6:$ZZ$1048576"), MATCH(AF$1, JulR!$6:$6, 0), FALSE),
            0
        ) +
        IFERROR(
            VLOOKUP($A10, INDIRECT("AgoR!$A$6:$ZZ$1048576"), MATCH(AF$1, AgoR!$6:$6, 0), FALSE),
            0
        ) +
        IFERROR(
            VLOOKUP($A10, INDIRECT("SepR!$A$6:$ZZ$1048576"), MATCH(AF$1, SepR!$6:$6, 0), FALSE),
            0
        ) +
        IFERROR(
            VLOOKUP($A10, INDIRECT("OctR!$A$6:$ZZ$1048576"), MATCH(AF$1, OctR!$6:$6, 0), FALSE),
            0
        ) +
        IFERROR(
            VLOOKUP($A10, INDIRECT("NovR!$A$6:$ZZ$1048576"), MATCH(AF$1, NovR!$6:$6, 0), FALSE),
            0
        ) +
        IFERROR(
            VLOOKUP($A10, INDIRECT("DicR!$A$6:$ZZ$1048576"), MATCH(AF$1, DicR!$6:$6, 0), FALSE),
            0
        )
)</f>
        <v>0</v>
      </c>
      <c r="AG10" s="37">
        <f t="array" ref="AG10">SUM(
    IFERROR(
            VLOOKUP($A10, INDIRECT("EneR!$A$6:$ZZ$1048576"), MATCH(AG$1, EneR!$6:$6, 0), FALSE),
            0
        ) +
        IFERROR(
            VLOOKUP($A10, INDIRECT("FebR!$A$6:$ZZ$1048576"), MATCH(AG$1, FebR!$6:$6, 0), FALSE),
            0
        ) +
        IFERROR(
            VLOOKUP($A10, INDIRECT("MarR!$A$6:$ZZ$1048576"), MATCH(AG$1, MarR!$6:$6, 0), FALSE),
            0
        ) +
        IFERROR(
            VLOOKUP($A10, INDIRECT("AbrR!$A$6:$ZZ$1048576"), MATCH(AG$1, AbrR!$6:$6, 0), FALSE),
            0
        ) +
        IFERROR(
            VLOOKUP($A10, INDIRECT("MayR!$A$6:$ZZ$1048576"), MATCH(AG$1, MayR!$6:$6, 0), FALSE),
            0
        ) +
        IFERROR(
            VLOOKUP($A10, INDIRECT("JunR!$A$6:$ZZ$1048576"), MATCH(AG$1, JunR!$6:$6, 0), FALSE),
            0
        ) +
        IFERROR(
            VLOOKUP($A10, INDIRECT("JulR!$A$6:$ZZ$1048576"), MATCH(AG$1, JulR!$6:$6, 0), FALSE),
            0
        ) +
        IFERROR(
            VLOOKUP($A10, INDIRECT("AgoR!$A$6:$ZZ$1048576"), MATCH(AG$1, AgoR!$6:$6, 0), FALSE),
            0
        ) +
        IFERROR(
            VLOOKUP($A10, INDIRECT("SepR!$A$6:$ZZ$1048576"), MATCH(AG$1, SepR!$6:$6, 0), FALSE),
            0
        ) +
        IFERROR(
            VLOOKUP($A10, INDIRECT("OctR!$A$6:$ZZ$1048576"), MATCH(AG$1, OctR!$6:$6, 0), FALSE),
            0
        ) +
        IFERROR(
            VLOOKUP($A10, INDIRECT("NovR!$A$6:$ZZ$1048576"), MATCH(AG$1, NovR!$6:$6, 0), FALSE),
            0
        ) +
        IFERROR(
            VLOOKUP($A10, INDIRECT("DicR!$A$6:$ZZ$1048576"), MATCH(AG$1, DicR!$6:$6, 0), FALSE),
            0
        )
)</f>
        <v>0</v>
      </c>
      <c r="AH10" s="36">
        <f t="array" ref="AH10">SUM(
    IFERROR(
            VLOOKUP($A10, INDIRECT("EneR!$A$6:$ZZ$1048576"), MATCH(AH$1, EneR!$6:$6, 0), FALSE),
            0
        ) +
        IFERROR(
            VLOOKUP($A10, INDIRECT("FebR!$A$6:$ZZ$1048576"), MATCH(AH$1, FebR!$6:$6, 0), FALSE),
            0
        ) +
        IFERROR(
            VLOOKUP($A10, INDIRECT("MarR!$A$6:$ZZ$1048576"), MATCH(AH$1, MarR!$6:$6, 0), FALSE),
            0
        ) +
        IFERROR(
            VLOOKUP($A10, INDIRECT("AbrR!$A$6:$ZZ$1048576"), MATCH(AH$1, AbrR!$6:$6, 0), FALSE),
            0
        ) +
        IFERROR(
            VLOOKUP($A10, INDIRECT("MayR!$A$6:$ZZ$1048576"), MATCH(AH$1, MayR!$6:$6, 0), FALSE),
            0
        ) +
        IFERROR(
            VLOOKUP($A10, INDIRECT("JunR!$A$6:$ZZ$1048576"), MATCH(AH$1, JunR!$6:$6, 0), FALSE),
            0
        ) +
        IFERROR(
            VLOOKUP($A10, INDIRECT("JulR!$A$6:$ZZ$1048576"), MATCH(AH$1, JulR!$6:$6, 0), FALSE),
            0
        ) +
        IFERROR(
            VLOOKUP($A10, INDIRECT("AgoR!$A$6:$ZZ$1048576"), MATCH(AH$1, AgoR!$6:$6, 0), FALSE),
            0
        ) +
        IFERROR(
            VLOOKUP($A10, INDIRECT("SepR!$A$6:$ZZ$1048576"), MATCH(AH$1, SepR!$6:$6, 0), FALSE),
            0
        ) +
        IFERROR(
            VLOOKUP($A10, INDIRECT("OctR!$A$6:$ZZ$1048576"), MATCH(AH$1, OctR!$6:$6, 0), FALSE),
            0
        ) +
        IFERROR(
            VLOOKUP($A10, INDIRECT("NovR!$A$6:$ZZ$1048576"), MATCH(AH$1, NovR!$6:$6, 0), FALSE),
            0
        ) +
        IFERROR(
            VLOOKUP($A10, INDIRECT("DicR!$A$6:$ZZ$1048576"), MATCH(AH$1, DicR!$6:$6, 0), FALSE),
            0
        )
)</f>
        <v>0</v>
      </c>
      <c r="AI10" s="37">
        <f t="array" ref="AI10">SUM(
    IFERROR(
            VLOOKUP($A10, INDIRECT("EneR!$A$6:$ZZ$1048576"), MATCH(AI$1, EneR!$6:$6, 0), FALSE),
            0
        ) +
        IFERROR(
            VLOOKUP($A10, INDIRECT("FebR!$A$6:$ZZ$1048576"), MATCH(AI$1, FebR!$6:$6, 0), FALSE),
            0
        ) +
        IFERROR(
            VLOOKUP($A10, INDIRECT("MarR!$A$6:$ZZ$1048576"), MATCH(AI$1, MarR!$6:$6, 0), FALSE),
            0
        ) +
        IFERROR(
            VLOOKUP($A10, INDIRECT("AbrR!$A$6:$ZZ$1048576"), MATCH(AI$1, AbrR!$6:$6, 0), FALSE),
            0
        ) +
        IFERROR(
            VLOOKUP($A10, INDIRECT("MayR!$A$6:$ZZ$1048576"), MATCH(AI$1, MayR!$6:$6, 0), FALSE),
            0
        ) +
        IFERROR(
            VLOOKUP($A10, INDIRECT("JunR!$A$6:$ZZ$1048576"), MATCH(AI$1, JunR!$6:$6, 0), FALSE),
            0
        ) +
        IFERROR(
            VLOOKUP($A10, INDIRECT("JulR!$A$6:$ZZ$1048576"), MATCH(AI$1, JulR!$6:$6, 0), FALSE),
            0
        ) +
        IFERROR(
            VLOOKUP($A10, INDIRECT("AgoR!$A$6:$ZZ$1048576"), MATCH(AI$1, AgoR!$6:$6, 0), FALSE),
            0
        ) +
        IFERROR(
            VLOOKUP($A10, INDIRECT("SepR!$A$6:$ZZ$1048576"), MATCH(AI$1, SepR!$6:$6, 0), FALSE),
            0
        ) +
        IFERROR(
            VLOOKUP($A10, INDIRECT("OctR!$A$6:$ZZ$1048576"), MATCH(AI$1, OctR!$6:$6, 0), FALSE),
            0
        ) +
        IFERROR(
            VLOOKUP($A10, INDIRECT("NovR!$A$6:$ZZ$1048576"), MATCH(AI$1, NovR!$6:$6, 0), FALSE),
            0
        ) +
        IFERROR(
            VLOOKUP($A10, INDIRECT("DicR!$A$6:$ZZ$1048576"), MATCH(AI$1, DicR!$6:$6, 0), FALSE),
            0
        )
)</f>
        <v>0</v>
      </c>
      <c r="AJ10" s="36">
        <f t="array" ref="AJ10">SUM(
    IFERROR(
            VLOOKUP($A10, INDIRECT("EneR!$A$6:$ZZ$1048576"), MATCH(AJ$1, EneR!$6:$6, 0), FALSE),
            0
        ) +
        IFERROR(
            VLOOKUP($A10, INDIRECT("FebR!$A$6:$ZZ$1048576"), MATCH(AJ$1, FebR!$6:$6, 0), FALSE),
            0
        ) +
        IFERROR(
            VLOOKUP($A10, INDIRECT("MarR!$A$6:$ZZ$1048576"), MATCH(AJ$1, MarR!$6:$6, 0), FALSE),
            0
        ) +
        IFERROR(
            VLOOKUP($A10, INDIRECT("AbrR!$A$6:$ZZ$1048576"), MATCH(AJ$1, AbrR!$6:$6, 0), FALSE),
            0
        ) +
        IFERROR(
            VLOOKUP($A10, INDIRECT("MayR!$A$6:$ZZ$1048576"), MATCH(AJ$1, MayR!$6:$6, 0), FALSE),
            0
        ) +
        IFERROR(
            VLOOKUP($A10, INDIRECT("JunR!$A$6:$ZZ$1048576"), MATCH(AJ$1, JunR!$6:$6, 0), FALSE),
            0
        ) +
        IFERROR(
            VLOOKUP($A10, INDIRECT("JulR!$A$6:$ZZ$1048576"), MATCH(AJ$1, JulR!$6:$6, 0), FALSE),
            0
        ) +
        IFERROR(
            VLOOKUP($A10, INDIRECT("AgoR!$A$6:$ZZ$1048576"), MATCH(AJ$1, AgoR!$6:$6, 0), FALSE),
            0
        ) +
        IFERROR(
            VLOOKUP($A10, INDIRECT("SepR!$A$6:$ZZ$1048576"), MATCH(AJ$1, SepR!$6:$6, 0), FALSE),
            0
        ) +
        IFERROR(
            VLOOKUP($A10, INDIRECT("OctR!$A$6:$ZZ$1048576"), MATCH(AJ$1, OctR!$6:$6, 0), FALSE),
            0
        ) +
        IFERROR(
            VLOOKUP($A10, INDIRECT("NovR!$A$6:$ZZ$1048576"), MATCH(AJ$1, NovR!$6:$6, 0), FALSE),
            0
        ) +
        IFERROR(
            VLOOKUP($A10, INDIRECT("DicR!$A$6:$ZZ$1048576"), MATCH(AJ$1, DicR!$6:$6, 0), FALSE),
            0
        )
)</f>
        <v>0</v>
      </c>
      <c r="AK10" s="37">
        <f t="array" ref="AK10">SUM(
    IFERROR(
            VLOOKUP($A10, INDIRECT("EneR!$A$6:$ZZ$1048576"), MATCH(AK$1, EneR!$6:$6, 0), FALSE),
            0
        ) +
        IFERROR(
            VLOOKUP($A10, INDIRECT("FebR!$A$6:$ZZ$1048576"), MATCH(AK$1, FebR!$6:$6, 0), FALSE),
            0
        ) +
        IFERROR(
            VLOOKUP($A10, INDIRECT("MarR!$A$6:$ZZ$1048576"), MATCH(AK$1, MarR!$6:$6, 0), FALSE),
            0
        ) +
        IFERROR(
            VLOOKUP($A10, INDIRECT("AbrR!$A$6:$ZZ$1048576"), MATCH(AK$1, AbrR!$6:$6, 0), FALSE),
            0
        ) +
        IFERROR(
            VLOOKUP($A10, INDIRECT("MayR!$A$6:$ZZ$1048576"), MATCH(AK$1, MayR!$6:$6, 0), FALSE),
            0
        ) +
        IFERROR(
            VLOOKUP($A10, INDIRECT("JunR!$A$6:$ZZ$1048576"), MATCH(AK$1, JunR!$6:$6, 0), FALSE),
            0
        ) +
        IFERROR(
            VLOOKUP($A10, INDIRECT("JulR!$A$6:$ZZ$1048576"), MATCH(AK$1, JulR!$6:$6, 0), FALSE),
            0
        ) +
        IFERROR(
            VLOOKUP($A10, INDIRECT("AgoR!$A$6:$ZZ$1048576"), MATCH(AK$1, AgoR!$6:$6, 0), FALSE),
            0
        ) +
        IFERROR(
            VLOOKUP($A10, INDIRECT("SepR!$A$6:$ZZ$1048576"), MATCH(AK$1, SepR!$6:$6, 0), FALSE),
            0
        ) +
        IFERROR(
            VLOOKUP($A10, INDIRECT("OctR!$A$6:$ZZ$1048576"), MATCH(AK$1, OctR!$6:$6, 0), FALSE),
            0
        ) +
        IFERROR(
            VLOOKUP($A10, INDIRECT("NovR!$A$6:$ZZ$1048576"), MATCH(AK$1, NovR!$6:$6, 0), FALSE),
            0
        ) +
        IFERROR(
            VLOOKUP($A10, INDIRECT("DicR!$A$6:$ZZ$1048576"), MATCH(AK$1, DicR!$6:$6, 0), FALSE),
            0
        )
)</f>
        <v>0</v>
      </c>
      <c r="AL10" s="36">
        <f t="array" ref="AL10">SUM(
    IFERROR(
            VLOOKUP($A10, INDIRECT("EneR!$A$6:$ZZ$1048576"), MATCH(AL$1, EneR!$6:$6, 0), FALSE),
            0
        ) +
        IFERROR(
            VLOOKUP($A10, INDIRECT("FebR!$A$6:$ZZ$1048576"), MATCH(AL$1, FebR!$6:$6, 0), FALSE),
            0
        ) +
        IFERROR(
            VLOOKUP($A10, INDIRECT("MarR!$A$6:$ZZ$1048576"), MATCH(AL$1, MarR!$6:$6, 0), FALSE),
            0
        ) +
        IFERROR(
            VLOOKUP($A10, INDIRECT("AbrR!$A$6:$ZZ$1048576"), MATCH(AL$1, AbrR!$6:$6, 0), FALSE),
            0
        ) +
        IFERROR(
            VLOOKUP($A10, INDIRECT("MayR!$A$6:$ZZ$1048576"), MATCH(AL$1, MayR!$6:$6, 0), FALSE),
            0
        ) +
        IFERROR(
            VLOOKUP($A10, INDIRECT("JunR!$A$6:$ZZ$1048576"), MATCH(AL$1, JunR!$6:$6, 0), FALSE),
            0
        ) +
        IFERROR(
            VLOOKUP($A10, INDIRECT("JulR!$A$6:$ZZ$1048576"), MATCH(AL$1, JulR!$6:$6, 0), FALSE),
            0
        ) +
        IFERROR(
            VLOOKUP($A10, INDIRECT("AgoR!$A$6:$ZZ$1048576"), MATCH(AL$1, AgoR!$6:$6, 0), FALSE),
            0
        ) +
        IFERROR(
            VLOOKUP($A10, INDIRECT("SepR!$A$6:$ZZ$1048576"), MATCH(AL$1, SepR!$6:$6, 0), FALSE),
            0
        ) +
        IFERROR(
            VLOOKUP($A10, INDIRECT("OctR!$A$6:$ZZ$1048576"), MATCH(AL$1, OctR!$6:$6, 0), FALSE),
            0
        ) +
        IFERROR(
            VLOOKUP($A10, INDIRECT("NovR!$A$6:$ZZ$1048576"), MATCH(AL$1, NovR!$6:$6, 0), FALSE),
            0
        ) +
        IFERROR(
            VLOOKUP($A10, INDIRECT("DicR!$A$6:$ZZ$1048576"), MATCH(AL$1, DicR!$6:$6, 0), FALSE),
            0
        )
)</f>
        <v>0</v>
      </c>
      <c r="AM10" s="37">
        <f t="array" ref="AM10">SUM(
    IFERROR(
            VLOOKUP($A10, INDIRECT("EneR!$A$6:$ZZ$1048576"), MATCH(AM$1, EneR!$6:$6, 0), FALSE),
            0
        ) +
        IFERROR(
            VLOOKUP($A10, INDIRECT("FebR!$A$6:$ZZ$1048576"), MATCH(AM$1, FebR!$6:$6, 0), FALSE),
            0
        ) +
        IFERROR(
            VLOOKUP($A10, INDIRECT("MarR!$A$6:$ZZ$1048576"), MATCH(AM$1, MarR!$6:$6, 0), FALSE),
            0
        ) +
        IFERROR(
            VLOOKUP($A10, INDIRECT("AbrR!$A$6:$ZZ$1048576"), MATCH(AM$1, AbrR!$6:$6, 0), FALSE),
            0
        ) +
        IFERROR(
            VLOOKUP($A10, INDIRECT("MayR!$A$6:$ZZ$1048576"), MATCH(AM$1, MayR!$6:$6, 0), FALSE),
            0
        ) +
        IFERROR(
            VLOOKUP($A10, INDIRECT("JunR!$A$6:$ZZ$1048576"), MATCH(AM$1, JunR!$6:$6, 0), FALSE),
            0
        ) +
        IFERROR(
            VLOOKUP($A10, INDIRECT("JulR!$A$6:$ZZ$1048576"), MATCH(AM$1, JulR!$6:$6, 0), FALSE),
            0
        ) +
        IFERROR(
            VLOOKUP($A10, INDIRECT("AgoR!$A$6:$ZZ$1048576"), MATCH(AM$1, AgoR!$6:$6, 0), FALSE),
            0
        ) +
        IFERROR(
            VLOOKUP($A10, INDIRECT("SepR!$A$6:$ZZ$1048576"), MATCH(AM$1, SepR!$6:$6, 0), FALSE),
            0
        ) +
        IFERROR(
            VLOOKUP($A10, INDIRECT("OctR!$A$6:$ZZ$1048576"), MATCH(AM$1, OctR!$6:$6, 0), FALSE),
            0
        ) +
        IFERROR(
            VLOOKUP($A10, INDIRECT("NovR!$A$6:$ZZ$1048576"), MATCH(AM$1, NovR!$6:$6, 0), FALSE),
            0
        ) +
        IFERROR(
            VLOOKUP($A10, INDIRECT("DicR!$A$6:$ZZ$1048576"), MATCH(AM$1, DicR!$6:$6, 0), FALSE),
            0
        )
)</f>
        <v>0</v>
      </c>
      <c r="AN10" s="36">
        <f t="array" ref="AN10">SUM(
    IFERROR(
            VLOOKUP($A10, INDIRECT("EneR!$A$6:$ZZ$1048576"), MATCH(AN$1, EneR!$6:$6, 0), FALSE),
            0
        ) +
        IFERROR(
            VLOOKUP($A10, INDIRECT("FebR!$A$6:$ZZ$1048576"), MATCH(AN$1, FebR!$6:$6, 0), FALSE),
            0
        ) +
        IFERROR(
            VLOOKUP($A10, INDIRECT("MarR!$A$6:$ZZ$1048576"), MATCH(AN$1, MarR!$6:$6, 0), FALSE),
            0
        ) +
        IFERROR(
            VLOOKUP($A10, INDIRECT("AbrR!$A$6:$ZZ$1048576"), MATCH(AN$1, AbrR!$6:$6, 0), FALSE),
            0
        ) +
        IFERROR(
            VLOOKUP($A10, INDIRECT("MayR!$A$6:$ZZ$1048576"), MATCH(AN$1, MayR!$6:$6, 0), FALSE),
            0
        ) +
        IFERROR(
            VLOOKUP($A10, INDIRECT("JunR!$A$6:$ZZ$1048576"), MATCH(AN$1, JunR!$6:$6, 0), FALSE),
            0
        ) +
        IFERROR(
            VLOOKUP($A10, INDIRECT("JulR!$A$6:$ZZ$1048576"), MATCH(AN$1, JulR!$6:$6, 0), FALSE),
            0
        ) +
        IFERROR(
            VLOOKUP($A10, INDIRECT("AgoR!$A$6:$ZZ$1048576"), MATCH(AN$1, AgoR!$6:$6, 0), FALSE),
            0
        ) +
        IFERROR(
            VLOOKUP($A10, INDIRECT("SepR!$A$6:$ZZ$1048576"), MATCH(AN$1, SepR!$6:$6, 0), FALSE),
            0
        ) +
        IFERROR(
            VLOOKUP($A10, INDIRECT("OctR!$A$6:$ZZ$1048576"), MATCH(AN$1, OctR!$6:$6, 0), FALSE),
            0
        ) +
        IFERROR(
            VLOOKUP($A10, INDIRECT("NovR!$A$6:$ZZ$1048576"), MATCH(AN$1, NovR!$6:$6, 0), FALSE),
            0
        ) +
        IFERROR(
            VLOOKUP($A10, INDIRECT("DicR!$A$6:$ZZ$1048576"), MATCH(AN$1, DicR!$6:$6, 0), FALSE),
            0
        )
)</f>
        <v>0</v>
      </c>
      <c r="AO10" s="37">
        <f t="array" ref="AO10">SUM(
    IFERROR(
            VLOOKUP($A10, INDIRECT("EneR!$A$6:$ZZ$1048576"), MATCH(AO$1, EneR!$6:$6, 0), FALSE),
            0
        ) +
        IFERROR(
            VLOOKUP($A10, INDIRECT("FebR!$A$6:$ZZ$1048576"), MATCH(AO$1, FebR!$6:$6, 0), FALSE),
            0
        ) +
        IFERROR(
            VLOOKUP($A10, INDIRECT("MarR!$A$6:$ZZ$1048576"), MATCH(AO$1, MarR!$6:$6, 0), FALSE),
            0
        ) +
        IFERROR(
            VLOOKUP($A10, INDIRECT("AbrR!$A$6:$ZZ$1048576"), MATCH(AO$1, AbrR!$6:$6, 0), FALSE),
            0
        ) +
        IFERROR(
            VLOOKUP($A10, INDIRECT("MayR!$A$6:$ZZ$1048576"), MATCH(AO$1, MayR!$6:$6, 0), FALSE),
            0
        ) +
        IFERROR(
            VLOOKUP($A10, INDIRECT("JunR!$A$6:$ZZ$1048576"), MATCH(AO$1, JunR!$6:$6, 0), FALSE),
            0
        ) +
        IFERROR(
            VLOOKUP($A10, INDIRECT("JulR!$A$6:$ZZ$1048576"), MATCH(AO$1, JulR!$6:$6, 0), FALSE),
            0
        ) +
        IFERROR(
            VLOOKUP($A10, INDIRECT("AgoR!$A$6:$ZZ$1048576"), MATCH(AO$1, AgoR!$6:$6, 0), FALSE),
            0
        ) +
        IFERROR(
            VLOOKUP($A10, INDIRECT("SepR!$A$6:$ZZ$1048576"), MATCH(AO$1, SepR!$6:$6, 0), FALSE),
            0
        ) +
        IFERROR(
            VLOOKUP($A10, INDIRECT("OctR!$A$6:$ZZ$1048576"), MATCH(AO$1, OctR!$6:$6, 0), FALSE),
            0
        ) +
        IFERROR(
            VLOOKUP($A10, INDIRECT("NovR!$A$6:$ZZ$1048576"), MATCH(AO$1, NovR!$6:$6, 0), FALSE),
            0
        ) +
        IFERROR(
            VLOOKUP($A10, INDIRECT("DicR!$A$6:$ZZ$1048576"), MATCH(AO$1, DicR!$6:$6, 0), FALSE),
            0
        )
)</f>
        <v>0</v>
      </c>
      <c r="AP10" s="36">
        <f t="array" ref="AP10">SUM(
    IFERROR(
            VLOOKUP($A10, INDIRECT("EneR!$A$6:$ZZ$1048576"), MATCH(AP$1, EneR!$6:$6, 0), FALSE),
            0
        ) +
        IFERROR(
            VLOOKUP($A10, INDIRECT("FebR!$A$6:$ZZ$1048576"), MATCH(AP$1, FebR!$6:$6, 0), FALSE),
            0
        ) +
        IFERROR(
            VLOOKUP($A10, INDIRECT("MarR!$A$6:$ZZ$1048576"), MATCH(AP$1, MarR!$6:$6, 0), FALSE),
            0
        ) +
        IFERROR(
            VLOOKUP($A10, INDIRECT("AbrR!$A$6:$ZZ$1048576"), MATCH(AP$1, AbrR!$6:$6, 0), FALSE),
            0
        ) +
        IFERROR(
            VLOOKUP($A10, INDIRECT("MayR!$A$6:$ZZ$1048576"), MATCH(AP$1, MayR!$6:$6, 0), FALSE),
            0
        ) +
        IFERROR(
            VLOOKUP($A10, INDIRECT("JunR!$A$6:$ZZ$1048576"), MATCH(AP$1, JunR!$6:$6, 0), FALSE),
            0
        ) +
        IFERROR(
            VLOOKUP($A10, INDIRECT("JulR!$A$6:$ZZ$1048576"), MATCH(AP$1, JulR!$6:$6, 0), FALSE),
            0
        ) +
        IFERROR(
            VLOOKUP($A10, INDIRECT("AgoR!$A$6:$ZZ$1048576"), MATCH(AP$1, AgoR!$6:$6, 0), FALSE),
            0
        ) +
        IFERROR(
            VLOOKUP($A10, INDIRECT("SepR!$A$6:$ZZ$1048576"), MATCH(AP$1, SepR!$6:$6, 0), FALSE),
            0
        ) +
        IFERROR(
            VLOOKUP($A10, INDIRECT("OctR!$A$6:$ZZ$1048576"), MATCH(AP$1, OctR!$6:$6, 0), FALSE),
            0
        ) +
        IFERROR(
            VLOOKUP($A10, INDIRECT("NovR!$A$6:$ZZ$1048576"), MATCH(AP$1, NovR!$6:$6, 0), FALSE),
            0
        ) +
        IFERROR(
            VLOOKUP($A10, INDIRECT("DicR!$A$6:$ZZ$1048576"), MATCH(AP$1, DicR!$6:$6, 0), FALSE),
            0
        )
)</f>
        <v>0</v>
      </c>
      <c r="AQ10" s="37">
        <f t="array" ref="AQ10">SUM(
    IFERROR(
            VLOOKUP($A10, INDIRECT("EneR!$A$6:$ZZ$1048576"), MATCH(AQ$1, EneR!$6:$6, 0), FALSE),
            0
        ) +
        IFERROR(
            VLOOKUP($A10, INDIRECT("FebR!$A$6:$ZZ$1048576"), MATCH(AQ$1, FebR!$6:$6, 0), FALSE),
            0
        ) +
        IFERROR(
            VLOOKUP($A10, INDIRECT("MarR!$A$6:$ZZ$1048576"), MATCH(AQ$1, MarR!$6:$6, 0), FALSE),
            0
        ) +
        IFERROR(
            VLOOKUP($A10, INDIRECT("AbrR!$A$6:$ZZ$1048576"), MATCH(AQ$1, AbrR!$6:$6, 0), FALSE),
            0
        ) +
        IFERROR(
            VLOOKUP($A10, INDIRECT("MayR!$A$6:$ZZ$1048576"), MATCH(AQ$1, MayR!$6:$6, 0), FALSE),
            0
        ) +
        IFERROR(
            VLOOKUP($A10, INDIRECT("JunR!$A$6:$ZZ$1048576"), MATCH(AQ$1, JunR!$6:$6, 0), FALSE),
            0
        ) +
        IFERROR(
            VLOOKUP($A10, INDIRECT("JulR!$A$6:$ZZ$1048576"), MATCH(AQ$1, JulR!$6:$6, 0), FALSE),
            0
        ) +
        IFERROR(
            VLOOKUP($A10, INDIRECT("AgoR!$A$6:$ZZ$1048576"), MATCH(AQ$1, AgoR!$6:$6, 0), FALSE),
            0
        ) +
        IFERROR(
            VLOOKUP($A10, INDIRECT("SepR!$A$6:$ZZ$1048576"), MATCH(AQ$1, SepR!$6:$6, 0), FALSE),
            0
        ) +
        IFERROR(
            VLOOKUP($A10, INDIRECT("OctR!$A$6:$ZZ$1048576"), MATCH(AQ$1, OctR!$6:$6, 0), FALSE),
            0
        ) +
        IFERROR(
            VLOOKUP($A10, INDIRECT("NovR!$A$6:$ZZ$1048576"), MATCH(AQ$1, NovR!$6:$6, 0), FALSE),
            0
        ) +
        IFERROR(
            VLOOKUP($A10, INDIRECT("DicR!$A$6:$ZZ$1048576"), MATCH(AQ$1, DicR!$6:$6, 0), FALSE),
            0
        )
)</f>
        <v>0</v>
      </c>
      <c r="AR10" s="36">
        <f t="array" ref="AR10">SUM(
    IFERROR(
            VLOOKUP($A10, INDIRECT("EneR!$A$6:$ZZ$1048576"), MATCH(AR$1, EneR!$6:$6, 0), FALSE),
            0
        ) +
        IFERROR(
            VLOOKUP($A10, INDIRECT("FebR!$A$6:$ZZ$1048576"), MATCH(AR$1, FebR!$6:$6, 0), FALSE),
            0
        ) +
        IFERROR(
            VLOOKUP($A10, INDIRECT("MarR!$A$6:$ZZ$1048576"), MATCH(AR$1, MarR!$6:$6, 0), FALSE),
            0
        ) +
        IFERROR(
            VLOOKUP($A10, INDIRECT("AbrR!$A$6:$ZZ$1048576"), MATCH(AR$1, AbrR!$6:$6, 0), FALSE),
            0
        ) +
        IFERROR(
            VLOOKUP($A10, INDIRECT("MayR!$A$6:$ZZ$1048576"), MATCH(AR$1, MayR!$6:$6, 0), FALSE),
            0
        ) +
        IFERROR(
            VLOOKUP($A10, INDIRECT("JunR!$A$6:$ZZ$1048576"), MATCH(AR$1, JunR!$6:$6, 0), FALSE),
            0
        ) +
        IFERROR(
            VLOOKUP($A10, INDIRECT("JulR!$A$6:$ZZ$1048576"), MATCH(AR$1, JulR!$6:$6, 0), FALSE),
            0
        ) +
        IFERROR(
            VLOOKUP($A10, INDIRECT("AgoR!$A$6:$ZZ$1048576"), MATCH(AR$1, AgoR!$6:$6, 0), FALSE),
            0
        ) +
        IFERROR(
            VLOOKUP($A10, INDIRECT("SepR!$A$6:$ZZ$1048576"), MATCH(AR$1, SepR!$6:$6, 0), FALSE),
            0
        ) +
        IFERROR(
            VLOOKUP($A10, INDIRECT("OctR!$A$6:$ZZ$1048576"), MATCH(AR$1, OctR!$6:$6, 0), FALSE),
            0
        ) +
        IFERROR(
            VLOOKUP($A10, INDIRECT("NovR!$A$6:$ZZ$1048576"), MATCH(AR$1, NovR!$6:$6, 0), FALSE),
            0
        ) +
        IFERROR(
            VLOOKUP($A10, INDIRECT("DicR!$A$6:$ZZ$1048576"), MATCH(AR$1, DicR!$6:$6, 0), FALSE),
            0
        )
)</f>
        <v>0</v>
      </c>
      <c r="AS10" s="37">
        <f t="array" ref="AS10">SUM(
    IFERROR(
            VLOOKUP($A10, INDIRECT("EneR!$A$6:$ZZ$1048576"), MATCH(AS$1, EneR!$6:$6, 0), FALSE),
            0
        ) +
        IFERROR(
            VLOOKUP($A10, INDIRECT("FebR!$A$6:$ZZ$1048576"), MATCH(AS$1, FebR!$6:$6, 0), FALSE),
            0
        ) +
        IFERROR(
            VLOOKUP($A10, INDIRECT("MarR!$A$6:$ZZ$1048576"), MATCH(AS$1, MarR!$6:$6, 0), FALSE),
            0
        ) +
        IFERROR(
            VLOOKUP($A10, INDIRECT("AbrR!$A$6:$ZZ$1048576"), MATCH(AS$1, AbrR!$6:$6, 0), FALSE),
            0
        ) +
        IFERROR(
            VLOOKUP($A10, INDIRECT("MayR!$A$6:$ZZ$1048576"), MATCH(AS$1, MayR!$6:$6, 0), FALSE),
            0
        ) +
        IFERROR(
            VLOOKUP($A10, INDIRECT("JunR!$A$6:$ZZ$1048576"), MATCH(AS$1, JunR!$6:$6, 0), FALSE),
            0
        ) +
        IFERROR(
            VLOOKUP($A10, INDIRECT("JulR!$A$6:$ZZ$1048576"), MATCH(AS$1, JulR!$6:$6, 0), FALSE),
            0
        ) +
        IFERROR(
            VLOOKUP($A10, INDIRECT("AgoR!$A$6:$ZZ$1048576"), MATCH(AS$1, AgoR!$6:$6, 0), FALSE),
            0
        ) +
        IFERROR(
            VLOOKUP($A10, INDIRECT("SepR!$A$6:$ZZ$1048576"), MATCH(AS$1, SepR!$6:$6, 0), FALSE),
            0
        ) +
        IFERROR(
            VLOOKUP($A10, INDIRECT("OctR!$A$6:$ZZ$1048576"), MATCH(AS$1, OctR!$6:$6, 0), FALSE),
            0
        ) +
        IFERROR(
            VLOOKUP($A10, INDIRECT("NovR!$A$6:$ZZ$1048576"), MATCH(AS$1, NovR!$6:$6, 0), FALSE),
            0
        ) +
        IFERROR(
            VLOOKUP($A10, INDIRECT("DicR!$A$6:$ZZ$1048576"), MATCH(AS$1, DicR!$6:$6, 0), FALSE),
            0
        )
)</f>
        <v>0</v>
      </c>
      <c r="AT10" s="36">
        <f t="array" ref="AT10">SUM(
    IFERROR(
            VLOOKUP($A10, INDIRECT("EneR!$A$6:$ZZ$1048576"), MATCH(AT$1, EneR!$6:$6, 0), FALSE),
            0
        ) +
        IFERROR(
            VLOOKUP($A10, INDIRECT("FebR!$A$6:$ZZ$1048576"), MATCH(AT$1, FebR!$6:$6, 0), FALSE),
            0
        ) +
        IFERROR(
            VLOOKUP($A10, INDIRECT("MarR!$A$6:$ZZ$1048576"), MATCH(AT$1, MarR!$6:$6, 0), FALSE),
            0
        ) +
        IFERROR(
            VLOOKUP($A10, INDIRECT("AbrR!$A$6:$ZZ$1048576"), MATCH(AT$1, AbrR!$6:$6, 0), FALSE),
            0
        ) +
        IFERROR(
            VLOOKUP($A10, INDIRECT("MayR!$A$6:$ZZ$1048576"), MATCH(AT$1, MayR!$6:$6, 0), FALSE),
            0
        ) +
        IFERROR(
            VLOOKUP($A10, INDIRECT("JunR!$A$6:$ZZ$1048576"), MATCH(AT$1, JunR!$6:$6, 0), FALSE),
            0
        ) +
        IFERROR(
            VLOOKUP($A10, INDIRECT("JulR!$A$6:$ZZ$1048576"), MATCH(AT$1, JulR!$6:$6, 0), FALSE),
            0
        ) +
        IFERROR(
            VLOOKUP($A10, INDIRECT("AgoR!$A$6:$ZZ$1048576"), MATCH(AT$1, AgoR!$6:$6, 0), FALSE),
            0
        ) +
        IFERROR(
            VLOOKUP($A10, INDIRECT("SepR!$A$6:$ZZ$1048576"), MATCH(AT$1, SepR!$6:$6, 0), FALSE),
            0
        ) +
        IFERROR(
            VLOOKUP($A10, INDIRECT("OctR!$A$6:$ZZ$1048576"), MATCH(AT$1, OctR!$6:$6, 0), FALSE),
            0
        ) +
        IFERROR(
            VLOOKUP($A10, INDIRECT("NovR!$A$6:$ZZ$1048576"), MATCH(AT$1, NovR!$6:$6, 0), FALSE),
            0
        ) +
        IFERROR(
            VLOOKUP($A10, INDIRECT("DicR!$A$6:$ZZ$1048576"), MATCH(AT$1, DicR!$6:$6, 0), FALSE),
            0
        )
)</f>
        <v>0</v>
      </c>
      <c r="AU10" s="37">
        <f t="array" ref="AU10">SUM(
    IFERROR(
            VLOOKUP($A10, INDIRECT("EneR!$A$6:$ZZ$1048576"), MATCH(AU$1, EneR!$6:$6, 0), FALSE),
            0
        ) +
        IFERROR(
            VLOOKUP($A10, INDIRECT("FebR!$A$6:$ZZ$1048576"), MATCH(AU$1, FebR!$6:$6, 0), FALSE),
            0
        ) +
        IFERROR(
            VLOOKUP($A10, INDIRECT("MarR!$A$6:$ZZ$1048576"), MATCH(AU$1, MarR!$6:$6, 0), FALSE),
            0
        ) +
        IFERROR(
            VLOOKUP($A10, INDIRECT("AbrR!$A$6:$ZZ$1048576"), MATCH(AU$1, AbrR!$6:$6, 0), FALSE),
            0
        ) +
        IFERROR(
            VLOOKUP($A10, INDIRECT("MayR!$A$6:$ZZ$1048576"), MATCH(AU$1, MayR!$6:$6, 0), FALSE),
            0
        ) +
        IFERROR(
            VLOOKUP($A10, INDIRECT("JunR!$A$6:$ZZ$1048576"), MATCH(AU$1, JunR!$6:$6, 0), FALSE),
            0
        ) +
        IFERROR(
            VLOOKUP($A10, INDIRECT("JulR!$A$6:$ZZ$1048576"), MATCH(AU$1, JulR!$6:$6, 0), FALSE),
            0
        ) +
        IFERROR(
            VLOOKUP($A10, INDIRECT("AgoR!$A$6:$ZZ$1048576"), MATCH(AU$1, AgoR!$6:$6, 0), FALSE),
            0
        ) +
        IFERROR(
            VLOOKUP($A10, INDIRECT("SepR!$A$6:$ZZ$1048576"), MATCH(AU$1, SepR!$6:$6, 0), FALSE),
            0
        ) +
        IFERROR(
            VLOOKUP($A10, INDIRECT("OctR!$A$6:$ZZ$1048576"), MATCH(AU$1, OctR!$6:$6, 0), FALSE),
            0
        ) +
        IFERROR(
            VLOOKUP($A10, INDIRECT("NovR!$A$6:$ZZ$1048576"), MATCH(AU$1, NovR!$6:$6, 0), FALSE),
            0
        ) +
        IFERROR(
            VLOOKUP($A10, INDIRECT("DicR!$A$6:$ZZ$1048576"), MATCH(AU$1, DicR!$6:$6, 0), FALSE),
            0
        )
)</f>
        <v>0</v>
      </c>
      <c r="AV10" s="36">
        <f t="array" ref="AV10">SUM(
    IFERROR(
            VLOOKUP($A10, INDIRECT("EneR!$A$6:$ZZ$1048576"), MATCH(AV$1, EneR!$6:$6, 0), FALSE),
            0
        ) +
        IFERROR(
            VLOOKUP($A10, INDIRECT("FebR!$A$6:$ZZ$1048576"), MATCH(AV$1, FebR!$6:$6, 0), FALSE),
            0
        ) +
        IFERROR(
            VLOOKUP($A10, INDIRECT("MarR!$A$6:$ZZ$1048576"), MATCH(AV$1, MarR!$6:$6, 0), FALSE),
            0
        ) +
        IFERROR(
            VLOOKUP($A10, INDIRECT("AbrR!$A$6:$ZZ$1048576"), MATCH(AV$1, AbrR!$6:$6, 0), FALSE),
            0
        ) +
        IFERROR(
            VLOOKUP($A10, INDIRECT("MayR!$A$6:$ZZ$1048576"), MATCH(AV$1, MayR!$6:$6, 0), FALSE),
            0
        ) +
        IFERROR(
            VLOOKUP($A10, INDIRECT("JunR!$A$6:$ZZ$1048576"), MATCH(AV$1, JunR!$6:$6, 0), FALSE),
            0
        ) +
        IFERROR(
            VLOOKUP($A10, INDIRECT("JulR!$A$6:$ZZ$1048576"), MATCH(AV$1, JulR!$6:$6, 0), FALSE),
            0
        ) +
        IFERROR(
            VLOOKUP($A10, INDIRECT("AgoR!$A$6:$ZZ$1048576"), MATCH(AV$1, AgoR!$6:$6, 0), FALSE),
            0
        ) +
        IFERROR(
            VLOOKUP($A10, INDIRECT("SepR!$A$6:$ZZ$1048576"), MATCH(AV$1, SepR!$6:$6, 0), FALSE),
            0
        ) +
        IFERROR(
            VLOOKUP($A10, INDIRECT("OctR!$A$6:$ZZ$1048576"), MATCH(AV$1, OctR!$6:$6, 0), FALSE),
            0
        ) +
        IFERROR(
            VLOOKUP($A10, INDIRECT("NovR!$A$6:$ZZ$1048576"), MATCH(AV$1, NovR!$6:$6, 0), FALSE),
            0
        ) +
        IFERROR(
            VLOOKUP($A10, INDIRECT("DicR!$A$6:$ZZ$1048576"), MATCH(AV$1, DicR!$6:$6, 0), FALSE),
            0
        )
)</f>
        <v>0</v>
      </c>
      <c r="AW10" s="37">
        <f t="array" ref="AW10">SUM(
    IFERROR(
            VLOOKUP($A10, INDIRECT("EneR!$A$6:$ZZ$1048576"), MATCH(AW$1, EneR!$6:$6, 0), FALSE),
            0
        ) +
        IFERROR(
            VLOOKUP($A10, INDIRECT("FebR!$A$6:$ZZ$1048576"), MATCH(AW$1, FebR!$6:$6, 0), FALSE),
            0
        ) +
        IFERROR(
            VLOOKUP($A10, INDIRECT("MarR!$A$6:$ZZ$1048576"), MATCH(AW$1, MarR!$6:$6, 0), FALSE),
            0
        ) +
        IFERROR(
            VLOOKUP($A10, INDIRECT("AbrR!$A$6:$ZZ$1048576"), MATCH(AW$1, AbrR!$6:$6, 0), FALSE),
            0
        ) +
        IFERROR(
            VLOOKUP($A10, INDIRECT("MayR!$A$6:$ZZ$1048576"), MATCH(AW$1, MayR!$6:$6, 0), FALSE),
            0
        ) +
        IFERROR(
            VLOOKUP($A10, INDIRECT("JunR!$A$6:$ZZ$1048576"), MATCH(AW$1, JunR!$6:$6, 0), FALSE),
            0
        ) +
        IFERROR(
            VLOOKUP($A10, INDIRECT("JulR!$A$6:$ZZ$1048576"), MATCH(AW$1, JulR!$6:$6, 0), FALSE),
            0
        ) +
        IFERROR(
            VLOOKUP($A10, INDIRECT("AgoR!$A$6:$ZZ$1048576"), MATCH(AW$1, AgoR!$6:$6, 0), FALSE),
            0
        ) +
        IFERROR(
            VLOOKUP($A10, INDIRECT("SepR!$A$6:$ZZ$1048576"), MATCH(AW$1, SepR!$6:$6, 0), FALSE),
            0
        ) +
        IFERROR(
            VLOOKUP($A10, INDIRECT("OctR!$A$6:$ZZ$1048576"), MATCH(AW$1, OctR!$6:$6, 0), FALSE),
            0
        ) +
        IFERROR(
            VLOOKUP($A10, INDIRECT("NovR!$A$6:$ZZ$1048576"), MATCH(AW$1, NovR!$6:$6, 0), FALSE),
            0
        ) +
        IFERROR(
            VLOOKUP($A10, INDIRECT("DicR!$A$6:$ZZ$1048576"), MATCH(AW$1, DicR!$6:$6, 0), FALSE),
            0
        )
)</f>
        <v>0</v>
      </c>
      <c r="AX10" s="36">
        <f t="array" ref="AX10">SUM(
    IFERROR(
            VLOOKUP($A10, INDIRECT("EneR!$A$6:$ZZ$1048576"), MATCH(AX$1, EneR!$6:$6, 0), FALSE),
            0
        ) +
        IFERROR(
            VLOOKUP($A10, INDIRECT("FebR!$A$6:$ZZ$1048576"), MATCH(AX$1, FebR!$6:$6, 0), FALSE),
            0
        ) +
        IFERROR(
            VLOOKUP($A10, INDIRECT("MarR!$A$6:$ZZ$1048576"), MATCH(AX$1, MarR!$6:$6, 0), FALSE),
            0
        ) +
        IFERROR(
            VLOOKUP($A10, INDIRECT("AbrR!$A$6:$ZZ$1048576"), MATCH(AX$1, AbrR!$6:$6, 0), FALSE),
            0
        ) +
        IFERROR(
            VLOOKUP($A10, INDIRECT("MayR!$A$6:$ZZ$1048576"), MATCH(AX$1, MayR!$6:$6, 0), FALSE),
            0
        ) +
        IFERROR(
            VLOOKUP($A10, INDIRECT("JunR!$A$6:$ZZ$1048576"), MATCH(AX$1, JunR!$6:$6, 0), FALSE),
            0
        ) +
        IFERROR(
            VLOOKUP($A10, INDIRECT("JulR!$A$6:$ZZ$1048576"), MATCH(AX$1, JulR!$6:$6, 0), FALSE),
            0
        ) +
        IFERROR(
            VLOOKUP($A10, INDIRECT("AgoR!$A$6:$ZZ$1048576"), MATCH(AX$1, AgoR!$6:$6, 0), FALSE),
            0
        ) +
        IFERROR(
            VLOOKUP($A10, INDIRECT("SepR!$A$6:$ZZ$1048576"), MATCH(AX$1, SepR!$6:$6, 0), FALSE),
            0
        ) +
        IFERROR(
            VLOOKUP($A10, INDIRECT("OctR!$A$6:$ZZ$1048576"), MATCH(AX$1, OctR!$6:$6, 0), FALSE),
            0
        ) +
        IFERROR(
            VLOOKUP($A10, INDIRECT("NovR!$A$6:$ZZ$1048576"), MATCH(AX$1, NovR!$6:$6, 0), FALSE),
            0
        ) +
        IFERROR(
            VLOOKUP($A10, INDIRECT("DicR!$A$6:$ZZ$1048576"), MATCH(AX$1, DicR!$6:$6, 0), FALSE),
            0
        )
)</f>
        <v>0</v>
      </c>
      <c r="AY10" s="37">
        <f t="array" ref="AY10">SUM(
    IFERROR(
            VLOOKUP($A10, INDIRECT("EneR!$A$6:$ZZ$1048576"), MATCH(AY$1, EneR!$6:$6, 0), FALSE),
            0
        ) +
        IFERROR(
            VLOOKUP($A10, INDIRECT("FebR!$A$6:$ZZ$1048576"), MATCH(AY$1, FebR!$6:$6, 0), FALSE),
            0
        ) +
        IFERROR(
            VLOOKUP($A10, INDIRECT("MarR!$A$6:$ZZ$1048576"), MATCH(AY$1, MarR!$6:$6, 0), FALSE),
            0
        ) +
        IFERROR(
            VLOOKUP($A10, INDIRECT("AbrR!$A$6:$ZZ$1048576"), MATCH(AY$1, AbrR!$6:$6, 0), FALSE),
            0
        ) +
        IFERROR(
            VLOOKUP($A10, INDIRECT("MayR!$A$6:$ZZ$1048576"), MATCH(AY$1, MayR!$6:$6, 0), FALSE),
            0
        ) +
        IFERROR(
            VLOOKUP($A10, INDIRECT("JunR!$A$6:$ZZ$1048576"), MATCH(AY$1, JunR!$6:$6, 0), FALSE),
            0
        ) +
        IFERROR(
            VLOOKUP($A10, INDIRECT("JulR!$A$6:$ZZ$1048576"), MATCH(AY$1, JulR!$6:$6, 0), FALSE),
            0
        ) +
        IFERROR(
            VLOOKUP($A10, INDIRECT("AgoR!$A$6:$ZZ$1048576"), MATCH(AY$1, AgoR!$6:$6, 0), FALSE),
            0
        ) +
        IFERROR(
            VLOOKUP($A10, INDIRECT("SepR!$A$6:$ZZ$1048576"), MATCH(AY$1, SepR!$6:$6, 0), FALSE),
            0
        ) +
        IFERROR(
            VLOOKUP($A10, INDIRECT("OctR!$A$6:$ZZ$1048576"), MATCH(AY$1, OctR!$6:$6, 0), FALSE),
            0
        ) +
        IFERROR(
            VLOOKUP($A10, INDIRECT("NovR!$A$6:$ZZ$1048576"), MATCH(AY$1, NovR!$6:$6, 0), FALSE),
            0
        ) +
        IFERROR(
            VLOOKUP($A10, INDIRECT("DicR!$A$6:$ZZ$1048576"), MATCH(AY$1, DicR!$6:$6, 0), FALSE),
            0
        )
)</f>
        <v>0</v>
      </c>
      <c r="AZ10" s="37"/>
    </row>
    <row r="11" ht="15.75" customHeight="1">
      <c r="A11" s="12" t="str">
        <f>Menus!R3</f>
        <v/>
      </c>
      <c r="B11" s="32">
        <f t="shared" si="4"/>
        <v>0</v>
      </c>
      <c r="C11" s="33" t="str">
        <f t="shared" si="5"/>
        <v/>
      </c>
      <c r="D11" s="34">
        <f t="array" ref="D11">SUM(
    IFERROR(
            VLOOKUP($A11, INDIRECT("EneR!$A$6:$ZZ$1048576"), MATCH(D$1, EneR!$6:$6, 0), FALSE),
            0
        ) +
        IFERROR(
            VLOOKUP($A11, INDIRECT("FebR!$A$6:$ZZ$1048576"), MATCH(D$1, FebR!$6:$6, 0), FALSE),
            0
        ) +
        IFERROR(
            VLOOKUP($A11, INDIRECT("MarR!$A$6:$ZZ$1048576"), MATCH(D$1, MarR!$6:$6, 0), FALSE),
            0
        ) +
        IFERROR(
            VLOOKUP($A11, INDIRECT("AbrR!$A$6:$ZZ$1048576"), MATCH(D$1, AbrR!$6:$6, 0), FALSE),
            0
        ) +
        IFERROR(
            VLOOKUP($A11, INDIRECT("MayR!$A$6:$ZZ$1048576"), MATCH(D$1, MayR!$6:$6, 0), FALSE),
            0
        ) +
        IFERROR(
            VLOOKUP($A11, INDIRECT("JunR!$A$6:$ZZ$1048576"), MATCH(D$1, JunR!$6:$6, 0), FALSE),
            0
        ) +
        IFERROR(
            VLOOKUP($A11, INDIRECT("JulR!$A$6:$ZZ$1048576"), MATCH(D$1, JulR!$6:$6, 0), FALSE),
            0
        ) +
        IFERROR(
            VLOOKUP($A11, INDIRECT("AgoR!$A$6:$ZZ$1048576"), MATCH(D$1, AgoR!$6:$6, 0), FALSE),
            0
        ) +
        IFERROR(
            VLOOKUP($A11, INDIRECT("SepR!$A$6:$ZZ$1048576"), MATCH(D$1, SepR!$6:$6, 0), FALSE),
            0
        ) +
        IFERROR(
            VLOOKUP($A11, INDIRECT("OctR!$A$6:$ZZ$1048576"), MATCH(D$1, OctR!$6:$6, 0), FALSE),
            0
        ) +
        IFERROR(
            VLOOKUP($A11, INDIRECT("NovR!$A$6:$ZZ$1048576"), MATCH(D$1, NovR!$6:$6, 0), FALSE),
            0
        ) +
        IFERROR(
            VLOOKUP($A11, INDIRECT("DicR!$A$6:$ZZ$1048576"), MATCH(D$1, DicR!$6:$6, 0), FALSE),
            0
        )
)</f>
        <v>0</v>
      </c>
      <c r="E11" s="35">
        <f t="array" ref="E11">SUM(
    IFERROR(
            VLOOKUP($A11, INDIRECT("EneR!$A$6:$ZZ$1048576"), MATCH(E$1, EneR!$6:$6, 0), FALSE),
            0
        ) +
        IFERROR(
            VLOOKUP($A11, INDIRECT("FebR!$A$6:$ZZ$1048576"), MATCH(E$1, FebR!$6:$6, 0), FALSE),
            0
        ) +
        IFERROR(
            VLOOKUP($A11, INDIRECT("MarR!$A$6:$ZZ$1048576"), MATCH(E$1, MarR!$6:$6, 0), FALSE),
            0
        ) +
        IFERROR(
            VLOOKUP($A11, INDIRECT("AbrR!$A$6:$ZZ$1048576"), MATCH(E$1, AbrR!$6:$6, 0), FALSE),
            0
        ) +
        IFERROR(
            VLOOKUP($A11, INDIRECT("MayR!$A$6:$ZZ$1048576"), MATCH(E$1, MayR!$6:$6, 0), FALSE),
            0
        ) +
        IFERROR(
            VLOOKUP($A11, INDIRECT("JunR!$A$6:$ZZ$1048576"), MATCH(E$1, JunR!$6:$6, 0), FALSE),
            0
        ) +
        IFERROR(
            VLOOKUP($A11, INDIRECT("JulR!$A$6:$ZZ$1048576"), MATCH(E$1, JulR!$6:$6, 0), FALSE),
            0
        ) +
        IFERROR(
            VLOOKUP($A11, INDIRECT("AgoR!$A$6:$ZZ$1048576"), MATCH(E$1, AgoR!$6:$6, 0), FALSE),
            0
        ) +
        IFERROR(
            VLOOKUP($A11, INDIRECT("SepR!$A$6:$ZZ$1048576"), MATCH(E$1, SepR!$6:$6, 0), FALSE),
            0
        ) +
        IFERROR(
            VLOOKUP($A11, INDIRECT("OctR!$A$6:$ZZ$1048576"), MATCH(E$1, OctR!$6:$6, 0), FALSE),
            0
        ) +
        IFERROR(
            VLOOKUP($A11, INDIRECT("NovR!$A$6:$ZZ$1048576"), MATCH(E$1, NovR!$6:$6, 0), FALSE),
            0
        ) +
        IFERROR(
            VLOOKUP($A11, INDIRECT("DicR!$A$6:$ZZ$1048576"), MATCH(E$1, DicR!$6:$6, 0), FALSE),
            0
        )
)</f>
        <v>0</v>
      </c>
      <c r="F11" s="32">
        <f t="array" ref="F11">SUM(
    IFERROR(
            VLOOKUP($A11, INDIRECT("EneR!$A$6:$ZZ$1048576"), MATCH(F$1, EneR!$6:$6, 0), FALSE),
            0
        ) +
        IFERROR(
            VLOOKUP($A11, INDIRECT("FebR!$A$6:$ZZ$1048576"), MATCH(F$1, FebR!$6:$6, 0), FALSE),
            0
        ) +
        IFERROR(
            VLOOKUP($A11, INDIRECT("MarR!$A$6:$ZZ$1048576"), MATCH(F$1, MarR!$6:$6, 0), FALSE),
            0
        ) +
        IFERROR(
            VLOOKUP($A11, INDIRECT("AbrR!$A$6:$ZZ$1048576"), MATCH(F$1, AbrR!$6:$6, 0), FALSE),
            0
        ) +
        IFERROR(
            VLOOKUP($A11, INDIRECT("MayR!$A$6:$ZZ$1048576"), MATCH(F$1, MayR!$6:$6, 0), FALSE),
            0
        ) +
        IFERROR(
            VLOOKUP($A11, INDIRECT("JunR!$A$6:$ZZ$1048576"), MATCH(F$1, JunR!$6:$6, 0), FALSE),
            0
        ) +
        IFERROR(
            VLOOKUP($A11, INDIRECT("JulR!$A$6:$ZZ$1048576"), MATCH(F$1, JulR!$6:$6, 0), FALSE),
            0
        ) +
        IFERROR(
            VLOOKUP($A11, INDIRECT("AgoR!$A$6:$ZZ$1048576"), MATCH(F$1, AgoR!$6:$6, 0), FALSE),
            0
        ) +
        IFERROR(
            VLOOKUP($A11, INDIRECT("SepR!$A$6:$ZZ$1048576"), MATCH(F$1, SepR!$6:$6, 0), FALSE),
            0
        ) +
        IFERROR(
            VLOOKUP($A11, INDIRECT("OctR!$A$6:$ZZ$1048576"), MATCH(F$1, OctR!$6:$6, 0), FALSE),
            0
        ) +
        IFERROR(
            VLOOKUP($A11, INDIRECT("NovR!$A$6:$ZZ$1048576"), MATCH(F$1, NovR!$6:$6, 0), FALSE),
            0
        ) +
        IFERROR(
            VLOOKUP($A11, INDIRECT("DicR!$A$6:$ZZ$1048576"), MATCH(F$1, DicR!$6:$6, 0), FALSE),
            0
        )
)</f>
        <v>0</v>
      </c>
      <c r="G11" s="35">
        <f t="array" ref="G11">SUM(
    IFERROR(
            VLOOKUP($A11, INDIRECT("EneR!$A$6:$ZZ$1048576"), MATCH(G$1, EneR!$6:$6, 0), FALSE),
            0
        ) +
        IFERROR(
            VLOOKUP($A11, INDIRECT("FebR!$A$6:$ZZ$1048576"), MATCH(G$1, FebR!$6:$6, 0), FALSE),
            0
        ) +
        IFERROR(
            VLOOKUP($A11, INDIRECT("MarR!$A$6:$ZZ$1048576"), MATCH(G$1, MarR!$6:$6, 0), FALSE),
            0
        ) +
        IFERROR(
            VLOOKUP($A11, INDIRECT("AbrR!$A$6:$ZZ$1048576"), MATCH(G$1, AbrR!$6:$6, 0), FALSE),
            0
        ) +
        IFERROR(
            VLOOKUP($A11, INDIRECT("MayR!$A$6:$ZZ$1048576"), MATCH(G$1, MayR!$6:$6, 0), FALSE),
            0
        ) +
        IFERROR(
            VLOOKUP($A11, INDIRECT("JunR!$A$6:$ZZ$1048576"), MATCH(G$1, JunR!$6:$6, 0), FALSE),
            0
        ) +
        IFERROR(
            VLOOKUP($A11, INDIRECT("JulR!$A$6:$ZZ$1048576"), MATCH(G$1, JulR!$6:$6, 0), FALSE),
            0
        ) +
        IFERROR(
            VLOOKUP($A11, INDIRECT("AgoR!$A$6:$ZZ$1048576"), MATCH(G$1, AgoR!$6:$6, 0), FALSE),
            0
        ) +
        IFERROR(
            VLOOKUP($A11, INDIRECT("SepR!$A$6:$ZZ$1048576"), MATCH(G$1, SepR!$6:$6, 0), FALSE),
            0
        ) +
        IFERROR(
            VLOOKUP($A11, INDIRECT("OctR!$A$6:$ZZ$1048576"), MATCH(G$1, OctR!$6:$6, 0), FALSE),
            0
        ) +
        IFERROR(
            VLOOKUP($A11, INDIRECT("NovR!$A$6:$ZZ$1048576"), MATCH(G$1, NovR!$6:$6, 0), FALSE),
            0
        ) +
        IFERROR(
            VLOOKUP($A11, INDIRECT("DicR!$A$6:$ZZ$1048576"), MATCH(G$1, DicR!$6:$6, 0), FALSE),
            0
        )
)</f>
        <v>0</v>
      </c>
      <c r="H11" s="32">
        <f t="array" ref="H11">SUM(
    IFERROR(
            VLOOKUP($A11, INDIRECT("EneR!$A$6:$ZZ$1048576"), MATCH(H$1, EneR!$6:$6, 0), FALSE),
            0
        ) +
        IFERROR(
            VLOOKUP($A11, INDIRECT("FebR!$A$6:$ZZ$1048576"), MATCH(H$1, FebR!$6:$6, 0), FALSE),
            0
        ) +
        IFERROR(
            VLOOKUP($A11, INDIRECT("MarR!$A$6:$ZZ$1048576"), MATCH(H$1, MarR!$6:$6, 0), FALSE),
            0
        ) +
        IFERROR(
            VLOOKUP($A11, INDIRECT("AbrR!$A$6:$ZZ$1048576"), MATCH(H$1, AbrR!$6:$6, 0), FALSE),
            0
        ) +
        IFERROR(
            VLOOKUP($A11, INDIRECT("MayR!$A$6:$ZZ$1048576"), MATCH(H$1, MayR!$6:$6, 0), FALSE),
            0
        ) +
        IFERROR(
            VLOOKUP($A11, INDIRECT("JunR!$A$6:$ZZ$1048576"), MATCH(H$1, JunR!$6:$6, 0), FALSE),
            0
        ) +
        IFERROR(
            VLOOKUP($A11, INDIRECT("JulR!$A$6:$ZZ$1048576"), MATCH(H$1, JulR!$6:$6, 0), FALSE),
            0
        ) +
        IFERROR(
            VLOOKUP($A11, INDIRECT("AgoR!$A$6:$ZZ$1048576"), MATCH(H$1, AgoR!$6:$6, 0), FALSE),
            0
        ) +
        IFERROR(
            VLOOKUP($A11, INDIRECT("SepR!$A$6:$ZZ$1048576"), MATCH(H$1, SepR!$6:$6, 0), FALSE),
            0
        ) +
        IFERROR(
            VLOOKUP($A11, INDIRECT("OctR!$A$6:$ZZ$1048576"), MATCH(H$1, OctR!$6:$6, 0), FALSE),
            0
        ) +
        IFERROR(
            VLOOKUP($A11, INDIRECT("NovR!$A$6:$ZZ$1048576"), MATCH(H$1, NovR!$6:$6, 0), FALSE),
            0
        ) +
        IFERROR(
            VLOOKUP($A11, INDIRECT("DicR!$A$6:$ZZ$1048576"), MATCH(H$1, DicR!$6:$6, 0), FALSE),
            0
        )
)</f>
        <v>0</v>
      </c>
      <c r="I11" s="35">
        <f t="array" ref="I11">SUM(
    IFERROR(
            VLOOKUP($A11, INDIRECT("EneR!$A$6:$ZZ$1048576"), MATCH(I$1, EneR!$6:$6, 0), FALSE),
            0
        ) +
        IFERROR(
            VLOOKUP($A11, INDIRECT("FebR!$A$6:$ZZ$1048576"), MATCH(I$1, FebR!$6:$6, 0), FALSE),
            0
        ) +
        IFERROR(
            VLOOKUP($A11, INDIRECT("MarR!$A$6:$ZZ$1048576"), MATCH(I$1, MarR!$6:$6, 0), FALSE),
            0
        ) +
        IFERROR(
            VLOOKUP($A11, INDIRECT("AbrR!$A$6:$ZZ$1048576"), MATCH(I$1, AbrR!$6:$6, 0), FALSE),
            0
        ) +
        IFERROR(
            VLOOKUP($A11, INDIRECT("MayR!$A$6:$ZZ$1048576"), MATCH(I$1, MayR!$6:$6, 0), FALSE),
            0
        ) +
        IFERROR(
            VLOOKUP($A11, INDIRECT("JunR!$A$6:$ZZ$1048576"), MATCH(I$1, JunR!$6:$6, 0), FALSE),
            0
        ) +
        IFERROR(
            VLOOKUP($A11, INDIRECT("JulR!$A$6:$ZZ$1048576"), MATCH(I$1, JulR!$6:$6, 0), FALSE),
            0
        ) +
        IFERROR(
            VLOOKUP($A11, INDIRECT("AgoR!$A$6:$ZZ$1048576"), MATCH(I$1, AgoR!$6:$6, 0), FALSE),
            0
        ) +
        IFERROR(
            VLOOKUP($A11, INDIRECT("SepR!$A$6:$ZZ$1048576"), MATCH(I$1, SepR!$6:$6, 0), FALSE),
            0
        ) +
        IFERROR(
            VLOOKUP($A11, INDIRECT("OctR!$A$6:$ZZ$1048576"), MATCH(I$1, OctR!$6:$6, 0), FALSE),
            0
        ) +
        IFERROR(
            VLOOKUP($A11, INDIRECT("NovR!$A$6:$ZZ$1048576"), MATCH(I$1, NovR!$6:$6, 0), FALSE),
            0
        ) +
        IFERROR(
            VLOOKUP($A11, INDIRECT("DicR!$A$6:$ZZ$1048576"), MATCH(I$1, DicR!$6:$6, 0), FALSE),
            0
        )
)</f>
        <v>0</v>
      </c>
      <c r="J11" s="32">
        <f t="array" ref="J11">SUM(
    IFERROR(
            VLOOKUP($A11, INDIRECT("EneR!$A$6:$ZZ$1048576"), MATCH(J$1, EneR!$6:$6, 0), FALSE),
            0
        ) +
        IFERROR(
            VLOOKUP($A11, INDIRECT("FebR!$A$6:$ZZ$1048576"), MATCH(J$1, FebR!$6:$6, 0), FALSE),
            0
        ) +
        IFERROR(
            VLOOKUP($A11, INDIRECT("MarR!$A$6:$ZZ$1048576"), MATCH(J$1, MarR!$6:$6, 0), FALSE),
            0
        ) +
        IFERROR(
            VLOOKUP($A11, INDIRECT("AbrR!$A$6:$ZZ$1048576"), MATCH(J$1, AbrR!$6:$6, 0), FALSE),
            0
        ) +
        IFERROR(
            VLOOKUP($A11, INDIRECT("MayR!$A$6:$ZZ$1048576"), MATCH(J$1, MayR!$6:$6, 0), FALSE),
            0
        ) +
        IFERROR(
            VLOOKUP($A11, INDIRECT("JunR!$A$6:$ZZ$1048576"), MATCH(J$1, JunR!$6:$6, 0), FALSE),
            0
        ) +
        IFERROR(
            VLOOKUP($A11, INDIRECT("JulR!$A$6:$ZZ$1048576"), MATCH(J$1, JulR!$6:$6, 0), FALSE),
            0
        ) +
        IFERROR(
            VLOOKUP($A11, INDIRECT("AgoR!$A$6:$ZZ$1048576"), MATCH(J$1, AgoR!$6:$6, 0), FALSE),
            0
        ) +
        IFERROR(
            VLOOKUP($A11, INDIRECT("SepR!$A$6:$ZZ$1048576"), MATCH(J$1, SepR!$6:$6, 0), FALSE),
            0
        ) +
        IFERROR(
            VLOOKUP($A11, INDIRECT("OctR!$A$6:$ZZ$1048576"), MATCH(J$1, OctR!$6:$6, 0), FALSE),
            0
        ) +
        IFERROR(
            VLOOKUP($A11, INDIRECT("NovR!$A$6:$ZZ$1048576"), MATCH(J$1, NovR!$6:$6, 0), FALSE),
            0
        ) +
        IFERROR(
            VLOOKUP($A11, INDIRECT("DicR!$A$6:$ZZ$1048576"), MATCH(J$1, DicR!$6:$6, 0), FALSE),
            0
        )
)</f>
        <v>0</v>
      </c>
      <c r="K11" s="35">
        <f t="array" ref="K11">SUM(
    IFERROR(
            VLOOKUP($A11, INDIRECT("EneR!$A$6:$ZZ$1048576"), MATCH(K$1, EneR!$6:$6, 0), FALSE),
            0
        ) +
        IFERROR(
            VLOOKUP($A11, INDIRECT("FebR!$A$6:$ZZ$1048576"), MATCH(K$1, FebR!$6:$6, 0), FALSE),
            0
        ) +
        IFERROR(
            VLOOKUP($A11, INDIRECT("MarR!$A$6:$ZZ$1048576"), MATCH(K$1, MarR!$6:$6, 0), FALSE),
            0
        ) +
        IFERROR(
            VLOOKUP($A11, INDIRECT("AbrR!$A$6:$ZZ$1048576"), MATCH(K$1, AbrR!$6:$6, 0), FALSE),
            0
        ) +
        IFERROR(
            VLOOKUP($A11, INDIRECT("MayR!$A$6:$ZZ$1048576"), MATCH(K$1, MayR!$6:$6, 0), FALSE),
            0
        ) +
        IFERROR(
            VLOOKUP($A11, INDIRECT("JunR!$A$6:$ZZ$1048576"), MATCH(K$1, JunR!$6:$6, 0), FALSE),
            0
        ) +
        IFERROR(
            VLOOKUP($A11, INDIRECT("JulR!$A$6:$ZZ$1048576"), MATCH(K$1, JulR!$6:$6, 0), FALSE),
            0
        ) +
        IFERROR(
            VLOOKUP($A11, INDIRECT("AgoR!$A$6:$ZZ$1048576"), MATCH(K$1, AgoR!$6:$6, 0), FALSE),
            0
        ) +
        IFERROR(
            VLOOKUP($A11, INDIRECT("SepR!$A$6:$ZZ$1048576"), MATCH(K$1, SepR!$6:$6, 0), FALSE),
            0
        ) +
        IFERROR(
            VLOOKUP($A11, INDIRECT("OctR!$A$6:$ZZ$1048576"), MATCH(K$1, OctR!$6:$6, 0), FALSE),
            0
        ) +
        IFERROR(
            VLOOKUP($A11, INDIRECT("NovR!$A$6:$ZZ$1048576"), MATCH(K$1, NovR!$6:$6, 0), FALSE),
            0
        ) +
        IFERROR(
            VLOOKUP($A11, INDIRECT("DicR!$A$6:$ZZ$1048576"), MATCH(K$1, DicR!$6:$6, 0), FALSE),
            0
        )
)</f>
        <v>0</v>
      </c>
      <c r="L11" s="32">
        <f t="array" ref="L11">SUM(
    IFERROR(
            VLOOKUP($A11, INDIRECT("EneR!$A$6:$ZZ$1048576"), MATCH(L$1, EneR!$6:$6, 0), FALSE),
            0
        ) +
        IFERROR(
            VLOOKUP($A11, INDIRECT("FebR!$A$6:$ZZ$1048576"), MATCH(L$1, FebR!$6:$6, 0), FALSE),
            0
        ) +
        IFERROR(
            VLOOKUP($A11, INDIRECT("MarR!$A$6:$ZZ$1048576"), MATCH(L$1, MarR!$6:$6, 0), FALSE),
            0
        ) +
        IFERROR(
            VLOOKUP($A11, INDIRECT("AbrR!$A$6:$ZZ$1048576"), MATCH(L$1, AbrR!$6:$6, 0), FALSE),
            0
        ) +
        IFERROR(
            VLOOKUP($A11, INDIRECT("MayR!$A$6:$ZZ$1048576"), MATCH(L$1, MayR!$6:$6, 0), FALSE),
            0
        ) +
        IFERROR(
            VLOOKUP($A11, INDIRECT("JunR!$A$6:$ZZ$1048576"), MATCH(L$1, JunR!$6:$6, 0), FALSE),
            0
        ) +
        IFERROR(
            VLOOKUP($A11, INDIRECT("JulR!$A$6:$ZZ$1048576"), MATCH(L$1, JulR!$6:$6, 0), FALSE),
            0
        ) +
        IFERROR(
            VLOOKUP($A11, INDIRECT("AgoR!$A$6:$ZZ$1048576"), MATCH(L$1, AgoR!$6:$6, 0), FALSE),
            0
        ) +
        IFERROR(
            VLOOKUP($A11, INDIRECT("SepR!$A$6:$ZZ$1048576"), MATCH(L$1, SepR!$6:$6, 0), FALSE),
            0
        ) +
        IFERROR(
            VLOOKUP($A11, INDIRECT("OctR!$A$6:$ZZ$1048576"), MATCH(L$1, OctR!$6:$6, 0), FALSE),
            0
        ) +
        IFERROR(
            VLOOKUP($A11, INDIRECT("NovR!$A$6:$ZZ$1048576"), MATCH(L$1, NovR!$6:$6, 0), FALSE),
            0
        ) +
        IFERROR(
            VLOOKUP($A11, INDIRECT("DicR!$A$6:$ZZ$1048576"), MATCH(L$1, DicR!$6:$6, 0), FALSE),
            0
        )
)</f>
        <v>0</v>
      </c>
      <c r="M11" s="35">
        <f t="array" ref="M11">SUM(
    IFERROR(
            VLOOKUP($A11, INDIRECT("EneR!$A$6:$ZZ$1048576"), MATCH(M$1, EneR!$6:$6, 0), FALSE),
            0
        ) +
        IFERROR(
            VLOOKUP($A11, INDIRECT("FebR!$A$6:$ZZ$1048576"), MATCH(M$1, FebR!$6:$6, 0), FALSE),
            0
        ) +
        IFERROR(
            VLOOKUP($A11, INDIRECT("MarR!$A$6:$ZZ$1048576"), MATCH(M$1, MarR!$6:$6, 0), FALSE),
            0
        ) +
        IFERROR(
            VLOOKUP($A11, INDIRECT("AbrR!$A$6:$ZZ$1048576"), MATCH(M$1, AbrR!$6:$6, 0), FALSE),
            0
        ) +
        IFERROR(
            VLOOKUP($A11, INDIRECT("MayR!$A$6:$ZZ$1048576"), MATCH(M$1, MayR!$6:$6, 0), FALSE),
            0
        ) +
        IFERROR(
            VLOOKUP($A11, INDIRECT("JunR!$A$6:$ZZ$1048576"), MATCH(M$1, JunR!$6:$6, 0), FALSE),
            0
        ) +
        IFERROR(
            VLOOKUP($A11, INDIRECT("JulR!$A$6:$ZZ$1048576"), MATCH(M$1, JulR!$6:$6, 0), FALSE),
            0
        ) +
        IFERROR(
            VLOOKUP($A11, INDIRECT("AgoR!$A$6:$ZZ$1048576"), MATCH(M$1, AgoR!$6:$6, 0), FALSE),
            0
        ) +
        IFERROR(
            VLOOKUP($A11, INDIRECT("SepR!$A$6:$ZZ$1048576"), MATCH(M$1, SepR!$6:$6, 0), FALSE),
            0
        ) +
        IFERROR(
            VLOOKUP($A11, INDIRECT("OctR!$A$6:$ZZ$1048576"), MATCH(M$1, OctR!$6:$6, 0), FALSE),
            0
        ) +
        IFERROR(
            VLOOKUP($A11, INDIRECT("NovR!$A$6:$ZZ$1048576"), MATCH(M$1, NovR!$6:$6, 0), FALSE),
            0
        ) +
        IFERROR(
            VLOOKUP($A11, INDIRECT("DicR!$A$6:$ZZ$1048576"), MATCH(M$1, DicR!$6:$6, 0), FALSE),
            0
        )
)</f>
        <v>0</v>
      </c>
      <c r="N11" s="32">
        <f t="array" ref="N11">SUM(
    IFERROR(
            VLOOKUP($A11, INDIRECT("EneR!$A$6:$ZZ$1048576"), MATCH(N$1, EneR!$6:$6, 0), FALSE),
            0
        ) +
        IFERROR(
            VLOOKUP($A11, INDIRECT("FebR!$A$6:$ZZ$1048576"), MATCH(N$1, FebR!$6:$6, 0), FALSE),
            0
        ) +
        IFERROR(
            VLOOKUP($A11, INDIRECT("MarR!$A$6:$ZZ$1048576"), MATCH(N$1, MarR!$6:$6, 0), FALSE),
            0
        ) +
        IFERROR(
            VLOOKUP($A11, INDIRECT("AbrR!$A$6:$ZZ$1048576"), MATCH(N$1, AbrR!$6:$6, 0), FALSE),
            0
        ) +
        IFERROR(
            VLOOKUP($A11, INDIRECT("MayR!$A$6:$ZZ$1048576"), MATCH(N$1, MayR!$6:$6, 0), FALSE),
            0
        ) +
        IFERROR(
            VLOOKUP($A11, INDIRECT("JunR!$A$6:$ZZ$1048576"), MATCH(N$1, JunR!$6:$6, 0), FALSE),
            0
        ) +
        IFERROR(
            VLOOKUP($A11, INDIRECT("JulR!$A$6:$ZZ$1048576"), MATCH(N$1, JulR!$6:$6, 0), FALSE),
            0
        ) +
        IFERROR(
            VLOOKUP($A11, INDIRECT("AgoR!$A$6:$ZZ$1048576"), MATCH(N$1, AgoR!$6:$6, 0), FALSE),
            0
        ) +
        IFERROR(
            VLOOKUP($A11, INDIRECT("SepR!$A$6:$ZZ$1048576"), MATCH(N$1, SepR!$6:$6, 0), FALSE),
            0
        ) +
        IFERROR(
            VLOOKUP($A11, INDIRECT("OctR!$A$6:$ZZ$1048576"), MATCH(N$1, OctR!$6:$6, 0), FALSE),
            0
        ) +
        IFERROR(
            VLOOKUP($A11, INDIRECT("NovR!$A$6:$ZZ$1048576"), MATCH(N$1, NovR!$6:$6, 0), FALSE),
            0
        ) +
        IFERROR(
            VLOOKUP($A11, INDIRECT("DicR!$A$6:$ZZ$1048576"), MATCH(N$1, DicR!$6:$6, 0), FALSE),
            0
        )
)</f>
        <v>0</v>
      </c>
      <c r="O11" s="35">
        <f t="array" ref="O11">SUM(
    IFERROR(
            VLOOKUP($A11, INDIRECT("EneR!$A$6:$ZZ$1048576"), MATCH(O$1, EneR!$6:$6, 0), FALSE),
            0
        ) +
        IFERROR(
            VLOOKUP($A11, INDIRECT("FebR!$A$6:$ZZ$1048576"), MATCH(O$1, FebR!$6:$6, 0), FALSE),
            0
        ) +
        IFERROR(
            VLOOKUP($A11, INDIRECT("MarR!$A$6:$ZZ$1048576"), MATCH(O$1, MarR!$6:$6, 0), FALSE),
            0
        ) +
        IFERROR(
            VLOOKUP($A11, INDIRECT("AbrR!$A$6:$ZZ$1048576"), MATCH(O$1, AbrR!$6:$6, 0), FALSE),
            0
        ) +
        IFERROR(
            VLOOKUP($A11, INDIRECT("MayR!$A$6:$ZZ$1048576"), MATCH(O$1, MayR!$6:$6, 0), FALSE),
            0
        ) +
        IFERROR(
            VLOOKUP($A11, INDIRECT("JunR!$A$6:$ZZ$1048576"), MATCH(O$1, JunR!$6:$6, 0), FALSE),
            0
        ) +
        IFERROR(
            VLOOKUP($A11, INDIRECT("JulR!$A$6:$ZZ$1048576"), MATCH(O$1, JulR!$6:$6, 0), FALSE),
            0
        ) +
        IFERROR(
            VLOOKUP($A11, INDIRECT("AgoR!$A$6:$ZZ$1048576"), MATCH(O$1, AgoR!$6:$6, 0), FALSE),
            0
        ) +
        IFERROR(
            VLOOKUP($A11, INDIRECT("SepR!$A$6:$ZZ$1048576"), MATCH(O$1, SepR!$6:$6, 0), FALSE),
            0
        ) +
        IFERROR(
            VLOOKUP($A11, INDIRECT("OctR!$A$6:$ZZ$1048576"), MATCH(O$1, OctR!$6:$6, 0), FALSE),
            0
        ) +
        IFERROR(
            VLOOKUP($A11, INDIRECT("NovR!$A$6:$ZZ$1048576"), MATCH(O$1, NovR!$6:$6, 0), FALSE),
            0
        ) +
        IFERROR(
            VLOOKUP($A11, INDIRECT("DicR!$A$6:$ZZ$1048576"), MATCH(O$1, DicR!$6:$6, 0), FALSE),
            0
        )
)</f>
        <v>0</v>
      </c>
      <c r="P11" s="32">
        <f t="array" ref="P11">SUM(
    IFERROR(
            VLOOKUP($A11, INDIRECT("EneR!$A$6:$ZZ$1048576"), MATCH(P$1, EneR!$6:$6, 0), FALSE),
            0
        ) +
        IFERROR(
            VLOOKUP($A11, INDIRECT("FebR!$A$6:$ZZ$1048576"), MATCH(P$1, FebR!$6:$6, 0), FALSE),
            0
        ) +
        IFERROR(
            VLOOKUP($A11, INDIRECT("MarR!$A$6:$ZZ$1048576"), MATCH(P$1, MarR!$6:$6, 0), FALSE),
            0
        ) +
        IFERROR(
            VLOOKUP($A11, INDIRECT("AbrR!$A$6:$ZZ$1048576"), MATCH(P$1, AbrR!$6:$6, 0), FALSE),
            0
        ) +
        IFERROR(
            VLOOKUP($A11, INDIRECT("MayR!$A$6:$ZZ$1048576"), MATCH(P$1, MayR!$6:$6, 0), FALSE),
            0
        ) +
        IFERROR(
            VLOOKUP($A11, INDIRECT("JunR!$A$6:$ZZ$1048576"), MATCH(P$1, JunR!$6:$6, 0), FALSE),
            0
        ) +
        IFERROR(
            VLOOKUP($A11, INDIRECT("JulR!$A$6:$ZZ$1048576"), MATCH(P$1, JulR!$6:$6, 0), FALSE),
            0
        ) +
        IFERROR(
            VLOOKUP($A11, INDIRECT("AgoR!$A$6:$ZZ$1048576"), MATCH(P$1, AgoR!$6:$6, 0), FALSE),
            0
        ) +
        IFERROR(
            VLOOKUP($A11, INDIRECT("SepR!$A$6:$ZZ$1048576"), MATCH(P$1, SepR!$6:$6, 0), FALSE),
            0
        ) +
        IFERROR(
            VLOOKUP($A11, INDIRECT("OctR!$A$6:$ZZ$1048576"), MATCH(P$1, OctR!$6:$6, 0), FALSE),
            0
        ) +
        IFERROR(
            VLOOKUP($A11, INDIRECT("NovR!$A$6:$ZZ$1048576"), MATCH(P$1, NovR!$6:$6, 0), FALSE),
            0
        ) +
        IFERROR(
            VLOOKUP($A11, INDIRECT("DicR!$A$6:$ZZ$1048576"), MATCH(P$1, DicR!$6:$6, 0), FALSE),
            0
        )
)</f>
        <v>0</v>
      </c>
      <c r="Q11" s="35">
        <f t="array" ref="Q11">SUM(
    IFERROR(
            VLOOKUP($A11, INDIRECT("EneR!$A$6:$ZZ$1048576"), MATCH(Q$1, EneR!$6:$6, 0), FALSE),
            0
        ) +
        IFERROR(
            VLOOKUP($A11, INDIRECT("FebR!$A$6:$ZZ$1048576"), MATCH(Q$1, FebR!$6:$6, 0), FALSE),
            0
        ) +
        IFERROR(
            VLOOKUP($A11, INDIRECT("MarR!$A$6:$ZZ$1048576"), MATCH(Q$1, MarR!$6:$6, 0), FALSE),
            0
        ) +
        IFERROR(
            VLOOKUP($A11, INDIRECT("AbrR!$A$6:$ZZ$1048576"), MATCH(Q$1, AbrR!$6:$6, 0), FALSE),
            0
        ) +
        IFERROR(
            VLOOKUP($A11, INDIRECT("MayR!$A$6:$ZZ$1048576"), MATCH(Q$1, MayR!$6:$6, 0), FALSE),
            0
        ) +
        IFERROR(
            VLOOKUP($A11, INDIRECT("JunR!$A$6:$ZZ$1048576"), MATCH(Q$1, JunR!$6:$6, 0), FALSE),
            0
        ) +
        IFERROR(
            VLOOKUP($A11, INDIRECT("JulR!$A$6:$ZZ$1048576"), MATCH(Q$1, JulR!$6:$6, 0), FALSE),
            0
        ) +
        IFERROR(
            VLOOKUP($A11, INDIRECT("AgoR!$A$6:$ZZ$1048576"), MATCH(Q$1, AgoR!$6:$6, 0), FALSE),
            0
        ) +
        IFERROR(
            VLOOKUP($A11, INDIRECT("SepR!$A$6:$ZZ$1048576"), MATCH(Q$1, SepR!$6:$6, 0), FALSE),
            0
        ) +
        IFERROR(
            VLOOKUP($A11, INDIRECT("OctR!$A$6:$ZZ$1048576"), MATCH(Q$1, OctR!$6:$6, 0), FALSE),
            0
        ) +
        IFERROR(
            VLOOKUP($A11, INDIRECT("NovR!$A$6:$ZZ$1048576"), MATCH(Q$1, NovR!$6:$6, 0), FALSE),
            0
        ) +
        IFERROR(
            VLOOKUP($A11, INDIRECT("DicR!$A$6:$ZZ$1048576"), MATCH(Q$1, DicR!$6:$6, 0), FALSE),
            0
        )
)</f>
        <v>0</v>
      </c>
      <c r="R11" s="36">
        <f t="array" ref="R11">SUM(
    IFERROR(
            VLOOKUP($A11, INDIRECT("EneR!$A$6:$ZZ$1048576"), MATCH(R$1, EneR!$6:$6, 0), FALSE),
            0
        ) +
        IFERROR(
            VLOOKUP($A11, INDIRECT("FebR!$A$6:$ZZ$1048576"), MATCH(R$1, FebR!$6:$6, 0), FALSE),
            0
        ) +
        IFERROR(
            VLOOKUP($A11, INDIRECT("MarR!$A$6:$ZZ$1048576"), MATCH(R$1, MarR!$6:$6, 0), FALSE),
            0
        ) +
        IFERROR(
            VLOOKUP($A11, INDIRECT("AbrR!$A$6:$ZZ$1048576"), MATCH(R$1, AbrR!$6:$6, 0), FALSE),
            0
        ) +
        IFERROR(
            VLOOKUP($A11, INDIRECT("MayR!$A$6:$ZZ$1048576"), MATCH(R$1, MayR!$6:$6, 0), FALSE),
            0
        ) +
        IFERROR(
            VLOOKUP($A11, INDIRECT("JunR!$A$6:$ZZ$1048576"), MATCH(R$1, JunR!$6:$6, 0), FALSE),
            0
        ) +
        IFERROR(
            VLOOKUP($A11, INDIRECT("JulR!$A$6:$ZZ$1048576"), MATCH(R$1, JulR!$6:$6, 0), FALSE),
            0
        ) +
        IFERROR(
            VLOOKUP($A11, INDIRECT("AgoR!$A$6:$ZZ$1048576"), MATCH(R$1, AgoR!$6:$6, 0), FALSE),
            0
        ) +
        IFERROR(
            VLOOKUP($A11, INDIRECT("SepR!$A$6:$ZZ$1048576"), MATCH(R$1, SepR!$6:$6, 0), FALSE),
            0
        ) +
        IFERROR(
            VLOOKUP($A11, INDIRECT("OctR!$A$6:$ZZ$1048576"), MATCH(R$1, OctR!$6:$6, 0), FALSE),
            0
        ) +
        IFERROR(
            VLOOKUP($A11, INDIRECT("NovR!$A$6:$ZZ$1048576"), MATCH(R$1, NovR!$6:$6, 0), FALSE),
            0
        ) +
        IFERROR(
            VLOOKUP($A11, INDIRECT("DicR!$A$6:$ZZ$1048576"), MATCH(R$1, DicR!$6:$6, 0), FALSE),
            0
        )
)</f>
        <v>0</v>
      </c>
      <c r="S11" s="37">
        <f t="array" ref="S11">SUM(
    IFERROR(
            VLOOKUP($A11, INDIRECT("EneR!$A$6:$ZZ$1048576"), MATCH(S$1, EneR!$6:$6, 0), FALSE),
            0
        ) +
        IFERROR(
            VLOOKUP($A11, INDIRECT("FebR!$A$6:$ZZ$1048576"), MATCH(S$1, FebR!$6:$6, 0), FALSE),
            0
        ) +
        IFERROR(
            VLOOKUP($A11, INDIRECT("MarR!$A$6:$ZZ$1048576"), MATCH(S$1, MarR!$6:$6, 0), FALSE),
            0
        ) +
        IFERROR(
            VLOOKUP($A11, INDIRECT("AbrR!$A$6:$ZZ$1048576"), MATCH(S$1, AbrR!$6:$6, 0), FALSE),
            0
        ) +
        IFERROR(
            VLOOKUP($A11, INDIRECT("MayR!$A$6:$ZZ$1048576"), MATCH(S$1, MayR!$6:$6, 0), FALSE),
            0
        ) +
        IFERROR(
            VLOOKUP($A11, INDIRECT("JunR!$A$6:$ZZ$1048576"), MATCH(S$1, JunR!$6:$6, 0), FALSE),
            0
        ) +
        IFERROR(
            VLOOKUP($A11, INDIRECT("JulR!$A$6:$ZZ$1048576"), MATCH(S$1, JulR!$6:$6, 0), FALSE),
            0
        ) +
        IFERROR(
            VLOOKUP($A11, INDIRECT("AgoR!$A$6:$ZZ$1048576"), MATCH(S$1, AgoR!$6:$6, 0), FALSE),
            0
        ) +
        IFERROR(
            VLOOKUP($A11, INDIRECT("SepR!$A$6:$ZZ$1048576"), MATCH(S$1, SepR!$6:$6, 0), FALSE),
            0
        ) +
        IFERROR(
            VLOOKUP($A11, INDIRECT("OctR!$A$6:$ZZ$1048576"), MATCH(S$1, OctR!$6:$6, 0), FALSE),
            0
        ) +
        IFERROR(
            VLOOKUP($A11, INDIRECT("NovR!$A$6:$ZZ$1048576"), MATCH(S$1, NovR!$6:$6, 0), FALSE),
            0
        ) +
        IFERROR(
            VLOOKUP($A11, INDIRECT("DicR!$A$6:$ZZ$1048576"), MATCH(S$1, DicR!$6:$6, 0), FALSE),
            0
        )
)</f>
        <v>0</v>
      </c>
      <c r="T11" s="36">
        <f t="array" ref="T11">SUM(
    IFERROR(
            VLOOKUP($A11, INDIRECT("EneR!$A$6:$ZZ$1048576"), MATCH(T$1, EneR!$6:$6, 0), FALSE),
            0
        ) +
        IFERROR(
            VLOOKUP($A11, INDIRECT("FebR!$A$6:$ZZ$1048576"), MATCH(T$1, FebR!$6:$6, 0), FALSE),
            0
        ) +
        IFERROR(
            VLOOKUP($A11, INDIRECT("MarR!$A$6:$ZZ$1048576"), MATCH(T$1, MarR!$6:$6, 0), FALSE),
            0
        ) +
        IFERROR(
            VLOOKUP($A11, INDIRECT("AbrR!$A$6:$ZZ$1048576"), MATCH(T$1, AbrR!$6:$6, 0), FALSE),
            0
        ) +
        IFERROR(
            VLOOKUP($A11, INDIRECT("MayR!$A$6:$ZZ$1048576"), MATCH(T$1, MayR!$6:$6, 0), FALSE),
            0
        ) +
        IFERROR(
            VLOOKUP($A11, INDIRECT("JunR!$A$6:$ZZ$1048576"), MATCH(T$1, JunR!$6:$6, 0), FALSE),
            0
        ) +
        IFERROR(
            VLOOKUP($A11, INDIRECT("JulR!$A$6:$ZZ$1048576"), MATCH(T$1, JulR!$6:$6, 0), FALSE),
            0
        ) +
        IFERROR(
            VLOOKUP($A11, INDIRECT("AgoR!$A$6:$ZZ$1048576"), MATCH(T$1, AgoR!$6:$6, 0), FALSE),
            0
        ) +
        IFERROR(
            VLOOKUP($A11, INDIRECT("SepR!$A$6:$ZZ$1048576"), MATCH(T$1, SepR!$6:$6, 0), FALSE),
            0
        ) +
        IFERROR(
            VLOOKUP($A11, INDIRECT("OctR!$A$6:$ZZ$1048576"), MATCH(T$1, OctR!$6:$6, 0), FALSE),
            0
        ) +
        IFERROR(
            VLOOKUP($A11, INDIRECT("NovR!$A$6:$ZZ$1048576"), MATCH(T$1, NovR!$6:$6, 0), FALSE),
            0
        ) +
        IFERROR(
            VLOOKUP($A11, INDIRECT("DicR!$A$6:$ZZ$1048576"), MATCH(T$1, DicR!$6:$6, 0), FALSE),
            0
        )
)</f>
        <v>0</v>
      </c>
      <c r="U11" s="37">
        <f t="array" ref="U11">SUM(
    IFERROR(
            VLOOKUP($A11, INDIRECT("EneR!$A$6:$ZZ$1048576"), MATCH(U$1, EneR!$6:$6, 0), FALSE),
            0
        ) +
        IFERROR(
            VLOOKUP($A11, INDIRECT("FebR!$A$6:$ZZ$1048576"), MATCH(U$1, FebR!$6:$6, 0), FALSE),
            0
        ) +
        IFERROR(
            VLOOKUP($A11, INDIRECT("MarR!$A$6:$ZZ$1048576"), MATCH(U$1, MarR!$6:$6, 0), FALSE),
            0
        ) +
        IFERROR(
            VLOOKUP($A11, INDIRECT("AbrR!$A$6:$ZZ$1048576"), MATCH(U$1, AbrR!$6:$6, 0), FALSE),
            0
        ) +
        IFERROR(
            VLOOKUP($A11, INDIRECT("MayR!$A$6:$ZZ$1048576"), MATCH(U$1, MayR!$6:$6, 0), FALSE),
            0
        ) +
        IFERROR(
            VLOOKUP($A11, INDIRECT("JunR!$A$6:$ZZ$1048576"), MATCH(U$1, JunR!$6:$6, 0), FALSE),
            0
        ) +
        IFERROR(
            VLOOKUP($A11, INDIRECT("JulR!$A$6:$ZZ$1048576"), MATCH(U$1, JulR!$6:$6, 0), FALSE),
            0
        ) +
        IFERROR(
            VLOOKUP($A11, INDIRECT("AgoR!$A$6:$ZZ$1048576"), MATCH(U$1, AgoR!$6:$6, 0), FALSE),
            0
        ) +
        IFERROR(
            VLOOKUP($A11, INDIRECT("SepR!$A$6:$ZZ$1048576"), MATCH(U$1, SepR!$6:$6, 0), FALSE),
            0
        ) +
        IFERROR(
            VLOOKUP($A11, INDIRECT("OctR!$A$6:$ZZ$1048576"), MATCH(U$1, OctR!$6:$6, 0), FALSE),
            0
        ) +
        IFERROR(
            VLOOKUP($A11, INDIRECT("NovR!$A$6:$ZZ$1048576"), MATCH(U$1, NovR!$6:$6, 0), FALSE),
            0
        ) +
        IFERROR(
            VLOOKUP($A11, INDIRECT("DicR!$A$6:$ZZ$1048576"), MATCH(U$1, DicR!$6:$6, 0), FALSE),
            0
        )
)</f>
        <v>0</v>
      </c>
      <c r="V11" s="36">
        <f t="array" ref="V11">SUM(
    IFERROR(
            VLOOKUP($A11, INDIRECT("EneR!$A$6:$ZZ$1048576"), MATCH(V$1, EneR!$6:$6, 0), FALSE),
            0
        ) +
        IFERROR(
            VLOOKUP($A11, INDIRECT("FebR!$A$6:$ZZ$1048576"), MATCH(V$1, FebR!$6:$6, 0), FALSE),
            0
        ) +
        IFERROR(
            VLOOKUP($A11, INDIRECT("MarR!$A$6:$ZZ$1048576"), MATCH(V$1, MarR!$6:$6, 0), FALSE),
            0
        ) +
        IFERROR(
            VLOOKUP($A11, INDIRECT("AbrR!$A$6:$ZZ$1048576"), MATCH(V$1, AbrR!$6:$6, 0), FALSE),
            0
        ) +
        IFERROR(
            VLOOKUP($A11, INDIRECT("MayR!$A$6:$ZZ$1048576"), MATCH(V$1, MayR!$6:$6, 0), FALSE),
            0
        ) +
        IFERROR(
            VLOOKUP($A11, INDIRECT("JunR!$A$6:$ZZ$1048576"), MATCH(V$1, JunR!$6:$6, 0), FALSE),
            0
        ) +
        IFERROR(
            VLOOKUP($A11, INDIRECT("JulR!$A$6:$ZZ$1048576"), MATCH(V$1, JulR!$6:$6, 0), FALSE),
            0
        ) +
        IFERROR(
            VLOOKUP($A11, INDIRECT("AgoR!$A$6:$ZZ$1048576"), MATCH(V$1, AgoR!$6:$6, 0), FALSE),
            0
        ) +
        IFERROR(
            VLOOKUP($A11, INDIRECT("SepR!$A$6:$ZZ$1048576"), MATCH(V$1, SepR!$6:$6, 0), FALSE),
            0
        ) +
        IFERROR(
            VLOOKUP($A11, INDIRECT("OctR!$A$6:$ZZ$1048576"), MATCH(V$1, OctR!$6:$6, 0), FALSE),
            0
        ) +
        IFERROR(
            VLOOKUP($A11, INDIRECT("NovR!$A$6:$ZZ$1048576"), MATCH(V$1, NovR!$6:$6, 0), FALSE),
            0
        ) +
        IFERROR(
            VLOOKUP($A11, INDIRECT("DicR!$A$6:$ZZ$1048576"), MATCH(V$1, DicR!$6:$6, 0), FALSE),
            0
        )
)</f>
        <v>0</v>
      </c>
      <c r="W11" s="37">
        <f t="array" ref="W11">SUM(
    IFERROR(
            VLOOKUP($A11, INDIRECT("EneR!$A$6:$ZZ$1048576"), MATCH(W$1, EneR!$6:$6, 0), FALSE),
            0
        ) +
        IFERROR(
            VLOOKUP($A11, INDIRECT("FebR!$A$6:$ZZ$1048576"), MATCH(W$1, FebR!$6:$6, 0), FALSE),
            0
        ) +
        IFERROR(
            VLOOKUP($A11, INDIRECT("MarR!$A$6:$ZZ$1048576"), MATCH(W$1, MarR!$6:$6, 0), FALSE),
            0
        ) +
        IFERROR(
            VLOOKUP($A11, INDIRECT("AbrR!$A$6:$ZZ$1048576"), MATCH(W$1, AbrR!$6:$6, 0), FALSE),
            0
        ) +
        IFERROR(
            VLOOKUP($A11, INDIRECT("MayR!$A$6:$ZZ$1048576"), MATCH(W$1, MayR!$6:$6, 0), FALSE),
            0
        ) +
        IFERROR(
            VLOOKUP($A11, INDIRECT("JunR!$A$6:$ZZ$1048576"), MATCH(W$1, JunR!$6:$6, 0), FALSE),
            0
        ) +
        IFERROR(
            VLOOKUP($A11, INDIRECT("JulR!$A$6:$ZZ$1048576"), MATCH(W$1, JulR!$6:$6, 0), FALSE),
            0
        ) +
        IFERROR(
            VLOOKUP($A11, INDIRECT("AgoR!$A$6:$ZZ$1048576"), MATCH(W$1, AgoR!$6:$6, 0), FALSE),
            0
        ) +
        IFERROR(
            VLOOKUP($A11, INDIRECT("SepR!$A$6:$ZZ$1048576"), MATCH(W$1, SepR!$6:$6, 0), FALSE),
            0
        ) +
        IFERROR(
            VLOOKUP($A11, INDIRECT("OctR!$A$6:$ZZ$1048576"), MATCH(W$1, OctR!$6:$6, 0), FALSE),
            0
        ) +
        IFERROR(
            VLOOKUP($A11, INDIRECT("NovR!$A$6:$ZZ$1048576"), MATCH(W$1, NovR!$6:$6, 0), FALSE),
            0
        ) +
        IFERROR(
            VLOOKUP($A11, INDIRECT("DicR!$A$6:$ZZ$1048576"), MATCH(W$1, DicR!$6:$6, 0), FALSE),
            0
        )
)</f>
        <v>0</v>
      </c>
      <c r="X11" s="36">
        <f t="array" ref="X11">SUM(
    IFERROR(
            VLOOKUP($A11, INDIRECT("EneR!$A$6:$ZZ$1048576"), MATCH(X$1, EneR!$6:$6, 0), FALSE),
            0
        ) +
        IFERROR(
            VLOOKUP($A11, INDIRECT("FebR!$A$6:$ZZ$1048576"), MATCH(X$1, FebR!$6:$6, 0), FALSE),
            0
        ) +
        IFERROR(
            VLOOKUP($A11, INDIRECT("MarR!$A$6:$ZZ$1048576"), MATCH(X$1, MarR!$6:$6, 0), FALSE),
            0
        ) +
        IFERROR(
            VLOOKUP($A11, INDIRECT("AbrR!$A$6:$ZZ$1048576"), MATCH(X$1, AbrR!$6:$6, 0), FALSE),
            0
        ) +
        IFERROR(
            VLOOKUP($A11, INDIRECT("MayR!$A$6:$ZZ$1048576"), MATCH(X$1, MayR!$6:$6, 0), FALSE),
            0
        ) +
        IFERROR(
            VLOOKUP($A11, INDIRECT("JunR!$A$6:$ZZ$1048576"), MATCH(X$1, JunR!$6:$6, 0), FALSE),
            0
        ) +
        IFERROR(
            VLOOKUP($A11, INDIRECT("JulR!$A$6:$ZZ$1048576"), MATCH(X$1, JulR!$6:$6, 0), FALSE),
            0
        ) +
        IFERROR(
            VLOOKUP($A11, INDIRECT("AgoR!$A$6:$ZZ$1048576"), MATCH(X$1, AgoR!$6:$6, 0), FALSE),
            0
        ) +
        IFERROR(
            VLOOKUP($A11, INDIRECT("SepR!$A$6:$ZZ$1048576"), MATCH(X$1, SepR!$6:$6, 0), FALSE),
            0
        ) +
        IFERROR(
            VLOOKUP($A11, INDIRECT("OctR!$A$6:$ZZ$1048576"), MATCH(X$1, OctR!$6:$6, 0), FALSE),
            0
        ) +
        IFERROR(
            VLOOKUP($A11, INDIRECT("NovR!$A$6:$ZZ$1048576"), MATCH(X$1, NovR!$6:$6, 0), FALSE),
            0
        ) +
        IFERROR(
            VLOOKUP($A11, INDIRECT("DicR!$A$6:$ZZ$1048576"), MATCH(X$1, DicR!$6:$6, 0), FALSE),
            0
        )
)</f>
        <v>0</v>
      </c>
      <c r="Y11" s="37">
        <f t="array" ref="Y11">SUM(
    IFERROR(
            VLOOKUP($A11, INDIRECT("EneR!$A$6:$ZZ$1048576"), MATCH(Y$1, EneR!$6:$6, 0), FALSE),
            0
        ) +
        IFERROR(
            VLOOKUP($A11, INDIRECT("FebR!$A$6:$ZZ$1048576"), MATCH(Y$1, FebR!$6:$6, 0), FALSE),
            0
        ) +
        IFERROR(
            VLOOKUP($A11, INDIRECT("MarR!$A$6:$ZZ$1048576"), MATCH(Y$1, MarR!$6:$6, 0), FALSE),
            0
        ) +
        IFERROR(
            VLOOKUP($A11, INDIRECT("AbrR!$A$6:$ZZ$1048576"), MATCH(Y$1, AbrR!$6:$6, 0), FALSE),
            0
        ) +
        IFERROR(
            VLOOKUP($A11, INDIRECT("MayR!$A$6:$ZZ$1048576"), MATCH(Y$1, MayR!$6:$6, 0), FALSE),
            0
        ) +
        IFERROR(
            VLOOKUP($A11, INDIRECT("JunR!$A$6:$ZZ$1048576"), MATCH(Y$1, JunR!$6:$6, 0), FALSE),
            0
        ) +
        IFERROR(
            VLOOKUP($A11, INDIRECT("JulR!$A$6:$ZZ$1048576"), MATCH(Y$1, JulR!$6:$6, 0), FALSE),
            0
        ) +
        IFERROR(
            VLOOKUP($A11, INDIRECT("AgoR!$A$6:$ZZ$1048576"), MATCH(Y$1, AgoR!$6:$6, 0), FALSE),
            0
        ) +
        IFERROR(
            VLOOKUP($A11, INDIRECT("SepR!$A$6:$ZZ$1048576"), MATCH(Y$1, SepR!$6:$6, 0), FALSE),
            0
        ) +
        IFERROR(
            VLOOKUP($A11, INDIRECT("OctR!$A$6:$ZZ$1048576"), MATCH(Y$1, OctR!$6:$6, 0), FALSE),
            0
        ) +
        IFERROR(
            VLOOKUP($A11, INDIRECT("NovR!$A$6:$ZZ$1048576"), MATCH(Y$1, NovR!$6:$6, 0), FALSE),
            0
        ) +
        IFERROR(
            VLOOKUP($A11, INDIRECT("DicR!$A$6:$ZZ$1048576"), MATCH(Y$1, DicR!$6:$6, 0), FALSE),
            0
        )
)</f>
        <v>0</v>
      </c>
      <c r="Z11" s="36">
        <f t="array" ref="Z11">SUM(
    IFERROR(
            VLOOKUP($A11, INDIRECT("EneR!$A$6:$ZZ$1048576"), MATCH(Z$1, EneR!$6:$6, 0), FALSE),
            0
        ) +
        IFERROR(
            VLOOKUP($A11, INDIRECT("FebR!$A$6:$ZZ$1048576"), MATCH(Z$1, FebR!$6:$6, 0), FALSE),
            0
        ) +
        IFERROR(
            VLOOKUP($A11, INDIRECT("MarR!$A$6:$ZZ$1048576"), MATCH(Z$1, MarR!$6:$6, 0), FALSE),
            0
        ) +
        IFERROR(
            VLOOKUP($A11, INDIRECT("AbrR!$A$6:$ZZ$1048576"), MATCH(Z$1, AbrR!$6:$6, 0), FALSE),
            0
        ) +
        IFERROR(
            VLOOKUP($A11, INDIRECT("MayR!$A$6:$ZZ$1048576"), MATCH(Z$1, MayR!$6:$6, 0), FALSE),
            0
        ) +
        IFERROR(
            VLOOKUP($A11, INDIRECT("JunR!$A$6:$ZZ$1048576"), MATCH(Z$1, JunR!$6:$6, 0), FALSE),
            0
        ) +
        IFERROR(
            VLOOKUP($A11, INDIRECT("JulR!$A$6:$ZZ$1048576"), MATCH(Z$1, JulR!$6:$6, 0), FALSE),
            0
        ) +
        IFERROR(
            VLOOKUP($A11, INDIRECT("AgoR!$A$6:$ZZ$1048576"), MATCH(Z$1, AgoR!$6:$6, 0), FALSE),
            0
        ) +
        IFERROR(
            VLOOKUP($A11, INDIRECT("SepR!$A$6:$ZZ$1048576"), MATCH(Z$1, SepR!$6:$6, 0), FALSE),
            0
        ) +
        IFERROR(
            VLOOKUP($A11, INDIRECT("OctR!$A$6:$ZZ$1048576"), MATCH(Z$1, OctR!$6:$6, 0), FALSE),
            0
        ) +
        IFERROR(
            VLOOKUP($A11, INDIRECT("NovR!$A$6:$ZZ$1048576"), MATCH(Z$1, NovR!$6:$6, 0), FALSE),
            0
        ) +
        IFERROR(
            VLOOKUP($A11, INDIRECT("DicR!$A$6:$ZZ$1048576"), MATCH(Z$1, DicR!$6:$6, 0), FALSE),
            0
        )
)</f>
        <v>0</v>
      </c>
      <c r="AA11" s="37">
        <f t="array" ref="AA11">SUM(
    IFERROR(
            VLOOKUP($A11, INDIRECT("EneR!$A$6:$ZZ$1048576"), MATCH(AA$1, EneR!$6:$6, 0), FALSE),
            0
        ) +
        IFERROR(
            VLOOKUP($A11, INDIRECT("FebR!$A$6:$ZZ$1048576"), MATCH(AA$1, FebR!$6:$6, 0), FALSE),
            0
        ) +
        IFERROR(
            VLOOKUP($A11, INDIRECT("MarR!$A$6:$ZZ$1048576"), MATCH(AA$1, MarR!$6:$6, 0), FALSE),
            0
        ) +
        IFERROR(
            VLOOKUP($A11, INDIRECT("AbrR!$A$6:$ZZ$1048576"), MATCH(AA$1, AbrR!$6:$6, 0), FALSE),
            0
        ) +
        IFERROR(
            VLOOKUP($A11, INDIRECT("MayR!$A$6:$ZZ$1048576"), MATCH(AA$1, MayR!$6:$6, 0), FALSE),
            0
        ) +
        IFERROR(
            VLOOKUP($A11, INDIRECT("JunR!$A$6:$ZZ$1048576"), MATCH(AA$1, JunR!$6:$6, 0), FALSE),
            0
        ) +
        IFERROR(
            VLOOKUP($A11, INDIRECT("JulR!$A$6:$ZZ$1048576"), MATCH(AA$1, JulR!$6:$6, 0), FALSE),
            0
        ) +
        IFERROR(
            VLOOKUP($A11, INDIRECT("AgoR!$A$6:$ZZ$1048576"), MATCH(AA$1, AgoR!$6:$6, 0), FALSE),
            0
        ) +
        IFERROR(
            VLOOKUP($A11, INDIRECT("SepR!$A$6:$ZZ$1048576"), MATCH(AA$1, SepR!$6:$6, 0), FALSE),
            0
        ) +
        IFERROR(
            VLOOKUP($A11, INDIRECT("OctR!$A$6:$ZZ$1048576"), MATCH(AA$1, OctR!$6:$6, 0), FALSE),
            0
        ) +
        IFERROR(
            VLOOKUP($A11, INDIRECT("NovR!$A$6:$ZZ$1048576"), MATCH(AA$1, NovR!$6:$6, 0), FALSE),
            0
        ) +
        IFERROR(
            VLOOKUP($A11, INDIRECT("DicR!$A$6:$ZZ$1048576"), MATCH(AA$1, DicR!$6:$6, 0), FALSE),
            0
        )
)</f>
        <v>0</v>
      </c>
      <c r="AB11" s="36">
        <f t="array" ref="AB11">SUM(
    IFERROR(
            VLOOKUP($A11, INDIRECT("EneR!$A$6:$ZZ$1048576"), MATCH(AB$1, EneR!$6:$6, 0), FALSE),
            0
        ) +
        IFERROR(
            VLOOKUP($A11, INDIRECT("FebR!$A$6:$ZZ$1048576"), MATCH(AB$1, FebR!$6:$6, 0), FALSE),
            0
        ) +
        IFERROR(
            VLOOKUP($A11, INDIRECT("MarR!$A$6:$ZZ$1048576"), MATCH(AB$1, MarR!$6:$6, 0), FALSE),
            0
        ) +
        IFERROR(
            VLOOKUP($A11, INDIRECT("AbrR!$A$6:$ZZ$1048576"), MATCH(AB$1, AbrR!$6:$6, 0), FALSE),
            0
        ) +
        IFERROR(
            VLOOKUP($A11, INDIRECT("MayR!$A$6:$ZZ$1048576"), MATCH(AB$1, MayR!$6:$6, 0), FALSE),
            0
        ) +
        IFERROR(
            VLOOKUP($A11, INDIRECT("JunR!$A$6:$ZZ$1048576"), MATCH(AB$1, JunR!$6:$6, 0), FALSE),
            0
        ) +
        IFERROR(
            VLOOKUP($A11, INDIRECT("JulR!$A$6:$ZZ$1048576"), MATCH(AB$1, JulR!$6:$6, 0), FALSE),
            0
        ) +
        IFERROR(
            VLOOKUP($A11, INDIRECT("AgoR!$A$6:$ZZ$1048576"), MATCH(AB$1, AgoR!$6:$6, 0), FALSE),
            0
        ) +
        IFERROR(
            VLOOKUP($A11, INDIRECT("SepR!$A$6:$ZZ$1048576"), MATCH(AB$1, SepR!$6:$6, 0), FALSE),
            0
        ) +
        IFERROR(
            VLOOKUP($A11, INDIRECT("OctR!$A$6:$ZZ$1048576"), MATCH(AB$1, OctR!$6:$6, 0), FALSE),
            0
        ) +
        IFERROR(
            VLOOKUP($A11, INDIRECT("NovR!$A$6:$ZZ$1048576"), MATCH(AB$1, NovR!$6:$6, 0), FALSE),
            0
        ) +
        IFERROR(
            VLOOKUP($A11, INDIRECT("DicR!$A$6:$ZZ$1048576"), MATCH(AB$1, DicR!$6:$6, 0), FALSE),
            0
        )
)</f>
        <v>0</v>
      </c>
      <c r="AC11" s="37">
        <f t="array" ref="AC11">SUM(
    IFERROR(
            VLOOKUP($A11, INDIRECT("EneR!$A$6:$ZZ$1048576"), MATCH(AC$1, EneR!$6:$6, 0), FALSE),
            0
        ) +
        IFERROR(
            VLOOKUP($A11, INDIRECT("FebR!$A$6:$ZZ$1048576"), MATCH(AC$1, FebR!$6:$6, 0), FALSE),
            0
        ) +
        IFERROR(
            VLOOKUP($A11, INDIRECT("MarR!$A$6:$ZZ$1048576"), MATCH(AC$1, MarR!$6:$6, 0), FALSE),
            0
        ) +
        IFERROR(
            VLOOKUP($A11, INDIRECT("AbrR!$A$6:$ZZ$1048576"), MATCH(AC$1, AbrR!$6:$6, 0), FALSE),
            0
        ) +
        IFERROR(
            VLOOKUP($A11, INDIRECT("MayR!$A$6:$ZZ$1048576"), MATCH(AC$1, MayR!$6:$6, 0), FALSE),
            0
        ) +
        IFERROR(
            VLOOKUP($A11, INDIRECT("JunR!$A$6:$ZZ$1048576"), MATCH(AC$1, JunR!$6:$6, 0), FALSE),
            0
        ) +
        IFERROR(
            VLOOKUP($A11, INDIRECT("JulR!$A$6:$ZZ$1048576"), MATCH(AC$1, JulR!$6:$6, 0), FALSE),
            0
        ) +
        IFERROR(
            VLOOKUP($A11, INDIRECT("AgoR!$A$6:$ZZ$1048576"), MATCH(AC$1, AgoR!$6:$6, 0), FALSE),
            0
        ) +
        IFERROR(
            VLOOKUP($A11, INDIRECT("SepR!$A$6:$ZZ$1048576"), MATCH(AC$1, SepR!$6:$6, 0), FALSE),
            0
        ) +
        IFERROR(
            VLOOKUP($A11, INDIRECT("OctR!$A$6:$ZZ$1048576"), MATCH(AC$1, OctR!$6:$6, 0), FALSE),
            0
        ) +
        IFERROR(
            VLOOKUP($A11, INDIRECT("NovR!$A$6:$ZZ$1048576"), MATCH(AC$1, NovR!$6:$6, 0), FALSE),
            0
        ) +
        IFERROR(
            VLOOKUP($A11, INDIRECT("DicR!$A$6:$ZZ$1048576"), MATCH(AC$1, DicR!$6:$6, 0), FALSE),
            0
        )
)</f>
        <v>0</v>
      </c>
      <c r="AD11" s="36">
        <f t="array" ref="AD11">SUM(
    IFERROR(
            VLOOKUP($A11, INDIRECT("EneR!$A$6:$ZZ$1048576"), MATCH(AD$1, EneR!$6:$6, 0), FALSE),
            0
        ) +
        IFERROR(
            VLOOKUP($A11, INDIRECT("FebR!$A$6:$ZZ$1048576"), MATCH(AD$1, FebR!$6:$6, 0), FALSE),
            0
        ) +
        IFERROR(
            VLOOKUP($A11, INDIRECT("MarR!$A$6:$ZZ$1048576"), MATCH(AD$1, MarR!$6:$6, 0), FALSE),
            0
        ) +
        IFERROR(
            VLOOKUP($A11, INDIRECT("AbrR!$A$6:$ZZ$1048576"), MATCH(AD$1, AbrR!$6:$6, 0), FALSE),
            0
        ) +
        IFERROR(
            VLOOKUP($A11, INDIRECT("MayR!$A$6:$ZZ$1048576"), MATCH(AD$1, MayR!$6:$6, 0), FALSE),
            0
        ) +
        IFERROR(
            VLOOKUP($A11, INDIRECT("JunR!$A$6:$ZZ$1048576"), MATCH(AD$1, JunR!$6:$6, 0), FALSE),
            0
        ) +
        IFERROR(
            VLOOKUP($A11, INDIRECT("JulR!$A$6:$ZZ$1048576"), MATCH(AD$1, JulR!$6:$6, 0), FALSE),
            0
        ) +
        IFERROR(
            VLOOKUP($A11, INDIRECT("AgoR!$A$6:$ZZ$1048576"), MATCH(AD$1, AgoR!$6:$6, 0), FALSE),
            0
        ) +
        IFERROR(
            VLOOKUP($A11, INDIRECT("SepR!$A$6:$ZZ$1048576"), MATCH(AD$1, SepR!$6:$6, 0), FALSE),
            0
        ) +
        IFERROR(
            VLOOKUP($A11, INDIRECT("OctR!$A$6:$ZZ$1048576"), MATCH(AD$1, OctR!$6:$6, 0), FALSE),
            0
        ) +
        IFERROR(
            VLOOKUP($A11, INDIRECT("NovR!$A$6:$ZZ$1048576"), MATCH(AD$1, NovR!$6:$6, 0), FALSE),
            0
        ) +
        IFERROR(
            VLOOKUP($A11, INDIRECT("DicR!$A$6:$ZZ$1048576"), MATCH(AD$1, DicR!$6:$6, 0), FALSE),
            0
        )
)</f>
        <v>0</v>
      </c>
      <c r="AE11" s="37">
        <f t="array" ref="AE11">SUM(
    IFERROR(
            VLOOKUP($A11, INDIRECT("EneR!$A$6:$ZZ$1048576"), MATCH(AE$1, EneR!$6:$6, 0), FALSE),
            0
        ) +
        IFERROR(
            VLOOKUP($A11, INDIRECT("FebR!$A$6:$ZZ$1048576"), MATCH(AE$1, FebR!$6:$6, 0), FALSE),
            0
        ) +
        IFERROR(
            VLOOKUP($A11, INDIRECT("MarR!$A$6:$ZZ$1048576"), MATCH(AE$1, MarR!$6:$6, 0), FALSE),
            0
        ) +
        IFERROR(
            VLOOKUP($A11, INDIRECT("AbrR!$A$6:$ZZ$1048576"), MATCH(AE$1, AbrR!$6:$6, 0), FALSE),
            0
        ) +
        IFERROR(
            VLOOKUP($A11, INDIRECT("MayR!$A$6:$ZZ$1048576"), MATCH(AE$1, MayR!$6:$6, 0), FALSE),
            0
        ) +
        IFERROR(
            VLOOKUP($A11, INDIRECT("JunR!$A$6:$ZZ$1048576"), MATCH(AE$1, JunR!$6:$6, 0), FALSE),
            0
        ) +
        IFERROR(
            VLOOKUP($A11, INDIRECT("JulR!$A$6:$ZZ$1048576"), MATCH(AE$1, JulR!$6:$6, 0), FALSE),
            0
        ) +
        IFERROR(
            VLOOKUP($A11, INDIRECT("AgoR!$A$6:$ZZ$1048576"), MATCH(AE$1, AgoR!$6:$6, 0), FALSE),
            0
        ) +
        IFERROR(
            VLOOKUP($A11, INDIRECT("SepR!$A$6:$ZZ$1048576"), MATCH(AE$1, SepR!$6:$6, 0), FALSE),
            0
        ) +
        IFERROR(
            VLOOKUP($A11, INDIRECT("OctR!$A$6:$ZZ$1048576"), MATCH(AE$1, OctR!$6:$6, 0), FALSE),
            0
        ) +
        IFERROR(
            VLOOKUP($A11, INDIRECT("NovR!$A$6:$ZZ$1048576"), MATCH(AE$1, NovR!$6:$6, 0), FALSE),
            0
        ) +
        IFERROR(
            VLOOKUP($A11, INDIRECT("DicR!$A$6:$ZZ$1048576"), MATCH(AE$1, DicR!$6:$6, 0), FALSE),
            0
        )
)</f>
        <v>0</v>
      </c>
      <c r="AF11" s="36">
        <f t="array" ref="AF11">SUM(
    IFERROR(
            VLOOKUP($A11, INDIRECT("EneR!$A$6:$ZZ$1048576"), MATCH(AF$1, EneR!$6:$6, 0), FALSE),
            0
        ) +
        IFERROR(
            VLOOKUP($A11, INDIRECT("FebR!$A$6:$ZZ$1048576"), MATCH(AF$1, FebR!$6:$6, 0), FALSE),
            0
        ) +
        IFERROR(
            VLOOKUP($A11, INDIRECT("MarR!$A$6:$ZZ$1048576"), MATCH(AF$1, MarR!$6:$6, 0), FALSE),
            0
        ) +
        IFERROR(
            VLOOKUP($A11, INDIRECT("AbrR!$A$6:$ZZ$1048576"), MATCH(AF$1, AbrR!$6:$6, 0), FALSE),
            0
        ) +
        IFERROR(
            VLOOKUP($A11, INDIRECT("MayR!$A$6:$ZZ$1048576"), MATCH(AF$1, MayR!$6:$6, 0), FALSE),
            0
        ) +
        IFERROR(
            VLOOKUP($A11, INDIRECT("JunR!$A$6:$ZZ$1048576"), MATCH(AF$1, JunR!$6:$6, 0), FALSE),
            0
        ) +
        IFERROR(
            VLOOKUP($A11, INDIRECT("JulR!$A$6:$ZZ$1048576"), MATCH(AF$1, JulR!$6:$6, 0), FALSE),
            0
        ) +
        IFERROR(
            VLOOKUP($A11, INDIRECT("AgoR!$A$6:$ZZ$1048576"), MATCH(AF$1, AgoR!$6:$6, 0), FALSE),
            0
        ) +
        IFERROR(
            VLOOKUP($A11, INDIRECT("SepR!$A$6:$ZZ$1048576"), MATCH(AF$1, SepR!$6:$6, 0), FALSE),
            0
        ) +
        IFERROR(
            VLOOKUP($A11, INDIRECT("OctR!$A$6:$ZZ$1048576"), MATCH(AF$1, OctR!$6:$6, 0), FALSE),
            0
        ) +
        IFERROR(
            VLOOKUP($A11, INDIRECT("NovR!$A$6:$ZZ$1048576"), MATCH(AF$1, NovR!$6:$6, 0), FALSE),
            0
        ) +
        IFERROR(
            VLOOKUP($A11, INDIRECT("DicR!$A$6:$ZZ$1048576"), MATCH(AF$1, DicR!$6:$6, 0), FALSE),
            0
        )
)</f>
        <v>0</v>
      </c>
      <c r="AG11" s="37">
        <f t="array" ref="AG11">SUM(
    IFERROR(
            VLOOKUP($A11, INDIRECT("EneR!$A$6:$ZZ$1048576"), MATCH(AG$1, EneR!$6:$6, 0), FALSE),
            0
        ) +
        IFERROR(
            VLOOKUP($A11, INDIRECT("FebR!$A$6:$ZZ$1048576"), MATCH(AG$1, FebR!$6:$6, 0), FALSE),
            0
        ) +
        IFERROR(
            VLOOKUP($A11, INDIRECT("MarR!$A$6:$ZZ$1048576"), MATCH(AG$1, MarR!$6:$6, 0), FALSE),
            0
        ) +
        IFERROR(
            VLOOKUP($A11, INDIRECT("AbrR!$A$6:$ZZ$1048576"), MATCH(AG$1, AbrR!$6:$6, 0), FALSE),
            0
        ) +
        IFERROR(
            VLOOKUP($A11, INDIRECT("MayR!$A$6:$ZZ$1048576"), MATCH(AG$1, MayR!$6:$6, 0), FALSE),
            0
        ) +
        IFERROR(
            VLOOKUP($A11, INDIRECT("JunR!$A$6:$ZZ$1048576"), MATCH(AG$1, JunR!$6:$6, 0), FALSE),
            0
        ) +
        IFERROR(
            VLOOKUP($A11, INDIRECT("JulR!$A$6:$ZZ$1048576"), MATCH(AG$1, JulR!$6:$6, 0), FALSE),
            0
        ) +
        IFERROR(
            VLOOKUP($A11, INDIRECT("AgoR!$A$6:$ZZ$1048576"), MATCH(AG$1, AgoR!$6:$6, 0), FALSE),
            0
        ) +
        IFERROR(
            VLOOKUP($A11, INDIRECT("SepR!$A$6:$ZZ$1048576"), MATCH(AG$1, SepR!$6:$6, 0), FALSE),
            0
        ) +
        IFERROR(
            VLOOKUP($A11, INDIRECT("OctR!$A$6:$ZZ$1048576"), MATCH(AG$1, OctR!$6:$6, 0), FALSE),
            0
        ) +
        IFERROR(
            VLOOKUP($A11, INDIRECT("NovR!$A$6:$ZZ$1048576"), MATCH(AG$1, NovR!$6:$6, 0), FALSE),
            0
        ) +
        IFERROR(
            VLOOKUP($A11, INDIRECT("DicR!$A$6:$ZZ$1048576"), MATCH(AG$1, DicR!$6:$6, 0), FALSE),
            0
        )
)</f>
        <v>0</v>
      </c>
      <c r="AH11" s="36">
        <f t="array" ref="AH11">SUM(
    IFERROR(
            VLOOKUP($A11, INDIRECT("EneR!$A$6:$ZZ$1048576"), MATCH(AH$1, EneR!$6:$6, 0), FALSE),
            0
        ) +
        IFERROR(
            VLOOKUP($A11, INDIRECT("FebR!$A$6:$ZZ$1048576"), MATCH(AH$1, FebR!$6:$6, 0), FALSE),
            0
        ) +
        IFERROR(
            VLOOKUP($A11, INDIRECT("MarR!$A$6:$ZZ$1048576"), MATCH(AH$1, MarR!$6:$6, 0), FALSE),
            0
        ) +
        IFERROR(
            VLOOKUP($A11, INDIRECT("AbrR!$A$6:$ZZ$1048576"), MATCH(AH$1, AbrR!$6:$6, 0), FALSE),
            0
        ) +
        IFERROR(
            VLOOKUP($A11, INDIRECT("MayR!$A$6:$ZZ$1048576"), MATCH(AH$1, MayR!$6:$6, 0), FALSE),
            0
        ) +
        IFERROR(
            VLOOKUP($A11, INDIRECT("JunR!$A$6:$ZZ$1048576"), MATCH(AH$1, JunR!$6:$6, 0), FALSE),
            0
        ) +
        IFERROR(
            VLOOKUP($A11, INDIRECT("JulR!$A$6:$ZZ$1048576"), MATCH(AH$1, JulR!$6:$6, 0), FALSE),
            0
        ) +
        IFERROR(
            VLOOKUP($A11, INDIRECT("AgoR!$A$6:$ZZ$1048576"), MATCH(AH$1, AgoR!$6:$6, 0), FALSE),
            0
        ) +
        IFERROR(
            VLOOKUP($A11, INDIRECT("SepR!$A$6:$ZZ$1048576"), MATCH(AH$1, SepR!$6:$6, 0), FALSE),
            0
        ) +
        IFERROR(
            VLOOKUP($A11, INDIRECT("OctR!$A$6:$ZZ$1048576"), MATCH(AH$1, OctR!$6:$6, 0), FALSE),
            0
        ) +
        IFERROR(
            VLOOKUP($A11, INDIRECT("NovR!$A$6:$ZZ$1048576"), MATCH(AH$1, NovR!$6:$6, 0), FALSE),
            0
        ) +
        IFERROR(
            VLOOKUP($A11, INDIRECT("DicR!$A$6:$ZZ$1048576"), MATCH(AH$1, DicR!$6:$6, 0), FALSE),
            0
        )
)</f>
        <v>0</v>
      </c>
      <c r="AI11" s="37">
        <f t="array" ref="AI11">SUM(
    IFERROR(
            VLOOKUP($A11, INDIRECT("EneR!$A$6:$ZZ$1048576"), MATCH(AI$1, EneR!$6:$6, 0), FALSE),
            0
        ) +
        IFERROR(
            VLOOKUP($A11, INDIRECT("FebR!$A$6:$ZZ$1048576"), MATCH(AI$1, FebR!$6:$6, 0), FALSE),
            0
        ) +
        IFERROR(
            VLOOKUP($A11, INDIRECT("MarR!$A$6:$ZZ$1048576"), MATCH(AI$1, MarR!$6:$6, 0), FALSE),
            0
        ) +
        IFERROR(
            VLOOKUP($A11, INDIRECT("AbrR!$A$6:$ZZ$1048576"), MATCH(AI$1, AbrR!$6:$6, 0), FALSE),
            0
        ) +
        IFERROR(
            VLOOKUP($A11, INDIRECT("MayR!$A$6:$ZZ$1048576"), MATCH(AI$1, MayR!$6:$6, 0), FALSE),
            0
        ) +
        IFERROR(
            VLOOKUP($A11, INDIRECT("JunR!$A$6:$ZZ$1048576"), MATCH(AI$1, JunR!$6:$6, 0), FALSE),
            0
        ) +
        IFERROR(
            VLOOKUP($A11, INDIRECT("JulR!$A$6:$ZZ$1048576"), MATCH(AI$1, JulR!$6:$6, 0), FALSE),
            0
        ) +
        IFERROR(
            VLOOKUP($A11, INDIRECT("AgoR!$A$6:$ZZ$1048576"), MATCH(AI$1, AgoR!$6:$6, 0), FALSE),
            0
        ) +
        IFERROR(
            VLOOKUP($A11, INDIRECT("SepR!$A$6:$ZZ$1048576"), MATCH(AI$1, SepR!$6:$6, 0), FALSE),
            0
        ) +
        IFERROR(
            VLOOKUP($A11, INDIRECT("OctR!$A$6:$ZZ$1048576"), MATCH(AI$1, OctR!$6:$6, 0), FALSE),
            0
        ) +
        IFERROR(
            VLOOKUP($A11, INDIRECT("NovR!$A$6:$ZZ$1048576"), MATCH(AI$1, NovR!$6:$6, 0), FALSE),
            0
        ) +
        IFERROR(
            VLOOKUP($A11, INDIRECT("DicR!$A$6:$ZZ$1048576"), MATCH(AI$1, DicR!$6:$6, 0), FALSE),
            0
        )
)</f>
        <v>0</v>
      </c>
      <c r="AJ11" s="36">
        <f t="array" ref="AJ11">SUM(
    IFERROR(
            VLOOKUP($A11, INDIRECT("EneR!$A$6:$ZZ$1048576"), MATCH(AJ$1, EneR!$6:$6, 0), FALSE),
            0
        ) +
        IFERROR(
            VLOOKUP($A11, INDIRECT("FebR!$A$6:$ZZ$1048576"), MATCH(AJ$1, FebR!$6:$6, 0), FALSE),
            0
        ) +
        IFERROR(
            VLOOKUP($A11, INDIRECT("MarR!$A$6:$ZZ$1048576"), MATCH(AJ$1, MarR!$6:$6, 0), FALSE),
            0
        ) +
        IFERROR(
            VLOOKUP($A11, INDIRECT("AbrR!$A$6:$ZZ$1048576"), MATCH(AJ$1, AbrR!$6:$6, 0), FALSE),
            0
        ) +
        IFERROR(
            VLOOKUP($A11, INDIRECT("MayR!$A$6:$ZZ$1048576"), MATCH(AJ$1, MayR!$6:$6, 0), FALSE),
            0
        ) +
        IFERROR(
            VLOOKUP($A11, INDIRECT("JunR!$A$6:$ZZ$1048576"), MATCH(AJ$1, JunR!$6:$6, 0), FALSE),
            0
        ) +
        IFERROR(
            VLOOKUP($A11, INDIRECT("JulR!$A$6:$ZZ$1048576"), MATCH(AJ$1, JulR!$6:$6, 0), FALSE),
            0
        ) +
        IFERROR(
            VLOOKUP($A11, INDIRECT("AgoR!$A$6:$ZZ$1048576"), MATCH(AJ$1, AgoR!$6:$6, 0), FALSE),
            0
        ) +
        IFERROR(
            VLOOKUP($A11, INDIRECT("SepR!$A$6:$ZZ$1048576"), MATCH(AJ$1, SepR!$6:$6, 0), FALSE),
            0
        ) +
        IFERROR(
            VLOOKUP($A11, INDIRECT("OctR!$A$6:$ZZ$1048576"), MATCH(AJ$1, OctR!$6:$6, 0), FALSE),
            0
        ) +
        IFERROR(
            VLOOKUP($A11, INDIRECT("NovR!$A$6:$ZZ$1048576"), MATCH(AJ$1, NovR!$6:$6, 0), FALSE),
            0
        ) +
        IFERROR(
            VLOOKUP($A11, INDIRECT("DicR!$A$6:$ZZ$1048576"), MATCH(AJ$1, DicR!$6:$6, 0), FALSE),
            0
        )
)</f>
        <v>0</v>
      </c>
      <c r="AK11" s="37">
        <f t="array" ref="AK11">SUM(
    IFERROR(
            VLOOKUP($A11, INDIRECT("EneR!$A$6:$ZZ$1048576"), MATCH(AK$1, EneR!$6:$6, 0), FALSE),
            0
        ) +
        IFERROR(
            VLOOKUP($A11, INDIRECT("FebR!$A$6:$ZZ$1048576"), MATCH(AK$1, FebR!$6:$6, 0), FALSE),
            0
        ) +
        IFERROR(
            VLOOKUP($A11, INDIRECT("MarR!$A$6:$ZZ$1048576"), MATCH(AK$1, MarR!$6:$6, 0), FALSE),
            0
        ) +
        IFERROR(
            VLOOKUP($A11, INDIRECT("AbrR!$A$6:$ZZ$1048576"), MATCH(AK$1, AbrR!$6:$6, 0), FALSE),
            0
        ) +
        IFERROR(
            VLOOKUP($A11, INDIRECT("MayR!$A$6:$ZZ$1048576"), MATCH(AK$1, MayR!$6:$6, 0), FALSE),
            0
        ) +
        IFERROR(
            VLOOKUP($A11, INDIRECT("JunR!$A$6:$ZZ$1048576"), MATCH(AK$1, JunR!$6:$6, 0), FALSE),
            0
        ) +
        IFERROR(
            VLOOKUP($A11, INDIRECT("JulR!$A$6:$ZZ$1048576"), MATCH(AK$1, JulR!$6:$6, 0), FALSE),
            0
        ) +
        IFERROR(
            VLOOKUP($A11, INDIRECT("AgoR!$A$6:$ZZ$1048576"), MATCH(AK$1, AgoR!$6:$6, 0), FALSE),
            0
        ) +
        IFERROR(
            VLOOKUP($A11, INDIRECT("SepR!$A$6:$ZZ$1048576"), MATCH(AK$1, SepR!$6:$6, 0), FALSE),
            0
        ) +
        IFERROR(
            VLOOKUP($A11, INDIRECT("OctR!$A$6:$ZZ$1048576"), MATCH(AK$1, OctR!$6:$6, 0), FALSE),
            0
        ) +
        IFERROR(
            VLOOKUP($A11, INDIRECT("NovR!$A$6:$ZZ$1048576"), MATCH(AK$1, NovR!$6:$6, 0), FALSE),
            0
        ) +
        IFERROR(
            VLOOKUP($A11, INDIRECT("DicR!$A$6:$ZZ$1048576"), MATCH(AK$1, DicR!$6:$6, 0), FALSE),
            0
        )
)</f>
        <v>0</v>
      </c>
      <c r="AL11" s="36">
        <f t="array" ref="AL11">SUM(
    IFERROR(
            VLOOKUP($A11, INDIRECT("EneR!$A$6:$ZZ$1048576"), MATCH(AL$1, EneR!$6:$6, 0), FALSE),
            0
        ) +
        IFERROR(
            VLOOKUP($A11, INDIRECT("FebR!$A$6:$ZZ$1048576"), MATCH(AL$1, FebR!$6:$6, 0), FALSE),
            0
        ) +
        IFERROR(
            VLOOKUP($A11, INDIRECT("MarR!$A$6:$ZZ$1048576"), MATCH(AL$1, MarR!$6:$6, 0), FALSE),
            0
        ) +
        IFERROR(
            VLOOKUP($A11, INDIRECT("AbrR!$A$6:$ZZ$1048576"), MATCH(AL$1, AbrR!$6:$6, 0), FALSE),
            0
        ) +
        IFERROR(
            VLOOKUP($A11, INDIRECT("MayR!$A$6:$ZZ$1048576"), MATCH(AL$1, MayR!$6:$6, 0), FALSE),
            0
        ) +
        IFERROR(
            VLOOKUP($A11, INDIRECT("JunR!$A$6:$ZZ$1048576"), MATCH(AL$1, JunR!$6:$6, 0), FALSE),
            0
        ) +
        IFERROR(
            VLOOKUP($A11, INDIRECT("JulR!$A$6:$ZZ$1048576"), MATCH(AL$1, JulR!$6:$6, 0), FALSE),
            0
        ) +
        IFERROR(
            VLOOKUP($A11, INDIRECT("AgoR!$A$6:$ZZ$1048576"), MATCH(AL$1, AgoR!$6:$6, 0), FALSE),
            0
        ) +
        IFERROR(
            VLOOKUP($A11, INDIRECT("SepR!$A$6:$ZZ$1048576"), MATCH(AL$1, SepR!$6:$6, 0), FALSE),
            0
        ) +
        IFERROR(
            VLOOKUP($A11, INDIRECT("OctR!$A$6:$ZZ$1048576"), MATCH(AL$1, OctR!$6:$6, 0), FALSE),
            0
        ) +
        IFERROR(
            VLOOKUP($A11, INDIRECT("NovR!$A$6:$ZZ$1048576"), MATCH(AL$1, NovR!$6:$6, 0), FALSE),
            0
        ) +
        IFERROR(
            VLOOKUP($A11, INDIRECT("DicR!$A$6:$ZZ$1048576"), MATCH(AL$1, DicR!$6:$6, 0), FALSE),
            0
        )
)</f>
        <v>0</v>
      </c>
      <c r="AM11" s="37">
        <f t="array" ref="AM11">SUM(
    IFERROR(
            VLOOKUP($A11, INDIRECT("EneR!$A$6:$ZZ$1048576"), MATCH(AM$1, EneR!$6:$6, 0), FALSE),
            0
        ) +
        IFERROR(
            VLOOKUP($A11, INDIRECT("FebR!$A$6:$ZZ$1048576"), MATCH(AM$1, FebR!$6:$6, 0), FALSE),
            0
        ) +
        IFERROR(
            VLOOKUP($A11, INDIRECT("MarR!$A$6:$ZZ$1048576"), MATCH(AM$1, MarR!$6:$6, 0), FALSE),
            0
        ) +
        IFERROR(
            VLOOKUP($A11, INDIRECT("AbrR!$A$6:$ZZ$1048576"), MATCH(AM$1, AbrR!$6:$6, 0), FALSE),
            0
        ) +
        IFERROR(
            VLOOKUP($A11, INDIRECT("MayR!$A$6:$ZZ$1048576"), MATCH(AM$1, MayR!$6:$6, 0), FALSE),
            0
        ) +
        IFERROR(
            VLOOKUP($A11, INDIRECT("JunR!$A$6:$ZZ$1048576"), MATCH(AM$1, JunR!$6:$6, 0), FALSE),
            0
        ) +
        IFERROR(
            VLOOKUP($A11, INDIRECT("JulR!$A$6:$ZZ$1048576"), MATCH(AM$1, JulR!$6:$6, 0), FALSE),
            0
        ) +
        IFERROR(
            VLOOKUP($A11, INDIRECT("AgoR!$A$6:$ZZ$1048576"), MATCH(AM$1, AgoR!$6:$6, 0), FALSE),
            0
        ) +
        IFERROR(
            VLOOKUP($A11, INDIRECT("SepR!$A$6:$ZZ$1048576"), MATCH(AM$1, SepR!$6:$6, 0), FALSE),
            0
        ) +
        IFERROR(
            VLOOKUP($A11, INDIRECT("OctR!$A$6:$ZZ$1048576"), MATCH(AM$1, OctR!$6:$6, 0), FALSE),
            0
        ) +
        IFERROR(
            VLOOKUP($A11, INDIRECT("NovR!$A$6:$ZZ$1048576"), MATCH(AM$1, NovR!$6:$6, 0), FALSE),
            0
        ) +
        IFERROR(
            VLOOKUP($A11, INDIRECT("DicR!$A$6:$ZZ$1048576"), MATCH(AM$1, DicR!$6:$6, 0), FALSE),
            0
        )
)</f>
        <v>0</v>
      </c>
      <c r="AN11" s="36">
        <f t="array" ref="AN11">SUM(
    IFERROR(
            VLOOKUP($A11, INDIRECT("EneR!$A$6:$ZZ$1048576"), MATCH(AN$1, EneR!$6:$6, 0), FALSE),
            0
        ) +
        IFERROR(
            VLOOKUP($A11, INDIRECT("FebR!$A$6:$ZZ$1048576"), MATCH(AN$1, FebR!$6:$6, 0), FALSE),
            0
        ) +
        IFERROR(
            VLOOKUP($A11, INDIRECT("MarR!$A$6:$ZZ$1048576"), MATCH(AN$1, MarR!$6:$6, 0), FALSE),
            0
        ) +
        IFERROR(
            VLOOKUP($A11, INDIRECT("AbrR!$A$6:$ZZ$1048576"), MATCH(AN$1, AbrR!$6:$6, 0), FALSE),
            0
        ) +
        IFERROR(
            VLOOKUP($A11, INDIRECT("MayR!$A$6:$ZZ$1048576"), MATCH(AN$1, MayR!$6:$6, 0), FALSE),
            0
        ) +
        IFERROR(
            VLOOKUP($A11, INDIRECT("JunR!$A$6:$ZZ$1048576"), MATCH(AN$1, JunR!$6:$6, 0), FALSE),
            0
        ) +
        IFERROR(
            VLOOKUP($A11, INDIRECT("JulR!$A$6:$ZZ$1048576"), MATCH(AN$1, JulR!$6:$6, 0), FALSE),
            0
        ) +
        IFERROR(
            VLOOKUP($A11, INDIRECT("AgoR!$A$6:$ZZ$1048576"), MATCH(AN$1, AgoR!$6:$6, 0), FALSE),
            0
        ) +
        IFERROR(
            VLOOKUP($A11, INDIRECT("SepR!$A$6:$ZZ$1048576"), MATCH(AN$1, SepR!$6:$6, 0), FALSE),
            0
        ) +
        IFERROR(
            VLOOKUP($A11, INDIRECT("OctR!$A$6:$ZZ$1048576"), MATCH(AN$1, OctR!$6:$6, 0), FALSE),
            0
        ) +
        IFERROR(
            VLOOKUP($A11, INDIRECT("NovR!$A$6:$ZZ$1048576"), MATCH(AN$1, NovR!$6:$6, 0), FALSE),
            0
        ) +
        IFERROR(
            VLOOKUP($A11, INDIRECT("DicR!$A$6:$ZZ$1048576"), MATCH(AN$1, DicR!$6:$6, 0), FALSE),
            0
        )
)</f>
        <v>0</v>
      </c>
      <c r="AO11" s="37">
        <f t="array" ref="AO11">SUM(
    IFERROR(
            VLOOKUP($A11, INDIRECT("EneR!$A$6:$ZZ$1048576"), MATCH(AO$1, EneR!$6:$6, 0), FALSE),
            0
        ) +
        IFERROR(
            VLOOKUP($A11, INDIRECT("FebR!$A$6:$ZZ$1048576"), MATCH(AO$1, FebR!$6:$6, 0), FALSE),
            0
        ) +
        IFERROR(
            VLOOKUP($A11, INDIRECT("MarR!$A$6:$ZZ$1048576"), MATCH(AO$1, MarR!$6:$6, 0), FALSE),
            0
        ) +
        IFERROR(
            VLOOKUP($A11, INDIRECT("AbrR!$A$6:$ZZ$1048576"), MATCH(AO$1, AbrR!$6:$6, 0), FALSE),
            0
        ) +
        IFERROR(
            VLOOKUP($A11, INDIRECT("MayR!$A$6:$ZZ$1048576"), MATCH(AO$1, MayR!$6:$6, 0), FALSE),
            0
        ) +
        IFERROR(
            VLOOKUP($A11, INDIRECT("JunR!$A$6:$ZZ$1048576"), MATCH(AO$1, JunR!$6:$6, 0), FALSE),
            0
        ) +
        IFERROR(
            VLOOKUP($A11, INDIRECT("JulR!$A$6:$ZZ$1048576"), MATCH(AO$1, JulR!$6:$6, 0), FALSE),
            0
        ) +
        IFERROR(
            VLOOKUP($A11, INDIRECT("AgoR!$A$6:$ZZ$1048576"), MATCH(AO$1, AgoR!$6:$6, 0), FALSE),
            0
        ) +
        IFERROR(
            VLOOKUP($A11, INDIRECT("SepR!$A$6:$ZZ$1048576"), MATCH(AO$1, SepR!$6:$6, 0), FALSE),
            0
        ) +
        IFERROR(
            VLOOKUP($A11, INDIRECT("OctR!$A$6:$ZZ$1048576"), MATCH(AO$1, OctR!$6:$6, 0), FALSE),
            0
        ) +
        IFERROR(
            VLOOKUP($A11, INDIRECT("NovR!$A$6:$ZZ$1048576"), MATCH(AO$1, NovR!$6:$6, 0), FALSE),
            0
        ) +
        IFERROR(
            VLOOKUP($A11, INDIRECT("DicR!$A$6:$ZZ$1048576"), MATCH(AO$1, DicR!$6:$6, 0), FALSE),
            0
        )
)</f>
        <v>0</v>
      </c>
      <c r="AP11" s="36">
        <f t="array" ref="AP11">SUM(
    IFERROR(
            VLOOKUP($A11, INDIRECT("EneR!$A$6:$ZZ$1048576"), MATCH(AP$1, EneR!$6:$6, 0), FALSE),
            0
        ) +
        IFERROR(
            VLOOKUP($A11, INDIRECT("FebR!$A$6:$ZZ$1048576"), MATCH(AP$1, FebR!$6:$6, 0), FALSE),
            0
        ) +
        IFERROR(
            VLOOKUP($A11, INDIRECT("MarR!$A$6:$ZZ$1048576"), MATCH(AP$1, MarR!$6:$6, 0), FALSE),
            0
        ) +
        IFERROR(
            VLOOKUP($A11, INDIRECT("AbrR!$A$6:$ZZ$1048576"), MATCH(AP$1, AbrR!$6:$6, 0), FALSE),
            0
        ) +
        IFERROR(
            VLOOKUP($A11, INDIRECT("MayR!$A$6:$ZZ$1048576"), MATCH(AP$1, MayR!$6:$6, 0), FALSE),
            0
        ) +
        IFERROR(
            VLOOKUP($A11, INDIRECT("JunR!$A$6:$ZZ$1048576"), MATCH(AP$1, JunR!$6:$6, 0), FALSE),
            0
        ) +
        IFERROR(
            VLOOKUP($A11, INDIRECT("JulR!$A$6:$ZZ$1048576"), MATCH(AP$1, JulR!$6:$6, 0), FALSE),
            0
        ) +
        IFERROR(
            VLOOKUP($A11, INDIRECT("AgoR!$A$6:$ZZ$1048576"), MATCH(AP$1, AgoR!$6:$6, 0), FALSE),
            0
        ) +
        IFERROR(
            VLOOKUP($A11, INDIRECT("SepR!$A$6:$ZZ$1048576"), MATCH(AP$1, SepR!$6:$6, 0), FALSE),
            0
        ) +
        IFERROR(
            VLOOKUP($A11, INDIRECT("OctR!$A$6:$ZZ$1048576"), MATCH(AP$1, OctR!$6:$6, 0), FALSE),
            0
        ) +
        IFERROR(
            VLOOKUP($A11, INDIRECT("NovR!$A$6:$ZZ$1048576"), MATCH(AP$1, NovR!$6:$6, 0), FALSE),
            0
        ) +
        IFERROR(
            VLOOKUP($A11, INDIRECT("DicR!$A$6:$ZZ$1048576"), MATCH(AP$1, DicR!$6:$6, 0), FALSE),
            0
        )
)</f>
        <v>0</v>
      </c>
      <c r="AQ11" s="37">
        <f t="array" ref="AQ11">SUM(
    IFERROR(
            VLOOKUP($A11, INDIRECT("EneR!$A$6:$ZZ$1048576"), MATCH(AQ$1, EneR!$6:$6, 0), FALSE),
            0
        ) +
        IFERROR(
            VLOOKUP($A11, INDIRECT("FebR!$A$6:$ZZ$1048576"), MATCH(AQ$1, FebR!$6:$6, 0), FALSE),
            0
        ) +
        IFERROR(
            VLOOKUP($A11, INDIRECT("MarR!$A$6:$ZZ$1048576"), MATCH(AQ$1, MarR!$6:$6, 0), FALSE),
            0
        ) +
        IFERROR(
            VLOOKUP($A11, INDIRECT("AbrR!$A$6:$ZZ$1048576"), MATCH(AQ$1, AbrR!$6:$6, 0), FALSE),
            0
        ) +
        IFERROR(
            VLOOKUP($A11, INDIRECT("MayR!$A$6:$ZZ$1048576"), MATCH(AQ$1, MayR!$6:$6, 0), FALSE),
            0
        ) +
        IFERROR(
            VLOOKUP($A11, INDIRECT("JunR!$A$6:$ZZ$1048576"), MATCH(AQ$1, JunR!$6:$6, 0), FALSE),
            0
        ) +
        IFERROR(
            VLOOKUP($A11, INDIRECT("JulR!$A$6:$ZZ$1048576"), MATCH(AQ$1, JulR!$6:$6, 0), FALSE),
            0
        ) +
        IFERROR(
            VLOOKUP($A11, INDIRECT("AgoR!$A$6:$ZZ$1048576"), MATCH(AQ$1, AgoR!$6:$6, 0), FALSE),
            0
        ) +
        IFERROR(
            VLOOKUP($A11, INDIRECT("SepR!$A$6:$ZZ$1048576"), MATCH(AQ$1, SepR!$6:$6, 0), FALSE),
            0
        ) +
        IFERROR(
            VLOOKUP($A11, INDIRECT("OctR!$A$6:$ZZ$1048576"), MATCH(AQ$1, OctR!$6:$6, 0), FALSE),
            0
        ) +
        IFERROR(
            VLOOKUP($A11, INDIRECT("NovR!$A$6:$ZZ$1048576"), MATCH(AQ$1, NovR!$6:$6, 0), FALSE),
            0
        ) +
        IFERROR(
            VLOOKUP($A11, INDIRECT("DicR!$A$6:$ZZ$1048576"), MATCH(AQ$1, DicR!$6:$6, 0), FALSE),
            0
        )
)</f>
        <v>0</v>
      </c>
      <c r="AR11" s="36">
        <f t="array" ref="AR11">SUM(
    IFERROR(
            VLOOKUP($A11, INDIRECT("EneR!$A$6:$ZZ$1048576"), MATCH(AR$1, EneR!$6:$6, 0), FALSE),
            0
        ) +
        IFERROR(
            VLOOKUP($A11, INDIRECT("FebR!$A$6:$ZZ$1048576"), MATCH(AR$1, FebR!$6:$6, 0), FALSE),
            0
        ) +
        IFERROR(
            VLOOKUP($A11, INDIRECT("MarR!$A$6:$ZZ$1048576"), MATCH(AR$1, MarR!$6:$6, 0), FALSE),
            0
        ) +
        IFERROR(
            VLOOKUP($A11, INDIRECT("AbrR!$A$6:$ZZ$1048576"), MATCH(AR$1, AbrR!$6:$6, 0), FALSE),
            0
        ) +
        IFERROR(
            VLOOKUP($A11, INDIRECT("MayR!$A$6:$ZZ$1048576"), MATCH(AR$1, MayR!$6:$6, 0), FALSE),
            0
        ) +
        IFERROR(
            VLOOKUP($A11, INDIRECT("JunR!$A$6:$ZZ$1048576"), MATCH(AR$1, JunR!$6:$6, 0), FALSE),
            0
        ) +
        IFERROR(
            VLOOKUP($A11, INDIRECT("JulR!$A$6:$ZZ$1048576"), MATCH(AR$1, JulR!$6:$6, 0), FALSE),
            0
        ) +
        IFERROR(
            VLOOKUP($A11, INDIRECT("AgoR!$A$6:$ZZ$1048576"), MATCH(AR$1, AgoR!$6:$6, 0), FALSE),
            0
        ) +
        IFERROR(
            VLOOKUP($A11, INDIRECT("SepR!$A$6:$ZZ$1048576"), MATCH(AR$1, SepR!$6:$6, 0), FALSE),
            0
        ) +
        IFERROR(
            VLOOKUP($A11, INDIRECT("OctR!$A$6:$ZZ$1048576"), MATCH(AR$1, OctR!$6:$6, 0), FALSE),
            0
        ) +
        IFERROR(
            VLOOKUP($A11, INDIRECT("NovR!$A$6:$ZZ$1048576"), MATCH(AR$1, NovR!$6:$6, 0), FALSE),
            0
        ) +
        IFERROR(
            VLOOKUP($A11, INDIRECT("DicR!$A$6:$ZZ$1048576"), MATCH(AR$1, DicR!$6:$6, 0), FALSE),
            0
        )
)</f>
        <v>0</v>
      </c>
      <c r="AS11" s="37">
        <f t="array" ref="AS11">SUM(
    IFERROR(
            VLOOKUP($A11, INDIRECT("EneR!$A$6:$ZZ$1048576"), MATCH(AS$1, EneR!$6:$6, 0), FALSE),
            0
        ) +
        IFERROR(
            VLOOKUP($A11, INDIRECT("FebR!$A$6:$ZZ$1048576"), MATCH(AS$1, FebR!$6:$6, 0), FALSE),
            0
        ) +
        IFERROR(
            VLOOKUP($A11, INDIRECT("MarR!$A$6:$ZZ$1048576"), MATCH(AS$1, MarR!$6:$6, 0), FALSE),
            0
        ) +
        IFERROR(
            VLOOKUP($A11, INDIRECT("AbrR!$A$6:$ZZ$1048576"), MATCH(AS$1, AbrR!$6:$6, 0), FALSE),
            0
        ) +
        IFERROR(
            VLOOKUP($A11, INDIRECT("MayR!$A$6:$ZZ$1048576"), MATCH(AS$1, MayR!$6:$6, 0), FALSE),
            0
        ) +
        IFERROR(
            VLOOKUP($A11, INDIRECT("JunR!$A$6:$ZZ$1048576"), MATCH(AS$1, JunR!$6:$6, 0), FALSE),
            0
        ) +
        IFERROR(
            VLOOKUP($A11, INDIRECT("JulR!$A$6:$ZZ$1048576"), MATCH(AS$1, JulR!$6:$6, 0), FALSE),
            0
        ) +
        IFERROR(
            VLOOKUP($A11, INDIRECT("AgoR!$A$6:$ZZ$1048576"), MATCH(AS$1, AgoR!$6:$6, 0), FALSE),
            0
        ) +
        IFERROR(
            VLOOKUP($A11, INDIRECT("SepR!$A$6:$ZZ$1048576"), MATCH(AS$1, SepR!$6:$6, 0), FALSE),
            0
        ) +
        IFERROR(
            VLOOKUP($A11, INDIRECT("OctR!$A$6:$ZZ$1048576"), MATCH(AS$1, OctR!$6:$6, 0), FALSE),
            0
        ) +
        IFERROR(
            VLOOKUP($A11, INDIRECT("NovR!$A$6:$ZZ$1048576"), MATCH(AS$1, NovR!$6:$6, 0), FALSE),
            0
        ) +
        IFERROR(
            VLOOKUP($A11, INDIRECT("DicR!$A$6:$ZZ$1048576"), MATCH(AS$1, DicR!$6:$6, 0), FALSE),
            0
        )
)</f>
        <v>0</v>
      </c>
      <c r="AT11" s="36">
        <f t="array" ref="AT11">SUM(
    IFERROR(
            VLOOKUP($A11, INDIRECT("EneR!$A$6:$ZZ$1048576"), MATCH(AT$1, EneR!$6:$6, 0), FALSE),
            0
        ) +
        IFERROR(
            VLOOKUP($A11, INDIRECT("FebR!$A$6:$ZZ$1048576"), MATCH(AT$1, FebR!$6:$6, 0), FALSE),
            0
        ) +
        IFERROR(
            VLOOKUP($A11, INDIRECT("MarR!$A$6:$ZZ$1048576"), MATCH(AT$1, MarR!$6:$6, 0), FALSE),
            0
        ) +
        IFERROR(
            VLOOKUP($A11, INDIRECT("AbrR!$A$6:$ZZ$1048576"), MATCH(AT$1, AbrR!$6:$6, 0), FALSE),
            0
        ) +
        IFERROR(
            VLOOKUP($A11, INDIRECT("MayR!$A$6:$ZZ$1048576"), MATCH(AT$1, MayR!$6:$6, 0), FALSE),
            0
        ) +
        IFERROR(
            VLOOKUP($A11, INDIRECT("JunR!$A$6:$ZZ$1048576"), MATCH(AT$1, JunR!$6:$6, 0), FALSE),
            0
        ) +
        IFERROR(
            VLOOKUP($A11, INDIRECT("JulR!$A$6:$ZZ$1048576"), MATCH(AT$1, JulR!$6:$6, 0), FALSE),
            0
        ) +
        IFERROR(
            VLOOKUP($A11, INDIRECT("AgoR!$A$6:$ZZ$1048576"), MATCH(AT$1, AgoR!$6:$6, 0), FALSE),
            0
        ) +
        IFERROR(
            VLOOKUP($A11, INDIRECT("SepR!$A$6:$ZZ$1048576"), MATCH(AT$1, SepR!$6:$6, 0), FALSE),
            0
        ) +
        IFERROR(
            VLOOKUP($A11, INDIRECT("OctR!$A$6:$ZZ$1048576"), MATCH(AT$1, OctR!$6:$6, 0), FALSE),
            0
        ) +
        IFERROR(
            VLOOKUP($A11, INDIRECT("NovR!$A$6:$ZZ$1048576"), MATCH(AT$1, NovR!$6:$6, 0), FALSE),
            0
        ) +
        IFERROR(
            VLOOKUP($A11, INDIRECT("DicR!$A$6:$ZZ$1048576"), MATCH(AT$1, DicR!$6:$6, 0), FALSE),
            0
        )
)</f>
        <v>0</v>
      </c>
      <c r="AU11" s="37">
        <f t="array" ref="AU11">SUM(
    IFERROR(
            VLOOKUP($A11, INDIRECT("EneR!$A$6:$ZZ$1048576"), MATCH(AU$1, EneR!$6:$6, 0), FALSE),
            0
        ) +
        IFERROR(
            VLOOKUP($A11, INDIRECT("FebR!$A$6:$ZZ$1048576"), MATCH(AU$1, FebR!$6:$6, 0), FALSE),
            0
        ) +
        IFERROR(
            VLOOKUP($A11, INDIRECT("MarR!$A$6:$ZZ$1048576"), MATCH(AU$1, MarR!$6:$6, 0), FALSE),
            0
        ) +
        IFERROR(
            VLOOKUP($A11, INDIRECT("AbrR!$A$6:$ZZ$1048576"), MATCH(AU$1, AbrR!$6:$6, 0), FALSE),
            0
        ) +
        IFERROR(
            VLOOKUP($A11, INDIRECT("MayR!$A$6:$ZZ$1048576"), MATCH(AU$1, MayR!$6:$6, 0), FALSE),
            0
        ) +
        IFERROR(
            VLOOKUP($A11, INDIRECT("JunR!$A$6:$ZZ$1048576"), MATCH(AU$1, JunR!$6:$6, 0), FALSE),
            0
        ) +
        IFERROR(
            VLOOKUP($A11, INDIRECT("JulR!$A$6:$ZZ$1048576"), MATCH(AU$1, JulR!$6:$6, 0), FALSE),
            0
        ) +
        IFERROR(
            VLOOKUP($A11, INDIRECT("AgoR!$A$6:$ZZ$1048576"), MATCH(AU$1, AgoR!$6:$6, 0), FALSE),
            0
        ) +
        IFERROR(
            VLOOKUP($A11, INDIRECT("SepR!$A$6:$ZZ$1048576"), MATCH(AU$1, SepR!$6:$6, 0), FALSE),
            0
        ) +
        IFERROR(
            VLOOKUP($A11, INDIRECT("OctR!$A$6:$ZZ$1048576"), MATCH(AU$1, OctR!$6:$6, 0), FALSE),
            0
        ) +
        IFERROR(
            VLOOKUP($A11, INDIRECT("NovR!$A$6:$ZZ$1048576"), MATCH(AU$1, NovR!$6:$6, 0), FALSE),
            0
        ) +
        IFERROR(
            VLOOKUP($A11, INDIRECT("DicR!$A$6:$ZZ$1048576"), MATCH(AU$1, DicR!$6:$6, 0), FALSE),
            0
        )
)</f>
        <v>0</v>
      </c>
      <c r="AV11" s="36">
        <f t="array" ref="AV11">SUM(
    IFERROR(
            VLOOKUP($A11, INDIRECT("EneR!$A$6:$ZZ$1048576"), MATCH(AV$1, EneR!$6:$6, 0), FALSE),
            0
        ) +
        IFERROR(
            VLOOKUP($A11, INDIRECT("FebR!$A$6:$ZZ$1048576"), MATCH(AV$1, FebR!$6:$6, 0), FALSE),
            0
        ) +
        IFERROR(
            VLOOKUP($A11, INDIRECT("MarR!$A$6:$ZZ$1048576"), MATCH(AV$1, MarR!$6:$6, 0), FALSE),
            0
        ) +
        IFERROR(
            VLOOKUP($A11, INDIRECT("AbrR!$A$6:$ZZ$1048576"), MATCH(AV$1, AbrR!$6:$6, 0), FALSE),
            0
        ) +
        IFERROR(
            VLOOKUP($A11, INDIRECT("MayR!$A$6:$ZZ$1048576"), MATCH(AV$1, MayR!$6:$6, 0), FALSE),
            0
        ) +
        IFERROR(
            VLOOKUP($A11, INDIRECT("JunR!$A$6:$ZZ$1048576"), MATCH(AV$1, JunR!$6:$6, 0), FALSE),
            0
        ) +
        IFERROR(
            VLOOKUP($A11, INDIRECT("JulR!$A$6:$ZZ$1048576"), MATCH(AV$1, JulR!$6:$6, 0), FALSE),
            0
        ) +
        IFERROR(
            VLOOKUP($A11, INDIRECT("AgoR!$A$6:$ZZ$1048576"), MATCH(AV$1, AgoR!$6:$6, 0), FALSE),
            0
        ) +
        IFERROR(
            VLOOKUP($A11, INDIRECT("SepR!$A$6:$ZZ$1048576"), MATCH(AV$1, SepR!$6:$6, 0), FALSE),
            0
        ) +
        IFERROR(
            VLOOKUP($A11, INDIRECT("OctR!$A$6:$ZZ$1048576"), MATCH(AV$1, OctR!$6:$6, 0), FALSE),
            0
        ) +
        IFERROR(
            VLOOKUP($A11, INDIRECT("NovR!$A$6:$ZZ$1048576"), MATCH(AV$1, NovR!$6:$6, 0), FALSE),
            0
        ) +
        IFERROR(
            VLOOKUP($A11, INDIRECT("DicR!$A$6:$ZZ$1048576"), MATCH(AV$1, DicR!$6:$6, 0), FALSE),
            0
        )
)</f>
        <v>0</v>
      </c>
      <c r="AW11" s="37">
        <f t="array" ref="AW11">SUM(
    IFERROR(
            VLOOKUP($A11, INDIRECT("EneR!$A$6:$ZZ$1048576"), MATCH(AW$1, EneR!$6:$6, 0), FALSE),
            0
        ) +
        IFERROR(
            VLOOKUP($A11, INDIRECT("FebR!$A$6:$ZZ$1048576"), MATCH(AW$1, FebR!$6:$6, 0), FALSE),
            0
        ) +
        IFERROR(
            VLOOKUP($A11, INDIRECT("MarR!$A$6:$ZZ$1048576"), MATCH(AW$1, MarR!$6:$6, 0), FALSE),
            0
        ) +
        IFERROR(
            VLOOKUP($A11, INDIRECT("AbrR!$A$6:$ZZ$1048576"), MATCH(AW$1, AbrR!$6:$6, 0), FALSE),
            0
        ) +
        IFERROR(
            VLOOKUP($A11, INDIRECT("MayR!$A$6:$ZZ$1048576"), MATCH(AW$1, MayR!$6:$6, 0), FALSE),
            0
        ) +
        IFERROR(
            VLOOKUP($A11, INDIRECT("JunR!$A$6:$ZZ$1048576"), MATCH(AW$1, JunR!$6:$6, 0), FALSE),
            0
        ) +
        IFERROR(
            VLOOKUP($A11, INDIRECT("JulR!$A$6:$ZZ$1048576"), MATCH(AW$1, JulR!$6:$6, 0), FALSE),
            0
        ) +
        IFERROR(
            VLOOKUP($A11, INDIRECT("AgoR!$A$6:$ZZ$1048576"), MATCH(AW$1, AgoR!$6:$6, 0), FALSE),
            0
        ) +
        IFERROR(
            VLOOKUP($A11, INDIRECT("SepR!$A$6:$ZZ$1048576"), MATCH(AW$1, SepR!$6:$6, 0), FALSE),
            0
        ) +
        IFERROR(
            VLOOKUP($A11, INDIRECT("OctR!$A$6:$ZZ$1048576"), MATCH(AW$1, OctR!$6:$6, 0), FALSE),
            0
        ) +
        IFERROR(
            VLOOKUP($A11, INDIRECT("NovR!$A$6:$ZZ$1048576"), MATCH(AW$1, NovR!$6:$6, 0), FALSE),
            0
        ) +
        IFERROR(
            VLOOKUP($A11, INDIRECT("DicR!$A$6:$ZZ$1048576"), MATCH(AW$1, DicR!$6:$6, 0), FALSE),
            0
        )
)</f>
        <v>0</v>
      </c>
      <c r="AX11" s="36">
        <f t="array" ref="AX11">SUM(
    IFERROR(
            VLOOKUP($A11, INDIRECT("EneR!$A$6:$ZZ$1048576"), MATCH(AX$1, EneR!$6:$6, 0), FALSE),
            0
        ) +
        IFERROR(
            VLOOKUP($A11, INDIRECT("FebR!$A$6:$ZZ$1048576"), MATCH(AX$1, FebR!$6:$6, 0), FALSE),
            0
        ) +
        IFERROR(
            VLOOKUP($A11, INDIRECT("MarR!$A$6:$ZZ$1048576"), MATCH(AX$1, MarR!$6:$6, 0), FALSE),
            0
        ) +
        IFERROR(
            VLOOKUP($A11, INDIRECT("AbrR!$A$6:$ZZ$1048576"), MATCH(AX$1, AbrR!$6:$6, 0), FALSE),
            0
        ) +
        IFERROR(
            VLOOKUP($A11, INDIRECT("MayR!$A$6:$ZZ$1048576"), MATCH(AX$1, MayR!$6:$6, 0), FALSE),
            0
        ) +
        IFERROR(
            VLOOKUP($A11, INDIRECT("JunR!$A$6:$ZZ$1048576"), MATCH(AX$1, JunR!$6:$6, 0), FALSE),
            0
        ) +
        IFERROR(
            VLOOKUP($A11, INDIRECT("JulR!$A$6:$ZZ$1048576"), MATCH(AX$1, JulR!$6:$6, 0), FALSE),
            0
        ) +
        IFERROR(
            VLOOKUP($A11, INDIRECT("AgoR!$A$6:$ZZ$1048576"), MATCH(AX$1, AgoR!$6:$6, 0), FALSE),
            0
        ) +
        IFERROR(
            VLOOKUP($A11, INDIRECT("SepR!$A$6:$ZZ$1048576"), MATCH(AX$1, SepR!$6:$6, 0), FALSE),
            0
        ) +
        IFERROR(
            VLOOKUP($A11, INDIRECT("OctR!$A$6:$ZZ$1048576"), MATCH(AX$1, OctR!$6:$6, 0), FALSE),
            0
        ) +
        IFERROR(
            VLOOKUP($A11, INDIRECT("NovR!$A$6:$ZZ$1048576"), MATCH(AX$1, NovR!$6:$6, 0), FALSE),
            0
        ) +
        IFERROR(
            VLOOKUP($A11, INDIRECT("DicR!$A$6:$ZZ$1048576"), MATCH(AX$1, DicR!$6:$6, 0), FALSE),
            0
        )
)</f>
        <v>0</v>
      </c>
      <c r="AY11" s="37">
        <f t="array" ref="AY11">SUM(
    IFERROR(
            VLOOKUP($A11, INDIRECT("EneR!$A$6:$ZZ$1048576"), MATCH(AY$1, EneR!$6:$6, 0), FALSE),
            0
        ) +
        IFERROR(
            VLOOKUP($A11, INDIRECT("FebR!$A$6:$ZZ$1048576"), MATCH(AY$1, FebR!$6:$6, 0), FALSE),
            0
        ) +
        IFERROR(
            VLOOKUP($A11, INDIRECT("MarR!$A$6:$ZZ$1048576"), MATCH(AY$1, MarR!$6:$6, 0), FALSE),
            0
        ) +
        IFERROR(
            VLOOKUP($A11, INDIRECT("AbrR!$A$6:$ZZ$1048576"), MATCH(AY$1, AbrR!$6:$6, 0), FALSE),
            0
        ) +
        IFERROR(
            VLOOKUP($A11, INDIRECT("MayR!$A$6:$ZZ$1048576"), MATCH(AY$1, MayR!$6:$6, 0), FALSE),
            0
        ) +
        IFERROR(
            VLOOKUP($A11, INDIRECT("JunR!$A$6:$ZZ$1048576"), MATCH(AY$1, JunR!$6:$6, 0), FALSE),
            0
        ) +
        IFERROR(
            VLOOKUP($A11, INDIRECT("JulR!$A$6:$ZZ$1048576"), MATCH(AY$1, JulR!$6:$6, 0), FALSE),
            0
        ) +
        IFERROR(
            VLOOKUP($A11, INDIRECT("AgoR!$A$6:$ZZ$1048576"), MATCH(AY$1, AgoR!$6:$6, 0), FALSE),
            0
        ) +
        IFERROR(
            VLOOKUP($A11, INDIRECT("SepR!$A$6:$ZZ$1048576"), MATCH(AY$1, SepR!$6:$6, 0), FALSE),
            0
        ) +
        IFERROR(
            VLOOKUP($A11, INDIRECT("OctR!$A$6:$ZZ$1048576"), MATCH(AY$1, OctR!$6:$6, 0), FALSE),
            0
        ) +
        IFERROR(
            VLOOKUP($A11, INDIRECT("NovR!$A$6:$ZZ$1048576"), MATCH(AY$1, NovR!$6:$6, 0), FALSE),
            0
        ) +
        IFERROR(
            VLOOKUP($A11, INDIRECT("DicR!$A$6:$ZZ$1048576"), MATCH(AY$1, DicR!$6:$6, 0), FALSE),
            0
        )
)</f>
        <v>0</v>
      </c>
      <c r="AZ11" s="37"/>
    </row>
    <row r="12" ht="15.75" customHeight="1">
      <c r="A12" s="12" t="str">
        <f>Menus!R4</f>
        <v/>
      </c>
      <c r="B12" s="32">
        <f t="shared" si="4"/>
        <v>0</v>
      </c>
      <c r="C12" s="33" t="str">
        <f t="shared" si="5"/>
        <v/>
      </c>
      <c r="D12" s="34">
        <f t="array" ref="D12">SUM(
    IFERROR(
            VLOOKUP($A12, INDIRECT("EneR!$A$6:$ZZ$1048576"), MATCH(D$1, EneR!$6:$6, 0), FALSE),
            0
        ) +
        IFERROR(
            VLOOKUP($A12, INDIRECT("FebR!$A$6:$ZZ$1048576"), MATCH(D$1, FebR!$6:$6, 0), FALSE),
            0
        ) +
        IFERROR(
            VLOOKUP($A12, INDIRECT("MarR!$A$6:$ZZ$1048576"), MATCH(D$1, MarR!$6:$6, 0), FALSE),
            0
        ) +
        IFERROR(
            VLOOKUP($A12, INDIRECT("AbrR!$A$6:$ZZ$1048576"), MATCH(D$1, AbrR!$6:$6, 0), FALSE),
            0
        ) +
        IFERROR(
            VLOOKUP($A12, INDIRECT("MayR!$A$6:$ZZ$1048576"), MATCH(D$1, MayR!$6:$6, 0), FALSE),
            0
        ) +
        IFERROR(
            VLOOKUP($A12, INDIRECT("JunR!$A$6:$ZZ$1048576"), MATCH(D$1, JunR!$6:$6, 0), FALSE),
            0
        ) +
        IFERROR(
            VLOOKUP($A12, INDIRECT("JulR!$A$6:$ZZ$1048576"), MATCH(D$1, JulR!$6:$6, 0), FALSE),
            0
        ) +
        IFERROR(
            VLOOKUP($A12, INDIRECT("AgoR!$A$6:$ZZ$1048576"), MATCH(D$1, AgoR!$6:$6, 0), FALSE),
            0
        ) +
        IFERROR(
            VLOOKUP($A12, INDIRECT("SepR!$A$6:$ZZ$1048576"), MATCH(D$1, SepR!$6:$6, 0), FALSE),
            0
        ) +
        IFERROR(
            VLOOKUP($A12, INDIRECT("OctR!$A$6:$ZZ$1048576"), MATCH(D$1, OctR!$6:$6, 0), FALSE),
            0
        ) +
        IFERROR(
            VLOOKUP($A12, INDIRECT("NovR!$A$6:$ZZ$1048576"), MATCH(D$1, NovR!$6:$6, 0), FALSE),
            0
        ) +
        IFERROR(
            VLOOKUP($A12, INDIRECT("DicR!$A$6:$ZZ$1048576"), MATCH(D$1, DicR!$6:$6, 0), FALSE),
            0
        )
)</f>
        <v>0</v>
      </c>
      <c r="E12" s="35">
        <f t="array" ref="E12">SUM(
    IFERROR(
            VLOOKUP($A12, INDIRECT("EneR!$A$6:$ZZ$1048576"), MATCH(E$1, EneR!$6:$6, 0), FALSE),
            0
        ) +
        IFERROR(
            VLOOKUP($A12, INDIRECT("FebR!$A$6:$ZZ$1048576"), MATCH(E$1, FebR!$6:$6, 0), FALSE),
            0
        ) +
        IFERROR(
            VLOOKUP($A12, INDIRECT("MarR!$A$6:$ZZ$1048576"), MATCH(E$1, MarR!$6:$6, 0), FALSE),
            0
        ) +
        IFERROR(
            VLOOKUP($A12, INDIRECT("AbrR!$A$6:$ZZ$1048576"), MATCH(E$1, AbrR!$6:$6, 0), FALSE),
            0
        ) +
        IFERROR(
            VLOOKUP($A12, INDIRECT("MayR!$A$6:$ZZ$1048576"), MATCH(E$1, MayR!$6:$6, 0), FALSE),
            0
        ) +
        IFERROR(
            VLOOKUP($A12, INDIRECT("JunR!$A$6:$ZZ$1048576"), MATCH(E$1, JunR!$6:$6, 0), FALSE),
            0
        ) +
        IFERROR(
            VLOOKUP($A12, INDIRECT("JulR!$A$6:$ZZ$1048576"), MATCH(E$1, JulR!$6:$6, 0), FALSE),
            0
        ) +
        IFERROR(
            VLOOKUP($A12, INDIRECT("AgoR!$A$6:$ZZ$1048576"), MATCH(E$1, AgoR!$6:$6, 0), FALSE),
            0
        ) +
        IFERROR(
            VLOOKUP($A12, INDIRECT("SepR!$A$6:$ZZ$1048576"), MATCH(E$1, SepR!$6:$6, 0), FALSE),
            0
        ) +
        IFERROR(
            VLOOKUP($A12, INDIRECT("OctR!$A$6:$ZZ$1048576"), MATCH(E$1, OctR!$6:$6, 0), FALSE),
            0
        ) +
        IFERROR(
            VLOOKUP($A12, INDIRECT("NovR!$A$6:$ZZ$1048576"), MATCH(E$1, NovR!$6:$6, 0), FALSE),
            0
        ) +
        IFERROR(
            VLOOKUP($A12, INDIRECT("DicR!$A$6:$ZZ$1048576"), MATCH(E$1, DicR!$6:$6, 0), FALSE),
            0
        )
)</f>
        <v>0</v>
      </c>
      <c r="F12" s="32">
        <f t="array" ref="F12">SUM(
    IFERROR(
            VLOOKUP($A12, INDIRECT("EneR!$A$6:$ZZ$1048576"), MATCH(F$1, EneR!$6:$6, 0), FALSE),
            0
        ) +
        IFERROR(
            VLOOKUP($A12, INDIRECT("FebR!$A$6:$ZZ$1048576"), MATCH(F$1, FebR!$6:$6, 0), FALSE),
            0
        ) +
        IFERROR(
            VLOOKUP($A12, INDIRECT("MarR!$A$6:$ZZ$1048576"), MATCH(F$1, MarR!$6:$6, 0), FALSE),
            0
        ) +
        IFERROR(
            VLOOKUP($A12, INDIRECT("AbrR!$A$6:$ZZ$1048576"), MATCH(F$1, AbrR!$6:$6, 0), FALSE),
            0
        ) +
        IFERROR(
            VLOOKUP($A12, INDIRECT("MayR!$A$6:$ZZ$1048576"), MATCH(F$1, MayR!$6:$6, 0), FALSE),
            0
        ) +
        IFERROR(
            VLOOKUP($A12, INDIRECT("JunR!$A$6:$ZZ$1048576"), MATCH(F$1, JunR!$6:$6, 0), FALSE),
            0
        ) +
        IFERROR(
            VLOOKUP($A12, INDIRECT("JulR!$A$6:$ZZ$1048576"), MATCH(F$1, JulR!$6:$6, 0), FALSE),
            0
        ) +
        IFERROR(
            VLOOKUP($A12, INDIRECT("AgoR!$A$6:$ZZ$1048576"), MATCH(F$1, AgoR!$6:$6, 0), FALSE),
            0
        ) +
        IFERROR(
            VLOOKUP($A12, INDIRECT("SepR!$A$6:$ZZ$1048576"), MATCH(F$1, SepR!$6:$6, 0), FALSE),
            0
        ) +
        IFERROR(
            VLOOKUP($A12, INDIRECT("OctR!$A$6:$ZZ$1048576"), MATCH(F$1, OctR!$6:$6, 0), FALSE),
            0
        ) +
        IFERROR(
            VLOOKUP($A12, INDIRECT("NovR!$A$6:$ZZ$1048576"), MATCH(F$1, NovR!$6:$6, 0), FALSE),
            0
        ) +
        IFERROR(
            VLOOKUP($A12, INDIRECT("DicR!$A$6:$ZZ$1048576"), MATCH(F$1, DicR!$6:$6, 0), FALSE),
            0
        )
)</f>
        <v>0</v>
      </c>
      <c r="G12" s="35">
        <f t="array" ref="G12">SUM(
    IFERROR(
            VLOOKUP($A12, INDIRECT("EneR!$A$6:$ZZ$1048576"), MATCH(G$1, EneR!$6:$6, 0), FALSE),
            0
        ) +
        IFERROR(
            VLOOKUP($A12, INDIRECT("FebR!$A$6:$ZZ$1048576"), MATCH(G$1, FebR!$6:$6, 0), FALSE),
            0
        ) +
        IFERROR(
            VLOOKUP($A12, INDIRECT("MarR!$A$6:$ZZ$1048576"), MATCH(G$1, MarR!$6:$6, 0), FALSE),
            0
        ) +
        IFERROR(
            VLOOKUP($A12, INDIRECT("AbrR!$A$6:$ZZ$1048576"), MATCH(G$1, AbrR!$6:$6, 0), FALSE),
            0
        ) +
        IFERROR(
            VLOOKUP($A12, INDIRECT("MayR!$A$6:$ZZ$1048576"), MATCH(G$1, MayR!$6:$6, 0), FALSE),
            0
        ) +
        IFERROR(
            VLOOKUP($A12, INDIRECT("JunR!$A$6:$ZZ$1048576"), MATCH(G$1, JunR!$6:$6, 0), FALSE),
            0
        ) +
        IFERROR(
            VLOOKUP($A12, INDIRECT("JulR!$A$6:$ZZ$1048576"), MATCH(G$1, JulR!$6:$6, 0), FALSE),
            0
        ) +
        IFERROR(
            VLOOKUP($A12, INDIRECT("AgoR!$A$6:$ZZ$1048576"), MATCH(G$1, AgoR!$6:$6, 0), FALSE),
            0
        ) +
        IFERROR(
            VLOOKUP($A12, INDIRECT("SepR!$A$6:$ZZ$1048576"), MATCH(G$1, SepR!$6:$6, 0), FALSE),
            0
        ) +
        IFERROR(
            VLOOKUP($A12, INDIRECT("OctR!$A$6:$ZZ$1048576"), MATCH(G$1, OctR!$6:$6, 0), FALSE),
            0
        ) +
        IFERROR(
            VLOOKUP($A12, INDIRECT("NovR!$A$6:$ZZ$1048576"), MATCH(G$1, NovR!$6:$6, 0), FALSE),
            0
        ) +
        IFERROR(
            VLOOKUP($A12, INDIRECT("DicR!$A$6:$ZZ$1048576"), MATCH(G$1, DicR!$6:$6, 0), FALSE),
            0
        )
)</f>
        <v>0</v>
      </c>
      <c r="H12" s="32">
        <f t="array" ref="H12">SUM(
    IFERROR(
            VLOOKUP($A12, INDIRECT("EneR!$A$6:$ZZ$1048576"), MATCH(H$1, EneR!$6:$6, 0), FALSE),
            0
        ) +
        IFERROR(
            VLOOKUP($A12, INDIRECT("FebR!$A$6:$ZZ$1048576"), MATCH(H$1, FebR!$6:$6, 0), FALSE),
            0
        ) +
        IFERROR(
            VLOOKUP($A12, INDIRECT("MarR!$A$6:$ZZ$1048576"), MATCH(H$1, MarR!$6:$6, 0), FALSE),
            0
        ) +
        IFERROR(
            VLOOKUP($A12, INDIRECT("AbrR!$A$6:$ZZ$1048576"), MATCH(H$1, AbrR!$6:$6, 0), FALSE),
            0
        ) +
        IFERROR(
            VLOOKUP($A12, INDIRECT("MayR!$A$6:$ZZ$1048576"), MATCH(H$1, MayR!$6:$6, 0), FALSE),
            0
        ) +
        IFERROR(
            VLOOKUP($A12, INDIRECT("JunR!$A$6:$ZZ$1048576"), MATCH(H$1, JunR!$6:$6, 0), FALSE),
            0
        ) +
        IFERROR(
            VLOOKUP($A12, INDIRECT("JulR!$A$6:$ZZ$1048576"), MATCH(H$1, JulR!$6:$6, 0), FALSE),
            0
        ) +
        IFERROR(
            VLOOKUP($A12, INDIRECT("AgoR!$A$6:$ZZ$1048576"), MATCH(H$1, AgoR!$6:$6, 0), FALSE),
            0
        ) +
        IFERROR(
            VLOOKUP($A12, INDIRECT("SepR!$A$6:$ZZ$1048576"), MATCH(H$1, SepR!$6:$6, 0), FALSE),
            0
        ) +
        IFERROR(
            VLOOKUP($A12, INDIRECT("OctR!$A$6:$ZZ$1048576"), MATCH(H$1, OctR!$6:$6, 0), FALSE),
            0
        ) +
        IFERROR(
            VLOOKUP($A12, INDIRECT("NovR!$A$6:$ZZ$1048576"), MATCH(H$1, NovR!$6:$6, 0), FALSE),
            0
        ) +
        IFERROR(
            VLOOKUP($A12, INDIRECT("DicR!$A$6:$ZZ$1048576"), MATCH(H$1, DicR!$6:$6, 0), FALSE),
            0
        )
)</f>
        <v>0</v>
      </c>
      <c r="I12" s="35">
        <f t="array" ref="I12">SUM(
    IFERROR(
            VLOOKUP($A12, INDIRECT("EneR!$A$6:$ZZ$1048576"), MATCH(I$1, EneR!$6:$6, 0), FALSE),
            0
        ) +
        IFERROR(
            VLOOKUP($A12, INDIRECT("FebR!$A$6:$ZZ$1048576"), MATCH(I$1, FebR!$6:$6, 0), FALSE),
            0
        ) +
        IFERROR(
            VLOOKUP($A12, INDIRECT("MarR!$A$6:$ZZ$1048576"), MATCH(I$1, MarR!$6:$6, 0), FALSE),
            0
        ) +
        IFERROR(
            VLOOKUP($A12, INDIRECT("AbrR!$A$6:$ZZ$1048576"), MATCH(I$1, AbrR!$6:$6, 0), FALSE),
            0
        ) +
        IFERROR(
            VLOOKUP($A12, INDIRECT("MayR!$A$6:$ZZ$1048576"), MATCH(I$1, MayR!$6:$6, 0), FALSE),
            0
        ) +
        IFERROR(
            VLOOKUP($A12, INDIRECT("JunR!$A$6:$ZZ$1048576"), MATCH(I$1, JunR!$6:$6, 0), FALSE),
            0
        ) +
        IFERROR(
            VLOOKUP($A12, INDIRECT("JulR!$A$6:$ZZ$1048576"), MATCH(I$1, JulR!$6:$6, 0), FALSE),
            0
        ) +
        IFERROR(
            VLOOKUP($A12, INDIRECT("AgoR!$A$6:$ZZ$1048576"), MATCH(I$1, AgoR!$6:$6, 0), FALSE),
            0
        ) +
        IFERROR(
            VLOOKUP($A12, INDIRECT("SepR!$A$6:$ZZ$1048576"), MATCH(I$1, SepR!$6:$6, 0), FALSE),
            0
        ) +
        IFERROR(
            VLOOKUP($A12, INDIRECT("OctR!$A$6:$ZZ$1048576"), MATCH(I$1, OctR!$6:$6, 0), FALSE),
            0
        ) +
        IFERROR(
            VLOOKUP($A12, INDIRECT("NovR!$A$6:$ZZ$1048576"), MATCH(I$1, NovR!$6:$6, 0), FALSE),
            0
        ) +
        IFERROR(
            VLOOKUP($A12, INDIRECT("DicR!$A$6:$ZZ$1048576"), MATCH(I$1, DicR!$6:$6, 0), FALSE),
            0
        )
)</f>
        <v>0</v>
      </c>
      <c r="J12" s="32">
        <f t="array" ref="J12">SUM(
    IFERROR(
            VLOOKUP($A12, INDIRECT("EneR!$A$6:$ZZ$1048576"), MATCH(J$1, EneR!$6:$6, 0), FALSE),
            0
        ) +
        IFERROR(
            VLOOKUP($A12, INDIRECT("FebR!$A$6:$ZZ$1048576"), MATCH(J$1, FebR!$6:$6, 0), FALSE),
            0
        ) +
        IFERROR(
            VLOOKUP($A12, INDIRECT("MarR!$A$6:$ZZ$1048576"), MATCH(J$1, MarR!$6:$6, 0), FALSE),
            0
        ) +
        IFERROR(
            VLOOKUP($A12, INDIRECT("AbrR!$A$6:$ZZ$1048576"), MATCH(J$1, AbrR!$6:$6, 0), FALSE),
            0
        ) +
        IFERROR(
            VLOOKUP($A12, INDIRECT("MayR!$A$6:$ZZ$1048576"), MATCH(J$1, MayR!$6:$6, 0), FALSE),
            0
        ) +
        IFERROR(
            VLOOKUP($A12, INDIRECT("JunR!$A$6:$ZZ$1048576"), MATCH(J$1, JunR!$6:$6, 0), FALSE),
            0
        ) +
        IFERROR(
            VLOOKUP($A12, INDIRECT("JulR!$A$6:$ZZ$1048576"), MATCH(J$1, JulR!$6:$6, 0), FALSE),
            0
        ) +
        IFERROR(
            VLOOKUP($A12, INDIRECT("AgoR!$A$6:$ZZ$1048576"), MATCH(J$1, AgoR!$6:$6, 0), FALSE),
            0
        ) +
        IFERROR(
            VLOOKUP($A12, INDIRECT("SepR!$A$6:$ZZ$1048576"), MATCH(J$1, SepR!$6:$6, 0), FALSE),
            0
        ) +
        IFERROR(
            VLOOKUP($A12, INDIRECT("OctR!$A$6:$ZZ$1048576"), MATCH(J$1, OctR!$6:$6, 0), FALSE),
            0
        ) +
        IFERROR(
            VLOOKUP($A12, INDIRECT("NovR!$A$6:$ZZ$1048576"), MATCH(J$1, NovR!$6:$6, 0), FALSE),
            0
        ) +
        IFERROR(
            VLOOKUP($A12, INDIRECT("DicR!$A$6:$ZZ$1048576"), MATCH(J$1, DicR!$6:$6, 0), FALSE),
            0
        )
)</f>
        <v>0</v>
      </c>
      <c r="K12" s="35">
        <f t="array" ref="K12">SUM(
    IFERROR(
            VLOOKUP($A12, INDIRECT("EneR!$A$6:$ZZ$1048576"), MATCH(K$1, EneR!$6:$6, 0), FALSE),
            0
        ) +
        IFERROR(
            VLOOKUP($A12, INDIRECT("FebR!$A$6:$ZZ$1048576"), MATCH(K$1, FebR!$6:$6, 0), FALSE),
            0
        ) +
        IFERROR(
            VLOOKUP($A12, INDIRECT("MarR!$A$6:$ZZ$1048576"), MATCH(K$1, MarR!$6:$6, 0), FALSE),
            0
        ) +
        IFERROR(
            VLOOKUP($A12, INDIRECT("AbrR!$A$6:$ZZ$1048576"), MATCH(K$1, AbrR!$6:$6, 0), FALSE),
            0
        ) +
        IFERROR(
            VLOOKUP($A12, INDIRECT("MayR!$A$6:$ZZ$1048576"), MATCH(K$1, MayR!$6:$6, 0), FALSE),
            0
        ) +
        IFERROR(
            VLOOKUP($A12, INDIRECT("JunR!$A$6:$ZZ$1048576"), MATCH(K$1, JunR!$6:$6, 0), FALSE),
            0
        ) +
        IFERROR(
            VLOOKUP($A12, INDIRECT("JulR!$A$6:$ZZ$1048576"), MATCH(K$1, JulR!$6:$6, 0), FALSE),
            0
        ) +
        IFERROR(
            VLOOKUP($A12, INDIRECT("AgoR!$A$6:$ZZ$1048576"), MATCH(K$1, AgoR!$6:$6, 0), FALSE),
            0
        ) +
        IFERROR(
            VLOOKUP($A12, INDIRECT("SepR!$A$6:$ZZ$1048576"), MATCH(K$1, SepR!$6:$6, 0), FALSE),
            0
        ) +
        IFERROR(
            VLOOKUP($A12, INDIRECT("OctR!$A$6:$ZZ$1048576"), MATCH(K$1, OctR!$6:$6, 0), FALSE),
            0
        ) +
        IFERROR(
            VLOOKUP($A12, INDIRECT("NovR!$A$6:$ZZ$1048576"), MATCH(K$1, NovR!$6:$6, 0), FALSE),
            0
        ) +
        IFERROR(
            VLOOKUP($A12, INDIRECT("DicR!$A$6:$ZZ$1048576"), MATCH(K$1, DicR!$6:$6, 0), FALSE),
            0
        )
)</f>
        <v>0</v>
      </c>
      <c r="L12" s="32">
        <f t="array" ref="L12">SUM(
    IFERROR(
            VLOOKUP($A12, INDIRECT("EneR!$A$6:$ZZ$1048576"), MATCH(L$1, EneR!$6:$6, 0), FALSE),
            0
        ) +
        IFERROR(
            VLOOKUP($A12, INDIRECT("FebR!$A$6:$ZZ$1048576"), MATCH(L$1, FebR!$6:$6, 0), FALSE),
            0
        ) +
        IFERROR(
            VLOOKUP($A12, INDIRECT("MarR!$A$6:$ZZ$1048576"), MATCH(L$1, MarR!$6:$6, 0), FALSE),
            0
        ) +
        IFERROR(
            VLOOKUP($A12, INDIRECT("AbrR!$A$6:$ZZ$1048576"), MATCH(L$1, AbrR!$6:$6, 0), FALSE),
            0
        ) +
        IFERROR(
            VLOOKUP($A12, INDIRECT("MayR!$A$6:$ZZ$1048576"), MATCH(L$1, MayR!$6:$6, 0), FALSE),
            0
        ) +
        IFERROR(
            VLOOKUP($A12, INDIRECT("JunR!$A$6:$ZZ$1048576"), MATCH(L$1, JunR!$6:$6, 0), FALSE),
            0
        ) +
        IFERROR(
            VLOOKUP($A12, INDIRECT("JulR!$A$6:$ZZ$1048576"), MATCH(L$1, JulR!$6:$6, 0), FALSE),
            0
        ) +
        IFERROR(
            VLOOKUP($A12, INDIRECT("AgoR!$A$6:$ZZ$1048576"), MATCH(L$1, AgoR!$6:$6, 0), FALSE),
            0
        ) +
        IFERROR(
            VLOOKUP($A12, INDIRECT("SepR!$A$6:$ZZ$1048576"), MATCH(L$1, SepR!$6:$6, 0), FALSE),
            0
        ) +
        IFERROR(
            VLOOKUP($A12, INDIRECT("OctR!$A$6:$ZZ$1048576"), MATCH(L$1, OctR!$6:$6, 0), FALSE),
            0
        ) +
        IFERROR(
            VLOOKUP($A12, INDIRECT("NovR!$A$6:$ZZ$1048576"), MATCH(L$1, NovR!$6:$6, 0), FALSE),
            0
        ) +
        IFERROR(
            VLOOKUP($A12, INDIRECT("DicR!$A$6:$ZZ$1048576"), MATCH(L$1, DicR!$6:$6, 0), FALSE),
            0
        )
)</f>
        <v>0</v>
      </c>
      <c r="M12" s="35">
        <f t="array" ref="M12">SUM(
    IFERROR(
            VLOOKUP($A12, INDIRECT("EneR!$A$6:$ZZ$1048576"), MATCH(M$1, EneR!$6:$6, 0), FALSE),
            0
        ) +
        IFERROR(
            VLOOKUP($A12, INDIRECT("FebR!$A$6:$ZZ$1048576"), MATCH(M$1, FebR!$6:$6, 0), FALSE),
            0
        ) +
        IFERROR(
            VLOOKUP($A12, INDIRECT("MarR!$A$6:$ZZ$1048576"), MATCH(M$1, MarR!$6:$6, 0), FALSE),
            0
        ) +
        IFERROR(
            VLOOKUP($A12, INDIRECT("AbrR!$A$6:$ZZ$1048576"), MATCH(M$1, AbrR!$6:$6, 0), FALSE),
            0
        ) +
        IFERROR(
            VLOOKUP($A12, INDIRECT("MayR!$A$6:$ZZ$1048576"), MATCH(M$1, MayR!$6:$6, 0), FALSE),
            0
        ) +
        IFERROR(
            VLOOKUP($A12, INDIRECT("JunR!$A$6:$ZZ$1048576"), MATCH(M$1, JunR!$6:$6, 0), FALSE),
            0
        ) +
        IFERROR(
            VLOOKUP($A12, INDIRECT("JulR!$A$6:$ZZ$1048576"), MATCH(M$1, JulR!$6:$6, 0), FALSE),
            0
        ) +
        IFERROR(
            VLOOKUP($A12, INDIRECT("AgoR!$A$6:$ZZ$1048576"), MATCH(M$1, AgoR!$6:$6, 0), FALSE),
            0
        ) +
        IFERROR(
            VLOOKUP($A12, INDIRECT("SepR!$A$6:$ZZ$1048576"), MATCH(M$1, SepR!$6:$6, 0), FALSE),
            0
        ) +
        IFERROR(
            VLOOKUP($A12, INDIRECT("OctR!$A$6:$ZZ$1048576"), MATCH(M$1, OctR!$6:$6, 0), FALSE),
            0
        ) +
        IFERROR(
            VLOOKUP($A12, INDIRECT("NovR!$A$6:$ZZ$1048576"), MATCH(M$1, NovR!$6:$6, 0), FALSE),
            0
        ) +
        IFERROR(
            VLOOKUP($A12, INDIRECT("DicR!$A$6:$ZZ$1048576"), MATCH(M$1, DicR!$6:$6, 0), FALSE),
            0
        )
)</f>
        <v>0</v>
      </c>
      <c r="N12" s="32">
        <f t="array" ref="N12">SUM(
    IFERROR(
            VLOOKUP($A12, INDIRECT("EneR!$A$6:$ZZ$1048576"), MATCH(N$1, EneR!$6:$6, 0), FALSE),
            0
        ) +
        IFERROR(
            VLOOKUP($A12, INDIRECT("FebR!$A$6:$ZZ$1048576"), MATCH(N$1, FebR!$6:$6, 0), FALSE),
            0
        ) +
        IFERROR(
            VLOOKUP($A12, INDIRECT("MarR!$A$6:$ZZ$1048576"), MATCH(N$1, MarR!$6:$6, 0), FALSE),
            0
        ) +
        IFERROR(
            VLOOKUP($A12, INDIRECT("AbrR!$A$6:$ZZ$1048576"), MATCH(N$1, AbrR!$6:$6, 0), FALSE),
            0
        ) +
        IFERROR(
            VLOOKUP($A12, INDIRECT("MayR!$A$6:$ZZ$1048576"), MATCH(N$1, MayR!$6:$6, 0), FALSE),
            0
        ) +
        IFERROR(
            VLOOKUP($A12, INDIRECT("JunR!$A$6:$ZZ$1048576"), MATCH(N$1, JunR!$6:$6, 0), FALSE),
            0
        ) +
        IFERROR(
            VLOOKUP($A12, INDIRECT("JulR!$A$6:$ZZ$1048576"), MATCH(N$1, JulR!$6:$6, 0), FALSE),
            0
        ) +
        IFERROR(
            VLOOKUP($A12, INDIRECT("AgoR!$A$6:$ZZ$1048576"), MATCH(N$1, AgoR!$6:$6, 0), FALSE),
            0
        ) +
        IFERROR(
            VLOOKUP($A12, INDIRECT("SepR!$A$6:$ZZ$1048576"), MATCH(N$1, SepR!$6:$6, 0), FALSE),
            0
        ) +
        IFERROR(
            VLOOKUP($A12, INDIRECT("OctR!$A$6:$ZZ$1048576"), MATCH(N$1, OctR!$6:$6, 0), FALSE),
            0
        ) +
        IFERROR(
            VLOOKUP($A12, INDIRECT("NovR!$A$6:$ZZ$1048576"), MATCH(N$1, NovR!$6:$6, 0), FALSE),
            0
        ) +
        IFERROR(
            VLOOKUP($A12, INDIRECT("DicR!$A$6:$ZZ$1048576"), MATCH(N$1, DicR!$6:$6, 0), FALSE),
            0
        )
)</f>
        <v>0</v>
      </c>
      <c r="O12" s="35">
        <f t="array" ref="O12">SUM(
    IFERROR(
            VLOOKUP($A12, INDIRECT("EneR!$A$6:$ZZ$1048576"), MATCH(O$1, EneR!$6:$6, 0), FALSE),
            0
        ) +
        IFERROR(
            VLOOKUP($A12, INDIRECT("FebR!$A$6:$ZZ$1048576"), MATCH(O$1, FebR!$6:$6, 0), FALSE),
            0
        ) +
        IFERROR(
            VLOOKUP($A12, INDIRECT("MarR!$A$6:$ZZ$1048576"), MATCH(O$1, MarR!$6:$6, 0), FALSE),
            0
        ) +
        IFERROR(
            VLOOKUP($A12, INDIRECT("AbrR!$A$6:$ZZ$1048576"), MATCH(O$1, AbrR!$6:$6, 0), FALSE),
            0
        ) +
        IFERROR(
            VLOOKUP($A12, INDIRECT("MayR!$A$6:$ZZ$1048576"), MATCH(O$1, MayR!$6:$6, 0), FALSE),
            0
        ) +
        IFERROR(
            VLOOKUP($A12, INDIRECT("JunR!$A$6:$ZZ$1048576"), MATCH(O$1, JunR!$6:$6, 0), FALSE),
            0
        ) +
        IFERROR(
            VLOOKUP($A12, INDIRECT("JulR!$A$6:$ZZ$1048576"), MATCH(O$1, JulR!$6:$6, 0), FALSE),
            0
        ) +
        IFERROR(
            VLOOKUP($A12, INDIRECT("AgoR!$A$6:$ZZ$1048576"), MATCH(O$1, AgoR!$6:$6, 0), FALSE),
            0
        ) +
        IFERROR(
            VLOOKUP($A12, INDIRECT("SepR!$A$6:$ZZ$1048576"), MATCH(O$1, SepR!$6:$6, 0), FALSE),
            0
        ) +
        IFERROR(
            VLOOKUP($A12, INDIRECT("OctR!$A$6:$ZZ$1048576"), MATCH(O$1, OctR!$6:$6, 0), FALSE),
            0
        ) +
        IFERROR(
            VLOOKUP($A12, INDIRECT("NovR!$A$6:$ZZ$1048576"), MATCH(O$1, NovR!$6:$6, 0), FALSE),
            0
        ) +
        IFERROR(
            VLOOKUP($A12, INDIRECT("DicR!$A$6:$ZZ$1048576"), MATCH(O$1, DicR!$6:$6, 0), FALSE),
            0
        )
)</f>
        <v>0</v>
      </c>
      <c r="P12" s="32">
        <f t="array" ref="P12">SUM(
    IFERROR(
            VLOOKUP($A12, INDIRECT("EneR!$A$6:$ZZ$1048576"), MATCH(P$1, EneR!$6:$6, 0), FALSE),
            0
        ) +
        IFERROR(
            VLOOKUP($A12, INDIRECT("FebR!$A$6:$ZZ$1048576"), MATCH(P$1, FebR!$6:$6, 0), FALSE),
            0
        ) +
        IFERROR(
            VLOOKUP($A12, INDIRECT("MarR!$A$6:$ZZ$1048576"), MATCH(P$1, MarR!$6:$6, 0), FALSE),
            0
        ) +
        IFERROR(
            VLOOKUP($A12, INDIRECT("AbrR!$A$6:$ZZ$1048576"), MATCH(P$1, AbrR!$6:$6, 0), FALSE),
            0
        ) +
        IFERROR(
            VLOOKUP($A12, INDIRECT("MayR!$A$6:$ZZ$1048576"), MATCH(P$1, MayR!$6:$6, 0), FALSE),
            0
        ) +
        IFERROR(
            VLOOKUP($A12, INDIRECT("JunR!$A$6:$ZZ$1048576"), MATCH(P$1, JunR!$6:$6, 0), FALSE),
            0
        ) +
        IFERROR(
            VLOOKUP($A12, INDIRECT("JulR!$A$6:$ZZ$1048576"), MATCH(P$1, JulR!$6:$6, 0), FALSE),
            0
        ) +
        IFERROR(
            VLOOKUP($A12, INDIRECT("AgoR!$A$6:$ZZ$1048576"), MATCH(P$1, AgoR!$6:$6, 0), FALSE),
            0
        ) +
        IFERROR(
            VLOOKUP($A12, INDIRECT("SepR!$A$6:$ZZ$1048576"), MATCH(P$1, SepR!$6:$6, 0), FALSE),
            0
        ) +
        IFERROR(
            VLOOKUP($A12, INDIRECT("OctR!$A$6:$ZZ$1048576"), MATCH(P$1, OctR!$6:$6, 0), FALSE),
            0
        ) +
        IFERROR(
            VLOOKUP($A12, INDIRECT("NovR!$A$6:$ZZ$1048576"), MATCH(P$1, NovR!$6:$6, 0), FALSE),
            0
        ) +
        IFERROR(
            VLOOKUP($A12, INDIRECT("DicR!$A$6:$ZZ$1048576"), MATCH(P$1, DicR!$6:$6, 0), FALSE),
            0
        )
)</f>
        <v>0</v>
      </c>
      <c r="Q12" s="35">
        <f t="array" ref="Q12">SUM(
    IFERROR(
            VLOOKUP($A12, INDIRECT("EneR!$A$6:$ZZ$1048576"), MATCH(Q$1, EneR!$6:$6, 0), FALSE),
            0
        ) +
        IFERROR(
            VLOOKUP($A12, INDIRECT("FebR!$A$6:$ZZ$1048576"), MATCH(Q$1, FebR!$6:$6, 0), FALSE),
            0
        ) +
        IFERROR(
            VLOOKUP($A12, INDIRECT("MarR!$A$6:$ZZ$1048576"), MATCH(Q$1, MarR!$6:$6, 0), FALSE),
            0
        ) +
        IFERROR(
            VLOOKUP($A12, INDIRECT("AbrR!$A$6:$ZZ$1048576"), MATCH(Q$1, AbrR!$6:$6, 0), FALSE),
            0
        ) +
        IFERROR(
            VLOOKUP($A12, INDIRECT("MayR!$A$6:$ZZ$1048576"), MATCH(Q$1, MayR!$6:$6, 0), FALSE),
            0
        ) +
        IFERROR(
            VLOOKUP($A12, INDIRECT("JunR!$A$6:$ZZ$1048576"), MATCH(Q$1, JunR!$6:$6, 0), FALSE),
            0
        ) +
        IFERROR(
            VLOOKUP($A12, INDIRECT("JulR!$A$6:$ZZ$1048576"), MATCH(Q$1, JulR!$6:$6, 0), FALSE),
            0
        ) +
        IFERROR(
            VLOOKUP($A12, INDIRECT("AgoR!$A$6:$ZZ$1048576"), MATCH(Q$1, AgoR!$6:$6, 0), FALSE),
            0
        ) +
        IFERROR(
            VLOOKUP($A12, INDIRECT("SepR!$A$6:$ZZ$1048576"), MATCH(Q$1, SepR!$6:$6, 0), FALSE),
            0
        ) +
        IFERROR(
            VLOOKUP($A12, INDIRECT("OctR!$A$6:$ZZ$1048576"), MATCH(Q$1, OctR!$6:$6, 0), FALSE),
            0
        ) +
        IFERROR(
            VLOOKUP($A12, INDIRECT("NovR!$A$6:$ZZ$1048576"), MATCH(Q$1, NovR!$6:$6, 0), FALSE),
            0
        ) +
        IFERROR(
            VLOOKUP($A12, INDIRECT("DicR!$A$6:$ZZ$1048576"), MATCH(Q$1, DicR!$6:$6, 0), FALSE),
            0
        )
)</f>
        <v>0</v>
      </c>
      <c r="R12" s="36">
        <f t="array" ref="R12">SUM(
    IFERROR(
            VLOOKUP($A12, INDIRECT("EneR!$A$6:$ZZ$1048576"), MATCH(R$1, EneR!$6:$6, 0), FALSE),
            0
        ) +
        IFERROR(
            VLOOKUP($A12, INDIRECT("FebR!$A$6:$ZZ$1048576"), MATCH(R$1, FebR!$6:$6, 0), FALSE),
            0
        ) +
        IFERROR(
            VLOOKUP($A12, INDIRECT("MarR!$A$6:$ZZ$1048576"), MATCH(R$1, MarR!$6:$6, 0), FALSE),
            0
        ) +
        IFERROR(
            VLOOKUP($A12, INDIRECT("AbrR!$A$6:$ZZ$1048576"), MATCH(R$1, AbrR!$6:$6, 0), FALSE),
            0
        ) +
        IFERROR(
            VLOOKUP($A12, INDIRECT("MayR!$A$6:$ZZ$1048576"), MATCH(R$1, MayR!$6:$6, 0), FALSE),
            0
        ) +
        IFERROR(
            VLOOKUP($A12, INDIRECT("JunR!$A$6:$ZZ$1048576"), MATCH(R$1, JunR!$6:$6, 0), FALSE),
            0
        ) +
        IFERROR(
            VLOOKUP($A12, INDIRECT("JulR!$A$6:$ZZ$1048576"), MATCH(R$1, JulR!$6:$6, 0), FALSE),
            0
        ) +
        IFERROR(
            VLOOKUP($A12, INDIRECT("AgoR!$A$6:$ZZ$1048576"), MATCH(R$1, AgoR!$6:$6, 0), FALSE),
            0
        ) +
        IFERROR(
            VLOOKUP($A12, INDIRECT("SepR!$A$6:$ZZ$1048576"), MATCH(R$1, SepR!$6:$6, 0), FALSE),
            0
        ) +
        IFERROR(
            VLOOKUP($A12, INDIRECT("OctR!$A$6:$ZZ$1048576"), MATCH(R$1, OctR!$6:$6, 0), FALSE),
            0
        ) +
        IFERROR(
            VLOOKUP($A12, INDIRECT("NovR!$A$6:$ZZ$1048576"), MATCH(R$1, NovR!$6:$6, 0), FALSE),
            0
        ) +
        IFERROR(
            VLOOKUP($A12, INDIRECT("DicR!$A$6:$ZZ$1048576"), MATCH(R$1, DicR!$6:$6, 0), FALSE),
            0
        )
)</f>
        <v>0</v>
      </c>
      <c r="S12" s="37">
        <f t="array" ref="S12">SUM(
    IFERROR(
            VLOOKUP($A12, INDIRECT("EneR!$A$6:$ZZ$1048576"), MATCH(S$1, EneR!$6:$6, 0), FALSE),
            0
        ) +
        IFERROR(
            VLOOKUP($A12, INDIRECT("FebR!$A$6:$ZZ$1048576"), MATCH(S$1, FebR!$6:$6, 0), FALSE),
            0
        ) +
        IFERROR(
            VLOOKUP($A12, INDIRECT("MarR!$A$6:$ZZ$1048576"), MATCH(S$1, MarR!$6:$6, 0), FALSE),
            0
        ) +
        IFERROR(
            VLOOKUP($A12, INDIRECT("AbrR!$A$6:$ZZ$1048576"), MATCH(S$1, AbrR!$6:$6, 0), FALSE),
            0
        ) +
        IFERROR(
            VLOOKUP($A12, INDIRECT("MayR!$A$6:$ZZ$1048576"), MATCH(S$1, MayR!$6:$6, 0), FALSE),
            0
        ) +
        IFERROR(
            VLOOKUP($A12, INDIRECT("JunR!$A$6:$ZZ$1048576"), MATCH(S$1, JunR!$6:$6, 0), FALSE),
            0
        ) +
        IFERROR(
            VLOOKUP($A12, INDIRECT("JulR!$A$6:$ZZ$1048576"), MATCH(S$1, JulR!$6:$6, 0), FALSE),
            0
        ) +
        IFERROR(
            VLOOKUP($A12, INDIRECT("AgoR!$A$6:$ZZ$1048576"), MATCH(S$1, AgoR!$6:$6, 0), FALSE),
            0
        ) +
        IFERROR(
            VLOOKUP($A12, INDIRECT("SepR!$A$6:$ZZ$1048576"), MATCH(S$1, SepR!$6:$6, 0), FALSE),
            0
        ) +
        IFERROR(
            VLOOKUP($A12, INDIRECT("OctR!$A$6:$ZZ$1048576"), MATCH(S$1, OctR!$6:$6, 0), FALSE),
            0
        ) +
        IFERROR(
            VLOOKUP($A12, INDIRECT("NovR!$A$6:$ZZ$1048576"), MATCH(S$1, NovR!$6:$6, 0), FALSE),
            0
        ) +
        IFERROR(
            VLOOKUP($A12, INDIRECT("DicR!$A$6:$ZZ$1048576"), MATCH(S$1, DicR!$6:$6, 0), FALSE),
            0
        )
)</f>
        <v>0</v>
      </c>
      <c r="T12" s="36">
        <f t="array" ref="T12">SUM(
    IFERROR(
            VLOOKUP($A12, INDIRECT("EneR!$A$6:$ZZ$1048576"), MATCH(T$1, EneR!$6:$6, 0), FALSE),
            0
        ) +
        IFERROR(
            VLOOKUP($A12, INDIRECT("FebR!$A$6:$ZZ$1048576"), MATCH(T$1, FebR!$6:$6, 0), FALSE),
            0
        ) +
        IFERROR(
            VLOOKUP($A12, INDIRECT("MarR!$A$6:$ZZ$1048576"), MATCH(T$1, MarR!$6:$6, 0), FALSE),
            0
        ) +
        IFERROR(
            VLOOKUP($A12, INDIRECT("AbrR!$A$6:$ZZ$1048576"), MATCH(T$1, AbrR!$6:$6, 0), FALSE),
            0
        ) +
        IFERROR(
            VLOOKUP($A12, INDIRECT("MayR!$A$6:$ZZ$1048576"), MATCH(T$1, MayR!$6:$6, 0), FALSE),
            0
        ) +
        IFERROR(
            VLOOKUP($A12, INDIRECT("JunR!$A$6:$ZZ$1048576"), MATCH(T$1, JunR!$6:$6, 0), FALSE),
            0
        ) +
        IFERROR(
            VLOOKUP($A12, INDIRECT("JulR!$A$6:$ZZ$1048576"), MATCH(T$1, JulR!$6:$6, 0), FALSE),
            0
        ) +
        IFERROR(
            VLOOKUP($A12, INDIRECT("AgoR!$A$6:$ZZ$1048576"), MATCH(T$1, AgoR!$6:$6, 0), FALSE),
            0
        ) +
        IFERROR(
            VLOOKUP($A12, INDIRECT("SepR!$A$6:$ZZ$1048576"), MATCH(T$1, SepR!$6:$6, 0), FALSE),
            0
        ) +
        IFERROR(
            VLOOKUP($A12, INDIRECT("OctR!$A$6:$ZZ$1048576"), MATCH(T$1, OctR!$6:$6, 0), FALSE),
            0
        ) +
        IFERROR(
            VLOOKUP($A12, INDIRECT("NovR!$A$6:$ZZ$1048576"), MATCH(T$1, NovR!$6:$6, 0), FALSE),
            0
        ) +
        IFERROR(
            VLOOKUP($A12, INDIRECT("DicR!$A$6:$ZZ$1048576"), MATCH(T$1, DicR!$6:$6, 0), FALSE),
            0
        )
)</f>
        <v>0</v>
      </c>
      <c r="U12" s="37">
        <f t="array" ref="U12">SUM(
    IFERROR(
            VLOOKUP($A12, INDIRECT("EneR!$A$6:$ZZ$1048576"), MATCH(U$1, EneR!$6:$6, 0), FALSE),
            0
        ) +
        IFERROR(
            VLOOKUP($A12, INDIRECT("FebR!$A$6:$ZZ$1048576"), MATCH(U$1, FebR!$6:$6, 0), FALSE),
            0
        ) +
        IFERROR(
            VLOOKUP($A12, INDIRECT("MarR!$A$6:$ZZ$1048576"), MATCH(U$1, MarR!$6:$6, 0), FALSE),
            0
        ) +
        IFERROR(
            VLOOKUP($A12, INDIRECT("AbrR!$A$6:$ZZ$1048576"), MATCH(U$1, AbrR!$6:$6, 0), FALSE),
            0
        ) +
        IFERROR(
            VLOOKUP($A12, INDIRECT("MayR!$A$6:$ZZ$1048576"), MATCH(U$1, MayR!$6:$6, 0), FALSE),
            0
        ) +
        IFERROR(
            VLOOKUP($A12, INDIRECT("JunR!$A$6:$ZZ$1048576"), MATCH(U$1, JunR!$6:$6, 0), FALSE),
            0
        ) +
        IFERROR(
            VLOOKUP($A12, INDIRECT("JulR!$A$6:$ZZ$1048576"), MATCH(U$1, JulR!$6:$6, 0), FALSE),
            0
        ) +
        IFERROR(
            VLOOKUP($A12, INDIRECT("AgoR!$A$6:$ZZ$1048576"), MATCH(U$1, AgoR!$6:$6, 0), FALSE),
            0
        ) +
        IFERROR(
            VLOOKUP($A12, INDIRECT("SepR!$A$6:$ZZ$1048576"), MATCH(U$1, SepR!$6:$6, 0), FALSE),
            0
        ) +
        IFERROR(
            VLOOKUP($A12, INDIRECT("OctR!$A$6:$ZZ$1048576"), MATCH(U$1, OctR!$6:$6, 0), FALSE),
            0
        ) +
        IFERROR(
            VLOOKUP($A12, INDIRECT("NovR!$A$6:$ZZ$1048576"), MATCH(U$1, NovR!$6:$6, 0), FALSE),
            0
        ) +
        IFERROR(
            VLOOKUP($A12, INDIRECT("DicR!$A$6:$ZZ$1048576"), MATCH(U$1, DicR!$6:$6, 0), FALSE),
            0
        )
)</f>
        <v>0</v>
      </c>
      <c r="V12" s="36">
        <f t="array" ref="V12">SUM(
    IFERROR(
            VLOOKUP($A12, INDIRECT("EneR!$A$6:$ZZ$1048576"), MATCH(V$1, EneR!$6:$6, 0), FALSE),
            0
        ) +
        IFERROR(
            VLOOKUP($A12, INDIRECT("FebR!$A$6:$ZZ$1048576"), MATCH(V$1, FebR!$6:$6, 0), FALSE),
            0
        ) +
        IFERROR(
            VLOOKUP($A12, INDIRECT("MarR!$A$6:$ZZ$1048576"), MATCH(V$1, MarR!$6:$6, 0), FALSE),
            0
        ) +
        IFERROR(
            VLOOKUP($A12, INDIRECT("AbrR!$A$6:$ZZ$1048576"), MATCH(V$1, AbrR!$6:$6, 0), FALSE),
            0
        ) +
        IFERROR(
            VLOOKUP($A12, INDIRECT("MayR!$A$6:$ZZ$1048576"), MATCH(V$1, MayR!$6:$6, 0), FALSE),
            0
        ) +
        IFERROR(
            VLOOKUP($A12, INDIRECT("JunR!$A$6:$ZZ$1048576"), MATCH(V$1, JunR!$6:$6, 0), FALSE),
            0
        ) +
        IFERROR(
            VLOOKUP($A12, INDIRECT("JulR!$A$6:$ZZ$1048576"), MATCH(V$1, JulR!$6:$6, 0), FALSE),
            0
        ) +
        IFERROR(
            VLOOKUP($A12, INDIRECT("AgoR!$A$6:$ZZ$1048576"), MATCH(V$1, AgoR!$6:$6, 0), FALSE),
            0
        ) +
        IFERROR(
            VLOOKUP($A12, INDIRECT("SepR!$A$6:$ZZ$1048576"), MATCH(V$1, SepR!$6:$6, 0), FALSE),
            0
        ) +
        IFERROR(
            VLOOKUP($A12, INDIRECT("OctR!$A$6:$ZZ$1048576"), MATCH(V$1, OctR!$6:$6, 0), FALSE),
            0
        ) +
        IFERROR(
            VLOOKUP($A12, INDIRECT("NovR!$A$6:$ZZ$1048576"), MATCH(V$1, NovR!$6:$6, 0), FALSE),
            0
        ) +
        IFERROR(
            VLOOKUP($A12, INDIRECT("DicR!$A$6:$ZZ$1048576"), MATCH(V$1, DicR!$6:$6, 0), FALSE),
            0
        )
)</f>
        <v>0</v>
      </c>
      <c r="W12" s="37">
        <f t="array" ref="W12">SUM(
    IFERROR(
            VLOOKUP($A12, INDIRECT("EneR!$A$6:$ZZ$1048576"), MATCH(W$1, EneR!$6:$6, 0), FALSE),
            0
        ) +
        IFERROR(
            VLOOKUP($A12, INDIRECT("FebR!$A$6:$ZZ$1048576"), MATCH(W$1, FebR!$6:$6, 0), FALSE),
            0
        ) +
        IFERROR(
            VLOOKUP($A12, INDIRECT("MarR!$A$6:$ZZ$1048576"), MATCH(W$1, MarR!$6:$6, 0), FALSE),
            0
        ) +
        IFERROR(
            VLOOKUP($A12, INDIRECT("AbrR!$A$6:$ZZ$1048576"), MATCH(W$1, AbrR!$6:$6, 0), FALSE),
            0
        ) +
        IFERROR(
            VLOOKUP($A12, INDIRECT("MayR!$A$6:$ZZ$1048576"), MATCH(W$1, MayR!$6:$6, 0), FALSE),
            0
        ) +
        IFERROR(
            VLOOKUP($A12, INDIRECT("JunR!$A$6:$ZZ$1048576"), MATCH(W$1, JunR!$6:$6, 0), FALSE),
            0
        ) +
        IFERROR(
            VLOOKUP($A12, INDIRECT("JulR!$A$6:$ZZ$1048576"), MATCH(W$1, JulR!$6:$6, 0), FALSE),
            0
        ) +
        IFERROR(
            VLOOKUP($A12, INDIRECT("AgoR!$A$6:$ZZ$1048576"), MATCH(W$1, AgoR!$6:$6, 0), FALSE),
            0
        ) +
        IFERROR(
            VLOOKUP($A12, INDIRECT("SepR!$A$6:$ZZ$1048576"), MATCH(W$1, SepR!$6:$6, 0), FALSE),
            0
        ) +
        IFERROR(
            VLOOKUP($A12, INDIRECT("OctR!$A$6:$ZZ$1048576"), MATCH(W$1, OctR!$6:$6, 0), FALSE),
            0
        ) +
        IFERROR(
            VLOOKUP($A12, INDIRECT("NovR!$A$6:$ZZ$1048576"), MATCH(W$1, NovR!$6:$6, 0), FALSE),
            0
        ) +
        IFERROR(
            VLOOKUP($A12, INDIRECT("DicR!$A$6:$ZZ$1048576"), MATCH(W$1, DicR!$6:$6, 0), FALSE),
            0
        )
)</f>
        <v>0</v>
      </c>
      <c r="X12" s="36">
        <f t="array" ref="X12">SUM(
    IFERROR(
            VLOOKUP($A12, INDIRECT("EneR!$A$6:$ZZ$1048576"), MATCH(X$1, EneR!$6:$6, 0), FALSE),
            0
        ) +
        IFERROR(
            VLOOKUP($A12, INDIRECT("FebR!$A$6:$ZZ$1048576"), MATCH(X$1, FebR!$6:$6, 0), FALSE),
            0
        ) +
        IFERROR(
            VLOOKUP($A12, INDIRECT("MarR!$A$6:$ZZ$1048576"), MATCH(X$1, MarR!$6:$6, 0), FALSE),
            0
        ) +
        IFERROR(
            VLOOKUP($A12, INDIRECT("AbrR!$A$6:$ZZ$1048576"), MATCH(X$1, AbrR!$6:$6, 0), FALSE),
            0
        ) +
        IFERROR(
            VLOOKUP($A12, INDIRECT("MayR!$A$6:$ZZ$1048576"), MATCH(X$1, MayR!$6:$6, 0), FALSE),
            0
        ) +
        IFERROR(
            VLOOKUP($A12, INDIRECT("JunR!$A$6:$ZZ$1048576"), MATCH(X$1, JunR!$6:$6, 0), FALSE),
            0
        ) +
        IFERROR(
            VLOOKUP($A12, INDIRECT("JulR!$A$6:$ZZ$1048576"), MATCH(X$1, JulR!$6:$6, 0), FALSE),
            0
        ) +
        IFERROR(
            VLOOKUP($A12, INDIRECT("AgoR!$A$6:$ZZ$1048576"), MATCH(X$1, AgoR!$6:$6, 0), FALSE),
            0
        ) +
        IFERROR(
            VLOOKUP($A12, INDIRECT("SepR!$A$6:$ZZ$1048576"), MATCH(X$1, SepR!$6:$6, 0), FALSE),
            0
        ) +
        IFERROR(
            VLOOKUP($A12, INDIRECT("OctR!$A$6:$ZZ$1048576"), MATCH(X$1, OctR!$6:$6, 0), FALSE),
            0
        ) +
        IFERROR(
            VLOOKUP($A12, INDIRECT("NovR!$A$6:$ZZ$1048576"), MATCH(X$1, NovR!$6:$6, 0), FALSE),
            0
        ) +
        IFERROR(
            VLOOKUP($A12, INDIRECT("DicR!$A$6:$ZZ$1048576"), MATCH(X$1, DicR!$6:$6, 0), FALSE),
            0
        )
)</f>
        <v>0</v>
      </c>
      <c r="Y12" s="37">
        <f t="array" ref="Y12">SUM(
    IFERROR(
            VLOOKUP($A12, INDIRECT("EneR!$A$6:$ZZ$1048576"), MATCH(Y$1, EneR!$6:$6, 0), FALSE),
            0
        ) +
        IFERROR(
            VLOOKUP($A12, INDIRECT("FebR!$A$6:$ZZ$1048576"), MATCH(Y$1, FebR!$6:$6, 0), FALSE),
            0
        ) +
        IFERROR(
            VLOOKUP($A12, INDIRECT("MarR!$A$6:$ZZ$1048576"), MATCH(Y$1, MarR!$6:$6, 0), FALSE),
            0
        ) +
        IFERROR(
            VLOOKUP($A12, INDIRECT("AbrR!$A$6:$ZZ$1048576"), MATCH(Y$1, AbrR!$6:$6, 0), FALSE),
            0
        ) +
        IFERROR(
            VLOOKUP($A12, INDIRECT("MayR!$A$6:$ZZ$1048576"), MATCH(Y$1, MayR!$6:$6, 0), FALSE),
            0
        ) +
        IFERROR(
            VLOOKUP($A12, INDIRECT("JunR!$A$6:$ZZ$1048576"), MATCH(Y$1, JunR!$6:$6, 0), FALSE),
            0
        ) +
        IFERROR(
            VLOOKUP($A12, INDIRECT("JulR!$A$6:$ZZ$1048576"), MATCH(Y$1, JulR!$6:$6, 0), FALSE),
            0
        ) +
        IFERROR(
            VLOOKUP($A12, INDIRECT("AgoR!$A$6:$ZZ$1048576"), MATCH(Y$1, AgoR!$6:$6, 0), FALSE),
            0
        ) +
        IFERROR(
            VLOOKUP($A12, INDIRECT("SepR!$A$6:$ZZ$1048576"), MATCH(Y$1, SepR!$6:$6, 0), FALSE),
            0
        ) +
        IFERROR(
            VLOOKUP($A12, INDIRECT("OctR!$A$6:$ZZ$1048576"), MATCH(Y$1, OctR!$6:$6, 0), FALSE),
            0
        ) +
        IFERROR(
            VLOOKUP($A12, INDIRECT("NovR!$A$6:$ZZ$1048576"), MATCH(Y$1, NovR!$6:$6, 0), FALSE),
            0
        ) +
        IFERROR(
            VLOOKUP($A12, INDIRECT("DicR!$A$6:$ZZ$1048576"), MATCH(Y$1, DicR!$6:$6, 0), FALSE),
            0
        )
)</f>
        <v>0</v>
      </c>
      <c r="Z12" s="36">
        <f t="array" ref="Z12">SUM(
    IFERROR(
            VLOOKUP($A12, INDIRECT("EneR!$A$6:$ZZ$1048576"), MATCH(Z$1, EneR!$6:$6, 0), FALSE),
            0
        ) +
        IFERROR(
            VLOOKUP($A12, INDIRECT("FebR!$A$6:$ZZ$1048576"), MATCH(Z$1, FebR!$6:$6, 0), FALSE),
            0
        ) +
        IFERROR(
            VLOOKUP($A12, INDIRECT("MarR!$A$6:$ZZ$1048576"), MATCH(Z$1, MarR!$6:$6, 0), FALSE),
            0
        ) +
        IFERROR(
            VLOOKUP($A12, INDIRECT("AbrR!$A$6:$ZZ$1048576"), MATCH(Z$1, AbrR!$6:$6, 0), FALSE),
            0
        ) +
        IFERROR(
            VLOOKUP($A12, INDIRECT("MayR!$A$6:$ZZ$1048576"), MATCH(Z$1, MayR!$6:$6, 0), FALSE),
            0
        ) +
        IFERROR(
            VLOOKUP($A12, INDIRECT("JunR!$A$6:$ZZ$1048576"), MATCH(Z$1, JunR!$6:$6, 0), FALSE),
            0
        ) +
        IFERROR(
            VLOOKUP($A12, INDIRECT("JulR!$A$6:$ZZ$1048576"), MATCH(Z$1, JulR!$6:$6, 0), FALSE),
            0
        ) +
        IFERROR(
            VLOOKUP($A12, INDIRECT("AgoR!$A$6:$ZZ$1048576"), MATCH(Z$1, AgoR!$6:$6, 0), FALSE),
            0
        ) +
        IFERROR(
            VLOOKUP($A12, INDIRECT("SepR!$A$6:$ZZ$1048576"), MATCH(Z$1, SepR!$6:$6, 0), FALSE),
            0
        ) +
        IFERROR(
            VLOOKUP($A12, INDIRECT("OctR!$A$6:$ZZ$1048576"), MATCH(Z$1, OctR!$6:$6, 0), FALSE),
            0
        ) +
        IFERROR(
            VLOOKUP($A12, INDIRECT("NovR!$A$6:$ZZ$1048576"), MATCH(Z$1, NovR!$6:$6, 0), FALSE),
            0
        ) +
        IFERROR(
            VLOOKUP($A12, INDIRECT("DicR!$A$6:$ZZ$1048576"), MATCH(Z$1, DicR!$6:$6, 0), FALSE),
            0
        )
)</f>
        <v>0</v>
      </c>
      <c r="AA12" s="37">
        <f t="array" ref="AA12">SUM(
    IFERROR(
            VLOOKUP($A12, INDIRECT("EneR!$A$6:$ZZ$1048576"), MATCH(AA$1, EneR!$6:$6, 0), FALSE),
            0
        ) +
        IFERROR(
            VLOOKUP($A12, INDIRECT("FebR!$A$6:$ZZ$1048576"), MATCH(AA$1, FebR!$6:$6, 0), FALSE),
            0
        ) +
        IFERROR(
            VLOOKUP($A12, INDIRECT("MarR!$A$6:$ZZ$1048576"), MATCH(AA$1, MarR!$6:$6, 0), FALSE),
            0
        ) +
        IFERROR(
            VLOOKUP($A12, INDIRECT("AbrR!$A$6:$ZZ$1048576"), MATCH(AA$1, AbrR!$6:$6, 0), FALSE),
            0
        ) +
        IFERROR(
            VLOOKUP($A12, INDIRECT("MayR!$A$6:$ZZ$1048576"), MATCH(AA$1, MayR!$6:$6, 0), FALSE),
            0
        ) +
        IFERROR(
            VLOOKUP($A12, INDIRECT("JunR!$A$6:$ZZ$1048576"), MATCH(AA$1, JunR!$6:$6, 0), FALSE),
            0
        ) +
        IFERROR(
            VLOOKUP($A12, INDIRECT("JulR!$A$6:$ZZ$1048576"), MATCH(AA$1, JulR!$6:$6, 0), FALSE),
            0
        ) +
        IFERROR(
            VLOOKUP($A12, INDIRECT("AgoR!$A$6:$ZZ$1048576"), MATCH(AA$1, AgoR!$6:$6, 0), FALSE),
            0
        ) +
        IFERROR(
            VLOOKUP($A12, INDIRECT("SepR!$A$6:$ZZ$1048576"), MATCH(AA$1, SepR!$6:$6, 0), FALSE),
            0
        ) +
        IFERROR(
            VLOOKUP($A12, INDIRECT("OctR!$A$6:$ZZ$1048576"), MATCH(AA$1, OctR!$6:$6, 0), FALSE),
            0
        ) +
        IFERROR(
            VLOOKUP($A12, INDIRECT("NovR!$A$6:$ZZ$1048576"), MATCH(AA$1, NovR!$6:$6, 0), FALSE),
            0
        ) +
        IFERROR(
            VLOOKUP($A12, INDIRECT("DicR!$A$6:$ZZ$1048576"), MATCH(AA$1, DicR!$6:$6, 0), FALSE),
            0
        )
)</f>
        <v>0</v>
      </c>
      <c r="AB12" s="36">
        <f t="array" ref="AB12">SUM(
    IFERROR(
            VLOOKUP($A12, INDIRECT("EneR!$A$6:$ZZ$1048576"), MATCH(AB$1, EneR!$6:$6, 0), FALSE),
            0
        ) +
        IFERROR(
            VLOOKUP($A12, INDIRECT("FebR!$A$6:$ZZ$1048576"), MATCH(AB$1, FebR!$6:$6, 0), FALSE),
            0
        ) +
        IFERROR(
            VLOOKUP($A12, INDIRECT("MarR!$A$6:$ZZ$1048576"), MATCH(AB$1, MarR!$6:$6, 0), FALSE),
            0
        ) +
        IFERROR(
            VLOOKUP($A12, INDIRECT("AbrR!$A$6:$ZZ$1048576"), MATCH(AB$1, AbrR!$6:$6, 0), FALSE),
            0
        ) +
        IFERROR(
            VLOOKUP($A12, INDIRECT("MayR!$A$6:$ZZ$1048576"), MATCH(AB$1, MayR!$6:$6, 0), FALSE),
            0
        ) +
        IFERROR(
            VLOOKUP($A12, INDIRECT("JunR!$A$6:$ZZ$1048576"), MATCH(AB$1, JunR!$6:$6, 0), FALSE),
            0
        ) +
        IFERROR(
            VLOOKUP($A12, INDIRECT("JulR!$A$6:$ZZ$1048576"), MATCH(AB$1, JulR!$6:$6, 0), FALSE),
            0
        ) +
        IFERROR(
            VLOOKUP($A12, INDIRECT("AgoR!$A$6:$ZZ$1048576"), MATCH(AB$1, AgoR!$6:$6, 0), FALSE),
            0
        ) +
        IFERROR(
            VLOOKUP($A12, INDIRECT("SepR!$A$6:$ZZ$1048576"), MATCH(AB$1, SepR!$6:$6, 0), FALSE),
            0
        ) +
        IFERROR(
            VLOOKUP($A12, INDIRECT("OctR!$A$6:$ZZ$1048576"), MATCH(AB$1, OctR!$6:$6, 0), FALSE),
            0
        ) +
        IFERROR(
            VLOOKUP($A12, INDIRECT("NovR!$A$6:$ZZ$1048576"), MATCH(AB$1, NovR!$6:$6, 0), FALSE),
            0
        ) +
        IFERROR(
            VLOOKUP($A12, INDIRECT("DicR!$A$6:$ZZ$1048576"), MATCH(AB$1, DicR!$6:$6, 0), FALSE),
            0
        )
)</f>
        <v>0</v>
      </c>
      <c r="AC12" s="37">
        <f t="array" ref="AC12">SUM(
    IFERROR(
            VLOOKUP($A12, INDIRECT("EneR!$A$6:$ZZ$1048576"), MATCH(AC$1, EneR!$6:$6, 0), FALSE),
            0
        ) +
        IFERROR(
            VLOOKUP($A12, INDIRECT("FebR!$A$6:$ZZ$1048576"), MATCH(AC$1, FebR!$6:$6, 0), FALSE),
            0
        ) +
        IFERROR(
            VLOOKUP($A12, INDIRECT("MarR!$A$6:$ZZ$1048576"), MATCH(AC$1, MarR!$6:$6, 0), FALSE),
            0
        ) +
        IFERROR(
            VLOOKUP($A12, INDIRECT("AbrR!$A$6:$ZZ$1048576"), MATCH(AC$1, AbrR!$6:$6, 0), FALSE),
            0
        ) +
        IFERROR(
            VLOOKUP($A12, INDIRECT("MayR!$A$6:$ZZ$1048576"), MATCH(AC$1, MayR!$6:$6, 0), FALSE),
            0
        ) +
        IFERROR(
            VLOOKUP($A12, INDIRECT("JunR!$A$6:$ZZ$1048576"), MATCH(AC$1, JunR!$6:$6, 0), FALSE),
            0
        ) +
        IFERROR(
            VLOOKUP($A12, INDIRECT("JulR!$A$6:$ZZ$1048576"), MATCH(AC$1, JulR!$6:$6, 0), FALSE),
            0
        ) +
        IFERROR(
            VLOOKUP($A12, INDIRECT("AgoR!$A$6:$ZZ$1048576"), MATCH(AC$1, AgoR!$6:$6, 0), FALSE),
            0
        ) +
        IFERROR(
            VLOOKUP($A12, INDIRECT("SepR!$A$6:$ZZ$1048576"), MATCH(AC$1, SepR!$6:$6, 0), FALSE),
            0
        ) +
        IFERROR(
            VLOOKUP($A12, INDIRECT("OctR!$A$6:$ZZ$1048576"), MATCH(AC$1, OctR!$6:$6, 0), FALSE),
            0
        ) +
        IFERROR(
            VLOOKUP($A12, INDIRECT("NovR!$A$6:$ZZ$1048576"), MATCH(AC$1, NovR!$6:$6, 0), FALSE),
            0
        ) +
        IFERROR(
            VLOOKUP($A12, INDIRECT("DicR!$A$6:$ZZ$1048576"), MATCH(AC$1, DicR!$6:$6, 0), FALSE),
            0
        )
)</f>
        <v>0</v>
      </c>
      <c r="AD12" s="36">
        <f t="array" ref="AD12">SUM(
    IFERROR(
            VLOOKUP($A12, INDIRECT("EneR!$A$6:$ZZ$1048576"), MATCH(AD$1, EneR!$6:$6, 0), FALSE),
            0
        ) +
        IFERROR(
            VLOOKUP($A12, INDIRECT("FebR!$A$6:$ZZ$1048576"), MATCH(AD$1, FebR!$6:$6, 0), FALSE),
            0
        ) +
        IFERROR(
            VLOOKUP($A12, INDIRECT("MarR!$A$6:$ZZ$1048576"), MATCH(AD$1, MarR!$6:$6, 0), FALSE),
            0
        ) +
        IFERROR(
            VLOOKUP($A12, INDIRECT("AbrR!$A$6:$ZZ$1048576"), MATCH(AD$1, AbrR!$6:$6, 0), FALSE),
            0
        ) +
        IFERROR(
            VLOOKUP($A12, INDIRECT("MayR!$A$6:$ZZ$1048576"), MATCH(AD$1, MayR!$6:$6, 0), FALSE),
            0
        ) +
        IFERROR(
            VLOOKUP($A12, INDIRECT("JunR!$A$6:$ZZ$1048576"), MATCH(AD$1, JunR!$6:$6, 0), FALSE),
            0
        ) +
        IFERROR(
            VLOOKUP($A12, INDIRECT("JulR!$A$6:$ZZ$1048576"), MATCH(AD$1, JulR!$6:$6, 0), FALSE),
            0
        ) +
        IFERROR(
            VLOOKUP($A12, INDIRECT("AgoR!$A$6:$ZZ$1048576"), MATCH(AD$1, AgoR!$6:$6, 0), FALSE),
            0
        ) +
        IFERROR(
            VLOOKUP($A12, INDIRECT("SepR!$A$6:$ZZ$1048576"), MATCH(AD$1, SepR!$6:$6, 0), FALSE),
            0
        ) +
        IFERROR(
            VLOOKUP($A12, INDIRECT("OctR!$A$6:$ZZ$1048576"), MATCH(AD$1, OctR!$6:$6, 0), FALSE),
            0
        ) +
        IFERROR(
            VLOOKUP($A12, INDIRECT("NovR!$A$6:$ZZ$1048576"), MATCH(AD$1, NovR!$6:$6, 0), FALSE),
            0
        ) +
        IFERROR(
            VLOOKUP($A12, INDIRECT("DicR!$A$6:$ZZ$1048576"), MATCH(AD$1, DicR!$6:$6, 0), FALSE),
            0
        )
)</f>
        <v>0</v>
      </c>
      <c r="AE12" s="37">
        <f t="array" ref="AE12">SUM(
    IFERROR(
            VLOOKUP($A12, INDIRECT("EneR!$A$6:$ZZ$1048576"), MATCH(AE$1, EneR!$6:$6, 0), FALSE),
            0
        ) +
        IFERROR(
            VLOOKUP($A12, INDIRECT("FebR!$A$6:$ZZ$1048576"), MATCH(AE$1, FebR!$6:$6, 0), FALSE),
            0
        ) +
        IFERROR(
            VLOOKUP($A12, INDIRECT("MarR!$A$6:$ZZ$1048576"), MATCH(AE$1, MarR!$6:$6, 0), FALSE),
            0
        ) +
        IFERROR(
            VLOOKUP($A12, INDIRECT("AbrR!$A$6:$ZZ$1048576"), MATCH(AE$1, AbrR!$6:$6, 0), FALSE),
            0
        ) +
        IFERROR(
            VLOOKUP($A12, INDIRECT("MayR!$A$6:$ZZ$1048576"), MATCH(AE$1, MayR!$6:$6, 0), FALSE),
            0
        ) +
        IFERROR(
            VLOOKUP($A12, INDIRECT("JunR!$A$6:$ZZ$1048576"), MATCH(AE$1, JunR!$6:$6, 0), FALSE),
            0
        ) +
        IFERROR(
            VLOOKUP($A12, INDIRECT("JulR!$A$6:$ZZ$1048576"), MATCH(AE$1, JulR!$6:$6, 0), FALSE),
            0
        ) +
        IFERROR(
            VLOOKUP($A12, INDIRECT("AgoR!$A$6:$ZZ$1048576"), MATCH(AE$1, AgoR!$6:$6, 0), FALSE),
            0
        ) +
        IFERROR(
            VLOOKUP($A12, INDIRECT("SepR!$A$6:$ZZ$1048576"), MATCH(AE$1, SepR!$6:$6, 0), FALSE),
            0
        ) +
        IFERROR(
            VLOOKUP($A12, INDIRECT("OctR!$A$6:$ZZ$1048576"), MATCH(AE$1, OctR!$6:$6, 0), FALSE),
            0
        ) +
        IFERROR(
            VLOOKUP($A12, INDIRECT("NovR!$A$6:$ZZ$1048576"), MATCH(AE$1, NovR!$6:$6, 0), FALSE),
            0
        ) +
        IFERROR(
            VLOOKUP($A12, INDIRECT("DicR!$A$6:$ZZ$1048576"), MATCH(AE$1, DicR!$6:$6, 0), FALSE),
            0
        )
)</f>
        <v>0</v>
      </c>
      <c r="AF12" s="36">
        <f t="array" ref="AF12">SUM(
    IFERROR(
            VLOOKUP($A12, INDIRECT("EneR!$A$6:$ZZ$1048576"), MATCH(AF$1, EneR!$6:$6, 0), FALSE),
            0
        ) +
        IFERROR(
            VLOOKUP($A12, INDIRECT("FebR!$A$6:$ZZ$1048576"), MATCH(AF$1, FebR!$6:$6, 0), FALSE),
            0
        ) +
        IFERROR(
            VLOOKUP($A12, INDIRECT("MarR!$A$6:$ZZ$1048576"), MATCH(AF$1, MarR!$6:$6, 0), FALSE),
            0
        ) +
        IFERROR(
            VLOOKUP($A12, INDIRECT("AbrR!$A$6:$ZZ$1048576"), MATCH(AF$1, AbrR!$6:$6, 0), FALSE),
            0
        ) +
        IFERROR(
            VLOOKUP($A12, INDIRECT("MayR!$A$6:$ZZ$1048576"), MATCH(AF$1, MayR!$6:$6, 0), FALSE),
            0
        ) +
        IFERROR(
            VLOOKUP($A12, INDIRECT("JunR!$A$6:$ZZ$1048576"), MATCH(AF$1, JunR!$6:$6, 0), FALSE),
            0
        ) +
        IFERROR(
            VLOOKUP($A12, INDIRECT("JulR!$A$6:$ZZ$1048576"), MATCH(AF$1, JulR!$6:$6, 0), FALSE),
            0
        ) +
        IFERROR(
            VLOOKUP($A12, INDIRECT("AgoR!$A$6:$ZZ$1048576"), MATCH(AF$1, AgoR!$6:$6, 0), FALSE),
            0
        ) +
        IFERROR(
            VLOOKUP($A12, INDIRECT("SepR!$A$6:$ZZ$1048576"), MATCH(AF$1, SepR!$6:$6, 0), FALSE),
            0
        ) +
        IFERROR(
            VLOOKUP($A12, INDIRECT("OctR!$A$6:$ZZ$1048576"), MATCH(AF$1, OctR!$6:$6, 0), FALSE),
            0
        ) +
        IFERROR(
            VLOOKUP($A12, INDIRECT("NovR!$A$6:$ZZ$1048576"), MATCH(AF$1, NovR!$6:$6, 0), FALSE),
            0
        ) +
        IFERROR(
            VLOOKUP($A12, INDIRECT("DicR!$A$6:$ZZ$1048576"), MATCH(AF$1, DicR!$6:$6, 0), FALSE),
            0
        )
)</f>
        <v>0</v>
      </c>
      <c r="AG12" s="37">
        <f t="array" ref="AG12">SUM(
    IFERROR(
            VLOOKUP($A12, INDIRECT("EneR!$A$6:$ZZ$1048576"), MATCH(AG$1, EneR!$6:$6, 0), FALSE),
            0
        ) +
        IFERROR(
            VLOOKUP($A12, INDIRECT("FebR!$A$6:$ZZ$1048576"), MATCH(AG$1, FebR!$6:$6, 0), FALSE),
            0
        ) +
        IFERROR(
            VLOOKUP($A12, INDIRECT("MarR!$A$6:$ZZ$1048576"), MATCH(AG$1, MarR!$6:$6, 0), FALSE),
            0
        ) +
        IFERROR(
            VLOOKUP($A12, INDIRECT("AbrR!$A$6:$ZZ$1048576"), MATCH(AG$1, AbrR!$6:$6, 0), FALSE),
            0
        ) +
        IFERROR(
            VLOOKUP($A12, INDIRECT("MayR!$A$6:$ZZ$1048576"), MATCH(AG$1, MayR!$6:$6, 0), FALSE),
            0
        ) +
        IFERROR(
            VLOOKUP($A12, INDIRECT("JunR!$A$6:$ZZ$1048576"), MATCH(AG$1, JunR!$6:$6, 0), FALSE),
            0
        ) +
        IFERROR(
            VLOOKUP($A12, INDIRECT("JulR!$A$6:$ZZ$1048576"), MATCH(AG$1, JulR!$6:$6, 0), FALSE),
            0
        ) +
        IFERROR(
            VLOOKUP($A12, INDIRECT("AgoR!$A$6:$ZZ$1048576"), MATCH(AG$1, AgoR!$6:$6, 0), FALSE),
            0
        ) +
        IFERROR(
            VLOOKUP($A12, INDIRECT("SepR!$A$6:$ZZ$1048576"), MATCH(AG$1, SepR!$6:$6, 0), FALSE),
            0
        ) +
        IFERROR(
            VLOOKUP($A12, INDIRECT("OctR!$A$6:$ZZ$1048576"), MATCH(AG$1, OctR!$6:$6, 0), FALSE),
            0
        ) +
        IFERROR(
            VLOOKUP($A12, INDIRECT("NovR!$A$6:$ZZ$1048576"), MATCH(AG$1, NovR!$6:$6, 0), FALSE),
            0
        ) +
        IFERROR(
            VLOOKUP($A12, INDIRECT("DicR!$A$6:$ZZ$1048576"), MATCH(AG$1, DicR!$6:$6, 0), FALSE),
            0
        )
)</f>
        <v>0</v>
      </c>
      <c r="AH12" s="36">
        <f t="array" ref="AH12">SUM(
    IFERROR(
            VLOOKUP($A12, INDIRECT("EneR!$A$6:$ZZ$1048576"), MATCH(AH$1, EneR!$6:$6, 0), FALSE),
            0
        ) +
        IFERROR(
            VLOOKUP($A12, INDIRECT("FebR!$A$6:$ZZ$1048576"), MATCH(AH$1, FebR!$6:$6, 0), FALSE),
            0
        ) +
        IFERROR(
            VLOOKUP($A12, INDIRECT("MarR!$A$6:$ZZ$1048576"), MATCH(AH$1, MarR!$6:$6, 0), FALSE),
            0
        ) +
        IFERROR(
            VLOOKUP($A12, INDIRECT("AbrR!$A$6:$ZZ$1048576"), MATCH(AH$1, AbrR!$6:$6, 0), FALSE),
            0
        ) +
        IFERROR(
            VLOOKUP($A12, INDIRECT("MayR!$A$6:$ZZ$1048576"), MATCH(AH$1, MayR!$6:$6, 0), FALSE),
            0
        ) +
        IFERROR(
            VLOOKUP($A12, INDIRECT("JunR!$A$6:$ZZ$1048576"), MATCH(AH$1, JunR!$6:$6, 0), FALSE),
            0
        ) +
        IFERROR(
            VLOOKUP($A12, INDIRECT("JulR!$A$6:$ZZ$1048576"), MATCH(AH$1, JulR!$6:$6, 0), FALSE),
            0
        ) +
        IFERROR(
            VLOOKUP($A12, INDIRECT("AgoR!$A$6:$ZZ$1048576"), MATCH(AH$1, AgoR!$6:$6, 0), FALSE),
            0
        ) +
        IFERROR(
            VLOOKUP($A12, INDIRECT("SepR!$A$6:$ZZ$1048576"), MATCH(AH$1, SepR!$6:$6, 0), FALSE),
            0
        ) +
        IFERROR(
            VLOOKUP($A12, INDIRECT("OctR!$A$6:$ZZ$1048576"), MATCH(AH$1, OctR!$6:$6, 0), FALSE),
            0
        ) +
        IFERROR(
            VLOOKUP($A12, INDIRECT("NovR!$A$6:$ZZ$1048576"), MATCH(AH$1, NovR!$6:$6, 0), FALSE),
            0
        ) +
        IFERROR(
            VLOOKUP($A12, INDIRECT("DicR!$A$6:$ZZ$1048576"), MATCH(AH$1, DicR!$6:$6, 0), FALSE),
            0
        )
)</f>
        <v>0</v>
      </c>
      <c r="AI12" s="37">
        <f t="array" ref="AI12">SUM(
    IFERROR(
            VLOOKUP($A12, INDIRECT("EneR!$A$6:$ZZ$1048576"), MATCH(AI$1, EneR!$6:$6, 0), FALSE),
            0
        ) +
        IFERROR(
            VLOOKUP($A12, INDIRECT("FebR!$A$6:$ZZ$1048576"), MATCH(AI$1, FebR!$6:$6, 0), FALSE),
            0
        ) +
        IFERROR(
            VLOOKUP($A12, INDIRECT("MarR!$A$6:$ZZ$1048576"), MATCH(AI$1, MarR!$6:$6, 0), FALSE),
            0
        ) +
        IFERROR(
            VLOOKUP($A12, INDIRECT("AbrR!$A$6:$ZZ$1048576"), MATCH(AI$1, AbrR!$6:$6, 0), FALSE),
            0
        ) +
        IFERROR(
            VLOOKUP($A12, INDIRECT("MayR!$A$6:$ZZ$1048576"), MATCH(AI$1, MayR!$6:$6, 0), FALSE),
            0
        ) +
        IFERROR(
            VLOOKUP($A12, INDIRECT("JunR!$A$6:$ZZ$1048576"), MATCH(AI$1, JunR!$6:$6, 0), FALSE),
            0
        ) +
        IFERROR(
            VLOOKUP($A12, INDIRECT("JulR!$A$6:$ZZ$1048576"), MATCH(AI$1, JulR!$6:$6, 0), FALSE),
            0
        ) +
        IFERROR(
            VLOOKUP($A12, INDIRECT("AgoR!$A$6:$ZZ$1048576"), MATCH(AI$1, AgoR!$6:$6, 0), FALSE),
            0
        ) +
        IFERROR(
            VLOOKUP($A12, INDIRECT("SepR!$A$6:$ZZ$1048576"), MATCH(AI$1, SepR!$6:$6, 0), FALSE),
            0
        ) +
        IFERROR(
            VLOOKUP($A12, INDIRECT("OctR!$A$6:$ZZ$1048576"), MATCH(AI$1, OctR!$6:$6, 0), FALSE),
            0
        ) +
        IFERROR(
            VLOOKUP($A12, INDIRECT("NovR!$A$6:$ZZ$1048576"), MATCH(AI$1, NovR!$6:$6, 0), FALSE),
            0
        ) +
        IFERROR(
            VLOOKUP($A12, INDIRECT("DicR!$A$6:$ZZ$1048576"), MATCH(AI$1, DicR!$6:$6, 0), FALSE),
            0
        )
)</f>
        <v>0</v>
      </c>
      <c r="AJ12" s="36">
        <f t="array" ref="AJ12">SUM(
    IFERROR(
            VLOOKUP($A12, INDIRECT("EneR!$A$6:$ZZ$1048576"), MATCH(AJ$1, EneR!$6:$6, 0), FALSE),
            0
        ) +
        IFERROR(
            VLOOKUP($A12, INDIRECT("FebR!$A$6:$ZZ$1048576"), MATCH(AJ$1, FebR!$6:$6, 0), FALSE),
            0
        ) +
        IFERROR(
            VLOOKUP($A12, INDIRECT("MarR!$A$6:$ZZ$1048576"), MATCH(AJ$1, MarR!$6:$6, 0), FALSE),
            0
        ) +
        IFERROR(
            VLOOKUP($A12, INDIRECT("AbrR!$A$6:$ZZ$1048576"), MATCH(AJ$1, AbrR!$6:$6, 0), FALSE),
            0
        ) +
        IFERROR(
            VLOOKUP($A12, INDIRECT("MayR!$A$6:$ZZ$1048576"), MATCH(AJ$1, MayR!$6:$6, 0), FALSE),
            0
        ) +
        IFERROR(
            VLOOKUP($A12, INDIRECT("JunR!$A$6:$ZZ$1048576"), MATCH(AJ$1, JunR!$6:$6, 0), FALSE),
            0
        ) +
        IFERROR(
            VLOOKUP($A12, INDIRECT("JulR!$A$6:$ZZ$1048576"), MATCH(AJ$1, JulR!$6:$6, 0), FALSE),
            0
        ) +
        IFERROR(
            VLOOKUP($A12, INDIRECT("AgoR!$A$6:$ZZ$1048576"), MATCH(AJ$1, AgoR!$6:$6, 0), FALSE),
            0
        ) +
        IFERROR(
            VLOOKUP($A12, INDIRECT("SepR!$A$6:$ZZ$1048576"), MATCH(AJ$1, SepR!$6:$6, 0), FALSE),
            0
        ) +
        IFERROR(
            VLOOKUP($A12, INDIRECT("OctR!$A$6:$ZZ$1048576"), MATCH(AJ$1, OctR!$6:$6, 0), FALSE),
            0
        ) +
        IFERROR(
            VLOOKUP($A12, INDIRECT("NovR!$A$6:$ZZ$1048576"), MATCH(AJ$1, NovR!$6:$6, 0), FALSE),
            0
        ) +
        IFERROR(
            VLOOKUP($A12, INDIRECT("DicR!$A$6:$ZZ$1048576"), MATCH(AJ$1, DicR!$6:$6, 0), FALSE),
            0
        )
)</f>
        <v>0</v>
      </c>
      <c r="AK12" s="37">
        <f t="array" ref="AK12">SUM(
    IFERROR(
            VLOOKUP($A12, INDIRECT("EneR!$A$6:$ZZ$1048576"), MATCH(AK$1, EneR!$6:$6, 0), FALSE),
            0
        ) +
        IFERROR(
            VLOOKUP($A12, INDIRECT("FebR!$A$6:$ZZ$1048576"), MATCH(AK$1, FebR!$6:$6, 0), FALSE),
            0
        ) +
        IFERROR(
            VLOOKUP($A12, INDIRECT("MarR!$A$6:$ZZ$1048576"), MATCH(AK$1, MarR!$6:$6, 0), FALSE),
            0
        ) +
        IFERROR(
            VLOOKUP($A12, INDIRECT("AbrR!$A$6:$ZZ$1048576"), MATCH(AK$1, AbrR!$6:$6, 0), FALSE),
            0
        ) +
        IFERROR(
            VLOOKUP($A12, INDIRECT("MayR!$A$6:$ZZ$1048576"), MATCH(AK$1, MayR!$6:$6, 0), FALSE),
            0
        ) +
        IFERROR(
            VLOOKUP($A12, INDIRECT("JunR!$A$6:$ZZ$1048576"), MATCH(AK$1, JunR!$6:$6, 0), FALSE),
            0
        ) +
        IFERROR(
            VLOOKUP($A12, INDIRECT("JulR!$A$6:$ZZ$1048576"), MATCH(AK$1, JulR!$6:$6, 0), FALSE),
            0
        ) +
        IFERROR(
            VLOOKUP($A12, INDIRECT("AgoR!$A$6:$ZZ$1048576"), MATCH(AK$1, AgoR!$6:$6, 0), FALSE),
            0
        ) +
        IFERROR(
            VLOOKUP($A12, INDIRECT("SepR!$A$6:$ZZ$1048576"), MATCH(AK$1, SepR!$6:$6, 0), FALSE),
            0
        ) +
        IFERROR(
            VLOOKUP($A12, INDIRECT("OctR!$A$6:$ZZ$1048576"), MATCH(AK$1, OctR!$6:$6, 0), FALSE),
            0
        ) +
        IFERROR(
            VLOOKUP($A12, INDIRECT("NovR!$A$6:$ZZ$1048576"), MATCH(AK$1, NovR!$6:$6, 0), FALSE),
            0
        ) +
        IFERROR(
            VLOOKUP($A12, INDIRECT("DicR!$A$6:$ZZ$1048576"), MATCH(AK$1, DicR!$6:$6, 0), FALSE),
            0
        )
)</f>
        <v>0</v>
      </c>
      <c r="AL12" s="36">
        <f t="array" ref="AL12">SUM(
    IFERROR(
            VLOOKUP($A12, INDIRECT("EneR!$A$6:$ZZ$1048576"), MATCH(AL$1, EneR!$6:$6, 0), FALSE),
            0
        ) +
        IFERROR(
            VLOOKUP($A12, INDIRECT("FebR!$A$6:$ZZ$1048576"), MATCH(AL$1, FebR!$6:$6, 0), FALSE),
            0
        ) +
        IFERROR(
            VLOOKUP($A12, INDIRECT("MarR!$A$6:$ZZ$1048576"), MATCH(AL$1, MarR!$6:$6, 0), FALSE),
            0
        ) +
        IFERROR(
            VLOOKUP($A12, INDIRECT("AbrR!$A$6:$ZZ$1048576"), MATCH(AL$1, AbrR!$6:$6, 0), FALSE),
            0
        ) +
        IFERROR(
            VLOOKUP($A12, INDIRECT("MayR!$A$6:$ZZ$1048576"), MATCH(AL$1, MayR!$6:$6, 0), FALSE),
            0
        ) +
        IFERROR(
            VLOOKUP($A12, INDIRECT("JunR!$A$6:$ZZ$1048576"), MATCH(AL$1, JunR!$6:$6, 0), FALSE),
            0
        ) +
        IFERROR(
            VLOOKUP($A12, INDIRECT("JulR!$A$6:$ZZ$1048576"), MATCH(AL$1, JulR!$6:$6, 0), FALSE),
            0
        ) +
        IFERROR(
            VLOOKUP($A12, INDIRECT("AgoR!$A$6:$ZZ$1048576"), MATCH(AL$1, AgoR!$6:$6, 0), FALSE),
            0
        ) +
        IFERROR(
            VLOOKUP($A12, INDIRECT("SepR!$A$6:$ZZ$1048576"), MATCH(AL$1, SepR!$6:$6, 0), FALSE),
            0
        ) +
        IFERROR(
            VLOOKUP($A12, INDIRECT("OctR!$A$6:$ZZ$1048576"), MATCH(AL$1, OctR!$6:$6, 0), FALSE),
            0
        ) +
        IFERROR(
            VLOOKUP($A12, INDIRECT("NovR!$A$6:$ZZ$1048576"), MATCH(AL$1, NovR!$6:$6, 0), FALSE),
            0
        ) +
        IFERROR(
            VLOOKUP($A12, INDIRECT("DicR!$A$6:$ZZ$1048576"), MATCH(AL$1, DicR!$6:$6, 0), FALSE),
            0
        )
)</f>
        <v>0</v>
      </c>
      <c r="AM12" s="37">
        <f t="array" ref="AM12">SUM(
    IFERROR(
            VLOOKUP($A12, INDIRECT("EneR!$A$6:$ZZ$1048576"), MATCH(AM$1, EneR!$6:$6, 0), FALSE),
            0
        ) +
        IFERROR(
            VLOOKUP($A12, INDIRECT("FebR!$A$6:$ZZ$1048576"), MATCH(AM$1, FebR!$6:$6, 0), FALSE),
            0
        ) +
        IFERROR(
            VLOOKUP($A12, INDIRECT("MarR!$A$6:$ZZ$1048576"), MATCH(AM$1, MarR!$6:$6, 0), FALSE),
            0
        ) +
        IFERROR(
            VLOOKUP($A12, INDIRECT("AbrR!$A$6:$ZZ$1048576"), MATCH(AM$1, AbrR!$6:$6, 0), FALSE),
            0
        ) +
        IFERROR(
            VLOOKUP($A12, INDIRECT("MayR!$A$6:$ZZ$1048576"), MATCH(AM$1, MayR!$6:$6, 0), FALSE),
            0
        ) +
        IFERROR(
            VLOOKUP($A12, INDIRECT("JunR!$A$6:$ZZ$1048576"), MATCH(AM$1, JunR!$6:$6, 0), FALSE),
            0
        ) +
        IFERROR(
            VLOOKUP($A12, INDIRECT("JulR!$A$6:$ZZ$1048576"), MATCH(AM$1, JulR!$6:$6, 0), FALSE),
            0
        ) +
        IFERROR(
            VLOOKUP($A12, INDIRECT("AgoR!$A$6:$ZZ$1048576"), MATCH(AM$1, AgoR!$6:$6, 0), FALSE),
            0
        ) +
        IFERROR(
            VLOOKUP($A12, INDIRECT("SepR!$A$6:$ZZ$1048576"), MATCH(AM$1, SepR!$6:$6, 0), FALSE),
            0
        ) +
        IFERROR(
            VLOOKUP($A12, INDIRECT("OctR!$A$6:$ZZ$1048576"), MATCH(AM$1, OctR!$6:$6, 0), FALSE),
            0
        ) +
        IFERROR(
            VLOOKUP($A12, INDIRECT("NovR!$A$6:$ZZ$1048576"), MATCH(AM$1, NovR!$6:$6, 0), FALSE),
            0
        ) +
        IFERROR(
            VLOOKUP($A12, INDIRECT("DicR!$A$6:$ZZ$1048576"), MATCH(AM$1, DicR!$6:$6, 0), FALSE),
            0
        )
)</f>
        <v>0</v>
      </c>
      <c r="AN12" s="36">
        <f t="array" ref="AN12">SUM(
    IFERROR(
            VLOOKUP($A12, INDIRECT("EneR!$A$6:$ZZ$1048576"), MATCH(AN$1, EneR!$6:$6, 0), FALSE),
            0
        ) +
        IFERROR(
            VLOOKUP($A12, INDIRECT("FebR!$A$6:$ZZ$1048576"), MATCH(AN$1, FebR!$6:$6, 0), FALSE),
            0
        ) +
        IFERROR(
            VLOOKUP($A12, INDIRECT("MarR!$A$6:$ZZ$1048576"), MATCH(AN$1, MarR!$6:$6, 0), FALSE),
            0
        ) +
        IFERROR(
            VLOOKUP($A12, INDIRECT("AbrR!$A$6:$ZZ$1048576"), MATCH(AN$1, AbrR!$6:$6, 0), FALSE),
            0
        ) +
        IFERROR(
            VLOOKUP($A12, INDIRECT("MayR!$A$6:$ZZ$1048576"), MATCH(AN$1, MayR!$6:$6, 0), FALSE),
            0
        ) +
        IFERROR(
            VLOOKUP($A12, INDIRECT("JunR!$A$6:$ZZ$1048576"), MATCH(AN$1, JunR!$6:$6, 0), FALSE),
            0
        ) +
        IFERROR(
            VLOOKUP($A12, INDIRECT("JulR!$A$6:$ZZ$1048576"), MATCH(AN$1, JulR!$6:$6, 0), FALSE),
            0
        ) +
        IFERROR(
            VLOOKUP($A12, INDIRECT("AgoR!$A$6:$ZZ$1048576"), MATCH(AN$1, AgoR!$6:$6, 0), FALSE),
            0
        ) +
        IFERROR(
            VLOOKUP($A12, INDIRECT("SepR!$A$6:$ZZ$1048576"), MATCH(AN$1, SepR!$6:$6, 0), FALSE),
            0
        ) +
        IFERROR(
            VLOOKUP($A12, INDIRECT("OctR!$A$6:$ZZ$1048576"), MATCH(AN$1, OctR!$6:$6, 0), FALSE),
            0
        ) +
        IFERROR(
            VLOOKUP($A12, INDIRECT("NovR!$A$6:$ZZ$1048576"), MATCH(AN$1, NovR!$6:$6, 0), FALSE),
            0
        ) +
        IFERROR(
            VLOOKUP($A12, INDIRECT("DicR!$A$6:$ZZ$1048576"), MATCH(AN$1, DicR!$6:$6, 0), FALSE),
            0
        )
)</f>
        <v>0</v>
      </c>
      <c r="AO12" s="37">
        <f t="array" ref="AO12">SUM(
    IFERROR(
            VLOOKUP($A12, INDIRECT("EneR!$A$6:$ZZ$1048576"), MATCH(AO$1, EneR!$6:$6, 0), FALSE),
            0
        ) +
        IFERROR(
            VLOOKUP($A12, INDIRECT("FebR!$A$6:$ZZ$1048576"), MATCH(AO$1, FebR!$6:$6, 0), FALSE),
            0
        ) +
        IFERROR(
            VLOOKUP($A12, INDIRECT("MarR!$A$6:$ZZ$1048576"), MATCH(AO$1, MarR!$6:$6, 0), FALSE),
            0
        ) +
        IFERROR(
            VLOOKUP($A12, INDIRECT("AbrR!$A$6:$ZZ$1048576"), MATCH(AO$1, AbrR!$6:$6, 0), FALSE),
            0
        ) +
        IFERROR(
            VLOOKUP($A12, INDIRECT("MayR!$A$6:$ZZ$1048576"), MATCH(AO$1, MayR!$6:$6, 0), FALSE),
            0
        ) +
        IFERROR(
            VLOOKUP($A12, INDIRECT("JunR!$A$6:$ZZ$1048576"), MATCH(AO$1, JunR!$6:$6, 0), FALSE),
            0
        ) +
        IFERROR(
            VLOOKUP($A12, INDIRECT("JulR!$A$6:$ZZ$1048576"), MATCH(AO$1, JulR!$6:$6, 0), FALSE),
            0
        ) +
        IFERROR(
            VLOOKUP($A12, INDIRECT("AgoR!$A$6:$ZZ$1048576"), MATCH(AO$1, AgoR!$6:$6, 0), FALSE),
            0
        ) +
        IFERROR(
            VLOOKUP($A12, INDIRECT("SepR!$A$6:$ZZ$1048576"), MATCH(AO$1, SepR!$6:$6, 0), FALSE),
            0
        ) +
        IFERROR(
            VLOOKUP($A12, INDIRECT("OctR!$A$6:$ZZ$1048576"), MATCH(AO$1, OctR!$6:$6, 0), FALSE),
            0
        ) +
        IFERROR(
            VLOOKUP($A12, INDIRECT("NovR!$A$6:$ZZ$1048576"), MATCH(AO$1, NovR!$6:$6, 0), FALSE),
            0
        ) +
        IFERROR(
            VLOOKUP($A12, INDIRECT("DicR!$A$6:$ZZ$1048576"), MATCH(AO$1, DicR!$6:$6, 0), FALSE),
            0
        )
)</f>
        <v>0</v>
      </c>
      <c r="AP12" s="36">
        <f t="array" ref="AP12">SUM(
    IFERROR(
            VLOOKUP($A12, INDIRECT("EneR!$A$6:$ZZ$1048576"), MATCH(AP$1, EneR!$6:$6, 0), FALSE),
            0
        ) +
        IFERROR(
            VLOOKUP($A12, INDIRECT("FebR!$A$6:$ZZ$1048576"), MATCH(AP$1, FebR!$6:$6, 0), FALSE),
            0
        ) +
        IFERROR(
            VLOOKUP($A12, INDIRECT("MarR!$A$6:$ZZ$1048576"), MATCH(AP$1, MarR!$6:$6, 0), FALSE),
            0
        ) +
        IFERROR(
            VLOOKUP($A12, INDIRECT("AbrR!$A$6:$ZZ$1048576"), MATCH(AP$1, AbrR!$6:$6, 0), FALSE),
            0
        ) +
        IFERROR(
            VLOOKUP($A12, INDIRECT("MayR!$A$6:$ZZ$1048576"), MATCH(AP$1, MayR!$6:$6, 0), FALSE),
            0
        ) +
        IFERROR(
            VLOOKUP($A12, INDIRECT("JunR!$A$6:$ZZ$1048576"), MATCH(AP$1, JunR!$6:$6, 0), FALSE),
            0
        ) +
        IFERROR(
            VLOOKUP($A12, INDIRECT("JulR!$A$6:$ZZ$1048576"), MATCH(AP$1, JulR!$6:$6, 0), FALSE),
            0
        ) +
        IFERROR(
            VLOOKUP($A12, INDIRECT("AgoR!$A$6:$ZZ$1048576"), MATCH(AP$1, AgoR!$6:$6, 0), FALSE),
            0
        ) +
        IFERROR(
            VLOOKUP($A12, INDIRECT("SepR!$A$6:$ZZ$1048576"), MATCH(AP$1, SepR!$6:$6, 0), FALSE),
            0
        ) +
        IFERROR(
            VLOOKUP($A12, INDIRECT("OctR!$A$6:$ZZ$1048576"), MATCH(AP$1, OctR!$6:$6, 0), FALSE),
            0
        ) +
        IFERROR(
            VLOOKUP($A12, INDIRECT("NovR!$A$6:$ZZ$1048576"), MATCH(AP$1, NovR!$6:$6, 0), FALSE),
            0
        ) +
        IFERROR(
            VLOOKUP($A12, INDIRECT("DicR!$A$6:$ZZ$1048576"), MATCH(AP$1, DicR!$6:$6, 0), FALSE),
            0
        )
)</f>
        <v>0</v>
      </c>
      <c r="AQ12" s="37">
        <f t="array" ref="AQ12">SUM(
    IFERROR(
            VLOOKUP($A12, INDIRECT("EneR!$A$6:$ZZ$1048576"), MATCH(AQ$1, EneR!$6:$6, 0), FALSE),
            0
        ) +
        IFERROR(
            VLOOKUP($A12, INDIRECT("FebR!$A$6:$ZZ$1048576"), MATCH(AQ$1, FebR!$6:$6, 0), FALSE),
            0
        ) +
        IFERROR(
            VLOOKUP($A12, INDIRECT("MarR!$A$6:$ZZ$1048576"), MATCH(AQ$1, MarR!$6:$6, 0), FALSE),
            0
        ) +
        IFERROR(
            VLOOKUP($A12, INDIRECT("AbrR!$A$6:$ZZ$1048576"), MATCH(AQ$1, AbrR!$6:$6, 0), FALSE),
            0
        ) +
        IFERROR(
            VLOOKUP($A12, INDIRECT("MayR!$A$6:$ZZ$1048576"), MATCH(AQ$1, MayR!$6:$6, 0), FALSE),
            0
        ) +
        IFERROR(
            VLOOKUP($A12, INDIRECT("JunR!$A$6:$ZZ$1048576"), MATCH(AQ$1, JunR!$6:$6, 0), FALSE),
            0
        ) +
        IFERROR(
            VLOOKUP($A12, INDIRECT("JulR!$A$6:$ZZ$1048576"), MATCH(AQ$1, JulR!$6:$6, 0), FALSE),
            0
        ) +
        IFERROR(
            VLOOKUP($A12, INDIRECT("AgoR!$A$6:$ZZ$1048576"), MATCH(AQ$1, AgoR!$6:$6, 0), FALSE),
            0
        ) +
        IFERROR(
            VLOOKUP($A12, INDIRECT("SepR!$A$6:$ZZ$1048576"), MATCH(AQ$1, SepR!$6:$6, 0), FALSE),
            0
        ) +
        IFERROR(
            VLOOKUP($A12, INDIRECT("OctR!$A$6:$ZZ$1048576"), MATCH(AQ$1, OctR!$6:$6, 0), FALSE),
            0
        ) +
        IFERROR(
            VLOOKUP($A12, INDIRECT("NovR!$A$6:$ZZ$1048576"), MATCH(AQ$1, NovR!$6:$6, 0), FALSE),
            0
        ) +
        IFERROR(
            VLOOKUP($A12, INDIRECT("DicR!$A$6:$ZZ$1048576"), MATCH(AQ$1, DicR!$6:$6, 0), FALSE),
            0
        )
)</f>
        <v>0</v>
      </c>
      <c r="AR12" s="36">
        <f t="array" ref="AR12">SUM(
    IFERROR(
            VLOOKUP($A12, INDIRECT("EneR!$A$6:$ZZ$1048576"), MATCH(AR$1, EneR!$6:$6, 0), FALSE),
            0
        ) +
        IFERROR(
            VLOOKUP($A12, INDIRECT("FebR!$A$6:$ZZ$1048576"), MATCH(AR$1, FebR!$6:$6, 0), FALSE),
            0
        ) +
        IFERROR(
            VLOOKUP($A12, INDIRECT("MarR!$A$6:$ZZ$1048576"), MATCH(AR$1, MarR!$6:$6, 0), FALSE),
            0
        ) +
        IFERROR(
            VLOOKUP($A12, INDIRECT("AbrR!$A$6:$ZZ$1048576"), MATCH(AR$1, AbrR!$6:$6, 0), FALSE),
            0
        ) +
        IFERROR(
            VLOOKUP($A12, INDIRECT("MayR!$A$6:$ZZ$1048576"), MATCH(AR$1, MayR!$6:$6, 0), FALSE),
            0
        ) +
        IFERROR(
            VLOOKUP($A12, INDIRECT("JunR!$A$6:$ZZ$1048576"), MATCH(AR$1, JunR!$6:$6, 0), FALSE),
            0
        ) +
        IFERROR(
            VLOOKUP($A12, INDIRECT("JulR!$A$6:$ZZ$1048576"), MATCH(AR$1, JulR!$6:$6, 0), FALSE),
            0
        ) +
        IFERROR(
            VLOOKUP($A12, INDIRECT("AgoR!$A$6:$ZZ$1048576"), MATCH(AR$1, AgoR!$6:$6, 0), FALSE),
            0
        ) +
        IFERROR(
            VLOOKUP($A12, INDIRECT("SepR!$A$6:$ZZ$1048576"), MATCH(AR$1, SepR!$6:$6, 0), FALSE),
            0
        ) +
        IFERROR(
            VLOOKUP($A12, INDIRECT("OctR!$A$6:$ZZ$1048576"), MATCH(AR$1, OctR!$6:$6, 0), FALSE),
            0
        ) +
        IFERROR(
            VLOOKUP($A12, INDIRECT("NovR!$A$6:$ZZ$1048576"), MATCH(AR$1, NovR!$6:$6, 0), FALSE),
            0
        ) +
        IFERROR(
            VLOOKUP($A12, INDIRECT("DicR!$A$6:$ZZ$1048576"), MATCH(AR$1, DicR!$6:$6, 0), FALSE),
            0
        )
)</f>
        <v>0</v>
      </c>
      <c r="AS12" s="37">
        <f t="array" ref="AS12">SUM(
    IFERROR(
            VLOOKUP($A12, INDIRECT("EneR!$A$6:$ZZ$1048576"), MATCH(AS$1, EneR!$6:$6, 0), FALSE),
            0
        ) +
        IFERROR(
            VLOOKUP($A12, INDIRECT("FebR!$A$6:$ZZ$1048576"), MATCH(AS$1, FebR!$6:$6, 0), FALSE),
            0
        ) +
        IFERROR(
            VLOOKUP($A12, INDIRECT("MarR!$A$6:$ZZ$1048576"), MATCH(AS$1, MarR!$6:$6, 0), FALSE),
            0
        ) +
        IFERROR(
            VLOOKUP($A12, INDIRECT("AbrR!$A$6:$ZZ$1048576"), MATCH(AS$1, AbrR!$6:$6, 0), FALSE),
            0
        ) +
        IFERROR(
            VLOOKUP($A12, INDIRECT("MayR!$A$6:$ZZ$1048576"), MATCH(AS$1, MayR!$6:$6, 0), FALSE),
            0
        ) +
        IFERROR(
            VLOOKUP($A12, INDIRECT("JunR!$A$6:$ZZ$1048576"), MATCH(AS$1, JunR!$6:$6, 0), FALSE),
            0
        ) +
        IFERROR(
            VLOOKUP($A12, INDIRECT("JulR!$A$6:$ZZ$1048576"), MATCH(AS$1, JulR!$6:$6, 0), FALSE),
            0
        ) +
        IFERROR(
            VLOOKUP($A12, INDIRECT("AgoR!$A$6:$ZZ$1048576"), MATCH(AS$1, AgoR!$6:$6, 0), FALSE),
            0
        ) +
        IFERROR(
            VLOOKUP($A12, INDIRECT("SepR!$A$6:$ZZ$1048576"), MATCH(AS$1, SepR!$6:$6, 0), FALSE),
            0
        ) +
        IFERROR(
            VLOOKUP($A12, INDIRECT("OctR!$A$6:$ZZ$1048576"), MATCH(AS$1, OctR!$6:$6, 0), FALSE),
            0
        ) +
        IFERROR(
            VLOOKUP($A12, INDIRECT("NovR!$A$6:$ZZ$1048576"), MATCH(AS$1, NovR!$6:$6, 0), FALSE),
            0
        ) +
        IFERROR(
            VLOOKUP($A12, INDIRECT("DicR!$A$6:$ZZ$1048576"), MATCH(AS$1, DicR!$6:$6, 0), FALSE),
            0
        )
)</f>
        <v>0</v>
      </c>
      <c r="AT12" s="36">
        <f t="array" ref="AT12">SUM(
    IFERROR(
            VLOOKUP($A12, INDIRECT("EneR!$A$6:$ZZ$1048576"), MATCH(AT$1, EneR!$6:$6, 0), FALSE),
            0
        ) +
        IFERROR(
            VLOOKUP($A12, INDIRECT("FebR!$A$6:$ZZ$1048576"), MATCH(AT$1, FebR!$6:$6, 0), FALSE),
            0
        ) +
        IFERROR(
            VLOOKUP($A12, INDIRECT("MarR!$A$6:$ZZ$1048576"), MATCH(AT$1, MarR!$6:$6, 0), FALSE),
            0
        ) +
        IFERROR(
            VLOOKUP($A12, INDIRECT("AbrR!$A$6:$ZZ$1048576"), MATCH(AT$1, AbrR!$6:$6, 0), FALSE),
            0
        ) +
        IFERROR(
            VLOOKUP($A12, INDIRECT("MayR!$A$6:$ZZ$1048576"), MATCH(AT$1, MayR!$6:$6, 0), FALSE),
            0
        ) +
        IFERROR(
            VLOOKUP($A12, INDIRECT("JunR!$A$6:$ZZ$1048576"), MATCH(AT$1, JunR!$6:$6, 0), FALSE),
            0
        ) +
        IFERROR(
            VLOOKUP($A12, INDIRECT("JulR!$A$6:$ZZ$1048576"), MATCH(AT$1, JulR!$6:$6, 0), FALSE),
            0
        ) +
        IFERROR(
            VLOOKUP($A12, INDIRECT("AgoR!$A$6:$ZZ$1048576"), MATCH(AT$1, AgoR!$6:$6, 0), FALSE),
            0
        ) +
        IFERROR(
            VLOOKUP($A12, INDIRECT("SepR!$A$6:$ZZ$1048576"), MATCH(AT$1, SepR!$6:$6, 0), FALSE),
            0
        ) +
        IFERROR(
            VLOOKUP($A12, INDIRECT("OctR!$A$6:$ZZ$1048576"), MATCH(AT$1, OctR!$6:$6, 0), FALSE),
            0
        ) +
        IFERROR(
            VLOOKUP($A12, INDIRECT("NovR!$A$6:$ZZ$1048576"), MATCH(AT$1, NovR!$6:$6, 0), FALSE),
            0
        ) +
        IFERROR(
            VLOOKUP($A12, INDIRECT("DicR!$A$6:$ZZ$1048576"), MATCH(AT$1, DicR!$6:$6, 0), FALSE),
            0
        )
)</f>
        <v>0</v>
      </c>
      <c r="AU12" s="37">
        <f t="array" ref="AU12">SUM(
    IFERROR(
            VLOOKUP($A12, INDIRECT("EneR!$A$6:$ZZ$1048576"), MATCH(AU$1, EneR!$6:$6, 0), FALSE),
            0
        ) +
        IFERROR(
            VLOOKUP($A12, INDIRECT("FebR!$A$6:$ZZ$1048576"), MATCH(AU$1, FebR!$6:$6, 0), FALSE),
            0
        ) +
        IFERROR(
            VLOOKUP($A12, INDIRECT("MarR!$A$6:$ZZ$1048576"), MATCH(AU$1, MarR!$6:$6, 0), FALSE),
            0
        ) +
        IFERROR(
            VLOOKUP($A12, INDIRECT("AbrR!$A$6:$ZZ$1048576"), MATCH(AU$1, AbrR!$6:$6, 0), FALSE),
            0
        ) +
        IFERROR(
            VLOOKUP($A12, INDIRECT("MayR!$A$6:$ZZ$1048576"), MATCH(AU$1, MayR!$6:$6, 0), FALSE),
            0
        ) +
        IFERROR(
            VLOOKUP($A12, INDIRECT("JunR!$A$6:$ZZ$1048576"), MATCH(AU$1, JunR!$6:$6, 0), FALSE),
            0
        ) +
        IFERROR(
            VLOOKUP($A12, INDIRECT("JulR!$A$6:$ZZ$1048576"), MATCH(AU$1, JulR!$6:$6, 0), FALSE),
            0
        ) +
        IFERROR(
            VLOOKUP($A12, INDIRECT("AgoR!$A$6:$ZZ$1048576"), MATCH(AU$1, AgoR!$6:$6, 0), FALSE),
            0
        ) +
        IFERROR(
            VLOOKUP($A12, INDIRECT("SepR!$A$6:$ZZ$1048576"), MATCH(AU$1, SepR!$6:$6, 0), FALSE),
            0
        ) +
        IFERROR(
            VLOOKUP($A12, INDIRECT("OctR!$A$6:$ZZ$1048576"), MATCH(AU$1, OctR!$6:$6, 0), FALSE),
            0
        ) +
        IFERROR(
            VLOOKUP($A12, INDIRECT("NovR!$A$6:$ZZ$1048576"), MATCH(AU$1, NovR!$6:$6, 0), FALSE),
            0
        ) +
        IFERROR(
            VLOOKUP($A12, INDIRECT("DicR!$A$6:$ZZ$1048576"), MATCH(AU$1, DicR!$6:$6, 0), FALSE),
            0
        )
)</f>
        <v>0</v>
      </c>
      <c r="AV12" s="36">
        <f t="array" ref="AV12">SUM(
    IFERROR(
            VLOOKUP($A12, INDIRECT("EneR!$A$6:$ZZ$1048576"), MATCH(AV$1, EneR!$6:$6, 0), FALSE),
            0
        ) +
        IFERROR(
            VLOOKUP($A12, INDIRECT("FebR!$A$6:$ZZ$1048576"), MATCH(AV$1, FebR!$6:$6, 0), FALSE),
            0
        ) +
        IFERROR(
            VLOOKUP($A12, INDIRECT("MarR!$A$6:$ZZ$1048576"), MATCH(AV$1, MarR!$6:$6, 0), FALSE),
            0
        ) +
        IFERROR(
            VLOOKUP($A12, INDIRECT("AbrR!$A$6:$ZZ$1048576"), MATCH(AV$1, AbrR!$6:$6, 0), FALSE),
            0
        ) +
        IFERROR(
            VLOOKUP($A12, INDIRECT("MayR!$A$6:$ZZ$1048576"), MATCH(AV$1, MayR!$6:$6, 0), FALSE),
            0
        ) +
        IFERROR(
            VLOOKUP($A12, INDIRECT("JunR!$A$6:$ZZ$1048576"), MATCH(AV$1, JunR!$6:$6, 0), FALSE),
            0
        ) +
        IFERROR(
            VLOOKUP($A12, INDIRECT("JulR!$A$6:$ZZ$1048576"), MATCH(AV$1, JulR!$6:$6, 0), FALSE),
            0
        ) +
        IFERROR(
            VLOOKUP($A12, INDIRECT("AgoR!$A$6:$ZZ$1048576"), MATCH(AV$1, AgoR!$6:$6, 0), FALSE),
            0
        ) +
        IFERROR(
            VLOOKUP($A12, INDIRECT("SepR!$A$6:$ZZ$1048576"), MATCH(AV$1, SepR!$6:$6, 0), FALSE),
            0
        ) +
        IFERROR(
            VLOOKUP($A12, INDIRECT("OctR!$A$6:$ZZ$1048576"), MATCH(AV$1, OctR!$6:$6, 0), FALSE),
            0
        ) +
        IFERROR(
            VLOOKUP($A12, INDIRECT("NovR!$A$6:$ZZ$1048576"), MATCH(AV$1, NovR!$6:$6, 0), FALSE),
            0
        ) +
        IFERROR(
            VLOOKUP($A12, INDIRECT("DicR!$A$6:$ZZ$1048576"), MATCH(AV$1, DicR!$6:$6, 0), FALSE),
            0
        )
)</f>
        <v>0</v>
      </c>
      <c r="AW12" s="37">
        <f t="array" ref="AW12">SUM(
    IFERROR(
            VLOOKUP($A12, INDIRECT("EneR!$A$6:$ZZ$1048576"), MATCH(AW$1, EneR!$6:$6, 0), FALSE),
            0
        ) +
        IFERROR(
            VLOOKUP($A12, INDIRECT("FebR!$A$6:$ZZ$1048576"), MATCH(AW$1, FebR!$6:$6, 0), FALSE),
            0
        ) +
        IFERROR(
            VLOOKUP($A12, INDIRECT("MarR!$A$6:$ZZ$1048576"), MATCH(AW$1, MarR!$6:$6, 0), FALSE),
            0
        ) +
        IFERROR(
            VLOOKUP($A12, INDIRECT("AbrR!$A$6:$ZZ$1048576"), MATCH(AW$1, AbrR!$6:$6, 0), FALSE),
            0
        ) +
        IFERROR(
            VLOOKUP($A12, INDIRECT("MayR!$A$6:$ZZ$1048576"), MATCH(AW$1, MayR!$6:$6, 0), FALSE),
            0
        ) +
        IFERROR(
            VLOOKUP($A12, INDIRECT("JunR!$A$6:$ZZ$1048576"), MATCH(AW$1, JunR!$6:$6, 0), FALSE),
            0
        ) +
        IFERROR(
            VLOOKUP($A12, INDIRECT("JulR!$A$6:$ZZ$1048576"), MATCH(AW$1, JulR!$6:$6, 0), FALSE),
            0
        ) +
        IFERROR(
            VLOOKUP($A12, INDIRECT("AgoR!$A$6:$ZZ$1048576"), MATCH(AW$1, AgoR!$6:$6, 0), FALSE),
            0
        ) +
        IFERROR(
            VLOOKUP($A12, INDIRECT("SepR!$A$6:$ZZ$1048576"), MATCH(AW$1, SepR!$6:$6, 0), FALSE),
            0
        ) +
        IFERROR(
            VLOOKUP($A12, INDIRECT("OctR!$A$6:$ZZ$1048576"), MATCH(AW$1, OctR!$6:$6, 0), FALSE),
            0
        ) +
        IFERROR(
            VLOOKUP($A12, INDIRECT("NovR!$A$6:$ZZ$1048576"), MATCH(AW$1, NovR!$6:$6, 0), FALSE),
            0
        ) +
        IFERROR(
            VLOOKUP($A12, INDIRECT("DicR!$A$6:$ZZ$1048576"), MATCH(AW$1, DicR!$6:$6, 0), FALSE),
            0
        )
)</f>
        <v>0</v>
      </c>
      <c r="AX12" s="36">
        <f t="array" ref="AX12">SUM(
    IFERROR(
            VLOOKUP($A12, INDIRECT("EneR!$A$6:$ZZ$1048576"), MATCH(AX$1, EneR!$6:$6, 0), FALSE),
            0
        ) +
        IFERROR(
            VLOOKUP($A12, INDIRECT("FebR!$A$6:$ZZ$1048576"), MATCH(AX$1, FebR!$6:$6, 0), FALSE),
            0
        ) +
        IFERROR(
            VLOOKUP($A12, INDIRECT("MarR!$A$6:$ZZ$1048576"), MATCH(AX$1, MarR!$6:$6, 0), FALSE),
            0
        ) +
        IFERROR(
            VLOOKUP($A12, INDIRECT("AbrR!$A$6:$ZZ$1048576"), MATCH(AX$1, AbrR!$6:$6, 0), FALSE),
            0
        ) +
        IFERROR(
            VLOOKUP($A12, INDIRECT("MayR!$A$6:$ZZ$1048576"), MATCH(AX$1, MayR!$6:$6, 0), FALSE),
            0
        ) +
        IFERROR(
            VLOOKUP($A12, INDIRECT("JunR!$A$6:$ZZ$1048576"), MATCH(AX$1, JunR!$6:$6, 0), FALSE),
            0
        ) +
        IFERROR(
            VLOOKUP($A12, INDIRECT("JulR!$A$6:$ZZ$1048576"), MATCH(AX$1, JulR!$6:$6, 0), FALSE),
            0
        ) +
        IFERROR(
            VLOOKUP($A12, INDIRECT("AgoR!$A$6:$ZZ$1048576"), MATCH(AX$1, AgoR!$6:$6, 0), FALSE),
            0
        ) +
        IFERROR(
            VLOOKUP($A12, INDIRECT("SepR!$A$6:$ZZ$1048576"), MATCH(AX$1, SepR!$6:$6, 0), FALSE),
            0
        ) +
        IFERROR(
            VLOOKUP($A12, INDIRECT("OctR!$A$6:$ZZ$1048576"), MATCH(AX$1, OctR!$6:$6, 0), FALSE),
            0
        ) +
        IFERROR(
            VLOOKUP($A12, INDIRECT("NovR!$A$6:$ZZ$1048576"), MATCH(AX$1, NovR!$6:$6, 0), FALSE),
            0
        ) +
        IFERROR(
            VLOOKUP($A12, INDIRECT("DicR!$A$6:$ZZ$1048576"), MATCH(AX$1, DicR!$6:$6, 0), FALSE),
            0
        )
)</f>
        <v>0</v>
      </c>
      <c r="AY12" s="37">
        <f t="array" ref="AY12">SUM(
    IFERROR(
            VLOOKUP($A12, INDIRECT("EneR!$A$6:$ZZ$1048576"), MATCH(AY$1, EneR!$6:$6, 0), FALSE),
            0
        ) +
        IFERROR(
            VLOOKUP($A12, INDIRECT("FebR!$A$6:$ZZ$1048576"), MATCH(AY$1, FebR!$6:$6, 0), FALSE),
            0
        ) +
        IFERROR(
            VLOOKUP($A12, INDIRECT("MarR!$A$6:$ZZ$1048576"), MATCH(AY$1, MarR!$6:$6, 0), FALSE),
            0
        ) +
        IFERROR(
            VLOOKUP($A12, INDIRECT("AbrR!$A$6:$ZZ$1048576"), MATCH(AY$1, AbrR!$6:$6, 0), FALSE),
            0
        ) +
        IFERROR(
            VLOOKUP($A12, INDIRECT("MayR!$A$6:$ZZ$1048576"), MATCH(AY$1, MayR!$6:$6, 0), FALSE),
            0
        ) +
        IFERROR(
            VLOOKUP($A12, INDIRECT("JunR!$A$6:$ZZ$1048576"), MATCH(AY$1, JunR!$6:$6, 0), FALSE),
            0
        ) +
        IFERROR(
            VLOOKUP($A12, INDIRECT("JulR!$A$6:$ZZ$1048576"), MATCH(AY$1, JulR!$6:$6, 0), FALSE),
            0
        ) +
        IFERROR(
            VLOOKUP($A12, INDIRECT("AgoR!$A$6:$ZZ$1048576"), MATCH(AY$1, AgoR!$6:$6, 0), FALSE),
            0
        ) +
        IFERROR(
            VLOOKUP($A12, INDIRECT("SepR!$A$6:$ZZ$1048576"), MATCH(AY$1, SepR!$6:$6, 0), FALSE),
            0
        ) +
        IFERROR(
            VLOOKUP($A12, INDIRECT("OctR!$A$6:$ZZ$1048576"), MATCH(AY$1, OctR!$6:$6, 0), FALSE),
            0
        ) +
        IFERROR(
            VLOOKUP($A12, INDIRECT("NovR!$A$6:$ZZ$1048576"), MATCH(AY$1, NovR!$6:$6, 0), FALSE),
            0
        ) +
        IFERROR(
            VLOOKUP($A12, INDIRECT("DicR!$A$6:$ZZ$1048576"), MATCH(AY$1, DicR!$6:$6, 0), FALSE),
            0
        )
)</f>
        <v>0</v>
      </c>
      <c r="AZ12" s="37"/>
    </row>
    <row r="13" ht="15.75" customHeight="1">
      <c r="A13" s="12" t="str">
        <f>Menus!R5</f>
        <v/>
      </c>
      <c r="B13" s="32">
        <f t="shared" si="4"/>
        <v>0</v>
      </c>
      <c r="C13" s="33" t="str">
        <f t="shared" si="5"/>
        <v/>
      </c>
      <c r="D13" s="34">
        <f t="array" ref="D13">SUM(
    IFERROR(
            VLOOKUP($A13, INDIRECT("EneR!$A$6:$ZZ$1048576"), MATCH(D$1, EneR!$6:$6, 0), FALSE),
            0
        ) +
        IFERROR(
            VLOOKUP($A13, INDIRECT("FebR!$A$6:$ZZ$1048576"), MATCH(D$1, FebR!$6:$6, 0), FALSE),
            0
        ) +
        IFERROR(
            VLOOKUP($A13, INDIRECT("MarR!$A$6:$ZZ$1048576"), MATCH(D$1, MarR!$6:$6, 0), FALSE),
            0
        ) +
        IFERROR(
            VLOOKUP($A13, INDIRECT("AbrR!$A$6:$ZZ$1048576"), MATCH(D$1, AbrR!$6:$6, 0), FALSE),
            0
        ) +
        IFERROR(
            VLOOKUP($A13, INDIRECT("MayR!$A$6:$ZZ$1048576"), MATCH(D$1, MayR!$6:$6, 0), FALSE),
            0
        ) +
        IFERROR(
            VLOOKUP($A13, INDIRECT("JunR!$A$6:$ZZ$1048576"), MATCH(D$1, JunR!$6:$6, 0), FALSE),
            0
        ) +
        IFERROR(
            VLOOKUP($A13, INDIRECT("JulR!$A$6:$ZZ$1048576"), MATCH(D$1, JulR!$6:$6, 0), FALSE),
            0
        ) +
        IFERROR(
            VLOOKUP($A13, INDIRECT("AgoR!$A$6:$ZZ$1048576"), MATCH(D$1, AgoR!$6:$6, 0), FALSE),
            0
        ) +
        IFERROR(
            VLOOKUP($A13, INDIRECT("SepR!$A$6:$ZZ$1048576"), MATCH(D$1, SepR!$6:$6, 0), FALSE),
            0
        ) +
        IFERROR(
            VLOOKUP($A13, INDIRECT("OctR!$A$6:$ZZ$1048576"), MATCH(D$1, OctR!$6:$6, 0), FALSE),
            0
        ) +
        IFERROR(
            VLOOKUP($A13, INDIRECT("NovR!$A$6:$ZZ$1048576"), MATCH(D$1, NovR!$6:$6, 0), FALSE),
            0
        ) +
        IFERROR(
            VLOOKUP($A13, INDIRECT("DicR!$A$6:$ZZ$1048576"), MATCH(D$1, DicR!$6:$6, 0), FALSE),
            0
        )
)</f>
        <v>0</v>
      </c>
      <c r="E13" s="35">
        <f t="array" ref="E13">SUM(
    IFERROR(
            VLOOKUP($A13, INDIRECT("EneR!$A$6:$ZZ$1048576"), MATCH(E$1, EneR!$6:$6, 0), FALSE),
            0
        ) +
        IFERROR(
            VLOOKUP($A13, INDIRECT("FebR!$A$6:$ZZ$1048576"), MATCH(E$1, FebR!$6:$6, 0), FALSE),
            0
        ) +
        IFERROR(
            VLOOKUP($A13, INDIRECT("MarR!$A$6:$ZZ$1048576"), MATCH(E$1, MarR!$6:$6, 0), FALSE),
            0
        ) +
        IFERROR(
            VLOOKUP($A13, INDIRECT("AbrR!$A$6:$ZZ$1048576"), MATCH(E$1, AbrR!$6:$6, 0), FALSE),
            0
        ) +
        IFERROR(
            VLOOKUP($A13, INDIRECT("MayR!$A$6:$ZZ$1048576"), MATCH(E$1, MayR!$6:$6, 0), FALSE),
            0
        ) +
        IFERROR(
            VLOOKUP($A13, INDIRECT("JunR!$A$6:$ZZ$1048576"), MATCH(E$1, JunR!$6:$6, 0), FALSE),
            0
        ) +
        IFERROR(
            VLOOKUP($A13, INDIRECT("JulR!$A$6:$ZZ$1048576"), MATCH(E$1, JulR!$6:$6, 0), FALSE),
            0
        ) +
        IFERROR(
            VLOOKUP($A13, INDIRECT("AgoR!$A$6:$ZZ$1048576"), MATCH(E$1, AgoR!$6:$6, 0), FALSE),
            0
        ) +
        IFERROR(
            VLOOKUP($A13, INDIRECT("SepR!$A$6:$ZZ$1048576"), MATCH(E$1, SepR!$6:$6, 0), FALSE),
            0
        ) +
        IFERROR(
            VLOOKUP($A13, INDIRECT("OctR!$A$6:$ZZ$1048576"), MATCH(E$1, OctR!$6:$6, 0), FALSE),
            0
        ) +
        IFERROR(
            VLOOKUP($A13, INDIRECT("NovR!$A$6:$ZZ$1048576"), MATCH(E$1, NovR!$6:$6, 0), FALSE),
            0
        ) +
        IFERROR(
            VLOOKUP($A13, INDIRECT("DicR!$A$6:$ZZ$1048576"), MATCH(E$1, DicR!$6:$6, 0), FALSE),
            0
        )
)</f>
        <v>0</v>
      </c>
      <c r="F13" s="32">
        <f t="array" ref="F13">SUM(
    IFERROR(
            VLOOKUP($A13, INDIRECT("EneR!$A$6:$ZZ$1048576"), MATCH(F$1, EneR!$6:$6, 0), FALSE),
            0
        ) +
        IFERROR(
            VLOOKUP($A13, INDIRECT("FebR!$A$6:$ZZ$1048576"), MATCH(F$1, FebR!$6:$6, 0), FALSE),
            0
        ) +
        IFERROR(
            VLOOKUP($A13, INDIRECT("MarR!$A$6:$ZZ$1048576"), MATCH(F$1, MarR!$6:$6, 0), FALSE),
            0
        ) +
        IFERROR(
            VLOOKUP($A13, INDIRECT("AbrR!$A$6:$ZZ$1048576"), MATCH(F$1, AbrR!$6:$6, 0), FALSE),
            0
        ) +
        IFERROR(
            VLOOKUP($A13, INDIRECT("MayR!$A$6:$ZZ$1048576"), MATCH(F$1, MayR!$6:$6, 0), FALSE),
            0
        ) +
        IFERROR(
            VLOOKUP($A13, INDIRECT("JunR!$A$6:$ZZ$1048576"), MATCH(F$1, JunR!$6:$6, 0), FALSE),
            0
        ) +
        IFERROR(
            VLOOKUP($A13, INDIRECT("JulR!$A$6:$ZZ$1048576"), MATCH(F$1, JulR!$6:$6, 0), FALSE),
            0
        ) +
        IFERROR(
            VLOOKUP($A13, INDIRECT("AgoR!$A$6:$ZZ$1048576"), MATCH(F$1, AgoR!$6:$6, 0), FALSE),
            0
        ) +
        IFERROR(
            VLOOKUP($A13, INDIRECT("SepR!$A$6:$ZZ$1048576"), MATCH(F$1, SepR!$6:$6, 0), FALSE),
            0
        ) +
        IFERROR(
            VLOOKUP($A13, INDIRECT("OctR!$A$6:$ZZ$1048576"), MATCH(F$1, OctR!$6:$6, 0), FALSE),
            0
        ) +
        IFERROR(
            VLOOKUP($A13, INDIRECT("NovR!$A$6:$ZZ$1048576"), MATCH(F$1, NovR!$6:$6, 0), FALSE),
            0
        ) +
        IFERROR(
            VLOOKUP($A13, INDIRECT("DicR!$A$6:$ZZ$1048576"), MATCH(F$1, DicR!$6:$6, 0), FALSE),
            0
        )
)</f>
        <v>0</v>
      </c>
      <c r="G13" s="35">
        <f t="array" ref="G13">SUM(
    IFERROR(
            VLOOKUP($A13, INDIRECT("EneR!$A$6:$ZZ$1048576"), MATCH(G$1, EneR!$6:$6, 0), FALSE),
            0
        ) +
        IFERROR(
            VLOOKUP($A13, INDIRECT("FebR!$A$6:$ZZ$1048576"), MATCH(G$1, FebR!$6:$6, 0), FALSE),
            0
        ) +
        IFERROR(
            VLOOKUP($A13, INDIRECT("MarR!$A$6:$ZZ$1048576"), MATCH(G$1, MarR!$6:$6, 0), FALSE),
            0
        ) +
        IFERROR(
            VLOOKUP($A13, INDIRECT("AbrR!$A$6:$ZZ$1048576"), MATCH(G$1, AbrR!$6:$6, 0), FALSE),
            0
        ) +
        IFERROR(
            VLOOKUP($A13, INDIRECT("MayR!$A$6:$ZZ$1048576"), MATCH(G$1, MayR!$6:$6, 0), FALSE),
            0
        ) +
        IFERROR(
            VLOOKUP($A13, INDIRECT("JunR!$A$6:$ZZ$1048576"), MATCH(G$1, JunR!$6:$6, 0), FALSE),
            0
        ) +
        IFERROR(
            VLOOKUP($A13, INDIRECT("JulR!$A$6:$ZZ$1048576"), MATCH(G$1, JulR!$6:$6, 0), FALSE),
            0
        ) +
        IFERROR(
            VLOOKUP($A13, INDIRECT("AgoR!$A$6:$ZZ$1048576"), MATCH(G$1, AgoR!$6:$6, 0), FALSE),
            0
        ) +
        IFERROR(
            VLOOKUP($A13, INDIRECT("SepR!$A$6:$ZZ$1048576"), MATCH(G$1, SepR!$6:$6, 0), FALSE),
            0
        ) +
        IFERROR(
            VLOOKUP($A13, INDIRECT("OctR!$A$6:$ZZ$1048576"), MATCH(G$1, OctR!$6:$6, 0), FALSE),
            0
        ) +
        IFERROR(
            VLOOKUP($A13, INDIRECT("NovR!$A$6:$ZZ$1048576"), MATCH(G$1, NovR!$6:$6, 0), FALSE),
            0
        ) +
        IFERROR(
            VLOOKUP($A13, INDIRECT("DicR!$A$6:$ZZ$1048576"), MATCH(G$1, DicR!$6:$6, 0), FALSE),
            0
        )
)</f>
        <v>0</v>
      </c>
      <c r="H13" s="32">
        <f t="array" ref="H13">SUM(
    IFERROR(
            VLOOKUP($A13, INDIRECT("EneR!$A$6:$ZZ$1048576"), MATCH(H$1, EneR!$6:$6, 0), FALSE),
            0
        ) +
        IFERROR(
            VLOOKUP($A13, INDIRECT("FebR!$A$6:$ZZ$1048576"), MATCH(H$1, FebR!$6:$6, 0), FALSE),
            0
        ) +
        IFERROR(
            VLOOKUP($A13, INDIRECT("MarR!$A$6:$ZZ$1048576"), MATCH(H$1, MarR!$6:$6, 0), FALSE),
            0
        ) +
        IFERROR(
            VLOOKUP($A13, INDIRECT("AbrR!$A$6:$ZZ$1048576"), MATCH(H$1, AbrR!$6:$6, 0), FALSE),
            0
        ) +
        IFERROR(
            VLOOKUP($A13, INDIRECT("MayR!$A$6:$ZZ$1048576"), MATCH(H$1, MayR!$6:$6, 0), FALSE),
            0
        ) +
        IFERROR(
            VLOOKUP($A13, INDIRECT("JunR!$A$6:$ZZ$1048576"), MATCH(H$1, JunR!$6:$6, 0), FALSE),
            0
        ) +
        IFERROR(
            VLOOKUP($A13, INDIRECT("JulR!$A$6:$ZZ$1048576"), MATCH(H$1, JulR!$6:$6, 0), FALSE),
            0
        ) +
        IFERROR(
            VLOOKUP($A13, INDIRECT("AgoR!$A$6:$ZZ$1048576"), MATCH(H$1, AgoR!$6:$6, 0), FALSE),
            0
        ) +
        IFERROR(
            VLOOKUP($A13, INDIRECT("SepR!$A$6:$ZZ$1048576"), MATCH(H$1, SepR!$6:$6, 0), FALSE),
            0
        ) +
        IFERROR(
            VLOOKUP($A13, INDIRECT("OctR!$A$6:$ZZ$1048576"), MATCH(H$1, OctR!$6:$6, 0), FALSE),
            0
        ) +
        IFERROR(
            VLOOKUP($A13, INDIRECT("NovR!$A$6:$ZZ$1048576"), MATCH(H$1, NovR!$6:$6, 0), FALSE),
            0
        ) +
        IFERROR(
            VLOOKUP($A13, INDIRECT("DicR!$A$6:$ZZ$1048576"), MATCH(H$1, DicR!$6:$6, 0), FALSE),
            0
        )
)</f>
        <v>0</v>
      </c>
      <c r="I13" s="35">
        <f t="array" ref="I13">SUM(
    IFERROR(
            VLOOKUP($A13, INDIRECT("EneR!$A$6:$ZZ$1048576"), MATCH(I$1, EneR!$6:$6, 0), FALSE),
            0
        ) +
        IFERROR(
            VLOOKUP($A13, INDIRECT("FebR!$A$6:$ZZ$1048576"), MATCH(I$1, FebR!$6:$6, 0), FALSE),
            0
        ) +
        IFERROR(
            VLOOKUP($A13, INDIRECT("MarR!$A$6:$ZZ$1048576"), MATCH(I$1, MarR!$6:$6, 0), FALSE),
            0
        ) +
        IFERROR(
            VLOOKUP($A13, INDIRECT("AbrR!$A$6:$ZZ$1048576"), MATCH(I$1, AbrR!$6:$6, 0), FALSE),
            0
        ) +
        IFERROR(
            VLOOKUP($A13, INDIRECT("MayR!$A$6:$ZZ$1048576"), MATCH(I$1, MayR!$6:$6, 0), FALSE),
            0
        ) +
        IFERROR(
            VLOOKUP($A13, INDIRECT("JunR!$A$6:$ZZ$1048576"), MATCH(I$1, JunR!$6:$6, 0), FALSE),
            0
        ) +
        IFERROR(
            VLOOKUP($A13, INDIRECT("JulR!$A$6:$ZZ$1048576"), MATCH(I$1, JulR!$6:$6, 0), FALSE),
            0
        ) +
        IFERROR(
            VLOOKUP($A13, INDIRECT("AgoR!$A$6:$ZZ$1048576"), MATCH(I$1, AgoR!$6:$6, 0), FALSE),
            0
        ) +
        IFERROR(
            VLOOKUP($A13, INDIRECT("SepR!$A$6:$ZZ$1048576"), MATCH(I$1, SepR!$6:$6, 0), FALSE),
            0
        ) +
        IFERROR(
            VLOOKUP($A13, INDIRECT("OctR!$A$6:$ZZ$1048576"), MATCH(I$1, OctR!$6:$6, 0), FALSE),
            0
        ) +
        IFERROR(
            VLOOKUP($A13, INDIRECT("NovR!$A$6:$ZZ$1048576"), MATCH(I$1, NovR!$6:$6, 0), FALSE),
            0
        ) +
        IFERROR(
            VLOOKUP($A13, INDIRECT("DicR!$A$6:$ZZ$1048576"), MATCH(I$1, DicR!$6:$6, 0), FALSE),
            0
        )
)</f>
        <v>0</v>
      </c>
      <c r="J13" s="32">
        <f t="array" ref="J13">SUM(
    IFERROR(
            VLOOKUP($A13, INDIRECT("EneR!$A$6:$ZZ$1048576"), MATCH(J$1, EneR!$6:$6, 0), FALSE),
            0
        ) +
        IFERROR(
            VLOOKUP($A13, INDIRECT("FebR!$A$6:$ZZ$1048576"), MATCH(J$1, FebR!$6:$6, 0), FALSE),
            0
        ) +
        IFERROR(
            VLOOKUP($A13, INDIRECT("MarR!$A$6:$ZZ$1048576"), MATCH(J$1, MarR!$6:$6, 0), FALSE),
            0
        ) +
        IFERROR(
            VLOOKUP($A13, INDIRECT("AbrR!$A$6:$ZZ$1048576"), MATCH(J$1, AbrR!$6:$6, 0), FALSE),
            0
        ) +
        IFERROR(
            VLOOKUP($A13, INDIRECT("MayR!$A$6:$ZZ$1048576"), MATCH(J$1, MayR!$6:$6, 0), FALSE),
            0
        ) +
        IFERROR(
            VLOOKUP($A13, INDIRECT("JunR!$A$6:$ZZ$1048576"), MATCH(J$1, JunR!$6:$6, 0), FALSE),
            0
        ) +
        IFERROR(
            VLOOKUP($A13, INDIRECT("JulR!$A$6:$ZZ$1048576"), MATCH(J$1, JulR!$6:$6, 0), FALSE),
            0
        ) +
        IFERROR(
            VLOOKUP($A13, INDIRECT("AgoR!$A$6:$ZZ$1048576"), MATCH(J$1, AgoR!$6:$6, 0), FALSE),
            0
        ) +
        IFERROR(
            VLOOKUP($A13, INDIRECT("SepR!$A$6:$ZZ$1048576"), MATCH(J$1, SepR!$6:$6, 0), FALSE),
            0
        ) +
        IFERROR(
            VLOOKUP($A13, INDIRECT("OctR!$A$6:$ZZ$1048576"), MATCH(J$1, OctR!$6:$6, 0), FALSE),
            0
        ) +
        IFERROR(
            VLOOKUP($A13, INDIRECT("NovR!$A$6:$ZZ$1048576"), MATCH(J$1, NovR!$6:$6, 0), FALSE),
            0
        ) +
        IFERROR(
            VLOOKUP($A13, INDIRECT("DicR!$A$6:$ZZ$1048576"), MATCH(J$1, DicR!$6:$6, 0), FALSE),
            0
        )
)</f>
        <v>0</v>
      </c>
      <c r="K13" s="35">
        <f t="array" ref="K13">SUM(
    IFERROR(
            VLOOKUP($A13, INDIRECT("EneR!$A$6:$ZZ$1048576"), MATCH(K$1, EneR!$6:$6, 0), FALSE),
            0
        ) +
        IFERROR(
            VLOOKUP($A13, INDIRECT("FebR!$A$6:$ZZ$1048576"), MATCH(K$1, FebR!$6:$6, 0), FALSE),
            0
        ) +
        IFERROR(
            VLOOKUP($A13, INDIRECT("MarR!$A$6:$ZZ$1048576"), MATCH(K$1, MarR!$6:$6, 0), FALSE),
            0
        ) +
        IFERROR(
            VLOOKUP($A13, INDIRECT("AbrR!$A$6:$ZZ$1048576"), MATCH(K$1, AbrR!$6:$6, 0), FALSE),
            0
        ) +
        IFERROR(
            VLOOKUP($A13, INDIRECT("MayR!$A$6:$ZZ$1048576"), MATCH(K$1, MayR!$6:$6, 0), FALSE),
            0
        ) +
        IFERROR(
            VLOOKUP($A13, INDIRECT("JunR!$A$6:$ZZ$1048576"), MATCH(K$1, JunR!$6:$6, 0), FALSE),
            0
        ) +
        IFERROR(
            VLOOKUP($A13, INDIRECT("JulR!$A$6:$ZZ$1048576"), MATCH(K$1, JulR!$6:$6, 0), FALSE),
            0
        ) +
        IFERROR(
            VLOOKUP($A13, INDIRECT("AgoR!$A$6:$ZZ$1048576"), MATCH(K$1, AgoR!$6:$6, 0), FALSE),
            0
        ) +
        IFERROR(
            VLOOKUP($A13, INDIRECT("SepR!$A$6:$ZZ$1048576"), MATCH(K$1, SepR!$6:$6, 0), FALSE),
            0
        ) +
        IFERROR(
            VLOOKUP($A13, INDIRECT("OctR!$A$6:$ZZ$1048576"), MATCH(K$1, OctR!$6:$6, 0), FALSE),
            0
        ) +
        IFERROR(
            VLOOKUP($A13, INDIRECT("NovR!$A$6:$ZZ$1048576"), MATCH(K$1, NovR!$6:$6, 0), FALSE),
            0
        ) +
        IFERROR(
            VLOOKUP($A13, INDIRECT("DicR!$A$6:$ZZ$1048576"), MATCH(K$1, DicR!$6:$6, 0), FALSE),
            0
        )
)</f>
        <v>0</v>
      </c>
      <c r="L13" s="32">
        <f t="array" ref="L13">SUM(
    IFERROR(
            VLOOKUP($A13, INDIRECT("EneR!$A$6:$ZZ$1048576"), MATCH(L$1, EneR!$6:$6, 0), FALSE),
            0
        ) +
        IFERROR(
            VLOOKUP($A13, INDIRECT("FebR!$A$6:$ZZ$1048576"), MATCH(L$1, FebR!$6:$6, 0), FALSE),
            0
        ) +
        IFERROR(
            VLOOKUP($A13, INDIRECT("MarR!$A$6:$ZZ$1048576"), MATCH(L$1, MarR!$6:$6, 0), FALSE),
            0
        ) +
        IFERROR(
            VLOOKUP($A13, INDIRECT("AbrR!$A$6:$ZZ$1048576"), MATCH(L$1, AbrR!$6:$6, 0), FALSE),
            0
        ) +
        IFERROR(
            VLOOKUP($A13, INDIRECT("MayR!$A$6:$ZZ$1048576"), MATCH(L$1, MayR!$6:$6, 0), FALSE),
            0
        ) +
        IFERROR(
            VLOOKUP($A13, INDIRECT("JunR!$A$6:$ZZ$1048576"), MATCH(L$1, JunR!$6:$6, 0), FALSE),
            0
        ) +
        IFERROR(
            VLOOKUP($A13, INDIRECT("JulR!$A$6:$ZZ$1048576"), MATCH(L$1, JulR!$6:$6, 0), FALSE),
            0
        ) +
        IFERROR(
            VLOOKUP($A13, INDIRECT("AgoR!$A$6:$ZZ$1048576"), MATCH(L$1, AgoR!$6:$6, 0), FALSE),
            0
        ) +
        IFERROR(
            VLOOKUP($A13, INDIRECT("SepR!$A$6:$ZZ$1048576"), MATCH(L$1, SepR!$6:$6, 0), FALSE),
            0
        ) +
        IFERROR(
            VLOOKUP($A13, INDIRECT("OctR!$A$6:$ZZ$1048576"), MATCH(L$1, OctR!$6:$6, 0), FALSE),
            0
        ) +
        IFERROR(
            VLOOKUP($A13, INDIRECT("NovR!$A$6:$ZZ$1048576"), MATCH(L$1, NovR!$6:$6, 0), FALSE),
            0
        ) +
        IFERROR(
            VLOOKUP($A13, INDIRECT("DicR!$A$6:$ZZ$1048576"), MATCH(L$1, DicR!$6:$6, 0), FALSE),
            0
        )
)</f>
        <v>0</v>
      </c>
      <c r="M13" s="35">
        <f t="array" ref="M13">SUM(
    IFERROR(
            VLOOKUP($A13, INDIRECT("EneR!$A$6:$ZZ$1048576"), MATCH(M$1, EneR!$6:$6, 0), FALSE),
            0
        ) +
        IFERROR(
            VLOOKUP($A13, INDIRECT("FebR!$A$6:$ZZ$1048576"), MATCH(M$1, FebR!$6:$6, 0), FALSE),
            0
        ) +
        IFERROR(
            VLOOKUP($A13, INDIRECT("MarR!$A$6:$ZZ$1048576"), MATCH(M$1, MarR!$6:$6, 0), FALSE),
            0
        ) +
        IFERROR(
            VLOOKUP($A13, INDIRECT("AbrR!$A$6:$ZZ$1048576"), MATCH(M$1, AbrR!$6:$6, 0), FALSE),
            0
        ) +
        IFERROR(
            VLOOKUP($A13, INDIRECT("MayR!$A$6:$ZZ$1048576"), MATCH(M$1, MayR!$6:$6, 0), FALSE),
            0
        ) +
        IFERROR(
            VLOOKUP($A13, INDIRECT("JunR!$A$6:$ZZ$1048576"), MATCH(M$1, JunR!$6:$6, 0), FALSE),
            0
        ) +
        IFERROR(
            VLOOKUP($A13, INDIRECT("JulR!$A$6:$ZZ$1048576"), MATCH(M$1, JulR!$6:$6, 0), FALSE),
            0
        ) +
        IFERROR(
            VLOOKUP($A13, INDIRECT("AgoR!$A$6:$ZZ$1048576"), MATCH(M$1, AgoR!$6:$6, 0), FALSE),
            0
        ) +
        IFERROR(
            VLOOKUP($A13, INDIRECT("SepR!$A$6:$ZZ$1048576"), MATCH(M$1, SepR!$6:$6, 0), FALSE),
            0
        ) +
        IFERROR(
            VLOOKUP($A13, INDIRECT("OctR!$A$6:$ZZ$1048576"), MATCH(M$1, OctR!$6:$6, 0), FALSE),
            0
        ) +
        IFERROR(
            VLOOKUP($A13, INDIRECT("NovR!$A$6:$ZZ$1048576"), MATCH(M$1, NovR!$6:$6, 0), FALSE),
            0
        ) +
        IFERROR(
            VLOOKUP($A13, INDIRECT("DicR!$A$6:$ZZ$1048576"), MATCH(M$1, DicR!$6:$6, 0), FALSE),
            0
        )
)</f>
        <v>0</v>
      </c>
      <c r="N13" s="32">
        <f t="array" ref="N13">SUM(
    IFERROR(
            VLOOKUP($A13, INDIRECT("EneR!$A$6:$ZZ$1048576"), MATCH(N$1, EneR!$6:$6, 0), FALSE),
            0
        ) +
        IFERROR(
            VLOOKUP($A13, INDIRECT("FebR!$A$6:$ZZ$1048576"), MATCH(N$1, FebR!$6:$6, 0), FALSE),
            0
        ) +
        IFERROR(
            VLOOKUP($A13, INDIRECT("MarR!$A$6:$ZZ$1048576"), MATCH(N$1, MarR!$6:$6, 0), FALSE),
            0
        ) +
        IFERROR(
            VLOOKUP($A13, INDIRECT("AbrR!$A$6:$ZZ$1048576"), MATCH(N$1, AbrR!$6:$6, 0), FALSE),
            0
        ) +
        IFERROR(
            VLOOKUP($A13, INDIRECT("MayR!$A$6:$ZZ$1048576"), MATCH(N$1, MayR!$6:$6, 0), FALSE),
            0
        ) +
        IFERROR(
            VLOOKUP($A13, INDIRECT("JunR!$A$6:$ZZ$1048576"), MATCH(N$1, JunR!$6:$6, 0), FALSE),
            0
        ) +
        IFERROR(
            VLOOKUP($A13, INDIRECT("JulR!$A$6:$ZZ$1048576"), MATCH(N$1, JulR!$6:$6, 0), FALSE),
            0
        ) +
        IFERROR(
            VLOOKUP($A13, INDIRECT("AgoR!$A$6:$ZZ$1048576"), MATCH(N$1, AgoR!$6:$6, 0), FALSE),
            0
        ) +
        IFERROR(
            VLOOKUP($A13, INDIRECT("SepR!$A$6:$ZZ$1048576"), MATCH(N$1, SepR!$6:$6, 0), FALSE),
            0
        ) +
        IFERROR(
            VLOOKUP($A13, INDIRECT("OctR!$A$6:$ZZ$1048576"), MATCH(N$1, OctR!$6:$6, 0), FALSE),
            0
        ) +
        IFERROR(
            VLOOKUP($A13, INDIRECT("NovR!$A$6:$ZZ$1048576"), MATCH(N$1, NovR!$6:$6, 0), FALSE),
            0
        ) +
        IFERROR(
            VLOOKUP($A13, INDIRECT("DicR!$A$6:$ZZ$1048576"), MATCH(N$1, DicR!$6:$6, 0), FALSE),
            0
        )
)</f>
        <v>0</v>
      </c>
      <c r="O13" s="35">
        <f t="array" ref="O13">SUM(
    IFERROR(
            VLOOKUP($A13, INDIRECT("EneR!$A$6:$ZZ$1048576"), MATCH(O$1, EneR!$6:$6, 0), FALSE),
            0
        ) +
        IFERROR(
            VLOOKUP($A13, INDIRECT("FebR!$A$6:$ZZ$1048576"), MATCH(O$1, FebR!$6:$6, 0), FALSE),
            0
        ) +
        IFERROR(
            VLOOKUP($A13, INDIRECT("MarR!$A$6:$ZZ$1048576"), MATCH(O$1, MarR!$6:$6, 0), FALSE),
            0
        ) +
        IFERROR(
            VLOOKUP($A13, INDIRECT("AbrR!$A$6:$ZZ$1048576"), MATCH(O$1, AbrR!$6:$6, 0), FALSE),
            0
        ) +
        IFERROR(
            VLOOKUP($A13, INDIRECT("MayR!$A$6:$ZZ$1048576"), MATCH(O$1, MayR!$6:$6, 0), FALSE),
            0
        ) +
        IFERROR(
            VLOOKUP($A13, INDIRECT("JunR!$A$6:$ZZ$1048576"), MATCH(O$1, JunR!$6:$6, 0), FALSE),
            0
        ) +
        IFERROR(
            VLOOKUP($A13, INDIRECT("JulR!$A$6:$ZZ$1048576"), MATCH(O$1, JulR!$6:$6, 0), FALSE),
            0
        ) +
        IFERROR(
            VLOOKUP($A13, INDIRECT("AgoR!$A$6:$ZZ$1048576"), MATCH(O$1, AgoR!$6:$6, 0), FALSE),
            0
        ) +
        IFERROR(
            VLOOKUP($A13, INDIRECT("SepR!$A$6:$ZZ$1048576"), MATCH(O$1, SepR!$6:$6, 0), FALSE),
            0
        ) +
        IFERROR(
            VLOOKUP($A13, INDIRECT("OctR!$A$6:$ZZ$1048576"), MATCH(O$1, OctR!$6:$6, 0), FALSE),
            0
        ) +
        IFERROR(
            VLOOKUP($A13, INDIRECT("NovR!$A$6:$ZZ$1048576"), MATCH(O$1, NovR!$6:$6, 0), FALSE),
            0
        ) +
        IFERROR(
            VLOOKUP($A13, INDIRECT("DicR!$A$6:$ZZ$1048576"), MATCH(O$1, DicR!$6:$6, 0), FALSE),
            0
        )
)</f>
        <v>0</v>
      </c>
      <c r="P13" s="32">
        <f t="array" ref="P13">SUM(
    IFERROR(
            VLOOKUP($A13, INDIRECT("EneR!$A$6:$ZZ$1048576"), MATCH(P$1, EneR!$6:$6, 0), FALSE),
            0
        ) +
        IFERROR(
            VLOOKUP($A13, INDIRECT("FebR!$A$6:$ZZ$1048576"), MATCH(P$1, FebR!$6:$6, 0), FALSE),
            0
        ) +
        IFERROR(
            VLOOKUP($A13, INDIRECT("MarR!$A$6:$ZZ$1048576"), MATCH(P$1, MarR!$6:$6, 0), FALSE),
            0
        ) +
        IFERROR(
            VLOOKUP($A13, INDIRECT("AbrR!$A$6:$ZZ$1048576"), MATCH(P$1, AbrR!$6:$6, 0), FALSE),
            0
        ) +
        IFERROR(
            VLOOKUP($A13, INDIRECT("MayR!$A$6:$ZZ$1048576"), MATCH(P$1, MayR!$6:$6, 0), FALSE),
            0
        ) +
        IFERROR(
            VLOOKUP($A13, INDIRECT("JunR!$A$6:$ZZ$1048576"), MATCH(P$1, JunR!$6:$6, 0), FALSE),
            0
        ) +
        IFERROR(
            VLOOKUP($A13, INDIRECT("JulR!$A$6:$ZZ$1048576"), MATCH(P$1, JulR!$6:$6, 0), FALSE),
            0
        ) +
        IFERROR(
            VLOOKUP($A13, INDIRECT("AgoR!$A$6:$ZZ$1048576"), MATCH(P$1, AgoR!$6:$6, 0), FALSE),
            0
        ) +
        IFERROR(
            VLOOKUP($A13, INDIRECT("SepR!$A$6:$ZZ$1048576"), MATCH(P$1, SepR!$6:$6, 0), FALSE),
            0
        ) +
        IFERROR(
            VLOOKUP($A13, INDIRECT("OctR!$A$6:$ZZ$1048576"), MATCH(P$1, OctR!$6:$6, 0), FALSE),
            0
        ) +
        IFERROR(
            VLOOKUP($A13, INDIRECT("NovR!$A$6:$ZZ$1048576"), MATCH(P$1, NovR!$6:$6, 0), FALSE),
            0
        ) +
        IFERROR(
            VLOOKUP($A13, INDIRECT("DicR!$A$6:$ZZ$1048576"), MATCH(P$1, DicR!$6:$6, 0), FALSE),
            0
        )
)</f>
        <v>0</v>
      </c>
      <c r="Q13" s="35">
        <f t="array" ref="Q13">SUM(
    IFERROR(
            VLOOKUP($A13, INDIRECT("EneR!$A$6:$ZZ$1048576"), MATCH(Q$1, EneR!$6:$6, 0), FALSE),
            0
        ) +
        IFERROR(
            VLOOKUP($A13, INDIRECT("FebR!$A$6:$ZZ$1048576"), MATCH(Q$1, FebR!$6:$6, 0), FALSE),
            0
        ) +
        IFERROR(
            VLOOKUP($A13, INDIRECT("MarR!$A$6:$ZZ$1048576"), MATCH(Q$1, MarR!$6:$6, 0), FALSE),
            0
        ) +
        IFERROR(
            VLOOKUP($A13, INDIRECT("AbrR!$A$6:$ZZ$1048576"), MATCH(Q$1, AbrR!$6:$6, 0), FALSE),
            0
        ) +
        IFERROR(
            VLOOKUP($A13, INDIRECT("MayR!$A$6:$ZZ$1048576"), MATCH(Q$1, MayR!$6:$6, 0), FALSE),
            0
        ) +
        IFERROR(
            VLOOKUP($A13, INDIRECT("JunR!$A$6:$ZZ$1048576"), MATCH(Q$1, JunR!$6:$6, 0), FALSE),
            0
        ) +
        IFERROR(
            VLOOKUP($A13, INDIRECT("JulR!$A$6:$ZZ$1048576"), MATCH(Q$1, JulR!$6:$6, 0), FALSE),
            0
        ) +
        IFERROR(
            VLOOKUP($A13, INDIRECT("AgoR!$A$6:$ZZ$1048576"), MATCH(Q$1, AgoR!$6:$6, 0), FALSE),
            0
        ) +
        IFERROR(
            VLOOKUP($A13, INDIRECT("SepR!$A$6:$ZZ$1048576"), MATCH(Q$1, SepR!$6:$6, 0), FALSE),
            0
        ) +
        IFERROR(
            VLOOKUP($A13, INDIRECT("OctR!$A$6:$ZZ$1048576"), MATCH(Q$1, OctR!$6:$6, 0), FALSE),
            0
        ) +
        IFERROR(
            VLOOKUP($A13, INDIRECT("NovR!$A$6:$ZZ$1048576"), MATCH(Q$1, NovR!$6:$6, 0), FALSE),
            0
        ) +
        IFERROR(
            VLOOKUP($A13, INDIRECT("DicR!$A$6:$ZZ$1048576"), MATCH(Q$1, DicR!$6:$6, 0), FALSE),
            0
        )
)</f>
        <v>0</v>
      </c>
      <c r="R13" s="36">
        <f t="array" ref="R13">SUM(
    IFERROR(
            VLOOKUP($A13, INDIRECT("EneR!$A$6:$ZZ$1048576"), MATCH(R$1, EneR!$6:$6, 0), FALSE),
            0
        ) +
        IFERROR(
            VLOOKUP($A13, INDIRECT("FebR!$A$6:$ZZ$1048576"), MATCH(R$1, FebR!$6:$6, 0), FALSE),
            0
        ) +
        IFERROR(
            VLOOKUP($A13, INDIRECT("MarR!$A$6:$ZZ$1048576"), MATCH(R$1, MarR!$6:$6, 0), FALSE),
            0
        ) +
        IFERROR(
            VLOOKUP($A13, INDIRECT("AbrR!$A$6:$ZZ$1048576"), MATCH(R$1, AbrR!$6:$6, 0), FALSE),
            0
        ) +
        IFERROR(
            VLOOKUP($A13, INDIRECT("MayR!$A$6:$ZZ$1048576"), MATCH(R$1, MayR!$6:$6, 0), FALSE),
            0
        ) +
        IFERROR(
            VLOOKUP($A13, INDIRECT("JunR!$A$6:$ZZ$1048576"), MATCH(R$1, JunR!$6:$6, 0), FALSE),
            0
        ) +
        IFERROR(
            VLOOKUP($A13, INDIRECT("JulR!$A$6:$ZZ$1048576"), MATCH(R$1, JulR!$6:$6, 0), FALSE),
            0
        ) +
        IFERROR(
            VLOOKUP($A13, INDIRECT("AgoR!$A$6:$ZZ$1048576"), MATCH(R$1, AgoR!$6:$6, 0), FALSE),
            0
        ) +
        IFERROR(
            VLOOKUP($A13, INDIRECT("SepR!$A$6:$ZZ$1048576"), MATCH(R$1, SepR!$6:$6, 0), FALSE),
            0
        ) +
        IFERROR(
            VLOOKUP($A13, INDIRECT("OctR!$A$6:$ZZ$1048576"), MATCH(R$1, OctR!$6:$6, 0), FALSE),
            0
        ) +
        IFERROR(
            VLOOKUP($A13, INDIRECT("NovR!$A$6:$ZZ$1048576"), MATCH(R$1, NovR!$6:$6, 0), FALSE),
            0
        ) +
        IFERROR(
            VLOOKUP($A13, INDIRECT("DicR!$A$6:$ZZ$1048576"), MATCH(R$1, DicR!$6:$6, 0), FALSE),
            0
        )
)</f>
        <v>0</v>
      </c>
      <c r="S13" s="37">
        <f t="array" ref="S13">SUM(
    IFERROR(
            VLOOKUP($A13, INDIRECT("EneR!$A$6:$ZZ$1048576"), MATCH(S$1, EneR!$6:$6, 0), FALSE),
            0
        ) +
        IFERROR(
            VLOOKUP($A13, INDIRECT("FebR!$A$6:$ZZ$1048576"), MATCH(S$1, FebR!$6:$6, 0), FALSE),
            0
        ) +
        IFERROR(
            VLOOKUP($A13, INDIRECT("MarR!$A$6:$ZZ$1048576"), MATCH(S$1, MarR!$6:$6, 0), FALSE),
            0
        ) +
        IFERROR(
            VLOOKUP($A13, INDIRECT("AbrR!$A$6:$ZZ$1048576"), MATCH(S$1, AbrR!$6:$6, 0), FALSE),
            0
        ) +
        IFERROR(
            VLOOKUP($A13, INDIRECT("MayR!$A$6:$ZZ$1048576"), MATCH(S$1, MayR!$6:$6, 0), FALSE),
            0
        ) +
        IFERROR(
            VLOOKUP($A13, INDIRECT("JunR!$A$6:$ZZ$1048576"), MATCH(S$1, JunR!$6:$6, 0), FALSE),
            0
        ) +
        IFERROR(
            VLOOKUP($A13, INDIRECT("JulR!$A$6:$ZZ$1048576"), MATCH(S$1, JulR!$6:$6, 0), FALSE),
            0
        ) +
        IFERROR(
            VLOOKUP($A13, INDIRECT("AgoR!$A$6:$ZZ$1048576"), MATCH(S$1, AgoR!$6:$6, 0), FALSE),
            0
        ) +
        IFERROR(
            VLOOKUP($A13, INDIRECT("SepR!$A$6:$ZZ$1048576"), MATCH(S$1, SepR!$6:$6, 0), FALSE),
            0
        ) +
        IFERROR(
            VLOOKUP($A13, INDIRECT("OctR!$A$6:$ZZ$1048576"), MATCH(S$1, OctR!$6:$6, 0), FALSE),
            0
        ) +
        IFERROR(
            VLOOKUP($A13, INDIRECT("NovR!$A$6:$ZZ$1048576"), MATCH(S$1, NovR!$6:$6, 0), FALSE),
            0
        ) +
        IFERROR(
            VLOOKUP($A13, INDIRECT("DicR!$A$6:$ZZ$1048576"), MATCH(S$1, DicR!$6:$6, 0), FALSE),
            0
        )
)</f>
        <v>0</v>
      </c>
      <c r="T13" s="36">
        <f t="array" ref="T13">SUM(
    IFERROR(
            VLOOKUP($A13, INDIRECT("EneR!$A$6:$ZZ$1048576"), MATCH(T$1, EneR!$6:$6, 0), FALSE),
            0
        ) +
        IFERROR(
            VLOOKUP($A13, INDIRECT("FebR!$A$6:$ZZ$1048576"), MATCH(T$1, FebR!$6:$6, 0), FALSE),
            0
        ) +
        IFERROR(
            VLOOKUP($A13, INDIRECT("MarR!$A$6:$ZZ$1048576"), MATCH(T$1, MarR!$6:$6, 0), FALSE),
            0
        ) +
        IFERROR(
            VLOOKUP($A13, INDIRECT("AbrR!$A$6:$ZZ$1048576"), MATCH(T$1, AbrR!$6:$6, 0), FALSE),
            0
        ) +
        IFERROR(
            VLOOKUP($A13, INDIRECT("MayR!$A$6:$ZZ$1048576"), MATCH(T$1, MayR!$6:$6, 0), FALSE),
            0
        ) +
        IFERROR(
            VLOOKUP($A13, INDIRECT("JunR!$A$6:$ZZ$1048576"), MATCH(T$1, JunR!$6:$6, 0), FALSE),
            0
        ) +
        IFERROR(
            VLOOKUP($A13, INDIRECT("JulR!$A$6:$ZZ$1048576"), MATCH(T$1, JulR!$6:$6, 0), FALSE),
            0
        ) +
        IFERROR(
            VLOOKUP($A13, INDIRECT("AgoR!$A$6:$ZZ$1048576"), MATCH(T$1, AgoR!$6:$6, 0), FALSE),
            0
        ) +
        IFERROR(
            VLOOKUP($A13, INDIRECT("SepR!$A$6:$ZZ$1048576"), MATCH(T$1, SepR!$6:$6, 0), FALSE),
            0
        ) +
        IFERROR(
            VLOOKUP($A13, INDIRECT("OctR!$A$6:$ZZ$1048576"), MATCH(T$1, OctR!$6:$6, 0), FALSE),
            0
        ) +
        IFERROR(
            VLOOKUP($A13, INDIRECT("NovR!$A$6:$ZZ$1048576"), MATCH(T$1, NovR!$6:$6, 0), FALSE),
            0
        ) +
        IFERROR(
            VLOOKUP($A13, INDIRECT("DicR!$A$6:$ZZ$1048576"), MATCH(T$1, DicR!$6:$6, 0), FALSE),
            0
        )
)</f>
        <v>0</v>
      </c>
      <c r="U13" s="37">
        <f t="array" ref="U13">SUM(
    IFERROR(
            VLOOKUP($A13, INDIRECT("EneR!$A$6:$ZZ$1048576"), MATCH(U$1, EneR!$6:$6, 0), FALSE),
            0
        ) +
        IFERROR(
            VLOOKUP($A13, INDIRECT("FebR!$A$6:$ZZ$1048576"), MATCH(U$1, FebR!$6:$6, 0), FALSE),
            0
        ) +
        IFERROR(
            VLOOKUP($A13, INDIRECT("MarR!$A$6:$ZZ$1048576"), MATCH(U$1, MarR!$6:$6, 0), FALSE),
            0
        ) +
        IFERROR(
            VLOOKUP($A13, INDIRECT("AbrR!$A$6:$ZZ$1048576"), MATCH(U$1, AbrR!$6:$6, 0), FALSE),
            0
        ) +
        IFERROR(
            VLOOKUP($A13, INDIRECT("MayR!$A$6:$ZZ$1048576"), MATCH(U$1, MayR!$6:$6, 0), FALSE),
            0
        ) +
        IFERROR(
            VLOOKUP($A13, INDIRECT("JunR!$A$6:$ZZ$1048576"), MATCH(U$1, JunR!$6:$6, 0), FALSE),
            0
        ) +
        IFERROR(
            VLOOKUP($A13, INDIRECT("JulR!$A$6:$ZZ$1048576"), MATCH(U$1, JulR!$6:$6, 0), FALSE),
            0
        ) +
        IFERROR(
            VLOOKUP($A13, INDIRECT("AgoR!$A$6:$ZZ$1048576"), MATCH(U$1, AgoR!$6:$6, 0), FALSE),
            0
        ) +
        IFERROR(
            VLOOKUP($A13, INDIRECT("SepR!$A$6:$ZZ$1048576"), MATCH(U$1, SepR!$6:$6, 0), FALSE),
            0
        ) +
        IFERROR(
            VLOOKUP($A13, INDIRECT("OctR!$A$6:$ZZ$1048576"), MATCH(U$1, OctR!$6:$6, 0), FALSE),
            0
        ) +
        IFERROR(
            VLOOKUP($A13, INDIRECT("NovR!$A$6:$ZZ$1048576"), MATCH(U$1, NovR!$6:$6, 0), FALSE),
            0
        ) +
        IFERROR(
            VLOOKUP($A13, INDIRECT("DicR!$A$6:$ZZ$1048576"), MATCH(U$1, DicR!$6:$6, 0), FALSE),
            0
        )
)</f>
        <v>0</v>
      </c>
      <c r="V13" s="36">
        <f t="array" ref="V13">SUM(
    IFERROR(
            VLOOKUP($A13, INDIRECT("EneR!$A$6:$ZZ$1048576"), MATCH(V$1, EneR!$6:$6, 0), FALSE),
            0
        ) +
        IFERROR(
            VLOOKUP($A13, INDIRECT("FebR!$A$6:$ZZ$1048576"), MATCH(V$1, FebR!$6:$6, 0), FALSE),
            0
        ) +
        IFERROR(
            VLOOKUP($A13, INDIRECT("MarR!$A$6:$ZZ$1048576"), MATCH(V$1, MarR!$6:$6, 0), FALSE),
            0
        ) +
        IFERROR(
            VLOOKUP($A13, INDIRECT("AbrR!$A$6:$ZZ$1048576"), MATCH(V$1, AbrR!$6:$6, 0), FALSE),
            0
        ) +
        IFERROR(
            VLOOKUP($A13, INDIRECT("MayR!$A$6:$ZZ$1048576"), MATCH(V$1, MayR!$6:$6, 0), FALSE),
            0
        ) +
        IFERROR(
            VLOOKUP($A13, INDIRECT("JunR!$A$6:$ZZ$1048576"), MATCH(V$1, JunR!$6:$6, 0), FALSE),
            0
        ) +
        IFERROR(
            VLOOKUP($A13, INDIRECT("JulR!$A$6:$ZZ$1048576"), MATCH(V$1, JulR!$6:$6, 0), FALSE),
            0
        ) +
        IFERROR(
            VLOOKUP($A13, INDIRECT("AgoR!$A$6:$ZZ$1048576"), MATCH(V$1, AgoR!$6:$6, 0), FALSE),
            0
        ) +
        IFERROR(
            VLOOKUP($A13, INDIRECT("SepR!$A$6:$ZZ$1048576"), MATCH(V$1, SepR!$6:$6, 0), FALSE),
            0
        ) +
        IFERROR(
            VLOOKUP($A13, INDIRECT("OctR!$A$6:$ZZ$1048576"), MATCH(V$1, OctR!$6:$6, 0), FALSE),
            0
        ) +
        IFERROR(
            VLOOKUP($A13, INDIRECT("NovR!$A$6:$ZZ$1048576"), MATCH(V$1, NovR!$6:$6, 0), FALSE),
            0
        ) +
        IFERROR(
            VLOOKUP($A13, INDIRECT("DicR!$A$6:$ZZ$1048576"), MATCH(V$1, DicR!$6:$6, 0), FALSE),
            0
        )
)</f>
        <v>0</v>
      </c>
      <c r="W13" s="37">
        <f t="array" ref="W13">SUM(
    IFERROR(
            VLOOKUP($A13, INDIRECT("EneR!$A$6:$ZZ$1048576"), MATCH(W$1, EneR!$6:$6, 0), FALSE),
            0
        ) +
        IFERROR(
            VLOOKUP($A13, INDIRECT("FebR!$A$6:$ZZ$1048576"), MATCH(W$1, FebR!$6:$6, 0), FALSE),
            0
        ) +
        IFERROR(
            VLOOKUP($A13, INDIRECT("MarR!$A$6:$ZZ$1048576"), MATCH(W$1, MarR!$6:$6, 0), FALSE),
            0
        ) +
        IFERROR(
            VLOOKUP($A13, INDIRECT("AbrR!$A$6:$ZZ$1048576"), MATCH(W$1, AbrR!$6:$6, 0), FALSE),
            0
        ) +
        IFERROR(
            VLOOKUP($A13, INDIRECT("MayR!$A$6:$ZZ$1048576"), MATCH(W$1, MayR!$6:$6, 0), FALSE),
            0
        ) +
        IFERROR(
            VLOOKUP($A13, INDIRECT("JunR!$A$6:$ZZ$1048576"), MATCH(W$1, JunR!$6:$6, 0), FALSE),
            0
        ) +
        IFERROR(
            VLOOKUP($A13, INDIRECT("JulR!$A$6:$ZZ$1048576"), MATCH(W$1, JulR!$6:$6, 0), FALSE),
            0
        ) +
        IFERROR(
            VLOOKUP($A13, INDIRECT("AgoR!$A$6:$ZZ$1048576"), MATCH(W$1, AgoR!$6:$6, 0), FALSE),
            0
        ) +
        IFERROR(
            VLOOKUP($A13, INDIRECT("SepR!$A$6:$ZZ$1048576"), MATCH(W$1, SepR!$6:$6, 0), FALSE),
            0
        ) +
        IFERROR(
            VLOOKUP($A13, INDIRECT("OctR!$A$6:$ZZ$1048576"), MATCH(W$1, OctR!$6:$6, 0), FALSE),
            0
        ) +
        IFERROR(
            VLOOKUP($A13, INDIRECT("NovR!$A$6:$ZZ$1048576"), MATCH(W$1, NovR!$6:$6, 0), FALSE),
            0
        ) +
        IFERROR(
            VLOOKUP($A13, INDIRECT("DicR!$A$6:$ZZ$1048576"), MATCH(W$1, DicR!$6:$6, 0), FALSE),
            0
        )
)</f>
        <v>0</v>
      </c>
      <c r="X13" s="36">
        <f t="array" ref="X13">SUM(
    IFERROR(
            VLOOKUP($A13, INDIRECT("EneR!$A$6:$ZZ$1048576"), MATCH(X$1, EneR!$6:$6, 0), FALSE),
            0
        ) +
        IFERROR(
            VLOOKUP($A13, INDIRECT("FebR!$A$6:$ZZ$1048576"), MATCH(X$1, FebR!$6:$6, 0), FALSE),
            0
        ) +
        IFERROR(
            VLOOKUP($A13, INDIRECT("MarR!$A$6:$ZZ$1048576"), MATCH(X$1, MarR!$6:$6, 0), FALSE),
            0
        ) +
        IFERROR(
            VLOOKUP($A13, INDIRECT("AbrR!$A$6:$ZZ$1048576"), MATCH(X$1, AbrR!$6:$6, 0), FALSE),
            0
        ) +
        IFERROR(
            VLOOKUP($A13, INDIRECT("MayR!$A$6:$ZZ$1048576"), MATCH(X$1, MayR!$6:$6, 0), FALSE),
            0
        ) +
        IFERROR(
            VLOOKUP($A13, INDIRECT("JunR!$A$6:$ZZ$1048576"), MATCH(X$1, JunR!$6:$6, 0), FALSE),
            0
        ) +
        IFERROR(
            VLOOKUP($A13, INDIRECT("JulR!$A$6:$ZZ$1048576"), MATCH(X$1, JulR!$6:$6, 0), FALSE),
            0
        ) +
        IFERROR(
            VLOOKUP($A13, INDIRECT("AgoR!$A$6:$ZZ$1048576"), MATCH(X$1, AgoR!$6:$6, 0), FALSE),
            0
        ) +
        IFERROR(
            VLOOKUP($A13, INDIRECT("SepR!$A$6:$ZZ$1048576"), MATCH(X$1, SepR!$6:$6, 0), FALSE),
            0
        ) +
        IFERROR(
            VLOOKUP($A13, INDIRECT("OctR!$A$6:$ZZ$1048576"), MATCH(X$1, OctR!$6:$6, 0), FALSE),
            0
        ) +
        IFERROR(
            VLOOKUP($A13, INDIRECT("NovR!$A$6:$ZZ$1048576"), MATCH(X$1, NovR!$6:$6, 0), FALSE),
            0
        ) +
        IFERROR(
            VLOOKUP($A13, INDIRECT("DicR!$A$6:$ZZ$1048576"), MATCH(X$1, DicR!$6:$6, 0), FALSE),
            0
        )
)</f>
        <v>0</v>
      </c>
      <c r="Y13" s="37">
        <f t="array" ref="Y13">SUM(
    IFERROR(
            VLOOKUP($A13, INDIRECT("EneR!$A$6:$ZZ$1048576"), MATCH(Y$1, EneR!$6:$6, 0), FALSE),
            0
        ) +
        IFERROR(
            VLOOKUP($A13, INDIRECT("FebR!$A$6:$ZZ$1048576"), MATCH(Y$1, FebR!$6:$6, 0), FALSE),
            0
        ) +
        IFERROR(
            VLOOKUP($A13, INDIRECT("MarR!$A$6:$ZZ$1048576"), MATCH(Y$1, MarR!$6:$6, 0), FALSE),
            0
        ) +
        IFERROR(
            VLOOKUP($A13, INDIRECT("AbrR!$A$6:$ZZ$1048576"), MATCH(Y$1, AbrR!$6:$6, 0), FALSE),
            0
        ) +
        IFERROR(
            VLOOKUP($A13, INDIRECT("MayR!$A$6:$ZZ$1048576"), MATCH(Y$1, MayR!$6:$6, 0), FALSE),
            0
        ) +
        IFERROR(
            VLOOKUP($A13, INDIRECT("JunR!$A$6:$ZZ$1048576"), MATCH(Y$1, JunR!$6:$6, 0), FALSE),
            0
        ) +
        IFERROR(
            VLOOKUP($A13, INDIRECT("JulR!$A$6:$ZZ$1048576"), MATCH(Y$1, JulR!$6:$6, 0), FALSE),
            0
        ) +
        IFERROR(
            VLOOKUP($A13, INDIRECT("AgoR!$A$6:$ZZ$1048576"), MATCH(Y$1, AgoR!$6:$6, 0), FALSE),
            0
        ) +
        IFERROR(
            VLOOKUP($A13, INDIRECT("SepR!$A$6:$ZZ$1048576"), MATCH(Y$1, SepR!$6:$6, 0), FALSE),
            0
        ) +
        IFERROR(
            VLOOKUP($A13, INDIRECT("OctR!$A$6:$ZZ$1048576"), MATCH(Y$1, OctR!$6:$6, 0), FALSE),
            0
        ) +
        IFERROR(
            VLOOKUP($A13, INDIRECT("NovR!$A$6:$ZZ$1048576"), MATCH(Y$1, NovR!$6:$6, 0), FALSE),
            0
        ) +
        IFERROR(
            VLOOKUP($A13, INDIRECT("DicR!$A$6:$ZZ$1048576"), MATCH(Y$1, DicR!$6:$6, 0), FALSE),
            0
        )
)</f>
        <v>0</v>
      </c>
      <c r="Z13" s="36">
        <f t="array" ref="Z13">SUM(
    IFERROR(
            VLOOKUP($A13, INDIRECT("EneR!$A$6:$ZZ$1048576"), MATCH(Z$1, EneR!$6:$6, 0), FALSE),
            0
        ) +
        IFERROR(
            VLOOKUP($A13, INDIRECT("FebR!$A$6:$ZZ$1048576"), MATCH(Z$1, FebR!$6:$6, 0), FALSE),
            0
        ) +
        IFERROR(
            VLOOKUP($A13, INDIRECT("MarR!$A$6:$ZZ$1048576"), MATCH(Z$1, MarR!$6:$6, 0), FALSE),
            0
        ) +
        IFERROR(
            VLOOKUP($A13, INDIRECT("AbrR!$A$6:$ZZ$1048576"), MATCH(Z$1, AbrR!$6:$6, 0), FALSE),
            0
        ) +
        IFERROR(
            VLOOKUP($A13, INDIRECT("MayR!$A$6:$ZZ$1048576"), MATCH(Z$1, MayR!$6:$6, 0), FALSE),
            0
        ) +
        IFERROR(
            VLOOKUP($A13, INDIRECT("JunR!$A$6:$ZZ$1048576"), MATCH(Z$1, JunR!$6:$6, 0), FALSE),
            0
        ) +
        IFERROR(
            VLOOKUP($A13, INDIRECT("JulR!$A$6:$ZZ$1048576"), MATCH(Z$1, JulR!$6:$6, 0), FALSE),
            0
        ) +
        IFERROR(
            VLOOKUP($A13, INDIRECT("AgoR!$A$6:$ZZ$1048576"), MATCH(Z$1, AgoR!$6:$6, 0), FALSE),
            0
        ) +
        IFERROR(
            VLOOKUP($A13, INDIRECT("SepR!$A$6:$ZZ$1048576"), MATCH(Z$1, SepR!$6:$6, 0), FALSE),
            0
        ) +
        IFERROR(
            VLOOKUP($A13, INDIRECT("OctR!$A$6:$ZZ$1048576"), MATCH(Z$1, OctR!$6:$6, 0), FALSE),
            0
        ) +
        IFERROR(
            VLOOKUP($A13, INDIRECT("NovR!$A$6:$ZZ$1048576"), MATCH(Z$1, NovR!$6:$6, 0), FALSE),
            0
        ) +
        IFERROR(
            VLOOKUP($A13, INDIRECT("DicR!$A$6:$ZZ$1048576"), MATCH(Z$1, DicR!$6:$6, 0), FALSE),
            0
        )
)</f>
        <v>0</v>
      </c>
      <c r="AA13" s="37">
        <f t="array" ref="AA13">SUM(
    IFERROR(
            VLOOKUP($A13, INDIRECT("EneR!$A$6:$ZZ$1048576"), MATCH(AA$1, EneR!$6:$6, 0), FALSE),
            0
        ) +
        IFERROR(
            VLOOKUP($A13, INDIRECT("FebR!$A$6:$ZZ$1048576"), MATCH(AA$1, FebR!$6:$6, 0), FALSE),
            0
        ) +
        IFERROR(
            VLOOKUP($A13, INDIRECT("MarR!$A$6:$ZZ$1048576"), MATCH(AA$1, MarR!$6:$6, 0), FALSE),
            0
        ) +
        IFERROR(
            VLOOKUP($A13, INDIRECT("AbrR!$A$6:$ZZ$1048576"), MATCH(AA$1, AbrR!$6:$6, 0), FALSE),
            0
        ) +
        IFERROR(
            VLOOKUP($A13, INDIRECT("MayR!$A$6:$ZZ$1048576"), MATCH(AA$1, MayR!$6:$6, 0), FALSE),
            0
        ) +
        IFERROR(
            VLOOKUP($A13, INDIRECT("JunR!$A$6:$ZZ$1048576"), MATCH(AA$1, JunR!$6:$6, 0), FALSE),
            0
        ) +
        IFERROR(
            VLOOKUP($A13, INDIRECT("JulR!$A$6:$ZZ$1048576"), MATCH(AA$1, JulR!$6:$6, 0), FALSE),
            0
        ) +
        IFERROR(
            VLOOKUP($A13, INDIRECT("AgoR!$A$6:$ZZ$1048576"), MATCH(AA$1, AgoR!$6:$6, 0), FALSE),
            0
        ) +
        IFERROR(
            VLOOKUP($A13, INDIRECT("SepR!$A$6:$ZZ$1048576"), MATCH(AA$1, SepR!$6:$6, 0), FALSE),
            0
        ) +
        IFERROR(
            VLOOKUP($A13, INDIRECT("OctR!$A$6:$ZZ$1048576"), MATCH(AA$1, OctR!$6:$6, 0), FALSE),
            0
        ) +
        IFERROR(
            VLOOKUP($A13, INDIRECT("NovR!$A$6:$ZZ$1048576"), MATCH(AA$1, NovR!$6:$6, 0), FALSE),
            0
        ) +
        IFERROR(
            VLOOKUP($A13, INDIRECT("DicR!$A$6:$ZZ$1048576"), MATCH(AA$1, DicR!$6:$6, 0), FALSE),
            0
        )
)</f>
        <v>0</v>
      </c>
      <c r="AB13" s="36">
        <f t="array" ref="AB13">SUM(
    IFERROR(
            VLOOKUP($A13, INDIRECT("EneR!$A$6:$ZZ$1048576"), MATCH(AB$1, EneR!$6:$6, 0), FALSE),
            0
        ) +
        IFERROR(
            VLOOKUP($A13, INDIRECT("FebR!$A$6:$ZZ$1048576"), MATCH(AB$1, FebR!$6:$6, 0), FALSE),
            0
        ) +
        IFERROR(
            VLOOKUP($A13, INDIRECT("MarR!$A$6:$ZZ$1048576"), MATCH(AB$1, MarR!$6:$6, 0), FALSE),
            0
        ) +
        IFERROR(
            VLOOKUP($A13, INDIRECT("AbrR!$A$6:$ZZ$1048576"), MATCH(AB$1, AbrR!$6:$6, 0), FALSE),
            0
        ) +
        IFERROR(
            VLOOKUP($A13, INDIRECT("MayR!$A$6:$ZZ$1048576"), MATCH(AB$1, MayR!$6:$6, 0), FALSE),
            0
        ) +
        IFERROR(
            VLOOKUP($A13, INDIRECT("JunR!$A$6:$ZZ$1048576"), MATCH(AB$1, JunR!$6:$6, 0), FALSE),
            0
        ) +
        IFERROR(
            VLOOKUP($A13, INDIRECT("JulR!$A$6:$ZZ$1048576"), MATCH(AB$1, JulR!$6:$6, 0), FALSE),
            0
        ) +
        IFERROR(
            VLOOKUP($A13, INDIRECT("AgoR!$A$6:$ZZ$1048576"), MATCH(AB$1, AgoR!$6:$6, 0), FALSE),
            0
        ) +
        IFERROR(
            VLOOKUP($A13, INDIRECT("SepR!$A$6:$ZZ$1048576"), MATCH(AB$1, SepR!$6:$6, 0), FALSE),
            0
        ) +
        IFERROR(
            VLOOKUP($A13, INDIRECT("OctR!$A$6:$ZZ$1048576"), MATCH(AB$1, OctR!$6:$6, 0), FALSE),
            0
        ) +
        IFERROR(
            VLOOKUP($A13, INDIRECT("NovR!$A$6:$ZZ$1048576"), MATCH(AB$1, NovR!$6:$6, 0), FALSE),
            0
        ) +
        IFERROR(
            VLOOKUP($A13, INDIRECT("DicR!$A$6:$ZZ$1048576"), MATCH(AB$1, DicR!$6:$6, 0), FALSE),
            0
        )
)</f>
        <v>0</v>
      </c>
      <c r="AC13" s="37">
        <f t="array" ref="AC13">SUM(
    IFERROR(
            VLOOKUP($A13, INDIRECT("EneR!$A$6:$ZZ$1048576"), MATCH(AC$1, EneR!$6:$6, 0), FALSE),
            0
        ) +
        IFERROR(
            VLOOKUP($A13, INDIRECT("FebR!$A$6:$ZZ$1048576"), MATCH(AC$1, FebR!$6:$6, 0), FALSE),
            0
        ) +
        IFERROR(
            VLOOKUP($A13, INDIRECT("MarR!$A$6:$ZZ$1048576"), MATCH(AC$1, MarR!$6:$6, 0), FALSE),
            0
        ) +
        IFERROR(
            VLOOKUP($A13, INDIRECT("AbrR!$A$6:$ZZ$1048576"), MATCH(AC$1, AbrR!$6:$6, 0), FALSE),
            0
        ) +
        IFERROR(
            VLOOKUP($A13, INDIRECT("MayR!$A$6:$ZZ$1048576"), MATCH(AC$1, MayR!$6:$6, 0), FALSE),
            0
        ) +
        IFERROR(
            VLOOKUP($A13, INDIRECT("JunR!$A$6:$ZZ$1048576"), MATCH(AC$1, JunR!$6:$6, 0), FALSE),
            0
        ) +
        IFERROR(
            VLOOKUP($A13, INDIRECT("JulR!$A$6:$ZZ$1048576"), MATCH(AC$1, JulR!$6:$6, 0), FALSE),
            0
        ) +
        IFERROR(
            VLOOKUP($A13, INDIRECT("AgoR!$A$6:$ZZ$1048576"), MATCH(AC$1, AgoR!$6:$6, 0), FALSE),
            0
        ) +
        IFERROR(
            VLOOKUP($A13, INDIRECT("SepR!$A$6:$ZZ$1048576"), MATCH(AC$1, SepR!$6:$6, 0), FALSE),
            0
        ) +
        IFERROR(
            VLOOKUP($A13, INDIRECT("OctR!$A$6:$ZZ$1048576"), MATCH(AC$1, OctR!$6:$6, 0), FALSE),
            0
        ) +
        IFERROR(
            VLOOKUP($A13, INDIRECT("NovR!$A$6:$ZZ$1048576"), MATCH(AC$1, NovR!$6:$6, 0), FALSE),
            0
        ) +
        IFERROR(
            VLOOKUP($A13, INDIRECT("DicR!$A$6:$ZZ$1048576"), MATCH(AC$1, DicR!$6:$6, 0), FALSE),
            0
        )
)</f>
        <v>0</v>
      </c>
      <c r="AD13" s="36">
        <f t="array" ref="AD13">SUM(
    IFERROR(
            VLOOKUP($A13, INDIRECT("EneR!$A$6:$ZZ$1048576"), MATCH(AD$1, EneR!$6:$6, 0), FALSE),
            0
        ) +
        IFERROR(
            VLOOKUP($A13, INDIRECT("FebR!$A$6:$ZZ$1048576"), MATCH(AD$1, FebR!$6:$6, 0), FALSE),
            0
        ) +
        IFERROR(
            VLOOKUP($A13, INDIRECT("MarR!$A$6:$ZZ$1048576"), MATCH(AD$1, MarR!$6:$6, 0), FALSE),
            0
        ) +
        IFERROR(
            VLOOKUP($A13, INDIRECT("AbrR!$A$6:$ZZ$1048576"), MATCH(AD$1, AbrR!$6:$6, 0), FALSE),
            0
        ) +
        IFERROR(
            VLOOKUP($A13, INDIRECT("MayR!$A$6:$ZZ$1048576"), MATCH(AD$1, MayR!$6:$6, 0), FALSE),
            0
        ) +
        IFERROR(
            VLOOKUP($A13, INDIRECT("JunR!$A$6:$ZZ$1048576"), MATCH(AD$1, JunR!$6:$6, 0), FALSE),
            0
        ) +
        IFERROR(
            VLOOKUP($A13, INDIRECT("JulR!$A$6:$ZZ$1048576"), MATCH(AD$1, JulR!$6:$6, 0), FALSE),
            0
        ) +
        IFERROR(
            VLOOKUP($A13, INDIRECT("AgoR!$A$6:$ZZ$1048576"), MATCH(AD$1, AgoR!$6:$6, 0), FALSE),
            0
        ) +
        IFERROR(
            VLOOKUP($A13, INDIRECT("SepR!$A$6:$ZZ$1048576"), MATCH(AD$1, SepR!$6:$6, 0), FALSE),
            0
        ) +
        IFERROR(
            VLOOKUP($A13, INDIRECT("OctR!$A$6:$ZZ$1048576"), MATCH(AD$1, OctR!$6:$6, 0), FALSE),
            0
        ) +
        IFERROR(
            VLOOKUP($A13, INDIRECT("NovR!$A$6:$ZZ$1048576"), MATCH(AD$1, NovR!$6:$6, 0), FALSE),
            0
        ) +
        IFERROR(
            VLOOKUP($A13, INDIRECT("DicR!$A$6:$ZZ$1048576"), MATCH(AD$1, DicR!$6:$6, 0), FALSE),
            0
        )
)</f>
        <v>0</v>
      </c>
      <c r="AE13" s="37">
        <f t="array" ref="AE13">SUM(
    IFERROR(
            VLOOKUP($A13, INDIRECT("EneR!$A$6:$ZZ$1048576"), MATCH(AE$1, EneR!$6:$6, 0), FALSE),
            0
        ) +
        IFERROR(
            VLOOKUP($A13, INDIRECT("FebR!$A$6:$ZZ$1048576"), MATCH(AE$1, FebR!$6:$6, 0), FALSE),
            0
        ) +
        IFERROR(
            VLOOKUP($A13, INDIRECT("MarR!$A$6:$ZZ$1048576"), MATCH(AE$1, MarR!$6:$6, 0), FALSE),
            0
        ) +
        IFERROR(
            VLOOKUP($A13, INDIRECT("AbrR!$A$6:$ZZ$1048576"), MATCH(AE$1, AbrR!$6:$6, 0), FALSE),
            0
        ) +
        IFERROR(
            VLOOKUP($A13, INDIRECT("MayR!$A$6:$ZZ$1048576"), MATCH(AE$1, MayR!$6:$6, 0), FALSE),
            0
        ) +
        IFERROR(
            VLOOKUP($A13, INDIRECT("JunR!$A$6:$ZZ$1048576"), MATCH(AE$1, JunR!$6:$6, 0), FALSE),
            0
        ) +
        IFERROR(
            VLOOKUP($A13, INDIRECT("JulR!$A$6:$ZZ$1048576"), MATCH(AE$1, JulR!$6:$6, 0), FALSE),
            0
        ) +
        IFERROR(
            VLOOKUP($A13, INDIRECT("AgoR!$A$6:$ZZ$1048576"), MATCH(AE$1, AgoR!$6:$6, 0), FALSE),
            0
        ) +
        IFERROR(
            VLOOKUP($A13, INDIRECT("SepR!$A$6:$ZZ$1048576"), MATCH(AE$1, SepR!$6:$6, 0), FALSE),
            0
        ) +
        IFERROR(
            VLOOKUP($A13, INDIRECT("OctR!$A$6:$ZZ$1048576"), MATCH(AE$1, OctR!$6:$6, 0), FALSE),
            0
        ) +
        IFERROR(
            VLOOKUP($A13, INDIRECT("NovR!$A$6:$ZZ$1048576"), MATCH(AE$1, NovR!$6:$6, 0), FALSE),
            0
        ) +
        IFERROR(
            VLOOKUP($A13, INDIRECT("DicR!$A$6:$ZZ$1048576"), MATCH(AE$1, DicR!$6:$6, 0), FALSE),
            0
        )
)</f>
        <v>0</v>
      </c>
      <c r="AF13" s="36">
        <f t="array" ref="AF13">SUM(
    IFERROR(
            VLOOKUP($A13, INDIRECT("EneR!$A$6:$ZZ$1048576"), MATCH(AF$1, EneR!$6:$6, 0), FALSE),
            0
        ) +
        IFERROR(
            VLOOKUP($A13, INDIRECT("FebR!$A$6:$ZZ$1048576"), MATCH(AF$1, FebR!$6:$6, 0), FALSE),
            0
        ) +
        IFERROR(
            VLOOKUP($A13, INDIRECT("MarR!$A$6:$ZZ$1048576"), MATCH(AF$1, MarR!$6:$6, 0), FALSE),
            0
        ) +
        IFERROR(
            VLOOKUP($A13, INDIRECT("AbrR!$A$6:$ZZ$1048576"), MATCH(AF$1, AbrR!$6:$6, 0), FALSE),
            0
        ) +
        IFERROR(
            VLOOKUP($A13, INDIRECT("MayR!$A$6:$ZZ$1048576"), MATCH(AF$1, MayR!$6:$6, 0), FALSE),
            0
        ) +
        IFERROR(
            VLOOKUP($A13, INDIRECT("JunR!$A$6:$ZZ$1048576"), MATCH(AF$1, JunR!$6:$6, 0), FALSE),
            0
        ) +
        IFERROR(
            VLOOKUP($A13, INDIRECT("JulR!$A$6:$ZZ$1048576"), MATCH(AF$1, JulR!$6:$6, 0), FALSE),
            0
        ) +
        IFERROR(
            VLOOKUP($A13, INDIRECT("AgoR!$A$6:$ZZ$1048576"), MATCH(AF$1, AgoR!$6:$6, 0), FALSE),
            0
        ) +
        IFERROR(
            VLOOKUP($A13, INDIRECT("SepR!$A$6:$ZZ$1048576"), MATCH(AF$1, SepR!$6:$6, 0), FALSE),
            0
        ) +
        IFERROR(
            VLOOKUP($A13, INDIRECT("OctR!$A$6:$ZZ$1048576"), MATCH(AF$1, OctR!$6:$6, 0), FALSE),
            0
        ) +
        IFERROR(
            VLOOKUP($A13, INDIRECT("NovR!$A$6:$ZZ$1048576"), MATCH(AF$1, NovR!$6:$6, 0), FALSE),
            0
        ) +
        IFERROR(
            VLOOKUP($A13, INDIRECT("DicR!$A$6:$ZZ$1048576"), MATCH(AF$1, DicR!$6:$6, 0), FALSE),
            0
        )
)</f>
        <v>0</v>
      </c>
      <c r="AG13" s="37">
        <f t="array" ref="AG13">SUM(
    IFERROR(
            VLOOKUP($A13, INDIRECT("EneR!$A$6:$ZZ$1048576"), MATCH(AG$1, EneR!$6:$6, 0), FALSE),
            0
        ) +
        IFERROR(
            VLOOKUP($A13, INDIRECT("FebR!$A$6:$ZZ$1048576"), MATCH(AG$1, FebR!$6:$6, 0), FALSE),
            0
        ) +
        IFERROR(
            VLOOKUP($A13, INDIRECT("MarR!$A$6:$ZZ$1048576"), MATCH(AG$1, MarR!$6:$6, 0), FALSE),
            0
        ) +
        IFERROR(
            VLOOKUP($A13, INDIRECT("AbrR!$A$6:$ZZ$1048576"), MATCH(AG$1, AbrR!$6:$6, 0), FALSE),
            0
        ) +
        IFERROR(
            VLOOKUP($A13, INDIRECT("MayR!$A$6:$ZZ$1048576"), MATCH(AG$1, MayR!$6:$6, 0), FALSE),
            0
        ) +
        IFERROR(
            VLOOKUP($A13, INDIRECT("JunR!$A$6:$ZZ$1048576"), MATCH(AG$1, JunR!$6:$6, 0), FALSE),
            0
        ) +
        IFERROR(
            VLOOKUP($A13, INDIRECT("JulR!$A$6:$ZZ$1048576"), MATCH(AG$1, JulR!$6:$6, 0), FALSE),
            0
        ) +
        IFERROR(
            VLOOKUP($A13, INDIRECT("AgoR!$A$6:$ZZ$1048576"), MATCH(AG$1, AgoR!$6:$6, 0), FALSE),
            0
        ) +
        IFERROR(
            VLOOKUP($A13, INDIRECT("SepR!$A$6:$ZZ$1048576"), MATCH(AG$1, SepR!$6:$6, 0), FALSE),
            0
        ) +
        IFERROR(
            VLOOKUP($A13, INDIRECT("OctR!$A$6:$ZZ$1048576"), MATCH(AG$1, OctR!$6:$6, 0), FALSE),
            0
        ) +
        IFERROR(
            VLOOKUP($A13, INDIRECT("NovR!$A$6:$ZZ$1048576"), MATCH(AG$1, NovR!$6:$6, 0), FALSE),
            0
        ) +
        IFERROR(
            VLOOKUP($A13, INDIRECT("DicR!$A$6:$ZZ$1048576"), MATCH(AG$1, DicR!$6:$6, 0), FALSE),
            0
        )
)</f>
        <v>0</v>
      </c>
      <c r="AH13" s="36">
        <f t="array" ref="AH13">SUM(
    IFERROR(
            VLOOKUP($A13, INDIRECT("EneR!$A$6:$ZZ$1048576"), MATCH(AH$1, EneR!$6:$6, 0), FALSE),
            0
        ) +
        IFERROR(
            VLOOKUP($A13, INDIRECT("FebR!$A$6:$ZZ$1048576"), MATCH(AH$1, FebR!$6:$6, 0), FALSE),
            0
        ) +
        IFERROR(
            VLOOKUP($A13, INDIRECT("MarR!$A$6:$ZZ$1048576"), MATCH(AH$1, MarR!$6:$6, 0), FALSE),
            0
        ) +
        IFERROR(
            VLOOKUP($A13, INDIRECT("AbrR!$A$6:$ZZ$1048576"), MATCH(AH$1, AbrR!$6:$6, 0), FALSE),
            0
        ) +
        IFERROR(
            VLOOKUP($A13, INDIRECT("MayR!$A$6:$ZZ$1048576"), MATCH(AH$1, MayR!$6:$6, 0), FALSE),
            0
        ) +
        IFERROR(
            VLOOKUP($A13, INDIRECT("JunR!$A$6:$ZZ$1048576"), MATCH(AH$1, JunR!$6:$6, 0), FALSE),
            0
        ) +
        IFERROR(
            VLOOKUP($A13, INDIRECT("JulR!$A$6:$ZZ$1048576"), MATCH(AH$1, JulR!$6:$6, 0), FALSE),
            0
        ) +
        IFERROR(
            VLOOKUP($A13, INDIRECT("AgoR!$A$6:$ZZ$1048576"), MATCH(AH$1, AgoR!$6:$6, 0), FALSE),
            0
        ) +
        IFERROR(
            VLOOKUP($A13, INDIRECT("SepR!$A$6:$ZZ$1048576"), MATCH(AH$1, SepR!$6:$6, 0), FALSE),
            0
        ) +
        IFERROR(
            VLOOKUP($A13, INDIRECT("OctR!$A$6:$ZZ$1048576"), MATCH(AH$1, OctR!$6:$6, 0), FALSE),
            0
        ) +
        IFERROR(
            VLOOKUP($A13, INDIRECT("NovR!$A$6:$ZZ$1048576"), MATCH(AH$1, NovR!$6:$6, 0), FALSE),
            0
        ) +
        IFERROR(
            VLOOKUP($A13, INDIRECT("DicR!$A$6:$ZZ$1048576"), MATCH(AH$1, DicR!$6:$6, 0), FALSE),
            0
        )
)</f>
        <v>0</v>
      </c>
      <c r="AI13" s="37">
        <f t="array" ref="AI13">SUM(
    IFERROR(
            VLOOKUP($A13, INDIRECT("EneR!$A$6:$ZZ$1048576"), MATCH(AI$1, EneR!$6:$6, 0), FALSE),
            0
        ) +
        IFERROR(
            VLOOKUP($A13, INDIRECT("FebR!$A$6:$ZZ$1048576"), MATCH(AI$1, FebR!$6:$6, 0), FALSE),
            0
        ) +
        IFERROR(
            VLOOKUP($A13, INDIRECT("MarR!$A$6:$ZZ$1048576"), MATCH(AI$1, MarR!$6:$6, 0), FALSE),
            0
        ) +
        IFERROR(
            VLOOKUP($A13, INDIRECT("AbrR!$A$6:$ZZ$1048576"), MATCH(AI$1, AbrR!$6:$6, 0), FALSE),
            0
        ) +
        IFERROR(
            VLOOKUP($A13, INDIRECT("MayR!$A$6:$ZZ$1048576"), MATCH(AI$1, MayR!$6:$6, 0), FALSE),
            0
        ) +
        IFERROR(
            VLOOKUP($A13, INDIRECT("JunR!$A$6:$ZZ$1048576"), MATCH(AI$1, JunR!$6:$6, 0), FALSE),
            0
        ) +
        IFERROR(
            VLOOKUP($A13, INDIRECT("JulR!$A$6:$ZZ$1048576"), MATCH(AI$1, JulR!$6:$6, 0), FALSE),
            0
        ) +
        IFERROR(
            VLOOKUP($A13, INDIRECT("AgoR!$A$6:$ZZ$1048576"), MATCH(AI$1, AgoR!$6:$6, 0), FALSE),
            0
        ) +
        IFERROR(
            VLOOKUP($A13, INDIRECT("SepR!$A$6:$ZZ$1048576"), MATCH(AI$1, SepR!$6:$6, 0), FALSE),
            0
        ) +
        IFERROR(
            VLOOKUP($A13, INDIRECT("OctR!$A$6:$ZZ$1048576"), MATCH(AI$1, OctR!$6:$6, 0), FALSE),
            0
        ) +
        IFERROR(
            VLOOKUP($A13, INDIRECT("NovR!$A$6:$ZZ$1048576"), MATCH(AI$1, NovR!$6:$6, 0), FALSE),
            0
        ) +
        IFERROR(
            VLOOKUP($A13, INDIRECT("DicR!$A$6:$ZZ$1048576"), MATCH(AI$1, DicR!$6:$6, 0), FALSE),
            0
        )
)</f>
        <v>0</v>
      </c>
      <c r="AJ13" s="36">
        <f t="array" ref="AJ13">SUM(
    IFERROR(
            VLOOKUP($A13, INDIRECT("EneR!$A$6:$ZZ$1048576"), MATCH(AJ$1, EneR!$6:$6, 0), FALSE),
            0
        ) +
        IFERROR(
            VLOOKUP($A13, INDIRECT("FebR!$A$6:$ZZ$1048576"), MATCH(AJ$1, FebR!$6:$6, 0), FALSE),
            0
        ) +
        IFERROR(
            VLOOKUP($A13, INDIRECT("MarR!$A$6:$ZZ$1048576"), MATCH(AJ$1, MarR!$6:$6, 0), FALSE),
            0
        ) +
        IFERROR(
            VLOOKUP($A13, INDIRECT("AbrR!$A$6:$ZZ$1048576"), MATCH(AJ$1, AbrR!$6:$6, 0), FALSE),
            0
        ) +
        IFERROR(
            VLOOKUP($A13, INDIRECT("MayR!$A$6:$ZZ$1048576"), MATCH(AJ$1, MayR!$6:$6, 0), FALSE),
            0
        ) +
        IFERROR(
            VLOOKUP($A13, INDIRECT("JunR!$A$6:$ZZ$1048576"), MATCH(AJ$1, JunR!$6:$6, 0), FALSE),
            0
        ) +
        IFERROR(
            VLOOKUP($A13, INDIRECT("JulR!$A$6:$ZZ$1048576"), MATCH(AJ$1, JulR!$6:$6, 0), FALSE),
            0
        ) +
        IFERROR(
            VLOOKUP($A13, INDIRECT("AgoR!$A$6:$ZZ$1048576"), MATCH(AJ$1, AgoR!$6:$6, 0), FALSE),
            0
        ) +
        IFERROR(
            VLOOKUP($A13, INDIRECT("SepR!$A$6:$ZZ$1048576"), MATCH(AJ$1, SepR!$6:$6, 0), FALSE),
            0
        ) +
        IFERROR(
            VLOOKUP($A13, INDIRECT("OctR!$A$6:$ZZ$1048576"), MATCH(AJ$1, OctR!$6:$6, 0), FALSE),
            0
        ) +
        IFERROR(
            VLOOKUP($A13, INDIRECT("NovR!$A$6:$ZZ$1048576"), MATCH(AJ$1, NovR!$6:$6, 0), FALSE),
            0
        ) +
        IFERROR(
            VLOOKUP($A13, INDIRECT("DicR!$A$6:$ZZ$1048576"), MATCH(AJ$1, DicR!$6:$6, 0), FALSE),
            0
        )
)</f>
        <v>0</v>
      </c>
      <c r="AK13" s="37">
        <f t="array" ref="AK13">SUM(
    IFERROR(
            VLOOKUP($A13, INDIRECT("EneR!$A$6:$ZZ$1048576"), MATCH(AK$1, EneR!$6:$6, 0), FALSE),
            0
        ) +
        IFERROR(
            VLOOKUP($A13, INDIRECT("FebR!$A$6:$ZZ$1048576"), MATCH(AK$1, FebR!$6:$6, 0), FALSE),
            0
        ) +
        IFERROR(
            VLOOKUP($A13, INDIRECT("MarR!$A$6:$ZZ$1048576"), MATCH(AK$1, MarR!$6:$6, 0), FALSE),
            0
        ) +
        IFERROR(
            VLOOKUP($A13, INDIRECT("AbrR!$A$6:$ZZ$1048576"), MATCH(AK$1, AbrR!$6:$6, 0), FALSE),
            0
        ) +
        IFERROR(
            VLOOKUP($A13, INDIRECT("MayR!$A$6:$ZZ$1048576"), MATCH(AK$1, MayR!$6:$6, 0), FALSE),
            0
        ) +
        IFERROR(
            VLOOKUP($A13, INDIRECT("JunR!$A$6:$ZZ$1048576"), MATCH(AK$1, JunR!$6:$6, 0), FALSE),
            0
        ) +
        IFERROR(
            VLOOKUP($A13, INDIRECT("JulR!$A$6:$ZZ$1048576"), MATCH(AK$1, JulR!$6:$6, 0), FALSE),
            0
        ) +
        IFERROR(
            VLOOKUP($A13, INDIRECT("AgoR!$A$6:$ZZ$1048576"), MATCH(AK$1, AgoR!$6:$6, 0), FALSE),
            0
        ) +
        IFERROR(
            VLOOKUP($A13, INDIRECT("SepR!$A$6:$ZZ$1048576"), MATCH(AK$1, SepR!$6:$6, 0), FALSE),
            0
        ) +
        IFERROR(
            VLOOKUP($A13, INDIRECT("OctR!$A$6:$ZZ$1048576"), MATCH(AK$1, OctR!$6:$6, 0), FALSE),
            0
        ) +
        IFERROR(
            VLOOKUP($A13, INDIRECT("NovR!$A$6:$ZZ$1048576"), MATCH(AK$1, NovR!$6:$6, 0), FALSE),
            0
        ) +
        IFERROR(
            VLOOKUP($A13, INDIRECT("DicR!$A$6:$ZZ$1048576"), MATCH(AK$1, DicR!$6:$6, 0), FALSE),
            0
        )
)</f>
        <v>0</v>
      </c>
      <c r="AL13" s="36">
        <f t="array" ref="AL13">SUM(
    IFERROR(
            VLOOKUP($A13, INDIRECT("EneR!$A$6:$ZZ$1048576"), MATCH(AL$1, EneR!$6:$6, 0), FALSE),
            0
        ) +
        IFERROR(
            VLOOKUP($A13, INDIRECT("FebR!$A$6:$ZZ$1048576"), MATCH(AL$1, FebR!$6:$6, 0), FALSE),
            0
        ) +
        IFERROR(
            VLOOKUP($A13, INDIRECT("MarR!$A$6:$ZZ$1048576"), MATCH(AL$1, MarR!$6:$6, 0), FALSE),
            0
        ) +
        IFERROR(
            VLOOKUP($A13, INDIRECT("AbrR!$A$6:$ZZ$1048576"), MATCH(AL$1, AbrR!$6:$6, 0), FALSE),
            0
        ) +
        IFERROR(
            VLOOKUP($A13, INDIRECT("MayR!$A$6:$ZZ$1048576"), MATCH(AL$1, MayR!$6:$6, 0), FALSE),
            0
        ) +
        IFERROR(
            VLOOKUP($A13, INDIRECT("JunR!$A$6:$ZZ$1048576"), MATCH(AL$1, JunR!$6:$6, 0), FALSE),
            0
        ) +
        IFERROR(
            VLOOKUP($A13, INDIRECT("JulR!$A$6:$ZZ$1048576"), MATCH(AL$1, JulR!$6:$6, 0), FALSE),
            0
        ) +
        IFERROR(
            VLOOKUP($A13, INDIRECT("AgoR!$A$6:$ZZ$1048576"), MATCH(AL$1, AgoR!$6:$6, 0), FALSE),
            0
        ) +
        IFERROR(
            VLOOKUP($A13, INDIRECT("SepR!$A$6:$ZZ$1048576"), MATCH(AL$1, SepR!$6:$6, 0), FALSE),
            0
        ) +
        IFERROR(
            VLOOKUP($A13, INDIRECT("OctR!$A$6:$ZZ$1048576"), MATCH(AL$1, OctR!$6:$6, 0), FALSE),
            0
        ) +
        IFERROR(
            VLOOKUP($A13, INDIRECT("NovR!$A$6:$ZZ$1048576"), MATCH(AL$1, NovR!$6:$6, 0), FALSE),
            0
        ) +
        IFERROR(
            VLOOKUP($A13, INDIRECT("DicR!$A$6:$ZZ$1048576"), MATCH(AL$1, DicR!$6:$6, 0), FALSE),
            0
        )
)</f>
        <v>0</v>
      </c>
      <c r="AM13" s="37">
        <f t="array" ref="AM13">SUM(
    IFERROR(
            VLOOKUP($A13, INDIRECT("EneR!$A$6:$ZZ$1048576"), MATCH(AM$1, EneR!$6:$6, 0), FALSE),
            0
        ) +
        IFERROR(
            VLOOKUP($A13, INDIRECT("FebR!$A$6:$ZZ$1048576"), MATCH(AM$1, FebR!$6:$6, 0), FALSE),
            0
        ) +
        IFERROR(
            VLOOKUP($A13, INDIRECT("MarR!$A$6:$ZZ$1048576"), MATCH(AM$1, MarR!$6:$6, 0), FALSE),
            0
        ) +
        IFERROR(
            VLOOKUP($A13, INDIRECT("AbrR!$A$6:$ZZ$1048576"), MATCH(AM$1, AbrR!$6:$6, 0), FALSE),
            0
        ) +
        IFERROR(
            VLOOKUP($A13, INDIRECT("MayR!$A$6:$ZZ$1048576"), MATCH(AM$1, MayR!$6:$6, 0), FALSE),
            0
        ) +
        IFERROR(
            VLOOKUP($A13, INDIRECT("JunR!$A$6:$ZZ$1048576"), MATCH(AM$1, JunR!$6:$6, 0), FALSE),
            0
        ) +
        IFERROR(
            VLOOKUP($A13, INDIRECT("JulR!$A$6:$ZZ$1048576"), MATCH(AM$1, JulR!$6:$6, 0), FALSE),
            0
        ) +
        IFERROR(
            VLOOKUP($A13, INDIRECT("AgoR!$A$6:$ZZ$1048576"), MATCH(AM$1, AgoR!$6:$6, 0), FALSE),
            0
        ) +
        IFERROR(
            VLOOKUP($A13, INDIRECT("SepR!$A$6:$ZZ$1048576"), MATCH(AM$1, SepR!$6:$6, 0), FALSE),
            0
        ) +
        IFERROR(
            VLOOKUP($A13, INDIRECT("OctR!$A$6:$ZZ$1048576"), MATCH(AM$1, OctR!$6:$6, 0), FALSE),
            0
        ) +
        IFERROR(
            VLOOKUP($A13, INDIRECT("NovR!$A$6:$ZZ$1048576"), MATCH(AM$1, NovR!$6:$6, 0), FALSE),
            0
        ) +
        IFERROR(
            VLOOKUP($A13, INDIRECT("DicR!$A$6:$ZZ$1048576"), MATCH(AM$1, DicR!$6:$6, 0), FALSE),
            0
        )
)</f>
        <v>0</v>
      </c>
      <c r="AN13" s="36">
        <f t="array" ref="AN13">SUM(
    IFERROR(
            VLOOKUP($A13, INDIRECT("EneR!$A$6:$ZZ$1048576"), MATCH(AN$1, EneR!$6:$6, 0), FALSE),
            0
        ) +
        IFERROR(
            VLOOKUP($A13, INDIRECT("FebR!$A$6:$ZZ$1048576"), MATCH(AN$1, FebR!$6:$6, 0), FALSE),
            0
        ) +
        IFERROR(
            VLOOKUP($A13, INDIRECT("MarR!$A$6:$ZZ$1048576"), MATCH(AN$1, MarR!$6:$6, 0), FALSE),
            0
        ) +
        IFERROR(
            VLOOKUP($A13, INDIRECT("AbrR!$A$6:$ZZ$1048576"), MATCH(AN$1, AbrR!$6:$6, 0), FALSE),
            0
        ) +
        IFERROR(
            VLOOKUP($A13, INDIRECT("MayR!$A$6:$ZZ$1048576"), MATCH(AN$1, MayR!$6:$6, 0), FALSE),
            0
        ) +
        IFERROR(
            VLOOKUP($A13, INDIRECT("JunR!$A$6:$ZZ$1048576"), MATCH(AN$1, JunR!$6:$6, 0), FALSE),
            0
        ) +
        IFERROR(
            VLOOKUP($A13, INDIRECT("JulR!$A$6:$ZZ$1048576"), MATCH(AN$1, JulR!$6:$6, 0), FALSE),
            0
        ) +
        IFERROR(
            VLOOKUP($A13, INDIRECT("AgoR!$A$6:$ZZ$1048576"), MATCH(AN$1, AgoR!$6:$6, 0), FALSE),
            0
        ) +
        IFERROR(
            VLOOKUP($A13, INDIRECT("SepR!$A$6:$ZZ$1048576"), MATCH(AN$1, SepR!$6:$6, 0), FALSE),
            0
        ) +
        IFERROR(
            VLOOKUP($A13, INDIRECT("OctR!$A$6:$ZZ$1048576"), MATCH(AN$1, OctR!$6:$6, 0), FALSE),
            0
        ) +
        IFERROR(
            VLOOKUP($A13, INDIRECT("NovR!$A$6:$ZZ$1048576"), MATCH(AN$1, NovR!$6:$6, 0), FALSE),
            0
        ) +
        IFERROR(
            VLOOKUP($A13, INDIRECT("DicR!$A$6:$ZZ$1048576"), MATCH(AN$1, DicR!$6:$6, 0), FALSE),
            0
        )
)</f>
        <v>0</v>
      </c>
      <c r="AO13" s="37">
        <f t="array" ref="AO13">SUM(
    IFERROR(
            VLOOKUP($A13, INDIRECT("EneR!$A$6:$ZZ$1048576"), MATCH(AO$1, EneR!$6:$6, 0), FALSE),
            0
        ) +
        IFERROR(
            VLOOKUP($A13, INDIRECT("FebR!$A$6:$ZZ$1048576"), MATCH(AO$1, FebR!$6:$6, 0), FALSE),
            0
        ) +
        IFERROR(
            VLOOKUP($A13, INDIRECT("MarR!$A$6:$ZZ$1048576"), MATCH(AO$1, MarR!$6:$6, 0), FALSE),
            0
        ) +
        IFERROR(
            VLOOKUP($A13, INDIRECT("AbrR!$A$6:$ZZ$1048576"), MATCH(AO$1, AbrR!$6:$6, 0), FALSE),
            0
        ) +
        IFERROR(
            VLOOKUP($A13, INDIRECT("MayR!$A$6:$ZZ$1048576"), MATCH(AO$1, MayR!$6:$6, 0), FALSE),
            0
        ) +
        IFERROR(
            VLOOKUP($A13, INDIRECT("JunR!$A$6:$ZZ$1048576"), MATCH(AO$1, JunR!$6:$6, 0), FALSE),
            0
        ) +
        IFERROR(
            VLOOKUP($A13, INDIRECT("JulR!$A$6:$ZZ$1048576"), MATCH(AO$1, JulR!$6:$6, 0), FALSE),
            0
        ) +
        IFERROR(
            VLOOKUP($A13, INDIRECT("AgoR!$A$6:$ZZ$1048576"), MATCH(AO$1, AgoR!$6:$6, 0), FALSE),
            0
        ) +
        IFERROR(
            VLOOKUP($A13, INDIRECT("SepR!$A$6:$ZZ$1048576"), MATCH(AO$1, SepR!$6:$6, 0), FALSE),
            0
        ) +
        IFERROR(
            VLOOKUP($A13, INDIRECT("OctR!$A$6:$ZZ$1048576"), MATCH(AO$1, OctR!$6:$6, 0), FALSE),
            0
        ) +
        IFERROR(
            VLOOKUP($A13, INDIRECT("NovR!$A$6:$ZZ$1048576"), MATCH(AO$1, NovR!$6:$6, 0), FALSE),
            0
        ) +
        IFERROR(
            VLOOKUP($A13, INDIRECT("DicR!$A$6:$ZZ$1048576"), MATCH(AO$1, DicR!$6:$6, 0), FALSE),
            0
        )
)</f>
        <v>0</v>
      </c>
      <c r="AP13" s="36">
        <f t="array" ref="AP13">SUM(
    IFERROR(
            VLOOKUP($A13, INDIRECT("EneR!$A$6:$ZZ$1048576"), MATCH(AP$1, EneR!$6:$6, 0), FALSE),
            0
        ) +
        IFERROR(
            VLOOKUP($A13, INDIRECT("FebR!$A$6:$ZZ$1048576"), MATCH(AP$1, FebR!$6:$6, 0), FALSE),
            0
        ) +
        IFERROR(
            VLOOKUP($A13, INDIRECT("MarR!$A$6:$ZZ$1048576"), MATCH(AP$1, MarR!$6:$6, 0), FALSE),
            0
        ) +
        IFERROR(
            VLOOKUP($A13, INDIRECT("AbrR!$A$6:$ZZ$1048576"), MATCH(AP$1, AbrR!$6:$6, 0), FALSE),
            0
        ) +
        IFERROR(
            VLOOKUP($A13, INDIRECT("MayR!$A$6:$ZZ$1048576"), MATCH(AP$1, MayR!$6:$6, 0), FALSE),
            0
        ) +
        IFERROR(
            VLOOKUP($A13, INDIRECT("JunR!$A$6:$ZZ$1048576"), MATCH(AP$1, JunR!$6:$6, 0), FALSE),
            0
        ) +
        IFERROR(
            VLOOKUP($A13, INDIRECT("JulR!$A$6:$ZZ$1048576"), MATCH(AP$1, JulR!$6:$6, 0), FALSE),
            0
        ) +
        IFERROR(
            VLOOKUP($A13, INDIRECT("AgoR!$A$6:$ZZ$1048576"), MATCH(AP$1, AgoR!$6:$6, 0), FALSE),
            0
        ) +
        IFERROR(
            VLOOKUP($A13, INDIRECT("SepR!$A$6:$ZZ$1048576"), MATCH(AP$1, SepR!$6:$6, 0), FALSE),
            0
        ) +
        IFERROR(
            VLOOKUP($A13, INDIRECT("OctR!$A$6:$ZZ$1048576"), MATCH(AP$1, OctR!$6:$6, 0), FALSE),
            0
        ) +
        IFERROR(
            VLOOKUP($A13, INDIRECT("NovR!$A$6:$ZZ$1048576"), MATCH(AP$1, NovR!$6:$6, 0), FALSE),
            0
        ) +
        IFERROR(
            VLOOKUP($A13, INDIRECT("DicR!$A$6:$ZZ$1048576"), MATCH(AP$1, DicR!$6:$6, 0), FALSE),
            0
        )
)</f>
        <v>0</v>
      </c>
      <c r="AQ13" s="37">
        <f t="array" ref="AQ13">SUM(
    IFERROR(
            VLOOKUP($A13, INDIRECT("EneR!$A$6:$ZZ$1048576"), MATCH(AQ$1, EneR!$6:$6, 0), FALSE),
            0
        ) +
        IFERROR(
            VLOOKUP($A13, INDIRECT("FebR!$A$6:$ZZ$1048576"), MATCH(AQ$1, FebR!$6:$6, 0), FALSE),
            0
        ) +
        IFERROR(
            VLOOKUP($A13, INDIRECT("MarR!$A$6:$ZZ$1048576"), MATCH(AQ$1, MarR!$6:$6, 0), FALSE),
            0
        ) +
        IFERROR(
            VLOOKUP($A13, INDIRECT("AbrR!$A$6:$ZZ$1048576"), MATCH(AQ$1, AbrR!$6:$6, 0), FALSE),
            0
        ) +
        IFERROR(
            VLOOKUP($A13, INDIRECT("MayR!$A$6:$ZZ$1048576"), MATCH(AQ$1, MayR!$6:$6, 0), FALSE),
            0
        ) +
        IFERROR(
            VLOOKUP($A13, INDIRECT("JunR!$A$6:$ZZ$1048576"), MATCH(AQ$1, JunR!$6:$6, 0), FALSE),
            0
        ) +
        IFERROR(
            VLOOKUP($A13, INDIRECT("JulR!$A$6:$ZZ$1048576"), MATCH(AQ$1, JulR!$6:$6, 0), FALSE),
            0
        ) +
        IFERROR(
            VLOOKUP($A13, INDIRECT("AgoR!$A$6:$ZZ$1048576"), MATCH(AQ$1, AgoR!$6:$6, 0), FALSE),
            0
        ) +
        IFERROR(
            VLOOKUP($A13, INDIRECT("SepR!$A$6:$ZZ$1048576"), MATCH(AQ$1, SepR!$6:$6, 0), FALSE),
            0
        ) +
        IFERROR(
            VLOOKUP($A13, INDIRECT("OctR!$A$6:$ZZ$1048576"), MATCH(AQ$1, OctR!$6:$6, 0), FALSE),
            0
        ) +
        IFERROR(
            VLOOKUP($A13, INDIRECT("NovR!$A$6:$ZZ$1048576"), MATCH(AQ$1, NovR!$6:$6, 0), FALSE),
            0
        ) +
        IFERROR(
            VLOOKUP($A13, INDIRECT("DicR!$A$6:$ZZ$1048576"), MATCH(AQ$1, DicR!$6:$6, 0), FALSE),
            0
        )
)</f>
        <v>0</v>
      </c>
      <c r="AR13" s="36">
        <f t="array" ref="AR13">SUM(
    IFERROR(
            VLOOKUP($A13, INDIRECT("EneR!$A$6:$ZZ$1048576"), MATCH(AR$1, EneR!$6:$6, 0), FALSE),
            0
        ) +
        IFERROR(
            VLOOKUP($A13, INDIRECT("FebR!$A$6:$ZZ$1048576"), MATCH(AR$1, FebR!$6:$6, 0), FALSE),
            0
        ) +
        IFERROR(
            VLOOKUP($A13, INDIRECT("MarR!$A$6:$ZZ$1048576"), MATCH(AR$1, MarR!$6:$6, 0), FALSE),
            0
        ) +
        IFERROR(
            VLOOKUP($A13, INDIRECT("AbrR!$A$6:$ZZ$1048576"), MATCH(AR$1, AbrR!$6:$6, 0), FALSE),
            0
        ) +
        IFERROR(
            VLOOKUP($A13, INDIRECT("MayR!$A$6:$ZZ$1048576"), MATCH(AR$1, MayR!$6:$6, 0), FALSE),
            0
        ) +
        IFERROR(
            VLOOKUP($A13, INDIRECT("JunR!$A$6:$ZZ$1048576"), MATCH(AR$1, JunR!$6:$6, 0), FALSE),
            0
        ) +
        IFERROR(
            VLOOKUP($A13, INDIRECT("JulR!$A$6:$ZZ$1048576"), MATCH(AR$1, JulR!$6:$6, 0), FALSE),
            0
        ) +
        IFERROR(
            VLOOKUP($A13, INDIRECT("AgoR!$A$6:$ZZ$1048576"), MATCH(AR$1, AgoR!$6:$6, 0), FALSE),
            0
        ) +
        IFERROR(
            VLOOKUP($A13, INDIRECT("SepR!$A$6:$ZZ$1048576"), MATCH(AR$1, SepR!$6:$6, 0), FALSE),
            0
        ) +
        IFERROR(
            VLOOKUP($A13, INDIRECT("OctR!$A$6:$ZZ$1048576"), MATCH(AR$1, OctR!$6:$6, 0), FALSE),
            0
        ) +
        IFERROR(
            VLOOKUP($A13, INDIRECT("NovR!$A$6:$ZZ$1048576"), MATCH(AR$1, NovR!$6:$6, 0), FALSE),
            0
        ) +
        IFERROR(
            VLOOKUP($A13, INDIRECT("DicR!$A$6:$ZZ$1048576"), MATCH(AR$1, DicR!$6:$6, 0), FALSE),
            0
        )
)</f>
        <v>0</v>
      </c>
      <c r="AS13" s="37">
        <f t="array" ref="AS13">SUM(
    IFERROR(
            VLOOKUP($A13, INDIRECT("EneR!$A$6:$ZZ$1048576"), MATCH(AS$1, EneR!$6:$6, 0), FALSE),
            0
        ) +
        IFERROR(
            VLOOKUP($A13, INDIRECT("FebR!$A$6:$ZZ$1048576"), MATCH(AS$1, FebR!$6:$6, 0), FALSE),
            0
        ) +
        IFERROR(
            VLOOKUP($A13, INDIRECT("MarR!$A$6:$ZZ$1048576"), MATCH(AS$1, MarR!$6:$6, 0), FALSE),
            0
        ) +
        IFERROR(
            VLOOKUP($A13, INDIRECT("AbrR!$A$6:$ZZ$1048576"), MATCH(AS$1, AbrR!$6:$6, 0), FALSE),
            0
        ) +
        IFERROR(
            VLOOKUP($A13, INDIRECT("MayR!$A$6:$ZZ$1048576"), MATCH(AS$1, MayR!$6:$6, 0), FALSE),
            0
        ) +
        IFERROR(
            VLOOKUP($A13, INDIRECT("JunR!$A$6:$ZZ$1048576"), MATCH(AS$1, JunR!$6:$6, 0), FALSE),
            0
        ) +
        IFERROR(
            VLOOKUP($A13, INDIRECT("JulR!$A$6:$ZZ$1048576"), MATCH(AS$1, JulR!$6:$6, 0), FALSE),
            0
        ) +
        IFERROR(
            VLOOKUP($A13, INDIRECT("AgoR!$A$6:$ZZ$1048576"), MATCH(AS$1, AgoR!$6:$6, 0), FALSE),
            0
        ) +
        IFERROR(
            VLOOKUP($A13, INDIRECT("SepR!$A$6:$ZZ$1048576"), MATCH(AS$1, SepR!$6:$6, 0), FALSE),
            0
        ) +
        IFERROR(
            VLOOKUP($A13, INDIRECT("OctR!$A$6:$ZZ$1048576"), MATCH(AS$1, OctR!$6:$6, 0), FALSE),
            0
        ) +
        IFERROR(
            VLOOKUP($A13, INDIRECT("NovR!$A$6:$ZZ$1048576"), MATCH(AS$1, NovR!$6:$6, 0), FALSE),
            0
        ) +
        IFERROR(
            VLOOKUP($A13, INDIRECT("DicR!$A$6:$ZZ$1048576"), MATCH(AS$1, DicR!$6:$6, 0), FALSE),
            0
        )
)</f>
        <v>0</v>
      </c>
      <c r="AT13" s="36">
        <f t="array" ref="AT13">SUM(
    IFERROR(
            VLOOKUP($A13, INDIRECT("EneR!$A$6:$ZZ$1048576"), MATCH(AT$1, EneR!$6:$6, 0), FALSE),
            0
        ) +
        IFERROR(
            VLOOKUP($A13, INDIRECT("FebR!$A$6:$ZZ$1048576"), MATCH(AT$1, FebR!$6:$6, 0), FALSE),
            0
        ) +
        IFERROR(
            VLOOKUP($A13, INDIRECT("MarR!$A$6:$ZZ$1048576"), MATCH(AT$1, MarR!$6:$6, 0), FALSE),
            0
        ) +
        IFERROR(
            VLOOKUP($A13, INDIRECT("AbrR!$A$6:$ZZ$1048576"), MATCH(AT$1, AbrR!$6:$6, 0), FALSE),
            0
        ) +
        IFERROR(
            VLOOKUP($A13, INDIRECT("MayR!$A$6:$ZZ$1048576"), MATCH(AT$1, MayR!$6:$6, 0), FALSE),
            0
        ) +
        IFERROR(
            VLOOKUP($A13, INDIRECT("JunR!$A$6:$ZZ$1048576"), MATCH(AT$1, JunR!$6:$6, 0), FALSE),
            0
        ) +
        IFERROR(
            VLOOKUP($A13, INDIRECT("JulR!$A$6:$ZZ$1048576"), MATCH(AT$1, JulR!$6:$6, 0), FALSE),
            0
        ) +
        IFERROR(
            VLOOKUP($A13, INDIRECT("AgoR!$A$6:$ZZ$1048576"), MATCH(AT$1, AgoR!$6:$6, 0), FALSE),
            0
        ) +
        IFERROR(
            VLOOKUP($A13, INDIRECT("SepR!$A$6:$ZZ$1048576"), MATCH(AT$1, SepR!$6:$6, 0), FALSE),
            0
        ) +
        IFERROR(
            VLOOKUP($A13, INDIRECT("OctR!$A$6:$ZZ$1048576"), MATCH(AT$1, OctR!$6:$6, 0), FALSE),
            0
        ) +
        IFERROR(
            VLOOKUP($A13, INDIRECT("NovR!$A$6:$ZZ$1048576"), MATCH(AT$1, NovR!$6:$6, 0), FALSE),
            0
        ) +
        IFERROR(
            VLOOKUP($A13, INDIRECT("DicR!$A$6:$ZZ$1048576"), MATCH(AT$1, DicR!$6:$6, 0), FALSE),
            0
        )
)</f>
        <v>0</v>
      </c>
      <c r="AU13" s="37">
        <f t="array" ref="AU13">SUM(
    IFERROR(
            VLOOKUP($A13, INDIRECT("EneR!$A$6:$ZZ$1048576"), MATCH(AU$1, EneR!$6:$6, 0), FALSE),
            0
        ) +
        IFERROR(
            VLOOKUP($A13, INDIRECT("FebR!$A$6:$ZZ$1048576"), MATCH(AU$1, FebR!$6:$6, 0), FALSE),
            0
        ) +
        IFERROR(
            VLOOKUP($A13, INDIRECT("MarR!$A$6:$ZZ$1048576"), MATCH(AU$1, MarR!$6:$6, 0), FALSE),
            0
        ) +
        IFERROR(
            VLOOKUP($A13, INDIRECT("AbrR!$A$6:$ZZ$1048576"), MATCH(AU$1, AbrR!$6:$6, 0), FALSE),
            0
        ) +
        IFERROR(
            VLOOKUP($A13, INDIRECT("MayR!$A$6:$ZZ$1048576"), MATCH(AU$1, MayR!$6:$6, 0), FALSE),
            0
        ) +
        IFERROR(
            VLOOKUP($A13, INDIRECT("JunR!$A$6:$ZZ$1048576"), MATCH(AU$1, JunR!$6:$6, 0), FALSE),
            0
        ) +
        IFERROR(
            VLOOKUP($A13, INDIRECT("JulR!$A$6:$ZZ$1048576"), MATCH(AU$1, JulR!$6:$6, 0), FALSE),
            0
        ) +
        IFERROR(
            VLOOKUP($A13, INDIRECT("AgoR!$A$6:$ZZ$1048576"), MATCH(AU$1, AgoR!$6:$6, 0), FALSE),
            0
        ) +
        IFERROR(
            VLOOKUP($A13, INDIRECT("SepR!$A$6:$ZZ$1048576"), MATCH(AU$1, SepR!$6:$6, 0), FALSE),
            0
        ) +
        IFERROR(
            VLOOKUP($A13, INDIRECT("OctR!$A$6:$ZZ$1048576"), MATCH(AU$1, OctR!$6:$6, 0), FALSE),
            0
        ) +
        IFERROR(
            VLOOKUP($A13, INDIRECT("NovR!$A$6:$ZZ$1048576"), MATCH(AU$1, NovR!$6:$6, 0), FALSE),
            0
        ) +
        IFERROR(
            VLOOKUP($A13, INDIRECT("DicR!$A$6:$ZZ$1048576"), MATCH(AU$1, DicR!$6:$6, 0), FALSE),
            0
        )
)</f>
        <v>0</v>
      </c>
      <c r="AV13" s="36">
        <f t="array" ref="AV13">SUM(
    IFERROR(
            VLOOKUP($A13, INDIRECT("EneR!$A$6:$ZZ$1048576"), MATCH(AV$1, EneR!$6:$6, 0), FALSE),
            0
        ) +
        IFERROR(
            VLOOKUP($A13, INDIRECT("FebR!$A$6:$ZZ$1048576"), MATCH(AV$1, FebR!$6:$6, 0), FALSE),
            0
        ) +
        IFERROR(
            VLOOKUP($A13, INDIRECT("MarR!$A$6:$ZZ$1048576"), MATCH(AV$1, MarR!$6:$6, 0), FALSE),
            0
        ) +
        IFERROR(
            VLOOKUP($A13, INDIRECT("AbrR!$A$6:$ZZ$1048576"), MATCH(AV$1, AbrR!$6:$6, 0), FALSE),
            0
        ) +
        IFERROR(
            VLOOKUP($A13, INDIRECT("MayR!$A$6:$ZZ$1048576"), MATCH(AV$1, MayR!$6:$6, 0), FALSE),
            0
        ) +
        IFERROR(
            VLOOKUP($A13, INDIRECT("JunR!$A$6:$ZZ$1048576"), MATCH(AV$1, JunR!$6:$6, 0), FALSE),
            0
        ) +
        IFERROR(
            VLOOKUP($A13, INDIRECT("JulR!$A$6:$ZZ$1048576"), MATCH(AV$1, JulR!$6:$6, 0), FALSE),
            0
        ) +
        IFERROR(
            VLOOKUP($A13, INDIRECT("AgoR!$A$6:$ZZ$1048576"), MATCH(AV$1, AgoR!$6:$6, 0), FALSE),
            0
        ) +
        IFERROR(
            VLOOKUP($A13, INDIRECT("SepR!$A$6:$ZZ$1048576"), MATCH(AV$1, SepR!$6:$6, 0), FALSE),
            0
        ) +
        IFERROR(
            VLOOKUP($A13, INDIRECT("OctR!$A$6:$ZZ$1048576"), MATCH(AV$1, OctR!$6:$6, 0), FALSE),
            0
        ) +
        IFERROR(
            VLOOKUP($A13, INDIRECT("NovR!$A$6:$ZZ$1048576"), MATCH(AV$1, NovR!$6:$6, 0), FALSE),
            0
        ) +
        IFERROR(
            VLOOKUP($A13, INDIRECT("DicR!$A$6:$ZZ$1048576"), MATCH(AV$1, DicR!$6:$6, 0), FALSE),
            0
        )
)</f>
        <v>0</v>
      </c>
      <c r="AW13" s="37">
        <f t="array" ref="AW13">SUM(
    IFERROR(
            VLOOKUP($A13, INDIRECT("EneR!$A$6:$ZZ$1048576"), MATCH(AW$1, EneR!$6:$6, 0), FALSE),
            0
        ) +
        IFERROR(
            VLOOKUP($A13, INDIRECT("FebR!$A$6:$ZZ$1048576"), MATCH(AW$1, FebR!$6:$6, 0), FALSE),
            0
        ) +
        IFERROR(
            VLOOKUP($A13, INDIRECT("MarR!$A$6:$ZZ$1048576"), MATCH(AW$1, MarR!$6:$6, 0), FALSE),
            0
        ) +
        IFERROR(
            VLOOKUP($A13, INDIRECT("AbrR!$A$6:$ZZ$1048576"), MATCH(AW$1, AbrR!$6:$6, 0), FALSE),
            0
        ) +
        IFERROR(
            VLOOKUP($A13, INDIRECT("MayR!$A$6:$ZZ$1048576"), MATCH(AW$1, MayR!$6:$6, 0), FALSE),
            0
        ) +
        IFERROR(
            VLOOKUP($A13, INDIRECT("JunR!$A$6:$ZZ$1048576"), MATCH(AW$1, JunR!$6:$6, 0), FALSE),
            0
        ) +
        IFERROR(
            VLOOKUP($A13, INDIRECT("JulR!$A$6:$ZZ$1048576"), MATCH(AW$1, JulR!$6:$6, 0), FALSE),
            0
        ) +
        IFERROR(
            VLOOKUP($A13, INDIRECT("AgoR!$A$6:$ZZ$1048576"), MATCH(AW$1, AgoR!$6:$6, 0), FALSE),
            0
        ) +
        IFERROR(
            VLOOKUP($A13, INDIRECT("SepR!$A$6:$ZZ$1048576"), MATCH(AW$1, SepR!$6:$6, 0), FALSE),
            0
        ) +
        IFERROR(
            VLOOKUP($A13, INDIRECT("OctR!$A$6:$ZZ$1048576"), MATCH(AW$1, OctR!$6:$6, 0), FALSE),
            0
        ) +
        IFERROR(
            VLOOKUP($A13, INDIRECT("NovR!$A$6:$ZZ$1048576"), MATCH(AW$1, NovR!$6:$6, 0), FALSE),
            0
        ) +
        IFERROR(
            VLOOKUP($A13, INDIRECT("DicR!$A$6:$ZZ$1048576"), MATCH(AW$1, DicR!$6:$6, 0), FALSE),
            0
        )
)</f>
        <v>0</v>
      </c>
      <c r="AX13" s="36">
        <f t="array" ref="AX13">SUM(
    IFERROR(
            VLOOKUP($A13, INDIRECT("EneR!$A$6:$ZZ$1048576"), MATCH(AX$1, EneR!$6:$6, 0), FALSE),
            0
        ) +
        IFERROR(
            VLOOKUP($A13, INDIRECT("FebR!$A$6:$ZZ$1048576"), MATCH(AX$1, FebR!$6:$6, 0), FALSE),
            0
        ) +
        IFERROR(
            VLOOKUP($A13, INDIRECT("MarR!$A$6:$ZZ$1048576"), MATCH(AX$1, MarR!$6:$6, 0), FALSE),
            0
        ) +
        IFERROR(
            VLOOKUP($A13, INDIRECT("AbrR!$A$6:$ZZ$1048576"), MATCH(AX$1, AbrR!$6:$6, 0), FALSE),
            0
        ) +
        IFERROR(
            VLOOKUP($A13, INDIRECT("MayR!$A$6:$ZZ$1048576"), MATCH(AX$1, MayR!$6:$6, 0), FALSE),
            0
        ) +
        IFERROR(
            VLOOKUP($A13, INDIRECT("JunR!$A$6:$ZZ$1048576"), MATCH(AX$1, JunR!$6:$6, 0), FALSE),
            0
        ) +
        IFERROR(
            VLOOKUP($A13, INDIRECT("JulR!$A$6:$ZZ$1048576"), MATCH(AX$1, JulR!$6:$6, 0), FALSE),
            0
        ) +
        IFERROR(
            VLOOKUP($A13, INDIRECT("AgoR!$A$6:$ZZ$1048576"), MATCH(AX$1, AgoR!$6:$6, 0), FALSE),
            0
        ) +
        IFERROR(
            VLOOKUP($A13, INDIRECT("SepR!$A$6:$ZZ$1048576"), MATCH(AX$1, SepR!$6:$6, 0), FALSE),
            0
        ) +
        IFERROR(
            VLOOKUP($A13, INDIRECT("OctR!$A$6:$ZZ$1048576"), MATCH(AX$1, OctR!$6:$6, 0), FALSE),
            0
        ) +
        IFERROR(
            VLOOKUP($A13, INDIRECT("NovR!$A$6:$ZZ$1048576"), MATCH(AX$1, NovR!$6:$6, 0), FALSE),
            0
        ) +
        IFERROR(
            VLOOKUP($A13, INDIRECT("DicR!$A$6:$ZZ$1048576"), MATCH(AX$1, DicR!$6:$6, 0), FALSE),
            0
        )
)</f>
        <v>0</v>
      </c>
      <c r="AY13" s="37">
        <f t="array" ref="AY13">SUM(
    IFERROR(
            VLOOKUP($A13, INDIRECT("EneR!$A$6:$ZZ$1048576"), MATCH(AY$1, EneR!$6:$6, 0), FALSE),
            0
        ) +
        IFERROR(
            VLOOKUP($A13, INDIRECT("FebR!$A$6:$ZZ$1048576"), MATCH(AY$1, FebR!$6:$6, 0), FALSE),
            0
        ) +
        IFERROR(
            VLOOKUP($A13, INDIRECT("MarR!$A$6:$ZZ$1048576"), MATCH(AY$1, MarR!$6:$6, 0), FALSE),
            0
        ) +
        IFERROR(
            VLOOKUP($A13, INDIRECT("AbrR!$A$6:$ZZ$1048576"), MATCH(AY$1, AbrR!$6:$6, 0), FALSE),
            0
        ) +
        IFERROR(
            VLOOKUP($A13, INDIRECT("MayR!$A$6:$ZZ$1048576"), MATCH(AY$1, MayR!$6:$6, 0), FALSE),
            0
        ) +
        IFERROR(
            VLOOKUP($A13, INDIRECT("JunR!$A$6:$ZZ$1048576"), MATCH(AY$1, JunR!$6:$6, 0), FALSE),
            0
        ) +
        IFERROR(
            VLOOKUP($A13, INDIRECT("JulR!$A$6:$ZZ$1048576"), MATCH(AY$1, JulR!$6:$6, 0), FALSE),
            0
        ) +
        IFERROR(
            VLOOKUP($A13, INDIRECT("AgoR!$A$6:$ZZ$1048576"), MATCH(AY$1, AgoR!$6:$6, 0), FALSE),
            0
        ) +
        IFERROR(
            VLOOKUP($A13, INDIRECT("SepR!$A$6:$ZZ$1048576"), MATCH(AY$1, SepR!$6:$6, 0), FALSE),
            0
        ) +
        IFERROR(
            VLOOKUP($A13, INDIRECT("OctR!$A$6:$ZZ$1048576"), MATCH(AY$1, OctR!$6:$6, 0), FALSE),
            0
        ) +
        IFERROR(
            VLOOKUP($A13, INDIRECT("NovR!$A$6:$ZZ$1048576"), MATCH(AY$1, NovR!$6:$6, 0), FALSE),
            0
        ) +
        IFERROR(
            VLOOKUP($A13, INDIRECT("DicR!$A$6:$ZZ$1048576"), MATCH(AY$1, DicR!$6:$6, 0), FALSE),
            0
        )
)</f>
        <v>0</v>
      </c>
      <c r="AZ13" s="37"/>
    </row>
    <row r="14" ht="15.75" customHeight="1">
      <c r="A14" s="12" t="str">
        <f>Menus!R6</f>
        <v/>
      </c>
      <c r="B14" s="32">
        <f t="shared" si="4"/>
        <v>0</v>
      </c>
      <c r="C14" s="33" t="str">
        <f t="shared" si="5"/>
        <v/>
      </c>
      <c r="D14" s="34">
        <f t="array" ref="D14">SUM(
    IFERROR(
            VLOOKUP($A14, INDIRECT("EneR!$A$6:$ZZ$1048576"), MATCH(D$1, EneR!$6:$6, 0), FALSE),
            0
        ) +
        IFERROR(
            VLOOKUP($A14, INDIRECT("FebR!$A$6:$ZZ$1048576"), MATCH(D$1, FebR!$6:$6, 0), FALSE),
            0
        ) +
        IFERROR(
            VLOOKUP($A14, INDIRECT("MarR!$A$6:$ZZ$1048576"), MATCH(D$1, MarR!$6:$6, 0), FALSE),
            0
        ) +
        IFERROR(
            VLOOKUP($A14, INDIRECT("AbrR!$A$6:$ZZ$1048576"), MATCH(D$1, AbrR!$6:$6, 0), FALSE),
            0
        ) +
        IFERROR(
            VLOOKUP($A14, INDIRECT("MayR!$A$6:$ZZ$1048576"), MATCH(D$1, MayR!$6:$6, 0), FALSE),
            0
        ) +
        IFERROR(
            VLOOKUP($A14, INDIRECT("JunR!$A$6:$ZZ$1048576"), MATCH(D$1, JunR!$6:$6, 0), FALSE),
            0
        ) +
        IFERROR(
            VLOOKUP($A14, INDIRECT("JulR!$A$6:$ZZ$1048576"), MATCH(D$1, JulR!$6:$6, 0), FALSE),
            0
        ) +
        IFERROR(
            VLOOKUP($A14, INDIRECT("AgoR!$A$6:$ZZ$1048576"), MATCH(D$1, AgoR!$6:$6, 0), FALSE),
            0
        ) +
        IFERROR(
            VLOOKUP($A14, INDIRECT("SepR!$A$6:$ZZ$1048576"), MATCH(D$1, SepR!$6:$6, 0), FALSE),
            0
        ) +
        IFERROR(
            VLOOKUP($A14, INDIRECT("OctR!$A$6:$ZZ$1048576"), MATCH(D$1, OctR!$6:$6, 0), FALSE),
            0
        ) +
        IFERROR(
            VLOOKUP($A14, INDIRECT("NovR!$A$6:$ZZ$1048576"), MATCH(D$1, NovR!$6:$6, 0), FALSE),
            0
        ) +
        IFERROR(
            VLOOKUP($A14, INDIRECT("DicR!$A$6:$ZZ$1048576"), MATCH(D$1, DicR!$6:$6, 0), FALSE),
            0
        )
)</f>
        <v>0</v>
      </c>
      <c r="E14" s="35">
        <f t="array" ref="E14">SUM(
    IFERROR(
            VLOOKUP($A14, INDIRECT("EneR!$A$6:$ZZ$1048576"), MATCH(E$1, EneR!$6:$6, 0), FALSE),
            0
        ) +
        IFERROR(
            VLOOKUP($A14, INDIRECT("FebR!$A$6:$ZZ$1048576"), MATCH(E$1, FebR!$6:$6, 0), FALSE),
            0
        ) +
        IFERROR(
            VLOOKUP($A14, INDIRECT("MarR!$A$6:$ZZ$1048576"), MATCH(E$1, MarR!$6:$6, 0), FALSE),
            0
        ) +
        IFERROR(
            VLOOKUP($A14, INDIRECT("AbrR!$A$6:$ZZ$1048576"), MATCH(E$1, AbrR!$6:$6, 0), FALSE),
            0
        ) +
        IFERROR(
            VLOOKUP($A14, INDIRECT("MayR!$A$6:$ZZ$1048576"), MATCH(E$1, MayR!$6:$6, 0), FALSE),
            0
        ) +
        IFERROR(
            VLOOKUP($A14, INDIRECT("JunR!$A$6:$ZZ$1048576"), MATCH(E$1, JunR!$6:$6, 0), FALSE),
            0
        ) +
        IFERROR(
            VLOOKUP($A14, INDIRECT("JulR!$A$6:$ZZ$1048576"), MATCH(E$1, JulR!$6:$6, 0), FALSE),
            0
        ) +
        IFERROR(
            VLOOKUP($A14, INDIRECT("AgoR!$A$6:$ZZ$1048576"), MATCH(E$1, AgoR!$6:$6, 0), FALSE),
            0
        ) +
        IFERROR(
            VLOOKUP($A14, INDIRECT("SepR!$A$6:$ZZ$1048576"), MATCH(E$1, SepR!$6:$6, 0), FALSE),
            0
        ) +
        IFERROR(
            VLOOKUP($A14, INDIRECT("OctR!$A$6:$ZZ$1048576"), MATCH(E$1, OctR!$6:$6, 0), FALSE),
            0
        ) +
        IFERROR(
            VLOOKUP($A14, INDIRECT("NovR!$A$6:$ZZ$1048576"), MATCH(E$1, NovR!$6:$6, 0), FALSE),
            0
        ) +
        IFERROR(
            VLOOKUP($A14, INDIRECT("DicR!$A$6:$ZZ$1048576"), MATCH(E$1, DicR!$6:$6, 0), FALSE),
            0
        )
)</f>
        <v>0</v>
      </c>
      <c r="F14" s="32">
        <f t="array" ref="F14">SUM(
    IFERROR(
            VLOOKUP($A14, INDIRECT("EneR!$A$6:$ZZ$1048576"), MATCH(F$1, EneR!$6:$6, 0), FALSE),
            0
        ) +
        IFERROR(
            VLOOKUP($A14, INDIRECT("FebR!$A$6:$ZZ$1048576"), MATCH(F$1, FebR!$6:$6, 0), FALSE),
            0
        ) +
        IFERROR(
            VLOOKUP($A14, INDIRECT("MarR!$A$6:$ZZ$1048576"), MATCH(F$1, MarR!$6:$6, 0), FALSE),
            0
        ) +
        IFERROR(
            VLOOKUP($A14, INDIRECT("AbrR!$A$6:$ZZ$1048576"), MATCH(F$1, AbrR!$6:$6, 0), FALSE),
            0
        ) +
        IFERROR(
            VLOOKUP($A14, INDIRECT("MayR!$A$6:$ZZ$1048576"), MATCH(F$1, MayR!$6:$6, 0), FALSE),
            0
        ) +
        IFERROR(
            VLOOKUP($A14, INDIRECT("JunR!$A$6:$ZZ$1048576"), MATCH(F$1, JunR!$6:$6, 0), FALSE),
            0
        ) +
        IFERROR(
            VLOOKUP($A14, INDIRECT("JulR!$A$6:$ZZ$1048576"), MATCH(F$1, JulR!$6:$6, 0), FALSE),
            0
        ) +
        IFERROR(
            VLOOKUP($A14, INDIRECT("AgoR!$A$6:$ZZ$1048576"), MATCH(F$1, AgoR!$6:$6, 0), FALSE),
            0
        ) +
        IFERROR(
            VLOOKUP($A14, INDIRECT("SepR!$A$6:$ZZ$1048576"), MATCH(F$1, SepR!$6:$6, 0), FALSE),
            0
        ) +
        IFERROR(
            VLOOKUP($A14, INDIRECT("OctR!$A$6:$ZZ$1048576"), MATCH(F$1, OctR!$6:$6, 0), FALSE),
            0
        ) +
        IFERROR(
            VLOOKUP($A14, INDIRECT("NovR!$A$6:$ZZ$1048576"), MATCH(F$1, NovR!$6:$6, 0), FALSE),
            0
        ) +
        IFERROR(
            VLOOKUP($A14, INDIRECT("DicR!$A$6:$ZZ$1048576"), MATCH(F$1, DicR!$6:$6, 0), FALSE),
            0
        )
)</f>
        <v>0</v>
      </c>
      <c r="G14" s="35">
        <f t="array" ref="G14">SUM(
    IFERROR(
            VLOOKUP($A14, INDIRECT("EneR!$A$6:$ZZ$1048576"), MATCH(G$1, EneR!$6:$6, 0), FALSE),
            0
        ) +
        IFERROR(
            VLOOKUP($A14, INDIRECT("FebR!$A$6:$ZZ$1048576"), MATCH(G$1, FebR!$6:$6, 0), FALSE),
            0
        ) +
        IFERROR(
            VLOOKUP($A14, INDIRECT("MarR!$A$6:$ZZ$1048576"), MATCH(G$1, MarR!$6:$6, 0), FALSE),
            0
        ) +
        IFERROR(
            VLOOKUP($A14, INDIRECT("AbrR!$A$6:$ZZ$1048576"), MATCH(G$1, AbrR!$6:$6, 0), FALSE),
            0
        ) +
        IFERROR(
            VLOOKUP($A14, INDIRECT("MayR!$A$6:$ZZ$1048576"), MATCH(G$1, MayR!$6:$6, 0), FALSE),
            0
        ) +
        IFERROR(
            VLOOKUP($A14, INDIRECT("JunR!$A$6:$ZZ$1048576"), MATCH(G$1, JunR!$6:$6, 0), FALSE),
            0
        ) +
        IFERROR(
            VLOOKUP($A14, INDIRECT("JulR!$A$6:$ZZ$1048576"), MATCH(G$1, JulR!$6:$6, 0), FALSE),
            0
        ) +
        IFERROR(
            VLOOKUP($A14, INDIRECT("AgoR!$A$6:$ZZ$1048576"), MATCH(G$1, AgoR!$6:$6, 0), FALSE),
            0
        ) +
        IFERROR(
            VLOOKUP($A14, INDIRECT("SepR!$A$6:$ZZ$1048576"), MATCH(G$1, SepR!$6:$6, 0), FALSE),
            0
        ) +
        IFERROR(
            VLOOKUP($A14, INDIRECT("OctR!$A$6:$ZZ$1048576"), MATCH(G$1, OctR!$6:$6, 0), FALSE),
            0
        ) +
        IFERROR(
            VLOOKUP($A14, INDIRECT("NovR!$A$6:$ZZ$1048576"), MATCH(G$1, NovR!$6:$6, 0), FALSE),
            0
        ) +
        IFERROR(
            VLOOKUP($A14, INDIRECT("DicR!$A$6:$ZZ$1048576"), MATCH(G$1, DicR!$6:$6, 0), FALSE),
            0
        )
)</f>
        <v>0</v>
      </c>
      <c r="H14" s="32">
        <f t="array" ref="H14">SUM(
    IFERROR(
            VLOOKUP($A14, INDIRECT("EneR!$A$6:$ZZ$1048576"), MATCH(H$1, EneR!$6:$6, 0), FALSE),
            0
        ) +
        IFERROR(
            VLOOKUP($A14, INDIRECT("FebR!$A$6:$ZZ$1048576"), MATCH(H$1, FebR!$6:$6, 0), FALSE),
            0
        ) +
        IFERROR(
            VLOOKUP($A14, INDIRECT("MarR!$A$6:$ZZ$1048576"), MATCH(H$1, MarR!$6:$6, 0), FALSE),
            0
        ) +
        IFERROR(
            VLOOKUP($A14, INDIRECT("AbrR!$A$6:$ZZ$1048576"), MATCH(H$1, AbrR!$6:$6, 0), FALSE),
            0
        ) +
        IFERROR(
            VLOOKUP($A14, INDIRECT("MayR!$A$6:$ZZ$1048576"), MATCH(H$1, MayR!$6:$6, 0), FALSE),
            0
        ) +
        IFERROR(
            VLOOKUP($A14, INDIRECT("JunR!$A$6:$ZZ$1048576"), MATCH(H$1, JunR!$6:$6, 0), FALSE),
            0
        ) +
        IFERROR(
            VLOOKUP($A14, INDIRECT("JulR!$A$6:$ZZ$1048576"), MATCH(H$1, JulR!$6:$6, 0), FALSE),
            0
        ) +
        IFERROR(
            VLOOKUP($A14, INDIRECT("AgoR!$A$6:$ZZ$1048576"), MATCH(H$1, AgoR!$6:$6, 0), FALSE),
            0
        ) +
        IFERROR(
            VLOOKUP($A14, INDIRECT("SepR!$A$6:$ZZ$1048576"), MATCH(H$1, SepR!$6:$6, 0), FALSE),
            0
        ) +
        IFERROR(
            VLOOKUP($A14, INDIRECT("OctR!$A$6:$ZZ$1048576"), MATCH(H$1, OctR!$6:$6, 0), FALSE),
            0
        ) +
        IFERROR(
            VLOOKUP($A14, INDIRECT("NovR!$A$6:$ZZ$1048576"), MATCH(H$1, NovR!$6:$6, 0), FALSE),
            0
        ) +
        IFERROR(
            VLOOKUP($A14, INDIRECT("DicR!$A$6:$ZZ$1048576"), MATCH(H$1, DicR!$6:$6, 0), FALSE),
            0
        )
)</f>
        <v>0</v>
      </c>
      <c r="I14" s="35">
        <f t="array" ref="I14">SUM(
    IFERROR(
            VLOOKUP($A14, INDIRECT("EneR!$A$6:$ZZ$1048576"), MATCH(I$1, EneR!$6:$6, 0), FALSE),
            0
        ) +
        IFERROR(
            VLOOKUP($A14, INDIRECT("FebR!$A$6:$ZZ$1048576"), MATCH(I$1, FebR!$6:$6, 0), FALSE),
            0
        ) +
        IFERROR(
            VLOOKUP($A14, INDIRECT("MarR!$A$6:$ZZ$1048576"), MATCH(I$1, MarR!$6:$6, 0), FALSE),
            0
        ) +
        IFERROR(
            VLOOKUP($A14, INDIRECT("AbrR!$A$6:$ZZ$1048576"), MATCH(I$1, AbrR!$6:$6, 0), FALSE),
            0
        ) +
        IFERROR(
            VLOOKUP($A14, INDIRECT("MayR!$A$6:$ZZ$1048576"), MATCH(I$1, MayR!$6:$6, 0), FALSE),
            0
        ) +
        IFERROR(
            VLOOKUP($A14, INDIRECT("JunR!$A$6:$ZZ$1048576"), MATCH(I$1, JunR!$6:$6, 0), FALSE),
            0
        ) +
        IFERROR(
            VLOOKUP($A14, INDIRECT("JulR!$A$6:$ZZ$1048576"), MATCH(I$1, JulR!$6:$6, 0), FALSE),
            0
        ) +
        IFERROR(
            VLOOKUP($A14, INDIRECT("AgoR!$A$6:$ZZ$1048576"), MATCH(I$1, AgoR!$6:$6, 0), FALSE),
            0
        ) +
        IFERROR(
            VLOOKUP($A14, INDIRECT("SepR!$A$6:$ZZ$1048576"), MATCH(I$1, SepR!$6:$6, 0), FALSE),
            0
        ) +
        IFERROR(
            VLOOKUP($A14, INDIRECT("OctR!$A$6:$ZZ$1048576"), MATCH(I$1, OctR!$6:$6, 0), FALSE),
            0
        ) +
        IFERROR(
            VLOOKUP($A14, INDIRECT("NovR!$A$6:$ZZ$1048576"), MATCH(I$1, NovR!$6:$6, 0), FALSE),
            0
        ) +
        IFERROR(
            VLOOKUP($A14, INDIRECT("DicR!$A$6:$ZZ$1048576"), MATCH(I$1, DicR!$6:$6, 0), FALSE),
            0
        )
)</f>
        <v>0</v>
      </c>
      <c r="J14" s="32">
        <f t="array" ref="J14">SUM(
    IFERROR(
            VLOOKUP($A14, INDIRECT("EneR!$A$6:$ZZ$1048576"), MATCH(J$1, EneR!$6:$6, 0), FALSE),
            0
        ) +
        IFERROR(
            VLOOKUP($A14, INDIRECT("FebR!$A$6:$ZZ$1048576"), MATCH(J$1, FebR!$6:$6, 0), FALSE),
            0
        ) +
        IFERROR(
            VLOOKUP($A14, INDIRECT("MarR!$A$6:$ZZ$1048576"), MATCH(J$1, MarR!$6:$6, 0), FALSE),
            0
        ) +
        IFERROR(
            VLOOKUP($A14, INDIRECT("AbrR!$A$6:$ZZ$1048576"), MATCH(J$1, AbrR!$6:$6, 0), FALSE),
            0
        ) +
        IFERROR(
            VLOOKUP($A14, INDIRECT("MayR!$A$6:$ZZ$1048576"), MATCH(J$1, MayR!$6:$6, 0), FALSE),
            0
        ) +
        IFERROR(
            VLOOKUP($A14, INDIRECT("JunR!$A$6:$ZZ$1048576"), MATCH(J$1, JunR!$6:$6, 0), FALSE),
            0
        ) +
        IFERROR(
            VLOOKUP($A14, INDIRECT("JulR!$A$6:$ZZ$1048576"), MATCH(J$1, JulR!$6:$6, 0), FALSE),
            0
        ) +
        IFERROR(
            VLOOKUP($A14, INDIRECT("AgoR!$A$6:$ZZ$1048576"), MATCH(J$1, AgoR!$6:$6, 0), FALSE),
            0
        ) +
        IFERROR(
            VLOOKUP($A14, INDIRECT("SepR!$A$6:$ZZ$1048576"), MATCH(J$1, SepR!$6:$6, 0), FALSE),
            0
        ) +
        IFERROR(
            VLOOKUP($A14, INDIRECT("OctR!$A$6:$ZZ$1048576"), MATCH(J$1, OctR!$6:$6, 0), FALSE),
            0
        ) +
        IFERROR(
            VLOOKUP($A14, INDIRECT("NovR!$A$6:$ZZ$1048576"), MATCH(J$1, NovR!$6:$6, 0), FALSE),
            0
        ) +
        IFERROR(
            VLOOKUP($A14, INDIRECT("DicR!$A$6:$ZZ$1048576"), MATCH(J$1, DicR!$6:$6, 0), FALSE),
            0
        )
)</f>
        <v>0</v>
      </c>
      <c r="K14" s="35">
        <f t="array" ref="K14">SUM(
    IFERROR(
            VLOOKUP($A14, INDIRECT("EneR!$A$6:$ZZ$1048576"), MATCH(K$1, EneR!$6:$6, 0), FALSE),
            0
        ) +
        IFERROR(
            VLOOKUP($A14, INDIRECT("FebR!$A$6:$ZZ$1048576"), MATCH(K$1, FebR!$6:$6, 0), FALSE),
            0
        ) +
        IFERROR(
            VLOOKUP($A14, INDIRECT("MarR!$A$6:$ZZ$1048576"), MATCH(K$1, MarR!$6:$6, 0), FALSE),
            0
        ) +
        IFERROR(
            VLOOKUP($A14, INDIRECT("AbrR!$A$6:$ZZ$1048576"), MATCH(K$1, AbrR!$6:$6, 0), FALSE),
            0
        ) +
        IFERROR(
            VLOOKUP($A14, INDIRECT("MayR!$A$6:$ZZ$1048576"), MATCH(K$1, MayR!$6:$6, 0), FALSE),
            0
        ) +
        IFERROR(
            VLOOKUP($A14, INDIRECT("JunR!$A$6:$ZZ$1048576"), MATCH(K$1, JunR!$6:$6, 0), FALSE),
            0
        ) +
        IFERROR(
            VLOOKUP($A14, INDIRECT("JulR!$A$6:$ZZ$1048576"), MATCH(K$1, JulR!$6:$6, 0), FALSE),
            0
        ) +
        IFERROR(
            VLOOKUP($A14, INDIRECT("AgoR!$A$6:$ZZ$1048576"), MATCH(K$1, AgoR!$6:$6, 0), FALSE),
            0
        ) +
        IFERROR(
            VLOOKUP($A14, INDIRECT("SepR!$A$6:$ZZ$1048576"), MATCH(K$1, SepR!$6:$6, 0), FALSE),
            0
        ) +
        IFERROR(
            VLOOKUP($A14, INDIRECT("OctR!$A$6:$ZZ$1048576"), MATCH(K$1, OctR!$6:$6, 0), FALSE),
            0
        ) +
        IFERROR(
            VLOOKUP($A14, INDIRECT("NovR!$A$6:$ZZ$1048576"), MATCH(K$1, NovR!$6:$6, 0), FALSE),
            0
        ) +
        IFERROR(
            VLOOKUP($A14, INDIRECT("DicR!$A$6:$ZZ$1048576"), MATCH(K$1, DicR!$6:$6, 0), FALSE),
            0
        )
)</f>
        <v>0</v>
      </c>
      <c r="L14" s="32">
        <f t="array" ref="L14">SUM(
    IFERROR(
            VLOOKUP($A14, INDIRECT("EneR!$A$6:$ZZ$1048576"), MATCH(L$1, EneR!$6:$6, 0), FALSE),
            0
        ) +
        IFERROR(
            VLOOKUP($A14, INDIRECT("FebR!$A$6:$ZZ$1048576"), MATCH(L$1, FebR!$6:$6, 0), FALSE),
            0
        ) +
        IFERROR(
            VLOOKUP($A14, INDIRECT("MarR!$A$6:$ZZ$1048576"), MATCH(L$1, MarR!$6:$6, 0), FALSE),
            0
        ) +
        IFERROR(
            VLOOKUP($A14, INDIRECT("AbrR!$A$6:$ZZ$1048576"), MATCH(L$1, AbrR!$6:$6, 0), FALSE),
            0
        ) +
        IFERROR(
            VLOOKUP($A14, INDIRECT("MayR!$A$6:$ZZ$1048576"), MATCH(L$1, MayR!$6:$6, 0), FALSE),
            0
        ) +
        IFERROR(
            VLOOKUP($A14, INDIRECT("JunR!$A$6:$ZZ$1048576"), MATCH(L$1, JunR!$6:$6, 0), FALSE),
            0
        ) +
        IFERROR(
            VLOOKUP($A14, INDIRECT("JulR!$A$6:$ZZ$1048576"), MATCH(L$1, JulR!$6:$6, 0), FALSE),
            0
        ) +
        IFERROR(
            VLOOKUP($A14, INDIRECT("AgoR!$A$6:$ZZ$1048576"), MATCH(L$1, AgoR!$6:$6, 0), FALSE),
            0
        ) +
        IFERROR(
            VLOOKUP($A14, INDIRECT("SepR!$A$6:$ZZ$1048576"), MATCH(L$1, SepR!$6:$6, 0), FALSE),
            0
        ) +
        IFERROR(
            VLOOKUP($A14, INDIRECT("OctR!$A$6:$ZZ$1048576"), MATCH(L$1, OctR!$6:$6, 0), FALSE),
            0
        ) +
        IFERROR(
            VLOOKUP($A14, INDIRECT("NovR!$A$6:$ZZ$1048576"), MATCH(L$1, NovR!$6:$6, 0), FALSE),
            0
        ) +
        IFERROR(
            VLOOKUP($A14, INDIRECT("DicR!$A$6:$ZZ$1048576"), MATCH(L$1, DicR!$6:$6, 0), FALSE),
            0
        )
)</f>
        <v>0</v>
      </c>
      <c r="M14" s="35">
        <f t="array" ref="M14">SUM(
    IFERROR(
            VLOOKUP($A14, INDIRECT("EneR!$A$6:$ZZ$1048576"), MATCH(M$1, EneR!$6:$6, 0), FALSE),
            0
        ) +
        IFERROR(
            VLOOKUP($A14, INDIRECT("FebR!$A$6:$ZZ$1048576"), MATCH(M$1, FebR!$6:$6, 0), FALSE),
            0
        ) +
        IFERROR(
            VLOOKUP($A14, INDIRECT("MarR!$A$6:$ZZ$1048576"), MATCH(M$1, MarR!$6:$6, 0), FALSE),
            0
        ) +
        IFERROR(
            VLOOKUP($A14, INDIRECT("AbrR!$A$6:$ZZ$1048576"), MATCH(M$1, AbrR!$6:$6, 0), FALSE),
            0
        ) +
        IFERROR(
            VLOOKUP($A14, INDIRECT("MayR!$A$6:$ZZ$1048576"), MATCH(M$1, MayR!$6:$6, 0), FALSE),
            0
        ) +
        IFERROR(
            VLOOKUP($A14, INDIRECT("JunR!$A$6:$ZZ$1048576"), MATCH(M$1, JunR!$6:$6, 0), FALSE),
            0
        ) +
        IFERROR(
            VLOOKUP($A14, INDIRECT("JulR!$A$6:$ZZ$1048576"), MATCH(M$1, JulR!$6:$6, 0), FALSE),
            0
        ) +
        IFERROR(
            VLOOKUP($A14, INDIRECT("AgoR!$A$6:$ZZ$1048576"), MATCH(M$1, AgoR!$6:$6, 0), FALSE),
            0
        ) +
        IFERROR(
            VLOOKUP($A14, INDIRECT("SepR!$A$6:$ZZ$1048576"), MATCH(M$1, SepR!$6:$6, 0), FALSE),
            0
        ) +
        IFERROR(
            VLOOKUP($A14, INDIRECT("OctR!$A$6:$ZZ$1048576"), MATCH(M$1, OctR!$6:$6, 0), FALSE),
            0
        ) +
        IFERROR(
            VLOOKUP($A14, INDIRECT("NovR!$A$6:$ZZ$1048576"), MATCH(M$1, NovR!$6:$6, 0), FALSE),
            0
        ) +
        IFERROR(
            VLOOKUP($A14, INDIRECT("DicR!$A$6:$ZZ$1048576"), MATCH(M$1, DicR!$6:$6, 0), FALSE),
            0
        )
)</f>
        <v>0</v>
      </c>
      <c r="N14" s="32">
        <f t="array" ref="N14">SUM(
    IFERROR(
            VLOOKUP($A14, INDIRECT("EneR!$A$6:$ZZ$1048576"), MATCH(N$1, EneR!$6:$6, 0), FALSE),
            0
        ) +
        IFERROR(
            VLOOKUP($A14, INDIRECT("FebR!$A$6:$ZZ$1048576"), MATCH(N$1, FebR!$6:$6, 0), FALSE),
            0
        ) +
        IFERROR(
            VLOOKUP($A14, INDIRECT("MarR!$A$6:$ZZ$1048576"), MATCH(N$1, MarR!$6:$6, 0), FALSE),
            0
        ) +
        IFERROR(
            VLOOKUP($A14, INDIRECT("AbrR!$A$6:$ZZ$1048576"), MATCH(N$1, AbrR!$6:$6, 0), FALSE),
            0
        ) +
        IFERROR(
            VLOOKUP($A14, INDIRECT("MayR!$A$6:$ZZ$1048576"), MATCH(N$1, MayR!$6:$6, 0), FALSE),
            0
        ) +
        IFERROR(
            VLOOKUP($A14, INDIRECT("JunR!$A$6:$ZZ$1048576"), MATCH(N$1, JunR!$6:$6, 0), FALSE),
            0
        ) +
        IFERROR(
            VLOOKUP($A14, INDIRECT("JulR!$A$6:$ZZ$1048576"), MATCH(N$1, JulR!$6:$6, 0), FALSE),
            0
        ) +
        IFERROR(
            VLOOKUP($A14, INDIRECT("AgoR!$A$6:$ZZ$1048576"), MATCH(N$1, AgoR!$6:$6, 0), FALSE),
            0
        ) +
        IFERROR(
            VLOOKUP($A14, INDIRECT("SepR!$A$6:$ZZ$1048576"), MATCH(N$1, SepR!$6:$6, 0), FALSE),
            0
        ) +
        IFERROR(
            VLOOKUP($A14, INDIRECT("OctR!$A$6:$ZZ$1048576"), MATCH(N$1, OctR!$6:$6, 0), FALSE),
            0
        ) +
        IFERROR(
            VLOOKUP($A14, INDIRECT("NovR!$A$6:$ZZ$1048576"), MATCH(N$1, NovR!$6:$6, 0), FALSE),
            0
        ) +
        IFERROR(
            VLOOKUP($A14, INDIRECT("DicR!$A$6:$ZZ$1048576"), MATCH(N$1, DicR!$6:$6, 0), FALSE),
            0
        )
)</f>
        <v>0</v>
      </c>
      <c r="O14" s="35">
        <f t="array" ref="O14">SUM(
    IFERROR(
            VLOOKUP($A14, INDIRECT("EneR!$A$6:$ZZ$1048576"), MATCH(O$1, EneR!$6:$6, 0), FALSE),
            0
        ) +
        IFERROR(
            VLOOKUP($A14, INDIRECT("FebR!$A$6:$ZZ$1048576"), MATCH(O$1, FebR!$6:$6, 0), FALSE),
            0
        ) +
        IFERROR(
            VLOOKUP($A14, INDIRECT("MarR!$A$6:$ZZ$1048576"), MATCH(O$1, MarR!$6:$6, 0), FALSE),
            0
        ) +
        IFERROR(
            VLOOKUP($A14, INDIRECT("AbrR!$A$6:$ZZ$1048576"), MATCH(O$1, AbrR!$6:$6, 0), FALSE),
            0
        ) +
        IFERROR(
            VLOOKUP($A14, INDIRECT("MayR!$A$6:$ZZ$1048576"), MATCH(O$1, MayR!$6:$6, 0), FALSE),
            0
        ) +
        IFERROR(
            VLOOKUP($A14, INDIRECT("JunR!$A$6:$ZZ$1048576"), MATCH(O$1, JunR!$6:$6, 0), FALSE),
            0
        ) +
        IFERROR(
            VLOOKUP($A14, INDIRECT("JulR!$A$6:$ZZ$1048576"), MATCH(O$1, JulR!$6:$6, 0), FALSE),
            0
        ) +
        IFERROR(
            VLOOKUP($A14, INDIRECT("AgoR!$A$6:$ZZ$1048576"), MATCH(O$1, AgoR!$6:$6, 0), FALSE),
            0
        ) +
        IFERROR(
            VLOOKUP($A14, INDIRECT("SepR!$A$6:$ZZ$1048576"), MATCH(O$1, SepR!$6:$6, 0), FALSE),
            0
        ) +
        IFERROR(
            VLOOKUP($A14, INDIRECT("OctR!$A$6:$ZZ$1048576"), MATCH(O$1, OctR!$6:$6, 0), FALSE),
            0
        ) +
        IFERROR(
            VLOOKUP($A14, INDIRECT("NovR!$A$6:$ZZ$1048576"), MATCH(O$1, NovR!$6:$6, 0), FALSE),
            0
        ) +
        IFERROR(
            VLOOKUP($A14, INDIRECT("DicR!$A$6:$ZZ$1048576"), MATCH(O$1, DicR!$6:$6, 0), FALSE),
            0
        )
)</f>
        <v>0</v>
      </c>
      <c r="P14" s="32">
        <f t="array" ref="P14">SUM(
    IFERROR(
            VLOOKUP($A14, INDIRECT("EneR!$A$6:$ZZ$1048576"), MATCH(P$1, EneR!$6:$6, 0), FALSE),
            0
        ) +
        IFERROR(
            VLOOKUP($A14, INDIRECT("FebR!$A$6:$ZZ$1048576"), MATCH(P$1, FebR!$6:$6, 0), FALSE),
            0
        ) +
        IFERROR(
            VLOOKUP($A14, INDIRECT("MarR!$A$6:$ZZ$1048576"), MATCH(P$1, MarR!$6:$6, 0), FALSE),
            0
        ) +
        IFERROR(
            VLOOKUP($A14, INDIRECT("AbrR!$A$6:$ZZ$1048576"), MATCH(P$1, AbrR!$6:$6, 0), FALSE),
            0
        ) +
        IFERROR(
            VLOOKUP($A14, INDIRECT("MayR!$A$6:$ZZ$1048576"), MATCH(P$1, MayR!$6:$6, 0), FALSE),
            0
        ) +
        IFERROR(
            VLOOKUP($A14, INDIRECT("JunR!$A$6:$ZZ$1048576"), MATCH(P$1, JunR!$6:$6, 0), FALSE),
            0
        ) +
        IFERROR(
            VLOOKUP($A14, INDIRECT("JulR!$A$6:$ZZ$1048576"), MATCH(P$1, JulR!$6:$6, 0), FALSE),
            0
        ) +
        IFERROR(
            VLOOKUP($A14, INDIRECT("AgoR!$A$6:$ZZ$1048576"), MATCH(P$1, AgoR!$6:$6, 0), FALSE),
            0
        ) +
        IFERROR(
            VLOOKUP($A14, INDIRECT("SepR!$A$6:$ZZ$1048576"), MATCH(P$1, SepR!$6:$6, 0), FALSE),
            0
        ) +
        IFERROR(
            VLOOKUP($A14, INDIRECT("OctR!$A$6:$ZZ$1048576"), MATCH(P$1, OctR!$6:$6, 0), FALSE),
            0
        ) +
        IFERROR(
            VLOOKUP($A14, INDIRECT("NovR!$A$6:$ZZ$1048576"), MATCH(P$1, NovR!$6:$6, 0), FALSE),
            0
        ) +
        IFERROR(
            VLOOKUP($A14, INDIRECT("DicR!$A$6:$ZZ$1048576"), MATCH(P$1, DicR!$6:$6, 0), FALSE),
            0
        )
)</f>
        <v>0</v>
      </c>
      <c r="Q14" s="35">
        <f t="array" ref="Q14">SUM(
    IFERROR(
            VLOOKUP($A14, INDIRECT("EneR!$A$6:$ZZ$1048576"), MATCH(Q$1, EneR!$6:$6, 0), FALSE),
            0
        ) +
        IFERROR(
            VLOOKUP($A14, INDIRECT("FebR!$A$6:$ZZ$1048576"), MATCH(Q$1, FebR!$6:$6, 0), FALSE),
            0
        ) +
        IFERROR(
            VLOOKUP($A14, INDIRECT("MarR!$A$6:$ZZ$1048576"), MATCH(Q$1, MarR!$6:$6, 0), FALSE),
            0
        ) +
        IFERROR(
            VLOOKUP($A14, INDIRECT("AbrR!$A$6:$ZZ$1048576"), MATCH(Q$1, AbrR!$6:$6, 0), FALSE),
            0
        ) +
        IFERROR(
            VLOOKUP($A14, INDIRECT("MayR!$A$6:$ZZ$1048576"), MATCH(Q$1, MayR!$6:$6, 0), FALSE),
            0
        ) +
        IFERROR(
            VLOOKUP($A14, INDIRECT("JunR!$A$6:$ZZ$1048576"), MATCH(Q$1, JunR!$6:$6, 0), FALSE),
            0
        ) +
        IFERROR(
            VLOOKUP($A14, INDIRECT("JulR!$A$6:$ZZ$1048576"), MATCH(Q$1, JulR!$6:$6, 0), FALSE),
            0
        ) +
        IFERROR(
            VLOOKUP($A14, INDIRECT("AgoR!$A$6:$ZZ$1048576"), MATCH(Q$1, AgoR!$6:$6, 0), FALSE),
            0
        ) +
        IFERROR(
            VLOOKUP($A14, INDIRECT("SepR!$A$6:$ZZ$1048576"), MATCH(Q$1, SepR!$6:$6, 0), FALSE),
            0
        ) +
        IFERROR(
            VLOOKUP($A14, INDIRECT("OctR!$A$6:$ZZ$1048576"), MATCH(Q$1, OctR!$6:$6, 0), FALSE),
            0
        ) +
        IFERROR(
            VLOOKUP($A14, INDIRECT("NovR!$A$6:$ZZ$1048576"), MATCH(Q$1, NovR!$6:$6, 0), FALSE),
            0
        ) +
        IFERROR(
            VLOOKUP($A14, INDIRECT("DicR!$A$6:$ZZ$1048576"), MATCH(Q$1, DicR!$6:$6, 0), FALSE),
            0
        )
)</f>
        <v>0</v>
      </c>
      <c r="R14" s="36">
        <f t="array" ref="R14">SUM(
    IFERROR(
            VLOOKUP($A14, INDIRECT("EneR!$A$6:$ZZ$1048576"), MATCH(R$1, EneR!$6:$6, 0), FALSE),
            0
        ) +
        IFERROR(
            VLOOKUP($A14, INDIRECT("FebR!$A$6:$ZZ$1048576"), MATCH(R$1, FebR!$6:$6, 0), FALSE),
            0
        ) +
        IFERROR(
            VLOOKUP($A14, INDIRECT("MarR!$A$6:$ZZ$1048576"), MATCH(R$1, MarR!$6:$6, 0), FALSE),
            0
        ) +
        IFERROR(
            VLOOKUP($A14, INDIRECT("AbrR!$A$6:$ZZ$1048576"), MATCH(R$1, AbrR!$6:$6, 0), FALSE),
            0
        ) +
        IFERROR(
            VLOOKUP($A14, INDIRECT("MayR!$A$6:$ZZ$1048576"), MATCH(R$1, MayR!$6:$6, 0), FALSE),
            0
        ) +
        IFERROR(
            VLOOKUP($A14, INDIRECT("JunR!$A$6:$ZZ$1048576"), MATCH(R$1, JunR!$6:$6, 0), FALSE),
            0
        ) +
        IFERROR(
            VLOOKUP($A14, INDIRECT("JulR!$A$6:$ZZ$1048576"), MATCH(R$1, JulR!$6:$6, 0), FALSE),
            0
        ) +
        IFERROR(
            VLOOKUP($A14, INDIRECT("AgoR!$A$6:$ZZ$1048576"), MATCH(R$1, AgoR!$6:$6, 0), FALSE),
            0
        ) +
        IFERROR(
            VLOOKUP($A14, INDIRECT("SepR!$A$6:$ZZ$1048576"), MATCH(R$1, SepR!$6:$6, 0), FALSE),
            0
        ) +
        IFERROR(
            VLOOKUP($A14, INDIRECT("OctR!$A$6:$ZZ$1048576"), MATCH(R$1, OctR!$6:$6, 0), FALSE),
            0
        ) +
        IFERROR(
            VLOOKUP($A14, INDIRECT("NovR!$A$6:$ZZ$1048576"), MATCH(R$1, NovR!$6:$6, 0), FALSE),
            0
        ) +
        IFERROR(
            VLOOKUP($A14, INDIRECT("DicR!$A$6:$ZZ$1048576"), MATCH(R$1, DicR!$6:$6, 0), FALSE),
            0
        )
)</f>
        <v>0</v>
      </c>
      <c r="S14" s="37">
        <f t="array" ref="S14">SUM(
    IFERROR(
            VLOOKUP($A14, INDIRECT("EneR!$A$6:$ZZ$1048576"), MATCH(S$1, EneR!$6:$6, 0), FALSE),
            0
        ) +
        IFERROR(
            VLOOKUP($A14, INDIRECT("FebR!$A$6:$ZZ$1048576"), MATCH(S$1, FebR!$6:$6, 0), FALSE),
            0
        ) +
        IFERROR(
            VLOOKUP($A14, INDIRECT("MarR!$A$6:$ZZ$1048576"), MATCH(S$1, MarR!$6:$6, 0), FALSE),
            0
        ) +
        IFERROR(
            VLOOKUP($A14, INDIRECT("AbrR!$A$6:$ZZ$1048576"), MATCH(S$1, AbrR!$6:$6, 0), FALSE),
            0
        ) +
        IFERROR(
            VLOOKUP($A14, INDIRECT("MayR!$A$6:$ZZ$1048576"), MATCH(S$1, MayR!$6:$6, 0), FALSE),
            0
        ) +
        IFERROR(
            VLOOKUP($A14, INDIRECT("JunR!$A$6:$ZZ$1048576"), MATCH(S$1, JunR!$6:$6, 0), FALSE),
            0
        ) +
        IFERROR(
            VLOOKUP($A14, INDIRECT("JulR!$A$6:$ZZ$1048576"), MATCH(S$1, JulR!$6:$6, 0), FALSE),
            0
        ) +
        IFERROR(
            VLOOKUP($A14, INDIRECT("AgoR!$A$6:$ZZ$1048576"), MATCH(S$1, AgoR!$6:$6, 0), FALSE),
            0
        ) +
        IFERROR(
            VLOOKUP($A14, INDIRECT("SepR!$A$6:$ZZ$1048576"), MATCH(S$1, SepR!$6:$6, 0), FALSE),
            0
        ) +
        IFERROR(
            VLOOKUP($A14, INDIRECT("OctR!$A$6:$ZZ$1048576"), MATCH(S$1, OctR!$6:$6, 0), FALSE),
            0
        ) +
        IFERROR(
            VLOOKUP($A14, INDIRECT("NovR!$A$6:$ZZ$1048576"), MATCH(S$1, NovR!$6:$6, 0), FALSE),
            0
        ) +
        IFERROR(
            VLOOKUP($A14, INDIRECT("DicR!$A$6:$ZZ$1048576"), MATCH(S$1, DicR!$6:$6, 0), FALSE),
            0
        )
)</f>
        <v>0</v>
      </c>
      <c r="T14" s="36">
        <f t="array" ref="T14">SUM(
    IFERROR(
            VLOOKUP($A14, INDIRECT("EneR!$A$6:$ZZ$1048576"), MATCH(T$1, EneR!$6:$6, 0), FALSE),
            0
        ) +
        IFERROR(
            VLOOKUP($A14, INDIRECT("FebR!$A$6:$ZZ$1048576"), MATCH(T$1, FebR!$6:$6, 0), FALSE),
            0
        ) +
        IFERROR(
            VLOOKUP($A14, INDIRECT("MarR!$A$6:$ZZ$1048576"), MATCH(T$1, MarR!$6:$6, 0), FALSE),
            0
        ) +
        IFERROR(
            VLOOKUP($A14, INDIRECT("AbrR!$A$6:$ZZ$1048576"), MATCH(T$1, AbrR!$6:$6, 0), FALSE),
            0
        ) +
        IFERROR(
            VLOOKUP($A14, INDIRECT("MayR!$A$6:$ZZ$1048576"), MATCH(T$1, MayR!$6:$6, 0), FALSE),
            0
        ) +
        IFERROR(
            VLOOKUP($A14, INDIRECT("JunR!$A$6:$ZZ$1048576"), MATCH(T$1, JunR!$6:$6, 0), FALSE),
            0
        ) +
        IFERROR(
            VLOOKUP($A14, INDIRECT("JulR!$A$6:$ZZ$1048576"), MATCH(T$1, JulR!$6:$6, 0), FALSE),
            0
        ) +
        IFERROR(
            VLOOKUP($A14, INDIRECT("AgoR!$A$6:$ZZ$1048576"), MATCH(T$1, AgoR!$6:$6, 0), FALSE),
            0
        ) +
        IFERROR(
            VLOOKUP($A14, INDIRECT("SepR!$A$6:$ZZ$1048576"), MATCH(T$1, SepR!$6:$6, 0), FALSE),
            0
        ) +
        IFERROR(
            VLOOKUP($A14, INDIRECT("OctR!$A$6:$ZZ$1048576"), MATCH(T$1, OctR!$6:$6, 0), FALSE),
            0
        ) +
        IFERROR(
            VLOOKUP($A14, INDIRECT("NovR!$A$6:$ZZ$1048576"), MATCH(T$1, NovR!$6:$6, 0), FALSE),
            0
        ) +
        IFERROR(
            VLOOKUP($A14, INDIRECT("DicR!$A$6:$ZZ$1048576"), MATCH(T$1, DicR!$6:$6, 0), FALSE),
            0
        )
)</f>
        <v>0</v>
      </c>
      <c r="U14" s="37">
        <f t="array" ref="U14">SUM(
    IFERROR(
            VLOOKUP($A14, INDIRECT("EneR!$A$6:$ZZ$1048576"), MATCH(U$1, EneR!$6:$6, 0), FALSE),
            0
        ) +
        IFERROR(
            VLOOKUP($A14, INDIRECT("FebR!$A$6:$ZZ$1048576"), MATCH(U$1, FebR!$6:$6, 0), FALSE),
            0
        ) +
        IFERROR(
            VLOOKUP($A14, INDIRECT("MarR!$A$6:$ZZ$1048576"), MATCH(U$1, MarR!$6:$6, 0), FALSE),
            0
        ) +
        IFERROR(
            VLOOKUP($A14, INDIRECT("AbrR!$A$6:$ZZ$1048576"), MATCH(U$1, AbrR!$6:$6, 0), FALSE),
            0
        ) +
        IFERROR(
            VLOOKUP($A14, INDIRECT("MayR!$A$6:$ZZ$1048576"), MATCH(U$1, MayR!$6:$6, 0), FALSE),
            0
        ) +
        IFERROR(
            VLOOKUP($A14, INDIRECT("JunR!$A$6:$ZZ$1048576"), MATCH(U$1, JunR!$6:$6, 0), FALSE),
            0
        ) +
        IFERROR(
            VLOOKUP($A14, INDIRECT("JulR!$A$6:$ZZ$1048576"), MATCH(U$1, JulR!$6:$6, 0), FALSE),
            0
        ) +
        IFERROR(
            VLOOKUP($A14, INDIRECT("AgoR!$A$6:$ZZ$1048576"), MATCH(U$1, AgoR!$6:$6, 0), FALSE),
            0
        ) +
        IFERROR(
            VLOOKUP($A14, INDIRECT("SepR!$A$6:$ZZ$1048576"), MATCH(U$1, SepR!$6:$6, 0), FALSE),
            0
        ) +
        IFERROR(
            VLOOKUP($A14, INDIRECT("OctR!$A$6:$ZZ$1048576"), MATCH(U$1, OctR!$6:$6, 0), FALSE),
            0
        ) +
        IFERROR(
            VLOOKUP($A14, INDIRECT("NovR!$A$6:$ZZ$1048576"), MATCH(U$1, NovR!$6:$6, 0), FALSE),
            0
        ) +
        IFERROR(
            VLOOKUP($A14, INDIRECT("DicR!$A$6:$ZZ$1048576"), MATCH(U$1, DicR!$6:$6, 0), FALSE),
            0
        )
)</f>
        <v>0</v>
      </c>
      <c r="V14" s="36">
        <f t="array" ref="V14">SUM(
    IFERROR(
            VLOOKUP($A14, INDIRECT("EneR!$A$6:$ZZ$1048576"), MATCH(V$1, EneR!$6:$6, 0), FALSE),
            0
        ) +
        IFERROR(
            VLOOKUP($A14, INDIRECT("FebR!$A$6:$ZZ$1048576"), MATCH(V$1, FebR!$6:$6, 0), FALSE),
            0
        ) +
        IFERROR(
            VLOOKUP($A14, INDIRECT("MarR!$A$6:$ZZ$1048576"), MATCH(V$1, MarR!$6:$6, 0), FALSE),
            0
        ) +
        IFERROR(
            VLOOKUP($A14, INDIRECT("AbrR!$A$6:$ZZ$1048576"), MATCH(V$1, AbrR!$6:$6, 0), FALSE),
            0
        ) +
        IFERROR(
            VLOOKUP($A14, INDIRECT("MayR!$A$6:$ZZ$1048576"), MATCH(V$1, MayR!$6:$6, 0), FALSE),
            0
        ) +
        IFERROR(
            VLOOKUP($A14, INDIRECT("JunR!$A$6:$ZZ$1048576"), MATCH(V$1, JunR!$6:$6, 0), FALSE),
            0
        ) +
        IFERROR(
            VLOOKUP($A14, INDIRECT("JulR!$A$6:$ZZ$1048576"), MATCH(V$1, JulR!$6:$6, 0), FALSE),
            0
        ) +
        IFERROR(
            VLOOKUP($A14, INDIRECT("AgoR!$A$6:$ZZ$1048576"), MATCH(V$1, AgoR!$6:$6, 0), FALSE),
            0
        ) +
        IFERROR(
            VLOOKUP($A14, INDIRECT("SepR!$A$6:$ZZ$1048576"), MATCH(V$1, SepR!$6:$6, 0), FALSE),
            0
        ) +
        IFERROR(
            VLOOKUP($A14, INDIRECT("OctR!$A$6:$ZZ$1048576"), MATCH(V$1, OctR!$6:$6, 0), FALSE),
            0
        ) +
        IFERROR(
            VLOOKUP($A14, INDIRECT("NovR!$A$6:$ZZ$1048576"), MATCH(V$1, NovR!$6:$6, 0), FALSE),
            0
        ) +
        IFERROR(
            VLOOKUP($A14, INDIRECT("DicR!$A$6:$ZZ$1048576"), MATCH(V$1, DicR!$6:$6, 0), FALSE),
            0
        )
)</f>
        <v>0</v>
      </c>
      <c r="W14" s="37">
        <f t="array" ref="W14">SUM(
    IFERROR(
            VLOOKUP($A14, INDIRECT("EneR!$A$6:$ZZ$1048576"), MATCH(W$1, EneR!$6:$6, 0), FALSE),
            0
        ) +
        IFERROR(
            VLOOKUP($A14, INDIRECT("FebR!$A$6:$ZZ$1048576"), MATCH(W$1, FebR!$6:$6, 0), FALSE),
            0
        ) +
        IFERROR(
            VLOOKUP($A14, INDIRECT("MarR!$A$6:$ZZ$1048576"), MATCH(W$1, MarR!$6:$6, 0), FALSE),
            0
        ) +
        IFERROR(
            VLOOKUP($A14, INDIRECT("AbrR!$A$6:$ZZ$1048576"), MATCH(W$1, AbrR!$6:$6, 0), FALSE),
            0
        ) +
        IFERROR(
            VLOOKUP($A14, INDIRECT("MayR!$A$6:$ZZ$1048576"), MATCH(W$1, MayR!$6:$6, 0), FALSE),
            0
        ) +
        IFERROR(
            VLOOKUP($A14, INDIRECT("JunR!$A$6:$ZZ$1048576"), MATCH(W$1, JunR!$6:$6, 0), FALSE),
            0
        ) +
        IFERROR(
            VLOOKUP($A14, INDIRECT("JulR!$A$6:$ZZ$1048576"), MATCH(W$1, JulR!$6:$6, 0), FALSE),
            0
        ) +
        IFERROR(
            VLOOKUP($A14, INDIRECT("AgoR!$A$6:$ZZ$1048576"), MATCH(W$1, AgoR!$6:$6, 0), FALSE),
            0
        ) +
        IFERROR(
            VLOOKUP($A14, INDIRECT("SepR!$A$6:$ZZ$1048576"), MATCH(W$1, SepR!$6:$6, 0), FALSE),
            0
        ) +
        IFERROR(
            VLOOKUP($A14, INDIRECT("OctR!$A$6:$ZZ$1048576"), MATCH(W$1, OctR!$6:$6, 0), FALSE),
            0
        ) +
        IFERROR(
            VLOOKUP($A14, INDIRECT("NovR!$A$6:$ZZ$1048576"), MATCH(W$1, NovR!$6:$6, 0), FALSE),
            0
        ) +
        IFERROR(
            VLOOKUP($A14, INDIRECT("DicR!$A$6:$ZZ$1048576"), MATCH(W$1, DicR!$6:$6, 0), FALSE),
            0
        )
)</f>
        <v>0</v>
      </c>
      <c r="X14" s="36">
        <f t="array" ref="X14">SUM(
    IFERROR(
            VLOOKUP($A14, INDIRECT("EneR!$A$6:$ZZ$1048576"), MATCH(X$1, EneR!$6:$6, 0), FALSE),
            0
        ) +
        IFERROR(
            VLOOKUP($A14, INDIRECT("FebR!$A$6:$ZZ$1048576"), MATCH(X$1, FebR!$6:$6, 0), FALSE),
            0
        ) +
        IFERROR(
            VLOOKUP($A14, INDIRECT("MarR!$A$6:$ZZ$1048576"), MATCH(X$1, MarR!$6:$6, 0), FALSE),
            0
        ) +
        IFERROR(
            VLOOKUP($A14, INDIRECT("AbrR!$A$6:$ZZ$1048576"), MATCH(X$1, AbrR!$6:$6, 0), FALSE),
            0
        ) +
        IFERROR(
            VLOOKUP($A14, INDIRECT("MayR!$A$6:$ZZ$1048576"), MATCH(X$1, MayR!$6:$6, 0), FALSE),
            0
        ) +
        IFERROR(
            VLOOKUP($A14, INDIRECT("JunR!$A$6:$ZZ$1048576"), MATCH(X$1, JunR!$6:$6, 0), FALSE),
            0
        ) +
        IFERROR(
            VLOOKUP($A14, INDIRECT("JulR!$A$6:$ZZ$1048576"), MATCH(X$1, JulR!$6:$6, 0), FALSE),
            0
        ) +
        IFERROR(
            VLOOKUP($A14, INDIRECT("AgoR!$A$6:$ZZ$1048576"), MATCH(X$1, AgoR!$6:$6, 0), FALSE),
            0
        ) +
        IFERROR(
            VLOOKUP($A14, INDIRECT("SepR!$A$6:$ZZ$1048576"), MATCH(X$1, SepR!$6:$6, 0), FALSE),
            0
        ) +
        IFERROR(
            VLOOKUP($A14, INDIRECT("OctR!$A$6:$ZZ$1048576"), MATCH(X$1, OctR!$6:$6, 0), FALSE),
            0
        ) +
        IFERROR(
            VLOOKUP($A14, INDIRECT("NovR!$A$6:$ZZ$1048576"), MATCH(X$1, NovR!$6:$6, 0), FALSE),
            0
        ) +
        IFERROR(
            VLOOKUP($A14, INDIRECT("DicR!$A$6:$ZZ$1048576"), MATCH(X$1, DicR!$6:$6, 0), FALSE),
            0
        )
)</f>
        <v>0</v>
      </c>
      <c r="Y14" s="37">
        <f t="array" ref="Y14">SUM(
    IFERROR(
            VLOOKUP($A14, INDIRECT("EneR!$A$6:$ZZ$1048576"), MATCH(Y$1, EneR!$6:$6, 0), FALSE),
            0
        ) +
        IFERROR(
            VLOOKUP($A14, INDIRECT("FebR!$A$6:$ZZ$1048576"), MATCH(Y$1, FebR!$6:$6, 0), FALSE),
            0
        ) +
        IFERROR(
            VLOOKUP($A14, INDIRECT("MarR!$A$6:$ZZ$1048576"), MATCH(Y$1, MarR!$6:$6, 0), FALSE),
            0
        ) +
        IFERROR(
            VLOOKUP($A14, INDIRECT("AbrR!$A$6:$ZZ$1048576"), MATCH(Y$1, AbrR!$6:$6, 0), FALSE),
            0
        ) +
        IFERROR(
            VLOOKUP($A14, INDIRECT("MayR!$A$6:$ZZ$1048576"), MATCH(Y$1, MayR!$6:$6, 0), FALSE),
            0
        ) +
        IFERROR(
            VLOOKUP($A14, INDIRECT("JunR!$A$6:$ZZ$1048576"), MATCH(Y$1, JunR!$6:$6, 0), FALSE),
            0
        ) +
        IFERROR(
            VLOOKUP($A14, INDIRECT("JulR!$A$6:$ZZ$1048576"), MATCH(Y$1, JulR!$6:$6, 0), FALSE),
            0
        ) +
        IFERROR(
            VLOOKUP($A14, INDIRECT("AgoR!$A$6:$ZZ$1048576"), MATCH(Y$1, AgoR!$6:$6, 0), FALSE),
            0
        ) +
        IFERROR(
            VLOOKUP($A14, INDIRECT("SepR!$A$6:$ZZ$1048576"), MATCH(Y$1, SepR!$6:$6, 0), FALSE),
            0
        ) +
        IFERROR(
            VLOOKUP($A14, INDIRECT("OctR!$A$6:$ZZ$1048576"), MATCH(Y$1, OctR!$6:$6, 0), FALSE),
            0
        ) +
        IFERROR(
            VLOOKUP($A14, INDIRECT("NovR!$A$6:$ZZ$1048576"), MATCH(Y$1, NovR!$6:$6, 0), FALSE),
            0
        ) +
        IFERROR(
            VLOOKUP($A14, INDIRECT("DicR!$A$6:$ZZ$1048576"), MATCH(Y$1, DicR!$6:$6, 0), FALSE),
            0
        )
)</f>
        <v>0</v>
      </c>
      <c r="Z14" s="36">
        <f t="array" ref="Z14">SUM(
    IFERROR(
            VLOOKUP($A14, INDIRECT("EneR!$A$6:$ZZ$1048576"), MATCH(Z$1, EneR!$6:$6, 0), FALSE),
            0
        ) +
        IFERROR(
            VLOOKUP($A14, INDIRECT("FebR!$A$6:$ZZ$1048576"), MATCH(Z$1, FebR!$6:$6, 0), FALSE),
            0
        ) +
        IFERROR(
            VLOOKUP($A14, INDIRECT("MarR!$A$6:$ZZ$1048576"), MATCH(Z$1, MarR!$6:$6, 0), FALSE),
            0
        ) +
        IFERROR(
            VLOOKUP($A14, INDIRECT("AbrR!$A$6:$ZZ$1048576"), MATCH(Z$1, AbrR!$6:$6, 0), FALSE),
            0
        ) +
        IFERROR(
            VLOOKUP($A14, INDIRECT("MayR!$A$6:$ZZ$1048576"), MATCH(Z$1, MayR!$6:$6, 0), FALSE),
            0
        ) +
        IFERROR(
            VLOOKUP($A14, INDIRECT("JunR!$A$6:$ZZ$1048576"), MATCH(Z$1, JunR!$6:$6, 0), FALSE),
            0
        ) +
        IFERROR(
            VLOOKUP($A14, INDIRECT("JulR!$A$6:$ZZ$1048576"), MATCH(Z$1, JulR!$6:$6, 0), FALSE),
            0
        ) +
        IFERROR(
            VLOOKUP($A14, INDIRECT("AgoR!$A$6:$ZZ$1048576"), MATCH(Z$1, AgoR!$6:$6, 0), FALSE),
            0
        ) +
        IFERROR(
            VLOOKUP($A14, INDIRECT("SepR!$A$6:$ZZ$1048576"), MATCH(Z$1, SepR!$6:$6, 0), FALSE),
            0
        ) +
        IFERROR(
            VLOOKUP($A14, INDIRECT("OctR!$A$6:$ZZ$1048576"), MATCH(Z$1, OctR!$6:$6, 0), FALSE),
            0
        ) +
        IFERROR(
            VLOOKUP($A14, INDIRECT("NovR!$A$6:$ZZ$1048576"), MATCH(Z$1, NovR!$6:$6, 0), FALSE),
            0
        ) +
        IFERROR(
            VLOOKUP($A14, INDIRECT("DicR!$A$6:$ZZ$1048576"), MATCH(Z$1, DicR!$6:$6, 0), FALSE),
            0
        )
)</f>
        <v>0</v>
      </c>
      <c r="AA14" s="37">
        <f t="array" ref="AA14">SUM(
    IFERROR(
            VLOOKUP($A14, INDIRECT("EneR!$A$6:$ZZ$1048576"), MATCH(AA$1, EneR!$6:$6, 0), FALSE),
            0
        ) +
        IFERROR(
            VLOOKUP($A14, INDIRECT("FebR!$A$6:$ZZ$1048576"), MATCH(AA$1, FebR!$6:$6, 0), FALSE),
            0
        ) +
        IFERROR(
            VLOOKUP($A14, INDIRECT("MarR!$A$6:$ZZ$1048576"), MATCH(AA$1, MarR!$6:$6, 0), FALSE),
            0
        ) +
        IFERROR(
            VLOOKUP($A14, INDIRECT("AbrR!$A$6:$ZZ$1048576"), MATCH(AA$1, AbrR!$6:$6, 0), FALSE),
            0
        ) +
        IFERROR(
            VLOOKUP($A14, INDIRECT("MayR!$A$6:$ZZ$1048576"), MATCH(AA$1, MayR!$6:$6, 0), FALSE),
            0
        ) +
        IFERROR(
            VLOOKUP($A14, INDIRECT("JunR!$A$6:$ZZ$1048576"), MATCH(AA$1, JunR!$6:$6, 0), FALSE),
            0
        ) +
        IFERROR(
            VLOOKUP($A14, INDIRECT("JulR!$A$6:$ZZ$1048576"), MATCH(AA$1, JulR!$6:$6, 0), FALSE),
            0
        ) +
        IFERROR(
            VLOOKUP($A14, INDIRECT("AgoR!$A$6:$ZZ$1048576"), MATCH(AA$1, AgoR!$6:$6, 0), FALSE),
            0
        ) +
        IFERROR(
            VLOOKUP($A14, INDIRECT("SepR!$A$6:$ZZ$1048576"), MATCH(AA$1, SepR!$6:$6, 0), FALSE),
            0
        ) +
        IFERROR(
            VLOOKUP($A14, INDIRECT("OctR!$A$6:$ZZ$1048576"), MATCH(AA$1, OctR!$6:$6, 0), FALSE),
            0
        ) +
        IFERROR(
            VLOOKUP($A14, INDIRECT("NovR!$A$6:$ZZ$1048576"), MATCH(AA$1, NovR!$6:$6, 0), FALSE),
            0
        ) +
        IFERROR(
            VLOOKUP($A14, INDIRECT("DicR!$A$6:$ZZ$1048576"), MATCH(AA$1, DicR!$6:$6, 0), FALSE),
            0
        )
)</f>
        <v>0</v>
      </c>
      <c r="AB14" s="36">
        <f t="array" ref="AB14">SUM(
    IFERROR(
            VLOOKUP($A14, INDIRECT("EneR!$A$6:$ZZ$1048576"), MATCH(AB$1, EneR!$6:$6, 0), FALSE),
            0
        ) +
        IFERROR(
            VLOOKUP($A14, INDIRECT("FebR!$A$6:$ZZ$1048576"), MATCH(AB$1, FebR!$6:$6, 0), FALSE),
            0
        ) +
        IFERROR(
            VLOOKUP($A14, INDIRECT("MarR!$A$6:$ZZ$1048576"), MATCH(AB$1, MarR!$6:$6, 0), FALSE),
            0
        ) +
        IFERROR(
            VLOOKUP($A14, INDIRECT("AbrR!$A$6:$ZZ$1048576"), MATCH(AB$1, AbrR!$6:$6, 0), FALSE),
            0
        ) +
        IFERROR(
            VLOOKUP($A14, INDIRECT("MayR!$A$6:$ZZ$1048576"), MATCH(AB$1, MayR!$6:$6, 0), FALSE),
            0
        ) +
        IFERROR(
            VLOOKUP($A14, INDIRECT("JunR!$A$6:$ZZ$1048576"), MATCH(AB$1, JunR!$6:$6, 0), FALSE),
            0
        ) +
        IFERROR(
            VLOOKUP($A14, INDIRECT("JulR!$A$6:$ZZ$1048576"), MATCH(AB$1, JulR!$6:$6, 0), FALSE),
            0
        ) +
        IFERROR(
            VLOOKUP($A14, INDIRECT("AgoR!$A$6:$ZZ$1048576"), MATCH(AB$1, AgoR!$6:$6, 0), FALSE),
            0
        ) +
        IFERROR(
            VLOOKUP($A14, INDIRECT("SepR!$A$6:$ZZ$1048576"), MATCH(AB$1, SepR!$6:$6, 0), FALSE),
            0
        ) +
        IFERROR(
            VLOOKUP($A14, INDIRECT("OctR!$A$6:$ZZ$1048576"), MATCH(AB$1, OctR!$6:$6, 0), FALSE),
            0
        ) +
        IFERROR(
            VLOOKUP($A14, INDIRECT("NovR!$A$6:$ZZ$1048576"), MATCH(AB$1, NovR!$6:$6, 0), FALSE),
            0
        ) +
        IFERROR(
            VLOOKUP($A14, INDIRECT("DicR!$A$6:$ZZ$1048576"), MATCH(AB$1, DicR!$6:$6, 0), FALSE),
            0
        )
)</f>
        <v>0</v>
      </c>
      <c r="AC14" s="37">
        <f t="array" ref="AC14">SUM(
    IFERROR(
            VLOOKUP($A14, INDIRECT("EneR!$A$6:$ZZ$1048576"), MATCH(AC$1, EneR!$6:$6, 0), FALSE),
            0
        ) +
        IFERROR(
            VLOOKUP($A14, INDIRECT("FebR!$A$6:$ZZ$1048576"), MATCH(AC$1, FebR!$6:$6, 0), FALSE),
            0
        ) +
        IFERROR(
            VLOOKUP($A14, INDIRECT("MarR!$A$6:$ZZ$1048576"), MATCH(AC$1, MarR!$6:$6, 0), FALSE),
            0
        ) +
        IFERROR(
            VLOOKUP($A14, INDIRECT("AbrR!$A$6:$ZZ$1048576"), MATCH(AC$1, AbrR!$6:$6, 0), FALSE),
            0
        ) +
        IFERROR(
            VLOOKUP($A14, INDIRECT("MayR!$A$6:$ZZ$1048576"), MATCH(AC$1, MayR!$6:$6, 0), FALSE),
            0
        ) +
        IFERROR(
            VLOOKUP($A14, INDIRECT("JunR!$A$6:$ZZ$1048576"), MATCH(AC$1, JunR!$6:$6, 0), FALSE),
            0
        ) +
        IFERROR(
            VLOOKUP($A14, INDIRECT("JulR!$A$6:$ZZ$1048576"), MATCH(AC$1, JulR!$6:$6, 0), FALSE),
            0
        ) +
        IFERROR(
            VLOOKUP($A14, INDIRECT("AgoR!$A$6:$ZZ$1048576"), MATCH(AC$1, AgoR!$6:$6, 0), FALSE),
            0
        ) +
        IFERROR(
            VLOOKUP($A14, INDIRECT("SepR!$A$6:$ZZ$1048576"), MATCH(AC$1, SepR!$6:$6, 0), FALSE),
            0
        ) +
        IFERROR(
            VLOOKUP($A14, INDIRECT("OctR!$A$6:$ZZ$1048576"), MATCH(AC$1, OctR!$6:$6, 0), FALSE),
            0
        ) +
        IFERROR(
            VLOOKUP($A14, INDIRECT("NovR!$A$6:$ZZ$1048576"), MATCH(AC$1, NovR!$6:$6, 0), FALSE),
            0
        ) +
        IFERROR(
            VLOOKUP($A14, INDIRECT("DicR!$A$6:$ZZ$1048576"), MATCH(AC$1, DicR!$6:$6, 0), FALSE),
            0
        )
)</f>
        <v>0</v>
      </c>
      <c r="AD14" s="36">
        <f t="array" ref="AD14">SUM(
    IFERROR(
            VLOOKUP($A14, INDIRECT("EneR!$A$6:$ZZ$1048576"), MATCH(AD$1, EneR!$6:$6, 0), FALSE),
            0
        ) +
        IFERROR(
            VLOOKUP($A14, INDIRECT("FebR!$A$6:$ZZ$1048576"), MATCH(AD$1, FebR!$6:$6, 0), FALSE),
            0
        ) +
        IFERROR(
            VLOOKUP($A14, INDIRECT("MarR!$A$6:$ZZ$1048576"), MATCH(AD$1, MarR!$6:$6, 0), FALSE),
            0
        ) +
        IFERROR(
            VLOOKUP($A14, INDIRECT("AbrR!$A$6:$ZZ$1048576"), MATCH(AD$1, AbrR!$6:$6, 0), FALSE),
            0
        ) +
        IFERROR(
            VLOOKUP($A14, INDIRECT("MayR!$A$6:$ZZ$1048576"), MATCH(AD$1, MayR!$6:$6, 0), FALSE),
            0
        ) +
        IFERROR(
            VLOOKUP($A14, INDIRECT("JunR!$A$6:$ZZ$1048576"), MATCH(AD$1, JunR!$6:$6, 0), FALSE),
            0
        ) +
        IFERROR(
            VLOOKUP($A14, INDIRECT("JulR!$A$6:$ZZ$1048576"), MATCH(AD$1, JulR!$6:$6, 0), FALSE),
            0
        ) +
        IFERROR(
            VLOOKUP($A14, INDIRECT("AgoR!$A$6:$ZZ$1048576"), MATCH(AD$1, AgoR!$6:$6, 0), FALSE),
            0
        ) +
        IFERROR(
            VLOOKUP($A14, INDIRECT("SepR!$A$6:$ZZ$1048576"), MATCH(AD$1, SepR!$6:$6, 0), FALSE),
            0
        ) +
        IFERROR(
            VLOOKUP($A14, INDIRECT("OctR!$A$6:$ZZ$1048576"), MATCH(AD$1, OctR!$6:$6, 0), FALSE),
            0
        ) +
        IFERROR(
            VLOOKUP($A14, INDIRECT("NovR!$A$6:$ZZ$1048576"), MATCH(AD$1, NovR!$6:$6, 0), FALSE),
            0
        ) +
        IFERROR(
            VLOOKUP($A14, INDIRECT("DicR!$A$6:$ZZ$1048576"), MATCH(AD$1, DicR!$6:$6, 0), FALSE),
            0
        )
)</f>
        <v>0</v>
      </c>
      <c r="AE14" s="37">
        <f t="array" ref="AE14">SUM(
    IFERROR(
            VLOOKUP($A14, INDIRECT("EneR!$A$6:$ZZ$1048576"), MATCH(AE$1, EneR!$6:$6, 0), FALSE),
            0
        ) +
        IFERROR(
            VLOOKUP($A14, INDIRECT("FebR!$A$6:$ZZ$1048576"), MATCH(AE$1, FebR!$6:$6, 0), FALSE),
            0
        ) +
        IFERROR(
            VLOOKUP($A14, INDIRECT("MarR!$A$6:$ZZ$1048576"), MATCH(AE$1, MarR!$6:$6, 0), FALSE),
            0
        ) +
        IFERROR(
            VLOOKUP($A14, INDIRECT("AbrR!$A$6:$ZZ$1048576"), MATCH(AE$1, AbrR!$6:$6, 0), FALSE),
            0
        ) +
        IFERROR(
            VLOOKUP($A14, INDIRECT("MayR!$A$6:$ZZ$1048576"), MATCH(AE$1, MayR!$6:$6, 0), FALSE),
            0
        ) +
        IFERROR(
            VLOOKUP($A14, INDIRECT("JunR!$A$6:$ZZ$1048576"), MATCH(AE$1, JunR!$6:$6, 0), FALSE),
            0
        ) +
        IFERROR(
            VLOOKUP($A14, INDIRECT("JulR!$A$6:$ZZ$1048576"), MATCH(AE$1, JulR!$6:$6, 0), FALSE),
            0
        ) +
        IFERROR(
            VLOOKUP($A14, INDIRECT("AgoR!$A$6:$ZZ$1048576"), MATCH(AE$1, AgoR!$6:$6, 0), FALSE),
            0
        ) +
        IFERROR(
            VLOOKUP($A14, INDIRECT("SepR!$A$6:$ZZ$1048576"), MATCH(AE$1, SepR!$6:$6, 0), FALSE),
            0
        ) +
        IFERROR(
            VLOOKUP($A14, INDIRECT("OctR!$A$6:$ZZ$1048576"), MATCH(AE$1, OctR!$6:$6, 0), FALSE),
            0
        ) +
        IFERROR(
            VLOOKUP($A14, INDIRECT("NovR!$A$6:$ZZ$1048576"), MATCH(AE$1, NovR!$6:$6, 0), FALSE),
            0
        ) +
        IFERROR(
            VLOOKUP($A14, INDIRECT("DicR!$A$6:$ZZ$1048576"), MATCH(AE$1, DicR!$6:$6, 0), FALSE),
            0
        )
)</f>
        <v>0</v>
      </c>
      <c r="AF14" s="36">
        <f t="array" ref="AF14">SUM(
    IFERROR(
            VLOOKUP($A14, INDIRECT("EneR!$A$6:$ZZ$1048576"), MATCH(AF$1, EneR!$6:$6, 0), FALSE),
            0
        ) +
        IFERROR(
            VLOOKUP($A14, INDIRECT("FebR!$A$6:$ZZ$1048576"), MATCH(AF$1, FebR!$6:$6, 0), FALSE),
            0
        ) +
        IFERROR(
            VLOOKUP($A14, INDIRECT("MarR!$A$6:$ZZ$1048576"), MATCH(AF$1, MarR!$6:$6, 0), FALSE),
            0
        ) +
        IFERROR(
            VLOOKUP($A14, INDIRECT("AbrR!$A$6:$ZZ$1048576"), MATCH(AF$1, AbrR!$6:$6, 0), FALSE),
            0
        ) +
        IFERROR(
            VLOOKUP($A14, INDIRECT("MayR!$A$6:$ZZ$1048576"), MATCH(AF$1, MayR!$6:$6, 0), FALSE),
            0
        ) +
        IFERROR(
            VLOOKUP($A14, INDIRECT("JunR!$A$6:$ZZ$1048576"), MATCH(AF$1, JunR!$6:$6, 0), FALSE),
            0
        ) +
        IFERROR(
            VLOOKUP($A14, INDIRECT("JulR!$A$6:$ZZ$1048576"), MATCH(AF$1, JulR!$6:$6, 0), FALSE),
            0
        ) +
        IFERROR(
            VLOOKUP($A14, INDIRECT("AgoR!$A$6:$ZZ$1048576"), MATCH(AF$1, AgoR!$6:$6, 0), FALSE),
            0
        ) +
        IFERROR(
            VLOOKUP($A14, INDIRECT("SepR!$A$6:$ZZ$1048576"), MATCH(AF$1, SepR!$6:$6, 0), FALSE),
            0
        ) +
        IFERROR(
            VLOOKUP($A14, INDIRECT("OctR!$A$6:$ZZ$1048576"), MATCH(AF$1, OctR!$6:$6, 0), FALSE),
            0
        ) +
        IFERROR(
            VLOOKUP($A14, INDIRECT("NovR!$A$6:$ZZ$1048576"), MATCH(AF$1, NovR!$6:$6, 0), FALSE),
            0
        ) +
        IFERROR(
            VLOOKUP($A14, INDIRECT("DicR!$A$6:$ZZ$1048576"), MATCH(AF$1, DicR!$6:$6, 0), FALSE),
            0
        )
)</f>
        <v>0</v>
      </c>
      <c r="AG14" s="37">
        <f t="array" ref="AG14">SUM(
    IFERROR(
            VLOOKUP($A14, INDIRECT("EneR!$A$6:$ZZ$1048576"), MATCH(AG$1, EneR!$6:$6, 0), FALSE),
            0
        ) +
        IFERROR(
            VLOOKUP($A14, INDIRECT("FebR!$A$6:$ZZ$1048576"), MATCH(AG$1, FebR!$6:$6, 0), FALSE),
            0
        ) +
        IFERROR(
            VLOOKUP($A14, INDIRECT("MarR!$A$6:$ZZ$1048576"), MATCH(AG$1, MarR!$6:$6, 0), FALSE),
            0
        ) +
        IFERROR(
            VLOOKUP($A14, INDIRECT("AbrR!$A$6:$ZZ$1048576"), MATCH(AG$1, AbrR!$6:$6, 0), FALSE),
            0
        ) +
        IFERROR(
            VLOOKUP($A14, INDIRECT("MayR!$A$6:$ZZ$1048576"), MATCH(AG$1, MayR!$6:$6, 0), FALSE),
            0
        ) +
        IFERROR(
            VLOOKUP($A14, INDIRECT("JunR!$A$6:$ZZ$1048576"), MATCH(AG$1, JunR!$6:$6, 0), FALSE),
            0
        ) +
        IFERROR(
            VLOOKUP($A14, INDIRECT("JulR!$A$6:$ZZ$1048576"), MATCH(AG$1, JulR!$6:$6, 0), FALSE),
            0
        ) +
        IFERROR(
            VLOOKUP($A14, INDIRECT("AgoR!$A$6:$ZZ$1048576"), MATCH(AG$1, AgoR!$6:$6, 0), FALSE),
            0
        ) +
        IFERROR(
            VLOOKUP($A14, INDIRECT("SepR!$A$6:$ZZ$1048576"), MATCH(AG$1, SepR!$6:$6, 0), FALSE),
            0
        ) +
        IFERROR(
            VLOOKUP($A14, INDIRECT("OctR!$A$6:$ZZ$1048576"), MATCH(AG$1, OctR!$6:$6, 0), FALSE),
            0
        ) +
        IFERROR(
            VLOOKUP($A14, INDIRECT("NovR!$A$6:$ZZ$1048576"), MATCH(AG$1, NovR!$6:$6, 0), FALSE),
            0
        ) +
        IFERROR(
            VLOOKUP($A14, INDIRECT("DicR!$A$6:$ZZ$1048576"), MATCH(AG$1, DicR!$6:$6, 0), FALSE),
            0
        )
)</f>
        <v>0</v>
      </c>
      <c r="AH14" s="36">
        <f t="array" ref="AH14">SUM(
    IFERROR(
            VLOOKUP($A14, INDIRECT("EneR!$A$6:$ZZ$1048576"), MATCH(AH$1, EneR!$6:$6, 0), FALSE),
            0
        ) +
        IFERROR(
            VLOOKUP($A14, INDIRECT("FebR!$A$6:$ZZ$1048576"), MATCH(AH$1, FebR!$6:$6, 0), FALSE),
            0
        ) +
        IFERROR(
            VLOOKUP($A14, INDIRECT("MarR!$A$6:$ZZ$1048576"), MATCH(AH$1, MarR!$6:$6, 0), FALSE),
            0
        ) +
        IFERROR(
            VLOOKUP($A14, INDIRECT("AbrR!$A$6:$ZZ$1048576"), MATCH(AH$1, AbrR!$6:$6, 0), FALSE),
            0
        ) +
        IFERROR(
            VLOOKUP($A14, INDIRECT("MayR!$A$6:$ZZ$1048576"), MATCH(AH$1, MayR!$6:$6, 0), FALSE),
            0
        ) +
        IFERROR(
            VLOOKUP($A14, INDIRECT("JunR!$A$6:$ZZ$1048576"), MATCH(AH$1, JunR!$6:$6, 0), FALSE),
            0
        ) +
        IFERROR(
            VLOOKUP($A14, INDIRECT("JulR!$A$6:$ZZ$1048576"), MATCH(AH$1, JulR!$6:$6, 0), FALSE),
            0
        ) +
        IFERROR(
            VLOOKUP($A14, INDIRECT("AgoR!$A$6:$ZZ$1048576"), MATCH(AH$1, AgoR!$6:$6, 0), FALSE),
            0
        ) +
        IFERROR(
            VLOOKUP($A14, INDIRECT("SepR!$A$6:$ZZ$1048576"), MATCH(AH$1, SepR!$6:$6, 0), FALSE),
            0
        ) +
        IFERROR(
            VLOOKUP($A14, INDIRECT("OctR!$A$6:$ZZ$1048576"), MATCH(AH$1, OctR!$6:$6, 0), FALSE),
            0
        ) +
        IFERROR(
            VLOOKUP($A14, INDIRECT("NovR!$A$6:$ZZ$1048576"), MATCH(AH$1, NovR!$6:$6, 0), FALSE),
            0
        ) +
        IFERROR(
            VLOOKUP($A14, INDIRECT("DicR!$A$6:$ZZ$1048576"), MATCH(AH$1, DicR!$6:$6, 0), FALSE),
            0
        )
)</f>
        <v>0</v>
      </c>
      <c r="AI14" s="37">
        <f t="array" ref="AI14">SUM(
    IFERROR(
            VLOOKUP($A14, INDIRECT("EneR!$A$6:$ZZ$1048576"), MATCH(AI$1, EneR!$6:$6, 0), FALSE),
            0
        ) +
        IFERROR(
            VLOOKUP($A14, INDIRECT("FebR!$A$6:$ZZ$1048576"), MATCH(AI$1, FebR!$6:$6, 0), FALSE),
            0
        ) +
        IFERROR(
            VLOOKUP($A14, INDIRECT("MarR!$A$6:$ZZ$1048576"), MATCH(AI$1, MarR!$6:$6, 0), FALSE),
            0
        ) +
        IFERROR(
            VLOOKUP($A14, INDIRECT("AbrR!$A$6:$ZZ$1048576"), MATCH(AI$1, AbrR!$6:$6, 0), FALSE),
            0
        ) +
        IFERROR(
            VLOOKUP($A14, INDIRECT("MayR!$A$6:$ZZ$1048576"), MATCH(AI$1, MayR!$6:$6, 0), FALSE),
            0
        ) +
        IFERROR(
            VLOOKUP($A14, INDIRECT("JunR!$A$6:$ZZ$1048576"), MATCH(AI$1, JunR!$6:$6, 0), FALSE),
            0
        ) +
        IFERROR(
            VLOOKUP($A14, INDIRECT("JulR!$A$6:$ZZ$1048576"), MATCH(AI$1, JulR!$6:$6, 0), FALSE),
            0
        ) +
        IFERROR(
            VLOOKUP($A14, INDIRECT("AgoR!$A$6:$ZZ$1048576"), MATCH(AI$1, AgoR!$6:$6, 0), FALSE),
            0
        ) +
        IFERROR(
            VLOOKUP($A14, INDIRECT("SepR!$A$6:$ZZ$1048576"), MATCH(AI$1, SepR!$6:$6, 0), FALSE),
            0
        ) +
        IFERROR(
            VLOOKUP($A14, INDIRECT("OctR!$A$6:$ZZ$1048576"), MATCH(AI$1, OctR!$6:$6, 0), FALSE),
            0
        ) +
        IFERROR(
            VLOOKUP($A14, INDIRECT("NovR!$A$6:$ZZ$1048576"), MATCH(AI$1, NovR!$6:$6, 0), FALSE),
            0
        ) +
        IFERROR(
            VLOOKUP($A14, INDIRECT("DicR!$A$6:$ZZ$1048576"), MATCH(AI$1, DicR!$6:$6, 0), FALSE),
            0
        )
)</f>
        <v>0</v>
      </c>
      <c r="AJ14" s="36">
        <f t="array" ref="AJ14">SUM(
    IFERROR(
            VLOOKUP($A14, INDIRECT("EneR!$A$6:$ZZ$1048576"), MATCH(AJ$1, EneR!$6:$6, 0), FALSE),
            0
        ) +
        IFERROR(
            VLOOKUP($A14, INDIRECT("FebR!$A$6:$ZZ$1048576"), MATCH(AJ$1, FebR!$6:$6, 0), FALSE),
            0
        ) +
        IFERROR(
            VLOOKUP($A14, INDIRECT("MarR!$A$6:$ZZ$1048576"), MATCH(AJ$1, MarR!$6:$6, 0), FALSE),
            0
        ) +
        IFERROR(
            VLOOKUP($A14, INDIRECT("AbrR!$A$6:$ZZ$1048576"), MATCH(AJ$1, AbrR!$6:$6, 0), FALSE),
            0
        ) +
        IFERROR(
            VLOOKUP($A14, INDIRECT("MayR!$A$6:$ZZ$1048576"), MATCH(AJ$1, MayR!$6:$6, 0), FALSE),
            0
        ) +
        IFERROR(
            VLOOKUP($A14, INDIRECT("JunR!$A$6:$ZZ$1048576"), MATCH(AJ$1, JunR!$6:$6, 0), FALSE),
            0
        ) +
        IFERROR(
            VLOOKUP($A14, INDIRECT("JulR!$A$6:$ZZ$1048576"), MATCH(AJ$1, JulR!$6:$6, 0), FALSE),
            0
        ) +
        IFERROR(
            VLOOKUP($A14, INDIRECT("AgoR!$A$6:$ZZ$1048576"), MATCH(AJ$1, AgoR!$6:$6, 0), FALSE),
            0
        ) +
        IFERROR(
            VLOOKUP($A14, INDIRECT("SepR!$A$6:$ZZ$1048576"), MATCH(AJ$1, SepR!$6:$6, 0), FALSE),
            0
        ) +
        IFERROR(
            VLOOKUP($A14, INDIRECT("OctR!$A$6:$ZZ$1048576"), MATCH(AJ$1, OctR!$6:$6, 0), FALSE),
            0
        ) +
        IFERROR(
            VLOOKUP($A14, INDIRECT("NovR!$A$6:$ZZ$1048576"), MATCH(AJ$1, NovR!$6:$6, 0), FALSE),
            0
        ) +
        IFERROR(
            VLOOKUP($A14, INDIRECT("DicR!$A$6:$ZZ$1048576"), MATCH(AJ$1, DicR!$6:$6, 0), FALSE),
            0
        )
)</f>
        <v>0</v>
      </c>
      <c r="AK14" s="37">
        <f t="array" ref="AK14">SUM(
    IFERROR(
            VLOOKUP($A14, INDIRECT("EneR!$A$6:$ZZ$1048576"), MATCH(AK$1, EneR!$6:$6, 0), FALSE),
            0
        ) +
        IFERROR(
            VLOOKUP($A14, INDIRECT("FebR!$A$6:$ZZ$1048576"), MATCH(AK$1, FebR!$6:$6, 0), FALSE),
            0
        ) +
        IFERROR(
            VLOOKUP($A14, INDIRECT("MarR!$A$6:$ZZ$1048576"), MATCH(AK$1, MarR!$6:$6, 0), FALSE),
            0
        ) +
        IFERROR(
            VLOOKUP($A14, INDIRECT("AbrR!$A$6:$ZZ$1048576"), MATCH(AK$1, AbrR!$6:$6, 0), FALSE),
            0
        ) +
        IFERROR(
            VLOOKUP($A14, INDIRECT("MayR!$A$6:$ZZ$1048576"), MATCH(AK$1, MayR!$6:$6, 0), FALSE),
            0
        ) +
        IFERROR(
            VLOOKUP($A14, INDIRECT("JunR!$A$6:$ZZ$1048576"), MATCH(AK$1, JunR!$6:$6, 0), FALSE),
            0
        ) +
        IFERROR(
            VLOOKUP($A14, INDIRECT("JulR!$A$6:$ZZ$1048576"), MATCH(AK$1, JulR!$6:$6, 0), FALSE),
            0
        ) +
        IFERROR(
            VLOOKUP($A14, INDIRECT("AgoR!$A$6:$ZZ$1048576"), MATCH(AK$1, AgoR!$6:$6, 0), FALSE),
            0
        ) +
        IFERROR(
            VLOOKUP($A14, INDIRECT("SepR!$A$6:$ZZ$1048576"), MATCH(AK$1, SepR!$6:$6, 0), FALSE),
            0
        ) +
        IFERROR(
            VLOOKUP($A14, INDIRECT("OctR!$A$6:$ZZ$1048576"), MATCH(AK$1, OctR!$6:$6, 0), FALSE),
            0
        ) +
        IFERROR(
            VLOOKUP($A14, INDIRECT("NovR!$A$6:$ZZ$1048576"), MATCH(AK$1, NovR!$6:$6, 0), FALSE),
            0
        ) +
        IFERROR(
            VLOOKUP($A14, INDIRECT("DicR!$A$6:$ZZ$1048576"), MATCH(AK$1, DicR!$6:$6, 0), FALSE),
            0
        )
)</f>
        <v>0</v>
      </c>
      <c r="AL14" s="36">
        <f t="array" ref="AL14">SUM(
    IFERROR(
            VLOOKUP($A14, INDIRECT("EneR!$A$6:$ZZ$1048576"), MATCH(AL$1, EneR!$6:$6, 0), FALSE),
            0
        ) +
        IFERROR(
            VLOOKUP($A14, INDIRECT("FebR!$A$6:$ZZ$1048576"), MATCH(AL$1, FebR!$6:$6, 0), FALSE),
            0
        ) +
        IFERROR(
            VLOOKUP($A14, INDIRECT("MarR!$A$6:$ZZ$1048576"), MATCH(AL$1, MarR!$6:$6, 0), FALSE),
            0
        ) +
        IFERROR(
            VLOOKUP($A14, INDIRECT("AbrR!$A$6:$ZZ$1048576"), MATCH(AL$1, AbrR!$6:$6, 0), FALSE),
            0
        ) +
        IFERROR(
            VLOOKUP($A14, INDIRECT("MayR!$A$6:$ZZ$1048576"), MATCH(AL$1, MayR!$6:$6, 0), FALSE),
            0
        ) +
        IFERROR(
            VLOOKUP($A14, INDIRECT("JunR!$A$6:$ZZ$1048576"), MATCH(AL$1, JunR!$6:$6, 0), FALSE),
            0
        ) +
        IFERROR(
            VLOOKUP($A14, INDIRECT("JulR!$A$6:$ZZ$1048576"), MATCH(AL$1, JulR!$6:$6, 0), FALSE),
            0
        ) +
        IFERROR(
            VLOOKUP($A14, INDIRECT("AgoR!$A$6:$ZZ$1048576"), MATCH(AL$1, AgoR!$6:$6, 0), FALSE),
            0
        ) +
        IFERROR(
            VLOOKUP($A14, INDIRECT("SepR!$A$6:$ZZ$1048576"), MATCH(AL$1, SepR!$6:$6, 0), FALSE),
            0
        ) +
        IFERROR(
            VLOOKUP($A14, INDIRECT("OctR!$A$6:$ZZ$1048576"), MATCH(AL$1, OctR!$6:$6, 0), FALSE),
            0
        ) +
        IFERROR(
            VLOOKUP($A14, INDIRECT("NovR!$A$6:$ZZ$1048576"), MATCH(AL$1, NovR!$6:$6, 0), FALSE),
            0
        ) +
        IFERROR(
            VLOOKUP($A14, INDIRECT("DicR!$A$6:$ZZ$1048576"), MATCH(AL$1, DicR!$6:$6, 0), FALSE),
            0
        )
)</f>
        <v>0</v>
      </c>
      <c r="AM14" s="37">
        <f t="array" ref="AM14">SUM(
    IFERROR(
            VLOOKUP($A14, INDIRECT("EneR!$A$6:$ZZ$1048576"), MATCH(AM$1, EneR!$6:$6, 0), FALSE),
            0
        ) +
        IFERROR(
            VLOOKUP($A14, INDIRECT("FebR!$A$6:$ZZ$1048576"), MATCH(AM$1, FebR!$6:$6, 0), FALSE),
            0
        ) +
        IFERROR(
            VLOOKUP($A14, INDIRECT("MarR!$A$6:$ZZ$1048576"), MATCH(AM$1, MarR!$6:$6, 0), FALSE),
            0
        ) +
        IFERROR(
            VLOOKUP($A14, INDIRECT("AbrR!$A$6:$ZZ$1048576"), MATCH(AM$1, AbrR!$6:$6, 0), FALSE),
            0
        ) +
        IFERROR(
            VLOOKUP($A14, INDIRECT("MayR!$A$6:$ZZ$1048576"), MATCH(AM$1, MayR!$6:$6, 0), FALSE),
            0
        ) +
        IFERROR(
            VLOOKUP($A14, INDIRECT("JunR!$A$6:$ZZ$1048576"), MATCH(AM$1, JunR!$6:$6, 0), FALSE),
            0
        ) +
        IFERROR(
            VLOOKUP($A14, INDIRECT("JulR!$A$6:$ZZ$1048576"), MATCH(AM$1, JulR!$6:$6, 0), FALSE),
            0
        ) +
        IFERROR(
            VLOOKUP($A14, INDIRECT("AgoR!$A$6:$ZZ$1048576"), MATCH(AM$1, AgoR!$6:$6, 0), FALSE),
            0
        ) +
        IFERROR(
            VLOOKUP($A14, INDIRECT("SepR!$A$6:$ZZ$1048576"), MATCH(AM$1, SepR!$6:$6, 0), FALSE),
            0
        ) +
        IFERROR(
            VLOOKUP($A14, INDIRECT("OctR!$A$6:$ZZ$1048576"), MATCH(AM$1, OctR!$6:$6, 0), FALSE),
            0
        ) +
        IFERROR(
            VLOOKUP($A14, INDIRECT("NovR!$A$6:$ZZ$1048576"), MATCH(AM$1, NovR!$6:$6, 0), FALSE),
            0
        ) +
        IFERROR(
            VLOOKUP($A14, INDIRECT("DicR!$A$6:$ZZ$1048576"), MATCH(AM$1, DicR!$6:$6, 0), FALSE),
            0
        )
)</f>
        <v>0</v>
      </c>
      <c r="AN14" s="36">
        <f t="array" ref="AN14">SUM(
    IFERROR(
            VLOOKUP($A14, INDIRECT("EneR!$A$6:$ZZ$1048576"), MATCH(AN$1, EneR!$6:$6, 0), FALSE),
            0
        ) +
        IFERROR(
            VLOOKUP($A14, INDIRECT("FebR!$A$6:$ZZ$1048576"), MATCH(AN$1, FebR!$6:$6, 0), FALSE),
            0
        ) +
        IFERROR(
            VLOOKUP($A14, INDIRECT("MarR!$A$6:$ZZ$1048576"), MATCH(AN$1, MarR!$6:$6, 0), FALSE),
            0
        ) +
        IFERROR(
            VLOOKUP($A14, INDIRECT("AbrR!$A$6:$ZZ$1048576"), MATCH(AN$1, AbrR!$6:$6, 0), FALSE),
            0
        ) +
        IFERROR(
            VLOOKUP($A14, INDIRECT("MayR!$A$6:$ZZ$1048576"), MATCH(AN$1, MayR!$6:$6, 0), FALSE),
            0
        ) +
        IFERROR(
            VLOOKUP($A14, INDIRECT("JunR!$A$6:$ZZ$1048576"), MATCH(AN$1, JunR!$6:$6, 0), FALSE),
            0
        ) +
        IFERROR(
            VLOOKUP($A14, INDIRECT("JulR!$A$6:$ZZ$1048576"), MATCH(AN$1, JulR!$6:$6, 0), FALSE),
            0
        ) +
        IFERROR(
            VLOOKUP($A14, INDIRECT("AgoR!$A$6:$ZZ$1048576"), MATCH(AN$1, AgoR!$6:$6, 0), FALSE),
            0
        ) +
        IFERROR(
            VLOOKUP($A14, INDIRECT("SepR!$A$6:$ZZ$1048576"), MATCH(AN$1, SepR!$6:$6, 0), FALSE),
            0
        ) +
        IFERROR(
            VLOOKUP($A14, INDIRECT("OctR!$A$6:$ZZ$1048576"), MATCH(AN$1, OctR!$6:$6, 0), FALSE),
            0
        ) +
        IFERROR(
            VLOOKUP($A14, INDIRECT("NovR!$A$6:$ZZ$1048576"), MATCH(AN$1, NovR!$6:$6, 0), FALSE),
            0
        ) +
        IFERROR(
            VLOOKUP($A14, INDIRECT("DicR!$A$6:$ZZ$1048576"), MATCH(AN$1, DicR!$6:$6, 0), FALSE),
            0
        )
)</f>
        <v>0</v>
      </c>
      <c r="AO14" s="37">
        <f t="array" ref="AO14">SUM(
    IFERROR(
            VLOOKUP($A14, INDIRECT("EneR!$A$6:$ZZ$1048576"), MATCH(AO$1, EneR!$6:$6, 0), FALSE),
            0
        ) +
        IFERROR(
            VLOOKUP($A14, INDIRECT("FebR!$A$6:$ZZ$1048576"), MATCH(AO$1, FebR!$6:$6, 0), FALSE),
            0
        ) +
        IFERROR(
            VLOOKUP($A14, INDIRECT("MarR!$A$6:$ZZ$1048576"), MATCH(AO$1, MarR!$6:$6, 0), FALSE),
            0
        ) +
        IFERROR(
            VLOOKUP($A14, INDIRECT("AbrR!$A$6:$ZZ$1048576"), MATCH(AO$1, AbrR!$6:$6, 0), FALSE),
            0
        ) +
        IFERROR(
            VLOOKUP($A14, INDIRECT("MayR!$A$6:$ZZ$1048576"), MATCH(AO$1, MayR!$6:$6, 0), FALSE),
            0
        ) +
        IFERROR(
            VLOOKUP($A14, INDIRECT("JunR!$A$6:$ZZ$1048576"), MATCH(AO$1, JunR!$6:$6, 0), FALSE),
            0
        ) +
        IFERROR(
            VLOOKUP($A14, INDIRECT("JulR!$A$6:$ZZ$1048576"), MATCH(AO$1, JulR!$6:$6, 0), FALSE),
            0
        ) +
        IFERROR(
            VLOOKUP($A14, INDIRECT("AgoR!$A$6:$ZZ$1048576"), MATCH(AO$1, AgoR!$6:$6, 0), FALSE),
            0
        ) +
        IFERROR(
            VLOOKUP($A14, INDIRECT("SepR!$A$6:$ZZ$1048576"), MATCH(AO$1, SepR!$6:$6, 0), FALSE),
            0
        ) +
        IFERROR(
            VLOOKUP($A14, INDIRECT("OctR!$A$6:$ZZ$1048576"), MATCH(AO$1, OctR!$6:$6, 0), FALSE),
            0
        ) +
        IFERROR(
            VLOOKUP($A14, INDIRECT("NovR!$A$6:$ZZ$1048576"), MATCH(AO$1, NovR!$6:$6, 0), FALSE),
            0
        ) +
        IFERROR(
            VLOOKUP($A14, INDIRECT("DicR!$A$6:$ZZ$1048576"), MATCH(AO$1, DicR!$6:$6, 0), FALSE),
            0
        )
)</f>
        <v>0</v>
      </c>
      <c r="AP14" s="36">
        <f t="array" ref="AP14">SUM(
    IFERROR(
            VLOOKUP($A14, INDIRECT("EneR!$A$6:$ZZ$1048576"), MATCH(AP$1, EneR!$6:$6, 0), FALSE),
            0
        ) +
        IFERROR(
            VLOOKUP($A14, INDIRECT("FebR!$A$6:$ZZ$1048576"), MATCH(AP$1, FebR!$6:$6, 0), FALSE),
            0
        ) +
        IFERROR(
            VLOOKUP($A14, INDIRECT("MarR!$A$6:$ZZ$1048576"), MATCH(AP$1, MarR!$6:$6, 0), FALSE),
            0
        ) +
        IFERROR(
            VLOOKUP($A14, INDIRECT("AbrR!$A$6:$ZZ$1048576"), MATCH(AP$1, AbrR!$6:$6, 0), FALSE),
            0
        ) +
        IFERROR(
            VLOOKUP($A14, INDIRECT("MayR!$A$6:$ZZ$1048576"), MATCH(AP$1, MayR!$6:$6, 0), FALSE),
            0
        ) +
        IFERROR(
            VLOOKUP($A14, INDIRECT("JunR!$A$6:$ZZ$1048576"), MATCH(AP$1, JunR!$6:$6, 0), FALSE),
            0
        ) +
        IFERROR(
            VLOOKUP($A14, INDIRECT("JulR!$A$6:$ZZ$1048576"), MATCH(AP$1, JulR!$6:$6, 0), FALSE),
            0
        ) +
        IFERROR(
            VLOOKUP($A14, INDIRECT("AgoR!$A$6:$ZZ$1048576"), MATCH(AP$1, AgoR!$6:$6, 0), FALSE),
            0
        ) +
        IFERROR(
            VLOOKUP($A14, INDIRECT("SepR!$A$6:$ZZ$1048576"), MATCH(AP$1, SepR!$6:$6, 0), FALSE),
            0
        ) +
        IFERROR(
            VLOOKUP($A14, INDIRECT("OctR!$A$6:$ZZ$1048576"), MATCH(AP$1, OctR!$6:$6, 0), FALSE),
            0
        ) +
        IFERROR(
            VLOOKUP($A14, INDIRECT("NovR!$A$6:$ZZ$1048576"), MATCH(AP$1, NovR!$6:$6, 0), FALSE),
            0
        ) +
        IFERROR(
            VLOOKUP($A14, INDIRECT("DicR!$A$6:$ZZ$1048576"), MATCH(AP$1, DicR!$6:$6, 0), FALSE),
            0
        )
)</f>
        <v>0</v>
      </c>
      <c r="AQ14" s="37">
        <f t="array" ref="AQ14">SUM(
    IFERROR(
            VLOOKUP($A14, INDIRECT("EneR!$A$6:$ZZ$1048576"), MATCH(AQ$1, EneR!$6:$6, 0), FALSE),
            0
        ) +
        IFERROR(
            VLOOKUP($A14, INDIRECT("FebR!$A$6:$ZZ$1048576"), MATCH(AQ$1, FebR!$6:$6, 0), FALSE),
            0
        ) +
        IFERROR(
            VLOOKUP($A14, INDIRECT("MarR!$A$6:$ZZ$1048576"), MATCH(AQ$1, MarR!$6:$6, 0), FALSE),
            0
        ) +
        IFERROR(
            VLOOKUP($A14, INDIRECT("AbrR!$A$6:$ZZ$1048576"), MATCH(AQ$1, AbrR!$6:$6, 0), FALSE),
            0
        ) +
        IFERROR(
            VLOOKUP($A14, INDIRECT("MayR!$A$6:$ZZ$1048576"), MATCH(AQ$1, MayR!$6:$6, 0), FALSE),
            0
        ) +
        IFERROR(
            VLOOKUP($A14, INDIRECT("JunR!$A$6:$ZZ$1048576"), MATCH(AQ$1, JunR!$6:$6, 0), FALSE),
            0
        ) +
        IFERROR(
            VLOOKUP($A14, INDIRECT("JulR!$A$6:$ZZ$1048576"), MATCH(AQ$1, JulR!$6:$6, 0), FALSE),
            0
        ) +
        IFERROR(
            VLOOKUP($A14, INDIRECT("AgoR!$A$6:$ZZ$1048576"), MATCH(AQ$1, AgoR!$6:$6, 0), FALSE),
            0
        ) +
        IFERROR(
            VLOOKUP($A14, INDIRECT("SepR!$A$6:$ZZ$1048576"), MATCH(AQ$1, SepR!$6:$6, 0), FALSE),
            0
        ) +
        IFERROR(
            VLOOKUP($A14, INDIRECT("OctR!$A$6:$ZZ$1048576"), MATCH(AQ$1, OctR!$6:$6, 0), FALSE),
            0
        ) +
        IFERROR(
            VLOOKUP($A14, INDIRECT("NovR!$A$6:$ZZ$1048576"), MATCH(AQ$1, NovR!$6:$6, 0), FALSE),
            0
        ) +
        IFERROR(
            VLOOKUP($A14, INDIRECT("DicR!$A$6:$ZZ$1048576"), MATCH(AQ$1, DicR!$6:$6, 0), FALSE),
            0
        )
)</f>
        <v>0</v>
      </c>
      <c r="AR14" s="36">
        <f t="array" ref="AR14">SUM(
    IFERROR(
            VLOOKUP($A14, INDIRECT("EneR!$A$6:$ZZ$1048576"), MATCH(AR$1, EneR!$6:$6, 0), FALSE),
            0
        ) +
        IFERROR(
            VLOOKUP($A14, INDIRECT("FebR!$A$6:$ZZ$1048576"), MATCH(AR$1, FebR!$6:$6, 0), FALSE),
            0
        ) +
        IFERROR(
            VLOOKUP($A14, INDIRECT("MarR!$A$6:$ZZ$1048576"), MATCH(AR$1, MarR!$6:$6, 0), FALSE),
            0
        ) +
        IFERROR(
            VLOOKUP($A14, INDIRECT("AbrR!$A$6:$ZZ$1048576"), MATCH(AR$1, AbrR!$6:$6, 0), FALSE),
            0
        ) +
        IFERROR(
            VLOOKUP($A14, INDIRECT("MayR!$A$6:$ZZ$1048576"), MATCH(AR$1, MayR!$6:$6, 0), FALSE),
            0
        ) +
        IFERROR(
            VLOOKUP($A14, INDIRECT("JunR!$A$6:$ZZ$1048576"), MATCH(AR$1, JunR!$6:$6, 0), FALSE),
            0
        ) +
        IFERROR(
            VLOOKUP($A14, INDIRECT("JulR!$A$6:$ZZ$1048576"), MATCH(AR$1, JulR!$6:$6, 0), FALSE),
            0
        ) +
        IFERROR(
            VLOOKUP($A14, INDIRECT("AgoR!$A$6:$ZZ$1048576"), MATCH(AR$1, AgoR!$6:$6, 0), FALSE),
            0
        ) +
        IFERROR(
            VLOOKUP($A14, INDIRECT("SepR!$A$6:$ZZ$1048576"), MATCH(AR$1, SepR!$6:$6, 0), FALSE),
            0
        ) +
        IFERROR(
            VLOOKUP($A14, INDIRECT("OctR!$A$6:$ZZ$1048576"), MATCH(AR$1, OctR!$6:$6, 0), FALSE),
            0
        ) +
        IFERROR(
            VLOOKUP($A14, INDIRECT("NovR!$A$6:$ZZ$1048576"), MATCH(AR$1, NovR!$6:$6, 0), FALSE),
            0
        ) +
        IFERROR(
            VLOOKUP($A14, INDIRECT("DicR!$A$6:$ZZ$1048576"), MATCH(AR$1, DicR!$6:$6, 0), FALSE),
            0
        )
)</f>
        <v>0</v>
      </c>
      <c r="AS14" s="37">
        <f t="array" ref="AS14">SUM(
    IFERROR(
            VLOOKUP($A14, INDIRECT("EneR!$A$6:$ZZ$1048576"), MATCH(AS$1, EneR!$6:$6, 0), FALSE),
            0
        ) +
        IFERROR(
            VLOOKUP($A14, INDIRECT("FebR!$A$6:$ZZ$1048576"), MATCH(AS$1, FebR!$6:$6, 0), FALSE),
            0
        ) +
        IFERROR(
            VLOOKUP($A14, INDIRECT("MarR!$A$6:$ZZ$1048576"), MATCH(AS$1, MarR!$6:$6, 0), FALSE),
            0
        ) +
        IFERROR(
            VLOOKUP($A14, INDIRECT("AbrR!$A$6:$ZZ$1048576"), MATCH(AS$1, AbrR!$6:$6, 0), FALSE),
            0
        ) +
        IFERROR(
            VLOOKUP($A14, INDIRECT("MayR!$A$6:$ZZ$1048576"), MATCH(AS$1, MayR!$6:$6, 0), FALSE),
            0
        ) +
        IFERROR(
            VLOOKUP($A14, INDIRECT("JunR!$A$6:$ZZ$1048576"), MATCH(AS$1, JunR!$6:$6, 0), FALSE),
            0
        ) +
        IFERROR(
            VLOOKUP($A14, INDIRECT("JulR!$A$6:$ZZ$1048576"), MATCH(AS$1, JulR!$6:$6, 0), FALSE),
            0
        ) +
        IFERROR(
            VLOOKUP($A14, INDIRECT("AgoR!$A$6:$ZZ$1048576"), MATCH(AS$1, AgoR!$6:$6, 0), FALSE),
            0
        ) +
        IFERROR(
            VLOOKUP($A14, INDIRECT("SepR!$A$6:$ZZ$1048576"), MATCH(AS$1, SepR!$6:$6, 0), FALSE),
            0
        ) +
        IFERROR(
            VLOOKUP($A14, INDIRECT("OctR!$A$6:$ZZ$1048576"), MATCH(AS$1, OctR!$6:$6, 0), FALSE),
            0
        ) +
        IFERROR(
            VLOOKUP($A14, INDIRECT("NovR!$A$6:$ZZ$1048576"), MATCH(AS$1, NovR!$6:$6, 0), FALSE),
            0
        ) +
        IFERROR(
            VLOOKUP($A14, INDIRECT("DicR!$A$6:$ZZ$1048576"), MATCH(AS$1, DicR!$6:$6, 0), FALSE),
            0
        )
)</f>
        <v>0</v>
      </c>
      <c r="AT14" s="36">
        <f t="array" ref="AT14">SUM(
    IFERROR(
            VLOOKUP($A14, INDIRECT("EneR!$A$6:$ZZ$1048576"), MATCH(AT$1, EneR!$6:$6, 0), FALSE),
            0
        ) +
        IFERROR(
            VLOOKUP($A14, INDIRECT("FebR!$A$6:$ZZ$1048576"), MATCH(AT$1, FebR!$6:$6, 0), FALSE),
            0
        ) +
        IFERROR(
            VLOOKUP($A14, INDIRECT("MarR!$A$6:$ZZ$1048576"), MATCH(AT$1, MarR!$6:$6, 0), FALSE),
            0
        ) +
        IFERROR(
            VLOOKUP($A14, INDIRECT("AbrR!$A$6:$ZZ$1048576"), MATCH(AT$1, AbrR!$6:$6, 0), FALSE),
            0
        ) +
        IFERROR(
            VLOOKUP($A14, INDIRECT("MayR!$A$6:$ZZ$1048576"), MATCH(AT$1, MayR!$6:$6, 0), FALSE),
            0
        ) +
        IFERROR(
            VLOOKUP($A14, INDIRECT("JunR!$A$6:$ZZ$1048576"), MATCH(AT$1, JunR!$6:$6, 0), FALSE),
            0
        ) +
        IFERROR(
            VLOOKUP($A14, INDIRECT("JulR!$A$6:$ZZ$1048576"), MATCH(AT$1, JulR!$6:$6, 0), FALSE),
            0
        ) +
        IFERROR(
            VLOOKUP($A14, INDIRECT("AgoR!$A$6:$ZZ$1048576"), MATCH(AT$1, AgoR!$6:$6, 0), FALSE),
            0
        ) +
        IFERROR(
            VLOOKUP($A14, INDIRECT("SepR!$A$6:$ZZ$1048576"), MATCH(AT$1, SepR!$6:$6, 0), FALSE),
            0
        ) +
        IFERROR(
            VLOOKUP($A14, INDIRECT("OctR!$A$6:$ZZ$1048576"), MATCH(AT$1, OctR!$6:$6, 0), FALSE),
            0
        ) +
        IFERROR(
            VLOOKUP($A14, INDIRECT("NovR!$A$6:$ZZ$1048576"), MATCH(AT$1, NovR!$6:$6, 0), FALSE),
            0
        ) +
        IFERROR(
            VLOOKUP($A14, INDIRECT("DicR!$A$6:$ZZ$1048576"), MATCH(AT$1, DicR!$6:$6, 0), FALSE),
            0
        )
)</f>
        <v>0</v>
      </c>
      <c r="AU14" s="37">
        <f t="array" ref="AU14">SUM(
    IFERROR(
            VLOOKUP($A14, INDIRECT("EneR!$A$6:$ZZ$1048576"), MATCH(AU$1, EneR!$6:$6, 0), FALSE),
            0
        ) +
        IFERROR(
            VLOOKUP($A14, INDIRECT("FebR!$A$6:$ZZ$1048576"), MATCH(AU$1, FebR!$6:$6, 0), FALSE),
            0
        ) +
        IFERROR(
            VLOOKUP($A14, INDIRECT("MarR!$A$6:$ZZ$1048576"), MATCH(AU$1, MarR!$6:$6, 0), FALSE),
            0
        ) +
        IFERROR(
            VLOOKUP($A14, INDIRECT("AbrR!$A$6:$ZZ$1048576"), MATCH(AU$1, AbrR!$6:$6, 0), FALSE),
            0
        ) +
        IFERROR(
            VLOOKUP($A14, INDIRECT("MayR!$A$6:$ZZ$1048576"), MATCH(AU$1, MayR!$6:$6, 0), FALSE),
            0
        ) +
        IFERROR(
            VLOOKUP($A14, INDIRECT("JunR!$A$6:$ZZ$1048576"), MATCH(AU$1, JunR!$6:$6, 0), FALSE),
            0
        ) +
        IFERROR(
            VLOOKUP($A14, INDIRECT("JulR!$A$6:$ZZ$1048576"), MATCH(AU$1, JulR!$6:$6, 0), FALSE),
            0
        ) +
        IFERROR(
            VLOOKUP($A14, INDIRECT("AgoR!$A$6:$ZZ$1048576"), MATCH(AU$1, AgoR!$6:$6, 0), FALSE),
            0
        ) +
        IFERROR(
            VLOOKUP($A14, INDIRECT("SepR!$A$6:$ZZ$1048576"), MATCH(AU$1, SepR!$6:$6, 0), FALSE),
            0
        ) +
        IFERROR(
            VLOOKUP($A14, INDIRECT("OctR!$A$6:$ZZ$1048576"), MATCH(AU$1, OctR!$6:$6, 0), FALSE),
            0
        ) +
        IFERROR(
            VLOOKUP($A14, INDIRECT("NovR!$A$6:$ZZ$1048576"), MATCH(AU$1, NovR!$6:$6, 0), FALSE),
            0
        ) +
        IFERROR(
            VLOOKUP($A14, INDIRECT("DicR!$A$6:$ZZ$1048576"), MATCH(AU$1, DicR!$6:$6, 0), FALSE),
            0
        )
)</f>
        <v>0</v>
      </c>
      <c r="AV14" s="36">
        <f t="array" ref="AV14">SUM(
    IFERROR(
            VLOOKUP($A14, INDIRECT("EneR!$A$6:$ZZ$1048576"), MATCH(AV$1, EneR!$6:$6, 0), FALSE),
            0
        ) +
        IFERROR(
            VLOOKUP($A14, INDIRECT("FebR!$A$6:$ZZ$1048576"), MATCH(AV$1, FebR!$6:$6, 0), FALSE),
            0
        ) +
        IFERROR(
            VLOOKUP($A14, INDIRECT("MarR!$A$6:$ZZ$1048576"), MATCH(AV$1, MarR!$6:$6, 0), FALSE),
            0
        ) +
        IFERROR(
            VLOOKUP($A14, INDIRECT("AbrR!$A$6:$ZZ$1048576"), MATCH(AV$1, AbrR!$6:$6, 0), FALSE),
            0
        ) +
        IFERROR(
            VLOOKUP($A14, INDIRECT("MayR!$A$6:$ZZ$1048576"), MATCH(AV$1, MayR!$6:$6, 0), FALSE),
            0
        ) +
        IFERROR(
            VLOOKUP($A14, INDIRECT("JunR!$A$6:$ZZ$1048576"), MATCH(AV$1, JunR!$6:$6, 0), FALSE),
            0
        ) +
        IFERROR(
            VLOOKUP($A14, INDIRECT("JulR!$A$6:$ZZ$1048576"), MATCH(AV$1, JulR!$6:$6, 0), FALSE),
            0
        ) +
        IFERROR(
            VLOOKUP($A14, INDIRECT("AgoR!$A$6:$ZZ$1048576"), MATCH(AV$1, AgoR!$6:$6, 0), FALSE),
            0
        ) +
        IFERROR(
            VLOOKUP($A14, INDIRECT("SepR!$A$6:$ZZ$1048576"), MATCH(AV$1, SepR!$6:$6, 0), FALSE),
            0
        ) +
        IFERROR(
            VLOOKUP($A14, INDIRECT("OctR!$A$6:$ZZ$1048576"), MATCH(AV$1, OctR!$6:$6, 0), FALSE),
            0
        ) +
        IFERROR(
            VLOOKUP($A14, INDIRECT("NovR!$A$6:$ZZ$1048576"), MATCH(AV$1, NovR!$6:$6, 0), FALSE),
            0
        ) +
        IFERROR(
            VLOOKUP($A14, INDIRECT("DicR!$A$6:$ZZ$1048576"), MATCH(AV$1, DicR!$6:$6, 0), FALSE),
            0
        )
)</f>
        <v>0</v>
      </c>
      <c r="AW14" s="37">
        <f t="array" ref="AW14">SUM(
    IFERROR(
            VLOOKUP($A14, INDIRECT("EneR!$A$6:$ZZ$1048576"), MATCH(AW$1, EneR!$6:$6, 0), FALSE),
            0
        ) +
        IFERROR(
            VLOOKUP($A14, INDIRECT("FebR!$A$6:$ZZ$1048576"), MATCH(AW$1, FebR!$6:$6, 0), FALSE),
            0
        ) +
        IFERROR(
            VLOOKUP($A14, INDIRECT("MarR!$A$6:$ZZ$1048576"), MATCH(AW$1, MarR!$6:$6, 0), FALSE),
            0
        ) +
        IFERROR(
            VLOOKUP($A14, INDIRECT("AbrR!$A$6:$ZZ$1048576"), MATCH(AW$1, AbrR!$6:$6, 0), FALSE),
            0
        ) +
        IFERROR(
            VLOOKUP($A14, INDIRECT("MayR!$A$6:$ZZ$1048576"), MATCH(AW$1, MayR!$6:$6, 0), FALSE),
            0
        ) +
        IFERROR(
            VLOOKUP($A14, INDIRECT("JunR!$A$6:$ZZ$1048576"), MATCH(AW$1, JunR!$6:$6, 0), FALSE),
            0
        ) +
        IFERROR(
            VLOOKUP($A14, INDIRECT("JulR!$A$6:$ZZ$1048576"), MATCH(AW$1, JulR!$6:$6, 0), FALSE),
            0
        ) +
        IFERROR(
            VLOOKUP($A14, INDIRECT("AgoR!$A$6:$ZZ$1048576"), MATCH(AW$1, AgoR!$6:$6, 0), FALSE),
            0
        ) +
        IFERROR(
            VLOOKUP($A14, INDIRECT("SepR!$A$6:$ZZ$1048576"), MATCH(AW$1, SepR!$6:$6, 0), FALSE),
            0
        ) +
        IFERROR(
            VLOOKUP($A14, INDIRECT("OctR!$A$6:$ZZ$1048576"), MATCH(AW$1, OctR!$6:$6, 0), FALSE),
            0
        ) +
        IFERROR(
            VLOOKUP($A14, INDIRECT("NovR!$A$6:$ZZ$1048576"), MATCH(AW$1, NovR!$6:$6, 0), FALSE),
            0
        ) +
        IFERROR(
            VLOOKUP($A14, INDIRECT("DicR!$A$6:$ZZ$1048576"), MATCH(AW$1, DicR!$6:$6, 0), FALSE),
            0
        )
)</f>
        <v>0</v>
      </c>
      <c r="AX14" s="36">
        <f t="array" ref="AX14">SUM(
    IFERROR(
            VLOOKUP($A14, INDIRECT("EneR!$A$6:$ZZ$1048576"), MATCH(AX$1, EneR!$6:$6, 0), FALSE),
            0
        ) +
        IFERROR(
            VLOOKUP($A14, INDIRECT("FebR!$A$6:$ZZ$1048576"), MATCH(AX$1, FebR!$6:$6, 0), FALSE),
            0
        ) +
        IFERROR(
            VLOOKUP($A14, INDIRECT("MarR!$A$6:$ZZ$1048576"), MATCH(AX$1, MarR!$6:$6, 0), FALSE),
            0
        ) +
        IFERROR(
            VLOOKUP($A14, INDIRECT("AbrR!$A$6:$ZZ$1048576"), MATCH(AX$1, AbrR!$6:$6, 0), FALSE),
            0
        ) +
        IFERROR(
            VLOOKUP($A14, INDIRECT("MayR!$A$6:$ZZ$1048576"), MATCH(AX$1, MayR!$6:$6, 0), FALSE),
            0
        ) +
        IFERROR(
            VLOOKUP($A14, INDIRECT("JunR!$A$6:$ZZ$1048576"), MATCH(AX$1, JunR!$6:$6, 0), FALSE),
            0
        ) +
        IFERROR(
            VLOOKUP($A14, INDIRECT("JulR!$A$6:$ZZ$1048576"), MATCH(AX$1, JulR!$6:$6, 0), FALSE),
            0
        ) +
        IFERROR(
            VLOOKUP($A14, INDIRECT("AgoR!$A$6:$ZZ$1048576"), MATCH(AX$1, AgoR!$6:$6, 0), FALSE),
            0
        ) +
        IFERROR(
            VLOOKUP($A14, INDIRECT("SepR!$A$6:$ZZ$1048576"), MATCH(AX$1, SepR!$6:$6, 0), FALSE),
            0
        ) +
        IFERROR(
            VLOOKUP($A14, INDIRECT("OctR!$A$6:$ZZ$1048576"), MATCH(AX$1, OctR!$6:$6, 0), FALSE),
            0
        ) +
        IFERROR(
            VLOOKUP($A14, INDIRECT("NovR!$A$6:$ZZ$1048576"), MATCH(AX$1, NovR!$6:$6, 0), FALSE),
            0
        ) +
        IFERROR(
            VLOOKUP($A14, INDIRECT("DicR!$A$6:$ZZ$1048576"), MATCH(AX$1, DicR!$6:$6, 0), FALSE),
            0
        )
)</f>
        <v>0</v>
      </c>
      <c r="AY14" s="37">
        <f t="array" ref="AY14">SUM(
    IFERROR(
            VLOOKUP($A14, INDIRECT("EneR!$A$6:$ZZ$1048576"), MATCH(AY$1, EneR!$6:$6, 0), FALSE),
            0
        ) +
        IFERROR(
            VLOOKUP($A14, INDIRECT("FebR!$A$6:$ZZ$1048576"), MATCH(AY$1, FebR!$6:$6, 0), FALSE),
            0
        ) +
        IFERROR(
            VLOOKUP($A14, INDIRECT("MarR!$A$6:$ZZ$1048576"), MATCH(AY$1, MarR!$6:$6, 0), FALSE),
            0
        ) +
        IFERROR(
            VLOOKUP($A14, INDIRECT("AbrR!$A$6:$ZZ$1048576"), MATCH(AY$1, AbrR!$6:$6, 0), FALSE),
            0
        ) +
        IFERROR(
            VLOOKUP($A14, INDIRECT("MayR!$A$6:$ZZ$1048576"), MATCH(AY$1, MayR!$6:$6, 0), FALSE),
            0
        ) +
        IFERROR(
            VLOOKUP($A14, INDIRECT("JunR!$A$6:$ZZ$1048576"), MATCH(AY$1, JunR!$6:$6, 0), FALSE),
            0
        ) +
        IFERROR(
            VLOOKUP($A14, INDIRECT("JulR!$A$6:$ZZ$1048576"), MATCH(AY$1, JulR!$6:$6, 0), FALSE),
            0
        ) +
        IFERROR(
            VLOOKUP($A14, INDIRECT("AgoR!$A$6:$ZZ$1048576"), MATCH(AY$1, AgoR!$6:$6, 0), FALSE),
            0
        ) +
        IFERROR(
            VLOOKUP($A14, INDIRECT("SepR!$A$6:$ZZ$1048576"), MATCH(AY$1, SepR!$6:$6, 0), FALSE),
            0
        ) +
        IFERROR(
            VLOOKUP($A14, INDIRECT("OctR!$A$6:$ZZ$1048576"), MATCH(AY$1, OctR!$6:$6, 0), FALSE),
            0
        ) +
        IFERROR(
            VLOOKUP($A14, INDIRECT("NovR!$A$6:$ZZ$1048576"), MATCH(AY$1, NovR!$6:$6, 0), FALSE),
            0
        ) +
        IFERROR(
            VLOOKUP($A14, INDIRECT("DicR!$A$6:$ZZ$1048576"), MATCH(AY$1, DicR!$6:$6, 0), FALSE),
            0
        )
)</f>
        <v>0</v>
      </c>
      <c r="AZ14" s="37"/>
    </row>
    <row r="15" ht="15.75" customHeight="1">
      <c r="A15" s="12" t="str">
        <f>Menus!R7</f>
        <v/>
      </c>
      <c r="B15" s="32">
        <f t="shared" si="4"/>
        <v>0</v>
      </c>
      <c r="C15" s="33" t="str">
        <f t="shared" si="5"/>
        <v/>
      </c>
      <c r="D15" s="34">
        <f t="array" ref="D15">SUM(
    IFERROR(
            VLOOKUP($A15, INDIRECT("EneR!$A$6:$ZZ$1048576"), MATCH(D$1, EneR!$6:$6, 0), FALSE),
            0
        ) +
        IFERROR(
            VLOOKUP($A15, INDIRECT("FebR!$A$6:$ZZ$1048576"), MATCH(D$1, FebR!$6:$6, 0), FALSE),
            0
        ) +
        IFERROR(
            VLOOKUP($A15, INDIRECT("MarR!$A$6:$ZZ$1048576"), MATCH(D$1, MarR!$6:$6, 0), FALSE),
            0
        ) +
        IFERROR(
            VLOOKUP($A15, INDIRECT("AbrR!$A$6:$ZZ$1048576"), MATCH(D$1, AbrR!$6:$6, 0), FALSE),
            0
        ) +
        IFERROR(
            VLOOKUP($A15, INDIRECT("MayR!$A$6:$ZZ$1048576"), MATCH(D$1, MayR!$6:$6, 0), FALSE),
            0
        ) +
        IFERROR(
            VLOOKUP($A15, INDIRECT("JunR!$A$6:$ZZ$1048576"), MATCH(D$1, JunR!$6:$6, 0), FALSE),
            0
        ) +
        IFERROR(
            VLOOKUP($A15, INDIRECT("JulR!$A$6:$ZZ$1048576"), MATCH(D$1, JulR!$6:$6, 0), FALSE),
            0
        ) +
        IFERROR(
            VLOOKUP($A15, INDIRECT("AgoR!$A$6:$ZZ$1048576"), MATCH(D$1, AgoR!$6:$6, 0), FALSE),
            0
        ) +
        IFERROR(
            VLOOKUP($A15, INDIRECT("SepR!$A$6:$ZZ$1048576"), MATCH(D$1, SepR!$6:$6, 0), FALSE),
            0
        ) +
        IFERROR(
            VLOOKUP($A15, INDIRECT("OctR!$A$6:$ZZ$1048576"), MATCH(D$1, OctR!$6:$6, 0), FALSE),
            0
        ) +
        IFERROR(
            VLOOKUP($A15, INDIRECT("NovR!$A$6:$ZZ$1048576"), MATCH(D$1, NovR!$6:$6, 0), FALSE),
            0
        ) +
        IFERROR(
            VLOOKUP($A15, INDIRECT("DicR!$A$6:$ZZ$1048576"), MATCH(D$1, DicR!$6:$6, 0), FALSE),
            0
        )
)</f>
        <v>0</v>
      </c>
      <c r="E15" s="35">
        <f t="array" ref="E15">SUM(
    IFERROR(
            VLOOKUP($A15, INDIRECT("EneR!$A$6:$ZZ$1048576"), MATCH(E$1, EneR!$6:$6, 0), FALSE),
            0
        ) +
        IFERROR(
            VLOOKUP($A15, INDIRECT("FebR!$A$6:$ZZ$1048576"), MATCH(E$1, FebR!$6:$6, 0), FALSE),
            0
        ) +
        IFERROR(
            VLOOKUP($A15, INDIRECT("MarR!$A$6:$ZZ$1048576"), MATCH(E$1, MarR!$6:$6, 0), FALSE),
            0
        ) +
        IFERROR(
            VLOOKUP($A15, INDIRECT("AbrR!$A$6:$ZZ$1048576"), MATCH(E$1, AbrR!$6:$6, 0), FALSE),
            0
        ) +
        IFERROR(
            VLOOKUP($A15, INDIRECT("MayR!$A$6:$ZZ$1048576"), MATCH(E$1, MayR!$6:$6, 0), FALSE),
            0
        ) +
        IFERROR(
            VLOOKUP($A15, INDIRECT("JunR!$A$6:$ZZ$1048576"), MATCH(E$1, JunR!$6:$6, 0), FALSE),
            0
        ) +
        IFERROR(
            VLOOKUP($A15, INDIRECT("JulR!$A$6:$ZZ$1048576"), MATCH(E$1, JulR!$6:$6, 0), FALSE),
            0
        ) +
        IFERROR(
            VLOOKUP($A15, INDIRECT("AgoR!$A$6:$ZZ$1048576"), MATCH(E$1, AgoR!$6:$6, 0), FALSE),
            0
        ) +
        IFERROR(
            VLOOKUP($A15, INDIRECT("SepR!$A$6:$ZZ$1048576"), MATCH(E$1, SepR!$6:$6, 0), FALSE),
            0
        ) +
        IFERROR(
            VLOOKUP($A15, INDIRECT("OctR!$A$6:$ZZ$1048576"), MATCH(E$1, OctR!$6:$6, 0), FALSE),
            0
        ) +
        IFERROR(
            VLOOKUP($A15, INDIRECT("NovR!$A$6:$ZZ$1048576"), MATCH(E$1, NovR!$6:$6, 0), FALSE),
            0
        ) +
        IFERROR(
            VLOOKUP($A15, INDIRECT("DicR!$A$6:$ZZ$1048576"), MATCH(E$1, DicR!$6:$6, 0), FALSE),
            0
        )
)</f>
        <v>0</v>
      </c>
      <c r="F15" s="32">
        <f t="array" ref="F15">SUM(
    IFERROR(
            VLOOKUP($A15, INDIRECT("EneR!$A$6:$ZZ$1048576"), MATCH(F$1, EneR!$6:$6, 0), FALSE),
            0
        ) +
        IFERROR(
            VLOOKUP($A15, INDIRECT("FebR!$A$6:$ZZ$1048576"), MATCH(F$1, FebR!$6:$6, 0), FALSE),
            0
        ) +
        IFERROR(
            VLOOKUP($A15, INDIRECT("MarR!$A$6:$ZZ$1048576"), MATCH(F$1, MarR!$6:$6, 0), FALSE),
            0
        ) +
        IFERROR(
            VLOOKUP($A15, INDIRECT("AbrR!$A$6:$ZZ$1048576"), MATCH(F$1, AbrR!$6:$6, 0), FALSE),
            0
        ) +
        IFERROR(
            VLOOKUP($A15, INDIRECT("MayR!$A$6:$ZZ$1048576"), MATCH(F$1, MayR!$6:$6, 0), FALSE),
            0
        ) +
        IFERROR(
            VLOOKUP($A15, INDIRECT("JunR!$A$6:$ZZ$1048576"), MATCH(F$1, JunR!$6:$6, 0), FALSE),
            0
        ) +
        IFERROR(
            VLOOKUP($A15, INDIRECT("JulR!$A$6:$ZZ$1048576"), MATCH(F$1, JulR!$6:$6, 0), FALSE),
            0
        ) +
        IFERROR(
            VLOOKUP($A15, INDIRECT("AgoR!$A$6:$ZZ$1048576"), MATCH(F$1, AgoR!$6:$6, 0), FALSE),
            0
        ) +
        IFERROR(
            VLOOKUP($A15, INDIRECT("SepR!$A$6:$ZZ$1048576"), MATCH(F$1, SepR!$6:$6, 0), FALSE),
            0
        ) +
        IFERROR(
            VLOOKUP($A15, INDIRECT("OctR!$A$6:$ZZ$1048576"), MATCH(F$1, OctR!$6:$6, 0), FALSE),
            0
        ) +
        IFERROR(
            VLOOKUP($A15, INDIRECT("NovR!$A$6:$ZZ$1048576"), MATCH(F$1, NovR!$6:$6, 0), FALSE),
            0
        ) +
        IFERROR(
            VLOOKUP($A15, INDIRECT("DicR!$A$6:$ZZ$1048576"), MATCH(F$1, DicR!$6:$6, 0), FALSE),
            0
        )
)</f>
        <v>0</v>
      </c>
      <c r="G15" s="35">
        <f t="array" ref="G15">SUM(
    IFERROR(
            VLOOKUP($A15, INDIRECT("EneR!$A$6:$ZZ$1048576"), MATCH(G$1, EneR!$6:$6, 0), FALSE),
            0
        ) +
        IFERROR(
            VLOOKUP($A15, INDIRECT("FebR!$A$6:$ZZ$1048576"), MATCH(G$1, FebR!$6:$6, 0), FALSE),
            0
        ) +
        IFERROR(
            VLOOKUP($A15, INDIRECT("MarR!$A$6:$ZZ$1048576"), MATCH(G$1, MarR!$6:$6, 0), FALSE),
            0
        ) +
        IFERROR(
            VLOOKUP($A15, INDIRECT("AbrR!$A$6:$ZZ$1048576"), MATCH(G$1, AbrR!$6:$6, 0), FALSE),
            0
        ) +
        IFERROR(
            VLOOKUP($A15, INDIRECT("MayR!$A$6:$ZZ$1048576"), MATCH(G$1, MayR!$6:$6, 0), FALSE),
            0
        ) +
        IFERROR(
            VLOOKUP($A15, INDIRECT("JunR!$A$6:$ZZ$1048576"), MATCH(G$1, JunR!$6:$6, 0), FALSE),
            0
        ) +
        IFERROR(
            VLOOKUP($A15, INDIRECT("JulR!$A$6:$ZZ$1048576"), MATCH(G$1, JulR!$6:$6, 0), FALSE),
            0
        ) +
        IFERROR(
            VLOOKUP($A15, INDIRECT("AgoR!$A$6:$ZZ$1048576"), MATCH(G$1, AgoR!$6:$6, 0), FALSE),
            0
        ) +
        IFERROR(
            VLOOKUP($A15, INDIRECT("SepR!$A$6:$ZZ$1048576"), MATCH(G$1, SepR!$6:$6, 0), FALSE),
            0
        ) +
        IFERROR(
            VLOOKUP($A15, INDIRECT("OctR!$A$6:$ZZ$1048576"), MATCH(G$1, OctR!$6:$6, 0), FALSE),
            0
        ) +
        IFERROR(
            VLOOKUP($A15, INDIRECT("NovR!$A$6:$ZZ$1048576"), MATCH(G$1, NovR!$6:$6, 0), FALSE),
            0
        ) +
        IFERROR(
            VLOOKUP($A15, INDIRECT("DicR!$A$6:$ZZ$1048576"), MATCH(G$1, DicR!$6:$6, 0), FALSE),
            0
        )
)</f>
        <v>0</v>
      </c>
      <c r="H15" s="32">
        <f t="array" ref="H15">SUM(
    IFERROR(
            VLOOKUP($A15, INDIRECT("EneR!$A$6:$ZZ$1048576"), MATCH(H$1, EneR!$6:$6, 0), FALSE),
            0
        ) +
        IFERROR(
            VLOOKUP($A15, INDIRECT("FebR!$A$6:$ZZ$1048576"), MATCH(H$1, FebR!$6:$6, 0), FALSE),
            0
        ) +
        IFERROR(
            VLOOKUP($A15, INDIRECT("MarR!$A$6:$ZZ$1048576"), MATCH(H$1, MarR!$6:$6, 0), FALSE),
            0
        ) +
        IFERROR(
            VLOOKUP($A15, INDIRECT("AbrR!$A$6:$ZZ$1048576"), MATCH(H$1, AbrR!$6:$6, 0), FALSE),
            0
        ) +
        IFERROR(
            VLOOKUP($A15, INDIRECT("MayR!$A$6:$ZZ$1048576"), MATCH(H$1, MayR!$6:$6, 0), FALSE),
            0
        ) +
        IFERROR(
            VLOOKUP($A15, INDIRECT("JunR!$A$6:$ZZ$1048576"), MATCH(H$1, JunR!$6:$6, 0), FALSE),
            0
        ) +
        IFERROR(
            VLOOKUP($A15, INDIRECT("JulR!$A$6:$ZZ$1048576"), MATCH(H$1, JulR!$6:$6, 0), FALSE),
            0
        ) +
        IFERROR(
            VLOOKUP($A15, INDIRECT("AgoR!$A$6:$ZZ$1048576"), MATCH(H$1, AgoR!$6:$6, 0), FALSE),
            0
        ) +
        IFERROR(
            VLOOKUP($A15, INDIRECT("SepR!$A$6:$ZZ$1048576"), MATCH(H$1, SepR!$6:$6, 0), FALSE),
            0
        ) +
        IFERROR(
            VLOOKUP($A15, INDIRECT("OctR!$A$6:$ZZ$1048576"), MATCH(H$1, OctR!$6:$6, 0), FALSE),
            0
        ) +
        IFERROR(
            VLOOKUP($A15, INDIRECT("NovR!$A$6:$ZZ$1048576"), MATCH(H$1, NovR!$6:$6, 0), FALSE),
            0
        ) +
        IFERROR(
            VLOOKUP($A15, INDIRECT("DicR!$A$6:$ZZ$1048576"), MATCH(H$1, DicR!$6:$6, 0), FALSE),
            0
        )
)</f>
        <v>0</v>
      </c>
      <c r="I15" s="35">
        <f t="array" ref="I15">SUM(
    IFERROR(
            VLOOKUP($A15, INDIRECT("EneR!$A$6:$ZZ$1048576"), MATCH(I$1, EneR!$6:$6, 0), FALSE),
            0
        ) +
        IFERROR(
            VLOOKUP($A15, INDIRECT("FebR!$A$6:$ZZ$1048576"), MATCH(I$1, FebR!$6:$6, 0), FALSE),
            0
        ) +
        IFERROR(
            VLOOKUP($A15, INDIRECT("MarR!$A$6:$ZZ$1048576"), MATCH(I$1, MarR!$6:$6, 0), FALSE),
            0
        ) +
        IFERROR(
            VLOOKUP($A15, INDIRECT("AbrR!$A$6:$ZZ$1048576"), MATCH(I$1, AbrR!$6:$6, 0), FALSE),
            0
        ) +
        IFERROR(
            VLOOKUP($A15, INDIRECT("MayR!$A$6:$ZZ$1048576"), MATCH(I$1, MayR!$6:$6, 0), FALSE),
            0
        ) +
        IFERROR(
            VLOOKUP($A15, INDIRECT("JunR!$A$6:$ZZ$1048576"), MATCH(I$1, JunR!$6:$6, 0), FALSE),
            0
        ) +
        IFERROR(
            VLOOKUP($A15, INDIRECT("JulR!$A$6:$ZZ$1048576"), MATCH(I$1, JulR!$6:$6, 0), FALSE),
            0
        ) +
        IFERROR(
            VLOOKUP($A15, INDIRECT("AgoR!$A$6:$ZZ$1048576"), MATCH(I$1, AgoR!$6:$6, 0), FALSE),
            0
        ) +
        IFERROR(
            VLOOKUP($A15, INDIRECT("SepR!$A$6:$ZZ$1048576"), MATCH(I$1, SepR!$6:$6, 0), FALSE),
            0
        ) +
        IFERROR(
            VLOOKUP($A15, INDIRECT("OctR!$A$6:$ZZ$1048576"), MATCH(I$1, OctR!$6:$6, 0), FALSE),
            0
        ) +
        IFERROR(
            VLOOKUP($A15, INDIRECT("NovR!$A$6:$ZZ$1048576"), MATCH(I$1, NovR!$6:$6, 0), FALSE),
            0
        ) +
        IFERROR(
            VLOOKUP($A15, INDIRECT("DicR!$A$6:$ZZ$1048576"), MATCH(I$1, DicR!$6:$6, 0), FALSE),
            0
        )
)</f>
        <v>0</v>
      </c>
      <c r="J15" s="32">
        <f t="array" ref="J15">SUM(
    IFERROR(
            VLOOKUP($A15, INDIRECT("EneR!$A$6:$ZZ$1048576"), MATCH(J$1, EneR!$6:$6, 0), FALSE),
            0
        ) +
        IFERROR(
            VLOOKUP($A15, INDIRECT("FebR!$A$6:$ZZ$1048576"), MATCH(J$1, FebR!$6:$6, 0), FALSE),
            0
        ) +
        IFERROR(
            VLOOKUP($A15, INDIRECT("MarR!$A$6:$ZZ$1048576"), MATCH(J$1, MarR!$6:$6, 0), FALSE),
            0
        ) +
        IFERROR(
            VLOOKUP($A15, INDIRECT("AbrR!$A$6:$ZZ$1048576"), MATCH(J$1, AbrR!$6:$6, 0), FALSE),
            0
        ) +
        IFERROR(
            VLOOKUP($A15, INDIRECT("MayR!$A$6:$ZZ$1048576"), MATCH(J$1, MayR!$6:$6, 0), FALSE),
            0
        ) +
        IFERROR(
            VLOOKUP($A15, INDIRECT("JunR!$A$6:$ZZ$1048576"), MATCH(J$1, JunR!$6:$6, 0), FALSE),
            0
        ) +
        IFERROR(
            VLOOKUP($A15, INDIRECT("JulR!$A$6:$ZZ$1048576"), MATCH(J$1, JulR!$6:$6, 0), FALSE),
            0
        ) +
        IFERROR(
            VLOOKUP($A15, INDIRECT("AgoR!$A$6:$ZZ$1048576"), MATCH(J$1, AgoR!$6:$6, 0), FALSE),
            0
        ) +
        IFERROR(
            VLOOKUP($A15, INDIRECT("SepR!$A$6:$ZZ$1048576"), MATCH(J$1, SepR!$6:$6, 0), FALSE),
            0
        ) +
        IFERROR(
            VLOOKUP($A15, INDIRECT("OctR!$A$6:$ZZ$1048576"), MATCH(J$1, OctR!$6:$6, 0), FALSE),
            0
        ) +
        IFERROR(
            VLOOKUP($A15, INDIRECT("NovR!$A$6:$ZZ$1048576"), MATCH(J$1, NovR!$6:$6, 0), FALSE),
            0
        ) +
        IFERROR(
            VLOOKUP($A15, INDIRECT("DicR!$A$6:$ZZ$1048576"), MATCH(J$1, DicR!$6:$6, 0), FALSE),
            0
        )
)</f>
        <v>0</v>
      </c>
      <c r="K15" s="35">
        <f t="array" ref="K15">SUM(
    IFERROR(
            VLOOKUP($A15, INDIRECT("EneR!$A$6:$ZZ$1048576"), MATCH(K$1, EneR!$6:$6, 0), FALSE),
            0
        ) +
        IFERROR(
            VLOOKUP($A15, INDIRECT("FebR!$A$6:$ZZ$1048576"), MATCH(K$1, FebR!$6:$6, 0), FALSE),
            0
        ) +
        IFERROR(
            VLOOKUP($A15, INDIRECT("MarR!$A$6:$ZZ$1048576"), MATCH(K$1, MarR!$6:$6, 0), FALSE),
            0
        ) +
        IFERROR(
            VLOOKUP($A15, INDIRECT("AbrR!$A$6:$ZZ$1048576"), MATCH(K$1, AbrR!$6:$6, 0), FALSE),
            0
        ) +
        IFERROR(
            VLOOKUP($A15, INDIRECT("MayR!$A$6:$ZZ$1048576"), MATCH(K$1, MayR!$6:$6, 0), FALSE),
            0
        ) +
        IFERROR(
            VLOOKUP($A15, INDIRECT("JunR!$A$6:$ZZ$1048576"), MATCH(K$1, JunR!$6:$6, 0), FALSE),
            0
        ) +
        IFERROR(
            VLOOKUP($A15, INDIRECT("JulR!$A$6:$ZZ$1048576"), MATCH(K$1, JulR!$6:$6, 0), FALSE),
            0
        ) +
        IFERROR(
            VLOOKUP($A15, INDIRECT("AgoR!$A$6:$ZZ$1048576"), MATCH(K$1, AgoR!$6:$6, 0), FALSE),
            0
        ) +
        IFERROR(
            VLOOKUP($A15, INDIRECT("SepR!$A$6:$ZZ$1048576"), MATCH(K$1, SepR!$6:$6, 0), FALSE),
            0
        ) +
        IFERROR(
            VLOOKUP($A15, INDIRECT("OctR!$A$6:$ZZ$1048576"), MATCH(K$1, OctR!$6:$6, 0), FALSE),
            0
        ) +
        IFERROR(
            VLOOKUP($A15, INDIRECT("NovR!$A$6:$ZZ$1048576"), MATCH(K$1, NovR!$6:$6, 0), FALSE),
            0
        ) +
        IFERROR(
            VLOOKUP($A15, INDIRECT("DicR!$A$6:$ZZ$1048576"), MATCH(K$1, DicR!$6:$6, 0), FALSE),
            0
        )
)</f>
        <v>0</v>
      </c>
      <c r="L15" s="32">
        <f t="array" ref="L15">SUM(
    IFERROR(
            VLOOKUP($A15, INDIRECT("EneR!$A$6:$ZZ$1048576"), MATCH(L$1, EneR!$6:$6, 0), FALSE),
            0
        ) +
        IFERROR(
            VLOOKUP($A15, INDIRECT("FebR!$A$6:$ZZ$1048576"), MATCH(L$1, FebR!$6:$6, 0), FALSE),
            0
        ) +
        IFERROR(
            VLOOKUP($A15, INDIRECT("MarR!$A$6:$ZZ$1048576"), MATCH(L$1, MarR!$6:$6, 0), FALSE),
            0
        ) +
        IFERROR(
            VLOOKUP($A15, INDIRECT("AbrR!$A$6:$ZZ$1048576"), MATCH(L$1, AbrR!$6:$6, 0), FALSE),
            0
        ) +
        IFERROR(
            VLOOKUP($A15, INDIRECT("MayR!$A$6:$ZZ$1048576"), MATCH(L$1, MayR!$6:$6, 0), FALSE),
            0
        ) +
        IFERROR(
            VLOOKUP($A15, INDIRECT("JunR!$A$6:$ZZ$1048576"), MATCH(L$1, JunR!$6:$6, 0), FALSE),
            0
        ) +
        IFERROR(
            VLOOKUP($A15, INDIRECT("JulR!$A$6:$ZZ$1048576"), MATCH(L$1, JulR!$6:$6, 0), FALSE),
            0
        ) +
        IFERROR(
            VLOOKUP($A15, INDIRECT("AgoR!$A$6:$ZZ$1048576"), MATCH(L$1, AgoR!$6:$6, 0), FALSE),
            0
        ) +
        IFERROR(
            VLOOKUP($A15, INDIRECT("SepR!$A$6:$ZZ$1048576"), MATCH(L$1, SepR!$6:$6, 0), FALSE),
            0
        ) +
        IFERROR(
            VLOOKUP($A15, INDIRECT("OctR!$A$6:$ZZ$1048576"), MATCH(L$1, OctR!$6:$6, 0), FALSE),
            0
        ) +
        IFERROR(
            VLOOKUP($A15, INDIRECT("NovR!$A$6:$ZZ$1048576"), MATCH(L$1, NovR!$6:$6, 0), FALSE),
            0
        ) +
        IFERROR(
            VLOOKUP($A15, INDIRECT("DicR!$A$6:$ZZ$1048576"), MATCH(L$1, DicR!$6:$6, 0), FALSE),
            0
        )
)</f>
        <v>0</v>
      </c>
      <c r="M15" s="35">
        <f t="array" ref="M15">SUM(
    IFERROR(
            VLOOKUP($A15, INDIRECT("EneR!$A$6:$ZZ$1048576"), MATCH(M$1, EneR!$6:$6, 0), FALSE),
            0
        ) +
        IFERROR(
            VLOOKUP($A15, INDIRECT("FebR!$A$6:$ZZ$1048576"), MATCH(M$1, FebR!$6:$6, 0), FALSE),
            0
        ) +
        IFERROR(
            VLOOKUP($A15, INDIRECT("MarR!$A$6:$ZZ$1048576"), MATCH(M$1, MarR!$6:$6, 0), FALSE),
            0
        ) +
        IFERROR(
            VLOOKUP($A15, INDIRECT("AbrR!$A$6:$ZZ$1048576"), MATCH(M$1, AbrR!$6:$6, 0), FALSE),
            0
        ) +
        IFERROR(
            VLOOKUP($A15, INDIRECT("MayR!$A$6:$ZZ$1048576"), MATCH(M$1, MayR!$6:$6, 0), FALSE),
            0
        ) +
        IFERROR(
            VLOOKUP($A15, INDIRECT("JunR!$A$6:$ZZ$1048576"), MATCH(M$1, JunR!$6:$6, 0), FALSE),
            0
        ) +
        IFERROR(
            VLOOKUP($A15, INDIRECT("JulR!$A$6:$ZZ$1048576"), MATCH(M$1, JulR!$6:$6, 0), FALSE),
            0
        ) +
        IFERROR(
            VLOOKUP($A15, INDIRECT("AgoR!$A$6:$ZZ$1048576"), MATCH(M$1, AgoR!$6:$6, 0), FALSE),
            0
        ) +
        IFERROR(
            VLOOKUP($A15, INDIRECT("SepR!$A$6:$ZZ$1048576"), MATCH(M$1, SepR!$6:$6, 0), FALSE),
            0
        ) +
        IFERROR(
            VLOOKUP($A15, INDIRECT("OctR!$A$6:$ZZ$1048576"), MATCH(M$1, OctR!$6:$6, 0), FALSE),
            0
        ) +
        IFERROR(
            VLOOKUP($A15, INDIRECT("NovR!$A$6:$ZZ$1048576"), MATCH(M$1, NovR!$6:$6, 0), FALSE),
            0
        ) +
        IFERROR(
            VLOOKUP($A15, INDIRECT("DicR!$A$6:$ZZ$1048576"), MATCH(M$1, DicR!$6:$6, 0), FALSE),
            0
        )
)</f>
        <v>0</v>
      </c>
      <c r="N15" s="32">
        <f t="array" ref="N15">SUM(
    IFERROR(
            VLOOKUP($A15, INDIRECT("EneR!$A$6:$ZZ$1048576"), MATCH(N$1, EneR!$6:$6, 0), FALSE),
            0
        ) +
        IFERROR(
            VLOOKUP($A15, INDIRECT("FebR!$A$6:$ZZ$1048576"), MATCH(N$1, FebR!$6:$6, 0), FALSE),
            0
        ) +
        IFERROR(
            VLOOKUP($A15, INDIRECT("MarR!$A$6:$ZZ$1048576"), MATCH(N$1, MarR!$6:$6, 0), FALSE),
            0
        ) +
        IFERROR(
            VLOOKUP($A15, INDIRECT("AbrR!$A$6:$ZZ$1048576"), MATCH(N$1, AbrR!$6:$6, 0), FALSE),
            0
        ) +
        IFERROR(
            VLOOKUP($A15, INDIRECT("MayR!$A$6:$ZZ$1048576"), MATCH(N$1, MayR!$6:$6, 0), FALSE),
            0
        ) +
        IFERROR(
            VLOOKUP($A15, INDIRECT("JunR!$A$6:$ZZ$1048576"), MATCH(N$1, JunR!$6:$6, 0), FALSE),
            0
        ) +
        IFERROR(
            VLOOKUP($A15, INDIRECT("JulR!$A$6:$ZZ$1048576"), MATCH(N$1, JulR!$6:$6, 0), FALSE),
            0
        ) +
        IFERROR(
            VLOOKUP($A15, INDIRECT("AgoR!$A$6:$ZZ$1048576"), MATCH(N$1, AgoR!$6:$6, 0), FALSE),
            0
        ) +
        IFERROR(
            VLOOKUP($A15, INDIRECT("SepR!$A$6:$ZZ$1048576"), MATCH(N$1, SepR!$6:$6, 0), FALSE),
            0
        ) +
        IFERROR(
            VLOOKUP($A15, INDIRECT("OctR!$A$6:$ZZ$1048576"), MATCH(N$1, OctR!$6:$6, 0), FALSE),
            0
        ) +
        IFERROR(
            VLOOKUP($A15, INDIRECT("NovR!$A$6:$ZZ$1048576"), MATCH(N$1, NovR!$6:$6, 0), FALSE),
            0
        ) +
        IFERROR(
            VLOOKUP($A15, INDIRECT("DicR!$A$6:$ZZ$1048576"), MATCH(N$1, DicR!$6:$6, 0), FALSE),
            0
        )
)</f>
        <v>0</v>
      </c>
      <c r="O15" s="35">
        <f t="array" ref="O15">SUM(
    IFERROR(
            VLOOKUP($A15, INDIRECT("EneR!$A$6:$ZZ$1048576"), MATCH(O$1, EneR!$6:$6, 0), FALSE),
            0
        ) +
        IFERROR(
            VLOOKUP($A15, INDIRECT("FebR!$A$6:$ZZ$1048576"), MATCH(O$1, FebR!$6:$6, 0), FALSE),
            0
        ) +
        IFERROR(
            VLOOKUP($A15, INDIRECT("MarR!$A$6:$ZZ$1048576"), MATCH(O$1, MarR!$6:$6, 0), FALSE),
            0
        ) +
        IFERROR(
            VLOOKUP($A15, INDIRECT("AbrR!$A$6:$ZZ$1048576"), MATCH(O$1, AbrR!$6:$6, 0), FALSE),
            0
        ) +
        IFERROR(
            VLOOKUP($A15, INDIRECT("MayR!$A$6:$ZZ$1048576"), MATCH(O$1, MayR!$6:$6, 0), FALSE),
            0
        ) +
        IFERROR(
            VLOOKUP($A15, INDIRECT("JunR!$A$6:$ZZ$1048576"), MATCH(O$1, JunR!$6:$6, 0), FALSE),
            0
        ) +
        IFERROR(
            VLOOKUP($A15, INDIRECT("JulR!$A$6:$ZZ$1048576"), MATCH(O$1, JulR!$6:$6, 0), FALSE),
            0
        ) +
        IFERROR(
            VLOOKUP($A15, INDIRECT("AgoR!$A$6:$ZZ$1048576"), MATCH(O$1, AgoR!$6:$6, 0), FALSE),
            0
        ) +
        IFERROR(
            VLOOKUP($A15, INDIRECT("SepR!$A$6:$ZZ$1048576"), MATCH(O$1, SepR!$6:$6, 0), FALSE),
            0
        ) +
        IFERROR(
            VLOOKUP($A15, INDIRECT("OctR!$A$6:$ZZ$1048576"), MATCH(O$1, OctR!$6:$6, 0), FALSE),
            0
        ) +
        IFERROR(
            VLOOKUP($A15, INDIRECT("NovR!$A$6:$ZZ$1048576"), MATCH(O$1, NovR!$6:$6, 0), FALSE),
            0
        ) +
        IFERROR(
            VLOOKUP($A15, INDIRECT("DicR!$A$6:$ZZ$1048576"), MATCH(O$1, DicR!$6:$6, 0), FALSE),
            0
        )
)</f>
        <v>0</v>
      </c>
      <c r="P15" s="32">
        <f t="array" ref="P15">SUM(
    IFERROR(
            VLOOKUP($A15, INDIRECT("EneR!$A$6:$ZZ$1048576"), MATCH(P$1, EneR!$6:$6, 0), FALSE),
            0
        ) +
        IFERROR(
            VLOOKUP($A15, INDIRECT("FebR!$A$6:$ZZ$1048576"), MATCH(P$1, FebR!$6:$6, 0), FALSE),
            0
        ) +
        IFERROR(
            VLOOKUP($A15, INDIRECT("MarR!$A$6:$ZZ$1048576"), MATCH(P$1, MarR!$6:$6, 0), FALSE),
            0
        ) +
        IFERROR(
            VLOOKUP($A15, INDIRECT("AbrR!$A$6:$ZZ$1048576"), MATCH(P$1, AbrR!$6:$6, 0), FALSE),
            0
        ) +
        IFERROR(
            VLOOKUP($A15, INDIRECT("MayR!$A$6:$ZZ$1048576"), MATCH(P$1, MayR!$6:$6, 0), FALSE),
            0
        ) +
        IFERROR(
            VLOOKUP($A15, INDIRECT("JunR!$A$6:$ZZ$1048576"), MATCH(P$1, JunR!$6:$6, 0), FALSE),
            0
        ) +
        IFERROR(
            VLOOKUP($A15, INDIRECT("JulR!$A$6:$ZZ$1048576"), MATCH(P$1, JulR!$6:$6, 0), FALSE),
            0
        ) +
        IFERROR(
            VLOOKUP($A15, INDIRECT("AgoR!$A$6:$ZZ$1048576"), MATCH(P$1, AgoR!$6:$6, 0), FALSE),
            0
        ) +
        IFERROR(
            VLOOKUP($A15, INDIRECT("SepR!$A$6:$ZZ$1048576"), MATCH(P$1, SepR!$6:$6, 0), FALSE),
            0
        ) +
        IFERROR(
            VLOOKUP($A15, INDIRECT("OctR!$A$6:$ZZ$1048576"), MATCH(P$1, OctR!$6:$6, 0), FALSE),
            0
        ) +
        IFERROR(
            VLOOKUP($A15, INDIRECT("NovR!$A$6:$ZZ$1048576"), MATCH(P$1, NovR!$6:$6, 0), FALSE),
            0
        ) +
        IFERROR(
            VLOOKUP($A15, INDIRECT("DicR!$A$6:$ZZ$1048576"), MATCH(P$1, DicR!$6:$6, 0), FALSE),
            0
        )
)</f>
        <v>0</v>
      </c>
      <c r="Q15" s="35">
        <f t="array" ref="Q15">SUM(
    IFERROR(
            VLOOKUP($A15, INDIRECT("EneR!$A$6:$ZZ$1048576"), MATCH(Q$1, EneR!$6:$6, 0), FALSE),
            0
        ) +
        IFERROR(
            VLOOKUP($A15, INDIRECT("FebR!$A$6:$ZZ$1048576"), MATCH(Q$1, FebR!$6:$6, 0), FALSE),
            0
        ) +
        IFERROR(
            VLOOKUP($A15, INDIRECT("MarR!$A$6:$ZZ$1048576"), MATCH(Q$1, MarR!$6:$6, 0), FALSE),
            0
        ) +
        IFERROR(
            VLOOKUP($A15, INDIRECT("AbrR!$A$6:$ZZ$1048576"), MATCH(Q$1, AbrR!$6:$6, 0), FALSE),
            0
        ) +
        IFERROR(
            VLOOKUP($A15, INDIRECT("MayR!$A$6:$ZZ$1048576"), MATCH(Q$1, MayR!$6:$6, 0), FALSE),
            0
        ) +
        IFERROR(
            VLOOKUP($A15, INDIRECT("JunR!$A$6:$ZZ$1048576"), MATCH(Q$1, JunR!$6:$6, 0), FALSE),
            0
        ) +
        IFERROR(
            VLOOKUP($A15, INDIRECT("JulR!$A$6:$ZZ$1048576"), MATCH(Q$1, JulR!$6:$6, 0), FALSE),
            0
        ) +
        IFERROR(
            VLOOKUP($A15, INDIRECT("AgoR!$A$6:$ZZ$1048576"), MATCH(Q$1, AgoR!$6:$6, 0), FALSE),
            0
        ) +
        IFERROR(
            VLOOKUP($A15, INDIRECT("SepR!$A$6:$ZZ$1048576"), MATCH(Q$1, SepR!$6:$6, 0), FALSE),
            0
        ) +
        IFERROR(
            VLOOKUP($A15, INDIRECT("OctR!$A$6:$ZZ$1048576"), MATCH(Q$1, OctR!$6:$6, 0), FALSE),
            0
        ) +
        IFERROR(
            VLOOKUP($A15, INDIRECT("NovR!$A$6:$ZZ$1048576"), MATCH(Q$1, NovR!$6:$6, 0), FALSE),
            0
        ) +
        IFERROR(
            VLOOKUP($A15, INDIRECT("DicR!$A$6:$ZZ$1048576"), MATCH(Q$1, DicR!$6:$6, 0), FALSE),
            0
        )
)</f>
        <v>0</v>
      </c>
      <c r="R15" s="36">
        <f t="array" ref="R15">SUM(
    IFERROR(
            VLOOKUP($A15, INDIRECT("EneR!$A$6:$ZZ$1048576"), MATCH(R$1, EneR!$6:$6, 0), FALSE),
            0
        ) +
        IFERROR(
            VLOOKUP($A15, INDIRECT("FebR!$A$6:$ZZ$1048576"), MATCH(R$1, FebR!$6:$6, 0), FALSE),
            0
        ) +
        IFERROR(
            VLOOKUP($A15, INDIRECT("MarR!$A$6:$ZZ$1048576"), MATCH(R$1, MarR!$6:$6, 0), FALSE),
            0
        ) +
        IFERROR(
            VLOOKUP($A15, INDIRECT("AbrR!$A$6:$ZZ$1048576"), MATCH(R$1, AbrR!$6:$6, 0), FALSE),
            0
        ) +
        IFERROR(
            VLOOKUP($A15, INDIRECT("MayR!$A$6:$ZZ$1048576"), MATCH(R$1, MayR!$6:$6, 0), FALSE),
            0
        ) +
        IFERROR(
            VLOOKUP($A15, INDIRECT("JunR!$A$6:$ZZ$1048576"), MATCH(R$1, JunR!$6:$6, 0), FALSE),
            0
        ) +
        IFERROR(
            VLOOKUP($A15, INDIRECT("JulR!$A$6:$ZZ$1048576"), MATCH(R$1, JulR!$6:$6, 0), FALSE),
            0
        ) +
        IFERROR(
            VLOOKUP($A15, INDIRECT("AgoR!$A$6:$ZZ$1048576"), MATCH(R$1, AgoR!$6:$6, 0), FALSE),
            0
        ) +
        IFERROR(
            VLOOKUP($A15, INDIRECT("SepR!$A$6:$ZZ$1048576"), MATCH(R$1, SepR!$6:$6, 0), FALSE),
            0
        ) +
        IFERROR(
            VLOOKUP($A15, INDIRECT("OctR!$A$6:$ZZ$1048576"), MATCH(R$1, OctR!$6:$6, 0), FALSE),
            0
        ) +
        IFERROR(
            VLOOKUP($A15, INDIRECT("NovR!$A$6:$ZZ$1048576"), MATCH(R$1, NovR!$6:$6, 0), FALSE),
            0
        ) +
        IFERROR(
            VLOOKUP($A15, INDIRECT("DicR!$A$6:$ZZ$1048576"), MATCH(R$1, DicR!$6:$6, 0), FALSE),
            0
        )
)</f>
        <v>0</v>
      </c>
      <c r="S15" s="37">
        <f t="array" ref="S15">SUM(
    IFERROR(
            VLOOKUP($A15, INDIRECT("EneR!$A$6:$ZZ$1048576"), MATCH(S$1, EneR!$6:$6, 0), FALSE),
            0
        ) +
        IFERROR(
            VLOOKUP($A15, INDIRECT("FebR!$A$6:$ZZ$1048576"), MATCH(S$1, FebR!$6:$6, 0), FALSE),
            0
        ) +
        IFERROR(
            VLOOKUP($A15, INDIRECT("MarR!$A$6:$ZZ$1048576"), MATCH(S$1, MarR!$6:$6, 0), FALSE),
            0
        ) +
        IFERROR(
            VLOOKUP($A15, INDIRECT("AbrR!$A$6:$ZZ$1048576"), MATCH(S$1, AbrR!$6:$6, 0), FALSE),
            0
        ) +
        IFERROR(
            VLOOKUP($A15, INDIRECT("MayR!$A$6:$ZZ$1048576"), MATCH(S$1, MayR!$6:$6, 0), FALSE),
            0
        ) +
        IFERROR(
            VLOOKUP($A15, INDIRECT("JunR!$A$6:$ZZ$1048576"), MATCH(S$1, JunR!$6:$6, 0), FALSE),
            0
        ) +
        IFERROR(
            VLOOKUP($A15, INDIRECT("JulR!$A$6:$ZZ$1048576"), MATCH(S$1, JulR!$6:$6, 0), FALSE),
            0
        ) +
        IFERROR(
            VLOOKUP($A15, INDIRECT("AgoR!$A$6:$ZZ$1048576"), MATCH(S$1, AgoR!$6:$6, 0), FALSE),
            0
        ) +
        IFERROR(
            VLOOKUP($A15, INDIRECT("SepR!$A$6:$ZZ$1048576"), MATCH(S$1, SepR!$6:$6, 0), FALSE),
            0
        ) +
        IFERROR(
            VLOOKUP($A15, INDIRECT("OctR!$A$6:$ZZ$1048576"), MATCH(S$1, OctR!$6:$6, 0), FALSE),
            0
        ) +
        IFERROR(
            VLOOKUP($A15, INDIRECT("NovR!$A$6:$ZZ$1048576"), MATCH(S$1, NovR!$6:$6, 0), FALSE),
            0
        ) +
        IFERROR(
            VLOOKUP($A15, INDIRECT("DicR!$A$6:$ZZ$1048576"), MATCH(S$1, DicR!$6:$6, 0), FALSE),
            0
        )
)</f>
        <v>0</v>
      </c>
      <c r="T15" s="36">
        <f t="array" ref="T15">SUM(
    IFERROR(
            VLOOKUP($A15, INDIRECT("EneR!$A$6:$ZZ$1048576"), MATCH(T$1, EneR!$6:$6, 0), FALSE),
            0
        ) +
        IFERROR(
            VLOOKUP($A15, INDIRECT("FebR!$A$6:$ZZ$1048576"), MATCH(T$1, FebR!$6:$6, 0), FALSE),
            0
        ) +
        IFERROR(
            VLOOKUP($A15, INDIRECT("MarR!$A$6:$ZZ$1048576"), MATCH(T$1, MarR!$6:$6, 0), FALSE),
            0
        ) +
        IFERROR(
            VLOOKUP($A15, INDIRECT("AbrR!$A$6:$ZZ$1048576"), MATCH(T$1, AbrR!$6:$6, 0), FALSE),
            0
        ) +
        IFERROR(
            VLOOKUP($A15, INDIRECT("MayR!$A$6:$ZZ$1048576"), MATCH(T$1, MayR!$6:$6, 0), FALSE),
            0
        ) +
        IFERROR(
            VLOOKUP($A15, INDIRECT("JunR!$A$6:$ZZ$1048576"), MATCH(T$1, JunR!$6:$6, 0), FALSE),
            0
        ) +
        IFERROR(
            VLOOKUP($A15, INDIRECT("JulR!$A$6:$ZZ$1048576"), MATCH(T$1, JulR!$6:$6, 0), FALSE),
            0
        ) +
        IFERROR(
            VLOOKUP($A15, INDIRECT("AgoR!$A$6:$ZZ$1048576"), MATCH(T$1, AgoR!$6:$6, 0), FALSE),
            0
        ) +
        IFERROR(
            VLOOKUP($A15, INDIRECT("SepR!$A$6:$ZZ$1048576"), MATCH(T$1, SepR!$6:$6, 0), FALSE),
            0
        ) +
        IFERROR(
            VLOOKUP($A15, INDIRECT("OctR!$A$6:$ZZ$1048576"), MATCH(T$1, OctR!$6:$6, 0), FALSE),
            0
        ) +
        IFERROR(
            VLOOKUP($A15, INDIRECT("NovR!$A$6:$ZZ$1048576"), MATCH(T$1, NovR!$6:$6, 0), FALSE),
            0
        ) +
        IFERROR(
            VLOOKUP($A15, INDIRECT("DicR!$A$6:$ZZ$1048576"), MATCH(T$1, DicR!$6:$6, 0), FALSE),
            0
        )
)</f>
        <v>0</v>
      </c>
      <c r="U15" s="37">
        <f t="array" ref="U15">SUM(
    IFERROR(
            VLOOKUP($A15, INDIRECT("EneR!$A$6:$ZZ$1048576"), MATCH(U$1, EneR!$6:$6, 0), FALSE),
            0
        ) +
        IFERROR(
            VLOOKUP($A15, INDIRECT("FebR!$A$6:$ZZ$1048576"), MATCH(U$1, FebR!$6:$6, 0), FALSE),
            0
        ) +
        IFERROR(
            VLOOKUP($A15, INDIRECT("MarR!$A$6:$ZZ$1048576"), MATCH(U$1, MarR!$6:$6, 0), FALSE),
            0
        ) +
        IFERROR(
            VLOOKUP($A15, INDIRECT("AbrR!$A$6:$ZZ$1048576"), MATCH(U$1, AbrR!$6:$6, 0), FALSE),
            0
        ) +
        IFERROR(
            VLOOKUP($A15, INDIRECT("MayR!$A$6:$ZZ$1048576"), MATCH(U$1, MayR!$6:$6, 0), FALSE),
            0
        ) +
        IFERROR(
            VLOOKUP($A15, INDIRECT("JunR!$A$6:$ZZ$1048576"), MATCH(U$1, JunR!$6:$6, 0), FALSE),
            0
        ) +
        IFERROR(
            VLOOKUP($A15, INDIRECT("JulR!$A$6:$ZZ$1048576"), MATCH(U$1, JulR!$6:$6, 0), FALSE),
            0
        ) +
        IFERROR(
            VLOOKUP($A15, INDIRECT("AgoR!$A$6:$ZZ$1048576"), MATCH(U$1, AgoR!$6:$6, 0), FALSE),
            0
        ) +
        IFERROR(
            VLOOKUP($A15, INDIRECT("SepR!$A$6:$ZZ$1048576"), MATCH(U$1, SepR!$6:$6, 0), FALSE),
            0
        ) +
        IFERROR(
            VLOOKUP($A15, INDIRECT("OctR!$A$6:$ZZ$1048576"), MATCH(U$1, OctR!$6:$6, 0), FALSE),
            0
        ) +
        IFERROR(
            VLOOKUP($A15, INDIRECT("NovR!$A$6:$ZZ$1048576"), MATCH(U$1, NovR!$6:$6, 0), FALSE),
            0
        ) +
        IFERROR(
            VLOOKUP($A15, INDIRECT("DicR!$A$6:$ZZ$1048576"), MATCH(U$1, DicR!$6:$6, 0), FALSE),
            0
        )
)</f>
        <v>0</v>
      </c>
      <c r="V15" s="36">
        <f t="array" ref="V15">SUM(
    IFERROR(
            VLOOKUP($A15, INDIRECT("EneR!$A$6:$ZZ$1048576"), MATCH(V$1, EneR!$6:$6, 0), FALSE),
            0
        ) +
        IFERROR(
            VLOOKUP($A15, INDIRECT("FebR!$A$6:$ZZ$1048576"), MATCH(V$1, FebR!$6:$6, 0), FALSE),
            0
        ) +
        IFERROR(
            VLOOKUP($A15, INDIRECT("MarR!$A$6:$ZZ$1048576"), MATCH(V$1, MarR!$6:$6, 0), FALSE),
            0
        ) +
        IFERROR(
            VLOOKUP($A15, INDIRECT("AbrR!$A$6:$ZZ$1048576"), MATCH(V$1, AbrR!$6:$6, 0), FALSE),
            0
        ) +
        IFERROR(
            VLOOKUP($A15, INDIRECT("MayR!$A$6:$ZZ$1048576"), MATCH(V$1, MayR!$6:$6, 0), FALSE),
            0
        ) +
        IFERROR(
            VLOOKUP($A15, INDIRECT("JunR!$A$6:$ZZ$1048576"), MATCH(V$1, JunR!$6:$6, 0), FALSE),
            0
        ) +
        IFERROR(
            VLOOKUP($A15, INDIRECT("JulR!$A$6:$ZZ$1048576"), MATCH(V$1, JulR!$6:$6, 0), FALSE),
            0
        ) +
        IFERROR(
            VLOOKUP($A15, INDIRECT("AgoR!$A$6:$ZZ$1048576"), MATCH(V$1, AgoR!$6:$6, 0), FALSE),
            0
        ) +
        IFERROR(
            VLOOKUP($A15, INDIRECT("SepR!$A$6:$ZZ$1048576"), MATCH(V$1, SepR!$6:$6, 0), FALSE),
            0
        ) +
        IFERROR(
            VLOOKUP($A15, INDIRECT("OctR!$A$6:$ZZ$1048576"), MATCH(V$1, OctR!$6:$6, 0), FALSE),
            0
        ) +
        IFERROR(
            VLOOKUP($A15, INDIRECT("NovR!$A$6:$ZZ$1048576"), MATCH(V$1, NovR!$6:$6, 0), FALSE),
            0
        ) +
        IFERROR(
            VLOOKUP($A15, INDIRECT("DicR!$A$6:$ZZ$1048576"), MATCH(V$1, DicR!$6:$6, 0), FALSE),
            0
        )
)</f>
        <v>0</v>
      </c>
      <c r="W15" s="37">
        <f t="array" ref="W15">SUM(
    IFERROR(
            VLOOKUP($A15, INDIRECT("EneR!$A$6:$ZZ$1048576"), MATCH(W$1, EneR!$6:$6, 0), FALSE),
            0
        ) +
        IFERROR(
            VLOOKUP($A15, INDIRECT("FebR!$A$6:$ZZ$1048576"), MATCH(W$1, FebR!$6:$6, 0), FALSE),
            0
        ) +
        IFERROR(
            VLOOKUP($A15, INDIRECT("MarR!$A$6:$ZZ$1048576"), MATCH(W$1, MarR!$6:$6, 0), FALSE),
            0
        ) +
        IFERROR(
            VLOOKUP($A15, INDIRECT("AbrR!$A$6:$ZZ$1048576"), MATCH(W$1, AbrR!$6:$6, 0), FALSE),
            0
        ) +
        IFERROR(
            VLOOKUP($A15, INDIRECT("MayR!$A$6:$ZZ$1048576"), MATCH(W$1, MayR!$6:$6, 0), FALSE),
            0
        ) +
        IFERROR(
            VLOOKUP($A15, INDIRECT("JunR!$A$6:$ZZ$1048576"), MATCH(W$1, JunR!$6:$6, 0), FALSE),
            0
        ) +
        IFERROR(
            VLOOKUP($A15, INDIRECT("JulR!$A$6:$ZZ$1048576"), MATCH(W$1, JulR!$6:$6, 0), FALSE),
            0
        ) +
        IFERROR(
            VLOOKUP($A15, INDIRECT("AgoR!$A$6:$ZZ$1048576"), MATCH(W$1, AgoR!$6:$6, 0), FALSE),
            0
        ) +
        IFERROR(
            VLOOKUP($A15, INDIRECT("SepR!$A$6:$ZZ$1048576"), MATCH(W$1, SepR!$6:$6, 0), FALSE),
            0
        ) +
        IFERROR(
            VLOOKUP($A15, INDIRECT("OctR!$A$6:$ZZ$1048576"), MATCH(W$1, OctR!$6:$6, 0), FALSE),
            0
        ) +
        IFERROR(
            VLOOKUP($A15, INDIRECT("NovR!$A$6:$ZZ$1048576"), MATCH(W$1, NovR!$6:$6, 0), FALSE),
            0
        ) +
        IFERROR(
            VLOOKUP($A15, INDIRECT("DicR!$A$6:$ZZ$1048576"), MATCH(W$1, DicR!$6:$6, 0), FALSE),
            0
        )
)</f>
        <v>0</v>
      </c>
      <c r="X15" s="36">
        <f t="array" ref="X15">SUM(
    IFERROR(
            VLOOKUP($A15, INDIRECT("EneR!$A$6:$ZZ$1048576"), MATCH(X$1, EneR!$6:$6, 0), FALSE),
            0
        ) +
        IFERROR(
            VLOOKUP($A15, INDIRECT("FebR!$A$6:$ZZ$1048576"), MATCH(X$1, FebR!$6:$6, 0), FALSE),
            0
        ) +
        IFERROR(
            VLOOKUP($A15, INDIRECT("MarR!$A$6:$ZZ$1048576"), MATCH(X$1, MarR!$6:$6, 0), FALSE),
            0
        ) +
        IFERROR(
            VLOOKUP($A15, INDIRECT("AbrR!$A$6:$ZZ$1048576"), MATCH(X$1, AbrR!$6:$6, 0), FALSE),
            0
        ) +
        IFERROR(
            VLOOKUP($A15, INDIRECT("MayR!$A$6:$ZZ$1048576"), MATCH(X$1, MayR!$6:$6, 0), FALSE),
            0
        ) +
        IFERROR(
            VLOOKUP($A15, INDIRECT("JunR!$A$6:$ZZ$1048576"), MATCH(X$1, JunR!$6:$6, 0), FALSE),
            0
        ) +
        IFERROR(
            VLOOKUP($A15, INDIRECT("JulR!$A$6:$ZZ$1048576"), MATCH(X$1, JulR!$6:$6, 0), FALSE),
            0
        ) +
        IFERROR(
            VLOOKUP($A15, INDIRECT("AgoR!$A$6:$ZZ$1048576"), MATCH(X$1, AgoR!$6:$6, 0), FALSE),
            0
        ) +
        IFERROR(
            VLOOKUP($A15, INDIRECT("SepR!$A$6:$ZZ$1048576"), MATCH(X$1, SepR!$6:$6, 0), FALSE),
            0
        ) +
        IFERROR(
            VLOOKUP($A15, INDIRECT("OctR!$A$6:$ZZ$1048576"), MATCH(X$1, OctR!$6:$6, 0), FALSE),
            0
        ) +
        IFERROR(
            VLOOKUP($A15, INDIRECT("NovR!$A$6:$ZZ$1048576"), MATCH(X$1, NovR!$6:$6, 0), FALSE),
            0
        ) +
        IFERROR(
            VLOOKUP($A15, INDIRECT("DicR!$A$6:$ZZ$1048576"), MATCH(X$1, DicR!$6:$6, 0), FALSE),
            0
        )
)</f>
        <v>0</v>
      </c>
      <c r="Y15" s="37">
        <f t="array" ref="Y15">SUM(
    IFERROR(
            VLOOKUP($A15, INDIRECT("EneR!$A$6:$ZZ$1048576"), MATCH(Y$1, EneR!$6:$6, 0), FALSE),
            0
        ) +
        IFERROR(
            VLOOKUP($A15, INDIRECT("FebR!$A$6:$ZZ$1048576"), MATCH(Y$1, FebR!$6:$6, 0), FALSE),
            0
        ) +
        IFERROR(
            VLOOKUP($A15, INDIRECT("MarR!$A$6:$ZZ$1048576"), MATCH(Y$1, MarR!$6:$6, 0), FALSE),
            0
        ) +
        IFERROR(
            VLOOKUP($A15, INDIRECT("AbrR!$A$6:$ZZ$1048576"), MATCH(Y$1, AbrR!$6:$6, 0), FALSE),
            0
        ) +
        IFERROR(
            VLOOKUP($A15, INDIRECT("MayR!$A$6:$ZZ$1048576"), MATCH(Y$1, MayR!$6:$6, 0), FALSE),
            0
        ) +
        IFERROR(
            VLOOKUP($A15, INDIRECT("JunR!$A$6:$ZZ$1048576"), MATCH(Y$1, JunR!$6:$6, 0), FALSE),
            0
        ) +
        IFERROR(
            VLOOKUP($A15, INDIRECT("JulR!$A$6:$ZZ$1048576"), MATCH(Y$1, JulR!$6:$6, 0), FALSE),
            0
        ) +
        IFERROR(
            VLOOKUP($A15, INDIRECT("AgoR!$A$6:$ZZ$1048576"), MATCH(Y$1, AgoR!$6:$6, 0), FALSE),
            0
        ) +
        IFERROR(
            VLOOKUP($A15, INDIRECT("SepR!$A$6:$ZZ$1048576"), MATCH(Y$1, SepR!$6:$6, 0), FALSE),
            0
        ) +
        IFERROR(
            VLOOKUP($A15, INDIRECT("OctR!$A$6:$ZZ$1048576"), MATCH(Y$1, OctR!$6:$6, 0), FALSE),
            0
        ) +
        IFERROR(
            VLOOKUP($A15, INDIRECT("NovR!$A$6:$ZZ$1048576"), MATCH(Y$1, NovR!$6:$6, 0), FALSE),
            0
        ) +
        IFERROR(
            VLOOKUP($A15, INDIRECT("DicR!$A$6:$ZZ$1048576"), MATCH(Y$1, DicR!$6:$6, 0), FALSE),
            0
        )
)</f>
        <v>0</v>
      </c>
      <c r="Z15" s="36">
        <f t="array" ref="Z15">SUM(
    IFERROR(
            VLOOKUP($A15, INDIRECT("EneR!$A$6:$ZZ$1048576"), MATCH(Z$1, EneR!$6:$6, 0), FALSE),
            0
        ) +
        IFERROR(
            VLOOKUP($A15, INDIRECT("FebR!$A$6:$ZZ$1048576"), MATCH(Z$1, FebR!$6:$6, 0), FALSE),
            0
        ) +
        IFERROR(
            VLOOKUP($A15, INDIRECT("MarR!$A$6:$ZZ$1048576"), MATCH(Z$1, MarR!$6:$6, 0), FALSE),
            0
        ) +
        IFERROR(
            VLOOKUP($A15, INDIRECT("AbrR!$A$6:$ZZ$1048576"), MATCH(Z$1, AbrR!$6:$6, 0), FALSE),
            0
        ) +
        IFERROR(
            VLOOKUP($A15, INDIRECT("MayR!$A$6:$ZZ$1048576"), MATCH(Z$1, MayR!$6:$6, 0), FALSE),
            0
        ) +
        IFERROR(
            VLOOKUP($A15, INDIRECT("JunR!$A$6:$ZZ$1048576"), MATCH(Z$1, JunR!$6:$6, 0), FALSE),
            0
        ) +
        IFERROR(
            VLOOKUP($A15, INDIRECT("JulR!$A$6:$ZZ$1048576"), MATCH(Z$1, JulR!$6:$6, 0), FALSE),
            0
        ) +
        IFERROR(
            VLOOKUP($A15, INDIRECT("AgoR!$A$6:$ZZ$1048576"), MATCH(Z$1, AgoR!$6:$6, 0), FALSE),
            0
        ) +
        IFERROR(
            VLOOKUP($A15, INDIRECT("SepR!$A$6:$ZZ$1048576"), MATCH(Z$1, SepR!$6:$6, 0), FALSE),
            0
        ) +
        IFERROR(
            VLOOKUP($A15, INDIRECT("OctR!$A$6:$ZZ$1048576"), MATCH(Z$1, OctR!$6:$6, 0), FALSE),
            0
        ) +
        IFERROR(
            VLOOKUP($A15, INDIRECT("NovR!$A$6:$ZZ$1048576"), MATCH(Z$1, NovR!$6:$6, 0), FALSE),
            0
        ) +
        IFERROR(
            VLOOKUP($A15, INDIRECT("DicR!$A$6:$ZZ$1048576"), MATCH(Z$1, DicR!$6:$6, 0), FALSE),
            0
        )
)</f>
        <v>0</v>
      </c>
      <c r="AA15" s="37">
        <f t="array" ref="AA15">SUM(
    IFERROR(
            VLOOKUP($A15, INDIRECT("EneR!$A$6:$ZZ$1048576"), MATCH(AA$1, EneR!$6:$6, 0), FALSE),
            0
        ) +
        IFERROR(
            VLOOKUP($A15, INDIRECT("FebR!$A$6:$ZZ$1048576"), MATCH(AA$1, FebR!$6:$6, 0), FALSE),
            0
        ) +
        IFERROR(
            VLOOKUP($A15, INDIRECT("MarR!$A$6:$ZZ$1048576"), MATCH(AA$1, MarR!$6:$6, 0), FALSE),
            0
        ) +
        IFERROR(
            VLOOKUP($A15, INDIRECT("AbrR!$A$6:$ZZ$1048576"), MATCH(AA$1, AbrR!$6:$6, 0), FALSE),
            0
        ) +
        IFERROR(
            VLOOKUP($A15, INDIRECT("MayR!$A$6:$ZZ$1048576"), MATCH(AA$1, MayR!$6:$6, 0), FALSE),
            0
        ) +
        IFERROR(
            VLOOKUP($A15, INDIRECT("JunR!$A$6:$ZZ$1048576"), MATCH(AA$1, JunR!$6:$6, 0), FALSE),
            0
        ) +
        IFERROR(
            VLOOKUP($A15, INDIRECT("JulR!$A$6:$ZZ$1048576"), MATCH(AA$1, JulR!$6:$6, 0), FALSE),
            0
        ) +
        IFERROR(
            VLOOKUP($A15, INDIRECT("AgoR!$A$6:$ZZ$1048576"), MATCH(AA$1, AgoR!$6:$6, 0), FALSE),
            0
        ) +
        IFERROR(
            VLOOKUP($A15, INDIRECT("SepR!$A$6:$ZZ$1048576"), MATCH(AA$1, SepR!$6:$6, 0), FALSE),
            0
        ) +
        IFERROR(
            VLOOKUP($A15, INDIRECT("OctR!$A$6:$ZZ$1048576"), MATCH(AA$1, OctR!$6:$6, 0), FALSE),
            0
        ) +
        IFERROR(
            VLOOKUP($A15, INDIRECT("NovR!$A$6:$ZZ$1048576"), MATCH(AA$1, NovR!$6:$6, 0), FALSE),
            0
        ) +
        IFERROR(
            VLOOKUP($A15, INDIRECT("DicR!$A$6:$ZZ$1048576"), MATCH(AA$1, DicR!$6:$6, 0), FALSE),
            0
        )
)</f>
        <v>0</v>
      </c>
      <c r="AB15" s="36">
        <f t="array" ref="AB15">SUM(
    IFERROR(
            VLOOKUP($A15, INDIRECT("EneR!$A$6:$ZZ$1048576"), MATCH(AB$1, EneR!$6:$6, 0), FALSE),
            0
        ) +
        IFERROR(
            VLOOKUP($A15, INDIRECT("FebR!$A$6:$ZZ$1048576"), MATCH(AB$1, FebR!$6:$6, 0), FALSE),
            0
        ) +
        IFERROR(
            VLOOKUP($A15, INDIRECT("MarR!$A$6:$ZZ$1048576"), MATCH(AB$1, MarR!$6:$6, 0), FALSE),
            0
        ) +
        IFERROR(
            VLOOKUP($A15, INDIRECT("AbrR!$A$6:$ZZ$1048576"), MATCH(AB$1, AbrR!$6:$6, 0), FALSE),
            0
        ) +
        IFERROR(
            VLOOKUP($A15, INDIRECT("MayR!$A$6:$ZZ$1048576"), MATCH(AB$1, MayR!$6:$6, 0), FALSE),
            0
        ) +
        IFERROR(
            VLOOKUP($A15, INDIRECT("JunR!$A$6:$ZZ$1048576"), MATCH(AB$1, JunR!$6:$6, 0), FALSE),
            0
        ) +
        IFERROR(
            VLOOKUP($A15, INDIRECT("JulR!$A$6:$ZZ$1048576"), MATCH(AB$1, JulR!$6:$6, 0), FALSE),
            0
        ) +
        IFERROR(
            VLOOKUP($A15, INDIRECT("AgoR!$A$6:$ZZ$1048576"), MATCH(AB$1, AgoR!$6:$6, 0), FALSE),
            0
        ) +
        IFERROR(
            VLOOKUP($A15, INDIRECT("SepR!$A$6:$ZZ$1048576"), MATCH(AB$1, SepR!$6:$6, 0), FALSE),
            0
        ) +
        IFERROR(
            VLOOKUP($A15, INDIRECT("OctR!$A$6:$ZZ$1048576"), MATCH(AB$1, OctR!$6:$6, 0), FALSE),
            0
        ) +
        IFERROR(
            VLOOKUP($A15, INDIRECT("NovR!$A$6:$ZZ$1048576"), MATCH(AB$1, NovR!$6:$6, 0), FALSE),
            0
        ) +
        IFERROR(
            VLOOKUP($A15, INDIRECT("DicR!$A$6:$ZZ$1048576"), MATCH(AB$1, DicR!$6:$6, 0), FALSE),
            0
        )
)</f>
        <v>0</v>
      </c>
      <c r="AC15" s="37">
        <f t="array" ref="AC15">SUM(
    IFERROR(
            VLOOKUP($A15, INDIRECT("EneR!$A$6:$ZZ$1048576"), MATCH(AC$1, EneR!$6:$6, 0), FALSE),
            0
        ) +
        IFERROR(
            VLOOKUP($A15, INDIRECT("FebR!$A$6:$ZZ$1048576"), MATCH(AC$1, FebR!$6:$6, 0), FALSE),
            0
        ) +
        IFERROR(
            VLOOKUP($A15, INDIRECT("MarR!$A$6:$ZZ$1048576"), MATCH(AC$1, MarR!$6:$6, 0), FALSE),
            0
        ) +
        IFERROR(
            VLOOKUP($A15, INDIRECT("AbrR!$A$6:$ZZ$1048576"), MATCH(AC$1, AbrR!$6:$6, 0), FALSE),
            0
        ) +
        IFERROR(
            VLOOKUP($A15, INDIRECT("MayR!$A$6:$ZZ$1048576"), MATCH(AC$1, MayR!$6:$6, 0), FALSE),
            0
        ) +
        IFERROR(
            VLOOKUP($A15, INDIRECT("JunR!$A$6:$ZZ$1048576"), MATCH(AC$1, JunR!$6:$6, 0), FALSE),
            0
        ) +
        IFERROR(
            VLOOKUP($A15, INDIRECT("JulR!$A$6:$ZZ$1048576"), MATCH(AC$1, JulR!$6:$6, 0), FALSE),
            0
        ) +
        IFERROR(
            VLOOKUP($A15, INDIRECT("AgoR!$A$6:$ZZ$1048576"), MATCH(AC$1, AgoR!$6:$6, 0), FALSE),
            0
        ) +
        IFERROR(
            VLOOKUP($A15, INDIRECT("SepR!$A$6:$ZZ$1048576"), MATCH(AC$1, SepR!$6:$6, 0), FALSE),
            0
        ) +
        IFERROR(
            VLOOKUP($A15, INDIRECT("OctR!$A$6:$ZZ$1048576"), MATCH(AC$1, OctR!$6:$6, 0), FALSE),
            0
        ) +
        IFERROR(
            VLOOKUP($A15, INDIRECT("NovR!$A$6:$ZZ$1048576"), MATCH(AC$1, NovR!$6:$6, 0), FALSE),
            0
        ) +
        IFERROR(
            VLOOKUP($A15, INDIRECT("DicR!$A$6:$ZZ$1048576"), MATCH(AC$1, DicR!$6:$6, 0), FALSE),
            0
        )
)</f>
        <v>0</v>
      </c>
      <c r="AD15" s="36">
        <f t="array" ref="AD15">SUM(
    IFERROR(
            VLOOKUP($A15, INDIRECT("EneR!$A$6:$ZZ$1048576"), MATCH(AD$1, EneR!$6:$6, 0), FALSE),
            0
        ) +
        IFERROR(
            VLOOKUP($A15, INDIRECT("FebR!$A$6:$ZZ$1048576"), MATCH(AD$1, FebR!$6:$6, 0), FALSE),
            0
        ) +
        IFERROR(
            VLOOKUP($A15, INDIRECT("MarR!$A$6:$ZZ$1048576"), MATCH(AD$1, MarR!$6:$6, 0), FALSE),
            0
        ) +
        IFERROR(
            VLOOKUP($A15, INDIRECT("AbrR!$A$6:$ZZ$1048576"), MATCH(AD$1, AbrR!$6:$6, 0), FALSE),
            0
        ) +
        IFERROR(
            VLOOKUP($A15, INDIRECT("MayR!$A$6:$ZZ$1048576"), MATCH(AD$1, MayR!$6:$6, 0), FALSE),
            0
        ) +
        IFERROR(
            VLOOKUP($A15, INDIRECT("JunR!$A$6:$ZZ$1048576"), MATCH(AD$1, JunR!$6:$6, 0), FALSE),
            0
        ) +
        IFERROR(
            VLOOKUP($A15, INDIRECT("JulR!$A$6:$ZZ$1048576"), MATCH(AD$1, JulR!$6:$6, 0), FALSE),
            0
        ) +
        IFERROR(
            VLOOKUP($A15, INDIRECT("AgoR!$A$6:$ZZ$1048576"), MATCH(AD$1, AgoR!$6:$6, 0), FALSE),
            0
        ) +
        IFERROR(
            VLOOKUP($A15, INDIRECT("SepR!$A$6:$ZZ$1048576"), MATCH(AD$1, SepR!$6:$6, 0), FALSE),
            0
        ) +
        IFERROR(
            VLOOKUP($A15, INDIRECT("OctR!$A$6:$ZZ$1048576"), MATCH(AD$1, OctR!$6:$6, 0), FALSE),
            0
        ) +
        IFERROR(
            VLOOKUP($A15, INDIRECT("NovR!$A$6:$ZZ$1048576"), MATCH(AD$1, NovR!$6:$6, 0), FALSE),
            0
        ) +
        IFERROR(
            VLOOKUP($A15, INDIRECT("DicR!$A$6:$ZZ$1048576"), MATCH(AD$1, DicR!$6:$6, 0), FALSE),
            0
        )
)</f>
        <v>0</v>
      </c>
      <c r="AE15" s="37">
        <f t="array" ref="AE15">SUM(
    IFERROR(
            VLOOKUP($A15, INDIRECT("EneR!$A$6:$ZZ$1048576"), MATCH(AE$1, EneR!$6:$6, 0), FALSE),
            0
        ) +
        IFERROR(
            VLOOKUP($A15, INDIRECT("FebR!$A$6:$ZZ$1048576"), MATCH(AE$1, FebR!$6:$6, 0), FALSE),
            0
        ) +
        IFERROR(
            VLOOKUP($A15, INDIRECT("MarR!$A$6:$ZZ$1048576"), MATCH(AE$1, MarR!$6:$6, 0), FALSE),
            0
        ) +
        IFERROR(
            VLOOKUP($A15, INDIRECT("AbrR!$A$6:$ZZ$1048576"), MATCH(AE$1, AbrR!$6:$6, 0), FALSE),
            0
        ) +
        IFERROR(
            VLOOKUP($A15, INDIRECT("MayR!$A$6:$ZZ$1048576"), MATCH(AE$1, MayR!$6:$6, 0), FALSE),
            0
        ) +
        IFERROR(
            VLOOKUP($A15, INDIRECT("JunR!$A$6:$ZZ$1048576"), MATCH(AE$1, JunR!$6:$6, 0), FALSE),
            0
        ) +
        IFERROR(
            VLOOKUP($A15, INDIRECT("JulR!$A$6:$ZZ$1048576"), MATCH(AE$1, JulR!$6:$6, 0), FALSE),
            0
        ) +
        IFERROR(
            VLOOKUP($A15, INDIRECT("AgoR!$A$6:$ZZ$1048576"), MATCH(AE$1, AgoR!$6:$6, 0), FALSE),
            0
        ) +
        IFERROR(
            VLOOKUP($A15, INDIRECT("SepR!$A$6:$ZZ$1048576"), MATCH(AE$1, SepR!$6:$6, 0), FALSE),
            0
        ) +
        IFERROR(
            VLOOKUP($A15, INDIRECT("OctR!$A$6:$ZZ$1048576"), MATCH(AE$1, OctR!$6:$6, 0), FALSE),
            0
        ) +
        IFERROR(
            VLOOKUP($A15, INDIRECT("NovR!$A$6:$ZZ$1048576"), MATCH(AE$1, NovR!$6:$6, 0), FALSE),
            0
        ) +
        IFERROR(
            VLOOKUP($A15, INDIRECT("DicR!$A$6:$ZZ$1048576"), MATCH(AE$1, DicR!$6:$6, 0), FALSE),
            0
        )
)</f>
        <v>0</v>
      </c>
      <c r="AF15" s="36">
        <f t="array" ref="AF15">SUM(
    IFERROR(
            VLOOKUP($A15, INDIRECT("EneR!$A$6:$ZZ$1048576"), MATCH(AF$1, EneR!$6:$6, 0), FALSE),
            0
        ) +
        IFERROR(
            VLOOKUP($A15, INDIRECT("FebR!$A$6:$ZZ$1048576"), MATCH(AF$1, FebR!$6:$6, 0), FALSE),
            0
        ) +
        IFERROR(
            VLOOKUP($A15, INDIRECT("MarR!$A$6:$ZZ$1048576"), MATCH(AF$1, MarR!$6:$6, 0), FALSE),
            0
        ) +
        IFERROR(
            VLOOKUP($A15, INDIRECT("AbrR!$A$6:$ZZ$1048576"), MATCH(AF$1, AbrR!$6:$6, 0), FALSE),
            0
        ) +
        IFERROR(
            VLOOKUP($A15, INDIRECT("MayR!$A$6:$ZZ$1048576"), MATCH(AF$1, MayR!$6:$6, 0), FALSE),
            0
        ) +
        IFERROR(
            VLOOKUP($A15, INDIRECT("JunR!$A$6:$ZZ$1048576"), MATCH(AF$1, JunR!$6:$6, 0), FALSE),
            0
        ) +
        IFERROR(
            VLOOKUP($A15, INDIRECT("JulR!$A$6:$ZZ$1048576"), MATCH(AF$1, JulR!$6:$6, 0), FALSE),
            0
        ) +
        IFERROR(
            VLOOKUP($A15, INDIRECT("AgoR!$A$6:$ZZ$1048576"), MATCH(AF$1, AgoR!$6:$6, 0), FALSE),
            0
        ) +
        IFERROR(
            VLOOKUP($A15, INDIRECT("SepR!$A$6:$ZZ$1048576"), MATCH(AF$1, SepR!$6:$6, 0), FALSE),
            0
        ) +
        IFERROR(
            VLOOKUP($A15, INDIRECT("OctR!$A$6:$ZZ$1048576"), MATCH(AF$1, OctR!$6:$6, 0), FALSE),
            0
        ) +
        IFERROR(
            VLOOKUP($A15, INDIRECT("NovR!$A$6:$ZZ$1048576"), MATCH(AF$1, NovR!$6:$6, 0), FALSE),
            0
        ) +
        IFERROR(
            VLOOKUP($A15, INDIRECT("DicR!$A$6:$ZZ$1048576"), MATCH(AF$1, DicR!$6:$6, 0), FALSE),
            0
        )
)</f>
        <v>0</v>
      </c>
      <c r="AG15" s="37">
        <f t="array" ref="AG15">SUM(
    IFERROR(
            VLOOKUP($A15, INDIRECT("EneR!$A$6:$ZZ$1048576"), MATCH(AG$1, EneR!$6:$6, 0), FALSE),
            0
        ) +
        IFERROR(
            VLOOKUP($A15, INDIRECT("FebR!$A$6:$ZZ$1048576"), MATCH(AG$1, FebR!$6:$6, 0), FALSE),
            0
        ) +
        IFERROR(
            VLOOKUP($A15, INDIRECT("MarR!$A$6:$ZZ$1048576"), MATCH(AG$1, MarR!$6:$6, 0), FALSE),
            0
        ) +
        IFERROR(
            VLOOKUP($A15, INDIRECT("AbrR!$A$6:$ZZ$1048576"), MATCH(AG$1, AbrR!$6:$6, 0), FALSE),
            0
        ) +
        IFERROR(
            VLOOKUP($A15, INDIRECT("MayR!$A$6:$ZZ$1048576"), MATCH(AG$1, MayR!$6:$6, 0), FALSE),
            0
        ) +
        IFERROR(
            VLOOKUP($A15, INDIRECT("JunR!$A$6:$ZZ$1048576"), MATCH(AG$1, JunR!$6:$6, 0), FALSE),
            0
        ) +
        IFERROR(
            VLOOKUP($A15, INDIRECT("JulR!$A$6:$ZZ$1048576"), MATCH(AG$1, JulR!$6:$6, 0), FALSE),
            0
        ) +
        IFERROR(
            VLOOKUP($A15, INDIRECT("AgoR!$A$6:$ZZ$1048576"), MATCH(AG$1, AgoR!$6:$6, 0), FALSE),
            0
        ) +
        IFERROR(
            VLOOKUP($A15, INDIRECT("SepR!$A$6:$ZZ$1048576"), MATCH(AG$1, SepR!$6:$6, 0), FALSE),
            0
        ) +
        IFERROR(
            VLOOKUP($A15, INDIRECT("OctR!$A$6:$ZZ$1048576"), MATCH(AG$1, OctR!$6:$6, 0), FALSE),
            0
        ) +
        IFERROR(
            VLOOKUP($A15, INDIRECT("NovR!$A$6:$ZZ$1048576"), MATCH(AG$1, NovR!$6:$6, 0), FALSE),
            0
        ) +
        IFERROR(
            VLOOKUP($A15, INDIRECT("DicR!$A$6:$ZZ$1048576"), MATCH(AG$1, DicR!$6:$6, 0), FALSE),
            0
        )
)</f>
        <v>0</v>
      </c>
      <c r="AH15" s="36">
        <f t="array" ref="AH15">SUM(
    IFERROR(
            VLOOKUP($A15, INDIRECT("EneR!$A$6:$ZZ$1048576"), MATCH(AH$1, EneR!$6:$6, 0), FALSE),
            0
        ) +
        IFERROR(
            VLOOKUP($A15, INDIRECT("FebR!$A$6:$ZZ$1048576"), MATCH(AH$1, FebR!$6:$6, 0), FALSE),
            0
        ) +
        IFERROR(
            VLOOKUP($A15, INDIRECT("MarR!$A$6:$ZZ$1048576"), MATCH(AH$1, MarR!$6:$6, 0), FALSE),
            0
        ) +
        IFERROR(
            VLOOKUP($A15, INDIRECT("AbrR!$A$6:$ZZ$1048576"), MATCH(AH$1, AbrR!$6:$6, 0), FALSE),
            0
        ) +
        IFERROR(
            VLOOKUP($A15, INDIRECT("MayR!$A$6:$ZZ$1048576"), MATCH(AH$1, MayR!$6:$6, 0), FALSE),
            0
        ) +
        IFERROR(
            VLOOKUP($A15, INDIRECT("JunR!$A$6:$ZZ$1048576"), MATCH(AH$1, JunR!$6:$6, 0), FALSE),
            0
        ) +
        IFERROR(
            VLOOKUP($A15, INDIRECT("JulR!$A$6:$ZZ$1048576"), MATCH(AH$1, JulR!$6:$6, 0), FALSE),
            0
        ) +
        IFERROR(
            VLOOKUP($A15, INDIRECT("AgoR!$A$6:$ZZ$1048576"), MATCH(AH$1, AgoR!$6:$6, 0), FALSE),
            0
        ) +
        IFERROR(
            VLOOKUP($A15, INDIRECT("SepR!$A$6:$ZZ$1048576"), MATCH(AH$1, SepR!$6:$6, 0), FALSE),
            0
        ) +
        IFERROR(
            VLOOKUP($A15, INDIRECT("OctR!$A$6:$ZZ$1048576"), MATCH(AH$1, OctR!$6:$6, 0), FALSE),
            0
        ) +
        IFERROR(
            VLOOKUP($A15, INDIRECT("NovR!$A$6:$ZZ$1048576"), MATCH(AH$1, NovR!$6:$6, 0), FALSE),
            0
        ) +
        IFERROR(
            VLOOKUP($A15, INDIRECT("DicR!$A$6:$ZZ$1048576"), MATCH(AH$1, DicR!$6:$6, 0), FALSE),
            0
        )
)</f>
        <v>0</v>
      </c>
      <c r="AI15" s="37">
        <f t="array" ref="AI15">SUM(
    IFERROR(
            VLOOKUP($A15, INDIRECT("EneR!$A$6:$ZZ$1048576"), MATCH(AI$1, EneR!$6:$6, 0), FALSE),
            0
        ) +
        IFERROR(
            VLOOKUP($A15, INDIRECT("FebR!$A$6:$ZZ$1048576"), MATCH(AI$1, FebR!$6:$6, 0), FALSE),
            0
        ) +
        IFERROR(
            VLOOKUP($A15, INDIRECT("MarR!$A$6:$ZZ$1048576"), MATCH(AI$1, MarR!$6:$6, 0), FALSE),
            0
        ) +
        IFERROR(
            VLOOKUP($A15, INDIRECT("AbrR!$A$6:$ZZ$1048576"), MATCH(AI$1, AbrR!$6:$6, 0), FALSE),
            0
        ) +
        IFERROR(
            VLOOKUP($A15, INDIRECT("MayR!$A$6:$ZZ$1048576"), MATCH(AI$1, MayR!$6:$6, 0), FALSE),
            0
        ) +
        IFERROR(
            VLOOKUP($A15, INDIRECT("JunR!$A$6:$ZZ$1048576"), MATCH(AI$1, JunR!$6:$6, 0), FALSE),
            0
        ) +
        IFERROR(
            VLOOKUP($A15, INDIRECT("JulR!$A$6:$ZZ$1048576"), MATCH(AI$1, JulR!$6:$6, 0), FALSE),
            0
        ) +
        IFERROR(
            VLOOKUP($A15, INDIRECT("AgoR!$A$6:$ZZ$1048576"), MATCH(AI$1, AgoR!$6:$6, 0), FALSE),
            0
        ) +
        IFERROR(
            VLOOKUP($A15, INDIRECT("SepR!$A$6:$ZZ$1048576"), MATCH(AI$1, SepR!$6:$6, 0), FALSE),
            0
        ) +
        IFERROR(
            VLOOKUP($A15, INDIRECT("OctR!$A$6:$ZZ$1048576"), MATCH(AI$1, OctR!$6:$6, 0), FALSE),
            0
        ) +
        IFERROR(
            VLOOKUP($A15, INDIRECT("NovR!$A$6:$ZZ$1048576"), MATCH(AI$1, NovR!$6:$6, 0), FALSE),
            0
        ) +
        IFERROR(
            VLOOKUP($A15, INDIRECT("DicR!$A$6:$ZZ$1048576"), MATCH(AI$1, DicR!$6:$6, 0), FALSE),
            0
        )
)</f>
        <v>0</v>
      </c>
      <c r="AJ15" s="36">
        <f t="array" ref="AJ15">SUM(
    IFERROR(
            VLOOKUP($A15, INDIRECT("EneR!$A$6:$ZZ$1048576"), MATCH(AJ$1, EneR!$6:$6, 0), FALSE),
            0
        ) +
        IFERROR(
            VLOOKUP($A15, INDIRECT("FebR!$A$6:$ZZ$1048576"), MATCH(AJ$1, FebR!$6:$6, 0), FALSE),
            0
        ) +
        IFERROR(
            VLOOKUP($A15, INDIRECT("MarR!$A$6:$ZZ$1048576"), MATCH(AJ$1, MarR!$6:$6, 0), FALSE),
            0
        ) +
        IFERROR(
            VLOOKUP($A15, INDIRECT("AbrR!$A$6:$ZZ$1048576"), MATCH(AJ$1, AbrR!$6:$6, 0), FALSE),
            0
        ) +
        IFERROR(
            VLOOKUP($A15, INDIRECT("MayR!$A$6:$ZZ$1048576"), MATCH(AJ$1, MayR!$6:$6, 0), FALSE),
            0
        ) +
        IFERROR(
            VLOOKUP($A15, INDIRECT("JunR!$A$6:$ZZ$1048576"), MATCH(AJ$1, JunR!$6:$6, 0), FALSE),
            0
        ) +
        IFERROR(
            VLOOKUP($A15, INDIRECT("JulR!$A$6:$ZZ$1048576"), MATCH(AJ$1, JulR!$6:$6, 0), FALSE),
            0
        ) +
        IFERROR(
            VLOOKUP($A15, INDIRECT("AgoR!$A$6:$ZZ$1048576"), MATCH(AJ$1, AgoR!$6:$6, 0), FALSE),
            0
        ) +
        IFERROR(
            VLOOKUP($A15, INDIRECT("SepR!$A$6:$ZZ$1048576"), MATCH(AJ$1, SepR!$6:$6, 0), FALSE),
            0
        ) +
        IFERROR(
            VLOOKUP($A15, INDIRECT("OctR!$A$6:$ZZ$1048576"), MATCH(AJ$1, OctR!$6:$6, 0), FALSE),
            0
        ) +
        IFERROR(
            VLOOKUP($A15, INDIRECT("NovR!$A$6:$ZZ$1048576"), MATCH(AJ$1, NovR!$6:$6, 0), FALSE),
            0
        ) +
        IFERROR(
            VLOOKUP($A15, INDIRECT("DicR!$A$6:$ZZ$1048576"), MATCH(AJ$1, DicR!$6:$6, 0), FALSE),
            0
        )
)</f>
        <v>0</v>
      </c>
      <c r="AK15" s="37">
        <f t="array" ref="AK15">SUM(
    IFERROR(
            VLOOKUP($A15, INDIRECT("EneR!$A$6:$ZZ$1048576"), MATCH(AK$1, EneR!$6:$6, 0), FALSE),
            0
        ) +
        IFERROR(
            VLOOKUP($A15, INDIRECT("FebR!$A$6:$ZZ$1048576"), MATCH(AK$1, FebR!$6:$6, 0), FALSE),
            0
        ) +
        IFERROR(
            VLOOKUP($A15, INDIRECT("MarR!$A$6:$ZZ$1048576"), MATCH(AK$1, MarR!$6:$6, 0), FALSE),
            0
        ) +
        IFERROR(
            VLOOKUP($A15, INDIRECT("AbrR!$A$6:$ZZ$1048576"), MATCH(AK$1, AbrR!$6:$6, 0), FALSE),
            0
        ) +
        IFERROR(
            VLOOKUP($A15, INDIRECT("MayR!$A$6:$ZZ$1048576"), MATCH(AK$1, MayR!$6:$6, 0), FALSE),
            0
        ) +
        IFERROR(
            VLOOKUP($A15, INDIRECT("JunR!$A$6:$ZZ$1048576"), MATCH(AK$1, JunR!$6:$6, 0), FALSE),
            0
        ) +
        IFERROR(
            VLOOKUP($A15, INDIRECT("JulR!$A$6:$ZZ$1048576"), MATCH(AK$1, JulR!$6:$6, 0), FALSE),
            0
        ) +
        IFERROR(
            VLOOKUP($A15, INDIRECT("AgoR!$A$6:$ZZ$1048576"), MATCH(AK$1, AgoR!$6:$6, 0), FALSE),
            0
        ) +
        IFERROR(
            VLOOKUP($A15, INDIRECT("SepR!$A$6:$ZZ$1048576"), MATCH(AK$1, SepR!$6:$6, 0), FALSE),
            0
        ) +
        IFERROR(
            VLOOKUP($A15, INDIRECT("OctR!$A$6:$ZZ$1048576"), MATCH(AK$1, OctR!$6:$6, 0), FALSE),
            0
        ) +
        IFERROR(
            VLOOKUP($A15, INDIRECT("NovR!$A$6:$ZZ$1048576"), MATCH(AK$1, NovR!$6:$6, 0), FALSE),
            0
        ) +
        IFERROR(
            VLOOKUP($A15, INDIRECT("DicR!$A$6:$ZZ$1048576"), MATCH(AK$1, DicR!$6:$6, 0), FALSE),
            0
        )
)</f>
        <v>0</v>
      </c>
      <c r="AL15" s="36">
        <f t="array" ref="AL15">SUM(
    IFERROR(
            VLOOKUP($A15, INDIRECT("EneR!$A$6:$ZZ$1048576"), MATCH(AL$1, EneR!$6:$6, 0), FALSE),
            0
        ) +
        IFERROR(
            VLOOKUP($A15, INDIRECT("FebR!$A$6:$ZZ$1048576"), MATCH(AL$1, FebR!$6:$6, 0), FALSE),
            0
        ) +
        IFERROR(
            VLOOKUP($A15, INDIRECT("MarR!$A$6:$ZZ$1048576"), MATCH(AL$1, MarR!$6:$6, 0), FALSE),
            0
        ) +
        IFERROR(
            VLOOKUP($A15, INDIRECT("AbrR!$A$6:$ZZ$1048576"), MATCH(AL$1, AbrR!$6:$6, 0), FALSE),
            0
        ) +
        IFERROR(
            VLOOKUP($A15, INDIRECT("MayR!$A$6:$ZZ$1048576"), MATCH(AL$1, MayR!$6:$6, 0), FALSE),
            0
        ) +
        IFERROR(
            VLOOKUP($A15, INDIRECT("JunR!$A$6:$ZZ$1048576"), MATCH(AL$1, JunR!$6:$6, 0), FALSE),
            0
        ) +
        IFERROR(
            VLOOKUP($A15, INDIRECT("JulR!$A$6:$ZZ$1048576"), MATCH(AL$1, JulR!$6:$6, 0), FALSE),
            0
        ) +
        IFERROR(
            VLOOKUP($A15, INDIRECT("AgoR!$A$6:$ZZ$1048576"), MATCH(AL$1, AgoR!$6:$6, 0), FALSE),
            0
        ) +
        IFERROR(
            VLOOKUP($A15, INDIRECT("SepR!$A$6:$ZZ$1048576"), MATCH(AL$1, SepR!$6:$6, 0), FALSE),
            0
        ) +
        IFERROR(
            VLOOKUP($A15, INDIRECT("OctR!$A$6:$ZZ$1048576"), MATCH(AL$1, OctR!$6:$6, 0), FALSE),
            0
        ) +
        IFERROR(
            VLOOKUP($A15, INDIRECT("NovR!$A$6:$ZZ$1048576"), MATCH(AL$1, NovR!$6:$6, 0), FALSE),
            0
        ) +
        IFERROR(
            VLOOKUP($A15, INDIRECT("DicR!$A$6:$ZZ$1048576"), MATCH(AL$1, DicR!$6:$6, 0), FALSE),
            0
        )
)</f>
        <v>0</v>
      </c>
      <c r="AM15" s="37">
        <f t="array" ref="AM15">SUM(
    IFERROR(
            VLOOKUP($A15, INDIRECT("EneR!$A$6:$ZZ$1048576"), MATCH(AM$1, EneR!$6:$6, 0), FALSE),
            0
        ) +
        IFERROR(
            VLOOKUP($A15, INDIRECT("FebR!$A$6:$ZZ$1048576"), MATCH(AM$1, FebR!$6:$6, 0), FALSE),
            0
        ) +
        IFERROR(
            VLOOKUP($A15, INDIRECT("MarR!$A$6:$ZZ$1048576"), MATCH(AM$1, MarR!$6:$6, 0), FALSE),
            0
        ) +
        IFERROR(
            VLOOKUP($A15, INDIRECT("AbrR!$A$6:$ZZ$1048576"), MATCH(AM$1, AbrR!$6:$6, 0), FALSE),
            0
        ) +
        IFERROR(
            VLOOKUP($A15, INDIRECT("MayR!$A$6:$ZZ$1048576"), MATCH(AM$1, MayR!$6:$6, 0), FALSE),
            0
        ) +
        IFERROR(
            VLOOKUP($A15, INDIRECT("JunR!$A$6:$ZZ$1048576"), MATCH(AM$1, JunR!$6:$6, 0), FALSE),
            0
        ) +
        IFERROR(
            VLOOKUP($A15, INDIRECT("JulR!$A$6:$ZZ$1048576"), MATCH(AM$1, JulR!$6:$6, 0), FALSE),
            0
        ) +
        IFERROR(
            VLOOKUP($A15, INDIRECT("AgoR!$A$6:$ZZ$1048576"), MATCH(AM$1, AgoR!$6:$6, 0), FALSE),
            0
        ) +
        IFERROR(
            VLOOKUP($A15, INDIRECT("SepR!$A$6:$ZZ$1048576"), MATCH(AM$1, SepR!$6:$6, 0), FALSE),
            0
        ) +
        IFERROR(
            VLOOKUP($A15, INDIRECT("OctR!$A$6:$ZZ$1048576"), MATCH(AM$1, OctR!$6:$6, 0), FALSE),
            0
        ) +
        IFERROR(
            VLOOKUP($A15, INDIRECT("NovR!$A$6:$ZZ$1048576"), MATCH(AM$1, NovR!$6:$6, 0), FALSE),
            0
        ) +
        IFERROR(
            VLOOKUP($A15, INDIRECT("DicR!$A$6:$ZZ$1048576"), MATCH(AM$1, DicR!$6:$6, 0), FALSE),
            0
        )
)</f>
        <v>0</v>
      </c>
      <c r="AN15" s="36">
        <f t="array" ref="AN15">SUM(
    IFERROR(
            VLOOKUP($A15, INDIRECT("EneR!$A$6:$ZZ$1048576"), MATCH(AN$1, EneR!$6:$6, 0), FALSE),
            0
        ) +
        IFERROR(
            VLOOKUP($A15, INDIRECT("FebR!$A$6:$ZZ$1048576"), MATCH(AN$1, FebR!$6:$6, 0), FALSE),
            0
        ) +
        IFERROR(
            VLOOKUP($A15, INDIRECT("MarR!$A$6:$ZZ$1048576"), MATCH(AN$1, MarR!$6:$6, 0), FALSE),
            0
        ) +
        IFERROR(
            VLOOKUP($A15, INDIRECT("AbrR!$A$6:$ZZ$1048576"), MATCH(AN$1, AbrR!$6:$6, 0), FALSE),
            0
        ) +
        IFERROR(
            VLOOKUP($A15, INDIRECT("MayR!$A$6:$ZZ$1048576"), MATCH(AN$1, MayR!$6:$6, 0), FALSE),
            0
        ) +
        IFERROR(
            VLOOKUP($A15, INDIRECT("JunR!$A$6:$ZZ$1048576"), MATCH(AN$1, JunR!$6:$6, 0), FALSE),
            0
        ) +
        IFERROR(
            VLOOKUP($A15, INDIRECT("JulR!$A$6:$ZZ$1048576"), MATCH(AN$1, JulR!$6:$6, 0), FALSE),
            0
        ) +
        IFERROR(
            VLOOKUP($A15, INDIRECT("AgoR!$A$6:$ZZ$1048576"), MATCH(AN$1, AgoR!$6:$6, 0), FALSE),
            0
        ) +
        IFERROR(
            VLOOKUP($A15, INDIRECT("SepR!$A$6:$ZZ$1048576"), MATCH(AN$1, SepR!$6:$6, 0), FALSE),
            0
        ) +
        IFERROR(
            VLOOKUP($A15, INDIRECT("OctR!$A$6:$ZZ$1048576"), MATCH(AN$1, OctR!$6:$6, 0), FALSE),
            0
        ) +
        IFERROR(
            VLOOKUP($A15, INDIRECT("NovR!$A$6:$ZZ$1048576"), MATCH(AN$1, NovR!$6:$6, 0), FALSE),
            0
        ) +
        IFERROR(
            VLOOKUP($A15, INDIRECT("DicR!$A$6:$ZZ$1048576"), MATCH(AN$1, DicR!$6:$6, 0), FALSE),
            0
        )
)</f>
        <v>0</v>
      </c>
      <c r="AO15" s="37">
        <f t="array" ref="AO15">SUM(
    IFERROR(
            VLOOKUP($A15, INDIRECT("EneR!$A$6:$ZZ$1048576"), MATCH(AO$1, EneR!$6:$6, 0), FALSE),
            0
        ) +
        IFERROR(
            VLOOKUP($A15, INDIRECT("FebR!$A$6:$ZZ$1048576"), MATCH(AO$1, FebR!$6:$6, 0), FALSE),
            0
        ) +
        IFERROR(
            VLOOKUP($A15, INDIRECT("MarR!$A$6:$ZZ$1048576"), MATCH(AO$1, MarR!$6:$6, 0), FALSE),
            0
        ) +
        IFERROR(
            VLOOKUP($A15, INDIRECT("AbrR!$A$6:$ZZ$1048576"), MATCH(AO$1, AbrR!$6:$6, 0), FALSE),
            0
        ) +
        IFERROR(
            VLOOKUP($A15, INDIRECT("MayR!$A$6:$ZZ$1048576"), MATCH(AO$1, MayR!$6:$6, 0), FALSE),
            0
        ) +
        IFERROR(
            VLOOKUP($A15, INDIRECT("JunR!$A$6:$ZZ$1048576"), MATCH(AO$1, JunR!$6:$6, 0), FALSE),
            0
        ) +
        IFERROR(
            VLOOKUP($A15, INDIRECT("JulR!$A$6:$ZZ$1048576"), MATCH(AO$1, JulR!$6:$6, 0), FALSE),
            0
        ) +
        IFERROR(
            VLOOKUP($A15, INDIRECT("AgoR!$A$6:$ZZ$1048576"), MATCH(AO$1, AgoR!$6:$6, 0), FALSE),
            0
        ) +
        IFERROR(
            VLOOKUP($A15, INDIRECT("SepR!$A$6:$ZZ$1048576"), MATCH(AO$1, SepR!$6:$6, 0), FALSE),
            0
        ) +
        IFERROR(
            VLOOKUP($A15, INDIRECT("OctR!$A$6:$ZZ$1048576"), MATCH(AO$1, OctR!$6:$6, 0), FALSE),
            0
        ) +
        IFERROR(
            VLOOKUP($A15, INDIRECT("NovR!$A$6:$ZZ$1048576"), MATCH(AO$1, NovR!$6:$6, 0), FALSE),
            0
        ) +
        IFERROR(
            VLOOKUP($A15, INDIRECT("DicR!$A$6:$ZZ$1048576"), MATCH(AO$1, DicR!$6:$6, 0), FALSE),
            0
        )
)</f>
        <v>0</v>
      </c>
      <c r="AP15" s="36">
        <f t="array" ref="AP15">SUM(
    IFERROR(
            VLOOKUP($A15, INDIRECT("EneR!$A$6:$ZZ$1048576"), MATCH(AP$1, EneR!$6:$6, 0), FALSE),
            0
        ) +
        IFERROR(
            VLOOKUP($A15, INDIRECT("FebR!$A$6:$ZZ$1048576"), MATCH(AP$1, FebR!$6:$6, 0), FALSE),
            0
        ) +
        IFERROR(
            VLOOKUP($A15, INDIRECT("MarR!$A$6:$ZZ$1048576"), MATCH(AP$1, MarR!$6:$6, 0), FALSE),
            0
        ) +
        IFERROR(
            VLOOKUP($A15, INDIRECT("AbrR!$A$6:$ZZ$1048576"), MATCH(AP$1, AbrR!$6:$6, 0), FALSE),
            0
        ) +
        IFERROR(
            VLOOKUP($A15, INDIRECT("MayR!$A$6:$ZZ$1048576"), MATCH(AP$1, MayR!$6:$6, 0), FALSE),
            0
        ) +
        IFERROR(
            VLOOKUP($A15, INDIRECT("JunR!$A$6:$ZZ$1048576"), MATCH(AP$1, JunR!$6:$6, 0), FALSE),
            0
        ) +
        IFERROR(
            VLOOKUP($A15, INDIRECT("JulR!$A$6:$ZZ$1048576"), MATCH(AP$1, JulR!$6:$6, 0), FALSE),
            0
        ) +
        IFERROR(
            VLOOKUP($A15, INDIRECT("AgoR!$A$6:$ZZ$1048576"), MATCH(AP$1, AgoR!$6:$6, 0), FALSE),
            0
        ) +
        IFERROR(
            VLOOKUP($A15, INDIRECT("SepR!$A$6:$ZZ$1048576"), MATCH(AP$1, SepR!$6:$6, 0), FALSE),
            0
        ) +
        IFERROR(
            VLOOKUP($A15, INDIRECT("OctR!$A$6:$ZZ$1048576"), MATCH(AP$1, OctR!$6:$6, 0), FALSE),
            0
        ) +
        IFERROR(
            VLOOKUP($A15, INDIRECT("NovR!$A$6:$ZZ$1048576"), MATCH(AP$1, NovR!$6:$6, 0), FALSE),
            0
        ) +
        IFERROR(
            VLOOKUP($A15, INDIRECT("DicR!$A$6:$ZZ$1048576"), MATCH(AP$1, DicR!$6:$6, 0), FALSE),
            0
        )
)</f>
        <v>0</v>
      </c>
      <c r="AQ15" s="37">
        <f t="array" ref="AQ15">SUM(
    IFERROR(
            VLOOKUP($A15, INDIRECT("EneR!$A$6:$ZZ$1048576"), MATCH(AQ$1, EneR!$6:$6, 0), FALSE),
            0
        ) +
        IFERROR(
            VLOOKUP($A15, INDIRECT("FebR!$A$6:$ZZ$1048576"), MATCH(AQ$1, FebR!$6:$6, 0), FALSE),
            0
        ) +
        IFERROR(
            VLOOKUP($A15, INDIRECT("MarR!$A$6:$ZZ$1048576"), MATCH(AQ$1, MarR!$6:$6, 0), FALSE),
            0
        ) +
        IFERROR(
            VLOOKUP($A15, INDIRECT("AbrR!$A$6:$ZZ$1048576"), MATCH(AQ$1, AbrR!$6:$6, 0), FALSE),
            0
        ) +
        IFERROR(
            VLOOKUP($A15, INDIRECT("MayR!$A$6:$ZZ$1048576"), MATCH(AQ$1, MayR!$6:$6, 0), FALSE),
            0
        ) +
        IFERROR(
            VLOOKUP($A15, INDIRECT("JunR!$A$6:$ZZ$1048576"), MATCH(AQ$1, JunR!$6:$6, 0), FALSE),
            0
        ) +
        IFERROR(
            VLOOKUP($A15, INDIRECT("JulR!$A$6:$ZZ$1048576"), MATCH(AQ$1, JulR!$6:$6, 0), FALSE),
            0
        ) +
        IFERROR(
            VLOOKUP($A15, INDIRECT("AgoR!$A$6:$ZZ$1048576"), MATCH(AQ$1, AgoR!$6:$6, 0), FALSE),
            0
        ) +
        IFERROR(
            VLOOKUP($A15, INDIRECT("SepR!$A$6:$ZZ$1048576"), MATCH(AQ$1, SepR!$6:$6, 0), FALSE),
            0
        ) +
        IFERROR(
            VLOOKUP($A15, INDIRECT("OctR!$A$6:$ZZ$1048576"), MATCH(AQ$1, OctR!$6:$6, 0), FALSE),
            0
        ) +
        IFERROR(
            VLOOKUP($A15, INDIRECT("NovR!$A$6:$ZZ$1048576"), MATCH(AQ$1, NovR!$6:$6, 0), FALSE),
            0
        ) +
        IFERROR(
            VLOOKUP($A15, INDIRECT("DicR!$A$6:$ZZ$1048576"), MATCH(AQ$1, DicR!$6:$6, 0), FALSE),
            0
        )
)</f>
        <v>0</v>
      </c>
      <c r="AR15" s="36">
        <f t="array" ref="AR15">SUM(
    IFERROR(
            VLOOKUP($A15, INDIRECT("EneR!$A$6:$ZZ$1048576"), MATCH(AR$1, EneR!$6:$6, 0), FALSE),
            0
        ) +
        IFERROR(
            VLOOKUP($A15, INDIRECT("FebR!$A$6:$ZZ$1048576"), MATCH(AR$1, FebR!$6:$6, 0), FALSE),
            0
        ) +
        IFERROR(
            VLOOKUP($A15, INDIRECT("MarR!$A$6:$ZZ$1048576"), MATCH(AR$1, MarR!$6:$6, 0), FALSE),
            0
        ) +
        IFERROR(
            VLOOKUP($A15, INDIRECT("AbrR!$A$6:$ZZ$1048576"), MATCH(AR$1, AbrR!$6:$6, 0), FALSE),
            0
        ) +
        IFERROR(
            VLOOKUP($A15, INDIRECT("MayR!$A$6:$ZZ$1048576"), MATCH(AR$1, MayR!$6:$6, 0), FALSE),
            0
        ) +
        IFERROR(
            VLOOKUP($A15, INDIRECT("JunR!$A$6:$ZZ$1048576"), MATCH(AR$1, JunR!$6:$6, 0), FALSE),
            0
        ) +
        IFERROR(
            VLOOKUP($A15, INDIRECT("JulR!$A$6:$ZZ$1048576"), MATCH(AR$1, JulR!$6:$6, 0), FALSE),
            0
        ) +
        IFERROR(
            VLOOKUP($A15, INDIRECT("AgoR!$A$6:$ZZ$1048576"), MATCH(AR$1, AgoR!$6:$6, 0), FALSE),
            0
        ) +
        IFERROR(
            VLOOKUP($A15, INDIRECT("SepR!$A$6:$ZZ$1048576"), MATCH(AR$1, SepR!$6:$6, 0), FALSE),
            0
        ) +
        IFERROR(
            VLOOKUP($A15, INDIRECT("OctR!$A$6:$ZZ$1048576"), MATCH(AR$1, OctR!$6:$6, 0), FALSE),
            0
        ) +
        IFERROR(
            VLOOKUP($A15, INDIRECT("NovR!$A$6:$ZZ$1048576"), MATCH(AR$1, NovR!$6:$6, 0), FALSE),
            0
        ) +
        IFERROR(
            VLOOKUP($A15, INDIRECT("DicR!$A$6:$ZZ$1048576"), MATCH(AR$1, DicR!$6:$6, 0), FALSE),
            0
        )
)</f>
        <v>0</v>
      </c>
      <c r="AS15" s="37">
        <f t="array" ref="AS15">SUM(
    IFERROR(
            VLOOKUP($A15, INDIRECT("EneR!$A$6:$ZZ$1048576"), MATCH(AS$1, EneR!$6:$6, 0), FALSE),
            0
        ) +
        IFERROR(
            VLOOKUP($A15, INDIRECT("FebR!$A$6:$ZZ$1048576"), MATCH(AS$1, FebR!$6:$6, 0), FALSE),
            0
        ) +
        IFERROR(
            VLOOKUP($A15, INDIRECT("MarR!$A$6:$ZZ$1048576"), MATCH(AS$1, MarR!$6:$6, 0), FALSE),
            0
        ) +
        IFERROR(
            VLOOKUP($A15, INDIRECT("AbrR!$A$6:$ZZ$1048576"), MATCH(AS$1, AbrR!$6:$6, 0), FALSE),
            0
        ) +
        IFERROR(
            VLOOKUP($A15, INDIRECT("MayR!$A$6:$ZZ$1048576"), MATCH(AS$1, MayR!$6:$6, 0), FALSE),
            0
        ) +
        IFERROR(
            VLOOKUP($A15, INDIRECT("JunR!$A$6:$ZZ$1048576"), MATCH(AS$1, JunR!$6:$6, 0), FALSE),
            0
        ) +
        IFERROR(
            VLOOKUP($A15, INDIRECT("JulR!$A$6:$ZZ$1048576"), MATCH(AS$1, JulR!$6:$6, 0), FALSE),
            0
        ) +
        IFERROR(
            VLOOKUP($A15, INDIRECT("AgoR!$A$6:$ZZ$1048576"), MATCH(AS$1, AgoR!$6:$6, 0), FALSE),
            0
        ) +
        IFERROR(
            VLOOKUP($A15, INDIRECT("SepR!$A$6:$ZZ$1048576"), MATCH(AS$1, SepR!$6:$6, 0), FALSE),
            0
        ) +
        IFERROR(
            VLOOKUP($A15, INDIRECT("OctR!$A$6:$ZZ$1048576"), MATCH(AS$1, OctR!$6:$6, 0), FALSE),
            0
        ) +
        IFERROR(
            VLOOKUP($A15, INDIRECT("NovR!$A$6:$ZZ$1048576"), MATCH(AS$1, NovR!$6:$6, 0), FALSE),
            0
        ) +
        IFERROR(
            VLOOKUP($A15, INDIRECT("DicR!$A$6:$ZZ$1048576"), MATCH(AS$1, DicR!$6:$6, 0), FALSE),
            0
        )
)</f>
        <v>0</v>
      </c>
      <c r="AT15" s="36">
        <f t="array" ref="AT15">SUM(
    IFERROR(
            VLOOKUP($A15, INDIRECT("EneR!$A$6:$ZZ$1048576"), MATCH(AT$1, EneR!$6:$6, 0), FALSE),
            0
        ) +
        IFERROR(
            VLOOKUP($A15, INDIRECT("FebR!$A$6:$ZZ$1048576"), MATCH(AT$1, FebR!$6:$6, 0), FALSE),
            0
        ) +
        IFERROR(
            VLOOKUP($A15, INDIRECT("MarR!$A$6:$ZZ$1048576"), MATCH(AT$1, MarR!$6:$6, 0), FALSE),
            0
        ) +
        IFERROR(
            VLOOKUP($A15, INDIRECT("AbrR!$A$6:$ZZ$1048576"), MATCH(AT$1, AbrR!$6:$6, 0), FALSE),
            0
        ) +
        IFERROR(
            VLOOKUP($A15, INDIRECT("MayR!$A$6:$ZZ$1048576"), MATCH(AT$1, MayR!$6:$6, 0), FALSE),
            0
        ) +
        IFERROR(
            VLOOKUP($A15, INDIRECT("JunR!$A$6:$ZZ$1048576"), MATCH(AT$1, JunR!$6:$6, 0), FALSE),
            0
        ) +
        IFERROR(
            VLOOKUP($A15, INDIRECT("JulR!$A$6:$ZZ$1048576"), MATCH(AT$1, JulR!$6:$6, 0), FALSE),
            0
        ) +
        IFERROR(
            VLOOKUP($A15, INDIRECT("AgoR!$A$6:$ZZ$1048576"), MATCH(AT$1, AgoR!$6:$6, 0), FALSE),
            0
        ) +
        IFERROR(
            VLOOKUP($A15, INDIRECT("SepR!$A$6:$ZZ$1048576"), MATCH(AT$1, SepR!$6:$6, 0), FALSE),
            0
        ) +
        IFERROR(
            VLOOKUP($A15, INDIRECT("OctR!$A$6:$ZZ$1048576"), MATCH(AT$1, OctR!$6:$6, 0), FALSE),
            0
        ) +
        IFERROR(
            VLOOKUP($A15, INDIRECT("NovR!$A$6:$ZZ$1048576"), MATCH(AT$1, NovR!$6:$6, 0), FALSE),
            0
        ) +
        IFERROR(
            VLOOKUP($A15, INDIRECT("DicR!$A$6:$ZZ$1048576"), MATCH(AT$1, DicR!$6:$6, 0), FALSE),
            0
        )
)</f>
        <v>0</v>
      </c>
      <c r="AU15" s="37">
        <f t="array" ref="AU15">SUM(
    IFERROR(
            VLOOKUP($A15, INDIRECT("EneR!$A$6:$ZZ$1048576"), MATCH(AU$1, EneR!$6:$6, 0), FALSE),
            0
        ) +
        IFERROR(
            VLOOKUP($A15, INDIRECT("FebR!$A$6:$ZZ$1048576"), MATCH(AU$1, FebR!$6:$6, 0), FALSE),
            0
        ) +
        IFERROR(
            VLOOKUP($A15, INDIRECT("MarR!$A$6:$ZZ$1048576"), MATCH(AU$1, MarR!$6:$6, 0), FALSE),
            0
        ) +
        IFERROR(
            VLOOKUP($A15, INDIRECT("AbrR!$A$6:$ZZ$1048576"), MATCH(AU$1, AbrR!$6:$6, 0), FALSE),
            0
        ) +
        IFERROR(
            VLOOKUP($A15, INDIRECT("MayR!$A$6:$ZZ$1048576"), MATCH(AU$1, MayR!$6:$6, 0), FALSE),
            0
        ) +
        IFERROR(
            VLOOKUP($A15, INDIRECT("JunR!$A$6:$ZZ$1048576"), MATCH(AU$1, JunR!$6:$6, 0), FALSE),
            0
        ) +
        IFERROR(
            VLOOKUP($A15, INDIRECT("JulR!$A$6:$ZZ$1048576"), MATCH(AU$1, JulR!$6:$6, 0), FALSE),
            0
        ) +
        IFERROR(
            VLOOKUP($A15, INDIRECT("AgoR!$A$6:$ZZ$1048576"), MATCH(AU$1, AgoR!$6:$6, 0), FALSE),
            0
        ) +
        IFERROR(
            VLOOKUP($A15, INDIRECT("SepR!$A$6:$ZZ$1048576"), MATCH(AU$1, SepR!$6:$6, 0), FALSE),
            0
        ) +
        IFERROR(
            VLOOKUP($A15, INDIRECT("OctR!$A$6:$ZZ$1048576"), MATCH(AU$1, OctR!$6:$6, 0), FALSE),
            0
        ) +
        IFERROR(
            VLOOKUP($A15, INDIRECT("NovR!$A$6:$ZZ$1048576"), MATCH(AU$1, NovR!$6:$6, 0), FALSE),
            0
        ) +
        IFERROR(
            VLOOKUP($A15, INDIRECT("DicR!$A$6:$ZZ$1048576"), MATCH(AU$1, DicR!$6:$6, 0), FALSE),
            0
        )
)</f>
        <v>0</v>
      </c>
      <c r="AV15" s="36">
        <f t="array" ref="AV15">SUM(
    IFERROR(
            VLOOKUP($A15, INDIRECT("EneR!$A$6:$ZZ$1048576"), MATCH(AV$1, EneR!$6:$6, 0), FALSE),
            0
        ) +
        IFERROR(
            VLOOKUP($A15, INDIRECT("FebR!$A$6:$ZZ$1048576"), MATCH(AV$1, FebR!$6:$6, 0), FALSE),
            0
        ) +
        IFERROR(
            VLOOKUP($A15, INDIRECT("MarR!$A$6:$ZZ$1048576"), MATCH(AV$1, MarR!$6:$6, 0), FALSE),
            0
        ) +
        IFERROR(
            VLOOKUP($A15, INDIRECT("AbrR!$A$6:$ZZ$1048576"), MATCH(AV$1, AbrR!$6:$6, 0), FALSE),
            0
        ) +
        IFERROR(
            VLOOKUP($A15, INDIRECT("MayR!$A$6:$ZZ$1048576"), MATCH(AV$1, MayR!$6:$6, 0), FALSE),
            0
        ) +
        IFERROR(
            VLOOKUP($A15, INDIRECT("JunR!$A$6:$ZZ$1048576"), MATCH(AV$1, JunR!$6:$6, 0), FALSE),
            0
        ) +
        IFERROR(
            VLOOKUP($A15, INDIRECT("JulR!$A$6:$ZZ$1048576"), MATCH(AV$1, JulR!$6:$6, 0), FALSE),
            0
        ) +
        IFERROR(
            VLOOKUP($A15, INDIRECT("AgoR!$A$6:$ZZ$1048576"), MATCH(AV$1, AgoR!$6:$6, 0), FALSE),
            0
        ) +
        IFERROR(
            VLOOKUP($A15, INDIRECT("SepR!$A$6:$ZZ$1048576"), MATCH(AV$1, SepR!$6:$6, 0), FALSE),
            0
        ) +
        IFERROR(
            VLOOKUP($A15, INDIRECT("OctR!$A$6:$ZZ$1048576"), MATCH(AV$1, OctR!$6:$6, 0), FALSE),
            0
        ) +
        IFERROR(
            VLOOKUP($A15, INDIRECT("NovR!$A$6:$ZZ$1048576"), MATCH(AV$1, NovR!$6:$6, 0), FALSE),
            0
        ) +
        IFERROR(
            VLOOKUP($A15, INDIRECT("DicR!$A$6:$ZZ$1048576"), MATCH(AV$1, DicR!$6:$6, 0), FALSE),
            0
        )
)</f>
        <v>0</v>
      </c>
      <c r="AW15" s="37">
        <f t="array" ref="AW15">SUM(
    IFERROR(
            VLOOKUP($A15, INDIRECT("EneR!$A$6:$ZZ$1048576"), MATCH(AW$1, EneR!$6:$6, 0), FALSE),
            0
        ) +
        IFERROR(
            VLOOKUP($A15, INDIRECT("FebR!$A$6:$ZZ$1048576"), MATCH(AW$1, FebR!$6:$6, 0), FALSE),
            0
        ) +
        IFERROR(
            VLOOKUP($A15, INDIRECT("MarR!$A$6:$ZZ$1048576"), MATCH(AW$1, MarR!$6:$6, 0), FALSE),
            0
        ) +
        IFERROR(
            VLOOKUP($A15, INDIRECT("AbrR!$A$6:$ZZ$1048576"), MATCH(AW$1, AbrR!$6:$6, 0), FALSE),
            0
        ) +
        IFERROR(
            VLOOKUP($A15, INDIRECT("MayR!$A$6:$ZZ$1048576"), MATCH(AW$1, MayR!$6:$6, 0), FALSE),
            0
        ) +
        IFERROR(
            VLOOKUP($A15, INDIRECT("JunR!$A$6:$ZZ$1048576"), MATCH(AW$1, JunR!$6:$6, 0), FALSE),
            0
        ) +
        IFERROR(
            VLOOKUP($A15, INDIRECT("JulR!$A$6:$ZZ$1048576"), MATCH(AW$1, JulR!$6:$6, 0), FALSE),
            0
        ) +
        IFERROR(
            VLOOKUP($A15, INDIRECT("AgoR!$A$6:$ZZ$1048576"), MATCH(AW$1, AgoR!$6:$6, 0), FALSE),
            0
        ) +
        IFERROR(
            VLOOKUP($A15, INDIRECT("SepR!$A$6:$ZZ$1048576"), MATCH(AW$1, SepR!$6:$6, 0), FALSE),
            0
        ) +
        IFERROR(
            VLOOKUP($A15, INDIRECT("OctR!$A$6:$ZZ$1048576"), MATCH(AW$1, OctR!$6:$6, 0), FALSE),
            0
        ) +
        IFERROR(
            VLOOKUP($A15, INDIRECT("NovR!$A$6:$ZZ$1048576"), MATCH(AW$1, NovR!$6:$6, 0), FALSE),
            0
        ) +
        IFERROR(
            VLOOKUP($A15, INDIRECT("DicR!$A$6:$ZZ$1048576"), MATCH(AW$1, DicR!$6:$6, 0), FALSE),
            0
        )
)</f>
        <v>0</v>
      </c>
      <c r="AX15" s="36">
        <f t="array" ref="AX15">SUM(
    IFERROR(
            VLOOKUP($A15, INDIRECT("EneR!$A$6:$ZZ$1048576"), MATCH(AX$1, EneR!$6:$6, 0), FALSE),
            0
        ) +
        IFERROR(
            VLOOKUP($A15, INDIRECT("FebR!$A$6:$ZZ$1048576"), MATCH(AX$1, FebR!$6:$6, 0), FALSE),
            0
        ) +
        IFERROR(
            VLOOKUP($A15, INDIRECT("MarR!$A$6:$ZZ$1048576"), MATCH(AX$1, MarR!$6:$6, 0), FALSE),
            0
        ) +
        IFERROR(
            VLOOKUP($A15, INDIRECT("AbrR!$A$6:$ZZ$1048576"), MATCH(AX$1, AbrR!$6:$6, 0), FALSE),
            0
        ) +
        IFERROR(
            VLOOKUP($A15, INDIRECT("MayR!$A$6:$ZZ$1048576"), MATCH(AX$1, MayR!$6:$6, 0), FALSE),
            0
        ) +
        IFERROR(
            VLOOKUP($A15, INDIRECT("JunR!$A$6:$ZZ$1048576"), MATCH(AX$1, JunR!$6:$6, 0), FALSE),
            0
        ) +
        IFERROR(
            VLOOKUP($A15, INDIRECT("JulR!$A$6:$ZZ$1048576"), MATCH(AX$1, JulR!$6:$6, 0), FALSE),
            0
        ) +
        IFERROR(
            VLOOKUP($A15, INDIRECT("AgoR!$A$6:$ZZ$1048576"), MATCH(AX$1, AgoR!$6:$6, 0), FALSE),
            0
        ) +
        IFERROR(
            VLOOKUP($A15, INDIRECT("SepR!$A$6:$ZZ$1048576"), MATCH(AX$1, SepR!$6:$6, 0), FALSE),
            0
        ) +
        IFERROR(
            VLOOKUP($A15, INDIRECT("OctR!$A$6:$ZZ$1048576"), MATCH(AX$1, OctR!$6:$6, 0), FALSE),
            0
        ) +
        IFERROR(
            VLOOKUP($A15, INDIRECT("NovR!$A$6:$ZZ$1048576"), MATCH(AX$1, NovR!$6:$6, 0), FALSE),
            0
        ) +
        IFERROR(
            VLOOKUP($A15, INDIRECT("DicR!$A$6:$ZZ$1048576"), MATCH(AX$1, DicR!$6:$6, 0), FALSE),
            0
        )
)</f>
        <v>0</v>
      </c>
      <c r="AY15" s="37">
        <f t="array" ref="AY15">SUM(
    IFERROR(
            VLOOKUP($A15, INDIRECT("EneR!$A$6:$ZZ$1048576"), MATCH(AY$1, EneR!$6:$6, 0), FALSE),
            0
        ) +
        IFERROR(
            VLOOKUP($A15, INDIRECT("FebR!$A$6:$ZZ$1048576"), MATCH(AY$1, FebR!$6:$6, 0), FALSE),
            0
        ) +
        IFERROR(
            VLOOKUP($A15, INDIRECT("MarR!$A$6:$ZZ$1048576"), MATCH(AY$1, MarR!$6:$6, 0), FALSE),
            0
        ) +
        IFERROR(
            VLOOKUP($A15, INDIRECT("AbrR!$A$6:$ZZ$1048576"), MATCH(AY$1, AbrR!$6:$6, 0), FALSE),
            0
        ) +
        IFERROR(
            VLOOKUP($A15, INDIRECT("MayR!$A$6:$ZZ$1048576"), MATCH(AY$1, MayR!$6:$6, 0), FALSE),
            0
        ) +
        IFERROR(
            VLOOKUP($A15, INDIRECT("JunR!$A$6:$ZZ$1048576"), MATCH(AY$1, JunR!$6:$6, 0), FALSE),
            0
        ) +
        IFERROR(
            VLOOKUP($A15, INDIRECT("JulR!$A$6:$ZZ$1048576"), MATCH(AY$1, JulR!$6:$6, 0), FALSE),
            0
        ) +
        IFERROR(
            VLOOKUP($A15, INDIRECT("AgoR!$A$6:$ZZ$1048576"), MATCH(AY$1, AgoR!$6:$6, 0), FALSE),
            0
        ) +
        IFERROR(
            VLOOKUP($A15, INDIRECT("SepR!$A$6:$ZZ$1048576"), MATCH(AY$1, SepR!$6:$6, 0), FALSE),
            0
        ) +
        IFERROR(
            VLOOKUP($A15, INDIRECT("OctR!$A$6:$ZZ$1048576"), MATCH(AY$1, OctR!$6:$6, 0), FALSE),
            0
        ) +
        IFERROR(
            VLOOKUP($A15, INDIRECT("NovR!$A$6:$ZZ$1048576"), MATCH(AY$1, NovR!$6:$6, 0), FALSE),
            0
        ) +
        IFERROR(
            VLOOKUP($A15, INDIRECT("DicR!$A$6:$ZZ$1048576"), MATCH(AY$1, DicR!$6:$6, 0), FALSE),
            0
        )
)</f>
        <v>0</v>
      </c>
      <c r="AZ15" s="37"/>
    </row>
    <row r="16" ht="15.75" customHeight="1">
      <c r="A16" s="12" t="str">
        <f>Menus!R8</f>
        <v/>
      </c>
      <c r="B16" s="32">
        <f t="shared" si="4"/>
        <v>0</v>
      </c>
      <c r="C16" s="33" t="str">
        <f t="shared" si="5"/>
        <v/>
      </c>
      <c r="D16" s="34">
        <f t="array" ref="D16">SUM(
    IFERROR(
            VLOOKUP($A16, INDIRECT("EneR!$A$6:$ZZ$1048576"), MATCH(D$1, EneR!$6:$6, 0), FALSE),
            0
        ) +
        IFERROR(
            VLOOKUP($A16, INDIRECT("FebR!$A$6:$ZZ$1048576"), MATCH(D$1, FebR!$6:$6, 0), FALSE),
            0
        ) +
        IFERROR(
            VLOOKUP($A16, INDIRECT("MarR!$A$6:$ZZ$1048576"), MATCH(D$1, MarR!$6:$6, 0), FALSE),
            0
        ) +
        IFERROR(
            VLOOKUP($A16, INDIRECT("AbrR!$A$6:$ZZ$1048576"), MATCH(D$1, AbrR!$6:$6, 0), FALSE),
            0
        ) +
        IFERROR(
            VLOOKUP($A16, INDIRECT("MayR!$A$6:$ZZ$1048576"), MATCH(D$1, MayR!$6:$6, 0), FALSE),
            0
        ) +
        IFERROR(
            VLOOKUP($A16, INDIRECT("JunR!$A$6:$ZZ$1048576"), MATCH(D$1, JunR!$6:$6, 0), FALSE),
            0
        ) +
        IFERROR(
            VLOOKUP($A16, INDIRECT("JulR!$A$6:$ZZ$1048576"), MATCH(D$1, JulR!$6:$6, 0), FALSE),
            0
        ) +
        IFERROR(
            VLOOKUP($A16, INDIRECT("AgoR!$A$6:$ZZ$1048576"), MATCH(D$1, AgoR!$6:$6, 0), FALSE),
            0
        ) +
        IFERROR(
            VLOOKUP($A16, INDIRECT("SepR!$A$6:$ZZ$1048576"), MATCH(D$1, SepR!$6:$6, 0), FALSE),
            0
        ) +
        IFERROR(
            VLOOKUP($A16, INDIRECT("OctR!$A$6:$ZZ$1048576"), MATCH(D$1, OctR!$6:$6, 0), FALSE),
            0
        ) +
        IFERROR(
            VLOOKUP($A16, INDIRECT("NovR!$A$6:$ZZ$1048576"), MATCH(D$1, NovR!$6:$6, 0), FALSE),
            0
        ) +
        IFERROR(
            VLOOKUP($A16, INDIRECT("DicR!$A$6:$ZZ$1048576"), MATCH(D$1, DicR!$6:$6, 0), FALSE),
            0
        )
)</f>
        <v>0</v>
      </c>
      <c r="E16" s="35">
        <f t="array" ref="E16">SUM(
    IFERROR(
            VLOOKUP($A16, INDIRECT("EneR!$A$6:$ZZ$1048576"), MATCH(E$1, EneR!$6:$6, 0), FALSE),
            0
        ) +
        IFERROR(
            VLOOKUP($A16, INDIRECT("FebR!$A$6:$ZZ$1048576"), MATCH(E$1, FebR!$6:$6, 0), FALSE),
            0
        ) +
        IFERROR(
            VLOOKUP($A16, INDIRECT("MarR!$A$6:$ZZ$1048576"), MATCH(E$1, MarR!$6:$6, 0), FALSE),
            0
        ) +
        IFERROR(
            VLOOKUP($A16, INDIRECT("AbrR!$A$6:$ZZ$1048576"), MATCH(E$1, AbrR!$6:$6, 0), FALSE),
            0
        ) +
        IFERROR(
            VLOOKUP($A16, INDIRECT("MayR!$A$6:$ZZ$1048576"), MATCH(E$1, MayR!$6:$6, 0), FALSE),
            0
        ) +
        IFERROR(
            VLOOKUP($A16, INDIRECT("JunR!$A$6:$ZZ$1048576"), MATCH(E$1, JunR!$6:$6, 0), FALSE),
            0
        ) +
        IFERROR(
            VLOOKUP($A16, INDIRECT("JulR!$A$6:$ZZ$1048576"), MATCH(E$1, JulR!$6:$6, 0), FALSE),
            0
        ) +
        IFERROR(
            VLOOKUP($A16, INDIRECT("AgoR!$A$6:$ZZ$1048576"), MATCH(E$1, AgoR!$6:$6, 0), FALSE),
            0
        ) +
        IFERROR(
            VLOOKUP($A16, INDIRECT("SepR!$A$6:$ZZ$1048576"), MATCH(E$1, SepR!$6:$6, 0), FALSE),
            0
        ) +
        IFERROR(
            VLOOKUP($A16, INDIRECT("OctR!$A$6:$ZZ$1048576"), MATCH(E$1, OctR!$6:$6, 0), FALSE),
            0
        ) +
        IFERROR(
            VLOOKUP($A16, INDIRECT("NovR!$A$6:$ZZ$1048576"), MATCH(E$1, NovR!$6:$6, 0), FALSE),
            0
        ) +
        IFERROR(
            VLOOKUP($A16, INDIRECT("DicR!$A$6:$ZZ$1048576"), MATCH(E$1, DicR!$6:$6, 0), FALSE),
            0
        )
)</f>
        <v>0</v>
      </c>
      <c r="F16" s="32">
        <f t="array" ref="F16">SUM(
    IFERROR(
            VLOOKUP($A16, INDIRECT("EneR!$A$6:$ZZ$1048576"), MATCH(F$1, EneR!$6:$6, 0), FALSE),
            0
        ) +
        IFERROR(
            VLOOKUP($A16, INDIRECT("FebR!$A$6:$ZZ$1048576"), MATCH(F$1, FebR!$6:$6, 0), FALSE),
            0
        ) +
        IFERROR(
            VLOOKUP($A16, INDIRECT("MarR!$A$6:$ZZ$1048576"), MATCH(F$1, MarR!$6:$6, 0), FALSE),
            0
        ) +
        IFERROR(
            VLOOKUP($A16, INDIRECT("AbrR!$A$6:$ZZ$1048576"), MATCH(F$1, AbrR!$6:$6, 0), FALSE),
            0
        ) +
        IFERROR(
            VLOOKUP($A16, INDIRECT("MayR!$A$6:$ZZ$1048576"), MATCH(F$1, MayR!$6:$6, 0), FALSE),
            0
        ) +
        IFERROR(
            VLOOKUP($A16, INDIRECT("JunR!$A$6:$ZZ$1048576"), MATCH(F$1, JunR!$6:$6, 0), FALSE),
            0
        ) +
        IFERROR(
            VLOOKUP($A16, INDIRECT("JulR!$A$6:$ZZ$1048576"), MATCH(F$1, JulR!$6:$6, 0), FALSE),
            0
        ) +
        IFERROR(
            VLOOKUP($A16, INDIRECT("AgoR!$A$6:$ZZ$1048576"), MATCH(F$1, AgoR!$6:$6, 0), FALSE),
            0
        ) +
        IFERROR(
            VLOOKUP($A16, INDIRECT("SepR!$A$6:$ZZ$1048576"), MATCH(F$1, SepR!$6:$6, 0), FALSE),
            0
        ) +
        IFERROR(
            VLOOKUP($A16, INDIRECT("OctR!$A$6:$ZZ$1048576"), MATCH(F$1, OctR!$6:$6, 0), FALSE),
            0
        ) +
        IFERROR(
            VLOOKUP($A16, INDIRECT("NovR!$A$6:$ZZ$1048576"), MATCH(F$1, NovR!$6:$6, 0), FALSE),
            0
        ) +
        IFERROR(
            VLOOKUP($A16, INDIRECT("DicR!$A$6:$ZZ$1048576"), MATCH(F$1, DicR!$6:$6, 0), FALSE),
            0
        )
)</f>
        <v>0</v>
      </c>
      <c r="G16" s="35">
        <f t="array" ref="G16">SUM(
    IFERROR(
            VLOOKUP($A16, INDIRECT("EneR!$A$6:$ZZ$1048576"), MATCH(G$1, EneR!$6:$6, 0), FALSE),
            0
        ) +
        IFERROR(
            VLOOKUP($A16, INDIRECT("FebR!$A$6:$ZZ$1048576"), MATCH(G$1, FebR!$6:$6, 0), FALSE),
            0
        ) +
        IFERROR(
            VLOOKUP($A16, INDIRECT("MarR!$A$6:$ZZ$1048576"), MATCH(G$1, MarR!$6:$6, 0), FALSE),
            0
        ) +
        IFERROR(
            VLOOKUP($A16, INDIRECT("AbrR!$A$6:$ZZ$1048576"), MATCH(G$1, AbrR!$6:$6, 0), FALSE),
            0
        ) +
        IFERROR(
            VLOOKUP($A16, INDIRECT("MayR!$A$6:$ZZ$1048576"), MATCH(G$1, MayR!$6:$6, 0), FALSE),
            0
        ) +
        IFERROR(
            VLOOKUP($A16, INDIRECT("JunR!$A$6:$ZZ$1048576"), MATCH(G$1, JunR!$6:$6, 0), FALSE),
            0
        ) +
        IFERROR(
            VLOOKUP($A16, INDIRECT("JulR!$A$6:$ZZ$1048576"), MATCH(G$1, JulR!$6:$6, 0), FALSE),
            0
        ) +
        IFERROR(
            VLOOKUP($A16, INDIRECT("AgoR!$A$6:$ZZ$1048576"), MATCH(G$1, AgoR!$6:$6, 0), FALSE),
            0
        ) +
        IFERROR(
            VLOOKUP($A16, INDIRECT("SepR!$A$6:$ZZ$1048576"), MATCH(G$1, SepR!$6:$6, 0), FALSE),
            0
        ) +
        IFERROR(
            VLOOKUP($A16, INDIRECT("OctR!$A$6:$ZZ$1048576"), MATCH(G$1, OctR!$6:$6, 0), FALSE),
            0
        ) +
        IFERROR(
            VLOOKUP($A16, INDIRECT("NovR!$A$6:$ZZ$1048576"), MATCH(G$1, NovR!$6:$6, 0), FALSE),
            0
        ) +
        IFERROR(
            VLOOKUP($A16, INDIRECT("DicR!$A$6:$ZZ$1048576"), MATCH(G$1, DicR!$6:$6, 0), FALSE),
            0
        )
)</f>
        <v>0</v>
      </c>
      <c r="H16" s="32">
        <f t="array" ref="H16">SUM(
    IFERROR(
            VLOOKUP($A16, INDIRECT("EneR!$A$6:$ZZ$1048576"), MATCH(H$1, EneR!$6:$6, 0), FALSE),
            0
        ) +
        IFERROR(
            VLOOKUP($A16, INDIRECT("FebR!$A$6:$ZZ$1048576"), MATCH(H$1, FebR!$6:$6, 0), FALSE),
            0
        ) +
        IFERROR(
            VLOOKUP($A16, INDIRECT("MarR!$A$6:$ZZ$1048576"), MATCH(H$1, MarR!$6:$6, 0), FALSE),
            0
        ) +
        IFERROR(
            VLOOKUP($A16, INDIRECT("AbrR!$A$6:$ZZ$1048576"), MATCH(H$1, AbrR!$6:$6, 0), FALSE),
            0
        ) +
        IFERROR(
            VLOOKUP($A16, INDIRECT("MayR!$A$6:$ZZ$1048576"), MATCH(H$1, MayR!$6:$6, 0), FALSE),
            0
        ) +
        IFERROR(
            VLOOKUP($A16, INDIRECT("JunR!$A$6:$ZZ$1048576"), MATCH(H$1, JunR!$6:$6, 0), FALSE),
            0
        ) +
        IFERROR(
            VLOOKUP($A16, INDIRECT("JulR!$A$6:$ZZ$1048576"), MATCH(H$1, JulR!$6:$6, 0), FALSE),
            0
        ) +
        IFERROR(
            VLOOKUP($A16, INDIRECT("AgoR!$A$6:$ZZ$1048576"), MATCH(H$1, AgoR!$6:$6, 0), FALSE),
            0
        ) +
        IFERROR(
            VLOOKUP($A16, INDIRECT("SepR!$A$6:$ZZ$1048576"), MATCH(H$1, SepR!$6:$6, 0), FALSE),
            0
        ) +
        IFERROR(
            VLOOKUP($A16, INDIRECT("OctR!$A$6:$ZZ$1048576"), MATCH(H$1, OctR!$6:$6, 0), FALSE),
            0
        ) +
        IFERROR(
            VLOOKUP($A16, INDIRECT("NovR!$A$6:$ZZ$1048576"), MATCH(H$1, NovR!$6:$6, 0), FALSE),
            0
        ) +
        IFERROR(
            VLOOKUP($A16, INDIRECT("DicR!$A$6:$ZZ$1048576"), MATCH(H$1, DicR!$6:$6, 0), FALSE),
            0
        )
)</f>
        <v>0</v>
      </c>
      <c r="I16" s="35">
        <f t="array" ref="I16">SUM(
    IFERROR(
            VLOOKUP($A16, INDIRECT("EneR!$A$6:$ZZ$1048576"), MATCH(I$1, EneR!$6:$6, 0), FALSE),
            0
        ) +
        IFERROR(
            VLOOKUP($A16, INDIRECT("FebR!$A$6:$ZZ$1048576"), MATCH(I$1, FebR!$6:$6, 0), FALSE),
            0
        ) +
        IFERROR(
            VLOOKUP($A16, INDIRECT("MarR!$A$6:$ZZ$1048576"), MATCH(I$1, MarR!$6:$6, 0), FALSE),
            0
        ) +
        IFERROR(
            VLOOKUP($A16, INDIRECT("AbrR!$A$6:$ZZ$1048576"), MATCH(I$1, AbrR!$6:$6, 0), FALSE),
            0
        ) +
        IFERROR(
            VLOOKUP($A16, INDIRECT("MayR!$A$6:$ZZ$1048576"), MATCH(I$1, MayR!$6:$6, 0), FALSE),
            0
        ) +
        IFERROR(
            VLOOKUP($A16, INDIRECT("JunR!$A$6:$ZZ$1048576"), MATCH(I$1, JunR!$6:$6, 0), FALSE),
            0
        ) +
        IFERROR(
            VLOOKUP($A16, INDIRECT("JulR!$A$6:$ZZ$1048576"), MATCH(I$1, JulR!$6:$6, 0), FALSE),
            0
        ) +
        IFERROR(
            VLOOKUP($A16, INDIRECT("AgoR!$A$6:$ZZ$1048576"), MATCH(I$1, AgoR!$6:$6, 0), FALSE),
            0
        ) +
        IFERROR(
            VLOOKUP($A16, INDIRECT("SepR!$A$6:$ZZ$1048576"), MATCH(I$1, SepR!$6:$6, 0), FALSE),
            0
        ) +
        IFERROR(
            VLOOKUP($A16, INDIRECT("OctR!$A$6:$ZZ$1048576"), MATCH(I$1, OctR!$6:$6, 0), FALSE),
            0
        ) +
        IFERROR(
            VLOOKUP($A16, INDIRECT("NovR!$A$6:$ZZ$1048576"), MATCH(I$1, NovR!$6:$6, 0), FALSE),
            0
        ) +
        IFERROR(
            VLOOKUP($A16, INDIRECT("DicR!$A$6:$ZZ$1048576"), MATCH(I$1, DicR!$6:$6, 0), FALSE),
            0
        )
)</f>
        <v>0</v>
      </c>
      <c r="J16" s="32">
        <f t="array" ref="J16">SUM(
    IFERROR(
            VLOOKUP($A16, INDIRECT("EneR!$A$6:$ZZ$1048576"), MATCH(J$1, EneR!$6:$6, 0), FALSE),
            0
        ) +
        IFERROR(
            VLOOKUP($A16, INDIRECT("FebR!$A$6:$ZZ$1048576"), MATCH(J$1, FebR!$6:$6, 0), FALSE),
            0
        ) +
        IFERROR(
            VLOOKUP($A16, INDIRECT("MarR!$A$6:$ZZ$1048576"), MATCH(J$1, MarR!$6:$6, 0), FALSE),
            0
        ) +
        IFERROR(
            VLOOKUP($A16, INDIRECT("AbrR!$A$6:$ZZ$1048576"), MATCH(J$1, AbrR!$6:$6, 0), FALSE),
            0
        ) +
        IFERROR(
            VLOOKUP($A16, INDIRECT("MayR!$A$6:$ZZ$1048576"), MATCH(J$1, MayR!$6:$6, 0), FALSE),
            0
        ) +
        IFERROR(
            VLOOKUP($A16, INDIRECT("JunR!$A$6:$ZZ$1048576"), MATCH(J$1, JunR!$6:$6, 0), FALSE),
            0
        ) +
        IFERROR(
            VLOOKUP($A16, INDIRECT("JulR!$A$6:$ZZ$1048576"), MATCH(J$1, JulR!$6:$6, 0), FALSE),
            0
        ) +
        IFERROR(
            VLOOKUP($A16, INDIRECT("AgoR!$A$6:$ZZ$1048576"), MATCH(J$1, AgoR!$6:$6, 0), FALSE),
            0
        ) +
        IFERROR(
            VLOOKUP($A16, INDIRECT("SepR!$A$6:$ZZ$1048576"), MATCH(J$1, SepR!$6:$6, 0), FALSE),
            0
        ) +
        IFERROR(
            VLOOKUP($A16, INDIRECT("OctR!$A$6:$ZZ$1048576"), MATCH(J$1, OctR!$6:$6, 0), FALSE),
            0
        ) +
        IFERROR(
            VLOOKUP($A16, INDIRECT("NovR!$A$6:$ZZ$1048576"), MATCH(J$1, NovR!$6:$6, 0), FALSE),
            0
        ) +
        IFERROR(
            VLOOKUP($A16, INDIRECT("DicR!$A$6:$ZZ$1048576"), MATCH(J$1, DicR!$6:$6, 0), FALSE),
            0
        )
)</f>
        <v>0</v>
      </c>
      <c r="K16" s="35">
        <f t="array" ref="K16">SUM(
    IFERROR(
            VLOOKUP($A16, INDIRECT("EneR!$A$6:$ZZ$1048576"), MATCH(K$1, EneR!$6:$6, 0), FALSE),
            0
        ) +
        IFERROR(
            VLOOKUP($A16, INDIRECT("FebR!$A$6:$ZZ$1048576"), MATCH(K$1, FebR!$6:$6, 0), FALSE),
            0
        ) +
        IFERROR(
            VLOOKUP($A16, INDIRECT("MarR!$A$6:$ZZ$1048576"), MATCH(K$1, MarR!$6:$6, 0), FALSE),
            0
        ) +
        IFERROR(
            VLOOKUP($A16, INDIRECT("AbrR!$A$6:$ZZ$1048576"), MATCH(K$1, AbrR!$6:$6, 0), FALSE),
            0
        ) +
        IFERROR(
            VLOOKUP($A16, INDIRECT("MayR!$A$6:$ZZ$1048576"), MATCH(K$1, MayR!$6:$6, 0), FALSE),
            0
        ) +
        IFERROR(
            VLOOKUP($A16, INDIRECT("JunR!$A$6:$ZZ$1048576"), MATCH(K$1, JunR!$6:$6, 0), FALSE),
            0
        ) +
        IFERROR(
            VLOOKUP($A16, INDIRECT("JulR!$A$6:$ZZ$1048576"), MATCH(K$1, JulR!$6:$6, 0), FALSE),
            0
        ) +
        IFERROR(
            VLOOKUP($A16, INDIRECT("AgoR!$A$6:$ZZ$1048576"), MATCH(K$1, AgoR!$6:$6, 0), FALSE),
            0
        ) +
        IFERROR(
            VLOOKUP($A16, INDIRECT("SepR!$A$6:$ZZ$1048576"), MATCH(K$1, SepR!$6:$6, 0), FALSE),
            0
        ) +
        IFERROR(
            VLOOKUP($A16, INDIRECT("OctR!$A$6:$ZZ$1048576"), MATCH(K$1, OctR!$6:$6, 0), FALSE),
            0
        ) +
        IFERROR(
            VLOOKUP($A16, INDIRECT("NovR!$A$6:$ZZ$1048576"), MATCH(K$1, NovR!$6:$6, 0), FALSE),
            0
        ) +
        IFERROR(
            VLOOKUP($A16, INDIRECT("DicR!$A$6:$ZZ$1048576"), MATCH(K$1, DicR!$6:$6, 0), FALSE),
            0
        )
)</f>
        <v>0</v>
      </c>
      <c r="L16" s="32">
        <f t="array" ref="L16">SUM(
    IFERROR(
            VLOOKUP($A16, INDIRECT("EneR!$A$6:$ZZ$1048576"), MATCH(L$1, EneR!$6:$6, 0), FALSE),
            0
        ) +
        IFERROR(
            VLOOKUP($A16, INDIRECT("FebR!$A$6:$ZZ$1048576"), MATCH(L$1, FebR!$6:$6, 0), FALSE),
            0
        ) +
        IFERROR(
            VLOOKUP($A16, INDIRECT("MarR!$A$6:$ZZ$1048576"), MATCH(L$1, MarR!$6:$6, 0), FALSE),
            0
        ) +
        IFERROR(
            VLOOKUP($A16, INDIRECT("AbrR!$A$6:$ZZ$1048576"), MATCH(L$1, AbrR!$6:$6, 0), FALSE),
            0
        ) +
        IFERROR(
            VLOOKUP($A16, INDIRECT("MayR!$A$6:$ZZ$1048576"), MATCH(L$1, MayR!$6:$6, 0), FALSE),
            0
        ) +
        IFERROR(
            VLOOKUP($A16, INDIRECT("JunR!$A$6:$ZZ$1048576"), MATCH(L$1, JunR!$6:$6, 0), FALSE),
            0
        ) +
        IFERROR(
            VLOOKUP($A16, INDIRECT("JulR!$A$6:$ZZ$1048576"), MATCH(L$1, JulR!$6:$6, 0), FALSE),
            0
        ) +
        IFERROR(
            VLOOKUP($A16, INDIRECT("AgoR!$A$6:$ZZ$1048576"), MATCH(L$1, AgoR!$6:$6, 0), FALSE),
            0
        ) +
        IFERROR(
            VLOOKUP($A16, INDIRECT("SepR!$A$6:$ZZ$1048576"), MATCH(L$1, SepR!$6:$6, 0), FALSE),
            0
        ) +
        IFERROR(
            VLOOKUP($A16, INDIRECT("OctR!$A$6:$ZZ$1048576"), MATCH(L$1, OctR!$6:$6, 0), FALSE),
            0
        ) +
        IFERROR(
            VLOOKUP($A16, INDIRECT("NovR!$A$6:$ZZ$1048576"), MATCH(L$1, NovR!$6:$6, 0), FALSE),
            0
        ) +
        IFERROR(
            VLOOKUP($A16, INDIRECT("DicR!$A$6:$ZZ$1048576"), MATCH(L$1, DicR!$6:$6, 0), FALSE),
            0
        )
)</f>
        <v>0</v>
      </c>
      <c r="M16" s="35">
        <f t="array" ref="M16">SUM(
    IFERROR(
            VLOOKUP($A16, INDIRECT("EneR!$A$6:$ZZ$1048576"), MATCH(M$1, EneR!$6:$6, 0), FALSE),
            0
        ) +
        IFERROR(
            VLOOKUP($A16, INDIRECT("FebR!$A$6:$ZZ$1048576"), MATCH(M$1, FebR!$6:$6, 0), FALSE),
            0
        ) +
        IFERROR(
            VLOOKUP($A16, INDIRECT("MarR!$A$6:$ZZ$1048576"), MATCH(M$1, MarR!$6:$6, 0), FALSE),
            0
        ) +
        IFERROR(
            VLOOKUP($A16, INDIRECT("AbrR!$A$6:$ZZ$1048576"), MATCH(M$1, AbrR!$6:$6, 0), FALSE),
            0
        ) +
        IFERROR(
            VLOOKUP($A16, INDIRECT("MayR!$A$6:$ZZ$1048576"), MATCH(M$1, MayR!$6:$6, 0), FALSE),
            0
        ) +
        IFERROR(
            VLOOKUP($A16, INDIRECT("JunR!$A$6:$ZZ$1048576"), MATCH(M$1, JunR!$6:$6, 0), FALSE),
            0
        ) +
        IFERROR(
            VLOOKUP($A16, INDIRECT("JulR!$A$6:$ZZ$1048576"), MATCH(M$1, JulR!$6:$6, 0), FALSE),
            0
        ) +
        IFERROR(
            VLOOKUP($A16, INDIRECT("AgoR!$A$6:$ZZ$1048576"), MATCH(M$1, AgoR!$6:$6, 0), FALSE),
            0
        ) +
        IFERROR(
            VLOOKUP($A16, INDIRECT("SepR!$A$6:$ZZ$1048576"), MATCH(M$1, SepR!$6:$6, 0), FALSE),
            0
        ) +
        IFERROR(
            VLOOKUP($A16, INDIRECT("OctR!$A$6:$ZZ$1048576"), MATCH(M$1, OctR!$6:$6, 0), FALSE),
            0
        ) +
        IFERROR(
            VLOOKUP($A16, INDIRECT("NovR!$A$6:$ZZ$1048576"), MATCH(M$1, NovR!$6:$6, 0), FALSE),
            0
        ) +
        IFERROR(
            VLOOKUP($A16, INDIRECT("DicR!$A$6:$ZZ$1048576"), MATCH(M$1, DicR!$6:$6, 0), FALSE),
            0
        )
)</f>
        <v>0</v>
      </c>
      <c r="N16" s="32">
        <f t="array" ref="N16">SUM(
    IFERROR(
            VLOOKUP($A16, INDIRECT("EneR!$A$6:$ZZ$1048576"), MATCH(N$1, EneR!$6:$6, 0), FALSE),
            0
        ) +
        IFERROR(
            VLOOKUP($A16, INDIRECT("FebR!$A$6:$ZZ$1048576"), MATCH(N$1, FebR!$6:$6, 0), FALSE),
            0
        ) +
        IFERROR(
            VLOOKUP($A16, INDIRECT("MarR!$A$6:$ZZ$1048576"), MATCH(N$1, MarR!$6:$6, 0), FALSE),
            0
        ) +
        IFERROR(
            VLOOKUP($A16, INDIRECT("AbrR!$A$6:$ZZ$1048576"), MATCH(N$1, AbrR!$6:$6, 0), FALSE),
            0
        ) +
        IFERROR(
            VLOOKUP($A16, INDIRECT("MayR!$A$6:$ZZ$1048576"), MATCH(N$1, MayR!$6:$6, 0), FALSE),
            0
        ) +
        IFERROR(
            VLOOKUP($A16, INDIRECT("JunR!$A$6:$ZZ$1048576"), MATCH(N$1, JunR!$6:$6, 0), FALSE),
            0
        ) +
        IFERROR(
            VLOOKUP($A16, INDIRECT("JulR!$A$6:$ZZ$1048576"), MATCH(N$1, JulR!$6:$6, 0), FALSE),
            0
        ) +
        IFERROR(
            VLOOKUP($A16, INDIRECT("AgoR!$A$6:$ZZ$1048576"), MATCH(N$1, AgoR!$6:$6, 0), FALSE),
            0
        ) +
        IFERROR(
            VLOOKUP($A16, INDIRECT("SepR!$A$6:$ZZ$1048576"), MATCH(N$1, SepR!$6:$6, 0), FALSE),
            0
        ) +
        IFERROR(
            VLOOKUP($A16, INDIRECT("OctR!$A$6:$ZZ$1048576"), MATCH(N$1, OctR!$6:$6, 0), FALSE),
            0
        ) +
        IFERROR(
            VLOOKUP($A16, INDIRECT("NovR!$A$6:$ZZ$1048576"), MATCH(N$1, NovR!$6:$6, 0), FALSE),
            0
        ) +
        IFERROR(
            VLOOKUP($A16, INDIRECT("DicR!$A$6:$ZZ$1048576"), MATCH(N$1, DicR!$6:$6, 0), FALSE),
            0
        )
)</f>
        <v>0</v>
      </c>
      <c r="O16" s="35">
        <f t="array" ref="O16">SUM(
    IFERROR(
            VLOOKUP($A16, INDIRECT("EneR!$A$6:$ZZ$1048576"), MATCH(O$1, EneR!$6:$6, 0), FALSE),
            0
        ) +
        IFERROR(
            VLOOKUP($A16, INDIRECT("FebR!$A$6:$ZZ$1048576"), MATCH(O$1, FebR!$6:$6, 0), FALSE),
            0
        ) +
        IFERROR(
            VLOOKUP($A16, INDIRECT("MarR!$A$6:$ZZ$1048576"), MATCH(O$1, MarR!$6:$6, 0), FALSE),
            0
        ) +
        IFERROR(
            VLOOKUP($A16, INDIRECT("AbrR!$A$6:$ZZ$1048576"), MATCH(O$1, AbrR!$6:$6, 0), FALSE),
            0
        ) +
        IFERROR(
            VLOOKUP($A16, INDIRECT("MayR!$A$6:$ZZ$1048576"), MATCH(O$1, MayR!$6:$6, 0), FALSE),
            0
        ) +
        IFERROR(
            VLOOKUP($A16, INDIRECT("JunR!$A$6:$ZZ$1048576"), MATCH(O$1, JunR!$6:$6, 0), FALSE),
            0
        ) +
        IFERROR(
            VLOOKUP($A16, INDIRECT("JulR!$A$6:$ZZ$1048576"), MATCH(O$1, JulR!$6:$6, 0), FALSE),
            0
        ) +
        IFERROR(
            VLOOKUP($A16, INDIRECT("AgoR!$A$6:$ZZ$1048576"), MATCH(O$1, AgoR!$6:$6, 0), FALSE),
            0
        ) +
        IFERROR(
            VLOOKUP($A16, INDIRECT("SepR!$A$6:$ZZ$1048576"), MATCH(O$1, SepR!$6:$6, 0), FALSE),
            0
        ) +
        IFERROR(
            VLOOKUP($A16, INDIRECT("OctR!$A$6:$ZZ$1048576"), MATCH(O$1, OctR!$6:$6, 0), FALSE),
            0
        ) +
        IFERROR(
            VLOOKUP($A16, INDIRECT("NovR!$A$6:$ZZ$1048576"), MATCH(O$1, NovR!$6:$6, 0), FALSE),
            0
        ) +
        IFERROR(
            VLOOKUP($A16, INDIRECT("DicR!$A$6:$ZZ$1048576"), MATCH(O$1, DicR!$6:$6, 0), FALSE),
            0
        )
)</f>
        <v>0</v>
      </c>
      <c r="P16" s="32">
        <f t="array" ref="P16">SUM(
    IFERROR(
            VLOOKUP($A16, INDIRECT("EneR!$A$6:$ZZ$1048576"), MATCH(P$1, EneR!$6:$6, 0), FALSE),
            0
        ) +
        IFERROR(
            VLOOKUP($A16, INDIRECT("FebR!$A$6:$ZZ$1048576"), MATCH(P$1, FebR!$6:$6, 0), FALSE),
            0
        ) +
        IFERROR(
            VLOOKUP($A16, INDIRECT("MarR!$A$6:$ZZ$1048576"), MATCH(P$1, MarR!$6:$6, 0), FALSE),
            0
        ) +
        IFERROR(
            VLOOKUP($A16, INDIRECT("AbrR!$A$6:$ZZ$1048576"), MATCH(P$1, AbrR!$6:$6, 0), FALSE),
            0
        ) +
        IFERROR(
            VLOOKUP($A16, INDIRECT("MayR!$A$6:$ZZ$1048576"), MATCH(P$1, MayR!$6:$6, 0), FALSE),
            0
        ) +
        IFERROR(
            VLOOKUP($A16, INDIRECT("JunR!$A$6:$ZZ$1048576"), MATCH(P$1, JunR!$6:$6, 0), FALSE),
            0
        ) +
        IFERROR(
            VLOOKUP($A16, INDIRECT("JulR!$A$6:$ZZ$1048576"), MATCH(P$1, JulR!$6:$6, 0), FALSE),
            0
        ) +
        IFERROR(
            VLOOKUP($A16, INDIRECT("AgoR!$A$6:$ZZ$1048576"), MATCH(P$1, AgoR!$6:$6, 0), FALSE),
            0
        ) +
        IFERROR(
            VLOOKUP($A16, INDIRECT("SepR!$A$6:$ZZ$1048576"), MATCH(P$1, SepR!$6:$6, 0), FALSE),
            0
        ) +
        IFERROR(
            VLOOKUP($A16, INDIRECT("OctR!$A$6:$ZZ$1048576"), MATCH(P$1, OctR!$6:$6, 0), FALSE),
            0
        ) +
        IFERROR(
            VLOOKUP($A16, INDIRECT("NovR!$A$6:$ZZ$1048576"), MATCH(P$1, NovR!$6:$6, 0), FALSE),
            0
        ) +
        IFERROR(
            VLOOKUP($A16, INDIRECT("DicR!$A$6:$ZZ$1048576"), MATCH(P$1, DicR!$6:$6, 0), FALSE),
            0
        )
)</f>
        <v>0</v>
      </c>
      <c r="Q16" s="35">
        <f t="array" ref="Q16">SUM(
    IFERROR(
            VLOOKUP($A16, INDIRECT("EneR!$A$6:$ZZ$1048576"), MATCH(Q$1, EneR!$6:$6, 0), FALSE),
            0
        ) +
        IFERROR(
            VLOOKUP($A16, INDIRECT("FebR!$A$6:$ZZ$1048576"), MATCH(Q$1, FebR!$6:$6, 0), FALSE),
            0
        ) +
        IFERROR(
            VLOOKUP($A16, INDIRECT("MarR!$A$6:$ZZ$1048576"), MATCH(Q$1, MarR!$6:$6, 0), FALSE),
            0
        ) +
        IFERROR(
            VLOOKUP($A16, INDIRECT("AbrR!$A$6:$ZZ$1048576"), MATCH(Q$1, AbrR!$6:$6, 0), FALSE),
            0
        ) +
        IFERROR(
            VLOOKUP($A16, INDIRECT("MayR!$A$6:$ZZ$1048576"), MATCH(Q$1, MayR!$6:$6, 0), FALSE),
            0
        ) +
        IFERROR(
            VLOOKUP($A16, INDIRECT("JunR!$A$6:$ZZ$1048576"), MATCH(Q$1, JunR!$6:$6, 0), FALSE),
            0
        ) +
        IFERROR(
            VLOOKUP($A16, INDIRECT("JulR!$A$6:$ZZ$1048576"), MATCH(Q$1, JulR!$6:$6, 0), FALSE),
            0
        ) +
        IFERROR(
            VLOOKUP($A16, INDIRECT("AgoR!$A$6:$ZZ$1048576"), MATCH(Q$1, AgoR!$6:$6, 0), FALSE),
            0
        ) +
        IFERROR(
            VLOOKUP($A16, INDIRECT("SepR!$A$6:$ZZ$1048576"), MATCH(Q$1, SepR!$6:$6, 0), FALSE),
            0
        ) +
        IFERROR(
            VLOOKUP($A16, INDIRECT("OctR!$A$6:$ZZ$1048576"), MATCH(Q$1, OctR!$6:$6, 0), FALSE),
            0
        ) +
        IFERROR(
            VLOOKUP($A16, INDIRECT("NovR!$A$6:$ZZ$1048576"), MATCH(Q$1, NovR!$6:$6, 0), FALSE),
            0
        ) +
        IFERROR(
            VLOOKUP($A16, INDIRECT("DicR!$A$6:$ZZ$1048576"), MATCH(Q$1, DicR!$6:$6, 0), FALSE),
            0
        )
)</f>
        <v>0</v>
      </c>
      <c r="R16" s="36">
        <f t="array" ref="R16">SUM(
    IFERROR(
            VLOOKUP($A16, INDIRECT("EneR!$A$6:$ZZ$1048576"), MATCH(R$1, EneR!$6:$6, 0), FALSE),
            0
        ) +
        IFERROR(
            VLOOKUP($A16, INDIRECT("FebR!$A$6:$ZZ$1048576"), MATCH(R$1, FebR!$6:$6, 0), FALSE),
            0
        ) +
        IFERROR(
            VLOOKUP($A16, INDIRECT("MarR!$A$6:$ZZ$1048576"), MATCH(R$1, MarR!$6:$6, 0), FALSE),
            0
        ) +
        IFERROR(
            VLOOKUP($A16, INDIRECT("AbrR!$A$6:$ZZ$1048576"), MATCH(R$1, AbrR!$6:$6, 0), FALSE),
            0
        ) +
        IFERROR(
            VLOOKUP($A16, INDIRECT("MayR!$A$6:$ZZ$1048576"), MATCH(R$1, MayR!$6:$6, 0), FALSE),
            0
        ) +
        IFERROR(
            VLOOKUP($A16, INDIRECT("JunR!$A$6:$ZZ$1048576"), MATCH(R$1, JunR!$6:$6, 0), FALSE),
            0
        ) +
        IFERROR(
            VLOOKUP($A16, INDIRECT("JulR!$A$6:$ZZ$1048576"), MATCH(R$1, JulR!$6:$6, 0), FALSE),
            0
        ) +
        IFERROR(
            VLOOKUP($A16, INDIRECT("AgoR!$A$6:$ZZ$1048576"), MATCH(R$1, AgoR!$6:$6, 0), FALSE),
            0
        ) +
        IFERROR(
            VLOOKUP($A16, INDIRECT("SepR!$A$6:$ZZ$1048576"), MATCH(R$1, SepR!$6:$6, 0), FALSE),
            0
        ) +
        IFERROR(
            VLOOKUP($A16, INDIRECT("OctR!$A$6:$ZZ$1048576"), MATCH(R$1, OctR!$6:$6, 0), FALSE),
            0
        ) +
        IFERROR(
            VLOOKUP($A16, INDIRECT("NovR!$A$6:$ZZ$1048576"), MATCH(R$1, NovR!$6:$6, 0), FALSE),
            0
        ) +
        IFERROR(
            VLOOKUP($A16, INDIRECT("DicR!$A$6:$ZZ$1048576"), MATCH(R$1, DicR!$6:$6, 0), FALSE),
            0
        )
)</f>
        <v>0</v>
      </c>
      <c r="S16" s="37">
        <f t="array" ref="S16">SUM(
    IFERROR(
            VLOOKUP($A16, INDIRECT("EneR!$A$6:$ZZ$1048576"), MATCH(S$1, EneR!$6:$6, 0), FALSE),
            0
        ) +
        IFERROR(
            VLOOKUP($A16, INDIRECT("FebR!$A$6:$ZZ$1048576"), MATCH(S$1, FebR!$6:$6, 0), FALSE),
            0
        ) +
        IFERROR(
            VLOOKUP($A16, INDIRECT("MarR!$A$6:$ZZ$1048576"), MATCH(S$1, MarR!$6:$6, 0), FALSE),
            0
        ) +
        IFERROR(
            VLOOKUP($A16, INDIRECT("AbrR!$A$6:$ZZ$1048576"), MATCH(S$1, AbrR!$6:$6, 0), FALSE),
            0
        ) +
        IFERROR(
            VLOOKUP($A16, INDIRECT("MayR!$A$6:$ZZ$1048576"), MATCH(S$1, MayR!$6:$6, 0), FALSE),
            0
        ) +
        IFERROR(
            VLOOKUP($A16, INDIRECT("JunR!$A$6:$ZZ$1048576"), MATCH(S$1, JunR!$6:$6, 0), FALSE),
            0
        ) +
        IFERROR(
            VLOOKUP($A16, INDIRECT("JulR!$A$6:$ZZ$1048576"), MATCH(S$1, JulR!$6:$6, 0), FALSE),
            0
        ) +
        IFERROR(
            VLOOKUP($A16, INDIRECT("AgoR!$A$6:$ZZ$1048576"), MATCH(S$1, AgoR!$6:$6, 0), FALSE),
            0
        ) +
        IFERROR(
            VLOOKUP($A16, INDIRECT("SepR!$A$6:$ZZ$1048576"), MATCH(S$1, SepR!$6:$6, 0), FALSE),
            0
        ) +
        IFERROR(
            VLOOKUP($A16, INDIRECT("OctR!$A$6:$ZZ$1048576"), MATCH(S$1, OctR!$6:$6, 0), FALSE),
            0
        ) +
        IFERROR(
            VLOOKUP($A16, INDIRECT("NovR!$A$6:$ZZ$1048576"), MATCH(S$1, NovR!$6:$6, 0), FALSE),
            0
        ) +
        IFERROR(
            VLOOKUP($A16, INDIRECT("DicR!$A$6:$ZZ$1048576"), MATCH(S$1, DicR!$6:$6, 0), FALSE),
            0
        )
)</f>
        <v>0</v>
      </c>
      <c r="T16" s="36">
        <f t="array" ref="T16">SUM(
    IFERROR(
            VLOOKUP($A16, INDIRECT("EneR!$A$6:$ZZ$1048576"), MATCH(T$1, EneR!$6:$6, 0), FALSE),
            0
        ) +
        IFERROR(
            VLOOKUP($A16, INDIRECT("FebR!$A$6:$ZZ$1048576"), MATCH(T$1, FebR!$6:$6, 0), FALSE),
            0
        ) +
        IFERROR(
            VLOOKUP($A16, INDIRECT("MarR!$A$6:$ZZ$1048576"), MATCH(T$1, MarR!$6:$6, 0), FALSE),
            0
        ) +
        IFERROR(
            VLOOKUP($A16, INDIRECT("AbrR!$A$6:$ZZ$1048576"), MATCH(T$1, AbrR!$6:$6, 0), FALSE),
            0
        ) +
        IFERROR(
            VLOOKUP($A16, INDIRECT("MayR!$A$6:$ZZ$1048576"), MATCH(T$1, MayR!$6:$6, 0), FALSE),
            0
        ) +
        IFERROR(
            VLOOKUP($A16, INDIRECT("JunR!$A$6:$ZZ$1048576"), MATCH(T$1, JunR!$6:$6, 0), FALSE),
            0
        ) +
        IFERROR(
            VLOOKUP($A16, INDIRECT("JulR!$A$6:$ZZ$1048576"), MATCH(T$1, JulR!$6:$6, 0), FALSE),
            0
        ) +
        IFERROR(
            VLOOKUP($A16, INDIRECT("AgoR!$A$6:$ZZ$1048576"), MATCH(T$1, AgoR!$6:$6, 0), FALSE),
            0
        ) +
        IFERROR(
            VLOOKUP($A16, INDIRECT("SepR!$A$6:$ZZ$1048576"), MATCH(T$1, SepR!$6:$6, 0), FALSE),
            0
        ) +
        IFERROR(
            VLOOKUP($A16, INDIRECT("OctR!$A$6:$ZZ$1048576"), MATCH(T$1, OctR!$6:$6, 0), FALSE),
            0
        ) +
        IFERROR(
            VLOOKUP($A16, INDIRECT("NovR!$A$6:$ZZ$1048576"), MATCH(T$1, NovR!$6:$6, 0), FALSE),
            0
        ) +
        IFERROR(
            VLOOKUP($A16, INDIRECT("DicR!$A$6:$ZZ$1048576"), MATCH(T$1, DicR!$6:$6, 0), FALSE),
            0
        )
)</f>
        <v>0</v>
      </c>
      <c r="U16" s="37">
        <f t="array" ref="U16">SUM(
    IFERROR(
            VLOOKUP($A16, INDIRECT("EneR!$A$6:$ZZ$1048576"), MATCH(U$1, EneR!$6:$6, 0), FALSE),
            0
        ) +
        IFERROR(
            VLOOKUP($A16, INDIRECT("FebR!$A$6:$ZZ$1048576"), MATCH(U$1, FebR!$6:$6, 0), FALSE),
            0
        ) +
        IFERROR(
            VLOOKUP($A16, INDIRECT("MarR!$A$6:$ZZ$1048576"), MATCH(U$1, MarR!$6:$6, 0), FALSE),
            0
        ) +
        IFERROR(
            VLOOKUP($A16, INDIRECT("AbrR!$A$6:$ZZ$1048576"), MATCH(U$1, AbrR!$6:$6, 0), FALSE),
            0
        ) +
        IFERROR(
            VLOOKUP($A16, INDIRECT("MayR!$A$6:$ZZ$1048576"), MATCH(U$1, MayR!$6:$6, 0), FALSE),
            0
        ) +
        IFERROR(
            VLOOKUP($A16, INDIRECT("JunR!$A$6:$ZZ$1048576"), MATCH(U$1, JunR!$6:$6, 0), FALSE),
            0
        ) +
        IFERROR(
            VLOOKUP($A16, INDIRECT("JulR!$A$6:$ZZ$1048576"), MATCH(U$1, JulR!$6:$6, 0), FALSE),
            0
        ) +
        IFERROR(
            VLOOKUP($A16, INDIRECT("AgoR!$A$6:$ZZ$1048576"), MATCH(U$1, AgoR!$6:$6, 0), FALSE),
            0
        ) +
        IFERROR(
            VLOOKUP($A16, INDIRECT("SepR!$A$6:$ZZ$1048576"), MATCH(U$1, SepR!$6:$6, 0), FALSE),
            0
        ) +
        IFERROR(
            VLOOKUP($A16, INDIRECT("OctR!$A$6:$ZZ$1048576"), MATCH(U$1, OctR!$6:$6, 0), FALSE),
            0
        ) +
        IFERROR(
            VLOOKUP($A16, INDIRECT("NovR!$A$6:$ZZ$1048576"), MATCH(U$1, NovR!$6:$6, 0), FALSE),
            0
        ) +
        IFERROR(
            VLOOKUP($A16, INDIRECT("DicR!$A$6:$ZZ$1048576"), MATCH(U$1, DicR!$6:$6, 0), FALSE),
            0
        )
)</f>
        <v>0</v>
      </c>
      <c r="V16" s="36">
        <f t="array" ref="V16">SUM(
    IFERROR(
            VLOOKUP($A16, INDIRECT("EneR!$A$6:$ZZ$1048576"), MATCH(V$1, EneR!$6:$6, 0), FALSE),
            0
        ) +
        IFERROR(
            VLOOKUP($A16, INDIRECT("FebR!$A$6:$ZZ$1048576"), MATCH(V$1, FebR!$6:$6, 0), FALSE),
            0
        ) +
        IFERROR(
            VLOOKUP($A16, INDIRECT("MarR!$A$6:$ZZ$1048576"), MATCH(V$1, MarR!$6:$6, 0), FALSE),
            0
        ) +
        IFERROR(
            VLOOKUP($A16, INDIRECT("AbrR!$A$6:$ZZ$1048576"), MATCH(V$1, AbrR!$6:$6, 0), FALSE),
            0
        ) +
        IFERROR(
            VLOOKUP($A16, INDIRECT("MayR!$A$6:$ZZ$1048576"), MATCH(V$1, MayR!$6:$6, 0), FALSE),
            0
        ) +
        IFERROR(
            VLOOKUP($A16, INDIRECT("JunR!$A$6:$ZZ$1048576"), MATCH(V$1, JunR!$6:$6, 0), FALSE),
            0
        ) +
        IFERROR(
            VLOOKUP($A16, INDIRECT("JulR!$A$6:$ZZ$1048576"), MATCH(V$1, JulR!$6:$6, 0), FALSE),
            0
        ) +
        IFERROR(
            VLOOKUP($A16, INDIRECT("AgoR!$A$6:$ZZ$1048576"), MATCH(V$1, AgoR!$6:$6, 0), FALSE),
            0
        ) +
        IFERROR(
            VLOOKUP($A16, INDIRECT("SepR!$A$6:$ZZ$1048576"), MATCH(V$1, SepR!$6:$6, 0), FALSE),
            0
        ) +
        IFERROR(
            VLOOKUP($A16, INDIRECT("OctR!$A$6:$ZZ$1048576"), MATCH(V$1, OctR!$6:$6, 0), FALSE),
            0
        ) +
        IFERROR(
            VLOOKUP($A16, INDIRECT("NovR!$A$6:$ZZ$1048576"), MATCH(V$1, NovR!$6:$6, 0), FALSE),
            0
        ) +
        IFERROR(
            VLOOKUP($A16, INDIRECT("DicR!$A$6:$ZZ$1048576"), MATCH(V$1, DicR!$6:$6, 0), FALSE),
            0
        )
)</f>
        <v>0</v>
      </c>
      <c r="W16" s="37">
        <f t="array" ref="W16">SUM(
    IFERROR(
            VLOOKUP($A16, INDIRECT("EneR!$A$6:$ZZ$1048576"), MATCH(W$1, EneR!$6:$6, 0), FALSE),
            0
        ) +
        IFERROR(
            VLOOKUP($A16, INDIRECT("FebR!$A$6:$ZZ$1048576"), MATCH(W$1, FebR!$6:$6, 0), FALSE),
            0
        ) +
        IFERROR(
            VLOOKUP($A16, INDIRECT("MarR!$A$6:$ZZ$1048576"), MATCH(W$1, MarR!$6:$6, 0), FALSE),
            0
        ) +
        IFERROR(
            VLOOKUP($A16, INDIRECT("AbrR!$A$6:$ZZ$1048576"), MATCH(W$1, AbrR!$6:$6, 0), FALSE),
            0
        ) +
        IFERROR(
            VLOOKUP($A16, INDIRECT("MayR!$A$6:$ZZ$1048576"), MATCH(W$1, MayR!$6:$6, 0), FALSE),
            0
        ) +
        IFERROR(
            VLOOKUP($A16, INDIRECT("JunR!$A$6:$ZZ$1048576"), MATCH(W$1, JunR!$6:$6, 0), FALSE),
            0
        ) +
        IFERROR(
            VLOOKUP($A16, INDIRECT("JulR!$A$6:$ZZ$1048576"), MATCH(W$1, JulR!$6:$6, 0), FALSE),
            0
        ) +
        IFERROR(
            VLOOKUP($A16, INDIRECT("AgoR!$A$6:$ZZ$1048576"), MATCH(W$1, AgoR!$6:$6, 0), FALSE),
            0
        ) +
        IFERROR(
            VLOOKUP($A16, INDIRECT("SepR!$A$6:$ZZ$1048576"), MATCH(W$1, SepR!$6:$6, 0), FALSE),
            0
        ) +
        IFERROR(
            VLOOKUP($A16, INDIRECT("OctR!$A$6:$ZZ$1048576"), MATCH(W$1, OctR!$6:$6, 0), FALSE),
            0
        ) +
        IFERROR(
            VLOOKUP($A16, INDIRECT("NovR!$A$6:$ZZ$1048576"), MATCH(W$1, NovR!$6:$6, 0), FALSE),
            0
        ) +
        IFERROR(
            VLOOKUP($A16, INDIRECT("DicR!$A$6:$ZZ$1048576"), MATCH(W$1, DicR!$6:$6, 0), FALSE),
            0
        )
)</f>
        <v>0</v>
      </c>
      <c r="X16" s="36">
        <f t="array" ref="X16">SUM(
    IFERROR(
            VLOOKUP($A16, INDIRECT("EneR!$A$6:$ZZ$1048576"), MATCH(X$1, EneR!$6:$6, 0), FALSE),
            0
        ) +
        IFERROR(
            VLOOKUP($A16, INDIRECT("FebR!$A$6:$ZZ$1048576"), MATCH(X$1, FebR!$6:$6, 0), FALSE),
            0
        ) +
        IFERROR(
            VLOOKUP($A16, INDIRECT("MarR!$A$6:$ZZ$1048576"), MATCH(X$1, MarR!$6:$6, 0), FALSE),
            0
        ) +
        IFERROR(
            VLOOKUP($A16, INDIRECT("AbrR!$A$6:$ZZ$1048576"), MATCH(X$1, AbrR!$6:$6, 0), FALSE),
            0
        ) +
        IFERROR(
            VLOOKUP($A16, INDIRECT("MayR!$A$6:$ZZ$1048576"), MATCH(X$1, MayR!$6:$6, 0), FALSE),
            0
        ) +
        IFERROR(
            VLOOKUP($A16, INDIRECT("JunR!$A$6:$ZZ$1048576"), MATCH(X$1, JunR!$6:$6, 0), FALSE),
            0
        ) +
        IFERROR(
            VLOOKUP($A16, INDIRECT("JulR!$A$6:$ZZ$1048576"), MATCH(X$1, JulR!$6:$6, 0), FALSE),
            0
        ) +
        IFERROR(
            VLOOKUP($A16, INDIRECT("AgoR!$A$6:$ZZ$1048576"), MATCH(X$1, AgoR!$6:$6, 0), FALSE),
            0
        ) +
        IFERROR(
            VLOOKUP($A16, INDIRECT("SepR!$A$6:$ZZ$1048576"), MATCH(X$1, SepR!$6:$6, 0), FALSE),
            0
        ) +
        IFERROR(
            VLOOKUP($A16, INDIRECT("OctR!$A$6:$ZZ$1048576"), MATCH(X$1, OctR!$6:$6, 0), FALSE),
            0
        ) +
        IFERROR(
            VLOOKUP($A16, INDIRECT("NovR!$A$6:$ZZ$1048576"), MATCH(X$1, NovR!$6:$6, 0), FALSE),
            0
        ) +
        IFERROR(
            VLOOKUP($A16, INDIRECT("DicR!$A$6:$ZZ$1048576"), MATCH(X$1, DicR!$6:$6, 0), FALSE),
            0
        )
)</f>
        <v>0</v>
      </c>
      <c r="Y16" s="37">
        <f t="array" ref="Y16">SUM(
    IFERROR(
            VLOOKUP($A16, INDIRECT("EneR!$A$6:$ZZ$1048576"), MATCH(Y$1, EneR!$6:$6, 0), FALSE),
            0
        ) +
        IFERROR(
            VLOOKUP($A16, INDIRECT("FebR!$A$6:$ZZ$1048576"), MATCH(Y$1, FebR!$6:$6, 0), FALSE),
            0
        ) +
        IFERROR(
            VLOOKUP($A16, INDIRECT("MarR!$A$6:$ZZ$1048576"), MATCH(Y$1, MarR!$6:$6, 0), FALSE),
            0
        ) +
        IFERROR(
            VLOOKUP($A16, INDIRECT("AbrR!$A$6:$ZZ$1048576"), MATCH(Y$1, AbrR!$6:$6, 0), FALSE),
            0
        ) +
        IFERROR(
            VLOOKUP($A16, INDIRECT("MayR!$A$6:$ZZ$1048576"), MATCH(Y$1, MayR!$6:$6, 0), FALSE),
            0
        ) +
        IFERROR(
            VLOOKUP($A16, INDIRECT("JunR!$A$6:$ZZ$1048576"), MATCH(Y$1, JunR!$6:$6, 0), FALSE),
            0
        ) +
        IFERROR(
            VLOOKUP($A16, INDIRECT("JulR!$A$6:$ZZ$1048576"), MATCH(Y$1, JulR!$6:$6, 0), FALSE),
            0
        ) +
        IFERROR(
            VLOOKUP($A16, INDIRECT("AgoR!$A$6:$ZZ$1048576"), MATCH(Y$1, AgoR!$6:$6, 0), FALSE),
            0
        ) +
        IFERROR(
            VLOOKUP($A16, INDIRECT("SepR!$A$6:$ZZ$1048576"), MATCH(Y$1, SepR!$6:$6, 0), FALSE),
            0
        ) +
        IFERROR(
            VLOOKUP($A16, INDIRECT("OctR!$A$6:$ZZ$1048576"), MATCH(Y$1, OctR!$6:$6, 0), FALSE),
            0
        ) +
        IFERROR(
            VLOOKUP($A16, INDIRECT("NovR!$A$6:$ZZ$1048576"), MATCH(Y$1, NovR!$6:$6, 0), FALSE),
            0
        ) +
        IFERROR(
            VLOOKUP($A16, INDIRECT("DicR!$A$6:$ZZ$1048576"), MATCH(Y$1, DicR!$6:$6, 0), FALSE),
            0
        )
)</f>
        <v>0</v>
      </c>
      <c r="Z16" s="36">
        <f t="array" ref="Z16">SUM(
    IFERROR(
            VLOOKUP($A16, INDIRECT("EneR!$A$6:$ZZ$1048576"), MATCH(Z$1, EneR!$6:$6, 0), FALSE),
            0
        ) +
        IFERROR(
            VLOOKUP($A16, INDIRECT("FebR!$A$6:$ZZ$1048576"), MATCH(Z$1, FebR!$6:$6, 0), FALSE),
            0
        ) +
        IFERROR(
            VLOOKUP($A16, INDIRECT("MarR!$A$6:$ZZ$1048576"), MATCH(Z$1, MarR!$6:$6, 0), FALSE),
            0
        ) +
        IFERROR(
            VLOOKUP($A16, INDIRECT("AbrR!$A$6:$ZZ$1048576"), MATCH(Z$1, AbrR!$6:$6, 0), FALSE),
            0
        ) +
        IFERROR(
            VLOOKUP($A16, INDIRECT("MayR!$A$6:$ZZ$1048576"), MATCH(Z$1, MayR!$6:$6, 0), FALSE),
            0
        ) +
        IFERROR(
            VLOOKUP($A16, INDIRECT("JunR!$A$6:$ZZ$1048576"), MATCH(Z$1, JunR!$6:$6, 0), FALSE),
            0
        ) +
        IFERROR(
            VLOOKUP($A16, INDIRECT("JulR!$A$6:$ZZ$1048576"), MATCH(Z$1, JulR!$6:$6, 0), FALSE),
            0
        ) +
        IFERROR(
            VLOOKUP($A16, INDIRECT("AgoR!$A$6:$ZZ$1048576"), MATCH(Z$1, AgoR!$6:$6, 0), FALSE),
            0
        ) +
        IFERROR(
            VLOOKUP($A16, INDIRECT("SepR!$A$6:$ZZ$1048576"), MATCH(Z$1, SepR!$6:$6, 0), FALSE),
            0
        ) +
        IFERROR(
            VLOOKUP($A16, INDIRECT("OctR!$A$6:$ZZ$1048576"), MATCH(Z$1, OctR!$6:$6, 0), FALSE),
            0
        ) +
        IFERROR(
            VLOOKUP($A16, INDIRECT("NovR!$A$6:$ZZ$1048576"), MATCH(Z$1, NovR!$6:$6, 0), FALSE),
            0
        ) +
        IFERROR(
            VLOOKUP($A16, INDIRECT("DicR!$A$6:$ZZ$1048576"), MATCH(Z$1, DicR!$6:$6, 0), FALSE),
            0
        )
)</f>
        <v>0</v>
      </c>
      <c r="AA16" s="37">
        <f t="array" ref="AA16">SUM(
    IFERROR(
            VLOOKUP($A16, INDIRECT("EneR!$A$6:$ZZ$1048576"), MATCH(AA$1, EneR!$6:$6, 0), FALSE),
            0
        ) +
        IFERROR(
            VLOOKUP($A16, INDIRECT("FebR!$A$6:$ZZ$1048576"), MATCH(AA$1, FebR!$6:$6, 0), FALSE),
            0
        ) +
        IFERROR(
            VLOOKUP($A16, INDIRECT("MarR!$A$6:$ZZ$1048576"), MATCH(AA$1, MarR!$6:$6, 0), FALSE),
            0
        ) +
        IFERROR(
            VLOOKUP($A16, INDIRECT("AbrR!$A$6:$ZZ$1048576"), MATCH(AA$1, AbrR!$6:$6, 0), FALSE),
            0
        ) +
        IFERROR(
            VLOOKUP($A16, INDIRECT("MayR!$A$6:$ZZ$1048576"), MATCH(AA$1, MayR!$6:$6, 0), FALSE),
            0
        ) +
        IFERROR(
            VLOOKUP($A16, INDIRECT("JunR!$A$6:$ZZ$1048576"), MATCH(AA$1, JunR!$6:$6, 0), FALSE),
            0
        ) +
        IFERROR(
            VLOOKUP($A16, INDIRECT("JulR!$A$6:$ZZ$1048576"), MATCH(AA$1, JulR!$6:$6, 0), FALSE),
            0
        ) +
        IFERROR(
            VLOOKUP($A16, INDIRECT("AgoR!$A$6:$ZZ$1048576"), MATCH(AA$1, AgoR!$6:$6, 0), FALSE),
            0
        ) +
        IFERROR(
            VLOOKUP($A16, INDIRECT("SepR!$A$6:$ZZ$1048576"), MATCH(AA$1, SepR!$6:$6, 0), FALSE),
            0
        ) +
        IFERROR(
            VLOOKUP($A16, INDIRECT("OctR!$A$6:$ZZ$1048576"), MATCH(AA$1, OctR!$6:$6, 0), FALSE),
            0
        ) +
        IFERROR(
            VLOOKUP($A16, INDIRECT("NovR!$A$6:$ZZ$1048576"), MATCH(AA$1, NovR!$6:$6, 0), FALSE),
            0
        ) +
        IFERROR(
            VLOOKUP($A16, INDIRECT("DicR!$A$6:$ZZ$1048576"), MATCH(AA$1, DicR!$6:$6, 0), FALSE),
            0
        )
)</f>
        <v>0</v>
      </c>
      <c r="AB16" s="36">
        <f t="array" ref="AB16">SUM(
    IFERROR(
            VLOOKUP($A16, INDIRECT("EneR!$A$6:$ZZ$1048576"), MATCH(AB$1, EneR!$6:$6, 0), FALSE),
            0
        ) +
        IFERROR(
            VLOOKUP($A16, INDIRECT("FebR!$A$6:$ZZ$1048576"), MATCH(AB$1, FebR!$6:$6, 0), FALSE),
            0
        ) +
        IFERROR(
            VLOOKUP($A16, INDIRECT("MarR!$A$6:$ZZ$1048576"), MATCH(AB$1, MarR!$6:$6, 0), FALSE),
            0
        ) +
        IFERROR(
            VLOOKUP($A16, INDIRECT("AbrR!$A$6:$ZZ$1048576"), MATCH(AB$1, AbrR!$6:$6, 0), FALSE),
            0
        ) +
        IFERROR(
            VLOOKUP($A16, INDIRECT("MayR!$A$6:$ZZ$1048576"), MATCH(AB$1, MayR!$6:$6, 0), FALSE),
            0
        ) +
        IFERROR(
            VLOOKUP($A16, INDIRECT("JunR!$A$6:$ZZ$1048576"), MATCH(AB$1, JunR!$6:$6, 0), FALSE),
            0
        ) +
        IFERROR(
            VLOOKUP($A16, INDIRECT("JulR!$A$6:$ZZ$1048576"), MATCH(AB$1, JulR!$6:$6, 0), FALSE),
            0
        ) +
        IFERROR(
            VLOOKUP($A16, INDIRECT("AgoR!$A$6:$ZZ$1048576"), MATCH(AB$1, AgoR!$6:$6, 0), FALSE),
            0
        ) +
        IFERROR(
            VLOOKUP($A16, INDIRECT("SepR!$A$6:$ZZ$1048576"), MATCH(AB$1, SepR!$6:$6, 0), FALSE),
            0
        ) +
        IFERROR(
            VLOOKUP($A16, INDIRECT("OctR!$A$6:$ZZ$1048576"), MATCH(AB$1, OctR!$6:$6, 0), FALSE),
            0
        ) +
        IFERROR(
            VLOOKUP($A16, INDIRECT("NovR!$A$6:$ZZ$1048576"), MATCH(AB$1, NovR!$6:$6, 0), FALSE),
            0
        ) +
        IFERROR(
            VLOOKUP($A16, INDIRECT("DicR!$A$6:$ZZ$1048576"), MATCH(AB$1, DicR!$6:$6, 0), FALSE),
            0
        )
)</f>
        <v>0</v>
      </c>
      <c r="AC16" s="37">
        <f t="array" ref="AC16">SUM(
    IFERROR(
            VLOOKUP($A16, INDIRECT("EneR!$A$6:$ZZ$1048576"), MATCH(AC$1, EneR!$6:$6, 0), FALSE),
            0
        ) +
        IFERROR(
            VLOOKUP($A16, INDIRECT("FebR!$A$6:$ZZ$1048576"), MATCH(AC$1, FebR!$6:$6, 0), FALSE),
            0
        ) +
        IFERROR(
            VLOOKUP($A16, INDIRECT("MarR!$A$6:$ZZ$1048576"), MATCH(AC$1, MarR!$6:$6, 0), FALSE),
            0
        ) +
        IFERROR(
            VLOOKUP($A16, INDIRECT("AbrR!$A$6:$ZZ$1048576"), MATCH(AC$1, AbrR!$6:$6, 0), FALSE),
            0
        ) +
        IFERROR(
            VLOOKUP($A16, INDIRECT("MayR!$A$6:$ZZ$1048576"), MATCH(AC$1, MayR!$6:$6, 0), FALSE),
            0
        ) +
        IFERROR(
            VLOOKUP($A16, INDIRECT("JunR!$A$6:$ZZ$1048576"), MATCH(AC$1, JunR!$6:$6, 0), FALSE),
            0
        ) +
        IFERROR(
            VLOOKUP($A16, INDIRECT("JulR!$A$6:$ZZ$1048576"), MATCH(AC$1, JulR!$6:$6, 0), FALSE),
            0
        ) +
        IFERROR(
            VLOOKUP($A16, INDIRECT("AgoR!$A$6:$ZZ$1048576"), MATCH(AC$1, AgoR!$6:$6, 0), FALSE),
            0
        ) +
        IFERROR(
            VLOOKUP($A16, INDIRECT("SepR!$A$6:$ZZ$1048576"), MATCH(AC$1, SepR!$6:$6, 0), FALSE),
            0
        ) +
        IFERROR(
            VLOOKUP($A16, INDIRECT("OctR!$A$6:$ZZ$1048576"), MATCH(AC$1, OctR!$6:$6, 0), FALSE),
            0
        ) +
        IFERROR(
            VLOOKUP($A16, INDIRECT("NovR!$A$6:$ZZ$1048576"), MATCH(AC$1, NovR!$6:$6, 0), FALSE),
            0
        ) +
        IFERROR(
            VLOOKUP($A16, INDIRECT("DicR!$A$6:$ZZ$1048576"), MATCH(AC$1, DicR!$6:$6, 0), FALSE),
            0
        )
)</f>
        <v>0</v>
      </c>
      <c r="AD16" s="36">
        <f t="array" ref="AD16">SUM(
    IFERROR(
            VLOOKUP($A16, INDIRECT("EneR!$A$6:$ZZ$1048576"), MATCH(AD$1, EneR!$6:$6, 0), FALSE),
            0
        ) +
        IFERROR(
            VLOOKUP($A16, INDIRECT("FebR!$A$6:$ZZ$1048576"), MATCH(AD$1, FebR!$6:$6, 0), FALSE),
            0
        ) +
        IFERROR(
            VLOOKUP($A16, INDIRECT("MarR!$A$6:$ZZ$1048576"), MATCH(AD$1, MarR!$6:$6, 0), FALSE),
            0
        ) +
        IFERROR(
            VLOOKUP($A16, INDIRECT("AbrR!$A$6:$ZZ$1048576"), MATCH(AD$1, AbrR!$6:$6, 0), FALSE),
            0
        ) +
        IFERROR(
            VLOOKUP($A16, INDIRECT("MayR!$A$6:$ZZ$1048576"), MATCH(AD$1, MayR!$6:$6, 0), FALSE),
            0
        ) +
        IFERROR(
            VLOOKUP($A16, INDIRECT("JunR!$A$6:$ZZ$1048576"), MATCH(AD$1, JunR!$6:$6, 0), FALSE),
            0
        ) +
        IFERROR(
            VLOOKUP($A16, INDIRECT("JulR!$A$6:$ZZ$1048576"), MATCH(AD$1, JulR!$6:$6, 0), FALSE),
            0
        ) +
        IFERROR(
            VLOOKUP($A16, INDIRECT("AgoR!$A$6:$ZZ$1048576"), MATCH(AD$1, AgoR!$6:$6, 0), FALSE),
            0
        ) +
        IFERROR(
            VLOOKUP($A16, INDIRECT("SepR!$A$6:$ZZ$1048576"), MATCH(AD$1, SepR!$6:$6, 0), FALSE),
            0
        ) +
        IFERROR(
            VLOOKUP($A16, INDIRECT("OctR!$A$6:$ZZ$1048576"), MATCH(AD$1, OctR!$6:$6, 0), FALSE),
            0
        ) +
        IFERROR(
            VLOOKUP($A16, INDIRECT("NovR!$A$6:$ZZ$1048576"), MATCH(AD$1, NovR!$6:$6, 0), FALSE),
            0
        ) +
        IFERROR(
            VLOOKUP($A16, INDIRECT("DicR!$A$6:$ZZ$1048576"), MATCH(AD$1, DicR!$6:$6, 0), FALSE),
            0
        )
)</f>
        <v>0</v>
      </c>
      <c r="AE16" s="37">
        <f t="array" ref="AE16">SUM(
    IFERROR(
            VLOOKUP($A16, INDIRECT("EneR!$A$6:$ZZ$1048576"), MATCH(AE$1, EneR!$6:$6, 0), FALSE),
            0
        ) +
        IFERROR(
            VLOOKUP($A16, INDIRECT("FebR!$A$6:$ZZ$1048576"), MATCH(AE$1, FebR!$6:$6, 0), FALSE),
            0
        ) +
        IFERROR(
            VLOOKUP($A16, INDIRECT("MarR!$A$6:$ZZ$1048576"), MATCH(AE$1, MarR!$6:$6, 0), FALSE),
            0
        ) +
        IFERROR(
            VLOOKUP($A16, INDIRECT("AbrR!$A$6:$ZZ$1048576"), MATCH(AE$1, AbrR!$6:$6, 0), FALSE),
            0
        ) +
        IFERROR(
            VLOOKUP($A16, INDIRECT("MayR!$A$6:$ZZ$1048576"), MATCH(AE$1, MayR!$6:$6, 0), FALSE),
            0
        ) +
        IFERROR(
            VLOOKUP($A16, INDIRECT("JunR!$A$6:$ZZ$1048576"), MATCH(AE$1, JunR!$6:$6, 0), FALSE),
            0
        ) +
        IFERROR(
            VLOOKUP($A16, INDIRECT("JulR!$A$6:$ZZ$1048576"), MATCH(AE$1, JulR!$6:$6, 0), FALSE),
            0
        ) +
        IFERROR(
            VLOOKUP($A16, INDIRECT("AgoR!$A$6:$ZZ$1048576"), MATCH(AE$1, AgoR!$6:$6, 0), FALSE),
            0
        ) +
        IFERROR(
            VLOOKUP($A16, INDIRECT("SepR!$A$6:$ZZ$1048576"), MATCH(AE$1, SepR!$6:$6, 0), FALSE),
            0
        ) +
        IFERROR(
            VLOOKUP($A16, INDIRECT("OctR!$A$6:$ZZ$1048576"), MATCH(AE$1, OctR!$6:$6, 0), FALSE),
            0
        ) +
        IFERROR(
            VLOOKUP($A16, INDIRECT("NovR!$A$6:$ZZ$1048576"), MATCH(AE$1, NovR!$6:$6, 0), FALSE),
            0
        ) +
        IFERROR(
            VLOOKUP($A16, INDIRECT("DicR!$A$6:$ZZ$1048576"), MATCH(AE$1, DicR!$6:$6, 0), FALSE),
            0
        )
)</f>
        <v>0</v>
      </c>
      <c r="AF16" s="36">
        <f t="array" ref="AF16">SUM(
    IFERROR(
            VLOOKUP($A16, INDIRECT("EneR!$A$6:$ZZ$1048576"), MATCH(AF$1, EneR!$6:$6, 0), FALSE),
            0
        ) +
        IFERROR(
            VLOOKUP($A16, INDIRECT("FebR!$A$6:$ZZ$1048576"), MATCH(AF$1, FebR!$6:$6, 0), FALSE),
            0
        ) +
        IFERROR(
            VLOOKUP($A16, INDIRECT("MarR!$A$6:$ZZ$1048576"), MATCH(AF$1, MarR!$6:$6, 0), FALSE),
            0
        ) +
        IFERROR(
            VLOOKUP($A16, INDIRECT("AbrR!$A$6:$ZZ$1048576"), MATCH(AF$1, AbrR!$6:$6, 0), FALSE),
            0
        ) +
        IFERROR(
            VLOOKUP($A16, INDIRECT("MayR!$A$6:$ZZ$1048576"), MATCH(AF$1, MayR!$6:$6, 0), FALSE),
            0
        ) +
        IFERROR(
            VLOOKUP($A16, INDIRECT("JunR!$A$6:$ZZ$1048576"), MATCH(AF$1, JunR!$6:$6, 0), FALSE),
            0
        ) +
        IFERROR(
            VLOOKUP($A16, INDIRECT("JulR!$A$6:$ZZ$1048576"), MATCH(AF$1, JulR!$6:$6, 0), FALSE),
            0
        ) +
        IFERROR(
            VLOOKUP($A16, INDIRECT("AgoR!$A$6:$ZZ$1048576"), MATCH(AF$1, AgoR!$6:$6, 0), FALSE),
            0
        ) +
        IFERROR(
            VLOOKUP($A16, INDIRECT("SepR!$A$6:$ZZ$1048576"), MATCH(AF$1, SepR!$6:$6, 0), FALSE),
            0
        ) +
        IFERROR(
            VLOOKUP($A16, INDIRECT("OctR!$A$6:$ZZ$1048576"), MATCH(AF$1, OctR!$6:$6, 0), FALSE),
            0
        ) +
        IFERROR(
            VLOOKUP($A16, INDIRECT("NovR!$A$6:$ZZ$1048576"), MATCH(AF$1, NovR!$6:$6, 0), FALSE),
            0
        ) +
        IFERROR(
            VLOOKUP($A16, INDIRECT("DicR!$A$6:$ZZ$1048576"), MATCH(AF$1, DicR!$6:$6, 0), FALSE),
            0
        )
)</f>
        <v>0</v>
      </c>
      <c r="AG16" s="37">
        <f t="array" ref="AG16">SUM(
    IFERROR(
            VLOOKUP($A16, INDIRECT("EneR!$A$6:$ZZ$1048576"), MATCH(AG$1, EneR!$6:$6, 0), FALSE),
            0
        ) +
        IFERROR(
            VLOOKUP($A16, INDIRECT("FebR!$A$6:$ZZ$1048576"), MATCH(AG$1, FebR!$6:$6, 0), FALSE),
            0
        ) +
        IFERROR(
            VLOOKUP($A16, INDIRECT("MarR!$A$6:$ZZ$1048576"), MATCH(AG$1, MarR!$6:$6, 0), FALSE),
            0
        ) +
        IFERROR(
            VLOOKUP($A16, INDIRECT("AbrR!$A$6:$ZZ$1048576"), MATCH(AG$1, AbrR!$6:$6, 0), FALSE),
            0
        ) +
        IFERROR(
            VLOOKUP($A16, INDIRECT("MayR!$A$6:$ZZ$1048576"), MATCH(AG$1, MayR!$6:$6, 0), FALSE),
            0
        ) +
        IFERROR(
            VLOOKUP($A16, INDIRECT("JunR!$A$6:$ZZ$1048576"), MATCH(AG$1, JunR!$6:$6, 0), FALSE),
            0
        ) +
        IFERROR(
            VLOOKUP($A16, INDIRECT("JulR!$A$6:$ZZ$1048576"), MATCH(AG$1, JulR!$6:$6, 0), FALSE),
            0
        ) +
        IFERROR(
            VLOOKUP($A16, INDIRECT("AgoR!$A$6:$ZZ$1048576"), MATCH(AG$1, AgoR!$6:$6, 0), FALSE),
            0
        ) +
        IFERROR(
            VLOOKUP($A16, INDIRECT("SepR!$A$6:$ZZ$1048576"), MATCH(AG$1, SepR!$6:$6, 0), FALSE),
            0
        ) +
        IFERROR(
            VLOOKUP($A16, INDIRECT("OctR!$A$6:$ZZ$1048576"), MATCH(AG$1, OctR!$6:$6, 0), FALSE),
            0
        ) +
        IFERROR(
            VLOOKUP($A16, INDIRECT("NovR!$A$6:$ZZ$1048576"), MATCH(AG$1, NovR!$6:$6, 0), FALSE),
            0
        ) +
        IFERROR(
            VLOOKUP($A16, INDIRECT("DicR!$A$6:$ZZ$1048576"), MATCH(AG$1, DicR!$6:$6, 0), FALSE),
            0
        )
)</f>
        <v>0</v>
      </c>
      <c r="AH16" s="36">
        <f t="array" ref="AH16">SUM(
    IFERROR(
            VLOOKUP($A16, INDIRECT("EneR!$A$6:$ZZ$1048576"), MATCH(AH$1, EneR!$6:$6, 0), FALSE),
            0
        ) +
        IFERROR(
            VLOOKUP($A16, INDIRECT("FebR!$A$6:$ZZ$1048576"), MATCH(AH$1, FebR!$6:$6, 0), FALSE),
            0
        ) +
        IFERROR(
            VLOOKUP($A16, INDIRECT("MarR!$A$6:$ZZ$1048576"), MATCH(AH$1, MarR!$6:$6, 0), FALSE),
            0
        ) +
        IFERROR(
            VLOOKUP($A16, INDIRECT("AbrR!$A$6:$ZZ$1048576"), MATCH(AH$1, AbrR!$6:$6, 0), FALSE),
            0
        ) +
        IFERROR(
            VLOOKUP($A16, INDIRECT("MayR!$A$6:$ZZ$1048576"), MATCH(AH$1, MayR!$6:$6, 0), FALSE),
            0
        ) +
        IFERROR(
            VLOOKUP($A16, INDIRECT("JunR!$A$6:$ZZ$1048576"), MATCH(AH$1, JunR!$6:$6, 0), FALSE),
            0
        ) +
        IFERROR(
            VLOOKUP($A16, INDIRECT("JulR!$A$6:$ZZ$1048576"), MATCH(AH$1, JulR!$6:$6, 0), FALSE),
            0
        ) +
        IFERROR(
            VLOOKUP($A16, INDIRECT("AgoR!$A$6:$ZZ$1048576"), MATCH(AH$1, AgoR!$6:$6, 0), FALSE),
            0
        ) +
        IFERROR(
            VLOOKUP($A16, INDIRECT("SepR!$A$6:$ZZ$1048576"), MATCH(AH$1, SepR!$6:$6, 0), FALSE),
            0
        ) +
        IFERROR(
            VLOOKUP($A16, INDIRECT("OctR!$A$6:$ZZ$1048576"), MATCH(AH$1, OctR!$6:$6, 0), FALSE),
            0
        ) +
        IFERROR(
            VLOOKUP($A16, INDIRECT("NovR!$A$6:$ZZ$1048576"), MATCH(AH$1, NovR!$6:$6, 0), FALSE),
            0
        ) +
        IFERROR(
            VLOOKUP($A16, INDIRECT("DicR!$A$6:$ZZ$1048576"), MATCH(AH$1, DicR!$6:$6, 0), FALSE),
            0
        )
)</f>
        <v>0</v>
      </c>
      <c r="AI16" s="37">
        <f t="array" ref="AI16">SUM(
    IFERROR(
            VLOOKUP($A16, INDIRECT("EneR!$A$6:$ZZ$1048576"), MATCH(AI$1, EneR!$6:$6, 0), FALSE),
            0
        ) +
        IFERROR(
            VLOOKUP($A16, INDIRECT("FebR!$A$6:$ZZ$1048576"), MATCH(AI$1, FebR!$6:$6, 0), FALSE),
            0
        ) +
        IFERROR(
            VLOOKUP($A16, INDIRECT("MarR!$A$6:$ZZ$1048576"), MATCH(AI$1, MarR!$6:$6, 0), FALSE),
            0
        ) +
        IFERROR(
            VLOOKUP($A16, INDIRECT("AbrR!$A$6:$ZZ$1048576"), MATCH(AI$1, AbrR!$6:$6, 0), FALSE),
            0
        ) +
        IFERROR(
            VLOOKUP($A16, INDIRECT("MayR!$A$6:$ZZ$1048576"), MATCH(AI$1, MayR!$6:$6, 0), FALSE),
            0
        ) +
        IFERROR(
            VLOOKUP($A16, INDIRECT("JunR!$A$6:$ZZ$1048576"), MATCH(AI$1, JunR!$6:$6, 0), FALSE),
            0
        ) +
        IFERROR(
            VLOOKUP($A16, INDIRECT("JulR!$A$6:$ZZ$1048576"), MATCH(AI$1, JulR!$6:$6, 0), FALSE),
            0
        ) +
        IFERROR(
            VLOOKUP($A16, INDIRECT("AgoR!$A$6:$ZZ$1048576"), MATCH(AI$1, AgoR!$6:$6, 0), FALSE),
            0
        ) +
        IFERROR(
            VLOOKUP($A16, INDIRECT("SepR!$A$6:$ZZ$1048576"), MATCH(AI$1, SepR!$6:$6, 0), FALSE),
            0
        ) +
        IFERROR(
            VLOOKUP($A16, INDIRECT("OctR!$A$6:$ZZ$1048576"), MATCH(AI$1, OctR!$6:$6, 0), FALSE),
            0
        ) +
        IFERROR(
            VLOOKUP($A16, INDIRECT("NovR!$A$6:$ZZ$1048576"), MATCH(AI$1, NovR!$6:$6, 0), FALSE),
            0
        ) +
        IFERROR(
            VLOOKUP($A16, INDIRECT("DicR!$A$6:$ZZ$1048576"), MATCH(AI$1, DicR!$6:$6, 0), FALSE),
            0
        )
)</f>
        <v>0</v>
      </c>
      <c r="AJ16" s="36">
        <f t="array" ref="AJ16">SUM(
    IFERROR(
            VLOOKUP($A16, INDIRECT("EneR!$A$6:$ZZ$1048576"), MATCH(AJ$1, EneR!$6:$6, 0), FALSE),
            0
        ) +
        IFERROR(
            VLOOKUP($A16, INDIRECT("FebR!$A$6:$ZZ$1048576"), MATCH(AJ$1, FebR!$6:$6, 0), FALSE),
            0
        ) +
        IFERROR(
            VLOOKUP($A16, INDIRECT("MarR!$A$6:$ZZ$1048576"), MATCH(AJ$1, MarR!$6:$6, 0), FALSE),
            0
        ) +
        IFERROR(
            VLOOKUP($A16, INDIRECT("AbrR!$A$6:$ZZ$1048576"), MATCH(AJ$1, AbrR!$6:$6, 0), FALSE),
            0
        ) +
        IFERROR(
            VLOOKUP($A16, INDIRECT("MayR!$A$6:$ZZ$1048576"), MATCH(AJ$1, MayR!$6:$6, 0), FALSE),
            0
        ) +
        IFERROR(
            VLOOKUP($A16, INDIRECT("JunR!$A$6:$ZZ$1048576"), MATCH(AJ$1, JunR!$6:$6, 0), FALSE),
            0
        ) +
        IFERROR(
            VLOOKUP($A16, INDIRECT("JulR!$A$6:$ZZ$1048576"), MATCH(AJ$1, JulR!$6:$6, 0), FALSE),
            0
        ) +
        IFERROR(
            VLOOKUP($A16, INDIRECT("AgoR!$A$6:$ZZ$1048576"), MATCH(AJ$1, AgoR!$6:$6, 0), FALSE),
            0
        ) +
        IFERROR(
            VLOOKUP($A16, INDIRECT("SepR!$A$6:$ZZ$1048576"), MATCH(AJ$1, SepR!$6:$6, 0), FALSE),
            0
        ) +
        IFERROR(
            VLOOKUP($A16, INDIRECT("OctR!$A$6:$ZZ$1048576"), MATCH(AJ$1, OctR!$6:$6, 0), FALSE),
            0
        ) +
        IFERROR(
            VLOOKUP($A16, INDIRECT("NovR!$A$6:$ZZ$1048576"), MATCH(AJ$1, NovR!$6:$6, 0), FALSE),
            0
        ) +
        IFERROR(
            VLOOKUP($A16, INDIRECT("DicR!$A$6:$ZZ$1048576"), MATCH(AJ$1, DicR!$6:$6, 0), FALSE),
            0
        )
)</f>
        <v>0</v>
      </c>
      <c r="AK16" s="37">
        <f t="array" ref="AK16">SUM(
    IFERROR(
            VLOOKUP($A16, INDIRECT("EneR!$A$6:$ZZ$1048576"), MATCH(AK$1, EneR!$6:$6, 0), FALSE),
            0
        ) +
        IFERROR(
            VLOOKUP($A16, INDIRECT("FebR!$A$6:$ZZ$1048576"), MATCH(AK$1, FebR!$6:$6, 0), FALSE),
            0
        ) +
        IFERROR(
            VLOOKUP($A16, INDIRECT("MarR!$A$6:$ZZ$1048576"), MATCH(AK$1, MarR!$6:$6, 0), FALSE),
            0
        ) +
        IFERROR(
            VLOOKUP($A16, INDIRECT("AbrR!$A$6:$ZZ$1048576"), MATCH(AK$1, AbrR!$6:$6, 0), FALSE),
            0
        ) +
        IFERROR(
            VLOOKUP($A16, INDIRECT("MayR!$A$6:$ZZ$1048576"), MATCH(AK$1, MayR!$6:$6, 0), FALSE),
            0
        ) +
        IFERROR(
            VLOOKUP($A16, INDIRECT("JunR!$A$6:$ZZ$1048576"), MATCH(AK$1, JunR!$6:$6, 0), FALSE),
            0
        ) +
        IFERROR(
            VLOOKUP($A16, INDIRECT("JulR!$A$6:$ZZ$1048576"), MATCH(AK$1, JulR!$6:$6, 0), FALSE),
            0
        ) +
        IFERROR(
            VLOOKUP($A16, INDIRECT("AgoR!$A$6:$ZZ$1048576"), MATCH(AK$1, AgoR!$6:$6, 0), FALSE),
            0
        ) +
        IFERROR(
            VLOOKUP($A16, INDIRECT("SepR!$A$6:$ZZ$1048576"), MATCH(AK$1, SepR!$6:$6, 0), FALSE),
            0
        ) +
        IFERROR(
            VLOOKUP($A16, INDIRECT("OctR!$A$6:$ZZ$1048576"), MATCH(AK$1, OctR!$6:$6, 0), FALSE),
            0
        ) +
        IFERROR(
            VLOOKUP($A16, INDIRECT("NovR!$A$6:$ZZ$1048576"), MATCH(AK$1, NovR!$6:$6, 0), FALSE),
            0
        ) +
        IFERROR(
            VLOOKUP($A16, INDIRECT("DicR!$A$6:$ZZ$1048576"), MATCH(AK$1, DicR!$6:$6, 0), FALSE),
            0
        )
)</f>
        <v>0</v>
      </c>
      <c r="AL16" s="36">
        <f t="array" ref="AL16">SUM(
    IFERROR(
            VLOOKUP($A16, INDIRECT("EneR!$A$6:$ZZ$1048576"), MATCH(AL$1, EneR!$6:$6, 0), FALSE),
            0
        ) +
        IFERROR(
            VLOOKUP($A16, INDIRECT("FebR!$A$6:$ZZ$1048576"), MATCH(AL$1, FebR!$6:$6, 0), FALSE),
            0
        ) +
        IFERROR(
            VLOOKUP($A16, INDIRECT("MarR!$A$6:$ZZ$1048576"), MATCH(AL$1, MarR!$6:$6, 0), FALSE),
            0
        ) +
        IFERROR(
            VLOOKUP($A16, INDIRECT("AbrR!$A$6:$ZZ$1048576"), MATCH(AL$1, AbrR!$6:$6, 0), FALSE),
            0
        ) +
        IFERROR(
            VLOOKUP($A16, INDIRECT("MayR!$A$6:$ZZ$1048576"), MATCH(AL$1, MayR!$6:$6, 0), FALSE),
            0
        ) +
        IFERROR(
            VLOOKUP($A16, INDIRECT("JunR!$A$6:$ZZ$1048576"), MATCH(AL$1, JunR!$6:$6, 0), FALSE),
            0
        ) +
        IFERROR(
            VLOOKUP($A16, INDIRECT("JulR!$A$6:$ZZ$1048576"), MATCH(AL$1, JulR!$6:$6, 0), FALSE),
            0
        ) +
        IFERROR(
            VLOOKUP($A16, INDIRECT("AgoR!$A$6:$ZZ$1048576"), MATCH(AL$1, AgoR!$6:$6, 0), FALSE),
            0
        ) +
        IFERROR(
            VLOOKUP($A16, INDIRECT("SepR!$A$6:$ZZ$1048576"), MATCH(AL$1, SepR!$6:$6, 0), FALSE),
            0
        ) +
        IFERROR(
            VLOOKUP($A16, INDIRECT("OctR!$A$6:$ZZ$1048576"), MATCH(AL$1, OctR!$6:$6, 0), FALSE),
            0
        ) +
        IFERROR(
            VLOOKUP($A16, INDIRECT("NovR!$A$6:$ZZ$1048576"), MATCH(AL$1, NovR!$6:$6, 0), FALSE),
            0
        ) +
        IFERROR(
            VLOOKUP($A16, INDIRECT("DicR!$A$6:$ZZ$1048576"), MATCH(AL$1, DicR!$6:$6, 0), FALSE),
            0
        )
)</f>
        <v>0</v>
      </c>
      <c r="AM16" s="37">
        <f t="array" ref="AM16">SUM(
    IFERROR(
            VLOOKUP($A16, INDIRECT("EneR!$A$6:$ZZ$1048576"), MATCH(AM$1, EneR!$6:$6, 0), FALSE),
            0
        ) +
        IFERROR(
            VLOOKUP($A16, INDIRECT("FebR!$A$6:$ZZ$1048576"), MATCH(AM$1, FebR!$6:$6, 0), FALSE),
            0
        ) +
        IFERROR(
            VLOOKUP($A16, INDIRECT("MarR!$A$6:$ZZ$1048576"), MATCH(AM$1, MarR!$6:$6, 0), FALSE),
            0
        ) +
        IFERROR(
            VLOOKUP($A16, INDIRECT("AbrR!$A$6:$ZZ$1048576"), MATCH(AM$1, AbrR!$6:$6, 0), FALSE),
            0
        ) +
        IFERROR(
            VLOOKUP($A16, INDIRECT("MayR!$A$6:$ZZ$1048576"), MATCH(AM$1, MayR!$6:$6, 0), FALSE),
            0
        ) +
        IFERROR(
            VLOOKUP($A16, INDIRECT("JunR!$A$6:$ZZ$1048576"), MATCH(AM$1, JunR!$6:$6, 0), FALSE),
            0
        ) +
        IFERROR(
            VLOOKUP($A16, INDIRECT("JulR!$A$6:$ZZ$1048576"), MATCH(AM$1, JulR!$6:$6, 0), FALSE),
            0
        ) +
        IFERROR(
            VLOOKUP($A16, INDIRECT("AgoR!$A$6:$ZZ$1048576"), MATCH(AM$1, AgoR!$6:$6, 0), FALSE),
            0
        ) +
        IFERROR(
            VLOOKUP($A16, INDIRECT("SepR!$A$6:$ZZ$1048576"), MATCH(AM$1, SepR!$6:$6, 0), FALSE),
            0
        ) +
        IFERROR(
            VLOOKUP($A16, INDIRECT("OctR!$A$6:$ZZ$1048576"), MATCH(AM$1, OctR!$6:$6, 0), FALSE),
            0
        ) +
        IFERROR(
            VLOOKUP($A16, INDIRECT("NovR!$A$6:$ZZ$1048576"), MATCH(AM$1, NovR!$6:$6, 0), FALSE),
            0
        ) +
        IFERROR(
            VLOOKUP($A16, INDIRECT("DicR!$A$6:$ZZ$1048576"), MATCH(AM$1, DicR!$6:$6, 0), FALSE),
            0
        )
)</f>
        <v>0</v>
      </c>
      <c r="AN16" s="36">
        <f t="array" ref="AN16">SUM(
    IFERROR(
            VLOOKUP($A16, INDIRECT("EneR!$A$6:$ZZ$1048576"), MATCH(AN$1, EneR!$6:$6, 0), FALSE),
            0
        ) +
        IFERROR(
            VLOOKUP($A16, INDIRECT("FebR!$A$6:$ZZ$1048576"), MATCH(AN$1, FebR!$6:$6, 0), FALSE),
            0
        ) +
        IFERROR(
            VLOOKUP($A16, INDIRECT("MarR!$A$6:$ZZ$1048576"), MATCH(AN$1, MarR!$6:$6, 0), FALSE),
            0
        ) +
        IFERROR(
            VLOOKUP($A16, INDIRECT("AbrR!$A$6:$ZZ$1048576"), MATCH(AN$1, AbrR!$6:$6, 0), FALSE),
            0
        ) +
        IFERROR(
            VLOOKUP($A16, INDIRECT("MayR!$A$6:$ZZ$1048576"), MATCH(AN$1, MayR!$6:$6, 0), FALSE),
            0
        ) +
        IFERROR(
            VLOOKUP($A16, INDIRECT("JunR!$A$6:$ZZ$1048576"), MATCH(AN$1, JunR!$6:$6, 0), FALSE),
            0
        ) +
        IFERROR(
            VLOOKUP($A16, INDIRECT("JulR!$A$6:$ZZ$1048576"), MATCH(AN$1, JulR!$6:$6, 0), FALSE),
            0
        ) +
        IFERROR(
            VLOOKUP($A16, INDIRECT("AgoR!$A$6:$ZZ$1048576"), MATCH(AN$1, AgoR!$6:$6, 0), FALSE),
            0
        ) +
        IFERROR(
            VLOOKUP($A16, INDIRECT("SepR!$A$6:$ZZ$1048576"), MATCH(AN$1, SepR!$6:$6, 0), FALSE),
            0
        ) +
        IFERROR(
            VLOOKUP($A16, INDIRECT("OctR!$A$6:$ZZ$1048576"), MATCH(AN$1, OctR!$6:$6, 0), FALSE),
            0
        ) +
        IFERROR(
            VLOOKUP($A16, INDIRECT("NovR!$A$6:$ZZ$1048576"), MATCH(AN$1, NovR!$6:$6, 0), FALSE),
            0
        ) +
        IFERROR(
            VLOOKUP($A16, INDIRECT("DicR!$A$6:$ZZ$1048576"), MATCH(AN$1, DicR!$6:$6, 0), FALSE),
            0
        )
)</f>
        <v>0</v>
      </c>
      <c r="AO16" s="37">
        <f t="array" ref="AO16">SUM(
    IFERROR(
            VLOOKUP($A16, INDIRECT("EneR!$A$6:$ZZ$1048576"), MATCH(AO$1, EneR!$6:$6, 0), FALSE),
            0
        ) +
        IFERROR(
            VLOOKUP($A16, INDIRECT("FebR!$A$6:$ZZ$1048576"), MATCH(AO$1, FebR!$6:$6, 0), FALSE),
            0
        ) +
        IFERROR(
            VLOOKUP($A16, INDIRECT("MarR!$A$6:$ZZ$1048576"), MATCH(AO$1, MarR!$6:$6, 0), FALSE),
            0
        ) +
        IFERROR(
            VLOOKUP($A16, INDIRECT("AbrR!$A$6:$ZZ$1048576"), MATCH(AO$1, AbrR!$6:$6, 0), FALSE),
            0
        ) +
        IFERROR(
            VLOOKUP($A16, INDIRECT("MayR!$A$6:$ZZ$1048576"), MATCH(AO$1, MayR!$6:$6, 0), FALSE),
            0
        ) +
        IFERROR(
            VLOOKUP($A16, INDIRECT("JunR!$A$6:$ZZ$1048576"), MATCH(AO$1, JunR!$6:$6, 0), FALSE),
            0
        ) +
        IFERROR(
            VLOOKUP($A16, INDIRECT("JulR!$A$6:$ZZ$1048576"), MATCH(AO$1, JulR!$6:$6, 0), FALSE),
            0
        ) +
        IFERROR(
            VLOOKUP($A16, INDIRECT("AgoR!$A$6:$ZZ$1048576"), MATCH(AO$1, AgoR!$6:$6, 0), FALSE),
            0
        ) +
        IFERROR(
            VLOOKUP($A16, INDIRECT("SepR!$A$6:$ZZ$1048576"), MATCH(AO$1, SepR!$6:$6, 0), FALSE),
            0
        ) +
        IFERROR(
            VLOOKUP($A16, INDIRECT("OctR!$A$6:$ZZ$1048576"), MATCH(AO$1, OctR!$6:$6, 0), FALSE),
            0
        ) +
        IFERROR(
            VLOOKUP($A16, INDIRECT("NovR!$A$6:$ZZ$1048576"), MATCH(AO$1, NovR!$6:$6, 0), FALSE),
            0
        ) +
        IFERROR(
            VLOOKUP($A16, INDIRECT("DicR!$A$6:$ZZ$1048576"), MATCH(AO$1, DicR!$6:$6, 0), FALSE),
            0
        )
)</f>
        <v>0</v>
      </c>
      <c r="AP16" s="36">
        <f t="array" ref="AP16">SUM(
    IFERROR(
            VLOOKUP($A16, INDIRECT("EneR!$A$6:$ZZ$1048576"), MATCH(AP$1, EneR!$6:$6, 0), FALSE),
            0
        ) +
        IFERROR(
            VLOOKUP($A16, INDIRECT("FebR!$A$6:$ZZ$1048576"), MATCH(AP$1, FebR!$6:$6, 0), FALSE),
            0
        ) +
        IFERROR(
            VLOOKUP($A16, INDIRECT("MarR!$A$6:$ZZ$1048576"), MATCH(AP$1, MarR!$6:$6, 0), FALSE),
            0
        ) +
        IFERROR(
            VLOOKUP($A16, INDIRECT("AbrR!$A$6:$ZZ$1048576"), MATCH(AP$1, AbrR!$6:$6, 0), FALSE),
            0
        ) +
        IFERROR(
            VLOOKUP($A16, INDIRECT("MayR!$A$6:$ZZ$1048576"), MATCH(AP$1, MayR!$6:$6, 0), FALSE),
            0
        ) +
        IFERROR(
            VLOOKUP($A16, INDIRECT("JunR!$A$6:$ZZ$1048576"), MATCH(AP$1, JunR!$6:$6, 0), FALSE),
            0
        ) +
        IFERROR(
            VLOOKUP($A16, INDIRECT("JulR!$A$6:$ZZ$1048576"), MATCH(AP$1, JulR!$6:$6, 0), FALSE),
            0
        ) +
        IFERROR(
            VLOOKUP($A16, INDIRECT("AgoR!$A$6:$ZZ$1048576"), MATCH(AP$1, AgoR!$6:$6, 0), FALSE),
            0
        ) +
        IFERROR(
            VLOOKUP($A16, INDIRECT("SepR!$A$6:$ZZ$1048576"), MATCH(AP$1, SepR!$6:$6, 0), FALSE),
            0
        ) +
        IFERROR(
            VLOOKUP($A16, INDIRECT("OctR!$A$6:$ZZ$1048576"), MATCH(AP$1, OctR!$6:$6, 0), FALSE),
            0
        ) +
        IFERROR(
            VLOOKUP($A16, INDIRECT("NovR!$A$6:$ZZ$1048576"), MATCH(AP$1, NovR!$6:$6, 0), FALSE),
            0
        ) +
        IFERROR(
            VLOOKUP($A16, INDIRECT("DicR!$A$6:$ZZ$1048576"), MATCH(AP$1, DicR!$6:$6, 0), FALSE),
            0
        )
)</f>
        <v>0</v>
      </c>
      <c r="AQ16" s="37">
        <f t="array" ref="AQ16">SUM(
    IFERROR(
            VLOOKUP($A16, INDIRECT("EneR!$A$6:$ZZ$1048576"), MATCH(AQ$1, EneR!$6:$6, 0), FALSE),
            0
        ) +
        IFERROR(
            VLOOKUP($A16, INDIRECT("FebR!$A$6:$ZZ$1048576"), MATCH(AQ$1, FebR!$6:$6, 0), FALSE),
            0
        ) +
        IFERROR(
            VLOOKUP($A16, INDIRECT("MarR!$A$6:$ZZ$1048576"), MATCH(AQ$1, MarR!$6:$6, 0), FALSE),
            0
        ) +
        IFERROR(
            VLOOKUP($A16, INDIRECT("AbrR!$A$6:$ZZ$1048576"), MATCH(AQ$1, AbrR!$6:$6, 0), FALSE),
            0
        ) +
        IFERROR(
            VLOOKUP($A16, INDIRECT("MayR!$A$6:$ZZ$1048576"), MATCH(AQ$1, MayR!$6:$6, 0), FALSE),
            0
        ) +
        IFERROR(
            VLOOKUP($A16, INDIRECT("JunR!$A$6:$ZZ$1048576"), MATCH(AQ$1, JunR!$6:$6, 0), FALSE),
            0
        ) +
        IFERROR(
            VLOOKUP($A16, INDIRECT("JulR!$A$6:$ZZ$1048576"), MATCH(AQ$1, JulR!$6:$6, 0), FALSE),
            0
        ) +
        IFERROR(
            VLOOKUP($A16, INDIRECT("AgoR!$A$6:$ZZ$1048576"), MATCH(AQ$1, AgoR!$6:$6, 0), FALSE),
            0
        ) +
        IFERROR(
            VLOOKUP($A16, INDIRECT("SepR!$A$6:$ZZ$1048576"), MATCH(AQ$1, SepR!$6:$6, 0), FALSE),
            0
        ) +
        IFERROR(
            VLOOKUP($A16, INDIRECT("OctR!$A$6:$ZZ$1048576"), MATCH(AQ$1, OctR!$6:$6, 0), FALSE),
            0
        ) +
        IFERROR(
            VLOOKUP($A16, INDIRECT("NovR!$A$6:$ZZ$1048576"), MATCH(AQ$1, NovR!$6:$6, 0), FALSE),
            0
        ) +
        IFERROR(
            VLOOKUP($A16, INDIRECT("DicR!$A$6:$ZZ$1048576"), MATCH(AQ$1, DicR!$6:$6, 0), FALSE),
            0
        )
)</f>
        <v>0</v>
      </c>
      <c r="AR16" s="36">
        <f t="array" ref="AR16">SUM(
    IFERROR(
            VLOOKUP($A16, INDIRECT("EneR!$A$6:$ZZ$1048576"), MATCH(AR$1, EneR!$6:$6, 0), FALSE),
            0
        ) +
        IFERROR(
            VLOOKUP($A16, INDIRECT("FebR!$A$6:$ZZ$1048576"), MATCH(AR$1, FebR!$6:$6, 0), FALSE),
            0
        ) +
        IFERROR(
            VLOOKUP($A16, INDIRECT("MarR!$A$6:$ZZ$1048576"), MATCH(AR$1, MarR!$6:$6, 0), FALSE),
            0
        ) +
        IFERROR(
            VLOOKUP($A16, INDIRECT("AbrR!$A$6:$ZZ$1048576"), MATCH(AR$1, AbrR!$6:$6, 0), FALSE),
            0
        ) +
        IFERROR(
            VLOOKUP($A16, INDIRECT("MayR!$A$6:$ZZ$1048576"), MATCH(AR$1, MayR!$6:$6, 0), FALSE),
            0
        ) +
        IFERROR(
            VLOOKUP($A16, INDIRECT("JunR!$A$6:$ZZ$1048576"), MATCH(AR$1, JunR!$6:$6, 0), FALSE),
            0
        ) +
        IFERROR(
            VLOOKUP($A16, INDIRECT("JulR!$A$6:$ZZ$1048576"), MATCH(AR$1, JulR!$6:$6, 0), FALSE),
            0
        ) +
        IFERROR(
            VLOOKUP($A16, INDIRECT("AgoR!$A$6:$ZZ$1048576"), MATCH(AR$1, AgoR!$6:$6, 0), FALSE),
            0
        ) +
        IFERROR(
            VLOOKUP($A16, INDIRECT("SepR!$A$6:$ZZ$1048576"), MATCH(AR$1, SepR!$6:$6, 0), FALSE),
            0
        ) +
        IFERROR(
            VLOOKUP($A16, INDIRECT("OctR!$A$6:$ZZ$1048576"), MATCH(AR$1, OctR!$6:$6, 0), FALSE),
            0
        ) +
        IFERROR(
            VLOOKUP($A16, INDIRECT("NovR!$A$6:$ZZ$1048576"), MATCH(AR$1, NovR!$6:$6, 0), FALSE),
            0
        ) +
        IFERROR(
            VLOOKUP($A16, INDIRECT("DicR!$A$6:$ZZ$1048576"), MATCH(AR$1, DicR!$6:$6, 0), FALSE),
            0
        )
)</f>
        <v>0</v>
      </c>
      <c r="AS16" s="37">
        <f t="array" ref="AS16">SUM(
    IFERROR(
            VLOOKUP($A16, INDIRECT("EneR!$A$6:$ZZ$1048576"), MATCH(AS$1, EneR!$6:$6, 0), FALSE),
            0
        ) +
        IFERROR(
            VLOOKUP($A16, INDIRECT("FebR!$A$6:$ZZ$1048576"), MATCH(AS$1, FebR!$6:$6, 0), FALSE),
            0
        ) +
        IFERROR(
            VLOOKUP($A16, INDIRECT("MarR!$A$6:$ZZ$1048576"), MATCH(AS$1, MarR!$6:$6, 0), FALSE),
            0
        ) +
        IFERROR(
            VLOOKUP($A16, INDIRECT("AbrR!$A$6:$ZZ$1048576"), MATCH(AS$1, AbrR!$6:$6, 0), FALSE),
            0
        ) +
        IFERROR(
            VLOOKUP($A16, INDIRECT("MayR!$A$6:$ZZ$1048576"), MATCH(AS$1, MayR!$6:$6, 0), FALSE),
            0
        ) +
        IFERROR(
            VLOOKUP($A16, INDIRECT("JunR!$A$6:$ZZ$1048576"), MATCH(AS$1, JunR!$6:$6, 0), FALSE),
            0
        ) +
        IFERROR(
            VLOOKUP($A16, INDIRECT("JulR!$A$6:$ZZ$1048576"), MATCH(AS$1, JulR!$6:$6, 0), FALSE),
            0
        ) +
        IFERROR(
            VLOOKUP($A16, INDIRECT("AgoR!$A$6:$ZZ$1048576"), MATCH(AS$1, AgoR!$6:$6, 0), FALSE),
            0
        ) +
        IFERROR(
            VLOOKUP($A16, INDIRECT("SepR!$A$6:$ZZ$1048576"), MATCH(AS$1, SepR!$6:$6, 0), FALSE),
            0
        ) +
        IFERROR(
            VLOOKUP($A16, INDIRECT("OctR!$A$6:$ZZ$1048576"), MATCH(AS$1, OctR!$6:$6, 0), FALSE),
            0
        ) +
        IFERROR(
            VLOOKUP($A16, INDIRECT("NovR!$A$6:$ZZ$1048576"), MATCH(AS$1, NovR!$6:$6, 0), FALSE),
            0
        ) +
        IFERROR(
            VLOOKUP($A16, INDIRECT("DicR!$A$6:$ZZ$1048576"), MATCH(AS$1, DicR!$6:$6, 0), FALSE),
            0
        )
)</f>
        <v>0</v>
      </c>
      <c r="AT16" s="36">
        <f t="array" ref="AT16">SUM(
    IFERROR(
            VLOOKUP($A16, INDIRECT("EneR!$A$6:$ZZ$1048576"), MATCH(AT$1, EneR!$6:$6, 0), FALSE),
            0
        ) +
        IFERROR(
            VLOOKUP($A16, INDIRECT("FebR!$A$6:$ZZ$1048576"), MATCH(AT$1, FebR!$6:$6, 0), FALSE),
            0
        ) +
        IFERROR(
            VLOOKUP($A16, INDIRECT("MarR!$A$6:$ZZ$1048576"), MATCH(AT$1, MarR!$6:$6, 0), FALSE),
            0
        ) +
        IFERROR(
            VLOOKUP($A16, INDIRECT("AbrR!$A$6:$ZZ$1048576"), MATCH(AT$1, AbrR!$6:$6, 0), FALSE),
            0
        ) +
        IFERROR(
            VLOOKUP($A16, INDIRECT("MayR!$A$6:$ZZ$1048576"), MATCH(AT$1, MayR!$6:$6, 0), FALSE),
            0
        ) +
        IFERROR(
            VLOOKUP($A16, INDIRECT("JunR!$A$6:$ZZ$1048576"), MATCH(AT$1, JunR!$6:$6, 0), FALSE),
            0
        ) +
        IFERROR(
            VLOOKUP($A16, INDIRECT("JulR!$A$6:$ZZ$1048576"), MATCH(AT$1, JulR!$6:$6, 0), FALSE),
            0
        ) +
        IFERROR(
            VLOOKUP($A16, INDIRECT("AgoR!$A$6:$ZZ$1048576"), MATCH(AT$1, AgoR!$6:$6, 0), FALSE),
            0
        ) +
        IFERROR(
            VLOOKUP($A16, INDIRECT("SepR!$A$6:$ZZ$1048576"), MATCH(AT$1, SepR!$6:$6, 0), FALSE),
            0
        ) +
        IFERROR(
            VLOOKUP($A16, INDIRECT("OctR!$A$6:$ZZ$1048576"), MATCH(AT$1, OctR!$6:$6, 0), FALSE),
            0
        ) +
        IFERROR(
            VLOOKUP($A16, INDIRECT("NovR!$A$6:$ZZ$1048576"), MATCH(AT$1, NovR!$6:$6, 0), FALSE),
            0
        ) +
        IFERROR(
            VLOOKUP($A16, INDIRECT("DicR!$A$6:$ZZ$1048576"), MATCH(AT$1, DicR!$6:$6, 0), FALSE),
            0
        )
)</f>
        <v>0</v>
      </c>
      <c r="AU16" s="37">
        <f t="array" ref="AU16">SUM(
    IFERROR(
            VLOOKUP($A16, INDIRECT("EneR!$A$6:$ZZ$1048576"), MATCH(AU$1, EneR!$6:$6, 0), FALSE),
            0
        ) +
        IFERROR(
            VLOOKUP($A16, INDIRECT("FebR!$A$6:$ZZ$1048576"), MATCH(AU$1, FebR!$6:$6, 0), FALSE),
            0
        ) +
        IFERROR(
            VLOOKUP($A16, INDIRECT("MarR!$A$6:$ZZ$1048576"), MATCH(AU$1, MarR!$6:$6, 0), FALSE),
            0
        ) +
        IFERROR(
            VLOOKUP($A16, INDIRECT("AbrR!$A$6:$ZZ$1048576"), MATCH(AU$1, AbrR!$6:$6, 0), FALSE),
            0
        ) +
        IFERROR(
            VLOOKUP($A16, INDIRECT("MayR!$A$6:$ZZ$1048576"), MATCH(AU$1, MayR!$6:$6, 0), FALSE),
            0
        ) +
        IFERROR(
            VLOOKUP($A16, INDIRECT("JunR!$A$6:$ZZ$1048576"), MATCH(AU$1, JunR!$6:$6, 0), FALSE),
            0
        ) +
        IFERROR(
            VLOOKUP($A16, INDIRECT("JulR!$A$6:$ZZ$1048576"), MATCH(AU$1, JulR!$6:$6, 0), FALSE),
            0
        ) +
        IFERROR(
            VLOOKUP($A16, INDIRECT("AgoR!$A$6:$ZZ$1048576"), MATCH(AU$1, AgoR!$6:$6, 0), FALSE),
            0
        ) +
        IFERROR(
            VLOOKUP($A16, INDIRECT("SepR!$A$6:$ZZ$1048576"), MATCH(AU$1, SepR!$6:$6, 0), FALSE),
            0
        ) +
        IFERROR(
            VLOOKUP($A16, INDIRECT("OctR!$A$6:$ZZ$1048576"), MATCH(AU$1, OctR!$6:$6, 0), FALSE),
            0
        ) +
        IFERROR(
            VLOOKUP($A16, INDIRECT("NovR!$A$6:$ZZ$1048576"), MATCH(AU$1, NovR!$6:$6, 0), FALSE),
            0
        ) +
        IFERROR(
            VLOOKUP($A16, INDIRECT("DicR!$A$6:$ZZ$1048576"), MATCH(AU$1, DicR!$6:$6, 0), FALSE),
            0
        )
)</f>
        <v>0</v>
      </c>
      <c r="AV16" s="36">
        <f t="array" ref="AV16">SUM(
    IFERROR(
            VLOOKUP($A16, INDIRECT("EneR!$A$6:$ZZ$1048576"), MATCH(AV$1, EneR!$6:$6, 0), FALSE),
            0
        ) +
        IFERROR(
            VLOOKUP($A16, INDIRECT("FebR!$A$6:$ZZ$1048576"), MATCH(AV$1, FebR!$6:$6, 0), FALSE),
            0
        ) +
        IFERROR(
            VLOOKUP($A16, INDIRECT("MarR!$A$6:$ZZ$1048576"), MATCH(AV$1, MarR!$6:$6, 0), FALSE),
            0
        ) +
        IFERROR(
            VLOOKUP($A16, INDIRECT("AbrR!$A$6:$ZZ$1048576"), MATCH(AV$1, AbrR!$6:$6, 0), FALSE),
            0
        ) +
        IFERROR(
            VLOOKUP($A16, INDIRECT("MayR!$A$6:$ZZ$1048576"), MATCH(AV$1, MayR!$6:$6, 0), FALSE),
            0
        ) +
        IFERROR(
            VLOOKUP($A16, INDIRECT("JunR!$A$6:$ZZ$1048576"), MATCH(AV$1, JunR!$6:$6, 0), FALSE),
            0
        ) +
        IFERROR(
            VLOOKUP($A16, INDIRECT("JulR!$A$6:$ZZ$1048576"), MATCH(AV$1, JulR!$6:$6, 0), FALSE),
            0
        ) +
        IFERROR(
            VLOOKUP($A16, INDIRECT("AgoR!$A$6:$ZZ$1048576"), MATCH(AV$1, AgoR!$6:$6, 0), FALSE),
            0
        ) +
        IFERROR(
            VLOOKUP($A16, INDIRECT("SepR!$A$6:$ZZ$1048576"), MATCH(AV$1, SepR!$6:$6, 0), FALSE),
            0
        ) +
        IFERROR(
            VLOOKUP($A16, INDIRECT("OctR!$A$6:$ZZ$1048576"), MATCH(AV$1, OctR!$6:$6, 0), FALSE),
            0
        ) +
        IFERROR(
            VLOOKUP($A16, INDIRECT("NovR!$A$6:$ZZ$1048576"), MATCH(AV$1, NovR!$6:$6, 0), FALSE),
            0
        ) +
        IFERROR(
            VLOOKUP($A16, INDIRECT("DicR!$A$6:$ZZ$1048576"), MATCH(AV$1, DicR!$6:$6, 0), FALSE),
            0
        )
)</f>
        <v>0</v>
      </c>
      <c r="AW16" s="37">
        <f t="array" ref="AW16">SUM(
    IFERROR(
            VLOOKUP($A16, INDIRECT("EneR!$A$6:$ZZ$1048576"), MATCH(AW$1, EneR!$6:$6, 0), FALSE),
            0
        ) +
        IFERROR(
            VLOOKUP($A16, INDIRECT("FebR!$A$6:$ZZ$1048576"), MATCH(AW$1, FebR!$6:$6, 0), FALSE),
            0
        ) +
        IFERROR(
            VLOOKUP($A16, INDIRECT("MarR!$A$6:$ZZ$1048576"), MATCH(AW$1, MarR!$6:$6, 0), FALSE),
            0
        ) +
        IFERROR(
            VLOOKUP($A16, INDIRECT("AbrR!$A$6:$ZZ$1048576"), MATCH(AW$1, AbrR!$6:$6, 0), FALSE),
            0
        ) +
        IFERROR(
            VLOOKUP($A16, INDIRECT("MayR!$A$6:$ZZ$1048576"), MATCH(AW$1, MayR!$6:$6, 0), FALSE),
            0
        ) +
        IFERROR(
            VLOOKUP($A16, INDIRECT("JunR!$A$6:$ZZ$1048576"), MATCH(AW$1, JunR!$6:$6, 0), FALSE),
            0
        ) +
        IFERROR(
            VLOOKUP($A16, INDIRECT("JulR!$A$6:$ZZ$1048576"), MATCH(AW$1, JulR!$6:$6, 0), FALSE),
            0
        ) +
        IFERROR(
            VLOOKUP($A16, INDIRECT("AgoR!$A$6:$ZZ$1048576"), MATCH(AW$1, AgoR!$6:$6, 0), FALSE),
            0
        ) +
        IFERROR(
            VLOOKUP($A16, INDIRECT("SepR!$A$6:$ZZ$1048576"), MATCH(AW$1, SepR!$6:$6, 0), FALSE),
            0
        ) +
        IFERROR(
            VLOOKUP($A16, INDIRECT("OctR!$A$6:$ZZ$1048576"), MATCH(AW$1, OctR!$6:$6, 0), FALSE),
            0
        ) +
        IFERROR(
            VLOOKUP($A16, INDIRECT("NovR!$A$6:$ZZ$1048576"), MATCH(AW$1, NovR!$6:$6, 0), FALSE),
            0
        ) +
        IFERROR(
            VLOOKUP($A16, INDIRECT("DicR!$A$6:$ZZ$1048576"), MATCH(AW$1, DicR!$6:$6, 0), FALSE),
            0
        )
)</f>
        <v>0</v>
      </c>
      <c r="AX16" s="36">
        <f t="array" ref="AX16">SUM(
    IFERROR(
            VLOOKUP($A16, INDIRECT("EneR!$A$6:$ZZ$1048576"), MATCH(AX$1, EneR!$6:$6, 0), FALSE),
            0
        ) +
        IFERROR(
            VLOOKUP($A16, INDIRECT("FebR!$A$6:$ZZ$1048576"), MATCH(AX$1, FebR!$6:$6, 0), FALSE),
            0
        ) +
        IFERROR(
            VLOOKUP($A16, INDIRECT("MarR!$A$6:$ZZ$1048576"), MATCH(AX$1, MarR!$6:$6, 0), FALSE),
            0
        ) +
        IFERROR(
            VLOOKUP($A16, INDIRECT("AbrR!$A$6:$ZZ$1048576"), MATCH(AX$1, AbrR!$6:$6, 0), FALSE),
            0
        ) +
        IFERROR(
            VLOOKUP($A16, INDIRECT("MayR!$A$6:$ZZ$1048576"), MATCH(AX$1, MayR!$6:$6, 0), FALSE),
            0
        ) +
        IFERROR(
            VLOOKUP($A16, INDIRECT("JunR!$A$6:$ZZ$1048576"), MATCH(AX$1, JunR!$6:$6, 0), FALSE),
            0
        ) +
        IFERROR(
            VLOOKUP($A16, INDIRECT("JulR!$A$6:$ZZ$1048576"), MATCH(AX$1, JulR!$6:$6, 0), FALSE),
            0
        ) +
        IFERROR(
            VLOOKUP($A16, INDIRECT("AgoR!$A$6:$ZZ$1048576"), MATCH(AX$1, AgoR!$6:$6, 0), FALSE),
            0
        ) +
        IFERROR(
            VLOOKUP($A16, INDIRECT("SepR!$A$6:$ZZ$1048576"), MATCH(AX$1, SepR!$6:$6, 0), FALSE),
            0
        ) +
        IFERROR(
            VLOOKUP($A16, INDIRECT("OctR!$A$6:$ZZ$1048576"), MATCH(AX$1, OctR!$6:$6, 0), FALSE),
            0
        ) +
        IFERROR(
            VLOOKUP($A16, INDIRECT("NovR!$A$6:$ZZ$1048576"), MATCH(AX$1, NovR!$6:$6, 0), FALSE),
            0
        ) +
        IFERROR(
            VLOOKUP($A16, INDIRECT("DicR!$A$6:$ZZ$1048576"), MATCH(AX$1, DicR!$6:$6, 0), FALSE),
            0
        )
)</f>
        <v>0</v>
      </c>
      <c r="AY16" s="37">
        <f t="array" ref="AY16">SUM(
    IFERROR(
            VLOOKUP($A16, INDIRECT("EneR!$A$6:$ZZ$1048576"), MATCH(AY$1, EneR!$6:$6, 0), FALSE),
            0
        ) +
        IFERROR(
            VLOOKUP($A16, INDIRECT("FebR!$A$6:$ZZ$1048576"), MATCH(AY$1, FebR!$6:$6, 0), FALSE),
            0
        ) +
        IFERROR(
            VLOOKUP($A16, INDIRECT("MarR!$A$6:$ZZ$1048576"), MATCH(AY$1, MarR!$6:$6, 0), FALSE),
            0
        ) +
        IFERROR(
            VLOOKUP($A16, INDIRECT("AbrR!$A$6:$ZZ$1048576"), MATCH(AY$1, AbrR!$6:$6, 0), FALSE),
            0
        ) +
        IFERROR(
            VLOOKUP($A16, INDIRECT("MayR!$A$6:$ZZ$1048576"), MATCH(AY$1, MayR!$6:$6, 0), FALSE),
            0
        ) +
        IFERROR(
            VLOOKUP($A16, INDIRECT("JunR!$A$6:$ZZ$1048576"), MATCH(AY$1, JunR!$6:$6, 0), FALSE),
            0
        ) +
        IFERROR(
            VLOOKUP($A16, INDIRECT("JulR!$A$6:$ZZ$1048576"), MATCH(AY$1, JulR!$6:$6, 0), FALSE),
            0
        ) +
        IFERROR(
            VLOOKUP($A16, INDIRECT("AgoR!$A$6:$ZZ$1048576"), MATCH(AY$1, AgoR!$6:$6, 0), FALSE),
            0
        ) +
        IFERROR(
            VLOOKUP($A16, INDIRECT("SepR!$A$6:$ZZ$1048576"), MATCH(AY$1, SepR!$6:$6, 0), FALSE),
            0
        ) +
        IFERROR(
            VLOOKUP($A16, INDIRECT("OctR!$A$6:$ZZ$1048576"), MATCH(AY$1, OctR!$6:$6, 0), FALSE),
            0
        ) +
        IFERROR(
            VLOOKUP($A16, INDIRECT("NovR!$A$6:$ZZ$1048576"), MATCH(AY$1, NovR!$6:$6, 0), FALSE),
            0
        ) +
        IFERROR(
            VLOOKUP($A16, INDIRECT("DicR!$A$6:$ZZ$1048576"), MATCH(AY$1, DicR!$6:$6, 0), FALSE),
            0
        )
)</f>
        <v>0</v>
      </c>
      <c r="AZ16" s="37"/>
    </row>
    <row r="17" ht="15.75" customHeight="1">
      <c r="A17" s="12" t="str">
        <f>Menus!R9</f>
        <v/>
      </c>
      <c r="B17" s="32">
        <f t="shared" si="4"/>
        <v>0</v>
      </c>
      <c r="C17" s="33" t="str">
        <f t="shared" si="5"/>
        <v/>
      </c>
      <c r="D17" s="34">
        <f t="array" ref="D17">SUM(
    IFERROR(
            VLOOKUP($A17, INDIRECT("EneR!$A$6:$ZZ$1048576"), MATCH(D$1, EneR!$6:$6, 0), FALSE),
            0
        ) +
        IFERROR(
            VLOOKUP($A17, INDIRECT("FebR!$A$6:$ZZ$1048576"), MATCH(D$1, FebR!$6:$6, 0), FALSE),
            0
        ) +
        IFERROR(
            VLOOKUP($A17, INDIRECT("MarR!$A$6:$ZZ$1048576"), MATCH(D$1, MarR!$6:$6, 0), FALSE),
            0
        ) +
        IFERROR(
            VLOOKUP($A17, INDIRECT("AbrR!$A$6:$ZZ$1048576"), MATCH(D$1, AbrR!$6:$6, 0), FALSE),
            0
        ) +
        IFERROR(
            VLOOKUP($A17, INDIRECT("MayR!$A$6:$ZZ$1048576"), MATCH(D$1, MayR!$6:$6, 0), FALSE),
            0
        ) +
        IFERROR(
            VLOOKUP($A17, INDIRECT("JunR!$A$6:$ZZ$1048576"), MATCH(D$1, JunR!$6:$6, 0), FALSE),
            0
        ) +
        IFERROR(
            VLOOKUP($A17, INDIRECT("JulR!$A$6:$ZZ$1048576"), MATCH(D$1, JulR!$6:$6, 0), FALSE),
            0
        ) +
        IFERROR(
            VLOOKUP($A17, INDIRECT("AgoR!$A$6:$ZZ$1048576"), MATCH(D$1, AgoR!$6:$6, 0), FALSE),
            0
        ) +
        IFERROR(
            VLOOKUP($A17, INDIRECT("SepR!$A$6:$ZZ$1048576"), MATCH(D$1, SepR!$6:$6, 0), FALSE),
            0
        ) +
        IFERROR(
            VLOOKUP($A17, INDIRECT("OctR!$A$6:$ZZ$1048576"), MATCH(D$1, OctR!$6:$6, 0), FALSE),
            0
        ) +
        IFERROR(
            VLOOKUP($A17, INDIRECT("NovR!$A$6:$ZZ$1048576"), MATCH(D$1, NovR!$6:$6, 0), FALSE),
            0
        ) +
        IFERROR(
            VLOOKUP($A17, INDIRECT("DicR!$A$6:$ZZ$1048576"), MATCH(D$1, DicR!$6:$6, 0), FALSE),
            0
        )
)</f>
        <v>0</v>
      </c>
      <c r="E17" s="35">
        <f t="array" ref="E17">SUM(
    IFERROR(
            VLOOKUP($A17, INDIRECT("EneR!$A$6:$ZZ$1048576"), MATCH(E$1, EneR!$6:$6, 0), FALSE),
            0
        ) +
        IFERROR(
            VLOOKUP($A17, INDIRECT("FebR!$A$6:$ZZ$1048576"), MATCH(E$1, FebR!$6:$6, 0), FALSE),
            0
        ) +
        IFERROR(
            VLOOKUP($A17, INDIRECT("MarR!$A$6:$ZZ$1048576"), MATCH(E$1, MarR!$6:$6, 0), FALSE),
            0
        ) +
        IFERROR(
            VLOOKUP($A17, INDIRECT("AbrR!$A$6:$ZZ$1048576"), MATCH(E$1, AbrR!$6:$6, 0), FALSE),
            0
        ) +
        IFERROR(
            VLOOKUP($A17, INDIRECT("MayR!$A$6:$ZZ$1048576"), MATCH(E$1, MayR!$6:$6, 0), FALSE),
            0
        ) +
        IFERROR(
            VLOOKUP($A17, INDIRECT("JunR!$A$6:$ZZ$1048576"), MATCH(E$1, JunR!$6:$6, 0), FALSE),
            0
        ) +
        IFERROR(
            VLOOKUP($A17, INDIRECT("JulR!$A$6:$ZZ$1048576"), MATCH(E$1, JulR!$6:$6, 0), FALSE),
            0
        ) +
        IFERROR(
            VLOOKUP($A17, INDIRECT("AgoR!$A$6:$ZZ$1048576"), MATCH(E$1, AgoR!$6:$6, 0), FALSE),
            0
        ) +
        IFERROR(
            VLOOKUP($A17, INDIRECT("SepR!$A$6:$ZZ$1048576"), MATCH(E$1, SepR!$6:$6, 0), FALSE),
            0
        ) +
        IFERROR(
            VLOOKUP($A17, INDIRECT("OctR!$A$6:$ZZ$1048576"), MATCH(E$1, OctR!$6:$6, 0), FALSE),
            0
        ) +
        IFERROR(
            VLOOKUP($A17, INDIRECT("NovR!$A$6:$ZZ$1048576"), MATCH(E$1, NovR!$6:$6, 0), FALSE),
            0
        ) +
        IFERROR(
            VLOOKUP($A17, INDIRECT("DicR!$A$6:$ZZ$1048576"), MATCH(E$1, DicR!$6:$6, 0), FALSE),
            0
        )
)</f>
        <v>0</v>
      </c>
      <c r="F17" s="32">
        <f t="array" ref="F17">SUM(
    IFERROR(
            VLOOKUP($A17, INDIRECT("EneR!$A$6:$ZZ$1048576"), MATCH(F$1, EneR!$6:$6, 0), FALSE),
            0
        ) +
        IFERROR(
            VLOOKUP($A17, INDIRECT("FebR!$A$6:$ZZ$1048576"), MATCH(F$1, FebR!$6:$6, 0), FALSE),
            0
        ) +
        IFERROR(
            VLOOKUP($A17, INDIRECT("MarR!$A$6:$ZZ$1048576"), MATCH(F$1, MarR!$6:$6, 0), FALSE),
            0
        ) +
        IFERROR(
            VLOOKUP($A17, INDIRECT("AbrR!$A$6:$ZZ$1048576"), MATCH(F$1, AbrR!$6:$6, 0), FALSE),
            0
        ) +
        IFERROR(
            VLOOKUP($A17, INDIRECT("MayR!$A$6:$ZZ$1048576"), MATCH(F$1, MayR!$6:$6, 0), FALSE),
            0
        ) +
        IFERROR(
            VLOOKUP($A17, INDIRECT("JunR!$A$6:$ZZ$1048576"), MATCH(F$1, JunR!$6:$6, 0), FALSE),
            0
        ) +
        IFERROR(
            VLOOKUP($A17, INDIRECT("JulR!$A$6:$ZZ$1048576"), MATCH(F$1, JulR!$6:$6, 0), FALSE),
            0
        ) +
        IFERROR(
            VLOOKUP($A17, INDIRECT("AgoR!$A$6:$ZZ$1048576"), MATCH(F$1, AgoR!$6:$6, 0), FALSE),
            0
        ) +
        IFERROR(
            VLOOKUP($A17, INDIRECT("SepR!$A$6:$ZZ$1048576"), MATCH(F$1, SepR!$6:$6, 0), FALSE),
            0
        ) +
        IFERROR(
            VLOOKUP($A17, INDIRECT("OctR!$A$6:$ZZ$1048576"), MATCH(F$1, OctR!$6:$6, 0), FALSE),
            0
        ) +
        IFERROR(
            VLOOKUP($A17, INDIRECT("NovR!$A$6:$ZZ$1048576"), MATCH(F$1, NovR!$6:$6, 0), FALSE),
            0
        ) +
        IFERROR(
            VLOOKUP($A17, INDIRECT("DicR!$A$6:$ZZ$1048576"), MATCH(F$1, DicR!$6:$6, 0), FALSE),
            0
        )
)</f>
        <v>0</v>
      </c>
      <c r="G17" s="35">
        <f t="array" ref="G17">SUM(
    IFERROR(
            VLOOKUP($A17, INDIRECT("EneR!$A$6:$ZZ$1048576"), MATCH(G$1, EneR!$6:$6, 0), FALSE),
            0
        ) +
        IFERROR(
            VLOOKUP($A17, INDIRECT("FebR!$A$6:$ZZ$1048576"), MATCH(G$1, FebR!$6:$6, 0), FALSE),
            0
        ) +
        IFERROR(
            VLOOKUP($A17, INDIRECT("MarR!$A$6:$ZZ$1048576"), MATCH(G$1, MarR!$6:$6, 0), FALSE),
            0
        ) +
        IFERROR(
            VLOOKUP($A17, INDIRECT("AbrR!$A$6:$ZZ$1048576"), MATCH(G$1, AbrR!$6:$6, 0), FALSE),
            0
        ) +
        IFERROR(
            VLOOKUP($A17, INDIRECT("MayR!$A$6:$ZZ$1048576"), MATCH(G$1, MayR!$6:$6, 0), FALSE),
            0
        ) +
        IFERROR(
            VLOOKUP($A17, INDIRECT("JunR!$A$6:$ZZ$1048576"), MATCH(G$1, JunR!$6:$6, 0), FALSE),
            0
        ) +
        IFERROR(
            VLOOKUP($A17, INDIRECT("JulR!$A$6:$ZZ$1048576"), MATCH(G$1, JulR!$6:$6, 0), FALSE),
            0
        ) +
        IFERROR(
            VLOOKUP($A17, INDIRECT("AgoR!$A$6:$ZZ$1048576"), MATCH(G$1, AgoR!$6:$6, 0), FALSE),
            0
        ) +
        IFERROR(
            VLOOKUP($A17, INDIRECT("SepR!$A$6:$ZZ$1048576"), MATCH(G$1, SepR!$6:$6, 0), FALSE),
            0
        ) +
        IFERROR(
            VLOOKUP($A17, INDIRECT("OctR!$A$6:$ZZ$1048576"), MATCH(G$1, OctR!$6:$6, 0), FALSE),
            0
        ) +
        IFERROR(
            VLOOKUP($A17, INDIRECT("NovR!$A$6:$ZZ$1048576"), MATCH(G$1, NovR!$6:$6, 0), FALSE),
            0
        ) +
        IFERROR(
            VLOOKUP($A17, INDIRECT("DicR!$A$6:$ZZ$1048576"), MATCH(G$1, DicR!$6:$6, 0), FALSE),
            0
        )
)</f>
        <v>0</v>
      </c>
      <c r="H17" s="32">
        <f t="array" ref="H17">SUM(
    IFERROR(
            VLOOKUP($A17, INDIRECT("EneR!$A$6:$ZZ$1048576"), MATCH(H$1, EneR!$6:$6, 0), FALSE),
            0
        ) +
        IFERROR(
            VLOOKUP($A17, INDIRECT("FebR!$A$6:$ZZ$1048576"), MATCH(H$1, FebR!$6:$6, 0), FALSE),
            0
        ) +
        IFERROR(
            VLOOKUP($A17, INDIRECT("MarR!$A$6:$ZZ$1048576"), MATCH(H$1, MarR!$6:$6, 0), FALSE),
            0
        ) +
        IFERROR(
            VLOOKUP($A17, INDIRECT("AbrR!$A$6:$ZZ$1048576"), MATCH(H$1, AbrR!$6:$6, 0), FALSE),
            0
        ) +
        IFERROR(
            VLOOKUP($A17, INDIRECT("MayR!$A$6:$ZZ$1048576"), MATCH(H$1, MayR!$6:$6, 0), FALSE),
            0
        ) +
        IFERROR(
            VLOOKUP($A17, INDIRECT("JunR!$A$6:$ZZ$1048576"), MATCH(H$1, JunR!$6:$6, 0), FALSE),
            0
        ) +
        IFERROR(
            VLOOKUP($A17, INDIRECT("JulR!$A$6:$ZZ$1048576"), MATCH(H$1, JulR!$6:$6, 0), FALSE),
            0
        ) +
        IFERROR(
            VLOOKUP($A17, INDIRECT("AgoR!$A$6:$ZZ$1048576"), MATCH(H$1, AgoR!$6:$6, 0), FALSE),
            0
        ) +
        IFERROR(
            VLOOKUP($A17, INDIRECT("SepR!$A$6:$ZZ$1048576"), MATCH(H$1, SepR!$6:$6, 0), FALSE),
            0
        ) +
        IFERROR(
            VLOOKUP($A17, INDIRECT("OctR!$A$6:$ZZ$1048576"), MATCH(H$1, OctR!$6:$6, 0), FALSE),
            0
        ) +
        IFERROR(
            VLOOKUP($A17, INDIRECT("NovR!$A$6:$ZZ$1048576"), MATCH(H$1, NovR!$6:$6, 0), FALSE),
            0
        ) +
        IFERROR(
            VLOOKUP($A17, INDIRECT("DicR!$A$6:$ZZ$1048576"), MATCH(H$1, DicR!$6:$6, 0), FALSE),
            0
        )
)</f>
        <v>0</v>
      </c>
      <c r="I17" s="35">
        <f t="array" ref="I17">SUM(
    IFERROR(
            VLOOKUP($A17, INDIRECT("EneR!$A$6:$ZZ$1048576"), MATCH(I$1, EneR!$6:$6, 0), FALSE),
            0
        ) +
        IFERROR(
            VLOOKUP($A17, INDIRECT("FebR!$A$6:$ZZ$1048576"), MATCH(I$1, FebR!$6:$6, 0), FALSE),
            0
        ) +
        IFERROR(
            VLOOKUP($A17, INDIRECT("MarR!$A$6:$ZZ$1048576"), MATCH(I$1, MarR!$6:$6, 0), FALSE),
            0
        ) +
        IFERROR(
            VLOOKUP($A17, INDIRECT("AbrR!$A$6:$ZZ$1048576"), MATCH(I$1, AbrR!$6:$6, 0), FALSE),
            0
        ) +
        IFERROR(
            VLOOKUP($A17, INDIRECT("MayR!$A$6:$ZZ$1048576"), MATCH(I$1, MayR!$6:$6, 0), FALSE),
            0
        ) +
        IFERROR(
            VLOOKUP($A17, INDIRECT("JunR!$A$6:$ZZ$1048576"), MATCH(I$1, JunR!$6:$6, 0), FALSE),
            0
        ) +
        IFERROR(
            VLOOKUP($A17, INDIRECT("JulR!$A$6:$ZZ$1048576"), MATCH(I$1, JulR!$6:$6, 0), FALSE),
            0
        ) +
        IFERROR(
            VLOOKUP($A17, INDIRECT("AgoR!$A$6:$ZZ$1048576"), MATCH(I$1, AgoR!$6:$6, 0), FALSE),
            0
        ) +
        IFERROR(
            VLOOKUP($A17, INDIRECT("SepR!$A$6:$ZZ$1048576"), MATCH(I$1, SepR!$6:$6, 0), FALSE),
            0
        ) +
        IFERROR(
            VLOOKUP($A17, INDIRECT("OctR!$A$6:$ZZ$1048576"), MATCH(I$1, OctR!$6:$6, 0), FALSE),
            0
        ) +
        IFERROR(
            VLOOKUP($A17, INDIRECT("NovR!$A$6:$ZZ$1048576"), MATCH(I$1, NovR!$6:$6, 0), FALSE),
            0
        ) +
        IFERROR(
            VLOOKUP($A17, INDIRECT("DicR!$A$6:$ZZ$1048576"), MATCH(I$1, DicR!$6:$6, 0), FALSE),
            0
        )
)</f>
        <v>0</v>
      </c>
      <c r="J17" s="32">
        <f t="array" ref="J17">SUM(
    IFERROR(
            VLOOKUP($A17, INDIRECT("EneR!$A$6:$ZZ$1048576"), MATCH(J$1, EneR!$6:$6, 0), FALSE),
            0
        ) +
        IFERROR(
            VLOOKUP($A17, INDIRECT("FebR!$A$6:$ZZ$1048576"), MATCH(J$1, FebR!$6:$6, 0), FALSE),
            0
        ) +
        IFERROR(
            VLOOKUP($A17, INDIRECT("MarR!$A$6:$ZZ$1048576"), MATCH(J$1, MarR!$6:$6, 0), FALSE),
            0
        ) +
        IFERROR(
            VLOOKUP($A17, INDIRECT("AbrR!$A$6:$ZZ$1048576"), MATCH(J$1, AbrR!$6:$6, 0), FALSE),
            0
        ) +
        IFERROR(
            VLOOKUP($A17, INDIRECT("MayR!$A$6:$ZZ$1048576"), MATCH(J$1, MayR!$6:$6, 0), FALSE),
            0
        ) +
        IFERROR(
            VLOOKUP($A17, INDIRECT("JunR!$A$6:$ZZ$1048576"), MATCH(J$1, JunR!$6:$6, 0), FALSE),
            0
        ) +
        IFERROR(
            VLOOKUP($A17, INDIRECT("JulR!$A$6:$ZZ$1048576"), MATCH(J$1, JulR!$6:$6, 0), FALSE),
            0
        ) +
        IFERROR(
            VLOOKUP($A17, INDIRECT("AgoR!$A$6:$ZZ$1048576"), MATCH(J$1, AgoR!$6:$6, 0), FALSE),
            0
        ) +
        IFERROR(
            VLOOKUP($A17, INDIRECT("SepR!$A$6:$ZZ$1048576"), MATCH(J$1, SepR!$6:$6, 0), FALSE),
            0
        ) +
        IFERROR(
            VLOOKUP($A17, INDIRECT("OctR!$A$6:$ZZ$1048576"), MATCH(J$1, OctR!$6:$6, 0), FALSE),
            0
        ) +
        IFERROR(
            VLOOKUP($A17, INDIRECT("NovR!$A$6:$ZZ$1048576"), MATCH(J$1, NovR!$6:$6, 0), FALSE),
            0
        ) +
        IFERROR(
            VLOOKUP($A17, INDIRECT("DicR!$A$6:$ZZ$1048576"), MATCH(J$1, DicR!$6:$6, 0), FALSE),
            0
        )
)</f>
        <v>0</v>
      </c>
      <c r="K17" s="35">
        <f t="array" ref="K17">SUM(
    IFERROR(
            VLOOKUP($A17, INDIRECT("EneR!$A$6:$ZZ$1048576"), MATCH(K$1, EneR!$6:$6, 0), FALSE),
            0
        ) +
        IFERROR(
            VLOOKUP($A17, INDIRECT("FebR!$A$6:$ZZ$1048576"), MATCH(K$1, FebR!$6:$6, 0), FALSE),
            0
        ) +
        IFERROR(
            VLOOKUP($A17, INDIRECT("MarR!$A$6:$ZZ$1048576"), MATCH(K$1, MarR!$6:$6, 0), FALSE),
            0
        ) +
        IFERROR(
            VLOOKUP($A17, INDIRECT("AbrR!$A$6:$ZZ$1048576"), MATCH(K$1, AbrR!$6:$6, 0), FALSE),
            0
        ) +
        IFERROR(
            VLOOKUP($A17, INDIRECT("MayR!$A$6:$ZZ$1048576"), MATCH(K$1, MayR!$6:$6, 0), FALSE),
            0
        ) +
        IFERROR(
            VLOOKUP($A17, INDIRECT("JunR!$A$6:$ZZ$1048576"), MATCH(K$1, JunR!$6:$6, 0), FALSE),
            0
        ) +
        IFERROR(
            VLOOKUP($A17, INDIRECT("JulR!$A$6:$ZZ$1048576"), MATCH(K$1, JulR!$6:$6, 0), FALSE),
            0
        ) +
        IFERROR(
            VLOOKUP($A17, INDIRECT("AgoR!$A$6:$ZZ$1048576"), MATCH(K$1, AgoR!$6:$6, 0), FALSE),
            0
        ) +
        IFERROR(
            VLOOKUP($A17, INDIRECT("SepR!$A$6:$ZZ$1048576"), MATCH(K$1, SepR!$6:$6, 0), FALSE),
            0
        ) +
        IFERROR(
            VLOOKUP($A17, INDIRECT("OctR!$A$6:$ZZ$1048576"), MATCH(K$1, OctR!$6:$6, 0), FALSE),
            0
        ) +
        IFERROR(
            VLOOKUP($A17, INDIRECT("NovR!$A$6:$ZZ$1048576"), MATCH(K$1, NovR!$6:$6, 0), FALSE),
            0
        ) +
        IFERROR(
            VLOOKUP($A17, INDIRECT("DicR!$A$6:$ZZ$1048576"), MATCH(K$1, DicR!$6:$6, 0), FALSE),
            0
        )
)</f>
        <v>0</v>
      </c>
      <c r="L17" s="32">
        <f t="array" ref="L17">SUM(
    IFERROR(
            VLOOKUP($A17, INDIRECT("EneR!$A$6:$ZZ$1048576"), MATCH(L$1, EneR!$6:$6, 0), FALSE),
            0
        ) +
        IFERROR(
            VLOOKUP($A17, INDIRECT("FebR!$A$6:$ZZ$1048576"), MATCH(L$1, FebR!$6:$6, 0), FALSE),
            0
        ) +
        IFERROR(
            VLOOKUP($A17, INDIRECT("MarR!$A$6:$ZZ$1048576"), MATCH(L$1, MarR!$6:$6, 0), FALSE),
            0
        ) +
        IFERROR(
            VLOOKUP($A17, INDIRECT("AbrR!$A$6:$ZZ$1048576"), MATCH(L$1, AbrR!$6:$6, 0), FALSE),
            0
        ) +
        IFERROR(
            VLOOKUP($A17, INDIRECT("MayR!$A$6:$ZZ$1048576"), MATCH(L$1, MayR!$6:$6, 0), FALSE),
            0
        ) +
        IFERROR(
            VLOOKUP($A17, INDIRECT("JunR!$A$6:$ZZ$1048576"), MATCH(L$1, JunR!$6:$6, 0), FALSE),
            0
        ) +
        IFERROR(
            VLOOKUP($A17, INDIRECT("JulR!$A$6:$ZZ$1048576"), MATCH(L$1, JulR!$6:$6, 0), FALSE),
            0
        ) +
        IFERROR(
            VLOOKUP($A17, INDIRECT("AgoR!$A$6:$ZZ$1048576"), MATCH(L$1, AgoR!$6:$6, 0), FALSE),
            0
        ) +
        IFERROR(
            VLOOKUP($A17, INDIRECT("SepR!$A$6:$ZZ$1048576"), MATCH(L$1, SepR!$6:$6, 0), FALSE),
            0
        ) +
        IFERROR(
            VLOOKUP($A17, INDIRECT("OctR!$A$6:$ZZ$1048576"), MATCH(L$1, OctR!$6:$6, 0), FALSE),
            0
        ) +
        IFERROR(
            VLOOKUP($A17, INDIRECT("NovR!$A$6:$ZZ$1048576"), MATCH(L$1, NovR!$6:$6, 0), FALSE),
            0
        ) +
        IFERROR(
            VLOOKUP($A17, INDIRECT("DicR!$A$6:$ZZ$1048576"), MATCH(L$1, DicR!$6:$6, 0), FALSE),
            0
        )
)</f>
        <v>0</v>
      </c>
      <c r="M17" s="35">
        <f t="array" ref="M17">SUM(
    IFERROR(
            VLOOKUP($A17, INDIRECT("EneR!$A$6:$ZZ$1048576"), MATCH(M$1, EneR!$6:$6, 0), FALSE),
            0
        ) +
        IFERROR(
            VLOOKUP($A17, INDIRECT("FebR!$A$6:$ZZ$1048576"), MATCH(M$1, FebR!$6:$6, 0), FALSE),
            0
        ) +
        IFERROR(
            VLOOKUP($A17, INDIRECT("MarR!$A$6:$ZZ$1048576"), MATCH(M$1, MarR!$6:$6, 0), FALSE),
            0
        ) +
        IFERROR(
            VLOOKUP($A17, INDIRECT("AbrR!$A$6:$ZZ$1048576"), MATCH(M$1, AbrR!$6:$6, 0), FALSE),
            0
        ) +
        IFERROR(
            VLOOKUP($A17, INDIRECT("MayR!$A$6:$ZZ$1048576"), MATCH(M$1, MayR!$6:$6, 0), FALSE),
            0
        ) +
        IFERROR(
            VLOOKUP($A17, INDIRECT("JunR!$A$6:$ZZ$1048576"), MATCH(M$1, JunR!$6:$6, 0), FALSE),
            0
        ) +
        IFERROR(
            VLOOKUP($A17, INDIRECT("JulR!$A$6:$ZZ$1048576"), MATCH(M$1, JulR!$6:$6, 0), FALSE),
            0
        ) +
        IFERROR(
            VLOOKUP($A17, INDIRECT("AgoR!$A$6:$ZZ$1048576"), MATCH(M$1, AgoR!$6:$6, 0), FALSE),
            0
        ) +
        IFERROR(
            VLOOKUP($A17, INDIRECT("SepR!$A$6:$ZZ$1048576"), MATCH(M$1, SepR!$6:$6, 0), FALSE),
            0
        ) +
        IFERROR(
            VLOOKUP($A17, INDIRECT("OctR!$A$6:$ZZ$1048576"), MATCH(M$1, OctR!$6:$6, 0), FALSE),
            0
        ) +
        IFERROR(
            VLOOKUP($A17, INDIRECT("NovR!$A$6:$ZZ$1048576"), MATCH(M$1, NovR!$6:$6, 0), FALSE),
            0
        ) +
        IFERROR(
            VLOOKUP($A17, INDIRECT("DicR!$A$6:$ZZ$1048576"), MATCH(M$1, DicR!$6:$6, 0), FALSE),
            0
        )
)</f>
        <v>0</v>
      </c>
      <c r="N17" s="32">
        <f t="array" ref="N17">SUM(
    IFERROR(
            VLOOKUP($A17, INDIRECT("EneR!$A$6:$ZZ$1048576"), MATCH(N$1, EneR!$6:$6, 0), FALSE),
            0
        ) +
        IFERROR(
            VLOOKUP($A17, INDIRECT("FebR!$A$6:$ZZ$1048576"), MATCH(N$1, FebR!$6:$6, 0), FALSE),
            0
        ) +
        IFERROR(
            VLOOKUP($A17, INDIRECT("MarR!$A$6:$ZZ$1048576"), MATCH(N$1, MarR!$6:$6, 0), FALSE),
            0
        ) +
        IFERROR(
            VLOOKUP($A17, INDIRECT("AbrR!$A$6:$ZZ$1048576"), MATCH(N$1, AbrR!$6:$6, 0), FALSE),
            0
        ) +
        IFERROR(
            VLOOKUP($A17, INDIRECT("MayR!$A$6:$ZZ$1048576"), MATCH(N$1, MayR!$6:$6, 0), FALSE),
            0
        ) +
        IFERROR(
            VLOOKUP($A17, INDIRECT("JunR!$A$6:$ZZ$1048576"), MATCH(N$1, JunR!$6:$6, 0), FALSE),
            0
        ) +
        IFERROR(
            VLOOKUP($A17, INDIRECT("JulR!$A$6:$ZZ$1048576"), MATCH(N$1, JulR!$6:$6, 0), FALSE),
            0
        ) +
        IFERROR(
            VLOOKUP($A17, INDIRECT("AgoR!$A$6:$ZZ$1048576"), MATCH(N$1, AgoR!$6:$6, 0), FALSE),
            0
        ) +
        IFERROR(
            VLOOKUP($A17, INDIRECT("SepR!$A$6:$ZZ$1048576"), MATCH(N$1, SepR!$6:$6, 0), FALSE),
            0
        ) +
        IFERROR(
            VLOOKUP($A17, INDIRECT("OctR!$A$6:$ZZ$1048576"), MATCH(N$1, OctR!$6:$6, 0), FALSE),
            0
        ) +
        IFERROR(
            VLOOKUP($A17, INDIRECT("NovR!$A$6:$ZZ$1048576"), MATCH(N$1, NovR!$6:$6, 0), FALSE),
            0
        ) +
        IFERROR(
            VLOOKUP($A17, INDIRECT("DicR!$A$6:$ZZ$1048576"), MATCH(N$1, DicR!$6:$6, 0), FALSE),
            0
        )
)</f>
        <v>0</v>
      </c>
      <c r="O17" s="35">
        <f t="array" ref="O17">SUM(
    IFERROR(
            VLOOKUP($A17, INDIRECT("EneR!$A$6:$ZZ$1048576"), MATCH(O$1, EneR!$6:$6, 0), FALSE),
            0
        ) +
        IFERROR(
            VLOOKUP($A17, INDIRECT("FebR!$A$6:$ZZ$1048576"), MATCH(O$1, FebR!$6:$6, 0), FALSE),
            0
        ) +
        IFERROR(
            VLOOKUP($A17, INDIRECT("MarR!$A$6:$ZZ$1048576"), MATCH(O$1, MarR!$6:$6, 0), FALSE),
            0
        ) +
        IFERROR(
            VLOOKUP($A17, INDIRECT("AbrR!$A$6:$ZZ$1048576"), MATCH(O$1, AbrR!$6:$6, 0), FALSE),
            0
        ) +
        IFERROR(
            VLOOKUP($A17, INDIRECT("MayR!$A$6:$ZZ$1048576"), MATCH(O$1, MayR!$6:$6, 0), FALSE),
            0
        ) +
        IFERROR(
            VLOOKUP($A17, INDIRECT("JunR!$A$6:$ZZ$1048576"), MATCH(O$1, JunR!$6:$6, 0), FALSE),
            0
        ) +
        IFERROR(
            VLOOKUP($A17, INDIRECT("JulR!$A$6:$ZZ$1048576"), MATCH(O$1, JulR!$6:$6, 0), FALSE),
            0
        ) +
        IFERROR(
            VLOOKUP($A17, INDIRECT("AgoR!$A$6:$ZZ$1048576"), MATCH(O$1, AgoR!$6:$6, 0), FALSE),
            0
        ) +
        IFERROR(
            VLOOKUP($A17, INDIRECT("SepR!$A$6:$ZZ$1048576"), MATCH(O$1, SepR!$6:$6, 0), FALSE),
            0
        ) +
        IFERROR(
            VLOOKUP($A17, INDIRECT("OctR!$A$6:$ZZ$1048576"), MATCH(O$1, OctR!$6:$6, 0), FALSE),
            0
        ) +
        IFERROR(
            VLOOKUP($A17, INDIRECT("NovR!$A$6:$ZZ$1048576"), MATCH(O$1, NovR!$6:$6, 0), FALSE),
            0
        ) +
        IFERROR(
            VLOOKUP($A17, INDIRECT("DicR!$A$6:$ZZ$1048576"), MATCH(O$1, DicR!$6:$6, 0), FALSE),
            0
        )
)</f>
        <v>0</v>
      </c>
      <c r="P17" s="32">
        <f t="array" ref="P17">SUM(
    IFERROR(
            VLOOKUP($A17, INDIRECT("EneR!$A$6:$ZZ$1048576"), MATCH(P$1, EneR!$6:$6, 0), FALSE),
            0
        ) +
        IFERROR(
            VLOOKUP($A17, INDIRECT("FebR!$A$6:$ZZ$1048576"), MATCH(P$1, FebR!$6:$6, 0), FALSE),
            0
        ) +
        IFERROR(
            VLOOKUP($A17, INDIRECT("MarR!$A$6:$ZZ$1048576"), MATCH(P$1, MarR!$6:$6, 0), FALSE),
            0
        ) +
        IFERROR(
            VLOOKUP($A17, INDIRECT("AbrR!$A$6:$ZZ$1048576"), MATCH(P$1, AbrR!$6:$6, 0), FALSE),
            0
        ) +
        IFERROR(
            VLOOKUP($A17, INDIRECT("MayR!$A$6:$ZZ$1048576"), MATCH(P$1, MayR!$6:$6, 0), FALSE),
            0
        ) +
        IFERROR(
            VLOOKUP($A17, INDIRECT("JunR!$A$6:$ZZ$1048576"), MATCH(P$1, JunR!$6:$6, 0), FALSE),
            0
        ) +
        IFERROR(
            VLOOKUP($A17, INDIRECT("JulR!$A$6:$ZZ$1048576"), MATCH(P$1, JulR!$6:$6, 0), FALSE),
            0
        ) +
        IFERROR(
            VLOOKUP($A17, INDIRECT("AgoR!$A$6:$ZZ$1048576"), MATCH(P$1, AgoR!$6:$6, 0), FALSE),
            0
        ) +
        IFERROR(
            VLOOKUP($A17, INDIRECT("SepR!$A$6:$ZZ$1048576"), MATCH(P$1, SepR!$6:$6, 0), FALSE),
            0
        ) +
        IFERROR(
            VLOOKUP($A17, INDIRECT("OctR!$A$6:$ZZ$1048576"), MATCH(P$1, OctR!$6:$6, 0), FALSE),
            0
        ) +
        IFERROR(
            VLOOKUP($A17, INDIRECT("NovR!$A$6:$ZZ$1048576"), MATCH(P$1, NovR!$6:$6, 0), FALSE),
            0
        ) +
        IFERROR(
            VLOOKUP($A17, INDIRECT("DicR!$A$6:$ZZ$1048576"), MATCH(P$1, DicR!$6:$6, 0), FALSE),
            0
        )
)</f>
        <v>0</v>
      </c>
      <c r="Q17" s="35">
        <f t="array" ref="Q17">SUM(
    IFERROR(
            VLOOKUP($A17, INDIRECT("EneR!$A$6:$ZZ$1048576"), MATCH(Q$1, EneR!$6:$6, 0), FALSE),
            0
        ) +
        IFERROR(
            VLOOKUP($A17, INDIRECT("FebR!$A$6:$ZZ$1048576"), MATCH(Q$1, FebR!$6:$6, 0), FALSE),
            0
        ) +
        IFERROR(
            VLOOKUP($A17, INDIRECT("MarR!$A$6:$ZZ$1048576"), MATCH(Q$1, MarR!$6:$6, 0), FALSE),
            0
        ) +
        IFERROR(
            VLOOKUP($A17, INDIRECT("AbrR!$A$6:$ZZ$1048576"), MATCH(Q$1, AbrR!$6:$6, 0), FALSE),
            0
        ) +
        IFERROR(
            VLOOKUP($A17, INDIRECT("MayR!$A$6:$ZZ$1048576"), MATCH(Q$1, MayR!$6:$6, 0), FALSE),
            0
        ) +
        IFERROR(
            VLOOKUP($A17, INDIRECT("JunR!$A$6:$ZZ$1048576"), MATCH(Q$1, JunR!$6:$6, 0), FALSE),
            0
        ) +
        IFERROR(
            VLOOKUP($A17, INDIRECT("JulR!$A$6:$ZZ$1048576"), MATCH(Q$1, JulR!$6:$6, 0), FALSE),
            0
        ) +
        IFERROR(
            VLOOKUP($A17, INDIRECT("AgoR!$A$6:$ZZ$1048576"), MATCH(Q$1, AgoR!$6:$6, 0), FALSE),
            0
        ) +
        IFERROR(
            VLOOKUP($A17, INDIRECT("SepR!$A$6:$ZZ$1048576"), MATCH(Q$1, SepR!$6:$6, 0), FALSE),
            0
        ) +
        IFERROR(
            VLOOKUP($A17, INDIRECT("OctR!$A$6:$ZZ$1048576"), MATCH(Q$1, OctR!$6:$6, 0), FALSE),
            0
        ) +
        IFERROR(
            VLOOKUP($A17, INDIRECT("NovR!$A$6:$ZZ$1048576"), MATCH(Q$1, NovR!$6:$6, 0), FALSE),
            0
        ) +
        IFERROR(
            VLOOKUP($A17, INDIRECT("DicR!$A$6:$ZZ$1048576"), MATCH(Q$1, DicR!$6:$6, 0), FALSE),
            0
        )
)</f>
        <v>0</v>
      </c>
      <c r="R17" s="36">
        <f t="array" ref="R17">SUM(
    IFERROR(
            VLOOKUP($A17, INDIRECT("EneR!$A$6:$ZZ$1048576"), MATCH(R$1, EneR!$6:$6, 0), FALSE),
            0
        ) +
        IFERROR(
            VLOOKUP($A17, INDIRECT("FebR!$A$6:$ZZ$1048576"), MATCH(R$1, FebR!$6:$6, 0), FALSE),
            0
        ) +
        IFERROR(
            VLOOKUP($A17, INDIRECT("MarR!$A$6:$ZZ$1048576"), MATCH(R$1, MarR!$6:$6, 0), FALSE),
            0
        ) +
        IFERROR(
            VLOOKUP($A17, INDIRECT("AbrR!$A$6:$ZZ$1048576"), MATCH(R$1, AbrR!$6:$6, 0), FALSE),
            0
        ) +
        IFERROR(
            VLOOKUP($A17, INDIRECT("MayR!$A$6:$ZZ$1048576"), MATCH(R$1, MayR!$6:$6, 0), FALSE),
            0
        ) +
        IFERROR(
            VLOOKUP($A17, INDIRECT("JunR!$A$6:$ZZ$1048576"), MATCH(R$1, JunR!$6:$6, 0), FALSE),
            0
        ) +
        IFERROR(
            VLOOKUP($A17, INDIRECT("JulR!$A$6:$ZZ$1048576"), MATCH(R$1, JulR!$6:$6, 0), FALSE),
            0
        ) +
        IFERROR(
            VLOOKUP($A17, INDIRECT("AgoR!$A$6:$ZZ$1048576"), MATCH(R$1, AgoR!$6:$6, 0), FALSE),
            0
        ) +
        IFERROR(
            VLOOKUP($A17, INDIRECT("SepR!$A$6:$ZZ$1048576"), MATCH(R$1, SepR!$6:$6, 0), FALSE),
            0
        ) +
        IFERROR(
            VLOOKUP($A17, INDIRECT("OctR!$A$6:$ZZ$1048576"), MATCH(R$1, OctR!$6:$6, 0), FALSE),
            0
        ) +
        IFERROR(
            VLOOKUP($A17, INDIRECT("NovR!$A$6:$ZZ$1048576"), MATCH(R$1, NovR!$6:$6, 0), FALSE),
            0
        ) +
        IFERROR(
            VLOOKUP($A17, INDIRECT("DicR!$A$6:$ZZ$1048576"), MATCH(R$1, DicR!$6:$6, 0), FALSE),
            0
        )
)</f>
        <v>0</v>
      </c>
      <c r="S17" s="37">
        <f t="array" ref="S17">SUM(
    IFERROR(
            VLOOKUP($A17, INDIRECT("EneR!$A$6:$ZZ$1048576"), MATCH(S$1, EneR!$6:$6, 0), FALSE),
            0
        ) +
        IFERROR(
            VLOOKUP($A17, INDIRECT("FebR!$A$6:$ZZ$1048576"), MATCH(S$1, FebR!$6:$6, 0), FALSE),
            0
        ) +
        IFERROR(
            VLOOKUP($A17, INDIRECT("MarR!$A$6:$ZZ$1048576"), MATCH(S$1, MarR!$6:$6, 0), FALSE),
            0
        ) +
        IFERROR(
            VLOOKUP($A17, INDIRECT("AbrR!$A$6:$ZZ$1048576"), MATCH(S$1, AbrR!$6:$6, 0), FALSE),
            0
        ) +
        IFERROR(
            VLOOKUP($A17, INDIRECT("MayR!$A$6:$ZZ$1048576"), MATCH(S$1, MayR!$6:$6, 0), FALSE),
            0
        ) +
        IFERROR(
            VLOOKUP($A17, INDIRECT("JunR!$A$6:$ZZ$1048576"), MATCH(S$1, JunR!$6:$6, 0), FALSE),
            0
        ) +
        IFERROR(
            VLOOKUP($A17, INDIRECT("JulR!$A$6:$ZZ$1048576"), MATCH(S$1, JulR!$6:$6, 0), FALSE),
            0
        ) +
        IFERROR(
            VLOOKUP($A17, INDIRECT("AgoR!$A$6:$ZZ$1048576"), MATCH(S$1, AgoR!$6:$6, 0), FALSE),
            0
        ) +
        IFERROR(
            VLOOKUP($A17, INDIRECT("SepR!$A$6:$ZZ$1048576"), MATCH(S$1, SepR!$6:$6, 0), FALSE),
            0
        ) +
        IFERROR(
            VLOOKUP($A17, INDIRECT("OctR!$A$6:$ZZ$1048576"), MATCH(S$1, OctR!$6:$6, 0), FALSE),
            0
        ) +
        IFERROR(
            VLOOKUP($A17, INDIRECT("NovR!$A$6:$ZZ$1048576"), MATCH(S$1, NovR!$6:$6, 0), FALSE),
            0
        ) +
        IFERROR(
            VLOOKUP($A17, INDIRECT("DicR!$A$6:$ZZ$1048576"), MATCH(S$1, DicR!$6:$6, 0), FALSE),
            0
        )
)</f>
        <v>0</v>
      </c>
      <c r="T17" s="36">
        <f t="array" ref="T17">SUM(
    IFERROR(
            VLOOKUP($A17, INDIRECT("EneR!$A$6:$ZZ$1048576"), MATCH(T$1, EneR!$6:$6, 0), FALSE),
            0
        ) +
        IFERROR(
            VLOOKUP($A17, INDIRECT("FebR!$A$6:$ZZ$1048576"), MATCH(T$1, FebR!$6:$6, 0), FALSE),
            0
        ) +
        IFERROR(
            VLOOKUP($A17, INDIRECT("MarR!$A$6:$ZZ$1048576"), MATCH(T$1, MarR!$6:$6, 0), FALSE),
            0
        ) +
        IFERROR(
            VLOOKUP($A17, INDIRECT("AbrR!$A$6:$ZZ$1048576"), MATCH(T$1, AbrR!$6:$6, 0), FALSE),
            0
        ) +
        IFERROR(
            VLOOKUP($A17, INDIRECT("MayR!$A$6:$ZZ$1048576"), MATCH(T$1, MayR!$6:$6, 0), FALSE),
            0
        ) +
        IFERROR(
            VLOOKUP($A17, INDIRECT("JunR!$A$6:$ZZ$1048576"), MATCH(T$1, JunR!$6:$6, 0), FALSE),
            0
        ) +
        IFERROR(
            VLOOKUP($A17, INDIRECT("JulR!$A$6:$ZZ$1048576"), MATCH(T$1, JulR!$6:$6, 0), FALSE),
            0
        ) +
        IFERROR(
            VLOOKUP($A17, INDIRECT("AgoR!$A$6:$ZZ$1048576"), MATCH(T$1, AgoR!$6:$6, 0), FALSE),
            0
        ) +
        IFERROR(
            VLOOKUP($A17, INDIRECT("SepR!$A$6:$ZZ$1048576"), MATCH(T$1, SepR!$6:$6, 0), FALSE),
            0
        ) +
        IFERROR(
            VLOOKUP($A17, INDIRECT("OctR!$A$6:$ZZ$1048576"), MATCH(T$1, OctR!$6:$6, 0), FALSE),
            0
        ) +
        IFERROR(
            VLOOKUP($A17, INDIRECT("NovR!$A$6:$ZZ$1048576"), MATCH(T$1, NovR!$6:$6, 0), FALSE),
            0
        ) +
        IFERROR(
            VLOOKUP($A17, INDIRECT("DicR!$A$6:$ZZ$1048576"), MATCH(T$1, DicR!$6:$6, 0), FALSE),
            0
        )
)</f>
        <v>0</v>
      </c>
      <c r="U17" s="37">
        <f t="array" ref="U17">SUM(
    IFERROR(
            VLOOKUP($A17, INDIRECT("EneR!$A$6:$ZZ$1048576"), MATCH(U$1, EneR!$6:$6, 0), FALSE),
            0
        ) +
        IFERROR(
            VLOOKUP($A17, INDIRECT("FebR!$A$6:$ZZ$1048576"), MATCH(U$1, FebR!$6:$6, 0), FALSE),
            0
        ) +
        IFERROR(
            VLOOKUP($A17, INDIRECT("MarR!$A$6:$ZZ$1048576"), MATCH(U$1, MarR!$6:$6, 0), FALSE),
            0
        ) +
        IFERROR(
            VLOOKUP($A17, INDIRECT("AbrR!$A$6:$ZZ$1048576"), MATCH(U$1, AbrR!$6:$6, 0), FALSE),
            0
        ) +
        IFERROR(
            VLOOKUP($A17, INDIRECT("MayR!$A$6:$ZZ$1048576"), MATCH(U$1, MayR!$6:$6, 0), FALSE),
            0
        ) +
        IFERROR(
            VLOOKUP($A17, INDIRECT("JunR!$A$6:$ZZ$1048576"), MATCH(U$1, JunR!$6:$6, 0), FALSE),
            0
        ) +
        IFERROR(
            VLOOKUP($A17, INDIRECT("JulR!$A$6:$ZZ$1048576"), MATCH(U$1, JulR!$6:$6, 0), FALSE),
            0
        ) +
        IFERROR(
            VLOOKUP($A17, INDIRECT("AgoR!$A$6:$ZZ$1048576"), MATCH(U$1, AgoR!$6:$6, 0), FALSE),
            0
        ) +
        IFERROR(
            VLOOKUP($A17, INDIRECT("SepR!$A$6:$ZZ$1048576"), MATCH(U$1, SepR!$6:$6, 0), FALSE),
            0
        ) +
        IFERROR(
            VLOOKUP($A17, INDIRECT("OctR!$A$6:$ZZ$1048576"), MATCH(U$1, OctR!$6:$6, 0), FALSE),
            0
        ) +
        IFERROR(
            VLOOKUP($A17, INDIRECT("NovR!$A$6:$ZZ$1048576"), MATCH(U$1, NovR!$6:$6, 0), FALSE),
            0
        ) +
        IFERROR(
            VLOOKUP($A17, INDIRECT("DicR!$A$6:$ZZ$1048576"), MATCH(U$1, DicR!$6:$6, 0), FALSE),
            0
        )
)</f>
        <v>0</v>
      </c>
      <c r="V17" s="36">
        <f t="array" ref="V17">SUM(
    IFERROR(
            VLOOKUP($A17, INDIRECT("EneR!$A$6:$ZZ$1048576"), MATCH(V$1, EneR!$6:$6, 0), FALSE),
            0
        ) +
        IFERROR(
            VLOOKUP($A17, INDIRECT("FebR!$A$6:$ZZ$1048576"), MATCH(V$1, FebR!$6:$6, 0), FALSE),
            0
        ) +
        IFERROR(
            VLOOKUP($A17, INDIRECT("MarR!$A$6:$ZZ$1048576"), MATCH(V$1, MarR!$6:$6, 0), FALSE),
            0
        ) +
        IFERROR(
            VLOOKUP($A17, INDIRECT("AbrR!$A$6:$ZZ$1048576"), MATCH(V$1, AbrR!$6:$6, 0), FALSE),
            0
        ) +
        IFERROR(
            VLOOKUP($A17, INDIRECT("MayR!$A$6:$ZZ$1048576"), MATCH(V$1, MayR!$6:$6, 0), FALSE),
            0
        ) +
        IFERROR(
            VLOOKUP($A17, INDIRECT("JunR!$A$6:$ZZ$1048576"), MATCH(V$1, JunR!$6:$6, 0), FALSE),
            0
        ) +
        IFERROR(
            VLOOKUP($A17, INDIRECT("JulR!$A$6:$ZZ$1048576"), MATCH(V$1, JulR!$6:$6, 0), FALSE),
            0
        ) +
        IFERROR(
            VLOOKUP($A17, INDIRECT("AgoR!$A$6:$ZZ$1048576"), MATCH(V$1, AgoR!$6:$6, 0), FALSE),
            0
        ) +
        IFERROR(
            VLOOKUP($A17, INDIRECT("SepR!$A$6:$ZZ$1048576"), MATCH(V$1, SepR!$6:$6, 0), FALSE),
            0
        ) +
        IFERROR(
            VLOOKUP($A17, INDIRECT("OctR!$A$6:$ZZ$1048576"), MATCH(V$1, OctR!$6:$6, 0), FALSE),
            0
        ) +
        IFERROR(
            VLOOKUP($A17, INDIRECT("NovR!$A$6:$ZZ$1048576"), MATCH(V$1, NovR!$6:$6, 0), FALSE),
            0
        ) +
        IFERROR(
            VLOOKUP($A17, INDIRECT("DicR!$A$6:$ZZ$1048576"), MATCH(V$1, DicR!$6:$6, 0), FALSE),
            0
        )
)</f>
        <v>0</v>
      </c>
      <c r="W17" s="37">
        <f t="array" ref="W17">SUM(
    IFERROR(
            VLOOKUP($A17, INDIRECT("EneR!$A$6:$ZZ$1048576"), MATCH(W$1, EneR!$6:$6, 0), FALSE),
            0
        ) +
        IFERROR(
            VLOOKUP($A17, INDIRECT("FebR!$A$6:$ZZ$1048576"), MATCH(W$1, FebR!$6:$6, 0), FALSE),
            0
        ) +
        IFERROR(
            VLOOKUP($A17, INDIRECT("MarR!$A$6:$ZZ$1048576"), MATCH(W$1, MarR!$6:$6, 0), FALSE),
            0
        ) +
        IFERROR(
            VLOOKUP($A17, INDIRECT("AbrR!$A$6:$ZZ$1048576"), MATCH(W$1, AbrR!$6:$6, 0), FALSE),
            0
        ) +
        IFERROR(
            VLOOKUP($A17, INDIRECT("MayR!$A$6:$ZZ$1048576"), MATCH(W$1, MayR!$6:$6, 0), FALSE),
            0
        ) +
        IFERROR(
            VLOOKUP($A17, INDIRECT("JunR!$A$6:$ZZ$1048576"), MATCH(W$1, JunR!$6:$6, 0), FALSE),
            0
        ) +
        IFERROR(
            VLOOKUP($A17, INDIRECT("JulR!$A$6:$ZZ$1048576"), MATCH(W$1, JulR!$6:$6, 0), FALSE),
            0
        ) +
        IFERROR(
            VLOOKUP($A17, INDIRECT("AgoR!$A$6:$ZZ$1048576"), MATCH(W$1, AgoR!$6:$6, 0), FALSE),
            0
        ) +
        IFERROR(
            VLOOKUP($A17, INDIRECT("SepR!$A$6:$ZZ$1048576"), MATCH(W$1, SepR!$6:$6, 0), FALSE),
            0
        ) +
        IFERROR(
            VLOOKUP($A17, INDIRECT("OctR!$A$6:$ZZ$1048576"), MATCH(W$1, OctR!$6:$6, 0), FALSE),
            0
        ) +
        IFERROR(
            VLOOKUP($A17, INDIRECT("NovR!$A$6:$ZZ$1048576"), MATCH(W$1, NovR!$6:$6, 0), FALSE),
            0
        ) +
        IFERROR(
            VLOOKUP($A17, INDIRECT("DicR!$A$6:$ZZ$1048576"), MATCH(W$1, DicR!$6:$6, 0), FALSE),
            0
        )
)</f>
        <v>0</v>
      </c>
      <c r="X17" s="36">
        <f t="array" ref="X17">SUM(
    IFERROR(
            VLOOKUP($A17, INDIRECT("EneR!$A$6:$ZZ$1048576"), MATCH(X$1, EneR!$6:$6, 0), FALSE),
            0
        ) +
        IFERROR(
            VLOOKUP($A17, INDIRECT("FebR!$A$6:$ZZ$1048576"), MATCH(X$1, FebR!$6:$6, 0), FALSE),
            0
        ) +
        IFERROR(
            VLOOKUP($A17, INDIRECT("MarR!$A$6:$ZZ$1048576"), MATCH(X$1, MarR!$6:$6, 0), FALSE),
            0
        ) +
        IFERROR(
            VLOOKUP($A17, INDIRECT("AbrR!$A$6:$ZZ$1048576"), MATCH(X$1, AbrR!$6:$6, 0), FALSE),
            0
        ) +
        IFERROR(
            VLOOKUP($A17, INDIRECT("MayR!$A$6:$ZZ$1048576"), MATCH(X$1, MayR!$6:$6, 0), FALSE),
            0
        ) +
        IFERROR(
            VLOOKUP($A17, INDIRECT("JunR!$A$6:$ZZ$1048576"), MATCH(X$1, JunR!$6:$6, 0), FALSE),
            0
        ) +
        IFERROR(
            VLOOKUP($A17, INDIRECT("JulR!$A$6:$ZZ$1048576"), MATCH(X$1, JulR!$6:$6, 0), FALSE),
            0
        ) +
        IFERROR(
            VLOOKUP($A17, INDIRECT("AgoR!$A$6:$ZZ$1048576"), MATCH(X$1, AgoR!$6:$6, 0), FALSE),
            0
        ) +
        IFERROR(
            VLOOKUP($A17, INDIRECT("SepR!$A$6:$ZZ$1048576"), MATCH(X$1, SepR!$6:$6, 0), FALSE),
            0
        ) +
        IFERROR(
            VLOOKUP($A17, INDIRECT("OctR!$A$6:$ZZ$1048576"), MATCH(X$1, OctR!$6:$6, 0), FALSE),
            0
        ) +
        IFERROR(
            VLOOKUP($A17, INDIRECT("NovR!$A$6:$ZZ$1048576"), MATCH(X$1, NovR!$6:$6, 0), FALSE),
            0
        ) +
        IFERROR(
            VLOOKUP($A17, INDIRECT("DicR!$A$6:$ZZ$1048576"), MATCH(X$1, DicR!$6:$6, 0), FALSE),
            0
        )
)</f>
        <v>0</v>
      </c>
      <c r="Y17" s="37">
        <f t="array" ref="Y17">SUM(
    IFERROR(
            VLOOKUP($A17, INDIRECT("EneR!$A$6:$ZZ$1048576"), MATCH(Y$1, EneR!$6:$6, 0), FALSE),
            0
        ) +
        IFERROR(
            VLOOKUP($A17, INDIRECT("FebR!$A$6:$ZZ$1048576"), MATCH(Y$1, FebR!$6:$6, 0), FALSE),
            0
        ) +
        IFERROR(
            VLOOKUP($A17, INDIRECT("MarR!$A$6:$ZZ$1048576"), MATCH(Y$1, MarR!$6:$6, 0), FALSE),
            0
        ) +
        IFERROR(
            VLOOKUP($A17, INDIRECT("AbrR!$A$6:$ZZ$1048576"), MATCH(Y$1, AbrR!$6:$6, 0), FALSE),
            0
        ) +
        IFERROR(
            VLOOKUP($A17, INDIRECT("MayR!$A$6:$ZZ$1048576"), MATCH(Y$1, MayR!$6:$6, 0), FALSE),
            0
        ) +
        IFERROR(
            VLOOKUP($A17, INDIRECT("JunR!$A$6:$ZZ$1048576"), MATCH(Y$1, JunR!$6:$6, 0), FALSE),
            0
        ) +
        IFERROR(
            VLOOKUP($A17, INDIRECT("JulR!$A$6:$ZZ$1048576"), MATCH(Y$1, JulR!$6:$6, 0), FALSE),
            0
        ) +
        IFERROR(
            VLOOKUP($A17, INDIRECT("AgoR!$A$6:$ZZ$1048576"), MATCH(Y$1, AgoR!$6:$6, 0), FALSE),
            0
        ) +
        IFERROR(
            VLOOKUP($A17, INDIRECT("SepR!$A$6:$ZZ$1048576"), MATCH(Y$1, SepR!$6:$6, 0), FALSE),
            0
        ) +
        IFERROR(
            VLOOKUP($A17, INDIRECT("OctR!$A$6:$ZZ$1048576"), MATCH(Y$1, OctR!$6:$6, 0), FALSE),
            0
        ) +
        IFERROR(
            VLOOKUP($A17, INDIRECT("NovR!$A$6:$ZZ$1048576"), MATCH(Y$1, NovR!$6:$6, 0), FALSE),
            0
        ) +
        IFERROR(
            VLOOKUP($A17, INDIRECT("DicR!$A$6:$ZZ$1048576"), MATCH(Y$1, DicR!$6:$6, 0), FALSE),
            0
        )
)</f>
        <v>0</v>
      </c>
      <c r="Z17" s="36">
        <f t="array" ref="Z17">SUM(
    IFERROR(
            VLOOKUP($A17, INDIRECT("EneR!$A$6:$ZZ$1048576"), MATCH(Z$1, EneR!$6:$6, 0), FALSE),
            0
        ) +
        IFERROR(
            VLOOKUP($A17, INDIRECT("FebR!$A$6:$ZZ$1048576"), MATCH(Z$1, FebR!$6:$6, 0), FALSE),
            0
        ) +
        IFERROR(
            VLOOKUP($A17, INDIRECT("MarR!$A$6:$ZZ$1048576"), MATCH(Z$1, MarR!$6:$6, 0), FALSE),
            0
        ) +
        IFERROR(
            VLOOKUP($A17, INDIRECT("AbrR!$A$6:$ZZ$1048576"), MATCH(Z$1, AbrR!$6:$6, 0), FALSE),
            0
        ) +
        IFERROR(
            VLOOKUP($A17, INDIRECT("MayR!$A$6:$ZZ$1048576"), MATCH(Z$1, MayR!$6:$6, 0), FALSE),
            0
        ) +
        IFERROR(
            VLOOKUP($A17, INDIRECT("JunR!$A$6:$ZZ$1048576"), MATCH(Z$1, JunR!$6:$6, 0), FALSE),
            0
        ) +
        IFERROR(
            VLOOKUP($A17, INDIRECT("JulR!$A$6:$ZZ$1048576"), MATCH(Z$1, JulR!$6:$6, 0), FALSE),
            0
        ) +
        IFERROR(
            VLOOKUP($A17, INDIRECT("AgoR!$A$6:$ZZ$1048576"), MATCH(Z$1, AgoR!$6:$6, 0), FALSE),
            0
        ) +
        IFERROR(
            VLOOKUP($A17, INDIRECT("SepR!$A$6:$ZZ$1048576"), MATCH(Z$1, SepR!$6:$6, 0), FALSE),
            0
        ) +
        IFERROR(
            VLOOKUP($A17, INDIRECT("OctR!$A$6:$ZZ$1048576"), MATCH(Z$1, OctR!$6:$6, 0), FALSE),
            0
        ) +
        IFERROR(
            VLOOKUP($A17, INDIRECT("NovR!$A$6:$ZZ$1048576"), MATCH(Z$1, NovR!$6:$6, 0), FALSE),
            0
        ) +
        IFERROR(
            VLOOKUP($A17, INDIRECT("DicR!$A$6:$ZZ$1048576"), MATCH(Z$1, DicR!$6:$6, 0), FALSE),
            0
        )
)</f>
        <v>0</v>
      </c>
      <c r="AA17" s="37">
        <f t="array" ref="AA17">SUM(
    IFERROR(
            VLOOKUP($A17, INDIRECT("EneR!$A$6:$ZZ$1048576"), MATCH(AA$1, EneR!$6:$6, 0), FALSE),
            0
        ) +
        IFERROR(
            VLOOKUP($A17, INDIRECT("FebR!$A$6:$ZZ$1048576"), MATCH(AA$1, FebR!$6:$6, 0), FALSE),
            0
        ) +
        IFERROR(
            VLOOKUP($A17, INDIRECT("MarR!$A$6:$ZZ$1048576"), MATCH(AA$1, MarR!$6:$6, 0), FALSE),
            0
        ) +
        IFERROR(
            VLOOKUP($A17, INDIRECT("AbrR!$A$6:$ZZ$1048576"), MATCH(AA$1, AbrR!$6:$6, 0), FALSE),
            0
        ) +
        IFERROR(
            VLOOKUP($A17, INDIRECT("MayR!$A$6:$ZZ$1048576"), MATCH(AA$1, MayR!$6:$6, 0), FALSE),
            0
        ) +
        IFERROR(
            VLOOKUP($A17, INDIRECT("JunR!$A$6:$ZZ$1048576"), MATCH(AA$1, JunR!$6:$6, 0), FALSE),
            0
        ) +
        IFERROR(
            VLOOKUP($A17, INDIRECT("JulR!$A$6:$ZZ$1048576"), MATCH(AA$1, JulR!$6:$6, 0), FALSE),
            0
        ) +
        IFERROR(
            VLOOKUP($A17, INDIRECT("AgoR!$A$6:$ZZ$1048576"), MATCH(AA$1, AgoR!$6:$6, 0), FALSE),
            0
        ) +
        IFERROR(
            VLOOKUP($A17, INDIRECT("SepR!$A$6:$ZZ$1048576"), MATCH(AA$1, SepR!$6:$6, 0), FALSE),
            0
        ) +
        IFERROR(
            VLOOKUP($A17, INDIRECT("OctR!$A$6:$ZZ$1048576"), MATCH(AA$1, OctR!$6:$6, 0), FALSE),
            0
        ) +
        IFERROR(
            VLOOKUP($A17, INDIRECT("NovR!$A$6:$ZZ$1048576"), MATCH(AA$1, NovR!$6:$6, 0), FALSE),
            0
        ) +
        IFERROR(
            VLOOKUP($A17, INDIRECT("DicR!$A$6:$ZZ$1048576"), MATCH(AA$1, DicR!$6:$6, 0), FALSE),
            0
        )
)</f>
        <v>0</v>
      </c>
      <c r="AB17" s="36">
        <f t="array" ref="AB17">SUM(
    IFERROR(
            VLOOKUP($A17, INDIRECT("EneR!$A$6:$ZZ$1048576"), MATCH(AB$1, EneR!$6:$6, 0), FALSE),
            0
        ) +
        IFERROR(
            VLOOKUP($A17, INDIRECT("FebR!$A$6:$ZZ$1048576"), MATCH(AB$1, FebR!$6:$6, 0), FALSE),
            0
        ) +
        IFERROR(
            VLOOKUP($A17, INDIRECT("MarR!$A$6:$ZZ$1048576"), MATCH(AB$1, MarR!$6:$6, 0), FALSE),
            0
        ) +
        IFERROR(
            VLOOKUP($A17, INDIRECT("AbrR!$A$6:$ZZ$1048576"), MATCH(AB$1, AbrR!$6:$6, 0), FALSE),
            0
        ) +
        IFERROR(
            VLOOKUP($A17, INDIRECT("MayR!$A$6:$ZZ$1048576"), MATCH(AB$1, MayR!$6:$6, 0), FALSE),
            0
        ) +
        IFERROR(
            VLOOKUP($A17, INDIRECT("JunR!$A$6:$ZZ$1048576"), MATCH(AB$1, JunR!$6:$6, 0), FALSE),
            0
        ) +
        IFERROR(
            VLOOKUP($A17, INDIRECT("JulR!$A$6:$ZZ$1048576"), MATCH(AB$1, JulR!$6:$6, 0), FALSE),
            0
        ) +
        IFERROR(
            VLOOKUP($A17, INDIRECT("AgoR!$A$6:$ZZ$1048576"), MATCH(AB$1, AgoR!$6:$6, 0), FALSE),
            0
        ) +
        IFERROR(
            VLOOKUP($A17, INDIRECT("SepR!$A$6:$ZZ$1048576"), MATCH(AB$1, SepR!$6:$6, 0), FALSE),
            0
        ) +
        IFERROR(
            VLOOKUP($A17, INDIRECT("OctR!$A$6:$ZZ$1048576"), MATCH(AB$1, OctR!$6:$6, 0), FALSE),
            0
        ) +
        IFERROR(
            VLOOKUP($A17, INDIRECT("NovR!$A$6:$ZZ$1048576"), MATCH(AB$1, NovR!$6:$6, 0), FALSE),
            0
        ) +
        IFERROR(
            VLOOKUP($A17, INDIRECT("DicR!$A$6:$ZZ$1048576"), MATCH(AB$1, DicR!$6:$6, 0), FALSE),
            0
        )
)</f>
        <v>0</v>
      </c>
      <c r="AC17" s="37">
        <f t="array" ref="AC17">SUM(
    IFERROR(
            VLOOKUP($A17, INDIRECT("EneR!$A$6:$ZZ$1048576"), MATCH(AC$1, EneR!$6:$6, 0), FALSE),
            0
        ) +
        IFERROR(
            VLOOKUP($A17, INDIRECT("FebR!$A$6:$ZZ$1048576"), MATCH(AC$1, FebR!$6:$6, 0), FALSE),
            0
        ) +
        IFERROR(
            VLOOKUP($A17, INDIRECT("MarR!$A$6:$ZZ$1048576"), MATCH(AC$1, MarR!$6:$6, 0), FALSE),
            0
        ) +
        IFERROR(
            VLOOKUP($A17, INDIRECT("AbrR!$A$6:$ZZ$1048576"), MATCH(AC$1, AbrR!$6:$6, 0), FALSE),
            0
        ) +
        IFERROR(
            VLOOKUP($A17, INDIRECT("MayR!$A$6:$ZZ$1048576"), MATCH(AC$1, MayR!$6:$6, 0), FALSE),
            0
        ) +
        IFERROR(
            VLOOKUP($A17, INDIRECT("JunR!$A$6:$ZZ$1048576"), MATCH(AC$1, JunR!$6:$6, 0), FALSE),
            0
        ) +
        IFERROR(
            VLOOKUP($A17, INDIRECT("JulR!$A$6:$ZZ$1048576"), MATCH(AC$1, JulR!$6:$6, 0), FALSE),
            0
        ) +
        IFERROR(
            VLOOKUP($A17, INDIRECT("AgoR!$A$6:$ZZ$1048576"), MATCH(AC$1, AgoR!$6:$6, 0), FALSE),
            0
        ) +
        IFERROR(
            VLOOKUP($A17, INDIRECT("SepR!$A$6:$ZZ$1048576"), MATCH(AC$1, SepR!$6:$6, 0), FALSE),
            0
        ) +
        IFERROR(
            VLOOKUP($A17, INDIRECT("OctR!$A$6:$ZZ$1048576"), MATCH(AC$1, OctR!$6:$6, 0), FALSE),
            0
        ) +
        IFERROR(
            VLOOKUP($A17, INDIRECT("NovR!$A$6:$ZZ$1048576"), MATCH(AC$1, NovR!$6:$6, 0), FALSE),
            0
        ) +
        IFERROR(
            VLOOKUP($A17, INDIRECT("DicR!$A$6:$ZZ$1048576"), MATCH(AC$1, DicR!$6:$6, 0), FALSE),
            0
        )
)</f>
        <v>0</v>
      </c>
      <c r="AD17" s="36">
        <f t="array" ref="AD17">SUM(
    IFERROR(
            VLOOKUP($A17, INDIRECT("EneR!$A$6:$ZZ$1048576"), MATCH(AD$1, EneR!$6:$6, 0), FALSE),
            0
        ) +
        IFERROR(
            VLOOKUP($A17, INDIRECT("FebR!$A$6:$ZZ$1048576"), MATCH(AD$1, FebR!$6:$6, 0), FALSE),
            0
        ) +
        IFERROR(
            VLOOKUP($A17, INDIRECT("MarR!$A$6:$ZZ$1048576"), MATCH(AD$1, MarR!$6:$6, 0), FALSE),
            0
        ) +
        IFERROR(
            VLOOKUP($A17, INDIRECT("AbrR!$A$6:$ZZ$1048576"), MATCH(AD$1, AbrR!$6:$6, 0), FALSE),
            0
        ) +
        IFERROR(
            VLOOKUP($A17, INDIRECT("MayR!$A$6:$ZZ$1048576"), MATCH(AD$1, MayR!$6:$6, 0), FALSE),
            0
        ) +
        IFERROR(
            VLOOKUP($A17, INDIRECT("JunR!$A$6:$ZZ$1048576"), MATCH(AD$1, JunR!$6:$6, 0), FALSE),
            0
        ) +
        IFERROR(
            VLOOKUP($A17, INDIRECT("JulR!$A$6:$ZZ$1048576"), MATCH(AD$1, JulR!$6:$6, 0), FALSE),
            0
        ) +
        IFERROR(
            VLOOKUP($A17, INDIRECT("AgoR!$A$6:$ZZ$1048576"), MATCH(AD$1, AgoR!$6:$6, 0), FALSE),
            0
        ) +
        IFERROR(
            VLOOKUP($A17, INDIRECT("SepR!$A$6:$ZZ$1048576"), MATCH(AD$1, SepR!$6:$6, 0), FALSE),
            0
        ) +
        IFERROR(
            VLOOKUP($A17, INDIRECT("OctR!$A$6:$ZZ$1048576"), MATCH(AD$1, OctR!$6:$6, 0), FALSE),
            0
        ) +
        IFERROR(
            VLOOKUP($A17, INDIRECT("NovR!$A$6:$ZZ$1048576"), MATCH(AD$1, NovR!$6:$6, 0), FALSE),
            0
        ) +
        IFERROR(
            VLOOKUP($A17, INDIRECT("DicR!$A$6:$ZZ$1048576"), MATCH(AD$1, DicR!$6:$6, 0), FALSE),
            0
        )
)</f>
        <v>0</v>
      </c>
      <c r="AE17" s="37">
        <f t="array" ref="AE17">SUM(
    IFERROR(
            VLOOKUP($A17, INDIRECT("EneR!$A$6:$ZZ$1048576"), MATCH(AE$1, EneR!$6:$6, 0), FALSE),
            0
        ) +
        IFERROR(
            VLOOKUP($A17, INDIRECT("FebR!$A$6:$ZZ$1048576"), MATCH(AE$1, FebR!$6:$6, 0), FALSE),
            0
        ) +
        IFERROR(
            VLOOKUP($A17, INDIRECT("MarR!$A$6:$ZZ$1048576"), MATCH(AE$1, MarR!$6:$6, 0), FALSE),
            0
        ) +
        IFERROR(
            VLOOKUP($A17, INDIRECT("AbrR!$A$6:$ZZ$1048576"), MATCH(AE$1, AbrR!$6:$6, 0), FALSE),
            0
        ) +
        IFERROR(
            VLOOKUP($A17, INDIRECT("MayR!$A$6:$ZZ$1048576"), MATCH(AE$1, MayR!$6:$6, 0), FALSE),
            0
        ) +
        IFERROR(
            VLOOKUP($A17, INDIRECT("JunR!$A$6:$ZZ$1048576"), MATCH(AE$1, JunR!$6:$6, 0), FALSE),
            0
        ) +
        IFERROR(
            VLOOKUP($A17, INDIRECT("JulR!$A$6:$ZZ$1048576"), MATCH(AE$1, JulR!$6:$6, 0), FALSE),
            0
        ) +
        IFERROR(
            VLOOKUP($A17, INDIRECT("AgoR!$A$6:$ZZ$1048576"), MATCH(AE$1, AgoR!$6:$6, 0), FALSE),
            0
        ) +
        IFERROR(
            VLOOKUP($A17, INDIRECT("SepR!$A$6:$ZZ$1048576"), MATCH(AE$1, SepR!$6:$6, 0), FALSE),
            0
        ) +
        IFERROR(
            VLOOKUP($A17, INDIRECT("OctR!$A$6:$ZZ$1048576"), MATCH(AE$1, OctR!$6:$6, 0), FALSE),
            0
        ) +
        IFERROR(
            VLOOKUP($A17, INDIRECT("NovR!$A$6:$ZZ$1048576"), MATCH(AE$1, NovR!$6:$6, 0), FALSE),
            0
        ) +
        IFERROR(
            VLOOKUP($A17, INDIRECT("DicR!$A$6:$ZZ$1048576"), MATCH(AE$1, DicR!$6:$6, 0), FALSE),
            0
        )
)</f>
        <v>0</v>
      </c>
      <c r="AF17" s="36">
        <f t="array" ref="AF17">SUM(
    IFERROR(
            VLOOKUP($A17, INDIRECT("EneR!$A$6:$ZZ$1048576"), MATCH(AF$1, EneR!$6:$6, 0), FALSE),
            0
        ) +
        IFERROR(
            VLOOKUP($A17, INDIRECT("FebR!$A$6:$ZZ$1048576"), MATCH(AF$1, FebR!$6:$6, 0), FALSE),
            0
        ) +
        IFERROR(
            VLOOKUP($A17, INDIRECT("MarR!$A$6:$ZZ$1048576"), MATCH(AF$1, MarR!$6:$6, 0), FALSE),
            0
        ) +
        IFERROR(
            VLOOKUP($A17, INDIRECT("AbrR!$A$6:$ZZ$1048576"), MATCH(AF$1, AbrR!$6:$6, 0), FALSE),
            0
        ) +
        IFERROR(
            VLOOKUP($A17, INDIRECT("MayR!$A$6:$ZZ$1048576"), MATCH(AF$1, MayR!$6:$6, 0), FALSE),
            0
        ) +
        IFERROR(
            VLOOKUP($A17, INDIRECT("JunR!$A$6:$ZZ$1048576"), MATCH(AF$1, JunR!$6:$6, 0), FALSE),
            0
        ) +
        IFERROR(
            VLOOKUP($A17, INDIRECT("JulR!$A$6:$ZZ$1048576"), MATCH(AF$1, JulR!$6:$6, 0), FALSE),
            0
        ) +
        IFERROR(
            VLOOKUP($A17, INDIRECT("AgoR!$A$6:$ZZ$1048576"), MATCH(AF$1, AgoR!$6:$6, 0), FALSE),
            0
        ) +
        IFERROR(
            VLOOKUP($A17, INDIRECT("SepR!$A$6:$ZZ$1048576"), MATCH(AF$1, SepR!$6:$6, 0), FALSE),
            0
        ) +
        IFERROR(
            VLOOKUP($A17, INDIRECT("OctR!$A$6:$ZZ$1048576"), MATCH(AF$1, OctR!$6:$6, 0), FALSE),
            0
        ) +
        IFERROR(
            VLOOKUP($A17, INDIRECT("NovR!$A$6:$ZZ$1048576"), MATCH(AF$1, NovR!$6:$6, 0), FALSE),
            0
        ) +
        IFERROR(
            VLOOKUP($A17, INDIRECT("DicR!$A$6:$ZZ$1048576"), MATCH(AF$1, DicR!$6:$6, 0), FALSE),
            0
        )
)</f>
        <v>0</v>
      </c>
      <c r="AG17" s="37">
        <f t="array" ref="AG17">SUM(
    IFERROR(
            VLOOKUP($A17, INDIRECT("EneR!$A$6:$ZZ$1048576"), MATCH(AG$1, EneR!$6:$6, 0), FALSE),
            0
        ) +
        IFERROR(
            VLOOKUP($A17, INDIRECT("FebR!$A$6:$ZZ$1048576"), MATCH(AG$1, FebR!$6:$6, 0), FALSE),
            0
        ) +
        IFERROR(
            VLOOKUP($A17, INDIRECT("MarR!$A$6:$ZZ$1048576"), MATCH(AG$1, MarR!$6:$6, 0), FALSE),
            0
        ) +
        IFERROR(
            VLOOKUP($A17, INDIRECT("AbrR!$A$6:$ZZ$1048576"), MATCH(AG$1, AbrR!$6:$6, 0), FALSE),
            0
        ) +
        IFERROR(
            VLOOKUP($A17, INDIRECT("MayR!$A$6:$ZZ$1048576"), MATCH(AG$1, MayR!$6:$6, 0), FALSE),
            0
        ) +
        IFERROR(
            VLOOKUP($A17, INDIRECT("JunR!$A$6:$ZZ$1048576"), MATCH(AG$1, JunR!$6:$6, 0), FALSE),
            0
        ) +
        IFERROR(
            VLOOKUP($A17, INDIRECT("JulR!$A$6:$ZZ$1048576"), MATCH(AG$1, JulR!$6:$6, 0), FALSE),
            0
        ) +
        IFERROR(
            VLOOKUP($A17, INDIRECT("AgoR!$A$6:$ZZ$1048576"), MATCH(AG$1, AgoR!$6:$6, 0), FALSE),
            0
        ) +
        IFERROR(
            VLOOKUP($A17, INDIRECT("SepR!$A$6:$ZZ$1048576"), MATCH(AG$1, SepR!$6:$6, 0), FALSE),
            0
        ) +
        IFERROR(
            VLOOKUP($A17, INDIRECT("OctR!$A$6:$ZZ$1048576"), MATCH(AG$1, OctR!$6:$6, 0), FALSE),
            0
        ) +
        IFERROR(
            VLOOKUP($A17, INDIRECT("NovR!$A$6:$ZZ$1048576"), MATCH(AG$1, NovR!$6:$6, 0), FALSE),
            0
        ) +
        IFERROR(
            VLOOKUP($A17, INDIRECT("DicR!$A$6:$ZZ$1048576"), MATCH(AG$1, DicR!$6:$6, 0), FALSE),
            0
        )
)</f>
        <v>0</v>
      </c>
      <c r="AH17" s="36">
        <f t="array" ref="AH17">SUM(
    IFERROR(
            VLOOKUP($A17, INDIRECT("EneR!$A$6:$ZZ$1048576"), MATCH(AH$1, EneR!$6:$6, 0), FALSE),
            0
        ) +
        IFERROR(
            VLOOKUP($A17, INDIRECT("FebR!$A$6:$ZZ$1048576"), MATCH(AH$1, FebR!$6:$6, 0), FALSE),
            0
        ) +
        IFERROR(
            VLOOKUP($A17, INDIRECT("MarR!$A$6:$ZZ$1048576"), MATCH(AH$1, MarR!$6:$6, 0), FALSE),
            0
        ) +
        IFERROR(
            VLOOKUP($A17, INDIRECT("AbrR!$A$6:$ZZ$1048576"), MATCH(AH$1, AbrR!$6:$6, 0), FALSE),
            0
        ) +
        IFERROR(
            VLOOKUP($A17, INDIRECT("MayR!$A$6:$ZZ$1048576"), MATCH(AH$1, MayR!$6:$6, 0), FALSE),
            0
        ) +
        IFERROR(
            VLOOKUP($A17, INDIRECT("JunR!$A$6:$ZZ$1048576"), MATCH(AH$1, JunR!$6:$6, 0), FALSE),
            0
        ) +
        IFERROR(
            VLOOKUP($A17, INDIRECT("JulR!$A$6:$ZZ$1048576"), MATCH(AH$1, JulR!$6:$6, 0), FALSE),
            0
        ) +
        IFERROR(
            VLOOKUP($A17, INDIRECT("AgoR!$A$6:$ZZ$1048576"), MATCH(AH$1, AgoR!$6:$6, 0), FALSE),
            0
        ) +
        IFERROR(
            VLOOKUP($A17, INDIRECT("SepR!$A$6:$ZZ$1048576"), MATCH(AH$1, SepR!$6:$6, 0), FALSE),
            0
        ) +
        IFERROR(
            VLOOKUP($A17, INDIRECT("OctR!$A$6:$ZZ$1048576"), MATCH(AH$1, OctR!$6:$6, 0), FALSE),
            0
        ) +
        IFERROR(
            VLOOKUP($A17, INDIRECT("NovR!$A$6:$ZZ$1048576"), MATCH(AH$1, NovR!$6:$6, 0), FALSE),
            0
        ) +
        IFERROR(
            VLOOKUP($A17, INDIRECT("DicR!$A$6:$ZZ$1048576"), MATCH(AH$1, DicR!$6:$6, 0), FALSE),
            0
        )
)</f>
        <v>0</v>
      </c>
      <c r="AI17" s="37">
        <f t="array" ref="AI17">SUM(
    IFERROR(
            VLOOKUP($A17, INDIRECT("EneR!$A$6:$ZZ$1048576"), MATCH(AI$1, EneR!$6:$6, 0), FALSE),
            0
        ) +
        IFERROR(
            VLOOKUP($A17, INDIRECT("FebR!$A$6:$ZZ$1048576"), MATCH(AI$1, FebR!$6:$6, 0), FALSE),
            0
        ) +
        IFERROR(
            VLOOKUP($A17, INDIRECT("MarR!$A$6:$ZZ$1048576"), MATCH(AI$1, MarR!$6:$6, 0), FALSE),
            0
        ) +
        IFERROR(
            VLOOKUP($A17, INDIRECT("AbrR!$A$6:$ZZ$1048576"), MATCH(AI$1, AbrR!$6:$6, 0), FALSE),
            0
        ) +
        IFERROR(
            VLOOKUP($A17, INDIRECT("MayR!$A$6:$ZZ$1048576"), MATCH(AI$1, MayR!$6:$6, 0), FALSE),
            0
        ) +
        IFERROR(
            VLOOKUP($A17, INDIRECT("JunR!$A$6:$ZZ$1048576"), MATCH(AI$1, JunR!$6:$6, 0), FALSE),
            0
        ) +
        IFERROR(
            VLOOKUP($A17, INDIRECT("JulR!$A$6:$ZZ$1048576"), MATCH(AI$1, JulR!$6:$6, 0), FALSE),
            0
        ) +
        IFERROR(
            VLOOKUP($A17, INDIRECT("AgoR!$A$6:$ZZ$1048576"), MATCH(AI$1, AgoR!$6:$6, 0), FALSE),
            0
        ) +
        IFERROR(
            VLOOKUP($A17, INDIRECT("SepR!$A$6:$ZZ$1048576"), MATCH(AI$1, SepR!$6:$6, 0), FALSE),
            0
        ) +
        IFERROR(
            VLOOKUP($A17, INDIRECT("OctR!$A$6:$ZZ$1048576"), MATCH(AI$1, OctR!$6:$6, 0), FALSE),
            0
        ) +
        IFERROR(
            VLOOKUP($A17, INDIRECT("NovR!$A$6:$ZZ$1048576"), MATCH(AI$1, NovR!$6:$6, 0), FALSE),
            0
        ) +
        IFERROR(
            VLOOKUP($A17, INDIRECT("DicR!$A$6:$ZZ$1048576"), MATCH(AI$1, DicR!$6:$6, 0), FALSE),
            0
        )
)</f>
        <v>0</v>
      </c>
      <c r="AJ17" s="36">
        <f t="array" ref="AJ17">SUM(
    IFERROR(
            VLOOKUP($A17, INDIRECT("EneR!$A$6:$ZZ$1048576"), MATCH(AJ$1, EneR!$6:$6, 0), FALSE),
            0
        ) +
        IFERROR(
            VLOOKUP($A17, INDIRECT("FebR!$A$6:$ZZ$1048576"), MATCH(AJ$1, FebR!$6:$6, 0), FALSE),
            0
        ) +
        IFERROR(
            VLOOKUP($A17, INDIRECT("MarR!$A$6:$ZZ$1048576"), MATCH(AJ$1, MarR!$6:$6, 0), FALSE),
            0
        ) +
        IFERROR(
            VLOOKUP($A17, INDIRECT("AbrR!$A$6:$ZZ$1048576"), MATCH(AJ$1, AbrR!$6:$6, 0), FALSE),
            0
        ) +
        IFERROR(
            VLOOKUP($A17, INDIRECT("MayR!$A$6:$ZZ$1048576"), MATCH(AJ$1, MayR!$6:$6, 0), FALSE),
            0
        ) +
        IFERROR(
            VLOOKUP($A17, INDIRECT("JunR!$A$6:$ZZ$1048576"), MATCH(AJ$1, JunR!$6:$6, 0), FALSE),
            0
        ) +
        IFERROR(
            VLOOKUP($A17, INDIRECT("JulR!$A$6:$ZZ$1048576"), MATCH(AJ$1, JulR!$6:$6, 0), FALSE),
            0
        ) +
        IFERROR(
            VLOOKUP($A17, INDIRECT("AgoR!$A$6:$ZZ$1048576"), MATCH(AJ$1, AgoR!$6:$6, 0), FALSE),
            0
        ) +
        IFERROR(
            VLOOKUP($A17, INDIRECT("SepR!$A$6:$ZZ$1048576"), MATCH(AJ$1, SepR!$6:$6, 0), FALSE),
            0
        ) +
        IFERROR(
            VLOOKUP($A17, INDIRECT("OctR!$A$6:$ZZ$1048576"), MATCH(AJ$1, OctR!$6:$6, 0), FALSE),
            0
        ) +
        IFERROR(
            VLOOKUP($A17, INDIRECT("NovR!$A$6:$ZZ$1048576"), MATCH(AJ$1, NovR!$6:$6, 0), FALSE),
            0
        ) +
        IFERROR(
            VLOOKUP($A17, INDIRECT("DicR!$A$6:$ZZ$1048576"), MATCH(AJ$1, DicR!$6:$6, 0), FALSE),
            0
        )
)</f>
        <v>0</v>
      </c>
      <c r="AK17" s="37">
        <f t="array" ref="AK17">SUM(
    IFERROR(
            VLOOKUP($A17, INDIRECT("EneR!$A$6:$ZZ$1048576"), MATCH(AK$1, EneR!$6:$6, 0), FALSE),
            0
        ) +
        IFERROR(
            VLOOKUP($A17, INDIRECT("FebR!$A$6:$ZZ$1048576"), MATCH(AK$1, FebR!$6:$6, 0), FALSE),
            0
        ) +
        IFERROR(
            VLOOKUP($A17, INDIRECT("MarR!$A$6:$ZZ$1048576"), MATCH(AK$1, MarR!$6:$6, 0), FALSE),
            0
        ) +
        IFERROR(
            VLOOKUP($A17, INDIRECT("AbrR!$A$6:$ZZ$1048576"), MATCH(AK$1, AbrR!$6:$6, 0), FALSE),
            0
        ) +
        IFERROR(
            VLOOKUP($A17, INDIRECT("MayR!$A$6:$ZZ$1048576"), MATCH(AK$1, MayR!$6:$6, 0), FALSE),
            0
        ) +
        IFERROR(
            VLOOKUP($A17, INDIRECT("JunR!$A$6:$ZZ$1048576"), MATCH(AK$1, JunR!$6:$6, 0), FALSE),
            0
        ) +
        IFERROR(
            VLOOKUP($A17, INDIRECT("JulR!$A$6:$ZZ$1048576"), MATCH(AK$1, JulR!$6:$6, 0), FALSE),
            0
        ) +
        IFERROR(
            VLOOKUP($A17, INDIRECT("AgoR!$A$6:$ZZ$1048576"), MATCH(AK$1, AgoR!$6:$6, 0), FALSE),
            0
        ) +
        IFERROR(
            VLOOKUP($A17, INDIRECT("SepR!$A$6:$ZZ$1048576"), MATCH(AK$1, SepR!$6:$6, 0), FALSE),
            0
        ) +
        IFERROR(
            VLOOKUP($A17, INDIRECT("OctR!$A$6:$ZZ$1048576"), MATCH(AK$1, OctR!$6:$6, 0), FALSE),
            0
        ) +
        IFERROR(
            VLOOKUP($A17, INDIRECT("NovR!$A$6:$ZZ$1048576"), MATCH(AK$1, NovR!$6:$6, 0), FALSE),
            0
        ) +
        IFERROR(
            VLOOKUP($A17, INDIRECT("DicR!$A$6:$ZZ$1048576"), MATCH(AK$1, DicR!$6:$6, 0), FALSE),
            0
        )
)</f>
        <v>0</v>
      </c>
      <c r="AL17" s="36">
        <f t="array" ref="AL17">SUM(
    IFERROR(
            VLOOKUP($A17, INDIRECT("EneR!$A$6:$ZZ$1048576"), MATCH(AL$1, EneR!$6:$6, 0), FALSE),
            0
        ) +
        IFERROR(
            VLOOKUP($A17, INDIRECT("FebR!$A$6:$ZZ$1048576"), MATCH(AL$1, FebR!$6:$6, 0), FALSE),
            0
        ) +
        IFERROR(
            VLOOKUP($A17, INDIRECT("MarR!$A$6:$ZZ$1048576"), MATCH(AL$1, MarR!$6:$6, 0), FALSE),
            0
        ) +
        IFERROR(
            VLOOKUP($A17, INDIRECT("AbrR!$A$6:$ZZ$1048576"), MATCH(AL$1, AbrR!$6:$6, 0), FALSE),
            0
        ) +
        IFERROR(
            VLOOKUP($A17, INDIRECT("MayR!$A$6:$ZZ$1048576"), MATCH(AL$1, MayR!$6:$6, 0), FALSE),
            0
        ) +
        IFERROR(
            VLOOKUP($A17, INDIRECT("JunR!$A$6:$ZZ$1048576"), MATCH(AL$1, JunR!$6:$6, 0), FALSE),
            0
        ) +
        IFERROR(
            VLOOKUP($A17, INDIRECT("JulR!$A$6:$ZZ$1048576"), MATCH(AL$1, JulR!$6:$6, 0), FALSE),
            0
        ) +
        IFERROR(
            VLOOKUP($A17, INDIRECT("AgoR!$A$6:$ZZ$1048576"), MATCH(AL$1, AgoR!$6:$6, 0), FALSE),
            0
        ) +
        IFERROR(
            VLOOKUP($A17, INDIRECT("SepR!$A$6:$ZZ$1048576"), MATCH(AL$1, SepR!$6:$6, 0), FALSE),
            0
        ) +
        IFERROR(
            VLOOKUP($A17, INDIRECT("OctR!$A$6:$ZZ$1048576"), MATCH(AL$1, OctR!$6:$6, 0), FALSE),
            0
        ) +
        IFERROR(
            VLOOKUP($A17, INDIRECT("NovR!$A$6:$ZZ$1048576"), MATCH(AL$1, NovR!$6:$6, 0), FALSE),
            0
        ) +
        IFERROR(
            VLOOKUP($A17, INDIRECT("DicR!$A$6:$ZZ$1048576"), MATCH(AL$1, DicR!$6:$6, 0), FALSE),
            0
        )
)</f>
        <v>0</v>
      </c>
      <c r="AM17" s="37">
        <f t="array" ref="AM17">SUM(
    IFERROR(
            VLOOKUP($A17, INDIRECT("EneR!$A$6:$ZZ$1048576"), MATCH(AM$1, EneR!$6:$6, 0), FALSE),
            0
        ) +
        IFERROR(
            VLOOKUP($A17, INDIRECT("FebR!$A$6:$ZZ$1048576"), MATCH(AM$1, FebR!$6:$6, 0), FALSE),
            0
        ) +
        IFERROR(
            VLOOKUP($A17, INDIRECT("MarR!$A$6:$ZZ$1048576"), MATCH(AM$1, MarR!$6:$6, 0), FALSE),
            0
        ) +
        IFERROR(
            VLOOKUP($A17, INDIRECT("AbrR!$A$6:$ZZ$1048576"), MATCH(AM$1, AbrR!$6:$6, 0), FALSE),
            0
        ) +
        IFERROR(
            VLOOKUP($A17, INDIRECT("MayR!$A$6:$ZZ$1048576"), MATCH(AM$1, MayR!$6:$6, 0), FALSE),
            0
        ) +
        IFERROR(
            VLOOKUP($A17, INDIRECT("JunR!$A$6:$ZZ$1048576"), MATCH(AM$1, JunR!$6:$6, 0), FALSE),
            0
        ) +
        IFERROR(
            VLOOKUP($A17, INDIRECT("JulR!$A$6:$ZZ$1048576"), MATCH(AM$1, JulR!$6:$6, 0), FALSE),
            0
        ) +
        IFERROR(
            VLOOKUP($A17, INDIRECT("AgoR!$A$6:$ZZ$1048576"), MATCH(AM$1, AgoR!$6:$6, 0), FALSE),
            0
        ) +
        IFERROR(
            VLOOKUP($A17, INDIRECT("SepR!$A$6:$ZZ$1048576"), MATCH(AM$1, SepR!$6:$6, 0), FALSE),
            0
        ) +
        IFERROR(
            VLOOKUP($A17, INDIRECT("OctR!$A$6:$ZZ$1048576"), MATCH(AM$1, OctR!$6:$6, 0), FALSE),
            0
        ) +
        IFERROR(
            VLOOKUP($A17, INDIRECT("NovR!$A$6:$ZZ$1048576"), MATCH(AM$1, NovR!$6:$6, 0), FALSE),
            0
        ) +
        IFERROR(
            VLOOKUP($A17, INDIRECT("DicR!$A$6:$ZZ$1048576"), MATCH(AM$1, DicR!$6:$6, 0), FALSE),
            0
        )
)</f>
        <v>0</v>
      </c>
      <c r="AN17" s="36">
        <f t="array" ref="AN17">SUM(
    IFERROR(
            VLOOKUP($A17, INDIRECT("EneR!$A$6:$ZZ$1048576"), MATCH(AN$1, EneR!$6:$6, 0), FALSE),
            0
        ) +
        IFERROR(
            VLOOKUP($A17, INDIRECT("FebR!$A$6:$ZZ$1048576"), MATCH(AN$1, FebR!$6:$6, 0), FALSE),
            0
        ) +
        IFERROR(
            VLOOKUP($A17, INDIRECT("MarR!$A$6:$ZZ$1048576"), MATCH(AN$1, MarR!$6:$6, 0), FALSE),
            0
        ) +
        IFERROR(
            VLOOKUP($A17, INDIRECT("AbrR!$A$6:$ZZ$1048576"), MATCH(AN$1, AbrR!$6:$6, 0), FALSE),
            0
        ) +
        IFERROR(
            VLOOKUP($A17, INDIRECT("MayR!$A$6:$ZZ$1048576"), MATCH(AN$1, MayR!$6:$6, 0), FALSE),
            0
        ) +
        IFERROR(
            VLOOKUP($A17, INDIRECT("JunR!$A$6:$ZZ$1048576"), MATCH(AN$1, JunR!$6:$6, 0), FALSE),
            0
        ) +
        IFERROR(
            VLOOKUP($A17, INDIRECT("JulR!$A$6:$ZZ$1048576"), MATCH(AN$1, JulR!$6:$6, 0), FALSE),
            0
        ) +
        IFERROR(
            VLOOKUP($A17, INDIRECT("AgoR!$A$6:$ZZ$1048576"), MATCH(AN$1, AgoR!$6:$6, 0), FALSE),
            0
        ) +
        IFERROR(
            VLOOKUP($A17, INDIRECT("SepR!$A$6:$ZZ$1048576"), MATCH(AN$1, SepR!$6:$6, 0), FALSE),
            0
        ) +
        IFERROR(
            VLOOKUP($A17, INDIRECT("OctR!$A$6:$ZZ$1048576"), MATCH(AN$1, OctR!$6:$6, 0), FALSE),
            0
        ) +
        IFERROR(
            VLOOKUP($A17, INDIRECT("NovR!$A$6:$ZZ$1048576"), MATCH(AN$1, NovR!$6:$6, 0), FALSE),
            0
        ) +
        IFERROR(
            VLOOKUP($A17, INDIRECT("DicR!$A$6:$ZZ$1048576"), MATCH(AN$1, DicR!$6:$6, 0), FALSE),
            0
        )
)</f>
        <v>0</v>
      </c>
      <c r="AO17" s="37">
        <f t="array" ref="AO17">SUM(
    IFERROR(
            VLOOKUP($A17, INDIRECT("EneR!$A$6:$ZZ$1048576"), MATCH(AO$1, EneR!$6:$6, 0), FALSE),
            0
        ) +
        IFERROR(
            VLOOKUP($A17, INDIRECT("FebR!$A$6:$ZZ$1048576"), MATCH(AO$1, FebR!$6:$6, 0), FALSE),
            0
        ) +
        IFERROR(
            VLOOKUP($A17, INDIRECT("MarR!$A$6:$ZZ$1048576"), MATCH(AO$1, MarR!$6:$6, 0), FALSE),
            0
        ) +
        IFERROR(
            VLOOKUP($A17, INDIRECT("AbrR!$A$6:$ZZ$1048576"), MATCH(AO$1, AbrR!$6:$6, 0), FALSE),
            0
        ) +
        IFERROR(
            VLOOKUP($A17, INDIRECT("MayR!$A$6:$ZZ$1048576"), MATCH(AO$1, MayR!$6:$6, 0), FALSE),
            0
        ) +
        IFERROR(
            VLOOKUP($A17, INDIRECT("JunR!$A$6:$ZZ$1048576"), MATCH(AO$1, JunR!$6:$6, 0), FALSE),
            0
        ) +
        IFERROR(
            VLOOKUP($A17, INDIRECT("JulR!$A$6:$ZZ$1048576"), MATCH(AO$1, JulR!$6:$6, 0), FALSE),
            0
        ) +
        IFERROR(
            VLOOKUP($A17, INDIRECT("AgoR!$A$6:$ZZ$1048576"), MATCH(AO$1, AgoR!$6:$6, 0), FALSE),
            0
        ) +
        IFERROR(
            VLOOKUP($A17, INDIRECT("SepR!$A$6:$ZZ$1048576"), MATCH(AO$1, SepR!$6:$6, 0), FALSE),
            0
        ) +
        IFERROR(
            VLOOKUP($A17, INDIRECT("OctR!$A$6:$ZZ$1048576"), MATCH(AO$1, OctR!$6:$6, 0), FALSE),
            0
        ) +
        IFERROR(
            VLOOKUP($A17, INDIRECT("NovR!$A$6:$ZZ$1048576"), MATCH(AO$1, NovR!$6:$6, 0), FALSE),
            0
        ) +
        IFERROR(
            VLOOKUP($A17, INDIRECT("DicR!$A$6:$ZZ$1048576"), MATCH(AO$1, DicR!$6:$6, 0), FALSE),
            0
        )
)</f>
        <v>0</v>
      </c>
      <c r="AP17" s="36">
        <f t="array" ref="AP17">SUM(
    IFERROR(
            VLOOKUP($A17, INDIRECT("EneR!$A$6:$ZZ$1048576"), MATCH(AP$1, EneR!$6:$6, 0), FALSE),
            0
        ) +
        IFERROR(
            VLOOKUP($A17, INDIRECT("FebR!$A$6:$ZZ$1048576"), MATCH(AP$1, FebR!$6:$6, 0), FALSE),
            0
        ) +
        IFERROR(
            VLOOKUP($A17, INDIRECT("MarR!$A$6:$ZZ$1048576"), MATCH(AP$1, MarR!$6:$6, 0), FALSE),
            0
        ) +
        IFERROR(
            VLOOKUP($A17, INDIRECT("AbrR!$A$6:$ZZ$1048576"), MATCH(AP$1, AbrR!$6:$6, 0), FALSE),
            0
        ) +
        IFERROR(
            VLOOKUP($A17, INDIRECT("MayR!$A$6:$ZZ$1048576"), MATCH(AP$1, MayR!$6:$6, 0), FALSE),
            0
        ) +
        IFERROR(
            VLOOKUP($A17, INDIRECT("JunR!$A$6:$ZZ$1048576"), MATCH(AP$1, JunR!$6:$6, 0), FALSE),
            0
        ) +
        IFERROR(
            VLOOKUP($A17, INDIRECT("JulR!$A$6:$ZZ$1048576"), MATCH(AP$1, JulR!$6:$6, 0), FALSE),
            0
        ) +
        IFERROR(
            VLOOKUP($A17, INDIRECT("AgoR!$A$6:$ZZ$1048576"), MATCH(AP$1, AgoR!$6:$6, 0), FALSE),
            0
        ) +
        IFERROR(
            VLOOKUP($A17, INDIRECT("SepR!$A$6:$ZZ$1048576"), MATCH(AP$1, SepR!$6:$6, 0), FALSE),
            0
        ) +
        IFERROR(
            VLOOKUP($A17, INDIRECT("OctR!$A$6:$ZZ$1048576"), MATCH(AP$1, OctR!$6:$6, 0), FALSE),
            0
        ) +
        IFERROR(
            VLOOKUP($A17, INDIRECT("NovR!$A$6:$ZZ$1048576"), MATCH(AP$1, NovR!$6:$6, 0), FALSE),
            0
        ) +
        IFERROR(
            VLOOKUP($A17, INDIRECT("DicR!$A$6:$ZZ$1048576"), MATCH(AP$1, DicR!$6:$6, 0), FALSE),
            0
        )
)</f>
        <v>0</v>
      </c>
      <c r="AQ17" s="37">
        <f t="array" ref="AQ17">SUM(
    IFERROR(
            VLOOKUP($A17, INDIRECT("EneR!$A$6:$ZZ$1048576"), MATCH(AQ$1, EneR!$6:$6, 0), FALSE),
            0
        ) +
        IFERROR(
            VLOOKUP($A17, INDIRECT("FebR!$A$6:$ZZ$1048576"), MATCH(AQ$1, FebR!$6:$6, 0), FALSE),
            0
        ) +
        IFERROR(
            VLOOKUP($A17, INDIRECT("MarR!$A$6:$ZZ$1048576"), MATCH(AQ$1, MarR!$6:$6, 0), FALSE),
            0
        ) +
        IFERROR(
            VLOOKUP($A17, INDIRECT("AbrR!$A$6:$ZZ$1048576"), MATCH(AQ$1, AbrR!$6:$6, 0), FALSE),
            0
        ) +
        IFERROR(
            VLOOKUP($A17, INDIRECT("MayR!$A$6:$ZZ$1048576"), MATCH(AQ$1, MayR!$6:$6, 0), FALSE),
            0
        ) +
        IFERROR(
            VLOOKUP($A17, INDIRECT("JunR!$A$6:$ZZ$1048576"), MATCH(AQ$1, JunR!$6:$6, 0), FALSE),
            0
        ) +
        IFERROR(
            VLOOKUP($A17, INDIRECT("JulR!$A$6:$ZZ$1048576"), MATCH(AQ$1, JulR!$6:$6, 0), FALSE),
            0
        ) +
        IFERROR(
            VLOOKUP($A17, INDIRECT("AgoR!$A$6:$ZZ$1048576"), MATCH(AQ$1, AgoR!$6:$6, 0), FALSE),
            0
        ) +
        IFERROR(
            VLOOKUP($A17, INDIRECT("SepR!$A$6:$ZZ$1048576"), MATCH(AQ$1, SepR!$6:$6, 0), FALSE),
            0
        ) +
        IFERROR(
            VLOOKUP($A17, INDIRECT("OctR!$A$6:$ZZ$1048576"), MATCH(AQ$1, OctR!$6:$6, 0), FALSE),
            0
        ) +
        IFERROR(
            VLOOKUP($A17, INDIRECT("NovR!$A$6:$ZZ$1048576"), MATCH(AQ$1, NovR!$6:$6, 0), FALSE),
            0
        ) +
        IFERROR(
            VLOOKUP($A17, INDIRECT("DicR!$A$6:$ZZ$1048576"), MATCH(AQ$1, DicR!$6:$6, 0), FALSE),
            0
        )
)</f>
        <v>0</v>
      </c>
      <c r="AR17" s="36">
        <f t="array" ref="AR17">SUM(
    IFERROR(
            VLOOKUP($A17, INDIRECT("EneR!$A$6:$ZZ$1048576"), MATCH(AR$1, EneR!$6:$6, 0), FALSE),
            0
        ) +
        IFERROR(
            VLOOKUP($A17, INDIRECT("FebR!$A$6:$ZZ$1048576"), MATCH(AR$1, FebR!$6:$6, 0), FALSE),
            0
        ) +
        IFERROR(
            VLOOKUP($A17, INDIRECT("MarR!$A$6:$ZZ$1048576"), MATCH(AR$1, MarR!$6:$6, 0), FALSE),
            0
        ) +
        IFERROR(
            VLOOKUP($A17, INDIRECT("AbrR!$A$6:$ZZ$1048576"), MATCH(AR$1, AbrR!$6:$6, 0), FALSE),
            0
        ) +
        IFERROR(
            VLOOKUP($A17, INDIRECT("MayR!$A$6:$ZZ$1048576"), MATCH(AR$1, MayR!$6:$6, 0), FALSE),
            0
        ) +
        IFERROR(
            VLOOKUP($A17, INDIRECT("JunR!$A$6:$ZZ$1048576"), MATCH(AR$1, JunR!$6:$6, 0), FALSE),
            0
        ) +
        IFERROR(
            VLOOKUP($A17, INDIRECT("JulR!$A$6:$ZZ$1048576"), MATCH(AR$1, JulR!$6:$6, 0), FALSE),
            0
        ) +
        IFERROR(
            VLOOKUP($A17, INDIRECT("AgoR!$A$6:$ZZ$1048576"), MATCH(AR$1, AgoR!$6:$6, 0), FALSE),
            0
        ) +
        IFERROR(
            VLOOKUP($A17, INDIRECT("SepR!$A$6:$ZZ$1048576"), MATCH(AR$1, SepR!$6:$6, 0), FALSE),
            0
        ) +
        IFERROR(
            VLOOKUP($A17, INDIRECT("OctR!$A$6:$ZZ$1048576"), MATCH(AR$1, OctR!$6:$6, 0), FALSE),
            0
        ) +
        IFERROR(
            VLOOKUP($A17, INDIRECT("NovR!$A$6:$ZZ$1048576"), MATCH(AR$1, NovR!$6:$6, 0), FALSE),
            0
        ) +
        IFERROR(
            VLOOKUP($A17, INDIRECT("DicR!$A$6:$ZZ$1048576"), MATCH(AR$1, DicR!$6:$6, 0), FALSE),
            0
        )
)</f>
        <v>0</v>
      </c>
      <c r="AS17" s="37">
        <f t="array" ref="AS17">SUM(
    IFERROR(
            VLOOKUP($A17, INDIRECT("EneR!$A$6:$ZZ$1048576"), MATCH(AS$1, EneR!$6:$6, 0), FALSE),
            0
        ) +
        IFERROR(
            VLOOKUP($A17, INDIRECT("FebR!$A$6:$ZZ$1048576"), MATCH(AS$1, FebR!$6:$6, 0), FALSE),
            0
        ) +
        IFERROR(
            VLOOKUP($A17, INDIRECT("MarR!$A$6:$ZZ$1048576"), MATCH(AS$1, MarR!$6:$6, 0), FALSE),
            0
        ) +
        IFERROR(
            VLOOKUP($A17, INDIRECT("AbrR!$A$6:$ZZ$1048576"), MATCH(AS$1, AbrR!$6:$6, 0), FALSE),
            0
        ) +
        IFERROR(
            VLOOKUP($A17, INDIRECT("MayR!$A$6:$ZZ$1048576"), MATCH(AS$1, MayR!$6:$6, 0), FALSE),
            0
        ) +
        IFERROR(
            VLOOKUP($A17, INDIRECT("JunR!$A$6:$ZZ$1048576"), MATCH(AS$1, JunR!$6:$6, 0), FALSE),
            0
        ) +
        IFERROR(
            VLOOKUP($A17, INDIRECT("JulR!$A$6:$ZZ$1048576"), MATCH(AS$1, JulR!$6:$6, 0), FALSE),
            0
        ) +
        IFERROR(
            VLOOKUP($A17, INDIRECT("AgoR!$A$6:$ZZ$1048576"), MATCH(AS$1, AgoR!$6:$6, 0), FALSE),
            0
        ) +
        IFERROR(
            VLOOKUP($A17, INDIRECT("SepR!$A$6:$ZZ$1048576"), MATCH(AS$1, SepR!$6:$6, 0), FALSE),
            0
        ) +
        IFERROR(
            VLOOKUP($A17, INDIRECT("OctR!$A$6:$ZZ$1048576"), MATCH(AS$1, OctR!$6:$6, 0), FALSE),
            0
        ) +
        IFERROR(
            VLOOKUP($A17, INDIRECT("NovR!$A$6:$ZZ$1048576"), MATCH(AS$1, NovR!$6:$6, 0), FALSE),
            0
        ) +
        IFERROR(
            VLOOKUP($A17, INDIRECT("DicR!$A$6:$ZZ$1048576"), MATCH(AS$1, DicR!$6:$6, 0), FALSE),
            0
        )
)</f>
        <v>0</v>
      </c>
      <c r="AT17" s="36">
        <f t="array" ref="AT17">SUM(
    IFERROR(
            VLOOKUP($A17, INDIRECT("EneR!$A$6:$ZZ$1048576"), MATCH(AT$1, EneR!$6:$6, 0), FALSE),
            0
        ) +
        IFERROR(
            VLOOKUP($A17, INDIRECT("FebR!$A$6:$ZZ$1048576"), MATCH(AT$1, FebR!$6:$6, 0), FALSE),
            0
        ) +
        IFERROR(
            VLOOKUP($A17, INDIRECT("MarR!$A$6:$ZZ$1048576"), MATCH(AT$1, MarR!$6:$6, 0), FALSE),
            0
        ) +
        IFERROR(
            VLOOKUP($A17, INDIRECT("AbrR!$A$6:$ZZ$1048576"), MATCH(AT$1, AbrR!$6:$6, 0), FALSE),
            0
        ) +
        IFERROR(
            VLOOKUP($A17, INDIRECT("MayR!$A$6:$ZZ$1048576"), MATCH(AT$1, MayR!$6:$6, 0), FALSE),
            0
        ) +
        IFERROR(
            VLOOKUP($A17, INDIRECT("JunR!$A$6:$ZZ$1048576"), MATCH(AT$1, JunR!$6:$6, 0), FALSE),
            0
        ) +
        IFERROR(
            VLOOKUP($A17, INDIRECT("JulR!$A$6:$ZZ$1048576"), MATCH(AT$1, JulR!$6:$6, 0), FALSE),
            0
        ) +
        IFERROR(
            VLOOKUP($A17, INDIRECT("AgoR!$A$6:$ZZ$1048576"), MATCH(AT$1, AgoR!$6:$6, 0), FALSE),
            0
        ) +
        IFERROR(
            VLOOKUP($A17, INDIRECT("SepR!$A$6:$ZZ$1048576"), MATCH(AT$1, SepR!$6:$6, 0), FALSE),
            0
        ) +
        IFERROR(
            VLOOKUP($A17, INDIRECT("OctR!$A$6:$ZZ$1048576"), MATCH(AT$1, OctR!$6:$6, 0), FALSE),
            0
        ) +
        IFERROR(
            VLOOKUP($A17, INDIRECT("NovR!$A$6:$ZZ$1048576"), MATCH(AT$1, NovR!$6:$6, 0), FALSE),
            0
        ) +
        IFERROR(
            VLOOKUP($A17, INDIRECT("DicR!$A$6:$ZZ$1048576"), MATCH(AT$1, DicR!$6:$6, 0), FALSE),
            0
        )
)</f>
        <v>0</v>
      </c>
      <c r="AU17" s="37">
        <f t="array" ref="AU17">SUM(
    IFERROR(
            VLOOKUP($A17, INDIRECT("EneR!$A$6:$ZZ$1048576"), MATCH(AU$1, EneR!$6:$6, 0), FALSE),
            0
        ) +
        IFERROR(
            VLOOKUP($A17, INDIRECT("FebR!$A$6:$ZZ$1048576"), MATCH(AU$1, FebR!$6:$6, 0), FALSE),
            0
        ) +
        IFERROR(
            VLOOKUP($A17, INDIRECT("MarR!$A$6:$ZZ$1048576"), MATCH(AU$1, MarR!$6:$6, 0), FALSE),
            0
        ) +
        IFERROR(
            VLOOKUP($A17, INDIRECT("AbrR!$A$6:$ZZ$1048576"), MATCH(AU$1, AbrR!$6:$6, 0), FALSE),
            0
        ) +
        IFERROR(
            VLOOKUP($A17, INDIRECT("MayR!$A$6:$ZZ$1048576"), MATCH(AU$1, MayR!$6:$6, 0), FALSE),
            0
        ) +
        IFERROR(
            VLOOKUP($A17, INDIRECT("JunR!$A$6:$ZZ$1048576"), MATCH(AU$1, JunR!$6:$6, 0), FALSE),
            0
        ) +
        IFERROR(
            VLOOKUP($A17, INDIRECT("JulR!$A$6:$ZZ$1048576"), MATCH(AU$1, JulR!$6:$6, 0), FALSE),
            0
        ) +
        IFERROR(
            VLOOKUP($A17, INDIRECT("AgoR!$A$6:$ZZ$1048576"), MATCH(AU$1, AgoR!$6:$6, 0), FALSE),
            0
        ) +
        IFERROR(
            VLOOKUP($A17, INDIRECT("SepR!$A$6:$ZZ$1048576"), MATCH(AU$1, SepR!$6:$6, 0), FALSE),
            0
        ) +
        IFERROR(
            VLOOKUP($A17, INDIRECT("OctR!$A$6:$ZZ$1048576"), MATCH(AU$1, OctR!$6:$6, 0), FALSE),
            0
        ) +
        IFERROR(
            VLOOKUP($A17, INDIRECT("NovR!$A$6:$ZZ$1048576"), MATCH(AU$1, NovR!$6:$6, 0), FALSE),
            0
        ) +
        IFERROR(
            VLOOKUP($A17, INDIRECT("DicR!$A$6:$ZZ$1048576"), MATCH(AU$1, DicR!$6:$6, 0), FALSE),
            0
        )
)</f>
        <v>0</v>
      </c>
      <c r="AV17" s="36">
        <f t="array" ref="AV17">SUM(
    IFERROR(
            VLOOKUP($A17, INDIRECT("EneR!$A$6:$ZZ$1048576"), MATCH(AV$1, EneR!$6:$6, 0), FALSE),
            0
        ) +
        IFERROR(
            VLOOKUP($A17, INDIRECT("FebR!$A$6:$ZZ$1048576"), MATCH(AV$1, FebR!$6:$6, 0), FALSE),
            0
        ) +
        IFERROR(
            VLOOKUP($A17, INDIRECT("MarR!$A$6:$ZZ$1048576"), MATCH(AV$1, MarR!$6:$6, 0), FALSE),
            0
        ) +
        IFERROR(
            VLOOKUP($A17, INDIRECT("AbrR!$A$6:$ZZ$1048576"), MATCH(AV$1, AbrR!$6:$6, 0), FALSE),
            0
        ) +
        IFERROR(
            VLOOKUP($A17, INDIRECT("MayR!$A$6:$ZZ$1048576"), MATCH(AV$1, MayR!$6:$6, 0), FALSE),
            0
        ) +
        IFERROR(
            VLOOKUP($A17, INDIRECT("JunR!$A$6:$ZZ$1048576"), MATCH(AV$1, JunR!$6:$6, 0), FALSE),
            0
        ) +
        IFERROR(
            VLOOKUP($A17, INDIRECT("JulR!$A$6:$ZZ$1048576"), MATCH(AV$1, JulR!$6:$6, 0), FALSE),
            0
        ) +
        IFERROR(
            VLOOKUP($A17, INDIRECT("AgoR!$A$6:$ZZ$1048576"), MATCH(AV$1, AgoR!$6:$6, 0), FALSE),
            0
        ) +
        IFERROR(
            VLOOKUP($A17, INDIRECT("SepR!$A$6:$ZZ$1048576"), MATCH(AV$1, SepR!$6:$6, 0), FALSE),
            0
        ) +
        IFERROR(
            VLOOKUP($A17, INDIRECT("OctR!$A$6:$ZZ$1048576"), MATCH(AV$1, OctR!$6:$6, 0), FALSE),
            0
        ) +
        IFERROR(
            VLOOKUP($A17, INDIRECT("NovR!$A$6:$ZZ$1048576"), MATCH(AV$1, NovR!$6:$6, 0), FALSE),
            0
        ) +
        IFERROR(
            VLOOKUP($A17, INDIRECT("DicR!$A$6:$ZZ$1048576"), MATCH(AV$1, DicR!$6:$6, 0), FALSE),
            0
        )
)</f>
        <v>0</v>
      </c>
      <c r="AW17" s="37">
        <f t="array" ref="AW17">SUM(
    IFERROR(
            VLOOKUP($A17, INDIRECT("EneR!$A$6:$ZZ$1048576"), MATCH(AW$1, EneR!$6:$6, 0), FALSE),
            0
        ) +
        IFERROR(
            VLOOKUP($A17, INDIRECT("FebR!$A$6:$ZZ$1048576"), MATCH(AW$1, FebR!$6:$6, 0), FALSE),
            0
        ) +
        IFERROR(
            VLOOKUP($A17, INDIRECT("MarR!$A$6:$ZZ$1048576"), MATCH(AW$1, MarR!$6:$6, 0), FALSE),
            0
        ) +
        IFERROR(
            VLOOKUP($A17, INDIRECT("AbrR!$A$6:$ZZ$1048576"), MATCH(AW$1, AbrR!$6:$6, 0), FALSE),
            0
        ) +
        IFERROR(
            VLOOKUP($A17, INDIRECT("MayR!$A$6:$ZZ$1048576"), MATCH(AW$1, MayR!$6:$6, 0), FALSE),
            0
        ) +
        IFERROR(
            VLOOKUP($A17, INDIRECT("JunR!$A$6:$ZZ$1048576"), MATCH(AW$1, JunR!$6:$6, 0), FALSE),
            0
        ) +
        IFERROR(
            VLOOKUP($A17, INDIRECT("JulR!$A$6:$ZZ$1048576"), MATCH(AW$1, JulR!$6:$6, 0), FALSE),
            0
        ) +
        IFERROR(
            VLOOKUP($A17, INDIRECT("AgoR!$A$6:$ZZ$1048576"), MATCH(AW$1, AgoR!$6:$6, 0), FALSE),
            0
        ) +
        IFERROR(
            VLOOKUP($A17, INDIRECT("SepR!$A$6:$ZZ$1048576"), MATCH(AW$1, SepR!$6:$6, 0), FALSE),
            0
        ) +
        IFERROR(
            VLOOKUP($A17, INDIRECT("OctR!$A$6:$ZZ$1048576"), MATCH(AW$1, OctR!$6:$6, 0), FALSE),
            0
        ) +
        IFERROR(
            VLOOKUP($A17, INDIRECT("NovR!$A$6:$ZZ$1048576"), MATCH(AW$1, NovR!$6:$6, 0), FALSE),
            0
        ) +
        IFERROR(
            VLOOKUP($A17, INDIRECT("DicR!$A$6:$ZZ$1048576"), MATCH(AW$1, DicR!$6:$6, 0), FALSE),
            0
        )
)</f>
        <v>0</v>
      </c>
      <c r="AX17" s="36">
        <f t="array" ref="AX17">SUM(
    IFERROR(
            VLOOKUP($A17, INDIRECT("EneR!$A$6:$ZZ$1048576"), MATCH(AX$1, EneR!$6:$6, 0), FALSE),
            0
        ) +
        IFERROR(
            VLOOKUP($A17, INDIRECT("FebR!$A$6:$ZZ$1048576"), MATCH(AX$1, FebR!$6:$6, 0), FALSE),
            0
        ) +
        IFERROR(
            VLOOKUP($A17, INDIRECT("MarR!$A$6:$ZZ$1048576"), MATCH(AX$1, MarR!$6:$6, 0), FALSE),
            0
        ) +
        IFERROR(
            VLOOKUP($A17, INDIRECT("AbrR!$A$6:$ZZ$1048576"), MATCH(AX$1, AbrR!$6:$6, 0), FALSE),
            0
        ) +
        IFERROR(
            VLOOKUP($A17, INDIRECT("MayR!$A$6:$ZZ$1048576"), MATCH(AX$1, MayR!$6:$6, 0), FALSE),
            0
        ) +
        IFERROR(
            VLOOKUP($A17, INDIRECT("JunR!$A$6:$ZZ$1048576"), MATCH(AX$1, JunR!$6:$6, 0), FALSE),
            0
        ) +
        IFERROR(
            VLOOKUP($A17, INDIRECT("JulR!$A$6:$ZZ$1048576"), MATCH(AX$1, JulR!$6:$6, 0), FALSE),
            0
        ) +
        IFERROR(
            VLOOKUP($A17, INDIRECT("AgoR!$A$6:$ZZ$1048576"), MATCH(AX$1, AgoR!$6:$6, 0), FALSE),
            0
        ) +
        IFERROR(
            VLOOKUP($A17, INDIRECT("SepR!$A$6:$ZZ$1048576"), MATCH(AX$1, SepR!$6:$6, 0), FALSE),
            0
        ) +
        IFERROR(
            VLOOKUP($A17, INDIRECT("OctR!$A$6:$ZZ$1048576"), MATCH(AX$1, OctR!$6:$6, 0), FALSE),
            0
        ) +
        IFERROR(
            VLOOKUP($A17, INDIRECT("NovR!$A$6:$ZZ$1048576"), MATCH(AX$1, NovR!$6:$6, 0), FALSE),
            0
        ) +
        IFERROR(
            VLOOKUP($A17, INDIRECT("DicR!$A$6:$ZZ$1048576"), MATCH(AX$1, DicR!$6:$6, 0), FALSE),
            0
        )
)</f>
        <v>0</v>
      </c>
      <c r="AY17" s="37">
        <f t="array" ref="AY17">SUM(
    IFERROR(
            VLOOKUP($A17, INDIRECT("EneR!$A$6:$ZZ$1048576"), MATCH(AY$1, EneR!$6:$6, 0), FALSE),
            0
        ) +
        IFERROR(
            VLOOKUP($A17, INDIRECT("FebR!$A$6:$ZZ$1048576"), MATCH(AY$1, FebR!$6:$6, 0), FALSE),
            0
        ) +
        IFERROR(
            VLOOKUP($A17, INDIRECT("MarR!$A$6:$ZZ$1048576"), MATCH(AY$1, MarR!$6:$6, 0), FALSE),
            0
        ) +
        IFERROR(
            VLOOKUP($A17, INDIRECT("AbrR!$A$6:$ZZ$1048576"), MATCH(AY$1, AbrR!$6:$6, 0), FALSE),
            0
        ) +
        IFERROR(
            VLOOKUP($A17, INDIRECT("MayR!$A$6:$ZZ$1048576"), MATCH(AY$1, MayR!$6:$6, 0), FALSE),
            0
        ) +
        IFERROR(
            VLOOKUP($A17, INDIRECT("JunR!$A$6:$ZZ$1048576"), MATCH(AY$1, JunR!$6:$6, 0), FALSE),
            0
        ) +
        IFERROR(
            VLOOKUP($A17, INDIRECT("JulR!$A$6:$ZZ$1048576"), MATCH(AY$1, JulR!$6:$6, 0), FALSE),
            0
        ) +
        IFERROR(
            VLOOKUP($A17, INDIRECT("AgoR!$A$6:$ZZ$1048576"), MATCH(AY$1, AgoR!$6:$6, 0), FALSE),
            0
        ) +
        IFERROR(
            VLOOKUP($A17, INDIRECT("SepR!$A$6:$ZZ$1048576"), MATCH(AY$1, SepR!$6:$6, 0), FALSE),
            0
        ) +
        IFERROR(
            VLOOKUP($A17, INDIRECT("OctR!$A$6:$ZZ$1048576"), MATCH(AY$1, OctR!$6:$6, 0), FALSE),
            0
        ) +
        IFERROR(
            VLOOKUP($A17, INDIRECT("NovR!$A$6:$ZZ$1048576"), MATCH(AY$1, NovR!$6:$6, 0), FALSE),
            0
        ) +
        IFERROR(
            VLOOKUP($A17, INDIRECT("DicR!$A$6:$ZZ$1048576"), MATCH(AY$1, DicR!$6:$6, 0), FALSE),
            0
        )
)</f>
        <v>0</v>
      </c>
      <c r="AZ17" s="37"/>
    </row>
    <row r="18" ht="15.75" customHeight="1">
      <c r="A18" s="12" t="str">
        <f>Menus!R10</f>
        <v/>
      </c>
      <c r="B18" s="32">
        <f t="shared" si="4"/>
        <v>0</v>
      </c>
      <c r="C18" s="33" t="str">
        <f t="shared" si="5"/>
        <v/>
      </c>
      <c r="D18" s="34">
        <f t="array" ref="D18">SUM(
    IFERROR(
            VLOOKUP($A18, INDIRECT("EneR!$A$6:$ZZ$1048576"), MATCH(D$1, EneR!$6:$6, 0), FALSE),
            0
        ) +
        IFERROR(
            VLOOKUP($A18, INDIRECT("FebR!$A$6:$ZZ$1048576"), MATCH(D$1, FebR!$6:$6, 0), FALSE),
            0
        ) +
        IFERROR(
            VLOOKUP($A18, INDIRECT("MarR!$A$6:$ZZ$1048576"), MATCH(D$1, MarR!$6:$6, 0), FALSE),
            0
        ) +
        IFERROR(
            VLOOKUP($A18, INDIRECT("AbrR!$A$6:$ZZ$1048576"), MATCH(D$1, AbrR!$6:$6, 0), FALSE),
            0
        ) +
        IFERROR(
            VLOOKUP($A18, INDIRECT("MayR!$A$6:$ZZ$1048576"), MATCH(D$1, MayR!$6:$6, 0), FALSE),
            0
        ) +
        IFERROR(
            VLOOKUP($A18, INDIRECT("JunR!$A$6:$ZZ$1048576"), MATCH(D$1, JunR!$6:$6, 0), FALSE),
            0
        ) +
        IFERROR(
            VLOOKUP($A18, INDIRECT("JulR!$A$6:$ZZ$1048576"), MATCH(D$1, JulR!$6:$6, 0), FALSE),
            0
        ) +
        IFERROR(
            VLOOKUP($A18, INDIRECT("AgoR!$A$6:$ZZ$1048576"), MATCH(D$1, AgoR!$6:$6, 0), FALSE),
            0
        ) +
        IFERROR(
            VLOOKUP($A18, INDIRECT("SepR!$A$6:$ZZ$1048576"), MATCH(D$1, SepR!$6:$6, 0), FALSE),
            0
        ) +
        IFERROR(
            VLOOKUP($A18, INDIRECT("OctR!$A$6:$ZZ$1048576"), MATCH(D$1, OctR!$6:$6, 0), FALSE),
            0
        ) +
        IFERROR(
            VLOOKUP($A18, INDIRECT("NovR!$A$6:$ZZ$1048576"), MATCH(D$1, NovR!$6:$6, 0), FALSE),
            0
        ) +
        IFERROR(
            VLOOKUP($A18, INDIRECT("DicR!$A$6:$ZZ$1048576"), MATCH(D$1, DicR!$6:$6, 0), FALSE),
            0
        )
)</f>
        <v>0</v>
      </c>
      <c r="E18" s="35">
        <f t="array" ref="E18">SUM(
    IFERROR(
            VLOOKUP($A18, INDIRECT("EneR!$A$6:$ZZ$1048576"), MATCH(E$1, EneR!$6:$6, 0), FALSE),
            0
        ) +
        IFERROR(
            VLOOKUP($A18, INDIRECT("FebR!$A$6:$ZZ$1048576"), MATCH(E$1, FebR!$6:$6, 0), FALSE),
            0
        ) +
        IFERROR(
            VLOOKUP($A18, INDIRECT("MarR!$A$6:$ZZ$1048576"), MATCH(E$1, MarR!$6:$6, 0), FALSE),
            0
        ) +
        IFERROR(
            VLOOKUP($A18, INDIRECT("AbrR!$A$6:$ZZ$1048576"), MATCH(E$1, AbrR!$6:$6, 0), FALSE),
            0
        ) +
        IFERROR(
            VLOOKUP($A18, INDIRECT("MayR!$A$6:$ZZ$1048576"), MATCH(E$1, MayR!$6:$6, 0), FALSE),
            0
        ) +
        IFERROR(
            VLOOKUP($A18, INDIRECT("JunR!$A$6:$ZZ$1048576"), MATCH(E$1, JunR!$6:$6, 0), FALSE),
            0
        ) +
        IFERROR(
            VLOOKUP($A18, INDIRECT("JulR!$A$6:$ZZ$1048576"), MATCH(E$1, JulR!$6:$6, 0), FALSE),
            0
        ) +
        IFERROR(
            VLOOKUP($A18, INDIRECT("AgoR!$A$6:$ZZ$1048576"), MATCH(E$1, AgoR!$6:$6, 0), FALSE),
            0
        ) +
        IFERROR(
            VLOOKUP($A18, INDIRECT("SepR!$A$6:$ZZ$1048576"), MATCH(E$1, SepR!$6:$6, 0), FALSE),
            0
        ) +
        IFERROR(
            VLOOKUP($A18, INDIRECT("OctR!$A$6:$ZZ$1048576"), MATCH(E$1, OctR!$6:$6, 0), FALSE),
            0
        ) +
        IFERROR(
            VLOOKUP($A18, INDIRECT("NovR!$A$6:$ZZ$1048576"), MATCH(E$1, NovR!$6:$6, 0), FALSE),
            0
        ) +
        IFERROR(
            VLOOKUP($A18, INDIRECT("DicR!$A$6:$ZZ$1048576"), MATCH(E$1, DicR!$6:$6, 0), FALSE),
            0
        )
)</f>
        <v>0</v>
      </c>
      <c r="F18" s="32">
        <f t="array" ref="F18">SUM(
    IFERROR(
            VLOOKUP($A18, INDIRECT("EneR!$A$6:$ZZ$1048576"), MATCH(F$1, EneR!$6:$6, 0), FALSE),
            0
        ) +
        IFERROR(
            VLOOKUP($A18, INDIRECT("FebR!$A$6:$ZZ$1048576"), MATCH(F$1, FebR!$6:$6, 0), FALSE),
            0
        ) +
        IFERROR(
            VLOOKUP($A18, INDIRECT("MarR!$A$6:$ZZ$1048576"), MATCH(F$1, MarR!$6:$6, 0), FALSE),
            0
        ) +
        IFERROR(
            VLOOKUP($A18, INDIRECT("AbrR!$A$6:$ZZ$1048576"), MATCH(F$1, AbrR!$6:$6, 0), FALSE),
            0
        ) +
        IFERROR(
            VLOOKUP($A18, INDIRECT("MayR!$A$6:$ZZ$1048576"), MATCH(F$1, MayR!$6:$6, 0), FALSE),
            0
        ) +
        IFERROR(
            VLOOKUP($A18, INDIRECT("JunR!$A$6:$ZZ$1048576"), MATCH(F$1, JunR!$6:$6, 0), FALSE),
            0
        ) +
        IFERROR(
            VLOOKUP($A18, INDIRECT("JulR!$A$6:$ZZ$1048576"), MATCH(F$1, JulR!$6:$6, 0), FALSE),
            0
        ) +
        IFERROR(
            VLOOKUP($A18, INDIRECT("AgoR!$A$6:$ZZ$1048576"), MATCH(F$1, AgoR!$6:$6, 0), FALSE),
            0
        ) +
        IFERROR(
            VLOOKUP($A18, INDIRECT("SepR!$A$6:$ZZ$1048576"), MATCH(F$1, SepR!$6:$6, 0), FALSE),
            0
        ) +
        IFERROR(
            VLOOKUP($A18, INDIRECT("OctR!$A$6:$ZZ$1048576"), MATCH(F$1, OctR!$6:$6, 0), FALSE),
            0
        ) +
        IFERROR(
            VLOOKUP($A18, INDIRECT("NovR!$A$6:$ZZ$1048576"), MATCH(F$1, NovR!$6:$6, 0), FALSE),
            0
        ) +
        IFERROR(
            VLOOKUP($A18, INDIRECT("DicR!$A$6:$ZZ$1048576"), MATCH(F$1, DicR!$6:$6, 0), FALSE),
            0
        )
)</f>
        <v>0</v>
      </c>
      <c r="G18" s="35">
        <f t="array" ref="G18">SUM(
    IFERROR(
            VLOOKUP($A18, INDIRECT("EneR!$A$6:$ZZ$1048576"), MATCH(G$1, EneR!$6:$6, 0), FALSE),
            0
        ) +
        IFERROR(
            VLOOKUP($A18, INDIRECT("FebR!$A$6:$ZZ$1048576"), MATCH(G$1, FebR!$6:$6, 0), FALSE),
            0
        ) +
        IFERROR(
            VLOOKUP($A18, INDIRECT("MarR!$A$6:$ZZ$1048576"), MATCH(G$1, MarR!$6:$6, 0), FALSE),
            0
        ) +
        IFERROR(
            VLOOKUP($A18, INDIRECT("AbrR!$A$6:$ZZ$1048576"), MATCH(G$1, AbrR!$6:$6, 0), FALSE),
            0
        ) +
        IFERROR(
            VLOOKUP($A18, INDIRECT("MayR!$A$6:$ZZ$1048576"), MATCH(G$1, MayR!$6:$6, 0), FALSE),
            0
        ) +
        IFERROR(
            VLOOKUP($A18, INDIRECT("JunR!$A$6:$ZZ$1048576"), MATCH(G$1, JunR!$6:$6, 0), FALSE),
            0
        ) +
        IFERROR(
            VLOOKUP($A18, INDIRECT("JulR!$A$6:$ZZ$1048576"), MATCH(G$1, JulR!$6:$6, 0), FALSE),
            0
        ) +
        IFERROR(
            VLOOKUP($A18, INDIRECT("AgoR!$A$6:$ZZ$1048576"), MATCH(G$1, AgoR!$6:$6, 0), FALSE),
            0
        ) +
        IFERROR(
            VLOOKUP($A18, INDIRECT("SepR!$A$6:$ZZ$1048576"), MATCH(G$1, SepR!$6:$6, 0), FALSE),
            0
        ) +
        IFERROR(
            VLOOKUP($A18, INDIRECT("OctR!$A$6:$ZZ$1048576"), MATCH(G$1, OctR!$6:$6, 0), FALSE),
            0
        ) +
        IFERROR(
            VLOOKUP($A18, INDIRECT("NovR!$A$6:$ZZ$1048576"), MATCH(G$1, NovR!$6:$6, 0), FALSE),
            0
        ) +
        IFERROR(
            VLOOKUP($A18, INDIRECT("DicR!$A$6:$ZZ$1048576"), MATCH(G$1, DicR!$6:$6, 0), FALSE),
            0
        )
)</f>
        <v>0</v>
      </c>
      <c r="H18" s="32">
        <f t="array" ref="H18">SUM(
    IFERROR(
            VLOOKUP($A18, INDIRECT("EneR!$A$6:$ZZ$1048576"), MATCH(H$1, EneR!$6:$6, 0), FALSE),
            0
        ) +
        IFERROR(
            VLOOKUP($A18, INDIRECT("FebR!$A$6:$ZZ$1048576"), MATCH(H$1, FebR!$6:$6, 0), FALSE),
            0
        ) +
        IFERROR(
            VLOOKUP($A18, INDIRECT("MarR!$A$6:$ZZ$1048576"), MATCH(H$1, MarR!$6:$6, 0), FALSE),
            0
        ) +
        IFERROR(
            VLOOKUP($A18, INDIRECT("AbrR!$A$6:$ZZ$1048576"), MATCH(H$1, AbrR!$6:$6, 0), FALSE),
            0
        ) +
        IFERROR(
            VLOOKUP($A18, INDIRECT("MayR!$A$6:$ZZ$1048576"), MATCH(H$1, MayR!$6:$6, 0), FALSE),
            0
        ) +
        IFERROR(
            VLOOKUP($A18, INDIRECT("JunR!$A$6:$ZZ$1048576"), MATCH(H$1, JunR!$6:$6, 0), FALSE),
            0
        ) +
        IFERROR(
            VLOOKUP($A18, INDIRECT("JulR!$A$6:$ZZ$1048576"), MATCH(H$1, JulR!$6:$6, 0), FALSE),
            0
        ) +
        IFERROR(
            VLOOKUP($A18, INDIRECT("AgoR!$A$6:$ZZ$1048576"), MATCH(H$1, AgoR!$6:$6, 0), FALSE),
            0
        ) +
        IFERROR(
            VLOOKUP($A18, INDIRECT("SepR!$A$6:$ZZ$1048576"), MATCH(H$1, SepR!$6:$6, 0), FALSE),
            0
        ) +
        IFERROR(
            VLOOKUP($A18, INDIRECT("OctR!$A$6:$ZZ$1048576"), MATCH(H$1, OctR!$6:$6, 0), FALSE),
            0
        ) +
        IFERROR(
            VLOOKUP($A18, INDIRECT("NovR!$A$6:$ZZ$1048576"), MATCH(H$1, NovR!$6:$6, 0), FALSE),
            0
        ) +
        IFERROR(
            VLOOKUP($A18, INDIRECT("DicR!$A$6:$ZZ$1048576"), MATCH(H$1, DicR!$6:$6, 0), FALSE),
            0
        )
)</f>
        <v>0</v>
      </c>
      <c r="I18" s="35">
        <f t="array" ref="I18">SUM(
    IFERROR(
            VLOOKUP($A18, INDIRECT("EneR!$A$6:$ZZ$1048576"), MATCH(I$1, EneR!$6:$6, 0), FALSE),
            0
        ) +
        IFERROR(
            VLOOKUP($A18, INDIRECT("FebR!$A$6:$ZZ$1048576"), MATCH(I$1, FebR!$6:$6, 0), FALSE),
            0
        ) +
        IFERROR(
            VLOOKUP($A18, INDIRECT("MarR!$A$6:$ZZ$1048576"), MATCH(I$1, MarR!$6:$6, 0), FALSE),
            0
        ) +
        IFERROR(
            VLOOKUP($A18, INDIRECT("AbrR!$A$6:$ZZ$1048576"), MATCH(I$1, AbrR!$6:$6, 0), FALSE),
            0
        ) +
        IFERROR(
            VLOOKUP($A18, INDIRECT("MayR!$A$6:$ZZ$1048576"), MATCH(I$1, MayR!$6:$6, 0), FALSE),
            0
        ) +
        IFERROR(
            VLOOKUP($A18, INDIRECT("JunR!$A$6:$ZZ$1048576"), MATCH(I$1, JunR!$6:$6, 0), FALSE),
            0
        ) +
        IFERROR(
            VLOOKUP($A18, INDIRECT("JulR!$A$6:$ZZ$1048576"), MATCH(I$1, JulR!$6:$6, 0), FALSE),
            0
        ) +
        IFERROR(
            VLOOKUP($A18, INDIRECT("AgoR!$A$6:$ZZ$1048576"), MATCH(I$1, AgoR!$6:$6, 0), FALSE),
            0
        ) +
        IFERROR(
            VLOOKUP($A18, INDIRECT("SepR!$A$6:$ZZ$1048576"), MATCH(I$1, SepR!$6:$6, 0), FALSE),
            0
        ) +
        IFERROR(
            VLOOKUP($A18, INDIRECT("OctR!$A$6:$ZZ$1048576"), MATCH(I$1, OctR!$6:$6, 0), FALSE),
            0
        ) +
        IFERROR(
            VLOOKUP($A18, INDIRECT("NovR!$A$6:$ZZ$1048576"), MATCH(I$1, NovR!$6:$6, 0), FALSE),
            0
        ) +
        IFERROR(
            VLOOKUP($A18, INDIRECT("DicR!$A$6:$ZZ$1048576"), MATCH(I$1, DicR!$6:$6, 0), FALSE),
            0
        )
)</f>
        <v>0</v>
      </c>
      <c r="J18" s="32">
        <f t="array" ref="J18">SUM(
    IFERROR(
            VLOOKUP($A18, INDIRECT("EneR!$A$6:$ZZ$1048576"), MATCH(J$1, EneR!$6:$6, 0), FALSE),
            0
        ) +
        IFERROR(
            VLOOKUP($A18, INDIRECT("FebR!$A$6:$ZZ$1048576"), MATCH(J$1, FebR!$6:$6, 0), FALSE),
            0
        ) +
        IFERROR(
            VLOOKUP($A18, INDIRECT("MarR!$A$6:$ZZ$1048576"), MATCH(J$1, MarR!$6:$6, 0), FALSE),
            0
        ) +
        IFERROR(
            VLOOKUP($A18, INDIRECT("AbrR!$A$6:$ZZ$1048576"), MATCH(J$1, AbrR!$6:$6, 0), FALSE),
            0
        ) +
        IFERROR(
            VLOOKUP($A18, INDIRECT("MayR!$A$6:$ZZ$1048576"), MATCH(J$1, MayR!$6:$6, 0), FALSE),
            0
        ) +
        IFERROR(
            VLOOKUP($A18, INDIRECT("JunR!$A$6:$ZZ$1048576"), MATCH(J$1, JunR!$6:$6, 0), FALSE),
            0
        ) +
        IFERROR(
            VLOOKUP($A18, INDIRECT("JulR!$A$6:$ZZ$1048576"), MATCH(J$1, JulR!$6:$6, 0), FALSE),
            0
        ) +
        IFERROR(
            VLOOKUP($A18, INDIRECT("AgoR!$A$6:$ZZ$1048576"), MATCH(J$1, AgoR!$6:$6, 0), FALSE),
            0
        ) +
        IFERROR(
            VLOOKUP($A18, INDIRECT("SepR!$A$6:$ZZ$1048576"), MATCH(J$1, SepR!$6:$6, 0), FALSE),
            0
        ) +
        IFERROR(
            VLOOKUP($A18, INDIRECT("OctR!$A$6:$ZZ$1048576"), MATCH(J$1, OctR!$6:$6, 0), FALSE),
            0
        ) +
        IFERROR(
            VLOOKUP($A18, INDIRECT("NovR!$A$6:$ZZ$1048576"), MATCH(J$1, NovR!$6:$6, 0), FALSE),
            0
        ) +
        IFERROR(
            VLOOKUP($A18, INDIRECT("DicR!$A$6:$ZZ$1048576"), MATCH(J$1, DicR!$6:$6, 0), FALSE),
            0
        )
)</f>
        <v>0</v>
      </c>
      <c r="K18" s="35">
        <f t="array" ref="K18">SUM(
    IFERROR(
            VLOOKUP($A18, INDIRECT("EneR!$A$6:$ZZ$1048576"), MATCH(K$1, EneR!$6:$6, 0), FALSE),
            0
        ) +
        IFERROR(
            VLOOKUP($A18, INDIRECT("FebR!$A$6:$ZZ$1048576"), MATCH(K$1, FebR!$6:$6, 0), FALSE),
            0
        ) +
        IFERROR(
            VLOOKUP($A18, INDIRECT("MarR!$A$6:$ZZ$1048576"), MATCH(K$1, MarR!$6:$6, 0), FALSE),
            0
        ) +
        IFERROR(
            VLOOKUP($A18, INDIRECT("AbrR!$A$6:$ZZ$1048576"), MATCH(K$1, AbrR!$6:$6, 0), FALSE),
            0
        ) +
        IFERROR(
            VLOOKUP($A18, INDIRECT("MayR!$A$6:$ZZ$1048576"), MATCH(K$1, MayR!$6:$6, 0), FALSE),
            0
        ) +
        IFERROR(
            VLOOKUP($A18, INDIRECT("JunR!$A$6:$ZZ$1048576"), MATCH(K$1, JunR!$6:$6, 0), FALSE),
            0
        ) +
        IFERROR(
            VLOOKUP($A18, INDIRECT("JulR!$A$6:$ZZ$1048576"), MATCH(K$1, JulR!$6:$6, 0), FALSE),
            0
        ) +
        IFERROR(
            VLOOKUP($A18, INDIRECT("AgoR!$A$6:$ZZ$1048576"), MATCH(K$1, AgoR!$6:$6, 0), FALSE),
            0
        ) +
        IFERROR(
            VLOOKUP($A18, INDIRECT("SepR!$A$6:$ZZ$1048576"), MATCH(K$1, SepR!$6:$6, 0), FALSE),
            0
        ) +
        IFERROR(
            VLOOKUP($A18, INDIRECT("OctR!$A$6:$ZZ$1048576"), MATCH(K$1, OctR!$6:$6, 0), FALSE),
            0
        ) +
        IFERROR(
            VLOOKUP($A18, INDIRECT("NovR!$A$6:$ZZ$1048576"), MATCH(K$1, NovR!$6:$6, 0), FALSE),
            0
        ) +
        IFERROR(
            VLOOKUP($A18, INDIRECT("DicR!$A$6:$ZZ$1048576"), MATCH(K$1, DicR!$6:$6, 0), FALSE),
            0
        )
)</f>
        <v>0</v>
      </c>
      <c r="L18" s="32">
        <f t="array" ref="L18">SUM(
    IFERROR(
            VLOOKUP($A18, INDIRECT("EneR!$A$6:$ZZ$1048576"), MATCH(L$1, EneR!$6:$6, 0), FALSE),
            0
        ) +
        IFERROR(
            VLOOKUP($A18, INDIRECT("FebR!$A$6:$ZZ$1048576"), MATCH(L$1, FebR!$6:$6, 0), FALSE),
            0
        ) +
        IFERROR(
            VLOOKUP($A18, INDIRECT("MarR!$A$6:$ZZ$1048576"), MATCH(L$1, MarR!$6:$6, 0), FALSE),
            0
        ) +
        IFERROR(
            VLOOKUP($A18, INDIRECT("AbrR!$A$6:$ZZ$1048576"), MATCH(L$1, AbrR!$6:$6, 0), FALSE),
            0
        ) +
        IFERROR(
            VLOOKUP($A18, INDIRECT("MayR!$A$6:$ZZ$1048576"), MATCH(L$1, MayR!$6:$6, 0), FALSE),
            0
        ) +
        IFERROR(
            VLOOKUP($A18, INDIRECT("JunR!$A$6:$ZZ$1048576"), MATCH(L$1, JunR!$6:$6, 0), FALSE),
            0
        ) +
        IFERROR(
            VLOOKUP($A18, INDIRECT("JulR!$A$6:$ZZ$1048576"), MATCH(L$1, JulR!$6:$6, 0), FALSE),
            0
        ) +
        IFERROR(
            VLOOKUP($A18, INDIRECT("AgoR!$A$6:$ZZ$1048576"), MATCH(L$1, AgoR!$6:$6, 0), FALSE),
            0
        ) +
        IFERROR(
            VLOOKUP($A18, INDIRECT("SepR!$A$6:$ZZ$1048576"), MATCH(L$1, SepR!$6:$6, 0), FALSE),
            0
        ) +
        IFERROR(
            VLOOKUP($A18, INDIRECT("OctR!$A$6:$ZZ$1048576"), MATCH(L$1, OctR!$6:$6, 0), FALSE),
            0
        ) +
        IFERROR(
            VLOOKUP($A18, INDIRECT("NovR!$A$6:$ZZ$1048576"), MATCH(L$1, NovR!$6:$6, 0), FALSE),
            0
        ) +
        IFERROR(
            VLOOKUP($A18, INDIRECT("DicR!$A$6:$ZZ$1048576"), MATCH(L$1, DicR!$6:$6, 0), FALSE),
            0
        )
)</f>
        <v>0</v>
      </c>
      <c r="M18" s="35">
        <f t="array" ref="M18">SUM(
    IFERROR(
            VLOOKUP($A18, INDIRECT("EneR!$A$6:$ZZ$1048576"), MATCH(M$1, EneR!$6:$6, 0), FALSE),
            0
        ) +
        IFERROR(
            VLOOKUP($A18, INDIRECT("FebR!$A$6:$ZZ$1048576"), MATCH(M$1, FebR!$6:$6, 0), FALSE),
            0
        ) +
        IFERROR(
            VLOOKUP($A18, INDIRECT("MarR!$A$6:$ZZ$1048576"), MATCH(M$1, MarR!$6:$6, 0), FALSE),
            0
        ) +
        IFERROR(
            VLOOKUP($A18, INDIRECT("AbrR!$A$6:$ZZ$1048576"), MATCH(M$1, AbrR!$6:$6, 0), FALSE),
            0
        ) +
        IFERROR(
            VLOOKUP($A18, INDIRECT("MayR!$A$6:$ZZ$1048576"), MATCH(M$1, MayR!$6:$6, 0), FALSE),
            0
        ) +
        IFERROR(
            VLOOKUP($A18, INDIRECT("JunR!$A$6:$ZZ$1048576"), MATCH(M$1, JunR!$6:$6, 0), FALSE),
            0
        ) +
        IFERROR(
            VLOOKUP($A18, INDIRECT("JulR!$A$6:$ZZ$1048576"), MATCH(M$1, JulR!$6:$6, 0), FALSE),
            0
        ) +
        IFERROR(
            VLOOKUP($A18, INDIRECT("AgoR!$A$6:$ZZ$1048576"), MATCH(M$1, AgoR!$6:$6, 0), FALSE),
            0
        ) +
        IFERROR(
            VLOOKUP($A18, INDIRECT("SepR!$A$6:$ZZ$1048576"), MATCH(M$1, SepR!$6:$6, 0), FALSE),
            0
        ) +
        IFERROR(
            VLOOKUP($A18, INDIRECT("OctR!$A$6:$ZZ$1048576"), MATCH(M$1, OctR!$6:$6, 0), FALSE),
            0
        ) +
        IFERROR(
            VLOOKUP($A18, INDIRECT("NovR!$A$6:$ZZ$1048576"), MATCH(M$1, NovR!$6:$6, 0), FALSE),
            0
        ) +
        IFERROR(
            VLOOKUP($A18, INDIRECT("DicR!$A$6:$ZZ$1048576"), MATCH(M$1, DicR!$6:$6, 0), FALSE),
            0
        )
)</f>
        <v>0</v>
      </c>
      <c r="N18" s="32">
        <f t="array" ref="N18">SUM(
    IFERROR(
            VLOOKUP($A18, INDIRECT("EneR!$A$6:$ZZ$1048576"), MATCH(N$1, EneR!$6:$6, 0), FALSE),
            0
        ) +
        IFERROR(
            VLOOKUP($A18, INDIRECT("FebR!$A$6:$ZZ$1048576"), MATCH(N$1, FebR!$6:$6, 0), FALSE),
            0
        ) +
        IFERROR(
            VLOOKUP($A18, INDIRECT("MarR!$A$6:$ZZ$1048576"), MATCH(N$1, MarR!$6:$6, 0), FALSE),
            0
        ) +
        IFERROR(
            VLOOKUP($A18, INDIRECT("AbrR!$A$6:$ZZ$1048576"), MATCH(N$1, AbrR!$6:$6, 0), FALSE),
            0
        ) +
        IFERROR(
            VLOOKUP($A18, INDIRECT("MayR!$A$6:$ZZ$1048576"), MATCH(N$1, MayR!$6:$6, 0), FALSE),
            0
        ) +
        IFERROR(
            VLOOKUP($A18, INDIRECT("JunR!$A$6:$ZZ$1048576"), MATCH(N$1, JunR!$6:$6, 0), FALSE),
            0
        ) +
        IFERROR(
            VLOOKUP($A18, INDIRECT("JulR!$A$6:$ZZ$1048576"), MATCH(N$1, JulR!$6:$6, 0), FALSE),
            0
        ) +
        IFERROR(
            VLOOKUP($A18, INDIRECT("AgoR!$A$6:$ZZ$1048576"), MATCH(N$1, AgoR!$6:$6, 0), FALSE),
            0
        ) +
        IFERROR(
            VLOOKUP($A18, INDIRECT("SepR!$A$6:$ZZ$1048576"), MATCH(N$1, SepR!$6:$6, 0), FALSE),
            0
        ) +
        IFERROR(
            VLOOKUP($A18, INDIRECT("OctR!$A$6:$ZZ$1048576"), MATCH(N$1, OctR!$6:$6, 0), FALSE),
            0
        ) +
        IFERROR(
            VLOOKUP($A18, INDIRECT("NovR!$A$6:$ZZ$1048576"), MATCH(N$1, NovR!$6:$6, 0), FALSE),
            0
        ) +
        IFERROR(
            VLOOKUP($A18, INDIRECT("DicR!$A$6:$ZZ$1048576"), MATCH(N$1, DicR!$6:$6, 0), FALSE),
            0
        )
)</f>
        <v>0</v>
      </c>
      <c r="O18" s="35">
        <f t="array" ref="O18">SUM(
    IFERROR(
            VLOOKUP($A18, INDIRECT("EneR!$A$6:$ZZ$1048576"), MATCH(O$1, EneR!$6:$6, 0), FALSE),
            0
        ) +
        IFERROR(
            VLOOKUP($A18, INDIRECT("FebR!$A$6:$ZZ$1048576"), MATCH(O$1, FebR!$6:$6, 0), FALSE),
            0
        ) +
        IFERROR(
            VLOOKUP($A18, INDIRECT("MarR!$A$6:$ZZ$1048576"), MATCH(O$1, MarR!$6:$6, 0), FALSE),
            0
        ) +
        IFERROR(
            VLOOKUP($A18, INDIRECT("AbrR!$A$6:$ZZ$1048576"), MATCH(O$1, AbrR!$6:$6, 0), FALSE),
            0
        ) +
        IFERROR(
            VLOOKUP($A18, INDIRECT("MayR!$A$6:$ZZ$1048576"), MATCH(O$1, MayR!$6:$6, 0), FALSE),
            0
        ) +
        IFERROR(
            VLOOKUP($A18, INDIRECT("JunR!$A$6:$ZZ$1048576"), MATCH(O$1, JunR!$6:$6, 0), FALSE),
            0
        ) +
        IFERROR(
            VLOOKUP($A18, INDIRECT("JulR!$A$6:$ZZ$1048576"), MATCH(O$1, JulR!$6:$6, 0), FALSE),
            0
        ) +
        IFERROR(
            VLOOKUP($A18, INDIRECT("AgoR!$A$6:$ZZ$1048576"), MATCH(O$1, AgoR!$6:$6, 0), FALSE),
            0
        ) +
        IFERROR(
            VLOOKUP($A18, INDIRECT("SepR!$A$6:$ZZ$1048576"), MATCH(O$1, SepR!$6:$6, 0), FALSE),
            0
        ) +
        IFERROR(
            VLOOKUP($A18, INDIRECT("OctR!$A$6:$ZZ$1048576"), MATCH(O$1, OctR!$6:$6, 0), FALSE),
            0
        ) +
        IFERROR(
            VLOOKUP($A18, INDIRECT("NovR!$A$6:$ZZ$1048576"), MATCH(O$1, NovR!$6:$6, 0), FALSE),
            0
        ) +
        IFERROR(
            VLOOKUP($A18, INDIRECT("DicR!$A$6:$ZZ$1048576"), MATCH(O$1, DicR!$6:$6, 0), FALSE),
            0
        )
)</f>
        <v>0</v>
      </c>
      <c r="P18" s="32">
        <f t="array" ref="P18">SUM(
    IFERROR(
            VLOOKUP($A18, INDIRECT("EneR!$A$6:$ZZ$1048576"), MATCH(P$1, EneR!$6:$6, 0), FALSE),
            0
        ) +
        IFERROR(
            VLOOKUP($A18, INDIRECT("FebR!$A$6:$ZZ$1048576"), MATCH(P$1, FebR!$6:$6, 0), FALSE),
            0
        ) +
        IFERROR(
            VLOOKUP($A18, INDIRECT("MarR!$A$6:$ZZ$1048576"), MATCH(P$1, MarR!$6:$6, 0), FALSE),
            0
        ) +
        IFERROR(
            VLOOKUP($A18, INDIRECT("AbrR!$A$6:$ZZ$1048576"), MATCH(P$1, AbrR!$6:$6, 0), FALSE),
            0
        ) +
        IFERROR(
            VLOOKUP($A18, INDIRECT("MayR!$A$6:$ZZ$1048576"), MATCH(P$1, MayR!$6:$6, 0), FALSE),
            0
        ) +
        IFERROR(
            VLOOKUP($A18, INDIRECT("JunR!$A$6:$ZZ$1048576"), MATCH(P$1, JunR!$6:$6, 0), FALSE),
            0
        ) +
        IFERROR(
            VLOOKUP($A18, INDIRECT("JulR!$A$6:$ZZ$1048576"), MATCH(P$1, JulR!$6:$6, 0), FALSE),
            0
        ) +
        IFERROR(
            VLOOKUP($A18, INDIRECT("AgoR!$A$6:$ZZ$1048576"), MATCH(P$1, AgoR!$6:$6, 0), FALSE),
            0
        ) +
        IFERROR(
            VLOOKUP($A18, INDIRECT("SepR!$A$6:$ZZ$1048576"), MATCH(P$1, SepR!$6:$6, 0), FALSE),
            0
        ) +
        IFERROR(
            VLOOKUP($A18, INDIRECT("OctR!$A$6:$ZZ$1048576"), MATCH(P$1, OctR!$6:$6, 0), FALSE),
            0
        ) +
        IFERROR(
            VLOOKUP($A18, INDIRECT("NovR!$A$6:$ZZ$1048576"), MATCH(P$1, NovR!$6:$6, 0), FALSE),
            0
        ) +
        IFERROR(
            VLOOKUP($A18, INDIRECT("DicR!$A$6:$ZZ$1048576"), MATCH(P$1, DicR!$6:$6, 0), FALSE),
            0
        )
)</f>
        <v>0</v>
      </c>
      <c r="Q18" s="35">
        <f t="array" ref="Q18">SUM(
    IFERROR(
            VLOOKUP($A18, INDIRECT("EneR!$A$6:$ZZ$1048576"), MATCH(Q$1, EneR!$6:$6, 0), FALSE),
            0
        ) +
        IFERROR(
            VLOOKUP($A18, INDIRECT("FebR!$A$6:$ZZ$1048576"), MATCH(Q$1, FebR!$6:$6, 0), FALSE),
            0
        ) +
        IFERROR(
            VLOOKUP($A18, INDIRECT("MarR!$A$6:$ZZ$1048576"), MATCH(Q$1, MarR!$6:$6, 0), FALSE),
            0
        ) +
        IFERROR(
            VLOOKUP($A18, INDIRECT("AbrR!$A$6:$ZZ$1048576"), MATCH(Q$1, AbrR!$6:$6, 0), FALSE),
            0
        ) +
        IFERROR(
            VLOOKUP($A18, INDIRECT("MayR!$A$6:$ZZ$1048576"), MATCH(Q$1, MayR!$6:$6, 0), FALSE),
            0
        ) +
        IFERROR(
            VLOOKUP($A18, INDIRECT("JunR!$A$6:$ZZ$1048576"), MATCH(Q$1, JunR!$6:$6, 0), FALSE),
            0
        ) +
        IFERROR(
            VLOOKUP($A18, INDIRECT("JulR!$A$6:$ZZ$1048576"), MATCH(Q$1, JulR!$6:$6, 0), FALSE),
            0
        ) +
        IFERROR(
            VLOOKUP($A18, INDIRECT("AgoR!$A$6:$ZZ$1048576"), MATCH(Q$1, AgoR!$6:$6, 0), FALSE),
            0
        ) +
        IFERROR(
            VLOOKUP($A18, INDIRECT("SepR!$A$6:$ZZ$1048576"), MATCH(Q$1, SepR!$6:$6, 0), FALSE),
            0
        ) +
        IFERROR(
            VLOOKUP($A18, INDIRECT("OctR!$A$6:$ZZ$1048576"), MATCH(Q$1, OctR!$6:$6, 0), FALSE),
            0
        ) +
        IFERROR(
            VLOOKUP($A18, INDIRECT("NovR!$A$6:$ZZ$1048576"), MATCH(Q$1, NovR!$6:$6, 0), FALSE),
            0
        ) +
        IFERROR(
            VLOOKUP($A18, INDIRECT("DicR!$A$6:$ZZ$1048576"), MATCH(Q$1, DicR!$6:$6, 0), FALSE),
            0
        )
)</f>
        <v>0</v>
      </c>
      <c r="R18" s="36">
        <f t="array" ref="R18">SUM(
    IFERROR(
            VLOOKUP($A18, INDIRECT("EneR!$A$6:$ZZ$1048576"), MATCH(R$1, EneR!$6:$6, 0), FALSE),
            0
        ) +
        IFERROR(
            VLOOKUP($A18, INDIRECT("FebR!$A$6:$ZZ$1048576"), MATCH(R$1, FebR!$6:$6, 0), FALSE),
            0
        ) +
        IFERROR(
            VLOOKUP($A18, INDIRECT("MarR!$A$6:$ZZ$1048576"), MATCH(R$1, MarR!$6:$6, 0), FALSE),
            0
        ) +
        IFERROR(
            VLOOKUP($A18, INDIRECT("AbrR!$A$6:$ZZ$1048576"), MATCH(R$1, AbrR!$6:$6, 0), FALSE),
            0
        ) +
        IFERROR(
            VLOOKUP($A18, INDIRECT("MayR!$A$6:$ZZ$1048576"), MATCH(R$1, MayR!$6:$6, 0), FALSE),
            0
        ) +
        IFERROR(
            VLOOKUP($A18, INDIRECT("JunR!$A$6:$ZZ$1048576"), MATCH(R$1, JunR!$6:$6, 0), FALSE),
            0
        ) +
        IFERROR(
            VLOOKUP($A18, INDIRECT("JulR!$A$6:$ZZ$1048576"), MATCH(R$1, JulR!$6:$6, 0), FALSE),
            0
        ) +
        IFERROR(
            VLOOKUP($A18, INDIRECT("AgoR!$A$6:$ZZ$1048576"), MATCH(R$1, AgoR!$6:$6, 0), FALSE),
            0
        ) +
        IFERROR(
            VLOOKUP($A18, INDIRECT("SepR!$A$6:$ZZ$1048576"), MATCH(R$1, SepR!$6:$6, 0), FALSE),
            0
        ) +
        IFERROR(
            VLOOKUP($A18, INDIRECT("OctR!$A$6:$ZZ$1048576"), MATCH(R$1, OctR!$6:$6, 0), FALSE),
            0
        ) +
        IFERROR(
            VLOOKUP($A18, INDIRECT("NovR!$A$6:$ZZ$1048576"), MATCH(R$1, NovR!$6:$6, 0), FALSE),
            0
        ) +
        IFERROR(
            VLOOKUP($A18, INDIRECT("DicR!$A$6:$ZZ$1048576"), MATCH(R$1, DicR!$6:$6, 0), FALSE),
            0
        )
)</f>
        <v>0</v>
      </c>
      <c r="S18" s="37">
        <f t="array" ref="S18">SUM(
    IFERROR(
            VLOOKUP($A18, INDIRECT("EneR!$A$6:$ZZ$1048576"), MATCH(S$1, EneR!$6:$6, 0), FALSE),
            0
        ) +
        IFERROR(
            VLOOKUP($A18, INDIRECT("FebR!$A$6:$ZZ$1048576"), MATCH(S$1, FebR!$6:$6, 0), FALSE),
            0
        ) +
        IFERROR(
            VLOOKUP($A18, INDIRECT("MarR!$A$6:$ZZ$1048576"), MATCH(S$1, MarR!$6:$6, 0), FALSE),
            0
        ) +
        IFERROR(
            VLOOKUP($A18, INDIRECT("AbrR!$A$6:$ZZ$1048576"), MATCH(S$1, AbrR!$6:$6, 0), FALSE),
            0
        ) +
        IFERROR(
            VLOOKUP($A18, INDIRECT("MayR!$A$6:$ZZ$1048576"), MATCH(S$1, MayR!$6:$6, 0), FALSE),
            0
        ) +
        IFERROR(
            VLOOKUP($A18, INDIRECT("JunR!$A$6:$ZZ$1048576"), MATCH(S$1, JunR!$6:$6, 0), FALSE),
            0
        ) +
        IFERROR(
            VLOOKUP($A18, INDIRECT("JulR!$A$6:$ZZ$1048576"), MATCH(S$1, JulR!$6:$6, 0), FALSE),
            0
        ) +
        IFERROR(
            VLOOKUP($A18, INDIRECT("AgoR!$A$6:$ZZ$1048576"), MATCH(S$1, AgoR!$6:$6, 0), FALSE),
            0
        ) +
        IFERROR(
            VLOOKUP($A18, INDIRECT("SepR!$A$6:$ZZ$1048576"), MATCH(S$1, SepR!$6:$6, 0), FALSE),
            0
        ) +
        IFERROR(
            VLOOKUP($A18, INDIRECT("OctR!$A$6:$ZZ$1048576"), MATCH(S$1, OctR!$6:$6, 0), FALSE),
            0
        ) +
        IFERROR(
            VLOOKUP($A18, INDIRECT("NovR!$A$6:$ZZ$1048576"), MATCH(S$1, NovR!$6:$6, 0), FALSE),
            0
        ) +
        IFERROR(
            VLOOKUP($A18, INDIRECT("DicR!$A$6:$ZZ$1048576"), MATCH(S$1, DicR!$6:$6, 0), FALSE),
            0
        )
)</f>
        <v>0</v>
      </c>
      <c r="T18" s="36">
        <f t="array" ref="T18">SUM(
    IFERROR(
            VLOOKUP($A18, INDIRECT("EneR!$A$6:$ZZ$1048576"), MATCH(T$1, EneR!$6:$6, 0), FALSE),
            0
        ) +
        IFERROR(
            VLOOKUP($A18, INDIRECT("FebR!$A$6:$ZZ$1048576"), MATCH(T$1, FebR!$6:$6, 0), FALSE),
            0
        ) +
        IFERROR(
            VLOOKUP($A18, INDIRECT("MarR!$A$6:$ZZ$1048576"), MATCH(T$1, MarR!$6:$6, 0), FALSE),
            0
        ) +
        IFERROR(
            VLOOKUP($A18, INDIRECT("AbrR!$A$6:$ZZ$1048576"), MATCH(T$1, AbrR!$6:$6, 0), FALSE),
            0
        ) +
        IFERROR(
            VLOOKUP($A18, INDIRECT("MayR!$A$6:$ZZ$1048576"), MATCH(T$1, MayR!$6:$6, 0), FALSE),
            0
        ) +
        IFERROR(
            VLOOKUP($A18, INDIRECT("JunR!$A$6:$ZZ$1048576"), MATCH(T$1, JunR!$6:$6, 0), FALSE),
            0
        ) +
        IFERROR(
            VLOOKUP($A18, INDIRECT("JulR!$A$6:$ZZ$1048576"), MATCH(T$1, JulR!$6:$6, 0), FALSE),
            0
        ) +
        IFERROR(
            VLOOKUP($A18, INDIRECT("AgoR!$A$6:$ZZ$1048576"), MATCH(T$1, AgoR!$6:$6, 0), FALSE),
            0
        ) +
        IFERROR(
            VLOOKUP($A18, INDIRECT("SepR!$A$6:$ZZ$1048576"), MATCH(T$1, SepR!$6:$6, 0), FALSE),
            0
        ) +
        IFERROR(
            VLOOKUP($A18, INDIRECT("OctR!$A$6:$ZZ$1048576"), MATCH(T$1, OctR!$6:$6, 0), FALSE),
            0
        ) +
        IFERROR(
            VLOOKUP($A18, INDIRECT("NovR!$A$6:$ZZ$1048576"), MATCH(T$1, NovR!$6:$6, 0), FALSE),
            0
        ) +
        IFERROR(
            VLOOKUP($A18, INDIRECT("DicR!$A$6:$ZZ$1048576"), MATCH(T$1, DicR!$6:$6, 0), FALSE),
            0
        )
)</f>
        <v>0</v>
      </c>
      <c r="U18" s="37">
        <f t="array" ref="U18">SUM(
    IFERROR(
            VLOOKUP($A18, INDIRECT("EneR!$A$6:$ZZ$1048576"), MATCH(U$1, EneR!$6:$6, 0), FALSE),
            0
        ) +
        IFERROR(
            VLOOKUP($A18, INDIRECT("FebR!$A$6:$ZZ$1048576"), MATCH(U$1, FebR!$6:$6, 0), FALSE),
            0
        ) +
        IFERROR(
            VLOOKUP($A18, INDIRECT("MarR!$A$6:$ZZ$1048576"), MATCH(U$1, MarR!$6:$6, 0), FALSE),
            0
        ) +
        IFERROR(
            VLOOKUP($A18, INDIRECT("AbrR!$A$6:$ZZ$1048576"), MATCH(U$1, AbrR!$6:$6, 0), FALSE),
            0
        ) +
        IFERROR(
            VLOOKUP($A18, INDIRECT("MayR!$A$6:$ZZ$1048576"), MATCH(U$1, MayR!$6:$6, 0), FALSE),
            0
        ) +
        IFERROR(
            VLOOKUP($A18, INDIRECT("JunR!$A$6:$ZZ$1048576"), MATCH(U$1, JunR!$6:$6, 0), FALSE),
            0
        ) +
        IFERROR(
            VLOOKUP($A18, INDIRECT("JulR!$A$6:$ZZ$1048576"), MATCH(U$1, JulR!$6:$6, 0), FALSE),
            0
        ) +
        IFERROR(
            VLOOKUP($A18, INDIRECT("AgoR!$A$6:$ZZ$1048576"), MATCH(U$1, AgoR!$6:$6, 0), FALSE),
            0
        ) +
        IFERROR(
            VLOOKUP($A18, INDIRECT("SepR!$A$6:$ZZ$1048576"), MATCH(U$1, SepR!$6:$6, 0), FALSE),
            0
        ) +
        IFERROR(
            VLOOKUP($A18, INDIRECT("OctR!$A$6:$ZZ$1048576"), MATCH(U$1, OctR!$6:$6, 0), FALSE),
            0
        ) +
        IFERROR(
            VLOOKUP($A18, INDIRECT("NovR!$A$6:$ZZ$1048576"), MATCH(U$1, NovR!$6:$6, 0), FALSE),
            0
        ) +
        IFERROR(
            VLOOKUP($A18, INDIRECT("DicR!$A$6:$ZZ$1048576"), MATCH(U$1, DicR!$6:$6, 0), FALSE),
            0
        )
)</f>
        <v>0</v>
      </c>
      <c r="V18" s="36">
        <f t="array" ref="V18">SUM(
    IFERROR(
            VLOOKUP($A18, INDIRECT("EneR!$A$6:$ZZ$1048576"), MATCH(V$1, EneR!$6:$6, 0), FALSE),
            0
        ) +
        IFERROR(
            VLOOKUP($A18, INDIRECT("FebR!$A$6:$ZZ$1048576"), MATCH(V$1, FebR!$6:$6, 0), FALSE),
            0
        ) +
        IFERROR(
            VLOOKUP($A18, INDIRECT("MarR!$A$6:$ZZ$1048576"), MATCH(V$1, MarR!$6:$6, 0), FALSE),
            0
        ) +
        IFERROR(
            VLOOKUP($A18, INDIRECT("AbrR!$A$6:$ZZ$1048576"), MATCH(V$1, AbrR!$6:$6, 0), FALSE),
            0
        ) +
        IFERROR(
            VLOOKUP($A18, INDIRECT("MayR!$A$6:$ZZ$1048576"), MATCH(V$1, MayR!$6:$6, 0), FALSE),
            0
        ) +
        IFERROR(
            VLOOKUP($A18, INDIRECT("JunR!$A$6:$ZZ$1048576"), MATCH(V$1, JunR!$6:$6, 0), FALSE),
            0
        ) +
        IFERROR(
            VLOOKUP($A18, INDIRECT("JulR!$A$6:$ZZ$1048576"), MATCH(V$1, JulR!$6:$6, 0), FALSE),
            0
        ) +
        IFERROR(
            VLOOKUP($A18, INDIRECT("AgoR!$A$6:$ZZ$1048576"), MATCH(V$1, AgoR!$6:$6, 0), FALSE),
            0
        ) +
        IFERROR(
            VLOOKUP($A18, INDIRECT("SepR!$A$6:$ZZ$1048576"), MATCH(V$1, SepR!$6:$6, 0), FALSE),
            0
        ) +
        IFERROR(
            VLOOKUP($A18, INDIRECT("OctR!$A$6:$ZZ$1048576"), MATCH(V$1, OctR!$6:$6, 0), FALSE),
            0
        ) +
        IFERROR(
            VLOOKUP($A18, INDIRECT("NovR!$A$6:$ZZ$1048576"), MATCH(V$1, NovR!$6:$6, 0), FALSE),
            0
        ) +
        IFERROR(
            VLOOKUP($A18, INDIRECT("DicR!$A$6:$ZZ$1048576"), MATCH(V$1, DicR!$6:$6, 0), FALSE),
            0
        )
)</f>
        <v>0</v>
      </c>
      <c r="W18" s="37">
        <f t="array" ref="W18">SUM(
    IFERROR(
            VLOOKUP($A18, INDIRECT("EneR!$A$6:$ZZ$1048576"), MATCH(W$1, EneR!$6:$6, 0), FALSE),
            0
        ) +
        IFERROR(
            VLOOKUP($A18, INDIRECT("FebR!$A$6:$ZZ$1048576"), MATCH(W$1, FebR!$6:$6, 0), FALSE),
            0
        ) +
        IFERROR(
            VLOOKUP($A18, INDIRECT("MarR!$A$6:$ZZ$1048576"), MATCH(W$1, MarR!$6:$6, 0), FALSE),
            0
        ) +
        IFERROR(
            VLOOKUP($A18, INDIRECT("AbrR!$A$6:$ZZ$1048576"), MATCH(W$1, AbrR!$6:$6, 0), FALSE),
            0
        ) +
        IFERROR(
            VLOOKUP($A18, INDIRECT("MayR!$A$6:$ZZ$1048576"), MATCH(W$1, MayR!$6:$6, 0), FALSE),
            0
        ) +
        IFERROR(
            VLOOKUP($A18, INDIRECT("JunR!$A$6:$ZZ$1048576"), MATCH(W$1, JunR!$6:$6, 0), FALSE),
            0
        ) +
        IFERROR(
            VLOOKUP($A18, INDIRECT("JulR!$A$6:$ZZ$1048576"), MATCH(W$1, JulR!$6:$6, 0), FALSE),
            0
        ) +
        IFERROR(
            VLOOKUP($A18, INDIRECT("AgoR!$A$6:$ZZ$1048576"), MATCH(W$1, AgoR!$6:$6, 0), FALSE),
            0
        ) +
        IFERROR(
            VLOOKUP($A18, INDIRECT("SepR!$A$6:$ZZ$1048576"), MATCH(W$1, SepR!$6:$6, 0), FALSE),
            0
        ) +
        IFERROR(
            VLOOKUP($A18, INDIRECT("OctR!$A$6:$ZZ$1048576"), MATCH(W$1, OctR!$6:$6, 0), FALSE),
            0
        ) +
        IFERROR(
            VLOOKUP($A18, INDIRECT("NovR!$A$6:$ZZ$1048576"), MATCH(W$1, NovR!$6:$6, 0), FALSE),
            0
        ) +
        IFERROR(
            VLOOKUP($A18, INDIRECT("DicR!$A$6:$ZZ$1048576"), MATCH(W$1, DicR!$6:$6, 0), FALSE),
            0
        )
)</f>
        <v>0</v>
      </c>
      <c r="X18" s="36">
        <f t="array" ref="X18">SUM(
    IFERROR(
            VLOOKUP($A18, INDIRECT("EneR!$A$6:$ZZ$1048576"), MATCH(X$1, EneR!$6:$6, 0), FALSE),
            0
        ) +
        IFERROR(
            VLOOKUP($A18, INDIRECT("FebR!$A$6:$ZZ$1048576"), MATCH(X$1, FebR!$6:$6, 0), FALSE),
            0
        ) +
        IFERROR(
            VLOOKUP($A18, INDIRECT("MarR!$A$6:$ZZ$1048576"), MATCH(X$1, MarR!$6:$6, 0), FALSE),
            0
        ) +
        IFERROR(
            VLOOKUP($A18, INDIRECT("AbrR!$A$6:$ZZ$1048576"), MATCH(X$1, AbrR!$6:$6, 0), FALSE),
            0
        ) +
        IFERROR(
            VLOOKUP($A18, INDIRECT("MayR!$A$6:$ZZ$1048576"), MATCH(X$1, MayR!$6:$6, 0), FALSE),
            0
        ) +
        IFERROR(
            VLOOKUP($A18, INDIRECT("JunR!$A$6:$ZZ$1048576"), MATCH(X$1, JunR!$6:$6, 0), FALSE),
            0
        ) +
        IFERROR(
            VLOOKUP($A18, INDIRECT("JulR!$A$6:$ZZ$1048576"), MATCH(X$1, JulR!$6:$6, 0), FALSE),
            0
        ) +
        IFERROR(
            VLOOKUP($A18, INDIRECT("AgoR!$A$6:$ZZ$1048576"), MATCH(X$1, AgoR!$6:$6, 0), FALSE),
            0
        ) +
        IFERROR(
            VLOOKUP($A18, INDIRECT("SepR!$A$6:$ZZ$1048576"), MATCH(X$1, SepR!$6:$6, 0), FALSE),
            0
        ) +
        IFERROR(
            VLOOKUP($A18, INDIRECT("OctR!$A$6:$ZZ$1048576"), MATCH(X$1, OctR!$6:$6, 0), FALSE),
            0
        ) +
        IFERROR(
            VLOOKUP($A18, INDIRECT("NovR!$A$6:$ZZ$1048576"), MATCH(X$1, NovR!$6:$6, 0), FALSE),
            0
        ) +
        IFERROR(
            VLOOKUP($A18, INDIRECT("DicR!$A$6:$ZZ$1048576"), MATCH(X$1, DicR!$6:$6, 0), FALSE),
            0
        )
)</f>
        <v>0</v>
      </c>
      <c r="Y18" s="37">
        <f t="array" ref="Y18">SUM(
    IFERROR(
            VLOOKUP($A18, INDIRECT("EneR!$A$6:$ZZ$1048576"), MATCH(Y$1, EneR!$6:$6, 0), FALSE),
            0
        ) +
        IFERROR(
            VLOOKUP($A18, INDIRECT("FebR!$A$6:$ZZ$1048576"), MATCH(Y$1, FebR!$6:$6, 0), FALSE),
            0
        ) +
        IFERROR(
            VLOOKUP($A18, INDIRECT("MarR!$A$6:$ZZ$1048576"), MATCH(Y$1, MarR!$6:$6, 0), FALSE),
            0
        ) +
        IFERROR(
            VLOOKUP($A18, INDIRECT("AbrR!$A$6:$ZZ$1048576"), MATCH(Y$1, AbrR!$6:$6, 0), FALSE),
            0
        ) +
        IFERROR(
            VLOOKUP($A18, INDIRECT("MayR!$A$6:$ZZ$1048576"), MATCH(Y$1, MayR!$6:$6, 0), FALSE),
            0
        ) +
        IFERROR(
            VLOOKUP($A18, INDIRECT("JunR!$A$6:$ZZ$1048576"), MATCH(Y$1, JunR!$6:$6, 0), FALSE),
            0
        ) +
        IFERROR(
            VLOOKUP($A18, INDIRECT("JulR!$A$6:$ZZ$1048576"), MATCH(Y$1, JulR!$6:$6, 0), FALSE),
            0
        ) +
        IFERROR(
            VLOOKUP($A18, INDIRECT("AgoR!$A$6:$ZZ$1048576"), MATCH(Y$1, AgoR!$6:$6, 0), FALSE),
            0
        ) +
        IFERROR(
            VLOOKUP($A18, INDIRECT("SepR!$A$6:$ZZ$1048576"), MATCH(Y$1, SepR!$6:$6, 0), FALSE),
            0
        ) +
        IFERROR(
            VLOOKUP($A18, INDIRECT("OctR!$A$6:$ZZ$1048576"), MATCH(Y$1, OctR!$6:$6, 0), FALSE),
            0
        ) +
        IFERROR(
            VLOOKUP($A18, INDIRECT("NovR!$A$6:$ZZ$1048576"), MATCH(Y$1, NovR!$6:$6, 0), FALSE),
            0
        ) +
        IFERROR(
            VLOOKUP($A18, INDIRECT("DicR!$A$6:$ZZ$1048576"), MATCH(Y$1, DicR!$6:$6, 0), FALSE),
            0
        )
)</f>
        <v>0</v>
      </c>
      <c r="Z18" s="36">
        <f t="array" ref="Z18">SUM(
    IFERROR(
            VLOOKUP($A18, INDIRECT("EneR!$A$6:$ZZ$1048576"), MATCH(Z$1, EneR!$6:$6, 0), FALSE),
            0
        ) +
        IFERROR(
            VLOOKUP($A18, INDIRECT("FebR!$A$6:$ZZ$1048576"), MATCH(Z$1, FebR!$6:$6, 0), FALSE),
            0
        ) +
        IFERROR(
            VLOOKUP($A18, INDIRECT("MarR!$A$6:$ZZ$1048576"), MATCH(Z$1, MarR!$6:$6, 0), FALSE),
            0
        ) +
        IFERROR(
            VLOOKUP($A18, INDIRECT("AbrR!$A$6:$ZZ$1048576"), MATCH(Z$1, AbrR!$6:$6, 0), FALSE),
            0
        ) +
        IFERROR(
            VLOOKUP($A18, INDIRECT("MayR!$A$6:$ZZ$1048576"), MATCH(Z$1, MayR!$6:$6, 0), FALSE),
            0
        ) +
        IFERROR(
            VLOOKUP($A18, INDIRECT("JunR!$A$6:$ZZ$1048576"), MATCH(Z$1, JunR!$6:$6, 0), FALSE),
            0
        ) +
        IFERROR(
            VLOOKUP($A18, INDIRECT("JulR!$A$6:$ZZ$1048576"), MATCH(Z$1, JulR!$6:$6, 0), FALSE),
            0
        ) +
        IFERROR(
            VLOOKUP($A18, INDIRECT("AgoR!$A$6:$ZZ$1048576"), MATCH(Z$1, AgoR!$6:$6, 0), FALSE),
            0
        ) +
        IFERROR(
            VLOOKUP($A18, INDIRECT("SepR!$A$6:$ZZ$1048576"), MATCH(Z$1, SepR!$6:$6, 0), FALSE),
            0
        ) +
        IFERROR(
            VLOOKUP($A18, INDIRECT("OctR!$A$6:$ZZ$1048576"), MATCH(Z$1, OctR!$6:$6, 0), FALSE),
            0
        ) +
        IFERROR(
            VLOOKUP($A18, INDIRECT("NovR!$A$6:$ZZ$1048576"), MATCH(Z$1, NovR!$6:$6, 0), FALSE),
            0
        ) +
        IFERROR(
            VLOOKUP($A18, INDIRECT("DicR!$A$6:$ZZ$1048576"), MATCH(Z$1, DicR!$6:$6, 0), FALSE),
            0
        )
)</f>
        <v>0</v>
      </c>
      <c r="AA18" s="37">
        <f t="array" ref="AA18">SUM(
    IFERROR(
            VLOOKUP($A18, INDIRECT("EneR!$A$6:$ZZ$1048576"), MATCH(AA$1, EneR!$6:$6, 0), FALSE),
            0
        ) +
        IFERROR(
            VLOOKUP($A18, INDIRECT("FebR!$A$6:$ZZ$1048576"), MATCH(AA$1, FebR!$6:$6, 0), FALSE),
            0
        ) +
        IFERROR(
            VLOOKUP($A18, INDIRECT("MarR!$A$6:$ZZ$1048576"), MATCH(AA$1, MarR!$6:$6, 0), FALSE),
            0
        ) +
        IFERROR(
            VLOOKUP($A18, INDIRECT("AbrR!$A$6:$ZZ$1048576"), MATCH(AA$1, AbrR!$6:$6, 0), FALSE),
            0
        ) +
        IFERROR(
            VLOOKUP($A18, INDIRECT("MayR!$A$6:$ZZ$1048576"), MATCH(AA$1, MayR!$6:$6, 0), FALSE),
            0
        ) +
        IFERROR(
            VLOOKUP($A18, INDIRECT("JunR!$A$6:$ZZ$1048576"), MATCH(AA$1, JunR!$6:$6, 0), FALSE),
            0
        ) +
        IFERROR(
            VLOOKUP($A18, INDIRECT("JulR!$A$6:$ZZ$1048576"), MATCH(AA$1, JulR!$6:$6, 0), FALSE),
            0
        ) +
        IFERROR(
            VLOOKUP($A18, INDIRECT("AgoR!$A$6:$ZZ$1048576"), MATCH(AA$1, AgoR!$6:$6, 0), FALSE),
            0
        ) +
        IFERROR(
            VLOOKUP($A18, INDIRECT("SepR!$A$6:$ZZ$1048576"), MATCH(AA$1, SepR!$6:$6, 0), FALSE),
            0
        ) +
        IFERROR(
            VLOOKUP($A18, INDIRECT("OctR!$A$6:$ZZ$1048576"), MATCH(AA$1, OctR!$6:$6, 0), FALSE),
            0
        ) +
        IFERROR(
            VLOOKUP($A18, INDIRECT("NovR!$A$6:$ZZ$1048576"), MATCH(AA$1, NovR!$6:$6, 0), FALSE),
            0
        ) +
        IFERROR(
            VLOOKUP($A18, INDIRECT("DicR!$A$6:$ZZ$1048576"), MATCH(AA$1, DicR!$6:$6, 0), FALSE),
            0
        )
)</f>
        <v>0</v>
      </c>
      <c r="AB18" s="36">
        <f t="array" ref="AB18">SUM(
    IFERROR(
            VLOOKUP($A18, INDIRECT("EneR!$A$6:$ZZ$1048576"), MATCH(AB$1, EneR!$6:$6, 0), FALSE),
            0
        ) +
        IFERROR(
            VLOOKUP($A18, INDIRECT("FebR!$A$6:$ZZ$1048576"), MATCH(AB$1, FebR!$6:$6, 0), FALSE),
            0
        ) +
        IFERROR(
            VLOOKUP($A18, INDIRECT("MarR!$A$6:$ZZ$1048576"), MATCH(AB$1, MarR!$6:$6, 0), FALSE),
            0
        ) +
        IFERROR(
            VLOOKUP($A18, INDIRECT("AbrR!$A$6:$ZZ$1048576"), MATCH(AB$1, AbrR!$6:$6, 0), FALSE),
            0
        ) +
        IFERROR(
            VLOOKUP($A18, INDIRECT("MayR!$A$6:$ZZ$1048576"), MATCH(AB$1, MayR!$6:$6, 0), FALSE),
            0
        ) +
        IFERROR(
            VLOOKUP($A18, INDIRECT("JunR!$A$6:$ZZ$1048576"), MATCH(AB$1, JunR!$6:$6, 0), FALSE),
            0
        ) +
        IFERROR(
            VLOOKUP($A18, INDIRECT("JulR!$A$6:$ZZ$1048576"), MATCH(AB$1, JulR!$6:$6, 0), FALSE),
            0
        ) +
        IFERROR(
            VLOOKUP($A18, INDIRECT("AgoR!$A$6:$ZZ$1048576"), MATCH(AB$1, AgoR!$6:$6, 0), FALSE),
            0
        ) +
        IFERROR(
            VLOOKUP($A18, INDIRECT("SepR!$A$6:$ZZ$1048576"), MATCH(AB$1, SepR!$6:$6, 0), FALSE),
            0
        ) +
        IFERROR(
            VLOOKUP($A18, INDIRECT("OctR!$A$6:$ZZ$1048576"), MATCH(AB$1, OctR!$6:$6, 0), FALSE),
            0
        ) +
        IFERROR(
            VLOOKUP($A18, INDIRECT("NovR!$A$6:$ZZ$1048576"), MATCH(AB$1, NovR!$6:$6, 0), FALSE),
            0
        ) +
        IFERROR(
            VLOOKUP($A18, INDIRECT("DicR!$A$6:$ZZ$1048576"), MATCH(AB$1, DicR!$6:$6, 0), FALSE),
            0
        )
)</f>
        <v>0</v>
      </c>
      <c r="AC18" s="37">
        <f t="array" ref="AC18">SUM(
    IFERROR(
            VLOOKUP($A18, INDIRECT("EneR!$A$6:$ZZ$1048576"), MATCH(AC$1, EneR!$6:$6, 0), FALSE),
            0
        ) +
        IFERROR(
            VLOOKUP($A18, INDIRECT("FebR!$A$6:$ZZ$1048576"), MATCH(AC$1, FebR!$6:$6, 0), FALSE),
            0
        ) +
        IFERROR(
            VLOOKUP($A18, INDIRECT("MarR!$A$6:$ZZ$1048576"), MATCH(AC$1, MarR!$6:$6, 0), FALSE),
            0
        ) +
        IFERROR(
            VLOOKUP($A18, INDIRECT("AbrR!$A$6:$ZZ$1048576"), MATCH(AC$1, AbrR!$6:$6, 0), FALSE),
            0
        ) +
        IFERROR(
            VLOOKUP($A18, INDIRECT("MayR!$A$6:$ZZ$1048576"), MATCH(AC$1, MayR!$6:$6, 0), FALSE),
            0
        ) +
        IFERROR(
            VLOOKUP($A18, INDIRECT("JunR!$A$6:$ZZ$1048576"), MATCH(AC$1, JunR!$6:$6, 0), FALSE),
            0
        ) +
        IFERROR(
            VLOOKUP($A18, INDIRECT("JulR!$A$6:$ZZ$1048576"), MATCH(AC$1, JulR!$6:$6, 0), FALSE),
            0
        ) +
        IFERROR(
            VLOOKUP($A18, INDIRECT("AgoR!$A$6:$ZZ$1048576"), MATCH(AC$1, AgoR!$6:$6, 0), FALSE),
            0
        ) +
        IFERROR(
            VLOOKUP($A18, INDIRECT("SepR!$A$6:$ZZ$1048576"), MATCH(AC$1, SepR!$6:$6, 0), FALSE),
            0
        ) +
        IFERROR(
            VLOOKUP($A18, INDIRECT("OctR!$A$6:$ZZ$1048576"), MATCH(AC$1, OctR!$6:$6, 0), FALSE),
            0
        ) +
        IFERROR(
            VLOOKUP($A18, INDIRECT("NovR!$A$6:$ZZ$1048576"), MATCH(AC$1, NovR!$6:$6, 0), FALSE),
            0
        ) +
        IFERROR(
            VLOOKUP($A18, INDIRECT("DicR!$A$6:$ZZ$1048576"), MATCH(AC$1, DicR!$6:$6, 0), FALSE),
            0
        )
)</f>
        <v>0</v>
      </c>
      <c r="AD18" s="36">
        <f t="array" ref="AD18">SUM(
    IFERROR(
            VLOOKUP($A18, INDIRECT("EneR!$A$6:$ZZ$1048576"), MATCH(AD$1, EneR!$6:$6, 0), FALSE),
            0
        ) +
        IFERROR(
            VLOOKUP($A18, INDIRECT("FebR!$A$6:$ZZ$1048576"), MATCH(AD$1, FebR!$6:$6, 0), FALSE),
            0
        ) +
        IFERROR(
            VLOOKUP($A18, INDIRECT("MarR!$A$6:$ZZ$1048576"), MATCH(AD$1, MarR!$6:$6, 0), FALSE),
            0
        ) +
        IFERROR(
            VLOOKUP($A18, INDIRECT("AbrR!$A$6:$ZZ$1048576"), MATCH(AD$1, AbrR!$6:$6, 0), FALSE),
            0
        ) +
        IFERROR(
            VLOOKUP($A18, INDIRECT("MayR!$A$6:$ZZ$1048576"), MATCH(AD$1, MayR!$6:$6, 0), FALSE),
            0
        ) +
        IFERROR(
            VLOOKUP($A18, INDIRECT("JunR!$A$6:$ZZ$1048576"), MATCH(AD$1, JunR!$6:$6, 0), FALSE),
            0
        ) +
        IFERROR(
            VLOOKUP($A18, INDIRECT("JulR!$A$6:$ZZ$1048576"), MATCH(AD$1, JulR!$6:$6, 0), FALSE),
            0
        ) +
        IFERROR(
            VLOOKUP($A18, INDIRECT("AgoR!$A$6:$ZZ$1048576"), MATCH(AD$1, AgoR!$6:$6, 0), FALSE),
            0
        ) +
        IFERROR(
            VLOOKUP($A18, INDIRECT("SepR!$A$6:$ZZ$1048576"), MATCH(AD$1, SepR!$6:$6, 0), FALSE),
            0
        ) +
        IFERROR(
            VLOOKUP($A18, INDIRECT("OctR!$A$6:$ZZ$1048576"), MATCH(AD$1, OctR!$6:$6, 0), FALSE),
            0
        ) +
        IFERROR(
            VLOOKUP($A18, INDIRECT("NovR!$A$6:$ZZ$1048576"), MATCH(AD$1, NovR!$6:$6, 0), FALSE),
            0
        ) +
        IFERROR(
            VLOOKUP($A18, INDIRECT("DicR!$A$6:$ZZ$1048576"), MATCH(AD$1, DicR!$6:$6, 0), FALSE),
            0
        )
)</f>
        <v>0</v>
      </c>
      <c r="AE18" s="37">
        <f t="array" ref="AE18">SUM(
    IFERROR(
            VLOOKUP($A18, INDIRECT("EneR!$A$6:$ZZ$1048576"), MATCH(AE$1, EneR!$6:$6, 0), FALSE),
            0
        ) +
        IFERROR(
            VLOOKUP($A18, INDIRECT("FebR!$A$6:$ZZ$1048576"), MATCH(AE$1, FebR!$6:$6, 0), FALSE),
            0
        ) +
        IFERROR(
            VLOOKUP($A18, INDIRECT("MarR!$A$6:$ZZ$1048576"), MATCH(AE$1, MarR!$6:$6, 0), FALSE),
            0
        ) +
        IFERROR(
            VLOOKUP($A18, INDIRECT("AbrR!$A$6:$ZZ$1048576"), MATCH(AE$1, AbrR!$6:$6, 0), FALSE),
            0
        ) +
        IFERROR(
            VLOOKUP($A18, INDIRECT("MayR!$A$6:$ZZ$1048576"), MATCH(AE$1, MayR!$6:$6, 0), FALSE),
            0
        ) +
        IFERROR(
            VLOOKUP($A18, INDIRECT("JunR!$A$6:$ZZ$1048576"), MATCH(AE$1, JunR!$6:$6, 0), FALSE),
            0
        ) +
        IFERROR(
            VLOOKUP($A18, INDIRECT("JulR!$A$6:$ZZ$1048576"), MATCH(AE$1, JulR!$6:$6, 0), FALSE),
            0
        ) +
        IFERROR(
            VLOOKUP($A18, INDIRECT("AgoR!$A$6:$ZZ$1048576"), MATCH(AE$1, AgoR!$6:$6, 0), FALSE),
            0
        ) +
        IFERROR(
            VLOOKUP($A18, INDIRECT("SepR!$A$6:$ZZ$1048576"), MATCH(AE$1, SepR!$6:$6, 0), FALSE),
            0
        ) +
        IFERROR(
            VLOOKUP($A18, INDIRECT("OctR!$A$6:$ZZ$1048576"), MATCH(AE$1, OctR!$6:$6, 0), FALSE),
            0
        ) +
        IFERROR(
            VLOOKUP($A18, INDIRECT("NovR!$A$6:$ZZ$1048576"), MATCH(AE$1, NovR!$6:$6, 0), FALSE),
            0
        ) +
        IFERROR(
            VLOOKUP($A18, INDIRECT("DicR!$A$6:$ZZ$1048576"), MATCH(AE$1, DicR!$6:$6, 0), FALSE),
            0
        )
)</f>
        <v>0</v>
      </c>
      <c r="AF18" s="36">
        <f t="array" ref="AF18">SUM(
    IFERROR(
            VLOOKUP($A18, INDIRECT("EneR!$A$6:$ZZ$1048576"), MATCH(AF$1, EneR!$6:$6, 0), FALSE),
            0
        ) +
        IFERROR(
            VLOOKUP($A18, INDIRECT("FebR!$A$6:$ZZ$1048576"), MATCH(AF$1, FebR!$6:$6, 0), FALSE),
            0
        ) +
        IFERROR(
            VLOOKUP($A18, INDIRECT("MarR!$A$6:$ZZ$1048576"), MATCH(AF$1, MarR!$6:$6, 0), FALSE),
            0
        ) +
        IFERROR(
            VLOOKUP($A18, INDIRECT("AbrR!$A$6:$ZZ$1048576"), MATCH(AF$1, AbrR!$6:$6, 0), FALSE),
            0
        ) +
        IFERROR(
            VLOOKUP($A18, INDIRECT("MayR!$A$6:$ZZ$1048576"), MATCH(AF$1, MayR!$6:$6, 0), FALSE),
            0
        ) +
        IFERROR(
            VLOOKUP($A18, INDIRECT("JunR!$A$6:$ZZ$1048576"), MATCH(AF$1, JunR!$6:$6, 0), FALSE),
            0
        ) +
        IFERROR(
            VLOOKUP($A18, INDIRECT("JulR!$A$6:$ZZ$1048576"), MATCH(AF$1, JulR!$6:$6, 0), FALSE),
            0
        ) +
        IFERROR(
            VLOOKUP($A18, INDIRECT("AgoR!$A$6:$ZZ$1048576"), MATCH(AF$1, AgoR!$6:$6, 0), FALSE),
            0
        ) +
        IFERROR(
            VLOOKUP($A18, INDIRECT("SepR!$A$6:$ZZ$1048576"), MATCH(AF$1, SepR!$6:$6, 0), FALSE),
            0
        ) +
        IFERROR(
            VLOOKUP($A18, INDIRECT("OctR!$A$6:$ZZ$1048576"), MATCH(AF$1, OctR!$6:$6, 0), FALSE),
            0
        ) +
        IFERROR(
            VLOOKUP($A18, INDIRECT("NovR!$A$6:$ZZ$1048576"), MATCH(AF$1, NovR!$6:$6, 0), FALSE),
            0
        ) +
        IFERROR(
            VLOOKUP($A18, INDIRECT("DicR!$A$6:$ZZ$1048576"), MATCH(AF$1, DicR!$6:$6, 0), FALSE),
            0
        )
)</f>
        <v>0</v>
      </c>
      <c r="AG18" s="37">
        <f t="array" ref="AG18">SUM(
    IFERROR(
            VLOOKUP($A18, INDIRECT("EneR!$A$6:$ZZ$1048576"), MATCH(AG$1, EneR!$6:$6, 0), FALSE),
            0
        ) +
        IFERROR(
            VLOOKUP($A18, INDIRECT("FebR!$A$6:$ZZ$1048576"), MATCH(AG$1, FebR!$6:$6, 0), FALSE),
            0
        ) +
        IFERROR(
            VLOOKUP($A18, INDIRECT("MarR!$A$6:$ZZ$1048576"), MATCH(AG$1, MarR!$6:$6, 0), FALSE),
            0
        ) +
        IFERROR(
            VLOOKUP($A18, INDIRECT("AbrR!$A$6:$ZZ$1048576"), MATCH(AG$1, AbrR!$6:$6, 0), FALSE),
            0
        ) +
        IFERROR(
            VLOOKUP($A18, INDIRECT("MayR!$A$6:$ZZ$1048576"), MATCH(AG$1, MayR!$6:$6, 0), FALSE),
            0
        ) +
        IFERROR(
            VLOOKUP($A18, INDIRECT("JunR!$A$6:$ZZ$1048576"), MATCH(AG$1, JunR!$6:$6, 0), FALSE),
            0
        ) +
        IFERROR(
            VLOOKUP($A18, INDIRECT("JulR!$A$6:$ZZ$1048576"), MATCH(AG$1, JulR!$6:$6, 0), FALSE),
            0
        ) +
        IFERROR(
            VLOOKUP($A18, INDIRECT("AgoR!$A$6:$ZZ$1048576"), MATCH(AG$1, AgoR!$6:$6, 0), FALSE),
            0
        ) +
        IFERROR(
            VLOOKUP($A18, INDIRECT("SepR!$A$6:$ZZ$1048576"), MATCH(AG$1, SepR!$6:$6, 0), FALSE),
            0
        ) +
        IFERROR(
            VLOOKUP($A18, INDIRECT("OctR!$A$6:$ZZ$1048576"), MATCH(AG$1, OctR!$6:$6, 0), FALSE),
            0
        ) +
        IFERROR(
            VLOOKUP($A18, INDIRECT("NovR!$A$6:$ZZ$1048576"), MATCH(AG$1, NovR!$6:$6, 0), FALSE),
            0
        ) +
        IFERROR(
            VLOOKUP($A18, INDIRECT("DicR!$A$6:$ZZ$1048576"), MATCH(AG$1, DicR!$6:$6, 0), FALSE),
            0
        )
)</f>
        <v>0</v>
      </c>
      <c r="AH18" s="36">
        <f t="array" ref="AH18">SUM(
    IFERROR(
            VLOOKUP($A18, INDIRECT("EneR!$A$6:$ZZ$1048576"), MATCH(AH$1, EneR!$6:$6, 0), FALSE),
            0
        ) +
        IFERROR(
            VLOOKUP($A18, INDIRECT("FebR!$A$6:$ZZ$1048576"), MATCH(AH$1, FebR!$6:$6, 0), FALSE),
            0
        ) +
        IFERROR(
            VLOOKUP($A18, INDIRECT("MarR!$A$6:$ZZ$1048576"), MATCH(AH$1, MarR!$6:$6, 0), FALSE),
            0
        ) +
        IFERROR(
            VLOOKUP($A18, INDIRECT("AbrR!$A$6:$ZZ$1048576"), MATCH(AH$1, AbrR!$6:$6, 0), FALSE),
            0
        ) +
        IFERROR(
            VLOOKUP($A18, INDIRECT("MayR!$A$6:$ZZ$1048576"), MATCH(AH$1, MayR!$6:$6, 0), FALSE),
            0
        ) +
        IFERROR(
            VLOOKUP($A18, INDIRECT("JunR!$A$6:$ZZ$1048576"), MATCH(AH$1, JunR!$6:$6, 0), FALSE),
            0
        ) +
        IFERROR(
            VLOOKUP($A18, INDIRECT("JulR!$A$6:$ZZ$1048576"), MATCH(AH$1, JulR!$6:$6, 0), FALSE),
            0
        ) +
        IFERROR(
            VLOOKUP($A18, INDIRECT("AgoR!$A$6:$ZZ$1048576"), MATCH(AH$1, AgoR!$6:$6, 0), FALSE),
            0
        ) +
        IFERROR(
            VLOOKUP($A18, INDIRECT("SepR!$A$6:$ZZ$1048576"), MATCH(AH$1, SepR!$6:$6, 0), FALSE),
            0
        ) +
        IFERROR(
            VLOOKUP($A18, INDIRECT("OctR!$A$6:$ZZ$1048576"), MATCH(AH$1, OctR!$6:$6, 0), FALSE),
            0
        ) +
        IFERROR(
            VLOOKUP($A18, INDIRECT("NovR!$A$6:$ZZ$1048576"), MATCH(AH$1, NovR!$6:$6, 0), FALSE),
            0
        ) +
        IFERROR(
            VLOOKUP($A18, INDIRECT("DicR!$A$6:$ZZ$1048576"), MATCH(AH$1, DicR!$6:$6, 0), FALSE),
            0
        )
)</f>
        <v>0</v>
      </c>
      <c r="AI18" s="37">
        <f t="array" ref="AI18">SUM(
    IFERROR(
            VLOOKUP($A18, INDIRECT("EneR!$A$6:$ZZ$1048576"), MATCH(AI$1, EneR!$6:$6, 0), FALSE),
            0
        ) +
        IFERROR(
            VLOOKUP($A18, INDIRECT("FebR!$A$6:$ZZ$1048576"), MATCH(AI$1, FebR!$6:$6, 0), FALSE),
            0
        ) +
        IFERROR(
            VLOOKUP($A18, INDIRECT("MarR!$A$6:$ZZ$1048576"), MATCH(AI$1, MarR!$6:$6, 0), FALSE),
            0
        ) +
        IFERROR(
            VLOOKUP($A18, INDIRECT("AbrR!$A$6:$ZZ$1048576"), MATCH(AI$1, AbrR!$6:$6, 0), FALSE),
            0
        ) +
        IFERROR(
            VLOOKUP($A18, INDIRECT("MayR!$A$6:$ZZ$1048576"), MATCH(AI$1, MayR!$6:$6, 0), FALSE),
            0
        ) +
        IFERROR(
            VLOOKUP($A18, INDIRECT("JunR!$A$6:$ZZ$1048576"), MATCH(AI$1, JunR!$6:$6, 0), FALSE),
            0
        ) +
        IFERROR(
            VLOOKUP($A18, INDIRECT("JulR!$A$6:$ZZ$1048576"), MATCH(AI$1, JulR!$6:$6, 0), FALSE),
            0
        ) +
        IFERROR(
            VLOOKUP($A18, INDIRECT("AgoR!$A$6:$ZZ$1048576"), MATCH(AI$1, AgoR!$6:$6, 0), FALSE),
            0
        ) +
        IFERROR(
            VLOOKUP($A18, INDIRECT("SepR!$A$6:$ZZ$1048576"), MATCH(AI$1, SepR!$6:$6, 0), FALSE),
            0
        ) +
        IFERROR(
            VLOOKUP($A18, INDIRECT("OctR!$A$6:$ZZ$1048576"), MATCH(AI$1, OctR!$6:$6, 0), FALSE),
            0
        ) +
        IFERROR(
            VLOOKUP($A18, INDIRECT("NovR!$A$6:$ZZ$1048576"), MATCH(AI$1, NovR!$6:$6, 0), FALSE),
            0
        ) +
        IFERROR(
            VLOOKUP($A18, INDIRECT("DicR!$A$6:$ZZ$1048576"), MATCH(AI$1, DicR!$6:$6, 0), FALSE),
            0
        )
)</f>
        <v>0</v>
      </c>
      <c r="AJ18" s="36">
        <f t="array" ref="AJ18">SUM(
    IFERROR(
            VLOOKUP($A18, INDIRECT("EneR!$A$6:$ZZ$1048576"), MATCH(AJ$1, EneR!$6:$6, 0), FALSE),
            0
        ) +
        IFERROR(
            VLOOKUP($A18, INDIRECT("FebR!$A$6:$ZZ$1048576"), MATCH(AJ$1, FebR!$6:$6, 0), FALSE),
            0
        ) +
        IFERROR(
            VLOOKUP($A18, INDIRECT("MarR!$A$6:$ZZ$1048576"), MATCH(AJ$1, MarR!$6:$6, 0), FALSE),
            0
        ) +
        IFERROR(
            VLOOKUP($A18, INDIRECT("AbrR!$A$6:$ZZ$1048576"), MATCH(AJ$1, AbrR!$6:$6, 0), FALSE),
            0
        ) +
        IFERROR(
            VLOOKUP($A18, INDIRECT("MayR!$A$6:$ZZ$1048576"), MATCH(AJ$1, MayR!$6:$6, 0), FALSE),
            0
        ) +
        IFERROR(
            VLOOKUP($A18, INDIRECT("JunR!$A$6:$ZZ$1048576"), MATCH(AJ$1, JunR!$6:$6, 0), FALSE),
            0
        ) +
        IFERROR(
            VLOOKUP($A18, INDIRECT("JulR!$A$6:$ZZ$1048576"), MATCH(AJ$1, JulR!$6:$6, 0), FALSE),
            0
        ) +
        IFERROR(
            VLOOKUP($A18, INDIRECT("AgoR!$A$6:$ZZ$1048576"), MATCH(AJ$1, AgoR!$6:$6, 0), FALSE),
            0
        ) +
        IFERROR(
            VLOOKUP($A18, INDIRECT("SepR!$A$6:$ZZ$1048576"), MATCH(AJ$1, SepR!$6:$6, 0), FALSE),
            0
        ) +
        IFERROR(
            VLOOKUP($A18, INDIRECT("OctR!$A$6:$ZZ$1048576"), MATCH(AJ$1, OctR!$6:$6, 0), FALSE),
            0
        ) +
        IFERROR(
            VLOOKUP($A18, INDIRECT("NovR!$A$6:$ZZ$1048576"), MATCH(AJ$1, NovR!$6:$6, 0), FALSE),
            0
        ) +
        IFERROR(
            VLOOKUP($A18, INDIRECT("DicR!$A$6:$ZZ$1048576"), MATCH(AJ$1, DicR!$6:$6, 0), FALSE),
            0
        )
)</f>
        <v>0</v>
      </c>
      <c r="AK18" s="37">
        <f t="array" ref="AK18">SUM(
    IFERROR(
            VLOOKUP($A18, INDIRECT("EneR!$A$6:$ZZ$1048576"), MATCH(AK$1, EneR!$6:$6, 0), FALSE),
            0
        ) +
        IFERROR(
            VLOOKUP($A18, INDIRECT("FebR!$A$6:$ZZ$1048576"), MATCH(AK$1, FebR!$6:$6, 0), FALSE),
            0
        ) +
        IFERROR(
            VLOOKUP($A18, INDIRECT("MarR!$A$6:$ZZ$1048576"), MATCH(AK$1, MarR!$6:$6, 0), FALSE),
            0
        ) +
        IFERROR(
            VLOOKUP($A18, INDIRECT("AbrR!$A$6:$ZZ$1048576"), MATCH(AK$1, AbrR!$6:$6, 0), FALSE),
            0
        ) +
        IFERROR(
            VLOOKUP($A18, INDIRECT("MayR!$A$6:$ZZ$1048576"), MATCH(AK$1, MayR!$6:$6, 0), FALSE),
            0
        ) +
        IFERROR(
            VLOOKUP($A18, INDIRECT("JunR!$A$6:$ZZ$1048576"), MATCH(AK$1, JunR!$6:$6, 0), FALSE),
            0
        ) +
        IFERROR(
            VLOOKUP($A18, INDIRECT("JulR!$A$6:$ZZ$1048576"), MATCH(AK$1, JulR!$6:$6, 0), FALSE),
            0
        ) +
        IFERROR(
            VLOOKUP($A18, INDIRECT("AgoR!$A$6:$ZZ$1048576"), MATCH(AK$1, AgoR!$6:$6, 0), FALSE),
            0
        ) +
        IFERROR(
            VLOOKUP($A18, INDIRECT("SepR!$A$6:$ZZ$1048576"), MATCH(AK$1, SepR!$6:$6, 0), FALSE),
            0
        ) +
        IFERROR(
            VLOOKUP($A18, INDIRECT("OctR!$A$6:$ZZ$1048576"), MATCH(AK$1, OctR!$6:$6, 0), FALSE),
            0
        ) +
        IFERROR(
            VLOOKUP($A18, INDIRECT("NovR!$A$6:$ZZ$1048576"), MATCH(AK$1, NovR!$6:$6, 0), FALSE),
            0
        ) +
        IFERROR(
            VLOOKUP($A18, INDIRECT("DicR!$A$6:$ZZ$1048576"), MATCH(AK$1, DicR!$6:$6, 0), FALSE),
            0
        )
)</f>
        <v>0</v>
      </c>
      <c r="AL18" s="36">
        <f t="array" ref="AL18">SUM(
    IFERROR(
            VLOOKUP($A18, INDIRECT("EneR!$A$6:$ZZ$1048576"), MATCH(AL$1, EneR!$6:$6, 0), FALSE),
            0
        ) +
        IFERROR(
            VLOOKUP($A18, INDIRECT("FebR!$A$6:$ZZ$1048576"), MATCH(AL$1, FebR!$6:$6, 0), FALSE),
            0
        ) +
        IFERROR(
            VLOOKUP($A18, INDIRECT("MarR!$A$6:$ZZ$1048576"), MATCH(AL$1, MarR!$6:$6, 0), FALSE),
            0
        ) +
        IFERROR(
            VLOOKUP($A18, INDIRECT("AbrR!$A$6:$ZZ$1048576"), MATCH(AL$1, AbrR!$6:$6, 0), FALSE),
            0
        ) +
        IFERROR(
            VLOOKUP($A18, INDIRECT("MayR!$A$6:$ZZ$1048576"), MATCH(AL$1, MayR!$6:$6, 0), FALSE),
            0
        ) +
        IFERROR(
            VLOOKUP($A18, INDIRECT("JunR!$A$6:$ZZ$1048576"), MATCH(AL$1, JunR!$6:$6, 0), FALSE),
            0
        ) +
        IFERROR(
            VLOOKUP($A18, INDIRECT("JulR!$A$6:$ZZ$1048576"), MATCH(AL$1, JulR!$6:$6, 0), FALSE),
            0
        ) +
        IFERROR(
            VLOOKUP($A18, INDIRECT("AgoR!$A$6:$ZZ$1048576"), MATCH(AL$1, AgoR!$6:$6, 0), FALSE),
            0
        ) +
        IFERROR(
            VLOOKUP($A18, INDIRECT("SepR!$A$6:$ZZ$1048576"), MATCH(AL$1, SepR!$6:$6, 0), FALSE),
            0
        ) +
        IFERROR(
            VLOOKUP($A18, INDIRECT("OctR!$A$6:$ZZ$1048576"), MATCH(AL$1, OctR!$6:$6, 0), FALSE),
            0
        ) +
        IFERROR(
            VLOOKUP($A18, INDIRECT("NovR!$A$6:$ZZ$1048576"), MATCH(AL$1, NovR!$6:$6, 0), FALSE),
            0
        ) +
        IFERROR(
            VLOOKUP($A18, INDIRECT("DicR!$A$6:$ZZ$1048576"), MATCH(AL$1, DicR!$6:$6, 0), FALSE),
            0
        )
)</f>
        <v>0</v>
      </c>
      <c r="AM18" s="37">
        <f t="array" ref="AM18">SUM(
    IFERROR(
            VLOOKUP($A18, INDIRECT("EneR!$A$6:$ZZ$1048576"), MATCH(AM$1, EneR!$6:$6, 0), FALSE),
            0
        ) +
        IFERROR(
            VLOOKUP($A18, INDIRECT("FebR!$A$6:$ZZ$1048576"), MATCH(AM$1, FebR!$6:$6, 0), FALSE),
            0
        ) +
        IFERROR(
            VLOOKUP($A18, INDIRECT("MarR!$A$6:$ZZ$1048576"), MATCH(AM$1, MarR!$6:$6, 0), FALSE),
            0
        ) +
        IFERROR(
            VLOOKUP($A18, INDIRECT("AbrR!$A$6:$ZZ$1048576"), MATCH(AM$1, AbrR!$6:$6, 0), FALSE),
            0
        ) +
        IFERROR(
            VLOOKUP($A18, INDIRECT("MayR!$A$6:$ZZ$1048576"), MATCH(AM$1, MayR!$6:$6, 0), FALSE),
            0
        ) +
        IFERROR(
            VLOOKUP($A18, INDIRECT("JunR!$A$6:$ZZ$1048576"), MATCH(AM$1, JunR!$6:$6, 0), FALSE),
            0
        ) +
        IFERROR(
            VLOOKUP($A18, INDIRECT("JulR!$A$6:$ZZ$1048576"), MATCH(AM$1, JulR!$6:$6, 0), FALSE),
            0
        ) +
        IFERROR(
            VLOOKUP($A18, INDIRECT("AgoR!$A$6:$ZZ$1048576"), MATCH(AM$1, AgoR!$6:$6, 0), FALSE),
            0
        ) +
        IFERROR(
            VLOOKUP($A18, INDIRECT("SepR!$A$6:$ZZ$1048576"), MATCH(AM$1, SepR!$6:$6, 0), FALSE),
            0
        ) +
        IFERROR(
            VLOOKUP($A18, INDIRECT("OctR!$A$6:$ZZ$1048576"), MATCH(AM$1, OctR!$6:$6, 0), FALSE),
            0
        ) +
        IFERROR(
            VLOOKUP($A18, INDIRECT("NovR!$A$6:$ZZ$1048576"), MATCH(AM$1, NovR!$6:$6, 0), FALSE),
            0
        ) +
        IFERROR(
            VLOOKUP($A18, INDIRECT("DicR!$A$6:$ZZ$1048576"), MATCH(AM$1, DicR!$6:$6, 0), FALSE),
            0
        )
)</f>
        <v>0</v>
      </c>
      <c r="AN18" s="36">
        <f t="array" ref="AN18">SUM(
    IFERROR(
            VLOOKUP($A18, INDIRECT("EneR!$A$6:$ZZ$1048576"), MATCH(AN$1, EneR!$6:$6, 0), FALSE),
            0
        ) +
        IFERROR(
            VLOOKUP($A18, INDIRECT("FebR!$A$6:$ZZ$1048576"), MATCH(AN$1, FebR!$6:$6, 0), FALSE),
            0
        ) +
        IFERROR(
            VLOOKUP($A18, INDIRECT("MarR!$A$6:$ZZ$1048576"), MATCH(AN$1, MarR!$6:$6, 0), FALSE),
            0
        ) +
        IFERROR(
            VLOOKUP($A18, INDIRECT("AbrR!$A$6:$ZZ$1048576"), MATCH(AN$1, AbrR!$6:$6, 0), FALSE),
            0
        ) +
        IFERROR(
            VLOOKUP($A18, INDIRECT("MayR!$A$6:$ZZ$1048576"), MATCH(AN$1, MayR!$6:$6, 0), FALSE),
            0
        ) +
        IFERROR(
            VLOOKUP($A18, INDIRECT("JunR!$A$6:$ZZ$1048576"), MATCH(AN$1, JunR!$6:$6, 0), FALSE),
            0
        ) +
        IFERROR(
            VLOOKUP($A18, INDIRECT("JulR!$A$6:$ZZ$1048576"), MATCH(AN$1, JulR!$6:$6, 0), FALSE),
            0
        ) +
        IFERROR(
            VLOOKUP($A18, INDIRECT("AgoR!$A$6:$ZZ$1048576"), MATCH(AN$1, AgoR!$6:$6, 0), FALSE),
            0
        ) +
        IFERROR(
            VLOOKUP($A18, INDIRECT("SepR!$A$6:$ZZ$1048576"), MATCH(AN$1, SepR!$6:$6, 0), FALSE),
            0
        ) +
        IFERROR(
            VLOOKUP($A18, INDIRECT("OctR!$A$6:$ZZ$1048576"), MATCH(AN$1, OctR!$6:$6, 0), FALSE),
            0
        ) +
        IFERROR(
            VLOOKUP($A18, INDIRECT("NovR!$A$6:$ZZ$1048576"), MATCH(AN$1, NovR!$6:$6, 0), FALSE),
            0
        ) +
        IFERROR(
            VLOOKUP($A18, INDIRECT("DicR!$A$6:$ZZ$1048576"), MATCH(AN$1, DicR!$6:$6, 0), FALSE),
            0
        )
)</f>
        <v>0</v>
      </c>
      <c r="AO18" s="37">
        <f t="array" ref="AO18">SUM(
    IFERROR(
            VLOOKUP($A18, INDIRECT("EneR!$A$6:$ZZ$1048576"), MATCH(AO$1, EneR!$6:$6, 0), FALSE),
            0
        ) +
        IFERROR(
            VLOOKUP($A18, INDIRECT("FebR!$A$6:$ZZ$1048576"), MATCH(AO$1, FebR!$6:$6, 0), FALSE),
            0
        ) +
        IFERROR(
            VLOOKUP($A18, INDIRECT("MarR!$A$6:$ZZ$1048576"), MATCH(AO$1, MarR!$6:$6, 0), FALSE),
            0
        ) +
        IFERROR(
            VLOOKUP($A18, INDIRECT("AbrR!$A$6:$ZZ$1048576"), MATCH(AO$1, AbrR!$6:$6, 0), FALSE),
            0
        ) +
        IFERROR(
            VLOOKUP($A18, INDIRECT("MayR!$A$6:$ZZ$1048576"), MATCH(AO$1, MayR!$6:$6, 0), FALSE),
            0
        ) +
        IFERROR(
            VLOOKUP($A18, INDIRECT("JunR!$A$6:$ZZ$1048576"), MATCH(AO$1, JunR!$6:$6, 0), FALSE),
            0
        ) +
        IFERROR(
            VLOOKUP($A18, INDIRECT("JulR!$A$6:$ZZ$1048576"), MATCH(AO$1, JulR!$6:$6, 0), FALSE),
            0
        ) +
        IFERROR(
            VLOOKUP($A18, INDIRECT("AgoR!$A$6:$ZZ$1048576"), MATCH(AO$1, AgoR!$6:$6, 0), FALSE),
            0
        ) +
        IFERROR(
            VLOOKUP($A18, INDIRECT("SepR!$A$6:$ZZ$1048576"), MATCH(AO$1, SepR!$6:$6, 0), FALSE),
            0
        ) +
        IFERROR(
            VLOOKUP($A18, INDIRECT("OctR!$A$6:$ZZ$1048576"), MATCH(AO$1, OctR!$6:$6, 0), FALSE),
            0
        ) +
        IFERROR(
            VLOOKUP($A18, INDIRECT("NovR!$A$6:$ZZ$1048576"), MATCH(AO$1, NovR!$6:$6, 0), FALSE),
            0
        ) +
        IFERROR(
            VLOOKUP($A18, INDIRECT("DicR!$A$6:$ZZ$1048576"), MATCH(AO$1, DicR!$6:$6, 0), FALSE),
            0
        )
)</f>
        <v>0</v>
      </c>
      <c r="AP18" s="36">
        <f t="array" ref="AP18">SUM(
    IFERROR(
            VLOOKUP($A18, INDIRECT("EneR!$A$6:$ZZ$1048576"), MATCH(AP$1, EneR!$6:$6, 0), FALSE),
            0
        ) +
        IFERROR(
            VLOOKUP($A18, INDIRECT("FebR!$A$6:$ZZ$1048576"), MATCH(AP$1, FebR!$6:$6, 0), FALSE),
            0
        ) +
        IFERROR(
            VLOOKUP($A18, INDIRECT("MarR!$A$6:$ZZ$1048576"), MATCH(AP$1, MarR!$6:$6, 0), FALSE),
            0
        ) +
        IFERROR(
            VLOOKUP($A18, INDIRECT("AbrR!$A$6:$ZZ$1048576"), MATCH(AP$1, AbrR!$6:$6, 0), FALSE),
            0
        ) +
        IFERROR(
            VLOOKUP($A18, INDIRECT("MayR!$A$6:$ZZ$1048576"), MATCH(AP$1, MayR!$6:$6, 0), FALSE),
            0
        ) +
        IFERROR(
            VLOOKUP($A18, INDIRECT("JunR!$A$6:$ZZ$1048576"), MATCH(AP$1, JunR!$6:$6, 0), FALSE),
            0
        ) +
        IFERROR(
            VLOOKUP($A18, INDIRECT("JulR!$A$6:$ZZ$1048576"), MATCH(AP$1, JulR!$6:$6, 0), FALSE),
            0
        ) +
        IFERROR(
            VLOOKUP($A18, INDIRECT("AgoR!$A$6:$ZZ$1048576"), MATCH(AP$1, AgoR!$6:$6, 0), FALSE),
            0
        ) +
        IFERROR(
            VLOOKUP($A18, INDIRECT("SepR!$A$6:$ZZ$1048576"), MATCH(AP$1, SepR!$6:$6, 0), FALSE),
            0
        ) +
        IFERROR(
            VLOOKUP($A18, INDIRECT("OctR!$A$6:$ZZ$1048576"), MATCH(AP$1, OctR!$6:$6, 0), FALSE),
            0
        ) +
        IFERROR(
            VLOOKUP($A18, INDIRECT("NovR!$A$6:$ZZ$1048576"), MATCH(AP$1, NovR!$6:$6, 0), FALSE),
            0
        ) +
        IFERROR(
            VLOOKUP($A18, INDIRECT("DicR!$A$6:$ZZ$1048576"), MATCH(AP$1, DicR!$6:$6, 0), FALSE),
            0
        )
)</f>
        <v>0</v>
      </c>
      <c r="AQ18" s="37">
        <f t="array" ref="AQ18">SUM(
    IFERROR(
            VLOOKUP($A18, INDIRECT("EneR!$A$6:$ZZ$1048576"), MATCH(AQ$1, EneR!$6:$6, 0), FALSE),
            0
        ) +
        IFERROR(
            VLOOKUP($A18, INDIRECT("FebR!$A$6:$ZZ$1048576"), MATCH(AQ$1, FebR!$6:$6, 0), FALSE),
            0
        ) +
        IFERROR(
            VLOOKUP($A18, INDIRECT("MarR!$A$6:$ZZ$1048576"), MATCH(AQ$1, MarR!$6:$6, 0), FALSE),
            0
        ) +
        IFERROR(
            VLOOKUP($A18, INDIRECT("AbrR!$A$6:$ZZ$1048576"), MATCH(AQ$1, AbrR!$6:$6, 0), FALSE),
            0
        ) +
        IFERROR(
            VLOOKUP($A18, INDIRECT("MayR!$A$6:$ZZ$1048576"), MATCH(AQ$1, MayR!$6:$6, 0), FALSE),
            0
        ) +
        IFERROR(
            VLOOKUP($A18, INDIRECT("JunR!$A$6:$ZZ$1048576"), MATCH(AQ$1, JunR!$6:$6, 0), FALSE),
            0
        ) +
        IFERROR(
            VLOOKUP($A18, INDIRECT("JulR!$A$6:$ZZ$1048576"), MATCH(AQ$1, JulR!$6:$6, 0), FALSE),
            0
        ) +
        IFERROR(
            VLOOKUP($A18, INDIRECT("AgoR!$A$6:$ZZ$1048576"), MATCH(AQ$1, AgoR!$6:$6, 0), FALSE),
            0
        ) +
        IFERROR(
            VLOOKUP($A18, INDIRECT("SepR!$A$6:$ZZ$1048576"), MATCH(AQ$1, SepR!$6:$6, 0), FALSE),
            0
        ) +
        IFERROR(
            VLOOKUP($A18, INDIRECT("OctR!$A$6:$ZZ$1048576"), MATCH(AQ$1, OctR!$6:$6, 0), FALSE),
            0
        ) +
        IFERROR(
            VLOOKUP($A18, INDIRECT("NovR!$A$6:$ZZ$1048576"), MATCH(AQ$1, NovR!$6:$6, 0), FALSE),
            0
        ) +
        IFERROR(
            VLOOKUP($A18, INDIRECT("DicR!$A$6:$ZZ$1048576"), MATCH(AQ$1, DicR!$6:$6, 0), FALSE),
            0
        )
)</f>
        <v>0</v>
      </c>
      <c r="AR18" s="36">
        <f t="array" ref="AR18">SUM(
    IFERROR(
            VLOOKUP($A18, INDIRECT("EneR!$A$6:$ZZ$1048576"), MATCH(AR$1, EneR!$6:$6, 0), FALSE),
            0
        ) +
        IFERROR(
            VLOOKUP($A18, INDIRECT("FebR!$A$6:$ZZ$1048576"), MATCH(AR$1, FebR!$6:$6, 0), FALSE),
            0
        ) +
        IFERROR(
            VLOOKUP($A18, INDIRECT("MarR!$A$6:$ZZ$1048576"), MATCH(AR$1, MarR!$6:$6, 0), FALSE),
            0
        ) +
        IFERROR(
            VLOOKUP($A18, INDIRECT("AbrR!$A$6:$ZZ$1048576"), MATCH(AR$1, AbrR!$6:$6, 0), FALSE),
            0
        ) +
        IFERROR(
            VLOOKUP($A18, INDIRECT("MayR!$A$6:$ZZ$1048576"), MATCH(AR$1, MayR!$6:$6, 0), FALSE),
            0
        ) +
        IFERROR(
            VLOOKUP($A18, INDIRECT("JunR!$A$6:$ZZ$1048576"), MATCH(AR$1, JunR!$6:$6, 0), FALSE),
            0
        ) +
        IFERROR(
            VLOOKUP($A18, INDIRECT("JulR!$A$6:$ZZ$1048576"), MATCH(AR$1, JulR!$6:$6, 0), FALSE),
            0
        ) +
        IFERROR(
            VLOOKUP($A18, INDIRECT("AgoR!$A$6:$ZZ$1048576"), MATCH(AR$1, AgoR!$6:$6, 0), FALSE),
            0
        ) +
        IFERROR(
            VLOOKUP($A18, INDIRECT("SepR!$A$6:$ZZ$1048576"), MATCH(AR$1, SepR!$6:$6, 0), FALSE),
            0
        ) +
        IFERROR(
            VLOOKUP($A18, INDIRECT("OctR!$A$6:$ZZ$1048576"), MATCH(AR$1, OctR!$6:$6, 0), FALSE),
            0
        ) +
        IFERROR(
            VLOOKUP($A18, INDIRECT("NovR!$A$6:$ZZ$1048576"), MATCH(AR$1, NovR!$6:$6, 0), FALSE),
            0
        ) +
        IFERROR(
            VLOOKUP($A18, INDIRECT("DicR!$A$6:$ZZ$1048576"), MATCH(AR$1, DicR!$6:$6, 0), FALSE),
            0
        )
)</f>
        <v>0</v>
      </c>
      <c r="AS18" s="37">
        <f t="array" ref="AS18">SUM(
    IFERROR(
            VLOOKUP($A18, INDIRECT("EneR!$A$6:$ZZ$1048576"), MATCH(AS$1, EneR!$6:$6, 0), FALSE),
            0
        ) +
        IFERROR(
            VLOOKUP($A18, INDIRECT("FebR!$A$6:$ZZ$1048576"), MATCH(AS$1, FebR!$6:$6, 0), FALSE),
            0
        ) +
        IFERROR(
            VLOOKUP($A18, INDIRECT("MarR!$A$6:$ZZ$1048576"), MATCH(AS$1, MarR!$6:$6, 0), FALSE),
            0
        ) +
        IFERROR(
            VLOOKUP($A18, INDIRECT("AbrR!$A$6:$ZZ$1048576"), MATCH(AS$1, AbrR!$6:$6, 0), FALSE),
            0
        ) +
        IFERROR(
            VLOOKUP($A18, INDIRECT("MayR!$A$6:$ZZ$1048576"), MATCH(AS$1, MayR!$6:$6, 0), FALSE),
            0
        ) +
        IFERROR(
            VLOOKUP($A18, INDIRECT("JunR!$A$6:$ZZ$1048576"), MATCH(AS$1, JunR!$6:$6, 0), FALSE),
            0
        ) +
        IFERROR(
            VLOOKUP($A18, INDIRECT("JulR!$A$6:$ZZ$1048576"), MATCH(AS$1, JulR!$6:$6, 0), FALSE),
            0
        ) +
        IFERROR(
            VLOOKUP($A18, INDIRECT("AgoR!$A$6:$ZZ$1048576"), MATCH(AS$1, AgoR!$6:$6, 0), FALSE),
            0
        ) +
        IFERROR(
            VLOOKUP($A18, INDIRECT("SepR!$A$6:$ZZ$1048576"), MATCH(AS$1, SepR!$6:$6, 0), FALSE),
            0
        ) +
        IFERROR(
            VLOOKUP($A18, INDIRECT("OctR!$A$6:$ZZ$1048576"), MATCH(AS$1, OctR!$6:$6, 0), FALSE),
            0
        ) +
        IFERROR(
            VLOOKUP($A18, INDIRECT("NovR!$A$6:$ZZ$1048576"), MATCH(AS$1, NovR!$6:$6, 0), FALSE),
            0
        ) +
        IFERROR(
            VLOOKUP($A18, INDIRECT("DicR!$A$6:$ZZ$1048576"), MATCH(AS$1, DicR!$6:$6, 0), FALSE),
            0
        )
)</f>
        <v>0</v>
      </c>
      <c r="AT18" s="36">
        <f t="array" ref="AT18">SUM(
    IFERROR(
            VLOOKUP($A18, INDIRECT("EneR!$A$6:$ZZ$1048576"), MATCH(AT$1, EneR!$6:$6, 0), FALSE),
            0
        ) +
        IFERROR(
            VLOOKUP($A18, INDIRECT("FebR!$A$6:$ZZ$1048576"), MATCH(AT$1, FebR!$6:$6, 0), FALSE),
            0
        ) +
        IFERROR(
            VLOOKUP($A18, INDIRECT("MarR!$A$6:$ZZ$1048576"), MATCH(AT$1, MarR!$6:$6, 0), FALSE),
            0
        ) +
        IFERROR(
            VLOOKUP($A18, INDIRECT("AbrR!$A$6:$ZZ$1048576"), MATCH(AT$1, AbrR!$6:$6, 0), FALSE),
            0
        ) +
        IFERROR(
            VLOOKUP($A18, INDIRECT("MayR!$A$6:$ZZ$1048576"), MATCH(AT$1, MayR!$6:$6, 0), FALSE),
            0
        ) +
        IFERROR(
            VLOOKUP($A18, INDIRECT("JunR!$A$6:$ZZ$1048576"), MATCH(AT$1, JunR!$6:$6, 0), FALSE),
            0
        ) +
        IFERROR(
            VLOOKUP($A18, INDIRECT("JulR!$A$6:$ZZ$1048576"), MATCH(AT$1, JulR!$6:$6, 0), FALSE),
            0
        ) +
        IFERROR(
            VLOOKUP($A18, INDIRECT("AgoR!$A$6:$ZZ$1048576"), MATCH(AT$1, AgoR!$6:$6, 0), FALSE),
            0
        ) +
        IFERROR(
            VLOOKUP($A18, INDIRECT("SepR!$A$6:$ZZ$1048576"), MATCH(AT$1, SepR!$6:$6, 0), FALSE),
            0
        ) +
        IFERROR(
            VLOOKUP($A18, INDIRECT("OctR!$A$6:$ZZ$1048576"), MATCH(AT$1, OctR!$6:$6, 0), FALSE),
            0
        ) +
        IFERROR(
            VLOOKUP($A18, INDIRECT("NovR!$A$6:$ZZ$1048576"), MATCH(AT$1, NovR!$6:$6, 0), FALSE),
            0
        ) +
        IFERROR(
            VLOOKUP($A18, INDIRECT("DicR!$A$6:$ZZ$1048576"), MATCH(AT$1, DicR!$6:$6, 0), FALSE),
            0
        )
)</f>
        <v>0</v>
      </c>
      <c r="AU18" s="37">
        <f t="array" ref="AU18">SUM(
    IFERROR(
            VLOOKUP($A18, INDIRECT("EneR!$A$6:$ZZ$1048576"), MATCH(AU$1, EneR!$6:$6, 0), FALSE),
            0
        ) +
        IFERROR(
            VLOOKUP($A18, INDIRECT("FebR!$A$6:$ZZ$1048576"), MATCH(AU$1, FebR!$6:$6, 0), FALSE),
            0
        ) +
        IFERROR(
            VLOOKUP($A18, INDIRECT("MarR!$A$6:$ZZ$1048576"), MATCH(AU$1, MarR!$6:$6, 0), FALSE),
            0
        ) +
        IFERROR(
            VLOOKUP($A18, INDIRECT("AbrR!$A$6:$ZZ$1048576"), MATCH(AU$1, AbrR!$6:$6, 0), FALSE),
            0
        ) +
        IFERROR(
            VLOOKUP($A18, INDIRECT("MayR!$A$6:$ZZ$1048576"), MATCH(AU$1, MayR!$6:$6, 0), FALSE),
            0
        ) +
        IFERROR(
            VLOOKUP($A18, INDIRECT("JunR!$A$6:$ZZ$1048576"), MATCH(AU$1, JunR!$6:$6, 0), FALSE),
            0
        ) +
        IFERROR(
            VLOOKUP($A18, INDIRECT("JulR!$A$6:$ZZ$1048576"), MATCH(AU$1, JulR!$6:$6, 0), FALSE),
            0
        ) +
        IFERROR(
            VLOOKUP($A18, INDIRECT("AgoR!$A$6:$ZZ$1048576"), MATCH(AU$1, AgoR!$6:$6, 0), FALSE),
            0
        ) +
        IFERROR(
            VLOOKUP($A18, INDIRECT("SepR!$A$6:$ZZ$1048576"), MATCH(AU$1, SepR!$6:$6, 0), FALSE),
            0
        ) +
        IFERROR(
            VLOOKUP($A18, INDIRECT("OctR!$A$6:$ZZ$1048576"), MATCH(AU$1, OctR!$6:$6, 0), FALSE),
            0
        ) +
        IFERROR(
            VLOOKUP($A18, INDIRECT("NovR!$A$6:$ZZ$1048576"), MATCH(AU$1, NovR!$6:$6, 0), FALSE),
            0
        ) +
        IFERROR(
            VLOOKUP($A18, INDIRECT("DicR!$A$6:$ZZ$1048576"), MATCH(AU$1, DicR!$6:$6, 0), FALSE),
            0
        )
)</f>
        <v>0</v>
      </c>
      <c r="AV18" s="36">
        <f t="array" ref="AV18">SUM(
    IFERROR(
            VLOOKUP($A18, INDIRECT("EneR!$A$6:$ZZ$1048576"), MATCH(AV$1, EneR!$6:$6, 0), FALSE),
            0
        ) +
        IFERROR(
            VLOOKUP($A18, INDIRECT("FebR!$A$6:$ZZ$1048576"), MATCH(AV$1, FebR!$6:$6, 0), FALSE),
            0
        ) +
        IFERROR(
            VLOOKUP($A18, INDIRECT("MarR!$A$6:$ZZ$1048576"), MATCH(AV$1, MarR!$6:$6, 0), FALSE),
            0
        ) +
        IFERROR(
            VLOOKUP($A18, INDIRECT("AbrR!$A$6:$ZZ$1048576"), MATCH(AV$1, AbrR!$6:$6, 0), FALSE),
            0
        ) +
        IFERROR(
            VLOOKUP($A18, INDIRECT("MayR!$A$6:$ZZ$1048576"), MATCH(AV$1, MayR!$6:$6, 0), FALSE),
            0
        ) +
        IFERROR(
            VLOOKUP($A18, INDIRECT("JunR!$A$6:$ZZ$1048576"), MATCH(AV$1, JunR!$6:$6, 0), FALSE),
            0
        ) +
        IFERROR(
            VLOOKUP($A18, INDIRECT("JulR!$A$6:$ZZ$1048576"), MATCH(AV$1, JulR!$6:$6, 0), FALSE),
            0
        ) +
        IFERROR(
            VLOOKUP($A18, INDIRECT("AgoR!$A$6:$ZZ$1048576"), MATCH(AV$1, AgoR!$6:$6, 0), FALSE),
            0
        ) +
        IFERROR(
            VLOOKUP($A18, INDIRECT("SepR!$A$6:$ZZ$1048576"), MATCH(AV$1, SepR!$6:$6, 0), FALSE),
            0
        ) +
        IFERROR(
            VLOOKUP($A18, INDIRECT("OctR!$A$6:$ZZ$1048576"), MATCH(AV$1, OctR!$6:$6, 0), FALSE),
            0
        ) +
        IFERROR(
            VLOOKUP($A18, INDIRECT("NovR!$A$6:$ZZ$1048576"), MATCH(AV$1, NovR!$6:$6, 0), FALSE),
            0
        ) +
        IFERROR(
            VLOOKUP($A18, INDIRECT("DicR!$A$6:$ZZ$1048576"), MATCH(AV$1, DicR!$6:$6, 0), FALSE),
            0
        )
)</f>
        <v>0</v>
      </c>
      <c r="AW18" s="37">
        <f t="array" ref="AW18">SUM(
    IFERROR(
            VLOOKUP($A18, INDIRECT("EneR!$A$6:$ZZ$1048576"), MATCH(AW$1, EneR!$6:$6, 0), FALSE),
            0
        ) +
        IFERROR(
            VLOOKUP($A18, INDIRECT("FebR!$A$6:$ZZ$1048576"), MATCH(AW$1, FebR!$6:$6, 0), FALSE),
            0
        ) +
        IFERROR(
            VLOOKUP($A18, INDIRECT("MarR!$A$6:$ZZ$1048576"), MATCH(AW$1, MarR!$6:$6, 0), FALSE),
            0
        ) +
        IFERROR(
            VLOOKUP($A18, INDIRECT("AbrR!$A$6:$ZZ$1048576"), MATCH(AW$1, AbrR!$6:$6, 0), FALSE),
            0
        ) +
        IFERROR(
            VLOOKUP($A18, INDIRECT("MayR!$A$6:$ZZ$1048576"), MATCH(AW$1, MayR!$6:$6, 0), FALSE),
            0
        ) +
        IFERROR(
            VLOOKUP($A18, INDIRECT("JunR!$A$6:$ZZ$1048576"), MATCH(AW$1, JunR!$6:$6, 0), FALSE),
            0
        ) +
        IFERROR(
            VLOOKUP($A18, INDIRECT("JulR!$A$6:$ZZ$1048576"), MATCH(AW$1, JulR!$6:$6, 0), FALSE),
            0
        ) +
        IFERROR(
            VLOOKUP($A18, INDIRECT("AgoR!$A$6:$ZZ$1048576"), MATCH(AW$1, AgoR!$6:$6, 0), FALSE),
            0
        ) +
        IFERROR(
            VLOOKUP($A18, INDIRECT("SepR!$A$6:$ZZ$1048576"), MATCH(AW$1, SepR!$6:$6, 0), FALSE),
            0
        ) +
        IFERROR(
            VLOOKUP($A18, INDIRECT("OctR!$A$6:$ZZ$1048576"), MATCH(AW$1, OctR!$6:$6, 0), FALSE),
            0
        ) +
        IFERROR(
            VLOOKUP($A18, INDIRECT("NovR!$A$6:$ZZ$1048576"), MATCH(AW$1, NovR!$6:$6, 0), FALSE),
            0
        ) +
        IFERROR(
            VLOOKUP($A18, INDIRECT("DicR!$A$6:$ZZ$1048576"), MATCH(AW$1, DicR!$6:$6, 0), FALSE),
            0
        )
)</f>
        <v>0</v>
      </c>
      <c r="AX18" s="36">
        <f t="array" ref="AX18">SUM(
    IFERROR(
            VLOOKUP($A18, INDIRECT("EneR!$A$6:$ZZ$1048576"), MATCH(AX$1, EneR!$6:$6, 0), FALSE),
            0
        ) +
        IFERROR(
            VLOOKUP($A18, INDIRECT("FebR!$A$6:$ZZ$1048576"), MATCH(AX$1, FebR!$6:$6, 0), FALSE),
            0
        ) +
        IFERROR(
            VLOOKUP($A18, INDIRECT("MarR!$A$6:$ZZ$1048576"), MATCH(AX$1, MarR!$6:$6, 0), FALSE),
            0
        ) +
        IFERROR(
            VLOOKUP($A18, INDIRECT("AbrR!$A$6:$ZZ$1048576"), MATCH(AX$1, AbrR!$6:$6, 0), FALSE),
            0
        ) +
        IFERROR(
            VLOOKUP($A18, INDIRECT("MayR!$A$6:$ZZ$1048576"), MATCH(AX$1, MayR!$6:$6, 0), FALSE),
            0
        ) +
        IFERROR(
            VLOOKUP($A18, INDIRECT("JunR!$A$6:$ZZ$1048576"), MATCH(AX$1, JunR!$6:$6, 0), FALSE),
            0
        ) +
        IFERROR(
            VLOOKUP($A18, INDIRECT("JulR!$A$6:$ZZ$1048576"), MATCH(AX$1, JulR!$6:$6, 0), FALSE),
            0
        ) +
        IFERROR(
            VLOOKUP($A18, INDIRECT("AgoR!$A$6:$ZZ$1048576"), MATCH(AX$1, AgoR!$6:$6, 0), FALSE),
            0
        ) +
        IFERROR(
            VLOOKUP($A18, INDIRECT("SepR!$A$6:$ZZ$1048576"), MATCH(AX$1, SepR!$6:$6, 0), FALSE),
            0
        ) +
        IFERROR(
            VLOOKUP($A18, INDIRECT("OctR!$A$6:$ZZ$1048576"), MATCH(AX$1, OctR!$6:$6, 0), FALSE),
            0
        ) +
        IFERROR(
            VLOOKUP($A18, INDIRECT("NovR!$A$6:$ZZ$1048576"), MATCH(AX$1, NovR!$6:$6, 0), FALSE),
            0
        ) +
        IFERROR(
            VLOOKUP($A18, INDIRECT("DicR!$A$6:$ZZ$1048576"), MATCH(AX$1, DicR!$6:$6, 0), FALSE),
            0
        )
)</f>
        <v>0</v>
      </c>
      <c r="AY18" s="37">
        <f t="array" ref="AY18">SUM(
    IFERROR(
            VLOOKUP($A18, INDIRECT("EneR!$A$6:$ZZ$1048576"), MATCH(AY$1, EneR!$6:$6, 0), FALSE),
            0
        ) +
        IFERROR(
            VLOOKUP($A18, INDIRECT("FebR!$A$6:$ZZ$1048576"), MATCH(AY$1, FebR!$6:$6, 0), FALSE),
            0
        ) +
        IFERROR(
            VLOOKUP($A18, INDIRECT("MarR!$A$6:$ZZ$1048576"), MATCH(AY$1, MarR!$6:$6, 0), FALSE),
            0
        ) +
        IFERROR(
            VLOOKUP($A18, INDIRECT("AbrR!$A$6:$ZZ$1048576"), MATCH(AY$1, AbrR!$6:$6, 0), FALSE),
            0
        ) +
        IFERROR(
            VLOOKUP($A18, INDIRECT("MayR!$A$6:$ZZ$1048576"), MATCH(AY$1, MayR!$6:$6, 0), FALSE),
            0
        ) +
        IFERROR(
            VLOOKUP($A18, INDIRECT("JunR!$A$6:$ZZ$1048576"), MATCH(AY$1, JunR!$6:$6, 0), FALSE),
            0
        ) +
        IFERROR(
            VLOOKUP($A18, INDIRECT("JulR!$A$6:$ZZ$1048576"), MATCH(AY$1, JulR!$6:$6, 0), FALSE),
            0
        ) +
        IFERROR(
            VLOOKUP($A18, INDIRECT("AgoR!$A$6:$ZZ$1048576"), MATCH(AY$1, AgoR!$6:$6, 0), FALSE),
            0
        ) +
        IFERROR(
            VLOOKUP($A18, INDIRECT("SepR!$A$6:$ZZ$1048576"), MATCH(AY$1, SepR!$6:$6, 0), FALSE),
            0
        ) +
        IFERROR(
            VLOOKUP($A18, INDIRECT("OctR!$A$6:$ZZ$1048576"), MATCH(AY$1, OctR!$6:$6, 0), FALSE),
            0
        ) +
        IFERROR(
            VLOOKUP($A18, INDIRECT("NovR!$A$6:$ZZ$1048576"), MATCH(AY$1, NovR!$6:$6, 0), FALSE),
            0
        ) +
        IFERROR(
            VLOOKUP($A18, INDIRECT("DicR!$A$6:$ZZ$1048576"), MATCH(AY$1, DicR!$6:$6, 0), FALSE),
            0
        )
)</f>
        <v>0</v>
      </c>
      <c r="AZ18" s="37"/>
    </row>
    <row r="19" ht="15.75" customHeight="1">
      <c r="A19" s="12" t="str">
        <f>Menus!R11</f>
        <v/>
      </c>
      <c r="B19" s="32">
        <f t="shared" si="4"/>
        <v>0</v>
      </c>
      <c r="C19" s="33" t="str">
        <f t="shared" si="5"/>
        <v/>
      </c>
      <c r="D19" s="34">
        <f t="array" ref="D19">SUM(
    IFERROR(
            VLOOKUP($A19, INDIRECT("EneR!$A$6:$ZZ$1048576"), MATCH(D$1, EneR!$6:$6, 0), FALSE),
            0
        ) +
        IFERROR(
            VLOOKUP($A19, INDIRECT("FebR!$A$6:$ZZ$1048576"), MATCH(D$1, FebR!$6:$6, 0), FALSE),
            0
        ) +
        IFERROR(
            VLOOKUP($A19, INDIRECT("MarR!$A$6:$ZZ$1048576"), MATCH(D$1, MarR!$6:$6, 0), FALSE),
            0
        ) +
        IFERROR(
            VLOOKUP($A19, INDIRECT("AbrR!$A$6:$ZZ$1048576"), MATCH(D$1, AbrR!$6:$6, 0), FALSE),
            0
        ) +
        IFERROR(
            VLOOKUP($A19, INDIRECT("MayR!$A$6:$ZZ$1048576"), MATCH(D$1, MayR!$6:$6, 0), FALSE),
            0
        ) +
        IFERROR(
            VLOOKUP($A19, INDIRECT("JunR!$A$6:$ZZ$1048576"), MATCH(D$1, JunR!$6:$6, 0), FALSE),
            0
        ) +
        IFERROR(
            VLOOKUP($A19, INDIRECT("JulR!$A$6:$ZZ$1048576"), MATCH(D$1, JulR!$6:$6, 0), FALSE),
            0
        ) +
        IFERROR(
            VLOOKUP($A19, INDIRECT("AgoR!$A$6:$ZZ$1048576"), MATCH(D$1, AgoR!$6:$6, 0), FALSE),
            0
        ) +
        IFERROR(
            VLOOKUP($A19, INDIRECT("SepR!$A$6:$ZZ$1048576"), MATCH(D$1, SepR!$6:$6, 0), FALSE),
            0
        ) +
        IFERROR(
            VLOOKUP($A19, INDIRECT("OctR!$A$6:$ZZ$1048576"), MATCH(D$1, OctR!$6:$6, 0), FALSE),
            0
        ) +
        IFERROR(
            VLOOKUP($A19, INDIRECT("NovR!$A$6:$ZZ$1048576"), MATCH(D$1, NovR!$6:$6, 0), FALSE),
            0
        ) +
        IFERROR(
            VLOOKUP($A19, INDIRECT("DicR!$A$6:$ZZ$1048576"), MATCH(D$1, DicR!$6:$6, 0), FALSE),
            0
        )
)</f>
        <v>0</v>
      </c>
      <c r="E19" s="35">
        <f t="array" ref="E19">SUM(
    IFERROR(
            VLOOKUP($A19, INDIRECT("EneR!$A$6:$ZZ$1048576"), MATCH(E$1, EneR!$6:$6, 0), FALSE),
            0
        ) +
        IFERROR(
            VLOOKUP($A19, INDIRECT("FebR!$A$6:$ZZ$1048576"), MATCH(E$1, FebR!$6:$6, 0), FALSE),
            0
        ) +
        IFERROR(
            VLOOKUP($A19, INDIRECT("MarR!$A$6:$ZZ$1048576"), MATCH(E$1, MarR!$6:$6, 0), FALSE),
            0
        ) +
        IFERROR(
            VLOOKUP($A19, INDIRECT("AbrR!$A$6:$ZZ$1048576"), MATCH(E$1, AbrR!$6:$6, 0), FALSE),
            0
        ) +
        IFERROR(
            VLOOKUP($A19, INDIRECT("MayR!$A$6:$ZZ$1048576"), MATCH(E$1, MayR!$6:$6, 0), FALSE),
            0
        ) +
        IFERROR(
            VLOOKUP($A19, INDIRECT("JunR!$A$6:$ZZ$1048576"), MATCH(E$1, JunR!$6:$6, 0), FALSE),
            0
        ) +
        IFERROR(
            VLOOKUP($A19, INDIRECT("JulR!$A$6:$ZZ$1048576"), MATCH(E$1, JulR!$6:$6, 0), FALSE),
            0
        ) +
        IFERROR(
            VLOOKUP($A19, INDIRECT("AgoR!$A$6:$ZZ$1048576"), MATCH(E$1, AgoR!$6:$6, 0), FALSE),
            0
        ) +
        IFERROR(
            VLOOKUP($A19, INDIRECT("SepR!$A$6:$ZZ$1048576"), MATCH(E$1, SepR!$6:$6, 0), FALSE),
            0
        ) +
        IFERROR(
            VLOOKUP($A19, INDIRECT("OctR!$A$6:$ZZ$1048576"), MATCH(E$1, OctR!$6:$6, 0), FALSE),
            0
        ) +
        IFERROR(
            VLOOKUP($A19, INDIRECT("NovR!$A$6:$ZZ$1048576"), MATCH(E$1, NovR!$6:$6, 0), FALSE),
            0
        ) +
        IFERROR(
            VLOOKUP($A19, INDIRECT("DicR!$A$6:$ZZ$1048576"), MATCH(E$1, DicR!$6:$6, 0), FALSE),
            0
        )
)</f>
        <v>0</v>
      </c>
      <c r="F19" s="32">
        <f t="array" ref="F19">SUM(
    IFERROR(
            VLOOKUP($A19, INDIRECT("EneR!$A$6:$ZZ$1048576"), MATCH(F$1, EneR!$6:$6, 0), FALSE),
            0
        ) +
        IFERROR(
            VLOOKUP($A19, INDIRECT("FebR!$A$6:$ZZ$1048576"), MATCH(F$1, FebR!$6:$6, 0), FALSE),
            0
        ) +
        IFERROR(
            VLOOKUP($A19, INDIRECT("MarR!$A$6:$ZZ$1048576"), MATCH(F$1, MarR!$6:$6, 0), FALSE),
            0
        ) +
        IFERROR(
            VLOOKUP($A19, INDIRECT("AbrR!$A$6:$ZZ$1048576"), MATCH(F$1, AbrR!$6:$6, 0), FALSE),
            0
        ) +
        IFERROR(
            VLOOKUP($A19, INDIRECT("MayR!$A$6:$ZZ$1048576"), MATCH(F$1, MayR!$6:$6, 0), FALSE),
            0
        ) +
        IFERROR(
            VLOOKUP($A19, INDIRECT("JunR!$A$6:$ZZ$1048576"), MATCH(F$1, JunR!$6:$6, 0), FALSE),
            0
        ) +
        IFERROR(
            VLOOKUP($A19, INDIRECT("JulR!$A$6:$ZZ$1048576"), MATCH(F$1, JulR!$6:$6, 0), FALSE),
            0
        ) +
        IFERROR(
            VLOOKUP($A19, INDIRECT("AgoR!$A$6:$ZZ$1048576"), MATCH(F$1, AgoR!$6:$6, 0), FALSE),
            0
        ) +
        IFERROR(
            VLOOKUP($A19, INDIRECT("SepR!$A$6:$ZZ$1048576"), MATCH(F$1, SepR!$6:$6, 0), FALSE),
            0
        ) +
        IFERROR(
            VLOOKUP($A19, INDIRECT("OctR!$A$6:$ZZ$1048576"), MATCH(F$1, OctR!$6:$6, 0), FALSE),
            0
        ) +
        IFERROR(
            VLOOKUP($A19, INDIRECT("NovR!$A$6:$ZZ$1048576"), MATCH(F$1, NovR!$6:$6, 0), FALSE),
            0
        ) +
        IFERROR(
            VLOOKUP($A19, INDIRECT("DicR!$A$6:$ZZ$1048576"), MATCH(F$1, DicR!$6:$6, 0), FALSE),
            0
        )
)</f>
        <v>0</v>
      </c>
      <c r="G19" s="35">
        <f t="array" ref="G19">SUM(
    IFERROR(
            VLOOKUP($A19, INDIRECT("EneR!$A$6:$ZZ$1048576"), MATCH(G$1, EneR!$6:$6, 0), FALSE),
            0
        ) +
        IFERROR(
            VLOOKUP($A19, INDIRECT("FebR!$A$6:$ZZ$1048576"), MATCH(G$1, FebR!$6:$6, 0), FALSE),
            0
        ) +
        IFERROR(
            VLOOKUP($A19, INDIRECT("MarR!$A$6:$ZZ$1048576"), MATCH(G$1, MarR!$6:$6, 0), FALSE),
            0
        ) +
        IFERROR(
            VLOOKUP($A19, INDIRECT("AbrR!$A$6:$ZZ$1048576"), MATCH(G$1, AbrR!$6:$6, 0), FALSE),
            0
        ) +
        IFERROR(
            VLOOKUP($A19, INDIRECT("MayR!$A$6:$ZZ$1048576"), MATCH(G$1, MayR!$6:$6, 0), FALSE),
            0
        ) +
        IFERROR(
            VLOOKUP($A19, INDIRECT("JunR!$A$6:$ZZ$1048576"), MATCH(G$1, JunR!$6:$6, 0), FALSE),
            0
        ) +
        IFERROR(
            VLOOKUP($A19, INDIRECT("JulR!$A$6:$ZZ$1048576"), MATCH(G$1, JulR!$6:$6, 0), FALSE),
            0
        ) +
        IFERROR(
            VLOOKUP($A19, INDIRECT("AgoR!$A$6:$ZZ$1048576"), MATCH(G$1, AgoR!$6:$6, 0), FALSE),
            0
        ) +
        IFERROR(
            VLOOKUP($A19, INDIRECT("SepR!$A$6:$ZZ$1048576"), MATCH(G$1, SepR!$6:$6, 0), FALSE),
            0
        ) +
        IFERROR(
            VLOOKUP($A19, INDIRECT("OctR!$A$6:$ZZ$1048576"), MATCH(G$1, OctR!$6:$6, 0), FALSE),
            0
        ) +
        IFERROR(
            VLOOKUP($A19, INDIRECT("NovR!$A$6:$ZZ$1048576"), MATCH(G$1, NovR!$6:$6, 0), FALSE),
            0
        ) +
        IFERROR(
            VLOOKUP($A19, INDIRECT("DicR!$A$6:$ZZ$1048576"), MATCH(G$1, DicR!$6:$6, 0), FALSE),
            0
        )
)</f>
        <v>0</v>
      </c>
      <c r="H19" s="32">
        <f t="array" ref="H19">SUM(
    IFERROR(
            VLOOKUP($A19, INDIRECT("EneR!$A$6:$ZZ$1048576"), MATCH(H$1, EneR!$6:$6, 0), FALSE),
            0
        ) +
        IFERROR(
            VLOOKUP($A19, INDIRECT("FebR!$A$6:$ZZ$1048576"), MATCH(H$1, FebR!$6:$6, 0), FALSE),
            0
        ) +
        IFERROR(
            VLOOKUP($A19, INDIRECT("MarR!$A$6:$ZZ$1048576"), MATCH(H$1, MarR!$6:$6, 0), FALSE),
            0
        ) +
        IFERROR(
            VLOOKUP($A19, INDIRECT("AbrR!$A$6:$ZZ$1048576"), MATCH(H$1, AbrR!$6:$6, 0), FALSE),
            0
        ) +
        IFERROR(
            VLOOKUP($A19, INDIRECT("MayR!$A$6:$ZZ$1048576"), MATCH(H$1, MayR!$6:$6, 0), FALSE),
            0
        ) +
        IFERROR(
            VLOOKUP($A19, INDIRECT("JunR!$A$6:$ZZ$1048576"), MATCH(H$1, JunR!$6:$6, 0), FALSE),
            0
        ) +
        IFERROR(
            VLOOKUP($A19, INDIRECT("JulR!$A$6:$ZZ$1048576"), MATCH(H$1, JulR!$6:$6, 0), FALSE),
            0
        ) +
        IFERROR(
            VLOOKUP($A19, INDIRECT("AgoR!$A$6:$ZZ$1048576"), MATCH(H$1, AgoR!$6:$6, 0), FALSE),
            0
        ) +
        IFERROR(
            VLOOKUP($A19, INDIRECT("SepR!$A$6:$ZZ$1048576"), MATCH(H$1, SepR!$6:$6, 0), FALSE),
            0
        ) +
        IFERROR(
            VLOOKUP($A19, INDIRECT("OctR!$A$6:$ZZ$1048576"), MATCH(H$1, OctR!$6:$6, 0), FALSE),
            0
        ) +
        IFERROR(
            VLOOKUP($A19, INDIRECT("NovR!$A$6:$ZZ$1048576"), MATCH(H$1, NovR!$6:$6, 0), FALSE),
            0
        ) +
        IFERROR(
            VLOOKUP($A19, INDIRECT("DicR!$A$6:$ZZ$1048576"), MATCH(H$1, DicR!$6:$6, 0), FALSE),
            0
        )
)</f>
        <v>0</v>
      </c>
      <c r="I19" s="35">
        <f t="array" ref="I19">SUM(
    IFERROR(
            VLOOKUP($A19, INDIRECT("EneR!$A$6:$ZZ$1048576"), MATCH(I$1, EneR!$6:$6, 0), FALSE),
            0
        ) +
        IFERROR(
            VLOOKUP($A19, INDIRECT("FebR!$A$6:$ZZ$1048576"), MATCH(I$1, FebR!$6:$6, 0), FALSE),
            0
        ) +
        IFERROR(
            VLOOKUP($A19, INDIRECT("MarR!$A$6:$ZZ$1048576"), MATCH(I$1, MarR!$6:$6, 0), FALSE),
            0
        ) +
        IFERROR(
            VLOOKUP($A19, INDIRECT("AbrR!$A$6:$ZZ$1048576"), MATCH(I$1, AbrR!$6:$6, 0), FALSE),
            0
        ) +
        IFERROR(
            VLOOKUP($A19, INDIRECT("MayR!$A$6:$ZZ$1048576"), MATCH(I$1, MayR!$6:$6, 0), FALSE),
            0
        ) +
        IFERROR(
            VLOOKUP($A19, INDIRECT("JunR!$A$6:$ZZ$1048576"), MATCH(I$1, JunR!$6:$6, 0), FALSE),
            0
        ) +
        IFERROR(
            VLOOKUP($A19, INDIRECT("JulR!$A$6:$ZZ$1048576"), MATCH(I$1, JulR!$6:$6, 0), FALSE),
            0
        ) +
        IFERROR(
            VLOOKUP($A19, INDIRECT("AgoR!$A$6:$ZZ$1048576"), MATCH(I$1, AgoR!$6:$6, 0), FALSE),
            0
        ) +
        IFERROR(
            VLOOKUP($A19, INDIRECT("SepR!$A$6:$ZZ$1048576"), MATCH(I$1, SepR!$6:$6, 0), FALSE),
            0
        ) +
        IFERROR(
            VLOOKUP($A19, INDIRECT("OctR!$A$6:$ZZ$1048576"), MATCH(I$1, OctR!$6:$6, 0), FALSE),
            0
        ) +
        IFERROR(
            VLOOKUP($A19, INDIRECT("NovR!$A$6:$ZZ$1048576"), MATCH(I$1, NovR!$6:$6, 0), FALSE),
            0
        ) +
        IFERROR(
            VLOOKUP($A19, INDIRECT("DicR!$A$6:$ZZ$1048576"), MATCH(I$1, DicR!$6:$6, 0), FALSE),
            0
        )
)</f>
        <v>0</v>
      </c>
      <c r="J19" s="32">
        <f t="array" ref="J19">SUM(
    IFERROR(
            VLOOKUP($A19, INDIRECT("EneR!$A$6:$ZZ$1048576"), MATCH(J$1, EneR!$6:$6, 0), FALSE),
            0
        ) +
        IFERROR(
            VLOOKUP($A19, INDIRECT("FebR!$A$6:$ZZ$1048576"), MATCH(J$1, FebR!$6:$6, 0), FALSE),
            0
        ) +
        IFERROR(
            VLOOKUP($A19, INDIRECT("MarR!$A$6:$ZZ$1048576"), MATCH(J$1, MarR!$6:$6, 0), FALSE),
            0
        ) +
        IFERROR(
            VLOOKUP($A19, INDIRECT("AbrR!$A$6:$ZZ$1048576"), MATCH(J$1, AbrR!$6:$6, 0), FALSE),
            0
        ) +
        IFERROR(
            VLOOKUP($A19, INDIRECT("MayR!$A$6:$ZZ$1048576"), MATCH(J$1, MayR!$6:$6, 0), FALSE),
            0
        ) +
        IFERROR(
            VLOOKUP($A19, INDIRECT("JunR!$A$6:$ZZ$1048576"), MATCH(J$1, JunR!$6:$6, 0), FALSE),
            0
        ) +
        IFERROR(
            VLOOKUP($A19, INDIRECT("JulR!$A$6:$ZZ$1048576"), MATCH(J$1, JulR!$6:$6, 0), FALSE),
            0
        ) +
        IFERROR(
            VLOOKUP($A19, INDIRECT("AgoR!$A$6:$ZZ$1048576"), MATCH(J$1, AgoR!$6:$6, 0), FALSE),
            0
        ) +
        IFERROR(
            VLOOKUP($A19, INDIRECT("SepR!$A$6:$ZZ$1048576"), MATCH(J$1, SepR!$6:$6, 0), FALSE),
            0
        ) +
        IFERROR(
            VLOOKUP($A19, INDIRECT("OctR!$A$6:$ZZ$1048576"), MATCH(J$1, OctR!$6:$6, 0), FALSE),
            0
        ) +
        IFERROR(
            VLOOKUP($A19, INDIRECT("NovR!$A$6:$ZZ$1048576"), MATCH(J$1, NovR!$6:$6, 0), FALSE),
            0
        ) +
        IFERROR(
            VLOOKUP($A19, INDIRECT("DicR!$A$6:$ZZ$1048576"), MATCH(J$1, DicR!$6:$6, 0), FALSE),
            0
        )
)</f>
        <v>0</v>
      </c>
      <c r="K19" s="35">
        <f t="array" ref="K19">SUM(
    IFERROR(
            VLOOKUP($A19, INDIRECT("EneR!$A$6:$ZZ$1048576"), MATCH(K$1, EneR!$6:$6, 0), FALSE),
            0
        ) +
        IFERROR(
            VLOOKUP($A19, INDIRECT("FebR!$A$6:$ZZ$1048576"), MATCH(K$1, FebR!$6:$6, 0), FALSE),
            0
        ) +
        IFERROR(
            VLOOKUP($A19, INDIRECT("MarR!$A$6:$ZZ$1048576"), MATCH(K$1, MarR!$6:$6, 0), FALSE),
            0
        ) +
        IFERROR(
            VLOOKUP($A19, INDIRECT("AbrR!$A$6:$ZZ$1048576"), MATCH(K$1, AbrR!$6:$6, 0), FALSE),
            0
        ) +
        IFERROR(
            VLOOKUP($A19, INDIRECT("MayR!$A$6:$ZZ$1048576"), MATCH(K$1, MayR!$6:$6, 0), FALSE),
            0
        ) +
        IFERROR(
            VLOOKUP($A19, INDIRECT("JunR!$A$6:$ZZ$1048576"), MATCH(K$1, JunR!$6:$6, 0), FALSE),
            0
        ) +
        IFERROR(
            VLOOKUP($A19, INDIRECT("JulR!$A$6:$ZZ$1048576"), MATCH(K$1, JulR!$6:$6, 0), FALSE),
            0
        ) +
        IFERROR(
            VLOOKUP($A19, INDIRECT("AgoR!$A$6:$ZZ$1048576"), MATCH(K$1, AgoR!$6:$6, 0), FALSE),
            0
        ) +
        IFERROR(
            VLOOKUP($A19, INDIRECT("SepR!$A$6:$ZZ$1048576"), MATCH(K$1, SepR!$6:$6, 0), FALSE),
            0
        ) +
        IFERROR(
            VLOOKUP($A19, INDIRECT("OctR!$A$6:$ZZ$1048576"), MATCH(K$1, OctR!$6:$6, 0), FALSE),
            0
        ) +
        IFERROR(
            VLOOKUP($A19, INDIRECT("NovR!$A$6:$ZZ$1048576"), MATCH(K$1, NovR!$6:$6, 0), FALSE),
            0
        ) +
        IFERROR(
            VLOOKUP($A19, INDIRECT("DicR!$A$6:$ZZ$1048576"), MATCH(K$1, DicR!$6:$6, 0), FALSE),
            0
        )
)</f>
        <v>0</v>
      </c>
      <c r="L19" s="32">
        <f t="array" ref="L19">SUM(
    IFERROR(
            VLOOKUP($A19, INDIRECT("EneR!$A$6:$ZZ$1048576"), MATCH(L$1, EneR!$6:$6, 0), FALSE),
            0
        ) +
        IFERROR(
            VLOOKUP($A19, INDIRECT("FebR!$A$6:$ZZ$1048576"), MATCH(L$1, FebR!$6:$6, 0), FALSE),
            0
        ) +
        IFERROR(
            VLOOKUP($A19, INDIRECT("MarR!$A$6:$ZZ$1048576"), MATCH(L$1, MarR!$6:$6, 0), FALSE),
            0
        ) +
        IFERROR(
            VLOOKUP($A19, INDIRECT("AbrR!$A$6:$ZZ$1048576"), MATCH(L$1, AbrR!$6:$6, 0), FALSE),
            0
        ) +
        IFERROR(
            VLOOKUP($A19, INDIRECT("MayR!$A$6:$ZZ$1048576"), MATCH(L$1, MayR!$6:$6, 0), FALSE),
            0
        ) +
        IFERROR(
            VLOOKUP($A19, INDIRECT("JunR!$A$6:$ZZ$1048576"), MATCH(L$1, JunR!$6:$6, 0), FALSE),
            0
        ) +
        IFERROR(
            VLOOKUP($A19, INDIRECT("JulR!$A$6:$ZZ$1048576"), MATCH(L$1, JulR!$6:$6, 0), FALSE),
            0
        ) +
        IFERROR(
            VLOOKUP($A19, INDIRECT("AgoR!$A$6:$ZZ$1048576"), MATCH(L$1, AgoR!$6:$6, 0), FALSE),
            0
        ) +
        IFERROR(
            VLOOKUP($A19, INDIRECT("SepR!$A$6:$ZZ$1048576"), MATCH(L$1, SepR!$6:$6, 0), FALSE),
            0
        ) +
        IFERROR(
            VLOOKUP($A19, INDIRECT("OctR!$A$6:$ZZ$1048576"), MATCH(L$1, OctR!$6:$6, 0), FALSE),
            0
        ) +
        IFERROR(
            VLOOKUP($A19, INDIRECT("NovR!$A$6:$ZZ$1048576"), MATCH(L$1, NovR!$6:$6, 0), FALSE),
            0
        ) +
        IFERROR(
            VLOOKUP($A19, INDIRECT("DicR!$A$6:$ZZ$1048576"), MATCH(L$1, DicR!$6:$6, 0), FALSE),
            0
        )
)</f>
        <v>0</v>
      </c>
      <c r="M19" s="35">
        <f t="array" ref="M19">SUM(
    IFERROR(
            VLOOKUP($A19, INDIRECT("EneR!$A$6:$ZZ$1048576"), MATCH(M$1, EneR!$6:$6, 0), FALSE),
            0
        ) +
        IFERROR(
            VLOOKUP($A19, INDIRECT("FebR!$A$6:$ZZ$1048576"), MATCH(M$1, FebR!$6:$6, 0), FALSE),
            0
        ) +
        IFERROR(
            VLOOKUP($A19, INDIRECT("MarR!$A$6:$ZZ$1048576"), MATCH(M$1, MarR!$6:$6, 0), FALSE),
            0
        ) +
        IFERROR(
            VLOOKUP($A19, INDIRECT("AbrR!$A$6:$ZZ$1048576"), MATCH(M$1, AbrR!$6:$6, 0), FALSE),
            0
        ) +
        IFERROR(
            VLOOKUP($A19, INDIRECT("MayR!$A$6:$ZZ$1048576"), MATCH(M$1, MayR!$6:$6, 0), FALSE),
            0
        ) +
        IFERROR(
            VLOOKUP($A19, INDIRECT("JunR!$A$6:$ZZ$1048576"), MATCH(M$1, JunR!$6:$6, 0), FALSE),
            0
        ) +
        IFERROR(
            VLOOKUP($A19, INDIRECT("JulR!$A$6:$ZZ$1048576"), MATCH(M$1, JulR!$6:$6, 0), FALSE),
            0
        ) +
        IFERROR(
            VLOOKUP($A19, INDIRECT("AgoR!$A$6:$ZZ$1048576"), MATCH(M$1, AgoR!$6:$6, 0), FALSE),
            0
        ) +
        IFERROR(
            VLOOKUP($A19, INDIRECT("SepR!$A$6:$ZZ$1048576"), MATCH(M$1, SepR!$6:$6, 0), FALSE),
            0
        ) +
        IFERROR(
            VLOOKUP($A19, INDIRECT("OctR!$A$6:$ZZ$1048576"), MATCH(M$1, OctR!$6:$6, 0), FALSE),
            0
        ) +
        IFERROR(
            VLOOKUP($A19, INDIRECT("NovR!$A$6:$ZZ$1048576"), MATCH(M$1, NovR!$6:$6, 0), FALSE),
            0
        ) +
        IFERROR(
            VLOOKUP($A19, INDIRECT("DicR!$A$6:$ZZ$1048576"), MATCH(M$1, DicR!$6:$6, 0), FALSE),
            0
        )
)</f>
        <v>0</v>
      </c>
      <c r="N19" s="32">
        <f t="array" ref="N19">SUM(
    IFERROR(
            VLOOKUP($A19, INDIRECT("EneR!$A$6:$ZZ$1048576"), MATCH(N$1, EneR!$6:$6, 0), FALSE),
            0
        ) +
        IFERROR(
            VLOOKUP($A19, INDIRECT("FebR!$A$6:$ZZ$1048576"), MATCH(N$1, FebR!$6:$6, 0), FALSE),
            0
        ) +
        IFERROR(
            VLOOKUP($A19, INDIRECT("MarR!$A$6:$ZZ$1048576"), MATCH(N$1, MarR!$6:$6, 0), FALSE),
            0
        ) +
        IFERROR(
            VLOOKUP($A19, INDIRECT("AbrR!$A$6:$ZZ$1048576"), MATCH(N$1, AbrR!$6:$6, 0), FALSE),
            0
        ) +
        IFERROR(
            VLOOKUP($A19, INDIRECT("MayR!$A$6:$ZZ$1048576"), MATCH(N$1, MayR!$6:$6, 0), FALSE),
            0
        ) +
        IFERROR(
            VLOOKUP($A19, INDIRECT("JunR!$A$6:$ZZ$1048576"), MATCH(N$1, JunR!$6:$6, 0), FALSE),
            0
        ) +
        IFERROR(
            VLOOKUP($A19, INDIRECT("JulR!$A$6:$ZZ$1048576"), MATCH(N$1, JulR!$6:$6, 0), FALSE),
            0
        ) +
        IFERROR(
            VLOOKUP($A19, INDIRECT("AgoR!$A$6:$ZZ$1048576"), MATCH(N$1, AgoR!$6:$6, 0), FALSE),
            0
        ) +
        IFERROR(
            VLOOKUP($A19, INDIRECT("SepR!$A$6:$ZZ$1048576"), MATCH(N$1, SepR!$6:$6, 0), FALSE),
            0
        ) +
        IFERROR(
            VLOOKUP($A19, INDIRECT("OctR!$A$6:$ZZ$1048576"), MATCH(N$1, OctR!$6:$6, 0), FALSE),
            0
        ) +
        IFERROR(
            VLOOKUP($A19, INDIRECT("NovR!$A$6:$ZZ$1048576"), MATCH(N$1, NovR!$6:$6, 0), FALSE),
            0
        ) +
        IFERROR(
            VLOOKUP($A19, INDIRECT("DicR!$A$6:$ZZ$1048576"), MATCH(N$1, DicR!$6:$6, 0), FALSE),
            0
        )
)</f>
        <v>0</v>
      </c>
      <c r="O19" s="35">
        <f t="array" ref="O19">SUM(
    IFERROR(
            VLOOKUP($A19, INDIRECT("EneR!$A$6:$ZZ$1048576"), MATCH(O$1, EneR!$6:$6, 0), FALSE),
            0
        ) +
        IFERROR(
            VLOOKUP($A19, INDIRECT("FebR!$A$6:$ZZ$1048576"), MATCH(O$1, FebR!$6:$6, 0), FALSE),
            0
        ) +
        IFERROR(
            VLOOKUP($A19, INDIRECT("MarR!$A$6:$ZZ$1048576"), MATCH(O$1, MarR!$6:$6, 0), FALSE),
            0
        ) +
        IFERROR(
            VLOOKUP($A19, INDIRECT("AbrR!$A$6:$ZZ$1048576"), MATCH(O$1, AbrR!$6:$6, 0), FALSE),
            0
        ) +
        IFERROR(
            VLOOKUP($A19, INDIRECT("MayR!$A$6:$ZZ$1048576"), MATCH(O$1, MayR!$6:$6, 0), FALSE),
            0
        ) +
        IFERROR(
            VLOOKUP($A19, INDIRECT("JunR!$A$6:$ZZ$1048576"), MATCH(O$1, JunR!$6:$6, 0), FALSE),
            0
        ) +
        IFERROR(
            VLOOKUP($A19, INDIRECT("JulR!$A$6:$ZZ$1048576"), MATCH(O$1, JulR!$6:$6, 0), FALSE),
            0
        ) +
        IFERROR(
            VLOOKUP($A19, INDIRECT("AgoR!$A$6:$ZZ$1048576"), MATCH(O$1, AgoR!$6:$6, 0), FALSE),
            0
        ) +
        IFERROR(
            VLOOKUP($A19, INDIRECT("SepR!$A$6:$ZZ$1048576"), MATCH(O$1, SepR!$6:$6, 0), FALSE),
            0
        ) +
        IFERROR(
            VLOOKUP($A19, INDIRECT("OctR!$A$6:$ZZ$1048576"), MATCH(O$1, OctR!$6:$6, 0), FALSE),
            0
        ) +
        IFERROR(
            VLOOKUP($A19, INDIRECT("NovR!$A$6:$ZZ$1048576"), MATCH(O$1, NovR!$6:$6, 0), FALSE),
            0
        ) +
        IFERROR(
            VLOOKUP($A19, INDIRECT("DicR!$A$6:$ZZ$1048576"), MATCH(O$1, DicR!$6:$6, 0), FALSE),
            0
        )
)</f>
        <v>0</v>
      </c>
      <c r="P19" s="32">
        <f t="array" ref="P19">SUM(
    IFERROR(
            VLOOKUP($A19, INDIRECT("EneR!$A$6:$ZZ$1048576"), MATCH(P$1, EneR!$6:$6, 0), FALSE),
            0
        ) +
        IFERROR(
            VLOOKUP($A19, INDIRECT("FebR!$A$6:$ZZ$1048576"), MATCH(P$1, FebR!$6:$6, 0), FALSE),
            0
        ) +
        IFERROR(
            VLOOKUP($A19, INDIRECT("MarR!$A$6:$ZZ$1048576"), MATCH(P$1, MarR!$6:$6, 0), FALSE),
            0
        ) +
        IFERROR(
            VLOOKUP($A19, INDIRECT("AbrR!$A$6:$ZZ$1048576"), MATCH(P$1, AbrR!$6:$6, 0), FALSE),
            0
        ) +
        IFERROR(
            VLOOKUP($A19, INDIRECT("MayR!$A$6:$ZZ$1048576"), MATCH(P$1, MayR!$6:$6, 0), FALSE),
            0
        ) +
        IFERROR(
            VLOOKUP($A19, INDIRECT("JunR!$A$6:$ZZ$1048576"), MATCH(P$1, JunR!$6:$6, 0), FALSE),
            0
        ) +
        IFERROR(
            VLOOKUP($A19, INDIRECT("JulR!$A$6:$ZZ$1048576"), MATCH(P$1, JulR!$6:$6, 0), FALSE),
            0
        ) +
        IFERROR(
            VLOOKUP($A19, INDIRECT("AgoR!$A$6:$ZZ$1048576"), MATCH(P$1, AgoR!$6:$6, 0), FALSE),
            0
        ) +
        IFERROR(
            VLOOKUP($A19, INDIRECT("SepR!$A$6:$ZZ$1048576"), MATCH(P$1, SepR!$6:$6, 0), FALSE),
            0
        ) +
        IFERROR(
            VLOOKUP($A19, INDIRECT("OctR!$A$6:$ZZ$1048576"), MATCH(P$1, OctR!$6:$6, 0), FALSE),
            0
        ) +
        IFERROR(
            VLOOKUP($A19, INDIRECT("NovR!$A$6:$ZZ$1048576"), MATCH(P$1, NovR!$6:$6, 0), FALSE),
            0
        ) +
        IFERROR(
            VLOOKUP($A19, INDIRECT("DicR!$A$6:$ZZ$1048576"), MATCH(P$1, DicR!$6:$6, 0), FALSE),
            0
        )
)</f>
        <v>0</v>
      </c>
      <c r="Q19" s="35">
        <f t="array" ref="Q19">SUM(
    IFERROR(
            VLOOKUP($A19, INDIRECT("EneR!$A$6:$ZZ$1048576"), MATCH(Q$1, EneR!$6:$6, 0), FALSE),
            0
        ) +
        IFERROR(
            VLOOKUP($A19, INDIRECT("FebR!$A$6:$ZZ$1048576"), MATCH(Q$1, FebR!$6:$6, 0), FALSE),
            0
        ) +
        IFERROR(
            VLOOKUP($A19, INDIRECT("MarR!$A$6:$ZZ$1048576"), MATCH(Q$1, MarR!$6:$6, 0), FALSE),
            0
        ) +
        IFERROR(
            VLOOKUP($A19, INDIRECT("AbrR!$A$6:$ZZ$1048576"), MATCH(Q$1, AbrR!$6:$6, 0), FALSE),
            0
        ) +
        IFERROR(
            VLOOKUP($A19, INDIRECT("MayR!$A$6:$ZZ$1048576"), MATCH(Q$1, MayR!$6:$6, 0), FALSE),
            0
        ) +
        IFERROR(
            VLOOKUP($A19, INDIRECT("JunR!$A$6:$ZZ$1048576"), MATCH(Q$1, JunR!$6:$6, 0), FALSE),
            0
        ) +
        IFERROR(
            VLOOKUP($A19, INDIRECT("JulR!$A$6:$ZZ$1048576"), MATCH(Q$1, JulR!$6:$6, 0), FALSE),
            0
        ) +
        IFERROR(
            VLOOKUP($A19, INDIRECT("AgoR!$A$6:$ZZ$1048576"), MATCH(Q$1, AgoR!$6:$6, 0), FALSE),
            0
        ) +
        IFERROR(
            VLOOKUP($A19, INDIRECT("SepR!$A$6:$ZZ$1048576"), MATCH(Q$1, SepR!$6:$6, 0), FALSE),
            0
        ) +
        IFERROR(
            VLOOKUP($A19, INDIRECT("OctR!$A$6:$ZZ$1048576"), MATCH(Q$1, OctR!$6:$6, 0), FALSE),
            0
        ) +
        IFERROR(
            VLOOKUP($A19, INDIRECT("NovR!$A$6:$ZZ$1048576"), MATCH(Q$1, NovR!$6:$6, 0), FALSE),
            0
        ) +
        IFERROR(
            VLOOKUP($A19, INDIRECT("DicR!$A$6:$ZZ$1048576"), MATCH(Q$1, DicR!$6:$6, 0), FALSE),
            0
        )
)</f>
        <v>0</v>
      </c>
      <c r="R19" s="36">
        <f t="array" ref="R19">SUM(
    IFERROR(
            VLOOKUP($A19, INDIRECT("EneR!$A$6:$ZZ$1048576"), MATCH(R$1, EneR!$6:$6, 0), FALSE),
            0
        ) +
        IFERROR(
            VLOOKUP($A19, INDIRECT("FebR!$A$6:$ZZ$1048576"), MATCH(R$1, FebR!$6:$6, 0), FALSE),
            0
        ) +
        IFERROR(
            VLOOKUP($A19, INDIRECT("MarR!$A$6:$ZZ$1048576"), MATCH(R$1, MarR!$6:$6, 0), FALSE),
            0
        ) +
        IFERROR(
            VLOOKUP($A19, INDIRECT("AbrR!$A$6:$ZZ$1048576"), MATCH(R$1, AbrR!$6:$6, 0), FALSE),
            0
        ) +
        IFERROR(
            VLOOKUP($A19, INDIRECT("MayR!$A$6:$ZZ$1048576"), MATCH(R$1, MayR!$6:$6, 0), FALSE),
            0
        ) +
        IFERROR(
            VLOOKUP($A19, INDIRECT("JunR!$A$6:$ZZ$1048576"), MATCH(R$1, JunR!$6:$6, 0), FALSE),
            0
        ) +
        IFERROR(
            VLOOKUP($A19, INDIRECT("JulR!$A$6:$ZZ$1048576"), MATCH(R$1, JulR!$6:$6, 0), FALSE),
            0
        ) +
        IFERROR(
            VLOOKUP($A19, INDIRECT("AgoR!$A$6:$ZZ$1048576"), MATCH(R$1, AgoR!$6:$6, 0), FALSE),
            0
        ) +
        IFERROR(
            VLOOKUP($A19, INDIRECT("SepR!$A$6:$ZZ$1048576"), MATCH(R$1, SepR!$6:$6, 0), FALSE),
            0
        ) +
        IFERROR(
            VLOOKUP($A19, INDIRECT("OctR!$A$6:$ZZ$1048576"), MATCH(R$1, OctR!$6:$6, 0), FALSE),
            0
        ) +
        IFERROR(
            VLOOKUP($A19, INDIRECT("NovR!$A$6:$ZZ$1048576"), MATCH(R$1, NovR!$6:$6, 0), FALSE),
            0
        ) +
        IFERROR(
            VLOOKUP($A19, INDIRECT("DicR!$A$6:$ZZ$1048576"), MATCH(R$1, DicR!$6:$6, 0), FALSE),
            0
        )
)</f>
        <v>0</v>
      </c>
      <c r="S19" s="37">
        <f t="array" ref="S19">SUM(
    IFERROR(
            VLOOKUP($A19, INDIRECT("EneR!$A$6:$ZZ$1048576"), MATCH(S$1, EneR!$6:$6, 0), FALSE),
            0
        ) +
        IFERROR(
            VLOOKUP($A19, INDIRECT("FebR!$A$6:$ZZ$1048576"), MATCH(S$1, FebR!$6:$6, 0), FALSE),
            0
        ) +
        IFERROR(
            VLOOKUP($A19, INDIRECT("MarR!$A$6:$ZZ$1048576"), MATCH(S$1, MarR!$6:$6, 0), FALSE),
            0
        ) +
        IFERROR(
            VLOOKUP($A19, INDIRECT("AbrR!$A$6:$ZZ$1048576"), MATCH(S$1, AbrR!$6:$6, 0), FALSE),
            0
        ) +
        IFERROR(
            VLOOKUP($A19, INDIRECT("MayR!$A$6:$ZZ$1048576"), MATCH(S$1, MayR!$6:$6, 0), FALSE),
            0
        ) +
        IFERROR(
            VLOOKUP($A19, INDIRECT("JunR!$A$6:$ZZ$1048576"), MATCH(S$1, JunR!$6:$6, 0), FALSE),
            0
        ) +
        IFERROR(
            VLOOKUP($A19, INDIRECT("JulR!$A$6:$ZZ$1048576"), MATCH(S$1, JulR!$6:$6, 0), FALSE),
            0
        ) +
        IFERROR(
            VLOOKUP($A19, INDIRECT("AgoR!$A$6:$ZZ$1048576"), MATCH(S$1, AgoR!$6:$6, 0), FALSE),
            0
        ) +
        IFERROR(
            VLOOKUP($A19, INDIRECT("SepR!$A$6:$ZZ$1048576"), MATCH(S$1, SepR!$6:$6, 0), FALSE),
            0
        ) +
        IFERROR(
            VLOOKUP($A19, INDIRECT("OctR!$A$6:$ZZ$1048576"), MATCH(S$1, OctR!$6:$6, 0), FALSE),
            0
        ) +
        IFERROR(
            VLOOKUP($A19, INDIRECT("NovR!$A$6:$ZZ$1048576"), MATCH(S$1, NovR!$6:$6, 0), FALSE),
            0
        ) +
        IFERROR(
            VLOOKUP($A19, INDIRECT("DicR!$A$6:$ZZ$1048576"), MATCH(S$1, DicR!$6:$6, 0), FALSE),
            0
        )
)</f>
        <v>0</v>
      </c>
      <c r="T19" s="36">
        <f t="array" ref="T19">SUM(
    IFERROR(
            VLOOKUP($A19, INDIRECT("EneR!$A$6:$ZZ$1048576"), MATCH(T$1, EneR!$6:$6, 0), FALSE),
            0
        ) +
        IFERROR(
            VLOOKUP($A19, INDIRECT("FebR!$A$6:$ZZ$1048576"), MATCH(T$1, FebR!$6:$6, 0), FALSE),
            0
        ) +
        IFERROR(
            VLOOKUP($A19, INDIRECT("MarR!$A$6:$ZZ$1048576"), MATCH(T$1, MarR!$6:$6, 0), FALSE),
            0
        ) +
        IFERROR(
            VLOOKUP($A19, INDIRECT("AbrR!$A$6:$ZZ$1048576"), MATCH(T$1, AbrR!$6:$6, 0), FALSE),
            0
        ) +
        IFERROR(
            VLOOKUP($A19, INDIRECT("MayR!$A$6:$ZZ$1048576"), MATCH(T$1, MayR!$6:$6, 0), FALSE),
            0
        ) +
        IFERROR(
            VLOOKUP($A19, INDIRECT("JunR!$A$6:$ZZ$1048576"), MATCH(T$1, JunR!$6:$6, 0), FALSE),
            0
        ) +
        IFERROR(
            VLOOKUP($A19, INDIRECT("JulR!$A$6:$ZZ$1048576"), MATCH(T$1, JulR!$6:$6, 0), FALSE),
            0
        ) +
        IFERROR(
            VLOOKUP($A19, INDIRECT("AgoR!$A$6:$ZZ$1048576"), MATCH(T$1, AgoR!$6:$6, 0), FALSE),
            0
        ) +
        IFERROR(
            VLOOKUP($A19, INDIRECT("SepR!$A$6:$ZZ$1048576"), MATCH(T$1, SepR!$6:$6, 0), FALSE),
            0
        ) +
        IFERROR(
            VLOOKUP($A19, INDIRECT("OctR!$A$6:$ZZ$1048576"), MATCH(T$1, OctR!$6:$6, 0), FALSE),
            0
        ) +
        IFERROR(
            VLOOKUP($A19, INDIRECT("NovR!$A$6:$ZZ$1048576"), MATCH(T$1, NovR!$6:$6, 0), FALSE),
            0
        ) +
        IFERROR(
            VLOOKUP($A19, INDIRECT("DicR!$A$6:$ZZ$1048576"), MATCH(T$1, DicR!$6:$6, 0), FALSE),
            0
        )
)</f>
        <v>0</v>
      </c>
      <c r="U19" s="37">
        <f t="array" ref="U19">SUM(
    IFERROR(
            VLOOKUP($A19, INDIRECT("EneR!$A$6:$ZZ$1048576"), MATCH(U$1, EneR!$6:$6, 0), FALSE),
            0
        ) +
        IFERROR(
            VLOOKUP($A19, INDIRECT("FebR!$A$6:$ZZ$1048576"), MATCH(U$1, FebR!$6:$6, 0), FALSE),
            0
        ) +
        IFERROR(
            VLOOKUP($A19, INDIRECT("MarR!$A$6:$ZZ$1048576"), MATCH(U$1, MarR!$6:$6, 0), FALSE),
            0
        ) +
        IFERROR(
            VLOOKUP($A19, INDIRECT("AbrR!$A$6:$ZZ$1048576"), MATCH(U$1, AbrR!$6:$6, 0), FALSE),
            0
        ) +
        IFERROR(
            VLOOKUP($A19, INDIRECT("MayR!$A$6:$ZZ$1048576"), MATCH(U$1, MayR!$6:$6, 0), FALSE),
            0
        ) +
        IFERROR(
            VLOOKUP($A19, INDIRECT("JunR!$A$6:$ZZ$1048576"), MATCH(U$1, JunR!$6:$6, 0), FALSE),
            0
        ) +
        IFERROR(
            VLOOKUP($A19, INDIRECT("JulR!$A$6:$ZZ$1048576"), MATCH(U$1, JulR!$6:$6, 0), FALSE),
            0
        ) +
        IFERROR(
            VLOOKUP($A19, INDIRECT("AgoR!$A$6:$ZZ$1048576"), MATCH(U$1, AgoR!$6:$6, 0), FALSE),
            0
        ) +
        IFERROR(
            VLOOKUP($A19, INDIRECT("SepR!$A$6:$ZZ$1048576"), MATCH(U$1, SepR!$6:$6, 0), FALSE),
            0
        ) +
        IFERROR(
            VLOOKUP($A19, INDIRECT("OctR!$A$6:$ZZ$1048576"), MATCH(U$1, OctR!$6:$6, 0), FALSE),
            0
        ) +
        IFERROR(
            VLOOKUP($A19, INDIRECT("NovR!$A$6:$ZZ$1048576"), MATCH(U$1, NovR!$6:$6, 0), FALSE),
            0
        ) +
        IFERROR(
            VLOOKUP($A19, INDIRECT("DicR!$A$6:$ZZ$1048576"), MATCH(U$1, DicR!$6:$6, 0), FALSE),
            0
        )
)</f>
        <v>0</v>
      </c>
      <c r="V19" s="36">
        <f t="array" ref="V19">SUM(
    IFERROR(
            VLOOKUP($A19, INDIRECT("EneR!$A$6:$ZZ$1048576"), MATCH(V$1, EneR!$6:$6, 0), FALSE),
            0
        ) +
        IFERROR(
            VLOOKUP($A19, INDIRECT("FebR!$A$6:$ZZ$1048576"), MATCH(V$1, FebR!$6:$6, 0), FALSE),
            0
        ) +
        IFERROR(
            VLOOKUP($A19, INDIRECT("MarR!$A$6:$ZZ$1048576"), MATCH(V$1, MarR!$6:$6, 0), FALSE),
            0
        ) +
        IFERROR(
            VLOOKUP($A19, INDIRECT("AbrR!$A$6:$ZZ$1048576"), MATCH(V$1, AbrR!$6:$6, 0), FALSE),
            0
        ) +
        IFERROR(
            VLOOKUP($A19, INDIRECT("MayR!$A$6:$ZZ$1048576"), MATCH(V$1, MayR!$6:$6, 0), FALSE),
            0
        ) +
        IFERROR(
            VLOOKUP($A19, INDIRECT("JunR!$A$6:$ZZ$1048576"), MATCH(V$1, JunR!$6:$6, 0), FALSE),
            0
        ) +
        IFERROR(
            VLOOKUP($A19, INDIRECT("JulR!$A$6:$ZZ$1048576"), MATCH(V$1, JulR!$6:$6, 0), FALSE),
            0
        ) +
        IFERROR(
            VLOOKUP($A19, INDIRECT("AgoR!$A$6:$ZZ$1048576"), MATCH(V$1, AgoR!$6:$6, 0), FALSE),
            0
        ) +
        IFERROR(
            VLOOKUP($A19, INDIRECT("SepR!$A$6:$ZZ$1048576"), MATCH(V$1, SepR!$6:$6, 0), FALSE),
            0
        ) +
        IFERROR(
            VLOOKUP($A19, INDIRECT("OctR!$A$6:$ZZ$1048576"), MATCH(V$1, OctR!$6:$6, 0), FALSE),
            0
        ) +
        IFERROR(
            VLOOKUP($A19, INDIRECT("NovR!$A$6:$ZZ$1048576"), MATCH(V$1, NovR!$6:$6, 0), FALSE),
            0
        ) +
        IFERROR(
            VLOOKUP($A19, INDIRECT("DicR!$A$6:$ZZ$1048576"), MATCH(V$1, DicR!$6:$6, 0), FALSE),
            0
        )
)</f>
        <v>0</v>
      </c>
      <c r="W19" s="37">
        <f t="array" ref="W19">SUM(
    IFERROR(
            VLOOKUP($A19, INDIRECT("EneR!$A$6:$ZZ$1048576"), MATCH(W$1, EneR!$6:$6, 0), FALSE),
            0
        ) +
        IFERROR(
            VLOOKUP($A19, INDIRECT("FebR!$A$6:$ZZ$1048576"), MATCH(W$1, FebR!$6:$6, 0), FALSE),
            0
        ) +
        IFERROR(
            VLOOKUP($A19, INDIRECT("MarR!$A$6:$ZZ$1048576"), MATCH(W$1, MarR!$6:$6, 0), FALSE),
            0
        ) +
        IFERROR(
            VLOOKUP($A19, INDIRECT("AbrR!$A$6:$ZZ$1048576"), MATCH(W$1, AbrR!$6:$6, 0), FALSE),
            0
        ) +
        IFERROR(
            VLOOKUP($A19, INDIRECT("MayR!$A$6:$ZZ$1048576"), MATCH(W$1, MayR!$6:$6, 0), FALSE),
            0
        ) +
        IFERROR(
            VLOOKUP($A19, INDIRECT("JunR!$A$6:$ZZ$1048576"), MATCH(W$1, JunR!$6:$6, 0), FALSE),
            0
        ) +
        IFERROR(
            VLOOKUP($A19, INDIRECT("JulR!$A$6:$ZZ$1048576"), MATCH(W$1, JulR!$6:$6, 0), FALSE),
            0
        ) +
        IFERROR(
            VLOOKUP($A19, INDIRECT("AgoR!$A$6:$ZZ$1048576"), MATCH(W$1, AgoR!$6:$6, 0), FALSE),
            0
        ) +
        IFERROR(
            VLOOKUP($A19, INDIRECT("SepR!$A$6:$ZZ$1048576"), MATCH(W$1, SepR!$6:$6, 0), FALSE),
            0
        ) +
        IFERROR(
            VLOOKUP($A19, INDIRECT("OctR!$A$6:$ZZ$1048576"), MATCH(W$1, OctR!$6:$6, 0), FALSE),
            0
        ) +
        IFERROR(
            VLOOKUP($A19, INDIRECT("NovR!$A$6:$ZZ$1048576"), MATCH(W$1, NovR!$6:$6, 0), FALSE),
            0
        ) +
        IFERROR(
            VLOOKUP($A19, INDIRECT("DicR!$A$6:$ZZ$1048576"), MATCH(W$1, DicR!$6:$6, 0), FALSE),
            0
        )
)</f>
        <v>0</v>
      </c>
      <c r="X19" s="36">
        <f t="array" ref="X19">SUM(
    IFERROR(
            VLOOKUP($A19, INDIRECT("EneR!$A$6:$ZZ$1048576"), MATCH(X$1, EneR!$6:$6, 0), FALSE),
            0
        ) +
        IFERROR(
            VLOOKUP($A19, INDIRECT("FebR!$A$6:$ZZ$1048576"), MATCH(X$1, FebR!$6:$6, 0), FALSE),
            0
        ) +
        IFERROR(
            VLOOKUP($A19, INDIRECT("MarR!$A$6:$ZZ$1048576"), MATCH(X$1, MarR!$6:$6, 0), FALSE),
            0
        ) +
        IFERROR(
            VLOOKUP($A19, INDIRECT("AbrR!$A$6:$ZZ$1048576"), MATCH(X$1, AbrR!$6:$6, 0), FALSE),
            0
        ) +
        IFERROR(
            VLOOKUP($A19, INDIRECT("MayR!$A$6:$ZZ$1048576"), MATCH(X$1, MayR!$6:$6, 0), FALSE),
            0
        ) +
        IFERROR(
            VLOOKUP($A19, INDIRECT("JunR!$A$6:$ZZ$1048576"), MATCH(X$1, JunR!$6:$6, 0), FALSE),
            0
        ) +
        IFERROR(
            VLOOKUP($A19, INDIRECT("JulR!$A$6:$ZZ$1048576"), MATCH(X$1, JulR!$6:$6, 0), FALSE),
            0
        ) +
        IFERROR(
            VLOOKUP($A19, INDIRECT("AgoR!$A$6:$ZZ$1048576"), MATCH(X$1, AgoR!$6:$6, 0), FALSE),
            0
        ) +
        IFERROR(
            VLOOKUP($A19, INDIRECT("SepR!$A$6:$ZZ$1048576"), MATCH(X$1, SepR!$6:$6, 0), FALSE),
            0
        ) +
        IFERROR(
            VLOOKUP($A19, INDIRECT("OctR!$A$6:$ZZ$1048576"), MATCH(X$1, OctR!$6:$6, 0), FALSE),
            0
        ) +
        IFERROR(
            VLOOKUP($A19, INDIRECT("NovR!$A$6:$ZZ$1048576"), MATCH(X$1, NovR!$6:$6, 0), FALSE),
            0
        ) +
        IFERROR(
            VLOOKUP($A19, INDIRECT("DicR!$A$6:$ZZ$1048576"), MATCH(X$1, DicR!$6:$6, 0), FALSE),
            0
        )
)</f>
        <v>0</v>
      </c>
      <c r="Y19" s="37">
        <f t="array" ref="Y19">SUM(
    IFERROR(
            VLOOKUP($A19, INDIRECT("EneR!$A$6:$ZZ$1048576"), MATCH(Y$1, EneR!$6:$6, 0), FALSE),
            0
        ) +
        IFERROR(
            VLOOKUP($A19, INDIRECT("FebR!$A$6:$ZZ$1048576"), MATCH(Y$1, FebR!$6:$6, 0), FALSE),
            0
        ) +
        IFERROR(
            VLOOKUP($A19, INDIRECT("MarR!$A$6:$ZZ$1048576"), MATCH(Y$1, MarR!$6:$6, 0), FALSE),
            0
        ) +
        IFERROR(
            VLOOKUP($A19, INDIRECT("AbrR!$A$6:$ZZ$1048576"), MATCH(Y$1, AbrR!$6:$6, 0), FALSE),
            0
        ) +
        IFERROR(
            VLOOKUP($A19, INDIRECT("MayR!$A$6:$ZZ$1048576"), MATCH(Y$1, MayR!$6:$6, 0), FALSE),
            0
        ) +
        IFERROR(
            VLOOKUP($A19, INDIRECT("JunR!$A$6:$ZZ$1048576"), MATCH(Y$1, JunR!$6:$6, 0), FALSE),
            0
        ) +
        IFERROR(
            VLOOKUP($A19, INDIRECT("JulR!$A$6:$ZZ$1048576"), MATCH(Y$1, JulR!$6:$6, 0), FALSE),
            0
        ) +
        IFERROR(
            VLOOKUP($A19, INDIRECT("AgoR!$A$6:$ZZ$1048576"), MATCH(Y$1, AgoR!$6:$6, 0), FALSE),
            0
        ) +
        IFERROR(
            VLOOKUP($A19, INDIRECT("SepR!$A$6:$ZZ$1048576"), MATCH(Y$1, SepR!$6:$6, 0), FALSE),
            0
        ) +
        IFERROR(
            VLOOKUP($A19, INDIRECT("OctR!$A$6:$ZZ$1048576"), MATCH(Y$1, OctR!$6:$6, 0), FALSE),
            0
        ) +
        IFERROR(
            VLOOKUP($A19, INDIRECT("NovR!$A$6:$ZZ$1048576"), MATCH(Y$1, NovR!$6:$6, 0), FALSE),
            0
        ) +
        IFERROR(
            VLOOKUP($A19, INDIRECT("DicR!$A$6:$ZZ$1048576"), MATCH(Y$1, DicR!$6:$6, 0), FALSE),
            0
        )
)</f>
        <v>0</v>
      </c>
      <c r="Z19" s="36">
        <f t="array" ref="Z19">SUM(
    IFERROR(
            VLOOKUP($A19, INDIRECT("EneR!$A$6:$ZZ$1048576"), MATCH(Z$1, EneR!$6:$6, 0), FALSE),
            0
        ) +
        IFERROR(
            VLOOKUP($A19, INDIRECT("FebR!$A$6:$ZZ$1048576"), MATCH(Z$1, FebR!$6:$6, 0), FALSE),
            0
        ) +
        IFERROR(
            VLOOKUP($A19, INDIRECT("MarR!$A$6:$ZZ$1048576"), MATCH(Z$1, MarR!$6:$6, 0), FALSE),
            0
        ) +
        IFERROR(
            VLOOKUP($A19, INDIRECT("AbrR!$A$6:$ZZ$1048576"), MATCH(Z$1, AbrR!$6:$6, 0), FALSE),
            0
        ) +
        IFERROR(
            VLOOKUP($A19, INDIRECT("MayR!$A$6:$ZZ$1048576"), MATCH(Z$1, MayR!$6:$6, 0), FALSE),
            0
        ) +
        IFERROR(
            VLOOKUP($A19, INDIRECT("JunR!$A$6:$ZZ$1048576"), MATCH(Z$1, JunR!$6:$6, 0), FALSE),
            0
        ) +
        IFERROR(
            VLOOKUP($A19, INDIRECT("JulR!$A$6:$ZZ$1048576"), MATCH(Z$1, JulR!$6:$6, 0), FALSE),
            0
        ) +
        IFERROR(
            VLOOKUP($A19, INDIRECT("AgoR!$A$6:$ZZ$1048576"), MATCH(Z$1, AgoR!$6:$6, 0), FALSE),
            0
        ) +
        IFERROR(
            VLOOKUP($A19, INDIRECT("SepR!$A$6:$ZZ$1048576"), MATCH(Z$1, SepR!$6:$6, 0), FALSE),
            0
        ) +
        IFERROR(
            VLOOKUP($A19, INDIRECT("OctR!$A$6:$ZZ$1048576"), MATCH(Z$1, OctR!$6:$6, 0), FALSE),
            0
        ) +
        IFERROR(
            VLOOKUP($A19, INDIRECT("NovR!$A$6:$ZZ$1048576"), MATCH(Z$1, NovR!$6:$6, 0), FALSE),
            0
        ) +
        IFERROR(
            VLOOKUP($A19, INDIRECT("DicR!$A$6:$ZZ$1048576"), MATCH(Z$1, DicR!$6:$6, 0), FALSE),
            0
        )
)</f>
        <v>0</v>
      </c>
      <c r="AA19" s="37">
        <f t="array" ref="AA19">SUM(
    IFERROR(
            VLOOKUP($A19, INDIRECT("EneR!$A$6:$ZZ$1048576"), MATCH(AA$1, EneR!$6:$6, 0), FALSE),
            0
        ) +
        IFERROR(
            VLOOKUP($A19, INDIRECT("FebR!$A$6:$ZZ$1048576"), MATCH(AA$1, FebR!$6:$6, 0), FALSE),
            0
        ) +
        IFERROR(
            VLOOKUP($A19, INDIRECT("MarR!$A$6:$ZZ$1048576"), MATCH(AA$1, MarR!$6:$6, 0), FALSE),
            0
        ) +
        IFERROR(
            VLOOKUP($A19, INDIRECT("AbrR!$A$6:$ZZ$1048576"), MATCH(AA$1, AbrR!$6:$6, 0), FALSE),
            0
        ) +
        IFERROR(
            VLOOKUP($A19, INDIRECT("MayR!$A$6:$ZZ$1048576"), MATCH(AA$1, MayR!$6:$6, 0), FALSE),
            0
        ) +
        IFERROR(
            VLOOKUP($A19, INDIRECT("JunR!$A$6:$ZZ$1048576"), MATCH(AA$1, JunR!$6:$6, 0), FALSE),
            0
        ) +
        IFERROR(
            VLOOKUP($A19, INDIRECT("JulR!$A$6:$ZZ$1048576"), MATCH(AA$1, JulR!$6:$6, 0), FALSE),
            0
        ) +
        IFERROR(
            VLOOKUP($A19, INDIRECT("AgoR!$A$6:$ZZ$1048576"), MATCH(AA$1, AgoR!$6:$6, 0), FALSE),
            0
        ) +
        IFERROR(
            VLOOKUP($A19, INDIRECT("SepR!$A$6:$ZZ$1048576"), MATCH(AA$1, SepR!$6:$6, 0), FALSE),
            0
        ) +
        IFERROR(
            VLOOKUP($A19, INDIRECT("OctR!$A$6:$ZZ$1048576"), MATCH(AA$1, OctR!$6:$6, 0), FALSE),
            0
        ) +
        IFERROR(
            VLOOKUP($A19, INDIRECT("NovR!$A$6:$ZZ$1048576"), MATCH(AA$1, NovR!$6:$6, 0), FALSE),
            0
        ) +
        IFERROR(
            VLOOKUP($A19, INDIRECT("DicR!$A$6:$ZZ$1048576"), MATCH(AA$1, DicR!$6:$6, 0), FALSE),
            0
        )
)</f>
        <v>0</v>
      </c>
      <c r="AB19" s="36">
        <f t="array" ref="AB19">SUM(
    IFERROR(
            VLOOKUP($A19, INDIRECT("EneR!$A$6:$ZZ$1048576"), MATCH(AB$1, EneR!$6:$6, 0), FALSE),
            0
        ) +
        IFERROR(
            VLOOKUP($A19, INDIRECT("FebR!$A$6:$ZZ$1048576"), MATCH(AB$1, FebR!$6:$6, 0), FALSE),
            0
        ) +
        IFERROR(
            VLOOKUP($A19, INDIRECT("MarR!$A$6:$ZZ$1048576"), MATCH(AB$1, MarR!$6:$6, 0), FALSE),
            0
        ) +
        IFERROR(
            VLOOKUP($A19, INDIRECT("AbrR!$A$6:$ZZ$1048576"), MATCH(AB$1, AbrR!$6:$6, 0), FALSE),
            0
        ) +
        IFERROR(
            VLOOKUP($A19, INDIRECT("MayR!$A$6:$ZZ$1048576"), MATCH(AB$1, MayR!$6:$6, 0), FALSE),
            0
        ) +
        IFERROR(
            VLOOKUP($A19, INDIRECT("JunR!$A$6:$ZZ$1048576"), MATCH(AB$1, JunR!$6:$6, 0), FALSE),
            0
        ) +
        IFERROR(
            VLOOKUP($A19, INDIRECT("JulR!$A$6:$ZZ$1048576"), MATCH(AB$1, JulR!$6:$6, 0), FALSE),
            0
        ) +
        IFERROR(
            VLOOKUP($A19, INDIRECT("AgoR!$A$6:$ZZ$1048576"), MATCH(AB$1, AgoR!$6:$6, 0), FALSE),
            0
        ) +
        IFERROR(
            VLOOKUP($A19, INDIRECT("SepR!$A$6:$ZZ$1048576"), MATCH(AB$1, SepR!$6:$6, 0), FALSE),
            0
        ) +
        IFERROR(
            VLOOKUP($A19, INDIRECT("OctR!$A$6:$ZZ$1048576"), MATCH(AB$1, OctR!$6:$6, 0), FALSE),
            0
        ) +
        IFERROR(
            VLOOKUP($A19, INDIRECT("NovR!$A$6:$ZZ$1048576"), MATCH(AB$1, NovR!$6:$6, 0), FALSE),
            0
        ) +
        IFERROR(
            VLOOKUP($A19, INDIRECT("DicR!$A$6:$ZZ$1048576"), MATCH(AB$1, DicR!$6:$6, 0), FALSE),
            0
        )
)</f>
        <v>0</v>
      </c>
      <c r="AC19" s="37">
        <f t="array" ref="AC19">SUM(
    IFERROR(
            VLOOKUP($A19, INDIRECT("EneR!$A$6:$ZZ$1048576"), MATCH(AC$1, EneR!$6:$6, 0), FALSE),
            0
        ) +
        IFERROR(
            VLOOKUP($A19, INDIRECT("FebR!$A$6:$ZZ$1048576"), MATCH(AC$1, FebR!$6:$6, 0), FALSE),
            0
        ) +
        IFERROR(
            VLOOKUP($A19, INDIRECT("MarR!$A$6:$ZZ$1048576"), MATCH(AC$1, MarR!$6:$6, 0), FALSE),
            0
        ) +
        IFERROR(
            VLOOKUP($A19, INDIRECT("AbrR!$A$6:$ZZ$1048576"), MATCH(AC$1, AbrR!$6:$6, 0), FALSE),
            0
        ) +
        IFERROR(
            VLOOKUP($A19, INDIRECT("MayR!$A$6:$ZZ$1048576"), MATCH(AC$1, MayR!$6:$6, 0), FALSE),
            0
        ) +
        IFERROR(
            VLOOKUP($A19, INDIRECT("JunR!$A$6:$ZZ$1048576"), MATCH(AC$1, JunR!$6:$6, 0), FALSE),
            0
        ) +
        IFERROR(
            VLOOKUP($A19, INDIRECT("JulR!$A$6:$ZZ$1048576"), MATCH(AC$1, JulR!$6:$6, 0), FALSE),
            0
        ) +
        IFERROR(
            VLOOKUP($A19, INDIRECT("AgoR!$A$6:$ZZ$1048576"), MATCH(AC$1, AgoR!$6:$6, 0), FALSE),
            0
        ) +
        IFERROR(
            VLOOKUP($A19, INDIRECT("SepR!$A$6:$ZZ$1048576"), MATCH(AC$1, SepR!$6:$6, 0), FALSE),
            0
        ) +
        IFERROR(
            VLOOKUP($A19, INDIRECT("OctR!$A$6:$ZZ$1048576"), MATCH(AC$1, OctR!$6:$6, 0), FALSE),
            0
        ) +
        IFERROR(
            VLOOKUP($A19, INDIRECT("NovR!$A$6:$ZZ$1048576"), MATCH(AC$1, NovR!$6:$6, 0), FALSE),
            0
        ) +
        IFERROR(
            VLOOKUP($A19, INDIRECT("DicR!$A$6:$ZZ$1048576"), MATCH(AC$1, DicR!$6:$6, 0), FALSE),
            0
        )
)</f>
        <v>0</v>
      </c>
      <c r="AD19" s="36">
        <f t="array" ref="AD19">SUM(
    IFERROR(
            VLOOKUP($A19, INDIRECT("EneR!$A$6:$ZZ$1048576"), MATCH(AD$1, EneR!$6:$6, 0), FALSE),
            0
        ) +
        IFERROR(
            VLOOKUP($A19, INDIRECT("FebR!$A$6:$ZZ$1048576"), MATCH(AD$1, FebR!$6:$6, 0), FALSE),
            0
        ) +
        IFERROR(
            VLOOKUP($A19, INDIRECT("MarR!$A$6:$ZZ$1048576"), MATCH(AD$1, MarR!$6:$6, 0), FALSE),
            0
        ) +
        IFERROR(
            VLOOKUP($A19, INDIRECT("AbrR!$A$6:$ZZ$1048576"), MATCH(AD$1, AbrR!$6:$6, 0), FALSE),
            0
        ) +
        IFERROR(
            VLOOKUP($A19, INDIRECT("MayR!$A$6:$ZZ$1048576"), MATCH(AD$1, MayR!$6:$6, 0), FALSE),
            0
        ) +
        IFERROR(
            VLOOKUP($A19, INDIRECT("JunR!$A$6:$ZZ$1048576"), MATCH(AD$1, JunR!$6:$6, 0), FALSE),
            0
        ) +
        IFERROR(
            VLOOKUP($A19, INDIRECT("JulR!$A$6:$ZZ$1048576"), MATCH(AD$1, JulR!$6:$6, 0), FALSE),
            0
        ) +
        IFERROR(
            VLOOKUP($A19, INDIRECT("AgoR!$A$6:$ZZ$1048576"), MATCH(AD$1, AgoR!$6:$6, 0), FALSE),
            0
        ) +
        IFERROR(
            VLOOKUP($A19, INDIRECT("SepR!$A$6:$ZZ$1048576"), MATCH(AD$1, SepR!$6:$6, 0), FALSE),
            0
        ) +
        IFERROR(
            VLOOKUP($A19, INDIRECT("OctR!$A$6:$ZZ$1048576"), MATCH(AD$1, OctR!$6:$6, 0), FALSE),
            0
        ) +
        IFERROR(
            VLOOKUP($A19, INDIRECT("NovR!$A$6:$ZZ$1048576"), MATCH(AD$1, NovR!$6:$6, 0), FALSE),
            0
        ) +
        IFERROR(
            VLOOKUP($A19, INDIRECT("DicR!$A$6:$ZZ$1048576"), MATCH(AD$1, DicR!$6:$6, 0), FALSE),
            0
        )
)</f>
        <v>0</v>
      </c>
      <c r="AE19" s="37">
        <f t="array" ref="AE19">SUM(
    IFERROR(
            VLOOKUP($A19, INDIRECT("EneR!$A$6:$ZZ$1048576"), MATCH(AE$1, EneR!$6:$6, 0), FALSE),
            0
        ) +
        IFERROR(
            VLOOKUP($A19, INDIRECT("FebR!$A$6:$ZZ$1048576"), MATCH(AE$1, FebR!$6:$6, 0), FALSE),
            0
        ) +
        IFERROR(
            VLOOKUP($A19, INDIRECT("MarR!$A$6:$ZZ$1048576"), MATCH(AE$1, MarR!$6:$6, 0), FALSE),
            0
        ) +
        IFERROR(
            VLOOKUP($A19, INDIRECT("AbrR!$A$6:$ZZ$1048576"), MATCH(AE$1, AbrR!$6:$6, 0), FALSE),
            0
        ) +
        IFERROR(
            VLOOKUP($A19, INDIRECT("MayR!$A$6:$ZZ$1048576"), MATCH(AE$1, MayR!$6:$6, 0), FALSE),
            0
        ) +
        IFERROR(
            VLOOKUP($A19, INDIRECT("JunR!$A$6:$ZZ$1048576"), MATCH(AE$1, JunR!$6:$6, 0), FALSE),
            0
        ) +
        IFERROR(
            VLOOKUP($A19, INDIRECT("JulR!$A$6:$ZZ$1048576"), MATCH(AE$1, JulR!$6:$6, 0), FALSE),
            0
        ) +
        IFERROR(
            VLOOKUP($A19, INDIRECT("AgoR!$A$6:$ZZ$1048576"), MATCH(AE$1, AgoR!$6:$6, 0), FALSE),
            0
        ) +
        IFERROR(
            VLOOKUP($A19, INDIRECT("SepR!$A$6:$ZZ$1048576"), MATCH(AE$1, SepR!$6:$6, 0), FALSE),
            0
        ) +
        IFERROR(
            VLOOKUP($A19, INDIRECT("OctR!$A$6:$ZZ$1048576"), MATCH(AE$1, OctR!$6:$6, 0), FALSE),
            0
        ) +
        IFERROR(
            VLOOKUP($A19, INDIRECT("NovR!$A$6:$ZZ$1048576"), MATCH(AE$1, NovR!$6:$6, 0), FALSE),
            0
        ) +
        IFERROR(
            VLOOKUP($A19, INDIRECT("DicR!$A$6:$ZZ$1048576"), MATCH(AE$1, DicR!$6:$6, 0), FALSE),
            0
        )
)</f>
        <v>0</v>
      </c>
      <c r="AF19" s="36">
        <f t="array" ref="AF19">SUM(
    IFERROR(
            VLOOKUP($A19, INDIRECT("EneR!$A$6:$ZZ$1048576"), MATCH(AF$1, EneR!$6:$6, 0), FALSE),
            0
        ) +
        IFERROR(
            VLOOKUP($A19, INDIRECT("FebR!$A$6:$ZZ$1048576"), MATCH(AF$1, FebR!$6:$6, 0), FALSE),
            0
        ) +
        IFERROR(
            VLOOKUP($A19, INDIRECT("MarR!$A$6:$ZZ$1048576"), MATCH(AF$1, MarR!$6:$6, 0), FALSE),
            0
        ) +
        IFERROR(
            VLOOKUP($A19, INDIRECT("AbrR!$A$6:$ZZ$1048576"), MATCH(AF$1, AbrR!$6:$6, 0), FALSE),
            0
        ) +
        IFERROR(
            VLOOKUP($A19, INDIRECT("MayR!$A$6:$ZZ$1048576"), MATCH(AF$1, MayR!$6:$6, 0), FALSE),
            0
        ) +
        IFERROR(
            VLOOKUP($A19, INDIRECT("JunR!$A$6:$ZZ$1048576"), MATCH(AF$1, JunR!$6:$6, 0), FALSE),
            0
        ) +
        IFERROR(
            VLOOKUP($A19, INDIRECT("JulR!$A$6:$ZZ$1048576"), MATCH(AF$1, JulR!$6:$6, 0), FALSE),
            0
        ) +
        IFERROR(
            VLOOKUP($A19, INDIRECT("AgoR!$A$6:$ZZ$1048576"), MATCH(AF$1, AgoR!$6:$6, 0), FALSE),
            0
        ) +
        IFERROR(
            VLOOKUP($A19, INDIRECT("SepR!$A$6:$ZZ$1048576"), MATCH(AF$1, SepR!$6:$6, 0), FALSE),
            0
        ) +
        IFERROR(
            VLOOKUP($A19, INDIRECT("OctR!$A$6:$ZZ$1048576"), MATCH(AF$1, OctR!$6:$6, 0), FALSE),
            0
        ) +
        IFERROR(
            VLOOKUP($A19, INDIRECT("NovR!$A$6:$ZZ$1048576"), MATCH(AF$1, NovR!$6:$6, 0), FALSE),
            0
        ) +
        IFERROR(
            VLOOKUP($A19, INDIRECT("DicR!$A$6:$ZZ$1048576"), MATCH(AF$1, DicR!$6:$6, 0), FALSE),
            0
        )
)</f>
        <v>0</v>
      </c>
      <c r="AG19" s="37">
        <f t="array" ref="AG19">SUM(
    IFERROR(
            VLOOKUP($A19, INDIRECT("EneR!$A$6:$ZZ$1048576"), MATCH(AG$1, EneR!$6:$6, 0), FALSE),
            0
        ) +
        IFERROR(
            VLOOKUP($A19, INDIRECT("FebR!$A$6:$ZZ$1048576"), MATCH(AG$1, FebR!$6:$6, 0), FALSE),
            0
        ) +
        IFERROR(
            VLOOKUP($A19, INDIRECT("MarR!$A$6:$ZZ$1048576"), MATCH(AG$1, MarR!$6:$6, 0), FALSE),
            0
        ) +
        IFERROR(
            VLOOKUP($A19, INDIRECT("AbrR!$A$6:$ZZ$1048576"), MATCH(AG$1, AbrR!$6:$6, 0), FALSE),
            0
        ) +
        IFERROR(
            VLOOKUP($A19, INDIRECT("MayR!$A$6:$ZZ$1048576"), MATCH(AG$1, MayR!$6:$6, 0), FALSE),
            0
        ) +
        IFERROR(
            VLOOKUP($A19, INDIRECT("JunR!$A$6:$ZZ$1048576"), MATCH(AG$1, JunR!$6:$6, 0), FALSE),
            0
        ) +
        IFERROR(
            VLOOKUP($A19, INDIRECT("JulR!$A$6:$ZZ$1048576"), MATCH(AG$1, JulR!$6:$6, 0), FALSE),
            0
        ) +
        IFERROR(
            VLOOKUP($A19, INDIRECT("AgoR!$A$6:$ZZ$1048576"), MATCH(AG$1, AgoR!$6:$6, 0), FALSE),
            0
        ) +
        IFERROR(
            VLOOKUP($A19, INDIRECT("SepR!$A$6:$ZZ$1048576"), MATCH(AG$1, SepR!$6:$6, 0), FALSE),
            0
        ) +
        IFERROR(
            VLOOKUP($A19, INDIRECT("OctR!$A$6:$ZZ$1048576"), MATCH(AG$1, OctR!$6:$6, 0), FALSE),
            0
        ) +
        IFERROR(
            VLOOKUP($A19, INDIRECT("NovR!$A$6:$ZZ$1048576"), MATCH(AG$1, NovR!$6:$6, 0), FALSE),
            0
        ) +
        IFERROR(
            VLOOKUP($A19, INDIRECT("DicR!$A$6:$ZZ$1048576"), MATCH(AG$1, DicR!$6:$6, 0), FALSE),
            0
        )
)</f>
        <v>0</v>
      </c>
      <c r="AH19" s="36">
        <f t="array" ref="AH19">SUM(
    IFERROR(
            VLOOKUP($A19, INDIRECT("EneR!$A$6:$ZZ$1048576"), MATCH(AH$1, EneR!$6:$6, 0), FALSE),
            0
        ) +
        IFERROR(
            VLOOKUP($A19, INDIRECT("FebR!$A$6:$ZZ$1048576"), MATCH(AH$1, FebR!$6:$6, 0), FALSE),
            0
        ) +
        IFERROR(
            VLOOKUP($A19, INDIRECT("MarR!$A$6:$ZZ$1048576"), MATCH(AH$1, MarR!$6:$6, 0), FALSE),
            0
        ) +
        IFERROR(
            VLOOKUP($A19, INDIRECT("AbrR!$A$6:$ZZ$1048576"), MATCH(AH$1, AbrR!$6:$6, 0), FALSE),
            0
        ) +
        IFERROR(
            VLOOKUP($A19, INDIRECT("MayR!$A$6:$ZZ$1048576"), MATCH(AH$1, MayR!$6:$6, 0), FALSE),
            0
        ) +
        IFERROR(
            VLOOKUP($A19, INDIRECT("JunR!$A$6:$ZZ$1048576"), MATCH(AH$1, JunR!$6:$6, 0), FALSE),
            0
        ) +
        IFERROR(
            VLOOKUP($A19, INDIRECT("JulR!$A$6:$ZZ$1048576"), MATCH(AH$1, JulR!$6:$6, 0), FALSE),
            0
        ) +
        IFERROR(
            VLOOKUP($A19, INDIRECT("AgoR!$A$6:$ZZ$1048576"), MATCH(AH$1, AgoR!$6:$6, 0), FALSE),
            0
        ) +
        IFERROR(
            VLOOKUP($A19, INDIRECT("SepR!$A$6:$ZZ$1048576"), MATCH(AH$1, SepR!$6:$6, 0), FALSE),
            0
        ) +
        IFERROR(
            VLOOKUP($A19, INDIRECT("OctR!$A$6:$ZZ$1048576"), MATCH(AH$1, OctR!$6:$6, 0), FALSE),
            0
        ) +
        IFERROR(
            VLOOKUP($A19, INDIRECT("NovR!$A$6:$ZZ$1048576"), MATCH(AH$1, NovR!$6:$6, 0), FALSE),
            0
        ) +
        IFERROR(
            VLOOKUP($A19, INDIRECT("DicR!$A$6:$ZZ$1048576"), MATCH(AH$1, DicR!$6:$6, 0), FALSE),
            0
        )
)</f>
        <v>0</v>
      </c>
      <c r="AI19" s="37">
        <f t="array" ref="AI19">SUM(
    IFERROR(
            VLOOKUP($A19, INDIRECT("EneR!$A$6:$ZZ$1048576"), MATCH(AI$1, EneR!$6:$6, 0), FALSE),
            0
        ) +
        IFERROR(
            VLOOKUP($A19, INDIRECT("FebR!$A$6:$ZZ$1048576"), MATCH(AI$1, FebR!$6:$6, 0), FALSE),
            0
        ) +
        IFERROR(
            VLOOKUP($A19, INDIRECT("MarR!$A$6:$ZZ$1048576"), MATCH(AI$1, MarR!$6:$6, 0), FALSE),
            0
        ) +
        IFERROR(
            VLOOKUP($A19, INDIRECT("AbrR!$A$6:$ZZ$1048576"), MATCH(AI$1, AbrR!$6:$6, 0), FALSE),
            0
        ) +
        IFERROR(
            VLOOKUP($A19, INDIRECT("MayR!$A$6:$ZZ$1048576"), MATCH(AI$1, MayR!$6:$6, 0), FALSE),
            0
        ) +
        IFERROR(
            VLOOKUP($A19, INDIRECT("JunR!$A$6:$ZZ$1048576"), MATCH(AI$1, JunR!$6:$6, 0), FALSE),
            0
        ) +
        IFERROR(
            VLOOKUP($A19, INDIRECT("JulR!$A$6:$ZZ$1048576"), MATCH(AI$1, JulR!$6:$6, 0), FALSE),
            0
        ) +
        IFERROR(
            VLOOKUP($A19, INDIRECT("AgoR!$A$6:$ZZ$1048576"), MATCH(AI$1, AgoR!$6:$6, 0), FALSE),
            0
        ) +
        IFERROR(
            VLOOKUP($A19, INDIRECT("SepR!$A$6:$ZZ$1048576"), MATCH(AI$1, SepR!$6:$6, 0), FALSE),
            0
        ) +
        IFERROR(
            VLOOKUP($A19, INDIRECT("OctR!$A$6:$ZZ$1048576"), MATCH(AI$1, OctR!$6:$6, 0), FALSE),
            0
        ) +
        IFERROR(
            VLOOKUP($A19, INDIRECT("NovR!$A$6:$ZZ$1048576"), MATCH(AI$1, NovR!$6:$6, 0), FALSE),
            0
        ) +
        IFERROR(
            VLOOKUP($A19, INDIRECT("DicR!$A$6:$ZZ$1048576"), MATCH(AI$1, DicR!$6:$6, 0), FALSE),
            0
        )
)</f>
        <v>0</v>
      </c>
      <c r="AJ19" s="36">
        <f t="array" ref="AJ19">SUM(
    IFERROR(
            VLOOKUP($A19, INDIRECT("EneR!$A$6:$ZZ$1048576"), MATCH(AJ$1, EneR!$6:$6, 0), FALSE),
            0
        ) +
        IFERROR(
            VLOOKUP($A19, INDIRECT("FebR!$A$6:$ZZ$1048576"), MATCH(AJ$1, FebR!$6:$6, 0), FALSE),
            0
        ) +
        IFERROR(
            VLOOKUP($A19, INDIRECT("MarR!$A$6:$ZZ$1048576"), MATCH(AJ$1, MarR!$6:$6, 0), FALSE),
            0
        ) +
        IFERROR(
            VLOOKUP($A19, INDIRECT("AbrR!$A$6:$ZZ$1048576"), MATCH(AJ$1, AbrR!$6:$6, 0), FALSE),
            0
        ) +
        IFERROR(
            VLOOKUP($A19, INDIRECT("MayR!$A$6:$ZZ$1048576"), MATCH(AJ$1, MayR!$6:$6, 0), FALSE),
            0
        ) +
        IFERROR(
            VLOOKUP($A19, INDIRECT("JunR!$A$6:$ZZ$1048576"), MATCH(AJ$1, JunR!$6:$6, 0), FALSE),
            0
        ) +
        IFERROR(
            VLOOKUP($A19, INDIRECT("JulR!$A$6:$ZZ$1048576"), MATCH(AJ$1, JulR!$6:$6, 0), FALSE),
            0
        ) +
        IFERROR(
            VLOOKUP($A19, INDIRECT("AgoR!$A$6:$ZZ$1048576"), MATCH(AJ$1, AgoR!$6:$6, 0), FALSE),
            0
        ) +
        IFERROR(
            VLOOKUP($A19, INDIRECT("SepR!$A$6:$ZZ$1048576"), MATCH(AJ$1, SepR!$6:$6, 0), FALSE),
            0
        ) +
        IFERROR(
            VLOOKUP($A19, INDIRECT("OctR!$A$6:$ZZ$1048576"), MATCH(AJ$1, OctR!$6:$6, 0), FALSE),
            0
        ) +
        IFERROR(
            VLOOKUP($A19, INDIRECT("NovR!$A$6:$ZZ$1048576"), MATCH(AJ$1, NovR!$6:$6, 0), FALSE),
            0
        ) +
        IFERROR(
            VLOOKUP($A19, INDIRECT("DicR!$A$6:$ZZ$1048576"), MATCH(AJ$1, DicR!$6:$6, 0), FALSE),
            0
        )
)</f>
        <v>0</v>
      </c>
      <c r="AK19" s="37">
        <f t="array" ref="AK19">SUM(
    IFERROR(
            VLOOKUP($A19, INDIRECT("EneR!$A$6:$ZZ$1048576"), MATCH(AK$1, EneR!$6:$6, 0), FALSE),
            0
        ) +
        IFERROR(
            VLOOKUP($A19, INDIRECT("FebR!$A$6:$ZZ$1048576"), MATCH(AK$1, FebR!$6:$6, 0), FALSE),
            0
        ) +
        IFERROR(
            VLOOKUP($A19, INDIRECT("MarR!$A$6:$ZZ$1048576"), MATCH(AK$1, MarR!$6:$6, 0), FALSE),
            0
        ) +
        IFERROR(
            VLOOKUP($A19, INDIRECT("AbrR!$A$6:$ZZ$1048576"), MATCH(AK$1, AbrR!$6:$6, 0), FALSE),
            0
        ) +
        IFERROR(
            VLOOKUP($A19, INDIRECT("MayR!$A$6:$ZZ$1048576"), MATCH(AK$1, MayR!$6:$6, 0), FALSE),
            0
        ) +
        IFERROR(
            VLOOKUP($A19, INDIRECT("JunR!$A$6:$ZZ$1048576"), MATCH(AK$1, JunR!$6:$6, 0), FALSE),
            0
        ) +
        IFERROR(
            VLOOKUP($A19, INDIRECT("JulR!$A$6:$ZZ$1048576"), MATCH(AK$1, JulR!$6:$6, 0), FALSE),
            0
        ) +
        IFERROR(
            VLOOKUP($A19, INDIRECT("AgoR!$A$6:$ZZ$1048576"), MATCH(AK$1, AgoR!$6:$6, 0), FALSE),
            0
        ) +
        IFERROR(
            VLOOKUP($A19, INDIRECT("SepR!$A$6:$ZZ$1048576"), MATCH(AK$1, SepR!$6:$6, 0), FALSE),
            0
        ) +
        IFERROR(
            VLOOKUP($A19, INDIRECT("OctR!$A$6:$ZZ$1048576"), MATCH(AK$1, OctR!$6:$6, 0), FALSE),
            0
        ) +
        IFERROR(
            VLOOKUP($A19, INDIRECT("NovR!$A$6:$ZZ$1048576"), MATCH(AK$1, NovR!$6:$6, 0), FALSE),
            0
        ) +
        IFERROR(
            VLOOKUP($A19, INDIRECT("DicR!$A$6:$ZZ$1048576"), MATCH(AK$1, DicR!$6:$6, 0), FALSE),
            0
        )
)</f>
        <v>0</v>
      </c>
      <c r="AL19" s="36">
        <f t="array" ref="AL19">SUM(
    IFERROR(
            VLOOKUP($A19, INDIRECT("EneR!$A$6:$ZZ$1048576"), MATCH(AL$1, EneR!$6:$6, 0), FALSE),
            0
        ) +
        IFERROR(
            VLOOKUP($A19, INDIRECT("FebR!$A$6:$ZZ$1048576"), MATCH(AL$1, FebR!$6:$6, 0), FALSE),
            0
        ) +
        IFERROR(
            VLOOKUP($A19, INDIRECT("MarR!$A$6:$ZZ$1048576"), MATCH(AL$1, MarR!$6:$6, 0), FALSE),
            0
        ) +
        IFERROR(
            VLOOKUP($A19, INDIRECT("AbrR!$A$6:$ZZ$1048576"), MATCH(AL$1, AbrR!$6:$6, 0), FALSE),
            0
        ) +
        IFERROR(
            VLOOKUP($A19, INDIRECT("MayR!$A$6:$ZZ$1048576"), MATCH(AL$1, MayR!$6:$6, 0), FALSE),
            0
        ) +
        IFERROR(
            VLOOKUP($A19, INDIRECT("JunR!$A$6:$ZZ$1048576"), MATCH(AL$1, JunR!$6:$6, 0), FALSE),
            0
        ) +
        IFERROR(
            VLOOKUP($A19, INDIRECT("JulR!$A$6:$ZZ$1048576"), MATCH(AL$1, JulR!$6:$6, 0), FALSE),
            0
        ) +
        IFERROR(
            VLOOKUP($A19, INDIRECT("AgoR!$A$6:$ZZ$1048576"), MATCH(AL$1, AgoR!$6:$6, 0), FALSE),
            0
        ) +
        IFERROR(
            VLOOKUP($A19, INDIRECT("SepR!$A$6:$ZZ$1048576"), MATCH(AL$1, SepR!$6:$6, 0), FALSE),
            0
        ) +
        IFERROR(
            VLOOKUP($A19, INDIRECT("OctR!$A$6:$ZZ$1048576"), MATCH(AL$1, OctR!$6:$6, 0), FALSE),
            0
        ) +
        IFERROR(
            VLOOKUP($A19, INDIRECT("NovR!$A$6:$ZZ$1048576"), MATCH(AL$1, NovR!$6:$6, 0), FALSE),
            0
        ) +
        IFERROR(
            VLOOKUP($A19, INDIRECT("DicR!$A$6:$ZZ$1048576"), MATCH(AL$1, DicR!$6:$6, 0), FALSE),
            0
        )
)</f>
        <v>0</v>
      </c>
      <c r="AM19" s="37">
        <f t="array" ref="AM19">SUM(
    IFERROR(
            VLOOKUP($A19, INDIRECT("EneR!$A$6:$ZZ$1048576"), MATCH(AM$1, EneR!$6:$6, 0), FALSE),
            0
        ) +
        IFERROR(
            VLOOKUP($A19, INDIRECT("FebR!$A$6:$ZZ$1048576"), MATCH(AM$1, FebR!$6:$6, 0), FALSE),
            0
        ) +
        IFERROR(
            VLOOKUP($A19, INDIRECT("MarR!$A$6:$ZZ$1048576"), MATCH(AM$1, MarR!$6:$6, 0), FALSE),
            0
        ) +
        IFERROR(
            VLOOKUP($A19, INDIRECT("AbrR!$A$6:$ZZ$1048576"), MATCH(AM$1, AbrR!$6:$6, 0), FALSE),
            0
        ) +
        IFERROR(
            VLOOKUP($A19, INDIRECT("MayR!$A$6:$ZZ$1048576"), MATCH(AM$1, MayR!$6:$6, 0), FALSE),
            0
        ) +
        IFERROR(
            VLOOKUP($A19, INDIRECT("JunR!$A$6:$ZZ$1048576"), MATCH(AM$1, JunR!$6:$6, 0), FALSE),
            0
        ) +
        IFERROR(
            VLOOKUP($A19, INDIRECT("JulR!$A$6:$ZZ$1048576"), MATCH(AM$1, JulR!$6:$6, 0), FALSE),
            0
        ) +
        IFERROR(
            VLOOKUP($A19, INDIRECT("AgoR!$A$6:$ZZ$1048576"), MATCH(AM$1, AgoR!$6:$6, 0), FALSE),
            0
        ) +
        IFERROR(
            VLOOKUP($A19, INDIRECT("SepR!$A$6:$ZZ$1048576"), MATCH(AM$1, SepR!$6:$6, 0), FALSE),
            0
        ) +
        IFERROR(
            VLOOKUP($A19, INDIRECT("OctR!$A$6:$ZZ$1048576"), MATCH(AM$1, OctR!$6:$6, 0), FALSE),
            0
        ) +
        IFERROR(
            VLOOKUP($A19, INDIRECT("NovR!$A$6:$ZZ$1048576"), MATCH(AM$1, NovR!$6:$6, 0), FALSE),
            0
        ) +
        IFERROR(
            VLOOKUP($A19, INDIRECT("DicR!$A$6:$ZZ$1048576"), MATCH(AM$1, DicR!$6:$6, 0), FALSE),
            0
        )
)</f>
        <v>0</v>
      </c>
      <c r="AN19" s="36">
        <f t="array" ref="AN19">SUM(
    IFERROR(
            VLOOKUP($A19, INDIRECT("EneR!$A$6:$ZZ$1048576"), MATCH(AN$1, EneR!$6:$6, 0), FALSE),
            0
        ) +
        IFERROR(
            VLOOKUP($A19, INDIRECT("FebR!$A$6:$ZZ$1048576"), MATCH(AN$1, FebR!$6:$6, 0), FALSE),
            0
        ) +
        IFERROR(
            VLOOKUP($A19, INDIRECT("MarR!$A$6:$ZZ$1048576"), MATCH(AN$1, MarR!$6:$6, 0), FALSE),
            0
        ) +
        IFERROR(
            VLOOKUP($A19, INDIRECT("AbrR!$A$6:$ZZ$1048576"), MATCH(AN$1, AbrR!$6:$6, 0), FALSE),
            0
        ) +
        IFERROR(
            VLOOKUP($A19, INDIRECT("MayR!$A$6:$ZZ$1048576"), MATCH(AN$1, MayR!$6:$6, 0), FALSE),
            0
        ) +
        IFERROR(
            VLOOKUP($A19, INDIRECT("JunR!$A$6:$ZZ$1048576"), MATCH(AN$1, JunR!$6:$6, 0), FALSE),
            0
        ) +
        IFERROR(
            VLOOKUP($A19, INDIRECT("JulR!$A$6:$ZZ$1048576"), MATCH(AN$1, JulR!$6:$6, 0), FALSE),
            0
        ) +
        IFERROR(
            VLOOKUP($A19, INDIRECT("AgoR!$A$6:$ZZ$1048576"), MATCH(AN$1, AgoR!$6:$6, 0), FALSE),
            0
        ) +
        IFERROR(
            VLOOKUP($A19, INDIRECT("SepR!$A$6:$ZZ$1048576"), MATCH(AN$1, SepR!$6:$6, 0), FALSE),
            0
        ) +
        IFERROR(
            VLOOKUP($A19, INDIRECT("OctR!$A$6:$ZZ$1048576"), MATCH(AN$1, OctR!$6:$6, 0), FALSE),
            0
        ) +
        IFERROR(
            VLOOKUP($A19, INDIRECT("NovR!$A$6:$ZZ$1048576"), MATCH(AN$1, NovR!$6:$6, 0), FALSE),
            0
        ) +
        IFERROR(
            VLOOKUP($A19, INDIRECT("DicR!$A$6:$ZZ$1048576"), MATCH(AN$1, DicR!$6:$6, 0), FALSE),
            0
        )
)</f>
        <v>0</v>
      </c>
      <c r="AO19" s="37">
        <f t="array" ref="AO19">SUM(
    IFERROR(
            VLOOKUP($A19, INDIRECT("EneR!$A$6:$ZZ$1048576"), MATCH(AO$1, EneR!$6:$6, 0), FALSE),
            0
        ) +
        IFERROR(
            VLOOKUP($A19, INDIRECT("FebR!$A$6:$ZZ$1048576"), MATCH(AO$1, FebR!$6:$6, 0), FALSE),
            0
        ) +
        IFERROR(
            VLOOKUP($A19, INDIRECT("MarR!$A$6:$ZZ$1048576"), MATCH(AO$1, MarR!$6:$6, 0), FALSE),
            0
        ) +
        IFERROR(
            VLOOKUP($A19, INDIRECT("AbrR!$A$6:$ZZ$1048576"), MATCH(AO$1, AbrR!$6:$6, 0), FALSE),
            0
        ) +
        IFERROR(
            VLOOKUP($A19, INDIRECT("MayR!$A$6:$ZZ$1048576"), MATCH(AO$1, MayR!$6:$6, 0), FALSE),
            0
        ) +
        IFERROR(
            VLOOKUP($A19, INDIRECT("JunR!$A$6:$ZZ$1048576"), MATCH(AO$1, JunR!$6:$6, 0), FALSE),
            0
        ) +
        IFERROR(
            VLOOKUP($A19, INDIRECT("JulR!$A$6:$ZZ$1048576"), MATCH(AO$1, JulR!$6:$6, 0), FALSE),
            0
        ) +
        IFERROR(
            VLOOKUP($A19, INDIRECT("AgoR!$A$6:$ZZ$1048576"), MATCH(AO$1, AgoR!$6:$6, 0), FALSE),
            0
        ) +
        IFERROR(
            VLOOKUP($A19, INDIRECT("SepR!$A$6:$ZZ$1048576"), MATCH(AO$1, SepR!$6:$6, 0), FALSE),
            0
        ) +
        IFERROR(
            VLOOKUP($A19, INDIRECT("OctR!$A$6:$ZZ$1048576"), MATCH(AO$1, OctR!$6:$6, 0), FALSE),
            0
        ) +
        IFERROR(
            VLOOKUP($A19, INDIRECT("NovR!$A$6:$ZZ$1048576"), MATCH(AO$1, NovR!$6:$6, 0), FALSE),
            0
        ) +
        IFERROR(
            VLOOKUP($A19, INDIRECT("DicR!$A$6:$ZZ$1048576"), MATCH(AO$1, DicR!$6:$6, 0), FALSE),
            0
        )
)</f>
        <v>0</v>
      </c>
      <c r="AP19" s="36">
        <f t="array" ref="AP19">SUM(
    IFERROR(
            VLOOKUP($A19, INDIRECT("EneR!$A$6:$ZZ$1048576"), MATCH(AP$1, EneR!$6:$6, 0), FALSE),
            0
        ) +
        IFERROR(
            VLOOKUP($A19, INDIRECT("FebR!$A$6:$ZZ$1048576"), MATCH(AP$1, FebR!$6:$6, 0), FALSE),
            0
        ) +
        IFERROR(
            VLOOKUP($A19, INDIRECT("MarR!$A$6:$ZZ$1048576"), MATCH(AP$1, MarR!$6:$6, 0), FALSE),
            0
        ) +
        IFERROR(
            VLOOKUP($A19, INDIRECT("AbrR!$A$6:$ZZ$1048576"), MATCH(AP$1, AbrR!$6:$6, 0), FALSE),
            0
        ) +
        IFERROR(
            VLOOKUP($A19, INDIRECT("MayR!$A$6:$ZZ$1048576"), MATCH(AP$1, MayR!$6:$6, 0), FALSE),
            0
        ) +
        IFERROR(
            VLOOKUP($A19, INDIRECT("JunR!$A$6:$ZZ$1048576"), MATCH(AP$1, JunR!$6:$6, 0), FALSE),
            0
        ) +
        IFERROR(
            VLOOKUP($A19, INDIRECT("JulR!$A$6:$ZZ$1048576"), MATCH(AP$1, JulR!$6:$6, 0), FALSE),
            0
        ) +
        IFERROR(
            VLOOKUP($A19, INDIRECT("AgoR!$A$6:$ZZ$1048576"), MATCH(AP$1, AgoR!$6:$6, 0), FALSE),
            0
        ) +
        IFERROR(
            VLOOKUP($A19, INDIRECT("SepR!$A$6:$ZZ$1048576"), MATCH(AP$1, SepR!$6:$6, 0), FALSE),
            0
        ) +
        IFERROR(
            VLOOKUP($A19, INDIRECT("OctR!$A$6:$ZZ$1048576"), MATCH(AP$1, OctR!$6:$6, 0), FALSE),
            0
        ) +
        IFERROR(
            VLOOKUP($A19, INDIRECT("NovR!$A$6:$ZZ$1048576"), MATCH(AP$1, NovR!$6:$6, 0), FALSE),
            0
        ) +
        IFERROR(
            VLOOKUP($A19, INDIRECT("DicR!$A$6:$ZZ$1048576"), MATCH(AP$1, DicR!$6:$6, 0), FALSE),
            0
        )
)</f>
        <v>0</v>
      </c>
      <c r="AQ19" s="37">
        <f t="array" ref="AQ19">SUM(
    IFERROR(
            VLOOKUP($A19, INDIRECT("EneR!$A$6:$ZZ$1048576"), MATCH(AQ$1, EneR!$6:$6, 0), FALSE),
            0
        ) +
        IFERROR(
            VLOOKUP($A19, INDIRECT("FebR!$A$6:$ZZ$1048576"), MATCH(AQ$1, FebR!$6:$6, 0), FALSE),
            0
        ) +
        IFERROR(
            VLOOKUP($A19, INDIRECT("MarR!$A$6:$ZZ$1048576"), MATCH(AQ$1, MarR!$6:$6, 0), FALSE),
            0
        ) +
        IFERROR(
            VLOOKUP($A19, INDIRECT("AbrR!$A$6:$ZZ$1048576"), MATCH(AQ$1, AbrR!$6:$6, 0), FALSE),
            0
        ) +
        IFERROR(
            VLOOKUP($A19, INDIRECT("MayR!$A$6:$ZZ$1048576"), MATCH(AQ$1, MayR!$6:$6, 0), FALSE),
            0
        ) +
        IFERROR(
            VLOOKUP($A19, INDIRECT("JunR!$A$6:$ZZ$1048576"), MATCH(AQ$1, JunR!$6:$6, 0), FALSE),
            0
        ) +
        IFERROR(
            VLOOKUP($A19, INDIRECT("JulR!$A$6:$ZZ$1048576"), MATCH(AQ$1, JulR!$6:$6, 0), FALSE),
            0
        ) +
        IFERROR(
            VLOOKUP($A19, INDIRECT("AgoR!$A$6:$ZZ$1048576"), MATCH(AQ$1, AgoR!$6:$6, 0), FALSE),
            0
        ) +
        IFERROR(
            VLOOKUP($A19, INDIRECT("SepR!$A$6:$ZZ$1048576"), MATCH(AQ$1, SepR!$6:$6, 0), FALSE),
            0
        ) +
        IFERROR(
            VLOOKUP($A19, INDIRECT("OctR!$A$6:$ZZ$1048576"), MATCH(AQ$1, OctR!$6:$6, 0), FALSE),
            0
        ) +
        IFERROR(
            VLOOKUP($A19, INDIRECT("NovR!$A$6:$ZZ$1048576"), MATCH(AQ$1, NovR!$6:$6, 0), FALSE),
            0
        ) +
        IFERROR(
            VLOOKUP($A19, INDIRECT("DicR!$A$6:$ZZ$1048576"), MATCH(AQ$1, DicR!$6:$6, 0), FALSE),
            0
        )
)</f>
        <v>0</v>
      </c>
      <c r="AR19" s="36">
        <f t="array" ref="AR19">SUM(
    IFERROR(
            VLOOKUP($A19, INDIRECT("EneR!$A$6:$ZZ$1048576"), MATCH(AR$1, EneR!$6:$6, 0), FALSE),
            0
        ) +
        IFERROR(
            VLOOKUP($A19, INDIRECT("FebR!$A$6:$ZZ$1048576"), MATCH(AR$1, FebR!$6:$6, 0), FALSE),
            0
        ) +
        IFERROR(
            VLOOKUP($A19, INDIRECT("MarR!$A$6:$ZZ$1048576"), MATCH(AR$1, MarR!$6:$6, 0), FALSE),
            0
        ) +
        IFERROR(
            VLOOKUP($A19, INDIRECT("AbrR!$A$6:$ZZ$1048576"), MATCH(AR$1, AbrR!$6:$6, 0), FALSE),
            0
        ) +
        IFERROR(
            VLOOKUP($A19, INDIRECT("MayR!$A$6:$ZZ$1048576"), MATCH(AR$1, MayR!$6:$6, 0), FALSE),
            0
        ) +
        IFERROR(
            VLOOKUP($A19, INDIRECT("JunR!$A$6:$ZZ$1048576"), MATCH(AR$1, JunR!$6:$6, 0), FALSE),
            0
        ) +
        IFERROR(
            VLOOKUP($A19, INDIRECT("JulR!$A$6:$ZZ$1048576"), MATCH(AR$1, JulR!$6:$6, 0), FALSE),
            0
        ) +
        IFERROR(
            VLOOKUP($A19, INDIRECT("AgoR!$A$6:$ZZ$1048576"), MATCH(AR$1, AgoR!$6:$6, 0), FALSE),
            0
        ) +
        IFERROR(
            VLOOKUP($A19, INDIRECT("SepR!$A$6:$ZZ$1048576"), MATCH(AR$1, SepR!$6:$6, 0), FALSE),
            0
        ) +
        IFERROR(
            VLOOKUP($A19, INDIRECT("OctR!$A$6:$ZZ$1048576"), MATCH(AR$1, OctR!$6:$6, 0), FALSE),
            0
        ) +
        IFERROR(
            VLOOKUP($A19, INDIRECT("NovR!$A$6:$ZZ$1048576"), MATCH(AR$1, NovR!$6:$6, 0), FALSE),
            0
        ) +
        IFERROR(
            VLOOKUP($A19, INDIRECT("DicR!$A$6:$ZZ$1048576"), MATCH(AR$1, DicR!$6:$6, 0), FALSE),
            0
        )
)</f>
        <v>0</v>
      </c>
      <c r="AS19" s="37">
        <f t="array" ref="AS19">SUM(
    IFERROR(
            VLOOKUP($A19, INDIRECT("EneR!$A$6:$ZZ$1048576"), MATCH(AS$1, EneR!$6:$6, 0), FALSE),
            0
        ) +
        IFERROR(
            VLOOKUP($A19, INDIRECT("FebR!$A$6:$ZZ$1048576"), MATCH(AS$1, FebR!$6:$6, 0), FALSE),
            0
        ) +
        IFERROR(
            VLOOKUP($A19, INDIRECT("MarR!$A$6:$ZZ$1048576"), MATCH(AS$1, MarR!$6:$6, 0), FALSE),
            0
        ) +
        IFERROR(
            VLOOKUP($A19, INDIRECT("AbrR!$A$6:$ZZ$1048576"), MATCH(AS$1, AbrR!$6:$6, 0), FALSE),
            0
        ) +
        IFERROR(
            VLOOKUP($A19, INDIRECT("MayR!$A$6:$ZZ$1048576"), MATCH(AS$1, MayR!$6:$6, 0), FALSE),
            0
        ) +
        IFERROR(
            VLOOKUP($A19, INDIRECT("JunR!$A$6:$ZZ$1048576"), MATCH(AS$1, JunR!$6:$6, 0), FALSE),
            0
        ) +
        IFERROR(
            VLOOKUP($A19, INDIRECT("JulR!$A$6:$ZZ$1048576"), MATCH(AS$1, JulR!$6:$6, 0), FALSE),
            0
        ) +
        IFERROR(
            VLOOKUP($A19, INDIRECT("AgoR!$A$6:$ZZ$1048576"), MATCH(AS$1, AgoR!$6:$6, 0), FALSE),
            0
        ) +
        IFERROR(
            VLOOKUP($A19, INDIRECT("SepR!$A$6:$ZZ$1048576"), MATCH(AS$1, SepR!$6:$6, 0), FALSE),
            0
        ) +
        IFERROR(
            VLOOKUP($A19, INDIRECT("OctR!$A$6:$ZZ$1048576"), MATCH(AS$1, OctR!$6:$6, 0), FALSE),
            0
        ) +
        IFERROR(
            VLOOKUP($A19, INDIRECT("NovR!$A$6:$ZZ$1048576"), MATCH(AS$1, NovR!$6:$6, 0), FALSE),
            0
        ) +
        IFERROR(
            VLOOKUP($A19, INDIRECT("DicR!$A$6:$ZZ$1048576"), MATCH(AS$1, DicR!$6:$6, 0), FALSE),
            0
        )
)</f>
        <v>0</v>
      </c>
      <c r="AT19" s="36">
        <f t="array" ref="AT19">SUM(
    IFERROR(
            VLOOKUP($A19, INDIRECT("EneR!$A$6:$ZZ$1048576"), MATCH(AT$1, EneR!$6:$6, 0), FALSE),
            0
        ) +
        IFERROR(
            VLOOKUP($A19, INDIRECT("FebR!$A$6:$ZZ$1048576"), MATCH(AT$1, FebR!$6:$6, 0), FALSE),
            0
        ) +
        IFERROR(
            VLOOKUP($A19, INDIRECT("MarR!$A$6:$ZZ$1048576"), MATCH(AT$1, MarR!$6:$6, 0), FALSE),
            0
        ) +
        IFERROR(
            VLOOKUP($A19, INDIRECT("AbrR!$A$6:$ZZ$1048576"), MATCH(AT$1, AbrR!$6:$6, 0), FALSE),
            0
        ) +
        IFERROR(
            VLOOKUP($A19, INDIRECT("MayR!$A$6:$ZZ$1048576"), MATCH(AT$1, MayR!$6:$6, 0), FALSE),
            0
        ) +
        IFERROR(
            VLOOKUP($A19, INDIRECT("JunR!$A$6:$ZZ$1048576"), MATCH(AT$1, JunR!$6:$6, 0), FALSE),
            0
        ) +
        IFERROR(
            VLOOKUP($A19, INDIRECT("JulR!$A$6:$ZZ$1048576"), MATCH(AT$1, JulR!$6:$6, 0), FALSE),
            0
        ) +
        IFERROR(
            VLOOKUP($A19, INDIRECT("AgoR!$A$6:$ZZ$1048576"), MATCH(AT$1, AgoR!$6:$6, 0), FALSE),
            0
        ) +
        IFERROR(
            VLOOKUP($A19, INDIRECT("SepR!$A$6:$ZZ$1048576"), MATCH(AT$1, SepR!$6:$6, 0), FALSE),
            0
        ) +
        IFERROR(
            VLOOKUP($A19, INDIRECT("OctR!$A$6:$ZZ$1048576"), MATCH(AT$1, OctR!$6:$6, 0), FALSE),
            0
        ) +
        IFERROR(
            VLOOKUP($A19, INDIRECT("NovR!$A$6:$ZZ$1048576"), MATCH(AT$1, NovR!$6:$6, 0), FALSE),
            0
        ) +
        IFERROR(
            VLOOKUP($A19, INDIRECT("DicR!$A$6:$ZZ$1048576"), MATCH(AT$1, DicR!$6:$6, 0), FALSE),
            0
        )
)</f>
        <v>0</v>
      </c>
      <c r="AU19" s="37">
        <f t="array" ref="AU19">SUM(
    IFERROR(
            VLOOKUP($A19, INDIRECT("EneR!$A$6:$ZZ$1048576"), MATCH(AU$1, EneR!$6:$6, 0), FALSE),
            0
        ) +
        IFERROR(
            VLOOKUP($A19, INDIRECT("FebR!$A$6:$ZZ$1048576"), MATCH(AU$1, FebR!$6:$6, 0), FALSE),
            0
        ) +
        IFERROR(
            VLOOKUP($A19, INDIRECT("MarR!$A$6:$ZZ$1048576"), MATCH(AU$1, MarR!$6:$6, 0), FALSE),
            0
        ) +
        IFERROR(
            VLOOKUP($A19, INDIRECT("AbrR!$A$6:$ZZ$1048576"), MATCH(AU$1, AbrR!$6:$6, 0), FALSE),
            0
        ) +
        IFERROR(
            VLOOKUP($A19, INDIRECT("MayR!$A$6:$ZZ$1048576"), MATCH(AU$1, MayR!$6:$6, 0), FALSE),
            0
        ) +
        IFERROR(
            VLOOKUP($A19, INDIRECT("JunR!$A$6:$ZZ$1048576"), MATCH(AU$1, JunR!$6:$6, 0), FALSE),
            0
        ) +
        IFERROR(
            VLOOKUP($A19, INDIRECT("JulR!$A$6:$ZZ$1048576"), MATCH(AU$1, JulR!$6:$6, 0), FALSE),
            0
        ) +
        IFERROR(
            VLOOKUP($A19, INDIRECT("AgoR!$A$6:$ZZ$1048576"), MATCH(AU$1, AgoR!$6:$6, 0), FALSE),
            0
        ) +
        IFERROR(
            VLOOKUP($A19, INDIRECT("SepR!$A$6:$ZZ$1048576"), MATCH(AU$1, SepR!$6:$6, 0), FALSE),
            0
        ) +
        IFERROR(
            VLOOKUP($A19, INDIRECT("OctR!$A$6:$ZZ$1048576"), MATCH(AU$1, OctR!$6:$6, 0), FALSE),
            0
        ) +
        IFERROR(
            VLOOKUP($A19, INDIRECT("NovR!$A$6:$ZZ$1048576"), MATCH(AU$1, NovR!$6:$6, 0), FALSE),
            0
        ) +
        IFERROR(
            VLOOKUP($A19, INDIRECT("DicR!$A$6:$ZZ$1048576"), MATCH(AU$1, DicR!$6:$6, 0), FALSE),
            0
        )
)</f>
        <v>0</v>
      </c>
      <c r="AV19" s="36">
        <f t="array" ref="AV19">SUM(
    IFERROR(
            VLOOKUP($A19, INDIRECT("EneR!$A$6:$ZZ$1048576"), MATCH(AV$1, EneR!$6:$6, 0), FALSE),
            0
        ) +
        IFERROR(
            VLOOKUP($A19, INDIRECT("FebR!$A$6:$ZZ$1048576"), MATCH(AV$1, FebR!$6:$6, 0), FALSE),
            0
        ) +
        IFERROR(
            VLOOKUP($A19, INDIRECT("MarR!$A$6:$ZZ$1048576"), MATCH(AV$1, MarR!$6:$6, 0), FALSE),
            0
        ) +
        IFERROR(
            VLOOKUP($A19, INDIRECT("AbrR!$A$6:$ZZ$1048576"), MATCH(AV$1, AbrR!$6:$6, 0), FALSE),
            0
        ) +
        IFERROR(
            VLOOKUP($A19, INDIRECT("MayR!$A$6:$ZZ$1048576"), MATCH(AV$1, MayR!$6:$6, 0), FALSE),
            0
        ) +
        IFERROR(
            VLOOKUP($A19, INDIRECT("JunR!$A$6:$ZZ$1048576"), MATCH(AV$1, JunR!$6:$6, 0), FALSE),
            0
        ) +
        IFERROR(
            VLOOKUP($A19, INDIRECT("JulR!$A$6:$ZZ$1048576"), MATCH(AV$1, JulR!$6:$6, 0), FALSE),
            0
        ) +
        IFERROR(
            VLOOKUP($A19, INDIRECT("AgoR!$A$6:$ZZ$1048576"), MATCH(AV$1, AgoR!$6:$6, 0), FALSE),
            0
        ) +
        IFERROR(
            VLOOKUP($A19, INDIRECT("SepR!$A$6:$ZZ$1048576"), MATCH(AV$1, SepR!$6:$6, 0), FALSE),
            0
        ) +
        IFERROR(
            VLOOKUP($A19, INDIRECT("OctR!$A$6:$ZZ$1048576"), MATCH(AV$1, OctR!$6:$6, 0), FALSE),
            0
        ) +
        IFERROR(
            VLOOKUP($A19, INDIRECT("NovR!$A$6:$ZZ$1048576"), MATCH(AV$1, NovR!$6:$6, 0), FALSE),
            0
        ) +
        IFERROR(
            VLOOKUP($A19, INDIRECT("DicR!$A$6:$ZZ$1048576"), MATCH(AV$1, DicR!$6:$6, 0), FALSE),
            0
        )
)</f>
        <v>0</v>
      </c>
      <c r="AW19" s="37">
        <f t="array" ref="AW19">SUM(
    IFERROR(
            VLOOKUP($A19, INDIRECT("EneR!$A$6:$ZZ$1048576"), MATCH(AW$1, EneR!$6:$6, 0), FALSE),
            0
        ) +
        IFERROR(
            VLOOKUP($A19, INDIRECT("FebR!$A$6:$ZZ$1048576"), MATCH(AW$1, FebR!$6:$6, 0), FALSE),
            0
        ) +
        IFERROR(
            VLOOKUP($A19, INDIRECT("MarR!$A$6:$ZZ$1048576"), MATCH(AW$1, MarR!$6:$6, 0), FALSE),
            0
        ) +
        IFERROR(
            VLOOKUP($A19, INDIRECT("AbrR!$A$6:$ZZ$1048576"), MATCH(AW$1, AbrR!$6:$6, 0), FALSE),
            0
        ) +
        IFERROR(
            VLOOKUP($A19, INDIRECT("MayR!$A$6:$ZZ$1048576"), MATCH(AW$1, MayR!$6:$6, 0), FALSE),
            0
        ) +
        IFERROR(
            VLOOKUP($A19, INDIRECT("JunR!$A$6:$ZZ$1048576"), MATCH(AW$1, JunR!$6:$6, 0), FALSE),
            0
        ) +
        IFERROR(
            VLOOKUP($A19, INDIRECT("JulR!$A$6:$ZZ$1048576"), MATCH(AW$1, JulR!$6:$6, 0), FALSE),
            0
        ) +
        IFERROR(
            VLOOKUP($A19, INDIRECT("AgoR!$A$6:$ZZ$1048576"), MATCH(AW$1, AgoR!$6:$6, 0), FALSE),
            0
        ) +
        IFERROR(
            VLOOKUP($A19, INDIRECT("SepR!$A$6:$ZZ$1048576"), MATCH(AW$1, SepR!$6:$6, 0), FALSE),
            0
        ) +
        IFERROR(
            VLOOKUP($A19, INDIRECT("OctR!$A$6:$ZZ$1048576"), MATCH(AW$1, OctR!$6:$6, 0), FALSE),
            0
        ) +
        IFERROR(
            VLOOKUP($A19, INDIRECT("NovR!$A$6:$ZZ$1048576"), MATCH(AW$1, NovR!$6:$6, 0), FALSE),
            0
        ) +
        IFERROR(
            VLOOKUP($A19, INDIRECT("DicR!$A$6:$ZZ$1048576"), MATCH(AW$1, DicR!$6:$6, 0), FALSE),
            0
        )
)</f>
        <v>0</v>
      </c>
      <c r="AX19" s="36">
        <f t="array" ref="AX19">SUM(
    IFERROR(
            VLOOKUP($A19, INDIRECT("EneR!$A$6:$ZZ$1048576"), MATCH(AX$1, EneR!$6:$6, 0), FALSE),
            0
        ) +
        IFERROR(
            VLOOKUP($A19, INDIRECT("FebR!$A$6:$ZZ$1048576"), MATCH(AX$1, FebR!$6:$6, 0), FALSE),
            0
        ) +
        IFERROR(
            VLOOKUP($A19, INDIRECT("MarR!$A$6:$ZZ$1048576"), MATCH(AX$1, MarR!$6:$6, 0), FALSE),
            0
        ) +
        IFERROR(
            VLOOKUP($A19, INDIRECT("AbrR!$A$6:$ZZ$1048576"), MATCH(AX$1, AbrR!$6:$6, 0), FALSE),
            0
        ) +
        IFERROR(
            VLOOKUP($A19, INDIRECT("MayR!$A$6:$ZZ$1048576"), MATCH(AX$1, MayR!$6:$6, 0), FALSE),
            0
        ) +
        IFERROR(
            VLOOKUP($A19, INDIRECT("JunR!$A$6:$ZZ$1048576"), MATCH(AX$1, JunR!$6:$6, 0), FALSE),
            0
        ) +
        IFERROR(
            VLOOKUP($A19, INDIRECT("JulR!$A$6:$ZZ$1048576"), MATCH(AX$1, JulR!$6:$6, 0), FALSE),
            0
        ) +
        IFERROR(
            VLOOKUP($A19, INDIRECT("AgoR!$A$6:$ZZ$1048576"), MATCH(AX$1, AgoR!$6:$6, 0), FALSE),
            0
        ) +
        IFERROR(
            VLOOKUP($A19, INDIRECT("SepR!$A$6:$ZZ$1048576"), MATCH(AX$1, SepR!$6:$6, 0), FALSE),
            0
        ) +
        IFERROR(
            VLOOKUP($A19, INDIRECT("OctR!$A$6:$ZZ$1048576"), MATCH(AX$1, OctR!$6:$6, 0), FALSE),
            0
        ) +
        IFERROR(
            VLOOKUP($A19, INDIRECT("NovR!$A$6:$ZZ$1048576"), MATCH(AX$1, NovR!$6:$6, 0), FALSE),
            0
        ) +
        IFERROR(
            VLOOKUP($A19, INDIRECT("DicR!$A$6:$ZZ$1048576"), MATCH(AX$1, DicR!$6:$6, 0), FALSE),
            0
        )
)</f>
        <v>0</v>
      </c>
      <c r="AY19" s="37">
        <f t="array" ref="AY19">SUM(
    IFERROR(
            VLOOKUP($A19, INDIRECT("EneR!$A$6:$ZZ$1048576"), MATCH(AY$1, EneR!$6:$6, 0), FALSE),
            0
        ) +
        IFERROR(
            VLOOKUP($A19, INDIRECT("FebR!$A$6:$ZZ$1048576"), MATCH(AY$1, FebR!$6:$6, 0), FALSE),
            0
        ) +
        IFERROR(
            VLOOKUP($A19, INDIRECT("MarR!$A$6:$ZZ$1048576"), MATCH(AY$1, MarR!$6:$6, 0), FALSE),
            0
        ) +
        IFERROR(
            VLOOKUP($A19, INDIRECT("AbrR!$A$6:$ZZ$1048576"), MATCH(AY$1, AbrR!$6:$6, 0), FALSE),
            0
        ) +
        IFERROR(
            VLOOKUP($A19, INDIRECT("MayR!$A$6:$ZZ$1048576"), MATCH(AY$1, MayR!$6:$6, 0), FALSE),
            0
        ) +
        IFERROR(
            VLOOKUP($A19, INDIRECT("JunR!$A$6:$ZZ$1048576"), MATCH(AY$1, JunR!$6:$6, 0), FALSE),
            0
        ) +
        IFERROR(
            VLOOKUP($A19, INDIRECT("JulR!$A$6:$ZZ$1048576"), MATCH(AY$1, JulR!$6:$6, 0), FALSE),
            0
        ) +
        IFERROR(
            VLOOKUP($A19, INDIRECT("AgoR!$A$6:$ZZ$1048576"), MATCH(AY$1, AgoR!$6:$6, 0), FALSE),
            0
        ) +
        IFERROR(
            VLOOKUP($A19, INDIRECT("SepR!$A$6:$ZZ$1048576"), MATCH(AY$1, SepR!$6:$6, 0), FALSE),
            0
        ) +
        IFERROR(
            VLOOKUP($A19, INDIRECT("OctR!$A$6:$ZZ$1048576"), MATCH(AY$1, OctR!$6:$6, 0), FALSE),
            0
        ) +
        IFERROR(
            VLOOKUP($A19, INDIRECT("NovR!$A$6:$ZZ$1048576"), MATCH(AY$1, NovR!$6:$6, 0), FALSE),
            0
        ) +
        IFERROR(
            VLOOKUP($A19, INDIRECT("DicR!$A$6:$ZZ$1048576"), MATCH(AY$1, DicR!$6:$6, 0), FALSE),
            0
        )
)</f>
        <v>0</v>
      </c>
      <c r="AZ19" s="37"/>
    </row>
    <row r="20" ht="15.75" customHeight="1">
      <c r="A20" s="12" t="str">
        <f>Menus!R12</f>
        <v/>
      </c>
      <c r="B20" s="32">
        <f t="shared" si="4"/>
        <v>0</v>
      </c>
      <c r="C20" s="33" t="str">
        <f t="shared" si="5"/>
        <v/>
      </c>
      <c r="D20" s="34">
        <f t="array" ref="D20">SUM(
    IFERROR(
            VLOOKUP($A20, INDIRECT("EneR!$A$6:$ZZ$1048576"), MATCH(D$1, EneR!$6:$6, 0), FALSE),
            0
        ) +
        IFERROR(
            VLOOKUP($A20, INDIRECT("FebR!$A$6:$ZZ$1048576"), MATCH(D$1, FebR!$6:$6, 0), FALSE),
            0
        ) +
        IFERROR(
            VLOOKUP($A20, INDIRECT("MarR!$A$6:$ZZ$1048576"), MATCH(D$1, MarR!$6:$6, 0), FALSE),
            0
        ) +
        IFERROR(
            VLOOKUP($A20, INDIRECT("AbrR!$A$6:$ZZ$1048576"), MATCH(D$1, AbrR!$6:$6, 0), FALSE),
            0
        ) +
        IFERROR(
            VLOOKUP($A20, INDIRECT("MayR!$A$6:$ZZ$1048576"), MATCH(D$1, MayR!$6:$6, 0), FALSE),
            0
        ) +
        IFERROR(
            VLOOKUP($A20, INDIRECT("JunR!$A$6:$ZZ$1048576"), MATCH(D$1, JunR!$6:$6, 0), FALSE),
            0
        ) +
        IFERROR(
            VLOOKUP($A20, INDIRECT("JulR!$A$6:$ZZ$1048576"), MATCH(D$1, JulR!$6:$6, 0), FALSE),
            0
        ) +
        IFERROR(
            VLOOKUP($A20, INDIRECT("AgoR!$A$6:$ZZ$1048576"), MATCH(D$1, AgoR!$6:$6, 0), FALSE),
            0
        ) +
        IFERROR(
            VLOOKUP($A20, INDIRECT("SepR!$A$6:$ZZ$1048576"), MATCH(D$1, SepR!$6:$6, 0), FALSE),
            0
        ) +
        IFERROR(
            VLOOKUP($A20, INDIRECT("OctR!$A$6:$ZZ$1048576"), MATCH(D$1, OctR!$6:$6, 0), FALSE),
            0
        ) +
        IFERROR(
            VLOOKUP($A20, INDIRECT("NovR!$A$6:$ZZ$1048576"), MATCH(D$1, NovR!$6:$6, 0), FALSE),
            0
        ) +
        IFERROR(
            VLOOKUP($A20, INDIRECT("DicR!$A$6:$ZZ$1048576"), MATCH(D$1, DicR!$6:$6, 0), FALSE),
            0
        )
)</f>
        <v>0</v>
      </c>
      <c r="E20" s="35">
        <f t="array" ref="E20">SUM(
    IFERROR(
            VLOOKUP($A20, INDIRECT("EneR!$A$6:$ZZ$1048576"), MATCH(E$1, EneR!$6:$6, 0), FALSE),
            0
        ) +
        IFERROR(
            VLOOKUP($A20, INDIRECT("FebR!$A$6:$ZZ$1048576"), MATCH(E$1, FebR!$6:$6, 0), FALSE),
            0
        ) +
        IFERROR(
            VLOOKUP($A20, INDIRECT("MarR!$A$6:$ZZ$1048576"), MATCH(E$1, MarR!$6:$6, 0), FALSE),
            0
        ) +
        IFERROR(
            VLOOKUP($A20, INDIRECT("AbrR!$A$6:$ZZ$1048576"), MATCH(E$1, AbrR!$6:$6, 0), FALSE),
            0
        ) +
        IFERROR(
            VLOOKUP($A20, INDIRECT("MayR!$A$6:$ZZ$1048576"), MATCH(E$1, MayR!$6:$6, 0), FALSE),
            0
        ) +
        IFERROR(
            VLOOKUP($A20, INDIRECT("JunR!$A$6:$ZZ$1048576"), MATCH(E$1, JunR!$6:$6, 0), FALSE),
            0
        ) +
        IFERROR(
            VLOOKUP($A20, INDIRECT("JulR!$A$6:$ZZ$1048576"), MATCH(E$1, JulR!$6:$6, 0), FALSE),
            0
        ) +
        IFERROR(
            VLOOKUP($A20, INDIRECT("AgoR!$A$6:$ZZ$1048576"), MATCH(E$1, AgoR!$6:$6, 0), FALSE),
            0
        ) +
        IFERROR(
            VLOOKUP($A20, INDIRECT("SepR!$A$6:$ZZ$1048576"), MATCH(E$1, SepR!$6:$6, 0), FALSE),
            0
        ) +
        IFERROR(
            VLOOKUP($A20, INDIRECT("OctR!$A$6:$ZZ$1048576"), MATCH(E$1, OctR!$6:$6, 0), FALSE),
            0
        ) +
        IFERROR(
            VLOOKUP($A20, INDIRECT("NovR!$A$6:$ZZ$1048576"), MATCH(E$1, NovR!$6:$6, 0), FALSE),
            0
        ) +
        IFERROR(
            VLOOKUP($A20, INDIRECT("DicR!$A$6:$ZZ$1048576"), MATCH(E$1, DicR!$6:$6, 0), FALSE),
            0
        )
)</f>
        <v>0</v>
      </c>
      <c r="F20" s="32">
        <f t="array" ref="F20">SUM(
    IFERROR(
            VLOOKUP($A20, INDIRECT("EneR!$A$6:$ZZ$1048576"), MATCH(F$1, EneR!$6:$6, 0), FALSE),
            0
        ) +
        IFERROR(
            VLOOKUP($A20, INDIRECT("FebR!$A$6:$ZZ$1048576"), MATCH(F$1, FebR!$6:$6, 0), FALSE),
            0
        ) +
        IFERROR(
            VLOOKUP($A20, INDIRECT("MarR!$A$6:$ZZ$1048576"), MATCH(F$1, MarR!$6:$6, 0), FALSE),
            0
        ) +
        IFERROR(
            VLOOKUP($A20, INDIRECT("AbrR!$A$6:$ZZ$1048576"), MATCH(F$1, AbrR!$6:$6, 0), FALSE),
            0
        ) +
        IFERROR(
            VLOOKUP($A20, INDIRECT("MayR!$A$6:$ZZ$1048576"), MATCH(F$1, MayR!$6:$6, 0), FALSE),
            0
        ) +
        IFERROR(
            VLOOKUP($A20, INDIRECT("JunR!$A$6:$ZZ$1048576"), MATCH(F$1, JunR!$6:$6, 0), FALSE),
            0
        ) +
        IFERROR(
            VLOOKUP($A20, INDIRECT("JulR!$A$6:$ZZ$1048576"), MATCH(F$1, JulR!$6:$6, 0), FALSE),
            0
        ) +
        IFERROR(
            VLOOKUP($A20, INDIRECT("AgoR!$A$6:$ZZ$1048576"), MATCH(F$1, AgoR!$6:$6, 0), FALSE),
            0
        ) +
        IFERROR(
            VLOOKUP($A20, INDIRECT("SepR!$A$6:$ZZ$1048576"), MATCH(F$1, SepR!$6:$6, 0), FALSE),
            0
        ) +
        IFERROR(
            VLOOKUP($A20, INDIRECT("OctR!$A$6:$ZZ$1048576"), MATCH(F$1, OctR!$6:$6, 0), FALSE),
            0
        ) +
        IFERROR(
            VLOOKUP($A20, INDIRECT("NovR!$A$6:$ZZ$1048576"), MATCH(F$1, NovR!$6:$6, 0), FALSE),
            0
        ) +
        IFERROR(
            VLOOKUP($A20, INDIRECT("DicR!$A$6:$ZZ$1048576"), MATCH(F$1, DicR!$6:$6, 0), FALSE),
            0
        )
)</f>
        <v>0</v>
      </c>
      <c r="G20" s="35">
        <f t="array" ref="G20">SUM(
    IFERROR(
            VLOOKUP($A20, INDIRECT("EneR!$A$6:$ZZ$1048576"), MATCH(G$1, EneR!$6:$6, 0), FALSE),
            0
        ) +
        IFERROR(
            VLOOKUP($A20, INDIRECT("FebR!$A$6:$ZZ$1048576"), MATCH(G$1, FebR!$6:$6, 0), FALSE),
            0
        ) +
        IFERROR(
            VLOOKUP($A20, INDIRECT("MarR!$A$6:$ZZ$1048576"), MATCH(G$1, MarR!$6:$6, 0), FALSE),
            0
        ) +
        IFERROR(
            VLOOKUP($A20, INDIRECT("AbrR!$A$6:$ZZ$1048576"), MATCH(G$1, AbrR!$6:$6, 0), FALSE),
            0
        ) +
        IFERROR(
            VLOOKUP($A20, INDIRECT("MayR!$A$6:$ZZ$1048576"), MATCH(G$1, MayR!$6:$6, 0), FALSE),
            0
        ) +
        IFERROR(
            VLOOKUP($A20, INDIRECT("JunR!$A$6:$ZZ$1048576"), MATCH(G$1, JunR!$6:$6, 0), FALSE),
            0
        ) +
        IFERROR(
            VLOOKUP($A20, INDIRECT("JulR!$A$6:$ZZ$1048576"), MATCH(G$1, JulR!$6:$6, 0), FALSE),
            0
        ) +
        IFERROR(
            VLOOKUP($A20, INDIRECT("AgoR!$A$6:$ZZ$1048576"), MATCH(G$1, AgoR!$6:$6, 0), FALSE),
            0
        ) +
        IFERROR(
            VLOOKUP($A20, INDIRECT("SepR!$A$6:$ZZ$1048576"), MATCH(G$1, SepR!$6:$6, 0), FALSE),
            0
        ) +
        IFERROR(
            VLOOKUP($A20, INDIRECT("OctR!$A$6:$ZZ$1048576"), MATCH(G$1, OctR!$6:$6, 0), FALSE),
            0
        ) +
        IFERROR(
            VLOOKUP($A20, INDIRECT("NovR!$A$6:$ZZ$1048576"), MATCH(G$1, NovR!$6:$6, 0), FALSE),
            0
        ) +
        IFERROR(
            VLOOKUP($A20, INDIRECT("DicR!$A$6:$ZZ$1048576"), MATCH(G$1, DicR!$6:$6, 0), FALSE),
            0
        )
)</f>
        <v>0</v>
      </c>
      <c r="H20" s="32">
        <f t="array" ref="H20">SUM(
    IFERROR(
            VLOOKUP($A20, INDIRECT("EneR!$A$6:$ZZ$1048576"), MATCH(H$1, EneR!$6:$6, 0), FALSE),
            0
        ) +
        IFERROR(
            VLOOKUP($A20, INDIRECT("FebR!$A$6:$ZZ$1048576"), MATCH(H$1, FebR!$6:$6, 0), FALSE),
            0
        ) +
        IFERROR(
            VLOOKUP($A20, INDIRECT("MarR!$A$6:$ZZ$1048576"), MATCH(H$1, MarR!$6:$6, 0), FALSE),
            0
        ) +
        IFERROR(
            VLOOKUP($A20, INDIRECT("AbrR!$A$6:$ZZ$1048576"), MATCH(H$1, AbrR!$6:$6, 0), FALSE),
            0
        ) +
        IFERROR(
            VLOOKUP($A20, INDIRECT("MayR!$A$6:$ZZ$1048576"), MATCH(H$1, MayR!$6:$6, 0), FALSE),
            0
        ) +
        IFERROR(
            VLOOKUP($A20, INDIRECT("JunR!$A$6:$ZZ$1048576"), MATCH(H$1, JunR!$6:$6, 0), FALSE),
            0
        ) +
        IFERROR(
            VLOOKUP($A20, INDIRECT("JulR!$A$6:$ZZ$1048576"), MATCH(H$1, JulR!$6:$6, 0), FALSE),
            0
        ) +
        IFERROR(
            VLOOKUP($A20, INDIRECT("AgoR!$A$6:$ZZ$1048576"), MATCH(H$1, AgoR!$6:$6, 0), FALSE),
            0
        ) +
        IFERROR(
            VLOOKUP($A20, INDIRECT("SepR!$A$6:$ZZ$1048576"), MATCH(H$1, SepR!$6:$6, 0), FALSE),
            0
        ) +
        IFERROR(
            VLOOKUP($A20, INDIRECT("OctR!$A$6:$ZZ$1048576"), MATCH(H$1, OctR!$6:$6, 0), FALSE),
            0
        ) +
        IFERROR(
            VLOOKUP($A20, INDIRECT("NovR!$A$6:$ZZ$1048576"), MATCH(H$1, NovR!$6:$6, 0), FALSE),
            0
        ) +
        IFERROR(
            VLOOKUP($A20, INDIRECT("DicR!$A$6:$ZZ$1048576"), MATCH(H$1, DicR!$6:$6, 0), FALSE),
            0
        )
)</f>
        <v>0</v>
      </c>
      <c r="I20" s="35">
        <f t="array" ref="I20">SUM(
    IFERROR(
            VLOOKUP($A20, INDIRECT("EneR!$A$6:$ZZ$1048576"), MATCH(I$1, EneR!$6:$6, 0), FALSE),
            0
        ) +
        IFERROR(
            VLOOKUP($A20, INDIRECT("FebR!$A$6:$ZZ$1048576"), MATCH(I$1, FebR!$6:$6, 0), FALSE),
            0
        ) +
        IFERROR(
            VLOOKUP($A20, INDIRECT("MarR!$A$6:$ZZ$1048576"), MATCH(I$1, MarR!$6:$6, 0), FALSE),
            0
        ) +
        IFERROR(
            VLOOKUP($A20, INDIRECT("AbrR!$A$6:$ZZ$1048576"), MATCH(I$1, AbrR!$6:$6, 0), FALSE),
            0
        ) +
        IFERROR(
            VLOOKUP($A20, INDIRECT("MayR!$A$6:$ZZ$1048576"), MATCH(I$1, MayR!$6:$6, 0), FALSE),
            0
        ) +
        IFERROR(
            VLOOKUP($A20, INDIRECT("JunR!$A$6:$ZZ$1048576"), MATCH(I$1, JunR!$6:$6, 0), FALSE),
            0
        ) +
        IFERROR(
            VLOOKUP($A20, INDIRECT("JulR!$A$6:$ZZ$1048576"), MATCH(I$1, JulR!$6:$6, 0), FALSE),
            0
        ) +
        IFERROR(
            VLOOKUP($A20, INDIRECT("AgoR!$A$6:$ZZ$1048576"), MATCH(I$1, AgoR!$6:$6, 0), FALSE),
            0
        ) +
        IFERROR(
            VLOOKUP($A20, INDIRECT("SepR!$A$6:$ZZ$1048576"), MATCH(I$1, SepR!$6:$6, 0), FALSE),
            0
        ) +
        IFERROR(
            VLOOKUP($A20, INDIRECT("OctR!$A$6:$ZZ$1048576"), MATCH(I$1, OctR!$6:$6, 0), FALSE),
            0
        ) +
        IFERROR(
            VLOOKUP($A20, INDIRECT("NovR!$A$6:$ZZ$1048576"), MATCH(I$1, NovR!$6:$6, 0), FALSE),
            0
        ) +
        IFERROR(
            VLOOKUP($A20, INDIRECT("DicR!$A$6:$ZZ$1048576"), MATCH(I$1, DicR!$6:$6, 0), FALSE),
            0
        )
)</f>
        <v>0</v>
      </c>
      <c r="J20" s="32">
        <f t="array" ref="J20">SUM(
    IFERROR(
            VLOOKUP($A20, INDIRECT("EneR!$A$6:$ZZ$1048576"), MATCH(J$1, EneR!$6:$6, 0), FALSE),
            0
        ) +
        IFERROR(
            VLOOKUP($A20, INDIRECT("FebR!$A$6:$ZZ$1048576"), MATCH(J$1, FebR!$6:$6, 0), FALSE),
            0
        ) +
        IFERROR(
            VLOOKUP($A20, INDIRECT("MarR!$A$6:$ZZ$1048576"), MATCH(J$1, MarR!$6:$6, 0), FALSE),
            0
        ) +
        IFERROR(
            VLOOKUP($A20, INDIRECT("AbrR!$A$6:$ZZ$1048576"), MATCH(J$1, AbrR!$6:$6, 0), FALSE),
            0
        ) +
        IFERROR(
            VLOOKUP($A20, INDIRECT("MayR!$A$6:$ZZ$1048576"), MATCH(J$1, MayR!$6:$6, 0), FALSE),
            0
        ) +
        IFERROR(
            VLOOKUP($A20, INDIRECT("JunR!$A$6:$ZZ$1048576"), MATCH(J$1, JunR!$6:$6, 0), FALSE),
            0
        ) +
        IFERROR(
            VLOOKUP($A20, INDIRECT("JulR!$A$6:$ZZ$1048576"), MATCH(J$1, JulR!$6:$6, 0), FALSE),
            0
        ) +
        IFERROR(
            VLOOKUP($A20, INDIRECT("AgoR!$A$6:$ZZ$1048576"), MATCH(J$1, AgoR!$6:$6, 0), FALSE),
            0
        ) +
        IFERROR(
            VLOOKUP($A20, INDIRECT("SepR!$A$6:$ZZ$1048576"), MATCH(J$1, SepR!$6:$6, 0), FALSE),
            0
        ) +
        IFERROR(
            VLOOKUP($A20, INDIRECT("OctR!$A$6:$ZZ$1048576"), MATCH(J$1, OctR!$6:$6, 0), FALSE),
            0
        ) +
        IFERROR(
            VLOOKUP($A20, INDIRECT("NovR!$A$6:$ZZ$1048576"), MATCH(J$1, NovR!$6:$6, 0), FALSE),
            0
        ) +
        IFERROR(
            VLOOKUP($A20, INDIRECT("DicR!$A$6:$ZZ$1048576"), MATCH(J$1, DicR!$6:$6, 0), FALSE),
            0
        )
)</f>
        <v>0</v>
      </c>
      <c r="K20" s="35">
        <f t="array" ref="K20">SUM(
    IFERROR(
            VLOOKUP($A20, INDIRECT("EneR!$A$6:$ZZ$1048576"), MATCH(K$1, EneR!$6:$6, 0), FALSE),
            0
        ) +
        IFERROR(
            VLOOKUP($A20, INDIRECT("FebR!$A$6:$ZZ$1048576"), MATCH(K$1, FebR!$6:$6, 0), FALSE),
            0
        ) +
        IFERROR(
            VLOOKUP($A20, INDIRECT("MarR!$A$6:$ZZ$1048576"), MATCH(K$1, MarR!$6:$6, 0), FALSE),
            0
        ) +
        IFERROR(
            VLOOKUP($A20, INDIRECT("AbrR!$A$6:$ZZ$1048576"), MATCH(K$1, AbrR!$6:$6, 0), FALSE),
            0
        ) +
        IFERROR(
            VLOOKUP($A20, INDIRECT("MayR!$A$6:$ZZ$1048576"), MATCH(K$1, MayR!$6:$6, 0), FALSE),
            0
        ) +
        IFERROR(
            VLOOKUP($A20, INDIRECT("JunR!$A$6:$ZZ$1048576"), MATCH(K$1, JunR!$6:$6, 0), FALSE),
            0
        ) +
        IFERROR(
            VLOOKUP($A20, INDIRECT("JulR!$A$6:$ZZ$1048576"), MATCH(K$1, JulR!$6:$6, 0), FALSE),
            0
        ) +
        IFERROR(
            VLOOKUP($A20, INDIRECT("AgoR!$A$6:$ZZ$1048576"), MATCH(K$1, AgoR!$6:$6, 0), FALSE),
            0
        ) +
        IFERROR(
            VLOOKUP($A20, INDIRECT("SepR!$A$6:$ZZ$1048576"), MATCH(K$1, SepR!$6:$6, 0), FALSE),
            0
        ) +
        IFERROR(
            VLOOKUP($A20, INDIRECT("OctR!$A$6:$ZZ$1048576"), MATCH(K$1, OctR!$6:$6, 0), FALSE),
            0
        ) +
        IFERROR(
            VLOOKUP($A20, INDIRECT("NovR!$A$6:$ZZ$1048576"), MATCH(K$1, NovR!$6:$6, 0), FALSE),
            0
        ) +
        IFERROR(
            VLOOKUP($A20, INDIRECT("DicR!$A$6:$ZZ$1048576"), MATCH(K$1, DicR!$6:$6, 0), FALSE),
            0
        )
)</f>
        <v>0</v>
      </c>
      <c r="L20" s="32">
        <f t="array" ref="L20">SUM(
    IFERROR(
            VLOOKUP($A20, INDIRECT("EneR!$A$6:$ZZ$1048576"), MATCH(L$1, EneR!$6:$6, 0), FALSE),
            0
        ) +
        IFERROR(
            VLOOKUP($A20, INDIRECT("FebR!$A$6:$ZZ$1048576"), MATCH(L$1, FebR!$6:$6, 0), FALSE),
            0
        ) +
        IFERROR(
            VLOOKUP($A20, INDIRECT("MarR!$A$6:$ZZ$1048576"), MATCH(L$1, MarR!$6:$6, 0), FALSE),
            0
        ) +
        IFERROR(
            VLOOKUP($A20, INDIRECT("AbrR!$A$6:$ZZ$1048576"), MATCH(L$1, AbrR!$6:$6, 0), FALSE),
            0
        ) +
        IFERROR(
            VLOOKUP($A20, INDIRECT("MayR!$A$6:$ZZ$1048576"), MATCH(L$1, MayR!$6:$6, 0), FALSE),
            0
        ) +
        IFERROR(
            VLOOKUP($A20, INDIRECT("JunR!$A$6:$ZZ$1048576"), MATCH(L$1, JunR!$6:$6, 0), FALSE),
            0
        ) +
        IFERROR(
            VLOOKUP($A20, INDIRECT("JulR!$A$6:$ZZ$1048576"), MATCH(L$1, JulR!$6:$6, 0), FALSE),
            0
        ) +
        IFERROR(
            VLOOKUP($A20, INDIRECT("AgoR!$A$6:$ZZ$1048576"), MATCH(L$1, AgoR!$6:$6, 0), FALSE),
            0
        ) +
        IFERROR(
            VLOOKUP($A20, INDIRECT("SepR!$A$6:$ZZ$1048576"), MATCH(L$1, SepR!$6:$6, 0), FALSE),
            0
        ) +
        IFERROR(
            VLOOKUP($A20, INDIRECT("OctR!$A$6:$ZZ$1048576"), MATCH(L$1, OctR!$6:$6, 0), FALSE),
            0
        ) +
        IFERROR(
            VLOOKUP($A20, INDIRECT("NovR!$A$6:$ZZ$1048576"), MATCH(L$1, NovR!$6:$6, 0), FALSE),
            0
        ) +
        IFERROR(
            VLOOKUP($A20, INDIRECT("DicR!$A$6:$ZZ$1048576"), MATCH(L$1, DicR!$6:$6, 0), FALSE),
            0
        )
)</f>
        <v>0</v>
      </c>
      <c r="M20" s="35">
        <f t="array" ref="M20">SUM(
    IFERROR(
            VLOOKUP($A20, INDIRECT("EneR!$A$6:$ZZ$1048576"), MATCH(M$1, EneR!$6:$6, 0), FALSE),
            0
        ) +
        IFERROR(
            VLOOKUP($A20, INDIRECT("FebR!$A$6:$ZZ$1048576"), MATCH(M$1, FebR!$6:$6, 0), FALSE),
            0
        ) +
        IFERROR(
            VLOOKUP($A20, INDIRECT("MarR!$A$6:$ZZ$1048576"), MATCH(M$1, MarR!$6:$6, 0), FALSE),
            0
        ) +
        IFERROR(
            VLOOKUP($A20, INDIRECT("AbrR!$A$6:$ZZ$1048576"), MATCH(M$1, AbrR!$6:$6, 0), FALSE),
            0
        ) +
        IFERROR(
            VLOOKUP($A20, INDIRECT("MayR!$A$6:$ZZ$1048576"), MATCH(M$1, MayR!$6:$6, 0), FALSE),
            0
        ) +
        IFERROR(
            VLOOKUP($A20, INDIRECT("JunR!$A$6:$ZZ$1048576"), MATCH(M$1, JunR!$6:$6, 0), FALSE),
            0
        ) +
        IFERROR(
            VLOOKUP($A20, INDIRECT("JulR!$A$6:$ZZ$1048576"), MATCH(M$1, JulR!$6:$6, 0), FALSE),
            0
        ) +
        IFERROR(
            VLOOKUP($A20, INDIRECT("AgoR!$A$6:$ZZ$1048576"), MATCH(M$1, AgoR!$6:$6, 0), FALSE),
            0
        ) +
        IFERROR(
            VLOOKUP($A20, INDIRECT("SepR!$A$6:$ZZ$1048576"), MATCH(M$1, SepR!$6:$6, 0), FALSE),
            0
        ) +
        IFERROR(
            VLOOKUP($A20, INDIRECT("OctR!$A$6:$ZZ$1048576"), MATCH(M$1, OctR!$6:$6, 0), FALSE),
            0
        ) +
        IFERROR(
            VLOOKUP($A20, INDIRECT("NovR!$A$6:$ZZ$1048576"), MATCH(M$1, NovR!$6:$6, 0), FALSE),
            0
        ) +
        IFERROR(
            VLOOKUP($A20, INDIRECT("DicR!$A$6:$ZZ$1048576"), MATCH(M$1, DicR!$6:$6, 0), FALSE),
            0
        )
)</f>
        <v>0</v>
      </c>
      <c r="N20" s="32">
        <f t="array" ref="N20">SUM(
    IFERROR(
            VLOOKUP($A20, INDIRECT("EneR!$A$6:$ZZ$1048576"), MATCH(N$1, EneR!$6:$6, 0), FALSE),
            0
        ) +
        IFERROR(
            VLOOKUP($A20, INDIRECT("FebR!$A$6:$ZZ$1048576"), MATCH(N$1, FebR!$6:$6, 0), FALSE),
            0
        ) +
        IFERROR(
            VLOOKUP($A20, INDIRECT("MarR!$A$6:$ZZ$1048576"), MATCH(N$1, MarR!$6:$6, 0), FALSE),
            0
        ) +
        IFERROR(
            VLOOKUP($A20, INDIRECT("AbrR!$A$6:$ZZ$1048576"), MATCH(N$1, AbrR!$6:$6, 0), FALSE),
            0
        ) +
        IFERROR(
            VLOOKUP($A20, INDIRECT("MayR!$A$6:$ZZ$1048576"), MATCH(N$1, MayR!$6:$6, 0), FALSE),
            0
        ) +
        IFERROR(
            VLOOKUP($A20, INDIRECT("JunR!$A$6:$ZZ$1048576"), MATCH(N$1, JunR!$6:$6, 0), FALSE),
            0
        ) +
        IFERROR(
            VLOOKUP($A20, INDIRECT("JulR!$A$6:$ZZ$1048576"), MATCH(N$1, JulR!$6:$6, 0), FALSE),
            0
        ) +
        IFERROR(
            VLOOKUP($A20, INDIRECT("AgoR!$A$6:$ZZ$1048576"), MATCH(N$1, AgoR!$6:$6, 0), FALSE),
            0
        ) +
        IFERROR(
            VLOOKUP($A20, INDIRECT("SepR!$A$6:$ZZ$1048576"), MATCH(N$1, SepR!$6:$6, 0), FALSE),
            0
        ) +
        IFERROR(
            VLOOKUP($A20, INDIRECT("OctR!$A$6:$ZZ$1048576"), MATCH(N$1, OctR!$6:$6, 0), FALSE),
            0
        ) +
        IFERROR(
            VLOOKUP($A20, INDIRECT("NovR!$A$6:$ZZ$1048576"), MATCH(N$1, NovR!$6:$6, 0), FALSE),
            0
        ) +
        IFERROR(
            VLOOKUP($A20, INDIRECT("DicR!$A$6:$ZZ$1048576"), MATCH(N$1, DicR!$6:$6, 0), FALSE),
            0
        )
)</f>
        <v>0</v>
      </c>
      <c r="O20" s="35">
        <f t="array" ref="O20">SUM(
    IFERROR(
            VLOOKUP($A20, INDIRECT("EneR!$A$6:$ZZ$1048576"), MATCH(O$1, EneR!$6:$6, 0), FALSE),
            0
        ) +
        IFERROR(
            VLOOKUP($A20, INDIRECT("FebR!$A$6:$ZZ$1048576"), MATCH(O$1, FebR!$6:$6, 0), FALSE),
            0
        ) +
        IFERROR(
            VLOOKUP($A20, INDIRECT("MarR!$A$6:$ZZ$1048576"), MATCH(O$1, MarR!$6:$6, 0), FALSE),
            0
        ) +
        IFERROR(
            VLOOKUP($A20, INDIRECT("AbrR!$A$6:$ZZ$1048576"), MATCH(O$1, AbrR!$6:$6, 0), FALSE),
            0
        ) +
        IFERROR(
            VLOOKUP($A20, INDIRECT("MayR!$A$6:$ZZ$1048576"), MATCH(O$1, MayR!$6:$6, 0), FALSE),
            0
        ) +
        IFERROR(
            VLOOKUP($A20, INDIRECT("JunR!$A$6:$ZZ$1048576"), MATCH(O$1, JunR!$6:$6, 0), FALSE),
            0
        ) +
        IFERROR(
            VLOOKUP($A20, INDIRECT("JulR!$A$6:$ZZ$1048576"), MATCH(O$1, JulR!$6:$6, 0), FALSE),
            0
        ) +
        IFERROR(
            VLOOKUP($A20, INDIRECT("AgoR!$A$6:$ZZ$1048576"), MATCH(O$1, AgoR!$6:$6, 0), FALSE),
            0
        ) +
        IFERROR(
            VLOOKUP($A20, INDIRECT("SepR!$A$6:$ZZ$1048576"), MATCH(O$1, SepR!$6:$6, 0), FALSE),
            0
        ) +
        IFERROR(
            VLOOKUP($A20, INDIRECT("OctR!$A$6:$ZZ$1048576"), MATCH(O$1, OctR!$6:$6, 0), FALSE),
            0
        ) +
        IFERROR(
            VLOOKUP($A20, INDIRECT("NovR!$A$6:$ZZ$1048576"), MATCH(O$1, NovR!$6:$6, 0), FALSE),
            0
        ) +
        IFERROR(
            VLOOKUP($A20, INDIRECT("DicR!$A$6:$ZZ$1048576"), MATCH(O$1, DicR!$6:$6, 0), FALSE),
            0
        )
)</f>
        <v>0</v>
      </c>
      <c r="P20" s="32">
        <f t="array" ref="P20">SUM(
    IFERROR(
            VLOOKUP($A20, INDIRECT("EneR!$A$6:$ZZ$1048576"), MATCH(P$1, EneR!$6:$6, 0), FALSE),
            0
        ) +
        IFERROR(
            VLOOKUP($A20, INDIRECT("FebR!$A$6:$ZZ$1048576"), MATCH(P$1, FebR!$6:$6, 0), FALSE),
            0
        ) +
        IFERROR(
            VLOOKUP($A20, INDIRECT("MarR!$A$6:$ZZ$1048576"), MATCH(P$1, MarR!$6:$6, 0), FALSE),
            0
        ) +
        IFERROR(
            VLOOKUP($A20, INDIRECT("AbrR!$A$6:$ZZ$1048576"), MATCH(P$1, AbrR!$6:$6, 0), FALSE),
            0
        ) +
        IFERROR(
            VLOOKUP($A20, INDIRECT("MayR!$A$6:$ZZ$1048576"), MATCH(P$1, MayR!$6:$6, 0), FALSE),
            0
        ) +
        IFERROR(
            VLOOKUP($A20, INDIRECT("JunR!$A$6:$ZZ$1048576"), MATCH(P$1, JunR!$6:$6, 0), FALSE),
            0
        ) +
        IFERROR(
            VLOOKUP($A20, INDIRECT("JulR!$A$6:$ZZ$1048576"), MATCH(P$1, JulR!$6:$6, 0), FALSE),
            0
        ) +
        IFERROR(
            VLOOKUP($A20, INDIRECT("AgoR!$A$6:$ZZ$1048576"), MATCH(P$1, AgoR!$6:$6, 0), FALSE),
            0
        ) +
        IFERROR(
            VLOOKUP($A20, INDIRECT("SepR!$A$6:$ZZ$1048576"), MATCH(P$1, SepR!$6:$6, 0), FALSE),
            0
        ) +
        IFERROR(
            VLOOKUP($A20, INDIRECT("OctR!$A$6:$ZZ$1048576"), MATCH(P$1, OctR!$6:$6, 0), FALSE),
            0
        ) +
        IFERROR(
            VLOOKUP($A20, INDIRECT("NovR!$A$6:$ZZ$1048576"), MATCH(P$1, NovR!$6:$6, 0), FALSE),
            0
        ) +
        IFERROR(
            VLOOKUP($A20, INDIRECT("DicR!$A$6:$ZZ$1048576"), MATCH(P$1, DicR!$6:$6, 0), FALSE),
            0
        )
)</f>
        <v>0</v>
      </c>
      <c r="Q20" s="35">
        <f t="array" ref="Q20">SUM(
    IFERROR(
            VLOOKUP($A20, INDIRECT("EneR!$A$6:$ZZ$1048576"), MATCH(Q$1, EneR!$6:$6, 0), FALSE),
            0
        ) +
        IFERROR(
            VLOOKUP($A20, INDIRECT("FebR!$A$6:$ZZ$1048576"), MATCH(Q$1, FebR!$6:$6, 0), FALSE),
            0
        ) +
        IFERROR(
            VLOOKUP($A20, INDIRECT("MarR!$A$6:$ZZ$1048576"), MATCH(Q$1, MarR!$6:$6, 0), FALSE),
            0
        ) +
        IFERROR(
            VLOOKUP($A20, INDIRECT("AbrR!$A$6:$ZZ$1048576"), MATCH(Q$1, AbrR!$6:$6, 0), FALSE),
            0
        ) +
        IFERROR(
            VLOOKUP($A20, INDIRECT("MayR!$A$6:$ZZ$1048576"), MATCH(Q$1, MayR!$6:$6, 0), FALSE),
            0
        ) +
        IFERROR(
            VLOOKUP($A20, INDIRECT("JunR!$A$6:$ZZ$1048576"), MATCH(Q$1, JunR!$6:$6, 0), FALSE),
            0
        ) +
        IFERROR(
            VLOOKUP($A20, INDIRECT("JulR!$A$6:$ZZ$1048576"), MATCH(Q$1, JulR!$6:$6, 0), FALSE),
            0
        ) +
        IFERROR(
            VLOOKUP($A20, INDIRECT("AgoR!$A$6:$ZZ$1048576"), MATCH(Q$1, AgoR!$6:$6, 0), FALSE),
            0
        ) +
        IFERROR(
            VLOOKUP($A20, INDIRECT("SepR!$A$6:$ZZ$1048576"), MATCH(Q$1, SepR!$6:$6, 0), FALSE),
            0
        ) +
        IFERROR(
            VLOOKUP($A20, INDIRECT("OctR!$A$6:$ZZ$1048576"), MATCH(Q$1, OctR!$6:$6, 0), FALSE),
            0
        ) +
        IFERROR(
            VLOOKUP($A20, INDIRECT("NovR!$A$6:$ZZ$1048576"), MATCH(Q$1, NovR!$6:$6, 0), FALSE),
            0
        ) +
        IFERROR(
            VLOOKUP($A20, INDIRECT("DicR!$A$6:$ZZ$1048576"), MATCH(Q$1, DicR!$6:$6, 0), FALSE),
            0
        )
)</f>
        <v>0</v>
      </c>
      <c r="R20" s="36">
        <f t="array" ref="R20">SUM(
    IFERROR(
            VLOOKUP($A20, INDIRECT("EneR!$A$6:$ZZ$1048576"), MATCH(R$1, EneR!$6:$6, 0), FALSE),
            0
        ) +
        IFERROR(
            VLOOKUP($A20, INDIRECT("FebR!$A$6:$ZZ$1048576"), MATCH(R$1, FebR!$6:$6, 0), FALSE),
            0
        ) +
        IFERROR(
            VLOOKUP($A20, INDIRECT("MarR!$A$6:$ZZ$1048576"), MATCH(R$1, MarR!$6:$6, 0), FALSE),
            0
        ) +
        IFERROR(
            VLOOKUP($A20, INDIRECT("AbrR!$A$6:$ZZ$1048576"), MATCH(R$1, AbrR!$6:$6, 0), FALSE),
            0
        ) +
        IFERROR(
            VLOOKUP($A20, INDIRECT("MayR!$A$6:$ZZ$1048576"), MATCH(R$1, MayR!$6:$6, 0), FALSE),
            0
        ) +
        IFERROR(
            VLOOKUP($A20, INDIRECT("JunR!$A$6:$ZZ$1048576"), MATCH(R$1, JunR!$6:$6, 0), FALSE),
            0
        ) +
        IFERROR(
            VLOOKUP($A20, INDIRECT("JulR!$A$6:$ZZ$1048576"), MATCH(R$1, JulR!$6:$6, 0), FALSE),
            0
        ) +
        IFERROR(
            VLOOKUP($A20, INDIRECT("AgoR!$A$6:$ZZ$1048576"), MATCH(R$1, AgoR!$6:$6, 0), FALSE),
            0
        ) +
        IFERROR(
            VLOOKUP($A20, INDIRECT("SepR!$A$6:$ZZ$1048576"), MATCH(R$1, SepR!$6:$6, 0), FALSE),
            0
        ) +
        IFERROR(
            VLOOKUP($A20, INDIRECT("OctR!$A$6:$ZZ$1048576"), MATCH(R$1, OctR!$6:$6, 0), FALSE),
            0
        ) +
        IFERROR(
            VLOOKUP($A20, INDIRECT("NovR!$A$6:$ZZ$1048576"), MATCH(R$1, NovR!$6:$6, 0), FALSE),
            0
        ) +
        IFERROR(
            VLOOKUP($A20, INDIRECT("DicR!$A$6:$ZZ$1048576"), MATCH(R$1, DicR!$6:$6, 0), FALSE),
            0
        )
)</f>
        <v>0</v>
      </c>
      <c r="S20" s="37">
        <f t="array" ref="S20">SUM(
    IFERROR(
            VLOOKUP($A20, INDIRECT("EneR!$A$6:$ZZ$1048576"), MATCH(S$1, EneR!$6:$6, 0), FALSE),
            0
        ) +
        IFERROR(
            VLOOKUP($A20, INDIRECT("FebR!$A$6:$ZZ$1048576"), MATCH(S$1, FebR!$6:$6, 0), FALSE),
            0
        ) +
        IFERROR(
            VLOOKUP($A20, INDIRECT("MarR!$A$6:$ZZ$1048576"), MATCH(S$1, MarR!$6:$6, 0), FALSE),
            0
        ) +
        IFERROR(
            VLOOKUP($A20, INDIRECT("AbrR!$A$6:$ZZ$1048576"), MATCH(S$1, AbrR!$6:$6, 0), FALSE),
            0
        ) +
        IFERROR(
            VLOOKUP($A20, INDIRECT("MayR!$A$6:$ZZ$1048576"), MATCH(S$1, MayR!$6:$6, 0), FALSE),
            0
        ) +
        IFERROR(
            VLOOKUP($A20, INDIRECT("JunR!$A$6:$ZZ$1048576"), MATCH(S$1, JunR!$6:$6, 0), FALSE),
            0
        ) +
        IFERROR(
            VLOOKUP($A20, INDIRECT("JulR!$A$6:$ZZ$1048576"), MATCH(S$1, JulR!$6:$6, 0), FALSE),
            0
        ) +
        IFERROR(
            VLOOKUP($A20, INDIRECT("AgoR!$A$6:$ZZ$1048576"), MATCH(S$1, AgoR!$6:$6, 0), FALSE),
            0
        ) +
        IFERROR(
            VLOOKUP($A20, INDIRECT("SepR!$A$6:$ZZ$1048576"), MATCH(S$1, SepR!$6:$6, 0), FALSE),
            0
        ) +
        IFERROR(
            VLOOKUP($A20, INDIRECT("OctR!$A$6:$ZZ$1048576"), MATCH(S$1, OctR!$6:$6, 0), FALSE),
            0
        ) +
        IFERROR(
            VLOOKUP($A20, INDIRECT("NovR!$A$6:$ZZ$1048576"), MATCH(S$1, NovR!$6:$6, 0), FALSE),
            0
        ) +
        IFERROR(
            VLOOKUP($A20, INDIRECT("DicR!$A$6:$ZZ$1048576"), MATCH(S$1, DicR!$6:$6, 0), FALSE),
            0
        )
)</f>
        <v>0</v>
      </c>
      <c r="T20" s="36">
        <f t="array" ref="T20">SUM(
    IFERROR(
            VLOOKUP($A20, INDIRECT("EneR!$A$6:$ZZ$1048576"), MATCH(T$1, EneR!$6:$6, 0), FALSE),
            0
        ) +
        IFERROR(
            VLOOKUP($A20, INDIRECT("FebR!$A$6:$ZZ$1048576"), MATCH(T$1, FebR!$6:$6, 0), FALSE),
            0
        ) +
        IFERROR(
            VLOOKUP($A20, INDIRECT("MarR!$A$6:$ZZ$1048576"), MATCH(T$1, MarR!$6:$6, 0), FALSE),
            0
        ) +
        IFERROR(
            VLOOKUP($A20, INDIRECT("AbrR!$A$6:$ZZ$1048576"), MATCH(T$1, AbrR!$6:$6, 0), FALSE),
            0
        ) +
        IFERROR(
            VLOOKUP($A20, INDIRECT("MayR!$A$6:$ZZ$1048576"), MATCH(T$1, MayR!$6:$6, 0), FALSE),
            0
        ) +
        IFERROR(
            VLOOKUP($A20, INDIRECT("JunR!$A$6:$ZZ$1048576"), MATCH(T$1, JunR!$6:$6, 0), FALSE),
            0
        ) +
        IFERROR(
            VLOOKUP($A20, INDIRECT("JulR!$A$6:$ZZ$1048576"), MATCH(T$1, JulR!$6:$6, 0), FALSE),
            0
        ) +
        IFERROR(
            VLOOKUP($A20, INDIRECT("AgoR!$A$6:$ZZ$1048576"), MATCH(T$1, AgoR!$6:$6, 0), FALSE),
            0
        ) +
        IFERROR(
            VLOOKUP($A20, INDIRECT("SepR!$A$6:$ZZ$1048576"), MATCH(T$1, SepR!$6:$6, 0), FALSE),
            0
        ) +
        IFERROR(
            VLOOKUP($A20, INDIRECT("OctR!$A$6:$ZZ$1048576"), MATCH(T$1, OctR!$6:$6, 0), FALSE),
            0
        ) +
        IFERROR(
            VLOOKUP($A20, INDIRECT("NovR!$A$6:$ZZ$1048576"), MATCH(T$1, NovR!$6:$6, 0), FALSE),
            0
        ) +
        IFERROR(
            VLOOKUP($A20, INDIRECT("DicR!$A$6:$ZZ$1048576"), MATCH(T$1, DicR!$6:$6, 0), FALSE),
            0
        )
)</f>
        <v>0</v>
      </c>
      <c r="U20" s="37">
        <f t="array" ref="U20">SUM(
    IFERROR(
            VLOOKUP($A20, INDIRECT("EneR!$A$6:$ZZ$1048576"), MATCH(U$1, EneR!$6:$6, 0), FALSE),
            0
        ) +
        IFERROR(
            VLOOKUP($A20, INDIRECT("FebR!$A$6:$ZZ$1048576"), MATCH(U$1, FebR!$6:$6, 0), FALSE),
            0
        ) +
        IFERROR(
            VLOOKUP($A20, INDIRECT("MarR!$A$6:$ZZ$1048576"), MATCH(U$1, MarR!$6:$6, 0), FALSE),
            0
        ) +
        IFERROR(
            VLOOKUP($A20, INDIRECT("AbrR!$A$6:$ZZ$1048576"), MATCH(U$1, AbrR!$6:$6, 0), FALSE),
            0
        ) +
        IFERROR(
            VLOOKUP($A20, INDIRECT("MayR!$A$6:$ZZ$1048576"), MATCH(U$1, MayR!$6:$6, 0), FALSE),
            0
        ) +
        IFERROR(
            VLOOKUP($A20, INDIRECT("JunR!$A$6:$ZZ$1048576"), MATCH(U$1, JunR!$6:$6, 0), FALSE),
            0
        ) +
        IFERROR(
            VLOOKUP($A20, INDIRECT("JulR!$A$6:$ZZ$1048576"), MATCH(U$1, JulR!$6:$6, 0), FALSE),
            0
        ) +
        IFERROR(
            VLOOKUP($A20, INDIRECT("AgoR!$A$6:$ZZ$1048576"), MATCH(U$1, AgoR!$6:$6, 0), FALSE),
            0
        ) +
        IFERROR(
            VLOOKUP($A20, INDIRECT("SepR!$A$6:$ZZ$1048576"), MATCH(U$1, SepR!$6:$6, 0), FALSE),
            0
        ) +
        IFERROR(
            VLOOKUP($A20, INDIRECT("OctR!$A$6:$ZZ$1048576"), MATCH(U$1, OctR!$6:$6, 0), FALSE),
            0
        ) +
        IFERROR(
            VLOOKUP($A20, INDIRECT("NovR!$A$6:$ZZ$1048576"), MATCH(U$1, NovR!$6:$6, 0), FALSE),
            0
        ) +
        IFERROR(
            VLOOKUP($A20, INDIRECT("DicR!$A$6:$ZZ$1048576"), MATCH(U$1, DicR!$6:$6, 0), FALSE),
            0
        )
)</f>
        <v>0</v>
      </c>
      <c r="V20" s="36">
        <f t="array" ref="V20">SUM(
    IFERROR(
            VLOOKUP($A20, INDIRECT("EneR!$A$6:$ZZ$1048576"), MATCH(V$1, EneR!$6:$6, 0), FALSE),
            0
        ) +
        IFERROR(
            VLOOKUP($A20, INDIRECT("FebR!$A$6:$ZZ$1048576"), MATCH(V$1, FebR!$6:$6, 0), FALSE),
            0
        ) +
        IFERROR(
            VLOOKUP($A20, INDIRECT("MarR!$A$6:$ZZ$1048576"), MATCH(V$1, MarR!$6:$6, 0), FALSE),
            0
        ) +
        IFERROR(
            VLOOKUP($A20, INDIRECT("AbrR!$A$6:$ZZ$1048576"), MATCH(V$1, AbrR!$6:$6, 0), FALSE),
            0
        ) +
        IFERROR(
            VLOOKUP($A20, INDIRECT("MayR!$A$6:$ZZ$1048576"), MATCH(V$1, MayR!$6:$6, 0), FALSE),
            0
        ) +
        IFERROR(
            VLOOKUP($A20, INDIRECT("JunR!$A$6:$ZZ$1048576"), MATCH(V$1, JunR!$6:$6, 0), FALSE),
            0
        ) +
        IFERROR(
            VLOOKUP($A20, INDIRECT("JulR!$A$6:$ZZ$1048576"), MATCH(V$1, JulR!$6:$6, 0), FALSE),
            0
        ) +
        IFERROR(
            VLOOKUP($A20, INDIRECT("AgoR!$A$6:$ZZ$1048576"), MATCH(V$1, AgoR!$6:$6, 0), FALSE),
            0
        ) +
        IFERROR(
            VLOOKUP($A20, INDIRECT("SepR!$A$6:$ZZ$1048576"), MATCH(V$1, SepR!$6:$6, 0), FALSE),
            0
        ) +
        IFERROR(
            VLOOKUP($A20, INDIRECT("OctR!$A$6:$ZZ$1048576"), MATCH(V$1, OctR!$6:$6, 0), FALSE),
            0
        ) +
        IFERROR(
            VLOOKUP($A20, INDIRECT("NovR!$A$6:$ZZ$1048576"), MATCH(V$1, NovR!$6:$6, 0), FALSE),
            0
        ) +
        IFERROR(
            VLOOKUP($A20, INDIRECT("DicR!$A$6:$ZZ$1048576"), MATCH(V$1, DicR!$6:$6, 0), FALSE),
            0
        )
)</f>
        <v>0</v>
      </c>
      <c r="W20" s="37">
        <f t="array" ref="W20">SUM(
    IFERROR(
            VLOOKUP($A20, INDIRECT("EneR!$A$6:$ZZ$1048576"), MATCH(W$1, EneR!$6:$6, 0), FALSE),
            0
        ) +
        IFERROR(
            VLOOKUP($A20, INDIRECT("FebR!$A$6:$ZZ$1048576"), MATCH(W$1, FebR!$6:$6, 0), FALSE),
            0
        ) +
        IFERROR(
            VLOOKUP($A20, INDIRECT("MarR!$A$6:$ZZ$1048576"), MATCH(W$1, MarR!$6:$6, 0), FALSE),
            0
        ) +
        IFERROR(
            VLOOKUP($A20, INDIRECT("AbrR!$A$6:$ZZ$1048576"), MATCH(W$1, AbrR!$6:$6, 0), FALSE),
            0
        ) +
        IFERROR(
            VLOOKUP($A20, INDIRECT("MayR!$A$6:$ZZ$1048576"), MATCH(W$1, MayR!$6:$6, 0), FALSE),
            0
        ) +
        IFERROR(
            VLOOKUP($A20, INDIRECT("JunR!$A$6:$ZZ$1048576"), MATCH(W$1, JunR!$6:$6, 0), FALSE),
            0
        ) +
        IFERROR(
            VLOOKUP($A20, INDIRECT("JulR!$A$6:$ZZ$1048576"), MATCH(W$1, JulR!$6:$6, 0), FALSE),
            0
        ) +
        IFERROR(
            VLOOKUP($A20, INDIRECT("AgoR!$A$6:$ZZ$1048576"), MATCH(W$1, AgoR!$6:$6, 0), FALSE),
            0
        ) +
        IFERROR(
            VLOOKUP($A20, INDIRECT("SepR!$A$6:$ZZ$1048576"), MATCH(W$1, SepR!$6:$6, 0), FALSE),
            0
        ) +
        IFERROR(
            VLOOKUP($A20, INDIRECT("OctR!$A$6:$ZZ$1048576"), MATCH(W$1, OctR!$6:$6, 0), FALSE),
            0
        ) +
        IFERROR(
            VLOOKUP($A20, INDIRECT("NovR!$A$6:$ZZ$1048576"), MATCH(W$1, NovR!$6:$6, 0), FALSE),
            0
        ) +
        IFERROR(
            VLOOKUP($A20, INDIRECT("DicR!$A$6:$ZZ$1048576"), MATCH(W$1, DicR!$6:$6, 0), FALSE),
            0
        )
)</f>
        <v>0</v>
      </c>
      <c r="X20" s="36">
        <f t="array" ref="X20">SUM(
    IFERROR(
            VLOOKUP($A20, INDIRECT("EneR!$A$6:$ZZ$1048576"), MATCH(X$1, EneR!$6:$6, 0), FALSE),
            0
        ) +
        IFERROR(
            VLOOKUP($A20, INDIRECT("FebR!$A$6:$ZZ$1048576"), MATCH(X$1, FebR!$6:$6, 0), FALSE),
            0
        ) +
        IFERROR(
            VLOOKUP($A20, INDIRECT("MarR!$A$6:$ZZ$1048576"), MATCH(X$1, MarR!$6:$6, 0), FALSE),
            0
        ) +
        IFERROR(
            VLOOKUP($A20, INDIRECT("AbrR!$A$6:$ZZ$1048576"), MATCH(X$1, AbrR!$6:$6, 0), FALSE),
            0
        ) +
        IFERROR(
            VLOOKUP($A20, INDIRECT("MayR!$A$6:$ZZ$1048576"), MATCH(X$1, MayR!$6:$6, 0), FALSE),
            0
        ) +
        IFERROR(
            VLOOKUP($A20, INDIRECT("JunR!$A$6:$ZZ$1048576"), MATCH(X$1, JunR!$6:$6, 0), FALSE),
            0
        ) +
        IFERROR(
            VLOOKUP($A20, INDIRECT("JulR!$A$6:$ZZ$1048576"), MATCH(X$1, JulR!$6:$6, 0), FALSE),
            0
        ) +
        IFERROR(
            VLOOKUP($A20, INDIRECT("AgoR!$A$6:$ZZ$1048576"), MATCH(X$1, AgoR!$6:$6, 0), FALSE),
            0
        ) +
        IFERROR(
            VLOOKUP($A20, INDIRECT("SepR!$A$6:$ZZ$1048576"), MATCH(X$1, SepR!$6:$6, 0), FALSE),
            0
        ) +
        IFERROR(
            VLOOKUP($A20, INDIRECT("OctR!$A$6:$ZZ$1048576"), MATCH(X$1, OctR!$6:$6, 0), FALSE),
            0
        ) +
        IFERROR(
            VLOOKUP($A20, INDIRECT("NovR!$A$6:$ZZ$1048576"), MATCH(X$1, NovR!$6:$6, 0), FALSE),
            0
        ) +
        IFERROR(
            VLOOKUP($A20, INDIRECT("DicR!$A$6:$ZZ$1048576"), MATCH(X$1, DicR!$6:$6, 0), FALSE),
            0
        )
)</f>
        <v>0</v>
      </c>
      <c r="Y20" s="37">
        <f t="array" ref="Y20">SUM(
    IFERROR(
            VLOOKUP($A20, INDIRECT("EneR!$A$6:$ZZ$1048576"), MATCH(Y$1, EneR!$6:$6, 0), FALSE),
            0
        ) +
        IFERROR(
            VLOOKUP($A20, INDIRECT("FebR!$A$6:$ZZ$1048576"), MATCH(Y$1, FebR!$6:$6, 0), FALSE),
            0
        ) +
        IFERROR(
            VLOOKUP($A20, INDIRECT("MarR!$A$6:$ZZ$1048576"), MATCH(Y$1, MarR!$6:$6, 0), FALSE),
            0
        ) +
        IFERROR(
            VLOOKUP($A20, INDIRECT("AbrR!$A$6:$ZZ$1048576"), MATCH(Y$1, AbrR!$6:$6, 0), FALSE),
            0
        ) +
        IFERROR(
            VLOOKUP($A20, INDIRECT("MayR!$A$6:$ZZ$1048576"), MATCH(Y$1, MayR!$6:$6, 0), FALSE),
            0
        ) +
        IFERROR(
            VLOOKUP($A20, INDIRECT("JunR!$A$6:$ZZ$1048576"), MATCH(Y$1, JunR!$6:$6, 0), FALSE),
            0
        ) +
        IFERROR(
            VLOOKUP($A20, INDIRECT("JulR!$A$6:$ZZ$1048576"), MATCH(Y$1, JulR!$6:$6, 0), FALSE),
            0
        ) +
        IFERROR(
            VLOOKUP($A20, INDIRECT("AgoR!$A$6:$ZZ$1048576"), MATCH(Y$1, AgoR!$6:$6, 0), FALSE),
            0
        ) +
        IFERROR(
            VLOOKUP($A20, INDIRECT("SepR!$A$6:$ZZ$1048576"), MATCH(Y$1, SepR!$6:$6, 0), FALSE),
            0
        ) +
        IFERROR(
            VLOOKUP($A20, INDIRECT("OctR!$A$6:$ZZ$1048576"), MATCH(Y$1, OctR!$6:$6, 0), FALSE),
            0
        ) +
        IFERROR(
            VLOOKUP($A20, INDIRECT("NovR!$A$6:$ZZ$1048576"), MATCH(Y$1, NovR!$6:$6, 0), FALSE),
            0
        ) +
        IFERROR(
            VLOOKUP($A20, INDIRECT("DicR!$A$6:$ZZ$1048576"), MATCH(Y$1, DicR!$6:$6, 0), FALSE),
            0
        )
)</f>
        <v>0</v>
      </c>
      <c r="Z20" s="36">
        <f t="array" ref="Z20">SUM(
    IFERROR(
            VLOOKUP($A20, INDIRECT("EneR!$A$6:$ZZ$1048576"), MATCH(Z$1, EneR!$6:$6, 0), FALSE),
            0
        ) +
        IFERROR(
            VLOOKUP($A20, INDIRECT("FebR!$A$6:$ZZ$1048576"), MATCH(Z$1, FebR!$6:$6, 0), FALSE),
            0
        ) +
        IFERROR(
            VLOOKUP($A20, INDIRECT("MarR!$A$6:$ZZ$1048576"), MATCH(Z$1, MarR!$6:$6, 0), FALSE),
            0
        ) +
        IFERROR(
            VLOOKUP($A20, INDIRECT("AbrR!$A$6:$ZZ$1048576"), MATCH(Z$1, AbrR!$6:$6, 0), FALSE),
            0
        ) +
        IFERROR(
            VLOOKUP($A20, INDIRECT("MayR!$A$6:$ZZ$1048576"), MATCH(Z$1, MayR!$6:$6, 0), FALSE),
            0
        ) +
        IFERROR(
            VLOOKUP($A20, INDIRECT("JunR!$A$6:$ZZ$1048576"), MATCH(Z$1, JunR!$6:$6, 0), FALSE),
            0
        ) +
        IFERROR(
            VLOOKUP($A20, INDIRECT("JulR!$A$6:$ZZ$1048576"), MATCH(Z$1, JulR!$6:$6, 0), FALSE),
            0
        ) +
        IFERROR(
            VLOOKUP($A20, INDIRECT("AgoR!$A$6:$ZZ$1048576"), MATCH(Z$1, AgoR!$6:$6, 0), FALSE),
            0
        ) +
        IFERROR(
            VLOOKUP($A20, INDIRECT("SepR!$A$6:$ZZ$1048576"), MATCH(Z$1, SepR!$6:$6, 0), FALSE),
            0
        ) +
        IFERROR(
            VLOOKUP($A20, INDIRECT("OctR!$A$6:$ZZ$1048576"), MATCH(Z$1, OctR!$6:$6, 0), FALSE),
            0
        ) +
        IFERROR(
            VLOOKUP($A20, INDIRECT("NovR!$A$6:$ZZ$1048576"), MATCH(Z$1, NovR!$6:$6, 0), FALSE),
            0
        ) +
        IFERROR(
            VLOOKUP($A20, INDIRECT("DicR!$A$6:$ZZ$1048576"), MATCH(Z$1, DicR!$6:$6, 0), FALSE),
            0
        )
)</f>
        <v>0</v>
      </c>
      <c r="AA20" s="37">
        <f t="array" ref="AA20">SUM(
    IFERROR(
            VLOOKUP($A20, INDIRECT("EneR!$A$6:$ZZ$1048576"), MATCH(AA$1, EneR!$6:$6, 0), FALSE),
            0
        ) +
        IFERROR(
            VLOOKUP($A20, INDIRECT("FebR!$A$6:$ZZ$1048576"), MATCH(AA$1, FebR!$6:$6, 0), FALSE),
            0
        ) +
        IFERROR(
            VLOOKUP($A20, INDIRECT("MarR!$A$6:$ZZ$1048576"), MATCH(AA$1, MarR!$6:$6, 0), FALSE),
            0
        ) +
        IFERROR(
            VLOOKUP($A20, INDIRECT("AbrR!$A$6:$ZZ$1048576"), MATCH(AA$1, AbrR!$6:$6, 0), FALSE),
            0
        ) +
        IFERROR(
            VLOOKUP($A20, INDIRECT("MayR!$A$6:$ZZ$1048576"), MATCH(AA$1, MayR!$6:$6, 0), FALSE),
            0
        ) +
        IFERROR(
            VLOOKUP($A20, INDIRECT("JunR!$A$6:$ZZ$1048576"), MATCH(AA$1, JunR!$6:$6, 0), FALSE),
            0
        ) +
        IFERROR(
            VLOOKUP($A20, INDIRECT("JulR!$A$6:$ZZ$1048576"), MATCH(AA$1, JulR!$6:$6, 0), FALSE),
            0
        ) +
        IFERROR(
            VLOOKUP($A20, INDIRECT("AgoR!$A$6:$ZZ$1048576"), MATCH(AA$1, AgoR!$6:$6, 0), FALSE),
            0
        ) +
        IFERROR(
            VLOOKUP($A20, INDIRECT("SepR!$A$6:$ZZ$1048576"), MATCH(AA$1, SepR!$6:$6, 0), FALSE),
            0
        ) +
        IFERROR(
            VLOOKUP($A20, INDIRECT("OctR!$A$6:$ZZ$1048576"), MATCH(AA$1, OctR!$6:$6, 0), FALSE),
            0
        ) +
        IFERROR(
            VLOOKUP($A20, INDIRECT("NovR!$A$6:$ZZ$1048576"), MATCH(AA$1, NovR!$6:$6, 0), FALSE),
            0
        ) +
        IFERROR(
            VLOOKUP($A20, INDIRECT("DicR!$A$6:$ZZ$1048576"), MATCH(AA$1, DicR!$6:$6, 0), FALSE),
            0
        )
)</f>
        <v>0</v>
      </c>
      <c r="AB20" s="36">
        <f t="array" ref="AB20">SUM(
    IFERROR(
            VLOOKUP($A20, INDIRECT("EneR!$A$6:$ZZ$1048576"), MATCH(AB$1, EneR!$6:$6, 0), FALSE),
            0
        ) +
        IFERROR(
            VLOOKUP($A20, INDIRECT("FebR!$A$6:$ZZ$1048576"), MATCH(AB$1, FebR!$6:$6, 0), FALSE),
            0
        ) +
        IFERROR(
            VLOOKUP($A20, INDIRECT("MarR!$A$6:$ZZ$1048576"), MATCH(AB$1, MarR!$6:$6, 0), FALSE),
            0
        ) +
        IFERROR(
            VLOOKUP($A20, INDIRECT("AbrR!$A$6:$ZZ$1048576"), MATCH(AB$1, AbrR!$6:$6, 0), FALSE),
            0
        ) +
        IFERROR(
            VLOOKUP($A20, INDIRECT("MayR!$A$6:$ZZ$1048576"), MATCH(AB$1, MayR!$6:$6, 0), FALSE),
            0
        ) +
        IFERROR(
            VLOOKUP($A20, INDIRECT("JunR!$A$6:$ZZ$1048576"), MATCH(AB$1, JunR!$6:$6, 0), FALSE),
            0
        ) +
        IFERROR(
            VLOOKUP($A20, INDIRECT("JulR!$A$6:$ZZ$1048576"), MATCH(AB$1, JulR!$6:$6, 0), FALSE),
            0
        ) +
        IFERROR(
            VLOOKUP($A20, INDIRECT("AgoR!$A$6:$ZZ$1048576"), MATCH(AB$1, AgoR!$6:$6, 0), FALSE),
            0
        ) +
        IFERROR(
            VLOOKUP($A20, INDIRECT("SepR!$A$6:$ZZ$1048576"), MATCH(AB$1, SepR!$6:$6, 0), FALSE),
            0
        ) +
        IFERROR(
            VLOOKUP($A20, INDIRECT("OctR!$A$6:$ZZ$1048576"), MATCH(AB$1, OctR!$6:$6, 0), FALSE),
            0
        ) +
        IFERROR(
            VLOOKUP($A20, INDIRECT("NovR!$A$6:$ZZ$1048576"), MATCH(AB$1, NovR!$6:$6, 0), FALSE),
            0
        ) +
        IFERROR(
            VLOOKUP($A20, INDIRECT("DicR!$A$6:$ZZ$1048576"), MATCH(AB$1, DicR!$6:$6, 0), FALSE),
            0
        )
)</f>
        <v>0</v>
      </c>
      <c r="AC20" s="37">
        <f t="array" ref="AC20">SUM(
    IFERROR(
            VLOOKUP($A20, INDIRECT("EneR!$A$6:$ZZ$1048576"), MATCH(AC$1, EneR!$6:$6, 0), FALSE),
            0
        ) +
        IFERROR(
            VLOOKUP($A20, INDIRECT("FebR!$A$6:$ZZ$1048576"), MATCH(AC$1, FebR!$6:$6, 0), FALSE),
            0
        ) +
        IFERROR(
            VLOOKUP($A20, INDIRECT("MarR!$A$6:$ZZ$1048576"), MATCH(AC$1, MarR!$6:$6, 0), FALSE),
            0
        ) +
        IFERROR(
            VLOOKUP($A20, INDIRECT("AbrR!$A$6:$ZZ$1048576"), MATCH(AC$1, AbrR!$6:$6, 0), FALSE),
            0
        ) +
        IFERROR(
            VLOOKUP($A20, INDIRECT("MayR!$A$6:$ZZ$1048576"), MATCH(AC$1, MayR!$6:$6, 0), FALSE),
            0
        ) +
        IFERROR(
            VLOOKUP($A20, INDIRECT("JunR!$A$6:$ZZ$1048576"), MATCH(AC$1, JunR!$6:$6, 0), FALSE),
            0
        ) +
        IFERROR(
            VLOOKUP($A20, INDIRECT("JulR!$A$6:$ZZ$1048576"), MATCH(AC$1, JulR!$6:$6, 0), FALSE),
            0
        ) +
        IFERROR(
            VLOOKUP($A20, INDIRECT("AgoR!$A$6:$ZZ$1048576"), MATCH(AC$1, AgoR!$6:$6, 0), FALSE),
            0
        ) +
        IFERROR(
            VLOOKUP($A20, INDIRECT("SepR!$A$6:$ZZ$1048576"), MATCH(AC$1, SepR!$6:$6, 0), FALSE),
            0
        ) +
        IFERROR(
            VLOOKUP($A20, INDIRECT("OctR!$A$6:$ZZ$1048576"), MATCH(AC$1, OctR!$6:$6, 0), FALSE),
            0
        ) +
        IFERROR(
            VLOOKUP($A20, INDIRECT("NovR!$A$6:$ZZ$1048576"), MATCH(AC$1, NovR!$6:$6, 0), FALSE),
            0
        ) +
        IFERROR(
            VLOOKUP($A20, INDIRECT("DicR!$A$6:$ZZ$1048576"), MATCH(AC$1, DicR!$6:$6, 0), FALSE),
            0
        )
)</f>
        <v>0</v>
      </c>
      <c r="AD20" s="36">
        <f t="array" ref="AD20">SUM(
    IFERROR(
            VLOOKUP($A20, INDIRECT("EneR!$A$6:$ZZ$1048576"), MATCH(AD$1, EneR!$6:$6, 0), FALSE),
            0
        ) +
        IFERROR(
            VLOOKUP($A20, INDIRECT("FebR!$A$6:$ZZ$1048576"), MATCH(AD$1, FebR!$6:$6, 0), FALSE),
            0
        ) +
        IFERROR(
            VLOOKUP($A20, INDIRECT("MarR!$A$6:$ZZ$1048576"), MATCH(AD$1, MarR!$6:$6, 0), FALSE),
            0
        ) +
        IFERROR(
            VLOOKUP($A20, INDIRECT("AbrR!$A$6:$ZZ$1048576"), MATCH(AD$1, AbrR!$6:$6, 0), FALSE),
            0
        ) +
        IFERROR(
            VLOOKUP($A20, INDIRECT("MayR!$A$6:$ZZ$1048576"), MATCH(AD$1, MayR!$6:$6, 0), FALSE),
            0
        ) +
        IFERROR(
            VLOOKUP($A20, INDIRECT("JunR!$A$6:$ZZ$1048576"), MATCH(AD$1, JunR!$6:$6, 0), FALSE),
            0
        ) +
        IFERROR(
            VLOOKUP($A20, INDIRECT("JulR!$A$6:$ZZ$1048576"), MATCH(AD$1, JulR!$6:$6, 0), FALSE),
            0
        ) +
        IFERROR(
            VLOOKUP($A20, INDIRECT("AgoR!$A$6:$ZZ$1048576"), MATCH(AD$1, AgoR!$6:$6, 0), FALSE),
            0
        ) +
        IFERROR(
            VLOOKUP($A20, INDIRECT("SepR!$A$6:$ZZ$1048576"), MATCH(AD$1, SepR!$6:$6, 0), FALSE),
            0
        ) +
        IFERROR(
            VLOOKUP($A20, INDIRECT("OctR!$A$6:$ZZ$1048576"), MATCH(AD$1, OctR!$6:$6, 0), FALSE),
            0
        ) +
        IFERROR(
            VLOOKUP($A20, INDIRECT("NovR!$A$6:$ZZ$1048576"), MATCH(AD$1, NovR!$6:$6, 0), FALSE),
            0
        ) +
        IFERROR(
            VLOOKUP($A20, INDIRECT("DicR!$A$6:$ZZ$1048576"), MATCH(AD$1, DicR!$6:$6, 0), FALSE),
            0
        )
)</f>
        <v>0</v>
      </c>
      <c r="AE20" s="37">
        <f t="array" ref="AE20">SUM(
    IFERROR(
            VLOOKUP($A20, INDIRECT("EneR!$A$6:$ZZ$1048576"), MATCH(AE$1, EneR!$6:$6, 0), FALSE),
            0
        ) +
        IFERROR(
            VLOOKUP($A20, INDIRECT("FebR!$A$6:$ZZ$1048576"), MATCH(AE$1, FebR!$6:$6, 0), FALSE),
            0
        ) +
        IFERROR(
            VLOOKUP($A20, INDIRECT("MarR!$A$6:$ZZ$1048576"), MATCH(AE$1, MarR!$6:$6, 0), FALSE),
            0
        ) +
        IFERROR(
            VLOOKUP($A20, INDIRECT("AbrR!$A$6:$ZZ$1048576"), MATCH(AE$1, AbrR!$6:$6, 0), FALSE),
            0
        ) +
        IFERROR(
            VLOOKUP($A20, INDIRECT("MayR!$A$6:$ZZ$1048576"), MATCH(AE$1, MayR!$6:$6, 0), FALSE),
            0
        ) +
        IFERROR(
            VLOOKUP($A20, INDIRECT("JunR!$A$6:$ZZ$1048576"), MATCH(AE$1, JunR!$6:$6, 0), FALSE),
            0
        ) +
        IFERROR(
            VLOOKUP($A20, INDIRECT("JulR!$A$6:$ZZ$1048576"), MATCH(AE$1, JulR!$6:$6, 0), FALSE),
            0
        ) +
        IFERROR(
            VLOOKUP($A20, INDIRECT("AgoR!$A$6:$ZZ$1048576"), MATCH(AE$1, AgoR!$6:$6, 0), FALSE),
            0
        ) +
        IFERROR(
            VLOOKUP($A20, INDIRECT("SepR!$A$6:$ZZ$1048576"), MATCH(AE$1, SepR!$6:$6, 0), FALSE),
            0
        ) +
        IFERROR(
            VLOOKUP($A20, INDIRECT("OctR!$A$6:$ZZ$1048576"), MATCH(AE$1, OctR!$6:$6, 0), FALSE),
            0
        ) +
        IFERROR(
            VLOOKUP($A20, INDIRECT("NovR!$A$6:$ZZ$1048576"), MATCH(AE$1, NovR!$6:$6, 0), FALSE),
            0
        ) +
        IFERROR(
            VLOOKUP($A20, INDIRECT("DicR!$A$6:$ZZ$1048576"), MATCH(AE$1, DicR!$6:$6, 0), FALSE),
            0
        )
)</f>
        <v>0</v>
      </c>
      <c r="AF20" s="36">
        <f t="array" ref="AF20">SUM(
    IFERROR(
            VLOOKUP($A20, INDIRECT("EneR!$A$6:$ZZ$1048576"), MATCH(AF$1, EneR!$6:$6, 0), FALSE),
            0
        ) +
        IFERROR(
            VLOOKUP($A20, INDIRECT("FebR!$A$6:$ZZ$1048576"), MATCH(AF$1, FebR!$6:$6, 0), FALSE),
            0
        ) +
        IFERROR(
            VLOOKUP($A20, INDIRECT("MarR!$A$6:$ZZ$1048576"), MATCH(AF$1, MarR!$6:$6, 0), FALSE),
            0
        ) +
        IFERROR(
            VLOOKUP($A20, INDIRECT("AbrR!$A$6:$ZZ$1048576"), MATCH(AF$1, AbrR!$6:$6, 0), FALSE),
            0
        ) +
        IFERROR(
            VLOOKUP($A20, INDIRECT("MayR!$A$6:$ZZ$1048576"), MATCH(AF$1, MayR!$6:$6, 0), FALSE),
            0
        ) +
        IFERROR(
            VLOOKUP($A20, INDIRECT("JunR!$A$6:$ZZ$1048576"), MATCH(AF$1, JunR!$6:$6, 0), FALSE),
            0
        ) +
        IFERROR(
            VLOOKUP($A20, INDIRECT("JulR!$A$6:$ZZ$1048576"), MATCH(AF$1, JulR!$6:$6, 0), FALSE),
            0
        ) +
        IFERROR(
            VLOOKUP($A20, INDIRECT("AgoR!$A$6:$ZZ$1048576"), MATCH(AF$1, AgoR!$6:$6, 0), FALSE),
            0
        ) +
        IFERROR(
            VLOOKUP($A20, INDIRECT("SepR!$A$6:$ZZ$1048576"), MATCH(AF$1, SepR!$6:$6, 0), FALSE),
            0
        ) +
        IFERROR(
            VLOOKUP($A20, INDIRECT("OctR!$A$6:$ZZ$1048576"), MATCH(AF$1, OctR!$6:$6, 0), FALSE),
            0
        ) +
        IFERROR(
            VLOOKUP($A20, INDIRECT("NovR!$A$6:$ZZ$1048576"), MATCH(AF$1, NovR!$6:$6, 0), FALSE),
            0
        ) +
        IFERROR(
            VLOOKUP($A20, INDIRECT("DicR!$A$6:$ZZ$1048576"), MATCH(AF$1, DicR!$6:$6, 0), FALSE),
            0
        )
)</f>
        <v>0</v>
      </c>
      <c r="AG20" s="37">
        <f t="array" ref="AG20">SUM(
    IFERROR(
            VLOOKUP($A20, INDIRECT("EneR!$A$6:$ZZ$1048576"), MATCH(AG$1, EneR!$6:$6, 0), FALSE),
            0
        ) +
        IFERROR(
            VLOOKUP($A20, INDIRECT("FebR!$A$6:$ZZ$1048576"), MATCH(AG$1, FebR!$6:$6, 0), FALSE),
            0
        ) +
        IFERROR(
            VLOOKUP($A20, INDIRECT("MarR!$A$6:$ZZ$1048576"), MATCH(AG$1, MarR!$6:$6, 0), FALSE),
            0
        ) +
        IFERROR(
            VLOOKUP($A20, INDIRECT("AbrR!$A$6:$ZZ$1048576"), MATCH(AG$1, AbrR!$6:$6, 0), FALSE),
            0
        ) +
        IFERROR(
            VLOOKUP($A20, INDIRECT("MayR!$A$6:$ZZ$1048576"), MATCH(AG$1, MayR!$6:$6, 0), FALSE),
            0
        ) +
        IFERROR(
            VLOOKUP($A20, INDIRECT("JunR!$A$6:$ZZ$1048576"), MATCH(AG$1, JunR!$6:$6, 0), FALSE),
            0
        ) +
        IFERROR(
            VLOOKUP($A20, INDIRECT("JulR!$A$6:$ZZ$1048576"), MATCH(AG$1, JulR!$6:$6, 0), FALSE),
            0
        ) +
        IFERROR(
            VLOOKUP($A20, INDIRECT("AgoR!$A$6:$ZZ$1048576"), MATCH(AG$1, AgoR!$6:$6, 0), FALSE),
            0
        ) +
        IFERROR(
            VLOOKUP($A20, INDIRECT("SepR!$A$6:$ZZ$1048576"), MATCH(AG$1, SepR!$6:$6, 0), FALSE),
            0
        ) +
        IFERROR(
            VLOOKUP($A20, INDIRECT("OctR!$A$6:$ZZ$1048576"), MATCH(AG$1, OctR!$6:$6, 0), FALSE),
            0
        ) +
        IFERROR(
            VLOOKUP($A20, INDIRECT("NovR!$A$6:$ZZ$1048576"), MATCH(AG$1, NovR!$6:$6, 0), FALSE),
            0
        ) +
        IFERROR(
            VLOOKUP($A20, INDIRECT("DicR!$A$6:$ZZ$1048576"), MATCH(AG$1, DicR!$6:$6, 0), FALSE),
            0
        )
)</f>
        <v>0</v>
      </c>
      <c r="AH20" s="36">
        <f t="array" ref="AH20">SUM(
    IFERROR(
            VLOOKUP($A20, INDIRECT("EneR!$A$6:$ZZ$1048576"), MATCH(AH$1, EneR!$6:$6, 0), FALSE),
            0
        ) +
        IFERROR(
            VLOOKUP($A20, INDIRECT("FebR!$A$6:$ZZ$1048576"), MATCH(AH$1, FebR!$6:$6, 0), FALSE),
            0
        ) +
        IFERROR(
            VLOOKUP($A20, INDIRECT("MarR!$A$6:$ZZ$1048576"), MATCH(AH$1, MarR!$6:$6, 0), FALSE),
            0
        ) +
        IFERROR(
            VLOOKUP($A20, INDIRECT("AbrR!$A$6:$ZZ$1048576"), MATCH(AH$1, AbrR!$6:$6, 0), FALSE),
            0
        ) +
        IFERROR(
            VLOOKUP($A20, INDIRECT("MayR!$A$6:$ZZ$1048576"), MATCH(AH$1, MayR!$6:$6, 0), FALSE),
            0
        ) +
        IFERROR(
            VLOOKUP($A20, INDIRECT("JunR!$A$6:$ZZ$1048576"), MATCH(AH$1, JunR!$6:$6, 0), FALSE),
            0
        ) +
        IFERROR(
            VLOOKUP($A20, INDIRECT("JulR!$A$6:$ZZ$1048576"), MATCH(AH$1, JulR!$6:$6, 0), FALSE),
            0
        ) +
        IFERROR(
            VLOOKUP($A20, INDIRECT("AgoR!$A$6:$ZZ$1048576"), MATCH(AH$1, AgoR!$6:$6, 0), FALSE),
            0
        ) +
        IFERROR(
            VLOOKUP($A20, INDIRECT("SepR!$A$6:$ZZ$1048576"), MATCH(AH$1, SepR!$6:$6, 0), FALSE),
            0
        ) +
        IFERROR(
            VLOOKUP($A20, INDIRECT("OctR!$A$6:$ZZ$1048576"), MATCH(AH$1, OctR!$6:$6, 0), FALSE),
            0
        ) +
        IFERROR(
            VLOOKUP($A20, INDIRECT("NovR!$A$6:$ZZ$1048576"), MATCH(AH$1, NovR!$6:$6, 0), FALSE),
            0
        ) +
        IFERROR(
            VLOOKUP($A20, INDIRECT("DicR!$A$6:$ZZ$1048576"), MATCH(AH$1, DicR!$6:$6, 0), FALSE),
            0
        )
)</f>
        <v>0</v>
      </c>
      <c r="AI20" s="37">
        <f t="array" ref="AI20">SUM(
    IFERROR(
            VLOOKUP($A20, INDIRECT("EneR!$A$6:$ZZ$1048576"), MATCH(AI$1, EneR!$6:$6, 0), FALSE),
            0
        ) +
        IFERROR(
            VLOOKUP($A20, INDIRECT("FebR!$A$6:$ZZ$1048576"), MATCH(AI$1, FebR!$6:$6, 0), FALSE),
            0
        ) +
        IFERROR(
            VLOOKUP($A20, INDIRECT("MarR!$A$6:$ZZ$1048576"), MATCH(AI$1, MarR!$6:$6, 0), FALSE),
            0
        ) +
        IFERROR(
            VLOOKUP($A20, INDIRECT("AbrR!$A$6:$ZZ$1048576"), MATCH(AI$1, AbrR!$6:$6, 0), FALSE),
            0
        ) +
        IFERROR(
            VLOOKUP($A20, INDIRECT("MayR!$A$6:$ZZ$1048576"), MATCH(AI$1, MayR!$6:$6, 0), FALSE),
            0
        ) +
        IFERROR(
            VLOOKUP($A20, INDIRECT("JunR!$A$6:$ZZ$1048576"), MATCH(AI$1, JunR!$6:$6, 0), FALSE),
            0
        ) +
        IFERROR(
            VLOOKUP($A20, INDIRECT("JulR!$A$6:$ZZ$1048576"), MATCH(AI$1, JulR!$6:$6, 0), FALSE),
            0
        ) +
        IFERROR(
            VLOOKUP($A20, INDIRECT("AgoR!$A$6:$ZZ$1048576"), MATCH(AI$1, AgoR!$6:$6, 0), FALSE),
            0
        ) +
        IFERROR(
            VLOOKUP($A20, INDIRECT("SepR!$A$6:$ZZ$1048576"), MATCH(AI$1, SepR!$6:$6, 0), FALSE),
            0
        ) +
        IFERROR(
            VLOOKUP($A20, INDIRECT("OctR!$A$6:$ZZ$1048576"), MATCH(AI$1, OctR!$6:$6, 0), FALSE),
            0
        ) +
        IFERROR(
            VLOOKUP($A20, INDIRECT("NovR!$A$6:$ZZ$1048576"), MATCH(AI$1, NovR!$6:$6, 0), FALSE),
            0
        ) +
        IFERROR(
            VLOOKUP($A20, INDIRECT("DicR!$A$6:$ZZ$1048576"), MATCH(AI$1, DicR!$6:$6, 0), FALSE),
            0
        )
)</f>
        <v>0</v>
      </c>
      <c r="AJ20" s="36">
        <f t="array" ref="AJ20">SUM(
    IFERROR(
            VLOOKUP($A20, INDIRECT("EneR!$A$6:$ZZ$1048576"), MATCH(AJ$1, EneR!$6:$6, 0), FALSE),
            0
        ) +
        IFERROR(
            VLOOKUP($A20, INDIRECT("FebR!$A$6:$ZZ$1048576"), MATCH(AJ$1, FebR!$6:$6, 0), FALSE),
            0
        ) +
        IFERROR(
            VLOOKUP($A20, INDIRECT("MarR!$A$6:$ZZ$1048576"), MATCH(AJ$1, MarR!$6:$6, 0), FALSE),
            0
        ) +
        IFERROR(
            VLOOKUP($A20, INDIRECT("AbrR!$A$6:$ZZ$1048576"), MATCH(AJ$1, AbrR!$6:$6, 0), FALSE),
            0
        ) +
        IFERROR(
            VLOOKUP($A20, INDIRECT("MayR!$A$6:$ZZ$1048576"), MATCH(AJ$1, MayR!$6:$6, 0), FALSE),
            0
        ) +
        IFERROR(
            VLOOKUP($A20, INDIRECT("JunR!$A$6:$ZZ$1048576"), MATCH(AJ$1, JunR!$6:$6, 0), FALSE),
            0
        ) +
        IFERROR(
            VLOOKUP($A20, INDIRECT("JulR!$A$6:$ZZ$1048576"), MATCH(AJ$1, JulR!$6:$6, 0), FALSE),
            0
        ) +
        IFERROR(
            VLOOKUP($A20, INDIRECT("AgoR!$A$6:$ZZ$1048576"), MATCH(AJ$1, AgoR!$6:$6, 0), FALSE),
            0
        ) +
        IFERROR(
            VLOOKUP($A20, INDIRECT("SepR!$A$6:$ZZ$1048576"), MATCH(AJ$1, SepR!$6:$6, 0), FALSE),
            0
        ) +
        IFERROR(
            VLOOKUP($A20, INDIRECT("OctR!$A$6:$ZZ$1048576"), MATCH(AJ$1, OctR!$6:$6, 0), FALSE),
            0
        ) +
        IFERROR(
            VLOOKUP($A20, INDIRECT("NovR!$A$6:$ZZ$1048576"), MATCH(AJ$1, NovR!$6:$6, 0), FALSE),
            0
        ) +
        IFERROR(
            VLOOKUP($A20, INDIRECT("DicR!$A$6:$ZZ$1048576"), MATCH(AJ$1, DicR!$6:$6, 0), FALSE),
            0
        )
)</f>
        <v>0</v>
      </c>
      <c r="AK20" s="37">
        <f t="array" ref="AK20">SUM(
    IFERROR(
            VLOOKUP($A20, INDIRECT("EneR!$A$6:$ZZ$1048576"), MATCH(AK$1, EneR!$6:$6, 0), FALSE),
            0
        ) +
        IFERROR(
            VLOOKUP($A20, INDIRECT("FebR!$A$6:$ZZ$1048576"), MATCH(AK$1, FebR!$6:$6, 0), FALSE),
            0
        ) +
        IFERROR(
            VLOOKUP($A20, INDIRECT("MarR!$A$6:$ZZ$1048576"), MATCH(AK$1, MarR!$6:$6, 0), FALSE),
            0
        ) +
        IFERROR(
            VLOOKUP($A20, INDIRECT("AbrR!$A$6:$ZZ$1048576"), MATCH(AK$1, AbrR!$6:$6, 0), FALSE),
            0
        ) +
        IFERROR(
            VLOOKUP($A20, INDIRECT("MayR!$A$6:$ZZ$1048576"), MATCH(AK$1, MayR!$6:$6, 0), FALSE),
            0
        ) +
        IFERROR(
            VLOOKUP($A20, INDIRECT("JunR!$A$6:$ZZ$1048576"), MATCH(AK$1, JunR!$6:$6, 0), FALSE),
            0
        ) +
        IFERROR(
            VLOOKUP($A20, INDIRECT("JulR!$A$6:$ZZ$1048576"), MATCH(AK$1, JulR!$6:$6, 0), FALSE),
            0
        ) +
        IFERROR(
            VLOOKUP($A20, INDIRECT("AgoR!$A$6:$ZZ$1048576"), MATCH(AK$1, AgoR!$6:$6, 0), FALSE),
            0
        ) +
        IFERROR(
            VLOOKUP($A20, INDIRECT("SepR!$A$6:$ZZ$1048576"), MATCH(AK$1, SepR!$6:$6, 0), FALSE),
            0
        ) +
        IFERROR(
            VLOOKUP($A20, INDIRECT("OctR!$A$6:$ZZ$1048576"), MATCH(AK$1, OctR!$6:$6, 0), FALSE),
            0
        ) +
        IFERROR(
            VLOOKUP($A20, INDIRECT("NovR!$A$6:$ZZ$1048576"), MATCH(AK$1, NovR!$6:$6, 0), FALSE),
            0
        ) +
        IFERROR(
            VLOOKUP($A20, INDIRECT("DicR!$A$6:$ZZ$1048576"), MATCH(AK$1, DicR!$6:$6, 0), FALSE),
            0
        )
)</f>
        <v>0</v>
      </c>
      <c r="AL20" s="36">
        <f t="array" ref="AL20">SUM(
    IFERROR(
            VLOOKUP($A20, INDIRECT("EneR!$A$6:$ZZ$1048576"), MATCH(AL$1, EneR!$6:$6, 0), FALSE),
            0
        ) +
        IFERROR(
            VLOOKUP($A20, INDIRECT("FebR!$A$6:$ZZ$1048576"), MATCH(AL$1, FebR!$6:$6, 0), FALSE),
            0
        ) +
        IFERROR(
            VLOOKUP($A20, INDIRECT("MarR!$A$6:$ZZ$1048576"), MATCH(AL$1, MarR!$6:$6, 0), FALSE),
            0
        ) +
        IFERROR(
            VLOOKUP($A20, INDIRECT("AbrR!$A$6:$ZZ$1048576"), MATCH(AL$1, AbrR!$6:$6, 0), FALSE),
            0
        ) +
        IFERROR(
            VLOOKUP($A20, INDIRECT("MayR!$A$6:$ZZ$1048576"), MATCH(AL$1, MayR!$6:$6, 0), FALSE),
            0
        ) +
        IFERROR(
            VLOOKUP($A20, INDIRECT("JunR!$A$6:$ZZ$1048576"), MATCH(AL$1, JunR!$6:$6, 0), FALSE),
            0
        ) +
        IFERROR(
            VLOOKUP($A20, INDIRECT("JulR!$A$6:$ZZ$1048576"), MATCH(AL$1, JulR!$6:$6, 0), FALSE),
            0
        ) +
        IFERROR(
            VLOOKUP($A20, INDIRECT("AgoR!$A$6:$ZZ$1048576"), MATCH(AL$1, AgoR!$6:$6, 0), FALSE),
            0
        ) +
        IFERROR(
            VLOOKUP($A20, INDIRECT("SepR!$A$6:$ZZ$1048576"), MATCH(AL$1, SepR!$6:$6, 0), FALSE),
            0
        ) +
        IFERROR(
            VLOOKUP($A20, INDIRECT("OctR!$A$6:$ZZ$1048576"), MATCH(AL$1, OctR!$6:$6, 0), FALSE),
            0
        ) +
        IFERROR(
            VLOOKUP($A20, INDIRECT("NovR!$A$6:$ZZ$1048576"), MATCH(AL$1, NovR!$6:$6, 0), FALSE),
            0
        ) +
        IFERROR(
            VLOOKUP($A20, INDIRECT("DicR!$A$6:$ZZ$1048576"), MATCH(AL$1, DicR!$6:$6, 0), FALSE),
            0
        )
)</f>
        <v>0</v>
      </c>
      <c r="AM20" s="37">
        <f t="array" ref="AM20">SUM(
    IFERROR(
            VLOOKUP($A20, INDIRECT("EneR!$A$6:$ZZ$1048576"), MATCH(AM$1, EneR!$6:$6, 0), FALSE),
            0
        ) +
        IFERROR(
            VLOOKUP($A20, INDIRECT("FebR!$A$6:$ZZ$1048576"), MATCH(AM$1, FebR!$6:$6, 0), FALSE),
            0
        ) +
        IFERROR(
            VLOOKUP($A20, INDIRECT("MarR!$A$6:$ZZ$1048576"), MATCH(AM$1, MarR!$6:$6, 0), FALSE),
            0
        ) +
        IFERROR(
            VLOOKUP($A20, INDIRECT("AbrR!$A$6:$ZZ$1048576"), MATCH(AM$1, AbrR!$6:$6, 0), FALSE),
            0
        ) +
        IFERROR(
            VLOOKUP($A20, INDIRECT("MayR!$A$6:$ZZ$1048576"), MATCH(AM$1, MayR!$6:$6, 0), FALSE),
            0
        ) +
        IFERROR(
            VLOOKUP($A20, INDIRECT("JunR!$A$6:$ZZ$1048576"), MATCH(AM$1, JunR!$6:$6, 0), FALSE),
            0
        ) +
        IFERROR(
            VLOOKUP($A20, INDIRECT("JulR!$A$6:$ZZ$1048576"), MATCH(AM$1, JulR!$6:$6, 0), FALSE),
            0
        ) +
        IFERROR(
            VLOOKUP($A20, INDIRECT("AgoR!$A$6:$ZZ$1048576"), MATCH(AM$1, AgoR!$6:$6, 0), FALSE),
            0
        ) +
        IFERROR(
            VLOOKUP($A20, INDIRECT("SepR!$A$6:$ZZ$1048576"), MATCH(AM$1, SepR!$6:$6, 0), FALSE),
            0
        ) +
        IFERROR(
            VLOOKUP($A20, INDIRECT("OctR!$A$6:$ZZ$1048576"), MATCH(AM$1, OctR!$6:$6, 0), FALSE),
            0
        ) +
        IFERROR(
            VLOOKUP($A20, INDIRECT("NovR!$A$6:$ZZ$1048576"), MATCH(AM$1, NovR!$6:$6, 0), FALSE),
            0
        ) +
        IFERROR(
            VLOOKUP($A20, INDIRECT("DicR!$A$6:$ZZ$1048576"), MATCH(AM$1, DicR!$6:$6, 0), FALSE),
            0
        )
)</f>
        <v>0</v>
      </c>
      <c r="AN20" s="36">
        <f t="array" ref="AN20">SUM(
    IFERROR(
            VLOOKUP($A20, INDIRECT("EneR!$A$6:$ZZ$1048576"), MATCH(AN$1, EneR!$6:$6, 0), FALSE),
            0
        ) +
        IFERROR(
            VLOOKUP($A20, INDIRECT("FebR!$A$6:$ZZ$1048576"), MATCH(AN$1, FebR!$6:$6, 0), FALSE),
            0
        ) +
        IFERROR(
            VLOOKUP($A20, INDIRECT("MarR!$A$6:$ZZ$1048576"), MATCH(AN$1, MarR!$6:$6, 0), FALSE),
            0
        ) +
        IFERROR(
            VLOOKUP($A20, INDIRECT("AbrR!$A$6:$ZZ$1048576"), MATCH(AN$1, AbrR!$6:$6, 0), FALSE),
            0
        ) +
        IFERROR(
            VLOOKUP($A20, INDIRECT("MayR!$A$6:$ZZ$1048576"), MATCH(AN$1, MayR!$6:$6, 0), FALSE),
            0
        ) +
        IFERROR(
            VLOOKUP($A20, INDIRECT("JunR!$A$6:$ZZ$1048576"), MATCH(AN$1, JunR!$6:$6, 0), FALSE),
            0
        ) +
        IFERROR(
            VLOOKUP($A20, INDIRECT("JulR!$A$6:$ZZ$1048576"), MATCH(AN$1, JulR!$6:$6, 0), FALSE),
            0
        ) +
        IFERROR(
            VLOOKUP($A20, INDIRECT("AgoR!$A$6:$ZZ$1048576"), MATCH(AN$1, AgoR!$6:$6, 0), FALSE),
            0
        ) +
        IFERROR(
            VLOOKUP($A20, INDIRECT("SepR!$A$6:$ZZ$1048576"), MATCH(AN$1, SepR!$6:$6, 0), FALSE),
            0
        ) +
        IFERROR(
            VLOOKUP($A20, INDIRECT("OctR!$A$6:$ZZ$1048576"), MATCH(AN$1, OctR!$6:$6, 0), FALSE),
            0
        ) +
        IFERROR(
            VLOOKUP($A20, INDIRECT("NovR!$A$6:$ZZ$1048576"), MATCH(AN$1, NovR!$6:$6, 0), FALSE),
            0
        ) +
        IFERROR(
            VLOOKUP($A20, INDIRECT("DicR!$A$6:$ZZ$1048576"), MATCH(AN$1, DicR!$6:$6, 0), FALSE),
            0
        )
)</f>
        <v>0</v>
      </c>
      <c r="AO20" s="37">
        <f t="array" ref="AO20">SUM(
    IFERROR(
            VLOOKUP($A20, INDIRECT("EneR!$A$6:$ZZ$1048576"), MATCH(AO$1, EneR!$6:$6, 0), FALSE),
            0
        ) +
        IFERROR(
            VLOOKUP($A20, INDIRECT("FebR!$A$6:$ZZ$1048576"), MATCH(AO$1, FebR!$6:$6, 0), FALSE),
            0
        ) +
        IFERROR(
            VLOOKUP($A20, INDIRECT("MarR!$A$6:$ZZ$1048576"), MATCH(AO$1, MarR!$6:$6, 0), FALSE),
            0
        ) +
        IFERROR(
            VLOOKUP($A20, INDIRECT("AbrR!$A$6:$ZZ$1048576"), MATCH(AO$1, AbrR!$6:$6, 0), FALSE),
            0
        ) +
        IFERROR(
            VLOOKUP($A20, INDIRECT("MayR!$A$6:$ZZ$1048576"), MATCH(AO$1, MayR!$6:$6, 0), FALSE),
            0
        ) +
        IFERROR(
            VLOOKUP($A20, INDIRECT("JunR!$A$6:$ZZ$1048576"), MATCH(AO$1, JunR!$6:$6, 0), FALSE),
            0
        ) +
        IFERROR(
            VLOOKUP($A20, INDIRECT("JulR!$A$6:$ZZ$1048576"), MATCH(AO$1, JulR!$6:$6, 0), FALSE),
            0
        ) +
        IFERROR(
            VLOOKUP($A20, INDIRECT("AgoR!$A$6:$ZZ$1048576"), MATCH(AO$1, AgoR!$6:$6, 0), FALSE),
            0
        ) +
        IFERROR(
            VLOOKUP($A20, INDIRECT("SepR!$A$6:$ZZ$1048576"), MATCH(AO$1, SepR!$6:$6, 0), FALSE),
            0
        ) +
        IFERROR(
            VLOOKUP($A20, INDIRECT("OctR!$A$6:$ZZ$1048576"), MATCH(AO$1, OctR!$6:$6, 0), FALSE),
            0
        ) +
        IFERROR(
            VLOOKUP($A20, INDIRECT("NovR!$A$6:$ZZ$1048576"), MATCH(AO$1, NovR!$6:$6, 0), FALSE),
            0
        ) +
        IFERROR(
            VLOOKUP($A20, INDIRECT("DicR!$A$6:$ZZ$1048576"), MATCH(AO$1, DicR!$6:$6, 0), FALSE),
            0
        )
)</f>
        <v>0</v>
      </c>
      <c r="AP20" s="36">
        <f t="array" ref="AP20">SUM(
    IFERROR(
            VLOOKUP($A20, INDIRECT("EneR!$A$6:$ZZ$1048576"), MATCH(AP$1, EneR!$6:$6, 0), FALSE),
            0
        ) +
        IFERROR(
            VLOOKUP($A20, INDIRECT("FebR!$A$6:$ZZ$1048576"), MATCH(AP$1, FebR!$6:$6, 0), FALSE),
            0
        ) +
        IFERROR(
            VLOOKUP($A20, INDIRECT("MarR!$A$6:$ZZ$1048576"), MATCH(AP$1, MarR!$6:$6, 0), FALSE),
            0
        ) +
        IFERROR(
            VLOOKUP($A20, INDIRECT("AbrR!$A$6:$ZZ$1048576"), MATCH(AP$1, AbrR!$6:$6, 0), FALSE),
            0
        ) +
        IFERROR(
            VLOOKUP($A20, INDIRECT("MayR!$A$6:$ZZ$1048576"), MATCH(AP$1, MayR!$6:$6, 0), FALSE),
            0
        ) +
        IFERROR(
            VLOOKUP($A20, INDIRECT("JunR!$A$6:$ZZ$1048576"), MATCH(AP$1, JunR!$6:$6, 0), FALSE),
            0
        ) +
        IFERROR(
            VLOOKUP($A20, INDIRECT("JulR!$A$6:$ZZ$1048576"), MATCH(AP$1, JulR!$6:$6, 0), FALSE),
            0
        ) +
        IFERROR(
            VLOOKUP($A20, INDIRECT("AgoR!$A$6:$ZZ$1048576"), MATCH(AP$1, AgoR!$6:$6, 0), FALSE),
            0
        ) +
        IFERROR(
            VLOOKUP($A20, INDIRECT("SepR!$A$6:$ZZ$1048576"), MATCH(AP$1, SepR!$6:$6, 0), FALSE),
            0
        ) +
        IFERROR(
            VLOOKUP($A20, INDIRECT("OctR!$A$6:$ZZ$1048576"), MATCH(AP$1, OctR!$6:$6, 0), FALSE),
            0
        ) +
        IFERROR(
            VLOOKUP($A20, INDIRECT("NovR!$A$6:$ZZ$1048576"), MATCH(AP$1, NovR!$6:$6, 0), FALSE),
            0
        ) +
        IFERROR(
            VLOOKUP($A20, INDIRECT("DicR!$A$6:$ZZ$1048576"), MATCH(AP$1, DicR!$6:$6, 0), FALSE),
            0
        )
)</f>
        <v>0</v>
      </c>
      <c r="AQ20" s="37">
        <f t="array" ref="AQ20">SUM(
    IFERROR(
            VLOOKUP($A20, INDIRECT("EneR!$A$6:$ZZ$1048576"), MATCH(AQ$1, EneR!$6:$6, 0), FALSE),
            0
        ) +
        IFERROR(
            VLOOKUP($A20, INDIRECT("FebR!$A$6:$ZZ$1048576"), MATCH(AQ$1, FebR!$6:$6, 0), FALSE),
            0
        ) +
        IFERROR(
            VLOOKUP($A20, INDIRECT("MarR!$A$6:$ZZ$1048576"), MATCH(AQ$1, MarR!$6:$6, 0), FALSE),
            0
        ) +
        IFERROR(
            VLOOKUP($A20, INDIRECT("AbrR!$A$6:$ZZ$1048576"), MATCH(AQ$1, AbrR!$6:$6, 0), FALSE),
            0
        ) +
        IFERROR(
            VLOOKUP($A20, INDIRECT("MayR!$A$6:$ZZ$1048576"), MATCH(AQ$1, MayR!$6:$6, 0), FALSE),
            0
        ) +
        IFERROR(
            VLOOKUP($A20, INDIRECT("JunR!$A$6:$ZZ$1048576"), MATCH(AQ$1, JunR!$6:$6, 0), FALSE),
            0
        ) +
        IFERROR(
            VLOOKUP($A20, INDIRECT("JulR!$A$6:$ZZ$1048576"), MATCH(AQ$1, JulR!$6:$6, 0), FALSE),
            0
        ) +
        IFERROR(
            VLOOKUP($A20, INDIRECT("AgoR!$A$6:$ZZ$1048576"), MATCH(AQ$1, AgoR!$6:$6, 0), FALSE),
            0
        ) +
        IFERROR(
            VLOOKUP($A20, INDIRECT("SepR!$A$6:$ZZ$1048576"), MATCH(AQ$1, SepR!$6:$6, 0), FALSE),
            0
        ) +
        IFERROR(
            VLOOKUP($A20, INDIRECT("OctR!$A$6:$ZZ$1048576"), MATCH(AQ$1, OctR!$6:$6, 0), FALSE),
            0
        ) +
        IFERROR(
            VLOOKUP($A20, INDIRECT("NovR!$A$6:$ZZ$1048576"), MATCH(AQ$1, NovR!$6:$6, 0), FALSE),
            0
        ) +
        IFERROR(
            VLOOKUP($A20, INDIRECT("DicR!$A$6:$ZZ$1048576"), MATCH(AQ$1, DicR!$6:$6, 0), FALSE),
            0
        )
)</f>
        <v>0</v>
      </c>
      <c r="AR20" s="36">
        <f t="array" ref="AR20">SUM(
    IFERROR(
            VLOOKUP($A20, INDIRECT("EneR!$A$6:$ZZ$1048576"), MATCH(AR$1, EneR!$6:$6, 0), FALSE),
            0
        ) +
        IFERROR(
            VLOOKUP($A20, INDIRECT("FebR!$A$6:$ZZ$1048576"), MATCH(AR$1, FebR!$6:$6, 0), FALSE),
            0
        ) +
        IFERROR(
            VLOOKUP($A20, INDIRECT("MarR!$A$6:$ZZ$1048576"), MATCH(AR$1, MarR!$6:$6, 0), FALSE),
            0
        ) +
        IFERROR(
            VLOOKUP($A20, INDIRECT("AbrR!$A$6:$ZZ$1048576"), MATCH(AR$1, AbrR!$6:$6, 0), FALSE),
            0
        ) +
        IFERROR(
            VLOOKUP($A20, INDIRECT("MayR!$A$6:$ZZ$1048576"), MATCH(AR$1, MayR!$6:$6, 0), FALSE),
            0
        ) +
        IFERROR(
            VLOOKUP($A20, INDIRECT("JunR!$A$6:$ZZ$1048576"), MATCH(AR$1, JunR!$6:$6, 0), FALSE),
            0
        ) +
        IFERROR(
            VLOOKUP($A20, INDIRECT("JulR!$A$6:$ZZ$1048576"), MATCH(AR$1, JulR!$6:$6, 0), FALSE),
            0
        ) +
        IFERROR(
            VLOOKUP($A20, INDIRECT("AgoR!$A$6:$ZZ$1048576"), MATCH(AR$1, AgoR!$6:$6, 0), FALSE),
            0
        ) +
        IFERROR(
            VLOOKUP($A20, INDIRECT("SepR!$A$6:$ZZ$1048576"), MATCH(AR$1, SepR!$6:$6, 0), FALSE),
            0
        ) +
        IFERROR(
            VLOOKUP($A20, INDIRECT("OctR!$A$6:$ZZ$1048576"), MATCH(AR$1, OctR!$6:$6, 0), FALSE),
            0
        ) +
        IFERROR(
            VLOOKUP($A20, INDIRECT("NovR!$A$6:$ZZ$1048576"), MATCH(AR$1, NovR!$6:$6, 0), FALSE),
            0
        ) +
        IFERROR(
            VLOOKUP($A20, INDIRECT("DicR!$A$6:$ZZ$1048576"), MATCH(AR$1, DicR!$6:$6, 0), FALSE),
            0
        )
)</f>
        <v>0</v>
      </c>
      <c r="AS20" s="37">
        <f t="array" ref="AS20">SUM(
    IFERROR(
            VLOOKUP($A20, INDIRECT("EneR!$A$6:$ZZ$1048576"), MATCH(AS$1, EneR!$6:$6, 0), FALSE),
            0
        ) +
        IFERROR(
            VLOOKUP($A20, INDIRECT("FebR!$A$6:$ZZ$1048576"), MATCH(AS$1, FebR!$6:$6, 0), FALSE),
            0
        ) +
        IFERROR(
            VLOOKUP($A20, INDIRECT("MarR!$A$6:$ZZ$1048576"), MATCH(AS$1, MarR!$6:$6, 0), FALSE),
            0
        ) +
        IFERROR(
            VLOOKUP($A20, INDIRECT("AbrR!$A$6:$ZZ$1048576"), MATCH(AS$1, AbrR!$6:$6, 0), FALSE),
            0
        ) +
        IFERROR(
            VLOOKUP($A20, INDIRECT("MayR!$A$6:$ZZ$1048576"), MATCH(AS$1, MayR!$6:$6, 0), FALSE),
            0
        ) +
        IFERROR(
            VLOOKUP($A20, INDIRECT("JunR!$A$6:$ZZ$1048576"), MATCH(AS$1, JunR!$6:$6, 0), FALSE),
            0
        ) +
        IFERROR(
            VLOOKUP($A20, INDIRECT("JulR!$A$6:$ZZ$1048576"), MATCH(AS$1, JulR!$6:$6, 0), FALSE),
            0
        ) +
        IFERROR(
            VLOOKUP($A20, INDIRECT("AgoR!$A$6:$ZZ$1048576"), MATCH(AS$1, AgoR!$6:$6, 0), FALSE),
            0
        ) +
        IFERROR(
            VLOOKUP($A20, INDIRECT("SepR!$A$6:$ZZ$1048576"), MATCH(AS$1, SepR!$6:$6, 0), FALSE),
            0
        ) +
        IFERROR(
            VLOOKUP($A20, INDIRECT("OctR!$A$6:$ZZ$1048576"), MATCH(AS$1, OctR!$6:$6, 0), FALSE),
            0
        ) +
        IFERROR(
            VLOOKUP($A20, INDIRECT("NovR!$A$6:$ZZ$1048576"), MATCH(AS$1, NovR!$6:$6, 0), FALSE),
            0
        ) +
        IFERROR(
            VLOOKUP($A20, INDIRECT("DicR!$A$6:$ZZ$1048576"), MATCH(AS$1, DicR!$6:$6, 0), FALSE),
            0
        )
)</f>
        <v>0</v>
      </c>
      <c r="AT20" s="36">
        <f t="array" ref="AT20">SUM(
    IFERROR(
            VLOOKUP($A20, INDIRECT("EneR!$A$6:$ZZ$1048576"), MATCH(AT$1, EneR!$6:$6, 0), FALSE),
            0
        ) +
        IFERROR(
            VLOOKUP($A20, INDIRECT("FebR!$A$6:$ZZ$1048576"), MATCH(AT$1, FebR!$6:$6, 0), FALSE),
            0
        ) +
        IFERROR(
            VLOOKUP($A20, INDIRECT("MarR!$A$6:$ZZ$1048576"), MATCH(AT$1, MarR!$6:$6, 0), FALSE),
            0
        ) +
        IFERROR(
            VLOOKUP($A20, INDIRECT("AbrR!$A$6:$ZZ$1048576"), MATCH(AT$1, AbrR!$6:$6, 0), FALSE),
            0
        ) +
        IFERROR(
            VLOOKUP($A20, INDIRECT("MayR!$A$6:$ZZ$1048576"), MATCH(AT$1, MayR!$6:$6, 0), FALSE),
            0
        ) +
        IFERROR(
            VLOOKUP($A20, INDIRECT("JunR!$A$6:$ZZ$1048576"), MATCH(AT$1, JunR!$6:$6, 0), FALSE),
            0
        ) +
        IFERROR(
            VLOOKUP($A20, INDIRECT("JulR!$A$6:$ZZ$1048576"), MATCH(AT$1, JulR!$6:$6, 0), FALSE),
            0
        ) +
        IFERROR(
            VLOOKUP($A20, INDIRECT("AgoR!$A$6:$ZZ$1048576"), MATCH(AT$1, AgoR!$6:$6, 0), FALSE),
            0
        ) +
        IFERROR(
            VLOOKUP($A20, INDIRECT("SepR!$A$6:$ZZ$1048576"), MATCH(AT$1, SepR!$6:$6, 0), FALSE),
            0
        ) +
        IFERROR(
            VLOOKUP($A20, INDIRECT("OctR!$A$6:$ZZ$1048576"), MATCH(AT$1, OctR!$6:$6, 0), FALSE),
            0
        ) +
        IFERROR(
            VLOOKUP($A20, INDIRECT("NovR!$A$6:$ZZ$1048576"), MATCH(AT$1, NovR!$6:$6, 0), FALSE),
            0
        ) +
        IFERROR(
            VLOOKUP($A20, INDIRECT("DicR!$A$6:$ZZ$1048576"), MATCH(AT$1, DicR!$6:$6, 0), FALSE),
            0
        )
)</f>
        <v>0</v>
      </c>
      <c r="AU20" s="37">
        <f t="array" ref="AU20">SUM(
    IFERROR(
            VLOOKUP($A20, INDIRECT("EneR!$A$6:$ZZ$1048576"), MATCH(AU$1, EneR!$6:$6, 0), FALSE),
            0
        ) +
        IFERROR(
            VLOOKUP($A20, INDIRECT("FebR!$A$6:$ZZ$1048576"), MATCH(AU$1, FebR!$6:$6, 0), FALSE),
            0
        ) +
        IFERROR(
            VLOOKUP($A20, INDIRECT("MarR!$A$6:$ZZ$1048576"), MATCH(AU$1, MarR!$6:$6, 0), FALSE),
            0
        ) +
        IFERROR(
            VLOOKUP($A20, INDIRECT("AbrR!$A$6:$ZZ$1048576"), MATCH(AU$1, AbrR!$6:$6, 0), FALSE),
            0
        ) +
        IFERROR(
            VLOOKUP($A20, INDIRECT("MayR!$A$6:$ZZ$1048576"), MATCH(AU$1, MayR!$6:$6, 0), FALSE),
            0
        ) +
        IFERROR(
            VLOOKUP($A20, INDIRECT("JunR!$A$6:$ZZ$1048576"), MATCH(AU$1, JunR!$6:$6, 0), FALSE),
            0
        ) +
        IFERROR(
            VLOOKUP($A20, INDIRECT("JulR!$A$6:$ZZ$1048576"), MATCH(AU$1, JulR!$6:$6, 0), FALSE),
            0
        ) +
        IFERROR(
            VLOOKUP($A20, INDIRECT("AgoR!$A$6:$ZZ$1048576"), MATCH(AU$1, AgoR!$6:$6, 0), FALSE),
            0
        ) +
        IFERROR(
            VLOOKUP($A20, INDIRECT("SepR!$A$6:$ZZ$1048576"), MATCH(AU$1, SepR!$6:$6, 0), FALSE),
            0
        ) +
        IFERROR(
            VLOOKUP($A20, INDIRECT("OctR!$A$6:$ZZ$1048576"), MATCH(AU$1, OctR!$6:$6, 0), FALSE),
            0
        ) +
        IFERROR(
            VLOOKUP($A20, INDIRECT("NovR!$A$6:$ZZ$1048576"), MATCH(AU$1, NovR!$6:$6, 0), FALSE),
            0
        ) +
        IFERROR(
            VLOOKUP($A20, INDIRECT("DicR!$A$6:$ZZ$1048576"), MATCH(AU$1, DicR!$6:$6, 0), FALSE),
            0
        )
)</f>
        <v>0</v>
      </c>
      <c r="AV20" s="36">
        <f t="array" ref="AV20">SUM(
    IFERROR(
            VLOOKUP($A20, INDIRECT("EneR!$A$6:$ZZ$1048576"), MATCH(AV$1, EneR!$6:$6, 0), FALSE),
            0
        ) +
        IFERROR(
            VLOOKUP($A20, INDIRECT("FebR!$A$6:$ZZ$1048576"), MATCH(AV$1, FebR!$6:$6, 0), FALSE),
            0
        ) +
        IFERROR(
            VLOOKUP($A20, INDIRECT("MarR!$A$6:$ZZ$1048576"), MATCH(AV$1, MarR!$6:$6, 0), FALSE),
            0
        ) +
        IFERROR(
            VLOOKUP($A20, INDIRECT("AbrR!$A$6:$ZZ$1048576"), MATCH(AV$1, AbrR!$6:$6, 0), FALSE),
            0
        ) +
        IFERROR(
            VLOOKUP($A20, INDIRECT("MayR!$A$6:$ZZ$1048576"), MATCH(AV$1, MayR!$6:$6, 0), FALSE),
            0
        ) +
        IFERROR(
            VLOOKUP($A20, INDIRECT("JunR!$A$6:$ZZ$1048576"), MATCH(AV$1, JunR!$6:$6, 0), FALSE),
            0
        ) +
        IFERROR(
            VLOOKUP($A20, INDIRECT("JulR!$A$6:$ZZ$1048576"), MATCH(AV$1, JulR!$6:$6, 0), FALSE),
            0
        ) +
        IFERROR(
            VLOOKUP($A20, INDIRECT("AgoR!$A$6:$ZZ$1048576"), MATCH(AV$1, AgoR!$6:$6, 0), FALSE),
            0
        ) +
        IFERROR(
            VLOOKUP($A20, INDIRECT("SepR!$A$6:$ZZ$1048576"), MATCH(AV$1, SepR!$6:$6, 0), FALSE),
            0
        ) +
        IFERROR(
            VLOOKUP($A20, INDIRECT("OctR!$A$6:$ZZ$1048576"), MATCH(AV$1, OctR!$6:$6, 0), FALSE),
            0
        ) +
        IFERROR(
            VLOOKUP($A20, INDIRECT("NovR!$A$6:$ZZ$1048576"), MATCH(AV$1, NovR!$6:$6, 0), FALSE),
            0
        ) +
        IFERROR(
            VLOOKUP($A20, INDIRECT("DicR!$A$6:$ZZ$1048576"), MATCH(AV$1, DicR!$6:$6, 0), FALSE),
            0
        )
)</f>
        <v>0</v>
      </c>
      <c r="AW20" s="37">
        <f t="array" ref="AW20">SUM(
    IFERROR(
            VLOOKUP($A20, INDIRECT("EneR!$A$6:$ZZ$1048576"), MATCH(AW$1, EneR!$6:$6, 0), FALSE),
            0
        ) +
        IFERROR(
            VLOOKUP($A20, INDIRECT("FebR!$A$6:$ZZ$1048576"), MATCH(AW$1, FebR!$6:$6, 0), FALSE),
            0
        ) +
        IFERROR(
            VLOOKUP($A20, INDIRECT("MarR!$A$6:$ZZ$1048576"), MATCH(AW$1, MarR!$6:$6, 0), FALSE),
            0
        ) +
        IFERROR(
            VLOOKUP($A20, INDIRECT("AbrR!$A$6:$ZZ$1048576"), MATCH(AW$1, AbrR!$6:$6, 0), FALSE),
            0
        ) +
        IFERROR(
            VLOOKUP($A20, INDIRECT("MayR!$A$6:$ZZ$1048576"), MATCH(AW$1, MayR!$6:$6, 0), FALSE),
            0
        ) +
        IFERROR(
            VLOOKUP($A20, INDIRECT("JunR!$A$6:$ZZ$1048576"), MATCH(AW$1, JunR!$6:$6, 0), FALSE),
            0
        ) +
        IFERROR(
            VLOOKUP($A20, INDIRECT("JulR!$A$6:$ZZ$1048576"), MATCH(AW$1, JulR!$6:$6, 0), FALSE),
            0
        ) +
        IFERROR(
            VLOOKUP($A20, INDIRECT("AgoR!$A$6:$ZZ$1048576"), MATCH(AW$1, AgoR!$6:$6, 0), FALSE),
            0
        ) +
        IFERROR(
            VLOOKUP($A20, INDIRECT("SepR!$A$6:$ZZ$1048576"), MATCH(AW$1, SepR!$6:$6, 0), FALSE),
            0
        ) +
        IFERROR(
            VLOOKUP($A20, INDIRECT("OctR!$A$6:$ZZ$1048576"), MATCH(AW$1, OctR!$6:$6, 0), FALSE),
            0
        ) +
        IFERROR(
            VLOOKUP($A20, INDIRECT("NovR!$A$6:$ZZ$1048576"), MATCH(AW$1, NovR!$6:$6, 0), FALSE),
            0
        ) +
        IFERROR(
            VLOOKUP($A20, INDIRECT("DicR!$A$6:$ZZ$1048576"), MATCH(AW$1, DicR!$6:$6, 0), FALSE),
            0
        )
)</f>
        <v>0</v>
      </c>
      <c r="AX20" s="36">
        <f t="array" ref="AX20">SUM(
    IFERROR(
            VLOOKUP($A20, INDIRECT("EneR!$A$6:$ZZ$1048576"), MATCH(AX$1, EneR!$6:$6, 0), FALSE),
            0
        ) +
        IFERROR(
            VLOOKUP($A20, INDIRECT("FebR!$A$6:$ZZ$1048576"), MATCH(AX$1, FebR!$6:$6, 0), FALSE),
            0
        ) +
        IFERROR(
            VLOOKUP($A20, INDIRECT("MarR!$A$6:$ZZ$1048576"), MATCH(AX$1, MarR!$6:$6, 0), FALSE),
            0
        ) +
        IFERROR(
            VLOOKUP($A20, INDIRECT("AbrR!$A$6:$ZZ$1048576"), MATCH(AX$1, AbrR!$6:$6, 0), FALSE),
            0
        ) +
        IFERROR(
            VLOOKUP($A20, INDIRECT("MayR!$A$6:$ZZ$1048576"), MATCH(AX$1, MayR!$6:$6, 0), FALSE),
            0
        ) +
        IFERROR(
            VLOOKUP($A20, INDIRECT("JunR!$A$6:$ZZ$1048576"), MATCH(AX$1, JunR!$6:$6, 0), FALSE),
            0
        ) +
        IFERROR(
            VLOOKUP($A20, INDIRECT("JulR!$A$6:$ZZ$1048576"), MATCH(AX$1, JulR!$6:$6, 0), FALSE),
            0
        ) +
        IFERROR(
            VLOOKUP($A20, INDIRECT("AgoR!$A$6:$ZZ$1048576"), MATCH(AX$1, AgoR!$6:$6, 0), FALSE),
            0
        ) +
        IFERROR(
            VLOOKUP($A20, INDIRECT("SepR!$A$6:$ZZ$1048576"), MATCH(AX$1, SepR!$6:$6, 0), FALSE),
            0
        ) +
        IFERROR(
            VLOOKUP($A20, INDIRECT("OctR!$A$6:$ZZ$1048576"), MATCH(AX$1, OctR!$6:$6, 0), FALSE),
            0
        ) +
        IFERROR(
            VLOOKUP($A20, INDIRECT("NovR!$A$6:$ZZ$1048576"), MATCH(AX$1, NovR!$6:$6, 0), FALSE),
            0
        ) +
        IFERROR(
            VLOOKUP($A20, INDIRECT("DicR!$A$6:$ZZ$1048576"), MATCH(AX$1, DicR!$6:$6, 0), FALSE),
            0
        )
)</f>
        <v>0</v>
      </c>
      <c r="AY20" s="37">
        <f t="array" ref="AY20">SUM(
    IFERROR(
            VLOOKUP($A20, INDIRECT("EneR!$A$6:$ZZ$1048576"), MATCH(AY$1, EneR!$6:$6, 0), FALSE),
            0
        ) +
        IFERROR(
            VLOOKUP($A20, INDIRECT("FebR!$A$6:$ZZ$1048576"), MATCH(AY$1, FebR!$6:$6, 0), FALSE),
            0
        ) +
        IFERROR(
            VLOOKUP($A20, INDIRECT("MarR!$A$6:$ZZ$1048576"), MATCH(AY$1, MarR!$6:$6, 0), FALSE),
            0
        ) +
        IFERROR(
            VLOOKUP($A20, INDIRECT("AbrR!$A$6:$ZZ$1048576"), MATCH(AY$1, AbrR!$6:$6, 0), FALSE),
            0
        ) +
        IFERROR(
            VLOOKUP($A20, INDIRECT("MayR!$A$6:$ZZ$1048576"), MATCH(AY$1, MayR!$6:$6, 0), FALSE),
            0
        ) +
        IFERROR(
            VLOOKUP($A20, INDIRECT("JunR!$A$6:$ZZ$1048576"), MATCH(AY$1, JunR!$6:$6, 0), FALSE),
            0
        ) +
        IFERROR(
            VLOOKUP($A20, INDIRECT("JulR!$A$6:$ZZ$1048576"), MATCH(AY$1, JulR!$6:$6, 0), FALSE),
            0
        ) +
        IFERROR(
            VLOOKUP($A20, INDIRECT("AgoR!$A$6:$ZZ$1048576"), MATCH(AY$1, AgoR!$6:$6, 0), FALSE),
            0
        ) +
        IFERROR(
            VLOOKUP($A20, INDIRECT("SepR!$A$6:$ZZ$1048576"), MATCH(AY$1, SepR!$6:$6, 0), FALSE),
            0
        ) +
        IFERROR(
            VLOOKUP($A20, INDIRECT("OctR!$A$6:$ZZ$1048576"), MATCH(AY$1, OctR!$6:$6, 0), FALSE),
            0
        ) +
        IFERROR(
            VLOOKUP($A20, INDIRECT("NovR!$A$6:$ZZ$1048576"), MATCH(AY$1, NovR!$6:$6, 0), FALSE),
            0
        ) +
        IFERROR(
            VLOOKUP($A20, INDIRECT("DicR!$A$6:$ZZ$1048576"), MATCH(AY$1, DicR!$6:$6, 0), FALSE),
            0
        )
)</f>
        <v>0</v>
      </c>
      <c r="AZ20" s="37"/>
    </row>
    <row r="21" ht="15.75" customHeight="1">
      <c r="A21" s="12" t="str">
        <f>Menus!R13</f>
        <v/>
      </c>
      <c r="B21" s="32">
        <f t="shared" si="4"/>
        <v>0</v>
      </c>
      <c r="C21" s="33" t="str">
        <f t="shared" si="5"/>
        <v/>
      </c>
      <c r="D21" s="34">
        <f t="array" ref="D21">SUM(
    IFERROR(
            VLOOKUP($A21, INDIRECT("EneR!$A$6:$ZZ$1048576"), MATCH(D$1, EneR!$6:$6, 0), FALSE),
            0
        ) +
        IFERROR(
            VLOOKUP($A21, INDIRECT("FebR!$A$6:$ZZ$1048576"), MATCH(D$1, FebR!$6:$6, 0), FALSE),
            0
        ) +
        IFERROR(
            VLOOKUP($A21, INDIRECT("MarR!$A$6:$ZZ$1048576"), MATCH(D$1, MarR!$6:$6, 0), FALSE),
            0
        ) +
        IFERROR(
            VLOOKUP($A21, INDIRECT("AbrR!$A$6:$ZZ$1048576"), MATCH(D$1, AbrR!$6:$6, 0), FALSE),
            0
        ) +
        IFERROR(
            VLOOKUP($A21, INDIRECT("MayR!$A$6:$ZZ$1048576"), MATCH(D$1, MayR!$6:$6, 0), FALSE),
            0
        ) +
        IFERROR(
            VLOOKUP($A21, INDIRECT("JunR!$A$6:$ZZ$1048576"), MATCH(D$1, JunR!$6:$6, 0), FALSE),
            0
        ) +
        IFERROR(
            VLOOKUP($A21, INDIRECT("JulR!$A$6:$ZZ$1048576"), MATCH(D$1, JulR!$6:$6, 0), FALSE),
            0
        ) +
        IFERROR(
            VLOOKUP($A21, INDIRECT("AgoR!$A$6:$ZZ$1048576"), MATCH(D$1, AgoR!$6:$6, 0), FALSE),
            0
        ) +
        IFERROR(
            VLOOKUP($A21, INDIRECT("SepR!$A$6:$ZZ$1048576"), MATCH(D$1, SepR!$6:$6, 0), FALSE),
            0
        ) +
        IFERROR(
            VLOOKUP($A21, INDIRECT("OctR!$A$6:$ZZ$1048576"), MATCH(D$1, OctR!$6:$6, 0), FALSE),
            0
        ) +
        IFERROR(
            VLOOKUP($A21, INDIRECT("NovR!$A$6:$ZZ$1048576"), MATCH(D$1, NovR!$6:$6, 0), FALSE),
            0
        ) +
        IFERROR(
            VLOOKUP($A21, INDIRECT("DicR!$A$6:$ZZ$1048576"), MATCH(D$1, DicR!$6:$6, 0), FALSE),
            0
        )
)</f>
        <v>0</v>
      </c>
      <c r="E21" s="35">
        <f t="array" ref="E21">SUM(
    IFERROR(
            VLOOKUP($A21, INDIRECT("EneR!$A$6:$ZZ$1048576"), MATCH(E$1, EneR!$6:$6, 0), FALSE),
            0
        ) +
        IFERROR(
            VLOOKUP($A21, INDIRECT("FebR!$A$6:$ZZ$1048576"), MATCH(E$1, FebR!$6:$6, 0), FALSE),
            0
        ) +
        IFERROR(
            VLOOKUP($A21, INDIRECT("MarR!$A$6:$ZZ$1048576"), MATCH(E$1, MarR!$6:$6, 0), FALSE),
            0
        ) +
        IFERROR(
            VLOOKUP($A21, INDIRECT("AbrR!$A$6:$ZZ$1048576"), MATCH(E$1, AbrR!$6:$6, 0), FALSE),
            0
        ) +
        IFERROR(
            VLOOKUP($A21, INDIRECT("MayR!$A$6:$ZZ$1048576"), MATCH(E$1, MayR!$6:$6, 0), FALSE),
            0
        ) +
        IFERROR(
            VLOOKUP($A21, INDIRECT("JunR!$A$6:$ZZ$1048576"), MATCH(E$1, JunR!$6:$6, 0), FALSE),
            0
        ) +
        IFERROR(
            VLOOKUP($A21, INDIRECT("JulR!$A$6:$ZZ$1048576"), MATCH(E$1, JulR!$6:$6, 0), FALSE),
            0
        ) +
        IFERROR(
            VLOOKUP($A21, INDIRECT("AgoR!$A$6:$ZZ$1048576"), MATCH(E$1, AgoR!$6:$6, 0), FALSE),
            0
        ) +
        IFERROR(
            VLOOKUP($A21, INDIRECT("SepR!$A$6:$ZZ$1048576"), MATCH(E$1, SepR!$6:$6, 0), FALSE),
            0
        ) +
        IFERROR(
            VLOOKUP($A21, INDIRECT("OctR!$A$6:$ZZ$1048576"), MATCH(E$1, OctR!$6:$6, 0), FALSE),
            0
        ) +
        IFERROR(
            VLOOKUP($A21, INDIRECT("NovR!$A$6:$ZZ$1048576"), MATCH(E$1, NovR!$6:$6, 0), FALSE),
            0
        ) +
        IFERROR(
            VLOOKUP($A21, INDIRECT("DicR!$A$6:$ZZ$1048576"), MATCH(E$1, DicR!$6:$6, 0), FALSE),
            0
        )
)</f>
        <v>0</v>
      </c>
      <c r="F21" s="32">
        <f t="array" ref="F21">SUM(
    IFERROR(
            VLOOKUP($A21, INDIRECT("EneR!$A$6:$ZZ$1048576"), MATCH(F$1, EneR!$6:$6, 0), FALSE),
            0
        ) +
        IFERROR(
            VLOOKUP($A21, INDIRECT("FebR!$A$6:$ZZ$1048576"), MATCH(F$1, FebR!$6:$6, 0), FALSE),
            0
        ) +
        IFERROR(
            VLOOKUP($A21, INDIRECT("MarR!$A$6:$ZZ$1048576"), MATCH(F$1, MarR!$6:$6, 0), FALSE),
            0
        ) +
        IFERROR(
            VLOOKUP($A21, INDIRECT("AbrR!$A$6:$ZZ$1048576"), MATCH(F$1, AbrR!$6:$6, 0), FALSE),
            0
        ) +
        IFERROR(
            VLOOKUP($A21, INDIRECT("MayR!$A$6:$ZZ$1048576"), MATCH(F$1, MayR!$6:$6, 0), FALSE),
            0
        ) +
        IFERROR(
            VLOOKUP($A21, INDIRECT("JunR!$A$6:$ZZ$1048576"), MATCH(F$1, JunR!$6:$6, 0), FALSE),
            0
        ) +
        IFERROR(
            VLOOKUP($A21, INDIRECT("JulR!$A$6:$ZZ$1048576"), MATCH(F$1, JulR!$6:$6, 0), FALSE),
            0
        ) +
        IFERROR(
            VLOOKUP($A21, INDIRECT("AgoR!$A$6:$ZZ$1048576"), MATCH(F$1, AgoR!$6:$6, 0), FALSE),
            0
        ) +
        IFERROR(
            VLOOKUP($A21, INDIRECT("SepR!$A$6:$ZZ$1048576"), MATCH(F$1, SepR!$6:$6, 0), FALSE),
            0
        ) +
        IFERROR(
            VLOOKUP($A21, INDIRECT("OctR!$A$6:$ZZ$1048576"), MATCH(F$1, OctR!$6:$6, 0), FALSE),
            0
        ) +
        IFERROR(
            VLOOKUP($A21, INDIRECT("NovR!$A$6:$ZZ$1048576"), MATCH(F$1, NovR!$6:$6, 0), FALSE),
            0
        ) +
        IFERROR(
            VLOOKUP($A21, INDIRECT("DicR!$A$6:$ZZ$1048576"), MATCH(F$1, DicR!$6:$6, 0), FALSE),
            0
        )
)</f>
        <v>0</v>
      </c>
      <c r="G21" s="35">
        <f t="array" ref="G21">SUM(
    IFERROR(
            VLOOKUP($A21, INDIRECT("EneR!$A$6:$ZZ$1048576"), MATCH(G$1, EneR!$6:$6, 0), FALSE),
            0
        ) +
        IFERROR(
            VLOOKUP($A21, INDIRECT("FebR!$A$6:$ZZ$1048576"), MATCH(G$1, FebR!$6:$6, 0), FALSE),
            0
        ) +
        IFERROR(
            VLOOKUP($A21, INDIRECT("MarR!$A$6:$ZZ$1048576"), MATCH(G$1, MarR!$6:$6, 0), FALSE),
            0
        ) +
        IFERROR(
            VLOOKUP($A21, INDIRECT("AbrR!$A$6:$ZZ$1048576"), MATCH(G$1, AbrR!$6:$6, 0), FALSE),
            0
        ) +
        IFERROR(
            VLOOKUP($A21, INDIRECT("MayR!$A$6:$ZZ$1048576"), MATCH(G$1, MayR!$6:$6, 0), FALSE),
            0
        ) +
        IFERROR(
            VLOOKUP($A21, INDIRECT("JunR!$A$6:$ZZ$1048576"), MATCH(G$1, JunR!$6:$6, 0), FALSE),
            0
        ) +
        IFERROR(
            VLOOKUP($A21, INDIRECT("JulR!$A$6:$ZZ$1048576"), MATCH(G$1, JulR!$6:$6, 0), FALSE),
            0
        ) +
        IFERROR(
            VLOOKUP($A21, INDIRECT("AgoR!$A$6:$ZZ$1048576"), MATCH(G$1, AgoR!$6:$6, 0), FALSE),
            0
        ) +
        IFERROR(
            VLOOKUP($A21, INDIRECT("SepR!$A$6:$ZZ$1048576"), MATCH(G$1, SepR!$6:$6, 0), FALSE),
            0
        ) +
        IFERROR(
            VLOOKUP($A21, INDIRECT("OctR!$A$6:$ZZ$1048576"), MATCH(G$1, OctR!$6:$6, 0), FALSE),
            0
        ) +
        IFERROR(
            VLOOKUP($A21, INDIRECT("NovR!$A$6:$ZZ$1048576"), MATCH(G$1, NovR!$6:$6, 0), FALSE),
            0
        ) +
        IFERROR(
            VLOOKUP($A21, INDIRECT("DicR!$A$6:$ZZ$1048576"), MATCH(G$1, DicR!$6:$6, 0), FALSE),
            0
        )
)</f>
        <v>0</v>
      </c>
      <c r="H21" s="32">
        <f t="array" ref="H21">SUM(
    IFERROR(
            VLOOKUP($A21, INDIRECT("EneR!$A$6:$ZZ$1048576"), MATCH(H$1, EneR!$6:$6, 0), FALSE),
            0
        ) +
        IFERROR(
            VLOOKUP($A21, INDIRECT("FebR!$A$6:$ZZ$1048576"), MATCH(H$1, FebR!$6:$6, 0), FALSE),
            0
        ) +
        IFERROR(
            VLOOKUP($A21, INDIRECT("MarR!$A$6:$ZZ$1048576"), MATCH(H$1, MarR!$6:$6, 0), FALSE),
            0
        ) +
        IFERROR(
            VLOOKUP($A21, INDIRECT("AbrR!$A$6:$ZZ$1048576"), MATCH(H$1, AbrR!$6:$6, 0), FALSE),
            0
        ) +
        IFERROR(
            VLOOKUP($A21, INDIRECT("MayR!$A$6:$ZZ$1048576"), MATCH(H$1, MayR!$6:$6, 0), FALSE),
            0
        ) +
        IFERROR(
            VLOOKUP($A21, INDIRECT("JunR!$A$6:$ZZ$1048576"), MATCH(H$1, JunR!$6:$6, 0), FALSE),
            0
        ) +
        IFERROR(
            VLOOKUP($A21, INDIRECT("JulR!$A$6:$ZZ$1048576"), MATCH(H$1, JulR!$6:$6, 0), FALSE),
            0
        ) +
        IFERROR(
            VLOOKUP($A21, INDIRECT("AgoR!$A$6:$ZZ$1048576"), MATCH(H$1, AgoR!$6:$6, 0), FALSE),
            0
        ) +
        IFERROR(
            VLOOKUP($A21, INDIRECT("SepR!$A$6:$ZZ$1048576"), MATCH(H$1, SepR!$6:$6, 0), FALSE),
            0
        ) +
        IFERROR(
            VLOOKUP($A21, INDIRECT("OctR!$A$6:$ZZ$1048576"), MATCH(H$1, OctR!$6:$6, 0), FALSE),
            0
        ) +
        IFERROR(
            VLOOKUP($A21, INDIRECT("NovR!$A$6:$ZZ$1048576"), MATCH(H$1, NovR!$6:$6, 0), FALSE),
            0
        ) +
        IFERROR(
            VLOOKUP($A21, INDIRECT("DicR!$A$6:$ZZ$1048576"), MATCH(H$1, DicR!$6:$6, 0), FALSE),
            0
        )
)</f>
        <v>0</v>
      </c>
      <c r="I21" s="35">
        <f t="array" ref="I21">SUM(
    IFERROR(
            VLOOKUP($A21, INDIRECT("EneR!$A$6:$ZZ$1048576"), MATCH(I$1, EneR!$6:$6, 0), FALSE),
            0
        ) +
        IFERROR(
            VLOOKUP($A21, INDIRECT("FebR!$A$6:$ZZ$1048576"), MATCH(I$1, FebR!$6:$6, 0), FALSE),
            0
        ) +
        IFERROR(
            VLOOKUP($A21, INDIRECT("MarR!$A$6:$ZZ$1048576"), MATCH(I$1, MarR!$6:$6, 0), FALSE),
            0
        ) +
        IFERROR(
            VLOOKUP($A21, INDIRECT("AbrR!$A$6:$ZZ$1048576"), MATCH(I$1, AbrR!$6:$6, 0), FALSE),
            0
        ) +
        IFERROR(
            VLOOKUP($A21, INDIRECT("MayR!$A$6:$ZZ$1048576"), MATCH(I$1, MayR!$6:$6, 0), FALSE),
            0
        ) +
        IFERROR(
            VLOOKUP($A21, INDIRECT("JunR!$A$6:$ZZ$1048576"), MATCH(I$1, JunR!$6:$6, 0), FALSE),
            0
        ) +
        IFERROR(
            VLOOKUP($A21, INDIRECT("JulR!$A$6:$ZZ$1048576"), MATCH(I$1, JulR!$6:$6, 0), FALSE),
            0
        ) +
        IFERROR(
            VLOOKUP($A21, INDIRECT("AgoR!$A$6:$ZZ$1048576"), MATCH(I$1, AgoR!$6:$6, 0), FALSE),
            0
        ) +
        IFERROR(
            VLOOKUP($A21, INDIRECT("SepR!$A$6:$ZZ$1048576"), MATCH(I$1, SepR!$6:$6, 0), FALSE),
            0
        ) +
        IFERROR(
            VLOOKUP($A21, INDIRECT("OctR!$A$6:$ZZ$1048576"), MATCH(I$1, OctR!$6:$6, 0), FALSE),
            0
        ) +
        IFERROR(
            VLOOKUP($A21, INDIRECT("NovR!$A$6:$ZZ$1048576"), MATCH(I$1, NovR!$6:$6, 0), FALSE),
            0
        ) +
        IFERROR(
            VLOOKUP($A21, INDIRECT("DicR!$A$6:$ZZ$1048576"), MATCH(I$1, DicR!$6:$6, 0), FALSE),
            0
        )
)</f>
        <v>0</v>
      </c>
      <c r="J21" s="32">
        <f t="array" ref="J21">SUM(
    IFERROR(
            VLOOKUP($A21, INDIRECT("EneR!$A$6:$ZZ$1048576"), MATCH(J$1, EneR!$6:$6, 0), FALSE),
            0
        ) +
        IFERROR(
            VLOOKUP($A21, INDIRECT("FebR!$A$6:$ZZ$1048576"), MATCH(J$1, FebR!$6:$6, 0), FALSE),
            0
        ) +
        IFERROR(
            VLOOKUP($A21, INDIRECT("MarR!$A$6:$ZZ$1048576"), MATCH(J$1, MarR!$6:$6, 0), FALSE),
            0
        ) +
        IFERROR(
            VLOOKUP($A21, INDIRECT("AbrR!$A$6:$ZZ$1048576"), MATCH(J$1, AbrR!$6:$6, 0), FALSE),
            0
        ) +
        IFERROR(
            VLOOKUP($A21, INDIRECT("MayR!$A$6:$ZZ$1048576"), MATCH(J$1, MayR!$6:$6, 0), FALSE),
            0
        ) +
        IFERROR(
            VLOOKUP($A21, INDIRECT("JunR!$A$6:$ZZ$1048576"), MATCH(J$1, JunR!$6:$6, 0), FALSE),
            0
        ) +
        IFERROR(
            VLOOKUP($A21, INDIRECT("JulR!$A$6:$ZZ$1048576"), MATCH(J$1, JulR!$6:$6, 0), FALSE),
            0
        ) +
        IFERROR(
            VLOOKUP($A21, INDIRECT("AgoR!$A$6:$ZZ$1048576"), MATCH(J$1, AgoR!$6:$6, 0), FALSE),
            0
        ) +
        IFERROR(
            VLOOKUP($A21, INDIRECT("SepR!$A$6:$ZZ$1048576"), MATCH(J$1, SepR!$6:$6, 0), FALSE),
            0
        ) +
        IFERROR(
            VLOOKUP($A21, INDIRECT("OctR!$A$6:$ZZ$1048576"), MATCH(J$1, OctR!$6:$6, 0), FALSE),
            0
        ) +
        IFERROR(
            VLOOKUP($A21, INDIRECT("NovR!$A$6:$ZZ$1048576"), MATCH(J$1, NovR!$6:$6, 0), FALSE),
            0
        ) +
        IFERROR(
            VLOOKUP($A21, INDIRECT("DicR!$A$6:$ZZ$1048576"), MATCH(J$1, DicR!$6:$6, 0), FALSE),
            0
        )
)</f>
        <v>0</v>
      </c>
      <c r="K21" s="35">
        <f t="array" ref="K21">SUM(
    IFERROR(
            VLOOKUP($A21, INDIRECT("EneR!$A$6:$ZZ$1048576"), MATCH(K$1, EneR!$6:$6, 0), FALSE),
            0
        ) +
        IFERROR(
            VLOOKUP($A21, INDIRECT("FebR!$A$6:$ZZ$1048576"), MATCH(K$1, FebR!$6:$6, 0), FALSE),
            0
        ) +
        IFERROR(
            VLOOKUP($A21, INDIRECT("MarR!$A$6:$ZZ$1048576"), MATCH(K$1, MarR!$6:$6, 0), FALSE),
            0
        ) +
        IFERROR(
            VLOOKUP($A21, INDIRECT("AbrR!$A$6:$ZZ$1048576"), MATCH(K$1, AbrR!$6:$6, 0), FALSE),
            0
        ) +
        IFERROR(
            VLOOKUP($A21, INDIRECT("MayR!$A$6:$ZZ$1048576"), MATCH(K$1, MayR!$6:$6, 0), FALSE),
            0
        ) +
        IFERROR(
            VLOOKUP($A21, INDIRECT("JunR!$A$6:$ZZ$1048576"), MATCH(K$1, JunR!$6:$6, 0), FALSE),
            0
        ) +
        IFERROR(
            VLOOKUP($A21, INDIRECT("JulR!$A$6:$ZZ$1048576"), MATCH(K$1, JulR!$6:$6, 0), FALSE),
            0
        ) +
        IFERROR(
            VLOOKUP($A21, INDIRECT("AgoR!$A$6:$ZZ$1048576"), MATCH(K$1, AgoR!$6:$6, 0), FALSE),
            0
        ) +
        IFERROR(
            VLOOKUP($A21, INDIRECT("SepR!$A$6:$ZZ$1048576"), MATCH(K$1, SepR!$6:$6, 0), FALSE),
            0
        ) +
        IFERROR(
            VLOOKUP($A21, INDIRECT("OctR!$A$6:$ZZ$1048576"), MATCH(K$1, OctR!$6:$6, 0), FALSE),
            0
        ) +
        IFERROR(
            VLOOKUP($A21, INDIRECT("NovR!$A$6:$ZZ$1048576"), MATCH(K$1, NovR!$6:$6, 0), FALSE),
            0
        ) +
        IFERROR(
            VLOOKUP($A21, INDIRECT("DicR!$A$6:$ZZ$1048576"), MATCH(K$1, DicR!$6:$6, 0), FALSE),
            0
        )
)</f>
        <v>0</v>
      </c>
      <c r="L21" s="32">
        <f t="array" ref="L21">SUM(
    IFERROR(
            VLOOKUP($A21, INDIRECT("EneR!$A$6:$ZZ$1048576"), MATCH(L$1, EneR!$6:$6, 0), FALSE),
            0
        ) +
        IFERROR(
            VLOOKUP($A21, INDIRECT("FebR!$A$6:$ZZ$1048576"), MATCH(L$1, FebR!$6:$6, 0), FALSE),
            0
        ) +
        IFERROR(
            VLOOKUP($A21, INDIRECT("MarR!$A$6:$ZZ$1048576"), MATCH(L$1, MarR!$6:$6, 0), FALSE),
            0
        ) +
        IFERROR(
            VLOOKUP($A21, INDIRECT("AbrR!$A$6:$ZZ$1048576"), MATCH(L$1, AbrR!$6:$6, 0), FALSE),
            0
        ) +
        IFERROR(
            VLOOKUP($A21, INDIRECT("MayR!$A$6:$ZZ$1048576"), MATCH(L$1, MayR!$6:$6, 0), FALSE),
            0
        ) +
        IFERROR(
            VLOOKUP($A21, INDIRECT("JunR!$A$6:$ZZ$1048576"), MATCH(L$1, JunR!$6:$6, 0), FALSE),
            0
        ) +
        IFERROR(
            VLOOKUP($A21, INDIRECT("JulR!$A$6:$ZZ$1048576"), MATCH(L$1, JulR!$6:$6, 0), FALSE),
            0
        ) +
        IFERROR(
            VLOOKUP($A21, INDIRECT("AgoR!$A$6:$ZZ$1048576"), MATCH(L$1, AgoR!$6:$6, 0), FALSE),
            0
        ) +
        IFERROR(
            VLOOKUP($A21, INDIRECT("SepR!$A$6:$ZZ$1048576"), MATCH(L$1, SepR!$6:$6, 0), FALSE),
            0
        ) +
        IFERROR(
            VLOOKUP($A21, INDIRECT("OctR!$A$6:$ZZ$1048576"), MATCH(L$1, OctR!$6:$6, 0), FALSE),
            0
        ) +
        IFERROR(
            VLOOKUP($A21, INDIRECT("NovR!$A$6:$ZZ$1048576"), MATCH(L$1, NovR!$6:$6, 0), FALSE),
            0
        ) +
        IFERROR(
            VLOOKUP($A21, INDIRECT("DicR!$A$6:$ZZ$1048576"), MATCH(L$1, DicR!$6:$6, 0), FALSE),
            0
        )
)</f>
        <v>0</v>
      </c>
      <c r="M21" s="35">
        <f t="array" ref="M21">SUM(
    IFERROR(
            VLOOKUP($A21, INDIRECT("EneR!$A$6:$ZZ$1048576"), MATCH(M$1, EneR!$6:$6, 0), FALSE),
            0
        ) +
        IFERROR(
            VLOOKUP($A21, INDIRECT("FebR!$A$6:$ZZ$1048576"), MATCH(M$1, FebR!$6:$6, 0), FALSE),
            0
        ) +
        IFERROR(
            VLOOKUP($A21, INDIRECT("MarR!$A$6:$ZZ$1048576"), MATCH(M$1, MarR!$6:$6, 0), FALSE),
            0
        ) +
        IFERROR(
            VLOOKUP($A21, INDIRECT("AbrR!$A$6:$ZZ$1048576"), MATCH(M$1, AbrR!$6:$6, 0), FALSE),
            0
        ) +
        IFERROR(
            VLOOKUP($A21, INDIRECT("MayR!$A$6:$ZZ$1048576"), MATCH(M$1, MayR!$6:$6, 0), FALSE),
            0
        ) +
        IFERROR(
            VLOOKUP($A21, INDIRECT("JunR!$A$6:$ZZ$1048576"), MATCH(M$1, JunR!$6:$6, 0), FALSE),
            0
        ) +
        IFERROR(
            VLOOKUP($A21, INDIRECT("JulR!$A$6:$ZZ$1048576"), MATCH(M$1, JulR!$6:$6, 0), FALSE),
            0
        ) +
        IFERROR(
            VLOOKUP($A21, INDIRECT("AgoR!$A$6:$ZZ$1048576"), MATCH(M$1, AgoR!$6:$6, 0), FALSE),
            0
        ) +
        IFERROR(
            VLOOKUP($A21, INDIRECT("SepR!$A$6:$ZZ$1048576"), MATCH(M$1, SepR!$6:$6, 0), FALSE),
            0
        ) +
        IFERROR(
            VLOOKUP($A21, INDIRECT("OctR!$A$6:$ZZ$1048576"), MATCH(M$1, OctR!$6:$6, 0), FALSE),
            0
        ) +
        IFERROR(
            VLOOKUP($A21, INDIRECT("NovR!$A$6:$ZZ$1048576"), MATCH(M$1, NovR!$6:$6, 0), FALSE),
            0
        ) +
        IFERROR(
            VLOOKUP($A21, INDIRECT("DicR!$A$6:$ZZ$1048576"), MATCH(M$1, DicR!$6:$6, 0), FALSE),
            0
        )
)</f>
        <v>0</v>
      </c>
      <c r="N21" s="32">
        <f t="array" ref="N21">SUM(
    IFERROR(
            VLOOKUP($A21, INDIRECT("EneR!$A$6:$ZZ$1048576"), MATCH(N$1, EneR!$6:$6, 0), FALSE),
            0
        ) +
        IFERROR(
            VLOOKUP($A21, INDIRECT("FebR!$A$6:$ZZ$1048576"), MATCH(N$1, FebR!$6:$6, 0), FALSE),
            0
        ) +
        IFERROR(
            VLOOKUP($A21, INDIRECT("MarR!$A$6:$ZZ$1048576"), MATCH(N$1, MarR!$6:$6, 0), FALSE),
            0
        ) +
        IFERROR(
            VLOOKUP($A21, INDIRECT("AbrR!$A$6:$ZZ$1048576"), MATCH(N$1, AbrR!$6:$6, 0), FALSE),
            0
        ) +
        IFERROR(
            VLOOKUP($A21, INDIRECT("MayR!$A$6:$ZZ$1048576"), MATCH(N$1, MayR!$6:$6, 0), FALSE),
            0
        ) +
        IFERROR(
            VLOOKUP($A21, INDIRECT("JunR!$A$6:$ZZ$1048576"), MATCH(N$1, JunR!$6:$6, 0), FALSE),
            0
        ) +
        IFERROR(
            VLOOKUP($A21, INDIRECT("JulR!$A$6:$ZZ$1048576"), MATCH(N$1, JulR!$6:$6, 0), FALSE),
            0
        ) +
        IFERROR(
            VLOOKUP($A21, INDIRECT("AgoR!$A$6:$ZZ$1048576"), MATCH(N$1, AgoR!$6:$6, 0), FALSE),
            0
        ) +
        IFERROR(
            VLOOKUP($A21, INDIRECT("SepR!$A$6:$ZZ$1048576"), MATCH(N$1, SepR!$6:$6, 0), FALSE),
            0
        ) +
        IFERROR(
            VLOOKUP($A21, INDIRECT("OctR!$A$6:$ZZ$1048576"), MATCH(N$1, OctR!$6:$6, 0), FALSE),
            0
        ) +
        IFERROR(
            VLOOKUP($A21, INDIRECT("NovR!$A$6:$ZZ$1048576"), MATCH(N$1, NovR!$6:$6, 0), FALSE),
            0
        ) +
        IFERROR(
            VLOOKUP($A21, INDIRECT("DicR!$A$6:$ZZ$1048576"), MATCH(N$1, DicR!$6:$6, 0), FALSE),
            0
        )
)</f>
        <v>0</v>
      </c>
      <c r="O21" s="35">
        <f t="array" ref="O21">SUM(
    IFERROR(
            VLOOKUP($A21, INDIRECT("EneR!$A$6:$ZZ$1048576"), MATCH(O$1, EneR!$6:$6, 0), FALSE),
            0
        ) +
        IFERROR(
            VLOOKUP($A21, INDIRECT("FebR!$A$6:$ZZ$1048576"), MATCH(O$1, FebR!$6:$6, 0), FALSE),
            0
        ) +
        IFERROR(
            VLOOKUP($A21, INDIRECT("MarR!$A$6:$ZZ$1048576"), MATCH(O$1, MarR!$6:$6, 0), FALSE),
            0
        ) +
        IFERROR(
            VLOOKUP($A21, INDIRECT("AbrR!$A$6:$ZZ$1048576"), MATCH(O$1, AbrR!$6:$6, 0), FALSE),
            0
        ) +
        IFERROR(
            VLOOKUP($A21, INDIRECT("MayR!$A$6:$ZZ$1048576"), MATCH(O$1, MayR!$6:$6, 0), FALSE),
            0
        ) +
        IFERROR(
            VLOOKUP($A21, INDIRECT("JunR!$A$6:$ZZ$1048576"), MATCH(O$1, JunR!$6:$6, 0), FALSE),
            0
        ) +
        IFERROR(
            VLOOKUP($A21, INDIRECT("JulR!$A$6:$ZZ$1048576"), MATCH(O$1, JulR!$6:$6, 0), FALSE),
            0
        ) +
        IFERROR(
            VLOOKUP($A21, INDIRECT("AgoR!$A$6:$ZZ$1048576"), MATCH(O$1, AgoR!$6:$6, 0), FALSE),
            0
        ) +
        IFERROR(
            VLOOKUP($A21, INDIRECT("SepR!$A$6:$ZZ$1048576"), MATCH(O$1, SepR!$6:$6, 0), FALSE),
            0
        ) +
        IFERROR(
            VLOOKUP($A21, INDIRECT("OctR!$A$6:$ZZ$1048576"), MATCH(O$1, OctR!$6:$6, 0), FALSE),
            0
        ) +
        IFERROR(
            VLOOKUP($A21, INDIRECT("NovR!$A$6:$ZZ$1048576"), MATCH(O$1, NovR!$6:$6, 0), FALSE),
            0
        ) +
        IFERROR(
            VLOOKUP($A21, INDIRECT("DicR!$A$6:$ZZ$1048576"), MATCH(O$1, DicR!$6:$6, 0), FALSE),
            0
        )
)</f>
        <v>0</v>
      </c>
      <c r="P21" s="32">
        <f t="array" ref="P21">SUM(
    IFERROR(
            VLOOKUP($A21, INDIRECT("EneR!$A$6:$ZZ$1048576"), MATCH(P$1, EneR!$6:$6, 0), FALSE),
            0
        ) +
        IFERROR(
            VLOOKUP($A21, INDIRECT("FebR!$A$6:$ZZ$1048576"), MATCH(P$1, FebR!$6:$6, 0), FALSE),
            0
        ) +
        IFERROR(
            VLOOKUP($A21, INDIRECT("MarR!$A$6:$ZZ$1048576"), MATCH(P$1, MarR!$6:$6, 0), FALSE),
            0
        ) +
        IFERROR(
            VLOOKUP($A21, INDIRECT("AbrR!$A$6:$ZZ$1048576"), MATCH(P$1, AbrR!$6:$6, 0), FALSE),
            0
        ) +
        IFERROR(
            VLOOKUP($A21, INDIRECT("MayR!$A$6:$ZZ$1048576"), MATCH(P$1, MayR!$6:$6, 0), FALSE),
            0
        ) +
        IFERROR(
            VLOOKUP($A21, INDIRECT("JunR!$A$6:$ZZ$1048576"), MATCH(P$1, JunR!$6:$6, 0), FALSE),
            0
        ) +
        IFERROR(
            VLOOKUP($A21, INDIRECT("JulR!$A$6:$ZZ$1048576"), MATCH(P$1, JulR!$6:$6, 0), FALSE),
            0
        ) +
        IFERROR(
            VLOOKUP($A21, INDIRECT("AgoR!$A$6:$ZZ$1048576"), MATCH(P$1, AgoR!$6:$6, 0), FALSE),
            0
        ) +
        IFERROR(
            VLOOKUP($A21, INDIRECT("SepR!$A$6:$ZZ$1048576"), MATCH(P$1, SepR!$6:$6, 0), FALSE),
            0
        ) +
        IFERROR(
            VLOOKUP($A21, INDIRECT("OctR!$A$6:$ZZ$1048576"), MATCH(P$1, OctR!$6:$6, 0), FALSE),
            0
        ) +
        IFERROR(
            VLOOKUP($A21, INDIRECT("NovR!$A$6:$ZZ$1048576"), MATCH(P$1, NovR!$6:$6, 0), FALSE),
            0
        ) +
        IFERROR(
            VLOOKUP($A21, INDIRECT("DicR!$A$6:$ZZ$1048576"), MATCH(P$1, DicR!$6:$6, 0), FALSE),
            0
        )
)</f>
        <v>0</v>
      </c>
      <c r="Q21" s="35">
        <f t="array" ref="Q21">SUM(
    IFERROR(
            VLOOKUP($A21, INDIRECT("EneR!$A$6:$ZZ$1048576"), MATCH(Q$1, EneR!$6:$6, 0), FALSE),
            0
        ) +
        IFERROR(
            VLOOKUP($A21, INDIRECT("FebR!$A$6:$ZZ$1048576"), MATCH(Q$1, FebR!$6:$6, 0), FALSE),
            0
        ) +
        IFERROR(
            VLOOKUP($A21, INDIRECT("MarR!$A$6:$ZZ$1048576"), MATCH(Q$1, MarR!$6:$6, 0), FALSE),
            0
        ) +
        IFERROR(
            VLOOKUP($A21, INDIRECT("AbrR!$A$6:$ZZ$1048576"), MATCH(Q$1, AbrR!$6:$6, 0), FALSE),
            0
        ) +
        IFERROR(
            VLOOKUP($A21, INDIRECT("MayR!$A$6:$ZZ$1048576"), MATCH(Q$1, MayR!$6:$6, 0), FALSE),
            0
        ) +
        IFERROR(
            VLOOKUP($A21, INDIRECT("JunR!$A$6:$ZZ$1048576"), MATCH(Q$1, JunR!$6:$6, 0), FALSE),
            0
        ) +
        IFERROR(
            VLOOKUP($A21, INDIRECT("JulR!$A$6:$ZZ$1048576"), MATCH(Q$1, JulR!$6:$6, 0), FALSE),
            0
        ) +
        IFERROR(
            VLOOKUP($A21, INDIRECT("AgoR!$A$6:$ZZ$1048576"), MATCH(Q$1, AgoR!$6:$6, 0), FALSE),
            0
        ) +
        IFERROR(
            VLOOKUP($A21, INDIRECT("SepR!$A$6:$ZZ$1048576"), MATCH(Q$1, SepR!$6:$6, 0), FALSE),
            0
        ) +
        IFERROR(
            VLOOKUP($A21, INDIRECT("OctR!$A$6:$ZZ$1048576"), MATCH(Q$1, OctR!$6:$6, 0), FALSE),
            0
        ) +
        IFERROR(
            VLOOKUP($A21, INDIRECT("NovR!$A$6:$ZZ$1048576"), MATCH(Q$1, NovR!$6:$6, 0), FALSE),
            0
        ) +
        IFERROR(
            VLOOKUP($A21, INDIRECT("DicR!$A$6:$ZZ$1048576"), MATCH(Q$1, DicR!$6:$6, 0), FALSE),
            0
        )
)</f>
        <v>0</v>
      </c>
      <c r="R21" s="36">
        <f t="array" ref="R21">SUM(
    IFERROR(
            VLOOKUP($A21, INDIRECT("EneR!$A$6:$ZZ$1048576"), MATCH(R$1, EneR!$6:$6, 0), FALSE),
            0
        ) +
        IFERROR(
            VLOOKUP($A21, INDIRECT("FebR!$A$6:$ZZ$1048576"), MATCH(R$1, FebR!$6:$6, 0), FALSE),
            0
        ) +
        IFERROR(
            VLOOKUP($A21, INDIRECT("MarR!$A$6:$ZZ$1048576"), MATCH(R$1, MarR!$6:$6, 0), FALSE),
            0
        ) +
        IFERROR(
            VLOOKUP($A21, INDIRECT("AbrR!$A$6:$ZZ$1048576"), MATCH(R$1, AbrR!$6:$6, 0), FALSE),
            0
        ) +
        IFERROR(
            VLOOKUP($A21, INDIRECT("MayR!$A$6:$ZZ$1048576"), MATCH(R$1, MayR!$6:$6, 0), FALSE),
            0
        ) +
        IFERROR(
            VLOOKUP($A21, INDIRECT("JunR!$A$6:$ZZ$1048576"), MATCH(R$1, JunR!$6:$6, 0), FALSE),
            0
        ) +
        IFERROR(
            VLOOKUP($A21, INDIRECT("JulR!$A$6:$ZZ$1048576"), MATCH(R$1, JulR!$6:$6, 0), FALSE),
            0
        ) +
        IFERROR(
            VLOOKUP($A21, INDIRECT("AgoR!$A$6:$ZZ$1048576"), MATCH(R$1, AgoR!$6:$6, 0), FALSE),
            0
        ) +
        IFERROR(
            VLOOKUP($A21, INDIRECT("SepR!$A$6:$ZZ$1048576"), MATCH(R$1, SepR!$6:$6, 0), FALSE),
            0
        ) +
        IFERROR(
            VLOOKUP($A21, INDIRECT("OctR!$A$6:$ZZ$1048576"), MATCH(R$1, OctR!$6:$6, 0), FALSE),
            0
        ) +
        IFERROR(
            VLOOKUP($A21, INDIRECT("NovR!$A$6:$ZZ$1048576"), MATCH(R$1, NovR!$6:$6, 0), FALSE),
            0
        ) +
        IFERROR(
            VLOOKUP($A21, INDIRECT("DicR!$A$6:$ZZ$1048576"), MATCH(R$1, DicR!$6:$6, 0), FALSE),
            0
        )
)</f>
        <v>0</v>
      </c>
      <c r="S21" s="37">
        <f t="array" ref="S21">SUM(
    IFERROR(
            VLOOKUP($A21, INDIRECT("EneR!$A$6:$ZZ$1048576"), MATCH(S$1, EneR!$6:$6, 0), FALSE),
            0
        ) +
        IFERROR(
            VLOOKUP($A21, INDIRECT("FebR!$A$6:$ZZ$1048576"), MATCH(S$1, FebR!$6:$6, 0), FALSE),
            0
        ) +
        IFERROR(
            VLOOKUP($A21, INDIRECT("MarR!$A$6:$ZZ$1048576"), MATCH(S$1, MarR!$6:$6, 0), FALSE),
            0
        ) +
        IFERROR(
            VLOOKUP($A21, INDIRECT("AbrR!$A$6:$ZZ$1048576"), MATCH(S$1, AbrR!$6:$6, 0), FALSE),
            0
        ) +
        IFERROR(
            VLOOKUP($A21, INDIRECT("MayR!$A$6:$ZZ$1048576"), MATCH(S$1, MayR!$6:$6, 0), FALSE),
            0
        ) +
        IFERROR(
            VLOOKUP($A21, INDIRECT("JunR!$A$6:$ZZ$1048576"), MATCH(S$1, JunR!$6:$6, 0), FALSE),
            0
        ) +
        IFERROR(
            VLOOKUP($A21, INDIRECT("JulR!$A$6:$ZZ$1048576"), MATCH(S$1, JulR!$6:$6, 0), FALSE),
            0
        ) +
        IFERROR(
            VLOOKUP($A21, INDIRECT("AgoR!$A$6:$ZZ$1048576"), MATCH(S$1, AgoR!$6:$6, 0), FALSE),
            0
        ) +
        IFERROR(
            VLOOKUP($A21, INDIRECT("SepR!$A$6:$ZZ$1048576"), MATCH(S$1, SepR!$6:$6, 0), FALSE),
            0
        ) +
        IFERROR(
            VLOOKUP($A21, INDIRECT("OctR!$A$6:$ZZ$1048576"), MATCH(S$1, OctR!$6:$6, 0), FALSE),
            0
        ) +
        IFERROR(
            VLOOKUP($A21, INDIRECT("NovR!$A$6:$ZZ$1048576"), MATCH(S$1, NovR!$6:$6, 0), FALSE),
            0
        ) +
        IFERROR(
            VLOOKUP($A21, INDIRECT("DicR!$A$6:$ZZ$1048576"), MATCH(S$1, DicR!$6:$6, 0), FALSE),
            0
        )
)</f>
        <v>0</v>
      </c>
      <c r="T21" s="36">
        <f t="array" ref="T21">SUM(
    IFERROR(
            VLOOKUP($A21, INDIRECT("EneR!$A$6:$ZZ$1048576"), MATCH(T$1, EneR!$6:$6, 0), FALSE),
            0
        ) +
        IFERROR(
            VLOOKUP($A21, INDIRECT("FebR!$A$6:$ZZ$1048576"), MATCH(T$1, FebR!$6:$6, 0), FALSE),
            0
        ) +
        IFERROR(
            VLOOKUP($A21, INDIRECT("MarR!$A$6:$ZZ$1048576"), MATCH(T$1, MarR!$6:$6, 0), FALSE),
            0
        ) +
        IFERROR(
            VLOOKUP($A21, INDIRECT("AbrR!$A$6:$ZZ$1048576"), MATCH(T$1, AbrR!$6:$6, 0), FALSE),
            0
        ) +
        IFERROR(
            VLOOKUP($A21, INDIRECT("MayR!$A$6:$ZZ$1048576"), MATCH(T$1, MayR!$6:$6, 0), FALSE),
            0
        ) +
        IFERROR(
            VLOOKUP($A21, INDIRECT("JunR!$A$6:$ZZ$1048576"), MATCH(T$1, JunR!$6:$6, 0), FALSE),
            0
        ) +
        IFERROR(
            VLOOKUP($A21, INDIRECT("JulR!$A$6:$ZZ$1048576"), MATCH(T$1, JulR!$6:$6, 0), FALSE),
            0
        ) +
        IFERROR(
            VLOOKUP($A21, INDIRECT("AgoR!$A$6:$ZZ$1048576"), MATCH(T$1, AgoR!$6:$6, 0), FALSE),
            0
        ) +
        IFERROR(
            VLOOKUP($A21, INDIRECT("SepR!$A$6:$ZZ$1048576"), MATCH(T$1, SepR!$6:$6, 0), FALSE),
            0
        ) +
        IFERROR(
            VLOOKUP($A21, INDIRECT("OctR!$A$6:$ZZ$1048576"), MATCH(T$1, OctR!$6:$6, 0), FALSE),
            0
        ) +
        IFERROR(
            VLOOKUP($A21, INDIRECT("NovR!$A$6:$ZZ$1048576"), MATCH(T$1, NovR!$6:$6, 0), FALSE),
            0
        ) +
        IFERROR(
            VLOOKUP($A21, INDIRECT("DicR!$A$6:$ZZ$1048576"), MATCH(T$1, DicR!$6:$6, 0), FALSE),
            0
        )
)</f>
        <v>0</v>
      </c>
      <c r="U21" s="37">
        <f t="array" ref="U21">SUM(
    IFERROR(
            VLOOKUP($A21, INDIRECT("EneR!$A$6:$ZZ$1048576"), MATCH(U$1, EneR!$6:$6, 0), FALSE),
            0
        ) +
        IFERROR(
            VLOOKUP($A21, INDIRECT("FebR!$A$6:$ZZ$1048576"), MATCH(U$1, FebR!$6:$6, 0), FALSE),
            0
        ) +
        IFERROR(
            VLOOKUP($A21, INDIRECT("MarR!$A$6:$ZZ$1048576"), MATCH(U$1, MarR!$6:$6, 0), FALSE),
            0
        ) +
        IFERROR(
            VLOOKUP($A21, INDIRECT("AbrR!$A$6:$ZZ$1048576"), MATCH(U$1, AbrR!$6:$6, 0), FALSE),
            0
        ) +
        IFERROR(
            VLOOKUP($A21, INDIRECT("MayR!$A$6:$ZZ$1048576"), MATCH(U$1, MayR!$6:$6, 0), FALSE),
            0
        ) +
        IFERROR(
            VLOOKUP($A21, INDIRECT("JunR!$A$6:$ZZ$1048576"), MATCH(U$1, JunR!$6:$6, 0), FALSE),
            0
        ) +
        IFERROR(
            VLOOKUP($A21, INDIRECT("JulR!$A$6:$ZZ$1048576"), MATCH(U$1, JulR!$6:$6, 0), FALSE),
            0
        ) +
        IFERROR(
            VLOOKUP($A21, INDIRECT("AgoR!$A$6:$ZZ$1048576"), MATCH(U$1, AgoR!$6:$6, 0), FALSE),
            0
        ) +
        IFERROR(
            VLOOKUP($A21, INDIRECT("SepR!$A$6:$ZZ$1048576"), MATCH(U$1, SepR!$6:$6, 0), FALSE),
            0
        ) +
        IFERROR(
            VLOOKUP($A21, INDIRECT("OctR!$A$6:$ZZ$1048576"), MATCH(U$1, OctR!$6:$6, 0), FALSE),
            0
        ) +
        IFERROR(
            VLOOKUP($A21, INDIRECT("NovR!$A$6:$ZZ$1048576"), MATCH(U$1, NovR!$6:$6, 0), FALSE),
            0
        ) +
        IFERROR(
            VLOOKUP($A21, INDIRECT("DicR!$A$6:$ZZ$1048576"), MATCH(U$1, DicR!$6:$6, 0), FALSE),
            0
        )
)</f>
        <v>0</v>
      </c>
      <c r="V21" s="36">
        <f t="array" ref="V21">SUM(
    IFERROR(
            VLOOKUP($A21, INDIRECT("EneR!$A$6:$ZZ$1048576"), MATCH(V$1, EneR!$6:$6, 0), FALSE),
            0
        ) +
        IFERROR(
            VLOOKUP($A21, INDIRECT("FebR!$A$6:$ZZ$1048576"), MATCH(V$1, FebR!$6:$6, 0), FALSE),
            0
        ) +
        IFERROR(
            VLOOKUP($A21, INDIRECT("MarR!$A$6:$ZZ$1048576"), MATCH(V$1, MarR!$6:$6, 0), FALSE),
            0
        ) +
        IFERROR(
            VLOOKUP($A21, INDIRECT("AbrR!$A$6:$ZZ$1048576"), MATCH(V$1, AbrR!$6:$6, 0), FALSE),
            0
        ) +
        IFERROR(
            VLOOKUP($A21, INDIRECT("MayR!$A$6:$ZZ$1048576"), MATCH(V$1, MayR!$6:$6, 0), FALSE),
            0
        ) +
        IFERROR(
            VLOOKUP($A21, INDIRECT("JunR!$A$6:$ZZ$1048576"), MATCH(V$1, JunR!$6:$6, 0), FALSE),
            0
        ) +
        IFERROR(
            VLOOKUP($A21, INDIRECT("JulR!$A$6:$ZZ$1048576"), MATCH(V$1, JulR!$6:$6, 0), FALSE),
            0
        ) +
        IFERROR(
            VLOOKUP($A21, INDIRECT("AgoR!$A$6:$ZZ$1048576"), MATCH(V$1, AgoR!$6:$6, 0), FALSE),
            0
        ) +
        IFERROR(
            VLOOKUP($A21, INDIRECT("SepR!$A$6:$ZZ$1048576"), MATCH(V$1, SepR!$6:$6, 0), FALSE),
            0
        ) +
        IFERROR(
            VLOOKUP($A21, INDIRECT("OctR!$A$6:$ZZ$1048576"), MATCH(V$1, OctR!$6:$6, 0), FALSE),
            0
        ) +
        IFERROR(
            VLOOKUP($A21, INDIRECT("NovR!$A$6:$ZZ$1048576"), MATCH(V$1, NovR!$6:$6, 0), FALSE),
            0
        ) +
        IFERROR(
            VLOOKUP($A21, INDIRECT("DicR!$A$6:$ZZ$1048576"), MATCH(V$1, DicR!$6:$6, 0), FALSE),
            0
        )
)</f>
        <v>0</v>
      </c>
      <c r="W21" s="37">
        <f t="array" ref="W21">SUM(
    IFERROR(
            VLOOKUP($A21, INDIRECT("EneR!$A$6:$ZZ$1048576"), MATCH(W$1, EneR!$6:$6, 0), FALSE),
            0
        ) +
        IFERROR(
            VLOOKUP($A21, INDIRECT("FebR!$A$6:$ZZ$1048576"), MATCH(W$1, FebR!$6:$6, 0), FALSE),
            0
        ) +
        IFERROR(
            VLOOKUP($A21, INDIRECT("MarR!$A$6:$ZZ$1048576"), MATCH(W$1, MarR!$6:$6, 0), FALSE),
            0
        ) +
        IFERROR(
            VLOOKUP($A21, INDIRECT("AbrR!$A$6:$ZZ$1048576"), MATCH(W$1, AbrR!$6:$6, 0), FALSE),
            0
        ) +
        IFERROR(
            VLOOKUP($A21, INDIRECT("MayR!$A$6:$ZZ$1048576"), MATCH(W$1, MayR!$6:$6, 0), FALSE),
            0
        ) +
        IFERROR(
            VLOOKUP($A21, INDIRECT("JunR!$A$6:$ZZ$1048576"), MATCH(W$1, JunR!$6:$6, 0), FALSE),
            0
        ) +
        IFERROR(
            VLOOKUP($A21, INDIRECT("JulR!$A$6:$ZZ$1048576"), MATCH(W$1, JulR!$6:$6, 0), FALSE),
            0
        ) +
        IFERROR(
            VLOOKUP($A21, INDIRECT("AgoR!$A$6:$ZZ$1048576"), MATCH(W$1, AgoR!$6:$6, 0), FALSE),
            0
        ) +
        IFERROR(
            VLOOKUP($A21, INDIRECT("SepR!$A$6:$ZZ$1048576"), MATCH(W$1, SepR!$6:$6, 0), FALSE),
            0
        ) +
        IFERROR(
            VLOOKUP($A21, INDIRECT("OctR!$A$6:$ZZ$1048576"), MATCH(W$1, OctR!$6:$6, 0), FALSE),
            0
        ) +
        IFERROR(
            VLOOKUP($A21, INDIRECT("NovR!$A$6:$ZZ$1048576"), MATCH(W$1, NovR!$6:$6, 0), FALSE),
            0
        ) +
        IFERROR(
            VLOOKUP($A21, INDIRECT("DicR!$A$6:$ZZ$1048576"), MATCH(W$1, DicR!$6:$6, 0), FALSE),
            0
        )
)</f>
        <v>0</v>
      </c>
      <c r="X21" s="36">
        <f t="array" ref="X21">SUM(
    IFERROR(
            VLOOKUP($A21, INDIRECT("EneR!$A$6:$ZZ$1048576"), MATCH(X$1, EneR!$6:$6, 0), FALSE),
            0
        ) +
        IFERROR(
            VLOOKUP($A21, INDIRECT("FebR!$A$6:$ZZ$1048576"), MATCH(X$1, FebR!$6:$6, 0), FALSE),
            0
        ) +
        IFERROR(
            VLOOKUP($A21, INDIRECT("MarR!$A$6:$ZZ$1048576"), MATCH(X$1, MarR!$6:$6, 0), FALSE),
            0
        ) +
        IFERROR(
            VLOOKUP($A21, INDIRECT("AbrR!$A$6:$ZZ$1048576"), MATCH(X$1, AbrR!$6:$6, 0), FALSE),
            0
        ) +
        IFERROR(
            VLOOKUP($A21, INDIRECT("MayR!$A$6:$ZZ$1048576"), MATCH(X$1, MayR!$6:$6, 0), FALSE),
            0
        ) +
        IFERROR(
            VLOOKUP($A21, INDIRECT("JunR!$A$6:$ZZ$1048576"), MATCH(X$1, JunR!$6:$6, 0), FALSE),
            0
        ) +
        IFERROR(
            VLOOKUP($A21, INDIRECT("JulR!$A$6:$ZZ$1048576"), MATCH(X$1, JulR!$6:$6, 0), FALSE),
            0
        ) +
        IFERROR(
            VLOOKUP($A21, INDIRECT("AgoR!$A$6:$ZZ$1048576"), MATCH(X$1, AgoR!$6:$6, 0), FALSE),
            0
        ) +
        IFERROR(
            VLOOKUP($A21, INDIRECT("SepR!$A$6:$ZZ$1048576"), MATCH(X$1, SepR!$6:$6, 0), FALSE),
            0
        ) +
        IFERROR(
            VLOOKUP($A21, INDIRECT("OctR!$A$6:$ZZ$1048576"), MATCH(X$1, OctR!$6:$6, 0), FALSE),
            0
        ) +
        IFERROR(
            VLOOKUP($A21, INDIRECT("NovR!$A$6:$ZZ$1048576"), MATCH(X$1, NovR!$6:$6, 0), FALSE),
            0
        ) +
        IFERROR(
            VLOOKUP($A21, INDIRECT("DicR!$A$6:$ZZ$1048576"), MATCH(X$1, DicR!$6:$6, 0), FALSE),
            0
        )
)</f>
        <v>0</v>
      </c>
      <c r="Y21" s="37">
        <f t="array" ref="Y21">SUM(
    IFERROR(
            VLOOKUP($A21, INDIRECT("EneR!$A$6:$ZZ$1048576"), MATCH(Y$1, EneR!$6:$6, 0), FALSE),
            0
        ) +
        IFERROR(
            VLOOKUP($A21, INDIRECT("FebR!$A$6:$ZZ$1048576"), MATCH(Y$1, FebR!$6:$6, 0), FALSE),
            0
        ) +
        IFERROR(
            VLOOKUP($A21, INDIRECT("MarR!$A$6:$ZZ$1048576"), MATCH(Y$1, MarR!$6:$6, 0), FALSE),
            0
        ) +
        IFERROR(
            VLOOKUP($A21, INDIRECT("AbrR!$A$6:$ZZ$1048576"), MATCH(Y$1, AbrR!$6:$6, 0), FALSE),
            0
        ) +
        IFERROR(
            VLOOKUP($A21, INDIRECT("MayR!$A$6:$ZZ$1048576"), MATCH(Y$1, MayR!$6:$6, 0), FALSE),
            0
        ) +
        IFERROR(
            VLOOKUP($A21, INDIRECT("JunR!$A$6:$ZZ$1048576"), MATCH(Y$1, JunR!$6:$6, 0), FALSE),
            0
        ) +
        IFERROR(
            VLOOKUP($A21, INDIRECT("JulR!$A$6:$ZZ$1048576"), MATCH(Y$1, JulR!$6:$6, 0), FALSE),
            0
        ) +
        IFERROR(
            VLOOKUP($A21, INDIRECT("AgoR!$A$6:$ZZ$1048576"), MATCH(Y$1, AgoR!$6:$6, 0), FALSE),
            0
        ) +
        IFERROR(
            VLOOKUP($A21, INDIRECT("SepR!$A$6:$ZZ$1048576"), MATCH(Y$1, SepR!$6:$6, 0), FALSE),
            0
        ) +
        IFERROR(
            VLOOKUP($A21, INDIRECT("OctR!$A$6:$ZZ$1048576"), MATCH(Y$1, OctR!$6:$6, 0), FALSE),
            0
        ) +
        IFERROR(
            VLOOKUP($A21, INDIRECT("NovR!$A$6:$ZZ$1048576"), MATCH(Y$1, NovR!$6:$6, 0), FALSE),
            0
        ) +
        IFERROR(
            VLOOKUP($A21, INDIRECT("DicR!$A$6:$ZZ$1048576"), MATCH(Y$1, DicR!$6:$6, 0), FALSE),
            0
        )
)</f>
        <v>0</v>
      </c>
      <c r="Z21" s="36">
        <f t="array" ref="Z21">SUM(
    IFERROR(
            VLOOKUP($A21, INDIRECT("EneR!$A$6:$ZZ$1048576"), MATCH(Z$1, EneR!$6:$6, 0), FALSE),
            0
        ) +
        IFERROR(
            VLOOKUP($A21, INDIRECT("FebR!$A$6:$ZZ$1048576"), MATCH(Z$1, FebR!$6:$6, 0), FALSE),
            0
        ) +
        IFERROR(
            VLOOKUP($A21, INDIRECT("MarR!$A$6:$ZZ$1048576"), MATCH(Z$1, MarR!$6:$6, 0), FALSE),
            0
        ) +
        IFERROR(
            VLOOKUP($A21, INDIRECT("AbrR!$A$6:$ZZ$1048576"), MATCH(Z$1, AbrR!$6:$6, 0), FALSE),
            0
        ) +
        IFERROR(
            VLOOKUP($A21, INDIRECT("MayR!$A$6:$ZZ$1048576"), MATCH(Z$1, MayR!$6:$6, 0), FALSE),
            0
        ) +
        IFERROR(
            VLOOKUP($A21, INDIRECT("JunR!$A$6:$ZZ$1048576"), MATCH(Z$1, JunR!$6:$6, 0), FALSE),
            0
        ) +
        IFERROR(
            VLOOKUP($A21, INDIRECT("JulR!$A$6:$ZZ$1048576"), MATCH(Z$1, JulR!$6:$6, 0), FALSE),
            0
        ) +
        IFERROR(
            VLOOKUP($A21, INDIRECT("AgoR!$A$6:$ZZ$1048576"), MATCH(Z$1, AgoR!$6:$6, 0), FALSE),
            0
        ) +
        IFERROR(
            VLOOKUP($A21, INDIRECT("SepR!$A$6:$ZZ$1048576"), MATCH(Z$1, SepR!$6:$6, 0), FALSE),
            0
        ) +
        IFERROR(
            VLOOKUP($A21, INDIRECT("OctR!$A$6:$ZZ$1048576"), MATCH(Z$1, OctR!$6:$6, 0), FALSE),
            0
        ) +
        IFERROR(
            VLOOKUP($A21, INDIRECT("NovR!$A$6:$ZZ$1048576"), MATCH(Z$1, NovR!$6:$6, 0), FALSE),
            0
        ) +
        IFERROR(
            VLOOKUP($A21, INDIRECT("DicR!$A$6:$ZZ$1048576"), MATCH(Z$1, DicR!$6:$6, 0), FALSE),
            0
        )
)</f>
        <v>0</v>
      </c>
      <c r="AA21" s="37">
        <f t="array" ref="AA21">SUM(
    IFERROR(
            VLOOKUP($A21, INDIRECT("EneR!$A$6:$ZZ$1048576"), MATCH(AA$1, EneR!$6:$6, 0), FALSE),
            0
        ) +
        IFERROR(
            VLOOKUP($A21, INDIRECT("FebR!$A$6:$ZZ$1048576"), MATCH(AA$1, FebR!$6:$6, 0), FALSE),
            0
        ) +
        IFERROR(
            VLOOKUP($A21, INDIRECT("MarR!$A$6:$ZZ$1048576"), MATCH(AA$1, MarR!$6:$6, 0), FALSE),
            0
        ) +
        IFERROR(
            VLOOKUP($A21, INDIRECT("AbrR!$A$6:$ZZ$1048576"), MATCH(AA$1, AbrR!$6:$6, 0), FALSE),
            0
        ) +
        IFERROR(
            VLOOKUP($A21, INDIRECT("MayR!$A$6:$ZZ$1048576"), MATCH(AA$1, MayR!$6:$6, 0), FALSE),
            0
        ) +
        IFERROR(
            VLOOKUP($A21, INDIRECT("JunR!$A$6:$ZZ$1048576"), MATCH(AA$1, JunR!$6:$6, 0), FALSE),
            0
        ) +
        IFERROR(
            VLOOKUP($A21, INDIRECT("JulR!$A$6:$ZZ$1048576"), MATCH(AA$1, JulR!$6:$6, 0), FALSE),
            0
        ) +
        IFERROR(
            VLOOKUP($A21, INDIRECT("AgoR!$A$6:$ZZ$1048576"), MATCH(AA$1, AgoR!$6:$6, 0), FALSE),
            0
        ) +
        IFERROR(
            VLOOKUP($A21, INDIRECT("SepR!$A$6:$ZZ$1048576"), MATCH(AA$1, SepR!$6:$6, 0), FALSE),
            0
        ) +
        IFERROR(
            VLOOKUP($A21, INDIRECT("OctR!$A$6:$ZZ$1048576"), MATCH(AA$1, OctR!$6:$6, 0), FALSE),
            0
        ) +
        IFERROR(
            VLOOKUP($A21, INDIRECT("NovR!$A$6:$ZZ$1048576"), MATCH(AA$1, NovR!$6:$6, 0), FALSE),
            0
        ) +
        IFERROR(
            VLOOKUP($A21, INDIRECT("DicR!$A$6:$ZZ$1048576"), MATCH(AA$1, DicR!$6:$6, 0), FALSE),
            0
        )
)</f>
        <v>0</v>
      </c>
      <c r="AB21" s="36">
        <f t="array" ref="AB21">SUM(
    IFERROR(
            VLOOKUP($A21, INDIRECT("EneR!$A$6:$ZZ$1048576"), MATCH(AB$1, EneR!$6:$6, 0), FALSE),
            0
        ) +
        IFERROR(
            VLOOKUP($A21, INDIRECT("FebR!$A$6:$ZZ$1048576"), MATCH(AB$1, FebR!$6:$6, 0), FALSE),
            0
        ) +
        IFERROR(
            VLOOKUP($A21, INDIRECT("MarR!$A$6:$ZZ$1048576"), MATCH(AB$1, MarR!$6:$6, 0), FALSE),
            0
        ) +
        IFERROR(
            VLOOKUP($A21, INDIRECT("AbrR!$A$6:$ZZ$1048576"), MATCH(AB$1, AbrR!$6:$6, 0), FALSE),
            0
        ) +
        IFERROR(
            VLOOKUP($A21, INDIRECT("MayR!$A$6:$ZZ$1048576"), MATCH(AB$1, MayR!$6:$6, 0), FALSE),
            0
        ) +
        IFERROR(
            VLOOKUP($A21, INDIRECT("JunR!$A$6:$ZZ$1048576"), MATCH(AB$1, JunR!$6:$6, 0), FALSE),
            0
        ) +
        IFERROR(
            VLOOKUP($A21, INDIRECT("JulR!$A$6:$ZZ$1048576"), MATCH(AB$1, JulR!$6:$6, 0), FALSE),
            0
        ) +
        IFERROR(
            VLOOKUP($A21, INDIRECT("AgoR!$A$6:$ZZ$1048576"), MATCH(AB$1, AgoR!$6:$6, 0), FALSE),
            0
        ) +
        IFERROR(
            VLOOKUP($A21, INDIRECT("SepR!$A$6:$ZZ$1048576"), MATCH(AB$1, SepR!$6:$6, 0), FALSE),
            0
        ) +
        IFERROR(
            VLOOKUP($A21, INDIRECT("OctR!$A$6:$ZZ$1048576"), MATCH(AB$1, OctR!$6:$6, 0), FALSE),
            0
        ) +
        IFERROR(
            VLOOKUP($A21, INDIRECT("NovR!$A$6:$ZZ$1048576"), MATCH(AB$1, NovR!$6:$6, 0), FALSE),
            0
        ) +
        IFERROR(
            VLOOKUP($A21, INDIRECT("DicR!$A$6:$ZZ$1048576"), MATCH(AB$1, DicR!$6:$6, 0), FALSE),
            0
        )
)</f>
        <v>0</v>
      </c>
      <c r="AC21" s="37">
        <f t="array" ref="AC21">SUM(
    IFERROR(
            VLOOKUP($A21, INDIRECT("EneR!$A$6:$ZZ$1048576"), MATCH(AC$1, EneR!$6:$6, 0), FALSE),
            0
        ) +
        IFERROR(
            VLOOKUP($A21, INDIRECT("FebR!$A$6:$ZZ$1048576"), MATCH(AC$1, FebR!$6:$6, 0), FALSE),
            0
        ) +
        IFERROR(
            VLOOKUP($A21, INDIRECT("MarR!$A$6:$ZZ$1048576"), MATCH(AC$1, MarR!$6:$6, 0), FALSE),
            0
        ) +
        IFERROR(
            VLOOKUP($A21, INDIRECT("AbrR!$A$6:$ZZ$1048576"), MATCH(AC$1, AbrR!$6:$6, 0), FALSE),
            0
        ) +
        IFERROR(
            VLOOKUP($A21, INDIRECT("MayR!$A$6:$ZZ$1048576"), MATCH(AC$1, MayR!$6:$6, 0), FALSE),
            0
        ) +
        IFERROR(
            VLOOKUP($A21, INDIRECT("JunR!$A$6:$ZZ$1048576"), MATCH(AC$1, JunR!$6:$6, 0), FALSE),
            0
        ) +
        IFERROR(
            VLOOKUP($A21, INDIRECT("JulR!$A$6:$ZZ$1048576"), MATCH(AC$1, JulR!$6:$6, 0), FALSE),
            0
        ) +
        IFERROR(
            VLOOKUP($A21, INDIRECT("AgoR!$A$6:$ZZ$1048576"), MATCH(AC$1, AgoR!$6:$6, 0), FALSE),
            0
        ) +
        IFERROR(
            VLOOKUP($A21, INDIRECT("SepR!$A$6:$ZZ$1048576"), MATCH(AC$1, SepR!$6:$6, 0), FALSE),
            0
        ) +
        IFERROR(
            VLOOKUP($A21, INDIRECT("OctR!$A$6:$ZZ$1048576"), MATCH(AC$1, OctR!$6:$6, 0), FALSE),
            0
        ) +
        IFERROR(
            VLOOKUP($A21, INDIRECT("NovR!$A$6:$ZZ$1048576"), MATCH(AC$1, NovR!$6:$6, 0), FALSE),
            0
        ) +
        IFERROR(
            VLOOKUP($A21, INDIRECT("DicR!$A$6:$ZZ$1048576"), MATCH(AC$1, DicR!$6:$6, 0), FALSE),
            0
        )
)</f>
        <v>0</v>
      </c>
      <c r="AD21" s="36">
        <f t="array" ref="AD21">SUM(
    IFERROR(
            VLOOKUP($A21, INDIRECT("EneR!$A$6:$ZZ$1048576"), MATCH(AD$1, EneR!$6:$6, 0), FALSE),
            0
        ) +
        IFERROR(
            VLOOKUP($A21, INDIRECT("FebR!$A$6:$ZZ$1048576"), MATCH(AD$1, FebR!$6:$6, 0), FALSE),
            0
        ) +
        IFERROR(
            VLOOKUP($A21, INDIRECT("MarR!$A$6:$ZZ$1048576"), MATCH(AD$1, MarR!$6:$6, 0), FALSE),
            0
        ) +
        IFERROR(
            VLOOKUP($A21, INDIRECT("AbrR!$A$6:$ZZ$1048576"), MATCH(AD$1, AbrR!$6:$6, 0), FALSE),
            0
        ) +
        IFERROR(
            VLOOKUP($A21, INDIRECT("MayR!$A$6:$ZZ$1048576"), MATCH(AD$1, MayR!$6:$6, 0), FALSE),
            0
        ) +
        IFERROR(
            VLOOKUP($A21, INDIRECT("JunR!$A$6:$ZZ$1048576"), MATCH(AD$1, JunR!$6:$6, 0), FALSE),
            0
        ) +
        IFERROR(
            VLOOKUP($A21, INDIRECT("JulR!$A$6:$ZZ$1048576"), MATCH(AD$1, JulR!$6:$6, 0), FALSE),
            0
        ) +
        IFERROR(
            VLOOKUP($A21, INDIRECT("AgoR!$A$6:$ZZ$1048576"), MATCH(AD$1, AgoR!$6:$6, 0), FALSE),
            0
        ) +
        IFERROR(
            VLOOKUP($A21, INDIRECT("SepR!$A$6:$ZZ$1048576"), MATCH(AD$1, SepR!$6:$6, 0), FALSE),
            0
        ) +
        IFERROR(
            VLOOKUP($A21, INDIRECT("OctR!$A$6:$ZZ$1048576"), MATCH(AD$1, OctR!$6:$6, 0), FALSE),
            0
        ) +
        IFERROR(
            VLOOKUP($A21, INDIRECT("NovR!$A$6:$ZZ$1048576"), MATCH(AD$1, NovR!$6:$6, 0), FALSE),
            0
        ) +
        IFERROR(
            VLOOKUP($A21, INDIRECT("DicR!$A$6:$ZZ$1048576"), MATCH(AD$1, DicR!$6:$6, 0), FALSE),
            0
        )
)</f>
        <v>0</v>
      </c>
      <c r="AE21" s="37">
        <f t="array" ref="AE21">SUM(
    IFERROR(
            VLOOKUP($A21, INDIRECT("EneR!$A$6:$ZZ$1048576"), MATCH(AE$1, EneR!$6:$6, 0), FALSE),
            0
        ) +
        IFERROR(
            VLOOKUP($A21, INDIRECT("FebR!$A$6:$ZZ$1048576"), MATCH(AE$1, FebR!$6:$6, 0), FALSE),
            0
        ) +
        IFERROR(
            VLOOKUP($A21, INDIRECT("MarR!$A$6:$ZZ$1048576"), MATCH(AE$1, MarR!$6:$6, 0), FALSE),
            0
        ) +
        IFERROR(
            VLOOKUP($A21, INDIRECT("AbrR!$A$6:$ZZ$1048576"), MATCH(AE$1, AbrR!$6:$6, 0), FALSE),
            0
        ) +
        IFERROR(
            VLOOKUP($A21, INDIRECT("MayR!$A$6:$ZZ$1048576"), MATCH(AE$1, MayR!$6:$6, 0), FALSE),
            0
        ) +
        IFERROR(
            VLOOKUP($A21, INDIRECT("JunR!$A$6:$ZZ$1048576"), MATCH(AE$1, JunR!$6:$6, 0), FALSE),
            0
        ) +
        IFERROR(
            VLOOKUP($A21, INDIRECT("JulR!$A$6:$ZZ$1048576"), MATCH(AE$1, JulR!$6:$6, 0), FALSE),
            0
        ) +
        IFERROR(
            VLOOKUP($A21, INDIRECT("AgoR!$A$6:$ZZ$1048576"), MATCH(AE$1, AgoR!$6:$6, 0), FALSE),
            0
        ) +
        IFERROR(
            VLOOKUP($A21, INDIRECT("SepR!$A$6:$ZZ$1048576"), MATCH(AE$1, SepR!$6:$6, 0), FALSE),
            0
        ) +
        IFERROR(
            VLOOKUP($A21, INDIRECT("OctR!$A$6:$ZZ$1048576"), MATCH(AE$1, OctR!$6:$6, 0), FALSE),
            0
        ) +
        IFERROR(
            VLOOKUP($A21, INDIRECT("NovR!$A$6:$ZZ$1048576"), MATCH(AE$1, NovR!$6:$6, 0), FALSE),
            0
        ) +
        IFERROR(
            VLOOKUP($A21, INDIRECT("DicR!$A$6:$ZZ$1048576"), MATCH(AE$1, DicR!$6:$6, 0), FALSE),
            0
        )
)</f>
        <v>0</v>
      </c>
      <c r="AF21" s="36">
        <f t="array" ref="AF21">SUM(
    IFERROR(
            VLOOKUP($A21, INDIRECT("EneR!$A$6:$ZZ$1048576"), MATCH(AF$1, EneR!$6:$6, 0), FALSE),
            0
        ) +
        IFERROR(
            VLOOKUP($A21, INDIRECT("FebR!$A$6:$ZZ$1048576"), MATCH(AF$1, FebR!$6:$6, 0), FALSE),
            0
        ) +
        IFERROR(
            VLOOKUP($A21, INDIRECT("MarR!$A$6:$ZZ$1048576"), MATCH(AF$1, MarR!$6:$6, 0), FALSE),
            0
        ) +
        IFERROR(
            VLOOKUP($A21, INDIRECT("AbrR!$A$6:$ZZ$1048576"), MATCH(AF$1, AbrR!$6:$6, 0), FALSE),
            0
        ) +
        IFERROR(
            VLOOKUP($A21, INDIRECT("MayR!$A$6:$ZZ$1048576"), MATCH(AF$1, MayR!$6:$6, 0), FALSE),
            0
        ) +
        IFERROR(
            VLOOKUP($A21, INDIRECT("JunR!$A$6:$ZZ$1048576"), MATCH(AF$1, JunR!$6:$6, 0), FALSE),
            0
        ) +
        IFERROR(
            VLOOKUP($A21, INDIRECT("JulR!$A$6:$ZZ$1048576"), MATCH(AF$1, JulR!$6:$6, 0), FALSE),
            0
        ) +
        IFERROR(
            VLOOKUP($A21, INDIRECT("AgoR!$A$6:$ZZ$1048576"), MATCH(AF$1, AgoR!$6:$6, 0), FALSE),
            0
        ) +
        IFERROR(
            VLOOKUP($A21, INDIRECT("SepR!$A$6:$ZZ$1048576"), MATCH(AF$1, SepR!$6:$6, 0), FALSE),
            0
        ) +
        IFERROR(
            VLOOKUP($A21, INDIRECT("OctR!$A$6:$ZZ$1048576"), MATCH(AF$1, OctR!$6:$6, 0), FALSE),
            0
        ) +
        IFERROR(
            VLOOKUP($A21, INDIRECT("NovR!$A$6:$ZZ$1048576"), MATCH(AF$1, NovR!$6:$6, 0), FALSE),
            0
        ) +
        IFERROR(
            VLOOKUP($A21, INDIRECT("DicR!$A$6:$ZZ$1048576"), MATCH(AF$1, DicR!$6:$6, 0), FALSE),
            0
        )
)</f>
        <v>0</v>
      </c>
      <c r="AG21" s="37">
        <f t="array" ref="AG21">SUM(
    IFERROR(
            VLOOKUP($A21, INDIRECT("EneR!$A$6:$ZZ$1048576"), MATCH(AG$1, EneR!$6:$6, 0), FALSE),
            0
        ) +
        IFERROR(
            VLOOKUP($A21, INDIRECT("FebR!$A$6:$ZZ$1048576"), MATCH(AG$1, FebR!$6:$6, 0), FALSE),
            0
        ) +
        IFERROR(
            VLOOKUP($A21, INDIRECT("MarR!$A$6:$ZZ$1048576"), MATCH(AG$1, MarR!$6:$6, 0), FALSE),
            0
        ) +
        IFERROR(
            VLOOKUP($A21, INDIRECT("AbrR!$A$6:$ZZ$1048576"), MATCH(AG$1, AbrR!$6:$6, 0), FALSE),
            0
        ) +
        IFERROR(
            VLOOKUP($A21, INDIRECT("MayR!$A$6:$ZZ$1048576"), MATCH(AG$1, MayR!$6:$6, 0), FALSE),
            0
        ) +
        IFERROR(
            VLOOKUP($A21, INDIRECT("JunR!$A$6:$ZZ$1048576"), MATCH(AG$1, JunR!$6:$6, 0), FALSE),
            0
        ) +
        IFERROR(
            VLOOKUP($A21, INDIRECT("JulR!$A$6:$ZZ$1048576"), MATCH(AG$1, JulR!$6:$6, 0), FALSE),
            0
        ) +
        IFERROR(
            VLOOKUP($A21, INDIRECT("AgoR!$A$6:$ZZ$1048576"), MATCH(AG$1, AgoR!$6:$6, 0), FALSE),
            0
        ) +
        IFERROR(
            VLOOKUP($A21, INDIRECT("SepR!$A$6:$ZZ$1048576"), MATCH(AG$1, SepR!$6:$6, 0), FALSE),
            0
        ) +
        IFERROR(
            VLOOKUP($A21, INDIRECT("OctR!$A$6:$ZZ$1048576"), MATCH(AG$1, OctR!$6:$6, 0), FALSE),
            0
        ) +
        IFERROR(
            VLOOKUP($A21, INDIRECT("NovR!$A$6:$ZZ$1048576"), MATCH(AG$1, NovR!$6:$6, 0), FALSE),
            0
        ) +
        IFERROR(
            VLOOKUP($A21, INDIRECT("DicR!$A$6:$ZZ$1048576"), MATCH(AG$1, DicR!$6:$6, 0), FALSE),
            0
        )
)</f>
        <v>0</v>
      </c>
      <c r="AH21" s="36">
        <f t="array" ref="AH21">SUM(
    IFERROR(
            VLOOKUP($A21, INDIRECT("EneR!$A$6:$ZZ$1048576"), MATCH(AH$1, EneR!$6:$6, 0), FALSE),
            0
        ) +
        IFERROR(
            VLOOKUP($A21, INDIRECT("FebR!$A$6:$ZZ$1048576"), MATCH(AH$1, FebR!$6:$6, 0), FALSE),
            0
        ) +
        IFERROR(
            VLOOKUP($A21, INDIRECT("MarR!$A$6:$ZZ$1048576"), MATCH(AH$1, MarR!$6:$6, 0), FALSE),
            0
        ) +
        IFERROR(
            VLOOKUP($A21, INDIRECT("AbrR!$A$6:$ZZ$1048576"), MATCH(AH$1, AbrR!$6:$6, 0), FALSE),
            0
        ) +
        IFERROR(
            VLOOKUP($A21, INDIRECT("MayR!$A$6:$ZZ$1048576"), MATCH(AH$1, MayR!$6:$6, 0), FALSE),
            0
        ) +
        IFERROR(
            VLOOKUP($A21, INDIRECT("JunR!$A$6:$ZZ$1048576"), MATCH(AH$1, JunR!$6:$6, 0), FALSE),
            0
        ) +
        IFERROR(
            VLOOKUP($A21, INDIRECT("JulR!$A$6:$ZZ$1048576"), MATCH(AH$1, JulR!$6:$6, 0), FALSE),
            0
        ) +
        IFERROR(
            VLOOKUP($A21, INDIRECT("AgoR!$A$6:$ZZ$1048576"), MATCH(AH$1, AgoR!$6:$6, 0), FALSE),
            0
        ) +
        IFERROR(
            VLOOKUP($A21, INDIRECT("SepR!$A$6:$ZZ$1048576"), MATCH(AH$1, SepR!$6:$6, 0), FALSE),
            0
        ) +
        IFERROR(
            VLOOKUP($A21, INDIRECT("OctR!$A$6:$ZZ$1048576"), MATCH(AH$1, OctR!$6:$6, 0), FALSE),
            0
        ) +
        IFERROR(
            VLOOKUP($A21, INDIRECT("NovR!$A$6:$ZZ$1048576"), MATCH(AH$1, NovR!$6:$6, 0), FALSE),
            0
        ) +
        IFERROR(
            VLOOKUP($A21, INDIRECT("DicR!$A$6:$ZZ$1048576"), MATCH(AH$1, DicR!$6:$6, 0), FALSE),
            0
        )
)</f>
        <v>0</v>
      </c>
      <c r="AI21" s="37">
        <f t="array" ref="AI21">SUM(
    IFERROR(
            VLOOKUP($A21, INDIRECT("EneR!$A$6:$ZZ$1048576"), MATCH(AI$1, EneR!$6:$6, 0), FALSE),
            0
        ) +
        IFERROR(
            VLOOKUP($A21, INDIRECT("FebR!$A$6:$ZZ$1048576"), MATCH(AI$1, FebR!$6:$6, 0), FALSE),
            0
        ) +
        IFERROR(
            VLOOKUP($A21, INDIRECT("MarR!$A$6:$ZZ$1048576"), MATCH(AI$1, MarR!$6:$6, 0), FALSE),
            0
        ) +
        IFERROR(
            VLOOKUP($A21, INDIRECT("AbrR!$A$6:$ZZ$1048576"), MATCH(AI$1, AbrR!$6:$6, 0), FALSE),
            0
        ) +
        IFERROR(
            VLOOKUP($A21, INDIRECT("MayR!$A$6:$ZZ$1048576"), MATCH(AI$1, MayR!$6:$6, 0), FALSE),
            0
        ) +
        IFERROR(
            VLOOKUP($A21, INDIRECT("JunR!$A$6:$ZZ$1048576"), MATCH(AI$1, JunR!$6:$6, 0), FALSE),
            0
        ) +
        IFERROR(
            VLOOKUP($A21, INDIRECT("JulR!$A$6:$ZZ$1048576"), MATCH(AI$1, JulR!$6:$6, 0), FALSE),
            0
        ) +
        IFERROR(
            VLOOKUP($A21, INDIRECT("AgoR!$A$6:$ZZ$1048576"), MATCH(AI$1, AgoR!$6:$6, 0), FALSE),
            0
        ) +
        IFERROR(
            VLOOKUP($A21, INDIRECT("SepR!$A$6:$ZZ$1048576"), MATCH(AI$1, SepR!$6:$6, 0), FALSE),
            0
        ) +
        IFERROR(
            VLOOKUP($A21, INDIRECT("OctR!$A$6:$ZZ$1048576"), MATCH(AI$1, OctR!$6:$6, 0), FALSE),
            0
        ) +
        IFERROR(
            VLOOKUP($A21, INDIRECT("NovR!$A$6:$ZZ$1048576"), MATCH(AI$1, NovR!$6:$6, 0), FALSE),
            0
        ) +
        IFERROR(
            VLOOKUP($A21, INDIRECT("DicR!$A$6:$ZZ$1048576"), MATCH(AI$1, DicR!$6:$6, 0), FALSE),
            0
        )
)</f>
        <v>0</v>
      </c>
      <c r="AJ21" s="36">
        <f t="array" ref="AJ21">SUM(
    IFERROR(
            VLOOKUP($A21, INDIRECT("EneR!$A$6:$ZZ$1048576"), MATCH(AJ$1, EneR!$6:$6, 0), FALSE),
            0
        ) +
        IFERROR(
            VLOOKUP($A21, INDIRECT("FebR!$A$6:$ZZ$1048576"), MATCH(AJ$1, FebR!$6:$6, 0), FALSE),
            0
        ) +
        IFERROR(
            VLOOKUP($A21, INDIRECT("MarR!$A$6:$ZZ$1048576"), MATCH(AJ$1, MarR!$6:$6, 0), FALSE),
            0
        ) +
        IFERROR(
            VLOOKUP($A21, INDIRECT("AbrR!$A$6:$ZZ$1048576"), MATCH(AJ$1, AbrR!$6:$6, 0), FALSE),
            0
        ) +
        IFERROR(
            VLOOKUP($A21, INDIRECT("MayR!$A$6:$ZZ$1048576"), MATCH(AJ$1, MayR!$6:$6, 0), FALSE),
            0
        ) +
        IFERROR(
            VLOOKUP($A21, INDIRECT("JunR!$A$6:$ZZ$1048576"), MATCH(AJ$1, JunR!$6:$6, 0), FALSE),
            0
        ) +
        IFERROR(
            VLOOKUP($A21, INDIRECT("JulR!$A$6:$ZZ$1048576"), MATCH(AJ$1, JulR!$6:$6, 0), FALSE),
            0
        ) +
        IFERROR(
            VLOOKUP($A21, INDIRECT("AgoR!$A$6:$ZZ$1048576"), MATCH(AJ$1, AgoR!$6:$6, 0), FALSE),
            0
        ) +
        IFERROR(
            VLOOKUP($A21, INDIRECT("SepR!$A$6:$ZZ$1048576"), MATCH(AJ$1, SepR!$6:$6, 0), FALSE),
            0
        ) +
        IFERROR(
            VLOOKUP($A21, INDIRECT("OctR!$A$6:$ZZ$1048576"), MATCH(AJ$1, OctR!$6:$6, 0), FALSE),
            0
        ) +
        IFERROR(
            VLOOKUP($A21, INDIRECT("NovR!$A$6:$ZZ$1048576"), MATCH(AJ$1, NovR!$6:$6, 0), FALSE),
            0
        ) +
        IFERROR(
            VLOOKUP($A21, INDIRECT("DicR!$A$6:$ZZ$1048576"), MATCH(AJ$1, DicR!$6:$6, 0), FALSE),
            0
        )
)</f>
        <v>0</v>
      </c>
      <c r="AK21" s="37">
        <f t="array" ref="AK21">SUM(
    IFERROR(
            VLOOKUP($A21, INDIRECT("EneR!$A$6:$ZZ$1048576"), MATCH(AK$1, EneR!$6:$6, 0), FALSE),
            0
        ) +
        IFERROR(
            VLOOKUP($A21, INDIRECT("FebR!$A$6:$ZZ$1048576"), MATCH(AK$1, FebR!$6:$6, 0), FALSE),
            0
        ) +
        IFERROR(
            VLOOKUP($A21, INDIRECT("MarR!$A$6:$ZZ$1048576"), MATCH(AK$1, MarR!$6:$6, 0), FALSE),
            0
        ) +
        IFERROR(
            VLOOKUP($A21, INDIRECT("AbrR!$A$6:$ZZ$1048576"), MATCH(AK$1, AbrR!$6:$6, 0), FALSE),
            0
        ) +
        IFERROR(
            VLOOKUP($A21, INDIRECT("MayR!$A$6:$ZZ$1048576"), MATCH(AK$1, MayR!$6:$6, 0), FALSE),
            0
        ) +
        IFERROR(
            VLOOKUP($A21, INDIRECT("JunR!$A$6:$ZZ$1048576"), MATCH(AK$1, JunR!$6:$6, 0), FALSE),
            0
        ) +
        IFERROR(
            VLOOKUP($A21, INDIRECT("JulR!$A$6:$ZZ$1048576"), MATCH(AK$1, JulR!$6:$6, 0), FALSE),
            0
        ) +
        IFERROR(
            VLOOKUP($A21, INDIRECT("AgoR!$A$6:$ZZ$1048576"), MATCH(AK$1, AgoR!$6:$6, 0), FALSE),
            0
        ) +
        IFERROR(
            VLOOKUP($A21, INDIRECT("SepR!$A$6:$ZZ$1048576"), MATCH(AK$1, SepR!$6:$6, 0), FALSE),
            0
        ) +
        IFERROR(
            VLOOKUP($A21, INDIRECT("OctR!$A$6:$ZZ$1048576"), MATCH(AK$1, OctR!$6:$6, 0), FALSE),
            0
        ) +
        IFERROR(
            VLOOKUP($A21, INDIRECT("NovR!$A$6:$ZZ$1048576"), MATCH(AK$1, NovR!$6:$6, 0), FALSE),
            0
        ) +
        IFERROR(
            VLOOKUP($A21, INDIRECT("DicR!$A$6:$ZZ$1048576"), MATCH(AK$1, DicR!$6:$6, 0), FALSE),
            0
        )
)</f>
        <v>0</v>
      </c>
      <c r="AL21" s="36">
        <f t="array" ref="AL21">SUM(
    IFERROR(
            VLOOKUP($A21, INDIRECT("EneR!$A$6:$ZZ$1048576"), MATCH(AL$1, EneR!$6:$6, 0), FALSE),
            0
        ) +
        IFERROR(
            VLOOKUP($A21, INDIRECT("FebR!$A$6:$ZZ$1048576"), MATCH(AL$1, FebR!$6:$6, 0), FALSE),
            0
        ) +
        IFERROR(
            VLOOKUP($A21, INDIRECT("MarR!$A$6:$ZZ$1048576"), MATCH(AL$1, MarR!$6:$6, 0), FALSE),
            0
        ) +
        IFERROR(
            VLOOKUP($A21, INDIRECT("AbrR!$A$6:$ZZ$1048576"), MATCH(AL$1, AbrR!$6:$6, 0), FALSE),
            0
        ) +
        IFERROR(
            VLOOKUP($A21, INDIRECT("MayR!$A$6:$ZZ$1048576"), MATCH(AL$1, MayR!$6:$6, 0), FALSE),
            0
        ) +
        IFERROR(
            VLOOKUP($A21, INDIRECT("JunR!$A$6:$ZZ$1048576"), MATCH(AL$1, JunR!$6:$6, 0), FALSE),
            0
        ) +
        IFERROR(
            VLOOKUP($A21, INDIRECT("JulR!$A$6:$ZZ$1048576"), MATCH(AL$1, JulR!$6:$6, 0), FALSE),
            0
        ) +
        IFERROR(
            VLOOKUP($A21, INDIRECT("AgoR!$A$6:$ZZ$1048576"), MATCH(AL$1, AgoR!$6:$6, 0), FALSE),
            0
        ) +
        IFERROR(
            VLOOKUP($A21, INDIRECT("SepR!$A$6:$ZZ$1048576"), MATCH(AL$1, SepR!$6:$6, 0), FALSE),
            0
        ) +
        IFERROR(
            VLOOKUP($A21, INDIRECT("OctR!$A$6:$ZZ$1048576"), MATCH(AL$1, OctR!$6:$6, 0), FALSE),
            0
        ) +
        IFERROR(
            VLOOKUP($A21, INDIRECT("NovR!$A$6:$ZZ$1048576"), MATCH(AL$1, NovR!$6:$6, 0), FALSE),
            0
        ) +
        IFERROR(
            VLOOKUP($A21, INDIRECT("DicR!$A$6:$ZZ$1048576"), MATCH(AL$1, DicR!$6:$6, 0), FALSE),
            0
        )
)</f>
        <v>0</v>
      </c>
      <c r="AM21" s="37">
        <f t="array" ref="AM21">SUM(
    IFERROR(
            VLOOKUP($A21, INDIRECT("EneR!$A$6:$ZZ$1048576"), MATCH(AM$1, EneR!$6:$6, 0), FALSE),
            0
        ) +
        IFERROR(
            VLOOKUP($A21, INDIRECT("FebR!$A$6:$ZZ$1048576"), MATCH(AM$1, FebR!$6:$6, 0), FALSE),
            0
        ) +
        IFERROR(
            VLOOKUP($A21, INDIRECT("MarR!$A$6:$ZZ$1048576"), MATCH(AM$1, MarR!$6:$6, 0), FALSE),
            0
        ) +
        IFERROR(
            VLOOKUP($A21, INDIRECT("AbrR!$A$6:$ZZ$1048576"), MATCH(AM$1, AbrR!$6:$6, 0), FALSE),
            0
        ) +
        IFERROR(
            VLOOKUP($A21, INDIRECT("MayR!$A$6:$ZZ$1048576"), MATCH(AM$1, MayR!$6:$6, 0), FALSE),
            0
        ) +
        IFERROR(
            VLOOKUP($A21, INDIRECT("JunR!$A$6:$ZZ$1048576"), MATCH(AM$1, JunR!$6:$6, 0), FALSE),
            0
        ) +
        IFERROR(
            VLOOKUP($A21, INDIRECT("JulR!$A$6:$ZZ$1048576"), MATCH(AM$1, JulR!$6:$6, 0), FALSE),
            0
        ) +
        IFERROR(
            VLOOKUP($A21, INDIRECT("AgoR!$A$6:$ZZ$1048576"), MATCH(AM$1, AgoR!$6:$6, 0), FALSE),
            0
        ) +
        IFERROR(
            VLOOKUP($A21, INDIRECT("SepR!$A$6:$ZZ$1048576"), MATCH(AM$1, SepR!$6:$6, 0), FALSE),
            0
        ) +
        IFERROR(
            VLOOKUP($A21, INDIRECT("OctR!$A$6:$ZZ$1048576"), MATCH(AM$1, OctR!$6:$6, 0), FALSE),
            0
        ) +
        IFERROR(
            VLOOKUP($A21, INDIRECT("NovR!$A$6:$ZZ$1048576"), MATCH(AM$1, NovR!$6:$6, 0), FALSE),
            0
        ) +
        IFERROR(
            VLOOKUP($A21, INDIRECT("DicR!$A$6:$ZZ$1048576"), MATCH(AM$1, DicR!$6:$6, 0), FALSE),
            0
        )
)</f>
        <v>0</v>
      </c>
      <c r="AN21" s="36">
        <f t="array" ref="AN21">SUM(
    IFERROR(
            VLOOKUP($A21, INDIRECT("EneR!$A$6:$ZZ$1048576"), MATCH(AN$1, EneR!$6:$6, 0), FALSE),
            0
        ) +
        IFERROR(
            VLOOKUP($A21, INDIRECT("FebR!$A$6:$ZZ$1048576"), MATCH(AN$1, FebR!$6:$6, 0), FALSE),
            0
        ) +
        IFERROR(
            VLOOKUP($A21, INDIRECT("MarR!$A$6:$ZZ$1048576"), MATCH(AN$1, MarR!$6:$6, 0), FALSE),
            0
        ) +
        IFERROR(
            VLOOKUP($A21, INDIRECT("AbrR!$A$6:$ZZ$1048576"), MATCH(AN$1, AbrR!$6:$6, 0), FALSE),
            0
        ) +
        IFERROR(
            VLOOKUP($A21, INDIRECT("MayR!$A$6:$ZZ$1048576"), MATCH(AN$1, MayR!$6:$6, 0), FALSE),
            0
        ) +
        IFERROR(
            VLOOKUP($A21, INDIRECT("JunR!$A$6:$ZZ$1048576"), MATCH(AN$1, JunR!$6:$6, 0), FALSE),
            0
        ) +
        IFERROR(
            VLOOKUP($A21, INDIRECT("JulR!$A$6:$ZZ$1048576"), MATCH(AN$1, JulR!$6:$6, 0), FALSE),
            0
        ) +
        IFERROR(
            VLOOKUP($A21, INDIRECT("AgoR!$A$6:$ZZ$1048576"), MATCH(AN$1, AgoR!$6:$6, 0), FALSE),
            0
        ) +
        IFERROR(
            VLOOKUP($A21, INDIRECT("SepR!$A$6:$ZZ$1048576"), MATCH(AN$1, SepR!$6:$6, 0), FALSE),
            0
        ) +
        IFERROR(
            VLOOKUP($A21, INDIRECT("OctR!$A$6:$ZZ$1048576"), MATCH(AN$1, OctR!$6:$6, 0), FALSE),
            0
        ) +
        IFERROR(
            VLOOKUP($A21, INDIRECT("NovR!$A$6:$ZZ$1048576"), MATCH(AN$1, NovR!$6:$6, 0), FALSE),
            0
        ) +
        IFERROR(
            VLOOKUP($A21, INDIRECT("DicR!$A$6:$ZZ$1048576"), MATCH(AN$1, DicR!$6:$6, 0), FALSE),
            0
        )
)</f>
        <v>0</v>
      </c>
      <c r="AO21" s="37">
        <f t="array" ref="AO21">SUM(
    IFERROR(
            VLOOKUP($A21, INDIRECT("EneR!$A$6:$ZZ$1048576"), MATCH(AO$1, EneR!$6:$6, 0), FALSE),
            0
        ) +
        IFERROR(
            VLOOKUP($A21, INDIRECT("FebR!$A$6:$ZZ$1048576"), MATCH(AO$1, FebR!$6:$6, 0), FALSE),
            0
        ) +
        IFERROR(
            VLOOKUP($A21, INDIRECT("MarR!$A$6:$ZZ$1048576"), MATCH(AO$1, MarR!$6:$6, 0), FALSE),
            0
        ) +
        IFERROR(
            VLOOKUP($A21, INDIRECT("AbrR!$A$6:$ZZ$1048576"), MATCH(AO$1, AbrR!$6:$6, 0), FALSE),
            0
        ) +
        IFERROR(
            VLOOKUP($A21, INDIRECT("MayR!$A$6:$ZZ$1048576"), MATCH(AO$1, MayR!$6:$6, 0), FALSE),
            0
        ) +
        IFERROR(
            VLOOKUP($A21, INDIRECT("JunR!$A$6:$ZZ$1048576"), MATCH(AO$1, JunR!$6:$6, 0), FALSE),
            0
        ) +
        IFERROR(
            VLOOKUP($A21, INDIRECT("JulR!$A$6:$ZZ$1048576"), MATCH(AO$1, JulR!$6:$6, 0), FALSE),
            0
        ) +
        IFERROR(
            VLOOKUP($A21, INDIRECT("AgoR!$A$6:$ZZ$1048576"), MATCH(AO$1, AgoR!$6:$6, 0), FALSE),
            0
        ) +
        IFERROR(
            VLOOKUP($A21, INDIRECT("SepR!$A$6:$ZZ$1048576"), MATCH(AO$1, SepR!$6:$6, 0), FALSE),
            0
        ) +
        IFERROR(
            VLOOKUP($A21, INDIRECT("OctR!$A$6:$ZZ$1048576"), MATCH(AO$1, OctR!$6:$6, 0), FALSE),
            0
        ) +
        IFERROR(
            VLOOKUP($A21, INDIRECT("NovR!$A$6:$ZZ$1048576"), MATCH(AO$1, NovR!$6:$6, 0), FALSE),
            0
        ) +
        IFERROR(
            VLOOKUP($A21, INDIRECT("DicR!$A$6:$ZZ$1048576"), MATCH(AO$1, DicR!$6:$6, 0), FALSE),
            0
        )
)</f>
        <v>0</v>
      </c>
      <c r="AP21" s="36">
        <f t="array" ref="AP21">SUM(
    IFERROR(
            VLOOKUP($A21, INDIRECT("EneR!$A$6:$ZZ$1048576"), MATCH(AP$1, EneR!$6:$6, 0), FALSE),
            0
        ) +
        IFERROR(
            VLOOKUP($A21, INDIRECT("FebR!$A$6:$ZZ$1048576"), MATCH(AP$1, FebR!$6:$6, 0), FALSE),
            0
        ) +
        IFERROR(
            VLOOKUP($A21, INDIRECT("MarR!$A$6:$ZZ$1048576"), MATCH(AP$1, MarR!$6:$6, 0), FALSE),
            0
        ) +
        IFERROR(
            VLOOKUP($A21, INDIRECT("AbrR!$A$6:$ZZ$1048576"), MATCH(AP$1, AbrR!$6:$6, 0), FALSE),
            0
        ) +
        IFERROR(
            VLOOKUP($A21, INDIRECT("MayR!$A$6:$ZZ$1048576"), MATCH(AP$1, MayR!$6:$6, 0), FALSE),
            0
        ) +
        IFERROR(
            VLOOKUP($A21, INDIRECT("JunR!$A$6:$ZZ$1048576"), MATCH(AP$1, JunR!$6:$6, 0), FALSE),
            0
        ) +
        IFERROR(
            VLOOKUP($A21, INDIRECT("JulR!$A$6:$ZZ$1048576"), MATCH(AP$1, JulR!$6:$6, 0), FALSE),
            0
        ) +
        IFERROR(
            VLOOKUP($A21, INDIRECT("AgoR!$A$6:$ZZ$1048576"), MATCH(AP$1, AgoR!$6:$6, 0), FALSE),
            0
        ) +
        IFERROR(
            VLOOKUP($A21, INDIRECT("SepR!$A$6:$ZZ$1048576"), MATCH(AP$1, SepR!$6:$6, 0), FALSE),
            0
        ) +
        IFERROR(
            VLOOKUP($A21, INDIRECT("OctR!$A$6:$ZZ$1048576"), MATCH(AP$1, OctR!$6:$6, 0), FALSE),
            0
        ) +
        IFERROR(
            VLOOKUP($A21, INDIRECT("NovR!$A$6:$ZZ$1048576"), MATCH(AP$1, NovR!$6:$6, 0), FALSE),
            0
        ) +
        IFERROR(
            VLOOKUP($A21, INDIRECT("DicR!$A$6:$ZZ$1048576"), MATCH(AP$1, DicR!$6:$6, 0), FALSE),
            0
        )
)</f>
        <v>0</v>
      </c>
      <c r="AQ21" s="37">
        <f t="array" ref="AQ21">SUM(
    IFERROR(
            VLOOKUP($A21, INDIRECT("EneR!$A$6:$ZZ$1048576"), MATCH(AQ$1, EneR!$6:$6, 0), FALSE),
            0
        ) +
        IFERROR(
            VLOOKUP($A21, INDIRECT("FebR!$A$6:$ZZ$1048576"), MATCH(AQ$1, FebR!$6:$6, 0), FALSE),
            0
        ) +
        IFERROR(
            VLOOKUP($A21, INDIRECT("MarR!$A$6:$ZZ$1048576"), MATCH(AQ$1, MarR!$6:$6, 0), FALSE),
            0
        ) +
        IFERROR(
            VLOOKUP($A21, INDIRECT("AbrR!$A$6:$ZZ$1048576"), MATCH(AQ$1, AbrR!$6:$6, 0), FALSE),
            0
        ) +
        IFERROR(
            VLOOKUP($A21, INDIRECT("MayR!$A$6:$ZZ$1048576"), MATCH(AQ$1, MayR!$6:$6, 0), FALSE),
            0
        ) +
        IFERROR(
            VLOOKUP($A21, INDIRECT("JunR!$A$6:$ZZ$1048576"), MATCH(AQ$1, JunR!$6:$6, 0), FALSE),
            0
        ) +
        IFERROR(
            VLOOKUP($A21, INDIRECT("JulR!$A$6:$ZZ$1048576"), MATCH(AQ$1, JulR!$6:$6, 0), FALSE),
            0
        ) +
        IFERROR(
            VLOOKUP($A21, INDIRECT("AgoR!$A$6:$ZZ$1048576"), MATCH(AQ$1, AgoR!$6:$6, 0), FALSE),
            0
        ) +
        IFERROR(
            VLOOKUP($A21, INDIRECT("SepR!$A$6:$ZZ$1048576"), MATCH(AQ$1, SepR!$6:$6, 0), FALSE),
            0
        ) +
        IFERROR(
            VLOOKUP($A21, INDIRECT("OctR!$A$6:$ZZ$1048576"), MATCH(AQ$1, OctR!$6:$6, 0), FALSE),
            0
        ) +
        IFERROR(
            VLOOKUP($A21, INDIRECT("NovR!$A$6:$ZZ$1048576"), MATCH(AQ$1, NovR!$6:$6, 0), FALSE),
            0
        ) +
        IFERROR(
            VLOOKUP($A21, INDIRECT("DicR!$A$6:$ZZ$1048576"), MATCH(AQ$1, DicR!$6:$6, 0), FALSE),
            0
        )
)</f>
        <v>0</v>
      </c>
      <c r="AR21" s="36">
        <f t="array" ref="AR21">SUM(
    IFERROR(
            VLOOKUP($A21, INDIRECT("EneR!$A$6:$ZZ$1048576"), MATCH(AR$1, EneR!$6:$6, 0), FALSE),
            0
        ) +
        IFERROR(
            VLOOKUP($A21, INDIRECT("FebR!$A$6:$ZZ$1048576"), MATCH(AR$1, FebR!$6:$6, 0), FALSE),
            0
        ) +
        IFERROR(
            VLOOKUP($A21, INDIRECT("MarR!$A$6:$ZZ$1048576"), MATCH(AR$1, MarR!$6:$6, 0), FALSE),
            0
        ) +
        IFERROR(
            VLOOKUP($A21, INDIRECT("AbrR!$A$6:$ZZ$1048576"), MATCH(AR$1, AbrR!$6:$6, 0), FALSE),
            0
        ) +
        IFERROR(
            VLOOKUP($A21, INDIRECT("MayR!$A$6:$ZZ$1048576"), MATCH(AR$1, MayR!$6:$6, 0), FALSE),
            0
        ) +
        IFERROR(
            VLOOKUP($A21, INDIRECT("JunR!$A$6:$ZZ$1048576"), MATCH(AR$1, JunR!$6:$6, 0), FALSE),
            0
        ) +
        IFERROR(
            VLOOKUP($A21, INDIRECT("JulR!$A$6:$ZZ$1048576"), MATCH(AR$1, JulR!$6:$6, 0), FALSE),
            0
        ) +
        IFERROR(
            VLOOKUP($A21, INDIRECT("AgoR!$A$6:$ZZ$1048576"), MATCH(AR$1, AgoR!$6:$6, 0), FALSE),
            0
        ) +
        IFERROR(
            VLOOKUP($A21, INDIRECT("SepR!$A$6:$ZZ$1048576"), MATCH(AR$1, SepR!$6:$6, 0), FALSE),
            0
        ) +
        IFERROR(
            VLOOKUP($A21, INDIRECT("OctR!$A$6:$ZZ$1048576"), MATCH(AR$1, OctR!$6:$6, 0), FALSE),
            0
        ) +
        IFERROR(
            VLOOKUP($A21, INDIRECT("NovR!$A$6:$ZZ$1048576"), MATCH(AR$1, NovR!$6:$6, 0), FALSE),
            0
        ) +
        IFERROR(
            VLOOKUP($A21, INDIRECT("DicR!$A$6:$ZZ$1048576"), MATCH(AR$1, DicR!$6:$6, 0), FALSE),
            0
        )
)</f>
        <v>0</v>
      </c>
      <c r="AS21" s="37">
        <f t="array" ref="AS21">SUM(
    IFERROR(
            VLOOKUP($A21, INDIRECT("EneR!$A$6:$ZZ$1048576"), MATCH(AS$1, EneR!$6:$6, 0), FALSE),
            0
        ) +
        IFERROR(
            VLOOKUP($A21, INDIRECT("FebR!$A$6:$ZZ$1048576"), MATCH(AS$1, FebR!$6:$6, 0), FALSE),
            0
        ) +
        IFERROR(
            VLOOKUP($A21, INDIRECT("MarR!$A$6:$ZZ$1048576"), MATCH(AS$1, MarR!$6:$6, 0), FALSE),
            0
        ) +
        IFERROR(
            VLOOKUP($A21, INDIRECT("AbrR!$A$6:$ZZ$1048576"), MATCH(AS$1, AbrR!$6:$6, 0), FALSE),
            0
        ) +
        IFERROR(
            VLOOKUP($A21, INDIRECT("MayR!$A$6:$ZZ$1048576"), MATCH(AS$1, MayR!$6:$6, 0), FALSE),
            0
        ) +
        IFERROR(
            VLOOKUP($A21, INDIRECT("JunR!$A$6:$ZZ$1048576"), MATCH(AS$1, JunR!$6:$6, 0), FALSE),
            0
        ) +
        IFERROR(
            VLOOKUP($A21, INDIRECT("JulR!$A$6:$ZZ$1048576"), MATCH(AS$1, JulR!$6:$6, 0), FALSE),
            0
        ) +
        IFERROR(
            VLOOKUP($A21, INDIRECT("AgoR!$A$6:$ZZ$1048576"), MATCH(AS$1, AgoR!$6:$6, 0), FALSE),
            0
        ) +
        IFERROR(
            VLOOKUP($A21, INDIRECT("SepR!$A$6:$ZZ$1048576"), MATCH(AS$1, SepR!$6:$6, 0), FALSE),
            0
        ) +
        IFERROR(
            VLOOKUP($A21, INDIRECT("OctR!$A$6:$ZZ$1048576"), MATCH(AS$1, OctR!$6:$6, 0), FALSE),
            0
        ) +
        IFERROR(
            VLOOKUP($A21, INDIRECT("NovR!$A$6:$ZZ$1048576"), MATCH(AS$1, NovR!$6:$6, 0), FALSE),
            0
        ) +
        IFERROR(
            VLOOKUP($A21, INDIRECT("DicR!$A$6:$ZZ$1048576"), MATCH(AS$1, DicR!$6:$6, 0), FALSE),
            0
        )
)</f>
        <v>0</v>
      </c>
      <c r="AT21" s="36">
        <f t="array" ref="AT21">SUM(
    IFERROR(
            VLOOKUP($A21, INDIRECT("EneR!$A$6:$ZZ$1048576"), MATCH(AT$1, EneR!$6:$6, 0), FALSE),
            0
        ) +
        IFERROR(
            VLOOKUP($A21, INDIRECT("FebR!$A$6:$ZZ$1048576"), MATCH(AT$1, FebR!$6:$6, 0), FALSE),
            0
        ) +
        IFERROR(
            VLOOKUP($A21, INDIRECT("MarR!$A$6:$ZZ$1048576"), MATCH(AT$1, MarR!$6:$6, 0), FALSE),
            0
        ) +
        IFERROR(
            VLOOKUP($A21, INDIRECT("AbrR!$A$6:$ZZ$1048576"), MATCH(AT$1, AbrR!$6:$6, 0), FALSE),
            0
        ) +
        IFERROR(
            VLOOKUP($A21, INDIRECT("MayR!$A$6:$ZZ$1048576"), MATCH(AT$1, MayR!$6:$6, 0), FALSE),
            0
        ) +
        IFERROR(
            VLOOKUP($A21, INDIRECT("JunR!$A$6:$ZZ$1048576"), MATCH(AT$1, JunR!$6:$6, 0), FALSE),
            0
        ) +
        IFERROR(
            VLOOKUP($A21, INDIRECT("JulR!$A$6:$ZZ$1048576"), MATCH(AT$1, JulR!$6:$6, 0), FALSE),
            0
        ) +
        IFERROR(
            VLOOKUP($A21, INDIRECT("AgoR!$A$6:$ZZ$1048576"), MATCH(AT$1, AgoR!$6:$6, 0), FALSE),
            0
        ) +
        IFERROR(
            VLOOKUP($A21, INDIRECT("SepR!$A$6:$ZZ$1048576"), MATCH(AT$1, SepR!$6:$6, 0), FALSE),
            0
        ) +
        IFERROR(
            VLOOKUP($A21, INDIRECT("OctR!$A$6:$ZZ$1048576"), MATCH(AT$1, OctR!$6:$6, 0), FALSE),
            0
        ) +
        IFERROR(
            VLOOKUP($A21, INDIRECT("NovR!$A$6:$ZZ$1048576"), MATCH(AT$1, NovR!$6:$6, 0), FALSE),
            0
        ) +
        IFERROR(
            VLOOKUP($A21, INDIRECT("DicR!$A$6:$ZZ$1048576"), MATCH(AT$1, DicR!$6:$6, 0), FALSE),
            0
        )
)</f>
        <v>0</v>
      </c>
      <c r="AU21" s="37">
        <f t="array" ref="AU21">SUM(
    IFERROR(
            VLOOKUP($A21, INDIRECT("EneR!$A$6:$ZZ$1048576"), MATCH(AU$1, EneR!$6:$6, 0), FALSE),
            0
        ) +
        IFERROR(
            VLOOKUP($A21, INDIRECT("FebR!$A$6:$ZZ$1048576"), MATCH(AU$1, FebR!$6:$6, 0), FALSE),
            0
        ) +
        IFERROR(
            VLOOKUP($A21, INDIRECT("MarR!$A$6:$ZZ$1048576"), MATCH(AU$1, MarR!$6:$6, 0), FALSE),
            0
        ) +
        IFERROR(
            VLOOKUP($A21, INDIRECT("AbrR!$A$6:$ZZ$1048576"), MATCH(AU$1, AbrR!$6:$6, 0), FALSE),
            0
        ) +
        IFERROR(
            VLOOKUP($A21, INDIRECT("MayR!$A$6:$ZZ$1048576"), MATCH(AU$1, MayR!$6:$6, 0), FALSE),
            0
        ) +
        IFERROR(
            VLOOKUP($A21, INDIRECT("JunR!$A$6:$ZZ$1048576"), MATCH(AU$1, JunR!$6:$6, 0), FALSE),
            0
        ) +
        IFERROR(
            VLOOKUP($A21, INDIRECT("JulR!$A$6:$ZZ$1048576"), MATCH(AU$1, JulR!$6:$6, 0), FALSE),
            0
        ) +
        IFERROR(
            VLOOKUP($A21, INDIRECT("AgoR!$A$6:$ZZ$1048576"), MATCH(AU$1, AgoR!$6:$6, 0), FALSE),
            0
        ) +
        IFERROR(
            VLOOKUP($A21, INDIRECT("SepR!$A$6:$ZZ$1048576"), MATCH(AU$1, SepR!$6:$6, 0), FALSE),
            0
        ) +
        IFERROR(
            VLOOKUP($A21, INDIRECT("OctR!$A$6:$ZZ$1048576"), MATCH(AU$1, OctR!$6:$6, 0), FALSE),
            0
        ) +
        IFERROR(
            VLOOKUP($A21, INDIRECT("NovR!$A$6:$ZZ$1048576"), MATCH(AU$1, NovR!$6:$6, 0), FALSE),
            0
        ) +
        IFERROR(
            VLOOKUP($A21, INDIRECT("DicR!$A$6:$ZZ$1048576"), MATCH(AU$1, DicR!$6:$6, 0), FALSE),
            0
        )
)</f>
        <v>0</v>
      </c>
      <c r="AV21" s="36">
        <f t="array" ref="AV21">SUM(
    IFERROR(
            VLOOKUP($A21, INDIRECT("EneR!$A$6:$ZZ$1048576"), MATCH(AV$1, EneR!$6:$6, 0), FALSE),
            0
        ) +
        IFERROR(
            VLOOKUP($A21, INDIRECT("FebR!$A$6:$ZZ$1048576"), MATCH(AV$1, FebR!$6:$6, 0), FALSE),
            0
        ) +
        IFERROR(
            VLOOKUP($A21, INDIRECT("MarR!$A$6:$ZZ$1048576"), MATCH(AV$1, MarR!$6:$6, 0), FALSE),
            0
        ) +
        IFERROR(
            VLOOKUP($A21, INDIRECT("AbrR!$A$6:$ZZ$1048576"), MATCH(AV$1, AbrR!$6:$6, 0), FALSE),
            0
        ) +
        IFERROR(
            VLOOKUP($A21, INDIRECT("MayR!$A$6:$ZZ$1048576"), MATCH(AV$1, MayR!$6:$6, 0), FALSE),
            0
        ) +
        IFERROR(
            VLOOKUP($A21, INDIRECT("JunR!$A$6:$ZZ$1048576"), MATCH(AV$1, JunR!$6:$6, 0), FALSE),
            0
        ) +
        IFERROR(
            VLOOKUP($A21, INDIRECT("JulR!$A$6:$ZZ$1048576"), MATCH(AV$1, JulR!$6:$6, 0), FALSE),
            0
        ) +
        IFERROR(
            VLOOKUP($A21, INDIRECT("AgoR!$A$6:$ZZ$1048576"), MATCH(AV$1, AgoR!$6:$6, 0), FALSE),
            0
        ) +
        IFERROR(
            VLOOKUP($A21, INDIRECT("SepR!$A$6:$ZZ$1048576"), MATCH(AV$1, SepR!$6:$6, 0), FALSE),
            0
        ) +
        IFERROR(
            VLOOKUP($A21, INDIRECT("OctR!$A$6:$ZZ$1048576"), MATCH(AV$1, OctR!$6:$6, 0), FALSE),
            0
        ) +
        IFERROR(
            VLOOKUP($A21, INDIRECT("NovR!$A$6:$ZZ$1048576"), MATCH(AV$1, NovR!$6:$6, 0), FALSE),
            0
        ) +
        IFERROR(
            VLOOKUP($A21, INDIRECT("DicR!$A$6:$ZZ$1048576"), MATCH(AV$1, DicR!$6:$6, 0), FALSE),
            0
        )
)</f>
        <v>0</v>
      </c>
      <c r="AW21" s="37">
        <f t="array" ref="AW21">SUM(
    IFERROR(
            VLOOKUP($A21, INDIRECT("EneR!$A$6:$ZZ$1048576"), MATCH(AW$1, EneR!$6:$6, 0), FALSE),
            0
        ) +
        IFERROR(
            VLOOKUP($A21, INDIRECT("FebR!$A$6:$ZZ$1048576"), MATCH(AW$1, FebR!$6:$6, 0), FALSE),
            0
        ) +
        IFERROR(
            VLOOKUP($A21, INDIRECT("MarR!$A$6:$ZZ$1048576"), MATCH(AW$1, MarR!$6:$6, 0), FALSE),
            0
        ) +
        IFERROR(
            VLOOKUP($A21, INDIRECT("AbrR!$A$6:$ZZ$1048576"), MATCH(AW$1, AbrR!$6:$6, 0), FALSE),
            0
        ) +
        IFERROR(
            VLOOKUP($A21, INDIRECT("MayR!$A$6:$ZZ$1048576"), MATCH(AW$1, MayR!$6:$6, 0), FALSE),
            0
        ) +
        IFERROR(
            VLOOKUP($A21, INDIRECT("JunR!$A$6:$ZZ$1048576"), MATCH(AW$1, JunR!$6:$6, 0), FALSE),
            0
        ) +
        IFERROR(
            VLOOKUP($A21, INDIRECT("JulR!$A$6:$ZZ$1048576"), MATCH(AW$1, JulR!$6:$6, 0), FALSE),
            0
        ) +
        IFERROR(
            VLOOKUP($A21, INDIRECT("AgoR!$A$6:$ZZ$1048576"), MATCH(AW$1, AgoR!$6:$6, 0), FALSE),
            0
        ) +
        IFERROR(
            VLOOKUP($A21, INDIRECT("SepR!$A$6:$ZZ$1048576"), MATCH(AW$1, SepR!$6:$6, 0), FALSE),
            0
        ) +
        IFERROR(
            VLOOKUP($A21, INDIRECT("OctR!$A$6:$ZZ$1048576"), MATCH(AW$1, OctR!$6:$6, 0), FALSE),
            0
        ) +
        IFERROR(
            VLOOKUP($A21, INDIRECT("NovR!$A$6:$ZZ$1048576"), MATCH(AW$1, NovR!$6:$6, 0), FALSE),
            0
        ) +
        IFERROR(
            VLOOKUP($A21, INDIRECT("DicR!$A$6:$ZZ$1048576"), MATCH(AW$1, DicR!$6:$6, 0), FALSE),
            0
        )
)</f>
        <v>0</v>
      </c>
      <c r="AX21" s="36">
        <f t="array" ref="AX21">SUM(
    IFERROR(
            VLOOKUP($A21, INDIRECT("EneR!$A$6:$ZZ$1048576"), MATCH(AX$1, EneR!$6:$6, 0), FALSE),
            0
        ) +
        IFERROR(
            VLOOKUP($A21, INDIRECT("FebR!$A$6:$ZZ$1048576"), MATCH(AX$1, FebR!$6:$6, 0), FALSE),
            0
        ) +
        IFERROR(
            VLOOKUP($A21, INDIRECT("MarR!$A$6:$ZZ$1048576"), MATCH(AX$1, MarR!$6:$6, 0), FALSE),
            0
        ) +
        IFERROR(
            VLOOKUP($A21, INDIRECT("AbrR!$A$6:$ZZ$1048576"), MATCH(AX$1, AbrR!$6:$6, 0), FALSE),
            0
        ) +
        IFERROR(
            VLOOKUP($A21, INDIRECT("MayR!$A$6:$ZZ$1048576"), MATCH(AX$1, MayR!$6:$6, 0), FALSE),
            0
        ) +
        IFERROR(
            VLOOKUP($A21, INDIRECT("JunR!$A$6:$ZZ$1048576"), MATCH(AX$1, JunR!$6:$6, 0), FALSE),
            0
        ) +
        IFERROR(
            VLOOKUP($A21, INDIRECT("JulR!$A$6:$ZZ$1048576"), MATCH(AX$1, JulR!$6:$6, 0), FALSE),
            0
        ) +
        IFERROR(
            VLOOKUP($A21, INDIRECT("AgoR!$A$6:$ZZ$1048576"), MATCH(AX$1, AgoR!$6:$6, 0), FALSE),
            0
        ) +
        IFERROR(
            VLOOKUP($A21, INDIRECT("SepR!$A$6:$ZZ$1048576"), MATCH(AX$1, SepR!$6:$6, 0), FALSE),
            0
        ) +
        IFERROR(
            VLOOKUP($A21, INDIRECT("OctR!$A$6:$ZZ$1048576"), MATCH(AX$1, OctR!$6:$6, 0), FALSE),
            0
        ) +
        IFERROR(
            VLOOKUP($A21, INDIRECT("NovR!$A$6:$ZZ$1048576"), MATCH(AX$1, NovR!$6:$6, 0), FALSE),
            0
        ) +
        IFERROR(
            VLOOKUP($A21, INDIRECT("DicR!$A$6:$ZZ$1048576"), MATCH(AX$1, DicR!$6:$6, 0), FALSE),
            0
        )
)</f>
        <v>0</v>
      </c>
      <c r="AY21" s="37">
        <f t="array" ref="AY21">SUM(
    IFERROR(
            VLOOKUP($A21, INDIRECT("EneR!$A$6:$ZZ$1048576"), MATCH(AY$1, EneR!$6:$6, 0), FALSE),
            0
        ) +
        IFERROR(
            VLOOKUP($A21, INDIRECT("FebR!$A$6:$ZZ$1048576"), MATCH(AY$1, FebR!$6:$6, 0), FALSE),
            0
        ) +
        IFERROR(
            VLOOKUP($A21, INDIRECT("MarR!$A$6:$ZZ$1048576"), MATCH(AY$1, MarR!$6:$6, 0), FALSE),
            0
        ) +
        IFERROR(
            VLOOKUP($A21, INDIRECT("AbrR!$A$6:$ZZ$1048576"), MATCH(AY$1, AbrR!$6:$6, 0), FALSE),
            0
        ) +
        IFERROR(
            VLOOKUP($A21, INDIRECT("MayR!$A$6:$ZZ$1048576"), MATCH(AY$1, MayR!$6:$6, 0), FALSE),
            0
        ) +
        IFERROR(
            VLOOKUP($A21, INDIRECT("JunR!$A$6:$ZZ$1048576"), MATCH(AY$1, JunR!$6:$6, 0), FALSE),
            0
        ) +
        IFERROR(
            VLOOKUP($A21, INDIRECT("JulR!$A$6:$ZZ$1048576"), MATCH(AY$1, JulR!$6:$6, 0), FALSE),
            0
        ) +
        IFERROR(
            VLOOKUP($A21, INDIRECT("AgoR!$A$6:$ZZ$1048576"), MATCH(AY$1, AgoR!$6:$6, 0), FALSE),
            0
        ) +
        IFERROR(
            VLOOKUP($A21, INDIRECT("SepR!$A$6:$ZZ$1048576"), MATCH(AY$1, SepR!$6:$6, 0), FALSE),
            0
        ) +
        IFERROR(
            VLOOKUP($A21, INDIRECT("OctR!$A$6:$ZZ$1048576"), MATCH(AY$1, OctR!$6:$6, 0), FALSE),
            0
        ) +
        IFERROR(
            VLOOKUP($A21, INDIRECT("NovR!$A$6:$ZZ$1048576"), MATCH(AY$1, NovR!$6:$6, 0), FALSE),
            0
        ) +
        IFERROR(
            VLOOKUP($A21, INDIRECT("DicR!$A$6:$ZZ$1048576"), MATCH(AY$1, DicR!$6:$6, 0), FALSE),
            0
        )
)</f>
        <v>0</v>
      </c>
      <c r="AZ21" s="37"/>
    </row>
    <row r="22" ht="15.75" customHeight="1">
      <c r="A22" s="12" t="str">
        <f>Menus!R14</f>
        <v/>
      </c>
      <c r="B22" s="32">
        <f t="shared" si="4"/>
        <v>0</v>
      </c>
      <c r="C22" s="33" t="str">
        <f t="shared" si="5"/>
        <v/>
      </c>
      <c r="D22" s="34">
        <f t="array" ref="D22">SUM(
    IFERROR(
            VLOOKUP($A22, INDIRECT("EneR!$A$6:$ZZ$1048576"), MATCH(D$1, EneR!$6:$6, 0), FALSE),
            0
        ) +
        IFERROR(
            VLOOKUP($A22, INDIRECT("FebR!$A$6:$ZZ$1048576"), MATCH(D$1, FebR!$6:$6, 0), FALSE),
            0
        ) +
        IFERROR(
            VLOOKUP($A22, INDIRECT("MarR!$A$6:$ZZ$1048576"), MATCH(D$1, MarR!$6:$6, 0), FALSE),
            0
        ) +
        IFERROR(
            VLOOKUP($A22, INDIRECT("AbrR!$A$6:$ZZ$1048576"), MATCH(D$1, AbrR!$6:$6, 0), FALSE),
            0
        ) +
        IFERROR(
            VLOOKUP($A22, INDIRECT("MayR!$A$6:$ZZ$1048576"), MATCH(D$1, MayR!$6:$6, 0), FALSE),
            0
        ) +
        IFERROR(
            VLOOKUP($A22, INDIRECT("JunR!$A$6:$ZZ$1048576"), MATCH(D$1, JunR!$6:$6, 0), FALSE),
            0
        ) +
        IFERROR(
            VLOOKUP($A22, INDIRECT("JulR!$A$6:$ZZ$1048576"), MATCH(D$1, JulR!$6:$6, 0), FALSE),
            0
        ) +
        IFERROR(
            VLOOKUP($A22, INDIRECT("AgoR!$A$6:$ZZ$1048576"), MATCH(D$1, AgoR!$6:$6, 0), FALSE),
            0
        ) +
        IFERROR(
            VLOOKUP($A22, INDIRECT("SepR!$A$6:$ZZ$1048576"), MATCH(D$1, SepR!$6:$6, 0), FALSE),
            0
        ) +
        IFERROR(
            VLOOKUP($A22, INDIRECT("OctR!$A$6:$ZZ$1048576"), MATCH(D$1, OctR!$6:$6, 0), FALSE),
            0
        ) +
        IFERROR(
            VLOOKUP($A22, INDIRECT("NovR!$A$6:$ZZ$1048576"), MATCH(D$1, NovR!$6:$6, 0), FALSE),
            0
        ) +
        IFERROR(
            VLOOKUP($A22, INDIRECT("DicR!$A$6:$ZZ$1048576"), MATCH(D$1, DicR!$6:$6, 0), FALSE),
            0
        )
)</f>
        <v>0</v>
      </c>
      <c r="E22" s="35">
        <f t="array" ref="E22">SUM(
    IFERROR(
            VLOOKUP($A22, INDIRECT("EneR!$A$6:$ZZ$1048576"), MATCH(E$1, EneR!$6:$6, 0), FALSE),
            0
        ) +
        IFERROR(
            VLOOKUP($A22, INDIRECT("FebR!$A$6:$ZZ$1048576"), MATCH(E$1, FebR!$6:$6, 0), FALSE),
            0
        ) +
        IFERROR(
            VLOOKUP($A22, INDIRECT("MarR!$A$6:$ZZ$1048576"), MATCH(E$1, MarR!$6:$6, 0), FALSE),
            0
        ) +
        IFERROR(
            VLOOKUP($A22, INDIRECT("AbrR!$A$6:$ZZ$1048576"), MATCH(E$1, AbrR!$6:$6, 0), FALSE),
            0
        ) +
        IFERROR(
            VLOOKUP($A22, INDIRECT("MayR!$A$6:$ZZ$1048576"), MATCH(E$1, MayR!$6:$6, 0), FALSE),
            0
        ) +
        IFERROR(
            VLOOKUP($A22, INDIRECT("JunR!$A$6:$ZZ$1048576"), MATCH(E$1, JunR!$6:$6, 0), FALSE),
            0
        ) +
        IFERROR(
            VLOOKUP($A22, INDIRECT("JulR!$A$6:$ZZ$1048576"), MATCH(E$1, JulR!$6:$6, 0), FALSE),
            0
        ) +
        IFERROR(
            VLOOKUP($A22, INDIRECT("AgoR!$A$6:$ZZ$1048576"), MATCH(E$1, AgoR!$6:$6, 0), FALSE),
            0
        ) +
        IFERROR(
            VLOOKUP($A22, INDIRECT("SepR!$A$6:$ZZ$1048576"), MATCH(E$1, SepR!$6:$6, 0), FALSE),
            0
        ) +
        IFERROR(
            VLOOKUP($A22, INDIRECT("OctR!$A$6:$ZZ$1048576"), MATCH(E$1, OctR!$6:$6, 0), FALSE),
            0
        ) +
        IFERROR(
            VLOOKUP($A22, INDIRECT("NovR!$A$6:$ZZ$1048576"), MATCH(E$1, NovR!$6:$6, 0), FALSE),
            0
        ) +
        IFERROR(
            VLOOKUP($A22, INDIRECT("DicR!$A$6:$ZZ$1048576"), MATCH(E$1, DicR!$6:$6, 0), FALSE),
            0
        )
)</f>
        <v>0</v>
      </c>
      <c r="F22" s="32">
        <f t="array" ref="F22">SUM(
    IFERROR(
            VLOOKUP($A22, INDIRECT("EneR!$A$6:$ZZ$1048576"), MATCH(F$1, EneR!$6:$6, 0), FALSE),
            0
        ) +
        IFERROR(
            VLOOKUP($A22, INDIRECT("FebR!$A$6:$ZZ$1048576"), MATCH(F$1, FebR!$6:$6, 0), FALSE),
            0
        ) +
        IFERROR(
            VLOOKUP($A22, INDIRECT("MarR!$A$6:$ZZ$1048576"), MATCH(F$1, MarR!$6:$6, 0), FALSE),
            0
        ) +
        IFERROR(
            VLOOKUP($A22, INDIRECT("AbrR!$A$6:$ZZ$1048576"), MATCH(F$1, AbrR!$6:$6, 0), FALSE),
            0
        ) +
        IFERROR(
            VLOOKUP($A22, INDIRECT("MayR!$A$6:$ZZ$1048576"), MATCH(F$1, MayR!$6:$6, 0), FALSE),
            0
        ) +
        IFERROR(
            VLOOKUP($A22, INDIRECT("JunR!$A$6:$ZZ$1048576"), MATCH(F$1, JunR!$6:$6, 0), FALSE),
            0
        ) +
        IFERROR(
            VLOOKUP($A22, INDIRECT("JulR!$A$6:$ZZ$1048576"), MATCH(F$1, JulR!$6:$6, 0), FALSE),
            0
        ) +
        IFERROR(
            VLOOKUP($A22, INDIRECT("AgoR!$A$6:$ZZ$1048576"), MATCH(F$1, AgoR!$6:$6, 0), FALSE),
            0
        ) +
        IFERROR(
            VLOOKUP($A22, INDIRECT("SepR!$A$6:$ZZ$1048576"), MATCH(F$1, SepR!$6:$6, 0), FALSE),
            0
        ) +
        IFERROR(
            VLOOKUP($A22, INDIRECT("OctR!$A$6:$ZZ$1048576"), MATCH(F$1, OctR!$6:$6, 0), FALSE),
            0
        ) +
        IFERROR(
            VLOOKUP($A22, INDIRECT("NovR!$A$6:$ZZ$1048576"), MATCH(F$1, NovR!$6:$6, 0), FALSE),
            0
        ) +
        IFERROR(
            VLOOKUP($A22, INDIRECT("DicR!$A$6:$ZZ$1048576"), MATCH(F$1, DicR!$6:$6, 0), FALSE),
            0
        )
)</f>
        <v>0</v>
      </c>
      <c r="G22" s="35">
        <f t="array" ref="G22">SUM(
    IFERROR(
            VLOOKUP($A22, INDIRECT("EneR!$A$6:$ZZ$1048576"), MATCH(G$1, EneR!$6:$6, 0), FALSE),
            0
        ) +
        IFERROR(
            VLOOKUP($A22, INDIRECT("FebR!$A$6:$ZZ$1048576"), MATCH(G$1, FebR!$6:$6, 0), FALSE),
            0
        ) +
        IFERROR(
            VLOOKUP($A22, INDIRECT("MarR!$A$6:$ZZ$1048576"), MATCH(G$1, MarR!$6:$6, 0), FALSE),
            0
        ) +
        IFERROR(
            VLOOKUP($A22, INDIRECT("AbrR!$A$6:$ZZ$1048576"), MATCH(G$1, AbrR!$6:$6, 0), FALSE),
            0
        ) +
        IFERROR(
            VLOOKUP($A22, INDIRECT("MayR!$A$6:$ZZ$1048576"), MATCH(G$1, MayR!$6:$6, 0), FALSE),
            0
        ) +
        IFERROR(
            VLOOKUP($A22, INDIRECT("JunR!$A$6:$ZZ$1048576"), MATCH(G$1, JunR!$6:$6, 0), FALSE),
            0
        ) +
        IFERROR(
            VLOOKUP($A22, INDIRECT("JulR!$A$6:$ZZ$1048576"), MATCH(G$1, JulR!$6:$6, 0), FALSE),
            0
        ) +
        IFERROR(
            VLOOKUP($A22, INDIRECT("AgoR!$A$6:$ZZ$1048576"), MATCH(G$1, AgoR!$6:$6, 0), FALSE),
            0
        ) +
        IFERROR(
            VLOOKUP($A22, INDIRECT("SepR!$A$6:$ZZ$1048576"), MATCH(G$1, SepR!$6:$6, 0), FALSE),
            0
        ) +
        IFERROR(
            VLOOKUP($A22, INDIRECT("OctR!$A$6:$ZZ$1048576"), MATCH(G$1, OctR!$6:$6, 0), FALSE),
            0
        ) +
        IFERROR(
            VLOOKUP($A22, INDIRECT("NovR!$A$6:$ZZ$1048576"), MATCH(G$1, NovR!$6:$6, 0), FALSE),
            0
        ) +
        IFERROR(
            VLOOKUP($A22, INDIRECT("DicR!$A$6:$ZZ$1048576"), MATCH(G$1, DicR!$6:$6, 0), FALSE),
            0
        )
)</f>
        <v>0</v>
      </c>
      <c r="H22" s="32">
        <f t="array" ref="H22">SUM(
    IFERROR(
            VLOOKUP($A22, INDIRECT("EneR!$A$6:$ZZ$1048576"), MATCH(H$1, EneR!$6:$6, 0), FALSE),
            0
        ) +
        IFERROR(
            VLOOKUP($A22, INDIRECT("FebR!$A$6:$ZZ$1048576"), MATCH(H$1, FebR!$6:$6, 0), FALSE),
            0
        ) +
        IFERROR(
            VLOOKUP($A22, INDIRECT("MarR!$A$6:$ZZ$1048576"), MATCH(H$1, MarR!$6:$6, 0), FALSE),
            0
        ) +
        IFERROR(
            VLOOKUP($A22, INDIRECT("AbrR!$A$6:$ZZ$1048576"), MATCH(H$1, AbrR!$6:$6, 0), FALSE),
            0
        ) +
        IFERROR(
            VLOOKUP($A22, INDIRECT("MayR!$A$6:$ZZ$1048576"), MATCH(H$1, MayR!$6:$6, 0), FALSE),
            0
        ) +
        IFERROR(
            VLOOKUP($A22, INDIRECT("JunR!$A$6:$ZZ$1048576"), MATCH(H$1, JunR!$6:$6, 0), FALSE),
            0
        ) +
        IFERROR(
            VLOOKUP($A22, INDIRECT("JulR!$A$6:$ZZ$1048576"), MATCH(H$1, JulR!$6:$6, 0), FALSE),
            0
        ) +
        IFERROR(
            VLOOKUP($A22, INDIRECT("AgoR!$A$6:$ZZ$1048576"), MATCH(H$1, AgoR!$6:$6, 0), FALSE),
            0
        ) +
        IFERROR(
            VLOOKUP($A22, INDIRECT("SepR!$A$6:$ZZ$1048576"), MATCH(H$1, SepR!$6:$6, 0), FALSE),
            0
        ) +
        IFERROR(
            VLOOKUP($A22, INDIRECT("OctR!$A$6:$ZZ$1048576"), MATCH(H$1, OctR!$6:$6, 0), FALSE),
            0
        ) +
        IFERROR(
            VLOOKUP($A22, INDIRECT("NovR!$A$6:$ZZ$1048576"), MATCH(H$1, NovR!$6:$6, 0), FALSE),
            0
        ) +
        IFERROR(
            VLOOKUP($A22, INDIRECT("DicR!$A$6:$ZZ$1048576"), MATCH(H$1, DicR!$6:$6, 0), FALSE),
            0
        )
)</f>
        <v>0</v>
      </c>
      <c r="I22" s="35">
        <f t="array" ref="I22">SUM(
    IFERROR(
            VLOOKUP($A22, INDIRECT("EneR!$A$6:$ZZ$1048576"), MATCH(I$1, EneR!$6:$6, 0), FALSE),
            0
        ) +
        IFERROR(
            VLOOKUP($A22, INDIRECT("FebR!$A$6:$ZZ$1048576"), MATCH(I$1, FebR!$6:$6, 0), FALSE),
            0
        ) +
        IFERROR(
            VLOOKUP($A22, INDIRECT("MarR!$A$6:$ZZ$1048576"), MATCH(I$1, MarR!$6:$6, 0), FALSE),
            0
        ) +
        IFERROR(
            VLOOKUP($A22, INDIRECT("AbrR!$A$6:$ZZ$1048576"), MATCH(I$1, AbrR!$6:$6, 0), FALSE),
            0
        ) +
        IFERROR(
            VLOOKUP($A22, INDIRECT("MayR!$A$6:$ZZ$1048576"), MATCH(I$1, MayR!$6:$6, 0), FALSE),
            0
        ) +
        IFERROR(
            VLOOKUP($A22, INDIRECT("JunR!$A$6:$ZZ$1048576"), MATCH(I$1, JunR!$6:$6, 0), FALSE),
            0
        ) +
        IFERROR(
            VLOOKUP($A22, INDIRECT("JulR!$A$6:$ZZ$1048576"), MATCH(I$1, JulR!$6:$6, 0), FALSE),
            0
        ) +
        IFERROR(
            VLOOKUP($A22, INDIRECT("AgoR!$A$6:$ZZ$1048576"), MATCH(I$1, AgoR!$6:$6, 0), FALSE),
            0
        ) +
        IFERROR(
            VLOOKUP($A22, INDIRECT("SepR!$A$6:$ZZ$1048576"), MATCH(I$1, SepR!$6:$6, 0), FALSE),
            0
        ) +
        IFERROR(
            VLOOKUP($A22, INDIRECT("OctR!$A$6:$ZZ$1048576"), MATCH(I$1, OctR!$6:$6, 0), FALSE),
            0
        ) +
        IFERROR(
            VLOOKUP($A22, INDIRECT("NovR!$A$6:$ZZ$1048576"), MATCH(I$1, NovR!$6:$6, 0), FALSE),
            0
        ) +
        IFERROR(
            VLOOKUP($A22, INDIRECT("DicR!$A$6:$ZZ$1048576"), MATCH(I$1, DicR!$6:$6, 0), FALSE),
            0
        )
)</f>
        <v>0</v>
      </c>
      <c r="J22" s="32">
        <f t="array" ref="J22">SUM(
    IFERROR(
            VLOOKUP($A22, INDIRECT("EneR!$A$6:$ZZ$1048576"), MATCH(J$1, EneR!$6:$6, 0), FALSE),
            0
        ) +
        IFERROR(
            VLOOKUP($A22, INDIRECT("FebR!$A$6:$ZZ$1048576"), MATCH(J$1, FebR!$6:$6, 0), FALSE),
            0
        ) +
        IFERROR(
            VLOOKUP($A22, INDIRECT("MarR!$A$6:$ZZ$1048576"), MATCH(J$1, MarR!$6:$6, 0), FALSE),
            0
        ) +
        IFERROR(
            VLOOKUP($A22, INDIRECT("AbrR!$A$6:$ZZ$1048576"), MATCH(J$1, AbrR!$6:$6, 0), FALSE),
            0
        ) +
        IFERROR(
            VLOOKUP($A22, INDIRECT("MayR!$A$6:$ZZ$1048576"), MATCH(J$1, MayR!$6:$6, 0), FALSE),
            0
        ) +
        IFERROR(
            VLOOKUP($A22, INDIRECT("JunR!$A$6:$ZZ$1048576"), MATCH(J$1, JunR!$6:$6, 0), FALSE),
            0
        ) +
        IFERROR(
            VLOOKUP($A22, INDIRECT("JulR!$A$6:$ZZ$1048576"), MATCH(J$1, JulR!$6:$6, 0), FALSE),
            0
        ) +
        IFERROR(
            VLOOKUP($A22, INDIRECT("AgoR!$A$6:$ZZ$1048576"), MATCH(J$1, AgoR!$6:$6, 0), FALSE),
            0
        ) +
        IFERROR(
            VLOOKUP($A22, INDIRECT("SepR!$A$6:$ZZ$1048576"), MATCH(J$1, SepR!$6:$6, 0), FALSE),
            0
        ) +
        IFERROR(
            VLOOKUP($A22, INDIRECT("OctR!$A$6:$ZZ$1048576"), MATCH(J$1, OctR!$6:$6, 0), FALSE),
            0
        ) +
        IFERROR(
            VLOOKUP($A22, INDIRECT("NovR!$A$6:$ZZ$1048576"), MATCH(J$1, NovR!$6:$6, 0), FALSE),
            0
        ) +
        IFERROR(
            VLOOKUP($A22, INDIRECT("DicR!$A$6:$ZZ$1048576"), MATCH(J$1, DicR!$6:$6, 0), FALSE),
            0
        )
)</f>
        <v>0</v>
      </c>
      <c r="K22" s="35">
        <f t="array" ref="K22">SUM(
    IFERROR(
            VLOOKUP($A22, INDIRECT("EneR!$A$6:$ZZ$1048576"), MATCH(K$1, EneR!$6:$6, 0), FALSE),
            0
        ) +
        IFERROR(
            VLOOKUP($A22, INDIRECT("FebR!$A$6:$ZZ$1048576"), MATCH(K$1, FebR!$6:$6, 0), FALSE),
            0
        ) +
        IFERROR(
            VLOOKUP($A22, INDIRECT("MarR!$A$6:$ZZ$1048576"), MATCH(K$1, MarR!$6:$6, 0), FALSE),
            0
        ) +
        IFERROR(
            VLOOKUP($A22, INDIRECT("AbrR!$A$6:$ZZ$1048576"), MATCH(K$1, AbrR!$6:$6, 0), FALSE),
            0
        ) +
        IFERROR(
            VLOOKUP($A22, INDIRECT("MayR!$A$6:$ZZ$1048576"), MATCH(K$1, MayR!$6:$6, 0), FALSE),
            0
        ) +
        IFERROR(
            VLOOKUP($A22, INDIRECT("JunR!$A$6:$ZZ$1048576"), MATCH(K$1, JunR!$6:$6, 0), FALSE),
            0
        ) +
        IFERROR(
            VLOOKUP($A22, INDIRECT("JulR!$A$6:$ZZ$1048576"), MATCH(K$1, JulR!$6:$6, 0), FALSE),
            0
        ) +
        IFERROR(
            VLOOKUP($A22, INDIRECT("AgoR!$A$6:$ZZ$1048576"), MATCH(K$1, AgoR!$6:$6, 0), FALSE),
            0
        ) +
        IFERROR(
            VLOOKUP($A22, INDIRECT("SepR!$A$6:$ZZ$1048576"), MATCH(K$1, SepR!$6:$6, 0), FALSE),
            0
        ) +
        IFERROR(
            VLOOKUP($A22, INDIRECT("OctR!$A$6:$ZZ$1048576"), MATCH(K$1, OctR!$6:$6, 0), FALSE),
            0
        ) +
        IFERROR(
            VLOOKUP($A22, INDIRECT("NovR!$A$6:$ZZ$1048576"), MATCH(K$1, NovR!$6:$6, 0), FALSE),
            0
        ) +
        IFERROR(
            VLOOKUP($A22, INDIRECT("DicR!$A$6:$ZZ$1048576"), MATCH(K$1, DicR!$6:$6, 0), FALSE),
            0
        )
)</f>
        <v>0</v>
      </c>
      <c r="L22" s="32">
        <f t="array" ref="L22">SUM(
    IFERROR(
            VLOOKUP($A22, INDIRECT("EneR!$A$6:$ZZ$1048576"), MATCH(L$1, EneR!$6:$6, 0), FALSE),
            0
        ) +
        IFERROR(
            VLOOKUP($A22, INDIRECT("FebR!$A$6:$ZZ$1048576"), MATCH(L$1, FebR!$6:$6, 0), FALSE),
            0
        ) +
        IFERROR(
            VLOOKUP($A22, INDIRECT("MarR!$A$6:$ZZ$1048576"), MATCH(L$1, MarR!$6:$6, 0), FALSE),
            0
        ) +
        IFERROR(
            VLOOKUP($A22, INDIRECT("AbrR!$A$6:$ZZ$1048576"), MATCH(L$1, AbrR!$6:$6, 0), FALSE),
            0
        ) +
        IFERROR(
            VLOOKUP($A22, INDIRECT("MayR!$A$6:$ZZ$1048576"), MATCH(L$1, MayR!$6:$6, 0), FALSE),
            0
        ) +
        IFERROR(
            VLOOKUP($A22, INDIRECT("JunR!$A$6:$ZZ$1048576"), MATCH(L$1, JunR!$6:$6, 0), FALSE),
            0
        ) +
        IFERROR(
            VLOOKUP($A22, INDIRECT("JulR!$A$6:$ZZ$1048576"), MATCH(L$1, JulR!$6:$6, 0), FALSE),
            0
        ) +
        IFERROR(
            VLOOKUP($A22, INDIRECT("AgoR!$A$6:$ZZ$1048576"), MATCH(L$1, AgoR!$6:$6, 0), FALSE),
            0
        ) +
        IFERROR(
            VLOOKUP($A22, INDIRECT("SepR!$A$6:$ZZ$1048576"), MATCH(L$1, SepR!$6:$6, 0), FALSE),
            0
        ) +
        IFERROR(
            VLOOKUP($A22, INDIRECT("OctR!$A$6:$ZZ$1048576"), MATCH(L$1, OctR!$6:$6, 0), FALSE),
            0
        ) +
        IFERROR(
            VLOOKUP($A22, INDIRECT("NovR!$A$6:$ZZ$1048576"), MATCH(L$1, NovR!$6:$6, 0), FALSE),
            0
        ) +
        IFERROR(
            VLOOKUP($A22, INDIRECT("DicR!$A$6:$ZZ$1048576"), MATCH(L$1, DicR!$6:$6, 0), FALSE),
            0
        )
)</f>
        <v>0</v>
      </c>
      <c r="M22" s="35">
        <f t="array" ref="M22">SUM(
    IFERROR(
            VLOOKUP($A22, INDIRECT("EneR!$A$6:$ZZ$1048576"), MATCH(M$1, EneR!$6:$6, 0), FALSE),
            0
        ) +
        IFERROR(
            VLOOKUP($A22, INDIRECT("FebR!$A$6:$ZZ$1048576"), MATCH(M$1, FebR!$6:$6, 0), FALSE),
            0
        ) +
        IFERROR(
            VLOOKUP($A22, INDIRECT("MarR!$A$6:$ZZ$1048576"), MATCH(M$1, MarR!$6:$6, 0), FALSE),
            0
        ) +
        IFERROR(
            VLOOKUP($A22, INDIRECT("AbrR!$A$6:$ZZ$1048576"), MATCH(M$1, AbrR!$6:$6, 0), FALSE),
            0
        ) +
        IFERROR(
            VLOOKUP($A22, INDIRECT("MayR!$A$6:$ZZ$1048576"), MATCH(M$1, MayR!$6:$6, 0), FALSE),
            0
        ) +
        IFERROR(
            VLOOKUP($A22, INDIRECT("JunR!$A$6:$ZZ$1048576"), MATCH(M$1, JunR!$6:$6, 0), FALSE),
            0
        ) +
        IFERROR(
            VLOOKUP($A22, INDIRECT("JulR!$A$6:$ZZ$1048576"), MATCH(M$1, JulR!$6:$6, 0), FALSE),
            0
        ) +
        IFERROR(
            VLOOKUP($A22, INDIRECT("AgoR!$A$6:$ZZ$1048576"), MATCH(M$1, AgoR!$6:$6, 0), FALSE),
            0
        ) +
        IFERROR(
            VLOOKUP($A22, INDIRECT("SepR!$A$6:$ZZ$1048576"), MATCH(M$1, SepR!$6:$6, 0), FALSE),
            0
        ) +
        IFERROR(
            VLOOKUP($A22, INDIRECT("OctR!$A$6:$ZZ$1048576"), MATCH(M$1, OctR!$6:$6, 0), FALSE),
            0
        ) +
        IFERROR(
            VLOOKUP($A22, INDIRECT("NovR!$A$6:$ZZ$1048576"), MATCH(M$1, NovR!$6:$6, 0), FALSE),
            0
        ) +
        IFERROR(
            VLOOKUP($A22, INDIRECT("DicR!$A$6:$ZZ$1048576"), MATCH(M$1, DicR!$6:$6, 0), FALSE),
            0
        )
)</f>
        <v>0</v>
      </c>
      <c r="N22" s="32">
        <f t="array" ref="N22">SUM(
    IFERROR(
            VLOOKUP($A22, INDIRECT("EneR!$A$6:$ZZ$1048576"), MATCH(N$1, EneR!$6:$6, 0), FALSE),
            0
        ) +
        IFERROR(
            VLOOKUP($A22, INDIRECT("FebR!$A$6:$ZZ$1048576"), MATCH(N$1, FebR!$6:$6, 0), FALSE),
            0
        ) +
        IFERROR(
            VLOOKUP($A22, INDIRECT("MarR!$A$6:$ZZ$1048576"), MATCH(N$1, MarR!$6:$6, 0), FALSE),
            0
        ) +
        IFERROR(
            VLOOKUP($A22, INDIRECT("AbrR!$A$6:$ZZ$1048576"), MATCH(N$1, AbrR!$6:$6, 0), FALSE),
            0
        ) +
        IFERROR(
            VLOOKUP($A22, INDIRECT("MayR!$A$6:$ZZ$1048576"), MATCH(N$1, MayR!$6:$6, 0), FALSE),
            0
        ) +
        IFERROR(
            VLOOKUP($A22, INDIRECT("JunR!$A$6:$ZZ$1048576"), MATCH(N$1, JunR!$6:$6, 0), FALSE),
            0
        ) +
        IFERROR(
            VLOOKUP($A22, INDIRECT("JulR!$A$6:$ZZ$1048576"), MATCH(N$1, JulR!$6:$6, 0), FALSE),
            0
        ) +
        IFERROR(
            VLOOKUP($A22, INDIRECT("AgoR!$A$6:$ZZ$1048576"), MATCH(N$1, AgoR!$6:$6, 0), FALSE),
            0
        ) +
        IFERROR(
            VLOOKUP($A22, INDIRECT("SepR!$A$6:$ZZ$1048576"), MATCH(N$1, SepR!$6:$6, 0), FALSE),
            0
        ) +
        IFERROR(
            VLOOKUP($A22, INDIRECT("OctR!$A$6:$ZZ$1048576"), MATCH(N$1, OctR!$6:$6, 0), FALSE),
            0
        ) +
        IFERROR(
            VLOOKUP($A22, INDIRECT("NovR!$A$6:$ZZ$1048576"), MATCH(N$1, NovR!$6:$6, 0), FALSE),
            0
        ) +
        IFERROR(
            VLOOKUP($A22, INDIRECT("DicR!$A$6:$ZZ$1048576"), MATCH(N$1, DicR!$6:$6, 0), FALSE),
            0
        )
)</f>
        <v>0</v>
      </c>
      <c r="O22" s="35">
        <f t="array" ref="O22">SUM(
    IFERROR(
            VLOOKUP($A22, INDIRECT("EneR!$A$6:$ZZ$1048576"), MATCH(O$1, EneR!$6:$6, 0), FALSE),
            0
        ) +
        IFERROR(
            VLOOKUP($A22, INDIRECT("FebR!$A$6:$ZZ$1048576"), MATCH(O$1, FebR!$6:$6, 0), FALSE),
            0
        ) +
        IFERROR(
            VLOOKUP($A22, INDIRECT("MarR!$A$6:$ZZ$1048576"), MATCH(O$1, MarR!$6:$6, 0), FALSE),
            0
        ) +
        IFERROR(
            VLOOKUP($A22, INDIRECT("AbrR!$A$6:$ZZ$1048576"), MATCH(O$1, AbrR!$6:$6, 0), FALSE),
            0
        ) +
        IFERROR(
            VLOOKUP($A22, INDIRECT("MayR!$A$6:$ZZ$1048576"), MATCH(O$1, MayR!$6:$6, 0), FALSE),
            0
        ) +
        IFERROR(
            VLOOKUP($A22, INDIRECT("JunR!$A$6:$ZZ$1048576"), MATCH(O$1, JunR!$6:$6, 0), FALSE),
            0
        ) +
        IFERROR(
            VLOOKUP($A22, INDIRECT("JulR!$A$6:$ZZ$1048576"), MATCH(O$1, JulR!$6:$6, 0), FALSE),
            0
        ) +
        IFERROR(
            VLOOKUP($A22, INDIRECT("AgoR!$A$6:$ZZ$1048576"), MATCH(O$1, AgoR!$6:$6, 0), FALSE),
            0
        ) +
        IFERROR(
            VLOOKUP($A22, INDIRECT("SepR!$A$6:$ZZ$1048576"), MATCH(O$1, SepR!$6:$6, 0), FALSE),
            0
        ) +
        IFERROR(
            VLOOKUP($A22, INDIRECT("OctR!$A$6:$ZZ$1048576"), MATCH(O$1, OctR!$6:$6, 0), FALSE),
            0
        ) +
        IFERROR(
            VLOOKUP($A22, INDIRECT("NovR!$A$6:$ZZ$1048576"), MATCH(O$1, NovR!$6:$6, 0), FALSE),
            0
        ) +
        IFERROR(
            VLOOKUP($A22, INDIRECT("DicR!$A$6:$ZZ$1048576"), MATCH(O$1, DicR!$6:$6, 0), FALSE),
            0
        )
)</f>
        <v>0</v>
      </c>
      <c r="P22" s="32">
        <f t="array" ref="P22">SUM(
    IFERROR(
            VLOOKUP($A22, INDIRECT("EneR!$A$6:$ZZ$1048576"), MATCH(P$1, EneR!$6:$6, 0), FALSE),
            0
        ) +
        IFERROR(
            VLOOKUP($A22, INDIRECT("FebR!$A$6:$ZZ$1048576"), MATCH(P$1, FebR!$6:$6, 0), FALSE),
            0
        ) +
        IFERROR(
            VLOOKUP($A22, INDIRECT("MarR!$A$6:$ZZ$1048576"), MATCH(P$1, MarR!$6:$6, 0), FALSE),
            0
        ) +
        IFERROR(
            VLOOKUP($A22, INDIRECT("AbrR!$A$6:$ZZ$1048576"), MATCH(P$1, AbrR!$6:$6, 0), FALSE),
            0
        ) +
        IFERROR(
            VLOOKUP($A22, INDIRECT("MayR!$A$6:$ZZ$1048576"), MATCH(P$1, MayR!$6:$6, 0), FALSE),
            0
        ) +
        IFERROR(
            VLOOKUP($A22, INDIRECT("JunR!$A$6:$ZZ$1048576"), MATCH(P$1, JunR!$6:$6, 0), FALSE),
            0
        ) +
        IFERROR(
            VLOOKUP($A22, INDIRECT("JulR!$A$6:$ZZ$1048576"), MATCH(P$1, JulR!$6:$6, 0), FALSE),
            0
        ) +
        IFERROR(
            VLOOKUP($A22, INDIRECT("AgoR!$A$6:$ZZ$1048576"), MATCH(P$1, AgoR!$6:$6, 0), FALSE),
            0
        ) +
        IFERROR(
            VLOOKUP($A22, INDIRECT("SepR!$A$6:$ZZ$1048576"), MATCH(P$1, SepR!$6:$6, 0), FALSE),
            0
        ) +
        IFERROR(
            VLOOKUP($A22, INDIRECT("OctR!$A$6:$ZZ$1048576"), MATCH(P$1, OctR!$6:$6, 0), FALSE),
            0
        ) +
        IFERROR(
            VLOOKUP($A22, INDIRECT("NovR!$A$6:$ZZ$1048576"), MATCH(P$1, NovR!$6:$6, 0), FALSE),
            0
        ) +
        IFERROR(
            VLOOKUP($A22, INDIRECT("DicR!$A$6:$ZZ$1048576"), MATCH(P$1, DicR!$6:$6, 0), FALSE),
            0
        )
)</f>
        <v>0</v>
      </c>
      <c r="Q22" s="35">
        <f t="array" ref="Q22">SUM(
    IFERROR(
            VLOOKUP($A22, INDIRECT("EneR!$A$6:$ZZ$1048576"), MATCH(Q$1, EneR!$6:$6, 0), FALSE),
            0
        ) +
        IFERROR(
            VLOOKUP($A22, INDIRECT("FebR!$A$6:$ZZ$1048576"), MATCH(Q$1, FebR!$6:$6, 0), FALSE),
            0
        ) +
        IFERROR(
            VLOOKUP($A22, INDIRECT("MarR!$A$6:$ZZ$1048576"), MATCH(Q$1, MarR!$6:$6, 0), FALSE),
            0
        ) +
        IFERROR(
            VLOOKUP($A22, INDIRECT("AbrR!$A$6:$ZZ$1048576"), MATCH(Q$1, AbrR!$6:$6, 0), FALSE),
            0
        ) +
        IFERROR(
            VLOOKUP($A22, INDIRECT("MayR!$A$6:$ZZ$1048576"), MATCH(Q$1, MayR!$6:$6, 0), FALSE),
            0
        ) +
        IFERROR(
            VLOOKUP($A22, INDIRECT("JunR!$A$6:$ZZ$1048576"), MATCH(Q$1, JunR!$6:$6, 0), FALSE),
            0
        ) +
        IFERROR(
            VLOOKUP($A22, INDIRECT("JulR!$A$6:$ZZ$1048576"), MATCH(Q$1, JulR!$6:$6, 0), FALSE),
            0
        ) +
        IFERROR(
            VLOOKUP($A22, INDIRECT("AgoR!$A$6:$ZZ$1048576"), MATCH(Q$1, AgoR!$6:$6, 0), FALSE),
            0
        ) +
        IFERROR(
            VLOOKUP($A22, INDIRECT("SepR!$A$6:$ZZ$1048576"), MATCH(Q$1, SepR!$6:$6, 0), FALSE),
            0
        ) +
        IFERROR(
            VLOOKUP($A22, INDIRECT("OctR!$A$6:$ZZ$1048576"), MATCH(Q$1, OctR!$6:$6, 0), FALSE),
            0
        ) +
        IFERROR(
            VLOOKUP($A22, INDIRECT("NovR!$A$6:$ZZ$1048576"), MATCH(Q$1, NovR!$6:$6, 0), FALSE),
            0
        ) +
        IFERROR(
            VLOOKUP($A22, INDIRECT("DicR!$A$6:$ZZ$1048576"), MATCH(Q$1, DicR!$6:$6, 0), FALSE),
            0
        )
)</f>
        <v>0</v>
      </c>
      <c r="R22" s="36">
        <f t="array" ref="R22">SUM(
    IFERROR(
            VLOOKUP($A22, INDIRECT("EneR!$A$6:$ZZ$1048576"), MATCH(R$1, EneR!$6:$6, 0), FALSE),
            0
        ) +
        IFERROR(
            VLOOKUP($A22, INDIRECT("FebR!$A$6:$ZZ$1048576"), MATCH(R$1, FebR!$6:$6, 0), FALSE),
            0
        ) +
        IFERROR(
            VLOOKUP($A22, INDIRECT("MarR!$A$6:$ZZ$1048576"), MATCH(R$1, MarR!$6:$6, 0), FALSE),
            0
        ) +
        IFERROR(
            VLOOKUP($A22, INDIRECT("AbrR!$A$6:$ZZ$1048576"), MATCH(R$1, AbrR!$6:$6, 0), FALSE),
            0
        ) +
        IFERROR(
            VLOOKUP($A22, INDIRECT("MayR!$A$6:$ZZ$1048576"), MATCH(R$1, MayR!$6:$6, 0), FALSE),
            0
        ) +
        IFERROR(
            VLOOKUP($A22, INDIRECT("JunR!$A$6:$ZZ$1048576"), MATCH(R$1, JunR!$6:$6, 0), FALSE),
            0
        ) +
        IFERROR(
            VLOOKUP($A22, INDIRECT("JulR!$A$6:$ZZ$1048576"), MATCH(R$1, JulR!$6:$6, 0), FALSE),
            0
        ) +
        IFERROR(
            VLOOKUP($A22, INDIRECT("AgoR!$A$6:$ZZ$1048576"), MATCH(R$1, AgoR!$6:$6, 0), FALSE),
            0
        ) +
        IFERROR(
            VLOOKUP($A22, INDIRECT("SepR!$A$6:$ZZ$1048576"), MATCH(R$1, SepR!$6:$6, 0), FALSE),
            0
        ) +
        IFERROR(
            VLOOKUP($A22, INDIRECT("OctR!$A$6:$ZZ$1048576"), MATCH(R$1, OctR!$6:$6, 0), FALSE),
            0
        ) +
        IFERROR(
            VLOOKUP($A22, INDIRECT("NovR!$A$6:$ZZ$1048576"), MATCH(R$1, NovR!$6:$6, 0), FALSE),
            0
        ) +
        IFERROR(
            VLOOKUP($A22, INDIRECT("DicR!$A$6:$ZZ$1048576"), MATCH(R$1, DicR!$6:$6, 0), FALSE),
            0
        )
)</f>
        <v>0</v>
      </c>
      <c r="S22" s="37">
        <f t="array" ref="S22">SUM(
    IFERROR(
            VLOOKUP($A22, INDIRECT("EneR!$A$6:$ZZ$1048576"), MATCH(S$1, EneR!$6:$6, 0), FALSE),
            0
        ) +
        IFERROR(
            VLOOKUP($A22, INDIRECT("FebR!$A$6:$ZZ$1048576"), MATCH(S$1, FebR!$6:$6, 0), FALSE),
            0
        ) +
        IFERROR(
            VLOOKUP($A22, INDIRECT("MarR!$A$6:$ZZ$1048576"), MATCH(S$1, MarR!$6:$6, 0), FALSE),
            0
        ) +
        IFERROR(
            VLOOKUP($A22, INDIRECT("AbrR!$A$6:$ZZ$1048576"), MATCH(S$1, AbrR!$6:$6, 0), FALSE),
            0
        ) +
        IFERROR(
            VLOOKUP($A22, INDIRECT("MayR!$A$6:$ZZ$1048576"), MATCH(S$1, MayR!$6:$6, 0), FALSE),
            0
        ) +
        IFERROR(
            VLOOKUP($A22, INDIRECT("JunR!$A$6:$ZZ$1048576"), MATCH(S$1, JunR!$6:$6, 0), FALSE),
            0
        ) +
        IFERROR(
            VLOOKUP($A22, INDIRECT("JulR!$A$6:$ZZ$1048576"), MATCH(S$1, JulR!$6:$6, 0), FALSE),
            0
        ) +
        IFERROR(
            VLOOKUP($A22, INDIRECT("AgoR!$A$6:$ZZ$1048576"), MATCH(S$1, AgoR!$6:$6, 0), FALSE),
            0
        ) +
        IFERROR(
            VLOOKUP($A22, INDIRECT("SepR!$A$6:$ZZ$1048576"), MATCH(S$1, SepR!$6:$6, 0), FALSE),
            0
        ) +
        IFERROR(
            VLOOKUP($A22, INDIRECT("OctR!$A$6:$ZZ$1048576"), MATCH(S$1, OctR!$6:$6, 0), FALSE),
            0
        ) +
        IFERROR(
            VLOOKUP($A22, INDIRECT("NovR!$A$6:$ZZ$1048576"), MATCH(S$1, NovR!$6:$6, 0), FALSE),
            0
        ) +
        IFERROR(
            VLOOKUP($A22, INDIRECT("DicR!$A$6:$ZZ$1048576"), MATCH(S$1, DicR!$6:$6, 0), FALSE),
            0
        )
)</f>
        <v>0</v>
      </c>
      <c r="T22" s="36">
        <f t="array" ref="T22">SUM(
    IFERROR(
            VLOOKUP($A22, INDIRECT("EneR!$A$6:$ZZ$1048576"), MATCH(T$1, EneR!$6:$6, 0), FALSE),
            0
        ) +
        IFERROR(
            VLOOKUP($A22, INDIRECT("FebR!$A$6:$ZZ$1048576"), MATCH(T$1, FebR!$6:$6, 0), FALSE),
            0
        ) +
        IFERROR(
            VLOOKUP($A22, INDIRECT("MarR!$A$6:$ZZ$1048576"), MATCH(T$1, MarR!$6:$6, 0), FALSE),
            0
        ) +
        IFERROR(
            VLOOKUP($A22, INDIRECT("AbrR!$A$6:$ZZ$1048576"), MATCH(T$1, AbrR!$6:$6, 0), FALSE),
            0
        ) +
        IFERROR(
            VLOOKUP($A22, INDIRECT("MayR!$A$6:$ZZ$1048576"), MATCH(T$1, MayR!$6:$6, 0), FALSE),
            0
        ) +
        IFERROR(
            VLOOKUP($A22, INDIRECT("JunR!$A$6:$ZZ$1048576"), MATCH(T$1, JunR!$6:$6, 0), FALSE),
            0
        ) +
        IFERROR(
            VLOOKUP($A22, INDIRECT("JulR!$A$6:$ZZ$1048576"), MATCH(T$1, JulR!$6:$6, 0), FALSE),
            0
        ) +
        IFERROR(
            VLOOKUP($A22, INDIRECT("AgoR!$A$6:$ZZ$1048576"), MATCH(T$1, AgoR!$6:$6, 0), FALSE),
            0
        ) +
        IFERROR(
            VLOOKUP($A22, INDIRECT("SepR!$A$6:$ZZ$1048576"), MATCH(T$1, SepR!$6:$6, 0), FALSE),
            0
        ) +
        IFERROR(
            VLOOKUP($A22, INDIRECT("OctR!$A$6:$ZZ$1048576"), MATCH(T$1, OctR!$6:$6, 0), FALSE),
            0
        ) +
        IFERROR(
            VLOOKUP($A22, INDIRECT("NovR!$A$6:$ZZ$1048576"), MATCH(T$1, NovR!$6:$6, 0), FALSE),
            0
        ) +
        IFERROR(
            VLOOKUP($A22, INDIRECT("DicR!$A$6:$ZZ$1048576"), MATCH(T$1, DicR!$6:$6, 0), FALSE),
            0
        )
)</f>
        <v>0</v>
      </c>
      <c r="U22" s="37">
        <f t="array" ref="U22">SUM(
    IFERROR(
            VLOOKUP($A22, INDIRECT("EneR!$A$6:$ZZ$1048576"), MATCH(U$1, EneR!$6:$6, 0), FALSE),
            0
        ) +
        IFERROR(
            VLOOKUP($A22, INDIRECT("FebR!$A$6:$ZZ$1048576"), MATCH(U$1, FebR!$6:$6, 0), FALSE),
            0
        ) +
        IFERROR(
            VLOOKUP($A22, INDIRECT("MarR!$A$6:$ZZ$1048576"), MATCH(U$1, MarR!$6:$6, 0), FALSE),
            0
        ) +
        IFERROR(
            VLOOKUP($A22, INDIRECT("AbrR!$A$6:$ZZ$1048576"), MATCH(U$1, AbrR!$6:$6, 0), FALSE),
            0
        ) +
        IFERROR(
            VLOOKUP($A22, INDIRECT("MayR!$A$6:$ZZ$1048576"), MATCH(U$1, MayR!$6:$6, 0), FALSE),
            0
        ) +
        IFERROR(
            VLOOKUP($A22, INDIRECT("JunR!$A$6:$ZZ$1048576"), MATCH(U$1, JunR!$6:$6, 0), FALSE),
            0
        ) +
        IFERROR(
            VLOOKUP($A22, INDIRECT("JulR!$A$6:$ZZ$1048576"), MATCH(U$1, JulR!$6:$6, 0), FALSE),
            0
        ) +
        IFERROR(
            VLOOKUP($A22, INDIRECT("AgoR!$A$6:$ZZ$1048576"), MATCH(U$1, AgoR!$6:$6, 0), FALSE),
            0
        ) +
        IFERROR(
            VLOOKUP($A22, INDIRECT("SepR!$A$6:$ZZ$1048576"), MATCH(U$1, SepR!$6:$6, 0), FALSE),
            0
        ) +
        IFERROR(
            VLOOKUP($A22, INDIRECT("OctR!$A$6:$ZZ$1048576"), MATCH(U$1, OctR!$6:$6, 0), FALSE),
            0
        ) +
        IFERROR(
            VLOOKUP($A22, INDIRECT("NovR!$A$6:$ZZ$1048576"), MATCH(U$1, NovR!$6:$6, 0), FALSE),
            0
        ) +
        IFERROR(
            VLOOKUP($A22, INDIRECT("DicR!$A$6:$ZZ$1048576"), MATCH(U$1, DicR!$6:$6, 0), FALSE),
            0
        )
)</f>
        <v>0</v>
      </c>
      <c r="V22" s="36">
        <f t="array" ref="V22">SUM(
    IFERROR(
            VLOOKUP($A22, INDIRECT("EneR!$A$6:$ZZ$1048576"), MATCH(V$1, EneR!$6:$6, 0), FALSE),
            0
        ) +
        IFERROR(
            VLOOKUP($A22, INDIRECT("FebR!$A$6:$ZZ$1048576"), MATCH(V$1, FebR!$6:$6, 0), FALSE),
            0
        ) +
        IFERROR(
            VLOOKUP($A22, INDIRECT("MarR!$A$6:$ZZ$1048576"), MATCH(V$1, MarR!$6:$6, 0), FALSE),
            0
        ) +
        IFERROR(
            VLOOKUP($A22, INDIRECT("AbrR!$A$6:$ZZ$1048576"), MATCH(V$1, AbrR!$6:$6, 0), FALSE),
            0
        ) +
        IFERROR(
            VLOOKUP($A22, INDIRECT("MayR!$A$6:$ZZ$1048576"), MATCH(V$1, MayR!$6:$6, 0), FALSE),
            0
        ) +
        IFERROR(
            VLOOKUP($A22, INDIRECT("JunR!$A$6:$ZZ$1048576"), MATCH(V$1, JunR!$6:$6, 0), FALSE),
            0
        ) +
        IFERROR(
            VLOOKUP($A22, INDIRECT("JulR!$A$6:$ZZ$1048576"), MATCH(V$1, JulR!$6:$6, 0), FALSE),
            0
        ) +
        IFERROR(
            VLOOKUP($A22, INDIRECT("AgoR!$A$6:$ZZ$1048576"), MATCH(V$1, AgoR!$6:$6, 0), FALSE),
            0
        ) +
        IFERROR(
            VLOOKUP($A22, INDIRECT("SepR!$A$6:$ZZ$1048576"), MATCH(V$1, SepR!$6:$6, 0), FALSE),
            0
        ) +
        IFERROR(
            VLOOKUP($A22, INDIRECT("OctR!$A$6:$ZZ$1048576"), MATCH(V$1, OctR!$6:$6, 0), FALSE),
            0
        ) +
        IFERROR(
            VLOOKUP($A22, INDIRECT("NovR!$A$6:$ZZ$1048576"), MATCH(V$1, NovR!$6:$6, 0), FALSE),
            0
        ) +
        IFERROR(
            VLOOKUP($A22, INDIRECT("DicR!$A$6:$ZZ$1048576"), MATCH(V$1, DicR!$6:$6, 0), FALSE),
            0
        )
)</f>
        <v>0</v>
      </c>
      <c r="W22" s="37">
        <f t="array" ref="W22">SUM(
    IFERROR(
            VLOOKUP($A22, INDIRECT("EneR!$A$6:$ZZ$1048576"), MATCH(W$1, EneR!$6:$6, 0), FALSE),
            0
        ) +
        IFERROR(
            VLOOKUP($A22, INDIRECT("FebR!$A$6:$ZZ$1048576"), MATCH(W$1, FebR!$6:$6, 0), FALSE),
            0
        ) +
        IFERROR(
            VLOOKUP($A22, INDIRECT("MarR!$A$6:$ZZ$1048576"), MATCH(W$1, MarR!$6:$6, 0), FALSE),
            0
        ) +
        IFERROR(
            VLOOKUP($A22, INDIRECT("AbrR!$A$6:$ZZ$1048576"), MATCH(W$1, AbrR!$6:$6, 0), FALSE),
            0
        ) +
        IFERROR(
            VLOOKUP($A22, INDIRECT("MayR!$A$6:$ZZ$1048576"), MATCH(W$1, MayR!$6:$6, 0), FALSE),
            0
        ) +
        IFERROR(
            VLOOKUP($A22, INDIRECT("JunR!$A$6:$ZZ$1048576"), MATCH(W$1, JunR!$6:$6, 0), FALSE),
            0
        ) +
        IFERROR(
            VLOOKUP($A22, INDIRECT("JulR!$A$6:$ZZ$1048576"), MATCH(W$1, JulR!$6:$6, 0), FALSE),
            0
        ) +
        IFERROR(
            VLOOKUP($A22, INDIRECT("AgoR!$A$6:$ZZ$1048576"), MATCH(W$1, AgoR!$6:$6, 0), FALSE),
            0
        ) +
        IFERROR(
            VLOOKUP($A22, INDIRECT("SepR!$A$6:$ZZ$1048576"), MATCH(W$1, SepR!$6:$6, 0), FALSE),
            0
        ) +
        IFERROR(
            VLOOKUP($A22, INDIRECT("OctR!$A$6:$ZZ$1048576"), MATCH(W$1, OctR!$6:$6, 0), FALSE),
            0
        ) +
        IFERROR(
            VLOOKUP($A22, INDIRECT("NovR!$A$6:$ZZ$1048576"), MATCH(W$1, NovR!$6:$6, 0), FALSE),
            0
        ) +
        IFERROR(
            VLOOKUP($A22, INDIRECT("DicR!$A$6:$ZZ$1048576"), MATCH(W$1, DicR!$6:$6, 0), FALSE),
            0
        )
)</f>
        <v>0</v>
      </c>
      <c r="X22" s="36">
        <f t="array" ref="X22">SUM(
    IFERROR(
            VLOOKUP($A22, INDIRECT("EneR!$A$6:$ZZ$1048576"), MATCH(X$1, EneR!$6:$6, 0), FALSE),
            0
        ) +
        IFERROR(
            VLOOKUP($A22, INDIRECT("FebR!$A$6:$ZZ$1048576"), MATCH(X$1, FebR!$6:$6, 0), FALSE),
            0
        ) +
        IFERROR(
            VLOOKUP($A22, INDIRECT("MarR!$A$6:$ZZ$1048576"), MATCH(X$1, MarR!$6:$6, 0), FALSE),
            0
        ) +
        IFERROR(
            VLOOKUP($A22, INDIRECT("AbrR!$A$6:$ZZ$1048576"), MATCH(X$1, AbrR!$6:$6, 0), FALSE),
            0
        ) +
        IFERROR(
            VLOOKUP($A22, INDIRECT("MayR!$A$6:$ZZ$1048576"), MATCH(X$1, MayR!$6:$6, 0), FALSE),
            0
        ) +
        IFERROR(
            VLOOKUP($A22, INDIRECT("JunR!$A$6:$ZZ$1048576"), MATCH(X$1, JunR!$6:$6, 0), FALSE),
            0
        ) +
        IFERROR(
            VLOOKUP($A22, INDIRECT("JulR!$A$6:$ZZ$1048576"), MATCH(X$1, JulR!$6:$6, 0), FALSE),
            0
        ) +
        IFERROR(
            VLOOKUP($A22, INDIRECT("AgoR!$A$6:$ZZ$1048576"), MATCH(X$1, AgoR!$6:$6, 0), FALSE),
            0
        ) +
        IFERROR(
            VLOOKUP($A22, INDIRECT("SepR!$A$6:$ZZ$1048576"), MATCH(X$1, SepR!$6:$6, 0), FALSE),
            0
        ) +
        IFERROR(
            VLOOKUP($A22, INDIRECT("OctR!$A$6:$ZZ$1048576"), MATCH(X$1, OctR!$6:$6, 0), FALSE),
            0
        ) +
        IFERROR(
            VLOOKUP($A22, INDIRECT("NovR!$A$6:$ZZ$1048576"), MATCH(X$1, NovR!$6:$6, 0), FALSE),
            0
        ) +
        IFERROR(
            VLOOKUP($A22, INDIRECT("DicR!$A$6:$ZZ$1048576"), MATCH(X$1, DicR!$6:$6, 0), FALSE),
            0
        )
)</f>
        <v>0</v>
      </c>
      <c r="Y22" s="37">
        <f t="array" ref="Y22">SUM(
    IFERROR(
            VLOOKUP($A22, INDIRECT("EneR!$A$6:$ZZ$1048576"), MATCH(Y$1, EneR!$6:$6, 0), FALSE),
            0
        ) +
        IFERROR(
            VLOOKUP($A22, INDIRECT("FebR!$A$6:$ZZ$1048576"), MATCH(Y$1, FebR!$6:$6, 0), FALSE),
            0
        ) +
        IFERROR(
            VLOOKUP($A22, INDIRECT("MarR!$A$6:$ZZ$1048576"), MATCH(Y$1, MarR!$6:$6, 0), FALSE),
            0
        ) +
        IFERROR(
            VLOOKUP($A22, INDIRECT("AbrR!$A$6:$ZZ$1048576"), MATCH(Y$1, AbrR!$6:$6, 0), FALSE),
            0
        ) +
        IFERROR(
            VLOOKUP($A22, INDIRECT("MayR!$A$6:$ZZ$1048576"), MATCH(Y$1, MayR!$6:$6, 0), FALSE),
            0
        ) +
        IFERROR(
            VLOOKUP($A22, INDIRECT("JunR!$A$6:$ZZ$1048576"), MATCH(Y$1, JunR!$6:$6, 0), FALSE),
            0
        ) +
        IFERROR(
            VLOOKUP($A22, INDIRECT("JulR!$A$6:$ZZ$1048576"), MATCH(Y$1, JulR!$6:$6, 0), FALSE),
            0
        ) +
        IFERROR(
            VLOOKUP($A22, INDIRECT("AgoR!$A$6:$ZZ$1048576"), MATCH(Y$1, AgoR!$6:$6, 0), FALSE),
            0
        ) +
        IFERROR(
            VLOOKUP($A22, INDIRECT("SepR!$A$6:$ZZ$1048576"), MATCH(Y$1, SepR!$6:$6, 0), FALSE),
            0
        ) +
        IFERROR(
            VLOOKUP($A22, INDIRECT("OctR!$A$6:$ZZ$1048576"), MATCH(Y$1, OctR!$6:$6, 0), FALSE),
            0
        ) +
        IFERROR(
            VLOOKUP($A22, INDIRECT("NovR!$A$6:$ZZ$1048576"), MATCH(Y$1, NovR!$6:$6, 0), FALSE),
            0
        ) +
        IFERROR(
            VLOOKUP($A22, INDIRECT("DicR!$A$6:$ZZ$1048576"), MATCH(Y$1, DicR!$6:$6, 0), FALSE),
            0
        )
)</f>
        <v>0</v>
      </c>
      <c r="Z22" s="36">
        <f t="array" ref="Z22">SUM(
    IFERROR(
            VLOOKUP($A22, INDIRECT("EneR!$A$6:$ZZ$1048576"), MATCH(Z$1, EneR!$6:$6, 0), FALSE),
            0
        ) +
        IFERROR(
            VLOOKUP($A22, INDIRECT("FebR!$A$6:$ZZ$1048576"), MATCH(Z$1, FebR!$6:$6, 0), FALSE),
            0
        ) +
        IFERROR(
            VLOOKUP($A22, INDIRECT("MarR!$A$6:$ZZ$1048576"), MATCH(Z$1, MarR!$6:$6, 0), FALSE),
            0
        ) +
        IFERROR(
            VLOOKUP($A22, INDIRECT("AbrR!$A$6:$ZZ$1048576"), MATCH(Z$1, AbrR!$6:$6, 0), FALSE),
            0
        ) +
        IFERROR(
            VLOOKUP($A22, INDIRECT("MayR!$A$6:$ZZ$1048576"), MATCH(Z$1, MayR!$6:$6, 0), FALSE),
            0
        ) +
        IFERROR(
            VLOOKUP($A22, INDIRECT("JunR!$A$6:$ZZ$1048576"), MATCH(Z$1, JunR!$6:$6, 0), FALSE),
            0
        ) +
        IFERROR(
            VLOOKUP($A22, INDIRECT("JulR!$A$6:$ZZ$1048576"), MATCH(Z$1, JulR!$6:$6, 0), FALSE),
            0
        ) +
        IFERROR(
            VLOOKUP($A22, INDIRECT("AgoR!$A$6:$ZZ$1048576"), MATCH(Z$1, AgoR!$6:$6, 0), FALSE),
            0
        ) +
        IFERROR(
            VLOOKUP($A22, INDIRECT("SepR!$A$6:$ZZ$1048576"), MATCH(Z$1, SepR!$6:$6, 0), FALSE),
            0
        ) +
        IFERROR(
            VLOOKUP($A22, INDIRECT("OctR!$A$6:$ZZ$1048576"), MATCH(Z$1, OctR!$6:$6, 0), FALSE),
            0
        ) +
        IFERROR(
            VLOOKUP($A22, INDIRECT("NovR!$A$6:$ZZ$1048576"), MATCH(Z$1, NovR!$6:$6, 0), FALSE),
            0
        ) +
        IFERROR(
            VLOOKUP($A22, INDIRECT("DicR!$A$6:$ZZ$1048576"), MATCH(Z$1, DicR!$6:$6, 0), FALSE),
            0
        )
)</f>
        <v>0</v>
      </c>
      <c r="AA22" s="37">
        <f t="array" ref="AA22">SUM(
    IFERROR(
            VLOOKUP($A22, INDIRECT("EneR!$A$6:$ZZ$1048576"), MATCH(AA$1, EneR!$6:$6, 0), FALSE),
            0
        ) +
        IFERROR(
            VLOOKUP($A22, INDIRECT("FebR!$A$6:$ZZ$1048576"), MATCH(AA$1, FebR!$6:$6, 0), FALSE),
            0
        ) +
        IFERROR(
            VLOOKUP($A22, INDIRECT("MarR!$A$6:$ZZ$1048576"), MATCH(AA$1, MarR!$6:$6, 0), FALSE),
            0
        ) +
        IFERROR(
            VLOOKUP($A22, INDIRECT("AbrR!$A$6:$ZZ$1048576"), MATCH(AA$1, AbrR!$6:$6, 0), FALSE),
            0
        ) +
        IFERROR(
            VLOOKUP($A22, INDIRECT("MayR!$A$6:$ZZ$1048576"), MATCH(AA$1, MayR!$6:$6, 0), FALSE),
            0
        ) +
        IFERROR(
            VLOOKUP($A22, INDIRECT("JunR!$A$6:$ZZ$1048576"), MATCH(AA$1, JunR!$6:$6, 0), FALSE),
            0
        ) +
        IFERROR(
            VLOOKUP($A22, INDIRECT("JulR!$A$6:$ZZ$1048576"), MATCH(AA$1, JulR!$6:$6, 0), FALSE),
            0
        ) +
        IFERROR(
            VLOOKUP($A22, INDIRECT("AgoR!$A$6:$ZZ$1048576"), MATCH(AA$1, AgoR!$6:$6, 0), FALSE),
            0
        ) +
        IFERROR(
            VLOOKUP($A22, INDIRECT("SepR!$A$6:$ZZ$1048576"), MATCH(AA$1, SepR!$6:$6, 0), FALSE),
            0
        ) +
        IFERROR(
            VLOOKUP($A22, INDIRECT("OctR!$A$6:$ZZ$1048576"), MATCH(AA$1, OctR!$6:$6, 0), FALSE),
            0
        ) +
        IFERROR(
            VLOOKUP($A22, INDIRECT("NovR!$A$6:$ZZ$1048576"), MATCH(AA$1, NovR!$6:$6, 0), FALSE),
            0
        ) +
        IFERROR(
            VLOOKUP($A22, INDIRECT("DicR!$A$6:$ZZ$1048576"), MATCH(AA$1, DicR!$6:$6, 0), FALSE),
            0
        )
)</f>
        <v>0</v>
      </c>
      <c r="AB22" s="36">
        <f t="array" ref="AB22">SUM(
    IFERROR(
            VLOOKUP($A22, INDIRECT("EneR!$A$6:$ZZ$1048576"), MATCH(AB$1, EneR!$6:$6, 0), FALSE),
            0
        ) +
        IFERROR(
            VLOOKUP($A22, INDIRECT("FebR!$A$6:$ZZ$1048576"), MATCH(AB$1, FebR!$6:$6, 0), FALSE),
            0
        ) +
        IFERROR(
            VLOOKUP($A22, INDIRECT("MarR!$A$6:$ZZ$1048576"), MATCH(AB$1, MarR!$6:$6, 0), FALSE),
            0
        ) +
        IFERROR(
            VLOOKUP($A22, INDIRECT("AbrR!$A$6:$ZZ$1048576"), MATCH(AB$1, AbrR!$6:$6, 0), FALSE),
            0
        ) +
        IFERROR(
            VLOOKUP($A22, INDIRECT("MayR!$A$6:$ZZ$1048576"), MATCH(AB$1, MayR!$6:$6, 0), FALSE),
            0
        ) +
        IFERROR(
            VLOOKUP($A22, INDIRECT("JunR!$A$6:$ZZ$1048576"), MATCH(AB$1, JunR!$6:$6, 0), FALSE),
            0
        ) +
        IFERROR(
            VLOOKUP($A22, INDIRECT("JulR!$A$6:$ZZ$1048576"), MATCH(AB$1, JulR!$6:$6, 0), FALSE),
            0
        ) +
        IFERROR(
            VLOOKUP($A22, INDIRECT("AgoR!$A$6:$ZZ$1048576"), MATCH(AB$1, AgoR!$6:$6, 0), FALSE),
            0
        ) +
        IFERROR(
            VLOOKUP($A22, INDIRECT("SepR!$A$6:$ZZ$1048576"), MATCH(AB$1, SepR!$6:$6, 0), FALSE),
            0
        ) +
        IFERROR(
            VLOOKUP($A22, INDIRECT("OctR!$A$6:$ZZ$1048576"), MATCH(AB$1, OctR!$6:$6, 0), FALSE),
            0
        ) +
        IFERROR(
            VLOOKUP($A22, INDIRECT("NovR!$A$6:$ZZ$1048576"), MATCH(AB$1, NovR!$6:$6, 0), FALSE),
            0
        ) +
        IFERROR(
            VLOOKUP($A22, INDIRECT("DicR!$A$6:$ZZ$1048576"), MATCH(AB$1, DicR!$6:$6, 0), FALSE),
            0
        )
)</f>
        <v>0</v>
      </c>
      <c r="AC22" s="37">
        <f t="array" ref="AC22">SUM(
    IFERROR(
            VLOOKUP($A22, INDIRECT("EneR!$A$6:$ZZ$1048576"), MATCH(AC$1, EneR!$6:$6, 0), FALSE),
            0
        ) +
        IFERROR(
            VLOOKUP($A22, INDIRECT("FebR!$A$6:$ZZ$1048576"), MATCH(AC$1, FebR!$6:$6, 0), FALSE),
            0
        ) +
        IFERROR(
            VLOOKUP($A22, INDIRECT("MarR!$A$6:$ZZ$1048576"), MATCH(AC$1, MarR!$6:$6, 0), FALSE),
            0
        ) +
        IFERROR(
            VLOOKUP($A22, INDIRECT("AbrR!$A$6:$ZZ$1048576"), MATCH(AC$1, AbrR!$6:$6, 0), FALSE),
            0
        ) +
        IFERROR(
            VLOOKUP($A22, INDIRECT("MayR!$A$6:$ZZ$1048576"), MATCH(AC$1, MayR!$6:$6, 0), FALSE),
            0
        ) +
        IFERROR(
            VLOOKUP($A22, INDIRECT("JunR!$A$6:$ZZ$1048576"), MATCH(AC$1, JunR!$6:$6, 0), FALSE),
            0
        ) +
        IFERROR(
            VLOOKUP($A22, INDIRECT("JulR!$A$6:$ZZ$1048576"), MATCH(AC$1, JulR!$6:$6, 0), FALSE),
            0
        ) +
        IFERROR(
            VLOOKUP($A22, INDIRECT("AgoR!$A$6:$ZZ$1048576"), MATCH(AC$1, AgoR!$6:$6, 0), FALSE),
            0
        ) +
        IFERROR(
            VLOOKUP($A22, INDIRECT("SepR!$A$6:$ZZ$1048576"), MATCH(AC$1, SepR!$6:$6, 0), FALSE),
            0
        ) +
        IFERROR(
            VLOOKUP($A22, INDIRECT("OctR!$A$6:$ZZ$1048576"), MATCH(AC$1, OctR!$6:$6, 0), FALSE),
            0
        ) +
        IFERROR(
            VLOOKUP($A22, INDIRECT("NovR!$A$6:$ZZ$1048576"), MATCH(AC$1, NovR!$6:$6, 0), FALSE),
            0
        ) +
        IFERROR(
            VLOOKUP($A22, INDIRECT("DicR!$A$6:$ZZ$1048576"), MATCH(AC$1, DicR!$6:$6, 0), FALSE),
            0
        )
)</f>
        <v>0</v>
      </c>
      <c r="AD22" s="36">
        <f t="array" ref="AD22">SUM(
    IFERROR(
            VLOOKUP($A22, INDIRECT("EneR!$A$6:$ZZ$1048576"), MATCH(AD$1, EneR!$6:$6, 0), FALSE),
            0
        ) +
        IFERROR(
            VLOOKUP($A22, INDIRECT("FebR!$A$6:$ZZ$1048576"), MATCH(AD$1, FebR!$6:$6, 0), FALSE),
            0
        ) +
        IFERROR(
            VLOOKUP($A22, INDIRECT("MarR!$A$6:$ZZ$1048576"), MATCH(AD$1, MarR!$6:$6, 0), FALSE),
            0
        ) +
        IFERROR(
            VLOOKUP($A22, INDIRECT("AbrR!$A$6:$ZZ$1048576"), MATCH(AD$1, AbrR!$6:$6, 0), FALSE),
            0
        ) +
        IFERROR(
            VLOOKUP($A22, INDIRECT("MayR!$A$6:$ZZ$1048576"), MATCH(AD$1, MayR!$6:$6, 0), FALSE),
            0
        ) +
        IFERROR(
            VLOOKUP($A22, INDIRECT("JunR!$A$6:$ZZ$1048576"), MATCH(AD$1, JunR!$6:$6, 0), FALSE),
            0
        ) +
        IFERROR(
            VLOOKUP($A22, INDIRECT("JulR!$A$6:$ZZ$1048576"), MATCH(AD$1, JulR!$6:$6, 0), FALSE),
            0
        ) +
        IFERROR(
            VLOOKUP($A22, INDIRECT("AgoR!$A$6:$ZZ$1048576"), MATCH(AD$1, AgoR!$6:$6, 0), FALSE),
            0
        ) +
        IFERROR(
            VLOOKUP($A22, INDIRECT("SepR!$A$6:$ZZ$1048576"), MATCH(AD$1, SepR!$6:$6, 0), FALSE),
            0
        ) +
        IFERROR(
            VLOOKUP($A22, INDIRECT("OctR!$A$6:$ZZ$1048576"), MATCH(AD$1, OctR!$6:$6, 0), FALSE),
            0
        ) +
        IFERROR(
            VLOOKUP($A22, INDIRECT("NovR!$A$6:$ZZ$1048576"), MATCH(AD$1, NovR!$6:$6, 0), FALSE),
            0
        ) +
        IFERROR(
            VLOOKUP($A22, INDIRECT("DicR!$A$6:$ZZ$1048576"), MATCH(AD$1, DicR!$6:$6, 0), FALSE),
            0
        )
)</f>
        <v>0</v>
      </c>
      <c r="AE22" s="37">
        <f t="array" ref="AE22">SUM(
    IFERROR(
            VLOOKUP($A22, INDIRECT("EneR!$A$6:$ZZ$1048576"), MATCH(AE$1, EneR!$6:$6, 0), FALSE),
            0
        ) +
        IFERROR(
            VLOOKUP($A22, INDIRECT("FebR!$A$6:$ZZ$1048576"), MATCH(AE$1, FebR!$6:$6, 0), FALSE),
            0
        ) +
        IFERROR(
            VLOOKUP($A22, INDIRECT("MarR!$A$6:$ZZ$1048576"), MATCH(AE$1, MarR!$6:$6, 0), FALSE),
            0
        ) +
        IFERROR(
            VLOOKUP($A22, INDIRECT("AbrR!$A$6:$ZZ$1048576"), MATCH(AE$1, AbrR!$6:$6, 0), FALSE),
            0
        ) +
        IFERROR(
            VLOOKUP($A22, INDIRECT("MayR!$A$6:$ZZ$1048576"), MATCH(AE$1, MayR!$6:$6, 0), FALSE),
            0
        ) +
        IFERROR(
            VLOOKUP($A22, INDIRECT("JunR!$A$6:$ZZ$1048576"), MATCH(AE$1, JunR!$6:$6, 0), FALSE),
            0
        ) +
        IFERROR(
            VLOOKUP($A22, INDIRECT("JulR!$A$6:$ZZ$1048576"), MATCH(AE$1, JulR!$6:$6, 0), FALSE),
            0
        ) +
        IFERROR(
            VLOOKUP($A22, INDIRECT("AgoR!$A$6:$ZZ$1048576"), MATCH(AE$1, AgoR!$6:$6, 0), FALSE),
            0
        ) +
        IFERROR(
            VLOOKUP($A22, INDIRECT("SepR!$A$6:$ZZ$1048576"), MATCH(AE$1, SepR!$6:$6, 0), FALSE),
            0
        ) +
        IFERROR(
            VLOOKUP($A22, INDIRECT("OctR!$A$6:$ZZ$1048576"), MATCH(AE$1, OctR!$6:$6, 0), FALSE),
            0
        ) +
        IFERROR(
            VLOOKUP($A22, INDIRECT("NovR!$A$6:$ZZ$1048576"), MATCH(AE$1, NovR!$6:$6, 0), FALSE),
            0
        ) +
        IFERROR(
            VLOOKUP($A22, INDIRECT("DicR!$A$6:$ZZ$1048576"), MATCH(AE$1, DicR!$6:$6, 0), FALSE),
            0
        )
)</f>
        <v>0</v>
      </c>
      <c r="AF22" s="36">
        <f t="array" ref="AF22">SUM(
    IFERROR(
            VLOOKUP($A22, INDIRECT("EneR!$A$6:$ZZ$1048576"), MATCH(AF$1, EneR!$6:$6, 0), FALSE),
            0
        ) +
        IFERROR(
            VLOOKUP($A22, INDIRECT("FebR!$A$6:$ZZ$1048576"), MATCH(AF$1, FebR!$6:$6, 0), FALSE),
            0
        ) +
        IFERROR(
            VLOOKUP($A22, INDIRECT("MarR!$A$6:$ZZ$1048576"), MATCH(AF$1, MarR!$6:$6, 0), FALSE),
            0
        ) +
        IFERROR(
            VLOOKUP($A22, INDIRECT("AbrR!$A$6:$ZZ$1048576"), MATCH(AF$1, AbrR!$6:$6, 0), FALSE),
            0
        ) +
        IFERROR(
            VLOOKUP($A22, INDIRECT("MayR!$A$6:$ZZ$1048576"), MATCH(AF$1, MayR!$6:$6, 0), FALSE),
            0
        ) +
        IFERROR(
            VLOOKUP($A22, INDIRECT("JunR!$A$6:$ZZ$1048576"), MATCH(AF$1, JunR!$6:$6, 0), FALSE),
            0
        ) +
        IFERROR(
            VLOOKUP($A22, INDIRECT("JulR!$A$6:$ZZ$1048576"), MATCH(AF$1, JulR!$6:$6, 0), FALSE),
            0
        ) +
        IFERROR(
            VLOOKUP($A22, INDIRECT("AgoR!$A$6:$ZZ$1048576"), MATCH(AF$1, AgoR!$6:$6, 0), FALSE),
            0
        ) +
        IFERROR(
            VLOOKUP($A22, INDIRECT("SepR!$A$6:$ZZ$1048576"), MATCH(AF$1, SepR!$6:$6, 0), FALSE),
            0
        ) +
        IFERROR(
            VLOOKUP($A22, INDIRECT("OctR!$A$6:$ZZ$1048576"), MATCH(AF$1, OctR!$6:$6, 0), FALSE),
            0
        ) +
        IFERROR(
            VLOOKUP($A22, INDIRECT("NovR!$A$6:$ZZ$1048576"), MATCH(AF$1, NovR!$6:$6, 0), FALSE),
            0
        ) +
        IFERROR(
            VLOOKUP($A22, INDIRECT("DicR!$A$6:$ZZ$1048576"), MATCH(AF$1, DicR!$6:$6, 0), FALSE),
            0
        )
)</f>
        <v>0</v>
      </c>
      <c r="AG22" s="37">
        <f t="array" ref="AG22">SUM(
    IFERROR(
            VLOOKUP($A22, INDIRECT("EneR!$A$6:$ZZ$1048576"), MATCH(AG$1, EneR!$6:$6, 0), FALSE),
            0
        ) +
        IFERROR(
            VLOOKUP($A22, INDIRECT("FebR!$A$6:$ZZ$1048576"), MATCH(AG$1, FebR!$6:$6, 0), FALSE),
            0
        ) +
        IFERROR(
            VLOOKUP($A22, INDIRECT("MarR!$A$6:$ZZ$1048576"), MATCH(AG$1, MarR!$6:$6, 0), FALSE),
            0
        ) +
        IFERROR(
            VLOOKUP($A22, INDIRECT("AbrR!$A$6:$ZZ$1048576"), MATCH(AG$1, AbrR!$6:$6, 0), FALSE),
            0
        ) +
        IFERROR(
            VLOOKUP($A22, INDIRECT("MayR!$A$6:$ZZ$1048576"), MATCH(AG$1, MayR!$6:$6, 0), FALSE),
            0
        ) +
        IFERROR(
            VLOOKUP($A22, INDIRECT("JunR!$A$6:$ZZ$1048576"), MATCH(AG$1, JunR!$6:$6, 0), FALSE),
            0
        ) +
        IFERROR(
            VLOOKUP($A22, INDIRECT("JulR!$A$6:$ZZ$1048576"), MATCH(AG$1, JulR!$6:$6, 0), FALSE),
            0
        ) +
        IFERROR(
            VLOOKUP($A22, INDIRECT("AgoR!$A$6:$ZZ$1048576"), MATCH(AG$1, AgoR!$6:$6, 0), FALSE),
            0
        ) +
        IFERROR(
            VLOOKUP($A22, INDIRECT("SepR!$A$6:$ZZ$1048576"), MATCH(AG$1, SepR!$6:$6, 0), FALSE),
            0
        ) +
        IFERROR(
            VLOOKUP($A22, INDIRECT("OctR!$A$6:$ZZ$1048576"), MATCH(AG$1, OctR!$6:$6, 0), FALSE),
            0
        ) +
        IFERROR(
            VLOOKUP($A22, INDIRECT("NovR!$A$6:$ZZ$1048576"), MATCH(AG$1, NovR!$6:$6, 0), FALSE),
            0
        ) +
        IFERROR(
            VLOOKUP($A22, INDIRECT("DicR!$A$6:$ZZ$1048576"), MATCH(AG$1, DicR!$6:$6, 0), FALSE),
            0
        )
)</f>
        <v>0</v>
      </c>
      <c r="AH22" s="36">
        <f t="array" ref="AH22">SUM(
    IFERROR(
            VLOOKUP($A22, INDIRECT("EneR!$A$6:$ZZ$1048576"), MATCH(AH$1, EneR!$6:$6, 0), FALSE),
            0
        ) +
        IFERROR(
            VLOOKUP($A22, INDIRECT("FebR!$A$6:$ZZ$1048576"), MATCH(AH$1, FebR!$6:$6, 0), FALSE),
            0
        ) +
        IFERROR(
            VLOOKUP($A22, INDIRECT("MarR!$A$6:$ZZ$1048576"), MATCH(AH$1, MarR!$6:$6, 0), FALSE),
            0
        ) +
        IFERROR(
            VLOOKUP($A22, INDIRECT("AbrR!$A$6:$ZZ$1048576"), MATCH(AH$1, AbrR!$6:$6, 0), FALSE),
            0
        ) +
        IFERROR(
            VLOOKUP($A22, INDIRECT("MayR!$A$6:$ZZ$1048576"), MATCH(AH$1, MayR!$6:$6, 0), FALSE),
            0
        ) +
        IFERROR(
            VLOOKUP($A22, INDIRECT("JunR!$A$6:$ZZ$1048576"), MATCH(AH$1, JunR!$6:$6, 0), FALSE),
            0
        ) +
        IFERROR(
            VLOOKUP($A22, INDIRECT("JulR!$A$6:$ZZ$1048576"), MATCH(AH$1, JulR!$6:$6, 0), FALSE),
            0
        ) +
        IFERROR(
            VLOOKUP($A22, INDIRECT("AgoR!$A$6:$ZZ$1048576"), MATCH(AH$1, AgoR!$6:$6, 0), FALSE),
            0
        ) +
        IFERROR(
            VLOOKUP($A22, INDIRECT("SepR!$A$6:$ZZ$1048576"), MATCH(AH$1, SepR!$6:$6, 0), FALSE),
            0
        ) +
        IFERROR(
            VLOOKUP($A22, INDIRECT("OctR!$A$6:$ZZ$1048576"), MATCH(AH$1, OctR!$6:$6, 0), FALSE),
            0
        ) +
        IFERROR(
            VLOOKUP($A22, INDIRECT("NovR!$A$6:$ZZ$1048576"), MATCH(AH$1, NovR!$6:$6, 0), FALSE),
            0
        ) +
        IFERROR(
            VLOOKUP($A22, INDIRECT("DicR!$A$6:$ZZ$1048576"), MATCH(AH$1, DicR!$6:$6, 0), FALSE),
            0
        )
)</f>
        <v>0</v>
      </c>
      <c r="AI22" s="37">
        <f t="array" ref="AI22">SUM(
    IFERROR(
            VLOOKUP($A22, INDIRECT("EneR!$A$6:$ZZ$1048576"), MATCH(AI$1, EneR!$6:$6, 0), FALSE),
            0
        ) +
        IFERROR(
            VLOOKUP($A22, INDIRECT("FebR!$A$6:$ZZ$1048576"), MATCH(AI$1, FebR!$6:$6, 0), FALSE),
            0
        ) +
        IFERROR(
            VLOOKUP($A22, INDIRECT("MarR!$A$6:$ZZ$1048576"), MATCH(AI$1, MarR!$6:$6, 0), FALSE),
            0
        ) +
        IFERROR(
            VLOOKUP($A22, INDIRECT("AbrR!$A$6:$ZZ$1048576"), MATCH(AI$1, AbrR!$6:$6, 0), FALSE),
            0
        ) +
        IFERROR(
            VLOOKUP($A22, INDIRECT("MayR!$A$6:$ZZ$1048576"), MATCH(AI$1, MayR!$6:$6, 0), FALSE),
            0
        ) +
        IFERROR(
            VLOOKUP($A22, INDIRECT("JunR!$A$6:$ZZ$1048576"), MATCH(AI$1, JunR!$6:$6, 0), FALSE),
            0
        ) +
        IFERROR(
            VLOOKUP($A22, INDIRECT("JulR!$A$6:$ZZ$1048576"), MATCH(AI$1, JulR!$6:$6, 0), FALSE),
            0
        ) +
        IFERROR(
            VLOOKUP($A22, INDIRECT("AgoR!$A$6:$ZZ$1048576"), MATCH(AI$1, AgoR!$6:$6, 0), FALSE),
            0
        ) +
        IFERROR(
            VLOOKUP($A22, INDIRECT("SepR!$A$6:$ZZ$1048576"), MATCH(AI$1, SepR!$6:$6, 0), FALSE),
            0
        ) +
        IFERROR(
            VLOOKUP($A22, INDIRECT("OctR!$A$6:$ZZ$1048576"), MATCH(AI$1, OctR!$6:$6, 0), FALSE),
            0
        ) +
        IFERROR(
            VLOOKUP($A22, INDIRECT("NovR!$A$6:$ZZ$1048576"), MATCH(AI$1, NovR!$6:$6, 0), FALSE),
            0
        ) +
        IFERROR(
            VLOOKUP($A22, INDIRECT("DicR!$A$6:$ZZ$1048576"), MATCH(AI$1, DicR!$6:$6, 0), FALSE),
            0
        )
)</f>
        <v>0</v>
      </c>
      <c r="AJ22" s="36">
        <f t="array" ref="AJ22">SUM(
    IFERROR(
            VLOOKUP($A22, INDIRECT("EneR!$A$6:$ZZ$1048576"), MATCH(AJ$1, EneR!$6:$6, 0), FALSE),
            0
        ) +
        IFERROR(
            VLOOKUP($A22, INDIRECT("FebR!$A$6:$ZZ$1048576"), MATCH(AJ$1, FebR!$6:$6, 0), FALSE),
            0
        ) +
        IFERROR(
            VLOOKUP($A22, INDIRECT("MarR!$A$6:$ZZ$1048576"), MATCH(AJ$1, MarR!$6:$6, 0), FALSE),
            0
        ) +
        IFERROR(
            VLOOKUP($A22, INDIRECT("AbrR!$A$6:$ZZ$1048576"), MATCH(AJ$1, AbrR!$6:$6, 0), FALSE),
            0
        ) +
        IFERROR(
            VLOOKUP($A22, INDIRECT("MayR!$A$6:$ZZ$1048576"), MATCH(AJ$1, MayR!$6:$6, 0), FALSE),
            0
        ) +
        IFERROR(
            VLOOKUP($A22, INDIRECT("JunR!$A$6:$ZZ$1048576"), MATCH(AJ$1, JunR!$6:$6, 0), FALSE),
            0
        ) +
        IFERROR(
            VLOOKUP($A22, INDIRECT("JulR!$A$6:$ZZ$1048576"), MATCH(AJ$1, JulR!$6:$6, 0), FALSE),
            0
        ) +
        IFERROR(
            VLOOKUP($A22, INDIRECT("AgoR!$A$6:$ZZ$1048576"), MATCH(AJ$1, AgoR!$6:$6, 0), FALSE),
            0
        ) +
        IFERROR(
            VLOOKUP($A22, INDIRECT("SepR!$A$6:$ZZ$1048576"), MATCH(AJ$1, SepR!$6:$6, 0), FALSE),
            0
        ) +
        IFERROR(
            VLOOKUP($A22, INDIRECT("OctR!$A$6:$ZZ$1048576"), MATCH(AJ$1, OctR!$6:$6, 0), FALSE),
            0
        ) +
        IFERROR(
            VLOOKUP($A22, INDIRECT("NovR!$A$6:$ZZ$1048576"), MATCH(AJ$1, NovR!$6:$6, 0), FALSE),
            0
        ) +
        IFERROR(
            VLOOKUP($A22, INDIRECT("DicR!$A$6:$ZZ$1048576"), MATCH(AJ$1, DicR!$6:$6, 0), FALSE),
            0
        )
)</f>
        <v>0</v>
      </c>
      <c r="AK22" s="37">
        <f t="array" ref="AK22">SUM(
    IFERROR(
            VLOOKUP($A22, INDIRECT("EneR!$A$6:$ZZ$1048576"), MATCH(AK$1, EneR!$6:$6, 0), FALSE),
            0
        ) +
        IFERROR(
            VLOOKUP($A22, INDIRECT("FebR!$A$6:$ZZ$1048576"), MATCH(AK$1, FebR!$6:$6, 0), FALSE),
            0
        ) +
        IFERROR(
            VLOOKUP($A22, INDIRECT("MarR!$A$6:$ZZ$1048576"), MATCH(AK$1, MarR!$6:$6, 0), FALSE),
            0
        ) +
        IFERROR(
            VLOOKUP($A22, INDIRECT("AbrR!$A$6:$ZZ$1048576"), MATCH(AK$1, AbrR!$6:$6, 0), FALSE),
            0
        ) +
        IFERROR(
            VLOOKUP($A22, INDIRECT("MayR!$A$6:$ZZ$1048576"), MATCH(AK$1, MayR!$6:$6, 0), FALSE),
            0
        ) +
        IFERROR(
            VLOOKUP($A22, INDIRECT("JunR!$A$6:$ZZ$1048576"), MATCH(AK$1, JunR!$6:$6, 0), FALSE),
            0
        ) +
        IFERROR(
            VLOOKUP($A22, INDIRECT("JulR!$A$6:$ZZ$1048576"), MATCH(AK$1, JulR!$6:$6, 0), FALSE),
            0
        ) +
        IFERROR(
            VLOOKUP($A22, INDIRECT("AgoR!$A$6:$ZZ$1048576"), MATCH(AK$1, AgoR!$6:$6, 0), FALSE),
            0
        ) +
        IFERROR(
            VLOOKUP($A22, INDIRECT("SepR!$A$6:$ZZ$1048576"), MATCH(AK$1, SepR!$6:$6, 0), FALSE),
            0
        ) +
        IFERROR(
            VLOOKUP($A22, INDIRECT("OctR!$A$6:$ZZ$1048576"), MATCH(AK$1, OctR!$6:$6, 0), FALSE),
            0
        ) +
        IFERROR(
            VLOOKUP($A22, INDIRECT("NovR!$A$6:$ZZ$1048576"), MATCH(AK$1, NovR!$6:$6, 0), FALSE),
            0
        ) +
        IFERROR(
            VLOOKUP($A22, INDIRECT("DicR!$A$6:$ZZ$1048576"), MATCH(AK$1, DicR!$6:$6, 0), FALSE),
            0
        )
)</f>
        <v>0</v>
      </c>
      <c r="AL22" s="36">
        <f t="array" ref="AL22">SUM(
    IFERROR(
            VLOOKUP($A22, INDIRECT("EneR!$A$6:$ZZ$1048576"), MATCH(AL$1, EneR!$6:$6, 0), FALSE),
            0
        ) +
        IFERROR(
            VLOOKUP($A22, INDIRECT("FebR!$A$6:$ZZ$1048576"), MATCH(AL$1, FebR!$6:$6, 0), FALSE),
            0
        ) +
        IFERROR(
            VLOOKUP($A22, INDIRECT("MarR!$A$6:$ZZ$1048576"), MATCH(AL$1, MarR!$6:$6, 0), FALSE),
            0
        ) +
        IFERROR(
            VLOOKUP($A22, INDIRECT("AbrR!$A$6:$ZZ$1048576"), MATCH(AL$1, AbrR!$6:$6, 0), FALSE),
            0
        ) +
        IFERROR(
            VLOOKUP($A22, INDIRECT("MayR!$A$6:$ZZ$1048576"), MATCH(AL$1, MayR!$6:$6, 0), FALSE),
            0
        ) +
        IFERROR(
            VLOOKUP($A22, INDIRECT("JunR!$A$6:$ZZ$1048576"), MATCH(AL$1, JunR!$6:$6, 0), FALSE),
            0
        ) +
        IFERROR(
            VLOOKUP($A22, INDIRECT("JulR!$A$6:$ZZ$1048576"), MATCH(AL$1, JulR!$6:$6, 0), FALSE),
            0
        ) +
        IFERROR(
            VLOOKUP($A22, INDIRECT("AgoR!$A$6:$ZZ$1048576"), MATCH(AL$1, AgoR!$6:$6, 0), FALSE),
            0
        ) +
        IFERROR(
            VLOOKUP($A22, INDIRECT("SepR!$A$6:$ZZ$1048576"), MATCH(AL$1, SepR!$6:$6, 0), FALSE),
            0
        ) +
        IFERROR(
            VLOOKUP($A22, INDIRECT("OctR!$A$6:$ZZ$1048576"), MATCH(AL$1, OctR!$6:$6, 0), FALSE),
            0
        ) +
        IFERROR(
            VLOOKUP($A22, INDIRECT("NovR!$A$6:$ZZ$1048576"), MATCH(AL$1, NovR!$6:$6, 0), FALSE),
            0
        ) +
        IFERROR(
            VLOOKUP($A22, INDIRECT("DicR!$A$6:$ZZ$1048576"), MATCH(AL$1, DicR!$6:$6, 0), FALSE),
            0
        )
)</f>
        <v>0</v>
      </c>
      <c r="AM22" s="37">
        <f t="array" ref="AM22">SUM(
    IFERROR(
            VLOOKUP($A22, INDIRECT("EneR!$A$6:$ZZ$1048576"), MATCH(AM$1, EneR!$6:$6, 0), FALSE),
            0
        ) +
        IFERROR(
            VLOOKUP($A22, INDIRECT("FebR!$A$6:$ZZ$1048576"), MATCH(AM$1, FebR!$6:$6, 0), FALSE),
            0
        ) +
        IFERROR(
            VLOOKUP($A22, INDIRECT("MarR!$A$6:$ZZ$1048576"), MATCH(AM$1, MarR!$6:$6, 0), FALSE),
            0
        ) +
        IFERROR(
            VLOOKUP($A22, INDIRECT("AbrR!$A$6:$ZZ$1048576"), MATCH(AM$1, AbrR!$6:$6, 0), FALSE),
            0
        ) +
        IFERROR(
            VLOOKUP($A22, INDIRECT("MayR!$A$6:$ZZ$1048576"), MATCH(AM$1, MayR!$6:$6, 0), FALSE),
            0
        ) +
        IFERROR(
            VLOOKUP($A22, INDIRECT("JunR!$A$6:$ZZ$1048576"), MATCH(AM$1, JunR!$6:$6, 0), FALSE),
            0
        ) +
        IFERROR(
            VLOOKUP($A22, INDIRECT("JulR!$A$6:$ZZ$1048576"), MATCH(AM$1, JulR!$6:$6, 0), FALSE),
            0
        ) +
        IFERROR(
            VLOOKUP($A22, INDIRECT("AgoR!$A$6:$ZZ$1048576"), MATCH(AM$1, AgoR!$6:$6, 0), FALSE),
            0
        ) +
        IFERROR(
            VLOOKUP($A22, INDIRECT("SepR!$A$6:$ZZ$1048576"), MATCH(AM$1, SepR!$6:$6, 0), FALSE),
            0
        ) +
        IFERROR(
            VLOOKUP($A22, INDIRECT("OctR!$A$6:$ZZ$1048576"), MATCH(AM$1, OctR!$6:$6, 0), FALSE),
            0
        ) +
        IFERROR(
            VLOOKUP($A22, INDIRECT("NovR!$A$6:$ZZ$1048576"), MATCH(AM$1, NovR!$6:$6, 0), FALSE),
            0
        ) +
        IFERROR(
            VLOOKUP($A22, INDIRECT("DicR!$A$6:$ZZ$1048576"), MATCH(AM$1, DicR!$6:$6, 0), FALSE),
            0
        )
)</f>
        <v>0</v>
      </c>
      <c r="AN22" s="36">
        <f t="array" ref="AN22">SUM(
    IFERROR(
            VLOOKUP($A22, INDIRECT("EneR!$A$6:$ZZ$1048576"), MATCH(AN$1, EneR!$6:$6, 0), FALSE),
            0
        ) +
        IFERROR(
            VLOOKUP($A22, INDIRECT("FebR!$A$6:$ZZ$1048576"), MATCH(AN$1, FebR!$6:$6, 0), FALSE),
            0
        ) +
        IFERROR(
            VLOOKUP($A22, INDIRECT("MarR!$A$6:$ZZ$1048576"), MATCH(AN$1, MarR!$6:$6, 0), FALSE),
            0
        ) +
        IFERROR(
            VLOOKUP($A22, INDIRECT("AbrR!$A$6:$ZZ$1048576"), MATCH(AN$1, AbrR!$6:$6, 0), FALSE),
            0
        ) +
        IFERROR(
            VLOOKUP($A22, INDIRECT("MayR!$A$6:$ZZ$1048576"), MATCH(AN$1, MayR!$6:$6, 0), FALSE),
            0
        ) +
        IFERROR(
            VLOOKUP($A22, INDIRECT("JunR!$A$6:$ZZ$1048576"), MATCH(AN$1, JunR!$6:$6, 0), FALSE),
            0
        ) +
        IFERROR(
            VLOOKUP($A22, INDIRECT("JulR!$A$6:$ZZ$1048576"), MATCH(AN$1, JulR!$6:$6, 0), FALSE),
            0
        ) +
        IFERROR(
            VLOOKUP($A22, INDIRECT("AgoR!$A$6:$ZZ$1048576"), MATCH(AN$1, AgoR!$6:$6, 0), FALSE),
            0
        ) +
        IFERROR(
            VLOOKUP($A22, INDIRECT("SepR!$A$6:$ZZ$1048576"), MATCH(AN$1, SepR!$6:$6, 0), FALSE),
            0
        ) +
        IFERROR(
            VLOOKUP($A22, INDIRECT("OctR!$A$6:$ZZ$1048576"), MATCH(AN$1, OctR!$6:$6, 0), FALSE),
            0
        ) +
        IFERROR(
            VLOOKUP($A22, INDIRECT("NovR!$A$6:$ZZ$1048576"), MATCH(AN$1, NovR!$6:$6, 0), FALSE),
            0
        ) +
        IFERROR(
            VLOOKUP($A22, INDIRECT("DicR!$A$6:$ZZ$1048576"), MATCH(AN$1, DicR!$6:$6, 0), FALSE),
            0
        )
)</f>
        <v>0</v>
      </c>
      <c r="AO22" s="37">
        <f t="array" ref="AO22">SUM(
    IFERROR(
            VLOOKUP($A22, INDIRECT("EneR!$A$6:$ZZ$1048576"), MATCH(AO$1, EneR!$6:$6, 0), FALSE),
            0
        ) +
        IFERROR(
            VLOOKUP($A22, INDIRECT("FebR!$A$6:$ZZ$1048576"), MATCH(AO$1, FebR!$6:$6, 0), FALSE),
            0
        ) +
        IFERROR(
            VLOOKUP($A22, INDIRECT("MarR!$A$6:$ZZ$1048576"), MATCH(AO$1, MarR!$6:$6, 0), FALSE),
            0
        ) +
        IFERROR(
            VLOOKUP($A22, INDIRECT("AbrR!$A$6:$ZZ$1048576"), MATCH(AO$1, AbrR!$6:$6, 0), FALSE),
            0
        ) +
        IFERROR(
            VLOOKUP($A22, INDIRECT("MayR!$A$6:$ZZ$1048576"), MATCH(AO$1, MayR!$6:$6, 0), FALSE),
            0
        ) +
        IFERROR(
            VLOOKUP($A22, INDIRECT("JunR!$A$6:$ZZ$1048576"), MATCH(AO$1, JunR!$6:$6, 0), FALSE),
            0
        ) +
        IFERROR(
            VLOOKUP($A22, INDIRECT("JulR!$A$6:$ZZ$1048576"), MATCH(AO$1, JulR!$6:$6, 0), FALSE),
            0
        ) +
        IFERROR(
            VLOOKUP($A22, INDIRECT("AgoR!$A$6:$ZZ$1048576"), MATCH(AO$1, AgoR!$6:$6, 0), FALSE),
            0
        ) +
        IFERROR(
            VLOOKUP($A22, INDIRECT("SepR!$A$6:$ZZ$1048576"), MATCH(AO$1, SepR!$6:$6, 0), FALSE),
            0
        ) +
        IFERROR(
            VLOOKUP($A22, INDIRECT("OctR!$A$6:$ZZ$1048576"), MATCH(AO$1, OctR!$6:$6, 0), FALSE),
            0
        ) +
        IFERROR(
            VLOOKUP($A22, INDIRECT("NovR!$A$6:$ZZ$1048576"), MATCH(AO$1, NovR!$6:$6, 0), FALSE),
            0
        ) +
        IFERROR(
            VLOOKUP($A22, INDIRECT("DicR!$A$6:$ZZ$1048576"), MATCH(AO$1, DicR!$6:$6, 0), FALSE),
            0
        )
)</f>
        <v>0</v>
      </c>
      <c r="AP22" s="36">
        <f t="array" ref="AP22">SUM(
    IFERROR(
            VLOOKUP($A22, INDIRECT("EneR!$A$6:$ZZ$1048576"), MATCH(AP$1, EneR!$6:$6, 0), FALSE),
            0
        ) +
        IFERROR(
            VLOOKUP($A22, INDIRECT("FebR!$A$6:$ZZ$1048576"), MATCH(AP$1, FebR!$6:$6, 0), FALSE),
            0
        ) +
        IFERROR(
            VLOOKUP($A22, INDIRECT("MarR!$A$6:$ZZ$1048576"), MATCH(AP$1, MarR!$6:$6, 0), FALSE),
            0
        ) +
        IFERROR(
            VLOOKUP($A22, INDIRECT("AbrR!$A$6:$ZZ$1048576"), MATCH(AP$1, AbrR!$6:$6, 0), FALSE),
            0
        ) +
        IFERROR(
            VLOOKUP($A22, INDIRECT("MayR!$A$6:$ZZ$1048576"), MATCH(AP$1, MayR!$6:$6, 0), FALSE),
            0
        ) +
        IFERROR(
            VLOOKUP($A22, INDIRECT("JunR!$A$6:$ZZ$1048576"), MATCH(AP$1, JunR!$6:$6, 0), FALSE),
            0
        ) +
        IFERROR(
            VLOOKUP($A22, INDIRECT("JulR!$A$6:$ZZ$1048576"), MATCH(AP$1, JulR!$6:$6, 0), FALSE),
            0
        ) +
        IFERROR(
            VLOOKUP($A22, INDIRECT("AgoR!$A$6:$ZZ$1048576"), MATCH(AP$1, AgoR!$6:$6, 0), FALSE),
            0
        ) +
        IFERROR(
            VLOOKUP($A22, INDIRECT("SepR!$A$6:$ZZ$1048576"), MATCH(AP$1, SepR!$6:$6, 0), FALSE),
            0
        ) +
        IFERROR(
            VLOOKUP($A22, INDIRECT("OctR!$A$6:$ZZ$1048576"), MATCH(AP$1, OctR!$6:$6, 0), FALSE),
            0
        ) +
        IFERROR(
            VLOOKUP($A22, INDIRECT("NovR!$A$6:$ZZ$1048576"), MATCH(AP$1, NovR!$6:$6, 0), FALSE),
            0
        ) +
        IFERROR(
            VLOOKUP($A22, INDIRECT("DicR!$A$6:$ZZ$1048576"), MATCH(AP$1, DicR!$6:$6, 0), FALSE),
            0
        )
)</f>
        <v>0</v>
      </c>
      <c r="AQ22" s="37">
        <f t="array" ref="AQ22">SUM(
    IFERROR(
            VLOOKUP($A22, INDIRECT("EneR!$A$6:$ZZ$1048576"), MATCH(AQ$1, EneR!$6:$6, 0), FALSE),
            0
        ) +
        IFERROR(
            VLOOKUP($A22, INDIRECT("FebR!$A$6:$ZZ$1048576"), MATCH(AQ$1, FebR!$6:$6, 0), FALSE),
            0
        ) +
        IFERROR(
            VLOOKUP($A22, INDIRECT("MarR!$A$6:$ZZ$1048576"), MATCH(AQ$1, MarR!$6:$6, 0), FALSE),
            0
        ) +
        IFERROR(
            VLOOKUP($A22, INDIRECT("AbrR!$A$6:$ZZ$1048576"), MATCH(AQ$1, AbrR!$6:$6, 0), FALSE),
            0
        ) +
        IFERROR(
            VLOOKUP($A22, INDIRECT("MayR!$A$6:$ZZ$1048576"), MATCH(AQ$1, MayR!$6:$6, 0), FALSE),
            0
        ) +
        IFERROR(
            VLOOKUP($A22, INDIRECT("JunR!$A$6:$ZZ$1048576"), MATCH(AQ$1, JunR!$6:$6, 0), FALSE),
            0
        ) +
        IFERROR(
            VLOOKUP($A22, INDIRECT("JulR!$A$6:$ZZ$1048576"), MATCH(AQ$1, JulR!$6:$6, 0), FALSE),
            0
        ) +
        IFERROR(
            VLOOKUP($A22, INDIRECT("AgoR!$A$6:$ZZ$1048576"), MATCH(AQ$1, AgoR!$6:$6, 0), FALSE),
            0
        ) +
        IFERROR(
            VLOOKUP($A22, INDIRECT("SepR!$A$6:$ZZ$1048576"), MATCH(AQ$1, SepR!$6:$6, 0), FALSE),
            0
        ) +
        IFERROR(
            VLOOKUP($A22, INDIRECT("OctR!$A$6:$ZZ$1048576"), MATCH(AQ$1, OctR!$6:$6, 0), FALSE),
            0
        ) +
        IFERROR(
            VLOOKUP($A22, INDIRECT("NovR!$A$6:$ZZ$1048576"), MATCH(AQ$1, NovR!$6:$6, 0), FALSE),
            0
        ) +
        IFERROR(
            VLOOKUP($A22, INDIRECT("DicR!$A$6:$ZZ$1048576"), MATCH(AQ$1, DicR!$6:$6, 0), FALSE),
            0
        )
)</f>
        <v>0</v>
      </c>
      <c r="AR22" s="36">
        <f t="array" ref="AR22">SUM(
    IFERROR(
            VLOOKUP($A22, INDIRECT("EneR!$A$6:$ZZ$1048576"), MATCH(AR$1, EneR!$6:$6, 0), FALSE),
            0
        ) +
        IFERROR(
            VLOOKUP($A22, INDIRECT("FebR!$A$6:$ZZ$1048576"), MATCH(AR$1, FebR!$6:$6, 0), FALSE),
            0
        ) +
        IFERROR(
            VLOOKUP($A22, INDIRECT("MarR!$A$6:$ZZ$1048576"), MATCH(AR$1, MarR!$6:$6, 0), FALSE),
            0
        ) +
        IFERROR(
            VLOOKUP($A22, INDIRECT("AbrR!$A$6:$ZZ$1048576"), MATCH(AR$1, AbrR!$6:$6, 0), FALSE),
            0
        ) +
        IFERROR(
            VLOOKUP($A22, INDIRECT("MayR!$A$6:$ZZ$1048576"), MATCH(AR$1, MayR!$6:$6, 0), FALSE),
            0
        ) +
        IFERROR(
            VLOOKUP($A22, INDIRECT("JunR!$A$6:$ZZ$1048576"), MATCH(AR$1, JunR!$6:$6, 0), FALSE),
            0
        ) +
        IFERROR(
            VLOOKUP($A22, INDIRECT("JulR!$A$6:$ZZ$1048576"), MATCH(AR$1, JulR!$6:$6, 0), FALSE),
            0
        ) +
        IFERROR(
            VLOOKUP($A22, INDIRECT("AgoR!$A$6:$ZZ$1048576"), MATCH(AR$1, AgoR!$6:$6, 0), FALSE),
            0
        ) +
        IFERROR(
            VLOOKUP($A22, INDIRECT("SepR!$A$6:$ZZ$1048576"), MATCH(AR$1, SepR!$6:$6, 0), FALSE),
            0
        ) +
        IFERROR(
            VLOOKUP($A22, INDIRECT("OctR!$A$6:$ZZ$1048576"), MATCH(AR$1, OctR!$6:$6, 0), FALSE),
            0
        ) +
        IFERROR(
            VLOOKUP($A22, INDIRECT("NovR!$A$6:$ZZ$1048576"), MATCH(AR$1, NovR!$6:$6, 0), FALSE),
            0
        ) +
        IFERROR(
            VLOOKUP($A22, INDIRECT("DicR!$A$6:$ZZ$1048576"), MATCH(AR$1, DicR!$6:$6, 0), FALSE),
            0
        )
)</f>
        <v>0</v>
      </c>
      <c r="AS22" s="37">
        <f t="array" ref="AS22">SUM(
    IFERROR(
            VLOOKUP($A22, INDIRECT("EneR!$A$6:$ZZ$1048576"), MATCH(AS$1, EneR!$6:$6, 0), FALSE),
            0
        ) +
        IFERROR(
            VLOOKUP($A22, INDIRECT("FebR!$A$6:$ZZ$1048576"), MATCH(AS$1, FebR!$6:$6, 0), FALSE),
            0
        ) +
        IFERROR(
            VLOOKUP($A22, INDIRECT("MarR!$A$6:$ZZ$1048576"), MATCH(AS$1, MarR!$6:$6, 0), FALSE),
            0
        ) +
        IFERROR(
            VLOOKUP($A22, INDIRECT("AbrR!$A$6:$ZZ$1048576"), MATCH(AS$1, AbrR!$6:$6, 0), FALSE),
            0
        ) +
        IFERROR(
            VLOOKUP($A22, INDIRECT("MayR!$A$6:$ZZ$1048576"), MATCH(AS$1, MayR!$6:$6, 0), FALSE),
            0
        ) +
        IFERROR(
            VLOOKUP($A22, INDIRECT("JunR!$A$6:$ZZ$1048576"), MATCH(AS$1, JunR!$6:$6, 0), FALSE),
            0
        ) +
        IFERROR(
            VLOOKUP($A22, INDIRECT("JulR!$A$6:$ZZ$1048576"), MATCH(AS$1, JulR!$6:$6, 0), FALSE),
            0
        ) +
        IFERROR(
            VLOOKUP($A22, INDIRECT("AgoR!$A$6:$ZZ$1048576"), MATCH(AS$1, AgoR!$6:$6, 0), FALSE),
            0
        ) +
        IFERROR(
            VLOOKUP($A22, INDIRECT("SepR!$A$6:$ZZ$1048576"), MATCH(AS$1, SepR!$6:$6, 0), FALSE),
            0
        ) +
        IFERROR(
            VLOOKUP($A22, INDIRECT("OctR!$A$6:$ZZ$1048576"), MATCH(AS$1, OctR!$6:$6, 0), FALSE),
            0
        ) +
        IFERROR(
            VLOOKUP($A22, INDIRECT("NovR!$A$6:$ZZ$1048576"), MATCH(AS$1, NovR!$6:$6, 0), FALSE),
            0
        ) +
        IFERROR(
            VLOOKUP($A22, INDIRECT("DicR!$A$6:$ZZ$1048576"), MATCH(AS$1, DicR!$6:$6, 0), FALSE),
            0
        )
)</f>
        <v>0</v>
      </c>
      <c r="AT22" s="36">
        <f t="array" ref="AT22">SUM(
    IFERROR(
            VLOOKUP($A22, INDIRECT("EneR!$A$6:$ZZ$1048576"), MATCH(AT$1, EneR!$6:$6, 0), FALSE),
            0
        ) +
        IFERROR(
            VLOOKUP($A22, INDIRECT("FebR!$A$6:$ZZ$1048576"), MATCH(AT$1, FebR!$6:$6, 0), FALSE),
            0
        ) +
        IFERROR(
            VLOOKUP($A22, INDIRECT("MarR!$A$6:$ZZ$1048576"), MATCH(AT$1, MarR!$6:$6, 0), FALSE),
            0
        ) +
        IFERROR(
            VLOOKUP($A22, INDIRECT("AbrR!$A$6:$ZZ$1048576"), MATCH(AT$1, AbrR!$6:$6, 0), FALSE),
            0
        ) +
        IFERROR(
            VLOOKUP($A22, INDIRECT("MayR!$A$6:$ZZ$1048576"), MATCH(AT$1, MayR!$6:$6, 0), FALSE),
            0
        ) +
        IFERROR(
            VLOOKUP($A22, INDIRECT("JunR!$A$6:$ZZ$1048576"), MATCH(AT$1, JunR!$6:$6, 0), FALSE),
            0
        ) +
        IFERROR(
            VLOOKUP($A22, INDIRECT("JulR!$A$6:$ZZ$1048576"), MATCH(AT$1, JulR!$6:$6, 0), FALSE),
            0
        ) +
        IFERROR(
            VLOOKUP($A22, INDIRECT("AgoR!$A$6:$ZZ$1048576"), MATCH(AT$1, AgoR!$6:$6, 0), FALSE),
            0
        ) +
        IFERROR(
            VLOOKUP($A22, INDIRECT("SepR!$A$6:$ZZ$1048576"), MATCH(AT$1, SepR!$6:$6, 0), FALSE),
            0
        ) +
        IFERROR(
            VLOOKUP($A22, INDIRECT("OctR!$A$6:$ZZ$1048576"), MATCH(AT$1, OctR!$6:$6, 0), FALSE),
            0
        ) +
        IFERROR(
            VLOOKUP($A22, INDIRECT("NovR!$A$6:$ZZ$1048576"), MATCH(AT$1, NovR!$6:$6, 0), FALSE),
            0
        ) +
        IFERROR(
            VLOOKUP($A22, INDIRECT("DicR!$A$6:$ZZ$1048576"), MATCH(AT$1, DicR!$6:$6, 0), FALSE),
            0
        )
)</f>
        <v>0</v>
      </c>
      <c r="AU22" s="37">
        <f t="array" ref="AU22">SUM(
    IFERROR(
            VLOOKUP($A22, INDIRECT("EneR!$A$6:$ZZ$1048576"), MATCH(AU$1, EneR!$6:$6, 0), FALSE),
            0
        ) +
        IFERROR(
            VLOOKUP($A22, INDIRECT("FebR!$A$6:$ZZ$1048576"), MATCH(AU$1, FebR!$6:$6, 0), FALSE),
            0
        ) +
        IFERROR(
            VLOOKUP($A22, INDIRECT("MarR!$A$6:$ZZ$1048576"), MATCH(AU$1, MarR!$6:$6, 0), FALSE),
            0
        ) +
        IFERROR(
            VLOOKUP($A22, INDIRECT("AbrR!$A$6:$ZZ$1048576"), MATCH(AU$1, AbrR!$6:$6, 0), FALSE),
            0
        ) +
        IFERROR(
            VLOOKUP($A22, INDIRECT("MayR!$A$6:$ZZ$1048576"), MATCH(AU$1, MayR!$6:$6, 0), FALSE),
            0
        ) +
        IFERROR(
            VLOOKUP($A22, INDIRECT("JunR!$A$6:$ZZ$1048576"), MATCH(AU$1, JunR!$6:$6, 0), FALSE),
            0
        ) +
        IFERROR(
            VLOOKUP($A22, INDIRECT("JulR!$A$6:$ZZ$1048576"), MATCH(AU$1, JulR!$6:$6, 0), FALSE),
            0
        ) +
        IFERROR(
            VLOOKUP($A22, INDIRECT("AgoR!$A$6:$ZZ$1048576"), MATCH(AU$1, AgoR!$6:$6, 0), FALSE),
            0
        ) +
        IFERROR(
            VLOOKUP($A22, INDIRECT("SepR!$A$6:$ZZ$1048576"), MATCH(AU$1, SepR!$6:$6, 0), FALSE),
            0
        ) +
        IFERROR(
            VLOOKUP($A22, INDIRECT("OctR!$A$6:$ZZ$1048576"), MATCH(AU$1, OctR!$6:$6, 0), FALSE),
            0
        ) +
        IFERROR(
            VLOOKUP($A22, INDIRECT("NovR!$A$6:$ZZ$1048576"), MATCH(AU$1, NovR!$6:$6, 0), FALSE),
            0
        ) +
        IFERROR(
            VLOOKUP($A22, INDIRECT("DicR!$A$6:$ZZ$1048576"), MATCH(AU$1, DicR!$6:$6, 0), FALSE),
            0
        )
)</f>
        <v>0</v>
      </c>
      <c r="AV22" s="36">
        <f t="array" ref="AV22">SUM(
    IFERROR(
            VLOOKUP($A22, INDIRECT("EneR!$A$6:$ZZ$1048576"), MATCH(AV$1, EneR!$6:$6, 0), FALSE),
            0
        ) +
        IFERROR(
            VLOOKUP($A22, INDIRECT("FebR!$A$6:$ZZ$1048576"), MATCH(AV$1, FebR!$6:$6, 0), FALSE),
            0
        ) +
        IFERROR(
            VLOOKUP($A22, INDIRECT("MarR!$A$6:$ZZ$1048576"), MATCH(AV$1, MarR!$6:$6, 0), FALSE),
            0
        ) +
        IFERROR(
            VLOOKUP($A22, INDIRECT("AbrR!$A$6:$ZZ$1048576"), MATCH(AV$1, AbrR!$6:$6, 0), FALSE),
            0
        ) +
        IFERROR(
            VLOOKUP($A22, INDIRECT("MayR!$A$6:$ZZ$1048576"), MATCH(AV$1, MayR!$6:$6, 0), FALSE),
            0
        ) +
        IFERROR(
            VLOOKUP($A22, INDIRECT("JunR!$A$6:$ZZ$1048576"), MATCH(AV$1, JunR!$6:$6, 0), FALSE),
            0
        ) +
        IFERROR(
            VLOOKUP($A22, INDIRECT("JulR!$A$6:$ZZ$1048576"), MATCH(AV$1, JulR!$6:$6, 0), FALSE),
            0
        ) +
        IFERROR(
            VLOOKUP($A22, INDIRECT("AgoR!$A$6:$ZZ$1048576"), MATCH(AV$1, AgoR!$6:$6, 0), FALSE),
            0
        ) +
        IFERROR(
            VLOOKUP($A22, INDIRECT("SepR!$A$6:$ZZ$1048576"), MATCH(AV$1, SepR!$6:$6, 0), FALSE),
            0
        ) +
        IFERROR(
            VLOOKUP($A22, INDIRECT("OctR!$A$6:$ZZ$1048576"), MATCH(AV$1, OctR!$6:$6, 0), FALSE),
            0
        ) +
        IFERROR(
            VLOOKUP($A22, INDIRECT("NovR!$A$6:$ZZ$1048576"), MATCH(AV$1, NovR!$6:$6, 0), FALSE),
            0
        ) +
        IFERROR(
            VLOOKUP($A22, INDIRECT("DicR!$A$6:$ZZ$1048576"), MATCH(AV$1, DicR!$6:$6, 0), FALSE),
            0
        )
)</f>
        <v>0</v>
      </c>
      <c r="AW22" s="37">
        <f t="array" ref="AW22">SUM(
    IFERROR(
            VLOOKUP($A22, INDIRECT("EneR!$A$6:$ZZ$1048576"), MATCH(AW$1, EneR!$6:$6, 0), FALSE),
            0
        ) +
        IFERROR(
            VLOOKUP($A22, INDIRECT("FebR!$A$6:$ZZ$1048576"), MATCH(AW$1, FebR!$6:$6, 0), FALSE),
            0
        ) +
        IFERROR(
            VLOOKUP($A22, INDIRECT("MarR!$A$6:$ZZ$1048576"), MATCH(AW$1, MarR!$6:$6, 0), FALSE),
            0
        ) +
        IFERROR(
            VLOOKUP($A22, INDIRECT("AbrR!$A$6:$ZZ$1048576"), MATCH(AW$1, AbrR!$6:$6, 0), FALSE),
            0
        ) +
        IFERROR(
            VLOOKUP($A22, INDIRECT("MayR!$A$6:$ZZ$1048576"), MATCH(AW$1, MayR!$6:$6, 0), FALSE),
            0
        ) +
        IFERROR(
            VLOOKUP($A22, INDIRECT("JunR!$A$6:$ZZ$1048576"), MATCH(AW$1, JunR!$6:$6, 0), FALSE),
            0
        ) +
        IFERROR(
            VLOOKUP($A22, INDIRECT("JulR!$A$6:$ZZ$1048576"), MATCH(AW$1, JulR!$6:$6, 0), FALSE),
            0
        ) +
        IFERROR(
            VLOOKUP($A22, INDIRECT("AgoR!$A$6:$ZZ$1048576"), MATCH(AW$1, AgoR!$6:$6, 0), FALSE),
            0
        ) +
        IFERROR(
            VLOOKUP($A22, INDIRECT("SepR!$A$6:$ZZ$1048576"), MATCH(AW$1, SepR!$6:$6, 0), FALSE),
            0
        ) +
        IFERROR(
            VLOOKUP($A22, INDIRECT("OctR!$A$6:$ZZ$1048576"), MATCH(AW$1, OctR!$6:$6, 0), FALSE),
            0
        ) +
        IFERROR(
            VLOOKUP($A22, INDIRECT("NovR!$A$6:$ZZ$1048576"), MATCH(AW$1, NovR!$6:$6, 0), FALSE),
            0
        ) +
        IFERROR(
            VLOOKUP($A22, INDIRECT("DicR!$A$6:$ZZ$1048576"), MATCH(AW$1, DicR!$6:$6, 0), FALSE),
            0
        )
)</f>
        <v>0</v>
      </c>
      <c r="AX22" s="36">
        <f t="array" ref="AX22">SUM(
    IFERROR(
            VLOOKUP($A22, INDIRECT("EneR!$A$6:$ZZ$1048576"), MATCH(AX$1, EneR!$6:$6, 0), FALSE),
            0
        ) +
        IFERROR(
            VLOOKUP($A22, INDIRECT("FebR!$A$6:$ZZ$1048576"), MATCH(AX$1, FebR!$6:$6, 0), FALSE),
            0
        ) +
        IFERROR(
            VLOOKUP($A22, INDIRECT("MarR!$A$6:$ZZ$1048576"), MATCH(AX$1, MarR!$6:$6, 0), FALSE),
            0
        ) +
        IFERROR(
            VLOOKUP($A22, INDIRECT("AbrR!$A$6:$ZZ$1048576"), MATCH(AX$1, AbrR!$6:$6, 0), FALSE),
            0
        ) +
        IFERROR(
            VLOOKUP($A22, INDIRECT("MayR!$A$6:$ZZ$1048576"), MATCH(AX$1, MayR!$6:$6, 0), FALSE),
            0
        ) +
        IFERROR(
            VLOOKUP($A22, INDIRECT("JunR!$A$6:$ZZ$1048576"), MATCH(AX$1, JunR!$6:$6, 0), FALSE),
            0
        ) +
        IFERROR(
            VLOOKUP($A22, INDIRECT("JulR!$A$6:$ZZ$1048576"), MATCH(AX$1, JulR!$6:$6, 0), FALSE),
            0
        ) +
        IFERROR(
            VLOOKUP($A22, INDIRECT("AgoR!$A$6:$ZZ$1048576"), MATCH(AX$1, AgoR!$6:$6, 0), FALSE),
            0
        ) +
        IFERROR(
            VLOOKUP($A22, INDIRECT("SepR!$A$6:$ZZ$1048576"), MATCH(AX$1, SepR!$6:$6, 0), FALSE),
            0
        ) +
        IFERROR(
            VLOOKUP($A22, INDIRECT("OctR!$A$6:$ZZ$1048576"), MATCH(AX$1, OctR!$6:$6, 0), FALSE),
            0
        ) +
        IFERROR(
            VLOOKUP($A22, INDIRECT("NovR!$A$6:$ZZ$1048576"), MATCH(AX$1, NovR!$6:$6, 0), FALSE),
            0
        ) +
        IFERROR(
            VLOOKUP($A22, INDIRECT("DicR!$A$6:$ZZ$1048576"), MATCH(AX$1, DicR!$6:$6, 0), FALSE),
            0
        )
)</f>
        <v>0</v>
      </c>
      <c r="AY22" s="37">
        <f t="array" ref="AY22">SUM(
    IFERROR(
            VLOOKUP($A22, INDIRECT("EneR!$A$6:$ZZ$1048576"), MATCH(AY$1, EneR!$6:$6, 0), FALSE),
            0
        ) +
        IFERROR(
            VLOOKUP($A22, INDIRECT("FebR!$A$6:$ZZ$1048576"), MATCH(AY$1, FebR!$6:$6, 0), FALSE),
            0
        ) +
        IFERROR(
            VLOOKUP($A22, INDIRECT("MarR!$A$6:$ZZ$1048576"), MATCH(AY$1, MarR!$6:$6, 0), FALSE),
            0
        ) +
        IFERROR(
            VLOOKUP($A22, INDIRECT("AbrR!$A$6:$ZZ$1048576"), MATCH(AY$1, AbrR!$6:$6, 0), FALSE),
            0
        ) +
        IFERROR(
            VLOOKUP($A22, INDIRECT("MayR!$A$6:$ZZ$1048576"), MATCH(AY$1, MayR!$6:$6, 0), FALSE),
            0
        ) +
        IFERROR(
            VLOOKUP($A22, INDIRECT("JunR!$A$6:$ZZ$1048576"), MATCH(AY$1, JunR!$6:$6, 0), FALSE),
            0
        ) +
        IFERROR(
            VLOOKUP($A22, INDIRECT("JulR!$A$6:$ZZ$1048576"), MATCH(AY$1, JulR!$6:$6, 0), FALSE),
            0
        ) +
        IFERROR(
            VLOOKUP($A22, INDIRECT("AgoR!$A$6:$ZZ$1048576"), MATCH(AY$1, AgoR!$6:$6, 0), FALSE),
            0
        ) +
        IFERROR(
            VLOOKUP($A22, INDIRECT("SepR!$A$6:$ZZ$1048576"), MATCH(AY$1, SepR!$6:$6, 0), FALSE),
            0
        ) +
        IFERROR(
            VLOOKUP($A22, INDIRECT("OctR!$A$6:$ZZ$1048576"), MATCH(AY$1, OctR!$6:$6, 0), FALSE),
            0
        ) +
        IFERROR(
            VLOOKUP($A22, INDIRECT("NovR!$A$6:$ZZ$1048576"), MATCH(AY$1, NovR!$6:$6, 0), FALSE),
            0
        ) +
        IFERROR(
            VLOOKUP($A22, INDIRECT("DicR!$A$6:$ZZ$1048576"), MATCH(AY$1, DicR!$6:$6, 0), FALSE),
            0
        )
)</f>
        <v>0</v>
      </c>
      <c r="AZ22" s="37"/>
    </row>
    <row r="23" ht="15.75" customHeight="1">
      <c r="A23" s="12" t="str">
        <f>Menus!R15</f>
        <v/>
      </c>
      <c r="B23" s="32">
        <f t="shared" si="4"/>
        <v>0</v>
      </c>
      <c r="C23" s="33" t="str">
        <f t="shared" si="5"/>
        <v/>
      </c>
      <c r="D23" s="34">
        <f t="array" ref="D23">SUM(
    IFERROR(
            VLOOKUP($A23, INDIRECT("EneR!$A$6:$ZZ$1048576"), MATCH(D$1, EneR!$6:$6, 0), FALSE),
            0
        ) +
        IFERROR(
            VLOOKUP($A23, INDIRECT("FebR!$A$6:$ZZ$1048576"), MATCH(D$1, FebR!$6:$6, 0), FALSE),
            0
        ) +
        IFERROR(
            VLOOKUP($A23, INDIRECT("MarR!$A$6:$ZZ$1048576"), MATCH(D$1, MarR!$6:$6, 0), FALSE),
            0
        ) +
        IFERROR(
            VLOOKUP($A23, INDIRECT("AbrR!$A$6:$ZZ$1048576"), MATCH(D$1, AbrR!$6:$6, 0), FALSE),
            0
        ) +
        IFERROR(
            VLOOKUP($A23, INDIRECT("MayR!$A$6:$ZZ$1048576"), MATCH(D$1, MayR!$6:$6, 0), FALSE),
            0
        ) +
        IFERROR(
            VLOOKUP($A23, INDIRECT("JunR!$A$6:$ZZ$1048576"), MATCH(D$1, JunR!$6:$6, 0), FALSE),
            0
        ) +
        IFERROR(
            VLOOKUP($A23, INDIRECT("JulR!$A$6:$ZZ$1048576"), MATCH(D$1, JulR!$6:$6, 0), FALSE),
            0
        ) +
        IFERROR(
            VLOOKUP($A23, INDIRECT("AgoR!$A$6:$ZZ$1048576"), MATCH(D$1, AgoR!$6:$6, 0), FALSE),
            0
        ) +
        IFERROR(
            VLOOKUP($A23, INDIRECT("SepR!$A$6:$ZZ$1048576"), MATCH(D$1, SepR!$6:$6, 0), FALSE),
            0
        ) +
        IFERROR(
            VLOOKUP($A23, INDIRECT("OctR!$A$6:$ZZ$1048576"), MATCH(D$1, OctR!$6:$6, 0), FALSE),
            0
        ) +
        IFERROR(
            VLOOKUP($A23, INDIRECT("NovR!$A$6:$ZZ$1048576"), MATCH(D$1, NovR!$6:$6, 0), FALSE),
            0
        ) +
        IFERROR(
            VLOOKUP($A23, INDIRECT("DicR!$A$6:$ZZ$1048576"), MATCH(D$1, DicR!$6:$6, 0), FALSE),
            0
        )
)</f>
        <v>0</v>
      </c>
      <c r="E23" s="35">
        <f t="array" ref="E23">SUM(
    IFERROR(
            VLOOKUP($A23, INDIRECT("EneR!$A$6:$ZZ$1048576"), MATCH(E$1, EneR!$6:$6, 0), FALSE),
            0
        ) +
        IFERROR(
            VLOOKUP($A23, INDIRECT("FebR!$A$6:$ZZ$1048576"), MATCH(E$1, FebR!$6:$6, 0), FALSE),
            0
        ) +
        IFERROR(
            VLOOKUP($A23, INDIRECT("MarR!$A$6:$ZZ$1048576"), MATCH(E$1, MarR!$6:$6, 0), FALSE),
            0
        ) +
        IFERROR(
            VLOOKUP($A23, INDIRECT("AbrR!$A$6:$ZZ$1048576"), MATCH(E$1, AbrR!$6:$6, 0), FALSE),
            0
        ) +
        IFERROR(
            VLOOKUP($A23, INDIRECT("MayR!$A$6:$ZZ$1048576"), MATCH(E$1, MayR!$6:$6, 0), FALSE),
            0
        ) +
        IFERROR(
            VLOOKUP($A23, INDIRECT("JunR!$A$6:$ZZ$1048576"), MATCH(E$1, JunR!$6:$6, 0), FALSE),
            0
        ) +
        IFERROR(
            VLOOKUP($A23, INDIRECT("JulR!$A$6:$ZZ$1048576"), MATCH(E$1, JulR!$6:$6, 0), FALSE),
            0
        ) +
        IFERROR(
            VLOOKUP($A23, INDIRECT("AgoR!$A$6:$ZZ$1048576"), MATCH(E$1, AgoR!$6:$6, 0), FALSE),
            0
        ) +
        IFERROR(
            VLOOKUP($A23, INDIRECT("SepR!$A$6:$ZZ$1048576"), MATCH(E$1, SepR!$6:$6, 0), FALSE),
            0
        ) +
        IFERROR(
            VLOOKUP($A23, INDIRECT("OctR!$A$6:$ZZ$1048576"), MATCH(E$1, OctR!$6:$6, 0), FALSE),
            0
        ) +
        IFERROR(
            VLOOKUP($A23, INDIRECT("NovR!$A$6:$ZZ$1048576"), MATCH(E$1, NovR!$6:$6, 0), FALSE),
            0
        ) +
        IFERROR(
            VLOOKUP($A23, INDIRECT("DicR!$A$6:$ZZ$1048576"), MATCH(E$1, DicR!$6:$6, 0), FALSE),
            0
        )
)</f>
        <v>0</v>
      </c>
      <c r="F23" s="32">
        <f t="array" ref="F23">SUM(
    IFERROR(
            VLOOKUP($A23, INDIRECT("EneR!$A$6:$ZZ$1048576"), MATCH(F$1, EneR!$6:$6, 0), FALSE),
            0
        ) +
        IFERROR(
            VLOOKUP($A23, INDIRECT("FebR!$A$6:$ZZ$1048576"), MATCH(F$1, FebR!$6:$6, 0), FALSE),
            0
        ) +
        IFERROR(
            VLOOKUP($A23, INDIRECT("MarR!$A$6:$ZZ$1048576"), MATCH(F$1, MarR!$6:$6, 0), FALSE),
            0
        ) +
        IFERROR(
            VLOOKUP($A23, INDIRECT("AbrR!$A$6:$ZZ$1048576"), MATCH(F$1, AbrR!$6:$6, 0), FALSE),
            0
        ) +
        IFERROR(
            VLOOKUP($A23, INDIRECT("MayR!$A$6:$ZZ$1048576"), MATCH(F$1, MayR!$6:$6, 0), FALSE),
            0
        ) +
        IFERROR(
            VLOOKUP($A23, INDIRECT("JunR!$A$6:$ZZ$1048576"), MATCH(F$1, JunR!$6:$6, 0), FALSE),
            0
        ) +
        IFERROR(
            VLOOKUP($A23, INDIRECT("JulR!$A$6:$ZZ$1048576"), MATCH(F$1, JulR!$6:$6, 0), FALSE),
            0
        ) +
        IFERROR(
            VLOOKUP($A23, INDIRECT("AgoR!$A$6:$ZZ$1048576"), MATCH(F$1, AgoR!$6:$6, 0), FALSE),
            0
        ) +
        IFERROR(
            VLOOKUP($A23, INDIRECT("SepR!$A$6:$ZZ$1048576"), MATCH(F$1, SepR!$6:$6, 0), FALSE),
            0
        ) +
        IFERROR(
            VLOOKUP($A23, INDIRECT("OctR!$A$6:$ZZ$1048576"), MATCH(F$1, OctR!$6:$6, 0), FALSE),
            0
        ) +
        IFERROR(
            VLOOKUP($A23, INDIRECT("NovR!$A$6:$ZZ$1048576"), MATCH(F$1, NovR!$6:$6, 0), FALSE),
            0
        ) +
        IFERROR(
            VLOOKUP($A23, INDIRECT("DicR!$A$6:$ZZ$1048576"), MATCH(F$1, DicR!$6:$6, 0), FALSE),
            0
        )
)</f>
        <v>0</v>
      </c>
      <c r="G23" s="35">
        <f t="array" ref="G23">SUM(
    IFERROR(
            VLOOKUP($A23, INDIRECT("EneR!$A$6:$ZZ$1048576"), MATCH(G$1, EneR!$6:$6, 0), FALSE),
            0
        ) +
        IFERROR(
            VLOOKUP($A23, INDIRECT("FebR!$A$6:$ZZ$1048576"), MATCH(G$1, FebR!$6:$6, 0), FALSE),
            0
        ) +
        IFERROR(
            VLOOKUP($A23, INDIRECT("MarR!$A$6:$ZZ$1048576"), MATCH(G$1, MarR!$6:$6, 0), FALSE),
            0
        ) +
        IFERROR(
            VLOOKUP($A23, INDIRECT("AbrR!$A$6:$ZZ$1048576"), MATCH(G$1, AbrR!$6:$6, 0), FALSE),
            0
        ) +
        IFERROR(
            VLOOKUP($A23, INDIRECT("MayR!$A$6:$ZZ$1048576"), MATCH(G$1, MayR!$6:$6, 0), FALSE),
            0
        ) +
        IFERROR(
            VLOOKUP($A23, INDIRECT("JunR!$A$6:$ZZ$1048576"), MATCH(G$1, JunR!$6:$6, 0), FALSE),
            0
        ) +
        IFERROR(
            VLOOKUP($A23, INDIRECT("JulR!$A$6:$ZZ$1048576"), MATCH(G$1, JulR!$6:$6, 0), FALSE),
            0
        ) +
        IFERROR(
            VLOOKUP($A23, INDIRECT("AgoR!$A$6:$ZZ$1048576"), MATCH(G$1, AgoR!$6:$6, 0), FALSE),
            0
        ) +
        IFERROR(
            VLOOKUP($A23, INDIRECT("SepR!$A$6:$ZZ$1048576"), MATCH(G$1, SepR!$6:$6, 0), FALSE),
            0
        ) +
        IFERROR(
            VLOOKUP($A23, INDIRECT("OctR!$A$6:$ZZ$1048576"), MATCH(G$1, OctR!$6:$6, 0), FALSE),
            0
        ) +
        IFERROR(
            VLOOKUP($A23, INDIRECT("NovR!$A$6:$ZZ$1048576"), MATCH(G$1, NovR!$6:$6, 0), FALSE),
            0
        ) +
        IFERROR(
            VLOOKUP($A23, INDIRECT("DicR!$A$6:$ZZ$1048576"), MATCH(G$1, DicR!$6:$6, 0), FALSE),
            0
        )
)</f>
        <v>0</v>
      </c>
      <c r="H23" s="32">
        <f t="array" ref="H23">SUM(
    IFERROR(
            VLOOKUP($A23, INDIRECT("EneR!$A$6:$ZZ$1048576"), MATCH(H$1, EneR!$6:$6, 0), FALSE),
            0
        ) +
        IFERROR(
            VLOOKUP($A23, INDIRECT("FebR!$A$6:$ZZ$1048576"), MATCH(H$1, FebR!$6:$6, 0), FALSE),
            0
        ) +
        IFERROR(
            VLOOKUP($A23, INDIRECT("MarR!$A$6:$ZZ$1048576"), MATCH(H$1, MarR!$6:$6, 0), FALSE),
            0
        ) +
        IFERROR(
            VLOOKUP($A23, INDIRECT("AbrR!$A$6:$ZZ$1048576"), MATCH(H$1, AbrR!$6:$6, 0), FALSE),
            0
        ) +
        IFERROR(
            VLOOKUP($A23, INDIRECT("MayR!$A$6:$ZZ$1048576"), MATCH(H$1, MayR!$6:$6, 0), FALSE),
            0
        ) +
        IFERROR(
            VLOOKUP($A23, INDIRECT("JunR!$A$6:$ZZ$1048576"), MATCH(H$1, JunR!$6:$6, 0), FALSE),
            0
        ) +
        IFERROR(
            VLOOKUP($A23, INDIRECT("JulR!$A$6:$ZZ$1048576"), MATCH(H$1, JulR!$6:$6, 0), FALSE),
            0
        ) +
        IFERROR(
            VLOOKUP($A23, INDIRECT("AgoR!$A$6:$ZZ$1048576"), MATCH(H$1, AgoR!$6:$6, 0), FALSE),
            0
        ) +
        IFERROR(
            VLOOKUP($A23, INDIRECT("SepR!$A$6:$ZZ$1048576"), MATCH(H$1, SepR!$6:$6, 0), FALSE),
            0
        ) +
        IFERROR(
            VLOOKUP($A23, INDIRECT("OctR!$A$6:$ZZ$1048576"), MATCH(H$1, OctR!$6:$6, 0), FALSE),
            0
        ) +
        IFERROR(
            VLOOKUP($A23, INDIRECT("NovR!$A$6:$ZZ$1048576"), MATCH(H$1, NovR!$6:$6, 0), FALSE),
            0
        ) +
        IFERROR(
            VLOOKUP($A23, INDIRECT("DicR!$A$6:$ZZ$1048576"), MATCH(H$1, DicR!$6:$6, 0), FALSE),
            0
        )
)</f>
        <v>0</v>
      </c>
      <c r="I23" s="35">
        <f t="array" ref="I23">SUM(
    IFERROR(
            VLOOKUP($A23, INDIRECT("EneR!$A$6:$ZZ$1048576"), MATCH(I$1, EneR!$6:$6, 0), FALSE),
            0
        ) +
        IFERROR(
            VLOOKUP($A23, INDIRECT("FebR!$A$6:$ZZ$1048576"), MATCH(I$1, FebR!$6:$6, 0), FALSE),
            0
        ) +
        IFERROR(
            VLOOKUP($A23, INDIRECT("MarR!$A$6:$ZZ$1048576"), MATCH(I$1, MarR!$6:$6, 0), FALSE),
            0
        ) +
        IFERROR(
            VLOOKUP($A23, INDIRECT("AbrR!$A$6:$ZZ$1048576"), MATCH(I$1, AbrR!$6:$6, 0), FALSE),
            0
        ) +
        IFERROR(
            VLOOKUP($A23, INDIRECT("MayR!$A$6:$ZZ$1048576"), MATCH(I$1, MayR!$6:$6, 0), FALSE),
            0
        ) +
        IFERROR(
            VLOOKUP($A23, INDIRECT("JunR!$A$6:$ZZ$1048576"), MATCH(I$1, JunR!$6:$6, 0), FALSE),
            0
        ) +
        IFERROR(
            VLOOKUP($A23, INDIRECT("JulR!$A$6:$ZZ$1048576"), MATCH(I$1, JulR!$6:$6, 0), FALSE),
            0
        ) +
        IFERROR(
            VLOOKUP($A23, INDIRECT("AgoR!$A$6:$ZZ$1048576"), MATCH(I$1, AgoR!$6:$6, 0), FALSE),
            0
        ) +
        IFERROR(
            VLOOKUP($A23, INDIRECT("SepR!$A$6:$ZZ$1048576"), MATCH(I$1, SepR!$6:$6, 0), FALSE),
            0
        ) +
        IFERROR(
            VLOOKUP($A23, INDIRECT("OctR!$A$6:$ZZ$1048576"), MATCH(I$1, OctR!$6:$6, 0), FALSE),
            0
        ) +
        IFERROR(
            VLOOKUP($A23, INDIRECT("NovR!$A$6:$ZZ$1048576"), MATCH(I$1, NovR!$6:$6, 0), FALSE),
            0
        ) +
        IFERROR(
            VLOOKUP($A23, INDIRECT("DicR!$A$6:$ZZ$1048576"), MATCH(I$1, DicR!$6:$6, 0), FALSE),
            0
        )
)</f>
        <v>0</v>
      </c>
      <c r="J23" s="32">
        <f t="array" ref="J23">SUM(
    IFERROR(
            VLOOKUP($A23, INDIRECT("EneR!$A$6:$ZZ$1048576"), MATCH(J$1, EneR!$6:$6, 0), FALSE),
            0
        ) +
        IFERROR(
            VLOOKUP($A23, INDIRECT("FebR!$A$6:$ZZ$1048576"), MATCH(J$1, FebR!$6:$6, 0), FALSE),
            0
        ) +
        IFERROR(
            VLOOKUP($A23, INDIRECT("MarR!$A$6:$ZZ$1048576"), MATCH(J$1, MarR!$6:$6, 0), FALSE),
            0
        ) +
        IFERROR(
            VLOOKUP($A23, INDIRECT("AbrR!$A$6:$ZZ$1048576"), MATCH(J$1, AbrR!$6:$6, 0), FALSE),
            0
        ) +
        IFERROR(
            VLOOKUP($A23, INDIRECT("MayR!$A$6:$ZZ$1048576"), MATCH(J$1, MayR!$6:$6, 0), FALSE),
            0
        ) +
        IFERROR(
            VLOOKUP($A23, INDIRECT("JunR!$A$6:$ZZ$1048576"), MATCH(J$1, JunR!$6:$6, 0), FALSE),
            0
        ) +
        IFERROR(
            VLOOKUP($A23, INDIRECT("JulR!$A$6:$ZZ$1048576"), MATCH(J$1, JulR!$6:$6, 0), FALSE),
            0
        ) +
        IFERROR(
            VLOOKUP($A23, INDIRECT("AgoR!$A$6:$ZZ$1048576"), MATCH(J$1, AgoR!$6:$6, 0), FALSE),
            0
        ) +
        IFERROR(
            VLOOKUP($A23, INDIRECT("SepR!$A$6:$ZZ$1048576"), MATCH(J$1, SepR!$6:$6, 0), FALSE),
            0
        ) +
        IFERROR(
            VLOOKUP($A23, INDIRECT("OctR!$A$6:$ZZ$1048576"), MATCH(J$1, OctR!$6:$6, 0), FALSE),
            0
        ) +
        IFERROR(
            VLOOKUP($A23, INDIRECT("NovR!$A$6:$ZZ$1048576"), MATCH(J$1, NovR!$6:$6, 0), FALSE),
            0
        ) +
        IFERROR(
            VLOOKUP($A23, INDIRECT("DicR!$A$6:$ZZ$1048576"), MATCH(J$1, DicR!$6:$6, 0), FALSE),
            0
        )
)</f>
        <v>0</v>
      </c>
      <c r="K23" s="35">
        <f t="array" ref="K23">SUM(
    IFERROR(
            VLOOKUP($A23, INDIRECT("EneR!$A$6:$ZZ$1048576"), MATCH(K$1, EneR!$6:$6, 0), FALSE),
            0
        ) +
        IFERROR(
            VLOOKUP($A23, INDIRECT("FebR!$A$6:$ZZ$1048576"), MATCH(K$1, FebR!$6:$6, 0), FALSE),
            0
        ) +
        IFERROR(
            VLOOKUP($A23, INDIRECT("MarR!$A$6:$ZZ$1048576"), MATCH(K$1, MarR!$6:$6, 0), FALSE),
            0
        ) +
        IFERROR(
            VLOOKUP($A23, INDIRECT("AbrR!$A$6:$ZZ$1048576"), MATCH(K$1, AbrR!$6:$6, 0), FALSE),
            0
        ) +
        IFERROR(
            VLOOKUP($A23, INDIRECT("MayR!$A$6:$ZZ$1048576"), MATCH(K$1, MayR!$6:$6, 0), FALSE),
            0
        ) +
        IFERROR(
            VLOOKUP($A23, INDIRECT("JunR!$A$6:$ZZ$1048576"), MATCH(K$1, JunR!$6:$6, 0), FALSE),
            0
        ) +
        IFERROR(
            VLOOKUP($A23, INDIRECT("JulR!$A$6:$ZZ$1048576"), MATCH(K$1, JulR!$6:$6, 0), FALSE),
            0
        ) +
        IFERROR(
            VLOOKUP($A23, INDIRECT("AgoR!$A$6:$ZZ$1048576"), MATCH(K$1, AgoR!$6:$6, 0), FALSE),
            0
        ) +
        IFERROR(
            VLOOKUP($A23, INDIRECT("SepR!$A$6:$ZZ$1048576"), MATCH(K$1, SepR!$6:$6, 0), FALSE),
            0
        ) +
        IFERROR(
            VLOOKUP($A23, INDIRECT("OctR!$A$6:$ZZ$1048576"), MATCH(K$1, OctR!$6:$6, 0), FALSE),
            0
        ) +
        IFERROR(
            VLOOKUP($A23, INDIRECT("NovR!$A$6:$ZZ$1048576"), MATCH(K$1, NovR!$6:$6, 0), FALSE),
            0
        ) +
        IFERROR(
            VLOOKUP($A23, INDIRECT("DicR!$A$6:$ZZ$1048576"), MATCH(K$1, DicR!$6:$6, 0), FALSE),
            0
        )
)</f>
        <v>0</v>
      </c>
      <c r="L23" s="32">
        <f t="array" ref="L23">SUM(
    IFERROR(
            VLOOKUP($A23, INDIRECT("EneR!$A$6:$ZZ$1048576"), MATCH(L$1, EneR!$6:$6, 0), FALSE),
            0
        ) +
        IFERROR(
            VLOOKUP($A23, INDIRECT("FebR!$A$6:$ZZ$1048576"), MATCH(L$1, FebR!$6:$6, 0), FALSE),
            0
        ) +
        IFERROR(
            VLOOKUP($A23, INDIRECT("MarR!$A$6:$ZZ$1048576"), MATCH(L$1, MarR!$6:$6, 0), FALSE),
            0
        ) +
        IFERROR(
            VLOOKUP($A23, INDIRECT("AbrR!$A$6:$ZZ$1048576"), MATCH(L$1, AbrR!$6:$6, 0), FALSE),
            0
        ) +
        IFERROR(
            VLOOKUP($A23, INDIRECT("MayR!$A$6:$ZZ$1048576"), MATCH(L$1, MayR!$6:$6, 0), FALSE),
            0
        ) +
        IFERROR(
            VLOOKUP($A23, INDIRECT("JunR!$A$6:$ZZ$1048576"), MATCH(L$1, JunR!$6:$6, 0), FALSE),
            0
        ) +
        IFERROR(
            VLOOKUP($A23, INDIRECT("JulR!$A$6:$ZZ$1048576"), MATCH(L$1, JulR!$6:$6, 0), FALSE),
            0
        ) +
        IFERROR(
            VLOOKUP($A23, INDIRECT("AgoR!$A$6:$ZZ$1048576"), MATCH(L$1, AgoR!$6:$6, 0), FALSE),
            0
        ) +
        IFERROR(
            VLOOKUP($A23, INDIRECT("SepR!$A$6:$ZZ$1048576"), MATCH(L$1, SepR!$6:$6, 0), FALSE),
            0
        ) +
        IFERROR(
            VLOOKUP($A23, INDIRECT("OctR!$A$6:$ZZ$1048576"), MATCH(L$1, OctR!$6:$6, 0), FALSE),
            0
        ) +
        IFERROR(
            VLOOKUP($A23, INDIRECT("NovR!$A$6:$ZZ$1048576"), MATCH(L$1, NovR!$6:$6, 0), FALSE),
            0
        ) +
        IFERROR(
            VLOOKUP($A23, INDIRECT("DicR!$A$6:$ZZ$1048576"), MATCH(L$1, DicR!$6:$6, 0), FALSE),
            0
        )
)</f>
        <v>0</v>
      </c>
      <c r="M23" s="35">
        <f t="array" ref="M23">SUM(
    IFERROR(
            VLOOKUP($A23, INDIRECT("EneR!$A$6:$ZZ$1048576"), MATCH(M$1, EneR!$6:$6, 0), FALSE),
            0
        ) +
        IFERROR(
            VLOOKUP($A23, INDIRECT("FebR!$A$6:$ZZ$1048576"), MATCH(M$1, FebR!$6:$6, 0), FALSE),
            0
        ) +
        IFERROR(
            VLOOKUP($A23, INDIRECT("MarR!$A$6:$ZZ$1048576"), MATCH(M$1, MarR!$6:$6, 0), FALSE),
            0
        ) +
        IFERROR(
            VLOOKUP($A23, INDIRECT("AbrR!$A$6:$ZZ$1048576"), MATCH(M$1, AbrR!$6:$6, 0), FALSE),
            0
        ) +
        IFERROR(
            VLOOKUP($A23, INDIRECT("MayR!$A$6:$ZZ$1048576"), MATCH(M$1, MayR!$6:$6, 0), FALSE),
            0
        ) +
        IFERROR(
            VLOOKUP($A23, INDIRECT("JunR!$A$6:$ZZ$1048576"), MATCH(M$1, JunR!$6:$6, 0), FALSE),
            0
        ) +
        IFERROR(
            VLOOKUP($A23, INDIRECT("JulR!$A$6:$ZZ$1048576"), MATCH(M$1, JulR!$6:$6, 0), FALSE),
            0
        ) +
        IFERROR(
            VLOOKUP($A23, INDIRECT("AgoR!$A$6:$ZZ$1048576"), MATCH(M$1, AgoR!$6:$6, 0), FALSE),
            0
        ) +
        IFERROR(
            VLOOKUP($A23, INDIRECT("SepR!$A$6:$ZZ$1048576"), MATCH(M$1, SepR!$6:$6, 0), FALSE),
            0
        ) +
        IFERROR(
            VLOOKUP($A23, INDIRECT("OctR!$A$6:$ZZ$1048576"), MATCH(M$1, OctR!$6:$6, 0), FALSE),
            0
        ) +
        IFERROR(
            VLOOKUP($A23, INDIRECT("NovR!$A$6:$ZZ$1048576"), MATCH(M$1, NovR!$6:$6, 0), FALSE),
            0
        ) +
        IFERROR(
            VLOOKUP($A23, INDIRECT("DicR!$A$6:$ZZ$1048576"), MATCH(M$1, DicR!$6:$6, 0), FALSE),
            0
        )
)</f>
        <v>0</v>
      </c>
      <c r="N23" s="32">
        <f t="array" ref="N23">SUM(
    IFERROR(
            VLOOKUP($A23, INDIRECT("EneR!$A$6:$ZZ$1048576"), MATCH(N$1, EneR!$6:$6, 0), FALSE),
            0
        ) +
        IFERROR(
            VLOOKUP($A23, INDIRECT("FebR!$A$6:$ZZ$1048576"), MATCH(N$1, FebR!$6:$6, 0), FALSE),
            0
        ) +
        IFERROR(
            VLOOKUP($A23, INDIRECT("MarR!$A$6:$ZZ$1048576"), MATCH(N$1, MarR!$6:$6, 0), FALSE),
            0
        ) +
        IFERROR(
            VLOOKUP($A23, INDIRECT("AbrR!$A$6:$ZZ$1048576"), MATCH(N$1, AbrR!$6:$6, 0), FALSE),
            0
        ) +
        IFERROR(
            VLOOKUP($A23, INDIRECT("MayR!$A$6:$ZZ$1048576"), MATCH(N$1, MayR!$6:$6, 0), FALSE),
            0
        ) +
        IFERROR(
            VLOOKUP($A23, INDIRECT("JunR!$A$6:$ZZ$1048576"), MATCH(N$1, JunR!$6:$6, 0), FALSE),
            0
        ) +
        IFERROR(
            VLOOKUP($A23, INDIRECT("JulR!$A$6:$ZZ$1048576"), MATCH(N$1, JulR!$6:$6, 0), FALSE),
            0
        ) +
        IFERROR(
            VLOOKUP($A23, INDIRECT("AgoR!$A$6:$ZZ$1048576"), MATCH(N$1, AgoR!$6:$6, 0), FALSE),
            0
        ) +
        IFERROR(
            VLOOKUP($A23, INDIRECT("SepR!$A$6:$ZZ$1048576"), MATCH(N$1, SepR!$6:$6, 0), FALSE),
            0
        ) +
        IFERROR(
            VLOOKUP($A23, INDIRECT("OctR!$A$6:$ZZ$1048576"), MATCH(N$1, OctR!$6:$6, 0), FALSE),
            0
        ) +
        IFERROR(
            VLOOKUP($A23, INDIRECT("NovR!$A$6:$ZZ$1048576"), MATCH(N$1, NovR!$6:$6, 0), FALSE),
            0
        ) +
        IFERROR(
            VLOOKUP($A23, INDIRECT("DicR!$A$6:$ZZ$1048576"), MATCH(N$1, DicR!$6:$6, 0), FALSE),
            0
        )
)</f>
        <v>0</v>
      </c>
      <c r="O23" s="35">
        <f t="array" ref="O23">SUM(
    IFERROR(
            VLOOKUP($A23, INDIRECT("EneR!$A$6:$ZZ$1048576"), MATCH(O$1, EneR!$6:$6, 0), FALSE),
            0
        ) +
        IFERROR(
            VLOOKUP($A23, INDIRECT("FebR!$A$6:$ZZ$1048576"), MATCH(O$1, FebR!$6:$6, 0), FALSE),
            0
        ) +
        IFERROR(
            VLOOKUP($A23, INDIRECT("MarR!$A$6:$ZZ$1048576"), MATCH(O$1, MarR!$6:$6, 0), FALSE),
            0
        ) +
        IFERROR(
            VLOOKUP($A23, INDIRECT("AbrR!$A$6:$ZZ$1048576"), MATCH(O$1, AbrR!$6:$6, 0), FALSE),
            0
        ) +
        IFERROR(
            VLOOKUP($A23, INDIRECT("MayR!$A$6:$ZZ$1048576"), MATCH(O$1, MayR!$6:$6, 0), FALSE),
            0
        ) +
        IFERROR(
            VLOOKUP($A23, INDIRECT("JunR!$A$6:$ZZ$1048576"), MATCH(O$1, JunR!$6:$6, 0), FALSE),
            0
        ) +
        IFERROR(
            VLOOKUP($A23, INDIRECT("JulR!$A$6:$ZZ$1048576"), MATCH(O$1, JulR!$6:$6, 0), FALSE),
            0
        ) +
        IFERROR(
            VLOOKUP($A23, INDIRECT("AgoR!$A$6:$ZZ$1048576"), MATCH(O$1, AgoR!$6:$6, 0), FALSE),
            0
        ) +
        IFERROR(
            VLOOKUP($A23, INDIRECT("SepR!$A$6:$ZZ$1048576"), MATCH(O$1, SepR!$6:$6, 0), FALSE),
            0
        ) +
        IFERROR(
            VLOOKUP($A23, INDIRECT("OctR!$A$6:$ZZ$1048576"), MATCH(O$1, OctR!$6:$6, 0), FALSE),
            0
        ) +
        IFERROR(
            VLOOKUP($A23, INDIRECT("NovR!$A$6:$ZZ$1048576"), MATCH(O$1, NovR!$6:$6, 0), FALSE),
            0
        ) +
        IFERROR(
            VLOOKUP($A23, INDIRECT("DicR!$A$6:$ZZ$1048576"), MATCH(O$1, DicR!$6:$6, 0), FALSE),
            0
        )
)</f>
        <v>0</v>
      </c>
      <c r="P23" s="32">
        <f t="array" ref="P23">SUM(
    IFERROR(
            VLOOKUP($A23, INDIRECT("EneR!$A$6:$ZZ$1048576"), MATCH(P$1, EneR!$6:$6, 0), FALSE),
            0
        ) +
        IFERROR(
            VLOOKUP($A23, INDIRECT("FebR!$A$6:$ZZ$1048576"), MATCH(P$1, FebR!$6:$6, 0), FALSE),
            0
        ) +
        IFERROR(
            VLOOKUP($A23, INDIRECT("MarR!$A$6:$ZZ$1048576"), MATCH(P$1, MarR!$6:$6, 0), FALSE),
            0
        ) +
        IFERROR(
            VLOOKUP($A23, INDIRECT("AbrR!$A$6:$ZZ$1048576"), MATCH(P$1, AbrR!$6:$6, 0), FALSE),
            0
        ) +
        IFERROR(
            VLOOKUP($A23, INDIRECT("MayR!$A$6:$ZZ$1048576"), MATCH(P$1, MayR!$6:$6, 0), FALSE),
            0
        ) +
        IFERROR(
            VLOOKUP($A23, INDIRECT("JunR!$A$6:$ZZ$1048576"), MATCH(P$1, JunR!$6:$6, 0), FALSE),
            0
        ) +
        IFERROR(
            VLOOKUP($A23, INDIRECT("JulR!$A$6:$ZZ$1048576"), MATCH(P$1, JulR!$6:$6, 0), FALSE),
            0
        ) +
        IFERROR(
            VLOOKUP($A23, INDIRECT("AgoR!$A$6:$ZZ$1048576"), MATCH(P$1, AgoR!$6:$6, 0), FALSE),
            0
        ) +
        IFERROR(
            VLOOKUP($A23, INDIRECT("SepR!$A$6:$ZZ$1048576"), MATCH(P$1, SepR!$6:$6, 0), FALSE),
            0
        ) +
        IFERROR(
            VLOOKUP($A23, INDIRECT("OctR!$A$6:$ZZ$1048576"), MATCH(P$1, OctR!$6:$6, 0), FALSE),
            0
        ) +
        IFERROR(
            VLOOKUP($A23, INDIRECT("NovR!$A$6:$ZZ$1048576"), MATCH(P$1, NovR!$6:$6, 0), FALSE),
            0
        ) +
        IFERROR(
            VLOOKUP($A23, INDIRECT("DicR!$A$6:$ZZ$1048576"), MATCH(P$1, DicR!$6:$6, 0), FALSE),
            0
        )
)</f>
        <v>0</v>
      </c>
      <c r="Q23" s="35">
        <f t="array" ref="Q23">SUM(
    IFERROR(
            VLOOKUP($A23, INDIRECT("EneR!$A$6:$ZZ$1048576"), MATCH(Q$1, EneR!$6:$6, 0), FALSE),
            0
        ) +
        IFERROR(
            VLOOKUP($A23, INDIRECT("FebR!$A$6:$ZZ$1048576"), MATCH(Q$1, FebR!$6:$6, 0), FALSE),
            0
        ) +
        IFERROR(
            VLOOKUP($A23, INDIRECT("MarR!$A$6:$ZZ$1048576"), MATCH(Q$1, MarR!$6:$6, 0), FALSE),
            0
        ) +
        IFERROR(
            VLOOKUP($A23, INDIRECT("AbrR!$A$6:$ZZ$1048576"), MATCH(Q$1, AbrR!$6:$6, 0), FALSE),
            0
        ) +
        IFERROR(
            VLOOKUP($A23, INDIRECT("MayR!$A$6:$ZZ$1048576"), MATCH(Q$1, MayR!$6:$6, 0), FALSE),
            0
        ) +
        IFERROR(
            VLOOKUP($A23, INDIRECT("JunR!$A$6:$ZZ$1048576"), MATCH(Q$1, JunR!$6:$6, 0), FALSE),
            0
        ) +
        IFERROR(
            VLOOKUP($A23, INDIRECT("JulR!$A$6:$ZZ$1048576"), MATCH(Q$1, JulR!$6:$6, 0), FALSE),
            0
        ) +
        IFERROR(
            VLOOKUP($A23, INDIRECT("AgoR!$A$6:$ZZ$1048576"), MATCH(Q$1, AgoR!$6:$6, 0), FALSE),
            0
        ) +
        IFERROR(
            VLOOKUP($A23, INDIRECT("SepR!$A$6:$ZZ$1048576"), MATCH(Q$1, SepR!$6:$6, 0), FALSE),
            0
        ) +
        IFERROR(
            VLOOKUP($A23, INDIRECT("OctR!$A$6:$ZZ$1048576"), MATCH(Q$1, OctR!$6:$6, 0), FALSE),
            0
        ) +
        IFERROR(
            VLOOKUP($A23, INDIRECT("NovR!$A$6:$ZZ$1048576"), MATCH(Q$1, NovR!$6:$6, 0), FALSE),
            0
        ) +
        IFERROR(
            VLOOKUP($A23, INDIRECT("DicR!$A$6:$ZZ$1048576"), MATCH(Q$1, DicR!$6:$6, 0), FALSE),
            0
        )
)</f>
        <v>0</v>
      </c>
      <c r="R23" s="36">
        <f t="array" ref="R23">SUM(
    IFERROR(
            VLOOKUP($A23, INDIRECT("EneR!$A$6:$ZZ$1048576"), MATCH(R$1, EneR!$6:$6, 0), FALSE),
            0
        ) +
        IFERROR(
            VLOOKUP($A23, INDIRECT("FebR!$A$6:$ZZ$1048576"), MATCH(R$1, FebR!$6:$6, 0), FALSE),
            0
        ) +
        IFERROR(
            VLOOKUP($A23, INDIRECT("MarR!$A$6:$ZZ$1048576"), MATCH(R$1, MarR!$6:$6, 0), FALSE),
            0
        ) +
        IFERROR(
            VLOOKUP($A23, INDIRECT("AbrR!$A$6:$ZZ$1048576"), MATCH(R$1, AbrR!$6:$6, 0), FALSE),
            0
        ) +
        IFERROR(
            VLOOKUP($A23, INDIRECT("MayR!$A$6:$ZZ$1048576"), MATCH(R$1, MayR!$6:$6, 0), FALSE),
            0
        ) +
        IFERROR(
            VLOOKUP($A23, INDIRECT("JunR!$A$6:$ZZ$1048576"), MATCH(R$1, JunR!$6:$6, 0), FALSE),
            0
        ) +
        IFERROR(
            VLOOKUP($A23, INDIRECT("JulR!$A$6:$ZZ$1048576"), MATCH(R$1, JulR!$6:$6, 0), FALSE),
            0
        ) +
        IFERROR(
            VLOOKUP($A23, INDIRECT("AgoR!$A$6:$ZZ$1048576"), MATCH(R$1, AgoR!$6:$6, 0), FALSE),
            0
        ) +
        IFERROR(
            VLOOKUP($A23, INDIRECT("SepR!$A$6:$ZZ$1048576"), MATCH(R$1, SepR!$6:$6, 0), FALSE),
            0
        ) +
        IFERROR(
            VLOOKUP($A23, INDIRECT("OctR!$A$6:$ZZ$1048576"), MATCH(R$1, OctR!$6:$6, 0), FALSE),
            0
        ) +
        IFERROR(
            VLOOKUP($A23, INDIRECT("NovR!$A$6:$ZZ$1048576"), MATCH(R$1, NovR!$6:$6, 0), FALSE),
            0
        ) +
        IFERROR(
            VLOOKUP($A23, INDIRECT("DicR!$A$6:$ZZ$1048576"), MATCH(R$1, DicR!$6:$6, 0), FALSE),
            0
        )
)</f>
        <v>0</v>
      </c>
      <c r="S23" s="37">
        <f t="array" ref="S23">SUM(
    IFERROR(
            VLOOKUP($A23, INDIRECT("EneR!$A$6:$ZZ$1048576"), MATCH(S$1, EneR!$6:$6, 0), FALSE),
            0
        ) +
        IFERROR(
            VLOOKUP($A23, INDIRECT("FebR!$A$6:$ZZ$1048576"), MATCH(S$1, FebR!$6:$6, 0), FALSE),
            0
        ) +
        IFERROR(
            VLOOKUP($A23, INDIRECT("MarR!$A$6:$ZZ$1048576"), MATCH(S$1, MarR!$6:$6, 0), FALSE),
            0
        ) +
        IFERROR(
            VLOOKUP($A23, INDIRECT("AbrR!$A$6:$ZZ$1048576"), MATCH(S$1, AbrR!$6:$6, 0), FALSE),
            0
        ) +
        IFERROR(
            VLOOKUP($A23, INDIRECT("MayR!$A$6:$ZZ$1048576"), MATCH(S$1, MayR!$6:$6, 0), FALSE),
            0
        ) +
        IFERROR(
            VLOOKUP($A23, INDIRECT("JunR!$A$6:$ZZ$1048576"), MATCH(S$1, JunR!$6:$6, 0), FALSE),
            0
        ) +
        IFERROR(
            VLOOKUP($A23, INDIRECT("JulR!$A$6:$ZZ$1048576"), MATCH(S$1, JulR!$6:$6, 0), FALSE),
            0
        ) +
        IFERROR(
            VLOOKUP($A23, INDIRECT("AgoR!$A$6:$ZZ$1048576"), MATCH(S$1, AgoR!$6:$6, 0), FALSE),
            0
        ) +
        IFERROR(
            VLOOKUP($A23, INDIRECT("SepR!$A$6:$ZZ$1048576"), MATCH(S$1, SepR!$6:$6, 0), FALSE),
            0
        ) +
        IFERROR(
            VLOOKUP($A23, INDIRECT("OctR!$A$6:$ZZ$1048576"), MATCH(S$1, OctR!$6:$6, 0), FALSE),
            0
        ) +
        IFERROR(
            VLOOKUP($A23, INDIRECT("NovR!$A$6:$ZZ$1048576"), MATCH(S$1, NovR!$6:$6, 0), FALSE),
            0
        ) +
        IFERROR(
            VLOOKUP($A23, INDIRECT("DicR!$A$6:$ZZ$1048576"), MATCH(S$1, DicR!$6:$6, 0), FALSE),
            0
        )
)</f>
        <v>0</v>
      </c>
      <c r="T23" s="36">
        <f t="array" ref="T23">SUM(
    IFERROR(
            VLOOKUP($A23, INDIRECT("EneR!$A$6:$ZZ$1048576"), MATCH(T$1, EneR!$6:$6, 0), FALSE),
            0
        ) +
        IFERROR(
            VLOOKUP($A23, INDIRECT("FebR!$A$6:$ZZ$1048576"), MATCH(T$1, FebR!$6:$6, 0), FALSE),
            0
        ) +
        IFERROR(
            VLOOKUP($A23, INDIRECT("MarR!$A$6:$ZZ$1048576"), MATCH(T$1, MarR!$6:$6, 0), FALSE),
            0
        ) +
        IFERROR(
            VLOOKUP($A23, INDIRECT("AbrR!$A$6:$ZZ$1048576"), MATCH(T$1, AbrR!$6:$6, 0), FALSE),
            0
        ) +
        IFERROR(
            VLOOKUP($A23, INDIRECT("MayR!$A$6:$ZZ$1048576"), MATCH(T$1, MayR!$6:$6, 0), FALSE),
            0
        ) +
        IFERROR(
            VLOOKUP($A23, INDIRECT("JunR!$A$6:$ZZ$1048576"), MATCH(T$1, JunR!$6:$6, 0), FALSE),
            0
        ) +
        IFERROR(
            VLOOKUP($A23, INDIRECT("JulR!$A$6:$ZZ$1048576"), MATCH(T$1, JulR!$6:$6, 0), FALSE),
            0
        ) +
        IFERROR(
            VLOOKUP($A23, INDIRECT("AgoR!$A$6:$ZZ$1048576"), MATCH(T$1, AgoR!$6:$6, 0), FALSE),
            0
        ) +
        IFERROR(
            VLOOKUP($A23, INDIRECT("SepR!$A$6:$ZZ$1048576"), MATCH(T$1, SepR!$6:$6, 0), FALSE),
            0
        ) +
        IFERROR(
            VLOOKUP($A23, INDIRECT("OctR!$A$6:$ZZ$1048576"), MATCH(T$1, OctR!$6:$6, 0), FALSE),
            0
        ) +
        IFERROR(
            VLOOKUP($A23, INDIRECT("NovR!$A$6:$ZZ$1048576"), MATCH(T$1, NovR!$6:$6, 0), FALSE),
            0
        ) +
        IFERROR(
            VLOOKUP($A23, INDIRECT("DicR!$A$6:$ZZ$1048576"), MATCH(T$1, DicR!$6:$6, 0), FALSE),
            0
        )
)</f>
        <v>0</v>
      </c>
      <c r="U23" s="37">
        <f t="array" ref="U23">SUM(
    IFERROR(
            VLOOKUP($A23, INDIRECT("EneR!$A$6:$ZZ$1048576"), MATCH(U$1, EneR!$6:$6, 0), FALSE),
            0
        ) +
        IFERROR(
            VLOOKUP($A23, INDIRECT("FebR!$A$6:$ZZ$1048576"), MATCH(U$1, FebR!$6:$6, 0), FALSE),
            0
        ) +
        IFERROR(
            VLOOKUP($A23, INDIRECT("MarR!$A$6:$ZZ$1048576"), MATCH(U$1, MarR!$6:$6, 0), FALSE),
            0
        ) +
        IFERROR(
            VLOOKUP($A23, INDIRECT("AbrR!$A$6:$ZZ$1048576"), MATCH(U$1, AbrR!$6:$6, 0), FALSE),
            0
        ) +
        IFERROR(
            VLOOKUP($A23, INDIRECT("MayR!$A$6:$ZZ$1048576"), MATCH(U$1, MayR!$6:$6, 0), FALSE),
            0
        ) +
        IFERROR(
            VLOOKUP($A23, INDIRECT("JunR!$A$6:$ZZ$1048576"), MATCH(U$1, JunR!$6:$6, 0), FALSE),
            0
        ) +
        IFERROR(
            VLOOKUP($A23, INDIRECT("JulR!$A$6:$ZZ$1048576"), MATCH(U$1, JulR!$6:$6, 0), FALSE),
            0
        ) +
        IFERROR(
            VLOOKUP($A23, INDIRECT("AgoR!$A$6:$ZZ$1048576"), MATCH(U$1, AgoR!$6:$6, 0), FALSE),
            0
        ) +
        IFERROR(
            VLOOKUP($A23, INDIRECT("SepR!$A$6:$ZZ$1048576"), MATCH(U$1, SepR!$6:$6, 0), FALSE),
            0
        ) +
        IFERROR(
            VLOOKUP($A23, INDIRECT("OctR!$A$6:$ZZ$1048576"), MATCH(U$1, OctR!$6:$6, 0), FALSE),
            0
        ) +
        IFERROR(
            VLOOKUP($A23, INDIRECT("NovR!$A$6:$ZZ$1048576"), MATCH(U$1, NovR!$6:$6, 0), FALSE),
            0
        ) +
        IFERROR(
            VLOOKUP($A23, INDIRECT("DicR!$A$6:$ZZ$1048576"), MATCH(U$1, DicR!$6:$6, 0), FALSE),
            0
        )
)</f>
        <v>0</v>
      </c>
      <c r="V23" s="36">
        <f t="array" ref="V23">SUM(
    IFERROR(
            VLOOKUP($A23, INDIRECT("EneR!$A$6:$ZZ$1048576"), MATCH(V$1, EneR!$6:$6, 0), FALSE),
            0
        ) +
        IFERROR(
            VLOOKUP($A23, INDIRECT("FebR!$A$6:$ZZ$1048576"), MATCH(V$1, FebR!$6:$6, 0), FALSE),
            0
        ) +
        IFERROR(
            VLOOKUP($A23, INDIRECT("MarR!$A$6:$ZZ$1048576"), MATCH(V$1, MarR!$6:$6, 0), FALSE),
            0
        ) +
        IFERROR(
            VLOOKUP($A23, INDIRECT("AbrR!$A$6:$ZZ$1048576"), MATCH(V$1, AbrR!$6:$6, 0), FALSE),
            0
        ) +
        IFERROR(
            VLOOKUP($A23, INDIRECT("MayR!$A$6:$ZZ$1048576"), MATCH(V$1, MayR!$6:$6, 0), FALSE),
            0
        ) +
        IFERROR(
            VLOOKUP($A23, INDIRECT("JunR!$A$6:$ZZ$1048576"), MATCH(V$1, JunR!$6:$6, 0), FALSE),
            0
        ) +
        IFERROR(
            VLOOKUP($A23, INDIRECT("JulR!$A$6:$ZZ$1048576"), MATCH(V$1, JulR!$6:$6, 0), FALSE),
            0
        ) +
        IFERROR(
            VLOOKUP($A23, INDIRECT("AgoR!$A$6:$ZZ$1048576"), MATCH(V$1, AgoR!$6:$6, 0), FALSE),
            0
        ) +
        IFERROR(
            VLOOKUP($A23, INDIRECT("SepR!$A$6:$ZZ$1048576"), MATCH(V$1, SepR!$6:$6, 0), FALSE),
            0
        ) +
        IFERROR(
            VLOOKUP($A23, INDIRECT("OctR!$A$6:$ZZ$1048576"), MATCH(V$1, OctR!$6:$6, 0), FALSE),
            0
        ) +
        IFERROR(
            VLOOKUP($A23, INDIRECT("NovR!$A$6:$ZZ$1048576"), MATCH(V$1, NovR!$6:$6, 0), FALSE),
            0
        ) +
        IFERROR(
            VLOOKUP($A23, INDIRECT("DicR!$A$6:$ZZ$1048576"), MATCH(V$1, DicR!$6:$6, 0), FALSE),
            0
        )
)</f>
        <v>0</v>
      </c>
      <c r="W23" s="37">
        <f t="array" ref="W23">SUM(
    IFERROR(
            VLOOKUP($A23, INDIRECT("EneR!$A$6:$ZZ$1048576"), MATCH(W$1, EneR!$6:$6, 0), FALSE),
            0
        ) +
        IFERROR(
            VLOOKUP($A23, INDIRECT("FebR!$A$6:$ZZ$1048576"), MATCH(W$1, FebR!$6:$6, 0), FALSE),
            0
        ) +
        IFERROR(
            VLOOKUP($A23, INDIRECT("MarR!$A$6:$ZZ$1048576"), MATCH(W$1, MarR!$6:$6, 0), FALSE),
            0
        ) +
        IFERROR(
            VLOOKUP($A23, INDIRECT("AbrR!$A$6:$ZZ$1048576"), MATCH(W$1, AbrR!$6:$6, 0), FALSE),
            0
        ) +
        IFERROR(
            VLOOKUP($A23, INDIRECT("MayR!$A$6:$ZZ$1048576"), MATCH(W$1, MayR!$6:$6, 0), FALSE),
            0
        ) +
        IFERROR(
            VLOOKUP($A23, INDIRECT("JunR!$A$6:$ZZ$1048576"), MATCH(W$1, JunR!$6:$6, 0), FALSE),
            0
        ) +
        IFERROR(
            VLOOKUP($A23, INDIRECT("JulR!$A$6:$ZZ$1048576"), MATCH(W$1, JulR!$6:$6, 0), FALSE),
            0
        ) +
        IFERROR(
            VLOOKUP($A23, INDIRECT("AgoR!$A$6:$ZZ$1048576"), MATCH(W$1, AgoR!$6:$6, 0), FALSE),
            0
        ) +
        IFERROR(
            VLOOKUP($A23, INDIRECT("SepR!$A$6:$ZZ$1048576"), MATCH(W$1, SepR!$6:$6, 0), FALSE),
            0
        ) +
        IFERROR(
            VLOOKUP($A23, INDIRECT("OctR!$A$6:$ZZ$1048576"), MATCH(W$1, OctR!$6:$6, 0), FALSE),
            0
        ) +
        IFERROR(
            VLOOKUP($A23, INDIRECT("NovR!$A$6:$ZZ$1048576"), MATCH(W$1, NovR!$6:$6, 0), FALSE),
            0
        ) +
        IFERROR(
            VLOOKUP($A23, INDIRECT("DicR!$A$6:$ZZ$1048576"), MATCH(W$1, DicR!$6:$6, 0), FALSE),
            0
        )
)</f>
        <v>0</v>
      </c>
      <c r="X23" s="36">
        <f t="array" ref="X23">SUM(
    IFERROR(
            VLOOKUP($A23, INDIRECT("EneR!$A$6:$ZZ$1048576"), MATCH(X$1, EneR!$6:$6, 0), FALSE),
            0
        ) +
        IFERROR(
            VLOOKUP($A23, INDIRECT("FebR!$A$6:$ZZ$1048576"), MATCH(X$1, FebR!$6:$6, 0), FALSE),
            0
        ) +
        IFERROR(
            VLOOKUP($A23, INDIRECT("MarR!$A$6:$ZZ$1048576"), MATCH(X$1, MarR!$6:$6, 0), FALSE),
            0
        ) +
        IFERROR(
            VLOOKUP($A23, INDIRECT("AbrR!$A$6:$ZZ$1048576"), MATCH(X$1, AbrR!$6:$6, 0), FALSE),
            0
        ) +
        IFERROR(
            VLOOKUP($A23, INDIRECT("MayR!$A$6:$ZZ$1048576"), MATCH(X$1, MayR!$6:$6, 0), FALSE),
            0
        ) +
        IFERROR(
            VLOOKUP($A23, INDIRECT("JunR!$A$6:$ZZ$1048576"), MATCH(X$1, JunR!$6:$6, 0), FALSE),
            0
        ) +
        IFERROR(
            VLOOKUP($A23, INDIRECT("JulR!$A$6:$ZZ$1048576"), MATCH(X$1, JulR!$6:$6, 0), FALSE),
            0
        ) +
        IFERROR(
            VLOOKUP($A23, INDIRECT("AgoR!$A$6:$ZZ$1048576"), MATCH(X$1, AgoR!$6:$6, 0), FALSE),
            0
        ) +
        IFERROR(
            VLOOKUP($A23, INDIRECT("SepR!$A$6:$ZZ$1048576"), MATCH(X$1, SepR!$6:$6, 0), FALSE),
            0
        ) +
        IFERROR(
            VLOOKUP($A23, INDIRECT("OctR!$A$6:$ZZ$1048576"), MATCH(X$1, OctR!$6:$6, 0), FALSE),
            0
        ) +
        IFERROR(
            VLOOKUP($A23, INDIRECT("NovR!$A$6:$ZZ$1048576"), MATCH(X$1, NovR!$6:$6, 0), FALSE),
            0
        ) +
        IFERROR(
            VLOOKUP($A23, INDIRECT("DicR!$A$6:$ZZ$1048576"), MATCH(X$1, DicR!$6:$6, 0), FALSE),
            0
        )
)</f>
        <v>0</v>
      </c>
      <c r="Y23" s="37">
        <f t="array" ref="Y23">SUM(
    IFERROR(
            VLOOKUP($A23, INDIRECT("EneR!$A$6:$ZZ$1048576"), MATCH(Y$1, EneR!$6:$6, 0), FALSE),
            0
        ) +
        IFERROR(
            VLOOKUP($A23, INDIRECT("FebR!$A$6:$ZZ$1048576"), MATCH(Y$1, FebR!$6:$6, 0), FALSE),
            0
        ) +
        IFERROR(
            VLOOKUP($A23, INDIRECT("MarR!$A$6:$ZZ$1048576"), MATCH(Y$1, MarR!$6:$6, 0), FALSE),
            0
        ) +
        IFERROR(
            VLOOKUP($A23, INDIRECT("AbrR!$A$6:$ZZ$1048576"), MATCH(Y$1, AbrR!$6:$6, 0), FALSE),
            0
        ) +
        IFERROR(
            VLOOKUP($A23, INDIRECT("MayR!$A$6:$ZZ$1048576"), MATCH(Y$1, MayR!$6:$6, 0), FALSE),
            0
        ) +
        IFERROR(
            VLOOKUP($A23, INDIRECT("JunR!$A$6:$ZZ$1048576"), MATCH(Y$1, JunR!$6:$6, 0), FALSE),
            0
        ) +
        IFERROR(
            VLOOKUP($A23, INDIRECT("JulR!$A$6:$ZZ$1048576"), MATCH(Y$1, JulR!$6:$6, 0), FALSE),
            0
        ) +
        IFERROR(
            VLOOKUP($A23, INDIRECT("AgoR!$A$6:$ZZ$1048576"), MATCH(Y$1, AgoR!$6:$6, 0), FALSE),
            0
        ) +
        IFERROR(
            VLOOKUP($A23, INDIRECT("SepR!$A$6:$ZZ$1048576"), MATCH(Y$1, SepR!$6:$6, 0), FALSE),
            0
        ) +
        IFERROR(
            VLOOKUP($A23, INDIRECT("OctR!$A$6:$ZZ$1048576"), MATCH(Y$1, OctR!$6:$6, 0), FALSE),
            0
        ) +
        IFERROR(
            VLOOKUP($A23, INDIRECT("NovR!$A$6:$ZZ$1048576"), MATCH(Y$1, NovR!$6:$6, 0), FALSE),
            0
        ) +
        IFERROR(
            VLOOKUP($A23, INDIRECT("DicR!$A$6:$ZZ$1048576"), MATCH(Y$1, DicR!$6:$6, 0), FALSE),
            0
        )
)</f>
        <v>0</v>
      </c>
      <c r="Z23" s="36">
        <f t="array" ref="Z23">SUM(
    IFERROR(
            VLOOKUP($A23, INDIRECT("EneR!$A$6:$ZZ$1048576"), MATCH(Z$1, EneR!$6:$6, 0), FALSE),
            0
        ) +
        IFERROR(
            VLOOKUP($A23, INDIRECT("FebR!$A$6:$ZZ$1048576"), MATCH(Z$1, FebR!$6:$6, 0), FALSE),
            0
        ) +
        IFERROR(
            VLOOKUP($A23, INDIRECT("MarR!$A$6:$ZZ$1048576"), MATCH(Z$1, MarR!$6:$6, 0), FALSE),
            0
        ) +
        IFERROR(
            VLOOKUP($A23, INDIRECT("AbrR!$A$6:$ZZ$1048576"), MATCH(Z$1, AbrR!$6:$6, 0), FALSE),
            0
        ) +
        IFERROR(
            VLOOKUP($A23, INDIRECT("MayR!$A$6:$ZZ$1048576"), MATCH(Z$1, MayR!$6:$6, 0), FALSE),
            0
        ) +
        IFERROR(
            VLOOKUP($A23, INDIRECT("JunR!$A$6:$ZZ$1048576"), MATCH(Z$1, JunR!$6:$6, 0), FALSE),
            0
        ) +
        IFERROR(
            VLOOKUP($A23, INDIRECT("JulR!$A$6:$ZZ$1048576"), MATCH(Z$1, JulR!$6:$6, 0), FALSE),
            0
        ) +
        IFERROR(
            VLOOKUP($A23, INDIRECT("AgoR!$A$6:$ZZ$1048576"), MATCH(Z$1, AgoR!$6:$6, 0), FALSE),
            0
        ) +
        IFERROR(
            VLOOKUP($A23, INDIRECT("SepR!$A$6:$ZZ$1048576"), MATCH(Z$1, SepR!$6:$6, 0), FALSE),
            0
        ) +
        IFERROR(
            VLOOKUP($A23, INDIRECT("OctR!$A$6:$ZZ$1048576"), MATCH(Z$1, OctR!$6:$6, 0), FALSE),
            0
        ) +
        IFERROR(
            VLOOKUP($A23, INDIRECT("NovR!$A$6:$ZZ$1048576"), MATCH(Z$1, NovR!$6:$6, 0), FALSE),
            0
        ) +
        IFERROR(
            VLOOKUP($A23, INDIRECT("DicR!$A$6:$ZZ$1048576"), MATCH(Z$1, DicR!$6:$6, 0), FALSE),
            0
        )
)</f>
        <v>0</v>
      </c>
      <c r="AA23" s="37">
        <f t="array" ref="AA23">SUM(
    IFERROR(
            VLOOKUP($A23, INDIRECT("EneR!$A$6:$ZZ$1048576"), MATCH(AA$1, EneR!$6:$6, 0), FALSE),
            0
        ) +
        IFERROR(
            VLOOKUP($A23, INDIRECT("FebR!$A$6:$ZZ$1048576"), MATCH(AA$1, FebR!$6:$6, 0), FALSE),
            0
        ) +
        IFERROR(
            VLOOKUP($A23, INDIRECT("MarR!$A$6:$ZZ$1048576"), MATCH(AA$1, MarR!$6:$6, 0), FALSE),
            0
        ) +
        IFERROR(
            VLOOKUP($A23, INDIRECT("AbrR!$A$6:$ZZ$1048576"), MATCH(AA$1, AbrR!$6:$6, 0), FALSE),
            0
        ) +
        IFERROR(
            VLOOKUP($A23, INDIRECT("MayR!$A$6:$ZZ$1048576"), MATCH(AA$1, MayR!$6:$6, 0), FALSE),
            0
        ) +
        IFERROR(
            VLOOKUP($A23, INDIRECT("JunR!$A$6:$ZZ$1048576"), MATCH(AA$1, JunR!$6:$6, 0), FALSE),
            0
        ) +
        IFERROR(
            VLOOKUP($A23, INDIRECT("JulR!$A$6:$ZZ$1048576"), MATCH(AA$1, JulR!$6:$6, 0), FALSE),
            0
        ) +
        IFERROR(
            VLOOKUP($A23, INDIRECT("AgoR!$A$6:$ZZ$1048576"), MATCH(AA$1, AgoR!$6:$6, 0), FALSE),
            0
        ) +
        IFERROR(
            VLOOKUP($A23, INDIRECT("SepR!$A$6:$ZZ$1048576"), MATCH(AA$1, SepR!$6:$6, 0), FALSE),
            0
        ) +
        IFERROR(
            VLOOKUP($A23, INDIRECT("OctR!$A$6:$ZZ$1048576"), MATCH(AA$1, OctR!$6:$6, 0), FALSE),
            0
        ) +
        IFERROR(
            VLOOKUP($A23, INDIRECT("NovR!$A$6:$ZZ$1048576"), MATCH(AA$1, NovR!$6:$6, 0), FALSE),
            0
        ) +
        IFERROR(
            VLOOKUP($A23, INDIRECT("DicR!$A$6:$ZZ$1048576"), MATCH(AA$1, DicR!$6:$6, 0), FALSE),
            0
        )
)</f>
        <v>0</v>
      </c>
      <c r="AB23" s="36">
        <f t="array" ref="AB23">SUM(
    IFERROR(
            VLOOKUP($A23, INDIRECT("EneR!$A$6:$ZZ$1048576"), MATCH(AB$1, EneR!$6:$6, 0), FALSE),
            0
        ) +
        IFERROR(
            VLOOKUP($A23, INDIRECT("FebR!$A$6:$ZZ$1048576"), MATCH(AB$1, FebR!$6:$6, 0), FALSE),
            0
        ) +
        IFERROR(
            VLOOKUP($A23, INDIRECT("MarR!$A$6:$ZZ$1048576"), MATCH(AB$1, MarR!$6:$6, 0), FALSE),
            0
        ) +
        IFERROR(
            VLOOKUP($A23, INDIRECT("AbrR!$A$6:$ZZ$1048576"), MATCH(AB$1, AbrR!$6:$6, 0), FALSE),
            0
        ) +
        IFERROR(
            VLOOKUP($A23, INDIRECT("MayR!$A$6:$ZZ$1048576"), MATCH(AB$1, MayR!$6:$6, 0), FALSE),
            0
        ) +
        IFERROR(
            VLOOKUP($A23, INDIRECT("JunR!$A$6:$ZZ$1048576"), MATCH(AB$1, JunR!$6:$6, 0), FALSE),
            0
        ) +
        IFERROR(
            VLOOKUP($A23, INDIRECT("JulR!$A$6:$ZZ$1048576"), MATCH(AB$1, JulR!$6:$6, 0), FALSE),
            0
        ) +
        IFERROR(
            VLOOKUP($A23, INDIRECT("AgoR!$A$6:$ZZ$1048576"), MATCH(AB$1, AgoR!$6:$6, 0), FALSE),
            0
        ) +
        IFERROR(
            VLOOKUP($A23, INDIRECT("SepR!$A$6:$ZZ$1048576"), MATCH(AB$1, SepR!$6:$6, 0), FALSE),
            0
        ) +
        IFERROR(
            VLOOKUP($A23, INDIRECT("OctR!$A$6:$ZZ$1048576"), MATCH(AB$1, OctR!$6:$6, 0), FALSE),
            0
        ) +
        IFERROR(
            VLOOKUP($A23, INDIRECT("NovR!$A$6:$ZZ$1048576"), MATCH(AB$1, NovR!$6:$6, 0), FALSE),
            0
        ) +
        IFERROR(
            VLOOKUP($A23, INDIRECT("DicR!$A$6:$ZZ$1048576"), MATCH(AB$1, DicR!$6:$6, 0), FALSE),
            0
        )
)</f>
        <v>0</v>
      </c>
      <c r="AC23" s="37">
        <f t="array" ref="AC23">SUM(
    IFERROR(
            VLOOKUP($A23, INDIRECT("EneR!$A$6:$ZZ$1048576"), MATCH(AC$1, EneR!$6:$6, 0), FALSE),
            0
        ) +
        IFERROR(
            VLOOKUP($A23, INDIRECT("FebR!$A$6:$ZZ$1048576"), MATCH(AC$1, FebR!$6:$6, 0), FALSE),
            0
        ) +
        IFERROR(
            VLOOKUP($A23, INDIRECT("MarR!$A$6:$ZZ$1048576"), MATCH(AC$1, MarR!$6:$6, 0), FALSE),
            0
        ) +
        IFERROR(
            VLOOKUP($A23, INDIRECT("AbrR!$A$6:$ZZ$1048576"), MATCH(AC$1, AbrR!$6:$6, 0), FALSE),
            0
        ) +
        IFERROR(
            VLOOKUP($A23, INDIRECT("MayR!$A$6:$ZZ$1048576"), MATCH(AC$1, MayR!$6:$6, 0), FALSE),
            0
        ) +
        IFERROR(
            VLOOKUP($A23, INDIRECT("JunR!$A$6:$ZZ$1048576"), MATCH(AC$1, JunR!$6:$6, 0), FALSE),
            0
        ) +
        IFERROR(
            VLOOKUP($A23, INDIRECT("JulR!$A$6:$ZZ$1048576"), MATCH(AC$1, JulR!$6:$6, 0), FALSE),
            0
        ) +
        IFERROR(
            VLOOKUP($A23, INDIRECT("AgoR!$A$6:$ZZ$1048576"), MATCH(AC$1, AgoR!$6:$6, 0), FALSE),
            0
        ) +
        IFERROR(
            VLOOKUP($A23, INDIRECT("SepR!$A$6:$ZZ$1048576"), MATCH(AC$1, SepR!$6:$6, 0), FALSE),
            0
        ) +
        IFERROR(
            VLOOKUP($A23, INDIRECT("OctR!$A$6:$ZZ$1048576"), MATCH(AC$1, OctR!$6:$6, 0), FALSE),
            0
        ) +
        IFERROR(
            VLOOKUP($A23, INDIRECT("NovR!$A$6:$ZZ$1048576"), MATCH(AC$1, NovR!$6:$6, 0), FALSE),
            0
        ) +
        IFERROR(
            VLOOKUP($A23, INDIRECT("DicR!$A$6:$ZZ$1048576"), MATCH(AC$1, DicR!$6:$6, 0), FALSE),
            0
        )
)</f>
        <v>0</v>
      </c>
      <c r="AD23" s="36">
        <f t="array" ref="AD23">SUM(
    IFERROR(
            VLOOKUP($A23, INDIRECT("EneR!$A$6:$ZZ$1048576"), MATCH(AD$1, EneR!$6:$6, 0), FALSE),
            0
        ) +
        IFERROR(
            VLOOKUP($A23, INDIRECT("FebR!$A$6:$ZZ$1048576"), MATCH(AD$1, FebR!$6:$6, 0), FALSE),
            0
        ) +
        IFERROR(
            VLOOKUP($A23, INDIRECT("MarR!$A$6:$ZZ$1048576"), MATCH(AD$1, MarR!$6:$6, 0), FALSE),
            0
        ) +
        IFERROR(
            VLOOKUP($A23, INDIRECT("AbrR!$A$6:$ZZ$1048576"), MATCH(AD$1, AbrR!$6:$6, 0), FALSE),
            0
        ) +
        IFERROR(
            VLOOKUP($A23, INDIRECT("MayR!$A$6:$ZZ$1048576"), MATCH(AD$1, MayR!$6:$6, 0), FALSE),
            0
        ) +
        IFERROR(
            VLOOKUP($A23, INDIRECT("JunR!$A$6:$ZZ$1048576"), MATCH(AD$1, JunR!$6:$6, 0), FALSE),
            0
        ) +
        IFERROR(
            VLOOKUP($A23, INDIRECT("JulR!$A$6:$ZZ$1048576"), MATCH(AD$1, JulR!$6:$6, 0), FALSE),
            0
        ) +
        IFERROR(
            VLOOKUP($A23, INDIRECT("AgoR!$A$6:$ZZ$1048576"), MATCH(AD$1, AgoR!$6:$6, 0), FALSE),
            0
        ) +
        IFERROR(
            VLOOKUP($A23, INDIRECT("SepR!$A$6:$ZZ$1048576"), MATCH(AD$1, SepR!$6:$6, 0), FALSE),
            0
        ) +
        IFERROR(
            VLOOKUP($A23, INDIRECT("OctR!$A$6:$ZZ$1048576"), MATCH(AD$1, OctR!$6:$6, 0), FALSE),
            0
        ) +
        IFERROR(
            VLOOKUP($A23, INDIRECT("NovR!$A$6:$ZZ$1048576"), MATCH(AD$1, NovR!$6:$6, 0), FALSE),
            0
        ) +
        IFERROR(
            VLOOKUP($A23, INDIRECT("DicR!$A$6:$ZZ$1048576"), MATCH(AD$1, DicR!$6:$6, 0), FALSE),
            0
        )
)</f>
        <v>0</v>
      </c>
      <c r="AE23" s="37">
        <f t="array" ref="AE23">SUM(
    IFERROR(
            VLOOKUP($A23, INDIRECT("EneR!$A$6:$ZZ$1048576"), MATCH(AE$1, EneR!$6:$6, 0), FALSE),
            0
        ) +
        IFERROR(
            VLOOKUP($A23, INDIRECT("FebR!$A$6:$ZZ$1048576"), MATCH(AE$1, FebR!$6:$6, 0), FALSE),
            0
        ) +
        IFERROR(
            VLOOKUP($A23, INDIRECT("MarR!$A$6:$ZZ$1048576"), MATCH(AE$1, MarR!$6:$6, 0), FALSE),
            0
        ) +
        IFERROR(
            VLOOKUP($A23, INDIRECT("AbrR!$A$6:$ZZ$1048576"), MATCH(AE$1, AbrR!$6:$6, 0), FALSE),
            0
        ) +
        IFERROR(
            VLOOKUP($A23, INDIRECT("MayR!$A$6:$ZZ$1048576"), MATCH(AE$1, MayR!$6:$6, 0), FALSE),
            0
        ) +
        IFERROR(
            VLOOKUP($A23, INDIRECT("JunR!$A$6:$ZZ$1048576"), MATCH(AE$1, JunR!$6:$6, 0), FALSE),
            0
        ) +
        IFERROR(
            VLOOKUP($A23, INDIRECT("JulR!$A$6:$ZZ$1048576"), MATCH(AE$1, JulR!$6:$6, 0), FALSE),
            0
        ) +
        IFERROR(
            VLOOKUP($A23, INDIRECT("AgoR!$A$6:$ZZ$1048576"), MATCH(AE$1, AgoR!$6:$6, 0), FALSE),
            0
        ) +
        IFERROR(
            VLOOKUP($A23, INDIRECT("SepR!$A$6:$ZZ$1048576"), MATCH(AE$1, SepR!$6:$6, 0), FALSE),
            0
        ) +
        IFERROR(
            VLOOKUP($A23, INDIRECT("OctR!$A$6:$ZZ$1048576"), MATCH(AE$1, OctR!$6:$6, 0), FALSE),
            0
        ) +
        IFERROR(
            VLOOKUP($A23, INDIRECT("NovR!$A$6:$ZZ$1048576"), MATCH(AE$1, NovR!$6:$6, 0), FALSE),
            0
        ) +
        IFERROR(
            VLOOKUP($A23, INDIRECT("DicR!$A$6:$ZZ$1048576"), MATCH(AE$1, DicR!$6:$6, 0), FALSE),
            0
        )
)</f>
        <v>0</v>
      </c>
      <c r="AF23" s="36">
        <f t="array" ref="AF23">SUM(
    IFERROR(
            VLOOKUP($A23, INDIRECT("EneR!$A$6:$ZZ$1048576"), MATCH(AF$1, EneR!$6:$6, 0), FALSE),
            0
        ) +
        IFERROR(
            VLOOKUP($A23, INDIRECT("FebR!$A$6:$ZZ$1048576"), MATCH(AF$1, FebR!$6:$6, 0), FALSE),
            0
        ) +
        IFERROR(
            VLOOKUP($A23, INDIRECT("MarR!$A$6:$ZZ$1048576"), MATCH(AF$1, MarR!$6:$6, 0), FALSE),
            0
        ) +
        IFERROR(
            VLOOKUP($A23, INDIRECT("AbrR!$A$6:$ZZ$1048576"), MATCH(AF$1, AbrR!$6:$6, 0), FALSE),
            0
        ) +
        IFERROR(
            VLOOKUP($A23, INDIRECT("MayR!$A$6:$ZZ$1048576"), MATCH(AF$1, MayR!$6:$6, 0), FALSE),
            0
        ) +
        IFERROR(
            VLOOKUP($A23, INDIRECT("JunR!$A$6:$ZZ$1048576"), MATCH(AF$1, JunR!$6:$6, 0), FALSE),
            0
        ) +
        IFERROR(
            VLOOKUP($A23, INDIRECT("JulR!$A$6:$ZZ$1048576"), MATCH(AF$1, JulR!$6:$6, 0), FALSE),
            0
        ) +
        IFERROR(
            VLOOKUP($A23, INDIRECT("AgoR!$A$6:$ZZ$1048576"), MATCH(AF$1, AgoR!$6:$6, 0), FALSE),
            0
        ) +
        IFERROR(
            VLOOKUP($A23, INDIRECT("SepR!$A$6:$ZZ$1048576"), MATCH(AF$1, SepR!$6:$6, 0), FALSE),
            0
        ) +
        IFERROR(
            VLOOKUP($A23, INDIRECT("OctR!$A$6:$ZZ$1048576"), MATCH(AF$1, OctR!$6:$6, 0), FALSE),
            0
        ) +
        IFERROR(
            VLOOKUP($A23, INDIRECT("NovR!$A$6:$ZZ$1048576"), MATCH(AF$1, NovR!$6:$6, 0), FALSE),
            0
        ) +
        IFERROR(
            VLOOKUP($A23, INDIRECT("DicR!$A$6:$ZZ$1048576"), MATCH(AF$1, DicR!$6:$6, 0), FALSE),
            0
        )
)</f>
        <v>0</v>
      </c>
      <c r="AG23" s="37">
        <f t="array" ref="AG23">SUM(
    IFERROR(
            VLOOKUP($A23, INDIRECT("EneR!$A$6:$ZZ$1048576"), MATCH(AG$1, EneR!$6:$6, 0), FALSE),
            0
        ) +
        IFERROR(
            VLOOKUP($A23, INDIRECT("FebR!$A$6:$ZZ$1048576"), MATCH(AG$1, FebR!$6:$6, 0), FALSE),
            0
        ) +
        IFERROR(
            VLOOKUP($A23, INDIRECT("MarR!$A$6:$ZZ$1048576"), MATCH(AG$1, MarR!$6:$6, 0), FALSE),
            0
        ) +
        IFERROR(
            VLOOKUP($A23, INDIRECT("AbrR!$A$6:$ZZ$1048576"), MATCH(AG$1, AbrR!$6:$6, 0), FALSE),
            0
        ) +
        IFERROR(
            VLOOKUP($A23, INDIRECT("MayR!$A$6:$ZZ$1048576"), MATCH(AG$1, MayR!$6:$6, 0), FALSE),
            0
        ) +
        IFERROR(
            VLOOKUP($A23, INDIRECT("JunR!$A$6:$ZZ$1048576"), MATCH(AG$1, JunR!$6:$6, 0), FALSE),
            0
        ) +
        IFERROR(
            VLOOKUP($A23, INDIRECT("JulR!$A$6:$ZZ$1048576"), MATCH(AG$1, JulR!$6:$6, 0), FALSE),
            0
        ) +
        IFERROR(
            VLOOKUP($A23, INDIRECT("AgoR!$A$6:$ZZ$1048576"), MATCH(AG$1, AgoR!$6:$6, 0), FALSE),
            0
        ) +
        IFERROR(
            VLOOKUP($A23, INDIRECT("SepR!$A$6:$ZZ$1048576"), MATCH(AG$1, SepR!$6:$6, 0), FALSE),
            0
        ) +
        IFERROR(
            VLOOKUP($A23, INDIRECT("OctR!$A$6:$ZZ$1048576"), MATCH(AG$1, OctR!$6:$6, 0), FALSE),
            0
        ) +
        IFERROR(
            VLOOKUP($A23, INDIRECT("NovR!$A$6:$ZZ$1048576"), MATCH(AG$1, NovR!$6:$6, 0), FALSE),
            0
        ) +
        IFERROR(
            VLOOKUP($A23, INDIRECT("DicR!$A$6:$ZZ$1048576"), MATCH(AG$1, DicR!$6:$6, 0), FALSE),
            0
        )
)</f>
        <v>0</v>
      </c>
      <c r="AH23" s="36">
        <f t="array" ref="AH23">SUM(
    IFERROR(
            VLOOKUP($A23, INDIRECT("EneR!$A$6:$ZZ$1048576"), MATCH(AH$1, EneR!$6:$6, 0), FALSE),
            0
        ) +
        IFERROR(
            VLOOKUP($A23, INDIRECT("FebR!$A$6:$ZZ$1048576"), MATCH(AH$1, FebR!$6:$6, 0), FALSE),
            0
        ) +
        IFERROR(
            VLOOKUP($A23, INDIRECT("MarR!$A$6:$ZZ$1048576"), MATCH(AH$1, MarR!$6:$6, 0), FALSE),
            0
        ) +
        IFERROR(
            VLOOKUP($A23, INDIRECT("AbrR!$A$6:$ZZ$1048576"), MATCH(AH$1, AbrR!$6:$6, 0), FALSE),
            0
        ) +
        IFERROR(
            VLOOKUP($A23, INDIRECT("MayR!$A$6:$ZZ$1048576"), MATCH(AH$1, MayR!$6:$6, 0), FALSE),
            0
        ) +
        IFERROR(
            VLOOKUP($A23, INDIRECT("JunR!$A$6:$ZZ$1048576"), MATCH(AH$1, JunR!$6:$6, 0), FALSE),
            0
        ) +
        IFERROR(
            VLOOKUP($A23, INDIRECT("JulR!$A$6:$ZZ$1048576"), MATCH(AH$1, JulR!$6:$6, 0), FALSE),
            0
        ) +
        IFERROR(
            VLOOKUP($A23, INDIRECT("AgoR!$A$6:$ZZ$1048576"), MATCH(AH$1, AgoR!$6:$6, 0), FALSE),
            0
        ) +
        IFERROR(
            VLOOKUP($A23, INDIRECT("SepR!$A$6:$ZZ$1048576"), MATCH(AH$1, SepR!$6:$6, 0), FALSE),
            0
        ) +
        IFERROR(
            VLOOKUP($A23, INDIRECT("OctR!$A$6:$ZZ$1048576"), MATCH(AH$1, OctR!$6:$6, 0), FALSE),
            0
        ) +
        IFERROR(
            VLOOKUP($A23, INDIRECT("NovR!$A$6:$ZZ$1048576"), MATCH(AH$1, NovR!$6:$6, 0), FALSE),
            0
        ) +
        IFERROR(
            VLOOKUP($A23, INDIRECT("DicR!$A$6:$ZZ$1048576"), MATCH(AH$1, DicR!$6:$6, 0), FALSE),
            0
        )
)</f>
        <v>0</v>
      </c>
      <c r="AI23" s="37">
        <f t="array" ref="AI23">SUM(
    IFERROR(
            VLOOKUP($A23, INDIRECT("EneR!$A$6:$ZZ$1048576"), MATCH(AI$1, EneR!$6:$6, 0), FALSE),
            0
        ) +
        IFERROR(
            VLOOKUP($A23, INDIRECT("FebR!$A$6:$ZZ$1048576"), MATCH(AI$1, FebR!$6:$6, 0), FALSE),
            0
        ) +
        IFERROR(
            VLOOKUP($A23, INDIRECT("MarR!$A$6:$ZZ$1048576"), MATCH(AI$1, MarR!$6:$6, 0), FALSE),
            0
        ) +
        IFERROR(
            VLOOKUP($A23, INDIRECT("AbrR!$A$6:$ZZ$1048576"), MATCH(AI$1, AbrR!$6:$6, 0), FALSE),
            0
        ) +
        IFERROR(
            VLOOKUP($A23, INDIRECT("MayR!$A$6:$ZZ$1048576"), MATCH(AI$1, MayR!$6:$6, 0), FALSE),
            0
        ) +
        IFERROR(
            VLOOKUP($A23, INDIRECT("JunR!$A$6:$ZZ$1048576"), MATCH(AI$1, JunR!$6:$6, 0), FALSE),
            0
        ) +
        IFERROR(
            VLOOKUP($A23, INDIRECT("JulR!$A$6:$ZZ$1048576"), MATCH(AI$1, JulR!$6:$6, 0), FALSE),
            0
        ) +
        IFERROR(
            VLOOKUP($A23, INDIRECT("AgoR!$A$6:$ZZ$1048576"), MATCH(AI$1, AgoR!$6:$6, 0), FALSE),
            0
        ) +
        IFERROR(
            VLOOKUP($A23, INDIRECT("SepR!$A$6:$ZZ$1048576"), MATCH(AI$1, SepR!$6:$6, 0), FALSE),
            0
        ) +
        IFERROR(
            VLOOKUP($A23, INDIRECT("OctR!$A$6:$ZZ$1048576"), MATCH(AI$1, OctR!$6:$6, 0), FALSE),
            0
        ) +
        IFERROR(
            VLOOKUP($A23, INDIRECT("NovR!$A$6:$ZZ$1048576"), MATCH(AI$1, NovR!$6:$6, 0), FALSE),
            0
        ) +
        IFERROR(
            VLOOKUP($A23, INDIRECT("DicR!$A$6:$ZZ$1048576"), MATCH(AI$1, DicR!$6:$6, 0), FALSE),
            0
        )
)</f>
        <v>0</v>
      </c>
      <c r="AJ23" s="36">
        <f t="array" ref="AJ23">SUM(
    IFERROR(
            VLOOKUP($A23, INDIRECT("EneR!$A$6:$ZZ$1048576"), MATCH(AJ$1, EneR!$6:$6, 0), FALSE),
            0
        ) +
        IFERROR(
            VLOOKUP($A23, INDIRECT("FebR!$A$6:$ZZ$1048576"), MATCH(AJ$1, FebR!$6:$6, 0), FALSE),
            0
        ) +
        IFERROR(
            VLOOKUP($A23, INDIRECT("MarR!$A$6:$ZZ$1048576"), MATCH(AJ$1, MarR!$6:$6, 0), FALSE),
            0
        ) +
        IFERROR(
            VLOOKUP($A23, INDIRECT("AbrR!$A$6:$ZZ$1048576"), MATCH(AJ$1, AbrR!$6:$6, 0), FALSE),
            0
        ) +
        IFERROR(
            VLOOKUP($A23, INDIRECT("MayR!$A$6:$ZZ$1048576"), MATCH(AJ$1, MayR!$6:$6, 0), FALSE),
            0
        ) +
        IFERROR(
            VLOOKUP($A23, INDIRECT("JunR!$A$6:$ZZ$1048576"), MATCH(AJ$1, JunR!$6:$6, 0), FALSE),
            0
        ) +
        IFERROR(
            VLOOKUP($A23, INDIRECT("JulR!$A$6:$ZZ$1048576"), MATCH(AJ$1, JulR!$6:$6, 0), FALSE),
            0
        ) +
        IFERROR(
            VLOOKUP($A23, INDIRECT("AgoR!$A$6:$ZZ$1048576"), MATCH(AJ$1, AgoR!$6:$6, 0), FALSE),
            0
        ) +
        IFERROR(
            VLOOKUP($A23, INDIRECT("SepR!$A$6:$ZZ$1048576"), MATCH(AJ$1, SepR!$6:$6, 0), FALSE),
            0
        ) +
        IFERROR(
            VLOOKUP($A23, INDIRECT("OctR!$A$6:$ZZ$1048576"), MATCH(AJ$1, OctR!$6:$6, 0), FALSE),
            0
        ) +
        IFERROR(
            VLOOKUP($A23, INDIRECT("NovR!$A$6:$ZZ$1048576"), MATCH(AJ$1, NovR!$6:$6, 0), FALSE),
            0
        ) +
        IFERROR(
            VLOOKUP($A23, INDIRECT("DicR!$A$6:$ZZ$1048576"), MATCH(AJ$1, DicR!$6:$6, 0), FALSE),
            0
        )
)</f>
        <v>0</v>
      </c>
      <c r="AK23" s="37">
        <f t="array" ref="AK23">SUM(
    IFERROR(
            VLOOKUP($A23, INDIRECT("EneR!$A$6:$ZZ$1048576"), MATCH(AK$1, EneR!$6:$6, 0), FALSE),
            0
        ) +
        IFERROR(
            VLOOKUP($A23, INDIRECT("FebR!$A$6:$ZZ$1048576"), MATCH(AK$1, FebR!$6:$6, 0), FALSE),
            0
        ) +
        IFERROR(
            VLOOKUP($A23, INDIRECT("MarR!$A$6:$ZZ$1048576"), MATCH(AK$1, MarR!$6:$6, 0), FALSE),
            0
        ) +
        IFERROR(
            VLOOKUP($A23, INDIRECT("AbrR!$A$6:$ZZ$1048576"), MATCH(AK$1, AbrR!$6:$6, 0), FALSE),
            0
        ) +
        IFERROR(
            VLOOKUP($A23, INDIRECT("MayR!$A$6:$ZZ$1048576"), MATCH(AK$1, MayR!$6:$6, 0), FALSE),
            0
        ) +
        IFERROR(
            VLOOKUP($A23, INDIRECT("JunR!$A$6:$ZZ$1048576"), MATCH(AK$1, JunR!$6:$6, 0), FALSE),
            0
        ) +
        IFERROR(
            VLOOKUP($A23, INDIRECT("JulR!$A$6:$ZZ$1048576"), MATCH(AK$1, JulR!$6:$6, 0), FALSE),
            0
        ) +
        IFERROR(
            VLOOKUP($A23, INDIRECT("AgoR!$A$6:$ZZ$1048576"), MATCH(AK$1, AgoR!$6:$6, 0), FALSE),
            0
        ) +
        IFERROR(
            VLOOKUP($A23, INDIRECT("SepR!$A$6:$ZZ$1048576"), MATCH(AK$1, SepR!$6:$6, 0), FALSE),
            0
        ) +
        IFERROR(
            VLOOKUP($A23, INDIRECT("OctR!$A$6:$ZZ$1048576"), MATCH(AK$1, OctR!$6:$6, 0), FALSE),
            0
        ) +
        IFERROR(
            VLOOKUP($A23, INDIRECT("NovR!$A$6:$ZZ$1048576"), MATCH(AK$1, NovR!$6:$6, 0), FALSE),
            0
        ) +
        IFERROR(
            VLOOKUP($A23, INDIRECT("DicR!$A$6:$ZZ$1048576"), MATCH(AK$1, DicR!$6:$6, 0), FALSE),
            0
        )
)</f>
        <v>0</v>
      </c>
      <c r="AL23" s="36">
        <f t="array" ref="AL23">SUM(
    IFERROR(
            VLOOKUP($A23, INDIRECT("EneR!$A$6:$ZZ$1048576"), MATCH(AL$1, EneR!$6:$6, 0), FALSE),
            0
        ) +
        IFERROR(
            VLOOKUP($A23, INDIRECT("FebR!$A$6:$ZZ$1048576"), MATCH(AL$1, FebR!$6:$6, 0), FALSE),
            0
        ) +
        IFERROR(
            VLOOKUP($A23, INDIRECT("MarR!$A$6:$ZZ$1048576"), MATCH(AL$1, MarR!$6:$6, 0), FALSE),
            0
        ) +
        IFERROR(
            VLOOKUP($A23, INDIRECT("AbrR!$A$6:$ZZ$1048576"), MATCH(AL$1, AbrR!$6:$6, 0), FALSE),
            0
        ) +
        IFERROR(
            VLOOKUP($A23, INDIRECT("MayR!$A$6:$ZZ$1048576"), MATCH(AL$1, MayR!$6:$6, 0), FALSE),
            0
        ) +
        IFERROR(
            VLOOKUP($A23, INDIRECT("JunR!$A$6:$ZZ$1048576"), MATCH(AL$1, JunR!$6:$6, 0), FALSE),
            0
        ) +
        IFERROR(
            VLOOKUP($A23, INDIRECT("JulR!$A$6:$ZZ$1048576"), MATCH(AL$1, JulR!$6:$6, 0), FALSE),
            0
        ) +
        IFERROR(
            VLOOKUP($A23, INDIRECT("AgoR!$A$6:$ZZ$1048576"), MATCH(AL$1, AgoR!$6:$6, 0), FALSE),
            0
        ) +
        IFERROR(
            VLOOKUP($A23, INDIRECT("SepR!$A$6:$ZZ$1048576"), MATCH(AL$1, SepR!$6:$6, 0), FALSE),
            0
        ) +
        IFERROR(
            VLOOKUP($A23, INDIRECT("OctR!$A$6:$ZZ$1048576"), MATCH(AL$1, OctR!$6:$6, 0), FALSE),
            0
        ) +
        IFERROR(
            VLOOKUP($A23, INDIRECT("NovR!$A$6:$ZZ$1048576"), MATCH(AL$1, NovR!$6:$6, 0), FALSE),
            0
        ) +
        IFERROR(
            VLOOKUP($A23, INDIRECT("DicR!$A$6:$ZZ$1048576"), MATCH(AL$1, DicR!$6:$6, 0), FALSE),
            0
        )
)</f>
        <v>0</v>
      </c>
      <c r="AM23" s="37">
        <f t="array" ref="AM23">SUM(
    IFERROR(
            VLOOKUP($A23, INDIRECT("EneR!$A$6:$ZZ$1048576"), MATCH(AM$1, EneR!$6:$6, 0), FALSE),
            0
        ) +
        IFERROR(
            VLOOKUP($A23, INDIRECT("FebR!$A$6:$ZZ$1048576"), MATCH(AM$1, FebR!$6:$6, 0), FALSE),
            0
        ) +
        IFERROR(
            VLOOKUP($A23, INDIRECT("MarR!$A$6:$ZZ$1048576"), MATCH(AM$1, MarR!$6:$6, 0), FALSE),
            0
        ) +
        IFERROR(
            VLOOKUP($A23, INDIRECT("AbrR!$A$6:$ZZ$1048576"), MATCH(AM$1, AbrR!$6:$6, 0), FALSE),
            0
        ) +
        IFERROR(
            VLOOKUP($A23, INDIRECT("MayR!$A$6:$ZZ$1048576"), MATCH(AM$1, MayR!$6:$6, 0), FALSE),
            0
        ) +
        IFERROR(
            VLOOKUP($A23, INDIRECT("JunR!$A$6:$ZZ$1048576"), MATCH(AM$1, JunR!$6:$6, 0), FALSE),
            0
        ) +
        IFERROR(
            VLOOKUP($A23, INDIRECT("JulR!$A$6:$ZZ$1048576"), MATCH(AM$1, JulR!$6:$6, 0), FALSE),
            0
        ) +
        IFERROR(
            VLOOKUP($A23, INDIRECT("AgoR!$A$6:$ZZ$1048576"), MATCH(AM$1, AgoR!$6:$6, 0), FALSE),
            0
        ) +
        IFERROR(
            VLOOKUP($A23, INDIRECT("SepR!$A$6:$ZZ$1048576"), MATCH(AM$1, SepR!$6:$6, 0), FALSE),
            0
        ) +
        IFERROR(
            VLOOKUP($A23, INDIRECT("OctR!$A$6:$ZZ$1048576"), MATCH(AM$1, OctR!$6:$6, 0), FALSE),
            0
        ) +
        IFERROR(
            VLOOKUP($A23, INDIRECT("NovR!$A$6:$ZZ$1048576"), MATCH(AM$1, NovR!$6:$6, 0), FALSE),
            0
        ) +
        IFERROR(
            VLOOKUP($A23, INDIRECT("DicR!$A$6:$ZZ$1048576"), MATCH(AM$1, DicR!$6:$6, 0), FALSE),
            0
        )
)</f>
        <v>0</v>
      </c>
      <c r="AN23" s="36">
        <f t="array" ref="AN23">SUM(
    IFERROR(
            VLOOKUP($A23, INDIRECT("EneR!$A$6:$ZZ$1048576"), MATCH(AN$1, EneR!$6:$6, 0), FALSE),
            0
        ) +
        IFERROR(
            VLOOKUP($A23, INDIRECT("FebR!$A$6:$ZZ$1048576"), MATCH(AN$1, FebR!$6:$6, 0), FALSE),
            0
        ) +
        IFERROR(
            VLOOKUP($A23, INDIRECT("MarR!$A$6:$ZZ$1048576"), MATCH(AN$1, MarR!$6:$6, 0), FALSE),
            0
        ) +
        IFERROR(
            VLOOKUP($A23, INDIRECT("AbrR!$A$6:$ZZ$1048576"), MATCH(AN$1, AbrR!$6:$6, 0), FALSE),
            0
        ) +
        IFERROR(
            VLOOKUP($A23, INDIRECT("MayR!$A$6:$ZZ$1048576"), MATCH(AN$1, MayR!$6:$6, 0), FALSE),
            0
        ) +
        IFERROR(
            VLOOKUP($A23, INDIRECT("JunR!$A$6:$ZZ$1048576"), MATCH(AN$1, JunR!$6:$6, 0), FALSE),
            0
        ) +
        IFERROR(
            VLOOKUP($A23, INDIRECT("JulR!$A$6:$ZZ$1048576"), MATCH(AN$1, JulR!$6:$6, 0), FALSE),
            0
        ) +
        IFERROR(
            VLOOKUP($A23, INDIRECT("AgoR!$A$6:$ZZ$1048576"), MATCH(AN$1, AgoR!$6:$6, 0), FALSE),
            0
        ) +
        IFERROR(
            VLOOKUP($A23, INDIRECT("SepR!$A$6:$ZZ$1048576"), MATCH(AN$1, SepR!$6:$6, 0), FALSE),
            0
        ) +
        IFERROR(
            VLOOKUP($A23, INDIRECT("OctR!$A$6:$ZZ$1048576"), MATCH(AN$1, OctR!$6:$6, 0), FALSE),
            0
        ) +
        IFERROR(
            VLOOKUP($A23, INDIRECT("NovR!$A$6:$ZZ$1048576"), MATCH(AN$1, NovR!$6:$6, 0), FALSE),
            0
        ) +
        IFERROR(
            VLOOKUP($A23, INDIRECT("DicR!$A$6:$ZZ$1048576"), MATCH(AN$1, DicR!$6:$6, 0), FALSE),
            0
        )
)</f>
        <v>0</v>
      </c>
      <c r="AO23" s="37">
        <f t="array" ref="AO23">SUM(
    IFERROR(
            VLOOKUP($A23, INDIRECT("EneR!$A$6:$ZZ$1048576"), MATCH(AO$1, EneR!$6:$6, 0), FALSE),
            0
        ) +
        IFERROR(
            VLOOKUP($A23, INDIRECT("FebR!$A$6:$ZZ$1048576"), MATCH(AO$1, FebR!$6:$6, 0), FALSE),
            0
        ) +
        IFERROR(
            VLOOKUP($A23, INDIRECT("MarR!$A$6:$ZZ$1048576"), MATCH(AO$1, MarR!$6:$6, 0), FALSE),
            0
        ) +
        IFERROR(
            VLOOKUP($A23, INDIRECT("AbrR!$A$6:$ZZ$1048576"), MATCH(AO$1, AbrR!$6:$6, 0), FALSE),
            0
        ) +
        IFERROR(
            VLOOKUP($A23, INDIRECT("MayR!$A$6:$ZZ$1048576"), MATCH(AO$1, MayR!$6:$6, 0), FALSE),
            0
        ) +
        IFERROR(
            VLOOKUP($A23, INDIRECT("JunR!$A$6:$ZZ$1048576"), MATCH(AO$1, JunR!$6:$6, 0), FALSE),
            0
        ) +
        IFERROR(
            VLOOKUP($A23, INDIRECT("JulR!$A$6:$ZZ$1048576"), MATCH(AO$1, JulR!$6:$6, 0), FALSE),
            0
        ) +
        IFERROR(
            VLOOKUP($A23, INDIRECT("AgoR!$A$6:$ZZ$1048576"), MATCH(AO$1, AgoR!$6:$6, 0), FALSE),
            0
        ) +
        IFERROR(
            VLOOKUP($A23, INDIRECT("SepR!$A$6:$ZZ$1048576"), MATCH(AO$1, SepR!$6:$6, 0), FALSE),
            0
        ) +
        IFERROR(
            VLOOKUP($A23, INDIRECT("OctR!$A$6:$ZZ$1048576"), MATCH(AO$1, OctR!$6:$6, 0), FALSE),
            0
        ) +
        IFERROR(
            VLOOKUP($A23, INDIRECT("NovR!$A$6:$ZZ$1048576"), MATCH(AO$1, NovR!$6:$6, 0), FALSE),
            0
        ) +
        IFERROR(
            VLOOKUP($A23, INDIRECT("DicR!$A$6:$ZZ$1048576"), MATCH(AO$1, DicR!$6:$6, 0), FALSE),
            0
        )
)</f>
        <v>0</v>
      </c>
      <c r="AP23" s="36">
        <f t="array" ref="AP23">SUM(
    IFERROR(
            VLOOKUP($A23, INDIRECT("EneR!$A$6:$ZZ$1048576"), MATCH(AP$1, EneR!$6:$6, 0), FALSE),
            0
        ) +
        IFERROR(
            VLOOKUP($A23, INDIRECT("FebR!$A$6:$ZZ$1048576"), MATCH(AP$1, FebR!$6:$6, 0), FALSE),
            0
        ) +
        IFERROR(
            VLOOKUP($A23, INDIRECT("MarR!$A$6:$ZZ$1048576"), MATCH(AP$1, MarR!$6:$6, 0), FALSE),
            0
        ) +
        IFERROR(
            VLOOKUP($A23, INDIRECT("AbrR!$A$6:$ZZ$1048576"), MATCH(AP$1, AbrR!$6:$6, 0), FALSE),
            0
        ) +
        IFERROR(
            VLOOKUP($A23, INDIRECT("MayR!$A$6:$ZZ$1048576"), MATCH(AP$1, MayR!$6:$6, 0), FALSE),
            0
        ) +
        IFERROR(
            VLOOKUP($A23, INDIRECT("JunR!$A$6:$ZZ$1048576"), MATCH(AP$1, JunR!$6:$6, 0), FALSE),
            0
        ) +
        IFERROR(
            VLOOKUP($A23, INDIRECT("JulR!$A$6:$ZZ$1048576"), MATCH(AP$1, JulR!$6:$6, 0), FALSE),
            0
        ) +
        IFERROR(
            VLOOKUP($A23, INDIRECT("AgoR!$A$6:$ZZ$1048576"), MATCH(AP$1, AgoR!$6:$6, 0), FALSE),
            0
        ) +
        IFERROR(
            VLOOKUP($A23, INDIRECT("SepR!$A$6:$ZZ$1048576"), MATCH(AP$1, SepR!$6:$6, 0), FALSE),
            0
        ) +
        IFERROR(
            VLOOKUP($A23, INDIRECT("OctR!$A$6:$ZZ$1048576"), MATCH(AP$1, OctR!$6:$6, 0), FALSE),
            0
        ) +
        IFERROR(
            VLOOKUP($A23, INDIRECT("NovR!$A$6:$ZZ$1048576"), MATCH(AP$1, NovR!$6:$6, 0), FALSE),
            0
        ) +
        IFERROR(
            VLOOKUP($A23, INDIRECT("DicR!$A$6:$ZZ$1048576"), MATCH(AP$1, DicR!$6:$6, 0), FALSE),
            0
        )
)</f>
        <v>0</v>
      </c>
      <c r="AQ23" s="37">
        <f t="array" ref="AQ23">SUM(
    IFERROR(
            VLOOKUP($A23, INDIRECT("EneR!$A$6:$ZZ$1048576"), MATCH(AQ$1, EneR!$6:$6, 0), FALSE),
            0
        ) +
        IFERROR(
            VLOOKUP($A23, INDIRECT("FebR!$A$6:$ZZ$1048576"), MATCH(AQ$1, FebR!$6:$6, 0), FALSE),
            0
        ) +
        IFERROR(
            VLOOKUP($A23, INDIRECT("MarR!$A$6:$ZZ$1048576"), MATCH(AQ$1, MarR!$6:$6, 0), FALSE),
            0
        ) +
        IFERROR(
            VLOOKUP($A23, INDIRECT("AbrR!$A$6:$ZZ$1048576"), MATCH(AQ$1, AbrR!$6:$6, 0), FALSE),
            0
        ) +
        IFERROR(
            VLOOKUP($A23, INDIRECT("MayR!$A$6:$ZZ$1048576"), MATCH(AQ$1, MayR!$6:$6, 0), FALSE),
            0
        ) +
        IFERROR(
            VLOOKUP($A23, INDIRECT("JunR!$A$6:$ZZ$1048576"), MATCH(AQ$1, JunR!$6:$6, 0), FALSE),
            0
        ) +
        IFERROR(
            VLOOKUP($A23, INDIRECT("JulR!$A$6:$ZZ$1048576"), MATCH(AQ$1, JulR!$6:$6, 0), FALSE),
            0
        ) +
        IFERROR(
            VLOOKUP($A23, INDIRECT("AgoR!$A$6:$ZZ$1048576"), MATCH(AQ$1, AgoR!$6:$6, 0), FALSE),
            0
        ) +
        IFERROR(
            VLOOKUP($A23, INDIRECT("SepR!$A$6:$ZZ$1048576"), MATCH(AQ$1, SepR!$6:$6, 0), FALSE),
            0
        ) +
        IFERROR(
            VLOOKUP($A23, INDIRECT("OctR!$A$6:$ZZ$1048576"), MATCH(AQ$1, OctR!$6:$6, 0), FALSE),
            0
        ) +
        IFERROR(
            VLOOKUP($A23, INDIRECT("NovR!$A$6:$ZZ$1048576"), MATCH(AQ$1, NovR!$6:$6, 0), FALSE),
            0
        ) +
        IFERROR(
            VLOOKUP($A23, INDIRECT("DicR!$A$6:$ZZ$1048576"), MATCH(AQ$1, DicR!$6:$6, 0), FALSE),
            0
        )
)</f>
        <v>0</v>
      </c>
      <c r="AR23" s="36">
        <f t="array" ref="AR23">SUM(
    IFERROR(
            VLOOKUP($A23, INDIRECT("EneR!$A$6:$ZZ$1048576"), MATCH(AR$1, EneR!$6:$6, 0), FALSE),
            0
        ) +
        IFERROR(
            VLOOKUP($A23, INDIRECT("FebR!$A$6:$ZZ$1048576"), MATCH(AR$1, FebR!$6:$6, 0), FALSE),
            0
        ) +
        IFERROR(
            VLOOKUP($A23, INDIRECT("MarR!$A$6:$ZZ$1048576"), MATCH(AR$1, MarR!$6:$6, 0), FALSE),
            0
        ) +
        IFERROR(
            VLOOKUP($A23, INDIRECT("AbrR!$A$6:$ZZ$1048576"), MATCH(AR$1, AbrR!$6:$6, 0), FALSE),
            0
        ) +
        IFERROR(
            VLOOKUP($A23, INDIRECT("MayR!$A$6:$ZZ$1048576"), MATCH(AR$1, MayR!$6:$6, 0), FALSE),
            0
        ) +
        IFERROR(
            VLOOKUP($A23, INDIRECT("JunR!$A$6:$ZZ$1048576"), MATCH(AR$1, JunR!$6:$6, 0), FALSE),
            0
        ) +
        IFERROR(
            VLOOKUP($A23, INDIRECT("JulR!$A$6:$ZZ$1048576"), MATCH(AR$1, JulR!$6:$6, 0), FALSE),
            0
        ) +
        IFERROR(
            VLOOKUP($A23, INDIRECT("AgoR!$A$6:$ZZ$1048576"), MATCH(AR$1, AgoR!$6:$6, 0), FALSE),
            0
        ) +
        IFERROR(
            VLOOKUP($A23, INDIRECT("SepR!$A$6:$ZZ$1048576"), MATCH(AR$1, SepR!$6:$6, 0), FALSE),
            0
        ) +
        IFERROR(
            VLOOKUP($A23, INDIRECT("OctR!$A$6:$ZZ$1048576"), MATCH(AR$1, OctR!$6:$6, 0), FALSE),
            0
        ) +
        IFERROR(
            VLOOKUP($A23, INDIRECT("NovR!$A$6:$ZZ$1048576"), MATCH(AR$1, NovR!$6:$6, 0), FALSE),
            0
        ) +
        IFERROR(
            VLOOKUP($A23, INDIRECT("DicR!$A$6:$ZZ$1048576"), MATCH(AR$1, DicR!$6:$6, 0), FALSE),
            0
        )
)</f>
        <v>0</v>
      </c>
      <c r="AS23" s="37">
        <f t="array" ref="AS23">SUM(
    IFERROR(
            VLOOKUP($A23, INDIRECT("EneR!$A$6:$ZZ$1048576"), MATCH(AS$1, EneR!$6:$6, 0), FALSE),
            0
        ) +
        IFERROR(
            VLOOKUP($A23, INDIRECT("FebR!$A$6:$ZZ$1048576"), MATCH(AS$1, FebR!$6:$6, 0), FALSE),
            0
        ) +
        IFERROR(
            VLOOKUP($A23, INDIRECT("MarR!$A$6:$ZZ$1048576"), MATCH(AS$1, MarR!$6:$6, 0), FALSE),
            0
        ) +
        IFERROR(
            VLOOKUP($A23, INDIRECT("AbrR!$A$6:$ZZ$1048576"), MATCH(AS$1, AbrR!$6:$6, 0), FALSE),
            0
        ) +
        IFERROR(
            VLOOKUP($A23, INDIRECT("MayR!$A$6:$ZZ$1048576"), MATCH(AS$1, MayR!$6:$6, 0), FALSE),
            0
        ) +
        IFERROR(
            VLOOKUP($A23, INDIRECT("JunR!$A$6:$ZZ$1048576"), MATCH(AS$1, JunR!$6:$6, 0), FALSE),
            0
        ) +
        IFERROR(
            VLOOKUP($A23, INDIRECT("JulR!$A$6:$ZZ$1048576"), MATCH(AS$1, JulR!$6:$6, 0), FALSE),
            0
        ) +
        IFERROR(
            VLOOKUP($A23, INDIRECT("AgoR!$A$6:$ZZ$1048576"), MATCH(AS$1, AgoR!$6:$6, 0), FALSE),
            0
        ) +
        IFERROR(
            VLOOKUP($A23, INDIRECT("SepR!$A$6:$ZZ$1048576"), MATCH(AS$1, SepR!$6:$6, 0), FALSE),
            0
        ) +
        IFERROR(
            VLOOKUP($A23, INDIRECT("OctR!$A$6:$ZZ$1048576"), MATCH(AS$1, OctR!$6:$6, 0), FALSE),
            0
        ) +
        IFERROR(
            VLOOKUP($A23, INDIRECT("NovR!$A$6:$ZZ$1048576"), MATCH(AS$1, NovR!$6:$6, 0), FALSE),
            0
        ) +
        IFERROR(
            VLOOKUP($A23, INDIRECT("DicR!$A$6:$ZZ$1048576"), MATCH(AS$1, DicR!$6:$6, 0), FALSE),
            0
        )
)</f>
        <v>0</v>
      </c>
      <c r="AT23" s="36">
        <f t="array" ref="AT23">SUM(
    IFERROR(
            VLOOKUP($A23, INDIRECT("EneR!$A$6:$ZZ$1048576"), MATCH(AT$1, EneR!$6:$6, 0), FALSE),
            0
        ) +
        IFERROR(
            VLOOKUP($A23, INDIRECT("FebR!$A$6:$ZZ$1048576"), MATCH(AT$1, FebR!$6:$6, 0), FALSE),
            0
        ) +
        IFERROR(
            VLOOKUP($A23, INDIRECT("MarR!$A$6:$ZZ$1048576"), MATCH(AT$1, MarR!$6:$6, 0), FALSE),
            0
        ) +
        IFERROR(
            VLOOKUP($A23, INDIRECT("AbrR!$A$6:$ZZ$1048576"), MATCH(AT$1, AbrR!$6:$6, 0), FALSE),
            0
        ) +
        IFERROR(
            VLOOKUP($A23, INDIRECT("MayR!$A$6:$ZZ$1048576"), MATCH(AT$1, MayR!$6:$6, 0), FALSE),
            0
        ) +
        IFERROR(
            VLOOKUP($A23, INDIRECT("JunR!$A$6:$ZZ$1048576"), MATCH(AT$1, JunR!$6:$6, 0), FALSE),
            0
        ) +
        IFERROR(
            VLOOKUP($A23, INDIRECT("JulR!$A$6:$ZZ$1048576"), MATCH(AT$1, JulR!$6:$6, 0), FALSE),
            0
        ) +
        IFERROR(
            VLOOKUP($A23, INDIRECT("AgoR!$A$6:$ZZ$1048576"), MATCH(AT$1, AgoR!$6:$6, 0), FALSE),
            0
        ) +
        IFERROR(
            VLOOKUP($A23, INDIRECT("SepR!$A$6:$ZZ$1048576"), MATCH(AT$1, SepR!$6:$6, 0), FALSE),
            0
        ) +
        IFERROR(
            VLOOKUP($A23, INDIRECT("OctR!$A$6:$ZZ$1048576"), MATCH(AT$1, OctR!$6:$6, 0), FALSE),
            0
        ) +
        IFERROR(
            VLOOKUP($A23, INDIRECT("NovR!$A$6:$ZZ$1048576"), MATCH(AT$1, NovR!$6:$6, 0), FALSE),
            0
        ) +
        IFERROR(
            VLOOKUP($A23, INDIRECT("DicR!$A$6:$ZZ$1048576"), MATCH(AT$1, DicR!$6:$6, 0), FALSE),
            0
        )
)</f>
        <v>0</v>
      </c>
      <c r="AU23" s="37">
        <f t="array" ref="AU23">SUM(
    IFERROR(
            VLOOKUP($A23, INDIRECT("EneR!$A$6:$ZZ$1048576"), MATCH(AU$1, EneR!$6:$6, 0), FALSE),
            0
        ) +
        IFERROR(
            VLOOKUP($A23, INDIRECT("FebR!$A$6:$ZZ$1048576"), MATCH(AU$1, FebR!$6:$6, 0), FALSE),
            0
        ) +
        IFERROR(
            VLOOKUP($A23, INDIRECT("MarR!$A$6:$ZZ$1048576"), MATCH(AU$1, MarR!$6:$6, 0), FALSE),
            0
        ) +
        IFERROR(
            VLOOKUP($A23, INDIRECT("AbrR!$A$6:$ZZ$1048576"), MATCH(AU$1, AbrR!$6:$6, 0), FALSE),
            0
        ) +
        IFERROR(
            VLOOKUP($A23, INDIRECT("MayR!$A$6:$ZZ$1048576"), MATCH(AU$1, MayR!$6:$6, 0), FALSE),
            0
        ) +
        IFERROR(
            VLOOKUP($A23, INDIRECT("JunR!$A$6:$ZZ$1048576"), MATCH(AU$1, JunR!$6:$6, 0), FALSE),
            0
        ) +
        IFERROR(
            VLOOKUP($A23, INDIRECT("JulR!$A$6:$ZZ$1048576"), MATCH(AU$1, JulR!$6:$6, 0), FALSE),
            0
        ) +
        IFERROR(
            VLOOKUP($A23, INDIRECT("AgoR!$A$6:$ZZ$1048576"), MATCH(AU$1, AgoR!$6:$6, 0), FALSE),
            0
        ) +
        IFERROR(
            VLOOKUP($A23, INDIRECT("SepR!$A$6:$ZZ$1048576"), MATCH(AU$1, SepR!$6:$6, 0), FALSE),
            0
        ) +
        IFERROR(
            VLOOKUP($A23, INDIRECT("OctR!$A$6:$ZZ$1048576"), MATCH(AU$1, OctR!$6:$6, 0), FALSE),
            0
        ) +
        IFERROR(
            VLOOKUP($A23, INDIRECT("NovR!$A$6:$ZZ$1048576"), MATCH(AU$1, NovR!$6:$6, 0), FALSE),
            0
        ) +
        IFERROR(
            VLOOKUP($A23, INDIRECT("DicR!$A$6:$ZZ$1048576"), MATCH(AU$1, DicR!$6:$6, 0), FALSE),
            0
        )
)</f>
        <v>0</v>
      </c>
      <c r="AV23" s="36">
        <f t="array" ref="AV23">SUM(
    IFERROR(
            VLOOKUP($A23, INDIRECT("EneR!$A$6:$ZZ$1048576"), MATCH(AV$1, EneR!$6:$6, 0), FALSE),
            0
        ) +
        IFERROR(
            VLOOKUP($A23, INDIRECT("FebR!$A$6:$ZZ$1048576"), MATCH(AV$1, FebR!$6:$6, 0), FALSE),
            0
        ) +
        IFERROR(
            VLOOKUP($A23, INDIRECT("MarR!$A$6:$ZZ$1048576"), MATCH(AV$1, MarR!$6:$6, 0), FALSE),
            0
        ) +
        IFERROR(
            VLOOKUP($A23, INDIRECT("AbrR!$A$6:$ZZ$1048576"), MATCH(AV$1, AbrR!$6:$6, 0), FALSE),
            0
        ) +
        IFERROR(
            VLOOKUP($A23, INDIRECT("MayR!$A$6:$ZZ$1048576"), MATCH(AV$1, MayR!$6:$6, 0), FALSE),
            0
        ) +
        IFERROR(
            VLOOKUP($A23, INDIRECT("JunR!$A$6:$ZZ$1048576"), MATCH(AV$1, JunR!$6:$6, 0), FALSE),
            0
        ) +
        IFERROR(
            VLOOKUP($A23, INDIRECT("JulR!$A$6:$ZZ$1048576"), MATCH(AV$1, JulR!$6:$6, 0), FALSE),
            0
        ) +
        IFERROR(
            VLOOKUP($A23, INDIRECT("AgoR!$A$6:$ZZ$1048576"), MATCH(AV$1, AgoR!$6:$6, 0), FALSE),
            0
        ) +
        IFERROR(
            VLOOKUP($A23, INDIRECT("SepR!$A$6:$ZZ$1048576"), MATCH(AV$1, SepR!$6:$6, 0), FALSE),
            0
        ) +
        IFERROR(
            VLOOKUP($A23, INDIRECT("OctR!$A$6:$ZZ$1048576"), MATCH(AV$1, OctR!$6:$6, 0), FALSE),
            0
        ) +
        IFERROR(
            VLOOKUP($A23, INDIRECT("NovR!$A$6:$ZZ$1048576"), MATCH(AV$1, NovR!$6:$6, 0), FALSE),
            0
        ) +
        IFERROR(
            VLOOKUP($A23, INDIRECT("DicR!$A$6:$ZZ$1048576"), MATCH(AV$1, DicR!$6:$6, 0), FALSE),
            0
        )
)</f>
        <v>0</v>
      </c>
      <c r="AW23" s="37">
        <f t="array" ref="AW23">SUM(
    IFERROR(
            VLOOKUP($A23, INDIRECT("EneR!$A$6:$ZZ$1048576"), MATCH(AW$1, EneR!$6:$6, 0), FALSE),
            0
        ) +
        IFERROR(
            VLOOKUP($A23, INDIRECT("FebR!$A$6:$ZZ$1048576"), MATCH(AW$1, FebR!$6:$6, 0), FALSE),
            0
        ) +
        IFERROR(
            VLOOKUP($A23, INDIRECT("MarR!$A$6:$ZZ$1048576"), MATCH(AW$1, MarR!$6:$6, 0), FALSE),
            0
        ) +
        IFERROR(
            VLOOKUP($A23, INDIRECT("AbrR!$A$6:$ZZ$1048576"), MATCH(AW$1, AbrR!$6:$6, 0), FALSE),
            0
        ) +
        IFERROR(
            VLOOKUP($A23, INDIRECT("MayR!$A$6:$ZZ$1048576"), MATCH(AW$1, MayR!$6:$6, 0), FALSE),
            0
        ) +
        IFERROR(
            VLOOKUP($A23, INDIRECT("JunR!$A$6:$ZZ$1048576"), MATCH(AW$1, JunR!$6:$6, 0), FALSE),
            0
        ) +
        IFERROR(
            VLOOKUP($A23, INDIRECT("JulR!$A$6:$ZZ$1048576"), MATCH(AW$1, JulR!$6:$6, 0), FALSE),
            0
        ) +
        IFERROR(
            VLOOKUP($A23, INDIRECT("AgoR!$A$6:$ZZ$1048576"), MATCH(AW$1, AgoR!$6:$6, 0), FALSE),
            0
        ) +
        IFERROR(
            VLOOKUP($A23, INDIRECT("SepR!$A$6:$ZZ$1048576"), MATCH(AW$1, SepR!$6:$6, 0), FALSE),
            0
        ) +
        IFERROR(
            VLOOKUP($A23, INDIRECT("OctR!$A$6:$ZZ$1048576"), MATCH(AW$1, OctR!$6:$6, 0), FALSE),
            0
        ) +
        IFERROR(
            VLOOKUP($A23, INDIRECT("NovR!$A$6:$ZZ$1048576"), MATCH(AW$1, NovR!$6:$6, 0), FALSE),
            0
        ) +
        IFERROR(
            VLOOKUP($A23, INDIRECT("DicR!$A$6:$ZZ$1048576"), MATCH(AW$1, DicR!$6:$6, 0), FALSE),
            0
        )
)</f>
        <v>0</v>
      </c>
      <c r="AX23" s="36">
        <f t="array" ref="AX23">SUM(
    IFERROR(
            VLOOKUP($A23, INDIRECT("EneR!$A$6:$ZZ$1048576"), MATCH(AX$1, EneR!$6:$6, 0), FALSE),
            0
        ) +
        IFERROR(
            VLOOKUP($A23, INDIRECT("FebR!$A$6:$ZZ$1048576"), MATCH(AX$1, FebR!$6:$6, 0), FALSE),
            0
        ) +
        IFERROR(
            VLOOKUP($A23, INDIRECT("MarR!$A$6:$ZZ$1048576"), MATCH(AX$1, MarR!$6:$6, 0), FALSE),
            0
        ) +
        IFERROR(
            VLOOKUP($A23, INDIRECT("AbrR!$A$6:$ZZ$1048576"), MATCH(AX$1, AbrR!$6:$6, 0), FALSE),
            0
        ) +
        IFERROR(
            VLOOKUP($A23, INDIRECT("MayR!$A$6:$ZZ$1048576"), MATCH(AX$1, MayR!$6:$6, 0), FALSE),
            0
        ) +
        IFERROR(
            VLOOKUP($A23, INDIRECT("JunR!$A$6:$ZZ$1048576"), MATCH(AX$1, JunR!$6:$6, 0), FALSE),
            0
        ) +
        IFERROR(
            VLOOKUP($A23, INDIRECT("JulR!$A$6:$ZZ$1048576"), MATCH(AX$1, JulR!$6:$6, 0), FALSE),
            0
        ) +
        IFERROR(
            VLOOKUP($A23, INDIRECT("AgoR!$A$6:$ZZ$1048576"), MATCH(AX$1, AgoR!$6:$6, 0), FALSE),
            0
        ) +
        IFERROR(
            VLOOKUP($A23, INDIRECT("SepR!$A$6:$ZZ$1048576"), MATCH(AX$1, SepR!$6:$6, 0), FALSE),
            0
        ) +
        IFERROR(
            VLOOKUP($A23, INDIRECT("OctR!$A$6:$ZZ$1048576"), MATCH(AX$1, OctR!$6:$6, 0), FALSE),
            0
        ) +
        IFERROR(
            VLOOKUP($A23, INDIRECT("NovR!$A$6:$ZZ$1048576"), MATCH(AX$1, NovR!$6:$6, 0), FALSE),
            0
        ) +
        IFERROR(
            VLOOKUP($A23, INDIRECT("DicR!$A$6:$ZZ$1048576"), MATCH(AX$1, DicR!$6:$6, 0), FALSE),
            0
        )
)</f>
        <v>0</v>
      </c>
      <c r="AY23" s="37">
        <f t="array" ref="AY23">SUM(
    IFERROR(
            VLOOKUP($A23, INDIRECT("EneR!$A$6:$ZZ$1048576"), MATCH(AY$1, EneR!$6:$6, 0), FALSE),
            0
        ) +
        IFERROR(
            VLOOKUP($A23, INDIRECT("FebR!$A$6:$ZZ$1048576"), MATCH(AY$1, FebR!$6:$6, 0), FALSE),
            0
        ) +
        IFERROR(
            VLOOKUP($A23, INDIRECT("MarR!$A$6:$ZZ$1048576"), MATCH(AY$1, MarR!$6:$6, 0), FALSE),
            0
        ) +
        IFERROR(
            VLOOKUP($A23, INDIRECT("AbrR!$A$6:$ZZ$1048576"), MATCH(AY$1, AbrR!$6:$6, 0), FALSE),
            0
        ) +
        IFERROR(
            VLOOKUP($A23, INDIRECT("MayR!$A$6:$ZZ$1048576"), MATCH(AY$1, MayR!$6:$6, 0), FALSE),
            0
        ) +
        IFERROR(
            VLOOKUP($A23, INDIRECT("JunR!$A$6:$ZZ$1048576"), MATCH(AY$1, JunR!$6:$6, 0), FALSE),
            0
        ) +
        IFERROR(
            VLOOKUP($A23, INDIRECT("JulR!$A$6:$ZZ$1048576"), MATCH(AY$1, JulR!$6:$6, 0), FALSE),
            0
        ) +
        IFERROR(
            VLOOKUP($A23, INDIRECT("AgoR!$A$6:$ZZ$1048576"), MATCH(AY$1, AgoR!$6:$6, 0), FALSE),
            0
        ) +
        IFERROR(
            VLOOKUP($A23, INDIRECT("SepR!$A$6:$ZZ$1048576"), MATCH(AY$1, SepR!$6:$6, 0), FALSE),
            0
        ) +
        IFERROR(
            VLOOKUP($A23, INDIRECT("OctR!$A$6:$ZZ$1048576"), MATCH(AY$1, OctR!$6:$6, 0), FALSE),
            0
        ) +
        IFERROR(
            VLOOKUP($A23, INDIRECT("NovR!$A$6:$ZZ$1048576"), MATCH(AY$1, NovR!$6:$6, 0), FALSE),
            0
        ) +
        IFERROR(
            VLOOKUP($A23, INDIRECT("DicR!$A$6:$ZZ$1048576"), MATCH(AY$1, DicR!$6:$6, 0), FALSE),
            0
        )
)</f>
        <v>0</v>
      </c>
      <c r="AZ23" s="37"/>
    </row>
    <row r="24" ht="15.75" customHeight="1">
      <c r="A24" s="12" t="str">
        <f>Menus!R16</f>
        <v/>
      </c>
      <c r="B24" s="32">
        <f t="shared" si="4"/>
        <v>0</v>
      </c>
      <c r="C24" s="33" t="str">
        <f t="shared" si="5"/>
        <v/>
      </c>
      <c r="D24" s="34">
        <f t="array" ref="D24">SUM(
    IFERROR(
            VLOOKUP($A24, INDIRECT("EneR!$A$6:$ZZ$1048576"), MATCH(D$1, EneR!$6:$6, 0), FALSE),
            0
        ) +
        IFERROR(
            VLOOKUP($A24, INDIRECT("FebR!$A$6:$ZZ$1048576"), MATCH(D$1, FebR!$6:$6, 0), FALSE),
            0
        ) +
        IFERROR(
            VLOOKUP($A24, INDIRECT("MarR!$A$6:$ZZ$1048576"), MATCH(D$1, MarR!$6:$6, 0), FALSE),
            0
        ) +
        IFERROR(
            VLOOKUP($A24, INDIRECT("AbrR!$A$6:$ZZ$1048576"), MATCH(D$1, AbrR!$6:$6, 0), FALSE),
            0
        ) +
        IFERROR(
            VLOOKUP($A24, INDIRECT("MayR!$A$6:$ZZ$1048576"), MATCH(D$1, MayR!$6:$6, 0), FALSE),
            0
        ) +
        IFERROR(
            VLOOKUP($A24, INDIRECT("JunR!$A$6:$ZZ$1048576"), MATCH(D$1, JunR!$6:$6, 0), FALSE),
            0
        ) +
        IFERROR(
            VLOOKUP($A24, INDIRECT("JulR!$A$6:$ZZ$1048576"), MATCH(D$1, JulR!$6:$6, 0), FALSE),
            0
        ) +
        IFERROR(
            VLOOKUP($A24, INDIRECT("AgoR!$A$6:$ZZ$1048576"), MATCH(D$1, AgoR!$6:$6, 0), FALSE),
            0
        ) +
        IFERROR(
            VLOOKUP($A24, INDIRECT("SepR!$A$6:$ZZ$1048576"), MATCH(D$1, SepR!$6:$6, 0), FALSE),
            0
        ) +
        IFERROR(
            VLOOKUP($A24, INDIRECT("OctR!$A$6:$ZZ$1048576"), MATCH(D$1, OctR!$6:$6, 0), FALSE),
            0
        ) +
        IFERROR(
            VLOOKUP($A24, INDIRECT("NovR!$A$6:$ZZ$1048576"), MATCH(D$1, NovR!$6:$6, 0), FALSE),
            0
        ) +
        IFERROR(
            VLOOKUP($A24, INDIRECT("DicR!$A$6:$ZZ$1048576"), MATCH(D$1, DicR!$6:$6, 0), FALSE),
            0
        )
)</f>
        <v>0</v>
      </c>
      <c r="E24" s="35">
        <f t="array" ref="E24">SUM(
    IFERROR(
            VLOOKUP($A24, INDIRECT("EneR!$A$6:$ZZ$1048576"), MATCH(E$1, EneR!$6:$6, 0), FALSE),
            0
        ) +
        IFERROR(
            VLOOKUP($A24, INDIRECT("FebR!$A$6:$ZZ$1048576"), MATCH(E$1, FebR!$6:$6, 0), FALSE),
            0
        ) +
        IFERROR(
            VLOOKUP($A24, INDIRECT("MarR!$A$6:$ZZ$1048576"), MATCH(E$1, MarR!$6:$6, 0), FALSE),
            0
        ) +
        IFERROR(
            VLOOKUP($A24, INDIRECT("AbrR!$A$6:$ZZ$1048576"), MATCH(E$1, AbrR!$6:$6, 0), FALSE),
            0
        ) +
        IFERROR(
            VLOOKUP($A24, INDIRECT("MayR!$A$6:$ZZ$1048576"), MATCH(E$1, MayR!$6:$6, 0), FALSE),
            0
        ) +
        IFERROR(
            VLOOKUP($A24, INDIRECT("JunR!$A$6:$ZZ$1048576"), MATCH(E$1, JunR!$6:$6, 0), FALSE),
            0
        ) +
        IFERROR(
            VLOOKUP($A24, INDIRECT("JulR!$A$6:$ZZ$1048576"), MATCH(E$1, JulR!$6:$6, 0), FALSE),
            0
        ) +
        IFERROR(
            VLOOKUP($A24, INDIRECT("AgoR!$A$6:$ZZ$1048576"), MATCH(E$1, AgoR!$6:$6, 0), FALSE),
            0
        ) +
        IFERROR(
            VLOOKUP($A24, INDIRECT("SepR!$A$6:$ZZ$1048576"), MATCH(E$1, SepR!$6:$6, 0), FALSE),
            0
        ) +
        IFERROR(
            VLOOKUP($A24, INDIRECT("OctR!$A$6:$ZZ$1048576"), MATCH(E$1, OctR!$6:$6, 0), FALSE),
            0
        ) +
        IFERROR(
            VLOOKUP($A24, INDIRECT("NovR!$A$6:$ZZ$1048576"), MATCH(E$1, NovR!$6:$6, 0), FALSE),
            0
        ) +
        IFERROR(
            VLOOKUP($A24, INDIRECT("DicR!$A$6:$ZZ$1048576"), MATCH(E$1, DicR!$6:$6, 0), FALSE),
            0
        )
)</f>
        <v>0</v>
      </c>
      <c r="F24" s="32">
        <f t="array" ref="F24">SUM(
    IFERROR(
            VLOOKUP($A24, INDIRECT("EneR!$A$6:$ZZ$1048576"), MATCH(F$1, EneR!$6:$6, 0), FALSE),
            0
        ) +
        IFERROR(
            VLOOKUP($A24, INDIRECT("FebR!$A$6:$ZZ$1048576"), MATCH(F$1, FebR!$6:$6, 0), FALSE),
            0
        ) +
        IFERROR(
            VLOOKUP($A24, INDIRECT("MarR!$A$6:$ZZ$1048576"), MATCH(F$1, MarR!$6:$6, 0), FALSE),
            0
        ) +
        IFERROR(
            VLOOKUP($A24, INDIRECT("AbrR!$A$6:$ZZ$1048576"), MATCH(F$1, AbrR!$6:$6, 0), FALSE),
            0
        ) +
        IFERROR(
            VLOOKUP($A24, INDIRECT("MayR!$A$6:$ZZ$1048576"), MATCH(F$1, MayR!$6:$6, 0), FALSE),
            0
        ) +
        IFERROR(
            VLOOKUP($A24, INDIRECT("JunR!$A$6:$ZZ$1048576"), MATCH(F$1, JunR!$6:$6, 0), FALSE),
            0
        ) +
        IFERROR(
            VLOOKUP($A24, INDIRECT("JulR!$A$6:$ZZ$1048576"), MATCH(F$1, JulR!$6:$6, 0), FALSE),
            0
        ) +
        IFERROR(
            VLOOKUP($A24, INDIRECT("AgoR!$A$6:$ZZ$1048576"), MATCH(F$1, AgoR!$6:$6, 0), FALSE),
            0
        ) +
        IFERROR(
            VLOOKUP($A24, INDIRECT("SepR!$A$6:$ZZ$1048576"), MATCH(F$1, SepR!$6:$6, 0), FALSE),
            0
        ) +
        IFERROR(
            VLOOKUP($A24, INDIRECT("OctR!$A$6:$ZZ$1048576"), MATCH(F$1, OctR!$6:$6, 0), FALSE),
            0
        ) +
        IFERROR(
            VLOOKUP($A24, INDIRECT("NovR!$A$6:$ZZ$1048576"), MATCH(F$1, NovR!$6:$6, 0), FALSE),
            0
        ) +
        IFERROR(
            VLOOKUP($A24, INDIRECT("DicR!$A$6:$ZZ$1048576"), MATCH(F$1, DicR!$6:$6, 0), FALSE),
            0
        )
)</f>
        <v>0</v>
      </c>
      <c r="G24" s="35">
        <f t="array" ref="G24">SUM(
    IFERROR(
            VLOOKUP($A24, INDIRECT("EneR!$A$6:$ZZ$1048576"), MATCH(G$1, EneR!$6:$6, 0), FALSE),
            0
        ) +
        IFERROR(
            VLOOKUP($A24, INDIRECT("FebR!$A$6:$ZZ$1048576"), MATCH(G$1, FebR!$6:$6, 0), FALSE),
            0
        ) +
        IFERROR(
            VLOOKUP($A24, INDIRECT("MarR!$A$6:$ZZ$1048576"), MATCH(G$1, MarR!$6:$6, 0), FALSE),
            0
        ) +
        IFERROR(
            VLOOKUP($A24, INDIRECT("AbrR!$A$6:$ZZ$1048576"), MATCH(G$1, AbrR!$6:$6, 0), FALSE),
            0
        ) +
        IFERROR(
            VLOOKUP($A24, INDIRECT("MayR!$A$6:$ZZ$1048576"), MATCH(G$1, MayR!$6:$6, 0), FALSE),
            0
        ) +
        IFERROR(
            VLOOKUP($A24, INDIRECT("JunR!$A$6:$ZZ$1048576"), MATCH(G$1, JunR!$6:$6, 0), FALSE),
            0
        ) +
        IFERROR(
            VLOOKUP($A24, INDIRECT("JulR!$A$6:$ZZ$1048576"), MATCH(G$1, JulR!$6:$6, 0), FALSE),
            0
        ) +
        IFERROR(
            VLOOKUP($A24, INDIRECT("AgoR!$A$6:$ZZ$1048576"), MATCH(G$1, AgoR!$6:$6, 0), FALSE),
            0
        ) +
        IFERROR(
            VLOOKUP($A24, INDIRECT("SepR!$A$6:$ZZ$1048576"), MATCH(G$1, SepR!$6:$6, 0), FALSE),
            0
        ) +
        IFERROR(
            VLOOKUP($A24, INDIRECT("OctR!$A$6:$ZZ$1048576"), MATCH(G$1, OctR!$6:$6, 0), FALSE),
            0
        ) +
        IFERROR(
            VLOOKUP($A24, INDIRECT("NovR!$A$6:$ZZ$1048576"), MATCH(G$1, NovR!$6:$6, 0), FALSE),
            0
        ) +
        IFERROR(
            VLOOKUP($A24, INDIRECT("DicR!$A$6:$ZZ$1048576"), MATCH(G$1, DicR!$6:$6, 0), FALSE),
            0
        )
)</f>
        <v>0</v>
      </c>
      <c r="H24" s="32">
        <f t="array" ref="H24">SUM(
    IFERROR(
            VLOOKUP($A24, INDIRECT("EneR!$A$6:$ZZ$1048576"), MATCH(H$1, EneR!$6:$6, 0), FALSE),
            0
        ) +
        IFERROR(
            VLOOKUP($A24, INDIRECT("FebR!$A$6:$ZZ$1048576"), MATCH(H$1, FebR!$6:$6, 0), FALSE),
            0
        ) +
        IFERROR(
            VLOOKUP($A24, INDIRECT("MarR!$A$6:$ZZ$1048576"), MATCH(H$1, MarR!$6:$6, 0), FALSE),
            0
        ) +
        IFERROR(
            VLOOKUP($A24, INDIRECT("AbrR!$A$6:$ZZ$1048576"), MATCH(H$1, AbrR!$6:$6, 0), FALSE),
            0
        ) +
        IFERROR(
            VLOOKUP($A24, INDIRECT("MayR!$A$6:$ZZ$1048576"), MATCH(H$1, MayR!$6:$6, 0), FALSE),
            0
        ) +
        IFERROR(
            VLOOKUP($A24, INDIRECT("JunR!$A$6:$ZZ$1048576"), MATCH(H$1, JunR!$6:$6, 0), FALSE),
            0
        ) +
        IFERROR(
            VLOOKUP($A24, INDIRECT("JulR!$A$6:$ZZ$1048576"), MATCH(H$1, JulR!$6:$6, 0), FALSE),
            0
        ) +
        IFERROR(
            VLOOKUP($A24, INDIRECT("AgoR!$A$6:$ZZ$1048576"), MATCH(H$1, AgoR!$6:$6, 0), FALSE),
            0
        ) +
        IFERROR(
            VLOOKUP($A24, INDIRECT("SepR!$A$6:$ZZ$1048576"), MATCH(H$1, SepR!$6:$6, 0), FALSE),
            0
        ) +
        IFERROR(
            VLOOKUP($A24, INDIRECT("OctR!$A$6:$ZZ$1048576"), MATCH(H$1, OctR!$6:$6, 0), FALSE),
            0
        ) +
        IFERROR(
            VLOOKUP($A24, INDIRECT("NovR!$A$6:$ZZ$1048576"), MATCH(H$1, NovR!$6:$6, 0), FALSE),
            0
        ) +
        IFERROR(
            VLOOKUP($A24, INDIRECT("DicR!$A$6:$ZZ$1048576"), MATCH(H$1, DicR!$6:$6, 0), FALSE),
            0
        )
)</f>
        <v>0</v>
      </c>
      <c r="I24" s="35">
        <f t="array" ref="I24">SUM(
    IFERROR(
            VLOOKUP($A24, INDIRECT("EneR!$A$6:$ZZ$1048576"), MATCH(I$1, EneR!$6:$6, 0), FALSE),
            0
        ) +
        IFERROR(
            VLOOKUP($A24, INDIRECT("FebR!$A$6:$ZZ$1048576"), MATCH(I$1, FebR!$6:$6, 0), FALSE),
            0
        ) +
        IFERROR(
            VLOOKUP($A24, INDIRECT("MarR!$A$6:$ZZ$1048576"), MATCH(I$1, MarR!$6:$6, 0), FALSE),
            0
        ) +
        IFERROR(
            VLOOKUP($A24, INDIRECT("AbrR!$A$6:$ZZ$1048576"), MATCH(I$1, AbrR!$6:$6, 0), FALSE),
            0
        ) +
        IFERROR(
            VLOOKUP($A24, INDIRECT("MayR!$A$6:$ZZ$1048576"), MATCH(I$1, MayR!$6:$6, 0), FALSE),
            0
        ) +
        IFERROR(
            VLOOKUP($A24, INDIRECT("JunR!$A$6:$ZZ$1048576"), MATCH(I$1, JunR!$6:$6, 0), FALSE),
            0
        ) +
        IFERROR(
            VLOOKUP($A24, INDIRECT("JulR!$A$6:$ZZ$1048576"), MATCH(I$1, JulR!$6:$6, 0), FALSE),
            0
        ) +
        IFERROR(
            VLOOKUP($A24, INDIRECT("AgoR!$A$6:$ZZ$1048576"), MATCH(I$1, AgoR!$6:$6, 0), FALSE),
            0
        ) +
        IFERROR(
            VLOOKUP($A24, INDIRECT("SepR!$A$6:$ZZ$1048576"), MATCH(I$1, SepR!$6:$6, 0), FALSE),
            0
        ) +
        IFERROR(
            VLOOKUP($A24, INDIRECT("OctR!$A$6:$ZZ$1048576"), MATCH(I$1, OctR!$6:$6, 0), FALSE),
            0
        ) +
        IFERROR(
            VLOOKUP($A24, INDIRECT("NovR!$A$6:$ZZ$1048576"), MATCH(I$1, NovR!$6:$6, 0), FALSE),
            0
        ) +
        IFERROR(
            VLOOKUP($A24, INDIRECT("DicR!$A$6:$ZZ$1048576"), MATCH(I$1, DicR!$6:$6, 0), FALSE),
            0
        )
)</f>
        <v>0</v>
      </c>
      <c r="J24" s="32">
        <f t="array" ref="J24">SUM(
    IFERROR(
            VLOOKUP($A24, INDIRECT("EneR!$A$6:$ZZ$1048576"), MATCH(J$1, EneR!$6:$6, 0), FALSE),
            0
        ) +
        IFERROR(
            VLOOKUP($A24, INDIRECT("FebR!$A$6:$ZZ$1048576"), MATCH(J$1, FebR!$6:$6, 0), FALSE),
            0
        ) +
        IFERROR(
            VLOOKUP($A24, INDIRECT("MarR!$A$6:$ZZ$1048576"), MATCH(J$1, MarR!$6:$6, 0), FALSE),
            0
        ) +
        IFERROR(
            VLOOKUP($A24, INDIRECT("AbrR!$A$6:$ZZ$1048576"), MATCH(J$1, AbrR!$6:$6, 0), FALSE),
            0
        ) +
        IFERROR(
            VLOOKUP($A24, INDIRECT("MayR!$A$6:$ZZ$1048576"), MATCH(J$1, MayR!$6:$6, 0), FALSE),
            0
        ) +
        IFERROR(
            VLOOKUP($A24, INDIRECT("JunR!$A$6:$ZZ$1048576"), MATCH(J$1, JunR!$6:$6, 0), FALSE),
            0
        ) +
        IFERROR(
            VLOOKUP($A24, INDIRECT("JulR!$A$6:$ZZ$1048576"), MATCH(J$1, JulR!$6:$6, 0), FALSE),
            0
        ) +
        IFERROR(
            VLOOKUP($A24, INDIRECT("AgoR!$A$6:$ZZ$1048576"), MATCH(J$1, AgoR!$6:$6, 0), FALSE),
            0
        ) +
        IFERROR(
            VLOOKUP($A24, INDIRECT("SepR!$A$6:$ZZ$1048576"), MATCH(J$1, SepR!$6:$6, 0), FALSE),
            0
        ) +
        IFERROR(
            VLOOKUP($A24, INDIRECT("OctR!$A$6:$ZZ$1048576"), MATCH(J$1, OctR!$6:$6, 0), FALSE),
            0
        ) +
        IFERROR(
            VLOOKUP($A24, INDIRECT("NovR!$A$6:$ZZ$1048576"), MATCH(J$1, NovR!$6:$6, 0), FALSE),
            0
        ) +
        IFERROR(
            VLOOKUP($A24, INDIRECT("DicR!$A$6:$ZZ$1048576"), MATCH(J$1, DicR!$6:$6, 0), FALSE),
            0
        )
)</f>
        <v>0</v>
      </c>
      <c r="K24" s="35">
        <f t="array" ref="K24">SUM(
    IFERROR(
            VLOOKUP($A24, INDIRECT("EneR!$A$6:$ZZ$1048576"), MATCH(K$1, EneR!$6:$6, 0), FALSE),
            0
        ) +
        IFERROR(
            VLOOKUP($A24, INDIRECT("FebR!$A$6:$ZZ$1048576"), MATCH(K$1, FebR!$6:$6, 0), FALSE),
            0
        ) +
        IFERROR(
            VLOOKUP($A24, INDIRECT("MarR!$A$6:$ZZ$1048576"), MATCH(K$1, MarR!$6:$6, 0), FALSE),
            0
        ) +
        IFERROR(
            VLOOKUP($A24, INDIRECT("AbrR!$A$6:$ZZ$1048576"), MATCH(K$1, AbrR!$6:$6, 0), FALSE),
            0
        ) +
        IFERROR(
            VLOOKUP($A24, INDIRECT("MayR!$A$6:$ZZ$1048576"), MATCH(K$1, MayR!$6:$6, 0), FALSE),
            0
        ) +
        IFERROR(
            VLOOKUP($A24, INDIRECT("JunR!$A$6:$ZZ$1048576"), MATCH(K$1, JunR!$6:$6, 0), FALSE),
            0
        ) +
        IFERROR(
            VLOOKUP($A24, INDIRECT("JulR!$A$6:$ZZ$1048576"), MATCH(K$1, JulR!$6:$6, 0), FALSE),
            0
        ) +
        IFERROR(
            VLOOKUP($A24, INDIRECT("AgoR!$A$6:$ZZ$1048576"), MATCH(K$1, AgoR!$6:$6, 0), FALSE),
            0
        ) +
        IFERROR(
            VLOOKUP($A24, INDIRECT("SepR!$A$6:$ZZ$1048576"), MATCH(K$1, SepR!$6:$6, 0), FALSE),
            0
        ) +
        IFERROR(
            VLOOKUP($A24, INDIRECT("OctR!$A$6:$ZZ$1048576"), MATCH(K$1, OctR!$6:$6, 0), FALSE),
            0
        ) +
        IFERROR(
            VLOOKUP($A24, INDIRECT("NovR!$A$6:$ZZ$1048576"), MATCH(K$1, NovR!$6:$6, 0), FALSE),
            0
        ) +
        IFERROR(
            VLOOKUP($A24, INDIRECT("DicR!$A$6:$ZZ$1048576"), MATCH(K$1, DicR!$6:$6, 0), FALSE),
            0
        )
)</f>
        <v>0</v>
      </c>
      <c r="L24" s="32">
        <f t="array" ref="L24">SUM(
    IFERROR(
            VLOOKUP($A24, INDIRECT("EneR!$A$6:$ZZ$1048576"), MATCH(L$1, EneR!$6:$6, 0), FALSE),
            0
        ) +
        IFERROR(
            VLOOKUP($A24, INDIRECT("FebR!$A$6:$ZZ$1048576"), MATCH(L$1, FebR!$6:$6, 0), FALSE),
            0
        ) +
        IFERROR(
            VLOOKUP($A24, INDIRECT("MarR!$A$6:$ZZ$1048576"), MATCH(L$1, MarR!$6:$6, 0), FALSE),
            0
        ) +
        IFERROR(
            VLOOKUP($A24, INDIRECT("AbrR!$A$6:$ZZ$1048576"), MATCH(L$1, AbrR!$6:$6, 0), FALSE),
            0
        ) +
        IFERROR(
            VLOOKUP($A24, INDIRECT("MayR!$A$6:$ZZ$1048576"), MATCH(L$1, MayR!$6:$6, 0), FALSE),
            0
        ) +
        IFERROR(
            VLOOKUP($A24, INDIRECT("JunR!$A$6:$ZZ$1048576"), MATCH(L$1, JunR!$6:$6, 0), FALSE),
            0
        ) +
        IFERROR(
            VLOOKUP($A24, INDIRECT("JulR!$A$6:$ZZ$1048576"), MATCH(L$1, JulR!$6:$6, 0), FALSE),
            0
        ) +
        IFERROR(
            VLOOKUP($A24, INDIRECT("AgoR!$A$6:$ZZ$1048576"), MATCH(L$1, AgoR!$6:$6, 0), FALSE),
            0
        ) +
        IFERROR(
            VLOOKUP($A24, INDIRECT("SepR!$A$6:$ZZ$1048576"), MATCH(L$1, SepR!$6:$6, 0), FALSE),
            0
        ) +
        IFERROR(
            VLOOKUP($A24, INDIRECT("OctR!$A$6:$ZZ$1048576"), MATCH(L$1, OctR!$6:$6, 0), FALSE),
            0
        ) +
        IFERROR(
            VLOOKUP($A24, INDIRECT("NovR!$A$6:$ZZ$1048576"), MATCH(L$1, NovR!$6:$6, 0), FALSE),
            0
        ) +
        IFERROR(
            VLOOKUP($A24, INDIRECT("DicR!$A$6:$ZZ$1048576"), MATCH(L$1, DicR!$6:$6, 0), FALSE),
            0
        )
)</f>
        <v>0</v>
      </c>
      <c r="M24" s="35">
        <f t="array" ref="M24">SUM(
    IFERROR(
            VLOOKUP($A24, INDIRECT("EneR!$A$6:$ZZ$1048576"), MATCH(M$1, EneR!$6:$6, 0), FALSE),
            0
        ) +
        IFERROR(
            VLOOKUP($A24, INDIRECT("FebR!$A$6:$ZZ$1048576"), MATCH(M$1, FebR!$6:$6, 0), FALSE),
            0
        ) +
        IFERROR(
            VLOOKUP($A24, INDIRECT("MarR!$A$6:$ZZ$1048576"), MATCH(M$1, MarR!$6:$6, 0), FALSE),
            0
        ) +
        IFERROR(
            VLOOKUP($A24, INDIRECT("AbrR!$A$6:$ZZ$1048576"), MATCH(M$1, AbrR!$6:$6, 0), FALSE),
            0
        ) +
        IFERROR(
            VLOOKUP($A24, INDIRECT("MayR!$A$6:$ZZ$1048576"), MATCH(M$1, MayR!$6:$6, 0), FALSE),
            0
        ) +
        IFERROR(
            VLOOKUP($A24, INDIRECT("JunR!$A$6:$ZZ$1048576"), MATCH(M$1, JunR!$6:$6, 0), FALSE),
            0
        ) +
        IFERROR(
            VLOOKUP($A24, INDIRECT("JulR!$A$6:$ZZ$1048576"), MATCH(M$1, JulR!$6:$6, 0), FALSE),
            0
        ) +
        IFERROR(
            VLOOKUP($A24, INDIRECT("AgoR!$A$6:$ZZ$1048576"), MATCH(M$1, AgoR!$6:$6, 0), FALSE),
            0
        ) +
        IFERROR(
            VLOOKUP($A24, INDIRECT("SepR!$A$6:$ZZ$1048576"), MATCH(M$1, SepR!$6:$6, 0), FALSE),
            0
        ) +
        IFERROR(
            VLOOKUP($A24, INDIRECT("OctR!$A$6:$ZZ$1048576"), MATCH(M$1, OctR!$6:$6, 0), FALSE),
            0
        ) +
        IFERROR(
            VLOOKUP($A24, INDIRECT("NovR!$A$6:$ZZ$1048576"), MATCH(M$1, NovR!$6:$6, 0), FALSE),
            0
        ) +
        IFERROR(
            VLOOKUP($A24, INDIRECT("DicR!$A$6:$ZZ$1048576"), MATCH(M$1, DicR!$6:$6, 0), FALSE),
            0
        )
)</f>
        <v>0</v>
      </c>
      <c r="N24" s="32">
        <f t="array" ref="N24">SUM(
    IFERROR(
            VLOOKUP($A24, INDIRECT("EneR!$A$6:$ZZ$1048576"), MATCH(N$1, EneR!$6:$6, 0), FALSE),
            0
        ) +
        IFERROR(
            VLOOKUP($A24, INDIRECT("FebR!$A$6:$ZZ$1048576"), MATCH(N$1, FebR!$6:$6, 0), FALSE),
            0
        ) +
        IFERROR(
            VLOOKUP($A24, INDIRECT("MarR!$A$6:$ZZ$1048576"), MATCH(N$1, MarR!$6:$6, 0), FALSE),
            0
        ) +
        IFERROR(
            VLOOKUP($A24, INDIRECT("AbrR!$A$6:$ZZ$1048576"), MATCH(N$1, AbrR!$6:$6, 0), FALSE),
            0
        ) +
        IFERROR(
            VLOOKUP($A24, INDIRECT("MayR!$A$6:$ZZ$1048576"), MATCH(N$1, MayR!$6:$6, 0), FALSE),
            0
        ) +
        IFERROR(
            VLOOKUP($A24, INDIRECT("JunR!$A$6:$ZZ$1048576"), MATCH(N$1, JunR!$6:$6, 0), FALSE),
            0
        ) +
        IFERROR(
            VLOOKUP($A24, INDIRECT("JulR!$A$6:$ZZ$1048576"), MATCH(N$1, JulR!$6:$6, 0), FALSE),
            0
        ) +
        IFERROR(
            VLOOKUP($A24, INDIRECT("AgoR!$A$6:$ZZ$1048576"), MATCH(N$1, AgoR!$6:$6, 0), FALSE),
            0
        ) +
        IFERROR(
            VLOOKUP($A24, INDIRECT("SepR!$A$6:$ZZ$1048576"), MATCH(N$1, SepR!$6:$6, 0), FALSE),
            0
        ) +
        IFERROR(
            VLOOKUP($A24, INDIRECT("OctR!$A$6:$ZZ$1048576"), MATCH(N$1, OctR!$6:$6, 0), FALSE),
            0
        ) +
        IFERROR(
            VLOOKUP($A24, INDIRECT("NovR!$A$6:$ZZ$1048576"), MATCH(N$1, NovR!$6:$6, 0), FALSE),
            0
        ) +
        IFERROR(
            VLOOKUP($A24, INDIRECT("DicR!$A$6:$ZZ$1048576"), MATCH(N$1, DicR!$6:$6, 0), FALSE),
            0
        )
)</f>
        <v>0</v>
      </c>
      <c r="O24" s="35">
        <f t="array" ref="O24">SUM(
    IFERROR(
            VLOOKUP($A24, INDIRECT("EneR!$A$6:$ZZ$1048576"), MATCH(O$1, EneR!$6:$6, 0), FALSE),
            0
        ) +
        IFERROR(
            VLOOKUP($A24, INDIRECT("FebR!$A$6:$ZZ$1048576"), MATCH(O$1, FebR!$6:$6, 0), FALSE),
            0
        ) +
        IFERROR(
            VLOOKUP($A24, INDIRECT("MarR!$A$6:$ZZ$1048576"), MATCH(O$1, MarR!$6:$6, 0), FALSE),
            0
        ) +
        IFERROR(
            VLOOKUP($A24, INDIRECT("AbrR!$A$6:$ZZ$1048576"), MATCH(O$1, AbrR!$6:$6, 0), FALSE),
            0
        ) +
        IFERROR(
            VLOOKUP($A24, INDIRECT("MayR!$A$6:$ZZ$1048576"), MATCH(O$1, MayR!$6:$6, 0), FALSE),
            0
        ) +
        IFERROR(
            VLOOKUP($A24, INDIRECT("JunR!$A$6:$ZZ$1048576"), MATCH(O$1, JunR!$6:$6, 0), FALSE),
            0
        ) +
        IFERROR(
            VLOOKUP($A24, INDIRECT("JulR!$A$6:$ZZ$1048576"), MATCH(O$1, JulR!$6:$6, 0), FALSE),
            0
        ) +
        IFERROR(
            VLOOKUP($A24, INDIRECT("AgoR!$A$6:$ZZ$1048576"), MATCH(O$1, AgoR!$6:$6, 0), FALSE),
            0
        ) +
        IFERROR(
            VLOOKUP($A24, INDIRECT("SepR!$A$6:$ZZ$1048576"), MATCH(O$1, SepR!$6:$6, 0), FALSE),
            0
        ) +
        IFERROR(
            VLOOKUP($A24, INDIRECT("OctR!$A$6:$ZZ$1048576"), MATCH(O$1, OctR!$6:$6, 0), FALSE),
            0
        ) +
        IFERROR(
            VLOOKUP($A24, INDIRECT("NovR!$A$6:$ZZ$1048576"), MATCH(O$1, NovR!$6:$6, 0), FALSE),
            0
        ) +
        IFERROR(
            VLOOKUP($A24, INDIRECT("DicR!$A$6:$ZZ$1048576"), MATCH(O$1, DicR!$6:$6, 0), FALSE),
            0
        )
)</f>
        <v>0</v>
      </c>
      <c r="P24" s="32">
        <f t="array" ref="P24">SUM(
    IFERROR(
            VLOOKUP($A24, INDIRECT("EneR!$A$6:$ZZ$1048576"), MATCH(P$1, EneR!$6:$6, 0), FALSE),
            0
        ) +
        IFERROR(
            VLOOKUP($A24, INDIRECT("FebR!$A$6:$ZZ$1048576"), MATCH(P$1, FebR!$6:$6, 0), FALSE),
            0
        ) +
        IFERROR(
            VLOOKUP($A24, INDIRECT("MarR!$A$6:$ZZ$1048576"), MATCH(P$1, MarR!$6:$6, 0), FALSE),
            0
        ) +
        IFERROR(
            VLOOKUP($A24, INDIRECT("AbrR!$A$6:$ZZ$1048576"), MATCH(P$1, AbrR!$6:$6, 0), FALSE),
            0
        ) +
        IFERROR(
            VLOOKUP($A24, INDIRECT("MayR!$A$6:$ZZ$1048576"), MATCH(P$1, MayR!$6:$6, 0), FALSE),
            0
        ) +
        IFERROR(
            VLOOKUP($A24, INDIRECT("JunR!$A$6:$ZZ$1048576"), MATCH(P$1, JunR!$6:$6, 0), FALSE),
            0
        ) +
        IFERROR(
            VLOOKUP($A24, INDIRECT("JulR!$A$6:$ZZ$1048576"), MATCH(P$1, JulR!$6:$6, 0), FALSE),
            0
        ) +
        IFERROR(
            VLOOKUP($A24, INDIRECT("AgoR!$A$6:$ZZ$1048576"), MATCH(P$1, AgoR!$6:$6, 0), FALSE),
            0
        ) +
        IFERROR(
            VLOOKUP($A24, INDIRECT("SepR!$A$6:$ZZ$1048576"), MATCH(P$1, SepR!$6:$6, 0), FALSE),
            0
        ) +
        IFERROR(
            VLOOKUP($A24, INDIRECT("OctR!$A$6:$ZZ$1048576"), MATCH(P$1, OctR!$6:$6, 0), FALSE),
            0
        ) +
        IFERROR(
            VLOOKUP($A24, INDIRECT("NovR!$A$6:$ZZ$1048576"), MATCH(P$1, NovR!$6:$6, 0), FALSE),
            0
        ) +
        IFERROR(
            VLOOKUP($A24, INDIRECT("DicR!$A$6:$ZZ$1048576"), MATCH(P$1, DicR!$6:$6, 0), FALSE),
            0
        )
)</f>
        <v>0</v>
      </c>
      <c r="Q24" s="35">
        <f t="array" ref="Q24">SUM(
    IFERROR(
            VLOOKUP($A24, INDIRECT("EneR!$A$6:$ZZ$1048576"), MATCH(Q$1, EneR!$6:$6, 0), FALSE),
            0
        ) +
        IFERROR(
            VLOOKUP($A24, INDIRECT("FebR!$A$6:$ZZ$1048576"), MATCH(Q$1, FebR!$6:$6, 0), FALSE),
            0
        ) +
        IFERROR(
            VLOOKUP($A24, INDIRECT("MarR!$A$6:$ZZ$1048576"), MATCH(Q$1, MarR!$6:$6, 0), FALSE),
            0
        ) +
        IFERROR(
            VLOOKUP($A24, INDIRECT("AbrR!$A$6:$ZZ$1048576"), MATCH(Q$1, AbrR!$6:$6, 0), FALSE),
            0
        ) +
        IFERROR(
            VLOOKUP($A24, INDIRECT("MayR!$A$6:$ZZ$1048576"), MATCH(Q$1, MayR!$6:$6, 0), FALSE),
            0
        ) +
        IFERROR(
            VLOOKUP($A24, INDIRECT("JunR!$A$6:$ZZ$1048576"), MATCH(Q$1, JunR!$6:$6, 0), FALSE),
            0
        ) +
        IFERROR(
            VLOOKUP($A24, INDIRECT("JulR!$A$6:$ZZ$1048576"), MATCH(Q$1, JulR!$6:$6, 0), FALSE),
            0
        ) +
        IFERROR(
            VLOOKUP($A24, INDIRECT("AgoR!$A$6:$ZZ$1048576"), MATCH(Q$1, AgoR!$6:$6, 0), FALSE),
            0
        ) +
        IFERROR(
            VLOOKUP($A24, INDIRECT("SepR!$A$6:$ZZ$1048576"), MATCH(Q$1, SepR!$6:$6, 0), FALSE),
            0
        ) +
        IFERROR(
            VLOOKUP($A24, INDIRECT("OctR!$A$6:$ZZ$1048576"), MATCH(Q$1, OctR!$6:$6, 0), FALSE),
            0
        ) +
        IFERROR(
            VLOOKUP($A24, INDIRECT("NovR!$A$6:$ZZ$1048576"), MATCH(Q$1, NovR!$6:$6, 0), FALSE),
            0
        ) +
        IFERROR(
            VLOOKUP($A24, INDIRECT("DicR!$A$6:$ZZ$1048576"), MATCH(Q$1, DicR!$6:$6, 0), FALSE),
            0
        )
)</f>
        <v>0</v>
      </c>
      <c r="R24" s="36">
        <f t="array" ref="R24">SUM(
    IFERROR(
            VLOOKUP($A24, INDIRECT("EneR!$A$6:$ZZ$1048576"), MATCH(R$1, EneR!$6:$6, 0), FALSE),
            0
        ) +
        IFERROR(
            VLOOKUP($A24, INDIRECT("FebR!$A$6:$ZZ$1048576"), MATCH(R$1, FebR!$6:$6, 0), FALSE),
            0
        ) +
        IFERROR(
            VLOOKUP($A24, INDIRECT("MarR!$A$6:$ZZ$1048576"), MATCH(R$1, MarR!$6:$6, 0), FALSE),
            0
        ) +
        IFERROR(
            VLOOKUP($A24, INDIRECT("AbrR!$A$6:$ZZ$1048576"), MATCH(R$1, AbrR!$6:$6, 0), FALSE),
            0
        ) +
        IFERROR(
            VLOOKUP($A24, INDIRECT("MayR!$A$6:$ZZ$1048576"), MATCH(R$1, MayR!$6:$6, 0), FALSE),
            0
        ) +
        IFERROR(
            VLOOKUP($A24, INDIRECT("JunR!$A$6:$ZZ$1048576"), MATCH(R$1, JunR!$6:$6, 0), FALSE),
            0
        ) +
        IFERROR(
            VLOOKUP($A24, INDIRECT("JulR!$A$6:$ZZ$1048576"), MATCH(R$1, JulR!$6:$6, 0), FALSE),
            0
        ) +
        IFERROR(
            VLOOKUP($A24, INDIRECT("AgoR!$A$6:$ZZ$1048576"), MATCH(R$1, AgoR!$6:$6, 0), FALSE),
            0
        ) +
        IFERROR(
            VLOOKUP($A24, INDIRECT("SepR!$A$6:$ZZ$1048576"), MATCH(R$1, SepR!$6:$6, 0), FALSE),
            0
        ) +
        IFERROR(
            VLOOKUP($A24, INDIRECT("OctR!$A$6:$ZZ$1048576"), MATCH(R$1, OctR!$6:$6, 0), FALSE),
            0
        ) +
        IFERROR(
            VLOOKUP($A24, INDIRECT("NovR!$A$6:$ZZ$1048576"), MATCH(R$1, NovR!$6:$6, 0), FALSE),
            0
        ) +
        IFERROR(
            VLOOKUP($A24, INDIRECT("DicR!$A$6:$ZZ$1048576"), MATCH(R$1, DicR!$6:$6, 0), FALSE),
            0
        )
)</f>
        <v>0</v>
      </c>
      <c r="S24" s="37">
        <f t="array" ref="S24">SUM(
    IFERROR(
            VLOOKUP($A24, INDIRECT("EneR!$A$6:$ZZ$1048576"), MATCH(S$1, EneR!$6:$6, 0), FALSE),
            0
        ) +
        IFERROR(
            VLOOKUP($A24, INDIRECT("FebR!$A$6:$ZZ$1048576"), MATCH(S$1, FebR!$6:$6, 0), FALSE),
            0
        ) +
        IFERROR(
            VLOOKUP($A24, INDIRECT("MarR!$A$6:$ZZ$1048576"), MATCH(S$1, MarR!$6:$6, 0), FALSE),
            0
        ) +
        IFERROR(
            VLOOKUP($A24, INDIRECT("AbrR!$A$6:$ZZ$1048576"), MATCH(S$1, AbrR!$6:$6, 0), FALSE),
            0
        ) +
        IFERROR(
            VLOOKUP($A24, INDIRECT("MayR!$A$6:$ZZ$1048576"), MATCH(S$1, MayR!$6:$6, 0), FALSE),
            0
        ) +
        IFERROR(
            VLOOKUP($A24, INDIRECT("JunR!$A$6:$ZZ$1048576"), MATCH(S$1, JunR!$6:$6, 0), FALSE),
            0
        ) +
        IFERROR(
            VLOOKUP($A24, INDIRECT("JulR!$A$6:$ZZ$1048576"), MATCH(S$1, JulR!$6:$6, 0), FALSE),
            0
        ) +
        IFERROR(
            VLOOKUP($A24, INDIRECT("AgoR!$A$6:$ZZ$1048576"), MATCH(S$1, AgoR!$6:$6, 0), FALSE),
            0
        ) +
        IFERROR(
            VLOOKUP($A24, INDIRECT("SepR!$A$6:$ZZ$1048576"), MATCH(S$1, SepR!$6:$6, 0), FALSE),
            0
        ) +
        IFERROR(
            VLOOKUP($A24, INDIRECT("OctR!$A$6:$ZZ$1048576"), MATCH(S$1, OctR!$6:$6, 0), FALSE),
            0
        ) +
        IFERROR(
            VLOOKUP($A24, INDIRECT("NovR!$A$6:$ZZ$1048576"), MATCH(S$1, NovR!$6:$6, 0), FALSE),
            0
        ) +
        IFERROR(
            VLOOKUP($A24, INDIRECT("DicR!$A$6:$ZZ$1048576"), MATCH(S$1, DicR!$6:$6, 0), FALSE),
            0
        )
)</f>
        <v>0</v>
      </c>
      <c r="T24" s="36">
        <f t="array" ref="T24">SUM(
    IFERROR(
            VLOOKUP($A24, INDIRECT("EneR!$A$6:$ZZ$1048576"), MATCH(T$1, EneR!$6:$6, 0), FALSE),
            0
        ) +
        IFERROR(
            VLOOKUP($A24, INDIRECT("FebR!$A$6:$ZZ$1048576"), MATCH(T$1, FebR!$6:$6, 0), FALSE),
            0
        ) +
        IFERROR(
            VLOOKUP($A24, INDIRECT("MarR!$A$6:$ZZ$1048576"), MATCH(T$1, MarR!$6:$6, 0), FALSE),
            0
        ) +
        IFERROR(
            VLOOKUP($A24, INDIRECT("AbrR!$A$6:$ZZ$1048576"), MATCH(T$1, AbrR!$6:$6, 0), FALSE),
            0
        ) +
        IFERROR(
            VLOOKUP($A24, INDIRECT("MayR!$A$6:$ZZ$1048576"), MATCH(T$1, MayR!$6:$6, 0), FALSE),
            0
        ) +
        IFERROR(
            VLOOKUP($A24, INDIRECT("JunR!$A$6:$ZZ$1048576"), MATCH(T$1, JunR!$6:$6, 0), FALSE),
            0
        ) +
        IFERROR(
            VLOOKUP($A24, INDIRECT("JulR!$A$6:$ZZ$1048576"), MATCH(T$1, JulR!$6:$6, 0), FALSE),
            0
        ) +
        IFERROR(
            VLOOKUP($A24, INDIRECT("AgoR!$A$6:$ZZ$1048576"), MATCH(T$1, AgoR!$6:$6, 0), FALSE),
            0
        ) +
        IFERROR(
            VLOOKUP($A24, INDIRECT("SepR!$A$6:$ZZ$1048576"), MATCH(T$1, SepR!$6:$6, 0), FALSE),
            0
        ) +
        IFERROR(
            VLOOKUP($A24, INDIRECT("OctR!$A$6:$ZZ$1048576"), MATCH(T$1, OctR!$6:$6, 0), FALSE),
            0
        ) +
        IFERROR(
            VLOOKUP($A24, INDIRECT("NovR!$A$6:$ZZ$1048576"), MATCH(T$1, NovR!$6:$6, 0), FALSE),
            0
        ) +
        IFERROR(
            VLOOKUP($A24, INDIRECT("DicR!$A$6:$ZZ$1048576"), MATCH(T$1, DicR!$6:$6, 0), FALSE),
            0
        )
)</f>
        <v>0</v>
      </c>
      <c r="U24" s="37">
        <f t="array" ref="U24">SUM(
    IFERROR(
            VLOOKUP($A24, INDIRECT("EneR!$A$6:$ZZ$1048576"), MATCH(U$1, EneR!$6:$6, 0), FALSE),
            0
        ) +
        IFERROR(
            VLOOKUP($A24, INDIRECT("FebR!$A$6:$ZZ$1048576"), MATCH(U$1, FebR!$6:$6, 0), FALSE),
            0
        ) +
        IFERROR(
            VLOOKUP($A24, INDIRECT("MarR!$A$6:$ZZ$1048576"), MATCH(U$1, MarR!$6:$6, 0), FALSE),
            0
        ) +
        IFERROR(
            VLOOKUP($A24, INDIRECT("AbrR!$A$6:$ZZ$1048576"), MATCH(U$1, AbrR!$6:$6, 0), FALSE),
            0
        ) +
        IFERROR(
            VLOOKUP($A24, INDIRECT("MayR!$A$6:$ZZ$1048576"), MATCH(U$1, MayR!$6:$6, 0), FALSE),
            0
        ) +
        IFERROR(
            VLOOKUP($A24, INDIRECT("JunR!$A$6:$ZZ$1048576"), MATCH(U$1, JunR!$6:$6, 0), FALSE),
            0
        ) +
        IFERROR(
            VLOOKUP($A24, INDIRECT("JulR!$A$6:$ZZ$1048576"), MATCH(U$1, JulR!$6:$6, 0), FALSE),
            0
        ) +
        IFERROR(
            VLOOKUP($A24, INDIRECT("AgoR!$A$6:$ZZ$1048576"), MATCH(U$1, AgoR!$6:$6, 0), FALSE),
            0
        ) +
        IFERROR(
            VLOOKUP($A24, INDIRECT("SepR!$A$6:$ZZ$1048576"), MATCH(U$1, SepR!$6:$6, 0), FALSE),
            0
        ) +
        IFERROR(
            VLOOKUP($A24, INDIRECT("OctR!$A$6:$ZZ$1048576"), MATCH(U$1, OctR!$6:$6, 0), FALSE),
            0
        ) +
        IFERROR(
            VLOOKUP($A24, INDIRECT("NovR!$A$6:$ZZ$1048576"), MATCH(U$1, NovR!$6:$6, 0), FALSE),
            0
        ) +
        IFERROR(
            VLOOKUP($A24, INDIRECT("DicR!$A$6:$ZZ$1048576"), MATCH(U$1, DicR!$6:$6, 0), FALSE),
            0
        )
)</f>
        <v>0</v>
      </c>
      <c r="V24" s="36">
        <f t="array" ref="V24">SUM(
    IFERROR(
            VLOOKUP($A24, INDIRECT("EneR!$A$6:$ZZ$1048576"), MATCH(V$1, EneR!$6:$6, 0), FALSE),
            0
        ) +
        IFERROR(
            VLOOKUP($A24, INDIRECT("FebR!$A$6:$ZZ$1048576"), MATCH(V$1, FebR!$6:$6, 0), FALSE),
            0
        ) +
        IFERROR(
            VLOOKUP($A24, INDIRECT("MarR!$A$6:$ZZ$1048576"), MATCH(V$1, MarR!$6:$6, 0), FALSE),
            0
        ) +
        IFERROR(
            VLOOKUP($A24, INDIRECT("AbrR!$A$6:$ZZ$1048576"), MATCH(V$1, AbrR!$6:$6, 0), FALSE),
            0
        ) +
        IFERROR(
            VLOOKUP($A24, INDIRECT("MayR!$A$6:$ZZ$1048576"), MATCH(V$1, MayR!$6:$6, 0), FALSE),
            0
        ) +
        IFERROR(
            VLOOKUP($A24, INDIRECT("JunR!$A$6:$ZZ$1048576"), MATCH(V$1, JunR!$6:$6, 0), FALSE),
            0
        ) +
        IFERROR(
            VLOOKUP($A24, INDIRECT("JulR!$A$6:$ZZ$1048576"), MATCH(V$1, JulR!$6:$6, 0), FALSE),
            0
        ) +
        IFERROR(
            VLOOKUP($A24, INDIRECT("AgoR!$A$6:$ZZ$1048576"), MATCH(V$1, AgoR!$6:$6, 0), FALSE),
            0
        ) +
        IFERROR(
            VLOOKUP($A24, INDIRECT("SepR!$A$6:$ZZ$1048576"), MATCH(V$1, SepR!$6:$6, 0), FALSE),
            0
        ) +
        IFERROR(
            VLOOKUP($A24, INDIRECT("OctR!$A$6:$ZZ$1048576"), MATCH(V$1, OctR!$6:$6, 0), FALSE),
            0
        ) +
        IFERROR(
            VLOOKUP($A24, INDIRECT("NovR!$A$6:$ZZ$1048576"), MATCH(V$1, NovR!$6:$6, 0), FALSE),
            0
        ) +
        IFERROR(
            VLOOKUP($A24, INDIRECT("DicR!$A$6:$ZZ$1048576"), MATCH(V$1, DicR!$6:$6, 0), FALSE),
            0
        )
)</f>
        <v>0</v>
      </c>
      <c r="W24" s="37">
        <f t="array" ref="W24">SUM(
    IFERROR(
            VLOOKUP($A24, INDIRECT("EneR!$A$6:$ZZ$1048576"), MATCH(W$1, EneR!$6:$6, 0), FALSE),
            0
        ) +
        IFERROR(
            VLOOKUP($A24, INDIRECT("FebR!$A$6:$ZZ$1048576"), MATCH(W$1, FebR!$6:$6, 0), FALSE),
            0
        ) +
        IFERROR(
            VLOOKUP($A24, INDIRECT("MarR!$A$6:$ZZ$1048576"), MATCH(W$1, MarR!$6:$6, 0), FALSE),
            0
        ) +
        IFERROR(
            VLOOKUP($A24, INDIRECT("AbrR!$A$6:$ZZ$1048576"), MATCH(W$1, AbrR!$6:$6, 0), FALSE),
            0
        ) +
        IFERROR(
            VLOOKUP($A24, INDIRECT("MayR!$A$6:$ZZ$1048576"), MATCH(W$1, MayR!$6:$6, 0), FALSE),
            0
        ) +
        IFERROR(
            VLOOKUP($A24, INDIRECT("JunR!$A$6:$ZZ$1048576"), MATCH(W$1, JunR!$6:$6, 0), FALSE),
            0
        ) +
        IFERROR(
            VLOOKUP($A24, INDIRECT("JulR!$A$6:$ZZ$1048576"), MATCH(W$1, JulR!$6:$6, 0), FALSE),
            0
        ) +
        IFERROR(
            VLOOKUP($A24, INDIRECT("AgoR!$A$6:$ZZ$1048576"), MATCH(W$1, AgoR!$6:$6, 0), FALSE),
            0
        ) +
        IFERROR(
            VLOOKUP($A24, INDIRECT("SepR!$A$6:$ZZ$1048576"), MATCH(W$1, SepR!$6:$6, 0), FALSE),
            0
        ) +
        IFERROR(
            VLOOKUP($A24, INDIRECT("OctR!$A$6:$ZZ$1048576"), MATCH(W$1, OctR!$6:$6, 0), FALSE),
            0
        ) +
        IFERROR(
            VLOOKUP($A24, INDIRECT("NovR!$A$6:$ZZ$1048576"), MATCH(W$1, NovR!$6:$6, 0), FALSE),
            0
        ) +
        IFERROR(
            VLOOKUP($A24, INDIRECT("DicR!$A$6:$ZZ$1048576"), MATCH(W$1, DicR!$6:$6, 0), FALSE),
            0
        )
)</f>
        <v>0</v>
      </c>
      <c r="X24" s="36">
        <f t="array" ref="X24">SUM(
    IFERROR(
            VLOOKUP($A24, INDIRECT("EneR!$A$6:$ZZ$1048576"), MATCH(X$1, EneR!$6:$6, 0), FALSE),
            0
        ) +
        IFERROR(
            VLOOKUP($A24, INDIRECT("FebR!$A$6:$ZZ$1048576"), MATCH(X$1, FebR!$6:$6, 0), FALSE),
            0
        ) +
        IFERROR(
            VLOOKUP($A24, INDIRECT("MarR!$A$6:$ZZ$1048576"), MATCH(X$1, MarR!$6:$6, 0), FALSE),
            0
        ) +
        IFERROR(
            VLOOKUP($A24, INDIRECT("AbrR!$A$6:$ZZ$1048576"), MATCH(X$1, AbrR!$6:$6, 0), FALSE),
            0
        ) +
        IFERROR(
            VLOOKUP($A24, INDIRECT("MayR!$A$6:$ZZ$1048576"), MATCH(X$1, MayR!$6:$6, 0), FALSE),
            0
        ) +
        IFERROR(
            VLOOKUP($A24, INDIRECT("JunR!$A$6:$ZZ$1048576"), MATCH(X$1, JunR!$6:$6, 0), FALSE),
            0
        ) +
        IFERROR(
            VLOOKUP($A24, INDIRECT("JulR!$A$6:$ZZ$1048576"), MATCH(X$1, JulR!$6:$6, 0), FALSE),
            0
        ) +
        IFERROR(
            VLOOKUP($A24, INDIRECT("AgoR!$A$6:$ZZ$1048576"), MATCH(X$1, AgoR!$6:$6, 0), FALSE),
            0
        ) +
        IFERROR(
            VLOOKUP($A24, INDIRECT("SepR!$A$6:$ZZ$1048576"), MATCH(X$1, SepR!$6:$6, 0), FALSE),
            0
        ) +
        IFERROR(
            VLOOKUP($A24, INDIRECT("OctR!$A$6:$ZZ$1048576"), MATCH(X$1, OctR!$6:$6, 0), FALSE),
            0
        ) +
        IFERROR(
            VLOOKUP($A24, INDIRECT("NovR!$A$6:$ZZ$1048576"), MATCH(X$1, NovR!$6:$6, 0), FALSE),
            0
        ) +
        IFERROR(
            VLOOKUP($A24, INDIRECT("DicR!$A$6:$ZZ$1048576"), MATCH(X$1, DicR!$6:$6, 0), FALSE),
            0
        )
)</f>
        <v>0</v>
      </c>
      <c r="Y24" s="37">
        <f t="array" ref="Y24">SUM(
    IFERROR(
            VLOOKUP($A24, INDIRECT("EneR!$A$6:$ZZ$1048576"), MATCH(Y$1, EneR!$6:$6, 0), FALSE),
            0
        ) +
        IFERROR(
            VLOOKUP($A24, INDIRECT("FebR!$A$6:$ZZ$1048576"), MATCH(Y$1, FebR!$6:$6, 0), FALSE),
            0
        ) +
        IFERROR(
            VLOOKUP($A24, INDIRECT("MarR!$A$6:$ZZ$1048576"), MATCH(Y$1, MarR!$6:$6, 0), FALSE),
            0
        ) +
        IFERROR(
            VLOOKUP($A24, INDIRECT("AbrR!$A$6:$ZZ$1048576"), MATCH(Y$1, AbrR!$6:$6, 0), FALSE),
            0
        ) +
        IFERROR(
            VLOOKUP($A24, INDIRECT("MayR!$A$6:$ZZ$1048576"), MATCH(Y$1, MayR!$6:$6, 0), FALSE),
            0
        ) +
        IFERROR(
            VLOOKUP($A24, INDIRECT("JunR!$A$6:$ZZ$1048576"), MATCH(Y$1, JunR!$6:$6, 0), FALSE),
            0
        ) +
        IFERROR(
            VLOOKUP($A24, INDIRECT("JulR!$A$6:$ZZ$1048576"), MATCH(Y$1, JulR!$6:$6, 0), FALSE),
            0
        ) +
        IFERROR(
            VLOOKUP($A24, INDIRECT("AgoR!$A$6:$ZZ$1048576"), MATCH(Y$1, AgoR!$6:$6, 0), FALSE),
            0
        ) +
        IFERROR(
            VLOOKUP($A24, INDIRECT("SepR!$A$6:$ZZ$1048576"), MATCH(Y$1, SepR!$6:$6, 0), FALSE),
            0
        ) +
        IFERROR(
            VLOOKUP($A24, INDIRECT("OctR!$A$6:$ZZ$1048576"), MATCH(Y$1, OctR!$6:$6, 0), FALSE),
            0
        ) +
        IFERROR(
            VLOOKUP($A24, INDIRECT("NovR!$A$6:$ZZ$1048576"), MATCH(Y$1, NovR!$6:$6, 0), FALSE),
            0
        ) +
        IFERROR(
            VLOOKUP($A24, INDIRECT("DicR!$A$6:$ZZ$1048576"), MATCH(Y$1, DicR!$6:$6, 0), FALSE),
            0
        )
)</f>
        <v>0</v>
      </c>
      <c r="Z24" s="36">
        <f t="array" ref="Z24">SUM(
    IFERROR(
            VLOOKUP($A24, INDIRECT("EneR!$A$6:$ZZ$1048576"), MATCH(Z$1, EneR!$6:$6, 0), FALSE),
            0
        ) +
        IFERROR(
            VLOOKUP($A24, INDIRECT("FebR!$A$6:$ZZ$1048576"), MATCH(Z$1, FebR!$6:$6, 0), FALSE),
            0
        ) +
        IFERROR(
            VLOOKUP($A24, INDIRECT("MarR!$A$6:$ZZ$1048576"), MATCH(Z$1, MarR!$6:$6, 0), FALSE),
            0
        ) +
        IFERROR(
            VLOOKUP($A24, INDIRECT("AbrR!$A$6:$ZZ$1048576"), MATCH(Z$1, AbrR!$6:$6, 0), FALSE),
            0
        ) +
        IFERROR(
            VLOOKUP($A24, INDIRECT("MayR!$A$6:$ZZ$1048576"), MATCH(Z$1, MayR!$6:$6, 0), FALSE),
            0
        ) +
        IFERROR(
            VLOOKUP($A24, INDIRECT("JunR!$A$6:$ZZ$1048576"), MATCH(Z$1, JunR!$6:$6, 0), FALSE),
            0
        ) +
        IFERROR(
            VLOOKUP($A24, INDIRECT("JulR!$A$6:$ZZ$1048576"), MATCH(Z$1, JulR!$6:$6, 0), FALSE),
            0
        ) +
        IFERROR(
            VLOOKUP($A24, INDIRECT("AgoR!$A$6:$ZZ$1048576"), MATCH(Z$1, AgoR!$6:$6, 0), FALSE),
            0
        ) +
        IFERROR(
            VLOOKUP($A24, INDIRECT("SepR!$A$6:$ZZ$1048576"), MATCH(Z$1, SepR!$6:$6, 0), FALSE),
            0
        ) +
        IFERROR(
            VLOOKUP($A24, INDIRECT("OctR!$A$6:$ZZ$1048576"), MATCH(Z$1, OctR!$6:$6, 0), FALSE),
            0
        ) +
        IFERROR(
            VLOOKUP($A24, INDIRECT("NovR!$A$6:$ZZ$1048576"), MATCH(Z$1, NovR!$6:$6, 0), FALSE),
            0
        ) +
        IFERROR(
            VLOOKUP($A24, INDIRECT("DicR!$A$6:$ZZ$1048576"), MATCH(Z$1, DicR!$6:$6, 0), FALSE),
            0
        )
)</f>
        <v>0</v>
      </c>
      <c r="AA24" s="37">
        <f t="array" ref="AA24">SUM(
    IFERROR(
            VLOOKUP($A24, INDIRECT("EneR!$A$6:$ZZ$1048576"), MATCH(AA$1, EneR!$6:$6, 0), FALSE),
            0
        ) +
        IFERROR(
            VLOOKUP($A24, INDIRECT("FebR!$A$6:$ZZ$1048576"), MATCH(AA$1, FebR!$6:$6, 0), FALSE),
            0
        ) +
        IFERROR(
            VLOOKUP($A24, INDIRECT("MarR!$A$6:$ZZ$1048576"), MATCH(AA$1, MarR!$6:$6, 0), FALSE),
            0
        ) +
        IFERROR(
            VLOOKUP($A24, INDIRECT("AbrR!$A$6:$ZZ$1048576"), MATCH(AA$1, AbrR!$6:$6, 0), FALSE),
            0
        ) +
        IFERROR(
            VLOOKUP($A24, INDIRECT("MayR!$A$6:$ZZ$1048576"), MATCH(AA$1, MayR!$6:$6, 0), FALSE),
            0
        ) +
        IFERROR(
            VLOOKUP($A24, INDIRECT("JunR!$A$6:$ZZ$1048576"), MATCH(AA$1, JunR!$6:$6, 0), FALSE),
            0
        ) +
        IFERROR(
            VLOOKUP($A24, INDIRECT("JulR!$A$6:$ZZ$1048576"), MATCH(AA$1, JulR!$6:$6, 0), FALSE),
            0
        ) +
        IFERROR(
            VLOOKUP($A24, INDIRECT("AgoR!$A$6:$ZZ$1048576"), MATCH(AA$1, AgoR!$6:$6, 0), FALSE),
            0
        ) +
        IFERROR(
            VLOOKUP($A24, INDIRECT("SepR!$A$6:$ZZ$1048576"), MATCH(AA$1, SepR!$6:$6, 0), FALSE),
            0
        ) +
        IFERROR(
            VLOOKUP($A24, INDIRECT("OctR!$A$6:$ZZ$1048576"), MATCH(AA$1, OctR!$6:$6, 0), FALSE),
            0
        ) +
        IFERROR(
            VLOOKUP($A24, INDIRECT("NovR!$A$6:$ZZ$1048576"), MATCH(AA$1, NovR!$6:$6, 0), FALSE),
            0
        ) +
        IFERROR(
            VLOOKUP($A24, INDIRECT("DicR!$A$6:$ZZ$1048576"), MATCH(AA$1, DicR!$6:$6, 0), FALSE),
            0
        )
)</f>
        <v>0</v>
      </c>
      <c r="AB24" s="36">
        <f t="array" ref="AB24">SUM(
    IFERROR(
            VLOOKUP($A24, INDIRECT("EneR!$A$6:$ZZ$1048576"), MATCH(AB$1, EneR!$6:$6, 0), FALSE),
            0
        ) +
        IFERROR(
            VLOOKUP($A24, INDIRECT("FebR!$A$6:$ZZ$1048576"), MATCH(AB$1, FebR!$6:$6, 0), FALSE),
            0
        ) +
        IFERROR(
            VLOOKUP($A24, INDIRECT("MarR!$A$6:$ZZ$1048576"), MATCH(AB$1, MarR!$6:$6, 0), FALSE),
            0
        ) +
        IFERROR(
            VLOOKUP($A24, INDIRECT("AbrR!$A$6:$ZZ$1048576"), MATCH(AB$1, AbrR!$6:$6, 0), FALSE),
            0
        ) +
        IFERROR(
            VLOOKUP($A24, INDIRECT("MayR!$A$6:$ZZ$1048576"), MATCH(AB$1, MayR!$6:$6, 0), FALSE),
            0
        ) +
        IFERROR(
            VLOOKUP($A24, INDIRECT("JunR!$A$6:$ZZ$1048576"), MATCH(AB$1, JunR!$6:$6, 0), FALSE),
            0
        ) +
        IFERROR(
            VLOOKUP($A24, INDIRECT("JulR!$A$6:$ZZ$1048576"), MATCH(AB$1, JulR!$6:$6, 0), FALSE),
            0
        ) +
        IFERROR(
            VLOOKUP($A24, INDIRECT("AgoR!$A$6:$ZZ$1048576"), MATCH(AB$1, AgoR!$6:$6, 0), FALSE),
            0
        ) +
        IFERROR(
            VLOOKUP($A24, INDIRECT("SepR!$A$6:$ZZ$1048576"), MATCH(AB$1, SepR!$6:$6, 0), FALSE),
            0
        ) +
        IFERROR(
            VLOOKUP($A24, INDIRECT("OctR!$A$6:$ZZ$1048576"), MATCH(AB$1, OctR!$6:$6, 0), FALSE),
            0
        ) +
        IFERROR(
            VLOOKUP($A24, INDIRECT("NovR!$A$6:$ZZ$1048576"), MATCH(AB$1, NovR!$6:$6, 0), FALSE),
            0
        ) +
        IFERROR(
            VLOOKUP($A24, INDIRECT("DicR!$A$6:$ZZ$1048576"), MATCH(AB$1, DicR!$6:$6, 0), FALSE),
            0
        )
)</f>
        <v>0</v>
      </c>
      <c r="AC24" s="37">
        <f t="array" ref="AC24">SUM(
    IFERROR(
            VLOOKUP($A24, INDIRECT("EneR!$A$6:$ZZ$1048576"), MATCH(AC$1, EneR!$6:$6, 0), FALSE),
            0
        ) +
        IFERROR(
            VLOOKUP($A24, INDIRECT("FebR!$A$6:$ZZ$1048576"), MATCH(AC$1, FebR!$6:$6, 0), FALSE),
            0
        ) +
        IFERROR(
            VLOOKUP($A24, INDIRECT("MarR!$A$6:$ZZ$1048576"), MATCH(AC$1, MarR!$6:$6, 0), FALSE),
            0
        ) +
        IFERROR(
            VLOOKUP($A24, INDIRECT("AbrR!$A$6:$ZZ$1048576"), MATCH(AC$1, AbrR!$6:$6, 0), FALSE),
            0
        ) +
        IFERROR(
            VLOOKUP($A24, INDIRECT("MayR!$A$6:$ZZ$1048576"), MATCH(AC$1, MayR!$6:$6, 0), FALSE),
            0
        ) +
        IFERROR(
            VLOOKUP($A24, INDIRECT("JunR!$A$6:$ZZ$1048576"), MATCH(AC$1, JunR!$6:$6, 0), FALSE),
            0
        ) +
        IFERROR(
            VLOOKUP($A24, INDIRECT("JulR!$A$6:$ZZ$1048576"), MATCH(AC$1, JulR!$6:$6, 0), FALSE),
            0
        ) +
        IFERROR(
            VLOOKUP($A24, INDIRECT("AgoR!$A$6:$ZZ$1048576"), MATCH(AC$1, AgoR!$6:$6, 0), FALSE),
            0
        ) +
        IFERROR(
            VLOOKUP($A24, INDIRECT("SepR!$A$6:$ZZ$1048576"), MATCH(AC$1, SepR!$6:$6, 0), FALSE),
            0
        ) +
        IFERROR(
            VLOOKUP($A24, INDIRECT("OctR!$A$6:$ZZ$1048576"), MATCH(AC$1, OctR!$6:$6, 0), FALSE),
            0
        ) +
        IFERROR(
            VLOOKUP($A24, INDIRECT("NovR!$A$6:$ZZ$1048576"), MATCH(AC$1, NovR!$6:$6, 0), FALSE),
            0
        ) +
        IFERROR(
            VLOOKUP($A24, INDIRECT("DicR!$A$6:$ZZ$1048576"), MATCH(AC$1, DicR!$6:$6, 0), FALSE),
            0
        )
)</f>
        <v>0</v>
      </c>
      <c r="AD24" s="36">
        <f t="array" ref="AD24">SUM(
    IFERROR(
            VLOOKUP($A24, INDIRECT("EneR!$A$6:$ZZ$1048576"), MATCH(AD$1, EneR!$6:$6, 0), FALSE),
            0
        ) +
        IFERROR(
            VLOOKUP($A24, INDIRECT("FebR!$A$6:$ZZ$1048576"), MATCH(AD$1, FebR!$6:$6, 0), FALSE),
            0
        ) +
        IFERROR(
            VLOOKUP($A24, INDIRECT("MarR!$A$6:$ZZ$1048576"), MATCH(AD$1, MarR!$6:$6, 0), FALSE),
            0
        ) +
        IFERROR(
            VLOOKUP($A24, INDIRECT("AbrR!$A$6:$ZZ$1048576"), MATCH(AD$1, AbrR!$6:$6, 0), FALSE),
            0
        ) +
        IFERROR(
            VLOOKUP($A24, INDIRECT("MayR!$A$6:$ZZ$1048576"), MATCH(AD$1, MayR!$6:$6, 0), FALSE),
            0
        ) +
        IFERROR(
            VLOOKUP($A24, INDIRECT("JunR!$A$6:$ZZ$1048576"), MATCH(AD$1, JunR!$6:$6, 0), FALSE),
            0
        ) +
        IFERROR(
            VLOOKUP($A24, INDIRECT("JulR!$A$6:$ZZ$1048576"), MATCH(AD$1, JulR!$6:$6, 0), FALSE),
            0
        ) +
        IFERROR(
            VLOOKUP($A24, INDIRECT("AgoR!$A$6:$ZZ$1048576"), MATCH(AD$1, AgoR!$6:$6, 0), FALSE),
            0
        ) +
        IFERROR(
            VLOOKUP($A24, INDIRECT("SepR!$A$6:$ZZ$1048576"), MATCH(AD$1, SepR!$6:$6, 0), FALSE),
            0
        ) +
        IFERROR(
            VLOOKUP($A24, INDIRECT("OctR!$A$6:$ZZ$1048576"), MATCH(AD$1, OctR!$6:$6, 0), FALSE),
            0
        ) +
        IFERROR(
            VLOOKUP($A24, INDIRECT("NovR!$A$6:$ZZ$1048576"), MATCH(AD$1, NovR!$6:$6, 0), FALSE),
            0
        ) +
        IFERROR(
            VLOOKUP($A24, INDIRECT("DicR!$A$6:$ZZ$1048576"), MATCH(AD$1, DicR!$6:$6, 0), FALSE),
            0
        )
)</f>
        <v>0</v>
      </c>
      <c r="AE24" s="37">
        <f t="array" ref="AE24">SUM(
    IFERROR(
            VLOOKUP($A24, INDIRECT("EneR!$A$6:$ZZ$1048576"), MATCH(AE$1, EneR!$6:$6, 0), FALSE),
            0
        ) +
        IFERROR(
            VLOOKUP($A24, INDIRECT("FebR!$A$6:$ZZ$1048576"), MATCH(AE$1, FebR!$6:$6, 0), FALSE),
            0
        ) +
        IFERROR(
            VLOOKUP($A24, INDIRECT("MarR!$A$6:$ZZ$1048576"), MATCH(AE$1, MarR!$6:$6, 0), FALSE),
            0
        ) +
        IFERROR(
            VLOOKUP($A24, INDIRECT("AbrR!$A$6:$ZZ$1048576"), MATCH(AE$1, AbrR!$6:$6, 0), FALSE),
            0
        ) +
        IFERROR(
            VLOOKUP($A24, INDIRECT("MayR!$A$6:$ZZ$1048576"), MATCH(AE$1, MayR!$6:$6, 0), FALSE),
            0
        ) +
        IFERROR(
            VLOOKUP($A24, INDIRECT("JunR!$A$6:$ZZ$1048576"), MATCH(AE$1, JunR!$6:$6, 0), FALSE),
            0
        ) +
        IFERROR(
            VLOOKUP($A24, INDIRECT("JulR!$A$6:$ZZ$1048576"), MATCH(AE$1, JulR!$6:$6, 0), FALSE),
            0
        ) +
        IFERROR(
            VLOOKUP($A24, INDIRECT("AgoR!$A$6:$ZZ$1048576"), MATCH(AE$1, AgoR!$6:$6, 0), FALSE),
            0
        ) +
        IFERROR(
            VLOOKUP($A24, INDIRECT("SepR!$A$6:$ZZ$1048576"), MATCH(AE$1, SepR!$6:$6, 0), FALSE),
            0
        ) +
        IFERROR(
            VLOOKUP($A24, INDIRECT("OctR!$A$6:$ZZ$1048576"), MATCH(AE$1, OctR!$6:$6, 0), FALSE),
            0
        ) +
        IFERROR(
            VLOOKUP($A24, INDIRECT("NovR!$A$6:$ZZ$1048576"), MATCH(AE$1, NovR!$6:$6, 0), FALSE),
            0
        ) +
        IFERROR(
            VLOOKUP($A24, INDIRECT("DicR!$A$6:$ZZ$1048576"), MATCH(AE$1, DicR!$6:$6, 0), FALSE),
            0
        )
)</f>
        <v>0</v>
      </c>
      <c r="AF24" s="36">
        <f t="array" ref="AF24">SUM(
    IFERROR(
            VLOOKUP($A24, INDIRECT("EneR!$A$6:$ZZ$1048576"), MATCH(AF$1, EneR!$6:$6, 0), FALSE),
            0
        ) +
        IFERROR(
            VLOOKUP($A24, INDIRECT("FebR!$A$6:$ZZ$1048576"), MATCH(AF$1, FebR!$6:$6, 0), FALSE),
            0
        ) +
        IFERROR(
            VLOOKUP($A24, INDIRECT("MarR!$A$6:$ZZ$1048576"), MATCH(AF$1, MarR!$6:$6, 0), FALSE),
            0
        ) +
        IFERROR(
            VLOOKUP($A24, INDIRECT("AbrR!$A$6:$ZZ$1048576"), MATCH(AF$1, AbrR!$6:$6, 0), FALSE),
            0
        ) +
        IFERROR(
            VLOOKUP($A24, INDIRECT("MayR!$A$6:$ZZ$1048576"), MATCH(AF$1, MayR!$6:$6, 0), FALSE),
            0
        ) +
        IFERROR(
            VLOOKUP($A24, INDIRECT("JunR!$A$6:$ZZ$1048576"), MATCH(AF$1, JunR!$6:$6, 0), FALSE),
            0
        ) +
        IFERROR(
            VLOOKUP($A24, INDIRECT("JulR!$A$6:$ZZ$1048576"), MATCH(AF$1, JulR!$6:$6, 0), FALSE),
            0
        ) +
        IFERROR(
            VLOOKUP($A24, INDIRECT("AgoR!$A$6:$ZZ$1048576"), MATCH(AF$1, AgoR!$6:$6, 0), FALSE),
            0
        ) +
        IFERROR(
            VLOOKUP($A24, INDIRECT("SepR!$A$6:$ZZ$1048576"), MATCH(AF$1, SepR!$6:$6, 0), FALSE),
            0
        ) +
        IFERROR(
            VLOOKUP($A24, INDIRECT("OctR!$A$6:$ZZ$1048576"), MATCH(AF$1, OctR!$6:$6, 0), FALSE),
            0
        ) +
        IFERROR(
            VLOOKUP($A24, INDIRECT("NovR!$A$6:$ZZ$1048576"), MATCH(AF$1, NovR!$6:$6, 0), FALSE),
            0
        ) +
        IFERROR(
            VLOOKUP($A24, INDIRECT("DicR!$A$6:$ZZ$1048576"), MATCH(AF$1, DicR!$6:$6, 0), FALSE),
            0
        )
)</f>
        <v>0</v>
      </c>
      <c r="AG24" s="37">
        <f t="array" ref="AG24">SUM(
    IFERROR(
            VLOOKUP($A24, INDIRECT("EneR!$A$6:$ZZ$1048576"), MATCH(AG$1, EneR!$6:$6, 0), FALSE),
            0
        ) +
        IFERROR(
            VLOOKUP($A24, INDIRECT("FebR!$A$6:$ZZ$1048576"), MATCH(AG$1, FebR!$6:$6, 0), FALSE),
            0
        ) +
        IFERROR(
            VLOOKUP($A24, INDIRECT("MarR!$A$6:$ZZ$1048576"), MATCH(AG$1, MarR!$6:$6, 0), FALSE),
            0
        ) +
        IFERROR(
            VLOOKUP($A24, INDIRECT("AbrR!$A$6:$ZZ$1048576"), MATCH(AG$1, AbrR!$6:$6, 0), FALSE),
            0
        ) +
        IFERROR(
            VLOOKUP($A24, INDIRECT("MayR!$A$6:$ZZ$1048576"), MATCH(AG$1, MayR!$6:$6, 0), FALSE),
            0
        ) +
        IFERROR(
            VLOOKUP($A24, INDIRECT("JunR!$A$6:$ZZ$1048576"), MATCH(AG$1, JunR!$6:$6, 0), FALSE),
            0
        ) +
        IFERROR(
            VLOOKUP($A24, INDIRECT("JulR!$A$6:$ZZ$1048576"), MATCH(AG$1, JulR!$6:$6, 0), FALSE),
            0
        ) +
        IFERROR(
            VLOOKUP($A24, INDIRECT("AgoR!$A$6:$ZZ$1048576"), MATCH(AG$1, AgoR!$6:$6, 0), FALSE),
            0
        ) +
        IFERROR(
            VLOOKUP($A24, INDIRECT("SepR!$A$6:$ZZ$1048576"), MATCH(AG$1, SepR!$6:$6, 0), FALSE),
            0
        ) +
        IFERROR(
            VLOOKUP($A24, INDIRECT("OctR!$A$6:$ZZ$1048576"), MATCH(AG$1, OctR!$6:$6, 0), FALSE),
            0
        ) +
        IFERROR(
            VLOOKUP($A24, INDIRECT("NovR!$A$6:$ZZ$1048576"), MATCH(AG$1, NovR!$6:$6, 0), FALSE),
            0
        ) +
        IFERROR(
            VLOOKUP($A24, INDIRECT("DicR!$A$6:$ZZ$1048576"), MATCH(AG$1, DicR!$6:$6, 0), FALSE),
            0
        )
)</f>
        <v>0</v>
      </c>
      <c r="AH24" s="36">
        <f t="array" ref="AH24">SUM(
    IFERROR(
            VLOOKUP($A24, INDIRECT("EneR!$A$6:$ZZ$1048576"), MATCH(AH$1, EneR!$6:$6, 0), FALSE),
            0
        ) +
        IFERROR(
            VLOOKUP($A24, INDIRECT("FebR!$A$6:$ZZ$1048576"), MATCH(AH$1, FebR!$6:$6, 0), FALSE),
            0
        ) +
        IFERROR(
            VLOOKUP($A24, INDIRECT("MarR!$A$6:$ZZ$1048576"), MATCH(AH$1, MarR!$6:$6, 0), FALSE),
            0
        ) +
        IFERROR(
            VLOOKUP($A24, INDIRECT("AbrR!$A$6:$ZZ$1048576"), MATCH(AH$1, AbrR!$6:$6, 0), FALSE),
            0
        ) +
        IFERROR(
            VLOOKUP($A24, INDIRECT("MayR!$A$6:$ZZ$1048576"), MATCH(AH$1, MayR!$6:$6, 0), FALSE),
            0
        ) +
        IFERROR(
            VLOOKUP($A24, INDIRECT("JunR!$A$6:$ZZ$1048576"), MATCH(AH$1, JunR!$6:$6, 0), FALSE),
            0
        ) +
        IFERROR(
            VLOOKUP($A24, INDIRECT("JulR!$A$6:$ZZ$1048576"), MATCH(AH$1, JulR!$6:$6, 0), FALSE),
            0
        ) +
        IFERROR(
            VLOOKUP($A24, INDIRECT("AgoR!$A$6:$ZZ$1048576"), MATCH(AH$1, AgoR!$6:$6, 0), FALSE),
            0
        ) +
        IFERROR(
            VLOOKUP($A24, INDIRECT("SepR!$A$6:$ZZ$1048576"), MATCH(AH$1, SepR!$6:$6, 0), FALSE),
            0
        ) +
        IFERROR(
            VLOOKUP($A24, INDIRECT("OctR!$A$6:$ZZ$1048576"), MATCH(AH$1, OctR!$6:$6, 0), FALSE),
            0
        ) +
        IFERROR(
            VLOOKUP($A24, INDIRECT("NovR!$A$6:$ZZ$1048576"), MATCH(AH$1, NovR!$6:$6, 0), FALSE),
            0
        ) +
        IFERROR(
            VLOOKUP($A24, INDIRECT("DicR!$A$6:$ZZ$1048576"), MATCH(AH$1, DicR!$6:$6, 0), FALSE),
            0
        )
)</f>
        <v>0</v>
      </c>
      <c r="AI24" s="37">
        <f t="array" ref="AI24">SUM(
    IFERROR(
            VLOOKUP($A24, INDIRECT("EneR!$A$6:$ZZ$1048576"), MATCH(AI$1, EneR!$6:$6, 0), FALSE),
            0
        ) +
        IFERROR(
            VLOOKUP($A24, INDIRECT("FebR!$A$6:$ZZ$1048576"), MATCH(AI$1, FebR!$6:$6, 0), FALSE),
            0
        ) +
        IFERROR(
            VLOOKUP($A24, INDIRECT("MarR!$A$6:$ZZ$1048576"), MATCH(AI$1, MarR!$6:$6, 0), FALSE),
            0
        ) +
        IFERROR(
            VLOOKUP($A24, INDIRECT("AbrR!$A$6:$ZZ$1048576"), MATCH(AI$1, AbrR!$6:$6, 0), FALSE),
            0
        ) +
        IFERROR(
            VLOOKUP($A24, INDIRECT("MayR!$A$6:$ZZ$1048576"), MATCH(AI$1, MayR!$6:$6, 0), FALSE),
            0
        ) +
        IFERROR(
            VLOOKUP($A24, INDIRECT("JunR!$A$6:$ZZ$1048576"), MATCH(AI$1, JunR!$6:$6, 0), FALSE),
            0
        ) +
        IFERROR(
            VLOOKUP($A24, INDIRECT("JulR!$A$6:$ZZ$1048576"), MATCH(AI$1, JulR!$6:$6, 0), FALSE),
            0
        ) +
        IFERROR(
            VLOOKUP($A24, INDIRECT("AgoR!$A$6:$ZZ$1048576"), MATCH(AI$1, AgoR!$6:$6, 0), FALSE),
            0
        ) +
        IFERROR(
            VLOOKUP($A24, INDIRECT("SepR!$A$6:$ZZ$1048576"), MATCH(AI$1, SepR!$6:$6, 0), FALSE),
            0
        ) +
        IFERROR(
            VLOOKUP($A24, INDIRECT("OctR!$A$6:$ZZ$1048576"), MATCH(AI$1, OctR!$6:$6, 0), FALSE),
            0
        ) +
        IFERROR(
            VLOOKUP($A24, INDIRECT("NovR!$A$6:$ZZ$1048576"), MATCH(AI$1, NovR!$6:$6, 0), FALSE),
            0
        ) +
        IFERROR(
            VLOOKUP($A24, INDIRECT("DicR!$A$6:$ZZ$1048576"), MATCH(AI$1, DicR!$6:$6, 0), FALSE),
            0
        )
)</f>
        <v>0</v>
      </c>
      <c r="AJ24" s="36">
        <f t="array" ref="AJ24">SUM(
    IFERROR(
            VLOOKUP($A24, INDIRECT("EneR!$A$6:$ZZ$1048576"), MATCH(AJ$1, EneR!$6:$6, 0), FALSE),
            0
        ) +
        IFERROR(
            VLOOKUP($A24, INDIRECT("FebR!$A$6:$ZZ$1048576"), MATCH(AJ$1, FebR!$6:$6, 0), FALSE),
            0
        ) +
        IFERROR(
            VLOOKUP($A24, INDIRECT("MarR!$A$6:$ZZ$1048576"), MATCH(AJ$1, MarR!$6:$6, 0), FALSE),
            0
        ) +
        IFERROR(
            VLOOKUP($A24, INDIRECT("AbrR!$A$6:$ZZ$1048576"), MATCH(AJ$1, AbrR!$6:$6, 0), FALSE),
            0
        ) +
        IFERROR(
            VLOOKUP($A24, INDIRECT("MayR!$A$6:$ZZ$1048576"), MATCH(AJ$1, MayR!$6:$6, 0), FALSE),
            0
        ) +
        IFERROR(
            VLOOKUP($A24, INDIRECT("JunR!$A$6:$ZZ$1048576"), MATCH(AJ$1, JunR!$6:$6, 0), FALSE),
            0
        ) +
        IFERROR(
            VLOOKUP($A24, INDIRECT("JulR!$A$6:$ZZ$1048576"), MATCH(AJ$1, JulR!$6:$6, 0), FALSE),
            0
        ) +
        IFERROR(
            VLOOKUP($A24, INDIRECT("AgoR!$A$6:$ZZ$1048576"), MATCH(AJ$1, AgoR!$6:$6, 0), FALSE),
            0
        ) +
        IFERROR(
            VLOOKUP($A24, INDIRECT("SepR!$A$6:$ZZ$1048576"), MATCH(AJ$1, SepR!$6:$6, 0), FALSE),
            0
        ) +
        IFERROR(
            VLOOKUP($A24, INDIRECT("OctR!$A$6:$ZZ$1048576"), MATCH(AJ$1, OctR!$6:$6, 0), FALSE),
            0
        ) +
        IFERROR(
            VLOOKUP($A24, INDIRECT("NovR!$A$6:$ZZ$1048576"), MATCH(AJ$1, NovR!$6:$6, 0), FALSE),
            0
        ) +
        IFERROR(
            VLOOKUP($A24, INDIRECT("DicR!$A$6:$ZZ$1048576"), MATCH(AJ$1, DicR!$6:$6, 0), FALSE),
            0
        )
)</f>
        <v>0</v>
      </c>
      <c r="AK24" s="37">
        <f t="array" ref="AK24">SUM(
    IFERROR(
            VLOOKUP($A24, INDIRECT("EneR!$A$6:$ZZ$1048576"), MATCH(AK$1, EneR!$6:$6, 0), FALSE),
            0
        ) +
        IFERROR(
            VLOOKUP($A24, INDIRECT("FebR!$A$6:$ZZ$1048576"), MATCH(AK$1, FebR!$6:$6, 0), FALSE),
            0
        ) +
        IFERROR(
            VLOOKUP($A24, INDIRECT("MarR!$A$6:$ZZ$1048576"), MATCH(AK$1, MarR!$6:$6, 0), FALSE),
            0
        ) +
        IFERROR(
            VLOOKUP($A24, INDIRECT("AbrR!$A$6:$ZZ$1048576"), MATCH(AK$1, AbrR!$6:$6, 0), FALSE),
            0
        ) +
        IFERROR(
            VLOOKUP($A24, INDIRECT("MayR!$A$6:$ZZ$1048576"), MATCH(AK$1, MayR!$6:$6, 0), FALSE),
            0
        ) +
        IFERROR(
            VLOOKUP($A24, INDIRECT("JunR!$A$6:$ZZ$1048576"), MATCH(AK$1, JunR!$6:$6, 0), FALSE),
            0
        ) +
        IFERROR(
            VLOOKUP($A24, INDIRECT("JulR!$A$6:$ZZ$1048576"), MATCH(AK$1, JulR!$6:$6, 0), FALSE),
            0
        ) +
        IFERROR(
            VLOOKUP($A24, INDIRECT("AgoR!$A$6:$ZZ$1048576"), MATCH(AK$1, AgoR!$6:$6, 0), FALSE),
            0
        ) +
        IFERROR(
            VLOOKUP($A24, INDIRECT("SepR!$A$6:$ZZ$1048576"), MATCH(AK$1, SepR!$6:$6, 0), FALSE),
            0
        ) +
        IFERROR(
            VLOOKUP($A24, INDIRECT("OctR!$A$6:$ZZ$1048576"), MATCH(AK$1, OctR!$6:$6, 0), FALSE),
            0
        ) +
        IFERROR(
            VLOOKUP($A24, INDIRECT("NovR!$A$6:$ZZ$1048576"), MATCH(AK$1, NovR!$6:$6, 0), FALSE),
            0
        ) +
        IFERROR(
            VLOOKUP($A24, INDIRECT("DicR!$A$6:$ZZ$1048576"), MATCH(AK$1, DicR!$6:$6, 0), FALSE),
            0
        )
)</f>
        <v>0</v>
      </c>
      <c r="AL24" s="36">
        <f t="array" ref="AL24">SUM(
    IFERROR(
            VLOOKUP($A24, INDIRECT("EneR!$A$6:$ZZ$1048576"), MATCH(AL$1, EneR!$6:$6, 0), FALSE),
            0
        ) +
        IFERROR(
            VLOOKUP($A24, INDIRECT("FebR!$A$6:$ZZ$1048576"), MATCH(AL$1, FebR!$6:$6, 0), FALSE),
            0
        ) +
        IFERROR(
            VLOOKUP($A24, INDIRECT("MarR!$A$6:$ZZ$1048576"), MATCH(AL$1, MarR!$6:$6, 0), FALSE),
            0
        ) +
        IFERROR(
            VLOOKUP($A24, INDIRECT("AbrR!$A$6:$ZZ$1048576"), MATCH(AL$1, AbrR!$6:$6, 0), FALSE),
            0
        ) +
        IFERROR(
            VLOOKUP($A24, INDIRECT("MayR!$A$6:$ZZ$1048576"), MATCH(AL$1, MayR!$6:$6, 0), FALSE),
            0
        ) +
        IFERROR(
            VLOOKUP($A24, INDIRECT("JunR!$A$6:$ZZ$1048576"), MATCH(AL$1, JunR!$6:$6, 0), FALSE),
            0
        ) +
        IFERROR(
            VLOOKUP($A24, INDIRECT("JulR!$A$6:$ZZ$1048576"), MATCH(AL$1, JulR!$6:$6, 0), FALSE),
            0
        ) +
        IFERROR(
            VLOOKUP($A24, INDIRECT("AgoR!$A$6:$ZZ$1048576"), MATCH(AL$1, AgoR!$6:$6, 0), FALSE),
            0
        ) +
        IFERROR(
            VLOOKUP($A24, INDIRECT("SepR!$A$6:$ZZ$1048576"), MATCH(AL$1, SepR!$6:$6, 0), FALSE),
            0
        ) +
        IFERROR(
            VLOOKUP($A24, INDIRECT("OctR!$A$6:$ZZ$1048576"), MATCH(AL$1, OctR!$6:$6, 0), FALSE),
            0
        ) +
        IFERROR(
            VLOOKUP($A24, INDIRECT("NovR!$A$6:$ZZ$1048576"), MATCH(AL$1, NovR!$6:$6, 0), FALSE),
            0
        ) +
        IFERROR(
            VLOOKUP($A24, INDIRECT("DicR!$A$6:$ZZ$1048576"), MATCH(AL$1, DicR!$6:$6, 0), FALSE),
            0
        )
)</f>
        <v>0</v>
      </c>
      <c r="AM24" s="37">
        <f t="array" ref="AM24">SUM(
    IFERROR(
            VLOOKUP($A24, INDIRECT("EneR!$A$6:$ZZ$1048576"), MATCH(AM$1, EneR!$6:$6, 0), FALSE),
            0
        ) +
        IFERROR(
            VLOOKUP($A24, INDIRECT("FebR!$A$6:$ZZ$1048576"), MATCH(AM$1, FebR!$6:$6, 0), FALSE),
            0
        ) +
        IFERROR(
            VLOOKUP($A24, INDIRECT("MarR!$A$6:$ZZ$1048576"), MATCH(AM$1, MarR!$6:$6, 0), FALSE),
            0
        ) +
        IFERROR(
            VLOOKUP($A24, INDIRECT("AbrR!$A$6:$ZZ$1048576"), MATCH(AM$1, AbrR!$6:$6, 0), FALSE),
            0
        ) +
        IFERROR(
            VLOOKUP($A24, INDIRECT("MayR!$A$6:$ZZ$1048576"), MATCH(AM$1, MayR!$6:$6, 0), FALSE),
            0
        ) +
        IFERROR(
            VLOOKUP($A24, INDIRECT("JunR!$A$6:$ZZ$1048576"), MATCH(AM$1, JunR!$6:$6, 0), FALSE),
            0
        ) +
        IFERROR(
            VLOOKUP($A24, INDIRECT("JulR!$A$6:$ZZ$1048576"), MATCH(AM$1, JulR!$6:$6, 0), FALSE),
            0
        ) +
        IFERROR(
            VLOOKUP($A24, INDIRECT("AgoR!$A$6:$ZZ$1048576"), MATCH(AM$1, AgoR!$6:$6, 0), FALSE),
            0
        ) +
        IFERROR(
            VLOOKUP($A24, INDIRECT("SepR!$A$6:$ZZ$1048576"), MATCH(AM$1, SepR!$6:$6, 0), FALSE),
            0
        ) +
        IFERROR(
            VLOOKUP($A24, INDIRECT("OctR!$A$6:$ZZ$1048576"), MATCH(AM$1, OctR!$6:$6, 0), FALSE),
            0
        ) +
        IFERROR(
            VLOOKUP($A24, INDIRECT("NovR!$A$6:$ZZ$1048576"), MATCH(AM$1, NovR!$6:$6, 0), FALSE),
            0
        ) +
        IFERROR(
            VLOOKUP($A24, INDIRECT("DicR!$A$6:$ZZ$1048576"), MATCH(AM$1, DicR!$6:$6, 0), FALSE),
            0
        )
)</f>
        <v>0</v>
      </c>
      <c r="AN24" s="36">
        <f t="array" ref="AN24">SUM(
    IFERROR(
            VLOOKUP($A24, INDIRECT("EneR!$A$6:$ZZ$1048576"), MATCH(AN$1, EneR!$6:$6, 0), FALSE),
            0
        ) +
        IFERROR(
            VLOOKUP($A24, INDIRECT("FebR!$A$6:$ZZ$1048576"), MATCH(AN$1, FebR!$6:$6, 0), FALSE),
            0
        ) +
        IFERROR(
            VLOOKUP($A24, INDIRECT("MarR!$A$6:$ZZ$1048576"), MATCH(AN$1, MarR!$6:$6, 0), FALSE),
            0
        ) +
        IFERROR(
            VLOOKUP($A24, INDIRECT("AbrR!$A$6:$ZZ$1048576"), MATCH(AN$1, AbrR!$6:$6, 0), FALSE),
            0
        ) +
        IFERROR(
            VLOOKUP($A24, INDIRECT("MayR!$A$6:$ZZ$1048576"), MATCH(AN$1, MayR!$6:$6, 0), FALSE),
            0
        ) +
        IFERROR(
            VLOOKUP($A24, INDIRECT("JunR!$A$6:$ZZ$1048576"), MATCH(AN$1, JunR!$6:$6, 0), FALSE),
            0
        ) +
        IFERROR(
            VLOOKUP($A24, INDIRECT("JulR!$A$6:$ZZ$1048576"), MATCH(AN$1, JulR!$6:$6, 0), FALSE),
            0
        ) +
        IFERROR(
            VLOOKUP($A24, INDIRECT("AgoR!$A$6:$ZZ$1048576"), MATCH(AN$1, AgoR!$6:$6, 0), FALSE),
            0
        ) +
        IFERROR(
            VLOOKUP($A24, INDIRECT("SepR!$A$6:$ZZ$1048576"), MATCH(AN$1, SepR!$6:$6, 0), FALSE),
            0
        ) +
        IFERROR(
            VLOOKUP($A24, INDIRECT("OctR!$A$6:$ZZ$1048576"), MATCH(AN$1, OctR!$6:$6, 0), FALSE),
            0
        ) +
        IFERROR(
            VLOOKUP($A24, INDIRECT("NovR!$A$6:$ZZ$1048576"), MATCH(AN$1, NovR!$6:$6, 0), FALSE),
            0
        ) +
        IFERROR(
            VLOOKUP($A24, INDIRECT("DicR!$A$6:$ZZ$1048576"), MATCH(AN$1, DicR!$6:$6, 0), FALSE),
            0
        )
)</f>
        <v>0</v>
      </c>
      <c r="AO24" s="37">
        <f t="array" ref="AO24">SUM(
    IFERROR(
            VLOOKUP($A24, INDIRECT("EneR!$A$6:$ZZ$1048576"), MATCH(AO$1, EneR!$6:$6, 0), FALSE),
            0
        ) +
        IFERROR(
            VLOOKUP($A24, INDIRECT("FebR!$A$6:$ZZ$1048576"), MATCH(AO$1, FebR!$6:$6, 0), FALSE),
            0
        ) +
        IFERROR(
            VLOOKUP($A24, INDIRECT("MarR!$A$6:$ZZ$1048576"), MATCH(AO$1, MarR!$6:$6, 0), FALSE),
            0
        ) +
        IFERROR(
            VLOOKUP($A24, INDIRECT("AbrR!$A$6:$ZZ$1048576"), MATCH(AO$1, AbrR!$6:$6, 0), FALSE),
            0
        ) +
        IFERROR(
            VLOOKUP($A24, INDIRECT("MayR!$A$6:$ZZ$1048576"), MATCH(AO$1, MayR!$6:$6, 0), FALSE),
            0
        ) +
        IFERROR(
            VLOOKUP($A24, INDIRECT("JunR!$A$6:$ZZ$1048576"), MATCH(AO$1, JunR!$6:$6, 0), FALSE),
            0
        ) +
        IFERROR(
            VLOOKUP($A24, INDIRECT("JulR!$A$6:$ZZ$1048576"), MATCH(AO$1, JulR!$6:$6, 0), FALSE),
            0
        ) +
        IFERROR(
            VLOOKUP($A24, INDIRECT("AgoR!$A$6:$ZZ$1048576"), MATCH(AO$1, AgoR!$6:$6, 0), FALSE),
            0
        ) +
        IFERROR(
            VLOOKUP($A24, INDIRECT("SepR!$A$6:$ZZ$1048576"), MATCH(AO$1, SepR!$6:$6, 0), FALSE),
            0
        ) +
        IFERROR(
            VLOOKUP($A24, INDIRECT("OctR!$A$6:$ZZ$1048576"), MATCH(AO$1, OctR!$6:$6, 0), FALSE),
            0
        ) +
        IFERROR(
            VLOOKUP($A24, INDIRECT("NovR!$A$6:$ZZ$1048576"), MATCH(AO$1, NovR!$6:$6, 0), FALSE),
            0
        ) +
        IFERROR(
            VLOOKUP($A24, INDIRECT("DicR!$A$6:$ZZ$1048576"), MATCH(AO$1, DicR!$6:$6, 0), FALSE),
            0
        )
)</f>
        <v>0</v>
      </c>
      <c r="AP24" s="36">
        <f t="array" ref="AP24">SUM(
    IFERROR(
            VLOOKUP($A24, INDIRECT("EneR!$A$6:$ZZ$1048576"), MATCH(AP$1, EneR!$6:$6, 0), FALSE),
            0
        ) +
        IFERROR(
            VLOOKUP($A24, INDIRECT("FebR!$A$6:$ZZ$1048576"), MATCH(AP$1, FebR!$6:$6, 0), FALSE),
            0
        ) +
        IFERROR(
            VLOOKUP($A24, INDIRECT("MarR!$A$6:$ZZ$1048576"), MATCH(AP$1, MarR!$6:$6, 0), FALSE),
            0
        ) +
        IFERROR(
            VLOOKUP($A24, INDIRECT("AbrR!$A$6:$ZZ$1048576"), MATCH(AP$1, AbrR!$6:$6, 0), FALSE),
            0
        ) +
        IFERROR(
            VLOOKUP($A24, INDIRECT("MayR!$A$6:$ZZ$1048576"), MATCH(AP$1, MayR!$6:$6, 0), FALSE),
            0
        ) +
        IFERROR(
            VLOOKUP($A24, INDIRECT("JunR!$A$6:$ZZ$1048576"), MATCH(AP$1, JunR!$6:$6, 0), FALSE),
            0
        ) +
        IFERROR(
            VLOOKUP($A24, INDIRECT("JulR!$A$6:$ZZ$1048576"), MATCH(AP$1, JulR!$6:$6, 0), FALSE),
            0
        ) +
        IFERROR(
            VLOOKUP($A24, INDIRECT("AgoR!$A$6:$ZZ$1048576"), MATCH(AP$1, AgoR!$6:$6, 0), FALSE),
            0
        ) +
        IFERROR(
            VLOOKUP($A24, INDIRECT("SepR!$A$6:$ZZ$1048576"), MATCH(AP$1, SepR!$6:$6, 0), FALSE),
            0
        ) +
        IFERROR(
            VLOOKUP($A24, INDIRECT("OctR!$A$6:$ZZ$1048576"), MATCH(AP$1, OctR!$6:$6, 0), FALSE),
            0
        ) +
        IFERROR(
            VLOOKUP($A24, INDIRECT("NovR!$A$6:$ZZ$1048576"), MATCH(AP$1, NovR!$6:$6, 0), FALSE),
            0
        ) +
        IFERROR(
            VLOOKUP($A24, INDIRECT("DicR!$A$6:$ZZ$1048576"), MATCH(AP$1, DicR!$6:$6, 0), FALSE),
            0
        )
)</f>
        <v>0</v>
      </c>
      <c r="AQ24" s="37">
        <f t="array" ref="AQ24">SUM(
    IFERROR(
            VLOOKUP($A24, INDIRECT("EneR!$A$6:$ZZ$1048576"), MATCH(AQ$1, EneR!$6:$6, 0), FALSE),
            0
        ) +
        IFERROR(
            VLOOKUP($A24, INDIRECT("FebR!$A$6:$ZZ$1048576"), MATCH(AQ$1, FebR!$6:$6, 0), FALSE),
            0
        ) +
        IFERROR(
            VLOOKUP($A24, INDIRECT("MarR!$A$6:$ZZ$1048576"), MATCH(AQ$1, MarR!$6:$6, 0), FALSE),
            0
        ) +
        IFERROR(
            VLOOKUP($A24, INDIRECT("AbrR!$A$6:$ZZ$1048576"), MATCH(AQ$1, AbrR!$6:$6, 0), FALSE),
            0
        ) +
        IFERROR(
            VLOOKUP($A24, INDIRECT("MayR!$A$6:$ZZ$1048576"), MATCH(AQ$1, MayR!$6:$6, 0), FALSE),
            0
        ) +
        IFERROR(
            VLOOKUP($A24, INDIRECT("JunR!$A$6:$ZZ$1048576"), MATCH(AQ$1, JunR!$6:$6, 0), FALSE),
            0
        ) +
        IFERROR(
            VLOOKUP($A24, INDIRECT("JulR!$A$6:$ZZ$1048576"), MATCH(AQ$1, JulR!$6:$6, 0), FALSE),
            0
        ) +
        IFERROR(
            VLOOKUP($A24, INDIRECT("AgoR!$A$6:$ZZ$1048576"), MATCH(AQ$1, AgoR!$6:$6, 0), FALSE),
            0
        ) +
        IFERROR(
            VLOOKUP($A24, INDIRECT("SepR!$A$6:$ZZ$1048576"), MATCH(AQ$1, SepR!$6:$6, 0), FALSE),
            0
        ) +
        IFERROR(
            VLOOKUP($A24, INDIRECT("OctR!$A$6:$ZZ$1048576"), MATCH(AQ$1, OctR!$6:$6, 0), FALSE),
            0
        ) +
        IFERROR(
            VLOOKUP($A24, INDIRECT("NovR!$A$6:$ZZ$1048576"), MATCH(AQ$1, NovR!$6:$6, 0), FALSE),
            0
        ) +
        IFERROR(
            VLOOKUP($A24, INDIRECT("DicR!$A$6:$ZZ$1048576"), MATCH(AQ$1, DicR!$6:$6, 0), FALSE),
            0
        )
)</f>
        <v>0</v>
      </c>
      <c r="AR24" s="36">
        <f t="array" ref="AR24">SUM(
    IFERROR(
            VLOOKUP($A24, INDIRECT("EneR!$A$6:$ZZ$1048576"), MATCH(AR$1, EneR!$6:$6, 0), FALSE),
            0
        ) +
        IFERROR(
            VLOOKUP($A24, INDIRECT("FebR!$A$6:$ZZ$1048576"), MATCH(AR$1, FebR!$6:$6, 0), FALSE),
            0
        ) +
        IFERROR(
            VLOOKUP($A24, INDIRECT("MarR!$A$6:$ZZ$1048576"), MATCH(AR$1, MarR!$6:$6, 0), FALSE),
            0
        ) +
        IFERROR(
            VLOOKUP($A24, INDIRECT("AbrR!$A$6:$ZZ$1048576"), MATCH(AR$1, AbrR!$6:$6, 0), FALSE),
            0
        ) +
        IFERROR(
            VLOOKUP($A24, INDIRECT("MayR!$A$6:$ZZ$1048576"), MATCH(AR$1, MayR!$6:$6, 0), FALSE),
            0
        ) +
        IFERROR(
            VLOOKUP($A24, INDIRECT("JunR!$A$6:$ZZ$1048576"), MATCH(AR$1, JunR!$6:$6, 0), FALSE),
            0
        ) +
        IFERROR(
            VLOOKUP($A24, INDIRECT("JulR!$A$6:$ZZ$1048576"), MATCH(AR$1, JulR!$6:$6, 0), FALSE),
            0
        ) +
        IFERROR(
            VLOOKUP($A24, INDIRECT("AgoR!$A$6:$ZZ$1048576"), MATCH(AR$1, AgoR!$6:$6, 0), FALSE),
            0
        ) +
        IFERROR(
            VLOOKUP($A24, INDIRECT("SepR!$A$6:$ZZ$1048576"), MATCH(AR$1, SepR!$6:$6, 0), FALSE),
            0
        ) +
        IFERROR(
            VLOOKUP($A24, INDIRECT("OctR!$A$6:$ZZ$1048576"), MATCH(AR$1, OctR!$6:$6, 0), FALSE),
            0
        ) +
        IFERROR(
            VLOOKUP($A24, INDIRECT("NovR!$A$6:$ZZ$1048576"), MATCH(AR$1, NovR!$6:$6, 0), FALSE),
            0
        ) +
        IFERROR(
            VLOOKUP($A24, INDIRECT("DicR!$A$6:$ZZ$1048576"), MATCH(AR$1, DicR!$6:$6, 0), FALSE),
            0
        )
)</f>
        <v>0</v>
      </c>
      <c r="AS24" s="37">
        <f t="array" ref="AS24">SUM(
    IFERROR(
            VLOOKUP($A24, INDIRECT("EneR!$A$6:$ZZ$1048576"), MATCH(AS$1, EneR!$6:$6, 0), FALSE),
            0
        ) +
        IFERROR(
            VLOOKUP($A24, INDIRECT("FebR!$A$6:$ZZ$1048576"), MATCH(AS$1, FebR!$6:$6, 0), FALSE),
            0
        ) +
        IFERROR(
            VLOOKUP($A24, INDIRECT("MarR!$A$6:$ZZ$1048576"), MATCH(AS$1, MarR!$6:$6, 0), FALSE),
            0
        ) +
        IFERROR(
            VLOOKUP($A24, INDIRECT("AbrR!$A$6:$ZZ$1048576"), MATCH(AS$1, AbrR!$6:$6, 0), FALSE),
            0
        ) +
        IFERROR(
            VLOOKUP($A24, INDIRECT("MayR!$A$6:$ZZ$1048576"), MATCH(AS$1, MayR!$6:$6, 0), FALSE),
            0
        ) +
        IFERROR(
            VLOOKUP($A24, INDIRECT("JunR!$A$6:$ZZ$1048576"), MATCH(AS$1, JunR!$6:$6, 0), FALSE),
            0
        ) +
        IFERROR(
            VLOOKUP($A24, INDIRECT("JulR!$A$6:$ZZ$1048576"), MATCH(AS$1, JulR!$6:$6, 0), FALSE),
            0
        ) +
        IFERROR(
            VLOOKUP($A24, INDIRECT("AgoR!$A$6:$ZZ$1048576"), MATCH(AS$1, AgoR!$6:$6, 0), FALSE),
            0
        ) +
        IFERROR(
            VLOOKUP($A24, INDIRECT("SepR!$A$6:$ZZ$1048576"), MATCH(AS$1, SepR!$6:$6, 0), FALSE),
            0
        ) +
        IFERROR(
            VLOOKUP($A24, INDIRECT("OctR!$A$6:$ZZ$1048576"), MATCH(AS$1, OctR!$6:$6, 0), FALSE),
            0
        ) +
        IFERROR(
            VLOOKUP($A24, INDIRECT("NovR!$A$6:$ZZ$1048576"), MATCH(AS$1, NovR!$6:$6, 0), FALSE),
            0
        ) +
        IFERROR(
            VLOOKUP($A24, INDIRECT("DicR!$A$6:$ZZ$1048576"), MATCH(AS$1, DicR!$6:$6, 0), FALSE),
            0
        )
)</f>
        <v>0</v>
      </c>
      <c r="AT24" s="36">
        <f t="array" ref="AT24">SUM(
    IFERROR(
            VLOOKUP($A24, INDIRECT("EneR!$A$6:$ZZ$1048576"), MATCH(AT$1, EneR!$6:$6, 0), FALSE),
            0
        ) +
        IFERROR(
            VLOOKUP($A24, INDIRECT("FebR!$A$6:$ZZ$1048576"), MATCH(AT$1, FebR!$6:$6, 0), FALSE),
            0
        ) +
        IFERROR(
            VLOOKUP($A24, INDIRECT("MarR!$A$6:$ZZ$1048576"), MATCH(AT$1, MarR!$6:$6, 0), FALSE),
            0
        ) +
        IFERROR(
            VLOOKUP($A24, INDIRECT("AbrR!$A$6:$ZZ$1048576"), MATCH(AT$1, AbrR!$6:$6, 0), FALSE),
            0
        ) +
        IFERROR(
            VLOOKUP($A24, INDIRECT("MayR!$A$6:$ZZ$1048576"), MATCH(AT$1, MayR!$6:$6, 0), FALSE),
            0
        ) +
        IFERROR(
            VLOOKUP($A24, INDIRECT("JunR!$A$6:$ZZ$1048576"), MATCH(AT$1, JunR!$6:$6, 0), FALSE),
            0
        ) +
        IFERROR(
            VLOOKUP($A24, INDIRECT("JulR!$A$6:$ZZ$1048576"), MATCH(AT$1, JulR!$6:$6, 0), FALSE),
            0
        ) +
        IFERROR(
            VLOOKUP($A24, INDIRECT("AgoR!$A$6:$ZZ$1048576"), MATCH(AT$1, AgoR!$6:$6, 0), FALSE),
            0
        ) +
        IFERROR(
            VLOOKUP($A24, INDIRECT("SepR!$A$6:$ZZ$1048576"), MATCH(AT$1, SepR!$6:$6, 0), FALSE),
            0
        ) +
        IFERROR(
            VLOOKUP($A24, INDIRECT("OctR!$A$6:$ZZ$1048576"), MATCH(AT$1, OctR!$6:$6, 0), FALSE),
            0
        ) +
        IFERROR(
            VLOOKUP($A24, INDIRECT("NovR!$A$6:$ZZ$1048576"), MATCH(AT$1, NovR!$6:$6, 0), FALSE),
            0
        ) +
        IFERROR(
            VLOOKUP($A24, INDIRECT("DicR!$A$6:$ZZ$1048576"), MATCH(AT$1, DicR!$6:$6, 0), FALSE),
            0
        )
)</f>
        <v>0</v>
      </c>
      <c r="AU24" s="37">
        <f t="array" ref="AU24">SUM(
    IFERROR(
            VLOOKUP($A24, INDIRECT("EneR!$A$6:$ZZ$1048576"), MATCH(AU$1, EneR!$6:$6, 0), FALSE),
            0
        ) +
        IFERROR(
            VLOOKUP($A24, INDIRECT("FebR!$A$6:$ZZ$1048576"), MATCH(AU$1, FebR!$6:$6, 0), FALSE),
            0
        ) +
        IFERROR(
            VLOOKUP($A24, INDIRECT("MarR!$A$6:$ZZ$1048576"), MATCH(AU$1, MarR!$6:$6, 0), FALSE),
            0
        ) +
        IFERROR(
            VLOOKUP($A24, INDIRECT("AbrR!$A$6:$ZZ$1048576"), MATCH(AU$1, AbrR!$6:$6, 0), FALSE),
            0
        ) +
        IFERROR(
            VLOOKUP($A24, INDIRECT("MayR!$A$6:$ZZ$1048576"), MATCH(AU$1, MayR!$6:$6, 0), FALSE),
            0
        ) +
        IFERROR(
            VLOOKUP($A24, INDIRECT("JunR!$A$6:$ZZ$1048576"), MATCH(AU$1, JunR!$6:$6, 0), FALSE),
            0
        ) +
        IFERROR(
            VLOOKUP($A24, INDIRECT("JulR!$A$6:$ZZ$1048576"), MATCH(AU$1, JulR!$6:$6, 0), FALSE),
            0
        ) +
        IFERROR(
            VLOOKUP($A24, INDIRECT("AgoR!$A$6:$ZZ$1048576"), MATCH(AU$1, AgoR!$6:$6, 0), FALSE),
            0
        ) +
        IFERROR(
            VLOOKUP($A24, INDIRECT("SepR!$A$6:$ZZ$1048576"), MATCH(AU$1, SepR!$6:$6, 0), FALSE),
            0
        ) +
        IFERROR(
            VLOOKUP($A24, INDIRECT("OctR!$A$6:$ZZ$1048576"), MATCH(AU$1, OctR!$6:$6, 0), FALSE),
            0
        ) +
        IFERROR(
            VLOOKUP($A24, INDIRECT("NovR!$A$6:$ZZ$1048576"), MATCH(AU$1, NovR!$6:$6, 0), FALSE),
            0
        ) +
        IFERROR(
            VLOOKUP($A24, INDIRECT("DicR!$A$6:$ZZ$1048576"), MATCH(AU$1, DicR!$6:$6, 0), FALSE),
            0
        )
)</f>
        <v>0</v>
      </c>
      <c r="AV24" s="36">
        <f t="array" ref="AV24">SUM(
    IFERROR(
            VLOOKUP($A24, INDIRECT("EneR!$A$6:$ZZ$1048576"), MATCH(AV$1, EneR!$6:$6, 0), FALSE),
            0
        ) +
        IFERROR(
            VLOOKUP($A24, INDIRECT("FebR!$A$6:$ZZ$1048576"), MATCH(AV$1, FebR!$6:$6, 0), FALSE),
            0
        ) +
        IFERROR(
            VLOOKUP($A24, INDIRECT("MarR!$A$6:$ZZ$1048576"), MATCH(AV$1, MarR!$6:$6, 0), FALSE),
            0
        ) +
        IFERROR(
            VLOOKUP($A24, INDIRECT("AbrR!$A$6:$ZZ$1048576"), MATCH(AV$1, AbrR!$6:$6, 0), FALSE),
            0
        ) +
        IFERROR(
            VLOOKUP($A24, INDIRECT("MayR!$A$6:$ZZ$1048576"), MATCH(AV$1, MayR!$6:$6, 0), FALSE),
            0
        ) +
        IFERROR(
            VLOOKUP($A24, INDIRECT("JunR!$A$6:$ZZ$1048576"), MATCH(AV$1, JunR!$6:$6, 0), FALSE),
            0
        ) +
        IFERROR(
            VLOOKUP($A24, INDIRECT("JulR!$A$6:$ZZ$1048576"), MATCH(AV$1, JulR!$6:$6, 0), FALSE),
            0
        ) +
        IFERROR(
            VLOOKUP($A24, INDIRECT("AgoR!$A$6:$ZZ$1048576"), MATCH(AV$1, AgoR!$6:$6, 0), FALSE),
            0
        ) +
        IFERROR(
            VLOOKUP($A24, INDIRECT("SepR!$A$6:$ZZ$1048576"), MATCH(AV$1, SepR!$6:$6, 0), FALSE),
            0
        ) +
        IFERROR(
            VLOOKUP($A24, INDIRECT("OctR!$A$6:$ZZ$1048576"), MATCH(AV$1, OctR!$6:$6, 0), FALSE),
            0
        ) +
        IFERROR(
            VLOOKUP($A24, INDIRECT("NovR!$A$6:$ZZ$1048576"), MATCH(AV$1, NovR!$6:$6, 0), FALSE),
            0
        ) +
        IFERROR(
            VLOOKUP($A24, INDIRECT("DicR!$A$6:$ZZ$1048576"), MATCH(AV$1, DicR!$6:$6, 0), FALSE),
            0
        )
)</f>
        <v>0</v>
      </c>
      <c r="AW24" s="37">
        <f t="array" ref="AW24">SUM(
    IFERROR(
            VLOOKUP($A24, INDIRECT("EneR!$A$6:$ZZ$1048576"), MATCH(AW$1, EneR!$6:$6, 0), FALSE),
            0
        ) +
        IFERROR(
            VLOOKUP($A24, INDIRECT("FebR!$A$6:$ZZ$1048576"), MATCH(AW$1, FebR!$6:$6, 0), FALSE),
            0
        ) +
        IFERROR(
            VLOOKUP($A24, INDIRECT("MarR!$A$6:$ZZ$1048576"), MATCH(AW$1, MarR!$6:$6, 0), FALSE),
            0
        ) +
        IFERROR(
            VLOOKUP($A24, INDIRECT("AbrR!$A$6:$ZZ$1048576"), MATCH(AW$1, AbrR!$6:$6, 0), FALSE),
            0
        ) +
        IFERROR(
            VLOOKUP($A24, INDIRECT("MayR!$A$6:$ZZ$1048576"), MATCH(AW$1, MayR!$6:$6, 0), FALSE),
            0
        ) +
        IFERROR(
            VLOOKUP($A24, INDIRECT("JunR!$A$6:$ZZ$1048576"), MATCH(AW$1, JunR!$6:$6, 0), FALSE),
            0
        ) +
        IFERROR(
            VLOOKUP($A24, INDIRECT("JulR!$A$6:$ZZ$1048576"), MATCH(AW$1, JulR!$6:$6, 0), FALSE),
            0
        ) +
        IFERROR(
            VLOOKUP($A24, INDIRECT("AgoR!$A$6:$ZZ$1048576"), MATCH(AW$1, AgoR!$6:$6, 0), FALSE),
            0
        ) +
        IFERROR(
            VLOOKUP($A24, INDIRECT("SepR!$A$6:$ZZ$1048576"), MATCH(AW$1, SepR!$6:$6, 0), FALSE),
            0
        ) +
        IFERROR(
            VLOOKUP($A24, INDIRECT("OctR!$A$6:$ZZ$1048576"), MATCH(AW$1, OctR!$6:$6, 0), FALSE),
            0
        ) +
        IFERROR(
            VLOOKUP($A24, INDIRECT("NovR!$A$6:$ZZ$1048576"), MATCH(AW$1, NovR!$6:$6, 0), FALSE),
            0
        ) +
        IFERROR(
            VLOOKUP($A24, INDIRECT("DicR!$A$6:$ZZ$1048576"), MATCH(AW$1, DicR!$6:$6, 0), FALSE),
            0
        )
)</f>
        <v>0</v>
      </c>
      <c r="AX24" s="36">
        <f t="array" ref="AX24">SUM(
    IFERROR(
            VLOOKUP($A24, INDIRECT("EneR!$A$6:$ZZ$1048576"), MATCH(AX$1, EneR!$6:$6, 0), FALSE),
            0
        ) +
        IFERROR(
            VLOOKUP($A24, INDIRECT("FebR!$A$6:$ZZ$1048576"), MATCH(AX$1, FebR!$6:$6, 0), FALSE),
            0
        ) +
        IFERROR(
            VLOOKUP($A24, INDIRECT("MarR!$A$6:$ZZ$1048576"), MATCH(AX$1, MarR!$6:$6, 0), FALSE),
            0
        ) +
        IFERROR(
            VLOOKUP($A24, INDIRECT("AbrR!$A$6:$ZZ$1048576"), MATCH(AX$1, AbrR!$6:$6, 0), FALSE),
            0
        ) +
        IFERROR(
            VLOOKUP($A24, INDIRECT("MayR!$A$6:$ZZ$1048576"), MATCH(AX$1, MayR!$6:$6, 0), FALSE),
            0
        ) +
        IFERROR(
            VLOOKUP($A24, INDIRECT("JunR!$A$6:$ZZ$1048576"), MATCH(AX$1, JunR!$6:$6, 0), FALSE),
            0
        ) +
        IFERROR(
            VLOOKUP($A24, INDIRECT("JulR!$A$6:$ZZ$1048576"), MATCH(AX$1, JulR!$6:$6, 0), FALSE),
            0
        ) +
        IFERROR(
            VLOOKUP($A24, INDIRECT("AgoR!$A$6:$ZZ$1048576"), MATCH(AX$1, AgoR!$6:$6, 0), FALSE),
            0
        ) +
        IFERROR(
            VLOOKUP($A24, INDIRECT("SepR!$A$6:$ZZ$1048576"), MATCH(AX$1, SepR!$6:$6, 0), FALSE),
            0
        ) +
        IFERROR(
            VLOOKUP($A24, INDIRECT("OctR!$A$6:$ZZ$1048576"), MATCH(AX$1, OctR!$6:$6, 0), FALSE),
            0
        ) +
        IFERROR(
            VLOOKUP($A24, INDIRECT("NovR!$A$6:$ZZ$1048576"), MATCH(AX$1, NovR!$6:$6, 0), FALSE),
            0
        ) +
        IFERROR(
            VLOOKUP($A24, INDIRECT("DicR!$A$6:$ZZ$1048576"), MATCH(AX$1, DicR!$6:$6, 0), FALSE),
            0
        )
)</f>
        <v>0</v>
      </c>
      <c r="AY24" s="37">
        <f t="array" ref="AY24">SUM(
    IFERROR(
            VLOOKUP($A24, INDIRECT("EneR!$A$6:$ZZ$1048576"), MATCH(AY$1, EneR!$6:$6, 0), FALSE),
            0
        ) +
        IFERROR(
            VLOOKUP($A24, INDIRECT("FebR!$A$6:$ZZ$1048576"), MATCH(AY$1, FebR!$6:$6, 0), FALSE),
            0
        ) +
        IFERROR(
            VLOOKUP($A24, INDIRECT("MarR!$A$6:$ZZ$1048576"), MATCH(AY$1, MarR!$6:$6, 0), FALSE),
            0
        ) +
        IFERROR(
            VLOOKUP($A24, INDIRECT("AbrR!$A$6:$ZZ$1048576"), MATCH(AY$1, AbrR!$6:$6, 0), FALSE),
            0
        ) +
        IFERROR(
            VLOOKUP($A24, INDIRECT("MayR!$A$6:$ZZ$1048576"), MATCH(AY$1, MayR!$6:$6, 0), FALSE),
            0
        ) +
        IFERROR(
            VLOOKUP($A24, INDIRECT("JunR!$A$6:$ZZ$1048576"), MATCH(AY$1, JunR!$6:$6, 0), FALSE),
            0
        ) +
        IFERROR(
            VLOOKUP($A24, INDIRECT("JulR!$A$6:$ZZ$1048576"), MATCH(AY$1, JulR!$6:$6, 0), FALSE),
            0
        ) +
        IFERROR(
            VLOOKUP($A24, INDIRECT("AgoR!$A$6:$ZZ$1048576"), MATCH(AY$1, AgoR!$6:$6, 0), FALSE),
            0
        ) +
        IFERROR(
            VLOOKUP($A24, INDIRECT("SepR!$A$6:$ZZ$1048576"), MATCH(AY$1, SepR!$6:$6, 0), FALSE),
            0
        ) +
        IFERROR(
            VLOOKUP($A24, INDIRECT("OctR!$A$6:$ZZ$1048576"), MATCH(AY$1, OctR!$6:$6, 0), FALSE),
            0
        ) +
        IFERROR(
            VLOOKUP($A24, INDIRECT("NovR!$A$6:$ZZ$1048576"), MATCH(AY$1, NovR!$6:$6, 0), FALSE),
            0
        ) +
        IFERROR(
            VLOOKUP($A24, INDIRECT("DicR!$A$6:$ZZ$1048576"), MATCH(AY$1, DicR!$6:$6, 0), FALSE),
            0
        )
)</f>
        <v>0</v>
      </c>
      <c r="AZ24" s="37"/>
    </row>
    <row r="25" ht="15.75" customHeight="1">
      <c r="A25" s="12" t="str">
        <f>Menus!R17</f>
        <v/>
      </c>
      <c r="B25" s="32">
        <f t="shared" si="4"/>
        <v>0</v>
      </c>
      <c r="C25" s="33" t="str">
        <f t="shared" si="5"/>
        <v/>
      </c>
      <c r="D25" s="34">
        <f t="array" ref="D25">SUM(
    IFERROR(
            VLOOKUP($A25, INDIRECT("EneR!$A$6:$ZZ$1048576"), MATCH(D$1, EneR!$6:$6, 0), FALSE),
            0
        ) +
        IFERROR(
            VLOOKUP($A25, INDIRECT("FebR!$A$6:$ZZ$1048576"), MATCH(D$1, FebR!$6:$6, 0), FALSE),
            0
        ) +
        IFERROR(
            VLOOKUP($A25, INDIRECT("MarR!$A$6:$ZZ$1048576"), MATCH(D$1, MarR!$6:$6, 0), FALSE),
            0
        ) +
        IFERROR(
            VLOOKUP($A25, INDIRECT("AbrR!$A$6:$ZZ$1048576"), MATCH(D$1, AbrR!$6:$6, 0), FALSE),
            0
        ) +
        IFERROR(
            VLOOKUP($A25, INDIRECT("MayR!$A$6:$ZZ$1048576"), MATCH(D$1, MayR!$6:$6, 0), FALSE),
            0
        ) +
        IFERROR(
            VLOOKUP($A25, INDIRECT("JunR!$A$6:$ZZ$1048576"), MATCH(D$1, JunR!$6:$6, 0), FALSE),
            0
        ) +
        IFERROR(
            VLOOKUP($A25, INDIRECT("JulR!$A$6:$ZZ$1048576"), MATCH(D$1, JulR!$6:$6, 0), FALSE),
            0
        ) +
        IFERROR(
            VLOOKUP($A25, INDIRECT("AgoR!$A$6:$ZZ$1048576"), MATCH(D$1, AgoR!$6:$6, 0), FALSE),
            0
        ) +
        IFERROR(
            VLOOKUP($A25, INDIRECT("SepR!$A$6:$ZZ$1048576"), MATCH(D$1, SepR!$6:$6, 0), FALSE),
            0
        ) +
        IFERROR(
            VLOOKUP($A25, INDIRECT("OctR!$A$6:$ZZ$1048576"), MATCH(D$1, OctR!$6:$6, 0), FALSE),
            0
        ) +
        IFERROR(
            VLOOKUP($A25, INDIRECT("NovR!$A$6:$ZZ$1048576"), MATCH(D$1, NovR!$6:$6, 0), FALSE),
            0
        ) +
        IFERROR(
            VLOOKUP($A25, INDIRECT("DicR!$A$6:$ZZ$1048576"), MATCH(D$1, DicR!$6:$6, 0), FALSE),
            0
        )
)</f>
        <v>0</v>
      </c>
      <c r="E25" s="35">
        <f t="array" ref="E25">SUM(
    IFERROR(
            VLOOKUP($A25, INDIRECT("EneR!$A$6:$ZZ$1048576"), MATCH(E$1, EneR!$6:$6, 0), FALSE),
            0
        ) +
        IFERROR(
            VLOOKUP($A25, INDIRECT("FebR!$A$6:$ZZ$1048576"), MATCH(E$1, FebR!$6:$6, 0), FALSE),
            0
        ) +
        IFERROR(
            VLOOKUP($A25, INDIRECT("MarR!$A$6:$ZZ$1048576"), MATCH(E$1, MarR!$6:$6, 0), FALSE),
            0
        ) +
        IFERROR(
            VLOOKUP($A25, INDIRECT("AbrR!$A$6:$ZZ$1048576"), MATCH(E$1, AbrR!$6:$6, 0), FALSE),
            0
        ) +
        IFERROR(
            VLOOKUP($A25, INDIRECT("MayR!$A$6:$ZZ$1048576"), MATCH(E$1, MayR!$6:$6, 0), FALSE),
            0
        ) +
        IFERROR(
            VLOOKUP($A25, INDIRECT("JunR!$A$6:$ZZ$1048576"), MATCH(E$1, JunR!$6:$6, 0), FALSE),
            0
        ) +
        IFERROR(
            VLOOKUP($A25, INDIRECT("JulR!$A$6:$ZZ$1048576"), MATCH(E$1, JulR!$6:$6, 0), FALSE),
            0
        ) +
        IFERROR(
            VLOOKUP($A25, INDIRECT("AgoR!$A$6:$ZZ$1048576"), MATCH(E$1, AgoR!$6:$6, 0), FALSE),
            0
        ) +
        IFERROR(
            VLOOKUP($A25, INDIRECT("SepR!$A$6:$ZZ$1048576"), MATCH(E$1, SepR!$6:$6, 0), FALSE),
            0
        ) +
        IFERROR(
            VLOOKUP($A25, INDIRECT("OctR!$A$6:$ZZ$1048576"), MATCH(E$1, OctR!$6:$6, 0), FALSE),
            0
        ) +
        IFERROR(
            VLOOKUP($A25, INDIRECT("NovR!$A$6:$ZZ$1048576"), MATCH(E$1, NovR!$6:$6, 0), FALSE),
            0
        ) +
        IFERROR(
            VLOOKUP($A25, INDIRECT("DicR!$A$6:$ZZ$1048576"), MATCH(E$1, DicR!$6:$6, 0), FALSE),
            0
        )
)</f>
        <v>0</v>
      </c>
      <c r="F25" s="32">
        <f t="array" ref="F25">SUM(
    IFERROR(
            VLOOKUP($A25, INDIRECT("EneR!$A$6:$ZZ$1048576"), MATCH(F$1, EneR!$6:$6, 0), FALSE),
            0
        ) +
        IFERROR(
            VLOOKUP($A25, INDIRECT("FebR!$A$6:$ZZ$1048576"), MATCH(F$1, FebR!$6:$6, 0), FALSE),
            0
        ) +
        IFERROR(
            VLOOKUP($A25, INDIRECT("MarR!$A$6:$ZZ$1048576"), MATCH(F$1, MarR!$6:$6, 0), FALSE),
            0
        ) +
        IFERROR(
            VLOOKUP($A25, INDIRECT("AbrR!$A$6:$ZZ$1048576"), MATCH(F$1, AbrR!$6:$6, 0), FALSE),
            0
        ) +
        IFERROR(
            VLOOKUP($A25, INDIRECT("MayR!$A$6:$ZZ$1048576"), MATCH(F$1, MayR!$6:$6, 0), FALSE),
            0
        ) +
        IFERROR(
            VLOOKUP($A25, INDIRECT("JunR!$A$6:$ZZ$1048576"), MATCH(F$1, JunR!$6:$6, 0), FALSE),
            0
        ) +
        IFERROR(
            VLOOKUP($A25, INDIRECT("JulR!$A$6:$ZZ$1048576"), MATCH(F$1, JulR!$6:$6, 0), FALSE),
            0
        ) +
        IFERROR(
            VLOOKUP($A25, INDIRECT("AgoR!$A$6:$ZZ$1048576"), MATCH(F$1, AgoR!$6:$6, 0), FALSE),
            0
        ) +
        IFERROR(
            VLOOKUP($A25, INDIRECT("SepR!$A$6:$ZZ$1048576"), MATCH(F$1, SepR!$6:$6, 0), FALSE),
            0
        ) +
        IFERROR(
            VLOOKUP($A25, INDIRECT("OctR!$A$6:$ZZ$1048576"), MATCH(F$1, OctR!$6:$6, 0), FALSE),
            0
        ) +
        IFERROR(
            VLOOKUP($A25, INDIRECT("NovR!$A$6:$ZZ$1048576"), MATCH(F$1, NovR!$6:$6, 0), FALSE),
            0
        ) +
        IFERROR(
            VLOOKUP($A25, INDIRECT("DicR!$A$6:$ZZ$1048576"), MATCH(F$1, DicR!$6:$6, 0), FALSE),
            0
        )
)</f>
        <v>0</v>
      </c>
      <c r="G25" s="35">
        <f t="array" ref="G25">SUM(
    IFERROR(
            VLOOKUP($A25, INDIRECT("EneR!$A$6:$ZZ$1048576"), MATCH(G$1, EneR!$6:$6, 0), FALSE),
            0
        ) +
        IFERROR(
            VLOOKUP($A25, INDIRECT("FebR!$A$6:$ZZ$1048576"), MATCH(G$1, FebR!$6:$6, 0), FALSE),
            0
        ) +
        IFERROR(
            VLOOKUP($A25, INDIRECT("MarR!$A$6:$ZZ$1048576"), MATCH(G$1, MarR!$6:$6, 0), FALSE),
            0
        ) +
        IFERROR(
            VLOOKUP($A25, INDIRECT("AbrR!$A$6:$ZZ$1048576"), MATCH(G$1, AbrR!$6:$6, 0), FALSE),
            0
        ) +
        IFERROR(
            VLOOKUP($A25, INDIRECT("MayR!$A$6:$ZZ$1048576"), MATCH(G$1, MayR!$6:$6, 0), FALSE),
            0
        ) +
        IFERROR(
            VLOOKUP($A25, INDIRECT("JunR!$A$6:$ZZ$1048576"), MATCH(G$1, JunR!$6:$6, 0), FALSE),
            0
        ) +
        IFERROR(
            VLOOKUP($A25, INDIRECT("JulR!$A$6:$ZZ$1048576"), MATCH(G$1, JulR!$6:$6, 0), FALSE),
            0
        ) +
        IFERROR(
            VLOOKUP($A25, INDIRECT("AgoR!$A$6:$ZZ$1048576"), MATCH(G$1, AgoR!$6:$6, 0), FALSE),
            0
        ) +
        IFERROR(
            VLOOKUP($A25, INDIRECT("SepR!$A$6:$ZZ$1048576"), MATCH(G$1, SepR!$6:$6, 0), FALSE),
            0
        ) +
        IFERROR(
            VLOOKUP($A25, INDIRECT("OctR!$A$6:$ZZ$1048576"), MATCH(G$1, OctR!$6:$6, 0), FALSE),
            0
        ) +
        IFERROR(
            VLOOKUP($A25, INDIRECT("NovR!$A$6:$ZZ$1048576"), MATCH(G$1, NovR!$6:$6, 0), FALSE),
            0
        ) +
        IFERROR(
            VLOOKUP($A25, INDIRECT("DicR!$A$6:$ZZ$1048576"), MATCH(G$1, DicR!$6:$6, 0), FALSE),
            0
        )
)</f>
        <v>0</v>
      </c>
      <c r="H25" s="32">
        <f t="array" ref="H25">SUM(
    IFERROR(
            VLOOKUP($A25, INDIRECT("EneR!$A$6:$ZZ$1048576"), MATCH(H$1, EneR!$6:$6, 0), FALSE),
            0
        ) +
        IFERROR(
            VLOOKUP($A25, INDIRECT("FebR!$A$6:$ZZ$1048576"), MATCH(H$1, FebR!$6:$6, 0), FALSE),
            0
        ) +
        IFERROR(
            VLOOKUP($A25, INDIRECT("MarR!$A$6:$ZZ$1048576"), MATCH(H$1, MarR!$6:$6, 0), FALSE),
            0
        ) +
        IFERROR(
            VLOOKUP($A25, INDIRECT("AbrR!$A$6:$ZZ$1048576"), MATCH(H$1, AbrR!$6:$6, 0), FALSE),
            0
        ) +
        IFERROR(
            VLOOKUP($A25, INDIRECT("MayR!$A$6:$ZZ$1048576"), MATCH(H$1, MayR!$6:$6, 0), FALSE),
            0
        ) +
        IFERROR(
            VLOOKUP($A25, INDIRECT("JunR!$A$6:$ZZ$1048576"), MATCH(H$1, JunR!$6:$6, 0), FALSE),
            0
        ) +
        IFERROR(
            VLOOKUP($A25, INDIRECT("JulR!$A$6:$ZZ$1048576"), MATCH(H$1, JulR!$6:$6, 0), FALSE),
            0
        ) +
        IFERROR(
            VLOOKUP($A25, INDIRECT("AgoR!$A$6:$ZZ$1048576"), MATCH(H$1, AgoR!$6:$6, 0), FALSE),
            0
        ) +
        IFERROR(
            VLOOKUP($A25, INDIRECT("SepR!$A$6:$ZZ$1048576"), MATCH(H$1, SepR!$6:$6, 0), FALSE),
            0
        ) +
        IFERROR(
            VLOOKUP($A25, INDIRECT("OctR!$A$6:$ZZ$1048576"), MATCH(H$1, OctR!$6:$6, 0), FALSE),
            0
        ) +
        IFERROR(
            VLOOKUP($A25, INDIRECT("NovR!$A$6:$ZZ$1048576"), MATCH(H$1, NovR!$6:$6, 0), FALSE),
            0
        ) +
        IFERROR(
            VLOOKUP($A25, INDIRECT("DicR!$A$6:$ZZ$1048576"), MATCH(H$1, DicR!$6:$6, 0), FALSE),
            0
        )
)</f>
        <v>0</v>
      </c>
      <c r="I25" s="35">
        <f t="array" ref="I25">SUM(
    IFERROR(
            VLOOKUP($A25, INDIRECT("EneR!$A$6:$ZZ$1048576"), MATCH(I$1, EneR!$6:$6, 0), FALSE),
            0
        ) +
        IFERROR(
            VLOOKUP($A25, INDIRECT("FebR!$A$6:$ZZ$1048576"), MATCH(I$1, FebR!$6:$6, 0), FALSE),
            0
        ) +
        IFERROR(
            VLOOKUP($A25, INDIRECT("MarR!$A$6:$ZZ$1048576"), MATCH(I$1, MarR!$6:$6, 0), FALSE),
            0
        ) +
        IFERROR(
            VLOOKUP($A25, INDIRECT("AbrR!$A$6:$ZZ$1048576"), MATCH(I$1, AbrR!$6:$6, 0), FALSE),
            0
        ) +
        IFERROR(
            VLOOKUP($A25, INDIRECT("MayR!$A$6:$ZZ$1048576"), MATCH(I$1, MayR!$6:$6, 0), FALSE),
            0
        ) +
        IFERROR(
            VLOOKUP($A25, INDIRECT("JunR!$A$6:$ZZ$1048576"), MATCH(I$1, JunR!$6:$6, 0), FALSE),
            0
        ) +
        IFERROR(
            VLOOKUP($A25, INDIRECT("JulR!$A$6:$ZZ$1048576"), MATCH(I$1, JulR!$6:$6, 0), FALSE),
            0
        ) +
        IFERROR(
            VLOOKUP($A25, INDIRECT("AgoR!$A$6:$ZZ$1048576"), MATCH(I$1, AgoR!$6:$6, 0), FALSE),
            0
        ) +
        IFERROR(
            VLOOKUP($A25, INDIRECT("SepR!$A$6:$ZZ$1048576"), MATCH(I$1, SepR!$6:$6, 0), FALSE),
            0
        ) +
        IFERROR(
            VLOOKUP($A25, INDIRECT("OctR!$A$6:$ZZ$1048576"), MATCH(I$1, OctR!$6:$6, 0), FALSE),
            0
        ) +
        IFERROR(
            VLOOKUP($A25, INDIRECT("NovR!$A$6:$ZZ$1048576"), MATCH(I$1, NovR!$6:$6, 0), FALSE),
            0
        ) +
        IFERROR(
            VLOOKUP($A25, INDIRECT("DicR!$A$6:$ZZ$1048576"), MATCH(I$1, DicR!$6:$6, 0), FALSE),
            0
        )
)</f>
        <v>0</v>
      </c>
      <c r="J25" s="32">
        <f t="array" ref="J25">SUM(
    IFERROR(
            VLOOKUP($A25, INDIRECT("EneR!$A$6:$ZZ$1048576"), MATCH(J$1, EneR!$6:$6, 0), FALSE),
            0
        ) +
        IFERROR(
            VLOOKUP($A25, INDIRECT("FebR!$A$6:$ZZ$1048576"), MATCH(J$1, FebR!$6:$6, 0), FALSE),
            0
        ) +
        IFERROR(
            VLOOKUP($A25, INDIRECT("MarR!$A$6:$ZZ$1048576"), MATCH(J$1, MarR!$6:$6, 0), FALSE),
            0
        ) +
        IFERROR(
            VLOOKUP($A25, INDIRECT("AbrR!$A$6:$ZZ$1048576"), MATCH(J$1, AbrR!$6:$6, 0), FALSE),
            0
        ) +
        IFERROR(
            VLOOKUP($A25, INDIRECT("MayR!$A$6:$ZZ$1048576"), MATCH(J$1, MayR!$6:$6, 0), FALSE),
            0
        ) +
        IFERROR(
            VLOOKUP($A25, INDIRECT("JunR!$A$6:$ZZ$1048576"), MATCH(J$1, JunR!$6:$6, 0), FALSE),
            0
        ) +
        IFERROR(
            VLOOKUP($A25, INDIRECT("JulR!$A$6:$ZZ$1048576"), MATCH(J$1, JulR!$6:$6, 0), FALSE),
            0
        ) +
        IFERROR(
            VLOOKUP($A25, INDIRECT("AgoR!$A$6:$ZZ$1048576"), MATCH(J$1, AgoR!$6:$6, 0), FALSE),
            0
        ) +
        IFERROR(
            VLOOKUP($A25, INDIRECT("SepR!$A$6:$ZZ$1048576"), MATCH(J$1, SepR!$6:$6, 0), FALSE),
            0
        ) +
        IFERROR(
            VLOOKUP($A25, INDIRECT("OctR!$A$6:$ZZ$1048576"), MATCH(J$1, OctR!$6:$6, 0), FALSE),
            0
        ) +
        IFERROR(
            VLOOKUP($A25, INDIRECT("NovR!$A$6:$ZZ$1048576"), MATCH(J$1, NovR!$6:$6, 0), FALSE),
            0
        ) +
        IFERROR(
            VLOOKUP($A25, INDIRECT("DicR!$A$6:$ZZ$1048576"), MATCH(J$1, DicR!$6:$6, 0), FALSE),
            0
        )
)</f>
        <v>0</v>
      </c>
      <c r="K25" s="35">
        <f t="array" ref="K25">SUM(
    IFERROR(
            VLOOKUP($A25, INDIRECT("EneR!$A$6:$ZZ$1048576"), MATCH(K$1, EneR!$6:$6, 0), FALSE),
            0
        ) +
        IFERROR(
            VLOOKUP($A25, INDIRECT("FebR!$A$6:$ZZ$1048576"), MATCH(K$1, FebR!$6:$6, 0), FALSE),
            0
        ) +
        IFERROR(
            VLOOKUP($A25, INDIRECT("MarR!$A$6:$ZZ$1048576"), MATCH(K$1, MarR!$6:$6, 0), FALSE),
            0
        ) +
        IFERROR(
            VLOOKUP($A25, INDIRECT("AbrR!$A$6:$ZZ$1048576"), MATCH(K$1, AbrR!$6:$6, 0), FALSE),
            0
        ) +
        IFERROR(
            VLOOKUP($A25, INDIRECT("MayR!$A$6:$ZZ$1048576"), MATCH(K$1, MayR!$6:$6, 0), FALSE),
            0
        ) +
        IFERROR(
            VLOOKUP($A25, INDIRECT("JunR!$A$6:$ZZ$1048576"), MATCH(K$1, JunR!$6:$6, 0), FALSE),
            0
        ) +
        IFERROR(
            VLOOKUP($A25, INDIRECT("JulR!$A$6:$ZZ$1048576"), MATCH(K$1, JulR!$6:$6, 0), FALSE),
            0
        ) +
        IFERROR(
            VLOOKUP($A25, INDIRECT("AgoR!$A$6:$ZZ$1048576"), MATCH(K$1, AgoR!$6:$6, 0), FALSE),
            0
        ) +
        IFERROR(
            VLOOKUP($A25, INDIRECT("SepR!$A$6:$ZZ$1048576"), MATCH(K$1, SepR!$6:$6, 0), FALSE),
            0
        ) +
        IFERROR(
            VLOOKUP($A25, INDIRECT("OctR!$A$6:$ZZ$1048576"), MATCH(K$1, OctR!$6:$6, 0), FALSE),
            0
        ) +
        IFERROR(
            VLOOKUP($A25, INDIRECT("NovR!$A$6:$ZZ$1048576"), MATCH(K$1, NovR!$6:$6, 0), FALSE),
            0
        ) +
        IFERROR(
            VLOOKUP($A25, INDIRECT("DicR!$A$6:$ZZ$1048576"), MATCH(K$1, DicR!$6:$6, 0), FALSE),
            0
        )
)</f>
        <v>0</v>
      </c>
      <c r="L25" s="32">
        <f t="array" ref="L25">SUM(
    IFERROR(
            VLOOKUP($A25, INDIRECT("EneR!$A$6:$ZZ$1048576"), MATCH(L$1, EneR!$6:$6, 0), FALSE),
            0
        ) +
        IFERROR(
            VLOOKUP($A25, INDIRECT("FebR!$A$6:$ZZ$1048576"), MATCH(L$1, FebR!$6:$6, 0), FALSE),
            0
        ) +
        IFERROR(
            VLOOKUP($A25, INDIRECT("MarR!$A$6:$ZZ$1048576"), MATCH(L$1, MarR!$6:$6, 0), FALSE),
            0
        ) +
        IFERROR(
            VLOOKUP($A25, INDIRECT("AbrR!$A$6:$ZZ$1048576"), MATCH(L$1, AbrR!$6:$6, 0), FALSE),
            0
        ) +
        IFERROR(
            VLOOKUP($A25, INDIRECT("MayR!$A$6:$ZZ$1048576"), MATCH(L$1, MayR!$6:$6, 0), FALSE),
            0
        ) +
        IFERROR(
            VLOOKUP($A25, INDIRECT("JunR!$A$6:$ZZ$1048576"), MATCH(L$1, JunR!$6:$6, 0), FALSE),
            0
        ) +
        IFERROR(
            VLOOKUP($A25, INDIRECT("JulR!$A$6:$ZZ$1048576"), MATCH(L$1, JulR!$6:$6, 0), FALSE),
            0
        ) +
        IFERROR(
            VLOOKUP($A25, INDIRECT("AgoR!$A$6:$ZZ$1048576"), MATCH(L$1, AgoR!$6:$6, 0), FALSE),
            0
        ) +
        IFERROR(
            VLOOKUP($A25, INDIRECT("SepR!$A$6:$ZZ$1048576"), MATCH(L$1, SepR!$6:$6, 0), FALSE),
            0
        ) +
        IFERROR(
            VLOOKUP($A25, INDIRECT("OctR!$A$6:$ZZ$1048576"), MATCH(L$1, OctR!$6:$6, 0), FALSE),
            0
        ) +
        IFERROR(
            VLOOKUP($A25, INDIRECT("NovR!$A$6:$ZZ$1048576"), MATCH(L$1, NovR!$6:$6, 0), FALSE),
            0
        ) +
        IFERROR(
            VLOOKUP($A25, INDIRECT("DicR!$A$6:$ZZ$1048576"), MATCH(L$1, DicR!$6:$6, 0), FALSE),
            0
        )
)</f>
        <v>0</v>
      </c>
      <c r="M25" s="35">
        <f t="array" ref="M25">SUM(
    IFERROR(
            VLOOKUP($A25, INDIRECT("EneR!$A$6:$ZZ$1048576"), MATCH(M$1, EneR!$6:$6, 0), FALSE),
            0
        ) +
        IFERROR(
            VLOOKUP($A25, INDIRECT("FebR!$A$6:$ZZ$1048576"), MATCH(M$1, FebR!$6:$6, 0), FALSE),
            0
        ) +
        IFERROR(
            VLOOKUP($A25, INDIRECT("MarR!$A$6:$ZZ$1048576"), MATCH(M$1, MarR!$6:$6, 0), FALSE),
            0
        ) +
        IFERROR(
            VLOOKUP($A25, INDIRECT("AbrR!$A$6:$ZZ$1048576"), MATCH(M$1, AbrR!$6:$6, 0), FALSE),
            0
        ) +
        IFERROR(
            VLOOKUP($A25, INDIRECT("MayR!$A$6:$ZZ$1048576"), MATCH(M$1, MayR!$6:$6, 0), FALSE),
            0
        ) +
        IFERROR(
            VLOOKUP($A25, INDIRECT("JunR!$A$6:$ZZ$1048576"), MATCH(M$1, JunR!$6:$6, 0), FALSE),
            0
        ) +
        IFERROR(
            VLOOKUP($A25, INDIRECT("JulR!$A$6:$ZZ$1048576"), MATCH(M$1, JulR!$6:$6, 0), FALSE),
            0
        ) +
        IFERROR(
            VLOOKUP($A25, INDIRECT("AgoR!$A$6:$ZZ$1048576"), MATCH(M$1, AgoR!$6:$6, 0), FALSE),
            0
        ) +
        IFERROR(
            VLOOKUP($A25, INDIRECT("SepR!$A$6:$ZZ$1048576"), MATCH(M$1, SepR!$6:$6, 0), FALSE),
            0
        ) +
        IFERROR(
            VLOOKUP($A25, INDIRECT("OctR!$A$6:$ZZ$1048576"), MATCH(M$1, OctR!$6:$6, 0), FALSE),
            0
        ) +
        IFERROR(
            VLOOKUP($A25, INDIRECT("NovR!$A$6:$ZZ$1048576"), MATCH(M$1, NovR!$6:$6, 0), FALSE),
            0
        ) +
        IFERROR(
            VLOOKUP($A25, INDIRECT("DicR!$A$6:$ZZ$1048576"), MATCH(M$1, DicR!$6:$6, 0), FALSE),
            0
        )
)</f>
        <v>0</v>
      </c>
      <c r="N25" s="32">
        <f t="array" ref="N25">SUM(
    IFERROR(
            VLOOKUP($A25, INDIRECT("EneR!$A$6:$ZZ$1048576"), MATCH(N$1, EneR!$6:$6, 0), FALSE),
            0
        ) +
        IFERROR(
            VLOOKUP($A25, INDIRECT("FebR!$A$6:$ZZ$1048576"), MATCH(N$1, FebR!$6:$6, 0), FALSE),
            0
        ) +
        IFERROR(
            VLOOKUP($A25, INDIRECT("MarR!$A$6:$ZZ$1048576"), MATCH(N$1, MarR!$6:$6, 0), FALSE),
            0
        ) +
        IFERROR(
            VLOOKUP($A25, INDIRECT("AbrR!$A$6:$ZZ$1048576"), MATCH(N$1, AbrR!$6:$6, 0), FALSE),
            0
        ) +
        IFERROR(
            VLOOKUP($A25, INDIRECT("MayR!$A$6:$ZZ$1048576"), MATCH(N$1, MayR!$6:$6, 0), FALSE),
            0
        ) +
        IFERROR(
            VLOOKUP($A25, INDIRECT("JunR!$A$6:$ZZ$1048576"), MATCH(N$1, JunR!$6:$6, 0), FALSE),
            0
        ) +
        IFERROR(
            VLOOKUP($A25, INDIRECT("JulR!$A$6:$ZZ$1048576"), MATCH(N$1, JulR!$6:$6, 0), FALSE),
            0
        ) +
        IFERROR(
            VLOOKUP($A25, INDIRECT("AgoR!$A$6:$ZZ$1048576"), MATCH(N$1, AgoR!$6:$6, 0), FALSE),
            0
        ) +
        IFERROR(
            VLOOKUP($A25, INDIRECT("SepR!$A$6:$ZZ$1048576"), MATCH(N$1, SepR!$6:$6, 0), FALSE),
            0
        ) +
        IFERROR(
            VLOOKUP($A25, INDIRECT("OctR!$A$6:$ZZ$1048576"), MATCH(N$1, OctR!$6:$6, 0), FALSE),
            0
        ) +
        IFERROR(
            VLOOKUP($A25, INDIRECT("NovR!$A$6:$ZZ$1048576"), MATCH(N$1, NovR!$6:$6, 0), FALSE),
            0
        ) +
        IFERROR(
            VLOOKUP($A25, INDIRECT("DicR!$A$6:$ZZ$1048576"), MATCH(N$1, DicR!$6:$6, 0), FALSE),
            0
        )
)</f>
        <v>0</v>
      </c>
      <c r="O25" s="35">
        <f t="array" ref="O25">SUM(
    IFERROR(
            VLOOKUP($A25, INDIRECT("EneR!$A$6:$ZZ$1048576"), MATCH(O$1, EneR!$6:$6, 0), FALSE),
            0
        ) +
        IFERROR(
            VLOOKUP($A25, INDIRECT("FebR!$A$6:$ZZ$1048576"), MATCH(O$1, FebR!$6:$6, 0), FALSE),
            0
        ) +
        IFERROR(
            VLOOKUP($A25, INDIRECT("MarR!$A$6:$ZZ$1048576"), MATCH(O$1, MarR!$6:$6, 0), FALSE),
            0
        ) +
        IFERROR(
            VLOOKUP($A25, INDIRECT("AbrR!$A$6:$ZZ$1048576"), MATCH(O$1, AbrR!$6:$6, 0), FALSE),
            0
        ) +
        IFERROR(
            VLOOKUP($A25, INDIRECT("MayR!$A$6:$ZZ$1048576"), MATCH(O$1, MayR!$6:$6, 0), FALSE),
            0
        ) +
        IFERROR(
            VLOOKUP($A25, INDIRECT("JunR!$A$6:$ZZ$1048576"), MATCH(O$1, JunR!$6:$6, 0), FALSE),
            0
        ) +
        IFERROR(
            VLOOKUP($A25, INDIRECT("JulR!$A$6:$ZZ$1048576"), MATCH(O$1, JulR!$6:$6, 0), FALSE),
            0
        ) +
        IFERROR(
            VLOOKUP($A25, INDIRECT("AgoR!$A$6:$ZZ$1048576"), MATCH(O$1, AgoR!$6:$6, 0), FALSE),
            0
        ) +
        IFERROR(
            VLOOKUP($A25, INDIRECT("SepR!$A$6:$ZZ$1048576"), MATCH(O$1, SepR!$6:$6, 0), FALSE),
            0
        ) +
        IFERROR(
            VLOOKUP($A25, INDIRECT("OctR!$A$6:$ZZ$1048576"), MATCH(O$1, OctR!$6:$6, 0), FALSE),
            0
        ) +
        IFERROR(
            VLOOKUP($A25, INDIRECT("NovR!$A$6:$ZZ$1048576"), MATCH(O$1, NovR!$6:$6, 0), FALSE),
            0
        ) +
        IFERROR(
            VLOOKUP($A25, INDIRECT("DicR!$A$6:$ZZ$1048576"), MATCH(O$1, DicR!$6:$6, 0), FALSE),
            0
        )
)</f>
        <v>0</v>
      </c>
      <c r="P25" s="32">
        <f t="array" ref="P25">SUM(
    IFERROR(
            VLOOKUP($A25, INDIRECT("EneR!$A$6:$ZZ$1048576"), MATCH(P$1, EneR!$6:$6, 0), FALSE),
            0
        ) +
        IFERROR(
            VLOOKUP($A25, INDIRECT("FebR!$A$6:$ZZ$1048576"), MATCH(P$1, FebR!$6:$6, 0), FALSE),
            0
        ) +
        IFERROR(
            VLOOKUP($A25, INDIRECT("MarR!$A$6:$ZZ$1048576"), MATCH(P$1, MarR!$6:$6, 0), FALSE),
            0
        ) +
        IFERROR(
            VLOOKUP($A25, INDIRECT("AbrR!$A$6:$ZZ$1048576"), MATCH(P$1, AbrR!$6:$6, 0), FALSE),
            0
        ) +
        IFERROR(
            VLOOKUP($A25, INDIRECT("MayR!$A$6:$ZZ$1048576"), MATCH(P$1, MayR!$6:$6, 0), FALSE),
            0
        ) +
        IFERROR(
            VLOOKUP($A25, INDIRECT("JunR!$A$6:$ZZ$1048576"), MATCH(P$1, JunR!$6:$6, 0), FALSE),
            0
        ) +
        IFERROR(
            VLOOKUP($A25, INDIRECT("JulR!$A$6:$ZZ$1048576"), MATCH(P$1, JulR!$6:$6, 0), FALSE),
            0
        ) +
        IFERROR(
            VLOOKUP($A25, INDIRECT("AgoR!$A$6:$ZZ$1048576"), MATCH(P$1, AgoR!$6:$6, 0), FALSE),
            0
        ) +
        IFERROR(
            VLOOKUP($A25, INDIRECT("SepR!$A$6:$ZZ$1048576"), MATCH(P$1, SepR!$6:$6, 0), FALSE),
            0
        ) +
        IFERROR(
            VLOOKUP($A25, INDIRECT("OctR!$A$6:$ZZ$1048576"), MATCH(P$1, OctR!$6:$6, 0), FALSE),
            0
        ) +
        IFERROR(
            VLOOKUP($A25, INDIRECT("NovR!$A$6:$ZZ$1048576"), MATCH(P$1, NovR!$6:$6, 0), FALSE),
            0
        ) +
        IFERROR(
            VLOOKUP($A25, INDIRECT("DicR!$A$6:$ZZ$1048576"), MATCH(P$1, DicR!$6:$6, 0), FALSE),
            0
        )
)</f>
        <v>0</v>
      </c>
      <c r="Q25" s="35">
        <f t="array" ref="Q25">SUM(
    IFERROR(
            VLOOKUP($A25, INDIRECT("EneR!$A$6:$ZZ$1048576"), MATCH(Q$1, EneR!$6:$6, 0), FALSE),
            0
        ) +
        IFERROR(
            VLOOKUP($A25, INDIRECT("FebR!$A$6:$ZZ$1048576"), MATCH(Q$1, FebR!$6:$6, 0), FALSE),
            0
        ) +
        IFERROR(
            VLOOKUP($A25, INDIRECT("MarR!$A$6:$ZZ$1048576"), MATCH(Q$1, MarR!$6:$6, 0), FALSE),
            0
        ) +
        IFERROR(
            VLOOKUP($A25, INDIRECT("AbrR!$A$6:$ZZ$1048576"), MATCH(Q$1, AbrR!$6:$6, 0), FALSE),
            0
        ) +
        IFERROR(
            VLOOKUP($A25, INDIRECT("MayR!$A$6:$ZZ$1048576"), MATCH(Q$1, MayR!$6:$6, 0), FALSE),
            0
        ) +
        IFERROR(
            VLOOKUP($A25, INDIRECT("JunR!$A$6:$ZZ$1048576"), MATCH(Q$1, JunR!$6:$6, 0), FALSE),
            0
        ) +
        IFERROR(
            VLOOKUP($A25, INDIRECT("JulR!$A$6:$ZZ$1048576"), MATCH(Q$1, JulR!$6:$6, 0), FALSE),
            0
        ) +
        IFERROR(
            VLOOKUP($A25, INDIRECT("AgoR!$A$6:$ZZ$1048576"), MATCH(Q$1, AgoR!$6:$6, 0), FALSE),
            0
        ) +
        IFERROR(
            VLOOKUP($A25, INDIRECT("SepR!$A$6:$ZZ$1048576"), MATCH(Q$1, SepR!$6:$6, 0), FALSE),
            0
        ) +
        IFERROR(
            VLOOKUP($A25, INDIRECT("OctR!$A$6:$ZZ$1048576"), MATCH(Q$1, OctR!$6:$6, 0), FALSE),
            0
        ) +
        IFERROR(
            VLOOKUP($A25, INDIRECT("NovR!$A$6:$ZZ$1048576"), MATCH(Q$1, NovR!$6:$6, 0), FALSE),
            0
        ) +
        IFERROR(
            VLOOKUP($A25, INDIRECT("DicR!$A$6:$ZZ$1048576"), MATCH(Q$1, DicR!$6:$6, 0), FALSE),
            0
        )
)</f>
        <v>0</v>
      </c>
      <c r="R25" s="36">
        <f t="array" ref="R25">SUM(
    IFERROR(
            VLOOKUP($A25, INDIRECT("EneR!$A$6:$ZZ$1048576"), MATCH(R$1, EneR!$6:$6, 0), FALSE),
            0
        ) +
        IFERROR(
            VLOOKUP($A25, INDIRECT("FebR!$A$6:$ZZ$1048576"), MATCH(R$1, FebR!$6:$6, 0), FALSE),
            0
        ) +
        IFERROR(
            VLOOKUP($A25, INDIRECT("MarR!$A$6:$ZZ$1048576"), MATCH(R$1, MarR!$6:$6, 0), FALSE),
            0
        ) +
        IFERROR(
            VLOOKUP($A25, INDIRECT("AbrR!$A$6:$ZZ$1048576"), MATCH(R$1, AbrR!$6:$6, 0), FALSE),
            0
        ) +
        IFERROR(
            VLOOKUP($A25, INDIRECT("MayR!$A$6:$ZZ$1048576"), MATCH(R$1, MayR!$6:$6, 0), FALSE),
            0
        ) +
        IFERROR(
            VLOOKUP($A25, INDIRECT("JunR!$A$6:$ZZ$1048576"), MATCH(R$1, JunR!$6:$6, 0), FALSE),
            0
        ) +
        IFERROR(
            VLOOKUP($A25, INDIRECT("JulR!$A$6:$ZZ$1048576"), MATCH(R$1, JulR!$6:$6, 0), FALSE),
            0
        ) +
        IFERROR(
            VLOOKUP($A25, INDIRECT("AgoR!$A$6:$ZZ$1048576"), MATCH(R$1, AgoR!$6:$6, 0), FALSE),
            0
        ) +
        IFERROR(
            VLOOKUP($A25, INDIRECT("SepR!$A$6:$ZZ$1048576"), MATCH(R$1, SepR!$6:$6, 0), FALSE),
            0
        ) +
        IFERROR(
            VLOOKUP($A25, INDIRECT("OctR!$A$6:$ZZ$1048576"), MATCH(R$1, OctR!$6:$6, 0), FALSE),
            0
        ) +
        IFERROR(
            VLOOKUP($A25, INDIRECT("NovR!$A$6:$ZZ$1048576"), MATCH(R$1, NovR!$6:$6, 0), FALSE),
            0
        ) +
        IFERROR(
            VLOOKUP($A25, INDIRECT("DicR!$A$6:$ZZ$1048576"), MATCH(R$1, DicR!$6:$6, 0), FALSE),
            0
        )
)</f>
        <v>0</v>
      </c>
      <c r="S25" s="37">
        <f t="array" ref="S25">SUM(
    IFERROR(
            VLOOKUP($A25, INDIRECT("EneR!$A$6:$ZZ$1048576"), MATCH(S$1, EneR!$6:$6, 0), FALSE),
            0
        ) +
        IFERROR(
            VLOOKUP($A25, INDIRECT("FebR!$A$6:$ZZ$1048576"), MATCH(S$1, FebR!$6:$6, 0), FALSE),
            0
        ) +
        IFERROR(
            VLOOKUP($A25, INDIRECT("MarR!$A$6:$ZZ$1048576"), MATCH(S$1, MarR!$6:$6, 0), FALSE),
            0
        ) +
        IFERROR(
            VLOOKUP($A25, INDIRECT("AbrR!$A$6:$ZZ$1048576"), MATCH(S$1, AbrR!$6:$6, 0), FALSE),
            0
        ) +
        IFERROR(
            VLOOKUP($A25, INDIRECT("MayR!$A$6:$ZZ$1048576"), MATCH(S$1, MayR!$6:$6, 0), FALSE),
            0
        ) +
        IFERROR(
            VLOOKUP($A25, INDIRECT("JunR!$A$6:$ZZ$1048576"), MATCH(S$1, JunR!$6:$6, 0), FALSE),
            0
        ) +
        IFERROR(
            VLOOKUP($A25, INDIRECT("JulR!$A$6:$ZZ$1048576"), MATCH(S$1, JulR!$6:$6, 0), FALSE),
            0
        ) +
        IFERROR(
            VLOOKUP($A25, INDIRECT("AgoR!$A$6:$ZZ$1048576"), MATCH(S$1, AgoR!$6:$6, 0), FALSE),
            0
        ) +
        IFERROR(
            VLOOKUP($A25, INDIRECT("SepR!$A$6:$ZZ$1048576"), MATCH(S$1, SepR!$6:$6, 0), FALSE),
            0
        ) +
        IFERROR(
            VLOOKUP($A25, INDIRECT("OctR!$A$6:$ZZ$1048576"), MATCH(S$1, OctR!$6:$6, 0), FALSE),
            0
        ) +
        IFERROR(
            VLOOKUP($A25, INDIRECT("NovR!$A$6:$ZZ$1048576"), MATCH(S$1, NovR!$6:$6, 0), FALSE),
            0
        ) +
        IFERROR(
            VLOOKUP($A25, INDIRECT("DicR!$A$6:$ZZ$1048576"), MATCH(S$1, DicR!$6:$6, 0), FALSE),
            0
        )
)</f>
        <v>0</v>
      </c>
      <c r="T25" s="36">
        <f t="array" ref="T25">SUM(
    IFERROR(
            VLOOKUP($A25, INDIRECT("EneR!$A$6:$ZZ$1048576"), MATCH(T$1, EneR!$6:$6, 0), FALSE),
            0
        ) +
        IFERROR(
            VLOOKUP($A25, INDIRECT("FebR!$A$6:$ZZ$1048576"), MATCH(T$1, FebR!$6:$6, 0), FALSE),
            0
        ) +
        IFERROR(
            VLOOKUP($A25, INDIRECT("MarR!$A$6:$ZZ$1048576"), MATCH(T$1, MarR!$6:$6, 0), FALSE),
            0
        ) +
        IFERROR(
            VLOOKUP($A25, INDIRECT("AbrR!$A$6:$ZZ$1048576"), MATCH(T$1, AbrR!$6:$6, 0), FALSE),
            0
        ) +
        IFERROR(
            VLOOKUP($A25, INDIRECT("MayR!$A$6:$ZZ$1048576"), MATCH(T$1, MayR!$6:$6, 0), FALSE),
            0
        ) +
        IFERROR(
            VLOOKUP($A25, INDIRECT("JunR!$A$6:$ZZ$1048576"), MATCH(T$1, JunR!$6:$6, 0), FALSE),
            0
        ) +
        IFERROR(
            VLOOKUP($A25, INDIRECT("JulR!$A$6:$ZZ$1048576"), MATCH(T$1, JulR!$6:$6, 0), FALSE),
            0
        ) +
        IFERROR(
            VLOOKUP($A25, INDIRECT("AgoR!$A$6:$ZZ$1048576"), MATCH(T$1, AgoR!$6:$6, 0), FALSE),
            0
        ) +
        IFERROR(
            VLOOKUP($A25, INDIRECT("SepR!$A$6:$ZZ$1048576"), MATCH(T$1, SepR!$6:$6, 0), FALSE),
            0
        ) +
        IFERROR(
            VLOOKUP($A25, INDIRECT("OctR!$A$6:$ZZ$1048576"), MATCH(T$1, OctR!$6:$6, 0), FALSE),
            0
        ) +
        IFERROR(
            VLOOKUP($A25, INDIRECT("NovR!$A$6:$ZZ$1048576"), MATCH(T$1, NovR!$6:$6, 0), FALSE),
            0
        ) +
        IFERROR(
            VLOOKUP($A25, INDIRECT("DicR!$A$6:$ZZ$1048576"), MATCH(T$1, DicR!$6:$6, 0), FALSE),
            0
        )
)</f>
        <v>0</v>
      </c>
      <c r="U25" s="37">
        <f t="array" ref="U25">SUM(
    IFERROR(
            VLOOKUP($A25, INDIRECT("EneR!$A$6:$ZZ$1048576"), MATCH(U$1, EneR!$6:$6, 0), FALSE),
            0
        ) +
        IFERROR(
            VLOOKUP($A25, INDIRECT("FebR!$A$6:$ZZ$1048576"), MATCH(U$1, FebR!$6:$6, 0), FALSE),
            0
        ) +
        IFERROR(
            VLOOKUP($A25, INDIRECT("MarR!$A$6:$ZZ$1048576"), MATCH(U$1, MarR!$6:$6, 0), FALSE),
            0
        ) +
        IFERROR(
            VLOOKUP($A25, INDIRECT("AbrR!$A$6:$ZZ$1048576"), MATCH(U$1, AbrR!$6:$6, 0), FALSE),
            0
        ) +
        IFERROR(
            VLOOKUP($A25, INDIRECT("MayR!$A$6:$ZZ$1048576"), MATCH(U$1, MayR!$6:$6, 0), FALSE),
            0
        ) +
        IFERROR(
            VLOOKUP($A25, INDIRECT("JunR!$A$6:$ZZ$1048576"), MATCH(U$1, JunR!$6:$6, 0), FALSE),
            0
        ) +
        IFERROR(
            VLOOKUP($A25, INDIRECT("JulR!$A$6:$ZZ$1048576"), MATCH(U$1, JulR!$6:$6, 0), FALSE),
            0
        ) +
        IFERROR(
            VLOOKUP($A25, INDIRECT("AgoR!$A$6:$ZZ$1048576"), MATCH(U$1, AgoR!$6:$6, 0), FALSE),
            0
        ) +
        IFERROR(
            VLOOKUP($A25, INDIRECT("SepR!$A$6:$ZZ$1048576"), MATCH(U$1, SepR!$6:$6, 0), FALSE),
            0
        ) +
        IFERROR(
            VLOOKUP($A25, INDIRECT("OctR!$A$6:$ZZ$1048576"), MATCH(U$1, OctR!$6:$6, 0), FALSE),
            0
        ) +
        IFERROR(
            VLOOKUP($A25, INDIRECT("NovR!$A$6:$ZZ$1048576"), MATCH(U$1, NovR!$6:$6, 0), FALSE),
            0
        ) +
        IFERROR(
            VLOOKUP($A25, INDIRECT("DicR!$A$6:$ZZ$1048576"), MATCH(U$1, DicR!$6:$6, 0), FALSE),
            0
        )
)</f>
        <v>0</v>
      </c>
      <c r="V25" s="36">
        <f t="array" ref="V25">SUM(
    IFERROR(
            VLOOKUP($A25, INDIRECT("EneR!$A$6:$ZZ$1048576"), MATCH(V$1, EneR!$6:$6, 0), FALSE),
            0
        ) +
        IFERROR(
            VLOOKUP($A25, INDIRECT("FebR!$A$6:$ZZ$1048576"), MATCH(V$1, FebR!$6:$6, 0), FALSE),
            0
        ) +
        IFERROR(
            VLOOKUP($A25, INDIRECT("MarR!$A$6:$ZZ$1048576"), MATCH(V$1, MarR!$6:$6, 0), FALSE),
            0
        ) +
        IFERROR(
            VLOOKUP($A25, INDIRECT("AbrR!$A$6:$ZZ$1048576"), MATCH(V$1, AbrR!$6:$6, 0), FALSE),
            0
        ) +
        IFERROR(
            VLOOKUP($A25, INDIRECT("MayR!$A$6:$ZZ$1048576"), MATCH(V$1, MayR!$6:$6, 0), FALSE),
            0
        ) +
        IFERROR(
            VLOOKUP($A25, INDIRECT("JunR!$A$6:$ZZ$1048576"), MATCH(V$1, JunR!$6:$6, 0), FALSE),
            0
        ) +
        IFERROR(
            VLOOKUP($A25, INDIRECT("JulR!$A$6:$ZZ$1048576"), MATCH(V$1, JulR!$6:$6, 0), FALSE),
            0
        ) +
        IFERROR(
            VLOOKUP($A25, INDIRECT("AgoR!$A$6:$ZZ$1048576"), MATCH(V$1, AgoR!$6:$6, 0), FALSE),
            0
        ) +
        IFERROR(
            VLOOKUP($A25, INDIRECT("SepR!$A$6:$ZZ$1048576"), MATCH(V$1, SepR!$6:$6, 0), FALSE),
            0
        ) +
        IFERROR(
            VLOOKUP($A25, INDIRECT("OctR!$A$6:$ZZ$1048576"), MATCH(V$1, OctR!$6:$6, 0), FALSE),
            0
        ) +
        IFERROR(
            VLOOKUP($A25, INDIRECT("NovR!$A$6:$ZZ$1048576"), MATCH(V$1, NovR!$6:$6, 0), FALSE),
            0
        ) +
        IFERROR(
            VLOOKUP($A25, INDIRECT("DicR!$A$6:$ZZ$1048576"), MATCH(V$1, DicR!$6:$6, 0), FALSE),
            0
        )
)</f>
        <v>0</v>
      </c>
      <c r="W25" s="37">
        <f t="array" ref="W25">SUM(
    IFERROR(
            VLOOKUP($A25, INDIRECT("EneR!$A$6:$ZZ$1048576"), MATCH(W$1, EneR!$6:$6, 0), FALSE),
            0
        ) +
        IFERROR(
            VLOOKUP($A25, INDIRECT("FebR!$A$6:$ZZ$1048576"), MATCH(W$1, FebR!$6:$6, 0), FALSE),
            0
        ) +
        IFERROR(
            VLOOKUP($A25, INDIRECT("MarR!$A$6:$ZZ$1048576"), MATCH(W$1, MarR!$6:$6, 0), FALSE),
            0
        ) +
        IFERROR(
            VLOOKUP($A25, INDIRECT("AbrR!$A$6:$ZZ$1048576"), MATCH(W$1, AbrR!$6:$6, 0), FALSE),
            0
        ) +
        IFERROR(
            VLOOKUP($A25, INDIRECT("MayR!$A$6:$ZZ$1048576"), MATCH(W$1, MayR!$6:$6, 0), FALSE),
            0
        ) +
        IFERROR(
            VLOOKUP($A25, INDIRECT("JunR!$A$6:$ZZ$1048576"), MATCH(W$1, JunR!$6:$6, 0), FALSE),
            0
        ) +
        IFERROR(
            VLOOKUP($A25, INDIRECT("JulR!$A$6:$ZZ$1048576"), MATCH(W$1, JulR!$6:$6, 0), FALSE),
            0
        ) +
        IFERROR(
            VLOOKUP($A25, INDIRECT("AgoR!$A$6:$ZZ$1048576"), MATCH(W$1, AgoR!$6:$6, 0), FALSE),
            0
        ) +
        IFERROR(
            VLOOKUP($A25, INDIRECT("SepR!$A$6:$ZZ$1048576"), MATCH(W$1, SepR!$6:$6, 0), FALSE),
            0
        ) +
        IFERROR(
            VLOOKUP($A25, INDIRECT("OctR!$A$6:$ZZ$1048576"), MATCH(W$1, OctR!$6:$6, 0), FALSE),
            0
        ) +
        IFERROR(
            VLOOKUP($A25, INDIRECT("NovR!$A$6:$ZZ$1048576"), MATCH(W$1, NovR!$6:$6, 0), FALSE),
            0
        ) +
        IFERROR(
            VLOOKUP($A25, INDIRECT("DicR!$A$6:$ZZ$1048576"), MATCH(W$1, DicR!$6:$6, 0), FALSE),
            0
        )
)</f>
        <v>0</v>
      </c>
      <c r="X25" s="36">
        <f t="array" ref="X25">SUM(
    IFERROR(
            VLOOKUP($A25, INDIRECT("EneR!$A$6:$ZZ$1048576"), MATCH(X$1, EneR!$6:$6, 0), FALSE),
            0
        ) +
        IFERROR(
            VLOOKUP($A25, INDIRECT("FebR!$A$6:$ZZ$1048576"), MATCH(X$1, FebR!$6:$6, 0), FALSE),
            0
        ) +
        IFERROR(
            VLOOKUP($A25, INDIRECT("MarR!$A$6:$ZZ$1048576"), MATCH(X$1, MarR!$6:$6, 0), FALSE),
            0
        ) +
        IFERROR(
            VLOOKUP($A25, INDIRECT("AbrR!$A$6:$ZZ$1048576"), MATCH(X$1, AbrR!$6:$6, 0), FALSE),
            0
        ) +
        IFERROR(
            VLOOKUP($A25, INDIRECT("MayR!$A$6:$ZZ$1048576"), MATCH(X$1, MayR!$6:$6, 0), FALSE),
            0
        ) +
        IFERROR(
            VLOOKUP($A25, INDIRECT("JunR!$A$6:$ZZ$1048576"), MATCH(X$1, JunR!$6:$6, 0), FALSE),
            0
        ) +
        IFERROR(
            VLOOKUP($A25, INDIRECT("JulR!$A$6:$ZZ$1048576"), MATCH(X$1, JulR!$6:$6, 0), FALSE),
            0
        ) +
        IFERROR(
            VLOOKUP($A25, INDIRECT("AgoR!$A$6:$ZZ$1048576"), MATCH(X$1, AgoR!$6:$6, 0), FALSE),
            0
        ) +
        IFERROR(
            VLOOKUP($A25, INDIRECT("SepR!$A$6:$ZZ$1048576"), MATCH(X$1, SepR!$6:$6, 0), FALSE),
            0
        ) +
        IFERROR(
            VLOOKUP($A25, INDIRECT("OctR!$A$6:$ZZ$1048576"), MATCH(X$1, OctR!$6:$6, 0), FALSE),
            0
        ) +
        IFERROR(
            VLOOKUP($A25, INDIRECT("NovR!$A$6:$ZZ$1048576"), MATCH(X$1, NovR!$6:$6, 0), FALSE),
            0
        ) +
        IFERROR(
            VLOOKUP($A25, INDIRECT("DicR!$A$6:$ZZ$1048576"), MATCH(X$1, DicR!$6:$6, 0), FALSE),
            0
        )
)</f>
        <v>0</v>
      </c>
      <c r="Y25" s="37">
        <f t="array" ref="Y25">SUM(
    IFERROR(
            VLOOKUP($A25, INDIRECT("EneR!$A$6:$ZZ$1048576"), MATCH(Y$1, EneR!$6:$6, 0), FALSE),
            0
        ) +
        IFERROR(
            VLOOKUP($A25, INDIRECT("FebR!$A$6:$ZZ$1048576"), MATCH(Y$1, FebR!$6:$6, 0), FALSE),
            0
        ) +
        IFERROR(
            VLOOKUP($A25, INDIRECT("MarR!$A$6:$ZZ$1048576"), MATCH(Y$1, MarR!$6:$6, 0), FALSE),
            0
        ) +
        IFERROR(
            VLOOKUP($A25, INDIRECT("AbrR!$A$6:$ZZ$1048576"), MATCH(Y$1, AbrR!$6:$6, 0), FALSE),
            0
        ) +
        IFERROR(
            VLOOKUP($A25, INDIRECT("MayR!$A$6:$ZZ$1048576"), MATCH(Y$1, MayR!$6:$6, 0), FALSE),
            0
        ) +
        IFERROR(
            VLOOKUP($A25, INDIRECT("JunR!$A$6:$ZZ$1048576"), MATCH(Y$1, JunR!$6:$6, 0), FALSE),
            0
        ) +
        IFERROR(
            VLOOKUP($A25, INDIRECT("JulR!$A$6:$ZZ$1048576"), MATCH(Y$1, JulR!$6:$6, 0), FALSE),
            0
        ) +
        IFERROR(
            VLOOKUP($A25, INDIRECT("AgoR!$A$6:$ZZ$1048576"), MATCH(Y$1, AgoR!$6:$6, 0), FALSE),
            0
        ) +
        IFERROR(
            VLOOKUP($A25, INDIRECT("SepR!$A$6:$ZZ$1048576"), MATCH(Y$1, SepR!$6:$6, 0), FALSE),
            0
        ) +
        IFERROR(
            VLOOKUP($A25, INDIRECT("OctR!$A$6:$ZZ$1048576"), MATCH(Y$1, OctR!$6:$6, 0), FALSE),
            0
        ) +
        IFERROR(
            VLOOKUP($A25, INDIRECT("NovR!$A$6:$ZZ$1048576"), MATCH(Y$1, NovR!$6:$6, 0), FALSE),
            0
        ) +
        IFERROR(
            VLOOKUP($A25, INDIRECT("DicR!$A$6:$ZZ$1048576"), MATCH(Y$1, DicR!$6:$6, 0), FALSE),
            0
        )
)</f>
        <v>0</v>
      </c>
      <c r="Z25" s="36">
        <f t="array" ref="Z25">SUM(
    IFERROR(
            VLOOKUP($A25, INDIRECT("EneR!$A$6:$ZZ$1048576"), MATCH(Z$1, EneR!$6:$6, 0), FALSE),
            0
        ) +
        IFERROR(
            VLOOKUP($A25, INDIRECT("FebR!$A$6:$ZZ$1048576"), MATCH(Z$1, FebR!$6:$6, 0), FALSE),
            0
        ) +
        IFERROR(
            VLOOKUP($A25, INDIRECT("MarR!$A$6:$ZZ$1048576"), MATCH(Z$1, MarR!$6:$6, 0), FALSE),
            0
        ) +
        IFERROR(
            VLOOKUP($A25, INDIRECT("AbrR!$A$6:$ZZ$1048576"), MATCH(Z$1, AbrR!$6:$6, 0), FALSE),
            0
        ) +
        IFERROR(
            VLOOKUP($A25, INDIRECT("MayR!$A$6:$ZZ$1048576"), MATCH(Z$1, MayR!$6:$6, 0), FALSE),
            0
        ) +
        IFERROR(
            VLOOKUP($A25, INDIRECT("JunR!$A$6:$ZZ$1048576"), MATCH(Z$1, JunR!$6:$6, 0), FALSE),
            0
        ) +
        IFERROR(
            VLOOKUP($A25, INDIRECT("JulR!$A$6:$ZZ$1048576"), MATCH(Z$1, JulR!$6:$6, 0), FALSE),
            0
        ) +
        IFERROR(
            VLOOKUP($A25, INDIRECT("AgoR!$A$6:$ZZ$1048576"), MATCH(Z$1, AgoR!$6:$6, 0), FALSE),
            0
        ) +
        IFERROR(
            VLOOKUP($A25, INDIRECT("SepR!$A$6:$ZZ$1048576"), MATCH(Z$1, SepR!$6:$6, 0), FALSE),
            0
        ) +
        IFERROR(
            VLOOKUP($A25, INDIRECT("OctR!$A$6:$ZZ$1048576"), MATCH(Z$1, OctR!$6:$6, 0), FALSE),
            0
        ) +
        IFERROR(
            VLOOKUP($A25, INDIRECT("NovR!$A$6:$ZZ$1048576"), MATCH(Z$1, NovR!$6:$6, 0), FALSE),
            0
        ) +
        IFERROR(
            VLOOKUP($A25, INDIRECT("DicR!$A$6:$ZZ$1048576"), MATCH(Z$1, DicR!$6:$6, 0), FALSE),
            0
        )
)</f>
        <v>0</v>
      </c>
      <c r="AA25" s="37">
        <f t="array" ref="AA25">SUM(
    IFERROR(
            VLOOKUP($A25, INDIRECT("EneR!$A$6:$ZZ$1048576"), MATCH(AA$1, EneR!$6:$6, 0), FALSE),
            0
        ) +
        IFERROR(
            VLOOKUP($A25, INDIRECT("FebR!$A$6:$ZZ$1048576"), MATCH(AA$1, FebR!$6:$6, 0), FALSE),
            0
        ) +
        IFERROR(
            VLOOKUP($A25, INDIRECT("MarR!$A$6:$ZZ$1048576"), MATCH(AA$1, MarR!$6:$6, 0), FALSE),
            0
        ) +
        IFERROR(
            VLOOKUP($A25, INDIRECT("AbrR!$A$6:$ZZ$1048576"), MATCH(AA$1, AbrR!$6:$6, 0), FALSE),
            0
        ) +
        IFERROR(
            VLOOKUP($A25, INDIRECT("MayR!$A$6:$ZZ$1048576"), MATCH(AA$1, MayR!$6:$6, 0), FALSE),
            0
        ) +
        IFERROR(
            VLOOKUP($A25, INDIRECT("JunR!$A$6:$ZZ$1048576"), MATCH(AA$1, JunR!$6:$6, 0), FALSE),
            0
        ) +
        IFERROR(
            VLOOKUP($A25, INDIRECT("JulR!$A$6:$ZZ$1048576"), MATCH(AA$1, JulR!$6:$6, 0), FALSE),
            0
        ) +
        IFERROR(
            VLOOKUP($A25, INDIRECT("AgoR!$A$6:$ZZ$1048576"), MATCH(AA$1, AgoR!$6:$6, 0), FALSE),
            0
        ) +
        IFERROR(
            VLOOKUP($A25, INDIRECT("SepR!$A$6:$ZZ$1048576"), MATCH(AA$1, SepR!$6:$6, 0), FALSE),
            0
        ) +
        IFERROR(
            VLOOKUP($A25, INDIRECT("OctR!$A$6:$ZZ$1048576"), MATCH(AA$1, OctR!$6:$6, 0), FALSE),
            0
        ) +
        IFERROR(
            VLOOKUP($A25, INDIRECT("NovR!$A$6:$ZZ$1048576"), MATCH(AA$1, NovR!$6:$6, 0), FALSE),
            0
        ) +
        IFERROR(
            VLOOKUP($A25, INDIRECT("DicR!$A$6:$ZZ$1048576"), MATCH(AA$1, DicR!$6:$6, 0), FALSE),
            0
        )
)</f>
        <v>0</v>
      </c>
      <c r="AB25" s="36">
        <f t="array" ref="AB25">SUM(
    IFERROR(
            VLOOKUP($A25, INDIRECT("EneR!$A$6:$ZZ$1048576"), MATCH(AB$1, EneR!$6:$6, 0), FALSE),
            0
        ) +
        IFERROR(
            VLOOKUP($A25, INDIRECT("FebR!$A$6:$ZZ$1048576"), MATCH(AB$1, FebR!$6:$6, 0), FALSE),
            0
        ) +
        IFERROR(
            VLOOKUP($A25, INDIRECT("MarR!$A$6:$ZZ$1048576"), MATCH(AB$1, MarR!$6:$6, 0), FALSE),
            0
        ) +
        IFERROR(
            VLOOKUP($A25, INDIRECT("AbrR!$A$6:$ZZ$1048576"), MATCH(AB$1, AbrR!$6:$6, 0), FALSE),
            0
        ) +
        IFERROR(
            VLOOKUP($A25, INDIRECT("MayR!$A$6:$ZZ$1048576"), MATCH(AB$1, MayR!$6:$6, 0), FALSE),
            0
        ) +
        IFERROR(
            VLOOKUP($A25, INDIRECT("JunR!$A$6:$ZZ$1048576"), MATCH(AB$1, JunR!$6:$6, 0), FALSE),
            0
        ) +
        IFERROR(
            VLOOKUP($A25, INDIRECT("JulR!$A$6:$ZZ$1048576"), MATCH(AB$1, JulR!$6:$6, 0), FALSE),
            0
        ) +
        IFERROR(
            VLOOKUP($A25, INDIRECT("AgoR!$A$6:$ZZ$1048576"), MATCH(AB$1, AgoR!$6:$6, 0), FALSE),
            0
        ) +
        IFERROR(
            VLOOKUP($A25, INDIRECT("SepR!$A$6:$ZZ$1048576"), MATCH(AB$1, SepR!$6:$6, 0), FALSE),
            0
        ) +
        IFERROR(
            VLOOKUP($A25, INDIRECT("OctR!$A$6:$ZZ$1048576"), MATCH(AB$1, OctR!$6:$6, 0), FALSE),
            0
        ) +
        IFERROR(
            VLOOKUP($A25, INDIRECT("NovR!$A$6:$ZZ$1048576"), MATCH(AB$1, NovR!$6:$6, 0), FALSE),
            0
        ) +
        IFERROR(
            VLOOKUP($A25, INDIRECT("DicR!$A$6:$ZZ$1048576"), MATCH(AB$1, DicR!$6:$6, 0), FALSE),
            0
        )
)</f>
        <v>0</v>
      </c>
      <c r="AC25" s="37">
        <f t="array" ref="AC25">SUM(
    IFERROR(
            VLOOKUP($A25, INDIRECT("EneR!$A$6:$ZZ$1048576"), MATCH(AC$1, EneR!$6:$6, 0), FALSE),
            0
        ) +
        IFERROR(
            VLOOKUP($A25, INDIRECT("FebR!$A$6:$ZZ$1048576"), MATCH(AC$1, FebR!$6:$6, 0), FALSE),
            0
        ) +
        IFERROR(
            VLOOKUP($A25, INDIRECT("MarR!$A$6:$ZZ$1048576"), MATCH(AC$1, MarR!$6:$6, 0), FALSE),
            0
        ) +
        IFERROR(
            VLOOKUP($A25, INDIRECT("AbrR!$A$6:$ZZ$1048576"), MATCH(AC$1, AbrR!$6:$6, 0), FALSE),
            0
        ) +
        IFERROR(
            VLOOKUP($A25, INDIRECT("MayR!$A$6:$ZZ$1048576"), MATCH(AC$1, MayR!$6:$6, 0), FALSE),
            0
        ) +
        IFERROR(
            VLOOKUP($A25, INDIRECT("JunR!$A$6:$ZZ$1048576"), MATCH(AC$1, JunR!$6:$6, 0), FALSE),
            0
        ) +
        IFERROR(
            VLOOKUP($A25, INDIRECT("JulR!$A$6:$ZZ$1048576"), MATCH(AC$1, JulR!$6:$6, 0), FALSE),
            0
        ) +
        IFERROR(
            VLOOKUP($A25, INDIRECT("AgoR!$A$6:$ZZ$1048576"), MATCH(AC$1, AgoR!$6:$6, 0), FALSE),
            0
        ) +
        IFERROR(
            VLOOKUP($A25, INDIRECT("SepR!$A$6:$ZZ$1048576"), MATCH(AC$1, SepR!$6:$6, 0), FALSE),
            0
        ) +
        IFERROR(
            VLOOKUP($A25, INDIRECT("OctR!$A$6:$ZZ$1048576"), MATCH(AC$1, OctR!$6:$6, 0), FALSE),
            0
        ) +
        IFERROR(
            VLOOKUP($A25, INDIRECT("NovR!$A$6:$ZZ$1048576"), MATCH(AC$1, NovR!$6:$6, 0), FALSE),
            0
        ) +
        IFERROR(
            VLOOKUP($A25, INDIRECT("DicR!$A$6:$ZZ$1048576"), MATCH(AC$1, DicR!$6:$6, 0), FALSE),
            0
        )
)</f>
        <v>0</v>
      </c>
      <c r="AD25" s="36">
        <f t="array" ref="AD25">SUM(
    IFERROR(
            VLOOKUP($A25, INDIRECT("EneR!$A$6:$ZZ$1048576"), MATCH(AD$1, EneR!$6:$6, 0), FALSE),
            0
        ) +
        IFERROR(
            VLOOKUP($A25, INDIRECT("FebR!$A$6:$ZZ$1048576"), MATCH(AD$1, FebR!$6:$6, 0), FALSE),
            0
        ) +
        IFERROR(
            VLOOKUP($A25, INDIRECT("MarR!$A$6:$ZZ$1048576"), MATCH(AD$1, MarR!$6:$6, 0), FALSE),
            0
        ) +
        IFERROR(
            VLOOKUP($A25, INDIRECT("AbrR!$A$6:$ZZ$1048576"), MATCH(AD$1, AbrR!$6:$6, 0), FALSE),
            0
        ) +
        IFERROR(
            VLOOKUP($A25, INDIRECT("MayR!$A$6:$ZZ$1048576"), MATCH(AD$1, MayR!$6:$6, 0), FALSE),
            0
        ) +
        IFERROR(
            VLOOKUP($A25, INDIRECT("JunR!$A$6:$ZZ$1048576"), MATCH(AD$1, JunR!$6:$6, 0), FALSE),
            0
        ) +
        IFERROR(
            VLOOKUP($A25, INDIRECT("JulR!$A$6:$ZZ$1048576"), MATCH(AD$1, JulR!$6:$6, 0), FALSE),
            0
        ) +
        IFERROR(
            VLOOKUP($A25, INDIRECT("AgoR!$A$6:$ZZ$1048576"), MATCH(AD$1, AgoR!$6:$6, 0), FALSE),
            0
        ) +
        IFERROR(
            VLOOKUP($A25, INDIRECT("SepR!$A$6:$ZZ$1048576"), MATCH(AD$1, SepR!$6:$6, 0), FALSE),
            0
        ) +
        IFERROR(
            VLOOKUP($A25, INDIRECT("OctR!$A$6:$ZZ$1048576"), MATCH(AD$1, OctR!$6:$6, 0), FALSE),
            0
        ) +
        IFERROR(
            VLOOKUP($A25, INDIRECT("NovR!$A$6:$ZZ$1048576"), MATCH(AD$1, NovR!$6:$6, 0), FALSE),
            0
        ) +
        IFERROR(
            VLOOKUP($A25, INDIRECT("DicR!$A$6:$ZZ$1048576"), MATCH(AD$1, DicR!$6:$6, 0), FALSE),
            0
        )
)</f>
        <v>0</v>
      </c>
      <c r="AE25" s="37">
        <f t="array" ref="AE25">SUM(
    IFERROR(
            VLOOKUP($A25, INDIRECT("EneR!$A$6:$ZZ$1048576"), MATCH(AE$1, EneR!$6:$6, 0), FALSE),
            0
        ) +
        IFERROR(
            VLOOKUP($A25, INDIRECT("FebR!$A$6:$ZZ$1048576"), MATCH(AE$1, FebR!$6:$6, 0), FALSE),
            0
        ) +
        IFERROR(
            VLOOKUP($A25, INDIRECT("MarR!$A$6:$ZZ$1048576"), MATCH(AE$1, MarR!$6:$6, 0), FALSE),
            0
        ) +
        IFERROR(
            VLOOKUP($A25, INDIRECT("AbrR!$A$6:$ZZ$1048576"), MATCH(AE$1, AbrR!$6:$6, 0), FALSE),
            0
        ) +
        IFERROR(
            VLOOKUP($A25, INDIRECT("MayR!$A$6:$ZZ$1048576"), MATCH(AE$1, MayR!$6:$6, 0), FALSE),
            0
        ) +
        IFERROR(
            VLOOKUP($A25, INDIRECT("JunR!$A$6:$ZZ$1048576"), MATCH(AE$1, JunR!$6:$6, 0), FALSE),
            0
        ) +
        IFERROR(
            VLOOKUP($A25, INDIRECT("JulR!$A$6:$ZZ$1048576"), MATCH(AE$1, JulR!$6:$6, 0), FALSE),
            0
        ) +
        IFERROR(
            VLOOKUP($A25, INDIRECT("AgoR!$A$6:$ZZ$1048576"), MATCH(AE$1, AgoR!$6:$6, 0), FALSE),
            0
        ) +
        IFERROR(
            VLOOKUP($A25, INDIRECT("SepR!$A$6:$ZZ$1048576"), MATCH(AE$1, SepR!$6:$6, 0), FALSE),
            0
        ) +
        IFERROR(
            VLOOKUP($A25, INDIRECT("OctR!$A$6:$ZZ$1048576"), MATCH(AE$1, OctR!$6:$6, 0), FALSE),
            0
        ) +
        IFERROR(
            VLOOKUP($A25, INDIRECT("NovR!$A$6:$ZZ$1048576"), MATCH(AE$1, NovR!$6:$6, 0), FALSE),
            0
        ) +
        IFERROR(
            VLOOKUP($A25, INDIRECT("DicR!$A$6:$ZZ$1048576"), MATCH(AE$1, DicR!$6:$6, 0), FALSE),
            0
        )
)</f>
        <v>0</v>
      </c>
      <c r="AF25" s="36">
        <f t="array" ref="AF25">SUM(
    IFERROR(
            VLOOKUP($A25, INDIRECT("EneR!$A$6:$ZZ$1048576"), MATCH(AF$1, EneR!$6:$6, 0), FALSE),
            0
        ) +
        IFERROR(
            VLOOKUP($A25, INDIRECT("FebR!$A$6:$ZZ$1048576"), MATCH(AF$1, FebR!$6:$6, 0), FALSE),
            0
        ) +
        IFERROR(
            VLOOKUP($A25, INDIRECT("MarR!$A$6:$ZZ$1048576"), MATCH(AF$1, MarR!$6:$6, 0), FALSE),
            0
        ) +
        IFERROR(
            VLOOKUP($A25, INDIRECT("AbrR!$A$6:$ZZ$1048576"), MATCH(AF$1, AbrR!$6:$6, 0), FALSE),
            0
        ) +
        IFERROR(
            VLOOKUP($A25, INDIRECT("MayR!$A$6:$ZZ$1048576"), MATCH(AF$1, MayR!$6:$6, 0), FALSE),
            0
        ) +
        IFERROR(
            VLOOKUP($A25, INDIRECT("JunR!$A$6:$ZZ$1048576"), MATCH(AF$1, JunR!$6:$6, 0), FALSE),
            0
        ) +
        IFERROR(
            VLOOKUP($A25, INDIRECT("JulR!$A$6:$ZZ$1048576"), MATCH(AF$1, JulR!$6:$6, 0), FALSE),
            0
        ) +
        IFERROR(
            VLOOKUP($A25, INDIRECT("AgoR!$A$6:$ZZ$1048576"), MATCH(AF$1, AgoR!$6:$6, 0), FALSE),
            0
        ) +
        IFERROR(
            VLOOKUP($A25, INDIRECT("SepR!$A$6:$ZZ$1048576"), MATCH(AF$1, SepR!$6:$6, 0), FALSE),
            0
        ) +
        IFERROR(
            VLOOKUP($A25, INDIRECT("OctR!$A$6:$ZZ$1048576"), MATCH(AF$1, OctR!$6:$6, 0), FALSE),
            0
        ) +
        IFERROR(
            VLOOKUP($A25, INDIRECT("NovR!$A$6:$ZZ$1048576"), MATCH(AF$1, NovR!$6:$6, 0), FALSE),
            0
        ) +
        IFERROR(
            VLOOKUP($A25, INDIRECT("DicR!$A$6:$ZZ$1048576"), MATCH(AF$1, DicR!$6:$6, 0), FALSE),
            0
        )
)</f>
        <v>0</v>
      </c>
      <c r="AG25" s="37">
        <f t="array" ref="AG25">SUM(
    IFERROR(
            VLOOKUP($A25, INDIRECT("EneR!$A$6:$ZZ$1048576"), MATCH(AG$1, EneR!$6:$6, 0), FALSE),
            0
        ) +
        IFERROR(
            VLOOKUP($A25, INDIRECT("FebR!$A$6:$ZZ$1048576"), MATCH(AG$1, FebR!$6:$6, 0), FALSE),
            0
        ) +
        IFERROR(
            VLOOKUP($A25, INDIRECT("MarR!$A$6:$ZZ$1048576"), MATCH(AG$1, MarR!$6:$6, 0), FALSE),
            0
        ) +
        IFERROR(
            VLOOKUP($A25, INDIRECT("AbrR!$A$6:$ZZ$1048576"), MATCH(AG$1, AbrR!$6:$6, 0), FALSE),
            0
        ) +
        IFERROR(
            VLOOKUP($A25, INDIRECT("MayR!$A$6:$ZZ$1048576"), MATCH(AG$1, MayR!$6:$6, 0), FALSE),
            0
        ) +
        IFERROR(
            VLOOKUP($A25, INDIRECT("JunR!$A$6:$ZZ$1048576"), MATCH(AG$1, JunR!$6:$6, 0), FALSE),
            0
        ) +
        IFERROR(
            VLOOKUP($A25, INDIRECT("JulR!$A$6:$ZZ$1048576"), MATCH(AG$1, JulR!$6:$6, 0), FALSE),
            0
        ) +
        IFERROR(
            VLOOKUP($A25, INDIRECT("AgoR!$A$6:$ZZ$1048576"), MATCH(AG$1, AgoR!$6:$6, 0), FALSE),
            0
        ) +
        IFERROR(
            VLOOKUP($A25, INDIRECT("SepR!$A$6:$ZZ$1048576"), MATCH(AG$1, SepR!$6:$6, 0), FALSE),
            0
        ) +
        IFERROR(
            VLOOKUP($A25, INDIRECT("OctR!$A$6:$ZZ$1048576"), MATCH(AG$1, OctR!$6:$6, 0), FALSE),
            0
        ) +
        IFERROR(
            VLOOKUP($A25, INDIRECT("NovR!$A$6:$ZZ$1048576"), MATCH(AG$1, NovR!$6:$6, 0), FALSE),
            0
        ) +
        IFERROR(
            VLOOKUP($A25, INDIRECT("DicR!$A$6:$ZZ$1048576"), MATCH(AG$1, DicR!$6:$6, 0), FALSE),
            0
        )
)</f>
        <v>0</v>
      </c>
      <c r="AH25" s="36">
        <f t="array" ref="AH25">SUM(
    IFERROR(
            VLOOKUP($A25, INDIRECT("EneR!$A$6:$ZZ$1048576"), MATCH(AH$1, EneR!$6:$6, 0), FALSE),
            0
        ) +
        IFERROR(
            VLOOKUP($A25, INDIRECT("FebR!$A$6:$ZZ$1048576"), MATCH(AH$1, FebR!$6:$6, 0), FALSE),
            0
        ) +
        IFERROR(
            VLOOKUP($A25, INDIRECT("MarR!$A$6:$ZZ$1048576"), MATCH(AH$1, MarR!$6:$6, 0), FALSE),
            0
        ) +
        IFERROR(
            VLOOKUP($A25, INDIRECT("AbrR!$A$6:$ZZ$1048576"), MATCH(AH$1, AbrR!$6:$6, 0), FALSE),
            0
        ) +
        IFERROR(
            VLOOKUP($A25, INDIRECT("MayR!$A$6:$ZZ$1048576"), MATCH(AH$1, MayR!$6:$6, 0), FALSE),
            0
        ) +
        IFERROR(
            VLOOKUP($A25, INDIRECT("JunR!$A$6:$ZZ$1048576"), MATCH(AH$1, JunR!$6:$6, 0), FALSE),
            0
        ) +
        IFERROR(
            VLOOKUP($A25, INDIRECT("JulR!$A$6:$ZZ$1048576"), MATCH(AH$1, JulR!$6:$6, 0), FALSE),
            0
        ) +
        IFERROR(
            VLOOKUP($A25, INDIRECT("AgoR!$A$6:$ZZ$1048576"), MATCH(AH$1, AgoR!$6:$6, 0), FALSE),
            0
        ) +
        IFERROR(
            VLOOKUP($A25, INDIRECT("SepR!$A$6:$ZZ$1048576"), MATCH(AH$1, SepR!$6:$6, 0), FALSE),
            0
        ) +
        IFERROR(
            VLOOKUP($A25, INDIRECT("OctR!$A$6:$ZZ$1048576"), MATCH(AH$1, OctR!$6:$6, 0), FALSE),
            0
        ) +
        IFERROR(
            VLOOKUP($A25, INDIRECT("NovR!$A$6:$ZZ$1048576"), MATCH(AH$1, NovR!$6:$6, 0), FALSE),
            0
        ) +
        IFERROR(
            VLOOKUP($A25, INDIRECT("DicR!$A$6:$ZZ$1048576"), MATCH(AH$1, DicR!$6:$6, 0), FALSE),
            0
        )
)</f>
        <v>0</v>
      </c>
      <c r="AI25" s="37">
        <f t="array" ref="AI25">SUM(
    IFERROR(
            VLOOKUP($A25, INDIRECT("EneR!$A$6:$ZZ$1048576"), MATCH(AI$1, EneR!$6:$6, 0), FALSE),
            0
        ) +
        IFERROR(
            VLOOKUP($A25, INDIRECT("FebR!$A$6:$ZZ$1048576"), MATCH(AI$1, FebR!$6:$6, 0), FALSE),
            0
        ) +
        IFERROR(
            VLOOKUP($A25, INDIRECT("MarR!$A$6:$ZZ$1048576"), MATCH(AI$1, MarR!$6:$6, 0), FALSE),
            0
        ) +
        IFERROR(
            VLOOKUP($A25, INDIRECT("AbrR!$A$6:$ZZ$1048576"), MATCH(AI$1, AbrR!$6:$6, 0), FALSE),
            0
        ) +
        IFERROR(
            VLOOKUP($A25, INDIRECT("MayR!$A$6:$ZZ$1048576"), MATCH(AI$1, MayR!$6:$6, 0), FALSE),
            0
        ) +
        IFERROR(
            VLOOKUP($A25, INDIRECT("JunR!$A$6:$ZZ$1048576"), MATCH(AI$1, JunR!$6:$6, 0), FALSE),
            0
        ) +
        IFERROR(
            VLOOKUP($A25, INDIRECT("JulR!$A$6:$ZZ$1048576"), MATCH(AI$1, JulR!$6:$6, 0), FALSE),
            0
        ) +
        IFERROR(
            VLOOKUP($A25, INDIRECT("AgoR!$A$6:$ZZ$1048576"), MATCH(AI$1, AgoR!$6:$6, 0), FALSE),
            0
        ) +
        IFERROR(
            VLOOKUP($A25, INDIRECT("SepR!$A$6:$ZZ$1048576"), MATCH(AI$1, SepR!$6:$6, 0), FALSE),
            0
        ) +
        IFERROR(
            VLOOKUP($A25, INDIRECT("OctR!$A$6:$ZZ$1048576"), MATCH(AI$1, OctR!$6:$6, 0), FALSE),
            0
        ) +
        IFERROR(
            VLOOKUP($A25, INDIRECT("NovR!$A$6:$ZZ$1048576"), MATCH(AI$1, NovR!$6:$6, 0), FALSE),
            0
        ) +
        IFERROR(
            VLOOKUP($A25, INDIRECT("DicR!$A$6:$ZZ$1048576"), MATCH(AI$1, DicR!$6:$6, 0), FALSE),
            0
        )
)</f>
        <v>0</v>
      </c>
      <c r="AJ25" s="36">
        <f t="array" ref="AJ25">SUM(
    IFERROR(
            VLOOKUP($A25, INDIRECT("EneR!$A$6:$ZZ$1048576"), MATCH(AJ$1, EneR!$6:$6, 0), FALSE),
            0
        ) +
        IFERROR(
            VLOOKUP($A25, INDIRECT("FebR!$A$6:$ZZ$1048576"), MATCH(AJ$1, FebR!$6:$6, 0), FALSE),
            0
        ) +
        IFERROR(
            VLOOKUP($A25, INDIRECT("MarR!$A$6:$ZZ$1048576"), MATCH(AJ$1, MarR!$6:$6, 0), FALSE),
            0
        ) +
        IFERROR(
            VLOOKUP($A25, INDIRECT("AbrR!$A$6:$ZZ$1048576"), MATCH(AJ$1, AbrR!$6:$6, 0), FALSE),
            0
        ) +
        IFERROR(
            VLOOKUP($A25, INDIRECT("MayR!$A$6:$ZZ$1048576"), MATCH(AJ$1, MayR!$6:$6, 0), FALSE),
            0
        ) +
        IFERROR(
            VLOOKUP($A25, INDIRECT("JunR!$A$6:$ZZ$1048576"), MATCH(AJ$1, JunR!$6:$6, 0), FALSE),
            0
        ) +
        IFERROR(
            VLOOKUP($A25, INDIRECT("JulR!$A$6:$ZZ$1048576"), MATCH(AJ$1, JulR!$6:$6, 0), FALSE),
            0
        ) +
        IFERROR(
            VLOOKUP($A25, INDIRECT("AgoR!$A$6:$ZZ$1048576"), MATCH(AJ$1, AgoR!$6:$6, 0), FALSE),
            0
        ) +
        IFERROR(
            VLOOKUP($A25, INDIRECT("SepR!$A$6:$ZZ$1048576"), MATCH(AJ$1, SepR!$6:$6, 0), FALSE),
            0
        ) +
        IFERROR(
            VLOOKUP($A25, INDIRECT("OctR!$A$6:$ZZ$1048576"), MATCH(AJ$1, OctR!$6:$6, 0), FALSE),
            0
        ) +
        IFERROR(
            VLOOKUP($A25, INDIRECT("NovR!$A$6:$ZZ$1048576"), MATCH(AJ$1, NovR!$6:$6, 0), FALSE),
            0
        ) +
        IFERROR(
            VLOOKUP($A25, INDIRECT("DicR!$A$6:$ZZ$1048576"), MATCH(AJ$1, DicR!$6:$6, 0), FALSE),
            0
        )
)</f>
        <v>0</v>
      </c>
      <c r="AK25" s="37">
        <f t="array" ref="AK25">SUM(
    IFERROR(
            VLOOKUP($A25, INDIRECT("EneR!$A$6:$ZZ$1048576"), MATCH(AK$1, EneR!$6:$6, 0), FALSE),
            0
        ) +
        IFERROR(
            VLOOKUP($A25, INDIRECT("FebR!$A$6:$ZZ$1048576"), MATCH(AK$1, FebR!$6:$6, 0), FALSE),
            0
        ) +
        IFERROR(
            VLOOKUP($A25, INDIRECT("MarR!$A$6:$ZZ$1048576"), MATCH(AK$1, MarR!$6:$6, 0), FALSE),
            0
        ) +
        IFERROR(
            VLOOKUP($A25, INDIRECT("AbrR!$A$6:$ZZ$1048576"), MATCH(AK$1, AbrR!$6:$6, 0), FALSE),
            0
        ) +
        IFERROR(
            VLOOKUP($A25, INDIRECT("MayR!$A$6:$ZZ$1048576"), MATCH(AK$1, MayR!$6:$6, 0), FALSE),
            0
        ) +
        IFERROR(
            VLOOKUP($A25, INDIRECT("JunR!$A$6:$ZZ$1048576"), MATCH(AK$1, JunR!$6:$6, 0), FALSE),
            0
        ) +
        IFERROR(
            VLOOKUP($A25, INDIRECT("JulR!$A$6:$ZZ$1048576"), MATCH(AK$1, JulR!$6:$6, 0), FALSE),
            0
        ) +
        IFERROR(
            VLOOKUP($A25, INDIRECT("AgoR!$A$6:$ZZ$1048576"), MATCH(AK$1, AgoR!$6:$6, 0), FALSE),
            0
        ) +
        IFERROR(
            VLOOKUP($A25, INDIRECT("SepR!$A$6:$ZZ$1048576"), MATCH(AK$1, SepR!$6:$6, 0), FALSE),
            0
        ) +
        IFERROR(
            VLOOKUP($A25, INDIRECT("OctR!$A$6:$ZZ$1048576"), MATCH(AK$1, OctR!$6:$6, 0), FALSE),
            0
        ) +
        IFERROR(
            VLOOKUP($A25, INDIRECT("NovR!$A$6:$ZZ$1048576"), MATCH(AK$1, NovR!$6:$6, 0), FALSE),
            0
        ) +
        IFERROR(
            VLOOKUP($A25, INDIRECT("DicR!$A$6:$ZZ$1048576"), MATCH(AK$1, DicR!$6:$6, 0), FALSE),
            0
        )
)</f>
        <v>0</v>
      </c>
      <c r="AL25" s="36">
        <f t="array" ref="AL25">SUM(
    IFERROR(
            VLOOKUP($A25, INDIRECT("EneR!$A$6:$ZZ$1048576"), MATCH(AL$1, EneR!$6:$6, 0), FALSE),
            0
        ) +
        IFERROR(
            VLOOKUP($A25, INDIRECT("FebR!$A$6:$ZZ$1048576"), MATCH(AL$1, FebR!$6:$6, 0), FALSE),
            0
        ) +
        IFERROR(
            VLOOKUP($A25, INDIRECT("MarR!$A$6:$ZZ$1048576"), MATCH(AL$1, MarR!$6:$6, 0), FALSE),
            0
        ) +
        IFERROR(
            VLOOKUP($A25, INDIRECT("AbrR!$A$6:$ZZ$1048576"), MATCH(AL$1, AbrR!$6:$6, 0), FALSE),
            0
        ) +
        IFERROR(
            VLOOKUP($A25, INDIRECT("MayR!$A$6:$ZZ$1048576"), MATCH(AL$1, MayR!$6:$6, 0), FALSE),
            0
        ) +
        IFERROR(
            VLOOKUP($A25, INDIRECT("JunR!$A$6:$ZZ$1048576"), MATCH(AL$1, JunR!$6:$6, 0), FALSE),
            0
        ) +
        IFERROR(
            VLOOKUP($A25, INDIRECT("JulR!$A$6:$ZZ$1048576"), MATCH(AL$1, JulR!$6:$6, 0), FALSE),
            0
        ) +
        IFERROR(
            VLOOKUP($A25, INDIRECT("AgoR!$A$6:$ZZ$1048576"), MATCH(AL$1, AgoR!$6:$6, 0), FALSE),
            0
        ) +
        IFERROR(
            VLOOKUP($A25, INDIRECT("SepR!$A$6:$ZZ$1048576"), MATCH(AL$1, SepR!$6:$6, 0), FALSE),
            0
        ) +
        IFERROR(
            VLOOKUP($A25, INDIRECT("OctR!$A$6:$ZZ$1048576"), MATCH(AL$1, OctR!$6:$6, 0), FALSE),
            0
        ) +
        IFERROR(
            VLOOKUP($A25, INDIRECT("NovR!$A$6:$ZZ$1048576"), MATCH(AL$1, NovR!$6:$6, 0), FALSE),
            0
        ) +
        IFERROR(
            VLOOKUP($A25, INDIRECT("DicR!$A$6:$ZZ$1048576"), MATCH(AL$1, DicR!$6:$6, 0), FALSE),
            0
        )
)</f>
        <v>0</v>
      </c>
      <c r="AM25" s="37">
        <f t="array" ref="AM25">SUM(
    IFERROR(
            VLOOKUP($A25, INDIRECT("EneR!$A$6:$ZZ$1048576"), MATCH(AM$1, EneR!$6:$6, 0), FALSE),
            0
        ) +
        IFERROR(
            VLOOKUP($A25, INDIRECT("FebR!$A$6:$ZZ$1048576"), MATCH(AM$1, FebR!$6:$6, 0), FALSE),
            0
        ) +
        IFERROR(
            VLOOKUP($A25, INDIRECT("MarR!$A$6:$ZZ$1048576"), MATCH(AM$1, MarR!$6:$6, 0), FALSE),
            0
        ) +
        IFERROR(
            VLOOKUP($A25, INDIRECT("AbrR!$A$6:$ZZ$1048576"), MATCH(AM$1, AbrR!$6:$6, 0), FALSE),
            0
        ) +
        IFERROR(
            VLOOKUP($A25, INDIRECT("MayR!$A$6:$ZZ$1048576"), MATCH(AM$1, MayR!$6:$6, 0), FALSE),
            0
        ) +
        IFERROR(
            VLOOKUP($A25, INDIRECT("JunR!$A$6:$ZZ$1048576"), MATCH(AM$1, JunR!$6:$6, 0), FALSE),
            0
        ) +
        IFERROR(
            VLOOKUP($A25, INDIRECT("JulR!$A$6:$ZZ$1048576"), MATCH(AM$1, JulR!$6:$6, 0), FALSE),
            0
        ) +
        IFERROR(
            VLOOKUP($A25, INDIRECT("AgoR!$A$6:$ZZ$1048576"), MATCH(AM$1, AgoR!$6:$6, 0), FALSE),
            0
        ) +
        IFERROR(
            VLOOKUP($A25, INDIRECT("SepR!$A$6:$ZZ$1048576"), MATCH(AM$1, SepR!$6:$6, 0), FALSE),
            0
        ) +
        IFERROR(
            VLOOKUP($A25, INDIRECT("OctR!$A$6:$ZZ$1048576"), MATCH(AM$1, OctR!$6:$6, 0), FALSE),
            0
        ) +
        IFERROR(
            VLOOKUP($A25, INDIRECT("NovR!$A$6:$ZZ$1048576"), MATCH(AM$1, NovR!$6:$6, 0), FALSE),
            0
        ) +
        IFERROR(
            VLOOKUP($A25, INDIRECT("DicR!$A$6:$ZZ$1048576"), MATCH(AM$1, DicR!$6:$6, 0), FALSE),
            0
        )
)</f>
        <v>0</v>
      </c>
      <c r="AN25" s="36">
        <f t="array" ref="AN25">SUM(
    IFERROR(
            VLOOKUP($A25, INDIRECT("EneR!$A$6:$ZZ$1048576"), MATCH(AN$1, EneR!$6:$6, 0), FALSE),
            0
        ) +
        IFERROR(
            VLOOKUP($A25, INDIRECT("FebR!$A$6:$ZZ$1048576"), MATCH(AN$1, FebR!$6:$6, 0), FALSE),
            0
        ) +
        IFERROR(
            VLOOKUP($A25, INDIRECT("MarR!$A$6:$ZZ$1048576"), MATCH(AN$1, MarR!$6:$6, 0), FALSE),
            0
        ) +
        IFERROR(
            VLOOKUP($A25, INDIRECT("AbrR!$A$6:$ZZ$1048576"), MATCH(AN$1, AbrR!$6:$6, 0), FALSE),
            0
        ) +
        IFERROR(
            VLOOKUP($A25, INDIRECT("MayR!$A$6:$ZZ$1048576"), MATCH(AN$1, MayR!$6:$6, 0), FALSE),
            0
        ) +
        IFERROR(
            VLOOKUP($A25, INDIRECT("JunR!$A$6:$ZZ$1048576"), MATCH(AN$1, JunR!$6:$6, 0), FALSE),
            0
        ) +
        IFERROR(
            VLOOKUP($A25, INDIRECT("JulR!$A$6:$ZZ$1048576"), MATCH(AN$1, JulR!$6:$6, 0), FALSE),
            0
        ) +
        IFERROR(
            VLOOKUP($A25, INDIRECT("AgoR!$A$6:$ZZ$1048576"), MATCH(AN$1, AgoR!$6:$6, 0), FALSE),
            0
        ) +
        IFERROR(
            VLOOKUP($A25, INDIRECT("SepR!$A$6:$ZZ$1048576"), MATCH(AN$1, SepR!$6:$6, 0), FALSE),
            0
        ) +
        IFERROR(
            VLOOKUP($A25, INDIRECT("OctR!$A$6:$ZZ$1048576"), MATCH(AN$1, OctR!$6:$6, 0), FALSE),
            0
        ) +
        IFERROR(
            VLOOKUP($A25, INDIRECT("NovR!$A$6:$ZZ$1048576"), MATCH(AN$1, NovR!$6:$6, 0), FALSE),
            0
        ) +
        IFERROR(
            VLOOKUP($A25, INDIRECT("DicR!$A$6:$ZZ$1048576"), MATCH(AN$1, DicR!$6:$6, 0), FALSE),
            0
        )
)</f>
        <v>0</v>
      </c>
      <c r="AO25" s="37">
        <f t="array" ref="AO25">SUM(
    IFERROR(
            VLOOKUP($A25, INDIRECT("EneR!$A$6:$ZZ$1048576"), MATCH(AO$1, EneR!$6:$6, 0), FALSE),
            0
        ) +
        IFERROR(
            VLOOKUP($A25, INDIRECT("FebR!$A$6:$ZZ$1048576"), MATCH(AO$1, FebR!$6:$6, 0), FALSE),
            0
        ) +
        IFERROR(
            VLOOKUP($A25, INDIRECT("MarR!$A$6:$ZZ$1048576"), MATCH(AO$1, MarR!$6:$6, 0), FALSE),
            0
        ) +
        IFERROR(
            VLOOKUP($A25, INDIRECT("AbrR!$A$6:$ZZ$1048576"), MATCH(AO$1, AbrR!$6:$6, 0), FALSE),
            0
        ) +
        IFERROR(
            VLOOKUP($A25, INDIRECT("MayR!$A$6:$ZZ$1048576"), MATCH(AO$1, MayR!$6:$6, 0), FALSE),
            0
        ) +
        IFERROR(
            VLOOKUP($A25, INDIRECT("JunR!$A$6:$ZZ$1048576"), MATCH(AO$1, JunR!$6:$6, 0), FALSE),
            0
        ) +
        IFERROR(
            VLOOKUP($A25, INDIRECT("JulR!$A$6:$ZZ$1048576"), MATCH(AO$1, JulR!$6:$6, 0), FALSE),
            0
        ) +
        IFERROR(
            VLOOKUP($A25, INDIRECT("AgoR!$A$6:$ZZ$1048576"), MATCH(AO$1, AgoR!$6:$6, 0), FALSE),
            0
        ) +
        IFERROR(
            VLOOKUP($A25, INDIRECT("SepR!$A$6:$ZZ$1048576"), MATCH(AO$1, SepR!$6:$6, 0), FALSE),
            0
        ) +
        IFERROR(
            VLOOKUP($A25, INDIRECT("OctR!$A$6:$ZZ$1048576"), MATCH(AO$1, OctR!$6:$6, 0), FALSE),
            0
        ) +
        IFERROR(
            VLOOKUP($A25, INDIRECT("NovR!$A$6:$ZZ$1048576"), MATCH(AO$1, NovR!$6:$6, 0), FALSE),
            0
        ) +
        IFERROR(
            VLOOKUP($A25, INDIRECT("DicR!$A$6:$ZZ$1048576"), MATCH(AO$1, DicR!$6:$6, 0), FALSE),
            0
        )
)</f>
        <v>0</v>
      </c>
      <c r="AP25" s="36">
        <f t="array" ref="AP25">SUM(
    IFERROR(
            VLOOKUP($A25, INDIRECT("EneR!$A$6:$ZZ$1048576"), MATCH(AP$1, EneR!$6:$6, 0), FALSE),
            0
        ) +
        IFERROR(
            VLOOKUP($A25, INDIRECT("FebR!$A$6:$ZZ$1048576"), MATCH(AP$1, FebR!$6:$6, 0), FALSE),
            0
        ) +
        IFERROR(
            VLOOKUP($A25, INDIRECT("MarR!$A$6:$ZZ$1048576"), MATCH(AP$1, MarR!$6:$6, 0), FALSE),
            0
        ) +
        IFERROR(
            VLOOKUP($A25, INDIRECT("AbrR!$A$6:$ZZ$1048576"), MATCH(AP$1, AbrR!$6:$6, 0), FALSE),
            0
        ) +
        IFERROR(
            VLOOKUP($A25, INDIRECT("MayR!$A$6:$ZZ$1048576"), MATCH(AP$1, MayR!$6:$6, 0), FALSE),
            0
        ) +
        IFERROR(
            VLOOKUP($A25, INDIRECT("JunR!$A$6:$ZZ$1048576"), MATCH(AP$1, JunR!$6:$6, 0), FALSE),
            0
        ) +
        IFERROR(
            VLOOKUP($A25, INDIRECT("JulR!$A$6:$ZZ$1048576"), MATCH(AP$1, JulR!$6:$6, 0), FALSE),
            0
        ) +
        IFERROR(
            VLOOKUP($A25, INDIRECT("AgoR!$A$6:$ZZ$1048576"), MATCH(AP$1, AgoR!$6:$6, 0), FALSE),
            0
        ) +
        IFERROR(
            VLOOKUP($A25, INDIRECT("SepR!$A$6:$ZZ$1048576"), MATCH(AP$1, SepR!$6:$6, 0), FALSE),
            0
        ) +
        IFERROR(
            VLOOKUP($A25, INDIRECT("OctR!$A$6:$ZZ$1048576"), MATCH(AP$1, OctR!$6:$6, 0), FALSE),
            0
        ) +
        IFERROR(
            VLOOKUP($A25, INDIRECT("NovR!$A$6:$ZZ$1048576"), MATCH(AP$1, NovR!$6:$6, 0), FALSE),
            0
        ) +
        IFERROR(
            VLOOKUP($A25, INDIRECT("DicR!$A$6:$ZZ$1048576"), MATCH(AP$1, DicR!$6:$6, 0), FALSE),
            0
        )
)</f>
        <v>0</v>
      </c>
      <c r="AQ25" s="37">
        <f t="array" ref="AQ25">SUM(
    IFERROR(
            VLOOKUP($A25, INDIRECT("EneR!$A$6:$ZZ$1048576"), MATCH(AQ$1, EneR!$6:$6, 0), FALSE),
            0
        ) +
        IFERROR(
            VLOOKUP($A25, INDIRECT("FebR!$A$6:$ZZ$1048576"), MATCH(AQ$1, FebR!$6:$6, 0), FALSE),
            0
        ) +
        IFERROR(
            VLOOKUP($A25, INDIRECT("MarR!$A$6:$ZZ$1048576"), MATCH(AQ$1, MarR!$6:$6, 0), FALSE),
            0
        ) +
        IFERROR(
            VLOOKUP($A25, INDIRECT("AbrR!$A$6:$ZZ$1048576"), MATCH(AQ$1, AbrR!$6:$6, 0), FALSE),
            0
        ) +
        IFERROR(
            VLOOKUP($A25, INDIRECT("MayR!$A$6:$ZZ$1048576"), MATCH(AQ$1, MayR!$6:$6, 0), FALSE),
            0
        ) +
        IFERROR(
            VLOOKUP($A25, INDIRECT("JunR!$A$6:$ZZ$1048576"), MATCH(AQ$1, JunR!$6:$6, 0), FALSE),
            0
        ) +
        IFERROR(
            VLOOKUP($A25, INDIRECT("JulR!$A$6:$ZZ$1048576"), MATCH(AQ$1, JulR!$6:$6, 0), FALSE),
            0
        ) +
        IFERROR(
            VLOOKUP($A25, INDIRECT("AgoR!$A$6:$ZZ$1048576"), MATCH(AQ$1, AgoR!$6:$6, 0), FALSE),
            0
        ) +
        IFERROR(
            VLOOKUP($A25, INDIRECT("SepR!$A$6:$ZZ$1048576"), MATCH(AQ$1, SepR!$6:$6, 0), FALSE),
            0
        ) +
        IFERROR(
            VLOOKUP($A25, INDIRECT("OctR!$A$6:$ZZ$1048576"), MATCH(AQ$1, OctR!$6:$6, 0), FALSE),
            0
        ) +
        IFERROR(
            VLOOKUP($A25, INDIRECT("NovR!$A$6:$ZZ$1048576"), MATCH(AQ$1, NovR!$6:$6, 0), FALSE),
            0
        ) +
        IFERROR(
            VLOOKUP($A25, INDIRECT("DicR!$A$6:$ZZ$1048576"), MATCH(AQ$1, DicR!$6:$6, 0), FALSE),
            0
        )
)</f>
        <v>0</v>
      </c>
      <c r="AR25" s="36">
        <f t="array" ref="AR25">SUM(
    IFERROR(
            VLOOKUP($A25, INDIRECT("EneR!$A$6:$ZZ$1048576"), MATCH(AR$1, EneR!$6:$6, 0), FALSE),
            0
        ) +
        IFERROR(
            VLOOKUP($A25, INDIRECT("FebR!$A$6:$ZZ$1048576"), MATCH(AR$1, FebR!$6:$6, 0), FALSE),
            0
        ) +
        IFERROR(
            VLOOKUP($A25, INDIRECT("MarR!$A$6:$ZZ$1048576"), MATCH(AR$1, MarR!$6:$6, 0), FALSE),
            0
        ) +
        IFERROR(
            VLOOKUP($A25, INDIRECT("AbrR!$A$6:$ZZ$1048576"), MATCH(AR$1, AbrR!$6:$6, 0), FALSE),
            0
        ) +
        IFERROR(
            VLOOKUP($A25, INDIRECT("MayR!$A$6:$ZZ$1048576"), MATCH(AR$1, MayR!$6:$6, 0), FALSE),
            0
        ) +
        IFERROR(
            VLOOKUP($A25, INDIRECT("JunR!$A$6:$ZZ$1048576"), MATCH(AR$1, JunR!$6:$6, 0), FALSE),
            0
        ) +
        IFERROR(
            VLOOKUP($A25, INDIRECT("JulR!$A$6:$ZZ$1048576"), MATCH(AR$1, JulR!$6:$6, 0), FALSE),
            0
        ) +
        IFERROR(
            VLOOKUP($A25, INDIRECT("AgoR!$A$6:$ZZ$1048576"), MATCH(AR$1, AgoR!$6:$6, 0), FALSE),
            0
        ) +
        IFERROR(
            VLOOKUP($A25, INDIRECT("SepR!$A$6:$ZZ$1048576"), MATCH(AR$1, SepR!$6:$6, 0), FALSE),
            0
        ) +
        IFERROR(
            VLOOKUP($A25, INDIRECT("OctR!$A$6:$ZZ$1048576"), MATCH(AR$1, OctR!$6:$6, 0), FALSE),
            0
        ) +
        IFERROR(
            VLOOKUP($A25, INDIRECT("NovR!$A$6:$ZZ$1048576"), MATCH(AR$1, NovR!$6:$6, 0), FALSE),
            0
        ) +
        IFERROR(
            VLOOKUP($A25, INDIRECT("DicR!$A$6:$ZZ$1048576"), MATCH(AR$1, DicR!$6:$6, 0), FALSE),
            0
        )
)</f>
        <v>0</v>
      </c>
      <c r="AS25" s="37">
        <f t="array" ref="AS25">SUM(
    IFERROR(
            VLOOKUP($A25, INDIRECT("EneR!$A$6:$ZZ$1048576"), MATCH(AS$1, EneR!$6:$6, 0), FALSE),
            0
        ) +
        IFERROR(
            VLOOKUP($A25, INDIRECT("FebR!$A$6:$ZZ$1048576"), MATCH(AS$1, FebR!$6:$6, 0), FALSE),
            0
        ) +
        IFERROR(
            VLOOKUP($A25, INDIRECT("MarR!$A$6:$ZZ$1048576"), MATCH(AS$1, MarR!$6:$6, 0), FALSE),
            0
        ) +
        IFERROR(
            VLOOKUP($A25, INDIRECT("AbrR!$A$6:$ZZ$1048576"), MATCH(AS$1, AbrR!$6:$6, 0), FALSE),
            0
        ) +
        IFERROR(
            VLOOKUP($A25, INDIRECT("MayR!$A$6:$ZZ$1048576"), MATCH(AS$1, MayR!$6:$6, 0), FALSE),
            0
        ) +
        IFERROR(
            VLOOKUP($A25, INDIRECT("JunR!$A$6:$ZZ$1048576"), MATCH(AS$1, JunR!$6:$6, 0), FALSE),
            0
        ) +
        IFERROR(
            VLOOKUP($A25, INDIRECT("JulR!$A$6:$ZZ$1048576"), MATCH(AS$1, JulR!$6:$6, 0), FALSE),
            0
        ) +
        IFERROR(
            VLOOKUP($A25, INDIRECT("AgoR!$A$6:$ZZ$1048576"), MATCH(AS$1, AgoR!$6:$6, 0), FALSE),
            0
        ) +
        IFERROR(
            VLOOKUP($A25, INDIRECT("SepR!$A$6:$ZZ$1048576"), MATCH(AS$1, SepR!$6:$6, 0), FALSE),
            0
        ) +
        IFERROR(
            VLOOKUP($A25, INDIRECT("OctR!$A$6:$ZZ$1048576"), MATCH(AS$1, OctR!$6:$6, 0), FALSE),
            0
        ) +
        IFERROR(
            VLOOKUP($A25, INDIRECT("NovR!$A$6:$ZZ$1048576"), MATCH(AS$1, NovR!$6:$6, 0), FALSE),
            0
        ) +
        IFERROR(
            VLOOKUP($A25, INDIRECT("DicR!$A$6:$ZZ$1048576"), MATCH(AS$1, DicR!$6:$6, 0), FALSE),
            0
        )
)</f>
        <v>0</v>
      </c>
      <c r="AT25" s="36">
        <f t="array" ref="AT25">SUM(
    IFERROR(
            VLOOKUP($A25, INDIRECT("EneR!$A$6:$ZZ$1048576"), MATCH(AT$1, EneR!$6:$6, 0), FALSE),
            0
        ) +
        IFERROR(
            VLOOKUP($A25, INDIRECT("FebR!$A$6:$ZZ$1048576"), MATCH(AT$1, FebR!$6:$6, 0), FALSE),
            0
        ) +
        IFERROR(
            VLOOKUP($A25, INDIRECT("MarR!$A$6:$ZZ$1048576"), MATCH(AT$1, MarR!$6:$6, 0), FALSE),
            0
        ) +
        IFERROR(
            VLOOKUP($A25, INDIRECT("AbrR!$A$6:$ZZ$1048576"), MATCH(AT$1, AbrR!$6:$6, 0), FALSE),
            0
        ) +
        IFERROR(
            VLOOKUP($A25, INDIRECT("MayR!$A$6:$ZZ$1048576"), MATCH(AT$1, MayR!$6:$6, 0), FALSE),
            0
        ) +
        IFERROR(
            VLOOKUP($A25, INDIRECT("JunR!$A$6:$ZZ$1048576"), MATCH(AT$1, JunR!$6:$6, 0), FALSE),
            0
        ) +
        IFERROR(
            VLOOKUP($A25, INDIRECT("JulR!$A$6:$ZZ$1048576"), MATCH(AT$1, JulR!$6:$6, 0), FALSE),
            0
        ) +
        IFERROR(
            VLOOKUP($A25, INDIRECT("AgoR!$A$6:$ZZ$1048576"), MATCH(AT$1, AgoR!$6:$6, 0), FALSE),
            0
        ) +
        IFERROR(
            VLOOKUP($A25, INDIRECT("SepR!$A$6:$ZZ$1048576"), MATCH(AT$1, SepR!$6:$6, 0), FALSE),
            0
        ) +
        IFERROR(
            VLOOKUP($A25, INDIRECT("OctR!$A$6:$ZZ$1048576"), MATCH(AT$1, OctR!$6:$6, 0), FALSE),
            0
        ) +
        IFERROR(
            VLOOKUP($A25, INDIRECT("NovR!$A$6:$ZZ$1048576"), MATCH(AT$1, NovR!$6:$6, 0), FALSE),
            0
        ) +
        IFERROR(
            VLOOKUP($A25, INDIRECT("DicR!$A$6:$ZZ$1048576"), MATCH(AT$1, DicR!$6:$6, 0), FALSE),
            0
        )
)</f>
        <v>0</v>
      </c>
      <c r="AU25" s="37">
        <f t="array" ref="AU25">SUM(
    IFERROR(
            VLOOKUP($A25, INDIRECT("EneR!$A$6:$ZZ$1048576"), MATCH(AU$1, EneR!$6:$6, 0), FALSE),
            0
        ) +
        IFERROR(
            VLOOKUP($A25, INDIRECT("FebR!$A$6:$ZZ$1048576"), MATCH(AU$1, FebR!$6:$6, 0), FALSE),
            0
        ) +
        IFERROR(
            VLOOKUP($A25, INDIRECT("MarR!$A$6:$ZZ$1048576"), MATCH(AU$1, MarR!$6:$6, 0), FALSE),
            0
        ) +
        IFERROR(
            VLOOKUP($A25, INDIRECT("AbrR!$A$6:$ZZ$1048576"), MATCH(AU$1, AbrR!$6:$6, 0), FALSE),
            0
        ) +
        IFERROR(
            VLOOKUP($A25, INDIRECT("MayR!$A$6:$ZZ$1048576"), MATCH(AU$1, MayR!$6:$6, 0), FALSE),
            0
        ) +
        IFERROR(
            VLOOKUP($A25, INDIRECT("JunR!$A$6:$ZZ$1048576"), MATCH(AU$1, JunR!$6:$6, 0), FALSE),
            0
        ) +
        IFERROR(
            VLOOKUP($A25, INDIRECT("JulR!$A$6:$ZZ$1048576"), MATCH(AU$1, JulR!$6:$6, 0), FALSE),
            0
        ) +
        IFERROR(
            VLOOKUP($A25, INDIRECT("AgoR!$A$6:$ZZ$1048576"), MATCH(AU$1, AgoR!$6:$6, 0), FALSE),
            0
        ) +
        IFERROR(
            VLOOKUP($A25, INDIRECT("SepR!$A$6:$ZZ$1048576"), MATCH(AU$1, SepR!$6:$6, 0), FALSE),
            0
        ) +
        IFERROR(
            VLOOKUP($A25, INDIRECT("OctR!$A$6:$ZZ$1048576"), MATCH(AU$1, OctR!$6:$6, 0), FALSE),
            0
        ) +
        IFERROR(
            VLOOKUP($A25, INDIRECT("NovR!$A$6:$ZZ$1048576"), MATCH(AU$1, NovR!$6:$6, 0), FALSE),
            0
        ) +
        IFERROR(
            VLOOKUP($A25, INDIRECT("DicR!$A$6:$ZZ$1048576"), MATCH(AU$1, DicR!$6:$6, 0), FALSE),
            0
        )
)</f>
        <v>0</v>
      </c>
      <c r="AV25" s="36">
        <f t="array" ref="AV25">SUM(
    IFERROR(
            VLOOKUP($A25, INDIRECT("EneR!$A$6:$ZZ$1048576"), MATCH(AV$1, EneR!$6:$6, 0), FALSE),
            0
        ) +
        IFERROR(
            VLOOKUP($A25, INDIRECT("FebR!$A$6:$ZZ$1048576"), MATCH(AV$1, FebR!$6:$6, 0), FALSE),
            0
        ) +
        IFERROR(
            VLOOKUP($A25, INDIRECT("MarR!$A$6:$ZZ$1048576"), MATCH(AV$1, MarR!$6:$6, 0), FALSE),
            0
        ) +
        IFERROR(
            VLOOKUP($A25, INDIRECT("AbrR!$A$6:$ZZ$1048576"), MATCH(AV$1, AbrR!$6:$6, 0), FALSE),
            0
        ) +
        IFERROR(
            VLOOKUP($A25, INDIRECT("MayR!$A$6:$ZZ$1048576"), MATCH(AV$1, MayR!$6:$6, 0), FALSE),
            0
        ) +
        IFERROR(
            VLOOKUP($A25, INDIRECT("JunR!$A$6:$ZZ$1048576"), MATCH(AV$1, JunR!$6:$6, 0), FALSE),
            0
        ) +
        IFERROR(
            VLOOKUP($A25, INDIRECT("JulR!$A$6:$ZZ$1048576"), MATCH(AV$1, JulR!$6:$6, 0), FALSE),
            0
        ) +
        IFERROR(
            VLOOKUP($A25, INDIRECT("AgoR!$A$6:$ZZ$1048576"), MATCH(AV$1, AgoR!$6:$6, 0), FALSE),
            0
        ) +
        IFERROR(
            VLOOKUP($A25, INDIRECT("SepR!$A$6:$ZZ$1048576"), MATCH(AV$1, SepR!$6:$6, 0), FALSE),
            0
        ) +
        IFERROR(
            VLOOKUP($A25, INDIRECT("OctR!$A$6:$ZZ$1048576"), MATCH(AV$1, OctR!$6:$6, 0), FALSE),
            0
        ) +
        IFERROR(
            VLOOKUP($A25, INDIRECT("NovR!$A$6:$ZZ$1048576"), MATCH(AV$1, NovR!$6:$6, 0), FALSE),
            0
        ) +
        IFERROR(
            VLOOKUP($A25, INDIRECT("DicR!$A$6:$ZZ$1048576"), MATCH(AV$1, DicR!$6:$6, 0), FALSE),
            0
        )
)</f>
        <v>0</v>
      </c>
      <c r="AW25" s="37">
        <f t="array" ref="AW25">SUM(
    IFERROR(
            VLOOKUP($A25, INDIRECT("EneR!$A$6:$ZZ$1048576"), MATCH(AW$1, EneR!$6:$6, 0), FALSE),
            0
        ) +
        IFERROR(
            VLOOKUP($A25, INDIRECT("FebR!$A$6:$ZZ$1048576"), MATCH(AW$1, FebR!$6:$6, 0), FALSE),
            0
        ) +
        IFERROR(
            VLOOKUP($A25, INDIRECT("MarR!$A$6:$ZZ$1048576"), MATCH(AW$1, MarR!$6:$6, 0), FALSE),
            0
        ) +
        IFERROR(
            VLOOKUP($A25, INDIRECT("AbrR!$A$6:$ZZ$1048576"), MATCH(AW$1, AbrR!$6:$6, 0), FALSE),
            0
        ) +
        IFERROR(
            VLOOKUP($A25, INDIRECT("MayR!$A$6:$ZZ$1048576"), MATCH(AW$1, MayR!$6:$6, 0), FALSE),
            0
        ) +
        IFERROR(
            VLOOKUP($A25, INDIRECT("JunR!$A$6:$ZZ$1048576"), MATCH(AW$1, JunR!$6:$6, 0), FALSE),
            0
        ) +
        IFERROR(
            VLOOKUP($A25, INDIRECT("JulR!$A$6:$ZZ$1048576"), MATCH(AW$1, JulR!$6:$6, 0), FALSE),
            0
        ) +
        IFERROR(
            VLOOKUP($A25, INDIRECT("AgoR!$A$6:$ZZ$1048576"), MATCH(AW$1, AgoR!$6:$6, 0), FALSE),
            0
        ) +
        IFERROR(
            VLOOKUP($A25, INDIRECT("SepR!$A$6:$ZZ$1048576"), MATCH(AW$1, SepR!$6:$6, 0), FALSE),
            0
        ) +
        IFERROR(
            VLOOKUP($A25, INDIRECT("OctR!$A$6:$ZZ$1048576"), MATCH(AW$1, OctR!$6:$6, 0), FALSE),
            0
        ) +
        IFERROR(
            VLOOKUP($A25, INDIRECT("NovR!$A$6:$ZZ$1048576"), MATCH(AW$1, NovR!$6:$6, 0), FALSE),
            0
        ) +
        IFERROR(
            VLOOKUP($A25, INDIRECT("DicR!$A$6:$ZZ$1048576"), MATCH(AW$1, DicR!$6:$6, 0), FALSE),
            0
        )
)</f>
        <v>0</v>
      </c>
      <c r="AX25" s="36">
        <f t="array" ref="AX25">SUM(
    IFERROR(
            VLOOKUP($A25, INDIRECT("EneR!$A$6:$ZZ$1048576"), MATCH(AX$1, EneR!$6:$6, 0), FALSE),
            0
        ) +
        IFERROR(
            VLOOKUP($A25, INDIRECT("FebR!$A$6:$ZZ$1048576"), MATCH(AX$1, FebR!$6:$6, 0), FALSE),
            0
        ) +
        IFERROR(
            VLOOKUP($A25, INDIRECT("MarR!$A$6:$ZZ$1048576"), MATCH(AX$1, MarR!$6:$6, 0), FALSE),
            0
        ) +
        IFERROR(
            VLOOKUP($A25, INDIRECT("AbrR!$A$6:$ZZ$1048576"), MATCH(AX$1, AbrR!$6:$6, 0), FALSE),
            0
        ) +
        IFERROR(
            VLOOKUP($A25, INDIRECT("MayR!$A$6:$ZZ$1048576"), MATCH(AX$1, MayR!$6:$6, 0), FALSE),
            0
        ) +
        IFERROR(
            VLOOKUP($A25, INDIRECT("JunR!$A$6:$ZZ$1048576"), MATCH(AX$1, JunR!$6:$6, 0), FALSE),
            0
        ) +
        IFERROR(
            VLOOKUP($A25, INDIRECT("JulR!$A$6:$ZZ$1048576"), MATCH(AX$1, JulR!$6:$6, 0), FALSE),
            0
        ) +
        IFERROR(
            VLOOKUP($A25, INDIRECT("AgoR!$A$6:$ZZ$1048576"), MATCH(AX$1, AgoR!$6:$6, 0), FALSE),
            0
        ) +
        IFERROR(
            VLOOKUP($A25, INDIRECT("SepR!$A$6:$ZZ$1048576"), MATCH(AX$1, SepR!$6:$6, 0), FALSE),
            0
        ) +
        IFERROR(
            VLOOKUP($A25, INDIRECT("OctR!$A$6:$ZZ$1048576"), MATCH(AX$1, OctR!$6:$6, 0), FALSE),
            0
        ) +
        IFERROR(
            VLOOKUP($A25, INDIRECT("NovR!$A$6:$ZZ$1048576"), MATCH(AX$1, NovR!$6:$6, 0), FALSE),
            0
        ) +
        IFERROR(
            VLOOKUP($A25, INDIRECT("DicR!$A$6:$ZZ$1048576"), MATCH(AX$1, DicR!$6:$6, 0), FALSE),
            0
        )
)</f>
        <v>0</v>
      </c>
      <c r="AY25" s="37">
        <f t="array" ref="AY25">SUM(
    IFERROR(
            VLOOKUP($A25, INDIRECT("EneR!$A$6:$ZZ$1048576"), MATCH(AY$1, EneR!$6:$6, 0), FALSE),
            0
        ) +
        IFERROR(
            VLOOKUP($A25, INDIRECT("FebR!$A$6:$ZZ$1048576"), MATCH(AY$1, FebR!$6:$6, 0), FALSE),
            0
        ) +
        IFERROR(
            VLOOKUP($A25, INDIRECT("MarR!$A$6:$ZZ$1048576"), MATCH(AY$1, MarR!$6:$6, 0), FALSE),
            0
        ) +
        IFERROR(
            VLOOKUP($A25, INDIRECT("AbrR!$A$6:$ZZ$1048576"), MATCH(AY$1, AbrR!$6:$6, 0), FALSE),
            0
        ) +
        IFERROR(
            VLOOKUP($A25, INDIRECT("MayR!$A$6:$ZZ$1048576"), MATCH(AY$1, MayR!$6:$6, 0), FALSE),
            0
        ) +
        IFERROR(
            VLOOKUP($A25, INDIRECT("JunR!$A$6:$ZZ$1048576"), MATCH(AY$1, JunR!$6:$6, 0), FALSE),
            0
        ) +
        IFERROR(
            VLOOKUP($A25, INDIRECT("JulR!$A$6:$ZZ$1048576"), MATCH(AY$1, JulR!$6:$6, 0), FALSE),
            0
        ) +
        IFERROR(
            VLOOKUP($A25, INDIRECT("AgoR!$A$6:$ZZ$1048576"), MATCH(AY$1, AgoR!$6:$6, 0), FALSE),
            0
        ) +
        IFERROR(
            VLOOKUP($A25, INDIRECT("SepR!$A$6:$ZZ$1048576"), MATCH(AY$1, SepR!$6:$6, 0), FALSE),
            0
        ) +
        IFERROR(
            VLOOKUP($A25, INDIRECT("OctR!$A$6:$ZZ$1048576"), MATCH(AY$1, OctR!$6:$6, 0), FALSE),
            0
        ) +
        IFERROR(
            VLOOKUP($A25, INDIRECT("NovR!$A$6:$ZZ$1048576"), MATCH(AY$1, NovR!$6:$6, 0), FALSE),
            0
        ) +
        IFERROR(
            VLOOKUP($A25, INDIRECT("DicR!$A$6:$ZZ$1048576"), MATCH(AY$1, DicR!$6:$6, 0), FALSE),
            0
        )
)</f>
        <v>0</v>
      </c>
      <c r="AZ25" s="37"/>
    </row>
    <row r="26" ht="15.75" customHeight="1">
      <c r="A26" s="12" t="str">
        <f>Menus!R18</f>
        <v/>
      </c>
      <c r="B26" s="32">
        <f t="shared" si="4"/>
        <v>0</v>
      </c>
      <c r="C26" s="33" t="str">
        <f t="shared" si="5"/>
        <v/>
      </c>
      <c r="D26" s="34">
        <f t="array" ref="D26">SUM(
    IFERROR(
            VLOOKUP($A26, INDIRECT("EneR!$A$6:$ZZ$1048576"), MATCH(D$1, EneR!$6:$6, 0), FALSE),
            0
        ) +
        IFERROR(
            VLOOKUP($A26, INDIRECT("FebR!$A$6:$ZZ$1048576"), MATCH(D$1, FebR!$6:$6, 0), FALSE),
            0
        ) +
        IFERROR(
            VLOOKUP($A26, INDIRECT("MarR!$A$6:$ZZ$1048576"), MATCH(D$1, MarR!$6:$6, 0), FALSE),
            0
        ) +
        IFERROR(
            VLOOKUP($A26, INDIRECT("AbrR!$A$6:$ZZ$1048576"), MATCH(D$1, AbrR!$6:$6, 0), FALSE),
            0
        ) +
        IFERROR(
            VLOOKUP($A26, INDIRECT("MayR!$A$6:$ZZ$1048576"), MATCH(D$1, MayR!$6:$6, 0), FALSE),
            0
        ) +
        IFERROR(
            VLOOKUP($A26, INDIRECT("JunR!$A$6:$ZZ$1048576"), MATCH(D$1, JunR!$6:$6, 0), FALSE),
            0
        ) +
        IFERROR(
            VLOOKUP($A26, INDIRECT("JulR!$A$6:$ZZ$1048576"), MATCH(D$1, JulR!$6:$6, 0), FALSE),
            0
        ) +
        IFERROR(
            VLOOKUP($A26, INDIRECT("AgoR!$A$6:$ZZ$1048576"), MATCH(D$1, AgoR!$6:$6, 0), FALSE),
            0
        ) +
        IFERROR(
            VLOOKUP($A26, INDIRECT("SepR!$A$6:$ZZ$1048576"), MATCH(D$1, SepR!$6:$6, 0), FALSE),
            0
        ) +
        IFERROR(
            VLOOKUP($A26, INDIRECT("OctR!$A$6:$ZZ$1048576"), MATCH(D$1, OctR!$6:$6, 0), FALSE),
            0
        ) +
        IFERROR(
            VLOOKUP($A26, INDIRECT("NovR!$A$6:$ZZ$1048576"), MATCH(D$1, NovR!$6:$6, 0), FALSE),
            0
        ) +
        IFERROR(
            VLOOKUP($A26, INDIRECT("DicR!$A$6:$ZZ$1048576"), MATCH(D$1, DicR!$6:$6, 0), FALSE),
            0
        )
)</f>
        <v>0</v>
      </c>
      <c r="E26" s="35">
        <f t="array" ref="E26">SUM(
    IFERROR(
            VLOOKUP($A26, INDIRECT("EneR!$A$6:$ZZ$1048576"), MATCH(E$1, EneR!$6:$6, 0), FALSE),
            0
        ) +
        IFERROR(
            VLOOKUP($A26, INDIRECT("FebR!$A$6:$ZZ$1048576"), MATCH(E$1, FebR!$6:$6, 0), FALSE),
            0
        ) +
        IFERROR(
            VLOOKUP($A26, INDIRECT("MarR!$A$6:$ZZ$1048576"), MATCH(E$1, MarR!$6:$6, 0), FALSE),
            0
        ) +
        IFERROR(
            VLOOKUP($A26, INDIRECT("AbrR!$A$6:$ZZ$1048576"), MATCH(E$1, AbrR!$6:$6, 0), FALSE),
            0
        ) +
        IFERROR(
            VLOOKUP($A26, INDIRECT("MayR!$A$6:$ZZ$1048576"), MATCH(E$1, MayR!$6:$6, 0), FALSE),
            0
        ) +
        IFERROR(
            VLOOKUP($A26, INDIRECT("JunR!$A$6:$ZZ$1048576"), MATCH(E$1, JunR!$6:$6, 0), FALSE),
            0
        ) +
        IFERROR(
            VLOOKUP($A26, INDIRECT("JulR!$A$6:$ZZ$1048576"), MATCH(E$1, JulR!$6:$6, 0), FALSE),
            0
        ) +
        IFERROR(
            VLOOKUP($A26, INDIRECT("AgoR!$A$6:$ZZ$1048576"), MATCH(E$1, AgoR!$6:$6, 0), FALSE),
            0
        ) +
        IFERROR(
            VLOOKUP($A26, INDIRECT("SepR!$A$6:$ZZ$1048576"), MATCH(E$1, SepR!$6:$6, 0), FALSE),
            0
        ) +
        IFERROR(
            VLOOKUP($A26, INDIRECT("OctR!$A$6:$ZZ$1048576"), MATCH(E$1, OctR!$6:$6, 0), FALSE),
            0
        ) +
        IFERROR(
            VLOOKUP($A26, INDIRECT("NovR!$A$6:$ZZ$1048576"), MATCH(E$1, NovR!$6:$6, 0), FALSE),
            0
        ) +
        IFERROR(
            VLOOKUP($A26, INDIRECT("DicR!$A$6:$ZZ$1048576"), MATCH(E$1, DicR!$6:$6, 0), FALSE),
            0
        )
)</f>
        <v>0</v>
      </c>
      <c r="F26" s="32">
        <f t="array" ref="F26">SUM(
    IFERROR(
            VLOOKUP($A26, INDIRECT("EneR!$A$6:$ZZ$1048576"), MATCH(F$1, EneR!$6:$6, 0), FALSE),
            0
        ) +
        IFERROR(
            VLOOKUP($A26, INDIRECT("FebR!$A$6:$ZZ$1048576"), MATCH(F$1, FebR!$6:$6, 0), FALSE),
            0
        ) +
        IFERROR(
            VLOOKUP($A26, INDIRECT("MarR!$A$6:$ZZ$1048576"), MATCH(F$1, MarR!$6:$6, 0), FALSE),
            0
        ) +
        IFERROR(
            VLOOKUP($A26, INDIRECT("AbrR!$A$6:$ZZ$1048576"), MATCH(F$1, AbrR!$6:$6, 0), FALSE),
            0
        ) +
        IFERROR(
            VLOOKUP($A26, INDIRECT("MayR!$A$6:$ZZ$1048576"), MATCH(F$1, MayR!$6:$6, 0), FALSE),
            0
        ) +
        IFERROR(
            VLOOKUP($A26, INDIRECT("JunR!$A$6:$ZZ$1048576"), MATCH(F$1, JunR!$6:$6, 0), FALSE),
            0
        ) +
        IFERROR(
            VLOOKUP($A26, INDIRECT("JulR!$A$6:$ZZ$1048576"), MATCH(F$1, JulR!$6:$6, 0), FALSE),
            0
        ) +
        IFERROR(
            VLOOKUP($A26, INDIRECT("AgoR!$A$6:$ZZ$1048576"), MATCH(F$1, AgoR!$6:$6, 0), FALSE),
            0
        ) +
        IFERROR(
            VLOOKUP($A26, INDIRECT("SepR!$A$6:$ZZ$1048576"), MATCH(F$1, SepR!$6:$6, 0), FALSE),
            0
        ) +
        IFERROR(
            VLOOKUP($A26, INDIRECT("OctR!$A$6:$ZZ$1048576"), MATCH(F$1, OctR!$6:$6, 0), FALSE),
            0
        ) +
        IFERROR(
            VLOOKUP($A26, INDIRECT("NovR!$A$6:$ZZ$1048576"), MATCH(F$1, NovR!$6:$6, 0), FALSE),
            0
        ) +
        IFERROR(
            VLOOKUP($A26, INDIRECT("DicR!$A$6:$ZZ$1048576"), MATCH(F$1, DicR!$6:$6, 0), FALSE),
            0
        )
)</f>
        <v>0</v>
      </c>
      <c r="G26" s="35">
        <f t="array" ref="G26">SUM(
    IFERROR(
            VLOOKUP($A26, INDIRECT("EneR!$A$6:$ZZ$1048576"), MATCH(G$1, EneR!$6:$6, 0), FALSE),
            0
        ) +
        IFERROR(
            VLOOKUP($A26, INDIRECT("FebR!$A$6:$ZZ$1048576"), MATCH(G$1, FebR!$6:$6, 0), FALSE),
            0
        ) +
        IFERROR(
            VLOOKUP($A26, INDIRECT("MarR!$A$6:$ZZ$1048576"), MATCH(G$1, MarR!$6:$6, 0), FALSE),
            0
        ) +
        IFERROR(
            VLOOKUP($A26, INDIRECT("AbrR!$A$6:$ZZ$1048576"), MATCH(G$1, AbrR!$6:$6, 0), FALSE),
            0
        ) +
        IFERROR(
            VLOOKUP($A26, INDIRECT("MayR!$A$6:$ZZ$1048576"), MATCH(G$1, MayR!$6:$6, 0), FALSE),
            0
        ) +
        IFERROR(
            VLOOKUP($A26, INDIRECT("JunR!$A$6:$ZZ$1048576"), MATCH(G$1, JunR!$6:$6, 0), FALSE),
            0
        ) +
        IFERROR(
            VLOOKUP($A26, INDIRECT("JulR!$A$6:$ZZ$1048576"), MATCH(G$1, JulR!$6:$6, 0), FALSE),
            0
        ) +
        IFERROR(
            VLOOKUP($A26, INDIRECT("AgoR!$A$6:$ZZ$1048576"), MATCH(G$1, AgoR!$6:$6, 0), FALSE),
            0
        ) +
        IFERROR(
            VLOOKUP($A26, INDIRECT("SepR!$A$6:$ZZ$1048576"), MATCH(G$1, SepR!$6:$6, 0), FALSE),
            0
        ) +
        IFERROR(
            VLOOKUP($A26, INDIRECT("OctR!$A$6:$ZZ$1048576"), MATCH(G$1, OctR!$6:$6, 0), FALSE),
            0
        ) +
        IFERROR(
            VLOOKUP($A26, INDIRECT("NovR!$A$6:$ZZ$1048576"), MATCH(G$1, NovR!$6:$6, 0), FALSE),
            0
        ) +
        IFERROR(
            VLOOKUP($A26, INDIRECT("DicR!$A$6:$ZZ$1048576"), MATCH(G$1, DicR!$6:$6, 0), FALSE),
            0
        )
)</f>
        <v>0</v>
      </c>
      <c r="H26" s="32">
        <f t="array" ref="H26">SUM(
    IFERROR(
            VLOOKUP($A26, INDIRECT("EneR!$A$6:$ZZ$1048576"), MATCH(H$1, EneR!$6:$6, 0), FALSE),
            0
        ) +
        IFERROR(
            VLOOKUP($A26, INDIRECT("FebR!$A$6:$ZZ$1048576"), MATCH(H$1, FebR!$6:$6, 0), FALSE),
            0
        ) +
        IFERROR(
            VLOOKUP($A26, INDIRECT("MarR!$A$6:$ZZ$1048576"), MATCH(H$1, MarR!$6:$6, 0), FALSE),
            0
        ) +
        IFERROR(
            VLOOKUP($A26, INDIRECT("AbrR!$A$6:$ZZ$1048576"), MATCH(H$1, AbrR!$6:$6, 0), FALSE),
            0
        ) +
        IFERROR(
            VLOOKUP($A26, INDIRECT("MayR!$A$6:$ZZ$1048576"), MATCH(H$1, MayR!$6:$6, 0), FALSE),
            0
        ) +
        IFERROR(
            VLOOKUP($A26, INDIRECT("JunR!$A$6:$ZZ$1048576"), MATCH(H$1, JunR!$6:$6, 0), FALSE),
            0
        ) +
        IFERROR(
            VLOOKUP($A26, INDIRECT("JulR!$A$6:$ZZ$1048576"), MATCH(H$1, JulR!$6:$6, 0), FALSE),
            0
        ) +
        IFERROR(
            VLOOKUP($A26, INDIRECT("AgoR!$A$6:$ZZ$1048576"), MATCH(H$1, AgoR!$6:$6, 0), FALSE),
            0
        ) +
        IFERROR(
            VLOOKUP($A26, INDIRECT("SepR!$A$6:$ZZ$1048576"), MATCH(H$1, SepR!$6:$6, 0), FALSE),
            0
        ) +
        IFERROR(
            VLOOKUP($A26, INDIRECT("OctR!$A$6:$ZZ$1048576"), MATCH(H$1, OctR!$6:$6, 0), FALSE),
            0
        ) +
        IFERROR(
            VLOOKUP($A26, INDIRECT("NovR!$A$6:$ZZ$1048576"), MATCH(H$1, NovR!$6:$6, 0), FALSE),
            0
        ) +
        IFERROR(
            VLOOKUP($A26, INDIRECT("DicR!$A$6:$ZZ$1048576"), MATCH(H$1, DicR!$6:$6, 0), FALSE),
            0
        )
)</f>
        <v>0</v>
      </c>
      <c r="I26" s="35">
        <f t="array" ref="I26">SUM(
    IFERROR(
            VLOOKUP($A26, INDIRECT("EneR!$A$6:$ZZ$1048576"), MATCH(I$1, EneR!$6:$6, 0), FALSE),
            0
        ) +
        IFERROR(
            VLOOKUP($A26, INDIRECT("FebR!$A$6:$ZZ$1048576"), MATCH(I$1, FebR!$6:$6, 0), FALSE),
            0
        ) +
        IFERROR(
            VLOOKUP($A26, INDIRECT("MarR!$A$6:$ZZ$1048576"), MATCH(I$1, MarR!$6:$6, 0), FALSE),
            0
        ) +
        IFERROR(
            VLOOKUP($A26, INDIRECT("AbrR!$A$6:$ZZ$1048576"), MATCH(I$1, AbrR!$6:$6, 0), FALSE),
            0
        ) +
        IFERROR(
            VLOOKUP($A26, INDIRECT("MayR!$A$6:$ZZ$1048576"), MATCH(I$1, MayR!$6:$6, 0), FALSE),
            0
        ) +
        IFERROR(
            VLOOKUP($A26, INDIRECT("JunR!$A$6:$ZZ$1048576"), MATCH(I$1, JunR!$6:$6, 0), FALSE),
            0
        ) +
        IFERROR(
            VLOOKUP($A26, INDIRECT("JulR!$A$6:$ZZ$1048576"), MATCH(I$1, JulR!$6:$6, 0), FALSE),
            0
        ) +
        IFERROR(
            VLOOKUP($A26, INDIRECT("AgoR!$A$6:$ZZ$1048576"), MATCH(I$1, AgoR!$6:$6, 0), FALSE),
            0
        ) +
        IFERROR(
            VLOOKUP($A26, INDIRECT("SepR!$A$6:$ZZ$1048576"), MATCH(I$1, SepR!$6:$6, 0), FALSE),
            0
        ) +
        IFERROR(
            VLOOKUP($A26, INDIRECT("OctR!$A$6:$ZZ$1048576"), MATCH(I$1, OctR!$6:$6, 0), FALSE),
            0
        ) +
        IFERROR(
            VLOOKUP($A26, INDIRECT("NovR!$A$6:$ZZ$1048576"), MATCH(I$1, NovR!$6:$6, 0), FALSE),
            0
        ) +
        IFERROR(
            VLOOKUP($A26, INDIRECT("DicR!$A$6:$ZZ$1048576"), MATCH(I$1, DicR!$6:$6, 0), FALSE),
            0
        )
)</f>
        <v>0</v>
      </c>
      <c r="J26" s="32">
        <f t="array" ref="J26">SUM(
    IFERROR(
            VLOOKUP($A26, INDIRECT("EneR!$A$6:$ZZ$1048576"), MATCH(J$1, EneR!$6:$6, 0), FALSE),
            0
        ) +
        IFERROR(
            VLOOKUP($A26, INDIRECT("FebR!$A$6:$ZZ$1048576"), MATCH(J$1, FebR!$6:$6, 0), FALSE),
            0
        ) +
        IFERROR(
            VLOOKUP($A26, INDIRECT("MarR!$A$6:$ZZ$1048576"), MATCH(J$1, MarR!$6:$6, 0), FALSE),
            0
        ) +
        IFERROR(
            VLOOKUP($A26, INDIRECT("AbrR!$A$6:$ZZ$1048576"), MATCH(J$1, AbrR!$6:$6, 0), FALSE),
            0
        ) +
        IFERROR(
            VLOOKUP($A26, INDIRECT("MayR!$A$6:$ZZ$1048576"), MATCH(J$1, MayR!$6:$6, 0), FALSE),
            0
        ) +
        IFERROR(
            VLOOKUP($A26, INDIRECT("JunR!$A$6:$ZZ$1048576"), MATCH(J$1, JunR!$6:$6, 0), FALSE),
            0
        ) +
        IFERROR(
            VLOOKUP($A26, INDIRECT("JulR!$A$6:$ZZ$1048576"), MATCH(J$1, JulR!$6:$6, 0), FALSE),
            0
        ) +
        IFERROR(
            VLOOKUP($A26, INDIRECT("AgoR!$A$6:$ZZ$1048576"), MATCH(J$1, AgoR!$6:$6, 0), FALSE),
            0
        ) +
        IFERROR(
            VLOOKUP($A26, INDIRECT("SepR!$A$6:$ZZ$1048576"), MATCH(J$1, SepR!$6:$6, 0), FALSE),
            0
        ) +
        IFERROR(
            VLOOKUP($A26, INDIRECT("OctR!$A$6:$ZZ$1048576"), MATCH(J$1, OctR!$6:$6, 0), FALSE),
            0
        ) +
        IFERROR(
            VLOOKUP($A26, INDIRECT("NovR!$A$6:$ZZ$1048576"), MATCH(J$1, NovR!$6:$6, 0), FALSE),
            0
        ) +
        IFERROR(
            VLOOKUP($A26, INDIRECT("DicR!$A$6:$ZZ$1048576"), MATCH(J$1, DicR!$6:$6, 0), FALSE),
            0
        )
)</f>
        <v>0</v>
      </c>
      <c r="K26" s="35">
        <f t="array" ref="K26">SUM(
    IFERROR(
            VLOOKUP($A26, INDIRECT("EneR!$A$6:$ZZ$1048576"), MATCH(K$1, EneR!$6:$6, 0), FALSE),
            0
        ) +
        IFERROR(
            VLOOKUP($A26, INDIRECT("FebR!$A$6:$ZZ$1048576"), MATCH(K$1, FebR!$6:$6, 0), FALSE),
            0
        ) +
        IFERROR(
            VLOOKUP($A26, INDIRECT("MarR!$A$6:$ZZ$1048576"), MATCH(K$1, MarR!$6:$6, 0), FALSE),
            0
        ) +
        IFERROR(
            VLOOKUP($A26, INDIRECT("AbrR!$A$6:$ZZ$1048576"), MATCH(K$1, AbrR!$6:$6, 0), FALSE),
            0
        ) +
        IFERROR(
            VLOOKUP($A26, INDIRECT("MayR!$A$6:$ZZ$1048576"), MATCH(K$1, MayR!$6:$6, 0), FALSE),
            0
        ) +
        IFERROR(
            VLOOKUP($A26, INDIRECT("JunR!$A$6:$ZZ$1048576"), MATCH(K$1, JunR!$6:$6, 0), FALSE),
            0
        ) +
        IFERROR(
            VLOOKUP($A26, INDIRECT("JulR!$A$6:$ZZ$1048576"), MATCH(K$1, JulR!$6:$6, 0), FALSE),
            0
        ) +
        IFERROR(
            VLOOKUP($A26, INDIRECT("AgoR!$A$6:$ZZ$1048576"), MATCH(K$1, AgoR!$6:$6, 0), FALSE),
            0
        ) +
        IFERROR(
            VLOOKUP($A26, INDIRECT("SepR!$A$6:$ZZ$1048576"), MATCH(K$1, SepR!$6:$6, 0), FALSE),
            0
        ) +
        IFERROR(
            VLOOKUP($A26, INDIRECT("OctR!$A$6:$ZZ$1048576"), MATCH(K$1, OctR!$6:$6, 0), FALSE),
            0
        ) +
        IFERROR(
            VLOOKUP($A26, INDIRECT("NovR!$A$6:$ZZ$1048576"), MATCH(K$1, NovR!$6:$6, 0), FALSE),
            0
        ) +
        IFERROR(
            VLOOKUP($A26, INDIRECT("DicR!$A$6:$ZZ$1048576"), MATCH(K$1, DicR!$6:$6, 0), FALSE),
            0
        )
)</f>
        <v>0</v>
      </c>
      <c r="L26" s="32">
        <f t="array" ref="L26">SUM(
    IFERROR(
            VLOOKUP($A26, INDIRECT("EneR!$A$6:$ZZ$1048576"), MATCH(L$1, EneR!$6:$6, 0), FALSE),
            0
        ) +
        IFERROR(
            VLOOKUP($A26, INDIRECT("FebR!$A$6:$ZZ$1048576"), MATCH(L$1, FebR!$6:$6, 0), FALSE),
            0
        ) +
        IFERROR(
            VLOOKUP($A26, INDIRECT("MarR!$A$6:$ZZ$1048576"), MATCH(L$1, MarR!$6:$6, 0), FALSE),
            0
        ) +
        IFERROR(
            VLOOKUP($A26, INDIRECT("AbrR!$A$6:$ZZ$1048576"), MATCH(L$1, AbrR!$6:$6, 0), FALSE),
            0
        ) +
        IFERROR(
            VLOOKUP($A26, INDIRECT("MayR!$A$6:$ZZ$1048576"), MATCH(L$1, MayR!$6:$6, 0), FALSE),
            0
        ) +
        IFERROR(
            VLOOKUP($A26, INDIRECT("JunR!$A$6:$ZZ$1048576"), MATCH(L$1, JunR!$6:$6, 0), FALSE),
            0
        ) +
        IFERROR(
            VLOOKUP($A26, INDIRECT("JulR!$A$6:$ZZ$1048576"), MATCH(L$1, JulR!$6:$6, 0), FALSE),
            0
        ) +
        IFERROR(
            VLOOKUP($A26, INDIRECT("AgoR!$A$6:$ZZ$1048576"), MATCH(L$1, AgoR!$6:$6, 0), FALSE),
            0
        ) +
        IFERROR(
            VLOOKUP($A26, INDIRECT("SepR!$A$6:$ZZ$1048576"), MATCH(L$1, SepR!$6:$6, 0), FALSE),
            0
        ) +
        IFERROR(
            VLOOKUP($A26, INDIRECT("OctR!$A$6:$ZZ$1048576"), MATCH(L$1, OctR!$6:$6, 0), FALSE),
            0
        ) +
        IFERROR(
            VLOOKUP($A26, INDIRECT("NovR!$A$6:$ZZ$1048576"), MATCH(L$1, NovR!$6:$6, 0), FALSE),
            0
        ) +
        IFERROR(
            VLOOKUP($A26, INDIRECT("DicR!$A$6:$ZZ$1048576"), MATCH(L$1, DicR!$6:$6, 0), FALSE),
            0
        )
)</f>
        <v>0</v>
      </c>
      <c r="M26" s="35">
        <f t="array" ref="M26">SUM(
    IFERROR(
            VLOOKUP($A26, INDIRECT("EneR!$A$6:$ZZ$1048576"), MATCH(M$1, EneR!$6:$6, 0), FALSE),
            0
        ) +
        IFERROR(
            VLOOKUP($A26, INDIRECT("FebR!$A$6:$ZZ$1048576"), MATCH(M$1, FebR!$6:$6, 0), FALSE),
            0
        ) +
        IFERROR(
            VLOOKUP($A26, INDIRECT("MarR!$A$6:$ZZ$1048576"), MATCH(M$1, MarR!$6:$6, 0), FALSE),
            0
        ) +
        IFERROR(
            VLOOKUP($A26, INDIRECT("AbrR!$A$6:$ZZ$1048576"), MATCH(M$1, AbrR!$6:$6, 0), FALSE),
            0
        ) +
        IFERROR(
            VLOOKUP($A26, INDIRECT("MayR!$A$6:$ZZ$1048576"), MATCH(M$1, MayR!$6:$6, 0), FALSE),
            0
        ) +
        IFERROR(
            VLOOKUP($A26, INDIRECT("JunR!$A$6:$ZZ$1048576"), MATCH(M$1, JunR!$6:$6, 0), FALSE),
            0
        ) +
        IFERROR(
            VLOOKUP($A26, INDIRECT("JulR!$A$6:$ZZ$1048576"), MATCH(M$1, JulR!$6:$6, 0), FALSE),
            0
        ) +
        IFERROR(
            VLOOKUP($A26, INDIRECT("AgoR!$A$6:$ZZ$1048576"), MATCH(M$1, AgoR!$6:$6, 0), FALSE),
            0
        ) +
        IFERROR(
            VLOOKUP($A26, INDIRECT("SepR!$A$6:$ZZ$1048576"), MATCH(M$1, SepR!$6:$6, 0), FALSE),
            0
        ) +
        IFERROR(
            VLOOKUP($A26, INDIRECT("OctR!$A$6:$ZZ$1048576"), MATCH(M$1, OctR!$6:$6, 0), FALSE),
            0
        ) +
        IFERROR(
            VLOOKUP($A26, INDIRECT("NovR!$A$6:$ZZ$1048576"), MATCH(M$1, NovR!$6:$6, 0), FALSE),
            0
        ) +
        IFERROR(
            VLOOKUP($A26, INDIRECT("DicR!$A$6:$ZZ$1048576"), MATCH(M$1, DicR!$6:$6, 0), FALSE),
            0
        )
)</f>
        <v>0</v>
      </c>
      <c r="N26" s="32">
        <f t="array" ref="N26">SUM(
    IFERROR(
            VLOOKUP($A26, INDIRECT("EneR!$A$6:$ZZ$1048576"), MATCH(N$1, EneR!$6:$6, 0), FALSE),
            0
        ) +
        IFERROR(
            VLOOKUP($A26, INDIRECT("FebR!$A$6:$ZZ$1048576"), MATCH(N$1, FebR!$6:$6, 0), FALSE),
            0
        ) +
        IFERROR(
            VLOOKUP($A26, INDIRECT("MarR!$A$6:$ZZ$1048576"), MATCH(N$1, MarR!$6:$6, 0), FALSE),
            0
        ) +
        IFERROR(
            VLOOKUP($A26, INDIRECT("AbrR!$A$6:$ZZ$1048576"), MATCH(N$1, AbrR!$6:$6, 0), FALSE),
            0
        ) +
        IFERROR(
            VLOOKUP($A26, INDIRECT("MayR!$A$6:$ZZ$1048576"), MATCH(N$1, MayR!$6:$6, 0), FALSE),
            0
        ) +
        IFERROR(
            VLOOKUP($A26, INDIRECT("JunR!$A$6:$ZZ$1048576"), MATCH(N$1, JunR!$6:$6, 0), FALSE),
            0
        ) +
        IFERROR(
            VLOOKUP($A26, INDIRECT("JulR!$A$6:$ZZ$1048576"), MATCH(N$1, JulR!$6:$6, 0), FALSE),
            0
        ) +
        IFERROR(
            VLOOKUP($A26, INDIRECT("AgoR!$A$6:$ZZ$1048576"), MATCH(N$1, AgoR!$6:$6, 0), FALSE),
            0
        ) +
        IFERROR(
            VLOOKUP($A26, INDIRECT("SepR!$A$6:$ZZ$1048576"), MATCH(N$1, SepR!$6:$6, 0), FALSE),
            0
        ) +
        IFERROR(
            VLOOKUP($A26, INDIRECT("OctR!$A$6:$ZZ$1048576"), MATCH(N$1, OctR!$6:$6, 0), FALSE),
            0
        ) +
        IFERROR(
            VLOOKUP($A26, INDIRECT("NovR!$A$6:$ZZ$1048576"), MATCH(N$1, NovR!$6:$6, 0), FALSE),
            0
        ) +
        IFERROR(
            VLOOKUP($A26, INDIRECT("DicR!$A$6:$ZZ$1048576"), MATCH(N$1, DicR!$6:$6, 0), FALSE),
            0
        )
)</f>
        <v>0</v>
      </c>
      <c r="O26" s="35">
        <f t="array" ref="O26">SUM(
    IFERROR(
            VLOOKUP($A26, INDIRECT("EneR!$A$6:$ZZ$1048576"), MATCH(O$1, EneR!$6:$6, 0), FALSE),
            0
        ) +
        IFERROR(
            VLOOKUP($A26, INDIRECT("FebR!$A$6:$ZZ$1048576"), MATCH(O$1, FebR!$6:$6, 0), FALSE),
            0
        ) +
        IFERROR(
            VLOOKUP($A26, INDIRECT("MarR!$A$6:$ZZ$1048576"), MATCH(O$1, MarR!$6:$6, 0), FALSE),
            0
        ) +
        IFERROR(
            VLOOKUP($A26, INDIRECT("AbrR!$A$6:$ZZ$1048576"), MATCH(O$1, AbrR!$6:$6, 0), FALSE),
            0
        ) +
        IFERROR(
            VLOOKUP($A26, INDIRECT("MayR!$A$6:$ZZ$1048576"), MATCH(O$1, MayR!$6:$6, 0), FALSE),
            0
        ) +
        IFERROR(
            VLOOKUP($A26, INDIRECT("JunR!$A$6:$ZZ$1048576"), MATCH(O$1, JunR!$6:$6, 0), FALSE),
            0
        ) +
        IFERROR(
            VLOOKUP($A26, INDIRECT("JulR!$A$6:$ZZ$1048576"), MATCH(O$1, JulR!$6:$6, 0), FALSE),
            0
        ) +
        IFERROR(
            VLOOKUP($A26, INDIRECT("AgoR!$A$6:$ZZ$1048576"), MATCH(O$1, AgoR!$6:$6, 0), FALSE),
            0
        ) +
        IFERROR(
            VLOOKUP($A26, INDIRECT("SepR!$A$6:$ZZ$1048576"), MATCH(O$1, SepR!$6:$6, 0), FALSE),
            0
        ) +
        IFERROR(
            VLOOKUP($A26, INDIRECT("OctR!$A$6:$ZZ$1048576"), MATCH(O$1, OctR!$6:$6, 0), FALSE),
            0
        ) +
        IFERROR(
            VLOOKUP($A26, INDIRECT("NovR!$A$6:$ZZ$1048576"), MATCH(O$1, NovR!$6:$6, 0), FALSE),
            0
        ) +
        IFERROR(
            VLOOKUP($A26, INDIRECT("DicR!$A$6:$ZZ$1048576"), MATCH(O$1, DicR!$6:$6, 0), FALSE),
            0
        )
)</f>
        <v>0</v>
      </c>
      <c r="P26" s="32">
        <f t="array" ref="P26">SUM(
    IFERROR(
            VLOOKUP($A26, INDIRECT("EneR!$A$6:$ZZ$1048576"), MATCH(P$1, EneR!$6:$6, 0), FALSE),
            0
        ) +
        IFERROR(
            VLOOKUP($A26, INDIRECT("FebR!$A$6:$ZZ$1048576"), MATCH(P$1, FebR!$6:$6, 0), FALSE),
            0
        ) +
        IFERROR(
            VLOOKUP($A26, INDIRECT("MarR!$A$6:$ZZ$1048576"), MATCH(P$1, MarR!$6:$6, 0), FALSE),
            0
        ) +
        IFERROR(
            VLOOKUP($A26, INDIRECT("AbrR!$A$6:$ZZ$1048576"), MATCH(P$1, AbrR!$6:$6, 0), FALSE),
            0
        ) +
        IFERROR(
            VLOOKUP($A26, INDIRECT("MayR!$A$6:$ZZ$1048576"), MATCH(P$1, MayR!$6:$6, 0), FALSE),
            0
        ) +
        IFERROR(
            VLOOKUP($A26, INDIRECT("JunR!$A$6:$ZZ$1048576"), MATCH(P$1, JunR!$6:$6, 0), FALSE),
            0
        ) +
        IFERROR(
            VLOOKUP($A26, INDIRECT("JulR!$A$6:$ZZ$1048576"), MATCH(P$1, JulR!$6:$6, 0), FALSE),
            0
        ) +
        IFERROR(
            VLOOKUP($A26, INDIRECT("AgoR!$A$6:$ZZ$1048576"), MATCH(P$1, AgoR!$6:$6, 0), FALSE),
            0
        ) +
        IFERROR(
            VLOOKUP($A26, INDIRECT("SepR!$A$6:$ZZ$1048576"), MATCH(P$1, SepR!$6:$6, 0), FALSE),
            0
        ) +
        IFERROR(
            VLOOKUP($A26, INDIRECT("OctR!$A$6:$ZZ$1048576"), MATCH(P$1, OctR!$6:$6, 0), FALSE),
            0
        ) +
        IFERROR(
            VLOOKUP($A26, INDIRECT("NovR!$A$6:$ZZ$1048576"), MATCH(P$1, NovR!$6:$6, 0), FALSE),
            0
        ) +
        IFERROR(
            VLOOKUP($A26, INDIRECT("DicR!$A$6:$ZZ$1048576"), MATCH(P$1, DicR!$6:$6, 0), FALSE),
            0
        )
)</f>
        <v>0</v>
      </c>
      <c r="Q26" s="35">
        <f t="array" ref="Q26">SUM(
    IFERROR(
            VLOOKUP($A26, INDIRECT("EneR!$A$6:$ZZ$1048576"), MATCH(Q$1, EneR!$6:$6, 0), FALSE),
            0
        ) +
        IFERROR(
            VLOOKUP($A26, INDIRECT("FebR!$A$6:$ZZ$1048576"), MATCH(Q$1, FebR!$6:$6, 0), FALSE),
            0
        ) +
        IFERROR(
            VLOOKUP($A26, INDIRECT("MarR!$A$6:$ZZ$1048576"), MATCH(Q$1, MarR!$6:$6, 0), FALSE),
            0
        ) +
        IFERROR(
            VLOOKUP($A26, INDIRECT("AbrR!$A$6:$ZZ$1048576"), MATCH(Q$1, AbrR!$6:$6, 0), FALSE),
            0
        ) +
        IFERROR(
            VLOOKUP($A26, INDIRECT("MayR!$A$6:$ZZ$1048576"), MATCH(Q$1, MayR!$6:$6, 0), FALSE),
            0
        ) +
        IFERROR(
            VLOOKUP($A26, INDIRECT("JunR!$A$6:$ZZ$1048576"), MATCH(Q$1, JunR!$6:$6, 0), FALSE),
            0
        ) +
        IFERROR(
            VLOOKUP($A26, INDIRECT("JulR!$A$6:$ZZ$1048576"), MATCH(Q$1, JulR!$6:$6, 0), FALSE),
            0
        ) +
        IFERROR(
            VLOOKUP($A26, INDIRECT("AgoR!$A$6:$ZZ$1048576"), MATCH(Q$1, AgoR!$6:$6, 0), FALSE),
            0
        ) +
        IFERROR(
            VLOOKUP($A26, INDIRECT("SepR!$A$6:$ZZ$1048576"), MATCH(Q$1, SepR!$6:$6, 0), FALSE),
            0
        ) +
        IFERROR(
            VLOOKUP($A26, INDIRECT("OctR!$A$6:$ZZ$1048576"), MATCH(Q$1, OctR!$6:$6, 0), FALSE),
            0
        ) +
        IFERROR(
            VLOOKUP($A26, INDIRECT("NovR!$A$6:$ZZ$1048576"), MATCH(Q$1, NovR!$6:$6, 0), FALSE),
            0
        ) +
        IFERROR(
            VLOOKUP($A26, INDIRECT("DicR!$A$6:$ZZ$1048576"), MATCH(Q$1, DicR!$6:$6, 0), FALSE),
            0
        )
)</f>
        <v>0</v>
      </c>
      <c r="R26" s="36">
        <f t="array" ref="R26">SUM(
    IFERROR(
            VLOOKUP($A26, INDIRECT("EneR!$A$6:$ZZ$1048576"), MATCH(R$1, EneR!$6:$6, 0), FALSE),
            0
        ) +
        IFERROR(
            VLOOKUP($A26, INDIRECT("FebR!$A$6:$ZZ$1048576"), MATCH(R$1, FebR!$6:$6, 0), FALSE),
            0
        ) +
        IFERROR(
            VLOOKUP($A26, INDIRECT("MarR!$A$6:$ZZ$1048576"), MATCH(R$1, MarR!$6:$6, 0), FALSE),
            0
        ) +
        IFERROR(
            VLOOKUP($A26, INDIRECT("AbrR!$A$6:$ZZ$1048576"), MATCH(R$1, AbrR!$6:$6, 0), FALSE),
            0
        ) +
        IFERROR(
            VLOOKUP($A26, INDIRECT("MayR!$A$6:$ZZ$1048576"), MATCH(R$1, MayR!$6:$6, 0), FALSE),
            0
        ) +
        IFERROR(
            VLOOKUP($A26, INDIRECT("JunR!$A$6:$ZZ$1048576"), MATCH(R$1, JunR!$6:$6, 0), FALSE),
            0
        ) +
        IFERROR(
            VLOOKUP($A26, INDIRECT("JulR!$A$6:$ZZ$1048576"), MATCH(R$1, JulR!$6:$6, 0), FALSE),
            0
        ) +
        IFERROR(
            VLOOKUP($A26, INDIRECT("AgoR!$A$6:$ZZ$1048576"), MATCH(R$1, AgoR!$6:$6, 0), FALSE),
            0
        ) +
        IFERROR(
            VLOOKUP($A26, INDIRECT("SepR!$A$6:$ZZ$1048576"), MATCH(R$1, SepR!$6:$6, 0), FALSE),
            0
        ) +
        IFERROR(
            VLOOKUP($A26, INDIRECT("OctR!$A$6:$ZZ$1048576"), MATCH(R$1, OctR!$6:$6, 0), FALSE),
            0
        ) +
        IFERROR(
            VLOOKUP($A26, INDIRECT("NovR!$A$6:$ZZ$1048576"), MATCH(R$1, NovR!$6:$6, 0), FALSE),
            0
        ) +
        IFERROR(
            VLOOKUP($A26, INDIRECT("DicR!$A$6:$ZZ$1048576"), MATCH(R$1, DicR!$6:$6, 0), FALSE),
            0
        )
)</f>
        <v>0</v>
      </c>
      <c r="S26" s="37">
        <f t="array" ref="S26">SUM(
    IFERROR(
            VLOOKUP($A26, INDIRECT("EneR!$A$6:$ZZ$1048576"), MATCH(S$1, EneR!$6:$6, 0), FALSE),
            0
        ) +
        IFERROR(
            VLOOKUP($A26, INDIRECT("FebR!$A$6:$ZZ$1048576"), MATCH(S$1, FebR!$6:$6, 0), FALSE),
            0
        ) +
        IFERROR(
            VLOOKUP($A26, INDIRECT("MarR!$A$6:$ZZ$1048576"), MATCH(S$1, MarR!$6:$6, 0), FALSE),
            0
        ) +
        IFERROR(
            VLOOKUP($A26, INDIRECT("AbrR!$A$6:$ZZ$1048576"), MATCH(S$1, AbrR!$6:$6, 0), FALSE),
            0
        ) +
        IFERROR(
            VLOOKUP($A26, INDIRECT("MayR!$A$6:$ZZ$1048576"), MATCH(S$1, MayR!$6:$6, 0), FALSE),
            0
        ) +
        IFERROR(
            VLOOKUP($A26, INDIRECT("JunR!$A$6:$ZZ$1048576"), MATCH(S$1, JunR!$6:$6, 0), FALSE),
            0
        ) +
        IFERROR(
            VLOOKUP($A26, INDIRECT("JulR!$A$6:$ZZ$1048576"), MATCH(S$1, JulR!$6:$6, 0), FALSE),
            0
        ) +
        IFERROR(
            VLOOKUP($A26, INDIRECT("AgoR!$A$6:$ZZ$1048576"), MATCH(S$1, AgoR!$6:$6, 0), FALSE),
            0
        ) +
        IFERROR(
            VLOOKUP($A26, INDIRECT("SepR!$A$6:$ZZ$1048576"), MATCH(S$1, SepR!$6:$6, 0), FALSE),
            0
        ) +
        IFERROR(
            VLOOKUP($A26, INDIRECT("OctR!$A$6:$ZZ$1048576"), MATCH(S$1, OctR!$6:$6, 0), FALSE),
            0
        ) +
        IFERROR(
            VLOOKUP($A26, INDIRECT("NovR!$A$6:$ZZ$1048576"), MATCH(S$1, NovR!$6:$6, 0), FALSE),
            0
        ) +
        IFERROR(
            VLOOKUP($A26, INDIRECT("DicR!$A$6:$ZZ$1048576"), MATCH(S$1, DicR!$6:$6, 0), FALSE),
            0
        )
)</f>
        <v>0</v>
      </c>
      <c r="T26" s="36">
        <f t="array" ref="T26">SUM(
    IFERROR(
            VLOOKUP($A26, INDIRECT("EneR!$A$6:$ZZ$1048576"), MATCH(T$1, EneR!$6:$6, 0), FALSE),
            0
        ) +
        IFERROR(
            VLOOKUP($A26, INDIRECT("FebR!$A$6:$ZZ$1048576"), MATCH(T$1, FebR!$6:$6, 0), FALSE),
            0
        ) +
        IFERROR(
            VLOOKUP($A26, INDIRECT("MarR!$A$6:$ZZ$1048576"), MATCH(T$1, MarR!$6:$6, 0), FALSE),
            0
        ) +
        IFERROR(
            VLOOKUP($A26, INDIRECT("AbrR!$A$6:$ZZ$1048576"), MATCH(T$1, AbrR!$6:$6, 0), FALSE),
            0
        ) +
        IFERROR(
            VLOOKUP($A26, INDIRECT("MayR!$A$6:$ZZ$1048576"), MATCH(T$1, MayR!$6:$6, 0), FALSE),
            0
        ) +
        IFERROR(
            VLOOKUP($A26, INDIRECT("JunR!$A$6:$ZZ$1048576"), MATCH(T$1, JunR!$6:$6, 0), FALSE),
            0
        ) +
        IFERROR(
            VLOOKUP($A26, INDIRECT("JulR!$A$6:$ZZ$1048576"), MATCH(T$1, JulR!$6:$6, 0), FALSE),
            0
        ) +
        IFERROR(
            VLOOKUP($A26, INDIRECT("AgoR!$A$6:$ZZ$1048576"), MATCH(T$1, AgoR!$6:$6, 0), FALSE),
            0
        ) +
        IFERROR(
            VLOOKUP($A26, INDIRECT("SepR!$A$6:$ZZ$1048576"), MATCH(T$1, SepR!$6:$6, 0), FALSE),
            0
        ) +
        IFERROR(
            VLOOKUP($A26, INDIRECT("OctR!$A$6:$ZZ$1048576"), MATCH(T$1, OctR!$6:$6, 0), FALSE),
            0
        ) +
        IFERROR(
            VLOOKUP($A26, INDIRECT("NovR!$A$6:$ZZ$1048576"), MATCH(T$1, NovR!$6:$6, 0), FALSE),
            0
        ) +
        IFERROR(
            VLOOKUP($A26, INDIRECT("DicR!$A$6:$ZZ$1048576"), MATCH(T$1, DicR!$6:$6, 0), FALSE),
            0
        )
)</f>
        <v>0</v>
      </c>
      <c r="U26" s="37">
        <f t="array" ref="U26">SUM(
    IFERROR(
            VLOOKUP($A26, INDIRECT("EneR!$A$6:$ZZ$1048576"), MATCH(U$1, EneR!$6:$6, 0), FALSE),
            0
        ) +
        IFERROR(
            VLOOKUP($A26, INDIRECT("FebR!$A$6:$ZZ$1048576"), MATCH(U$1, FebR!$6:$6, 0), FALSE),
            0
        ) +
        IFERROR(
            VLOOKUP($A26, INDIRECT("MarR!$A$6:$ZZ$1048576"), MATCH(U$1, MarR!$6:$6, 0), FALSE),
            0
        ) +
        IFERROR(
            VLOOKUP($A26, INDIRECT("AbrR!$A$6:$ZZ$1048576"), MATCH(U$1, AbrR!$6:$6, 0), FALSE),
            0
        ) +
        IFERROR(
            VLOOKUP($A26, INDIRECT("MayR!$A$6:$ZZ$1048576"), MATCH(U$1, MayR!$6:$6, 0), FALSE),
            0
        ) +
        IFERROR(
            VLOOKUP($A26, INDIRECT("JunR!$A$6:$ZZ$1048576"), MATCH(U$1, JunR!$6:$6, 0), FALSE),
            0
        ) +
        IFERROR(
            VLOOKUP($A26, INDIRECT("JulR!$A$6:$ZZ$1048576"), MATCH(U$1, JulR!$6:$6, 0), FALSE),
            0
        ) +
        IFERROR(
            VLOOKUP($A26, INDIRECT("AgoR!$A$6:$ZZ$1048576"), MATCH(U$1, AgoR!$6:$6, 0), FALSE),
            0
        ) +
        IFERROR(
            VLOOKUP($A26, INDIRECT("SepR!$A$6:$ZZ$1048576"), MATCH(U$1, SepR!$6:$6, 0), FALSE),
            0
        ) +
        IFERROR(
            VLOOKUP($A26, INDIRECT("OctR!$A$6:$ZZ$1048576"), MATCH(U$1, OctR!$6:$6, 0), FALSE),
            0
        ) +
        IFERROR(
            VLOOKUP($A26, INDIRECT("NovR!$A$6:$ZZ$1048576"), MATCH(U$1, NovR!$6:$6, 0), FALSE),
            0
        ) +
        IFERROR(
            VLOOKUP($A26, INDIRECT("DicR!$A$6:$ZZ$1048576"), MATCH(U$1, DicR!$6:$6, 0), FALSE),
            0
        )
)</f>
        <v>0</v>
      </c>
      <c r="V26" s="36">
        <f t="array" ref="V26">SUM(
    IFERROR(
            VLOOKUP($A26, INDIRECT("EneR!$A$6:$ZZ$1048576"), MATCH(V$1, EneR!$6:$6, 0), FALSE),
            0
        ) +
        IFERROR(
            VLOOKUP($A26, INDIRECT("FebR!$A$6:$ZZ$1048576"), MATCH(V$1, FebR!$6:$6, 0), FALSE),
            0
        ) +
        IFERROR(
            VLOOKUP($A26, INDIRECT("MarR!$A$6:$ZZ$1048576"), MATCH(V$1, MarR!$6:$6, 0), FALSE),
            0
        ) +
        IFERROR(
            VLOOKUP($A26, INDIRECT("AbrR!$A$6:$ZZ$1048576"), MATCH(V$1, AbrR!$6:$6, 0), FALSE),
            0
        ) +
        IFERROR(
            VLOOKUP($A26, INDIRECT("MayR!$A$6:$ZZ$1048576"), MATCH(V$1, MayR!$6:$6, 0), FALSE),
            0
        ) +
        IFERROR(
            VLOOKUP($A26, INDIRECT("JunR!$A$6:$ZZ$1048576"), MATCH(V$1, JunR!$6:$6, 0), FALSE),
            0
        ) +
        IFERROR(
            VLOOKUP($A26, INDIRECT("JulR!$A$6:$ZZ$1048576"), MATCH(V$1, JulR!$6:$6, 0), FALSE),
            0
        ) +
        IFERROR(
            VLOOKUP($A26, INDIRECT("AgoR!$A$6:$ZZ$1048576"), MATCH(V$1, AgoR!$6:$6, 0), FALSE),
            0
        ) +
        IFERROR(
            VLOOKUP($A26, INDIRECT("SepR!$A$6:$ZZ$1048576"), MATCH(V$1, SepR!$6:$6, 0), FALSE),
            0
        ) +
        IFERROR(
            VLOOKUP($A26, INDIRECT("OctR!$A$6:$ZZ$1048576"), MATCH(V$1, OctR!$6:$6, 0), FALSE),
            0
        ) +
        IFERROR(
            VLOOKUP($A26, INDIRECT("NovR!$A$6:$ZZ$1048576"), MATCH(V$1, NovR!$6:$6, 0), FALSE),
            0
        ) +
        IFERROR(
            VLOOKUP($A26, INDIRECT("DicR!$A$6:$ZZ$1048576"), MATCH(V$1, DicR!$6:$6, 0), FALSE),
            0
        )
)</f>
        <v>0</v>
      </c>
      <c r="W26" s="37">
        <f t="array" ref="W26">SUM(
    IFERROR(
            VLOOKUP($A26, INDIRECT("EneR!$A$6:$ZZ$1048576"), MATCH(W$1, EneR!$6:$6, 0), FALSE),
            0
        ) +
        IFERROR(
            VLOOKUP($A26, INDIRECT("FebR!$A$6:$ZZ$1048576"), MATCH(W$1, FebR!$6:$6, 0), FALSE),
            0
        ) +
        IFERROR(
            VLOOKUP($A26, INDIRECT("MarR!$A$6:$ZZ$1048576"), MATCH(W$1, MarR!$6:$6, 0), FALSE),
            0
        ) +
        IFERROR(
            VLOOKUP($A26, INDIRECT("AbrR!$A$6:$ZZ$1048576"), MATCH(W$1, AbrR!$6:$6, 0), FALSE),
            0
        ) +
        IFERROR(
            VLOOKUP($A26, INDIRECT("MayR!$A$6:$ZZ$1048576"), MATCH(W$1, MayR!$6:$6, 0), FALSE),
            0
        ) +
        IFERROR(
            VLOOKUP($A26, INDIRECT("JunR!$A$6:$ZZ$1048576"), MATCH(W$1, JunR!$6:$6, 0), FALSE),
            0
        ) +
        IFERROR(
            VLOOKUP($A26, INDIRECT("JulR!$A$6:$ZZ$1048576"), MATCH(W$1, JulR!$6:$6, 0), FALSE),
            0
        ) +
        IFERROR(
            VLOOKUP($A26, INDIRECT("AgoR!$A$6:$ZZ$1048576"), MATCH(W$1, AgoR!$6:$6, 0), FALSE),
            0
        ) +
        IFERROR(
            VLOOKUP($A26, INDIRECT("SepR!$A$6:$ZZ$1048576"), MATCH(W$1, SepR!$6:$6, 0), FALSE),
            0
        ) +
        IFERROR(
            VLOOKUP($A26, INDIRECT("OctR!$A$6:$ZZ$1048576"), MATCH(W$1, OctR!$6:$6, 0), FALSE),
            0
        ) +
        IFERROR(
            VLOOKUP($A26, INDIRECT("NovR!$A$6:$ZZ$1048576"), MATCH(W$1, NovR!$6:$6, 0), FALSE),
            0
        ) +
        IFERROR(
            VLOOKUP($A26, INDIRECT("DicR!$A$6:$ZZ$1048576"), MATCH(W$1, DicR!$6:$6, 0), FALSE),
            0
        )
)</f>
        <v>0</v>
      </c>
      <c r="X26" s="36">
        <f t="array" ref="X26">SUM(
    IFERROR(
            VLOOKUP($A26, INDIRECT("EneR!$A$6:$ZZ$1048576"), MATCH(X$1, EneR!$6:$6, 0), FALSE),
            0
        ) +
        IFERROR(
            VLOOKUP($A26, INDIRECT("FebR!$A$6:$ZZ$1048576"), MATCH(X$1, FebR!$6:$6, 0), FALSE),
            0
        ) +
        IFERROR(
            VLOOKUP($A26, INDIRECT("MarR!$A$6:$ZZ$1048576"), MATCH(X$1, MarR!$6:$6, 0), FALSE),
            0
        ) +
        IFERROR(
            VLOOKUP($A26, INDIRECT("AbrR!$A$6:$ZZ$1048576"), MATCH(X$1, AbrR!$6:$6, 0), FALSE),
            0
        ) +
        IFERROR(
            VLOOKUP($A26, INDIRECT("MayR!$A$6:$ZZ$1048576"), MATCH(X$1, MayR!$6:$6, 0), FALSE),
            0
        ) +
        IFERROR(
            VLOOKUP($A26, INDIRECT("JunR!$A$6:$ZZ$1048576"), MATCH(X$1, JunR!$6:$6, 0), FALSE),
            0
        ) +
        IFERROR(
            VLOOKUP($A26, INDIRECT("JulR!$A$6:$ZZ$1048576"), MATCH(X$1, JulR!$6:$6, 0), FALSE),
            0
        ) +
        IFERROR(
            VLOOKUP($A26, INDIRECT("AgoR!$A$6:$ZZ$1048576"), MATCH(X$1, AgoR!$6:$6, 0), FALSE),
            0
        ) +
        IFERROR(
            VLOOKUP($A26, INDIRECT("SepR!$A$6:$ZZ$1048576"), MATCH(X$1, SepR!$6:$6, 0), FALSE),
            0
        ) +
        IFERROR(
            VLOOKUP($A26, INDIRECT("OctR!$A$6:$ZZ$1048576"), MATCH(X$1, OctR!$6:$6, 0), FALSE),
            0
        ) +
        IFERROR(
            VLOOKUP($A26, INDIRECT("NovR!$A$6:$ZZ$1048576"), MATCH(X$1, NovR!$6:$6, 0), FALSE),
            0
        ) +
        IFERROR(
            VLOOKUP($A26, INDIRECT("DicR!$A$6:$ZZ$1048576"), MATCH(X$1, DicR!$6:$6, 0), FALSE),
            0
        )
)</f>
        <v>0</v>
      </c>
      <c r="Y26" s="37">
        <f t="array" ref="Y26">SUM(
    IFERROR(
            VLOOKUP($A26, INDIRECT("EneR!$A$6:$ZZ$1048576"), MATCH(Y$1, EneR!$6:$6, 0), FALSE),
            0
        ) +
        IFERROR(
            VLOOKUP($A26, INDIRECT("FebR!$A$6:$ZZ$1048576"), MATCH(Y$1, FebR!$6:$6, 0), FALSE),
            0
        ) +
        IFERROR(
            VLOOKUP($A26, INDIRECT("MarR!$A$6:$ZZ$1048576"), MATCH(Y$1, MarR!$6:$6, 0), FALSE),
            0
        ) +
        IFERROR(
            VLOOKUP($A26, INDIRECT("AbrR!$A$6:$ZZ$1048576"), MATCH(Y$1, AbrR!$6:$6, 0), FALSE),
            0
        ) +
        IFERROR(
            VLOOKUP($A26, INDIRECT("MayR!$A$6:$ZZ$1048576"), MATCH(Y$1, MayR!$6:$6, 0), FALSE),
            0
        ) +
        IFERROR(
            VLOOKUP($A26, INDIRECT("JunR!$A$6:$ZZ$1048576"), MATCH(Y$1, JunR!$6:$6, 0), FALSE),
            0
        ) +
        IFERROR(
            VLOOKUP($A26, INDIRECT("JulR!$A$6:$ZZ$1048576"), MATCH(Y$1, JulR!$6:$6, 0), FALSE),
            0
        ) +
        IFERROR(
            VLOOKUP($A26, INDIRECT("AgoR!$A$6:$ZZ$1048576"), MATCH(Y$1, AgoR!$6:$6, 0), FALSE),
            0
        ) +
        IFERROR(
            VLOOKUP($A26, INDIRECT("SepR!$A$6:$ZZ$1048576"), MATCH(Y$1, SepR!$6:$6, 0), FALSE),
            0
        ) +
        IFERROR(
            VLOOKUP($A26, INDIRECT("OctR!$A$6:$ZZ$1048576"), MATCH(Y$1, OctR!$6:$6, 0), FALSE),
            0
        ) +
        IFERROR(
            VLOOKUP($A26, INDIRECT("NovR!$A$6:$ZZ$1048576"), MATCH(Y$1, NovR!$6:$6, 0), FALSE),
            0
        ) +
        IFERROR(
            VLOOKUP($A26, INDIRECT("DicR!$A$6:$ZZ$1048576"), MATCH(Y$1, DicR!$6:$6, 0), FALSE),
            0
        )
)</f>
        <v>0</v>
      </c>
      <c r="Z26" s="36">
        <f t="array" ref="Z26">SUM(
    IFERROR(
            VLOOKUP($A26, INDIRECT("EneR!$A$6:$ZZ$1048576"), MATCH(Z$1, EneR!$6:$6, 0), FALSE),
            0
        ) +
        IFERROR(
            VLOOKUP($A26, INDIRECT("FebR!$A$6:$ZZ$1048576"), MATCH(Z$1, FebR!$6:$6, 0), FALSE),
            0
        ) +
        IFERROR(
            VLOOKUP($A26, INDIRECT("MarR!$A$6:$ZZ$1048576"), MATCH(Z$1, MarR!$6:$6, 0), FALSE),
            0
        ) +
        IFERROR(
            VLOOKUP($A26, INDIRECT("AbrR!$A$6:$ZZ$1048576"), MATCH(Z$1, AbrR!$6:$6, 0), FALSE),
            0
        ) +
        IFERROR(
            VLOOKUP($A26, INDIRECT("MayR!$A$6:$ZZ$1048576"), MATCH(Z$1, MayR!$6:$6, 0), FALSE),
            0
        ) +
        IFERROR(
            VLOOKUP($A26, INDIRECT("JunR!$A$6:$ZZ$1048576"), MATCH(Z$1, JunR!$6:$6, 0), FALSE),
            0
        ) +
        IFERROR(
            VLOOKUP($A26, INDIRECT("JulR!$A$6:$ZZ$1048576"), MATCH(Z$1, JulR!$6:$6, 0), FALSE),
            0
        ) +
        IFERROR(
            VLOOKUP($A26, INDIRECT("AgoR!$A$6:$ZZ$1048576"), MATCH(Z$1, AgoR!$6:$6, 0), FALSE),
            0
        ) +
        IFERROR(
            VLOOKUP($A26, INDIRECT("SepR!$A$6:$ZZ$1048576"), MATCH(Z$1, SepR!$6:$6, 0), FALSE),
            0
        ) +
        IFERROR(
            VLOOKUP($A26, INDIRECT("OctR!$A$6:$ZZ$1048576"), MATCH(Z$1, OctR!$6:$6, 0), FALSE),
            0
        ) +
        IFERROR(
            VLOOKUP($A26, INDIRECT("NovR!$A$6:$ZZ$1048576"), MATCH(Z$1, NovR!$6:$6, 0), FALSE),
            0
        ) +
        IFERROR(
            VLOOKUP($A26, INDIRECT("DicR!$A$6:$ZZ$1048576"), MATCH(Z$1, DicR!$6:$6, 0), FALSE),
            0
        )
)</f>
        <v>0</v>
      </c>
      <c r="AA26" s="37">
        <f t="array" ref="AA26">SUM(
    IFERROR(
            VLOOKUP($A26, INDIRECT("EneR!$A$6:$ZZ$1048576"), MATCH(AA$1, EneR!$6:$6, 0), FALSE),
            0
        ) +
        IFERROR(
            VLOOKUP($A26, INDIRECT("FebR!$A$6:$ZZ$1048576"), MATCH(AA$1, FebR!$6:$6, 0), FALSE),
            0
        ) +
        IFERROR(
            VLOOKUP($A26, INDIRECT("MarR!$A$6:$ZZ$1048576"), MATCH(AA$1, MarR!$6:$6, 0), FALSE),
            0
        ) +
        IFERROR(
            VLOOKUP($A26, INDIRECT("AbrR!$A$6:$ZZ$1048576"), MATCH(AA$1, AbrR!$6:$6, 0), FALSE),
            0
        ) +
        IFERROR(
            VLOOKUP($A26, INDIRECT("MayR!$A$6:$ZZ$1048576"), MATCH(AA$1, MayR!$6:$6, 0), FALSE),
            0
        ) +
        IFERROR(
            VLOOKUP($A26, INDIRECT("JunR!$A$6:$ZZ$1048576"), MATCH(AA$1, JunR!$6:$6, 0), FALSE),
            0
        ) +
        IFERROR(
            VLOOKUP($A26, INDIRECT("JulR!$A$6:$ZZ$1048576"), MATCH(AA$1, JulR!$6:$6, 0), FALSE),
            0
        ) +
        IFERROR(
            VLOOKUP($A26, INDIRECT("AgoR!$A$6:$ZZ$1048576"), MATCH(AA$1, AgoR!$6:$6, 0), FALSE),
            0
        ) +
        IFERROR(
            VLOOKUP($A26, INDIRECT("SepR!$A$6:$ZZ$1048576"), MATCH(AA$1, SepR!$6:$6, 0), FALSE),
            0
        ) +
        IFERROR(
            VLOOKUP($A26, INDIRECT("OctR!$A$6:$ZZ$1048576"), MATCH(AA$1, OctR!$6:$6, 0), FALSE),
            0
        ) +
        IFERROR(
            VLOOKUP($A26, INDIRECT("NovR!$A$6:$ZZ$1048576"), MATCH(AA$1, NovR!$6:$6, 0), FALSE),
            0
        ) +
        IFERROR(
            VLOOKUP($A26, INDIRECT("DicR!$A$6:$ZZ$1048576"), MATCH(AA$1, DicR!$6:$6, 0), FALSE),
            0
        )
)</f>
        <v>0</v>
      </c>
      <c r="AB26" s="36">
        <f t="array" ref="AB26">SUM(
    IFERROR(
            VLOOKUP($A26, INDIRECT("EneR!$A$6:$ZZ$1048576"), MATCH(AB$1, EneR!$6:$6, 0), FALSE),
            0
        ) +
        IFERROR(
            VLOOKUP($A26, INDIRECT("FebR!$A$6:$ZZ$1048576"), MATCH(AB$1, FebR!$6:$6, 0), FALSE),
            0
        ) +
        IFERROR(
            VLOOKUP($A26, INDIRECT("MarR!$A$6:$ZZ$1048576"), MATCH(AB$1, MarR!$6:$6, 0), FALSE),
            0
        ) +
        IFERROR(
            VLOOKUP($A26, INDIRECT("AbrR!$A$6:$ZZ$1048576"), MATCH(AB$1, AbrR!$6:$6, 0), FALSE),
            0
        ) +
        IFERROR(
            VLOOKUP($A26, INDIRECT("MayR!$A$6:$ZZ$1048576"), MATCH(AB$1, MayR!$6:$6, 0), FALSE),
            0
        ) +
        IFERROR(
            VLOOKUP($A26, INDIRECT("JunR!$A$6:$ZZ$1048576"), MATCH(AB$1, JunR!$6:$6, 0), FALSE),
            0
        ) +
        IFERROR(
            VLOOKUP($A26, INDIRECT("JulR!$A$6:$ZZ$1048576"), MATCH(AB$1, JulR!$6:$6, 0), FALSE),
            0
        ) +
        IFERROR(
            VLOOKUP($A26, INDIRECT("AgoR!$A$6:$ZZ$1048576"), MATCH(AB$1, AgoR!$6:$6, 0), FALSE),
            0
        ) +
        IFERROR(
            VLOOKUP($A26, INDIRECT("SepR!$A$6:$ZZ$1048576"), MATCH(AB$1, SepR!$6:$6, 0), FALSE),
            0
        ) +
        IFERROR(
            VLOOKUP($A26, INDIRECT("OctR!$A$6:$ZZ$1048576"), MATCH(AB$1, OctR!$6:$6, 0), FALSE),
            0
        ) +
        IFERROR(
            VLOOKUP($A26, INDIRECT("NovR!$A$6:$ZZ$1048576"), MATCH(AB$1, NovR!$6:$6, 0), FALSE),
            0
        ) +
        IFERROR(
            VLOOKUP($A26, INDIRECT("DicR!$A$6:$ZZ$1048576"), MATCH(AB$1, DicR!$6:$6, 0), FALSE),
            0
        )
)</f>
        <v>0</v>
      </c>
      <c r="AC26" s="37">
        <f t="array" ref="AC26">SUM(
    IFERROR(
            VLOOKUP($A26, INDIRECT("EneR!$A$6:$ZZ$1048576"), MATCH(AC$1, EneR!$6:$6, 0), FALSE),
            0
        ) +
        IFERROR(
            VLOOKUP($A26, INDIRECT("FebR!$A$6:$ZZ$1048576"), MATCH(AC$1, FebR!$6:$6, 0), FALSE),
            0
        ) +
        IFERROR(
            VLOOKUP($A26, INDIRECT("MarR!$A$6:$ZZ$1048576"), MATCH(AC$1, MarR!$6:$6, 0), FALSE),
            0
        ) +
        IFERROR(
            VLOOKUP($A26, INDIRECT("AbrR!$A$6:$ZZ$1048576"), MATCH(AC$1, AbrR!$6:$6, 0), FALSE),
            0
        ) +
        IFERROR(
            VLOOKUP($A26, INDIRECT("MayR!$A$6:$ZZ$1048576"), MATCH(AC$1, MayR!$6:$6, 0), FALSE),
            0
        ) +
        IFERROR(
            VLOOKUP($A26, INDIRECT("JunR!$A$6:$ZZ$1048576"), MATCH(AC$1, JunR!$6:$6, 0), FALSE),
            0
        ) +
        IFERROR(
            VLOOKUP($A26, INDIRECT("JulR!$A$6:$ZZ$1048576"), MATCH(AC$1, JulR!$6:$6, 0), FALSE),
            0
        ) +
        IFERROR(
            VLOOKUP($A26, INDIRECT("AgoR!$A$6:$ZZ$1048576"), MATCH(AC$1, AgoR!$6:$6, 0), FALSE),
            0
        ) +
        IFERROR(
            VLOOKUP($A26, INDIRECT("SepR!$A$6:$ZZ$1048576"), MATCH(AC$1, SepR!$6:$6, 0), FALSE),
            0
        ) +
        IFERROR(
            VLOOKUP($A26, INDIRECT("OctR!$A$6:$ZZ$1048576"), MATCH(AC$1, OctR!$6:$6, 0), FALSE),
            0
        ) +
        IFERROR(
            VLOOKUP($A26, INDIRECT("NovR!$A$6:$ZZ$1048576"), MATCH(AC$1, NovR!$6:$6, 0), FALSE),
            0
        ) +
        IFERROR(
            VLOOKUP($A26, INDIRECT("DicR!$A$6:$ZZ$1048576"), MATCH(AC$1, DicR!$6:$6, 0), FALSE),
            0
        )
)</f>
        <v>0</v>
      </c>
      <c r="AD26" s="36">
        <f t="array" ref="AD26">SUM(
    IFERROR(
            VLOOKUP($A26, INDIRECT("EneR!$A$6:$ZZ$1048576"), MATCH(AD$1, EneR!$6:$6, 0), FALSE),
            0
        ) +
        IFERROR(
            VLOOKUP($A26, INDIRECT("FebR!$A$6:$ZZ$1048576"), MATCH(AD$1, FebR!$6:$6, 0), FALSE),
            0
        ) +
        IFERROR(
            VLOOKUP($A26, INDIRECT("MarR!$A$6:$ZZ$1048576"), MATCH(AD$1, MarR!$6:$6, 0), FALSE),
            0
        ) +
        IFERROR(
            VLOOKUP($A26, INDIRECT("AbrR!$A$6:$ZZ$1048576"), MATCH(AD$1, AbrR!$6:$6, 0), FALSE),
            0
        ) +
        IFERROR(
            VLOOKUP($A26, INDIRECT("MayR!$A$6:$ZZ$1048576"), MATCH(AD$1, MayR!$6:$6, 0), FALSE),
            0
        ) +
        IFERROR(
            VLOOKUP($A26, INDIRECT("JunR!$A$6:$ZZ$1048576"), MATCH(AD$1, JunR!$6:$6, 0), FALSE),
            0
        ) +
        IFERROR(
            VLOOKUP($A26, INDIRECT("JulR!$A$6:$ZZ$1048576"), MATCH(AD$1, JulR!$6:$6, 0), FALSE),
            0
        ) +
        IFERROR(
            VLOOKUP($A26, INDIRECT("AgoR!$A$6:$ZZ$1048576"), MATCH(AD$1, AgoR!$6:$6, 0), FALSE),
            0
        ) +
        IFERROR(
            VLOOKUP($A26, INDIRECT("SepR!$A$6:$ZZ$1048576"), MATCH(AD$1, SepR!$6:$6, 0), FALSE),
            0
        ) +
        IFERROR(
            VLOOKUP($A26, INDIRECT("OctR!$A$6:$ZZ$1048576"), MATCH(AD$1, OctR!$6:$6, 0), FALSE),
            0
        ) +
        IFERROR(
            VLOOKUP($A26, INDIRECT("NovR!$A$6:$ZZ$1048576"), MATCH(AD$1, NovR!$6:$6, 0), FALSE),
            0
        ) +
        IFERROR(
            VLOOKUP($A26, INDIRECT("DicR!$A$6:$ZZ$1048576"), MATCH(AD$1, DicR!$6:$6, 0), FALSE),
            0
        )
)</f>
        <v>0</v>
      </c>
      <c r="AE26" s="37">
        <f t="array" ref="AE26">SUM(
    IFERROR(
            VLOOKUP($A26, INDIRECT("EneR!$A$6:$ZZ$1048576"), MATCH(AE$1, EneR!$6:$6, 0), FALSE),
            0
        ) +
        IFERROR(
            VLOOKUP($A26, INDIRECT("FebR!$A$6:$ZZ$1048576"), MATCH(AE$1, FebR!$6:$6, 0), FALSE),
            0
        ) +
        IFERROR(
            VLOOKUP($A26, INDIRECT("MarR!$A$6:$ZZ$1048576"), MATCH(AE$1, MarR!$6:$6, 0), FALSE),
            0
        ) +
        IFERROR(
            VLOOKUP($A26, INDIRECT("AbrR!$A$6:$ZZ$1048576"), MATCH(AE$1, AbrR!$6:$6, 0), FALSE),
            0
        ) +
        IFERROR(
            VLOOKUP($A26, INDIRECT("MayR!$A$6:$ZZ$1048576"), MATCH(AE$1, MayR!$6:$6, 0), FALSE),
            0
        ) +
        IFERROR(
            VLOOKUP($A26, INDIRECT("JunR!$A$6:$ZZ$1048576"), MATCH(AE$1, JunR!$6:$6, 0), FALSE),
            0
        ) +
        IFERROR(
            VLOOKUP($A26, INDIRECT("JulR!$A$6:$ZZ$1048576"), MATCH(AE$1, JulR!$6:$6, 0), FALSE),
            0
        ) +
        IFERROR(
            VLOOKUP($A26, INDIRECT("AgoR!$A$6:$ZZ$1048576"), MATCH(AE$1, AgoR!$6:$6, 0), FALSE),
            0
        ) +
        IFERROR(
            VLOOKUP($A26, INDIRECT("SepR!$A$6:$ZZ$1048576"), MATCH(AE$1, SepR!$6:$6, 0), FALSE),
            0
        ) +
        IFERROR(
            VLOOKUP($A26, INDIRECT("OctR!$A$6:$ZZ$1048576"), MATCH(AE$1, OctR!$6:$6, 0), FALSE),
            0
        ) +
        IFERROR(
            VLOOKUP($A26, INDIRECT("NovR!$A$6:$ZZ$1048576"), MATCH(AE$1, NovR!$6:$6, 0), FALSE),
            0
        ) +
        IFERROR(
            VLOOKUP($A26, INDIRECT("DicR!$A$6:$ZZ$1048576"), MATCH(AE$1, DicR!$6:$6, 0), FALSE),
            0
        )
)</f>
        <v>0</v>
      </c>
      <c r="AF26" s="36">
        <f t="array" ref="AF26">SUM(
    IFERROR(
            VLOOKUP($A26, INDIRECT("EneR!$A$6:$ZZ$1048576"), MATCH(AF$1, EneR!$6:$6, 0), FALSE),
            0
        ) +
        IFERROR(
            VLOOKUP($A26, INDIRECT("FebR!$A$6:$ZZ$1048576"), MATCH(AF$1, FebR!$6:$6, 0), FALSE),
            0
        ) +
        IFERROR(
            VLOOKUP($A26, INDIRECT("MarR!$A$6:$ZZ$1048576"), MATCH(AF$1, MarR!$6:$6, 0), FALSE),
            0
        ) +
        IFERROR(
            VLOOKUP($A26, INDIRECT("AbrR!$A$6:$ZZ$1048576"), MATCH(AF$1, AbrR!$6:$6, 0), FALSE),
            0
        ) +
        IFERROR(
            VLOOKUP($A26, INDIRECT("MayR!$A$6:$ZZ$1048576"), MATCH(AF$1, MayR!$6:$6, 0), FALSE),
            0
        ) +
        IFERROR(
            VLOOKUP($A26, INDIRECT("JunR!$A$6:$ZZ$1048576"), MATCH(AF$1, JunR!$6:$6, 0), FALSE),
            0
        ) +
        IFERROR(
            VLOOKUP($A26, INDIRECT("JulR!$A$6:$ZZ$1048576"), MATCH(AF$1, JulR!$6:$6, 0), FALSE),
            0
        ) +
        IFERROR(
            VLOOKUP($A26, INDIRECT("AgoR!$A$6:$ZZ$1048576"), MATCH(AF$1, AgoR!$6:$6, 0), FALSE),
            0
        ) +
        IFERROR(
            VLOOKUP($A26, INDIRECT("SepR!$A$6:$ZZ$1048576"), MATCH(AF$1, SepR!$6:$6, 0), FALSE),
            0
        ) +
        IFERROR(
            VLOOKUP($A26, INDIRECT("OctR!$A$6:$ZZ$1048576"), MATCH(AF$1, OctR!$6:$6, 0), FALSE),
            0
        ) +
        IFERROR(
            VLOOKUP($A26, INDIRECT("NovR!$A$6:$ZZ$1048576"), MATCH(AF$1, NovR!$6:$6, 0), FALSE),
            0
        ) +
        IFERROR(
            VLOOKUP($A26, INDIRECT("DicR!$A$6:$ZZ$1048576"), MATCH(AF$1, DicR!$6:$6, 0), FALSE),
            0
        )
)</f>
        <v>0</v>
      </c>
      <c r="AG26" s="37">
        <f t="array" ref="AG26">SUM(
    IFERROR(
            VLOOKUP($A26, INDIRECT("EneR!$A$6:$ZZ$1048576"), MATCH(AG$1, EneR!$6:$6, 0), FALSE),
            0
        ) +
        IFERROR(
            VLOOKUP($A26, INDIRECT("FebR!$A$6:$ZZ$1048576"), MATCH(AG$1, FebR!$6:$6, 0), FALSE),
            0
        ) +
        IFERROR(
            VLOOKUP($A26, INDIRECT("MarR!$A$6:$ZZ$1048576"), MATCH(AG$1, MarR!$6:$6, 0), FALSE),
            0
        ) +
        IFERROR(
            VLOOKUP($A26, INDIRECT("AbrR!$A$6:$ZZ$1048576"), MATCH(AG$1, AbrR!$6:$6, 0), FALSE),
            0
        ) +
        IFERROR(
            VLOOKUP($A26, INDIRECT("MayR!$A$6:$ZZ$1048576"), MATCH(AG$1, MayR!$6:$6, 0), FALSE),
            0
        ) +
        IFERROR(
            VLOOKUP($A26, INDIRECT("JunR!$A$6:$ZZ$1048576"), MATCH(AG$1, JunR!$6:$6, 0), FALSE),
            0
        ) +
        IFERROR(
            VLOOKUP($A26, INDIRECT("JulR!$A$6:$ZZ$1048576"), MATCH(AG$1, JulR!$6:$6, 0), FALSE),
            0
        ) +
        IFERROR(
            VLOOKUP($A26, INDIRECT("AgoR!$A$6:$ZZ$1048576"), MATCH(AG$1, AgoR!$6:$6, 0), FALSE),
            0
        ) +
        IFERROR(
            VLOOKUP($A26, INDIRECT("SepR!$A$6:$ZZ$1048576"), MATCH(AG$1, SepR!$6:$6, 0), FALSE),
            0
        ) +
        IFERROR(
            VLOOKUP($A26, INDIRECT("OctR!$A$6:$ZZ$1048576"), MATCH(AG$1, OctR!$6:$6, 0), FALSE),
            0
        ) +
        IFERROR(
            VLOOKUP($A26, INDIRECT("NovR!$A$6:$ZZ$1048576"), MATCH(AG$1, NovR!$6:$6, 0), FALSE),
            0
        ) +
        IFERROR(
            VLOOKUP($A26, INDIRECT("DicR!$A$6:$ZZ$1048576"), MATCH(AG$1, DicR!$6:$6, 0), FALSE),
            0
        )
)</f>
        <v>0</v>
      </c>
      <c r="AH26" s="36">
        <f t="array" ref="AH26">SUM(
    IFERROR(
            VLOOKUP($A26, INDIRECT("EneR!$A$6:$ZZ$1048576"), MATCH(AH$1, EneR!$6:$6, 0), FALSE),
            0
        ) +
        IFERROR(
            VLOOKUP($A26, INDIRECT("FebR!$A$6:$ZZ$1048576"), MATCH(AH$1, FebR!$6:$6, 0), FALSE),
            0
        ) +
        IFERROR(
            VLOOKUP($A26, INDIRECT("MarR!$A$6:$ZZ$1048576"), MATCH(AH$1, MarR!$6:$6, 0), FALSE),
            0
        ) +
        IFERROR(
            VLOOKUP($A26, INDIRECT("AbrR!$A$6:$ZZ$1048576"), MATCH(AH$1, AbrR!$6:$6, 0), FALSE),
            0
        ) +
        IFERROR(
            VLOOKUP($A26, INDIRECT("MayR!$A$6:$ZZ$1048576"), MATCH(AH$1, MayR!$6:$6, 0), FALSE),
            0
        ) +
        IFERROR(
            VLOOKUP($A26, INDIRECT("JunR!$A$6:$ZZ$1048576"), MATCH(AH$1, JunR!$6:$6, 0), FALSE),
            0
        ) +
        IFERROR(
            VLOOKUP($A26, INDIRECT("JulR!$A$6:$ZZ$1048576"), MATCH(AH$1, JulR!$6:$6, 0), FALSE),
            0
        ) +
        IFERROR(
            VLOOKUP($A26, INDIRECT("AgoR!$A$6:$ZZ$1048576"), MATCH(AH$1, AgoR!$6:$6, 0), FALSE),
            0
        ) +
        IFERROR(
            VLOOKUP($A26, INDIRECT("SepR!$A$6:$ZZ$1048576"), MATCH(AH$1, SepR!$6:$6, 0), FALSE),
            0
        ) +
        IFERROR(
            VLOOKUP($A26, INDIRECT("OctR!$A$6:$ZZ$1048576"), MATCH(AH$1, OctR!$6:$6, 0), FALSE),
            0
        ) +
        IFERROR(
            VLOOKUP($A26, INDIRECT("NovR!$A$6:$ZZ$1048576"), MATCH(AH$1, NovR!$6:$6, 0), FALSE),
            0
        ) +
        IFERROR(
            VLOOKUP($A26, INDIRECT("DicR!$A$6:$ZZ$1048576"), MATCH(AH$1, DicR!$6:$6, 0), FALSE),
            0
        )
)</f>
        <v>0</v>
      </c>
      <c r="AI26" s="37">
        <f t="array" ref="AI26">SUM(
    IFERROR(
            VLOOKUP($A26, INDIRECT("EneR!$A$6:$ZZ$1048576"), MATCH(AI$1, EneR!$6:$6, 0), FALSE),
            0
        ) +
        IFERROR(
            VLOOKUP($A26, INDIRECT("FebR!$A$6:$ZZ$1048576"), MATCH(AI$1, FebR!$6:$6, 0), FALSE),
            0
        ) +
        IFERROR(
            VLOOKUP($A26, INDIRECT("MarR!$A$6:$ZZ$1048576"), MATCH(AI$1, MarR!$6:$6, 0), FALSE),
            0
        ) +
        IFERROR(
            VLOOKUP($A26, INDIRECT("AbrR!$A$6:$ZZ$1048576"), MATCH(AI$1, AbrR!$6:$6, 0), FALSE),
            0
        ) +
        IFERROR(
            VLOOKUP($A26, INDIRECT("MayR!$A$6:$ZZ$1048576"), MATCH(AI$1, MayR!$6:$6, 0), FALSE),
            0
        ) +
        IFERROR(
            VLOOKUP($A26, INDIRECT("JunR!$A$6:$ZZ$1048576"), MATCH(AI$1, JunR!$6:$6, 0), FALSE),
            0
        ) +
        IFERROR(
            VLOOKUP($A26, INDIRECT("JulR!$A$6:$ZZ$1048576"), MATCH(AI$1, JulR!$6:$6, 0), FALSE),
            0
        ) +
        IFERROR(
            VLOOKUP($A26, INDIRECT("AgoR!$A$6:$ZZ$1048576"), MATCH(AI$1, AgoR!$6:$6, 0), FALSE),
            0
        ) +
        IFERROR(
            VLOOKUP($A26, INDIRECT("SepR!$A$6:$ZZ$1048576"), MATCH(AI$1, SepR!$6:$6, 0), FALSE),
            0
        ) +
        IFERROR(
            VLOOKUP($A26, INDIRECT("OctR!$A$6:$ZZ$1048576"), MATCH(AI$1, OctR!$6:$6, 0), FALSE),
            0
        ) +
        IFERROR(
            VLOOKUP($A26, INDIRECT("NovR!$A$6:$ZZ$1048576"), MATCH(AI$1, NovR!$6:$6, 0), FALSE),
            0
        ) +
        IFERROR(
            VLOOKUP($A26, INDIRECT("DicR!$A$6:$ZZ$1048576"), MATCH(AI$1, DicR!$6:$6, 0), FALSE),
            0
        )
)</f>
        <v>0</v>
      </c>
      <c r="AJ26" s="36">
        <f t="array" ref="AJ26">SUM(
    IFERROR(
            VLOOKUP($A26, INDIRECT("EneR!$A$6:$ZZ$1048576"), MATCH(AJ$1, EneR!$6:$6, 0), FALSE),
            0
        ) +
        IFERROR(
            VLOOKUP($A26, INDIRECT("FebR!$A$6:$ZZ$1048576"), MATCH(AJ$1, FebR!$6:$6, 0), FALSE),
            0
        ) +
        IFERROR(
            VLOOKUP($A26, INDIRECT("MarR!$A$6:$ZZ$1048576"), MATCH(AJ$1, MarR!$6:$6, 0), FALSE),
            0
        ) +
        IFERROR(
            VLOOKUP($A26, INDIRECT("AbrR!$A$6:$ZZ$1048576"), MATCH(AJ$1, AbrR!$6:$6, 0), FALSE),
            0
        ) +
        IFERROR(
            VLOOKUP($A26, INDIRECT("MayR!$A$6:$ZZ$1048576"), MATCH(AJ$1, MayR!$6:$6, 0), FALSE),
            0
        ) +
        IFERROR(
            VLOOKUP($A26, INDIRECT("JunR!$A$6:$ZZ$1048576"), MATCH(AJ$1, JunR!$6:$6, 0), FALSE),
            0
        ) +
        IFERROR(
            VLOOKUP($A26, INDIRECT("JulR!$A$6:$ZZ$1048576"), MATCH(AJ$1, JulR!$6:$6, 0), FALSE),
            0
        ) +
        IFERROR(
            VLOOKUP($A26, INDIRECT("AgoR!$A$6:$ZZ$1048576"), MATCH(AJ$1, AgoR!$6:$6, 0), FALSE),
            0
        ) +
        IFERROR(
            VLOOKUP($A26, INDIRECT("SepR!$A$6:$ZZ$1048576"), MATCH(AJ$1, SepR!$6:$6, 0), FALSE),
            0
        ) +
        IFERROR(
            VLOOKUP($A26, INDIRECT("OctR!$A$6:$ZZ$1048576"), MATCH(AJ$1, OctR!$6:$6, 0), FALSE),
            0
        ) +
        IFERROR(
            VLOOKUP($A26, INDIRECT("NovR!$A$6:$ZZ$1048576"), MATCH(AJ$1, NovR!$6:$6, 0), FALSE),
            0
        ) +
        IFERROR(
            VLOOKUP($A26, INDIRECT("DicR!$A$6:$ZZ$1048576"), MATCH(AJ$1, DicR!$6:$6, 0), FALSE),
            0
        )
)</f>
        <v>0</v>
      </c>
      <c r="AK26" s="37">
        <f t="array" ref="AK26">SUM(
    IFERROR(
            VLOOKUP($A26, INDIRECT("EneR!$A$6:$ZZ$1048576"), MATCH(AK$1, EneR!$6:$6, 0), FALSE),
            0
        ) +
        IFERROR(
            VLOOKUP($A26, INDIRECT("FebR!$A$6:$ZZ$1048576"), MATCH(AK$1, FebR!$6:$6, 0), FALSE),
            0
        ) +
        IFERROR(
            VLOOKUP($A26, INDIRECT("MarR!$A$6:$ZZ$1048576"), MATCH(AK$1, MarR!$6:$6, 0), FALSE),
            0
        ) +
        IFERROR(
            VLOOKUP($A26, INDIRECT("AbrR!$A$6:$ZZ$1048576"), MATCH(AK$1, AbrR!$6:$6, 0), FALSE),
            0
        ) +
        IFERROR(
            VLOOKUP($A26, INDIRECT("MayR!$A$6:$ZZ$1048576"), MATCH(AK$1, MayR!$6:$6, 0), FALSE),
            0
        ) +
        IFERROR(
            VLOOKUP($A26, INDIRECT("JunR!$A$6:$ZZ$1048576"), MATCH(AK$1, JunR!$6:$6, 0), FALSE),
            0
        ) +
        IFERROR(
            VLOOKUP($A26, INDIRECT("JulR!$A$6:$ZZ$1048576"), MATCH(AK$1, JulR!$6:$6, 0), FALSE),
            0
        ) +
        IFERROR(
            VLOOKUP($A26, INDIRECT("AgoR!$A$6:$ZZ$1048576"), MATCH(AK$1, AgoR!$6:$6, 0), FALSE),
            0
        ) +
        IFERROR(
            VLOOKUP($A26, INDIRECT("SepR!$A$6:$ZZ$1048576"), MATCH(AK$1, SepR!$6:$6, 0), FALSE),
            0
        ) +
        IFERROR(
            VLOOKUP($A26, INDIRECT("OctR!$A$6:$ZZ$1048576"), MATCH(AK$1, OctR!$6:$6, 0), FALSE),
            0
        ) +
        IFERROR(
            VLOOKUP($A26, INDIRECT("NovR!$A$6:$ZZ$1048576"), MATCH(AK$1, NovR!$6:$6, 0), FALSE),
            0
        ) +
        IFERROR(
            VLOOKUP($A26, INDIRECT("DicR!$A$6:$ZZ$1048576"), MATCH(AK$1, DicR!$6:$6, 0), FALSE),
            0
        )
)</f>
        <v>0</v>
      </c>
      <c r="AL26" s="36">
        <f t="array" ref="AL26">SUM(
    IFERROR(
            VLOOKUP($A26, INDIRECT("EneR!$A$6:$ZZ$1048576"), MATCH(AL$1, EneR!$6:$6, 0), FALSE),
            0
        ) +
        IFERROR(
            VLOOKUP($A26, INDIRECT("FebR!$A$6:$ZZ$1048576"), MATCH(AL$1, FebR!$6:$6, 0), FALSE),
            0
        ) +
        IFERROR(
            VLOOKUP($A26, INDIRECT("MarR!$A$6:$ZZ$1048576"), MATCH(AL$1, MarR!$6:$6, 0), FALSE),
            0
        ) +
        IFERROR(
            VLOOKUP($A26, INDIRECT("AbrR!$A$6:$ZZ$1048576"), MATCH(AL$1, AbrR!$6:$6, 0), FALSE),
            0
        ) +
        IFERROR(
            VLOOKUP($A26, INDIRECT("MayR!$A$6:$ZZ$1048576"), MATCH(AL$1, MayR!$6:$6, 0), FALSE),
            0
        ) +
        IFERROR(
            VLOOKUP($A26, INDIRECT("JunR!$A$6:$ZZ$1048576"), MATCH(AL$1, JunR!$6:$6, 0), FALSE),
            0
        ) +
        IFERROR(
            VLOOKUP($A26, INDIRECT("JulR!$A$6:$ZZ$1048576"), MATCH(AL$1, JulR!$6:$6, 0), FALSE),
            0
        ) +
        IFERROR(
            VLOOKUP($A26, INDIRECT("AgoR!$A$6:$ZZ$1048576"), MATCH(AL$1, AgoR!$6:$6, 0), FALSE),
            0
        ) +
        IFERROR(
            VLOOKUP($A26, INDIRECT("SepR!$A$6:$ZZ$1048576"), MATCH(AL$1, SepR!$6:$6, 0), FALSE),
            0
        ) +
        IFERROR(
            VLOOKUP($A26, INDIRECT("OctR!$A$6:$ZZ$1048576"), MATCH(AL$1, OctR!$6:$6, 0), FALSE),
            0
        ) +
        IFERROR(
            VLOOKUP($A26, INDIRECT("NovR!$A$6:$ZZ$1048576"), MATCH(AL$1, NovR!$6:$6, 0), FALSE),
            0
        ) +
        IFERROR(
            VLOOKUP($A26, INDIRECT("DicR!$A$6:$ZZ$1048576"), MATCH(AL$1, DicR!$6:$6, 0), FALSE),
            0
        )
)</f>
        <v>0</v>
      </c>
      <c r="AM26" s="37">
        <f t="array" ref="AM26">SUM(
    IFERROR(
            VLOOKUP($A26, INDIRECT("EneR!$A$6:$ZZ$1048576"), MATCH(AM$1, EneR!$6:$6, 0), FALSE),
            0
        ) +
        IFERROR(
            VLOOKUP($A26, INDIRECT("FebR!$A$6:$ZZ$1048576"), MATCH(AM$1, FebR!$6:$6, 0), FALSE),
            0
        ) +
        IFERROR(
            VLOOKUP($A26, INDIRECT("MarR!$A$6:$ZZ$1048576"), MATCH(AM$1, MarR!$6:$6, 0), FALSE),
            0
        ) +
        IFERROR(
            VLOOKUP($A26, INDIRECT("AbrR!$A$6:$ZZ$1048576"), MATCH(AM$1, AbrR!$6:$6, 0), FALSE),
            0
        ) +
        IFERROR(
            VLOOKUP($A26, INDIRECT("MayR!$A$6:$ZZ$1048576"), MATCH(AM$1, MayR!$6:$6, 0), FALSE),
            0
        ) +
        IFERROR(
            VLOOKUP($A26, INDIRECT("JunR!$A$6:$ZZ$1048576"), MATCH(AM$1, JunR!$6:$6, 0), FALSE),
            0
        ) +
        IFERROR(
            VLOOKUP($A26, INDIRECT("JulR!$A$6:$ZZ$1048576"), MATCH(AM$1, JulR!$6:$6, 0), FALSE),
            0
        ) +
        IFERROR(
            VLOOKUP($A26, INDIRECT("AgoR!$A$6:$ZZ$1048576"), MATCH(AM$1, AgoR!$6:$6, 0), FALSE),
            0
        ) +
        IFERROR(
            VLOOKUP($A26, INDIRECT("SepR!$A$6:$ZZ$1048576"), MATCH(AM$1, SepR!$6:$6, 0), FALSE),
            0
        ) +
        IFERROR(
            VLOOKUP($A26, INDIRECT("OctR!$A$6:$ZZ$1048576"), MATCH(AM$1, OctR!$6:$6, 0), FALSE),
            0
        ) +
        IFERROR(
            VLOOKUP($A26, INDIRECT("NovR!$A$6:$ZZ$1048576"), MATCH(AM$1, NovR!$6:$6, 0), FALSE),
            0
        ) +
        IFERROR(
            VLOOKUP($A26, INDIRECT("DicR!$A$6:$ZZ$1048576"), MATCH(AM$1, DicR!$6:$6, 0), FALSE),
            0
        )
)</f>
        <v>0</v>
      </c>
      <c r="AN26" s="36">
        <f t="array" ref="AN26">SUM(
    IFERROR(
            VLOOKUP($A26, INDIRECT("EneR!$A$6:$ZZ$1048576"), MATCH(AN$1, EneR!$6:$6, 0), FALSE),
            0
        ) +
        IFERROR(
            VLOOKUP($A26, INDIRECT("FebR!$A$6:$ZZ$1048576"), MATCH(AN$1, FebR!$6:$6, 0), FALSE),
            0
        ) +
        IFERROR(
            VLOOKUP($A26, INDIRECT("MarR!$A$6:$ZZ$1048576"), MATCH(AN$1, MarR!$6:$6, 0), FALSE),
            0
        ) +
        IFERROR(
            VLOOKUP($A26, INDIRECT("AbrR!$A$6:$ZZ$1048576"), MATCH(AN$1, AbrR!$6:$6, 0), FALSE),
            0
        ) +
        IFERROR(
            VLOOKUP($A26, INDIRECT("MayR!$A$6:$ZZ$1048576"), MATCH(AN$1, MayR!$6:$6, 0), FALSE),
            0
        ) +
        IFERROR(
            VLOOKUP($A26, INDIRECT("JunR!$A$6:$ZZ$1048576"), MATCH(AN$1, JunR!$6:$6, 0), FALSE),
            0
        ) +
        IFERROR(
            VLOOKUP($A26, INDIRECT("JulR!$A$6:$ZZ$1048576"), MATCH(AN$1, JulR!$6:$6, 0), FALSE),
            0
        ) +
        IFERROR(
            VLOOKUP($A26, INDIRECT("AgoR!$A$6:$ZZ$1048576"), MATCH(AN$1, AgoR!$6:$6, 0), FALSE),
            0
        ) +
        IFERROR(
            VLOOKUP($A26, INDIRECT("SepR!$A$6:$ZZ$1048576"), MATCH(AN$1, SepR!$6:$6, 0), FALSE),
            0
        ) +
        IFERROR(
            VLOOKUP($A26, INDIRECT("OctR!$A$6:$ZZ$1048576"), MATCH(AN$1, OctR!$6:$6, 0), FALSE),
            0
        ) +
        IFERROR(
            VLOOKUP($A26, INDIRECT("NovR!$A$6:$ZZ$1048576"), MATCH(AN$1, NovR!$6:$6, 0), FALSE),
            0
        ) +
        IFERROR(
            VLOOKUP($A26, INDIRECT("DicR!$A$6:$ZZ$1048576"), MATCH(AN$1, DicR!$6:$6, 0), FALSE),
            0
        )
)</f>
        <v>0</v>
      </c>
      <c r="AO26" s="37">
        <f t="array" ref="AO26">SUM(
    IFERROR(
            VLOOKUP($A26, INDIRECT("EneR!$A$6:$ZZ$1048576"), MATCH(AO$1, EneR!$6:$6, 0), FALSE),
            0
        ) +
        IFERROR(
            VLOOKUP($A26, INDIRECT("FebR!$A$6:$ZZ$1048576"), MATCH(AO$1, FebR!$6:$6, 0), FALSE),
            0
        ) +
        IFERROR(
            VLOOKUP($A26, INDIRECT("MarR!$A$6:$ZZ$1048576"), MATCH(AO$1, MarR!$6:$6, 0), FALSE),
            0
        ) +
        IFERROR(
            VLOOKUP($A26, INDIRECT("AbrR!$A$6:$ZZ$1048576"), MATCH(AO$1, AbrR!$6:$6, 0), FALSE),
            0
        ) +
        IFERROR(
            VLOOKUP($A26, INDIRECT("MayR!$A$6:$ZZ$1048576"), MATCH(AO$1, MayR!$6:$6, 0), FALSE),
            0
        ) +
        IFERROR(
            VLOOKUP($A26, INDIRECT("JunR!$A$6:$ZZ$1048576"), MATCH(AO$1, JunR!$6:$6, 0), FALSE),
            0
        ) +
        IFERROR(
            VLOOKUP($A26, INDIRECT("JulR!$A$6:$ZZ$1048576"), MATCH(AO$1, JulR!$6:$6, 0), FALSE),
            0
        ) +
        IFERROR(
            VLOOKUP($A26, INDIRECT("AgoR!$A$6:$ZZ$1048576"), MATCH(AO$1, AgoR!$6:$6, 0), FALSE),
            0
        ) +
        IFERROR(
            VLOOKUP($A26, INDIRECT("SepR!$A$6:$ZZ$1048576"), MATCH(AO$1, SepR!$6:$6, 0), FALSE),
            0
        ) +
        IFERROR(
            VLOOKUP($A26, INDIRECT("OctR!$A$6:$ZZ$1048576"), MATCH(AO$1, OctR!$6:$6, 0), FALSE),
            0
        ) +
        IFERROR(
            VLOOKUP($A26, INDIRECT("NovR!$A$6:$ZZ$1048576"), MATCH(AO$1, NovR!$6:$6, 0), FALSE),
            0
        ) +
        IFERROR(
            VLOOKUP($A26, INDIRECT("DicR!$A$6:$ZZ$1048576"), MATCH(AO$1, DicR!$6:$6, 0), FALSE),
            0
        )
)</f>
        <v>0</v>
      </c>
      <c r="AP26" s="36">
        <f t="array" ref="AP26">SUM(
    IFERROR(
            VLOOKUP($A26, INDIRECT("EneR!$A$6:$ZZ$1048576"), MATCH(AP$1, EneR!$6:$6, 0), FALSE),
            0
        ) +
        IFERROR(
            VLOOKUP($A26, INDIRECT("FebR!$A$6:$ZZ$1048576"), MATCH(AP$1, FebR!$6:$6, 0), FALSE),
            0
        ) +
        IFERROR(
            VLOOKUP($A26, INDIRECT("MarR!$A$6:$ZZ$1048576"), MATCH(AP$1, MarR!$6:$6, 0), FALSE),
            0
        ) +
        IFERROR(
            VLOOKUP($A26, INDIRECT("AbrR!$A$6:$ZZ$1048576"), MATCH(AP$1, AbrR!$6:$6, 0), FALSE),
            0
        ) +
        IFERROR(
            VLOOKUP($A26, INDIRECT("MayR!$A$6:$ZZ$1048576"), MATCH(AP$1, MayR!$6:$6, 0), FALSE),
            0
        ) +
        IFERROR(
            VLOOKUP($A26, INDIRECT("JunR!$A$6:$ZZ$1048576"), MATCH(AP$1, JunR!$6:$6, 0), FALSE),
            0
        ) +
        IFERROR(
            VLOOKUP($A26, INDIRECT("JulR!$A$6:$ZZ$1048576"), MATCH(AP$1, JulR!$6:$6, 0), FALSE),
            0
        ) +
        IFERROR(
            VLOOKUP($A26, INDIRECT("AgoR!$A$6:$ZZ$1048576"), MATCH(AP$1, AgoR!$6:$6, 0), FALSE),
            0
        ) +
        IFERROR(
            VLOOKUP($A26, INDIRECT("SepR!$A$6:$ZZ$1048576"), MATCH(AP$1, SepR!$6:$6, 0), FALSE),
            0
        ) +
        IFERROR(
            VLOOKUP($A26, INDIRECT("OctR!$A$6:$ZZ$1048576"), MATCH(AP$1, OctR!$6:$6, 0), FALSE),
            0
        ) +
        IFERROR(
            VLOOKUP($A26, INDIRECT("NovR!$A$6:$ZZ$1048576"), MATCH(AP$1, NovR!$6:$6, 0), FALSE),
            0
        ) +
        IFERROR(
            VLOOKUP($A26, INDIRECT("DicR!$A$6:$ZZ$1048576"), MATCH(AP$1, DicR!$6:$6, 0), FALSE),
            0
        )
)</f>
        <v>0</v>
      </c>
      <c r="AQ26" s="37">
        <f t="array" ref="AQ26">SUM(
    IFERROR(
            VLOOKUP($A26, INDIRECT("EneR!$A$6:$ZZ$1048576"), MATCH(AQ$1, EneR!$6:$6, 0), FALSE),
            0
        ) +
        IFERROR(
            VLOOKUP($A26, INDIRECT("FebR!$A$6:$ZZ$1048576"), MATCH(AQ$1, FebR!$6:$6, 0), FALSE),
            0
        ) +
        IFERROR(
            VLOOKUP($A26, INDIRECT("MarR!$A$6:$ZZ$1048576"), MATCH(AQ$1, MarR!$6:$6, 0), FALSE),
            0
        ) +
        IFERROR(
            VLOOKUP($A26, INDIRECT("AbrR!$A$6:$ZZ$1048576"), MATCH(AQ$1, AbrR!$6:$6, 0), FALSE),
            0
        ) +
        IFERROR(
            VLOOKUP($A26, INDIRECT("MayR!$A$6:$ZZ$1048576"), MATCH(AQ$1, MayR!$6:$6, 0), FALSE),
            0
        ) +
        IFERROR(
            VLOOKUP($A26, INDIRECT("JunR!$A$6:$ZZ$1048576"), MATCH(AQ$1, JunR!$6:$6, 0), FALSE),
            0
        ) +
        IFERROR(
            VLOOKUP($A26, INDIRECT("JulR!$A$6:$ZZ$1048576"), MATCH(AQ$1, JulR!$6:$6, 0), FALSE),
            0
        ) +
        IFERROR(
            VLOOKUP($A26, INDIRECT("AgoR!$A$6:$ZZ$1048576"), MATCH(AQ$1, AgoR!$6:$6, 0), FALSE),
            0
        ) +
        IFERROR(
            VLOOKUP($A26, INDIRECT("SepR!$A$6:$ZZ$1048576"), MATCH(AQ$1, SepR!$6:$6, 0), FALSE),
            0
        ) +
        IFERROR(
            VLOOKUP($A26, INDIRECT("OctR!$A$6:$ZZ$1048576"), MATCH(AQ$1, OctR!$6:$6, 0), FALSE),
            0
        ) +
        IFERROR(
            VLOOKUP($A26, INDIRECT("NovR!$A$6:$ZZ$1048576"), MATCH(AQ$1, NovR!$6:$6, 0), FALSE),
            0
        ) +
        IFERROR(
            VLOOKUP($A26, INDIRECT("DicR!$A$6:$ZZ$1048576"), MATCH(AQ$1, DicR!$6:$6, 0), FALSE),
            0
        )
)</f>
        <v>0</v>
      </c>
      <c r="AR26" s="36">
        <f t="array" ref="AR26">SUM(
    IFERROR(
            VLOOKUP($A26, INDIRECT("EneR!$A$6:$ZZ$1048576"), MATCH(AR$1, EneR!$6:$6, 0), FALSE),
            0
        ) +
        IFERROR(
            VLOOKUP($A26, INDIRECT("FebR!$A$6:$ZZ$1048576"), MATCH(AR$1, FebR!$6:$6, 0), FALSE),
            0
        ) +
        IFERROR(
            VLOOKUP($A26, INDIRECT("MarR!$A$6:$ZZ$1048576"), MATCH(AR$1, MarR!$6:$6, 0), FALSE),
            0
        ) +
        IFERROR(
            VLOOKUP($A26, INDIRECT("AbrR!$A$6:$ZZ$1048576"), MATCH(AR$1, AbrR!$6:$6, 0), FALSE),
            0
        ) +
        IFERROR(
            VLOOKUP($A26, INDIRECT("MayR!$A$6:$ZZ$1048576"), MATCH(AR$1, MayR!$6:$6, 0), FALSE),
            0
        ) +
        IFERROR(
            VLOOKUP($A26, INDIRECT("JunR!$A$6:$ZZ$1048576"), MATCH(AR$1, JunR!$6:$6, 0), FALSE),
            0
        ) +
        IFERROR(
            VLOOKUP($A26, INDIRECT("JulR!$A$6:$ZZ$1048576"), MATCH(AR$1, JulR!$6:$6, 0), FALSE),
            0
        ) +
        IFERROR(
            VLOOKUP($A26, INDIRECT("AgoR!$A$6:$ZZ$1048576"), MATCH(AR$1, AgoR!$6:$6, 0), FALSE),
            0
        ) +
        IFERROR(
            VLOOKUP($A26, INDIRECT("SepR!$A$6:$ZZ$1048576"), MATCH(AR$1, SepR!$6:$6, 0), FALSE),
            0
        ) +
        IFERROR(
            VLOOKUP($A26, INDIRECT("OctR!$A$6:$ZZ$1048576"), MATCH(AR$1, OctR!$6:$6, 0), FALSE),
            0
        ) +
        IFERROR(
            VLOOKUP($A26, INDIRECT("NovR!$A$6:$ZZ$1048576"), MATCH(AR$1, NovR!$6:$6, 0), FALSE),
            0
        ) +
        IFERROR(
            VLOOKUP($A26, INDIRECT("DicR!$A$6:$ZZ$1048576"), MATCH(AR$1, DicR!$6:$6, 0), FALSE),
            0
        )
)</f>
        <v>0</v>
      </c>
      <c r="AS26" s="37">
        <f t="array" ref="AS26">SUM(
    IFERROR(
            VLOOKUP($A26, INDIRECT("EneR!$A$6:$ZZ$1048576"), MATCH(AS$1, EneR!$6:$6, 0), FALSE),
            0
        ) +
        IFERROR(
            VLOOKUP($A26, INDIRECT("FebR!$A$6:$ZZ$1048576"), MATCH(AS$1, FebR!$6:$6, 0), FALSE),
            0
        ) +
        IFERROR(
            VLOOKUP($A26, INDIRECT("MarR!$A$6:$ZZ$1048576"), MATCH(AS$1, MarR!$6:$6, 0), FALSE),
            0
        ) +
        IFERROR(
            VLOOKUP($A26, INDIRECT("AbrR!$A$6:$ZZ$1048576"), MATCH(AS$1, AbrR!$6:$6, 0), FALSE),
            0
        ) +
        IFERROR(
            VLOOKUP($A26, INDIRECT("MayR!$A$6:$ZZ$1048576"), MATCH(AS$1, MayR!$6:$6, 0), FALSE),
            0
        ) +
        IFERROR(
            VLOOKUP($A26, INDIRECT("JunR!$A$6:$ZZ$1048576"), MATCH(AS$1, JunR!$6:$6, 0), FALSE),
            0
        ) +
        IFERROR(
            VLOOKUP($A26, INDIRECT("JulR!$A$6:$ZZ$1048576"), MATCH(AS$1, JulR!$6:$6, 0), FALSE),
            0
        ) +
        IFERROR(
            VLOOKUP($A26, INDIRECT("AgoR!$A$6:$ZZ$1048576"), MATCH(AS$1, AgoR!$6:$6, 0), FALSE),
            0
        ) +
        IFERROR(
            VLOOKUP($A26, INDIRECT("SepR!$A$6:$ZZ$1048576"), MATCH(AS$1, SepR!$6:$6, 0), FALSE),
            0
        ) +
        IFERROR(
            VLOOKUP($A26, INDIRECT("OctR!$A$6:$ZZ$1048576"), MATCH(AS$1, OctR!$6:$6, 0), FALSE),
            0
        ) +
        IFERROR(
            VLOOKUP($A26, INDIRECT("NovR!$A$6:$ZZ$1048576"), MATCH(AS$1, NovR!$6:$6, 0), FALSE),
            0
        ) +
        IFERROR(
            VLOOKUP($A26, INDIRECT("DicR!$A$6:$ZZ$1048576"), MATCH(AS$1, DicR!$6:$6, 0), FALSE),
            0
        )
)</f>
        <v>0</v>
      </c>
      <c r="AT26" s="36">
        <f t="array" ref="AT26">SUM(
    IFERROR(
            VLOOKUP($A26, INDIRECT("EneR!$A$6:$ZZ$1048576"), MATCH(AT$1, EneR!$6:$6, 0), FALSE),
            0
        ) +
        IFERROR(
            VLOOKUP($A26, INDIRECT("FebR!$A$6:$ZZ$1048576"), MATCH(AT$1, FebR!$6:$6, 0), FALSE),
            0
        ) +
        IFERROR(
            VLOOKUP($A26, INDIRECT("MarR!$A$6:$ZZ$1048576"), MATCH(AT$1, MarR!$6:$6, 0), FALSE),
            0
        ) +
        IFERROR(
            VLOOKUP($A26, INDIRECT("AbrR!$A$6:$ZZ$1048576"), MATCH(AT$1, AbrR!$6:$6, 0), FALSE),
            0
        ) +
        IFERROR(
            VLOOKUP($A26, INDIRECT("MayR!$A$6:$ZZ$1048576"), MATCH(AT$1, MayR!$6:$6, 0), FALSE),
            0
        ) +
        IFERROR(
            VLOOKUP($A26, INDIRECT("JunR!$A$6:$ZZ$1048576"), MATCH(AT$1, JunR!$6:$6, 0), FALSE),
            0
        ) +
        IFERROR(
            VLOOKUP($A26, INDIRECT("JulR!$A$6:$ZZ$1048576"), MATCH(AT$1, JulR!$6:$6, 0), FALSE),
            0
        ) +
        IFERROR(
            VLOOKUP($A26, INDIRECT("AgoR!$A$6:$ZZ$1048576"), MATCH(AT$1, AgoR!$6:$6, 0), FALSE),
            0
        ) +
        IFERROR(
            VLOOKUP($A26, INDIRECT("SepR!$A$6:$ZZ$1048576"), MATCH(AT$1, SepR!$6:$6, 0), FALSE),
            0
        ) +
        IFERROR(
            VLOOKUP($A26, INDIRECT("OctR!$A$6:$ZZ$1048576"), MATCH(AT$1, OctR!$6:$6, 0), FALSE),
            0
        ) +
        IFERROR(
            VLOOKUP($A26, INDIRECT("NovR!$A$6:$ZZ$1048576"), MATCH(AT$1, NovR!$6:$6, 0), FALSE),
            0
        ) +
        IFERROR(
            VLOOKUP($A26, INDIRECT("DicR!$A$6:$ZZ$1048576"), MATCH(AT$1, DicR!$6:$6, 0), FALSE),
            0
        )
)</f>
        <v>0</v>
      </c>
      <c r="AU26" s="37">
        <f t="array" ref="AU26">SUM(
    IFERROR(
            VLOOKUP($A26, INDIRECT("EneR!$A$6:$ZZ$1048576"), MATCH(AU$1, EneR!$6:$6, 0), FALSE),
            0
        ) +
        IFERROR(
            VLOOKUP($A26, INDIRECT("FebR!$A$6:$ZZ$1048576"), MATCH(AU$1, FebR!$6:$6, 0), FALSE),
            0
        ) +
        IFERROR(
            VLOOKUP($A26, INDIRECT("MarR!$A$6:$ZZ$1048576"), MATCH(AU$1, MarR!$6:$6, 0), FALSE),
            0
        ) +
        IFERROR(
            VLOOKUP($A26, INDIRECT("AbrR!$A$6:$ZZ$1048576"), MATCH(AU$1, AbrR!$6:$6, 0), FALSE),
            0
        ) +
        IFERROR(
            VLOOKUP($A26, INDIRECT("MayR!$A$6:$ZZ$1048576"), MATCH(AU$1, MayR!$6:$6, 0), FALSE),
            0
        ) +
        IFERROR(
            VLOOKUP($A26, INDIRECT("JunR!$A$6:$ZZ$1048576"), MATCH(AU$1, JunR!$6:$6, 0), FALSE),
            0
        ) +
        IFERROR(
            VLOOKUP($A26, INDIRECT("JulR!$A$6:$ZZ$1048576"), MATCH(AU$1, JulR!$6:$6, 0), FALSE),
            0
        ) +
        IFERROR(
            VLOOKUP($A26, INDIRECT("AgoR!$A$6:$ZZ$1048576"), MATCH(AU$1, AgoR!$6:$6, 0), FALSE),
            0
        ) +
        IFERROR(
            VLOOKUP($A26, INDIRECT("SepR!$A$6:$ZZ$1048576"), MATCH(AU$1, SepR!$6:$6, 0), FALSE),
            0
        ) +
        IFERROR(
            VLOOKUP($A26, INDIRECT("OctR!$A$6:$ZZ$1048576"), MATCH(AU$1, OctR!$6:$6, 0), FALSE),
            0
        ) +
        IFERROR(
            VLOOKUP($A26, INDIRECT("NovR!$A$6:$ZZ$1048576"), MATCH(AU$1, NovR!$6:$6, 0), FALSE),
            0
        ) +
        IFERROR(
            VLOOKUP($A26, INDIRECT("DicR!$A$6:$ZZ$1048576"), MATCH(AU$1, DicR!$6:$6, 0), FALSE),
            0
        )
)</f>
        <v>0</v>
      </c>
      <c r="AV26" s="36">
        <f t="array" ref="AV26">SUM(
    IFERROR(
            VLOOKUP($A26, INDIRECT("EneR!$A$6:$ZZ$1048576"), MATCH(AV$1, EneR!$6:$6, 0), FALSE),
            0
        ) +
        IFERROR(
            VLOOKUP($A26, INDIRECT("FebR!$A$6:$ZZ$1048576"), MATCH(AV$1, FebR!$6:$6, 0), FALSE),
            0
        ) +
        IFERROR(
            VLOOKUP($A26, INDIRECT("MarR!$A$6:$ZZ$1048576"), MATCH(AV$1, MarR!$6:$6, 0), FALSE),
            0
        ) +
        IFERROR(
            VLOOKUP($A26, INDIRECT("AbrR!$A$6:$ZZ$1048576"), MATCH(AV$1, AbrR!$6:$6, 0), FALSE),
            0
        ) +
        IFERROR(
            VLOOKUP($A26, INDIRECT("MayR!$A$6:$ZZ$1048576"), MATCH(AV$1, MayR!$6:$6, 0), FALSE),
            0
        ) +
        IFERROR(
            VLOOKUP($A26, INDIRECT("JunR!$A$6:$ZZ$1048576"), MATCH(AV$1, JunR!$6:$6, 0), FALSE),
            0
        ) +
        IFERROR(
            VLOOKUP($A26, INDIRECT("JulR!$A$6:$ZZ$1048576"), MATCH(AV$1, JulR!$6:$6, 0), FALSE),
            0
        ) +
        IFERROR(
            VLOOKUP($A26, INDIRECT("AgoR!$A$6:$ZZ$1048576"), MATCH(AV$1, AgoR!$6:$6, 0), FALSE),
            0
        ) +
        IFERROR(
            VLOOKUP($A26, INDIRECT("SepR!$A$6:$ZZ$1048576"), MATCH(AV$1, SepR!$6:$6, 0), FALSE),
            0
        ) +
        IFERROR(
            VLOOKUP($A26, INDIRECT("OctR!$A$6:$ZZ$1048576"), MATCH(AV$1, OctR!$6:$6, 0), FALSE),
            0
        ) +
        IFERROR(
            VLOOKUP($A26, INDIRECT("NovR!$A$6:$ZZ$1048576"), MATCH(AV$1, NovR!$6:$6, 0), FALSE),
            0
        ) +
        IFERROR(
            VLOOKUP($A26, INDIRECT("DicR!$A$6:$ZZ$1048576"), MATCH(AV$1, DicR!$6:$6, 0), FALSE),
            0
        )
)</f>
        <v>0</v>
      </c>
      <c r="AW26" s="37">
        <f t="array" ref="AW26">SUM(
    IFERROR(
            VLOOKUP($A26, INDIRECT("EneR!$A$6:$ZZ$1048576"), MATCH(AW$1, EneR!$6:$6, 0), FALSE),
            0
        ) +
        IFERROR(
            VLOOKUP($A26, INDIRECT("FebR!$A$6:$ZZ$1048576"), MATCH(AW$1, FebR!$6:$6, 0), FALSE),
            0
        ) +
        IFERROR(
            VLOOKUP($A26, INDIRECT("MarR!$A$6:$ZZ$1048576"), MATCH(AW$1, MarR!$6:$6, 0), FALSE),
            0
        ) +
        IFERROR(
            VLOOKUP($A26, INDIRECT("AbrR!$A$6:$ZZ$1048576"), MATCH(AW$1, AbrR!$6:$6, 0), FALSE),
            0
        ) +
        IFERROR(
            VLOOKUP($A26, INDIRECT("MayR!$A$6:$ZZ$1048576"), MATCH(AW$1, MayR!$6:$6, 0), FALSE),
            0
        ) +
        IFERROR(
            VLOOKUP($A26, INDIRECT("JunR!$A$6:$ZZ$1048576"), MATCH(AW$1, JunR!$6:$6, 0), FALSE),
            0
        ) +
        IFERROR(
            VLOOKUP($A26, INDIRECT("JulR!$A$6:$ZZ$1048576"), MATCH(AW$1, JulR!$6:$6, 0), FALSE),
            0
        ) +
        IFERROR(
            VLOOKUP($A26, INDIRECT("AgoR!$A$6:$ZZ$1048576"), MATCH(AW$1, AgoR!$6:$6, 0), FALSE),
            0
        ) +
        IFERROR(
            VLOOKUP($A26, INDIRECT("SepR!$A$6:$ZZ$1048576"), MATCH(AW$1, SepR!$6:$6, 0), FALSE),
            0
        ) +
        IFERROR(
            VLOOKUP($A26, INDIRECT("OctR!$A$6:$ZZ$1048576"), MATCH(AW$1, OctR!$6:$6, 0), FALSE),
            0
        ) +
        IFERROR(
            VLOOKUP($A26, INDIRECT("NovR!$A$6:$ZZ$1048576"), MATCH(AW$1, NovR!$6:$6, 0), FALSE),
            0
        ) +
        IFERROR(
            VLOOKUP($A26, INDIRECT("DicR!$A$6:$ZZ$1048576"), MATCH(AW$1, DicR!$6:$6, 0), FALSE),
            0
        )
)</f>
        <v>0</v>
      </c>
      <c r="AX26" s="36">
        <f t="array" ref="AX26">SUM(
    IFERROR(
            VLOOKUP($A26, INDIRECT("EneR!$A$6:$ZZ$1048576"), MATCH(AX$1, EneR!$6:$6, 0), FALSE),
            0
        ) +
        IFERROR(
            VLOOKUP($A26, INDIRECT("FebR!$A$6:$ZZ$1048576"), MATCH(AX$1, FebR!$6:$6, 0), FALSE),
            0
        ) +
        IFERROR(
            VLOOKUP($A26, INDIRECT("MarR!$A$6:$ZZ$1048576"), MATCH(AX$1, MarR!$6:$6, 0), FALSE),
            0
        ) +
        IFERROR(
            VLOOKUP($A26, INDIRECT("AbrR!$A$6:$ZZ$1048576"), MATCH(AX$1, AbrR!$6:$6, 0), FALSE),
            0
        ) +
        IFERROR(
            VLOOKUP($A26, INDIRECT("MayR!$A$6:$ZZ$1048576"), MATCH(AX$1, MayR!$6:$6, 0), FALSE),
            0
        ) +
        IFERROR(
            VLOOKUP($A26, INDIRECT("JunR!$A$6:$ZZ$1048576"), MATCH(AX$1, JunR!$6:$6, 0), FALSE),
            0
        ) +
        IFERROR(
            VLOOKUP($A26, INDIRECT("JulR!$A$6:$ZZ$1048576"), MATCH(AX$1, JulR!$6:$6, 0), FALSE),
            0
        ) +
        IFERROR(
            VLOOKUP($A26, INDIRECT("AgoR!$A$6:$ZZ$1048576"), MATCH(AX$1, AgoR!$6:$6, 0), FALSE),
            0
        ) +
        IFERROR(
            VLOOKUP($A26, INDIRECT("SepR!$A$6:$ZZ$1048576"), MATCH(AX$1, SepR!$6:$6, 0), FALSE),
            0
        ) +
        IFERROR(
            VLOOKUP($A26, INDIRECT("OctR!$A$6:$ZZ$1048576"), MATCH(AX$1, OctR!$6:$6, 0), FALSE),
            0
        ) +
        IFERROR(
            VLOOKUP($A26, INDIRECT("NovR!$A$6:$ZZ$1048576"), MATCH(AX$1, NovR!$6:$6, 0), FALSE),
            0
        ) +
        IFERROR(
            VLOOKUP($A26, INDIRECT("DicR!$A$6:$ZZ$1048576"), MATCH(AX$1, DicR!$6:$6, 0), FALSE),
            0
        )
)</f>
        <v>0</v>
      </c>
      <c r="AY26" s="37">
        <f t="array" ref="AY26">SUM(
    IFERROR(
            VLOOKUP($A26, INDIRECT("EneR!$A$6:$ZZ$1048576"), MATCH(AY$1, EneR!$6:$6, 0), FALSE),
            0
        ) +
        IFERROR(
            VLOOKUP($A26, INDIRECT("FebR!$A$6:$ZZ$1048576"), MATCH(AY$1, FebR!$6:$6, 0), FALSE),
            0
        ) +
        IFERROR(
            VLOOKUP($A26, INDIRECT("MarR!$A$6:$ZZ$1048576"), MATCH(AY$1, MarR!$6:$6, 0), FALSE),
            0
        ) +
        IFERROR(
            VLOOKUP($A26, INDIRECT("AbrR!$A$6:$ZZ$1048576"), MATCH(AY$1, AbrR!$6:$6, 0), FALSE),
            0
        ) +
        IFERROR(
            VLOOKUP($A26, INDIRECT("MayR!$A$6:$ZZ$1048576"), MATCH(AY$1, MayR!$6:$6, 0), FALSE),
            0
        ) +
        IFERROR(
            VLOOKUP($A26, INDIRECT("JunR!$A$6:$ZZ$1048576"), MATCH(AY$1, JunR!$6:$6, 0), FALSE),
            0
        ) +
        IFERROR(
            VLOOKUP($A26, INDIRECT("JulR!$A$6:$ZZ$1048576"), MATCH(AY$1, JulR!$6:$6, 0), FALSE),
            0
        ) +
        IFERROR(
            VLOOKUP($A26, INDIRECT("AgoR!$A$6:$ZZ$1048576"), MATCH(AY$1, AgoR!$6:$6, 0), FALSE),
            0
        ) +
        IFERROR(
            VLOOKUP($A26, INDIRECT("SepR!$A$6:$ZZ$1048576"), MATCH(AY$1, SepR!$6:$6, 0), FALSE),
            0
        ) +
        IFERROR(
            VLOOKUP($A26, INDIRECT("OctR!$A$6:$ZZ$1048576"), MATCH(AY$1, OctR!$6:$6, 0), FALSE),
            0
        ) +
        IFERROR(
            VLOOKUP($A26, INDIRECT("NovR!$A$6:$ZZ$1048576"), MATCH(AY$1, NovR!$6:$6, 0), FALSE),
            0
        ) +
        IFERROR(
            VLOOKUP($A26, INDIRECT("DicR!$A$6:$ZZ$1048576"), MATCH(AY$1, DicR!$6:$6, 0), FALSE),
            0
        )
)</f>
        <v>0</v>
      </c>
      <c r="AZ26" s="37"/>
    </row>
    <row r="27" ht="15.75" customHeight="1">
      <c r="A27" s="12" t="str">
        <f>Menus!R19</f>
        <v/>
      </c>
      <c r="B27" s="32">
        <f t="shared" si="4"/>
        <v>0</v>
      </c>
      <c r="C27" s="33" t="str">
        <f t="shared" si="5"/>
        <v/>
      </c>
      <c r="D27" s="34">
        <f t="array" ref="D27">SUM(
    IFERROR(
            VLOOKUP($A27, INDIRECT("EneR!$A$6:$ZZ$1048576"), MATCH(D$1, EneR!$6:$6, 0), FALSE),
            0
        ) +
        IFERROR(
            VLOOKUP($A27, INDIRECT("FebR!$A$6:$ZZ$1048576"), MATCH(D$1, FebR!$6:$6, 0), FALSE),
            0
        ) +
        IFERROR(
            VLOOKUP($A27, INDIRECT("MarR!$A$6:$ZZ$1048576"), MATCH(D$1, MarR!$6:$6, 0), FALSE),
            0
        ) +
        IFERROR(
            VLOOKUP($A27, INDIRECT("AbrR!$A$6:$ZZ$1048576"), MATCH(D$1, AbrR!$6:$6, 0), FALSE),
            0
        ) +
        IFERROR(
            VLOOKUP($A27, INDIRECT("MayR!$A$6:$ZZ$1048576"), MATCH(D$1, MayR!$6:$6, 0), FALSE),
            0
        ) +
        IFERROR(
            VLOOKUP($A27, INDIRECT("JunR!$A$6:$ZZ$1048576"), MATCH(D$1, JunR!$6:$6, 0), FALSE),
            0
        ) +
        IFERROR(
            VLOOKUP($A27, INDIRECT("JulR!$A$6:$ZZ$1048576"), MATCH(D$1, JulR!$6:$6, 0), FALSE),
            0
        ) +
        IFERROR(
            VLOOKUP($A27, INDIRECT("AgoR!$A$6:$ZZ$1048576"), MATCH(D$1, AgoR!$6:$6, 0), FALSE),
            0
        ) +
        IFERROR(
            VLOOKUP($A27, INDIRECT("SepR!$A$6:$ZZ$1048576"), MATCH(D$1, SepR!$6:$6, 0), FALSE),
            0
        ) +
        IFERROR(
            VLOOKUP($A27, INDIRECT("OctR!$A$6:$ZZ$1048576"), MATCH(D$1, OctR!$6:$6, 0), FALSE),
            0
        ) +
        IFERROR(
            VLOOKUP($A27, INDIRECT("NovR!$A$6:$ZZ$1048576"), MATCH(D$1, NovR!$6:$6, 0), FALSE),
            0
        ) +
        IFERROR(
            VLOOKUP($A27, INDIRECT("DicR!$A$6:$ZZ$1048576"), MATCH(D$1, DicR!$6:$6, 0), FALSE),
            0
        )
)</f>
        <v>0</v>
      </c>
      <c r="E27" s="35">
        <f t="array" ref="E27">SUM(
    IFERROR(
            VLOOKUP($A27, INDIRECT("EneR!$A$6:$ZZ$1048576"), MATCH(E$1, EneR!$6:$6, 0), FALSE),
            0
        ) +
        IFERROR(
            VLOOKUP($A27, INDIRECT("FebR!$A$6:$ZZ$1048576"), MATCH(E$1, FebR!$6:$6, 0), FALSE),
            0
        ) +
        IFERROR(
            VLOOKUP($A27, INDIRECT("MarR!$A$6:$ZZ$1048576"), MATCH(E$1, MarR!$6:$6, 0), FALSE),
            0
        ) +
        IFERROR(
            VLOOKUP($A27, INDIRECT("AbrR!$A$6:$ZZ$1048576"), MATCH(E$1, AbrR!$6:$6, 0), FALSE),
            0
        ) +
        IFERROR(
            VLOOKUP($A27, INDIRECT("MayR!$A$6:$ZZ$1048576"), MATCH(E$1, MayR!$6:$6, 0), FALSE),
            0
        ) +
        IFERROR(
            VLOOKUP($A27, INDIRECT("JunR!$A$6:$ZZ$1048576"), MATCH(E$1, JunR!$6:$6, 0), FALSE),
            0
        ) +
        IFERROR(
            VLOOKUP($A27, INDIRECT("JulR!$A$6:$ZZ$1048576"), MATCH(E$1, JulR!$6:$6, 0), FALSE),
            0
        ) +
        IFERROR(
            VLOOKUP($A27, INDIRECT("AgoR!$A$6:$ZZ$1048576"), MATCH(E$1, AgoR!$6:$6, 0), FALSE),
            0
        ) +
        IFERROR(
            VLOOKUP($A27, INDIRECT("SepR!$A$6:$ZZ$1048576"), MATCH(E$1, SepR!$6:$6, 0), FALSE),
            0
        ) +
        IFERROR(
            VLOOKUP($A27, INDIRECT("OctR!$A$6:$ZZ$1048576"), MATCH(E$1, OctR!$6:$6, 0), FALSE),
            0
        ) +
        IFERROR(
            VLOOKUP($A27, INDIRECT("NovR!$A$6:$ZZ$1048576"), MATCH(E$1, NovR!$6:$6, 0), FALSE),
            0
        ) +
        IFERROR(
            VLOOKUP($A27, INDIRECT("DicR!$A$6:$ZZ$1048576"), MATCH(E$1, DicR!$6:$6, 0), FALSE),
            0
        )
)</f>
        <v>0</v>
      </c>
      <c r="F27" s="32">
        <f t="array" ref="F27">SUM(
    IFERROR(
            VLOOKUP($A27, INDIRECT("EneR!$A$6:$ZZ$1048576"), MATCH(F$1, EneR!$6:$6, 0), FALSE),
            0
        ) +
        IFERROR(
            VLOOKUP($A27, INDIRECT("FebR!$A$6:$ZZ$1048576"), MATCH(F$1, FebR!$6:$6, 0), FALSE),
            0
        ) +
        IFERROR(
            VLOOKUP($A27, INDIRECT("MarR!$A$6:$ZZ$1048576"), MATCH(F$1, MarR!$6:$6, 0), FALSE),
            0
        ) +
        IFERROR(
            VLOOKUP($A27, INDIRECT("AbrR!$A$6:$ZZ$1048576"), MATCH(F$1, AbrR!$6:$6, 0), FALSE),
            0
        ) +
        IFERROR(
            VLOOKUP($A27, INDIRECT("MayR!$A$6:$ZZ$1048576"), MATCH(F$1, MayR!$6:$6, 0), FALSE),
            0
        ) +
        IFERROR(
            VLOOKUP($A27, INDIRECT("JunR!$A$6:$ZZ$1048576"), MATCH(F$1, JunR!$6:$6, 0), FALSE),
            0
        ) +
        IFERROR(
            VLOOKUP($A27, INDIRECT("JulR!$A$6:$ZZ$1048576"), MATCH(F$1, JulR!$6:$6, 0), FALSE),
            0
        ) +
        IFERROR(
            VLOOKUP($A27, INDIRECT("AgoR!$A$6:$ZZ$1048576"), MATCH(F$1, AgoR!$6:$6, 0), FALSE),
            0
        ) +
        IFERROR(
            VLOOKUP($A27, INDIRECT("SepR!$A$6:$ZZ$1048576"), MATCH(F$1, SepR!$6:$6, 0), FALSE),
            0
        ) +
        IFERROR(
            VLOOKUP($A27, INDIRECT("OctR!$A$6:$ZZ$1048576"), MATCH(F$1, OctR!$6:$6, 0), FALSE),
            0
        ) +
        IFERROR(
            VLOOKUP($A27, INDIRECT("NovR!$A$6:$ZZ$1048576"), MATCH(F$1, NovR!$6:$6, 0), FALSE),
            0
        ) +
        IFERROR(
            VLOOKUP($A27, INDIRECT("DicR!$A$6:$ZZ$1048576"), MATCH(F$1, DicR!$6:$6, 0), FALSE),
            0
        )
)</f>
        <v>0</v>
      </c>
      <c r="G27" s="35">
        <f t="array" ref="G27">SUM(
    IFERROR(
            VLOOKUP($A27, INDIRECT("EneR!$A$6:$ZZ$1048576"), MATCH(G$1, EneR!$6:$6, 0), FALSE),
            0
        ) +
        IFERROR(
            VLOOKUP($A27, INDIRECT("FebR!$A$6:$ZZ$1048576"), MATCH(G$1, FebR!$6:$6, 0), FALSE),
            0
        ) +
        IFERROR(
            VLOOKUP($A27, INDIRECT("MarR!$A$6:$ZZ$1048576"), MATCH(G$1, MarR!$6:$6, 0), FALSE),
            0
        ) +
        IFERROR(
            VLOOKUP($A27, INDIRECT("AbrR!$A$6:$ZZ$1048576"), MATCH(G$1, AbrR!$6:$6, 0), FALSE),
            0
        ) +
        IFERROR(
            VLOOKUP($A27, INDIRECT("MayR!$A$6:$ZZ$1048576"), MATCH(G$1, MayR!$6:$6, 0), FALSE),
            0
        ) +
        IFERROR(
            VLOOKUP($A27, INDIRECT("JunR!$A$6:$ZZ$1048576"), MATCH(G$1, JunR!$6:$6, 0), FALSE),
            0
        ) +
        IFERROR(
            VLOOKUP($A27, INDIRECT("JulR!$A$6:$ZZ$1048576"), MATCH(G$1, JulR!$6:$6, 0), FALSE),
            0
        ) +
        IFERROR(
            VLOOKUP($A27, INDIRECT("AgoR!$A$6:$ZZ$1048576"), MATCH(G$1, AgoR!$6:$6, 0), FALSE),
            0
        ) +
        IFERROR(
            VLOOKUP($A27, INDIRECT("SepR!$A$6:$ZZ$1048576"), MATCH(G$1, SepR!$6:$6, 0), FALSE),
            0
        ) +
        IFERROR(
            VLOOKUP($A27, INDIRECT("OctR!$A$6:$ZZ$1048576"), MATCH(G$1, OctR!$6:$6, 0), FALSE),
            0
        ) +
        IFERROR(
            VLOOKUP($A27, INDIRECT("NovR!$A$6:$ZZ$1048576"), MATCH(G$1, NovR!$6:$6, 0), FALSE),
            0
        ) +
        IFERROR(
            VLOOKUP($A27, INDIRECT("DicR!$A$6:$ZZ$1048576"), MATCH(G$1, DicR!$6:$6, 0), FALSE),
            0
        )
)</f>
        <v>0</v>
      </c>
      <c r="H27" s="32">
        <f t="array" ref="H27">SUM(
    IFERROR(
            VLOOKUP($A27, INDIRECT("EneR!$A$6:$ZZ$1048576"), MATCH(H$1, EneR!$6:$6, 0), FALSE),
            0
        ) +
        IFERROR(
            VLOOKUP($A27, INDIRECT("FebR!$A$6:$ZZ$1048576"), MATCH(H$1, FebR!$6:$6, 0), FALSE),
            0
        ) +
        IFERROR(
            VLOOKUP($A27, INDIRECT("MarR!$A$6:$ZZ$1048576"), MATCH(H$1, MarR!$6:$6, 0), FALSE),
            0
        ) +
        IFERROR(
            VLOOKUP($A27, INDIRECT("AbrR!$A$6:$ZZ$1048576"), MATCH(H$1, AbrR!$6:$6, 0), FALSE),
            0
        ) +
        IFERROR(
            VLOOKUP($A27, INDIRECT("MayR!$A$6:$ZZ$1048576"), MATCH(H$1, MayR!$6:$6, 0), FALSE),
            0
        ) +
        IFERROR(
            VLOOKUP($A27, INDIRECT("JunR!$A$6:$ZZ$1048576"), MATCH(H$1, JunR!$6:$6, 0), FALSE),
            0
        ) +
        IFERROR(
            VLOOKUP($A27, INDIRECT("JulR!$A$6:$ZZ$1048576"), MATCH(H$1, JulR!$6:$6, 0), FALSE),
            0
        ) +
        IFERROR(
            VLOOKUP($A27, INDIRECT("AgoR!$A$6:$ZZ$1048576"), MATCH(H$1, AgoR!$6:$6, 0), FALSE),
            0
        ) +
        IFERROR(
            VLOOKUP($A27, INDIRECT("SepR!$A$6:$ZZ$1048576"), MATCH(H$1, SepR!$6:$6, 0), FALSE),
            0
        ) +
        IFERROR(
            VLOOKUP($A27, INDIRECT("OctR!$A$6:$ZZ$1048576"), MATCH(H$1, OctR!$6:$6, 0), FALSE),
            0
        ) +
        IFERROR(
            VLOOKUP($A27, INDIRECT("NovR!$A$6:$ZZ$1048576"), MATCH(H$1, NovR!$6:$6, 0), FALSE),
            0
        ) +
        IFERROR(
            VLOOKUP($A27, INDIRECT("DicR!$A$6:$ZZ$1048576"), MATCH(H$1, DicR!$6:$6, 0), FALSE),
            0
        )
)</f>
        <v>0</v>
      </c>
      <c r="I27" s="35">
        <f t="array" ref="I27">SUM(
    IFERROR(
            VLOOKUP($A27, INDIRECT("EneR!$A$6:$ZZ$1048576"), MATCH(I$1, EneR!$6:$6, 0), FALSE),
            0
        ) +
        IFERROR(
            VLOOKUP($A27, INDIRECT("FebR!$A$6:$ZZ$1048576"), MATCH(I$1, FebR!$6:$6, 0), FALSE),
            0
        ) +
        IFERROR(
            VLOOKUP($A27, INDIRECT("MarR!$A$6:$ZZ$1048576"), MATCH(I$1, MarR!$6:$6, 0), FALSE),
            0
        ) +
        IFERROR(
            VLOOKUP($A27, INDIRECT("AbrR!$A$6:$ZZ$1048576"), MATCH(I$1, AbrR!$6:$6, 0), FALSE),
            0
        ) +
        IFERROR(
            VLOOKUP($A27, INDIRECT("MayR!$A$6:$ZZ$1048576"), MATCH(I$1, MayR!$6:$6, 0), FALSE),
            0
        ) +
        IFERROR(
            VLOOKUP($A27, INDIRECT("JunR!$A$6:$ZZ$1048576"), MATCH(I$1, JunR!$6:$6, 0), FALSE),
            0
        ) +
        IFERROR(
            VLOOKUP($A27, INDIRECT("JulR!$A$6:$ZZ$1048576"), MATCH(I$1, JulR!$6:$6, 0), FALSE),
            0
        ) +
        IFERROR(
            VLOOKUP($A27, INDIRECT("AgoR!$A$6:$ZZ$1048576"), MATCH(I$1, AgoR!$6:$6, 0), FALSE),
            0
        ) +
        IFERROR(
            VLOOKUP($A27, INDIRECT("SepR!$A$6:$ZZ$1048576"), MATCH(I$1, SepR!$6:$6, 0), FALSE),
            0
        ) +
        IFERROR(
            VLOOKUP($A27, INDIRECT("OctR!$A$6:$ZZ$1048576"), MATCH(I$1, OctR!$6:$6, 0), FALSE),
            0
        ) +
        IFERROR(
            VLOOKUP($A27, INDIRECT("NovR!$A$6:$ZZ$1048576"), MATCH(I$1, NovR!$6:$6, 0), FALSE),
            0
        ) +
        IFERROR(
            VLOOKUP($A27, INDIRECT("DicR!$A$6:$ZZ$1048576"), MATCH(I$1, DicR!$6:$6, 0), FALSE),
            0
        )
)</f>
        <v>0</v>
      </c>
      <c r="J27" s="32">
        <f t="array" ref="J27">SUM(
    IFERROR(
            VLOOKUP($A27, INDIRECT("EneR!$A$6:$ZZ$1048576"), MATCH(J$1, EneR!$6:$6, 0), FALSE),
            0
        ) +
        IFERROR(
            VLOOKUP($A27, INDIRECT("FebR!$A$6:$ZZ$1048576"), MATCH(J$1, FebR!$6:$6, 0), FALSE),
            0
        ) +
        IFERROR(
            VLOOKUP($A27, INDIRECT("MarR!$A$6:$ZZ$1048576"), MATCH(J$1, MarR!$6:$6, 0), FALSE),
            0
        ) +
        IFERROR(
            VLOOKUP($A27, INDIRECT("AbrR!$A$6:$ZZ$1048576"), MATCH(J$1, AbrR!$6:$6, 0), FALSE),
            0
        ) +
        IFERROR(
            VLOOKUP($A27, INDIRECT("MayR!$A$6:$ZZ$1048576"), MATCH(J$1, MayR!$6:$6, 0), FALSE),
            0
        ) +
        IFERROR(
            VLOOKUP($A27, INDIRECT("JunR!$A$6:$ZZ$1048576"), MATCH(J$1, JunR!$6:$6, 0), FALSE),
            0
        ) +
        IFERROR(
            VLOOKUP($A27, INDIRECT("JulR!$A$6:$ZZ$1048576"), MATCH(J$1, JulR!$6:$6, 0), FALSE),
            0
        ) +
        IFERROR(
            VLOOKUP($A27, INDIRECT("AgoR!$A$6:$ZZ$1048576"), MATCH(J$1, AgoR!$6:$6, 0), FALSE),
            0
        ) +
        IFERROR(
            VLOOKUP($A27, INDIRECT("SepR!$A$6:$ZZ$1048576"), MATCH(J$1, SepR!$6:$6, 0), FALSE),
            0
        ) +
        IFERROR(
            VLOOKUP($A27, INDIRECT("OctR!$A$6:$ZZ$1048576"), MATCH(J$1, OctR!$6:$6, 0), FALSE),
            0
        ) +
        IFERROR(
            VLOOKUP($A27, INDIRECT("NovR!$A$6:$ZZ$1048576"), MATCH(J$1, NovR!$6:$6, 0), FALSE),
            0
        ) +
        IFERROR(
            VLOOKUP($A27, INDIRECT("DicR!$A$6:$ZZ$1048576"), MATCH(J$1, DicR!$6:$6, 0), FALSE),
            0
        )
)</f>
        <v>0</v>
      </c>
      <c r="K27" s="35">
        <f t="array" ref="K27">SUM(
    IFERROR(
            VLOOKUP($A27, INDIRECT("EneR!$A$6:$ZZ$1048576"), MATCH(K$1, EneR!$6:$6, 0), FALSE),
            0
        ) +
        IFERROR(
            VLOOKUP($A27, INDIRECT("FebR!$A$6:$ZZ$1048576"), MATCH(K$1, FebR!$6:$6, 0), FALSE),
            0
        ) +
        IFERROR(
            VLOOKUP($A27, INDIRECT("MarR!$A$6:$ZZ$1048576"), MATCH(K$1, MarR!$6:$6, 0), FALSE),
            0
        ) +
        IFERROR(
            VLOOKUP($A27, INDIRECT("AbrR!$A$6:$ZZ$1048576"), MATCH(K$1, AbrR!$6:$6, 0), FALSE),
            0
        ) +
        IFERROR(
            VLOOKUP($A27, INDIRECT("MayR!$A$6:$ZZ$1048576"), MATCH(K$1, MayR!$6:$6, 0), FALSE),
            0
        ) +
        IFERROR(
            VLOOKUP($A27, INDIRECT("JunR!$A$6:$ZZ$1048576"), MATCH(K$1, JunR!$6:$6, 0), FALSE),
            0
        ) +
        IFERROR(
            VLOOKUP($A27, INDIRECT("JulR!$A$6:$ZZ$1048576"), MATCH(K$1, JulR!$6:$6, 0), FALSE),
            0
        ) +
        IFERROR(
            VLOOKUP($A27, INDIRECT("AgoR!$A$6:$ZZ$1048576"), MATCH(K$1, AgoR!$6:$6, 0), FALSE),
            0
        ) +
        IFERROR(
            VLOOKUP($A27, INDIRECT("SepR!$A$6:$ZZ$1048576"), MATCH(K$1, SepR!$6:$6, 0), FALSE),
            0
        ) +
        IFERROR(
            VLOOKUP($A27, INDIRECT("OctR!$A$6:$ZZ$1048576"), MATCH(K$1, OctR!$6:$6, 0), FALSE),
            0
        ) +
        IFERROR(
            VLOOKUP($A27, INDIRECT("NovR!$A$6:$ZZ$1048576"), MATCH(K$1, NovR!$6:$6, 0), FALSE),
            0
        ) +
        IFERROR(
            VLOOKUP($A27, INDIRECT("DicR!$A$6:$ZZ$1048576"), MATCH(K$1, DicR!$6:$6, 0), FALSE),
            0
        )
)</f>
        <v>0</v>
      </c>
      <c r="L27" s="32">
        <f t="array" ref="L27">SUM(
    IFERROR(
            VLOOKUP($A27, INDIRECT("EneR!$A$6:$ZZ$1048576"), MATCH(L$1, EneR!$6:$6, 0), FALSE),
            0
        ) +
        IFERROR(
            VLOOKUP($A27, INDIRECT("FebR!$A$6:$ZZ$1048576"), MATCH(L$1, FebR!$6:$6, 0), FALSE),
            0
        ) +
        IFERROR(
            VLOOKUP($A27, INDIRECT("MarR!$A$6:$ZZ$1048576"), MATCH(L$1, MarR!$6:$6, 0), FALSE),
            0
        ) +
        IFERROR(
            VLOOKUP($A27, INDIRECT("AbrR!$A$6:$ZZ$1048576"), MATCH(L$1, AbrR!$6:$6, 0), FALSE),
            0
        ) +
        IFERROR(
            VLOOKUP($A27, INDIRECT("MayR!$A$6:$ZZ$1048576"), MATCH(L$1, MayR!$6:$6, 0), FALSE),
            0
        ) +
        IFERROR(
            VLOOKUP($A27, INDIRECT("JunR!$A$6:$ZZ$1048576"), MATCH(L$1, JunR!$6:$6, 0), FALSE),
            0
        ) +
        IFERROR(
            VLOOKUP($A27, INDIRECT("JulR!$A$6:$ZZ$1048576"), MATCH(L$1, JulR!$6:$6, 0), FALSE),
            0
        ) +
        IFERROR(
            VLOOKUP($A27, INDIRECT("AgoR!$A$6:$ZZ$1048576"), MATCH(L$1, AgoR!$6:$6, 0), FALSE),
            0
        ) +
        IFERROR(
            VLOOKUP($A27, INDIRECT("SepR!$A$6:$ZZ$1048576"), MATCH(L$1, SepR!$6:$6, 0), FALSE),
            0
        ) +
        IFERROR(
            VLOOKUP($A27, INDIRECT("OctR!$A$6:$ZZ$1048576"), MATCH(L$1, OctR!$6:$6, 0), FALSE),
            0
        ) +
        IFERROR(
            VLOOKUP($A27, INDIRECT("NovR!$A$6:$ZZ$1048576"), MATCH(L$1, NovR!$6:$6, 0), FALSE),
            0
        ) +
        IFERROR(
            VLOOKUP($A27, INDIRECT("DicR!$A$6:$ZZ$1048576"), MATCH(L$1, DicR!$6:$6, 0), FALSE),
            0
        )
)</f>
        <v>0</v>
      </c>
      <c r="M27" s="35">
        <f t="array" ref="M27">SUM(
    IFERROR(
            VLOOKUP($A27, INDIRECT("EneR!$A$6:$ZZ$1048576"), MATCH(M$1, EneR!$6:$6, 0), FALSE),
            0
        ) +
        IFERROR(
            VLOOKUP($A27, INDIRECT("FebR!$A$6:$ZZ$1048576"), MATCH(M$1, FebR!$6:$6, 0), FALSE),
            0
        ) +
        IFERROR(
            VLOOKUP($A27, INDIRECT("MarR!$A$6:$ZZ$1048576"), MATCH(M$1, MarR!$6:$6, 0), FALSE),
            0
        ) +
        IFERROR(
            VLOOKUP($A27, INDIRECT("AbrR!$A$6:$ZZ$1048576"), MATCH(M$1, AbrR!$6:$6, 0), FALSE),
            0
        ) +
        IFERROR(
            VLOOKUP($A27, INDIRECT("MayR!$A$6:$ZZ$1048576"), MATCH(M$1, MayR!$6:$6, 0), FALSE),
            0
        ) +
        IFERROR(
            VLOOKUP($A27, INDIRECT("JunR!$A$6:$ZZ$1048576"), MATCH(M$1, JunR!$6:$6, 0), FALSE),
            0
        ) +
        IFERROR(
            VLOOKUP($A27, INDIRECT("JulR!$A$6:$ZZ$1048576"), MATCH(M$1, JulR!$6:$6, 0), FALSE),
            0
        ) +
        IFERROR(
            VLOOKUP($A27, INDIRECT("AgoR!$A$6:$ZZ$1048576"), MATCH(M$1, AgoR!$6:$6, 0), FALSE),
            0
        ) +
        IFERROR(
            VLOOKUP($A27, INDIRECT("SepR!$A$6:$ZZ$1048576"), MATCH(M$1, SepR!$6:$6, 0), FALSE),
            0
        ) +
        IFERROR(
            VLOOKUP($A27, INDIRECT("OctR!$A$6:$ZZ$1048576"), MATCH(M$1, OctR!$6:$6, 0), FALSE),
            0
        ) +
        IFERROR(
            VLOOKUP($A27, INDIRECT("NovR!$A$6:$ZZ$1048576"), MATCH(M$1, NovR!$6:$6, 0), FALSE),
            0
        ) +
        IFERROR(
            VLOOKUP($A27, INDIRECT("DicR!$A$6:$ZZ$1048576"), MATCH(M$1, DicR!$6:$6, 0), FALSE),
            0
        )
)</f>
        <v>0</v>
      </c>
      <c r="N27" s="32">
        <f t="array" ref="N27">SUM(
    IFERROR(
            VLOOKUP($A27, INDIRECT("EneR!$A$6:$ZZ$1048576"), MATCH(N$1, EneR!$6:$6, 0), FALSE),
            0
        ) +
        IFERROR(
            VLOOKUP($A27, INDIRECT("FebR!$A$6:$ZZ$1048576"), MATCH(N$1, FebR!$6:$6, 0), FALSE),
            0
        ) +
        IFERROR(
            VLOOKUP($A27, INDIRECT("MarR!$A$6:$ZZ$1048576"), MATCH(N$1, MarR!$6:$6, 0), FALSE),
            0
        ) +
        IFERROR(
            VLOOKUP($A27, INDIRECT("AbrR!$A$6:$ZZ$1048576"), MATCH(N$1, AbrR!$6:$6, 0), FALSE),
            0
        ) +
        IFERROR(
            VLOOKUP($A27, INDIRECT("MayR!$A$6:$ZZ$1048576"), MATCH(N$1, MayR!$6:$6, 0), FALSE),
            0
        ) +
        IFERROR(
            VLOOKUP($A27, INDIRECT("JunR!$A$6:$ZZ$1048576"), MATCH(N$1, JunR!$6:$6, 0), FALSE),
            0
        ) +
        IFERROR(
            VLOOKUP($A27, INDIRECT("JulR!$A$6:$ZZ$1048576"), MATCH(N$1, JulR!$6:$6, 0), FALSE),
            0
        ) +
        IFERROR(
            VLOOKUP($A27, INDIRECT("AgoR!$A$6:$ZZ$1048576"), MATCH(N$1, AgoR!$6:$6, 0), FALSE),
            0
        ) +
        IFERROR(
            VLOOKUP($A27, INDIRECT("SepR!$A$6:$ZZ$1048576"), MATCH(N$1, SepR!$6:$6, 0), FALSE),
            0
        ) +
        IFERROR(
            VLOOKUP($A27, INDIRECT("OctR!$A$6:$ZZ$1048576"), MATCH(N$1, OctR!$6:$6, 0), FALSE),
            0
        ) +
        IFERROR(
            VLOOKUP($A27, INDIRECT("NovR!$A$6:$ZZ$1048576"), MATCH(N$1, NovR!$6:$6, 0), FALSE),
            0
        ) +
        IFERROR(
            VLOOKUP($A27, INDIRECT("DicR!$A$6:$ZZ$1048576"), MATCH(N$1, DicR!$6:$6, 0), FALSE),
            0
        )
)</f>
        <v>0</v>
      </c>
      <c r="O27" s="35">
        <f t="array" ref="O27">SUM(
    IFERROR(
            VLOOKUP($A27, INDIRECT("EneR!$A$6:$ZZ$1048576"), MATCH(O$1, EneR!$6:$6, 0), FALSE),
            0
        ) +
        IFERROR(
            VLOOKUP($A27, INDIRECT("FebR!$A$6:$ZZ$1048576"), MATCH(O$1, FebR!$6:$6, 0), FALSE),
            0
        ) +
        IFERROR(
            VLOOKUP($A27, INDIRECT("MarR!$A$6:$ZZ$1048576"), MATCH(O$1, MarR!$6:$6, 0), FALSE),
            0
        ) +
        IFERROR(
            VLOOKUP($A27, INDIRECT("AbrR!$A$6:$ZZ$1048576"), MATCH(O$1, AbrR!$6:$6, 0), FALSE),
            0
        ) +
        IFERROR(
            VLOOKUP($A27, INDIRECT("MayR!$A$6:$ZZ$1048576"), MATCH(O$1, MayR!$6:$6, 0), FALSE),
            0
        ) +
        IFERROR(
            VLOOKUP($A27, INDIRECT("JunR!$A$6:$ZZ$1048576"), MATCH(O$1, JunR!$6:$6, 0), FALSE),
            0
        ) +
        IFERROR(
            VLOOKUP($A27, INDIRECT("JulR!$A$6:$ZZ$1048576"), MATCH(O$1, JulR!$6:$6, 0), FALSE),
            0
        ) +
        IFERROR(
            VLOOKUP($A27, INDIRECT("AgoR!$A$6:$ZZ$1048576"), MATCH(O$1, AgoR!$6:$6, 0), FALSE),
            0
        ) +
        IFERROR(
            VLOOKUP($A27, INDIRECT("SepR!$A$6:$ZZ$1048576"), MATCH(O$1, SepR!$6:$6, 0), FALSE),
            0
        ) +
        IFERROR(
            VLOOKUP($A27, INDIRECT("OctR!$A$6:$ZZ$1048576"), MATCH(O$1, OctR!$6:$6, 0), FALSE),
            0
        ) +
        IFERROR(
            VLOOKUP($A27, INDIRECT("NovR!$A$6:$ZZ$1048576"), MATCH(O$1, NovR!$6:$6, 0), FALSE),
            0
        ) +
        IFERROR(
            VLOOKUP($A27, INDIRECT("DicR!$A$6:$ZZ$1048576"), MATCH(O$1, DicR!$6:$6, 0), FALSE),
            0
        )
)</f>
        <v>0</v>
      </c>
      <c r="P27" s="32">
        <f t="array" ref="P27">SUM(
    IFERROR(
            VLOOKUP($A27, INDIRECT("EneR!$A$6:$ZZ$1048576"), MATCH(P$1, EneR!$6:$6, 0), FALSE),
            0
        ) +
        IFERROR(
            VLOOKUP($A27, INDIRECT("FebR!$A$6:$ZZ$1048576"), MATCH(P$1, FebR!$6:$6, 0), FALSE),
            0
        ) +
        IFERROR(
            VLOOKUP($A27, INDIRECT("MarR!$A$6:$ZZ$1048576"), MATCH(P$1, MarR!$6:$6, 0), FALSE),
            0
        ) +
        IFERROR(
            VLOOKUP($A27, INDIRECT("AbrR!$A$6:$ZZ$1048576"), MATCH(P$1, AbrR!$6:$6, 0), FALSE),
            0
        ) +
        IFERROR(
            VLOOKUP($A27, INDIRECT("MayR!$A$6:$ZZ$1048576"), MATCH(P$1, MayR!$6:$6, 0), FALSE),
            0
        ) +
        IFERROR(
            VLOOKUP($A27, INDIRECT("JunR!$A$6:$ZZ$1048576"), MATCH(P$1, JunR!$6:$6, 0), FALSE),
            0
        ) +
        IFERROR(
            VLOOKUP($A27, INDIRECT("JulR!$A$6:$ZZ$1048576"), MATCH(P$1, JulR!$6:$6, 0), FALSE),
            0
        ) +
        IFERROR(
            VLOOKUP($A27, INDIRECT("AgoR!$A$6:$ZZ$1048576"), MATCH(P$1, AgoR!$6:$6, 0), FALSE),
            0
        ) +
        IFERROR(
            VLOOKUP($A27, INDIRECT("SepR!$A$6:$ZZ$1048576"), MATCH(P$1, SepR!$6:$6, 0), FALSE),
            0
        ) +
        IFERROR(
            VLOOKUP($A27, INDIRECT("OctR!$A$6:$ZZ$1048576"), MATCH(P$1, OctR!$6:$6, 0), FALSE),
            0
        ) +
        IFERROR(
            VLOOKUP($A27, INDIRECT("NovR!$A$6:$ZZ$1048576"), MATCH(P$1, NovR!$6:$6, 0), FALSE),
            0
        ) +
        IFERROR(
            VLOOKUP($A27, INDIRECT("DicR!$A$6:$ZZ$1048576"), MATCH(P$1, DicR!$6:$6, 0), FALSE),
            0
        )
)</f>
        <v>0</v>
      </c>
      <c r="Q27" s="35">
        <f t="array" ref="Q27">SUM(
    IFERROR(
            VLOOKUP($A27, INDIRECT("EneR!$A$6:$ZZ$1048576"), MATCH(Q$1, EneR!$6:$6, 0), FALSE),
            0
        ) +
        IFERROR(
            VLOOKUP($A27, INDIRECT("FebR!$A$6:$ZZ$1048576"), MATCH(Q$1, FebR!$6:$6, 0), FALSE),
            0
        ) +
        IFERROR(
            VLOOKUP($A27, INDIRECT("MarR!$A$6:$ZZ$1048576"), MATCH(Q$1, MarR!$6:$6, 0), FALSE),
            0
        ) +
        IFERROR(
            VLOOKUP($A27, INDIRECT("AbrR!$A$6:$ZZ$1048576"), MATCH(Q$1, AbrR!$6:$6, 0), FALSE),
            0
        ) +
        IFERROR(
            VLOOKUP($A27, INDIRECT("MayR!$A$6:$ZZ$1048576"), MATCH(Q$1, MayR!$6:$6, 0), FALSE),
            0
        ) +
        IFERROR(
            VLOOKUP($A27, INDIRECT("JunR!$A$6:$ZZ$1048576"), MATCH(Q$1, JunR!$6:$6, 0), FALSE),
            0
        ) +
        IFERROR(
            VLOOKUP($A27, INDIRECT("JulR!$A$6:$ZZ$1048576"), MATCH(Q$1, JulR!$6:$6, 0), FALSE),
            0
        ) +
        IFERROR(
            VLOOKUP($A27, INDIRECT("AgoR!$A$6:$ZZ$1048576"), MATCH(Q$1, AgoR!$6:$6, 0), FALSE),
            0
        ) +
        IFERROR(
            VLOOKUP($A27, INDIRECT("SepR!$A$6:$ZZ$1048576"), MATCH(Q$1, SepR!$6:$6, 0), FALSE),
            0
        ) +
        IFERROR(
            VLOOKUP($A27, INDIRECT("OctR!$A$6:$ZZ$1048576"), MATCH(Q$1, OctR!$6:$6, 0), FALSE),
            0
        ) +
        IFERROR(
            VLOOKUP($A27, INDIRECT("NovR!$A$6:$ZZ$1048576"), MATCH(Q$1, NovR!$6:$6, 0), FALSE),
            0
        ) +
        IFERROR(
            VLOOKUP($A27, INDIRECT("DicR!$A$6:$ZZ$1048576"), MATCH(Q$1, DicR!$6:$6, 0), FALSE),
            0
        )
)</f>
        <v>0</v>
      </c>
      <c r="R27" s="36">
        <f t="array" ref="R27">SUM(
    IFERROR(
            VLOOKUP($A27, INDIRECT("EneR!$A$6:$ZZ$1048576"), MATCH(R$1, EneR!$6:$6, 0), FALSE),
            0
        ) +
        IFERROR(
            VLOOKUP($A27, INDIRECT("FebR!$A$6:$ZZ$1048576"), MATCH(R$1, FebR!$6:$6, 0), FALSE),
            0
        ) +
        IFERROR(
            VLOOKUP($A27, INDIRECT("MarR!$A$6:$ZZ$1048576"), MATCH(R$1, MarR!$6:$6, 0), FALSE),
            0
        ) +
        IFERROR(
            VLOOKUP($A27, INDIRECT("AbrR!$A$6:$ZZ$1048576"), MATCH(R$1, AbrR!$6:$6, 0), FALSE),
            0
        ) +
        IFERROR(
            VLOOKUP($A27, INDIRECT("MayR!$A$6:$ZZ$1048576"), MATCH(R$1, MayR!$6:$6, 0), FALSE),
            0
        ) +
        IFERROR(
            VLOOKUP($A27, INDIRECT("JunR!$A$6:$ZZ$1048576"), MATCH(R$1, JunR!$6:$6, 0), FALSE),
            0
        ) +
        IFERROR(
            VLOOKUP($A27, INDIRECT("JulR!$A$6:$ZZ$1048576"), MATCH(R$1, JulR!$6:$6, 0), FALSE),
            0
        ) +
        IFERROR(
            VLOOKUP($A27, INDIRECT("AgoR!$A$6:$ZZ$1048576"), MATCH(R$1, AgoR!$6:$6, 0), FALSE),
            0
        ) +
        IFERROR(
            VLOOKUP($A27, INDIRECT("SepR!$A$6:$ZZ$1048576"), MATCH(R$1, SepR!$6:$6, 0), FALSE),
            0
        ) +
        IFERROR(
            VLOOKUP($A27, INDIRECT("OctR!$A$6:$ZZ$1048576"), MATCH(R$1, OctR!$6:$6, 0), FALSE),
            0
        ) +
        IFERROR(
            VLOOKUP($A27, INDIRECT("NovR!$A$6:$ZZ$1048576"), MATCH(R$1, NovR!$6:$6, 0), FALSE),
            0
        ) +
        IFERROR(
            VLOOKUP($A27, INDIRECT("DicR!$A$6:$ZZ$1048576"), MATCH(R$1, DicR!$6:$6, 0), FALSE),
            0
        )
)</f>
        <v>0</v>
      </c>
      <c r="S27" s="37">
        <f t="array" ref="S27">SUM(
    IFERROR(
            VLOOKUP($A27, INDIRECT("EneR!$A$6:$ZZ$1048576"), MATCH(S$1, EneR!$6:$6, 0), FALSE),
            0
        ) +
        IFERROR(
            VLOOKUP($A27, INDIRECT("FebR!$A$6:$ZZ$1048576"), MATCH(S$1, FebR!$6:$6, 0), FALSE),
            0
        ) +
        IFERROR(
            VLOOKUP($A27, INDIRECT("MarR!$A$6:$ZZ$1048576"), MATCH(S$1, MarR!$6:$6, 0), FALSE),
            0
        ) +
        IFERROR(
            VLOOKUP($A27, INDIRECT("AbrR!$A$6:$ZZ$1048576"), MATCH(S$1, AbrR!$6:$6, 0), FALSE),
            0
        ) +
        IFERROR(
            VLOOKUP($A27, INDIRECT("MayR!$A$6:$ZZ$1048576"), MATCH(S$1, MayR!$6:$6, 0), FALSE),
            0
        ) +
        IFERROR(
            VLOOKUP($A27, INDIRECT("JunR!$A$6:$ZZ$1048576"), MATCH(S$1, JunR!$6:$6, 0), FALSE),
            0
        ) +
        IFERROR(
            VLOOKUP($A27, INDIRECT("JulR!$A$6:$ZZ$1048576"), MATCH(S$1, JulR!$6:$6, 0), FALSE),
            0
        ) +
        IFERROR(
            VLOOKUP($A27, INDIRECT("AgoR!$A$6:$ZZ$1048576"), MATCH(S$1, AgoR!$6:$6, 0), FALSE),
            0
        ) +
        IFERROR(
            VLOOKUP($A27, INDIRECT("SepR!$A$6:$ZZ$1048576"), MATCH(S$1, SepR!$6:$6, 0), FALSE),
            0
        ) +
        IFERROR(
            VLOOKUP($A27, INDIRECT("OctR!$A$6:$ZZ$1048576"), MATCH(S$1, OctR!$6:$6, 0), FALSE),
            0
        ) +
        IFERROR(
            VLOOKUP($A27, INDIRECT("NovR!$A$6:$ZZ$1048576"), MATCH(S$1, NovR!$6:$6, 0), FALSE),
            0
        ) +
        IFERROR(
            VLOOKUP($A27, INDIRECT("DicR!$A$6:$ZZ$1048576"), MATCH(S$1, DicR!$6:$6, 0), FALSE),
            0
        )
)</f>
        <v>0</v>
      </c>
      <c r="T27" s="36">
        <f t="array" ref="T27">SUM(
    IFERROR(
            VLOOKUP($A27, INDIRECT("EneR!$A$6:$ZZ$1048576"), MATCH(T$1, EneR!$6:$6, 0), FALSE),
            0
        ) +
        IFERROR(
            VLOOKUP($A27, INDIRECT("FebR!$A$6:$ZZ$1048576"), MATCH(T$1, FebR!$6:$6, 0), FALSE),
            0
        ) +
        IFERROR(
            VLOOKUP($A27, INDIRECT("MarR!$A$6:$ZZ$1048576"), MATCH(T$1, MarR!$6:$6, 0), FALSE),
            0
        ) +
        IFERROR(
            VLOOKUP($A27, INDIRECT("AbrR!$A$6:$ZZ$1048576"), MATCH(T$1, AbrR!$6:$6, 0), FALSE),
            0
        ) +
        IFERROR(
            VLOOKUP($A27, INDIRECT("MayR!$A$6:$ZZ$1048576"), MATCH(T$1, MayR!$6:$6, 0), FALSE),
            0
        ) +
        IFERROR(
            VLOOKUP($A27, INDIRECT("JunR!$A$6:$ZZ$1048576"), MATCH(T$1, JunR!$6:$6, 0), FALSE),
            0
        ) +
        IFERROR(
            VLOOKUP($A27, INDIRECT("JulR!$A$6:$ZZ$1048576"), MATCH(T$1, JulR!$6:$6, 0), FALSE),
            0
        ) +
        IFERROR(
            VLOOKUP($A27, INDIRECT("AgoR!$A$6:$ZZ$1048576"), MATCH(T$1, AgoR!$6:$6, 0), FALSE),
            0
        ) +
        IFERROR(
            VLOOKUP($A27, INDIRECT("SepR!$A$6:$ZZ$1048576"), MATCH(T$1, SepR!$6:$6, 0), FALSE),
            0
        ) +
        IFERROR(
            VLOOKUP($A27, INDIRECT("OctR!$A$6:$ZZ$1048576"), MATCH(T$1, OctR!$6:$6, 0), FALSE),
            0
        ) +
        IFERROR(
            VLOOKUP($A27, INDIRECT("NovR!$A$6:$ZZ$1048576"), MATCH(T$1, NovR!$6:$6, 0), FALSE),
            0
        ) +
        IFERROR(
            VLOOKUP($A27, INDIRECT("DicR!$A$6:$ZZ$1048576"), MATCH(T$1, DicR!$6:$6, 0), FALSE),
            0
        )
)</f>
        <v>0</v>
      </c>
      <c r="U27" s="37">
        <f t="array" ref="U27">SUM(
    IFERROR(
            VLOOKUP($A27, INDIRECT("EneR!$A$6:$ZZ$1048576"), MATCH(U$1, EneR!$6:$6, 0), FALSE),
            0
        ) +
        IFERROR(
            VLOOKUP($A27, INDIRECT("FebR!$A$6:$ZZ$1048576"), MATCH(U$1, FebR!$6:$6, 0), FALSE),
            0
        ) +
        IFERROR(
            VLOOKUP($A27, INDIRECT("MarR!$A$6:$ZZ$1048576"), MATCH(U$1, MarR!$6:$6, 0), FALSE),
            0
        ) +
        IFERROR(
            VLOOKUP($A27, INDIRECT("AbrR!$A$6:$ZZ$1048576"), MATCH(U$1, AbrR!$6:$6, 0), FALSE),
            0
        ) +
        IFERROR(
            VLOOKUP($A27, INDIRECT("MayR!$A$6:$ZZ$1048576"), MATCH(U$1, MayR!$6:$6, 0), FALSE),
            0
        ) +
        IFERROR(
            VLOOKUP($A27, INDIRECT("JunR!$A$6:$ZZ$1048576"), MATCH(U$1, JunR!$6:$6, 0), FALSE),
            0
        ) +
        IFERROR(
            VLOOKUP($A27, INDIRECT("JulR!$A$6:$ZZ$1048576"), MATCH(U$1, JulR!$6:$6, 0), FALSE),
            0
        ) +
        IFERROR(
            VLOOKUP($A27, INDIRECT("AgoR!$A$6:$ZZ$1048576"), MATCH(U$1, AgoR!$6:$6, 0), FALSE),
            0
        ) +
        IFERROR(
            VLOOKUP($A27, INDIRECT("SepR!$A$6:$ZZ$1048576"), MATCH(U$1, SepR!$6:$6, 0), FALSE),
            0
        ) +
        IFERROR(
            VLOOKUP($A27, INDIRECT("OctR!$A$6:$ZZ$1048576"), MATCH(U$1, OctR!$6:$6, 0), FALSE),
            0
        ) +
        IFERROR(
            VLOOKUP($A27, INDIRECT("NovR!$A$6:$ZZ$1048576"), MATCH(U$1, NovR!$6:$6, 0), FALSE),
            0
        ) +
        IFERROR(
            VLOOKUP($A27, INDIRECT("DicR!$A$6:$ZZ$1048576"), MATCH(U$1, DicR!$6:$6, 0), FALSE),
            0
        )
)</f>
        <v>0</v>
      </c>
      <c r="V27" s="36">
        <f t="array" ref="V27">SUM(
    IFERROR(
            VLOOKUP($A27, INDIRECT("EneR!$A$6:$ZZ$1048576"), MATCH(V$1, EneR!$6:$6, 0), FALSE),
            0
        ) +
        IFERROR(
            VLOOKUP($A27, INDIRECT("FebR!$A$6:$ZZ$1048576"), MATCH(V$1, FebR!$6:$6, 0), FALSE),
            0
        ) +
        IFERROR(
            VLOOKUP($A27, INDIRECT("MarR!$A$6:$ZZ$1048576"), MATCH(V$1, MarR!$6:$6, 0), FALSE),
            0
        ) +
        IFERROR(
            VLOOKUP($A27, INDIRECT("AbrR!$A$6:$ZZ$1048576"), MATCH(V$1, AbrR!$6:$6, 0), FALSE),
            0
        ) +
        IFERROR(
            VLOOKUP($A27, INDIRECT("MayR!$A$6:$ZZ$1048576"), MATCH(V$1, MayR!$6:$6, 0), FALSE),
            0
        ) +
        IFERROR(
            VLOOKUP($A27, INDIRECT("JunR!$A$6:$ZZ$1048576"), MATCH(V$1, JunR!$6:$6, 0), FALSE),
            0
        ) +
        IFERROR(
            VLOOKUP($A27, INDIRECT("JulR!$A$6:$ZZ$1048576"), MATCH(V$1, JulR!$6:$6, 0), FALSE),
            0
        ) +
        IFERROR(
            VLOOKUP($A27, INDIRECT("AgoR!$A$6:$ZZ$1048576"), MATCH(V$1, AgoR!$6:$6, 0), FALSE),
            0
        ) +
        IFERROR(
            VLOOKUP($A27, INDIRECT("SepR!$A$6:$ZZ$1048576"), MATCH(V$1, SepR!$6:$6, 0), FALSE),
            0
        ) +
        IFERROR(
            VLOOKUP($A27, INDIRECT("OctR!$A$6:$ZZ$1048576"), MATCH(V$1, OctR!$6:$6, 0), FALSE),
            0
        ) +
        IFERROR(
            VLOOKUP($A27, INDIRECT("NovR!$A$6:$ZZ$1048576"), MATCH(V$1, NovR!$6:$6, 0), FALSE),
            0
        ) +
        IFERROR(
            VLOOKUP($A27, INDIRECT("DicR!$A$6:$ZZ$1048576"), MATCH(V$1, DicR!$6:$6, 0), FALSE),
            0
        )
)</f>
        <v>0</v>
      </c>
      <c r="W27" s="37">
        <f t="array" ref="W27">SUM(
    IFERROR(
            VLOOKUP($A27, INDIRECT("EneR!$A$6:$ZZ$1048576"), MATCH(W$1, EneR!$6:$6, 0), FALSE),
            0
        ) +
        IFERROR(
            VLOOKUP($A27, INDIRECT("FebR!$A$6:$ZZ$1048576"), MATCH(W$1, FebR!$6:$6, 0), FALSE),
            0
        ) +
        IFERROR(
            VLOOKUP($A27, INDIRECT("MarR!$A$6:$ZZ$1048576"), MATCH(W$1, MarR!$6:$6, 0), FALSE),
            0
        ) +
        IFERROR(
            VLOOKUP($A27, INDIRECT("AbrR!$A$6:$ZZ$1048576"), MATCH(W$1, AbrR!$6:$6, 0), FALSE),
            0
        ) +
        IFERROR(
            VLOOKUP($A27, INDIRECT("MayR!$A$6:$ZZ$1048576"), MATCH(W$1, MayR!$6:$6, 0), FALSE),
            0
        ) +
        IFERROR(
            VLOOKUP($A27, INDIRECT("JunR!$A$6:$ZZ$1048576"), MATCH(W$1, JunR!$6:$6, 0), FALSE),
            0
        ) +
        IFERROR(
            VLOOKUP($A27, INDIRECT("JulR!$A$6:$ZZ$1048576"), MATCH(W$1, JulR!$6:$6, 0), FALSE),
            0
        ) +
        IFERROR(
            VLOOKUP($A27, INDIRECT("AgoR!$A$6:$ZZ$1048576"), MATCH(W$1, AgoR!$6:$6, 0), FALSE),
            0
        ) +
        IFERROR(
            VLOOKUP($A27, INDIRECT("SepR!$A$6:$ZZ$1048576"), MATCH(W$1, SepR!$6:$6, 0), FALSE),
            0
        ) +
        IFERROR(
            VLOOKUP($A27, INDIRECT("OctR!$A$6:$ZZ$1048576"), MATCH(W$1, OctR!$6:$6, 0), FALSE),
            0
        ) +
        IFERROR(
            VLOOKUP($A27, INDIRECT("NovR!$A$6:$ZZ$1048576"), MATCH(W$1, NovR!$6:$6, 0), FALSE),
            0
        ) +
        IFERROR(
            VLOOKUP($A27, INDIRECT("DicR!$A$6:$ZZ$1048576"), MATCH(W$1, DicR!$6:$6, 0), FALSE),
            0
        )
)</f>
        <v>0</v>
      </c>
      <c r="X27" s="36">
        <f t="array" ref="X27">SUM(
    IFERROR(
            VLOOKUP($A27, INDIRECT("EneR!$A$6:$ZZ$1048576"), MATCH(X$1, EneR!$6:$6, 0), FALSE),
            0
        ) +
        IFERROR(
            VLOOKUP($A27, INDIRECT("FebR!$A$6:$ZZ$1048576"), MATCH(X$1, FebR!$6:$6, 0), FALSE),
            0
        ) +
        IFERROR(
            VLOOKUP($A27, INDIRECT("MarR!$A$6:$ZZ$1048576"), MATCH(X$1, MarR!$6:$6, 0), FALSE),
            0
        ) +
        IFERROR(
            VLOOKUP($A27, INDIRECT("AbrR!$A$6:$ZZ$1048576"), MATCH(X$1, AbrR!$6:$6, 0), FALSE),
            0
        ) +
        IFERROR(
            VLOOKUP($A27, INDIRECT("MayR!$A$6:$ZZ$1048576"), MATCH(X$1, MayR!$6:$6, 0), FALSE),
            0
        ) +
        IFERROR(
            VLOOKUP($A27, INDIRECT("JunR!$A$6:$ZZ$1048576"), MATCH(X$1, JunR!$6:$6, 0), FALSE),
            0
        ) +
        IFERROR(
            VLOOKUP($A27, INDIRECT("JulR!$A$6:$ZZ$1048576"), MATCH(X$1, JulR!$6:$6, 0), FALSE),
            0
        ) +
        IFERROR(
            VLOOKUP($A27, INDIRECT("AgoR!$A$6:$ZZ$1048576"), MATCH(X$1, AgoR!$6:$6, 0), FALSE),
            0
        ) +
        IFERROR(
            VLOOKUP($A27, INDIRECT("SepR!$A$6:$ZZ$1048576"), MATCH(X$1, SepR!$6:$6, 0), FALSE),
            0
        ) +
        IFERROR(
            VLOOKUP($A27, INDIRECT("OctR!$A$6:$ZZ$1048576"), MATCH(X$1, OctR!$6:$6, 0), FALSE),
            0
        ) +
        IFERROR(
            VLOOKUP($A27, INDIRECT("NovR!$A$6:$ZZ$1048576"), MATCH(X$1, NovR!$6:$6, 0), FALSE),
            0
        ) +
        IFERROR(
            VLOOKUP($A27, INDIRECT("DicR!$A$6:$ZZ$1048576"), MATCH(X$1, DicR!$6:$6, 0), FALSE),
            0
        )
)</f>
        <v>0</v>
      </c>
      <c r="Y27" s="37">
        <f t="array" ref="Y27">SUM(
    IFERROR(
            VLOOKUP($A27, INDIRECT("EneR!$A$6:$ZZ$1048576"), MATCH(Y$1, EneR!$6:$6, 0), FALSE),
            0
        ) +
        IFERROR(
            VLOOKUP($A27, INDIRECT("FebR!$A$6:$ZZ$1048576"), MATCH(Y$1, FebR!$6:$6, 0), FALSE),
            0
        ) +
        IFERROR(
            VLOOKUP($A27, INDIRECT("MarR!$A$6:$ZZ$1048576"), MATCH(Y$1, MarR!$6:$6, 0), FALSE),
            0
        ) +
        IFERROR(
            VLOOKUP($A27, INDIRECT("AbrR!$A$6:$ZZ$1048576"), MATCH(Y$1, AbrR!$6:$6, 0), FALSE),
            0
        ) +
        IFERROR(
            VLOOKUP($A27, INDIRECT("MayR!$A$6:$ZZ$1048576"), MATCH(Y$1, MayR!$6:$6, 0), FALSE),
            0
        ) +
        IFERROR(
            VLOOKUP($A27, INDIRECT("JunR!$A$6:$ZZ$1048576"), MATCH(Y$1, JunR!$6:$6, 0), FALSE),
            0
        ) +
        IFERROR(
            VLOOKUP($A27, INDIRECT("JulR!$A$6:$ZZ$1048576"), MATCH(Y$1, JulR!$6:$6, 0), FALSE),
            0
        ) +
        IFERROR(
            VLOOKUP($A27, INDIRECT("AgoR!$A$6:$ZZ$1048576"), MATCH(Y$1, AgoR!$6:$6, 0), FALSE),
            0
        ) +
        IFERROR(
            VLOOKUP($A27, INDIRECT("SepR!$A$6:$ZZ$1048576"), MATCH(Y$1, SepR!$6:$6, 0), FALSE),
            0
        ) +
        IFERROR(
            VLOOKUP($A27, INDIRECT("OctR!$A$6:$ZZ$1048576"), MATCH(Y$1, OctR!$6:$6, 0), FALSE),
            0
        ) +
        IFERROR(
            VLOOKUP($A27, INDIRECT("NovR!$A$6:$ZZ$1048576"), MATCH(Y$1, NovR!$6:$6, 0), FALSE),
            0
        ) +
        IFERROR(
            VLOOKUP($A27, INDIRECT("DicR!$A$6:$ZZ$1048576"), MATCH(Y$1, DicR!$6:$6, 0), FALSE),
            0
        )
)</f>
        <v>0</v>
      </c>
      <c r="Z27" s="36">
        <f t="array" ref="Z27">SUM(
    IFERROR(
            VLOOKUP($A27, INDIRECT("EneR!$A$6:$ZZ$1048576"), MATCH(Z$1, EneR!$6:$6, 0), FALSE),
            0
        ) +
        IFERROR(
            VLOOKUP($A27, INDIRECT("FebR!$A$6:$ZZ$1048576"), MATCH(Z$1, FebR!$6:$6, 0), FALSE),
            0
        ) +
        IFERROR(
            VLOOKUP($A27, INDIRECT("MarR!$A$6:$ZZ$1048576"), MATCH(Z$1, MarR!$6:$6, 0), FALSE),
            0
        ) +
        IFERROR(
            VLOOKUP($A27, INDIRECT("AbrR!$A$6:$ZZ$1048576"), MATCH(Z$1, AbrR!$6:$6, 0), FALSE),
            0
        ) +
        IFERROR(
            VLOOKUP($A27, INDIRECT("MayR!$A$6:$ZZ$1048576"), MATCH(Z$1, MayR!$6:$6, 0), FALSE),
            0
        ) +
        IFERROR(
            VLOOKUP($A27, INDIRECT("JunR!$A$6:$ZZ$1048576"), MATCH(Z$1, JunR!$6:$6, 0), FALSE),
            0
        ) +
        IFERROR(
            VLOOKUP($A27, INDIRECT("JulR!$A$6:$ZZ$1048576"), MATCH(Z$1, JulR!$6:$6, 0), FALSE),
            0
        ) +
        IFERROR(
            VLOOKUP($A27, INDIRECT("AgoR!$A$6:$ZZ$1048576"), MATCH(Z$1, AgoR!$6:$6, 0), FALSE),
            0
        ) +
        IFERROR(
            VLOOKUP($A27, INDIRECT("SepR!$A$6:$ZZ$1048576"), MATCH(Z$1, SepR!$6:$6, 0), FALSE),
            0
        ) +
        IFERROR(
            VLOOKUP($A27, INDIRECT("OctR!$A$6:$ZZ$1048576"), MATCH(Z$1, OctR!$6:$6, 0), FALSE),
            0
        ) +
        IFERROR(
            VLOOKUP($A27, INDIRECT("NovR!$A$6:$ZZ$1048576"), MATCH(Z$1, NovR!$6:$6, 0), FALSE),
            0
        ) +
        IFERROR(
            VLOOKUP($A27, INDIRECT("DicR!$A$6:$ZZ$1048576"), MATCH(Z$1, DicR!$6:$6, 0), FALSE),
            0
        )
)</f>
        <v>0</v>
      </c>
      <c r="AA27" s="37">
        <f t="array" ref="AA27">SUM(
    IFERROR(
            VLOOKUP($A27, INDIRECT("EneR!$A$6:$ZZ$1048576"), MATCH(AA$1, EneR!$6:$6, 0), FALSE),
            0
        ) +
        IFERROR(
            VLOOKUP($A27, INDIRECT("FebR!$A$6:$ZZ$1048576"), MATCH(AA$1, FebR!$6:$6, 0), FALSE),
            0
        ) +
        IFERROR(
            VLOOKUP($A27, INDIRECT("MarR!$A$6:$ZZ$1048576"), MATCH(AA$1, MarR!$6:$6, 0), FALSE),
            0
        ) +
        IFERROR(
            VLOOKUP($A27, INDIRECT("AbrR!$A$6:$ZZ$1048576"), MATCH(AA$1, AbrR!$6:$6, 0), FALSE),
            0
        ) +
        IFERROR(
            VLOOKUP($A27, INDIRECT("MayR!$A$6:$ZZ$1048576"), MATCH(AA$1, MayR!$6:$6, 0), FALSE),
            0
        ) +
        IFERROR(
            VLOOKUP($A27, INDIRECT("JunR!$A$6:$ZZ$1048576"), MATCH(AA$1, JunR!$6:$6, 0), FALSE),
            0
        ) +
        IFERROR(
            VLOOKUP($A27, INDIRECT("JulR!$A$6:$ZZ$1048576"), MATCH(AA$1, JulR!$6:$6, 0), FALSE),
            0
        ) +
        IFERROR(
            VLOOKUP($A27, INDIRECT("AgoR!$A$6:$ZZ$1048576"), MATCH(AA$1, AgoR!$6:$6, 0), FALSE),
            0
        ) +
        IFERROR(
            VLOOKUP($A27, INDIRECT("SepR!$A$6:$ZZ$1048576"), MATCH(AA$1, SepR!$6:$6, 0), FALSE),
            0
        ) +
        IFERROR(
            VLOOKUP($A27, INDIRECT("OctR!$A$6:$ZZ$1048576"), MATCH(AA$1, OctR!$6:$6, 0), FALSE),
            0
        ) +
        IFERROR(
            VLOOKUP($A27, INDIRECT("NovR!$A$6:$ZZ$1048576"), MATCH(AA$1, NovR!$6:$6, 0), FALSE),
            0
        ) +
        IFERROR(
            VLOOKUP($A27, INDIRECT("DicR!$A$6:$ZZ$1048576"), MATCH(AA$1, DicR!$6:$6, 0), FALSE),
            0
        )
)</f>
        <v>0</v>
      </c>
      <c r="AB27" s="36">
        <f t="array" ref="AB27">SUM(
    IFERROR(
            VLOOKUP($A27, INDIRECT("EneR!$A$6:$ZZ$1048576"), MATCH(AB$1, EneR!$6:$6, 0), FALSE),
            0
        ) +
        IFERROR(
            VLOOKUP($A27, INDIRECT("FebR!$A$6:$ZZ$1048576"), MATCH(AB$1, FebR!$6:$6, 0), FALSE),
            0
        ) +
        IFERROR(
            VLOOKUP($A27, INDIRECT("MarR!$A$6:$ZZ$1048576"), MATCH(AB$1, MarR!$6:$6, 0), FALSE),
            0
        ) +
        IFERROR(
            VLOOKUP($A27, INDIRECT("AbrR!$A$6:$ZZ$1048576"), MATCH(AB$1, AbrR!$6:$6, 0), FALSE),
            0
        ) +
        IFERROR(
            VLOOKUP($A27, INDIRECT("MayR!$A$6:$ZZ$1048576"), MATCH(AB$1, MayR!$6:$6, 0), FALSE),
            0
        ) +
        IFERROR(
            VLOOKUP($A27, INDIRECT("JunR!$A$6:$ZZ$1048576"), MATCH(AB$1, JunR!$6:$6, 0), FALSE),
            0
        ) +
        IFERROR(
            VLOOKUP($A27, INDIRECT("JulR!$A$6:$ZZ$1048576"), MATCH(AB$1, JulR!$6:$6, 0), FALSE),
            0
        ) +
        IFERROR(
            VLOOKUP($A27, INDIRECT("AgoR!$A$6:$ZZ$1048576"), MATCH(AB$1, AgoR!$6:$6, 0), FALSE),
            0
        ) +
        IFERROR(
            VLOOKUP($A27, INDIRECT("SepR!$A$6:$ZZ$1048576"), MATCH(AB$1, SepR!$6:$6, 0), FALSE),
            0
        ) +
        IFERROR(
            VLOOKUP($A27, INDIRECT("OctR!$A$6:$ZZ$1048576"), MATCH(AB$1, OctR!$6:$6, 0), FALSE),
            0
        ) +
        IFERROR(
            VLOOKUP($A27, INDIRECT("NovR!$A$6:$ZZ$1048576"), MATCH(AB$1, NovR!$6:$6, 0), FALSE),
            0
        ) +
        IFERROR(
            VLOOKUP($A27, INDIRECT("DicR!$A$6:$ZZ$1048576"), MATCH(AB$1, DicR!$6:$6, 0), FALSE),
            0
        )
)</f>
        <v>0</v>
      </c>
      <c r="AC27" s="37">
        <f t="array" ref="AC27">SUM(
    IFERROR(
            VLOOKUP($A27, INDIRECT("EneR!$A$6:$ZZ$1048576"), MATCH(AC$1, EneR!$6:$6, 0), FALSE),
            0
        ) +
        IFERROR(
            VLOOKUP($A27, INDIRECT("FebR!$A$6:$ZZ$1048576"), MATCH(AC$1, FebR!$6:$6, 0), FALSE),
            0
        ) +
        IFERROR(
            VLOOKUP($A27, INDIRECT("MarR!$A$6:$ZZ$1048576"), MATCH(AC$1, MarR!$6:$6, 0), FALSE),
            0
        ) +
        IFERROR(
            VLOOKUP($A27, INDIRECT("AbrR!$A$6:$ZZ$1048576"), MATCH(AC$1, AbrR!$6:$6, 0), FALSE),
            0
        ) +
        IFERROR(
            VLOOKUP($A27, INDIRECT("MayR!$A$6:$ZZ$1048576"), MATCH(AC$1, MayR!$6:$6, 0), FALSE),
            0
        ) +
        IFERROR(
            VLOOKUP($A27, INDIRECT("JunR!$A$6:$ZZ$1048576"), MATCH(AC$1, JunR!$6:$6, 0), FALSE),
            0
        ) +
        IFERROR(
            VLOOKUP($A27, INDIRECT("JulR!$A$6:$ZZ$1048576"), MATCH(AC$1, JulR!$6:$6, 0), FALSE),
            0
        ) +
        IFERROR(
            VLOOKUP($A27, INDIRECT("AgoR!$A$6:$ZZ$1048576"), MATCH(AC$1, AgoR!$6:$6, 0), FALSE),
            0
        ) +
        IFERROR(
            VLOOKUP($A27, INDIRECT("SepR!$A$6:$ZZ$1048576"), MATCH(AC$1, SepR!$6:$6, 0), FALSE),
            0
        ) +
        IFERROR(
            VLOOKUP($A27, INDIRECT("OctR!$A$6:$ZZ$1048576"), MATCH(AC$1, OctR!$6:$6, 0), FALSE),
            0
        ) +
        IFERROR(
            VLOOKUP($A27, INDIRECT("NovR!$A$6:$ZZ$1048576"), MATCH(AC$1, NovR!$6:$6, 0), FALSE),
            0
        ) +
        IFERROR(
            VLOOKUP($A27, INDIRECT("DicR!$A$6:$ZZ$1048576"), MATCH(AC$1, DicR!$6:$6, 0), FALSE),
            0
        )
)</f>
        <v>0</v>
      </c>
      <c r="AD27" s="36">
        <f t="array" ref="AD27">SUM(
    IFERROR(
            VLOOKUP($A27, INDIRECT("EneR!$A$6:$ZZ$1048576"), MATCH(AD$1, EneR!$6:$6, 0), FALSE),
            0
        ) +
        IFERROR(
            VLOOKUP($A27, INDIRECT("FebR!$A$6:$ZZ$1048576"), MATCH(AD$1, FebR!$6:$6, 0), FALSE),
            0
        ) +
        IFERROR(
            VLOOKUP($A27, INDIRECT("MarR!$A$6:$ZZ$1048576"), MATCH(AD$1, MarR!$6:$6, 0), FALSE),
            0
        ) +
        IFERROR(
            VLOOKUP($A27, INDIRECT("AbrR!$A$6:$ZZ$1048576"), MATCH(AD$1, AbrR!$6:$6, 0), FALSE),
            0
        ) +
        IFERROR(
            VLOOKUP($A27, INDIRECT("MayR!$A$6:$ZZ$1048576"), MATCH(AD$1, MayR!$6:$6, 0), FALSE),
            0
        ) +
        IFERROR(
            VLOOKUP($A27, INDIRECT("JunR!$A$6:$ZZ$1048576"), MATCH(AD$1, JunR!$6:$6, 0), FALSE),
            0
        ) +
        IFERROR(
            VLOOKUP($A27, INDIRECT("JulR!$A$6:$ZZ$1048576"), MATCH(AD$1, JulR!$6:$6, 0), FALSE),
            0
        ) +
        IFERROR(
            VLOOKUP($A27, INDIRECT("AgoR!$A$6:$ZZ$1048576"), MATCH(AD$1, AgoR!$6:$6, 0), FALSE),
            0
        ) +
        IFERROR(
            VLOOKUP($A27, INDIRECT("SepR!$A$6:$ZZ$1048576"), MATCH(AD$1, SepR!$6:$6, 0), FALSE),
            0
        ) +
        IFERROR(
            VLOOKUP($A27, INDIRECT("OctR!$A$6:$ZZ$1048576"), MATCH(AD$1, OctR!$6:$6, 0), FALSE),
            0
        ) +
        IFERROR(
            VLOOKUP($A27, INDIRECT("NovR!$A$6:$ZZ$1048576"), MATCH(AD$1, NovR!$6:$6, 0), FALSE),
            0
        ) +
        IFERROR(
            VLOOKUP($A27, INDIRECT("DicR!$A$6:$ZZ$1048576"), MATCH(AD$1, DicR!$6:$6, 0), FALSE),
            0
        )
)</f>
        <v>0</v>
      </c>
      <c r="AE27" s="37">
        <f t="array" ref="AE27">SUM(
    IFERROR(
            VLOOKUP($A27, INDIRECT("EneR!$A$6:$ZZ$1048576"), MATCH(AE$1, EneR!$6:$6, 0), FALSE),
            0
        ) +
        IFERROR(
            VLOOKUP($A27, INDIRECT("FebR!$A$6:$ZZ$1048576"), MATCH(AE$1, FebR!$6:$6, 0), FALSE),
            0
        ) +
        IFERROR(
            VLOOKUP($A27, INDIRECT("MarR!$A$6:$ZZ$1048576"), MATCH(AE$1, MarR!$6:$6, 0), FALSE),
            0
        ) +
        IFERROR(
            VLOOKUP($A27, INDIRECT("AbrR!$A$6:$ZZ$1048576"), MATCH(AE$1, AbrR!$6:$6, 0), FALSE),
            0
        ) +
        IFERROR(
            VLOOKUP($A27, INDIRECT("MayR!$A$6:$ZZ$1048576"), MATCH(AE$1, MayR!$6:$6, 0), FALSE),
            0
        ) +
        IFERROR(
            VLOOKUP($A27, INDIRECT("JunR!$A$6:$ZZ$1048576"), MATCH(AE$1, JunR!$6:$6, 0), FALSE),
            0
        ) +
        IFERROR(
            VLOOKUP($A27, INDIRECT("JulR!$A$6:$ZZ$1048576"), MATCH(AE$1, JulR!$6:$6, 0), FALSE),
            0
        ) +
        IFERROR(
            VLOOKUP($A27, INDIRECT("AgoR!$A$6:$ZZ$1048576"), MATCH(AE$1, AgoR!$6:$6, 0), FALSE),
            0
        ) +
        IFERROR(
            VLOOKUP($A27, INDIRECT("SepR!$A$6:$ZZ$1048576"), MATCH(AE$1, SepR!$6:$6, 0), FALSE),
            0
        ) +
        IFERROR(
            VLOOKUP($A27, INDIRECT("OctR!$A$6:$ZZ$1048576"), MATCH(AE$1, OctR!$6:$6, 0), FALSE),
            0
        ) +
        IFERROR(
            VLOOKUP($A27, INDIRECT("NovR!$A$6:$ZZ$1048576"), MATCH(AE$1, NovR!$6:$6, 0), FALSE),
            0
        ) +
        IFERROR(
            VLOOKUP($A27, INDIRECT("DicR!$A$6:$ZZ$1048576"), MATCH(AE$1, DicR!$6:$6, 0), FALSE),
            0
        )
)</f>
        <v>0</v>
      </c>
      <c r="AF27" s="36">
        <f t="array" ref="AF27">SUM(
    IFERROR(
            VLOOKUP($A27, INDIRECT("EneR!$A$6:$ZZ$1048576"), MATCH(AF$1, EneR!$6:$6, 0), FALSE),
            0
        ) +
        IFERROR(
            VLOOKUP($A27, INDIRECT("FebR!$A$6:$ZZ$1048576"), MATCH(AF$1, FebR!$6:$6, 0), FALSE),
            0
        ) +
        IFERROR(
            VLOOKUP($A27, INDIRECT("MarR!$A$6:$ZZ$1048576"), MATCH(AF$1, MarR!$6:$6, 0), FALSE),
            0
        ) +
        IFERROR(
            VLOOKUP($A27, INDIRECT("AbrR!$A$6:$ZZ$1048576"), MATCH(AF$1, AbrR!$6:$6, 0), FALSE),
            0
        ) +
        IFERROR(
            VLOOKUP($A27, INDIRECT("MayR!$A$6:$ZZ$1048576"), MATCH(AF$1, MayR!$6:$6, 0), FALSE),
            0
        ) +
        IFERROR(
            VLOOKUP($A27, INDIRECT("JunR!$A$6:$ZZ$1048576"), MATCH(AF$1, JunR!$6:$6, 0), FALSE),
            0
        ) +
        IFERROR(
            VLOOKUP($A27, INDIRECT("JulR!$A$6:$ZZ$1048576"), MATCH(AF$1, JulR!$6:$6, 0), FALSE),
            0
        ) +
        IFERROR(
            VLOOKUP($A27, INDIRECT("AgoR!$A$6:$ZZ$1048576"), MATCH(AF$1, AgoR!$6:$6, 0), FALSE),
            0
        ) +
        IFERROR(
            VLOOKUP($A27, INDIRECT("SepR!$A$6:$ZZ$1048576"), MATCH(AF$1, SepR!$6:$6, 0), FALSE),
            0
        ) +
        IFERROR(
            VLOOKUP($A27, INDIRECT("OctR!$A$6:$ZZ$1048576"), MATCH(AF$1, OctR!$6:$6, 0), FALSE),
            0
        ) +
        IFERROR(
            VLOOKUP($A27, INDIRECT("NovR!$A$6:$ZZ$1048576"), MATCH(AF$1, NovR!$6:$6, 0), FALSE),
            0
        ) +
        IFERROR(
            VLOOKUP($A27, INDIRECT("DicR!$A$6:$ZZ$1048576"), MATCH(AF$1, DicR!$6:$6, 0), FALSE),
            0
        )
)</f>
        <v>0</v>
      </c>
      <c r="AG27" s="37">
        <f t="array" ref="AG27">SUM(
    IFERROR(
            VLOOKUP($A27, INDIRECT("EneR!$A$6:$ZZ$1048576"), MATCH(AG$1, EneR!$6:$6, 0), FALSE),
            0
        ) +
        IFERROR(
            VLOOKUP($A27, INDIRECT("FebR!$A$6:$ZZ$1048576"), MATCH(AG$1, FebR!$6:$6, 0), FALSE),
            0
        ) +
        IFERROR(
            VLOOKUP($A27, INDIRECT("MarR!$A$6:$ZZ$1048576"), MATCH(AG$1, MarR!$6:$6, 0), FALSE),
            0
        ) +
        IFERROR(
            VLOOKUP($A27, INDIRECT("AbrR!$A$6:$ZZ$1048576"), MATCH(AG$1, AbrR!$6:$6, 0), FALSE),
            0
        ) +
        IFERROR(
            VLOOKUP($A27, INDIRECT("MayR!$A$6:$ZZ$1048576"), MATCH(AG$1, MayR!$6:$6, 0), FALSE),
            0
        ) +
        IFERROR(
            VLOOKUP($A27, INDIRECT("JunR!$A$6:$ZZ$1048576"), MATCH(AG$1, JunR!$6:$6, 0), FALSE),
            0
        ) +
        IFERROR(
            VLOOKUP($A27, INDIRECT("JulR!$A$6:$ZZ$1048576"), MATCH(AG$1, JulR!$6:$6, 0), FALSE),
            0
        ) +
        IFERROR(
            VLOOKUP($A27, INDIRECT("AgoR!$A$6:$ZZ$1048576"), MATCH(AG$1, AgoR!$6:$6, 0), FALSE),
            0
        ) +
        IFERROR(
            VLOOKUP($A27, INDIRECT("SepR!$A$6:$ZZ$1048576"), MATCH(AG$1, SepR!$6:$6, 0), FALSE),
            0
        ) +
        IFERROR(
            VLOOKUP($A27, INDIRECT("OctR!$A$6:$ZZ$1048576"), MATCH(AG$1, OctR!$6:$6, 0), FALSE),
            0
        ) +
        IFERROR(
            VLOOKUP($A27, INDIRECT("NovR!$A$6:$ZZ$1048576"), MATCH(AG$1, NovR!$6:$6, 0), FALSE),
            0
        ) +
        IFERROR(
            VLOOKUP($A27, INDIRECT("DicR!$A$6:$ZZ$1048576"), MATCH(AG$1, DicR!$6:$6, 0), FALSE),
            0
        )
)</f>
        <v>0</v>
      </c>
      <c r="AH27" s="36">
        <f t="array" ref="AH27">SUM(
    IFERROR(
            VLOOKUP($A27, INDIRECT("EneR!$A$6:$ZZ$1048576"), MATCH(AH$1, EneR!$6:$6, 0), FALSE),
            0
        ) +
        IFERROR(
            VLOOKUP($A27, INDIRECT("FebR!$A$6:$ZZ$1048576"), MATCH(AH$1, FebR!$6:$6, 0), FALSE),
            0
        ) +
        IFERROR(
            VLOOKUP($A27, INDIRECT("MarR!$A$6:$ZZ$1048576"), MATCH(AH$1, MarR!$6:$6, 0), FALSE),
            0
        ) +
        IFERROR(
            VLOOKUP($A27, INDIRECT("AbrR!$A$6:$ZZ$1048576"), MATCH(AH$1, AbrR!$6:$6, 0), FALSE),
            0
        ) +
        IFERROR(
            VLOOKUP($A27, INDIRECT("MayR!$A$6:$ZZ$1048576"), MATCH(AH$1, MayR!$6:$6, 0), FALSE),
            0
        ) +
        IFERROR(
            VLOOKUP($A27, INDIRECT("JunR!$A$6:$ZZ$1048576"), MATCH(AH$1, JunR!$6:$6, 0), FALSE),
            0
        ) +
        IFERROR(
            VLOOKUP($A27, INDIRECT("JulR!$A$6:$ZZ$1048576"), MATCH(AH$1, JulR!$6:$6, 0), FALSE),
            0
        ) +
        IFERROR(
            VLOOKUP($A27, INDIRECT("AgoR!$A$6:$ZZ$1048576"), MATCH(AH$1, AgoR!$6:$6, 0), FALSE),
            0
        ) +
        IFERROR(
            VLOOKUP($A27, INDIRECT("SepR!$A$6:$ZZ$1048576"), MATCH(AH$1, SepR!$6:$6, 0), FALSE),
            0
        ) +
        IFERROR(
            VLOOKUP($A27, INDIRECT("OctR!$A$6:$ZZ$1048576"), MATCH(AH$1, OctR!$6:$6, 0), FALSE),
            0
        ) +
        IFERROR(
            VLOOKUP($A27, INDIRECT("NovR!$A$6:$ZZ$1048576"), MATCH(AH$1, NovR!$6:$6, 0), FALSE),
            0
        ) +
        IFERROR(
            VLOOKUP($A27, INDIRECT("DicR!$A$6:$ZZ$1048576"), MATCH(AH$1, DicR!$6:$6, 0), FALSE),
            0
        )
)</f>
        <v>0</v>
      </c>
      <c r="AI27" s="37">
        <f t="array" ref="AI27">SUM(
    IFERROR(
            VLOOKUP($A27, INDIRECT("EneR!$A$6:$ZZ$1048576"), MATCH(AI$1, EneR!$6:$6, 0), FALSE),
            0
        ) +
        IFERROR(
            VLOOKUP($A27, INDIRECT("FebR!$A$6:$ZZ$1048576"), MATCH(AI$1, FebR!$6:$6, 0), FALSE),
            0
        ) +
        IFERROR(
            VLOOKUP($A27, INDIRECT("MarR!$A$6:$ZZ$1048576"), MATCH(AI$1, MarR!$6:$6, 0), FALSE),
            0
        ) +
        IFERROR(
            VLOOKUP($A27, INDIRECT("AbrR!$A$6:$ZZ$1048576"), MATCH(AI$1, AbrR!$6:$6, 0), FALSE),
            0
        ) +
        IFERROR(
            VLOOKUP($A27, INDIRECT("MayR!$A$6:$ZZ$1048576"), MATCH(AI$1, MayR!$6:$6, 0), FALSE),
            0
        ) +
        IFERROR(
            VLOOKUP($A27, INDIRECT("JunR!$A$6:$ZZ$1048576"), MATCH(AI$1, JunR!$6:$6, 0), FALSE),
            0
        ) +
        IFERROR(
            VLOOKUP($A27, INDIRECT("JulR!$A$6:$ZZ$1048576"), MATCH(AI$1, JulR!$6:$6, 0), FALSE),
            0
        ) +
        IFERROR(
            VLOOKUP($A27, INDIRECT("AgoR!$A$6:$ZZ$1048576"), MATCH(AI$1, AgoR!$6:$6, 0), FALSE),
            0
        ) +
        IFERROR(
            VLOOKUP($A27, INDIRECT("SepR!$A$6:$ZZ$1048576"), MATCH(AI$1, SepR!$6:$6, 0), FALSE),
            0
        ) +
        IFERROR(
            VLOOKUP($A27, INDIRECT("OctR!$A$6:$ZZ$1048576"), MATCH(AI$1, OctR!$6:$6, 0), FALSE),
            0
        ) +
        IFERROR(
            VLOOKUP($A27, INDIRECT("NovR!$A$6:$ZZ$1048576"), MATCH(AI$1, NovR!$6:$6, 0), FALSE),
            0
        ) +
        IFERROR(
            VLOOKUP($A27, INDIRECT("DicR!$A$6:$ZZ$1048576"), MATCH(AI$1, DicR!$6:$6, 0), FALSE),
            0
        )
)</f>
        <v>0</v>
      </c>
      <c r="AJ27" s="36">
        <f t="array" ref="AJ27">SUM(
    IFERROR(
            VLOOKUP($A27, INDIRECT("EneR!$A$6:$ZZ$1048576"), MATCH(AJ$1, EneR!$6:$6, 0), FALSE),
            0
        ) +
        IFERROR(
            VLOOKUP($A27, INDIRECT("FebR!$A$6:$ZZ$1048576"), MATCH(AJ$1, FebR!$6:$6, 0), FALSE),
            0
        ) +
        IFERROR(
            VLOOKUP($A27, INDIRECT("MarR!$A$6:$ZZ$1048576"), MATCH(AJ$1, MarR!$6:$6, 0), FALSE),
            0
        ) +
        IFERROR(
            VLOOKUP($A27, INDIRECT("AbrR!$A$6:$ZZ$1048576"), MATCH(AJ$1, AbrR!$6:$6, 0), FALSE),
            0
        ) +
        IFERROR(
            VLOOKUP($A27, INDIRECT("MayR!$A$6:$ZZ$1048576"), MATCH(AJ$1, MayR!$6:$6, 0), FALSE),
            0
        ) +
        IFERROR(
            VLOOKUP($A27, INDIRECT("JunR!$A$6:$ZZ$1048576"), MATCH(AJ$1, JunR!$6:$6, 0), FALSE),
            0
        ) +
        IFERROR(
            VLOOKUP($A27, INDIRECT("JulR!$A$6:$ZZ$1048576"), MATCH(AJ$1, JulR!$6:$6, 0), FALSE),
            0
        ) +
        IFERROR(
            VLOOKUP($A27, INDIRECT("AgoR!$A$6:$ZZ$1048576"), MATCH(AJ$1, AgoR!$6:$6, 0), FALSE),
            0
        ) +
        IFERROR(
            VLOOKUP($A27, INDIRECT("SepR!$A$6:$ZZ$1048576"), MATCH(AJ$1, SepR!$6:$6, 0), FALSE),
            0
        ) +
        IFERROR(
            VLOOKUP($A27, INDIRECT("OctR!$A$6:$ZZ$1048576"), MATCH(AJ$1, OctR!$6:$6, 0), FALSE),
            0
        ) +
        IFERROR(
            VLOOKUP($A27, INDIRECT("NovR!$A$6:$ZZ$1048576"), MATCH(AJ$1, NovR!$6:$6, 0), FALSE),
            0
        ) +
        IFERROR(
            VLOOKUP($A27, INDIRECT("DicR!$A$6:$ZZ$1048576"), MATCH(AJ$1, DicR!$6:$6, 0), FALSE),
            0
        )
)</f>
        <v>0</v>
      </c>
      <c r="AK27" s="37">
        <f t="array" ref="AK27">SUM(
    IFERROR(
            VLOOKUP($A27, INDIRECT("EneR!$A$6:$ZZ$1048576"), MATCH(AK$1, EneR!$6:$6, 0), FALSE),
            0
        ) +
        IFERROR(
            VLOOKUP($A27, INDIRECT("FebR!$A$6:$ZZ$1048576"), MATCH(AK$1, FebR!$6:$6, 0), FALSE),
            0
        ) +
        IFERROR(
            VLOOKUP($A27, INDIRECT("MarR!$A$6:$ZZ$1048576"), MATCH(AK$1, MarR!$6:$6, 0), FALSE),
            0
        ) +
        IFERROR(
            VLOOKUP($A27, INDIRECT("AbrR!$A$6:$ZZ$1048576"), MATCH(AK$1, AbrR!$6:$6, 0), FALSE),
            0
        ) +
        IFERROR(
            VLOOKUP($A27, INDIRECT("MayR!$A$6:$ZZ$1048576"), MATCH(AK$1, MayR!$6:$6, 0), FALSE),
            0
        ) +
        IFERROR(
            VLOOKUP($A27, INDIRECT("JunR!$A$6:$ZZ$1048576"), MATCH(AK$1, JunR!$6:$6, 0), FALSE),
            0
        ) +
        IFERROR(
            VLOOKUP($A27, INDIRECT("JulR!$A$6:$ZZ$1048576"), MATCH(AK$1, JulR!$6:$6, 0), FALSE),
            0
        ) +
        IFERROR(
            VLOOKUP($A27, INDIRECT("AgoR!$A$6:$ZZ$1048576"), MATCH(AK$1, AgoR!$6:$6, 0), FALSE),
            0
        ) +
        IFERROR(
            VLOOKUP($A27, INDIRECT("SepR!$A$6:$ZZ$1048576"), MATCH(AK$1, SepR!$6:$6, 0), FALSE),
            0
        ) +
        IFERROR(
            VLOOKUP($A27, INDIRECT("OctR!$A$6:$ZZ$1048576"), MATCH(AK$1, OctR!$6:$6, 0), FALSE),
            0
        ) +
        IFERROR(
            VLOOKUP($A27, INDIRECT("NovR!$A$6:$ZZ$1048576"), MATCH(AK$1, NovR!$6:$6, 0), FALSE),
            0
        ) +
        IFERROR(
            VLOOKUP($A27, INDIRECT("DicR!$A$6:$ZZ$1048576"), MATCH(AK$1, DicR!$6:$6, 0), FALSE),
            0
        )
)</f>
        <v>0</v>
      </c>
      <c r="AL27" s="36">
        <f t="array" ref="AL27">SUM(
    IFERROR(
            VLOOKUP($A27, INDIRECT("EneR!$A$6:$ZZ$1048576"), MATCH(AL$1, EneR!$6:$6, 0), FALSE),
            0
        ) +
        IFERROR(
            VLOOKUP($A27, INDIRECT("FebR!$A$6:$ZZ$1048576"), MATCH(AL$1, FebR!$6:$6, 0), FALSE),
            0
        ) +
        IFERROR(
            VLOOKUP($A27, INDIRECT("MarR!$A$6:$ZZ$1048576"), MATCH(AL$1, MarR!$6:$6, 0), FALSE),
            0
        ) +
        IFERROR(
            VLOOKUP($A27, INDIRECT("AbrR!$A$6:$ZZ$1048576"), MATCH(AL$1, AbrR!$6:$6, 0), FALSE),
            0
        ) +
        IFERROR(
            VLOOKUP($A27, INDIRECT("MayR!$A$6:$ZZ$1048576"), MATCH(AL$1, MayR!$6:$6, 0), FALSE),
            0
        ) +
        IFERROR(
            VLOOKUP($A27, INDIRECT("JunR!$A$6:$ZZ$1048576"), MATCH(AL$1, JunR!$6:$6, 0), FALSE),
            0
        ) +
        IFERROR(
            VLOOKUP($A27, INDIRECT("JulR!$A$6:$ZZ$1048576"), MATCH(AL$1, JulR!$6:$6, 0), FALSE),
            0
        ) +
        IFERROR(
            VLOOKUP($A27, INDIRECT("AgoR!$A$6:$ZZ$1048576"), MATCH(AL$1, AgoR!$6:$6, 0), FALSE),
            0
        ) +
        IFERROR(
            VLOOKUP($A27, INDIRECT("SepR!$A$6:$ZZ$1048576"), MATCH(AL$1, SepR!$6:$6, 0), FALSE),
            0
        ) +
        IFERROR(
            VLOOKUP($A27, INDIRECT("OctR!$A$6:$ZZ$1048576"), MATCH(AL$1, OctR!$6:$6, 0), FALSE),
            0
        ) +
        IFERROR(
            VLOOKUP($A27, INDIRECT("NovR!$A$6:$ZZ$1048576"), MATCH(AL$1, NovR!$6:$6, 0), FALSE),
            0
        ) +
        IFERROR(
            VLOOKUP($A27, INDIRECT("DicR!$A$6:$ZZ$1048576"), MATCH(AL$1, DicR!$6:$6, 0), FALSE),
            0
        )
)</f>
        <v>0</v>
      </c>
      <c r="AM27" s="37">
        <f t="array" ref="AM27">SUM(
    IFERROR(
            VLOOKUP($A27, INDIRECT("EneR!$A$6:$ZZ$1048576"), MATCH(AM$1, EneR!$6:$6, 0), FALSE),
            0
        ) +
        IFERROR(
            VLOOKUP($A27, INDIRECT("FebR!$A$6:$ZZ$1048576"), MATCH(AM$1, FebR!$6:$6, 0), FALSE),
            0
        ) +
        IFERROR(
            VLOOKUP($A27, INDIRECT("MarR!$A$6:$ZZ$1048576"), MATCH(AM$1, MarR!$6:$6, 0), FALSE),
            0
        ) +
        IFERROR(
            VLOOKUP($A27, INDIRECT("AbrR!$A$6:$ZZ$1048576"), MATCH(AM$1, AbrR!$6:$6, 0), FALSE),
            0
        ) +
        IFERROR(
            VLOOKUP($A27, INDIRECT("MayR!$A$6:$ZZ$1048576"), MATCH(AM$1, MayR!$6:$6, 0), FALSE),
            0
        ) +
        IFERROR(
            VLOOKUP($A27, INDIRECT("JunR!$A$6:$ZZ$1048576"), MATCH(AM$1, JunR!$6:$6, 0), FALSE),
            0
        ) +
        IFERROR(
            VLOOKUP($A27, INDIRECT("JulR!$A$6:$ZZ$1048576"), MATCH(AM$1, JulR!$6:$6, 0), FALSE),
            0
        ) +
        IFERROR(
            VLOOKUP($A27, INDIRECT("AgoR!$A$6:$ZZ$1048576"), MATCH(AM$1, AgoR!$6:$6, 0), FALSE),
            0
        ) +
        IFERROR(
            VLOOKUP($A27, INDIRECT("SepR!$A$6:$ZZ$1048576"), MATCH(AM$1, SepR!$6:$6, 0), FALSE),
            0
        ) +
        IFERROR(
            VLOOKUP($A27, INDIRECT("OctR!$A$6:$ZZ$1048576"), MATCH(AM$1, OctR!$6:$6, 0), FALSE),
            0
        ) +
        IFERROR(
            VLOOKUP($A27, INDIRECT("NovR!$A$6:$ZZ$1048576"), MATCH(AM$1, NovR!$6:$6, 0), FALSE),
            0
        ) +
        IFERROR(
            VLOOKUP($A27, INDIRECT("DicR!$A$6:$ZZ$1048576"), MATCH(AM$1, DicR!$6:$6, 0), FALSE),
            0
        )
)</f>
        <v>0</v>
      </c>
      <c r="AN27" s="36">
        <f t="array" ref="AN27">SUM(
    IFERROR(
            VLOOKUP($A27, INDIRECT("EneR!$A$6:$ZZ$1048576"), MATCH(AN$1, EneR!$6:$6, 0), FALSE),
            0
        ) +
        IFERROR(
            VLOOKUP($A27, INDIRECT("FebR!$A$6:$ZZ$1048576"), MATCH(AN$1, FebR!$6:$6, 0), FALSE),
            0
        ) +
        IFERROR(
            VLOOKUP($A27, INDIRECT("MarR!$A$6:$ZZ$1048576"), MATCH(AN$1, MarR!$6:$6, 0), FALSE),
            0
        ) +
        IFERROR(
            VLOOKUP($A27, INDIRECT("AbrR!$A$6:$ZZ$1048576"), MATCH(AN$1, AbrR!$6:$6, 0), FALSE),
            0
        ) +
        IFERROR(
            VLOOKUP($A27, INDIRECT("MayR!$A$6:$ZZ$1048576"), MATCH(AN$1, MayR!$6:$6, 0), FALSE),
            0
        ) +
        IFERROR(
            VLOOKUP($A27, INDIRECT("JunR!$A$6:$ZZ$1048576"), MATCH(AN$1, JunR!$6:$6, 0), FALSE),
            0
        ) +
        IFERROR(
            VLOOKUP($A27, INDIRECT("JulR!$A$6:$ZZ$1048576"), MATCH(AN$1, JulR!$6:$6, 0), FALSE),
            0
        ) +
        IFERROR(
            VLOOKUP($A27, INDIRECT("AgoR!$A$6:$ZZ$1048576"), MATCH(AN$1, AgoR!$6:$6, 0), FALSE),
            0
        ) +
        IFERROR(
            VLOOKUP($A27, INDIRECT("SepR!$A$6:$ZZ$1048576"), MATCH(AN$1, SepR!$6:$6, 0), FALSE),
            0
        ) +
        IFERROR(
            VLOOKUP($A27, INDIRECT("OctR!$A$6:$ZZ$1048576"), MATCH(AN$1, OctR!$6:$6, 0), FALSE),
            0
        ) +
        IFERROR(
            VLOOKUP($A27, INDIRECT("NovR!$A$6:$ZZ$1048576"), MATCH(AN$1, NovR!$6:$6, 0), FALSE),
            0
        ) +
        IFERROR(
            VLOOKUP($A27, INDIRECT("DicR!$A$6:$ZZ$1048576"), MATCH(AN$1, DicR!$6:$6, 0), FALSE),
            0
        )
)</f>
        <v>0</v>
      </c>
      <c r="AO27" s="37">
        <f t="array" ref="AO27">SUM(
    IFERROR(
            VLOOKUP($A27, INDIRECT("EneR!$A$6:$ZZ$1048576"), MATCH(AO$1, EneR!$6:$6, 0), FALSE),
            0
        ) +
        IFERROR(
            VLOOKUP($A27, INDIRECT("FebR!$A$6:$ZZ$1048576"), MATCH(AO$1, FebR!$6:$6, 0), FALSE),
            0
        ) +
        IFERROR(
            VLOOKUP($A27, INDIRECT("MarR!$A$6:$ZZ$1048576"), MATCH(AO$1, MarR!$6:$6, 0), FALSE),
            0
        ) +
        IFERROR(
            VLOOKUP($A27, INDIRECT("AbrR!$A$6:$ZZ$1048576"), MATCH(AO$1, AbrR!$6:$6, 0), FALSE),
            0
        ) +
        IFERROR(
            VLOOKUP($A27, INDIRECT("MayR!$A$6:$ZZ$1048576"), MATCH(AO$1, MayR!$6:$6, 0), FALSE),
            0
        ) +
        IFERROR(
            VLOOKUP($A27, INDIRECT("JunR!$A$6:$ZZ$1048576"), MATCH(AO$1, JunR!$6:$6, 0), FALSE),
            0
        ) +
        IFERROR(
            VLOOKUP($A27, INDIRECT("JulR!$A$6:$ZZ$1048576"), MATCH(AO$1, JulR!$6:$6, 0), FALSE),
            0
        ) +
        IFERROR(
            VLOOKUP($A27, INDIRECT("AgoR!$A$6:$ZZ$1048576"), MATCH(AO$1, AgoR!$6:$6, 0), FALSE),
            0
        ) +
        IFERROR(
            VLOOKUP($A27, INDIRECT("SepR!$A$6:$ZZ$1048576"), MATCH(AO$1, SepR!$6:$6, 0), FALSE),
            0
        ) +
        IFERROR(
            VLOOKUP($A27, INDIRECT("OctR!$A$6:$ZZ$1048576"), MATCH(AO$1, OctR!$6:$6, 0), FALSE),
            0
        ) +
        IFERROR(
            VLOOKUP($A27, INDIRECT("NovR!$A$6:$ZZ$1048576"), MATCH(AO$1, NovR!$6:$6, 0), FALSE),
            0
        ) +
        IFERROR(
            VLOOKUP($A27, INDIRECT("DicR!$A$6:$ZZ$1048576"), MATCH(AO$1, DicR!$6:$6, 0), FALSE),
            0
        )
)</f>
        <v>0</v>
      </c>
      <c r="AP27" s="36">
        <f t="array" ref="AP27">SUM(
    IFERROR(
            VLOOKUP($A27, INDIRECT("EneR!$A$6:$ZZ$1048576"), MATCH(AP$1, EneR!$6:$6, 0), FALSE),
            0
        ) +
        IFERROR(
            VLOOKUP($A27, INDIRECT("FebR!$A$6:$ZZ$1048576"), MATCH(AP$1, FebR!$6:$6, 0), FALSE),
            0
        ) +
        IFERROR(
            VLOOKUP($A27, INDIRECT("MarR!$A$6:$ZZ$1048576"), MATCH(AP$1, MarR!$6:$6, 0), FALSE),
            0
        ) +
        IFERROR(
            VLOOKUP($A27, INDIRECT("AbrR!$A$6:$ZZ$1048576"), MATCH(AP$1, AbrR!$6:$6, 0), FALSE),
            0
        ) +
        IFERROR(
            VLOOKUP($A27, INDIRECT("MayR!$A$6:$ZZ$1048576"), MATCH(AP$1, MayR!$6:$6, 0), FALSE),
            0
        ) +
        IFERROR(
            VLOOKUP($A27, INDIRECT("JunR!$A$6:$ZZ$1048576"), MATCH(AP$1, JunR!$6:$6, 0), FALSE),
            0
        ) +
        IFERROR(
            VLOOKUP($A27, INDIRECT("JulR!$A$6:$ZZ$1048576"), MATCH(AP$1, JulR!$6:$6, 0), FALSE),
            0
        ) +
        IFERROR(
            VLOOKUP($A27, INDIRECT("AgoR!$A$6:$ZZ$1048576"), MATCH(AP$1, AgoR!$6:$6, 0), FALSE),
            0
        ) +
        IFERROR(
            VLOOKUP($A27, INDIRECT("SepR!$A$6:$ZZ$1048576"), MATCH(AP$1, SepR!$6:$6, 0), FALSE),
            0
        ) +
        IFERROR(
            VLOOKUP($A27, INDIRECT("OctR!$A$6:$ZZ$1048576"), MATCH(AP$1, OctR!$6:$6, 0), FALSE),
            0
        ) +
        IFERROR(
            VLOOKUP($A27, INDIRECT("NovR!$A$6:$ZZ$1048576"), MATCH(AP$1, NovR!$6:$6, 0), FALSE),
            0
        ) +
        IFERROR(
            VLOOKUP($A27, INDIRECT("DicR!$A$6:$ZZ$1048576"), MATCH(AP$1, DicR!$6:$6, 0), FALSE),
            0
        )
)</f>
        <v>0</v>
      </c>
      <c r="AQ27" s="37">
        <f t="array" ref="AQ27">SUM(
    IFERROR(
            VLOOKUP($A27, INDIRECT("EneR!$A$6:$ZZ$1048576"), MATCH(AQ$1, EneR!$6:$6, 0), FALSE),
            0
        ) +
        IFERROR(
            VLOOKUP($A27, INDIRECT("FebR!$A$6:$ZZ$1048576"), MATCH(AQ$1, FebR!$6:$6, 0), FALSE),
            0
        ) +
        IFERROR(
            VLOOKUP($A27, INDIRECT("MarR!$A$6:$ZZ$1048576"), MATCH(AQ$1, MarR!$6:$6, 0), FALSE),
            0
        ) +
        IFERROR(
            VLOOKUP($A27, INDIRECT("AbrR!$A$6:$ZZ$1048576"), MATCH(AQ$1, AbrR!$6:$6, 0), FALSE),
            0
        ) +
        IFERROR(
            VLOOKUP($A27, INDIRECT("MayR!$A$6:$ZZ$1048576"), MATCH(AQ$1, MayR!$6:$6, 0), FALSE),
            0
        ) +
        IFERROR(
            VLOOKUP($A27, INDIRECT("JunR!$A$6:$ZZ$1048576"), MATCH(AQ$1, JunR!$6:$6, 0), FALSE),
            0
        ) +
        IFERROR(
            VLOOKUP($A27, INDIRECT("JulR!$A$6:$ZZ$1048576"), MATCH(AQ$1, JulR!$6:$6, 0), FALSE),
            0
        ) +
        IFERROR(
            VLOOKUP($A27, INDIRECT("AgoR!$A$6:$ZZ$1048576"), MATCH(AQ$1, AgoR!$6:$6, 0), FALSE),
            0
        ) +
        IFERROR(
            VLOOKUP($A27, INDIRECT("SepR!$A$6:$ZZ$1048576"), MATCH(AQ$1, SepR!$6:$6, 0), FALSE),
            0
        ) +
        IFERROR(
            VLOOKUP($A27, INDIRECT("OctR!$A$6:$ZZ$1048576"), MATCH(AQ$1, OctR!$6:$6, 0), FALSE),
            0
        ) +
        IFERROR(
            VLOOKUP($A27, INDIRECT("NovR!$A$6:$ZZ$1048576"), MATCH(AQ$1, NovR!$6:$6, 0), FALSE),
            0
        ) +
        IFERROR(
            VLOOKUP($A27, INDIRECT("DicR!$A$6:$ZZ$1048576"), MATCH(AQ$1, DicR!$6:$6, 0), FALSE),
            0
        )
)</f>
        <v>0</v>
      </c>
      <c r="AR27" s="36">
        <f t="array" ref="AR27">SUM(
    IFERROR(
            VLOOKUP($A27, INDIRECT("EneR!$A$6:$ZZ$1048576"), MATCH(AR$1, EneR!$6:$6, 0), FALSE),
            0
        ) +
        IFERROR(
            VLOOKUP($A27, INDIRECT("FebR!$A$6:$ZZ$1048576"), MATCH(AR$1, FebR!$6:$6, 0), FALSE),
            0
        ) +
        IFERROR(
            VLOOKUP($A27, INDIRECT("MarR!$A$6:$ZZ$1048576"), MATCH(AR$1, MarR!$6:$6, 0), FALSE),
            0
        ) +
        IFERROR(
            VLOOKUP($A27, INDIRECT("AbrR!$A$6:$ZZ$1048576"), MATCH(AR$1, AbrR!$6:$6, 0), FALSE),
            0
        ) +
        IFERROR(
            VLOOKUP($A27, INDIRECT("MayR!$A$6:$ZZ$1048576"), MATCH(AR$1, MayR!$6:$6, 0), FALSE),
            0
        ) +
        IFERROR(
            VLOOKUP($A27, INDIRECT("JunR!$A$6:$ZZ$1048576"), MATCH(AR$1, JunR!$6:$6, 0), FALSE),
            0
        ) +
        IFERROR(
            VLOOKUP($A27, INDIRECT("JulR!$A$6:$ZZ$1048576"), MATCH(AR$1, JulR!$6:$6, 0), FALSE),
            0
        ) +
        IFERROR(
            VLOOKUP($A27, INDIRECT("AgoR!$A$6:$ZZ$1048576"), MATCH(AR$1, AgoR!$6:$6, 0), FALSE),
            0
        ) +
        IFERROR(
            VLOOKUP($A27, INDIRECT("SepR!$A$6:$ZZ$1048576"), MATCH(AR$1, SepR!$6:$6, 0), FALSE),
            0
        ) +
        IFERROR(
            VLOOKUP($A27, INDIRECT("OctR!$A$6:$ZZ$1048576"), MATCH(AR$1, OctR!$6:$6, 0), FALSE),
            0
        ) +
        IFERROR(
            VLOOKUP($A27, INDIRECT("NovR!$A$6:$ZZ$1048576"), MATCH(AR$1, NovR!$6:$6, 0), FALSE),
            0
        ) +
        IFERROR(
            VLOOKUP($A27, INDIRECT("DicR!$A$6:$ZZ$1048576"), MATCH(AR$1, DicR!$6:$6, 0), FALSE),
            0
        )
)</f>
        <v>0</v>
      </c>
      <c r="AS27" s="37">
        <f t="array" ref="AS27">SUM(
    IFERROR(
            VLOOKUP($A27, INDIRECT("EneR!$A$6:$ZZ$1048576"), MATCH(AS$1, EneR!$6:$6, 0), FALSE),
            0
        ) +
        IFERROR(
            VLOOKUP($A27, INDIRECT("FebR!$A$6:$ZZ$1048576"), MATCH(AS$1, FebR!$6:$6, 0), FALSE),
            0
        ) +
        IFERROR(
            VLOOKUP($A27, INDIRECT("MarR!$A$6:$ZZ$1048576"), MATCH(AS$1, MarR!$6:$6, 0), FALSE),
            0
        ) +
        IFERROR(
            VLOOKUP($A27, INDIRECT("AbrR!$A$6:$ZZ$1048576"), MATCH(AS$1, AbrR!$6:$6, 0), FALSE),
            0
        ) +
        IFERROR(
            VLOOKUP($A27, INDIRECT("MayR!$A$6:$ZZ$1048576"), MATCH(AS$1, MayR!$6:$6, 0), FALSE),
            0
        ) +
        IFERROR(
            VLOOKUP($A27, INDIRECT("JunR!$A$6:$ZZ$1048576"), MATCH(AS$1, JunR!$6:$6, 0), FALSE),
            0
        ) +
        IFERROR(
            VLOOKUP($A27, INDIRECT("JulR!$A$6:$ZZ$1048576"), MATCH(AS$1, JulR!$6:$6, 0), FALSE),
            0
        ) +
        IFERROR(
            VLOOKUP($A27, INDIRECT("AgoR!$A$6:$ZZ$1048576"), MATCH(AS$1, AgoR!$6:$6, 0), FALSE),
            0
        ) +
        IFERROR(
            VLOOKUP($A27, INDIRECT("SepR!$A$6:$ZZ$1048576"), MATCH(AS$1, SepR!$6:$6, 0), FALSE),
            0
        ) +
        IFERROR(
            VLOOKUP($A27, INDIRECT("OctR!$A$6:$ZZ$1048576"), MATCH(AS$1, OctR!$6:$6, 0), FALSE),
            0
        ) +
        IFERROR(
            VLOOKUP($A27, INDIRECT("NovR!$A$6:$ZZ$1048576"), MATCH(AS$1, NovR!$6:$6, 0), FALSE),
            0
        ) +
        IFERROR(
            VLOOKUP($A27, INDIRECT("DicR!$A$6:$ZZ$1048576"), MATCH(AS$1, DicR!$6:$6, 0), FALSE),
            0
        )
)</f>
        <v>0</v>
      </c>
      <c r="AT27" s="36">
        <f t="array" ref="AT27">SUM(
    IFERROR(
            VLOOKUP($A27, INDIRECT("EneR!$A$6:$ZZ$1048576"), MATCH(AT$1, EneR!$6:$6, 0), FALSE),
            0
        ) +
        IFERROR(
            VLOOKUP($A27, INDIRECT("FebR!$A$6:$ZZ$1048576"), MATCH(AT$1, FebR!$6:$6, 0), FALSE),
            0
        ) +
        IFERROR(
            VLOOKUP($A27, INDIRECT("MarR!$A$6:$ZZ$1048576"), MATCH(AT$1, MarR!$6:$6, 0), FALSE),
            0
        ) +
        IFERROR(
            VLOOKUP($A27, INDIRECT("AbrR!$A$6:$ZZ$1048576"), MATCH(AT$1, AbrR!$6:$6, 0), FALSE),
            0
        ) +
        IFERROR(
            VLOOKUP($A27, INDIRECT("MayR!$A$6:$ZZ$1048576"), MATCH(AT$1, MayR!$6:$6, 0), FALSE),
            0
        ) +
        IFERROR(
            VLOOKUP($A27, INDIRECT("JunR!$A$6:$ZZ$1048576"), MATCH(AT$1, JunR!$6:$6, 0), FALSE),
            0
        ) +
        IFERROR(
            VLOOKUP($A27, INDIRECT("JulR!$A$6:$ZZ$1048576"), MATCH(AT$1, JulR!$6:$6, 0), FALSE),
            0
        ) +
        IFERROR(
            VLOOKUP($A27, INDIRECT("AgoR!$A$6:$ZZ$1048576"), MATCH(AT$1, AgoR!$6:$6, 0), FALSE),
            0
        ) +
        IFERROR(
            VLOOKUP($A27, INDIRECT("SepR!$A$6:$ZZ$1048576"), MATCH(AT$1, SepR!$6:$6, 0), FALSE),
            0
        ) +
        IFERROR(
            VLOOKUP($A27, INDIRECT("OctR!$A$6:$ZZ$1048576"), MATCH(AT$1, OctR!$6:$6, 0), FALSE),
            0
        ) +
        IFERROR(
            VLOOKUP($A27, INDIRECT("NovR!$A$6:$ZZ$1048576"), MATCH(AT$1, NovR!$6:$6, 0), FALSE),
            0
        ) +
        IFERROR(
            VLOOKUP($A27, INDIRECT("DicR!$A$6:$ZZ$1048576"), MATCH(AT$1, DicR!$6:$6, 0), FALSE),
            0
        )
)</f>
        <v>0</v>
      </c>
      <c r="AU27" s="37">
        <f t="array" ref="AU27">SUM(
    IFERROR(
            VLOOKUP($A27, INDIRECT("EneR!$A$6:$ZZ$1048576"), MATCH(AU$1, EneR!$6:$6, 0), FALSE),
            0
        ) +
        IFERROR(
            VLOOKUP($A27, INDIRECT("FebR!$A$6:$ZZ$1048576"), MATCH(AU$1, FebR!$6:$6, 0), FALSE),
            0
        ) +
        IFERROR(
            VLOOKUP($A27, INDIRECT("MarR!$A$6:$ZZ$1048576"), MATCH(AU$1, MarR!$6:$6, 0), FALSE),
            0
        ) +
        IFERROR(
            VLOOKUP($A27, INDIRECT("AbrR!$A$6:$ZZ$1048576"), MATCH(AU$1, AbrR!$6:$6, 0), FALSE),
            0
        ) +
        IFERROR(
            VLOOKUP($A27, INDIRECT("MayR!$A$6:$ZZ$1048576"), MATCH(AU$1, MayR!$6:$6, 0), FALSE),
            0
        ) +
        IFERROR(
            VLOOKUP($A27, INDIRECT("JunR!$A$6:$ZZ$1048576"), MATCH(AU$1, JunR!$6:$6, 0), FALSE),
            0
        ) +
        IFERROR(
            VLOOKUP($A27, INDIRECT("JulR!$A$6:$ZZ$1048576"), MATCH(AU$1, JulR!$6:$6, 0), FALSE),
            0
        ) +
        IFERROR(
            VLOOKUP($A27, INDIRECT("AgoR!$A$6:$ZZ$1048576"), MATCH(AU$1, AgoR!$6:$6, 0), FALSE),
            0
        ) +
        IFERROR(
            VLOOKUP($A27, INDIRECT("SepR!$A$6:$ZZ$1048576"), MATCH(AU$1, SepR!$6:$6, 0), FALSE),
            0
        ) +
        IFERROR(
            VLOOKUP($A27, INDIRECT("OctR!$A$6:$ZZ$1048576"), MATCH(AU$1, OctR!$6:$6, 0), FALSE),
            0
        ) +
        IFERROR(
            VLOOKUP($A27, INDIRECT("NovR!$A$6:$ZZ$1048576"), MATCH(AU$1, NovR!$6:$6, 0), FALSE),
            0
        ) +
        IFERROR(
            VLOOKUP($A27, INDIRECT("DicR!$A$6:$ZZ$1048576"), MATCH(AU$1, DicR!$6:$6, 0), FALSE),
            0
        )
)</f>
        <v>0</v>
      </c>
      <c r="AV27" s="36">
        <f t="array" ref="AV27">SUM(
    IFERROR(
            VLOOKUP($A27, INDIRECT("EneR!$A$6:$ZZ$1048576"), MATCH(AV$1, EneR!$6:$6, 0), FALSE),
            0
        ) +
        IFERROR(
            VLOOKUP($A27, INDIRECT("FebR!$A$6:$ZZ$1048576"), MATCH(AV$1, FebR!$6:$6, 0), FALSE),
            0
        ) +
        IFERROR(
            VLOOKUP($A27, INDIRECT("MarR!$A$6:$ZZ$1048576"), MATCH(AV$1, MarR!$6:$6, 0), FALSE),
            0
        ) +
        IFERROR(
            VLOOKUP($A27, INDIRECT("AbrR!$A$6:$ZZ$1048576"), MATCH(AV$1, AbrR!$6:$6, 0), FALSE),
            0
        ) +
        IFERROR(
            VLOOKUP($A27, INDIRECT("MayR!$A$6:$ZZ$1048576"), MATCH(AV$1, MayR!$6:$6, 0), FALSE),
            0
        ) +
        IFERROR(
            VLOOKUP($A27, INDIRECT("JunR!$A$6:$ZZ$1048576"), MATCH(AV$1, JunR!$6:$6, 0), FALSE),
            0
        ) +
        IFERROR(
            VLOOKUP($A27, INDIRECT("JulR!$A$6:$ZZ$1048576"), MATCH(AV$1, JulR!$6:$6, 0), FALSE),
            0
        ) +
        IFERROR(
            VLOOKUP($A27, INDIRECT("AgoR!$A$6:$ZZ$1048576"), MATCH(AV$1, AgoR!$6:$6, 0), FALSE),
            0
        ) +
        IFERROR(
            VLOOKUP($A27, INDIRECT("SepR!$A$6:$ZZ$1048576"), MATCH(AV$1, SepR!$6:$6, 0), FALSE),
            0
        ) +
        IFERROR(
            VLOOKUP($A27, INDIRECT("OctR!$A$6:$ZZ$1048576"), MATCH(AV$1, OctR!$6:$6, 0), FALSE),
            0
        ) +
        IFERROR(
            VLOOKUP($A27, INDIRECT("NovR!$A$6:$ZZ$1048576"), MATCH(AV$1, NovR!$6:$6, 0), FALSE),
            0
        ) +
        IFERROR(
            VLOOKUP($A27, INDIRECT("DicR!$A$6:$ZZ$1048576"), MATCH(AV$1, DicR!$6:$6, 0), FALSE),
            0
        )
)</f>
        <v>0</v>
      </c>
      <c r="AW27" s="37">
        <f t="array" ref="AW27">SUM(
    IFERROR(
            VLOOKUP($A27, INDIRECT("EneR!$A$6:$ZZ$1048576"), MATCH(AW$1, EneR!$6:$6, 0), FALSE),
            0
        ) +
        IFERROR(
            VLOOKUP($A27, INDIRECT("FebR!$A$6:$ZZ$1048576"), MATCH(AW$1, FebR!$6:$6, 0), FALSE),
            0
        ) +
        IFERROR(
            VLOOKUP($A27, INDIRECT("MarR!$A$6:$ZZ$1048576"), MATCH(AW$1, MarR!$6:$6, 0), FALSE),
            0
        ) +
        IFERROR(
            VLOOKUP($A27, INDIRECT("AbrR!$A$6:$ZZ$1048576"), MATCH(AW$1, AbrR!$6:$6, 0), FALSE),
            0
        ) +
        IFERROR(
            VLOOKUP($A27, INDIRECT("MayR!$A$6:$ZZ$1048576"), MATCH(AW$1, MayR!$6:$6, 0), FALSE),
            0
        ) +
        IFERROR(
            VLOOKUP($A27, INDIRECT("JunR!$A$6:$ZZ$1048576"), MATCH(AW$1, JunR!$6:$6, 0), FALSE),
            0
        ) +
        IFERROR(
            VLOOKUP($A27, INDIRECT("JulR!$A$6:$ZZ$1048576"), MATCH(AW$1, JulR!$6:$6, 0), FALSE),
            0
        ) +
        IFERROR(
            VLOOKUP($A27, INDIRECT("AgoR!$A$6:$ZZ$1048576"), MATCH(AW$1, AgoR!$6:$6, 0), FALSE),
            0
        ) +
        IFERROR(
            VLOOKUP($A27, INDIRECT("SepR!$A$6:$ZZ$1048576"), MATCH(AW$1, SepR!$6:$6, 0), FALSE),
            0
        ) +
        IFERROR(
            VLOOKUP($A27, INDIRECT("OctR!$A$6:$ZZ$1048576"), MATCH(AW$1, OctR!$6:$6, 0), FALSE),
            0
        ) +
        IFERROR(
            VLOOKUP($A27, INDIRECT("NovR!$A$6:$ZZ$1048576"), MATCH(AW$1, NovR!$6:$6, 0), FALSE),
            0
        ) +
        IFERROR(
            VLOOKUP($A27, INDIRECT("DicR!$A$6:$ZZ$1048576"), MATCH(AW$1, DicR!$6:$6, 0), FALSE),
            0
        )
)</f>
        <v>0</v>
      </c>
      <c r="AX27" s="36">
        <f t="array" ref="AX27">SUM(
    IFERROR(
            VLOOKUP($A27, INDIRECT("EneR!$A$6:$ZZ$1048576"), MATCH(AX$1, EneR!$6:$6, 0), FALSE),
            0
        ) +
        IFERROR(
            VLOOKUP($A27, INDIRECT("FebR!$A$6:$ZZ$1048576"), MATCH(AX$1, FebR!$6:$6, 0), FALSE),
            0
        ) +
        IFERROR(
            VLOOKUP($A27, INDIRECT("MarR!$A$6:$ZZ$1048576"), MATCH(AX$1, MarR!$6:$6, 0), FALSE),
            0
        ) +
        IFERROR(
            VLOOKUP($A27, INDIRECT("AbrR!$A$6:$ZZ$1048576"), MATCH(AX$1, AbrR!$6:$6, 0), FALSE),
            0
        ) +
        IFERROR(
            VLOOKUP($A27, INDIRECT("MayR!$A$6:$ZZ$1048576"), MATCH(AX$1, MayR!$6:$6, 0), FALSE),
            0
        ) +
        IFERROR(
            VLOOKUP($A27, INDIRECT("JunR!$A$6:$ZZ$1048576"), MATCH(AX$1, JunR!$6:$6, 0), FALSE),
            0
        ) +
        IFERROR(
            VLOOKUP($A27, INDIRECT("JulR!$A$6:$ZZ$1048576"), MATCH(AX$1, JulR!$6:$6, 0), FALSE),
            0
        ) +
        IFERROR(
            VLOOKUP($A27, INDIRECT("AgoR!$A$6:$ZZ$1048576"), MATCH(AX$1, AgoR!$6:$6, 0), FALSE),
            0
        ) +
        IFERROR(
            VLOOKUP($A27, INDIRECT("SepR!$A$6:$ZZ$1048576"), MATCH(AX$1, SepR!$6:$6, 0), FALSE),
            0
        ) +
        IFERROR(
            VLOOKUP($A27, INDIRECT("OctR!$A$6:$ZZ$1048576"), MATCH(AX$1, OctR!$6:$6, 0), FALSE),
            0
        ) +
        IFERROR(
            VLOOKUP($A27, INDIRECT("NovR!$A$6:$ZZ$1048576"), MATCH(AX$1, NovR!$6:$6, 0), FALSE),
            0
        ) +
        IFERROR(
            VLOOKUP($A27, INDIRECT("DicR!$A$6:$ZZ$1048576"), MATCH(AX$1, DicR!$6:$6, 0), FALSE),
            0
        )
)</f>
        <v>0</v>
      </c>
      <c r="AY27" s="37">
        <f t="array" ref="AY27">SUM(
    IFERROR(
            VLOOKUP($A27, INDIRECT("EneR!$A$6:$ZZ$1048576"), MATCH(AY$1, EneR!$6:$6, 0), FALSE),
            0
        ) +
        IFERROR(
            VLOOKUP($A27, INDIRECT("FebR!$A$6:$ZZ$1048576"), MATCH(AY$1, FebR!$6:$6, 0), FALSE),
            0
        ) +
        IFERROR(
            VLOOKUP($A27, INDIRECT("MarR!$A$6:$ZZ$1048576"), MATCH(AY$1, MarR!$6:$6, 0), FALSE),
            0
        ) +
        IFERROR(
            VLOOKUP($A27, INDIRECT("AbrR!$A$6:$ZZ$1048576"), MATCH(AY$1, AbrR!$6:$6, 0), FALSE),
            0
        ) +
        IFERROR(
            VLOOKUP($A27, INDIRECT("MayR!$A$6:$ZZ$1048576"), MATCH(AY$1, MayR!$6:$6, 0), FALSE),
            0
        ) +
        IFERROR(
            VLOOKUP($A27, INDIRECT("JunR!$A$6:$ZZ$1048576"), MATCH(AY$1, JunR!$6:$6, 0), FALSE),
            0
        ) +
        IFERROR(
            VLOOKUP($A27, INDIRECT("JulR!$A$6:$ZZ$1048576"), MATCH(AY$1, JulR!$6:$6, 0), FALSE),
            0
        ) +
        IFERROR(
            VLOOKUP($A27, INDIRECT("AgoR!$A$6:$ZZ$1048576"), MATCH(AY$1, AgoR!$6:$6, 0), FALSE),
            0
        ) +
        IFERROR(
            VLOOKUP($A27, INDIRECT("SepR!$A$6:$ZZ$1048576"), MATCH(AY$1, SepR!$6:$6, 0), FALSE),
            0
        ) +
        IFERROR(
            VLOOKUP($A27, INDIRECT("OctR!$A$6:$ZZ$1048576"), MATCH(AY$1, OctR!$6:$6, 0), FALSE),
            0
        ) +
        IFERROR(
            VLOOKUP($A27, INDIRECT("NovR!$A$6:$ZZ$1048576"), MATCH(AY$1, NovR!$6:$6, 0), FALSE),
            0
        ) +
        IFERROR(
            VLOOKUP($A27, INDIRECT("DicR!$A$6:$ZZ$1048576"), MATCH(AY$1, DicR!$6:$6, 0), FALSE),
            0
        )
)</f>
        <v>0</v>
      </c>
      <c r="AZ27" s="37"/>
    </row>
    <row r="28" ht="15.75" customHeight="1">
      <c r="A28" s="12" t="str">
        <f>Menus!R20</f>
        <v/>
      </c>
      <c r="B28" s="32">
        <f t="shared" si="4"/>
        <v>0</v>
      </c>
      <c r="C28" s="33" t="str">
        <f t="shared" si="5"/>
        <v/>
      </c>
      <c r="D28" s="34">
        <f t="array" ref="D28">SUM(
    IFERROR(
            VLOOKUP($A28, INDIRECT("EneR!$A$6:$ZZ$1048576"), MATCH(D$1, EneR!$6:$6, 0), FALSE),
            0
        ) +
        IFERROR(
            VLOOKUP($A28, INDIRECT("FebR!$A$6:$ZZ$1048576"), MATCH(D$1, FebR!$6:$6, 0), FALSE),
            0
        ) +
        IFERROR(
            VLOOKUP($A28, INDIRECT("MarR!$A$6:$ZZ$1048576"), MATCH(D$1, MarR!$6:$6, 0), FALSE),
            0
        ) +
        IFERROR(
            VLOOKUP($A28, INDIRECT("AbrR!$A$6:$ZZ$1048576"), MATCH(D$1, AbrR!$6:$6, 0), FALSE),
            0
        ) +
        IFERROR(
            VLOOKUP($A28, INDIRECT("MayR!$A$6:$ZZ$1048576"), MATCH(D$1, MayR!$6:$6, 0), FALSE),
            0
        ) +
        IFERROR(
            VLOOKUP($A28, INDIRECT("JunR!$A$6:$ZZ$1048576"), MATCH(D$1, JunR!$6:$6, 0), FALSE),
            0
        ) +
        IFERROR(
            VLOOKUP($A28, INDIRECT("JulR!$A$6:$ZZ$1048576"), MATCH(D$1, JulR!$6:$6, 0), FALSE),
            0
        ) +
        IFERROR(
            VLOOKUP($A28, INDIRECT("AgoR!$A$6:$ZZ$1048576"), MATCH(D$1, AgoR!$6:$6, 0), FALSE),
            0
        ) +
        IFERROR(
            VLOOKUP($A28, INDIRECT("SepR!$A$6:$ZZ$1048576"), MATCH(D$1, SepR!$6:$6, 0), FALSE),
            0
        ) +
        IFERROR(
            VLOOKUP($A28, INDIRECT("OctR!$A$6:$ZZ$1048576"), MATCH(D$1, OctR!$6:$6, 0), FALSE),
            0
        ) +
        IFERROR(
            VLOOKUP($A28, INDIRECT("NovR!$A$6:$ZZ$1048576"), MATCH(D$1, NovR!$6:$6, 0), FALSE),
            0
        ) +
        IFERROR(
            VLOOKUP($A28, INDIRECT("DicR!$A$6:$ZZ$1048576"), MATCH(D$1, DicR!$6:$6, 0), FALSE),
            0
        )
)</f>
        <v>0</v>
      </c>
      <c r="E28" s="35">
        <f t="array" ref="E28">SUM(
    IFERROR(
            VLOOKUP($A28, INDIRECT("EneR!$A$6:$ZZ$1048576"), MATCH(E$1, EneR!$6:$6, 0), FALSE),
            0
        ) +
        IFERROR(
            VLOOKUP($A28, INDIRECT("FebR!$A$6:$ZZ$1048576"), MATCH(E$1, FebR!$6:$6, 0), FALSE),
            0
        ) +
        IFERROR(
            VLOOKUP($A28, INDIRECT("MarR!$A$6:$ZZ$1048576"), MATCH(E$1, MarR!$6:$6, 0), FALSE),
            0
        ) +
        IFERROR(
            VLOOKUP($A28, INDIRECT("AbrR!$A$6:$ZZ$1048576"), MATCH(E$1, AbrR!$6:$6, 0), FALSE),
            0
        ) +
        IFERROR(
            VLOOKUP($A28, INDIRECT("MayR!$A$6:$ZZ$1048576"), MATCH(E$1, MayR!$6:$6, 0), FALSE),
            0
        ) +
        IFERROR(
            VLOOKUP($A28, INDIRECT("JunR!$A$6:$ZZ$1048576"), MATCH(E$1, JunR!$6:$6, 0), FALSE),
            0
        ) +
        IFERROR(
            VLOOKUP($A28, INDIRECT("JulR!$A$6:$ZZ$1048576"), MATCH(E$1, JulR!$6:$6, 0), FALSE),
            0
        ) +
        IFERROR(
            VLOOKUP($A28, INDIRECT("AgoR!$A$6:$ZZ$1048576"), MATCH(E$1, AgoR!$6:$6, 0), FALSE),
            0
        ) +
        IFERROR(
            VLOOKUP($A28, INDIRECT("SepR!$A$6:$ZZ$1048576"), MATCH(E$1, SepR!$6:$6, 0), FALSE),
            0
        ) +
        IFERROR(
            VLOOKUP($A28, INDIRECT("OctR!$A$6:$ZZ$1048576"), MATCH(E$1, OctR!$6:$6, 0), FALSE),
            0
        ) +
        IFERROR(
            VLOOKUP($A28, INDIRECT("NovR!$A$6:$ZZ$1048576"), MATCH(E$1, NovR!$6:$6, 0), FALSE),
            0
        ) +
        IFERROR(
            VLOOKUP($A28, INDIRECT("DicR!$A$6:$ZZ$1048576"), MATCH(E$1, DicR!$6:$6, 0), FALSE),
            0
        )
)</f>
        <v>0</v>
      </c>
      <c r="F28" s="32">
        <f t="array" ref="F28">SUM(
    IFERROR(
            VLOOKUP($A28, INDIRECT("EneR!$A$6:$ZZ$1048576"), MATCH(F$1, EneR!$6:$6, 0), FALSE),
            0
        ) +
        IFERROR(
            VLOOKUP($A28, INDIRECT("FebR!$A$6:$ZZ$1048576"), MATCH(F$1, FebR!$6:$6, 0), FALSE),
            0
        ) +
        IFERROR(
            VLOOKUP($A28, INDIRECT("MarR!$A$6:$ZZ$1048576"), MATCH(F$1, MarR!$6:$6, 0), FALSE),
            0
        ) +
        IFERROR(
            VLOOKUP($A28, INDIRECT("AbrR!$A$6:$ZZ$1048576"), MATCH(F$1, AbrR!$6:$6, 0), FALSE),
            0
        ) +
        IFERROR(
            VLOOKUP($A28, INDIRECT("MayR!$A$6:$ZZ$1048576"), MATCH(F$1, MayR!$6:$6, 0), FALSE),
            0
        ) +
        IFERROR(
            VLOOKUP($A28, INDIRECT("JunR!$A$6:$ZZ$1048576"), MATCH(F$1, JunR!$6:$6, 0), FALSE),
            0
        ) +
        IFERROR(
            VLOOKUP($A28, INDIRECT("JulR!$A$6:$ZZ$1048576"), MATCH(F$1, JulR!$6:$6, 0), FALSE),
            0
        ) +
        IFERROR(
            VLOOKUP($A28, INDIRECT("AgoR!$A$6:$ZZ$1048576"), MATCH(F$1, AgoR!$6:$6, 0), FALSE),
            0
        ) +
        IFERROR(
            VLOOKUP($A28, INDIRECT("SepR!$A$6:$ZZ$1048576"), MATCH(F$1, SepR!$6:$6, 0), FALSE),
            0
        ) +
        IFERROR(
            VLOOKUP($A28, INDIRECT("OctR!$A$6:$ZZ$1048576"), MATCH(F$1, OctR!$6:$6, 0), FALSE),
            0
        ) +
        IFERROR(
            VLOOKUP($A28, INDIRECT("NovR!$A$6:$ZZ$1048576"), MATCH(F$1, NovR!$6:$6, 0), FALSE),
            0
        ) +
        IFERROR(
            VLOOKUP($A28, INDIRECT("DicR!$A$6:$ZZ$1048576"), MATCH(F$1, DicR!$6:$6, 0), FALSE),
            0
        )
)</f>
        <v>0</v>
      </c>
      <c r="G28" s="35">
        <f t="array" ref="G28">SUM(
    IFERROR(
            VLOOKUP($A28, INDIRECT("EneR!$A$6:$ZZ$1048576"), MATCH(G$1, EneR!$6:$6, 0), FALSE),
            0
        ) +
        IFERROR(
            VLOOKUP($A28, INDIRECT("FebR!$A$6:$ZZ$1048576"), MATCH(G$1, FebR!$6:$6, 0), FALSE),
            0
        ) +
        IFERROR(
            VLOOKUP($A28, INDIRECT("MarR!$A$6:$ZZ$1048576"), MATCH(G$1, MarR!$6:$6, 0), FALSE),
            0
        ) +
        IFERROR(
            VLOOKUP($A28, INDIRECT("AbrR!$A$6:$ZZ$1048576"), MATCH(G$1, AbrR!$6:$6, 0), FALSE),
            0
        ) +
        IFERROR(
            VLOOKUP($A28, INDIRECT("MayR!$A$6:$ZZ$1048576"), MATCH(G$1, MayR!$6:$6, 0), FALSE),
            0
        ) +
        IFERROR(
            VLOOKUP($A28, INDIRECT("JunR!$A$6:$ZZ$1048576"), MATCH(G$1, JunR!$6:$6, 0), FALSE),
            0
        ) +
        IFERROR(
            VLOOKUP($A28, INDIRECT("JulR!$A$6:$ZZ$1048576"), MATCH(G$1, JulR!$6:$6, 0), FALSE),
            0
        ) +
        IFERROR(
            VLOOKUP($A28, INDIRECT("AgoR!$A$6:$ZZ$1048576"), MATCH(G$1, AgoR!$6:$6, 0), FALSE),
            0
        ) +
        IFERROR(
            VLOOKUP($A28, INDIRECT("SepR!$A$6:$ZZ$1048576"), MATCH(G$1, SepR!$6:$6, 0), FALSE),
            0
        ) +
        IFERROR(
            VLOOKUP($A28, INDIRECT("OctR!$A$6:$ZZ$1048576"), MATCH(G$1, OctR!$6:$6, 0), FALSE),
            0
        ) +
        IFERROR(
            VLOOKUP($A28, INDIRECT("NovR!$A$6:$ZZ$1048576"), MATCH(G$1, NovR!$6:$6, 0), FALSE),
            0
        ) +
        IFERROR(
            VLOOKUP($A28, INDIRECT("DicR!$A$6:$ZZ$1048576"), MATCH(G$1, DicR!$6:$6, 0), FALSE),
            0
        )
)</f>
        <v>0</v>
      </c>
      <c r="H28" s="32">
        <f t="array" ref="H28">SUM(
    IFERROR(
            VLOOKUP($A28, INDIRECT("EneR!$A$6:$ZZ$1048576"), MATCH(H$1, EneR!$6:$6, 0), FALSE),
            0
        ) +
        IFERROR(
            VLOOKUP($A28, INDIRECT("FebR!$A$6:$ZZ$1048576"), MATCH(H$1, FebR!$6:$6, 0), FALSE),
            0
        ) +
        IFERROR(
            VLOOKUP($A28, INDIRECT("MarR!$A$6:$ZZ$1048576"), MATCH(H$1, MarR!$6:$6, 0), FALSE),
            0
        ) +
        IFERROR(
            VLOOKUP($A28, INDIRECT("AbrR!$A$6:$ZZ$1048576"), MATCH(H$1, AbrR!$6:$6, 0), FALSE),
            0
        ) +
        IFERROR(
            VLOOKUP($A28, INDIRECT("MayR!$A$6:$ZZ$1048576"), MATCH(H$1, MayR!$6:$6, 0), FALSE),
            0
        ) +
        IFERROR(
            VLOOKUP($A28, INDIRECT("JunR!$A$6:$ZZ$1048576"), MATCH(H$1, JunR!$6:$6, 0), FALSE),
            0
        ) +
        IFERROR(
            VLOOKUP($A28, INDIRECT("JulR!$A$6:$ZZ$1048576"), MATCH(H$1, JulR!$6:$6, 0), FALSE),
            0
        ) +
        IFERROR(
            VLOOKUP($A28, INDIRECT("AgoR!$A$6:$ZZ$1048576"), MATCH(H$1, AgoR!$6:$6, 0), FALSE),
            0
        ) +
        IFERROR(
            VLOOKUP($A28, INDIRECT("SepR!$A$6:$ZZ$1048576"), MATCH(H$1, SepR!$6:$6, 0), FALSE),
            0
        ) +
        IFERROR(
            VLOOKUP($A28, INDIRECT("OctR!$A$6:$ZZ$1048576"), MATCH(H$1, OctR!$6:$6, 0), FALSE),
            0
        ) +
        IFERROR(
            VLOOKUP($A28, INDIRECT("NovR!$A$6:$ZZ$1048576"), MATCH(H$1, NovR!$6:$6, 0), FALSE),
            0
        ) +
        IFERROR(
            VLOOKUP($A28, INDIRECT("DicR!$A$6:$ZZ$1048576"), MATCH(H$1, DicR!$6:$6, 0), FALSE),
            0
        )
)</f>
        <v>0</v>
      </c>
      <c r="I28" s="35">
        <f t="array" ref="I28">SUM(
    IFERROR(
            VLOOKUP($A28, INDIRECT("EneR!$A$6:$ZZ$1048576"), MATCH(I$1, EneR!$6:$6, 0), FALSE),
            0
        ) +
        IFERROR(
            VLOOKUP($A28, INDIRECT("FebR!$A$6:$ZZ$1048576"), MATCH(I$1, FebR!$6:$6, 0), FALSE),
            0
        ) +
        IFERROR(
            VLOOKUP($A28, INDIRECT("MarR!$A$6:$ZZ$1048576"), MATCH(I$1, MarR!$6:$6, 0), FALSE),
            0
        ) +
        IFERROR(
            VLOOKUP($A28, INDIRECT("AbrR!$A$6:$ZZ$1048576"), MATCH(I$1, AbrR!$6:$6, 0), FALSE),
            0
        ) +
        IFERROR(
            VLOOKUP($A28, INDIRECT("MayR!$A$6:$ZZ$1048576"), MATCH(I$1, MayR!$6:$6, 0), FALSE),
            0
        ) +
        IFERROR(
            VLOOKUP($A28, INDIRECT("JunR!$A$6:$ZZ$1048576"), MATCH(I$1, JunR!$6:$6, 0), FALSE),
            0
        ) +
        IFERROR(
            VLOOKUP($A28, INDIRECT("JulR!$A$6:$ZZ$1048576"), MATCH(I$1, JulR!$6:$6, 0), FALSE),
            0
        ) +
        IFERROR(
            VLOOKUP($A28, INDIRECT("AgoR!$A$6:$ZZ$1048576"), MATCH(I$1, AgoR!$6:$6, 0), FALSE),
            0
        ) +
        IFERROR(
            VLOOKUP($A28, INDIRECT("SepR!$A$6:$ZZ$1048576"), MATCH(I$1, SepR!$6:$6, 0), FALSE),
            0
        ) +
        IFERROR(
            VLOOKUP($A28, INDIRECT("OctR!$A$6:$ZZ$1048576"), MATCH(I$1, OctR!$6:$6, 0), FALSE),
            0
        ) +
        IFERROR(
            VLOOKUP($A28, INDIRECT("NovR!$A$6:$ZZ$1048576"), MATCH(I$1, NovR!$6:$6, 0), FALSE),
            0
        ) +
        IFERROR(
            VLOOKUP($A28, INDIRECT("DicR!$A$6:$ZZ$1048576"), MATCH(I$1, DicR!$6:$6, 0), FALSE),
            0
        )
)</f>
        <v>0</v>
      </c>
      <c r="J28" s="32">
        <f t="array" ref="J28">SUM(
    IFERROR(
            VLOOKUP($A28, INDIRECT("EneR!$A$6:$ZZ$1048576"), MATCH(J$1, EneR!$6:$6, 0), FALSE),
            0
        ) +
        IFERROR(
            VLOOKUP($A28, INDIRECT("FebR!$A$6:$ZZ$1048576"), MATCH(J$1, FebR!$6:$6, 0), FALSE),
            0
        ) +
        IFERROR(
            VLOOKUP($A28, INDIRECT("MarR!$A$6:$ZZ$1048576"), MATCH(J$1, MarR!$6:$6, 0), FALSE),
            0
        ) +
        IFERROR(
            VLOOKUP($A28, INDIRECT("AbrR!$A$6:$ZZ$1048576"), MATCH(J$1, AbrR!$6:$6, 0), FALSE),
            0
        ) +
        IFERROR(
            VLOOKUP($A28, INDIRECT("MayR!$A$6:$ZZ$1048576"), MATCH(J$1, MayR!$6:$6, 0), FALSE),
            0
        ) +
        IFERROR(
            VLOOKUP($A28, INDIRECT("JunR!$A$6:$ZZ$1048576"), MATCH(J$1, JunR!$6:$6, 0), FALSE),
            0
        ) +
        IFERROR(
            VLOOKUP($A28, INDIRECT("JulR!$A$6:$ZZ$1048576"), MATCH(J$1, JulR!$6:$6, 0), FALSE),
            0
        ) +
        IFERROR(
            VLOOKUP($A28, INDIRECT("AgoR!$A$6:$ZZ$1048576"), MATCH(J$1, AgoR!$6:$6, 0), FALSE),
            0
        ) +
        IFERROR(
            VLOOKUP($A28, INDIRECT("SepR!$A$6:$ZZ$1048576"), MATCH(J$1, SepR!$6:$6, 0), FALSE),
            0
        ) +
        IFERROR(
            VLOOKUP($A28, INDIRECT("OctR!$A$6:$ZZ$1048576"), MATCH(J$1, OctR!$6:$6, 0), FALSE),
            0
        ) +
        IFERROR(
            VLOOKUP($A28, INDIRECT("NovR!$A$6:$ZZ$1048576"), MATCH(J$1, NovR!$6:$6, 0), FALSE),
            0
        ) +
        IFERROR(
            VLOOKUP($A28, INDIRECT("DicR!$A$6:$ZZ$1048576"), MATCH(J$1, DicR!$6:$6, 0), FALSE),
            0
        )
)</f>
        <v>0</v>
      </c>
      <c r="K28" s="35">
        <f t="array" ref="K28">SUM(
    IFERROR(
            VLOOKUP($A28, INDIRECT("EneR!$A$6:$ZZ$1048576"), MATCH(K$1, EneR!$6:$6, 0), FALSE),
            0
        ) +
        IFERROR(
            VLOOKUP($A28, INDIRECT("FebR!$A$6:$ZZ$1048576"), MATCH(K$1, FebR!$6:$6, 0), FALSE),
            0
        ) +
        IFERROR(
            VLOOKUP($A28, INDIRECT("MarR!$A$6:$ZZ$1048576"), MATCH(K$1, MarR!$6:$6, 0), FALSE),
            0
        ) +
        IFERROR(
            VLOOKUP($A28, INDIRECT("AbrR!$A$6:$ZZ$1048576"), MATCH(K$1, AbrR!$6:$6, 0), FALSE),
            0
        ) +
        IFERROR(
            VLOOKUP($A28, INDIRECT("MayR!$A$6:$ZZ$1048576"), MATCH(K$1, MayR!$6:$6, 0), FALSE),
            0
        ) +
        IFERROR(
            VLOOKUP($A28, INDIRECT("JunR!$A$6:$ZZ$1048576"), MATCH(K$1, JunR!$6:$6, 0), FALSE),
            0
        ) +
        IFERROR(
            VLOOKUP($A28, INDIRECT("JulR!$A$6:$ZZ$1048576"), MATCH(K$1, JulR!$6:$6, 0), FALSE),
            0
        ) +
        IFERROR(
            VLOOKUP($A28, INDIRECT("AgoR!$A$6:$ZZ$1048576"), MATCH(K$1, AgoR!$6:$6, 0), FALSE),
            0
        ) +
        IFERROR(
            VLOOKUP($A28, INDIRECT("SepR!$A$6:$ZZ$1048576"), MATCH(K$1, SepR!$6:$6, 0), FALSE),
            0
        ) +
        IFERROR(
            VLOOKUP($A28, INDIRECT("OctR!$A$6:$ZZ$1048576"), MATCH(K$1, OctR!$6:$6, 0), FALSE),
            0
        ) +
        IFERROR(
            VLOOKUP($A28, INDIRECT("NovR!$A$6:$ZZ$1048576"), MATCH(K$1, NovR!$6:$6, 0), FALSE),
            0
        ) +
        IFERROR(
            VLOOKUP($A28, INDIRECT("DicR!$A$6:$ZZ$1048576"), MATCH(K$1, DicR!$6:$6, 0), FALSE),
            0
        )
)</f>
        <v>0</v>
      </c>
      <c r="L28" s="32">
        <f t="array" ref="L28">SUM(
    IFERROR(
            VLOOKUP($A28, INDIRECT("EneR!$A$6:$ZZ$1048576"), MATCH(L$1, EneR!$6:$6, 0), FALSE),
            0
        ) +
        IFERROR(
            VLOOKUP($A28, INDIRECT("FebR!$A$6:$ZZ$1048576"), MATCH(L$1, FebR!$6:$6, 0), FALSE),
            0
        ) +
        IFERROR(
            VLOOKUP($A28, INDIRECT("MarR!$A$6:$ZZ$1048576"), MATCH(L$1, MarR!$6:$6, 0), FALSE),
            0
        ) +
        IFERROR(
            VLOOKUP($A28, INDIRECT("AbrR!$A$6:$ZZ$1048576"), MATCH(L$1, AbrR!$6:$6, 0), FALSE),
            0
        ) +
        IFERROR(
            VLOOKUP($A28, INDIRECT("MayR!$A$6:$ZZ$1048576"), MATCH(L$1, MayR!$6:$6, 0), FALSE),
            0
        ) +
        IFERROR(
            VLOOKUP($A28, INDIRECT("JunR!$A$6:$ZZ$1048576"), MATCH(L$1, JunR!$6:$6, 0), FALSE),
            0
        ) +
        IFERROR(
            VLOOKUP($A28, INDIRECT("JulR!$A$6:$ZZ$1048576"), MATCH(L$1, JulR!$6:$6, 0), FALSE),
            0
        ) +
        IFERROR(
            VLOOKUP($A28, INDIRECT("AgoR!$A$6:$ZZ$1048576"), MATCH(L$1, AgoR!$6:$6, 0), FALSE),
            0
        ) +
        IFERROR(
            VLOOKUP($A28, INDIRECT("SepR!$A$6:$ZZ$1048576"), MATCH(L$1, SepR!$6:$6, 0), FALSE),
            0
        ) +
        IFERROR(
            VLOOKUP($A28, INDIRECT("OctR!$A$6:$ZZ$1048576"), MATCH(L$1, OctR!$6:$6, 0), FALSE),
            0
        ) +
        IFERROR(
            VLOOKUP($A28, INDIRECT("NovR!$A$6:$ZZ$1048576"), MATCH(L$1, NovR!$6:$6, 0), FALSE),
            0
        ) +
        IFERROR(
            VLOOKUP($A28, INDIRECT("DicR!$A$6:$ZZ$1048576"), MATCH(L$1, DicR!$6:$6, 0), FALSE),
            0
        )
)</f>
        <v>0</v>
      </c>
      <c r="M28" s="35">
        <f t="array" ref="M28">SUM(
    IFERROR(
            VLOOKUP($A28, INDIRECT("EneR!$A$6:$ZZ$1048576"), MATCH(M$1, EneR!$6:$6, 0), FALSE),
            0
        ) +
        IFERROR(
            VLOOKUP($A28, INDIRECT("FebR!$A$6:$ZZ$1048576"), MATCH(M$1, FebR!$6:$6, 0), FALSE),
            0
        ) +
        IFERROR(
            VLOOKUP($A28, INDIRECT("MarR!$A$6:$ZZ$1048576"), MATCH(M$1, MarR!$6:$6, 0), FALSE),
            0
        ) +
        IFERROR(
            VLOOKUP($A28, INDIRECT("AbrR!$A$6:$ZZ$1048576"), MATCH(M$1, AbrR!$6:$6, 0), FALSE),
            0
        ) +
        IFERROR(
            VLOOKUP($A28, INDIRECT("MayR!$A$6:$ZZ$1048576"), MATCH(M$1, MayR!$6:$6, 0), FALSE),
            0
        ) +
        IFERROR(
            VLOOKUP($A28, INDIRECT("JunR!$A$6:$ZZ$1048576"), MATCH(M$1, JunR!$6:$6, 0), FALSE),
            0
        ) +
        IFERROR(
            VLOOKUP($A28, INDIRECT("JulR!$A$6:$ZZ$1048576"), MATCH(M$1, JulR!$6:$6, 0), FALSE),
            0
        ) +
        IFERROR(
            VLOOKUP($A28, INDIRECT("AgoR!$A$6:$ZZ$1048576"), MATCH(M$1, AgoR!$6:$6, 0), FALSE),
            0
        ) +
        IFERROR(
            VLOOKUP($A28, INDIRECT("SepR!$A$6:$ZZ$1048576"), MATCH(M$1, SepR!$6:$6, 0), FALSE),
            0
        ) +
        IFERROR(
            VLOOKUP($A28, INDIRECT("OctR!$A$6:$ZZ$1048576"), MATCH(M$1, OctR!$6:$6, 0), FALSE),
            0
        ) +
        IFERROR(
            VLOOKUP($A28, INDIRECT("NovR!$A$6:$ZZ$1048576"), MATCH(M$1, NovR!$6:$6, 0), FALSE),
            0
        ) +
        IFERROR(
            VLOOKUP($A28, INDIRECT("DicR!$A$6:$ZZ$1048576"), MATCH(M$1, DicR!$6:$6, 0), FALSE),
            0
        )
)</f>
        <v>0</v>
      </c>
      <c r="N28" s="32">
        <f t="array" ref="N28">SUM(
    IFERROR(
            VLOOKUP($A28, INDIRECT("EneR!$A$6:$ZZ$1048576"), MATCH(N$1, EneR!$6:$6, 0), FALSE),
            0
        ) +
        IFERROR(
            VLOOKUP($A28, INDIRECT("FebR!$A$6:$ZZ$1048576"), MATCH(N$1, FebR!$6:$6, 0), FALSE),
            0
        ) +
        IFERROR(
            VLOOKUP($A28, INDIRECT("MarR!$A$6:$ZZ$1048576"), MATCH(N$1, MarR!$6:$6, 0), FALSE),
            0
        ) +
        IFERROR(
            VLOOKUP($A28, INDIRECT("AbrR!$A$6:$ZZ$1048576"), MATCH(N$1, AbrR!$6:$6, 0), FALSE),
            0
        ) +
        IFERROR(
            VLOOKUP($A28, INDIRECT("MayR!$A$6:$ZZ$1048576"), MATCH(N$1, MayR!$6:$6, 0), FALSE),
            0
        ) +
        IFERROR(
            VLOOKUP($A28, INDIRECT("JunR!$A$6:$ZZ$1048576"), MATCH(N$1, JunR!$6:$6, 0), FALSE),
            0
        ) +
        IFERROR(
            VLOOKUP($A28, INDIRECT("JulR!$A$6:$ZZ$1048576"), MATCH(N$1, JulR!$6:$6, 0), FALSE),
            0
        ) +
        IFERROR(
            VLOOKUP($A28, INDIRECT("AgoR!$A$6:$ZZ$1048576"), MATCH(N$1, AgoR!$6:$6, 0), FALSE),
            0
        ) +
        IFERROR(
            VLOOKUP($A28, INDIRECT("SepR!$A$6:$ZZ$1048576"), MATCH(N$1, SepR!$6:$6, 0), FALSE),
            0
        ) +
        IFERROR(
            VLOOKUP($A28, INDIRECT("OctR!$A$6:$ZZ$1048576"), MATCH(N$1, OctR!$6:$6, 0), FALSE),
            0
        ) +
        IFERROR(
            VLOOKUP($A28, INDIRECT("NovR!$A$6:$ZZ$1048576"), MATCH(N$1, NovR!$6:$6, 0), FALSE),
            0
        ) +
        IFERROR(
            VLOOKUP($A28, INDIRECT("DicR!$A$6:$ZZ$1048576"), MATCH(N$1, DicR!$6:$6, 0), FALSE),
            0
        )
)</f>
        <v>0</v>
      </c>
      <c r="O28" s="35">
        <f t="array" ref="O28">SUM(
    IFERROR(
            VLOOKUP($A28, INDIRECT("EneR!$A$6:$ZZ$1048576"), MATCH(O$1, EneR!$6:$6, 0), FALSE),
            0
        ) +
        IFERROR(
            VLOOKUP($A28, INDIRECT("FebR!$A$6:$ZZ$1048576"), MATCH(O$1, FebR!$6:$6, 0), FALSE),
            0
        ) +
        IFERROR(
            VLOOKUP($A28, INDIRECT("MarR!$A$6:$ZZ$1048576"), MATCH(O$1, MarR!$6:$6, 0), FALSE),
            0
        ) +
        IFERROR(
            VLOOKUP($A28, INDIRECT("AbrR!$A$6:$ZZ$1048576"), MATCH(O$1, AbrR!$6:$6, 0), FALSE),
            0
        ) +
        IFERROR(
            VLOOKUP($A28, INDIRECT("MayR!$A$6:$ZZ$1048576"), MATCH(O$1, MayR!$6:$6, 0), FALSE),
            0
        ) +
        IFERROR(
            VLOOKUP($A28, INDIRECT("JunR!$A$6:$ZZ$1048576"), MATCH(O$1, JunR!$6:$6, 0), FALSE),
            0
        ) +
        IFERROR(
            VLOOKUP($A28, INDIRECT("JulR!$A$6:$ZZ$1048576"), MATCH(O$1, JulR!$6:$6, 0), FALSE),
            0
        ) +
        IFERROR(
            VLOOKUP($A28, INDIRECT("AgoR!$A$6:$ZZ$1048576"), MATCH(O$1, AgoR!$6:$6, 0), FALSE),
            0
        ) +
        IFERROR(
            VLOOKUP($A28, INDIRECT("SepR!$A$6:$ZZ$1048576"), MATCH(O$1, SepR!$6:$6, 0), FALSE),
            0
        ) +
        IFERROR(
            VLOOKUP($A28, INDIRECT("OctR!$A$6:$ZZ$1048576"), MATCH(O$1, OctR!$6:$6, 0), FALSE),
            0
        ) +
        IFERROR(
            VLOOKUP($A28, INDIRECT("NovR!$A$6:$ZZ$1048576"), MATCH(O$1, NovR!$6:$6, 0), FALSE),
            0
        ) +
        IFERROR(
            VLOOKUP($A28, INDIRECT("DicR!$A$6:$ZZ$1048576"), MATCH(O$1, DicR!$6:$6, 0), FALSE),
            0
        )
)</f>
        <v>0</v>
      </c>
      <c r="P28" s="32">
        <f t="array" ref="P28">SUM(
    IFERROR(
            VLOOKUP($A28, INDIRECT("EneR!$A$6:$ZZ$1048576"), MATCH(P$1, EneR!$6:$6, 0), FALSE),
            0
        ) +
        IFERROR(
            VLOOKUP($A28, INDIRECT("FebR!$A$6:$ZZ$1048576"), MATCH(P$1, FebR!$6:$6, 0), FALSE),
            0
        ) +
        IFERROR(
            VLOOKUP($A28, INDIRECT("MarR!$A$6:$ZZ$1048576"), MATCH(P$1, MarR!$6:$6, 0), FALSE),
            0
        ) +
        IFERROR(
            VLOOKUP($A28, INDIRECT("AbrR!$A$6:$ZZ$1048576"), MATCH(P$1, AbrR!$6:$6, 0), FALSE),
            0
        ) +
        IFERROR(
            VLOOKUP($A28, INDIRECT("MayR!$A$6:$ZZ$1048576"), MATCH(P$1, MayR!$6:$6, 0), FALSE),
            0
        ) +
        IFERROR(
            VLOOKUP($A28, INDIRECT("JunR!$A$6:$ZZ$1048576"), MATCH(P$1, JunR!$6:$6, 0), FALSE),
            0
        ) +
        IFERROR(
            VLOOKUP($A28, INDIRECT("JulR!$A$6:$ZZ$1048576"), MATCH(P$1, JulR!$6:$6, 0), FALSE),
            0
        ) +
        IFERROR(
            VLOOKUP($A28, INDIRECT("AgoR!$A$6:$ZZ$1048576"), MATCH(P$1, AgoR!$6:$6, 0), FALSE),
            0
        ) +
        IFERROR(
            VLOOKUP($A28, INDIRECT("SepR!$A$6:$ZZ$1048576"), MATCH(P$1, SepR!$6:$6, 0), FALSE),
            0
        ) +
        IFERROR(
            VLOOKUP($A28, INDIRECT("OctR!$A$6:$ZZ$1048576"), MATCH(P$1, OctR!$6:$6, 0), FALSE),
            0
        ) +
        IFERROR(
            VLOOKUP($A28, INDIRECT("NovR!$A$6:$ZZ$1048576"), MATCH(P$1, NovR!$6:$6, 0), FALSE),
            0
        ) +
        IFERROR(
            VLOOKUP($A28, INDIRECT("DicR!$A$6:$ZZ$1048576"), MATCH(P$1, DicR!$6:$6, 0), FALSE),
            0
        )
)</f>
        <v>0</v>
      </c>
      <c r="Q28" s="35">
        <f t="array" ref="Q28">SUM(
    IFERROR(
            VLOOKUP($A28, INDIRECT("EneR!$A$6:$ZZ$1048576"), MATCH(Q$1, EneR!$6:$6, 0), FALSE),
            0
        ) +
        IFERROR(
            VLOOKUP($A28, INDIRECT("FebR!$A$6:$ZZ$1048576"), MATCH(Q$1, FebR!$6:$6, 0), FALSE),
            0
        ) +
        IFERROR(
            VLOOKUP($A28, INDIRECT("MarR!$A$6:$ZZ$1048576"), MATCH(Q$1, MarR!$6:$6, 0), FALSE),
            0
        ) +
        IFERROR(
            VLOOKUP($A28, INDIRECT("AbrR!$A$6:$ZZ$1048576"), MATCH(Q$1, AbrR!$6:$6, 0), FALSE),
            0
        ) +
        IFERROR(
            VLOOKUP($A28, INDIRECT("MayR!$A$6:$ZZ$1048576"), MATCH(Q$1, MayR!$6:$6, 0), FALSE),
            0
        ) +
        IFERROR(
            VLOOKUP($A28, INDIRECT("JunR!$A$6:$ZZ$1048576"), MATCH(Q$1, JunR!$6:$6, 0), FALSE),
            0
        ) +
        IFERROR(
            VLOOKUP($A28, INDIRECT("JulR!$A$6:$ZZ$1048576"), MATCH(Q$1, JulR!$6:$6, 0), FALSE),
            0
        ) +
        IFERROR(
            VLOOKUP($A28, INDIRECT("AgoR!$A$6:$ZZ$1048576"), MATCH(Q$1, AgoR!$6:$6, 0), FALSE),
            0
        ) +
        IFERROR(
            VLOOKUP($A28, INDIRECT("SepR!$A$6:$ZZ$1048576"), MATCH(Q$1, SepR!$6:$6, 0), FALSE),
            0
        ) +
        IFERROR(
            VLOOKUP($A28, INDIRECT("OctR!$A$6:$ZZ$1048576"), MATCH(Q$1, OctR!$6:$6, 0), FALSE),
            0
        ) +
        IFERROR(
            VLOOKUP($A28, INDIRECT("NovR!$A$6:$ZZ$1048576"), MATCH(Q$1, NovR!$6:$6, 0), FALSE),
            0
        ) +
        IFERROR(
            VLOOKUP($A28, INDIRECT("DicR!$A$6:$ZZ$1048576"), MATCH(Q$1, DicR!$6:$6, 0), FALSE),
            0
        )
)</f>
        <v>0</v>
      </c>
      <c r="R28" s="36">
        <f t="array" ref="R28">SUM(
    IFERROR(
            VLOOKUP($A28, INDIRECT("EneR!$A$6:$ZZ$1048576"), MATCH(R$1, EneR!$6:$6, 0), FALSE),
            0
        ) +
        IFERROR(
            VLOOKUP($A28, INDIRECT("FebR!$A$6:$ZZ$1048576"), MATCH(R$1, FebR!$6:$6, 0), FALSE),
            0
        ) +
        IFERROR(
            VLOOKUP($A28, INDIRECT("MarR!$A$6:$ZZ$1048576"), MATCH(R$1, MarR!$6:$6, 0), FALSE),
            0
        ) +
        IFERROR(
            VLOOKUP($A28, INDIRECT("AbrR!$A$6:$ZZ$1048576"), MATCH(R$1, AbrR!$6:$6, 0), FALSE),
            0
        ) +
        IFERROR(
            VLOOKUP($A28, INDIRECT("MayR!$A$6:$ZZ$1048576"), MATCH(R$1, MayR!$6:$6, 0), FALSE),
            0
        ) +
        IFERROR(
            VLOOKUP($A28, INDIRECT("JunR!$A$6:$ZZ$1048576"), MATCH(R$1, JunR!$6:$6, 0), FALSE),
            0
        ) +
        IFERROR(
            VLOOKUP($A28, INDIRECT("JulR!$A$6:$ZZ$1048576"), MATCH(R$1, JulR!$6:$6, 0), FALSE),
            0
        ) +
        IFERROR(
            VLOOKUP($A28, INDIRECT("AgoR!$A$6:$ZZ$1048576"), MATCH(R$1, AgoR!$6:$6, 0), FALSE),
            0
        ) +
        IFERROR(
            VLOOKUP($A28, INDIRECT("SepR!$A$6:$ZZ$1048576"), MATCH(R$1, SepR!$6:$6, 0), FALSE),
            0
        ) +
        IFERROR(
            VLOOKUP($A28, INDIRECT("OctR!$A$6:$ZZ$1048576"), MATCH(R$1, OctR!$6:$6, 0), FALSE),
            0
        ) +
        IFERROR(
            VLOOKUP($A28, INDIRECT("NovR!$A$6:$ZZ$1048576"), MATCH(R$1, NovR!$6:$6, 0), FALSE),
            0
        ) +
        IFERROR(
            VLOOKUP($A28, INDIRECT("DicR!$A$6:$ZZ$1048576"), MATCH(R$1, DicR!$6:$6, 0), FALSE),
            0
        )
)</f>
        <v>0</v>
      </c>
      <c r="S28" s="37">
        <f t="array" ref="S28">SUM(
    IFERROR(
            VLOOKUP($A28, INDIRECT("EneR!$A$6:$ZZ$1048576"), MATCH(S$1, EneR!$6:$6, 0), FALSE),
            0
        ) +
        IFERROR(
            VLOOKUP($A28, INDIRECT("FebR!$A$6:$ZZ$1048576"), MATCH(S$1, FebR!$6:$6, 0), FALSE),
            0
        ) +
        IFERROR(
            VLOOKUP($A28, INDIRECT("MarR!$A$6:$ZZ$1048576"), MATCH(S$1, MarR!$6:$6, 0), FALSE),
            0
        ) +
        IFERROR(
            VLOOKUP($A28, INDIRECT("AbrR!$A$6:$ZZ$1048576"), MATCH(S$1, AbrR!$6:$6, 0), FALSE),
            0
        ) +
        IFERROR(
            VLOOKUP($A28, INDIRECT("MayR!$A$6:$ZZ$1048576"), MATCH(S$1, MayR!$6:$6, 0), FALSE),
            0
        ) +
        IFERROR(
            VLOOKUP($A28, INDIRECT("JunR!$A$6:$ZZ$1048576"), MATCH(S$1, JunR!$6:$6, 0), FALSE),
            0
        ) +
        IFERROR(
            VLOOKUP($A28, INDIRECT("JulR!$A$6:$ZZ$1048576"), MATCH(S$1, JulR!$6:$6, 0), FALSE),
            0
        ) +
        IFERROR(
            VLOOKUP($A28, INDIRECT("AgoR!$A$6:$ZZ$1048576"), MATCH(S$1, AgoR!$6:$6, 0), FALSE),
            0
        ) +
        IFERROR(
            VLOOKUP($A28, INDIRECT("SepR!$A$6:$ZZ$1048576"), MATCH(S$1, SepR!$6:$6, 0), FALSE),
            0
        ) +
        IFERROR(
            VLOOKUP($A28, INDIRECT("OctR!$A$6:$ZZ$1048576"), MATCH(S$1, OctR!$6:$6, 0), FALSE),
            0
        ) +
        IFERROR(
            VLOOKUP($A28, INDIRECT("NovR!$A$6:$ZZ$1048576"), MATCH(S$1, NovR!$6:$6, 0), FALSE),
            0
        ) +
        IFERROR(
            VLOOKUP($A28, INDIRECT("DicR!$A$6:$ZZ$1048576"), MATCH(S$1, DicR!$6:$6, 0), FALSE),
            0
        )
)</f>
        <v>0</v>
      </c>
      <c r="T28" s="36">
        <f t="array" ref="T28">SUM(
    IFERROR(
            VLOOKUP($A28, INDIRECT("EneR!$A$6:$ZZ$1048576"), MATCH(T$1, EneR!$6:$6, 0), FALSE),
            0
        ) +
        IFERROR(
            VLOOKUP($A28, INDIRECT("FebR!$A$6:$ZZ$1048576"), MATCH(T$1, FebR!$6:$6, 0), FALSE),
            0
        ) +
        IFERROR(
            VLOOKUP($A28, INDIRECT("MarR!$A$6:$ZZ$1048576"), MATCH(T$1, MarR!$6:$6, 0), FALSE),
            0
        ) +
        IFERROR(
            VLOOKUP($A28, INDIRECT("AbrR!$A$6:$ZZ$1048576"), MATCH(T$1, AbrR!$6:$6, 0), FALSE),
            0
        ) +
        IFERROR(
            VLOOKUP($A28, INDIRECT("MayR!$A$6:$ZZ$1048576"), MATCH(T$1, MayR!$6:$6, 0), FALSE),
            0
        ) +
        IFERROR(
            VLOOKUP($A28, INDIRECT("JunR!$A$6:$ZZ$1048576"), MATCH(T$1, JunR!$6:$6, 0), FALSE),
            0
        ) +
        IFERROR(
            VLOOKUP($A28, INDIRECT("JulR!$A$6:$ZZ$1048576"), MATCH(T$1, JulR!$6:$6, 0), FALSE),
            0
        ) +
        IFERROR(
            VLOOKUP($A28, INDIRECT("AgoR!$A$6:$ZZ$1048576"), MATCH(T$1, AgoR!$6:$6, 0), FALSE),
            0
        ) +
        IFERROR(
            VLOOKUP($A28, INDIRECT("SepR!$A$6:$ZZ$1048576"), MATCH(T$1, SepR!$6:$6, 0), FALSE),
            0
        ) +
        IFERROR(
            VLOOKUP($A28, INDIRECT("OctR!$A$6:$ZZ$1048576"), MATCH(T$1, OctR!$6:$6, 0), FALSE),
            0
        ) +
        IFERROR(
            VLOOKUP($A28, INDIRECT("NovR!$A$6:$ZZ$1048576"), MATCH(T$1, NovR!$6:$6, 0), FALSE),
            0
        ) +
        IFERROR(
            VLOOKUP($A28, INDIRECT("DicR!$A$6:$ZZ$1048576"), MATCH(T$1, DicR!$6:$6, 0), FALSE),
            0
        )
)</f>
        <v>0</v>
      </c>
      <c r="U28" s="37">
        <f t="array" ref="U28">SUM(
    IFERROR(
            VLOOKUP($A28, INDIRECT("EneR!$A$6:$ZZ$1048576"), MATCH(U$1, EneR!$6:$6, 0), FALSE),
            0
        ) +
        IFERROR(
            VLOOKUP($A28, INDIRECT("FebR!$A$6:$ZZ$1048576"), MATCH(U$1, FebR!$6:$6, 0), FALSE),
            0
        ) +
        IFERROR(
            VLOOKUP($A28, INDIRECT("MarR!$A$6:$ZZ$1048576"), MATCH(U$1, MarR!$6:$6, 0), FALSE),
            0
        ) +
        IFERROR(
            VLOOKUP($A28, INDIRECT("AbrR!$A$6:$ZZ$1048576"), MATCH(U$1, AbrR!$6:$6, 0), FALSE),
            0
        ) +
        IFERROR(
            VLOOKUP($A28, INDIRECT("MayR!$A$6:$ZZ$1048576"), MATCH(U$1, MayR!$6:$6, 0), FALSE),
            0
        ) +
        IFERROR(
            VLOOKUP($A28, INDIRECT("JunR!$A$6:$ZZ$1048576"), MATCH(U$1, JunR!$6:$6, 0), FALSE),
            0
        ) +
        IFERROR(
            VLOOKUP($A28, INDIRECT("JulR!$A$6:$ZZ$1048576"), MATCH(U$1, JulR!$6:$6, 0), FALSE),
            0
        ) +
        IFERROR(
            VLOOKUP($A28, INDIRECT("AgoR!$A$6:$ZZ$1048576"), MATCH(U$1, AgoR!$6:$6, 0), FALSE),
            0
        ) +
        IFERROR(
            VLOOKUP($A28, INDIRECT("SepR!$A$6:$ZZ$1048576"), MATCH(U$1, SepR!$6:$6, 0), FALSE),
            0
        ) +
        IFERROR(
            VLOOKUP($A28, INDIRECT("OctR!$A$6:$ZZ$1048576"), MATCH(U$1, OctR!$6:$6, 0), FALSE),
            0
        ) +
        IFERROR(
            VLOOKUP($A28, INDIRECT("NovR!$A$6:$ZZ$1048576"), MATCH(U$1, NovR!$6:$6, 0), FALSE),
            0
        ) +
        IFERROR(
            VLOOKUP($A28, INDIRECT("DicR!$A$6:$ZZ$1048576"), MATCH(U$1, DicR!$6:$6, 0), FALSE),
            0
        )
)</f>
        <v>0</v>
      </c>
      <c r="V28" s="36">
        <f t="array" ref="V28">SUM(
    IFERROR(
            VLOOKUP($A28, INDIRECT("EneR!$A$6:$ZZ$1048576"), MATCH(V$1, EneR!$6:$6, 0), FALSE),
            0
        ) +
        IFERROR(
            VLOOKUP($A28, INDIRECT("FebR!$A$6:$ZZ$1048576"), MATCH(V$1, FebR!$6:$6, 0), FALSE),
            0
        ) +
        IFERROR(
            VLOOKUP($A28, INDIRECT("MarR!$A$6:$ZZ$1048576"), MATCH(V$1, MarR!$6:$6, 0), FALSE),
            0
        ) +
        IFERROR(
            VLOOKUP($A28, INDIRECT("AbrR!$A$6:$ZZ$1048576"), MATCH(V$1, AbrR!$6:$6, 0), FALSE),
            0
        ) +
        IFERROR(
            VLOOKUP($A28, INDIRECT("MayR!$A$6:$ZZ$1048576"), MATCH(V$1, MayR!$6:$6, 0), FALSE),
            0
        ) +
        IFERROR(
            VLOOKUP($A28, INDIRECT("JunR!$A$6:$ZZ$1048576"), MATCH(V$1, JunR!$6:$6, 0), FALSE),
            0
        ) +
        IFERROR(
            VLOOKUP($A28, INDIRECT("JulR!$A$6:$ZZ$1048576"), MATCH(V$1, JulR!$6:$6, 0), FALSE),
            0
        ) +
        IFERROR(
            VLOOKUP($A28, INDIRECT("AgoR!$A$6:$ZZ$1048576"), MATCH(V$1, AgoR!$6:$6, 0), FALSE),
            0
        ) +
        IFERROR(
            VLOOKUP($A28, INDIRECT("SepR!$A$6:$ZZ$1048576"), MATCH(V$1, SepR!$6:$6, 0), FALSE),
            0
        ) +
        IFERROR(
            VLOOKUP($A28, INDIRECT("OctR!$A$6:$ZZ$1048576"), MATCH(V$1, OctR!$6:$6, 0), FALSE),
            0
        ) +
        IFERROR(
            VLOOKUP($A28, INDIRECT("NovR!$A$6:$ZZ$1048576"), MATCH(V$1, NovR!$6:$6, 0), FALSE),
            0
        ) +
        IFERROR(
            VLOOKUP($A28, INDIRECT("DicR!$A$6:$ZZ$1048576"), MATCH(V$1, DicR!$6:$6, 0), FALSE),
            0
        )
)</f>
        <v>0</v>
      </c>
      <c r="W28" s="37">
        <f t="array" ref="W28">SUM(
    IFERROR(
            VLOOKUP($A28, INDIRECT("EneR!$A$6:$ZZ$1048576"), MATCH(W$1, EneR!$6:$6, 0), FALSE),
            0
        ) +
        IFERROR(
            VLOOKUP($A28, INDIRECT("FebR!$A$6:$ZZ$1048576"), MATCH(W$1, FebR!$6:$6, 0), FALSE),
            0
        ) +
        IFERROR(
            VLOOKUP($A28, INDIRECT("MarR!$A$6:$ZZ$1048576"), MATCH(W$1, MarR!$6:$6, 0), FALSE),
            0
        ) +
        IFERROR(
            VLOOKUP($A28, INDIRECT("AbrR!$A$6:$ZZ$1048576"), MATCH(W$1, AbrR!$6:$6, 0), FALSE),
            0
        ) +
        IFERROR(
            VLOOKUP($A28, INDIRECT("MayR!$A$6:$ZZ$1048576"), MATCH(W$1, MayR!$6:$6, 0), FALSE),
            0
        ) +
        IFERROR(
            VLOOKUP($A28, INDIRECT("JunR!$A$6:$ZZ$1048576"), MATCH(W$1, JunR!$6:$6, 0), FALSE),
            0
        ) +
        IFERROR(
            VLOOKUP($A28, INDIRECT("JulR!$A$6:$ZZ$1048576"), MATCH(W$1, JulR!$6:$6, 0), FALSE),
            0
        ) +
        IFERROR(
            VLOOKUP($A28, INDIRECT("AgoR!$A$6:$ZZ$1048576"), MATCH(W$1, AgoR!$6:$6, 0), FALSE),
            0
        ) +
        IFERROR(
            VLOOKUP($A28, INDIRECT("SepR!$A$6:$ZZ$1048576"), MATCH(W$1, SepR!$6:$6, 0), FALSE),
            0
        ) +
        IFERROR(
            VLOOKUP($A28, INDIRECT("OctR!$A$6:$ZZ$1048576"), MATCH(W$1, OctR!$6:$6, 0), FALSE),
            0
        ) +
        IFERROR(
            VLOOKUP($A28, INDIRECT("NovR!$A$6:$ZZ$1048576"), MATCH(W$1, NovR!$6:$6, 0), FALSE),
            0
        ) +
        IFERROR(
            VLOOKUP($A28, INDIRECT("DicR!$A$6:$ZZ$1048576"), MATCH(W$1, DicR!$6:$6, 0), FALSE),
            0
        )
)</f>
        <v>0</v>
      </c>
      <c r="X28" s="36">
        <f t="array" ref="X28">SUM(
    IFERROR(
            VLOOKUP($A28, INDIRECT("EneR!$A$6:$ZZ$1048576"), MATCH(X$1, EneR!$6:$6, 0), FALSE),
            0
        ) +
        IFERROR(
            VLOOKUP($A28, INDIRECT("FebR!$A$6:$ZZ$1048576"), MATCH(X$1, FebR!$6:$6, 0), FALSE),
            0
        ) +
        IFERROR(
            VLOOKUP($A28, INDIRECT("MarR!$A$6:$ZZ$1048576"), MATCH(X$1, MarR!$6:$6, 0), FALSE),
            0
        ) +
        IFERROR(
            VLOOKUP($A28, INDIRECT("AbrR!$A$6:$ZZ$1048576"), MATCH(X$1, AbrR!$6:$6, 0), FALSE),
            0
        ) +
        IFERROR(
            VLOOKUP($A28, INDIRECT("MayR!$A$6:$ZZ$1048576"), MATCH(X$1, MayR!$6:$6, 0), FALSE),
            0
        ) +
        IFERROR(
            VLOOKUP($A28, INDIRECT("JunR!$A$6:$ZZ$1048576"), MATCH(X$1, JunR!$6:$6, 0), FALSE),
            0
        ) +
        IFERROR(
            VLOOKUP($A28, INDIRECT("JulR!$A$6:$ZZ$1048576"), MATCH(X$1, JulR!$6:$6, 0), FALSE),
            0
        ) +
        IFERROR(
            VLOOKUP($A28, INDIRECT("AgoR!$A$6:$ZZ$1048576"), MATCH(X$1, AgoR!$6:$6, 0), FALSE),
            0
        ) +
        IFERROR(
            VLOOKUP($A28, INDIRECT("SepR!$A$6:$ZZ$1048576"), MATCH(X$1, SepR!$6:$6, 0), FALSE),
            0
        ) +
        IFERROR(
            VLOOKUP($A28, INDIRECT("OctR!$A$6:$ZZ$1048576"), MATCH(X$1, OctR!$6:$6, 0), FALSE),
            0
        ) +
        IFERROR(
            VLOOKUP($A28, INDIRECT("NovR!$A$6:$ZZ$1048576"), MATCH(X$1, NovR!$6:$6, 0), FALSE),
            0
        ) +
        IFERROR(
            VLOOKUP($A28, INDIRECT("DicR!$A$6:$ZZ$1048576"), MATCH(X$1, DicR!$6:$6, 0), FALSE),
            0
        )
)</f>
        <v>0</v>
      </c>
      <c r="Y28" s="37">
        <f t="array" ref="Y28">SUM(
    IFERROR(
            VLOOKUP($A28, INDIRECT("EneR!$A$6:$ZZ$1048576"), MATCH(Y$1, EneR!$6:$6, 0), FALSE),
            0
        ) +
        IFERROR(
            VLOOKUP($A28, INDIRECT("FebR!$A$6:$ZZ$1048576"), MATCH(Y$1, FebR!$6:$6, 0), FALSE),
            0
        ) +
        IFERROR(
            VLOOKUP($A28, INDIRECT("MarR!$A$6:$ZZ$1048576"), MATCH(Y$1, MarR!$6:$6, 0), FALSE),
            0
        ) +
        IFERROR(
            VLOOKUP($A28, INDIRECT("AbrR!$A$6:$ZZ$1048576"), MATCH(Y$1, AbrR!$6:$6, 0), FALSE),
            0
        ) +
        IFERROR(
            VLOOKUP($A28, INDIRECT("MayR!$A$6:$ZZ$1048576"), MATCH(Y$1, MayR!$6:$6, 0), FALSE),
            0
        ) +
        IFERROR(
            VLOOKUP($A28, INDIRECT("JunR!$A$6:$ZZ$1048576"), MATCH(Y$1, JunR!$6:$6, 0), FALSE),
            0
        ) +
        IFERROR(
            VLOOKUP($A28, INDIRECT("JulR!$A$6:$ZZ$1048576"), MATCH(Y$1, JulR!$6:$6, 0), FALSE),
            0
        ) +
        IFERROR(
            VLOOKUP($A28, INDIRECT("AgoR!$A$6:$ZZ$1048576"), MATCH(Y$1, AgoR!$6:$6, 0), FALSE),
            0
        ) +
        IFERROR(
            VLOOKUP($A28, INDIRECT("SepR!$A$6:$ZZ$1048576"), MATCH(Y$1, SepR!$6:$6, 0), FALSE),
            0
        ) +
        IFERROR(
            VLOOKUP($A28, INDIRECT("OctR!$A$6:$ZZ$1048576"), MATCH(Y$1, OctR!$6:$6, 0), FALSE),
            0
        ) +
        IFERROR(
            VLOOKUP($A28, INDIRECT("NovR!$A$6:$ZZ$1048576"), MATCH(Y$1, NovR!$6:$6, 0), FALSE),
            0
        ) +
        IFERROR(
            VLOOKUP($A28, INDIRECT("DicR!$A$6:$ZZ$1048576"), MATCH(Y$1, DicR!$6:$6, 0), FALSE),
            0
        )
)</f>
        <v>0</v>
      </c>
      <c r="Z28" s="36">
        <f t="array" ref="Z28">SUM(
    IFERROR(
            VLOOKUP($A28, INDIRECT("EneR!$A$6:$ZZ$1048576"), MATCH(Z$1, EneR!$6:$6, 0), FALSE),
            0
        ) +
        IFERROR(
            VLOOKUP($A28, INDIRECT("FebR!$A$6:$ZZ$1048576"), MATCH(Z$1, FebR!$6:$6, 0), FALSE),
            0
        ) +
        IFERROR(
            VLOOKUP($A28, INDIRECT("MarR!$A$6:$ZZ$1048576"), MATCH(Z$1, MarR!$6:$6, 0), FALSE),
            0
        ) +
        IFERROR(
            VLOOKUP($A28, INDIRECT("AbrR!$A$6:$ZZ$1048576"), MATCH(Z$1, AbrR!$6:$6, 0), FALSE),
            0
        ) +
        IFERROR(
            VLOOKUP($A28, INDIRECT("MayR!$A$6:$ZZ$1048576"), MATCH(Z$1, MayR!$6:$6, 0), FALSE),
            0
        ) +
        IFERROR(
            VLOOKUP($A28, INDIRECT("JunR!$A$6:$ZZ$1048576"), MATCH(Z$1, JunR!$6:$6, 0), FALSE),
            0
        ) +
        IFERROR(
            VLOOKUP($A28, INDIRECT("JulR!$A$6:$ZZ$1048576"), MATCH(Z$1, JulR!$6:$6, 0), FALSE),
            0
        ) +
        IFERROR(
            VLOOKUP($A28, INDIRECT("AgoR!$A$6:$ZZ$1048576"), MATCH(Z$1, AgoR!$6:$6, 0), FALSE),
            0
        ) +
        IFERROR(
            VLOOKUP($A28, INDIRECT("SepR!$A$6:$ZZ$1048576"), MATCH(Z$1, SepR!$6:$6, 0), FALSE),
            0
        ) +
        IFERROR(
            VLOOKUP($A28, INDIRECT("OctR!$A$6:$ZZ$1048576"), MATCH(Z$1, OctR!$6:$6, 0), FALSE),
            0
        ) +
        IFERROR(
            VLOOKUP($A28, INDIRECT("NovR!$A$6:$ZZ$1048576"), MATCH(Z$1, NovR!$6:$6, 0), FALSE),
            0
        ) +
        IFERROR(
            VLOOKUP($A28, INDIRECT("DicR!$A$6:$ZZ$1048576"), MATCH(Z$1, DicR!$6:$6, 0), FALSE),
            0
        )
)</f>
        <v>0</v>
      </c>
      <c r="AA28" s="37">
        <f t="array" ref="AA28">SUM(
    IFERROR(
            VLOOKUP($A28, INDIRECT("EneR!$A$6:$ZZ$1048576"), MATCH(AA$1, EneR!$6:$6, 0), FALSE),
            0
        ) +
        IFERROR(
            VLOOKUP($A28, INDIRECT("FebR!$A$6:$ZZ$1048576"), MATCH(AA$1, FebR!$6:$6, 0), FALSE),
            0
        ) +
        IFERROR(
            VLOOKUP($A28, INDIRECT("MarR!$A$6:$ZZ$1048576"), MATCH(AA$1, MarR!$6:$6, 0), FALSE),
            0
        ) +
        IFERROR(
            VLOOKUP($A28, INDIRECT("AbrR!$A$6:$ZZ$1048576"), MATCH(AA$1, AbrR!$6:$6, 0), FALSE),
            0
        ) +
        IFERROR(
            VLOOKUP($A28, INDIRECT("MayR!$A$6:$ZZ$1048576"), MATCH(AA$1, MayR!$6:$6, 0), FALSE),
            0
        ) +
        IFERROR(
            VLOOKUP($A28, INDIRECT("JunR!$A$6:$ZZ$1048576"), MATCH(AA$1, JunR!$6:$6, 0), FALSE),
            0
        ) +
        IFERROR(
            VLOOKUP($A28, INDIRECT("JulR!$A$6:$ZZ$1048576"), MATCH(AA$1, JulR!$6:$6, 0), FALSE),
            0
        ) +
        IFERROR(
            VLOOKUP($A28, INDIRECT("AgoR!$A$6:$ZZ$1048576"), MATCH(AA$1, AgoR!$6:$6, 0), FALSE),
            0
        ) +
        IFERROR(
            VLOOKUP($A28, INDIRECT("SepR!$A$6:$ZZ$1048576"), MATCH(AA$1, SepR!$6:$6, 0), FALSE),
            0
        ) +
        IFERROR(
            VLOOKUP($A28, INDIRECT("OctR!$A$6:$ZZ$1048576"), MATCH(AA$1, OctR!$6:$6, 0), FALSE),
            0
        ) +
        IFERROR(
            VLOOKUP($A28, INDIRECT("NovR!$A$6:$ZZ$1048576"), MATCH(AA$1, NovR!$6:$6, 0), FALSE),
            0
        ) +
        IFERROR(
            VLOOKUP($A28, INDIRECT("DicR!$A$6:$ZZ$1048576"), MATCH(AA$1, DicR!$6:$6, 0), FALSE),
            0
        )
)</f>
        <v>0</v>
      </c>
      <c r="AB28" s="36">
        <f t="array" ref="AB28">SUM(
    IFERROR(
            VLOOKUP($A28, INDIRECT("EneR!$A$6:$ZZ$1048576"), MATCH(AB$1, EneR!$6:$6, 0), FALSE),
            0
        ) +
        IFERROR(
            VLOOKUP($A28, INDIRECT("FebR!$A$6:$ZZ$1048576"), MATCH(AB$1, FebR!$6:$6, 0), FALSE),
            0
        ) +
        IFERROR(
            VLOOKUP($A28, INDIRECT("MarR!$A$6:$ZZ$1048576"), MATCH(AB$1, MarR!$6:$6, 0), FALSE),
            0
        ) +
        IFERROR(
            VLOOKUP($A28, INDIRECT("AbrR!$A$6:$ZZ$1048576"), MATCH(AB$1, AbrR!$6:$6, 0), FALSE),
            0
        ) +
        IFERROR(
            VLOOKUP($A28, INDIRECT("MayR!$A$6:$ZZ$1048576"), MATCH(AB$1, MayR!$6:$6, 0), FALSE),
            0
        ) +
        IFERROR(
            VLOOKUP($A28, INDIRECT("JunR!$A$6:$ZZ$1048576"), MATCH(AB$1, JunR!$6:$6, 0), FALSE),
            0
        ) +
        IFERROR(
            VLOOKUP($A28, INDIRECT("JulR!$A$6:$ZZ$1048576"), MATCH(AB$1, JulR!$6:$6, 0), FALSE),
            0
        ) +
        IFERROR(
            VLOOKUP($A28, INDIRECT("AgoR!$A$6:$ZZ$1048576"), MATCH(AB$1, AgoR!$6:$6, 0), FALSE),
            0
        ) +
        IFERROR(
            VLOOKUP($A28, INDIRECT("SepR!$A$6:$ZZ$1048576"), MATCH(AB$1, SepR!$6:$6, 0), FALSE),
            0
        ) +
        IFERROR(
            VLOOKUP($A28, INDIRECT("OctR!$A$6:$ZZ$1048576"), MATCH(AB$1, OctR!$6:$6, 0), FALSE),
            0
        ) +
        IFERROR(
            VLOOKUP($A28, INDIRECT("NovR!$A$6:$ZZ$1048576"), MATCH(AB$1, NovR!$6:$6, 0), FALSE),
            0
        ) +
        IFERROR(
            VLOOKUP($A28, INDIRECT("DicR!$A$6:$ZZ$1048576"), MATCH(AB$1, DicR!$6:$6, 0), FALSE),
            0
        )
)</f>
        <v>0</v>
      </c>
      <c r="AC28" s="37">
        <f t="array" ref="AC28">SUM(
    IFERROR(
            VLOOKUP($A28, INDIRECT("EneR!$A$6:$ZZ$1048576"), MATCH(AC$1, EneR!$6:$6, 0), FALSE),
            0
        ) +
        IFERROR(
            VLOOKUP($A28, INDIRECT("FebR!$A$6:$ZZ$1048576"), MATCH(AC$1, FebR!$6:$6, 0), FALSE),
            0
        ) +
        IFERROR(
            VLOOKUP($A28, INDIRECT("MarR!$A$6:$ZZ$1048576"), MATCH(AC$1, MarR!$6:$6, 0), FALSE),
            0
        ) +
        IFERROR(
            VLOOKUP($A28, INDIRECT("AbrR!$A$6:$ZZ$1048576"), MATCH(AC$1, AbrR!$6:$6, 0), FALSE),
            0
        ) +
        IFERROR(
            VLOOKUP($A28, INDIRECT("MayR!$A$6:$ZZ$1048576"), MATCH(AC$1, MayR!$6:$6, 0), FALSE),
            0
        ) +
        IFERROR(
            VLOOKUP($A28, INDIRECT("JunR!$A$6:$ZZ$1048576"), MATCH(AC$1, JunR!$6:$6, 0), FALSE),
            0
        ) +
        IFERROR(
            VLOOKUP($A28, INDIRECT("JulR!$A$6:$ZZ$1048576"), MATCH(AC$1, JulR!$6:$6, 0), FALSE),
            0
        ) +
        IFERROR(
            VLOOKUP($A28, INDIRECT("AgoR!$A$6:$ZZ$1048576"), MATCH(AC$1, AgoR!$6:$6, 0), FALSE),
            0
        ) +
        IFERROR(
            VLOOKUP($A28, INDIRECT("SepR!$A$6:$ZZ$1048576"), MATCH(AC$1, SepR!$6:$6, 0), FALSE),
            0
        ) +
        IFERROR(
            VLOOKUP($A28, INDIRECT("OctR!$A$6:$ZZ$1048576"), MATCH(AC$1, OctR!$6:$6, 0), FALSE),
            0
        ) +
        IFERROR(
            VLOOKUP($A28, INDIRECT("NovR!$A$6:$ZZ$1048576"), MATCH(AC$1, NovR!$6:$6, 0), FALSE),
            0
        ) +
        IFERROR(
            VLOOKUP($A28, INDIRECT("DicR!$A$6:$ZZ$1048576"), MATCH(AC$1, DicR!$6:$6, 0), FALSE),
            0
        )
)</f>
        <v>0</v>
      </c>
      <c r="AD28" s="36">
        <f t="array" ref="AD28">SUM(
    IFERROR(
            VLOOKUP($A28, INDIRECT("EneR!$A$6:$ZZ$1048576"), MATCH(AD$1, EneR!$6:$6, 0), FALSE),
            0
        ) +
        IFERROR(
            VLOOKUP($A28, INDIRECT("FebR!$A$6:$ZZ$1048576"), MATCH(AD$1, FebR!$6:$6, 0), FALSE),
            0
        ) +
        IFERROR(
            VLOOKUP($A28, INDIRECT("MarR!$A$6:$ZZ$1048576"), MATCH(AD$1, MarR!$6:$6, 0), FALSE),
            0
        ) +
        IFERROR(
            VLOOKUP($A28, INDIRECT("AbrR!$A$6:$ZZ$1048576"), MATCH(AD$1, AbrR!$6:$6, 0), FALSE),
            0
        ) +
        IFERROR(
            VLOOKUP($A28, INDIRECT("MayR!$A$6:$ZZ$1048576"), MATCH(AD$1, MayR!$6:$6, 0), FALSE),
            0
        ) +
        IFERROR(
            VLOOKUP($A28, INDIRECT("JunR!$A$6:$ZZ$1048576"), MATCH(AD$1, JunR!$6:$6, 0), FALSE),
            0
        ) +
        IFERROR(
            VLOOKUP($A28, INDIRECT("JulR!$A$6:$ZZ$1048576"), MATCH(AD$1, JulR!$6:$6, 0), FALSE),
            0
        ) +
        IFERROR(
            VLOOKUP($A28, INDIRECT("AgoR!$A$6:$ZZ$1048576"), MATCH(AD$1, AgoR!$6:$6, 0), FALSE),
            0
        ) +
        IFERROR(
            VLOOKUP($A28, INDIRECT("SepR!$A$6:$ZZ$1048576"), MATCH(AD$1, SepR!$6:$6, 0), FALSE),
            0
        ) +
        IFERROR(
            VLOOKUP($A28, INDIRECT("OctR!$A$6:$ZZ$1048576"), MATCH(AD$1, OctR!$6:$6, 0), FALSE),
            0
        ) +
        IFERROR(
            VLOOKUP($A28, INDIRECT("NovR!$A$6:$ZZ$1048576"), MATCH(AD$1, NovR!$6:$6, 0), FALSE),
            0
        ) +
        IFERROR(
            VLOOKUP($A28, INDIRECT("DicR!$A$6:$ZZ$1048576"), MATCH(AD$1, DicR!$6:$6, 0), FALSE),
            0
        )
)</f>
        <v>0</v>
      </c>
      <c r="AE28" s="37">
        <f t="array" ref="AE28">SUM(
    IFERROR(
            VLOOKUP($A28, INDIRECT("EneR!$A$6:$ZZ$1048576"), MATCH(AE$1, EneR!$6:$6, 0), FALSE),
            0
        ) +
        IFERROR(
            VLOOKUP($A28, INDIRECT("FebR!$A$6:$ZZ$1048576"), MATCH(AE$1, FebR!$6:$6, 0), FALSE),
            0
        ) +
        IFERROR(
            VLOOKUP($A28, INDIRECT("MarR!$A$6:$ZZ$1048576"), MATCH(AE$1, MarR!$6:$6, 0), FALSE),
            0
        ) +
        IFERROR(
            VLOOKUP($A28, INDIRECT("AbrR!$A$6:$ZZ$1048576"), MATCH(AE$1, AbrR!$6:$6, 0), FALSE),
            0
        ) +
        IFERROR(
            VLOOKUP($A28, INDIRECT("MayR!$A$6:$ZZ$1048576"), MATCH(AE$1, MayR!$6:$6, 0), FALSE),
            0
        ) +
        IFERROR(
            VLOOKUP($A28, INDIRECT("JunR!$A$6:$ZZ$1048576"), MATCH(AE$1, JunR!$6:$6, 0), FALSE),
            0
        ) +
        IFERROR(
            VLOOKUP($A28, INDIRECT("JulR!$A$6:$ZZ$1048576"), MATCH(AE$1, JulR!$6:$6, 0), FALSE),
            0
        ) +
        IFERROR(
            VLOOKUP($A28, INDIRECT("AgoR!$A$6:$ZZ$1048576"), MATCH(AE$1, AgoR!$6:$6, 0), FALSE),
            0
        ) +
        IFERROR(
            VLOOKUP($A28, INDIRECT("SepR!$A$6:$ZZ$1048576"), MATCH(AE$1, SepR!$6:$6, 0), FALSE),
            0
        ) +
        IFERROR(
            VLOOKUP($A28, INDIRECT("OctR!$A$6:$ZZ$1048576"), MATCH(AE$1, OctR!$6:$6, 0), FALSE),
            0
        ) +
        IFERROR(
            VLOOKUP($A28, INDIRECT("NovR!$A$6:$ZZ$1048576"), MATCH(AE$1, NovR!$6:$6, 0), FALSE),
            0
        ) +
        IFERROR(
            VLOOKUP($A28, INDIRECT("DicR!$A$6:$ZZ$1048576"), MATCH(AE$1, DicR!$6:$6, 0), FALSE),
            0
        )
)</f>
        <v>0</v>
      </c>
      <c r="AF28" s="36">
        <f t="array" ref="AF28">SUM(
    IFERROR(
            VLOOKUP($A28, INDIRECT("EneR!$A$6:$ZZ$1048576"), MATCH(AF$1, EneR!$6:$6, 0), FALSE),
            0
        ) +
        IFERROR(
            VLOOKUP($A28, INDIRECT("FebR!$A$6:$ZZ$1048576"), MATCH(AF$1, FebR!$6:$6, 0), FALSE),
            0
        ) +
        IFERROR(
            VLOOKUP($A28, INDIRECT("MarR!$A$6:$ZZ$1048576"), MATCH(AF$1, MarR!$6:$6, 0), FALSE),
            0
        ) +
        IFERROR(
            VLOOKUP($A28, INDIRECT("AbrR!$A$6:$ZZ$1048576"), MATCH(AF$1, AbrR!$6:$6, 0), FALSE),
            0
        ) +
        IFERROR(
            VLOOKUP($A28, INDIRECT("MayR!$A$6:$ZZ$1048576"), MATCH(AF$1, MayR!$6:$6, 0), FALSE),
            0
        ) +
        IFERROR(
            VLOOKUP($A28, INDIRECT("JunR!$A$6:$ZZ$1048576"), MATCH(AF$1, JunR!$6:$6, 0), FALSE),
            0
        ) +
        IFERROR(
            VLOOKUP($A28, INDIRECT("JulR!$A$6:$ZZ$1048576"), MATCH(AF$1, JulR!$6:$6, 0), FALSE),
            0
        ) +
        IFERROR(
            VLOOKUP($A28, INDIRECT("AgoR!$A$6:$ZZ$1048576"), MATCH(AF$1, AgoR!$6:$6, 0), FALSE),
            0
        ) +
        IFERROR(
            VLOOKUP($A28, INDIRECT("SepR!$A$6:$ZZ$1048576"), MATCH(AF$1, SepR!$6:$6, 0), FALSE),
            0
        ) +
        IFERROR(
            VLOOKUP($A28, INDIRECT("OctR!$A$6:$ZZ$1048576"), MATCH(AF$1, OctR!$6:$6, 0), FALSE),
            0
        ) +
        IFERROR(
            VLOOKUP($A28, INDIRECT("NovR!$A$6:$ZZ$1048576"), MATCH(AF$1, NovR!$6:$6, 0), FALSE),
            0
        ) +
        IFERROR(
            VLOOKUP($A28, INDIRECT("DicR!$A$6:$ZZ$1048576"), MATCH(AF$1, DicR!$6:$6, 0), FALSE),
            0
        )
)</f>
        <v>0</v>
      </c>
      <c r="AG28" s="37">
        <f t="array" ref="AG28">SUM(
    IFERROR(
            VLOOKUP($A28, INDIRECT("EneR!$A$6:$ZZ$1048576"), MATCH(AG$1, EneR!$6:$6, 0), FALSE),
            0
        ) +
        IFERROR(
            VLOOKUP($A28, INDIRECT("FebR!$A$6:$ZZ$1048576"), MATCH(AG$1, FebR!$6:$6, 0), FALSE),
            0
        ) +
        IFERROR(
            VLOOKUP($A28, INDIRECT("MarR!$A$6:$ZZ$1048576"), MATCH(AG$1, MarR!$6:$6, 0), FALSE),
            0
        ) +
        IFERROR(
            VLOOKUP($A28, INDIRECT("AbrR!$A$6:$ZZ$1048576"), MATCH(AG$1, AbrR!$6:$6, 0), FALSE),
            0
        ) +
        IFERROR(
            VLOOKUP($A28, INDIRECT("MayR!$A$6:$ZZ$1048576"), MATCH(AG$1, MayR!$6:$6, 0), FALSE),
            0
        ) +
        IFERROR(
            VLOOKUP($A28, INDIRECT("JunR!$A$6:$ZZ$1048576"), MATCH(AG$1, JunR!$6:$6, 0), FALSE),
            0
        ) +
        IFERROR(
            VLOOKUP($A28, INDIRECT("JulR!$A$6:$ZZ$1048576"), MATCH(AG$1, JulR!$6:$6, 0), FALSE),
            0
        ) +
        IFERROR(
            VLOOKUP($A28, INDIRECT("AgoR!$A$6:$ZZ$1048576"), MATCH(AG$1, AgoR!$6:$6, 0), FALSE),
            0
        ) +
        IFERROR(
            VLOOKUP($A28, INDIRECT("SepR!$A$6:$ZZ$1048576"), MATCH(AG$1, SepR!$6:$6, 0), FALSE),
            0
        ) +
        IFERROR(
            VLOOKUP($A28, INDIRECT("OctR!$A$6:$ZZ$1048576"), MATCH(AG$1, OctR!$6:$6, 0), FALSE),
            0
        ) +
        IFERROR(
            VLOOKUP($A28, INDIRECT("NovR!$A$6:$ZZ$1048576"), MATCH(AG$1, NovR!$6:$6, 0), FALSE),
            0
        ) +
        IFERROR(
            VLOOKUP($A28, INDIRECT("DicR!$A$6:$ZZ$1048576"), MATCH(AG$1, DicR!$6:$6, 0), FALSE),
            0
        )
)</f>
        <v>0</v>
      </c>
      <c r="AH28" s="36">
        <f t="array" ref="AH28">SUM(
    IFERROR(
            VLOOKUP($A28, INDIRECT("EneR!$A$6:$ZZ$1048576"), MATCH(AH$1, EneR!$6:$6, 0), FALSE),
            0
        ) +
        IFERROR(
            VLOOKUP($A28, INDIRECT("FebR!$A$6:$ZZ$1048576"), MATCH(AH$1, FebR!$6:$6, 0), FALSE),
            0
        ) +
        IFERROR(
            VLOOKUP($A28, INDIRECT("MarR!$A$6:$ZZ$1048576"), MATCH(AH$1, MarR!$6:$6, 0), FALSE),
            0
        ) +
        IFERROR(
            VLOOKUP($A28, INDIRECT("AbrR!$A$6:$ZZ$1048576"), MATCH(AH$1, AbrR!$6:$6, 0), FALSE),
            0
        ) +
        IFERROR(
            VLOOKUP($A28, INDIRECT("MayR!$A$6:$ZZ$1048576"), MATCH(AH$1, MayR!$6:$6, 0), FALSE),
            0
        ) +
        IFERROR(
            VLOOKUP($A28, INDIRECT("JunR!$A$6:$ZZ$1048576"), MATCH(AH$1, JunR!$6:$6, 0), FALSE),
            0
        ) +
        IFERROR(
            VLOOKUP($A28, INDIRECT("JulR!$A$6:$ZZ$1048576"), MATCH(AH$1, JulR!$6:$6, 0), FALSE),
            0
        ) +
        IFERROR(
            VLOOKUP($A28, INDIRECT("AgoR!$A$6:$ZZ$1048576"), MATCH(AH$1, AgoR!$6:$6, 0), FALSE),
            0
        ) +
        IFERROR(
            VLOOKUP($A28, INDIRECT("SepR!$A$6:$ZZ$1048576"), MATCH(AH$1, SepR!$6:$6, 0), FALSE),
            0
        ) +
        IFERROR(
            VLOOKUP($A28, INDIRECT("OctR!$A$6:$ZZ$1048576"), MATCH(AH$1, OctR!$6:$6, 0), FALSE),
            0
        ) +
        IFERROR(
            VLOOKUP($A28, INDIRECT("NovR!$A$6:$ZZ$1048576"), MATCH(AH$1, NovR!$6:$6, 0), FALSE),
            0
        ) +
        IFERROR(
            VLOOKUP($A28, INDIRECT("DicR!$A$6:$ZZ$1048576"), MATCH(AH$1, DicR!$6:$6, 0), FALSE),
            0
        )
)</f>
        <v>0</v>
      </c>
      <c r="AI28" s="37">
        <f t="array" ref="AI28">SUM(
    IFERROR(
            VLOOKUP($A28, INDIRECT("EneR!$A$6:$ZZ$1048576"), MATCH(AI$1, EneR!$6:$6, 0), FALSE),
            0
        ) +
        IFERROR(
            VLOOKUP($A28, INDIRECT("FebR!$A$6:$ZZ$1048576"), MATCH(AI$1, FebR!$6:$6, 0), FALSE),
            0
        ) +
        IFERROR(
            VLOOKUP($A28, INDIRECT("MarR!$A$6:$ZZ$1048576"), MATCH(AI$1, MarR!$6:$6, 0), FALSE),
            0
        ) +
        IFERROR(
            VLOOKUP($A28, INDIRECT("AbrR!$A$6:$ZZ$1048576"), MATCH(AI$1, AbrR!$6:$6, 0), FALSE),
            0
        ) +
        IFERROR(
            VLOOKUP($A28, INDIRECT("MayR!$A$6:$ZZ$1048576"), MATCH(AI$1, MayR!$6:$6, 0), FALSE),
            0
        ) +
        IFERROR(
            VLOOKUP($A28, INDIRECT("JunR!$A$6:$ZZ$1048576"), MATCH(AI$1, JunR!$6:$6, 0), FALSE),
            0
        ) +
        IFERROR(
            VLOOKUP($A28, INDIRECT("JulR!$A$6:$ZZ$1048576"), MATCH(AI$1, JulR!$6:$6, 0), FALSE),
            0
        ) +
        IFERROR(
            VLOOKUP($A28, INDIRECT("AgoR!$A$6:$ZZ$1048576"), MATCH(AI$1, AgoR!$6:$6, 0), FALSE),
            0
        ) +
        IFERROR(
            VLOOKUP($A28, INDIRECT("SepR!$A$6:$ZZ$1048576"), MATCH(AI$1, SepR!$6:$6, 0), FALSE),
            0
        ) +
        IFERROR(
            VLOOKUP($A28, INDIRECT("OctR!$A$6:$ZZ$1048576"), MATCH(AI$1, OctR!$6:$6, 0), FALSE),
            0
        ) +
        IFERROR(
            VLOOKUP($A28, INDIRECT("NovR!$A$6:$ZZ$1048576"), MATCH(AI$1, NovR!$6:$6, 0), FALSE),
            0
        ) +
        IFERROR(
            VLOOKUP($A28, INDIRECT("DicR!$A$6:$ZZ$1048576"), MATCH(AI$1, DicR!$6:$6, 0), FALSE),
            0
        )
)</f>
        <v>0</v>
      </c>
      <c r="AJ28" s="36">
        <f t="array" ref="AJ28">SUM(
    IFERROR(
            VLOOKUP($A28, INDIRECT("EneR!$A$6:$ZZ$1048576"), MATCH(AJ$1, EneR!$6:$6, 0), FALSE),
            0
        ) +
        IFERROR(
            VLOOKUP($A28, INDIRECT("FebR!$A$6:$ZZ$1048576"), MATCH(AJ$1, FebR!$6:$6, 0), FALSE),
            0
        ) +
        IFERROR(
            VLOOKUP($A28, INDIRECT("MarR!$A$6:$ZZ$1048576"), MATCH(AJ$1, MarR!$6:$6, 0), FALSE),
            0
        ) +
        IFERROR(
            VLOOKUP($A28, INDIRECT("AbrR!$A$6:$ZZ$1048576"), MATCH(AJ$1, AbrR!$6:$6, 0), FALSE),
            0
        ) +
        IFERROR(
            VLOOKUP($A28, INDIRECT("MayR!$A$6:$ZZ$1048576"), MATCH(AJ$1, MayR!$6:$6, 0), FALSE),
            0
        ) +
        IFERROR(
            VLOOKUP($A28, INDIRECT("JunR!$A$6:$ZZ$1048576"), MATCH(AJ$1, JunR!$6:$6, 0), FALSE),
            0
        ) +
        IFERROR(
            VLOOKUP($A28, INDIRECT("JulR!$A$6:$ZZ$1048576"), MATCH(AJ$1, JulR!$6:$6, 0), FALSE),
            0
        ) +
        IFERROR(
            VLOOKUP($A28, INDIRECT("AgoR!$A$6:$ZZ$1048576"), MATCH(AJ$1, AgoR!$6:$6, 0), FALSE),
            0
        ) +
        IFERROR(
            VLOOKUP($A28, INDIRECT("SepR!$A$6:$ZZ$1048576"), MATCH(AJ$1, SepR!$6:$6, 0), FALSE),
            0
        ) +
        IFERROR(
            VLOOKUP($A28, INDIRECT("OctR!$A$6:$ZZ$1048576"), MATCH(AJ$1, OctR!$6:$6, 0), FALSE),
            0
        ) +
        IFERROR(
            VLOOKUP($A28, INDIRECT("NovR!$A$6:$ZZ$1048576"), MATCH(AJ$1, NovR!$6:$6, 0), FALSE),
            0
        ) +
        IFERROR(
            VLOOKUP($A28, INDIRECT("DicR!$A$6:$ZZ$1048576"), MATCH(AJ$1, DicR!$6:$6, 0), FALSE),
            0
        )
)</f>
        <v>0</v>
      </c>
      <c r="AK28" s="37">
        <f t="array" ref="AK28">SUM(
    IFERROR(
            VLOOKUP($A28, INDIRECT("EneR!$A$6:$ZZ$1048576"), MATCH(AK$1, EneR!$6:$6, 0), FALSE),
            0
        ) +
        IFERROR(
            VLOOKUP($A28, INDIRECT("FebR!$A$6:$ZZ$1048576"), MATCH(AK$1, FebR!$6:$6, 0), FALSE),
            0
        ) +
        IFERROR(
            VLOOKUP($A28, INDIRECT("MarR!$A$6:$ZZ$1048576"), MATCH(AK$1, MarR!$6:$6, 0), FALSE),
            0
        ) +
        IFERROR(
            VLOOKUP($A28, INDIRECT("AbrR!$A$6:$ZZ$1048576"), MATCH(AK$1, AbrR!$6:$6, 0), FALSE),
            0
        ) +
        IFERROR(
            VLOOKUP($A28, INDIRECT("MayR!$A$6:$ZZ$1048576"), MATCH(AK$1, MayR!$6:$6, 0), FALSE),
            0
        ) +
        IFERROR(
            VLOOKUP($A28, INDIRECT("JunR!$A$6:$ZZ$1048576"), MATCH(AK$1, JunR!$6:$6, 0), FALSE),
            0
        ) +
        IFERROR(
            VLOOKUP($A28, INDIRECT("JulR!$A$6:$ZZ$1048576"), MATCH(AK$1, JulR!$6:$6, 0), FALSE),
            0
        ) +
        IFERROR(
            VLOOKUP($A28, INDIRECT("AgoR!$A$6:$ZZ$1048576"), MATCH(AK$1, AgoR!$6:$6, 0), FALSE),
            0
        ) +
        IFERROR(
            VLOOKUP($A28, INDIRECT("SepR!$A$6:$ZZ$1048576"), MATCH(AK$1, SepR!$6:$6, 0), FALSE),
            0
        ) +
        IFERROR(
            VLOOKUP($A28, INDIRECT("OctR!$A$6:$ZZ$1048576"), MATCH(AK$1, OctR!$6:$6, 0), FALSE),
            0
        ) +
        IFERROR(
            VLOOKUP($A28, INDIRECT("NovR!$A$6:$ZZ$1048576"), MATCH(AK$1, NovR!$6:$6, 0), FALSE),
            0
        ) +
        IFERROR(
            VLOOKUP($A28, INDIRECT("DicR!$A$6:$ZZ$1048576"), MATCH(AK$1, DicR!$6:$6, 0), FALSE),
            0
        )
)</f>
        <v>0</v>
      </c>
      <c r="AL28" s="36">
        <f t="array" ref="AL28">SUM(
    IFERROR(
            VLOOKUP($A28, INDIRECT("EneR!$A$6:$ZZ$1048576"), MATCH(AL$1, EneR!$6:$6, 0), FALSE),
            0
        ) +
        IFERROR(
            VLOOKUP($A28, INDIRECT("FebR!$A$6:$ZZ$1048576"), MATCH(AL$1, FebR!$6:$6, 0), FALSE),
            0
        ) +
        IFERROR(
            VLOOKUP($A28, INDIRECT("MarR!$A$6:$ZZ$1048576"), MATCH(AL$1, MarR!$6:$6, 0), FALSE),
            0
        ) +
        IFERROR(
            VLOOKUP($A28, INDIRECT("AbrR!$A$6:$ZZ$1048576"), MATCH(AL$1, AbrR!$6:$6, 0), FALSE),
            0
        ) +
        IFERROR(
            VLOOKUP($A28, INDIRECT("MayR!$A$6:$ZZ$1048576"), MATCH(AL$1, MayR!$6:$6, 0), FALSE),
            0
        ) +
        IFERROR(
            VLOOKUP($A28, INDIRECT("JunR!$A$6:$ZZ$1048576"), MATCH(AL$1, JunR!$6:$6, 0), FALSE),
            0
        ) +
        IFERROR(
            VLOOKUP($A28, INDIRECT("JulR!$A$6:$ZZ$1048576"), MATCH(AL$1, JulR!$6:$6, 0), FALSE),
            0
        ) +
        IFERROR(
            VLOOKUP($A28, INDIRECT("AgoR!$A$6:$ZZ$1048576"), MATCH(AL$1, AgoR!$6:$6, 0), FALSE),
            0
        ) +
        IFERROR(
            VLOOKUP($A28, INDIRECT("SepR!$A$6:$ZZ$1048576"), MATCH(AL$1, SepR!$6:$6, 0), FALSE),
            0
        ) +
        IFERROR(
            VLOOKUP($A28, INDIRECT("OctR!$A$6:$ZZ$1048576"), MATCH(AL$1, OctR!$6:$6, 0), FALSE),
            0
        ) +
        IFERROR(
            VLOOKUP($A28, INDIRECT("NovR!$A$6:$ZZ$1048576"), MATCH(AL$1, NovR!$6:$6, 0), FALSE),
            0
        ) +
        IFERROR(
            VLOOKUP($A28, INDIRECT("DicR!$A$6:$ZZ$1048576"), MATCH(AL$1, DicR!$6:$6, 0), FALSE),
            0
        )
)</f>
        <v>0</v>
      </c>
      <c r="AM28" s="37">
        <f t="array" ref="AM28">SUM(
    IFERROR(
            VLOOKUP($A28, INDIRECT("EneR!$A$6:$ZZ$1048576"), MATCH(AM$1, EneR!$6:$6, 0), FALSE),
            0
        ) +
        IFERROR(
            VLOOKUP($A28, INDIRECT("FebR!$A$6:$ZZ$1048576"), MATCH(AM$1, FebR!$6:$6, 0), FALSE),
            0
        ) +
        IFERROR(
            VLOOKUP($A28, INDIRECT("MarR!$A$6:$ZZ$1048576"), MATCH(AM$1, MarR!$6:$6, 0), FALSE),
            0
        ) +
        IFERROR(
            VLOOKUP($A28, INDIRECT("AbrR!$A$6:$ZZ$1048576"), MATCH(AM$1, AbrR!$6:$6, 0), FALSE),
            0
        ) +
        IFERROR(
            VLOOKUP($A28, INDIRECT("MayR!$A$6:$ZZ$1048576"), MATCH(AM$1, MayR!$6:$6, 0), FALSE),
            0
        ) +
        IFERROR(
            VLOOKUP($A28, INDIRECT("JunR!$A$6:$ZZ$1048576"), MATCH(AM$1, JunR!$6:$6, 0), FALSE),
            0
        ) +
        IFERROR(
            VLOOKUP($A28, INDIRECT("JulR!$A$6:$ZZ$1048576"), MATCH(AM$1, JulR!$6:$6, 0), FALSE),
            0
        ) +
        IFERROR(
            VLOOKUP($A28, INDIRECT("AgoR!$A$6:$ZZ$1048576"), MATCH(AM$1, AgoR!$6:$6, 0), FALSE),
            0
        ) +
        IFERROR(
            VLOOKUP($A28, INDIRECT("SepR!$A$6:$ZZ$1048576"), MATCH(AM$1, SepR!$6:$6, 0), FALSE),
            0
        ) +
        IFERROR(
            VLOOKUP($A28, INDIRECT("OctR!$A$6:$ZZ$1048576"), MATCH(AM$1, OctR!$6:$6, 0), FALSE),
            0
        ) +
        IFERROR(
            VLOOKUP($A28, INDIRECT("NovR!$A$6:$ZZ$1048576"), MATCH(AM$1, NovR!$6:$6, 0), FALSE),
            0
        ) +
        IFERROR(
            VLOOKUP($A28, INDIRECT("DicR!$A$6:$ZZ$1048576"), MATCH(AM$1, DicR!$6:$6, 0), FALSE),
            0
        )
)</f>
        <v>0</v>
      </c>
      <c r="AN28" s="36">
        <f t="array" ref="AN28">SUM(
    IFERROR(
            VLOOKUP($A28, INDIRECT("EneR!$A$6:$ZZ$1048576"), MATCH(AN$1, EneR!$6:$6, 0), FALSE),
            0
        ) +
        IFERROR(
            VLOOKUP($A28, INDIRECT("FebR!$A$6:$ZZ$1048576"), MATCH(AN$1, FebR!$6:$6, 0), FALSE),
            0
        ) +
        IFERROR(
            VLOOKUP($A28, INDIRECT("MarR!$A$6:$ZZ$1048576"), MATCH(AN$1, MarR!$6:$6, 0), FALSE),
            0
        ) +
        IFERROR(
            VLOOKUP($A28, INDIRECT("AbrR!$A$6:$ZZ$1048576"), MATCH(AN$1, AbrR!$6:$6, 0), FALSE),
            0
        ) +
        IFERROR(
            VLOOKUP($A28, INDIRECT("MayR!$A$6:$ZZ$1048576"), MATCH(AN$1, MayR!$6:$6, 0), FALSE),
            0
        ) +
        IFERROR(
            VLOOKUP($A28, INDIRECT("JunR!$A$6:$ZZ$1048576"), MATCH(AN$1, JunR!$6:$6, 0), FALSE),
            0
        ) +
        IFERROR(
            VLOOKUP($A28, INDIRECT("JulR!$A$6:$ZZ$1048576"), MATCH(AN$1, JulR!$6:$6, 0), FALSE),
            0
        ) +
        IFERROR(
            VLOOKUP($A28, INDIRECT("AgoR!$A$6:$ZZ$1048576"), MATCH(AN$1, AgoR!$6:$6, 0), FALSE),
            0
        ) +
        IFERROR(
            VLOOKUP($A28, INDIRECT("SepR!$A$6:$ZZ$1048576"), MATCH(AN$1, SepR!$6:$6, 0), FALSE),
            0
        ) +
        IFERROR(
            VLOOKUP($A28, INDIRECT("OctR!$A$6:$ZZ$1048576"), MATCH(AN$1, OctR!$6:$6, 0), FALSE),
            0
        ) +
        IFERROR(
            VLOOKUP($A28, INDIRECT("NovR!$A$6:$ZZ$1048576"), MATCH(AN$1, NovR!$6:$6, 0), FALSE),
            0
        ) +
        IFERROR(
            VLOOKUP($A28, INDIRECT("DicR!$A$6:$ZZ$1048576"), MATCH(AN$1, DicR!$6:$6, 0), FALSE),
            0
        )
)</f>
        <v>0</v>
      </c>
      <c r="AO28" s="37">
        <f t="array" ref="AO28">SUM(
    IFERROR(
            VLOOKUP($A28, INDIRECT("EneR!$A$6:$ZZ$1048576"), MATCH(AO$1, EneR!$6:$6, 0), FALSE),
            0
        ) +
        IFERROR(
            VLOOKUP($A28, INDIRECT("FebR!$A$6:$ZZ$1048576"), MATCH(AO$1, FebR!$6:$6, 0), FALSE),
            0
        ) +
        IFERROR(
            VLOOKUP($A28, INDIRECT("MarR!$A$6:$ZZ$1048576"), MATCH(AO$1, MarR!$6:$6, 0), FALSE),
            0
        ) +
        IFERROR(
            VLOOKUP($A28, INDIRECT("AbrR!$A$6:$ZZ$1048576"), MATCH(AO$1, AbrR!$6:$6, 0), FALSE),
            0
        ) +
        IFERROR(
            VLOOKUP($A28, INDIRECT("MayR!$A$6:$ZZ$1048576"), MATCH(AO$1, MayR!$6:$6, 0), FALSE),
            0
        ) +
        IFERROR(
            VLOOKUP($A28, INDIRECT("JunR!$A$6:$ZZ$1048576"), MATCH(AO$1, JunR!$6:$6, 0), FALSE),
            0
        ) +
        IFERROR(
            VLOOKUP($A28, INDIRECT("JulR!$A$6:$ZZ$1048576"), MATCH(AO$1, JulR!$6:$6, 0), FALSE),
            0
        ) +
        IFERROR(
            VLOOKUP($A28, INDIRECT("AgoR!$A$6:$ZZ$1048576"), MATCH(AO$1, AgoR!$6:$6, 0), FALSE),
            0
        ) +
        IFERROR(
            VLOOKUP($A28, INDIRECT("SepR!$A$6:$ZZ$1048576"), MATCH(AO$1, SepR!$6:$6, 0), FALSE),
            0
        ) +
        IFERROR(
            VLOOKUP($A28, INDIRECT("OctR!$A$6:$ZZ$1048576"), MATCH(AO$1, OctR!$6:$6, 0), FALSE),
            0
        ) +
        IFERROR(
            VLOOKUP($A28, INDIRECT("NovR!$A$6:$ZZ$1048576"), MATCH(AO$1, NovR!$6:$6, 0), FALSE),
            0
        ) +
        IFERROR(
            VLOOKUP($A28, INDIRECT("DicR!$A$6:$ZZ$1048576"), MATCH(AO$1, DicR!$6:$6, 0), FALSE),
            0
        )
)</f>
        <v>0</v>
      </c>
      <c r="AP28" s="36">
        <f t="array" ref="AP28">SUM(
    IFERROR(
            VLOOKUP($A28, INDIRECT("EneR!$A$6:$ZZ$1048576"), MATCH(AP$1, EneR!$6:$6, 0), FALSE),
            0
        ) +
        IFERROR(
            VLOOKUP($A28, INDIRECT("FebR!$A$6:$ZZ$1048576"), MATCH(AP$1, FebR!$6:$6, 0), FALSE),
            0
        ) +
        IFERROR(
            VLOOKUP($A28, INDIRECT("MarR!$A$6:$ZZ$1048576"), MATCH(AP$1, MarR!$6:$6, 0), FALSE),
            0
        ) +
        IFERROR(
            VLOOKUP($A28, INDIRECT("AbrR!$A$6:$ZZ$1048576"), MATCH(AP$1, AbrR!$6:$6, 0), FALSE),
            0
        ) +
        IFERROR(
            VLOOKUP($A28, INDIRECT("MayR!$A$6:$ZZ$1048576"), MATCH(AP$1, MayR!$6:$6, 0), FALSE),
            0
        ) +
        IFERROR(
            VLOOKUP($A28, INDIRECT("JunR!$A$6:$ZZ$1048576"), MATCH(AP$1, JunR!$6:$6, 0), FALSE),
            0
        ) +
        IFERROR(
            VLOOKUP($A28, INDIRECT("JulR!$A$6:$ZZ$1048576"), MATCH(AP$1, JulR!$6:$6, 0), FALSE),
            0
        ) +
        IFERROR(
            VLOOKUP($A28, INDIRECT("AgoR!$A$6:$ZZ$1048576"), MATCH(AP$1, AgoR!$6:$6, 0), FALSE),
            0
        ) +
        IFERROR(
            VLOOKUP($A28, INDIRECT("SepR!$A$6:$ZZ$1048576"), MATCH(AP$1, SepR!$6:$6, 0), FALSE),
            0
        ) +
        IFERROR(
            VLOOKUP($A28, INDIRECT("OctR!$A$6:$ZZ$1048576"), MATCH(AP$1, OctR!$6:$6, 0), FALSE),
            0
        ) +
        IFERROR(
            VLOOKUP($A28, INDIRECT("NovR!$A$6:$ZZ$1048576"), MATCH(AP$1, NovR!$6:$6, 0), FALSE),
            0
        ) +
        IFERROR(
            VLOOKUP($A28, INDIRECT("DicR!$A$6:$ZZ$1048576"), MATCH(AP$1, DicR!$6:$6, 0), FALSE),
            0
        )
)</f>
        <v>0</v>
      </c>
      <c r="AQ28" s="37">
        <f t="array" ref="AQ28">SUM(
    IFERROR(
            VLOOKUP($A28, INDIRECT("EneR!$A$6:$ZZ$1048576"), MATCH(AQ$1, EneR!$6:$6, 0), FALSE),
            0
        ) +
        IFERROR(
            VLOOKUP($A28, INDIRECT("FebR!$A$6:$ZZ$1048576"), MATCH(AQ$1, FebR!$6:$6, 0), FALSE),
            0
        ) +
        IFERROR(
            VLOOKUP($A28, INDIRECT("MarR!$A$6:$ZZ$1048576"), MATCH(AQ$1, MarR!$6:$6, 0), FALSE),
            0
        ) +
        IFERROR(
            VLOOKUP($A28, INDIRECT("AbrR!$A$6:$ZZ$1048576"), MATCH(AQ$1, AbrR!$6:$6, 0), FALSE),
            0
        ) +
        IFERROR(
            VLOOKUP($A28, INDIRECT("MayR!$A$6:$ZZ$1048576"), MATCH(AQ$1, MayR!$6:$6, 0), FALSE),
            0
        ) +
        IFERROR(
            VLOOKUP($A28, INDIRECT("JunR!$A$6:$ZZ$1048576"), MATCH(AQ$1, JunR!$6:$6, 0), FALSE),
            0
        ) +
        IFERROR(
            VLOOKUP($A28, INDIRECT("JulR!$A$6:$ZZ$1048576"), MATCH(AQ$1, JulR!$6:$6, 0), FALSE),
            0
        ) +
        IFERROR(
            VLOOKUP($A28, INDIRECT("AgoR!$A$6:$ZZ$1048576"), MATCH(AQ$1, AgoR!$6:$6, 0), FALSE),
            0
        ) +
        IFERROR(
            VLOOKUP($A28, INDIRECT("SepR!$A$6:$ZZ$1048576"), MATCH(AQ$1, SepR!$6:$6, 0), FALSE),
            0
        ) +
        IFERROR(
            VLOOKUP($A28, INDIRECT("OctR!$A$6:$ZZ$1048576"), MATCH(AQ$1, OctR!$6:$6, 0), FALSE),
            0
        ) +
        IFERROR(
            VLOOKUP($A28, INDIRECT("NovR!$A$6:$ZZ$1048576"), MATCH(AQ$1, NovR!$6:$6, 0), FALSE),
            0
        ) +
        IFERROR(
            VLOOKUP($A28, INDIRECT("DicR!$A$6:$ZZ$1048576"), MATCH(AQ$1, DicR!$6:$6, 0), FALSE),
            0
        )
)</f>
        <v>0</v>
      </c>
      <c r="AR28" s="36">
        <f t="array" ref="AR28">SUM(
    IFERROR(
            VLOOKUP($A28, INDIRECT("EneR!$A$6:$ZZ$1048576"), MATCH(AR$1, EneR!$6:$6, 0), FALSE),
            0
        ) +
        IFERROR(
            VLOOKUP($A28, INDIRECT("FebR!$A$6:$ZZ$1048576"), MATCH(AR$1, FebR!$6:$6, 0), FALSE),
            0
        ) +
        IFERROR(
            VLOOKUP($A28, INDIRECT("MarR!$A$6:$ZZ$1048576"), MATCH(AR$1, MarR!$6:$6, 0), FALSE),
            0
        ) +
        IFERROR(
            VLOOKUP($A28, INDIRECT("AbrR!$A$6:$ZZ$1048576"), MATCH(AR$1, AbrR!$6:$6, 0), FALSE),
            0
        ) +
        IFERROR(
            VLOOKUP($A28, INDIRECT("MayR!$A$6:$ZZ$1048576"), MATCH(AR$1, MayR!$6:$6, 0), FALSE),
            0
        ) +
        IFERROR(
            VLOOKUP($A28, INDIRECT("JunR!$A$6:$ZZ$1048576"), MATCH(AR$1, JunR!$6:$6, 0), FALSE),
            0
        ) +
        IFERROR(
            VLOOKUP($A28, INDIRECT("JulR!$A$6:$ZZ$1048576"), MATCH(AR$1, JulR!$6:$6, 0), FALSE),
            0
        ) +
        IFERROR(
            VLOOKUP($A28, INDIRECT("AgoR!$A$6:$ZZ$1048576"), MATCH(AR$1, AgoR!$6:$6, 0), FALSE),
            0
        ) +
        IFERROR(
            VLOOKUP($A28, INDIRECT("SepR!$A$6:$ZZ$1048576"), MATCH(AR$1, SepR!$6:$6, 0), FALSE),
            0
        ) +
        IFERROR(
            VLOOKUP($A28, INDIRECT("OctR!$A$6:$ZZ$1048576"), MATCH(AR$1, OctR!$6:$6, 0), FALSE),
            0
        ) +
        IFERROR(
            VLOOKUP($A28, INDIRECT("NovR!$A$6:$ZZ$1048576"), MATCH(AR$1, NovR!$6:$6, 0), FALSE),
            0
        ) +
        IFERROR(
            VLOOKUP($A28, INDIRECT("DicR!$A$6:$ZZ$1048576"), MATCH(AR$1, DicR!$6:$6, 0), FALSE),
            0
        )
)</f>
        <v>0</v>
      </c>
      <c r="AS28" s="37">
        <f t="array" ref="AS28">SUM(
    IFERROR(
            VLOOKUP($A28, INDIRECT("EneR!$A$6:$ZZ$1048576"), MATCH(AS$1, EneR!$6:$6, 0), FALSE),
            0
        ) +
        IFERROR(
            VLOOKUP($A28, INDIRECT("FebR!$A$6:$ZZ$1048576"), MATCH(AS$1, FebR!$6:$6, 0), FALSE),
            0
        ) +
        IFERROR(
            VLOOKUP($A28, INDIRECT("MarR!$A$6:$ZZ$1048576"), MATCH(AS$1, MarR!$6:$6, 0), FALSE),
            0
        ) +
        IFERROR(
            VLOOKUP($A28, INDIRECT("AbrR!$A$6:$ZZ$1048576"), MATCH(AS$1, AbrR!$6:$6, 0), FALSE),
            0
        ) +
        IFERROR(
            VLOOKUP($A28, INDIRECT("MayR!$A$6:$ZZ$1048576"), MATCH(AS$1, MayR!$6:$6, 0), FALSE),
            0
        ) +
        IFERROR(
            VLOOKUP($A28, INDIRECT("JunR!$A$6:$ZZ$1048576"), MATCH(AS$1, JunR!$6:$6, 0), FALSE),
            0
        ) +
        IFERROR(
            VLOOKUP($A28, INDIRECT("JulR!$A$6:$ZZ$1048576"), MATCH(AS$1, JulR!$6:$6, 0), FALSE),
            0
        ) +
        IFERROR(
            VLOOKUP($A28, INDIRECT("AgoR!$A$6:$ZZ$1048576"), MATCH(AS$1, AgoR!$6:$6, 0), FALSE),
            0
        ) +
        IFERROR(
            VLOOKUP($A28, INDIRECT("SepR!$A$6:$ZZ$1048576"), MATCH(AS$1, SepR!$6:$6, 0), FALSE),
            0
        ) +
        IFERROR(
            VLOOKUP($A28, INDIRECT("OctR!$A$6:$ZZ$1048576"), MATCH(AS$1, OctR!$6:$6, 0), FALSE),
            0
        ) +
        IFERROR(
            VLOOKUP($A28, INDIRECT("NovR!$A$6:$ZZ$1048576"), MATCH(AS$1, NovR!$6:$6, 0), FALSE),
            0
        ) +
        IFERROR(
            VLOOKUP($A28, INDIRECT("DicR!$A$6:$ZZ$1048576"), MATCH(AS$1, DicR!$6:$6, 0), FALSE),
            0
        )
)</f>
        <v>0</v>
      </c>
      <c r="AT28" s="36">
        <f t="array" ref="AT28">SUM(
    IFERROR(
            VLOOKUP($A28, INDIRECT("EneR!$A$6:$ZZ$1048576"), MATCH(AT$1, EneR!$6:$6, 0), FALSE),
            0
        ) +
        IFERROR(
            VLOOKUP($A28, INDIRECT("FebR!$A$6:$ZZ$1048576"), MATCH(AT$1, FebR!$6:$6, 0), FALSE),
            0
        ) +
        IFERROR(
            VLOOKUP($A28, INDIRECT("MarR!$A$6:$ZZ$1048576"), MATCH(AT$1, MarR!$6:$6, 0), FALSE),
            0
        ) +
        IFERROR(
            VLOOKUP($A28, INDIRECT("AbrR!$A$6:$ZZ$1048576"), MATCH(AT$1, AbrR!$6:$6, 0), FALSE),
            0
        ) +
        IFERROR(
            VLOOKUP($A28, INDIRECT("MayR!$A$6:$ZZ$1048576"), MATCH(AT$1, MayR!$6:$6, 0), FALSE),
            0
        ) +
        IFERROR(
            VLOOKUP($A28, INDIRECT("JunR!$A$6:$ZZ$1048576"), MATCH(AT$1, JunR!$6:$6, 0), FALSE),
            0
        ) +
        IFERROR(
            VLOOKUP($A28, INDIRECT("JulR!$A$6:$ZZ$1048576"), MATCH(AT$1, JulR!$6:$6, 0), FALSE),
            0
        ) +
        IFERROR(
            VLOOKUP($A28, INDIRECT("AgoR!$A$6:$ZZ$1048576"), MATCH(AT$1, AgoR!$6:$6, 0), FALSE),
            0
        ) +
        IFERROR(
            VLOOKUP($A28, INDIRECT("SepR!$A$6:$ZZ$1048576"), MATCH(AT$1, SepR!$6:$6, 0), FALSE),
            0
        ) +
        IFERROR(
            VLOOKUP($A28, INDIRECT("OctR!$A$6:$ZZ$1048576"), MATCH(AT$1, OctR!$6:$6, 0), FALSE),
            0
        ) +
        IFERROR(
            VLOOKUP($A28, INDIRECT("NovR!$A$6:$ZZ$1048576"), MATCH(AT$1, NovR!$6:$6, 0), FALSE),
            0
        ) +
        IFERROR(
            VLOOKUP($A28, INDIRECT("DicR!$A$6:$ZZ$1048576"), MATCH(AT$1, DicR!$6:$6, 0), FALSE),
            0
        )
)</f>
        <v>0</v>
      </c>
      <c r="AU28" s="37">
        <f t="array" ref="AU28">SUM(
    IFERROR(
            VLOOKUP($A28, INDIRECT("EneR!$A$6:$ZZ$1048576"), MATCH(AU$1, EneR!$6:$6, 0), FALSE),
            0
        ) +
        IFERROR(
            VLOOKUP($A28, INDIRECT("FebR!$A$6:$ZZ$1048576"), MATCH(AU$1, FebR!$6:$6, 0), FALSE),
            0
        ) +
        IFERROR(
            VLOOKUP($A28, INDIRECT("MarR!$A$6:$ZZ$1048576"), MATCH(AU$1, MarR!$6:$6, 0), FALSE),
            0
        ) +
        IFERROR(
            VLOOKUP($A28, INDIRECT("AbrR!$A$6:$ZZ$1048576"), MATCH(AU$1, AbrR!$6:$6, 0), FALSE),
            0
        ) +
        IFERROR(
            VLOOKUP($A28, INDIRECT("MayR!$A$6:$ZZ$1048576"), MATCH(AU$1, MayR!$6:$6, 0), FALSE),
            0
        ) +
        IFERROR(
            VLOOKUP($A28, INDIRECT("JunR!$A$6:$ZZ$1048576"), MATCH(AU$1, JunR!$6:$6, 0), FALSE),
            0
        ) +
        IFERROR(
            VLOOKUP($A28, INDIRECT("JulR!$A$6:$ZZ$1048576"), MATCH(AU$1, JulR!$6:$6, 0), FALSE),
            0
        ) +
        IFERROR(
            VLOOKUP($A28, INDIRECT("AgoR!$A$6:$ZZ$1048576"), MATCH(AU$1, AgoR!$6:$6, 0), FALSE),
            0
        ) +
        IFERROR(
            VLOOKUP($A28, INDIRECT("SepR!$A$6:$ZZ$1048576"), MATCH(AU$1, SepR!$6:$6, 0), FALSE),
            0
        ) +
        IFERROR(
            VLOOKUP($A28, INDIRECT("OctR!$A$6:$ZZ$1048576"), MATCH(AU$1, OctR!$6:$6, 0), FALSE),
            0
        ) +
        IFERROR(
            VLOOKUP($A28, INDIRECT("NovR!$A$6:$ZZ$1048576"), MATCH(AU$1, NovR!$6:$6, 0), FALSE),
            0
        ) +
        IFERROR(
            VLOOKUP($A28, INDIRECT("DicR!$A$6:$ZZ$1048576"), MATCH(AU$1, DicR!$6:$6, 0), FALSE),
            0
        )
)</f>
        <v>0</v>
      </c>
      <c r="AV28" s="36">
        <f t="array" ref="AV28">SUM(
    IFERROR(
            VLOOKUP($A28, INDIRECT("EneR!$A$6:$ZZ$1048576"), MATCH(AV$1, EneR!$6:$6, 0), FALSE),
            0
        ) +
        IFERROR(
            VLOOKUP($A28, INDIRECT("FebR!$A$6:$ZZ$1048576"), MATCH(AV$1, FebR!$6:$6, 0), FALSE),
            0
        ) +
        IFERROR(
            VLOOKUP($A28, INDIRECT("MarR!$A$6:$ZZ$1048576"), MATCH(AV$1, MarR!$6:$6, 0), FALSE),
            0
        ) +
        IFERROR(
            VLOOKUP($A28, INDIRECT("AbrR!$A$6:$ZZ$1048576"), MATCH(AV$1, AbrR!$6:$6, 0), FALSE),
            0
        ) +
        IFERROR(
            VLOOKUP($A28, INDIRECT("MayR!$A$6:$ZZ$1048576"), MATCH(AV$1, MayR!$6:$6, 0), FALSE),
            0
        ) +
        IFERROR(
            VLOOKUP($A28, INDIRECT("JunR!$A$6:$ZZ$1048576"), MATCH(AV$1, JunR!$6:$6, 0), FALSE),
            0
        ) +
        IFERROR(
            VLOOKUP($A28, INDIRECT("JulR!$A$6:$ZZ$1048576"), MATCH(AV$1, JulR!$6:$6, 0), FALSE),
            0
        ) +
        IFERROR(
            VLOOKUP($A28, INDIRECT("AgoR!$A$6:$ZZ$1048576"), MATCH(AV$1, AgoR!$6:$6, 0), FALSE),
            0
        ) +
        IFERROR(
            VLOOKUP($A28, INDIRECT("SepR!$A$6:$ZZ$1048576"), MATCH(AV$1, SepR!$6:$6, 0), FALSE),
            0
        ) +
        IFERROR(
            VLOOKUP($A28, INDIRECT("OctR!$A$6:$ZZ$1048576"), MATCH(AV$1, OctR!$6:$6, 0), FALSE),
            0
        ) +
        IFERROR(
            VLOOKUP($A28, INDIRECT("NovR!$A$6:$ZZ$1048576"), MATCH(AV$1, NovR!$6:$6, 0), FALSE),
            0
        ) +
        IFERROR(
            VLOOKUP($A28, INDIRECT("DicR!$A$6:$ZZ$1048576"), MATCH(AV$1, DicR!$6:$6, 0), FALSE),
            0
        )
)</f>
        <v>0</v>
      </c>
      <c r="AW28" s="37">
        <f t="array" ref="AW28">SUM(
    IFERROR(
            VLOOKUP($A28, INDIRECT("EneR!$A$6:$ZZ$1048576"), MATCH(AW$1, EneR!$6:$6, 0), FALSE),
            0
        ) +
        IFERROR(
            VLOOKUP($A28, INDIRECT("FebR!$A$6:$ZZ$1048576"), MATCH(AW$1, FebR!$6:$6, 0), FALSE),
            0
        ) +
        IFERROR(
            VLOOKUP($A28, INDIRECT("MarR!$A$6:$ZZ$1048576"), MATCH(AW$1, MarR!$6:$6, 0), FALSE),
            0
        ) +
        IFERROR(
            VLOOKUP($A28, INDIRECT("AbrR!$A$6:$ZZ$1048576"), MATCH(AW$1, AbrR!$6:$6, 0), FALSE),
            0
        ) +
        IFERROR(
            VLOOKUP($A28, INDIRECT("MayR!$A$6:$ZZ$1048576"), MATCH(AW$1, MayR!$6:$6, 0), FALSE),
            0
        ) +
        IFERROR(
            VLOOKUP($A28, INDIRECT("JunR!$A$6:$ZZ$1048576"), MATCH(AW$1, JunR!$6:$6, 0), FALSE),
            0
        ) +
        IFERROR(
            VLOOKUP($A28, INDIRECT("JulR!$A$6:$ZZ$1048576"), MATCH(AW$1, JulR!$6:$6, 0), FALSE),
            0
        ) +
        IFERROR(
            VLOOKUP($A28, INDIRECT("AgoR!$A$6:$ZZ$1048576"), MATCH(AW$1, AgoR!$6:$6, 0), FALSE),
            0
        ) +
        IFERROR(
            VLOOKUP($A28, INDIRECT("SepR!$A$6:$ZZ$1048576"), MATCH(AW$1, SepR!$6:$6, 0), FALSE),
            0
        ) +
        IFERROR(
            VLOOKUP($A28, INDIRECT("OctR!$A$6:$ZZ$1048576"), MATCH(AW$1, OctR!$6:$6, 0), FALSE),
            0
        ) +
        IFERROR(
            VLOOKUP($A28, INDIRECT("NovR!$A$6:$ZZ$1048576"), MATCH(AW$1, NovR!$6:$6, 0), FALSE),
            0
        ) +
        IFERROR(
            VLOOKUP($A28, INDIRECT("DicR!$A$6:$ZZ$1048576"), MATCH(AW$1, DicR!$6:$6, 0), FALSE),
            0
        )
)</f>
        <v>0</v>
      </c>
      <c r="AX28" s="36">
        <f t="array" ref="AX28">SUM(
    IFERROR(
            VLOOKUP($A28, INDIRECT("EneR!$A$6:$ZZ$1048576"), MATCH(AX$1, EneR!$6:$6, 0), FALSE),
            0
        ) +
        IFERROR(
            VLOOKUP($A28, INDIRECT("FebR!$A$6:$ZZ$1048576"), MATCH(AX$1, FebR!$6:$6, 0), FALSE),
            0
        ) +
        IFERROR(
            VLOOKUP($A28, INDIRECT("MarR!$A$6:$ZZ$1048576"), MATCH(AX$1, MarR!$6:$6, 0), FALSE),
            0
        ) +
        IFERROR(
            VLOOKUP($A28, INDIRECT("AbrR!$A$6:$ZZ$1048576"), MATCH(AX$1, AbrR!$6:$6, 0), FALSE),
            0
        ) +
        IFERROR(
            VLOOKUP($A28, INDIRECT("MayR!$A$6:$ZZ$1048576"), MATCH(AX$1, MayR!$6:$6, 0), FALSE),
            0
        ) +
        IFERROR(
            VLOOKUP($A28, INDIRECT("JunR!$A$6:$ZZ$1048576"), MATCH(AX$1, JunR!$6:$6, 0), FALSE),
            0
        ) +
        IFERROR(
            VLOOKUP($A28, INDIRECT("JulR!$A$6:$ZZ$1048576"), MATCH(AX$1, JulR!$6:$6, 0), FALSE),
            0
        ) +
        IFERROR(
            VLOOKUP($A28, INDIRECT("AgoR!$A$6:$ZZ$1048576"), MATCH(AX$1, AgoR!$6:$6, 0), FALSE),
            0
        ) +
        IFERROR(
            VLOOKUP($A28, INDIRECT("SepR!$A$6:$ZZ$1048576"), MATCH(AX$1, SepR!$6:$6, 0), FALSE),
            0
        ) +
        IFERROR(
            VLOOKUP($A28, INDIRECT("OctR!$A$6:$ZZ$1048576"), MATCH(AX$1, OctR!$6:$6, 0), FALSE),
            0
        ) +
        IFERROR(
            VLOOKUP($A28, INDIRECT("NovR!$A$6:$ZZ$1048576"), MATCH(AX$1, NovR!$6:$6, 0), FALSE),
            0
        ) +
        IFERROR(
            VLOOKUP($A28, INDIRECT("DicR!$A$6:$ZZ$1048576"), MATCH(AX$1, DicR!$6:$6, 0), FALSE),
            0
        )
)</f>
        <v>0</v>
      </c>
      <c r="AY28" s="37">
        <f t="array" ref="AY28">SUM(
    IFERROR(
            VLOOKUP($A28, INDIRECT("EneR!$A$6:$ZZ$1048576"), MATCH(AY$1, EneR!$6:$6, 0), FALSE),
            0
        ) +
        IFERROR(
            VLOOKUP($A28, INDIRECT("FebR!$A$6:$ZZ$1048576"), MATCH(AY$1, FebR!$6:$6, 0), FALSE),
            0
        ) +
        IFERROR(
            VLOOKUP($A28, INDIRECT("MarR!$A$6:$ZZ$1048576"), MATCH(AY$1, MarR!$6:$6, 0), FALSE),
            0
        ) +
        IFERROR(
            VLOOKUP($A28, INDIRECT("AbrR!$A$6:$ZZ$1048576"), MATCH(AY$1, AbrR!$6:$6, 0), FALSE),
            0
        ) +
        IFERROR(
            VLOOKUP($A28, INDIRECT("MayR!$A$6:$ZZ$1048576"), MATCH(AY$1, MayR!$6:$6, 0), FALSE),
            0
        ) +
        IFERROR(
            VLOOKUP($A28, INDIRECT("JunR!$A$6:$ZZ$1048576"), MATCH(AY$1, JunR!$6:$6, 0), FALSE),
            0
        ) +
        IFERROR(
            VLOOKUP($A28, INDIRECT("JulR!$A$6:$ZZ$1048576"), MATCH(AY$1, JulR!$6:$6, 0), FALSE),
            0
        ) +
        IFERROR(
            VLOOKUP($A28, INDIRECT("AgoR!$A$6:$ZZ$1048576"), MATCH(AY$1, AgoR!$6:$6, 0), FALSE),
            0
        ) +
        IFERROR(
            VLOOKUP($A28, INDIRECT("SepR!$A$6:$ZZ$1048576"), MATCH(AY$1, SepR!$6:$6, 0), FALSE),
            0
        ) +
        IFERROR(
            VLOOKUP($A28, INDIRECT("OctR!$A$6:$ZZ$1048576"), MATCH(AY$1, OctR!$6:$6, 0), FALSE),
            0
        ) +
        IFERROR(
            VLOOKUP($A28, INDIRECT("NovR!$A$6:$ZZ$1048576"), MATCH(AY$1, NovR!$6:$6, 0), FALSE),
            0
        ) +
        IFERROR(
            VLOOKUP($A28, INDIRECT("DicR!$A$6:$ZZ$1048576"), MATCH(AY$1, DicR!$6:$6, 0), FALSE),
            0
        )
)</f>
        <v>0</v>
      </c>
      <c r="AZ28" s="37"/>
    </row>
    <row r="29" ht="15.75" hidden="1" customHeight="1">
      <c r="A29" s="12" t="str">
        <f>Menus!R21</f>
        <v/>
      </c>
      <c r="B29" s="32">
        <f t="shared" ref="B29:B38" si="6">IFERROR(SUM(D29:AR29),"")</f>
        <v>0</v>
      </c>
      <c r="C29" s="33" t="str">
        <f t="shared" ref="C29:C38" si="7">IFERROR(INDEX($D$1:$AQ$69, MATCH($A29, $A$1:$A$109, 0), MATCH(C$1, $D$1:AZ$1, 0)), "")
</f>
        <v/>
      </c>
      <c r="D29" s="34">
        <f t="array" ref="D29">SUM(
    IFERROR(
            VLOOKUP($A29, INDIRECT("EneR!$A$6:$ZZ$1048576"), MATCH(D$1, EneR!$6:$6, 0), FALSE),
            0
        ) +
        IFERROR(
            VLOOKUP($A29, INDIRECT("FebR!$A$6:$ZZ$1048576"), MATCH(D$1, FebR!$6:$6, 0), FALSE),
            0
        ) +
        IFERROR(
            VLOOKUP($A29, INDIRECT("MarR!$A$6:$ZZ$1048576"), MATCH(D$1, MarR!$6:$6, 0), FALSE),
            0
        ) +
        IFERROR(
            VLOOKUP($A29, INDIRECT("AbrR!$A$6:$ZZ$1048576"), MATCH(D$1, AbrR!$6:$6, 0), FALSE),
            0
        ) +
        IFERROR(
            VLOOKUP($A29, INDIRECT("MayR!$A$6:$ZZ$1048576"), MATCH(D$1, MayR!$6:$6, 0), FALSE),
            0
        ) +
        IFERROR(
            VLOOKUP($A29, INDIRECT("JunR!$A$6:$ZZ$1048576"), MATCH(D$1, JunR!$6:$6, 0), FALSE),
            0
        ) +
        IFERROR(
            VLOOKUP($A29, INDIRECT("JulR!$A$6:$ZZ$1048576"), MATCH(D$1, JulR!$6:$6, 0), FALSE),
            0
        ) +
        IFERROR(
            VLOOKUP($A29, INDIRECT("AgoR!$A$6:$ZZ$1048576"), MATCH(D$1, AgoR!$6:$6, 0), FALSE),
            0
        ) +
        IFERROR(
            VLOOKUP($A29, INDIRECT("SepR!$A$6:$ZZ$1048576"), MATCH(D$1, SepR!$6:$6, 0), FALSE),
            0
        ) +
        IFERROR(
            VLOOKUP($A29, INDIRECT("OctR!$A$6:$ZZ$1048576"), MATCH(D$1, OctR!$6:$6, 0), FALSE),
            0
        ) +
        IFERROR(
            VLOOKUP($A29, INDIRECT("NovR!$A$6:$ZZ$1048576"), MATCH(D$1, NovR!$6:$6, 0), FALSE),
            0
        ) +
        IFERROR(
            VLOOKUP($A29, INDIRECT("DicR!$A$6:$ZZ$1048576"), MATCH(D$1, DicR!$6:$6, 0), FALSE),
            0
        )
)</f>
        <v>0</v>
      </c>
      <c r="E29" s="35">
        <f t="array" ref="E29">SUM(
    IFERROR(
            VLOOKUP($A29, INDIRECT("EneR!$A$6:$ZZ$1048576"), MATCH(E$1, EneR!$6:$6, 0), FALSE),
            0
        ) +
        IFERROR(
            VLOOKUP($A29, INDIRECT("FebR!$A$6:$ZZ$1048576"), MATCH(E$1, FebR!$6:$6, 0), FALSE),
            0
        ) +
        IFERROR(
            VLOOKUP($A29, INDIRECT("MarR!$A$6:$ZZ$1048576"), MATCH(E$1, MarR!$6:$6, 0), FALSE),
            0
        ) +
        IFERROR(
            VLOOKUP($A29, INDIRECT("AbrR!$A$6:$ZZ$1048576"), MATCH(E$1, AbrR!$6:$6, 0), FALSE),
            0
        ) +
        IFERROR(
            VLOOKUP($A29, INDIRECT("MayR!$A$6:$ZZ$1048576"), MATCH(E$1, MayR!$6:$6, 0), FALSE),
            0
        ) +
        IFERROR(
            VLOOKUP($A29, INDIRECT("JunR!$A$6:$ZZ$1048576"), MATCH(E$1, JunR!$6:$6, 0), FALSE),
            0
        ) +
        IFERROR(
            VLOOKUP($A29, INDIRECT("JulR!$A$6:$ZZ$1048576"), MATCH(E$1, JulR!$6:$6, 0), FALSE),
            0
        ) +
        IFERROR(
            VLOOKUP($A29, INDIRECT("AgoR!$A$6:$ZZ$1048576"), MATCH(E$1, AgoR!$6:$6, 0), FALSE),
            0
        ) +
        IFERROR(
            VLOOKUP($A29, INDIRECT("SepR!$A$6:$ZZ$1048576"), MATCH(E$1, SepR!$6:$6, 0), FALSE),
            0
        ) +
        IFERROR(
            VLOOKUP($A29, INDIRECT("OctR!$A$6:$ZZ$1048576"), MATCH(E$1, OctR!$6:$6, 0), FALSE),
            0
        ) +
        IFERROR(
            VLOOKUP($A29, INDIRECT("NovR!$A$6:$ZZ$1048576"), MATCH(E$1, NovR!$6:$6, 0), FALSE),
            0
        ) +
        IFERROR(
            VLOOKUP($A29, INDIRECT("DicR!$A$6:$ZZ$1048576"), MATCH(E$1, DicR!$6:$6, 0), FALSE),
            0
        )
)</f>
        <v>0</v>
      </c>
      <c r="F29" s="32">
        <f t="array" ref="F29">SUM(
    IFERROR(
            VLOOKUP($A29, INDIRECT("EneR!$A$6:$ZZ$1048576"), MATCH(F$1, EneR!$6:$6, 0), FALSE),
            0
        ) +
        IFERROR(
            VLOOKUP($A29, INDIRECT("FebR!$A$6:$ZZ$1048576"), MATCH(F$1, FebR!$6:$6, 0), FALSE),
            0
        ) +
        IFERROR(
            VLOOKUP($A29, INDIRECT("MarR!$A$6:$ZZ$1048576"), MATCH(F$1, MarR!$6:$6, 0), FALSE),
            0
        ) +
        IFERROR(
            VLOOKUP($A29, INDIRECT("AbrR!$A$6:$ZZ$1048576"), MATCH(F$1, AbrR!$6:$6, 0), FALSE),
            0
        ) +
        IFERROR(
            VLOOKUP($A29, INDIRECT("MayR!$A$6:$ZZ$1048576"), MATCH(F$1, MayR!$6:$6, 0), FALSE),
            0
        ) +
        IFERROR(
            VLOOKUP($A29, INDIRECT("JunR!$A$6:$ZZ$1048576"), MATCH(F$1, JunR!$6:$6, 0), FALSE),
            0
        ) +
        IFERROR(
            VLOOKUP($A29, INDIRECT("JulR!$A$6:$ZZ$1048576"), MATCH(F$1, JulR!$6:$6, 0), FALSE),
            0
        ) +
        IFERROR(
            VLOOKUP($A29, INDIRECT("AgoR!$A$6:$ZZ$1048576"), MATCH(F$1, AgoR!$6:$6, 0), FALSE),
            0
        ) +
        IFERROR(
            VLOOKUP($A29, INDIRECT("SepR!$A$6:$ZZ$1048576"), MATCH(F$1, SepR!$6:$6, 0), FALSE),
            0
        ) +
        IFERROR(
            VLOOKUP($A29, INDIRECT("OctR!$A$6:$ZZ$1048576"), MATCH(F$1, OctR!$6:$6, 0), FALSE),
            0
        ) +
        IFERROR(
            VLOOKUP($A29, INDIRECT("NovR!$A$6:$ZZ$1048576"), MATCH(F$1, NovR!$6:$6, 0), FALSE),
            0
        ) +
        IFERROR(
            VLOOKUP($A29, INDIRECT("DicR!$A$6:$ZZ$1048576"), MATCH(F$1, DicR!$6:$6, 0), FALSE),
            0
        )
)</f>
        <v>0</v>
      </c>
      <c r="G29" s="35">
        <f t="array" ref="G29">SUM(
    IFERROR(
            VLOOKUP($A29, INDIRECT("EneR!$A$6:$ZZ$1048576"), MATCH(G$1, EneR!$6:$6, 0), FALSE),
            0
        ) +
        IFERROR(
            VLOOKUP($A29, INDIRECT("FebR!$A$6:$ZZ$1048576"), MATCH(G$1, FebR!$6:$6, 0), FALSE),
            0
        ) +
        IFERROR(
            VLOOKUP($A29, INDIRECT("MarR!$A$6:$ZZ$1048576"), MATCH(G$1, MarR!$6:$6, 0), FALSE),
            0
        ) +
        IFERROR(
            VLOOKUP($A29, INDIRECT("AbrR!$A$6:$ZZ$1048576"), MATCH(G$1, AbrR!$6:$6, 0), FALSE),
            0
        ) +
        IFERROR(
            VLOOKUP($A29, INDIRECT("MayR!$A$6:$ZZ$1048576"), MATCH(G$1, MayR!$6:$6, 0), FALSE),
            0
        ) +
        IFERROR(
            VLOOKUP($A29, INDIRECT("JunR!$A$6:$ZZ$1048576"), MATCH(G$1, JunR!$6:$6, 0), FALSE),
            0
        ) +
        IFERROR(
            VLOOKUP($A29, INDIRECT("JulR!$A$6:$ZZ$1048576"), MATCH(G$1, JulR!$6:$6, 0), FALSE),
            0
        ) +
        IFERROR(
            VLOOKUP($A29, INDIRECT("AgoR!$A$6:$ZZ$1048576"), MATCH(G$1, AgoR!$6:$6, 0), FALSE),
            0
        ) +
        IFERROR(
            VLOOKUP($A29, INDIRECT("SepR!$A$6:$ZZ$1048576"), MATCH(G$1, SepR!$6:$6, 0), FALSE),
            0
        ) +
        IFERROR(
            VLOOKUP($A29, INDIRECT("OctR!$A$6:$ZZ$1048576"), MATCH(G$1, OctR!$6:$6, 0), FALSE),
            0
        ) +
        IFERROR(
            VLOOKUP($A29, INDIRECT("NovR!$A$6:$ZZ$1048576"), MATCH(G$1, NovR!$6:$6, 0), FALSE),
            0
        ) +
        IFERROR(
            VLOOKUP($A29, INDIRECT("DicR!$A$6:$ZZ$1048576"), MATCH(G$1, DicR!$6:$6, 0), FALSE),
            0
        )
)</f>
        <v>0</v>
      </c>
      <c r="H29" s="32">
        <f t="array" ref="H29">SUM(
    IFERROR(
            VLOOKUP($A29, INDIRECT("EneR!$A$6:$ZZ$1048576"), MATCH(H$1, EneR!$6:$6, 0), FALSE),
            0
        ) +
        IFERROR(
            VLOOKUP($A29, INDIRECT("FebR!$A$6:$ZZ$1048576"), MATCH(H$1, FebR!$6:$6, 0), FALSE),
            0
        ) +
        IFERROR(
            VLOOKUP($A29, INDIRECT("MarR!$A$6:$ZZ$1048576"), MATCH(H$1, MarR!$6:$6, 0), FALSE),
            0
        ) +
        IFERROR(
            VLOOKUP($A29, INDIRECT("AbrR!$A$6:$ZZ$1048576"), MATCH(H$1, AbrR!$6:$6, 0), FALSE),
            0
        ) +
        IFERROR(
            VLOOKUP($A29, INDIRECT("MayR!$A$6:$ZZ$1048576"), MATCH(H$1, MayR!$6:$6, 0), FALSE),
            0
        ) +
        IFERROR(
            VLOOKUP($A29, INDIRECT("JunR!$A$6:$ZZ$1048576"), MATCH(H$1, JunR!$6:$6, 0), FALSE),
            0
        ) +
        IFERROR(
            VLOOKUP($A29, INDIRECT("JulR!$A$6:$ZZ$1048576"), MATCH(H$1, JulR!$6:$6, 0), FALSE),
            0
        ) +
        IFERROR(
            VLOOKUP($A29, INDIRECT("AgoR!$A$6:$ZZ$1048576"), MATCH(H$1, AgoR!$6:$6, 0), FALSE),
            0
        ) +
        IFERROR(
            VLOOKUP($A29, INDIRECT("SepR!$A$6:$ZZ$1048576"), MATCH(H$1, SepR!$6:$6, 0), FALSE),
            0
        ) +
        IFERROR(
            VLOOKUP($A29, INDIRECT("OctR!$A$6:$ZZ$1048576"), MATCH(H$1, OctR!$6:$6, 0), FALSE),
            0
        ) +
        IFERROR(
            VLOOKUP($A29, INDIRECT("NovR!$A$6:$ZZ$1048576"), MATCH(H$1, NovR!$6:$6, 0), FALSE),
            0
        ) +
        IFERROR(
            VLOOKUP($A29, INDIRECT("DicR!$A$6:$ZZ$1048576"), MATCH(H$1, DicR!$6:$6, 0), FALSE),
            0
        )
)</f>
        <v>0</v>
      </c>
      <c r="I29" s="35">
        <f t="array" ref="I29">SUM(
    IFERROR(
            VLOOKUP($A29, INDIRECT("EneR!$A$6:$ZZ$1048576"), MATCH(I$1, EneR!$6:$6, 0), FALSE),
            0
        ) +
        IFERROR(
            VLOOKUP($A29, INDIRECT("FebR!$A$6:$ZZ$1048576"), MATCH(I$1, FebR!$6:$6, 0), FALSE),
            0
        ) +
        IFERROR(
            VLOOKUP($A29, INDIRECT("MarR!$A$6:$ZZ$1048576"), MATCH(I$1, MarR!$6:$6, 0), FALSE),
            0
        ) +
        IFERROR(
            VLOOKUP($A29, INDIRECT("AbrR!$A$6:$ZZ$1048576"), MATCH(I$1, AbrR!$6:$6, 0), FALSE),
            0
        ) +
        IFERROR(
            VLOOKUP($A29, INDIRECT("MayR!$A$6:$ZZ$1048576"), MATCH(I$1, MayR!$6:$6, 0), FALSE),
            0
        ) +
        IFERROR(
            VLOOKUP($A29, INDIRECT("JunR!$A$6:$ZZ$1048576"), MATCH(I$1, JunR!$6:$6, 0), FALSE),
            0
        ) +
        IFERROR(
            VLOOKUP($A29, INDIRECT("JulR!$A$6:$ZZ$1048576"), MATCH(I$1, JulR!$6:$6, 0), FALSE),
            0
        ) +
        IFERROR(
            VLOOKUP($A29, INDIRECT("AgoR!$A$6:$ZZ$1048576"), MATCH(I$1, AgoR!$6:$6, 0), FALSE),
            0
        ) +
        IFERROR(
            VLOOKUP($A29, INDIRECT("SepR!$A$6:$ZZ$1048576"), MATCH(I$1, SepR!$6:$6, 0), FALSE),
            0
        ) +
        IFERROR(
            VLOOKUP($A29, INDIRECT("OctR!$A$6:$ZZ$1048576"), MATCH(I$1, OctR!$6:$6, 0), FALSE),
            0
        ) +
        IFERROR(
            VLOOKUP($A29, INDIRECT("NovR!$A$6:$ZZ$1048576"), MATCH(I$1, NovR!$6:$6, 0), FALSE),
            0
        ) +
        IFERROR(
            VLOOKUP($A29, INDIRECT("DicR!$A$6:$ZZ$1048576"), MATCH(I$1, DicR!$6:$6, 0), FALSE),
            0
        )
)</f>
        <v>0</v>
      </c>
      <c r="J29" s="32">
        <f t="array" ref="J29">SUM(
    IFERROR(
            VLOOKUP($A29, INDIRECT("EneR!$A$6:$ZZ$1048576"), MATCH(J$1, EneR!$6:$6, 0), FALSE),
            0
        ) +
        IFERROR(
            VLOOKUP($A29, INDIRECT("FebR!$A$6:$ZZ$1048576"), MATCH(J$1, FebR!$6:$6, 0), FALSE),
            0
        ) +
        IFERROR(
            VLOOKUP($A29, INDIRECT("MarR!$A$6:$ZZ$1048576"), MATCH(J$1, MarR!$6:$6, 0), FALSE),
            0
        ) +
        IFERROR(
            VLOOKUP($A29, INDIRECT("AbrR!$A$6:$ZZ$1048576"), MATCH(J$1, AbrR!$6:$6, 0), FALSE),
            0
        ) +
        IFERROR(
            VLOOKUP($A29, INDIRECT("MayR!$A$6:$ZZ$1048576"), MATCH(J$1, MayR!$6:$6, 0), FALSE),
            0
        ) +
        IFERROR(
            VLOOKUP($A29, INDIRECT("JunR!$A$6:$ZZ$1048576"), MATCH(J$1, JunR!$6:$6, 0), FALSE),
            0
        ) +
        IFERROR(
            VLOOKUP($A29, INDIRECT("JulR!$A$6:$ZZ$1048576"), MATCH(J$1, JulR!$6:$6, 0), FALSE),
            0
        ) +
        IFERROR(
            VLOOKUP($A29, INDIRECT("AgoR!$A$6:$ZZ$1048576"), MATCH(J$1, AgoR!$6:$6, 0), FALSE),
            0
        ) +
        IFERROR(
            VLOOKUP($A29, INDIRECT("SepR!$A$6:$ZZ$1048576"), MATCH(J$1, SepR!$6:$6, 0), FALSE),
            0
        ) +
        IFERROR(
            VLOOKUP($A29, INDIRECT("OctR!$A$6:$ZZ$1048576"), MATCH(J$1, OctR!$6:$6, 0), FALSE),
            0
        ) +
        IFERROR(
            VLOOKUP($A29, INDIRECT("NovR!$A$6:$ZZ$1048576"), MATCH(J$1, NovR!$6:$6, 0), FALSE),
            0
        ) +
        IFERROR(
            VLOOKUP($A29, INDIRECT("DicR!$A$6:$ZZ$1048576"), MATCH(J$1, DicR!$6:$6, 0), FALSE),
            0
        )
)</f>
        <v>0</v>
      </c>
      <c r="K29" s="35">
        <f t="array" ref="K29">SUM(
    IFERROR(
            VLOOKUP($A29, INDIRECT("EneR!$A$6:$ZZ$1048576"), MATCH(K$1, EneR!$6:$6, 0), FALSE),
            0
        ) +
        IFERROR(
            VLOOKUP($A29, INDIRECT("FebR!$A$6:$ZZ$1048576"), MATCH(K$1, FebR!$6:$6, 0), FALSE),
            0
        ) +
        IFERROR(
            VLOOKUP($A29, INDIRECT("MarR!$A$6:$ZZ$1048576"), MATCH(K$1, MarR!$6:$6, 0), FALSE),
            0
        ) +
        IFERROR(
            VLOOKUP($A29, INDIRECT("AbrR!$A$6:$ZZ$1048576"), MATCH(K$1, AbrR!$6:$6, 0), FALSE),
            0
        ) +
        IFERROR(
            VLOOKUP($A29, INDIRECT("MayR!$A$6:$ZZ$1048576"), MATCH(K$1, MayR!$6:$6, 0), FALSE),
            0
        ) +
        IFERROR(
            VLOOKUP($A29, INDIRECT("JunR!$A$6:$ZZ$1048576"), MATCH(K$1, JunR!$6:$6, 0), FALSE),
            0
        ) +
        IFERROR(
            VLOOKUP($A29, INDIRECT("JulR!$A$6:$ZZ$1048576"), MATCH(K$1, JulR!$6:$6, 0), FALSE),
            0
        ) +
        IFERROR(
            VLOOKUP($A29, INDIRECT("AgoR!$A$6:$ZZ$1048576"), MATCH(K$1, AgoR!$6:$6, 0), FALSE),
            0
        ) +
        IFERROR(
            VLOOKUP($A29, INDIRECT("SepR!$A$6:$ZZ$1048576"), MATCH(K$1, SepR!$6:$6, 0), FALSE),
            0
        ) +
        IFERROR(
            VLOOKUP($A29, INDIRECT("OctR!$A$6:$ZZ$1048576"), MATCH(K$1, OctR!$6:$6, 0), FALSE),
            0
        ) +
        IFERROR(
            VLOOKUP($A29, INDIRECT("NovR!$A$6:$ZZ$1048576"), MATCH(K$1, NovR!$6:$6, 0), FALSE),
            0
        ) +
        IFERROR(
            VLOOKUP($A29, INDIRECT("DicR!$A$6:$ZZ$1048576"), MATCH(K$1, DicR!$6:$6, 0), FALSE),
            0
        )
)</f>
        <v>0</v>
      </c>
      <c r="L29" s="32">
        <f t="array" ref="L29">SUM(
    IFERROR(
            VLOOKUP($A29, INDIRECT("EneR!$A$6:$ZZ$1048576"), MATCH(L$1, EneR!$6:$6, 0), FALSE),
            0
        ) +
        IFERROR(
            VLOOKUP($A29, INDIRECT("FebR!$A$6:$ZZ$1048576"), MATCH(L$1, FebR!$6:$6, 0), FALSE),
            0
        ) +
        IFERROR(
            VLOOKUP($A29, INDIRECT("MarR!$A$6:$ZZ$1048576"), MATCH(L$1, MarR!$6:$6, 0), FALSE),
            0
        ) +
        IFERROR(
            VLOOKUP($A29, INDIRECT("AbrR!$A$6:$ZZ$1048576"), MATCH(L$1, AbrR!$6:$6, 0), FALSE),
            0
        ) +
        IFERROR(
            VLOOKUP($A29, INDIRECT("MayR!$A$6:$ZZ$1048576"), MATCH(L$1, MayR!$6:$6, 0), FALSE),
            0
        ) +
        IFERROR(
            VLOOKUP($A29, INDIRECT("JunR!$A$6:$ZZ$1048576"), MATCH(L$1, JunR!$6:$6, 0), FALSE),
            0
        ) +
        IFERROR(
            VLOOKUP($A29, INDIRECT("JulR!$A$6:$ZZ$1048576"), MATCH(L$1, JulR!$6:$6, 0), FALSE),
            0
        ) +
        IFERROR(
            VLOOKUP($A29, INDIRECT("AgoR!$A$6:$ZZ$1048576"), MATCH(L$1, AgoR!$6:$6, 0), FALSE),
            0
        ) +
        IFERROR(
            VLOOKUP($A29, INDIRECT("SepR!$A$6:$ZZ$1048576"), MATCH(L$1, SepR!$6:$6, 0), FALSE),
            0
        ) +
        IFERROR(
            VLOOKUP($A29, INDIRECT("OctR!$A$6:$ZZ$1048576"), MATCH(L$1, OctR!$6:$6, 0), FALSE),
            0
        ) +
        IFERROR(
            VLOOKUP($A29, INDIRECT("NovR!$A$6:$ZZ$1048576"), MATCH(L$1, NovR!$6:$6, 0), FALSE),
            0
        ) +
        IFERROR(
            VLOOKUP($A29, INDIRECT("DicR!$A$6:$ZZ$1048576"), MATCH(L$1, DicR!$6:$6, 0), FALSE),
            0
        )
)</f>
        <v>0</v>
      </c>
      <c r="M29" s="35">
        <f t="array" ref="M29">SUM(
    IFERROR(
            VLOOKUP($A29, INDIRECT("EneR!$A$6:$ZZ$1048576"), MATCH(M$1, EneR!$6:$6, 0), FALSE),
            0
        ) +
        IFERROR(
            VLOOKUP($A29, INDIRECT("FebR!$A$6:$ZZ$1048576"), MATCH(M$1, FebR!$6:$6, 0), FALSE),
            0
        ) +
        IFERROR(
            VLOOKUP($A29, INDIRECT("MarR!$A$6:$ZZ$1048576"), MATCH(M$1, MarR!$6:$6, 0), FALSE),
            0
        ) +
        IFERROR(
            VLOOKUP($A29, INDIRECT("AbrR!$A$6:$ZZ$1048576"), MATCH(M$1, AbrR!$6:$6, 0), FALSE),
            0
        ) +
        IFERROR(
            VLOOKUP($A29, INDIRECT("MayR!$A$6:$ZZ$1048576"), MATCH(M$1, MayR!$6:$6, 0), FALSE),
            0
        ) +
        IFERROR(
            VLOOKUP($A29, INDIRECT("JunR!$A$6:$ZZ$1048576"), MATCH(M$1, JunR!$6:$6, 0), FALSE),
            0
        ) +
        IFERROR(
            VLOOKUP($A29, INDIRECT("JulR!$A$6:$ZZ$1048576"), MATCH(M$1, JulR!$6:$6, 0), FALSE),
            0
        ) +
        IFERROR(
            VLOOKUP($A29, INDIRECT("AgoR!$A$6:$ZZ$1048576"), MATCH(M$1, AgoR!$6:$6, 0), FALSE),
            0
        ) +
        IFERROR(
            VLOOKUP($A29, INDIRECT("SepR!$A$6:$ZZ$1048576"), MATCH(M$1, SepR!$6:$6, 0), FALSE),
            0
        ) +
        IFERROR(
            VLOOKUP($A29, INDIRECT("OctR!$A$6:$ZZ$1048576"), MATCH(M$1, OctR!$6:$6, 0), FALSE),
            0
        ) +
        IFERROR(
            VLOOKUP($A29, INDIRECT("NovR!$A$6:$ZZ$1048576"), MATCH(M$1, NovR!$6:$6, 0), FALSE),
            0
        ) +
        IFERROR(
            VLOOKUP($A29, INDIRECT("DicR!$A$6:$ZZ$1048576"), MATCH(M$1, DicR!$6:$6, 0), FALSE),
            0
        )
)</f>
        <v>0</v>
      </c>
      <c r="N29" s="32">
        <f t="array" ref="N29">SUM(
    IFERROR(
            VLOOKUP($A29, INDIRECT("EneR!$A$6:$ZZ$1048576"), MATCH(N$1, EneR!$6:$6, 0), FALSE),
            0
        ) +
        IFERROR(
            VLOOKUP($A29, INDIRECT("FebR!$A$6:$ZZ$1048576"), MATCH(N$1, FebR!$6:$6, 0), FALSE),
            0
        ) +
        IFERROR(
            VLOOKUP($A29, INDIRECT("MarR!$A$6:$ZZ$1048576"), MATCH(N$1, MarR!$6:$6, 0), FALSE),
            0
        ) +
        IFERROR(
            VLOOKUP($A29, INDIRECT("AbrR!$A$6:$ZZ$1048576"), MATCH(N$1, AbrR!$6:$6, 0), FALSE),
            0
        ) +
        IFERROR(
            VLOOKUP($A29, INDIRECT("MayR!$A$6:$ZZ$1048576"), MATCH(N$1, MayR!$6:$6, 0), FALSE),
            0
        ) +
        IFERROR(
            VLOOKUP($A29, INDIRECT("JunR!$A$6:$ZZ$1048576"), MATCH(N$1, JunR!$6:$6, 0), FALSE),
            0
        ) +
        IFERROR(
            VLOOKUP($A29, INDIRECT("JulR!$A$6:$ZZ$1048576"), MATCH(N$1, JulR!$6:$6, 0), FALSE),
            0
        ) +
        IFERROR(
            VLOOKUP($A29, INDIRECT("AgoR!$A$6:$ZZ$1048576"), MATCH(N$1, AgoR!$6:$6, 0), FALSE),
            0
        ) +
        IFERROR(
            VLOOKUP($A29, INDIRECT("SepR!$A$6:$ZZ$1048576"), MATCH(N$1, SepR!$6:$6, 0), FALSE),
            0
        ) +
        IFERROR(
            VLOOKUP($A29, INDIRECT("OctR!$A$6:$ZZ$1048576"), MATCH(N$1, OctR!$6:$6, 0), FALSE),
            0
        ) +
        IFERROR(
            VLOOKUP($A29, INDIRECT("NovR!$A$6:$ZZ$1048576"), MATCH(N$1, NovR!$6:$6, 0), FALSE),
            0
        ) +
        IFERROR(
            VLOOKUP($A29, INDIRECT("DicR!$A$6:$ZZ$1048576"), MATCH(N$1, DicR!$6:$6, 0), FALSE),
            0
        )
)</f>
        <v>0</v>
      </c>
      <c r="O29" s="35">
        <f t="array" ref="O29">SUM(
    IFERROR(
            VLOOKUP($A29, INDIRECT("EneR!$A$6:$ZZ$1048576"), MATCH(O$1, EneR!$6:$6, 0), FALSE),
            0
        ) +
        IFERROR(
            VLOOKUP($A29, INDIRECT("FebR!$A$6:$ZZ$1048576"), MATCH(O$1, FebR!$6:$6, 0), FALSE),
            0
        ) +
        IFERROR(
            VLOOKUP($A29, INDIRECT("MarR!$A$6:$ZZ$1048576"), MATCH(O$1, MarR!$6:$6, 0), FALSE),
            0
        ) +
        IFERROR(
            VLOOKUP($A29, INDIRECT("AbrR!$A$6:$ZZ$1048576"), MATCH(O$1, AbrR!$6:$6, 0), FALSE),
            0
        ) +
        IFERROR(
            VLOOKUP($A29, INDIRECT("MayR!$A$6:$ZZ$1048576"), MATCH(O$1, MayR!$6:$6, 0), FALSE),
            0
        ) +
        IFERROR(
            VLOOKUP($A29, INDIRECT("JunR!$A$6:$ZZ$1048576"), MATCH(O$1, JunR!$6:$6, 0), FALSE),
            0
        ) +
        IFERROR(
            VLOOKUP($A29, INDIRECT("JulR!$A$6:$ZZ$1048576"), MATCH(O$1, JulR!$6:$6, 0), FALSE),
            0
        ) +
        IFERROR(
            VLOOKUP($A29, INDIRECT("AgoR!$A$6:$ZZ$1048576"), MATCH(O$1, AgoR!$6:$6, 0), FALSE),
            0
        ) +
        IFERROR(
            VLOOKUP($A29, INDIRECT("SepR!$A$6:$ZZ$1048576"), MATCH(O$1, SepR!$6:$6, 0), FALSE),
            0
        ) +
        IFERROR(
            VLOOKUP($A29, INDIRECT("OctR!$A$6:$ZZ$1048576"), MATCH(O$1, OctR!$6:$6, 0), FALSE),
            0
        ) +
        IFERROR(
            VLOOKUP($A29, INDIRECT("NovR!$A$6:$ZZ$1048576"), MATCH(O$1, NovR!$6:$6, 0), FALSE),
            0
        ) +
        IFERROR(
            VLOOKUP($A29, INDIRECT("DicR!$A$6:$ZZ$1048576"), MATCH(O$1, DicR!$6:$6, 0), FALSE),
            0
        )
)</f>
        <v>0</v>
      </c>
      <c r="P29" s="32">
        <f t="array" ref="P29">SUM(
    IFERROR(
            VLOOKUP($A29, INDIRECT("EneR!$A$6:$ZZ$1048576"), MATCH(P$1, EneR!$6:$6, 0), FALSE),
            0
        ) +
        IFERROR(
            VLOOKUP($A29, INDIRECT("FebR!$A$6:$ZZ$1048576"), MATCH(P$1, FebR!$6:$6, 0), FALSE),
            0
        ) +
        IFERROR(
            VLOOKUP($A29, INDIRECT("MarR!$A$6:$ZZ$1048576"), MATCH(P$1, MarR!$6:$6, 0), FALSE),
            0
        ) +
        IFERROR(
            VLOOKUP($A29, INDIRECT("AbrR!$A$6:$ZZ$1048576"), MATCH(P$1, AbrR!$6:$6, 0), FALSE),
            0
        ) +
        IFERROR(
            VLOOKUP($A29, INDIRECT("MayR!$A$6:$ZZ$1048576"), MATCH(P$1, MayR!$6:$6, 0), FALSE),
            0
        ) +
        IFERROR(
            VLOOKUP($A29, INDIRECT("JunR!$A$6:$ZZ$1048576"), MATCH(P$1, JunR!$6:$6, 0), FALSE),
            0
        ) +
        IFERROR(
            VLOOKUP($A29, INDIRECT("JulR!$A$6:$ZZ$1048576"), MATCH(P$1, JulR!$6:$6, 0), FALSE),
            0
        ) +
        IFERROR(
            VLOOKUP($A29, INDIRECT("AgoR!$A$6:$ZZ$1048576"), MATCH(P$1, AgoR!$6:$6, 0), FALSE),
            0
        ) +
        IFERROR(
            VLOOKUP($A29, INDIRECT("SepR!$A$6:$ZZ$1048576"), MATCH(P$1, SepR!$6:$6, 0), FALSE),
            0
        ) +
        IFERROR(
            VLOOKUP($A29, INDIRECT("OctR!$A$6:$ZZ$1048576"), MATCH(P$1, OctR!$6:$6, 0), FALSE),
            0
        ) +
        IFERROR(
            VLOOKUP($A29, INDIRECT("NovR!$A$6:$ZZ$1048576"), MATCH(P$1, NovR!$6:$6, 0), FALSE),
            0
        ) +
        IFERROR(
            VLOOKUP($A29, INDIRECT("DicR!$A$6:$ZZ$1048576"), MATCH(P$1, DicR!$6:$6, 0), FALSE),
            0
        )
)</f>
        <v>0</v>
      </c>
      <c r="Q29" s="35">
        <f t="array" ref="Q29">SUM(
    IFERROR(
            VLOOKUP($A29, INDIRECT("EneR!$A$6:$ZZ$1048576"), MATCH(Q$1, EneR!$6:$6, 0), FALSE),
            0
        ) +
        IFERROR(
            VLOOKUP($A29, INDIRECT("FebR!$A$6:$ZZ$1048576"), MATCH(Q$1, FebR!$6:$6, 0), FALSE),
            0
        ) +
        IFERROR(
            VLOOKUP($A29, INDIRECT("MarR!$A$6:$ZZ$1048576"), MATCH(Q$1, MarR!$6:$6, 0), FALSE),
            0
        ) +
        IFERROR(
            VLOOKUP($A29, INDIRECT("AbrR!$A$6:$ZZ$1048576"), MATCH(Q$1, AbrR!$6:$6, 0), FALSE),
            0
        ) +
        IFERROR(
            VLOOKUP($A29, INDIRECT("MayR!$A$6:$ZZ$1048576"), MATCH(Q$1, MayR!$6:$6, 0), FALSE),
            0
        ) +
        IFERROR(
            VLOOKUP($A29, INDIRECT("JunR!$A$6:$ZZ$1048576"), MATCH(Q$1, JunR!$6:$6, 0), FALSE),
            0
        ) +
        IFERROR(
            VLOOKUP($A29, INDIRECT("JulR!$A$6:$ZZ$1048576"), MATCH(Q$1, JulR!$6:$6, 0), FALSE),
            0
        ) +
        IFERROR(
            VLOOKUP($A29, INDIRECT("AgoR!$A$6:$ZZ$1048576"), MATCH(Q$1, AgoR!$6:$6, 0), FALSE),
            0
        ) +
        IFERROR(
            VLOOKUP($A29, INDIRECT("SepR!$A$6:$ZZ$1048576"), MATCH(Q$1, SepR!$6:$6, 0), FALSE),
            0
        ) +
        IFERROR(
            VLOOKUP($A29, INDIRECT("OctR!$A$6:$ZZ$1048576"), MATCH(Q$1, OctR!$6:$6, 0), FALSE),
            0
        ) +
        IFERROR(
            VLOOKUP($A29, INDIRECT("NovR!$A$6:$ZZ$1048576"), MATCH(Q$1, NovR!$6:$6, 0), FALSE),
            0
        ) +
        IFERROR(
            VLOOKUP($A29, INDIRECT("DicR!$A$6:$ZZ$1048576"), MATCH(Q$1, DicR!$6:$6, 0), FALSE),
            0
        )
)</f>
        <v>0</v>
      </c>
      <c r="R29" s="36">
        <f t="array" ref="R29">SUM(
    IFERROR(
            VLOOKUP($A29, INDIRECT("EneR!$A$6:$ZZ$1048576"), MATCH(R$1, EneR!$6:$6, 0), FALSE),
            0
        ) +
        IFERROR(
            VLOOKUP($A29, INDIRECT("FebR!$A$6:$ZZ$1048576"), MATCH(R$1, FebR!$6:$6, 0), FALSE),
            0
        ) +
        IFERROR(
            VLOOKUP($A29, INDIRECT("MarR!$A$6:$ZZ$1048576"), MATCH(R$1, MarR!$6:$6, 0), FALSE),
            0
        ) +
        IFERROR(
            VLOOKUP($A29, INDIRECT("AbrR!$A$6:$ZZ$1048576"), MATCH(R$1, AbrR!$6:$6, 0), FALSE),
            0
        ) +
        IFERROR(
            VLOOKUP($A29, INDIRECT("MayR!$A$6:$ZZ$1048576"), MATCH(R$1, MayR!$6:$6, 0), FALSE),
            0
        ) +
        IFERROR(
            VLOOKUP($A29, INDIRECT("JunR!$A$6:$ZZ$1048576"), MATCH(R$1, JunR!$6:$6, 0), FALSE),
            0
        ) +
        IFERROR(
            VLOOKUP($A29, INDIRECT("JulR!$A$6:$ZZ$1048576"), MATCH(R$1, JulR!$6:$6, 0), FALSE),
            0
        ) +
        IFERROR(
            VLOOKUP($A29, INDIRECT("AgoR!$A$6:$ZZ$1048576"), MATCH(R$1, AgoR!$6:$6, 0), FALSE),
            0
        ) +
        IFERROR(
            VLOOKUP($A29, INDIRECT("SepR!$A$6:$ZZ$1048576"), MATCH(R$1, SepR!$6:$6, 0), FALSE),
            0
        ) +
        IFERROR(
            VLOOKUP($A29, INDIRECT("OctR!$A$6:$ZZ$1048576"), MATCH(R$1, OctR!$6:$6, 0), FALSE),
            0
        ) +
        IFERROR(
            VLOOKUP($A29, INDIRECT("NovR!$A$6:$ZZ$1048576"), MATCH(R$1, NovR!$6:$6, 0), FALSE),
            0
        ) +
        IFERROR(
            VLOOKUP($A29, INDIRECT("DicR!$A$6:$ZZ$1048576"), MATCH(R$1, DicR!$6:$6, 0), FALSE),
            0
        )
)</f>
        <v>0</v>
      </c>
      <c r="S29" s="37">
        <f t="array" ref="S29">SUM(
    IFERROR(
            VLOOKUP($A29, INDIRECT("EneR!$A$6:$ZZ$1048576"), MATCH(S$1, EneR!$6:$6, 0), FALSE),
            0
        ) +
        IFERROR(
            VLOOKUP($A29, INDIRECT("FebR!$A$6:$ZZ$1048576"), MATCH(S$1, FebR!$6:$6, 0), FALSE),
            0
        ) +
        IFERROR(
            VLOOKUP($A29, INDIRECT("MarR!$A$6:$ZZ$1048576"), MATCH(S$1, MarR!$6:$6, 0), FALSE),
            0
        ) +
        IFERROR(
            VLOOKUP($A29, INDIRECT("AbrR!$A$6:$ZZ$1048576"), MATCH(S$1, AbrR!$6:$6, 0), FALSE),
            0
        ) +
        IFERROR(
            VLOOKUP($A29, INDIRECT("MayR!$A$6:$ZZ$1048576"), MATCH(S$1, MayR!$6:$6, 0), FALSE),
            0
        ) +
        IFERROR(
            VLOOKUP($A29, INDIRECT("JunR!$A$6:$ZZ$1048576"), MATCH(S$1, JunR!$6:$6, 0), FALSE),
            0
        ) +
        IFERROR(
            VLOOKUP($A29, INDIRECT("JulR!$A$6:$ZZ$1048576"), MATCH(S$1, JulR!$6:$6, 0), FALSE),
            0
        ) +
        IFERROR(
            VLOOKUP($A29, INDIRECT("AgoR!$A$6:$ZZ$1048576"), MATCH(S$1, AgoR!$6:$6, 0), FALSE),
            0
        ) +
        IFERROR(
            VLOOKUP($A29, INDIRECT("SepR!$A$6:$ZZ$1048576"), MATCH(S$1, SepR!$6:$6, 0), FALSE),
            0
        ) +
        IFERROR(
            VLOOKUP($A29, INDIRECT("OctR!$A$6:$ZZ$1048576"), MATCH(S$1, OctR!$6:$6, 0), FALSE),
            0
        ) +
        IFERROR(
            VLOOKUP($A29, INDIRECT("NovR!$A$6:$ZZ$1048576"), MATCH(S$1, NovR!$6:$6, 0), FALSE),
            0
        ) +
        IFERROR(
            VLOOKUP($A29, INDIRECT("DicR!$A$6:$ZZ$1048576"), MATCH(S$1, DicR!$6:$6, 0), FALSE),
            0
        )
)</f>
        <v>0</v>
      </c>
      <c r="T29" s="36">
        <f t="array" ref="T29">SUM(
    IFERROR(
            VLOOKUP($A29, INDIRECT("EneR!$A$6:$ZZ$1048576"), MATCH(T$1, EneR!$6:$6, 0), FALSE),
            0
        ) +
        IFERROR(
            VLOOKUP($A29, INDIRECT("FebR!$A$6:$ZZ$1048576"), MATCH(T$1, FebR!$6:$6, 0), FALSE),
            0
        ) +
        IFERROR(
            VLOOKUP($A29, INDIRECT("MarR!$A$6:$ZZ$1048576"), MATCH(T$1, MarR!$6:$6, 0), FALSE),
            0
        ) +
        IFERROR(
            VLOOKUP($A29, INDIRECT("AbrR!$A$6:$ZZ$1048576"), MATCH(T$1, AbrR!$6:$6, 0), FALSE),
            0
        ) +
        IFERROR(
            VLOOKUP($A29, INDIRECT("MayR!$A$6:$ZZ$1048576"), MATCH(T$1, MayR!$6:$6, 0), FALSE),
            0
        ) +
        IFERROR(
            VLOOKUP($A29, INDIRECT("JunR!$A$6:$ZZ$1048576"), MATCH(T$1, JunR!$6:$6, 0), FALSE),
            0
        ) +
        IFERROR(
            VLOOKUP($A29, INDIRECT("JulR!$A$6:$ZZ$1048576"), MATCH(T$1, JulR!$6:$6, 0), FALSE),
            0
        ) +
        IFERROR(
            VLOOKUP($A29, INDIRECT("AgoR!$A$6:$ZZ$1048576"), MATCH(T$1, AgoR!$6:$6, 0), FALSE),
            0
        ) +
        IFERROR(
            VLOOKUP($A29, INDIRECT("SepR!$A$6:$ZZ$1048576"), MATCH(T$1, SepR!$6:$6, 0), FALSE),
            0
        ) +
        IFERROR(
            VLOOKUP($A29, INDIRECT("OctR!$A$6:$ZZ$1048576"), MATCH(T$1, OctR!$6:$6, 0), FALSE),
            0
        ) +
        IFERROR(
            VLOOKUP($A29, INDIRECT("NovR!$A$6:$ZZ$1048576"), MATCH(T$1, NovR!$6:$6, 0), FALSE),
            0
        ) +
        IFERROR(
            VLOOKUP($A29, INDIRECT("DicR!$A$6:$ZZ$1048576"), MATCH(T$1, DicR!$6:$6, 0), FALSE),
            0
        )
)</f>
        <v>0</v>
      </c>
      <c r="U29" s="37">
        <f t="array" ref="U29">SUM(
    IFERROR(
            VLOOKUP($A29, INDIRECT("EneR!$A$6:$ZZ$1048576"), MATCH(U$1, EneR!$6:$6, 0), FALSE),
            0
        ) +
        IFERROR(
            VLOOKUP($A29, INDIRECT("FebR!$A$6:$ZZ$1048576"), MATCH(U$1, FebR!$6:$6, 0), FALSE),
            0
        ) +
        IFERROR(
            VLOOKUP($A29, INDIRECT("MarR!$A$6:$ZZ$1048576"), MATCH(U$1, MarR!$6:$6, 0), FALSE),
            0
        ) +
        IFERROR(
            VLOOKUP($A29, INDIRECT("AbrR!$A$6:$ZZ$1048576"), MATCH(U$1, AbrR!$6:$6, 0), FALSE),
            0
        ) +
        IFERROR(
            VLOOKUP($A29, INDIRECT("MayR!$A$6:$ZZ$1048576"), MATCH(U$1, MayR!$6:$6, 0), FALSE),
            0
        ) +
        IFERROR(
            VLOOKUP($A29, INDIRECT("JunR!$A$6:$ZZ$1048576"), MATCH(U$1, JunR!$6:$6, 0), FALSE),
            0
        ) +
        IFERROR(
            VLOOKUP($A29, INDIRECT("JulR!$A$6:$ZZ$1048576"), MATCH(U$1, JulR!$6:$6, 0), FALSE),
            0
        ) +
        IFERROR(
            VLOOKUP($A29, INDIRECT("AgoR!$A$6:$ZZ$1048576"), MATCH(U$1, AgoR!$6:$6, 0), FALSE),
            0
        ) +
        IFERROR(
            VLOOKUP($A29, INDIRECT("SepR!$A$6:$ZZ$1048576"), MATCH(U$1, SepR!$6:$6, 0), FALSE),
            0
        ) +
        IFERROR(
            VLOOKUP($A29, INDIRECT("OctR!$A$6:$ZZ$1048576"), MATCH(U$1, OctR!$6:$6, 0), FALSE),
            0
        ) +
        IFERROR(
            VLOOKUP($A29, INDIRECT("NovR!$A$6:$ZZ$1048576"), MATCH(U$1, NovR!$6:$6, 0), FALSE),
            0
        ) +
        IFERROR(
            VLOOKUP($A29, INDIRECT("DicR!$A$6:$ZZ$1048576"), MATCH(U$1, DicR!$6:$6, 0), FALSE),
            0
        )
)</f>
        <v>0</v>
      </c>
      <c r="V29" s="36">
        <f t="array" ref="V29">SUM(
    IFERROR(
            VLOOKUP($A29, INDIRECT("EneR!$A$6:$ZZ$1048576"), MATCH(V$1, EneR!$6:$6, 0), FALSE),
            0
        ) +
        IFERROR(
            VLOOKUP($A29, INDIRECT("FebR!$A$6:$ZZ$1048576"), MATCH(V$1, FebR!$6:$6, 0), FALSE),
            0
        ) +
        IFERROR(
            VLOOKUP($A29, INDIRECT("MarR!$A$6:$ZZ$1048576"), MATCH(V$1, MarR!$6:$6, 0), FALSE),
            0
        ) +
        IFERROR(
            VLOOKUP($A29, INDIRECT("AbrR!$A$6:$ZZ$1048576"), MATCH(V$1, AbrR!$6:$6, 0), FALSE),
            0
        ) +
        IFERROR(
            VLOOKUP($A29, INDIRECT("MayR!$A$6:$ZZ$1048576"), MATCH(V$1, MayR!$6:$6, 0), FALSE),
            0
        ) +
        IFERROR(
            VLOOKUP($A29, INDIRECT("JunR!$A$6:$ZZ$1048576"), MATCH(V$1, JunR!$6:$6, 0), FALSE),
            0
        ) +
        IFERROR(
            VLOOKUP($A29, INDIRECT("JulR!$A$6:$ZZ$1048576"), MATCH(V$1, JulR!$6:$6, 0), FALSE),
            0
        ) +
        IFERROR(
            VLOOKUP($A29, INDIRECT("AgoR!$A$6:$ZZ$1048576"), MATCH(V$1, AgoR!$6:$6, 0), FALSE),
            0
        ) +
        IFERROR(
            VLOOKUP($A29, INDIRECT("SepR!$A$6:$ZZ$1048576"), MATCH(V$1, SepR!$6:$6, 0), FALSE),
            0
        ) +
        IFERROR(
            VLOOKUP($A29, INDIRECT("OctR!$A$6:$ZZ$1048576"), MATCH(V$1, OctR!$6:$6, 0), FALSE),
            0
        ) +
        IFERROR(
            VLOOKUP($A29, INDIRECT("NovR!$A$6:$ZZ$1048576"), MATCH(V$1, NovR!$6:$6, 0), FALSE),
            0
        ) +
        IFERROR(
            VLOOKUP($A29, INDIRECT("DicR!$A$6:$ZZ$1048576"), MATCH(V$1, DicR!$6:$6, 0), FALSE),
            0
        )
)</f>
        <v>0</v>
      </c>
      <c r="W29" s="37">
        <f t="array" ref="W29">SUM(
    IFERROR(
            VLOOKUP($A29, INDIRECT("EneR!$A$6:$ZZ$1048576"), MATCH(W$1, EneR!$6:$6, 0), FALSE),
            0
        ) +
        IFERROR(
            VLOOKUP($A29, INDIRECT("FebR!$A$6:$ZZ$1048576"), MATCH(W$1, FebR!$6:$6, 0), FALSE),
            0
        ) +
        IFERROR(
            VLOOKUP($A29, INDIRECT("MarR!$A$6:$ZZ$1048576"), MATCH(W$1, MarR!$6:$6, 0), FALSE),
            0
        ) +
        IFERROR(
            VLOOKUP($A29, INDIRECT("AbrR!$A$6:$ZZ$1048576"), MATCH(W$1, AbrR!$6:$6, 0), FALSE),
            0
        ) +
        IFERROR(
            VLOOKUP($A29, INDIRECT("MayR!$A$6:$ZZ$1048576"), MATCH(W$1, MayR!$6:$6, 0), FALSE),
            0
        ) +
        IFERROR(
            VLOOKUP($A29, INDIRECT("JunR!$A$6:$ZZ$1048576"), MATCH(W$1, JunR!$6:$6, 0), FALSE),
            0
        ) +
        IFERROR(
            VLOOKUP($A29, INDIRECT("JulR!$A$6:$ZZ$1048576"), MATCH(W$1, JulR!$6:$6, 0), FALSE),
            0
        ) +
        IFERROR(
            VLOOKUP($A29, INDIRECT("AgoR!$A$6:$ZZ$1048576"), MATCH(W$1, AgoR!$6:$6, 0), FALSE),
            0
        ) +
        IFERROR(
            VLOOKUP($A29, INDIRECT("SepR!$A$6:$ZZ$1048576"), MATCH(W$1, SepR!$6:$6, 0), FALSE),
            0
        ) +
        IFERROR(
            VLOOKUP($A29, INDIRECT("OctR!$A$6:$ZZ$1048576"), MATCH(W$1, OctR!$6:$6, 0), FALSE),
            0
        ) +
        IFERROR(
            VLOOKUP($A29, INDIRECT("NovR!$A$6:$ZZ$1048576"), MATCH(W$1, NovR!$6:$6, 0), FALSE),
            0
        ) +
        IFERROR(
            VLOOKUP($A29, INDIRECT("DicR!$A$6:$ZZ$1048576"), MATCH(W$1, DicR!$6:$6, 0), FALSE),
            0
        )
)</f>
        <v>0</v>
      </c>
      <c r="X29" s="36">
        <f t="array" ref="X29">SUM(
    IFERROR(
            VLOOKUP($A29, INDIRECT("EneR!$A$6:$ZZ$1048576"), MATCH(X$1, EneR!$6:$6, 0), FALSE),
            0
        ) +
        IFERROR(
            VLOOKUP($A29, INDIRECT("FebR!$A$6:$ZZ$1048576"), MATCH(X$1, FebR!$6:$6, 0), FALSE),
            0
        ) +
        IFERROR(
            VLOOKUP($A29, INDIRECT("MarR!$A$6:$ZZ$1048576"), MATCH(X$1, MarR!$6:$6, 0), FALSE),
            0
        ) +
        IFERROR(
            VLOOKUP($A29, INDIRECT("AbrR!$A$6:$ZZ$1048576"), MATCH(X$1, AbrR!$6:$6, 0), FALSE),
            0
        ) +
        IFERROR(
            VLOOKUP($A29, INDIRECT("MayR!$A$6:$ZZ$1048576"), MATCH(X$1, MayR!$6:$6, 0), FALSE),
            0
        ) +
        IFERROR(
            VLOOKUP($A29, INDIRECT("JunR!$A$6:$ZZ$1048576"), MATCH(X$1, JunR!$6:$6, 0), FALSE),
            0
        ) +
        IFERROR(
            VLOOKUP($A29, INDIRECT("JulR!$A$6:$ZZ$1048576"), MATCH(X$1, JulR!$6:$6, 0), FALSE),
            0
        ) +
        IFERROR(
            VLOOKUP($A29, INDIRECT("AgoR!$A$6:$ZZ$1048576"), MATCH(X$1, AgoR!$6:$6, 0), FALSE),
            0
        ) +
        IFERROR(
            VLOOKUP($A29, INDIRECT("SepR!$A$6:$ZZ$1048576"), MATCH(X$1, SepR!$6:$6, 0), FALSE),
            0
        ) +
        IFERROR(
            VLOOKUP($A29, INDIRECT("OctR!$A$6:$ZZ$1048576"), MATCH(X$1, OctR!$6:$6, 0), FALSE),
            0
        ) +
        IFERROR(
            VLOOKUP($A29, INDIRECT("NovR!$A$6:$ZZ$1048576"), MATCH(X$1, NovR!$6:$6, 0), FALSE),
            0
        ) +
        IFERROR(
            VLOOKUP($A29, INDIRECT("DicR!$A$6:$ZZ$1048576"), MATCH(X$1, DicR!$6:$6, 0), FALSE),
            0
        )
)</f>
        <v>0</v>
      </c>
      <c r="Y29" s="37">
        <f t="array" ref="Y29">SUM(
    IFERROR(
            VLOOKUP($A29, INDIRECT("EneR!$A$6:$ZZ$1048576"), MATCH(Y$1, EneR!$6:$6, 0), FALSE),
            0
        ) +
        IFERROR(
            VLOOKUP($A29, INDIRECT("FebR!$A$6:$ZZ$1048576"), MATCH(Y$1, FebR!$6:$6, 0), FALSE),
            0
        ) +
        IFERROR(
            VLOOKUP($A29, INDIRECT("MarR!$A$6:$ZZ$1048576"), MATCH(Y$1, MarR!$6:$6, 0), FALSE),
            0
        ) +
        IFERROR(
            VLOOKUP($A29, INDIRECT("AbrR!$A$6:$ZZ$1048576"), MATCH(Y$1, AbrR!$6:$6, 0), FALSE),
            0
        ) +
        IFERROR(
            VLOOKUP($A29, INDIRECT("MayR!$A$6:$ZZ$1048576"), MATCH(Y$1, MayR!$6:$6, 0), FALSE),
            0
        ) +
        IFERROR(
            VLOOKUP($A29, INDIRECT("JunR!$A$6:$ZZ$1048576"), MATCH(Y$1, JunR!$6:$6, 0), FALSE),
            0
        ) +
        IFERROR(
            VLOOKUP($A29, INDIRECT("JulR!$A$6:$ZZ$1048576"), MATCH(Y$1, JulR!$6:$6, 0), FALSE),
            0
        ) +
        IFERROR(
            VLOOKUP($A29, INDIRECT("AgoR!$A$6:$ZZ$1048576"), MATCH(Y$1, AgoR!$6:$6, 0), FALSE),
            0
        ) +
        IFERROR(
            VLOOKUP($A29, INDIRECT("SepR!$A$6:$ZZ$1048576"), MATCH(Y$1, SepR!$6:$6, 0), FALSE),
            0
        ) +
        IFERROR(
            VLOOKUP($A29, INDIRECT("OctR!$A$6:$ZZ$1048576"), MATCH(Y$1, OctR!$6:$6, 0), FALSE),
            0
        ) +
        IFERROR(
            VLOOKUP($A29, INDIRECT("NovR!$A$6:$ZZ$1048576"), MATCH(Y$1, NovR!$6:$6, 0), FALSE),
            0
        ) +
        IFERROR(
            VLOOKUP($A29, INDIRECT("DicR!$A$6:$ZZ$1048576"), MATCH(Y$1, DicR!$6:$6, 0), FALSE),
            0
        )
)</f>
        <v>0</v>
      </c>
      <c r="Z29" s="36">
        <f t="array" ref="Z29">SUM(
    IFERROR(
            VLOOKUP($A29, INDIRECT("EneR!$A$6:$ZZ$1048576"), MATCH(Z$1, EneR!$6:$6, 0), FALSE),
            0
        ) +
        IFERROR(
            VLOOKUP($A29, INDIRECT("FebR!$A$6:$ZZ$1048576"), MATCH(Z$1, FebR!$6:$6, 0), FALSE),
            0
        ) +
        IFERROR(
            VLOOKUP($A29, INDIRECT("MarR!$A$6:$ZZ$1048576"), MATCH(Z$1, MarR!$6:$6, 0), FALSE),
            0
        ) +
        IFERROR(
            VLOOKUP($A29, INDIRECT("AbrR!$A$6:$ZZ$1048576"), MATCH(Z$1, AbrR!$6:$6, 0), FALSE),
            0
        ) +
        IFERROR(
            VLOOKUP($A29, INDIRECT("MayR!$A$6:$ZZ$1048576"), MATCH(Z$1, MayR!$6:$6, 0), FALSE),
            0
        ) +
        IFERROR(
            VLOOKUP($A29, INDIRECT("JunR!$A$6:$ZZ$1048576"), MATCH(Z$1, JunR!$6:$6, 0), FALSE),
            0
        ) +
        IFERROR(
            VLOOKUP($A29, INDIRECT("JulR!$A$6:$ZZ$1048576"), MATCH(Z$1, JulR!$6:$6, 0), FALSE),
            0
        ) +
        IFERROR(
            VLOOKUP($A29, INDIRECT("AgoR!$A$6:$ZZ$1048576"), MATCH(Z$1, AgoR!$6:$6, 0), FALSE),
            0
        ) +
        IFERROR(
            VLOOKUP($A29, INDIRECT("SepR!$A$6:$ZZ$1048576"), MATCH(Z$1, SepR!$6:$6, 0), FALSE),
            0
        ) +
        IFERROR(
            VLOOKUP($A29, INDIRECT("OctR!$A$6:$ZZ$1048576"), MATCH(Z$1, OctR!$6:$6, 0), FALSE),
            0
        ) +
        IFERROR(
            VLOOKUP($A29, INDIRECT("NovR!$A$6:$ZZ$1048576"), MATCH(Z$1, NovR!$6:$6, 0), FALSE),
            0
        ) +
        IFERROR(
            VLOOKUP($A29, INDIRECT("DicR!$A$6:$ZZ$1048576"), MATCH(Z$1, DicR!$6:$6, 0), FALSE),
            0
        )
)</f>
        <v>0</v>
      </c>
      <c r="AA29" s="37">
        <f t="array" ref="AA29">SUM(
    IFERROR(
            VLOOKUP($A29, INDIRECT("EneR!$A$6:$ZZ$1048576"), MATCH(AA$1, EneR!$6:$6, 0), FALSE),
            0
        ) +
        IFERROR(
            VLOOKUP($A29, INDIRECT("FebR!$A$6:$ZZ$1048576"), MATCH(AA$1, FebR!$6:$6, 0), FALSE),
            0
        ) +
        IFERROR(
            VLOOKUP($A29, INDIRECT("MarR!$A$6:$ZZ$1048576"), MATCH(AA$1, MarR!$6:$6, 0), FALSE),
            0
        ) +
        IFERROR(
            VLOOKUP($A29, INDIRECT("AbrR!$A$6:$ZZ$1048576"), MATCH(AA$1, AbrR!$6:$6, 0), FALSE),
            0
        ) +
        IFERROR(
            VLOOKUP($A29, INDIRECT("MayR!$A$6:$ZZ$1048576"), MATCH(AA$1, MayR!$6:$6, 0), FALSE),
            0
        ) +
        IFERROR(
            VLOOKUP($A29, INDIRECT("JunR!$A$6:$ZZ$1048576"), MATCH(AA$1, JunR!$6:$6, 0), FALSE),
            0
        ) +
        IFERROR(
            VLOOKUP($A29, INDIRECT("JulR!$A$6:$ZZ$1048576"), MATCH(AA$1, JulR!$6:$6, 0), FALSE),
            0
        ) +
        IFERROR(
            VLOOKUP($A29, INDIRECT("AgoR!$A$6:$ZZ$1048576"), MATCH(AA$1, AgoR!$6:$6, 0), FALSE),
            0
        ) +
        IFERROR(
            VLOOKUP($A29, INDIRECT("SepR!$A$6:$ZZ$1048576"), MATCH(AA$1, SepR!$6:$6, 0), FALSE),
            0
        ) +
        IFERROR(
            VLOOKUP($A29, INDIRECT("OctR!$A$6:$ZZ$1048576"), MATCH(AA$1, OctR!$6:$6, 0), FALSE),
            0
        ) +
        IFERROR(
            VLOOKUP($A29, INDIRECT("NovR!$A$6:$ZZ$1048576"), MATCH(AA$1, NovR!$6:$6, 0), FALSE),
            0
        ) +
        IFERROR(
            VLOOKUP($A29, INDIRECT("DicR!$A$6:$ZZ$1048576"), MATCH(AA$1, DicR!$6:$6, 0), FALSE),
            0
        )
)</f>
        <v>0</v>
      </c>
      <c r="AB29" s="36">
        <f t="array" ref="AB29">SUM(
    IFERROR(
            VLOOKUP($A29, INDIRECT("EneR!$A$6:$ZZ$1048576"), MATCH(AB$1, EneR!$6:$6, 0), FALSE),
            0
        ) +
        IFERROR(
            VLOOKUP($A29, INDIRECT("FebR!$A$6:$ZZ$1048576"), MATCH(AB$1, FebR!$6:$6, 0), FALSE),
            0
        ) +
        IFERROR(
            VLOOKUP($A29, INDIRECT("MarR!$A$6:$ZZ$1048576"), MATCH(AB$1, MarR!$6:$6, 0), FALSE),
            0
        ) +
        IFERROR(
            VLOOKUP($A29, INDIRECT("AbrR!$A$6:$ZZ$1048576"), MATCH(AB$1, AbrR!$6:$6, 0), FALSE),
            0
        ) +
        IFERROR(
            VLOOKUP($A29, INDIRECT("MayR!$A$6:$ZZ$1048576"), MATCH(AB$1, MayR!$6:$6, 0), FALSE),
            0
        ) +
        IFERROR(
            VLOOKUP($A29, INDIRECT("JunR!$A$6:$ZZ$1048576"), MATCH(AB$1, JunR!$6:$6, 0), FALSE),
            0
        ) +
        IFERROR(
            VLOOKUP($A29, INDIRECT("JulR!$A$6:$ZZ$1048576"), MATCH(AB$1, JulR!$6:$6, 0), FALSE),
            0
        ) +
        IFERROR(
            VLOOKUP($A29, INDIRECT("AgoR!$A$6:$ZZ$1048576"), MATCH(AB$1, AgoR!$6:$6, 0), FALSE),
            0
        ) +
        IFERROR(
            VLOOKUP($A29, INDIRECT("SepR!$A$6:$ZZ$1048576"), MATCH(AB$1, SepR!$6:$6, 0), FALSE),
            0
        ) +
        IFERROR(
            VLOOKUP($A29, INDIRECT("OctR!$A$6:$ZZ$1048576"), MATCH(AB$1, OctR!$6:$6, 0), FALSE),
            0
        ) +
        IFERROR(
            VLOOKUP($A29, INDIRECT("NovR!$A$6:$ZZ$1048576"), MATCH(AB$1, NovR!$6:$6, 0), FALSE),
            0
        ) +
        IFERROR(
            VLOOKUP($A29, INDIRECT("DicR!$A$6:$ZZ$1048576"), MATCH(AB$1, DicR!$6:$6, 0), FALSE),
            0
        )
)</f>
        <v>0</v>
      </c>
      <c r="AC29" s="37">
        <f t="array" ref="AC29">SUM(
    IFERROR(
            VLOOKUP($A29, INDIRECT("EneR!$A$6:$ZZ$1048576"), MATCH(AC$1, EneR!$6:$6, 0), FALSE),
            0
        ) +
        IFERROR(
            VLOOKUP($A29, INDIRECT("FebR!$A$6:$ZZ$1048576"), MATCH(AC$1, FebR!$6:$6, 0), FALSE),
            0
        ) +
        IFERROR(
            VLOOKUP($A29, INDIRECT("MarR!$A$6:$ZZ$1048576"), MATCH(AC$1, MarR!$6:$6, 0), FALSE),
            0
        ) +
        IFERROR(
            VLOOKUP($A29, INDIRECT("AbrR!$A$6:$ZZ$1048576"), MATCH(AC$1, AbrR!$6:$6, 0), FALSE),
            0
        ) +
        IFERROR(
            VLOOKUP($A29, INDIRECT("MayR!$A$6:$ZZ$1048576"), MATCH(AC$1, MayR!$6:$6, 0), FALSE),
            0
        ) +
        IFERROR(
            VLOOKUP($A29, INDIRECT("JunR!$A$6:$ZZ$1048576"), MATCH(AC$1, JunR!$6:$6, 0), FALSE),
            0
        ) +
        IFERROR(
            VLOOKUP($A29, INDIRECT("JulR!$A$6:$ZZ$1048576"), MATCH(AC$1, JulR!$6:$6, 0), FALSE),
            0
        ) +
        IFERROR(
            VLOOKUP($A29, INDIRECT("AgoR!$A$6:$ZZ$1048576"), MATCH(AC$1, AgoR!$6:$6, 0), FALSE),
            0
        ) +
        IFERROR(
            VLOOKUP($A29, INDIRECT("SepR!$A$6:$ZZ$1048576"), MATCH(AC$1, SepR!$6:$6, 0), FALSE),
            0
        ) +
        IFERROR(
            VLOOKUP($A29, INDIRECT("OctR!$A$6:$ZZ$1048576"), MATCH(AC$1, OctR!$6:$6, 0), FALSE),
            0
        ) +
        IFERROR(
            VLOOKUP($A29, INDIRECT("NovR!$A$6:$ZZ$1048576"), MATCH(AC$1, NovR!$6:$6, 0), FALSE),
            0
        ) +
        IFERROR(
            VLOOKUP($A29, INDIRECT("DicR!$A$6:$ZZ$1048576"), MATCH(AC$1, DicR!$6:$6, 0), FALSE),
            0
        )
)</f>
        <v>0</v>
      </c>
      <c r="AD29" s="36">
        <f t="array" ref="AD29">SUM(
    IFERROR(
            VLOOKUP($A29, INDIRECT("EneR!$A$6:$ZZ$1048576"), MATCH(AD$1, EneR!$6:$6, 0), FALSE),
            0
        ) +
        IFERROR(
            VLOOKUP($A29, INDIRECT("FebR!$A$6:$ZZ$1048576"), MATCH(AD$1, FebR!$6:$6, 0), FALSE),
            0
        ) +
        IFERROR(
            VLOOKUP($A29, INDIRECT("MarR!$A$6:$ZZ$1048576"), MATCH(AD$1, MarR!$6:$6, 0), FALSE),
            0
        ) +
        IFERROR(
            VLOOKUP($A29, INDIRECT("AbrR!$A$6:$ZZ$1048576"), MATCH(AD$1, AbrR!$6:$6, 0), FALSE),
            0
        ) +
        IFERROR(
            VLOOKUP($A29, INDIRECT("MayR!$A$6:$ZZ$1048576"), MATCH(AD$1, MayR!$6:$6, 0), FALSE),
            0
        ) +
        IFERROR(
            VLOOKUP($A29, INDIRECT("JunR!$A$6:$ZZ$1048576"), MATCH(AD$1, JunR!$6:$6, 0), FALSE),
            0
        ) +
        IFERROR(
            VLOOKUP($A29, INDIRECT("JulR!$A$6:$ZZ$1048576"), MATCH(AD$1, JulR!$6:$6, 0), FALSE),
            0
        ) +
        IFERROR(
            VLOOKUP($A29, INDIRECT("AgoR!$A$6:$ZZ$1048576"), MATCH(AD$1, AgoR!$6:$6, 0), FALSE),
            0
        ) +
        IFERROR(
            VLOOKUP($A29, INDIRECT("SepR!$A$6:$ZZ$1048576"), MATCH(AD$1, SepR!$6:$6, 0), FALSE),
            0
        ) +
        IFERROR(
            VLOOKUP($A29, INDIRECT("OctR!$A$6:$ZZ$1048576"), MATCH(AD$1, OctR!$6:$6, 0), FALSE),
            0
        ) +
        IFERROR(
            VLOOKUP($A29, INDIRECT("NovR!$A$6:$ZZ$1048576"), MATCH(AD$1, NovR!$6:$6, 0), FALSE),
            0
        ) +
        IFERROR(
            VLOOKUP($A29, INDIRECT("DicR!$A$6:$ZZ$1048576"), MATCH(AD$1, DicR!$6:$6, 0), FALSE),
            0
        )
)</f>
        <v>0</v>
      </c>
      <c r="AE29" s="37">
        <f t="array" ref="AE29">SUM(
    IFERROR(
            VLOOKUP($A29, INDIRECT("EneR!$A$6:$ZZ$1048576"), MATCH(AE$1, EneR!$6:$6, 0), FALSE),
            0
        ) +
        IFERROR(
            VLOOKUP($A29, INDIRECT("FebR!$A$6:$ZZ$1048576"), MATCH(AE$1, FebR!$6:$6, 0), FALSE),
            0
        ) +
        IFERROR(
            VLOOKUP($A29, INDIRECT("MarR!$A$6:$ZZ$1048576"), MATCH(AE$1, MarR!$6:$6, 0), FALSE),
            0
        ) +
        IFERROR(
            VLOOKUP($A29, INDIRECT("AbrR!$A$6:$ZZ$1048576"), MATCH(AE$1, AbrR!$6:$6, 0), FALSE),
            0
        ) +
        IFERROR(
            VLOOKUP($A29, INDIRECT("MayR!$A$6:$ZZ$1048576"), MATCH(AE$1, MayR!$6:$6, 0), FALSE),
            0
        ) +
        IFERROR(
            VLOOKUP($A29, INDIRECT("JunR!$A$6:$ZZ$1048576"), MATCH(AE$1, JunR!$6:$6, 0), FALSE),
            0
        ) +
        IFERROR(
            VLOOKUP($A29, INDIRECT("JulR!$A$6:$ZZ$1048576"), MATCH(AE$1, JulR!$6:$6, 0), FALSE),
            0
        ) +
        IFERROR(
            VLOOKUP($A29, INDIRECT("AgoR!$A$6:$ZZ$1048576"), MATCH(AE$1, AgoR!$6:$6, 0), FALSE),
            0
        ) +
        IFERROR(
            VLOOKUP($A29, INDIRECT("SepR!$A$6:$ZZ$1048576"), MATCH(AE$1, SepR!$6:$6, 0), FALSE),
            0
        ) +
        IFERROR(
            VLOOKUP($A29, INDIRECT("OctR!$A$6:$ZZ$1048576"), MATCH(AE$1, OctR!$6:$6, 0), FALSE),
            0
        ) +
        IFERROR(
            VLOOKUP($A29, INDIRECT("NovR!$A$6:$ZZ$1048576"), MATCH(AE$1, NovR!$6:$6, 0), FALSE),
            0
        ) +
        IFERROR(
            VLOOKUP($A29, INDIRECT("DicR!$A$6:$ZZ$1048576"), MATCH(AE$1, DicR!$6:$6, 0), FALSE),
            0
        )
)</f>
        <v>0</v>
      </c>
      <c r="AF29" s="36">
        <f t="array" ref="AF29">SUM(
    IFERROR(
            VLOOKUP($A29, INDIRECT("EneR!$A$6:$ZZ$1048576"), MATCH(AF$1, EneR!$6:$6, 0), FALSE),
            0
        ) +
        IFERROR(
            VLOOKUP($A29, INDIRECT("FebR!$A$6:$ZZ$1048576"), MATCH(AF$1, FebR!$6:$6, 0), FALSE),
            0
        ) +
        IFERROR(
            VLOOKUP($A29, INDIRECT("MarR!$A$6:$ZZ$1048576"), MATCH(AF$1, MarR!$6:$6, 0), FALSE),
            0
        ) +
        IFERROR(
            VLOOKUP($A29, INDIRECT("AbrR!$A$6:$ZZ$1048576"), MATCH(AF$1, AbrR!$6:$6, 0), FALSE),
            0
        ) +
        IFERROR(
            VLOOKUP($A29, INDIRECT("MayR!$A$6:$ZZ$1048576"), MATCH(AF$1, MayR!$6:$6, 0), FALSE),
            0
        ) +
        IFERROR(
            VLOOKUP($A29, INDIRECT("JunR!$A$6:$ZZ$1048576"), MATCH(AF$1, JunR!$6:$6, 0), FALSE),
            0
        ) +
        IFERROR(
            VLOOKUP($A29, INDIRECT("JulR!$A$6:$ZZ$1048576"), MATCH(AF$1, JulR!$6:$6, 0), FALSE),
            0
        ) +
        IFERROR(
            VLOOKUP($A29, INDIRECT("AgoR!$A$6:$ZZ$1048576"), MATCH(AF$1, AgoR!$6:$6, 0), FALSE),
            0
        ) +
        IFERROR(
            VLOOKUP($A29, INDIRECT("SepR!$A$6:$ZZ$1048576"), MATCH(AF$1, SepR!$6:$6, 0), FALSE),
            0
        ) +
        IFERROR(
            VLOOKUP($A29, INDIRECT("OctR!$A$6:$ZZ$1048576"), MATCH(AF$1, OctR!$6:$6, 0), FALSE),
            0
        ) +
        IFERROR(
            VLOOKUP($A29, INDIRECT("NovR!$A$6:$ZZ$1048576"), MATCH(AF$1, NovR!$6:$6, 0), FALSE),
            0
        ) +
        IFERROR(
            VLOOKUP($A29, INDIRECT("DicR!$A$6:$ZZ$1048576"), MATCH(AF$1, DicR!$6:$6, 0), FALSE),
            0
        )
)</f>
        <v>0</v>
      </c>
      <c r="AG29" s="37">
        <f t="array" ref="AG29">SUM(
    IFERROR(
            VLOOKUP($A29, INDIRECT("EneR!$A$6:$ZZ$1048576"), MATCH(AG$1, EneR!$6:$6, 0), FALSE),
            0
        ) +
        IFERROR(
            VLOOKUP($A29, INDIRECT("FebR!$A$6:$ZZ$1048576"), MATCH(AG$1, FebR!$6:$6, 0), FALSE),
            0
        ) +
        IFERROR(
            VLOOKUP($A29, INDIRECT("MarR!$A$6:$ZZ$1048576"), MATCH(AG$1, MarR!$6:$6, 0), FALSE),
            0
        ) +
        IFERROR(
            VLOOKUP($A29, INDIRECT("AbrR!$A$6:$ZZ$1048576"), MATCH(AG$1, AbrR!$6:$6, 0), FALSE),
            0
        ) +
        IFERROR(
            VLOOKUP($A29, INDIRECT("MayR!$A$6:$ZZ$1048576"), MATCH(AG$1, MayR!$6:$6, 0), FALSE),
            0
        ) +
        IFERROR(
            VLOOKUP($A29, INDIRECT("JunR!$A$6:$ZZ$1048576"), MATCH(AG$1, JunR!$6:$6, 0), FALSE),
            0
        ) +
        IFERROR(
            VLOOKUP($A29, INDIRECT("JulR!$A$6:$ZZ$1048576"), MATCH(AG$1, JulR!$6:$6, 0), FALSE),
            0
        ) +
        IFERROR(
            VLOOKUP($A29, INDIRECT("AgoR!$A$6:$ZZ$1048576"), MATCH(AG$1, AgoR!$6:$6, 0), FALSE),
            0
        ) +
        IFERROR(
            VLOOKUP($A29, INDIRECT("SepR!$A$6:$ZZ$1048576"), MATCH(AG$1, SepR!$6:$6, 0), FALSE),
            0
        ) +
        IFERROR(
            VLOOKUP($A29, INDIRECT("OctR!$A$6:$ZZ$1048576"), MATCH(AG$1, OctR!$6:$6, 0), FALSE),
            0
        ) +
        IFERROR(
            VLOOKUP($A29, INDIRECT("NovR!$A$6:$ZZ$1048576"), MATCH(AG$1, NovR!$6:$6, 0), FALSE),
            0
        ) +
        IFERROR(
            VLOOKUP($A29, INDIRECT("DicR!$A$6:$ZZ$1048576"), MATCH(AG$1, DicR!$6:$6, 0), FALSE),
            0
        )
)</f>
        <v>0</v>
      </c>
      <c r="AH29" s="36">
        <f t="array" ref="AH29">SUM(
    IFERROR(
            VLOOKUP($A29, INDIRECT("EneR!$A$6:$ZZ$1048576"), MATCH(AH$1, EneR!$6:$6, 0), FALSE),
            0
        ) +
        IFERROR(
            VLOOKUP($A29, INDIRECT("FebR!$A$6:$ZZ$1048576"), MATCH(AH$1, FebR!$6:$6, 0), FALSE),
            0
        ) +
        IFERROR(
            VLOOKUP($A29, INDIRECT("MarR!$A$6:$ZZ$1048576"), MATCH(AH$1, MarR!$6:$6, 0), FALSE),
            0
        ) +
        IFERROR(
            VLOOKUP($A29, INDIRECT("AbrR!$A$6:$ZZ$1048576"), MATCH(AH$1, AbrR!$6:$6, 0), FALSE),
            0
        ) +
        IFERROR(
            VLOOKUP($A29, INDIRECT("MayR!$A$6:$ZZ$1048576"), MATCH(AH$1, MayR!$6:$6, 0), FALSE),
            0
        ) +
        IFERROR(
            VLOOKUP($A29, INDIRECT("JunR!$A$6:$ZZ$1048576"), MATCH(AH$1, JunR!$6:$6, 0), FALSE),
            0
        ) +
        IFERROR(
            VLOOKUP($A29, INDIRECT("JulR!$A$6:$ZZ$1048576"), MATCH(AH$1, JulR!$6:$6, 0), FALSE),
            0
        ) +
        IFERROR(
            VLOOKUP($A29, INDIRECT("AgoR!$A$6:$ZZ$1048576"), MATCH(AH$1, AgoR!$6:$6, 0), FALSE),
            0
        ) +
        IFERROR(
            VLOOKUP($A29, INDIRECT("SepR!$A$6:$ZZ$1048576"), MATCH(AH$1, SepR!$6:$6, 0), FALSE),
            0
        ) +
        IFERROR(
            VLOOKUP($A29, INDIRECT("OctR!$A$6:$ZZ$1048576"), MATCH(AH$1, OctR!$6:$6, 0), FALSE),
            0
        ) +
        IFERROR(
            VLOOKUP($A29, INDIRECT("NovR!$A$6:$ZZ$1048576"), MATCH(AH$1, NovR!$6:$6, 0), FALSE),
            0
        ) +
        IFERROR(
            VLOOKUP($A29, INDIRECT("DicR!$A$6:$ZZ$1048576"), MATCH(AH$1, DicR!$6:$6, 0), FALSE),
            0
        )
)</f>
        <v>0</v>
      </c>
      <c r="AI29" s="37">
        <f t="array" ref="AI29">SUM(
    IFERROR(
            VLOOKUP($A29, INDIRECT("EneR!$A$6:$ZZ$1048576"), MATCH(AI$1, EneR!$6:$6, 0), FALSE),
            0
        ) +
        IFERROR(
            VLOOKUP($A29, INDIRECT("FebR!$A$6:$ZZ$1048576"), MATCH(AI$1, FebR!$6:$6, 0), FALSE),
            0
        ) +
        IFERROR(
            VLOOKUP($A29, INDIRECT("MarR!$A$6:$ZZ$1048576"), MATCH(AI$1, MarR!$6:$6, 0), FALSE),
            0
        ) +
        IFERROR(
            VLOOKUP($A29, INDIRECT("AbrR!$A$6:$ZZ$1048576"), MATCH(AI$1, AbrR!$6:$6, 0), FALSE),
            0
        ) +
        IFERROR(
            VLOOKUP($A29, INDIRECT("MayR!$A$6:$ZZ$1048576"), MATCH(AI$1, MayR!$6:$6, 0), FALSE),
            0
        ) +
        IFERROR(
            VLOOKUP($A29, INDIRECT("JunR!$A$6:$ZZ$1048576"), MATCH(AI$1, JunR!$6:$6, 0), FALSE),
            0
        ) +
        IFERROR(
            VLOOKUP($A29, INDIRECT("JulR!$A$6:$ZZ$1048576"), MATCH(AI$1, JulR!$6:$6, 0), FALSE),
            0
        ) +
        IFERROR(
            VLOOKUP($A29, INDIRECT("AgoR!$A$6:$ZZ$1048576"), MATCH(AI$1, AgoR!$6:$6, 0), FALSE),
            0
        ) +
        IFERROR(
            VLOOKUP($A29, INDIRECT("SepR!$A$6:$ZZ$1048576"), MATCH(AI$1, SepR!$6:$6, 0), FALSE),
            0
        ) +
        IFERROR(
            VLOOKUP($A29, INDIRECT("OctR!$A$6:$ZZ$1048576"), MATCH(AI$1, OctR!$6:$6, 0), FALSE),
            0
        ) +
        IFERROR(
            VLOOKUP($A29, INDIRECT("NovR!$A$6:$ZZ$1048576"), MATCH(AI$1, NovR!$6:$6, 0), FALSE),
            0
        ) +
        IFERROR(
            VLOOKUP($A29, INDIRECT("DicR!$A$6:$ZZ$1048576"), MATCH(AI$1, DicR!$6:$6, 0), FALSE),
            0
        )
)</f>
        <v>0</v>
      </c>
      <c r="AJ29" s="36">
        <f t="array" ref="AJ29">SUM(
    IFERROR(
            VLOOKUP($A29, INDIRECT("EneR!$A$6:$ZZ$1048576"), MATCH(AJ$1, EneR!$6:$6, 0), FALSE),
            0
        ) +
        IFERROR(
            VLOOKUP($A29, INDIRECT("FebR!$A$6:$ZZ$1048576"), MATCH(AJ$1, FebR!$6:$6, 0), FALSE),
            0
        ) +
        IFERROR(
            VLOOKUP($A29, INDIRECT("MarR!$A$6:$ZZ$1048576"), MATCH(AJ$1, MarR!$6:$6, 0), FALSE),
            0
        ) +
        IFERROR(
            VLOOKUP($A29, INDIRECT("AbrR!$A$6:$ZZ$1048576"), MATCH(AJ$1, AbrR!$6:$6, 0), FALSE),
            0
        ) +
        IFERROR(
            VLOOKUP($A29, INDIRECT("MayR!$A$6:$ZZ$1048576"), MATCH(AJ$1, MayR!$6:$6, 0), FALSE),
            0
        ) +
        IFERROR(
            VLOOKUP($A29, INDIRECT("JunR!$A$6:$ZZ$1048576"), MATCH(AJ$1, JunR!$6:$6, 0), FALSE),
            0
        ) +
        IFERROR(
            VLOOKUP($A29, INDIRECT("JulR!$A$6:$ZZ$1048576"), MATCH(AJ$1, JulR!$6:$6, 0), FALSE),
            0
        ) +
        IFERROR(
            VLOOKUP($A29, INDIRECT("AgoR!$A$6:$ZZ$1048576"), MATCH(AJ$1, AgoR!$6:$6, 0), FALSE),
            0
        ) +
        IFERROR(
            VLOOKUP($A29, INDIRECT("SepR!$A$6:$ZZ$1048576"), MATCH(AJ$1, SepR!$6:$6, 0), FALSE),
            0
        ) +
        IFERROR(
            VLOOKUP($A29, INDIRECT("OctR!$A$6:$ZZ$1048576"), MATCH(AJ$1, OctR!$6:$6, 0), FALSE),
            0
        ) +
        IFERROR(
            VLOOKUP($A29, INDIRECT("NovR!$A$6:$ZZ$1048576"), MATCH(AJ$1, NovR!$6:$6, 0), FALSE),
            0
        ) +
        IFERROR(
            VLOOKUP($A29, INDIRECT("DicR!$A$6:$ZZ$1048576"), MATCH(AJ$1, DicR!$6:$6, 0), FALSE),
            0
        )
)</f>
        <v>0</v>
      </c>
      <c r="AK29" s="37">
        <f t="array" ref="AK29">SUM(
    IFERROR(
            VLOOKUP($A29, INDIRECT("EneR!$A$6:$ZZ$1048576"), MATCH(AK$1, EneR!$6:$6, 0), FALSE),
            0
        ) +
        IFERROR(
            VLOOKUP($A29, INDIRECT("FebR!$A$6:$ZZ$1048576"), MATCH(AK$1, FebR!$6:$6, 0), FALSE),
            0
        ) +
        IFERROR(
            VLOOKUP($A29, INDIRECT("MarR!$A$6:$ZZ$1048576"), MATCH(AK$1, MarR!$6:$6, 0), FALSE),
            0
        ) +
        IFERROR(
            VLOOKUP($A29, INDIRECT("AbrR!$A$6:$ZZ$1048576"), MATCH(AK$1, AbrR!$6:$6, 0), FALSE),
            0
        ) +
        IFERROR(
            VLOOKUP($A29, INDIRECT("MayR!$A$6:$ZZ$1048576"), MATCH(AK$1, MayR!$6:$6, 0), FALSE),
            0
        ) +
        IFERROR(
            VLOOKUP($A29, INDIRECT("JunR!$A$6:$ZZ$1048576"), MATCH(AK$1, JunR!$6:$6, 0), FALSE),
            0
        ) +
        IFERROR(
            VLOOKUP($A29, INDIRECT("JulR!$A$6:$ZZ$1048576"), MATCH(AK$1, JulR!$6:$6, 0), FALSE),
            0
        ) +
        IFERROR(
            VLOOKUP($A29, INDIRECT("AgoR!$A$6:$ZZ$1048576"), MATCH(AK$1, AgoR!$6:$6, 0), FALSE),
            0
        ) +
        IFERROR(
            VLOOKUP($A29, INDIRECT("SepR!$A$6:$ZZ$1048576"), MATCH(AK$1, SepR!$6:$6, 0), FALSE),
            0
        ) +
        IFERROR(
            VLOOKUP($A29, INDIRECT("OctR!$A$6:$ZZ$1048576"), MATCH(AK$1, OctR!$6:$6, 0), FALSE),
            0
        ) +
        IFERROR(
            VLOOKUP($A29, INDIRECT("NovR!$A$6:$ZZ$1048576"), MATCH(AK$1, NovR!$6:$6, 0), FALSE),
            0
        ) +
        IFERROR(
            VLOOKUP($A29, INDIRECT("DicR!$A$6:$ZZ$1048576"), MATCH(AK$1, DicR!$6:$6, 0), FALSE),
            0
        )
)</f>
        <v>0</v>
      </c>
      <c r="AL29" s="36">
        <f t="array" ref="AL29">SUM(
    IFERROR(
            VLOOKUP($A29, INDIRECT("EneR!$A$6:$ZZ$1048576"), MATCH(AL$1, EneR!$6:$6, 0), FALSE),
            0
        ) +
        IFERROR(
            VLOOKUP($A29, INDIRECT("FebR!$A$6:$ZZ$1048576"), MATCH(AL$1, FebR!$6:$6, 0), FALSE),
            0
        ) +
        IFERROR(
            VLOOKUP($A29, INDIRECT("MarR!$A$6:$ZZ$1048576"), MATCH(AL$1, MarR!$6:$6, 0), FALSE),
            0
        ) +
        IFERROR(
            VLOOKUP($A29, INDIRECT("AbrR!$A$6:$ZZ$1048576"), MATCH(AL$1, AbrR!$6:$6, 0), FALSE),
            0
        ) +
        IFERROR(
            VLOOKUP($A29, INDIRECT("MayR!$A$6:$ZZ$1048576"), MATCH(AL$1, MayR!$6:$6, 0), FALSE),
            0
        ) +
        IFERROR(
            VLOOKUP($A29, INDIRECT("JunR!$A$6:$ZZ$1048576"), MATCH(AL$1, JunR!$6:$6, 0), FALSE),
            0
        ) +
        IFERROR(
            VLOOKUP($A29, INDIRECT("JulR!$A$6:$ZZ$1048576"), MATCH(AL$1, JulR!$6:$6, 0), FALSE),
            0
        ) +
        IFERROR(
            VLOOKUP($A29, INDIRECT("AgoR!$A$6:$ZZ$1048576"), MATCH(AL$1, AgoR!$6:$6, 0), FALSE),
            0
        ) +
        IFERROR(
            VLOOKUP($A29, INDIRECT("SepR!$A$6:$ZZ$1048576"), MATCH(AL$1, SepR!$6:$6, 0), FALSE),
            0
        ) +
        IFERROR(
            VLOOKUP($A29, INDIRECT("OctR!$A$6:$ZZ$1048576"), MATCH(AL$1, OctR!$6:$6, 0), FALSE),
            0
        ) +
        IFERROR(
            VLOOKUP($A29, INDIRECT("NovR!$A$6:$ZZ$1048576"), MATCH(AL$1, NovR!$6:$6, 0), FALSE),
            0
        ) +
        IFERROR(
            VLOOKUP($A29, INDIRECT("DicR!$A$6:$ZZ$1048576"), MATCH(AL$1, DicR!$6:$6, 0), FALSE),
            0
        )
)</f>
        <v>0</v>
      </c>
      <c r="AM29" s="37">
        <f t="array" ref="AM29">SUM(
    IFERROR(
            VLOOKUP($A29, INDIRECT("EneR!$A$6:$ZZ$1048576"), MATCH(AM$1, EneR!$6:$6, 0), FALSE),
            0
        ) +
        IFERROR(
            VLOOKUP($A29, INDIRECT("FebR!$A$6:$ZZ$1048576"), MATCH(AM$1, FebR!$6:$6, 0), FALSE),
            0
        ) +
        IFERROR(
            VLOOKUP($A29, INDIRECT("MarR!$A$6:$ZZ$1048576"), MATCH(AM$1, MarR!$6:$6, 0), FALSE),
            0
        ) +
        IFERROR(
            VLOOKUP($A29, INDIRECT("AbrR!$A$6:$ZZ$1048576"), MATCH(AM$1, AbrR!$6:$6, 0), FALSE),
            0
        ) +
        IFERROR(
            VLOOKUP($A29, INDIRECT("MayR!$A$6:$ZZ$1048576"), MATCH(AM$1, MayR!$6:$6, 0), FALSE),
            0
        ) +
        IFERROR(
            VLOOKUP($A29, INDIRECT("JunR!$A$6:$ZZ$1048576"), MATCH(AM$1, JunR!$6:$6, 0), FALSE),
            0
        ) +
        IFERROR(
            VLOOKUP($A29, INDIRECT("JulR!$A$6:$ZZ$1048576"), MATCH(AM$1, JulR!$6:$6, 0), FALSE),
            0
        ) +
        IFERROR(
            VLOOKUP($A29, INDIRECT("AgoR!$A$6:$ZZ$1048576"), MATCH(AM$1, AgoR!$6:$6, 0), FALSE),
            0
        ) +
        IFERROR(
            VLOOKUP($A29, INDIRECT("SepR!$A$6:$ZZ$1048576"), MATCH(AM$1, SepR!$6:$6, 0), FALSE),
            0
        ) +
        IFERROR(
            VLOOKUP($A29, INDIRECT("OctR!$A$6:$ZZ$1048576"), MATCH(AM$1, OctR!$6:$6, 0), FALSE),
            0
        ) +
        IFERROR(
            VLOOKUP($A29, INDIRECT("NovR!$A$6:$ZZ$1048576"), MATCH(AM$1, NovR!$6:$6, 0), FALSE),
            0
        ) +
        IFERROR(
            VLOOKUP($A29, INDIRECT("DicR!$A$6:$ZZ$1048576"), MATCH(AM$1, DicR!$6:$6, 0), FALSE),
            0
        )
)</f>
        <v>0</v>
      </c>
      <c r="AN29" s="36">
        <f t="array" ref="AN29">SUM(
    IFERROR(
            VLOOKUP($A29, INDIRECT("EneR!$A$6:$ZZ$1048576"), MATCH(AN$1, EneR!$6:$6, 0), FALSE),
            0
        ) +
        IFERROR(
            VLOOKUP($A29, INDIRECT("FebR!$A$6:$ZZ$1048576"), MATCH(AN$1, FebR!$6:$6, 0), FALSE),
            0
        ) +
        IFERROR(
            VLOOKUP($A29, INDIRECT("MarR!$A$6:$ZZ$1048576"), MATCH(AN$1, MarR!$6:$6, 0), FALSE),
            0
        ) +
        IFERROR(
            VLOOKUP($A29, INDIRECT("AbrR!$A$6:$ZZ$1048576"), MATCH(AN$1, AbrR!$6:$6, 0), FALSE),
            0
        ) +
        IFERROR(
            VLOOKUP($A29, INDIRECT("MayR!$A$6:$ZZ$1048576"), MATCH(AN$1, MayR!$6:$6, 0), FALSE),
            0
        ) +
        IFERROR(
            VLOOKUP($A29, INDIRECT("JunR!$A$6:$ZZ$1048576"), MATCH(AN$1, JunR!$6:$6, 0), FALSE),
            0
        ) +
        IFERROR(
            VLOOKUP($A29, INDIRECT("JulR!$A$6:$ZZ$1048576"), MATCH(AN$1, JulR!$6:$6, 0), FALSE),
            0
        ) +
        IFERROR(
            VLOOKUP($A29, INDIRECT("AgoR!$A$6:$ZZ$1048576"), MATCH(AN$1, AgoR!$6:$6, 0), FALSE),
            0
        ) +
        IFERROR(
            VLOOKUP($A29, INDIRECT("SepR!$A$6:$ZZ$1048576"), MATCH(AN$1, SepR!$6:$6, 0), FALSE),
            0
        ) +
        IFERROR(
            VLOOKUP($A29, INDIRECT("OctR!$A$6:$ZZ$1048576"), MATCH(AN$1, OctR!$6:$6, 0), FALSE),
            0
        ) +
        IFERROR(
            VLOOKUP($A29, INDIRECT("NovR!$A$6:$ZZ$1048576"), MATCH(AN$1, NovR!$6:$6, 0), FALSE),
            0
        ) +
        IFERROR(
            VLOOKUP($A29, INDIRECT("DicR!$A$6:$ZZ$1048576"), MATCH(AN$1, DicR!$6:$6, 0), FALSE),
            0
        )
)</f>
        <v>0</v>
      </c>
      <c r="AO29" s="37">
        <f t="array" ref="AO29">SUM(
    IFERROR(
            VLOOKUP($A29, INDIRECT("EneR!$A$6:$ZZ$1048576"), MATCH(AO$1, EneR!$6:$6, 0), FALSE),
            0
        ) +
        IFERROR(
            VLOOKUP($A29, INDIRECT("FebR!$A$6:$ZZ$1048576"), MATCH(AO$1, FebR!$6:$6, 0), FALSE),
            0
        ) +
        IFERROR(
            VLOOKUP($A29, INDIRECT("MarR!$A$6:$ZZ$1048576"), MATCH(AO$1, MarR!$6:$6, 0), FALSE),
            0
        ) +
        IFERROR(
            VLOOKUP($A29, INDIRECT("AbrR!$A$6:$ZZ$1048576"), MATCH(AO$1, AbrR!$6:$6, 0), FALSE),
            0
        ) +
        IFERROR(
            VLOOKUP($A29, INDIRECT("MayR!$A$6:$ZZ$1048576"), MATCH(AO$1, MayR!$6:$6, 0), FALSE),
            0
        ) +
        IFERROR(
            VLOOKUP($A29, INDIRECT("JunR!$A$6:$ZZ$1048576"), MATCH(AO$1, JunR!$6:$6, 0), FALSE),
            0
        ) +
        IFERROR(
            VLOOKUP($A29, INDIRECT("JulR!$A$6:$ZZ$1048576"), MATCH(AO$1, JulR!$6:$6, 0), FALSE),
            0
        ) +
        IFERROR(
            VLOOKUP($A29, INDIRECT("AgoR!$A$6:$ZZ$1048576"), MATCH(AO$1, AgoR!$6:$6, 0), FALSE),
            0
        ) +
        IFERROR(
            VLOOKUP($A29, INDIRECT("SepR!$A$6:$ZZ$1048576"), MATCH(AO$1, SepR!$6:$6, 0), FALSE),
            0
        ) +
        IFERROR(
            VLOOKUP($A29, INDIRECT("OctR!$A$6:$ZZ$1048576"), MATCH(AO$1, OctR!$6:$6, 0), FALSE),
            0
        ) +
        IFERROR(
            VLOOKUP($A29, INDIRECT("NovR!$A$6:$ZZ$1048576"), MATCH(AO$1, NovR!$6:$6, 0), FALSE),
            0
        ) +
        IFERROR(
            VLOOKUP($A29, INDIRECT("DicR!$A$6:$ZZ$1048576"), MATCH(AO$1, DicR!$6:$6, 0), FALSE),
            0
        )
)</f>
        <v>0</v>
      </c>
      <c r="AP29" s="36">
        <f t="array" ref="AP29">SUM(
    IFERROR(
            VLOOKUP($A29, INDIRECT("EneR!$A$6:$ZZ$1048576"), MATCH(AP$1, EneR!$6:$6, 0), FALSE),
            0
        ) +
        IFERROR(
            VLOOKUP($A29, INDIRECT("FebR!$A$6:$ZZ$1048576"), MATCH(AP$1, FebR!$6:$6, 0), FALSE),
            0
        ) +
        IFERROR(
            VLOOKUP($A29, INDIRECT("MarR!$A$6:$ZZ$1048576"), MATCH(AP$1, MarR!$6:$6, 0), FALSE),
            0
        ) +
        IFERROR(
            VLOOKUP($A29, INDIRECT("AbrR!$A$6:$ZZ$1048576"), MATCH(AP$1, AbrR!$6:$6, 0), FALSE),
            0
        ) +
        IFERROR(
            VLOOKUP($A29, INDIRECT("MayR!$A$6:$ZZ$1048576"), MATCH(AP$1, MayR!$6:$6, 0), FALSE),
            0
        ) +
        IFERROR(
            VLOOKUP($A29, INDIRECT("JunR!$A$6:$ZZ$1048576"), MATCH(AP$1, JunR!$6:$6, 0), FALSE),
            0
        ) +
        IFERROR(
            VLOOKUP($A29, INDIRECT("JulR!$A$6:$ZZ$1048576"), MATCH(AP$1, JulR!$6:$6, 0), FALSE),
            0
        ) +
        IFERROR(
            VLOOKUP($A29, INDIRECT("AgoR!$A$6:$ZZ$1048576"), MATCH(AP$1, AgoR!$6:$6, 0), FALSE),
            0
        ) +
        IFERROR(
            VLOOKUP($A29, INDIRECT("SepR!$A$6:$ZZ$1048576"), MATCH(AP$1, SepR!$6:$6, 0), FALSE),
            0
        ) +
        IFERROR(
            VLOOKUP($A29, INDIRECT("OctR!$A$6:$ZZ$1048576"), MATCH(AP$1, OctR!$6:$6, 0), FALSE),
            0
        ) +
        IFERROR(
            VLOOKUP($A29, INDIRECT("NovR!$A$6:$ZZ$1048576"), MATCH(AP$1, NovR!$6:$6, 0), FALSE),
            0
        ) +
        IFERROR(
            VLOOKUP($A29, INDIRECT("DicR!$A$6:$ZZ$1048576"), MATCH(AP$1, DicR!$6:$6, 0), FALSE),
            0
        )
)</f>
        <v>0</v>
      </c>
      <c r="AQ29" s="37">
        <f t="array" ref="AQ29">SUM(
    IFERROR(
            VLOOKUP($A29, INDIRECT("EneR!$A$6:$ZZ$1048576"), MATCH(AQ$1, EneR!$6:$6, 0), FALSE),
            0
        ) +
        IFERROR(
            VLOOKUP($A29, INDIRECT("FebR!$A$6:$ZZ$1048576"), MATCH(AQ$1, FebR!$6:$6, 0), FALSE),
            0
        ) +
        IFERROR(
            VLOOKUP($A29, INDIRECT("MarR!$A$6:$ZZ$1048576"), MATCH(AQ$1, MarR!$6:$6, 0), FALSE),
            0
        ) +
        IFERROR(
            VLOOKUP($A29, INDIRECT("AbrR!$A$6:$ZZ$1048576"), MATCH(AQ$1, AbrR!$6:$6, 0), FALSE),
            0
        ) +
        IFERROR(
            VLOOKUP($A29, INDIRECT("MayR!$A$6:$ZZ$1048576"), MATCH(AQ$1, MayR!$6:$6, 0), FALSE),
            0
        ) +
        IFERROR(
            VLOOKUP($A29, INDIRECT("JunR!$A$6:$ZZ$1048576"), MATCH(AQ$1, JunR!$6:$6, 0), FALSE),
            0
        ) +
        IFERROR(
            VLOOKUP($A29, INDIRECT("JulR!$A$6:$ZZ$1048576"), MATCH(AQ$1, JulR!$6:$6, 0), FALSE),
            0
        ) +
        IFERROR(
            VLOOKUP($A29, INDIRECT("AgoR!$A$6:$ZZ$1048576"), MATCH(AQ$1, AgoR!$6:$6, 0), FALSE),
            0
        ) +
        IFERROR(
            VLOOKUP($A29, INDIRECT("SepR!$A$6:$ZZ$1048576"), MATCH(AQ$1, SepR!$6:$6, 0), FALSE),
            0
        ) +
        IFERROR(
            VLOOKUP($A29, INDIRECT("OctR!$A$6:$ZZ$1048576"), MATCH(AQ$1, OctR!$6:$6, 0), FALSE),
            0
        ) +
        IFERROR(
            VLOOKUP($A29, INDIRECT("NovR!$A$6:$ZZ$1048576"), MATCH(AQ$1, NovR!$6:$6, 0), FALSE),
            0
        ) +
        IFERROR(
            VLOOKUP($A29, INDIRECT("DicR!$A$6:$ZZ$1048576"), MATCH(AQ$1, DicR!$6:$6, 0), FALSE),
            0
        )
)</f>
        <v>0</v>
      </c>
      <c r="AR29" s="36">
        <f t="array" ref="AR29">SUM(
    IFERROR(
            VLOOKUP($A29, INDIRECT("EneR!$A$6:$ZZ$1048576"), MATCH(AR$1, EneR!$6:$6, 0), FALSE),
            0
        ) +
        IFERROR(
            VLOOKUP($A29, INDIRECT("FebR!$A$6:$ZZ$1048576"), MATCH(AR$1, FebR!$6:$6, 0), FALSE),
            0
        ) +
        IFERROR(
            VLOOKUP($A29, INDIRECT("MarR!$A$6:$ZZ$1048576"), MATCH(AR$1, MarR!$6:$6, 0), FALSE),
            0
        ) +
        IFERROR(
            VLOOKUP($A29, INDIRECT("AbrR!$A$6:$ZZ$1048576"), MATCH(AR$1, AbrR!$6:$6, 0), FALSE),
            0
        ) +
        IFERROR(
            VLOOKUP($A29, INDIRECT("MayR!$A$6:$ZZ$1048576"), MATCH(AR$1, MayR!$6:$6, 0), FALSE),
            0
        ) +
        IFERROR(
            VLOOKUP($A29, INDIRECT("JunR!$A$6:$ZZ$1048576"), MATCH(AR$1, JunR!$6:$6, 0), FALSE),
            0
        ) +
        IFERROR(
            VLOOKUP($A29, INDIRECT("JulR!$A$6:$ZZ$1048576"), MATCH(AR$1, JulR!$6:$6, 0), FALSE),
            0
        ) +
        IFERROR(
            VLOOKUP($A29, INDIRECT("AgoR!$A$6:$ZZ$1048576"), MATCH(AR$1, AgoR!$6:$6, 0), FALSE),
            0
        ) +
        IFERROR(
            VLOOKUP($A29, INDIRECT("SepR!$A$6:$ZZ$1048576"), MATCH(AR$1, SepR!$6:$6, 0), FALSE),
            0
        ) +
        IFERROR(
            VLOOKUP($A29, INDIRECT("OctR!$A$6:$ZZ$1048576"), MATCH(AR$1, OctR!$6:$6, 0), FALSE),
            0
        ) +
        IFERROR(
            VLOOKUP($A29, INDIRECT("NovR!$A$6:$ZZ$1048576"), MATCH(AR$1, NovR!$6:$6, 0), FALSE),
            0
        ) +
        IFERROR(
            VLOOKUP($A29, INDIRECT("DicR!$A$6:$ZZ$1048576"), MATCH(AR$1, DicR!$6:$6, 0), FALSE),
            0
        )
)</f>
        <v>0</v>
      </c>
      <c r="AS29" s="37">
        <f t="array" ref="AS29">SUM(
    IFERROR(
            VLOOKUP($A29, INDIRECT("EneR!$A$6:$ZZ$1048576"), MATCH(AS$1, EneR!$6:$6, 0), FALSE),
            0
        ) +
        IFERROR(
            VLOOKUP($A29, INDIRECT("FebR!$A$6:$ZZ$1048576"), MATCH(AS$1, FebR!$6:$6, 0), FALSE),
            0
        ) +
        IFERROR(
            VLOOKUP($A29, INDIRECT("MarR!$A$6:$ZZ$1048576"), MATCH(AS$1, MarR!$6:$6, 0), FALSE),
            0
        ) +
        IFERROR(
            VLOOKUP($A29, INDIRECT("AbrR!$A$6:$ZZ$1048576"), MATCH(AS$1, AbrR!$6:$6, 0), FALSE),
            0
        ) +
        IFERROR(
            VLOOKUP($A29, INDIRECT("MayR!$A$6:$ZZ$1048576"), MATCH(AS$1, MayR!$6:$6, 0), FALSE),
            0
        ) +
        IFERROR(
            VLOOKUP($A29, INDIRECT("JunR!$A$6:$ZZ$1048576"), MATCH(AS$1, JunR!$6:$6, 0), FALSE),
            0
        ) +
        IFERROR(
            VLOOKUP($A29, INDIRECT("JulR!$A$6:$ZZ$1048576"), MATCH(AS$1, JulR!$6:$6, 0), FALSE),
            0
        ) +
        IFERROR(
            VLOOKUP($A29, INDIRECT("AgoR!$A$6:$ZZ$1048576"), MATCH(AS$1, AgoR!$6:$6, 0), FALSE),
            0
        ) +
        IFERROR(
            VLOOKUP($A29, INDIRECT("SepR!$A$6:$ZZ$1048576"), MATCH(AS$1, SepR!$6:$6, 0), FALSE),
            0
        ) +
        IFERROR(
            VLOOKUP($A29, INDIRECT("OctR!$A$6:$ZZ$1048576"), MATCH(AS$1, OctR!$6:$6, 0), FALSE),
            0
        ) +
        IFERROR(
            VLOOKUP($A29, INDIRECT("NovR!$A$6:$ZZ$1048576"), MATCH(AS$1, NovR!$6:$6, 0), FALSE),
            0
        ) +
        IFERROR(
            VLOOKUP($A29, INDIRECT("DicR!$A$6:$ZZ$1048576"), MATCH(AS$1, DicR!$6:$6, 0), FALSE),
            0
        )
)</f>
        <v>0</v>
      </c>
      <c r="AT29" s="36">
        <f t="array" ref="AT29">SUM(
    IFERROR(
            VLOOKUP($A29, INDIRECT("EneR!$A$6:$ZZ$1048576"), MATCH(AT$1, EneR!$6:$6, 0), FALSE),
            0
        ) +
        IFERROR(
            VLOOKUP($A29, INDIRECT("FebR!$A$6:$ZZ$1048576"), MATCH(AT$1, FebR!$6:$6, 0), FALSE),
            0
        ) +
        IFERROR(
            VLOOKUP($A29, INDIRECT("MarR!$A$6:$ZZ$1048576"), MATCH(AT$1, MarR!$6:$6, 0), FALSE),
            0
        ) +
        IFERROR(
            VLOOKUP($A29, INDIRECT("AbrR!$A$6:$ZZ$1048576"), MATCH(AT$1, AbrR!$6:$6, 0), FALSE),
            0
        ) +
        IFERROR(
            VLOOKUP($A29, INDIRECT("MayR!$A$6:$ZZ$1048576"), MATCH(AT$1, MayR!$6:$6, 0), FALSE),
            0
        ) +
        IFERROR(
            VLOOKUP($A29, INDIRECT("JunR!$A$6:$ZZ$1048576"), MATCH(AT$1, JunR!$6:$6, 0), FALSE),
            0
        ) +
        IFERROR(
            VLOOKUP($A29, INDIRECT("JulR!$A$6:$ZZ$1048576"), MATCH(AT$1, JulR!$6:$6, 0), FALSE),
            0
        ) +
        IFERROR(
            VLOOKUP($A29, INDIRECT("AgoR!$A$6:$ZZ$1048576"), MATCH(AT$1, AgoR!$6:$6, 0), FALSE),
            0
        ) +
        IFERROR(
            VLOOKUP($A29, INDIRECT("SepR!$A$6:$ZZ$1048576"), MATCH(AT$1, SepR!$6:$6, 0), FALSE),
            0
        ) +
        IFERROR(
            VLOOKUP($A29, INDIRECT("OctR!$A$6:$ZZ$1048576"), MATCH(AT$1, OctR!$6:$6, 0), FALSE),
            0
        ) +
        IFERROR(
            VLOOKUP($A29, INDIRECT("NovR!$A$6:$ZZ$1048576"), MATCH(AT$1, NovR!$6:$6, 0), FALSE),
            0
        ) +
        IFERROR(
            VLOOKUP($A29, INDIRECT("DicR!$A$6:$ZZ$1048576"), MATCH(AT$1, DicR!$6:$6, 0), FALSE),
            0
        )
)</f>
        <v>0</v>
      </c>
      <c r="AU29" s="37">
        <f t="array" ref="AU29">SUM(
    IFERROR(
            VLOOKUP($A29, INDIRECT("EneR!$A$6:$ZZ$1048576"), MATCH(AU$1, EneR!$6:$6, 0), FALSE),
            0
        ) +
        IFERROR(
            VLOOKUP($A29, INDIRECT("FebR!$A$6:$ZZ$1048576"), MATCH(AU$1, FebR!$6:$6, 0), FALSE),
            0
        ) +
        IFERROR(
            VLOOKUP($A29, INDIRECT("MarR!$A$6:$ZZ$1048576"), MATCH(AU$1, MarR!$6:$6, 0), FALSE),
            0
        ) +
        IFERROR(
            VLOOKUP($A29, INDIRECT("AbrR!$A$6:$ZZ$1048576"), MATCH(AU$1, AbrR!$6:$6, 0), FALSE),
            0
        ) +
        IFERROR(
            VLOOKUP($A29, INDIRECT("MayR!$A$6:$ZZ$1048576"), MATCH(AU$1, MayR!$6:$6, 0), FALSE),
            0
        ) +
        IFERROR(
            VLOOKUP($A29, INDIRECT("JunR!$A$6:$ZZ$1048576"), MATCH(AU$1, JunR!$6:$6, 0), FALSE),
            0
        ) +
        IFERROR(
            VLOOKUP($A29, INDIRECT("JulR!$A$6:$ZZ$1048576"), MATCH(AU$1, JulR!$6:$6, 0), FALSE),
            0
        ) +
        IFERROR(
            VLOOKUP($A29, INDIRECT("AgoR!$A$6:$ZZ$1048576"), MATCH(AU$1, AgoR!$6:$6, 0), FALSE),
            0
        ) +
        IFERROR(
            VLOOKUP($A29, INDIRECT("SepR!$A$6:$ZZ$1048576"), MATCH(AU$1, SepR!$6:$6, 0), FALSE),
            0
        ) +
        IFERROR(
            VLOOKUP($A29, INDIRECT("OctR!$A$6:$ZZ$1048576"), MATCH(AU$1, OctR!$6:$6, 0), FALSE),
            0
        ) +
        IFERROR(
            VLOOKUP($A29, INDIRECT("NovR!$A$6:$ZZ$1048576"), MATCH(AU$1, NovR!$6:$6, 0), FALSE),
            0
        ) +
        IFERROR(
            VLOOKUP($A29, INDIRECT("DicR!$A$6:$ZZ$1048576"), MATCH(AU$1, DicR!$6:$6, 0), FALSE),
            0
        )
)</f>
        <v>0</v>
      </c>
      <c r="AV29" s="36">
        <f t="array" ref="AV29">SUM(
    IFERROR(
            VLOOKUP($A29, INDIRECT("EneR!$A$6:$ZZ$1048576"), MATCH(AV$1, EneR!$6:$6, 0), FALSE),
            0
        ) +
        IFERROR(
            VLOOKUP($A29, INDIRECT("FebR!$A$6:$ZZ$1048576"), MATCH(AV$1, FebR!$6:$6, 0), FALSE),
            0
        ) +
        IFERROR(
            VLOOKUP($A29, INDIRECT("MarR!$A$6:$ZZ$1048576"), MATCH(AV$1, MarR!$6:$6, 0), FALSE),
            0
        ) +
        IFERROR(
            VLOOKUP($A29, INDIRECT("AbrR!$A$6:$ZZ$1048576"), MATCH(AV$1, AbrR!$6:$6, 0), FALSE),
            0
        ) +
        IFERROR(
            VLOOKUP($A29, INDIRECT("MayR!$A$6:$ZZ$1048576"), MATCH(AV$1, MayR!$6:$6, 0), FALSE),
            0
        ) +
        IFERROR(
            VLOOKUP($A29, INDIRECT("JunR!$A$6:$ZZ$1048576"), MATCH(AV$1, JunR!$6:$6, 0), FALSE),
            0
        ) +
        IFERROR(
            VLOOKUP($A29, INDIRECT("JulR!$A$6:$ZZ$1048576"), MATCH(AV$1, JulR!$6:$6, 0), FALSE),
            0
        ) +
        IFERROR(
            VLOOKUP($A29, INDIRECT("AgoR!$A$6:$ZZ$1048576"), MATCH(AV$1, AgoR!$6:$6, 0), FALSE),
            0
        ) +
        IFERROR(
            VLOOKUP($A29, INDIRECT("SepR!$A$6:$ZZ$1048576"), MATCH(AV$1, SepR!$6:$6, 0), FALSE),
            0
        ) +
        IFERROR(
            VLOOKUP($A29, INDIRECT("OctR!$A$6:$ZZ$1048576"), MATCH(AV$1, OctR!$6:$6, 0), FALSE),
            0
        ) +
        IFERROR(
            VLOOKUP($A29, INDIRECT("NovR!$A$6:$ZZ$1048576"), MATCH(AV$1, NovR!$6:$6, 0), FALSE),
            0
        ) +
        IFERROR(
            VLOOKUP($A29, INDIRECT("DicR!$A$6:$ZZ$1048576"), MATCH(AV$1, DicR!$6:$6, 0), FALSE),
            0
        )
)</f>
        <v>0</v>
      </c>
      <c r="AW29" s="37">
        <f t="array" ref="AW29">SUM(
    IFERROR(
            VLOOKUP($A29, INDIRECT("EneR!$A$6:$ZZ$1048576"), MATCH(AW$1, EneR!$6:$6, 0), FALSE),
            0
        ) +
        IFERROR(
            VLOOKUP($A29, INDIRECT("FebR!$A$6:$ZZ$1048576"), MATCH(AW$1, FebR!$6:$6, 0), FALSE),
            0
        ) +
        IFERROR(
            VLOOKUP($A29, INDIRECT("MarR!$A$6:$ZZ$1048576"), MATCH(AW$1, MarR!$6:$6, 0), FALSE),
            0
        ) +
        IFERROR(
            VLOOKUP($A29, INDIRECT("AbrR!$A$6:$ZZ$1048576"), MATCH(AW$1, AbrR!$6:$6, 0), FALSE),
            0
        ) +
        IFERROR(
            VLOOKUP($A29, INDIRECT("MayR!$A$6:$ZZ$1048576"), MATCH(AW$1, MayR!$6:$6, 0), FALSE),
            0
        ) +
        IFERROR(
            VLOOKUP($A29, INDIRECT("JunR!$A$6:$ZZ$1048576"), MATCH(AW$1, JunR!$6:$6, 0), FALSE),
            0
        ) +
        IFERROR(
            VLOOKUP($A29, INDIRECT("JulR!$A$6:$ZZ$1048576"), MATCH(AW$1, JulR!$6:$6, 0), FALSE),
            0
        ) +
        IFERROR(
            VLOOKUP($A29, INDIRECT("AgoR!$A$6:$ZZ$1048576"), MATCH(AW$1, AgoR!$6:$6, 0), FALSE),
            0
        ) +
        IFERROR(
            VLOOKUP($A29, INDIRECT("SepR!$A$6:$ZZ$1048576"), MATCH(AW$1, SepR!$6:$6, 0), FALSE),
            0
        ) +
        IFERROR(
            VLOOKUP($A29, INDIRECT("OctR!$A$6:$ZZ$1048576"), MATCH(AW$1, OctR!$6:$6, 0), FALSE),
            0
        ) +
        IFERROR(
            VLOOKUP($A29, INDIRECT("NovR!$A$6:$ZZ$1048576"), MATCH(AW$1, NovR!$6:$6, 0), FALSE),
            0
        ) +
        IFERROR(
            VLOOKUP($A29, INDIRECT("DicR!$A$6:$ZZ$1048576"), MATCH(AW$1, DicR!$6:$6, 0), FALSE),
            0
        )
)</f>
        <v>0</v>
      </c>
      <c r="AX29" s="36">
        <f t="array" ref="AX29">SUM(
    IFERROR(
            VLOOKUP($A29, INDIRECT("EneR!$A$6:$ZZ$1048576"), MATCH(AX$1, EneR!$6:$6, 0), FALSE),
            0
        ) +
        IFERROR(
            VLOOKUP($A29, INDIRECT("FebR!$A$6:$ZZ$1048576"), MATCH(AX$1, FebR!$6:$6, 0), FALSE),
            0
        ) +
        IFERROR(
            VLOOKUP($A29, INDIRECT("MarR!$A$6:$ZZ$1048576"), MATCH(AX$1, MarR!$6:$6, 0), FALSE),
            0
        ) +
        IFERROR(
            VLOOKUP($A29, INDIRECT("AbrR!$A$6:$ZZ$1048576"), MATCH(AX$1, AbrR!$6:$6, 0), FALSE),
            0
        ) +
        IFERROR(
            VLOOKUP($A29, INDIRECT("MayR!$A$6:$ZZ$1048576"), MATCH(AX$1, MayR!$6:$6, 0), FALSE),
            0
        ) +
        IFERROR(
            VLOOKUP($A29, INDIRECT("JunR!$A$6:$ZZ$1048576"), MATCH(AX$1, JunR!$6:$6, 0), FALSE),
            0
        ) +
        IFERROR(
            VLOOKUP($A29, INDIRECT("JulR!$A$6:$ZZ$1048576"), MATCH(AX$1, JulR!$6:$6, 0), FALSE),
            0
        ) +
        IFERROR(
            VLOOKUP($A29, INDIRECT("AgoR!$A$6:$ZZ$1048576"), MATCH(AX$1, AgoR!$6:$6, 0), FALSE),
            0
        ) +
        IFERROR(
            VLOOKUP($A29, INDIRECT("SepR!$A$6:$ZZ$1048576"), MATCH(AX$1, SepR!$6:$6, 0), FALSE),
            0
        ) +
        IFERROR(
            VLOOKUP($A29, INDIRECT("OctR!$A$6:$ZZ$1048576"), MATCH(AX$1, OctR!$6:$6, 0), FALSE),
            0
        ) +
        IFERROR(
            VLOOKUP($A29, INDIRECT("NovR!$A$6:$ZZ$1048576"), MATCH(AX$1, NovR!$6:$6, 0), FALSE),
            0
        ) +
        IFERROR(
            VLOOKUP($A29, INDIRECT("DicR!$A$6:$ZZ$1048576"), MATCH(AX$1, DicR!$6:$6, 0), FALSE),
            0
        )
)</f>
        <v>0</v>
      </c>
      <c r="AY29" s="37">
        <f t="array" ref="AY29">SUM(
    IFERROR(
            VLOOKUP($A29, INDIRECT("EneR!$A$6:$ZZ$1048576"), MATCH(AY$1, EneR!$6:$6, 0), FALSE),
            0
        ) +
        IFERROR(
            VLOOKUP($A29, INDIRECT("FebR!$A$6:$ZZ$1048576"), MATCH(AY$1, FebR!$6:$6, 0), FALSE),
            0
        ) +
        IFERROR(
            VLOOKUP($A29, INDIRECT("MarR!$A$6:$ZZ$1048576"), MATCH(AY$1, MarR!$6:$6, 0), FALSE),
            0
        ) +
        IFERROR(
            VLOOKUP($A29, INDIRECT("AbrR!$A$6:$ZZ$1048576"), MATCH(AY$1, AbrR!$6:$6, 0), FALSE),
            0
        ) +
        IFERROR(
            VLOOKUP($A29, INDIRECT("MayR!$A$6:$ZZ$1048576"), MATCH(AY$1, MayR!$6:$6, 0), FALSE),
            0
        ) +
        IFERROR(
            VLOOKUP($A29, INDIRECT("JunR!$A$6:$ZZ$1048576"), MATCH(AY$1, JunR!$6:$6, 0), FALSE),
            0
        ) +
        IFERROR(
            VLOOKUP($A29, INDIRECT("JulR!$A$6:$ZZ$1048576"), MATCH(AY$1, JulR!$6:$6, 0), FALSE),
            0
        ) +
        IFERROR(
            VLOOKUP($A29, INDIRECT("AgoR!$A$6:$ZZ$1048576"), MATCH(AY$1, AgoR!$6:$6, 0), FALSE),
            0
        ) +
        IFERROR(
            VLOOKUP($A29, INDIRECT("SepR!$A$6:$ZZ$1048576"), MATCH(AY$1, SepR!$6:$6, 0), FALSE),
            0
        ) +
        IFERROR(
            VLOOKUP($A29, INDIRECT("OctR!$A$6:$ZZ$1048576"), MATCH(AY$1, OctR!$6:$6, 0), FALSE),
            0
        ) +
        IFERROR(
            VLOOKUP($A29, INDIRECT("NovR!$A$6:$ZZ$1048576"), MATCH(AY$1, NovR!$6:$6, 0), FALSE),
            0
        ) +
        IFERROR(
            VLOOKUP($A29, INDIRECT("DicR!$A$6:$ZZ$1048576"), MATCH(AY$1, DicR!$6:$6, 0), FALSE),
            0
        )
)</f>
        <v>0</v>
      </c>
      <c r="AZ29" s="37"/>
    </row>
    <row r="30" ht="15.75" hidden="1" customHeight="1">
      <c r="A30" s="12" t="str">
        <f>Menus!R22</f>
        <v/>
      </c>
      <c r="B30" s="32">
        <f t="shared" si="6"/>
        <v>0</v>
      </c>
      <c r="C30" s="33" t="str">
        <f t="shared" si="7"/>
        <v/>
      </c>
      <c r="D30" s="34">
        <f t="array" ref="D30">SUM(
    IFERROR(
            VLOOKUP($A30, INDIRECT("EneR!$A$6:$ZZ$1048576"), MATCH(D$1, EneR!$6:$6, 0), FALSE),
            0
        ) +
        IFERROR(
            VLOOKUP($A30, INDIRECT("FebR!$A$6:$ZZ$1048576"), MATCH(D$1, FebR!$6:$6, 0), FALSE),
            0
        ) +
        IFERROR(
            VLOOKUP($A30, INDIRECT("MarR!$A$6:$ZZ$1048576"), MATCH(D$1, MarR!$6:$6, 0), FALSE),
            0
        ) +
        IFERROR(
            VLOOKUP($A30, INDIRECT("AbrR!$A$6:$ZZ$1048576"), MATCH(D$1, AbrR!$6:$6, 0), FALSE),
            0
        ) +
        IFERROR(
            VLOOKUP($A30, INDIRECT("MayR!$A$6:$ZZ$1048576"), MATCH(D$1, MayR!$6:$6, 0), FALSE),
            0
        ) +
        IFERROR(
            VLOOKUP($A30, INDIRECT("JunR!$A$6:$ZZ$1048576"), MATCH(D$1, JunR!$6:$6, 0), FALSE),
            0
        ) +
        IFERROR(
            VLOOKUP($A30, INDIRECT("JulR!$A$6:$ZZ$1048576"), MATCH(D$1, JulR!$6:$6, 0), FALSE),
            0
        ) +
        IFERROR(
            VLOOKUP($A30, INDIRECT("AgoR!$A$6:$ZZ$1048576"), MATCH(D$1, AgoR!$6:$6, 0), FALSE),
            0
        ) +
        IFERROR(
            VLOOKUP($A30, INDIRECT("SepR!$A$6:$ZZ$1048576"), MATCH(D$1, SepR!$6:$6, 0), FALSE),
            0
        ) +
        IFERROR(
            VLOOKUP($A30, INDIRECT("OctR!$A$6:$ZZ$1048576"), MATCH(D$1, OctR!$6:$6, 0), FALSE),
            0
        ) +
        IFERROR(
            VLOOKUP($A30, INDIRECT("NovR!$A$6:$ZZ$1048576"), MATCH(D$1, NovR!$6:$6, 0), FALSE),
            0
        ) +
        IFERROR(
            VLOOKUP($A30, INDIRECT("DicR!$A$6:$ZZ$1048576"), MATCH(D$1, DicR!$6:$6, 0), FALSE),
            0
        )
)</f>
        <v>0</v>
      </c>
      <c r="E30" s="35">
        <f t="array" ref="E30">SUM(
    IFERROR(
            VLOOKUP($A30, INDIRECT("EneR!$A$6:$ZZ$1048576"), MATCH(E$1, EneR!$6:$6, 0), FALSE),
            0
        ) +
        IFERROR(
            VLOOKUP($A30, INDIRECT("FebR!$A$6:$ZZ$1048576"), MATCH(E$1, FebR!$6:$6, 0), FALSE),
            0
        ) +
        IFERROR(
            VLOOKUP($A30, INDIRECT("MarR!$A$6:$ZZ$1048576"), MATCH(E$1, MarR!$6:$6, 0), FALSE),
            0
        ) +
        IFERROR(
            VLOOKUP($A30, INDIRECT("AbrR!$A$6:$ZZ$1048576"), MATCH(E$1, AbrR!$6:$6, 0), FALSE),
            0
        ) +
        IFERROR(
            VLOOKUP($A30, INDIRECT("MayR!$A$6:$ZZ$1048576"), MATCH(E$1, MayR!$6:$6, 0), FALSE),
            0
        ) +
        IFERROR(
            VLOOKUP($A30, INDIRECT("JunR!$A$6:$ZZ$1048576"), MATCH(E$1, JunR!$6:$6, 0), FALSE),
            0
        ) +
        IFERROR(
            VLOOKUP($A30, INDIRECT("JulR!$A$6:$ZZ$1048576"), MATCH(E$1, JulR!$6:$6, 0), FALSE),
            0
        ) +
        IFERROR(
            VLOOKUP($A30, INDIRECT("AgoR!$A$6:$ZZ$1048576"), MATCH(E$1, AgoR!$6:$6, 0), FALSE),
            0
        ) +
        IFERROR(
            VLOOKUP($A30, INDIRECT("SepR!$A$6:$ZZ$1048576"), MATCH(E$1, SepR!$6:$6, 0), FALSE),
            0
        ) +
        IFERROR(
            VLOOKUP($A30, INDIRECT("OctR!$A$6:$ZZ$1048576"), MATCH(E$1, OctR!$6:$6, 0), FALSE),
            0
        ) +
        IFERROR(
            VLOOKUP($A30, INDIRECT("NovR!$A$6:$ZZ$1048576"), MATCH(E$1, NovR!$6:$6, 0), FALSE),
            0
        ) +
        IFERROR(
            VLOOKUP($A30, INDIRECT("DicR!$A$6:$ZZ$1048576"), MATCH(E$1, DicR!$6:$6, 0), FALSE),
            0
        )
)</f>
        <v>0</v>
      </c>
      <c r="F30" s="32">
        <f t="array" ref="F30">SUM(
    IFERROR(
            VLOOKUP($A30, INDIRECT("EneR!$A$6:$ZZ$1048576"), MATCH(F$1, EneR!$6:$6, 0), FALSE),
            0
        ) +
        IFERROR(
            VLOOKUP($A30, INDIRECT("FebR!$A$6:$ZZ$1048576"), MATCH(F$1, FebR!$6:$6, 0), FALSE),
            0
        ) +
        IFERROR(
            VLOOKUP($A30, INDIRECT("MarR!$A$6:$ZZ$1048576"), MATCH(F$1, MarR!$6:$6, 0), FALSE),
            0
        ) +
        IFERROR(
            VLOOKUP($A30, INDIRECT("AbrR!$A$6:$ZZ$1048576"), MATCH(F$1, AbrR!$6:$6, 0), FALSE),
            0
        ) +
        IFERROR(
            VLOOKUP($A30, INDIRECT("MayR!$A$6:$ZZ$1048576"), MATCH(F$1, MayR!$6:$6, 0), FALSE),
            0
        ) +
        IFERROR(
            VLOOKUP($A30, INDIRECT("JunR!$A$6:$ZZ$1048576"), MATCH(F$1, JunR!$6:$6, 0), FALSE),
            0
        ) +
        IFERROR(
            VLOOKUP($A30, INDIRECT("JulR!$A$6:$ZZ$1048576"), MATCH(F$1, JulR!$6:$6, 0), FALSE),
            0
        ) +
        IFERROR(
            VLOOKUP($A30, INDIRECT("AgoR!$A$6:$ZZ$1048576"), MATCH(F$1, AgoR!$6:$6, 0), FALSE),
            0
        ) +
        IFERROR(
            VLOOKUP($A30, INDIRECT("SepR!$A$6:$ZZ$1048576"), MATCH(F$1, SepR!$6:$6, 0), FALSE),
            0
        ) +
        IFERROR(
            VLOOKUP($A30, INDIRECT("OctR!$A$6:$ZZ$1048576"), MATCH(F$1, OctR!$6:$6, 0), FALSE),
            0
        ) +
        IFERROR(
            VLOOKUP($A30, INDIRECT("NovR!$A$6:$ZZ$1048576"), MATCH(F$1, NovR!$6:$6, 0), FALSE),
            0
        ) +
        IFERROR(
            VLOOKUP($A30, INDIRECT("DicR!$A$6:$ZZ$1048576"), MATCH(F$1, DicR!$6:$6, 0), FALSE),
            0
        )
)</f>
        <v>0</v>
      </c>
      <c r="G30" s="35">
        <f t="array" ref="G30">SUM(
    IFERROR(
            VLOOKUP($A30, INDIRECT("EneR!$A$6:$ZZ$1048576"), MATCH(G$1, EneR!$6:$6, 0), FALSE),
            0
        ) +
        IFERROR(
            VLOOKUP($A30, INDIRECT("FebR!$A$6:$ZZ$1048576"), MATCH(G$1, FebR!$6:$6, 0), FALSE),
            0
        ) +
        IFERROR(
            VLOOKUP($A30, INDIRECT("MarR!$A$6:$ZZ$1048576"), MATCH(G$1, MarR!$6:$6, 0), FALSE),
            0
        ) +
        IFERROR(
            VLOOKUP($A30, INDIRECT("AbrR!$A$6:$ZZ$1048576"), MATCH(G$1, AbrR!$6:$6, 0), FALSE),
            0
        ) +
        IFERROR(
            VLOOKUP($A30, INDIRECT("MayR!$A$6:$ZZ$1048576"), MATCH(G$1, MayR!$6:$6, 0), FALSE),
            0
        ) +
        IFERROR(
            VLOOKUP($A30, INDIRECT("JunR!$A$6:$ZZ$1048576"), MATCH(G$1, JunR!$6:$6, 0), FALSE),
            0
        ) +
        IFERROR(
            VLOOKUP($A30, INDIRECT("JulR!$A$6:$ZZ$1048576"), MATCH(G$1, JulR!$6:$6, 0), FALSE),
            0
        ) +
        IFERROR(
            VLOOKUP($A30, INDIRECT("AgoR!$A$6:$ZZ$1048576"), MATCH(G$1, AgoR!$6:$6, 0), FALSE),
            0
        ) +
        IFERROR(
            VLOOKUP($A30, INDIRECT("SepR!$A$6:$ZZ$1048576"), MATCH(G$1, SepR!$6:$6, 0), FALSE),
            0
        ) +
        IFERROR(
            VLOOKUP($A30, INDIRECT("OctR!$A$6:$ZZ$1048576"), MATCH(G$1, OctR!$6:$6, 0), FALSE),
            0
        ) +
        IFERROR(
            VLOOKUP($A30, INDIRECT("NovR!$A$6:$ZZ$1048576"), MATCH(G$1, NovR!$6:$6, 0), FALSE),
            0
        ) +
        IFERROR(
            VLOOKUP($A30, INDIRECT("DicR!$A$6:$ZZ$1048576"), MATCH(G$1, DicR!$6:$6, 0), FALSE),
            0
        )
)</f>
        <v>0</v>
      </c>
      <c r="H30" s="32">
        <f t="array" ref="H30">SUM(
    IFERROR(
            VLOOKUP($A30, INDIRECT("EneR!$A$6:$ZZ$1048576"), MATCH(H$1, EneR!$6:$6, 0), FALSE),
            0
        ) +
        IFERROR(
            VLOOKUP($A30, INDIRECT("FebR!$A$6:$ZZ$1048576"), MATCH(H$1, FebR!$6:$6, 0), FALSE),
            0
        ) +
        IFERROR(
            VLOOKUP($A30, INDIRECT("MarR!$A$6:$ZZ$1048576"), MATCH(H$1, MarR!$6:$6, 0), FALSE),
            0
        ) +
        IFERROR(
            VLOOKUP($A30, INDIRECT("AbrR!$A$6:$ZZ$1048576"), MATCH(H$1, AbrR!$6:$6, 0), FALSE),
            0
        ) +
        IFERROR(
            VLOOKUP($A30, INDIRECT("MayR!$A$6:$ZZ$1048576"), MATCH(H$1, MayR!$6:$6, 0), FALSE),
            0
        ) +
        IFERROR(
            VLOOKUP($A30, INDIRECT("JunR!$A$6:$ZZ$1048576"), MATCH(H$1, JunR!$6:$6, 0), FALSE),
            0
        ) +
        IFERROR(
            VLOOKUP($A30, INDIRECT("JulR!$A$6:$ZZ$1048576"), MATCH(H$1, JulR!$6:$6, 0), FALSE),
            0
        ) +
        IFERROR(
            VLOOKUP($A30, INDIRECT("AgoR!$A$6:$ZZ$1048576"), MATCH(H$1, AgoR!$6:$6, 0), FALSE),
            0
        ) +
        IFERROR(
            VLOOKUP($A30, INDIRECT("SepR!$A$6:$ZZ$1048576"), MATCH(H$1, SepR!$6:$6, 0), FALSE),
            0
        ) +
        IFERROR(
            VLOOKUP($A30, INDIRECT("OctR!$A$6:$ZZ$1048576"), MATCH(H$1, OctR!$6:$6, 0), FALSE),
            0
        ) +
        IFERROR(
            VLOOKUP($A30, INDIRECT("NovR!$A$6:$ZZ$1048576"), MATCH(H$1, NovR!$6:$6, 0), FALSE),
            0
        ) +
        IFERROR(
            VLOOKUP($A30, INDIRECT("DicR!$A$6:$ZZ$1048576"), MATCH(H$1, DicR!$6:$6, 0), FALSE),
            0
        )
)</f>
        <v>0</v>
      </c>
      <c r="I30" s="35">
        <f t="array" ref="I30">SUM(
    IFERROR(
            VLOOKUP($A30, INDIRECT("EneR!$A$6:$ZZ$1048576"), MATCH(I$1, EneR!$6:$6, 0), FALSE),
            0
        ) +
        IFERROR(
            VLOOKUP($A30, INDIRECT("FebR!$A$6:$ZZ$1048576"), MATCH(I$1, FebR!$6:$6, 0), FALSE),
            0
        ) +
        IFERROR(
            VLOOKUP($A30, INDIRECT("MarR!$A$6:$ZZ$1048576"), MATCH(I$1, MarR!$6:$6, 0), FALSE),
            0
        ) +
        IFERROR(
            VLOOKUP($A30, INDIRECT("AbrR!$A$6:$ZZ$1048576"), MATCH(I$1, AbrR!$6:$6, 0), FALSE),
            0
        ) +
        IFERROR(
            VLOOKUP($A30, INDIRECT("MayR!$A$6:$ZZ$1048576"), MATCH(I$1, MayR!$6:$6, 0), FALSE),
            0
        ) +
        IFERROR(
            VLOOKUP($A30, INDIRECT("JunR!$A$6:$ZZ$1048576"), MATCH(I$1, JunR!$6:$6, 0), FALSE),
            0
        ) +
        IFERROR(
            VLOOKUP($A30, INDIRECT("JulR!$A$6:$ZZ$1048576"), MATCH(I$1, JulR!$6:$6, 0), FALSE),
            0
        ) +
        IFERROR(
            VLOOKUP($A30, INDIRECT("AgoR!$A$6:$ZZ$1048576"), MATCH(I$1, AgoR!$6:$6, 0), FALSE),
            0
        ) +
        IFERROR(
            VLOOKUP($A30, INDIRECT("SepR!$A$6:$ZZ$1048576"), MATCH(I$1, SepR!$6:$6, 0), FALSE),
            0
        ) +
        IFERROR(
            VLOOKUP($A30, INDIRECT("OctR!$A$6:$ZZ$1048576"), MATCH(I$1, OctR!$6:$6, 0), FALSE),
            0
        ) +
        IFERROR(
            VLOOKUP($A30, INDIRECT("NovR!$A$6:$ZZ$1048576"), MATCH(I$1, NovR!$6:$6, 0), FALSE),
            0
        ) +
        IFERROR(
            VLOOKUP($A30, INDIRECT("DicR!$A$6:$ZZ$1048576"), MATCH(I$1, DicR!$6:$6, 0), FALSE),
            0
        )
)</f>
        <v>0</v>
      </c>
      <c r="J30" s="32">
        <f t="array" ref="J30">SUM(
    IFERROR(
            VLOOKUP($A30, INDIRECT("EneR!$A$6:$ZZ$1048576"), MATCH(J$1, EneR!$6:$6, 0), FALSE),
            0
        ) +
        IFERROR(
            VLOOKUP($A30, INDIRECT("FebR!$A$6:$ZZ$1048576"), MATCH(J$1, FebR!$6:$6, 0), FALSE),
            0
        ) +
        IFERROR(
            VLOOKUP($A30, INDIRECT("MarR!$A$6:$ZZ$1048576"), MATCH(J$1, MarR!$6:$6, 0), FALSE),
            0
        ) +
        IFERROR(
            VLOOKUP($A30, INDIRECT("AbrR!$A$6:$ZZ$1048576"), MATCH(J$1, AbrR!$6:$6, 0), FALSE),
            0
        ) +
        IFERROR(
            VLOOKUP($A30, INDIRECT("MayR!$A$6:$ZZ$1048576"), MATCH(J$1, MayR!$6:$6, 0), FALSE),
            0
        ) +
        IFERROR(
            VLOOKUP($A30, INDIRECT("JunR!$A$6:$ZZ$1048576"), MATCH(J$1, JunR!$6:$6, 0), FALSE),
            0
        ) +
        IFERROR(
            VLOOKUP($A30, INDIRECT("JulR!$A$6:$ZZ$1048576"), MATCH(J$1, JulR!$6:$6, 0), FALSE),
            0
        ) +
        IFERROR(
            VLOOKUP($A30, INDIRECT("AgoR!$A$6:$ZZ$1048576"), MATCH(J$1, AgoR!$6:$6, 0), FALSE),
            0
        ) +
        IFERROR(
            VLOOKUP($A30, INDIRECT("SepR!$A$6:$ZZ$1048576"), MATCH(J$1, SepR!$6:$6, 0), FALSE),
            0
        ) +
        IFERROR(
            VLOOKUP($A30, INDIRECT("OctR!$A$6:$ZZ$1048576"), MATCH(J$1, OctR!$6:$6, 0), FALSE),
            0
        ) +
        IFERROR(
            VLOOKUP($A30, INDIRECT("NovR!$A$6:$ZZ$1048576"), MATCH(J$1, NovR!$6:$6, 0), FALSE),
            0
        ) +
        IFERROR(
            VLOOKUP($A30, INDIRECT("DicR!$A$6:$ZZ$1048576"), MATCH(J$1, DicR!$6:$6, 0), FALSE),
            0
        )
)</f>
        <v>0</v>
      </c>
      <c r="K30" s="35">
        <f t="array" ref="K30">SUM(
    IFERROR(
            VLOOKUP($A30, INDIRECT("EneR!$A$6:$ZZ$1048576"), MATCH(K$1, EneR!$6:$6, 0), FALSE),
            0
        ) +
        IFERROR(
            VLOOKUP($A30, INDIRECT("FebR!$A$6:$ZZ$1048576"), MATCH(K$1, FebR!$6:$6, 0), FALSE),
            0
        ) +
        IFERROR(
            VLOOKUP($A30, INDIRECT("MarR!$A$6:$ZZ$1048576"), MATCH(K$1, MarR!$6:$6, 0), FALSE),
            0
        ) +
        IFERROR(
            VLOOKUP($A30, INDIRECT("AbrR!$A$6:$ZZ$1048576"), MATCH(K$1, AbrR!$6:$6, 0), FALSE),
            0
        ) +
        IFERROR(
            VLOOKUP($A30, INDIRECT("MayR!$A$6:$ZZ$1048576"), MATCH(K$1, MayR!$6:$6, 0), FALSE),
            0
        ) +
        IFERROR(
            VLOOKUP($A30, INDIRECT("JunR!$A$6:$ZZ$1048576"), MATCH(K$1, JunR!$6:$6, 0), FALSE),
            0
        ) +
        IFERROR(
            VLOOKUP($A30, INDIRECT("JulR!$A$6:$ZZ$1048576"), MATCH(K$1, JulR!$6:$6, 0), FALSE),
            0
        ) +
        IFERROR(
            VLOOKUP($A30, INDIRECT("AgoR!$A$6:$ZZ$1048576"), MATCH(K$1, AgoR!$6:$6, 0), FALSE),
            0
        ) +
        IFERROR(
            VLOOKUP($A30, INDIRECT("SepR!$A$6:$ZZ$1048576"), MATCH(K$1, SepR!$6:$6, 0), FALSE),
            0
        ) +
        IFERROR(
            VLOOKUP($A30, INDIRECT("OctR!$A$6:$ZZ$1048576"), MATCH(K$1, OctR!$6:$6, 0), FALSE),
            0
        ) +
        IFERROR(
            VLOOKUP($A30, INDIRECT("NovR!$A$6:$ZZ$1048576"), MATCH(K$1, NovR!$6:$6, 0), FALSE),
            0
        ) +
        IFERROR(
            VLOOKUP($A30, INDIRECT("DicR!$A$6:$ZZ$1048576"), MATCH(K$1, DicR!$6:$6, 0), FALSE),
            0
        )
)</f>
        <v>0</v>
      </c>
      <c r="L30" s="32">
        <f t="array" ref="L30">SUM(
    IFERROR(
            VLOOKUP($A30, INDIRECT("EneR!$A$6:$ZZ$1048576"), MATCH(L$1, EneR!$6:$6, 0), FALSE),
            0
        ) +
        IFERROR(
            VLOOKUP($A30, INDIRECT("FebR!$A$6:$ZZ$1048576"), MATCH(L$1, FebR!$6:$6, 0), FALSE),
            0
        ) +
        IFERROR(
            VLOOKUP($A30, INDIRECT("MarR!$A$6:$ZZ$1048576"), MATCH(L$1, MarR!$6:$6, 0), FALSE),
            0
        ) +
        IFERROR(
            VLOOKUP($A30, INDIRECT("AbrR!$A$6:$ZZ$1048576"), MATCH(L$1, AbrR!$6:$6, 0), FALSE),
            0
        ) +
        IFERROR(
            VLOOKUP($A30, INDIRECT("MayR!$A$6:$ZZ$1048576"), MATCH(L$1, MayR!$6:$6, 0), FALSE),
            0
        ) +
        IFERROR(
            VLOOKUP($A30, INDIRECT("JunR!$A$6:$ZZ$1048576"), MATCH(L$1, JunR!$6:$6, 0), FALSE),
            0
        ) +
        IFERROR(
            VLOOKUP($A30, INDIRECT("JulR!$A$6:$ZZ$1048576"), MATCH(L$1, JulR!$6:$6, 0), FALSE),
            0
        ) +
        IFERROR(
            VLOOKUP($A30, INDIRECT("AgoR!$A$6:$ZZ$1048576"), MATCH(L$1, AgoR!$6:$6, 0), FALSE),
            0
        ) +
        IFERROR(
            VLOOKUP($A30, INDIRECT("SepR!$A$6:$ZZ$1048576"), MATCH(L$1, SepR!$6:$6, 0), FALSE),
            0
        ) +
        IFERROR(
            VLOOKUP($A30, INDIRECT("OctR!$A$6:$ZZ$1048576"), MATCH(L$1, OctR!$6:$6, 0), FALSE),
            0
        ) +
        IFERROR(
            VLOOKUP($A30, INDIRECT("NovR!$A$6:$ZZ$1048576"), MATCH(L$1, NovR!$6:$6, 0), FALSE),
            0
        ) +
        IFERROR(
            VLOOKUP($A30, INDIRECT("DicR!$A$6:$ZZ$1048576"), MATCH(L$1, DicR!$6:$6, 0), FALSE),
            0
        )
)</f>
        <v>0</v>
      </c>
      <c r="M30" s="35">
        <f t="array" ref="M30">SUM(
    IFERROR(
            VLOOKUP($A30, INDIRECT("EneR!$A$6:$ZZ$1048576"), MATCH(M$1, EneR!$6:$6, 0), FALSE),
            0
        ) +
        IFERROR(
            VLOOKUP($A30, INDIRECT("FebR!$A$6:$ZZ$1048576"), MATCH(M$1, FebR!$6:$6, 0), FALSE),
            0
        ) +
        IFERROR(
            VLOOKUP($A30, INDIRECT("MarR!$A$6:$ZZ$1048576"), MATCH(M$1, MarR!$6:$6, 0), FALSE),
            0
        ) +
        IFERROR(
            VLOOKUP($A30, INDIRECT("AbrR!$A$6:$ZZ$1048576"), MATCH(M$1, AbrR!$6:$6, 0), FALSE),
            0
        ) +
        IFERROR(
            VLOOKUP($A30, INDIRECT("MayR!$A$6:$ZZ$1048576"), MATCH(M$1, MayR!$6:$6, 0), FALSE),
            0
        ) +
        IFERROR(
            VLOOKUP($A30, INDIRECT("JunR!$A$6:$ZZ$1048576"), MATCH(M$1, JunR!$6:$6, 0), FALSE),
            0
        ) +
        IFERROR(
            VLOOKUP($A30, INDIRECT("JulR!$A$6:$ZZ$1048576"), MATCH(M$1, JulR!$6:$6, 0), FALSE),
            0
        ) +
        IFERROR(
            VLOOKUP($A30, INDIRECT("AgoR!$A$6:$ZZ$1048576"), MATCH(M$1, AgoR!$6:$6, 0), FALSE),
            0
        ) +
        IFERROR(
            VLOOKUP($A30, INDIRECT("SepR!$A$6:$ZZ$1048576"), MATCH(M$1, SepR!$6:$6, 0), FALSE),
            0
        ) +
        IFERROR(
            VLOOKUP($A30, INDIRECT("OctR!$A$6:$ZZ$1048576"), MATCH(M$1, OctR!$6:$6, 0), FALSE),
            0
        ) +
        IFERROR(
            VLOOKUP($A30, INDIRECT("NovR!$A$6:$ZZ$1048576"), MATCH(M$1, NovR!$6:$6, 0), FALSE),
            0
        ) +
        IFERROR(
            VLOOKUP($A30, INDIRECT("DicR!$A$6:$ZZ$1048576"), MATCH(M$1, DicR!$6:$6, 0), FALSE),
            0
        )
)</f>
        <v>0</v>
      </c>
      <c r="N30" s="32">
        <f t="array" ref="N30">SUM(
    IFERROR(
            VLOOKUP($A30, INDIRECT("EneR!$A$6:$ZZ$1048576"), MATCH(N$1, EneR!$6:$6, 0), FALSE),
            0
        ) +
        IFERROR(
            VLOOKUP($A30, INDIRECT("FebR!$A$6:$ZZ$1048576"), MATCH(N$1, FebR!$6:$6, 0), FALSE),
            0
        ) +
        IFERROR(
            VLOOKUP($A30, INDIRECT("MarR!$A$6:$ZZ$1048576"), MATCH(N$1, MarR!$6:$6, 0), FALSE),
            0
        ) +
        IFERROR(
            VLOOKUP($A30, INDIRECT("AbrR!$A$6:$ZZ$1048576"), MATCH(N$1, AbrR!$6:$6, 0), FALSE),
            0
        ) +
        IFERROR(
            VLOOKUP($A30, INDIRECT("MayR!$A$6:$ZZ$1048576"), MATCH(N$1, MayR!$6:$6, 0), FALSE),
            0
        ) +
        IFERROR(
            VLOOKUP($A30, INDIRECT("JunR!$A$6:$ZZ$1048576"), MATCH(N$1, JunR!$6:$6, 0), FALSE),
            0
        ) +
        IFERROR(
            VLOOKUP($A30, INDIRECT("JulR!$A$6:$ZZ$1048576"), MATCH(N$1, JulR!$6:$6, 0), FALSE),
            0
        ) +
        IFERROR(
            VLOOKUP($A30, INDIRECT("AgoR!$A$6:$ZZ$1048576"), MATCH(N$1, AgoR!$6:$6, 0), FALSE),
            0
        ) +
        IFERROR(
            VLOOKUP($A30, INDIRECT("SepR!$A$6:$ZZ$1048576"), MATCH(N$1, SepR!$6:$6, 0), FALSE),
            0
        ) +
        IFERROR(
            VLOOKUP($A30, INDIRECT("OctR!$A$6:$ZZ$1048576"), MATCH(N$1, OctR!$6:$6, 0), FALSE),
            0
        ) +
        IFERROR(
            VLOOKUP($A30, INDIRECT("NovR!$A$6:$ZZ$1048576"), MATCH(N$1, NovR!$6:$6, 0), FALSE),
            0
        ) +
        IFERROR(
            VLOOKUP($A30, INDIRECT("DicR!$A$6:$ZZ$1048576"), MATCH(N$1, DicR!$6:$6, 0), FALSE),
            0
        )
)</f>
        <v>0</v>
      </c>
      <c r="O30" s="35">
        <f t="array" ref="O30">SUM(
    IFERROR(
            VLOOKUP($A30, INDIRECT("EneR!$A$6:$ZZ$1048576"), MATCH(O$1, EneR!$6:$6, 0), FALSE),
            0
        ) +
        IFERROR(
            VLOOKUP($A30, INDIRECT("FebR!$A$6:$ZZ$1048576"), MATCH(O$1, FebR!$6:$6, 0), FALSE),
            0
        ) +
        IFERROR(
            VLOOKUP($A30, INDIRECT("MarR!$A$6:$ZZ$1048576"), MATCH(O$1, MarR!$6:$6, 0), FALSE),
            0
        ) +
        IFERROR(
            VLOOKUP($A30, INDIRECT("AbrR!$A$6:$ZZ$1048576"), MATCH(O$1, AbrR!$6:$6, 0), FALSE),
            0
        ) +
        IFERROR(
            VLOOKUP($A30, INDIRECT("MayR!$A$6:$ZZ$1048576"), MATCH(O$1, MayR!$6:$6, 0), FALSE),
            0
        ) +
        IFERROR(
            VLOOKUP($A30, INDIRECT("JunR!$A$6:$ZZ$1048576"), MATCH(O$1, JunR!$6:$6, 0), FALSE),
            0
        ) +
        IFERROR(
            VLOOKUP($A30, INDIRECT("JulR!$A$6:$ZZ$1048576"), MATCH(O$1, JulR!$6:$6, 0), FALSE),
            0
        ) +
        IFERROR(
            VLOOKUP($A30, INDIRECT("AgoR!$A$6:$ZZ$1048576"), MATCH(O$1, AgoR!$6:$6, 0), FALSE),
            0
        ) +
        IFERROR(
            VLOOKUP($A30, INDIRECT("SepR!$A$6:$ZZ$1048576"), MATCH(O$1, SepR!$6:$6, 0), FALSE),
            0
        ) +
        IFERROR(
            VLOOKUP($A30, INDIRECT("OctR!$A$6:$ZZ$1048576"), MATCH(O$1, OctR!$6:$6, 0), FALSE),
            0
        ) +
        IFERROR(
            VLOOKUP($A30, INDIRECT("NovR!$A$6:$ZZ$1048576"), MATCH(O$1, NovR!$6:$6, 0), FALSE),
            0
        ) +
        IFERROR(
            VLOOKUP($A30, INDIRECT("DicR!$A$6:$ZZ$1048576"), MATCH(O$1, DicR!$6:$6, 0), FALSE),
            0
        )
)</f>
        <v>0</v>
      </c>
      <c r="P30" s="32">
        <f t="array" ref="P30">SUM(
    IFERROR(
            VLOOKUP($A30, INDIRECT("EneR!$A$6:$ZZ$1048576"), MATCH(P$1, EneR!$6:$6, 0), FALSE),
            0
        ) +
        IFERROR(
            VLOOKUP($A30, INDIRECT("FebR!$A$6:$ZZ$1048576"), MATCH(P$1, FebR!$6:$6, 0), FALSE),
            0
        ) +
        IFERROR(
            VLOOKUP($A30, INDIRECT("MarR!$A$6:$ZZ$1048576"), MATCH(P$1, MarR!$6:$6, 0), FALSE),
            0
        ) +
        IFERROR(
            VLOOKUP($A30, INDIRECT("AbrR!$A$6:$ZZ$1048576"), MATCH(P$1, AbrR!$6:$6, 0), FALSE),
            0
        ) +
        IFERROR(
            VLOOKUP($A30, INDIRECT("MayR!$A$6:$ZZ$1048576"), MATCH(P$1, MayR!$6:$6, 0), FALSE),
            0
        ) +
        IFERROR(
            VLOOKUP($A30, INDIRECT("JunR!$A$6:$ZZ$1048576"), MATCH(P$1, JunR!$6:$6, 0), FALSE),
            0
        ) +
        IFERROR(
            VLOOKUP($A30, INDIRECT("JulR!$A$6:$ZZ$1048576"), MATCH(P$1, JulR!$6:$6, 0), FALSE),
            0
        ) +
        IFERROR(
            VLOOKUP($A30, INDIRECT("AgoR!$A$6:$ZZ$1048576"), MATCH(P$1, AgoR!$6:$6, 0), FALSE),
            0
        ) +
        IFERROR(
            VLOOKUP($A30, INDIRECT("SepR!$A$6:$ZZ$1048576"), MATCH(P$1, SepR!$6:$6, 0), FALSE),
            0
        ) +
        IFERROR(
            VLOOKUP($A30, INDIRECT("OctR!$A$6:$ZZ$1048576"), MATCH(P$1, OctR!$6:$6, 0), FALSE),
            0
        ) +
        IFERROR(
            VLOOKUP($A30, INDIRECT("NovR!$A$6:$ZZ$1048576"), MATCH(P$1, NovR!$6:$6, 0), FALSE),
            0
        ) +
        IFERROR(
            VLOOKUP($A30, INDIRECT("DicR!$A$6:$ZZ$1048576"), MATCH(P$1, DicR!$6:$6, 0), FALSE),
            0
        )
)</f>
        <v>0</v>
      </c>
      <c r="Q30" s="35">
        <f t="array" ref="Q30">SUM(
    IFERROR(
            VLOOKUP($A30, INDIRECT("EneR!$A$6:$ZZ$1048576"), MATCH(Q$1, EneR!$6:$6, 0), FALSE),
            0
        ) +
        IFERROR(
            VLOOKUP($A30, INDIRECT("FebR!$A$6:$ZZ$1048576"), MATCH(Q$1, FebR!$6:$6, 0), FALSE),
            0
        ) +
        IFERROR(
            VLOOKUP($A30, INDIRECT("MarR!$A$6:$ZZ$1048576"), MATCH(Q$1, MarR!$6:$6, 0), FALSE),
            0
        ) +
        IFERROR(
            VLOOKUP($A30, INDIRECT("AbrR!$A$6:$ZZ$1048576"), MATCH(Q$1, AbrR!$6:$6, 0), FALSE),
            0
        ) +
        IFERROR(
            VLOOKUP($A30, INDIRECT("MayR!$A$6:$ZZ$1048576"), MATCH(Q$1, MayR!$6:$6, 0), FALSE),
            0
        ) +
        IFERROR(
            VLOOKUP($A30, INDIRECT("JunR!$A$6:$ZZ$1048576"), MATCH(Q$1, JunR!$6:$6, 0), FALSE),
            0
        ) +
        IFERROR(
            VLOOKUP($A30, INDIRECT("JulR!$A$6:$ZZ$1048576"), MATCH(Q$1, JulR!$6:$6, 0), FALSE),
            0
        ) +
        IFERROR(
            VLOOKUP($A30, INDIRECT("AgoR!$A$6:$ZZ$1048576"), MATCH(Q$1, AgoR!$6:$6, 0), FALSE),
            0
        ) +
        IFERROR(
            VLOOKUP($A30, INDIRECT("SepR!$A$6:$ZZ$1048576"), MATCH(Q$1, SepR!$6:$6, 0), FALSE),
            0
        ) +
        IFERROR(
            VLOOKUP($A30, INDIRECT("OctR!$A$6:$ZZ$1048576"), MATCH(Q$1, OctR!$6:$6, 0), FALSE),
            0
        ) +
        IFERROR(
            VLOOKUP($A30, INDIRECT("NovR!$A$6:$ZZ$1048576"), MATCH(Q$1, NovR!$6:$6, 0), FALSE),
            0
        ) +
        IFERROR(
            VLOOKUP($A30, INDIRECT("DicR!$A$6:$ZZ$1048576"), MATCH(Q$1, DicR!$6:$6, 0), FALSE),
            0
        )
)</f>
        <v>0</v>
      </c>
      <c r="R30" s="36">
        <f t="array" ref="R30">SUM(
    IFERROR(
            VLOOKUP($A30, INDIRECT("EneR!$A$6:$ZZ$1048576"), MATCH(R$1, EneR!$6:$6, 0), FALSE),
            0
        ) +
        IFERROR(
            VLOOKUP($A30, INDIRECT("FebR!$A$6:$ZZ$1048576"), MATCH(R$1, FebR!$6:$6, 0), FALSE),
            0
        ) +
        IFERROR(
            VLOOKUP($A30, INDIRECT("MarR!$A$6:$ZZ$1048576"), MATCH(R$1, MarR!$6:$6, 0), FALSE),
            0
        ) +
        IFERROR(
            VLOOKUP($A30, INDIRECT("AbrR!$A$6:$ZZ$1048576"), MATCH(R$1, AbrR!$6:$6, 0), FALSE),
            0
        ) +
        IFERROR(
            VLOOKUP($A30, INDIRECT("MayR!$A$6:$ZZ$1048576"), MATCH(R$1, MayR!$6:$6, 0), FALSE),
            0
        ) +
        IFERROR(
            VLOOKUP($A30, INDIRECT("JunR!$A$6:$ZZ$1048576"), MATCH(R$1, JunR!$6:$6, 0), FALSE),
            0
        ) +
        IFERROR(
            VLOOKUP($A30, INDIRECT("JulR!$A$6:$ZZ$1048576"), MATCH(R$1, JulR!$6:$6, 0), FALSE),
            0
        ) +
        IFERROR(
            VLOOKUP($A30, INDIRECT("AgoR!$A$6:$ZZ$1048576"), MATCH(R$1, AgoR!$6:$6, 0), FALSE),
            0
        ) +
        IFERROR(
            VLOOKUP($A30, INDIRECT("SepR!$A$6:$ZZ$1048576"), MATCH(R$1, SepR!$6:$6, 0), FALSE),
            0
        ) +
        IFERROR(
            VLOOKUP($A30, INDIRECT("OctR!$A$6:$ZZ$1048576"), MATCH(R$1, OctR!$6:$6, 0), FALSE),
            0
        ) +
        IFERROR(
            VLOOKUP($A30, INDIRECT("NovR!$A$6:$ZZ$1048576"), MATCH(R$1, NovR!$6:$6, 0), FALSE),
            0
        ) +
        IFERROR(
            VLOOKUP($A30, INDIRECT("DicR!$A$6:$ZZ$1048576"), MATCH(R$1, DicR!$6:$6, 0), FALSE),
            0
        )
)</f>
        <v>0</v>
      </c>
      <c r="S30" s="37">
        <f t="array" ref="S30">SUM(
    IFERROR(
            VLOOKUP($A30, INDIRECT("EneR!$A$6:$ZZ$1048576"), MATCH(S$1, EneR!$6:$6, 0), FALSE),
            0
        ) +
        IFERROR(
            VLOOKUP($A30, INDIRECT("FebR!$A$6:$ZZ$1048576"), MATCH(S$1, FebR!$6:$6, 0), FALSE),
            0
        ) +
        IFERROR(
            VLOOKUP($A30, INDIRECT("MarR!$A$6:$ZZ$1048576"), MATCH(S$1, MarR!$6:$6, 0), FALSE),
            0
        ) +
        IFERROR(
            VLOOKUP($A30, INDIRECT("AbrR!$A$6:$ZZ$1048576"), MATCH(S$1, AbrR!$6:$6, 0), FALSE),
            0
        ) +
        IFERROR(
            VLOOKUP($A30, INDIRECT("MayR!$A$6:$ZZ$1048576"), MATCH(S$1, MayR!$6:$6, 0), FALSE),
            0
        ) +
        IFERROR(
            VLOOKUP($A30, INDIRECT("JunR!$A$6:$ZZ$1048576"), MATCH(S$1, JunR!$6:$6, 0), FALSE),
            0
        ) +
        IFERROR(
            VLOOKUP($A30, INDIRECT("JulR!$A$6:$ZZ$1048576"), MATCH(S$1, JulR!$6:$6, 0), FALSE),
            0
        ) +
        IFERROR(
            VLOOKUP($A30, INDIRECT("AgoR!$A$6:$ZZ$1048576"), MATCH(S$1, AgoR!$6:$6, 0), FALSE),
            0
        ) +
        IFERROR(
            VLOOKUP($A30, INDIRECT("SepR!$A$6:$ZZ$1048576"), MATCH(S$1, SepR!$6:$6, 0), FALSE),
            0
        ) +
        IFERROR(
            VLOOKUP($A30, INDIRECT("OctR!$A$6:$ZZ$1048576"), MATCH(S$1, OctR!$6:$6, 0), FALSE),
            0
        ) +
        IFERROR(
            VLOOKUP($A30, INDIRECT("NovR!$A$6:$ZZ$1048576"), MATCH(S$1, NovR!$6:$6, 0), FALSE),
            0
        ) +
        IFERROR(
            VLOOKUP($A30, INDIRECT("DicR!$A$6:$ZZ$1048576"), MATCH(S$1, DicR!$6:$6, 0), FALSE),
            0
        )
)</f>
        <v>0</v>
      </c>
      <c r="T30" s="36">
        <f t="array" ref="T30">SUM(
    IFERROR(
            VLOOKUP($A30, INDIRECT("EneR!$A$6:$ZZ$1048576"), MATCH(T$1, EneR!$6:$6, 0), FALSE),
            0
        ) +
        IFERROR(
            VLOOKUP($A30, INDIRECT("FebR!$A$6:$ZZ$1048576"), MATCH(T$1, FebR!$6:$6, 0), FALSE),
            0
        ) +
        IFERROR(
            VLOOKUP($A30, INDIRECT("MarR!$A$6:$ZZ$1048576"), MATCH(T$1, MarR!$6:$6, 0), FALSE),
            0
        ) +
        IFERROR(
            VLOOKUP($A30, INDIRECT("AbrR!$A$6:$ZZ$1048576"), MATCH(T$1, AbrR!$6:$6, 0), FALSE),
            0
        ) +
        IFERROR(
            VLOOKUP($A30, INDIRECT("MayR!$A$6:$ZZ$1048576"), MATCH(T$1, MayR!$6:$6, 0), FALSE),
            0
        ) +
        IFERROR(
            VLOOKUP($A30, INDIRECT("JunR!$A$6:$ZZ$1048576"), MATCH(T$1, JunR!$6:$6, 0), FALSE),
            0
        ) +
        IFERROR(
            VLOOKUP($A30, INDIRECT("JulR!$A$6:$ZZ$1048576"), MATCH(T$1, JulR!$6:$6, 0), FALSE),
            0
        ) +
        IFERROR(
            VLOOKUP($A30, INDIRECT("AgoR!$A$6:$ZZ$1048576"), MATCH(T$1, AgoR!$6:$6, 0), FALSE),
            0
        ) +
        IFERROR(
            VLOOKUP($A30, INDIRECT("SepR!$A$6:$ZZ$1048576"), MATCH(T$1, SepR!$6:$6, 0), FALSE),
            0
        ) +
        IFERROR(
            VLOOKUP($A30, INDIRECT("OctR!$A$6:$ZZ$1048576"), MATCH(T$1, OctR!$6:$6, 0), FALSE),
            0
        ) +
        IFERROR(
            VLOOKUP($A30, INDIRECT("NovR!$A$6:$ZZ$1048576"), MATCH(T$1, NovR!$6:$6, 0), FALSE),
            0
        ) +
        IFERROR(
            VLOOKUP($A30, INDIRECT("DicR!$A$6:$ZZ$1048576"), MATCH(T$1, DicR!$6:$6, 0), FALSE),
            0
        )
)</f>
        <v>0</v>
      </c>
      <c r="U30" s="37">
        <f t="array" ref="U30">SUM(
    IFERROR(
            VLOOKUP($A30, INDIRECT("EneR!$A$6:$ZZ$1048576"), MATCH(U$1, EneR!$6:$6, 0), FALSE),
            0
        ) +
        IFERROR(
            VLOOKUP($A30, INDIRECT("FebR!$A$6:$ZZ$1048576"), MATCH(U$1, FebR!$6:$6, 0), FALSE),
            0
        ) +
        IFERROR(
            VLOOKUP($A30, INDIRECT("MarR!$A$6:$ZZ$1048576"), MATCH(U$1, MarR!$6:$6, 0), FALSE),
            0
        ) +
        IFERROR(
            VLOOKUP($A30, INDIRECT("AbrR!$A$6:$ZZ$1048576"), MATCH(U$1, AbrR!$6:$6, 0), FALSE),
            0
        ) +
        IFERROR(
            VLOOKUP($A30, INDIRECT("MayR!$A$6:$ZZ$1048576"), MATCH(U$1, MayR!$6:$6, 0), FALSE),
            0
        ) +
        IFERROR(
            VLOOKUP($A30, INDIRECT("JunR!$A$6:$ZZ$1048576"), MATCH(U$1, JunR!$6:$6, 0), FALSE),
            0
        ) +
        IFERROR(
            VLOOKUP($A30, INDIRECT("JulR!$A$6:$ZZ$1048576"), MATCH(U$1, JulR!$6:$6, 0), FALSE),
            0
        ) +
        IFERROR(
            VLOOKUP($A30, INDIRECT("AgoR!$A$6:$ZZ$1048576"), MATCH(U$1, AgoR!$6:$6, 0), FALSE),
            0
        ) +
        IFERROR(
            VLOOKUP($A30, INDIRECT("SepR!$A$6:$ZZ$1048576"), MATCH(U$1, SepR!$6:$6, 0), FALSE),
            0
        ) +
        IFERROR(
            VLOOKUP($A30, INDIRECT("OctR!$A$6:$ZZ$1048576"), MATCH(U$1, OctR!$6:$6, 0), FALSE),
            0
        ) +
        IFERROR(
            VLOOKUP($A30, INDIRECT("NovR!$A$6:$ZZ$1048576"), MATCH(U$1, NovR!$6:$6, 0), FALSE),
            0
        ) +
        IFERROR(
            VLOOKUP($A30, INDIRECT("DicR!$A$6:$ZZ$1048576"), MATCH(U$1, DicR!$6:$6, 0), FALSE),
            0
        )
)</f>
        <v>0</v>
      </c>
      <c r="V30" s="36">
        <f t="array" ref="V30">SUM(
    IFERROR(
            VLOOKUP($A30, INDIRECT("EneR!$A$6:$ZZ$1048576"), MATCH(V$1, EneR!$6:$6, 0), FALSE),
            0
        ) +
        IFERROR(
            VLOOKUP($A30, INDIRECT("FebR!$A$6:$ZZ$1048576"), MATCH(V$1, FebR!$6:$6, 0), FALSE),
            0
        ) +
        IFERROR(
            VLOOKUP($A30, INDIRECT("MarR!$A$6:$ZZ$1048576"), MATCH(V$1, MarR!$6:$6, 0), FALSE),
            0
        ) +
        IFERROR(
            VLOOKUP($A30, INDIRECT("AbrR!$A$6:$ZZ$1048576"), MATCH(V$1, AbrR!$6:$6, 0), FALSE),
            0
        ) +
        IFERROR(
            VLOOKUP($A30, INDIRECT("MayR!$A$6:$ZZ$1048576"), MATCH(V$1, MayR!$6:$6, 0), FALSE),
            0
        ) +
        IFERROR(
            VLOOKUP($A30, INDIRECT("JunR!$A$6:$ZZ$1048576"), MATCH(V$1, JunR!$6:$6, 0), FALSE),
            0
        ) +
        IFERROR(
            VLOOKUP($A30, INDIRECT("JulR!$A$6:$ZZ$1048576"), MATCH(V$1, JulR!$6:$6, 0), FALSE),
            0
        ) +
        IFERROR(
            VLOOKUP($A30, INDIRECT("AgoR!$A$6:$ZZ$1048576"), MATCH(V$1, AgoR!$6:$6, 0), FALSE),
            0
        ) +
        IFERROR(
            VLOOKUP($A30, INDIRECT("SepR!$A$6:$ZZ$1048576"), MATCH(V$1, SepR!$6:$6, 0), FALSE),
            0
        ) +
        IFERROR(
            VLOOKUP($A30, INDIRECT("OctR!$A$6:$ZZ$1048576"), MATCH(V$1, OctR!$6:$6, 0), FALSE),
            0
        ) +
        IFERROR(
            VLOOKUP($A30, INDIRECT("NovR!$A$6:$ZZ$1048576"), MATCH(V$1, NovR!$6:$6, 0), FALSE),
            0
        ) +
        IFERROR(
            VLOOKUP($A30, INDIRECT("DicR!$A$6:$ZZ$1048576"), MATCH(V$1, DicR!$6:$6, 0), FALSE),
            0
        )
)</f>
        <v>0</v>
      </c>
      <c r="W30" s="37">
        <f t="array" ref="W30">SUM(
    IFERROR(
            VLOOKUP($A30, INDIRECT("EneR!$A$6:$ZZ$1048576"), MATCH(W$1, EneR!$6:$6, 0), FALSE),
            0
        ) +
        IFERROR(
            VLOOKUP($A30, INDIRECT("FebR!$A$6:$ZZ$1048576"), MATCH(W$1, FebR!$6:$6, 0), FALSE),
            0
        ) +
        IFERROR(
            VLOOKUP($A30, INDIRECT("MarR!$A$6:$ZZ$1048576"), MATCH(W$1, MarR!$6:$6, 0), FALSE),
            0
        ) +
        IFERROR(
            VLOOKUP($A30, INDIRECT("AbrR!$A$6:$ZZ$1048576"), MATCH(W$1, AbrR!$6:$6, 0), FALSE),
            0
        ) +
        IFERROR(
            VLOOKUP($A30, INDIRECT("MayR!$A$6:$ZZ$1048576"), MATCH(W$1, MayR!$6:$6, 0), FALSE),
            0
        ) +
        IFERROR(
            VLOOKUP($A30, INDIRECT("JunR!$A$6:$ZZ$1048576"), MATCH(W$1, JunR!$6:$6, 0), FALSE),
            0
        ) +
        IFERROR(
            VLOOKUP($A30, INDIRECT("JulR!$A$6:$ZZ$1048576"), MATCH(W$1, JulR!$6:$6, 0), FALSE),
            0
        ) +
        IFERROR(
            VLOOKUP($A30, INDIRECT("AgoR!$A$6:$ZZ$1048576"), MATCH(W$1, AgoR!$6:$6, 0), FALSE),
            0
        ) +
        IFERROR(
            VLOOKUP($A30, INDIRECT("SepR!$A$6:$ZZ$1048576"), MATCH(W$1, SepR!$6:$6, 0), FALSE),
            0
        ) +
        IFERROR(
            VLOOKUP($A30, INDIRECT("OctR!$A$6:$ZZ$1048576"), MATCH(W$1, OctR!$6:$6, 0), FALSE),
            0
        ) +
        IFERROR(
            VLOOKUP($A30, INDIRECT("NovR!$A$6:$ZZ$1048576"), MATCH(W$1, NovR!$6:$6, 0), FALSE),
            0
        ) +
        IFERROR(
            VLOOKUP($A30, INDIRECT("DicR!$A$6:$ZZ$1048576"), MATCH(W$1, DicR!$6:$6, 0), FALSE),
            0
        )
)</f>
        <v>0</v>
      </c>
      <c r="X30" s="36">
        <f t="array" ref="X30">SUM(
    IFERROR(
            VLOOKUP($A30, INDIRECT("EneR!$A$6:$ZZ$1048576"), MATCH(X$1, EneR!$6:$6, 0), FALSE),
            0
        ) +
        IFERROR(
            VLOOKUP($A30, INDIRECT("FebR!$A$6:$ZZ$1048576"), MATCH(X$1, FebR!$6:$6, 0), FALSE),
            0
        ) +
        IFERROR(
            VLOOKUP($A30, INDIRECT("MarR!$A$6:$ZZ$1048576"), MATCH(X$1, MarR!$6:$6, 0), FALSE),
            0
        ) +
        IFERROR(
            VLOOKUP($A30, INDIRECT("AbrR!$A$6:$ZZ$1048576"), MATCH(X$1, AbrR!$6:$6, 0), FALSE),
            0
        ) +
        IFERROR(
            VLOOKUP($A30, INDIRECT("MayR!$A$6:$ZZ$1048576"), MATCH(X$1, MayR!$6:$6, 0), FALSE),
            0
        ) +
        IFERROR(
            VLOOKUP($A30, INDIRECT("JunR!$A$6:$ZZ$1048576"), MATCH(X$1, JunR!$6:$6, 0), FALSE),
            0
        ) +
        IFERROR(
            VLOOKUP($A30, INDIRECT("JulR!$A$6:$ZZ$1048576"), MATCH(X$1, JulR!$6:$6, 0), FALSE),
            0
        ) +
        IFERROR(
            VLOOKUP($A30, INDIRECT("AgoR!$A$6:$ZZ$1048576"), MATCH(X$1, AgoR!$6:$6, 0), FALSE),
            0
        ) +
        IFERROR(
            VLOOKUP($A30, INDIRECT("SepR!$A$6:$ZZ$1048576"), MATCH(X$1, SepR!$6:$6, 0), FALSE),
            0
        ) +
        IFERROR(
            VLOOKUP($A30, INDIRECT("OctR!$A$6:$ZZ$1048576"), MATCH(X$1, OctR!$6:$6, 0), FALSE),
            0
        ) +
        IFERROR(
            VLOOKUP($A30, INDIRECT("NovR!$A$6:$ZZ$1048576"), MATCH(X$1, NovR!$6:$6, 0), FALSE),
            0
        ) +
        IFERROR(
            VLOOKUP($A30, INDIRECT("DicR!$A$6:$ZZ$1048576"), MATCH(X$1, DicR!$6:$6, 0), FALSE),
            0
        )
)</f>
        <v>0</v>
      </c>
      <c r="Y30" s="37">
        <f t="array" ref="Y30">SUM(
    IFERROR(
            VLOOKUP($A30, INDIRECT("EneR!$A$6:$ZZ$1048576"), MATCH(Y$1, EneR!$6:$6, 0), FALSE),
            0
        ) +
        IFERROR(
            VLOOKUP($A30, INDIRECT("FebR!$A$6:$ZZ$1048576"), MATCH(Y$1, FebR!$6:$6, 0), FALSE),
            0
        ) +
        IFERROR(
            VLOOKUP($A30, INDIRECT("MarR!$A$6:$ZZ$1048576"), MATCH(Y$1, MarR!$6:$6, 0), FALSE),
            0
        ) +
        IFERROR(
            VLOOKUP($A30, INDIRECT("AbrR!$A$6:$ZZ$1048576"), MATCH(Y$1, AbrR!$6:$6, 0), FALSE),
            0
        ) +
        IFERROR(
            VLOOKUP($A30, INDIRECT("MayR!$A$6:$ZZ$1048576"), MATCH(Y$1, MayR!$6:$6, 0), FALSE),
            0
        ) +
        IFERROR(
            VLOOKUP($A30, INDIRECT("JunR!$A$6:$ZZ$1048576"), MATCH(Y$1, JunR!$6:$6, 0), FALSE),
            0
        ) +
        IFERROR(
            VLOOKUP($A30, INDIRECT("JulR!$A$6:$ZZ$1048576"), MATCH(Y$1, JulR!$6:$6, 0), FALSE),
            0
        ) +
        IFERROR(
            VLOOKUP($A30, INDIRECT("AgoR!$A$6:$ZZ$1048576"), MATCH(Y$1, AgoR!$6:$6, 0), FALSE),
            0
        ) +
        IFERROR(
            VLOOKUP($A30, INDIRECT("SepR!$A$6:$ZZ$1048576"), MATCH(Y$1, SepR!$6:$6, 0), FALSE),
            0
        ) +
        IFERROR(
            VLOOKUP($A30, INDIRECT("OctR!$A$6:$ZZ$1048576"), MATCH(Y$1, OctR!$6:$6, 0), FALSE),
            0
        ) +
        IFERROR(
            VLOOKUP($A30, INDIRECT("NovR!$A$6:$ZZ$1048576"), MATCH(Y$1, NovR!$6:$6, 0), FALSE),
            0
        ) +
        IFERROR(
            VLOOKUP($A30, INDIRECT("DicR!$A$6:$ZZ$1048576"), MATCH(Y$1, DicR!$6:$6, 0), FALSE),
            0
        )
)</f>
        <v>0</v>
      </c>
      <c r="Z30" s="36">
        <f t="array" ref="Z30">SUM(
    IFERROR(
            VLOOKUP($A30, INDIRECT("EneR!$A$6:$ZZ$1048576"), MATCH(Z$1, EneR!$6:$6, 0), FALSE),
            0
        ) +
        IFERROR(
            VLOOKUP($A30, INDIRECT("FebR!$A$6:$ZZ$1048576"), MATCH(Z$1, FebR!$6:$6, 0), FALSE),
            0
        ) +
        IFERROR(
            VLOOKUP($A30, INDIRECT("MarR!$A$6:$ZZ$1048576"), MATCH(Z$1, MarR!$6:$6, 0), FALSE),
            0
        ) +
        IFERROR(
            VLOOKUP($A30, INDIRECT("AbrR!$A$6:$ZZ$1048576"), MATCH(Z$1, AbrR!$6:$6, 0), FALSE),
            0
        ) +
        IFERROR(
            VLOOKUP($A30, INDIRECT("MayR!$A$6:$ZZ$1048576"), MATCH(Z$1, MayR!$6:$6, 0), FALSE),
            0
        ) +
        IFERROR(
            VLOOKUP($A30, INDIRECT("JunR!$A$6:$ZZ$1048576"), MATCH(Z$1, JunR!$6:$6, 0), FALSE),
            0
        ) +
        IFERROR(
            VLOOKUP($A30, INDIRECT("JulR!$A$6:$ZZ$1048576"), MATCH(Z$1, JulR!$6:$6, 0), FALSE),
            0
        ) +
        IFERROR(
            VLOOKUP($A30, INDIRECT("AgoR!$A$6:$ZZ$1048576"), MATCH(Z$1, AgoR!$6:$6, 0), FALSE),
            0
        ) +
        IFERROR(
            VLOOKUP($A30, INDIRECT("SepR!$A$6:$ZZ$1048576"), MATCH(Z$1, SepR!$6:$6, 0), FALSE),
            0
        ) +
        IFERROR(
            VLOOKUP($A30, INDIRECT("OctR!$A$6:$ZZ$1048576"), MATCH(Z$1, OctR!$6:$6, 0), FALSE),
            0
        ) +
        IFERROR(
            VLOOKUP($A30, INDIRECT("NovR!$A$6:$ZZ$1048576"), MATCH(Z$1, NovR!$6:$6, 0), FALSE),
            0
        ) +
        IFERROR(
            VLOOKUP($A30, INDIRECT("DicR!$A$6:$ZZ$1048576"), MATCH(Z$1, DicR!$6:$6, 0), FALSE),
            0
        )
)</f>
        <v>0</v>
      </c>
      <c r="AA30" s="37">
        <f t="array" ref="AA30">SUM(
    IFERROR(
            VLOOKUP($A30, INDIRECT("EneR!$A$6:$ZZ$1048576"), MATCH(AA$1, EneR!$6:$6, 0), FALSE),
            0
        ) +
        IFERROR(
            VLOOKUP($A30, INDIRECT("FebR!$A$6:$ZZ$1048576"), MATCH(AA$1, FebR!$6:$6, 0), FALSE),
            0
        ) +
        IFERROR(
            VLOOKUP($A30, INDIRECT("MarR!$A$6:$ZZ$1048576"), MATCH(AA$1, MarR!$6:$6, 0), FALSE),
            0
        ) +
        IFERROR(
            VLOOKUP($A30, INDIRECT("AbrR!$A$6:$ZZ$1048576"), MATCH(AA$1, AbrR!$6:$6, 0), FALSE),
            0
        ) +
        IFERROR(
            VLOOKUP($A30, INDIRECT("MayR!$A$6:$ZZ$1048576"), MATCH(AA$1, MayR!$6:$6, 0), FALSE),
            0
        ) +
        IFERROR(
            VLOOKUP($A30, INDIRECT("JunR!$A$6:$ZZ$1048576"), MATCH(AA$1, JunR!$6:$6, 0), FALSE),
            0
        ) +
        IFERROR(
            VLOOKUP($A30, INDIRECT("JulR!$A$6:$ZZ$1048576"), MATCH(AA$1, JulR!$6:$6, 0), FALSE),
            0
        ) +
        IFERROR(
            VLOOKUP($A30, INDIRECT("AgoR!$A$6:$ZZ$1048576"), MATCH(AA$1, AgoR!$6:$6, 0), FALSE),
            0
        ) +
        IFERROR(
            VLOOKUP($A30, INDIRECT("SepR!$A$6:$ZZ$1048576"), MATCH(AA$1, SepR!$6:$6, 0), FALSE),
            0
        ) +
        IFERROR(
            VLOOKUP($A30, INDIRECT("OctR!$A$6:$ZZ$1048576"), MATCH(AA$1, OctR!$6:$6, 0), FALSE),
            0
        ) +
        IFERROR(
            VLOOKUP($A30, INDIRECT("NovR!$A$6:$ZZ$1048576"), MATCH(AA$1, NovR!$6:$6, 0), FALSE),
            0
        ) +
        IFERROR(
            VLOOKUP($A30, INDIRECT("DicR!$A$6:$ZZ$1048576"), MATCH(AA$1, DicR!$6:$6, 0), FALSE),
            0
        )
)</f>
        <v>0</v>
      </c>
      <c r="AB30" s="36">
        <f t="array" ref="AB30">SUM(
    IFERROR(
            VLOOKUP($A30, INDIRECT("EneR!$A$6:$ZZ$1048576"), MATCH(AB$1, EneR!$6:$6, 0), FALSE),
            0
        ) +
        IFERROR(
            VLOOKUP($A30, INDIRECT("FebR!$A$6:$ZZ$1048576"), MATCH(AB$1, FebR!$6:$6, 0), FALSE),
            0
        ) +
        IFERROR(
            VLOOKUP($A30, INDIRECT("MarR!$A$6:$ZZ$1048576"), MATCH(AB$1, MarR!$6:$6, 0), FALSE),
            0
        ) +
        IFERROR(
            VLOOKUP($A30, INDIRECT("AbrR!$A$6:$ZZ$1048576"), MATCH(AB$1, AbrR!$6:$6, 0), FALSE),
            0
        ) +
        IFERROR(
            VLOOKUP($A30, INDIRECT("MayR!$A$6:$ZZ$1048576"), MATCH(AB$1, MayR!$6:$6, 0), FALSE),
            0
        ) +
        IFERROR(
            VLOOKUP($A30, INDIRECT("JunR!$A$6:$ZZ$1048576"), MATCH(AB$1, JunR!$6:$6, 0), FALSE),
            0
        ) +
        IFERROR(
            VLOOKUP($A30, INDIRECT("JulR!$A$6:$ZZ$1048576"), MATCH(AB$1, JulR!$6:$6, 0), FALSE),
            0
        ) +
        IFERROR(
            VLOOKUP($A30, INDIRECT("AgoR!$A$6:$ZZ$1048576"), MATCH(AB$1, AgoR!$6:$6, 0), FALSE),
            0
        ) +
        IFERROR(
            VLOOKUP($A30, INDIRECT("SepR!$A$6:$ZZ$1048576"), MATCH(AB$1, SepR!$6:$6, 0), FALSE),
            0
        ) +
        IFERROR(
            VLOOKUP($A30, INDIRECT("OctR!$A$6:$ZZ$1048576"), MATCH(AB$1, OctR!$6:$6, 0), FALSE),
            0
        ) +
        IFERROR(
            VLOOKUP($A30, INDIRECT("NovR!$A$6:$ZZ$1048576"), MATCH(AB$1, NovR!$6:$6, 0), FALSE),
            0
        ) +
        IFERROR(
            VLOOKUP($A30, INDIRECT("DicR!$A$6:$ZZ$1048576"), MATCH(AB$1, DicR!$6:$6, 0), FALSE),
            0
        )
)</f>
        <v>0</v>
      </c>
      <c r="AC30" s="37">
        <f t="array" ref="AC30">SUM(
    IFERROR(
            VLOOKUP($A30, INDIRECT("EneR!$A$6:$ZZ$1048576"), MATCH(AC$1, EneR!$6:$6, 0), FALSE),
            0
        ) +
        IFERROR(
            VLOOKUP($A30, INDIRECT("FebR!$A$6:$ZZ$1048576"), MATCH(AC$1, FebR!$6:$6, 0), FALSE),
            0
        ) +
        IFERROR(
            VLOOKUP($A30, INDIRECT("MarR!$A$6:$ZZ$1048576"), MATCH(AC$1, MarR!$6:$6, 0), FALSE),
            0
        ) +
        IFERROR(
            VLOOKUP($A30, INDIRECT("AbrR!$A$6:$ZZ$1048576"), MATCH(AC$1, AbrR!$6:$6, 0), FALSE),
            0
        ) +
        IFERROR(
            VLOOKUP($A30, INDIRECT("MayR!$A$6:$ZZ$1048576"), MATCH(AC$1, MayR!$6:$6, 0), FALSE),
            0
        ) +
        IFERROR(
            VLOOKUP($A30, INDIRECT("JunR!$A$6:$ZZ$1048576"), MATCH(AC$1, JunR!$6:$6, 0), FALSE),
            0
        ) +
        IFERROR(
            VLOOKUP($A30, INDIRECT("JulR!$A$6:$ZZ$1048576"), MATCH(AC$1, JulR!$6:$6, 0), FALSE),
            0
        ) +
        IFERROR(
            VLOOKUP($A30, INDIRECT("AgoR!$A$6:$ZZ$1048576"), MATCH(AC$1, AgoR!$6:$6, 0), FALSE),
            0
        ) +
        IFERROR(
            VLOOKUP($A30, INDIRECT("SepR!$A$6:$ZZ$1048576"), MATCH(AC$1, SepR!$6:$6, 0), FALSE),
            0
        ) +
        IFERROR(
            VLOOKUP($A30, INDIRECT("OctR!$A$6:$ZZ$1048576"), MATCH(AC$1, OctR!$6:$6, 0), FALSE),
            0
        ) +
        IFERROR(
            VLOOKUP($A30, INDIRECT("NovR!$A$6:$ZZ$1048576"), MATCH(AC$1, NovR!$6:$6, 0), FALSE),
            0
        ) +
        IFERROR(
            VLOOKUP($A30, INDIRECT("DicR!$A$6:$ZZ$1048576"), MATCH(AC$1, DicR!$6:$6, 0), FALSE),
            0
        )
)</f>
        <v>0</v>
      </c>
      <c r="AD30" s="36">
        <f t="array" ref="AD30">SUM(
    IFERROR(
            VLOOKUP($A30, INDIRECT("EneR!$A$6:$ZZ$1048576"), MATCH(AD$1, EneR!$6:$6, 0), FALSE),
            0
        ) +
        IFERROR(
            VLOOKUP($A30, INDIRECT("FebR!$A$6:$ZZ$1048576"), MATCH(AD$1, FebR!$6:$6, 0), FALSE),
            0
        ) +
        IFERROR(
            VLOOKUP($A30, INDIRECT("MarR!$A$6:$ZZ$1048576"), MATCH(AD$1, MarR!$6:$6, 0), FALSE),
            0
        ) +
        IFERROR(
            VLOOKUP($A30, INDIRECT("AbrR!$A$6:$ZZ$1048576"), MATCH(AD$1, AbrR!$6:$6, 0), FALSE),
            0
        ) +
        IFERROR(
            VLOOKUP($A30, INDIRECT("MayR!$A$6:$ZZ$1048576"), MATCH(AD$1, MayR!$6:$6, 0), FALSE),
            0
        ) +
        IFERROR(
            VLOOKUP($A30, INDIRECT("JunR!$A$6:$ZZ$1048576"), MATCH(AD$1, JunR!$6:$6, 0), FALSE),
            0
        ) +
        IFERROR(
            VLOOKUP($A30, INDIRECT("JulR!$A$6:$ZZ$1048576"), MATCH(AD$1, JulR!$6:$6, 0), FALSE),
            0
        ) +
        IFERROR(
            VLOOKUP($A30, INDIRECT("AgoR!$A$6:$ZZ$1048576"), MATCH(AD$1, AgoR!$6:$6, 0), FALSE),
            0
        ) +
        IFERROR(
            VLOOKUP($A30, INDIRECT("SepR!$A$6:$ZZ$1048576"), MATCH(AD$1, SepR!$6:$6, 0), FALSE),
            0
        ) +
        IFERROR(
            VLOOKUP($A30, INDIRECT("OctR!$A$6:$ZZ$1048576"), MATCH(AD$1, OctR!$6:$6, 0), FALSE),
            0
        ) +
        IFERROR(
            VLOOKUP($A30, INDIRECT("NovR!$A$6:$ZZ$1048576"), MATCH(AD$1, NovR!$6:$6, 0), FALSE),
            0
        ) +
        IFERROR(
            VLOOKUP($A30, INDIRECT("DicR!$A$6:$ZZ$1048576"), MATCH(AD$1, DicR!$6:$6, 0), FALSE),
            0
        )
)</f>
        <v>0</v>
      </c>
      <c r="AE30" s="37">
        <f t="array" ref="AE30">SUM(
    IFERROR(
            VLOOKUP($A30, INDIRECT("EneR!$A$6:$ZZ$1048576"), MATCH(AE$1, EneR!$6:$6, 0), FALSE),
            0
        ) +
        IFERROR(
            VLOOKUP($A30, INDIRECT("FebR!$A$6:$ZZ$1048576"), MATCH(AE$1, FebR!$6:$6, 0), FALSE),
            0
        ) +
        IFERROR(
            VLOOKUP($A30, INDIRECT("MarR!$A$6:$ZZ$1048576"), MATCH(AE$1, MarR!$6:$6, 0), FALSE),
            0
        ) +
        IFERROR(
            VLOOKUP($A30, INDIRECT("AbrR!$A$6:$ZZ$1048576"), MATCH(AE$1, AbrR!$6:$6, 0), FALSE),
            0
        ) +
        IFERROR(
            VLOOKUP($A30, INDIRECT("MayR!$A$6:$ZZ$1048576"), MATCH(AE$1, MayR!$6:$6, 0), FALSE),
            0
        ) +
        IFERROR(
            VLOOKUP($A30, INDIRECT("JunR!$A$6:$ZZ$1048576"), MATCH(AE$1, JunR!$6:$6, 0), FALSE),
            0
        ) +
        IFERROR(
            VLOOKUP($A30, INDIRECT("JulR!$A$6:$ZZ$1048576"), MATCH(AE$1, JulR!$6:$6, 0), FALSE),
            0
        ) +
        IFERROR(
            VLOOKUP($A30, INDIRECT("AgoR!$A$6:$ZZ$1048576"), MATCH(AE$1, AgoR!$6:$6, 0), FALSE),
            0
        ) +
        IFERROR(
            VLOOKUP($A30, INDIRECT("SepR!$A$6:$ZZ$1048576"), MATCH(AE$1, SepR!$6:$6, 0), FALSE),
            0
        ) +
        IFERROR(
            VLOOKUP($A30, INDIRECT("OctR!$A$6:$ZZ$1048576"), MATCH(AE$1, OctR!$6:$6, 0), FALSE),
            0
        ) +
        IFERROR(
            VLOOKUP($A30, INDIRECT("NovR!$A$6:$ZZ$1048576"), MATCH(AE$1, NovR!$6:$6, 0), FALSE),
            0
        ) +
        IFERROR(
            VLOOKUP($A30, INDIRECT("DicR!$A$6:$ZZ$1048576"), MATCH(AE$1, DicR!$6:$6, 0), FALSE),
            0
        )
)</f>
        <v>0</v>
      </c>
      <c r="AF30" s="36">
        <f t="array" ref="AF30">SUM(
    IFERROR(
            VLOOKUP($A30, INDIRECT("EneR!$A$6:$ZZ$1048576"), MATCH(AF$1, EneR!$6:$6, 0), FALSE),
            0
        ) +
        IFERROR(
            VLOOKUP($A30, INDIRECT("FebR!$A$6:$ZZ$1048576"), MATCH(AF$1, FebR!$6:$6, 0), FALSE),
            0
        ) +
        IFERROR(
            VLOOKUP($A30, INDIRECT("MarR!$A$6:$ZZ$1048576"), MATCH(AF$1, MarR!$6:$6, 0), FALSE),
            0
        ) +
        IFERROR(
            VLOOKUP($A30, INDIRECT("AbrR!$A$6:$ZZ$1048576"), MATCH(AF$1, AbrR!$6:$6, 0), FALSE),
            0
        ) +
        IFERROR(
            VLOOKUP($A30, INDIRECT("MayR!$A$6:$ZZ$1048576"), MATCH(AF$1, MayR!$6:$6, 0), FALSE),
            0
        ) +
        IFERROR(
            VLOOKUP($A30, INDIRECT("JunR!$A$6:$ZZ$1048576"), MATCH(AF$1, JunR!$6:$6, 0), FALSE),
            0
        ) +
        IFERROR(
            VLOOKUP($A30, INDIRECT("JulR!$A$6:$ZZ$1048576"), MATCH(AF$1, JulR!$6:$6, 0), FALSE),
            0
        ) +
        IFERROR(
            VLOOKUP($A30, INDIRECT("AgoR!$A$6:$ZZ$1048576"), MATCH(AF$1, AgoR!$6:$6, 0), FALSE),
            0
        ) +
        IFERROR(
            VLOOKUP($A30, INDIRECT("SepR!$A$6:$ZZ$1048576"), MATCH(AF$1, SepR!$6:$6, 0), FALSE),
            0
        ) +
        IFERROR(
            VLOOKUP($A30, INDIRECT("OctR!$A$6:$ZZ$1048576"), MATCH(AF$1, OctR!$6:$6, 0), FALSE),
            0
        ) +
        IFERROR(
            VLOOKUP($A30, INDIRECT("NovR!$A$6:$ZZ$1048576"), MATCH(AF$1, NovR!$6:$6, 0), FALSE),
            0
        ) +
        IFERROR(
            VLOOKUP($A30, INDIRECT("DicR!$A$6:$ZZ$1048576"), MATCH(AF$1, DicR!$6:$6, 0), FALSE),
            0
        )
)</f>
        <v>0</v>
      </c>
      <c r="AG30" s="37">
        <f t="array" ref="AG30">SUM(
    IFERROR(
            VLOOKUP($A30, INDIRECT("EneR!$A$6:$ZZ$1048576"), MATCH(AG$1, EneR!$6:$6, 0), FALSE),
            0
        ) +
        IFERROR(
            VLOOKUP($A30, INDIRECT("FebR!$A$6:$ZZ$1048576"), MATCH(AG$1, FebR!$6:$6, 0), FALSE),
            0
        ) +
        IFERROR(
            VLOOKUP($A30, INDIRECT("MarR!$A$6:$ZZ$1048576"), MATCH(AG$1, MarR!$6:$6, 0), FALSE),
            0
        ) +
        IFERROR(
            VLOOKUP($A30, INDIRECT("AbrR!$A$6:$ZZ$1048576"), MATCH(AG$1, AbrR!$6:$6, 0), FALSE),
            0
        ) +
        IFERROR(
            VLOOKUP($A30, INDIRECT("MayR!$A$6:$ZZ$1048576"), MATCH(AG$1, MayR!$6:$6, 0), FALSE),
            0
        ) +
        IFERROR(
            VLOOKUP($A30, INDIRECT("JunR!$A$6:$ZZ$1048576"), MATCH(AG$1, JunR!$6:$6, 0), FALSE),
            0
        ) +
        IFERROR(
            VLOOKUP($A30, INDIRECT("JulR!$A$6:$ZZ$1048576"), MATCH(AG$1, JulR!$6:$6, 0), FALSE),
            0
        ) +
        IFERROR(
            VLOOKUP($A30, INDIRECT("AgoR!$A$6:$ZZ$1048576"), MATCH(AG$1, AgoR!$6:$6, 0), FALSE),
            0
        ) +
        IFERROR(
            VLOOKUP($A30, INDIRECT("SepR!$A$6:$ZZ$1048576"), MATCH(AG$1, SepR!$6:$6, 0), FALSE),
            0
        ) +
        IFERROR(
            VLOOKUP($A30, INDIRECT("OctR!$A$6:$ZZ$1048576"), MATCH(AG$1, OctR!$6:$6, 0), FALSE),
            0
        ) +
        IFERROR(
            VLOOKUP($A30, INDIRECT("NovR!$A$6:$ZZ$1048576"), MATCH(AG$1, NovR!$6:$6, 0), FALSE),
            0
        ) +
        IFERROR(
            VLOOKUP($A30, INDIRECT("DicR!$A$6:$ZZ$1048576"), MATCH(AG$1, DicR!$6:$6, 0), FALSE),
            0
        )
)</f>
        <v>0</v>
      </c>
      <c r="AH30" s="36">
        <f t="array" ref="AH30">SUM(
    IFERROR(
            VLOOKUP($A30, INDIRECT("EneR!$A$6:$ZZ$1048576"), MATCH(AH$1, EneR!$6:$6, 0), FALSE),
            0
        ) +
        IFERROR(
            VLOOKUP($A30, INDIRECT("FebR!$A$6:$ZZ$1048576"), MATCH(AH$1, FebR!$6:$6, 0), FALSE),
            0
        ) +
        IFERROR(
            VLOOKUP($A30, INDIRECT("MarR!$A$6:$ZZ$1048576"), MATCH(AH$1, MarR!$6:$6, 0), FALSE),
            0
        ) +
        IFERROR(
            VLOOKUP($A30, INDIRECT("AbrR!$A$6:$ZZ$1048576"), MATCH(AH$1, AbrR!$6:$6, 0), FALSE),
            0
        ) +
        IFERROR(
            VLOOKUP($A30, INDIRECT("MayR!$A$6:$ZZ$1048576"), MATCH(AH$1, MayR!$6:$6, 0), FALSE),
            0
        ) +
        IFERROR(
            VLOOKUP($A30, INDIRECT("JunR!$A$6:$ZZ$1048576"), MATCH(AH$1, JunR!$6:$6, 0), FALSE),
            0
        ) +
        IFERROR(
            VLOOKUP($A30, INDIRECT("JulR!$A$6:$ZZ$1048576"), MATCH(AH$1, JulR!$6:$6, 0), FALSE),
            0
        ) +
        IFERROR(
            VLOOKUP($A30, INDIRECT("AgoR!$A$6:$ZZ$1048576"), MATCH(AH$1, AgoR!$6:$6, 0), FALSE),
            0
        ) +
        IFERROR(
            VLOOKUP($A30, INDIRECT("SepR!$A$6:$ZZ$1048576"), MATCH(AH$1, SepR!$6:$6, 0), FALSE),
            0
        ) +
        IFERROR(
            VLOOKUP($A30, INDIRECT("OctR!$A$6:$ZZ$1048576"), MATCH(AH$1, OctR!$6:$6, 0), FALSE),
            0
        ) +
        IFERROR(
            VLOOKUP($A30, INDIRECT("NovR!$A$6:$ZZ$1048576"), MATCH(AH$1, NovR!$6:$6, 0), FALSE),
            0
        ) +
        IFERROR(
            VLOOKUP($A30, INDIRECT("DicR!$A$6:$ZZ$1048576"), MATCH(AH$1, DicR!$6:$6, 0), FALSE),
            0
        )
)</f>
        <v>0</v>
      </c>
      <c r="AI30" s="37">
        <f t="array" ref="AI30">SUM(
    IFERROR(
            VLOOKUP($A30, INDIRECT("EneR!$A$6:$ZZ$1048576"), MATCH(AI$1, EneR!$6:$6, 0), FALSE),
            0
        ) +
        IFERROR(
            VLOOKUP($A30, INDIRECT("FebR!$A$6:$ZZ$1048576"), MATCH(AI$1, FebR!$6:$6, 0), FALSE),
            0
        ) +
        IFERROR(
            VLOOKUP($A30, INDIRECT("MarR!$A$6:$ZZ$1048576"), MATCH(AI$1, MarR!$6:$6, 0), FALSE),
            0
        ) +
        IFERROR(
            VLOOKUP($A30, INDIRECT("AbrR!$A$6:$ZZ$1048576"), MATCH(AI$1, AbrR!$6:$6, 0), FALSE),
            0
        ) +
        IFERROR(
            VLOOKUP($A30, INDIRECT("MayR!$A$6:$ZZ$1048576"), MATCH(AI$1, MayR!$6:$6, 0), FALSE),
            0
        ) +
        IFERROR(
            VLOOKUP($A30, INDIRECT("JunR!$A$6:$ZZ$1048576"), MATCH(AI$1, JunR!$6:$6, 0), FALSE),
            0
        ) +
        IFERROR(
            VLOOKUP($A30, INDIRECT("JulR!$A$6:$ZZ$1048576"), MATCH(AI$1, JulR!$6:$6, 0), FALSE),
            0
        ) +
        IFERROR(
            VLOOKUP($A30, INDIRECT("AgoR!$A$6:$ZZ$1048576"), MATCH(AI$1, AgoR!$6:$6, 0), FALSE),
            0
        ) +
        IFERROR(
            VLOOKUP($A30, INDIRECT("SepR!$A$6:$ZZ$1048576"), MATCH(AI$1, SepR!$6:$6, 0), FALSE),
            0
        ) +
        IFERROR(
            VLOOKUP($A30, INDIRECT("OctR!$A$6:$ZZ$1048576"), MATCH(AI$1, OctR!$6:$6, 0), FALSE),
            0
        ) +
        IFERROR(
            VLOOKUP($A30, INDIRECT("NovR!$A$6:$ZZ$1048576"), MATCH(AI$1, NovR!$6:$6, 0), FALSE),
            0
        ) +
        IFERROR(
            VLOOKUP($A30, INDIRECT("DicR!$A$6:$ZZ$1048576"), MATCH(AI$1, DicR!$6:$6, 0), FALSE),
            0
        )
)</f>
        <v>0</v>
      </c>
      <c r="AJ30" s="36">
        <f t="array" ref="AJ30">SUM(
    IFERROR(
            VLOOKUP($A30, INDIRECT("EneR!$A$6:$ZZ$1048576"), MATCH(AJ$1, EneR!$6:$6, 0), FALSE),
            0
        ) +
        IFERROR(
            VLOOKUP($A30, INDIRECT("FebR!$A$6:$ZZ$1048576"), MATCH(AJ$1, FebR!$6:$6, 0), FALSE),
            0
        ) +
        IFERROR(
            VLOOKUP($A30, INDIRECT("MarR!$A$6:$ZZ$1048576"), MATCH(AJ$1, MarR!$6:$6, 0), FALSE),
            0
        ) +
        IFERROR(
            VLOOKUP($A30, INDIRECT("AbrR!$A$6:$ZZ$1048576"), MATCH(AJ$1, AbrR!$6:$6, 0), FALSE),
            0
        ) +
        IFERROR(
            VLOOKUP($A30, INDIRECT("MayR!$A$6:$ZZ$1048576"), MATCH(AJ$1, MayR!$6:$6, 0), FALSE),
            0
        ) +
        IFERROR(
            VLOOKUP($A30, INDIRECT("JunR!$A$6:$ZZ$1048576"), MATCH(AJ$1, JunR!$6:$6, 0), FALSE),
            0
        ) +
        IFERROR(
            VLOOKUP($A30, INDIRECT("JulR!$A$6:$ZZ$1048576"), MATCH(AJ$1, JulR!$6:$6, 0), FALSE),
            0
        ) +
        IFERROR(
            VLOOKUP($A30, INDIRECT("AgoR!$A$6:$ZZ$1048576"), MATCH(AJ$1, AgoR!$6:$6, 0), FALSE),
            0
        ) +
        IFERROR(
            VLOOKUP($A30, INDIRECT("SepR!$A$6:$ZZ$1048576"), MATCH(AJ$1, SepR!$6:$6, 0), FALSE),
            0
        ) +
        IFERROR(
            VLOOKUP($A30, INDIRECT("OctR!$A$6:$ZZ$1048576"), MATCH(AJ$1, OctR!$6:$6, 0), FALSE),
            0
        ) +
        IFERROR(
            VLOOKUP($A30, INDIRECT("NovR!$A$6:$ZZ$1048576"), MATCH(AJ$1, NovR!$6:$6, 0), FALSE),
            0
        ) +
        IFERROR(
            VLOOKUP($A30, INDIRECT("DicR!$A$6:$ZZ$1048576"), MATCH(AJ$1, DicR!$6:$6, 0), FALSE),
            0
        )
)</f>
        <v>0</v>
      </c>
      <c r="AK30" s="37">
        <f t="array" ref="AK30">SUM(
    IFERROR(
            VLOOKUP($A30, INDIRECT("EneR!$A$6:$ZZ$1048576"), MATCH(AK$1, EneR!$6:$6, 0), FALSE),
            0
        ) +
        IFERROR(
            VLOOKUP($A30, INDIRECT("FebR!$A$6:$ZZ$1048576"), MATCH(AK$1, FebR!$6:$6, 0), FALSE),
            0
        ) +
        IFERROR(
            VLOOKUP($A30, INDIRECT("MarR!$A$6:$ZZ$1048576"), MATCH(AK$1, MarR!$6:$6, 0), FALSE),
            0
        ) +
        IFERROR(
            VLOOKUP($A30, INDIRECT("AbrR!$A$6:$ZZ$1048576"), MATCH(AK$1, AbrR!$6:$6, 0), FALSE),
            0
        ) +
        IFERROR(
            VLOOKUP($A30, INDIRECT("MayR!$A$6:$ZZ$1048576"), MATCH(AK$1, MayR!$6:$6, 0), FALSE),
            0
        ) +
        IFERROR(
            VLOOKUP($A30, INDIRECT("JunR!$A$6:$ZZ$1048576"), MATCH(AK$1, JunR!$6:$6, 0), FALSE),
            0
        ) +
        IFERROR(
            VLOOKUP($A30, INDIRECT("JulR!$A$6:$ZZ$1048576"), MATCH(AK$1, JulR!$6:$6, 0), FALSE),
            0
        ) +
        IFERROR(
            VLOOKUP($A30, INDIRECT("AgoR!$A$6:$ZZ$1048576"), MATCH(AK$1, AgoR!$6:$6, 0), FALSE),
            0
        ) +
        IFERROR(
            VLOOKUP($A30, INDIRECT("SepR!$A$6:$ZZ$1048576"), MATCH(AK$1, SepR!$6:$6, 0), FALSE),
            0
        ) +
        IFERROR(
            VLOOKUP($A30, INDIRECT("OctR!$A$6:$ZZ$1048576"), MATCH(AK$1, OctR!$6:$6, 0), FALSE),
            0
        ) +
        IFERROR(
            VLOOKUP($A30, INDIRECT("NovR!$A$6:$ZZ$1048576"), MATCH(AK$1, NovR!$6:$6, 0), FALSE),
            0
        ) +
        IFERROR(
            VLOOKUP($A30, INDIRECT("DicR!$A$6:$ZZ$1048576"), MATCH(AK$1, DicR!$6:$6, 0), FALSE),
            0
        )
)</f>
        <v>0</v>
      </c>
      <c r="AL30" s="36">
        <f t="array" ref="AL30">SUM(
    IFERROR(
            VLOOKUP($A30, INDIRECT("EneR!$A$6:$ZZ$1048576"), MATCH(AL$1, EneR!$6:$6, 0), FALSE),
            0
        ) +
        IFERROR(
            VLOOKUP($A30, INDIRECT("FebR!$A$6:$ZZ$1048576"), MATCH(AL$1, FebR!$6:$6, 0), FALSE),
            0
        ) +
        IFERROR(
            VLOOKUP($A30, INDIRECT("MarR!$A$6:$ZZ$1048576"), MATCH(AL$1, MarR!$6:$6, 0), FALSE),
            0
        ) +
        IFERROR(
            VLOOKUP($A30, INDIRECT("AbrR!$A$6:$ZZ$1048576"), MATCH(AL$1, AbrR!$6:$6, 0), FALSE),
            0
        ) +
        IFERROR(
            VLOOKUP($A30, INDIRECT("MayR!$A$6:$ZZ$1048576"), MATCH(AL$1, MayR!$6:$6, 0), FALSE),
            0
        ) +
        IFERROR(
            VLOOKUP($A30, INDIRECT("JunR!$A$6:$ZZ$1048576"), MATCH(AL$1, JunR!$6:$6, 0), FALSE),
            0
        ) +
        IFERROR(
            VLOOKUP($A30, INDIRECT("JulR!$A$6:$ZZ$1048576"), MATCH(AL$1, JulR!$6:$6, 0), FALSE),
            0
        ) +
        IFERROR(
            VLOOKUP($A30, INDIRECT("AgoR!$A$6:$ZZ$1048576"), MATCH(AL$1, AgoR!$6:$6, 0), FALSE),
            0
        ) +
        IFERROR(
            VLOOKUP($A30, INDIRECT("SepR!$A$6:$ZZ$1048576"), MATCH(AL$1, SepR!$6:$6, 0), FALSE),
            0
        ) +
        IFERROR(
            VLOOKUP($A30, INDIRECT("OctR!$A$6:$ZZ$1048576"), MATCH(AL$1, OctR!$6:$6, 0), FALSE),
            0
        ) +
        IFERROR(
            VLOOKUP($A30, INDIRECT("NovR!$A$6:$ZZ$1048576"), MATCH(AL$1, NovR!$6:$6, 0), FALSE),
            0
        ) +
        IFERROR(
            VLOOKUP($A30, INDIRECT("DicR!$A$6:$ZZ$1048576"), MATCH(AL$1, DicR!$6:$6, 0), FALSE),
            0
        )
)</f>
        <v>0</v>
      </c>
      <c r="AM30" s="37">
        <f t="array" ref="AM30">SUM(
    IFERROR(
            VLOOKUP($A30, INDIRECT("EneR!$A$6:$ZZ$1048576"), MATCH(AM$1, EneR!$6:$6, 0), FALSE),
            0
        ) +
        IFERROR(
            VLOOKUP($A30, INDIRECT("FebR!$A$6:$ZZ$1048576"), MATCH(AM$1, FebR!$6:$6, 0), FALSE),
            0
        ) +
        IFERROR(
            VLOOKUP($A30, INDIRECT("MarR!$A$6:$ZZ$1048576"), MATCH(AM$1, MarR!$6:$6, 0), FALSE),
            0
        ) +
        IFERROR(
            VLOOKUP($A30, INDIRECT("AbrR!$A$6:$ZZ$1048576"), MATCH(AM$1, AbrR!$6:$6, 0), FALSE),
            0
        ) +
        IFERROR(
            VLOOKUP($A30, INDIRECT("MayR!$A$6:$ZZ$1048576"), MATCH(AM$1, MayR!$6:$6, 0), FALSE),
            0
        ) +
        IFERROR(
            VLOOKUP($A30, INDIRECT("JunR!$A$6:$ZZ$1048576"), MATCH(AM$1, JunR!$6:$6, 0), FALSE),
            0
        ) +
        IFERROR(
            VLOOKUP($A30, INDIRECT("JulR!$A$6:$ZZ$1048576"), MATCH(AM$1, JulR!$6:$6, 0), FALSE),
            0
        ) +
        IFERROR(
            VLOOKUP($A30, INDIRECT("AgoR!$A$6:$ZZ$1048576"), MATCH(AM$1, AgoR!$6:$6, 0), FALSE),
            0
        ) +
        IFERROR(
            VLOOKUP($A30, INDIRECT("SepR!$A$6:$ZZ$1048576"), MATCH(AM$1, SepR!$6:$6, 0), FALSE),
            0
        ) +
        IFERROR(
            VLOOKUP($A30, INDIRECT("OctR!$A$6:$ZZ$1048576"), MATCH(AM$1, OctR!$6:$6, 0), FALSE),
            0
        ) +
        IFERROR(
            VLOOKUP($A30, INDIRECT("NovR!$A$6:$ZZ$1048576"), MATCH(AM$1, NovR!$6:$6, 0), FALSE),
            0
        ) +
        IFERROR(
            VLOOKUP($A30, INDIRECT("DicR!$A$6:$ZZ$1048576"), MATCH(AM$1, DicR!$6:$6, 0), FALSE),
            0
        )
)</f>
        <v>0</v>
      </c>
      <c r="AN30" s="36">
        <f t="array" ref="AN30">SUM(
    IFERROR(
            VLOOKUP($A30, INDIRECT("EneR!$A$6:$ZZ$1048576"), MATCH(AN$1, EneR!$6:$6, 0), FALSE),
            0
        ) +
        IFERROR(
            VLOOKUP($A30, INDIRECT("FebR!$A$6:$ZZ$1048576"), MATCH(AN$1, FebR!$6:$6, 0), FALSE),
            0
        ) +
        IFERROR(
            VLOOKUP($A30, INDIRECT("MarR!$A$6:$ZZ$1048576"), MATCH(AN$1, MarR!$6:$6, 0), FALSE),
            0
        ) +
        IFERROR(
            VLOOKUP($A30, INDIRECT("AbrR!$A$6:$ZZ$1048576"), MATCH(AN$1, AbrR!$6:$6, 0), FALSE),
            0
        ) +
        IFERROR(
            VLOOKUP($A30, INDIRECT("MayR!$A$6:$ZZ$1048576"), MATCH(AN$1, MayR!$6:$6, 0), FALSE),
            0
        ) +
        IFERROR(
            VLOOKUP($A30, INDIRECT("JunR!$A$6:$ZZ$1048576"), MATCH(AN$1, JunR!$6:$6, 0), FALSE),
            0
        ) +
        IFERROR(
            VLOOKUP($A30, INDIRECT("JulR!$A$6:$ZZ$1048576"), MATCH(AN$1, JulR!$6:$6, 0), FALSE),
            0
        ) +
        IFERROR(
            VLOOKUP($A30, INDIRECT("AgoR!$A$6:$ZZ$1048576"), MATCH(AN$1, AgoR!$6:$6, 0), FALSE),
            0
        ) +
        IFERROR(
            VLOOKUP($A30, INDIRECT("SepR!$A$6:$ZZ$1048576"), MATCH(AN$1, SepR!$6:$6, 0), FALSE),
            0
        ) +
        IFERROR(
            VLOOKUP($A30, INDIRECT("OctR!$A$6:$ZZ$1048576"), MATCH(AN$1, OctR!$6:$6, 0), FALSE),
            0
        ) +
        IFERROR(
            VLOOKUP($A30, INDIRECT("NovR!$A$6:$ZZ$1048576"), MATCH(AN$1, NovR!$6:$6, 0), FALSE),
            0
        ) +
        IFERROR(
            VLOOKUP($A30, INDIRECT("DicR!$A$6:$ZZ$1048576"), MATCH(AN$1, DicR!$6:$6, 0), FALSE),
            0
        )
)</f>
        <v>0</v>
      </c>
      <c r="AO30" s="37">
        <f t="array" ref="AO30">SUM(
    IFERROR(
            VLOOKUP($A30, INDIRECT("EneR!$A$6:$ZZ$1048576"), MATCH(AO$1, EneR!$6:$6, 0), FALSE),
            0
        ) +
        IFERROR(
            VLOOKUP($A30, INDIRECT("FebR!$A$6:$ZZ$1048576"), MATCH(AO$1, FebR!$6:$6, 0), FALSE),
            0
        ) +
        IFERROR(
            VLOOKUP($A30, INDIRECT("MarR!$A$6:$ZZ$1048576"), MATCH(AO$1, MarR!$6:$6, 0), FALSE),
            0
        ) +
        IFERROR(
            VLOOKUP($A30, INDIRECT("AbrR!$A$6:$ZZ$1048576"), MATCH(AO$1, AbrR!$6:$6, 0), FALSE),
            0
        ) +
        IFERROR(
            VLOOKUP($A30, INDIRECT("MayR!$A$6:$ZZ$1048576"), MATCH(AO$1, MayR!$6:$6, 0), FALSE),
            0
        ) +
        IFERROR(
            VLOOKUP($A30, INDIRECT("JunR!$A$6:$ZZ$1048576"), MATCH(AO$1, JunR!$6:$6, 0), FALSE),
            0
        ) +
        IFERROR(
            VLOOKUP($A30, INDIRECT("JulR!$A$6:$ZZ$1048576"), MATCH(AO$1, JulR!$6:$6, 0), FALSE),
            0
        ) +
        IFERROR(
            VLOOKUP($A30, INDIRECT("AgoR!$A$6:$ZZ$1048576"), MATCH(AO$1, AgoR!$6:$6, 0), FALSE),
            0
        ) +
        IFERROR(
            VLOOKUP($A30, INDIRECT("SepR!$A$6:$ZZ$1048576"), MATCH(AO$1, SepR!$6:$6, 0), FALSE),
            0
        ) +
        IFERROR(
            VLOOKUP($A30, INDIRECT("OctR!$A$6:$ZZ$1048576"), MATCH(AO$1, OctR!$6:$6, 0), FALSE),
            0
        ) +
        IFERROR(
            VLOOKUP($A30, INDIRECT("NovR!$A$6:$ZZ$1048576"), MATCH(AO$1, NovR!$6:$6, 0), FALSE),
            0
        ) +
        IFERROR(
            VLOOKUP($A30, INDIRECT("DicR!$A$6:$ZZ$1048576"), MATCH(AO$1, DicR!$6:$6, 0), FALSE),
            0
        )
)</f>
        <v>0</v>
      </c>
      <c r="AP30" s="36">
        <f t="array" ref="AP30">SUM(
    IFERROR(
            VLOOKUP($A30, INDIRECT("EneR!$A$6:$ZZ$1048576"), MATCH(AP$1, EneR!$6:$6, 0), FALSE),
            0
        ) +
        IFERROR(
            VLOOKUP($A30, INDIRECT("FebR!$A$6:$ZZ$1048576"), MATCH(AP$1, FebR!$6:$6, 0), FALSE),
            0
        ) +
        IFERROR(
            VLOOKUP($A30, INDIRECT("MarR!$A$6:$ZZ$1048576"), MATCH(AP$1, MarR!$6:$6, 0), FALSE),
            0
        ) +
        IFERROR(
            VLOOKUP($A30, INDIRECT("AbrR!$A$6:$ZZ$1048576"), MATCH(AP$1, AbrR!$6:$6, 0), FALSE),
            0
        ) +
        IFERROR(
            VLOOKUP($A30, INDIRECT("MayR!$A$6:$ZZ$1048576"), MATCH(AP$1, MayR!$6:$6, 0), FALSE),
            0
        ) +
        IFERROR(
            VLOOKUP($A30, INDIRECT("JunR!$A$6:$ZZ$1048576"), MATCH(AP$1, JunR!$6:$6, 0), FALSE),
            0
        ) +
        IFERROR(
            VLOOKUP($A30, INDIRECT("JulR!$A$6:$ZZ$1048576"), MATCH(AP$1, JulR!$6:$6, 0), FALSE),
            0
        ) +
        IFERROR(
            VLOOKUP($A30, INDIRECT("AgoR!$A$6:$ZZ$1048576"), MATCH(AP$1, AgoR!$6:$6, 0), FALSE),
            0
        ) +
        IFERROR(
            VLOOKUP($A30, INDIRECT("SepR!$A$6:$ZZ$1048576"), MATCH(AP$1, SepR!$6:$6, 0), FALSE),
            0
        ) +
        IFERROR(
            VLOOKUP($A30, INDIRECT("OctR!$A$6:$ZZ$1048576"), MATCH(AP$1, OctR!$6:$6, 0), FALSE),
            0
        ) +
        IFERROR(
            VLOOKUP($A30, INDIRECT("NovR!$A$6:$ZZ$1048576"), MATCH(AP$1, NovR!$6:$6, 0), FALSE),
            0
        ) +
        IFERROR(
            VLOOKUP($A30, INDIRECT("DicR!$A$6:$ZZ$1048576"), MATCH(AP$1, DicR!$6:$6, 0), FALSE),
            0
        )
)</f>
        <v>0</v>
      </c>
      <c r="AQ30" s="37">
        <f t="array" ref="AQ30">SUM(
    IFERROR(
            VLOOKUP($A30, INDIRECT("EneR!$A$6:$ZZ$1048576"), MATCH(AQ$1, EneR!$6:$6, 0), FALSE),
            0
        ) +
        IFERROR(
            VLOOKUP($A30, INDIRECT("FebR!$A$6:$ZZ$1048576"), MATCH(AQ$1, FebR!$6:$6, 0), FALSE),
            0
        ) +
        IFERROR(
            VLOOKUP($A30, INDIRECT("MarR!$A$6:$ZZ$1048576"), MATCH(AQ$1, MarR!$6:$6, 0), FALSE),
            0
        ) +
        IFERROR(
            VLOOKUP($A30, INDIRECT("AbrR!$A$6:$ZZ$1048576"), MATCH(AQ$1, AbrR!$6:$6, 0), FALSE),
            0
        ) +
        IFERROR(
            VLOOKUP($A30, INDIRECT("MayR!$A$6:$ZZ$1048576"), MATCH(AQ$1, MayR!$6:$6, 0), FALSE),
            0
        ) +
        IFERROR(
            VLOOKUP($A30, INDIRECT("JunR!$A$6:$ZZ$1048576"), MATCH(AQ$1, JunR!$6:$6, 0), FALSE),
            0
        ) +
        IFERROR(
            VLOOKUP($A30, INDIRECT("JulR!$A$6:$ZZ$1048576"), MATCH(AQ$1, JulR!$6:$6, 0), FALSE),
            0
        ) +
        IFERROR(
            VLOOKUP($A30, INDIRECT("AgoR!$A$6:$ZZ$1048576"), MATCH(AQ$1, AgoR!$6:$6, 0), FALSE),
            0
        ) +
        IFERROR(
            VLOOKUP($A30, INDIRECT("SepR!$A$6:$ZZ$1048576"), MATCH(AQ$1, SepR!$6:$6, 0), FALSE),
            0
        ) +
        IFERROR(
            VLOOKUP($A30, INDIRECT("OctR!$A$6:$ZZ$1048576"), MATCH(AQ$1, OctR!$6:$6, 0), FALSE),
            0
        ) +
        IFERROR(
            VLOOKUP($A30, INDIRECT("NovR!$A$6:$ZZ$1048576"), MATCH(AQ$1, NovR!$6:$6, 0), FALSE),
            0
        ) +
        IFERROR(
            VLOOKUP($A30, INDIRECT("DicR!$A$6:$ZZ$1048576"), MATCH(AQ$1, DicR!$6:$6, 0), FALSE),
            0
        )
)</f>
        <v>0</v>
      </c>
      <c r="AR30" s="36">
        <f t="array" ref="AR30">SUM(
    IFERROR(
            VLOOKUP($A30, INDIRECT("EneR!$A$6:$ZZ$1048576"), MATCH(AR$1, EneR!$6:$6, 0), FALSE),
            0
        ) +
        IFERROR(
            VLOOKUP($A30, INDIRECT("FebR!$A$6:$ZZ$1048576"), MATCH(AR$1, FebR!$6:$6, 0), FALSE),
            0
        ) +
        IFERROR(
            VLOOKUP($A30, INDIRECT("MarR!$A$6:$ZZ$1048576"), MATCH(AR$1, MarR!$6:$6, 0), FALSE),
            0
        ) +
        IFERROR(
            VLOOKUP($A30, INDIRECT("AbrR!$A$6:$ZZ$1048576"), MATCH(AR$1, AbrR!$6:$6, 0), FALSE),
            0
        ) +
        IFERROR(
            VLOOKUP($A30, INDIRECT("MayR!$A$6:$ZZ$1048576"), MATCH(AR$1, MayR!$6:$6, 0), FALSE),
            0
        ) +
        IFERROR(
            VLOOKUP($A30, INDIRECT("JunR!$A$6:$ZZ$1048576"), MATCH(AR$1, JunR!$6:$6, 0), FALSE),
            0
        ) +
        IFERROR(
            VLOOKUP($A30, INDIRECT("JulR!$A$6:$ZZ$1048576"), MATCH(AR$1, JulR!$6:$6, 0), FALSE),
            0
        ) +
        IFERROR(
            VLOOKUP($A30, INDIRECT("AgoR!$A$6:$ZZ$1048576"), MATCH(AR$1, AgoR!$6:$6, 0), FALSE),
            0
        ) +
        IFERROR(
            VLOOKUP($A30, INDIRECT("SepR!$A$6:$ZZ$1048576"), MATCH(AR$1, SepR!$6:$6, 0), FALSE),
            0
        ) +
        IFERROR(
            VLOOKUP($A30, INDIRECT("OctR!$A$6:$ZZ$1048576"), MATCH(AR$1, OctR!$6:$6, 0), FALSE),
            0
        ) +
        IFERROR(
            VLOOKUP($A30, INDIRECT("NovR!$A$6:$ZZ$1048576"), MATCH(AR$1, NovR!$6:$6, 0), FALSE),
            0
        ) +
        IFERROR(
            VLOOKUP($A30, INDIRECT("DicR!$A$6:$ZZ$1048576"), MATCH(AR$1, DicR!$6:$6, 0), FALSE),
            0
        )
)</f>
        <v>0</v>
      </c>
      <c r="AS30" s="37">
        <f t="array" ref="AS30">SUM(
    IFERROR(
            VLOOKUP($A30, INDIRECT("EneR!$A$6:$ZZ$1048576"), MATCH(AS$1, EneR!$6:$6, 0), FALSE),
            0
        ) +
        IFERROR(
            VLOOKUP($A30, INDIRECT("FebR!$A$6:$ZZ$1048576"), MATCH(AS$1, FebR!$6:$6, 0), FALSE),
            0
        ) +
        IFERROR(
            VLOOKUP($A30, INDIRECT("MarR!$A$6:$ZZ$1048576"), MATCH(AS$1, MarR!$6:$6, 0), FALSE),
            0
        ) +
        IFERROR(
            VLOOKUP($A30, INDIRECT("AbrR!$A$6:$ZZ$1048576"), MATCH(AS$1, AbrR!$6:$6, 0), FALSE),
            0
        ) +
        IFERROR(
            VLOOKUP($A30, INDIRECT("MayR!$A$6:$ZZ$1048576"), MATCH(AS$1, MayR!$6:$6, 0), FALSE),
            0
        ) +
        IFERROR(
            VLOOKUP($A30, INDIRECT("JunR!$A$6:$ZZ$1048576"), MATCH(AS$1, JunR!$6:$6, 0), FALSE),
            0
        ) +
        IFERROR(
            VLOOKUP($A30, INDIRECT("JulR!$A$6:$ZZ$1048576"), MATCH(AS$1, JulR!$6:$6, 0), FALSE),
            0
        ) +
        IFERROR(
            VLOOKUP($A30, INDIRECT("AgoR!$A$6:$ZZ$1048576"), MATCH(AS$1, AgoR!$6:$6, 0), FALSE),
            0
        ) +
        IFERROR(
            VLOOKUP($A30, INDIRECT("SepR!$A$6:$ZZ$1048576"), MATCH(AS$1, SepR!$6:$6, 0), FALSE),
            0
        ) +
        IFERROR(
            VLOOKUP($A30, INDIRECT("OctR!$A$6:$ZZ$1048576"), MATCH(AS$1, OctR!$6:$6, 0), FALSE),
            0
        ) +
        IFERROR(
            VLOOKUP($A30, INDIRECT("NovR!$A$6:$ZZ$1048576"), MATCH(AS$1, NovR!$6:$6, 0), FALSE),
            0
        ) +
        IFERROR(
            VLOOKUP($A30, INDIRECT("DicR!$A$6:$ZZ$1048576"), MATCH(AS$1, DicR!$6:$6, 0), FALSE),
            0
        )
)</f>
        <v>0</v>
      </c>
      <c r="AT30" s="36">
        <f t="array" ref="AT30">SUM(
    IFERROR(
            VLOOKUP($A30, INDIRECT("EneR!$A$6:$ZZ$1048576"), MATCH(AT$1, EneR!$6:$6, 0), FALSE),
            0
        ) +
        IFERROR(
            VLOOKUP($A30, INDIRECT("FebR!$A$6:$ZZ$1048576"), MATCH(AT$1, FebR!$6:$6, 0), FALSE),
            0
        ) +
        IFERROR(
            VLOOKUP($A30, INDIRECT("MarR!$A$6:$ZZ$1048576"), MATCH(AT$1, MarR!$6:$6, 0), FALSE),
            0
        ) +
        IFERROR(
            VLOOKUP($A30, INDIRECT("AbrR!$A$6:$ZZ$1048576"), MATCH(AT$1, AbrR!$6:$6, 0), FALSE),
            0
        ) +
        IFERROR(
            VLOOKUP($A30, INDIRECT("MayR!$A$6:$ZZ$1048576"), MATCH(AT$1, MayR!$6:$6, 0), FALSE),
            0
        ) +
        IFERROR(
            VLOOKUP($A30, INDIRECT("JunR!$A$6:$ZZ$1048576"), MATCH(AT$1, JunR!$6:$6, 0), FALSE),
            0
        ) +
        IFERROR(
            VLOOKUP($A30, INDIRECT("JulR!$A$6:$ZZ$1048576"), MATCH(AT$1, JulR!$6:$6, 0), FALSE),
            0
        ) +
        IFERROR(
            VLOOKUP($A30, INDIRECT("AgoR!$A$6:$ZZ$1048576"), MATCH(AT$1, AgoR!$6:$6, 0), FALSE),
            0
        ) +
        IFERROR(
            VLOOKUP($A30, INDIRECT("SepR!$A$6:$ZZ$1048576"), MATCH(AT$1, SepR!$6:$6, 0), FALSE),
            0
        ) +
        IFERROR(
            VLOOKUP($A30, INDIRECT("OctR!$A$6:$ZZ$1048576"), MATCH(AT$1, OctR!$6:$6, 0), FALSE),
            0
        ) +
        IFERROR(
            VLOOKUP($A30, INDIRECT("NovR!$A$6:$ZZ$1048576"), MATCH(AT$1, NovR!$6:$6, 0), FALSE),
            0
        ) +
        IFERROR(
            VLOOKUP($A30, INDIRECT("DicR!$A$6:$ZZ$1048576"), MATCH(AT$1, DicR!$6:$6, 0), FALSE),
            0
        )
)</f>
        <v>0</v>
      </c>
      <c r="AU30" s="37">
        <f t="array" ref="AU30">SUM(
    IFERROR(
            VLOOKUP($A30, INDIRECT("EneR!$A$6:$ZZ$1048576"), MATCH(AU$1, EneR!$6:$6, 0), FALSE),
            0
        ) +
        IFERROR(
            VLOOKUP($A30, INDIRECT("FebR!$A$6:$ZZ$1048576"), MATCH(AU$1, FebR!$6:$6, 0), FALSE),
            0
        ) +
        IFERROR(
            VLOOKUP($A30, INDIRECT("MarR!$A$6:$ZZ$1048576"), MATCH(AU$1, MarR!$6:$6, 0), FALSE),
            0
        ) +
        IFERROR(
            VLOOKUP($A30, INDIRECT("AbrR!$A$6:$ZZ$1048576"), MATCH(AU$1, AbrR!$6:$6, 0), FALSE),
            0
        ) +
        IFERROR(
            VLOOKUP($A30, INDIRECT("MayR!$A$6:$ZZ$1048576"), MATCH(AU$1, MayR!$6:$6, 0), FALSE),
            0
        ) +
        IFERROR(
            VLOOKUP($A30, INDIRECT("JunR!$A$6:$ZZ$1048576"), MATCH(AU$1, JunR!$6:$6, 0), FALSE),
            0
        ) +
        IFERROR(
            VLOOKUP($A30, INDIRECT("JulR!$A$6:$ZZ$1048576"), MATCH(AU$1, JulR!$6:$6, 0), FALSE),
            0
        ) +
        IFERROR(
            VLOOKUP($A30, INDIRECT("AgoR!$A$6:$ZZ$1048576"), MATCH(AU$1, AgoR!$6:$6, 0), FALSE),
            0
        ) +
        IFERROR(
            VLOOKUP($A30, INDIRECT("SepR!$A$6:$ZZ$1048576"), MATCH(AU$1, SepR!$6:$6, 0), FALSE),
            0
        ) +
        IFERROR(
            VLOOKUP($A30, INDIRECT("OctR!$A$6:$ZZ$1048576"), MATCH(AU$1, OctR!$6:$6, 0), FALSE),
            0
        ) +
        IFERROR(
            VLOOKUP($A30, INDIRECT("NovR!$A$6:$ZZ$1048576"), MATCH(AU$1, NovR!$6:$6, 0), FALSE),
            0
        ) +
        IFERROR(
            VLOOKUP($A30, INDIRECT("DicR!$A$6:$ZZ$1048576"), MATCH(AU$1, DicR!$6:$6, 0), FALSE),
            0
        )
)</f>
        <v>0</v>
      </c>
      <c r="AV30" s="36">
        <f t="array" ref="AV30">SUM(
    IFERROR(
            VLOOKUP($A30, INDIRECT("EneR!$A$6:$ZZ$1048576"), MATCH(AV$1, EneR!$6:$6, 0), FALSE),
            0
        ) +
        IFERROR(
            VLOOKUP($A30, INDIRECT("FebR!$A$6:$ZZ$1048576"), MATCH(AV$1, FebR!$6:$6, 0), FALSE),
            0
        ) +
        IFERROR(
            VLOOKUP($A30, INDIRECT("MarR!$A$6:$ZZ$1048576"), MATCH(AV$1, MarR!$6:$6, 0), FALSE),
            0
        ) +
        IFERROR(
            VLOOKUP($A30, INDIRECT("AbrR!$A$6:$ZZ$1048576"), MATCH(AV$1, AbrR!$6:$6, 0), FALSE),
            0
        ) +
        IFERROR(
            VLOOKUP($A30, INDIRECT("MayR!$A$6:$ZZ$1048576"), MATCH(AV$1, MayR!$6:$6, 0), FALSE),
            0
        ) +
        IFERROR(
            VLOOKUP($A30, INDIRECT("JunR!$A$6:$ZZ$1048576"), MATCH(AV$1, JunR!$6:$6, 0), FALSE),
            0
        ) +
        IFERROR(
            VLOOKUP($A30, INDIRECT("JulR!$A$6:$ZZ$1048576"), MATCH(AV$1, JulR!$6:$6, 0), FALSE),
            0
        ) +
        IFERROR(
            VLOOKUP($A30, INDIRECT("AgoR!$A$6:$ZZ$1048576"), MATCH(AV$1, AgoR!$6:$6, 0), FALSE),
            0
        ) +
        IFERROR(
            VLOOKUP($A30, INDIRECT("SepR!$A$6:$ZZ$1048576"), MATCH(AV$1, SepR!$6:$6, 0), FALSE),
            0
        ) +
        IFERROR(
            VLOOKUP($A30, INDIRECT("OctR!$A$6:$ZZ$1048576"), MATCH(AV$1, OctR!$6:$6, 0), FALSE),
            0
        ) +
        IFERROR(
            VLOOKUP($A30, INDIRECT("NovR!$A$6:$ZZ$1048576"), MATCH(AV$1, NovR!$6:$6, 0), FALSE),
            0
        ) +
        IFERROR(
            VLOOKUP($A30, INDIRECT("DicR!$A$6:$ZZ$1048576"), MATCH(AV$1, DicR!$6:$6, 0), FALSE),
            0
        )
)</f>
        <v>0</v>
      </c>
      <c r="AW30" s="37">
        <f t="array" ref="AW30">SUM(
    IFERROR(
            VLOOKUP($A30, INDIRECT("EneR!$A$6:$ZZ$1048576"), MATCH(AW$1, EneR!$6:$6, 0), FALSE),
            0
        ) +
        IFERROR(
            VLOOKUP($A30, INDIRECT("FebR!$A$6:$ZZ$1048576"), MATCH(AW$1, FebR!$6:$6, 0), FALSE),
            0
        ) +
        IFERROR(
            VLOOKUP($A30, INDIRECT("MarR!$A$6:$ZZ$1048576"), MATCH(AW$1, MarR!$6:$6, 0), FALSE),
            0
        ) +
        IFERROR(
            VLOOKUP($A30, INDIRECT("AbrR!$A$6:$ZZ$1048576"), MATCH(AW$1, AbrR!$6:$6, 0), FALSE),
            0
        ) +
        IFERROR(
            VLOOKUP($A30, INDIRECT("MayR!$A$6:$ZZ$1048576"), MATCH(AW$1, MayR!$6:$6, 0), FALSE),
            0
        ) +
        IFERROR(
            VLOOKUP($A30, INDIRECT("JunR!$A$6:$ZZ$1048576"), MATCH(AW$1, JunR!$6:$6, 0), FALSE),
            0
        ) +
        IFERROR(
            VLOOKUP($A30, INDIRECT("JulR!$A$6:$ZZ$1048576"), MATCH(AW$1, JulR!$6:$6, 0), FALSE),
            0
        ) +
        IFERROR(
            VLOOKUP($A30, INDIRECT("AgoR!$A$6:$ZZ$1048576"), MATCH(AW$1, AgoR!$6:$6, 0), FALSE),
            0
        ) +
        IFERROR(
            VLOOKUP($A30, INDIRECT("SepR!$A$6:$ZZ$1048576"), MATCH(AW$1, SepR!$6:$6, 0), FALSE),
            0
        ) +
        IFERROR(
            VLOOKUP($A30, INDIRECT("OctR!$A$6:$ZZ$1048576"), MATCH(AW$1, OctR!$6:$6, 0), FALSE),
            0
        ) +
        IFERROR(
            VLOOKUP($A30, INDIRECT("NovR!$A$6:$ZZ$1048576"), MATCH(AW$1, NovR!$6:$6, 0), FALSE),
            0
        ) +
        IFERROR(
            VLOOKUP($A30, INDIRECT("DicR!$A$6:$ZZ$1048576"), MATCH(AW$1, DicR!$6:$6, 0), FALSE),
            0
        )
)</f>
        <v>0</v>
      </c>
      <c r="AX30" s="36">
        <f t="array" ref="AX30">SUM(
    IFERROR(
            VLOOKUP($A30, INDIRECT("EneR!$A$6:$ZZ$1048576"), MATCH(AX$1, EneR!$6:$6, 0), FALSE),
            0
        ) +
        IFERROR(
            VLOOKUP($A30, INDIRECT("FebR!$A$6:$ZZ$1048576"), MATCH(AX$1, FebR!$6:$6, 0), FALSE),
            0
        ) +
        IFERROR(
            VLOOKUP($A30, INDIRECT("MarR!$A$6:$ZZ$1048576"), MATCH(AX$1, MarR!$6:$6, 0), FALSE),
            0
        ) +
        IFERROR(
            VLOOKUP($A30, INDIRECT("AbrR!$A$6:$ZZ$1048576"), MATCH(AX$1, AbrR!$6:$6, 0), FALSE),
            0
        ) +
        IFERROR(
            VLOOKUP($A30, INDIRECT("MayR!$A$6:$ZZ$1048576"), MATCH(AX$1, MayR!$6:$6, 0), FALSE),
            0
        ) +
        IFERROR(
            VLOOKUP($A30, INDIRECT("JunR!$A$6:$ZZ$1048576"), MATCH(AX$1, JunR!$6:$6, 0), FALSE),
            0
        ) +
        IFERROR(
            VLOOKUP($A30, INDIRECT("JulR!$A$6:$ZZ$1048576"), MATCH(AX$1, JulR!$6:$6, 0), FALSE),
            0
        ) +
        IFERROR(
            VLOOKUP($A30, INDIRECT("AgoR!$A$6:$ZZ$1048576"), MATCH(AX$1, AgoR!$6:$6, 0), FALSE),
            0
        ) +
        IFERROR(
            VLOOKUP($A30, INDIRECT("SepR!$A$6:$ZZ$1048576"), MATCH(AX$1, SepR!$6:$6, 0), FALSE),
            0
        ) +
        IFERROR(
            VLOOKUP($A30, INDIRECT("OctR!$A$6:$ZZ$1048576"), MATCH(AX$1, OctR!$6:$6, 0), FALSE),
            0
        ) +
        IFERROR(
            VLOOKUP($A30, INDIRECT("NovR!$A$6:$ZZ$1048576"), MATCH(AX$1, NovR!$6:$6, 0), FALSE),
            0
        ) +
        IFERROR(
            VLOOKUP($A30, INDIRECT("DicR!$A$6:$ZZ$1048576"), MATCH(AX$1, DicR!$6:$6, 0), FALSE),
            0
        )
)</f>
        <v>0</v>
      </c>
      <c r="AY30" s="37">
        <f t="array" ref="AY30">SUM(
    IFERROR(
            VLOOKUP($A30, INDIRECT("EneR!$A$6:$ZZ$1048576"), MATCH(AY$1, EneR!$6:$6, 0), FALSE),
            0
        ) +
        IFERROR(
            VLOOKUP($A30, INDIRECT("FebR!$A$6:$ZZ$1048576"), MATCH(AY$1, FebR!$6:$6, 0), FALSE),
            0
        ) +
        IFERROR(
            VLOOKUP($A30, INDIRECT("MarR!$A$6:$ZZ$1048576"), MATCH(AY$1, MarR!$6:$6, 0), FALSE),
            0
        ) +
        IFERROR(
            VLOOKUP($A30, INDIRECT("AbrR!$A$6:$ZZ$1048576"), MATCH(AY$1, AbrR!$6:$6, 0), FALSE),
            0
        ) +
        IFERROR(
            VLOOKUP($A30, INDIRECT("MayR!$A$6:$ZZ$1048576"), MATCH(AY$1, MayR!$6:$6, 0), FALSE),
            0
        ) +
        IFERROR(
            VLOOKUP($A30, INDIRECT("JunR!$A$6:$ZZ$1048576"), MATCH(AY$1, JunR!$6:$6, 0), FALSE),
            0
        ) +
        IFERROR(
            VLOOKUP($A30, INDIRECT("JulR!$A$6:$ZZ$1048576"), MATCH(AY$1, JulR!$6:$6, 0), FALSE),
            0
        ) +
        IFERROR(
            VLOOKUP($A30, INDIRECT("AgoR!$A$6:$ZZ$1048576"), MATCH(AY$1, AgoR!$6:$6, 0), FALSE),
            0
        ) +
        IFERROR(
            VLOOKUP($A30, INDIRECT("SepR!$A$6:$ZZ$1048576"), MATCH(AY$1, SepR!$6:$6, 0), FALSE),
            0
        ) +
        IFERROR(
            VLOOKUP($A30, INDIRECT("OctR!$A$6:$ZZ$1048576"), MATCH(AY$1, OctR!$6:$6, 0), FALSE),
            0
        ) +
        IFERROR(
            VLOOKUP($A30, INDIRECT("NovR!$A$6:$ZZ$1048576"), MATCH(AY$1, NovR!$6:$6, 0), FALSE),
            0
        ) +
        IFERROR(
            VLOOKUP($A30, INDIRECT("DicR!$A$6:$ZZ$1048576"), MATCH(AY$1, DicR!$6:$6, 0), FALSE),
            0
        )
)</f>
        <v>0</v>
      </c>
      <c r="AZ30" s="37"/>
    </row>
    <row r="31" ht="15.75" hidden="1" customHeight="1">
      <c r="A31" s="12" t="str">
        <f>Menus!R23</f>
        <v/>
      </c>
      <c r="B31" s="32">
        <f t="shared" si="6"/>
        <v>0</v>
      </c>
      <c r="C31" s="33" t="str">
        <f t="shared" si="7"/>
        <v/>
      </c>
      <c r="D31" s="34">
        <f t="array" ref="D31">SUM(
    IFERROR(
            VLOOKUP($A31, INDIRECT("EneR!$A$6:$ZZ$1048576"), MATCH(D$1, EneR!$6:$6, 0), FALSE),
            0
        ) +
        IFERROR(
            VLOOKUP($A31, INDIRECT("FebR!$A$6:$ZZ$1048576"), MATCH(D$1, FebR!$6:$6, 0), FALSE),
            0
        ) +
        IFERROR(
            VLOOKUP($A31, INDIRECT("MarR!$A$6:$ZZ$1048576"), MATCH(D$1, MarR!$6:$6, 0), FALSE),
            0
        ) +
        IFERROR(
            VLOOKUP($A31, INDIRECT("AbrR!$A$6:$ZZ$1048576"), MATCH(D$1, AbrR!$6:$6, 0), FALSE),
            0
        ) +
        IFERROR(
            VLOOKUP($A31, INDIRECT("MayR!$A$6:$ZZ$1048576"), MATCH(D$1, MayR!$6:$6, 0), FALSE),
            0
        ) +
        IFERROR(
            VLOOKUP($A31, INDIRECT("JunR!$A$6:$ZZ$1048576"), MATCH(D$1, JunR!$6:$6, 0), FALSE),
            0
        ) +
        IFERROR(
            VLOOKUP($A31, INDIRECT("JulR!$A$6:$ZZ$1048576"), MATCH(D$1, JulR!$6:$6, 0), FALSE),
            0
        ) +
        IFERROR(
            VLOOKUP($A31, INDIRECT("AgoR!$A$6:$ZZ$1048576"), MATCH(D$1, AgoR!$6:$6, 0), FALSE),
            0
        ) +
        IFERROR(
            VLOOKUP($A31, INDIRECT("SepR!$A$6:$ZZ$1048576"), MATCH(D$1, SepR!$6:$6, 0), FALSE),
            0
        ) +
        IFERROR(
            VLOOKUP($A31, INDIRECT("OctR!$A$6:$ZZ$1048576"), MATCH(D$1, OctR!$6:$6, 0), FALSE),
            0
        ) +
        IFERROR(
            VLOOKUP($A31, INDIRECT("NovR!$A$6:$ZZ$1048576"), MATCH(D$1, NovR!$6:$6, 0), FALSE),
            0
        ) +
        IFERROR(
            VLOOKUP($A31, INDIRECT("DicR!$A$6:$ZZ$1048576"), MATCH(D$1, DicR!$6:$6, 0), FALSE),
            0
        )
)</f>
        <v>0</v>
      </c>
      <c r="E31" s="35">
        <f t="array" ref="E31">SUM(
    IFERROR(
            VLOOKUP($A31, INDIRECT("EneR!$A$6:$ZZ$1048576"), MATCH(E$1, EneR!$6:$6, 0), FALSE),
            0
        ) +
        IFERROR(
            VLOOKUP($A31, INDIRECT("FebR!$A$6:$ZZ$1048576"), MATCH(E$1, FebR!$6:$6, 0), FALSE),
            0
        ) +
        IFERROR(
            VLOOKUP($A31, INDIRECT("MarR!$A$6:$ZZ$1048576"), MATCH(E$1, MarR!$6:$6, 0), FALSE),
            0
        ) +
        IFERROR(
            VLOOKUP($A31, INDIRECT("AbrR!$A$6:$ZZ$1048576"), MATCH(E$1, AbrR!$6:$6, 0), FALSE),
            0
        ) +
        IFERROR(
            VLOOKUP($A31, INDIRECT("MayR!$A$6:$ZZ$1048576"), MATCH(E$1, MayR!$6:$6, 0), FALSE),
            0
        ) +
        IFERROR(
            VLOOKUP($A31, INDIRECT("JunR!$A$6:$ZZ$1048576"), MATCH(E$1, JunR!$6:$6, 0), FALSE),
            0
        ) +
        IFERROR(
            VLOOKUP($A31, INDIRECT("JulR!$A$6:$ZZ$1048576"), MATCH(E$1, JulR!$6:$6, 0), FALSE),
            0
        ) +
        IFERROR(
            VLOOKUP($A31, INDIRECT("AgoR!$A$6:$ZZ$1048576"), MATCH(E$1, AgoR!$6:$6, 0), FALSE),
            0
        ) +
        IFERROR(
            VLOOKUP($A31, INDIRECT("SepR!$A$6:$ZZ$1048576"), MATCH(E$1, SepR!$6:$6, 0), FALSE),
            0
        ) +
        IFERROR(
            VLOOKUP($A31, INDIRECT("OctR!$A$6:$ZZ$1048576"), MATCH(E$1, OctR!$6:$6, 0), FALSE),
            0
        ) +
        IFERROR(
            VLOOKUP($A31, INDIRECT("NovR!$A$6:$ZZ$1048576"), MATCH(E$1, NovR!$6:$6, 0), FALSE),
            0
        ) +
        IFERROR(
            VLOOKUP($A31, INDIRECT("DicR!$A$6:$ZZ$1048576"), MATCH(E$1, DicR!$6:$6, 0), FALSE),
            0
        )
)</f>
        <v>0</v>
      </c>
      <c r="F31" s="32">
        <f t="array" ref="F31">SUM(
    IFERROR(
            VLOOKUP($A31, INDIRECT("EneR!$A$6:$ZZ$1048576"), MATCH(F$1, EneR!$6:$6, 0), FALSE),
            0
        ) +
        IFERROR(
            VLOOKUP($A31, INDIRECT("FebR!$A$6:$ZZ$1048576"), MATCH(F$1, FebR!$6:$6, 0), FALSE),
            0
        ) +
        IFERROR(
            VLOOKUP($A31, INDIRECT("MarR!$A$6:$ZZ$1048576"), MATCH(F$1, MarR!$6:$6, 0), FALSE),
            0
        ) +
        IFERROR(
            VLOOKUP($A31, INDIRECT("AbrR!$A$6:$ZZ$1048576"), MATCH(F$1, AbrR!$6:$6, 0), FALSE),
            0
        ) +
        IFERROR(
            VLOOKUP($A31, INDIRECT("MayR!$A$6:$ZZ$1048576"), MATCH(F$1, MayR!$6:$6, 0), FALSE),
            0
        ) +
        IFERROR(
            VLOOKUP($A31, INDIRECT("JunR!$A$6:$ZZ$1048576"), MATCH(F$1, JunR!$6:$6, 0), FALSE),
            0
        ) +
        IFERROR(
            VLOOKUP($A31, INDIRECT("JulR!$A$6:$ZZ$1048576"), MATCH(F$1, JulR!$6:$6, 0), FALSE),
            0
        ) +
        IFERROR(
            VLOOKUP($A31, INDIRECT("AgoR!$A$6:$ZZ$1048576"), MATCH(F$1, AgoR!$6:$6, 0), FALSE),
            0
        ) +
        IFERROR(
            VLOOKUP($A31, INDIRECT("SepR!$A$6:$ZZ$1048576"), MATCH(F$1, SepR!$6:$6, 0), FALSE),
            0
        ) +
        IFERROR(
            VLOOKUP($A31, INDIRECT("OctR!$A$6:$ZZ$1048576"), MATCH(F$1, OctR!$6:$6, 0), FALSE),
            0
        ) +
        IFERROR(
            VLOOKUP($A31, INDIRECT("NovR!$A$6:$ZZ$1048576"), MATCH(F$1, NovR!$6:$6, 0), FALSE),
            0
        ) +
        IFERROR(
            VLOOKUP($A31, INDIRECT("DicR!$A$6:$ZZ$1048576"), MATCH(F$1, DicR!$6:$6, 0), FALSE),
            0
        )
)</f>
        <v>0</v>
      </c>
      <c r="G31" s="35">
        <f t="array" ref="G31">SUM(
    IFERROR(
            VLOOKUP($A31, INDIRECT("EneR!$A$6:$ZZ$1048576"), MATCH(G$1, EneR!$6:$6, 0), FALSE),
            0
        ) +
        IFERROR(
            VLOOKUP($A31, INDIRECT("FebR!$A$6:$ZZ$1048576"), MATCH(G$1, FebR!$6:$6, 0), FALSE),
            0
        ) +
        IFERROR(
            VLOOKUP($A31, INDIRECT("MarR!$A$6:$ZZ$1048576"), MATCH(G$1, MarR!$6:$6, 0), FALSE),
            0
        ) +
        IFERROR(
            VLOOKUP($A31, INDIRECT("AbrR!$A$6:$ZZ$1048576"), MATCH(G$1, AbrR!$6:$6, 0), FALSE),
            0
        ) +
        IFERROR(
            VLOOKUP($A31, INDIRECT("MayR!$A$6:$ZZ$1048576"), MATCH(G$1, MayR!$6:$6, 0), FALSE),
            0
        ) +
        IFERROR(
            VLOOKUP($A31, INDIRECT("JunR!$A$6:$ZZ$1048576"), MATCH(G$1, JunR!$6:$6, 0), FALSE),
            0
        ) +
        IFERROR(
            VLOOKUP($A31, INDIRECT("JulR!$A$6:$ZZ$1048576"), MATCH(G$1, JulR!$6:$6, 0), FALSE),
            0
        ) +
        IFERROR(
            VLOOKUP($A31, INDIRECT("AgoR!$A$6:$ZZ$1048576"), MATCH(G$1, AgoR!$6:$6, 0), FALSE),
            0
        ) +
        IFERROR(
            VLOOKUP($A31, INDIRECT("SepR!$A$6:$ZZ$1048576"), MATCH(G$1, SepR!$6:$6, 0), FALSE),
            0
        ) +
        IFERROR(
            VLOOKUP($A31, INDIRECT("OctR!$A$6:$ZZ$1048576"), MATCH(G$1, OctR!$6:$6, 0), FALSE),
            0
        ) +
        IFERROR(
            VLOOKUP($A31, INDIRECT("NovR!$A$6:$ZZ$1048576"), MATCH(G$1, NovR!$6:$6, 0), FALSE),
            0
        ) +
        IFERROR(
            VLOOKUP($A31, INDIRECT("DicR!$A$6:$ZZ$1048576"), MATCH(G$1, DicR!$6:$6, 0), FALSE),
            0
        )
)</f>
        <v>0</v>
      </c>
      <c r="H31" s="32">
        <f t="array" ref="H31">SUM(
    IFERROR(
            VLOOKUP($A31, INDIRECT("EneR!$A$6:$ZZ$1048576"), MATCH(H$1, EneR!$6:$6, 0), FALSE),
            0
        ) +
        IFERROR(
            VLOOKUP($A31, INDIRECT("FebR!$A$6:$ZZ$1048576"), MATCH(H$1, FebR!$6:$6, 0), FALSE),
            0
        ) +
        IFERROR(
            VLOOKUP($A31, INDIRECT("MarR!$A$6:$ZZ$1048576"), MATCH(H$1, MarR!$6:$6, 0), FALSE),
            0
        ) +
        IFERROR(
            VLOOKUP($A31, INDIRECT("AbrR!$A$6:$ZZ$1048576"), MATCH(H$1, AbrR!$6:$6, 0), FALSE),
            0
        ) +
        IFERROR(
            VLOOKUP($A31, INDIRECT("MayR!$A$6:$ZZ$1048576"), MATCH(H$1, MayR!$6:$6, 0), FALSE),
            0
        ) +
        IFERROR(
            VLOOKUP($A31, INDIRECT("JunR!$A$6:$ZZ$1048576"), MATCH(H$1, JunR!$6:$6, 0), FALSE),
            0
        ) +
        IFERROR(
            VLOOKUP($A31, INDIRECT("JulR!$A$6:$ZZ$1048576"), MATCH(H$1, JulR!$6:$6, 0), FALSE),
            0
        ) +
        IFERROR(
            VLOOKUP($A31, INDIRECT("AgoR!$A$6:$ZZ$1048576"), MATCH(H$1, AgoR!$6:$6, 0), FALSE),
            0
        ) +
        IFERROR(
            VLOOKUP($A31, INDIRECT("SepR!$A$6:$ZZ$1048576"), MATCH(H$1, SepR!$6:$6, 0), FALSE),
            0
        ) +
        IFERROR(
            VLOOKUP($A31, INDIRECT("OctR!$A$6:$ZZ$1048576"), MATCH(H$1, OctR!$6:$6, 0), FALSE),
            0
        ) +
        IFERROR(
            VLOOKUP($A31, INDIRECT("NovR!$A$6:$ZZ$1048576"), MATCH(H$1, NovR!$6:$6, 0), FALSE),
            0
        ) +
        IFERROR(
            VLOOKUP($A31, INDIRECT("DicR!$A$6:$ZZ$1048576"), MATCH(H$1, DicR!$6:$6, 0), FALSE),
            0
        )
)</f>
        <v>0</v>
      </c>
      <c r="I31" s="35">
        <f t="array" ref="I31">SUM(
    IFERROR(
            VLOOKUP($A31, INDIRECT("EneR!$A$6:$ZZ$1048576"), MATCH(I$1, EneR!$6:$6, 0), FALSE),
            0
        ) +
        IFERROR(
            VLOOKUP($A31, INDIRECT("FebR!$A$6:$ZZ$1048576"), MATCH(I$1, FebR!$6:$6, 0), FALSE),
            0
        ) +
        IFERROR(
            VLOOKUP($A31, INDIRECT("MarR!$A$6:$ZZ$1048576"), MATCH(I$1, MarR!$6:$6, 0), FALSE),
            0
        ) +
        IFERROR(
            VLOOKUP($A31, INDIRECT("AbrR!$A$6:$ZZ$1048576"), MATCH(I$1, AbrR!$6:$6, 0), FALSE),
            0
        ) +
        IFERROR(
            VLOOKUP($A31, INDIRECT("MayR!$A$6:$ZZ$1048576"), MATCH(I$1, MayR!$6:$6, 0), FALSE),
            0
        ) +
        IFERROR(
            VLOOKUP($A31, INDIRECT("JunR!$A$6:$ZZ$1048576"), MATCH(I$1, JunR!$6:$6, 0), FALSE),
            0
        ) +
        IFERROR(
            VLOOKUP($A31, INDIRECT("JulR!$A$6:$ZZ$1048576"), MATCH(I$1, JulR!$6:$6, 0), FALSE),
            0
        ) +
        IFERROR(
            VLOOKUP($A31, INDIRECT("AgoR!$A$6:$ZZ$1048576"), MATCH(I$1, AgoR!$6:$6, 0), FALSE),
            0
        ) +
        IFERROR(
            VLOOKUP($A31, INDIRECT("SepR!$A$6:$ZZ$1048576"), MATCH(I$1, SepR!$6:$6, 0), FALSE),
            0
        ) +
        IFERROR(
            VLOOKUP($A31, INDIRECT("OctR!$A$6:$ZZ$1048576"), MATCH(I$1, OctR!$6:$6, 0), FALSE),
            0
        ) +
        IFERROR(
            VLOOKUP($A31, INDIRECT("NovR!$A$6:$ZZ$1048576"), MATCH(I$1, NovR!$6:$6, 0), FALSE),
            0
        ) +
        IFERROR(
            VLOOKUP($A31, INDIRECT("DicR!$A$6:$ZZ$1048576"), MATCH(I$1, DicR!$6:$6, 0), FALSE),
            0
        )
)</f>
        <v>0</v>
      </c>
      <c r="J31" s="32">
        <f t="array" ref="J31">SUM(
    IFERROR(
            VLOOKUP($A31, INDIRECT("EneR!$A$6:$ZZ$1048576"), MATCH(J$1, EneR!$6:$6, 0), FALSE),
            0
        ) +
        IFERROR(
            VLOOKUP($A31, INDIRECT("FebR!$A$6:$ZZ$1048576"), MATCH(J$1, FebR!$6:$6, 0), FALSE),
            0
        ) +
        IFERROR(
            VLOOKUP($A31, INDIRECT("MarR!$A$6:$ZZ$1048576"), MATCH(J$1, MarR!$6:$6, 0), FALSE),
            0
        ) +
        IFERROR(
            VLOOKUP($A31, INDIRECT("AbrR!$A$6:$ZZ$1048576"), MATCH(J$1, AbrR!$6:$6, 0), FALSE),
            0
        ) +
        IFERROR(
            VLOOKUP($A31, INDIRECT("MayR!$A$6:$ZZ$1048576"), MATCH(J$1, MayR!$6:$6, 0), FALSE),
            0
        ) +
        IFERROR(
            VLOOKUP($A31, INDIRECT("JunR!$A$6:$ZZ$1048576"), MATCH(J$1, JunR!$6:$6, 0), FALSE),
            0
        ) +
        IFERROR(
            VLOOKUP($A31, INDIRECT("JulR!$A$6:$ZZ$1048576"), MATCH(J$1, JulR!$6:$6, 0), FALSE),
            0
        ) +
        IFERROR(
            VLOOKUP($A31, INDIRECT("AgoR!$A$6:$ZZ$1048576"), MATCH(J$1, AgoR!$6:$6, 0), FALSE),
            0
        ) +
        IFERROR(
            VLOOKUP($A31, INDIRECT("SepR!$A$6:$ZZ$1048576"), MATCH(J$1, SepR!$6:$6, 0), FALSE),
            0
        ) +
        IFERROR(
            VLOOKUP($A31, INDIRECT("OctR!$A$6:$ZZ$1048576"), MATCH(J$1, OctR!$6:$6, 0), FALSE),
            0
        ) +
        IFERROR(
            VLOOKUP($A31, INDIRECT("NovR!$A$6:$ZZ$1048576"), MATCH(J$1, NovR!$6:$6, 0), FALSE),
            0
        ) +
        IFERROR(
            VLOOKUP($A31, INDIRECT("DicR!$A$6:$ZZ$1048576"), MATCH(J$1, DicR!$6:$6, 0), FALSE),
            0
        )
)</f>
        <v>0</v>
      </c>
      <c r="K31" s="35">
        <f t="array" ref="K31">SUM(
    IFERROR(
            VLOOKUP($A31, INDIRECT("EneR!$A$6:$ZZ$1048576"), MATCH(K$1, EneR!$6:$6, 0), FALSE),
            0
        ) +
        IFERROR(
            VLOOKUP($A31, INDIRECT("FebR!$A$6:$ZZ$1048576"), MATCH(K$1, FebR!$6:$6, 0), FALSE),
            0
        ) +
        IFERROR(
            VLOOKUP($A31, INDIRECT("MarR!$A$6:$ZZ$1048576"), MATCH(K$1, MarR!$6:$6, 0), FALSE),
            0
        ) +
        IFERROR(
            VLOOKUP($A31, INDIRECT("AbrR!$A$6:$ZZ$1048576"), MATCH(K$1, AbrR!$6:$6, 0), FALSE),
            0
        ) +
        IFERROR(
            VLOOKUP($A31, INDIRECT("MayR!$A$6:$ZZ$1048576"), MATCH(K$1, MayR!$6:$6, 0), FALSE),
            0
        ) +
        IFERROR(
            VLOOKUP($A31, INDIRECT("JunR!$A$6:$ZZ$1048576"), MATCH(K$1, JunR!$6:$6, 0), FALSE),
            0
        ) +
        IFERROR(
            VLOOKUP($A31, INDIRECT("JulR!$A$6:$ZZ$1048576"), MATCH(K$1, JulR!$6:$6, 0), FALSE),
            0
        ) +
        IFERROR(
            VLOOKUP($A31, INDIRECT("AgoR!$A$6:$ZZ$1048576"), MATCH(K$1, AgoR!$6:$6, 0), FALSE),
            0
        ) +
        IFERROR(
            VLOOKUP($A31, INDIRECT("SepR!$A$6:$ZZ$1048576"), MATCH(K$1, SepR!$6:$6, 0), FALSE),
            0
        ) +
        IFERROR(
            VLOOKUP($A31, INDIRECT("OctR!$A$6:$ZZ$1048576"), MATCH(K$1, OctR!$6:$6, 0), FALSE),
            0
        ) +
        IFERROR(
            VLOOKUP($A31, INDIRECT("NovR!$A$6:$ZZ$1048576"), MATCH(K$1, NovR!$6:$6, 0), FALSE),
            0
        ) +
        IFERROR(
            VLOOKUP($A31, INDIRECT("DicR!$A$6:$ZZ$1048576"), MATCH(K$1, DicR!$6:$6, 0), FALSE),
            0
        )
)</f>
        <v>0</v>
      </c>
      <c r="L31" s="32">
        <f t="array" ref="L31">SUM(
    IFERROR(
            VLOOKUP($A31, INDIRECT("EneR!$A$6:$ZZ$1048576"), MATCH(L$1, EneR!$6:$6, 0), FALSE),
            0
        ) +
        IFERROR(
            VLOOKUP($A31, INDIRECT("FebR!$A$6:$ZZ$1048576"), MATCH(L$1, FebR!$6:$6, 0), FALSE),
            0
        ) +
        IFERROR(
            VLOOKUP($A31, INDIRECT("MarR!$A$6:$ZZ$1048576"), MATCH(L$1, MarR!$6:$6, 0), FALSE),
            0
        ) +
        IFERROR(
            VLOOKUP($A31, INDIRECT("AbrR!$A$6:$ZZ$1048576"), MATCH(L$1, AbrR!$6:$6, 0), FALSE),
            0
        ) +
        IFERROR(
            VLOOKUP($A31, INDIRECT("MayR!$A$6:$ZZ$1048576"), MATCH(L$1, MayR!$6:$6, 0), FALSE),
            0
        ) +
        IFERROR(
            VLOOKUP($A31, INDIRECT("JunR!$A$6:$ZZ$1048576"), MATCH(L$1, JunR!$6:$6, 0), FALSE),
            0
        ) +
        IFERROR(
            VLOOKUP($A31, INDIRECT("JulR!$A$6:$ZZ$1048576"), MATCH(L$1, JulR!$6:$6, 0), FALSE),
            0
        ) +
        IFERROR(
            VLOOKUP($A31, INDIRECT("AgoR!$A$6:$ZZ$1048576"), MATCH(L$1, AgoR!$6:$6, 0), FALSE),
            0
        ) +
        IFERROR(
            VLOOKUP($A31, INDIRECT("SepR!$A$6:$ZZ$1048576"), MATCH(L$1, SepR!$6:$6, 0), FALSE),
            0
        ) +
        IFERROR(
            VLOOKUP($A31, INDIRECT("OctR!$A$6:$ZZ$1048576"), MATCH(L$1, OctR!$6:$6, 0), FALSE),
            0
        ) +
        IFERROR(
            VLOOKUP($A31, INDIRECT("NovR!$A$6:$ZZ$1048576"), MATCH(L$1, NovR!$6:$6, 0), FALSE),
            0
        ) +
        IFERROR(
            VLOOKUP($A31, INDIRECT("DicR!$A$6:$ZZ$1048576"), MATCH(L$1, DicR!$6:$6, 0), FALSE),
            0
        )
)</f>
        <v>0</v>
      </c>
      <c r="M31" s="35">
        <f t="array" ref="M31">SUM(
    IFERROR(
            VLOOKUP($A31, INDIRECT("EneR!$A$6:$ZZ$1048576"), MATCH(M$1, EneR!$6:$6, 0), FALSE),
            0
        ) +
        IFERROR(
            VLOOKUP($A31, INDIRECT("FebR!$A$6:$ZZ$1048576"), MATCH(M$1, FebR!$6:$6, 0), FALSE),
            0
        ) +
        IFERROR(
            VLOOKUP($A31, INDIRECT("MarR!$A$6:$ZZ$1048576"), MATCH(M$1, MarR!$6:$6, 0), FALSE),
            0
        ) +
        IFERROR(
            VLOOKUP($A31, INDIRECT("AbrR!$A$6:$ZZ$1048576"), MATCH(M$1, AbrR!$6:$6, 0), FALSE),
            0
        ) +
        IFERROR(
            VLOOKUP($A31, INDIRECT("MayR!$A$6:$ZZ$1048576"), MATCH(M$1, MayR!$6:$6, 0), FALSE),
            0
        ) +
        IFERROR(
            VLOOKUP($A31, INDIRECT("JunR!$A$6:$ZZ$1048576"), MATCH(M$1, JunR!$6:$6, 0), FALSE),
            0
        ) +
        IFERROR(
            VLOOKUP($A31, INDIRECT("JulR!$A$6:$ZZ$1048576"), MATCH(M$1, JulR!$6:$6, 0), FALSE),
            0
        ) +
        IFERROR(
            VLOOKUP($A31, INDIRECT("AgoR!$A$6:$ZZ$1048576"), MATCH(M$1, AgoR!$6:$6, 0), FALSE),
            0
        ) +
        IFERROR(
            VLOOKUP($A31, INDIRECT("SepR!$A$6:$ZZ$1048576"), MATCH(M$1, SepR!$6:$6, 0), FALSE),
            0
        ) +
        IFERROR(
            VLOOKUP($A31, INDIRECT("OctR!$A$6:$ZZ$1048576"), MATCH(M$1, OctR!$6:$6, 0), FALSE),
            0
        ) +
        IFERROR(
            VLOOKUP($A31, INDIRECT("NovR!$A$6:$ZZ$1048576"), MATCH(M$1, NovR!$6:$6, 0), FALSE),
            0
        ) +
        IFERROR(
            VLOOKUP($A31, INDIRECT("DicR!$A$6:$ZZ$1048576"), MATCH(M$1, DicR!$6:$6, 0), FALSE),
            0
        )
)</f>
        <v>0</v>
      </c>
      <c r="N31" s="32">
        <f t="array" ref="N31">SUM(
    IFERROR(
            VLOOKUP($A31, INDIRECT("EneR!$A$6:$ZZ$1048576"), MATCH(N$1, EneR!$6:$6, 0), FALSE),
            0
        ) +
        IFERROR(
            VLOOKUP($A31, INDIRECT("FebR!$A$6:$ZZ$1048576"), MATCH(N$1, FebR!$6:$6, 0), FALSE),
            0
        ) +
        IFERROR(
            VLOOKUP($A31, INDIRECT("MarR!$A$6:$ZZ$1048576"), MATCH(N$1, MarR!$6:$6, 0), FALSE),
            0
        ) +
        IFERROR(
            VLOOKUP($A31, INDIRECT("AbrR!$A$6:$ZZ$1048576"), MATCH(N$1, AbrR!$6:$6, 0), FALSE),
            0
        ) +
        IFERROR(
            VLOOKUP($A31, INDIRECT("MayR!$A$6:$ZZ$1048576"), MATCH(N$1, MayR!$6:$6, 0), FALSE),
            0
        ) +
        IFERROR(
            VLOOKUP($A31, INDIRECT("JunR!$A$6:$ZZ$1048576"), MATCH(N$1, JunR!$6:$6, 0), FALSE),
            0
        ) +
        IFERROR(
            VLOOKUP($A31, INDIRECT("JulR!$A$6:$ZZ$1048576"), MATCH(N$1, JulR!$6:$6, 0), FALSE),
            0
        ) +
        IFERROR(
            VLOOKUP($A31, INDIRECT("AgoR!$A$6:$ZZ$1048576"), MATCH(N$1, AgoR!$6:$6, 0), FALSE),
            0
        ) +
        IFERROR(
            VLOOKUP($A31, INDIRECT("SepR!$A$6:$ZZ$1048576"), MATCH(N$1, SepR!$6:$6, 0), FALSE),
            0
        ) +
        IFERROR(
            VLOOKUP($A31, INDIRECT("OctR!$A$6:$ZZ$1048576"), MATCH(N$1, OctR!$6:$6, 0), FALSE),
            0
        ) +
        IFERROR(
            VLOOKUP($A31, INDIRECT("NovR!$A$6:$ZZ$1048576"), MATCH(N$1, NovR!$6:$6, 0), FALSE),
            0
        ) +
        IFERROR(
            VLOOKUP($A31, INDIRECT("DicR!$A$6:$ZZ$1048576"), MATCH(N$1, DicR!$6:$6, 0), FALSE),
            0
        )
)</f>
        <v>0</v>
      </c>
      <c r="O31" s="35">
        <f t="array" ref="O31">SUM(
    IFERROR(
            VLOOKUP($A31, INDIRECT("EneR!$A$6:$ZZ$1048576"), MATCH(O$1, EneR!$6:$6, 0), FALSE),
            0
        ) +
        IFERROR(
            VLOOKUP($A31, INDIRECT("FebR!$A$6:$ZZ$1048576"), MATCH(O$1, FebR!$6:$6, 0), FALSE),
            0
        ) +
        IFERROR(
            VLOOKUP($A31, INDIRECT("MarR!$A$6:$ZZ$1048576"), MATCH(O$1, MarR!$6:$6, 0), FALSE),
            0
        ) +
        IFERROR(
            VLOOKUP($A31, INDIRECT("AbrR!$A$6:$ZZ$1048576"), MATCH(O$1, AbrR!$6:$6, 0), FALSE),
            0
        ) +
        IFERROR(
            VLOOKUP($A31, INDIRECT("MayR!$A$6:$ZZ$1048576"), MATCH(O$1, MayR!$6:$6, 0), FALSE),
            0
        ) +
        IFERROR(
            VLOOKUP($A31, INDIRECT("JunR!$A$6:$ZZ$1048576"), MATCH(O$1, JunR!$6:$6, 0), FALSE),
            0
        ) +
        IFERROR(
            VLOOKUP($A31, INDIRECT("JulR!$A$6:$ZZ$1048576"), MATCH(O$1, JulR!$6:$6, 0), FALSE),
            0
        ) +
        IFERROR(
            VLOOKUP($A31, INDIRECT("AgoR!$A$6:$ZZ$1048576"), MATCH(O$1, AgoR!$6:$6, 0), FALSE),
            0
        ) +
        IFERROR(
            VLOOKUP($A31, INDIRECT("SepR!$A$6:$ZZ$1048576"), MATCH(O$1, SepR!$6:$6, 0), FALSE),
            0
        ) +
        IFERROR(
            VLOOKUP($A31, INDIRECT("OctR!$A$6:$ZZ$1048576"), MATCH(O$1, OctR!$6:$6, 0), FALSE),
            0
        ) +
        IFERROR(
            VLOOKUP($A31, INDIRECT("NovR!$A$6:$ZZ$1048576"), MATCH(O$1, NovR!$6:$6, 0), FALSE),
            0
        ) +
        IFERROR(
            VLOOKUP($A31, INDIRECT("DicR!$A$6:$ZZ$1048576"), MATCH(O$1, DicR!$6:$6, 0), FALSE),
            0
        )
)</f>
        <v>0</v>
      </c>
      <c r="P31" s="32">
        <f t="array" ref="P31">SUM(
    IFERROR(
            VLOOKUP($A31, INDIRECT("EneR!$A$6:$ZZ$1048576"), MATCH(P$1, EneR!$6:$6, 0), FALSE),
            0
        ) +
        IFERROR(
            VLOOKUP($A31, INDIRECT("FebR!$A$6:$ZZ$1048576"), MATCH(P$1, FebR!$6:$6, 0), FALSE),
            0
        ) +
        IFERROR(
            VLOOKUP($A31, INDIRECT("MarR!$A$6:$ZZ$1048576"), MATCH(P$1, MarR!$6:$6, 0), FALSE),
            0
        ) +
        IFERROR(
            VLOOKUP($A31, INDIRECT("AbrR!$A$6:$ZZ$1048576"), MATCH(P$1, AbrR!$6:$6, 0), FALSE),
            0
        ) +
        IFERROR(
            VLOOKUP($A31, INDIRECT("MayR!$A$6:$ZZ$1048576"), MATCH(P$1, MayR!$6:$6, 0), FALSE),
            0
        ) +
        IFERROR(
            VLOOKUP($A31, INDIRECT("JunR!$A$6:$ZZ$1048576"), MATCH(P$1, JunR!$6:$6, 0), FALSE),
            0
        ) +
        IFERROR(
            VLOOKUP($A31, INDIRECT("JulR!$A$6:$ZZ$1048576"), MATCH(P$1, JulR!$6:$6, 0), FALSE),
            0
        ) +
        IFERROR(
            VLOOKUP($A31, INDIRECT("AgoR!$A$6:$ZZ$1048576"), MATCH(P$1, AgoR!$6:$6, 0), FALSE),
            0
        ) +
        IFERROR(
            VLOOKUP($A31, INDIRECT("SepR!$A$6:$ZZ$1048576"), MATCH(P$1, SepR!$6:$6, 0), FALSE),
            0
        ) +
        IFERROR(
            VLOOKUP($A31, INDIRECT("OctR!$A$6:$ZZ$1048576"), MATCH(P$1, OctR!$6:$6, 0), FALSE),
            0
        ) +
        IFERROR(
            VLOOKUP($A31, INDIRECT("NovR!$A$6:$ZZ$1048576"), MATCH(P$1, NovR!$6:$6, 0), FALSE),
            0
        ) +
        IFERROR(
            VLOOKUP($A31, INDIRECT("DicR!$A$6:$ZZ$1048576"), MATCH(P$1, DicR!$6:$6, 0), FALSE),
            0
        )
)</f>
        <v>0</v>
      </c>
      <c r="Q31" s="35">
        <f t="array" ref="Q31">SUM(
    IFERROR(
            VLOOKUP($A31, INDIRECT("EneR!$A$6:$ZZ$1048576"), MATCH(Q$1, EneR!$6:$6, 0), FALSE),
            0
        ) +
        IFERROR(
            VLOOKUP($A31, INDIRECT("FebR!$A$6:$ZZ$1048576"), MATCH(Q$1, FebR!$6:$6, 0), FALSE),
            0
        ) +
        IFERROR(
            VLOOKUP($A31, INDIRECT("MarR!$A$6:$ZZ$1048576"), MATCH(Q$1, MarR!$6:$6, 0), FALSE),
            0
        ) +
        IFERROR(
            VLOOKUP($A31, INDIRECT("AbrR!$A$6:$ZZ$1048576"), MATCH(Q$1, AbrR!$6:$6, 0), FALSE),
            0
        ) +
        IFERROR(
            VLOOKUP($A31, INDIRECT("MayR!$A$6:$ZZ$1048576"), MATCH(Q$1, MayR!$6:$6, 0), FALSE),
            0
        ) +
        IFERROR(
            VLOOKUP($A31, INDIRECT("JunR!$A$6:$ZZ$1048576"), MATCH(Q$1, JunR!$6:$6, 0), FALSE),
            0
        ) +
        IFERROR(
            VLOOKUP($A31, INDIRECT("JulR!$A$6:$ZZ$1048576"), MATCH(Q$1, JulR!$6:$6, 0), FALSE),
            0
        ) +
        IFERROR(
            VLOOKUP($A31, INDIRECT("AgoR!$A$6:$ZZ$1048576"), MATCH(Q$1, AgoR!$6:$6, 0), FALSE),
            0
        ) +
        IFERROR(
            VLOOKUP($A31, INDIRECT("SepR!$A$6:$ZZ$1048576"), MATCH(Q$1, SepR!$6:$6, 0), FALSE),
            0
        ) +
        IFERROR(
            VLOOKUP($A31, INDIRECT("OctR!$A$6:$ZZ$1048576"), MATCH(Q$1, OctR!$6:$6, 0), FALSE),
            0
        ) +
        IFERROR(
            VLOOKUP($A31, INDIRECT("NovR!$A$6:$ZZ$1048576"), MATCH(Q$1, NovR!$6:$6, 0), FALSE),
            0
        ) +
        IFERROR(
            VLOOKUP($A31, INDIRECT("DicR!$A$6:$ZZ$1048576"), MATCH(Q$1, DicR!$6:$6, 0), FALSE),
            0
        )
)</f>
        <v>0</v>
      </c>
      <c r="R31" s="36">
        <f t="array" ref="R31">SUM(
    IFERROR(
            VLOOKUP($A31, INDIRECT("EneR!$A$6:$ZZ$1048576"), MATCH(R$1, EneR!$6:$6, 0), FALSE),
            0
        ) +
        IFERROR(
            VLOOKUP($A31, INDIRECT("FebR!$A$6:$ZZ$1048576"), MATCH(R$1, FebR!$6:$6, 0), FALSE),
            0
        ) +
        IFERROR(
            VLOOKUP($A31, INDIRECT("MarR!$A$6:$ZZ$1048576"), MATCH(R$1, MarR!$6:$6, 0), FALSE),
            0
        ) +
        IFERROR(
            VLOOKUP($A31, INDIRECT("AbrR!$A$6:$ZZ$1048576"), MATCH(R$1, AbrR!$6:$6, 0), FALSE),
            0
        ) +
        IFERROR(
            VLOOKUP($A31, INDIRECT("MayR!$A$6:$ZZ$1048576"), MATCH(R$1, MayR!$6:$6, 0), FALSE),
            0
        ) +
        IFERROR(
            VLOOKUP($A31, INDIRECT("JunR!$A$6:$ZZ$1048576"), MATCH(R$1, JunR!$6:$6, 0), FALSE),
            0
        ) +
        IFERROR(
            VLOOKUP($A31, INDIRECT("JulR!$A$6:$ZZ$1048576"), MATCH(R$1, JulR!$6:$6, 0), FALSE),
            0
        ) +
        IFERROR(
            VLOOKUP($A31, INDIRECT("AgoR!$A$6:$ZZ$1048576"), MATCH(R$1, AgoR!$6:$6, 0), FALSE),
            0
        ) +
        IFERROR(
            VLOOKUP($A31, INDIRECT("SepR!$A$6:$ZZ$1048576"), MATCH(R$1, SepR!$6:$6, 0), FALSE),
            0
        ) +
        IFERROR(
            VLOOKUP($A31, INDIRECT("OctR!$A$6:$ZZ$1048576"), MATCH(R$1, OctR!$6:$6, 0), FALSE),
            0
        ) +
        IFERROR(
            VLOOKUP($A31, INDIRECT("NovR!$A$6:$ZZ$1048576"), MATCH(R$1, NovR!$6:$6, 0), FALSE),
            0
        ) +
        IFERROR(
            VLOOKUP($A31, INDIRECT("DicR!$A$6:$ZZ$1048576"), MATCH(R$1, DicR!$6:$6, 0), FALSE),
            0
        )
)</f>
        <v>0</v>
      </c>
      <c r="S31" s="37">
        <f t="array" ref="S31">SUM(
    IFERROR(
            VLOOKUP($A31, INDIRECT("EneR!$A$6:$ZZ$1048576"), MATCH(S$1, EneR!$6:$6, 0), FALSE),
            0
        ) +
        IFERROR(
            VLOOKUP($A31, INDIRECT("FebR!$A$6:$ZZ$1048576"), MATCH(S$1, FebR!$6:$6, 0), FALSE),
            0
        ) +
        IFERROR(
            VLOOKUP($A31, INDIRECT("MarR!$A$6:$ZZ$1048576"), MATCH(S$1, MarR!$6:$6, 0), FALSE),
            0
        ) +
        IFERROR(
            VLOOKUP($A31, INDIRECT("AbrR!$A$6:$ZZ$1048576"), MATCH(S$1, AbrR!$6:$6, 0), FALSE),
            0
        ) +
        IFERROR(
            VLOOKUP($A31, INDIRECT("MayR!$A$6:$ZZ$1048576"), MATCH(S$1, MayR!$6:$6, 0), FALSE),
            0
        ) +
        IFERROR(
            VLOOKUP($A31, INDIRECT("JunR!$A$6:$ZZ$1048576"), MATCH(S$1, JunR!$6:$6, 0), FALSE),
            0
        ) +
        IFERROR(
            VLOOKUP($A31, INDIRECT("JulR!$A$6:$ZZ$1048576"), MATCH(S$1, JulR!$6:$6, 0), FALSE),
            0
        ) +
        IFERROR(
            VLOOKUP($A31, INDIRECT("AgoR!$A$6:$ZZ$1048576"), MATCH(S$1, AgoR!$6:$6, 0), FALSE),
            0
        ) +
        IFERROR(
            VLOOKUP($A31, INDIRECT("SepR!$A$6:$ZZ$1048576"), MATCH(S$1, SepR!$6:$6, 0), FALSE),
            0
        ) +
        IFERROR(
            VLOOKUP($A31, INDIRECT("OctR!$A$6:$ZZ$1048576"), MATCH(S$1, OctR!$6:$6, 0), FALSE),
            0
        ) +
        IFERROR(
            VLOOKUP($A31, INDIRECT("NovR!$A$6:$ZZ$1048576"), MATCH(S$1, NovR!$6:$6, 0), FALSE),
            0
        ) +
        IFERROR(
            VLOOKUP($A31, INDIRECT("DicR!$A$6:$ZZ$1048576"), MATCH(S$1, DicR!$6:$6, 0), FALSE),
            0
        )
)</f>
        <v>0</v>
      </c>
      <c r="T31" s="36">
        <f t="array" ref="T31">SUM(
    IFERROR(
            VLOOKUP($A31, INDIRECT("EneR!$A$6:$ZZ$1048576"), MATCH(T$1, EneR!$6:$6, 0), FALSE),
            0
        ) +
        IFERROR(
            VLOOKUP($A31, INDIRECT("FebR!$A$6:$ZZ$1048576"), MATCH(T$1, FebR!$6:$6, 0), FALSE),
            0
        ) +
        IFERROR(
            VLOOKUP($A31, INDIRECT("MarR!$A$6:$ZZ$1048576"), MATCH(T$1, MarR!$6:$6, 0), FALSE),
            0
        ) +
        IFERROR(
            VLOOKUP($A31, INDIRECT("AbrR!$A$6:$ZZ$1048576"), MATCH(T$1, AbrR!$6:$6, 0), FALSE),
            0
        ) +
        IFERROR(
            VLOOKUP($A31, INDIRECT("MayR!$A$6:$ZZ$1048576"), MATCH(T$1, MayR!$6:$6, 0), FALSE),
            0
        ) +
        IFERROR(
            VLOOKUP($A31, INDIRECT("JunR!$A$6:$ZZ$1048576"), MATCH(T$1, JunR!$6:$6, 0), FALSE),
            0
        ) +
        IFERROR(
            VLOOKUP($A31, INDIRECT("JulR!$A$6:$ZZ$1048576"), MATCH(T$1, JulR!$6:$6, 0), FALSE),
            0
        ) +
        IFERROR(
            VLOOKUP($A31, INDIRECT("AgoR!$A$6:$ZZ$1048576"), MATCH(T$1, AgoR!$6:$6, 0), FALSE),
            0
        ) +
        IFERROR(
            VLOOKUP($A31, INDIRECT("SepR!$A$6:$ZZ$1048576"), MATCH(T$1, SepR!$6:$6, 0), FALSE),
            0
        ) +
        IFERROR(
            VLOOKUP($A31, INDIRECT("OctR!$A$6:$ZZ$1048576"), MATCH(T$1, OctR!$6:$6, 0), FALSE),
            0
        ) +
        IFERROR(
            VLOOKUP($A31, INDIRECT("NovR!$A$6:$ZZ$1048576"), MATCH(T$1, NovR!$6:$6, 0), FALSE),
            0
        ) +
        IFERROR(
            VLOOKUP($A31, INDIRECT("DicR!$A$6:$ZZ$1048576"), MATCH(T$1, DicR!$6:$6, 0), FALSE),
            0
        )
)</f>
        <v>0</v>
      </c>
      <c r="U31" s="37">
        <f t="array" ref="U31">SUM(
    IFERROR(
            VLOOKUP($A31, INDIRECT("EneR!$A$6:$ZZ$1048576"), MATCH(U$1, EneR!$6:$6, 0), FALSE),
            0
        ) +
        IFERROR(
            VLOOKUP($A31, INDIRECT("FebR!$A$6:$ZZ$1048576"), MATCH(U$1, FebR!$6:$6, 0), FALSE),
            0
        ) +
        IFERROR(
            VLOOKUP($A31, INDIRECT("MarR!$A$6:$ZZ$1048576"), MATCH(U$1, MarR!$6:$6, 0), FALSE),
            0
        ) +
        IFERROR(
            VLOOKUP($A31, INDIRECT("AbrR!$A$6:$ZZ$1048576"), MATCH(U$1, AbrR!$6:$6, 0), FALSE),
            0
        ) +
        IFERROR(
            VLOOKUP($A31, INDIRECT("MayR!$A$6:$ZZ$1048576"), MATCH(U$1, MayR!$6:$6, 0), FALSE),
            0
        ) +
        IFERROR(
            VLOOKUP($A31, INDIRECT("JunR!$A$6:$ZZ$1048576"), MATCH(U$1, JunR!$6:$6, 0), FALSE),
            0
        ) +
        IFERROR(
            VLOOKUP($A31, INDIRECT("JulR!$A$6:$ZZ$1048576"), MATCH(U$1, JulR!$6:$6, 0), FALSE),
            0
        ) +
        IFERROR(
            VLOOKUP($A31, INDIRECT("AgoR!$A$6:$ZZ$1048576"), MATCH(U$1, AgoR!$6:$6, 0), FALSE),
            0
        ) +
        IFERROR(
            VLOOKUP($A31, INDIRECT("SepR!$A$6:$ZZ$1048576"), MATCH(U$1, SepR!$6:$6, 0), FALSE),
            0
        ) +
        IFERROR(
            VLOOKUP($A31, INDIRECT("OctR!$A$6:$ZZ$1048576"), MATCH(U$1, OctR!$6:$6, 0), FALSE),
            0
        ) +
        IFERROR(
            VLOOKUP($A31, INDIRECT("NovR!$A$6:$ZZ$1048576"), MATCH(U$1, NovR!$6:$6, 0), FALSE),
            0
        ) +
        IFERROR(
            VLOOKUP($A31, INDIRECT("DicR!$A$6:$ZZ$1048576"), MATCH(U$1, DicR!$6:$6, 0), FALSE),
            0
        )
)</f>
        <v>0</v>
      </c>
      <c r="V31" s="36">
        <f t="array" ref="V31">SUM(
    IFERROR(
            VLOOKUP($A31, INDIRECT("EneR!$A$6:$ZZ$1048576"), MATCH(V$1, EneR!$6:$6, 0), FALSE),
            0
        ) +
        IFERROR(
            VLOOKUP($A31, INDIRECT("FebR!$A$6:$ZZ$1048576"), MATCH(V$1, FebR!$6:$6, 0), FALSE),
            0
        ) +
        IFERROR(
            VLOOKUP($A31, INDIRECT("MarR!$A$6:$ZZ$1048576"), MATCH(V$1, MarR!$6:$6, 0), FALSE),
            0
        ) +
        IFERROR(
            VLOOKUP($A31, INDIRECT("AbrR!$A$6:$ZZ$1048576"), MATCH(V$1, AbrR!$6:$6, 0), FALSE),
            0
        ) +
        IFERROR(
            VLOOKUP($A31, INDIRECT("MayR!$A$6:$ZZ$1048576"), MATCH(V$1, MayR!$6:$6, 0), FALSE),
            0
        ) +
        IFERROR(
            VLOOKUP($A31, INDIRECT("JunR!$A$6:$ZZ$1048576"), MATCH(V$1, JunR!$6:$6, 0), FALSE),
            0
        ) +
        IFERROR(
            VLOOKUP($A31, INDIRECT("JulR!$A$6:$ZZ$1048576"), MATCH(V$1, JulR!$6:$6, 0), FALSE),
            0
        ) +
        IFERROR(
            VLOOKUP($A31, INDIRECT("AgoR!$A$6:$ZZ$1048576"), MATCH(V$1, AgoR!$6:$6, 0), FALSE),
            0
        ) +
        IFERROR(
            VLOOKUP($A31, INDIRECT("SepR!$A$6:$ZZ$1048576"), MATCH(V$1, SepR!$6:$6, 0), FALSE),
            0
        ) +
        IFERROR(
            VLOOKUP($A31, INDIRECT("OctR!$A$6:$ZZ$1048576"), MATCH(V$1, OctR!$6:$6, 0), FALSE),
            0
        ) +
        IFERROR(
            VLOOKUP($A31, INDIRECT("NovR!$A$6:$ZZ$1048576"), MATCH(V$1, NovR!$6:$6, 0), FALSE),
            0
        ) +
        IFERROR(
            VLOOKUP($A31, INDIRECT("DicR!$A$6:$ZZ$1048576"), MATCH(V$1, DicR!$6:$6, 0), FALSE),
            0
        )
)</f>
        <v>0</v>
      </c>
      <c r="W31" s="37">
        <f t="array" ref="W31">SUM(
    IFERROR(
            VLOOKUP($A31, INDIRECT("EneR!$A$6:$ZZ$1048576"), MATCH(W$1, EneR!$6:$6, 0), FALSE),
            0
        ) +
        IFERROR(
            VLOOKUP($A31, INDIRECT("FebR!$A$6:$ZZ$1048576"), MATCH(W$1, FebR!$6:$6, 0), FALSE),
            0
        ) +
        IFERROR(
            VLOOKUP($A31, INDIRECT("MarR!$A$6:$ZZ$1048576"), MATCH(W$1, MarR!$6:$6, 0), FALSE),
            0
        ) +
        IFERROR(
            VLOOKUP($A31, INDIRECT("AbrR!$A$6:$ZZ$1048576"), MATCH(W$1, AbrR!$6:$6, 0), FALSE),
            0
        ) +
        IFERROR(
            VLOOKUP($A31, INDIRECT("MayR!$A$6:$ZZ$1048576"), MATCH(W$1, MayR!$6:$6, 0), FALSE),
            0
        ) +
        IFERROR(
            VLOOKUP($A31, INDIRECT("JunR!$A$6:$ZZ$1048576"), MATCH(W$1, JunR!$6:$6, 0), FALSE),
            0
        ) +
        IFERROR(
            VLOOKUP($A31, INDIRECT("JulR!$A$6:$ZZ$1048576"), MATCH(W$1, JulR!$6:$6, 0), FALSE),
            0
        ) +
        IFERROR(
            VLOOKUP($A31, INDIRECT("AgoR!$A$6:$ZZ$1048576"), MATCH(W$1, AgoR!$6:$6, 0), FALSE),
            0
        ) +
        IFERROR(
            VLOOKUP($A31, INDIRECT("SepR!$A$6:$ZZ$1048576"), MATCH(W$1, SepR!$6:$6, 0), FALSE),
            0
        ) +
        IFERROR(
            VLOOKUP($A31, INDIRECT("OctR!$A$6:$ZZ$1048576"), MATCH(W$1, OctR!$6:$6, 0), FALSE),
            0
        ) +
        IFERROR(
            VLOOKUP($A31, INDIRECT("NovR!$A$6:$ZZ$1048576"), MATCH(W$1, NovR!$6:$6, 0), FALSE),
            0
        ) +
        IFERROR(
            VLOOKUP($A31, INDIRECT("DicR!$A$6:$ZZ$1048576"), MATCH(W$1, DicR!$6:$6, 0), FALSE),
            0
        )
)</f>
        <v>0</v>
      </c>
      <c r="X31" s="36">
        <f t="array" ref="X31">SUM(
    IFERROR(
            VLOOKUP($A31, INDIRECT("EneR!$A$6:$ZZ$1048576"), MATCH(X$1, EneR!$6:$6, 0), FALSE),
            0
        ) +
        IFERROR(
            VLOOKUP($A31, INDIRECT("FebR!$A$6:$ZZ$1048576"), MATCH(X$1, FebR!$6:$6, 0), FALSE),
            0
        ) +
        IFERROR(
            VLOOKUP($A31, INDIRECT("MarR!$A$6:$ZZ$1048576"), MATCH(X$1, MarR!$6:$6, 0), FALSE),
            0
        ) +
        IFERROR(
            VLOOKUP($A31, INDIRECT("AbrR!$A$6:$ZZ$1048576"), MATCH(X$1, AbrR!$6:$6, 0), FALSE),
            0
        ) +
        IFERROR(
            VLOOKUP($A31, INDIRECT("MayR!$A$6:$ZZ$1048576"), MATCH(X$1, MayR!$6:$6, 0), FALSE),
            0
        ) +
        IFERROR(
            VLOOKUP($A31, INDIRECT("JunR!$A$6:$ZZ$1048576"), MATCH(X$1, JunR!$6:$6, 0), FALSE),
            0
        ) +
        IFERROR(
            VLOOKUP($A31, INDIRECT("JulR!$A$6:$ZZ$1048576"), MATCH(X$1, JulR!$6:$6, 0), FALSE),
            0
        ) +
        IFERROR(
            VLOOKUP($A31, INDIRECT("AgoR!$A$6:$ZZ$1048576"), MATCH(X$1, AgoR!$6:$6, 0), FALSE),
            0
        ) +
        IFERROR(
            VLOOKUP($A31, INDIRECT("SepR!$A$6:$ZZ$1048576"), MATCH(X$1, SepR!$6:$6, 0), FALSE),
            0
        ) +
        IFERROR(
            VLOOKUP($A31, INDIRECT("OctR!$A$6:$ZZ$1048576"), MATCH(X$1, OctR!$6:$6, 0), FALSE),
            0
        ) +
        IFERROR(
            VLOOKUP($A31, INDIRECT("NovR!$A$6:$ZZ$1048576"), MATCH(X$1, NovR!$6:$6, 0), FALSE),
            0
        ) +
        IFERROR(
            VLOOKUP($A31, INDIRECT("DicR!$A$6:$ZZ$1048576"), MATCH(X$1, DicR!$6:$6, 0), FALSE),
            0
        )
)</f>
        <v>0</v>
      </c>
      <c r="Y31" s="37">
        <f t="array" ref="Y31">SUM(
    IFERROR(
            VLOOKUP($A31, INDIRECT("EneR!$A$6:$ZZ$1048576"), MATCH(Y$1, EneR!$6:$6, 0), FALSE),
            0
        ) +
        IFERROR(
            VLOOKUP($A31, INDIRECT("FebR!$A$6:$ZZ$1048576"), MATCH(Y$1, FebR!$6:$6, 0), FALSE),
            0
        ) +
        IFERROR(
            VLOOKUP($A31, INDIRECT("MarR!$A$6:$ZZ$1048576"), MATCH(Y$1, MarR!$6:$6, 0), FALSE),
            0
        ) +
        IFERROR(
            VLOOKUP($A31, INDIRECT("AbrR!$A$6:$ZZ$1048576"), MATCH(Y$1, AbrR!$6:$6, 0), FALSE),
            0
        ) +
        IFERROR(
            VLOOKUP($A31, INDIRECT("MayR!$A$6:$ZZ$1048576"), MATCH(Y$1, MayR!$6:$6, 0), FALSE),
            0
        ) +
        IFERROR(
            VLOOKUP($A31, INDIRECT("JunR!$A$6:$ZZ$1048576"), MATCH(Y$1, JunR!$6:$6, 0), FALSE),
            0
        ) +
        IFERROR(
            VLOOKUP($A31, INDIRECT("JulR!$A$6:$ZZ$1048576"), MATCH(Y$1, JulR!$6:$6, 0), FALSE),
            0
        ) +
        IFERROR(
            VLOOKUP($A31, INDIRECT("AgoR!$A$6:$ZZ$1048576"), MATCH(Y$1, AgoR!$6:$6, 0), FALSE),
            0
        ) +
        IFERROR(
            VLOOKUP($A31, INDIRECT("SepR!$A$6:$ZZ$1048576"), MATCH(Y$1, SepR!$6:$6, 0), FALSE),
            0
        ) +
        IFERROR(
            VLOOKUP($A31, INDIRECT("OctR!$A$6:$ZZ$1048576"), MATCH(Y$1, OctR!$6:$6, 0), FALSE),
            0
        ) +
        IFERROR(
            VLOOKUP($A31, INDIRECT("NovR!$A$6:$ZZ$1048576"), MATCH(Y$1, NovR!$6:$6, 0), FALSE),
            0
        ) +
        IFERROR(
            VLOOKUP($A31, INDIRECT("DicR!$A$6:$ZZ$1048576"), MATCH(Y$1, DicR!$6:$6, 0), FALSE),
            0
        )
)</f>
        <v>0</v>
      </c>
      <c r="Z31" s="36">
        <f t="array" ref="Z31">SUM(
    IFERROR(
            VLOOKUP($A31, INDIRECT("EneR!$A$6:$ZZ$1048576"), MATCH(Z$1, EneR!$6:$6, 0), FALSE),
            0
        ) +
        IFERROR(
            VLOOKUP($A31, INDIRECT("FebR!$A$6:$ZZ$1048576"), MATCH(Z$1, FebR!$6:$6, 0), FALSE),
            0
        ) +
        IFERROR(
            VLOOKUP($A31, INDIRECT("MarR!$A$6:$ZZ$1048576"), MATCH(Z$1, MarR!$6:$6, 0), FALSE),
            0
        ) +
        IFERROR(
            VLOOKUP($A31, INDIRECT("AbrR!$A$6:$ZZ$1048576"), MATCH(Z$1, AbrR!$6:$6, 0), FALSE),
            0
        ) +
        IFERROR(
            VLOOKUP($A31, INDIRECT("MayR!$A$6:$ZZ$1048576"), MATCH(Z$1, MayR!$6:$6, 0), FALSE),
            0
        ) +
        IFERROR(
            VLOOKUP($A31, INDIRECT("JunR!$A$6:$ZZ$1048576"), MATCH(Z$1, JunR!$6:$6, 0), FALSE),
            0
        ) +
        IFERROR(
            VLOOKUP($A31, INDIRECT("JulR!$A$6:$ZZ$1048576"), MATCH(Z$1, JulR!$6:$6, 0), FALSE),
            0
        ) +
        IFERROR(
            VLOOKUP($A31, INDIRECT("AgoR!$A$6:$ZZ$1048576"), MATCH(Z$1, AgoR!$6:$6, 0), FALSE),
            0
        ) +
        IFERROR(
            VLOOKUP($A31, INDIRECT("SepR!$A$6:$ZZ$1048576"), MATCH(Z$1, SepR!$6:$6, 0), FALSE),
            0
        ) +
        IFERROR(
            VLOOKUP($A31, INDIRECT("OctR!$A$6:$ZZ$1048576"), MATCH(Z$1, OctR!$6:$6, 0), FALSE),
            0
        ) +
        IFERROR(
            VLOOKUP($A31, INDIRECT("NovR!$A$6:$ZZ$1048576"), MATCH(Z$1, NovR!$6:$6, 0), FALSE),
            0
        ) +
        IFERROR(
            VLOOKUP($A31, INDIRECT("DicR!$A$6:$ZZ$1048576"), MATCH(Z$1, DicR!$6:$6, 0), FALSE),
            0
        )
)</f>
        <v>0</v>
      </c>
      <c r="AA31" s="37">
        <f t="array" ref="AA31">SUM(
    IFERROR(
            VLOOKUP($A31, INDIRECT("EneR!$A$6:$ZZ$1048576"), MATCH(AA$1, EneR!$6:$6, 0), FALSE),
            0
        ) +
        IFERROR(
            VLOOKUP($A31, INDIRECT("FebR!$A$6:$ZZ$1048576"), MATCH(AA$1, FebR!$6:$6, 0), FALSE),
            0
        ) +
        IFERROR(
            VLOOKUP($A31, INDIRECT("MarR!$A$6:$ZZ$1048576"), MATCH(AA$1, MarR!$6:$6, 0), FALSE),
            0
        ) +
        IFERROR(
            VLOOKUP($A31, INDIRECT("AbrR!$A$6:$ZZ$1048576"), MATCH(AA$1, AbrR!$6:$6, 0), FALSE),
            0
        ) +
        IFERROR(
            VLOOKUP($A31, INDIRECT("MayR!$A$6:$ZZ$1048576"), MATCH(AA$1, MayR!$6:$6, 0), FALSE),
            0
        ) +
        IFERROR(
            VLOOKUP($A31, INDIRECT("JunR!$A$6:$ZZ$1048576"), MATCH(AA$1, JunR!$6:$6, 0), FALSE),
            0
        ) +
        IFERROR(
            VLOOKUP($A31, INDIRECT("JulR!$A$6:$ZZ$1048576"), MATCH(AA$1, JulR!$6:$6, 0), FALSE),
            0
        ) +
        IFERROR(
            VLOOKUP($A31, INDIRECT("AgoR!$A$6:$ZZ$1048576"), MATCH(AA$1, AgoR!$6:$6, 0), FALSE),
            0
        ) +
        IFERROR(
            VLOOKUP($A31, INDIRECT("SepR!$A$6:$ZZ$1048576"), MATCH(AA$1, SepR!$6:$6, 0), FALSE),
            0
        ) +
        IFERROR(
            VLOOKUP($A31, INDIRECT("OctR!$A$6:$ZZ$1048576"), MATCH(AA$1, OctR!$6:$6, 0), FALSE),
            0
        ) +
        IFERROR(
            VLOOKUP($A31, INDIRECT("NovR!$A$6:$ZZ$1048576"), MATCH(AA$1, NovR!$6:$6, 0), FALSE),
            0
        ) +
        IFERROR(
            VLOOKUP($A31, INDIRECT("DicR!$A$6:$ZZ$1048576"), MATCH(AA$1, DicR!$6:$6, 0), FALSE),
            0
        )
)</f>
        <v>0</v>
      </c>
      <c r="AB31" s="36">
        <f t="array" ref="AB31">SUM(
    IFERROR(
            VLOOKUP($A31, INDIRECT("EneR!$A$6:$ZZ$1048576"), MATCH(AB$1, EneR!$6:$6, 0), FALSE),
            0
        ) +
        IFERROR(
            VLOOKUP($A31, INDIRECT("FebR!$A$6:$ZZ$1048576"), MATCH(AB$1, FebR!$6:$6, 0), FALSE),
            0
        ) +
        IFERROR(
            VLOOKUP($A31, INDIRECT("MarR!$A$6:$ZZ$1048576"), MATCH(AB$1, MarR!$6:$6, 0), FALSE),
            0
        ) +
        IFERROR(
            VLOOKUP($A31, INDIRECT("AbrR!$A$6:$ZZ$1048576"), MATCH(AB$1, AbrR!$6:$6, 0), FALSE),
            0
        ) +
        IFERROR(
            VLOOKUP($A31, INDIRECT("MayR!$A$6:$ZZ$1048576"), MATCH(AB$1, MayR!$6:$6, 0), FALSE),
            0
        ) +
        IFERROR(
            VLOOKUP($A31, INDIRECT("JunR!$A$6:$ZZ$1048576"), MATCH(AB$1, JunR!$6:$6, 0), FALSE),
            0
        ) +
        IFERROR(
            VLOOKUP($A31, INDIRECT("JulR!$A$6:$ZZ$1048576"), MATCH(AB$1, JulR!$6:$6, 0), FALSE),
            0
        ) +
        IFERROR(
            VLOOKUP($A31, INDIRECT("AgoR!$A$6:$ZZ$1048576"), MATCH(AB$1, AgoR!$6:$6, 0), FALSE),
            0
        ) +
        IFERROR(
            VLOOKUP($A31, INDIRECT("SepR!$A$6:$ZZ$1048576"), MATCH(AB$1, SepR!$6:$6, 0), FALSE),
            0
        ) +
        IFERROR(
            VLOOKUP($A31, INDIRECT("OctR!$A$6:$ZZ$1048576"), MATCH(AB$1, OctR!$6:$6, 0), FALSE),
            0
        ) +
        IFERROR(
            VLOOKUP($A31, INDIRECT("NovR!$A$6:$ZZ$1048576"), MATCH(AB$1, NovR!$6:$6, 0), FALSE),
            0
        ) +
        IFERROR(
            VLOOKUP($A31, INDIRECT("DicR!$A$6:$ZZ$1048576"), MATCH(AB$1, DicR!$6:$6, 0), FALSE),
            0
        )
)</f>
        <v>0</v>
      </c>
      <c r="AC31" s="37">
        <f t="array" ref="AC31">SUM(
    IFERROR(
            VLOOKUP($A31, INDIRECT("EneR!$A$6:$ZZ$1048576"), MATCH(AC$1, EneR!$6:$6, 0), FALSE),
            0
        ) +
        IFERROR(
            VLOOKUP($A31, INDIRECT("FebR!$A$6:$ZZ$1048576"), MATCH(AC$1, FebR!$6:$6, 0), FALSE),
            0
        ) +
        IFERROR(
            VLOOKUP($A31, INDIRECT("MarR!$A$6:$ZZ$1048576"), MATCH(AC$1, MarR!$6:$6, 0), FALSE),
            0
        ) +
        IFERROR(
            VLOOKUP($A31, INDIRECT("AbrR!$A$6:$ZZ$1048576"), MATCH(AC$1, AbrR!$6:$6, 0), FALSE),
            0
        ) +
        IFERROR(
            VLOOKUP($A31, INDIRECT("MayR!$A$6:$ZZ$1048576"), MATCH(AC$1, MayR!$6:$6, 0), FALSE),
            0
        ) +
        IFERROR(
            VLOOKUP($A31, INDIRECT("JunR!$A$6:$ZZ$1048576"), MATCH(AC$1, JunR!$6:$6, 0), FALSE),
            0
        ) +
        IFERROR(
            VLOOKUP($A31, INDIRECT("JulR!$A$6:$ZZ$1048576"), MATCH(AC$1, JulR!$6:$6, 0), FALSE),
            0
        ) +
        IFERROR(
            VLOOKUP($A31, INDIRECT("AgoR!$A$6:$ZZ$1048576"), MATCH(AC$1, AgoR!$6:$6, 0), FALSE),
            0
        ) +
        IFERROR(
            VLOOKUP($A31, INDIRECT("SepR!$A$6:$ZZ$1048576"), MATCH(AC$1, SepR!$6:$6, 0), FALSE),
            0
        ) +
        IFERROR(
            VLOOKUP($A31, INDIRECT("OctR!$A$6:$ZZ$1048576"), MATCH(AC$1, OctR!$6:$6, 0), FALSE),
            0
        ) +
        IFERROR(
            VLOOKUP($A31, INDIRECT("NovR!$A$6:$ZZ$1048576"), MATCH(AC$1, NovR!$6:$6, 0), FALSE),
            0
        ) +
        IFERROR(
            VLOOKUP($A31, INDIRECT("DicR!$A$6:$ZZ$1048576"), MATCH(AC$1, DicR!$6:$6, 0), FALSE),
            0
        )
)</f>
        <v>0</v>
      </c>
      <c r="AD31" s="36">
        <f t="array" ref="AD31">SUM(
    IFERROR(
            VLOOKUP($A31, INDIRECT("EneR!$A$6:$ZZ$1048576"), MATCH(AD$1, EneR!$6:$6, 0), FALSE),
            0
        ) +
        IFERROR(
            VLOOKUP($A31, INDIRECT("FebR!$A$6:$ZZ$1048576"), MATCH(AD$1, FebR!$6:$6, 0), FALSE),
            0
        ) +
        IFERROR(
            VLOOKUP($A31, INDIRECT("MarR!$A$6:$ZZ$1048576"), MATCH(AD$1, MarR!$6:$6, 0), FALSE),
            0
        ) +
        IFERROR(
            VLOOKUP($A31, INDIRECT("AbrR!$A$6:$ZZ$1048576"), MATCH(AD$1, AbrR!$6:$6, 0), FALSE),
            0
        ) +
        IFERROR(
            VLOOKUP($A31, INDIRECT("MayR!$A$6:$ZZ$1048576"), MATCH(AD$1, MayR!$6:$6, 0), FALSE),
            0
        ) +
        IFERROR(
            VLOOKUP($A31, INDIRECT("JunR!$A$6:$ZZ$1048576"), MATCH(AD$1, JunR!$6:$6, 0), FALSE),
            0
        ) +
        IFERROR(
            VLOOKUP($A31, INDIRECT("JulR!$A$6:$ZZ$1048576"), MATCH(AD$1, JulR!$6:$6, 0), FALSE),
            0
        ) +
        IFERROR(
            VLOOKUP($A31, INDIRECT("AgoR!$A$6:$ZZ$1048576"), MATCH(AD$1, AgoR!$6:$6, 0), FALSE),
            0
        ) +
        IFERROR(
            VLOOKUP($A31, INDIRECT("SepR!$A$6:$ZZ$1048576"), MATCH(AD$1, SepR!$6:$6, 0), FALSE),
            0
        ) +
        IFERROR(
            VLOOKUP($A31, INDIRECT("OctR!$A$6:$ZZ$1048576"), MATCH(AD$1, OctR!$6:$6, 0), FALSE),
            0
        ) +
        IFERROR(
            VLOOKUP($A31, INDIRECT("NovR!$A$6:$ZZ$1048576"), MATCH(AD$1, NovR!$6:$6, 0), FALSE),
            0
        ) +
        IFERROR(
            VLOOKUP($A31, INDIRECT("DicR!$A$6:$ZZ$1048576"), MATCH(AD$1, DicR!$6:$6, 0), FALSE),
            0
        )
)</f>
        <v>0</v>
      </c>
      <c r="AE31" s="37">
        <f t="array" ref="AE31">SUM(
    IFERROR(
            VLOOKUP($A31, INDIRECT("EneR!$A$6:$ZZ$1048576"), MATCH(AE$1, EneR!$6:$6, 0), FALSE),
            0
        ) +
        IFERROR(
            VLOOKUP($A31, INDIRECT("FebR!$A$6:$ZZ$1048576"), MATCH(AE$1, FebR!$6:$6, 0), FALSE),
            0
        ) +
        IFERROR(
            VLOOKUP($A31, INDIRECT("MarR!$A$6:$ZZ$1048576"), MATCH(AE$1, MarR!$6:$6, 0), FALSE),
            0
        ) +
        IFERROR(
            VLOOKUP($A31, INDIRECT("AbrR!$A$6:$ZZ$1048576"), MATCH(AE$1, AbrR!$6:$6, 0), FALSE),
            0
        ) +
        IFERROR(
            VLOOKUP($A31, INDIRECT("MayR!$A$6:$ZZ$1048576"), MATCH(AE$1, MayR!$6:$6, 0), FALSE),
            0
        ) +
        IFERROR(
            VLOOKUP($A31, INDIRECT("JunR!$A$6:$ZZ$1048576"), MATCH(AE$1, JunR!$6:$6, 0), FALSE),
            0
        ) +
        IFERROR(
            VLOOKUP($A31, INDIRECT("JulR!$A$6:$ZZ$1048576"), MATCH(AE$1, JulR!$6:$6, 0), FALSE),
            0
        ) +
        IFERROR(
            VLOOKUP($A31, INDIRECT("AgoR!$A$6:$ZZ$1048576"), MATCH(AE$1, AgoR!$6:$6, 0), FALSE),
            0
        ) +
        IFERROR(
            VLOOKUP($A31, INDIRECT("SepR!$A$6:$ZZ$1048576"), MATCH(AE$1, SepR!$6:$6, 0), FALSE),
            0
        ) +
        IFERROR(
            VLOOKUP($A31, INDIRECT("OctR!$A$6:$ZZ$1048576"), MATCH(AE$1, OctR!$6:$6, 0), FALSE),
            0
        ) +
        IFERROR(
            VLOOKUP($A31, INDIRECT("NovR!$A$6:$ZZ$1048576"), MATCH(AE$1, NovR!$6:$6, 0), FALSE),
            0
        ) +
        IFERROR(
            VLOOKUP($A31, INDIRECT("DicR!$A$6:$ZZ$1048576"), MATCH(AE$1, DicR!$6:$6, 0), FALSE),
            0
        )
)</f>
        <v>0</v>
      </c>
      <c r="AF31" s="36">
        <f t="array" ref="AF31">SUM(
    IFERROR(
            VLOOKUP($A31, INDIRECT("EneR!$A$6:$ZZ$1048576"), MATCH(AF$1, EneR!$6:$6, 0), FALSE),
            0
        ) +
        IFERROR(
            VLOOKUP($A31, INDIRECT("FebR!$A$6:$ZZ$1048576"), MATCH(AF$1, FebR!$6:$6, 0), FALSE),
            0
        ) +
        IFERROR(
            VLOOKUP($A31, INDIRECT("MarR!$A$6:$ZZ$1048576"), MATCH(AF$1, MarR!$6:$6, 0), FALSE),
            0
        ) +
        IFERROR(
            VLOOKUP($A31, INDIRECT("AbrR!$A$6:$ZZ$1048576"), MATCH(AF$1, AbrR!$6:$6, 0), FALSE),
            0
        ) +
        IFERROR(
            VLOOKUP($A31, INDIRECT("MayR!$A$6:$ZZ$1048576"), MATCH(AF$1, MayR!$6:$6, 0), FALSE),
            0
        ) +
        IFERROR(
            VLOOKUP($A31, INDIRECT("JunR!$A$6:$ZZ$1048576"), MATCH(AF$1, JunR!$6:$6, 0), FALSE),
            0
        ) +
        IFERROR(
            VLOOKUP($A31, INDIRECT("JulR!$A$6:$ZZ$1048576"), MATCH(AF$1, JulR!$6:$6, 0), FALSE),
            0
        ) +
        IFERROR(
            VLOOKUP($A31, INDIRECT("AgoR!$A$6:$ZZ$1048576"), MATCH(AF$1, AgoR!$6:$6, 0), FALSE),
            0
        ) +
        IFERROR(
            VLOOKUP($A31, INDIRECT("SepR!$A$6:$ZZ$1048576"), MATCH(AF$1, SepR!$6:$6, 0), FALSE),
            0
        ) +
        IFERROR(
            VLOOKUP($A31, INDIRECT("OctR!$A$6:$ZZ$1048576"), MATCH(AF$1, OctR!$6:$6, 0), FALSE),
            0
        ) +
        IFERROR(
            VLOOKUP($A31, INDIRECT("NovR!$A$6:$ZZ$1048576"), MATCH(AF$1, NovR!$6:$6, 0), FALSE),
            0
        ) +
        IFERROR(
            VLOOKUP($A31, INDIRECT("DicR!$A$6:$ZZ$1048576"), MATCH(AF$1, DicR!$6:$6, 0), FALSE),
            0
        )
)</f>
        <v>0</v>
      </c>
      <c r="AG31" s="37">
        <f t="array" ref="AG31">SUM(
    IFERROR(
            VLOOKUP($A31, INDIRECT("EneR!$A$6:$ZZ$1048576"), MATCH(AG$1, EneR!$6:$6, 0), FALSE),
            0
        ) +
        IFERROR(
            VLOOKUP($A31, INDIRECT("FebR!$A$6:$ZZ$1048576"), MATCH(AG$1, FebR!$6:$6, 0), FALSE),
            0
        ) +
        IFERROR(
            VLOOKUP($A31, INDIRECT("MarR!$A$6:$ZZ$1048576"), MATCH(AG$1, MarR!$6:$6, 0), FALSE),
            0
        ) +
        IFERROR(
            VLOOKUP($A31, INDIRECT("AbrR!$A$6:$ZZ$1048576"), MATCH(AG$1, AbrR!$6:$6, 0), FALSE),
            0
        ) +
        IFERROR(
            VLOOKUP($A31, INDIRECT("MayR!$A$6:$ZZ$1048576"), MATCH(AG$1, MayR!$6:$6, 0), FALSE),
            0
        ) +
        IFERROR(
            VLOOKUP($A31, INDIRECT("JunR!$A$6:$ZZ$1048576"), MATCH(AG$1, JunR!$6:$6, 0), FALSE),
            0
        ) +
        IFERROR(
            VLOOKUP($A31, INDIRECT("JulR!$A$6:$ZZ$1048576"), MATCH(AG$1, JulR!$6:$6, 0), FALSE),
            0
        ) +
        IFERROR(
            VLOOKUP($A31, INDIRECT("AgoR!$A$6:$ZZ$1048576"), MATCH(AG$1, AgoR!$6:$6, 0), FALSE),
            0
        ) +
        IFERROR(
            VLOOKUP($A31, INDIRECT("SepR!$A$6:$ZZ$1048576"), MATCH(AG$1, SepR!$6:$6, 0), FALSE),
            0
        ) +
        IFERROR(
            VLOOKUP($A31, INDIRECT("OctR!$A$6:$ZZ$1048576"), MATCH(AG$1, OctR!$6:$6, 0), FALSE),
            0
        ) +
        IFERROR(
            VLOOKUP($A31, INDIRECT("NovR!$A$6:$ZZ$1048576"), MATCH(AG$1, NovR!$6:$6, 0), FALSE),
            0
        ) +
        IFERROR(
            VLOOKUP($A31, INDIRECT("DicR!$A$6:$ZZ$1048576"), MATCH(AG$1, DicR!$6:$6, 0), FALSE),
            0
        )
)</f>
        <v>0</v>
      </c>
      <c r="AH31" s="36">
        <f t="array" ref="AH31">SUM(
    IFERROR(
            VLOOKUP($A31, INDIRECT("EneR!$A$6:$ZZ$1048576"), MATCH(AH$1, EneR!$6:$6, 0), FALSE),
            0
        ) +
        IFERROR(
            VLOOKUP($A31, INDIRECT("FebR!$A$6:$ZZ$1048576"), MATCH(AH$1, FebR!$6:$6, 0), FALSE),
            0
        ) +
        IFERROR(
            VLOOKUP($A31, INDIRECT("MarR!$A$6:$ZZ$1048576"), MATCH(AH$1, MarR!$6:$6, 0), FALSE),
            0
        ) +
        IFERROR(
            VLOOKUP($A31, INDIRECT("AbrR!$A$6:$ZZ$1048576"), MATCH(AH$1, AbrR!$6:$6, 0), FALSE),
            0
        ) +
        IFERROR(
            VLOOKUP($A31, INDIRECT("MayR!$A$6:$ZZ$1048576"), MATCH(AH$1, MayR!$6:$6, 0), FALSE),
            0
        ) +
        IFERROR(
            VLOOKUP($A31, INDIRECT("JunR!$A$6:$ZZ$1048576"), MATCH(AH$1, JunR!$6:$6, 0), FALSE),
            0
        ) +
        IFERROR(
            VLOOKUP($A31, INDIRECT("JulR!$A$6:$ZZ$1048576"), MATCH(AH$1, JulR!$6:$6, 0), FALSE),
            0
        ) +
        IFERROR(
            VLOOKUP($A31, INDIRECT("AgoR!$A$6:$ZZ$1048576"), MATCH(AH$1, AgoR!$6:$6, 0), FALSE),
            0
        ) +
        IFERROR(
            VLOOKUP($A31, INDIRECT("SepR!$A$6:$ZZ$1048576"), MATCH(AH$1, SepR!$6:$6, 0), FALSE),
            0
        ) +
        IFERROR(
            VLOOKUP($A31, INDIRECT("OctR!$A$6:$ZZ$1048576"), MATCH(AH$1, OctR!$6:$6, 0), FALSE),
            0
        ) +
        IFERROR(
            VLOOKUP($A31, INDIRECT("NovR!$A$6:$ZZ$1048576"), MATCH(AH$1, NovR!$6:$6, 0), FALSE),
            0
        ) +
        IFERROR(
            VLOOKUP($A31, INDIRECT("DicR!$A$6:$ZZ$1048576"), MATCH(AH$1, DicR!$6:$6, 0), FALSE),
            0
        )
)</f>
        <v>0</v>
      </c>
      <c r="AI31" s="37">
        <f t="array" ref="AI31">SUM(
    IFERROR(
            VLOOKUP($A31, INDIRECT("EneR!$A$6:$ZZ$1048576"), MATCH(AI$1, EneR!$6:$6, 0), FALSE),
            0
        ) +
        IFERROR(
            VLOOKUP($A31, INDIRECT("FebR!$A$6:$ZZ$1048576"), MATCH(AI$1, FebR!$6:$6, 0), FALSE),
            0
        ) +
        IFERROR(
            VLOOKUP($A31, INDIRECT("MarR!$A$6:$ZZ$1048576"), MATCH(AI$1, MarR!$6:$6, 0), FALSE),
            0
        ) +
        IFERROR(
            VLOOKUP($A31, INDIRECT("AbrR!$A$6:$ZZ$1048576"), MATCH(AI$1, AbrR!$6:$6, 0), FALSE),
            0
        ) +
        IFERROR(
            VLOOKUP($A31, INDIRECT("MayR!$A$6:$ZZ$1048576"), MATCH(AI$1, MayR!$6:$6, 0), FALSE),
            0
        ) +
        IFERROR(
            VLOOKUP($A31, INDIRECT("JunR!$A$6:$ZZ$1048576"), MATCH(AI$1, JunR!$6:$6, 0), FALSE),
            0
        ) +
        IFERROR(
            VLOOKUP($A31, INDIRECT("JulR!$A$6:$ZZ$1048576"), MATCH(AI$1, JulR!$6:$6, 0), FALSE),
            0
        ) +
        IFERROR(
            VLOOKUP($A31, INDIRECT("AgoR!$A$6:$ZZ$1048576"), MATCH(AI$1, AgoR!$6:$6, 0), FALSE),
            0
        ) +
        IFERROR(
            VLOOKUP($A31, INDIRECT("SepR!$A$6:$ZZ$1048576"), MATCH(AI$1, SepR!$6:$6, 0), FALSE),
            0
        ) +
        IFERROR(
            VLOOKUP($A31, INDIRECT("OctR!$A$6:$ZZ$1048576"), MATCH(AI$1, OctR!$6:$6, 0), FALSE),
            0
        ) +
        IFERROR(
            VLOOKUP($A31, INDIRECT("NovR!$A$6:$ZZ$1048576"), MATCH(AI$1, NovR!$6:$6, 0), FALSE),
            0
        ) +
        IFERROR(
            VLOOKUP($A31, INDIRECT("DicR!$A$6:$ZZ$1048576"), MATCH(AI$1, DicR!$6:$6, 0), FALSE),
            0
        )
)</f>
        <v>0</v>
      </c>
      <c r="AJ31" s="36">
        <f t="array" ref="AJ31">SUM(
    IFERROR(
            VLOOKUP($A31, INDIRECT("EneR!$A$6:$ZZ$1048576"), MATCH(AJ$1, EneR!$6:$6, 0), FALSE),
            0
        ) +
        IFERROR(
            VLOOKUP($A31, INDIRECT("FebR!$A$6:$ZZ$1048576"), MATCH(AJ$1, FebR!$6:$6, 0), FALSE),
            0
        ) +
        IFERROR(
            VLOOKUP($A31, INDIRECT("MarR!$A$6:$ZZ$1048576"), MATCH(AJ$1, MarR!$6:$6, 0), FALSE),
            0
        ) +
        IFERROR(
            VLOOKUP($A31, INDIRECT("AbrR!$A$6:$ZZ$1048576"), MATCH(AJ$1, AbrR!$6:$6, 0), FALSE),
            0
        ) +
        IFERROR(
            VLOOKUP($A31, INDIRECT("MayR!$A$6:$ZZ$1048576"), MATCH(AJ$1, MayR!$6:$6, 0), FALSE),
            0
        ) +
        IFERROR(
            VLOOKUP($A31, INDIRECT("JunR!$A$6:$ZZ$1048576"), MATCH(AJ$1, JunR!$6:$6, 0), FALSE),
            0
        ) +
        IFERROR(
            VLOOKUP($A31, INDIRECT("JulR!$A$6:$ZZ$1048576"), MATCH(AJ$1, JulR!$6:$6, 0), FALSE),
            0
        ) +
        IFERROR(
            VLOOKUP($A31, INDIRECT("AgoR!$A$6:$ZZ$1048576"), MATCH(AJ$1, AgoR!$6:$6, 0), FALSE),
            0
        ) +
        IFERROR(
            VLOOKUP($A31, INDIRECT("SepR!$A$6:$ZZ$1048576"), MATCH(AJ$1, SepR!$6:$6, 0), FALSE),
            0
        ) +
        IFERROR(
            VLOOKUP($A31, INDIRECT("OctR!$A$6:$ZZ$1048576"), MATCH(AJ$1, OctR!$6:$6, 0), FALSE),
            0
        ) +
        IFERROR(
            VLOOKUP($A31, INDIRECT("NovR!$A$6:$ZZ$1048576"), MATCH(AJ$1, NovR!$6:$6, 0), FALSE),
            0
        ) +
        IFERROR(
            VLOOKUP($A31, INDIRECT("DicR!$A$6:$ZZ$1048576"), MATCH(AJ$1, DicR!$6:$6, 0), FALSE),
            0
        )
)</f>
        <v>0</v>
      </c>
      <c r="AK31" s="37">
        <f t="array" ref="AK31">SUM(
    IFERROR(
            VLOOKUP($A31, INDIRECT("EneR!$A$6:$ZZ$1048576"), MATCH(AK$1, EneR!$6:$6, 0), FALSE),
            0
        ) +
        IFERROR(
            VLOOKUP($A31, INDIRECT("FebR!$A$6:$ZZ$1048576"), MATCH(AK$1, FebR!$6:$6, 0), FALSE),
            0
        ) +
        IFERROR(
            VLOOKUP($A31, INDIRECT("MarR!$A$6:$ZZ$1048576"), MATCH(AK$1, MarR!$6:$6, 0), FALSE),
            0
        ) +
        IFERROR(
            VLOOKUP($A31, INDIRECT("AbrR!$A$6:$ZZ$1048576"), MATCH(AK$1, AbrR!$6:$6, 0), FALSE),
            0
        ) +
        IFERROR(
            VLOOKUP($A31, INDIRECT("MayR!$A$6:$ZZ$1048576"), MATCH(AK$1, MayR!$6:$6, 0), FALSE),
            0
        ) +
        IFERROR(
            VLOOKUP($A31, INDIRECT("JunR!$A$6:$ZZ$1048576"), MATCH(AK$1, JunR!$6:$6, 0), FALSE),
            0
        ) +
        IFERROR(
            VLOOKUP($A31, INDIRECT("JulR!$A$6:$ZZ$1048576"), MATCH(AK$1, JulR!$6:$6, 0), FALSE),
            0
        ) +
        IFERROR(
            VLOOKUP($A31, INDIRECT("AgoR!$A$6:$ZZ$1048576"), MATCH(AK$1, AgoR!$6:$6, 0), FALSE),
            0
        ) +
        IFERROR(
            VLOOKUP($A31, INDIRECT("SepR!$A$6:$ZZ$1048576"), MATCH(AK$1, SepR!$6:$6, 0), FALSE),
            0
        ) +
        IFERROR(
            VLOOKUP($A31, INDIRECT("OctR!$A$6:$ZZ$1048576"), MATCH(AK$1, OctR!$6:$6, 0), FALSE),
            0
        ) +
        IFERROR(
            VLOOKUP($A31, INDIRECT("NovR!$A$6:$ZZ$1048576"), MATCH(AK$1, NovR!$6:$6, 0), FALSE),
            0
        ) +
        IFERROR(
            VLOOKUP($A31, INDIRECT("DicR!$A$6:$ZZ$1048576"), MATCH(AK$1, DicR!$6:$6, 0), FALSE),
            0
        )
)</f>
        <v>0</v>
      </c>
      <c r="AL31" s="36">
        <f t="array" ref="AL31">SUM(
    IFERROR(
            VLOOKUP($A31, INDIRECT("EneR!$A$6:$ZZ$1048576"), MATCH(AL$1, EneR!$6:$6, 0), FALSE),
            0
        ) +
        IFERROR(
            VLOOKUP($A31, INDIRECT("FebR!$A$6:$ZZ$1048576"), MATCH(AL$1, FebR!$6:$6, 0), FALSE),
            0
        ) +
        IFERROR(
            VLOOKUP($A31, INDIRECT("MarR!$A$6:$ZZ$1048576"), MATCH(AL$1, MarR!$6:$6, 0), FALSE),
            0
        ) +
        IFERROR(
            VLOOKUP($A31, INDIRECT("AbrR!$A$6:$ZZ$1048576"), MATCH(AL$1, AbrR!$6:$6, 0), FALSE),
            0
        ) +
        IFERROR(
            VLOOKUP($A31, INDIRECT("MayR!$A$6:$ZZ$1048576"), MATCH(AL$1, MayR!$6:$6, 0), FALSE),
            0
        ) +
        IFERROR(
            VLOOKUP($A31, INDIRECT("JunR!$A$6:$ZZ$1048576"), MATCH(AL$1, JunR!$6:$6, 0), FALSE),
            0
        ) +
        IFERROR(
            VLOOKUP($A31, INDIRECT("JulR!$A$6:$ZZ$1048576"), MATCH(AL$1, JulR!$6:$6, 0), FALSE),
            0
        ) +
        IFERROR(
            VLOOKUP($A31, INDIRECT("AgoR!$A$6:$ZZ$1048576"), MATCH(AL$1, AgoR!$6:$6, 0), FALSE),
            0
        ) +
        IFERROR(
            VLOOKUP($A31, INDIRECT("SepR!$A$6:$ZZ$1048576"), MATCH(AL$1, SepR!$6:$6, 0), FALSE),
            0
        ) +
        IFERROR(
            VLOOKUP($A31, INDIRECT("OctR!$A$6:$ZZ$1048576"), MATCH(AL$1, OctR!$6:$6, 0), FALSE),
            0
        ) +
        IFERROR(
            VLOOKUP($A31, INDIRECT("NovR!$A$6:$ZZ$1048576"), MATCH(AL$1, NovR!$6:$6, 0), FALSE),
            0
        ) +
        IFERROR(
            VLOOKUP($A31, INDIRECT("DicR!$A$6:$ZZ$1048576"), MATCH(AL$1, DicR!$6:$6, 0), FALSE),
            0
        )
)</f>
        <v>0</v>
      </c>
      <c r="AM31" s="37">
        <f t="array" ref="AM31">SUM(
    IFERROR(
            VLOOKUP($A31, INDIRECT("EneR!$A$6:$ZZ$1048576"), MATCH(AM$1, EneR!$6:$6, 0), FALSE),
            0
        ) +
        IFERROR(
            VLOOKUP($A31, INDIRECT("FebR!$A$6:$ZZ$1048576"), MATCH(AM$1, FebR!$6:$6, 0), FALSE),
            0
        ) +
        IFERROR(
            VLOOKUP($A31, INDIRECT("MarR!$A$6:$ZZ$1048576"), MATCH(AM$1, MarR!$6:$6, 0), FALSE),
            0
        ) +
        IFERROR(
            VLOOKUP($A31, INDIRECT("AbrR!$A$6:$ZZ$1048576"), MATCH(AM$1, AbrR!$6:$6, 0), FALSE),
            0
        ) +
        IFERROR(
            VLOOKUP($A31, INDIRECT("MayR!$A$6:$ZZ$1048576"), MATCH(AM$1, MayR!$6:$6, 0), FALSE),
            0
        ) +
        IFERROR(
            VLOOKUP($A31, INDIRECT("JunR!$A$6:$ZZ$1048576"), MATCH(AM$1, JunR!$6:$6, 0), FALSE),
            0
        ) +
        IFERROR(
            VLOOKUP($A31, INDIRECT("JulR!$A$6:$ZZ$1048576"), MATCH(AM$1, JulR!$6:$6, 0), FALSE),
            0
        ) +
        IFERROR(
            VLOOKUP($A31, INDIRECT("AgoR!$A$6:$ZZ$1048576"), MATCH(AM$1, AgoR!$6:$6, 0), FALSE),
            0
        ) +
        IFERROR(
            VLOOKUP($A31, INDIRECT("SepR!$A$6:$ZZ$1048576"), MATCH(AM$1, SepR!$6:$6, 0), FALSE),
            0
        ) +
        IFERROR(
            VLOOKUP($A31, INDIRECT("OctR!$A$6:$ZZ$1048576"), MATCH(AM$1, OctR!$6:$6, 0), FALSE),
            0
        ) +
        IFERROR(
            VLOOKUP($A31, INDIRECT("NovR!$A$6:$ZZ$1048576"), MATCH(AM$1, NovR!$6:$6, 0), FALSE),
            0
        ) +
        IFERROR(
            VLOOKUP($A31, INDIRECT("DicR!$A$6:$ZZ$1048576"), MATCH(AM$1, DicR!$6:$6, 0), FALSE),
            0
        )
)</f>
        <v>0</v>
      </c>
      <c r="AN31" s="36">
        <f t="array" ref="AN31">SUM(
    IFERROR(
            VLOOKUP($A31, INDIRECT("EneR!$A$6:$ZZ$1048576"), MATCH(AN$1, EneR!$6:$6, 0), FALSE),
            0
        ) +
        IFERROR(
            VLOOKUP($A31, INDIRECT("FebR!$A$6:$ZZ$1048576"), MATCH(AN$1, FebR!$6:$6, 0), FALSE),
            0
        ) +
        IFERROR(
            VLOOKUP($A31, INDIRECT("MarR!$A$6:$ZZ$1048576"), MATCH(AN$1, MarR!$6:$6, 0), FALSE),
            0
        ) +
        IFERROR(
            VLOOKUP($A31, INDIRECT("AbrR!$A$6:$ZZ$1048576"), MATCH(AN$1, AbrR!$6:$6, 0), FALSE),
            0
        ) +
        IFERROR(
            VLOOKUP($A31, INDIRECT("MayR!$A$6:$ZZ$1048576"), MATCH(AN$1, MayR!$6:$6, 0), FALSE),
            0
        ) +
        IFERROR(
            VLOOKUP($A31, INDIRECT("JunR!$A$6:$ZZ$1048576"), MATCH(AN$1, JunR!$6:$6, 0), FALSE),
            0
        ) +
        IFERROR(
            VLOOKUP($A31, INDIRECT("JulR!$A$6:$ZZ$1048576"), MATCH(AN$1, JulR!$6:$6, 0), FALSE),
            0
        ) +
        IFERROR(
            VLOOKUP($A31, INDIRECT("AgoR!$A$6:$ZZ$1048576"), MATCH(AN$1, AgoR!$6:$6, 0), FALSE),
            0
        ) +
        IFERROR(
            VLOOKUP($A31, INDIRECT("SepR!$A$6:$ZZ$1048576"), MATCH(AN$1, SepR!$6:$6, 0), FALSE),
            0
        ) +
        IFERROR(
            VLOOKUP($A31, INDIRECT("OctR!$A$6:$ZZ$1048576"), MATCH(AN$1, OctR!$6:$6, 0), FALSE),
            0
        ) +
        IFERROR(
            VLOOKUP($A31, INDIRECT("NovR!$A$6:$ZZ$1048576"), MATCH(AN$1, NovR!$6:$6, 0), FALSE),
            0
        ) +
        IFERROR(
            VLOOKUP($A31, INDIRECT("DicR!$A$6:$ZZ$1048576"), MATCH(AN$1, DicR!$6:$6, 0), FALSE),
            0
        )
)</f>
        <v>0</v>
      </c>
      <c r="AO31" s="37">
        <f t="array" ref="AO31">SUM(
    IFERROR(
            VLOOKUP($A31, INDIRECT("EneR!$A$6:$ZZ$1048576"), MATCH(AO$1, EneR!$6:$6, 0), FALSE),
            0
        ) +
        IFERROR(
            VLOOKUP($A31, INDIRECT("FebR!$A$6:$ZZ$1048576"), MATCH(AO$1, FebR!$6:$6, 0), FALSE),
            0
        ) +
        IFERROR(
            VLOOKUP($A31, INDIRECT("MarR!$A$6:$ZZ$1048576"), MATCH(AO$1, MarR!$6:$6, 0), FALSE),
            0
        ) +
        IFERROR(
            VLOOKUP($A31, INDIRECT("AbrR!$A$6:$ZZ$1048576"), MATCH(AO$1, AbrR!$6:$6, 0), FALSE),
            0
        ) +
        IFERROR(
            VLOOKUP($A31, INDIRECT("MayR!$A$6:$ZZ$1048576"), MATCH(AO$1, MayR!$6:$6, 0), FALSE),
            0
        ) +
        IFERROR(
            VLOOKUP($A31, INDIRECT("JunR!$A$6:$ZZ$1048576"), MATCH(AO$1, JunR!$6:$6, 0), FALSE),
            0
        ) +
        IFERROR(
            VLOOKUP($A31, INDIRECT("JulR!$A$6:$ZZ$1048576"), MATCH(AO$1, JulR!$6:$6, 0), FALSE),
            0
        ) +
        IFERROR(
            VLOOKUP($A31, INDIRECT("AgoR!$A$6:$ZZ$1048576"), MATCH(AO$1, AgoR!$6:$6, 0), FALSE),
            0
        ) +
        IFERROR(
            VLOOKUP($A31, INDIRECT("SepR!$A$6:$ZZ$1048576"), MATCH(AO$1, SepR!$6:$6, 0), FALSE),
            0
        ) +
        IFERROR(
            VLOOKUP($A31, INDIRECT("OctR!$A$6:$ZZ$1048576"), MATCH(AO$1, OctR!$6:$6, 0), FALSE),
            0
        ) +
        IFERROR(
            VLOOKUP($A31, INDIRECT("NovR!$A$6:$ZZ$1048576"), MATCH(AO$1, NovR!$6:$6, 0), FALSE),
            0
        ) +
        IFERROR(
            VLOOKUP($A31, INDIRECT("DicR!$A$6:$ZZ$1048576"), MATCH(AO$1, DicR!$6:$6, 0), FALSE),
            0
        )
)</f>
        <v>0</v>
      </c>
      <c r="AP31" s="36">
        <f t="array" ref="AP31">SUM(
    IFERROR(
            VLOOKUP($A31, INDIRECT("EneR!$A$6:$ZZ$1048576"), MATCH(AP$1, EneR!$6:$6, 0), FALSE),
            0
        ) +
        IFERROR(
            VLOOKUP($A31, INDIRECT("FebR!$A$6:$ZZ$1048576"), MATCH(AP$1, FebR!$6:$6, 0), FALSE),
            0
        ) +
        IFERROR(
            VLOOKUP($A31, INDIRECT("MarR!$A$6:$ZZ$1048576"), MATCH(AP$1, MarR!$6:$6, 0), FALSE),
            0
        ) +
        IFERROR(
            VLOOKUP($A31, INDIRECT("AbrR!$A$6:$ZZ$1048576"), MATCH(AP$1, AbrR!$6:$6, 0), FALSE),
            0
        ) +
        IFERROR(
            VLOOKUP($A31, INDIRECT("MayR!$A$6:$ZZ$1048576"), MATCH(AP$1, MayR!$6:$6, 0), FALSE),
            0
        ) +
        IFERROR(
            VLOOKUP($A31, INDIRECT("JunR!$A$6:$ZZ$1048576"), MATCH(AP$1, JunR!$6:$6, 0), FALSE),
            0
        ) +
        IFERROR(
            VLOOKUP($A31, INDIRECT("JulR!$A$6:$ZZ$1048576"), MATCH(AP$1, JulR!$6:$6, 0), FALSE),
            0
        ) +
        IFERROR(
            VLOOKUP($A31, INDIRECT("AgoR!$A$6:$ZZ$1048576"), MATCH(AP$1, AgoR!$6:$6, 0), FALSE),
            0
        ) +
        IFERROR(
            VLOOKUP($A31, INDIRECT("SepR!$A$6:$ZZ$1048576"), MATCH(AP$1, SepR!$6:$6, 0), FALSE),
            0
        ) +
        IFERROR(
            VLOOKUP($A31, INDIRECT("OctR!$A$6:$ZZ$1048576"), MATCH(AP$1, OctR!$6:$6, 0), FALSE),
            0
        ) +
        IFERROR(
            VLOOKUP($A31, INDIRECT("NovR!$A$6:$ZZ$1048576"), MATCH(AP$1, NovR!$6:$6, 0), FALSE),
            0
        ) +
        IFERROR(
            VLOOKUP($A31, INDIRECT("DicR!$A$6:$ZZ$1048576"), MATCH(AP$1, DicR!$6:$6, 0), FALSE),
            0
        )
)</f>
        <v>0</v>
      </c>
      <c r="AQ31" s="37">
        <f t="array" ref="AQ31">SUM(
    IFERROR(
            VLOOKUP($A31, INDIRECT("EneR!$A$6:$ZZ$1048576"), MATCH(AQ$1, EneR!$6:$6, 0), FALSE),
            0
        ) +
        IFERROR(
            VLOOKUP($A31, INDIRECT("FebR!$A$6:$ZZ$1048576"), MATCH(AQ$1, FebR!$6:$6, 0), FALSE),
            0
        ) +
        IFERROR(
            VLOOKUP($A31, INDIRECT("MarR!$A$6:$ZZ$1048576"), MATCH(AQ$1, MarR!$6:$6, 0), FALSE),
            0
        ) +
        IFERROR(
            VLOOKUP($A31, INDIRECT("AbrR!$A$6:$ZZ$1048576"), MATCH(AQ$1, AbrR!$6:$6, 0), FALSE),
            0
        ) +
        IFERROR(
            VLOOKUP($A31, INDIRECT("MayR!$A$6:$ZZ$1048576"), MATCH(AQ$1, MayR!$6:$6, 0), FALSE),
            0
        ) +
        IFERROR(
            VLOOKUP($A31, INDIRECT("JunR!$A$6:$ZZ$1048576"), MATCH(AQ$1, JunR!$6:$6, 0), FALSE),
            0
        ) +
        IFERROR(
            VLOOKUP($A31, INDIRECT("JulR!$A$6:$ZZ$1048576"), MATCH(AQ$1, JulR!$6:$6, 0), FALSE),
            0
        ) +
        IFERROR(
            VLOOKUP($A31, INDIRECT("AgoR!$A$6:$ZZ$1048576"), MATCH(AQ$1, AgoR!$6:$6, 0), FALSE),
            0
        ) +
        IFERROR(
            VLOOKUP($A31, INDIRECT("SepR!$A$6:$ZZ$1048576"), MATCH(AQ$1, SepR!$6:$6, 0), FALSE),
            0
        ) +
        IFERROR(
            VLOOKUP($A31, INDIRECT("OctR!$A$6:$ZZ$1048576"), MATCH(AQ$1, OctR!$6:$6, 0), FALSE),
            0
        ) +
        IFERROR(
            VLOOKUP($A31, INDIRECT("NovR!$A$6:$ZZ$1048576"), MATCH(AQ$1, NovR!$6:$6, 0), FALSE),
            0
        ) +
        IFERROR(
            VLOOKUP($A31, INDIRECT("DicR!$A$6:$ZZ$1048576"), MATCH(AQ$1, DicR!$6:$6, 0), FALSE),
            0
        )
)</f>
        <v>0</v>
      </c>
      <c r="AR31" s="36">
        <f t="array" ref="AR31">SUM(
    IFERROR(
            VLOOKUP($A31, INDIRECT("EneR!$A$6:$ZZ$1048576"), MATCH(AR$1, EneR!$6:$6, 0), FALSE),
            0
        ) +
        IFERROR(
            VLOOKUP($A31, INDIRECT("FebR!$A$6:$ZZ$1048576"), MATCH(AR$1, FebR!$6:$6, 0), FALSE),
            0
        ) +
        IFERROR(
            VLOOKUP($A31, INDIRECT("MarR!$A$6:$ZZ$1048576"), MATCH(AR$1, MarR!$6:$6, 0), FALSE),
            0
        ) +
        IFERROR(
            VLOOKUP($A31, INDIRECT("AbrR!$A$6:$ZZ$1048576"), MATCH(AR$1, AbrR!$6:$6, 0), FALSE),
            0
        ) +
        IFERROR(
            VLOOKUP($A31, INDIRECT("MayR!$A$6:$ZZ$1048576"), MATCH(AR$1, MayR!$6:$6, 0), FALSE),
            0
        ) +
        IFERROR(
            VLOOKUP($A31, INDIRECT("JunR!$A$6:$ZZ$1048576"), MATCH(AR$1, JunR!$6:$6, 0), FALSE),
            0
        ) +
        IFERROR(
            VLOOKUP($A31, INDIRECT("JulR!$A$6:$ZZ$1048576"), MATCH(AR$1, JulR!$6:$6, 0), FALSE),
            0
        ) +
        IFERROR(
            VLOOKUP($A31, INDIRECT("AgoR!$A$6:$ZZ$1048576"), MATCH(AR$1, AgoR!$6:$6, 0), FALSE),
            0
        ) +
        IFERROR(
            VLOOKUP($A31, INDIRECT("SepR!$A$6:$ZZ$1048576"), MATCH(AR$1, SepR!$6:$6, 0), FALSE),
            0
        ) +
        IFERROR(
            VLOOKUP($A31, INDIRECT("OctR!$A$6:$ZZ$1048576"), MATCH(AR$1, OctR!$6:$6, 0), FALSE),
            0
        ) +
        IFERROR(
            VLOOKUP($A31, INDIRECT("NovR!$A$6:$ZZ$1048576"), MATCH(AR$1, NovR!$6:$6, 0), FALSE),
            0
        ) +
        IFERROR(
            VLOOKUP($A31, INDIRECT("DicR!$A$6:$ZZ$1048576"), MATCH(AR$1, DicR!$6:$6, 0), FALSE),
            0
        )
)</f>
        <v>0</v>
      </c>
      <c r="AS31" s="37">
        <f t="array" ref="AS31">SUM(
    IFERROR(
            VLOOKUP($A31, INDIRECT("EneR!$A$6:$ZZ$1048576"), MATCH(AS$1, EneR!$6:$6, 0), FALSE),
            0
        ) +
        IFERROR(
            VLOOKUP($A31, INDIRECT("FebR!$A$6:$ZZ$1048576"), MATCH(AS$1, FebR!$6:$6, 0), FALSE),
            0
        ) +
        IFERROR(
            VLOOKUP($A31, INDIRECT("MarR!$A$6:$ZZ$1048576"), MATCH(AS$1, MarR!$6:$6, 0), FALSE),
            0
        ) +
        IFERROR(
            VLOOKUP($A31, INDIRECT("AbrR!$A$6:$ZZ$1048576"), MATCH(AS$1, AbrR!$6:$6, 0), FALSE),
            0
        ) +
        IFERROR(
            VLOOKUP($A31, INDIRECT("MayR!$A$6:$ZZ$1048576"), MATCH(AS$1, MayR!$6:$6, 0), FALSE),
            0
        ) +
        IFERROR(
            VLOOKUP($A31, INDIRECT("JunR!$A$6:$ZZ$1048576"), MATCH(AS$1, JunR!$6:$6, 0), FALSE),
            0
        ) +
        IFERROR(
            VLOOKUP($A31, INDIRECT("JulR!$A$6:$ZZ$1048576"), MATCH(AS$1, JulR!$6:$6, 0), FALSE),
            0
        ) +
        IFERROR(
            VLOOKUP($A31, INDIRECT("AgoR!$A$6:$ZZ$1048576"), MATCH(AS$1, AgoR!$6:$6, 0), FALSE),
            0
        ) +
        IFERROR(
            VLOOKUP($A31, INDIRECT("SepR!$A$6:$ZZ$1048576"), MATCH(AS$1, SepR!$6:$6, 0), FALSE),
            0
        ) +
        IFERROR(
            VLOOKUP($A31, INDIRECT("OctR!$A$6:$ZZ$1048576"), MATCH(AS$1, OctR!$6:$6, 0), FALSE),
            0
        ) +
        IFERROR(
            VLOOKUP($A31, INDIRECT("NovR!$A$6:$ZZ$1048576"), MATCH(AS$1, NovR!$6:$6, 0), FALSE),
            0
        ) +
        IFERROR(
            VLOOKUP($A31, INDIRECT("DicR!$A$6:$ZZ$1048576"), MATCH(AS$1, DicR!$6:$6, 0), FALSE),
            0
        )
)</f>
        <v>0</v>
      </c>
      <c r="AT31" s="36">
        <f t="array" ref="AT31">SUM(
    IFERROR(
            VLOOKUP($A31, INDIRECT("EneR!$A$6:$ZZ$1048576"), MATCH(AT$1, EneR!$6:$6, 0), FALSE),
            0
        ) +
        IFERROR(
            VLOOKUP($A31, INDIRECT("FebR!$A$6:$ZZ$1048576"), MATCH(AT$1, FebR!$6:$6, 0), FALSE),
            0
        ) +
        IFERROR(
            VLOOKUP($A31, INDIRECT("MarR!$A$6:$ZZ$1048576"), MATCH(AT$1, MarR!$6:$6, 0), FALSE),
            0
        ) +
        IFERROR(
            VLOOKUP($A31, INDIRECT("AbrR!$A$6:$ZZ$1048576"), MATCH(AT$1, AbrR!$6:$6, 0), FALSE),
            0
        ) +
        IFERROR(
            VLOOKUP($A31, INDIRECT("MayR!$A$6:$ZZ$1048576"), MATCH(AT$1, MayR!$6:$6, 0), FALSE),
            0
        ) +
        IFERROR(
            VLOOKUP($A31, INDIRECT("JunR!$A$6:$ZZ$1048576"), MATCH(AT$1, JunR!$6:$6, 0), FALSE),
            0
        ) +
        IFERROR(
            VLOOKUP($A31, INDIRECT("JulR!$A$6:$ZZ$1048576"), MATCH(AT$1, JulR!$6:$6, 0), FALSE),
            0
        ) +
        IFERROR(
            VLOOKUP($A31, INDIRECT("AgoR!$A$6:$ZZ$1048576"), MATCH(AT$1, AgoR!$6:$6, 0), FALSE),
            0
        ) +
        IFERROR(
            VLOOKUP($A31, INDIRECT("SepR!$A$6:$ZZ$1048576"), MATCH(AT$1, SepR!$6:$6, 0), FALSE),
            0
        ) +
        IFERROR(
            VLOOKUP($A31, INDIRECT("OctR!$A$6:$ZZ$1048576"), MATCH(AT$1, OctR!$6:$6, 0), FALSE),
            0
        ) +
        IFERROR(
            VLOOKUP($A31, INDIRECT("NovR!$A$6:$ZZ$1048576"), MATCH(AT$1, NovR!$6:$6, 0), FALSE),
            0
        ) +
        IFERROR(
            VLOOKUP($A31, INDIRECT("DicR!$A$6:$ZZ$1048576"), MATCH(AT$1, DicR!$6:$6, 0), FALSE),
            0
        )
)</f>
        <v>0</v>
      </c>
      <c r="AU31" s="37">
        <f t="array" ref="AU31">SUM(
    IFERROR(
            VLOOKUP($A31, INDIRECT("EneR!$A$6:$ZZ$1048576"), MATCH(AU$1, EneR!$6:$6, 0), FALSE),
            0
        ) +
        IFERROR(
            VLOOKUP($A31, INDIRECT("FebR!$A$6:$ZZ$1048576"), MATCH(AU$1, FebR!$6:$6, 0), FALSE),
            0
        ) +
        IFERROR(
            VLOOKUP($A31, INDIRECT("MarR!$A$6:$ZZ$1048576"), MATCH(AU$1, MarR!$6:$6, 0), FALSE),
            0
        ) +
        IFERROR(
            VLOOKUP($A31, INDIRECT("AbrR!$A$6:$ZZ$1048576"), MATCH(AU$1, AbrR!$6:$6, 0), FALSE),
            0
        ) +
        IFERROR(
            VLOOKUP($A31, INDIRECT("MayR!$A$6:$ZZ$1048576"), MATCH(AU$1, MayR!$6:$6, 0), FALSE),
            0
        ) +
        IFERROR(
            VLOOKUP($A31, INDIRECT("JunR!$A$6:$ZZ$1048576"), MATCH(AU$1, JunR!$6:$6, 0), FALSE),
            0
        ) +
        IFERROR(
            VLOOKUP($A31, INDIRECT("JulR!$A$6:$ZZ$1048576"), MATCH(AU$1, JulR!$6:$6, 0), FALSE),
            0
        ) +
        IFERROR(
            VLOOKUP($A31, INDIRECT("AgoR!$A$6:$ZZ$1048576"), MATCH(AU$1, AgoR!$6:$6, 0), FALSE),
            0
        ) +
        IFERROR(
            VLOOKUP($A31, INDIRECT("SepR!$A$6:$ZZ$1048576"), MATCH(AU$1, SepR!$6:$6, 0), FALSE),
            0
        ) +
        IFERROR(
            VLOOKUP($A31, INDIRECT("OctR!$A$6:$ZZ$1048576"), MATCH(AU$1, OctR!$6:$6, 0), FALSE),
            0
        ) +
        IFERROR(
            VLOOKUP($A31, INDIRECT("NovR!$A$6:$ZZ$1048576"), MATCH(AU$1, NovR!$6:$6, 0), FALSE),
            0
        ) +
        IFERROR(
            VLOOKUP($A31, INDIRECT("DicR!$A$6:$ZZ$1048576"), MATCH(AU$1, DicR!$6:$6, 0), FALSE),
            0
        )
)</f>
        <v>0</v>
      </c>
      <c r="AV31" s="36">
        <f t="array" ref="AV31">SUM(
    IFERROR(
            VLOOKUP($A31, INDIRECT("EneR!$A$6:$ZZ$1048576"), MATCH(AV$1, EneR!$6:$6, 0), FALSE),
            0
        ) +
        IFERROR(
            VLOOKUP($A31, INDIRECT("FebR!$A$6:$ZZ$1048576"), MATCH(AV$1, FebR!$6:$6, 0), FALSE),
            0
        ) +
        IFERROR(
            VLOOKUP($A31, INDIRECT("MarR!$A$6:$ZZ$1048576"), MATCH(AV$1, MarR!$6:$6, 0), FALSE),
            0
        ) +
        IFERROR(
            VLOOKUP($A31, INDIRECT("AbrR!$A$6:$ZZ$1048576"), MATCH(AV$1, AbrR!$6:$6, 0), FALSE),
            0
        ) +
        IFERROR(
            VLOOKUP($A31, INDIRECT("MayR!$A$6:$ZZ$1048576"), MATCH(AV$1, MayR!$6:$6, 0), FALSE),
            0
        ) +
        IFERROR(
            VLOOKUP($A31, INDIRECT("JunR!$A$6:$ZZ$1048576"), MATCH(AV$1, JunR!$6:$6, 0), FALSE),
            0
        ) +
        IFERROR(
            VLOOKUP($A31, INDIRECT("JulR!$A$6:$ZZ$1048576"), MATCH(AV$1, JulR!$6:$6, 0), FALSE),
            0
        ) +
        IFERROR(
            VLOOKUP($A31, INDIRECT("AgoR!$A$6:$ZZ$1048576"), MATCH(AV$1, AgoR!$6:$6, 0), FALSE),
            0
        ) +
        IFERROR(
            VLOOKUP($A31, INDIRECT("SepR!$A$6:$ZZ$1048576"), MATCH(AV$1, SepR!$6:$6, 0), FALSE),
            0
        ) +
        IFERROR(
            VLOOKUP($A31, INDIRECT("OctR!$A$6:$ZZ$1048576"), MATCH(AV$1, OctR!$6:$6, 0), FALSE),
            0
        ) +
        IFERROR(
            VLOOKUP($A31, INDIRECT("NovR!$A$6:$ZZ$1048576"), MATCH(AV$1, NovR!$6:$6, 0), FALSE),
            0
        ) +
        IFERROR(
            VLOOKUP($A31, INDIRECT("DicR!$A$6:$ZZ$1048576"), MATCH(AV$1, DicR!$6:$6, 0), FALSE),
            0
        )
)</f>
        <v>0</v>
      </c>
      <c r="AW31" s="37">
        <f t="array" ref="AW31">SUM(
    IFERROR(
            VLOOKUP($A31, INDIRECT("EneR!$A$6:$ZZ$1048576"), MATCH(AW$1, EneR!$6:$6, 0), FALSE),
            0
        ) +
        IFERROR(
            VLOOKUP($A31, INDIRECT("FebR!$A$6:$ZZ$1048576"), MATCH(AW$1, FebR!$6:$6, 0), FALSE),
            0
        ) +
        IFERROR(
            VLOOKUP($A31, INDIRECT("MarR!$A$6:$ZZ$1048576"), MATCH(AW$1, MarR!$6:$6, 0), FALSE),
            0
        ) +
        IFERROR(
            VLOOKUP($A31, INDIRECT("AbrR!$A$6:$ZZ$1048576"), MATCH(AW$1, AbrR!$6:$6, 0), FALSE),
            0
        ) +
        IFERROR(
            VLOOKUP($A31, INDIRECT("MayR!$A$6:$ZZ$1048576"), MATCH(AW$1, MayR!$6:$6, 0), FALSE),
            0
        ) +
        IFERROR(
            VLOOKUP($A31, INDIRECT("JunR!$A$6:$ZZ$1048576"), MATCH(AW$1, JunR!$6:$6, 0), FALSE),
            0
        ) +
        IFERROR(
            VLOOKUP($A31, INDIRECT("JulR!$A$6:$ZZ$1048576"), MATCH(AW$1, JulR!$6:$6, 0), FALSE),
            0
        ) +
        IFERROR(
            VLOOKUP($A31, INDIRECT("AgoR!$A$6:$ZZ$1048576"), MATCH(AW$1, AgoR!$6:$6, 0), FALSE),
            0
        ) +
        IFERROR(
            VLOOKUP($A31, INDIRECT("SepR!$A$6:$ZZ$1048576"), MATCH(AW$1, SepR!$6:$6, 0), FALSE),
            0
        ) +
        IFERROR(
            VLOOKUP($A31, INDIRECT("OctR!$A$6:$ZZ$1048576"), MATCH(AW$1, OctR!$6:$6, 0), FALSE),
            0
        ) +
        IFERROR(
            VLOOKUP($A31, INDIRECT("NovR!$A$6:$ZZ$1048576"), MATCH(AW$1, NovR!$6:$6, 0), FALSE),
            0
        ) +
        IFERROR(
            VLOOKUP($A31, INDIRECT("DicR!$A$6:$ZZ$1048576"), MATCH(AW$1, DicR!$6:$6, 0), FALSE),
            0
        )
)</f>
        <v>0</v>
      </c>
      <c r="AX31" s="36">
        <f t="array" ref="AX31">SUM(
    IFERROR(
            VLOOKUP($A31, INDIRECT("EneR!$A$6:$ZZ$1048576"), MATCH(AX$1, EneR!$6:$6, 0), FALSE),
            0
        ) +
        IFERROR(
            VLOOKUP($A31, INDIRECT("FebR!$A$6:$ZZ$1048576"), MATCH(AX$1, FebR!$6:$6, 0), FALSE),
            0
        ) +
        IFERROR(
            VLOOKUP($A31, INDIRECT("MarR!$A$6:$ZZ$1048576"), MATCH(AX$1, MarR!$6:$6, 0), FALSE),
            0
        ) +
        IFERROR(
            VLOOKUP($A31, INDIRECT("AbrR!$A$6:$ZZ$1048576"), MATCH(AX$1, AbrR!$6:$6, 0), FALSE),
            0
        ) +
        IFERROR(
            VLOOKUP($A31, INDIRECT("MayR!$A$6:$ZZ$1048576"), MATCH(AX$1, MayR!$6:$6, 0), FALSE),
            0
        ) +
        IFERROR(
            VLOOKUP($A31, INDIRECT("JunR!$A$6:$ZZ$1048576"), MATCH(AX$1, JunR!$6:$6, 0), FALSE),
            0
        ) +
        IFERROR(
            VLOOKUP($A31, INDIRECT("JulR!$A$6:$ZZ$1048576"), MATCH(AX$1, JulR!$6:$6, 0), FALSE),
            0
        ) +
        IFERROR(
            VLOOKUP($A31, INDIRECT("AgoR!$A$6:$ZZ$1048576"), MATCH(AX$1, AgoR!$6:$6, 0), FALSE),
            0
        ) +
        IFERROR(
            VLOOKUP($A31, INDIRECT("SepR!$A$6:$ZZ$1048576"), MATCH(AX$1, SepR!$6:$6, 0), FALSE),
            0
        ) +
        IFERROR(
            VLOOKUP($A31, INDIRECT("OctR!$A$6:$ZZ$1048576"), MATCH(AX$1, OctR!$6:$6, 0), FALSE),
            0
        ) +
        IFERROR(
            VLOOKUP($A31, INDIRECT("NovR!$A$6:$ZZ$1048576"), MATCH(AX$1, NovR!$6:$6, 0), FALSE),
            0
        ) +
        IFERROR(
            VLOOKUP($A31, INDIRECT("DicR!$A$6:$ZZ$1048576"), MATCH(AX$1, DicR!$6:$6, 0), FALSE),
            0
        )
)</f>
        <v>0</v>
      </c>
      <c r="AY31" s="37">
        <f t="array" ref="AY31">SUM(
    IFERROR(
            VLOOKUP($A31, INDIRECT("EneR!$A$6:$ZZ$1048576"), MATCH(AY$1, EneR!$6:$6, 0), FALSE),
            0
        ) +
        IFERROR(
            VLOOKUP($A31, INDIRECT("FebR!$A$6:$ZZ$1048576"), MATCH(AY$1, FebR!$6:$6, 0), FALSE),
            0
        ) +
        IFERROR(
            VLOOKUP($A31, INDIRECT("MarR!$A$6:$ZZ$1048576"), MATCH(AY$1, MarR!$6:$6, 0), FALSE),
            0
        ) +
        IFERROR(
            VLOOKUP($A31, INDIRECT("AbrR!$A$6:$ZZ$1048576"), MATCH(AY$1, AbrR!$6:$6, 0), FALSE),
            0
        ) +
        IFERROR(
            VLOOKUP($A31, INDIRECT("MayR!$A$6:$ZZ$1048576"), MATCH(AY$1, MayR!$6:$6, 0), FALSE),
            0
        ) +
        IFERROR(
            VLOOKUP($A31, INDIRECT("JunR!$A$6:$ZZ$1048576"), MATCH(AY$1, JunR!$6:$6, 0), FALSE),
            0
        ) +
        IFERROR(
            VLOOKUP($A31, INDIRECT("JulR!$A$6:$ZZ$1048576"), MATCH(AY$1, JulR!$6:$6, 0), FALSE),
            0
        ) +
        IFERROR(
            VLOOKUP($A31, INDIRECT("AgoR!$A$6:$ZZ$1048576"), MATCH(AY$1, AgoR!$6:$6, 0), FALSE),
            0
        ) +
        IFERROR(
            VLOOKUP($A31, INDIRECT("SepR!$A$6:$ZZ$1048576"), MATCH(AY$1, SepR!$6:$6, 0), FALSE),
            0
        ) +
        IFERROR(
            VLOOKUP($A31, INDIRECT("OctR!$A$6:$ZZ$1048576"), MATCH(AY$1, OctR!$6:$6, 0), FALSE),
            0
        ) +
        IFERROR(
            VLOOKUP($A31, INDIRECT("NovR!$A$6:$ZZ$1048576"), MATCH(AY$1, NovR!$6:$6, 0), FALSE),
            0
        ) +
        IFERROR(
            VLOOKUP($A31, INDIRECT("DicR!$A$6:$ZZ$1048576"), MATCH(AY$1, DicR!$6:$6, 0), FALSE),
            0
        )
)</f>
        <v>0</v>
      </c>
      <c r="AZ31" s="37"/>
    </row>
    <row r="32" ht="15.75" hidden="1" customHeight="1">
      <c r="A32" s="12" t="str">
        <f>Menus!R24</f>
        <v/>
      </c>
      <c r="B32" s="32">
        <f t="shared" si="6"/>
        <v>0</v>
      </c>
      <c r="C32" s="33" t="str">
        <f t="shared" si="7"/>
        <v/>
      </c>
      <c r="D32" s="34">
        <f t="array" ref="D32">SUM(
    IFERROR(
            VLOOKUP($A32, INDIRECT("EneR!$A$6:$ZZ$1048576"), MATCH(D$1, EneR!$6:$6, 0), FALSE),
            0
        ) +
        IFERROR(
            VLOOKUP($A32, INDIRECT("FebR!$A$6:$ZZ$1048576"), MATCH(D$1, FebR!$6:$6, 0), FALSE),
            0
        ) +
        IFERROR(
            VLOOKUP($A32, INDIRECT("MarR!$A$6:$ZZ$1048576"), MATCH(D$1, MarR!$6:$6, 0), FALSE),
            0
        ) +
        IFERROR(
            VLOOKUP($A32, INDIRECT("AbrR!$A$6:$ZZ$1048576"), MATCH(D$1, AbrR!$6:$6, 0), FALSE),
            0
        ) +
        IFERROR(
            VLOOKUP($A32, INDIRECT("MayR!$A$6:$ZZ$1048576"), MATCH(D$1, MayR!$6:$6, 0), FALSE),
            0
        ) +
        IFERROR(
            VLOOKUP($A32, INDIRECT("JunR!$A$6:$ZZ$1048576"), MATCH(D$1, JunR!$6:$6, 0), FALSE),
            0
        ) +
        IFERROR(
            VLOOKUP($A32, INDIRECT("JulR!$A$6:$ZZ$1048576"), MATCH(D$1, JulR!$6:$6, 0), FALSE),
            0
        ) +
        IFERROR(
            VLOOKUP($A32, INDIRECT("AgoR!$A$6:$ZZ$1048576"), MATCH(D$1, AgoR!$6:$6, 0), FALSE),
            0
        ) +
        IFERROR(
            VLOOKUP($A32, INDIRECT("SepR!$A$6:$ZZ$1048576"), MATCH(D$1, SepR!$6:$6, 0), FALSE),
            0
        ) +
        IFERROR(
            VLOOKUP($A32, INDIRECT("OctR!$A$6:$ZZ$1048576"), MATCH(D$1, OctR!$6:$6, 0), FALSE),
            0
        ) +
        IFERROR(
            VLOOKUP($A32, INDIRECT("NovR!$A$6:$ZZ$1048576"), MATCH(D$1, NovR!$6:$6, 0), FALSE),
            0
        ) +
        IFERROR(
            VLOOKUP($A32, INDIRECT("DicR!$A$6:$ZZ$1048576"), MATCH(D$1, DicR!$6:$6, 0), FALSE),
            0
        )
)</f>
        <v>0</v>
      </c>
      <c r="E32" s="35">
        <f t="array" ref="E32">SUM(
    IFERROR(
            VLOOKUP($A32, INDIRECT("EneR!$A$6:$ZZ$1048576"), MATCH(E$1, EneR!$6:$6, 0), FALSE),
            0
        ) +
        IFERROR(
            VLOOKUP($A32, INDIRECT("FebR!$A$6:$ZZ$1048576"), MATCH(E$1, FebR!$6:$6, 0), FALSE),
            0
        ) +
        IFERROR(
            VLOOKUP($A32, INDIRECT("MarR!$A$6:$ZZ$1048576"), MATCH(E$1, MarR!$6:$6, 0), FALSE),
            0
        ) +
        IFERROR(
            VLOOKUP($A32, INDIRECT("AbrR!$A$6:$ZZ$1048576"), MATCH(E$1, AbrR!$6:$6, 0), FALSE),
            0
        ) +
        IFERROR(
            VLOOKUP($A32, INDIRECT("MayR!$A$6:$ZZ$1048576"), MATCH(E$1, MayR!$6:$6, 0), FALSE),
            0
        ) +
        IFERROR(
            VLOOKUP($A32, INDIRECT("JunR!$A$6:$ZZ$1048576"), MATCH(E$1, JunR!$6:$6, 0), FALSE),
            0
        ) +
        IFERROR(
            VLOOKUP($A32, INDIRECT("JulR!$A$6:$ZZ$1048576"), MATCH(E$1, JulR!$6:$6, 0), FALSE),
            0
        ) +
        IFERROR(
            VLOOKUP($A32, INDIRECT("AgoR!$A$6:$ZZ$1048576"), MATCH(E$1, AgoR!$6:$6, 0), FALSE),
            0
        ) +
        IFERROR(
            VLOOKUP($A32, INDIRECT("SepR!$A$6:$ZZ$1048576"), MATCH(E$1, SepR!$6:$6, 0), FALSE),
            0
        ) +
        IFERROR(
            VLOOKUP($A32, INDIRECT("OctR!$A$6:$ZZ$1048576"), MATCH(E$1, OctR!$6:$6, 0), FALSE),
            0
        ) +
        IFERROR(
            VLOOKUP($A32, INDIRECT("NovR!$A$6:$ZZ$1048576"), MATCH(E$1, NovR!$6:$6, 0), FALSE),
            0
        ) +
        IFERROR(
            VLOOKUP($A32, INDIRECT("DicR!$A$6:$ZZ$1048576"), MATCH(E$1, DicR!$6:$6, 0), FALSE),
            0
        )
)</f>
        <v>0</v>
      </c>
      <c r="F32" s="32">
        <f t="array" ref="F32">SUM(
    IFERROR(
            VLOOKUP($A32, INDIRECT("EneR!$A$6:$ZZ$1048576"), MATCH(F$1, EneR!$6:$6, 0), FALSE),
            0
        ) +
        IFERROR(
            VLOOKUP($A32, INDIRECT("FebR!$A$6:$ZZ$1048576"), MATCH(F$1, FebR!$6:$6, 0), FALSE),
            0
        ) +
        IFERROR(
            VLOOKUP($A32, INDIRECT("MarR!$A$6:$ZZ$1048576"), MATCH(F$1, MarR!$6:$6, 0), FALSE),
            0
        ) +
        IFERROR(
            VLOOKUP($A32, INDIRECT("AbrR!$A$6:$ZZ$1048576"), MATCH(F$1, AbrR!$6:$6, 0), FALSE),
            0
        ) +
        IFERROR(
            VLOOKUP($A32, INDIRECT("MayR!$A$6:$ZZ$1048576"), MATCH(F$1, MayR!$6:$6, 0), FALSE),
            0
        ) +
        IFERROR(
            VLOOKUP($A32, INDIRECT("JunR!$A$6:$ZZ$1048576"), MATCH(F$1, JunR!$6:$6, 0), FALSE),
            0
        ) +
        IFERROR(
            VLOOKUP($A32, INDIRECT("JulR!$A$6:$ZZ$1048576"), MATCH(F$1, JulR!$6:$6, 0), FALSE),
            0
        ) +
        IFERROR(
            VLOOKUP($A32, INDIRECT("AgoR!$A$6:$ZZ$1048576"), MATCH(F$1, AgoR!$6:$6, 0), FALSE),
            0
        ) +
        IFERROR(
            VLOOKUP($A32, INDIRECT("SepR!$A$6:$ZZ$1048576"), MATCH(F$1, SepR!$6:$6, 0), FALSE),
            0
        ) +
        IFERROR(
            VLOOKUP($A32, INDIRECT("OctR!$A$6:$ZZ$1048576"), MATCH(F$1, OctR!$6:$6, 0), FALSE),
            0
        ) +
        IFERROR(
            VLOOKUP($A32, INDIRECT("NovR!$A$6:$ZZ$1048576"), MATCH(F$1, NovR!$6:$6, 0), FALSE),
            0
        ) +
        IFERROR(
            VLOOKUP($A32, INDIRECT("DicR!$A$6:$ZZ$1048576"), MATCH(F$1, DicR!$6:$6, 0), FALSE),
            0
        )
)</f>
        <v>0</v>
      </c>
      <c r="G32" s="35">
        <f t="array" ref="G32">SUM(
    IFERROR(
            VLOOKUP($A32, INDIRECT("EneR!$A$6:$ZZ$1048576"), MATCH(G$1, EneR!$6:$6, 0), FALSE),
            0
        ) +
        IFERROR(
            VLOOKUP($A32, INDIRECT("FebR!$A$6:$ZZ$1048576"), MATCH(G$1, FebR!$6:$6, 0), FALSE),
            0
        ) +
        IFERROR(
            VLOOKUP($A32, INDIRECT("MarR!$A$6:$ZZ$1048576"), MATCH(G$1, MarR!$6:$6, 0), FALSE),
            0
        ) +
        IFERROR(
            VLOOKUP($A32, INDIRECT("AbrR!$A$6:$ZZ$1048576"), MATCH(G$1, AbrR!$6:$6, 0), FALSE),
            0
        ) +
        IFERROR(
            VLOOKUP($A32, INDIRECT("MayR!$A$6:$ZZ$1048576"), MATCH(G$1, MayR!$6:$6, 0), FALSE),
            0
        ) +
        IFERROR(
            VLOOKUP($A32, INDIRECT("JunR!$A$6:$ZZ$1048576"), MATCH(G$1, JunR!$6:$6, 0), FALSE),
            0
        ) +
        IFERROR(
            VLOOKUP($A32, INDIRECT("JulR!$A$6:$ZZ$1048576"), MATCH(G$1, JulR!$6:$6, 0), FALSE),
            0
        ) +
        IFERROR(
            VLOOKUP($A32, INDIRECT("AgoR!$A$6:$ZZ$1048576"), MATCH(G$1, AgoR!$6:$6, 0), FALSE),
            0
        ) +
        IFERROR(
            VLOOKUP($A32, INDIRECT("SepR!$A$6:$ZZ$1048576"), MATCH(G$1, SepR!$6:$6, 0), FALSE),
            0
        ) +
        IFERROR(
            VLOOKUP($A32, INDIRECT("OctR!$A$6:$ZZ$1048576"), MATCH(G$1, OctR!$6:$6, 0), FALSE),
            0
        ) +
        IFERROR(
            VLOOKUP($A32, INDIRECT("NovR!$A$6:$ZZ$1048576"), MATCH(G$1, NovR!$6:$6, 0), FALSE),
            0
        ) +
        IFERROR(
            VLOOKUP($A32, INDIRECT("DicR!$A$6:$ZZ$1048576"), MATCH(G$1, DicR!$6:$6, 0), FALSE),
            0
        )
)</f>
        <v>0</v>
      </c>
      <c r="H32" s="32">
        <f t="array" ref="H32">SUM(
    IFERROR(
            VLOOKUP($A32, INDIRECT("EneR!$A$6:$ZZ$1048576"), MATCH(H$1, EneR!$6:$6, 0), FALSE),
            0
        ) +
        IFERROR(
            VLOOKUP($A32, INDIRECT("FebR!$A$6:$ZZ$1048576"), MATCH(H$1, FebR!$6:$6, 0), FALSE),
            0
        ) +
        IFERROR(
            VLOOKUP($A32, INDIRECT("MarR!$A$6:$ZZ$1048576"), MATCH(H$1, MarR!$6:$6, 0), FALSE),
            0
        ) +
        IFERROR(
            VLOOKUP($A32, INDIRECT("AbrR!$A$6:$ZZ$1048576"), MATCH(H$1, AbrR!$6:$6, 0), FALSE),
            0
        ) +
        IFERROR(
            VLOOKUP($A32, INDIRECT("MayR!$A$6:$ZZ$1048576"), MATCH(H$1, MayR!$6:$6, 0), FALSE),
            0
        ) +
        IFERROR(
            VLOOKUP($A32, INDIRECT("JunR!$A$6:$ZZ$1048576"), MATCH(H$1, JunR!$6:$6, 0), FALSE),
            0
        ) +
        IFERROR(
            VLOOKUP($A32, INDIRECT("JulR!$A$6:$ZZ$1048576"), MATCH(H$1, JulR!$6:$6, 0), FALSE),
            0
        ) +
        IFERROR(
            VLOOKUP($A32, INDIRECT("AgoR!$A$6:$ZZ$1048576"), MATCH(H$1, AgoR!$6:$6, 0), FALSE),
            0
        ) +
        IFERROR(
            VLOOKUP($A32, INDIRECT("SepR!$A$6:$ZZ$1048576"), MATCH(H$1, SepR!$6:$6, 0), FALSE),
            0
        ) +
        IFERROR(
            VLOOKUP($A32, INDIRECT("OctR!$A$6:$ZZ$1048576"), MATCH(H$1, OctR!$6:$6, 0), FALSE),
            0
        ) +
        IFERROR(
            VLOOKUP($A32, INDIRECT("NovR!$A$6:$ZZ$1048576"), MATCH(H$1, NovR!$6:$6, 0), FALSE),
            0
        ) +
        IFERROR(
            VLOOKUP($A32, INDIRECT("DicR!$A$6:$ZZ$1048576"), MATCH(H$1, DicR!$6:$6, 0), FALSE),
            0
        )
)</f>
        <v>0</v>
      </c>
      <c r="I32" s="35">
        <f t="array" ref="I32">SUM(
    IFERROR(
            VLOOKUP($A32, INDIRECT("EneR!$A$6:$ZZ$1048576"), MATCH(I$1, EneR!$6:$6, 0), FALSE),
            0
        ) +
        IFERROR(
            VLOOKUP($A32, INDIRECT("FebR!$A$6:$ZZ$1048576"), MATCH(I$1, FebR!$6:$6, 0), FALSE),
            0
        ) +
        IFERROR(
            VLOOKUP($A32, INDIRECT("MarR!$A$6:$ZZ$1048576"), MATCH(I$1, MarR!$6:$6, 0), FALSE),
            0
        ) +
        IFERROR(
            VLOOKUP($A32, INDIRECT("AbrR!$A$6:$ZZ$1048576"), MATCH(I$1, AbrR!$6:$6, 0), FALSE),
            0
        ) +
        IFERROR(
            VLOOKUP($A32, INDIRECT("MayR!$A$6:$ZZ$1048576"), MATCH(I$1, MayR!$6:$6, 0), FALSE),
            0
        ) +
        IFERROR(
            VLOOKUP($A32, INDIRECT("JunR!$A$6:$ZZ$1048576"), MATCH(I$1, JunR!$6:$6, 0), FALSE),
            0
        ) +
        IFERROR(
            VLOOKUP($A32, INDIRECT("JulR!$A$6:$ZZ$1048576"), MATCH(I$1, JulR!$6:$6, 0), FALSE),
            0
        ) +
        IFERROR(
            VLOOKUP($A32, INDIRECT("AgoR!$A$6:$ZZ$1048576"), MATCH(I$1, AgoR!$6:$6, 0), FALSE),
            0
        ) +
        IFERROR(
            VLOOKUP($A32, INDIRECT("SepR!$A$6:$ZZ$1048576"), MATCH(I$1, SepR!$6:$6, 0), FALSE),
            0
        ) +
        IFERROR(
            VLOOKUP($A32, INDIRECT("OctR!$A$6:$ZZ$1048576"), MATCH(I$1, OctR!$6:$6, 0), FALSE),
            0
        ) +
        IFERROR(
            VLOOKUP($A32, INDIRECT("NovR!$A$6:$ZZ$1048576"), MATCH(I$1, NovR!$6:$6, 0), FALSE),
            0
        ) +
        IFERROR(
            VLOOKUP($A32, INDIRECT("DicR!$A$6:$ZZ$1048576"), MATCH(I$1, DicR!$6:$6, 0), FALSE),
            0
        )
)</f>
        <v>0</v>
      </c>
      <c r="J32" s="32">
        <f t="array" ref="J32">SUM(
    IFERROR(
            VLOOKUP($A32, INDIRECT("EneR!$A$6:$ZZ$1048576"), MATCH(J$1, EneR!$6:$6, 0), FALSE),
            0
        ) +
        IFERROR(
            VLOOKUP($A32, INDIRECT("FebR!$A$6:$ZZ$1048576"), MATCH(J$1, FebR!$6:$6, 0), FALSE),
            0
        ) +
        IFERROR(
            VLOOKUP($A32, INDIRECT("MarR!$A$6:$ZZ$1048576"), MATCH(J$1, MarR!$6:$6, 0), FALSE),
            0
        ) +
        IFERROR(
            VLOOKUP($A32, INDIRECT("AbrR!$A$6:$ZZ$1048576"), MATCH(J$1, AbrR!$6:$6, 0), FALSE),
            0
        ) +
        IFERROR(
            VLOOKUP($A32, INDIRECT("MayR!$A$6:$ZZ$1048576"), MATCH(J$1, MayR!$6:$6, 0), FALSE),
            0
        ) +
        IFERROR(
            VLOOKUP($A32, INDIRECT("JunR!$A$6:$ZZ$1048576"), MATCH(J$1, JunR!$6:$6, 0), FALSE),
            0
        ) +
        IFERROR(
            VLOOKUP($A32, INDIRECT("JulR!$A$6:$ZZ$1048576"), MATCH(J$1, JulR!$6:$6, 0), FALSE),
            0
        ) +
        IFERROR(
            VLOOKUP($A32, INDIRECT("AgoR!$A$6:$ZZ$1048576"), MATCH(J$1, AgoR!$6:$6, 0), FALSE),
            0
        ) +
        IFERROR(
            VLOOKUP($A32, INDIRECT("SepR!$A$6:$ZZ$1048576"), MATCH(J$1, SepR!$6:$6, 0), FALSE),
            0
        ) +
        IFERROR(
            VLOOKUP($A32, INDIRECT("OctR!$A$6:$ZZ$1048576"), MATCH(J$1, OctR!$6:$6, 0), FALSE),
            0
        ) +
        IFERROR(
            VLOOKUP($A32, INDIRECT("NovR!$A$6:$ZZ$1048576"), MATCH(J$1, NovR!$6:$6, 0), FALSE),
            0
        ) +
        IFERROR(
            VLOOKUP($A32, INDIRECT("DicR!$A$6:$ZZ$1048576"), MATCH(J$1, DicR!$6:$6, 0), FALSE),
            0
        )
)</f>
        <v>0</v>
      </c>
      <c r="K32" s="35">
        <f t="array" ref="K32">SUM(
    IFERROR(
            VLOOKUP($A32, INDIRECT("EneR!$A$6:$ZZ$1048576"), MATCH(K$1, EneR!$6:$6, 0), FALSE),
            0
        ) +
        IFERROR(
            VLOOKUP($A32, INDIRECT("FebR!$A$6:$ZZ$1048576"), MATCH(K$1, FebR!$6:$6, 0), FALSE),
            0
        ) +
        IFERROR(
            VLOOKUP($A32, INDIRECT("MarR!$A$6:$ZZ$1048576"), MATCH(K$1, MarR!$6:$6, 0), FALSE),
            0
        ) +
        IFERROR(
            VLOOKUP($A32, INDIRECT("AbrR!$A$6:$ZZ$1048576"), MATCH(K$1, AbrR!$6:$6, 0), FALSE),
            0
        ) +
        IFERROR(
            VLOOKUP($A32, INDIRECT("MayR!$A$6:$ZZ$1048576"), MATCH(K$1, MayR!$6:$6, 0), FALSE),
            0
        ) +
        IFERROR(
            VLOOKUP($A32, INDIRECT("JunR!$A$6:$ZZ$1048576"), MATCH(K$1, JunR!$6:$6, 0), FALSE),
            0
        ) +
        IFERROR(
            VLOOKUP($A32, INDIRECT("JulR!$A$6:$ZZ$1048576"), MATCH(K$1, JulR!$6:$6, 0), FALSE),
            0
        ) +
        IFERROR(
            VLOOKUP($A32, INDIRECT("AgoR!$A$6:$ZZ$1048576"), MATCH(K$1, AgoR!$6:$6, 0), FALSE),
            0
        ) +
        IFERROR(
            VLOOKUP($A32, INDIRECT("SepR!$A$6:$ZZ$1048576"), MATCH(K$1, SepR!$6:$6, 0), FALSE),
            0
        ) +
        IFERROR(
            VLOOKUP($A32, INDIRECT("OctR!$A$6:$ZZ$1048576"), MATCH(K$1, OctR!$6:$6, 0), FALSE),
            0
        ) +
        IFERROR(
            VLOOKUP($A32, INDIRECT("NovR!$A$6:$ZZ$1048576"), MATCH(K$1, NovR!$6:$6, 0), FALSE),
            0
        ) +
        IFERROR(
            VLOOKUP($A32, INDIRECT("DicR!$A$6:$ZZ$1048576"), MATCH(K$1, DicR!$6:$6, 0), FALSE),
            0
        )
)</f>
        <v>0</v>
      </c>
      <c r="L32" s="32">
        <f t="array" ref="L32">SUM(
    IFERROR(
            VLOOKUP($A32, INDIRECT("EneR!$A$6:$ZZ$1048576"), MATCH(L$1, EneR!$6:$6, 0), FALSE),
            0
        ) +
        IFERROR(
            VLOOKUP($A32, INDIRECT("FebR!$A$6:$ZZ$1048576"), MATCH(L$1, FebR!$6:$6, 0), FALSE),
            0
        ) +
        IFERROR(
            VLOOKUP($A32, INDIRECT("MarR!$A$6:$ZZ$1048576"), MATCH(L$1, MarR!$6:$6, 0), FALSE),
            0
        ) +
        IFERROR(
            VLOOKUP($A32, INDIRECT("AbrR!$A$6:$ZZ$1048576"), MATCH(L$1, AbrR!$6:$6, 0), FALSE),
            0
        ) +
        IFERROR(
            VLOOKUP($A32, INDIRECT("MayR!$A$6:$ZZ$1048576"), MATCH(L$1, MayR!$6:$6, 0), FALSE),
            0
        ) +
        IFERROR(
            VLOOKUP($A32, INDIRECT("JunR!$A$6:$ZZ$1048576"), MATCH(L$1, JunR!$6:$6, 0), FALSE),
            0
        ) +
        IFERROR(
            VLOOKUP($A32, INDIRECT("JulR!$A$6:$ZZ$1048576"), MATCH(L$1, JulR!$6:$6, 0), FALSE),
            0
        ) +
        IFERROR(
            VLOOKUP($A32, INDIRECT("AgoR!$A$6:$ZZ$1048576"), MATCH(L$1, AgoR!$6:$6, 0), FALSE),
            0
        ) +
        IFERROR(
            VLOOKUP($A32, INDIRECT("SepR!$A$6:$ZZ$1048576"), MATCH(L$1, SepR!$6:$6, 0), FALSE),
            0
        ) +
        IFERROR(
            VLOOKUP($A32, INDIRECT("OctR!$A$6:$ZZ$1048576"), MATCH(L$1, OctR!$6:$6, 0), FALSE),
            0
        ) +
        IFERROR(
            VLOOKUP($A32, INDIRECT("NovR!$A$6:$ZZ$1048576"), MATCH(L$1, NovR!$6:$6, 0), FALSE),
            0
        ) +
        IFERROR(
            VLOOKUP($A32, INDIRECT("DicR!$A$6:$ZZ$1048576"), MATCH(L$1, DicR!$6:$6, 0), FALSE),
            0
        )
)</f>
        <v>0</v>
      </c>
      <c r="M32" s="35">
        <f t="array" ref="M32">SUM(
    IFERROR(
            VLOOKUP($A32, INDIRECT("EneR!$A$6:$ZZ$1048576"), MATCH(M$1, EneR!$6:$6, 0), FALSE),
            0
        ) +
        IFERROR(
            VLOOKUP($A32, INDIRECT("FebR!$A$6:$ZZ$1048576"), MATCH(M$1, FebR!$6:$6, 0), FALSE),
            0
        ) +
        IFERROR(
            VLOOKUP($A32, INDIRECT("MarR!$A$6:$ZZ$1048576"), MATCH(M$1, MarR!$6:$6, 0), FALSE),
            0
        ) +
        IFERROR(
            VLOOKUP($A32, INDIRECT("AbrR!$A$6:$ZZ$1048576"), MATCH(M$1, AbrR!$6:$6, 0), FALSE),
            0
        ) +
        IFERROR(
            VLOOKUP($A32, INDIRECT("MayR!$A$6:$ZZ$1048576"), MATCH(M$1, MayR!$6:$6, 0), FALSE),
            0
        ) +
        IFERROR(
            VLOOKUP($A32, INDIRECT("JunR!$A$6:$ZZ$1048576"), MATCH(M$1, JunR!$6:$6, 0), FALSE),
            0
        ) +
        IFERROR(
            VLOOKUP($A32, INDIRECT("JulR!$A$6:$ZZ$1048576"), MATCH(M$1, JulR!$6:$6, 0), FALSE),
            0
        ) +
        IFERROR(
            VLOOKUP($A32, INDIRECT("AgoR!$A$6:$ZZ$1048576"), MATCH(M$1, AgoR!$6:$6, 0), FALSE),
            0
        ) +
        IFERROR(
            VLOOKUP($A32, INDIRECT("SepR!$A$6:$ZZ$1048576"), MATCH(M$1, SepR!$6:$6, 0), FALSE),
            0
        ) +
        IFERROR(
            VLOOKUP($A32, INDIRECT("OctR!$A$6:$ZZ$1048576"), MATCH(M$1, OctR!$6:$6, 0), FALSE),
            0
        ) +
        IFERROR(
            VLOOKUP($A32, INDIRECT("NovR!$A$6:$ZZ$1048576"), MATCH(M$1, NovR!$6:$6, 0), FALSE),
            0
        ) +
        IFERROR(
            VLOOKUP($A32, INDIRECT("DicR!$A$6:$ZZ$1048576"), MATCH(M$1, DicR!$6:$6, 0), FALSE),
            0
        )
)</f>
        <v>0</v>
      </c>
      <c r="N32" s="32">
        <f t="array" ref="N32">SUM(
    IFERROR(
            VLOOKUP($A32, INDIRECT("EneR!$A$6:$ZZ$1048576"), MATCH(N$1, EneR!$6:$6, 0), FALSE),
            0
        ) +
        IFERROR(
            VLOOKUP($A32, INDIRECT("FebR!$A$6:$ZZ$1048576"), MATCH(N$1, FebR!$6:$6, 0), FALSE),
            0
        ) +
        IFERROR(
            VLOOKUP($A32, INDIRECT("MarR!$A$6:$ZZ$1048576"), MATCH(N$1, MarR!$6:$6, 0), FALSE),
            0
        ) +
        IFERROR(
            VLOOKUP($A32, INDIRECT("AbrR!$A$6:$ZZ$1048576"), MATCH(N$1, AbrR!$6:$6, 0), FALSE),
            0
        ) +
        IFERROR(
            VLOOKUP($A32, INDIRECT("MayR!$A$6:$ZZ$1048576"), MATCH(N$1, MayR!$6:$6, 0), FALSE),
            0
        ) +
        IFERROR(
            VLOOKUP($A32, INDIRECT("JunR!$A$6:$ZZ$1048576"), MATCH(N$1, JunR!$6:$6, 0), FALSE),
            0
        ) +
        IFERROR(
            VLOOKUP($A32, INDIRECT("JulR!$A$6:$ZZ$1048576"), MATCH(N$1, JulR!$6:$6, 0), FALSE),
            0
        ) +
        IFERROR(
            VLOOKUP($A32, INDIRECT("AgoR!$A$6:$ZZ$1048576"), MATCH(N$1, AgoR!$6:$6, 0), FALSE),
            0
        ) +
        IFERROR(
            VLOOKUP($A32, INDIRECT("SepR!$A$6:$ZZ$1048576"), MATCH(N$1, SepR!$6:$6, 0), FALSE),
            0
        ) +
        IFERROR(
            VLOOKUP($A32, INDIRECT("OctR!$A$6:$ZZ$1048576"), MATCH(N$1, OctR!$6:$6, 0), FALSE),
            0
        ) +
        IFERROR(
            VLOOKUP($A32, INDIRECT("NovR!$A$6:$ZZ$1048576"), MATCH(N$1, NovR!$6:$6, 0), FALSE),
            0
        ) +
        IFERROR(
            VLOOKUP($A32, INDIRECT("DicR!$A$6:$ZZ$1048576"), MATCH(N$1, DicR!$6:$6, 0), FALSE),
            0
        )
)</f>
        <v>0</v>
      </c>
      <c r="O32" s="35">
        <f t="array" ref="O32">SUM(
    IFERROR(
            VLOOKUP($A32, INDIRECT("EneR!$A$6:$ZZ$1048576"), MATCH(O$1, EneR!$6:$6, 0), FALSE),
            0
        ) +
        IFERROR(
            VLOOKUP($A32, INDIRECT("FebR!$A$6:$ZZ$1048576"), MATCH(O$1, FebR!$6:$6, 0), FALSE),
            0
        ) +
        IFERROR(
            VLOOKUP($A32, INDIRECT("MarR!$A$6:$ZZ$1048576"), MATCH(O$1, MarR!$6:$6, 0), FALSE),
            0
        ) +
        IFERROR(
            VLOOKUP($A32, INDIRECT("AbrR!$A$6:$ZZ$1048576"), MATCH(O$1, AbrR!$6:$6, 0), FALSE),
            0
        ) +
        IFERROR(
            VLOOKUP($A32, INDIRECT("MayR!$A$6:$ZZ$1048576"), MATCH(O$1, MayR!$6:$6, 0), FALSE),
            0
        ) +
        IFERROR(
            VLOOKUP($A32, INDIRECT("JunR!$A$6:$ZZ$1048576"), MATCH(O$1, JunR!$6:$6, 0), FALSE),
            0
        ) +
        IFERROR(
            VLOOKUP($A32, INDIRECT("JulR!$A$6:$ZZ$1048576"), MATCH(O$1, JulR!$6:$6, 0), FALSE),
            0
        ) +
        IFERROR(
            VLOOKUP($A32, INDIRECT("AgoR!$A$6:$ZZ$1048576"), MATCH(O$1, AgoR!$6:$6, 0), FALSE),
            0
        ) +
        IFERROR(
            VLOOKUP($A32, INDIRECT("SepR!$A$6:$ZZ$1048576"), MATCH(O$1, SepR!$6:$6, 0), FALSE),
            0
        ) +
        IFERROR(
            VLOOKUP($A32, INDIRECT("OctR!$A$6:$ZZ$1048576"), MATCH(O$1, OctR!$6:$6, 0), FALSE),
            0
        ) +
        IFERROR(
            VLOOKUP($A32, INDIRECT("NovR!$A$6:$ZZ$1048576"), MATCH(O$1, NovR!$6:$6, 0), FALSE),
            0
        ) +
        IFERROR(
            VLOOKUP($A32, INDIRECT("DicR!$A$6:$ZZ$1048576"), MATCH(O$1, DicR!$6:$6, 0), FALSE),
            0
        )
)</f>
        <v>0</v>
      </c>
      <c r="P32" s="32">
        <f t="array" ref="P32">SUM(
    IFERROR(
            VLOOKUP($A32, INDIRECT("EneR!$A$6:$ZZ$1048576"), MATCH(P$1, EneR!$6:$6, 0), FALSE),
            0
        ) +
        IFERROR(
            VLOOKUP($A32, INDIRECT("FebR!$A$6:$ZZ$1048576"), MATCH(P$1, FebR!$6:$6, 0), FALSE),
            0
        ) +
        IFERROR(
            VLOOKUP($A32, INDIRECT("MarR!$A$6:$ZZ$1048576"), MATCH(P$1, MarR!$6:$6, 0), FALSE),
            0
        ) +
        IFERROR(
            VLOOKUP($A32, INDIRECT("AbrR!$A$6:$ZZ$1048576"), MATCH(P$1, AbrR!$6:$6, 0), FALSE),
            0
        ) +
        IFERROR(
            VLOOKUP($A32, INDIRECT("MayR!$A$6:$ZZ$1048576"), MATCH(P$1, MayR!$6:$6, 0), FALSE),
            0
        ) +
        IFERROR(
            VLOOKUP($A32, INDIRECT("JunR!$A$6:$ZZ$1048576"), MATCH(P$1, JunR!$6:$6, 0), FALSE),
            0
        ) +
        IFERROR(
            VLOOKUP($A32, INDIRECT("JulR!$A$6:$ZZ$1048576"), MATCH(P$1, JulR!$6:$6, 0), FALSE),
            0
        ) +
        IFERROR(
            VLOOKUP($A32, INDIRECT("AgoR!$A$6:$ZZ$1048576"), MATCH(P$1, AgoR!$6:$6, 0), FALSE),
            0
        ) +
        IFERROR(
            VLOOKUP($A32, INDIRECT("SepR!$A$6:$ZZ$1048576"), MATCH(P$1, SepR!$6:$6, 0), FALSE),
            0
        ) +
        IFERROR(
            VLOOKUP($A32, INDIRECT("OctR!$A$6:$ZZ$1048576"), MATCH(P$1, OctR!$6:$6, 0), FALSE),
            0
        ) +
        IFERROR(
            VLOOKUP($A32, INDIRECT("NovR!$A$6:$ZZ$1048576"), MATCH(P$1, NovR!$6:$6, 0), FALSE),
            0
        ) +
        IFERROR(
            VLOOKUP($A32, INDIRECT("DicR!$A$6:$ZZ$1048576"), MATCH(P$1, DicR!$6:$6, 0), FALSE),
            0
        )
)</f>
        <v>0</v>
      </c>
      <c r="Q32" s="35">
        <f t="array" ref="Q32">SUM(
    IFERROR(
            VLOOKUP($A32, INDIRECT("EneR!$A$6:$ZZ$1048576"), MATCH(Q$1, EneR!$6:$6, 0), FALSE),
            0
        ) +
        IFERROR(
            VLOOKUP($A32, INDIRECT("FebR!$A$6:$ZZ$1048576"), MATCH(Q$1, FebR!$6:$6, 0), FALSE),
            0
        ) +
        IFERROR(
            VLOOKUP($A32, INDIRECT("MarR!$A$6:$ZZ$1048576"), MATCH(Q$1, MarR!$6:$6, 0), FALSE),
            0
        ) +
        IFERROR(
            VLOOKUP($A32, INDIRECT("AbrR!$A$6:$ZZ$1048576"), MATCH(Q$1, AbrR!$6:$6, 0), FALSE),
            0
        ) +
        IFERROR(
            VLOOKUP($A32, INDIRECT("MayR!$A$6:$ZZ$1048576"), MATCH(Q$1, MayR!$6:$6, 0), FALSE),
            0
        ) +
        IFERROR(
            VLOOKUP($A32, INDIRECT("JunR!$A$6:$ZZ$1048576"), MATCH(Q$1, JunR!$6:$6, 0), FALSE),
            0
        ) +
        IFERROR(
            VLOOKUP($A32, INDIRECT("JulR!$A$6:$ZZ$1048576"), MATCH(Q$1, JulR!$6:$6, 0), FALSE),
            0
        ) +
        IFERROR(
            VLOOKUP($A32, INDIRECT("AgoR!$A$6:$ZZ$1048576"), MATCH(Q$1, AgoR!$6:$6, 0), FALSE),
            0
        ) +
        IFERROR(
            VLOOKUP($A32, INDIRECT("SepR!$A$6:$ZZ$1048576"), MATCH(Q$1, SepR!$6:$6, 0), FALSE),
            0
        ) +
        IFERROR(
            VLOOKUP($A32, INDIRECT("OctR!$A$6:$ZZ$1048576"), MATCH(Q$1, OctR!$6:$6, 0), FALSE),
            0
        ) +
        IFERROR(
            VLOOKUP($A32, INDIRECT("NovR!$A$6:$ZZ$1048576"), MATCH(Q$1, NovR!$6:$6, 0), FALSE),
            0
        ) +
        IFERROR(
            VLOOKUP($A32, INDIRECT("DicR!$A$6:$ZZ$1048576"), MATCH(Q$1, DicR!$6:$6, 0), FALSE),
            0
        )
)</f>
        <v>0</v>
      </c>
      <c r="R32" s="36">
        <f t="array" ref="R32">SUM(
    IFERROR(
            VLOOKUP($A32, INDIRECT("EneR!$A$6:$ZZ$1048576"), MATCH(R$1, EneR!$6:$6, 0), FALSE),
            0
        ) +
        IFERROR(
            VLOOKUP($A32, INDIRECT("FebR!$A$6:$ZZ$1048576"), MATCH(R$1, FebR!$6:$6, 0), FALSE),
            0
        ) +
        IFERROR(
            VLOOKUP($A32, INDIRECT("MarR!$A$6:$ZZ$1048576"), MATCH(R$1, MarR!$6:$6, 0), FALSE),
            0
        ) +
        IFERROR(
            VLOOKUP($A32, INDIRECT("AbrR!$A$6:$ZZ$1048576"), MATCH(R$1, AbrR!$6:$6, 0), FALSE),
            0
        ) +
        IFERROR(
            VLOOKUP($A32, INDIRECT("MayR!$A$6:$ZZ$1048576"), MATCH(R$1, MayR!$6:$6, 0), FALSE),
            0
        ) +
        IFERROR(
            VLOOKUP($A32, INDIRECT("JunR!$A$6:$ZZ$1048576"), MATCH(R$1, JunR!$6:$6, 0), FALSE),
            0
        ) +
        IFERROR(
            VLOOKUP($A32, INDIRECT("JulR!$A$6:$ZZ$1048576"), MATCH(R$1, JulR!$6:$6, 0), FALSE),
            0
        ) +
        IFERROR(
            VLOOKUP($A32, INDIRECT("AgoR!$A$6:$ZZ$1048576"), MATCH(R$1, AgoR!$6:$6, 0), FALSE),
            0
        ) +
        IFERROR(
            VLOOKUP($A32, INDIRECT("SepR!$A$6:$ZZ$1048576"), MATCH(R$1, SepR!$6:$6, 0), FALSE),
            0
        ) +
        IFERROR(
            VLOOKUP($A32, INDIRECT("OctR!$A$6:$ZZ$1048576"), MATCH(R$1, OctR!$6:$6, 0), FALSE),
            0
        ) +
        IFERROR(
            VLOOKUP($A32, INDIRECT("NovR!$A$6:$ZZ$1048576"), MATCH(R$1, NovR!$6:$6, 0), FALSE),
            0
        ) +
        IFERROR(
            VLOOKUP($A32, INDIRECT("DicR!$A$6:$ZZ$1048576"), MATCH(R$1, DicR!$6:$6, 0), FALSE),
            0
        )
)</f>
        <v>0</v>
      </c>
      <c r="S32" s="37">
        <f t="array" ref="S32">SUM(
    IFERROR(
            VLOOKUP($A32, INDIRECT("EneR!$A$6:$ZZ$1048576"), MATCH(S$1, EneR!$6:$6, 0), FALSE),
            0
        ) +
        IFERROR(
            VLOOKUP($A32, INDIRECT("FebR!$A$6:$ZZ$1048576"), MATCH(S$1, FebR!$6:$6, 0), FALSE),
            0
        ) +
        IFERROR(
            VLOOKUP($A32, INDIRECT("MarR!$A$6:$ZZ$1048576"), MATCH(S$1, MarR!$6:$6, 0), FALSE),
            0
        ) +
        IFERROR(
            VLOOKUP($A32, INDIRECT("AbrR!$A$6:$ZZ$1048576"), MATCH(S$1, AbrR!$6:$6, 0), FALSE),
            0
        ) +
        IFERROR(
            VLOOKUP($A32, INDIRECT("MayR!$A$6:$ZZ$1048576"), MATCH(S$1, MayR!$6:$6, 0), FALSE),
            0
        ) +
        IFERROR(
            VLOOKUP($A32, INDIRECT("JunR!$A$6:$ZZ$1048576"), MATCH(S$1, JunR!$6:$6, 0), FALSE),
            0
        ) +
        IFERROR(
            VLOOKUP($A32, INDIRECT("JulR!$A$6:$ZZ$1048576"), MATCH(S$1, JulR!$6:$6, 0), FALSE),
            0
        ) +
        IFERROR(
            VLOOKUP($A32, INDIRECT("AgoR!$A$6:$ZZ$1048576"), MATCH(S$1, AgoR!$6:$6, 0), FALSE),
            0
        ) +
        IFERROR(
            VLOOKUP($A32, INDIRECT("SepR!$A$6:$ZZ$1048576"), MATCH(S$1, SepR!$6:$6, 0), FALSE),
            0
        ) +
        IFERROR(
            VLOOKUP($A32, INDIRECT("OctR!$A$6:$ZZ$1048576"), MATCH(S$1, OctR!$6:$6, 0), FALSE),
            0
        ) +
        IFERROR(
            VLOOKUP($A32, INDIRECT("NovR!$A$6:$ZZ$1048576"), MATCH(S$1, NovR!$6:$6, 0), FALSE),
            0
        ) +
        IFERROR(
            VLOOKUP($A32, INDIRECT("DicR!$A$6:$ZZ$1048576"), MATCH(S$1, DicR!$6:$6, 0), FALSE),
            0
        )
)</f>
        <v>0</v>
      </c>
      <c r="T32" s="36">
        <f t="array" ref="T32">SUM(
    IFERROR(
            VLOOKUP($A32, INDIRECT("EneR!$A$6:$ZZ$1048576"), MATCH(T$1, EneR!$6:$6, 0), FALSE),
            0
        ) +
        IFERROR(
            VLOOKUP($A32, INDIRECT("FebR!$A$6:$ZZ$1048576"), MATCH(T$1, FebR!$6:$6, 0), FALSE),
            0
        ) +
        IFERROR(
            VLOOKUP($A32, INDIRECT("MarR!$A$6:$ZZ$1048576"), MATCH(T$1, MarR!$6:$6, 0), FALSE),
            0
        ) +
        IFERROR(
            VLOOKUP($A32, INDIRECT("AbrR!$A$6:$ZZ$1048576"), MATCH(T$1, AbrR!$6:$6, 0), FALSE),
            0
        ) +
        IFERROR(
            VLOOKUP($A32, INDIRECT("MayR!$A$6:$ZZ$1048576"), MATCH(T$1, MayR!$6:$6, 0), FALSE),
            0
        ) +
        IFERROR(
            VLOOKUP($A32, INDIRECT("JunR!$A$6:$ZZ$1048576"), MATCH(T$1, JunR!$6:$6, 0), FALSE),
            0
        ) +
        IFERROR(
            VLOOKUP($A32, INDIRECT("JulR!$A$6:$ZZ$1048576"), MATCH(T$1, JulR!$6:$6, 0), FALSE),
            0
        ) +
        IFERROR(
            VLOOKUP($A32, INDIRECT("AgoR!$A$6:$ZZ$1048576"), MATCH(T$1, AgoR!$6:$6, 0), FALSE),
            0
        ) +
        IFERROR(
            VLOOKUP($A32, INDIRECT("SepR!$A$6:$ZZ$1048576"), MATCH(T$1, SepR!$6:$6, 0), FALSE),
            0
        ) +
        IFERROR(
            VLOOKUP($A32, INDIRECT("OctR!$A$6:$ZZ$1048576"), MATCH(T$1, OctR!$6:$6, 0), FALSE),
            0
        ) +
        IFERROR(
            VLOOKUP($A32, INDIRECT("NovR!$A$6:$ZZ$1048576"), MATCH(T$1, NovR!$6:$6, 0), FALSE),
            0
        ) +
        IFERROR(
            VLOOKUP($A32, INDIRECT("DicR!$A$6:$ZZ$1048576"), MATCH(T$1, DicR!$6:$6, 0), FALSE),
            0
        )
)</f>
        <v>0</v>
      </c>
      <c r="U32" s="37">
        <f t="array" ref="U32">SUM(
    IFERROR(
            VLOOKUP($A32, INDIRECT("EneR!$A$6:$ZZ$1048576"), MATCH(U$1, EneR!$6:$6, 0), FALSE),
            0
        ) +
        IFERROR(
            VLOOKUP($A32, INDIRECT("FebR!$A$6:$ZZ$1048576"), MATCH(U$1, FebR!$6:$6, 0), FALSE),
            0
        ) +
        IFERROR(
            VLOOKUP($A32, INDIRECT("MarR!$A$6:$ZZ$1048576"), MATCH(U$1, MarR!$6:$6, 0), FALSE),
            0
        ) +
        IFERROR(
            VLOOKUP($A32, INDIRECT("AbrR!$A$6:$ZZ$1048576"), MATCH(U$1, AbrR!$6:$6, 0), FALSE),
            0
        ) +
        IFERROR(
            VLOOKUP($A32, INDIRECT("MayR!$A$6:$ZZ$1048576"), MATCH(U$1, MayR!$6:$6, 0), FALSE),
            0
        ) +
        IFERROR(
            VLOOKUP($A32, INDIRECT("JunR!$A$6:$ZZ$1048576"), MATCH(U$1, JunR!$6:$6, 0), FALSE),
            0
        ) +
        IFERROR(
            VLOOKUP($A32, INDIRECT("JulR!$A$6:$ZZ$1048576"), MATCH(U$1, JulR!$6:$6, 0), FALSE),
            0
        ) +
        IFERROR(
            VLOOKUP($A32, INDIRECT("AgoR!$A$6:$ZZ$1048576"), MATCH(U$1, AgoR!$6:$6, 0), FALSE),
            0
        ) +
        IFERROR(
            VLOOKUP($A32, INDIRECT("SepR!$A$6:$ZZ$1048576"), MATCH(U$1, SepR!$6:$6, 0), FALSE),
            0
        ) +
        IFERROR(
            VLOOKUP($A32, INDIRECT("OctR!$A$6:$ZZ$1048576"), MATCH(U$1, OctR!$6:$6, 0), FALSE),
            0
        ) +
        IFERROR(
            VLOOKUP($A32, INDIRECT("NovR!$A$6:$ZZ$1048576"), MATCH(U$1, NovR!$6:$6, 0), FALSE),
            0
        ) +
        IFERROR(
            VLOOKUP($A32, INDIRECT("DicR!$A$6:$ZZ$1048576"), MATCH(U$1, DicR!$6:$6, 0), FALSE),
            0
        )
)</f>
        <v>0</v>
      </c>
      <c r="V32" s="36">
        <f t="array" ref="V32">SUM(
    IFERROR(
            VLOOKUP($A32, INDIRECT("EneR!$A$6:$ZZ$1048576"), MATCH(V$1, EneR!$6:$6, 0), FALSE),
            0
        ) +
        IFERROR(
            VLOOKUP($A32, INDIRECT("FebR!$A$6:$ZZ$1048576"), MATCH(V$1, FebR!$6:$6, 0), FALSE),
            0
        ) +
        IFERROR(
            VLOOKUP($A32, INDIRECT("MarR!$A$6:$ZZ$1048576"), MATCH(V$1, MarR!$6:$6, 0), FALSE),
            0
        ) +
        IFERROR(
            VLOOKUP($A32, INDIRECT("AbrR!$A$6:$ZZ$1048576"), MATCH(V$1, AbrR!$6:$6, 0), FALSE),
            0
        ) +
        IFERROR(
            VLOOKUP($A32, INDIRECT("MayR!$A$6:$ZZ$1048576"), MATCH(V$1, MayR!$6:$6, 0), FALSE),
            0
        ) +
        IFERROR(
            VLOOKUP($A32, INDIRECT("JunR!$A$6:$ZZ$1048576"), MATCH(V$1, JunR!$6:$6, 0), FALSE),
            0
        ) +
        IFERROR(
            VLOOKUP($A32, INDIRECT("JulR!$A$6:$ZZ$1048576"), MATCH(V$1, JulR!$6:$6, 0), FALSE),
            0
        ) +
        IFERROR(
            VLOOKUP($A32, INDIRECT("AgoR!$A$6:$ZZ$1048576"), MATCH(V$1, AgoR!$6:$6, 0), FALSE),
            0
        ) +
        IFERROR(
            VLOOKUP($A32, INDIRECT("SepR!$A$6:$ZZ$1048576"), MATCH(V$1, SepR!$6:$6, 0), FALSE),
            0
        ) +
        IFERROR(
            VLOOKUP($A32, INDIRECT("OctR!$A$6:$ZZ$1048576"), MATCH(V$1, OctR!$6:$6, 0), FALSE),
            0
        ) +
        IFERROR(
            VLOOKUP($A32, INDIRECT("NovR!$A$6:$ZZ$1048576"), MATCH(V$1, NovR!$6:$6, 0), FALSE),
            0
        ) +
        IFERROR(
            VLOOKUP($A32, INDIRECT("DicR!$A$6:$ZZ$1048576"), MATCH(V$1, DicR!$6:$6, 0), FALSE),
            0
        )
)</f>
        <v>0</v>
      </c>
      <c r="W32" s="37">
        <f t="array" ref="W32">SUM(
    IFERROR(
            VLOOKUP($A32, INDIRECT("EneR!$A$6:$ZZ$1048576"), MATCH(W$1, EneR!$6:$6, 0), FALSE),
            0
        ) +
        IFERROR(
            VLOOKUP($A32, INDIRECT("FebR!$A$6:$ZZ$1048576"), MATCH(W$1, FebR!$6:$6, 0), FALSE),
            0
        ) +
        IFERROR(
            VLOOKUP($A32, INDIRECT("MarR!$A$6:$ZZ$1048576"), MATCH(W$1, MarR!$6:$6, 0), FALSE),
            0
        ) +
        IFERROR(
            VLOOKUP($A32, INDIRECT("AbrR!$A$6:$ZZ$1048576"), MATCH(W$1, AbrR!$6:$6, 0), FALSE),
            0
        ) +
        IFERROR(
            VLOOKUP($A32, INDIRECT("MayR!$A$6:$ZZ$1048576"), MATCH(W$1, MayR!$6:$6, 0), FALSE),
            0
        ) +
        IFERROR(
            VLOOKUP($A32, INDIRECT("JunR!$A$6:$ZZ$1048576"), MATCH(W$1, JunR!$6:$6, 0), FALSE),
            0
        ) +
        IFERROR(
            VLOOKUP($A32, INDIRECT("JulR!$A$6:$ZZ$1048576"), MATCH(W$1, JulR!$6:$6, 0), FALSE),
            0
        ) +
        IFERROR(
            VLOOKUP($A32, INDIRECT("AgoR!$A$6:$ZZ$1048576"), MATCH(W$1, AgoR!$6:$6, 0), FALSE),
            0
        ) +
        IFERROR(
            VLOOKUP($A32, INDIRECT("SepR!$A$6:$ZZ$1048576"), MATCH(W$1, SepR!$6:$6, 0), FALSE),
            0
        ) +
        IFERROR(
            VLOOKUP($A32, INDIRECT("OctR!$A$6:$ZZ$1048576"), MATCH(W$1, OctR!$6:$6, 0), FALSE),
            0
        ) +
        IFERROR(
            VLOOKUP($A32, INDIRECT("NovR!$A$6:$ZZ$1048576"), MATCH(W$1, NovR!$6:$6, 0), FALSE),
            0
        ) +
        IFERROR(
            VLOOKUP($A32, INDIRECT("DicR!$A$6:$ZZ$1048576"), MATCH(W$1, DicR!$6:$6, 0), FALSE),
            0
        )
)</f>
        <v>0</v>
      </c>
      <c r="X32" s="36">
        <f t="array" ref="X32">SUM(
    IFERROR(
            VLOOKUP($A32, INDIRECT("EneR!$A$6:$ZZ$1048576"), MATCH(X$1, EneR!$6:$6, 0), FALSE),
            0
        ) +
        IFERROR(
            VLOOKUP($A32, INDIRECT("FebR!$A$6:$ZZ$1048576"), MATCH(X$1, FebR!$6:$6, 0), FALSE),
            0
        ) +
        IFERROR(
            VLOOKUP($A32, INDIRECT("MarR!$A$6:$ZZ$1048576"), MATCH(X$1, MarR!$6:$6, 0), FALSE),
            0
        ) +
        IFERROR(
            VLOOKUP($A32, INDIRECT("AbrR!$A$6:$ZZ$1048576"), MATCH(X$1, AbrR!$6:$6, 0), FALSE),
            0
        ) +
        IFERROR(
            VLOOKUP($A32, INDIRECT("MayR!$A$6:$ZZ$1048576"), MATCH(X$1, MayR!$6:$6, 0), FALSE),
            0
        ) +
        IFERROR(
            VLOOKUP($A32, INDIRECT("JunR!$A$6:$ZZ$1048576"), MATCH(X$1, JunR!$6:$6, 0), FALSE),
            0
        ) +
        IFERROR(
            VLOOKUP($A32, INDIRECT("JulR!$A$6:$ZZ$1048576"), MATCH(X$1, JulR!$6:$6, 0), FALSE),
            0
        ) +
        IFERROR(
            VLOOKUP($A32, INDIRECT("AgoR!$A$6:$ZZ$1048576"), MATCH(X$1, AgoR!$6:$6, 0), FALSE),
            0
        ) +
        IFERROR(
            VLOOKUP($A32, INDIRECT("SepR!$A$6:$ZZ$1048576"), MATCH(X$1, SepR!$6:$6, 0), FALSE),
            0
        ) +
        IFERROR(
            VLOOKUP($A32, INDIRECT("OctR!$A$6:$ZZ$1048576"), MATCH(X$1, OctR!$6:$6, 0), FALSE),
            0
        ) +
        IFERROR(
            VLOOKUP($A32, INDIRECT("NovR!$A$6:$ZZ$1048576"), MATCH(X$1, NovR!$6:$6, 0), FALSE),
            0
        ) +
        IFERROR(
            VLOOKUP($A32, INDIRECT("DicR!$A$6:$ZZ$1048576"), MATCH(X$1, DicR!$6:$6, 0), FALSE),
            0
        )
)</f>
        <v>0</v>
      </c>
      <c r="Y32" s="37">
        <f t="array" ref="Y32">SUM(
    IFERROR(
            VLOOKUP($A32, INDIRECT("EneR!$A$6:$ZZ$1048576"), MATCH(Y$1, EneR!$6:$6, 0), FALSE),
            0
        ) +
        IFERROR(
            VLOOKUP($A32, INDIRECT("FebR!$A$6:$ZZ$1048576"), MATCH(Y$1, FebR!$6:$6, 0), FALSE),
            0
        ) +
        IFERROR(
            VLOOKUP($A32, INDIRECT("MarR!$A$6:$ZZ$1048576"), MATCH(Y$1, MarR!$6:$6, 0), FALSE),
            0
        ) +
        IFERROR(
            VLOOKUP($A32, INDIRECT("AbrR!$A$6:$ZZ$1048576"), MATCH(Y$1, AbrR!$6:$6, 0), FALSE),
            0
        ) +
        IFERROR(
            VLOOKUP($A32, INDIRECT("MayR!$A$6:$ZZ$1048576"), MATCH(Y$1, MayR!$6:$6, 0), FALSE),
            0
        ) +
        IFERROR(
            VLOOKUP($A32, INDIRECT("JunR!$A$6:$ZZ$1048576"), MATCH(Y$1, JunR!$6:$6, 0), FALSE),
            0
        ) +
        IFERROR(
            VLOOKUP($A32, INDIRECT("JulR!$A$6:$ZZ$1048576"), MATCH(Y$1, JulR!$6:$6, 0), FALSE),
            0
        ) +
        IFERROR(
            VLOOKUP($A32, INDIRECT("AgoR!$A$6:$ZZ$1048576"), MATCH(Y$1, AgoR!$6:$6, 0), FALSE),
            0
        ) +
        IFERROR(
            VLOOKUP($A32, INDIRECT("SepR!$A$6:$ZZ$1048576"), MATCH(Y$1, SepR!$6:$6, 0), FALSE),
            0
        ) +
        IFERROR(
            VLOOKUP($A32, INDIRECT("OctR!$A$6:$ZZ$1048576"), MATCH(Y$1, OctR!$6:$6, 0), FALSE),
            0
        ) +
        IFERROR(
            VLOOKUP($A32, INDIRECT("NovR!$A$6:$ZZ$1048576"), MATCH(Y$1, NovR!$6:$6, 0), FALSE),
            0
        ) +
        IFERROR(
            VLOOKUP($A32, INDIRECT("DicR!$A$6:$ZZ$1048576"), MATCH(Y$1, DicR!$6:$6, 0), FALSE),
            0
        )
)</f>
        <v>0</v>
      </c>
      <c r="Z32" s="36">
        <f t="array" ref="Z32">SUM(
    IFERROR(
            VLOOKUP($A32, INDIRECT("EneR!$A$6:$ZZ$1048576"), MATCH(Z$1, EneR!$6:$6, 0), FALSE),
            0
        ) +
        IFERROR(
            VLOOKUP($A32, INDIRECT("FebR!$A$6:$ZZ$1048576"), MATCH(Z$1, FebR!$6:$6, 0), FALSE),
            0
        ) +
        IFERROR(
            VLOOKUP($A32, INDIRECT("MarR!$A$6:$ZZ$1048576"), MATCH(Z$1, MarR!$6:$6, 0), FALSE),
            0
        ) +
        IFERROR(
            VLOOKUP($A32, INDIRECT("AbrR!$A$6:$ZZ$1048576"), MATCH(Z$1, AbrR!$6:$6, 0), FALSE),
            0
        ) +
        IFERROR(
            VLOOKUP($A32, INDIRECT("MayR!$A$6:$ZZ$1048576"), MATCH(Z$1, MayR!$6:$6, 0), FALSE),
            0
        ) +
        IFERROR(
            VLOOKUP($A32, INDIRECT("JunR!$A$6:$ZZ$1048576"), MATCH(Z$1, JunR!$6:$6, 0), FALSE),
            0
        ) +
        IFERROR(
            VLOOKUP($A32, INDIRECT("JulR!$A$6:$ZZ$1048576"), MATCH(Z$1, JulR!$6:$6, 0), FALSE),
            0
        ) +
        IFERROR(
            VLOOKUP($A32, INDIRECT("AgoR!$A$6:$ZZ$1048576"), MATCH(Z$1, AgoR!$6:$6, 0), FALSE),
            0
        ) +
        IFERROR(
            VLOOKUP($A32, INDIRECT("SepR!$A$6:$ZZ$1048576"), MATCH(Z$1, SepR!$6:$6, 0), FALSE),
            0
        ) +
        IFERROR(
            VLOOKUP($A32, INDIRECT("OctR!$A$6:$ZZ$1048576"), MATCH(Z$1, OctR!$6:$6, 0), FALSE),
            0
        ) +
        IFERROR(
            VLOOKUP($A32, INDIRECT("NovR!$A$6:$ZZ$1048576"), MATCH(Z$1, NovR!$6:$6, 0), FALSE),
            0
        ) +
        IFERROR(
            VLOOKUP($A32, INDIRECT("DicR!$A$6:$ZZ$1048576"), MATCH(Z$1, DicR!$6:$6, 0), FALSE),
            0
        )
)</f>
        <v>0</v>
      </c>
      <c r="AA32" s="37">
        <f t="array" ref="AA32">SUM(
    IFERROR(
            VLOOKUP($A32, INDIRECT("EneR!$A$6:$ZZ$1048576"), MATCH(AA$1, EneR!$6:$6, 0), FALSE),
            0
        ) +
        IFERROR(
            VLOOKUP($A32, INDIRECT("FebR!$A$6:$ZZ$1048576"), MATCH(AA$1, FebR!$6:$6, 0), FALSE),
            0
        ) +
        IFERROR(
            VLOOKUP($A32, INDIRECT("MarR!$A$6:$ZZ$1048576"), MATCH(AA$1, MarR!$6:$6, 0), FALSE),
            0
        ) +
        IFERROR(
            VLOOKUP($A32, INDIRECT("AbrR!$A$6:$ZZ$1048576"), MATCH(AA$1, AbrR!$6:$6, 0), FALSE),
            0
        ) +
        IFERROR(
            VLOOKUP($A32, INDIRECT("MayR!$A$6:$ZZ$1048576"), MATCH(AA$1, MayR!$6:$6, 0), FALSE),
            0
        ) +
        IFERROR(
            VLOOKUP($A32, INDIRECT("JunR!$A$6:$ZZ$1048576"), MATCH(AA$1, JunR!$6:$6, 0), FALSE),
            0
        ) +
        IFERROR(
            VLOOKUP($A32, INDIRECT("JulR!$A$6:$ZZ$1048576"), MATCH(AA$1, JulR!$6:$6, 0), FALSE),
            0
        ) +
        IFERROR(
            VLOOKUP($A32, INDIRECT("AgoR!$A$6:$ZZ$1048576"), MATCH(AA$1, AgoR!$6:$6, 0), FALSE),
            0
        ) +
        IFERROR(
            VLOOKUP($A32, INDIRECT("SepR!$A$6:$ZZ$1048576"), MATCH(AA$1, SepR!$6:$6, 0), FALSE),
            0
        ) +
        IFERROR(
            VLOOKUP($A32, INDIRECT("OctR!$A$6:$ZZ$1048576"), MATCH(AA$1, OctR!$6:$6, 0), FALSE),
            0
        ) +
        IFERROR(
            VLOOKUP($A32, INDIRECT("NovR!$A$6:$ZZ$1048576"), MATCH(AA$1, NovR!$6:$6, 0), FALSE),
            0
        ) +
        IFERROR(
            VLOOKUP($A32, INDIRECT("DicR!$A$6:$ZZ$1048576"), MATCH(AA$1, DicR!$6:$6, 0), FALSE),
            0
        )
)</f>
        <v>0</v>
      </c>
      <c r="AB32" s="36">
        <f t="array" ref="AB32">SUM(
    IFERROR(
            VLOOKUP($A32, INDIRECT("EneR!$A$6:$ZZ$1048576"), MATCH(AB$1, EneR!$6:$6, 0), FALSE),
            0
        ) +
        IFERROR(
            VLOOKUP($A32, INDIRECT("FebR!$A$6:$ZZ$1048576"), MATCH(AB$1, FebR!$6:$6, 0), FALSE),
            0
        ) +
        IFERROR(
            VLOOKUP($A32, INDIRECT("MarR!$A$6:$ZZ$1048576"), MATCH(AB$1, MarR!$6:$6, 0), FALSE),
            0
        ) +
        IFERROR(
            VLOOKUP($A32, INDIRECT("AbrR!$A$6:$ZZ$1048576"), MATCH(AB$1, AbrR!$6:$6, 0), FALSE),
            0
        ) +
        IFERROR(
            VLOOKUP($A32, INDIRECT("MayR!$A$6:$ZZ$1048576"), MATCH(AB$1, MayR!$6:$6, 0), FALSE),
            0
        ) +
        IFERROR(
            VLOOKUP($A32, INDIRECT("JunR!$A$6:$ZZ$1048576"), MATCH(AB$1, JunR!$6:$6, 0), FALSE),
            0
        ) +
        IFERROR(
            VLOOKUP($A32, INDIRECT("JulR!$A$6:$ZZ$1048576"), MATCH(AB$1, JulR!$6:$6, 0), FALSE),
            0
        ) +
        IFERROR(
            VLOOKUP($A32, INDIRECT("AgoR!$A$6:$ZZ$1048576"), MATCH(AB$1, AgoR!$6:$6, 0), FALSE),
            0
        ) +
        IFERROR(
            VLOOKUP($A32, INDIRECT("SepR!$A$6:$ZZ$1048576"), MATCH(AB$1, SepR!$6:$6, 0), FALSE),
            0
        ) +
        IFERROR(
            VLOOKUP($A32, INDIRECT("OctR!$A$6:$ZZ$1048576"), MATCH(AB$1, OctR!$6:$6, 0), FALSE),
            0
        ) +
        IFERROR(
            VLOOKUP($A32, INDIRECT("NovR!$A$6:$ZZ$1048576"), MATCH(AB$1, NovR!$6:$6, 0), FALSE),
            0
        ) +
        IFERROR(
            VLOOKUP($A32, INDIRECT("DicR!$A$6:$ZZ$1048576"), MATCH(AB$1, DicR!$6:$6, 0), FALSE),
            0
        )
)</f>
        <v>0</v>
      </c>
      <c r="AC32" s="37">
        <f t="array" ref="AC32">SUM(
    IFERROR(
            VLOOKUP($A32, INDIRECT("EneR!$A$6:$ZZ$1048576"), MATCH(AC$1, EneR!$6:$6, 0), FALSE),
            0
        ) +
        IFERROR(
            VLOOKUP($A32, INDIRECT("FebR!$A$6:$ZZ$1048576"), MATCH(AC$1, FebR!$6:$6, 0), FALSE),
            0
        ) +
        IFERROR(
            VLOOKUP($A32, INDIRECT("MarR!$A$6:$ZZ$1048576"), MATCH(AC$1, MarR!$6:$6, 0), FALSE),
            0
        ) +
        IFERROR(
            VLOOKUP($A32, INDIRECT("AbrR!$A$6:$ZZ$1048576"), MATCH(AC$1, AbrR!$6:$6, 0), FALSE),
            0
        ) +
        IFERROR(
            VLOOKUP($A32, INDIRECT("MayR!$A$6:$ZZ$1048576"), MATCH(AC$1, MayR!$6:$6, 0), FALSE),
            0
        ) +
        IFERROR(
            VLOOKUP($A32, INDIRECT("JunR!$A$6:$ZZ$1048576"), MATCH(AC$1, JunR!$6:$6, 0), FALSE),
            0
        ) +
        IFERROR(
            VLOOKUP($A32, INDIRECT("JulR!$A$6:$ZZ$1048576"), MATCH(AC$1, JulR!$6:$6, 0), FALSE),
            0
        ) +
        IFERROR(
            VLOOKUP($A32, INDIRECT("AgoR!$A$6:$ZZ$1048576"), MATCH(AC$1, AgoR!$6:$6, 0), FALSE),
            0
        ) +
        IFERROR(
            VLOOKUP($A32, INDIRECT("SepR!$A$6:$ZZ$1048576"), MATCH(AC$1, SepR!$6:$6, 0), FALSE),
            0
        ) +
        IFERROR(
            VLOOKUP($A32, INDIRECT("OctR!$A$6:$ZZ$1048576"), MATCH(AC$1, OctR!$6:$6, 0), FALSE),
            0
        ) +
        IFERROR(
            VLOOKUP($A32, INDIRECT("NovR!$A$6:$ZZ$1048576"), MATCH(AC$1, NovR!$6:$6, 0), FALSE),
            0
        ) +
        IFERROR(
            VLOOKUP($A32, INDIRECT("DicR!$A$6:$ZZ$1048576"), MATCH(AC$1, DicR!$6:$6, 0), FALSE),
            0
        )
)</f>
        <v>0</v>
      </c>
      <c r="AD32" s="36">
        <f t="array" ref="AD32">SUM(
    IFERROR(
            VLOOKUP($A32, INDIRECT("EneR!$A$6:$ZZ$1048576"), MATCH(AD$1, EneR!$6:$6, 0), FALSE),
            0
        ) +
        IFERROR(
            VLOOKUP($A32, INDIRECT("FebR!$A$6:$ZZ$1048576"), MATCH(AD$1, FebR!$6:$6, 0), FALSE),
            0
        ) +
        IFERROR(
            VLOOKUP($A32, INDIRECT("MarR!$A$6:$ZZ$1048576"), MATCH(AD$1, MarR!$6:$6, 0), FALSE),
            0
        ) +
        IFERROR(
            VLOOKUP($A32, INDIRECT("AbrR!$A$6:$ZZ$1048576"), MATCH(AD$1, AbrR!$6:$6, 0), FALSE),
            0
        ) +
        IFERROR(
            VLOOKUP($A32, INDIRECT("MayR!$A$6:$ZZ$1048576"), MATCH(AD$1, MayR!$6:$6, 0), FALSE),
            0
        ) +
        IFERROR(
            VLOOKUP($A32, INDIRECT("JunR!$A$6:$ZZ$1048576"), MATCH(AD$1, JunR!$6:$6, 0), FALSE),
            0
        ) +
        IFERROR(
            VLOOKUP($A32, INDIRECT("JulR!$A$6:$ZZ$1048576"), MATCH(AD$1, JulR!$6:$6, 0), FALSE),
            0
        ) +
        IFERROR(
            VLOOKUP($A32, INDIRECT("AgoR!$A$6:$ZZ$1048576"), MATCH(AD$1, AgoR!$6:$6, 0), FALSE),
            0
        ) +
        IFERROR(
            VLOOKUP($A32, INDIRECT("SepR!$A$6:$ZZ$1048576"), MATCH(AD$1, SepR!$6:$6, 0), FALSE),
            0
        ) +
        IFERROR(
            VLOOKUP($A32, INDIRECT("OctR!$A$6:$ZZ$1048576"), MATCH(AD$1, OctR!$6:$6, 0), FALSE),
            0
        ) +
        IFERROR(
            VLOOKUP($A32, INDIRECT("NovR!$A$6:$ZZ$1048576"), MATCH(AD$1, NovR!$6:$6, 0), FALSE),
            0
        ) +
        IFERROR(
            VLOOKUP($A32, INDIRECT("DicR!$A$6:$ZZ$1048576"), MATCH(AD$1, DicR!$6:$6, 0), FALSE),
            0
        )
)</f>
        <v>0</v>
      </c>
      <c r="AE32" s="37">
        <f t="array" ref="AE32">SUM(
    IFERROR(
            VLOOKUP($A32, INDIRECT("EneR!$A$6:$ZZ$1048576"), MATCH(AE$1, EneR!$6:$6, 0), FALSE),
            0
        ) +
        IFERROR(
            VLOOKUP($A32, INDIRECT("FebR!$A$6:$ZZ$1048576"), MATCH(AE$1, FebR!$6:$6, 0), FALSE),
            0
        ) +
        IFERROR(
            VLOOKUP($A32, INDIRECT("MarR!$A$6:$ZZ$1048576"), MATCH(AE$1, MarR!$6:$6, 0), FALSE),
            0
        ) +
        IFERROR(
            VLOOKUP($A32, INDIRECT("AbrR!$A$6:$ZZ$1048576"), MATCH(AE$1, AbrR!$6:$6, 0), FALSE),
            0
        ) +
        IFERROR(
            VLOOKUP($A32, INDIRECT("MayR!$A$6:$ZZ$1048576"), MATCH(AE$1, MayR!$6:$6, 0), FALSE),
            0
        ) +
        IFERROR(
            VLOOKUP($A32, INDIRECT("JunR!$A$6:$ZZ$1048576"), MATCH(AE$1, JunR!$6:$6, 0), FALSE),
            0
        ) +
        IFERROR(
            VLOOKUP($A32, INDIRECT("JulR!$A$6:$ZZ$1048576"), MATCH(AE$1, JulR!$6:$6, 0), FALSE),
            0
        ) +
        IFERROR(
            VLOOKUP($A32, INDIRECT("AgoR!$A$6:$ZZ$1048576"), MATCH(AE$1, AgoR!$6:$6, 0), FALSE),
            0
        ) +
        IFERROR(
            VLOOKUP($A32, INDIRECT("SepR!$A$6:$ZZ$1048576"), MATCH(AE$1, SepR!$6:$6, 0), FALSE),
            0
        ) +
        IFERROR(
            VLOOKUP($A32, INDIRECT("OctR!$A$6:$ZZ$1048576"), MATCH(AE$1, OctR!$6:$6, 0), FALSE),
            0
        ) +
        IFERROR(
            VLOOKUP($A32, INDIRECT("NovR!$A$6:$ZZ$1048576"), MATCH(AE$1, NovR!$6:$6, 0), FALSE),
            0
        ) +
        IFERROR(
            VLOOKUP($A32, INDIRECT("DicR!$A$6:$ZZ$1048576"), MATCH(AE$1, DicR!$6:$6, 0), FALSE),
            0
        )
)</f>
        <v>0</v>
      </c>
      <c r="AF32" s="36">
        <f t="array" ref="AF32">SUM(
    IFERROR(
            VLOOKUP($A32, INDIRECT("EneR!$A$6:$ZZ$1048576"), MATCH(AF$1, EneR!$6:$6, 0), FALSE),
            0
        ) +
        IFERROR(
            VLOOKUP($A32, INDIRECT("FebR!$A$6:$ZZ$1048576"), MATCH(AF$1, FebR!$6:$6, 0), FALSE),
            0
        ) +
        IFERROR(
            VLOOKUP($A32, INDIRECT("MarR!$A$6:$ZZ$1048576"), MATCH(AF$1, MarR!$6:$6, 0), FALSE),
            0
        ) +
        IFERROR(
            VLOOKUP($A32, INDIRECT("AbrR!$A$6:$ZZ$1048576"), MATCH(AF$1, AbrR!$6:$6, 0), FALSE),
            0
        ) +
        IFERROR(
            VLOOKUP($A32, INDIRECT("MayR!$A$6:$ZZ$1048576"), MATCH(AF$1, MayR!$6:$6, 0), FALSE),
            0
        ) +
        IFERROR(
            VLOOKUP($A32, INDIRECT("JunR!$A$6:$ZZ$1048576"), MATCH(AF$1, JunR!$6:$6, 0), FALSE),
            0
        ) +
        IFERROR(
            VLOOKUP($A32, INDIRECT("JulR!$A$6:$ZZ$1048576"), MATCH(AF$1, JulR!$6:$6, 0), FALSE),
            0
        ) +
        IFERROR(
            VLOOKUP($A32, INDIRECT("AgoR!$A$6:$ZZ$1048576"), MATCH(AF$1, AgoR!$6:$6, 0), FALSE),
            0
        ) +
        IFERROR(
            VLOOKUP($A32, INDIRECT("SepR!$A$6:$ZZ$1048576"), MATCH(AF$1, SepR!$6:$6, 0), FALSE),
            0
        ) +
        IFERROR(
            VLOOKUP($A32, INDIRECT("OctR!$A$6:$ZZ$1048576"), MATCH(AF$1, OctR!$6:$6, 0), FALSE),
            0
        ) +
        IFERROR(
            VLOOKUP($A32, INDIRECT("NovR!$A$6:$ZZ$1048576"), MATCH(AF$1, NovR!$6:$6, 0), FALSE),
            0
        ) +
        IFERROR(
            VLOOKUP($A32, INDIRECT("DicR!$A$6:$ZZ$1048576"), MATCH(AF$1, DicR!$6:$6, 0), FALSE),
            0
        )
)</f>
        <v>0</v>
      </c>
      <c r="AG32" s="37">
        <f t="array" ref="AG32">SUM(
    IFERROR(
            VLOOKUP($A32, INDIRECT("EneR!$A$6:$ZZ$1048576"), MATCH(AG$1, EneR!$6:$6, 0), FALSE),
            0
        ) +
        IFERROR(
            VLOOKUP($A32, INDIRECT("FebR!$A$6:$ZZ$1048576"), MATCH(AG$1, FebR!$6:$6, 0), FALSE),
            0
        ) +
        IFERROR(
            VLOOKUP($A32, INDIRECT("MarR!$A$6:$ZZ$1048576"), MATCH(AG$1, MarR!$6:$6, 0), FALSE),
            0
        ) +
        IFERROR(
            VLOOKUP($A32, INDIRECT("AbrR!$A$6:$ZZ$1048576"), MATCH(AG$1, AbrR!$6:$6, 0), FALSE),
            0
        ) +
        IFERROR(
            VLOOKUP($A32, INDIRECT("MayR!$A$6:$ZZ$1048576"), MATCH(AG$1, MayR!$6:$6, 0), FALSE),
            0
        ) +
        IFERROR(
            VLOOKUP($A32, INDIRECT("JunR!$A$6:$ZZ$1048576"), MATCH(AG$1, JunR!$6:$6, 0), FALSE),
            0
        ) +
        IFERROR(
            VLOOKUP($A32, INDIRECT("JulR!$A$6:$ZZ$1048576"), MATCH(AG$1, JulR!$6:$6, 0), FALSE),
            0
        ) +
        IFERROR(
            VLOOKUP($A32, INDIRECT("AgoR!$A$6:$ZZ$1048576"), MATCH(AG$1, AgoR!$6:$6, 0), FALSE),
            0
        ) +
        IFERROR(
            VLOOKUP($A32, INDIRECT("SepR!$A$6:$ZZ$1048576"), MATCH(AG$1, SepR!$6:$6, 0), FALSE),
            0
        ) +
        IFERROR(
            VLOOKUP($A32, INDIRECT("OctR!$A$6:$ZZ$1048576"), MATCH(AG$1, OctR!$6:$6, 0), FALSE),
            0
        ) +
        IFERROR(
            VLOOKUP($A32, INDIRECT("NovR!$A$6:$ZZ$1048576"), MATCH(AG$1, NovR!$6:$6, 0), FALSE),
            0
        ) +
        IFERROR(
            VLOOKUP($A32, INDIRECT("DicR!$A$6:$ZZ$1048576"), MATCH(AG$1, DicR!$6:$6, 0), FALSE),
            0
        )
)</f>
        <v>0</v>
      </c>
      <c r="AH32" s="36">
        <f t="array" ref="AH32">SUM(
    IFERROR(
            VLOOKUP($A32, INDIRECT("EneR!$A$6:$ZZ$1048576"), MATCH(AH$1, EneR!$6:$6, 0), FALSE),
            0
        ) +
        IFERROR(
            VLOOKUP($A32, INDIRECT("FebR!$A$6:$ZZ$1048576"), MATCH(AH$1, FebR!$6:$6, 0), FALSE),
            0
        ) +
        IFERROR(
            VLOOKUP($A32, INDIRECT("MarR!$A$6:$ZZ$1048576"), MATCH(AH$1, MarR!$6:$6, 0), FALSE),
            0
        ) +
        IFERROR(
            VLOOKUP($A32, INDIRECT("AbrR!$A$6:$ZZ$1048576"), MATCH(AH$1, AbrR!$6:$6, 0), FALSE),
            0
        ) +
        IFERROR(
            VLOOKUP($A32, INDIRECT("MayR!$A$6:$ZZ$1048576"), MATCH(AH$1, MayR!$6:$6, 0), FALSE),
            0
        ) +
        IFERROR(
            VLOOKUP($A32, INDIRECT("JunR!$A$6:$ZZ$1048576"), MATCH(AH$1, JunR!$6:$6, 0), FALSE),
            0
        ) +
        IFERROR(
            VLOOKUP($A32, INDIRECT("JulR!$A$6:$ZZ$1048576"), MATCH(AH$1, JulR!$6:$6, 0), FALSE),
            0
        ) +
        IFERROR(
            VLOOKUP($A32, INDIRECT("AgoR!$A$6:$ZZ$1048576"), MATCH(AH$1, AgoR!$6:$6, 0), FALSE),
            0
        ) +
        IFERROR(
            VLOOKUP($A32, INDIRECT("SepR!$A$6:$ZZ$1048576"), MATCH(AH$1, SepR!$6:$6, 0), FALSE),
            0
        ) +
        IFERROR(
            VLOOKUP($A32, INDIRECT("OctR!$A$6:$ZZ$1048576"), MATCH(AH$1, OctR!$6:$6, 0), FALSE),
            0
        ) +
        IFERROR(
            VLOOKUP($A32, INDIRECT("NovR!$A$6:$ZZ$1048576"), MATCH(AH$1, NovR!$6:$6, 0), FALSE),
            0
        ) +
        IFERROR(
            VLOOKUP($A32, INDIRECT("DicR!$A$6:$ZZ$1048576"), MATCH(AH$1, DicR!$6:$6, 0), FALSE),
            0
        )
)</f>
        <v>0</v>
      </c>
      <c r="AI32" s="37">
        <f t="array" ref="AI32">SUM(
    IFERROR(
            VLOOKUP($A32, INDIRECT("EneR!$A$6:$ZZ$1048576"), MATCH(AI$1, EneR!$6:$6, 0), FALSE),
            0
        ) +
        IFERROR(
            VLOOKUP($A32, INDIRECT("FebR!$A$6:$ZZ$1048576"), MATCH(AI$1, FebR!$6:$6, 0), FALSE),
            0
        ) +
        IFERROR(
            VLOOKUP($A32, INDIRECT("MarR!$A$6:$ZZ$1048576"), MATCH(AI$1, MarR!$6:$6, 0), FALSE),
            0
        ) +
        IFERROR(
            VLOOKUP($A32, INDIRECT("AbrR!$A$6:$ZZ$1048576"), MATCH(AI$1, AbrR!$6:$6, 0), FALSE),
            0
        ) +
        IFERROR(
            VLOOKUP($A32, INDIRECT("MayR!$A$6:$ZZ$1048576"), MATCH(AI$1, MayR!$6:$6, 0), FALSE),
            0
        ) +
        IFERROR(
            VLOOKUP($A32, INDIRECT("JunR!$A$6:$ZZ$1048576"), MATCH(AI$1, JunR!$6:$6, 0), FALSE),
            0
        ) +
        IFERROR(
            VLOOKUP($A32, INDIRECT("JulR!$A$6:$ZZ$1048576"), MATCH(AI$1, JulR!$6:$6, 0), FALSE),
            0
        ) +
        IFERROR(
            VLOOKUP($A32, INDIRECT("AgoR!$A$6:$ZZ$1048576"), MATCH(AI$1, AgoR!$6:$6, 0), FALSE),
            0
        ) +
        IFERROR(
            VLOOKUP($A32, INDIRECT("SepR!$A$6:$ZZ$1048576"), MATCH(AI$1, SepR!$6:$6, 0), FALSE),
            0
        ) +
        IFERROR(
            VLOOKUP($A32, INDIRECT("OctR!$A$6:$ZZ$1048576"), MATCH(AI$1, OctR!$6:$6, 0), FALSE),
            0
        ) +
        IFERROR(
            VLOOKUP($A32, INDIRECT("NovR!$A$6:$ZZ$1048576"), MATCH(AI$1, NovR!$6:$6, 0), FALSE),
            0
        ) +
        IFERROR(
            VLOOKUP($A32, INDIRECT("DicR!$A$6:$ZZ$1048576"), MATCH(AI$1, DicR!$6:$6, 0), FALSE),
            0
        )
)</f>
        <v>0</v>
      </c>
      <c r="AJ32" s="36">
        <f t="array" ref="AJ32">SUM(
    IFERROR(
            VLOOKUP($A32, INDIRECT("EneR!$A$6:$ZZ$1048576"), MATCH(AJ$1, EneR!$6:$6, 0), FALSE),
            0
        ) +
        IFERROR(
            VLOOKUP($A32, INDIRECT("FebR!$A$6:$ZZ$1048576"), MATCH(AJ$1, FebR!$6:$6, 0), FALSE),
            0
        ) +
        IFERROR(
            VLOOKUP($A32, INDIRECT("MarR!$A$6:$ZZ$1048576"), MATCH(AJ$1, MarR!$6:$6, 0), FALSE),
            0
        ) +
        IFERROR(
            VLOOKUP($A32, INDIRECT("AbrR!$A$6:$ZZ$1048576"), MATCH(AJ$1, AbrR!$6:$6, 0), FALSE),
            0
        ) +
        IFERROR(
            VLOOKUP($A32, INDIRECT("MayR!$A$6:$ZZ$1048576"), MATCH(AJ$1, MayR!$6:$6, 0), FALSE),
            0
        ) +
        IFERROR(
            VLOOKUP($A32, INDIRECT("JunR!$A$6:$ZZ$1048576"), MATCH(AJ$1, JunR!$6:$6, 0), FALSE),
            0
        ) +
        IFERROR(
            VLOOKUP($A32, INDIRECT("JulR!$A$6:$ZZ$1048576"), MATCH(AJ$1, JulR!$6:$6, 0), FALSE),
            0
        ) +
        IFERROR(
            VLOOKUP($A32, INDIRECT("AgoR!$A$6:$ZZ$1048576"), MATCH(AJ$1, AgoR!$6:$6, 0), FALSE),
            0
        ) +
        IFERROR(
            VLOOKUP($A32, INDIRECT("SepR!$A$6:$ZZ$1048576"), MATCH(AJ$1, SepR!$6:$6, 0), FALSE),
            0
        ) +
        IFERROR(
            VLOOKUP($A32, INDIRECT("OctR!$A$6:$ZZ$1048576"), MATCH(AJ$1, OctR!$6:$6, 0), FALSE),
            0
        ) +
        IFERROR(
            VLOOKUP($A32, INDIRECT("NovR!$A$6:$ZZ$1048576"), MATCH(AJ$1, NovR!$6:$6, 0), FALSE),
            0
        ) +
        IFERROR(
            VLOOKUP($A32, INDIRECT("DicR!$A$6:$ZZ$1048576"), MATCH(AJ$1, DicR!$6:$6, 0), FALSE),
            0
        )
)</f>
        <v>0</v>
      </c>
      <c r="AK32" s="37">
        <f t="array" ref="AK32">SUM(
    IFERROR(
            VLOOKUP($A32, INDIRECT("EneR!$A$6:$ZZ$1048576"), MATCH(AK$1, EneR!$6:$6, 0), FALSE),
            0
        ) +
        IFERROR(
            VLOOKUP($A32, INDIRECT("FebR!$A$6:$ZZ$1048576"), MATCH(AK$1, FebR!$6:$6, 0), FALSE),
            0
        ) +
        IFERROR(
            VLOOKUP($A32, INDIRECT("MarR!$A$6:$ZZ$1048576"), MATCH(AK$1, MarR!$6:$6, 0), FALSE),
            0
        ) +
        IFERROR(
            VLOOKUP($A32, INDIRECT("AbrR!$A$6:$ZZ$1048576"), MATCH(AK$1, AbrR!$6:$6, 0), FALSE),
            0
        ) +
        IFERROR(
            VLOOKUP($A32, INDIRECT("MayR!$A$6:$ZZ$1048576"), MATCH(AK$1, MayR!$6:$6, 0), FALSE),
            0
        ) +
        IFERROR(
            VLOOKUP($A32, INDIRECT("JunR!$A$6:$ZZ$1048576"), MATCH(AK$1, JunR!$6:$6, 0), FALSE),
            0
        ) +
        IFERROR(
            VLOOKUP($A32, INDIRECT("JulR!$A$6:$ZZ$1048576"), MATCH(AK$1, JulR!$6:$6, 0), FALSE),
            0
        ) +
        IFERROR(
            VLOOKUP($A32, INDIRECT("AgoR!$A$6:$ZZ$1048576"), MATCH(AK$1, AgoR!$6:$6, 0), FALSE),
            0
        ) +
        IFERROR(
            VLOOKUP($A32, INDIRECT("SepR!$A$6:$ZZ$1048576"), MATCH(AK$1, SepR!$6:$6, 0), FALSE),
            0
        ) +
        IFERROR(
            VLOOKUP($A32, INDIRECT("OctR!$A$6:$ZZ$1048576"), MATCH(AK$1, OctR!$6:$6, 0), FALSE),
            0
        ) +
        IFERROR(
            VLOOKUP($A32, INDIRECT("NovR!$A$6:$ZZ$1048576"), MATCH(AK$1, NovR!$6:$6, 0), FALSE),
            0
        ) +
        IFERROR(
            VLOOKUP($A32, INDIRECT("DicR!$A$6:$ZZ$1048576"), MATCH(AK$1, DicR!$6:$6, 0), FALSE),
            0
        )
)</f>
        <v>0</v>
      </c>
      <c r="AL32" s="36">
        <f t="array" ref="AL32">SUM(
    IFERROR(
            VLOOKUP($A32, INDIRECT("EneR!$A$6:$ZZ$1048576"), MATCH(AL$1, EneR!$6:$6, 0), FALSE),
            0
        ) +
        IFERROR(
            VLOOKUP($A32, INDIRECT("FebR!$A$6:$ZZ$1048576"), MATCH(AL$1, FebR!$6:$6, 0), FALSE),
            0
        ) +
        IFERROR(
            VLOOKUP($A32, INDIRECT("MarR!$A$6:$ZZ$1048576"), MATCH(AL$1, MarR!$6:$6, 0), FALSE),
            0
        ) +
        IFERROR(
            VLOOKUP($A32, INDIRECT("AbrR!$A$6:$ZZ$1048576"), MATCH(AL$1, AbrR!$6:$6, 0), FALSE),
            0
        ) +
        IFERROR(
            VLOOKUP($A32, INDIRECT("MayR!$A$6:$ZZ$1048576"), MATCH(AL$1, MayR!$6:$6, 0), FALSE),
            0
        ) +
        IFERROR(
            VLOOKUP($A32, INDIRECT("JunR!$A$6:$ZZ$1048576"), MATCH(AL$1, JunR!$6:$6, 0), FALSE),
            0
        ) +
        IFERROR(
            VLOOKUP($A32, INDIRECT("JulR!$A$6:$ZZ$1048576"), MATCH(AL$1, JulR!$6:$6, 0), FALSE),
            0
        ) +
        IFERROR(
            VLOOKUP($A32, INDIRECT("AgoR!$A$6:$ZZ$1048576"), MATCH(AL$1, AgoR!$6:$6, 0), FALSE),
            0
        ) +
        IFERROR(
            VLOOKUP($A32, INDIRECT("SepR!$A$6:$ZZ$1048576"), MATCH(AL$1, SepR!$6:$6, 0), FALSE),
            0
        ) +
        IFERROR(
            VLOOKUP($A32, INDIRECT("OctR!$A$6:$ZZ$1048576"), MATCH(AL$1, OctR!$6:$6, 0), FALSE),
            0
        ) +
        IFERROR(
            VLOOKUP($A32, INDIRECT("NovR!$A$6:$ZZ$1048576"), MATCH(AL$1, NovR!$6:$6, 0), FALSE),
            0
        ) +
        IFERROR(
            VLOOKUP($A32, INDIRECT("DicR!$A$6:$ZZ$1048576"), MATCH(AL$1, DicR!$6:$6, 0), FALSE),
            0
        )
)</f>
        <v>0</v>
      </c>
      <c r="AM32" s="37">
        <f t="array" ref="AM32">SUM(
    IFERROR(
            VLOOKUP($A32, INDIRECT("EneR!$A$6:$ZZ$1048576"), MATCH(AM$1, EneR!$6:$6, 0), FALSE),
            0
        ) +
        IFERROR(
            VLOOKUP($A32, INDIRECT("FebR!$A$6:$ZZ$1048576"), MATCH(AM$1, FebR!$6:$6, 0), FALSE),
            0
        ) +
        IFERROR(
            VLOOKUP($A32, INDIRECT("MarR!$A$6:$ZZ$1048576"), MATCH(AM$1, MarR!$6:$6, 0), FALSE),
            0
        ) +
        IFERROR(
            VLOOKUP($A32, INDIRECT("AbrR!$A$6:$ZZ$1048576"), MATCH(AM$1, AbrR!$6:$6, 0), FALSE),
            0
        ) +
        IFERROR(
            VLOOKUP($A32, INDIRECT("MayR!$A$6:$ZZ$1048576"), MATCH(AM$1, MayR!$6:$6, 0), FALSE),
            0
        ) +
        IFERROR(
            VLOOKUP($A32, INDIRECT("JunR!$A$6:$ZZ$1048576"), MATCH(AM$1, JunR!$6:$6, 0), FALSE),
            0
        ) +
        IFERROR(
            VLOOKUP($A32, INDIRECT("JulR!$A$6:$ZZ$1048576"), MATCH(AM$1, JulR!$6:$6, 0), FALSE),
            0
        ) +
        IFERROR(
            VLOOKUP($A32, INDIRECT("AgoR!$A$6:$ZZ$1048576"), MATCH(AM$1, AgoR!$6:$6, 0), FALSE),
            0
        ) +
        IFERROR(
            VLOOKUP($A32, INDIRECT("SepR!$A$6:$ZZ$1048576"), MATCH(AM$1, SepR!$6:$6, 0), FALSE),
            0
        ) +
        IFERROR(
            VLOOKUP($A32, INDIRECT("OctR!$A$6:$ZZ$1048576"), MATCH(AM$1, OctR!$6:$6, 0), FALSE),
            0
        ) +
        IFERROR(
            VLOOKUP($A32, INDIRECT("NovR!$A$6:$ZZ$1048576"), MATCH(AM$1, NovR!$6:$6, 0), FALSE),
            0
        ) +
        IFERROR(
            VLOOKUP($A32, INDIRECT("DicR!$A$6:$ZZ$1048576"), MATCH(AM$1, DicR!$6:$6, 0), FALSE),
            0
        )
)</f>
        <v>0</v>
      </c>
      <c r="AN32" s="36">
        <f t="array" ref="AN32">SUM(
    IFERROR(
            VLOOKUP($A32, INDIRECT("EneR!$A$6:$ZZ$1048576"), MATCH(AN$1, EneR!$6:$6, 0), FALSE),
            0
        ) +
        IFERROR(
            VLOOKUP($A32, INDIRECT("FebR!$A$6:$ZZ$1048576"), MATCH(AN$1, FebR!$6:$6, 0), FALSE),
            0
        ) +
        IFERROR(
            VLOOKUP($A32, INDIRECT("MarR!$A$6:$ZZ$1048576"), MATCH(AN$1, MarR!$6:$6, 0), FALSE),
            0
        ) +
        IFERROR(
            VLOOKUP($A32, INDIRECT("AbrR!$A$6:$ZZ$1048576"), MATCH(AN$1, AbrR!$6:$6, 0), FALSE),
            0
        ) +
        IFERROR(
            VLOOKUP($A32, INDIRECT("MayR!$A$6:$ZZ$1048576"), MATCH(AN$1, MayR!$6:$6, 0), FALSE),
            0
        ) +
        IFERROR(
            VLOOKUP($A32, INDIRECT("JunR!$A$6:$ZZ$1048576"), MATCH(AN$1, JunR!$6:$6, 0), FALSE),
            0
        ) +
        IFERROR(
            VLOOKUP($A32, INDIRECT("JulR!$A$6:$ZZ$1048576"), MATCH(AN$1, JulR!$6:$6, 0), FALSE),
            0
        ) +
        IFERROR(
            VLOOKUP($A32, INDIRECT("AgoR!$A$6:$ZZ$1048576"), MATCH(AN$1, AgoR!$6:$6, 0), FALSE),
            0
        ) +
        IFERROR(
            VLOOKUP($A32, INDIRECT("SepR!$A$6:$ZZ$1048576"), MATCH(AN$1, SepR!$6:$6, 0), FALSE),
            0
        ) +
        IFERROR(
            VLOOKUP($A32, INDIRECT("OctR!$A$6:$ZZ$1048576"), MATCH(AN$1, OctR!$6:$6, 0), FALSE),
            0
        ) +
        IFERROR(
            VLOOKUP($A32, INDIRECT("NovR!$A$6:$ZZ$1048576"), MATCH(AN$1, NovR!$6:$6, 0), FALSE),
            0
        ) +
        IFERROR(
            VLOOKUP($A32, INDIRECT("DicR!$A$6:$ZZ$1048576"), MATCH(AN$1, DicR!$6:$6, 0), FALSE),
            0
        )
)</f>
        <v>0</v>
      </c>
      <c r="AO32" s="37">
        <f t="array" ref="AO32">SUM(
    IFERROR(
            VLOOKUP($A32, INDIRECT("EneR!$A$6:$ZZ$1048576"), MATCH(AO$1, EneR!$6:$6, 0), FALSE),
            0
        ) +
        IFERROR(
            VLOOKUP($A32, INDIRECT("FebR!$A$6:$ZZ$1048576"), MATCH(AO$1, FebR!$6:$6, 0), FALSE),
            0
        ) +
        IFERROR(
            VLOOKUP($A32, INDIRECT("MarR!$A$6:$ZZ$1048576"), MATCH(AO$1, MarR!$6:$6, 0), FALSE),
            0
        ) +
        IFERROR(
            VLOOKUP($A32, INDIRECT("AbrR!$A$6:$ZZ$1048576"), MATCH(AO$1, AbrR!$6:$6, 0), FALSE),
            0
        ) +
        IFERROR(
            VLOOKUP($A32, INDIRECT("MayR!$A$6:$ZZ$1048576"), MATCH(AO$1, MayR!$6:$6, 0), FALSE),
            0
        ) +
        IFERROR(
            VLOOKUP($A32, INDIRECT("JunR!$A$6:$ZZ$1048576"), MATCH(AO$1, JunR!$6:$6, 0), FALSE),
            0
        ) +
        IFERROR(
            VLOOKUP($A32, INDIRECT("JulR!$A$6:$ZZ$1048576"), MATCH(AO$1, JulR!$6:$6, 0), FALSE),
            0
        ) +
        IFERROR(
            VLOOKUP($A32, INDIRECT("AgoR!$A$6:$ZZ$1048576"), MATCH(AO$1, AgoR!$6:$6, 0), FALSE),
            0
        ) +
        IFERROR(
            VLOOKUP($A32, INDIRECT("SepR!$A$6:$ZZ$1048576"), MATCH(AO$1, SepR!$6:$6, 0), FALSE),
            0
        ) +
        IFERROR(
            VLOOKUP($A32, INDIRECT("OctR!$A$6:$ZZ$1048576"), MATCH(AO$1, OctR!$6:$6, 0), FALSE),
            0
        ) +
        IFERROR(
            VLOOKUP($A32, INDIRECT("NovR!$A$6:$ZZ$1048576"), MATCH(AO$1, NovR!$6:$6, 0), FALSE),
            0
        ) +
        IFERROR(
            VLOOKUP($A32, INDIRECT("DicR!$A$6:$ZZ$1048576"), MATCH(AO$1, DicR!$6:$6, 0), FALSE),
            0
        )
)</f>
        <v>0</v>
      </c>
      <c r="AP32" s="36">
        <f t="array" ref="AP32">SUM(
    IFERROR(
            VLOOKUP($A32, INDIRECT("EneR!$A$6:$ZZ$1048576"), MATCH(AP$1, EneR!$6:$6, 0), FALSE),
            0
        ) +
        IFERROR(
            VLOOKUP($A32, INDIRECT("FebR!$A$6:$ZZ$1048576"), MATCH(AP$1, FebR!$6:$6, 0), FALSE),
            0
        ) +
        IFERROR(
            VLOOKUP($A32, INDIRECT("MarR!$A$6:$ZZ$1048576"), MATCH(AP$1, MarR!$6:$6, 0), FALSE),
            0
        ) +
        IFERROR(
            VLOOKUP($A32, INDIRECT("AbrR!$A$6:$ZZ$1048576"), MATCH(AP$1, AbrR!$6:$6, 0), FALSE),
            0
        ) +
        IFERROR(
            VLOOKUP($A32, INDIRECT("MayR!$A$6:$ZZ$1048576"), MATCH(AP$1, MayR!$6:$6, 0), FALSE),
            0
        ) +
        IFERROR(
            VLOOKUP($A32, INDIRECT("JunR!$A$6:$ZZ$1048576"), MATCH(AP$1, JunR!$6:$6, 0), FALSE),
            0
        ) +
        IFERROR(
            VLOOKUP($A32, INDIRECT("JulR!$A$6:$ZZ$1048576"), MATCH(AP$1, JulR!$6:$6, 0), FALSE),
            0
        ) +
        IFERROR(
            VLOOKUP($A32, INDIRECT("AgoR!$A$6:$ZZ$1048576"), MATCH(AP$1, AgoR!$6:$6, 0), FALSE),
            0
        ) +
        IFERROR(
            VLOOKUP($A32, INDIRECT("SepR!$A$6:$ZZ$1048576"), MATCH(AP$1, SepR!$6:$6, 0), FALSE),
            0
        ) +
        IFERROR(
            VLOOKUP($A32, INDIRECT("OctR!$A$6:$ZZ$1048576"), MATCH(AP$1, OctR!$6:$6, 0), FALSE),
            0
        ) +
        IFERROR(
            VLOOKUP($A32, INDIRECT("NovR!$A$6:$ZZ$1048576"), MATCH(AP$1, NovR!$6:$6, 0), FALSE),
            0
        ) +
        IFERROR(
            VLOOKUP($A32, INDIRECT("DicR!$A$6:$ZZ$1048576"), MATCH(AP$1, DicR!$6:$6, 0), FALSE),
            0
        )
)</f>
        <v>0</v>
      </c>
      <c r="AQ32" s="37">
        <f t="array" ref="AQ32">SUM(
    IFERROR(
            VLOOKUP($A32, INDIRECT("EneR!$A$6:$ZZ$1048576"), MATCH(AQ$1, EneR!$6:$6, 0), FALSE),
            0
        ) +
        IFERROR(
            VLOOKUP($A32, INDIRECT("FebR!$A$6:$ZZ$1048576"), MATCH(AQ$1, FebR!$6:$6, 0), FALSE),
            0
        ) +
        IFERROR(
            VLOOKUP($A32, INDIRECT("MarR!$A$6:$ZZ$1048576"), MATCH(AQ$1, MarR!$6:$6, 0), FALSE),
            0
        ) +
        IFERROR(
            VLOOKUP($A32, INDIRECT("AbrR!$A$6:$ZZ$1048576"), MATCH(AQ$1, AbrR!$6:$6, 0), FALSE),
            0
        ) +
        IFERROR(
            VLOOKUP($A32, INDIRECT("MayR!$A$6:$ZZ$1048576"), MATCH(AQ$1, MayR!$6:$6, 0), FALSE),
            0
        ) +
        IFERROR(
            VLOOKUP($A32, INDIRECT("JunR!$A$6:$ZZ$1048576"), MATCH(AQ$1, JunR!$6:$6, 0), FALSE),
            0
        ) +
        IFERROR(
            VLOOKUP($A32, INDIRECT("JulR!$A$6:$ZZ$1048576"), MATCH(AQ$1, JulR!$6:$6, 0), FALSE),
            0
        ) +
        IFERROR(
            VLOOKUP($A32, INDIRECT("AgoR!$A$6:$ZZ$1048576"), MATCH(AQ$1, AgoR!$6:$6, 0), FALSE),
            0
        ) +
        IFERROR(
            VLOOKUP($A32, INDIRECT("SepR!$A$6:$ZZ$1048576"), MATCH(AQ$1, SepR!$6:$6, 0), FALSE),
            0
        ) +
        IFERROR(
            VLOOKUP($A32, INDIRECT("OctR!$A$6:$ZZ$1048576"), MATCH(AQ$1, OctR!$6:$6, 0), FALSE),
            0
        ) +
        IFERROR(
            VLOOKUP($A32, INDIRECT("NovR!$A$6:$ZZ$1048576"), MATCH(AQ$1, NovR!$6:$6, 0), FALSE),
            0
        ) +
        IFERROR(
            VLOOKUP($A32, INDIRECT("DicR!$A$6:$ZZ$1048576"), MATCH(AQ$1, DicR!$6:$6, 0), FALSE),
            0
        )
)</f>
        <v>0</v>
      </c>
      <c r="AR32" s="36">
        <f t="array" ref="AR32">SUM(
    IFERROR(
            VLOOKUP($A32, INDIRECT("EneR!$A$6:$ZZ$1048576"), MATCH(AR$1, EneR!$6:$6, 0), FALSE),
            0
        ) +
        IFERROR(
            VLOOKUP($A32, INDIRECT("FebR!$A$6:$ZZ$1048576"), MATCH(AR$1, FebR!$6:$6, 0), FALSE),
            0
        ) +
        IFERROR(
            VLOOKUP($A32, INDIRECT("MarR!$A$6:$ZZ$1048576"), MATCH(AR$1, MarR!$6:$6, 0), FALSE),
            0
        ) +
        IFERROR(
            VLOOKUP($A32, INDIRECT("AbrR!$A$6:$ZZ$1048576"), MATCH(AR$1, AbrR!$6:$6, 0), FALSE),
            0
        ) +
        IFERROR(
            VLOOKUP($A32, INDIRECT("MayR!$A$6:$ZZ$1048576"), MATCH(AR$1, MayR!$6:$6, 0), FALSE),
            0
        ) +
        IFERROR(
            VLOOKUP($A32, INDIRECT("JunR!$A$6:$ZZ$1048576"), MATCH(AR$1, JunR!$6:$6, 0), FALSE),
            0
        ) +
        IFERROR(
            VLOOKUP($A32, INDIRECT("JulR!$A$6:$ZZ$1048576"), MATCH(AR$1, JulR!$6:$6, 0), FALSE),
            0
        ) +
        IFERROR(
            VLOOKUP($A32, INDIRECT("AgoR!$A$6:$ZZ$1048576"), MATCH(AR$1, AgoR!$6:$6, 0), FALSE),
            0
        ) +
        IFERROR(
            VLOOKUP($A32, INDIRECT("SepR!$A$6:$ZZ$1048576"), MATCH(AR$1, SepR!$6:$6, 0), FALSE),
            0
        ) +
        IFERROR(
            VLOOKUP($A32, INDIRECT("OctR!$A$6:$ZZ$1048576"), MATCH(AR$1, OctR!$6:$6, 0), FALSE),
            0
        ) +
        IFERROR(
            VLOOKUP($A32, INDIRECT("NovR!$A$6:$ZZ$1048576"), MATCH(AR$1, NovR!$6:$6, 0), FALSE),
            0
        ) +
        IFERROR(
            VLOOKUP($A32, INDIRECT("DicR!$A$6:$ZZ$1048576"), MATCH(AR$1, DicR!$6:$6, 0), FALSE),
            0
        )
)</f>
        <v>0</v>
      </c>
      <c r="AS32" s="37">
        <f t="array" ref="AS32">SUM(
    IFERROR(
            VLOOKUP($A32, INDIRECT("EneR!$A$6:$ZZ$1048576"), MATCH(AS$1, EneR!$6:$6, 0), FALSE),
            0
        ) +
        IFERROR(
            VLOOKUP($A32, INDIRECT("FebR!$A$6:$ZZ$1048576"), MATCH(AS$1, FebR!$6:$6, 0), FALSE),
            0
        ) +
        IFERROR(
            VLOOKUP($A32, INDIRECT("MarR!$A$6:$ZZ$1048576"), MATCH(AS$1, MarR!$6:$6, 0), FALSE),
            0
        ) +
        IFERROR(
            VLOOKUP($A32, INDIRECT("AbrR!$A$6:$ZZ$1048576"), MATCH(AS$1, AbrR!$6:$6, 0), FALSE),
            0
        ) +
        IFERROR(
            VLOOKUP($A32, INDIRECT("MayR!$A$6:$ZZ$1048576"), MATCH(AS$1, MayR!$6:$6, 0), FALSE),
            0
        ) +
        IFERROR(
            VLOOKUP($A32, INDIRECT("JunR!$A$6:$ZZ$1048576"), MATCH(AS$1, JunR!$6:$6, 0), FALSE),
            0
        ) +
        IFERROR(
            VLOOKUP($A32, INDIRECT("JulR!$A$6:$ZZ$1048576"), MATCH(AS$1, JulR!$6:$6, 0), FALSE),
            0
        ) +
        IFERROR(
            VLOOKUP($A32, INDIRECT("AgoR!$A$6:$ZZ$1048576"), MATCH(AS$1, AgoR!$6:$6, 0), FALSE),
            0
        ) +
        IFERROR(
            VLOOKUP($A32, INDIRECT("SepR!$A$6:$ZZ$1048576"), MATCH(AS$1, SepR!$6:$6, 0), FALSE),
            0
        ) +
        IFERROR(
            VLOOKUP($A32, INDIRECT("OctR!$A$6:$ZZ$1048576"), MATCH(AS$1, OctR!$6:$6, 0), FALSE),
            0
        ) +
        IFERROR(
            VLOOKUP($A32, INDIRECT("NovR!$A$6:$ZZ$1048576"), MATCH(AS$1, NovR!$6:$6, 0), FALSE),
            0
        ) +
        IFERROR(
            VLOOKUP($A32, INDIRECT("DicR!$A$6:$ZZ$1048576"), MATCH(AS$1, DicR!$6:$6, 0), FALSE),
            0
        )
)</f>
        <v>0</v>
      </c>
      <c r="AT32" s="36">
        <f t="array" ref="AT32">SUM(
    IFERROR(
            VLOOKUP($A32, INDIRECT("EneR!$A$6:$ZZ$1048576"), MATCH(AT$1, EneR!$6:$6, 0), FALSE),
            0
        ) +
        IFERROR(
            VLOOKUP($A32, INDIRECT("FebR!$A$6:$ZZ$1048576"), MATCH(AT$1, FebR!$6:$6, 0), FALSE),
            0
        ) +
        IFERROR(
            VLOOKUP($A32, INDIRECT("MarR!$A$6:$ZZ$1048576"), MATCH(AT$1, MarR!$6:$6, 0), FALSE),
            0
        ) +
        IFERROR(
            VLOOKUP($A32, INDIRECT("AbrR!$A$6:$ZZ$1048576"), MATCH(AT$1, AbrR!$6:$6, 0), FALSE),
            0
        ) +
        IFERROR(
            VLOOKUP($A32, INDIRECT("MayR!$A$6:$ZZ$1048576"), MATCH(AT$1, MayR!$6:$6, 0), FALSE),
            0
        ) +
        IFERROR(
            VLOOKUP($A32, INDIRECT("JunR!$A$6:$ZZ$1048576"), MATCH(AT$1, JunR!$6:$6, 0), FALSE),
            0
        ) +
        IFERROR(
            VLOOKUP($A32, INDIRECT("JulR!$A$6:$ZZ$1048576"), MATCH(AT$1, JulR!$6:$6, 0), FALSE),
            0
        ) +
        IFERROR(
            VLOOKUP($A32, INDIRECT("AgoR!$A$6:$ZZ$1048576"), MATCH(AT$1, AgoR!$6:$6, 0), FALSE),
            0
        ) +
        IFERROR(
            VLOOKUP($A32, INDIRECT("SepR!$A$6:$ZZ$1048576"), MATCH(AT$1, SepR!$6:$6, 0), FALSE),
            0
        ) +
        IFERROR(
            VLOOKUP($A32, INDIRECT("OctR!$A$6:$ZZ$1048576"), MATCH(AT$1, OctR!$6:$6, 0), FALSE),
            0
        ) +
        IFERROR(
            VLOOKUP($A32, INDIRECT("NovR!$A$6:$ZZ$1048576"), MATCH(AT$1, NovR!$6:$6, 0), FALSE),
            0
        ) +
        IFERROR(
            VLOOKUP($A32, INDIRECT("DicR!$A$6:$ZZ$1048576"), MATCH(AT$1, DicR!$6:$6, 0), FALSE),
            0
        )
)</f>
        <v>0</v>
      </c>
      <c r="AU32" s="37">
        <f t="array" ref="AU32">SUM(
    IFERROR(
            VLOOKUP($A32, INDIRECT("EneR!$A$6:$ZZ$1048576"), MATCH(AU$1, EneR!$6:$6, 0), FALSE),
            0
        ) +
        IFERROR(
            VLOOKUP($A32, INDIRECT("FebR!$A$6:$ZZ$1048576"), MATCH(AU$1, FebR!$6:$6, 0), FALSE),
            0
        ) +
        IFERROR(
            VLOOKUP($A32, INDIRECT("MarR!$A$6:$ZZ$1048576"), MATCH(AU$1, MarR!$6:$6, 0), FALSE),
            0
        ) +
        IFERROR(
            VLOOKUP($A32, INDIRECT("AbrR!$A$6:$ZZ$1048576"), MATCH(AU$1, AbrR!$6:$6, 0), FALSE),
            0
        ) +
        IFERROR(
            VLOOKUP($A32, INDIRECT("MayR!$A$6:$ZZ$1048576"), MATCH(AU$1, MayR!$6:$6, 0), FALSE),
            0
        ) +
        IFERROR(
            VLOOKUP($A32, INDIRECT("JunR!$A$6:$ZZ$1048576"), MATCH(AU$1, JunR!$6:$6, 0), FALSE),
            0
        ) +
        IFERROR(
            VLOOKUP($A32, INDIRECT("JulR!$A$6:$ZZ$1048576"), MATCH(AU$1, JulR!$6:$6, 0), FALSE),
            0
        ) +
        IFERROR(
            VLOOKUP($A32, INDIRECT("AgoR!$A$6:$ZZ$1048576"), MATCH(AU$1, AgoR!$6:$6, 0), FALSE),
            0
        ) +
        IFERROR(
            VLOOKUP($A32, INDIRECT("SepR!$A$6:$ZZ$1048576"), MATCH(AU$1, SepR!$6:$6, 0), FALSE),
            0
        ) +
        IFERROR(
            VLOOKUP($A32, INDIRECT("OctR!$A$6:$ZZ$1048576"), MATCH(AU$1, OctR!$6:$6, 0), FALSE),
            0
        ) +
        IFERROR(
            VLOOKUP($A32, INDIRECT("NovR!$A$6:$ZZ$1048576"), MATCH(AU$1, NovR!$6:$6, 0), FALSE),
            0
        ) +
        IFERROR(
            VLOOKUP($A32, INDIRECT("DicR!$A$6:$ZZ$1048576"), MATCH(AU$1, DicR!$6:$6, 0), FALSE),
            0
        )
)</f>
        <v>0</v>
      </c>
      <c r="AV32" s="36">
        <f t="array" ref="AV32">SUM(
    IFERROR(
            VLOOKUP($A32, INDIRECT("EneR!$A$6:$ZZ$1048576"), MATCH(AV$1, EneR!$6:$6, 0), FALSE),
            0
        ) +
        IFERROR(
            VLOOKUP($A32, INDIRECT("FebR!$A$6:$ZZ$1048576"), MATCH(AV$1, FebR!$6:$6, 0), FALSE),
            0
        ) +
        IFERROR(
            VLOOKUP($A32, INDIRECT("MarR!$A$6:$ZZ$1048576"), MATCH(AV$1, MarR!$6:$6, 0), FALSE),
            0
        ) +
        IFERROR(
            VLOOKUP($A32, INDIRECT("AbrR!$A$6:$ZZ$1048576"), MATCH(AV$1, AbrR!$6:$6, 0), FALSE),
            0
        ) +
        IFERROR(
            VLOOKUP($A32, INDIRECT("MayR!$A$6:$ZZ$1048576"), MATCH(AV$1, MayR!$6:$6, 0), FALSE),
            0
        ) +
        IFERROR(
            VLOOKUP($A32, INDIRECT("JunR!$A$6:$ZZ$1048576"), MATCH(AV$1, JunR!$6:$6, 0), FALSE),
            0
        ) +
        IFERROR(
            VLOOKUP($A32, INDIRECT("JulR!$A$6:$ZZ$1048576"), MATCH(AV$1, JulR!$6:$6, 0), FALSE),
            0
        ) +
        IFERROR(
            VLOOKUP($A32, INDIRECT("AgoR!$A$6:$ZZ$1048576"), MATCH(AV$1, AgoR!$6:$6, 0), FALSE),
            0
        ) +
        IFERROR(
            VLOOKUP($A32, INDIRECT("SepR!$A$6:$ZZ$1048576"), MATCH(AV$1, SepR!$6:$6, 0), FALSE),
            0
        ) +
        IFERROR(
            VLOOKUP($A32, INDIRECT("OctR!$A$6:$ZZ$1048576"), MATCH(AV$1, OctR!$6:$6, 0), FALSE),
            0
        ) +
        IFERROR(
            VLOOKUP($A32, INDIRECT("NovR!$A$6:$ZZ$1048576"), MATCH(AV$1, NovR!$6:$6, 0), FALSE),
            0
        ) +
        IFERROR(
            VLOOKUP($A32, INDIRECT("DicR!$A$6:$ZZ$1048576"), MATCH(AV$1, DicR!$6:$6, 0), FALSE),
            0
        )
)</f>
        <v>0</v>
      </c>
      <c r="AW32" s="37">
        <f t="array" ref="AW32">SUM(
    IFERROR(
            VLOOKUP($A32, INDIRECT("EneR!$A$6:$ZZ$1048576"), MATCH(AW$1, EneR!$6:$6, 0), FALSE),
            0
        ) +
        IFERROR(
            VLOOKUP($A32, INDIRECT("FebR!$A$6:$ZZ$1048576"), MATCH(AW$1, FebR!$6:$6, 0), FALSE),
            0
        ) +
        IFERROR(
            VLOOKUP($A32, INDIRECT("MarR!$A$6:$ZZ$1048576"), MATCH(AW$1, MarR!$6:$6, 0), FALSE),
            0
        ) +
        IFERROR(
            VLOOKUP($A32, INDIRECT("AbrR!$A$6:$ZZ$1048576"), MATCH(AW$1, AbrR!$6:$6, 0), FALSE),
            0
        ) +
        IFERROR(
            VLOOKUP($A32, INDIRECT("MayR!$A$6:$ZZ$1048576"), MATCH(AW$1, MayR!$6:$6, 0), FALSE),
            0
        ) +
        IFERROR(
            VLOOKUP($A32, INDIRECT("JunR!$A$6:$ZZ$1048576"), MATCH(AW$1, JunR!$6:$6, 0), FALSE),
            0
        ) +
        IFERROR(
            VLOOKUP($A32, INDIRECT("JulR!$A$6:$ZZ$1048576"), MATCH(AW$1, JulR!$6:$6, 0), FALSE),
            0
        ) +
        IFERROR(
            VLOOKUP($A32, INDIRECT("AgoR!$A$6:$ZZ$1048576"), MATCH(AW$1, AgoR!$6:$6, 0), FALSE),
            0
        ) +
        IFERROR(
            VLOOKUP($A32, INDIRECT("SepR!$A$6:$ZZ$1048576"), MATCH(AW$1, SepR!$6:$6, 0), FALSE),
            0
        ) +
        IFERROR(
            VLOOKUP($A32, INDIRECT("OctR!$A$6:$ZZ$1048576"), MATCH(AW$1, OctR!$6:$6, 0), FALSE),
            0
        ) +
        IFERROR(
            VLOOKUP($A32, INDIRECT("NovR!$A$6:$ZZ$1048576"), MATCH(AW$1, NovR!$6:$6, 0), FALSE),
            0
        ) +
        IFERROR(
            VLOOKUP($A32, INDIRECT("DicR!$A$6:$ZZ$1048576"), MATCH(AW$1, DicR!$6:$6, 0), FALSE),
            0
        )
)</f>
        <v>0</v>
      </c>
      <c r="AX32" s="36">
        <f t="array" ref="AX32">SUM(
    IFERROR(
            VLOOKUP($A32, INDIRECT("EneR!$A$6:$ZZ$1048576"), MATCH(AX$1, EneR!$6:$6, 0), FALSE),
            0
        ) +
        IFERROR(
            VLOOKUP($A32, INDIRECT("FebR!$A$6:$ZZ$1048576"), MATCH(AX$1, FebR!$6:$6, 0), FALSE),
            0
        ) +
        IFERROR(
            VLOOKUP($A32, INDIRECT("MarR!$A$6:$ZZ$1048576"), MATCH(AX$1, MarR!$6:$6, 0), FALSE),
            0
        ) +
        IFERROR(
            VLOOKUP($A32, INDIRECT("AbrR!$A$6:$ZZ$1048576"), MATCH(AX$1, AbrR!$6:$6, 0), FALSE),
            0
        ) +
        IFERROR(
            VLOOKUP($A32, INDIRECT("MayR!$A$6:$ZZ$1048576"), MATCH(AX$1, MayR!$6:$6, 0), FALSE),
            0
        ) +
        IFERROR(
            VLOOKUP($A32, INDIRECT("JunR!$A$6:$ZZ$1048576"), MATCH(AX$1, JunR!$6:$6, 0), FALSE),
            0
        ) +
        IFERROR(
            VLOOKUP($A32, INDIRECT("JulR!$A$6:$ZZ$1048576"), MATCH(AX$1, JulR!$6:$6, 0), FALSE),
            0
        ) +
        IFERROR(
            VLOOKUP($A32, INDIRECT("AgoR!$A$6:$ZZ$1048576"), MATCH(AX$1, AgoR!$6:$6, 0), FALSE),
            0
        ) +
        IFERROR(
            VLOOKUP($A32, INDIRECT("SepR!$A$6:$ZZ$1048576"), MATCH(AX$1, SepR!$6:$6, 0), FALSE),
            0
        ) +
        IFERROR(
            VLOOKUP($A32, INDIRECT("OctR!$A$6:$ZZ$1048576"), MATCH(AX$1, OctR!$6:$6, 0), FALSE),
            0
        ) +
        IFERROR(
            VLOOKUP($A32, INDIRECT("NovR!$A$6:$ZZ$1048576"), MATCH(AX$1, NovR!$6:$6, 0), FALSE),
            0
        ) +
        IFERROR(
            VLOOKUP($A32, INDIRECT("DicR!$A$6:$ZZ$1048576"), MATCH(AX$1, DicR!$6:$6, 0), FALSE),
            0
        )
)</f>
        <v>0</v>
      </c>
      <c r="AY32" s="37">
        <f t="array" ref="AY32">SUM(
    IFERROR(
            VLOOKUP($A32, INDIRECT("EneR!$A$6:$ZZ$1048576"), MATCH(AY$1, EneR!$6:$6, 0), FALSE),
            0
        ) +
        IFERROR(
            VLOOKUP($A32, INDIRECT("FebR!$A$6:$ZZ$1048576"), MATCH(AY$1, FebR!$6:$6, 0), FALSE),
            0
        ) +
        IFERROR(
            VLOOKUP($A32, INDIRECT("MarR!$A$6:$ZZ$1048576"), MATCH(AY$1, MarR!$6:$6, 0), FALSE),
            0
        ) +
        IFERROR(
            VLOOKUP($A32, INDIRECT("AbrR!$A$6:$ZZ$1048576"), MATCH(AY$1, AbrR!$6:$6, 0), FALSE),
            0
        ) +
        IFERROR(
            VLOOKUP($A32, INDIRECT("MayR!$A$6:$ZZ$1048576"), MATCH(AY$1, MayR!$6:$6, 0), FALSE),
            0
        ) +
        IFERROR(
            VLOOKUP($A32, INDIRECT("JunR!$A$6:$ZZ$1048576"), MATCH(AY$1, JunR!$6:$6, 0), FALSE),
            0
        ) +
        IFERROR(
            VLOOKUP($A32, INDIRECT("JulR!$A$6:$ZZ$1048576"), MATCH(AY$1, JulR!$6:$6, 0), FALSE),
            0
        ) +
        IFERROR(
            VLOOKUP($A32, INDIRECT("AgoR!$A$6:$ZZ$1048576"), MATCH(AY$1, AgoR!$6:$6, 0), FALSE),
            0
        ) +
        IFERROR(
            VLOOKUP($A32, INDIRECT("SepR!$A$6:$ZZ$1048576"), MATCH(AY$1, SepR!$6:$6, 0), FALSE),
            0
        ) +
        IFERROR(
            VLOOKUP($A32, INDIRECT("OctR!$A$6:$ZZ$1048576"), MATCH(AY$1, OctR!$6:$6, 0), FALSE),
            0
        ) +
        IFERROR(
            VLOOKUP($A32, INDIRECT("NovR!$A$6:$ZZ$1048576"), MATCH(AY$1, NovR!$6:$6, 0), FALSE),
            0
        ) +
        IFERROR(
            VLOOKUP($A32, INDIRECT("DicR!$A$6:$ZZ$1048576"), MATCH(AY$1, DicR!$6:$6, 0), FALSE),
            0
        )
)</f>
        <v>0</v>
      </c>
      <c r="AZ32" s="37"/>
    </row>
    <row r="33" ht="15.75" hidden="1" customHeight="1">
      <c r="A33" s="12" t="str">
        <f>Menus!R25</f>
        <v/>
      </c>
      <c r="B33" s="32">
        <f t="shared" si="6"/>
        <v>0</v>
      </c>
      <c r="C33" s="33" t="str">
        <f t="shared" si="7"/>
        <v/>
      </c>
      <c r="D33" s="34">
        <f t="array" ref="D33">SUM(
    IFERROR(
            VLOOKUP($A33, INDIRECT("EneR!$A$6:$ZZ$1048576"), MATCH(D$1, EneR!$6:$6, 0), FALSE),
            0
        ) +
        IFERROR(
            VLOOKUP($A33, INDIRECT("FebR!$A$6:$ZZ$1048576"), MATCH(D$1, FebR!$6:$6, 0), FALSE),
            0
        ) +
        IFERROR(
            VLOOKUP($A33, INDIRECT("MarR!$A$6:$ZZ$1048576"), MATCH(D$1, MarR!$6:$6, 0), FALSE),
            0
        ) +
        IFERROR(
            VLOOKUP($A33, INDIRECT("AbrR!$A$6:$ZZ$1048576"), MATCH(D$1, AbrR!$6:$6, 0), FALSE),
            0
        ) +
        IFERROR(
            VLOOKUP($A33, INDIRECT("MayR!$A$6:$ZZ$1048576"), MATCH(D$1, MayR!$6:$6, 0), FALSE),
            0
        ) +
        IFERROR(
            VLOOKUP($A33, INDIRECT("JunR!$A$6:$ZZ$1048576"), MATCH(D$1, JunR!$6:$6, 0), FALSE),
            0
        ) +
        IFERROR(
            VLOOKUP($A33, INDIRECT("JulR!$A$6:$ZZ$1048576"), MATCH(D$1, JulR!$6:$6, 0), FALSE),
            0
        ) +
        IFERROR(
            VLOOKUP($A33, INDIRECT("AgoR!$A$6:$ZZ$1048576"), MATCH(D$1, AgoR!$6:$6, 0), FALSE),
            0
        ) +
        IFERROR(
            VLOOKUP($A33, INDIRECT("SepR!$A$6:$ZZ$1048576"), MATCH(D$1, SepR!$6:$6, 0), FALSE),
            0
        ) +
        IFERROR(
            VLOOKUP($A33, INDIRECT("OctR!$A$6:$ZZ$1048576"), MATCH(D$1, OctR!$6:$6, 0), FALSE),
            0
        ) +
        IFERROR(
            VLOOKUP($A33, INDIRECT("NovR!$A$6:$ZZ$1048576"), MATCH(D$1, NovR!$6:$6, 0), FALSE),
            0
        ) +
        IFERROR(
            VLOOKUP($A33, INDIRECT("DicR!$A$6:$ZZ$1048576"), MATCH(D$1, DicR!$6:$6, 0), FALSE),
            0
        )
)</f>
        <v>0</v>
      </c>
      <c r="E33" s="35">
        <f t="array" ref="E33">SUM(
    IFERROR(
            VLOOKUP($A33, INDIRECT("EneR!$A$6:$ZZ$1048576"), MATCH(E$1, EneR!$6:$6, 0), FALSE),
            0
        ) +
        IFERROR(
            VLOOKUP($A33, INDIRECT("FebR!$A$6:$ZZ$1048576"), MATCH(E$1, FebR!$6:$6, 0), FALSE),
            0
        ) +
        IFERROR(
            VLOOKUP($A33, INDIRECT("MarR!$A$6:$ZZ$1048576"), MATCH(E$1, MarR!$6:$6, 0), FALSE),
            0
        ) +
        IFERROR(
            VLOOKUP($A33, INDIRECT("AbrR!$A$6:$ZZ$1048576"), MATCH(E$1, AbrR!$6:$6, 0), FALSE),
            0
        ) +
        IFERROR(
            VLOOKUP($A33, INDIRECT("MayR!$A$6:$ZZ$1048576"), MATCH(E$1, MayR!$6:$6, 0), FALSE),
            0
        ) +
        IFERROR(
            VLOOKUP($A33, INDIRECT("JunR!$A$6:$ZZ$1048576"), MATCH(E$1, JunR!$6:$6, 0), FALSE),
            0
        ) +
        IFERROR(
            VLOOKUP($A33, INDIRECT("JulR!$A$6:$ZZ$1048576"), MATCH(E$1, JulR!$6:$6, 0), FALSE),
            0
        ) +
        IFERROR(
            VLOOKUP($A33, INDIRECT("AgoR!$A$6:$ZZ$1048576"), MATCH(E$1, AgoR!$6:$6, 0), FALSE),
            0
        ) +
        IFERROR(
            VLOOKUP($A33, INDIRECT("SepR!$A$6:$ZZ$1048576"), MATCH(E$1, SepR!$6:$6, 0), FALSE),
            0
        ) +
        IFERROR(
            VLOOKUP($A33, INDIRECT("OctR!$A$6:$ZZ$1048576"), MATCH(E$1, OctR!$6:$6, 0), FALSE),
            0
        ) +
        IFERROR(
            VLOOKUP($A33, INDIRECT("NovR!$A$6:$ZZ$1048576"), MATCH(E$1, NovR!$6:$6, 0), FALSE),
            0
        ) +
        IFERROR(
            VLOOKUP($A33, INDIRECT("DicR!$A$6:$ZZ$1048576"), MATCH(E$1, DicR!$6:$6, 0), FALSE),
            0
        )
)</f>
        <v>0</v>
      </c>
      <c r="F33" s="32">
        <f t="array" ref="F33">SUM(
    IFERROR(
            VLOOKUP($A33, INDIRECT("EneR!$A$6:$ZZ$1048576"), MATCH(F$1, EneR!$6:$6, 0), FALSE),
            0
        ) +
        IFERROR(
            VLOOKUP($A33, INDIRECT("FebR!$A$6:$ZZ$1048576"), MATCH(F$1, FebR!$6:$6, 0), FALSE),
            0
        ) +
        IFERROR(
            VLOOKUP($A33, INDIRECT("MarR!$A$6:$ZZ$1048576"), MATCH(F$1, MarR!$6:$6, 0), FALSE),
            0
        ) +
        IFERROR(
            VLOOKUP($A33, INDIRECT("AbrR!$A$6:$ZZ$1048576"), MATCH(F$1, AbrR!$6:$6, 0), FALSE),
            0
        ) +
        IFERROR(
            VLOOKUP($A33, INDIRECT("MayR!$A$6:$ZZ$1048576"), MATCH(F$1, MayR!$6:$6, 0), FALSE),
            0
        ) +
        IFERROR(
            VLOOKUP($A33, INDIRECT("JunR!$A$6:$ZZ$1048576"), MATCH(F$1, JunR!$6:$6, 0), FALSE),
            0
        ) +
        IFERROR(
            VLOOKUP($A33, INDIRECT("JulR!$A$6:$ZZ$1048576"), MATCH(F$1, JulR!$6:$6, 0), FALSE),
            0
        ) +
        IFERROR(
            VLOOKUP($A33, INDIRECT("AgoR!$A$6:$ZZ$1048576"), MATCH(F$1, AgoR!$6:$6, 0), FALSE),
            0
        ) +
        IFERROR(
            VLOOKUP($A33, INDIRECT("SepR!$A$6:$ZZ$1048576"), MATCH(F$1, SepR!$6:$6, 0), FALSE),
            0
        ) +
        IFERROR(
            VLOOKUP($A33, INDIRECT("OctR!$A$6:$ZZ$1048576"), MATCH(F$1, OctR!$6:$6, 0), FALSE),
            0
        ) +
        IFERROR(
            VLOOKUP($A33, INDIRECT("NovR!$A$6:$ZZ$1048576"), MATCH(F$1, NovR!$6:$6, 0), FALSE),
            0
        ) +
        IFERROR(
            VLOOKUP($A33, INDIRECT("DicR!$A$6:$ZZ$1048576"), MATCH(F$1, DicR!$6:$6, 0), FALSE),
            0
        )
)</f>
        <v>0</v>
      </c>
      <c r="G33" s="35">
        <f t="array" ref="G33">SUM(
    IFERROR(
            VLOOKUP($A33, INDIRECT("EneR!$A$6:$ZZ$1048576"), MATCH(G$1, EneR!$6:$6, 0), FALSE),
            0
        ) +
        IFERROR(
            VLOOKUP($A33, INDIRECT("FebR!$A$6:$ZZ$1048576"), MATCH(G$1, FebR!$6:$6, 0), FALSE),
            0
        ) +
        IFERROR(
            VLOOKUP($A33, INDIRECT("MarR!$A$6:$ZZ$1048576"), MATCH(G$1, MarR!$6:$6, 0), FALSE),
            0
        ) +
        IFERROR(
            VLOOKUP($A33, INDIRECT("AbrR!$A$6:$ZZ$1048576"), MATCH(G$1, AbrR!$6:$6, 0), FALSE),
            0
        ) +
        IFERROR(
            VLOOKUP($A33, INDIRECT("MayR!$A$6:$ZZ$1048576"), MATCH(G$1, MayR!$6:$6, 0), FALSE),
            0
        ) +
        IFERROR(
            VLOOKUP($A33, INDIRECT("JunR!$A$6:$ZZ$1048576"), MATCH(G$1, JunR!$6:$6, 0), FALSE),
            0
        ) +
        IFERROR(
            VLOOKUP($A33, INDIRECT("JulR!$A$6:$ZZ$1048576"), MATCH(G$1, JulR!$6:$6, 0), FALSE),
            0
        ) +
        IFERROR(
            VLOOKUP($A33, INDIRECT("AgoR!$A$6:$ZZ$1048576"), MATCH(G$1, AgoR!$6:$6, 0), FALSE),
            0
        ) +
        IFERROR(
            VLOOKUP($A33, INDIRECT("SepR!$A$6:$ZZ$1048576"), MATCH(G$1, SepR!$6:$6, 0), FALSE),
            0
        ) +
        IFERROR(
            VLOOKUP($A33, INDIRECT("OctR!$A$6:$ZZ$1048576"), MATCH(G$1, OctR!$6:$6, 0), FALSE),
            0
        ) +
        IFERROR(
            VLOOKUP($A33, INDIRECT("NovR!$A$6:$ZZ$1048576"), MATCH(G$1, NovR!$6:$6, 0), FALSE),
            0
        ) +
        IFERROR(
            VLOOKUP($A33, INDIRECT("DicR!$A$6:$ZZ$1048576"), MATCH(G$1, DicR!$6:$6, 0), FALSE),
            0
        )
)</f>
        <v>0</v>
      </c>
      <c r="H33" s="32">
        <f t="array" ref="H33">SUM(
    IFERROR(
            VLOOKUP($A33, INDIRECT("EneR!$A$6:$ZZ$1048576"), MATCH(H$1, EneR!$6:$6, 0), FALSE),
            0
        ) +
        IFERROR(
            VLOOKUP($A33, INDIRECT("FebR!$A$6:$ZZ$1048576"), MATCH(H$1, FebR!$6:$6, 0), FALSE),
            0
        ) +
        IFERROR(
            VLOOKUP($A33, INDIRECT("MarR!$A$6:$ZZ$1048576"), MATCH(H$1, MarR!$6:$6, 0), FALSE),
            0
        ) +
        IFERROR(
            VLOOKUP($A33, INDIRECT("AbrR!$A$6:$ZZ$1048576"), MATCH(H$1, AbrR!$6:$6, 0), FALSE),
            0
        ) +
        IFERROR(
            VLOOKUP($A33, INDIRECT("MayR!$A$6:$ZZ$1048576"), MATCH(H$1, MayR!$6:$6, 0), FALSE),
            0
        ) +
        IFERROR(
            VLOOKUP($A33, INDIRECT("JunR!$A$6:$ZZ$1048576"), MATCH(H$1, JunR!$6:$6, 0), FALSE),
            0
        ) +
        IFERROR(
            VLOOKUP($A33, INDIRECT("JulR!$A$6:$ZZ$1048576"), MATCH(H$1, JulR!$6:$6, 0), FALSE),
            0
        ) +
        IFERROR(
            VLOOKUP($A33, INDIRECT("AgoR!$A$6:$ZZ$1048576"), MATCH(H$1, AgoR!$6:$6, 0), FALSE),
            0
        ) +
        IFERROR(
            VLOOKUP($A33, INDIRECT("SepR!$A$6:$ZZ$1048576"), MATCH(H$1, SepR!$6:$6, 0), FALSE),
            0
        ) +
        IFERROR(
            VLOOKUP($A33, INDIRECT("OctR!$A$6:$ZZ$1048576"), MATCH(H$1, OctR!$6:$6, 0), FALSE),
            0
        ) +
        IFERROR(
            VLOOKUP($A33, INDIRECT("NovR!$A$6:$ZZ$1048576"), MATCH(H$1, NovR!$6:$6, 0), FALSE),
            0
        ) +
        IFERROR(
            VLOOKUP($A33, INDIRECT("DicR!$A$6:$ZZ$1048576"), MATCH(H$1, DicR!$6:$6, 0), FALSE),
            0
        )
)</f>
        <v>0</v>
      </c>
      <c r="I33" s="35">
        <f t="array" ref="I33">SUM(
    IFERROR(
            VLOOKUP($A33, INDIRECT("EneR!$A$6:$ZZ$1048576"), MATCH(I$1, EneR!$6:$6, 0), FALSE),
            0
        ) +
        IFERROR(
            VLOOKUP($A33, INDIRECT("FebR!$A$6:$ZZ$1048576"), MATCH(I$1, FebR!$6:$6, 0), FALSE),
            0
        ) +
        IFERROR(
            VLOOKUP($A33, INDIRECT("MarR!$A$6:$ZZ$1048576"), MATCH(I$1, MarR!$6:$6, 0), FALSE),
            0
        ) +
        IFERROR(
            VLOOKUP($A33, INDIRECT("AbrR!$A$6:$ZZ$1048576"), MATCH(I$1, AbrR!$6:$6, 0), FALSE),
            0
        ) +
        IFERROR(
            VLOOKUP($A33, INDIRECT("MayR!$A$6:$ZZ$1048576"), MATCH(I$1, MayR!$6:$6, 0), FALSE),
            0
        ) +
        IFERROR(
            VLOOKUP($A33, INDIRECT("JunR!$A$6:$ZZ$1048576"), MATCH(I$1, JunR!$6:$6, 0), FALSE),
            0
        ) +
        IFERROR(
            VLOOKUP($A33, INDIRECT("JulR!$A$6:$ZZ$1048576"), MATCH(I$1, JulR!$6:$6, 0), FALSE),
            0
        ) +
        IFERROR(
            VLOOKUP($A33, INDIRECT("AgoR!$A$6:$ZZ$1048576"), MATCH(I$1, AgoR!$6:$6, 0), FALSE),
            0
        ) +
        IFERROR(
            VLOOKUP($A33, INDIRECT("SepR!$A$6:$ZZ$1048576"), MATCH(I$1, SepR!$6:$6, 0), FALSE),
            0
        ) +
        IFERROR(
            VLOOKUP($A33, INDIRECT("OctR!$A$6:$ZZ$1048576"), MATCH(I$1, OctR!$6:$6, 0), FALSE),
            0
        ) +
        IFERROR(
            VLOOKUP($A33, INDIRECT("NovR!$A$6:$ZZ$1048576"), MATCH(I$1, NovR!$6:$6, 0), FALSE),
            0
        ) +
        IFERROR(
            VLOOKUP($A33, INDIRECT("DicR!$A$6:$ZZ$1048576"), MATCH(I$1, DicR!$6:$6, 0), FALSE),
            0
        )
)</f>
        <v>0</v>
      </c>
      <c r="J33" s="32">
        <f t="array" ref="J33">SUM(
    IFERROR(
            VLOOKUP($A33, INDIRECT("EneR!$A$6:$ZZ$1048576"), MATCH(J$1, EneR!$6:$6, 0), FALSE),
            0
        ) +
        IFERROR(
            VLOOKUP($A33, INDIRECT("FebR!$A$6:$ZZ$1048576"), MATCH(J$1, FebR!$6:$6, 0), FALSE),
            0
        ) +
        IFERROR(
            VLOOKUP($A33, INDIRECT("MarR!$A$6:$ZZ$1048576"), MATCH(J$1, MarR!$6:$6, 0), FALSE),
            0
        ) +
        IFERROR(
            VLOOKUP($A33, INDIRECT("AbrR!$A$6:$ZZ$1048576"), MATCH(J$1, AbrR!$6:$6, 0), FALSE),
            0
        ) +
        IFERROR(
            VLOOKUP($A33, INDIRECT("MayR!$A$6:$ZZ$1048576"), MATCH(J$1, MayR!$6:$6, 0), FALSE),
            0
        ) +
        IFERROR(
            VLOOKUP($A33, INDIRECT("JunR!$A$6:$ZZ$1048576"), MATCH(J$1, JunR!$6:$6, 0), FALSE),
            0
        ) +
        IFERROR(
            VLOOKUP($A33, INDIRECT("JulR!$A$6:$ZZ$1048576"), MATCH(J$1, JulR!$6:$6, 0), FALSE),
            0
        ) +
        IFERROR(
            VLOOKUP($A33, INDIRECT("AgoR!$A$6:$ZZ$1048576"), MATCH(J$1, AgoR!$6:$6, 0), FALSE),
            0
        ) +
        IFERROR(
            VLOOKUP($A33, INDIRECT("SepR!$A$6:$ZZ$1048576"), MATCH(J$1, SepR!$6:$6, 0), FALSE),
            0
        ) +
        IFERROR(
            VLOOKUP($A33, INDIRECT("OctR!$A$6:$ZZ$1048576"), MATCH(J$1, OctR!$6:$6, 0), FALSE),
            0
        ) +
        IFERROR(
            VLOOKUP($A33, INDIRECT("NovR!$A$6:$ZZ$1048576"), MATCH(J$1, NovR!$6:$6, 0), FALSE),
            0
        ) +
        IFERROR(
            VLOOKUP($A33, INDIRECT("DicR!$A$6:$ZZ$1048576"), MATCH(J$1, DicR!$6:$6, 0), FALSE),
            0
        )
)</f>
        <v>0</v>
      </c>
      <c r="K33" s="35">
        <f t="array" ref="K33">SUM(
    IFERROR(
            VLOOKUP($A33, INDIRECT("EneR!$A$6:$ZZ$1048576"), MATCH(K$1, EneR!$6:$6, 0), FALSE),
            0
        ) +
        IFERROR(
            VLOOKUP($A33, INDIRECT("FebR!$A$6:$ZZ$1048576"), MATCH(K$1, FebR!$6:$6, 0), FALSE),
            0
        ) +
        IFERROR(
            VLOOKUP($A33, INDIRECT("MarR!$A$6:$ZZ$1048576"), MATCH(K$1, MarR!$6:$6, 0), FALSE),
            0
        ) +
        IFERROR(
            VLOOKUP($A33, INDIRECT("AbrR!$A$6:$ZZ$1048576"), MATCH(K$1, AbrR!$6:$6, 0), FALSE),
            0
        ) +
        IFERROR(
            VLOOKUP($A33, INDIRECT("MayR!$A$6:$ZZ$1048576"), MATCH(K$1, MayR!$6:$6, 0), FALSE),
            0
        ) +
        IFERROR(
            VLOOKUP($A33, INDIRECT("JunR!$A$6:$ZZ$1048576"), MATCH(K$1, JunR!$6:$6, 0), FALSE),
            0
        ) +
        IFERROR(
            VLOOKUP($A33, INDIRECT("JulR!$A$6:$ZZ$1048576"), MATCH(K$1, JulR!$6:$6, 0), FALSE),
            0
        ) +
        IFERROR(
            VLOOKUP($A33, INDIRECT("AgoR!$A$6:$ZZ$1048576"), MATCH(K$1, AgoR!$6:$6, 0), FALSE),
            0
        ) +
        IFERROR(
            VLOOKUP($A33, INDIRECT("SepR!$A$6:$ZZ$1048576"), MATCH(K$1, SepR!$6:$6, 0), FALSE),
            0
        ) +
        IFERROR(
            VLOOKUP($A33, INDIRECT("OctR!$A$6:$ZZ$1048576"), MATCH(K$1, OctR!$6:$6, 0), FALSE),
            0
        ) +
        IFERROR(
            VLOOKUP($A33, INDIRECT("NovR!$A$6:$ZZ$1048576"), MATCH(K$1, NovR!$6:$6, 0), FALSE),
            0
        ) +
        IFERROR(
            VLOOKUP($A33, INDIRECT("DicR!$A$6:$ZZ$1048576"), MATCH(K$1, DicR!$6:$6, 0), FALSE),
            0
        )
)</f>
        <v>0</v>
      </c>
      <c r="L33" s="32">
        <f t="array" ref="L33">SUM(
    IFERROR(
            VLOOKUP($A33, INDIRECT("EneR!$A$6:$ZZ$1048576"), MATCH(L$1, EneR!$6:$6, 0), FALSE),
            0
        ) +
        IFERROR(
            VLOOKUP($A33, INDIRECT("FebR!$A$6:$ZZ$1048576"), MATCH(L$1, FebR!$6:$6, 0), FALSE),
            0
        ) +
        IFERROR(
            VLOOKUP($A33, INDIRECT("MarR!$A$6:$ZZ$1048576"), MATCH(L$1, MarR!$6:$6, 0), FALSE),
            0
        ) +
        IFERROR(
            VLOOKUP($A33, INDIRECT("AbrR!$A$6:$ZZ$1048576"), MATCH(L$1, AbrR!$6:$6, 0), FALSE),
            0
        ) +
        IFERROR(
            VLOOKUP($A33, INDIRECT("MayR!$A$6:$ZZ$1048576"), MATCH(L$1, MayR!$6:$6, 0), FALSE),
            0
        ) +
        IFERROR(
            VLOOKUP($A33, INDIRECT("JunR!$A$6:$ZZ$1048576"), MATCH(L$1, JunR!$6:$6, 0), FALSE),
            0
        ) +
        IFERROR(
            VLOOKUP($A33, INDIRECT("JulR!$A$6:$ZZ$1048576"), MATCH(L$1, JulR!$6:$6, 0), FALSE),
            0
        ) +
        IFERROR(
            VLOOKUP($A33, INDIRECT("AgoR!$A$6:$ZZ$1048576"), MATCH(L$1, AgoR!$6:$6, 0), FALSE),
            0
        ) +
        IFERROR(
            VLOOKUP($A33, INDIRECT("SepR!$A$6:$ZZ$1048576"), MATCH(L$1, SepR!$6:$6, 0), FALSE),
            0
        ) +
        IFERROR(
            VLOOKUP($A33, INDIRECT("OctR!$A$6:$ZZ$1048576"), MATCH(L$1, OctR!$6:$6, 0), FALSE),
            0
        ) +
        IFERROR(
            VLOOKUP($A33, INDIRECT("NovR!$A$6:$ZZ$1048576"), MATCH(L$1, NovR!$6:$6, 0), FALSE),
            0
        ) +
        IFERROR(
            VLOOKUP($A33, INDIRECT("DicR!$A$6:$ZZ$1048576"), MATCH(L$1, DicR!$6:$6, 0), FALSE),
            0
        )
)</f>
        <v>0</v>
      </c>
      <c r="M33" s="35">
        <f t="array" ref="M33">SUM(
    IFERROR(
            VLOOKUP($A33, INDIRECT("EneR!$A$6:$ZZ$1048576"), MATCH(M$1, EneR!$6:$6, 0), FALSE),
            0
        ) +
        IFERROR(
            VLOOKUP($A33, INDIRECT("FebR!$A$6:$ZZ$1048576"), MATCH(M$1, FebR!$6:$6, 0), FALSE),
            0
        ) +
        IFERROR(
            VLOOKUP($A33, INDIRECT("MarR!$A$6:$ZZ$1048576"), MATCH(M$1, MarR!$6:$6, 0), FALSE),
            0
        ) +
        IFERROR(
            VLOOKUP($A33, INDIRECT("AbrR!$A$6:$ZZ$1048576"), MATCH(M$1, AbrR!$6:$6, 0), FALSE),
            0
        ) +
        IFERROR(
            VLOOKUP($A33, INDIRECT("MayR!$A$6:$ZZ$1048576"), MATCH(M$1, MayR!$6:$6, 0), FALSE),
            0
        ) +
        IFERROR(
            VLOOKUP($A33, INDIRECT("JunR!$A$6:$ZZ$1048576"), MATCH(M$1, JunR!$6:$6, 0), FALSE),
            0
        ) +
        IFERROR(
            VLOOKUP($A33, INDIRECT("JulR!$A$6:$ZZ$1048576"), MATCH(M$1, JulR!$6:$6, 0), FALSE),
            0
        ) +
        IFERROR(
            VLOOKUP($A33, INDIRECT("AgoR!$A$6:$ZZ$1048576"), MATCH(M$1, AgoR!$6:$6, 0), FALSE),
            0
        ) +
        IFERROR(
            VLOOKUP($A33, INDIRECT("SepR!$A$6:$ZZ$1048576"), MATCH(M$1, SepR!$6:$6, 0), FALSE),
            0
        ) +
        IFERROR(
            VLOOKUP($A33, INDIRECT("OctR!$A$6:$ZZ$1048576"), MATCH(M$1, OctR!$6:$6, 0), FALSE),
            0
        ) +
        IFERROR(
            VLOOKUP($A33, INDIRECT("NovR!$A$6:$ZZ$1048576"), MATCH(M$1, NovR!$6:$6, 0), FALSE),
            0
        ) +
        IFERROR(
            VLOOKUP($A33, INDIRECT("DicR!$A$6:$ZZ$1048576"), MATCH(M$1, DicR!$6:$6, 0), FALSE),
            0
        )
)</f>
        <v>0</v>
      </c>
      <c r="N33" s="32">
        <f t="array" ref="N33">SUM(
    IFERROR(
            VLOOKUP($A33, INDIRECT("EneR!$A$6:$ZZ$1048576"), MATCH(N$1, EneR!$6:$6, 0), FALSE),
            0
        ) +
        IFERROR(
            VLOOKUP($A33, INDIRECT("FebR!$A$6:$ZZ$1048576"), MATCH(N$1, FebR!$6:$6, 0), FALSE),
            0
        ) +
        IFERROR(
            VLOOKUP($A33, INDIRECT("MarR!$A$6:$ZZ$1048576"), MATCH(N$1, MarR!$6:$6, 0), FALSE),
            0
        ) +
        IFERROR(
            VLOOKUP($A33, INDIRECT("AbrR!$A$6:$ZZ$1048576"), MATCH(N$1, AbrR!$6:$6, 0), FALSE),
            0
        ) +
        IFERROR(
            VLOOKUP($A33, INDIRECT("MayR!$A$6:$ZZ$1048576"), MATCH(N$1, MayR!$6:$6, 0), FALSE),
            0
        ) +
        IFERROR(
            VLOOKUP($A33, INDIRECT("JunR!$A$6:$ZZ$1048576"), MATCH(N$1, JunR!$6:$6, 0), FALSE),
            0
        ) +
        IFERROR(
            VLOOKUP($A33, INDIRECT("JulR!$A$6:$ZZ$1048576"), MATCH(N$1, JulR!$6:$6, 0), FALSE),
            0
        ) +
        IFERROR(
            VLOOKUP($A33, INDIRECT("AgoR!$A$6:$ZZ$1048576"), MATCH(N$1, AgoR!$6:$6, 0), FALSE),
            0
        ) +
        IFERROR(
            VLOOKUP($A33, INDIRECT("SepR!$A$6:$ZZ$1048576"), MATCH(N$1, SepR!$6:$6, 0), FALSE),
            0
        ) +
        IFERROR(
            VLOOKUP($A33, INDIRECT("OctR!$A$6:$ZZ$1048576"), MATCH(N$1, OctR!$6:$6, 0), FALSE),
            0
        ) +
        IFERROR(
            VLOOKUP($A33, INDIRECT("NovR!$A$6:$ZZ$1048576"), MATCH(N$1, NovR!$6:$6, 0), FALSE),
            0
        ) +
        IFERROR(
            VLOOKUP($A33, INDIRECT("DicR!$A$6:$ZZ$1048576"), MATCH(N$1, DicR!$6:$6, 0), FALSE),
            0
        )
)</f>
        <v>0</v>
      </c>
      <c r="O33" s="35">
        <f t="array" ref="O33">SUM(
    IFERROR(
            VLOOKUP($A33, INDIRECT("EneR!$A$6:$ZZ$1048576"), MATCH(O$1, EneR!$6:$6, 0), FALSE),
            0
        ) +
        IFERROR(
            VLOOKUP($A33, INDIRECT("FebR!$A$6:$ZZ$1048576"), MATCH(O$1, FebR!$6:$6, 0), FALSE),
            0
        ) +
        IFERROR(
            VLOOKUP($A33, INDIRECT("MarR!$A$6:$ZZ$1048576"), MATCH(O$1, MarR!$6:$6, 0), FALSE),
            0
        ) +
        IFERROR(
            VLOOKUP($A33, INDIRECT("AbrR!$A$6:$ZZ$1048576"), MATCH(O$1, AbrR!$6:$6, 0), FALSE),
            0
        ) +
        IFERROR(
            VLOOKUP($A33, INDIRECT("MayR!$A$6:$ZZ$1048576"), MATCH(O$1, MayR!$6:$6, 0), FALSE),
            0
        ) +
        IFERROR(
            VLOOKUP($A33, INDIRECT("JunR!$A$6:$ZZ$1048576"), MATCH(O$1, JunR!$6:$6, 0), FALSE),
            0
        ) +
        IFERROR(
            VLOOKUP($A33, INDIRECT("JulR!$A$6:$ZZ$1048576"), MATCH(O$1, JulR!$6:$6, 0), FALSE),
            0
        ) +
        IFERROR(
            VLOOKUP($A33, INDIRECT("AgoR!$A$6:$ZZ$1048576"), MATCH(O$1, AgoR!$6:$6, 0), FALSE),
            0
        ) +
        IFERROR(
            VLOOKUP($A33, INDIRECT("SepR!$A$6:$ZZ$1048576"), MATCH(O$1, SepR!$6:$6, 0), FALSE),
            0
        ) +
        IFERROR(
            VLOOKUP($A33, INDIRECT("OctR!$A$6:$ZZ$1048576"), MATCH(O$1, OctR!$6:$6, 0), FALSE),
            0
        ) +
        IFERROR(
            VLOOKUP($A33, INDIRECT("NovR!$A$6:$ZZ$1048576"), MATCH(O$1, NovR!$6:$6, 0), FALSE),
            0
        ) +
        IFERROR(
            VLOOKUP($A33, INDIRECT("DicR!$A$6:$ZZ$1048576"), MATCH(O$1, DicR!$6:$6, 0), FALSE),
            0
        )
)</f>
        <v>0</v>
      </c>
      <c r="P33" s="32">
        <f t="array" ref="P33">SUM(
    IFERROR(
            VLOOKUP($A33, INDIRECT("EneR!$A$6:$ZZ$1048576"), MATCH(P$1, EneR!$6:$6, 0), FALSE),
            0
        ) +
        IFERROR(
            VLOOKUP($A33, INDIRECT("FebR!$A$6:$ZZ$1048576"), MATCH(P$1, FebR!$6:$6, 0), FALSE),
            0
        ) +
        IFERROR(
            VLOOKUP($A33, INDIRECT("MarR!$A$6:$ZZ$1048576"), MATCH(P$1, MarR!$6:$6, 0), FALSE),
            0
        ) +
        IFERROR(
            VLOOKUP($A33, INDIRECT("AbrR!$A$6:$ZZ$1048576"), MATCH(P$1, AbrR!$6:$6, 0), FALSE),
            0
        ) +
        IFERROR(
            VLOOKUP($A33, INDIRECT("MayR!$A$6:$ZZ$1048576"), MATCH(P$1, MayR!$6:$6, 0), FALSE),
            0
        ) +
        IFERROR(
            VLOOKUP($A33, INDIRECT("JunR!$A$6:$ZZ$1048576"), MATCH(P$1, JunR!$6:$6, 0), FALSE),
            0
        ) +
        IFERROR(
            VLOOKUP($A33, INDIRECT("JulR!$A$6:$ZZ$1048576"), MATCH(P$1, JulR!$6:$6, 0), FALSE),
            0
        ) +
        IFERROR(
            VLOOKUP($A33, INDIRECT("AgoR!$A$6:$ZZ$1048576"), MATCH(P$1, AgoR!$6:$6, 0), FALSE),
            0
        ) +
        IFERROR(
            VLOOKUP($A33, INDIRECT("SepR!$A$6:$ZZ$1048576"), MATCH(P$1, SepR!$6:$6, 0), FALSE),
            0
        ) +
        IFERROR(
            VLOOKUP($A33, INDIRECT("OctR!$A$6:$ZZ$1048576"), MATCH(P$1, OctR!$6:$6, 0), FALSE),
            0
        ) +
        IFERROR(
            VLOOKUP($A33, INDIRECT("NovR!$A$6:$ZZ$1048576"), MATCH(P$1, NovR!$6:$6, 0), FALSE),
            0
        ) +
        IFERROR(
            VLOOKUP($A33, INDIRECT("DicR!$A$6:$ZZ$1048576"), MATCH(P$1, DicR!$6:$6, 0), FALSE),
            0
        )
)</f>
        <v>0</v>
      </c>
      <c r="Q33" s="35">
        <f t="array" ref="Q33">SUM(
    IFERROR(
            VLOOKUP($A33, INDIRECT("EneR!$A$6:$ZZ$1048576"), MATCH(Q$1, EneR!$6:$6, 0), FALSE),
            0
        ) +
        IFERROR(
            VLOOKUP($A33, INDIRECT("FebR!$A$6:$ZZ$1048576"), MATCH(Q$1, FebR!$6:$6, 0), FALSE),
            0
        ) +
        IFERROR(
            VLOOKUP($A33, INDIRECT("MarR!$A$6:$ZZ$1048576"), MATCH(Q$1, MarR!$6:$6, 0), FALSE),
            0
        ) +
        IFERROR(
            VLOOKUP($A33, INDIRECT("AbrR!$A$6:$ZZ$1048576"), MATCH(Q$1, AbrR!$6:$6, 0), FALSE),
            0
        ) +
        IFERROR(
            VLOOKUP($A33, INDIRECT("MayR!$A$6:$ZZ$1048576"), MATCH(Q$1, MayR!$6:$6, 0), FALSE),
            0
        ) +
        IFERROR(
            VLOOKUP($A33, INDIRECT("JunR!$A$6:$ZZ$1048576"), MATCH(Q$1, JunR!$6:$6, 0), FALSE),
            0
        ) +
        IFERROR(
            VLOOKUP($A33, INDIRECT("JulR!$A$6:$ZZ$1048576"), MATCH(Q$1, JulR!$6:$6, 0), FALSE),
            0
        ) +
        IFERROR(
            VLOOKUP($A33, INDIRECT("AgoR!$A$6:$ZZ$1048576"), MATCH(Q$1, AgoR!$6:$6, 0), FALSE),
            0
        ) +
        IFERROR(
            VLOOKUP($A33, INDIRECT("SepR!$A$6:$ZZ$1048576"), MATCH(Q$1, SepR!$6:$6, 0), FALSE),
            0
        ) +
        IFERROR(
            VLOOKUP($A33, INDIRECT("OctR!$A$6:$ZZ$1048576"), MATCH(Q$1, OctR!$6:$6, 0), FALSE),
            0
        ) +
        IFERROR(
            VLOOKUP($A33, INDIRECT("NovR!$A$6:$ZZ$1048576"), MATCH(Q$1, NovR!$6:$6, 0), FALSE),
            0
        ) +
        IFERROR(
            VLOOKUP($A33, INDIRECT("DicR!$A$6:$ZZ$1048576"), MATCH(Q$1, DicR!$6:$6, 0), FALSE),
            0
        )
)</f>
        <v>0</v>
      </c>
      <c r="R33" s="36">
        <f t="array" ref="R33">SUM(
    IFERROR(
            VLOOKUP($A33, INDIRECT("EneR!$A$6:$ZZ$1048576"), MATCH(R$1, EneR!$6:$6, 0), FALSE),
            0
        ) +
        IFERROR(
            VLOOKUP($A33, INDIRECT("FebR!$A$6:$ZZ$1048576"), MATCH(R$1, FebR!$6:$6, 0), FALSE),
            0
        ) +
        IFERROR(
            VLOOKUP($A33, INDIRECT("MarR!$A$6:$ZZ$1048576"), MATCH(R$1, MarR!$6:$6, 0), FALSE),
            0
        ) +
        IFERROR(
            VLOOKUP($A33, INDIRECT("AbrR!$A$6:$ZZ$1048576"), MATCH(R$1, AbrR!$6:$6, 0), FALSE),
            0
        ) +
        IFERROR(
            VLOOKUP($A33, INDIRECT("MayR!$A$6:$ZZ$1048576"), MATCH(R$1, MayR!$6:$6, 0), FALSE),
            0
        ) +
        IFERROR(
            VLOOKUP($A33, INDIRECT("JunR!$A$6:$ZZ$1048576"), MATCH(R$1, JunR!$6:$6, 0), FALSE),
            0
        ) +
        IFERROR(
            VLOOKUP($A33, INDIRECT("JulR!$A$6:$ZZ$1048576"), MATCH(R$1, JulR!$6:$6, 0), FALSE),
            0
        ) +
        IFERROR(
            VLOOKUP($A33, INDIRECT("AgoR!$A$6:$ZZ$1048576"), MATCH(R$1, AgoR!$6:$6, 0), FALSE),
            0
        ) +
        IFERROR(
            VLOOKUP($A33, INDIRECT("SepR!$A$6:$ZZ$1048576"), MATCH(R$1, SepR!$6:$6, 0), FALSE),
            0
        ) +
        IFERROR(
            VLOOKUP($A33, INDIRECT("OctR!$A$6:$ZZ$1048576"), MATCH(R$1, OctR!$6:$6, 0), FALSE),
            0
        ) +
        IFERROR(
            VLOOKUP($A33, INDIRECT("NovR!$A$6:$ZZ$1048576"), MATCH(R$1, NovR!$6:$6, 0), FALSE),
            0
        ) +
        IFERROR(
            VLOOKUP($A33, INDIRECT("DicR!$A$6:$ZZ$1048576"), MATCH(R$1, DicR!$6:$6, 0), FALSE),
            0
        )
)</f>
        <v>0</v>
      </c>
      <c r="S33" s="37">
        <f t="array" ref="S33">SUM(
    IFERROR(
            VLOOKUP($A33, INDIRECT("EneR!$A$6:$ZZ$1048576"), MATCH(S$1, EneR!$6:$6, 0), FALSE),
            0
        ) +
        IFERROR(
            VLOOKUP($A33, INDIRECT("FebR!$A$6:$ZZ$1048576"), MATCH(S$1, FebR!$6:$6, 0), FALSE),
            0
        ) +
        IFERROR(
            VLOOKUP($A33, INDIRECT("MarR!$A$6:$ZZ$1048576"), MATCH(S$1, MarR!$6:$6, 0), FALSE),
            0
        ) +
        IFERROR(
            VLOOKUP($A33, INDIRECT("AbrR!$A$6:$ZZ$1048576"), MATCH(S$1, AbrR!$6:$6, 0), FALSE),
            0
        ) +
        IFERROR(
            VLOOKUP($A33, INDIRECT("MayR!$A$6:$ZZ$1048576"), MATCH(S$1, MayR!$6:$6, 0), FALSE),
            0
        ) +
        IFERROR(
            VLOOKUP($A33, INDIRECT("JunR!$A$6:$ZZ$1048576"), MATCH(S$1, JunR!$6:$6, 0), FALSE),
            0
        ) +
        IFERROR(
            VLOOKUP($A33, INDIRECT("JulR!$A$6:$ZZ$1048576"), MATCH(S$1, JulR!$6:$6, 0), FALSE),
            0
        ) +
        IFERROR(
            VLOOKUP($A33, INDIRECT("AgoR!$A$6:$ZZ$1048576"), MATCH(S$1, AgoR!$6:$6, 0), FALSE),
            0
        ) +
        IFERROR(
            VLOOKUP($A33, INDIRECT("SepR!$A$6:$ZZ$1048576"), MATCH(S$1, SepR!$6:$6, 0), FALSE),
            0
        ) +
        IFERROR(
            VLOOKUP($A33, INDIRECT("OctR!$A$6:$ZZ$1048576"), MATCH(S$1, OctR!$6:$6, 0), FALSE),
            0
        ) +
        IFERROR(
            VLOOKUP($A33, INDIRECT("NovR!$A$6:$ZZ$1048576"), MATCH(S$1, NovR!$6:$6, 0), FALSE),
            0
        ) +
        IFERROR(
            VLOOKUP($A33, INDIRECT("DicR!$A$6:$ZZ$1048576"), MATCH(S$1, DicR!$6:$6, 0), FALSE),
            0
        )
)</f>
        <v>0</v>
      </c>
      <c r="T33" s="36">
        <f t="array" ref="T33">SUM(
    IFERROR(
            VLOOKUP($A33, INDIRECT("EneR!$A$6:$ZZ$1048576"), MATCH(T$1, EneR!$6:$6, 0), FALSE),
            0
        ) +
        IFERROR(
            VLOOKUP($A33, INDIRECT("FebR!$A$6:$ZZ$1048576"), MATCH(T$1, FebR!$6:$6, 0), FALSE),
            0
        ) +
        IFERROR(
            VLOOKUP($A33, INDIRECT("MarR!$A$6:$ZZ$1048576"), MATCH(T$1, MarR!$6:$6, 0), FALSE),
            0
        ) +
        IFERROR(
            VLOOKUP($A33, INDIRECT("AbrR!$A$6:$ZZ$1048576"), MATCH(T$1, AbrR!$6:$6, 0), FALSE),
            0
        ) +
        IFERROR(
            VLOOKUP($A33, INDIRECT("MayR!$A$6:$ZZ$1048576"), MATCH(T$1, MayR!$6:$6, 0), FALSE),
            0
        ) +
        IFERROR(
            VLOOKUP($A33, INDIRECT("JunR!$A$6:$ZZ$1048576"), MATCH(T$1, JunR!$6:$6, 0), FALSE),
            0
        ) +
        IFERROR(
            VLOOKUP($A33, INDIRECT("JulR!$A$6:$ZZ$1048576"), MATCH(T$1, JulR!$6:$6, 0), FALSE),
            0
        ) +
        IFERROR(
            VLOOKUP($A33, INDIRECT("AgoR!$A$6:$ZZ$1048576"), MATCH(T$1, AgoR!$6:$6, 0), FALSE),
            0
        ) +
        IFERROR(
            VLOOKUP($A33, INDIRECT("SepR!$A$6:$ZZ$1048576"), MATCH(T$1, SepR!$6:$6, 0), FALSE),
            0
        ) +
        IFERROR(
            VLOOKUP($A33, INDIRECT("OctR!$A$6:$ZZ$1048576"), MATCH(T$1, OctR!$6:$6, 0), FALSE),
            0
        ) +
        IFERROR(
            VLOOKUP($A33, INDIRECT("NovR!$A$6:$ZZ$1048576"), MATCH(T$1, NovR!$6:$6, 0), FALSE),
            0
        ) +
        IFERROR(
            VLOOKUP($A33, INDIRECT("DicR!$A$6:$ZZ$1048576"), MATCH(T$1, DicR!$6:$6, 0), FALSE),
            0
        )
)</f>
        <v>0</v>
      </c>
      <c r="U33" s="37">
        <f t="array" ref="U33">SUM(
    IFERROR(
            VLOOKUP($A33, INDIRECT("EneR!$A$6:$ZZ$1048576"), MATCH(U$1, EneR!$6:$6, 0), FALSE),
            0
        ) +
        IFERROR(
            VLOOKUP($A33, INDIRECT("FebR!$A$6:$ZZ$1048576"), MATCH(U$1, FebR!$6:$6, 0), FALSE),
            0
        ) +
        IFERROR(
            VLOOKUP($A33, INDIRECT("MarR!$A$6:$ZZ$1048576"), MATCH(U$1, MarR!$6:$6, 0), FALSE),
            0
        ) +
        IFERROR(
            VLOOKUP($A33, INDIRECT("AbrR!$A$6:$ZZ$1048576"), MATCH(U$1, AbrR!$6:$6, 0), FALSE),
            0
        ) +
        IFERROR(
            VLOOKUP($A33, INDIRECT("MayR!$A$6:$ZZ$1048576"), MATCH(U$1, MayR!$6:$6, 0), FALSE),
            0
        ) +
        IFERROR(
            VLOOKUP($A33, INDIRECT("JunR!$A$6:$ZZ$1048576"), MATCH(U$1, JunR!$6:$6, 0), FALSE),
            0
        ) +
        IFERROR(
            VLOOKUP($A33, INDIRECT("JulR!$A$6:$ZZ$1048576"), MATCH(U$1, JulR!$6:$6, 0), FALSE),
            0
        ) +
        IFERROR(
            VLOOKUP($A33, INDIRECT("AgoR!$A$6:$ZZ$1048576"), MATCH(U$1, AgoR!$6:$6, 0), FALSE),
            0
        ) +
        IFERROR(
            VLOOKUP($A33, INDIRECT("SepR!$A$6:$ZZ$1048576"), MATCH(U$1, SepR!$6:$6, 0), FALSE),
            0
        ) +
        IFERROR(
            VLOOKUP($A33, INDIRECT("OctR!$A$6:$ZZ$1048576"), MATCH(U$1, OctR!$6:$6, 0), FALSE),
            0
        ) +
        IFERROR(
            VLOOKUP($A33, INDIRECT("NovR!$A$6:$ZZ$1048576"), MATCH(U$1, NovR!$6:$6, 0), FALSE),
            0
        ) +
        IFERROR(
            VLOOKUP($A33, INDIRECT("DicR!$A$6:$ZZ$1048576"), MATCH(U$1, DicR!$6:$6, 0), FALSE),
            0
        )
)</f>
        <v>0</v>
      </c>
      <c r="V33" s="36">
        <f t="array" ref="V33">SUM(
    IFERROR(
            VLOOKUP($A33, INDIRECT("EneR!$A$6:$ZZ$1048576"), MATCH(V$1, EneR!$6:$6, 0), FALSE),
            0
        ) +
        IFERROR(
            VLOOKUP($A33, INDIRECT("FebR!$A$6:$ZZ$1048576"), MATCH(V$1, FebR!$6:$6, 0), FALSE),
            0
        ) +
        IFERROR(
            VLOOKUP($A33, INDIRECT("MarR!$A$6:$ZZ$1048576"), MATCH(V$1, MarR!$6:$6, 0), FALSE),
            0
        ) +
        IFERROR(
            VLOOKUP($A33, INDIRECT("AbrR!$A$6:$ZZ$1048576"), MATCH(V$1, AbrR!$6:$6, 0), FALSE),
            0
        ) +
        IFERROR(
            VLOOKUP($A33, INDIRECT("MayR!$A$6:$ZZ$1048576"), MATCH(V$1, MayR!$6:$6, 0), FALSE),
            0
        ) +
        IFERROR(
            VLOOKUP($A33, INDIRECT("JunR!$A$6:$ZZ$1048576"), MATCH(V$1, JunR!$6:$6, 0), FALSE),
            0
        ) +
        IFERROR(
            VLOOKUP($A33, INDIRECT("JulR!$A$6:$ZZ$1048576"), MATCH(V$1, JulR!$6:$6, 0), FALSE),
            0
        ) +
        IFERROR(
            VLOOKUP($A33, INDIRECT("AgoR!$A$6:$ZZ$1048576"), MATCH(V$1, AgoR!$6:$6, 0), FALSE),
            0
        ) +
        IFERROR(
            VLOOKUP($A33, INDIRECT("SepR!$A$6:$ZZ$1048576"), MATCH(V$1, SepR!$6:$6, 0), FALSE),
            0
        ) +
        IFERROR(
            VLOOKUP($A33, INDIRECT("OctR!$A$6:$ZZ$1048576"), MATCH(V$1, OctR!$6:$6, 0), FALSE),
            0
        ) +
        IFERROR(
            VLOOKUP($A33, INDIRECT("NovR!$A$6:$ZZ$1048576"), MATCH(V$1, NovR!$6:$6, 0), FALSE),
            0
        ) +
        IFERROR(
            VLOOKUP($A33, INDIRECT("DicR!$A$6:$ZZ$1048576"), MATCH(V$1, DicR!$6:$6, 0), FALSE),
            0
        )
)</f>
        <v>0</v>
      </c>
      <c r="W33" s="37">
        <f t="array" ref="W33">SUM(
    IFERROR(
            VLOOKUP($A33, INDIRECT("EneR!$A$6:$ZZ$1048576"), MATCH(W$1, EneR!$6:$6, 0), FALSE),
            0
        ) +
        IFERROR(
            VLOOKUP($A33, INDIRECT("FebR!$A$6:$ZZ$1048576"), MATCH(W$1, FebR!$6:$6, 0), FALSE),
            0
        ) +
        IFERROR(
            VLOOKUP($A33, INDIRECT("MarR!$A$6:$ZZ$1048576"), MATCH(W$1, MarR!$6:$6, 0), FALSE),
            0
        ) +
        IFERROR(
            VLOOKUP($A33, INDIRECT("AbrR!$A$6:$ZZ$1048576"), MATCH(W$1, AbrR!$6:$6, 0), FALSE),
            0
        ) +
        IFERROR(
            VLOOKUP($A33, INDIRECT("MayR!$A$6:$ZZ$1048576"), MATCH(W$1, MayR!$6:$6, 0), FALSE),
            0
        ) +
        IFERROR(
            VLOOKUP($A33, INDIRECT("JunR!$A$6:$ZZ$1048576"), MATCH(W$1, JunR!$6:$6, 0), FALSE),
            0
        ) +
        IFERROR(
            VLOOKUP($A33, INDIRECT("JulR!$A$6:$ZZ$1048576"), MATCH(W$1, JulR!$6:$6, 0), FALSE),
            0
        ) +
        IFERROR(
            VLOOKUP($A33, INDIRECT("AgoR!$A$6:$ZZ$1048576"), MATCH(W$1, AgoR!$6:$6, 0), FALSE),
            0
        ) +
        IFERROR(
            VLOOKUP($A33, INDIRECT("SepR!$A$6:$ZZ$1048576"), MATCH(W$1, SepR!$6:$6, 0), FALSE),
            0
        ) +
        IFERROR(
            VLOOKUP($A33, INDIRECT("OctR!$A$6:$ZZ$1048576"), MATCH(W$1, OctR!$6:$6, 0), FALSE),
            0
        ) +
        IFERROR(
            VLOOKUP($A33, INDIRECT("NovR!$A$6:$ZZ$1048576"), MATCH(W$1, NovR!$6:$6, 0), FALSE),
            0
        ) +
        IFERROR(
            VLOOKUP($A33, INDIRECT("DicR!$A$6:$ZZ$1048576"), MATCH(W$1, DicR!$6:$6, 0), FALSE),
            0
        )
)</f>
        <v>0</v>
      </c>
      <c r="X33" s="36">
        <f t="array" ref="X33">SUM(
    IFERROR(
            VLOOKUP($A33, INDIRECT("EneR!$A$6:$ZZ$1048576"), MATCH(X$1, EneR!$6:$6, 0), FALSE),
            0
        ) +
        IFERROR(
            VLOOKUP($A33, INDIRECT("FebR!$A$6:$ZZ$1048576"), MATCH(X$1, FebR!$6:$6, 0), FALSE),
            0
        ) +
        IFERROR(
            VLOOKUP($A33, INDIRECT("MarR!$A$6:$ZZ$1048576"), MATCH(X$1, MarR!$6:$6, 0), FALSE),
            0
        ) +
        IFERROR(
            VLOOKUP($A33, INDIRECT("AbrR!$A$6:$ZZ$1048576"), MATCH(X$1, AbrR!$6:$6, 0), FALSE),
            0
        ) +
        IFERROR(
            VLOOKUP($A33, INDIRECT("MayR!$A$6:$ZZ$1048576"), MATCH(X$1, MayR!$6:$6, 0), FALSE),
            0
        ) +
        IFERROR(
            VLOOKUP($A33, INDIRECT("JunR!$A$6:$ZZ$1048576"), MATCH(X$1, JunR!$6:$6, 0), FALSE),
            0
        ) +
        IFERROR(
            VLOOKUP($A33, INDIRECT("JulR!$A$6:$ZZ$1048576"), MATCH(X$1, JulR!$6:$6, 0), FALSE),
            0
        ) +
        IFERROR(
            VLOOKUP($A33, INDIRECT("AgoR!$A$6:$ZZ$1048576"), MATCH(X$1, AgoR!$6:$6, 0), FALSE),
            0
        ) +
        IFERROR(
            VLOOKUP($A33, INDIRECT("SepR!$A$6:$ZZ$1048576"), MATCH(X$1, SepR!$6:$6, 0), FALSE),
            0
        ) +
        IFERROR(
            VLOOKUP($A33, INDIRECT("OctR!$A$6:$ZZ$1048576"), MATCH(X$1, OctR!$6:$6, 0), FALSE),
            0
        ) +
        IFERROR(
            VLOOKUP($A33, INDIRECT("NovR!$A$6:$ZZ$1048576"), MATCH(X$1, NovR!$6:$6, 0), FALSE),
            0
        ) +
        IFERROR(
            VLOOKUP($A33, INDIRECT("DicR!$A$6:$ZZ$1048576"), MATCH(X$1, DicR!$6:$6, 0), FALSE),
            0
        )
)</f>
        <v>0</v>
      </c>
      <c r="Y33" s="37">
        <f t="array" ref="Y33">SUM(
    IFERROR(
            VLOOKUP($A33, INDIRECT("EneR!$A$6:$ZZ$1048576"), MATCH(Y$1, EneR!$6:$6, 0), FALSE),
            0
        ) +
        IFERROR(
            VLOOKUP($A33, INDIRECT("FebR!$A$6:$ZZ$1048576"), MATCH(Y$1, FebR!$6:$6, 0), FALSE),
            0
        ) +
        IFERROR(
            VLOOKUP($A33, INDIRECT("MarR!$A$6:$ZZ$1048576"), MATCH(Y$1, MarR!$6:$6, 0), FALSE),
            0
        ) +
        IFERROR(
            VLOOKUP($A33, INDIRECT("AbrR!$A$6:$ZZ$1048576"), MATCH(Y$1, AbrR!$6:$6, 0), FALSE),
            0
        ) +
        IFERROR(
            VLOOKUP($A33, INDIRECT("MayR!$A$6:$ZZ$1048576"), MATCH(Y$1, MayR!$6:$6, 0), FALSE),
            0
        ) +
        IFERROR(
            VLOOKUP($A33, INDIRECT("JunR!$A$6:$ZZ$1048576"), MATCH(Y$1, JunR!$6:$6, 0), FALSE),
            0
        ) +
        IFERROR(
            VLOOKUP($A33, INDIRECT("JulR!$A$6:$ZZ$1048576"), MATCH(Y$1, JulR!$6:$6, 0), FALSE),
            0
        ) +
        IFERROR(
            VLOOKUP($A33, INDIRECT("AgoR!$A$6:$ZZ$1048576"), MATCH(Y$1, AgoR!$6:$6, 0), FALSE),
            0
        ) +
        IFERROR(
            VLOOKUP($A33, INDIRECT("SepR!$A$6:$ZZ$1048576"), MATCH(Y$1, SepR!$6:$6, 0), FALSE),
            0
        ) +
        IFERROR(
            VLOOKUP($A33, INDIRECT("OctR!$A$6:$ZZ$1048576"), MATCH(Y$1, OctR!$6:$6, 0), FALSE),
            0
        ) +
        IFERROR(
            VLOOKUP($A33, INDIRECT("NovR!$A$6:$ZZ$1048576"), MATCH(Y$1, NovR!$6:$6, 0), FALSE),
            0
        ) +
        IFERROR(
            VLOOKUP($A33, INDIRECT("DicR!$A$6:$ZZ$1048576"), MATCH(Y$1, DicR!$6:$6, 0), FALSE),
            0
        )
)</f>
        <v>0</v>
      </c>
      <c r="Z33" s="36">
        <f t="array" ref="Z33">SUM(
    IFERROR(
            VLOOKUP($A33, INDIRECT("EneR!$A$6:$ZZ$1048576"), MATCH(Z$1, EneR!$6:$6, 0), FALSE),
            0
        ) +
        IFERROR(
            VLOOKUP($A33, INDIRECT("FebR!$A$6:$ZZ$1048576"), MATCH(Z$1, FebR!$6:$6, 0), FALSE),
            0
        ) +
        IFERROR(
            VLOOKUP($A33, INDIRECT("MarR!$A$6:$ZZ$1048576"), MATCH(Z$1, MarR!$6:$6, 0), FALSE),
            0
        ) +
        IFERROR(
            VLOOKUP($A33, INDIRECT("AbrR!$A$6:$ZZ$1048576"), MATCH(Z$1, AbrR!$6:$6, 0), FALSE),
            0
        ) +
        IFERROR(
            VLOOKUP($A33, INDIRECT("MayR!$A$6:$ZZ$1048576"), MATCH(Z$1, MayR!$6:$6, 0), FALSE),
            0
        ) +
        IFERROR(
            VLOOKUP($A33, INDIRECT("JunR!$A$6:$ZZ$1048576"), MATCH(Z$1, JunR!$6:$6, 0), FALSE),
            0
        ) +
        IFERROR(
            VLOOKUP($A33, INDIRECT("JulR!$A$6:$ZZ$1048576"), MATCH(Z$1, JulR!$6:$6, 0), FALSE),
            0
        ) +
        IFERROR(
            VLOOKUP($A33, INDIRECT("AgoR!$A$6:$ZZ$1048576"), MATCH(Z$1, AgoR!$6:$6, 0), FALSE),
            0
        ) +
        IFERROR(
            VLOOKUP($A33, INDIRECT("SepR!$A$6:$ZZ$1048576"), MATCH(Z$1, SepR!$6:$6, 0), FALSE),
            0
        ) +
        IFERROR(
            VLOOKUP($A33, INDIRECT("OctR!$A$6:$ZZ$1048576"), MATCH(Z$1, OctR!$6:$6, 0), FALSE),
            0
        ) +
        IFERROR(
            VLOOKUP($A33, INDIRECT("NovR!$A$6:$ZZ$1048576"), MATCH(Z$1, NovR!$6:$6, 0), FALSE),
            0
        ) +
        IFERROR(
            VLOOKUP($A33, INDIRECT("DicR!$A$6:$ZZ$1048576"), MATCH(Z$1, DicR!$6:$6, 0), FALSE),
            0
        )
)</f>
        <v>0</v>
      </c>
      <c r="AA33" s="37">
        <f t="array" ref="AA33">SUM(
    IFERROR(
            VLOOKUP($A33, INDIRECT("EneR!$A$6:$ZZ$1048576"), MATCH(AA$1, EneR!$6:$6, 0), FALSE),
            0
        ) +
        IFERROR(
            VLOOKUP($A33, INDIRECT("FebR!$A$6:$ZZ$1048576"), MATCH(AA$1, FebR!$6:$6, 0), FALSE),
            0
        ) +
        IFERROR(
            VLOOKUP($A33, INDIRECT("MarR!$A$6:$ZZ$1048576"), MATCH(AA$1, MarR!$6:$6, 0), FALSE),
            0
        ) +
        IFERROR(
            VLOOKUP($A33, INDIRECT("AbrR!$A$6:$ZZ$1048576"), MATCH(AA$1, AbrR!$6:$6, 0), FALSE),
            0
        ) +
        IFERROR(
            VLOOKUP($A33, INDIRECT("MayR!$A$6:$ZZ$1048576"), MATCH(AA$1, MayR!$6:$6, 0), FALSE),
            0
        ) +
        IFERROR(
            VLOOKUP($A33, INDIRECT("JunR!$A$6:$ZZ$1048576"), MATCH(AA$1, JunR!$6:$6, 0), FALSE),
            0
        ) +
        IFERROR(
            VLOOKUP($A33, INDIRECT("JulR!$A$6:$ZZ$1048576"), MATCH(AA$1, JulR!$6:$6, 0), FALSE),
            0
        ) +
        IFERROR(
            VLOOKUP($A33, INDIRECT("AgoR!$A$6:$ZZ$1048576"), MATCH(AA$1, AgoR!$6:$6, 0), FALSE),
            0
        ) +
        IFERROR(
            VLOOKUP($A33, INDIRECT("SepR!$A$6:$ZZ$1048576"), MATCH(AA$1, SepR!$6:$6, 0), FALSE),
            0
        ) +
        IFERROR(
            VLOOKUP($A33, INDIRECT("OctR!$A$6:$ZZ$1048576"), MATCH(AA$1, OctR!$6:$6, 0), FALSE),
            0
        ) +
        IFERROR(
            VLOOKUP($A33, INDIRECT("NovR!$A$6:$ZZ$1048576"), MATCH(AA$1, NovR!$6:$6, 0), FALSE),
            0
        ) +
        IFERROR(
            VLOOKUP($A33, INDIRECT("DicR!$A$6:$ZZ$1048576"), MATCH(AA$1, DicR!$6:$6, 0), FALSE),
            0
        )
)</f>
        <v>0</v>
      </c>
      <c r="AB33" s="36">
        <f t="array" ref="AB33">SUM(
    IFERROR(
            VLOOKUP($A33, INDIRECT("EneR!$A$6:$ZZ$1048576"), MATCH(AB$1, EneR!$6:$6, 0), FALSE),
            0
        ) +
        IFERROR(
            VLOOKUP($A33, INDIRECT("FebR!$A$6:$ZZ$1048576"), MATCH(AB$1, FebR!$6:$6, 0), FALSE),
            0
        ) +
        IFERROR(
            VLOOKUP($A33, INDIRECT("MarR!$A$6:$ZZ$1048576"), MATCH(AB$1, MarR!$6:$6, 0), FALSE),
            0
        ) +
        IFERROR(
            VLOOKUP($A33, INDIRECT("AbrR!$A$6:$ZZ$1048576"), MATCH(AB$1, AbrR!$6:$6, 0), FALSE),
            0
        ) +
        IFERROR(
            VLOOKUP($A33, INDIRECT("MayR!$A$6:$ZZ$1048576"), MATCH(AB$1, MayR!$6:$6, 0), FALSE),
            0
        ) +
        IFERROR(
            VLOOKUP($A33, INDIRECT("JunR!$A$6:$ZZ$1048576"), MATCH(AB$1, JunR!$6:$6, 0), FALSE),
            0
        ) +
        IFERROR(
            VLOOKUP($A33, INDIRECT("JulR!$A$6:$ZZ$1048576"), MATCH(AB$1, JulR!$6:$6, 0), FALSE),
            0
        ) +
        IFERROR(
            VLOOKUP($A33, INDIRECT("AgoR!$A$6:$ZZ$1048576"), MATCH(AB$1, AgoR!$6:$6, 0), FALSE),
            0
        ) +
        IFERROR(
            VLOOKUP($A33, INDIRECT("SepR!$A$6:$ZZ$1048576"), MATCH(AB$1, SepR!$6:$6, 0), FALSE),
            0
        ) +
        IFERROR(
            VLOOKUP($A33, INDIRECT("OctR!$A$6:$ZZ$1048576"), MATCH(AB$1, OctR!$6:$6, 0), FALSE),
            0
        ) +
        IFERROR(
            VLOOKUP($A33, INDIRECT("NovR!$A$6:$ZZ$1048576"), MATCH(AB$1, NovR!$6:$6, 0), FALSE),
            0
        ) +
        IFERROR(
            VLOOKUP($A33, INDIRECT("DicR!$A$6:$ZZ$1048576"), MATCH(AB$1, DicR!$6:$6, 0), FALSE),
            0
        )
)</f>
        <v>0</v>
      </c>
      <c r="AC33" s="37">
        <f t="array" ref="AC33">SUM(
    IFERROR(
            VLOOKUP($A33, INDIRECT("EneR!$A$6:$ZZ$1048576"), MATCH(AC$1, EneR!$6:$6, 0), FALSE),
            0
        ) +
        IFERROR(
            VLOOKUP($A33, INDIRECT("FebR!$A$6:$ZZ$1048576"), MATCH(AC$1, FebR!$6:$6, 0), FALSE),
            0
        ) +
        IFERROR(
            VLOOKUP($A33, INDIRECT("MarR!$A$6:$ZZ$1048576"), MATCH(AC$1, MarR!$6:$6, 0), FALSE),
            0
        ) +
        IFERROR(
            VLOOKUP($A33, INDIRECT("AbrR!$A$6:$ZZ$1048576"), MATCH(AC$1, AbrR!$6:$6, 0), FALSE),
            0
        ) +
        IFERROR(
            VLOOKUP($A33, INDIRECT("MayR!$A$6:$ZZ$1048576"), MATCH(AC$1, MayR!$6:$6, 0), FALSE),
            0
        ) +
        IFERROR(
            VLOOKUP($A33, INDIRECT("JunR!$A$6:$ZZ$1048576"), MATCH(AC$1, JunR!$6:$6, 0), FALSE),
            0
        ) +
        IFERROR(
            VLOOKUP($A33, INDIRECT("JulR!$A$6:$ZZ$1048576"), MATCH(AC$1, JulR!$6:$6, 0), FALSE),
            0
        ) +
        IFERROR(
            VLOOKUP($A33, INDIRECT("AgoR!$A$6:$ZZ$1048576"), MATCH(AC$1, AgoR!$6:$6, 0), FALSE),
            0
        ) +
        IFERROR(
            VLOOKUP($A33, INDIRECT("SepR!$A$6:$ZZ$1048576"), MATCH(AC$1, SepR!$6:$6, 0), FALSE),
            0
        ) +
        IFERROR(
            VLOOKUP($A33, INDIRECT("OctR!$A$6:$ZZ$1048576"), MATCH(AC$1, OctR!$6:$6, 0), FALSE),
            0
        ) +
        IFERROR(
            VLOOKUP($A33, INDIRECT("NovR!$A$6:$ZZ$1048576"), MATCH(AC$1, NovR!$6:$6, 0), FALSE),
            0
        ) +
        IFERROR(
            VLOOKUP($A33, INDIRECT("DicR!$A$6:$ZZ$1048576"), MATCH(AC$1, DicR!$6:$6, 0), FALSE),
            0
        )
)</f>
        <v>0</v>
      </c>
      <c r="AD33" s="36">
        <f t="array" ref="AD33">SUM(
    IFERROR(
            VLOOKUP($A33, INDIRECT("EneR!$A$6:$ZZ$1048576"), MATCH(AD$1, EneR!$6:$6, 0), FALSE),
            0
        ) +
        IFERROR(
            VLOOKUP($A33, INDIRECT("FebR!$A$6:$ZZ$1048576"), MATCH(AD$1, FebR!$6:$6, 0), FALSE),
            0
        ) +
        IFERROR(
            VLOOKUP($A33, INDIRECT("MarR!$A$6:$ZZ$1048576"), MATCH(AD$1, MarR!$6:$6, 0), FALSE),
            0
        ) +
        IFERROR(
            VLOOKUP($A33, INDIRECT("AbrR!$A$6:$ZZ$1048576"), MATCH(AD$1, AbrR!$6:$6, 0), FALSE),
            0
        ) +
        IFERROR(
            VLOOKUP($A33, INDIRECT("MayR!$A$6:$ZZ$1048576"), MATCH(AD$1, MayR!$6:$6, 0), FALSE),
            0
        ) +
        IFERROR(
            VLOOKUP($A33, INDIRECT("JunR!$A$6:$ZZ$1048576"), MATCH(AD$1, JunR!$6:$6, 0), FALSE),
            0
        ) +
        IFERROR(
            VLOOKUP($A33, INDIRECT("JulR!$A$6:$ZZ$1048576"), MATCH(AD$1, JulR!$6:$6, 0), FALSE),
            0
        ) +
        IFERROR(
            VLOOKUP($A33, INDIRECT("AgoR!$A$6:$ZZ$1048576"), MATCH(AD$1, AgoR!$6:$6, 0), FALSE),
            0
        ) +
        IFERROR(
            VLOOKUP($A33, INDIRECT("SepR!$A$6:$ZZ$1048576"), MATCH(AD$1, SepR!$6:$6, 0), FALSE),
            0
        ) +
        IFERROR(
            VLOOKUP($A33, INDIRECT("OctR!$A$6:$ZZ$1048576"), MATCH(AD$1, OctR!$6:$6, 0), FALSE),
            0
        ) +
        IFERROR(
            VLOOKUP($A33, INDIRECT("NovR!$A$6:$ZZ$1048576"), MATCH(AD$1, NovR!$6:$6, 0), FALSE),
            0
        ) +
        IFERROR(
            VLOOKUP($A33, INDIRECT("DicR!$A$6:$ZZ$1048576"), MATCH(AD$1, DicR!$6:$6, 0), FALSE),
            0
        )
)</f>
        <v>0</v>
      </c>
      <c r="AE33" s="37">
        <f t="array" ref="AE33">SUM(
    IFERROR(
            VLOOKUP($A33, INDIRECT("EneR!$A$6:$ZZ$1048576"), MATCH(AE$1, EneR!$6:$6, 0), FALSE),
            0
        ) +
        IFERROR(
            VLOOKUP($A33, INDIRECT("FebR!$A$6:$ZZ$1048576"), MATCH(AE$1, FebR!$6:$6, 0), FALSE),
            0
        ) +
        IFERROR(
            VLOOKUP($A33, INDIRECT("MarR!$A$6:$ZZ$1048576"), MATCH(AE$1, MarR!$6:$6, 0), FALSE),
            0
        ) +
        IFERROR(
            VLOOKUP($A33, INDIRECT("AbrR!$A$6:$ZZ$1048576"), MATCH(AE$1, AbrR!$6:$6, 0), FALSE),
            0
        ) +
        IFERROR(
            VLOOKUP($A33, INDIRECT("MayR!$A$6:$ZZ$1048576"), MATCH(AE$1, MayR!$6:$6, 0), FALSE),
            0
        ) +
        IFERROR(
            VLOOKUP($A33, INDIRECT("JunR!$A$6:$ZZ$1048576"), MATCH(AE$1, JunR!$6:$6, 0), FALSE),
            0
        ) +
        IFERROR(
            VLOOKUP($A33, INDIRECT("JulR!$A$6:$ZZ$1048576"), MATCH(AE$1, JulR!$6:$6, 0), FALSE),
            0
        ) +
        IFERROR(
            VLOOKUP($A33, INDIRECT("AgoR!$A$6:$ZZ$1048576"), MATCH(AE$1, AgoR!$6:$6, 0), FALSE),
            0
        ) +
        IFERROR(
            VLOOKUP($A33, INDIRECT("SepR!$A$6:$ZZ$1048576"), MATCH(AE$1, SepR!$6:$6, 0), FALSE),
            0
        ) +
        IFERROR(
            VLOOKUP($A33, INDIRECT("OctR!$A$6:$ZZ$1048576"), MATCH(AE$1, OctR!$6:$6, 0), FALSE),
            0
        ) +
        IFERROR(
            VLOOKUP($A33, INDIRECT("NovR!$A$6:$ZZ$1048576"), MATCH(AE$1, NovR!$6:$6, 0), FALSE),
            0
        ) +
        IFERROR(
            VLOOKUP($A33, INDIRECT("DicR!$A$6:$ZZ$1048576"), MATCH(AE$1, DicR!$6:$6, 0), FALSE),
            0
        )
)</f>
        <v>0</v>
      </c>
      <c r="AF33" s="36">
        <f t="array" ref="AF33">SUM(
    IFERROR(
            VLOOKUP($A33, INDIRECT("EneR!$A$6:$ZZ$1048576"), MATCH(AF$1, EneR!$6:$6, 0), FALSE),
            0
        ) +
        IFERROR(
            VLOOKUP($A33, INDIRECT("FebR!$A$6:$ZZ$1048576"), MATCH(AF$1, FebR!$6:$6, 0), FALSE),
            0
        ) +
        IFERROR(
            VLOOKUP($A33, INDIRECT("MarR!$A$6:$ZZ$1048576"), MATCH(AF$1, MarR!$6:$6, 0), FALSE),
            0
        ) +
        IFERROR(
            VLOOKUP($A33, INDIRECT("AbrR!$A$6:$ZZ$1048576"), MATCH(AF$1, AbrR!$6:$6, 0), FALSE),
            0
        ) +
        IFERROR(
            VLOOKUP($A33, INDIRECT("MayR!$A$6:$ZZ$1048576"), MATCH(AF$1, MayR!$6:$6, 0), FALSE),
            0
        ) +
        IFERROR(
            VLOOKUP($A33, INDIRECT("JunR!$A$6:$ZZ$1048576"), MATCH(AF$1, JunR!$6:$6, 0), FALSE),
            0
        ) +
        IFERROR(
            VLOOKUP($A33, INDIRECT("JulR!$A$6:$ZZ$1048576"), MATCH(AF$1, JulR!$6:$6, 0), FALSE),
            0
        ) +
        IFERROR(
            VLOOKUP($A33, INDIRECT("AgoR!$A$6:$ZZ$1048576"), MATCH(AF$1, AgoR!$6:$6, 0), FALSE),
            0
        ) +
        IFERROR(
            VLOOKUP($A33, INDIRECT("SepR!$A$6:$ZZ$1048576"), MATCH(AF$1, SepR!$6:$6, 0), FALSE),
            0
        ) +
        IFERROR(
            VLOOKUP($A33, INDIRECT("OctR!$A$6:$ZZ$1048576"), MATCH(AF$1, OctR!$6:$6, 0), FALSE),
            0
        ) +
        IFERROR(
            VLOOKUP($A33, INDIRECT("NovR!$A$6:$ZZ$1048576"), MATCH(AF$1, NovR!$6:$6, 0), FALSE),
            0
        ) +
        IFERROR(
            VLOOKUP($A33, INDIRECT("DicR!$A$6:$ZZ$1048576"), MATCH(AF$1, DicR!$6:$6, 0), FALSE),
            0
        )
)</f>
        <v>0</v>
      </c>
      <c r="AG33" s="37">
        <f t="array" ref="AG33">SUM(
    IFERROR(
            VLOOKUP($A33, INDIRECT("EneR!$A$6:$ZZ$1048576"), MATCH(AG$1, EneR!$6:$6, 0), FALSE),
            0
        ) +
        IFERROR(
            VLOOKUP($A33, INDIRECT("FebR!$A$6:$ZZ$1048576"), MATCH(AG$1, FebR!$6:$6, 0), FALSE),
            0
        ) +
        IFERROR(
            VLOOKUP($A33, INDIRECT("MarR!$A$6:$ZZ$1048576"), MATCH(AG$1, MarR!$6:$6, 0), FALSE),
            0
        ) +
        IFERROR(
            VLOOKUP($A33, INDIRECT("AbrR!$A$6:$ZZ$1048576"), MATCH(AG$1, AbrR!$6:$6, 0), FALSE),
            0
        ) +
        IFERROR(
            VLOOKUP($A33, INDIRECT("MayR!$A$6:$ZZ$1048576"), MATCH(AG$1, MayR!$6:$6, 0), FALSE),
            0
        ) +
        IFERROR(
            VLOOKUP($A33, INDIRECT("JunR!$A$6:$ZZ$1048576"), MATCH(AG$1, JunR!$6:$6, 0), FALSE),
            0
        ) +
        IFERROR(
            VLOOKUP($A33, INDIRECT("JulR!$A$6:$ZZ$1048576"), MATCH(AG$1, JulR!$6:$6, 0), FALSE),
            0
        ) +
        IFERROR(
            VLOOKUP($A33, INDIRECT("AgoR!$A$6:$ZZ$1048576"), MATCH(AG$1, AgoR!$6:$6, 0), FALSE),
            0
        ) +
        IFERROR(
            VLOOKUP($A33, INDIRECT("SepR!$A$6:$ZZ$1048576"), MATCH(AG$1, SepR!$6:$6, 0), FALSE),
            0
        ) +
        IFERROR(
            VLOOKUP($A33, INDIRECT("OctR!$A$6:$ZZ$1048576"), MATCH(AG$1, OctR!$6:$6, 0), FALSE),
            0
        ) +
        IFERROR(
            VLOOKUP($A33, INDIRECT("NovR!$A$6:$ZZ$1048576"), MATCH(AG$1, NovR!$6:$6, 0), FALSE),
            0
        ) +
        IFERROR(
            VLOOKUP($A33, INDIRECT("DicR!$A$6:$ZZ$1048576"), MATCH(AG$1, DicR!$6:$6, 0), FALSE),
            0
        )
)</f>
        <v>0</v>
      </c>
      <c r="AH33" s="36">
        <f t="array" ref="AH33">SUM(
    IFERROR(
            VLOOKUP($A33, INDIRECT("EneR!$A$6:$ZZ$1048576"), MATCH(AH$1, EneR!$6:$6, 0), FALSE),
            0
        ) +
        IFERROR(
            VLOOKUP($A33, INDIRECT("FebR!$A$6:$ZZ$1048576"), MATCH(AH$1, FebR!$6:$6, 0), FALSE),
            0
        ) +
        IFERROR(
            VLOOKUP($A33, INDIRECT("MarR!$A$6:$ZZ$1048576"), MATCH(AH$1, MarR!$6:$6, 0), FALSE),
            0
        ) +
        IFERROR(
            VLOOKUP($A33, INDIRECT("AbrR!$A$6:$ZZ$1048576"), MATCH(AH$1, AbrR!$6:$6, 0), FALSE),
            0
        ) +
        IFERROR(
            VLOOKUP($A33, INDIRECT("MayR!$A$6:$ZZ$1048576"), MATCH(AH$1, MayR!$6:$6, 0), FALSE),
            0
        ) +
        IFERROR(
            VLOOKUP($A33, INDIRECT("JunR!$A$6:$ZZ$1048576"), MATCH(AH$1, JunR!$6:$6, 0), FALSE),
            0
        ) +
        IFERROR(
            VLOOKUP($A33, INDIRECT("JulR!$A$6:$ZZ$1048576"), MATCH(AH$1, JulR!$6:$6, 0), FALSE),
            0
        ) +
        IFERROR(
            VLOOKUP($A33, INDIRECT("AgoR!$A$6:$ZZ$1048576"), MATCH(AH$1, AgoR!$6:$6, 0), FALSE),
            0
        ) +
        IFERROR(
            VLOOKUP($A33, INDIRECT("SepR!$A$6:$ZZ$1048576"), MATCH(AH$1, SepR!$6:$6, 0), FALSE),
            0
        ) +
        IFERROR(
            VLOOKUP($A33, INDIRECT("OctR!$A$6:$ZZ$1048576"), MATCH(AH$1, OctR!$6:$6, 0), FALSE),
            0
        ) +
        IFERROR(
            VLOOKUP($A33, INDIRECT("NovR!$A$6:$ZZ$1048576"), MATCH(AH$1, NovR!$6:$6, 0), FALSE),
            0
        ) +
        IFERROR(
            VLOOKUP($A33, INDIRECT("DicR!$A$6:$ZZ$1048576"), MATCH(AH$1, DicR!$6:$6, 0), FALSE),
            0
        )
)</f>
        <v>0</v>
      </c>
      <c r="AI33" s="37">
        <f t="array" ref="AI33">SUM(
    IFERROR(
            VLOOKUP($A33, INDIRECT("EneR!$A$6:$ZZ$1048576"), MATCH(AI$1, EneR!$6:$6, 0), FALSE),
            0
        ) +
        IFERROR(
            VLOOKUP($A33, INDIRECT("FebR!$A$6:$ZZ$1048576"), MATCH(AI$1, FebR!$6:$6, 0), FALSE),
            0
        ) +
        IFERROR(
            VLOOKUP($A33, INDIRECT("MarR!$A$6:$ZZ$1048576"), MATCH(AI$1, MarR!$6:$6, 0), FALSE),
            0
        ) +
        IFERROR(
            VLOOKUP($A33, INDIRECT("AbrR!$A$6:$ZZ$1048576"), MATCH(AI$1, AbrR!$6:$6, 0), FALSE),
            0
        ) +
        IFERROR(
            VLOOKUP($A33, INDIRECT("MayR!$A$6:$ZZ$1048576"), MATCH(AI$1, MayR!$6:$6, 0), FALSE),
            0
        ) +
        IFERROR(
            VLOOKUP($A33, INDIRECT("JunR!$A$6:$ZZ$1048576"), MATCH(AI$1, JunR!$6:$6, 0), FALSE),
            0
        ) +
        IFERROR(
            VLOOKUP($A33, INDIRECT("JulR!$A$6:$ZZ$1048576"), MATCH(AI$1, JulR!$6:$6, 0), FALSE),
            0
        ) +
        IFERROR(
            VLOOKUP($A33, INDIRECT("AgoR!$A$6:$ZZ$1048576"), MATCH(AI$1, AgoR!$6:$6, 0), FALSE),
            0
        ) +
        IFERROR(
            VLOOKUP($A33, INDIRECT("SepR!$A$6:$ZZ$1048576"), MATCH(AI$1, SepR!$6:$6, 0), FALSE),
            0
        ) +
        IFERROR(
            VLOOKUP($A33, INDIRECT("OctR!$A$6:$ZZ$1048576"), MATCH(AI$1, OctR!$6:$6, 0), FALSE),
            0
        ) +
        IFERROR(
            VLOOKUP($A33, INDIRECT("NovR!$A$6:$ZZ$1048576"), MATCH(AI$1, NovR!$6:$6, 0), FALSE),
            0
        ) +
        IFERROR(
            VLOOKUP($A33, INDIRECT("DicR!$A$6:$ZZ$1048576"), MATCH(AI$1, DicR!$6:$6, 0), FALSE),
            0
        )
)</f>
        <v>0</v>
      </c>
      <c r="AJ33" s="36">
        <f t="array" ref="AJ33">SUM(
    IFERROR(
            VLOOKUP($A33, INDIRECT("EneR!$A$6:$ZZ$1048576"), MATCH(AJ$1, EneR!$6:$6, 0), FALSE),
            0
        ) +
        IFERROR(
            VLOOKUP($A33, INDIRECT("FebR!$A$6:$ZZ$1048576"), MATCH(AJ$1, FebR!$6:$6, 0), FALSE),
            0
        ) +
        IFERROR(
            VLOOKUP($A33, INDIRECT("MarR!$A$6:$ZZ$1048576"), MATCH(AJ$1, MarR!$6:$6, 0), FALSE),
            0
        ) +
        IFERROR(
            VLOOKUP($A33, INDIRECT("AbrR!$A$6:$ZZ$1048576"), MATCH(AJ$1, AbrR!$6:$6, 0), FALSE),
            0
        ) +
        IFERROR(
            VLOOKUP($A33, INDIRECT("MayR!$A$6:$ZZ$1048576"), MATCH(AJ$1, MayR!$6:$6, 0), FALSE),
            0
        ) +
        IFERROR(
            VLOOKUP($A33, INDIRECT("JunR!$A$6:$ZZ$1048576"), MATCH(AJ$1, JunR!$6:$6, 0), FALSE),
            0
        ) +
        IFERROR(
            VLOOKUP($A33, INDIRECT("JulR!$A$6:$ZZ$1048576"), MATCH(AJ$1, JulR!$6:$6, 0), FALSE),
            0
        ) +
        IFERROR(
            VLOOKUP($A33, INDIRECT("AgoR!$A$6:$ZZ$1048576"), MATCH(AJ$1, AgoR!$6:$6, 0), FALSE),
            0
        ) +
        IFERROR(
            VLOOKUP($A33, INDIRECT("SepR!$A$6:$ZZ$1048576"), MATCH(AJ$1, SepR!$6:$6, 0), FALSE),
            0
        ) +
        IFERROR(
            VLOOKUP($A33, INDIRECT("OctR!$A$6:$ZZ$1048576"), MATCH(AJ$1, OctR!$6:$6, 0), FALSE),
            0
        ) +
        IFERROR(
            VLOOKUP($A33, INDIRECT("NovR!$A$6:$ZZ$1048576"), MATCH(AJ$1, NovR!$6:$6, 0), FALSE),
            0
        ) +
        IFERROR(
            VLOOKUP($A33, INDIRECT("DicR!$A$6:$ZZ$1048576"), MATCH(AJ$1, DicR!$6:$6, 0), FALSE),
            0
        )
)</f>
        <v>0</v>
      </c>
      <c r="AK33" s="37">
        <f t="array" ref="AK33">SUM(
    IFERROR(
            VLOOKUP($A33, INDIRECT("EneR!$A$6:$ZZ$1048576"), MATCH(AK$1, EneR!$6:$6, 0), FALSE),
            0
        ) +
        IFERROR(
            VLOOKUP($A33, INDIRECT("FebR!$A$6:$ZZ$1048576"), MATCH(AK$1, FebR!$6:$6, 0), FALSE),
            0
        ) +
        IFERROR(
            VLOOKUP($A33, INDIRECT("MarR!$A$6:$ZZ$1048576"), MATCH(AK$1, MarR!$6:$6, 0), FALSE),
            0
        ) +
        IFERROR(
            VLOOKUP($A33, INDIRECT("AbrR!$A$6:$ZZ$1048576"), MATCH(AK$1, AbrR!$6:$6, 0), FALSE),
            0
        ) +
        IFERROR(
            VLOOKUP($A33, INDIRECT("MayR!$A$6:$ZZ$1048576"), MATCH(AK$1, MayR!$6:$6, 0), FALSE),
            0
        ) +
        IFERROR(
            VLOOKUP($A33, INDIRECT("JunR!$A$6:$ZZ$1048576"), MATCH(AK$1, JunR!$6:$6, 0), FALSE),
            0
        ) +
        IFERROR(
            VLOOKUP($A33, INDIRECT("JulR!$A$6:$ZZ$1048576"), MATCH(AK$1, JulR!$6:$6, 0), FALSE),
            0
        ) +
        IFERROR(
            VLOOKUP($A33, INDIRECT("AgoR!$A$6:$ZZ$1048576"), MATCH(AK$1, AgoR!$6:$6, 0), FALSE),
            0
        ) +
        IFERROR(
            VLOOKUP($A33, INDIRECT("SepR!$A$6:$ZZ$1048576"), MATCH(AK$1, SepR!$6:$6, 0), FALSE),
            0
        ) +
        IFERROR(
            VLOOKUP($A33, INDIRECT("OctR!$A$6:$ZZ$1048576"), MATCH(AK$1, OctR!$6:$6, 0), FALSE),
            0
        ) +
        IFERROR(
            VLOOKUP($A33, INDIRECT("NovR!$A$6:$ZZ$1048576"), MATCH(AK$1, NovR!$6:$6, 0), FALSE),
            0
        ) +
        IFERROR(
            VLOOKUP($A33, INDIRECT("DicR!$A$6:$ZZ$1048576"), MATCH(AK$1, DicR!$6:$6, 0), FALSE),
            0
        )
)</f>
        <v>0</v>
      </c>
      <c r="AL33" s="36">
        <f t="array" ref="AL33">SUM(
    IFERROR(
            VLOOKUP($A33, INDIRECT("EneR!$A$6:$ZZ$1048576"), MATCH(AL$1, EneR!$6:$6, 0), FALSE),
            0
        ) +
        IFERROR(
            VLOOKUP($A33, INDIRECT("FebR!$A$6:$ZZ$1048576"), MATCH(AL$1, FebR!$6:$6, 0), FALSE),
            0
        ) +
        IFERROR(
            VLOOKUP($A33, INDIRECT("MarR!$A$6:$ZZ$1048576"), MATCH(AL$1, MarR!$6:$6, 0), FALSE),
            0
        ) +
        IFERROR(
            VLOOKUP($A33, INDIRECT("AbrR!$A$6:$ZZ$1048576"), MATCH(AL$1, AbrR!$6:$6, 0), FALSE),
            0
        ) +
        IFERROR(
            VLOOKUP($A33, INDIRECT("MayR!$A$6:$ZZ$1048576"), MATCH(AL$1, MayR!$6:$6, 0), FALSE),
            0
        ) +
        IFERROR(
            VLOOKUP($A33, INDIRECT("JunR!$A$6:$ZZ$1048576"), MATCH(AL$1, JunR!$6:$6, 0), FALSE),
            0
        ) +
        IFERROR(
            VLOOKUP($A33, INDIRECT("JulR!$A$6:$ZZ$1048576"), MATCH(AL$1, JulR!$6:$6, 0), FALSE),
            0
        ) +
        IFERROR(
            VLOOKUP($A33, INDIRECT("AgoR!$A$6:$ZZ$1048576"), MATCH(AL$1, AgoR!$6:$6, 0), FALSE),
            0
        ) +
        IFERROR(
            VLOOKUP($A33, INDIRECT("SepR!$A$6:$ZZ$1048576"), MATCH(AL$1, SepR!$6:$6, 0), FALSE),
            0
        ) +
        IFERROR(
            VLOOKUP($A33, INDIRECT("OctR!$A$6:$ZZ$1048576"), MATCH(AL$1, OctR!$6:$6, 0), FALSE),
            0
        ) +
        IFERROR(
            VLOOKUP($A33, INDIRECT("NovR!$A$6:$ZZ$1048576"), MATCH(AL$1, NovR!$6:$6, 0), FALSE),
            0
        ) +
        IFERROR(
            VLOOKUP($A33, INDIRECT("DicR!$A$6:$ZZ$1048576"), MATCH(AL$1, DicR!$6:$6, 0), FALSE),
            0
        )
)</f>
        <v>0</v>
      </c>
      <c r="AM33" s="37">
        <f t="array" ref="AM33">SUM(
    IFERROR(
            VLOOKUP($A33, INDIRECT("EneR!$A$6:$ZZ$1048576"), MATCH(AM$1, EneR!$6:$6, 0), FALSE),
            0
        ) +
        IFERROR(
            VLOOKUP($A33, INDIRECT("FebR!$A$6:$ZZ$1048576"), MATCH(AM$1, FebR!$6:$6, 0), FALSE),
            0
        ) +
        IFERROR(
            VLOOKUP($A33, INDIRECT("MarR!$A$6:$ZZ$1048576"), MATCH(AM$1, MarR!$6:$6, 0), FALSE),
            0
        ) +
        IFERROR(
            VLOOKUP($A33, INDIRECT("AbrR!$A$6:$ZZ$1048576"), MATCH(AM$1, AbrR!$6:$6, 0), FALSE),
            0
        ) +
        IFERROR(
            VLOOKUP($A33, INDIRECT("MayR!$A$6:$ZZ$1048576"), MATCH(AM$1, MayR!$6:$6, 0), FALSE),
            0
        ) +
        IFERROR(
            VLOOKUP($A33, INDIRECT("JunR!$A$6:$ZZ$1048576"), MATCH(AM$1, JunR!$6:$6, 0), FALSE),
            0
        ) +
        IFERROR(
            VLOOKUP($A33, INDIRECT("JulR!$A$6:$ZZ$1048576"), MATCH(AM$1, JulR!$6:$6, 0), FALSE),
            0
        ) +
        IFERROR(
            VLOOKUP($A33, INDIRECT("AgoR!$A$6:$ZZ$1048576"), MATCH(AM$1, AgoR!$6:$6, 0), FALSE),
            0
        ) +
        IFERROR(
            VLOOKUP($A33, INDIRECT("SepR!$A$6:$ZZ$1048576"), MATCH(AM$1, SepR!$6:$6, 0), FALSE),
            0
        ) +
        IFERROR(
            VLOOKUP($A33, INDIRECT("OctR!$A$6:$ZZ$1048576"), MATCH(AM$1, OctR!$6:$6, 0), FALSE),
            0
        ) +
        IFERROR(
            VLOOKUP($A33, INDIRECT("NovR!$A$6:$ZZ$1048576"), MATCH(AM$1, NovR!$6:$6, 0), FALSE),
            0
        ) +
        IFERROR(
            VLOOKUP($A33, INDIRECT("DicR!$A$6:$ZZ$1048576"), MATCH(AM$1, DicR!$6:$6, 0), FALSE),
            0
        )
)</f>
        <v>0</v>
      </c>
      <c r="AN33" s="36">
        <f t="array" ref="AN33">SUM(
    IFERROR(
            VLOOKUP($A33, INDIRECT("EneR!$A$6:$ZZ$1048576"), MATCH(AN$1, EneR!$6:$6, 0), FALSE),
            0
        ) +
        IFERROR(
            VLOOKUP($A33, INDIRECT("FebR!$A$6:$ZZ$1048576"), MATCH(AN$1, FebR!$6:$6, 0), FALSE),
            0
        ) +
        IFERROR(
            VLOOKUP($A33, INDIRECT("MarR!$A$6:$ZZ$1048576"), MATCH(AN$1, MarR!$6:$6, 0), FALSE),
            0
        ) +
        IFERROR(
            VLOOKUP($A33, INDIRECT("AbrR!$A$6:$ZZ$1048576"), MATCH(AN$1, AbrR!$6:$6, 0), FALSE),
            0
        ) +
        IFERROR(
            VLOOKUP($A33, INDIRECT("MayR!$A$6:$ZZ$1048576"), MATCH(AN$1, MayR!$6:$6, 0), FALSE),
            0
        ) +
        IFERROR(
            VLOOKUP($A33, INDIRECT("JunR!$A$6:$ZZ$1048576"), MATCH(AN$1, JunR!$6:$6, 0), FALSE),
            0
        ) +
        IFERROR(
            VLOOKUP($A33, INDIRECT("JulR!$A$6:$ZZ$1048576"), MATCH(AN$1, JulR!$6:$6, 0), FALSE),
            0
        ) +
        IFERROR(
            VLOOKUP($A33, INDIRECT("AgoR!$A$6:$ZZ$1048576"), MATCH(AN$1, AgoR!$6:$6, 0), FALSE),
            0
        ) +
        IFERROR(
            VLOOKUP($A33, INDIRECT("SepR!$A$6:$ZZ$1048576"), MATCH(AN$1, SepR!$6:$6, 0), FALSE),
            0
        ) +
        IFERROR(
            VLOOKUP($A33, INDIRECT("OctR!$A$6:$ZZ$1048576"), MATCH(AN$1, OctR!$6:$6, 0), FALSE),
            0
        ) +
        IFERROR(
            VLOOKUP($A33, INDIRECT("NovR!$A$6:$ZZ$1048576"), MATCH(AN$1, NovR!$6:$6, 0), FALSE),
            0
        ) +
        IFERROR(
            VLOOKUP($A33, INDIRECT("DicR!$A$6:$ZZ$1048576"), MATCH(AN$1, DicR!$6:$6, 0), FALSE),
            0
        )
)</f>
        <v>0</v>
      </c>
      <c r="AO33" s="37">
        <f t="array" ref="AO33">SUM(
    IFERROR(
            VLOOKUP($A33, INDIRECT("EneR!$A$6:$ZZ$1048576"), MATCH(AO$1, EneR!$6:$6, 0), FALSE),
            0
        ) +
        IFERROR(
            VLOOKUP($A33, INDIRECT("FebR!$A$6:$ZZ$1048576"), MATCH(AO$1, FebR!$6:$6, 0), FALSE),
            0
        ) +
        IFERROR(
            VLOOKUP($A33, INDIRECT("MarR!$A$6:$ZZ$1048576"), MATCH(AO$1, MarR!$6:$6, 0), FALSE),
            0
        ) +
        IFERROR(
            VLOOKUP($A33, INDIRECT("AbrR!$A$6:$ZZ$1048576"), MATCH(AO$1, AbrR!$6:$6, 0), FALSE),
            0
        ) +
        IFERROR(
            VLOOKUP($A33, INDIRECT("MayR!$A$6:$ZZ$1048576"), MATCH(AO$1, MayR!$6:$6, 0), FALSE),
            0
        ) +
        IFERROR(
            VLOOKUP($A33, INDIRECT("JunR!$A$6:$ZZ$1048576"), MATCH(AO$1, JunR!$6:$6, 0), FALSE),
            0
        ) +
        IFERROR(
            VLOOKUP($A33, INDIRECT("JulR!$A$6:$ZZ$1048576"), MATCH(AO$1, JulR!$6:$6, 0), FALSE),
            0
        ) +
        IFERROR(
            VLOOKUP($A33, INDIRECT("AgoR!$A$6:$ZZ$1048576"), MATCH(AO$1, AgoR!$6:$6, 0), FALSE),
            0
        ) +
        IFERROR(
            VLOOKUP($A33, INDIRECT("SepR!$A$6:$ZZ$1048576"), MATCH(AO$1, SepR!$6:$6, 0), FALSE),
            0
        ) +
        IFERROR(
            VLOOKUP($A33, INDIRECT("OctR!$A$6:$ZZ$1048576"), MATCH(AO$1, OctR!$6:$6, 0), FALSE),
            0
        ) +
        IFERROR(
            VLOOKUP($A33, INDIRECT("NovR!$A$6:$ZZ$1048576"), MATCH(AO$1, NovR!$6:$6, 0), FALSE),
            0
        ) +
        IFERROR(
            VLOOKUP($A33, INDIRECT("DicR!$A$6:$ZZ$1048576"), MATCH(AO$1, DicR!$6:$6, 0), FALSE),
            0
        )
)</f>
        <v>0</v>
      </c>
      <c r="AP33" s="36">
        <f t="array" ref="AP33">SUM(
    IFERROR(
            VLOOKUP($A33, INDIRECT("EneR!$A$6:$ZZ$1048576"), MATCH(AP$1, EneR!$6:$6, 0), FALSE),
            0
        ) +
        IFERROR(
            VLOOKUP($A33, INDIRECT("FebR!$A$6:$ZZ$1048576"), MATCH(AP$1, FebR!$6:$6, 0), FALSE),
            0
        ) +
        IFERROR(
            VLOOKUP($A33, INDIRECT("MarR!$A$6:$ZZ$1048576"), MATCH(AP$1, MarR!$6:$6, 0), FALSE),
            0
        ) +
        IFERROR(
            VLOOKUP($A33, INDIRECT("AbrR!$A$6:$ZZ$1048576"), MATCH(AP$1, AbrR!$6:$6, 0), FALSE),
            0
        ) +
        IFERROR(
            VLOOKUP($A33, INDIRECT("MayR!$A$6:$ZZ$1048576"), MATCH(AP$1, MayR!$6:$6, 0), FALSE),
            0
        ) +
        IFERROR(
            VLOOKUP($A33, INDIRECT("JunR!$A$6:$ZZ$1048576"), MATCH(AP$1, JunR!$6:$6, 0), FALSE),
            0
        ) +
        IFERROR(
            VLOOKUP($A33, INDIRECT("JulR!$A$6:$ZZ$1048576"), MATCH(AP$1, JulR!$6:$6, 0), FALSE),
            0
        ) +
        IFERROR(
            VLOOKUP($A33, INDIRECT("AgoR!$A$6:$ZZ$1048576"), MATCH(AP$1, AgoR!$6:$6, 0), FALSE),
            0
        ) +
        IFERROR(
            VLOOKUP($A33, INDIRECT("SepR!$A$6:$ZZ$1048576"), MATCH(AP$1, SepR!$6:$6, 0), FALSE),
            0
        ) +
        IFERROR(
            VLOOKUP($A33, INDIRECT("OctR!$A$6:$ZZ$1048576"), MATCH(AP$1, OctR!$6:$6, 0), FALSE),
            0
        ) +
        IFERROR(
            VLOOKUP($A33, INDIRECT("NovR!$A$6:$ZZ$1048576"), MATCH(AP$1, NovR!$6:$6, 0), FALSE),
            0
        ) +
        IFERROR(
            VLOOKUP($A33, INDIRECT("DicR!$A$6:$ZZ$1048576"), MATCH(AP$1, DicR!$6:$6, 0), FALSE),
            0
        )
)</f>
        <v>0</v>
      </c>
      <c r="AQ33" s="37">
        <f t="array" ref="AQ33">SUM(
    IFERROR(
            VLOOKUP($A33, INDIRECT("EneR!$A$6:$ZZ$1048576"), MATCH(AQ$1, EneR!$6:$6, 0), FALSE),
            0
        ) +
        IFERROR(
            VLOOKUP($A33, INDIRECT("FebR!$A$6:$ZZ$1048576"), MATCH(AQ$1, FebR!$6:$6, 0), FALSE),
            0
        ) +
        IFERROR(
            VLOOKUP($A33, INDIRECT("MarR!$A$6:$ZZ$1048576"), MATCH(AQ$1, MarR!$6:$6, 0), FALSE),
            0
        ) +
        IFERROR(
            VLOOKUP($A33, INDIRECT("AbrR!$A$6:$ZZ$1048576"), MATCH(AQ$1, AbrR!$6:$6, 0), FALSE),
            0
        ) +
        IFERROR(
            VLOOKUP($A33, INDIRECT("MayR!$A$6:$ZZ$1048576"), MATCH(AQ$1, MayR!$6:$6, 0), FALSE),
            0
        ) +
        IFERROR(
            VLOOKUP($A33, INDIRECT("JunR!$A$6:$ZZ$1048576"), MATCH(AQ$1, JunR!$6:$6, 0), FALSE),
            0
        ) +
        IFERROR(
            VLOOKUP($A33, INDIRECT("JulR!$A$6:$ZZ$1048576"), MATCH(AQ$1, JulR!$6:$6, 0), FALSE),
            0
        ) +
        IFERROR(
            VLOOKUP($A33, INDIRECT("AgoR!$A$6:$ZZ$1048576"), MATCH(AQ$1, AgoR!$6:$6, 0), FALSE),
            0
        ) +
        IFERROR(
            VLOOKUP($A33, INDIRECT("SepR!$A$6:$ZZ$1048576"), MATCH(AQ$1, SepR!$6:$6, 0), FALSE),
            0
        ) +
        IFERROR(
            VLOOKUP($A33, INDIRECT("OctR!$A$6:$ZZ$1048576"), MATCH(AQ$1, OctR!$6:$6, 0), FALSE),
            0
        ) +
        IFERROR(
            VLOOKUP($A33, INDIRECT("NovR!$A$6:$ZZ$1048576"), MATCH(AQ$1, NovR!$6:$6, 0), FALSE),
            0
        ) +
        IFERROR(
            VLOOKUP($A33, INDIRECT("DicR!$A$6:$ZZ$1048576"), MATCH(AQ$1, DicR!$6:$6, 0), FALSE),
            0
        )
)</f>
        <v>0</v>
      </c>
      <c r="AR33" s="36">
        <f t="array" ref="AR33">SUM(
    IFERROR(
            VLOOKUP($A33, INDIRECT("EneR!$A$6:$ZZ$1048576"), MATCH(AR$1, EneR!$6:$6, 0), FALSE),
            0
        ) +
        IFERROR(
            VLOOKUP($A33, INDIRECT("FebR!$A$6:$ZZ$1048576"), MATCH(AR$1, FebR!$6:$6, 0), FALSE),
            0
        ) +
        IFERROR(
            VLOOKUP($A33, INDIRECT("MarR!$A$6:$ZZ$1048576"), MATCH(AR$1, MarR!$6:$6, 0), FALSE),
            0
        ) +
        IFERROR(
            VLOOKUP($A33, INDIRECT("AbrR!$A$6:$ZZ$1048576"), MATCH(AR$1, AbrR!$6:$6, 0), FALSE),
            0
        ) +
        IFERROR(
            VLOOKUP($A33, INDIRECT("MayR!$A$6:$ZZ$1048576"), MATCH(AR$1, MayR!$6:$6, 0), FALSE),
            0
        ) +
        IFERROR(
            VLOOKUP($A33, INDIRECT("JunR!$A$6:$ZZ$1048576"), MATCH(AR$1, JunR!$6:$6, 0), FALSE),
            0
        ) +
        IFERROR(
            VLOOKUP($A33, INDIRECT("JulR!$A$6:$ZZ$1048576"), MATCH(AR$1, JulR!$6:$6, 0), FALSE),
            0
        ) +
        IFERROR(
            VLOOKUP($A33, INDIRECT("AgoR!$A$6:$ZZ$1048576"), MATCH(AR$1, AgoR!$6:$6, 0), FALSE),
            0
        ) +
        IFERROR(
            VLOOKUP($A33, INDIRECT("SepR!$A$6:$ZZ$1048576"), MATCH(AR$1, SepR!$6:$6, 0), FALSE),
            0
        ) +
        IFERROR(
            VLOOKUP($A33, INDIRECT("OctR!$A$6:$ZZ$1048576"), MATCH(AR$1, OctR!$6:$6, 0), FALSE),
            0
        ) +
        IFERROR(
            VLOOKUP($A33, INDIRECT("NovR!$A$6:$ZZ$1048576"), MATCH(AR$1, NovR!$6:$6, 0), FALSE),
            0
        ) +
        IFERROR(
            VLOOKUP($A33, INDIRECT("DicR!$A$6:$ZZ$1048576"), MATCH(AR$1, DicR!$6:$6, 0), FALSE),
            0
        )
)</f>
        <v>0</v>
      </c>
      <c r="AS33" s="37">
        <f t="array" ref="AS33">SUM(
    IFERROR(
            VLOOKUP($A33, INDIRECT("EneR!$A$6:$ZZ$1048576"), MATCH(AS$1, EneR!$6:$6, 0), FALSE),
            0
        ) +
        IFERROR(
            VLOOKUP($A33, INDIRECT("FebR!$A$6:$ZZ$1048576"), MATCH(AS$1, FebR!$6:$6, 0), FALSE),
            0
        ) +
        IFERROR(
            VLOOKUP($A33, INDIRECT("MarR!$A$6:$ZZ$1048576"), MATCH(AS$1, MarR!$6:$6, 0), FALSE),
            0
        ) +
        IFERROR(
            VLOOKUP($A33, INDIRECT("AbrR!$A$6:$ZZ$1048576"), MATCH(AS$1, AbrR!$6:$6, 0), FALSE),
            0
        ) +
        IFERROR(
            VLOOKUP($A33, INDIRECT("MayR!$A$6:$ZZ$1048576"), MATCH(AS$1, MayR!$6:$6, 0), FALSE),
            0
        ) +
        IFERROR(
            VLOOKUP($A33, INDIRECT("JunR!$A$6:$ZZ$1048576"), MATCH(AS$1, JunR!$6:$6, 0), FALSE),
            0
        ) +
        IFERROR(
            VLOOKUP($A33, INDIRECT("JulR!$A$6:$ZZ$1048576"), MATCH(AS$1, JulR!$6:$6, 0), FALSE),
            0
        ) +
        IFERROR(
            VLOOKUP($A33, INDIRECT("AgoR!$A$6:$ZZ$1048576"), MATCH(AS$1, AgoR!$6:$6, 0), FALSE),
            0
        ) +
        IFERROR(
            VLOOKUP($A33, INDIRECT("SepR!$A$6:$ZZ$1048576"), MATCH(AS$1, SepR!$6:$6, 0), FALSE),
            0
        ) +
        IFERROR(
            VLOOKUP($A33, INDIRECT("OctR!$A$6:$ZZ$1048576"), MATCH(AS$1, OctR!$6:$6, 0), FALSE),
            0
        ) +
        IFERROR(
            VLOOKUP($A33, INDIRECT("NovR!$A$6:$ZZ$1048576"), MATCH(AS$1, NovR!$6:$6, 0), FALSE),
            0
        ) +
        IFERROR(
            VLOOKUP($A33, INDIRECT("DicR!$A$6:$ZZ$1048576"), MATCH(AS$1, DicR!$6:$6, 0), FALSE),
            0
        )
)</f>
        <v>0</v>
      </c>
      <c r="AT33" s="36">
        <f t="array" ref="AT33">SUM(
    IFERROR(
            VLOOKUP($A33, INDIRECT("EneR!$A$6:$ZZ$1048576"), MATCH(AT$1, EneR!$6:$6, 0), FALSE),
            0
        ) +
        IFERROR(
            VLOOKUP($A33, INDIRECT("FebR!$A$6:$ZZ$1048576"), MATCH(AT$1, FebR!$6:$6, 0), FALSE),
            0
        ) +
        IFERROR(
            VLOOKUP($A33, INDIRECT("MarR!$A$6:$ZZ$1048576"), MATCH(AT$1, MarR!$6:$6, 0), FALSE),
            0
        ) +
        IFERROR(
            VLOOKUP($A33, INDIRECT("AbrR!$A$6:$ZZ$1048576"), MATCH(AT$1, AbrR!$6:$6, 0), FALSE),
            0
        ) +
        IFERROR(
            VLOOKUP($A33, INDIRECT("MayR!$A$6:$ZZ$1048576"), MATCH(AT$1, MayR!$6:$6, 0), FALSE),
            0
        ) +
        IFERROR(
            VLOOKUP($A33, INDIRECT("JunR!$A$6:$ZZ$1048576"), MATCH(AT$1, JunR!$6:$6, 0), FALSE),
            0
        ) +
        IFERROR(
            VLOOKUP($A33, INDIRECT("JulR!$A$6:$ZZ$1048576"), MATCH(AT$1, JulR!$6:$6, 0), FALSE),
            0
        ) +
        IFERROR(
            VLOOKUP($A33, INDIRECT("AgoR!$A$6:$ZZ$1048576"), MATCH(AT$1, AgoR!$6:$6, 0), FALSE),
            0
        ) +
        IFERROR(
            VLOOKUP($A33, INDIRECT("SepR!$A$6:$ZZ$1048576"), MATCH(AT$1, SepR!$6:$6, 0), FALSE),
            0
        ) +
        IFERROR(
            VLOOKUP($A33, INDIRECT("OctR!$A$6:$ZZ$1048576"), MATCH(AT$1, OctR!$6:$6, 0), FALSE),
            0
        ) +
        IFERROR(
            VLOOKUP($A33, INDIRECT("NovR!$A$6:$ZZ$1048576"), MATCH(AT$1, NovR!$6:$6, 0), FALSE),
            0
        ) +
        IFERROR(
            VLOOKUP($A33, INDIRECT("DicR!$A$6:$ZZ$1048576"), MATCH(AT$1, DicR!$6:$6, 0), FALSE),
            0
        )
)</f>
        <v>0</v>
      </c>
      <c r="AU33" s="37">
        <f t="array" ref="AU33">SUM(
    IFERROR(
            VLOOKUP($A33, INDIRECT("EneR!$A$6:$ZZ$1048576"), MATCH(AU$1, EneR!$6:$6, 0), FALSE),
            0
        ) +
        IFERROR(
            VLOOKUP($A33, INDIRECT("FebR!$A$6:$ZZ$1048576"), MATCH(AU$1, FebR!$6:$6, 0), FALSE),
            0
        ) +
        IFERROR(
            VLOOKUP($A33, INDIRECT("MarR!$A$6:$ZZ$1048576"), MATCH(AU$1, MarR!$6:$6, 0), FALSE),
            0
        ) +
        IFERROR(
            VLOOKUP($A33, INDIRECT("AbrR!$A$6:$ZZ$1048576"), MATCH(AU$1, AbrR!$6:$6, 0), FALSE),
            0
        ) +
        IFERROR(
            VLOOKUP($A33, INDIRECT("MayR!$A$6:$ZZ$1048576"), MATCH(AU$1, MayR!$6:$6, 0), FALSE),
            0
        ) +
        IFERROR(
            VLOOKUP($A33, INDIRECT("JunR!$A$6:$ZZ$1048576"), MATCH(AU$1, JunR!$6:$6, 0), FALSE),
            0
        ) +
        IFERROR(
            VLOOKUP($A33, INDIRECT("JulR!$A$6:$ZZ$1048576"), MATCH(AU$1, JulR!$6:$6, 0), FALSE),
            0
        ) +
        IFERROR(
            VLOOKUP($A33, INDIRECT("AgoR!$A$6:$ZZ$1048576"), MATCH(AU$1, AgoR!$6:$6, 0), FALSE),
            0
        ) +
        IFERROR(
            VLOOKUP($A33, INDIRECT("SepR!$A$6:$ZZ$1048576"), MATCH(AU$1, SepR!$6:$6, 0), FALSE),
            0
        ) +
        IFERROR(
            VLOOKUP($A33, INDIRECT("OctR!$A$6:$ZZ$1048576"), MATCH(AU$1, OctR!$6:$6, 0), FALSE),
            0
        ) +
        IFERROR(
            VLOOKUP($A33, INDIRECT("NovR!$A$6:$ZZ$1048576"), MATCH(AU$1, NovR!$6:$6, 0), FALSE),
            0
        ) +
        IFERROR(
            VLOOKUP($A33, INDIRECT("DicR!$A$6:$ZZ$1048576"), MATCH(AU$1, DicR!$6:$6, 0), FALSE),
            0
        )
)</f>
        <v>0</v>
      </c>
      <c r="AV33" s="36">
        <f t="array" ref="AV33">SUM(
    IFERROR(
            VLOOKUP($A33, INDIRECT("EneR!$A$6:$ZZ$1048576"), MATCH(AV$1, EneR!$6:$6, 0), FALSE),
            0
        ) +
        IFERROR(
            VLOOKUP($A33, INDIRECT("FebR!$A$6:$ZZ$1048576"), MATCH(AV$1, FebR!$6:$6, 0), FALSE),
            0
        ) +
        IFERROR(
            VLOOKUP($A33, INDIRECT("MarR!$A$6:$ZZ$1048576"), MATCH(AV$1, MarR!$6:$6, 0), FALSE),
            0
        ) +
        IFERROR(
            VLOOKUP($A33, INDIRECT("AbrR!$A$6:$ZZ$1048576"), MATCH(AV$1, AbrR!$6:$6, 0), FALSE),
            0
        ) +
        IFERROR(
            VLOOKUP($A33, INDIRECT("MayR!$A$6:$ZZ$1048576"), MATCH(AV$1, MayR!$6:$6, 0), FALSE),
            0
        ) +
        IFERROR(
            VLOOKUP($A33, INDIRECT("JunR!$A$6:$ZZ$1048576"), MATCH(AV$1, JunR!$6:$6, 0), FALSE),
            0
        ) +
        IFERROR(
            VLOOKUP($A33, INDIRECT("JulR!$A$6:$ZZ$1048576"), MATCH(AV$1, JulR!$6:$6, 0), FALSE),
            0
        ) +
        IFERROR(
            VLOOKUP($A33, INDIRECT("AgoR!$A$6:$ZZ$1048576"), MATCH(AV$1, AgoR!$6:$6, 0), FALSE),
            0
        ) +
        IFERROR(
            VLOOKUP($A33, INDIRECT("SepR!$A$6:$ZZ$1048576"), MATCH(AV$1, SepR!$6:$6, 0), FALSE),
            0
        ) +
        IFERROR(
            VLOOKUP($A33, INDIRECT("OctR!$A$6:$ZZ$1048576"), MATCH(AV$1, OctR!$6:$6, 0), FALSE),
            0
        ) +
        IFERROR(
            VLOOKUP($A33, INDIRECT("NovR!$A$6:$ZZ$1048576"), MATCH(AV$1, NovR!$6:$6, 0), FALSE),
            0
        ) +
        IFERROR(
            VLOOKUP($A33, INDIRECT("DicR!$A$6:$ZZ$1048576"), MATCH(AV$1, DicR!$6:$6, 0), FALSE),
            0
        )
)</f>
        <v>0</v>
      </c>
      <c r="AW33" s="37">
        <f t="array" ref="AW33">SUM(
    IFERROR(
            VLOOKUP($A33, INDIRECT("EneR!$A$6:$ZZ$1048576"), MATCH(AW$1, EneR!$6:$6, 0), FALSE),
            0
        ) +
        IFERROR(
            VLOOKUP($A33, INDIRECT("FebR!$A$6:$ZZ$1048576"), MATCH(AW$1, FebR!$6:$6, 0), FALSE),
            0
        ) +
        IFERROR(
            VLOOKUP($A33, INDIRECT("MarR!$A$6:$ZZ$1048576"), MATCH(AW$1, MarR!$6:$6, 0), FALSE),
            0
        ) +
        IFERROR(
            VLOOKUP($A33, INDIRECT("AbrR!$A$6:$ZZ$1048576"), MATCH(AW$1, AbrR!$6:$6, 0), FALSE),
            0
        ) +
        IFERROR(
            VLOOKUP($A33, INDIRECT("MayR!$A$6:$ZZ$1048576"), MATCH(AW$1, MayR!$6:$6, 0), FALSE),
            0
        ) +
        IFERROR(
            VLOOKUP($A33, INDIRECT("JunR!$A$6:$ZZ$1048576"), MATCH(AW$1, JunR!$6:$6, 0), FALSE),
            0
        ) +
        IFERROR(
            VLOOKUP($A33, INDIRECT("JulR!$A$6:$ZZ$1048576"), MATCH(AW$1, JulR!$6:$6, 0), FALSE),
            0
        ) +
        IFERROR(
            VLOOKUP($A33, INDIRECT("AgoR!$A$6:$ZZ$1048576"), MATCH(AW$1, AgoR!$6:$6, 0), FALSE),
            0
        ) +
        IFERROR(
            VLOOKUP($A33, INDIRECT("SepR!$A$6:$ZZ$1048576"), MATCH(AW$1, SepR!$6:$6, 0), FALSE),
            0
        ) +
        IFERROR(
            VLOOKUP($A33, INDIRECT("OctR!$A$6:$ZZ$1048576"), MATCH(AW$1, OctR!$6:$6, 0), FALSE),
            0
        ) +
        IFERROR(
            VLOOKUP($A33, INDIRECT("NovR!$A$6:$ZZ$1048576"), MATCH(AW$1, NovR!$6:$6, 0), FALSE),
            0
        ) +
        IFERROR(
            VLOOKUP($A33, INDIRECT("DicR!$A$6:$ZZ$1048576"), MATCH(AW$1, DicR!$6:$6, 0), FALSE),
            0
        )
)</f>
        <v>0</v>
      </c>
      <c r="AX33" s="36">
        <f t="array" ref="AX33">SUM(
    IFERROR(
            VLOOKUP($A33, INDIRECT("EneR!$A$6:$ZZ$1048576"), MATCH(AX$1, EneR!$6:$6, 0), FALSE),
            0
        ) +
        IFERROR(
            VLOOKUP($A33, INDIRECT("FebR!$A$6:$ZZ$1048576"), MATCH(AX$1, FebR!$6:$6, 0), FALSE),
            0
        ) +
        IFERROR(
            VLOOKUP($A33, INDIRECT("MarR!$A$6:$ZZ$1048576"), MATCH(AX$1, MarR!$6:$6, 0), FALSE),
            0
        ) +
        IFERROR(
            VLOOKUP($A33, INDIRECT("AbrR!$A$6:$ZZ$1048576"), MATCH(AX$1, AbrR!$6:$6, 0), FALSE),
            0
        ) +
        IFERROR(
            VLOOKUP($A33, INDIRECT("MayR!$A$6:$ZZ$1048576"), MATCH(AX$1, MayR!$6:$6, 0), FALSE),
            0
        ) +
        IFERROR(
            VLOOKUP($A33, INDIRECT("JunR!$A$6:$ZZ$1048576"), MATCH(AX$1, JunR!$6:$6, 0), FALSE),
            0
        ) +
        IFERROR(
            VLOOKUP($A33, INDIRECT("JulR!$A$6:$ZZ$1048576"), MATCH(AX$1, JulR!$6:$6, 0), FALSE),
            0
        ) +
        IFERROR(
            VLOOKUP($A33, INDIRECT("AgoR!$A$6:$ZZ$1048576"), MATCH(AX$1, AgoR!$6:$6, 0), FALSE),
            0
        ) +
        IFERROR(
            VLOOKUP($A33, INDIRECT("SepR!$A$6:$ZZ$1048576"), MATCH(AX$1, SepR!$6:$6, 0), FALSE),
            0
        ) +
        IFERROR(
            VLOOKUP($A33, INDIRECT("OctR!$A$6:$ZZ$1048576"), MATCH(AX$1, OctR!$6:$6, 0), FALSE),
            0
        ) +
        IFERROR(
            VLOOKUP($A33, INDIRECT("NovR!$A$6:$ZZ$1048576"), MATCH(AX$1, NovR!$6:$6, 0), FALSE),
            0
        ) +
        IFERROR(
            VLOOKUP($A33, INDIRECT("DicR!$A$6:$ZZ$1048576"), MATCH(AX$1, DicR!$6:$6, 0), FALSE),
            0
        )
)</f>
        <v>0</v>
      </c>
      <c r="AY33" s="37">
        <f t="array" ref="AY33">SUM(
    IFERROR(
            VLOOKUP($A33, INDIRECT("EneR!$A$6:$ZZ$1048576"), MATCH(AY$1, EneR!$6:$6, 0), FALSE),
            0
        ) +
        IFERROR(
            VLOOKUP($A33, INDIRECT("FebR!$A$6:$ZZ$1048576"), MATCH(AY$1, FebR!$6:$6, 0), FALSE),
            0
        ) +
        IFERROR(
            VLOOKUP($A33, INDIRECT("MarR!$A$6:$ZZ$1048576"), MATCH(AY$1, MarR!$6:$6, 0), FALSE),
            0
        ) +
        IFERROR(
            VLOOKUP($A33, INDIRECT("AbrR!$A$6:$ZZ$1048576"), MATCH(AY$1, AbrR!$6:$6, 0), FALSE),
            0
        ) +
        IFERROR(
            VLOOKUP($A33, INDIRECT("MayR!$A$6:$ZZ$1048576"), MATCH(AY$1, MayR!$6:$6, 0), FALSE),
            0
        ) +
        IFERROR(
            VLOOKUP($A33, INDIRECT("JunR!$A$6:$ZZ$1048576"), MATCH(AY$1, JunR!$6:$6, 0), FALSE),
            0
        ) +
        IFERROR(
            VLOOKUP($A33, INDIRECT("JulR!$A$6:$ZZ$1048576"), MATCH(AY$1, JulR!$6:$6, 0), FALSE),
            0
        ) +
        IFERROR(
            VLOOKUP($A33, INDIRECT("AgoR!$A$6:$ZZ$1048576"), MATCH(AY$1, AgoR!$6:$6, 0), FALSE),
            0
        ) +
        IFERROR(
            VLOOKUP($A33, INDIRECT("SepR!$A$6:$ZZ$1048576"), MATCH(AY$1, SepR!$6:$6, 0), FALSE),
            0
        ) +
        IFERROR(
            VLOOKUP($A33, INDIRECT("OctR!$A$6:$ZZ$1048576"), MATCH(AY$1, OctR!$6:$6, 0), FALSE),
            0
        ) +
        IFERROR(
            VLOOKUP($A33, INDIRECT("NovR!$A$6:$ZZ$1048576"), MATCH(AY$1, NovR!$6:$6, 0), FALSE),
            0
        ) +
        IFERROR(
            VLOOKUP($A33, INDIRECT("DicR!$A$6:$ZZ$1048576"), MATCH(AY$1, DicR!$6:$6, 0), FALSE),
            0
        )
)</f>
        <v>0</v>
      </c>
      <c r="AZ33" s="37"/>
    </row>
    <row r="34" ht="15.75" hidden="1" customHeight="1">
      <c r="A34" s="12" t="str">
        <f>Menus!R26</f>
        <v/>
      </c>
      <c r="B34" s="32">
        <f t="shared" si="6"/>
        <v>0</v>
      </c>
      <c r="C34" s="33" t="str">
        <f t="shared" si="7"/>
        <v/>
      </c>
      <c r="D34" s="34">
        <f t="array" ref="D34">SUM(
    IFERROR(
            VLOOKUP($A34, INDIRECT("EneR!$A$6:$ZZ$1048576"), MATCH(D$1, EneR!$6:$6, 0), FALSE),
            0
        ) +
        IFERROR(
            VLOOKUP($A34, INDIRECT("FebR!$A$6:$ZZ$1048576"), MATCH(D$1, FebR!$6:$6, 0), FALSE),
            0
        ) +
        IFERROR(
            VLOOKUP($A34, INDIRECT("MarR!$A$6:$ZZ$1048576"), MATCH(D$1, MarR!$6:$6, 0), FALSE),
            0
        ) +
        IFERROR(
            VLOOKUP($A34, INDIRECT("AbrR!$A$6:$ZZ$1048576"), MATCH(D$1, AbrR!$6:$6, 0), FALSE),
            0
        ) +
        IFERROR(
            VLOOKUP($A34, INDIRECT("MayR!$A$6:$ZZ$1048576"), MATCH(D$1, MayR!$6:$6, 0), FALSE),
            0
        ) +
        IFERROR(
            VLOOKUP($A34, INDIRECT("JunR!$A$6:$ZZ$1048576"), MATCH(D$1, JunR!$6:$6, 0), FALSE),
            0
        ) +
        IFERROR(
            VLOOKUP($A34, INDIRECT("JulR!$A$6:$ZZ$1048576"), MATCH(D$1, JulR!$6:$6, 0), FALSE),
            0
        ) +
        IFERROR(
            VLOOKUP($A34, INDIRECT("AgoR!$A$6:$ZZ$1048576"), MATCH(D$1, AgoR!$6:$6, 0), FALSE),
            0
        ) +
        IFERROR(
            VLOOKUP($A34, INDIRECT("SepR!$A$6:$ZZ$1048576"), MATCH(D$1, SepR!$6:$6, 0), FALSE),
            0
        ) +
        IFERROR(
            VLOOKUP($A34, INDIRECT("OctR!$A$6:$ZZ$1048576"), MATCH(D$1, OctR!$6:$6, 0), FALSE),
            0
        ) +
        IFERROR(
            VLOOKUP($A34, INDIRECT("NovR!$A$6:$ZZ$1048576"), MATCH(D$1, NovR!$6:$6, 0), FALSE),
            0
        ) +
        IFERROR(
            VLOOKUP($A34, INDIRECT("DicR!$A$6:$ZZ$1048576"), MATCH(D$1, DicR!$6:$6, 0), FALSE),
            0
        )
)</f>
        <v>0</v>
      </c>
      <c r="E34" s="35">
        <f t="array" ref="E34">SUM(
    IFERROR(
            VLOOKUP($A34, INDIRECT("EneR!$A$6:$ZZ$1048576"), MATCH(E$1, EneR!$6:$6, 0), FALSE),
            0
        ) +
        IFERROR(
            VLOOKUP($A34, INDIRECT("FebR!$A$6:$ZZ$1048576"), MATCH(E$1, FebR!$6:$6, 0), FALSE),
            0
        ) +
        IFERROR(
            VLOOKUP($A34, INDIRECT("MarR!$A$6:$ZZ$1048576"), MATCH(E$1, MarR!$6:$6, 0), FALSE),
            0
        ) +
        IFERROR(
            VLOOKUP($A34, INDIRECT("AbrR!$A$6:$ZZ$1048576"), MATCH(E$1, AbrR!$6:$6, 0), FALSE),
            0
        ) +
        IFERROR(
            VLOOKUP($A34, INDIRECT("MayR!$A$6:$ZZ$1048576"), MATCH(E$1, MayR!$6:$6, 0), FALSE),
            0
        ) +
        IFERROR(
            VLOOKUP($A34, INDIRECT("JunR!$A$6:$ZZ$1048576"), MATCH(E$1, JunR!$6:$6, 0), FALSE),
            0
        ) +
        IFERROR(
            VLOOKUP($A34, INDIRECT("JulR!$A$6:$ZZ$1048576"), MATCH(E$1, JulR!$6:$6, 0), FALSE),
            0
        ) +
        IFERROR(
            VLOOKUP($A34, INDIRECT("AgoR!$A$6:$ZZ$1048576"), MATCH(E$1, AgoR!$6:$6, 0), FALSE),
            0
        ) +
        IFERROR(
            VLOOKUP($A34, INDIRECT("SepR!$A$6:$ZZ$1048576"), MATCH(E$1, SepR!$6:$6, 0), FALSE),
            0
        ) +
        IFERROR(
            VLOOKUP($A34, INDIRECT("OctR!$A$6:$ZZ$1048576"), MATCH(E$1, OctR!$6:$6, 0), FALSE),
            0
        ) +
        IFERROR(
            VLOOKUP($A34, INDIRECT("NovR!$A$6:$ZZ$1048576"), MATCH(E$1, NovR!$6:$6, 0), FALSE),
            0
        ) +
        IFERROR(
            VLOOKUP($A34, INDIRECT("DicR!$A$6:$ZZ$1048576"), MATCH(E$1, DicR!$6:$6, 0), FALSE),
            0
        )
)</f>
        <v>0</v>
      </c>
      <c r="F34" s="32">
        <f t="array" ref="F34">SUM(
    IFERROR(
            VLOOKUP($A34, INDIRECT("EneR!$A$6:$ZZ$1048576"), MATCH(F$1, EneR!$6:$6, 0), FALSE),
            0
        ) +
        IFERROR(
            VLOOKUP($A34, INDIRECT("FebR!$A$6:$ZZ$1048576"), MATCH(F$1, FebR!$6:$6, 0), FALSE),
            0
        ) +
        IFERROR(
            VLOOKUP($A34, INDIRECT("MarR!$A$6:$ZZ$1048576"), MATCH(F$1, MarR!$6:$6, 0), FALSE),
            0
        ) +
        IFERROR(
            VLOOKUP($A34, INDIRECT("AbrR!$A$6:$ZZ$1048576"), MATCH(F$1, AbrR!$6:$6, 0), FALSE),
            0
        ) +
        IFERROR(
            VLOOKUP($A34, INDIRECT("MayR!$A$6:$ZZ$1048576"), MATCH(F$1, MayR!$6:$6, 0), FALSE),
            0
        ) +
        IFERROR(
            VLOOKUP($A34, INDIRECT("JunR!$A$6:$ZZ$1048576"), MATCH(F$1, JunR!$6:$6, 0), FALSE),
            0
        ) +
        IFERROR(
            VLOOKUP($A34, INDIRECT("JulR!$A$6:$ZZ$1048576"), MATCH(F$1, JulR!$6:$6, 0), FALSE),
            0
        ) +
        IFERROR(
            VLOOKUP($A34, INDIRECT("AgoR!$A$6:$ZZ$1048576"), MATCH(F$1, AgoR!$6:$6, 0), FALSE),
            0
        ) +
        IFERROR(
            VLOOKUP($A34, INDIRECT("SepR!$A$6:$ZZ$1048576"), MATCH(F$1, SepR!$6:$6, 0), FALSE),
            0
        ) +
        IFERROR(
            VLOOKUP($A34, INDIRECT("OctR!$A$6:$ZZ$1048576"), MATCH(F$1, OctR!$6:$6, 0), FALSE),
            0
        ) +
        IFERROR(
            VLOOKUP($A34, INDIRECT("NovR!$A$6:$ZZ$1048576"), MATCH(F$1, NovR!$6:$6, 0), FALSE),
            0
        ) +
        IFERROR(
            VLOOKUP($A34, INDIRECT("DicR!$A$6:$ZZ$1048576"), MATCH(F$1, DicR!$6:$6, 0), FALSE),
            0
        )
)</f>
        <v>0</v>
      </c>
      <c r="G34" s="35">
        <f t="array" ref="G34">SUM(
    IFERROR(
            VLOOKUP($A34, INDIRECT("EneR!$A$6:$ZZ$1048576"), MATCH(G$1, EneR!$6:$6, 0), FALSE),
            0
        ) +
        IFERROR(
            VLOOKUP($A34, INDIRECT("FebR!$A$6:$ZZ$1048576"), MATCH(G$1, FebR!$6:$6, 0), FALSE),
            0
        ) +
        IFERROR(
            VLOOKUP($A34, INDIRECT("MarR!$A$6:$ZZ$1048576"), MATCH(G$1, MarR!$6:$6, 0), FALSE),
            0
        ) +
        IFERROR(
            VLOOKUP($A34, INDIRECT("AbrR!$A$6:$ZZ$1048576"), MATCH(G$1, AbrR!$6:$6, 0), FALSE),
            0
        ) +
        IFERROR(
            VLOOKUP($A34, INDIRECT("MayR!$A$6:$ZZ$1048576"), MATCH(G$1, MayR!$6:$6, 0), FALSE),
            0
        ) +
        IFERROR(
            VLOOKUP($A34, INDIRECT("JunR!$A$6:$ZZ$1048576"), MATCH(G$1, JunR!$6:$6, 0), FALSE),
            0
        ) +
        IFERROR(
            VLOOKUP($A34, INDIRECT("JulR!$A$6:$ZZ$1048576"), MATCH(G$1, JulR!$6:$6, 0), FALSE),
            0
        ) +
        IFERROR(
            VLOOKUP($A34, INDIRECT("AgoR!$A$6:$ZZ$1048576"), MATCH(G$1, AgoR!$6:$6, 0), FALSE),
            0
        ) +
        IFERROR(
            VLOOKUP($A34, INDIRECT("SepR!$A$6:$ZZ$1048576"), MATCH(G$1, SepR!$6:$6, 0), FALSE),
            0
        ) +
        IFERROR(
            VLOOKUP($A34, INDIRECT("OctR!$A$6:$ZZ$1048576"), MATCH(G$1, OctR!$6:$6, 0), FALSE),
            0
        ) +
        IFERROR(
            VLOOKUP($A34, INDIRECT("NovR!$A$6:$ZZ$1048576"), MATCH(G$1, NovR!$6:$6, 0), FALSE),
            0
        ) +
        IFERROR(
            VLOOKUP($A34, INDIRECT("DicR!$A$6:$ZZ$1048576"), MATCH(G$1, DicR!$6:$6, 0), FALSE),
            0
        )
)</f>
        <v>0</v>
      </c>
      <c r="H34" s="32">
        <f t="array" ref="H34">SUM(
    IFERROR(
            VLOOKUP($A34, INDIRECT("EneR!$A$6:$ZZ$1048576"), MATCH(H$1, EneR!$6:$6, 0), FALSE),
            0
        ) +
        IFERROR(
            VLOOKUP($A34, INDIRECT("FebR!$A$6:$ZZ$1048576"), MATCH(H$1, FebR!$6:$6, 0), FALSE),
            0
        ) +
        IFERROR(
            VLOOKUP($A34, INDIRECT("MarR!$A$6:$ZZ$1048576"), MATCH(H$1, MarR!$6:$6, 0), FALSE),
            0
        ) +
        IFERROR(
            VLOOKUP($A34, INDIRECT("AbrR!$A$6:$ZZ$1048576"), MATCH(H$1, AbrR!$6:$6, 0), FALSE),
            0
        ) +
        IFERROR(
            VLOOKUP($A34, INDIRECT("MayR!$A$6:$ZZ$1048576"), MATCH(H$1, MayR!$6:$6, 0), FALSE),
            0
        ) +
        IFERROR(
            VLOOKUP($A34, INDIRECT("JunR!$A$6:$ZZ$1048576"), MATCH(H$1, JunR!$6:$6, 0), FALSE),
            0
        ) +
        IFERROR(
            VLOOKUP($A34, INDIRECT("JulR!$A$6:$ZZ$1048576"), MATCH(H$1, JulR!$6:$6, 0), FALSE),
            0
        ) +
        IFERROR(
            VLOOKUP($A34, INDIRECT("AgoR!$A$6:$ZZ$1048576"), MATCH(H$1, AgoR!$6:$6, 0), FALSE),
            0
        ) +
        IFERROR(
            VLOOKUP($A34, INDIRECT("SepR!$A$6:$ZZ$1048576"), MATCH(H$1, SepR!$6:$6, 0), FALSE),
            0
        ) +
        IFERROR(
            VLOOKUP($A34, INDIRECT("OctR!$A$6:$ZZ$1048576"), MATCH(H$1, OctR!$6:$6, 0), FALSE),
            0
        ) +
        IFERROR(
            VLOOKUP($A34, INDIRECT("NovR!$A$6:$ZZ$1048576"), MATCH(H$1, NovR!$6:$6, 0), FALSE),
            0
        ) +
        IFERROR(
            VLOOKUP($A34, INDIRECT("DicR!$A$6:$ZZ$1048576"), MATCH(H$1, DicR!$6:$6, 0), FALSE),
            0
        )
)</f>
        <v>0</v>
      </c>
      <c r="I34" s="35">
        <f t="array" ref="I34">SUM(
    IFERROR(
            VLOOKUP($A34, INDIRECT("EneR!$A$6:$ZZ$1048576"), MATCH(I$1, EneR!$6:$6, 0), FALSE),
            0
        ) +
        IFERROR(
            VLOOKUP($A34, INDIRECT("FebR!$A$6:$ZZ$1048576"), MATCH(I$1, FebR!$6:$6, 0), FALSE),
            0
        ) +
        IFERROR(
            VLOOKUP($A34, INDIRECT("MarR!$A$6:$ZZ$1048576"), MATCH(I$1, MarR!$6:$6, 0), FALSE),
            0
        ) +
        IFERROR(
            VLOOKUP($A34, INDIRECT("AbrR!$A$6:$ZZ$1048576"), MATCH(I$1, AbrR!$6:$6, 0), FALSE),
            0
        ) +
        IFERROR(
            VLOOKUP($A34, INDIRECT("MayR!$A$6:$ZZ$1048576"), MATCH(I$1, MayR!$6:$6, 0), FALSE),
            0
        ) +
        IFERROR(
            VLOOKUP($A34, INDIRECT("JunR!$A$6:$ZZ$1048576"), MATCH(I$1, JunR!$6:$6, 0), FALSE),
            0
        ) +
        IFERROR(
            VLOOKUP($A34, INDIRECT("JulR!$A$6:$ZZ$1048576"), MATCH(I$1, JulR!$6:$6, 0), FALSE),
            0
        ) +
        IFERROR(
            VLOOKUP($A34, INDIRECT("AgoR!$A$6:$ZZ$1048576"), MATCH(I$1, AgoR!$6:$6, 0), FALSE),
            0
        ) +
        IFERROR(
            VLOOKUP($A34, INDIRECT("SepR!$A$6:$ZZ$1048576"), MATCH(I$1, SepR!$6:$6, 0), FALSE),
            0
        ) +
        IFERROR(
            VLOOKUP($A34, INDIRECT("OctR!$A$6:$ZZ$1048576"), MATCH(I$1, OctR!$6:$6, 0), FALSE),
            0
        ) +
        IFERROR(
            VLOOKUP($A34, INDIRECT("NovR!$A$6:$ZZ$1048576"), MATCH(I$1, NovR!$6:$6, 0), FALSE),
            0
        ) +
        IFERROR(
            VLOOKUP($A34, INDIRECT("DicR!$A$6:$ZZ$1048576"), MATCH(I$1, DicR!$6:$6, 0), FALSE),
            0
        )
)</f>
        <v>0</v>
      </c>
      <c r="J34" s="32">
        <f t="array" ref="J34">SUM(
    IFERROR(
            VLOOKUP($A34, INDIRECT("EneR!$A$6:$ZZ$1048576"), MATCH(J$1, EneR!$6:$6, 0), FALSE),
            0
        ) +
        IFERROR(
            VLOOKUP($A34, INDIRECT("FebR!$A$6:$ZZ$1048576"), MATCH(J$1, FebR!$6:$6, 0), FALSE),
            0
        ) +
        IFERROR(
            VLOOKUP($A34, INDIRECT("MarR!$A$6:$ZZ$1048576"), MATCH(J$1, MarR!$6:$6, 0), FALSE),
            0
        ) +
        IFERROR(
            VLOOKUP($A34, INDIRECT("AbrR!$A$6:$ZZ$1048576"), MATCH(J$1, AbrR!$6:$6, 0), FALSE),
            0
        ) +
        IFERROR(
            VLOOKUP($A34, INDIRECT("MayR!$A$6:$ZZ$1048576"), MATCH(J$1, MayR!$6:$6, 0), FALSE),
            0
        ) +
        IFERROR(
            VLOOKUP($A34, INDIRECT("JunR!$A$6:$ZZ$1048576"), MATCH(J$1, JunR!$6:$6, 0), FALSE),
            0
        ) +
        IFERROR(
            VLOOKUP($A34, INDIRECT("JulR!$A$6:$ZZ$1048576"), MATCH(J$1, JulR!$6:$6, 0), FALSE),
            0
        ) +
        IFERROR(
            VLOOKUP($A34, INDIRECT("AgoR!$A$6:$ZZ$1048576"), MATCH(J$1, AgoR!$6:$6, 0), FALSE),
            0
        ) +
        IFERROR(
            VLOOKUP($A34, INDIRECT("SepR!$A$6:$ZZ$1048576"), MATCH(J$1, SepR!$6:$6, 0), FALSE),
            0
        ) +
        IFERROR(
            VLOOKUP($A34, INDIRECT("OctR!$A$6:$ZZ$1048576"), MATCH(J$1, OctR!$6:$6, 0), FALSE),
            0
        ) +
        IFERROR(
            VLOOKUP($A34, INDIRECT("NovR!$A$6:$ZZ$1048576"), MATCH(J$1, NovR!$6:$6, 0), FALSE),
            0
        ) +
        IFERROR(
            VLOOKUP($A34, INDIRECT("DicR!$A$6:$ZZ$1048576"), MATCH(J$1, DicR!$6:$6, 0), FALSE),
            0
        )
)</f>
        <v>0</v>
      </c>
      <c r="K34" s="35">
        <f t="array" ref="K34">SUM(
    IFERROR(
            VLOOKUP($A34, INDIRECT("EneR!$A$6:$ZZ$1048576"), MATCH(K$1, EneR!$6:$6, 0), FALSE),
            0
        ) +
        IFERROR(
            VLOOKUP($A34, INDIRECT("FebR!$A$6:$ZZ$1048576"), MATCH(K$1, FebR!$6:$6, 0), FALSE),
            0
        ) +
        IFERROR(
            VLOOKUP($A34, INDIRECT("MarR!$A$6:$ZZ$1048576"), MATCH(K$1, MarR!$6:$6, 0), FALSE),
            0
        ) +
        IFERROR(
            VLOOKUP($A34, INDIRECT("AbrR!$A$6:$ZZ$1048576"), MATCH(K$1, AbrR!$6:$6, 0), FALSE),
            0
        ) +
        IFERROR(
            VLOOKUP($A34, INDIRECT("MayR!$A$6:$ZZ$1048576"), MATCH(K$1, MayR!$6:$6, 0), FALSE),
            0
        ) +
        IFERROR(
            VLOOKUP($A34, INDIRECT("JunR!$A$6:$ZZ$1048576"), MATCH(K$1, JunR!$6:$6, 0), FALSE),
            0
        ) +
        IFERROR(
            VLOOKUP($A34, INDIRECT("JulR!$A$6:$ZZ$1048576"), MATCH(K$1, JulR!$6:$6, 0), FALSE),
            0
        ) +
        IFERROR(
            VLOOKUP($A34, INDIRECT("AgoR!$A$6:$ZZ$1048576"), MATCH(K$1, AgoR!$6:$6, 0), FALSE),
            0
        ) +
        IFERROR(
            VLOOKUP($A34, INDIRECT("SepR!$A$6:$ZZ$1048576"), MATCH(K$1, SepR!$6:$6, 0), FALSE),
            0
        ) +
        IFERROR(
            VLOOKUP($A34, INDIRECT("OctR!$A$6:$ZZ$1048576"), MATCH(K$1, OctR!$6:$6, 0), FALSE),
            0
        ) +
        IFERROR(
            VLOOKUP($A34, INDIRECT("NovR!$A$6:$ZZ$1048576"), MATCH(K$1, NovR!$6:$6, 0), FALSE),
            0
        ) +
        IFERROR(
            VLOOKUP($A34, INDIRECT("DicR!$A$6:$ZZ$1048576"), MATCH(K$1, DicR!$6:$6, 0), FALSE),
            0
        )
)</f>
        <v>0</v>
      </c>
      <c r="L34" s="32">
        <f t="array" ref="L34">SUM(
    IFERROR(
            VLOOKUP($A34, INDIRECT("EneR!$A$6:$ZZ$1048576"), MATCH(L$1, EneR!$6:$6, 0), FALSE),
            0
        ) +
        IFERROR(
            VLOOKUP($A34, INDIRECT("FebR!$A$6:$ZZ$1048576"), MATCH(L$1, FebR!$6:$6, 0), FALSE),
            0
        ) +
        IFERROR(
            VLOOKUP($A34, INDIRECT("MarR!$A$6:$ZZ$1048576"), MATCH(L$1, MarR!$6:$6, 0), FALSE),
            0
        ) +
        IFERROR(
            VLOOKUP($A34, INDIRECT("AbrR!$A$6:$ZZ$1048576"), MATCH(L$1, AbrR!$6:$6, 0), FALSE),
            0
        ) +
        IFERROR(
            VLOOKUP($A34, INDIRECT("MayR!$A$6:$ZZ$1048576"), MATCH(L$1, MayR!$6:$6, 0), FALSE),
            0
        ) +
        IFERROR(
            VLOOKUP($A34, INDIRECT("JunR!$A$6:$ZZ$1048576"), MATCH(L$1, JunR!$6:$6, 0), FALSE),
            0
        ) +
        IFERROR(
            VLOOKUP($A34, INDIRECT("JulR!$A$6:$ZZ$1048576"), MATCH(L$1, JulR!$6:$6, 0), FALSE),
            0
        ) +
        IFERROR(
            VLOOKUP($A34, INDIRECT("AgoR!$A$6:$ZZ$1048576"), MATCH(L$1, AgoR!$6:$6, 0), FALSE),
            0
        ) +
        IFERROR(
            VLOOKUP($A34, INDIRECT("SepR!$A$6:$ZZ$1048576"), MATCH(L$1, SepR!$6:$6, 0), FALSE),
            0
        ) +
        IFERROR(
            VLOOKUP($A34, INDIRECT("OctR!$A$6:$ZZ$1048576"), MATCH(L$1, OctR!$6:$6, 0), FALSE),
            0
        ) +
        IFERROR(
            VLOOKUP($A34, INDIRECT("NovR!$A$6:$ZZ$1048576"), MATCH(L$1, NovR!$6:$6, 0), FALSE),
            0
        ) +
        IFERROR(
            VLOOKUP($A34, INDIRECT("DicR!$A$6:$ZZ$1048576"), MATCH(L$1, DicR!$6:$6, 0), FALSE),
            0
        )
)</f>
        <v>0</v>
      </c>
      <c r="M34" s="35">
        <f t="array" ref="M34">SUM(
    IFERROR(
            VLOOKUP($A34, INDIRECT("EneR!$A$6:$ZZ$1048576"), MATCH(M$1, EneR!$6:$6, 0), FALSE),
            0
        ) +
        IFERROR(
            VLOOKUP($A34, INDIRECT("FebR!$A$6:$ZZ$1048576"), MATCH(M$1, FebR!$6:$6, 0), FALSE),
            0
        ) +
        IFERROR(
            VLOOKUP($A34, INDIRECT("MarR!$A$6:$ZZ$1048576"), MATCH(M$1, MarR!$6:$6, 0), FALSE),
            0
        ) +
        IFERROR(
            VLOOKUP($A34, INDIRECT("AbrR!$A$6:$ZZ$1048576"), MATCH(M$1, AbrR!$6:$6, 0), FALSE),
            0
        ) +
        IFERROR(
            VLOOKUP($A34, INDIRECT("MayR!$A$6:$ZZ$1048576"), MATCH(M$1, MayR!$6:$6, 0), FALSE),
            0
        ) +
        IFERROR(
            VLOOKUP($A34, INDIRECT("JunR!$A$6:$ZZ$1048576"), MATCH(M$1, JunR!$6:$6, 0), FALSE),
            0
        ) +
        IFERROR(
            VLOOKUP($A34, INDIRECT("JulR!$A$6:$ZZ$1048576"), MATCH(M$1, JulR!$6:$6, 0), FALSE),
            0
        ) +
        IFERROR(
            VLOOKUP($A34, INDIRECT("AgoR!$A$6:$ZZ$1048576"), MATCH(M$1, AgoR!$6:$6, 0), FALSE),
            0
        ) +
        IFERROR(
            VLOOKUP($A34, INDIRECT("SepR!$A$6:$ZZ$1048576"), MATCH(M$1, SepR!$6:$6, 0), FALSE),
            0
        ) +
        IFERROR(
            VLOOKUP($A34, INDIRECT("OctR!$A$6:$ZZ$1048576"), MATCH(M$1, OctR!$6:$6, 0), FALSE),
            0
        ) +
        IFERROR(
            VLOOKUP($A34, INDIRECT("NovR!$A$6:$ZZ$1048576"), MATCH(M$1, NovR!$6:$6, 0), FALSE),
            0
        ) +
        IFERROR(
            VLOOKUP($A34, INDIRECT("DicR!$A$6:$ZZ$1048576"), MATCH(M$1, DicR!$6:$6, 0), FALSE),
            0
        )
)</f>
        <v>0</v>
      </c>
      <c r="N34" s="32">
        <f t="array" ref="N34">SUM(
    IFERROR(
            VLOOKUP($A34, INDIRECT("EneR!$A$6:$ZZ$1048576"), MATCH(N$1, EneR!$6:$6, 0), FALSE),
            0
        ) +
        IFERROR(
            VLOOKUP($A34, INDIRECT("FebR!$A$6:$ZZ$1048576"), MATCH(N$1, FebR!$6:$6, 0), FALSE),
            0
        ) +
        IFERROR(
            VLOOKUP($A34, INDIRECT("MarR!$A$6:$ZZ$1048576"), MATCH(N$1, MarR!$6:$6, 0), FALSE),
            0
        ) +
        IFERROR(
            VLOOKUP($A34, INDIRECT("AbrR!$A$6:$ZZ$1048576"), MATCH(N$1, AbrR!$6:$6, 0), FALSE),
            0
        ) +
        IFERROR(
            VLOOKUP($A34, INDIRECT("MayR!$A$6:$ZZ$1048576"), MATCH(N$1, MayR!$6:$6, 0), FALSE),
            0
        ) +
        IFERROR(
            VLOOKUP($A34, INDIRECT("JunR!$A$6:$ZZ$1048576"), MATCH(N$1, JunR!$6:$6, 0), FALSE),
            0
        ) +
        IFERROR(
            VLOOKUP($A34, INDIRECT("JulR!$A$6:$ZZ$1048576"), MATCH(N$1, JulR!$6:$6, 0), FALSE),
            0
        ) +
        IFERROR(
            VLOOKUP($A34, INDIRECT("AgoR!$A$6:$ZZ$1048576"), MATCH(N$1, AgoR!$6:$6, 0), FALSE),
            0
        ) +
        IFERROR(
            VLOOKUP($A34, INDIRECT("SepR!$A$6:$ZZ$1048576"), MATCH(N$1, SepR!$6:$6, 0), FALSE),
            0
        ) +
        IFERROR(
            VLOOKUP($A34, INDIRECT("OctR!$A$6:$ZZ$1048576"), MATCH(N$1, OctR!$6:$6, 0), FALSE),
            0
        ) +
        IFERROR(
            VLOOKUP($A34, INDIRECT("NovR!$A$6:$ZZ$1048576"), MATCH(N$1, NovR!$6:$6, 0), FALSE),
            0
        ) +
        IFERROR(
            VLOOKUP($A34, INDIRECT("DicR!$A$6:$ZZ$1048576"), MATCH(N$1, DicR!$6:$6, 0), FALSE),
            0
        )
)</f>
        <v>0</v>
      </c>
      <c r="O34" s="35">
        <f t="array" ref="O34">SUM(
    IFERROR(
            VLOOKUP($A34, INDIRECT("EneR!$A$6:$ZZ$1048576"), MATCH(O$1, EneR!$6:$6, 0), FALSE),
            0
        ) +
        IFERROR(
            VLOOKUP($A34, INDIRECT("FebR!$A$6:$ZZ$1048576"), MATCH(O$1, FebR!$6:$6, 0), FALSE),
            0
        ) +
        IFERROR(
            VLOOKUP($A34, INDIRECT("MarR!$A$6:$ZZ$1048576"), MATCH(O$1, MarR!$6:$6, 0), FALSE),
            0
        ) +
        IFERROR(
            VLOOKUP($A34, INDIRECT("AbrR!$A$6:$ZZ$1048576"), MATCH(O$1, AbrR!$6:$6, 0), FALSE),
            0
        ) +
        IFERROR(
            VLOOKUP($A34, INDIRECT("MayR!$A$6:$ZZ$1048576"), MATCH(O$1, MayR!$6:$6, 0), FALSE),
            0
        ) +
        IFERROR(
            VLOOKUP($A34, INDIRECT("JunR!$A$6:$ZZ$1048576"), MATCH(O$1, JunR!$6:$6, 0), FALSE),
            0
        ) +
        IFERROR(
            VLOOKUP($A34, INDIRECT("JulR!$A$6:$ZZ$1048576"), MATCH(O$1, JulR!$6:$6, 0), FALSE),
            0
        ) +
        IFERROR(
            VLOOKUP($A34, INDIRECT("AgoR!$A$6:$ZZ$1048576"), MATCH(O$1, AgoR!$6:$6, 0), FALSE),
            0
        ) +
        IFERROR(
            VLOOKUP($A34, INDIRECT("SepR!$A$6:$ZZ$1048576"), MATCH(O$1, SepR!$6:$6, 0), FALSE),
            0
        ) +
        IFERROR(
            VLOOKUP($A34, INDIRECT("OctR!$A$6:$ZZ$1048576"), MATCH(O$1, OctR!$6:$6, 0), FALSE),
            0
        ) +
        IFERROR(
            VLOOKUP($A34, INDIRECT("NovR!$A$6:$ZZ$1048576"), MATCH(O$1, NovR!$6:$6, 0), FALSE),
            0
        ) +
        IFERROR(
            VLOOKUP($A34, INDIRECT("DicR!$A$6:$ZZ$1048576"), MATCH(O$1, DicR!$6:$6, 0), FALSE),
            0
        )
)</f>
        <v>0</v>
      </c>
      <c r="P34" s="32">
        <f t="array" ref="P34">SUM(
    IFERROR(
            VLOOKUP($A34, INDIRECT("EneR!$A$6:$ZZ$1048576"), MATCH(P$1, EneR!$6:$6, 0), FALSE),
            0
        ) +
        IFERROR(
            VLOOKUP($A34, INDIRECT("FebR!$A$6:$ZZ$1048576"), MATCH(P$1, FebR!$6:$6, 0), FALSE),
            0
        ) +
        IFERROR(
            VLOOKUP($A34, INDIRECT("MarR!$A$6:$ZZ$1048576"), MATCH(P$1, MarR!$6:$6, 0), FALSE),
            0
        ) +
        IFERROR(
            VLOOKUP($A34, INDIRECT("AbrR!$A$6:$ZZ$1048576"), MATCH(P$1, AbrR!$6:$6, 0), FALSE),
            0
        ) +
        IFERROR(
            VLOOKUP($A34, INDIRECT("MayR!$A$6:$ZZ$1048576"), MATCH(P$1, MayR!$6:$6, 0), FALSE),
            0
        ) +
        IFERROR(
            VLOOKUP($A34, INDIRECT("JunR!$A$6:$ZZ$1048576"), MATCH(P$1, JunR!$6:$6, 0), FALSE),
            0
        ) +
        IFERROR(
            VLOOKUP($A34, INDIRECT("JulR!$A$6:$ZZ$1048576"), MATCH(P$1, JulR!$6:$6, 0), FALSE),
            0
        ) +
        IFERROR(
            VLOOKUP($A34, INDIRECT("AgoR!$A$6:$ZZ$1048576"), MATCH(P$1, AgoR!$6:$6, 0), FALSE),
            0
        ) +
        IFERROR(
            VLOOKUP($A34, INDIRECT("SepR!$A$6:$ZZ$1048576"), MATCH(P$1, SepR!$6:$6, 0), FALSE),
            0
        ) +
        IFERROR(
            VLOOKUP($A34, INDIRECT("OctR!$A$6:$ZZ$1048576"), MATCH(P$1, OctR!$6:$6, 0), FALSE),
            0
        ) +
        IFERROR(
            VLOOKUP($A34, INDIRECT("NovR!$A$6:$ZZ$1048576"), MATCH(P$1, NovR!$6:$6, 0), FALSE),
            0
        ) +
        IFERROR(
            VLOOKUP($A34, INDIRECT("DicR!$A$6:$ZZ$1048576"), MATCH(P$1, DicR!$6:$6, 0), FALSE),
            0
        )
)</f>
        <v>0</v>
      </c>
      <c r="Q34" s="35">
        <f t="array" ref="Q34">SUM(
    IFERROR(
            VLOOKUP($A34, INDIRECT("EneR!$A$6:$ZZ$1048576"), MATCH(Q$1, EneR!$6:$6, 0), FALSE),
            0
        ) +
        IFERROR(
            VLOOKUP($A34, INDIRECT("FebR!$A$6:$ZZ$1048576"), MATCH(Q$1, FebR!$6:$6, 0), FALSE),
            0
        ) +
        IFERROR(
            VLOOKUP($A34, INDIRECT("MarR!$A$6:$ZZ$1048576"), MATCH(Q$1, MarR!$6:$6, 0), FALSE),
            0
        ) +
        IFERROR(
            VLOOKUP($A34, INDIRECT("AbrR!$A$6:$ZZ$1048576"), MATCH(Q$1, AbrR!$6:$6, 0), FALSE),
            0
        ) +
        IFERROR(
            VLOOKUP($A34, INDIRECT("MayR!$A$6:$ZZ$1048576"), MATCH(Q$1, MayR!$6:$6, 0), FALSE),
            0
        ) +
        IFERROR(
            VLOOKUP($A34, INDIRECT("JunR!$A$6:$ZZ$1048576"), MATCH(Q$1, JunR!$6:$6, 0), FALSE),
            0
        ) +
        IFERROR(
            VLOOKUP($A34, INDIRECT("JulR!$A$6:$ZZ$1048576"), MATCH(Q$1, JulR!$6:$6, 0), FALSE),
            0
        ) +
        IFERROR(
            VLOOKUP($A34, INDIRECT("AgoR!$A$6:$ZZ$1048576"), MATCH(Q$1, AgoR!$6:$6, 0), FALSE),
            0
        ) +
        IFERROR(
            VLOOKUP($A34, INDIRECT("SepR!$A$6:$ZZ$1048576"), MATCH(Q$1, SepR!$6:$6, 0), FALSE),
            0
        ) +
        IFERROR(
            VLOOKUP($A34, INDIRECT("OctR!$A$6:$ZZ$1048576"), MATCH(Q$1, OctR!$6:$6, 0), FALSE),
            0
        ) +
        IFERROR(
            VLOOKUP($A34, INDIRECT("NovR!$A$6:$ZZ$1048576"), MATCH(Q$1, NovR!$6:$6, 0), FALSE),
            0
        ) +
        IFERROR(
            VLOOKUP($A34, INDIRECT("DicR!$A$6:$ZZ$1048576"), MATCH(Q$1, DicR!$6:$6, 0), FALSE),
            0
        )
)</f>
        <v>0</v>
      </c>
      <c r="R34" s="36">
        <f t="array" ref="R34">SUM(
    IFERROR(
            VLOOKUP($A34, INDIRECT("EneR!$A$6:$ZZ$1048576"), MATCH(R$1, EneR!$6:$6, 0), FALSE),
            0
        ) +
        IFERROR(
            VLOOKUP($A34, INDIRECT("FebR!$A$6:$ZZ$1048576"), MATCH(R$1, FebR!$6:$6, 0), FALSE),
            0
        ) +
        IFERROR(
            VLOOKUP($A34, INDIRECT("MarR!$A$6:$ZZ$1048576"), MATCH(R$1, MarR!$6:$6, 0), FALSE),
            0
        ) +
        IFERROR(
            VLOOKUP($A34, INDIRECT("AbrR!$A$6:$ZZ$1048576"), MATCH(R$1, AbrR!$6:$6, 0), FALSE),
            0
        ) +
        IFERROR(
            VLOOKUP($A34, INDIRECT("MayR!$A$6:$ZZ$1048576"), MATCH(R$1, MayR!$6:$6, 0), FALSE),
            0
        ) +
        IFERROR(
            VLOOKUP($A34, INDIRECT("JunR!$A$6:$ZZ$1048576"), MATCH(R$1, JunR!$6:$6, 0), FALSE),
            0
        ) +
        IFERROR(
            VLOOKUP($A34, INDIRECT("JulR!$A$6:$ZZ$1048576"), MATCH(R$1, JulR!$6:$6, 0), FALSE),
            0
        ) +
        IFERROR(
            VLOOKUP($A34, INDIRECT("AgoR!$A$6:$ZZ$1048576"), MATCH(R$1, AgoR!$6:$6, 0), FALSE),
            0
        ) +
        IFERROR(
            VLOOKUP($A34, INDIRECT("SepR!$A$6:$ZZ$1048576"), MATCH(R$1, SepR!$6:$6, 0), FALSE),
            0
        ) +
        IFERROR(
            VLOOKUP($A34, INDIRECT("OctR!$A$6:$ZZ$1048576"), MATCH(R$1, OctR!$6:$6, 0), FALSE),
            0
        ) +
        IFERROR(
            VLOOKUP($A34, INDIRECT("NovR!$A$6:$ZZ$1048576"), MATCH(R$1, NovR!$6:$6, 0), FALSE),
            0
        ) +
        IFERROR(
            VLOOKUP($A34, INDIRECT("DicR!$A$6:$ZZ$1048576"), MATCH(R$1, DicR!$6:$6, 0), FALSE),
            0
        )
)</f>
        <v>0</v>
      </c>
      <c r="S34" s="37">
        <f t="array" ref="S34">SUM(
    IFERROR(
            VLOOKUP($A34, INDIRECT("EneR!$A$6:$ZZ$1048576"), MATCH(S$1, EneR!$6:$6, 0), FALSE),
            0
        ) +
        IFERROR(
            VLOOKUP($A34, INDIRECT("FebR!$A$6:$ZZ$1048576"), MATCH(S$1, FebR!$6:$6, 0), FALSE),
            0
        ) +
        IFERROR(
            VLOOKUP($A34, INDIRECT("MarR!$A$6:$ZZ$1048576"), MATCH(S$1, MarR!$6:$6, 0), FALSE),
            0
        ) +
        IFERROR(
            VLOOKUP($A34, INDIRECT("AbrR!$A$6:$ZZ$1048576"), MATCH(S$1, AbrR!$6:$6, 0), FALSE),
            0
        ) +
        IFERROR(
            VLOOKUP($A34, INDIRECT("MayR!$A$6:$ZZ$1048576"), MATCH(S$1, MayR!$6:$6, 0), FALSE),
            0
        ) +
        IFERROR(
            VLOOKUP($A34, INDIRECT("JunR!$A$6:$ZZ$1048576"), MATCH(S$1, JunR!$6:$6, 0), FALSE),
            0
        ) +
        IFERROR(
            VLOOKUP($A34, INDIRECT("JulR!$A$6:$ZZ$1048576"), MATCH(S$1, JulR!$6:$6, 0), FALSE),
            0
        ) +
        IFERROR(
            VLOOKUP($A34, INDIRECT("AgoR!$A$6:$ZZ$1048576"), MATCH(S$1, AgoR!$6:$6, 0), FALSE),
            0
        ) +
        IFERROR(
            VLOOKUP($A34, INDIRECT("SepR!$A$6:$ZZ$1048576"), MATCH(S$1, SepR!$6:$6, 0), FALSE),
            0
        ) +
        IFERROR(
            VLOOKUP($A34, INDIRECT("OctR!$A$6:$ZZ$1048576"), MATCH(S$1, OctR!$6:$6, 0), FALSE),
            0
        ) +
        IFERROR(
            VLOOKUP($A34, INDIRECT("NovR!$A$6:$ZZ$1048576"), MATCH(S$1, NovR!$6:$6, 0), FALSE),
            0
        ) +
        IFERROR(
            VLOOKUP($A34, INDIRECT("DicR!$A$6:$ZZ$1048576"), MATCH(S$1, DicR!$6:$6, 0), FALSE),
            0
        )
)</f>
        <v>0</v>
      </c>
      <c r="T34" s="36">
        <f t="array" ref="T34">SUM(
    IFERROR(
            VLOOKUP($A34, INDIRECT("EneR!$A$6:$ZZ$1048576"), MATCH(T$1, EneR!$6:$6, 0), FALSE),
            0
        ) +
        IFERROR(
            VLOOKUP($A34, INDIRECT("FebR!$A$6:$ZZ$1048576"), MATCH(T$1, FebR!$6:$6, 0), FALSE),
            0
        ) +
        IFERROR(
            VLOOKUP($A34, INDIRECT("MarR!$A$6:$ZZ$1048576"), MATCH(T$1, MarR!$6:$6, 0), FALSE),
            0
        ) +
        IFERROR(
            VLOOKUP($A34, INDIRECT("AbrR!$A$6:$ZZ$1048576"), MATCH(T$1, AbrR!$6:$6, 0), FALSE),
            0
        ) +
        IFERROR(
            VLOOKUP($A34, INDIRECT("MayR!$A$6:$ZZ$1048576"), MATCH(T$1, MayR!$6:$6, 0), FALSE),
            0
        ) +
        IFERROR(
            VLOOKUP($A34, INDIRECT("JunR!$A$6:$ZZ$1048576"), MATCH(T$1, JunR!$6:$6, 0), FALSE),
            0
        ) +
        IFERROR(
            VLOOKUP($A34, INDIRECT("JulR!$A$6:$ZZ$1048576"), MATCH(T$1, JulR!$6:$6, 0), FALSE),
            0
        ) +
        IFERROR(
            VLOOKUP($A34, INDIRECT("AgoR!$A$6:$ZZ$1048576"), MATCH(T$1, AgoR!$6:$6, 0), FALSE),
            0
        ) +
        IFERROR(
            VLOOKUP($A34, INDIRECT("SepR!$A$6:$ZZ$1048576"), MATCH(T$1, SepR!$6:$6, 0), FALSE),
            0
        ) +
        IFERROR(
            VLOOKUP($A34, INDIRECT("OctR!$A$6:$ZZ$1048576"), MATCH(T$1, OctR!$6:$6, 0), FALSE),
            0
        ) +
        IFERROR(
            VLOOKUP($A34, INDIRECT("NovR!$A$6:$ZZ$1048576"), MATCH(T$1, NovR!$6:$6, 0), FALSE),
            0
        ) +
        IFERROR(
            VLOOKUP($A34, INDIRECT("DicR!$A$6:$ZZ$1048576"), MATCH(T$1, DicR!$6:$6, 0), FALSE),
            0
        )
)</f>
        <v>0</v>
      </c>
      <c r="U34" s="37">
        <f t="array" ref="U34">SUM(
    IFERROR(
            VLOOKUP($A34, INDIRECT("EneR!$A$6:$ZZ$1048576"), MATCH(U$1, EneR!$6:$6, 0), FALSE),
            0
        ) +
        IFERROR(
            VLOOKUP($A34, INDIRECT("FebR!$A$6:$ZZ$1048576"), MATCH(U$1, FebR!$6:$6, 0), FALSE),
            0
        ) +
        IFERROR(
            VLOOKUP($A34, INDIRECT("MarR!$A$6:$ZZ$1048576"), MATCH(U$1, MarR!$6:$6, 0), FALSE),
            0
        ) +
        IFERROR(
            VLOOKUP($A34, INDIRECT("AbrR!$A$6:$ZZ$1048576"), MATCH(U$1, AbrR!$6:$6, 0), FALSE),
            0
        ) +
        IFERROR(
            VLOOKUP($A34, INDIRECT("MayR!$A$6:$ZZ$1048576"), MATCH(U$1, MayR!$6:$6, 0), FALSE),
            0
        ) +
        IFERROR(
            VLOOKUP($A34, INDIRECT("JunR!$A$6:$ZZ$1048576"), MATCH(U$1, JunR!$6:$6, 0), FALSE),
            0
        ) +
        IFERROR(
            VLOOKUP($A34, INDIRECT("JulR!$A$6:$ZZ$1048576"), MATCH(U$1, JulR!$6:$6, 0), FALSE),
            0
        ) +
        IFERROR(
            VLOOKUP($A34, INDIRECT("AgoR!$A$6:$ZZ$1048576"), MATCH(U$1, AgoR!$6:$6, 0), FALSE),
            0
        ) +
        IFERROR(
            VLOOKUP($A34, INDIRECT("SepR!$A$6:$ZZ$1048576"), MATCH(U$1, SepR!$6:$6, 0), FALSE),
            0
        ) +
        IFERROR(
            VLOOKUP($A34, INDIRECT("OctR!$A$6:$ZZ$1048576"), MATCH(U$1, OctR!$6:$6, 0), FALSE),
            0
        ) +
        IFERROR(
            VLOOKUP($A34, INDIRECT("NovR!$A$6:$ZZ$1048576"), MATCH(U$1, NovR!$6:$6, 0), FALSE),
            0
        ) +
        IFERROR(
            VLOOKUP($A34, INDIRECT("DicR!$A$6:$ZZ$1048576"), MATCH(U$1, DicR!$6:$6, 0), FALSE),
            0
        )
)</f>
        <v>0</v>
      </c>
      <c r="V34" s="36">
        <f t="array" ref="V34">SUM(
    IFERROR(
            VLOOKUP($A34, INDIRECT("EneR!$A$6:$ZZ$1048576"), MATCH(V$1, EneR!$6:$6, 0), FALSE),
            0
        ) +
        IFERROR(
            VLOOKUP($A34, INDIRECT("FebR!$A$6:$ZZ$1048576"), MATCH(V$1, FebR!$6:$6, 0), FALSE),
            0
        ) +
        IFERROR(
            VLOOKUP($A34, INDIRECT("MarR!$A$6:$ZZ$1048576"), MATCH(V$1, MarR!$6:$6, 0), FALSE),
            0
        ) +
        IFERROR(
            VLOOKUP($A34, INDIRECT("AbrR!$A$6:$ZZ$1048576"), MATCH(V$1, AbrR!$6:$6, 0), FALSE),
            0
        ) +
        IFERROR(
            VLOOKUP($A34, INDIRECT("MayR!$A$6:$ZZ$1048576"), MATCH(V$1, MayR!$6:$6, 0), FALSE),
            0
        ) +
        IFERROR(
            VLOOKUP($A34, INDIRECT("JunR!$A$6:$ZZ$1048576"), MATCH(V$1, JunR!$6:$6, 0), FALSE),
            0
        ) +
        IFERROR(
            VLOOKUP($A34, INDIRECT("JulR!$A$6:$ZZ$1048576"), MATCH(V$1, JulR!$6:$6, 0), FALSE),
            0
        ) +
        IFERROR(
            VLOOKUP($A34, INDIRECT("AgoR!$A$6:$ZZ$1048576"), MATCH(V$1, AgoR!$6:$6, 0), FALSE),
            0
        ) +
        IFERROR(
            VLOOKUP($A34, INDIRECT("SepR!$A$6:$ZZ$1048576"), MATCH(V$1, SepR!$6:$6, 0), FALSE),
            0
        ) +
        IFERROR(
            VLOOKUP($A34, INDIRECT("OctR!$A$6:$ZZ$1048576"), MATCH(V$1, OctR!$6:$6, 0), FALSE),
            0
        ) +
        IFERROR(
            VLOOKUP($A34, INDIRECT("NovR!$A$6:$ZZ$1048576"), MATCH(V$1, NovR!$6:$6, 0), FALSE),
            0
        ) +
        IFERROR(
            VLOOKUP($A34, INDIRECT("DicR!$A$6:$ZZ$1048576"), MATCH(V$1, DicR!$6:$6, 0), FALSE),
            0
        )
)</f>
        <v>0</v>
      </c>
      <c r="W34" s="37">
        <f t="array" ref="W34">SUM(
    IFERROR(
            VLOOKUP($A34, INDIRECT("EneR!$A$6:$ZZ$1048576"), MATCH(W$1, EneR!$6:$6, 0), FALSE),
            0
        ) +
        IFERROR(
            VLOOKUP($A34, INDIRECT("FebR!$A$6:$ZZ$1048576"), MATCH(W$1, FebR!$6:$6, 0), FALSE),
            0
        ) +
        IFERROR(
            VLOOKUP($A34, INDIRECT("MarR!$A$6:$ZZ$1048576"), MATCH(W$1, MarR!$6:$6, 0), FALSE),
            0
        ) +
        IFERROR(
            VLOOKUP($A34, INDIRECT("AbrR!$A$6:$ZZ$1048576"), MATCH(W$1, AbrR!$6:$6, 0), FALSE),
            0
        ) +
        IFERROR(
            VLOOKUP($A34, INDIRECT("MayR!$A$6:$ZZ$1048576"), MATCH(W$1, MayR!$6:$6, 0), FALSE),
            0
        ) +
        IFERROR(
            VLOOKUP($A34, INDIRECT("JunR!$A$6:$ZZ$1048576"), MATCH(W$1, JunR!$6:$6, 0), FALSE),
            0
        ) +
        IFERROR(
            VLOOKUP($A34, INDIRECT("JulR!$A$6:$ZZ$1048576"), MATCH(W$1, JulR!$6:$6, 0), FALSE),
            0
        ) +
        IFERROR(
            VLOOKUP($A34, INDIRECT("AgoR!$A$6:$ZZ$1048576"), MATCH(W$1, AgoR!$6:$6, 0), FALSE),
            0
        ) +
        IFERROR(
            VLOOKUP($A34, INDIRECT("SepR!$A$6:$ZZ$1048576"), MATCH(W$1, SepR!$6:$6, 0), FALSE),
            0
        ) +
        IFERROR(
            VLOOKUP($A34, INDIRECT("OctR!$A$6:$ZZ$1048576"), MATCH(W$1, OctR!$6:$6, 0), FALSE),
            0
        ) +
        IFERROR(
            VLOOKUP($A34, INDIRECT("NovR!$A$6:$ZZ$1048576"), MATCH(W$1, NovR!$6:$6, 0), FALSE),
            0
        ) +
        IFERROR(
            VLOOKUP($A34, INDIRECT("DicR!$A$6:$ZZ$1048576"), MATCH(W$1, DicR!$6:$6, 0), FALSE),
            0
        )
)</f>
        <v>0</v>
      </c>
      <c r="X34" s="36">
        <f t="array" ref="X34">SUM(
    IFERROR(
            VLOOKUP($A34, INDIRECT("EneR!$A$6:$ZZ$1048576"), MATCH(X$1, EneR!$6:$6, 0), FALSE),
            0
        ) +
        IFERROR(
            VLOOKUP($A34, INDIRECT("FebR!$A$6:$ZZ$1048576"), MATCH(X$1, FebR!$6:$6, 0), FALSE),
            0
        ) +
        IFERROR(
            VLOOKUP($A34, INDIRECT("MarR!$A$6:$ZZ$1048576"), MATCH(X$1, MarR!$6:$6, 0), FALSE),
            0
        ) +
        IFERROR(
            VLOOKUP($A34, INDIRECT("AbrR!$A$6:$ZZ$1048576"), MATCH(X$1, AbrR!$6:$6, 0), FALSE),
            0
        ) +
        IFERROR(
            VLOOKUP($A34, INDIRECT("MayR!$A$6:$ZZ$1048576"), MATCH(X$1, MayR!$6:$6, 0), FALSE),
            0
        ) +
        IFERROR(
            VLOOKUP($A34, INDIRECT("JunR!$A$6:$ZZ$1048576"), MATCH(X$1, JunR!$6:$6, 0), FALSE),
            0
        ) +
        IFERROR(
            VLOOKUP($A34, INDIRECT("JulR!$A$6:$ZZ$1048576"), MATCH(X$1, JulR!$6:$6, 0), FALSE),
            0
        ) +
        IFERROR(
            VLOOKUP($A34, INDIRECT("AgoR!$A$6:$ZZ$1048576"), MATCH(X$1, AgoR!$6:$6, 0), FALSE),
            0
        ) +
        IFERROR(
            VLOOKUP($A34, INDIRECT("SepR!$A$6:$ZZ$1048576"), MATCH(X$1, SepR!$6:$6, 0), FALSE),
            0
        ) +
        IFERROR(
            VLOOKUP($A34, INDIRECT("OctR!$A$6:$ZZ$1048576"), MATCH(X$1, OctR!$6:$6, 0), FALSE),
            0
        ) +
        IFERROR(
            VLOOKUP($A34, INDIRECT("NovR!$A$6:$ZZ$1048576"), MATCH(X$1, NovR!$6:$6, 0), FALSE),
            0
        ) +
        IFERROR(
            VLOOKUP($A34, INDIRECT("DicR!$A$6:$ZZ$1048576"), MATCH(X$1, DicR!$6:$6, 0), FALSE),
            0
        )
)</f>
        <v>0</v>
      </c>
      <c r="Y34" s="37">
        <f t="array" ref="Y34">SUM(
    IFERROR(
            VLOOKUP($A34, INDIRECT("EneR!$A$6:$ZZ$1048576"), MATCH(Y$1, EneR!$6:$6, 0), FALSE),
            0
        ) +
        IFERROR(
            VLOOKUP($A34, INDIRECT("FebR!$A$6:$ZZ$1048576"), MATCH(Y$1, FebR!$6:$6, 0), FALSE),
            0
        ) +
        IFERROR(
            VLOOKUP($A34, INDIRECT("MarR!$A$6:$ZZ$1048576"), MATCH(Y$1, MarR!$6:$6, 0), FALSE),
            0
        ) +
        IFERROR(
            VLOOKUP($A34, INDIRECT("AbrR!$A$6:$ZZ$1048576"), MATCH(Y$1, AbrR!$6:$6, 0), FALSE),
            0
        ) +
        IFERROR(
            VLOOKUP($A34, INDIRECT("MayR!$A$6:$ZZ$1048576"), MATCH(Y$1, MayR!$6:$6, 0), FALSE),
            0
        ) +
        IFERROR(
            VLOOKUP($A34, INDIRECT("JunR!$A$6:$ZZ$1048576"), MATCH(Y$1, JunR!$6:$6, 0), FALSE),
            0
        ) +
        IFERROR(
            VLOOKUP($A34, INDIRECT("JulR!$A$6:$ZZ$1048576"), MATCH(Y$1, JulR!$6:$6, 0), FALSE),
            0
        ) +
        IFERROR(
            VLOOKUP($A34, INDIRECT("AgoR!$A$6:$ZZ$1048576"), MATCH(Y$1, AgoR!$6:$6, 0), FALSE),
            0
        ) +
        IFERROR(
            VLOOKUP($A34, INDIRECT("SepR!$A$6:$ZZ$1048576"), MATCH(Y$1, SepR!$6:$6, 0), FALSE),
            0
        ) +
        IFERROR(
            VLOOKUP($A34, INDIRECT("OctR!$A$6:$ZZ$1048576"), MATCH(Y$1, OctR!$6:$6, 0), FALSE),
            0
        ) +
        IFERROR(
            VLOOKUP($A34, INDIRECT("NovR!$A$6:$ZZ$1048576"), MATCH(Y$1, NovR!$6:$6, 0), FALSE),
            0
        ) +
        IFERROR(
            VLOOKUP($A34, INDIRECT("DicR!$A$6:$ZZ$1048576"), MATCH(Y$1, DicR!$6:$6, 0), FALSE),
            0
        )
)</f>
        <v>0</v>
      </c>
      <c r="Z34" s="36">
        <f t="array" ref="Z34">SUM(
    IFERROR(
            VLOOKUP($A34, INDIRECT("EneR!$A$6:$ZZ$1048576"), MATCH(Z$1, EneR!$6:$6, 0), FALSE),
            0
        ) +
        IFERROR(
            VLOOKUP($A34, INDIRECT("FebR!$A$6:$ZZ$1048576"), MATCH(Z$1, FebR!$6:$6, 0), FALSE),
            0
        ) +
        IFERROR(
            VLOOKUP($A34, INDIRECT("MarR!$A$6:$ZZ$1048576"), MATCH(Z$1, MarR!$6:$6, 0), FALSE),
            0
        ) +
        IFERROR(
            VLOOKUP($A34, INDIRECT("AbrR!$A$6:$ZZ$1048576"), MATCH(Z$1, AbrR!$6:$6, 0), FALSE),
            0
        ) +
        IFERROR(
            VLOOKUP($A34, INDIRECT("MayR!$A$6:$ZZ$1048576"), MATCH(Z$1, MayR!$6:$6, 0), FALSE),
            0
        ) +
        IFERROR(
            VLOOKUP($A34, INDIRECT("JunR!$A$6:$ZZ$1048576"), MATCH(Z$1, JunR!$6:$6, 0), FALSE),
            0
        ) +
        IFERROR(
            VLOOKUP($A34, INDIRECT("JulR!$A$6:$ZZ$1048576"), MATCH(Z$1, JulR!$6:$6, 0), FALSE),
            0
        ) +
        IFERROR(
            VLOOKUP($A34, INDIRECT("AgoR!$A$6:$ZZ$1048576"), MATCH(Z$1, AgoR!$6:$6, 0), FALSE),
            0
        ) +
        IFERROR(
            VLOOKUP($A34, INDIRECT("SepR!$A$6:$ZZ$1048576"), MATCH(Z$1, SepR!$6:$6, 0), FALSE),
            0
        ) +
        IFERROR(
            VLOOKUP($A34, INDIRECT("OctR!$A$6:$ZZ$1048576"), MATCH(Z$1, OctR!$6:$6, 0), FALSE),
            0
        ) +
        IFERROR(
            VLOOKUP($A34, INDIRECT("NovR!$A$6:$ZZ$1048576"), MATCH(Z$1, NovR!$6:$6, 0), FALSE),
            0
        ) +
        IFERROR(
            VLOOKUP($A34, INDIRECT("DicR!$A$6:$ZZ$1048576"), MATCH(Z$1, DicR!$6:$6, 0), FALSE),
            0
        )
)</f>
        <v>0</v>
      </c>
      <c r="AA34" s="37">
        <f t="array" ref="AA34">SUM(
    IFERROR(
            VLOOKUP($A34, INDIRECT("EneR!$A$6:$ZZ$1048576"), MATCH(AA$1, EneR!$6:$6, 0), FALSE),
            0
        ) +
        IFERROR(
            VLOOKUP($A34, INDIRECT("FebR!$A$6:$ZZ$1048576"), MATCH(AA$1, FebR!$6:$6, 0), FALSE),
            0
        ) +
        IFERROR(
            VLOOKUP($A34, INDIRECT("MarR!$A$6:$ZZ$1048576"), MATCH(AA$1, MarR!$6:$6, 0), FALSE),
            0
        ) +
        IFERROR(
            VLOOKUP($A34, INDIRECT("AbrR!$A$6:$ZZ$1048576"), MATCH(AA$1, AbrR!$6:$6, 0), FALSE),
            0
        ) +
        IFERROR(
            VLOOKUP($A34, INDIRECT("MayR!$A$6:$ZZ$1048576"), MATCH(AA$1, MayR!$6:$6, 0), FALSE),
            0
        ) +
        IFERROR(
            VLOOKUP($A34, INDIRECT("JunR!$A$6:$ZZ$1048576"), MATCH(AA$1, JunR!$6:$6, 0), FALSE),
            0
        ) +
        IFERROR(
            VLOOKUP($A34, INDIRECT("JulR!$A$6:$ZZ$1048576"), MATCH(AA$1, JulR!$6:$6, 0), FALSE),
            0
        ) +
        IFERROR(
            VLOOKUP($A34, INDIRECT("AgoR!$A$6:$ZZ$1048576"), MATCH(AA$1, AgoR!$6:$6, 0), FALSE),
            0
        ) +
        IFERROR(
            VLOOKUP($A34, INDIRECT("SepR!$A$6:$ZZ$1048576"), MATCH(AA$1, SepR!$6:$6, 0), FALSE),
            0
        ) +
        IFERROR(
            VLOOKUP($A34, INDIRECT("OctR!$A$6:$ZZ$1048576"), MATCH(AA$1, OctR!$6:$6, 0), FALSE),
            0
        ) +
        IFERROR(
            VLOOKUP($A34, INDIRECT("NovR!$A$6:$ZZ$1048576"), MATCH(AA$1, NovR!$6:$6, 0), FALSE),
            0
        ) +
        IFERROR(
            VLOOKUP($A34, INDIRECT("DicR!$A$6:$ZZ$1048576"), MATCH(AA$1, DicR!$6:$6, 0), FALSE),
            0
        )
)</f>
        <v>0</v>
      </c>
      <c r="AB34" s="36">
        <f t="array" ref="AB34">SUM(
    IFERROR(
            VLOOKUP($A34, INDIRECT("EneR!$A$6:$ZZ$1048576"), MATCH(AB$1, EneR!$6:$6, 0), FALSE),
            0
        ) +
        IFERROR(
            VLOOKUP($A34, INDIRECT("FebR!$A$6:$ZZ$1048576"), MATCH(AB$1, FebR!$6:$6, 0), FALSE),
            0
        ) +
        IFERROR(
            VLOOKUP($A34, INDIRECT("MarR!$A$6:$ZZ$1048576"), MATCH(AB$1, MarR!$6:$6, 0), FALSE),
            0
        ) +
        IFERROR(
            VLOOKUP($A34, INDIRECT("AbrR!$A$6:$ZZ$1048576"), MATCH(AB$1, AbrR!$6:$6, 0), FALSE),
            0
        ) +
        IFERROR(
            VLOOKUP($A34, INDIRECT("MayR!$A$6:$ZZ$1048576"), MATCH(AB$1, MayR!$6:$6, 0), FALSE),
            0
        ) +
        IFERROR(
            VLOOKUP($A34, INDIRECT("JunR!$A$6:$ZZ$1048576"), MATCH(AB$1, JunR!$6:$6, 0), FALSE),
            0
        ) +
        IFERROR(
            VLOOKUP($A34, INDIRECT("JulR!$A$6:$ZZ$1048576"), MATCH(AB$1, JulR!$6:$6, 0), FALSE),
            0
        ) +
        IFERROR(
            VLOOKUP($A34, INDIRECT("AgoR!$A$6:$ZZ$1048576"), MATCH(AB$1, AgoR!$6:$6, 0), FALSE),
            0
        ) +
        IFERROR(
            VLOOKUP($A34, INDIRECT("SepR!$A$6:$ZZ$1048576"), MATCH(AB$1, SepR!$6:$6, 0), FALSE),
            0
        ) +
        IFERROR(
            VLOOKUP($A34, INDIRECT("OctR!$A$6:$ZZ$1048576"), MATCH(AB$1, OctR!$6:$6, 0), FALSE),
            0
        ) +
        IFERROR(
            VLOOKUP($A34, INDIRECT("NovR!$A$6:$ZZ$1048576"), MATCH(AB$1, NovR!$6:$6, 0), FALSE),
            0
        ) +
        IFERROR(
            VLOOKUP($A34, INDIRECT("DicR!$A$6:$ZZ$1048576"), MATCH(AB$1, DicR!$6:$6, 0), FALSE),
            0
        )
)</f>
        <v>0</v>
      </c>
      <c r="AC34" s="37">
        <f t="array" ref="AC34">SUM(
    IFERROR(
            VLOOKUP($A34, INDIRECT("EneR!$A$6:$ZZ$1048576"), MATCH(AC$1, EneR!$6:$6, 0), FALSE),
            0
        ) +
        IFERROR(
            VLOOKUP($A34, INDIRECT("FebR!$A$6:$ZZ$1048576"), MATCH(AC$1, FebR!$6:$6, 0), FALSE),
            0
        ) +
        IFERROR(
            VLOOKUP($A34, INDIRECT("MarR!$A$6:$ZZ$1048576"), MATCH(AC$1, MarR!$6:$6, 0), FALSE),
            0
        ) +
        IFERROR(
            VLOOKUP($A34, INDIRECT("AbrR!$A$6:$ZZ$1048576"), MATCH(AC$1, AbrR!$6:$6, 0), FALSE),
            0
        ) +
        IFERROR(
            VLOOKUP($A34, INDIRECT("MayR!$A$6:$ZZ$1048576"), MATCH(AC$1, MayR!$6:$6, 0), FALSE),
            0
        ) +
        IFERROR(
            VLOOKUP($A34, INDIRECT("JunR!$A$6:$ZZ$1048576"), MATCH(AC$1, JunR!$6:$6, 0), FALSE),
            0
        ) +
        IFERROR(
            VLOOKUP($A34, INDIRECT("JulR!$A$6:$ZZ$1048576"), MATCH(AC$1, JulR!$6:$6, 0), FALSE),
            0
        ) +
        IFERROR(
            VLOOKUP($A34, INDIRECT("AgoR!$A$6:$ZZ$1048576"), MATCH(AC$1, AgoR!$6:$6, 0), FALSE),
            0
        ) +
        IFERROR(
            VLOOKUP($A34, INDIRECT("SepR!$A$6:$ZZ$1048576"), MATCH(AC$1, SepR!$6:$6, 0), FALSE),
            0
        ) +
        IFERROR(
            VLOOKUP($A34, INDIRECT("OctR!$A$6:$ZZ$1048576"), MATCH(AC$1, OctR!$6:$6, 0), FALSE),
            0
        ) +
        IFERROR(
            VLOOKUP($A34, INDIRECT("NovR!$A$6:$ZZ$1048576"), MATCH(AC$1, NovR!$6:$6, 0), FALSE),
            0
        ) +
        IFERROR(
            VLOOKUP($A34, INDIRECT("DicR!$A$6:$ZZ$1048576"), MATCH(AC$1, DicR!$6:$6, 0), FALSE),
            0
        )
)</f>
        <v>0</v>
      </c>
      <c r="AD34" s="36">
        <f t="array" ref="AD34">SUM(
    IFERROR(
            VLOOKUP($A34, INDIRECT("EneR!$A$6:$ZZ$1048576"), MATCH(AD$1, EneR!$6:$6, 0), FALSE),
            0
        ) +
        IFERROR(
            VLOOKUP($A34, INDIRECT("FebR!$A$6:$ZZ$1048576"), MATCH(AD$1, FebR!$6:$6, 0), FALSE),
            0
        ) +
        IFERROR(
            VLOOKUP($A34, INDIRECT("MarR!$A$6:$ZZ$1048576"), MATCH(AD$1, MarR!$6:$6, 0), FALSE),
            0
        ) +
        IFERROR(
            VLOOKUP($A34, INDIRECT("AbrR!$A$6:$ZZ$1048576"), MATCH(AD$1, AbrR!$6:$6, 0), FALSE),
            0
        ) +
        IFERROR(
            VLOOKUP($A34, INDIRECT("MayR!$A$6:$ZZ$1048576"), MATCH(AD$1, MayR!$6:$6, 0), FALSE),
            0
        ) +
        IFERROR(
            VLOOKUP($A34, INDIRECT("JunR!$A$6:$ZZ$1048576"), MATCH(AD$1, JunR!$6:$6, 0), FALSE),
            0
        ) +
        IFERROR(
            VLOOKUP($A34, INDIRECT("JulR!$A$6:$ZZ$1048576"), MATCH(AD$1, JulR!$6:$6, 0), FALSE),
            0
        ) +
        IFERROR(
            VLOOKUP($A34, INDIRECT("AgoR!$A$6:$ZZ$1048576"), MATCH(AD$1, AgoR!$6:$6, 0), FALSE),
            0
        ) +
        IFERROR(
            VLOOKUP($A34, INDIRECT("SepR!$A$6:$ZZ$1048576"), MATCH(AD$1, SepR!$6:$6, 0), FALSE),
            0
        ) +
        IFERROR(
            VLOOKUP($A34, INDIRECT("OctR!$A$6:$ZZ$1048576"), MATCH(AD$1, OctR!$6:$6, 0), FALSE),
            0
        ) +
        IFERROR(
            VLOOKUP($A34, INDIRECT("NovR!$A$6:$ZZ$1048576"), MATCH(AD$1, NovR!$6:$6, 0), FALSE),
            0
        ) +
        IFERROR(
            VLOOKUP($A34, INDIRECT("DicR!$A$6:$ZZ$1048576"), MATCH(AD$1, DicR!$6:$6, 0), FALSE),
            0
        )
)</f>
        <v>0</v>
      </c>
      <c r="AE34" s="37">
        <f t="array" ref="AE34">SUM(
    IFERROR(
            VLOOKUP($A34, INDIRECT("EneR!$A$6:$ZZ$1048576"), MATCH(AE$1, EneR!$6:$6, 0), FALSE),
            0
        ) +
        IFERROR(
            VLOOKUP($A34, INDIRECT("FebR!$A$6:$ZZ$1048576"), MATCH(AE$1, FebR!$6:$6, 0), FALSE),
            0
        ) +
        IFERROR(
            VLOOKUP($A34, INDIRECT("MarR!$A$6:$ZZ$1048576"), MATCH(AE$1, MarR!$6:$6, 0), FALSE),
            0
        ) +
        IFERROR(
            VLOOKUP($A34, INDIRECT("AbrR!$A$6:$ZZ$1048576"), MATCH(AE$1, AbrR!$6:$6, 0), FALSE),
            0
        ) +
        IFERROR(
            VLOOKUP($A34, INDIRECT("MayR!$A$6:$ZZ$1048576"), MATCH(AE$1, MayR!$6:$6, 0), FALSE),
            0
        ) +
        IFERROR(
            VLOOKUP($A34, INDIRECT("JunR!$A$6:$ZZ$1048576"), MATCH(AE$1, JunR!$6:$6, 0), FALSE),
            0
        ) +
        IFERROR(
            VLOOKUP($A34, INDIRECT("JulR!$A$6:$ZZ$1048576"), MATCH(AE$1, JulR!$6:$6, 0), FALSE),
            0
        ) +
        IFERROR(
            VLOOKUP($A34, INDIRECT("AgoR!$A$6:$ZZ$1048576"), MATCH(AE$1, AgoR!$6:$6, 0), FALSE),
            0
        ) +
        IFERROR(
            VLOOKUP($A34, INDIRECT("SepR!$A$6:$ZZ$1048576"), MATCH(AE$1, SepR!$6:$6, 0), FALSE),
            0
        ) +
        IFERROR(
            VLOOKUP($A34, INDIRECT("OctR!$A$6:$ZZ$1048576"), MATCH(AE$1, OctR!$6:$6, 0), FALSE),
            0
        ) +
        IFERROR(
            VLOOKUP($A34, INDIRECT("NovR!$A$6:$ZZ$1048576"), MATCH(AE$1, NovR!$6:$6, 0), FALSE),
            0
        ) +
        IFERROR(
            VLOOKUP($A34, INDIRECT("DicR!$A$6:$ZZ$1048576"), MATCH(AE$1, DicR!$6:$6, 0), FALSE),
            0
        )
)</f>
        <v>0</v>
      </c>
      <c r="AF34" s="36">
        <f t="array" ref="AF34">SUM(
    IFERROR(
            VLOOKUP($A34, INDIRECT("EneR!$A$6:$ZZ$1048576"), MATCH(AF$1, EneR!$6:$6, 0), FALSE),
            0
        ) +
        IFERROR(
            VLOOKUP($A34, INDIRECT("FebR!$A$6:$ZZ$1048576"), MATCH(AF$1, FebR!$6:$6, 0), FALSE),
            0
        ) +
        IFERROR(
            VLOOKUP($A34, INDIRECT("MarR!$A$6:$ZZ$1048576"), MATCH(AF$1, MarR!$6:$6, 0), FALSE),
            0
        ) +
        IFERROR(
            VLOOKUP($A34, INDIRECT("AbrR!$A$6:$ZZ$1048576"), MATCH(AF$1, AbrR!$6:$6, 0), FALSE),
            0
        ) +
        IFERROR(
            VLOOKUP($A34, INDIRECT("MayR!$A$6:$ZZ$1048576"), MATCH(AF$1, MayR!$6:$6, 0), FALSE),
            0
        ) +
        IFERROR(
            VLOOKUP($A34, INDIRECT("JunR!$A$6:$ZZ$1048576"), MATCH(AF$1, JunR!$6:$6, 0), FALSE),
            0
        ) +
        IFERROR(
            VLOOKUP($A34, INDIRECT("JulR!$A$6:$ZZ$1048576"), MATCH(AF$1, JulR!$6:$6, 0), FALSE),
            0
        ) +
        IFERROR(
            VLOOKUP($A34, INDIRECT("AgoR!$A$6:$ZZ$1048576"), MATCH(AF$1, AgoR!$6:$6, 0), FALSE),
            0
        ) +
        IFERROR(
            VLOOKUP($A34, INDIRECT("SepR!$A$6:$ZZ$1048576"), MATCH(AF$1, SepR!$6:$6, 0), FALSE),
            0
        ) +
        IFERROR(
            VLOOKUP($A34, INDIRECT("OctR!$A$6:$ZZ$1048576"), MATCH(AF$1, OctR!$6:$6, 0), FALSE),
            0
        ) +
        IFERROR(
            VLOOKUP($A34, INDIRECT("NovR!$A$6:$ZZ$1048576"), MATCH(AF$1, NovR!$6:$6, 0), FALSE),
            0
        ) +
        IFERROR(
            VLOOKUP($A34, INDIRECT("DicR!$A$6:$ZZ$1048576"), MATCH(AF$1, DicR!$6:$6, 0), FALSE),
            0
        )
)</f>
        <v>0</v>
      </c>
      <c r="AG34" s="37">
        <f t="array" ref="AG34">SUM(
    IFERROR(
            VLOOKUP($A34, INDIRECT("EneR!$A$6:$ZZ$1048576"), MATCH(AG$1, EneR!$6:$6, 0), FALSE),
            0
        ) +
        IFERROR(
            VLOOKUP($A34, INDIRECT("FebR!$A$6:$ZZ$1048576"), MATCH(AG$1, FebR!$6:$6, 0), FALSE),
            0
        ) +
        IFERROR(
            VLOOKUP($A34, INDIRECT("MarR!$A$6:$ZZ$1048576"), MATCH(AG$1, MarR!$6:$6, 0), FALSE),
            0
        ) +
        IFERROR(
            VLOOKUP($A34, INDIRECT("AbrR!$A$6:$ZZ$1048576"), MATCH(AG$1, AbrR!$6:$6, 0), FALSE),
            0
        ) +
        IFERROR(
            VLOOKUP($A34, INDIRECT("MayR!$A$6:$ZZ$1048576"), MATCH(AG$1, MayR!$6:$6, 0), FALSE),
            0
        ) +
        IFERROR(
            VLOOKUP($A34, INDIRECT("JunR!$A$6:$ZZ$1048576"), MATCH(AG$1, JunR!$6:$6, 0), FALSE),
            0
        ) +
        IFERROR(
            VLOOKUP($A34, INDIRECT("JulR!$A$6:$ZZ$1048576"), MATCH(AG$1, JulR!$6:$6, 0), FALSE),
            0
        ) +
        IFERROR(
            VLOOKUP($A34, INDIRECT("AgoR!$A$6:$ZZ$1048576"), MATCH(AG$1, AgoR!$6:$6, 0), FALSE),
            0
        ) +
        IFERROR(
            VLOOKUP($A34, INDIRECT("SepR!$A$6:$ZZ$1048576"), MATCH(AG$1, SepR!$6:$6, 0), FALSE),
            0
        ) +
        IFERROR(
            VLOOKUP($A34, INDIRECT("OctR!$A$6:$ZZ$1048576"), MATCH(AG$1, OctR!$6:$6, 0), FALSE),
            0
        ) +
        IFERROR(
            VLOOKUP($A34, INDIRECT("NovR!$A$6:$ZZ$1048576"), MATCH(AG$1, NovR!$6:$6, 0), FALSE),
            0
        ) +
        IFERROR(
            VLOOKUP($A34, INDIRECT("DicR!$A$6:$ZZ$1048576"), MATCH(AG$1, DicR!$6:$6, 0), FALSE),
            0
        )
)</f>
        <v>0</v>
      </c>
      <c r="AH34" s="36">
        <f t="array" ref="AH34">SUM(
    IFERROR(
            VLOOKUP($A34, INDIRECT("EneR!$A$6:$ZZ$1048576"), MATCH(AH$1, EneR!$6:$6, 0), FALSE),
            0
        ) +
        IFERROR(
            VLOOKUP($A34, INDIRECT("FebR!$A$6:$ZZ$1048576"), MATCH(AH$1, FebR!$6:$6, 0), FALSE),
            0
        ) +
        IFERROR(
            VLOOKUP($A34, INDIRECT("MarR!$A$6:$ZZ$1048576"), MATCH(AH$1, MarR!$6:$6, 0), FALSE),
            0
        ) +
        IFERROR(
            VLOOKUP($A34, INDIRECT("AbrR!$A$6:$ZZ$1048576"), MATCH(AH$1, AbrR!$6:$6, 0), FALSE),
            0
        ) +
        IFERROR(
            VLOOKUP($A34, INDIRECT("MayR!$A$6:$ZZ$1048576"), MATCH(AH$1, MayR!$6:$6, 0), FALSE),
            0
        ) +
        IFERROR(
            VLOOKUP($A34, INDIRECT("JunR!$A$6:$ZZ$1048576"), MATCH(AH$1, JunR!$6:$6, 0), FALSE),
            0
        ) +
        IFERROR(
            VLOOKUP($A34, INDIRECT("JulR!$A$6:$ZZ$1048576"), MATCH(AH$1, JulR!$6:$6, 0), FALSE),
            0
        ) +
        IFERROR(
            VLOOKUP($A34, INDIRECT("AgoR!$A$6:$ZZ$1048576"), MATCH(AH$1, AgoR!$6:$6, 0), FALSE),
            0
        ) +
        IFERROR(
            VLOOKUP($A34, INDIRECT("SepR!$A$6:$ZZ$1048576"), MATCH(AH$1, SepR!$6:$6, 0), FALSE),
            0
        ) +
        IFERROR(
            VLOOKUP($A34, INDIRECT("OctR!$A$6:$ZZ$1048576"), MATCH(AH$1, OctR!$6:$6, 0), FALSE),
            0
        ) +
        IFERROR(
            VLOOKUP($A34, INDIRECT("NovR!$A$6:$ZZ$1048576"), MATCH(AH$1, NovR!$6:$6, 0), FALSE),
            0
        ) +
        IFERROR(
            VLOOKUP($A34, INDIRECT("DicR!$A$6:$ZZ$1048576"), MATCH(AH$1, DicR!$6:$6, 0), FALSE),
            0
        )
)</f>
        <v>0</v>
      </c>
      <c r="AI34" s="37">
        <f t="array" ref="AI34">SUM(
    IFERROR(
            VLOOKUP($A34, INDIRECT("EneR!$A$6:$ZZ$1048576"), MATCH(AI$1, EneR!$6:$6, 0), FALSE),
            0
        ) +
        IFERROR(
            VLOOKUP($A34, INDIRECT("FebR!$A$6:$ZZ$1048576"), MATCH(AI$1, FebR!$6:$6, 0), FALSE),
            0
        ) +
        IFERROR(
            VLOOKUP($A34, INDIRECT("MarR!$A$6:$ZZ$1048576"), MATCH(AI$1, MarR!$6:$6, 0), FALSE),
            0
        ) +
        IFERROR(
            VLOOKUP($A34, INDIRECT("AbrR!$A$6:$ZZ$1048576"), MATCH(AI$1, AbrR!$6:$6, 0), FALSE),
            0
        ) +
        IFERROR(
            VLOOKUP($A34, INDIRECT("MayR!$A$6:$ZZ$1048576"), MATCH(AI$1, MayR!$6:$6, 0), FALSE),
            0
        ) +
        IFERROR(
            VLOOKUP($A34, INDIRECT("JunR!$A$6:$ZZ$1048576"), MATCH(AI$1, JunR!$6:$6, 0), FALSE),
            0
        ) +
        IFERROR(
            VLOOKUP($A34, INDIRECT("JulR!$A$6:$ZZ$1048576"), MATCH(AI$1, JulR!$6:$6, 0), FALSE),
            0
        ) +
        IFERROR(
            VLOOKUP($A34, INDIRECT("AgoR!$A$6:$ZZ$1048576"), MATCH(AI$1, AgoR!$6:$6, 0), FALSE),
            0
        ) +
        IFERROR(
            VLOOKUP($A34, INDIRECT("SepR!$A$6:$ZZ$1048576"), MATCH(AI$1, SepR!$6:$6, 0), FALSE),
            0
        ) +
        IFERROR(
            VLOOKUP($A34, INDIRECT("OctR!$A$6:$ZZ$1048576"), MATCH(AI$1, OctR!$6:$6, 0), FALSE),
            0
        ) +
        IFERROR(
            VLOOKUP($A34, INDIRECT("NovR!$A$6:$ZZ$1048576"), MATCH(AI$1, NovR!$6:$6, 0), FALSE),
            0
        ) +
        IFERROR(
            VLOOKUP($A34, INDIRECT("DicR!$A$6:$ZZ$1048576"), MATCH(AI$1, DicR!$6:$6, 0), FALSE),
            0
        )
)</f>
        <v>0</v>
      </c>
      <c r="AJ34" s="36">
        <f t="array" ref="AJ34">SUM(
    IFERROR(
            VLOOKUP($A34, INDIRECT("EneR!$A$6:$ZZ$1048576"), MATCH(AJ$1, EneR!$6:$6, 0), FALSE),
            0
        ) +
        IFERROR(
            VLOOKUP($A34, INDIRECT("FebR!$A$6:$ZZ$1048576"), MATCH(AJ$1, FebR!$6:$6, 0), FALSE),
            0
        ) +
        IFERROR(
            VLOOKUP($A34, INDIRECT("MarR!$A$6:$ZZ$1048576"), MATCH(AJ$1, MarR!$6:$6, 0), FALSE),
            0
        ) +
        IFERROR(
            VLOOKUP($A34, INDIRECT("AbrR!$A$6:$ZZ$1048576"), MATCH(AJ$1, AbrR!$6:$6, 0), FALSE),
            0
        ) +
        IFERROR(
            VLOOKUP($A34, INDIRECT("MayR!$A$6:$ZZ$1048576"), MATCH(AJ$1, MayR!$6:$6, 0), FALSE),
            0
        ) +
        IFERROR(
            VLOOKUP($A34, INDIRECT("JunR!$A$6:$ZZ$1048576"), MATCH(AJ$1, JunR!$6:$6, 0), FALSE),
            0
        ) +
        IFERROR(
            VLOOKUP($A34, INDIRECT("JulR!$A$6:$ZZ$1048576"), MATCH(AJ$1, JulR!$6:$6, 0), FALSE),
            0
        ) +
        IFERROR(
            VLOOKUP($A34, INDIRECT("AgoR!$A$6:$ZZ$1048576"), MATCH(AJ$1, AgoR!$6:$6, 0), FALSE),
            0
        ) +
        IFERROR(
            VLOOKUP($A34, INDIRECT("SepR!$A$6:$ZZ$1048576"), MATCH(AJ$1, SepR!$6:$6, 0), FALSE),
            0
        ) +
        IFERROR(
            VLOOKUP($A34, INDIRECT("OctR!$A$6:$ZZ$1048576"), MATCH(AJ$1, OctR!$6:$6, 0), FALSE),
            0
        ) +
        IFERROR(
            VLOOKUP($A34, INDIRECT("NovR!$A$6:$ZZ$1048576"), MATCH(AJ$1, NovR!$6:$6, 0), FALSE),
            0
        ) +
        IFERROR(
            VLOOKUP($A34, INDIRECT("DicR!$A$6:$ZZ$1048576"), MATCH(AJ$1, DicR!$6:$6, 0), FALSE),
            0
        )
)</f>
        <v>0</v>
      </c>
      <c r="AK34" s="37">
        <f t="array" ref="AK34">SUM(
    IFERROR(
            VLOOKUP($A34, INDIRECT("EneR!$A$6:$ZZ$1048576"), MATCH(AK$1, EneR!$6:$6, 0), FALSE),
            0
        ) +
        IFERROR(
            VLOOKUP($A34, INDIRECT("FebR!$A$6:$ZZ$1048576"), MATCH(AK$1, FebR!$6:$6, 0), FALSE),
            0
        ) +
        IFERROR(
            VLOOKUP($A34, INDIRECT("MarR!$A$6:$ZZ$1048576"), MATCH(AK$1, MarR!$6:$6, 0), FALSE),
            0
        ) +
        IFERROR(
            VLOOKUP($A34, INDIRECT("AbrR!$A$6:$ZZ$1048576"), MATCH(AK$1, AbrR!$6:$6, 0), FALSE),
            0
        ) +
        IFERROR(
            VLOOKUP($A34, INDIRECT("MayR!$A$6:$ZZ$1048576"), MATCH(AK$1, MayR!$6:$6, 0), FALSE),
            0
        ) +
        IFERROR(
            VLOOKUP($A34, INDIRECT("JunR!$A$6:$ZZ$1048576"), MATCH(AK$1, JunR!$6:$6, 0), FALSE),
            0
        ) +
        IFERROR(
            VLOOKUP($A34, INDIRECT("JulR!$A$6:$ZZ$1048576"), MATCH(AK$1, JulR!$6:$6, 0), FALSE),
            0
        ) +
        IFERROR(
            VLOOKUP($A34, INDIRECT("AgoR!$A$6:$ZZ$1048576"), MATCH(AK$1, AgoR!$6:$6, 0), FALSE),
            0
        ) +
        IFERROR(
            VLOOKUP($A34, INDIRECT("SepR!$A$6:$ZZ$1048576"), MATCH(AK$1, SepR!$6:$6, 0), FALSE),
            0
        ) +
        IFERROR(
            VLOOKUP($A34, INDIRECT("OctR!$A$6:$ZZ$1048576"), MATCH(AK$1, OctR!$6:$6, 0), FALSE),
            0
        ) +
        IFERROR(
            VLOOKUP($A34, INDIRECT("NovR!$A$6:$ZZ$1048576"), MATCH(AK$1, NovR!$6:$6, 0), FALSE),
            0
        ) +
        IFERROR(
            VLOOKUP($A34, INDIRECT("DicR!$A$6:$ZZ$1048576"), MATCH(AK$1, DicR!$6:$6, 0), FALSE),
            0
        )
)</f>
        <v>0</v>
      </c>
      <c r="AL34" s="36">
        <f t="array" ref="AL34">SUM(
    IFERROR(
            VLOOKUP($A34, INDIRECT("EneR!$A$6:$ZZ$1048576"), MATCH(AL$1, EneR!$6:$6, 0), FALSE),
            0
        ) +
        IFERROR(
            VLOOKUP($A34, INDIRECT("FebR!$A$6:$ZZ$1048576"), MATCH(AL$1, FebR!$6:$6, 0), FALSE),
            0
        ) +
        IFERROR(
            VLOOKUP($A34, INDIRECT("MarR!$A$6:$ZZ$1048576"), MATCH(AL$1, MarR!$6:$6, 0), FALSE),
            0
        ) +
        IFERROR(
            VLOOKUP($A34, INDIRECT("AbrR!$A$6:$ZZ$1048576"), MATCH(AL$1, AbrR!$6:$6, 0), FALSE),
            0
        ) +
        IFERROR(
            VLOOKUP($A34, INDIRECT("MayR!$A$6:$ZZ$1048576"), MATCH(AL$1, MayR!$6:$6, 0), FALSE),
            0
        ) +
        IFERROR(
            VLOOKUP($A34, INDIRECT("JunR!$A$6:$ZZ$1048576"), MATCH(AL$1, JunR!$6:$6, 0), FALSE),
            0
        ) +
        IFERROR(
            VLOOKUP($A34, INDIRECT("JulR!$A$6:$ZZ$1048576"), MATCH(AL$1, JulR!$6:$6, 0), FALSE),
            0
        ) +
        IFERROR(
            VLOOKUP($A34, INDIRECT("AgoR!$A$6:$ZZ$1048576"), MATCH(AL$1, AgoR!$6:$6, 0), FALSE),
            0
        ) +
        IFERROR(
            VLOOKUP($A34, INDIRECT("SepR!$A$6:$ZZ$1048576"), MATCH(AL$1, SepR!$6:$6, 0), FALSE),
            0
        ) +
        IFERROR(
            VLOOKUP($A34, INDIRECT("OctR!$A$6:$ZZ$1048576"), MATCH(AL$1, OctR!$6:$6, 0), FALSE),
            0
        ) +
        IFERROR(
            VLOOKUP($A34, INDIRECT("NovR!$A$6:$ZZ$1048576"), MATCH(AL$1, NovR!$6:$6, 0), FALSE),
            0
        ) +
        IFERROR(
            VLOOKUP($A34, INDIRECT("DicR!$A$6:$ZZ$1048576"), MATCH(AL$1, DicR!$6:$6, 0), FALSE),
            0
        )
)</f>
        <v>0</v>
      </c>
      <c r="AM34" s="37">
        <f t="array" ref="AM34">SUM(
    IFERROR(
            VLOOKUP($A34, INDIRECT("EneR!$A$6:$ZZ$1048576"), MATCH(AM$1, EneR!$6:$6, 0), FALSE),
            0
        ) +
        IFERROR(
            VLOOKUP($A34, INDIRECT("FebR!$A$6:$ZZ$1048576"), MATCH(AM$1, FebR!$6:$6, 0), FALSE),
            0
        ) +
        IFERROR(
            VLOOKUP($A34, INDIRECT("MarR!$A$6:$ZZ$1048576"), MATCH(AM$1, MarR!$6:$6, 0), FALSE),
            0
        ) +
        IFERROR(
            VLOOKUP($A34, INDIRECT("AbrR!$A$6:$ZZ$1048576"), MATCH(AM$1, AbrR!$6:$6, 0), FALSE),
            0
        ) +
        IFERROR(
            VLOOKUP($A34, INDIRECT("MayR!$A$6:$ZZ$1048576"), MATCH(AM$1, MayR!$6:$6, 0), FALSE),
            0
        ) +
        IFERROR(
            VLOOKUP($A34, INDIRECT("JunR!$A$6:$ZZ$1048576"), MATCH(AM$1, JunR!$6:$6, 0), FALSE),
            0
        ) +
        IFERROR(
            VLOOKUP($A34, INDIRECT("JulR!$A$6:$ZZ$1048576"), MATCH(AM$1, JulR!$6:$6, 0), FALSE),
            0
        ) +
        IFERROR(
            VLOOKUP($A34, INDIRECT("AgoR!$A$6:$ZZ$1048576"), MATCH(AM$1, AgoR!$6:$6, 0), FALSE),
            0
        ) +
        IFERROR(
            VLOOKUP($A34, INDIRECT("SepR!$A$6:$ZZ$1048576"), MATCH(AM$1, SepR!$6:$6, 0), FALSE),
            0
        ) +
        IFERROR(
            VLOOKUP($A34, INDIRECT("OctR!$A$6:$ZZ$1048576"), MATCH(AM$1, OctR!$6:$6, 0), FALSE),
            0
        ) +
        IFERROR(
            VLOOKUP($A34, INDIRECT("NovR!$A$6:$ZZ$1048576"), MATCH(AM$1, NovR!$6:$6, 0), FALSE),
            0
        ) +
        IFERROR(
            VLOOKUP($A34, INDIRECT("DicR!$A$6:$ZZ$1048576"), MATCH(AM$1, DicR!$6:$6, 0), FALSE),
            0
        )
)</f>
        <v>0</v>
      </c>
      <c r="AN34" s="36">
        <f t="array" ref="AN34">SUM(
    IFERROR(
            VLOOKUP($A34, INDIRECT("EneR!$A$6:$ZZ$1048576"), MATCH(AN$1, EneR!$6:$6, 0), FALSE),
            0
        ) +
        IFERROR(
            VLOOKUP($A34, INDIRECT("FebR!$A$6:$ZZ$1048576"), MATCH(AN$1, FebR!$6:$6, 0), FALSE),
            0
        ) +
        IFERROR(
            VLOOKUP($A34, INDIRECT("MarR!$A$6:$ZZ$1048576"), MATCH(AN$1, MarR!$6:$6, 0), FALSE),
            0
        ) +
        IFERROR(
            VLOOKUP($A34, INDIRECT("AbrR!$A$6:$ZZ$1048576"), MATCH(AN$1, AbrR!$6:$6, 0), FALSE),
            0
        ) +
        IFERROR(
            VLOOKUP($A34, INDIRECT("MayR!$A$6:$ZZ$1048576"), MATCH(AN$1, MayR!$6:$6, 0), FALSE),
            0
        ) +
        IFERROR(
            VLOOKUP($A34, INDIRECT("JunR!$A$6:$ZZ$1048576"), MATCH(AN$1, JunR!$6:$6, 0), FALSE),
            0
        ) +
        IFERROR(
            VLOOKUP($A34, INDIRECT("JulR!$A$6:$ZZ$1048576"), MATCH(AN$1, JulR!$6:$6, 0), FALSE),
            0
        ) +
        IFERROR(
            VLOOKUP($A34, INDIRECT("AgoR!$A$6:$ZZ$1048576"), MATCH(AN$1, AgoR!$6:$6, 0), FALSE),
            0
        ) +
        IFERROR(
            VLOOKUP($A34, INDIRECT("SepR!$A$6:$ZZ$1048576"), MATCH(AN$1, SepR!$6:$6, 0), FALSE),
            0
        ) +
        IFERROR(
            VLOOKUP($A34, INDIRECT("OctR!$A$6:$ZZ$1048576"), MATCH(AN$1, OctR!$6:$6, 0), FALSE),
            0
        ) +
        IFERROR(
            VLOOKUP($A34, INDIRECT("NovR!$A$6:$ZZ$1048576"), MATCH(AN$1, NovR!$6:$6, 0), FALSE),
            0
        ) +
        IFERROR(
            VLOOKUP($A34, INDIRECT("DicR!$A$6:$ZZ$1048576"), MATCH(AN$1, DicR!$6:$6, 0), FALSE),
            0
        )
)</f>
        <v>0</v>
      </c>
      <c r="AO34" s="37">
        <f t="array" ref="AO34">SUM(
    IFERROR(
            VLOOKUP($A34, INDIRECT("EneR!$A$6:$ZZ$1048576"), MATCH(AO$1, EneR!$6:$6, 0), FALSE),
            0
        ) +
        IFERROR(
            VLOOKUP($A34, INDIRECT("FebR!$A$6:$ZZ$1048576"), MATCH(AO$1, FebR!$6:$6, 0), FALSE),
            0
        ) +
        IFERROR(
            VLOOKUP($A34, INDIRECT("MarR!$A$6:$ZZ$1048576"), MATCH(AO$1, MarR!$6:$6, 0), FALSE),
            0
        ) +
        IFERROR(
            VLOOKUP($A34, INDIRECT("AbrR!$A$6:$ZZ$1048576"), MATCH(AO$1, AbrR!$6:$6, 0), FALSE),
            0
        ) +
        IFERROR(
            VLOOKUP($A34, INDIRECT("MayR!$A$6:$ZZ$1048576"), MATCH(AO$1, MayR!$6:$6, 0), FALSE),
            0
        ) +
        IFERROR(
            VLOOKUP($A34, INDIRECT("JunR!$A$6:$ZZ$1048576"), MATCH(AO$1, JunR!$6:$6, 0), FALSE),
            0
        ) +
        IFERROR(
            VLOOKUP($A34, INDIRECT("JulR!$A$6:$ZZ$1048576"), MATCH(AO$1, JulR!$6:$6, 0), FALSE),
            0
        ) +
        IFERROR(
            VLOOKUP($A34, INDIRECT("AgoR!$A$6:$ZZ$1048576"), MATCH(AO$1, AgoR!$6:$6, 0), FALSE),
            0
        ) +
        IFERROR(
            VLOOKUP($A34, INDIRECT("SepR!$A$6:$ZZ$1048576"), MATCH(AO$1, SepR!$6:$6, 0), FALSE),
            0
        ) +
        IFERROR(
            VLOOKUP($A34, INDIRECT("OctR!$A$6:$ZZ$1048576"), MATCH(AO$1, OctR!$6:$6, 0), FALSE),
            0
        ) +
        IFERROR(
            VLOOKUP($A34, INDIRECT("NovR!$A$6:$ZZ$1048576"), MATCH(AO$1, NovR!$6:$6, 0), FALSE),
            0
        ) +
        IFERROR(
            VLOOKUP($A34, INDIRECT("DicR!$A$6:$ZZ$1048576"), MATCH(AO$1, DicR!$6:$6, 0), FALSE),
            0
        )
)</f>
        <v>0</v>
      </c>
      <c r="AP34" s="36">
        <f t="array" ref="AP34">SUM(
    IFERROR(
            VLOOKUP($A34, INDIRECT("EneR!$A$6:$ZZ$1048576"), MATCH(AP$1, EneR!$6:$6, 0), FALSE),
            0
        ) +
        IFERROR(
            VLOOKUP($A34, INDIRECT("FebR!$A$6:$ZZ$1048576"), MATCH(AP$1, FebR!$6:$6, 0), FALSE),
            0
        ) +
        IFERROR(
            VLOOKUP($A34, INDIRECT("MarR!$A$6:$ZZ$1048576"), MATCH(AP$1, MarR!$6:$6, 0), FALSE),
            0
        ) +
        IFERROR(
            VLOOKUP($A34, INDIRECT("AbrR!$A$6:$ZZ$1048576"), MATCH(AP$1, AbrR!$6:$6, 0), FALSE),
            0
        ) +
        IFERROR(
            VLOOKUP($A34, INDIRECT("MayR!$A$6:$ZZ$1048576"), MATCH(AP$1, MayR!$6:$6, 0), FALSE),
            0
        ) +
        IFERROR(
            VLOOKUP($A34, INDIRECT("JunR!$A$6:$ZZ$1048576"), MATCH(AP$1, JunR!$6:$6, 0), FALSE),
            0
        ) +
        IFERROR(
            VLOOKUP($A34, INDIRECT("JulR!$A$6:$ZZ$1048576"), MATCH(AP$1, JulR!$6:$6, 0), FALSE),
            0
        ) +
        IFERROR(
            VLOOKUP($A34, INDIRECT("AgoR!$A$6:$ZZ$1048576"), MATCH(AP$1, AgoR!$6:$6, 0), FALSE),
            0
        ) +
        IFERROR(
            VLOOKUP($A34, INDIRECT("SepR!$A$6:$ZZ$1048576"), MATCH(AP$1, SepR!$6:$6, 0), FALSE),
            0
        ) +
        IFERROR(
            VLOOKUP($A34, INDIRECT("OctR!$A$6:$ZZ$1048576"), MATCH(AP$1, OctR!$6:$6, 0), FALSE),
            0
        ) +
        IFERROR(
            VLOOKUP($A34, INDIRECT("NovR!$A$6:$ZZ$1048576"), MATCH(AP$1, NovR!$6:$6, 0), FALSE),
            0
        ) +
        IFERROR(
            VLOOKUP($A34, INDIRECT("DicR!$A$6:$ZZ$1048576"), MATCH(AP$1, DicR!$6:$6, 0), FALSE),
            0
        )
)</f>
        <v>0</v>
      </c>
      <c r="AQ34" s="37">
        <f t="array" ref="AQ34">SUM(
    IFERROR(
            VLOOKUP($A34, INDIRECT("EneR!$A$6:$ZZ$1048576"), MATCH(AQ$1, EneR!$6:$6, 0), FALSE),
            0
        ) +
        IFERROR(
            VLOOKUP($A34, INDIRECT("FebR!$A$6:$ZZ$1048576"), MATCH(AQ$1, FebR!$6:$6, 0), FALSE),
            0
        ) +
        IFERROR(
            VLOOKUP($A34, INDIRECT("MarR!$A$6:$ZZ$1048576"), MATCH(AQ$1, MarR!$6:$6, 0), FALSE),
            0
        ) +
        IFERROR(
            VLOOKUP($A34, INDIRECT("AbrR!$A$6:$ZZ$1048576"), MATCH(AQ$1, AbrR!$6:$6, 0), FALSE),
            0
        ) +
        IFERROR(
            VLOOKUP($A34, INDIRECT("MayR!$A$6:$ZZ$1048576"), MATCH(AQ$1, MayR!$6:$6, 0), FALSE),
            0
        ) +
        IFERROR(
            VLOOKUP($A34, INDIRECT("JunR!$A$6:$ZZ$1048576"), MATCH(AQ$1, JunR!$6:$6, 0), FALSE),
            0
        ) +
        IFERROR(
            VLOOKUP($A34, INDIRECT("JulR!$A$6:$ZZ$1048576"), MATCH(AQ$1, JulR!$6:$6, 0), FALSE),
            0
        ) +
        IFERROR(
            VLOOKUP($A34, INDIRECT("AgoR!$A$6:$ZZ$1048576"), MATCH(AQ$1, AgoR!$6:$6, 0), FALSE),
            0
        ) +
        IFERROR(
            VLOOKUP($A34, INDIRECT("SepR!$A$6:$ZZ$1048576"), MATCH(AQ$1, SepR!$6:$6, 0), FALSE),
            0
        ) +
        IFERROR(
            VLOOKUP($A34, INDIRECT("OctR!$A$6:$ZZ$1048576"), MATCH(AQ$1, OctR!$6:$6, 0), FALSE),
            0
        ) +
        IFERROR(
            VLOOKUP($A34, INDIRECT("NovR!$A$6:$ZZ$1048576"), MATCH(AQ$1, NovR!$6:$6, 0), FALSE),
            0
        ) +
        IFERROR(
            VLOOKUP($A34, INDIRECT("DicR!$A$6:$ZZ$1048576"), MATCH(AQ$1, DicR!$6:$6, 0), FALSE),
            0
        )
)</f>
        <v>0</v>
      </c>
      <c r="AR34" s="36">
        <f t="array" ref="AR34">SUM(
    IFERROR(
            VLOOKUP($A34, INDIRECT("EneR!$A$6:$ZZ$1048576"), MATCH(AR$1, EneR!$6:$6, 0), FALSE),
            0
        ) +
        IFERROR(
            VLOOKUP($A34, INDIRECT("FebR!$A$6:$ZZ$1048576"), MATCH(AR$1, FebR!$6:$6, 0), FALSE),
            0
        ) +
        IFERROR(
            VLOOKUP($A34, INDIRECT("MarR!$A$6:$ZZ$1048576"), MATCH(AR$1, MarR!$6:$6, 0), FALSE),
            0
        ) +
        IFERROR(
            VLOOKUP($A34, INDIRECT("AbrR!$A$6:$ZZ$1048576"), MATCH(AR$1, AbrR!$6:$6, 0), FALSE),
            0
        ) +
        IFERROR(
            VLOOKUP($A34, INDIRECT("MayR!$A$6:$ZZ$1048576"), MATCH(AR$1, MayR!$6:$6, 0), FALSE),
            0
        ) +
        IFERROR(
            VLOOKUP($A34, INDIRECT("JunR!$A$6:$ZZ$1048576"), MATCH(AR$1, JunR!$6:$6, 0), FALSE),
            0
        ) +
        IFERROR(
            VLOOKUP($A34, INDIRECT("JulR!$A$6:$ZZ$1048576"), MATCH(AR$1, JulR!$6:$6, 0), FALSE),
            0
        ) +
        IFERROR(
            VLOOKUP($A34, INDIRECT("AgoR!$A$6:$ZZ$1048576"), MATCH(AR$1, AgoR!$6:$6, 0), FALSE),
            0
        ) +
        IFERROR(
            VLOOKUP($A34, INDIRECT("SepR!$A$6:$ZZ$1048576"), MATCH(AR$1, SepR!$6:$6, 0), FALSE),
            0
        ) +
        IFERROR(
            VLOOKUP($A34, INDIRECT("OctR!$A$6:$ZZ$1048576"), MATCH(AR$1, OctR!$6:$6, 0), FALSE),
            0
        ) +
        IFERROR(
            VLOOKUP($A34, INDIRECT("NovR!$A$6:$ZZ$1048576"), MATCH(AR$1, NovR!$6:$6, 0), FALSE),
            0
        ) +
        IFERROR(
            VLOOKUP($A34, INDIRECT("DicR!$A$6:$ZZ$1048576"), MATCH(AR$1, DicR!$6:$6, 0), FALSE),
            0
        )
)</f>
        <v>0</v>
      </c>
      <c r="AS34" s="37">
        <f t="array" ref="AS34">SUM(
    IFERROR(
            VLOOKUP($A34, INDIRECT("EneR!$A$6:$ZZ$1048576"), MATCH(AS$1, EneR!$6:$6, 0), FALSE),
            0
        ) +
        IFERROR(
            VLOOKUP($A34, INDIRECT("FebR!$A$6:$ZZ$1048576"), MATCH(AS$1, FebR!$6:$6, 0), FALSE),
            0
        ) +
        IFERROR(
            VLOOKUP($A34, INDIRECT("MarR!$A$6:$ZZ$1048576"), MATCH(AS$1, MarR!$6:$6, 0), FALSE),
            0
        ) +
        IFERROR(
            VLOOKUP($A34, INDIRECT("AbrR!$A$6:$ZZ$1048576"), MATCH(AS$1, AbrR!$6:$6, 0), FALSE),
            0
        ) +
        IFERROR(
            VLOOKUP($A34, INDIRECT("MayR!$A$6:$ZZ$1048576"), MATCH(AS$1, MayR!$6:$6, 0), FALSE),
            0
        ) +
        IFERROR(
            VLOOKUP($A34, INDIRECT("JunR!$A$6:$ZZ$1048576"), MATCH(AS$1, JunR!$6:$6, 0), FALSE),
            0
        ) +
        IFERROR(
            VLOOKUP($A34, INDIRECT("JulR!$A$6:$ZZ$1048576"), MATCH(AS$1, JulR!$6:$6, 0), FALSE),
            0
        ) +
        IFERROR(
            VLOOKUP($A34, INDIRECT("AgoR!$A$6:$ZZ$1048576"), MATCH(AS$1, AgoR!$6:$6, 0), FALSE),
            0
        ) +
        IFERROR(
            VLOOKUP($A34, INDIRECT("SepR!$A$6:$ZZ$1048576"), MATCH(AS$1, SepR!$6:$6, 0), FALSE),
            0
        ) +
        IFERROR(
            VLOOKUP($A34, INDIRECT("OctR!$A$6:$ZZ$1048576"), MATCH(AS$1, OctR!$6:$6, 0), FALSE),
            0
        ) +
        IFERROR(
            VLOOKUP($A34, INDIRECT("NovR!$A$6:$ZZ$1048576"), MATCH(AS$1, NovR!$6:$6, 0), FALSE),
            0
        ) +
        IFERROR(
            VLOOKUP($A34, INDIRECT("DicR!$A$6:$ZZ$1048576"), MATCH(AS$1, DicR!$6:$6, 0), FALSE),
            0
        )
)</f>
        <v>0</v>
      </c>
      <c r="AT34" s="36">
        <f t="array" ref="AT34">SUM(
    IFERROR(
            VLOOKUP($A34, INDIRECT("EneR!$A$6:$ZZ$1048576"), MATCH(AT$1, EneR!$6:$6, 0), FALSE),
            0
        ) +
        IFERROR(
            VLOOKUP($A34, INDIRECT("FebR!$A$6:$ZZ$1048576"), MATCH(AT$1, FebR!$6:$6, 0), FALSE),
            0
        ) +
        IFERROR(
            VLOOKUP($A34, INDIRECT("MarR!$A$6:$ZZ$1048576"), MATCH(AT$1, MarR!$6:$6, 0), FALSE),
            0
        ) +
        IFERROR(
            VLOOKUP($A34, INDIRECT("AbrR!$A$6:$ZZ$1048576"), MATCH(AT$1, AbrR!$6:$6, 0), FALSE),
            0
        ) +
        IFERROR(
            VLOOKUP($A34, INDIRECT("MayR!$A$6:$ZZ$1048576"), MATCH(AT$1, MayR!$6:$6, 0), FALSE),
            0
        ) +
        IFERROR(
            VLOOKUP($A34, INDIRECT("JunR!$A$6:$ZZ$1048576"), MATCH(AT$1, JunR!$6:$6, 0), FALSE),
            0
        ) +
        IFERROR(
            VLOOKUP($A34, INDIRECT("JulR!$A$6:$ZZ$1048576"), MATCH(AT$1, JulR!$6:$6, 0), FALSE),
            0
        ) +
        IFERROR(
            VLOOKUP($A34, INDIRECT("AgoR!$A$6:$ZZ$1048576"), MATCH(AT$1, AgoR!$6:$6, 0), FALSE),
            0
        ) +
        IFERROR(
            VLOOKUP($A34, INDIRECT("SepR!$A$6:$ZZ$1048576"), MATCH(AT$1, SepR!$6:$6, 0), FALSE),
            0
        ) +
        IFERROR(
            VLOOKUP($A34, INDIRECT("OctR!$A$6:$ZZ$1048576"), MATCH(AT$1, OctR!$6:$6, 0), FALSE),
            0
        ) +
        IFERROR(
            VLOOKUP($A34, INDIRECT("NovR!$A$6:$ZZ$1048576"), MATCH(AT$1, NovR!$6:$6, 0), FALSE),
            0
        ) +
        IFERROR(
            VLOOKUP($A34, INDIRECT("DicR!$A$6:$ZZ$1048576"), MATCH(AT$1, DicR!$6:$6, 0), FALSE),
            0
        )
)</f>
        <v>0</v>
      </c>
      <c r="AU34" s="37">
        <f t="array" ref="AU34">SUM(
    IFERROR(
            VLOOKUP($A34, INDIRECT("EneR!$A$6:$ZZ$1048576"), MATCH(AU$1, EneR!$6:$6, 0), FALSE),
            0
        ) +
        IFERROR(
            VLOOKUP($A34, INDIRECT("FebR!$A$6:$ZZ$1048576"), MATCH(AU$1, FebR!$6:$6, 0), FALSE),
            0
        ) +
        IFERROR(
            VLOOKUP($A34, INDIRECT("MarR!$A$6:$ZZ$1048576"), MATCH(AU$1, MarR!$6:$6, 0), FALSE),
            0
        ) +
        IFERROR(
            VLOOKUP($A34, INDIRECT("AbrR!$A$6:$ZZ$1048576"), MATCH(AU$1, AbrR!$6:$6, 0), FALSE),
            0
        ) +
        IFERROR(
            VLOOKUP($A34, INDIRECT("MayR!$A$6:$ZZ$1048576"), MATCH(AU$1, MayR!$6:$6, 0), FALSE),
            0
        ) +
        IFERROR(
            VLOOKUP($A34, INDIRECT("JunR!$A$6:$ZZ$1048576"), MATCH(AU$1, JunR!$6:$6, 0), FALSE),
            0
        ) +
        IFERROR(
            VLOOKUP($A34, INDIRECT("JulR!$A$6:$ZZ$1048576"), MATCH(AU$1, JulR!$6:$6, 0), FALSE),
            0
        ) +
        IFERROR(
            VLOOKUP($A34, INDIRECT("AgoR!$A$6:$ZZ$1048576"), MATCH(AU$1, AgoR!$6:$6, 0), FALSE),
            0
        ) +
        IFERROR(
            VLOOKUP($A34, INDIRECT("SepR!$A$6:$ZZ$1048576"), MATCH(AU$1, SepR!$6:$6, 0), FALSE),
            0
        ) +
        IFERROR(
            VLOOKUP($A34, INDIRECT("OctR!$A$6:$ZZ$1048576"), MATCH(AU$1, OctR!$6:$6, 0), FALSE),
            0
        ) +
        IFERROR(
            VLOOKUP($A34, INDIRECT("NovR!$A$6:$ZZ$1048576"), MATCH(AU$1, NovR!$6:$6, 0), FALSE),
            0
        ) +
        IFERROR(
            VLOOKUP($A34, INDIRECT("DicR!$A$6:$ZZ$1048576"), MATCH(AU$1, DicR!$6:$6, 0), FALSE),
            0
        )
)</f>
        <v>0</v>
      </c>
      <c r="AV34" s="36">
        <f t="array" ref="AV34">SUM(
    IFERROR(
            VLOOKUP($A34, INDIRECT("EneR!$A$6:$ZZ$1048576"), MATCH(AV$1, EneR!$6:$6, 0), FALSE),
            0
        ) +
        IFERROR(
            VLOOKUP($A34, INDIRECT("FebR!$A$6:$ZZ$1048576"), MATCH(AV$1, FebR!$6:$6, 0), FALSE),
            0
        ) +
        IFERROR(
            VLOOKUP($A34, INDIRECT("MarR!$A$6:$ZZ$1048576"), MATCH(AV$1, MarR!$6:$6, 0), FALSE),
            0
        ) +
        IFERROR(
            VLOOKUP($A34, INDIRECT("AbrR!$A$6:$ZZ$1048576"), MATCH(AV$1, AbrR!$6:$6, 0), FALSE),
            0
        ) +
        IFERROR(
            VLOOKUP($A34, INDIRECT("MayR!$A$6:$ZZ$1048576"), MATCH(AV$1, MayR!$6:$6, 0), FALSE),
            0
        ) +
        IFERROR(
            VLOOKUP($A34, INDIRECT("JunR!$A$6:$ZZ$1048576"), MATCH(AV$1, JunR!$6:$6, 0), FALSE),
            0
        ) +
        IFERROR(
            VLOOKUP($A34, INDIRECT("JulR!$A$6:$ZZ$1048576"), MATCH(AV$1, JulR!$6:$6, 0), FALSE),
            0
        ) +
        IFERROR(
            VLOOKUP($A34, INDIRECT("AgoR!$A$6:$ZZ$1048576"), MATCH(AV$1, AgoR!$6:$6, 0), FALSE),
            0
        ) +
        IFERROR(
            VLOOKUP($A34, INDIRECT("SepR!$A$6:$ZZ$1048576"), MATCH(AV$1, SepR!$6:$6, 0), FALSE),
            0
        ) +
        IFERROR(
            VLOOKUP($A34, INDIRECT("OctR!$A$6:$ZZ$1048576"), MATCH(AV$1, OctR!$6:$6, 0), FALSE),
            0
        ) +
        IFERROR(
            VLOOKUP($A34, INDIRECT("NovR!$A$6:$ZZ$1048576"), MATCH(AV$1, NovR!$6:$6, 0), FALSE),
            0
        ) +
        IFERROR(
            VLOOKUP($A34, INDIRECT("DicR!$A$6:$ZZ$1048576"), MATCH(AV$1, DicR!$6:$6, 0), FALSE),
            0
        )
)</f>
        <v>0</v>
      </c>
      <c r="AW34" s="37">
        <f t="array" ref="AW34">SUM(
    IFERROR(
            VLOOKUP($A34, INDIRECT("EneR!$A$6:$ZZ$1048576"), MATCH(AW$1, EneR!$6:$6, 0), FALSE),
            0
        ) +
        IFERROR(
            VLOOKUP($A34, INDIRECT("FebR!$A$6:$ZZ$1048576"), MATCH(AW$1, FebR!$6:$6, 0), FALSE),
            0
        ) +
        IFERROR(
            VLOOKUP($A34, INDIRECT("MarR!$A$6:$ZZ$1048576"), MATCH(AW$1, MarR!$6:$6, 0), FALSE),
            0
        ) +
        IFERROR(
            VLOOKUP($A34, INDIRECT("AbrR!$A$6:$ZZ$1048576"), MATCH(AW$1, AbrR!$6:$6, 0), FALSE),
            0
        ) +
        IFERROR(
            VLOOKUP($A34, INDIRECT("MayR!$A$6:$ZZ$1048576"), MATCH(AW$1, MayR!$6:$6, 0), FALSE),
            0
        ) +
        IFERROR(
            VLOOKUP($A34, INDIRECT("JunR!$A$6:$ZZ$1048576"), MATCH(AW$1, JunR!$6:$6, 0), FALSE),
            0
        ) +
        IFERROR(
            VLOOKUP($A34, INDIRECT("JulR!$A$6:$ZZ$1048576"), MATCH(AW$1, JulR!$6:$6, 0), FALSE),
            0
        ) +
        IFERROR(
            VLOOKUP($A34, INDIRECT("AgoR!$A$6:$ZZ$1048576"), MATCH(AW$1, AgoR!$6:$6, 0), FALSE),
            0
        ) +
        IFERROR(
            VLOOKUP($A34, INDIRECT("SepR!$A$6:$ZZ$1048576"), MATCH(AW$1, SepR!$6:$6, 0), FALSE),
            0
        ) +
        IFERROR(
            VLOOKUP($A34, INDIRECT("OctR!$A$6:$ZZ$1048576"), MATCH(AW$1, OctR!$6:$6, 0), FALSE),
            0
        ) +
        IFERROR(
            VLOOKUP($A34, INDIRECT("NovR!$A$6:$ZZ$1048576"), MATCH(AW$1, NovR!$6:$6, 0), FALSE),
            0
        ) +
        IFERROR(
            VLOOKUP($A34, INDIRECT("DicR!$A$6:$ZZ$1048576"), MATCH(AW$1, DicR!$6:$6, 0), FALSE),
            0
        )
)</f>
        <v>0</v>
      </c>
      <c r="AX34" s="36">
        <f t="array" ref="AX34">SUM(
    IFERROR(
            VLOOKUP($A34, INDIRECT("EneR!$A$6:$ZZ$1048576"), MATCH(AX$1, EneR!$6:$6, 0), FALSE),
            0
        ) +
        IFERROR(
            VLOOKUP($A34, INDIRECT("FebR!$A$6:$ZZ$1048576"), MATCH(AX$1, FebR!$6:$6, 0), FALSE),
            0
        ) +
        IFERROR(
            VLOOKUP($A34, INDIRECT("MarR!$A$6:$ZZ$1048576"), MATCH(AX$1, MarR!$6:$6, 0), FALSE),
            0
        ) +
        IFERROR(
            VLOOKUP($A34, INDIRECT("AbrR!$A$6:$ZZ$1048576"), MATCH(AX$1, AbrR!$6:$6, 0), FALSE),
            0
        ) +
        IFERROR(
            VLOOKUP($A34, INDIRECT("MayR!$A$6:$ZZ$1048576"), MATCH(AX$1, MayR!$6:$6, 0), FALSE),
            0
        ) +
        IFERROR(
            VLOOKUP($A34, INDIRECT("JunR!$A$6:$ZZ$1048576"), MATCH(AX$1, JunR!$6:$6, 0), FALSE),
            0
        ) +
        IFERROR(
            VLOOKUP($A34, INDIRECT("JulR!$A$6:$ZZ$1048576"), MATCH(AX$1, JulR!$6:$6, 0), FALSE),
            0
        ) +
        IFERROR(
            VLOOKUP($A34, INDIRECT("AgoR!$A$6:$ZZ$1048576"), MATCH(AX$1, AgoR!$6:$6, 0), FALSE),
            0
        ) +
        IFERROR(
            VLOOKUP($A34, INDIRECT("SepR!$A$6:$ZZ$1048576"), MATCH(AX$1, SepR!$6:$6, 0), FALSE),
            0
        ) +
        IFERROR(
            VLOOKUP($A34, INDIRECT("OctR!$A$6:$ZZ$1048576"), MATCH(AX$1, OctR!$6:$6, 0), FALSE),
            0
        ) +
        IFERROR(
            VLOOKUP($A34, INDIRECT("NovR!$A$6:$ZZ$1048576"), MATCH(AX$1, NovR!$6:$6, 0), FALSE),
            0
        ) +
        IFERROR(
            VLOOKUP($A34, INDIRECT("DicR!$A$6:$ZZ$1048576"), MATCH(AX$1, DicR!$6:$6, 0), FALSE),
            0
        )
)</f>
        <v>0</v>
      </c>
      <c r="AY34" s="37">
        <f t="array" ref="AY34">SUM(
    IFERROR(
            VLOOKUP($A34, INDIRECT("EneR!$A$6:$ZZ$1048576"), MATCH(AY$1, EneR!$6:$6, 0), FALSE),
            0
        ) +
        IFERROR(
            VLOOKUP($A34, INDIRECT("FebR!$A$6:$ZZ$1048576"), MATCH(AY$1, FebR!$6:$6, 0), FALSE),
            0
        ) +
        IFERROR(
            VLOOKUP($A34, INDIRECT("MarR!$A$6:$ZZ$1048576"), MATCH(AY$1, MarR!$6:$6, 0), FALSE),
            0
        ) +
        IFERROR(
            VLOOKUP($A34, INDIRECT("AbrR!$A$6:$ZZ$1048576"), MATCH(AY$1, AbrR!$6:$6, 0), FALSE),
            0
        ) +
        IFERROR(
            VLOOKUP($A34, INDIRECT("MayR!$A$6:$ZZ$1048576"), MATCH(AY$1, MayR!$6:$6, 0), FALSE),
            0
        ) +
        IFERROR(
            VLOOKUP($A34, INDIRECT("JunR!$A$6:$ZZ$1048576"), MATCH(AY$1, JunR!$6:$6, 0), FALSE),
            0
        ) +
        IFERROR(
            VLOOKUP($A34, INDIRECT("JulR!$A$6:$ZZ$1048576"), MATCH(AY$1, JulR!$6:$6, 0), FALSE),
            0
        ) +
        IFERROR(
            VLOOKUP($A34, INDIRECT("AgoR!$A$6:$ZZ$1048576"), MATCH(AY$1, AgoR!$6:$6, 0), FALSE),
            0
        ) +
        IFERROR(
            VLOOKUP($A34, INDIRECT("SepR!$A$6:$ZZ$1048576"), MATCH(AY$1, SepR!$6:$6, 0), FALSE),
            0
        ) +
        IFERROR(
            VLOOKUP($A34, INDIRECT("OctR!$A$6:$ZZ$1048576"), MATCH(AY$1, OctR!$6:$6, 0), FALSE),
            0
        ) +
        IFERROR(
            VLOOKUP($A34, INDIRECT("NovR!$A$6:$ZZ$1048576"), MATCH(AY$1, NovR!$6:$6, 0), FALSE),
            0
        ) +
        IFERROR(
            VLOOKUP($A34, INDIRECT("DicR!$A$6:$ZZ$1048576"), MATCH(AY$1, DicR!$6:$6, 0), FALSE),
            0
        )
)</f>
        <v>0</v>
      </c>
      <c r="AZ34" s="37"/>
    </row>
    <row r="35" ht="15.75" hidden="1" customHeight="1">
      <c r="A35" s="12" t="str">
        <f>Menus!R27</f>
        <v/>
      </c>
      <c r="B35" s="32">
        <f t="shared" si="6"/>
        <v>0</v>
      </c>
      <c r="C35" s="33" t="str">
        <f t="shared" si="7"/>
        <v/>
      </c>
      <c r="D35" s="34">
        <f t="array" ref="D35">SUM(
    IFERROR(
            VLOOKUP($A35, INDIRECT("EneR!$A$6:$ZZ$1048576"), MATCH(D$1, EneR!$6:$6, 0), FALSE),
            0
        ) +
        IFERROR(
            VLOOKUP($A35, INDIRECT("FebR!$A$6:$ZZ$1048576"), MATCH(D$1, FebR!$6:$6, 0), FALSE),
            0
        ) +
        IFERROR(
            VLOOKUP($A35, INDIRECT("MarR!$A$6:$ZZ$1048576"), MATCH(D$1, MarR!$6:$6, 0), FALSE),
            0
        ) +
        IFERROR(
            VLOOKUP($A35, INDIRECT("AbrR!$A$6:$ZZ$1048576"), MATCH(D$1, AbrR!$6:$6, 0), FALSE),
            0
        ) +
        IFERROR(
            VLOOKUP($A35, INDIRECT("MayR!$A$6:$ZZ$1048576"), MATCH(D$1, MayR!$6:$6, 0), FALSE),
            0
        ) +
        IFERROR(
            VLOOKUP($A35, INDIRECT("JunR!$A$6:$ZZ$1048576"), MATCH(D$1, JunR!$6:$6, 0), FALSE),
            0
        ) +
        IFERROR(
            VLOOKUP($A35, INDIRECT("JulR!$A$6:$ZZ$1048576"), MATCH(D$1, JulR!$6:$6, 0), FALSE),
            0
        ) +
        IFERROR(
            VLOOKUP($A35, INDIRECT("AgoR!$A$6:$ZZ$1048576"), MATCH(D$1, AgoR!$6:$6, 0), FALSE),
            0
        ) +
        IFERROR(
            VLOOKUP($A35, INDIRECT("SepR!$A$6:$ZZ$1048576"), MATCH(D$1, SepR!$6:$6, 0), FALSE),
            0
        ) +
        IFERROR(
            VLOOKUP($A35, INDIRECT("OctR!$A$6:$ZZ$1048576"), MATCH(D$1, OctR!$6:$6, 0), FALSE),
            0
        ) +
        IFERROR(
            VLOOKUP($A35, INDIRECT("NovR!$A$6:$ZZ$1048576"), MATCH(D$1, NovR!$6:$6, 0), FALSE),
            0
        ) +
        IFERROR(
            VLOOKUP($A35, INDIRECT("DicR!$A$6:$ZZ$1048576"), MATCH(D$1, DicR!$6:$6, 0), FALSE),
            0
        )
)</f>
        <v>0</v>
      </c>
      <c r="E35" s="35">
        <f t="array" ref="E35">SUM(
    IFERROR(
            VLOOKUP($A35, INDIRECT("EneR!$A$6:$ZZ$1048576"), MATCH(E$1, EneR!$6:$6, 0), FALSE),
            0
        ) +
        IFERROR(
            VLOOKUP($A35, INDIRECT("FebR!$A$6:$ZZ$1048576"), MATCH(E$1, FebR!$6:$6, 0), FALSE),
            0
        ) +
        IFERROR(
            VLOOKUP($A35, INDIRECT("MarR!$A$6:$ZZ$1048576"), MATCH(E$1, MarR!$6:$6, 0), FALSE),
            0
        ) +
        IFERROR(
            VLOOKUP($A35, INDIRECT("AbrR!$A$6:$ZZ$1048576"), MATCH(E$1, AbrR!$6:$6, 0), FALSE),
            0
        ) +
        IFERROR(
            VLOOKUP($A35, INDIRECT("MayR!$A$6:$ZZ$1048576"), MATCH(E$1, MayR!$6:$6, 0), FALSE),
            0
        ) +
        IFERROR(
            VLOOKUP($A35, INDIRECT("JunR!$A$6:$ZZ$1048576"), MATCH(E$1, JunR!$6:$6, 0), FALSE),
            0
        ) +
        IFERROR(
            VLOOKUP($A35, INDIRECT("JulR!$A$6:$ZZ$1048576"), MATCH(E$1, JulR!$6:$6, 0), FALSE),
            0
        ) +
        IFERROR(
            VLOOKUP($A35, INDIRECT("AgoR!$A$6:$ZZ$1048576"), MATCH(E$1, AgoR!$6:$6, 0), FALSE),
            0
        ) +
        IFERROR(
            VLOOKUP($A35, INDIRECT("SepR!$A$6:$ZZ$1048576"), MATCH(E$1, SepR!$6:$6, 0), FALSE),
            0
        ) +
        IFERROR(
            VLOOKUP($A35, INDIRECT("OctR!$A$6:$ZZ$1048576"), MATCH(E$1, OctR!$6:$6, 0), FALSE),
            0
        ) +
        IFERROR(
            VLOOKUP($A35, INDIRECT("NovR!$A$6:$ZZ$1048576"), MATCH(E$1, NovR!$6:$6, 0), FALSE),
            0
        ) +
        IFERROR(
            VLOOKUP($A35, INDIRECT("DicR!$A$6:$ZZ$1048576"), MATCH(E$1, DicR!$6:$6, 0), FALSE),
            0
        )
)</f>
        <v>0</v>
      </c>
      <c r="F35" s="32">
        <f t="array" ref="F35">SUM(
    IFERROR(
            VLOOKUP($A35, INDIRECT("EneR!$A$6:$ZZ$1048576"), MATCH(F$1, EneR!$6:$6, 0), FALSE),
            0
        ) +
        IFERROR(
            VLOOKUP($A35, INDIRECT("FebR!$A$6:$ZZ$1048576"), MATCH(F$1, FebR!$6:$6, 0), FALSE),
            0
        ) +
        IFERROR(
            VLOOKUP($A35, INDIRECT("MarR!$A$6:$ZZ$1048576"), MATCH(F$1, MarR!$6:$6, 0), FALSE),
            0
        ) +
        IFERROR(
            VLOOKUP($A35, INDIRECT("AbrR!$A$6:$ZZ$1048576"), MATCH(F$1, AbrR!$6:$6, 0), FALSE),
            0
        ) +
        IFERROR(
            VLOOKUP($A35, INDIRECT("MayR!$A$6:$ZZ$1048576"), MATCH(F$1, MayR!$6:$6, 0), FALSE),
            0
        ) +
        IFERROR(
            VLOOKUP($A35, INDIRECT("JunR!$A$6:$ZZ$1048576"), MATCH(F$1, JunR!$6:$6, 0), FALSE),
            0
        ) +
        IFERROR(
            VLOOKUP($A35, INDIRECT("JulR!$A$6:$ZZ$1048576"), MATCH(F$1, JulR!$6:$6, 0), FALSE),
            0
        ) +
        IFERROR(
            VLOOKUP($A35, INDIRECT("AgoR!$A$6:$ZZ$1048576"), MATCH(F$1, AgoR!$6:$6, 0), FALSE),
            0
        ) +
        IFERROR(
            VLOOKUP($A35, INDIRECT("SepR!$A$6:$ZZ$1048576"), MATCH(F$1, SepR!$6:$6, 0), FALSE),
            0
        ) +
        IFERROR(
            VLOOKUP($A35, INDIRECT("OctR!$A$6:$ZZ$1048576"), MATCH(F$1, OctR!$6:$6, 0), FALSE),
            0
        ) +
        IFERROR(
            VLOOKUP($A35, INDIRECT("NovR!$A$6:$ZZ$1048576"), MATCH(F$1, NovR!$6:$6, 0), FALSE),
            0
        ) +
        IFERROR(
            VLOOKUP($A35, INDIRECT("DicR!$A$6:$ZZ$1048576"), MATCH(F$1, DicR!$6:$6, 0), FALSE),
            0
        )
)</f>
        <v>0</v>
      </c>
      <c r="G35" s="35">
        <f t="array" ref="G35">SUM(
    IFERROR(
            VLOOKUP($A35, INDIRECT("EneR!$A$6:$ZZ$1048576"), MATCH(G$1, EneR!$6:$6, 0), FALSE),
            0
        ) +
        IFERROR(
            VLOOKUP($A35, INDIRECT("FebR!$A$6:$ZZ$1048576"), MATCH(G$1, FebR!$6:$6, 0), FALSE),
            0
        ) +
        IFERROR(
            VLOOKUP($A35, INDIRECT("MarR!$A$6:$ZZ$1048576"), MATCH(G$1, MarR!$6:$6, 0), FALSE),
            0
        ) +
        IFERROR(
            VLOOKUP($A35, INDIRECT("AbrR!$A$6:$ZZ$1048576"), MATCH(G$1, AbrR!$6:$6, 0), FALSE),
            0
        ) +
        IFERROR(
            VLOOKUP($A35, INDIRECT("MayR!$A$6:$ZZ$1048576"), MATCH(G$1, MayR!$6:$6, 0), FALSE),
            0
        ) +
        IFERROR(
            VLOOKUP($A35, INDIRECT("JunR!$A$6:$ZZ$1048576"), MATCH(G$1, JunR!$6:$6, 0), FALSE),
            0
        ) +
        IFERROR(
            VLOOKUP($A35, INDIRECT("JulR!$A$6:$ZZ$1048576"), MATCH(G$1, JulR!$6:$6, 0), FALSE),
            0
        ) +
        IFERROR(
            VLOOKUP($A35, INDIRECT("AgoR!$A$6:$ZZ$1048576"), MATCH(G$1, AgoR!$6:$6, 0), FALSE),
            0
        ) +
        IFERROR(
            VLOOKUP($A35, INDIRECT("SepR!$A$6:$ZZ$1048576"), MATCH(G$1, SepR!$6:$6, 0), FALSE),
            0
        ) +
        IFERROR(
            VLOOKUP($A35, INDIRECT("OctR!$A$6:$ZZ$1048576"), MATCH(G$1, OctR!$6:$6, 0), FALSE),
            0
        ) +
        IFERROR(
            VLOOKUP($A35, INDIRECT("NovR!$A$6:$ZZ$1048576"), MATCH(G$1, NovR!$6:$6, 0), FALSE),
            0
        ) +
        IFERROR(
            VLOOKUP($A35, INDIRECT("DicR!$A$6:$ZZ$1048576"), MATCH(G$1, DicR!$6:$6, 0), FALSE),
            0
        )
)</f>
        <v>0</v>
      </c>
      <c r="H35" s="32">
        <f t="array" ref="H35">SUM(
    IFERROR(
            VLOOKUP($A35, INDIRECT("EneR!$A$6:$ZZ$1048576"), MATCH(H$1, EneR!$6:$6, 0), FALSE),
            0
        ) +
        IFERROR(
            VLOOKUP($A35, INDIRECT("FebR!$A$6:$ZZ$1048576"), MATCH(H$1, FebR!$6:$6, 0), FALSE),
            0
        ) +
        IFERROR(
            VLOOKUP($A35, INDIRECT("MarR!$A$6:$ZZ$1048576"), MATCH(H$1, MarR!$6:$6, 0), FALSE),
            0
        ) +
        IFERROR(
            VLOOKUP($A35, INDIRECT("AbrR!$A$6:$ZZ$1048576"), MATCH(H$1, AbrR!$6:$6, 0), FALSE),
            0
        ) +
        IFERROR(
            VLOOKUP($A35, INDIRECT("MayR!$A$6:$ZZ$1048576"), MATCH(H$1, MayR!$6:$6, 0), FALSE),
            0
        ) +
        IFERROR(
            VLOOKUP($A35, INDIRECT("JunR!$A$6:$ZZ$1048576"), MATCH(H$1, JunR!$6:$6, 0), FALSE),
            0
        ) +
        IFERROR(
            VLOOKUP($A35, INDIRECT("JulR!$A$6:$ZZ$1048576"), MATCH(H$1, JulR!$6:$6, 0), FALSE),
            0
        ) +
        IFERROR(
            VLOOKUP($A35, INDIRECT("AgoR!$A$6:$ZZ$1048576"), MATCH(H$1, AgoR!$6:$6, 0), FALSE),
            0
        ) +
        IFERROR(
            VLOOKUP($A35, INDIRECT("SepR!$A$6:$ZZ$1048576"), MATCH(H$1, SepR!$6:$6, 0), FALSE),
            0
        ) +
        IFERROR(
            VLOOKUP($A35, INDIRECT("OctR!$A$6:$ZZ$1048576"), MATCH(H$1, OctR!$6:$6, 0), FALSE),
            0
        ) +
        IFERROR(
            VLOOKUP($A35, INDIRECT("NovR!$A$6:$ZZ$1048576"), MATCH(H$1, NovR!$6:$6, 0), FALSE),
            0
        ) +
        IFERROR(
            VLOOKUP($A35, INDIRECT("DicR!$A$6:$ZZ$1048576"), MATCH(H$1, DicR!$6:$6, 0), FALSE),
            0
        )
)</f>
        <v>0</v>
      </c>
      <c r="I35" s="35">
        <f t="array" ref="I35">SUM(
    IFERROR(
            VLOOKUP($A35, INDIRECT("EneR!$A$6:$ZZ$1048576"), MATCH(I$1, EneR!$6:$6, 0), FALSE),
            0
        ) +
        IFERROR(
            VLOOKUP($A35, INDIRECT("FebR!$A$6:$ZZ$1048576"), MATCH(I$1, FebR!$6:$6, 0), FALSE),
            0
        ) +
        IFERROR(
            VLOOKUP($A35, INDIRECT("MarR!$A$6:$ZZ$1048576"), MATCH(I$1, MarR!$6:$6, 0), FALSE),
            0
        ) +
        IFERROR(
            VLOOKUP($A35, INDIRECT("AbrR!$A$6:$ZZ$1048576"), MATCH(I$1, AbrR!$6:$6, 0), FALSE),
            0
        ) +
        IFERROR(
            VLOOKUP($A35, INDIRECT("MayR!$A$6:$ZZ$1048576"), MATCH(I$1, MayR!$6:$6, 0), FALSE),
            0
        ) +
        IFERROR(
            VLOOKUP($A35, INDIRECT("JunR!$A$6:$ZZ$1048576"), MATCH(I$1, JunR!$6:$6, 0), FALSE),
            0
        ) +
        IFERROR(
            VLOOKUP($A35, INDIRECT("JulR!$A$6:$ZZ$1048576"), MATCH(I$1, JulR!$6:$6, 0), FALSE),
            0
        ) +
        IFERROR(
            VLOOKUP($A35, INDIRECT("AgoR!$A$6:$ZZ$1048576"), MATCH(I$1, AgoR!$6:$6, 0), FALSE),
            0
        ) +
        IFERROR(
            VLOOKUP($A35, INDIRECT("SepR!$A$6:$ZZ$1048576"), MATCH(I$1, SepR!$6:$6, 0), FALSE),
            0
        ) +
        IFERROR(
            VLOOKUP($A35, INDIRECT("OctR!$A$6:$ZZ$1048576"), MATCH(I$1, OctR!$6:$6, 0), FALSE),
            0
        ) +
        IFERROR(
            VLOOKUP($A35, INDIRECT("NovR!$A$6:$ZZ$1048576"), MATCH(I$1, NovR!$6:$6, 0), FALSE),
            0
        ) +
        IFERROR(
            VLOOKUP($A35, INDIRECT("DicR!$A$6:$ZZ$1048576"), MATCH(I$1, DicR!$6:$6, 0), FALSE),
            0
        )
)</f>
        <v>0</v>
      </c>
      <c r="J35" s="32">
        <f t="array" ref="J35">SUM(
    IFERROR(
            VLOOKUP($A35, INDIRECT("EneR!$A$6:$ZZ$1048576"), MATCH(J$1, EneR!$6:$6, 0), FALSE),
            0
        ) +
        IFERROR(
            VLOOKUP($A35, INDIRECT("FebR!$A$6:$ZZ$1048576"), MATCH(J$1, FebR!$6:$6, 0), FALSE),
            0
        ) +
        IFERROR(
            VLOOKUP($A35, INDIRECT("MarR!$A$6:$ZZ$1048576"), MATCH(J$1, MarR!$6:$6, 0), FALSE),
            0
        ) +
        IFERROR(
            VLOOKUP($A35, INDIRECT("AbrR!$A$6:$ZZ$1048576"), MATCH(J$1, AbrR!$6:$6, 0), FALSE),
            0
        ) +
        IFERROR(
            VLOOKUP($A35, INDIRECT("MayR!$A$6:$ZZ$1048576"), MATCH(J$1, MayR!$6:$6, 0), FALSE),
            0
        ) +
        IFERROR(
            VLOOKUP($A35, INDIRECT("JunR!$A$6:$ZZ$1048576"), MATCH(J$1, JunR!$6:$6, 0), FALSE),
            0
        ) +
        IFERROR(
            VLOOKUP($A35, INDIRECT("JulR!$A$6:$ZZ$1048576"), MATCH(J$1, JulR!$6:$6, 0), FALSE),
            0
        ) +
        IFERROR(
            VLOOKUP($A35, INDIRECT("AgoR!$A$6:$ZZ$1048576"), MATCH(J$1, AgoR!$6:$6, 0), FALSE),
            0
        ) +
        IFERROR(
            VLOOKUP($A35, INDIRECT("SepR!$A$6:$ZZ$1048576"), MATCH(J$1, SepR!$6:$6, 0), FALSE),
            0
        ) +
        IFERROR(
            VLOOKUP($A35, INDIRECT("OctR!$A$6:$ZZ$1048576"), MATCH(J$1, OctR!$6:$6, 0), FALSE),
            0
        ) +
        IFERROR(
            VLOOKUP($A35, INDIRECT("NovR!$A$6:$ZZ$1048576"), MATCH(J$1, NovR!$6:$6, 0), FALSE),
            0
        ) +
        IFERROR(
            VLOOKUP($A35, INDIRECT("DicR!$A$6:$ZZ$1048576"), MATCH(J$1, DicR!$6:$6, 0), FALSE),
            0
        )
)</f>
        <v>0</v>
      </c>
      <c r="K35" s="35">
        <f t="array" ref="K35">SUM(
    IFERROR(
            VLOOKUP($A35, INDIRECT("EneR!$A$6:$ZZ$1048576"), MATCH(K$1, EneR!$6:$6, 0), FALSE),
            0
        ) +
        IFERROR(
            VLOOKUP($A35, INDIRECT("FebR!$A$6:$ZZ$1048576"), MATCH(K$1, FebR!$6:$6, 0), FALSE),
            0
        ) +
        IFERROR(
            VLOOKUP($A35, INDIRECT("MarR!$A$6:$ZZ$1048576"), MATCH(K$1, MarR!$6:$6, 0), FALSE),
            0
        ) +
        IFERROR(
            VLOOKUP($A35, INDIRECT("AbrR!$A$6:$ZZ$1048576"), MATCH(K$1, AbrR!$6:$6, 0), FALSE),
            0
        ) +
        IFERROR(
            VLOOKUP($A35, INDIRECT("MayR!$A$6:$ZZ$1048576"), MATCH(K$1, MayR!$6:$6, 0), FALSE),
            0
        ) +
        IFERROR(
            VLOOKUP($A35, INDIRECT("JunR!$A$6:$ZZ$1048576"), MATCH(K$1, JunR!$6:$6, 0), FALSE),
            0
        ) +
        IFERROR(
            VLOOKUP($A35, INDIRECT("JulR!$A$6:$ZZ$1048576"), MATCH(K$1, JulR!$6:$6, 0), FALSE),
            0
        ) +
        IFERROR(
            VLOOKUP($A35, INDIRECT("AgoR!$A$6:$ZZ$1048576"), MATCH(K$1, AgoR!$6:$6, 0), FALSE),
            0
        ) +
        IFERROR(
            VLOOKUP($A35, INDIRECT("SepR!$A$6:$ZZ$1048576"), MATCH(K$1, SepR!$6:$6, 0), FALSE),
            0
        ) +
        IFERROR(
            VLOOKUP($A35, INDIRECT("OctR!$A$6:$ZZ$1048576"), MATCH(K$1, OctR!$6:$6, 0), FALSE),
            0
        ) +
        IFERROR(
            VLOOKUP($A35, INDIRECT("NovR!$A$6:$ZZ$1048576"), MATCH(K$1, NovR!$6:$6, 0), FALSE),
            0
        ) +
        IFERROR(
            VLOOKUP($A35, INDIRECT("DicR!$A$6:$ZZ$1048576"), MATCH(K$1, DicR!$6:$6, 0), FALSE),
            0
        )
)</f>
        <v>0</v>
      </c>
      <c r="L35" s="32">
        <f t="array" ref="L35">SUM(
    IFERROR(
            VLOOKUP($A35, INDIRECT("EneR!$A$6:$ZZ$1048576"), MATCH(L$1, EneR!$6:$6, 0), FALSE),
            0
        ) +
        IFERROR(
            VLOOKUP($A35, INDIRECT("FebR!$A$6:$ZZ$1048576"), MATCH(L$1, FebR!$6:$6, 0), FALSE),
            0
        ) +
        IFERROR(
            VLOOKUP($A35, INDIRECT("MarR!$A$6:$ZZ$1048576"), MATCH(L$1, MarR!$6:$6, 0), FALSE),
            0
        ) +
        IFERROR(
            VLOOKUP($A35, INDIRECT("AbrR!$A$6:$ZZ$1048576"), MATCH(L$1, AbrR!$6:$6, 0), FALSE),
            0
        ) +
        IFERROR(
            VLOOKUP($A35, INDIRECT("MayR!$A$6:$ZZ$1048576"), MATCH(L$1, MayR!$6:$6, 0), FALSE),
            0
        ) +
        IFERROR(
            VLOOKUP($A35, INDIRECT("JunR!$A$6:$ZZ$1048576"), MATCH(L$1, JunR!$6:$6, 0), FALSE),
            0
        ) +
        IFERROR(
            VLOOKUP($A35, INDIRECT("JulR!$A$6:$ZZ$1048576"), MATCH(L$1, JulR!$6:$6, 0), FALSE),
            0
        ) +
        IFERROR(
            VLOOKUP($A35, INDIRECT("AgoR!$A$6:$ZZ$1048576"), MATCH(L$1, AgoR!$6:$6, 0), FALSE),
            0
        ) +
        IFERROR(
            VLOOKUP($A35, INDIRECT("SepR!$A$6:$ZZ$1048576"), MATCH(L$1, SepR!$6:$6, 0), FALSE),
            0
        ) +
        IFERROR(
            VLOOKUP($A35, INDIRECT("OctR!$A$6:$ZZ$1048576"), MATCH(L$1, OctR!$6:$6, 0), FALSE),
            0
        ) +
        IFERROR(
            VLOOKUP($A35, INDIRECT("NovR!$A$6:$ZZ$1048576"), MATCH(L$1, NovR!$6:$6, 0), FALSE),
            0
        ) +
        IFERROR(
            VLOOKUP($A35, INDIRECT("DicR!$A$6:$ZZ$1048576"), MATCH(L$1, DicR!$6:$6, 0), FALSE),
            0
        )
)</f>
        <v>0</v>
      </c>
      <c r="M35" s="35">
        <f t="array" ref="M35">SUM(
    IFERROR(
            VLOOKUP($A35, INDIRECT("EneR!$A$6:$ZZ$1048576"), MATCH(M$1, EneR!$6:$6, 0), FALSE),
            0
        ) +
        IFERROR(
            VLOOKUP($A35, INDIRECT("FebR!$A$6:$ZZ$1048576"), MATCH(M$1, FebR!$6:$6, 0), FALSE),
            0
        ) +
        IFERROR(
            VLOOKUP($A35, INDIRECT("MarR!$A$6:$ZZ$1048576"), MATCH(M$1, MarR!$6:$6, 0), FALSE),
            0
        ) +
        IFERROR(
            VLOOKUP($A35, INDIRECT("AbrR!$A$6:$ZZ$1048576"), MATCH(M$1, AbrR!$6:$6, 0), FALSE),
            0
        ) +
        IFERROR(
            VLOOKUP($A35, INDIRECT("MayR!$A$6:$ZZ$1048576"), MATCH(M$1, MayR!$6:$6, 0), FALSE),
            0
        ) +
        IFERROR(
            VLOOKUP($A35, INDIRECT("JunR!$A$6:$ZZ$1048576"), MATCH(M$1, JunR!$6:$6, 0), FALSE),
            0
        ) +
        IFERROR(
            VLOOKUP($A35, INDIRECT("JulR!$A$6:$ZZ$1048576"), MATCH(M$1, JulR!$6:$6, 0), FALSE),
            0
        ) +
        IFERROR(
            VLOOKUP($A35, INDIRECT("AgoR!$A$6:$ZZ$1048576"), MATCH(M$1, AgoR!$6:$6, 0), FALSE),
            0
        ) +
        IFERROR(
            VLOOKUP($A35, INDIRECT("SepR!$A$6:$ZZ$1048576"), MATCH(M$1, SepR!$6:$6, 0), FALSE),
            0
        ) +
        IFERROR(
            VLOOKUP($A35, INDIRECT("OctR!$A$6:$ZZ$1048576"), MATCH(M$1, OctR!$6:$6, 0), FALSE),
            0
        ) +
        IFERROR(
            VLOOKUP($A35, INDIRECT("NovR!$A$6:$ZZ$1048576"), MATCH(M$1, NovR!$6:$6, 0), FALSE),
            0
        ) +
        IFERROR(
            VLOOKUP($A35, INDIRECT("DicR!$A$6:$ZZ$1048576"), MATCH(M$1, DicR!$6:$6, 0), FALSE),
            0
        )
)</f>
        <v>0</v>
      </c>
      <c r="N35" s="32">
        <f t="array" ref="N35">SUM(
    IFERROR(
            VLOOKUP($A35, INDIRECT("EneR!$A$6:$ZZ$1048576"), MATCH(N$1, EneR!$6:$6, 0), FALSE),
            0
        ) +
        IFERROR(
            VLOOKUP($A35, INDIRECT("FebR!$A$6:$ZZ$1048576"), MATCH(N$1, FebR!$6:$6, 0), FALSE),
            0
        ) +
        IFERROR(
            VLOOKUP($A35, INDIRECT("MarR!$A$6:$ZZ$1048576"), MATCH(N$1, MarR!$6:$6, 0), FALSE),
            0
        ) +
        IFERROR(
            VLOOKUP($A35, INDIRECT("AbrR!$A$6:$ZZ$1048576"), MATCH(N$1, AbrR!$6:$6, 0), FALSE),
            0
        ) +
        IFERROR(
            VLOOKUP($A35, INDIRECT("MayR!$A$6:$ZZ$1048576"), MATCH(N$1, MayR!$6:$6, 0), FALSE),
            0
        ) +
        IFERROR(
            VLOOKUP($A35, INDIRECT("JunR!$A$6:$ZZ$1048576"), MATCH(N$1, JunR!$6:$6, 0), FALSE),
            0
        ) +
        IFERROR(
            VLOOKUP($A35, INDIRECT("JulR!$A$6:$ZZ$1048576"), MATCH(N$1, JulR!$6:$6, 0), FALSE),
            0
        ) +
        IFERROR(
            VLOOKUP($A35, INDIRECT("AgoR!$A$6:$ZZ$1048576"), MATCH(N$1, AgoR!$6:$6, 0), FALSE),
            0
        ) +
        IFERROR(
            VLOOKUP($A35, INDIRECT("SepR!$A$6:$ZZ$1048576"), MATCH(N$1, SepR!$6:$6, 0), FALSE),
            0
        ) +
        IFERROR(
            VLOOKUP($A35, INDIRECT("OctR!$A$6:$ZZ$1048576"), MATCH(N$1, OctR!$6:$6, 0), FALSE),
            0
        ) +
        IFERROR(
            VLOOKUP($A35, INDIRECT("NovR!$A$6:$ZZ$1048576"), MATCH(N$1, NovR!$6:$6, 0), FALSE),
            0
        ) +
        IFERROR(
            VLOOKUP($A35, INDIRECT("DicR!$A$6:$ZZ$1048576"), MATCH(N$1, DicR!$6:$6, 0), FALSE),
            0
        )
)</f>
        <v>0</v>
      </c>
      <c r="O35" s="35">
        <f t="array" ref="O35">SUM(
    IFERROR(
            VLOOKUP($A35, INDIRECT("EneR!$A$6:$ZZ$1048576"), MATCH(O$1, EneR!$6:$6, 0), FALSE),
            0
        ) +
        IFERROR(
            VLOOKUP($A35, INDIRECT("FebR!$A$6:$ZZ$1048576"), MATCH(O$1, FebR!$6:$6, 0), FALSE),
            0
        ) +
        IFERROR(
            VLOOKUP($A35, INDIRECT("MarR!$A$6:$ZZ$1048576"), MATCH(O$1, MarR!$6:$6, 0), FALSE),
            0
        ) +
        IFERROR(
            VLOOKUP($A35, INDIRECT("AbrR!$A$6:$ZZ$1048576"), MATCH(O$1, AbrR!$6:$6, 0), FALSE),
            0
        ) +
        IFERROR(
            VLOOKUP($A35, INDIRECT("MayR!$A$6:$ZZ$1048576"), MATCH(O$1, MayR!$6:$6, 0), FALSE),
            0
        ) +
        IFERROR(
            VLOOKUP($A35, INDIRECT("JunR!$A$6:$ZZ$1048576"), MATCH(O$1, JunR!$6:$6, 0), FALSE),
            0
        ) +
        IFERROR(
            VLOOKUP($A35, INDIRECT("JulR!$A$6:$ZZ$1048576"), MATCH(O$1, JulR!$6:$6, 0), FALSE),
            0
        ) +
        IFERROR(
            VLOOKUP($A35, INDIRECT("AgoR!$A$6:$ZZ$1048576"), MATCH(O$1, AgoR!$6:$6, 0), FALSE),
            0
        ) +
        IFERROR(
            VLOOKUP($A35, INDIRECT("SepR!$A$6:$ZZ$1048576"), MATCH(O$1, SepR!$6:$6, 0), FALSE),
            0
        ) +
        IFERROR(
            VLOOKUP($A35, INDIRECT("OctR!$A$6:$ZZ$1048576"), MATCH(O$1, OctR!$6:$6, 0), FALSE),
            0
        ) +
        IFERROR(
            VLOOKUP($A35, INDIRECT("NovR!$A$6:$ZZ$1048576"), MATCH(O$1, NovR!$6:$6, 0), FALSE),
            0
        ) +
        IFERROR(
            VLOOKUP($A35, INDIRECT("DicR!$A$6:$ZZ$1048576"), MATCH(O$1, DicR!$6:$6, 0), FALSE),
            0
        )
)</f>
        <v>0</v>
      </c>
      <c r="P35" s="32">
        <f t="array" ref="P35">SUM(
    IFERROR(
            VLOOKUP($A35, INDIRECT("EneR!$A$6:$ZZ$1048576"), MATCH(P$1, EneR!$6:$6, 0), FALSE),
            0
        ) +
        IFERROR(
            VLOOKUP($A35, INDIRECT("FebR!$A$6:$ZZ$1048576"), MATCH(P$1, FebR!$6:$6, 0), FALSE),
            0
        ) +
        IFERROR(
            VLOOKUP($A35, INDIRECT("MarR!$A$6:$ZZ$1048576"), MATCH(P$1, MarR!$6:$6, 0), FALSE),
            0
        ) +
        IFERROR(
            VLOOKUP($A35, INDIRECT("AbrR!$A$6:$ZZ$1048576"), MATCH(P$1, AbrR!$6:$6, 0), FALSE),
            0
        ) +
        IFERROR(
            VLOOKUP($A35, INDIRECT("MayR!$A$6:$ZZ$1048576"), MATCH(P$1, MayR!$6:$6, 0), FALSE),
            0
        ) +
        IFERROR(
            VLOOKUP($A35, INDIRECT("JunR!$A$6:$ZZ$1048576"), MATCH(P$1, JunR!$6:$6, 0), FALSE),
            0
        ) +
        IFERROR(
            VLOOKUP($A35, INDIRECT("JulR!$A$6:$ZZ$1048576"), MATCH(P$1, JulR!$6:$6, 0), FALSE),
            0
        ) +
        IFERROR(
            VLOOKUP($A35, INDIRECT("AgoR!$A$6:$ZZ$1048576"), MATCH(P$1, AgoR!$6:$6, 0), FALSE),
            0
        ) +
        IFERROR(
            VLOOKUP($A35, INDIRECT("SepR!$A$6:$ZZ$1048576"), MATCH(P$1, SepR!$6:$6, 0), FALSE),
            0
        ) +
        IFERROR(
            VLOOKUP($A35, INDIRECT("OctR!$A$6:$ZZ$1048576"), MATCH(P$1, OctR!$6:$6, 0), FALSE),
            0
        ) +
        IFERROR(
            VLOOKUP($A35, INDIRECT("NovR!$A$6:$ZZ$1048576"), MATCH(P$1, NovR!$6:$6, 0), FALSE),
            0
        ) +
        IFERROR(
            VLOOKUP($A35, INDIRECT("DicR!$A$6:$ZZ$1048576"), MATCH(P$1, DicR!$6:$6, 0), FALSE),
            0
        )
)</f>
        <v>0</v>
      </c>
      <c r="Q35" s="35">
        <f t="array" ref="Q35">SUM(
    IFERROR(
            VLOOKUP($A35, INDIRECT("EneR!$A$6:$ZZ$1048576"), MATCH(Q$1, EneR!$6:$6, 0), FALSE),
            0
        ) +
        IFERROR(
            VLOOKUP($A35, INDIRECT("FebR!$A$6:$ZZ$1048576"), MATCH(Q$1, FebR!$6:$6, 0), FALSE),
            0
        ) +
        IFERROR(
            VLOOKUP($A35, INDIRECT("MarR!$A$6:$ZZ$1048576"), MATCH(Q$1, MarR!$6:$6, 0), FALSE),
            0
        ) +
        IFERROR(
            VLOOKUP($A35, INDIRECT("AbrR!$A$6:$ZZ$1048576"), MATCH(Q$1, AbrR!$6:$6, 0), FALSE),
            0
        ) +
        IFERROR(
            VLOOKUP($A35, INDIRECT("MayR!$A$6:$ZZ$1048576"), MATCH(Q$1, MayR!$6:$6, 0), FALSE),
            0
        ) +
        IFERROR(
            VLOOKUP($A35, INDIRECT("JunR!$A$6:$ZZ$1048576"), MATCH(Q$1, JunR!$6:$6, 0), FALSE),
            0
        ) +
        IFERROR(
            VLOOKUP($A35, INDIRECT("JulR!$A$6:$ZZ$1048576"), MATCH(Q$1, JulR!$6:$6, 0), FALSE),
            0
        ) +
        IFERROR(
            VLOOKUP($A35, INDIRECT("AgoR!$A$6:$ZZ$1048576"), MATCH(Q$1, AgoR!$6:$6, 0), FALSE),
            0
        ) +
        IFERROR(
            VLOOKUP($A35, INDIRECT("SepR!$A$6:$ZZ$1048576"), MATCH(Q$1, SepR!$6:$6, 0), FALSE),
            0
        ) +
        IFERROR(
            VLOOKUP($A35, INDIRECT("OctR!$A$6:$ZZ$1048576"), MATCH(Q$1, OctR!$6:$6, 0), FALSE),
            0
        ) +
        IFERROR(
            VLOOKUP($A35, INDIRECT("NovR!$A$6:$ZZ$1048576"), MATCH(Q$1, NovR!$6:$6, 0), FALSE),
            0
        ) +
        IFERROR(
            VLOOKUP($A35, INDIRECT("DicR!$A$6:$ZZ$1048576"), MATCH(Q$1, DicR!$6:$6, 0), FALSE),
            0
        )
)</f>
        <v>0</v>
      </c>
      <c r="R35" s="36">
        <f t="array" ref="R35">SUM(
    IFERROR(
            VLOOKUP($A35, INDIRECT("EneR!$A$6:$ZZ$1048576"), MATCH(R$1, EneR!$6:$6, 0), FALSE),
            0
        ) +
        IFERROR(
            VLOOKUP($A35, INDIRECT("FebR!$A$6:$ZZ$1048576"), MATCH(R$1, FebR!$6:$6, 0), FALSE),
            0
        ) +
        IFERROR(
            VLOOKUP($A35, INDIRECT("MarR!$A$6:$ZZ$1048576"), MATCH(R$1, MarR!$6:$6, 0), FALSE),
            0
        ) +
        IFERROR(
            VLOOKUP($A35, INDIRECT("AbrR!$A$6:$ZZ$1048576"), MATCH(R$1, AbrR!$6:$6, 0), FALSE),
            0
        ) +
        IFERROR(
            VLOOKUP($A35, INDIRECT("MayR!$A$6:$ZZ$1048576"), MATCH(R$1, MayR!$6:$6, 0), FALSE),
            0
        ) +
        IFERROR(
            VLOOKUP($A35, INDIRECT("JunR!$A$6:$ZZ$1048576"), MATCH(R$1, JunR!$6:$6, 0), FALSE),
            0
        ) +
        IFERROR(
            VLOOKUP($A35, INDIRECT("JulR!$A$6:$ZZ$1048576"), MATCH(R$1, JulR!$6:$6, 0), FALSE),
            0
        ) +
        IFERROR(
            VLOOKUP($A35, INDIRECT("AgoR!$A$6:$ZZ$1048576"), MATCH(R$1, AgoR!$6:$6, 0), FALSE),
            0
        ) +
        IFERROR(
            VLOOKUP($A35, INDIRECT("SepR!$A$6:$ZZ$1048576"), MATCH(R$1, SepR!$6:$6, 0), FALSE),
            0
        ) +
        IFERROR(
            VLOOKUP($A35, INDIRECT("OctR!$A$6:$ZZ$1048576"), MATCH(R$1, OctR!$6:$6, 0), FALSE),
            0
        ) +
        IFERROR(
            VLOOKUP($A35, INDIRECT("NovR!$A$6:$ZZ$1048576"), MATCH(R$1, NovR!$6:$6, 0), FALSE),
            0
        ) +
        IFERROR(
            VLOOKUP($A35, INDIRECT("DicR!$A$6:$ZZ$1048576"), MATCH(R$1, DicR!$6:$6, 0), FALSE),
            0
        )
)</f>
        <v>0</v>
      </c>
      <c r="S35" s="37">
        <f t="array" ref="S35">SUM(
    IFERROR(
            VLOOKUP($A35, INDIRECT("EneR!$A$6:$ZZ$1048576"), MATCH(S$1, EneR!$6:$6, 0), FALSE),
            0
        ) +
        IFERROR(
            VLOOKUP($A35, INDIRECT("FebR!$A$6:$ZZ$1048576"), MATCH(S$1, FebR!$6:$6, 0), FALSE),
            0
        ) +
        IFERROR(
            VLOOKUP($A35, INDIRECT("MarR!$A$6:$ZZ$1048576"), MATCH(S$1, MarR!$6:$6, 0), FALSE),
            0
        ) +
        IFERROR(
            VLOOKUP($A35, INDIRECT("AbrR!$A$6:$ZZ$1048576"), MATCH(S$1, AbrR!$6:$6, 0), FALSE),
            0
        ) +
        IFERROR(
            VLOOKUP($A35, INDIRECT("MayR!$A$6:$ZZ$1048576"), MATCH(S$1, MayR!$6:$6, 0), FALSE),
            0
        ) +
        IFERROR(
            VLOOKUP($A35, INDIRECT("JunR!$A$6:$ZZ$1048576"), MATCH(S$1, JunR!$6:$6, 0), FALSE),
            0
        ) +
        IFERROR(
            VLOOKUP($A35, INDIRECT("JulR!$A$6:$ZZ$1048576"), MATCH(S$1, JulR!$6:$6, 0), FALSE),
            0
        ) +
        IFERROR(
            VLOOKUP($A35, INDIRECT("AgoR!$A$6:$ZZ$1048576"), MATCH(S$1, AgoR!$6:$6, 0), FALSE),
            0
        ) +
        IFERROR(
            VLOOKUP($A35, INDIRECT("SepR!$A$6:$ZZ$1048576"), MATCH(S$1, SepR!$6:$6, 0), FALSE),
            0
        ) +
        IFERROR(
            VLOOKUP($A35, INDIRECT("OctR!$A$6:$ZZ$1048576"), MATCH(S$1, OctR!$6:$6, 0), FALSE),
            0
        ) +
        IFERROR(
            VLOOKUP($A35, INDIRECT("NovR!$A$6:$ZZ$1048576"), MATCH(S$1, NovR!$6:$6, 0), FALSE),
            0
        ) +
        IFERROR(
            VLOOKUP($A35, INDIRECT("DicR!$A$6:$ZZ$1048576"), MATCH(S$1, DicR!$6:$6, 0), FALSE),
            0
        )
)</f>
        <v>0</v>
      </c>
      <c r="T35" s="36">
        <f t="array" ref="T35">SUM(
    IFERROR(
            VLOOKUP($A35, INDIRECT("EneR!$A$6:$ZZ$1048576"), MATCH(T$1, EneR!$6:$6, 0), FALSE),
            0
        ) +
        IFERROR(
            VLOOKUP($A35, INDIRECT("FebR!$A$6:$ZZ$1048576"), MATCH(T$1, FebR!$6:$6, 0), FALSE),
            0
        ) +
        IFERROR(
            VLOOKUP($A35, INDIRECT("MarR!$A$6:$ZZ$1048576"), MATCH(T$1, MarR!$6:$6, 0), FALSE),
            0
        ) +
        IFERROR(
            VLOOKUP($A35, INDIRECT("AbrR!$A$6:$ZZ$1048576"), MATCH(T$1, AbrR!$6:$6, 0), FALSE),
            0
        ) +
        IFERROR(
            VLOOKUP($A35, INDIRECT("MayR!$A$6:$ZZ$1048576"), MATCH(T$1, MayR!$6:$6, 0), FALSE),
            0
        ) +
        IFERROR(
            VLOOKUP($A35, INDIRECT("JunR!$A$6:$ZZ$1048576"), MATCH(T$1, JunR!$6:$6, 0), FALSE),
            0
        ) +
        IFERROR(
            VLOOKUP($A35, INDIRECT("JulR!$A$6:$ZZ$1048576"), MATCH(T$1, JulR!$6:$6, 0), FALSE),
            0
        ) +
        IFERROR(
            VLOOKUP($A35, INDIRECT("AgoR!$A$6:$ZZ$1048576"), MATCH(T$1, AgoR!$6:$6, 0), FALSE),
            0
        ) +
        IFERROR(
            VLOOKUP($A35, INDIRECT("SepR!$A$6:$ZZ$1048576"), MATCH(T$1, SepR!$6:$6, 0), FALSE),
            0
        ) +
        IFERROR(
            VLOOKUP($A35, INDIRECT("OctR!$A$6:$ZZ$1048576"), MATCH(T$1, OctR!$6:$6, 0), FALSE),
            0
        ) +
        IFERROR(
            VLOOKUP($A35, INDIRECT("NovR!$A$6:$ZZ$1048576"), MATCH(T$1, NovR!$6:$6, 0), FALSE),
            0
        ) +
        IFERROR(
            VLOOKUP($A35, INDIRECT("DicR!$A$6:$ZZ$1048576"), MATCH(T$1, DicR!$6:$6, 0), FALSE),
            0
        )
)</f>
        <v>0</v>
      </c>
      <c r="U35" s="37">
        <f t="array" ref="U35">SUM(
    IFERROR(
            VLOOKUP($A35, INDIRECT("EneR!$A$6:$ZZ$1048576"), MATCH(U$1, EneR!$6:$6, 0), FALSE),
            0
        ) +
        IFERROR(
            VLOOKUP($A35, INDIRECT("FebR!$A$6:$ZZ$1048576"), MATCH(U$1, FebR!$6:$6, 0), FALSE),
            0
        ) +
        IFERROR(
            VLOOKUP($A35, INDIRECT("MarR!$A$6:$ZZ$1048576"), MATCH(U$1, MarR!$6:$6, 0), FALSE),
            0
        ) +
        IFERROR(
            VLOOKUP($A35, INDIRECT("AbrR!$A$6:$ZZ$1048576"), MATCH(U$1, AbrR!$6:$6, 0), FALSE),
            0
        ) +
        IFERROR(
            VLOOKUP($A35, INDIRECT("MayR!$A$6:$ZZ$1048576"), MATCH(U$1, MayR!$6:$6, 0), FALSE),
            0
        ) +
        IFERROR(
            VLOOKUP($A35, INDIRECT("JunR!$A$6:$ZZ$1048576"), MATCH(U$1, JunR!$6:$6, 0), FALSE),
            0
        ) +
        IFERROR(
            VLOOKUP($A35, INDIRECT("JulR!$A$6:$ZZ$1048576"), MATCH(U$1, JulR!$6:$6, 0), FALSE),
            0
        ) +
        IFERROR(
            VLOOKUP($A35, INDIRECT("AgoR!$A$6:$ZZ$1048576"), MATCH(U$1, AgoR!$6:$6, 0), FALSE),
            0
        ) +
        IFERROR(
            VLOOKUP($A35, INDIRECT("SepR!$A$6:$ZZ$1048576"), MATCH(U$1, SepR!$6:$6, 0), FALSE),
            0
        ) +
        IFERROR(
            VLOOKUP($A35, INDIRECT("OctR!$A$6:$ZZ$1048576"), MATCH(U$1, OctR!$6:$6, 0), FALSE),
            0
        ) +
        IFERROR(
            VLOOKUP($A35, INDIRECT("NovR!$A$6:$ZZ$1048576"), MATCH(U$1, NovR!$6:$6, 0), FALSE),
            0
        ) +
        IFERROR(
            VLOOKUP($A35, INDIRECT("DicR!$A$6:$ZZ$1048576"), MATCH(U$1, DicR!$6:$6, 0), FALSE),
            0
        )
)</f>
        <v>0</v>
      </c>
      <c r="V35" s="36">
        <f t="array" ref="V35">SUM(
    IFERROR(
            VLOOKUP($A35, INDIRECT("EneR!$A$6:$ZZ$1048576"), MATCH(V$1, EneR!$6:$6, 0), FALSE),
            0
        ) +
        IFERROR(
            VLOOKUP($A35, INDIRECT("FebR!$A$6:$ZZ$1048576"), MATCH(V$1, FebR!$6:$6, 0), FALSE),
            0
        ) +
        IFERROR(
            VLOOKUP($A35, INDIRECT("MarR!$A$6:$ZZ$1048576"), MATCH(V$1, MarR!$6:$6, 0), FALSE),
            0
        ) +
        IFERROR(
            VLOOKUP($A35, INDIRECT("AbrR!$A$6:$ZZ$1048576"), MATCH(V$1, AbrR!$6:$6, 0), FALSE),
            0
        ) +
        IFERROR(
            VLOOKUP($A35, INDIRECT("MayR!$A$6:$ZZ$1048576"), MATCH(V$1, MayR!$6:$6, 0), FALSE),
            0
        ) +
        IFERROR(
            VLOOKUP($A35, INDIRECT("JunR!$A$6:$ZZ$1048576"), MATCH(V$1, JunR!$6:$6, 0), FALSE),
            0
        ) +
        IFERROR(
            VLOOKUP($A35, INDIRECT("JulR!$A$6:$ZZ$1048576"), MATCH(V$1, JulR!$6:$6, 0), FALSE),
            0
        ) +
        IFERROR(
            VLOOKUP($A35, INDIRECT("AgoR!$A$6:$ZZ$1048576"), MATCH(V$1, AgoR!$6:$6, 0), FALSE),
            0
        ) +
        IFERROR(
            VLOOKUP($A35, INDIRECT("SepR!$A$6:$ZZ$1048576"), MATCH(V$1, SepR!$6:$6, 0), FALSE),
            0
        ) +
        IFERROR(
            VLOOKUP($A35, INDIRECT("OctR!$A$6:$ZZ$1048576"), MATCH(V$1, OctR!$6:$6, 0), FALSE),
            0
        ) +
        IFERROR(
            VLOOKUP($A35, INDIRECT("NovR!$A$6:$ZZ$1048576"), MATCH(V$1, NovR!$6:$6, 0), FALSE),
            0
        ) +
        IFERROR(
            VLOOKUP($A35, INDIRECT("DicR!$A$6:$ZZ$1048576"), MATCH(V$1, DicR!$6:$6, 0), FALSE),
            0
        )
)</f>
        <v>0</v>
      </c>
      <c r="W35" s="37">
        <f t="array" ref="W35">SUM(
    IFERROR(
            VLOOKUP($A35, INDIRECT("EneR!$A$6:$ZZ$1048576"), MATCH(W$1, EneR!$6:$6, 0), FALSE),
            0
        ) +
        IFERROR(
            VLOOKUP($A35, INDIRECT("FebR!$A$6:$ZZ$1048576"), MATCH(W$1, FebR!$6:$6, 0), FALSE),
            0
        ) +
        IFERROR(
            VLOOKUP($A35, INDIRECT("MarR!$A$6:$ZZ$1048576"), MATCH(W$1, MarR!$6:$6, 0), FALSE),
            0
        ) +
        IFERROR(
            VLOOKUP($A35, INDIRECT("AbrR!$A$6:$ZZ$1048576"), MATCH(W$1, AbrR!$6:$6, 0), FALSE),
            0
        ) +
        IFERROR(
            VLOOKUP($A35, INDIRECT("MayR!$A$6:$ZZ$1048576"), MATCH(W$1, MayR!$6:$6, 0), FALSE),
            0
        ) +
        IFERROR(
            VLOOKUP($A35, INDIRECT("JunR!$A$6:$ZZ$1048576"), MATCH(W$1, JunR!$6:$6, 0), FALSE),
            0
        ) +
        IFERROR(
            VLOOKUP($A35, INDIRECT("JulR!$A$6:$ZZ$1048576"), MATCH(W$1, JulR!$6:$6, 0), FALSE),
            0
        ) +
        IFERROR(
            VLOOKUP($A35, INDIRECT("AgoR!$A$6:$ZZ$1048576"), MATCH(W$1, AgoR!$6:$6, 0), FALSE),
            0
        ) +
        IFERROR(
            VLOOKUP($A35, INDIRECT("SepR!$A$6:$ZZ$1048576"), MATCH(W$1, SepR!$6:$6, 0), FALSE),
            0
        ) +
        IFERROR(
            VLOOKUP($A35, INDIRECT("OctR!$A$6:$ZZ$1048576"), MATCH(W$1, OctR!$6:$6, 0), FALSE),
            0
        ) +
        IFERROR(
            VLOOKUP($A35, INDIRECT("NovR!$A$6:$ZZ$1048576"), MATCH(W$1, NovR!$6:$6, 0), FALSE),
            0
        ) +
        IFERROR(
            VLOOKUP($A35, INDIRECT("DicR!$A$6:$ZZ$1048576"), MATCH(W$1, DicR!$6:$6, 0), FALSE),
            0
        )
)</f>
        <v>0</v>
      </c>
      <c r="X35" s="36">
        <f t="array" ref="X35">SUM(
    IFERROR(
            VLOOKUP($A35, INDIRECT("EneR!$A$6:$ZZ$1048576"), MATCH(X$1, EneR!$6:$6, 0), FALSE),
            0
        ) +
        IFERROR(
            VLOOKUP($A35, INDIRECT("FebR!$A$6:$ZZ$1048576"), MATCH(X$1, FebR!$6:$6, 0), FALSE),
            0
        ) +
        IFERROR(
            VLOOKUP($A35, INDIRECT("MarR!$A$6:$ZZ$1048576"), MATCH(X$1, MarR!$6:$6, 0), FALSE),
            0
        ) +
        IFERROR(
            VLOOKUP($A35, INDIRECT("AbrR!$A$6:$ZZ$1048576"), MATCH(X$1, AbrR!$6:$6, 0), FALSE),
            0
        ) +
        IFERROR(
            VLOOKUP($A35, INDIRECT("MayR!$A$6:$ZZ$1048576"), MATCH(X$1, MayR!$6:$6, 0), FALSE),
            0
        ) +
        IFERROR(
            VLOOKUP($A35, INDIRECT("JunR!$A$6:$ZZ$1048576"), MATCH(X$1, JunR!$6:$6, 0), FALSE),
            0
        ) +
        IFERROR(
            VLOOKUP($A35, INDIRECT("JulR!$A$6:$ZZ$1048576"), MATCH(X$1, JulR!$6:$6, 0), FALSE),
            0
        ) +
        IFERROR(
            VLOOKUP($A35, INDIRECT("AgoR!$A$6:$ZZ$1048576"), MATCH(X$1, AgoR!$6:$6, 0), FALSE),
            0
        ) +
        IFERROR(
            VLOOKUP($A35, INDIRECT("SepR!$A$6:$ZZ$1048576"), MATCH(X$1, SepR!$6:$6, 0), FALSE),
            0
        ) +
        IFERROR(
            VLOOKUP($A35, INDIRECT("OctR!$A$6:$ZZ$1048576"), MATCH(X$1, OctR!$6:$6, 0), FALSE),
            0
        ) +
        IFERROR(
            VLOOKUP($A35, INDIRECT("NovR!$A$6:$ZZ$1048576"), MATCH(X$1, NovR!$6:$6, 0), FALSE),
            0
        ) +
        IFERROR(
            VLOOKUP($A35, INDIRECT("DicR!$A$6:$ZZ$1048576"), MATCH(X$1, DicR!$6:$6, 0), FALSE),
            0
        )
)</f>
        <v>0</v>
      </c>
      <c r="Y35" s="37">
        <f t="array" ref="Y35">SUM(
    IFERROR(
            VLOOKUP($A35, INDIRECT("EneR!$A$6:$ZZ$1048576"), MATCH(Y$1, EneR!$6:$6, 0), FALSE),
            0
        ) +
        IFERROR(
            VLOOKUP($A35, INDIRECT("FebR!$A$6:$ZZ$1048576"), MATCH(Y$1, FebR!$6:$6, 0), FALSE),
            0
        ) +
        IFERROR(
            VLOOKUP($A35, INDIRECT("MarR!$A$6:$ZZ$1048576"), MATCH(Y$1, MarR!$6:$6, 0), FALSE),
            0
        ) +
        IFERROR(
            VLOOKUP($A35, INDIRECT("AbrR!$A$6:$ZZ$1048576"), MATCH(Y$1, AbrR!$6:$6, 0), FALSE),
            0
        ) +
        IFERROR(
            VLOOKUP($A35, INDIRECT("MayR!$A$6:$ZZ$1048576"), MATCH(Y$1, MayR!$6:$6, 0), FALSE),
            0
        ) +
        IFERROR(
            VLOOKUP($A35, INDIRECT("JunR!$A$6:$ZZ$1048576"), MATCH(Y$1, JunR!$6:$6, 0), FALSE),
            0
        ) +
        IFERROR(
            VLOOKUP($A35, INDIRECT("JulR!$A$6:$ZZ$1048576"), MATCH(Y$1, JulR!$6:$6, 0), FALSE),
            0
        ) +
        IFERROR(
            VLOOKUP($A35, INDIRECT("AgoR!$A$6:$ZZ$1048576"), MATCH(Y$1, AgoR!$6:$6, 0), FALSE),
            0
        ) +
        IFERROR(
            VLOOKUP($A35, INDIRECT("SepR!$A$6:$ZZ$1048576"), MATCH(Y$1, SepR!$6:$6, 0), FALSE),
            0
        ) +
        IFERROR(
            VLOOKUP($A35, INDIRECT("OctR!$A$6:$ZZ$1048576"), MATCH(Y$1, OctR!$6:$6, 0), FALSE),
            0
        ) +
        IFERROR(
            VLOOKUP($A35, INDIRECT("NovR!$A$6:$ZZ$1048576"), MATCH(Y$1, NovR!$6:$6, 0), FALSE),
            0
        ) +
        IFERROR(
            VLOOKUP($A35, INDIRECT("DicR!$A$6:$ZZ$1048576"), MATCH(Y$1, DicR!$6:$6, 0), FALSE),
            0
        )
)</f>
        <v>0</v>
      </c>
      <c r="Z35" s="36">
        <f t="array" ref="Z35">SUM(
    IFERROR(
            VLOOKUP($A35, INDIRECT("EneR!$A$6:$ZZ$1048576"), MATCH(Z$1, EneR!$6:$6, 0), FALSE),
            0
        ) +
        IFERROR(
            VLOOKUP($A35, INDIRECT("FebR!$A$6:$ZZ$1048576"), MATCH(Z$1, FebR!$6:$6, 0), FALSE),
            0
        ) +
        IFERROR(
            VLOOKUP($A35, INDIRECT("MarR!$A$6:$ZZ$1048576"), MATCH(Z$1, MarR!$6:$6, 0), FALSE),
            0
        ) +
        IFERROR(
            VLOOKUP($A35, INDIRECT("AbrR!$A$6:$ZZ$1048576"), MATCH(Z$1, AbrR!$6:$6, 0), FALSE),
            0
        ) +
        IFERROR(
            VLOOKUP($A35, INDIRECT("MayR!$A$6:$ZZ$1048576"), MATCH(Z$1, MayR!$6:$6, 0), FALSE),
            0
        ) +
        IFERROR(
            VLOOKUP($A35, INDIRECT("JunR!$A$6:$ZZ$1048576"), MATCH(Z$1, JunR!$6:$6, 0), FALSE),
            0
        ) +
        IFERROR(
            VLOOKUP($A35, INDIRECT("JulR!$A$6:$ZZ$1048576"), MATCH(Z$1, JulR!$6:$6, 0), FALSE),
            0
        ) +
        IFERROR(
            VLOOKUP($A35, INDIRECT("AgoR!$A$6:$ZZ$1048576"), MATCH(Z$1, AgoR!$6:$6, 0), FALSE),
            0
        ) +
        IFERROR(
            VLOOKUP($A35, INDIRECT("SepR!$A$6:$ZZ$1048576"), MATCH(Z$1, SepR!$6:$6, 0), FALSE),
            0
        ) +
        IFERROR(
            VLOOKUP($A35, INDIRECT("OctR!$A$6:$ZZ$1048576"), MATCH(Z$1, OctR!$6:$6, 0), FALSE),
            0
        ) +
        IFERROR(
            VLOOKUP($A35, INDIRECT("NovR!$A$6:$ZZ$1048576"), MATCH(Z$1, NovR!$6:$6, 0), FALSE),
            0
        ) +
        IFERROR(
            VLOOKUP($A35, INDIRECT("DicR!$A$6:$ZZ$1048576"), MATCH(Z$1, DicR!$6:$6, 0), FALSE),
            0
        )
)</f>
        <v>0</v>
      </c>
      <c r="AA35" s="37">
        <f t="array" ref="AA35">SUM(
    IFERROR(
            VLOOKUP($A35, INDIRECT("EneR!$A$6:$ZZ$1048576"), MATCH(AA$1, EneR!$6:$6, 0), FALSE),
            0
        ) +
        IFERROR(
            VLOOKUP($A35, INDIRECT("FebR!$A$6:$ZZ$1048576"), MATCH(AA$1, FebR!$6:$6, 0), FALSE),
            0
        ) +
        IFERROR(
            VLOOKUP($A35, INDIRECT("MarR!$A$6:$ZZ$1048576"), MATCH(AA$1, MarR!$6:$6, 0), FALSE),
            0
        ) +
        IFERROR(
            VLOOKUP($A35, INDIRECT("AbrR!$A$6:$ZZ$1048576"), MATCH(AA$1, AbrR!$6:$6, 0), FALSE),
            0
        ) +
        IFERROR(
            VLOOKUP($A35, INDIRECT("MayR!$A$6:$ZZ$1048576"), MATCH(AA$1, MayR!$6:$6, 0), FALSE),
            0
        ) +
        IFERROR(
            VLOOKUP($A35, INDIRECT("JunR!$A$6:$ZZ$1048576"), MATCH(AA$1, JunR!$6:$6, 0), FALSE),
            0
        ) +
        IFERROR(
            VLOOKUP($A35, INDIRECT("JulR!$A$6:$ZZ$1048576"), MATCH(AA$1, JulR!$6:$6, 0), FALSE),
            0
        ) +
        IFERROR(
            VLOOKUP($A35, INDIRECT("AgoR!$A$6:$ZZ$1048576"), MATCH(AA$1, AgoR!$6:$6, 0), FALSE),
            0
        ) +
        IFERROR(
            VLOOKUP($A35, INDIRECT("SepR!$A$6:$ZZ$1048576"), MATCH(AA$1, SepR!$6:$6, 0), FALSE),
            0
        ) +
        IFERROR(
            VLOOKUP($A35, INDIRECT("OctR!$A$6:$ZZ$1048576"), MATCH(AA$1, OctR!$6:$6, 0), FALSE),
            0
        ) +
        IFERROR(
            VLOOKUP($A35, INDIRECT("NovR!$A$6:$ZZ$1048576"), MATCH(AA$1, NovR!$6:$6, 0), FALSE),
            0
        ) +
        IFERROR(
            VLOOKUP($A35, INDIRECT("DicR!$A$6:$ZZ$1048576"), MATCH(AA$1, DicR!$6:$6, 0), FALSE),
            0
        )
)</f>
        <v>0</v>
      </c>
      <c r="AB35" s="36">
        <f t="array" ref="AB35">SUM(
    IFERROR(
            VLOOKUP($A35, INDIRECT("EneR!$A$6:$ZZ$1048576"), MATCH(AB$1, EneR!$6:$6, 0), FALSE),
            0
        ) +
        IFERROR(
            VLOOKUP($A35, INDIRECT("FebR!$A$6:$ZZ$1048576"), MATCH(AB$1, FebR!$6:$6, 0), FALSE),
            0
        ) +
        IFERROR(
            VLOOKUP($A35, INDIRECT("MarR!$A$6:$ZZ$1048576"), MATCH(AB$1, MarR!$6:$6, 0), FALSE),
            0
        ) +
        IFERROR(
            VLOOKUP($A35, INDIRECT("AbrR!$A$6:$ZZ$1048576"), MATCH(AB$1, AbrR!$6:$6, 0), FALSE),
            0
        ) +
        IFERROR(
            VLOOKUP($A35, INDIRECT("MayR!$A$6:$ZZ$1048576"), MATCH(AB$1, MayR!$6:$6, 0), FALSE),
            0
        ) +
        IFERROR(
            VLOOKUP($A35, INDIRECT("JunR!$A$6:$ZZ$1048576"), MATCH(AB$1, JunR!$6:$6, 0), FALSE),
            0
        ) +
        IFERROR(
            VLOOKUP($A35, INDIRECT("JulR!$A$6:$ZZ$1048576"), MATCH(AB$1, JulR!$6:$6, 0), FALSE),
            0
        ) +
        IFERROR(
            VLOOKUP($A35, INDIRECT("AgoR!$A$6:$ZZ$1048576"), MATCH(AB$1, AgoR!$6:$6, 0), FALSE),
            0
        ) +
        IFERROR(
            VLOOKUP($A35, INDIRECT("SepR!$A$6:$ZZ$1048576"), MATCH(AB$1, SepR!$6:$6, 0), FALSE),
            0
        ) +
        IFERROR(
            VLOOKUP($A35, INDIRECT("OctR!$A$6:$ZZ$1048576"), MATCH(AB$1, OctR!$6:$6, 0), FALSE),
            0
        ) +
        IFERROR(
            VLOOKUP($A35, INDIRECT("NovR!$A$6:$ZZ$1048576"), MATCH(AB$1, NovR!$6:$6, 0), FALSE),
            0
        ) +
        IFERROR(
            VLOOKUP($A35, INDIRECT("DicR!$A$6:$ZZ$1048576"), MATCH(AB$1, DicR!$6:$6, 0), FALSE),
            0
        )
)</f>
        <v>0</v>
      </c>
      <c r="AC35" s="37">
        <f t="array" ref="AC35">SUM(
    IFERROR(
            VLOOKUP($A35, INDIRECT("EneR!$A$6:$ZZ$1048576"), MATCH(AC$1, EneR!$6:$6, 0), FALSE),
            0
        ) +
        IFERROR(
            VLOOKUP($A35, INDIRECT("FebR!$A$6:$ZZ$1048576"), MATCH(AC$1, FebR!$6:$6, 0), FALSE),
            0
        ) +
        IFERROR(
            VLOOKUP($A35, INDIRECT("MarR!$A$6:$ZZ$1048576"), MATCH(AC$1, MarR!$6:$6, 0), FALSE),
            0
        ) +
        IFERROR(
            VLOOKUP($A35, INDIRECT("AbrR!$A$6:$ZZ$1048576"), MATCH(AC$1, AbrR!$6:$6, 0), FALSE),
            0
        ) +
        IFERROR(
            VLOOKUP($A35, INDIRECT("MayR!$A$6:$ZZ$1048576"), MATCH(AC$1, MayR!$6:$6, 0), FALSE),
            0
        ) +
        IFERROR(
            VLOOKUP($A35, INDIRECT("JunR!$A$6:$ZZ$1048576"), MATCH(AC$1, JunR!$6:$6, 0), FALSE),
            0
        ) +
        IFERROR(
            VLOOKUP($A35, INDIRECT("JulR!$A$6:$ZZ$1048576"), MATCH(AC$1, JulR!$6:$6, 0), FALSE),
            0
        ) +
        IFERROR(
            VLOOKUP($A35, INDIRECT("AgoR!$A$6:$ZZ$1048576"), MATCH(AC$1, AgoR!$6:$6, 0), FALSE),
            0
        ) +
        IFERROR(
            VLOOKUP($A35, INDIRECT("SepR!$A$6:$ZZ$1048576"), MATCH(AC$1, SepR!$6:$6, 0), FALSE),
            0
        ) +
        IFERROR(
            VLOOKUP($A35, INDIRECT("OctR!$A$6:$ZZ$1048576"), MATCH(AC$1, OctR!$6:$6, 0), FALSE),
            0
        ) +
        IFERROR(
            VLOOKUP($A35, INDIRECT("NovR!$A$6:$ZZ$1048576"), MATCH(AC$1, NovR!$6:$6, 0), FALSE),
            0
        ) +
        IFERROR(
            VLOOKUP($A35, INDIRECT("DicR!$A$6:$ZZ$1048576"), MATCH(AC$1, DicR!$6:$6, 0), FALSE),
            0
        )
)</f>
        <v>0</v>
      </c>
      <c r="AD35" s="36">
        <f t="array" ref="AD35">SUM(
    IFERROR(
            VLOOKUP($A35, INDIRECT("EneR!$A$6:$ZZ$1048576"), MATCH(AD$1, EneR!$6:$6, 0), FALSE),
            0
        ) +
        IFERROR(
            VLOOKUP($A35, INDIRECT("FebR!$A$6:$ZZ$1048576"), MATCH(AD$1, FebR!$6:$6, 0), FALSE),
            0
        ) +
        IFERROR(
            VLOOKUP($A35, INDIRECT("MarR!$A$6:$ZZ$1048576"), MATCH(AD$1, MarR!$6:$6, 0), FALSE),
            0
        ) +
        IFERROR(
            VLOOKUP($A35, INDIRECT("AbrR!$A$6:$ZZ$1048576"), MATCH(AD$1, AbrR!$6:$6, 0), FALSE),
            0
        ) +
        IFERROR(
            VLOOKUP($A35, INDIRECT("MayR!$A$6:$ZZ$1048576"), MATCH(AD$1, MayR!$6:$6, 0), FALSE),
            0
        ) +
        IFERROR(
            VLOOKUP($A35, INDIRECT("JunR!$A$6:$ZZ$1048576"), MATCH(AD$1, JunR!$6:$6, 0), FALSE),
            0
        ) +
        IFERROR(
            VLOOKUP($A35, INDIRECT("JulR!$A$6:$ZZ$1048576"), MATCH(AD$1, JulR!$6:$6, 0), FALSE),
            0
        ) +
        IFERROR(
            VLOOKUP($A35, INDIRECT("AgoR!$A$6:$ZZ$1048576"), MATCH(AD$1, AgoR!$6:$6, 0), FALSE),
            0
        ) +
        IFERROR(
            VLOOKUP($A35, INDIRECT("SepR!$A$6:$ZZ$1048576"), MATCH(AD$1, SepR!$6:$6, 0), FALSE),
            0
        ) +
        IFERROR(
            VLOOKUP($A35, INDIRECT("OctR!$A$6:$ZZ$1048576"), MATCH(AD$1, OctR!$6:$6, 0), FALSE),
            0
        ) +
        IFERROR(
            VLOOKUP($A35, INDIRECT("NovR!$A$6:$ZZ$1048576"), MATCH(AD$1, NovR!$6:$6, 0), FALSE),
            0
        ) +
        IFERROR(
            VLOOKUP($A35, INDIRECT("DicR!$A$6:$ZZ$1048576"), MATCH(AD$1, DicR!$6:$6, 0), FALSE),
            0
        )
)</f>
        <v>0</v>
      </c>
      <c r="AE35" s="37">
        <f t="array" ref="AE35">SUM(
    IFERROR(
            VLOOKUP($A35, INDIRECT("EneR!$A$6:$ZZ$1048576"), MATCH(AE$1, EneR!$6:$6, 0), FALSE),
            0
        ) +
        IFERROR(
            VLOOKUP($A35, INDIRECT("FebR!$A$6:$ZZ$1048576"), MATCH(AE$1, FebR!$6:$6, 0), FALSE),
            0
        ) +
        IFERROR(
            VLOOKUP($A35, INDIRECT("MarR!$A$6:$ZZ$1048576"), MATCH(AE$1, MarR!$6:$6, 0), FALSE),
            0
        ) +
        IFERROR(
            VLOOKUP($A35, INDIRECT("AbrR!$A$6:$ZZ$1048576"), MATCH(AE$1, AbrR!$6:$6, 0), FALSE),
            0
        ) +
        IFERROR(
            VLOOKUP($A35, INDIRECT("MayR!$A$6:$ZZ$1048576"), MATCH(AE$1, MayR!$6:$6, 0), FALSE),
            0
        ) +
        IFERROR(
            VLOOKUP($A35, INDIRECT("JunR!$A$6:$ZZ$1048576"), MATCH(AE$1, JunR!$6:$6, 0), FALSE),
            0
        ) +
        IFERROR(
            VLOOKUP($A35, INDIRECT("JulR!$A$6:$ZZ$1048576"), MATCH(AE$1, JulR!$6:$6, 0), FALSE),
            0
        ) +
        IFERROR(
            VLOOKUP($A35, INDIRECT("AgoR!$A$6:$ZZ$1048576"), MATCH(AE$1, AgoR!$6:$6, 0), FALSE),
            0
        ) +
        IFERROR(
            VLOOKUP($A35, INDIRECT("SepR!$A$6:$ZZ$1048576"), MATCH(AE$1, SepR!$6:$6, 0), FALSE),
            0
        ) +
        IFERROR(
            VLOOKUP($A35, INDIRECT("OctR!$A$6:$ZZ$1048576"), MATCH(AE$1, OctR!$6:$6, 0), FALSE),
            0
        ) +
        IFERROR(
            VLOOKUP($A35, INDIRECT("NovR!$A$6:$ZZ$1048576"), MATCH(AE$1, NovR!$6:$6, 0), FALSE),
            0
        ) +
        IFERROR(
            VLOOKUP($A35, INDIRECT("DicR!$A$6:$ZZ$1048576"), MATCH(AE$1, DicR!$6:$6, 0), FALSE),
            0
        )
)</f>
        <v>0</v>
      </c>
      <c r="AF35" s="36">
        <f t="array" ref="AF35">SUM(
    IFERROR(
            VLOOKUP($A35, INDIRECT("EneR!$A$6:$ZZ$1048576"), MATCH(AF$1, EneR!$6:$6, 0), FALSE),
            0
        ) +
        IFERROR(
            VLOOKUP($A35, INDIRECT("FebR!$A$6:$ZZ$1048576"), MATCH(AF$1, FebR!$6:$6, 0), FALSE),
            0
        ) +
        IFERROR(
            VLOOKUP($A35, INDIRECT("MarR!$A$6:$ZZ$1048576"), MATCH(AF$1, MarR!$6:$6, 0), FALSE),
            0
        ) +
        IFERROR(
            VLOOKUP($A35, INDIRECT("AbrR!$A$6:$ZZ$1048576"), MATCH(AF$1, AbrR!$6:$6, 0), FALSE),
            0
        ) +
        IFERROR(
            VLOOKUP($A35, INDIRECT("MayR!$A$6:$ZZ$1048576"), MATCH(AF$1, MayR!$6:$6, 0), FALSE),
            0
        ) +
        IFERROR(
            VLOOKUP($A35, INDIRECT("JunR!$A$6:$ZZ$1048576"), MATCH(AF$1, JunR!$6:$6, 0), FALSE),
            0
        ) +
        IFERROR(
            VLOOKUP($A35, INDIRECT("JulR!$A$6:$ZZ$1048576"), MATCH(AF$1, JulR!$6:$6, 0), FALSE),
            0
        ) +
        IFERROR(
            VLOOKUP($A35, INDIRECT("AgoR!$A$6:$ZZ$1048576"), MATCH(AF$1, AgoR!$6:$6, 0), FALSE),
            0
        ) +
        IFERROR(
            VLOOKUP($A35, INDIRECT("SepR!$A$6:$ZZ$1048576"), MATCH(AF$1, SepR!$6:$6, 0), FALSE),
            0
        ) +
        IFERROR(
            VLOOKUP($A35, INDIRECT("OctR!$A$6:$ZZ$1048576"), MATCH(AF$1, OctR!$6:$6, 0), FALSE),
            0
        ) +
        IFERROR(
            VLOOKUP($A35, INDIRECT("NovR!$A$6:$ZZ$1048576"), MATCH(AF$1, NovR!$6:$6, 0), FALSE),
            0
        ) +
        IFERROR(
            VLOOKUP($A35, INDIRECT("DicR!$A$6:$ZZ$1048576"), MATCH(AF$1, DicR!$6:$6, 0), FALSE),
            0
        )
)</f>
        <v>0</v>
      </c>
      <c r="AG35" s="37">
        <f t="array" ref="AG35">SUM(
    IFERROR(
            VLOOKUP($A35, INDIRECT("EneR!$A$6:$ZZ$1048576"), MATCH(AG$1, EneR!$6:$6, 0), FALSE),
            0
        ) +
        IFERROR(
            VLOOKUP($A35, INDIRECT("FebR!$A$6:$ZZ$1048576"), MATCH(AG$1, FebR!$6:$6, 0), FALSE),
            0
        ) +
        IFERROR(
            VLOOKUP($A35, INDIRECT("MarR!$A$6:$ZZ$1048576"), MATCH(AG$1, MarR!$6:$6, 0), FALSE),
            0
        ) +
        IFERROR(
            VLOOKUP($A35, INDIRECT("AbrR!$A$6:$ZZ$1048576"), MATCH(AG$1, AbrR!$6:$6, 0), FALSE),
            0
        ) +
        IFERROR(
            VLOOKUP($A35, INDIRECT("MayR!$A$6:$ZZ$1048576"), MATCH(AG$1, MayR!$6:$6, 0), FALSE),
            0
        ) +
        IFERROR(
            VLOOKUP($A35, INDIRECT("JunR!$A$6:$ZZ$1048576"), MATCH(AG$1, JunR!$6:$6, 0), FALSE),
            0
        ) +
        IFERROR(
            VLOOKUP($A35, INDIRECT("JulR!$A$6:$ZZ$1048576"), MATCH(AG$1, JulR!$6:$6, 0), FALSE),
            0
        ) +
        IFERROR(
            VLOOKUP($A35, INDIRECT("AgoR!$A$6:$ZZ$1048576"), MATCH(AG$1, AgoR!$6:$6, 0), FALSE),
            0
        ) +
        IFERROR(
            VLOOKUP($A35, INDIRECT("SepR!$A$6:$ZZ$1048576"), MATCH(AG$1, SepR!$6:$6, 0), FALSE),
            0
        ) +
        IFERROR(
            VLOOKUP($A35, INDIRECT("OctR!$A$6:$ZZ$1048576"), MATCH(AG$1, OctR!$6:$6, 0), FALSE),
            0
        ) +
        IFERROR(
            VLOOKUP($A35, INDIRECT("NovR!$A$6:$ZZ$1048576"), MATCH(AG$1, NovR!$6:$6, 0), FALSE),
            0
        ) +
        IFERROR(
            VLOOKUP($A35, INDIRECT("DicR!$A$6:$ZZ$1048576"), MATCH(AG$1, DicR!$6:$6, 0), FALSE),
            0
        )
)</f>
        <v>0</v>
      </c>
      <c r="AH35" s="36">
        <f t="array" ref="AH35">SUM(
    IFERROR(
            VLOOKUP($A35, INDIRECT("EneR!$A$6:$ZZ$1048576"), MATCH(AH$1, EneR!$6:$6, 0), FALSE),
            0
        ) +
        IFERROR(
            VLOOKUP($A35, INDIRECT("FebR!$A$6:$ZZ$1048576"), MATCH(AH$1, FebR!$6:$6, 0), FALSE),
            0
        ) +
        IFERROR(
            VLOOKUP($A35, INDIRECT("MarR!$A$6:$ZZ$1048576"), MATCH(AH$1, MarR!$6:$6, 0), FALSE),
            0
        ) +
        IFERROR(
            VLOOKUP($A35, INDIRECT("AbrR!$A$6:$ZZ$1048576"), MATCH(AH$1, AbrR!$6:$6, 0), FALSE),
            0
        ) +
        IFERROR(
            VLOOKUP($A35, INDIRECT("MayR!$A$6:$ZZ$1048576"), MATCH(AH$1, MayR!$6:$6, 0), FALSE),
            0
        ) +
        IFERROR(
            VLOOKUP($A35, INDIRECT("JunR!$A$6:$ZZ$1048576"), MATCH(AH$1, JunR!$6:$6, 0), FALSE),
            0
        ) +
        IFERROR(
            VLOOKUP($A35, INDIRECT("JulR!$A$6:$ZZ$1048576"), MATCH(AH$1, JulR!$6:$6, 0), FALSE),
            0
        ) +
        IFERROR(
            VLOOKUP($A35, INDIRECT("AgoR!$A$6:$ZZ$1048576"), MATCH(AH$1, AgoR!$6:$6, 0), FALSE),
            0
        ) +
        IFERROR(
            VLOOKUP($A35, INDIRECT("SepR!$A$6:$ZZ$1048576"), MATCH(AH$1, SepR!$6:$6, 0), FALSE),
            0
        ) +
        IFERROR(
            VLOOKUP($A35, INDIRECT("OctR!$A$6:$ZZ$1048576"), MATCH(AH$1, OctR!$6:$6, 0), FALSE),
            0
        ) +
        IFERROR(
            VLOOKUP($A35, INDIRECT("NovR!$A$6:$ZZ$1048576"), MATCH(AH$1, NovR!$6:$6, 0), FALSE),
            0
        ) +
        IFERROR(
            VLOOKUP($A35, INDIRECT("DicR!$A$6:$ZZ$1048576"), MATCH(AH$1, DicR!$6:$6, 0), FALSE),
            0
        )
)</f>
        <v>0</v>
      </c>
      <c r="AI35" s="37">
        <f t="array" ref="AI35">SUM(
    IFERROR(
            VLOOKUP($A35, INDIRECT("EneR!$A$6:$ZZ$1048576"), MATCH(AI$1, EneR!$6:$6, 0), FALSE),
            0
        ) +
        IFERROR(
            VLOOKUP($A35, INDIRECT("FebR!$A$6:$ZZ$1048576"), MATCH(AI$1, FebR!$6:$6, 0), FALSE),
            0
        ) +
        IFERROR(
            VLOOKUP($A35, INDIRECT("MarR!$A$6:$ZZ$1048576"), MATCH(AI$1, MarR!$6:$6, 0), FALSE),
            0
        ) +
        IFERROR(
            VLOOKUP($A35, INDIRECT("AbrR!$A$6:$ZZ$1048576"), MATCH(AI$1, AbrR!$6:$6, 0), FALSE),
            0
        ) +
        IFERROR(
            VLOOKUP($A35, INDIRECT("MayR!$A$6:$ZZ$1048576"), MATCH(AI$1, MayR!$6:$6, 0), FALSE),
            0
        ) +
        IFERROR(
            VLOOKUP($A35, INDIRECT("JunR!$A$6:$ZZ$1048576"), MATCH(AI$1, JunR!$6:$6, 0), FALSE),
            0
        ) +
        IFERROR(
            VLOOKUP($A35, INDIRECT("JulR!$A$6:$ZZ$1048576"), MATCH(AI$1, JulR!$6:$6, 0), FALSE),
            0
        ) +
        IFERROR(
            VLOOKUP($A35, INDIRECT("AgoR!$A$6:$ZZ$1048576"), MATCH(AI$1, AgoR!$6:$6, 0), FALSE),
            0
        ) +
        IFERROR(
            VLOOKUP($A35, INDIRECT("SepR!$A$6:$ZZ$1048576"), MATCH(AI$1, SepR!$6:$6, 0), FALSE),
            0
        ) +
        IFERROR(
            VLOOKUP($A35, INDIRECT("OctR!$A$6:$ZZ$1048576"), MATCH(AI$1, OctR!$6:$6, 0), FALSE),
            0
        ) +
        IFERROR(
            VLOOKUP($A35, INDIRECT("NovR!$A$6:$ZZ$1048576"), MATCH(AI$1, NovR!$6:$6, 0), FALSE),
            0
        ) +
        IFERROR(
            VLOOKUP($A35, INDIRECT("DicR!$A$6:$ZZ$1048576"), MATCH(AI$1, DicR!$6:$6, 0), FALSE),
            0
        )
)</f>
        <v>0</v>
      </c>
      <c r="AJ35" s="36">
        <f t="array" ref="AJ35">SUM(
    IFERROR(
            VLOOKUP($A35, INDIRECT("EneR!$A$6:$ZZ$1048576"), MATCH(AJ$1, EneR!$6:$6, 0), FALSE),
            0
        ) +
        IFERROR(
            VLOOKUP($A35, INDIRECT("FebR!$A$6:$ZZ$1048576"), MATCH(AJ$1, FebR!$6:$6, 0), FALSE),
            0
        ) +
        IFERROR(
            VLOOKUP($A35, INDIRECT("MarR!$A$6:$ZZ$1048576"), MATCH(AJ$1, MarR!$6:$6, 0), FALSE),
            0
        ) +
        IFERROR(
            VLOOKUP($A35, INDIRECT("AbrR!$A$6:$ZZ$1048576"), MATCH(AJ$1, AbrR!$6:$6, 0), FALSE),
            0
        ) +
        IFERROR(
            VLOOKUP($A35, INDIRECT("MayR!$A$6:$ZZ$1048576"), MATCH(AJ$1, MayR!$6:$6, 0), FALSE),
            0
        ) +
        IFERROR(
            VLOOKUP($A35, INDIRECT("JunR!$A$6:$ZZ$1048576"), MATCH(AJ$1, JunR!$6:$6, 0), FALSE),
            0
        ) +
        IFERROR(
            VLOOKUP($A35, INDIRECT("JulR!$A$6:$ZZ$1048576"), MATCH(AJ$1, JulR!$6:$6, 0), FALSE),
            0
        ) +
        IFERROR(
            VLOOKUP($A35, INDIRECT("AgoR!$A$6:$ZZ$1048576"), MATCH(AJ$1, AgoR!$6:$6, 0), FALSE),
            0
        ) +
        IFERROR(
            VLOOKUP($A35, INDIRECT("SepR!$A$6:$ZZ$1048576"), MATCH(AJ$1, SepR!$6:$6, 0), FALSE),
            0
        ) +
        IFERROR(
            VLOOKUP($A35, INDIRECT("OctR!$A$6:$ZZ$1048576"), MATCH(AJ$1, OctR!$6:$6, 0), FALSE),
            0
        ) +
        IFERROR(
            VLOOKUP($A35, INDIRECT("NovR!$A$6:$ZZ$1048576"), MATCH(AJ$1, NovR!$6:$6, 0), FALSE),
            0
        ) +
        IFERROR(
            VLOOKUP($A35, INDIRECT("DicR!$A$6:$ZZ$1048576"), MATCH(AJ$1, DicR!$6:$6, 0), FALSE),
            0
        )
)</f>
        <v>0</v>
      </c>
      <c r="AK35" s="37">
        <f t="array" ref="AK35">SUM(
    IFERROR(
            VLOOKUP($A35, INDIRECT("EneR!$A$6:$ZZ$1048576"), MATCH(AK$1, EneR!$6:$6, 0), FALSE),
            0
        ) +
        IFERROR(
            VLOOKUP($A35, INDIRECT("FebR!$A$6:$ZZ$1048576"), MATCH(AK$1, FebR!$6:$6, 0), FALSE),
            0
        ) +
        IFERROR(
            VLOOKUP($A35, INDIRECT("MarR!$A$6:$ZZ$1048576"), MATCH(AK$1, MarR!$6:$6, 0), FALSE),
            0
        ) +
        IFERROR(
            VLOOKUP($A35, INDIRECT("AbrR!$A$6:$ZZ$1048576"), MATCH(AK$1, AbrR!$6:$6, 0), FALSE),
            0
        ) +
        IFERROR(
            VLOOKUP($A35, INDIRECT("MayR!$A$6:$ZZ$1048576"), MATCH(AK$1, MayR!$6:$6, 0), FALSE),
            0
        ) +
        IFERROR(
            VLOOKUP($A35, INDIRECT("JunR!$A$6:$ZZ$1048576"), MATCH(AK$1, JunR!$6:$6, 0), FALSE),
            0
        ) +
        IFERROR(
            VLOOKUP($A35, INDIRECT("JulR!$A$6:$ZZ$1048576"), MATCH(AK$1, JulR!$6:$6, 0), FALSE),
            0
        ) +
        IFERROR(
            VLOOKUP($A35, INDIRECT("AgoR!$A$6:$ZZ$1048576"), MATCH(AK$1, AgoR!$6:$6, 0), FALSE),
            0
        ) +
        IFERROR(
            VLOOKUP($A35, INDIRECT("SepR!$A$6:$ZZ$1048576"), MATCH(AK$1, SepR!$6:$6, 0), FALSE),
            0
        ) +
        IFERROR(
            VLOOKUP($A35, INDIRECT("OctR!$A$6:$ZZ$1048576"), MATCH(AK$1, OctR!$6:$6, 0), FALSE),
            0
        ) +
        IFERROR(
            VLOOKUP($A35, INDIRECT("NovR!$A$6:$ZZ$1048576"), MATCH(AK$1, NovR!$6:$6, 0), FALSE),
            0
        ) +
        IFERROR(
            VLOOKUP($A35, INDIRECT("DicR!$A$6:$ZZ$1048576"), MATCH(AK$1, DicR!$6:$6, 0), FALSE),
            0
        )
)</f>
        <v>0</v>
      </c>
      <c r="AL35" s="36">
        <f t="array" ref="AL35">SUM(
    IFERROR(
            VLOOKUP($A35, INDIRECT("EneR!$A$6:$ZZ$1048576"), MATCH(AL$1, EneR!$6:$6, 0), FALSE),
            0
        ) +
        IFERROR(
            VLOOKUP($A35, INDIRECT("FebR!$A$6:$ZZ$1048576"), MATCH(AL$1, FebR!$6:$6, 0), FALSE),
            0
        ) +
        IFERROR(
            VLOOKUP($A35, INDIRECT("MarR!$A$6:$ZZ$1048576"), MATCH(AL$1, MarR!$6:$6, 0), FALSE),
            0
        ) +
        IFERROR(
            VLOOKUP($A35, INDIRECT("AbrR!$A$6:$ZZ$1048576"), MATCH(AL$1, AbrR!$6:$6, 0), FALSE),
            0
        ) +
        IFERROR(
            VLOOKUP($A35, INDIRECT("MayR!$A$6:$ZZ$1048576"), MATCH(AL$1, MayR!$6:$6, 0), FALSE),
            0
        ) +
        IFERROR(
            VLOOKUP($A35, INDIRECT("JunR!$A$6:$ZZ$1048576"), MATCH(AL$1, JunR!$6:$6, 0), FALSE),
            0
        ) +
        IFERROR(
            VLOOKUP($A35, INDIRECT("JulR!$A$6:$ZZ$1048576"), MATCH(AL$1, JulR!$6:$6, 0), FALSE),
            0
        ) +
        IFERROR(
            VLOOKUP($A35, INDIRECT("AgoR!$A$6:$ZZ$1048576"), MATCH(AL$1, AgoR!$6:$6, 0), FALSE),
            0
        ) +
        IFERROR(
            VLOOKUP($A35, INDIRECT("SepR!$A$6:$ZZ$1048576"), MATCH(AL$1, SepR!$6:$6, 0), FALSE),
            0
        ) +
        IFERROR(
            VLOOKUP($A35, INDIRECT("OctR!$A$6:$ZZ$1048576"), MATCH(AL$1, OctR!$6:$6, 0), FALSE),
            0
        ) +
        IFERROR(
            VLOOKUP($A35, INDIRECT("NovR!$A$6:$ZZ$1048576"), MATCH(AL$1, NovR!$6:$6, 0), FALSE),
            0
        ) +
        IFERROR(
            VLOOKUP($A35, INDIRECT("DicR!$A$6:$ZZ$1048576"), MATCH(AL$1, DicR!$6:$6, 0), FALSE),
            0
        )
)</f>
        <v>0</v>
      </c>
      <c r="AM35" s="37">
        <f t="array" ref="AM35">SUM(
    IFERROR(
            VLOOKUP($A35, INDIRECT("EneR!$A$6:$ZZ$1048576"), MATCH(AM$1, EneR!$6:$6, 0), FALSE),
            0
        ) +
        IFERROR(
            VLOOKUP($A35, INDIRECT("FebR!$A$6:$ZZ$1048576"), MATCH(AM$1, FebR!$6:$6, 0), FALSE),
            0
        ) +
        IFERROR(
            VLOOKUP($A35, INDIRECT("MarR!$A$6:$ZZ$1048576"), MATCH(AM$1, MarR!$6:$6, 0), FALSE),
            0
        ) +
        IFERROR(
            VLOOKUP($A35, INDIRECT("AbrR!$A$6:$ZZ$1048576"), MATCH(AM$1, AbrR!$6:$6, 0), FALSE),
            0
        ) +
        IFERROR(
            VLOOKUP($A35, INDIRECT("MayR!$A$6:$ZZ$1048576"), MATCH(AM$1, MayR!$6:$6, 0), FALSE),
            0
        ) +
        IFERROR(
            VLOOKUP($A35, INDIRECT("JunR!$A$6:$ZZ$1048576"), MATCH(AM$1, JunR!$6:$6, 0), FALSE),
            0
        ) +
        IFERROR(
            VLOOKUP($A35, INDIRECT("JulR!$A$6:$ZZ$1048576"), MATCH(AM$1, JulR!$6:$6, 0), FALSE),
            0
        ) +
        IFERROR(
            VLOOKUP($A35, INDIRECT("AgoR!$A$6:$ZZ$1048576"), MATCH(AM$1, AgoR!$6:$6, 0), FALSE),
            0
        ) +
        IFERROR(
            VLOOKUP($A35, INDIRECT("SepR!$A$6:$ZZ$1048576"), MATCH(AM$1, SepR!$6:$6, 0), FALSE),
            0
        ) +
        IFERROR(
            VLOOKUP($A35, INDIRECT("OctR!$A$6:$ZZ$1048576"), MATCH(AM$1, OctR!$6:$6, 0), FALSE),
            0
        ) +
        IFERROR(
            VLOOKUP($A35, INDIRECT("NovR!$A$6:$ZZ$1048576"), MATCH(AM$1, NovR!$6:$6, 0), FALSE),
            0
        ) +
        IFERROR(
            VLOOKUP($A35, INDIRECT("DicR!$A$6:$ZZ$1048576"), MATCH(AM$1, DicR!$6:$6, 0), FALSE),
            0
        )
)</f>
        <v>0</v>
      </c>
      <c r="AN35" s="36">
        <f t="array" ref="AN35">SUM(
    IFERROR(
            VLOOKUP($A35, INDIRECT("EneR!$A$6:$ZZ$1048576"), MATCH(AN$1, EneR!$6:$6, 0), FALSE),
            0
        ) +
        IFERROR(
            VLOOKUP($A35, INDIRECT("FebR!$A$6:$ZZ$1048576"), MATCH(AN$1, FebR!$6:$6, 0), FALSE),
            0
        ) +
        IFERROR(
            VLOOKUP($A35, INDIRECT("MarR!$A$6:$ZZ$1048576"), MATCH(AN$1, MarR!$6:$6, 0), FALSE),
            0
        ) +
        IFERROR(
            VLOOKUP($A35, INDIRECT("AbrR!$A$6:$ZZ$1048576"), MATCH(AN$1, AbrR!$6:$6, 0), FALSE),
            0
        ) +
        IFERROR(
            VLOOKUP($A35, INDIRECT("MayR!$A$6:$ZZ$1048576"), MATCH(AN$1, MayR!$6:$6, 0), FALSE),
            0
        ) +
        IFERROR(
            VLOOKUP($A35, INDIRECT("JunR!$A$6:$ZZ$1048576"), MATCH(AN$1, JunR!$6:$6, 0), FALSE),
            0
        ) +
        IFERROR(
            VLOOKUP($A35, INDIRECT("JulR!$A$6:$ZZ$1048576"), MATCH(AN$1, JulR!$6:$6, 0), FALSE),
            0
        ) +
        IFERROR(
            VLOOKUP($A35, INDIRECT("AgoR!$A$6:$ZZ$1048576"), MATCH(AN$1, AgoR!$6:$6, 0), FALSE),
            0
        ) +
        IFERROR(
            VLOOKUP($A35, INDIRECT("SepR!$A$6:$ZZ$1048576"), MATCH(AN$1, SepR!$6:$6, 0), FALSE),
            0
        ) +
        IFERROR(
            VLOOKUP($A35, INDIRECT("OctR!$A$6:$ZZ$1048576"), MATCH(AN$1, OctR!$6:$6, 0), FALSE),
            0
        ) +
        IFERROR(
            VLOOKUP($A35, INDIRECT("NovR!$A$6:$ZZ$1048576"), MATCH(AN$1, NovR!$6:$6, 0), FALSE),
            0
        ) +
        IFERROR(
            VLOOKUP($A35, INDIRECT("DicR!$A$6:$ZZ$1048576"), MATCH(AN$1, DicR!$6:$6, 0), FALSE),
            0
        )
)</f>
        <v>0</v>
      </c>
      <c r="AO35" s="37">
        <f t="array" ref="AO35">SUM(
    IFERROR(
            VLOOKUP($A35, INDIRECT("EneR!$A$6:$ZZ$1048576"), MATCH(AO$1, EneR!$6:$6, 0), FALSE),
            0
        ) +
        IFERROR(
            VLOOKUP($A35, INDIRECT("FebR!$A$6:$ZZ$1048576"), MATCH(AO$1, FebR!$6:$6, 0), FALSE),
            0
        ) +
        IFERROR(
            VLOOKUP($A35, INDIRECT("MarR!$A$6:$ZZ$1048576"), MATCH(AO$1, MarR!$6:$6, 0), FALSE),
            0
        ) +
        IFERROR(
            VLOOKUP($A35, INDIRECT("AbrR!$A$6:$ZZ$1048576"), MATCH(AO$1, AbrR!$6:$6, 0), FALSE),
            0
        ) +
        IFERROR(
            VLOOKUP($A35, INDIRECT("MayR!$A$6:$ZZ$1048576"), MATCH(AO$1, MayR!$6:$6, 0), FALSE),
            0
        ) +
        IFERROR(
            VLOOKUP($A35, INDIRECT("JunR!$A$6:$ZZ$1048576"), MATCH(AO$1, JunR!$6:$6, 0), FALSE),
            0
        ) +
        IFERROR(
            VLOOKUP($A35, INDIRECT("JulR!$A$6:$ZZ$1048576"), MATCH(AO$1, JulR!$6:$6, 0), FALSE),
            0
        ) +
        IFERROR(
            VLOOKUP($A35, INDIRECT("AgoR!$A$6:$ZZ$1048576"), MATCH(AO$1, AgoR!$6:$6, 0), FALSE),
            0
        ) +
        IFERROR(
            VLOOKUP($A35, INDIRECT("SepR!$A$6:$ZZ$1048576"), MATCH(AO$1, SepR!$6:$6, 0), FALSE),
            0
        ) +
        IFERROR(
            VLOOKUP($A35, INDIRECT("OctR!$A$6:$ZZ$1048576"), MATCH(AO$1, OctR!$6:$6, 0), FALSE),
            0
        ) +
        IFERROR(
            VLOOKUP($A35, INDIRECT("NovR!$A$6:$ZZ$1048576"), MATCH(AO$1, NovR!$6:$6, 0), FALSE),
            0
        ) +
        IFERROR(
            VLOOKUP($A35, INDIRECT("DicR!$A$6:$ZZ$1048576"), MATCH(AO$1, DicR!$6:$6, 0), FALSE),
            0
        )
)</f>
        <v>0</v>
      </c>
      <c r="AP35" s="36">
        <f t="array" ref="AP35">SUM(
    IFERROR(
            VLOOKUP($A35, INDIRECT("EneR!$A$6:$ZZ$1048576"), MATCH(AP$1, EneR!$6:$6, 0), FALSE),
            0
        ) +
        IFERROR(
            VLOOKUP($A35, INDIRECT("FebR!$A$6:$ZZ$1048576"), MATCH(AP$1, FebR!$6:$6, 0), FALSE),
            0
        ) +
        IFERROR(
            VLOOKUP($A35, INDIRECT("MarR!$A$6:$ZZ$1048576"), MATCH(AP$1, MarR!$6:$6, 0), FALSE),
            0
        ) +
        IFERROR(
            VLOOKUP($A35, INDIRECT("AbrR!$A$6:$ZZ$1048576"), MATCH(AP$1, AbrR!$6:$6, 0), FALSE),
            0
        ) +
        IFERROR(
            VLOOKUP($A35, INDIRECT("MayR!$A$6:$ZZ$1048576"), MATCH(AP$1, MayR!$6:$6, 0), FALSE),
            0
        ) +
        IFERROR(
            VLOOKUP($A35, INDIRECT("JunR!$A$6:$ZZ$1048576"), MATCH(AP$1, JunR!$6:$6, 0), FALSE),
            0
        ) +
        IFERROR(
            VLOOKUP($A35, INDIRECT("JulR!$A$6:$ZZ$1048576"), MATCH(AP$1, JulR!$6:$6, 0), FALSE),
            0
        ) +
        IFERROR(
            VLOOKUP($A35, INDIRECT("AgoR!$A$6:$ZZ$1048576"), MATCH(AP$1, AgoR!$6:$6, 0), FALSE),
            0
        ) +
        IFERROR(
            VLOOKUP($A35, INDIRECT("SepR!$A$6:$ZZ$1048576"), MATCH(AP$1, SepR!$6:$6, 0), FALSE),
            0
        ) +
        IFERROR(
            VLOOKUP($A35, INDIRECT("OctR!$A$6:$ZZ$1048576"), MATCH(AP$1, OctR!$6:$6, 0), FALSE),
            0
        ) +
        IFERROR(
            VLOOKUP($A35, INDIRECT("NovR!$A$6:$ZZ$1048576"), MATCH(AP$1, NovR!$6:$6, 0), FALSE),
            0
        ) +
        IFERROR(
            VLOOKUP($A35, INDIRECT("DicR!$A$6:$ZZ$1048576"), MATCH(AP$1, DicR!$6:$6, 0), FALSE),
            0
        )
)</f>
        <v>0</v>
      </c>
      <c r="AQ35" s="37">
        <f t="array" ref="AQ35">SUM(
    IFERROR(
            VLOOKUP($A35, INDIRECT("EneR!$A$6:$ZZ$1048576"), MATCH(AQ$1, EneR!$6:$6, 0), FALSE),
            0
        ) +
        IFERROR(
            VLOOKUP($A35, INDIRECT("FebR!$A$6:$ZZ$1048576"), MATCH(AQ$1, FebR!$6:$6, 0), FALSE),
            0
        ) +
        IFERROR(
            VLOOKUP($A35, INDIRECT("MarR!$A$6:$ZZ$1048576"), MATCH(AQ$1, MarR!$6:$6, 0), FALSE),
            0
        ) +
        IFERROR(
            VLOOKUP($A35, INDIRECT("AbrR!$A$6:$ZZ$1048576"), MATCH(AQ$1, AbrR!$6:$6, 0), FALSE),
            0
        ) +
        IFERROR(
            VLOOKUP($A35, INDIRECT("MayR!$A$6:$ZZ$1048576"), MATCH(AQ$1, MayR!$6:$6, 0), FALSE),
            0
        ) +
        IFERROR(
            VLOOKUP($A35, INDIRECT("JunR!$A$6:$ZZ$1048576"), MATCH(AQ$1, JunR!$6:$6, 0), FALSE),
            0
        ) +
        IFERROR(
            VLOOKUP($A35, INDIRECT("JulR!$A$6:$ZZ$1048576"), MATCH(AQ$1, JulR!$6:$6, 0), FALSE),
            0
        ) +
        IFERROR(
            VLOOKUP($A35, INDIRECT("AgoR!$A$6:$ZZ$1048576"), MATCH(AQ$1, AgoR!$6:$6, 0), FALSE),
            0
        ) +
        IFERROR(
            VLOOKUP($A35, INDIRECT("SepR!$A$6:$ZZ$1048576"), MATCH(AQ$1, SepR!$6:$6, 0), FALSE),
            0
        ) +
        IFERROR(
            VLOOKUP($A35, INDIRECT("OctR!$A$6:$ZZ$1048576"), MATCH(AQ$1, OctR!$6:$6, 0), FALSE),
            0
        ) +
        IFERROR(
            VLOOKUP($A35, INDIRECT("NovR!$A$6:$ZZ$1048576"), MATCH(AQ$1, NovR!$6:$6, 0), FALSE),
            0
        ) +
        IFERROR(
            VLOOKUP($A35, INDIRECT("DicR!$A$6:$ZZ$1048576"), MATCH(AQ$1, DicR!$6:$6, 0), FALSE),
            0
        )
)</f>
        <v>0</v>
      </c>
      <c r="AR35" s="36">
        <f t="array" ref="AR35">SUM(
    IFERROR(
            VLOOKUP($A35, INDIRECT("EneR!$A$6:$ZZ$1048576"), MATCH(AR$1, EneR!$6:$6, 0), FALSE),
            0
        ) +
        IFERROR(
            VLOOKUP($A35, INDIRECT("FebR!$A$6:$ZZ$1048576"), MATCH(AR$1, FebR!$6:$6, 0), FALSE),
            0
        ) +
        IFERROR(
            VLOOKUP($A35, INDIRECT("MarR!$A$6:$ZZ$1048576"), MATCH(AR$1, MarR!$6:$6, 0), FALSE),
            0
        ) +
        IFERROR(
            VLOOKUP($A35, INDIRECT("AbrR!$A$6:$ZZ$1048576"), MATCH(AR$1, AbrR!$6:$6, 0), FALSE),
            0
        ) +
        IFERROR(
            VLOOKUP($A35, INDIRECT("MayR!$A$6:$ZZ$1048576"), MATCH(AR$1, MayR!$6:$6, 0), FALSE),
            0
        ) +
        IFERROR(
            VLOOKUP($A35, INDIRECT("JunR!$A$6:$ZZ$1048576"), MATCH(AR$1, JunR!$6:$6, 0), FALSE),
            0
        ) +
        IFERROR(
            VLOOKUP($A35, INDIRECT("JulR!$A$6:$ZZ$1048576"), MATCH(AR$1, JulR!$6:$6, 0), FALSE),
            0
        ) +
        IFERROR(
            VLOOKUP($A35, INDIRECT("AgoR!$A$6:$ZZ$1048576"), MATCH(AR$1, AgoR!$6:$6, 0), FALSE),
            0
        ) +
        IFERROR(
            VLOOKUP($A35, INDIRECT("SepR!$A$6:$ZZ$1048576"), MATCH(AR$1, SepR!$6:$6, 0), FALSE),
            0
        ) +
        IFERROR(
            VLOOKUP($A35, INDIRECT("OctR!$A$6:$ZZ$1048576"), MATCH(AR$1, OctR!$6:$6, 0), FALSE),
            0
        ) +
        IFERROR(
            VLOOKUP($A35, INDIRECT("NovR!$A$6:$ZZ$1048576"), MATCH(AR$1, NovR!$6:$6, 0), FALSE),
            0
        ) +
        IFERROR(
            VLOOKUP($A35, INDIRECT("DicR!$A$6:$ZZ$1048576"), MATCH(AR$1, DicR!$6:$6, 0), FALSE),
            0
        )
)</f>
        <v>0</v>
      </c>
      <c r="AS35" s="37">
        <f t="array" ref="AS35">SUM(
    IFERROR(
            VLOOKUP($A35, INDIRECT("EneR!$A$6:$ZZ$1048576"), MATCH(AS$1, EneR!$6:$6, 0), FALSE),
            0
        ) +
        IFERROR(
            VLOOKUP($A35, INDIRECT("FebR!$A$6:$ZZ$1048576"), MATCH(AS$1, FebR!$6:$6, 0), FALSE),
            0
        ) +
        IFERROR(
            VLOOKUP($A35, INDIRECT("MarR!$A$6:$ZZ$1048576"), MATCH(AS$1, MarR!$6:$6, 0), FALSE),
            0
        ) +
        IFERROR(
            VLOOKUP($A35, INDIRECT("AbrR!$A$6:$ZZ$1048576"), MATCH(AS$1, AbrR!$6:$6, 0), FALSE),
            0
        ) +
        IFERROR(
            VLOOKUP($A35, INDIRECT("MayR!$A$6:$ZZ$1048576"), MATCH(AS$1, MayR!$6:$6, 0), FALSE),
            0
        ) +
        IFERROR(
            VLOOKUP($A35, INDIRECT("JunR!$A$6:$ZZ$1048576"), MATCH(AS$1, JunR!$6:$6, 0), FALSE),
            0
        ) +
        IFERROR(
            VLOOKUP($A35, INDIRECT("JulR!$A$6:$ZZ$1048576"), MATCH(AS$1, JulR!$6:$6, 0), FALSE),
            0
        ) +
        IFERROR(
            VLOOKUP($A35, INDIRECT("AgoR!$A$6:$ZZ$1048576"), MATCH(AS$1, AgoR!$6:$6, 0), FALSE),
            0
        ) +
        IFERROR(
            VLOOKUP($A35, INDIRECT("SepR!$A$6:$ZZ$1048576"), MATCH(AS$1, SepR!$6:$6, 0), FALSE),
            0
        ) +
        IFERROR(
            VLOOKUP($A35, INDIRECT("OctR!$A$6:$ZZ$1048576"), MATCH(AS$1, OctR!$6:$6, 0), FALSE),
            0
        ) +
        IFERROR(
            VLOOKUP($A35, INDIRECT("NovR!$A$6:$ZZ$1048576"), MATCH(AS$1, NovR!$6:$6, 0), FALSE),
            0
        ) +
        IFERROR(
            VLOOKUP($A35, INDIRECT("DicR!$A$6:$ZZ$1048576"), MATCH(AS$1, DicR!$6:$6, 0), FALSE),
            0
        )
)</f>
        <v>0</v>
      </c>
      <c r="AT35" s="36">
        <f t="array" ref="AT35">SUM(
    IFERROR(
            VLOOKUP($A35, INDIRECT("EneR!$A$6:$ZZ$1048576"), MATCH(AT$1, EneR!$6:$6, 0), FALSE),
            0
        ) +
        IFERROR(
            VLOOKUP($A35, INDIRECT("FebR!$A$6:$ZZ$1048576"), MATCH(AT$1, FebR!$6:$6, 0), FALSE),
            0
        ) +
        IFERROR(
            VLOOKUP($A35, INDIRECT("MarR!$A$6:$ZZ$1048576"), MATCH(AT$1, MarR!$6:$6, 0), FALSE),
            0
        ) +
        IFERROR(
            VLOOKUP($A35, INDIRECT("AbrR!$A$6:$ZZ$1048576"), MATCH(AT$1, AbrR!$6:$6, 0), FALSE),
            0
        ) +
        IFERROR(
            VLOOKUP($A35, INDIRECT("MayR!$A$6:$ZZ$1048576"), MATCH(AT$1, MayR!$6:$6, 0), FALSE),
            0
        ) +
        IFERROR(
            VLOOKUP($A35, INDIRECT("JunR!$A$6:$ZZ$1048576"), MATCH(AT$1, JunR!$6:$6, 0), FALSE),
            0
        ) +
        IFERROR(
            VLOOKUP($A35, INDIRECT("JulR!$A$6:$ZZ$1048576"), MATCH(AT$1, JulR!$6:$6, 0), FALSE),
            0
        ) +
        IFERROR(
            VLOOKUP($A35, INDIRECT("AgoR!$A$6:$ZZ$1048576"), MATCH(AT$1, AgoR!$6:$6, 0), FALSE),
            0
        ) +
        IFERROR(
            VLOOKUP($A35, INDIRECT("SepR!$A$6:$ZZ$1048576"), MATCH(AT$1, SepR!$6:$6, 0), FALSE),
            0
        ) +
        IFERROR(
            VLOOKUP($A35, INDIRECT("OctR!$A$6:$ZZ$1048576"), MATCH(AT$1, OctR!$6:$6, 0), FALSE),
            0
        ) +
        IFERROR(
            VLOOKUP($A35, INDIRECT("NovR!$A$6:$ZZ$1048576"), MATCH(AT$1, NovR!$6:$6, 0), FALSE),
            0
        ) +
        IFERROR(
            VLOOKUP($A35, INDIRECT("DicR!$A$6:$ZZ$1048576"), MATCH(AT$1, DicR!$6:$6, 0), FALSE),
            0
        )
)</f>
        <v>0</v>
      </c>
      <c r="AU35" s="37">
        <f t="array" ref="AU35">SUM(
    IFERROR(
            VLOOKUP($A35, INDIRECT("EneR!$A$6:$ZZ$1048576"), MATCH(AU$1, EneR!$6:$6, 0), FALSE),
            0
        ) +
        IFERROR(
            VLOOKUP($A35, INDIRECT("FebR!$A$6:$ZZ$1048576"), MATCH(AU$1, FebR!$6:$6, 0), FALSE),
            0
        ) +
        IFERROR(
            VLOOKUP($A35, INDIRECT("MarR!$A$6:$ZZ$1048576"), MATCH(AU$1, MarR!$6:$6, 0), FALSE),
            0
        ) +
        IFERROR(
            VLOOKUP($A35, INDIRECT("AbrR!$A$6:$ZZ$1048576"), MATCH(AU$1, AbrR!$6:$6, 0), FALSE),
            0
        ) +
        IFERROR(
            VLOOKUP($A35, INDIRECT("MayR!$A$6:$ZZ$1048576"), MATCH(AU$1, MayR!$6:$6, 0), FALSE),
            0
        ) +
        IFERROR(
            VLOOKUP($A35, INDIRECT("JunR!$A$6:$ZZ$1048576"), MATCH(AU$1, JunR!$6:$6, 0), FALSE),
            0
        ) +
        IFERROR(
            VLOOKUP($A35, INDIRECT("JulR!$A$6:$ZZ$1048576"), MATCH(AU$1, JulR!$6:$6, 0), FALSE),
            0
        ) +
        IFERROR(
            VLOOKUP($A35, INDIRECT("AgoR!$A$6:$ZZ$1048576"), MATCH(AU$1, AgoR!$6:$6, 0), FALSE),
            0
        ) +
        IFERROR(
            VLOOKUP($A35, INDIRECT("SepR!$A$6:$ZZ$1048576"), MATCH(AU$1, SepR!$6:$6, 0), FALSE),
            0
        ) +
        IFERROR(
            VLOOKUP($A35, INDIRECT("OctR!$A$6:$ZZ$1048576"), MATCH(AU$1, OctR!$6:$6, 0), FALSE),
            0
        ) +
        IFERROR(
            VLOOKUP($A35, INDIRECT("NovR!$A$6:$ZZ$1048576"), MATCH(AU$1, NovR!$6:$6, 0), FALSE),
            0
        ) +
        IFERROR(
            VLOOKUP($A35, INDIRECT("DicR!$A$6:$ZZ$1048576"), MATCH(AU$1, DicR!$6:$6, 0), FALSE),
            0
        )
)</f>
        <v>0</v>
      </c>
      <c r="AV35" s="36">
        <f t="array" ref="AV35">SUM(
    IFERROR(
            VLOOKUP($A35, INDIRECT("EneR!$A$6:$ZZ$1048576"), MATCH(AV$1, EneR!$6:$6, 0), FALSE),
            0
        ) +
        IFERROR(
            VLOOKUP($A35, INDIRECT("FebR!$A$6:$ZZ$1048576"), MATCH(AV$1, FebR!$6:$6, 0), FALSE),
            0
        ) +
        IFERROR(
            VLOOKUP($A35, INDIRECT("MarR!$A$6:$ZZ$1048576"), MATCH(AV$1, MarR!$6:$6, 0), FALSE),
            0
        ) +
        IFERROR(
            VLOOKUP($A35, INDIRECT("AbrR!$A$6:$ZZ$1048576"), MATCH(AV$1, AbrR!$6:$6, 0), FALSE),
            0
        ) +
        IFERROR(
            VLOOKUP($A35, INDIRECT("MayR!$A$6:$ZZ$1048576"), MATCH(AV$1, MayR!$6:$6, 0), FALSE),
            0
        ) +
        IFERROR(
            VLOOKUP($A35, INDIRECT("JunR!$A$6:$ZZ$1048576"), MATCH(AV$1, JunR!$6:$6, 0), FALSE),
            0
        ) +
        IFERROR(
            VLOOKUP($A35, INDIRECT("JulR!$A$6:$ZZ$1048576"), MATCH(AV$1, JulR!$6:$6, 0), FALSE),
            0
        ) +
        IFERROR(
            VLOOKUP($A35, INDIRECT("AgoR!$A$6:$ZZ$1048576"), MATCH(AV$1, AgoR!$6:$6, 0), FALSE),
            0
        ) +
        IFERROR(
            VLOOKUP($A35, INDIRECT("SepR!$A$6:$ZZ$1048576"), MATCH(AV$1, SepR!$6:$6, 0), FALSE),
            0
        ) +
        IFERROR(
            VLOOKUP($A35, INDIRECT("OctR!$A$6:$ZZ$1048576"), MATCH(AV$1, OctR!$6:$6, 0), FALSE),
            0
        ) +
        IFERROR(
            VLOOKUP($A35, INDIRECT("NovR!$A$6:$ZZ$1048576"), MATCH(AV$1, NovR!$6:$6, 0), FALSE),
            0
        ) +
        IFERROR(
            VLOOKUP($A35, INDIRECT("DicR!$A$6:$ZZ$1048576"), MATCH(AV$1, DicR!$6:$6, 0), FALSE),
            0
        )
)</f>
        <v>0</v>
      </c>
      <c r="AW35" s="37">
        <f t="array" ref="AW35">SUM(
    IFERROR(
            VLOOKUP($A35, INDIRECT("EneR!$A$6:$ZZ$1048576"), MATCH(AW$1, EneR!$6:$6, 0), FALSE),
            0
        ) +
        IFERROR(
            VLOOKUP($A35, INDIRECT("FebR!$A$6:$ZZ$1048576"), MATCH(AW$1, FebR!$6:$6, 0), FALSE),
            0
        ) +
        IFERROR(
            VLOOKUP($A35, INDIRECT("MarR!$A$6:$ZZ$1048576"), MATCH(AW$1, MarR!$6:$6, 0), FALSE),
            0
        ) +
        IFERROR(
            VLOOKUP($A35, INDIRECT("AbrR!$A$6:$ZZ$1048576"), MATCH(AW$1, AbrR!$6:$6, 0), FALSE),
            0
        ) +
        IFERROR(
            VLOOKUP($A35, INDIRECT("MayR!$A$6:$ZZ$1048576"), MATCH(AW$1, MayR!$6:$6, 0), FALSE),
            0
        ) +
        IFERROR(
            VLOOKUP($A35, INDIRECT("JunR!$A$6:$ZZ$1048576"), MATCH(AW$1, JunR!$6:$6, 0), FALSE),
            0
        ) +
        IFERROR(
            VLOOKUP($A35, INDIRECT("JulR!$A$6:$ZZ$1048576"), MATCH(AW$1, JulR!$6:$6, 0), FALSE),
            0
        ) +
        IFERROR(
            VLOOKUP($A35, INDIRECT("AgoR!$A$6:$ZZ$1048576"), MATCH(AW$1, AgoR!$6:$6, 0), FALSE),
            0
        ) +
        IFERROR(
            VLOOKUP($A35, INDIRECT("SepR!$A$6:$ZZ$1048576"), MATCH(AW$1, SepR!$6:$6, 0), FALSE),
            0
        ) +
        IFERROR(
            VLOOKUP($A35, INDIRECT("OctR!$A$6:$ZZ$1048576"), MATCH(AW$1, OctR!$6:$6, 0), FALSE),
            0
        ) +
        IFERROR(
            VLOOKUP($A35, INDIRECT("NovR!$A$6:$ZZ$1048576"), MATCH(AW$1, NovR!$6:$6, 0), FALSE),
            0
        ) +
        IFERROR(
            VLOOKUP($A35, INDIRECT("DicR!$A$6:$ZZ$1048576"), MATCH(AW$1, DicR!$6:$6, 0), FALSE),
            0
        )
)</f>
        <v>0</v>
      </c>
      <c r="AX35" s="36">
        <f t="array" ref="AX35">SUM(
    IFERROR(
            VLOOKUP($A35, INDIRECT("EneR!$A$6:$ZZ$1048576"), MATCH(AX$1, EneR!$6:$6, 0), FALSE),
            0
        ) +
        IFERROR(
            VLOOKUP($A35, INDIRECT("FebR!$A$6:$ZZ$1048576"), MATCH(AX$1, FebR!$6:$6, 0), FALSE),
            0
        ) +
        IFERROR(
            VLOOKUP($A35, INDIRECT("MarR!$A$6:$ZZ$1048576"), MATCH(AX$1, MarR!$6:$6, 0), FALSE),
            0
        ) +
        IFERROR(
            VLOOKUP($A35, INDIRECT("AbrR!$A$6:$ZZ$1048576"), MATCH(AX$1, AbrR!$6:$6, 0), FALSE),
            0
        ) +
        IFERROR(
            VLOOKUP($A35, INDIRECT("MayR!$A$6:$ZZ$1048576"), MATCH(AX$1, MayR!$6:$6, 0), FALSE),
            0
        ) +
        IFERROR(
            VLOOKUP($A35, INDIRECT("JunR!$A$6:$ZZ$1048576"), MATCH(AX$1, JunR!$6:$6, 0), FALSE),
            0
        ) +
        IFERROR(
            VLOOKUP($A35, INDIRECT("JulR!$A$6:$ZZ$1048576"), MATCH(AX$1, JulR!$6:$6, 0), FALSE),
            0
        ) +
        IFERROR(
            VLOOKUP($A35, INDIRECT("AgoR!$A$6:$ZZ$1048576"), MATCH(AX$1, AgoR!$6:$6, 0), FALSE),
            0
        ) +
        IFERROR(
            VLOOKUP($A35, INDIRECT("SepR!$A$6:$ZZ$1048576"), MATCH(AX$1, SepR!$6:$6, 0), FALSE),
            0
        ) +
        IFERROR(
            VLOOKUP($A35, INDIRECT("OctR!$A$6:$ZZ$1048576"), MATCH(AX$1, OctR!$6:$6, 0), FALSE),
            0
        ) +
        IFERROR(
            VLOOKUP($A35, INDIRECT("NovR!$A$6:$ZZ$1048576"), MATCH(AX$1, NovR!$6:$6, 0), FALSE),
            0
        ) +
        IFERROR(
            VLOOKUP($A35, INDIRECT("DicR!$A$6:$ZZ$1048576"), MATCH(AX$1, DicR!$6:$6, 0), FALSE),
            0
        )
)</f>
        <v>0</v>
      </c>
      <c r="AY35" s="37">
        <f t="array" ref="AY35">SUM(
    IFERROR(
            VLOOKUP($A35, INDIRECT("EneR!$A$6:$ZZ$1048576"), MATCH(AY$1, EneR!$6:$6, 0), FALSE),
            0
        ) +
        IFERROR(
            VLOOKUP($A35, INDIRECT("FebR!$A$6:$ZZ$1048576"), MATCH(AY$1, FebR!$6:$6, 0), FALSE),
            0
        ) +
        IFERROR(
            VLOOKUP($A35, INDIRECT("MarR!$A$6:$ZZ$1048576"), MATCH(AY$1, MarR!$6:$6, 0), FALSE),
            0
        ) +
        IFERROR(
            VLOOKUP($A35, INDIRECT("AbrR!$A$6:$ZZ$1048576"), MATCH(AY$1, AbrR!$6:$6, 0), FALSE),
            0
        ) +
        IFERROR(
            VLOOKUP($A35, INDIRECT("MayR!$A$6:$ZZ$1048576"), MATCH(AY$1, MayR!$6:$6, 0), FALSE),
            0
        ) +
        IFERROR(
            VLOOKUP($A35, INDIRECT("JunR!$A$6:$ZZ$1048576"), MATCH(AY$1, JunR!$6:$6, 0), FALSE),
            0
        ) +
        IFERROR(
            VLOOKUP($A35, INDIRECT("JulR!$A$6:$ZZ$1048576"), MATCH(AY$1, JulR!$6:$6, 0), FALSE),
            0
        ) +
        IFERROR(
            VLOOKUP($A35, INDIRECT("AgoR!$A$6:$ZZ$1048576"), MATCH(AY$1, AgoR!$6:$6, 0), FALSE),
            0
        ) +
        IFERROR(
            VLOOKUP($A35, INDIRECT("SepR!$A$6:$ZZ$1048576"), MATCH(AY$1, SepR!$6:$6, 0), FALSE),
            0
        ) +
        IFERROR(
            VLOOKUP($A35, INDIRECT("OctR!$A$6:$ZZ$1048576"), MATCH(AY$1, OctR!$6:$6, 0), FALSE),
            0
        ) +
        IFERROR(
            VLOOKUP($A35, INDIRECT("NovR!$A$6:$ZZ$1048576"), MATCH(AY$1, NovR!$6:$6, 0), FALSE),
            0
        ) +
        IFERROR(
            VLOOKUP($A35, INDIRECT("DicR!$A$6:$ZZ$1048576"), MATCH(AY$1, DicR!$6:$6, 0), FALSE),
            0
        )
)</f>
        <v>0</v>
      </c>
      <c r="AZ35" s="37"/>
    </row>
    <row r="36" ht="15.75" hidden="1" customHeight="1">
      <c r="A36" s="12" t="str">
        <f>Menus!R28</f>
        <v/>
      </c>
      <c r="B36" s="32">
        <f t="shared" si="6"/>
        <v>0</v>
      </c>
      <c r="C36" s="33" t="str">
        <f t="shared" si="7"/>
        <v/>
      </c>
      <c r="D36" s="34">
        <f t="array" ref="D36">SUM(
    IFERROR(
            VLOOKUP($A36, INDIRECT("EneR!$A$6:$ZZ$1048576"), MATCH(D$1, EneR!$6:$6, 0), FALSE),
            0
        ) +
        IFERROR(
            VLOOKUP($A36, INDIRECT("FebR!$A$6:$ZZ$1048576"), MATCH(D$1, FebR!$6:$6, 0), FALSE),
            0
        ) +
        IFERROR(
            VLOOKUP($A36, INDIRECT("MarR!$A$6:$ZZ$1048576"), MATCH(D$1, MarR!$6:$6, 0), FALSE),
            0
        ) +
        IFERROR(
            VLOOKUP($A36, INDIRECT("AbrR!$A$6:$ZZ$1048576"), MATCH(D$1, AbrR!$6:$6, 0), FALSE),
            0
        ) +
        IFERROR(
            VLOOKUP($A36, INDIRECT("MayR!$A$6:$ZZ$1048576"), MATCH(D$1, MayR!$6:$6, 0), FALSE),
            0
        ) +
        IFERROR(
            VLOOKUP($A36, INDIRECT("JunR!$A$6:$ZZ$1048576"), MATCH(D$1, JunR!$6:$6, 0), FALSE),
            0
        ) +
        IFERROR(
            VLOOKUP($A36, INDIRECT("JulR!$A$6:$ZZ$1048576"), MATCH(D$1, JulR!$6:$6, 0), FALSE),
            0
        ) +
        IFERROR(
            VLOOKUP($A36, INDIRECT("AgoR!$A$6:$ZZ$1048576"), MATCH(D$1, AgoR!$6:$6, 0), FALSE),
            0
        ) +
        IFERROR(
            VLOOKUP($A36, INDIRECT("SepR!$A$6:$ZZ$1048576"), MATCH(D$1, SepR!$6:$6, 0), FALSE),
            0
        ) +
        IFERROR(
            VLOOKUP($A36, INDIRECT("OctR!$A$6:$ZZ$1048576"), MATCH(D$1, OctR!$6:$6, 0), FALSE),
            0
        ) +
        IFERROR(
            VLOOKUP($A36, INDIRECT("NovR!$A$6:$ZZ$1048576"), MATCH(D$1, NovR!$6:$6, 0), FALSE),
            0
        ) +
        IFERROR(
            VLOOKUP($A36, INDIRECT("DicR!$A$6:$ZZ$1048576"), MATCH(D$1, DicR!$6:$6, 0), FALSE),
            0
        )
)</f>
        <v>0</v>
      </c>
      <c r="E36" s="35">
        <f t="array" ref="E36">SUM(
    IFERROR(
            VLOOKUP($A36, INDIRECT("EneR!$A$6:$ZZ$1048576"), MATCH(E$1, EneR!$6:$6, 0), FALSE),
            0
        ) +
        IFERROR(
            VLOOKUP($A36, INDIRECT("FebR!$A$6:$ZZ$1048576"), MATCH(E$1, FebR!$6:$6, 0), FALSE),
            0
        ) +
        IFERROR(
            VLOOKUP($A36, INDIRECT("MarR!$A$6:$ZZ$1048576"), MATCH(E$1, MarR!$6:$6, 0), FALSE),
            0
        ) +
        IFERROR(
            VLOOKUP($A36, INDIRECT("AbrR!$A$6:$ZZ$1048576"), MATCH(E$1, AbrR!$6:$6, 0), FALSE),
            0
        ) +
        IFERROR(
            VLOOKUP($A36, INDIRECT("MayR!$A$6:$ZZ$1048576"), MATCH(E$1, MayR!$6:$6, 0), FALSE),
            0
        ) +
        IFERROR(
            VLOOKUP($A36, INDIRECT("JunR!$A$6:$ZZ$1048576"), MATCH(E$1, JunR!$6:$6, 0), FALSE),
            0
        ) +
        IFERROR(
            VLOOKUP($A36, INDIRECT("JulR!$A$6:$ZZ$1048576"), MATCH(E$1, JulR!$6:$6, 0), FALSE),
            0
        ) +
        IFERROR(
            VLOOKUP($A36, INDIRECT("AgoR!$A$6:$ZZ$1048576"), MATCH(E$1, AgoR!$6:$6, 0), FALSE),
            0
        ) +
        IFERROR(
            VLOOKUP($A36, INDIRECT("SepR!$A$6:$ZZ$1048576"), MATCH(E$1, SepR!$6:$6, 0), FALSE),
            0
        ) +
        IFERROR(
            VLOOKUP($A36, INDIRECT("OctR!$A$6:$ZZ$1048576"), MATCH(E$1, OctR!$6:$6, 0), FALSE),
            0
        ) +
        IFERROR(
            VLOOKUP($A36, INDIRECT("NovR!$A$6:$ZZ$1048576"), MATCH(E$1, NovR!$6:$6, 0), FALSE),
            0
        ) +
        IFERROR(
            VLOOKUP($A36, INDIRECT("DicR!$A$6:$ZZ$1048576"), MATCH(E$1, DicR!$6:$6, 0), FALSE),
            0
        )
)</f>
        <v>0</v>
      </c>
      <c r="F36" s="32">
        <f t="array" ref="F36">SUM(
    IFERROR(
            VLOOKUP($A36, INDIRECT("EneR!$A$6:$ZZ$1048576"), MATCH(F$1, EneR!$6:$6, 0), FALSE),
            0
        ) +
        IFERROR(
            VLOOKUP($A36, INDIRECT("FebR!$A$6:$ZZ$1048576"), MATCH(F$1, FebR!$6:$6, 0), FALSE),
            0
        ) +
        IFERROR(
            VLOOKUP($A36, INDIRECT("MarR!$A$6:$ZZ$1048576"), MATCH(F$1, MarR!$6:$6, 0), FALSE),
            0
        ) +
        IFERROR(
            VLOOKUP($A36, INDIRECT("AbrR!$A$6:$ZZ$1048576"), MATCH(F$1, AbrR!$6:$6, 0), FALSE),
            0
        ) +
        IFERROR(
            VLOOKUP($A36, INDIRECT("MayR!$A$6:$ZZ$1048576"), MATCH(F$1, MayR!$6:$6, 0), FALSE),
            0
        ) +
        IFERROR(
            VLOOKUP($A36, INDIRECT("JunR!$A$6:$ZZ$1048576"), MATCH(F$1, JunR!$6:$6, 0), FALSE),
            0
        ) +
        IFERROR(
            VLOOKUP($A36, INDIRECT("JulR!$A$6:$ZZ$1048576"), MATCH(F$1, JulR!$6:$6, 0), FALSE),
            0
        ) +
        IFERROR(
            VLOOKUP($A36, INDIRECT("AgoR!$A$6:$ZZ$1048576"), MATCH(F$1, AgoR!$6:$6, 0), FALSE),
            0
        ) +
        IFERROR(
            VLOOKUP($A36, INDIRECT("SepR!$A$6:$ZZ$1048576"), MATCH(F$1, SepR!$6:$6, 0), FALSE),
            0
        ) +
        IFERROR(
            VLOOKUP($A36, INDIRECT("OctR!$A$6:$ZZ$1048576"), MATCH(F$1, OctR!$6:$6, 0), FALSE),
            0
        ) +
        IFERROR(
            VLOOKUP($A36, INDIRECT("NovR!$A$6:$ZZ$1048576"), MATCH(F$1, NovR!$6:$6, 0), FALSE),
            0
        ) +
        IFERROR(
            VLOOKUP($A36, INDIRECT("DicR!$A$6:$ZZ$1048576"), MATCH(F$1, DicR!$6:$6, 0), FALSE),
            0
        )
)</f>
        <v>0</v>
      </c>
      <c r="G36" s="35">
        <f t="array" ref="G36">SUM(
    IFERROR(
            VLOOKUP($A36, INDIRECT("EneR!$A$6:$ZZ$1048576"), MATCH(G$1, EneR!$6:$6, 0), FALSE),
            0
        ) +
        IFERROR(
            VLOOKUP($A36, INDIRECT("FebR!$A$6:$ZZ$1048576"), MATCH(G$1, FebR!$6:$6, 0), FALSE),
            0
        ) +
        IFERROR(
            VLOOKUP($A36, INDIRECT("MarR!$A$6:$ZZ$1048576"), MATCH(G$1, MarR!$6:$6, 0), FALSE),
            0
        ) +
        IFERROR(
            VLOOKUP($A36, INDIRECT("AbrR!$A$6:$ZZ$1048576"), MATCH(G$1, AbrR!$6:$6, 0), FALSE),
            0
        ) +
        IFERROR(
            VLOOKUP($A36, INDIRECT("MayR!$A$6:$ZZ$1048576"), MATCH(G$1, MayR!$6:$6, 0), FALSE),
            0
        ) +
        IFERROR(
            VLOOKUP($A36, INDIRECT("JunR!$A$6:$ZZ$1048576"), MATCH(G$1, JunR!$6:$6, 0), FALSE),
            0
        ) +
        IFERROR(
            VLOOKUP($A36, INDIRECT("JulR!$A$6:$ZZ$1048576"), MATCH(G$1, JulR!$6:$6, 0), FALSE),
            0
        ) +
        IFERROR(
            VLOOKUP($A36, INDIRECT("AgoR!$A$6:$ZZ$1048576"), MATCH(G$1, AgoR!$6:$6, 0), FALSE),
            0
        ) +
        IFERROR(
            VLOOKUP($A36, INDIRECT("SepR!$A$6:$ZZ$1048576"), MATCH(G$1, SepR!$6:$6, 0), FALSE),
            0
        ) +
        IFERROR(
            VLOOKUP($A36, INDIRECT("OctR!$A$6:$ZZ$1048576"), MATCH(G$1, OctR!$6:$6, 0), FALSE),
            0
        ) +
        IFERROR(
            VLOOKUP($A36, INDIRECT("NovR!$A$6:$ZZ$1048576"), MATCH(G$1, NovR!$6:$6, 0), FALSE),
            0
        ) +
        IFERROR(
            VLOOKUP($A36, INDIRECT("DicR!$A$6:$ZZ$1048576"), MATCH(G$1, DicR!$6:$6, 0), FALSE),
            0
        )
)</f>
        <v>0</v>
      </c>
      <c r="H36" s="32">
        <f t="array" ref="H36">SUM(
    IFERROR(
            VLOOKUP($A36, INDIRECT("EneR!$A$6:$ZZ$1048576"), MATCH(H$1, EneR!$6:$6, 0), FALSE),
            0
        ) +
        IFERROR(
            VLOOKUP($A36, INDIRECT("FebR!$A$6:$ZZ$1048576"), MATCH(H$1, FebR!$6:$6, 0), FALSE),
            0
        ) +
        IFERROR(
            VLOOKUP($A36, INDIRECT("MarR!$A$6:$ZZ$1048576"), MATCH(H$1, MarR!$6:$6, 0), FALSE),
            0
        ) +
        IFERROR(
            VLOOKUP($A36, INDIRECT("AbrR!$A$6:$ZZ$1048576"), MATCH(H$1, AbrR!$6:$6, 0), FALSE),
            0
        ) +
        IFERROR(
            VLOOKUP($A36, INDIRECT("MayR!$A$6:$ZZ$1048576"), MATCH(H$1, MayR!$6:$6, 0), FALSE),
            0
        ) +
        IFERROR(
            VLOOKUP($A36, INDIRECT("JunR!$A$6:$ZZ$1048576"), MATCH(H$1, JunR!$6:$6, 0), FALSE),
            0
        ) +
        IFERROR(
            VLOOKUP($A36, INDIRECT("JulR!$A$6:$ZZ$1048576"), MATCH(H$1, JulR!$6:$6, 0), FALSE),
            0
        ) +
        IFERROR(
            VLOOKUP($A36, INDIRECT("AgoR!$A$6:$ZZ$1048576"), MATCH(H$1, AgoR!$6:$6, 0), FALSE),
            0
        ) +
        IFERROR(
            VLOOKUP($A36, INDIRECT("SepR!$A$6:$ZZ$1048576"), MATCH(H$1, SepR!$6:$6, 0), FALSE),
            0
        ) +
        IFERROR(
            VLOOKUP($A36, INDIRECT("OctR!$A$6:$ZZ$1048576"), MATCH(H$1, OctR!$6:$6, 0), FALSE),
            0
        ) +
        IFERROR(
            VLOOKUP($A36, INDIRECT("NovR!$A$6:$ZZ$1048576"), MATCH(H$1, NovR!$6:$6, 0), FALSE),
            0
        ) +
        IFERROR(
            VLOOKUP($A36, INDIRECT("DicR!$A$6:$ZZ$1048576"), MATCH(H$1, DicR!$6:$6, 0), FALSE),
            0
        )
)</f>
        <v>0</v>
      </c>
      <c r="I36" s="35">
        <f t="array" ref="I36">SUM(
    IFERROR(
            VLOOKUP($A36, INDIRECT("EneR!$A$6:$ZZ$1048576"), MATCH(I$1, EneR!$6:$6, 0), FALSE),
            0
        ) +
        IFERROR(
            VLOOKUP($A36, INDIRECT("FebR!$A$6:$ZZ$1048576"), MATCH(I$1, FebR!$6:$6, 0), FALSE),
            0
        ) +
        IFERROR(
            VLOOKUP($A36, INDIRECT("MarR!$A$6:$ZZ$1048576"), MATCH(I$1, MarR!$6:$6, 0), FALSE),
            0
        ) +
        IFERROR(
            VLOOKUP($A36, INDIRECT("AbrR!$A$6:$ZZ$1048576"), MATCH(I$1, AbrR!$6:$6, 0), FALSE),
            0
        ) +
        IFERROR(
            VLOOKUP($A36, INDIRECT("MayR!$A$6:$ZZ$1048576"), MATCH(I$1, MayR!$6:$6, 0), FALSE),
            0
        ) +
        IFERROR(
            VLOOKUP($A36, INDIRECT("JunR!$A$6:$ZZ$1048576"), MATCH(I$1, JunR!$6:$6, 0), FALSE),
            0
        ) +
        IFERROR(
            VLOOKUP($A36, INDIRECT("JulR!$A$6:$ZZ$1048576"), MATCH(I$1, JulR!$6:$6, 0), FALSE),
            0
        ) +
        IFERROR(
            VLOOKUP($A36, INDIRECT("AgoR!$A$6:$ZZ$1048576"), MATCH(I$1, AgoR!$6:$6, 0), FALSE),
            0
        ) +
        IFERROR(
            VLOOKUP($A36, INDIRECT("SepR!$A$6:$ZZ$1048576"), MATCH(I$1, SepR!$6:$6, 0), FALSE),
            0
        ) +
        IFERROR(
            VLOOKUP($A36, INDIRECT("OctR!$A$6:$ZZ$1048576"), MATCH(I$1, OctR!$6:$6, 0), FALSE),
            0
        ) +
        IFERROR(
            VLOOKUP($A36, INDIRECT("NovR!$A$6:$ZZ$1048576"), MATCH(I$1, NovR!$6:$6, 0), FALSE),
            0
        ) +
        IFERROR(
            VLOOKUP($A36, INDIRECT("DicR!$A$6:$ZZ$1048576"), MATCH(I$1, DicR!$6:$6, 0), FALSE),
            0
        )
)</f>
        <v>0</v>
      </c>
      <c r="J36" s="32">
        <f t="array" ref="J36">SUM(
    IFERROR(
            VLOOKUP($A36, INDIRECT("EneR!$A$6:$ZZ$1048576"), MATCH(J$1, EneR!$6:$6, 0), FALSE),
            0
        ) +
        IFERROR(
            VLOOKUP($A36, INDIRECT("FebR!$A$6:$ZZ$1048576"), MATCH(J$1, FebR!$6:$6, 0), FALSE),
            0
        ) +
        IFERROR(
            VLOOKUP($A36, INDIRECT("MarR!$A$6:$ZZ$1048576"), MATCH(J$1, MarR!$6:$6, 0), FALSE),
            0
        ) +
        IFERROR(
            VLOOKUP($A36, INDIRECT("AbrR!$A$6:$ZZ$1048576"), MATCH(J$1, AbrR!$6:$6, 0), FALSE),
            0
        ) +
        IFERROR(
            VLOOKUP($A36, INDIRECT("MayR!$A$6:$ZZ$1048576"), MATCH(J$1, MayR!$6:$6, 0), FALSE),
            0
        ) +
        IFERROR(
            VLOOKUP($A36, INDIRECT("JunR!$A$6:$ZZ$1048576"), MATCH(J$1, JunR!$6:$6, 0), FALSE),
            0
        ) +
        IFERROR(
            VLOOKUP($A36, INDIRECT("JulR!$A$6:$ZZ$1048576"), MATCH(J$1, JulR!$6:$6, 0), FALSE),
            0
        ) +
        IFERROR(
            VLOOKUP($A36, INDIRECT("AgoR!$A$6:$ZZ$1048576"), MATCH(J$1, AgoR!$6:$6, 0), FALSE),
            0
        ) +
        IFERROR(
            VLOOKUP($A36, INDIRECT("SepR!$A$6:$ZZ$1048576"), MATCH(J$1, SepR!$6:$6, 0), FALSE),
            0
        ) +
        IFERROR(
            VLOOKUP($A36, INDIRECT("OctR!$A$6:$ZZ$1048576"), MATCH(J$1, OctR!$6:$6, 0), FALSE),
            0
        ) +
        IFERROR(
            VLOOKUP($A36, INDIRECT("NovR!$A$6:$ZZ$1048576"), MATCH(J$1, NovR!$6:$6, 0), FALSE),
            0
        ) +
        IFERROR(
            VLOOKUP($A36, INDIRECT("DicR!$A$6:$ZZ$1048576"), MATCH(J$1, DicR!$6:$6, 0), FALSE),
            0
        )
)</f>
        <v>0</v>
      </c>
      <c r="K36" s="35">
        <f t="array" ref="K36">SUM(
    IFERROR(
            VLOOKUP($A36, INDIRECT("EneR!$A$6:$ZZ$1048576"), MATCH(K$1, EneR!$6:$6, 0), FALSE),
            0
        ) +
        IFERROR(
            VLOOKUP($A36, INDIRECT("FebR!$A$6:$ZZ$1048576"), MATCH(K$1, FebR!$6:$6, 0), FALSE),
            0
        ) +
        IFERROR(
            VLOOKUP($A36, INDIRECT("MarR!$A$6:$ZZ$1048576"), MATCH(K$1, MarR!$6:$6, 0), FALSE),
            0
        ) +
        IFERROR(
            VLOOKUP($A36, INDIRECT("AbrR!$A$6:$ZZ$1048576"), MATCH(K$1, AbrR!$6:$6, 0), FALSE),
            0
        ) +
        IFERROR(
            VLOOKUP($A36, INDIRECT("MayR!$A$6:$ZZ$1048576"), MATCH(K$1, MayR!$6:$6, 0), FALSE),
            0
        ) +
        IFERROR(
            VLOOKUP($A36, INDIRECT("JunR!$A$6:$ZZ$1048576"), MATCH(K$1, JunR!$6:$6, 0), FALSE),
            0
        ) +
        IFERROR(
            VLOOKUP($A36, INDIRECT("JulR!$A$6:$ZZ$1048576"), MATCH(K$1, JulR!$6:$6, 0), FALSE),
            0
        ) +
        IFERROR(
            VLOOKUP($A36, INDIRECT("AgoR!$A$6:$ZZ$1048576"), MATCH(K$1, AgoR!$6:$6, 0), FALSE),
            0
        ) +
        IFERROR(
            VLOOKUP($A36, INDIRECT("SepR!$A$6:$ZZ$1048576"), MATCH(K$1, SepR!$6:$6, 0), FALSE),
            0
        ) +
        IFERROR(
            VLOOKUP($A36, INDIRECT("OctR!$A$6:$ZZ$1048576"), MATCH(K$1, OctR!$6:$6, 0), FALSE),
            0
        ) +
        IFERROR(
            VLOOKUP($A36, INDIRECT("NovR!$A$6:$ZZ$1048576"), MATCH(K$1, NovR!$6:$6, 0), FALSE),
            0
        ) +
        IFERROR(
            VLOOKUP($A36, INDIRECT("DicR!$A$6:$ZZ$1048576"), MATCH(K$1, DicR!$6:$6, 0), FALSE),
            0
        )
)</f>
        <v>0</v>
      </c>
      <c r="L36" s="32">
        <f t="array" ref="L36">SUM(
    IFERROR(
            VLOOKUP($A36, INDIRECT("EneR!$A$6:$ZZ$1048576"), MATCH(L$1, EneR!$6:$6, 0), FALSE),
            0
        ) +
        IFERROR(
            VLOOKUP($A36, INDIRECT("FebR!$A$6:$ZZ$1048576"), MATCH(L$1, FebR!$6:$6, 0), FALSE),
            0
        ) +
        IFERROR(
            VLOOKUP($A36, INDIRECT("MarR!$A$6:$ZZ$1048576"), MATCH(L$1, MarR!$6:$6, 0), FALSE),
            0
        ) +
        IFERROR(
            VLOOKUP($A36, INDIRECT("AbrR!$A$6:$ZZ$1048576"), MATCH(L$1, AbrR!$6:$6, 0), FALSE),
            0
        ) +
        IFERROR(
            VLOOKUP($A36, INDIRECT("MayR!$A$6:$ZZ$1048576"), MATCH(L$1, MayR!$6:$6, 0), FALSE),
            0
        ) +
        IFERROR(
            VLOOKUP($A36, INDIRECT("JunR!$A$6:$ZZ$1048576"), MATCH(L$1, JunR!$6:$6, 0), FALSE),
            0
        ) +
        IFERROR(
            VLOOKUP($A36, INDIRECT("JulR!$A$6:$ZZ$1048576"), MATCH(L$1, JulR!$6:$6, 0), FALSE),
            0
        ) +
        IFERROR(
            VLOOKUP($A36, INDIRECT("AgoR!$A$6:$ZZ$1048576"), MATCH(L$1, AgoR!$6:$6, 0), FALSE),
            0
        ) +
        IFERROR(
            VLOOKUP($A36, INDIRECT("SepR!$A$6:$ZZ$1048576"), MATCH(L$1, SepR!$6:$6, 0), FALSE),
            0
        ) +
        IFERROR(
            VLOOKUP($A36, INDIRECT("OctR!$A$6:$ZZ$1048576"), MATCH(L$1, OctR!$6:$6, 0), FALSE),
            0
        ) +
        IFERROR(
            VLOOKUP($A36, INDIRECT("NovR!$A$6:$ZZ$1048576"), MATCH(L$1, NovR!$6:$6, 0), FALSE),
            0
        ) +
        IFERROR(
            VLOOKUP($A36, INDIRECT("DicR!$A$6:$ZZ$1048576"), MATCH(L$1, DicR!$6:$6, 0), FALSE),
            0
        )
)</f>
        <v>0</v>
      </c>
      <c r="M36" s="35">
        <f t="array" ref="M36">SUM(
    IFERROR(
            VLOOKUP($A36, INDIRECT("EneR!$A$6:$ZZ$1048576"), MATCH(M$1, EneR!$6:$6, 0), FALSE),
            0
        ) +
        IFERROR(
            VLOOKUP($A36, INDIRECT("FebR!$A$6:$ZZ$1048576"), MATCH(M$1, FebR!$6:$6, 0), FALSE),
            0
        ) +
        IFERROR(
            VLOOKUP($A36, INDIRECT("MarR!$A$6:$ZZ$1048576"), MATCH(M$1, MarR!$6:$6, 0), FALSE),
            0
        ) +
        IFERROR(
            VLOOKUP($A36, INDIRECT("AbrR!$A$6:$ZZ$1048576"), MATCH(M$1, AbrR!$6:$6, 0), FALSE),
            0
        ) +
        IFERROR(
            VLOOKUP($A36, INDIRECT("MayR!$A$6:$ZZ$1048576"), MATCH(M$1, MayR!$6:$6, 0), FALSE),
            0
        ) +
        IFERROR(
            VLOOKUP($A36, INDIRECT("JunR!$A$6:$ZZ$1048576"), MATCH(M$1, JunR!$6:$6, 0), FALSE),
            0
        ) +
        IFERROR(
            VLOOKUP($A36, INDIRECT("JulR!$A$6:$ZZ$1048576"), MATCH(M$1, JulR!$6:$6, 0), FALSE),
            0
        ) +
        IFERROR(
            VLOOKUP($A36, INDIRECT("AgoR!$A$6:$ZZ$1048576"), MATCH(M$1, AgoR!$6:$6, 0), FALSE),
            0
        ) +
        IFERROR(
            VLOOKUP($A36, INDIRECT("SepR!$A$6:$ZZ$1048576"), MATCH(M$1, SepR!$6:$6, 0), FALSE),
            0
        ) +
        IFERROR(
            VLOOKUP($A36, INDIRECT("OctR!$A$6:$ZZ$1048576"), MATCH(M$1, OctR!$6:$6, 0), FALSE),
            0
        ) +
        IFERROR(
            VLOOKUP($A36, INDIRECT("NovR!$A$6:$ZZ$1048576"), MATCH(M$1, NovR!$6:$6, 0), FALSE),
            0
        ) +
        IFERROR(
            VLOOKUP($A36, INDIRECT("DicR!$A$6:$ZZ$1048576"), MATCH(M$1, DicR!$6:$6, 0), FALSE),
            0
        )
)</f>
        <v>0</v>
      </c>
      <c r="N36" s="32">
        <f t="array" ref="N36">SUM(
    IFERROR(
            VLOOKUP($A36, INDIRECT("EneR!$A$6:$ZZ$1048576"), MATCH(N$1, EneR!$6:$6, 0), FALSE),
            0
        ) +
        IFERROR(
            VLOOKUP($A36, INDIRECT("FebR!$A$6:$ZZ$1048576"), MATCH(N$1, FebR!$6:$6, 0), FALSE),
            0
        ) +
        IFERROR(
            VLOOKUP($A36, INDIRECT("MarR!$A$6:$ZZ$1048576"), MATCH(N$1, MarR!$6:$6, 0), FALSE),
            0
        ) +
        IFERROR(
            VLOOKUP($A36, INDIRECT("AbrR!$A$6:$ZZ$1048576"), MATCH(N$1, AbrR!$6:$6, 0), FALSE),
            0
        ) +
        IFERROR(
            VLOOKUP($A36, INDIRECT("MayR!$A$6:$ZZ$1048576"), MATCH(N$1, MayR!$6:$6, 0), FALSE),
            0
        ) +
        IFERROR(
            VLOOKUP($A36, INDIRECT("JunR!$A$6:$ZZ$1048576"), MATCH(N$1, JunR!$6:$6, 0), FALSE),
            0
        ) +
        IFERROR(
            VLOOKUP($A36, INDIRECT("JulR!$A$6:$ZZ$1048576"), MATCH(N$1, JulR!$6:$6, 0), FALSE),
            0
        ) +
        IFERROR(
            VLOOKUP($A36, INDIRECT("AgoR!$A$6:$ZZ$1048576"), MATCH(N$1, AgoR!$6:$6, 0), FALSE),
            0
        ) +
        IFERROR(
            VLOOKUP($A36, INDIRECT("SepR!$A$6:$ZZ$1048576"), MATCH(N$1, SepR!$6:$6, 0), FALSE),
            0
        ) +
        IFERROR(
            VLOOKUP($A36, INDIRECT("OctR!$A$6:$ZZ$1048576"), MATCH(N$1, OctR!$6:$6, 0), FALSE),
            0
        ) +
        IFERROR(
            VLOOKUP($A36, INDIRECT("NovR!$A$6:$ZZ$1048576"), MATCH(N$1, NovR!$6:$6, 0), FALSE),
            0
        ) +
        IFERROR(
            VLOOKUP($A36, INDIRECT("DicR!$A$6:$ZZ$1048576"), MATCH(N$1, DicR!$6:$6, 0), FALSE),
            0
        )
)</f>
        <v>0</v>
      </c>
      <c r="O36" s="35">
        <f t="array" ref="O36">SUM(
    IFERROR(
            VLOOKUP($A36, INDIRECT("EneR!$A$6:$ZZ$1048576"), MATCH(O$1, EneR!$6:$6, 0), FALSE),
            0
        ) +
        IFERROR(
            VLOOKUP($A36, INDIRECT("FebR!$A$6:$ZZ$1048576"), MATCH(O$1, FebR!$6:$6, 0), FALSE),
            0
        ) +
        IFERROR(
            VLOOKUP($A36, INDIRECT("MarR!$A$6:$ZZ$1048576"), MATCH(O$1, MarR!$6:$6, 0), FALSE),
            0
        ) +
        IFERROR(
            VLOOKUP($A36, INDIRECT("AbrR!$A$6:$ZZ$1048576"), MATCH(O$1, AbrR!$6:$6, 0), FALSE),
            0
        ) +
        IFERROR(
            VLOOKUP($A36, INDIRECT("MayR!$A$6:$ZZ$1048576"), MATCH(O$1, MayR!$6:$6, 0), FALSE),
            0
        ) +
        IFERROR(
            VLOOKUP($A36, INDIRECT("JunR!$A$6:$ZZ$1048576"), MATCH(O$1, JunR!$6:$6, 0), FALSE),
            0
        ) +
        IFERROR(
            VLOOKUP($A36, INDIRECT("JulR!$A$6:$ZZ$1048576"), MATCH(O$1, JulR!$6:$6, 0), FALSE),
            0
        ) +
        IFERROR(
            VLOOKUP($A36, INDIRECT("AgoR!$A$6:$ZZ$1048576"), MATCH(O$1, AgoR!$6:$6, 0), FALSE),
            0
        ) +
        IFERROR(
            VLOOKUP($A36, INDIRECT("SepR!$A$6:$ZZ$1048576"), MATCH(O$1, SepR!$6:$6, 0), FALSE),
            0
        ) +
        IFERROR(
            VLOOKUP($A36, INDIRECT("OctR!$A$6:$ZZ$1048576"), MATCH(O$1, OctR!$6:$6, 0), FALSE),
            0
        ) +
        IFERROR(
            VLOOKUP($A36, INDIRECT("NovR!$A$6:$ZZ$1048576"), MATCH(O$1, NovR!$6:$6, 0), FALSE),
            0
        ) +
        IFERROR(
            VLOOKUP($A36, INDIRECT("DicR!$A$6:$ZZ$1048576"), MATCH(O$1, DicR!$6:$6, 0), FALSE),
            0
        )
)</f>
        <v>0</v>
      </c>
      <c r="P36" s="32">
        <f t="array" ref="P36">SUM(
    IFERROR(
            VLOOKUP($A36, INDIRECT("EneR!$A$6:$ZZ$1048576"), MATCH(P$1, EneR!$6:$6, 0), FALSE),
            0
        ) +
        IFERROR(
            VLOOKUP($A36, INDIRECT("FebR!$A$6:$ZZ$1048576"), MATCH(P$1, FebR!$6:$6, 0), FALSE),
            0
        ) +
        IFERROR(
            VLOOKUP($A36, INDIRECT("MarR!$A$6:$ZZ$1048576"), MATCH(P$1, MarR!$6:$6, 0), FALSE),
            0
        ) +
        IFERROR(
            VLOOKUP($A36, INDIRECT("AbrR!$A$6:$ZZ$1048576"), MATCH(P$1, AbrR!$6:$6, 0), FALSE),
            0
        ) +
        IFERROR(
            VLOOKUP($A36, INDIRECT("MayR!$A$6:$ZZ$1048576"), MATCH(P$1, MayR!$6:$6, 0), FALSE),
            0
        ) +
        IFERROR(
            VLOOKUP($A36, INDIRECT("JunR!$A$6:$ZZ$1048576"), MATCH(P$1, JunR!$6:$6, 0), FALSE),
            0
        ) +
        IFERROR(
            VLOOKUP($A36, INDIRECT("JulR!$A$6:$ZZ$1048576"), MATCH(P$1, JulR!$6:$6, 0), FALSE),
            0
        ) +
        IFERROR(
            VLOOKUP($A36, INDIRECT("AgoR!$A$6:$ZZ$1048576"), MATCH(P$1, AgoR!$6:$6, 0), FALSE),
            0
        ) +
        IFERROR(
            VLOOKUP($A36, INDIRECT("SepR!$A$6:$ZZ$1048576"), MATCH(P$1, SepR!$6:$6, 0), FALSE),
            0
        ) +
        IFERROR(
            VLOOKUP($A36, INDIRECT("OctR!$A$6:$ZZ$1048576"), MATCH(P$1, OctR!$6:$6, 0), FALSE),
            0
        ) +
        IFERROR(
            VLOOKUP($A36, INDIRECT("NovR!$A$6:$ZZ$1048576"), MATCH(P$1, NovR!$6:$6, 0), FALSE),
            0
        ) +
        IFERROR(
            VLOOKUP($A36, INDIRECT("DicR!$A$6:$ZZ$1048576"), MATCH(P$1, DicR!$6:$6, 0), FALSE),
            0
        )
)</f>
        <v>0</v>
      </c>
      <c r="Q36" s="35">
        <f t="array" ref="Q36">SUM(
    IFERROR(
            VLOOKUP($A36, INDIRECT("EneR!$A$6:$ZZ$1048576"), MATCH(Q$1, EneR!$6:$6, 0), FALSE),
            0
        ) +
        IFERROR(
            VLOOKUP($A36, INDIRECT("FebR!$A$6:$ZZ$1048576"), MATCH(Q$1, FebR!$6:$6, 0), FALSE),
            0
        ) +
        IFERROR(
            VLOOKUP($A36, INDIRECT("MarR!$A$6:$ZZ$1048576"), MATCH(Q$1, MarR!$6:$6, 0), FALSE),
            0
        ) +
        IFERROR(
            VLOOKUP($A36, INDIRECT("AbrR!$A$6:$ZZ$1048576"), MATCH(Q$1, AbrR!$6:$6, 0), FALSE),
            0
        ) +
        IFERROR(
            VLOOKUP($A36, INDIRECT("MayR!$A$6:$ZZ$1048576"), MATCH(Q$1, MayR!$6:$6, 0), FALSE),
            0
        ) +
        IFERROR(
            VLOOKUP($A36, INDIRECT("JunR!$A$6:$ZZ$1048576"), MATCH(Q$1, JunR!$6:$6, 0), FALSE),
            0
        ) +
        IFERROR(
            VLOOKUP($A36, INDIRECT("JulR!$A$6:$ZZ$1048576"), MATCH(Q$1, JulR!$6:$6, 0), FALSE),
            0
        ) +
        IFERROR(
            VLOOKUP($A36, INDIRECT("AgoR!$A$6:$ZZ$1048576"), MATCH(Q$1, AgoR!$6:$6, 0), FALSE),
            0
        ) +
        IFERROR(
            VLOOKUP($A36, INDIRECT("SepR!$A$6:$ZZ$1048576"), MATCH(Q$1, SepR!$6:$6, 0), FALSE),
            0
        ) +
        IFERROR(
            VLOOKUP($A36, INDIRECT("OctR!$A$6:$ZZ$1048576"), MATCH(Q$1, OctR!$6:$6, 0), FALSE),
            0
        ) +
        IFERROR(
            VLOOKUP($A36, INDIRECT("NovR!$A$6:$ZZ$1048576"), MATCH(Q$1, NovR!$6:$6, 0), FALSE),
            0
        ) +
        IFERROR(
            VLOOKUP($A36, INDIRECT("DicR!$A$6:$ZZ$1048576"), MATCH(Q$1, DicR!$6:$6, 0), FALSE),
            0
        )
)</f>
        <v>0</v>
      </c>
      <c r="R36" s="36">
        <f t="array" ref="R36">SUM(
    IFERROR(
            VLOOKUP($A36, INDIRECT("EneR!$A$6:$ZZ$1048576"), MATCH(R$1, EneR!$6:$6, 0), FALSE),
            0
        ) +
        IFERROR(
            VLOOKUP($A36, INDIRECT("FebR!$A$6:$ZZ$1048576"), MATCH(R$1, FebR!$6:$6, 0), FALSE),
            0
        ) +
        IFERROR(
            VLOOKUP($A36, INDIRECT("MarR!$A$6:$ZZ$1048576"), MATCH(R$1, MarR!$6:$6, 0), FALSE),
            0
        ) +
        IFERROR(
            VLOOKUP($A36, INDIRECT("AbrR!$A$6:$ZZ$1048576"), MATCH(R$1, AbrR!$6:$6, 0), FALSE),
            0
        ) +
        IFERROR(
            VLOOKUP($A36, INDIRECT("MayR!$A$6:$ZZ$1048576"), MATCH(R$1, MayR!$6:$6, 0), FALSE),
            0
        ) +
        IFERROR(
            VLOOKUP($A36, INDIRECT("JunR!$A$6:$ZZ$1048576"), MATCH(R$1, JunR!$6:$6, 0), FALSE),
            0
        ) +
        IFERROR(
            VLOOKUP($A36, INDIRECT("JulR!$A$6:$ZZ$1048576"), MATCH(R$1, JulR!$6:$6, 0), FALSE),
            0
        ) +
        IFERROR(
            VLOOKUP($A36, INDIRECT("AgoR!$A$6:$ZZ$1048576"), MATCH(R$1, AgoR!$6:$6, 0), FALSE),
            0
        ) +
        IFERROR(
            VLOOKUP($A36, INDIRECT("SepR!$A$6:$ZZ$1048576"), MATCH(R$1, SepR!$6:$6, 0), FALSE),
            0
        ) +
        IFERROR(
            VLOOKUP($A36, INDIRECT("OctR!$A$6:$ZZ$1048576"), MATCH(R$1, OctR!$6:$6, 0), FALSE),
            0
        ) +
        IFERROR(
            VLOOKUP($A36, INDIRECT("NovR!$A$6:$ZZ$1048576"), MATCH(R$1, NovR!$6:$6, 0), FALSE),
            0
        ) +
        IFERROR(
            VLOOKUP($A36, INDIRECT("DicR!$A$6:$ZZ$1048576"), MATCH(R$1, DicR!$6:$6, 0), FALSE),
            0
        )
)</f>
        <v>0</v>
      </c>
      <c r="S36" s="37">
        <f t="array" ref="S36">SUM(
    IFERROR(
            VLOOKUP($A36, INDIRECT("EneR!$A$6:$ZZ$1048576"), MATCH(S$1, EneR!$6:$6, 0), FALSE),
            0
        ) +
        IFERROR(
            VLOOKUP($A36, INDIRECT("FebR!$A$6:$ZZ$1048576"), MATCH(S$1, FebR!$6:$6, 0), FALSE),
            0
        ) +
        IFERROR(
            VLOOKUP($A36, INDIRECT("MarR!$A$6:$ZZ$1048576"), MATCH(S$1, MarR!$6:$6, 0), FALSE),
            0
        ) +
        IFERROR(
            VLOOKUP($A36, INDIRECT("AbrR!$A$6:$ZZ$1048576"), MATCH(S$1, AbrR!$6:$6, 0), FALSE),
            0
        ) +
        IFERROR(
            VLOOKUP($A36, INDIRECT("MayR!$A$6:$ZZ$1048576"), MATCH(S$1, MayR!$6:$6, 0), FALSE),
            0
        ) +
        IFERROR(
            VLOOKUP($A36, INDIRECT("JunR!$A$6:$ZZ$1048576"), MATCH(S$1, JunR!$6:$6, 0), FALSE),
            0
        ) +
        IFERROR(
            VLOOKUP($A36, INDIRECT("JulR!$A$6:$ZZ$1048576"), MATCH(S$1, JulR!$6:$6, 0), FALSE),
            0
        ) +
        IFERROR(
            VLOOKUP($A36, INDIRECT("AgoR!$A$6:$ZZ$1048576"), MATCH(S$1, AgoR!$6:$6, 0), FALSE),
            0
        ) +
        IFERROR(
            VLOOKUP($A36, INDIRECT("SepR!$A$6:$ZZ$1048576"), MATCH(S$1, SepR!$6:$6, 0), FALSE),
            0
        ) +
        IFERROR(
            VLOOKUP($A36, INDIRECT("OctR!$A$6:$ZZ$1048576"), MATCH(S$1, OctR!$6:$6, 0), FALSE),
            0
        ) +
        IFERROR(
            VLOOKUP($A36, INDIRECT("NovR!$A$6:$ZZ$1048576"), MATCH(S$1, NovR!$6:$6, 0), FALSE),
            0
        ) +
        IFERROR(
            VLOOKUP($A36, INDIRECT("DicR!$A$6:$ZZ$1048576"), MATCH(S$1, DicR!$6:$6, 0), FALSE),
            0
        )
)</f>
        <v>0</v>
      </c>
      <c r="T36" s="36">
        <f t="array" ref="T36">SUM(
    IFERROR(
            VLOOKUP($A36, INDIRECT("EneR!$A$6:$ZZ$1048576"), MATCH(T$1, EneR!$6:$6, 0), FALSE),
            0
        ) +
        IFERROR(
            VLOOKUP($A36, INDIRECT("FebR!$A$6:$ZZ$1048576"), MATCH(T$1, FebR!$6:$6, 0), FALSE),
            0
        ) +
        IFERROR(
            VLOOKUP($A36, INDIRECT("MarR!$A$6:$ZZ$1048576"), MATCH(T$1, MarR!$6:$6, 0), FALSE),
            0
        ) +
        IFERROR(
            VLOOKUP($A36, INDIRECT("AbrR!$A$6:$ZZ$1048576"), MATCH(T$1, AbrR!$6:$6, 0), FALSE),
            0
        ) +
        IFERROR(
            VLOOKUP($A36, INDIRECT("MayR!$A$6:$ZZ$1048576"), MATCH(T$1, MayR!$6:$6, 0), FALSE),
            0
        ) +
        IFERROR(
            VLOOKUP($A36, INDIRECT("JunR!$A$6:$ZZ$1048576"), MATCH(T$1, JunR!$6:$6, 0), FALSE),
            0
        ) +
        IFERROR(
            VLOOKUP($A36, INDIRECT("JulR!$A$6:$ZZ$1048576"), MATCH(T$1, JulR!$6:$6, 0), FALSE),
            0
        ) +
        IFERROR(
            VLOOKUP($A36, INDIRECT("AgoR!$A$6:$ZZ$1048576"), MATCH(T$1, AgoR!$6:$6, 0), FALSE),
            0
        ) +
        IFERROR(
            VLOOKUP($A36, INDIRECT("SepR!$A$6:$ZZ$1048576"), MATCH(T$1, SepR!$6:$6, 0), FALSE),
            0
        ) +
        IFERROR(
            VLOOKUP($A36, INDIRECT("OctR!$A$6:$ZZ$1048576"), MATCH(T$1, OctR!$6:$6, 0), FALSE),
            0
        ) +
        IFERROR(
            VLOOKUP($A36, INDIRECT("NovR!$A$6:$ZZ$1048576"), MATCH(T$1, NovR!$6:$6, 0), FALSE),
            0
        ) +
        IFERROR(
            VLOOKUP($A36, INDIRECT("DicR!$A$6:$ZZ$1048576"), MATCH(T$1, DicR!$6:$6, 0), FALSE),
            0
        )
)</f>
        <v>0</v>
      </c>
      <c r="U36" s="37">
        <f t="array" ref="U36">SUM(
    IFERROR(
            VLOOKUP($A36, INDIRECT("EneR!$A$6:$ZZ$1048576"), MATCH(U$1, EneR!$6:$6, 0), FALSE),
            0
        ) +
        IFERROR(
            VLOOKUP($A36, INDIRECT("FebR!$A$6:$ZZ$1048576"), MATCH(U$1, FebR!$6:$6, 0), FALSE),
            0
        ) +
        IFERROR(
            VLOOKUP($A36, INDIRECT("MarR!$A$6:$ZZ$1048576"), MATCH(U$1, MarR!$6:$6, 0), FALSE),
            0
        ) +
        IFERROR(
            VLOOKUP($A36, INDIRECT("AbrR!$A$6:$ZZ$1048576"), MATCH(U$1, AbrR!$6:$6, 0), FALSE),
            0
        ) +
        IFERROR(
            VLOOKUP($A36, INDIRECT("MayR!$A$6:$ZZ$1048576"), MATCH(U$1, MayR!$6:$6, 0), FALSE),
            0
        ) +
        IFERROR(
            VLOOKUP($A36, INDIRECT("JunR!$A$6:$ZZ$1048576"), MATCH(U$1, JunR!$6:$6, 0), FALSE),
            0
        ) +
        IFERROR(
            VLOOKUP($A36, INDIRECT("JulR!$A$6:$ZZ$1048576"), MATCH(U$1, JulR!$6:$6, 0), FALSE),
            0
        ) +
        IFERROR(
            VLOOKUP($A36, INDIRECT("AgoR!$A$6:$ZZ$1048576"), MATCH(U$1, AgoR!$6:$6, 0), FALSE),
            0
        ) +
        IFERROR(
            VLOOKUP($A36, INDIRECT("SepR!$A$6:$ZZ$1048576"), MATCH(U$1, SepR!$6:$6, 0), FALSE),
            0
        ) +
        IFERROR(
            VLOOKUP($A36, INDIRECT("OctR!$A$6:$ZZ$1048576"), MATCH(U$1, OctR!$6:$6, 0), FALSE),
            0
        ) +
        IFERROR(
            VLOOKUP($A36, INDIRECT("NovR!$A$6:$ZZ$1048576"), MATCH(U$1, NovR!$6:$6, 0), FALSE),
            0
        ) +
        IFERROR(
            VLOOKUP($A36, INDIRECT("DicR!$A$6:$ZZ$1048576"), MATCH(U$1, DicR!$6:$6, 0), FALSE),
            0
        )
)</f>
        <v>0</v>
      </c>
      <c r="V36" s="36">
        <f t="array" ref="V36">SUM(
    IFERROR(
            VLOOKUP($A36, INDIRECT("EneR!$A$6:$ZZ$1048576"), MATCH(V$1, EneR!$6:$6, 0), FALSE),
            0
        ) +
        IFERROR(
            VLOOKUP($A36, INDIRECT("FebR!$A$6:$ZZ$1048576"), MATCH(V$1, FebR!$6:$6, 0), FALSE),
            0
        ) +
        IFERROR(
            VLOOKUP($A36, INDIRECT("MarR!$A$6:$ZZ$1048576"), MATCH(V$1, MarR!$6:$6, 0), FALSE),
            0
        ) +
        IFERROR(
            VLOOKUP($A36, INDIRECT("AbrR!$A$6:$ZZ$1048576"), MATCH(V$1, AbrR!$6:$6, 0), FALSE),
            0
        ) +
        IFERROR(
            VLOOKUP($A36, INDIRECT("MayR!$A$6:$ZZ$1048576"), MATCH(V$1, MayR!$6:$6, 0), FALSE),
            0
        ) +
        IFERROR(
            VLOOKUP($A36, INDIRECT("JunR!$A$6:$ZZ$1048576"), MATCH(V$1, JunR!$6:$6, 0), FALSE),
            0
        ) +
        IFERROR(
            VLOOKUP($A36, INDIRECT("JulR!$A$6:$ZZ$1048576"), MATCH(V$1, JulR!$6:$6, 0), FALSE),
            0
        ) +
        IFERROR(
            VLOOKUP($A36, INDIRECT("AgoR!$A$6:$ZZ$1048576"), MATCH(V$1, AgoR!$6:$6, 0), FALSE),
            0
        ) +
        IFERROR(
            VLOOKUP($A36, INDIRECT("SepR!$A$6:$ZZ$1048576"), MATCH(V$1, SepR!$6:$6, 0), FALSE),
            0
        ) +
        IFERROR(
            VLOOKUP($A36, INDIRECT("OctR!$A$6:$ZZ$1048576"), MATCH(V$1, OctR!$6:$6, 0), FALSE),
            0
        ) +
        IFERROR(
            VLOOKUP($A36, INDIRECT("NovR!$A$6:$ZZ$1048576"), MATCH(V$1, NovR!$6:$6, 0), FALSE),
            0
        ) +
        IFERROR(
            VLOOKUP($A36, INDIRECT("DicR!$A$6:$ZZ$1048576"), MATCH(V$1, DicR!$6:$6, 0), FALSE),
            0
        )
)</f>
        <v>0</v>
      </c>
      <c r="W36" s="37">
        <f t="array" ref="W36">SUM(
    IFERROR(
            VLOOKUP($A36, INDIRECT("EneR!$A$6:$ZZ$1048576"), MATCH(W$1, EneR!$6:$6, 0), FALSE),
            0
        ) +
        IFERROR(
            VLOOKUP($A36, INDIRECT("FebR!$A$6:$ZZ$1048576"), MATCH(W$1, FebR!$6:$6, 0), FALSE),
            0
        ) +
        IFERROR(
            VLOOKUP($A36, INDIRECT("MarR!$A$6:$ZZ$1048576"), MATCH(W$1, MarR!$6:$6, 0), FALSE),
            0
        ) +
        IFERROR(
            VLOOKUP($A36, INDIRECT("AbrR!$A$6:$ZZ$1048576"), MATCH(W$1, AbrR!$6:$6, 0), FALSE),
            0
        ) +
        IFERROR(
            VLOOKUP($A36, INDIRECT("MayR!$A$6:$ZZ$1048576"), MATCH(W$1, MayR!$6:$6, 0), FALSE),
            0
        ) +
        IFERROR(
            VLOOKUP($A36, INDIRECT("JunR!$A$6:$ZZ$1048576"), MATCH(W$1, JunR!$6:$6, 0), FALSE),
            0
        ) +
        IFERROR(
            VLOOKUP($A36, INDIRECT("JulR!$A$6:$ZZ$1048576"), MATCH(W$1, JulR!$6:$6, 0), FALSE),
            0
        ) +
        IFERROR(
            VLOOKUP($A36, INDIRECT("AgoR!$A$6:$ZZ$1048576"), MATCH(W$1, AgoR!$6:$6, 0), FALSE),
            0
        ) +
        IFERROR(
            VLOOKUP($A36, INDIRECT("SepR!$A$6:$ZZ$1048576"), MATCH(W$1, SepR!$6:$6, 0), FALSE),
            0
        ) +
        IFERROR(
            VLOOKUP($A36, INDIRECT("OctR!$A$6:$ZZ$1048576"), MATCH(W$1, OctR!$6:$6, 0), FALSE),
            0
        ) +
        IFERROR(
            VLOOKUP($A36, INDIRECT("NovR!$A$6:$ZZ$1048576"), MATCH(W$1, NovR!$6:$6, 0), FALSE),
            0
        ) +
        IFERROR(
            VLOOKUP($A36, INDIRECT("DicR!$A$6:$ZZ$1048576"), MATCH(W$1, DicR!$6:$6, 0), FALSE),
            0
        )
)</f>
        <v>0</v>
      </c>
      <c r="X36" s="36">
        <f t="array" ref="X36">SUM(
    IFERROR(
            VLOOKUP($A36, INDIRECT("EneR!$A$6:$ZZ$1048576"), MATCH(X$1, EneR!$6:$6, 0), FALSE),
            0
        ) +
        IFERROR(
            VLOOKUP($A36, INDIRECT("FebR!$A$6:$ZZ$1048576"), MATCH(X$1, FebR!$6:$6, 0), FALSE),
            0
        ) +
        IFERROR(
            VLOOKUP($A36, INDIRECT("MarR!$A$6:$ZZ$1048576"), MATCH(X$1, MarR!$6:$6, 0), FALSE),
            0
        ) +
        IFERROR(
            VLOOKUP($A36, INDIRECT("AbrR!$A$6:$ZZ$1048576"), MATCH(X$1, AbrR!$6:$6, 0), FALSE),
            0
        ) +
        IFERROR(
            VLOOKUP($A36, INDIRECT("MayR!$A$6:$ZZ$1048576"), MATCH(X$1, MayR!$6:$6, 0), FALSE),
            0
        ) +
        IFERROR(
            VLOOKUP($A36, INDIRECT("JunR!$A$6:$ZZ$1048576"), MATCH(X$1, JunR!$6:$6, 0), FALSE),
            0
        ) +
        IFERROR(
            VLOOKUP($A36, INDIRECT("JulR!$A$6:$ZZ$1048576"), MATCH(X$1, JulR!$6:$6, 0), FALSE),
            0
        ) +
        IFERROR(
            VLOOKUP($A36, INDIRECT("AgoR!$A$6:$ZZ$1048576"), MATCH(X$1, AgoR!$6:$6, 0), FALSE),
            0
        ) +
        IFERROR(
            VLOOKUP($A36, INDIRECT("SepR!$A$6:$ZZ$1048576"), MATCH(X$1, SepR!$6:$6, 0), FALSE),
            0
        ) +
        IFERROR(
            VLOOKUP($A36, INDIRECT("OctR!$A$6:$ZZ$1048576"), MATCH(X$1, OctR!$6:$6, 0), FALSE),
            0
        ) +
        IFERROR(
            VLOOKUP($A36, INDIRECT("NovR!$A$6:$ZZ$1048576"), MATCH(X$1, NovR!$6:$6, 0), FALSE),
            0
        ) +
        IFERROR(
            VLOOKUP($A36, INDIRECT("DicR!$A$6:$ZZ$1048576"), MATCH(X$1, DicR!$6:$6, 0), FALSE),
            0
        )
)</f>
        <v>0</v>
      </c>
      <c r="Y36" s="37">
        <f t="array" ref="Y36">SUM(
    IFERROR(
            VLOOKUP($A36, INDIRECT("EneR!$A$6:$ZZ$1048576"), MATCH(Y$1, EneR!$6:$6, 0), FALSE),
            0
        ) +
        IFERROR(
            VLOOKUP($A36, INDIRECT("FebR!$A$6:$ZZ$1048576"), MATCH(Y$1, FebR!$6:$6, 0), FALSE),
            0
        ) +
        IFERROR(
            VLOOKUP($A36, INDIRECT("MarR!$A$6:$ZZ$1048576"), MATCH(Y$1, MarR!$6:$6, 0), FALSE),
            0
        ) +
        IFERROR(
            VLOOKUP($A36, INDIRECT("AbrR!$A$6:$ZZ$1048576"), MATCH(Y$1, AbrR!$6:$6, 0), FALSE),
            0
        ) +
        IFERROR(
            VLOOKUP($A36, INDIRECT("MayR!$A$6:$ZZ$1048576"), MATCH(Y$1, MayR!$6:$6, 0), FALSE),
            0
        ) +
        IFERROR(
            VLOOKUP($A36, INDIRECT("JunR!$A$6:$ZZ$1048576"), MATCH(Y$1, JunR!$6:$6, 0), FALSE),
            0
        ) +
        IFERROR(
            VLOOKUP($A36, INDIRECT("JulR!$A$6:$ZZ$1048576"), MATCH(Y$1, JulR!$6:$6, 0), FALSE),
            0
        ) +
        IFERROR(
            VLOOKUP($A36, INDIRECT("AgoR!$A$6:$ZZ$1048576"), MATCH(Y$1, AgoR!$6:$6, 0), FALSE),
            0
        ) +
        IFERROR(
            VLOOKUP($A36, INDIRECT("SepR!$A$6:$ZZ$1048576"), MATCH(Y$1, SepR!$6:$6, 0), FALSE),
            0
        ) +
        IFERROR(
            VLOOKUP($A36, INDIRECT("OctR!$A$6:$ZZ$1048576"), MATCH(Y$1, OctR!$6:$6, 0), FALSE),
            0
        ) +
        IFERROR(
            VLOOKUP($A36, INDIRECT("NovR!$A$6:$ZZ$1048576"), MATCH(Y$1, NovR!$6:$6, 0), FALSE),
            0
        ) +
        IFERROR(
            VLOOKUP($A36, INDIRECT("DicR!$A$6:$ZZ$1048576"), MATCH(Y$1, DicR!$6:$6, 0), FALSE),
            0
        )
)</f>
        <v>0</v>
      </c>
      <c r="Z36" s="36">
        <f t="array" ref="Z36">SUM(
    IFERROR(
            VLOOKUP($A36, INDIRECT("EneR!$A$6:$ZZ$1048576"), MATCH(Z$1, EneR!$6:$6, 0), FALSE),
            0
        ) +
        IFERROR(
            VLOOKUP($A36, INDIRECT("FebR!$A$6:$ZZ$1048576"), MATCH(Z$1, FebR!$6:$6, 0), FALSE),
            0
        ) +
        IFERROR(
            VLOOKUP($A36, INDIRECT("MarR!$A$6:$ZZ$1048576"), MATCH(Z$1, MarR!$6:$6, 0), FALSE),
            0
        ) +
        IFERROR(
            VLOOKUP($A36, INDIRECT("AbrR!$A$6:$ZZ$1048576"), MATCH(Z$1, AbrR!$6:$6, 0), FALSE),
            0
        ) +
        IFERROR(
            VLOOKUP($A36, INDIRECT("MayR!$A$6:$ZZ$1048576"), MATCH(Z$1, MayR!$6:$6, 0), FALSE),
            0
        ) +
        IFERROR(
            VLOOKUP($A36, INDIRECT("JunR!$A$6:$ZZ$1048576"), MATCH(Z$1, JunR!$6:$6, 0), FALSE),
            0
        ) +
        IFERROR(
            VLOOKUP($A36, INDIRECT("JulR!$A$6:$ZZ$1048576"), MATCH(Z$1, JulR!$6:$6, 0), FALSE),
            0
        ) +
        IFERROR(
            VLOOKUP($A36, INDIRECT("AgoR!$A$6:$ZZ$1048576"), MATCH(Z$1, AgoR!$6:$6, 0), FALSE),
            0
        ) +
        IFERROR(
            VLOOKUP($A36, INDIRECT("SepR!$A$6:$ZZ$1048576"), MATCH(Z$1, SepR!$6:$6, 0), FALSE),
            0
        ) +
        IFERROR(
            VLOOKUP($A36, INDIRECT("OctR!$A$6:$ZZ$1048576"), MATCH(Z$1, OctR!$6:$6, 0), FALSE),
            0
        ) +
        IFERROR(
            VLOOKUP($A36, INDIRECT("NovR!$A$6:$ZZ$1048576"), MATCH(Z$1, NovR!$6:$6, 0), FALSE),
            0
        ) +
        IFERROR(
            VLOOKUP($A36, INDIRECT("DicR!$A$6:$ZZ$1048576"), MATCH(Z$1, DicR!$6:$6, 0), FALSE),
            0
        )
)</f>
        <v>0</v>
      </c>
      <c r="AA36" s="37">
        <f t="array" ref="AA36">SUM(
    IFERROR(
            VLOOKUP($A36, INDIRECT("EneR!$A$6:$ZZ$1048576"), MATCH(AA$1, EneR!$6:$6, 0), FALSE),
            0
        ) +
        IFERROR(
            VLOOKUP($A36, INDIRECT("FebR!$A$6:$ZZ$1048576"), MATCH(AA$1, FebR!$6:$6, 0), FALSE),
            0
        ) +
        IFERROR(
            VLOOKUP($A36, INDIRECT("MarR!$A$6:$ZZ$1048576"), MATCH(AA$1, MarR!$6:$6, 0), FALSE),
            0
        ) +
        IFERROR(
            VLOOKUP($A36, INDIRECT("AbrR!$A$6:$ZZ$1048576"), MATCH(AA$1, AbrR!$6:$6, 0), FALSE),
            0
        ) +
        IFERROR(
            VLOOKUP($A36, INDIRECT("MayR!$A$6:$ZZ$1048576"), MATCH(AA$1, MayR!$6:$6, 0), FALSE),
            0
        ) +
        IFERROR(
            VLOOKUP($A36, INDIRECT("JunR!$A$6:$ZZ$1048576"), MATCH(AA$1, JunR!$6:$6, 0), FALSE),
            0
        ) +
        IFERROR(
            VLOOKUP($A36, INDIRECT("JulR!$A$6:$ZZ$1048576"), MATCH(AA$1, JulR!$6:$6, 0), FALSE),
            0
        ) +
        IFERROR(
            VLOOKUP($A36, INDIRECT("AgoR!$A$6:$ZZ$1048576"), MATCH(AA$1, AgoR!$6:$6, 0), FALSE),
            0
        ) +
        IFERROR(
            VLOOKUP($A36, INDIRECT("SepR!$A$6:$ZZ$1048576"), MATCH(AA$1, SepR!$6:$6, 0), FALSE),
            0
        ) +
        IFERROR(
            VLOOKUP($A36, INDIRECT("OctR!$A$6:$ZZ$1048576"), MATCH(AA$1, OctR!$6:$6, 0), FALSE),
            0
        ) +
        IFERROR(
            VLOOKUP($A36, INDIRECT("NovR!$A$6:$ZZ$1048576"), MATCH(AA$1, NovR!$6:$6, 0), FALSE),
            0
        ) +
        IFERROR(
            VLOOKUP($A36, INDIRECT("DicR!$A$6:$ZZ$1048576"), MATCH(AA$1, DicR!$6:$6, 0), FALSE),
            0
        )
)</f>
        <v>0</v>
      </c>
      <c r="AB36" s="36">
        <f t="array" ref="AB36">SUM(
    IFERROR(
            VLOOKUP($A36, INDIRECT("EneR!$A$6:$ZZ$1048576"), MATCH(AB$1, EneR!$6:$6, 0), FALSE),
            0
        ) +
        IFERROR(
            VLOOKUP($A36, INDIRECT("FebR!$A$6:$ZZ$1048576"), MATCH(AB$1, FebR!$6:$6, 0), FALSE),
            0
        ) +
        IFERROR(
            VLOOKUP($A36, INDIRECT("MarR!$A$6:$ZZ$1048576"), MATCH(AB$1, MarR!$6:$6, 0), FALSE),
            0
        ) +
        IFERROR(
            VLOOKUP($A36, INDIRECT("AbrR!$A$6:$ZZ$1048576"), MATCH(AB$1, AbrR!$6:$6, 0), FALSE),
            0
        ) +
        IFERROR(
            VLOOKUP($A36, INDIRECT("MayR!$A$6:$ZZ$1048576"), MATCH(AB$1, MayR!$6:$6, 0), FALSE),
            0
        ) +
        IFERROR(
            VLOOKUP($A36, INDIRECT("JunR!$A$6:$ZZ$1048576"), MATCH(AB$1, JunR!$6:$6, 0), FALSE),
            0
        ) +
        IFERROR(
            VLOOKUP($A36, INDIRECT("JulR!$A$6:$ZZ$1048576"), MATCH(AB$1, JulR!$6:$6, 0), FALSE),
            0
        ) +
        IFERROR(
            VLOOKUP($A36, INDIRECT("AgoR!$A$6:$ZZ$1048576"), MATCH(AB$1, AgoR!$6:$6, 0), FALSE),
            0
        ) +
        IFERROR(
            VLOOKUP($A36, INDIRECT("SepR!$A$6:$ZZ$1048576"), MATCH(AB$1, SepR!$6:$6, 0), FALSE),
            0
        ) +
        IFERROR(
            VLOOKUP($A36, INDIRECT("OctR!$A$6:$ZZ$1048576"), MATCH(AB$1, OctR!$6:$6, 0), FALSE),
            0
        ) +
        IFERROR(
            VLOOKUP($A36, INDIRECT("NovR!$A$6:$ZZ$1048576"), MATCH(AB$1, NovR!$6:$6, 0), FALSE),
            0
        ) +
        IFERROR(
            VLOOKUP($A36, INDIRECT("DicR!$A$6:$ZZ$1048576"), MATCH(AB$1, DicR!$6:$6, 0), FALSE),
            0
        )
)</f>
        <v>0</v>
      </c>
      <c r="AC36" s="37">
        <f t="array" ref="AC36">SUM(
    IFERROR(
            VLOOKUP($A36, INDIRECT("EneR!$A$6:$ZZ$1048576"), MATCH(AC$1, EneR!$6:$6, 0), FALSE),
            0
        ) +
        IFERROR(
            VLOOKUP($A36, INDIRECT("FebR!$A$6:$ZZ$1048576"), MATCH(AC$1, FebR!$6:$6, 0), FALSE),
            0
        ) +
        IFERROR(
            VLOOKUP($A36, INDIRECT("MarR!$A$6:$ZZ$1048576"), MATCH(AC$1, MarR!$6:$6, 0), FALSE),
            0
        ) +
        IFERROR(
            VLOOKUP($A36, INDIRECT("AbrR!$A$6:$ZZ$1048576"), MATCH(AC$1, AbrR!$6:$6, 0), FALSE),
            0
        ) +
        IFERROR(
            VLOOKUP($A36, INDIRECT("MayR!$A$6:$ZZ$1048576"), MATCH(AC$1, MayR!$6:$6, 0), FALSE),
            0
        ) +
        IFERROR(
            VLOOKUP($A36, INDIRECT("JunR!$A$6:$ZZ$1048576"), MATCH(AC$1, JunR!$6:$6, 0), FALSE),
            0
        ) +
        IFERROR(
            VLOOKUP($A36, INDIRECT("JulR!$A$6:$ZZ$1048576"), MATCH(AC$1, JulR!$6:$6, 0), FALSE),
            0
        ) +
        IFERROR(
            VLOOKUP($A36, INDIRECT("AgoR!$A$6:$ZZ$1048576"), MATCH(AC$1, AgoR!$6:$6, 0), FALSE),
            0
        ) +
        IFERROR(
            VLOOKUP($A36, INDIRECT("SepR!$A$6:$ZZ$1048576"), MATCH(AC$1, SepR!$6:$6, 0), FALSE),
            0
        ) +
        IFERROR(
            VLOOKUP($A36, INDIRECT("OctR!$A$6:$ZZ$1048576"), MATCH(AC$1, OctR!$6:$6, 0), FALSE),
            0
        ) +
        IFERROR(
            VLOOKUP($A36, INDIRECT("NovR!$A$6:$ZZ$1048576"), MATCH(AC$1, NovR!$6:$6, 0), FALSE),
            0
        ) +
        IFERROR(
            VLOOKUP($A36, INDIRECT("DicR!$A$6:$ZZ$1048576"), MATCH(AC$1, DicR!$6:$6, 0), FALSE),
            0
        )
)</f>
        <v>0</v>
      </c>
      <c r="AD36" s="36">
        <f t="array" ref="AD36">SUM(
    IFERROR(
            VLOOKUP($A36, INDIRECT("EneR!$A$6:$ZZ$1048576"), MATCH(AD$1, EneR!$6:$6, 0), FALSE),
            0
        ) +
        IFERROR(
            VLOOKUP($A36, INDIRECT("FebR!$A$6:$ZZ$1048576"), MATCH(AD$1, FebR!$6:$6, 0), FALSE),
            0
        ) +
        IFERROR(
            VLOOKUP($A36, INDIRECT("MarR!$A$6:$ZZ$1048576"), MATCH(AD$1, MarR!$6:$6, 0), FALSE),
            0
        ) +
        IFERROR(
            VLOOKUP($A36, INDIRECT("AbrR!$A$6:$ZZ$1048576"), MATCH(AD$1, AbrR!$6:$6, 0), FALSE),
            0
        ) +
        IFERROR(
            VLOOKUP($A36, INDIRECT("MayR!$A$6:$ZZ$1048576"), MATCH(AD$1, MayR!$6:$6, 0), FALSE),
            0
        ) +
        IFERROR(
            VLOOKUP($A36, INDIRECT("JunR!$A$6:$ZZ$1048576"), MATCH(AD$1, JunR!$6:$6, 0), FALSE),
            0
        ) +
        IFERROR(
            VLOOKUP($A36, INDIRECT("JulR!$A$6:$ZZ$1048576"), MATCH(AD$1, JulR!$6:$6, 0), FALSE),
            0
        ) +
        IFERROR(
            VLOOKUP($A36, INDIRECT("AgoR!$A$6:$ZZ$1048576"), MATCH(AD$1, AgoR!$6:$6, 0), FALSE),
            0
        ) +
        IFERROR(
            VLOOKUP($A36, INDIRECT("SepR!$A$6:$ZZ$1048576"), MATCH(AD$1, SepR!$6:$6, 0), FALSE),
            0
        ) +
        IFERROR(
            VLOOKUP($A36, INDIRECT("OctR!$A$6:$ZZ$1048576"), MATCH(AD$1, OctR!$6:$6, 0), FALSE),
            0
        ) +
        IFERROR(
            VLOOKUP($A36, INDIRECT("NovR!$A$6:$ZZ$1048576"), MATCH(AD$1, NovR!$6:$6, 0), FALSE),
            0
        ) +
        IFERROR(
            VLOOKUP($A36, INDIRECT("DicR!$A$6:$ZZ$1048576"), MATCH(AD$1, DicR!$6:$6, 0), FALSE),
            0
        )
)</f>
        <v>0</v>
      </c>
      <c r="AE36" s="37">
        <f t="array" ref="AE36">SUM(
    IFERROR(
            VLOOKUP($A36, INDIRECT("EneR!$A$6:$ZZ$1048576"), MATCH(AE$1, EneR!$6:$6, 0), FALSE),
            0
        ) +
        IFERROR(
            VLOOKUP($A36, INDIRECT("FebR!$A$6:$ZZ$1048576"), MATCH(AE$1, FebR!$6:$6, 0), FALSE),
            0
        ) +
        IFERROR(
            VLOOKUP($A36, INDIRECT("MarR!$A$6:$ZZ$1048576"), MATCH(AE$1, MarR!$6:$6, 0), FALSE),
            0
        ) +
        IFERROR(
            VLOOKUP($A36, INDIRECT("AbrR!$A$6:$ZZ$1048576"), MATCH(AE$1, AbrR!$6:$6, 0), FALSE),
            0
        ) +
        IFERROR(
            VLOOKUP($A36, INDIRECT("MayR!$A$6:$ZZ$1048576"), MATCH(AE$1, MayR!$6:$6, 0), FALSE),
            0
        ) +
        IFERROR(
            VLOOKUP($A36, INDIRECT("JunR!$A$6:$ZZ$1048576"), MATCH(AE$1, JunR!$6:$6, 0), FALSE),
            0
        ) +
        IFERROR(
            VLOOKUP($A36, INDIRECT("JulR!$A$6:$ZZ$1048576"), MATCH(AE$1, JulR!$6:$6, 0), FALSE),
            0
        ) +
        IFERROR(
            VLOOKUP($A36, INDIRECT("AgoR!$A$6:$ZZ$1048576"), MATCH(AE$1, AgoR!$6:$6, 0), FALSE),
            0
        ) +
        IFERROR(
            VLOOKUP($A36, INDIRECT("SepR!$A$6:$ZZ$1048576"), MATCH(AE$1, SepR!$6:$6, 0), FALSE),
            0
        ) +
        IFERROR(
            VLOOKUP($A36, INDIRECT("OctR!$A$6:$ZZ$1048576"), MATCH(AE$1, OctR!$6:$6, 0), FALSE),
            0
        ) +
        IFERROR(
            VLOOKUP($A36, INDIRECT("NovR!$A$6:$ZZ$1048576"), MATCH(AE$1, NovR!$6:$6, 0), FALSE),
            0
        ) +
        IFERROR(
            VLOOKUP($A36, INDIRECT("DicR!$A$6:$ZZ$1048576"), MATCH(AE$1, DicR!$6:$6, 0), FALSE),
            0
        )
)</f>
        <v>0</v>
      </c>
      <c r="AF36" s="36">
        <f t="array" ref="AF36">SUM(
    IFERROR(
            VLOOKUP($A36, INDIRECT("EneR!$A$6:$ZZ$1048576"), MATCH(AF$1, EneR!$6:$6, 0), FALSE),
            0
        ) +
        IFERROR(
            VLOOKUP($A36, INDIRECT("FebR!$A$6:$ZZ$1048576"), MATCH(AF$1, FebR!$6:$6, 0), FALSE),
            0
        ) +
        IFERROR(
            VLOOKUP($A36, INDIRECT("MarR!$A$6:$ZZ$1048576"), MATCH(AF$1, MarR!$6:$6, 0), FALSE),
            0
        ) +
        IFERROR(
            VLOOKUP($A36, INDIRECT("AbrR!$A$6:$ZZ$1048576"), MATCH(AF$1, AbrR!$6:$6, 0), FALSE),
            0
        ) +
        IFERROR(
            VLOOKUP($A36, INDIRECT("MayR!$A$6:$ZZ$1048576"), MATCH(AF$1, MayR!$6:$6, 0), FALSE),
            0
        ) +
        IFERROR(
            VLOOKUP($A36, INDIRECT("JunR!$A$6:$ZZ$1048576"), MATCH(AF$1, JunR!$6:$6, 0), FALSE),
            0
        ) +
        IFERROR(
            VLOOKUP($A36, INDIRECT("JulR!$A$6:$ZZ$1048576"), MATCH(AF$1, JulR!$6:$6, 0), FALSE),
            0
        ) +
        IFERROR(
            VLOOKUP($A36, INDIRECT("AgoR!$A$6:$ZZ$1048576"), MATCH(AF$1, AgoR!$6:$6, 0), FALSE),
            0
        ) +
        IFERROR(
            VLOOKUP($A36, INDIRECT("SepR!$A$6:$ZZ$1048576"), MATCH(AF$1, SepR!$6:$6, 0), FALSE),
            0
        ) +
        IFERROR(
            VLOOKUP($A36, INDIRECT("OctR!$A$6:$ZZ$1048576"), MATCH(AF$1, OctR!$6:$6, 0), FALSE),
            0
        ) +
        IFERROR(
            VLOOKUP($A36, INDIRECT("NovR!$A$6:$ZZ$1048576"), MATCH(AF$1, NovR!$6:$6, 0), FALSE),
            0
        ) +
        IFERROR(
            VLOOKUP($A36, INDIRECT("DicR!$A$6:$ZZ$1048576"), MATCH(AF$1, DicR!$6:$6, 0), FALSE),
            0
        )
)</f>
        <v>0</v>
      </c>
      <c r="AG36" s="37">
        <f t="array" ref="AG36">SUM(
    IFERROR(
            VLOOKUP($A36, INDIRECT("EneR!$A$6:$ZZ$1048576"), MATCH(AG$1, EneR!$6:$6, 0), FALSE),
            0
        ) +
        IFERROR(
            VLOOKUP($A36, INDIRECT("FebR!$A$6:$ZZ$1048576"), MATCH(AG$1, FebR!$6:$6, 0), FALSE),
            0
        ) +
        IFERROR(
            VLOOKUP($A36, INDIRECT("MarR!$A$6:$ZZ$1048576"), MATCH(AG$1, MarR!$6:$6, 0), FALSE),
            0
        ) +
        IFERROR(
            VLOOKUP($A36, INDIRECT("AbrR!$A$6:$ZZ$1048576"), MATCH(AG$1, AbrR!$6:$6, 0), FALSE),
            0
        ) +
        IFERROR(
            VLOOKUP($A36, INDIRECT("MayR!$A$6:$ZZ$1048576"), MATCH(AG$1, MayR!$6:$6, 0), FALSE),
            0
        ) +
        IFERROR(
            VLOOKUP($A36, INDIRECT("JunR!$A$6:$ZZ$1048576"), MATCH(AG$1, JunR!$6:$6, 0), FALSE),
            0
        ) +
        IFERROR(
            VLOOKUP($A36, INDIRECT("JulR!$A$6:$ZZ$1048576"), MATCH(AG$1, JulR!$6:$6, 0), FALSE),
            0
        ) +
        IFERROR(
            VLOOKUP($A36, INDIRECT("AgoR!$A$6:$ZZ$1048576"), MATCH(AG$1, AgoR!$6:$6, 0), FALSE),
            0
        ) +
        IFERROR(
            VLOOKUP($A36, INDIRECT("SepR!$A$6:$ZZ$1048576"), MATCH(AG$1, SepR!$6:$6, 0), FALSE),
            0
        ) +
        IFERROR(
            VLOOKUP($A36, INDIRECT("OctR!$A$6:$ZZ$1048576"), MATCH(AG$1, OctR!$6:$6, 0), FALSE),
            0
        ) +
        IFERROR(
            VLOOKUP($A36, INDIRECT("NovR!$A$6:$ZZ$1048576"), MATCH(AG$1, NovR!$6:$6, 0), FALSE),
            0
        ) +
        IFERROR(
            VLOOKUP($A36, INDIRECT("DicR!$A$6:$ZZ$1048576"), MATCH(AG$1, DicR!$6:$6, 0), FALSE),
            0
        )
)</f>
        <v>0</v>
      </c>
      <c r="AH36" s="36">
        <f t="array" ref="AH36">SUM(
    IFERROR(
            VLOOKUP($A36, INDIRECT("EneR!$A$6:$ZZ$1048576"), MATCH(AH$1, EneR!$6:$6, 0), FALSE),
            0
        ) +
        IFERROR(
            VLOOKUP($A36, INDIRECT("FebR!$A$6:$ZZ$1048576"), MATCH(AH$1, FebR!$6:$6, 0), FALSE),
            0
        ) +
        IFERROR(
            VLOOKUP($A36, INDIRECT("MarR!$A$6:$ZZ$1048576"), MATCH(AH$1, MarR!$6:$6, 0), FALSE),
            0
        ) +
        IFERROR(
            VLOOKUP($A36, INDIRECT("AbrR!$A$6:$ZZ$1048576"), MATCH(AH$1, AbrR!$6:$6, 0), FALSE),
            0
        ) +
        IFERROR(
            VLOOKUP($A36, INDIRECT("MayR!$A$6:$ZZ$1048576"), MATCH(AH$1, MayR!$6:$6, 0), FALSE),
            0
        ) +
        IFERROR(
            VLOOKUP($A36, INDIRECT("JunR!$A$6:$ZZ$1048576"), MATCH(AH$1, JunR!$6:$6, 0), FALSE),
            0
        ) +
        IFERROR(
            VLOOKUP($A36, INDIRECT("JulR!$A$6:$ZZ$1048576"), MATCH(AH$1, JulR!$6:$6, 0), FALSE),
            0
        ) +
        IFERROR(
            VLOOKUP($A36, INDIRECT("AgoR!$A$6:$ZZ$1048576"), MATCH(AH$1, AgoR!$6:$6, 0), FALSE),
            0
        ) +
        IFERROR(
            VLOOKUP($A36, INDIRECT("SepR!$A$6:$ZZ$1048576"), MATCH(AH$1, SepR!$6:$6, 0), FALSE),
            0
        ) +
        IFERROR(
            VLOOKUP($A36, INDIRECT("OctR!$A$6:$ZZ$1048576"), MATCH(AH$1, OctR!$6:$6, 0), FALSE),
            0
        ) +
        IFERROR(
            VLOOKUP($A36, INDIRECT("NovR!$A$6:$ZZ$1048576"), MATCH(AH$1, NovR!$6:$6, 0), FALSE),
            0
        ) +
        IFERROR(
            VLOOKUP($A36, INDIRECT("DicR!$A$6:$ZZ$1048576"), MATCH(AH$1, DicR!$6:$6, 0), FALSE),
            0
        )
)</f>
        <v>0</v>
      </c>
      <c r="AI36" s="37">
        <f t="array" ref="AI36">SUM(
    IFERROR(
            VLOOKUP($A36, INDIRECT("EneR!$A$6:$ZZ$1048576"), MATCH(AI$1, EneR!$6:$6, 0), FALSE),
            0
        ) +
        IFERROR(
            VLOOKUP($A36, INDIRECT("FebR!$A$6:$ZZ$1048576"), MATCH(AI$1, FebR!$6:$6, 0), FALSE),
            0
        ) +
        IFERROR(
            VLOOKUP($A36, INDIRECT("MarR!$A$6:$ZZ$1048576"), MATCH(AI$1, MarR!$6:$6, 0), FALSE),
            0
        ) +
        IFERROR(
            VLOOKUP($A36, INDIRECT("AbrR!$A$6:$ZZ$1048576"), MATCH(AI$1, AbrR!$6:$6, 0), FALSE),
            0
        ) +
        IFERROR(
            VLOOKUP($A36, INDIRECT("MayR!$A$6:$ZZ$1048576"), MATCH(AI$1, MayR!$6:$6, 0), FALSE),
            0
        ) +
        IFERROR(
            VLOOKUP($A36, INDIRECT("JunR!$A$6:$ZZ$1048576"), MATCH(AI$1, JunR!$6:$6, 0), FALSE),
            0
        ) +
        IFERROR(
            VLOOKUP($A36, INDIRECT("JulR!$A$6:$ZZ$1048576"), MATCH(AI$1, JulR!$6:$6, 0), FALSE),
            0
        ) +
        IFERROR(
            VLOOKUP($A36, INDIRECT("AgoR!$A$6:$ZZ$1048576"), MATCH(AI$1, AgoR!$6:$6, 0), FALSE),
            0
        ) +
        IFERROR(
            VLOOKUP($A36, INDIRECT("SepR!$A$6:$ZZ$1048576"), MATCH(AI$1, SepR!$6:$6, 0), FALSE),
            0
        ) +
        IFERROR(
            VLOOKUP($A36, INDIRECT("OctR!$A$6:$ZZ$1048576"), MATCH(AI$1, OctR!$6:$6, 0), FALSE),
            0
        ) +
        IFERROR(
            VLOOKUP($A36, INDIRECT("NovR!$A$6:$ZZ$1048576"), MATCH(AI$1, NovR!$6:$6, 0), FALSE),
            0
        ) +
        IFERROR(
            VLOOKUP($A36, INDIRECT("DicR!$A$6:$ZZ$1048576"), MATCH(AI$1, DicR!$6:$6, 0), FALSE),
            0
        )
)</f>
        <v>0</v>
      </c>
      <c r="AJ36" s="36">
        <f t="array" ref="AJ36">SUM(
    IFERROR(
            VLOOKUP($A36, INDIRECT("EneR!$A$6:$ZZ$1048576"), MATCH(AJ$1, EneR!$6:$6, 0), FALSE),
            0
        ) +
        IFERROR(
            VLOOKUP($A36, INDIRECT("FebR!$A$6:$ZZ$1048576"), MATCH(AJ$1, FebR!$6:$6, 0), FALSE),
            0
        ) +
        IFERROR(
            VLOOKUP($A36, INDIRECT("MarR!$A$6:$ZZ$1048576"), MATCH(AJ$1, MarR!$6:$6, 0), FALSE),
            0
        ) +
        IFERROR(
            VLOOKUP($A36, INDIRECT("AbrR!$A$6:$ZZ$1048576"), MATCH(AJ$1, AbrR!$6:$6, 0), FALSE),
            0
        ) +
        IFERROR(
            VLOOKUP($A36, INDIRECT("MayR!$A$6:$ZZ$1048576"), MATCH(AJ$1, MayR!$6:$6, 0), FALSE),
            0
        ) +
        IFERROR(
            VLOOKUP($A36, INDIRECT("JunR!$A$6:$ZZ$1048576"), MATCH(AJ$1, JunR!$6:$6, 0), FALSE),
            0
        ) +
        IFERROR(
            VLOOKUP($A36, INDIRECT("JulR!$A$6:$ZZ$1048576"), MATCH(AJ$1, JulR!$6:$6, 0), FALSE),
            0
        ) +
        IFERROR(
            VLOOKUP($A36, INDIRECT("AgoR!$A$6:$ZZ$1048576"), MATCH(AJ$1, AgoR!$6:$6, 0), FALSE),
            0
        ) +
        IFERROR(
            VLOOKUP($A36, INDIRECT("SepR!$A$6:$ZZ$1048576"), MATCH(AJ$1, SepR!$6:$6, 0), FALSE),
            0
        ) +
        IFERROR(
            VLOOKUP($A36, INDIRECT("OctR!$A$6:$ZZ$1048576"), MATCH(AJ$1, OctR!$6:$6, 0), FALSE),
            0
        ) +
        IFERROR(
            VLOOKUP($A36, INDIRECT("NovR!$A$6:$ZZ$1048576"), MATCH(AJ$1, NovR!$6:$6, 0), FALSE),
            0
        ) +
        IFERROR(
            VLOOKUP($A36, INDIRECT("DicR!$A$6:$ZZ$1048576"), MATCH(AJ$1, DicR!$6:$6, 0), FALSE),
            0
        )
)</f>
        <v>0</v>
      </c>
      <c r="AK36" s="37">
        <f t="array" ref="AK36">SUM(
    IFERROR(
            VLOOKUP($A36, INDIRECT("EneR!$A$6:$ZZ$1048576"), MATCH(AK$1, EneR!$6:$6, 0), FALSE),
            0
        ) +
        IFERROR(
            VLOOKUP($A36, INDIRECT("FebR!$A$6:$ZZ$1048576"), MATCH(AK$1, FebR!$6:$6, 0), FALSE),
            0
        ) +
        IFERROR(
            VLOOKUP($A36, INDIRECT("MarR!$A$6:$ZZ$1048576"), MATCH(AK$1, MarR!$6:$6, 0), FALSE),
            0
        ) +
        IFERROR(
            VLOOKUP($A36, INDIRECT("AbrR!$A$6:$ZZ$1048576"), MATCH(AK$1, AbrR!$6:$6, 0), FALSE),
            0
        ) +
        IFERROR(
            VLOOKUP($A36, INDIRECT("MayR!$A$6:$ZZ$1048576"), MATCH(AK$1, MayR!$6:$6, 0), FALSE),
            0
        ) +
        IFERROR(
            VLOOKUP($A36, INDIRECT("JunR!$A$6:$ZZ$1048576"), MATCH(AK$1, JunR!$6:$6, 0), FALSE),
            0
        ) +
        IFERROR(
            VLOOKUP($A36, INDIRECT("JulR!$A$6:$ZZ$1048576"), MATCH(AK$1, JulR!$6:$6, 0), FALSE),
            0
        ) +
        IFERROR(
            VLOOKUP($A36, INDIRECT("AgoR!$A$6:$ZZ$1048576"), MATCH(AK$1, AgoR!$6:$6, 0), FALSE),
            0
        ) +
        IFERROR(
            VLOOKUP($A36, INDIRECT("SepR!$A$6:$ZZ$1048576"), MATCH(AK$1, SepR!$6:$6, 0), FALSE),
            0
        ) +
        IFERROR(
            VLOOKUP($A36, INDIRECT("OctR!$A$6:$ZZ$1048576"), MATCH(AK$1, OctR!$6:$6, 0), FALSE),
            0
        ) +
        IFERROR(
            VLOOKUP($A36, INDIRECT("NovR!$A$6:$ZZ$1048576"), MATCH(AK$1, NovR!$6:$6, 0), FALSE),
            0
        ) +
        IFERROR(
            VLOOKUP($A36, INDIRECT("DicR!$A$6:$ZZ$1048576"), MATCH(AK$1, DicR!$6:$6, 0), FALSE),
            0
        )
)</f>
        <v>0</v>
      </c>
      <c r="AL36" s="36">
        <f t="array" ref="AL36">SUM(
    IFERROR(
            VLOOKUP($A36, INDIRECT("EneR!$A$6:$ZZ$1048576"), MATCH(AL$1, EneR!$6:$6, 0), FALSE),
            0
        ) +
        IFERROR(
            VLOOKUP($A36, INDIRECT("FebR!$A$6:$ZZ$1048576"), MATCH(AL$1, FebR!$6:$6, 0), FALSE),
            0
        ) +
        IFERROR(
            VLOOKUP($A36, INDIRECT("MarR!$A$6:$ZZ$1048576"), MATCH(AL$1, MarR!$6:$6, 0), FALSE),
            0
        ) +
        IFERROR(
            VLOOKUP($A36, INDIRECT("AbrR!$A$6:$ZZ$1048576"), MATCH(AL$1, AbrR!$6:$6, 0), FALSE),
            0
        ) +
        IFERROR(
            VLOOKUP($A36, INDIRECT("MayR!$A$6:$ZZ$1048576"), MATCH(AL$1, MayR!$6:$6, 0), FALSE),
            0
        ) +
        IFERROR(
            VLOOKUP($A36, INDIRECT("JunR!$A$6:$ZZ$1048576"), MATCH(AL$1, JunR!$6:$6, 0), FALSE),
            0
        ) +
        IFERROR(
            VLOOKUP($A36, INDIRECT("JulR!$A$6:$ZZ$1048576"), MATCH(AL$1, JulR!$6:$6, 0), FALSE),
            0
        ) +
        IFERROR(
            VLOOKUP($A36, INDIRECT("AgoR!$A$6:$ZZ$1048576"), MATCH(AL$1, AgoR!$6:$6, 0), FALSE),
            0
        ) +
        IFERROR(
            VLOOKUP($A36, INDIRECT("SepR!$A$6:$ZZ$1048576"), MATCH(AL$1, SepR!$6:$6, 0), FALSE),
            0
        ) +
        IFERROR(
            VLOOKUP($A36, INDIRECT("OctR!$A$6:$ZZ$1048576"), MATCH(AL$1, OctR!$6:$6, 0), FALSE),
            0
        ) +
        IFERROR(
            VLOOKUP($A36, INDIRECT("NovR!$A$6:$ZZ$1048576"), MATCH(AL$1, NovR!$6:$6, 0), FALSE),
            0
        ) +
        IFERROR(
            VLOOKUP($A36, INDIRECT("DicR!$A$6:$ZZ$1048576"), MATCH(AL$1, DicR!$6:$6, 0), FALSE),
            0
        )
)</f>
        <v>0</v>
      </c>
      <c r="AM36" s="37">
        <f t="array" ref="AM36">SUM(
    IFERROR(
            VLOOKUP($A36, INDIRECT("EneR!$A$6:$ZZ$1048576"), MATCH(AM$1, EneR!$6:$6, 0), FALSE),
            0
        ) +
        IFERROR(
            VLOOKUP($A36, INDIRECT("FebR!$A$6:$ZZ$1048576"), MATCH(AM$1, FebR!$6:$6, 0), FALSE),
            0
        ) +
        IFERROR(
            VLOOKUP($A36, INDIRECT("MarR!$A$6:$ZZ$1048576"), MATCH(AM$1, MarR!$6:$6, 0), FALSE),
            0
        ) +
        IFERROR(
            VLOOKUP($A36, INDIRECT("AbrR!$A$6:$ZZ$1048576"), MATCH(AM$1, AbrR!$6:$6, 0), FALSE),
            0
        ) +
        IFERROR(
            VLOOKUP($A36, INDIRECT("MayR!$A$6:$ZZ$1048576"), MATCH(AM$1, MayR!$6:$6, 0), FALSE),
            0
        ) +
        IFERROR(
            VLOOKUP($A36, INDIRECT("JunR!$A$6:$ZZ$1048576"), MATCH(AM$1, JunR!$6:$6, 0), FALSE),
            0
        ) +
        IFERROR(
            VLOOKUP($A36, INDIRECT("JulR!$A$6:$ZZ$1048576"), MATCH(AM$1, JulR!$6:$6, 0), FALSE),
            0
        ) +
        IFERROR(
            VLOOKUP($A36, INDIRECT("AgoR!$A$6:$ZZ$1048576"), MATCH(AM$1, AgoR!$6:$6, 0), FALSE),
            0
        ) +
        IFERROR(
            VLOOKUP($A36, INDIRECT("SepR!$A$6:$ZZ$1048576"), MATCH(AM$1, SepR!$6:$6, 0), FALSE),
            0
        ) +
        IFERROR(
            VLOOKUP($A36, INDIRECT("OctR!$A$6:$ZZ$1048576"), MATCH(AM$1, OctR!$6:$6, 0), FALSE),
            0
        ) +
        IFERROR(
            VLOOKUP($A36, INDIRECT("NovR!$A$6:$ZZ$1048576"), MATCH(AM$1, NovR!$6:$6, 0), FALSE),
            0
        ) +
        IFERROR(
            VLOOKUP($A36, INDIRECT("DicR!$A$6:$ZZ$1048576"), MATCH(AM$1, DicR!$6:$6, 0), FALSE),
            0
        )
)</f>
        <v>0</v>
      </c>
      <c r="AN36" s="36">
        <f t="array" ref="AN36">SUM(
    IFERROR(
            VLOOKUP($A36, INDIRECT("EneR!$A$6:$ZZ$1048576"), MATCH(AN$1, EneR!$6:$6, 0), FALSE),
            0
        ) +
        IFERROR(
            VLOOKUP($A36, INDIRECT("FebR!$A$6:$ZZ$1048576"), MATCH(AN$1, FebR!$6:$6, 0), FALSE),
            0
        ) +
        IFERROR(
            VLOOKUP($A36, INDIRECT("MarR!$A$6:$ZZ$1048576"), MATCH(AN$1, MarR!$6:$6, 0), FALSE),
            0
        ) +
        IFERROR(
            VLOOKUP($A36, INDIRECT("AbrR!$A$6:$ZZ$1048576"), MATCH(AN$1, AbrR!$6:$6, 0), FALSE),
            0
        ) +
        IFERROR(
            VLOOKUP($A36, INDIRECT("MayR!$A$6:$ZZ$1048576"), MATCH(AN$1, MayR!$6:$6, 0), FALSE),
            0
        ) +
        IFERROR(
            VLOOKUP($A36, INDIRECT("JunR!$A$6:$ZZ$1048576"), MATCH(AN$1, JunR!$6:$6, 0), FALSE),
            0
        ) +
        IFERROR(
            VLOOKUP($A36, INDIRECT("JulR!$A$6:$ZZ$1048576"), MATCH(AN$1, JulR!$6:$6, 0), FALSE),
            0
        ) +
        IFERROR(
            VLOOKUP($A36, INDIRECT("AgoR!$A$6:$ZZ$1048576"), MATCH(AN$1, AgoR!$6:$6, 0), FALSE),
            0
        ) +
        IFERROR(
            VLOOKUP($A36, INDIRECT("SepR!$A$6:$ZZ$1048576"), MATCH(AN$1, SepR!$6:$6, 0), FALSE),
            0
        ) +
        IFERROR(
            VLOOKUP($A36, INDIRECT("OctR!$A$6:$ZZ$1048576"), MATCH(AN$1, OctR!$6:$6, 0), FALSE),
            0
        ) +
        IFERROR(
            VLOOKUP($A36, INDIRECT("NovR!$A$6:$ZZ$1048576"), MATCH(AN$1, NovR!$6:$6, 0), FALSE),
            0
        ) +
        IFERROR(
            VLOOKUP($A36, INDIRECT("DicR!$A$6:$ZZ$1048576"), MATCH(AN$1, DicR!$6:$6, 0), FALSE),
            0
        )
)</f>
        <v>0</v>
      </c>
      <c r="AO36" s="37">
        <f t="array" ref="AO36">SUM(
    IFERROR(
            VLOOKUP($A36, INDIRECT("EneR!$A$6:$ZZ$1048576"), MATCH(AO$1, EneR!$6:$6, 0), FALSE),
            0
        ) +
        IFERROR(
            VLOOKUP($A36, INDIRECT("FebR!$A$6:$ZZ$1048576"), MATCH(AO$1, FebR!$6:$6, 0), FALSE),
            0
        ) +
        IFERROR(
            VLOOKUP($A36, INDIRECT("MarR!$A$6:$ZZ$1048576"), MATCH(AO$1, MarR!$6:$6, 0), FALSE),
            0
        ) +
        IFERROR(
            VLOOKUP($A36, INDIRECT("AbrR!$A$6:$ZZ$1048576"), MATCH(AO$1, AbrR!$6:$6, 0), FALSE),
            0
        ) +
        IFERROR(
            VLOOKUP($A36, INDIRECT("MayR!$A$6:$ZZ$1048576"), MATCH(AO$1, MayR!$6:$6, 0), FALSE),
            0
        ) +
        IFERROR(
            VLOOKUP($A36, INDIRECT("JunR!$A$6:$ZZ$1048576"), MATCH(AO$1, JunR!$6:$6, 0), FALSE),
            0
        ) +
        IFERROR(
            VLOOKUP($A36, INDIRECT("JulR!$A$6:$ZZ$1048576"), MATCH(AO$1, JulR!$6:$6, 0), FALSE),
            0
        ) +
        IFERROR(
            VLOOKUP($A36, INDIRECT("AgoR!$A$6:$ZZ$1048576"), MATCH(AO$1, AgoR!$6:$6, 0), FALSE),
            0
        ) +
        IFERROR(
            VLOOKUP($A36, INDIRECT("SepR!$A$6:$ZZ$1048576"), MATCH(AO$1, SepR!$6:$6, 0), FALSE),
            0
        ) +
        IFERROR(
            VLOOKUP($A36, INDIRECT("OctR!$A$6:$ZZ$1048576"), MATCH(AO$1, OctR!$6:$6, 0), FALSE),
            0
        ) +
        IFERROR(
            VLOOKUP($A36, INDIRECT("NovR!$A$6:$ZZ$1048576"), MATCH(AO$1, NovR!$6:$6, 0), FALSE),
            0
        ) +
        IFERROR(
            VLOOKUP($A36, INDIRECT("DicR!$A$6:$ZZ$1048576"), MATCH(AO$1, DicR!$6:$6, 0), FALSE),
            0
        )
)</f>
        <v>0</v>
      </c>
      <c r="AP36" s="36">
        <f t="array" ref="AP36">SUM(
    IFERROR(
            VLOOKUP($A36, INDIRECT("EneR!$A$6:$ZZ$1048576"), MATCH(AP$1, EneR!$6:$6, 0), FALSE),
            0
        ) +
        IFERROR(
            VLOOKUP($A36, INDIRECT("FebR!$A$6:$ZZ$1048576"), MATCH(AP$1, FebR!$6:$6, 0), FALSE),
            0
        ) +
        IFERROR(
            VLOOKUP($A36, INDIRECT("MarR!$A$6:$ZZ$1048576"), MATCH(AP$1, MarR!$6:$6, 0), FALSE),
            0
        ) +
        IFERROR(
            VLOOKUP($A36, INDIRECT("AbrR!$A$6:$ZZ$1048576"), MATCH(AP$1, AbrR!$6:$6, 0), FALSE),
            0
        ) +
        IFERROR(
            VLOOKUP($A36, INDIRECT("MayR!$A$6:$ZZ$1048576"), MATCH(AP$1, MayR!$6:$6, 0), FALSE),
            0
        ) +
        IFERROR(
            VLOOKUP($A36, INDIRECT("JunR!$A$6:$ZZ$1048576"), MATCH(AP$1, JunR!$6:$6, 0), FALSE),
            0
        ) +
        IFERROR(
            VLOOKUP($A36, INDIRECT("JulR!$A$6:$ZZ$1048576"), MATCH(AP$1, JulR!$6:$6, 0), FALSE),
            0
        ) +
        IFERROR(
            VLOOKUP($A36, INDIRECT("AgoR!$A$6:$ZZ$1048576"), MATCH(AP$1, AgoR!$6:$6, 0), FALSE),
            0
        ) +
        IFERROR(
            VLOOKUP($A36, INDIRECT("SepR!$A$6:$ZZ$1048576"), MATCH(AP$1, SepR!$6:$6, 0), FALSE),
            0
        ) +
        IFERROR(
            VLOOKUP($A36, INDIRECT("OctR!$A$6:$ZZ$1048576"), MATCH(AP$1, OctR!$6:$6, 0), FALSE),
            0
        ) +
        IFERROR(
            VLOOKUP($A36, INDIRECT("NovR!$A$6:$ZZ$1048576"), MATCH(AP$1, NovR!$6:$6, 0), FALSE),
            0
        ) +
        IFERROR(
            VLOOKUP($A36, INDIRECT("DicR!$A$6:$ZZ$1048576"), MATCH(AP$1, DicR!$6:$6, 0), FALSE),
            0
        )
)</f>
        <v>0</v>
      </c>
      <c r="AQ36" s="37">
        <f t="array" ref="AQ36">SUM(
    IFERROR(
            VLOOKUP($A36, INDIRECT("EneR!$A$6:$ZZ$1048576"), MATCH(AQ$1, EneR!$6:$6, 0), FALSE),
            0
        ) +
        IFERROR(
            VLOOKUP($A36, INDIRECT("FebR!$A$6:$ZZ$1048576"), MATCH(AQ$1, FebR!$6:$6, 0), FALSE),
            0
        ) +
        IFERROR(
            VLOOKUP($A36, INDIRECT("MarR!$A$6:$ZZ$1048576"), MATCH(AQ$1, MarR!$6:$6, 0), FALSE),
            0
        ) +
        IFERROR(
            VLOOKUP($A36, INDIRECT("AbrR!$A$6:$ZZ$1048576"), MATCH(AQ$1, AbrR!$6:$6, 0), FALSE),
            0
        ) +
        IFERROR(
            VLOOKUP($A36, INDIRECT("MayR!$A$6:$ZZ$1048576"), MATCH(AQ$1, MayR!$6:$6, 0), FALSE),
            0
        ) +
        IFERROR(
            VLOOKUP($A36, INDIRECT("JunR!$A$6:$ZZ$1048576"), MATCH(AQ$1, JunR!$6:$6, 0), FALSE),
            0
        ) +
        IFERROR(
            VLOOKUP($A36, INDIRECT("JulR!$A$6:$ZZ$1048576"), MATCH(AQ$1, JulR!$6:$6, 0), FALSE),
            0
        ) +
        IFERROR(
            VLOOKUP($A36, INDIRECT("AgoR!$A$6:$ZZ$1048576"), MATCH(AQ$1, AgoR!$6:$6, 0), FALSE),
            0
        ) +
        IFERROR(
            VLOOKUP($A36, INDIRECT("SepR!$A$6:$ZZ$1048576"), MATCH(AQ$1, SepR!$6:$6, 0), FALSE),
            0
        ) +
        IFERROR(
            VLOOKUP($A36, INDIRECT("OctR!$A$6:$ZZ$1048576"), MATCH(AQ$1, OctR!$6:$6, 0), FALSE),
            0
        ) +
        IFERROR(
            VLOOKUP($A36, INDIRECT("NovR!$A$6:$ZZ$1048576"), MATCH(AQ$1, NovR!$6:$6, 0), FALSE),
            0
        ) +
        IFERROR(
            VLOOKUP($A36, INDIRECT("DicR!$A$6:$ZZ$1048576"), MATCH(AQ$1, DicR!$6:$6, 0), FALSE),
            0
        )
)</f>
        <v>0</v>
      </c>
      <c r="AR36" s="36">
        <f t="array" ref="AR36">SUM(
    IFERROR(
            VLOOKUP($A36, INDIRECT("EneR!$A$6:$ZZ$1048576"), MATCH(AR$1, EneR!$6:$6, 0), FALSE),
            0
        ) +
        IFERROR(
            VLOOKUP($A36, INDIRECT("FebR!$A$6:$ZZ$1048576"), MATCH(AR$1, FebR!$6:$6, 0), FALSE),
            0
        ) +
        IFERROR(
            VLOOKUP($A36, INDIRECT("MarR!$A$6:$ZZ$1048576"), MATCH(AR$1, MarR!$6:$6, 0), FALSE),
            0
        ) +
        IFERROR(
            VLOOKUP($A36, INDIRECT("AbrR!$A$6:$ZZ$1048576"), MATCH(AR$1, AbrR!$6:$6, 0), FALSE),
            0
        ) +
        IFERROR(
            VLOOKUP($A36, INDIRECT("MayR!$A$6:$ZZ$1048576"), MATCH(AR$1, MayR!$6:$6, 0), FALSE),
            0
        ) +
        IFERROR(
            VLOOKUP($A36, INDIRECT("JunR!$A$6:$ZZ$1048576"), MATCH(AR$1, JunR!$6:$6, 0), FALSE),
            0
        ) +
        IFERROR(
            VLOOKUP($A36, INDIRECT("JulR!$A$6:$ZZ$1048576"), MATCH(AR$1, JulR!$6:$6, 0), FALSE),
            0
        ) +
        IFERROR(
            VLOOKUP($A36, INDIRECT("AgoR!$A$6:$ZZ$1048576"), MATCH(AR$1, AgoR!$6:$6, 0), FALSE),
            0
        ) +
        IFERROR(
            VLOOKUP($A36, INDIRECT("SepR!$A$6:$ZZ$1048576"), MATCH(AR$1, SepR!$6:$6, 0), FALSE),
            0
        ) +
        IFERROR(
            VLOOKUP($A36, INDIRECT("OctR!$A$6:$ZZ$1048576"), MATCH(AR$1, OctR!$6:$6, 0), FALSE),
            0
        ) +
        IFERROR(
            VLOOKUP($A36, INDIRECT("NovR!$A$6:$ZZ$1048576"), MATCH(AR$1, NovR!$6:$6, 0), FALSE),
            0
        ) +
        IFERROR(
            VLOOKUP($A36, INDIRECT("DicR!$A$6:$ZZ$1048576"), MATCH(AR$1, DicR!$6:$6, 0), FALSE),
            0
        )
)</f>
        <v>0</v>
      </c>
      <c r="AS36" s="37">
        <f t="array" ref="AS36">SUM(
    IFERROR(
            VLOOKUP($A36, INDIRECT("EneR!$A$6:$ZZ$1048576"), MATCH(AS$1, EneR!$6:$6, 0), FALSE),
            0
        ) +
        IFERROR(
            VLOOKUP($A36, INDIRECT("FebR!$A$6:$ZZ$1048576"), MATCH(AS$1, FebR!$6:$6, 0), FALSE),
            0
        ) +
        IFERROR(
            VLOOKUP($A36, INDIRECT("MarR!$A$6:$ZZ$1048576"), MATCH(AS$1, MarR!$6:$6, 0), FALSE),
            0
        ) +
        IFERROR(
            VLOOKUP($A36, INDIRECT("AbrR!$A$6:$ZZ$1048576"), MATCH(AS$1, AbrR!$6:$6, 0), FALSE),
            0
        ) +
        IFERROR(
            VLOOKUP($A36, INDIRECT("MayR!$A$6:$ZZ$1048576"), MATCH(AS$1, MayR!$6:$6, 0), FALSE),
            0
        ) +
        IFERROR(
            VLOOKUP($A36, INDIRECT("JunR!$A$6:$ZZ$1048576"), MATCH(AS$1, JunR!$6:$6, 0), FALSE),
            0
        ) +
        IFERROR(
            VLOOKUP($A36, INDIRECT("JulR!$A$6:$ZZ$1048576"), MATCH(AS$1, JulR!$6:$6, 0), FALSE),
            0
        ) +
        IFERROR(
            VLOOKUP($A36, INDIRECT("AgoR!$A$6:$ZZ$1048576"), MATCH(AS$1, AgoR!$6:$6, 0), FALSE),
            0
        ) +
        IFERROR(
            VLOOKUP($A36, INDIRECT("SepR!$A$6:$ZZ$1048576"), MATCH(AS$1, SepR!$6:$6, 0), FALSE),
            0
        ) +
        IFERROR(
            VLOOKUP($A36, INDIRECT("OctR!$A$6:$ZZ$1048576"), MATCH(AS$1, OctR!$6:$6, 0), FALSE),
            0
        ) +
        IFERROR(
            VLOOKUP($A36, INDIRECT("NovR!$A$6:$ZZ$1048576"), MATCH(AS$1, NovR!$6:$6, 0), FALSE),
            0
        ) +
        IFERROR(
            VLOOKUP($A36, INDIRECT("DicR!$A$6:$ZZ$1048576"), MATCH(AS$1, DicR!$6:$6, 0), FALSE),
            0
        )
)</f>
        <v>0</v>
      </c>
      <c r="AT36" s="36">
        <f t="array" ref="AT36">SUM(
    IFERROR(
            VLOOKUP($A36, INDIRECT("EneR!$A$6:$ZZ$1048576"), MATCH(AT$1, EneR!$6:$6, 0), FALSE),
            0
        ) +
        IFERROR(
            VLOOKUP($A36, INDIRECT("FebR!$A$6:$ZZ$1048576"), MATCH(AT$1, FebR!$6:$6, 0), FALSE),
            0
        ) +
        IFERROR(
            VLOOKUP($A36, INDIRECT("MarR!$A$6:$ZZ$1048576"), MATCH(AT$1, MarR!$6:$6, 0), FALSE),
            0
        ) +
        IFERROR(
            VLOOKUP($A36, INDIRECT("AbrR!$A$6:$ZZ$1048576"), MATCH(AT$1, AbrR!$6:$6, 0), FALSE),
            0
        ) +
        IFERROR(
            VLOOKUP($A36, INDIRECT("MayR!$A$6:$ZZ$1048576"), MATCH(AT$1, MayR!$6:$6, 0), FALSE),
            0
        ) +
        IFERROR(
            VLOOKUP($A36, INDIRECT("JunR!$A$6:$ZZ$1048576"), MATCH(AT$1, JunR!$6:$6, 0), FALSE),
            0
        ) +
        IFERROR(
            VLOOKUP($A36, INDIRECT("JulR!$A$6:$ZZ$1048576"), MATCH(AT$1, JulR!$6:$6, 0), FALSE),
            0
        ) +
        IFERROR(
            VLOOKUP($A36, INDIRECT("AgoR!$A$6:$ZZ$1048576"), MATCH(AT$1, AgoR!$6:$6, 0), FALSE),
            0
        ) +
        IFERROR(
            VLOOKUP($A36, INDIRECT("SepR!$A$6:$ZZ$1048576"), MATCH(AT$1, SepR!$6:$6, 0), FALSE),
            0
        ) +
        IFERROR(
            VLOOKUP($A36, INDIRECT("OctR!$A$6:$ZZ$1048576"), MATCH(AT$1, OctR!$6:$6, 0), FALSE),
            0
        ) +
        IFERROR(
            VLOOKUP($A36, INDIRECT("NovR!$A$6:$ZZ$1048576"), MATCH(AT$1, NovR!$6:$6, 0), FALSE),
            0
        ) +
        IFERROR(
            VLOOKUP($A36, INDIRECT("DicR!$A$6:$ZZ$1048576"), MATCH(AT$1, DicR!$6:$6, 0), FALSE),
            0
        )
)</f>
        <v>0</v>
      </c>
      <c r="AU36" s="37">
        <f t="array" ref="AU36">SUM(
    IFERROR(
            VLOOKUP($A36, INDIRECT("EneR!$A$6:$ZZ$1048576"), MATCH(AU$1, EneR!$6:$6, 0), FALSE),
            0
        ) +
        IFERROR(
            VLOOKUP($A36, INDIRECT("FebR!$A$6:$ZZ$1048576"), MATCH(AU$1, FebR!$6:$6, 0), FALSE),
            0
        ) +
        IFERROR(
            VLOOKUP($A36, INDIRECT("MarR!$A$6:$ZZ$1048576"), MATCH(AU$1, MarR!$6:$6, 0), FALSE),
            0
        ) +
        IFERROR(
            VLOOKUP($A36, INDIRECT("AbrR!$A$6:$ZZ$1048576"), MATCH(AU$1, AbrR!$6:$6, 0), FALSE),
            0
        ) +
        IFERROR(
            VLOOKUP($A36, INDIRECT("MayR!$A$6:$ZZ$1048576"), MATCH(AU$1, MayR!$6:$6, 0), FALSE),
            0
        ) +
        IFERROR(
            VLOOKUP($A36, INDIRECT("JunR!$A$6:$ZZ$1048576"), MATCH(AU$1, JunR!$6:$6, 0), FALSE),
            0
        ) +
        IFERROR(
            VLOOKUP($A36, INDIRECT("JulR!$A$6:$ZZ$1048576"), MATCH(AU$1, JulR!$6:$6, 0), FALSE),
            0
        ) +
        IFERROR(
            VLOOKUP($A36, INDIRECT("AgoR!$A$6:$ZZ$1048576"), MATCH(AU$1, AgoR!$6:$6, 0), FALSE),
            0
        ) +
        IFERROR(
            VLOOKUP($A36, INDIRECT("SepR!$A$6:$ZZ$1048576"), MATCH(AU$1, SepR!$6:$6, 0), FALSE),
            0
        ) +
        IFERROR(
            VLOOKUP($A36, INDIRECT("OctR!$A$6:$ZZ$1048576"), MATCH(AU$1, OctR!$6:$6, 0), FALSE),
            0
        ) +
        IFERROR(
            VLOOKUP($A36, INDIRECT("NovR!$A$6:$ZZ$1048576"), MATCH(AU$1, NovR!$6:$6, 0), FALSE),
            0
        ) +
        IFERROR(
            VLOOKUP($A36, INDIRECT("DicR!$A$6:$ZZ$1048576"), MATCH(AU$1, DicR!$6:$6, 0), FALSE),
            0
        )
)</f>
        <v>0</v>
      </c>
      <c r="AV36" s="36">
        <f t="array" ref="AV36">SUM(
    IFERROR(
            VLOOKUP($A36, INDIRECT("EneR!$A$6:$ZZ$1048576"), MATCH(AV$1, EneR!$6:$6, 0), FALSE),
            0
        ) +
        IFERROR(
            VLOOKUP($A36, INDIRECT("FebR!$A$6:$ZZ$1048576"), MATCH(AV$1, FebR!$6:$6, 0), FALSE),
            0
        ) +
        IFERROR(
            VLOOKUP($A36, INDIRECT("MarR!$A$6:$ZZ$1048576"), MATCH(AV$1, MarR!$6:$6, 0), FALSE),
            0
        ) +
        IFERROR(
            VLOOKUP($A36, INDIRECT("AbrR!$A$6:$ZZ$1048576"), MATCH(AV$1, AbrR!$6:$6, 0), FALSE),
            0
        ) +
        IFERROR(
            VLOOKUP($A36, INDIRECT("MayR!$A$6:$ZZ$1048576"), MATCH(AV$1, MayR!$6:$6, 0), FALSE),
            0
        ) +
        IFERROR(
            VLOOKUP($A36, INDIRECT("JunR!$A$6:$ZZ$1048576"), MATCH(AV$1, JunR!$6:$6, 0), FALSE),
            0
        ) +
        IFERROR(
            VLOOKUP($A36, INDIRECT("JulR!$A$6:$ZZ$1048576"), MATCH(AV$1, JulR!$6:$6, 0), FALSE),
            0
        ) +
        IFERROR(
            VLOOKUP($A36, INDIRECT("AgoR!$A$6:$ZZ$1048576"), MATCH(AV$1, AgoR!$6:$6, 0), FALSE),
            0
        ) +
        IFERROR(
            VLOOKUP($A36, INDIRECT("SepR!$A$6:$ZZ$1048576"), MATCH(AV$1, SepR!$6:$6, 0), FALSE),
            0
        ) +
        IFERROR(
            VLOOKUP($A36, INDIRECT("OctR!$A$6:$ZZ$1048576"), MATCH(AV$1, OctR!$6:$6, 0), FALSE),
            0
        ) +
        IFERROR(
            VLOOKUP($A36, INDIRECT("NovR!$A$6:$ZZ$1048576"), MATCH(AV$1, NovR!$6:$6, 0), FALSE),
            0
        ) +
        IFERROR(
            VLOOKUP($A36, INDIRECT("DicR!$A$6:$ZZ$1048576"), MATCH(AV$1, DicR!$6:$6, 0), FALSE),
            0
        )
)</f>
        <v>0</v>
      </c>
      <c r="AW36" s="37">
        <f t="array" ref="AW36">SUM(
    IFERROR(
            VLOOKUP($A36, INDIRECT("EneR!$A$6:$ZZ$1048576"), MATCH(AW$1, EneR!$6:$6, 0), FALSE),
            0
        ) +
        IFERROR(
            VLOOKUP($A36, INDIRECT("FebR!$A$6:$ZZ$1048576"), MATCH(AW$1, FebR!$6:$6, 0), FALSE),
            0
        ) +
        IFERROR(
            VLOOKUP($A36, INDIRECT("MarR!$A$6:$ZZ$1048576"), MATCH(AW$1, MarR!$6:$6, 0), FALSE),
            0
        ) +
        IFERROR(
            VLOOKUP($A36, INDIRECT("AbrR!$A$6:$ZZ$1048576"), MATCH(AW$1, AbrR!$6:$6, 0), FALSE),
            0
        ) +
        IFERROR(
            VLOOKUP($A36, INDIRECT("MayR!$A$6:$ZZ$1048576"), MATCH(AW$1, MayR!$6:$6, 0), FALSE),
            0
        ) +
        IFERROR(
            VLOOKUP($A36, INDIRECT("JunR!$A$6:$ZZ$1048576"), MATCH(AW$1, JunR!$6:$6, 0), FALSE),
            0
        ) +
        IFERROR(
            VLOOKUP($A36, INDIRECT("JulR!$A$6:$ZZ$1048576"), MATCH(AW$1, JulR!$6:$6, 0), FALSE),
            0
        ) +
        IFERROR(
            VLOOKUP($A36, INDIRECT("AgoR!$A$6:$ZZ$1048576"), MATCH(AW$1, AgoR!$6:$6, 0), FALSE),
            0
        ) +
        IFERROR(
            VLOOKUP($A36, INDIRECT("SepR!$A$6:$ZZ$1048576"), MATCH(AW$1, SepR!$6:$6, 0), FALSE),
            0
        ) +
        IFERROR(
            VLOOKUP($A36, INDIRECT("OctR!$A$6:$ZZ$1048576"), MATCH(AW$1, OctR!$6:$6, 0), FALSE),
            0
        ) +
        IFERROR(
            VLOOKUP($A36, INDIRECT("NovR!$A$6:$ZZ$1048576"), MATCH(AW$1, NovR!$6:$6, 0), FALSE),
            0
        ) +
        IFERROR(
            VLOOKUP($A36, INDIRECT("DicR!$A$6:$ZZ$1048576"), MATCH(AW$1, DicR!$6:$6, 0), FALSE),
            0
        )
)</f>
        <v>0</v>
      </c>
      <c r="AX36" s="36">
        <f t="array" ref="AX36">SUM(
    IFERROR(
            VLOOKUP($A36, INDIRECT("EneR!$A$6:$ZZ$1048576"), MATCH(AX$1, EneR!$6:$6, 0), FALSE),
            0
        ) +
        IFERROR(
            VLOOKUP($A36, INDIRECT("FebR!$A$6:$ZZ$1048576"), MATCH(AX$1, FebR!$6:$6, 0), FALSE),
            0
        ) +
        IFERROR(
            VLOOKUP($A36, INDIRECT("MarR!$A$6:$ZZ$1048576"), MATCH(AX$1, MarR!$6:$6, 0), FALSE),
            0
        ) +
        IFERROR(
            VLOOKUP($A36, INDIRECT("AbrR!$A$6:$ZZ$1048576"), MATCH(AX$1, AbrR!$6:$6, 0), FALSE),
            0
        ) +
        IFERROR(
            VLOOKUP($A36, INDIRECT("MayR!$A$6:$ZZ$1048576"), MATCH(AX$1, MayR!$6:$6, 0), FALSE),
            0
        ) +
        IFERROR(
            VLOOKUP($A36, INDIRECT("JunR!$A$6:$ZZ$1048576"), MATCH(AX$1, JunR!$6:$6, 0), FALSE),
            0
        ) +
        IFERROR(
            VLOOKUP($A36, INDIRECT("JulR!$A$6:$ZZ$1048576"), MATCH(AX$1, JulR!$6:$6, 0), FALSE),
            0
        ) +
        IFERROR(
            VLOOKUP($A36, INDIRECT("AgoR!$A$6:$ZZ$1048576"), MATCH(AX$1, AgoR!$6:$6, 0), FALSE),
            0
        ) +
        IFERROR(
            VLOOKUP($A36, INDIRECT("SepR!$A$6:$ZZ$1048576"), MATCH(AX$1, SepR!$6:$6, 0), FALSE),
            0
        ) +
        IFERROR(
            VLOOKUP($A36, INDIRECT("OctR!$A$6:$ZZ$1048576"), MATCH(AX$1, OctR!$6:$6, 0), FALSE),
            0
        ) +
        IFERROR(
            VLOOKUP($A36, INDIRECT("NovR!$A$6:$ZZ$1048576"), MATCH(AX$1, NovR!$6:$6, 0), FALSE),
            0
        ) +
        IFERROR(
            VLOOKUP($A36, INDIRECT("DicR!$A$6:$ZZ$1048576"), MATCH(AX$1, DicR!$6:$6, 0), FALSE),
            0
        )
)</f>
        <v>0</v>
      </c>
      <c r="AY36" s="37">
        <f t="array" ref="AY36">SUM(
    IFERROR(
            VLOOKUP($A36, INDIRECT("EneR!$A$6:$ZZ$1048576"), MATCH(AY$1, EneR!$6:$6, 0), FALSE),
            0
        ) +
        IFERROR(
            VLOOKUP($A36, INDIRECT("FebR!$A$6:$ZZ$1048576"), MATCH(AY$1, FebR!$6:$6, 0), FALSE),
            0
        ) +
        IFERROR(
            VLOOKUP($A36, INDIRECT("MarR!$A$6:$ZZ$1048576"), MATCH(AY$1, MarR!$6:$6, 0), FALSE),
            0
        ) +
        IFERROR(
            VLOOKUP($A36, INDIRECT("AbrR!$A$6:$ZZ$1048576"), MATCH(AY$1, AbrR!$6:$6, 0), FALSE),
            0
        ) +
        IFERROR(
            VLOOKUP($A36, INDIRECT("MayR!$A$6:$ZZ$1048576"), MATCH(AY$1, MayR!$6:$6, 0), FALSE),
            0
        ) +
        IFERROR(
            VLOOKUP($A36, INDIRECT("JunR!$A$6:$ZZ$1048576"), MATCH(AY$1, JunR!$6:$6, 0), FALSE),
            0
        ) +
        IFERROR(
            VLOOKUP($A36, INDIRECT("JulR!$A$6:$ZZ$1048576"), MATCH(AY$1, JulR!$6:$6, 0), FALSE),
            0
        ) +
        IFERROR(
            VLOOKUP($A36, INDIRECT("AgoR!$A$6:$ZZ$1048576"), MATCH(AY$1, AgoR!$6:$6, 0), FALSE),
            0
        ) +
        IFERROR(
            VLOOKUP($A36, INDIRECT("SepR!$A$6:$ZZ$1048576"), MATCH(AY$1, SepR!$6:$6, 0), FALSE),
            0
        ) +
        IFERROR(
            VLOOKUP($A36, INDIRECT("OctR!$A$6:$ZZ$1048576"), MATCH(AY$1, OctR!$6:$6, 0), FALSE),
            0
        ) +
        IFERROR(
            VLOOKUP($A36, INDIRECT("NovR!$A$6:$ZZ$1048576"), MATCH(AY$1, NovR!$6:$6, 0), FALSE),
            0
        ) +
        IFERROR(
            VLOOKUP($A36, INDIRECT("DicR!$A$6:$ZZ$1048576"), MATCH(AY$1, DicR!$6:$6, 0), FALSE),
            0
        )
)</f>
        <v>0</v>
      </c>
      <c r="AZ36" s="37"/>
    </row>
    <row r="37" ht="15.75" hidden="1" customHeight="1">
      <c r="A37" s="12" t="str">
        <f>Menus!R29</f>
        <v/>
      </c>
      <c r="B37" s="32">
        <f t="shared" si="6"/>
        <v>0</v>
      </c>
      <c r="C37" s="33" t="str">
        <f t="shared" si="7"/>
        <v/>
      </c>
      <c r="D37" s="34">
        <f t="array" ref="D37">SUM(
    IFERROR(
            VLOOKUP($A37, INDIRECT("EneR!$A$6:$ZZ$1048576"), MATCH(D$1, EneR!$6:$6, 0), FALSE),
            0
        ) +
        IFERROR(
            VLOOKUP($A37, INDIRECT("FebR!$A$6:$ZZ$1048576"), MATCH(D$1, FebR!$6:$6, 0), FALSE),
            0
        ) +
        IFERROR(
            VLOOKUP($A37, INDIRECT("MarR!$A$6:$ZZ$1048576"), MATCH(D$1, MarR!$6:$6, 0), FALSE),
            0
        ) +
        IFERROR(
            VLOOKUP($A37, INDIRECT("AbrR!$A$6:$ZZ$1048576"), MATCH(D$1, AbrR!$6:$6, 0), FALSE),
            0
        ) +
        IFERROR(
            VLOOKUP($A37, INDIRECT("MayR!$A$6:$ZZ$1048576"), MATCH(D$1, MayR!$6:$6, 0), FALSE),
            0
        ) +
        IFERROR(
            VLOOKUP($A37, INDIRECT("JunR!$A$6:$ZZ$1048576"), MATCH(D$1, JunR!$6:$6, 0), FALSE),
            0
        ) +
        IFERROR(
            VLOOKUP($A37, INDIRECT("JulR!$A$6:$ZZ$1048576"), MATCH(D$1, JulR!$6:$6, 0), FALSE),
            0
        ) +
        IFERROR(
            VLOOKUP($A37, INDIRECT("AgoR!$A$6:$ZZ$1048576"), MATCH(D$1, AgoR!$6:$6, 0), FALSE),
            0
        ) +
        IFERROR(
            VLOOKUP($A37, INDIRECT("SepR!$A$6:$ZZ$1048576"), MATCH(D$1, SepR!$6:$6, 0), FALSE),
            0
        ) +
        IFERROR(
            VLOOKUP($A37, INDIRECT("OctR!$A$6:$ZZ$1048576"), MATCH(D$1, OctR!$6:$6, 0), FALSE),
            0
        ) +
        IFERROR(
            VLOOKUP($A37, INDIRECT("NovR!$A$6:$ZZ$1048576"), MATCH(D$1, NovR!$6:$6, 0), FALSE),
            0
        ) +
        IFERROR(
            VLOOKUP($A37, INDIRECT("DicR!$A$6:$ZZ$1048576"), MATCH(D$1, DicR!$6:$6, 0), FALSE),
            0
        )
)</f>
        <v>0</v>
      </c>
      <c r="E37" s="35">
        <f t="array" ref="E37">SUM(
    IFERROR(
            VLOOKUP($A37, INDIRECT("EneR!$A$6:$ZZ$1048576"), MATCH(E$1, EneR!$6:$6, 0), FALSE),
            0
        ) +
        IFERROR(
            VLOOKUP($A37, INDIRECT("FebR!$A$6:$ZZ$1048576"), MATCH(E$1, FebR!$6:$6, 0), FALSE),
            0
        ) +
        IFERROR(
            VLOOKUP($A37, INDIRECT("MarR!$A$6:$ZZ$1048576"), MATCH(E$1, MarR!$6:$6, 0), FALSE),
            0
        ) +
        IFERROR(
            VLOOKUP($A37, INDIRECT("AbrR!$A$6:$ZZ$1048576"), MATCH(E$1, AbrR!$6:$6, 0), FALSE),
            0
        ) +
        IFERROR(
            VLOOKUP($A37, INDIRECT("MayR!$A$6:$ZZ$1048576"), MATCH(E$1, MayR!$6:$6, 0), FALSE),
            0
        ) +
        IFERROR(
            VLOOKUP($A37, INDIRECT("JunR!$A$6:$ZZ$1048576"), MATCH(E$1, JunR!$6:$6, 0), FALSE),
            0
        ) +
        IFERROR(
            VLOOKUP($A37, INDIRECT("JulR!$A$6:$ZZ$1048576"), MATCH(E$1, JulR!$6:$6, 0), FALSE),
            0
        ) +
        IFERROR(
            VLOOKUP($A37, INDIRECT("AgoR!$A$6:$ZZ$1048576"), MATCH(E$1, AgoR!$6:$6, 0), FALSE),
            0
        ) +
        IFERROR(
            VLOOKUP($A37, INDIRECT("SepR!$A$6:$ZZ$1048576"), MATCH(E$1, SepR!$6:$6, 0), FALSE),
            0
        ) +
        IFERROR(
            VLOOKUP($A37, INDIRECT("OctR!$A$6:$ZZ$1048576"), MATCH(E$1, OctR!$6:$6, 0), FALSE),
            0
        ) +
        IFERROR(
            VLOOKUP($A37, INDIRECT("NovR!$A$6:$ZZ$1048576"), MATCH(E$1, NovR!$6:$6, 0), FALSE),
            0
        ) +
        IFERROR(
            VLOOKUP($A37, INDIRECT("DicR!$A$6:$ZZ$1048576"), MATCH(E$1, DicR!$6:$6, 0), FALSE),
            0
        )
)</f>
        <v>0</v>
      </c>
      <c r="F37" s="32">
        <f t="array" ref="F37">SUM(
    IFERROR(
            VLOOKUP($A37, INDIRECT("EneR!$A$6:$ZZ$1048576"), MATCH(F$1, EneR!$6:$6, 0), FALSE),
            0
        ) +
        IFERROR(
            VLOOKUP($A37, INDIRECT("FebR!$A$6:$ZZ$1048576"), MATCH(F$1, FebR!$6:$6, 0), FALSE),
            0
        ) +
        IFERROR(
            VLOOKUP($A37, INDIRECT("MarR!$A$6:$ZZ$1048576"), MATCH(F$1, MarR!$6:$6, 0), FALSE),
            0
        ) +
        IFERROR(
            VLOOKUP($A37, INDIRECT("AbrR!$A$6:$ZZ$1048576"), MATCH(F$1, AbrR!$6:$6, 0), FALSE),
            0
        ) +
        IFERROR(
            VLOOKUP($A37, INDIRECT("MayR!$A$6:$ZZ$1048576"), MATCH(F$1, MayR!$6:$6, 0), FALSE),
            0
        ) +
        IFERROR(
            VLOOKUP($A37, INDIRECT("JunR!$A$6:$ZZ$1048576"), MATCH(F$1, JunR!$6:$6, 0), FALSE),
            0
        ) +
        IFERROR(
            VLOOKUP($A37, INDIRECT("JulR!$A$6:$ZZ$1048576"), MATCH(F$1, JulR!$6:$6, 0), FALSE),
            0
        ) +
        IFERROR(
            VLOOKUP($A37, INDIRECT("AgoR!$A$6:$ZZ$1048576"), MATCH(F$1, AgoR!$6:$6, 0), FALSE),
            0
        ) +
        IFERROR(
            VLOOKUP($A37, INDIRECT("SepR!$A$6:$ZZ$1048576"), MATCH(F$1, SepR!$6:$6, 0), FALSE),
            0
        ) +
        IFERROR(
            VLOOKUP($A37, INDIRECT("OctR!$A$6:$ZZ$1048576"), MATCH(F$1, OctR!$6:$6, 0), FALSE),
            0
        ) +
        IFERROR(
            VLOOKUP($A37, INDIRECT("NovR!$A$6:$ZZ$1048576"), MATCH(F$1, NovR!$6:$6, 0), FALSE),
            0
        ) +
        IFERROR(
            VLOOKUP($A37, INDIRECT("DicR!$A$6:$ZZ$1048576"), MATCH(F$1, DicR!$6:$6, 0), FALSE),
            0
        )
)</f>
        <v>0</v>
      </c>
      <c r="G37" s="35">
        <f t="array" ref="G37">SUM(
    IFERROR(
            VLOOKUP($A37, INDIRECT("EneR!$A$6:$ZZ$1048576"), MATCH(G$1, EneR!$6:$6, 0), FALSE),
            0
        ) +
        IFERROR(
            VLOOKUP($A37, INDIRECT("FebR!$A$6:$ZZ$1048576"), MATCH(G$1, FebR!$6:$6, 0), FALSE),
            0
        ) +
        IFERROR(
            VLOOKUP($A37, INDIRECT("MarR!$A$6:$ZZ$1048576"), MATCH(G$1, MarR!$6:$6, 0), FALSE),
            0
        ) +
        IFERROR(
            VLOOKUP($A37, INDIRECT("AbrR!$A$6:$ZZ$1048576"), MATCH(G$1, AbrR!$6:$6, 0), FALSE),
            0
        ) +
        IFERROR(
            VLOOKUP($A37, INDIRECT("MayR!$A$6:$ZZ$1048576"), MATCH(G$1, MayR!$6:$6, 0), FALSE),
            0
        ) +
        IFERROR(
            VLOOKUP($A37, INDIRECT("JunR!$A$6:$ZZ$1048576"), MATCH(G$1, JunR!$6:$6, 0), FALSE),
            0
        ) +
        IFERROR(
            VLOOKUP($A37, INDIRECT("JulR!$A$6:$ZZ$1048576"), MATCH(G$1, JulR!$6:$6, 0), FALSE),
            0
        ) +
        IFERROR(
            VLOOKUP($A37, INDIRECT("AgoR!$A$6:$ZZ$1048576"), MATCH(G$1, AgoR!$6:$6, 0), FALSE),
            0
        ) +
        IFERROR(
            VLOOKUP($A37, INDIRECT("SepR!$A$6:$ZZ$1048576"), MATCH(G$1, SepR!$6:$6, 0), FALSE),
            0
        ) +
        IFERROR(
            VLOOKUP($A37, INDIRECT("OctR!$A$6:$ZZ$1048576"), MATCH(G$1, OctR!$6:$6, 0), FALSE),
            0
        ) +
        IFERROR(
            VLOOKUP($A37, INDIRECT("NovR!$A$6:$ZZ$1048576"), MATCH(G$1, NovR!$6:$6, 0), FALSE),
            0
        ) +
        IFERROR(
            VLOOKUP($A37, INDIRECT("DicR!$A$6:$ZZ$1048576"), MATCH(G$1, DicR!$6:$6, 0), FALSE),
            0
        )
)</f>
        <v>0</v>
      </c>
      <c r="H37" s="32">
        <f t="array" ref="H37">SUM(
    IFERROR(
            VLOOKUP($A37, INDIRECT("EneR!$A$6:$ZZ$1048576"), MATCH(H$1, EneR!$6:$6, 0), FALSE),
            0
        ) +
        IFERROR(
            VLOOKUP($A37, INDIRECT("FebR!$A$6:$ZZ$1048576"), MATCH(H$1, FebR!$6:$6, 0), FALSE),
            0
        ) +
        IFERROR(
            VLOOKUP($A37, INDIRECT("MarR!$A$6:$ZZ$1048576"), MATCH(H$1, MarR!$6:$6, 0), FALSE),
            0
        ) +
        IFERROR(
            VLOOKUP($A37, INDIRECT("AbrR!$A$6:$ZZ$1048576"), MATCH(H$1, AbrR!$6:$6, 0), FALSE),
            0
        ) +
        IFERROR(
            VLOOKUP($A37, INDIRECT("MayR!$A$6:$ZZ$1048576"), MATCH(H$1, MayR!$6:$6, 0), FALSE),
            0
        ) +
        IFERROR(
            VLOOKUP($A37, INDIRECT("JunR!$A$6:$ZZ$1048576"), MATCH(H$1, JunR!$6:$6, 0), FALSE),
            0
        ) +
        IFERROR(
            VLOOKUP($A37, INDIRECT("JulR!$A$6:$ZZ$1048576"), MATCH(H$1, JulR!$6:$6, 0), FALSE),
            0
        ) +
        IFERROR(
            VLOOKUP($A37, INDIRECT("AgoR!$A$6:$ZZ$1048576"), MATCH(H$1, AgoR!$6:$6, 0), FALSE),
            0
        ) +
        IFERROR(
            VLOOKUP($A37, INDIRECT("SepR!$A$6:$ZZ$1048576"), MATCH(H$1, SepR!$6:$6, 0), FALSE),
            0
        ) +
        IFERROR(
            VLOOKUP($A37, INDIRECT("OctR!$A$6:$ZZ$1048576"), MATCH(H$1, OctR!$6:$6, 0), FALSE),
            0
        ) +
        IFERROR(
            VLOOKUP($A37, INDIRECT("NovR!$A$6:$ZZ$1048576"), MATCH(H$1, NovR!$6:$6, 0), FALSE),
            0
        ) +
        IFERROR(
            VLOOKUP($A37, INDIRECT("DicR!$A$6:$ZZ$1048576"), MATCH(H$1, DicR!$6:$6, 0), FALSE),
            0
        )
)</f>
        <v>0</v>
      </c>
      <c r="I37" s="35">
        <f t="array" ref="I37">SUM(
    IFERROR(
            VLOOKUP($A37, INDIRECT("EneR!$A$6:$ZZ$1048576"), MATCH(I$1, EneR!$6:$6, 0), FALSE),
            0
        ) +
        IFERROR(
            VLOOKUP($A37, INDIRECT("FebR!$A$6:$ZZ$1048576"), MATCH(I$1, FebR!$6:$6, 0), FALSE),
            0
        ) +
        IFERROR(
            VLOOKUP($A37, INDIRECT("MarR!$A$6:$ZZ$1048576"), MATCH(I$1, MarR!$6:$6, 0), FALSE),
            0
        ) +
        IFERROR(
            VLOOKUP($A37, INDIRECT("AbrR!$A$6:$ZZ$1048576"), MATCH(I$1, AbrR!$6:$6, 0), FALSE),
            0
        ) +
        IFERROR(
            VLOOKUP($A37, INDIRECT("MayR!$A$6:$ZZ$1048576"), MATCH(I$1, MayR!$6:$6, 0), FALSE),
            0
        ) +
        IFERROR(
            VLOOKUP($A37, INDIRECT("JunR!$A$6:$ZZ$1048576"), MATCH(I$1, JunR!$6:$6, 0), FALSE),
            0
        ) +
        IFERROR(
            VLOOKUP($A37, INDIRECT("JulR!$A$6:$ZZ$1048576"), MATCH(I$1, JulR!$6:$6, 0), FALSE),
            0
        ) +
        IFERROR(
            VLOOKUP($A37, INDIRECT("AgoR!$A$6:$ZZ$1048576"), MATCH(I$1, AgoR!$6:$6, 0), FALSE),
            0
        ) +
        IFERROR(
            VLOOKUP($A37, INDIRECT("SepR!$A$6:$ZZ$1048576"), MATCH(I$1, SepR!$6:$6, 0), FALSE),
            0
        ) +
        IFERROR(
            VLOOKUP($A37, INDIRECT("OctR!$A$6:$ZZ$1048576"), MATCH(I$1, OctR!$6:$6, 0), FALSE),
            0
        ) +
        IFERROR(
            VLOOKUP($A37, INDIRECT("NovR!$A$6:$ZZ$1048576"), MATCH(I$1, NovR!$6:$6, 0), FALSE),
            0
        ) +
        IFERROR(
            VLOOKUP($A37, INDIRECT("DicR!$A$6:$ZZ$1048576"), MATCH(I$1, DicR!$6:$6, 0), FALSE),
            0
        )
)</f>
        <v>0</v>
      </c>
      <c r="J37" s="32">
        <f t="array" ref="J37">SUM(
    IFERROR(
            VLOOKUP($A37, INDIRECT("EneR!$A$6:$ZZ$1048576"), MATCH(J$1, EneR!$6:$6, 0), FALSE),
            0
        ) +
        IFERROR(
            VLOOKUP($A37, INDIRECT("FebR!$A$6:$ZZ$1048576"), MATCH(J$1, FebR!$6:$6, 0), FALSE),
            0
        ) +
        IFERROR(
            VLOOKUP($A37, INDIRECT("MarR!$A$6:$ZZ$1048576"), MATCH(J$1, MarR!$6:$6, 0), FALSE),
            0
        ) +
        IFERROR(
            VLOOKUP($A37, INDIRECT("AbrR!$A$6:$ZZ$1048576"), MATCH(J$1, AbrR!$6:$6, 0), FALSE),
            0
        ) +
        IFERROR(
            VLOOKUP($A37, INDIRECT("MayR!$A$6:$ZZ$1048576"), MATCH(J$1, MayR!$6:$6, 0), FALSE),
            0
        ) +
        IFERROR(
            VLOOKUP($A37, INDIRECT("JunR!$A$6:$ZZ$1048576"), MATCH(J$1, JunR!$6:$6, 0), FALSE),
            0
        ) +
        IFERROR(
            VLOOKUP($A37, INDIRECT("JulR!$A$6:$ZZ$1048576"), MATCH(J$1, JulR!$6:$6, 0), FALSE),
            0
        ) +
        IFERROR(
            VLOOKUP($A37, INDIRECT("AgoR!$A$6:$ZZ$1048576"), MATCH(J$1, AgoR!$6:$6, 0), FALSE),
            0
        ) +
        IFERROR(
            VLOOKUP($A37, INDIRECT("SepR!$A$6:$ZZ$1048576"), MATCH(J$1, SepR!$6:$6, 0), FALSE),
            0
        ) +
        IFERROR(
            VLOOKUP($A37, INDIRECT("OctR!$A$6:$ZZ$1048576"), MATCH(J$1, OctR!$6:$6, 0), FALSE),
            0
        ) +
        IFERROR(
            VLOOKUP($A37, INDIRECT("NovR!$A$6:$ZZ$1048576"), MATCH(J$1, NovR!$6:$6, 0), FALSE),
            0
        ) +
        IFERROR(
            VLOOKUP($A37, INDIRECT("DicR!$A$6:$ZZ$1048576"), MATCH(J$1, DicR!$6:$6, 0), FALSE),
            0
        )
)</f>
        <v>0</v>
      </c>
      <c r="K37" s="35">
        <f t="array" ref="K37">SUM(
    IFERROR(
            VLOOKUP($A37, INDIRECT("EneR!$A$6:$ZZ$1048576"), MATCH(K$1, EneR!$6:$6, 0), FALSE),
            0
        ) +
        IFERROR(
            VLOOKUP($A37, INDIRECT("FebR!$A$6:$ZZ$1048576"), MATCH(K$1, FebR!$6:$6, 0), FALSE),
            0
        ) +
        IFERROR(
            VLOOKUP($A37, INDIRECT("MarR!$A$6:$ZZ$1048576"), MATCH(K$1, MarR!$6:$6, 0), FALSE),
            0
        ) +
        IFERROR(
            VLOOKUP($A37, INDIRECT("AbrR!$A$6:$ZZ$1048576"), MATCH(K$1, AbrR!$6:$6, 0), FALSE),
            0
        ) +
        IFERROR(
            VLOOKUP($A37, INDIRECT("MayR!$A$6:$ZZ$1048576"), MATCH(K$1, MayR!$6:$6, 0), FALSE),
            0
        ) +
        IFERROR(
            VLOOKUP($A37, INDIRECT("JunR!$A$6:$ZZ$1048576"), MATCH(K$1, JunR!$6:$6, 0), FALSE),
            0
        ) +
        IFERROR(
            VLOOKUP($A37, INDIRECT("JulR!$A$6:$ZZ$1048576"), MATCH(K$1, JulR!$6:$6, 0), FALSE),
            0
        ) +
        IFERROR(
            VLOOKUP($A37, INDIRECT("AgoR!$A$6:$ZZ$1048576"), MATCH(K$1, AgoR!$6:$6, 0), FALSE),
            0
        ) +
        IFERROR(
            VLOOKUP($A37, INDIRECT("SepR!$A$6:$ZZ$1048576"), MATCH(K$1, SepR!$6:$6, 0), FALSE),
            0
        ) +
        IFERROR(
            VLOOKUP($A37, INDIRECT("OctR!$A$6:$ZZ$1048576"), MATCH(K$1, OctR!$6:$6, 0), FALSE),
            0
        ) +
        IFERROR(
            VLOOKUP($A37, INDIRECT("NovR!$A$6:$ZZ$1048576"), MATCH(K$1, NovR!$6:$6, 0), FALSE),
            0
        ) +
        IFERROR(
            VLOOKUP($A37, INDIRECT("DicR!$A$6:$ZZ$1048576"), MATCH(K$1, DicR!$6:$6, 0), FALSE),
            0
        )
)</f>
        <v>0</v>
      </c>
      <c r="L37" s="32">
        <f t="array" ref="L37">SUM(
    IFERROR(
            VLOOKUP($A37, INDIRECT("EneR!$A$6:$ZZ$1048576"), MATCH(L$1, EneR!$6:$6, 0), FALSE),
            0
        ) +
        IFERROR(
            VLOOKUP($A37, INDIRECT("FebR!$A$6:$ZZ$1048576"), MATCH(L$1, FebR!$6:$6, 0), FALSE),
            0
        ) +
        IFERROR(
            VLOOKUP($A37, INDIRECT("MarR!$A$6:$ZZ$1048576"), MATCH(L$1, MarR!$6:$6, 0), FALSE),
            0
        ) +
        IFERROR(
            VLOOKUP($A37, INDIRECT("AbrR!$A$6:$ZZ$1048576"), MATCH(L$1, AbrR!$6:$6, 0), FALSE),
            0
        ) +
        IFERROR(
            VLOOKUP($A37, INDIRECT("MayR!$A$6:$ZZ$1048576"), MATCH(L$1, MayR!$6:$6, 0), FALSE),
            0
        ) +
        IFERROR(
            VLOOKUP($A37, INDIRECT("JunR!$A$6:$ZZ$1048576"), MATCH(L$1, JunR!$6:$6, 0), FALSE),
            0
        ) +
        IFERROR(
            VLOOKUP($A37, INDIRECT("JulR!$A$6:$ZZ$1048576"), MATCH(L$1, JulR!$6:$6, 0), FALSE),
            0
        ) +
        IFERROR(
            VLOOKUP($A37, INDIRECT("AgoR!$A$6:$ZZ$1048576"), MATCH(L$1, AgoR!$6:$6, 0), FALSE),
            0
        ) +
        IFERROR(
            VLOOKUP($A37, INDIRECT("SepR!$A$6:$ZZ$1048576"), MATCH(L$1, SepR!$6:$6, 0), FALSE),
            0
        ) +
        IFERROR(
            VLOOKUP($A37, INDIRECT("OctR!$A$6:$ZZ$1048576"), MATCH(L$1, OctR!$6:$6, 0), FALSE),
            0
        ) +
        IFERROR(
            VLOOKUP($A37, INDIRECT("NovR!$A$6:$ZZ$1048576"), MATCH(L$1, NovR!$6:$6, 0), FALSE),
            0
        ) +
        IFERROR(
            VLOOKUP($A37, INDIRECT("DicR!$A$6:$ZZ$1048576"), MATCH(L$1, DicR!$6:$6, 0), FALSE),
            0
        )
)</f>
        <v>0</v>
      </c>
      <c r="M37" s="35">
        <f t="array" ref="M37">SUM(
    IFERROR(
            VLOOKUP($A37, INDIRECT("EneR!$A$6:$ZZ$1048576"), MATCH(M$1, EneR!$6:$6, 0), FALSE),
            0
        ) +
        IFERROR(
            VLOOKUP($A37, INDIRECT("FebR!$A$6:$ZZ$1048576"), MATCH(M$1, FebR!$6:$6, 0), FALSE),
            0
        ) +
        IFERROR(
            VLOOKUP($A37, INDIRECT("MarR!$A$6:$ZZ$1048576"), MATCH(M$1, MarR!$6:$6, 0), FALSE),
            0
        ) +
        IFERROR(
            VLOOKUP($A37, INDIRECT("AbrR!$A$6:$ZZ$1048576"), MATCH(M$1, AbrR!$6:$6, 0), FALSE),
            0
        ) +
        IFERROR(
            VLOOKUP($A37, INDIRECT("MayR!$A$6:$ZZ$1048576"), MATCH(M$1, MayR!$6:$6, 0), FALSE),
            0
        ) +
        IFERROR(
            VLOOKUP($A37, INDIRECT("JunR!$A$6:$ZZ$1048576"), MATCH(M$1, JunR!$6:$6, 0), FALSE),
            0
        ) +
        IFERROR(
            VLOOKUP($A37, INDIRECT("JulR!$A$6:$ZZ$1048576"), MATCH(M$1, JulR!$6:$6, 0), FALSE),
            0
        ) +
        IFERROR(
            VLOOKUP($A37, INDIRECT("AgoR!$A$6:$ZZ$1048576"), MATCH(M$1, AgoR!$6:$6, 0), FALSE),
            0
        ) +
        IFERROR(
            VLOOKUP($A37, INDIRECT("SepR!$A$6:$ZZ$1048576"), MATCH(M$1, SepR!$6:$6, 0), FALSE),
            0
        ) +
        IFERROR(
            VLOOKUP($A37, INDIRECT("OctR!$A$6:$ZZ$1048576"), MATCH(M$1, OctR!$6:$6, 0), FALSE),
            0
        ) +
        IFERROR(
            VLOOKUP($A37, INDIRECT("NovR!$A$6:$ZZ$1048576"), MATCH(M$1, NovR!$6:$6, 0), FALSE),
            0
        ) +
        IFERROR(
            VLOOKUP($A37, INDIRECT("DicR!$A$6:$ZZ$1048576"), MATCH(M$1, DicR!$6:$6, 0), FALSE),
            0
        )
)</f>
        <v>0</v>
      </c>
      <c r="N37" s="32">
        <f t="array" ref="N37">SUM(
    IFERROR(
            VLOOKUP($A37, INDIRECT("EneR!$A$6:$ZZ$1048576"), MATCH(N$1, EneR!$6:$6, 0), FALSE),
            0
        ) +
        IFERROR(
            VLOOKUP($A37, INDIRECT("FebR!$A$6:$ZZ$1048576"), MATCH(N$1, FebR!$6:$6, 0), FALSE),
            0
        ) +
        IFERROR(
            VLOOKUP($A37, INDIRECT("MarR!$A$6:$ZZ$1048576"), MATCH(N$1, MarR!$6:$6, 0), FALSE),
            0
        ) +
        IFERROR(
            VLOOKUP($A37, INDIRECT("AbrR!$A$6:$ZZ$1048576"), MATCH(N$1, AbrR!$6:$6, 0), FALSE),
            0
        ) +
        IFERROR(
            VLOOKUP($A37, INDIRECT("MayR!$A$6:$ZZ$1048576"), MATCH(N$1, MayR!$6:$6, 0), FALSE),
            0
        ) +
        IFERROR(
            VLOOKUP($A37, INDIRECT("JunR!$A$6:$ZZ$1048576"), MATCH(N$1, JunR!$6:$6, 0), FALSE),
            0
        ) +
        IFERROR(
            VLOOKUP($A37, INDIRECT("JulR!$A$6:$ZZ$1048576"), MATCH(N$1, JulR!$6:$6, 0), FALSE),
            0
        ) +
        IFERROR(
            VLOOKUP($A37, INDIRECT("AgoR!$A$6:$ZZ$1048576"), MATCH(N$1, AgoR!$6:$6, 0), FALSE),
            0
        ) +
        IFERROR(
            VLOOKUP($A37, INDIRECT("SepR!$A$6:$ZZ$1048576"), MATCH(N$1, SepR!$6:$6, 0), FALSE),
            0
        ) +
        IFERROR(
            VLOOKUP($A37, INDIRECT("OctR!$A$6:$ZZ$1048576"), MATCH(N$1, OctR!$6:$6, 0), FALSE),
            0
        ) +
        IFERROR(
            VLOOKUP($A37, INDIRECT("NovR!$A$6:$ZZ$1048576"), MATCH(N$1, NovR!$6:$6, 0), FALSE),
            0
        ) +
        IFERROR(
            VLOOKUP($A37, INDIRECT("DicR!$A$6:$ZZ$1048576"), MATCH(N$1, DicR!$6:$6, 0), FALSE),
            0
        )
)</f>
        <v>0</v>
      </c>
      <c r="O37" s="35">
        <f t="array" ref="O37">SUM(
    IFERROR(
            VLOOKUP($A37, INDIRECT("EneR!$A$6:$ZZ$1048576"), MATCH(O$1, EneR!$6:$6, 0), FALSE),
            0
        ) +
        IFERROR(
            VLOOKUP($A37, INDIRECT("FebR!$A$6:$ZZ$1048576"), MATCH(O$1, FebR!$6:$6, 0), FALSE),
            0
        ) +
        IFERROR(
            VLOOKUP($A37, INDIRECT("MarR!$A$6:$ZZ$1048576"), MATCH(O$1, MarR!$6:$6, 0), FALSE),
            0
        ) +
        IFERROR(
            VLOOKUP($A37, INDIRECT("AbrR!$A$6:$ZZ$1048576"), MATCH(O$1, AbrR!$6:$6, 0), FALSE),
            0
        ) +
        IFERROR(
            VLOOKUP($A37, INDIRECT("MayR!$A$6:$ZZ$1048576"), MATCH(O$1, MayR!$6:$6, 0), FALSE),
            0
        ) +
        IFERROR(
            VLOOKUP($A37, INDIRECT("JunR!$A$6:$ZZ$1048576"), MATCH(O$1, JunR!$6:$6, 0), FALSE),
            0
        ) +
        IFERROR(
            VLOOKUP($A37, INDIRECT("JulR!$A$6:$ZZ$1048576"), MATCH(O$1, JulR!$6:$6, 0), FALSE),
            0
        ) +
        IFERROR(
            VLOOKUP($A37, INDIRECT("AgoR!$A$6:$ZZ$1048576"), MATCH(O$1, AgoR!$6:$6, 0), FALSE),
            0
        ) +
        IFERROR(
            VLOOKUP($A37, INDIRECT("SepR!$A$6:$ZZ$1048576"), MATCH(O$1, SepR!$6:$6, 0), FALSE),
            0
        ) +
        IFERROR(
            VLOOKUP($A37, INDIRECT("OctR!$A$6:$ZZ$1048576"), MATCH(O$1, OctR!$6:$6, 0), FALSE),
            0
        ) +
        IFERROR(
            VLOOKUP($A37, INDIRECT("NovR!$A$6:$ZZ$1048576"), MATCH(O$1, NovR!$6:$6, 0), FALSE),
            0
        ) +
        IFERROR(
            VLOOKUP($A37, INDIRECT("DicR!$A$6:$ZZ$1048576"), MATCH(O$1, DicR!$6:$6, 0), FALSE),
            0
        )
)</f>
        <v>0</v>
      </c>
      <c r="P37" s="32">
        <f t="array" ref="P37">SUM(
    IFERROR(
            VLOOKUP($A37, INDIRECT("EneR!$A$6:$ZZ$1048576"), MATCH(P$1, EneR!$6:$6, 0), FALSE),
            0
        ) +
        IFERROR(
            VLOOKUP($A37, INDIRECT("FebR!$A$6:$ZZ$1048576"), MATCH(P$1, FebR!$6:$6, 0), FALSE),
            0
        ) +
        IFERROR(
            VLOOKUP($A37, INDIRECT("MarR!$A$6:$ZZ$1048576"), MATCH(P$1, MarR!$6:$6, 0), FALSE),
            0
        ) +
        IFERROR(
            VLOOKUP($A37, INDIRECT("AbrR!$A$6:$ZZ$1048576"), MATCH(P$1, AbrR!$6:$6, 0), FALSE),
            0
        ) +
        IFERROR(
            VLOOKUP($A37, INDIRECT("MayR!$A$6:$ZZ$1048576"), MATCH(P$1, MayR!$6:$6, 0), FALSE),
            0
        ) +
        IFERROR(
            VLOOKUP($A37, INDIRECT("JunR!$A$6:$ZZ$1048576"), MATCH(P$1, JunR!$6:$6, 0), FALSE),
            0
        ) +
        IFERROR(
            VLOOKUP($A37, INDIRECT("JulR!$A$6:$ZZ$1048576"), MATCH(P$1, JulR!$6:$6, 0), FALSE),
            0
        ) +
        IFERROR(
            VLOOKUP($A37, INDIRECT("AgoR!$A$6:$ZZ$1048576"), MATCH(P$1, AgoR!$6:$6, 0), FALSE),
            0
        ) +
        IFERROR(
            VLOOKUP($A37, INDIRECT("SepR!$A$6:$ZZ$1048576"), MATCH(P$1, SepR!$6:$6, 0), FALSE),
            0
        ) +
        IFERROR(
            VLOOKUP($A37, INDIRECT("OctR!$A$6:$ZZ$1048576"), MATCH(P$1, OctR!$6:$6, 0), FALSE),
            0
        ) +
        IFERROR(
            VLOOKUP($A37, INDIRECT("NovR!$A$6:$ZZ$1048576"), MATCH(P$1, NovR!$6:$6, 0), FALSE),
            0
        ) +
        IFERROR(
            VLOOKUP($A37, INDIRECT("DicR!$A$6:$ZZ$1048576"), MATCH(P$1, DicR!$6:$6, 0), FALSE),
            0
        )
)</f>
        <v>0</v>
      </c>
      <c r="Q37" s="35">
        <f t="array" ref="Q37">SUM(
    IFERROR(
            VLOOKUP($A37, INDIRECT("EneR!$A$6:$ZZ$1048576"), MATCH(Q$1, EneR!$6:$6, 0), FALSE),
            0
        ) +
        IFERROR(
            VLOOKUP($A37, INDIRECT("FebR!$A$6:$ZZ$1048576"), MATCH(Q$1, FebR!$6:$6, 0), FALSE),
            0
        ) +
        IFERROR(
            VLOOKUP($A37, INDIRECT("MarR!$A$6:$ZZ$1048576"), MATCH(Q$1, MarR!$6:$6, 0), FALSE),
            0
        ) +
        IFERROR(
            VLOOKUP($A37, INDIRECT("AbrR!$A$6:$ZZ$1048576"), MATCH(Q$1, AbrR!$6:$6, 0), FALSE),
            0
        ) +
        IFERROR(
            VLOOKUP($A37, INDIRECT("MayR!$A$6:$ZZ$1048576"), MATCH(Q$1, MayR!$6:$6, 0), FALSE),
            0
        ) +
        IFERROR(
            VLOOKUP($A37, INDIRECT("JunR!$A$6:$ZZ$1048576"), MATCH(Q$1, JunR!$6:$6, 0), FALSE),
            0
        ) +
        IFERROR(
            VLOOKUP($A37, INDIRECT("JulR!$A$6:$ZZ$1048576"), MATCH(Q$1, JulR!$6:$6, 0), FALSE),
            0
        ) +
        IFERROR(
            VLOOKUP($A37, INDIRECT("AgoR!$A$6:$ZZ$1048576"), MATCH(Q$1, AgoR!$6:$6, 0), FALSE),
            0
        ) +
        IFERROR(
            VLOOKUP($A37, INDIRECT("SepR!$A$6:$ZZ$1048576"), MATCH(Q$1, SepR!$6:$6, 0), FALSE),
            0
        ) +
        IFERROR(
            VLOOKUP($A37, INDIRECT("OctR!$A$6:$ZZ$1048576"), MATCH(Q$1, OctR!$6:$6, 0), FALSE),
            0
        ) +
        IFERROR(
            VLOOKUP($A37, INDIRECT("NovR!$A$6:$ZZ$1048576"), MATCH(Q$1, NovR!$6:$6, 0), FALSE),
            0
        ) +
        IFERROR(
            VLOOKUP($A37, INDIRECT("DicR!$A$6:$ZZ$1048576"), MATCH(Q$1, DicR!$6:$6, 0), FALSE),
            0
        )
)</f>
        <v>0</v>
      </c>
      <c r="R37" s="36">
        <f t="array" ref="R37">SUM(
    IFERROR(
            VLOOKUP($A37, INDIRECT("EneR!$A$6:$ZZ$1048576"), MATCH(R$1, EneR!$6:$6, 0), FALSE),
            0
        ) +
        IFERROR(
            VLOOKUP($A37, INDIRECT("FebR!$A$6:$ZZ$1048576"), MATCH(R$1, FebR!$6:$6, 0), FALSE),
            0
        ) +
        IFERROR(
            VLOOKUP($A37, INDIRECT("MarR!$A$6:$ZZ$1048576"), MATCH(R$1, MarR!$6:$6, 0), FALSE),
            0
        ) +
        IFERROR(
            VLOOKUP($A37, INDIRECT("AbrR!$A$6:$ZZ$1048576"), MATCH(R$1, AbrR!$6:$6, 0), FALSE),
            0
        ) +
        IFERROR(
            VLOOKUP($A37, INDIRECT("MayR!$A$6:$ZZ$1048576"), MATCH(R$1, MayR!$6:$6, 0), FALSE),
            0
        ) +
        IFERROR(
            VLOOKUP($A37, INDIRECT("JunR!$A$6:$ZZ$1048576"), MATCH(R$1, JunR!$6:$6, 0), FALSE),
            0
        ) +
        IFERROR(
            VLOOKUP($A37, INDIRECT("JulR!$A$6:$ZZ$1048576"), MATCH(R$1, JulR!$6:$6, 0), FALSE),
            0
        ) +
        IFERROR(
            VLOOKUP($A37, INDIRECT("AgoR!$A$6:$ZZ$1048576"), MATCH(R$1, AgoR!$6:$6, 0), FALSE),
            0
        ) +
        IFERROR(
            VLOOKUP($A37, INDIRECT("SepR!$A$6:$ZZ$1048576"), MATCH(R$1, SepR!$6:$6, 0), FALSE),
            0
        ) +
        IFERROR(
            VLOOKUP($A37, INDIRECT("OctR!$A$6:$ZZ$1048576"), MATCH(R$1, OctR!$6:$6, 0), FALSE),
            0
        ) +
        IFERROR(
            VLOOKUP($A37, INDIRECT("NovR!$A$6:$ZZ$1048576"), MATCH(R$1, NovR!$6:$6, 0), FALSE),
            0
        ) +
        IFERROR(
            VLOOKUP($A37, INDIRECT("DicR!$A$6:$ZZ$1048576"), MATCH(R$1, DicR!$6:$6, 0), FALSE),
            0
        )
)</f>
        <v>0</v>
      </c>
      <c r="S37" s="37">
        <f t="array" ref="S37">SUM(
    IFERROR(
            VLOOKUP($A37, INDIRECT("EneR!$A$6:$ZZ$1048576"), MATCH(S$1, EneR!$6:$6, 0), FALSE),
            0
        ) +
        IFERROR(
            VLOOKUP($A37, INDIRECT("FebR!$A$6:$ZZ$1048576"), MATCH(S$1, FebR!$6:$6, 0), FALSE),
            0
        ) +
        IFERROR(
            VLOOKUP($A37, INDIRECT("MarR!$A$6:$ZZ$1048576"), MATCH(S$1, MarR!$6:$6, 0), FALSE),
            0
        ) +
        IFERROR(
            VLOOKUP($A37, INDIRECT("AbrR!$A$6:$ZZ$1048576"), MATCH(S$1, AbrR!$6:$6, 0), FALSE),
            0
        ) +
        IFERROR(
            VLOOKUP($A37, INDIRECT("MayR!$A$6:$ZZ$1048576"), MATCH(S$1, MayR!$6:$6, 0), FALSE),
            0
        ) +
        IFERROR(
            VLOOKUP($A37, INDIRECT("JunR!$A$6:$ZZ$1048576"), MATCH(S$1, JunR!$6:$6, 0), FALSE),
            0
        ) +
        IFERROR(
            VLOOKUP($A37, INDIRECT("JulR!$A$6:$ZZ$1048576"), MATCH(S$1, JulR!$6:$6, 0), FALSE),
            0
        ) +
        IFERROR(
            VLOOKUP($A37, INDIRECT("AgoR!$A$6:$ZZ$1048576"), MATCH(S$1, AgoR!$6:$6, 0), FALSE),
            0
        ) +
        IFERROR(
            VLOOKUP($A37, INDIRECT("SepR!$A$6:$ZZ$1048576"), MATCH(S$1, SepR!$6:$6, 0), FALSE),
            0
        ) +
        IFERROR(
            VLOOKUP($A37, INDIRECT("OctR!$A$6:$ZZ$1048576"), MATCH(S$1, OctR!$6:$6, 0), FALSE),
            0
        ) +
        IFERROR(
            VLOOKUP($A37, INDIRECT("NovR!$A$6:$ZZ$1048576"), MATCH(S$1, NovR!$6:$6, 0), FALSE),
            0
        ) +
        IFERROR(
            VLOOKUP($A37, INDIRECT("DicR!$A$6:$ZZ$1048576"), MATCH(S$1, DicR!$6:$6, 0), FALSE),
            0
        )
)</f>
        <v>0</v>
      </c>
      <c r="T37" s="36">
        <f t="array" ref="T37">SUM(
    IFERROR(
            VLOOKUP($A37, INDIRECT("EneR!$A$6:$ZZ$1048576"), MATCH(T$1, EneR!$6:$6, 0), FALSE),
            0
        ) +
        IFERROR(
            VLOOKUP($A37, INDIRECT("FebR!$A$6:$ZZ$1048576"), MATCH(T$1, FebR!$6:$6, 0), FALSE),
            0
        ) +
        IFERROR(
            VLOOKUP($A37, INDIRECT("MarR!$A$6:$ZZ$1048576"), MATCH(T$1, MarR!$6:$6, 0), FALSE),
            0
        ) +
        IFERROR(
            VLOOKUP($A37, INDIRECT("AbrR!$A$6:$ZZ$1048576"), MATCH(T$1, AbrR!$6:$6, 0), FALSE),
            0
        ) +
        IFERROR(
            VLOOKUP($A37, INDIRECT("MayR!$A$6:$ZZ$1048576"), MATCH(T$1, MayR!$6:$6, 0), FALSE),
            0
        ) +
        IFERROR(
            VLOOKUP($A37, INDIRECT("JunR!$A$6:$ZZ$1048576"), MATCH(T$1, JunR!$6:$6, 0), FALSE),
            0
        ) +
        IFERROR(
            VLOOKUP($A37, INDIRECT("JulR!$A$6:$ZZ$1048576"), MATCH(T$1, JulR!$6:$6, 0), FALSE),
            0
        ) +
        IFERROR(
            VLOOKUP($A37, INDIRECT("AgoR!$A$6:$ZZ$1048576"), MATCH(T$1, AgoR!$6:$6, 0), FALSE),
            0
        ) +
        IFERROR(
            VLOOKUP($A37, INDIRECT("SepR!$A$6:$ZZ$1048576"), MATCH(T$1, SepR!$6:$6, 0), FALSE),
            0
        ) +
        IFERROR(
            VLOOKUP($A37, INDIRECT("OctR!$A$6:$ZZ$1048576"), MATCH(T$1, OctR!$6:$6, 0), FALSE),
            0
        ) +
        IFERROR(
            VLOOKUP($A37, INDIRECT("NovR!$A$6:$ZZ$1048576"), MATCH(T$1, NovR!$6:$6, 0), FALSE),
            0
        ) +
        IFERROR(
            VLOOKUP($A37, INDIRECT("DicR!$A$6:$ZZ$1048576"), MATCH(T$1, DicR!$6:$6, 0), FALSE),
            0
        )
)</f>
        <v>0</v>
      </c>
      <c r="U37" s="37">
        <f t="array" ref="U37">SUM(
    IFERROR(
            VLOOKUP($A37, INDIRECT("EneR!$A$6:$ZZ$1048576"), MATCH(U$1, EneR!$6:$6, 0), FALSE),
            0
        ) +
        IFERROR(
            VLOOKUP($A37, INDIRECT("FebR!$A$6:$ZZ$1048576"), MATCH(U$1, FebR!$6:$6, 0), FALSE),
            0
        ) +
        IFERROR(
            VLOOKUP($A37, INDIRECT("MarR!$A$6:$ZZ$1048576"), MATCH(U$1, MarR!$6:$6, 0), FALSE),
            0
        ) +
        IFERROR(
            VLOOKUP($A37, INDIRECT("AbrR!$A$6:$ZZ$1048576"), MATCH(U$1, AbrR!$6:$6, 0), FALSE),
            0
        ) +
        IFERROR(
            VLOOKUP($A37, INDIRECT("MayR!$A$6:$ZZ$1048576"), MATCH(U$1, MayR!$6:$6, 0), FALSE),
            0
        ) +
        IFERROR(
            VLOOKUP($A37, INDIRECT("JunR!$A$6:$ZZ$1048576"), MATCH(U$1, JunR!$6:$6, 0), FALSE),
            0
        ) +
        IFERROR(
            VLOOKUP($A37, INDIRECT("JulR!$A$6:$ZZ$1048576"), MATCH(U$1, JulR!$6:$6, 0), FALSE),
            0
        ) +
        IFERROR(
            VLOOKUP($A37, INDIRECT("AgoR!$A$6:$ZZ$1048576"), MATCH(U$1, AgoR!$6:$6, 0), FALSE),
            0
        ) +
        IFERROR(
            VLOOKUP($A37, INDIRECT("SepR!$A$6:$ZZ$1048576"), MATCH(U$1, SepR!$6:$6, 0), FALSE),
            0
        ) +
        IFERROR(
            VLOOKUP($A37, INDIRECT("OctR!$A$6:$ZZ$1048576"), MATCH(U$1, OctR!$6:$6, 0), FALSE),
            0
        ) +
        IFERROR(
            VLOOKUP($A37, INDIRECT("NovR!$A$6:$ZZ$1048576"), MATCH(U$1, NovR!$6:$6, 0), FALSE),
            0
        ) +
        IFERROR(
            VLOOKUP($A37, INDIRECT("DicR!$A$6:$ZZ$1048576"), MATCH(U$1, DicR!$6:$6, 0), FALSE),
            0
        )
)</f>
        <v>0</v>
      </c>
      <c r="V37" s="36">
        <f t="array" ref="V37">SUM(
    IFERROR(
            VLOOKUP($A37, INDIRECT("EneR!$A$6:$ZZ$1048576"), MATCH(V$1, EneR!$6:$6, 0), FALSE),
            0
        ) +
        IFERROR(
            VLOOKUP($A37, INDIRECT("FebR!$A$6:$ZZ$1048576"), MATCH(V$1, FebR!$6:$6, 0), FALSE),
            0
        ) +
        IFERROR(
            VLOOKUP($A37, INDIRECT("MarR!$A$6:$ZZ$1048576"), MATCH(V$1, MarR!$6:$6, 0), FALSE),
            0
        ) +
        IFERROR(
            VLOOKUP($A37, INDIRECT("AbrR!$A$6:$ZZ$1048576"), MATCH(V$1, AbrR!$6:$6, 0), FALSE),
            0
        ) +
        IFERROR(
            VLOOKUP($A37, INDIRECT("MayR!$A$6:$ZZ$1048576"), MATCH(V$1, MayR!$6:$6, 0), FALSE),
            0
        ) +
        IFERROR(
            VLOOKUP($A37, INDIRECT("JunR!$A$6:$ZZ$1048576"), MATCH(V$1, JunR!$6:$6, 0), FALSE),
            0
        ) +
        IFERROR(
            VLOOKUP($A37, INDIRECT("JulR!$A$6:$ZZ$1048576"), MATCH(V$1, JulR!$6:$6, 0), FALSE),
            0
        ) +
        IFERROR(
            VLOOKUP($A37, INDIRECT("AgoR!$A$6:$ZZ$1048576"), MATCH(V$1, AgoR!$6:$6, 0), FALSE),
            0
        ) +
        IFERROR(
            VLOOKUP($A37, INDIRECT("SepR!$A$6:$ZZ$1048576"), MATCH(V$1, SepR!$6:$6, 0), FALSE),
            0
        ) +
        IFERROR(
            VLOOKUP($A37, INDIRECT("OctR!$A$6:$ZZ$1048576"), MATCH(V$1, OctR!$6:$6, 0), FALSE),
            0
        ) +
        IFERROR(
            VLOOKUP($A37, INDIRECT("NovR!$A$6:$ZZ$1048576"), MATCH(V$1, NovR!$6:$6, 0), FALSE),
            0
        ) +
        IFERROR(
            VLOOKUP($A37, INDIRECT("DicR!$A$6:$ZZ$1048576"), MATCH(V$1, DicR!$6:$6, 0), FALSE),
            0
        )
)</f>
        <v>0</v>
      </c>
      <c r="W37" s="37">
        <f t="array" ref="W37">SUM(
    IFERROR(
            VLOOKUP($A37, INDIRECT("EneR!$A$6:$ZZ$1048576"), MATCH(W$1, EneR!$6:$6, 0), FALSE),
            0
        ) +
        IFERROR(
            VLOOKUP($A37, INDIRECT("FebR!$A$6:$ZZ$1048576"), MATCH(W$1, FebR!$6:$6, 0), FALSE),
            0
        ) +
        IFERROR(
            VLOOKUP($A37, INDIRECT("MarR!$A$6:$ZZ$1048576"), MATCH(W$1, MarR!$6:$6, 0), FALSE),
            0
        ) +
        IFERROR(
            VLOOKUP($A37, INDIRECT("AbrR!$A$6:$ZZ$1048576"), MATCH(W$1, AbrR!$6:$6, 0), FALSE),
            0
        ) +
        IFERROR(
            VLOOKUP($A37, INDIRECT("MayR!$A$6:$ZZ$1048576"), MATCH(W$1, MayR!$6:$6, 0), FALSE),
            0
        ) +
        IFERROR(
            VLOOKUP($A37, INDIRECT("JunR!$A$6:$ZZ$1048576"), MATCH(W$1, JunR!$6:$6, 0), FALSE),
            0
        ) +
        IFERROR(
            VLOOKUP($A37, INDIRECT("JulR!$A$6:$ZZ$1048576"), MATCH(W$1, JulR!$6:$6, 0), FALSE),
            0
        ) +
        IFERROR(
            VLOOKUP($A37, INDIRECT("AgoR!$A$6:$ZZ$1048576"), MATCH(W$1, AgoR!$6:$6, 0), FALSE),
            0
        ) +
        IFERROR(
            VLOOKUP($A37, INDIRECT("SepR!$A$6:$ZZ$1048576"), MATCH(W$1, SepR!$6:$6, 0), FALSE),
            0
        ) +
        IFERROR(
            VLOOKUP($A37, INDIRECT("OctR!$A$6:$ZZ$1048576"), MATCH(W$1, OctR!$6:$6, 0), FALSE),
            0
        ) +
        IFERROR(
            VLOOKUP($A37, INDIRECT("NovR!$A$6:$ZZ$1048576"), MATCH(W$1, NovR!$6:$6, 0), FALSE),
            0
        ) +
        IFERROR(
            VLOOKUP($A37, INDIRECT("DicR!$A$6:$ZZ$1048576"), MATCH(W$1, DicR!$6:$6, 0), FALSE),
            0
        )
)</f>
        <v>0</v>
      </c>
      <c r="X37" s="36">
        <f t="array" ref="X37">SUM(
    IFERROR(
            VLOOKUP($A37, INDIRECT("EneR!$A$6:$ZZ$1048576"), MATCH(X$1, EneR!$6:$6, 0), FALSE),
            0
        ) +
        IFERROR(
            VLOOKUP($A37, INDIRECT("FebR!$A$6:$ZZ$1048576"), MATCH(X$1, FebR!$6:$6, 0), FALSE),
            0
        ) +
        IFERROR(
            VLOOKUP($A37, INDIRECT("MarR!$A$6:$ZZ$1048576"), MATCH(X$1, MarR!$6:$6, 0), FALSE),
            0
        ) +
        IFERROR(
            VLOOKUP($A37, INDIRECT("AbrR!$A$6:$ZZ$1048576"), MATCH(X$1, AbrR!$6:$6, 0), FALSE),
            0
        ) +
        IFERROR(
            VLOOKUP($A37, INDIRECT("MayR!$A$6:$ZZ$1048576"), MATCH(X$1, MayR!$6:$6, 0), FALSE),
            0
        ) +
        IFERROR(
            VLOOKUP($A37, INDIRECT("JunR!$A$6:$ZZ$1048576"), MATCH(X$1, JunR!$6:$6, 0), FALSE),
            0
        ) +
        IFERROR(
            VLOOKUP($A37, INDIRECT("JulR!$A$6:$ZZ$1048576"), MATCH(X$1, JulR!$6:$6, 0), FALSE),
            0
        ) +
        IFERROR(
            VLOOKUP($A37, INDIRECT("AgoR!$A$6:$ZZ$1048576"), MATCH(X$1, AgoR!$6:$6, 0), FALSE),
            0
        ) +
        IFERROR(
            VLOOKUP($A37, INDIRECT("SepR!$A$6:$ZZ$1048576"), MATCH(X$1, SepR!$6:$6, 0), FALSE),
            0
        ) +
        IFERROR(
            VLOOKUP($A37, INDIRECT("OctR!$A$6:$ZZ$1048576"), MATCH(X$1, OctR!$6:$6, 0), FALSE),
            0
        ) +
        IFERROR(
            VLOOKUP($A37, INDIRECT("NovR!$A$6:$ZZ$1048576"), MATCH(X$1, NovR!$6:$6, 0), FALSE),
            0
        ) +
        IFERROR(
            VLOOKUP($A37, INDIRECT("DicR!$A$6:$ZZ$1048576"), MATCH(X$1, DicR!$6:$6, 0), FALSE),
            0
        )
)</f>
        <v>0</v>
      </c>
      <c r="Y37" s="37">
        <f t="array" ref="Y37">SUM(
    IFERROR(
            VLOOKUP($A37, INDIRECT("EneR!$A$6:$ZZ$1048576"), MATCH(Y$1, EneR!$6:$6, 0), FALSE),
            0
        ) +
        IFERROR(
            VLOOKUP($A37, INDIRECT("FebR!$A$6:$ZZ$1048576"), MATCH(Y$1, FebR!$6:$6, 0), FALSE),
            0
        ) +
        IFERROR(
            VLOOKUP($A37, INDIRECT("MarR!$A$6:$ZZ$1048576"), MATCH(Y$1, MarR!$6:$6, 0), FALSE),
            0
        ) +
        IFERROR(
            VLOOKUP($A37, INDIRECT("AbrR!$A$6:$ZZ$1048576"), MATCH(Y$1, AbrR!$6:$6, 0), FALSE),
            0
        ) +
        IFERROR(
            VLOOKUP($A37, INDIRECT("MayR!$A$6:$ZZ$1048576"), MATCH(Y$1, MayR!$6:$6, 0), FALSE),
            0
        ) +
        IFERROR(
            VLOOKUP($A37, INDIRECT("JunR!$A$6:$ZZ$1048576"), MATCH(Y$1, JunR!$6:$6, 0), FALSE),
            0
        ) +
        IFERROR(
            VLOOKUP($A37, INDIRECT("JulR!$A$6:$ZZ$1048576"), MATCH(Y$1, JulR!$6:$6, 0), FALSE),
            0
        ) +
        IFERROR(
            VLOOKUP($A37, INDIRECT("AgoR!$A$6:$ZZ$1048576"), MATCH(Y$1, AgoR!$6:$6, 0), FALSE),
            0
        ) +
        IFERROR(
            VLOOKUP($A37, INDIRECT("SepR!$A$6:$ZZ$1048576"), MATCH(Y$1, SepR!$6:$6, 0), FALSE),
            0
        ) +
        IFERROR(
            VLOOKUP($A37, INDIRECT("OctR!$A$6:$ZZ$1048576"), MATCH(Y$1, OctR!$6:$6, 0), FALSE),
            0
        ) +
        IFERROR(
            VLOOKUP($A37, INDIRECT("NovR!$A$6:$ZZ$1048576"), MATCH(Y$1, NovR!$6:$6, 0), FALSE),
            0
        ) +
        IFERROR(
            VLOOKUP($A37, INDIRECT("DicR!$A$6:$ZZ$1048576"), MATCH(Y$1, DicR!$6:$6, 0), FALSE),
            0
        )
)</f>
        <v>0</v>
      </c>
      <c r="Z37" s="36">
        <f t="array" ref="Z37">SUM(
    IFERROR(
            VLOOKUP($A37, INDIRECT("EneR!$A$6:$ZZ$1048576"), MATCH(Z$1, EneR!$6:$6, 0), FALSE),
            0
        ) +
        IFERROR(
            VLOOKUP($A37, INDIRECT("FebR!$A$6:$ZZ$1048576"), MATCH(Z$1, FebR!$6:$6, 0), FALSE),
            0
        ) +
        IFERROR(
            VLOOKUP($A37, INDIRECT("MarR!$A$6:$ZZ$1048576"), MATCH(Z$1, MarR!$6:$6, 0), FALSE),
            0
        ) +
        IFERROR(
            VLOOKUP($A37, INDIRECT("AbrR!$A$6:$ZZ$1048576"), MATCH(Z$1, AbrR!$6:$6, 0), FALSE),
            0
        ) +
        IFERROR(
            VLOOKUP($A37, INDIRECT("MayR!$A$6:$ZZ$1048576"), MATCH(Z$1, MayR!$6:$6, 0), FALSE),
            0
        ) +
        IFERROR(
            VLOOKUP($A37, INDIRECT("JunR!$A$6:$ZZ$1048576"), MATCH(Z$1, JunR!$6:$6, 0), FALSE),
            0
        ) +
        IFERROR(
            VLOOKUP($A37, INDIRECT("JulR!$A$6:$ZZ$1048576"), MATCH(Z$1, JulR!$6:$6, 0), FALSE),
            0
        ) +
        IFERROR(
            VLOOKUP($A37, INDIRECT("AgoR!$A$6:$ZZ$1048576"), MATCH(Z$1, AgoR!$6:$6, 0), FALSE),
            0
        ) +
        IFERROR(
            VLOOKUP($A37, INDIRECT("SepR!$A$6:$ZZ$1048576"), MATCH(Z$1, SepR!$6:$6, 0), FALSE),
            0
        ) +
        IFERROR(
            VLOOKUP($A37, INDIRECT("OctR!$A$6:$ZZ$1048576"), MATCH(Z$1, OctR!$6:$6, 0), FALSE),
            0
        ) +
        IFERROR(
            VLOOKUP($A37, INDIRECT("NovR!$A$6:$ZZ$1048576"), MATCH(Z$1, NovR!$6:$6, 0), FALSE),
            0
        ) +
        IFERROR(
            VLOOKUP($A37, INDIRECT("DicR!$A$6:$ZZ$1048576"), MATCH(Z$1, DicR!$6:$6, 0), FALSE),
            0
        )
)</f>
        <v>0</v>
      </c>
      <c r="AA37" s="37">
        <f t="array" ref="AA37">SUM(
    IFERROR(
            VLOOKUP($A37, INDIRECT("EneR!$A$6:$ZZ$1048576"), MATCH(AA$1, EneR!$6:$6, 0), FALSE),
            0
        ) +
        IFERROR(
            VLOOKUP($A37, INDIRECT("FebR!$A$6:$ZZ$1048576"), MATCH(AA$1, FebR!$6:$6, 0), FALSE),
            0
        ) +
        IFERROR(
            VLOOKUP($A37, INDIRECT("MarR!$A$6:$ZZ$1048576"), MATCH(AA$1, MarR!$6:$6, 0), FALSE),
            0
        ) +
        IFERROR(
            VLOOKUP($A37, INDIRECT("AbrR!$A$6:$ZZ$1048576"), MATCH(AA$1, AbrR!$6:$6, 0), FALSE),
            0
        ) +
        IFERROR(
            VLOOKUP($A37, INDIRECT("MayR!$A$6:$ZZ$1048576"), MATCH(AA$1, MayR!$6:$6, 0), FALSE),
            0
        ) +
        IFERROR(
            VLOOKUP($A37, INDIRECT("JunR!$A$6:$ZZ$1048576"), MATCH(AA$1, JunR!$6:$6, 0), FALSE),
            0
        ) +
        IFERROR(
            VLOOKUP($A37, INDIRECT("JulR!$A$6:$ZZ$1048576"), MATCH(AA$1, JulR!$6:$6, 0), FALSE),
            0
        ) +
        IFERROR(
            VLOOKUP($A37, INDIRECT("AgoR!$A$6:$ZZ$1048576"), MATCH(AA$1, AgoR!$6:$6, 0), FALSE),
            0
        ) +
        IFERROR(
            VLOOKUP($A37, INDIRECT("SepR!$A$6:$ZZ$1048576"), MATCH(AA$1, SepR!$6:$6, 0), FALSE),
            0
        ) +
        IFERROR(
            VLOOKUP($A37, INDIRECT("OctR!$A$6:$ZZ$1048576"), MATCH(AA$1, OctR!$6:$6, 0), FALSE),
            0
        ) +
        IFERROR(
            VLOOKUP($A37, INDIRECT("NovR!$A$6:$ZZ$1048576"), MATCH(AA$1, NovR!$6:$6, 0), FALSE),
            0
        ) +
        IFERROR(
            VLOOKUP($A37, INDIRECT("DicR!$A$6:$ZZ$1048576"), MATCH(AA$1, DicR!$6:$6, 0), FALSE),
            0
        )
)</f>
        <v>0</v>
      </c>
      <c r="AB37" s="36">
        <f t="array" ref="AB37">SUM(
    IFERROR(
            VLOOKUP($A37, INDIRECT("EneR!$A$6:$ZZ$1048576"), MATCH(AB$1, EneR!$6:$6, 0), FALSE),
            0
        ) +
        IFERROR(
            VLOOKUP($A37, INDIRECT("FebR!$A$6:$ZZ$1048576"), MATCH(AB$1, FebR!$6:$6, 0), FALSE),
            0
        ) +
        IFERROR(
            VLOOKUP($A37, INDIRECT("MarR!$A$6:$ZZ$1048576"), MATCH(AB$1, MarR!$6:$6, 0), FALSE),
            0
        ) +
        IFERROR(
            VLOOKUP($A37, INDIRECT("AbrR!$A$6:$ZZ$1048576"), MATCH(AB$1, AbrR!$6:$6, 0), FALSE),
            0
        ) +
        IFERROR(
            VLOOKUP($A37, INDIRECT("MayR!$A$6:$ZZ$1048576"), MATCH(AB$1, MayR!$6:$6, 0), FALSE),
            0
        ) +
        IFERROR(
            VLOOKUP($A37, INDIRECT("JunR!$A$6:$ZZ$1048576"), MATCH(AB$1, JunR!$6:$6, 0), FALSE),
            0
        ) +
        IFERROR(
            VLOOKUP($A37, INDIRECT("JulR!$A$6:$ZZ$1048576"), MATCH(AB$1, JulR!$6:$6, 0), FALSE),
            0
        ) +
        IFERROR(
            VLOOKUP($A37, INDIRECT("AgoR!$A$6:$ZZ$1048576"), MATCH(AB$1, AgoR!$6:$6, 0), FALSE),
            0
        ) +
        IFERROR(
            VLOOKUP($A37, INDIRECT("SepR!$A$6:$ZZ$1048576"), MATCH(AB$1, SepR!$6:$6, 0), FALSE),
            0
        ) +
        IFERROR(
            VLOOKUP($A37, INDIRECT("OctR!$A$6:$ZZ$1048576"), MATCH(AB$1, OctR!$6:$6, 0), FALSE),
            0
        ) +
        IFERROR(
            VLOOKUP($A37, INDIRECT("NovR!$A$6:$ZZ$1048576"), MATCH(AB$1, NovR!$6:$6, 0), FALSE),
            0
        ) +
        IFERROR(
            VLOOKUP($A37, INDIRECT("DicR!$A$6:$ZZ$1048576"), MATCH(AB$1, DicR!$6:$6, 0), FALSE),
            0
        )
)</f>
        <v>0</v>
      </c>
      <c r="AC37" s="37">
        <f t="array" ref="AC37">SUM(
    IFERROR(
            VLOOKUP($A37, INDIRECT("EneR!$A$6:$ZZ$1048576"), MATCH(AC$1, EneR!$6:$6, 0), FALSE),
            0
        ) +
        IFERROR(
            VLOOKUP($A37, INDIRECT("FebR!$A$6:$ZZ$1048576"), MATCH(AC$1, FebR!$6:$6, 0), FALSE),
            0
        ) +
        IFERROR(
            VLOOKUP($A37, INDIRECT("MarR!$A$6:$ZZ$1048576"), MATCH(AC$1, MarR!$6:$6, 0), FALSE),
            0
        ) +
        IFERROR(
            VLOOKUP($A37, INDIRECT("AbrR!$A$6:$ZZ$1048576"), MATCH(AC$1, AbrR!$6:$6, 0), FALSE),
            0
        ) +
        IFERROR(
            VLOOKUP($A37, INDIRECT("MayR!$A$6:$ZZ$1048576"), MATCH(AC$1, MayR!$6:$6, 0), FALSE),
            0
        ) +
        IFERROR(
            VLOOKUP($A37, INDIRECT("JunR!$A$6:$ZZ$1048576"), MATCH(AC$1, JunR!$6:$6, 0), FALSE),
            0
        ) +
        IFERROR(
            VLOOKUP($A37, INDIRECT("JulR!$A$6:$ZZ$1048576"), MATCH(AC$1, JulR!$6:$6, 0), FALSE),
            0
        ) +
        IFERROR(
            VLOOKUP($A37, INDIRECT("AgoR!$A$6:$ZZ$1048576"), MATCH(AC$1, AgoR!$6:$6, 0), FALSE),
            0
        ) +
        IFERROR(
            VLOOKUP($A37, INDIRECT("SepR!$A$6:$ZZ$1048576"), MATCH(AC$1, SepR!$6:$6, 0), FALSE),
            0
        ) +
        IFERROR(
            VLOOKUP($A37, INDIRECT("OctR!$A$6:$ZZ$1048576"), MATCH(AC$1, OctR!$6:$6, 0), FALSE),
            0
        ) +
        IFERROR(
            VLOOKUP($A37, INDIRECT("NovR!$A$6:$ZZ$1048576"), MATCH(AC$1, NovR!$6:$6, 0), FALSE),
            0
        ) +
        IFERROR(
            VLOOKUP($A37, INDIRECT("DicR!$A$6:$ZZ$1048576"), MATCH(AC$1, DicR!$6:$6, 0), FALSE),
            0
        )
)</f>
        <v>0</v>
      </c>
      <c r="AD37" s="36">
        <f t="array" ref="AD37">SUM(
    IFERROR(
            VLOOKUP($A37, INDIRECT("EneR!$A$6:$ZZ$1048576"), MATCH(AD$1, EneR!$6:$6, 0), FALSE),
            0
        ) +
        IFERROR(
            VLOOKUP($A37, INDIRECT("FebR!$A$6:$ZZ$1048576"), MATCH(AD$1, FebR!$6:$6, 0), FALSE),
            0
        ) +
        IFERROR(
            VLOOKUP($A37, INDIRECT("MarR!$A$6:$ZZ$1048576"), MATCH(AD$1, MarR!$6:$6, 0), FALSE),
            0
        ) +
        IFERROR(
            VLOOKUP($A37, INDIRECT("AbrR!$A$6:$ZZ$1048576"), MATCH(AD$1, AbrR!$6:$6, 0), FALSE),
            0
        ) +
        IFERROR(
            VLOOKUP($A37, INDIRECT("MayR!$A$6:$ZZ$1048576"), MATCH(AD$1, MayR!$6:$6, 0), FALSE),
            0
        ) +
        IFERROR(
            VLOOKUP($A37, INDIRECT("JunR!$A$6:$ZZ$1048576"), MATCH(AD$1, JunR!$6:$6, 0), FALSE),
            0
        ) +
        IFERROR(
            VLOOKUP($A37, INDIRECT("JulR!$A$6:$ZZ$1048576"), MATCH(AD$1, JulR!$6:$6, 0), FALSE),
            0
        ) +
        IFERROR(
            VLOOKUP($A37, INDIRECT("AgoR!$A$6:$ZZ$1048576"), MATCH(AD$1, AgoR!$6:$6, 0), FALSE),
            0
        ) +
        IFERROR(
            VLOOKUP($A37, INDIRECT("SepR!$A$6:$ZZ$1048576"), MATCH(AD$1, SepR!$6:$6, 0), FALSE),
            0
        ) +
        IFERROR(
            VLOOKUP($A37, INDIRECT("OctR!$A$6:$ZZ$1048576"), MATCH(AD$1, OctR!$6:$6, 0), FALSE),
            0
        ) +
        IFERROR(
            VLOOKUP($A37, INDIRECT("NovR!$A$6:$ZZ$1048576"), MATCH(AD$1, NovR!$6:$6, 0), FALSE),
            0
        ) +
        IFERROR(
            VLOOKUP($A37, INDIRECT("DicR!$A$6:$ZZ$1048576"), MATCH(AD$1, DicR!$6:$6, 0), FALSE),
            0
        )
)</f>
        <v>0</v>
      </c>
      <c r="AE37" s="37">
        <f t="array" ref="AE37">SUM(
    IFERROR(
            VLOOKUP($A37, INDIRECT("EneR!$A$6:$ZZ$1048576"), MATCH(AE$1, EneR!$6:$6, 0), FALSE),
            0
        ) +
        IFERROR(
            VLOOKUP($A37, INDIRECT("FebR!$A$6:$ZZ$1048576"), MATCH(AE$1, FebR!$6:$6, 0), FALSE),
            0
        ) +
        IFERROR(
            VLOOKUP($A37, INDIRECT("MarR!$A$6:$ZZ$1048576"), MATCH(AE$1, MarR!$6:$6, 0), FALSE),
            0
        ) +
        IFERROR(
            VLOOKUP($A37, INDIRECT("AbrR!$A$6:$ZZ$1048576"), MATCH(AE$1, AbrR!$6:$6, 0), FALSE),
            0
        ) +
        IFERROR(
            VLOOKUP($A37, INDIRECT("MayR!$A$6:$ZZ$1048576"), MATCH(AE$1, MayR!$6:$6, 0), FALSE),
            0
        ) +
        IFERROR(
            VLOOKUP($A37, INDIRECT("JunR!$A$6:$ZZ$1048576"), MATCH(AE$1, JunR!$6:$6, 0), FALSE),
            0
        ) +
        IFERROR(
            VLOOKUP($A37, INDIRECT("JulR!$A$6:$ZZ$1048576"), MATCH(AE$1, JulR!$6:$6, 0), FALSE),
            0
        ) +
        IFERROR(
            VLOOKUP($A37, INDIRECT("AgoR!$A$6:$ZZ$1048576"), MATCH(AE$1, AgoR!$6:$6, 0), FALSE),
            0
        ) +
        IFERROR(
            VLOOKUP($A37, INDIRECT("SepR!$A$6:$ZZ$1048576"), MATCH(AE$1, SepR!$6:$6, 0), FALSE),
            0
        ) +
        IFERROR(
            VLOOKUP($A37, INDIRECT("OctR!$A$6:$ZZ$1048576"), MATCH(AE$1, OctR!$6:$6, 0), FALSE),
            0
        ) +
        IFERROR(
            VLOOKUP($A37, INDIRECT("NovR!$A$6:$ZZ$1048576"), MATCH(AE$1, NovR!$6:$6, 0), FALSE),
            0
        ) +
        IFERROR(
            VLOOKUP($A37, INDIRECT("DicR!$A$6:$ZZ$1048576"), MATCH(AE$1, DicR!$6:$6, 0), FALSE),
            0
        )
)</f>
        <v>0</v>
      </c>
      <c r="AF37" s="36">
        <f t="array" ref="AF37">SUM(
    IFERROR(
            VLOOKUP($A37, INDIRECT("EneR!$A$6:$ZZ$1048576"), MATCH(AF$1, EneR!$6:$6, 0), FALSE),
            0
        ) +
        IFERROR(
            VLOOKUP($A37, INDIRECT("FebR!$A$6:$ZZ$1048576"), MATCH(AF$1, FebR!$6:$6, 0), FALSE),
            0
        ) +
        IFERROR(
            VLOOKUP($A37, INDIRECT("MarR!$A$6:$ZZ$1048576"), MATCH(AF$1, MarR!$6:$6, 0), FALSE),
            0
        ) +
        IFERROR(
            VLOOKUP($A37, INDIRECT("AbrR!$A$6:$ZZ$1048576"), MATCH(AF$1, AbrR!$6:$6, 0), FALSE),
            0
        ) +
        IFERROR(
            VLOOKUP($A37, INDIRECT("MayR!$A$6:$ZZ$1048576"), MATCH(AF$1, MayR!$6:$6, 0), FALSE),
            0
        ) +
        IFERROR(
            VLOOKUP($A37, INDIRECT("JunR!$A$6:$ZZ$1048576"), MATCH(AF$1, JunR!$6:$6, 0), FALSE),
            0
        ) +
        IFERROR(
            VLOOKUP($A37, INDIRECT("JulR!$A$6:$ZZ$1048576"), MATCH(AF$1, JulR!$6:$6, 0), FALSE),
            0
        ) +
        IFERROR(
            VLOOKUP($A37, INDIRECT("AgoR!$A$6:$ZZ$1048576"), MATCH(AF$1, AgoR!$6:$6, 0), FALSE),
            0
        ) +
        IFERROR(
            VLOOKUP($A37, INDIRECT("SepR!$A$6:$ZZ$1048576"), MATCH(AF$1, SepR!$6:$6, 0), FALSE),
            0
        ) +
        IFERROR(
            VLOOKUP($A37, INDIRECT("OctR!$A$6:$ZZ$1048576"), MATCH(AF$1, OctR!$6:$6, 0), FALSE),
            0
        ) +
        IFERROR(
            VLOOKUP($A37, INDIRECT("NovR!$A$6:$ZZ$1048576"), MATCH(AF$1, NovR!$6:$6, 0), FALSE),
            0
        ) +
        IFERROR(
            VLOOKUP($A37, INDIRECT("DicR!$A$6:$ZZ$1048576"), MATCH(AF$1, DicR!$6:$6, 0), FALSE),
            0
        )
)</f>
        <v>0</v>
      </c>
      <c r="AG37" s="37">
        <f t="array" ref="AG37">SUM(
    IFERROR(
            VLOOKUP($A37, INDIRECT("EneR!$A$6:$ZZ$1048576"), MATCH(AG$1, EneR!$6:$6, 0), FALSE),
            0
        ) +
        IFERROR(
            VLOOKUP($A37, INDIRECT("FebR!$A$6:$ZZ$1048576"), MATCH(AG$1, FebR!$6:$6, 0), FALSE),
            0
        ) +
        IFERROR(
            VLOOKUP($A37, INDIRECT("MarR!$A$6:$ZZ$1048576"), MATCH(AG$1, MarR!$6:$6, 0), FALSE),
            0
        ) +
        IFERROR(
            VLOOKUP($A37, INDIRECT("AbrR!$A$6:$ZZ$1048576"), MATCH(AG$1, AbrR!$6:$6, 0), FALSE),
            0
        ) +
        IFERROR(
            VLOOKUP($A37, INDIRECT("MayR!$A$6:$ZZ$1048576"), MATCH(AG$1, MayR!$6:$6, 0), FALSE),
            0
        ) +
        IFERROR(
            VLOOKUP($A37, INDIRECT("JunR!$A$6:$ZZ$1048576"), MATCH(AG$1, JunR!$6:$6, 0), FALSE),
            0
        ) +
        IFERROR(
            VLOOKUP($A37, INDIRECT("JulR!$A$6:$ZZ$1048576"), MATCH(AG$1, JulR!$6:$6, 0), FALSE),
            0
        ) +
        IFERROR(
            VLOOKUP($A37, INDIRECT("AgoR!$A$6:$ZZ$1048576"), MATCH(AG$1, AgoR!$6:$6, 0), FALSE),
            0
        ) +
        IFERROR(
            VLOOKUP($A37, INDIRECT("SepR!$A$6:$ZZ$1048576"), MATCH(AG$1, SepR!$6:$6, 0), FALSE),
            0
        ) +
        IFERROR(
            VLOOKUP($A37, INDIRECT("OctR!$A$6:$ZZ$1048576"), MATCH(AG$1, OctR!$6:$6, 0), FALSE),
            0
        ) +
        IFERROR(
            VLOOKUP($A37, INDIRECT("NovR!$A$6:$ZZ$1048576"), MATCH(AG$1, NovR!$6:$6, 0), FALSE),
            0
        ) +
        IFERROR(
            VLOOKUP($A37, INDIRECT("DicR!$A$6:$ZZ$1048576"), MATCH(AG$1, DicR!$6:$6, 0), FALSE),
            0
        )
)</f>
        <v>0</v>
      </c>
      <c r="AH37" s="36">
        <f t="array" ref="AH37">SUM(
    IFERROR(
            VLOOKUP($A37, INDIRECT("EneR!$A$6:$ZZ$1048576"), MATCH(AH$1, EneR!$6:$6, 0), FALSE),
            0
        ) +
        IFERROR(
            VLOOKUP($A37, INDIRECT("FebR!$A$6:$ZZ$1048576"), MATCH(AH$1, FebR!$6:$6, 0), FALSE),
            0
        ) +
        IFERROR(
            VLOOKUP($A37, INDIRECT("MarR!$A$6:$ZZ$1048576"), MATCH(AH$1, MarR!$6:$6, 0), FALSE),
            0
        ) +
        IFERROR(
            VLOOKUP($A37, INDIRECT("AbrR!$A$6:$ZZ$1048576"), MATCH(AH$1, AbrR!$6:$6, 0), FALSE),
            0
        ) +
        IFERROR(
            VLOOKUP($A37, INDIRECT("MayR!$A$6:$ZZ$1048576"), MATCH(AH$1, MayR!$6:$6, 0), FALSE),
            0
        ) +
        IFERROR(
            VLOOKUP($A37, INDIRECT("JunR!$A$6:$ZZ$1048576"), MATCH(AH$1, JunR!$6:$6, 0), FALSE),
            0
        ) +
        IFERROR(
            VLOOKUP($A37, INDIRECT("JulR!$A$6:$ZZ$1048576"), MATCH(AH$1, JulR!$6:$6, 0), FALSE),
            0
        ) +
        IFERROR(
            VLOOKUP($A37, INDIRECT("AgoR!$A$6:$ZZ$1048576"), MATCH(AH$1, AgoR!$6:$6, 0), FALSE),
            0
        ) +
        IFERROR(
            VLOOKUP($A37, INDIRECT("SepR!$A$6:$ZZ$1048576"), MATCH(AH$1, SepR!$6:$6, 0), FALSE),
            0
        ) +
        IFERROR(
            VLOOKUP($A37, INDIRECT("OctR!$A$6:$ZZ$1048576"), MATCH(AH$1, OctR!$6:$6, 0), FALSE),
            0
        ) +
        IFERROR(
            VLOOKUP($A37, INDIRECT("NovR!$A$6:$ZZ$1048576"), MATCH(AH$1, NovR!$6:$6, 0), FALSE),
            0
        ) +
        IFERROR(
            VLOOKUP($A37, INDIRECT("DicR!$A$6:$ZZ$1048576"), MATCH(AH$1, DicR!$6:$6, 0), FALSE),
            0
        )
)</f>
        <v>0</v>
      </c>
      <c r="AI37" s="37">
        <f t="array" ref="AI37">SUM(
    IFERROR(
            VLOOKUP($A37, INDIRECT("EneR!$A$6:$ZZ$1048576"), MATCH(AI$1, EneR!$6:$6, 0), FALSE),
            0
        ) +
        IFERROR(
            VLOOKUP($A37, INDIRECT("FebR!$A$6:$ZZ$1048576"), MATCH(AI$1, FebR!$6:$6, 0), FALSE),
            0
        ) +
        IFERROR(
            VLOOKUP($A37, INDIRECT("MarR!$A$6:$ZZ$1048576"), MATCH(AI$1, MarR!$6:$6, 0), FALSE),
            0
        ) +
        IFERROR(
            VLOOKUP($A37, INDIRECT("AbrR!$A$6:$ZZ$1048576"), MATCH(AI$1, AbrR!$6:$6, 0), FALSE),
            0
        ) +
        IFERROR(
            VLOOKUP($A37, INDIRECT("MayR!$A$6:$ZZ$1048576"), MATCH(AI$1, MayR!$6:$6, 0), FALSE),
            0
        ) +
        IFERROR(
            VLOOKUP($A37, INDIRECT("JunR!$A$6:$ZZ$1048576"), MATCH(AI$1, JunR!$6:$6, 0), FALSE),
            0
        ) +
        IFERROR(
            VLOOKUP($A37, INDIRECT("JulR!$A$6:$ZZ$1048576"), MATCH(AI$1, JulR!$6:$6, 0), FALSE),
            0
        ) +
        IFERROR(
            VLOOKUP($A37, INDIRECT("AgoR!$A$6:$ZZ$1048576"), MATCH(AI$1, AgoR!$6:$6, 0), FALSE),
            0
        ) +
        IFERROR(
            VLOOKUP($A37, INDIRECT("SepR!$A$6:$ZZ$1048576"), MATCH(AI$1, SepR!$6:$6, 0), FALSE),
            0
        ) +
        IFERROR(
            VLOOKUP($A37, INDIRECT("OctR!$A$6:$ZZ$1048576"), MATCH(AI$1, OctR!$6:$6, 0), FALSE),
            0
        ) +
        IFERROR(
            VLOOKUP($A37, INDIRECT("NovR!$A$6:$ZZ$1048576"), MATCH(AI$1, NovR!$6:$6, 0), FALSE),
            0
        ) +
        IFERROR(
            VLOOKUP($A37, INDIRECT("DicR!$A$6:$ZZ$1048576"), MATCH(AI$1, DicR!$6:$6, 0), FALSE),
            0
        )
)</f>
        <v>0</v>
      </c>
      <c r="AJ37" s="36">
        <f t="array" ref="AJ37">SUM(
    IFERROR(
            VLOOKUP($A37, INDIRECT("EneR!$A$6:$ZZ$1048576"), MATCH(AJ$1, EneR!$6:$6, 0), FALSE),
            0
        ) +
        IFERROR(
            VLOOKUP($A37, INDIRECT("FebR!$A$6:$ZZ$1048576"), MATCH(AJ$1, FebR!$6:$6, 0), FALSE),
            0
        ) +
        IFERROR(
            VLOOKUP($A37, INDIRECT("MarR!$A$6:$ZZ$1048576"), MATCH(AJ$1, MarR!$6:$6, 0), FALSE),
            0
        ) +
        IFERROR(
            VLOOKUP($A37, INDIRECT("AbrR!$A$6:$ZZ$1048576"), MATCH(AJ$1, AbrR!$6:$6, 0), FALSE),
            0
        ) +
        IFERROR(
            VLOOKUP($A37, INDIRECT("MayR!$A$6:$ZZ$1048576"), MATCH(AJ$1, MayR!$6:$6, 0), FALSE),
            0
        ) +
        IFERROR(
            VLOOKUP($A37, INDIRECT("JunR!$A$6:$ZZ$1048576"), MATCH(AJ$1, JunR!$6:$6, 0), FALSE),
            0
        ) +
        IFERROR(
            VLOOKUP($A37, INDIRECT("JulR!$A$6:$ZZ$1048576"), MATCH(AJ$1, JulR!$6:$6, 0), FALSE),
            0
        ) +
        IFERROR(
            VLOOKUP($A37, INDIRECT("AgoR!$A$6:$ZZ$1048576"), MATCH(AJ$1, AgoR!$6:$6, 0), FALSE),
            0
        ) +
        IFERROR(
            VLOOKUP($A37, INDIRECT("SepR!$A$6:$ZZ$1048576"), MATCH(AJ$1, SepR!$6:$6, 0), FALSE),
            0
        ) +
        IFERROR(
            VLOOKUP($A37, INDIRECT("OctR!$A$6:$ZZ$1048576"), MATCH(AJ$1, OctR!$6:$6, 0), FALSE),
            0
        ) +
        IFERROR(
            VLOOKUP($A37, INDIRECT("NovR!$A$6:$ZZ$1048576"), MATCH(AJ$1, NovR!$6:$6, 0), FALSE),
            0
        ) +
        IFERROR(
            VLOOKUP($A37, INDIRECT("DicR!$A$6:$ZZ$1048576"), MATCH(AJ$1, DicR!$6:$6, 0), FALSE),
            0
        )
)</f>
        <v>0</v>
      </c>
      <c r="AK37" s="37">
        <f t="array" ref="AK37">SUM(
    IFERROR(
            VLOOKUP($A37, INDIRECT("EneR!$A$6:$ZZ$1048576"), MATCH(AK$1, EneR!$6:$6, 0), FALSE),
            0
        ) +
        IFERROR(
            VLOOKUP($A37, INDIRECT("FebR!$A$6:$ZZ$1048576"), MATCH(AK$1, FebR!$6:$6, 0), FALSE),
            0
        ) +
        IFERROR(
            VLOOKUP($A37, INDIRECT("MarR!$A$6:$ZZ$1048576"), MATCH(AK$1, MarR!$6:$6, 0), FALSE),
            0
        ) +
        IFERROR(
            VLOOKUP($A37, INDIRECT("AbrR!$A$6:$ZZ$1048576"), MATCH(AK$1, AbrR!$6:$6, 0), FALSE),
            0
        ) +
        IFERROR(
            VLOOKUP($A37, INDIRECT("MayR!$A$6:$ZZ$1048576"), MATCH(AK$1, MayR!$6:$6, 0), FALSE),
            0
        ) +
        IFERROR(
            VLOOKUP($A37, INDIRECT("JunR!$A$6:$ZZ$1048576"), MATCH(AK$1, JunR!$6:$6, 0), FALSE),
            0
        ) +
        IFERROR(
            VLOOKUP($A37, INDIRECT("JulR!$A$6:$ZZ$1048576"), MATCH(AK$1, JulR!$6:$6, 0), FALSE),
            0
        ) +
        IFERROR(
            VLOOKUP($A37, INDIRECT("AgoR!$A$6:$ZZ$1048576"), MATCH(AK$1, AgoR!$6:$6, 0), FALSE),
            0
        ) +
        IFERROR(
            VLOOKUP($A37, INDIRECT("SepR!$A$6:$ZZ$1048576"), MATCH(AK$1, SepR!$6:$6, 0), FALSE),
            0
        ) +
        IFERROR(
            VLOOKUP($A37, INDIRECT("OctR!$A$6:$ZZ$1048576"), MATCH(AK$1, OctR!$6:$6, 0), FALSE),
            0
        ) +
        IFERROR(
            VLOOKUP($A37, INDIRECT("NovR!$A$6:$ZZ$1048576"), MATCH(AK$1, NovR!$6:$6, 0), FALSE),
            0
        ) +
        IFERROR(
            VLOOKUP($A37, INDIRECT("DicR!$A$6:$ZZ$1048576"), MATCH(AK$1, DicR!$6:$6, 0), FALSE),
            0
        )
)</f>
        <v>0</v>
      </c>
      <c r="AL37" s="36">
        <f t="array" ref="AL37">SUM(
    IFERROR(
            VLOOKUP($A37, INDIRECT("EneR!$A$6:$ZZ$1048576"), MATCH(AL$1, EneR!$6:$6, 0), FALSE),
            0
        ) +
        IFERROR(
            VLOOKUP($A37, INDIRECT("FebR!$A$6:$ZZ$1048576"), MATCH(AL$1, FebR!$6:$6, 0), FALSE),
            0
        ) +
        IFERROR(
            VLOOKUP($A37, INDIRECT("MarR!$A$6:$ZZ$1048576"), MATCH(AL$1, MarR!$6:$6, 0), FALSE),
            0
        ) +
        IFERROR(
            VLOOKUP($A37, INDIRECT("AbrR!$A$6:$ZZ$1048576"), MATCH(AL$1, AbrR!$6:$6, 0), FALSE),
            0
        ) +
        IFERROR(
            VLOOKUP($A37, INDIRECT("MayR!$A$6:$ZZ$1048576"), MATCH(AL$1, MayR!$6:$6, 0), FALSE),
            0
        ) +
        IFERROR(
            VLOOKUP($A37, INDIRECT("JunR!$A$6:$ZZ$1048576"), MATCH(AL$1, JunR!$6:$6, 0), FALSE),
            0
        ) +
        IFERROR(
            VLOOKUP($A37, INDIRECT("JulR!$A$6:$ZZ$1048576"), MATCH(AL$1, JulR!$6:$6, 0), FALSE),
            0
        ) +
        IFERROR(
            VLOOKUP($A37, INDIRECT("AgoR!$A$6:$ZZ$1048576"), MATCH(AL$1, AgoR!$6:$6, 0), FALSE),
            0
        ) +
        IFERROR(
            VLOOKUP($A37, INDIRECT("SepR!$A$6:$ZZ$1048576"), MATCH(AL$1, SepR!$6:$6, 0), FALSE),
            0
        ) +
        IFERROR(
            VLOOKUP($A37, INDIRECT("OctR!$A$6:$ZZ$1048576"), MATCH(AL$1, OctR!$6:$6, 0), FALSE),
            0
        ) +
        IFERROR(
            VLOOKUP($A37, INDIRECT("NovR!$A$6:$ZZ$1048576"), MATCH(AL$1, NovR!$6:$6, 0), FALSE),
            0
        ) +
        IFERROR(
            VLOOKUP($A37, INDIRECT("DicR!$A$6:$ZZ$1048576"), MATCH(AL$1, DicR!$6:$6, 0), FALSE),
            0
        )
)</f>
        <v>0</v>
      </c>
      <c r="AM37" s="37">
        <f t="array" ref="AM37">SUM(
    IFERROR(
            VLOOKUP($A37, INDIRECT("EneR!$A$6:$ZZ$1048576"), MATCH(AM$1, EneR!$6:$6, 0), FALSE),
            0
        ) +
        IFERROR(
            VLOOKUP($A37, INDIRECT("FebR!$A$6:$ZZ$1048576"), MATCH(AM$1, FebR!$6:$6, 0), FALSE),
            0
        ) +
        IFERROR(
            VLOOKUP($A37, INDIRECT("MarR!$A$6:$ZZ$1048576"), MATCH(AM$1, MarR!$6:$6, 0), FALSE),
            0
        ) +
        IFERROR(
            VLOOKUP($A37, INDIRECT("AbrR!$A$6:$ZZ$1048576"), MATCH(AM$1, AbrR!$6:$6, 0), FALSE),
            0
        ) +
        IFERROR(
            VLOOKUP($A37, INDIRECT("MayR!$A$6:$ZZ$1048576"), MATCH(AM$1, MayR!$6:$6, 0), FALSE),
            0
        ) +
        IFERROR(
            VLOOKUP($A37, INDIRECT("JunR!$A$6:$ZZ$1048576"), MATCH(AM$1, JunR!$6:$6, 0), FALSE),
            0
        ) +
        IFERROR(
            VLOOKUP($A37, INDIRECT("JulR!$A$6:$ZZ$1048576"), MATCH(AM$1, JulR!$6:$6, 0), FALSE),
            0
        ) +
        IFERROR(
            VLOOKUP($A37, INDIRECT("AgoR!$A$6:$ZZ$1048576"), MATCH(AM$1, AgoR!$6:$6, 0), FALSE),
            0
        ) +
        IFERROR(
            VLOOKUP($A37, INDIRECT("SepR!$A$6:$ZZ$1048576"), MATCH(AM$1, SepR!$6:$6, 0), FALSE),
            0
        ) +
        IFERROR(
            VLOOKUP($A37, INDIRECT("OctR!$A$6:$ZZ$1048576"), MATCH(AM$1, OctR!$6:$6, 0), FALSE),
            0
        ) +
        IFERROR(
            VLOOKUP($A37, INDIRECT("NovR!$A$6:$ZZ$1048576"), MATCH(AM$1, NovR!$6:$6, 0), FALSE),
            0
        ) +
        IFERROR(
            VLOOKUP($A37, INDIRECT("DicR!$A$6:$ZZ$1048576"), MATCH(AM$1, DicR!$6:$6, 0), FALSE),
            0
        )
)</f>
        <v>0</v>
      </c>
      <c r="AN37" s="36">
        <f t="array" ref="AN37">SUM(
    IFERROR(
            VLOOKUP($A37, INDIRECT("EneR!$A$6:$ZZ$1048576"), MATCH(AN$1, EneR!$6:$6, 0), FALSE),
            0
        ) +
        IFERROR(
            VLOOKUP($A37, INDIRECT("FebR!$A$6:$ZZ$1048576"), MATCH(AN$1, FebR!$6:$6, 0), FALSE),
            0
        ) +
        IFERROR(
            VLOOKUP($A37, INDIRECT("MarR!$A$6:$ZZ$1048576"), MATCH(AN$1, MarR!$6:$6, 0), FALSE),
            0
        ) +
        IFERROR(
            VLOOKUP($A37, INDIRECT("AbrR!$A$6:$ZZ$1048576"), MATCH(AN$1, AbrR!$6:$6, 0), FALSE),
            0
        ) +
        IFERROR(
            VLOOKUP($A37, INDIRECT("MayR!$A$6:$ZZ$1048576"), MATCH(AN$1, MayR!$6:$6, 0), FALSE),
            0
        ) +
        IFERROR(
            VLOOKUP($A37, INDIRECT("JunR!$A$6:$ZZ$1048576"), MATCH(AN$1, JunR!$6:$6, 0), FALSE),
            0
        ) +
        IFERROR(
            VLOOKUP($A37, INDIRECT("JulR!$A$6:$ZZ$1048576"), MATCH(AN$1, JulR!$6:$6, 0), FALSE),
            0
        ) +
        IFERROR(
            VLOOKUP($A37, INDIRECT("AgoR!$A$6:$ZZ$1048576"), MATCH(AN$1, AgoR!$6:$6, 0), FALSE),
            0
        ) +
        IFERROR(
            VLOOKUP($A37, INDIRECT("SepR!$A$6:$ZZ$1048576"), MATCH(AN$1, SepR!$6:$6, 0), FALSE),
            0
        ) +
        IFERROR(
            VLOOKUP($A37, INDIRECT("OctR!$A$6:$ZZ$1048576"), MATCH(AN$1, OctR!$6:$6, 0), FALSE),
            0
        ) +
        IFERROR(
            VLOOKUP($A37, INDIRECT("NovR!$A$6:$ZZ$1048576"), MATCH(AN$1, NovR!$6:$6, 0), FALSE),
            0
        ) +
        IFERROR(
            VLOOKUP($A37, INDIRECT("DicR!$A$6:$ZZ$1048576"), MATCH(AN$1, DicR!$6:$6, 0), FALSE),
            0
        )
)</f>
        <v>0</v>
      </c>
      <c r="AO37" s="37">
        <f t="array" ref="AO37">SUM(
    IFERROR(
            VLOOKUP($A37, INDIRECT("EneR!$A$6:$ZZ$1048576"), MATCH(AO$1, EneR!$6:$6, 0), FALSE),
            0
        ) +
        IFERROR(
            VLOOKUP($A37, INDIRECT("FebR!$A$6:$ZZ$1048576"), MATCH(AO$1, FebR!$6:$6, 0), FALSE),
            0
        ) +
        IFERROR(
            VLOOKUP($A37, INDIRECT("MarR!$A$6:$ZZ$1048576"), MATCH(AO$1, MarR!$6:$6, 0), FALSE),
            0
        ) +
        IFERROR(
            VLOOKUP($A37, INDIRECT("AbrR!$A$6:$ZZ$1048576"), MATCH(AO$1, AbrR!$6:$6, 0), FALSE),
            0
        ) +
        IFERROR(
            VLOOKUP($A37, INDIRECT("MayR!$A$6:$ZZ$1048576"), MATCH(AO$1, MayR!$6:$6, 0), FALSE),
            0
        ) +
        IFERROR(
            VLOOKUP($A37, INDIRECT("JunR!$A$6:$ZZ$1048576"), MATCH(AO$1, JunR!$6:$6, 0), FALSE),
            0
        ) +
        IFERROR(
            VLOOKUP($A37, INDIRECT("JulR!$A$6:$ZZ$1048576"), MATCH(AO$1, JulR!$6:$6, 0), FALSE),
            0
        ) +
        IFERROR(
            VLOOKUP($A37, INDIRECT("AgoR!$A$6:$ZZ$1048576"), MATCH(AO$1, AgoR!$6:$6, 0), FALSE),
            0
        ) +
        IFERROR(
            VLOOKUP($A37, INDIRECT("SepR!$A$6:$ZZ$1048576"), MATCH(AO$1, SepR!$6:$6, 0), FALSE),
            0
        ) +
        IFERROR(
            VLOOKUP($A37, INDIRECT("OctR!$A$6:$ZZ$1048576"), MATCH(AO$1, OctR!$6:$6, 0), FALSE),
            0
        ) +
        IFERROR(
            VLOOKUP($A37, INDIRECT("NovR!$A$6:$ZZ$1048576"), MATCH(AO$1, NovR!$6:$6, 0), FALSE),
            0
        ) +
        IFERROR(
            VLOOKUP($A37, INDIRECT("DicR!$A$6:$ZZ$1048576"), MATCH(AO$1, DicR!$6:$6, 0), FALSE),
            0
        )
)</f>
        <v>0</v>
      </c>
      <c r="AP37" s="36">
        <f t="array" ref="AP37">SUM(
    IFERROR(
            VLOOKUP($A37, INDIRECT("EneR!$A$6:$ZZ$1048576"), MATCH(AP$1, EneR!$6:$6, 0), FALSE),
            0
        ) +
        IFERROR(
            VLOOKUP($A37, INDIRECT("FebR!$A$6:$ZZ$1048576"), MATCH(AP$1, FebR!$6:$6, 0), FALSE),
            0
        ) +
        IFERROR(
            VLOOKUP($A37, INDIRECT("MarR!$A$6:$ZZ$1048576"), MATCH(AP$1, MarR!$6:$6, 0), FALSE),
            0
        ) +
        IFERROR(
            VLOOKUP($A37, INDIRECT("AbrR!$A$6:$ZZ$1048576"), MATCH(AP$1, AbrR!$6:$6, 0), FALSE),
            0
        ) +
        IFERROR(
            VLOOKUP($A37, INDIRECT("MayR!$A$6:$ZZ$1048576"), MATCH(AP$1, MayR!$6:$6, 0), FALSE),
            0
        ) +
        IFERROR(
            VLOOKUP($A37, INDIRECT("JunR!$A$6:$ZZ$1048576"), MATCH(AP$1, JunR!$6:$6, 0), FALSE),
            0
        ) +
        IFERROR(
            VLOOKUP($A37, INDIRECT("JulR!$A$6:$ZZ$1048576"), MATCH(AP$1, JulR!$6:$6, 0), FALSE),
            0
        ) +
        IFERROR(
            VLOOKUP($A37, INDIRECT("AgoR!$A$6:$ZZ$1048576"), MATCH(AP$1, AgoR!$6:$6, 0), FALSE),
            0
        ) +
        IFERROR(
            VLOOKUP($A37, INDIRECT("SepR!$A$6:$ZZ$1048576"), MATCH(AP$1, SepR!$6:$6, 0), FALSE),
            0
        ) +
        IFERROR(
            VLOOKUP($A37, INDIRECT("OctR!$A$6:$ZZ$1048576"), MATCH(AP$1, OctR!$6:$6, 0), FALSE),
            0
        ) +
        IFERROR(
            VLOOKUP($A37, INDIRECT("NovR!$A$6:$ZZ$1048576"), MATCH(AP$1, NovR!$6:$6, 0), FALSE),
            0
        ) +
        IFERROR(
            VLOOKUP($A37, INDIRECT("DicR!$A$6:$ZZ$1048576"), MATCH(AP$1, DicR!$6:$6, 0), FALSE),
            0
        )
)</f>
        <v>0</v>
      </c>
      <c r="AQ37" s="37">
        <f t="array" ref="AQ37">SUM(
    IFERROR(
            VLOOKUP($A37, INDIRECT("EneR!$A$6:$ZZ$1048576"), MATCH(AQ$1, EneR!$6:$6, 0), FALSE),
            0
        ) +
        IFERROR(
            VLOOKUP($A37, INDIRECT("FebR!$A$6:$ZZ$1048576"), MATCH(AQ$1, FebR!$6:$6, 0), FALSE),
            0
        ) +
        IFERROR(
            VLOOKUP($A37, INDIRECT("MarR!$A$6:$ZZ$1048576"), MATCH(AQ$1, MarR!$6:$6, 0), FALSE),
            0
        ) +
        IFERROR(
            VLOOKUP($A37, INDIRECT("AbrR!$A$6:$ZZ$1048576"), MATCH(AQ$1, AbrR!$6:$6, 0), FALSE),
            0
        ) +
        IFERROR(
            VLOOKUP($A37, INDIRECT("MayR!$A$6:$ZZ$1048576"), MATCH(AQ$1, MayR!$6:$6, 0), FALSE),
            0
        ) +
        IFERROR(
            VLOOKUP($A37, INDIRECT("JunR!$A$6:$ZZ$1048576"), MATCH(AQ$1, JunR!$6:$6, 0), FALSE),
            0
        ) +
        IFERROR(
            VLOOKUP($A37, INDIRECT("JulR!$A$6:$ZZ$1048576"), MATCH(AQ$1, JulR!$6:$6, 0), FALSE),
            0
        ) +
        IFERROR(
            VLOOKUP($A37, INDIRECT("AgoR!$A$6:$ZZ$1048576"), MATCH(AQ$1, AgoR!$6:$6, 0), FALSE),
            0
        ) +
        IFERROR(
            VLOOKUP($A37, INDIRECT("SepR!$A$6:$ZZ$1048576"), MATCH(AQ$1, SepR!$6:$6, 0), FALSE),
            0
        ) +
        IFERROR(
            VLOOKUP($A37, INDIRECT("OctR!$A$6:$ZZ$1048576"), MATCH(AQ$1, OctR!$6:$6, 0), FALSE),
            0
        ) +
        IFERROR(
            VLOOKUP($A37, INDIRECT("NovR!$A$6:$ZZ$1048576"), MATCH(AQ$1, NovR!$6:$6, 0), FALSE),
            0
        ) +
        IFERROR(
            VLOOKUP($A37, INDIRECT("DicR!$A$6:$ZZ$1048576"), MATCH(AQ$1, DicR!$6:$6, 0), FALSE),
            0
        )
)</f>
        <v>0</v>
      </c>
      <c r="AR37" s="36">
        <f t="array" ref="AR37">SUM(
    IFERROR(
            VLOOKUP($A37, INDIRECT("EneR!$A$6:$ZZ$1048576"), MATCH(AR$1, EneR!$6:$6, 0), FALSE),
            0
        ) +
        IFERROR(
            VLOOKUP($A37, INDIRECT("FebR!$A$6:$ZZ$1048576"), MATCH(AR$1, FebR!$6:$6, 0), FALSE),
            0
        ) +
        IFERROR(
            VLOOKUP($A37, INDIRECT("MarR!$A$6:$ZZ$1048576"), MATCH(AR$1, MarR!$6:$6, 0), FALSE),
            0
        ) +
        IFERROR(
            VLOOKUP($A37, INDIRECT("AbrR!$A$6:$ZZ$1048576"), MATCH(AR$1, AbrR!$6:$6, 0), FALSE),
            0
        ) +
        IFERROR(
            VLOOKUP($A37, INDIRECT("MayR!$A$6:$ZZ$1048576"), MATCH(AR$1, MayR!$6:$6, 0), FALSE),
            0
        ) +
        IFERROR(
            VLOOKUP($A37, INDIRECT("JunR!$A$6:$ZZ$1048576"), MATCH(AR$1, JunR!$6:$6, 0), FALSE),
            0
        ) +
        IFERROR(
            VLOOKUP($A37, INDIRECT("JulR!$A$6:$ZZ$1048576"), MATCH(AR$1, JulR!$6:$6, 0), FALSE),
            0
        ) +
        IFERROR(
            VLOOKUP($A37, INDIRECT("AgoR!$A$6:$ZZ$1048576"), MATCH(AR$1, AgoR!$6:$6, 0), FALSE),
            0
        ) +
        IFERROR(
            VLOOKUP($A37, INDIRECT("SepR!$A$6:$ZZ$1048576"), MATCH(AR$1, SepR!$6:$6, 0), FALSE),
            0
        ) +
        IFERROR(
            VLOOKUP($A37, INDIRECT("OctR!$A$6:$ZZ$1048576"), MATCH(AR$1, OctR!$6:$6, 0), FALSE),
            0
        ) +
        IFERROR(
            VLOOKUP($A37, INDIRECT("NovR!$A$6:$ZZ$1048576"), MATCH(AR$1, NovR!$6:$6, 0), FALSE),
            0
        ) +
        IFERROR(
            VLOOKUP($A37, INDIRECT("DicR!$A$6:$ZZ$1048576"), MATCH(AR$1, DicR!$6:$6, 0), FALSE),
            0
        )
)</f>
        <v>0</v>
      </c>
      <c r="AS37" s="37">
        <f t="array" ref="AS37">SUM(
    IFERROR(
            VLOOKUP($A37, INDIRECT("EneR!$A$6:$ZZ$1048576"), MATCH(AS$1, EneR!$6:$6, 0), FALSE),
            0
        ) +
        IFERROR(
            VLOOKUP($A37, INDIRECT("FebR!$A$6:$ZZ$1048576"), MATCH(AS$1, FebR!$6:$6, 0), FALSE),
            0
        ) +
        IFERROR(
            VLOOKUP($A37, INDIRECT("MarR!$A$6:$ZZ$1048576"), MATCH(AS$1, MarR!$6:$6, 0), FALSE),
            0
        ) +
        IFERROR(
            VLOOKUP($A37, INDIRECT("AbrR!$A$6:$ZZ$1048576"), MATCH(AS$1, AbrR!$6:$6, 0), FALSE),
            0
        ) +
        IFERROR(
            VLOOKUP($A37, INDIRECT("MayR!$A$6:$ZZ$1048576"), MATCH(AS$1, MayR!$6:$6, 0), FALSE),
            0
        ) +
        IFERROR(
            VLOOKUP($A37, INDIRECT("JunR!$A$6:$ZZ$1048576"), MATCH(AS$1, JunR!$6:$6, 0), FALSE),
            0
        ) +
        IFERROR(
            VLOOKUP($A37, INDIRECT("JulR!$A$6:$ZZ$1048576"), MATCH(AS$1, JulR!$6:$6, 0), FALSE),
            0
        ) +
        IFERROR(
            VLOOKUP($A37, INDIRECT("AgoR!$A$6:$ZZ$1048576"), MATCH(AS$1, AgoR!$6:$6, 0), FALSE),
            0
        ) +
        IFERROR(
            VLOOKUP($A37, INDIRECT("SepR!$A$6:$ZZ$1048576"), MATCH(AS$1, SepR!$6:$6, 0), FALSE),
            0
        ) +
        IFERROR(
            VLOOKUP($A37, INDIRECT("OctR!$A$6:$ZZ$1048576"), MATCH(AS$1, OctR!$6:$6, 0), FALSE),
            0
        ) +
        IFERROR(
            VLOOKUP($A37, INDIRECT("NovR!$A$6:$ZZ$1048576"), MATCH(AS$1, NovR!$6:$6, 0), FALSE),
            0
        ) +
        IFERROR(
            VLOOKUP($A37, INDIRECT("DicR!$A$6:$ZZ$1048576"), MATCH(AS$1, DicR!$6:$6, 0), FALSE),
            0
        )
)</f>
        <v>0</v>
      </c>
      <c r="AT37" s="36">
        <f t="array" ref="AT37">SUM(
    IFERROR(
            VLOOKUP($A37, INDIRECT("EneR!$A$6:$ZZ$1048576"), MATCH(AT$1, EneR!$6:$6, 0), FALSE),
            0
        ) +
        IFERROR(
            VLOOKUP($A37, INDIRECT("FebR!$A$6:$ZZ$1048576"), MATCH(AT$1, FebR!$6:$6, 0), FALSE),
            0
        ) +
        IFERROR(
            VLOOKUP($A37, INDIRECT("MarR!$A$6:$ZZ$1048576"), MATCH(AT$1, MarR!$6:$6, 0), FALSE),
            0
        ) +
        IFERROR(
            VLOOKUP($A37, INDIRECT("AbrR!$A$6:$ZZ$1048576"), MATCH(AT$1, AbrR!$6:$6, 0), FALSE),
            0
        ) +
        IFERROR(
            VLOOKUP($A37, INDIRECT("MayR!$A$6:$ZZ$1048576"), MATCH(AT$1, MayR!$6:$6, 0), FALSE),
            0
        ) +
        IFERROR(
            VLOOKUP($A37, INDIRECT("JunR!$A$6:$ZZ$1048576"), MATCH(AT$1, JunR!$6:$6, 0), FALSE),
            0
        ) +
        IFERROR(
            VLOOKUP($A37, INDIRECT("JulR!$A$6:$ZZ$1048576"), MATCH(AT$1, JulR!$6:$6, 0), FALSE),
            0
        ) +
        IFERROR(
            VLOOKUP($A37, INDIRECT("AgoR!$A$6:$ZZ$1048576"), MATCH(AT$1, AgoR!$6:$6, 0), FALSE),
            0
        ) +
        IFERROR(
            VLOOKUP($A37, INDIRECT("SepR!$A$6:$ZZ$1048576"), MATCH(AT$1, SepR!$6:$6, 0), FALSE),
            0
        ) +
        IFERROR(
            VLOOKUP($A37, INDIRECT("OctR!$A$6:$ZZ$1048576"), MATCH(AT$1, OctR!$6:$6, 0), FALSE),
            0
        ) +
        IFERROR(
            VLOOKUP($A37, INDIRECT("NovR!$A$6:$ZZ$1048576"), MATCH(AT$1, NovR!$6:$6, 0), FALSE),
            0
        ) +
        IFERROR(
            VLOOKUP($A37, INDIRECT("DicR!$A$6:$ZZ$1048576"), MATCH(AT$1, DicR!$6:$6, 0), FALSE),
            0
        )
)</f>
        <v>0</v>
      </c>
      <c r="AU37" s="37">
        <f t="array" ref="AU37">SUM(
    IFERROR(
            VLOOKUP($A37, INDIRECT("EneR!$A$6:$ZZ$1048576"), MATCH(AU$1, EneR!$6:$6, 0), FALSE),
            0
        ) +
        IFERROR(
            VLOOKUP($A37, INDIRECT("FebR!$A$6:$ZZ$1048576"), MATCH(AU$1, FebR!$6:$6, 0), FALSE),
            0
        ) +
        IFERROR(
            VLOOKUP($A37, INDIRECT("MarR!$A$6:$ZZ$1048576"), MATCH(AU$1, MarR!$6:$6, 0), FALSE),
            0
        ) +
        IFERROR(
            VLOOKUP($A37, INDIRECT("AbrR!$A$6:$ZZ$1048576"), MATCH(AU$1, AbrR!$6:$6, 0), FALSE),
            0
        ) +
        IFERROR(
            VLOOKUP($A37, INDIRECT("MayR!$A$6:$ZZ$1048576"), MATCH(AU$1, MayR!$6:$6, 0), FALSE),
            0
        ) +
        IFERROR(
            VLOOKUP($A37, INDIRECT("JunR!$A$6:$ZZ$1048576"), MATCH(AU$1, JunR!$6:$6, 0), FALSE),
            0
        ) +
        IFERROR(
            VLOOKUP($A37, INDIRECT("JulR!$A$6:$ZZ$1048576"), MATCH(AU$1, JulR!$6:$6, 0), FALSE),
            0
        ) +
        IFERROR(
            VLOOKUP($A37, INDIRECT("AgoR!$A$6:$ZZ$1048576"), MATCH(AU$1, AgoR!$6:$6, 0), FALSE),
            0
        ) +
        IFERROR(
            VLOOKUP($A37, INDIRECT("SepR!$A$6:$ZZ$1048576"), MATCH(AU$1, SepR!$6:$6, 0), FALSE),
            0
        ) +
        IFERROR(
            VLOOKUP($A37, INDIRECT("OctR!$A$6:$ZZ$1048576"), MATCH(AU$1, OctR!$6:$6, 0), FALSE),
            0
        ) +
        IFERROR(
            VLOOKUP($A37, INDIRECT("NovR!$A$6:$ZZ$1048576"), MATCH(AU$1, NovR!$6:$6, 0), FALSE),
            0
        ) +
        IFERROR(
            VLOOKUP($A37, INDIRECT("DicR!$A$6:$ZZ$1048576"), MATCH(AU$1, DicR!$6:$6, 0), FALSE),
            0
        )
)</f>
        <v>0</v>
      </c>
      <c r="AV37" s="36">
        <f t="array" ref="AV37">SUM(
    IFERROR(
            VLOOKUP($A37, INDIRECT("EneR!$A$6:$ZZ$1048576"), MATCH(AV$1, EneR!$6:$6, 0), FALSE),
            0
        ) +
        IFERROR(
            VLOOKUP($A37, INDIRECT("FebR!$A$6:$ZZ$1048576"), MATCH(AV$1, FebR!$6:$6, 0), FALSE),
            0
        ) +
        IFERROR(
            VLOOKUP($A37, INDIRECT("MarR!$A$6:$ZZ$1048576"), MATCH(AV$1, MarR!$6:$6, 0), FALSE),
            0
        ) +
        IFERROR(
            VLOOKUP($A37, INDIRECT("AbrR!$A$6:$ZZ$1048576"), MATCH(AV$1, AbrR!$6:$6, 0), FALSE),
            0
        ) +
        IFERROR(
            VLOOKUP($A37, INDIRECT("MayR!$A$6:$ZZ$1048576"), MATCH(AV$1, MayR!$6:$6, 0), FALSE),
            0
        ) +
        IFERROR(
            VLOOKUP($A37, INDIRECT("JunR!$A$6:$ZZ$1048576"), MATCH(AV$1, JunR!$6:$6, 0), FALSE),
            0
        ) +
        IFERROR(
            VLOOKUP($A37, INDIRECT("JulR!$A$6:$ZZ$1048576"), MATCH(AV$1, JulR!$6:$6, 0), FALSE),
            0
        ) +
        IFERROR(
            VLOOKUP($A37, INDIRECT("AgoR!$A$6:$ZZ$1048576"), MATCH(AV$1, AgoR!$6:$6, 0), FALSE),
            0
        ) +
        IFERROR(
            VLOOKUP($A37, INDIRECT("SepR!$A$6:$ZZ$1048576"), MATCH(AV$1, SepR!$6:$6, 0), FALSE),
            0
        ) +
        IFERROR(
            VLOOKUP($A37, INDIRECT("OctR!$A$6:$ZZ$1048576"), MATCH(AV$1, OctR!$6:$6, 0), FALSE),
            0
        ) +
        IFERROR(
            VLOOKUP($A37, INDIRECT("NovR!$A$6:$ZZ$1048576"), MATCH(AV$1, NovR!$6:$6, 0), FALSE),
            0
        ) +
        IFERROR(
            VLOOKUP($A37, INDIRECT("DicR!$A$6:$ZZ$1048576"), MATCH(AV$1, DicR!$6:$6, 0), FALSE),
            0
        )
)</f>
        <v>0</v>
      </c>
      <c r="AW37" s="37">
        <f t="array" ref="AW37">SUM(
    IFERROR(
            VLOOKUP($A37, INDIRECT("EneR!$A$6:$ZZ$1048576"), MATCH(AW$1, EneR!$6:$6, 0), FALSE),
            0
        ) +
        IFERROR(
            VLOOKUP($A37, INDIRECT("FebR!$A$6:$ZZ$1048576"), MATCH(AW$1, FebR!$6:$6, 0), FALSE),
            0
        ) +
        IFERROR(
            VLOOKUP($A37, INDIRECT("MarR!$A$6:$ZZ$1048576"), MATCH(AW$1, MarR!$6:$6, 0), FALSE),
            0
        ) +
        IFERROR(
            VLOOKUP($A37, INDIRECT("AbrR!$A$6:$ZZ$1048576"), MATCH(AW$1, AbrR!$6:$6, 0), FALSE),
            0
        ) +
        IFERROR(
            VLOOKUP($A37, INDIRECT("MayR!$A$6:$ZZ$1048576"), MATCH(AW$1, MayR!$6:$6, 0), FALSE),
            0
        ) +
        IFERROR(
            VLOOKUP($A37, INDIRECT("JunR!$A$6:$ZZ$1048576"), MATCH(AW$1, JunR!$6:$6, 0), FALSE),
            0
        ) +
        IFERROR(
            VLOOKUP($A37, INDIRECT("JulR!$A$6:$ZZ$1048576"), MATCH(AW$1, JulR!$6:$6, 0), FALSE),
            0
        ) +
        IFERROR(
            VLOOKUP($A37, INDIRECT("AgoR!$A$6:$ZZ$1048576"), MATCH(AW$1, AgoR!$6:$6, 0), FALSE),
            0
        ) +
        IFERROR(
            VLOOKUP($A37, INDIRECT("SepR!$A$6:$ZZ$1048576"), MATCH(AW$1, SepR!$6:$6, 0), FALSE),
            0
        ) +
        IFERROR(
            VLOOKUP($A37, INDIRECT("OctR!$A$6:$ZZ$1048576"), MATCH(AW$1, OctR!$6:$6, 0), FALSE),
            0
        ) +
        IFERROR(
            VLOOKUP($A37, INDIRECT("NovR!$A$6:$ZZ$1048576"), MATCH(AW$1, NovR!$6:$6, 0), FALSE),
            0
        ) +
        IFERROR(
            VLOOKUP($A37, INDIRECT("DicR!$A$6:$ZZ$1048576"), MATCH(AW$1, DicR!$6:$6, 0), FALSE),
            0
        )
)</f>
        <v>0</v>
      </c>
      <c r="AX37" s="36">
        <f t="array" ref="AX37">SUM(
    IFERROR(
            VLOOKUP($A37, INDIRECT("EneR!$A$6:$ZZ$1048576"), MATCH(AX$1, EneR!$6:$6, 0), FALSE),
            0
        ) +
        IFERROR(
            VLOOKUP($A37, INDIRECT("FebR!$A$6:$ZZ$1048576"), MATCH(AX$1, FebR!$6:$6, 0), FALSE),
            0
        ) +
        IFERROR(
            VLOOKUP($A37, INDIRECT("MarR!$A$6:$ZZ$1048576"), MATCH(AX$1, MarR!$6:$6, 0), FALSE),
            0
        ) +
        IFERROR(
            VLOOKUP($A37, INDIRECT("AbrR!$A$6:$ZZ$1048576"), MATCH(AX$1, AbrR!$6:$6, 0), FALSE),
            0
        ) +
        IFERROR(
            VLOOKUP($A37, INDIRECT("MayR!$A$6:$ZZ$1048576"), MATCH(AX$1, MayR!$6:$6, 0), FALSE),
            0
        ) +
        IFERROR(
            VLOOKUP($A37, INDIRECT("JunR!$A$6:$ZZ$1048576"), MATCH(AX$1, JunR!$6:$6, 0), FALSE),
            0
        ) +
        IFERROR(
            VLOOKUP($A37, INDIRECT("JulR!$A$6:$ZZ$1048576"), MATCH(AX$1, JulR!$6:$6, 0), FALSE),
            0
        ) +
        IFERROR(
            VLOOKUP($A37, INDIRECT("AgoR!$A$6:$ZZ$1048576"), MATCH(AX$1, AgoR!$6:$6, 0), FALSE),
            0
        ) +
        IFERROR(
            VLOOKUP($A37, INDIRECT("SepR!$A$6:$ZZ$1048576"), MATCH(AX$1, SepR!$6:$6, 0), FALSE),
            0
        ) +
        IFERROR(
            VLOOKUP($A37, INDIRECT("OctR!$A$6:$ZZ$1048576"), MATCH(AX$1, OctR!$6:$6, 0), FALSE),
            0
        ) +
        IFERROR(
            VLOOKUP($A37, INDIRECT("NovR!$A$6:$ZZ$1048576"), MATCH(AX$1, NovR!$6:$6, 0), FALSE),
            0
        ) +
        IFERROR(
            VLOOKUP($A37, INDIRECT("DicR!$A$6:$ZZ$1048576"), MATCH(AX$1, DicR!$6:$6, 0), FALSE),
            0
        )
)</f>
        <v>0</v>
      </c>
      <c r="AY37" s="37">
        <f t="array" ref="AY37">SUM(
    IFERROR(
            VLOOKUP($A37, INDIRECT("EneR!$A$6:$ZZ$1048576"), MATCH(AY$1, EneR!$6:$6, 0), FALSE),
            0
        ) +
        IFERROR(
            VLOOKUP($A37, INDIRECT("FebR!$A$6:$ZZ$1048576"), MATCH(AY$1, FebR!$6:$6, 0), FALSE),
            0
        ) +
        IFERROR(
            VLOOKUP($A37, INDIRECT("MarR!$A$6:$ZZ$1048576"), MATCH(AY$1, MarR!$6:$6, 0), FALSE),
            0
        ) +
        IFERROR(
            VLOOKUP($A37, INDIRECT("AbrR!$A$6:$ZZ$1048576"), MATCH(AY$1, AbrR!$6:$6, 0), FALSE),
            0
        ) +
        IFERROR(
            VLOOKUP($A37, INDIRECT("MayR!$A$6:$ZZ$1048576"), MATCH(AY$1, MayR!$6:$6, 0), FALSE),
            0
        ) +
        IFERROR(
            VLOOKUP($A37, INDIRECT("JunR!$A$6:$ZZ$1048576"), MATCH(AY$1, JunR!$6:$6, 0), FALSE),
            0
        ) +
        IFERROR(
            VLOOKUP($A37, INDIRECT("JulR!$A$6:$ZZ$1048576"), MATCH(AY$1, JulR!$6:$6, 0), FALSE),
            0
        ) +
        IFERROR(
            VLOOKUP($A37, INDIRECT("AgoR!$A$6:$ZZ$1048576"), MATCH(AY$1, AgoR!$6:$6, 0), FALSE),
            0
        ) +
        IFERROR(
            VLOOKUP($A37, INDIRECT("SepR!$A$6:$ZZ$1048576"), MATCH(AY$1, SepR!$6:$6, 0), FALSE),
            0
        ) +
        IFERROR(
            VLOOKUP($A37, INDIRECT("OctR!$A$6:$ZZ$1048576"), MATCH(AY$1, OctR!$6:$6, 0), FALSE),
            0
        ) +
        IFERROR(
            VLOOKUP($A37, INDIRECT("NovR!$A$6:$ZZ$1048576"), MATCH(AY$1, NovR!$6:$6, 0), FALSE),
            0
        ) +
        IFERROR(
            VLOOKUP($A37, INDIRECT("DicR!$A$6:$ZZ$1048576"), MATCH(AY$1, DicR!$6:$6, 0), FALSE),
            0
        )
)</f>
        <v>0</v>
      </c>
      <c r="AZ37" s="37"/>
    </row>
    <row r="38" ht="15.75" hidden="1" customHeight="1">
      <c r="A38" s="12" t="str">
        <f>Menus!R30</f>
        <v/>
      </c>
      <c r="B38" s="32">
        <f t="shared" si="6"/>
        <v>0</v>
      </c>
      <c r="C38" s="33" t="str">
        <f t="shared" si="7"/>
        <v/>
      </c>
      <c r="D38" s="34">
        <f t="array" ref="D38">SUM(
    IFERROR(
            VLOOKUP($A38, INDIRECT("EneR!$A$6:$ZZ$1048576"), MATCH(D$1, EneR!$6:$6, 0), FALSE),
            0
        ) +
        IFERROR(
            VLOOKUP($A38, INDIRECT("FebR!$A$6:$ZZ$1048576"), MATCH(D$1, FebR!$6:$6, 0), FALSE),
            0
        ) +
        IFERROR(
            VLOOKUP($A38, INDIRECT("MarR!$A$6:$ZZ$1048576"), MATCH(D$1, MarR!$6:$6, 0), FALSE),
            0
        ) +
        IFERROR(
            VLOOKUP($A38, INDIRECT("AbrR!$A$6:$ZZ$1048576"), MATCH(D$1, AbrR!$6:$6, 0), FALSE),
            0
        ) +
        IFERROR(
            VLOOKUP($A38, INDIRECT("MayR!$A$6:$ZZ$1048576"), MATCH(D$1, MayR!$6:$6, 0), FALSE),
            0
        ) +
        IFERROR(
            VLOOKUP($A38, INDIRECT("JunR!$A$6:$ZZ$1048576"), MATCH(D$1, JunR!$6:$6, 0), FALSE),
            0
        ) +
        IFERROR(
            VLOOKUP($A38, INDIRECT("JulR!$A$6:$ZZ$1048576"), MATCH(D$1, JulR!$6:$6, 0), FALSE),
            0
        ) +
        IFERROR(
            VLOOKUP($A38, INDIRECT("AgoR!$A$6:$ZZ$1048576"), MATCH(D$1, AgoR!$6:$6, 0), FALSE),
            0
        ) +
        IFERROR(
            VLOOKUP($A38, INDIRECT("SepR!$A$6:$ZZ$1048576"), MATCH(D$1, SepR!$6:$6, 0), FALSE),
            0
        ) +
        IFERROR(
            VLOOKUP($A38, INDIRECT("OctR!$A$6:$ZZ$1048576"), MATCH(D$1, OctR!$6:$6, 0), FALSE),
            0
        ) +
        IFERROR(
            VLOOKUP($A38, INDIRECT("NovR!$A$6:$ZZ$1048576"), MATCH(D$1, NovR!$6:$6, 0), FALSE),
            0
        ) +
        IFERROR(
            VLOOKUP($A38, INDIRECT("DicR!$A$6:$ZZ$1048576"), MATCH(D$1, DicR!$6:$6, 0), FALSE),
            0
        )
)</f>
        <v>0</v>
      </c>
      <c r="E38" s="35">
        <f t="array" ref="E38">SUM(
    IFERROR(
            VLOOKUP($A38, INDIRECT("EneR!$A$6:$ZZ$1048576"), MATCH(E$1, EneR!$6:$6, 0), FALSE),
            0
        ) +
        IFERROR(
            VLOOKUP($A38, INDIRECT("FebR!$A$6:$ZZ$1048576"), MATCH(E$1, FebR!$6:$6, 0), FALSE),
            0
        ) +
        IFERROR(
            VLOOKUP($A38, INDIRECT("MarR!$A$6:$ZZ$1048576"), MATCH(E$1, MarR!$6:$6, 0), FALSE),
            0
        ) +
        IFERROR(
            VLOOKUP($A38, INDIRECT("AbrR!$A$6:$ZZ$1048576"), MATCH(E$1, AbrR!$6:$6, 0), FALSE),
            0
        ) +
        IFERROR(
            VLOOKUP($A38, INDIRECT("MayR!$A$6:$ZZ$1048576"), MATCH(E$1, MayR!$6:$6, 0), FALSE),
            0
        ) +
        IFERROR(
            VLOOKUP($A38, INDIRECT("JunR!$A$6:$ZZ$1048576"), MATCH(E$1, JunR!$6:$6, 0), FALSE),
            0
        ) +
        IFERROR(
            VLOOKUP($A38, INDIRECT("JulR!$A$6:$ZZ$1048576"), MATCH(E$1, JulR!$6:$6, 0), FALSE),
            0
        ) +
        IFERROR(
            VLOOKUP($A38, INDIRECT("AgoR!$A$6:$ZZ$1048576"), MATCH(E$1, AgoR!$6:$6, 0), FALSE),
            0
        ) +
        IFERROR(
            VLOOKUP($A38, INDIRECT("SepR!$A$6:$ZZ$1048576"), MATCH(E$1, SepR!$6:$6, 0), FALSE),
            0
        ) +
        IFERROR(
            VLOOKUP($A38, INDIRECT("OctR!$A$6:$ZZ$1048576"), MATCH(E$1, OctR!$6:$6, 0), FALSE),
            0
        ) +
        IFERROR(
            VLOOKUP($A38, INDIRECT("NovR!$A$6:$ZZ$1048576"), MATCH(E$1, NovR!$6:$6, 0), FALSE),
            0
        ) +
        IFERROR(
            VLOOKUP($A38, INDIRECT("DicR!$A$6:$ZZ$1048576"), MATCH(E$1, DicR!$6:$6, 0), FALSE),
            0
        )
)</f>
        <v>0</v>
      </c>
      <c r="F38" s="32">
        <f t="array" ref="F38">SUM(
    IFERROR(
            VLOOKUP($A38, INDIRECT("EneR!$A$6:$ZZ$1048576"), MATCH(F$1, EneR!$6:$6, 0), FALSE),
            0
        ) +
        IFERROR(
            VLOOKUP($A38, INDIRECT("FebR!$A$6:$ZZ$1048576"), MATCH(F$1, FebR!$6:$6, 0), FALSE),
            0
        ) +
        IFERROR(
            VLOOKUP($A38, INDIRECT("MarR!$A$6:$ZZ$1048576"), MATCH(F$1, MarR!$6:$6, 0), FALSE),
            0
        ) +
        IFERROR(
            VLOOKUP($A38, INDIRECT("AbrR!$A$6:$ZZ$1048576"), MATCH(F$1, AbrR!$6:$6, 0), FALSE),
            0
        ) +
        IFERROR(
            VLOOKUP($A38, INDIRECT("MayR!$A$6:$ZZ$1048576"), MATCH(F$1, MayR!$6:$6, 0), FALSE),
            0
        ) +
        IFERROR(
            VLOOKUP($A38, INDIRECT("JunR!$A$6:$ZZ$1048576"), MATCH(F$1, JunR!$6:$6, 0), FALSE),
            0
        ) +
        IFERROR(
            VLOOKUP($A38, INDIRECT("JulR!$A$6:$ZZ$1048576"), MATCH(F$1, JulR!$6:$6, 0), FALSE),
            0
        ) +
        IFERROR(
            VLOOKUP($A38, INDIRECT("AgoR!$A$6:$ZZ$1048576"), MATCH(F$1, AgoR!$6:$6, 0), FALSE),
            0
        ) +
        IFERROR(
            VLOOKUP($A38, INDIRECT("SepR!$A$6:$ZZ$1048576"), MATCH(F$1, SepR!$6:$6, 0), FALSE),
            0
        ) +
        IFERROR(
            VLOOKUP($A38, INDIRECT("OctR!$A$6:$ZZ$1048576"), MATCH(F$1, OctR!$6:$6, 0), FALSE),
            0
        ) +
        IFERROR(
            VLOOKUP($A38, INDIRECT("NovR!$A$6:$ZZ$1048576"), MATCH(F$1, NovR!$6:$6, 0), FALSE),
            0
        ) +
        IFERROR(
            VLOOKUP($A38, INDIRECT("DicR!$A$6:$ZZ$1048576"), MATCH(F$1, DicR!$6:$6, 0), FALSE),
            0
        )
)</f>
        <v>0</v>
      </c>
      <c r="G38" s="35">
        <f t="array" ref="G38">SUM(
    IFERROR(
            VLOOKUP($A38, INDIRECT("EneR!$A$6:$ZZ$1048576"), MATCH(G$1, EneR!$6:$6, 0), FALSE),
            0
        ) +
        IFERROR(
            VLOOKUP($A38, INDIRECT("FebR!$A$6:$ZZ$1048576"), MATCH(G$1, FebR!$6:$6, 0), FALSE),
            0
        ) +
        IFERROR(
            VLOOKUP($A38, INDIRECT("MarR!$A$6:$ZZ$1048576"), MATCH(G$1, MarR!$6:$6, 0), FALSE),
            0
        ) +
        IFERROR(
            VLOOKUP($A38, INDIRECT("AbrR!$A$6:$ZZ$1048576"), MATCH(G$1, AbrR!$6:$6, 0), FALSE),
            0
        ) +
        IFERROR(
            VLOOKUP($A38, INDIRECT("MayR!$A$6:$ZZ$1048576"), MATCH(G$1, MayR!$6:$6, 0), FALSE),
            0
        ) +
        IFERROR(
            VLOOKUP($A38, INDIRECT("JunR!$A$6:$ZZ$1048576"), MATCH(G$1, JunR!$6:$6, 0), FALSE),
            0
        ) +
        IFERROR(
            VLOOKUP($A38, INDIRECT("JulR!$A$6:$ZZ$1048576"), MATCH(G$1, JulR!$6:$6, 0), FALSE),
            0
        ) +
        IFERROR(
            VLOOKUP($A38, INDIRECT("AgoR!$A$6:$ZZ$1048576"), MATCH(G$1, AgoR!$6:$6, 0), FALSE),
            0
        ) +
        IFERROR(
            VLOOKUP($A38, INDIRECT("SepR!$A$6:$ZZ$1048576"), MATCH(G$1, SepR!$6:$6, 0), FALSE),
            0
        ) +
        IFERROR(
            VLOOKUP($A38, INDIRECT("OctR!$A$6:$ZZ$1048576"), MATCH(G$1, OctR!$6:$6, 0), FALSE),
            0
        ) +
        IFERROR(
            VLOOKUP($A38, INDIRECT("NovR!$A$6:$ZZ$1048576"), MATCH(G$1, NovR!$6:$6, 0), FALSE),
            0
        ) +
        IFERROR(
            VLOOKUP($A38, INDIRECT("DicR!$A$6:$ZZ$1048576"), MATCH(G$1, DicR!$6:$6, 0), FALSE),
            0
        )
)</f>
        <v>0</v>
      </c>
      <c r="H38" s="32">
        <f t="array" ref="H38">SUM(
    IFERROR(
            VLOOKUP($A38, INDIRECT("EneR!$A$6:$ZZ$1048576"), MATCH(H$1, EneR!$6:$6, 0), FALSE),
            0
        ) +
        IFERROR(
            VLOOKUP($A38, INDIRECT("FebR!$A$6:$ZZ$1048576"), MATCH(H$1, FebR!$6:$6, 0), FALSE),
            0
        ) +
        IFERROR(
            VLOOKUP($A38, INDIRECT("MarR!$A$6:$ZZ$1048576"), MATCH(H$1, MarR!$6:$6, 0), FALSE),
            0
        ) +
        IFERROR(
            VLOOKUP($A38, INDIRECT("AbrR!$A$6:$ZZ$1048576"), MATCH(H$1, AbrR!$6:$6, 0), FALSE),
            0
        ) +
        IFERROR(
            VLOOKUP($A38, INDIRECT("MayR!$A$6:$ZZ$1048576"), MATCH(H$1, MayR!$6:$6, 0), FALSE),
            0
        ) +
        IFERROR(
            VLOOKUP($A38, INDIRECT("JunR!$A$6:$ZZ$1048576"), MATCH(H$1, JunR!$6:$6, 0), FALSE),
            0
        ) +
        IFERROR(
            VLOOKUP($A38, INDIRECT("JulR!$A$6:$ZZ$1048576"), MATCH(H$1, JulR!$6:$6, 0), FALSE),
            0
        ) +
        IFERROR(
            VLOOKUP($A38, INDIRECT("AgoR!$A$6:$ZZ$1048576"), MATCH(H$1, AgoR!$6:$6, 0), FALSE),
            0
        ) +
        IFERROR(
            VLOOKUP($A38, INDIRECT("SepR!$A$6:$ZZ$1048576"), MATCH(H$1, SepR!$6:$6, 0), FALSE),
            0
        ) +
        IFERROR(
            VLOOKUP($A38, INDIRECT("OctR!$A$6:$ZZ$1048576"), MATCH(H$1, OctR!$6:$6, 0), FALSE),
            0
        ) +
        IFERROR(
            VLOOKUP($A38, INDIRECT("NovR!$A$6:$ZZ$1048576"), MATCH(H$1, NovR!$6:$6, 0), FALSE),
            0
        ) +
        IFERROR(
            VLOOKUP($A38, INDIRECT("DicR!$A$6:$ZZ$1048576"), MATCH(H$1, DicR!$6:$6, 0), FALSE),
            0
        )
)</f>
        <v>0</v>
      </c>
      <c r="I38" s="35">
        <f t="array" ref="I38">SUM(
    IFERROR(
            VLOOKUP($A38, INDIRECT("EneR!$A$6:$ZZ$1048576"), MATCH(I$1, EneR!$6:$6, 0), FALSE),
            0
        ) +
        IFERROR(
            VLOOKUP($A38, INDIRECT("FebR!$A$6:$ZZ$1048576"), MATCH(I$1, FebR!$6:$6, 0), FALSE),
            0
        ) +
        IFERROR(
            VLOOKUP($A38, INDIRECT("MarR!$A$6:$ZZ$1048576"), MATCH(I$1, MarR!$6:$6, 0), FALSE),
            0
        ) +
        IFERROR(
            VLOOKUP($A38, INDIRECT("AbrR!$A$6:$ZZ$1048576"), MATCH(I$1, AbrR!$6:$6, 0), FALSE),
            0
        ) +
        IFERROR(
            VLOOKUP($A38, INDIRECT("MayR!$A$6:$ZZ$1048576"), MATCH(I$1, MayR!$6:$6, 0), FALSE),
            0
        ) +
        IFERROR(
            VLOOKUP($A38, INDIRECT("JunR!$A$6:$ZZ$1048576"), MATCH(I$1, JunR!$6:$6, 0), FALSE),
            0
        ) +
        IFERROR(
            VLOOKUP($A38, INDIRECT("JulR!$A$6:$ZZ$1048576"), MATCH(I$1, JulR!$6:$6, 0), FALSE),
            0
        ) +
        IFERROR(
            VLOOKUP($A38, INDIRECT("AgoR!$A$6:$ZZ$1048576"), MATCH(I$1, AgoR!$6:$6, 0), FALSE),
            0
        ) +
        IFERROR(
            VLOOKUP($A38, INDIRECT("SepR!$A$6:$ZZ$1048576"), MATCH(I$1, SepR!$6:$6, 0), FALSE),
            0
        ) +
        IFERROR(
            VLOOKUP($A38, INDIRECT("OctR!$A$6:$ZZ$1048576"), MATCH(I$1, OctR!$6:$6, 0), FALSE),
            0
        ) +
        IFERROR(
            VLOOKUP($A38, INDIRECT("NovR!$A$6:$ZZ$1048576"), MATCH(I$1, NovR!$6:$6, 0), FALSE),
            0
        ) +
        IFERROR(
            VLOOKUP($A38, INDIRECT("DicR!$A$6:$ZZ$1048576"), MATCH(I$1, DicR!$6:$6, 0), FALSE),
            0
        )
)</f>
        <v>0</v>
      </c>
      <c r="J38" s="32">
        <f t="array" ref="J38">SUM(
    IFERROR(
            VLOOKUP($A38, INDIRECT("EneR!$A$6:$ZZ$1048576"), MATCH(J$1, EneR!$6:$6, 0), FALSE),
            0
        ) +
        IFERROR(
            VLOOKUP($A38, INDIRECT("FebR!$A$6:$ZZ$1048576"), MATCH(J$1, FebR!$6:$6, 0), FALSE),
            0
        ) +
        IFERROR(
            VLOOKUP($A38, INDIRECT("MarR!$A$6:$ZZ$1048576"), MATCH(J$1, MarR!$6:$6, 0), FALSE),
            0
        ) +
        IFERROR(
            VLOOKUP($A38, INDIRECT("AbrR!$A$6:$ZZ$1048576"), MATCH(J$1, AbrR!$6:$6, 0), FALSE),
            0
        ) +
        IFERROR(
            VLOOKUP($A38, INDIRECT("MayR!$A$6:$ZZ$1048576"), MATCH(J$1, MayR!$6:$6, 0), FALSE),
            0
        ) +
        IFERROR(
            VLOOKUP($A38, INDIRECT("JunR!$A$6:$ZZ$1048576"), MATCH(J$1, JunR!$6:$6, 0), FALSE),
            0
        ) +
        IFERROR(
            VLOOKUP($A38, INDIRECT("JulR!$A$6:$ZZ$1048576"), MATCH(J$1, JulR!$6:$6, 0), FALSE),
            0
        ) +
        IFERROR(
            VLOOKUP($A38, INDIRECT("AgoR!$A$6:$ZZ$1048576"), MATCH(J$1, AgoR!$6:$6, 0), FALSE),
            0
        ) +
        IFERROR(
            VLOOKUP($A38, INDIRECT("SepR!$A$6:$ZZ$1048576"), MATCH(J$1, SepR!$6:$6, 0), FALSE),
            0
        ) +
        IFERROR(
            VLOOKUP($A38, INDIRECT("OctR!$A$6:$ZZ$1048576"), MATCH(J$1, OctR!$6:$6, 0), FALSE),
            0
        ) +
        IFERROR(
            VLOOKUP($A38, INDIRECT("NovR!$A$6:$ZZ$1048576"), MATCH(J$1, NovR!$6:$6, 0), FALSE),
            0
        ) +
        IFERROR(
            VLOOKUP($A38, INDIRECT("DicR!$A$6:$ZZ$1048576"), MATCH(J$1, DicR!$6:$6, 0), FALSE),
            0
        )
)</f>
        <v>0</v>
      </c>
      <c r="K38" s="35">
        <f t="array" ref="K38">SUM(
    IFERROR(
            VLOOKUP($A38, INDIRECT("EneR!$A$6:$ZZ$1048576"), MATCH(K$1, EneR!$6:$6, 0), FALSE),
            0
        ) +
        IFERROR(
            VLOOKUP($A38, INDIRECT("FebR!$A$6:$ZZ$1048576"), MATCH(K$1, FebR!$6:$6, 0), FALSE),
            0
        ) +
        IFERROR(
            VLOOKUP($A38, INDIRECT("MarR!$A$6:$ZZ$1048576"), MATCH(K$1, MarR!$6:$6, 0), FALSE),
            0
        ) +
        IFERROR(
            VLOOKUP($A38, INDIRECT("AbrR!$A$6:$ZZ$1048576"), MATCH(K$1, AbrR!$6:$6, 0), FALSE),
            0
        ) +
        IFERROR(
            VLOOKUP($A38, INDIRECT("MayR!$A$6:$ZZ$1048576"), MATCH(K$1, MayR!$6:$6, 0), FALSE),
            0
        ) +
        IFERROR(
            VLOOKUP($A38, INDIRECT("JunR!$A$6:$ZZ$1048576"), MATCH(K$1, JunR!$6:$6, 0), FALSE),
            0
        ) +
        IFERROR(
            VLOOKUP($A38, INDIRECT("JulR!$A$6:$ZZ$1048576"), MATCH(K$1, JulR!$6:$6, 0), FALSE),
            0
        ) +
        IFERROR(
            VLOOKUP($A38, INDIRECT("AgoR!$A$6:$ZZ$1048576"), MATCH(K$1, AgoR!$6:$6, 0), FALSE),
            0
        ) +
        IFERROR(
            VLOOKUP($A38, INDIRECT("SepR!$A$6:$ZZ$1048576"), MATCH(K$1, SepR!$6:$6, 0), FALSE),
            0
        ) +
        IFERROR(
            VLOOKUP($A38, INDIRECT("OctR!$A$6:$ZZ$1048576"), MATCH(K$1, OctR!$6:$6, 0), FALSE),
            0
        ) +
        IFERROR(
            VLOOKUP($A38, INDIRECT("NovR!$A$6:$ZZ$1048576"), MATCH(K$1, NovR!$6:$6, 0), FALSE),
            0
        ) +
        IFERROR(
            VLOOKUP($A38, INDIRECT("DicR!$A$6:$ZZ$1048576"), MATCH(K$1, DicR!$6:$6, 0), FALSE),
            0
        )
)</f>
        <v>0</v>
      </c>
      <c r="L38" s="32">
        <f t="array" ref="L38">SUM(
    IFERROR(
            VLOOKUP($A38, INDIRECT("EneR!$A$6:$ZZ$1048576"), MATCH(L$1, EneR!$6:$6, 0), FALSE),
            0
        ) +
        IFERROR(
            VLOOKUP($A38, INDIRECT("FebR!$A$6:$ZZ$1048576"), MATCH(L$1, FebR!$6:$6, 0), FALSE),
            0
        ) +
        IFERROR(
            VLOOKUP($A38, INDIRECT("MarR!$A$6:$ZZ$1048576"), MATCH(L$1, MarR!$6:$6, 0), FALSE),
            0
        ) +
        IFERROR(
            VLOOKUP($A38, INDIRECT("AbrR!$A$6:$ZZ$1048576"), MATCH(L$1, AbrR!$6:$6, 0), FALSE),
            0
        ) +
        IFERROR(
            VLOOKUP($A38, INDIRECT("MayR!$A$6:$ZZ$1048576"), MATCH(L$1, MayR!$6:$6, 0), FALSE),
            0
        ) +
        IFERROR(
            VLOOKUP($A38, INDIRECT("JunR!$A$6:$ZZ$1048576"), MATCH(L$1, JunR!$6:$6, 0), FALSE),
            0
        ) +
        IFERROR(
            VLOOKUP($A38, INDIRECT("JulR!$A$6:$ZZ$1048576"), MATCH(L$1, JulR!$6:$6, 0), FALSE),
            0
        ) +
        IFERROR(
            VLOOKUP($A38, INDIRECT("AgoR!$A$6:$ZZ$1048576"), MATCH(L$1, AgoR!$6:$6, 0), FALSE),
            0
        ) +
        IFERROR(
            VLOOKUP($A38, INDIRECT("SepR!$A$6:$ZZ$1048576"), MATCH(L$1, SepR!$6:$6, 0), FALSE),
            0
        ) +
        IFERROR(
            VLOOKUP($A38, INDIRECT("OctR!$A$6:$ZZ$1048576"), MATCH(L$1, OctR!$6:$6, 0), FALSE),
            0
        ) +
        IFERROR(
            VLOOKUP($A38, INDIRECT("NovR!$A$6:$ZZ$1048576"), MATCH(L$1, NovR!$6:$6, 0), FALSE),
            0
        ) +
        IFERROR(
            VLOOKUP($A38, INDIRECT("DicR!$A$6:$ZZ$1048576"), MATCH(L$1, DicR!$6:$6, 0), FALSE),
            0
        )
)</f>
        <v>0</v>
      </c>
      <c r="M38" s="35">
        <f t="array" ref="M38">SUM(
    IFERROR(
            VLOOKUP($A38, INDIRECT("EneR!$A$6:$ZZ$1048576"), MATCH(M$1, EneR!$6:$6, 0), FALSE),
            0
        ) +
        IFERROR(
            VLOOKUP($A38, INDIRECT("FebR!$A$6:$ZZ$1048576"), MATCH(M$1, FebR!$6:$6, 0), FALSE),
            0
        ) +
        IFERROR(
            VLOOKUP($A38, INDIRECT("MarR!$A$6:$ZZ$1048576"), MATCH(M$1, MarR!$6:$6, 0), FALSE),
            0
        ) +
        IFERROR(
            VLOOKUP($A38, INDIRECT("AbrR!$A$6:$ZZ$1048576"), MATCH(M$1, AbrR!$6:$6, 0), FALSE),
            0
        ) +
        IFERROR(
            VLOOKUP($A38, INDIRECT("MayR!$A$6:$ZZ$1048576"), MATCH(M$1, MayR!$6:$6, 0), FALSE),
            0
        ) +
        IFERROR(
            VLOOKUP($A38, INDIRECT("JunR!$A$6:$ZZ$1048576"), MATCH(M$1, JunR!$6:$6, 0), FALSE),
            0
        ) +
        IFERROR(
            VLOOKUP($A38, INDIRECT("JulR!$A$6:$ZZ$1048576"), MATCH(M$1, JulR!$6:$6, 0), FALSE),
            0
        ) +
        IFERROR(
            VLOOKUP($A38, INDIRECT("AgoR!$A$6:$ZZ$1048576"), MATCH(M$1, AgoR!$6:$6, 0), FALSE),
            0
        ) +
        IFERROR(
            VLOOKUP($A38, INDIRECT("SepR!$A$6:$ZZ$1048576"), MATCH(M$1, SepR!$6:$6, 0), FALSE),
            0
        ) +
        IFERROR(
            VLOOKUP($A38, INDIRECT("OctR!$A$6:$ZZ$1048576"), MATCH(M$1, OctR!$6:$6, 0), FALSE),
            0
        ) +
        IFERROR(
            VLOOKUP($A38, INDIRECT("NovR!$A$6:$ZZ$1048576"), MATCH(M$1, NovR!$6:$6, 0), FALSE),
            0
        ) +
        IFERROR(
            VLOOKUP($A38, INDIRECT("DicR!$A$6:$ZZ$1048576"), MATCH(M$1, DicR!$6:$6, 0), FALSE),
            0
        )
)</f>
        <v>0</v>
      </c>
      <c r="N38" s="32">
        <f t="array" ref="N38">SUM(
    IFERROR(
            VLOOKUP($A38, INDIRECT("EneR!$A$6:$ZZ$1048576"), MATCH(N$1, EneR!$6:$6, 0), FALSE),
            0
        ) +
        IFERROR(
            VLOOKUP($A38, INDIRECT("FebR!$A$6:$ZZ$1048576"), MATCH(N$1, FebR!$6:$6, 0), FALSE),
            0
        ) +
        IFERROR(
            VLOOKUP($A38, INDIRECT("MarR!$A$6:$ZZ$1048576"), MATCH(N$1, MarR!$6:$6, 0), FALSE),
            0
        ) +
        IFERROR(
            VLOOKUP($A38, INDIRECT("AbrR!$A$6:$ZZ$1048576"), MATCH(N$1, AbrR!$6:$6, 0), FALSE),
            0
        ) +
        IFERROR(
            VLOOKUP($A38, INDIRECT("MayR!$A$6:$ZZ$1048576"), MATCH(N$1, MayR!$6:$6, 0), FALSE),
            0
        ) +
        IFERROR(
            VLOOKUP($A38, INDIRECT("JunR!$A$6:$ZZ$1048576"), MATCH(N$1, JunR!$6:$6, 0), FALSE),
            0
        ) +
        IFERROR(
            VLOOKUP($A38, INDIRECT("JulR!$A$6:$ZZ$1048576"), MATCH(N$1, JulR!$6:$6, 0), FALSE),
            0
        ) +
        IFERROR(
            VLOOKUP($A38, INDIRECT("AgoR!$A$6:$ZZ$1048576"), MATCH(N$1, AgoR!$6:$6, 0), FALSE),
            0
        ) +
        IFERROR(
            VLOOKUP($A38, INDIRECT("SepR!$A$6:$ZZ$1048576"), MATCH(N$1, SepR!$6:$6, 0), FALSE),
            0
        ) +
        IFERROR(
            VLOOKUP($A38, INDIRECT("OctR!$A$6:$ZZ$1048576"), MATCH(N$1, OctR!$6:$6, 0), FALSE),
            0
        ) +
        IFERROR(
            VLOOKUP($A38, INDIRECT("NovR!$A$6:$ZZ$1048576"), MATCH(N$1, NovR!$6:$6, 0), FALSE),
            0
        ) +
        IFERROR(
            VLOOKUP($A38, INDIRECT("DicR!$A$6:$ZZ$1048576"), MATCH(N$1, DicR!$6:$6, 0), FALSE),
            0
        )
)</f>
        <v>0</v>
      </c>
      <c r="O38" s="35">
        <f t="array" ref="O38">SUM(
    IFERROR(
            VLOOKUP($A38, INDIRECT("EneR!$A$6:$ZZ$1048576"), MATCH(O$1, EneR!$6:$6, 0), FALSE),
            0
        ) +
        IFERROR(
            VLOOKUP($A38, INDIRECT("FebR!$A$6:$ZZ$1048576"), MATCH(O$1, FebR!$6:$6, 0), FALSE),
            0
        ) +
        IFERROR(
            VLOOKUP($A38, INDIRECT("MarR!$A$6:$ZZ$1048576"), MATCH(O$1, MarR!$6:$6, 0), FALSE),
            0
        ) +
        IFERROR(
            VLOOKUP($A38, INDIRECT("AbrR!$A$6:$ZZ$1048576"), MATCH(O$1, AbrR!$6:$6, 0), FALSE),
            0
        ) +
        IFERROR(
            VLOOKUP($A38, INDIRECT("MayR!$A$6:$ZZ$1048576"), MATCH(O$1, MayR!$6:$6, 0), FALSE),
            0
        ) +
        IFERROR(
            VLOOKUP($A38, INDIRECT("JunR!$A$6:$ZZ$1048576"), MATCH(O$1, JunR!$6:$6, 0), FALSE),
            0
        ) +
        IFERROR(
            VLOOKUP($A38, INDIRECT("JulR!$A$6:$ZZ$1048576"), MATCH(O$1, JulR!$6:$6, 0), FALSE),
            0
        ) +
        IFERROR(
            VLOOKUP($A38, INDIRECT("AgoR!$A$6:$ZZ$1048576"), MATCH(O$1, AgoR!$6:$6, 0), FALSE),
            0
        ) +
        IFERROR(
            VLOOKUP($A38, INDIRECT("SepR!$A$6:$ZZ$1048576"), MATCH(O$1, SepR!$6:$6, 0), FALSE),
            0
        ) +
        IFERROR(
            VLOOKUP($A38, INDIRECT("OctR!$A$6:$ZZ$1048576"), MATCH(O$1, OctR!$6:$6, 0), FALSE),
            0
        ) +
        IFERROR(
            VLOOKUP($A38, INDIRECT("NovR!$A$6:$ZZ$1048576"), MATCH(O$1, NovR!$6:$6, 0), FALSE),
            0
        ) +
        IFERROR(
            VLOOKUP($A38, INDIRECT("DicR!$A$6:$ZZ$1048576"), MATCH(O$1, DicR!$6:$6, 0), FALSE),
            0
        )
)</f>
        <v>0</v>
      </c>
      <c r="P38" s="32">
        <f t="array" ref="P38">SUM(
    IFERROR(
            VLOOKUP($A38, INDIRECT("EneR!$A$6:$ZZ$1048576"), MATCH(P$1, EneR!$6:$6, 0), FALSE),
            0
        ) +
        IFERROR(
            VLOOKUP($A38, INDIRECT("FebR!$A$6:$ZZ$1048576"), MATCH(P$1, FebR!$6:$6, 0), FALSE),
            0
        ) +
        IFERROR(
            VLOOKUP($A38, INDIRECT("MarR!$A$6:$ZZ$1048576"), MATCH(P$1, MarR!$6:$6, 0), FALSE),
            0
        ) +
        IFERROR(
            VLOOKUP($A38, INDIRECT("AbrR!$A$6:$ZZ$1048576"), MATCH(P$1, AbrR!$6:$6, 0), FALSE),
            0
        ) +
        IFERROR(
            VLOOKUP($A38, INDIRECT("MayR!$A$6:$ZZ$1048576"), MATCH(P$1, MayR!$6:$6, 0), FALSE),
            0
        ) +
        IFERROR(
            VLOOKUP($A38, INDIRECT("JunR!$A$6:$ZZ$1048576"), MATCH(P$1, JunR!$6:$6, 0), FALSE),
            0
        ) +
        IFERROR(
            VLOOKUP($A38, INDIRECT("JulR!$A$6:$ZZ$1048576"), MATCH(P$1, JulR!$6:$6, 0), FALSE),
            0
        ) +
        IFERROR(
            VLOOKUP($A38, INDIRECT("AgoR!$A$6:$ZZ$1048576"), MATCH(P$1, AgoR!$6:$6, 0), FALSE),
            0
        ) +
        IFERROR(
            VLOOKUP($A38, INDIRECT("SepR!$A$6:$ZZ$1048576"), MATCH(P$1, SepR!$6:$6, 0), FALSE),
            0
        ) +
        IFERROR(
            VLOOKUP($A38, INDIRECT("OctR!$A$6:$ZZ$1048576"), MATCH(P$1, OctR!$6:$6, 0), FALSE),
            0
        ) +
        IFERROR(
            VLOOKUP($A38, INDIRECT("NovR!$A$6:$ZZ$1048576"), MATCH(P$1, NovR!$6:$6, 0), FALSE),
            0
        ) +
        IFERROR(
            VLOOKUP($A38, INDIRECT("DicR!$A$6:$ZZ$1048576"), MATCH(P$1, DicR!$6:$6, 0), FALSE),
            0
        )
)</f>
        <v>0</v>
      </c>
      <c r="Q38" s="35">
        <f t="array" ref="Q38">SUM(
    IFERROR(
            VLOOKUP($A38, INDIRECT("EneR!$A$6:$ZZ$1048576"), MATCH(Q$1, EneR!$6:$6, 0), FALSE),
            0
        ) +
        IFERROR(
            VLOOKUP($A38, INDIRECT("FebR!$A$6:$ZZ$1048576"), MATCH(Q$1, FebR!$6:$6, 0), FALSE),
            0
        ) +
        IFERROR(
            VLOOKUP($A38, INDIRECT("MarR!$A$6:$ZZ$1048576"), MATCH(Q$1, MarR!$6:$6, 0), FALSE),
            0
        ) +
        IFERROR(
            VLOOKUP($A38, INDIRECT("AbrR!$A$6:$ZZ$1048576"), MATCH(Q$1, AbrR!$6:$6, 0), FALSE),
            0
        ) +
        IFERROR(
            VLOOKUP($A38, INDIRECT("MayR!$A$6:$ZZ$1048576"), MATCH(Q$1, MayR!$6:$6, 0), FALSE),
            0
        ) +
        IFERROR(
            VLOOKUP($A38, INDIRECT("JunR!$A$6:$ZZ$1048576"), MATCH(Q$1, JunR!$6:$6, 0), FALSE),
            0
        ) +
        IFERROR(
            VLOOKUP($A38, INDIRECT("JulR!$A$6:$ZZ$1048576"), MATCH(Q$1, JulR!$6:$6, 0), FALSE),
            0
        ) +
        IFERROR(
            VLOOKUP($A38, INDIRECT("AgoR!$A$6:$ZZ$1048576"), MATCH(Q$1, AgoR!$6:$6, 0), FALSE),
            0
        ) +
        IFERROR(
            VLOOKUP($A38, INDIRECT("SepR!$A$6:$ZZ$1048576"), MATCH(Q$1, SepR!$6:$6, 0), FALSE),
            0
        ) +
        IFERROR(
            VLOOKUP($A38, INDIRECT("OctR!$A$6:$ZZ$1048576"), MATCH(Q$1, OctR!$6:$6, 0), FALSE),
            0
        ) +
        IFERROR(
            VLOOKUP($A38, INDIRECT("NovR!$A$6:$ZZ$1048576"), MATCH(Q$1, NovR!$6:$6, 0), FALSE),
            0
        ) +
        IFERROR(
            VLOOKUP($A38, INDIRECT("DicR!$A$6:$ZZ$1048576"), MATCH(Q$1, DicR!$6:$6, 0), FALSE),
            0
        )
)</f>
        <v>0</v>
      </c>
      <c r="R38" s="36">
        <f t="array" ref="R38">SUM(
    IFERROR(
            VLOOKUP($A38, INDIRECT("EneR!$A$6:$ZZ$1048576"), MATCH(R$1, EneR!$6:$6, 0), FALSE),
            0
        ) +
        IFERROR(
            VLOOKUP($A38, INDIRECT("FebR!$A$6:$ZZ$1048576"), MATCH(R$1, FebR!$6:$6, 0), FALSE),
            0
        ) +
        IFERROR(
            VLOOKUP($A38, INDIRECT("MarR!$A$6:$ZZ$1048576"), MATCH(R$1, MarR!$6:$6, 0), FALSE),
            0
        ) +
        IFERROR(
            VLOOKUP($A38, INDIRECT("AbrR!$A$6:$ZZ$1048576"), MATCH(R$1, AbrR!$6:$6, 0), FALSE),
            0
        ) +
        IFERROR(
            VLOOKUP($A38, INDIRECT("MayR!$A$6:$ZZ$1048576"), MATCH(R$1, MayR!$6:$6, 0), FALSE),
            0
        ) +
        IFERROR(
            VLOOKUP($A38, INDIRECT("JunR!$A$6:$ZZ$1048576"), MATCH(R$1, JunR!$6:$6, 0), FALSE),
            0
        ) +
        IFERROR(
            VLOOKUP($A38, INDIRECT("JulR!$A$6:$ZZ$1048576"), MATCH(R$1, JulR!$6:$6, 0), FALSE),
            0
        ) +
        IFERROR(
            VLOOKUP($A38, INDIRECT("AgoR!$A$6:$ZZ$1048576"), MATCH(R$1, AgoR!$6:$6, 0), FALSE),
            0
        ) +
        IFERROR(
            VLOOKUP($A38, INDIRECT("SepR!$A$6:$ZZ$1048576"), MATCH(R$1, SepR!$6:$6, 0), FALSE),
            0
        ) +
        IFERROR(
            VLOOKUP($A38, INDIRECT("OctR!$A$6:$ZZ$1048576"), MATCH(R$1, OctR!$6:$6, 0), FALSE),
            0
        ) +
        IFERROR(
            VLOOKUP($A38, INDIRECT("NovR!$A$6:$ZZ$1048576"), MATCH(R$1, NovR!$6:$6, 0), FALSE),
            0
        ) +
        IFERROR(
            VLOOKUP($A38, INDIRECT("DicR!$A$6:$ZZ$1048576"), MATCH(R$1, DicR!$6:$6, 0), FALSE),
            0
        )
)</f>
        <v>0</v>
      </c>
      <c r="S38" s="37">
        <f t="array" ref="S38">SUM(
    IFERROR(
            VLOOKUP($A38, INDIRECT("EneR!$A$6:$ZZ$1048576"), MATCH(S$1, EneR!$6:$6, 0), FALSE),
            0
        ) +
        IFERROR(
            VLOOKUP($A38, INDIRECT("FebR!$A$6:$ZZ$1048576"), MATCH(S$1, FebR!$6:$6, 0), FALSE),
            0
        ) +
        IFERROR(
            VLOOKUP($A38, INDIRECT("MarR!$A$6:$ZZ$1048576"), MATCH(S$1, MarR!$6:$6, 0), FALSE),
            0
        ) +
        IFERROR(
            VLOOKUP($A38, INDIRECT("AbrR!$A$6:$ZZ$1048576"), MATCH(S$1, AbrR!$6:$6, 0), FALSE),
            0
        ) +
        IFERROR(
            VLOOKUP($A38, INDIRECT("MayR!$A$6:$ZZ$1048576"), MATCH(S$1, MayR!$6:$6, 0), FALSE),
            0
        ) +
        IFERROR(
            VLOOKUP($A38, INDIRECT("JunR!$A$6:$ZZ$1048576"), MATCH(S$1, JunR!$6:$6, 0), FALSE),
            0
        ) +
        IFERROR(
            VLOOKUP($A38, INDIRECT("JulR!$A$6:$ZZ$1048576"), MATCH(S$1, JulR!$6:$6, 0), FALSE),
            0
        ) +
        IFERROR(
            VLOOKUP($A38, INDIRECT("AgoR!$A$6:$ZZ$1048576"), MATCH(S$1, AgoR!$6:$6, 0), FALSE),
            0
        ) +
        IFERROR(
            VLOOKUP($A38, INDIRECT("SepR!$A$6:$ZZ$1048576"), MATCH(S$1, SepR!$6:$6, 0), FALSE),
            0
        ) +
        IFERROR(
            VLOOKUP($A38, INDIRECT("OctR!$A$6:$ZZ$1048576"), MATCH(S$1, OctR!$6:$6, 0), FALSE),
            0
        ) +
        IFERROR(
            VLOOKUP($A38, INDIRECT("NovR!$A$6:$ZZ$1048576"), MATCH(S$1, NovR!$6:$6, 0), FALSE),
            0
        ) +
        IFERROR(
            VLOOKUP($A38, INDIRECT("DicR!$A$6:$ZZ$1048576"), MATCH(S$1, DicR!$6:$6, 0), FALSE),
            0
        )
)</f>
        <v>0</v>
      </c>
      <c r="T38" s="36">
        <f t="array" ref="T38">SUM(
    IFERROR(
            VLOOKUP($A38, INDIRECT("EneR!$A$6:$ZZ$1048576"), MATCH(T$1, EneR!$6:$6, 0), FALSE),
            0
        ) +
        IFERROR(
            VLOOKUP($A38, INDIRECT("FebR!$A$6:$ZZ$1048576"), MATCH(T$1, FebR!$6:$6, 0), FALSE),
            0
        ) +
        IFERROR(
            VLOOKUP($A38, INDIRECT("MarR!$A$6:$ZZ$1048576"), MATCH(T$1, MarR!$6:$6, 0), FALSE),
            0
        ) +
        IFERROR(
            VLOOKUP($A38, INDIRECT("AbrR!$A$6:$ZZ$1048576"), MATCH(T$1, AbrR!$6:$6, 0), FALSE),
            0
        ) +
        IFERROR(
            VLOOKUP($A38, INDIRECT("MayR!$A$6:$ZZ$1048576"), MATCH(T$1, MayR!$6:$6, 0), FALSE),
            0
        ) +
        IFERROR(
            VLOOKUP($A38, INDIRECT("JunR!$A$6:$ZZ$1048576"), MATCH(T$1, JunR!$6:$6, 0), FALSE),
            0
        ) +
        IFERROR(
            VLOOKUP($A38, INDIRECT("JulR!$A$6:$ZZ$1048576"), MATCH(T$1, JulR!$6:$6, 0), FALSE),
            0
        ) +
        IFERROR(
            VLOOKUP($A38, INDIRECT("AgoR!$A$6:$ZZ$1048576"), MATCH(T$1, AgoR!$6:$6, 0), FALSE),
            0
        ) +
        IFERROR(
            VLOOKUP($A38, INDIRECT("SepR!$A$6:$ZZ$1048576"), MATCH(T$1, SepR!$6:$6, 0), FALSE),
            0
        ) +
        IFERROR(
            VLOOKUP($A38, INDIRECT("OctR!$A$6:$ZZ$1048576"), MATCH(T$1, OctR!$6:$6, 0), FALSE),
            0
        ) +
        IFERROR(
            VLOOKUP($A38, INDIRECT("NovR!$A$6:$ZZ$1048576"), MATCH(T$1, NovR!$6:$6, 0), FALSE),
            0
        ) +
        IFERROR(
            VLOOKUP($A38, INDIRECT("DicR!$A$6:$ZZ$1048576"), MATCH(T$1, DicR!$6:$6, 0), FALSE),
            0
        )
)</f>
        <v>0</v>
      </c>
      <c r="U38" s="37">
        <f t="array" ref="U38">SUM(
    IFERROR(
            VLOOKUP($A38, INDIRECT("EneR!$A$6:$ZZ$1048576"), MATCH(U$1, EneR!$6:$6, 0), FALSE),
            0
        ) +
        IFERROR(
            VLOOKUP($A38, INDIRECT("FebR!$A$6:$ZZ$1048576"), MATCH(U$1, FebR!$6:$6, 0), FALSE),
            0
        ) +
        IFERROR(
            VLOOKUP($A38, INDIRECT("MarR!$A$6:$ZZ$1048576"), MATCH(U$1, MarR!$6:$6, 0), FALSE),
            0
        ) +
        IFERROR(
            VLOOKUP($A38, INDIRECT("AbrR!$A$6:$ZZ$1048576"), MATCH(U$1, AbrR!$6:$6, 0), FALSE),
            0
        ) +
        IFERROR(
            VLOOKUP($A38, INDIRECT("MayR!$A$6:$ZZ$1048576"), MATCH(U$1, MayR!$6:$6, 0), FALSE),
            0
        ) +
        IFERROR(
            VLOOKUP($A38, INDIRECT("JunR!$A$6:$ZZ$1048576"), MATCH(U$1, JunR!$6:$6, 0), FALSE),
            0
        ) +
        IFERROR(
            VLOOKUP($A38, INDIRECT("JulR!$A$6:$ZZ$1048576"), MATCH(U$1, JulR!$6:$6, 0), FALSE),
            0
        ) +
        IFERROR(
            VLOOKUP($A38, INDIRECT("AgoR!$A$6:$ZZ$1048576"), MATCH(U$1, AgoR!$6:$6, 0), FALSE),
            0
        ) +
        IFERROR(
            VLOOKUP($A38, INDIRECT("SepR!$A$6:$ZZ$1048576"), MATCH(U$1, SepR!$6:$6, 0), FALSE),
            0
        ) +
        IFERROR(
            VLOOKUP($A38, INDIRECT("OctR!$A$6:$ZZ$1048576"), MATCH(U$1, OctR!$6:$6, 0), FALSE),
            0
        ) +
        IFERROR(
            VLOOKUP($A38, INDIRECT("NovR!$A$6:$ZZ$1048576"), MATCH(U$1, NovR!$6:$6, 0), FALSE),
            0
        ) +
        IFERROR(
            VLOOKUP($A38, INDIRECT("DicR!$A$6:$ZZ$1048576"), MATCH(U$1, DicR!$6:$6, 0), FALSE),
            0
        )
)</f>
        <v>0</v>
      </c>
      <c r="V38" s="36">
        <f t="array" ref="V38">SUM(
    IFERROR(
            VLOOKUP($A38, INDIRECT("EneR!$A$6:$ZZ$1048576"), MATCH(V$1, EneR!$6:$6, 0), FALSE),
            0
        ) +
        IFERROR(
            VLOOKUP($A38, INDIRECT("FebR!$A$6:$ZZ$1048576"), MATCH(V$1, FebR!$6:$6, 0), FALSE),
            0
        ) +
        IFERROR(
            VLOOKUP($A38, INDIRECT("MarR!$A$6:$ZZ$1048576"), MATCH(V$1, MarR!$6:$6, 0), FALSE),
            0
        ) +
        IFERROR(
            VLOOKUP($A38, INDIRECT("AbrR!$A$6:$ZZ$1048576"), MATCH(V$1, AbrR!$6:$6, 0), FALSE),
            0
        ) +
        IFERROR(
            VLOOKUP($A38, INDIRECT("MayR!$A$6:$ZZ$1048576"), MATCH(V$1, MayR!$6:$6, 0), FALSE),
            0
        ) +
        IFERROR(
            VLOOKUP($A38, INDIRECT("JunR!$A$6:$ZZ$1048576"), MATCH(V$1, JunR!$6:$6, 0), FALSE),
            0
        ) +
        IFERROR(
            VLOOKUP($A38, INDIRECT("JulR!$A$6:$ZZ$1048576"), MATCH(V$1, JulR!$6:$6, 0), FALSE),
            0
        ) +
        IFERROR(
            VLOOKUP($A38, INDIRECT("AgoR!$A$6:$ZZ$1048576"), MATCH(V$1, AgoR!$6:$6, 0), FALSE),
            0
        ) +
        IFERROR(
            VLOOKUP($A38, INDIRECT("SepR!$A$6:$ZZ$1048576"), MATCH(V$1, SepR!$6:$6, 0), FALSE),
            0
        ) +
        IFERROR(
            VLOOKUP($A38, INDIRECT("OctR!$A$6:$ZZ$1048576"), MATCH(V$1, OctR!$6:$6, 0), FALSE),
            0
        ) +
        IFERROR(
            VLOOKUP($A38, INDIRECT("NovR!$A$6:$ZZ$1048576"), MATCH(V$1, NovR!$6:$6, 0), FALSE),
            0
        ) +
        IFERROR(
            VLOOKUP($A38, INDIRECT("DicR!$A$6:$ZZ$1048576"), MATCH(V$1, DicR!$6:$6, 0), FALSE),
            0
        )
)</f>
        <v>0</v>
      </c>
      <c r="W38" s="37">
        <f t="array" ref="W38">SUM(
    IFERROR(
            VLOOKUP($A38, INDIRECT("EneR!$A$6:$ZZ$1048576"), MATCH(W$1, EneR!$6:$6, 0), FALSE),
            0
        ) +
        IFERROR(
            VLOOKUP($A38, INDIRECT("FebR!$A$6:$ZZ$1048576"), MATCH(W$1, FebR!$6:$6, 0), FALSE),
            0
        ) +
        IFERROR(
            VLOOKUP($A38, INDIRECT("MarR!$A$6:$ZZ$1048576"), MATCH(W$1, MarR!$6:$6, 0), FALSE),
            0
        ) +
        IFERROR(
            VLOOKUP($A38, INDIRECT("AbrR!$A$6:$ZZ$1048576"), MATCH(W$1, AbrR!$6:$6, 0), FALSE),
            0
        ) +
        IFERROR(
            VLOOKUP($A38, INDIRECT("MayR!$A$6:$ZZ$1048576"), MATCH(W$1, MayR!$6:$6, 0), FALSE),
            0
        ) +
        IFERROR(
            VLOOKUP($A38, INDIRECT("JunR!$A$6:$ZZ$1048576"), MATCH(W$1, JunR!$6:$6, 0), FALSE),
            0
        ) +
        IFERROR(
            VLOOKUP($A38, INDIRECT("JulR!$A$6:$ZZ$1048576"), MATCH(W$1, JulR!$6:$6, 0), FALSE),
            0
        ) +
        IFERROR(
            VLOOKUP($A38, INDIRECT("AgoR!$A$6:$ZZ$1048576"), MATCH(W$1, AgoR!$6:$6, 0), FALSE),
            0
        ) +
        IFERROR(
            VLOOKUP($A38, INDIRECT("SepR!$A$6:$ZZ$1048576"), MATCH(W$1, SepR!$6:$6, 0), FALSE),
            0
        ) +
        IFERROR(
            VLOOKUP($A38, INDIRECT("OctR!$A$6:$ZZ$1048576"), MATCH(W$1, OctR!$6:$6, 0), FALSE),
            0
        ) +
        IFERROR(
            VLOOKUP($A38, INDIRECT("NovR!$A$6:$ZZ$1048576"), MATCH(W$1, NovR!$6:$6, 0), FALSE),
            0
        ) +
        IFERROR(
            VLOOKUP($A38, INDIRECT("DicR!$A$6:$ZZ$1048576"), MATCH(W$1, DicR!$6:$6, 0), FALSE),
            0
        )
)</f>
        <v>0</v>
      </c>
      <c r="X38" s="36">
        <f t="array" ref="X38">SUM(
    IFERROR(
            VLOOKUP($A38, INDIRECT("EneR!$A$6:$ZZ$1048576"), MATCH(X$1, EneR!$6:$6, 0), FALSE),
            0
        ) +
        IFERROR(
            VLOOKUP($A38, INDIRECT("FebR!$A$6:$ZZ$1048576"), MATCH(X$1, FebR!$6:$6, 0), FALSE),
            0
        ) +
        IFERROR(
            VLOOKUP($A38, INDIRECT("MarR!$A$6:$ZZ$1048576"), MATCH(X$1, MarR!$6:$6, 0), FALSE),
            0
        ) +
        IFERROR(
            VLOOKUP($A38, INDIRECT("AbrR!$A$6:$ZZ$1048576"), MATCH(X$1, AbrR!$6:$6, 0), FALSE),
            0
        ) +
        IFERROR(
            VLOOKUP($A38, INDIRECT("MayR!$A$6:$ZZ$1048576"), MATCH(X$1, MayR!$6:$6, 0), FALSE),
            0
        ) +
        IFERROR(
            VLOOKUP($A38, INDIRECT("JunR!$A$6:$ZZ$1048576"), MATCH(X$1, JunR!$6:$6, 0), FALSE),
            0
        ) +
        IFERROR(
            VLOOKUP($A38, INDIRECT("JulR!$A$6:$ZZ$1048576"), MATCH(X$1, JulR!$6:$6, 0), FALSE),
            0
        ) +
        IFERROR(
            VLOOKUP($A38, INDIRECT("AgoR!$A$6:$ZZ$1048576"), MATCH(X$1, AgoR!$6:$6, 0), FALSE),
            0
        ) +
        IFERROR(
            VLOOKUP($A38, INDIRECT("SepR!$A$6:$ZZ$1048576"), MATCH(X$1, SepR!$6:$6, 0), FALSE),
            0
        ) +
        IFERROR(
            VLOOKUP($A38, INDIRECT("OctR!$A$6:$ZZ$1048576"), MATCH(X$1, OctR!$6:$6, 0), FALSE),
            0
        ) +
        IFERROR(
            VLOOKUP($A38, INDIRECT("NovR!$A$6:$ZZ$1048576"), MATCH(X$1, NovR!$6:$6, 0), FALSE),
            0
        ) +
        IFERROR(
            VLOOKUP($A38, INDIRECT("DicR!$A$6:$ZZ$1048576"), MATCH(X$1, DicR!$6:$6, 0), FALSE),
            0
        )
)</f>
        <v>0</v>
      </c>
      <c r="Y38" s="37">
        <f t="array" ref="Y38">SUM(
    IFERROR(
            VLOOKUP($A38, INDIRECT("EneR!$A$6:$ZZ$1048576"), MATCH(Y$1, EneR!$6:$6, 0), FALSE),
            0
        ) +
        IFERROR(
            VLOOKUP($A38, INDIRECT("FebR!$A$6:$ZZ$1048576"), MATCH(Y$1, FebR!$6:$6, 0), FALSE),
            0
        ) +
        IFERROR(
            VLOOKUP($A38, INDIRECT("MarR!$A$6:$ZZ$1048576"), MATCH(Y$1, MarR!$6:$6, 0), FALSE),
            0
        ) +
        IFERROR(
            VLOOKUP($A38, INDIRECT("AbrR!$A$6:$ZZ$1048576"), MATCH(Y$1, AbrR!$6:$6, 0), FALSE),
            0
        ) +
        IFERROR(
            VLOOKUP($A38, INDIRECT("MayR!$A$6:$ZZ$1048576"), MATCH(Y$1, MayR!$6:$6, 0), FALSE),
            0
        ) +
        IFERROR(
            VLOOKUP($A38, INDIRECT("JunR!$A$6:$ZZ$1048576"), MATCH(Y$1, JunR!$6:$6, 0), FALSE),
            0
        ) +
        IFERROR(
            VLOOKUP($A38, INDIRECT("JulR!$A$6:$ZZ$1048576"), MATCH(Y$1, JulR!$6:$6, 0), FALSE),
            0
        ) +
        IFERROR(
            VLOOKUP($A38, INDIRECT("AgoR!$A$6:$ZZ$1048576"), MATCH(Y$1, AgoR!$6:$6, 0), FALSE),
            0
        ) +
        IFERROR(
            VLOOKUP($A38, INDIRECT("SepR!$A$6:$ZZ$1048576"), MATCH(Y$1, SepR!$6:$6, 0), FALSE),
            0
        ) +
        IFERROR(
            VLOOKUP($A38, INDIRECT("OctR!$A$6:$ZZ$1048576"), MATCH(Y$1, OctR!$6:$6, 0), FALSE),
            0
        ) +
        IFERROR(
            VLOOKUP($A38, INDIRECT("NovR!$A$6:$ZZ$1048576"), MATCH(Y$1, NovR!$6:$6, 0), FALSE),
            0
        ) +
        IFERROR(
            VLOOKUP($A38, INDIRECT("DicR!$A$6:$ZZ$1048576"), MATCH(Y$1, DicR!$6:$6, 0), FALSE),
            0
        )
)</f>
        <v>0</v>
      </c>
      <c r="Z38" s="36">
        <f t="array" ref="Z38">SUM(
    IFERROR(
            VLOOKUP($A38, INDIRECT("EneR!$A$6:$ZZ$1048576"), MATCH(Z$1, EneR!$6:$6, 0), FALSE),
            0
        ) +
        IFERROR(
            VLOOKUP($A38, INDIRECT("FebR!$A$6:$ZZ$1048576"), MATCH(Z$1, FebR!$6:$6, 0), FALSE),
            0
        ) +
        IFERROR(
            VLOOKUP($A38, INDIRECT("MarR!$A$6:$ZZ$1048576"), MATCH(Z$1, MarR!$6:$6, 0), FALSE),
            0
        ) +
        IFERROR(
            VLOOKUP($A38, INDIRECT("AbrR!$A$6:$ZZ$1048576"), MATCH(Z$1, AbrR!$6:$6, 0), FALSE),
            0
        ) +
        IFERROR(
            VLOOKUP($A38, INDIRECT("MayR!$A$6:$ZZ$1048576"), MATCH(Z$1, MayR!$6:$6, 0), FALSE),
            0
        ) +
        IFERROR(
            VLOOKUP($A38, INDIRECT("JunR!$A$6:$ZZ$1048576"), MATCH(Z$1, JunR!$6:$6, 0), FALSE),
            0
        ) +
        IFERROR(
            VLOOKUP($A38, INDIRECT("JulR!$A$6:$ZZ$1048576"), MATCH(Z$1, JulR!$6:$6, 0), FALSE),
            0
        ) +
        IFERROR(
            VLOOKUP($A38, INDIRECT("AgoR!$A$6:$ZZ$1048576"), MATCH(Z$1, AgoR!$6:$6, 0), FALSE),
            0
        ) +
        IFERROR(
            VLOOKUP($A38, INDIRECT("SepR!$A$6:$ZZ$1048576"), MATCH(Z$1, SepR!$6:$6, 0), FALSE),
            0
        ) +
        IFERROR(
            VLOOKUP($A38, INDIRECT("OctR!$A$6:$ZZ$1048576"), MATCH(Z$1, OctR!$6:$6, 0), FALSE),
            0
        ) +
        IFERROR(
            VLOOKUP($A38, INDIRECT("NovR!$A$6:$ZZ$1048576"), MATCH(Z$1, NovR!$6:$6, 0), FALSE),
            0
        ) +
        IFERROR(
            VLOOKUP($A38, INDIRECT("DicR!$A$6:$ZZ$1048576"), MATCH(Z$1, DicR!$6:$6, 0), FALSE),
            0
        )
)</f>
        <v>0</v>
      </c>
      <c r="AA38" s="37">
        <f t="array" ref="AA38">SUM(
    IFERROR(
            VLOOKUP($A38, INDIRECT("EneR!$A$6:$ZZ$1048576"), MATCH(AA$1, EneR!$6:$6, 0), FALSE),
            0
        ) +
        IFERROR(
            VLOOKUP($A38, INDIRECT("FebR!$A$6:$ZZ$1048576"), MATCH(AA$1, FebR!$6:$6, 0), FALSE),
            0
        ) +
        IFERROR(
            VLOOKUP($A38, INDIRECT("MarR!$A$6:$ZZ$1048576"), MATCH(AA$1, MarR!$6:$6, 0), FALSE),
            0
        ) +
        IFERROR(
            VLOOKUP($A38, INDIRECT("AbrR!$A$6:$ZZ$1048576"), MATCH(AA$1, AbrR!$6:$6, 0), FALSE),
            0
        ) +
        IFERROR(
            VLOOKUP($A38, INDIRECT("MayR!$A$6:$ZZ$1048576"), MATCH(AA$1, MayR!$6:$6, 0), FALSE),
            0
        ) +
        IFERROR(
            VLOOKUP($A38, INDIRECT("JunR!$A$6:$ZZ$1048576"), MATCH(AA$1, JunR!$6:$6, 0), FALSE),
            0
        ) +
        IFERROR(
            VLOOKUP($A38, INDIRECT("JulR!$A$6:$ZZ$1048576"), MATCH(AA$1, JulR!$6:$6, 0), FALSE),
            0
        ) +
        IFERROR(
            VLOOKUP($A38, INDIRECT("AgoR!$A$6:$ZZ$1048576"), MATCH(AA$1, AgoR!$6:$6, 0), FALSE),
            0
        ) +
        IFERROR(
            VLOOKUP($A38, INDIRECT("SepR!$A$6:$ZZ$1048576"), MATCH(AA$1, SepR!$6:$6, 0), FALSE),
            0
        ) +
        IFERROR(
            VLOOKUP($A38, INDIRECT("OctR!$A$6:$ZZ$1048576"), MATCH(AA$1, OctR!$6:$6, 0), FALSE),
            0
        ) +
        IFERROR(
            VLOOKUP($A38, INDIRECT("NovR!$A$6:$ZZ$1048576"), MATCH(AA$1, NovR!$6:$6, 0), FALSE),
            0
        ) +
        IFERROR(
            VLOOKUP($A38, INDIRECT("DicR!$A$6:$ZZ$1048576"), MATCH(AA$1, DicR!$6:$6, 0), FALSE),
            0
        )
)</f>
        <v>0</v>
      </c>
      <c r="AB38" s="36">
        <f t="array" ref="AB38">SUM(
    IFERROR(
            VLOOKUP($A38, INDIRECT("EneR!$A$6:$ZZ$1048576"), MATCH(AB$1, EneR!$6:$6, 0), FALSE),
            0
        ) +
        IFERROR(
            VLOOKUP($A38, INDIRECT("FebR!$A$6:$ZZ$1048576"), MATCH(AB$1, FebR!$6:$6, 0), FALSE),
            0
        ) +
        IFERROR(
            VLOOKUP($A38, INDIRECT("MarR!$A$6:$ZZ$1048576"), MATCH(AB$1, MarR!$6:$6, 0), FALSE),
            0
        ) +
        IFERROR(
            VLOOKUP($A38, INDIRECT("AbrR!$A$6:$ZZ$1048576"), MATCH(AB$1, AbrR!$6:$6, 0), FALSE),
            0
        ) +
        IFERROR(
            VLOOKUP($A38, INDIRECT("MayR!$A$6:$ZZ$1048576"), MATCH(AB$1, MayR!$6:$6, 0), FALSE),
            0
        ) +
        IFERROR(
            VLOOKUP($A38, INDIRECT("JunR!$A$6:$ZZ$1048576"), MATCH(AB$1, JunR!$6:$6, 0), FALSE),
            0
        ) +
        IFERROR(
            VLOOKUP($A38, INDIRECT("JulR!$A$6:$ZZ$1048576"), MATCH(AB$1, JulR!$6:$6, 0), FALSE),
            0
        ) +
        IFERROR(
            VLOOKUP($A38, INDIRECT("AgoR!$A$6:$ZZ$1048576"), MATCH(AB$1, AgoR!$6:$6, 0), FALSE),
            0
        ) +
        IFERROR(
            VLOOKUP($A38, INDIRECT("SepR!$A$6:$ZZ$1048576"), MATCH(AB$1, SepR!$6:$6, 0), FALSE),
            0
        ) +
        IFERROR(
            VLOOKUP($A38, INDIRECT("OctR!$A$6:$ZZ$1048576"), MATCH(AB$1, OctR!$6:$6, 0), FALSE),
            0
        ) +
        IFERROR(
            VLOOKUP($A38, INDIRECT("NovR!$A$6:$ZZ$1048576"), MATCH(AB$1, NovR!$6:$6, 0), FALSE),
            0
        ) +
        IFERROR(
            VLOOKUP($A38, INDIRECT("DicR!$A$6:$ZZ$1048576"), MATCH(AB$1, DicR!$6:$6, 0), FALSE),
            0
        )
)</f>
        <v>0</v>
      </c>
      <c r="AC38" s="37">
        <f t="array" ref="AC38">SUM(
    IFERROR(
            VLOOKUP($A38, INDIRECT("EneR!$A$6:$ZZ$1048576"), MATCH(AC$1, EneR!$6:$6, 0), FALSE),
            0
        ) +
        IFERROR(
            VLOOKUP($A38, INDIRECT("FebR!$A$6:$ZZ$1048576"), MATCH(AC$1, FebR!$6:$6, 0), FALSE),
            0
        ) +
        IFERROR(
            VLOOKUP($A38, INDIRECT("MarR!$A$6:$ZZ$1048576"), MATCH(AC$1, MarR!$6:$6, 0), FALSE),
            0
        ) +
        IFERROR(
            VLOOKUP($A38, INDIRECT("AbrR!$A$6:$ZZ$1048576"), MATCH(AC$1, AbrR!$6:$6, 0), FALSE),
            0
        ) +
        IFERROR(
            VLOOKUP($A38, INDIRECT("MayR!$A$6:$ZZ$1048576"), MATCH(AC$1, MayR!$6:$6, 0), FALSE),
            0
        ) +
        IFERROR(
            VLOOKUP($A38, INDIRECT("JunR!$A$6:$ZZ$1048576"), MATCH(AC$1, JunR!$6:$6, 0), FALSE),
            0
        ) +
        IFERROR(
            VLOOKUP($A38, INDIRECT("JulR!$A$6:$ZZ$1048576"), MATCH(AC$1, JulR!$6:$6, 0), FALSE),
            0
        ) +
        IFERROR(
            VLOOKUP($A38, INDIRECT("AgoR!$A$6:$ZZ$1048576"), MATCH(AC$1, AgoR!$6:$6, 0), FALSE),
            0
        ) +
        IFERROR(
            VLOOKUP($A38, INDIRECT("SepR!$A$6:$ZZ$1048576"), MATCH(AC$1, SepR!$6:$6, 0), FALSE),
            0
        ) +
        IFERROR(
            VLOOKUP($A38, INDIRECT("OctR!$A$6:$ZZ$1048576"), MATCH(AC$1, OctR!$6:$6, 0), FALSE),
            0
        ) +
        IFERROR(
            VLOOKUP($A38, INDIRECT("NovR!$A$6:$ZZ$1048576"), MATCH(AC$1, NovR!$6:$6, 0), FALSE),
            0
        ) +
        IFERROR(
            VLOOKUP($A38, INDIRECT("DicR!$A$6:$ZZ$1048576"), MATCH(AC$1, DicR!$6:$6, 0), FALSE),
            0
        )
)</f>
        <v>0</v>
      </c>
      <c r="AD38" s="36">
        <f t="array" ref="AD38">SUM(
    IFERROR(
            VLOOKUP($A38, INDIRECT("EneR!$A$6:$ZZ$1048576"), MATCH(AD$1, EneR!$6:$6, 0), FALSE),
            0
        ) +
        IFERROR(
            VLOOKUP($A38, INDIRECT("FebR!$A$6:$ZZ$1048576"), MATCH(AD$1, FebR!$6:$6, 0), FALSE),
            0
        ) +
        IFERROR(
            VLOOKUP($A38, INDIRECT("MarR!$A$6:$ZZ$1048576"), MATCH(AD$1, MarR!$6:$6, 0), FALSE),
            0
        ) +
        IFERROR(
            VLOOKUP($A38, INDIRECT("AbrR!$A$6:$ZZ$1048576"), MATCH(AD$1, AbrR!$6:$6, 0), FALSE),
            0
        ) +
        IFERROR(
            VLOOKUP($A38, INDIRECT("MayR!$A$6:$ZZ$1048576"), MATCH(AD$1, MayR!$6:$6, 0), FALSE),
            0
        ) +
        IFERROR(
            VLOOKUP($A38, INDIRECT("JunR!$A$6:$ZZ$1048576"), MATCH(AD$1, JunR!$6:$6, 0), FALSE),
            0
        ) +
        IFERROR(
            VLOOKUP($A38, INDIRECT("JulR!$A$6:$ZZ$1048576"), MATCH(AD$1, JulR!$6:$6, 0), FALSE),
            0
        ) +
        IFERROR(
            VLOOKUP($A38, INDIRECT("AgoR!$A$6:$ZZ$1048576"), MATCH(AD$1, AgoR!$6:$6, 0), FALSE),
            0
        ) +
        IFERROR(
            VLOOKUP($A38, INDIRECT("SepR!$A$6:$ZZ$1048576"), MATCH(AD$1, SepR!$6:$6, 0), FALSE),
            0
        ) +
        IFERROR(
            VLOOKUP($A38, INDIRECT("OctR!$A$6:$ZZ$1048576"), MATCH(AD$1, OctR!$6:$6, 0), FALSE),
            0
        ) +
        IFERROR(
            VLOOKUP($A38, INDIRECT("NovR!$A$6:$ZZ$1048576"), MATCH(AD$1, NovR!$6:$6, 0), FALSE),
            0
        ) +
        IFERROR(
            VLOOKUP($A38, INDIRECT("DicR!$A$6:$ZZ$1048576"), MATCH(AD$1, DicR!$6:$6, 0), FALSE),
            0
        )
)</f>
        <v>0</v>
      </c>
      <c r="AE38" s="37">
        <f t="array" ref="AE38">SUM(
    IFERROR(
            VLOOKUP($A38, INDIRECT("EneR!$A$6:$ZZ$1048576"), MATCH(AE$1, EneR!$6:$6, 0), FALSE),
            0
        ) +
        IFERROR(
            VLOOKUP($A38, INDIRECT("FebR!$A$6:$ZZ$1048576"), MATCH(AE$1, FebR!$6:$6, 0), FALSE),
            0
        ) +
        IFERROR(
            VLOOKUP($A38, INDIRECT("MarR!$A$6:$ZZ$1048576"), MATCH(AE$1, MarR!$6:$6, 0), FALSE),
            0
        ) +
        IFERROR(
            VLOOKUP($A38, INDIRECT("AbrR!$A$6:$ZZ$1048576"), MATCH(AE$1, AbrR!$6:$6, 0), FALSE),
            0
        ) +
        IFERROR(
            VLOOKUP($A38, INDIRECT("MayR!$A$6:$ZZ$1048576"), MATCH(AE$1, MayR!$6:$6, 0), FALSE),
            0
        ) +
        IFERROR(
            VLOOKUP($A38, INDIRECT("JunR!$A$6:$ZZ$1048576"), MATCH(AE$1, JunR!$6:$6, 0), FALSE),
            0
        ) +
        IFERROR(
            VLOOKUP($A38, INDIRECT("JulR!$A$6:$ZZ$1048576"), MATCH(AE$1, JulR!$6:$6, 0), FALSE),
            0
        ) +
        IFERROR(
            VLOOKUP($A38, INDIRECT("AgoR!$A$6:$ZZ$1048576"), MATCH(AE$1, AgoR!$6:$6, 0), FALSE),
            0
        ) +
        IFERROR(
            VLOOKUP($A38, INDIRECT("SepR!$A$6:$ZZ$1048576"), MATCH(AE$1, SepR!$6:$6, 0), FALSE),
            0
        ) +
        IFERROR(
            VLOOKUP($A38, INDIRECT("OctR!$A$6:$ZZ$1048576"), MATCH(AE$1, OctR!$6:$6, 0), FALSE),
            0
        ) +
        IFERROR(
            VLOOKUP($A38, INDIRECT("NovR!$A$6:$ZZ$1048576"), MATCH(AE$1, NovR!$6:$6, 0), FALSE),
            0
        ) +
        IFERROR(
            VLOOKUP($A38, INDIRECT("DicR!$A$6:$ZZ$1048576"), MATCH(AE$1, DicR!$6:$6, 0), FALSE),
            0
        )
)</f>
        <v>0</v>
      </c>
      <c r="AF38" s="36">
        <f t="array" ref="AF38">SUM(
    IFERROR(
            VLOOKUP($A38, INDIRECT("EneR!$A$6:$ZZ$1048576"), MATCH(AF$1, EneR!$6:$6, 0), FALSE),
            0
        ) +
        IFERROR(
            VLOOKUP($A38, INDIRECT("FebR!$A$6:$ZZ$1048576"), MATCH(AF$1, FebR!$6:$6, 0), FALSE),
            0
        ) +
        IFERROR(
            VLOOKUP($A38, INDIRECT("MarR!$A$6:$ZZ$1048576"), MATCH(AF$1, MarR!$6:$6, 0), FALSE),
            0
        ) +
        IFERROR(
            VLOOKUP($A38, INDIRECT("AbrR!$A$6:$ZZ$1048576"), MATCH(AF$1, AbrR!$6:$6, 0), FALSE),
            0
        ) +
        IFERROR(
            VLOOKUP($A38, INDIRECT("MayR!$A$6:$ZZ$1048576"), MATCH(AF$1, MayR!$6:$6, 0), FALSE),
            0
        ) +
        IFERROR(
            VLOOKUP($A38, INDIRECT("JunR!$A$6:$ZZ$1048576"), MATCH(AF$1, JunR!$6:$6, 0), FALSE),
            0
        ) +
        IFERROR(
            VLOOKUP($A38, INDIRECT("JulR!$A$6:$ZZ$1048576"), MATCH(AF$1, JulR!$6:$6, 0), FALSE),
            0
        ) +
        IFERROR(
            VLOOKUP($A38, INDIRECT("AgoR!$A$6:$ZZ$1048576"), MATCH(AF$1, AgoR!$6:$6, 0), FALSE),
            0
        ) +
        IFERROR(
            VLOOKUP($A38, INDIRECT("SepR!$A$6:$ZZ$1048576"), MATCH(AF$1, SepR!$6:$6, 0), FALSE),
            0
        ) +
        IFERROR(
            VLOOKUP($A38, INDIRECT("OctR!$A$6:$ZZ$1048576"), MATCH(AF$1, OctR!$6:$6, 0), FALSE),
            0
        ) +
        IFERROR(
            VLOOKUP($A38, INDIRECT("NovR!$A$6:$ZZ$1048576"), MATCH(AF$1, NovR!$6:$6, 0), FALSE),
            0
        ) +
        IFERROR(
            VLOOKUP($A38, INDIRECT("DicR!$A$6:$ZZ$1048576"), MATCH(AF$1, DicR!$6:$6, 0), FALSE),
            0
        )
)</f>
        <v>0</v>
      </c>
      <c r="AG38" s="37">
        <f t="array" ref="AG38">SUM(
    IFERROR(
            VLOOKUP($A38, INDIRECT("EneR!$A$6:$ZZ$1048576"), MATCH(AG$1, EneR!$6:$6, 0), FALSE),
            0
        ) +
        IFERROR(
            VLOOKUP($A38, INDIRECT("FebR!$A$6:$ZZ$1048576"), MATCH(AG$1, FebR!$6:$6, 0), FALSE),
            0
        ) +
        IFERROR(
            VLOOKUP($A38, INDIRECT("MarR!$A$6:$ZZ$1048576"), MATCH(AG$1, MarR!$6:$6, 0), FALSE),
            0
        ) +
        IFERROR(
            VLOOKUP($A38, INDIRECT("AbrR!$A$6:$ZZ$1048576"), MATCH(AG$1, AbrR!$6:$6, 0), FALSE),
            0
        ) +
        IFERROR(
            VLOOKUP($A38, INDIRECT("MayR!$A$6:$ZZ$1048576"), MATCH(AG$1, MayR!$6:$6, 0), FALSE),
            0
        ) +
        IFERROR(
            VLOOKUP($A38, INDIRECT("JunR!$A$6:$ZZ$1048576"), MATCH(AG$1, JunR!$6:$6, 0), FALSE),
            0
        ) +
        IFERROR(
            VLOOKUP($A38, INDIRECT("JulR!$A$6:$ZZ$1048576"), MATCH(AG$1, JulR!$6:$6, 0), FALSE),
            0
        ) +
        IFERROR(
            VLOOKUP($A38, INDIRECT("AgoR!$A$6:$ZZ$1048576"), MATCH(AG$1, AgoR!$6:$6, 0), FALSE),
            0
        ) +
        IFERROR(
            VLOOKUP($A38, INDIRECT("SepR!$A$6:$ZZ$1048576"), MATCH(AG$1, SepR!$6:$6, 0), FALSE),
            0
        ) +
        IFERROR(
            VLOOKUP($A38, INDIRECT("OctR!$A$6:$ZZ$1048576"), MATCH(AG$1, OctR!$6:$6, 0), FALSE),
            0
        ) +
        IFERROR(
            VLOOKUP($A38, INDIRECT("NovR!$A$6:$ZZ$1048576"), MATCH(AG$1, NovR!$6:$6, 0), FALSE),
            0
        ) +
        IFERROR(
            VLOOKUP($A38, INDIRECT("DicR!$A$6:$ZZ$1048576"), MATCH(AG$1, DicR!$6:$6, 0), FALSE),
            0
        )
)</f>
        <v>0</v>
      </c>
      <c r="AH38" s="36">
        <f t="array" ref="AH38">SUM(
    IFERROR(
            VLOOKUP($A38, INDIRECT("EneR!$A$6:$ZZ$1048576"), MATCH(AH$1, EneR!$6:$6, 0), FALSE),
            0
        ) +
        IFERROR(
            VLOOKUP($A38, INDIRECT("FebR!$A$6:$ZZ$1048576"), MATCH(AH$1, FebR!$6:$6, 0), FALSE),
            0
        ) +
        IFERROR(
            VLOOKUP($A38, INDIRECT("MarR!$A$6:$ZZ$1048576"), MATCH(AH$1, MarR!$6:$6, 0), FALSE),
            0
        ) +
        IFERROR(
            VLOOKUP($A38, INDIRECT("AbrR!$A$6:$ZZ$1048576"), MATCH(AH$1, AbrR!$6:$6, 0), FALSE),
            0
        ) +
        IFERROR(
            VLOOKUP($A38, INDIRECT("MayR!$A$6:$ZZ$1048576"), MATCH(AH$1, MayR!$6:$6, 0), FALSE),
            0
        ) +
        IFERROR(
            VLOOKUP($A38, INDIRECT("JunR!$A$6:$ZZ$1048576"), MATCH(AH$1, JunR!$6:$6, 0), FALSE),
            0
        ) +
        IFERROR(
            VLOOKUP($A38, INDIRECT("JulR!$A$6:$ZZ$1048576"), MATCH(AH$1, JulR!$6:$6, 0), FALSE),
            0
        ) +
        IFERROR(
            VLOOKUP($A38, INDIRECT("AgoR!$A$6:$ZZ$1048576"), MATCH(AH$1, AgoR!$6:$6, 0), FALSE),
            0
        ) +
        IFERROR(
            VLOOKUP($A38, INDIRECT("SepR!$A$6:$ZZ$1048576"), MATCH(AH$1, SepR!$6:$6, 0), FALSE),
            0
        ) +
        IFERROR(
            VLOOKUP($A38, INDIRECT("OctR!$A$6:$ZZ$1048576"), MATCH(AH$1, OctR!$6:$6, 0), FALSE),
            0
        ) +
        IFERROR(
            VLOOKUP($A38, INDIRECT("NovR!$A$6:$ZZ$1048576"), MATCH(AH$1, NovR!$6:$6, 0), FALSE),
            0
        ) +
        IFERROR(
            VLOOKUP($A38, INDIRECT("DicR!$A$6:$ZZ$1048576"), MATCH(AH$1, DicR!$6:$6, 0), FALSE),
            0
        )
)</f>
        <v>0</v>
      </c>
      <c r="AI38" s="37">
        <f t="array" ref="AI38">SUM(
    IFERROR(
            VLOOKUP($A38, INDIRECT("EneR!$A$6:$ZZ$1048576"), MATCH(AI$1, EneR!$6:$6, 0), FALSE),
            0
        ) +
        IFERROR(
            VLOOKUP($A38, INDIRECT("FebR!$A$6:$ZZ$1048576"), MATCH(AI$1, FebR!$6:$6, 0), FALSE),
            0
        ) +
        IFERROR(
            VLOOKUP($A38, INDIRECT("MarR!$A$6:$ZZ$1048576"), MATCH(AI$1, MarR!$6:$6, 0), FALSE),
            0
        ) +
        IFERROR(
            VLOOKUP($A38, INDIRECT("AbrR!$A$6:$ZZ$1048576"), MATCH(AI$1, AbrR!$6:$6, 0), FALSE),
            0
        ) +
        IFERROR(
            VLOOKUP($A38, INDIRECT("MayR!$A$6:$ZZ$1048576"), MATCH(AI$1, MayR!$6:$6, 0), FALSE),
            0
        ) +
        IFERROR(
            VLOOKUP($A38, INDIRECT("JunR!$A$6:$ZZ$1048576"), MATCH(AI$1, JunR!$6:$6, 0), FALSE),
            0
        ) +
        IFERROR(
            VLOOKUP($A38, INDIRECT("JulR!$A$6:$ZZ$1048576"), MATCH(AI$1, JulR!$6:$6, 0), FALSE),
            0
        ) +
        IFERROR(
            VLOOKUP($A38, INDIRECT("AgoR!$A$6:$ZZ$1048576"), MATCH(AI$1, AgoR!$6:$6, 0), FALSE),
            0
        ) +
        IFERROR(
            VLOOKUP($A38, INDIRECT("SepR!$A$6:$ZZ$1048576"), MATCH(AI$1, SepR!$6:$6, 0), FALSE),
            0
        ) +
        IFERROR(
            VLOOKUP($A38, INDIRECT("OctR!$A$6:$ZZ$1048576"), MATCH(AI$1, OctR!$6:$6, 0), FALSE),
            0
        ) +
        IFERROR(
            VLOOKUP($A38, INDIRECT("NovR!$A$6:$ZZ$1048576"), MATCH(AI$1, NovR!$6:$6, 0), FALSE),
            0
        ) +
        IFERROR(
            VLOOKUP($A38, INDIRECT("DicR!$A$6:$ZZ$1048576"), MATCH(AI$1, DicR!$6:$6, 0), FALSE),
            0
        )
)</f>
        <v>0</v>
      </c>
      <c r="AJ38" s="36">
        <f t="array" ref="AJ38">SUM(
    IFERROR(
            VLOOKUP($A38, INDIRECT("EneR!$A$6:$ZZ$1048576"), MATCH(AJ$1, EneR!$6:$6, 0), FALSE),
            0
        ) +
        IFERROR(
            VLOOKUP($A38, INDIRECT("FebR!$A$6:$ZZ$1048576"), MATCH(AJ$1, FebR!$6:$6, 0), FALSE),
            0
        ) +
        IFERROR(
            VLOOKUP($A38, INDIRECT("MarR!$A$6:$ZZ$1048576"), MATCH(AJ$1, MarR!$6:$6, 0), FALSE),
            0
        ) +
        IFERROR(
            VLOOKUP($A38, INDIRECT("AbrR!$A$6:$ZZ$1048576"), MATCH(AJ$1, AbrR!$6:$6, 0), FALSE),
            0
        ) +
        IFERROR(
            VLOOKUP($A38, INDIRECT("MayR!$A$6:$ZZ$1048576"), MATCH(AJ$1, MayR!$6:$6, 0), FALSE),
            0
        ) +
        IFERROR(
            VLOOKUP($A38, INDIRECT("JunR!$A$6:$ZZ$1048576"), MATCH(AJ$1, JunR!$6:$6, 0), FALSE),
            0
        ) +
        IFERROR(
            VLOOKUP($A38, INDIRECT("JulR!$A$6:$ZZ$1048576"), MATCH(AJ$1, JulR!$6:$6, 0), FALSE),
            0
        ) +
        IFERROR(
            VLOOKUP($A38, INDIRECT("AgoR!$A$6:$ZZ$1048576"), MATCH(AJ$1, AgoR!$6:$6, 0), FALSE),
            0
        ) +
        IFERROR(
            VLOOKUP($A38, INDIRECT("SepR!$A$6:$ZZ$1048576"), MATCH(AJ$1, SepR!$6:$6, 0), FALSE),
            0
        ) +
        IFERROR(
            VLOOKUP($A38, INDIRECT("OctR!$A$6:$ZZ$1048576"), MATCH(AJ$1, OctR!$6:$6, 0), FALSE),
            0
        ) +
        IFERROR(
            VLOOKUP($A38, INDIRECT("NovR!$A$6:$ZZ$1048576"), MATCH(AJ$1, NovR!$6:$6, 0), FALSE),
            0
        ) +
        IFERROR(
            VLOOKUP($A38, INDIRECT("DicR!$A$6:$ZZ$1048576"), MATCH(AJ$1, DicR!$6:$6, 0), FALSE),
            0
        )
)</f>
        <v>0</v>
      </c>
      <c r="AK38" s="37">
        <f t="array" ref="AK38">SUM(
    IFERROR(
            VLOOKUP($A38, INDIRECT("EneR!$A$6:$ZZ$1048576"), MATCH(AK$1, EneR!$6:$6, 0), FALSE),
            0
        ) +
        IFERROR(
            VLOOKUP($A38, INDIRECT("FebR!$A$6:$ZZ$1048576"), MATCH(AK$1, FebR!$6:$6, 0), FALSE),
            0
        ) +
        IFERROR(
            VLOOKUP($A38, INDIRECT("MarR!$A$6:$ZZ$1048576"), MATCH(AK$1, MarR!$6:$6, 0), FALSE),
            0
        ) +
        IFERROR(
            VLOOKUP($A38, INDIRECT("AbrR!$A$6:$ZZ$1048576"), MATCH(AK$1, AbrR!$6:$6, 0), FALSE),
            0
        ) +
        IFERROR(
            VLOOKUP($A38, INDIRECT("MayR!$A$6:$ZZ$1048576"), MATCH(AK$1, MayR!$6:$6, 0), FALSE),
            0
        ) +
        IFERROR(
            VLOOKUP($A38, INDIRECT("JunR!$A$6:$ZZ$1048576"), MATCH(AK$1, JunR!$6:$6, 0), FALSE),
            0
        ) +
        IFERROR(
            VLOOKUP($A38, INDIRECT("JulR!$A$6:$ZZ$1048576"), MATCH(AK$1, JulR!$6:$6, 0), FALSE),
            0
        ) +
        IFERROR(
            VLOOKUP($A38, INDIRECT("AgoR!$A$6:$ZZ$1048576"), MATCH(AK$1, AgoR!$6:$6, 0), FALSE),
            0
        ) +
        IFERROR(
            VLOOKUP($A38, INDIRECT("SepR!$A$6:$ZZ$1048576"), MATCH(AK$1, SepR!$6:$6, 0), FALSE),
            0
        ) +
        IFERROR(
            VLOOKUP($A38, INDIRECT("OctR!$A$6:$ZZ$1048576"), MATCH(AK$1, OctR!$6:$6, 0), FALSE),
            0
        ) +
        IFERROR(
            VLOOKUP($A38, INDIRECT("NovR!$A$6:$ZZ$1048576"), MATCH(AK$1, NovR!$6:$6, 0), FALSE),
            0
        ) +
        IFERROR(
            VLOOKUP($A38, INDIRECT("DicR!$A$6:$ZZ$1048576"), MATCH(AK$1, DicR!$6:$6, 0), FALSE),
            0
        )
)</f>
        <v>0</v>
      </c>
      <c r="AL38" s="36">
        <f t="array" ref="AL38">SUM(
    IFERROR(
            VLOOKUP($A38, INDIRECT("EneR!$A$6:$ZZ$1048576"), MATCH(AL$1, EneR!$6:$6, 0), FALSE),
            0
        ) +
        IFERROR(
            VLOOKUP($A38, INDIRECT("FebR!$A$6:$ZZ$1048576"), MATCH(AL$1, FebR!$6:$6, 0), FALSE),
            0
        ) +
        IFERROR(
            VLOOKUP($A38, INDIRECT("MarR!$A$6:$ZZ$1048576"), MATCH(AL$1, MarR!$6:$6, 0), FALSE),
            0
        ) +
        IFERROR(
            VLOOKUP($A38, INDIRECT("AbrR!$A$6:$ZZ$1048576"), MATCH(AL$1, AbrR!$6:$6, 0), FALSE),
            0
        ) +
        IFERROR(
            VLOOKUP($A38, INDIRECT("MayR!$A$6:$ZZ$1048576"), MATCH(AL$1, MayR!$6:$6, 0), FALSE),
            0
        ) +
        IFERROR(
            VLOOKUP($A38, INDIRECT("JunR!$A$6:$ZZ$1048576"), MATCH(AL$1, JunR!$6:$6, 0), FALSE),
            0
        ) +
        IFERROR(
            VLOOKUP($A38, INDIRECT("JulR!$A$6:$ZZ$1048576"), MATCH(AL$1, JulR!$6:$6, 0), FALSE),
            0
        ) +
        IFERROR(
            VLOOKUP($A38, INDIRECT("AgoR!$A$6:$ZZ$1048576"), MATCH(AL$1, AgoR!$6:$6, 0), FALSE),
            0
        ) +
        IFERROR(
            VLOOKUP($A38, INDIRECT("SepR!$A$6:$ZZ$1048576"), MATCH(AL$1, SepR!$6:$6, 0), FALSE),
            0
        ) +
        IFERROR(
            VLOOKUP($A38, INDIRECT("OctR!$A$6:$ZZ$1048576"), MATCH(AL$1, OctR!$6:$6, 0), FALSE),
            0
        ) +
        IFERROR(
            VLOOKUP($A38, INDIRECT("NovR!$A$6:$ZZ$1048576"), MATCH(AL$1, NovR!$6:$6, 0), FALSE),
            0
        ) +
        IFERROR(
            VLOOKUP($A38, INDIRECT("DicR!$A$6:$ZZ$1048576"), MATCH(AL$1, DicR!$6:$6, 0), FALSE),
            0
        )
)</f>
        <v>0</v>
      </c>
      <c r="AM38" s="37">
        <f t="array" ref="AM38">SUM(
    IFERROR(
            VLOOKUP($A38, INDIRECT("EneR!$A$6:$ZZ$1048576"), MATCH(AM$1, EneR!$6:$6, 0), FALSE),
            0
        ) +
        IFERROR(
            VLOOKUP($A38, INDIRECT("FebR!$A$6:$ZZ$1048576"), MATCH(AM$1, FebR!$6:$6, 0), FALSE),
            0
        ) +
        IFERROR(
            VLOOKUP($A38, INDIRECT("MarR!$A$6:$ZZ$1048576"), MATCH(AM$1, MarR!$6:$6, 0), FALSE),
            0
        ) +
        IFERROR(
            VLOOKUP($A38, INDIRECT("AbrR!$A$6:$ZZ$1048576"), MATCH(AM$1, AbrR!$6:$6, 0), FALSE),
            0
        ) +
        IFERROR(
            VLOOKUP($A38, INDIRECT("MayR!$A$6:$ZZ$1048576"), MATCH(AM$1, MayR!$6:$6, 0), FALSE),
            0
        ) +
        IFERROR(
            VLOOKUP($A38, INDIRECT("JunR!$A$6:$ZZ$1048576"), MATCH(AM$1, JunR!$6:$6, 0), FALSE),
            0
        ) +
        IFERROR(
            VLOOKUP($A38, INDIRECT("JulR!$A$6:$ZZ$1048576"), MATCH(AM$1, JulR!$6:$6, 0), FALSE),
            0
        ) +
        IFERROR(
            VLOOKUP($A38, INDIRECT("AgoR!$A$6:$ZZ$1048576"), MATCH(AM$1, AgoR!$6:$6, 0), FALSE),
            0
        ) +
        IFERROR(
            VLOOKUP($A38, INDIRECT("SepR!$A$6:$ZZ$1048576"), MATCH(AM$1, SepR!$6:$6, 0), FALSE),
            0
        ) +
        IFERROR(
            VLOOKUP($A38, INDIRECT("OctR!$A$6:$ZZ$1048576"), MATCH(AM$1, OctR!$6:$6, 0), FALSE),
            0
        ) +
        IFERROR(
            VLOOKUP($A38, INDIRECT("NovR!$A$6:$ZZ$1048576"), MATCH(AM$1, NovR!$6:$6, 0), FALSE),
            0
        ) +
        IFERROR(
            VLOOKUP($A38, INDIRECT("DicR!$A$6:$ZZ$1048576"), MATCH(AM$1, DicR!$6:$6, 0), FALSE),
            0
        )
)</f>
        <v>0</v>
      </c>
      <c r="AN38" s="36">
        <f t="array" ref="AN38">SUM(
    IFERROR(
            VLOOKUP($A38, INDIRECT("EneR!$A$6:$ZZ$1048576"), MATCH(AN$1, EneR!$6:$6, 0), FALSE),
            0
        ) +
        IFERROR(
            VLOOKUP($A38, INDIRECT("FebR!$A$6:$ZZ$1048576"), MATCH(AN$1, FebR!$6:$6, 0), FALSE),
            0
        ) +
        IFERROR(
            VLOOKUP($A38, INDIRECT("MarR!$A$6:$ZZ$1048576"), MATCH(AN$1, MarR!$6:$6, 0), FALSE),
            0
        ) +
        IFERROR(
            VLOOKUP($A38, INDIRECT("AbrR!$A$6:$ZZ$1048576"), MATCH(AN$1, AbrR!$6:$6, 0), FALSE),
            0
        ) +
        IFERROR(
            VLOOKUP($A38, INDIRECT("MayR!$A$6:$ZZ$1048576"), MATCH(AN$1, MayR!$6:$6, 0), FALSE),
            0
        ) +
        IFERROR(
            VLOOKUP($A38, INDIRECT("JunR!$A$6:$ZZ$1048576"), MATCH(AN$1, JunR!$6:$6, 0), FALSE),
            0
        ) +
        IFERROR(
            VLOOKUP($A38, INDIRECT("JulR!$A$6:$ZZ$1048576"), MATCH(AN$1, JulR!$6:$6, 0), FALSE),
            0
        ) +
        IFERROR(
            VLOOKUP($A38, INDIRECT("AgoR!$A$6:$ZZ$1048576"), MATCH(AN$1, AgoR!$6:$6, 0), FALSE),
            0
        ) +
        IFERROR(
            VLOOKUP($A38, INDIRECT("SepR!$A$6:$ZZ$1048576"), MATCH(AN$1, SepR!$6:$6, 0), FALSE),
            0
        ) +
        IFERROR(
            VLOOKUP($A38, INDIRECT("OctR!$A$6:$ZZ$1048576"), MATCH(AN$1, OctR!$6:$6, 0), FALSE),
            0
        ) +
        IFERROR(
            VLOOKUP($A38, INDIRECT("NovR!$A$6:$ZZ$1048576"), MATCH(AN$1, NovR!$6:$6, 0), FALSE),
            0
        ) +
        IFERROR(
            VLOOKUP($A38, INDIRECT("DicR!$A$6:$ZZ$1048576"), MATCH(AN$1, DicR!$6:$6, 0), FALSE),
            0
        )
)</f>
        <v>0</v>
      </c>
      <c r="AO38" s="37">
        <f t="array" ref="AO38">SUM(
    IFERROR(
            VLOOKUP($A38, INDIRECT("EneR!$A$6:$ZZ$1048576"), MATCH(AO$1, EneR!$6:$6, 0), FALSE),
            0
        ) +
        IFERROR(
            VLOOKUP($A38, INDIRECT("FebR!$A$6:$ZZ$1048576"), MATCH(AO$1, FebR!$6:$6, 0), FALSE),
            0
        ) +
        IFERROR(
            VLOOKUP($A38, INDIRECT("MarR!$A$6:$ZZ$1048576"), MATCH(AO$1, MarR!$6:$6, 0), FALSE),
            0
        ) +
        IFERROR(
            VLOOKUP($A38, INDIRECT("AbrR!$A$6:$ZZ$1048576"), MATCH(AO$1, AbrR!$6:$6, 0), FALSE),
            0
        ) +
        IFERROR(
            VLOOKUP($A38, INDIRECT("MayR!$A$6:$ZZ$1048576"), MATCH(AO$1, MayR!$6:$6, 0), FALSE),
            0
        ) +
        IFERROR(
            VLOOKUP($A38, INDIRECT("JunR!$A$6:$ZZ$1048576"), MATCH(AO$1, JunR!$6:$6, 0), FALSE),
            0
        ) +
        IFERROR(
            VLOOKUP($A38, INDIRECT("JulR!$A$6:$ZZ$1048576"), MATCH(AO$1, JulR!$6:$6, 0), FALSE),
            0
        ) +
        IFERROR(
            VLOOKUP($A38, INDIRECT("AgoR!$A$6:$ZZ$1048576"), MATCH(AO$1, AgoR!$6:$6, 0), FALSE),
            0
        ) +
        IFERROR(
            VLOOKUP($A38, INDIRECT("SepR!$A$6:$ZZ$1048576"), MATCH(AO$1, SepR!$6:$6, 0), FALSE),
            0
        ) +
        IFERROR(
            VLOOKUP($A38, INDIRECT("OctR!$A$6:$ZZ$1048576"), MATCH(AO$1, OctR!$6:$6, 0), FALSE),
            0
        ) +
        IFERROR(
            VLOOKUP($A38, INDIRECT("NovR!$A$6:$ZZ$1048576"), MATCH(AO$1, NovR!$6:$6, 0), FALSE),
            0
        ) +
        IFERROR(
            VLOOKUP($A38, INDIRECT("DicR!$A$6:$ZZ$1048576"), MATCH(AO$1, DicR!$6:$6, 0), FALSE),
            0
        )
)</f>
        <v>0</v>
      </c>
      <c r="AP38" s="36">
        <f t="array" ref="AP38">SUM(
    IFERROR(
            VLOOKUP($A38, INDIRECT("EneR!$A$6:$ZZ$1048576"), MATCH(AP$1, EneR!$6:$6, 0), FALSE),
            0
        ) +
        IFERROR(
            VLOOKUP($A38, INDIRECT("FebR!$A$6:$ZZ$1048576"), MATCH(AP$1, FebR!$6:$6, 0), FALSE),
            0
        ) +
        IFERROR(
            VLOOKUP($A38, INDIRECT("MarR!$A$6:$ZZ$1048576"), MATCH(AP$1, MarR!$6:$6, 0), FALSE),
            0
        ) +
        IFERROR(
            VLOOKUP($A38, INDIRECT("AbrR!$A$6:$ZZ$1048576"), MATCH(AP$1, AbrR!$6:$6, 0), FALSE),
            0
        ) +
        IFERROR(
            VLOOKUP($A38, INDIRECT("MayR!$A$6:$ZZ$1048576"), MATCH(AP$1, MayR!$6:$6, 0), FALSE),
            0
        ) +
        IFERROR(
            VLOOKUP($A38, INDIRECT("JunR!$A$6:$ZZ$1048576"), MATCH(AP$1, JunR!$6:$6, 0), FALSE),
            0
        ) +
        IFERROR(
            VLOOKUP($A38, INDIRECT("JulR!$A$6:$ZZ$1048576"), MATCH(AP$1, JulR!$6:$6, 0), FALSE),
            0
        ) +
        IFERROR(
            VLOOKUP($A38, INDIRECT("AgoR!$A$6:$ZZ$1048576"), MATCH(AP$1, AgoR!$6:$6, 0), FALSE),
            0
        ) +
        IFERROR(
            VLOOKUP($A38, INDIRECT("SepR!$A$6:$ZZ$1048576"), MATCH(AP$1, SepR!$6:$6, 0), FALSE),
            0
        ) +
        IFERROR(
            VLOOKUP($A38, INDIRECT("OctR!$A$6:$ZZ$1048576"), MATCH(AP$1, OctR!$6:$6, 0), FALSE),
            0
        ) +
        IFERROR(
            VLOOKUP($A38, INDIRECT("NovR!$A$6:$ZZ$1048576"), MATCH(AP$1, NovR!$6:$6, 0), FALSE),
            0
        ) +
        IFERROR(
            VLOOKUP($A38, INDIRECT("DicR!$A$6:$ZZ$1048576"), MATCH(AP$1, DicR!$6:$6, 0), FALSE),
            0
        )
)</f>
        <v>0</v>
      </c>
      <c r="AQ38" s="37">
        <f t="array" ref="AQ38">SUM(
    IFERROR(
            VLOOKUP($A38, INDIRECT("EneR!$A$6:$ZZ$1048576"), MATCH(AQ$1, EneR!$6:$6, 0), FALSE),
            0
        ) +
        IFERROR(
            VLOOKUP($A38, INDIRECT("FebR!$A$6:$ZZ$1048576"), MATCH(AQ$1, FebR!$6:$6, 0), FALSE),
            0
        ) +
        IFERROR(
            VLOOKUP($A38, INDIRECT("MarR!$A$6:$ZZ$1048576"), MATCH(AQ$1, MarR!$6:$6, 0), FALSE),
            0
        ) +
        IFERROR(
            VLOOKUP($A38, INDIRECT("AbrR!$A$6:$ZZ$1048576"), MATCH(AQ$1, AbrR!$6:$6, 0), FALSE),
            0
        ) +
        IFERROR(
            VLOOKUP($A38, INDIRECT("MayR!$A$6:$ZZ$1048576"), MATCH(AQ$1, MayR!$6:$6, 0), FALSE),
            0
        ) +
        IFERROR(
            VLOOKUP($A38, INDIRECT("JunR!$A$6:$ZZ$1048576"), MATCH(AQ$1, JunR!$6:$6, 0), FALSE),
            0
        ) +
        IFERROR(
            VLOOKUP($A38, INDIRECT("JulR!$A$6:$ZZ$1048576"), MATCH(AQ$1, JulR!$6:$6, 0), FALSE),
            0
        ) +
        IFERROR(
            VLOOKUP($A38, INDIRECT("AgoR!$A$6:$ZZ$1048576"), MATCH(AQ$1, AgoR!$6:$6, 0), FALSE),
            0
        ) +
        IFERROR(
            VLOOKUP($A38, INDIRECT("SepR!$A$6:$ZZ$1048576"), MATCH(AQ$1, SepR!$6:$6, 0), FALSE),
            0
        ) +
        IFERROR(
            VLOOKUP($A38, INDIRECT("OctR!$A$6:$ZZ$1048576"), MATCH(AQ$1, OctR!$6:$6, 0), FALSE),
            0
        ) +
        IFERROR(
            VLOOKUP($A38, INDIRECT("NovR!$A$6:$ZZ$1048576"), MATCH(AQ$1, NovR!$6:$6, 0), FALSE),
            0
        ) +
        IFERROR(
            VLOOKUP($A38, INDIRECT("DicR!$A$6:$ZZ$1048576"), MATCH(AQ$1, DicR!$6:$6, 0), FALSE),
            0
        )
)</f>
        <v>0</v>
      </c>
      <c r="AR38" s="36">
        <f t="array" ref="AR38">SUM(
    IFERROR(
            VLOOKUP($A38, INDIRECT("EneR!$A$6:$ZZ$1048576"), MATCH(AR$1, EneR!$6:$6, 0), FALSE),
            0
        ) +
        IFERROR(
            VLOOKUP($A38, INDIRECT("FebR!$A$6:$ZZ$1048576"), MATCH(AR$1, FebR!$6:$6, 0), FALSE),
            0
        ) +
        IFERROR(
            VLOOKUP($A38, INDIRECT("MarR!$A$6:$ZZ$1048576"), MATCH(AR$1, MarR!$6:$6, 0), FALSE),
            0
        ) +
        IFERROR(
            VLOOKUP($A38, INDIRECT("AbrR!$A$6:$ZZ$1048576"), MATCH(AR$1, AbrR!$6:$6, 0), FALSE),
            0
        ) +
        IFERROR(
            VLOOKUP($A38, INDIRECT("MayR!$A$6:$ZZ$1048576"), MATCH(AR$1, MayR!$6:$6, 0), FALSE),
            0
        ) +
        IFERROR(
            VLOOKUP($A38, INDIRECT("JunR!$A$6:$ZZ$1048576"), MATCH(AR$1, JunR!$6:$6, 0), FALSE),
            0
        ) +
        IFERROR(
            VLOOKUP($A38, INDIRECT("JulR!$A$6:$ZZ$1048576"), MATCH(AR$1, JulR!$6:$6, 0), FALSE),
            0
        ) +
        IFERROR(
            VLOOKUP($A38, INDIRECT("AgoR!$A$6:$ZZ$1048576"), MATCH(AR$1, AgoR!$6:$6, 0), FALSE),
            0
        ) +
        IFERROR(
            VLOOKUP($A38, INDIRECT("SepR!$A$6:$ZZ$1048576"), MATCH(AR$1, SepR!$6:$6, 0), FALSE),
            0
        ) +
        IFERROR(
            VLOOKUP($A38, INDIRECT("OctR!$A$6:$ZZ$1048576"), MATCH(AR$1, OctR!$6:$6, 0), FALSE),
            0
        ) +
        IFERROR(
            VLOOKUP($A38, INDIRECT("NovR!$A$6:$ZZ$1048576"), MATCH(AR$1, NovR!$6:$6, 0), FALSE),
            0
        ) +
        IFERROR(
            VLOOKUP($A38, INDIRECT("DicR!$A$6:$ZZ$1048576"), MATCH(AR$1, DicR!$6:$6, 0), FALSE),
            0
        )
)</f>
        <v>0</v>
      </c>
      <c r="AS38" s="37">
        <f t="array" ref="AS38">SUM(
    IFERROR(
            VLOOKUP($A38, INDIRECT("EneR!$A$6:$ZZ$1048576"), MATCH(AS$1, EneR!$6:$6, 0), FALSE),
            0
        ) +
        IFERROR(
            VLOOKUP($A38, INDIRECT("FebR!$A$6:$ZZ$1048576"), MATCH(AS$1, FebR!$6:$6, 0), FALSE),
            0
        ) +
        IFERROR(
            VLOOKUP($A38, INDIRECT("MarR!$A$6:$ZZ$1048576"), MATCH(AS$1, MarR!$6:$6, 0), FALSE),
            0
        ) +
        IFERROR(
            VLOOKUP($A38, INDIRECT("AbrR!$A$6:$ZZ$1048576"), MATCH(AS$1, AbrR!$6:$6, 0), FALSE),
            0
        ) +
        IFERROR(
            VLOOKUP($A38, INDIRECT("MayR!$A$6:$ZZ$1048576"), MATCH(AS$1, MayR!$6:$6, 0), FALSE),
            0
        ) +
        IFERROR(
            VLOOKUP($A38, INDIRECT("JunR!$A$6:$ZZ$1048576"), MATCH(AS$1, JunR!$6:$6, 0), FALSE),
            0
        ) +
        IFERROR(
            VLOOKUP($A38, INDIRECT("JulR!$A$6:$ZZ$1048576"), MATCH(AS$1, JulR!$6:$6, 0), FALSE),
            0
        ) +
        IFERROR(
            VLOOKUP($A38, INDIRECT("AgoR!$A$6:$ZZ$1048576"), MATCH(AS$1, AgoR!$6:$6, 0), FALSE),
            0
        ) +
        IFERROR(
            VLOOKUP($A38, INDIRECT("SepR!$A$6:$ZZ$1048576"), MATCH(AS$1, SepR!$6:$6, 0), FALSE),
            0
        ) +
        IFERROR(
            VLOOKUP($A38, INDIRECT("OctR!$A$6:$ZZ$1048576"), MATCH(AS$1, OctR!$6:$6, 0), FALSE),
            0
        ) +
        IFERROR(
            VLOOKUP($A38, INDIRECT("NovR!$A$6:$ZZ$1048576"), MATCH(AS$1, NovR!$6:$6, 0), FALSE),
            0
        ) +
        IFERROR(
            VLOOKUP($A38, INDIRECT("DicR!$A$6:$ZZ$1048576"), MATCH(AS$1, DicR!$6:$6, 0), FALSE),
            0
        )
)</f>
        <v>0</v>
      </c>
      <c r="AT38" s="36">
        <f t="array" ref="AT38">SUM(
    IFERROR(
            VLOOKUP($A38, INDIRECT("EneR!$A$6:$ZZ$1048576"), MATCH(AT$1, EneR!$6:$6, 0), FALSE),
            0
        ) +
        IFERROR(
            VLOOKUP($A38, INDIRECT("FebR!$A$6:$ZZ$1048576"), MATCH(AT$1, FebR!$6:$6, 0), FALSE),
            0
        ) +
        IFERROR(
            VLOOKUP($A38, INDIRECT("MarR!$A$6:$ZZ$1048576"), MATCH(AT$1, MarR!$6:$6, 0), FALSE),
            0
        ) +
        IFERROR(
            VLOOKUP($A38, INDIRECT("AbrR!$A$6:$ZZ$1048576"), MATCH(AT$1, AbrR!$6:$6, 0), FALSE),
            0
        ) +
        IFERROR(
            VLOOKUP($A38, INDIRECT("MayR!$A$6:$ZZ$1048576"), MATCH(AT$1, MayR!$6:$6, 0), FALSE),
            0
        ) +
        IFERROR(
            VLOOKUP($A38, INDIRECT("JunR!$A$6:$ZZ$1048576"), MATCH(AT$1, JunR!$6:$6, 0), FALSE),
            0
        ) +
        IFERROR(
            VLOOKUP($A38, INDIRECT("JulR!$A$6:$ZZ$1048576"), MATCH(AT$1, JulR!$6:$6, 0), FALSE),
            0
        ) +
        IFERROR(
            VLOOKUP($A38, INDIRECT("AgoR!$A$6:$ZZ$1048576"), MATCH(AT$1, AgoR!$6:$6, 0), FALSE),
            0
        ) +
        IFERROR(
            VLOOKUP($A38, INDIRECT("SepR!$A$6:$ZZ$1048576"), MATCH(AT$1, SepR!$6:$6, 0), FALSE),
            0
        ) +
        IFERROR(
            VLOOKUP($A38, INDIRECT("OctR!$A$6:$ZZ$1048576"), MATCH(AT$1, OctR!$6:$6, 0), FALSE),
            0
        ) +
        IFERROR(
            VLOOKUP($A38, INDIRECT("NovR!$A$6:$ZZ$1048576"), MATCH(AT$1, NovR!$6:$6, 0), FALSE),
            0
        ) +
        IFERROR(
            VLOOKUP($A38, INDIRECT("DicR!$A$6:$ZZ$1048576"), MATCH(AT$1, DicR!$6:$6, 0), FALSE),
            0
        )
)</f>
        <v>0</v>
      </c>
      <c r="AU38" s="37">
        <f t="array" ref="AU38">SUM(
    IFERROR(
            VLOOKUP($A38, INDIRECT("EneR!$A$6:$ZZ$1048576"), MATCH(AU$1, EneR!$6:$6, 0), FALSE),
            0
        ) +
        IFERROR(
            VLOOKUP($A38, INDIRECT("FebR!$A$6:$ZZ$1048576"), MATCH(AU$1, FebR!$6:$6, 0), FALSE),
            0
        ) +
        IFERROR(
            VLOOKUP($A38, INDIRECT("MarR!$A$6:$ZZ$1048576"), MATCH(AU$1, MarR!$6:$6, 0), FALSE),
            0
        ) +
        IFERROR(
            VLOOKUP($A38, INDIRECT("AbrR!$A$6:$ZZ$1048576"), MATCH(AU$1, AbrR!$6:$6, 0), FALSE),
            0
        ) +
        IFERROR(
            VLOOKUP($A38, INDIRECT("MayR!$A$6:$ZZ$1048576"), MATCH(AU$1, MayR!$6:$6, 0), FALSE),
            0
        ) +
        IFERROR(
            VLOOKUP($A38, INDIRECT("JunR!$A$6:$ZZ$1048576"), MATCH(AU$1, JunR!$6:$6, 0), FALSE),
            0
        ) +
        IFERROR(
            VLOOKUP($A38, INDIRECT("JulR!$A$6:$ZZ$1048576"), MATCH(AU$1, JulR!$6:$6, 0), FALSE),
            0
        ) +
        IFERROR(
            VLOOKUP($A38, INDIRECT("AgoR!$A$6:$ZZ$1048576"), MATCH(AU$1, AgoR!$6:$6, 0), FALSE),
            0
        ) +
        IFERROR(
            VLOOKUP($A38, INDIRECT("SepR!$A$6:$ZZ$1048576"), MATCH(AU$1, SepR!$6:$6, 0), FALSE),
            0
        ) +
        IFERROR(
            VLOOKUP($A38, INDIRECT("OctR!$A$6:$ZZ$1048576"), MATCH(AU$1, OctR!$6:$6, 0), FALSE),
            0
        ) +
        IFERROR(
            VLOOKUP($A38, INDIRECT("NovR!$A$6:$ZZ$1048576"), MATCH(AU$1, NovR!$6:$6, 0), FALSE),
            0
        ) +
        IFERROR(
            VLOOKUP($A38, INDIRECT("DicR!$A$6:$ZZ$1048576"), MATCH(AU$1, DicR!$6:$6, 0), FALSE),
            0
        )
)</f>
        <v>0</v>
      </c>
      <c r="AV38" s="36">
        <f t="array" ref="AV38">SUM(
    IFERROR(
            VLOOKUP($A38, INDIRECT("EneR!$A$6:$ZZ$1048576"), MATCH(AV$1, EneR!$6:$6, 0), FALSE),
            0
        ) +
        IFERROR(
            VLOOKUP($A38, INDIRECT("FebR!$A$6:$ZZ$1048576"), MATCH(AV$1, FebR!$6:$6, 0), FALSE),
            0
        ) +
        IFERROR(
            VLOOKUP($A38, INDIRECT("MarR!$A$6:$ZZ$1048576"), MATCH(AV$1, MarR!$6:$6, 0), FALSE),
            0
        ) +
        IFERROR(
            VLOOKUP($A38, INDIRECT("AbrR!$A$6:$ZZ$1048576"), MATCH(AV$1, AbrR!$6:$6, 0), FALSE),
            0
        ) +
        IFERROR(
            VLOOKUP($A38, INDIRECT("MayR!$A$6:$ZZ$1048576"), MATCH(AV$1, MayR!$6:$6, 0), FALSE),
            0
        ) +
        IFERROR(
            VLOOKUP($A38, INDIRECT("JunR!$A$6:$ZZ$1048576"), MATCH(AV$1, JunR!$6:$6, 0), FALSE),
            0
        ) +
        IFERROR(
            VLOOKUP($A38, INDIRECT("JulR!$A$6:$ZZ$1048576"), MATCH(AV$1, JulR!$6:$6, 0), FALSE),
            0
        ) +
        IFERROR(
            VLOOKUP($A38, INDIRECT("AgoR!$A$6:$ZZ$1048576"), MATCH(AV$1, AgoR!$6:$6, 0), FALSE),
            0
        ) +
        IFERROR(
            VLOOKUP($A38, INDIRECT("SepR!$A$6:$ZZ$1048576"), MATCH(AV$1, SepR!$6:$6, 0), FALSE),
            0
        ) +
        IFERROR(
            VLOOKUP($A38, INDIRECT("OctR!$A$6:$ZZ$1048576"), MATCH(AV$1, OctR!$6:$6, 0), FALSE),
            0
        ) +
        IFERROR(
            VLOOKUP($A38, INDIRECT("NovR!$A$6:$ZZ$1048576"), MATCH(AV$1, NovR!$6:$6, 0), FALSE),
            0
        ) +
        IFERROR(
            VLOOKUP($A38, INDIRECT("DicR!$A$6:$ZZ$1048576"), MATCH(AV$1, DicR!$6:$6, 0), FALSE),
            0
        )
)</f>
        <v>0</v>
      </c>
      <c r="AW38" s="37">
        <f t="array" ref="AW38">SUM(
    IFERROR(
            VLOOKUP($A38, INDIRECT("EneR!$A$6:$ZZ$1048576"), MATCH(AW$1, EneR!$6:$6, 0), FALSE),
            0
        ) +
        IFERROR(
            VLOOKUP($A38, INDIRECT("FebR!$A$6:$ZZ$1048576"), MATCH(AW$1, FebR!$6:$6, 0), FALSE),
            0
        ) +
        IFERROR(
            VLOOKUP($A38, INDIRECT("MarR!$A$6:$ZZ$1048576"), MATCH(AW$1, MarR!$6:$6, 0), FALSE),
            0
        ) +
        IFERROR(
            VLOOKUP($A38, INDIRECT("AbrR!$A$6:$ZZ$1048576"), MATCH(AW$1, AbrR!$6:$6, 0), FALSE),
            0
        ) +
        IFERROR(
            VLOOKUP($A38, INDIRECT("MayR!$A$6:$ZZ$1048576"), MATCH(AW$1, MayR!$6:$6, 0), FALSE),
            0
        ) +
        IFERROR(
            VLOOKUP($A38, INDIRECT("JunR!$A$6:$ZZ$1048576"), MATCH(AW$1, JunR!$6:$6, 0), FALSE),
            0
        ) +
        IFERROR(
            VLOOKUP($A38, INDIRECT("JulR!$A$6:$ZZ$1048576"), MATCH(AW$1, JulR!$6:$6, 0), FALSE),
            0
        ) +
        IFERROR(
            VLOOKUP($A38, INDIRECT("AgoR!$A$6:$ZZ$1048576"), MATCH(AW$1, AgoR!$6:$6, 0), FALSE),
            0
        ) +
        IFERROR(
            VLOOKUP($A38, INDIRECT("SepR!$A$6:$ZZ$1048576"), MATCH(AW$1, SepR!$6:$6, 0), FALSE),
            0
        ) +
        IFERROR(
            VLOOKUP($A38, INDIRECT("OctR!$A$6:$ZZ$1048576"), MATCH(AW$1, OctR!$6:$6, 0), FALSE),
            0
        ) +
        IFERROR(
            VLOOKUP($A38, INDIRECT("NovR!$A$6:$ZZ$1048576"), MATCH(AW$1, NovR!$6:$6, 0), FALSE),
            0
        ) +
        IFERROR(
            VLOOKUP($A38, INDIRECT("DicR!$A$6:$ZZ$1048576"), MATCH(AW$1, DicR!$6:$6, 0), FALSE),
            0
        )
)</f>
        <v>0</v>
      </c>
      <c r="AX38" s="36">
        <f t="array" ref="AX38">SUM(
    IFERROR(
            VLOOKUP($A38, INDIRECT("EneR!$A$6:$ZZ$1048576"), MATCH(AX$1, EneR!$6:$6, 0), FALSE),
            0
        ) +
        IFERROR(
            VLOOKUP($A38, INDIRECT("FebR!$A$6:$ZZ$1048576"), MATCH(AX$1, FebR!$6:$6, 0), FALSE),
            0
        ) +
        IFERROR(
            VLOOKUP($A38, INDIRECT("MarR!$A$6:$ZZ$1048576"), MATCH(AX$1, MarR!$6:$6, 0), FALSE),
            0
        ) +
        IFERROR(
            VLOOKUP($A38, INDIRECT("AbrR!$A$6:$ZZ$1048576"), MATCH(AX$1, AbrR!$6:$6, 0), FALSE),
            0
        ) +
        IFERROR(
            VLOOKUP($A38, INDIRECT("MayR!$A$6:$ZZ$1048576"), MATCH(AX$1, MayR!$6:$6, 0), FALSE),
            0
        ) +
        IFERROR(
            VLOOKUP($A38, INDIRECT("JunR!$A$6:$ZZ$1048576"), MATCH(AX$1, JunR!$6:$6, 0), FALSE),
            0
        ) +
        IFERROR(
            VLOOKUP($A38, INDIRECT("JulR!$A$6:$ZZ$1048576"), MATCH(AX$1, JulR!$6:$6, 0), FALSE),
            0
        ) +
        IFERROR(
            VLOOKUP($A38, INDIRECT("AgoR!$A$6:$ZZ$1048576"), MATCH(AX$1, AgoR!$6:$6, 0), FALSE),
            0
        ) +
        IFERROR(
            VLOOKUP($A38, INDIRECT("SepR!$A$6:$ZZ$1048576"), MATCH(AX$1, SepR!$6:$6, 0), FALSE),
            0
        ) +
        IFERROR(
            VLOOKUP($A38, INDIRECT("OctR!$A$6:$ZZ$1048576"), MATCH(AX$1, OctR!$6:$6, 0), FALSE),
            0
        ) +
        IFERROR(
            VLOOKUP($A38, INDIRECT("NovR!$A$6:$ZZ$1048576"), MATCH(AX$1, NovR!$6:$6, 0), FALSE),
            0
        ) +
        IFERROR(
            VLOOKUP($A38, INDIRECT("DicR!$A$6:$ZZ$1048576"), MATCH(AX$1, DicR!$6:$6, 0), FALSE),
            0
        )
)</f>
        <v>0</v>
      </c>
      <c r="AY38" s="37">
        <f t="array" ref="AY38">SUM(
    IFERROR(
            VLOOKUP($A38, INDIRECT("EneR!$A$6:$ZZ$1048576"), MATCH(AY$1, EneR!$6:$6, 0), FALSE),
            0
        ) +
        IFERROR(
            VLOOKUP($A38, INDIRECT("FebR!$A$6:$ZZ$1048576"), MATCH(AY$1, FebR!$6:$6, 0), FALSE),
            0
        ) +
        IFERROR(
            VLOOKUP($A38, INDIRECT("MarR!$A$6:$ZZ$1048576"), MATCH(AY$1, MarR!$6:$6, 0), FALSE),
            0
        ) +
        IFERROR(
            VLOOKUP($A38, INDIRECT("AbrR!$A$6:$ZZ$1048576"), MATCH(AY$1, AbrR!$6:$6, 0), FALSE),
            0
        ) +
        IFERROR(
            VLOOKUP($A38, INDIRECT("MayR!$A$6:$ZZ$1048576"), MATCH(AY$1, MayR!$6:$6, 0), FALSE),
            0
        ) +
        IFERROR(
            VLOOKUP($A38, INDIRECT("JunR!$A$6:$ZZ$1048576"), MATCH(AY$1, JunR!$6:$6, 0), FALSE),
            0
        ) +
        IFERROR(
            VLOOKUP($A38, INDIRECT("JulR!$A$6:$ZZ$1048576"), MATCH(AY$1, JulR!$6:$6, 0), FALSE),
            0
        ) +
        IFERROR(
            VLOOKUP($A38, INDIRECT("AgoR!$A$6:$ZZ$1048576"), MATCH(AY$1, AgoR!$6:$6, 0), FALSE),
            0
        ) +
        IFERROR(
            VLOOKUP($A38, INDIRECT("SepR!$A$6:$ZZ$1048576"), MATCH(AY$1, SepR!$6:$6, 0), FALSE),
            0
        ) +
        IFERROR(
            VLOOKUP($A38, INDIRECT("OctR!$A$6:$ZZ$1048576"), MATCH(AY$1, OctR!$6:$6, 0), FALSE),
            0
        ) +
        IFERROR(
            VLOOKUP($A38, INDIRECT("NovR!$A$6:$ZZ$1048576"), MATCH(AY$1, NovR!$6:$6, 0), FALSE),
            0
        ) +
        IFERROR(
            VLOOKUP($A38, INDIRECT("DicR!$A$6:$ZZ$1048576"), MATCH(AY$1, DicR!$6:$6, 0), FALSE),
            0
        )
)</f>
        <v>0</v>
      </c>
      <c r="AZ38" s="37"/>
    </row>
    <row r="39" ht="9.0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2"/>
      <c r="AO39" s="12"/>
      <c r="AP39" s="14"/>
      <c r="AQ39" s="12"/>
      <c r="AR39" s="14"/>
      <c r="AS39" s="12"/>
      <c r="AT39" s="14"/>
      <c r="AU39" s="12"/>
      <c r="AV39" s="14"/>
      <c r="AW39" s="12"/>
      <c r="AX39" s="14"/>
      <c r="AY39" s="12"/>
      <c r="AZ39" s="12"/>
    </row>
    <row r="40" ht="15.75" customHeight="1">
      <c r="A40" s="11" t="s">
        <v>7</v>
      </c>
      <c r="B40" s="26">
        <f t="shared" ref="B40:AY40" si="8">SUM(B41:B103)</f>
        <v>0</v>
      </c>
      <c r="C40" s="38">
        <f t="shared" si="8"/>
        <v>0</v>
      </c>
      <c r="D40" s="28">
        <f t="shared" si="8"/>
        <v>0</v>
      </c>
      <c r="E40" s="29">
        <f t="shared" si="8"/>
        <v>0</v>
      </c>
      <c r="F40" s="26">
        <f t="shared" si="8"/>
        <v>0</v>
      </c>
      <c r="G40" s="29">
        <f t="shared" si="8"/>
        <v>0</v>
      </c>
      <c r="H40" s="26">
        <f t="shared" si="8"/>
        <v>0</v>
      </c>
      <c r="I40" s="29">
        <f t="shared" si="8"/>
        <v>0</v>
      </c>
      <c r="J40" s="26">
        <f t="shared" si="8"/>
        <v>0</v>
      </c>
      <c r="K40" s="29">
        <f t="shared" si="8"/>
        <v>0</v>
      </c>
      <c r="L40" s="26">
        <f t="shared" si="8"/>
        <v>0</v>
      </c>
      <c r="M40" s="29">
        <f t="shared" si="8"/>
        <v>0</v>
      </c>
      <c r="N40" s="26">
        <f t="shared" si="8"/>
        <v>0</v>
      </c>
      <c r="O40" s="29">
        <f t="shared" si="8"/>
        <v>0</v>
      </c>
      <c r="P40" s="26">
        <f t="shared" si="8"/>
        <v>0</v>
      </c>
      <c r="Q40" s="29">
        <f t="shared" si="8"/>
        <v>0</v>
      </c>
      <c r="R40" s="30">
        <f t="shared" si="8"/>
        <v>0</v>
      </c>
      <c r="S40" s="31">
        <f t="shared" si="8"/>
        <v>0</v>
      </c>
      <c r="T40" s="30">
        <f t="shared" si="8"/>
        <v>0</v>
      </c>
      <c r="U40" s="31">
        <f t="shared" si="8"/>
        <v>0</v>
      </c>
      <c r="V40" s="30">
        <f t="shared" si="8"/>
        <v>0</v>
      </c>
      <c r="W40" s="31">
        <f t="shared" si="8"/>
        <v>0</v>
      </c>
      <c r="X40" s="30">
        <f t="shared" si="8"/>
        <v>0</v>
      </c>
      <c r="Y40" s="31">
        <f t="shared" si="8"/>
        <v>0</v>
      </c>
      <c r="Z40" s="30">
        <f t="shared" si="8"/>
        <v>0</v>
      </c>
      <c r="AA40" s="31">
        <f t="shared" si="8"/>
        <v>0</v>
      </c>
      <c r="AB40" s="30">
        <f t="shared" si="8"/>
        <v>0</v>
      </c>
      <c r="AC40" s="31">
        <f t="shared" si="8"/>
        <v>0</v>
      </c>
      <c r="AD40" s="30">
        <f t="shared" si="8"/>
        <v>0</v>
      </c>
      <c r="AE40" s="31">
        <f t="shared" si="8"/>
        <v>0</v>
      </c>
      <c r="AF40" s="30">
        <f t="shared" si="8"/>
        <v>0</v>
      </c>
      <c r="AG40" s="31">
        <f t="shared" si="8"/>
        <v>0</v>
      </c>
      <c r="AH40" s="30">
        <f t="shared" si="8"/>
        <v>0</v>
      </c>
      <c r="AI40" s="31">
        <f t="shared" si="8"/>
        <v>0</v>
      </c>
      <c r="AJ40" s="30">
        <f t="shared" si="8"/>
        <v>0</v>
      </c>
      <c r="AK40" s="31">
        <f t="shared" si="8"/>
        <v>0</v>
      </c>
      <c r="AL40" s="30">
        <f t="shared" si="8"/>
        <v>0</v>
      </c>
      <c r="AM40" s="31">
        <f t="shared" si="8"/>
        <v>0</v>
      </c>
      <c r="AN40" s="26">
        <f t="shared" si="8"/>
        <v>0</v>
      </c>
      <c r="AO40" s="29">
        <f t="shared" si="8"/>
        <v>0</v>
      </c>
      <c r="AP40" s="30">
        <f t="shared" si="8"/>
        <v>0</v>
      </c>
      <c r="AQ40" s="29">
        <f t="shared" si="8"/>
        <v>0</v>
      </c>
      <c r="AR40" s="30">
        <f t="shared" si="8"/>
        <v>0</v>
      </c>
      <c r="AS40" s="29">
        <f t="shared" si="8"/>
        <v>0</v>
      </c>
      <c r="AT40" s="30">
        <f t="shared" si="8"/>
        <v>0</v>
      </c>
      <c r="AU40" s="29">
        <f t="shared" si="8"/>
        <v>0</v>
      </c>
      <c r="AV40" s="30">
        <f t="shared" si="8"/>
        <v>0</v>
      </c>
      <c r="AW40" s="29">
        <f t="shared" si="8"/>
        <v>0</v>
      </c>
      <c r="AX40" s="30">
        <f t="shared" si="8"/>
        <v>0</v>
      </c>
      <c r="AY40" s="29">
        <f t="shared" si="8"/>
        <v>0</v>
      </c>
      <c r="AZ40" s="29"/>
    </row>
    <row r="41" ht="15.75" customHeight="1">
      <c r="A41" s="12" t="str">
        <f>Menus!B2</f>
        <v/>
      </c>
      <c r="B41" s="32">
        <f t="shared" ref="B41:B83" si="9">IFERROR(SUM(D41:AZ41),"")</f>
        <v>0</v>
      </c>
      <c r="C41" s="33" t="str">
        <f t="array" ref="C41">IFERROR(INDEX($D$1:$AQ127, MATCH($A41, $A$1:$A127, 0), MATCH(C$1, $D$1:AZ$1, 0)), "")</f>
        <v/>
      </c>
      <c r="D41" s="34">
        <f t="array" ref="D41">SUM(
    IFERROR(
            VLOOKUP($A41, INDIRECT("EneR!$A$6:$ZZ$1048576"), MATCH(D$1, EneR!$6:$6, 0), FALSE),
            0
        ) +
        IFERROR(
            VLOOKUP($A41, INDIRECT("FebR!$A$6:$ZZ$1048576"), MATCH(D$1, FebR!$6:$6, 0), FALSE),
            0
        ) +
        IFERROR(
            VLOOKUP($A41, INDIRECT("MarR!$A$6:$ZZ$1048576"), MATCH(D$1, MarR!$6:$6, 0), FALSE),
            0
        ) +
        IFERROR(
            VLOOKUP($A41, INDIRECT("AbrR!$A$6:$ZZ$1048576"), MATCH(D$1, AbrR!$6:$6, 0), FALSE),
            0
        ) +
        IFERROR(
            VLOOKUP($A41, INDIRECT("MayR!$A$6:$ZZ$1048576"), MATCH(D$1, MayR!$6:$6, 0), FALSE),
            0
        ) +
        IFERROR(
            VLOOKUP($A41, INDIRECT("JunR!$A$6:$ZZ$1048576"), MATCH(D$1, JunR!$6:$6, 0), FALSE),
            0
        ) +
        IFERROR(
            VLOOKUP($A41, INDIRECT("JulR!$A$6:$ZZ$1048576"), MATCH(D$1, JulR!$6:$6, 0), FALSE),
            0
        ) +
        IFERROR(
            VLOOKUP($A41, INDIRECT("AgoR!$A$6:$ZZ$1048576"), MATCH(D$1, AgoR!$6:$6, 0), FALSE),
            0
        ) +
        IFERROR(
            VLOOKUP($A41, INDIRECT("SepR!$A$6:$ZZ$1048576"), MATCH(D$1, SepR!$6:$6, 0), FALSE),
            0
        ) +
        IFERROR(
            VLOOKUP($A41, INDIRECT("OctR!$A$6:$ZZ$1048576"), MATCH(D$1, OctR!$6:$6, 0), FALSE),
            0
        ) +
        IFERROR(
            VLOOKUP($A41, INDIRECT("NovR!$A$6:$ZZ$1048576"), MATCH(D$1, NovR!$6:$6, 0), FALSE),
            0
        ) +
        IFERROR(
            VLOOKUP($A41, INDIRECT("DicR!$A$6:$ZZ$1048576"), MATCH(D$1, DicR!$6:$6, 0), FALSE),
            0
        )
)</f>
        <v>0</v>
      </c>
      <c r="E41" s="35">
        <f t="array" ref="E41">SUM(
    IFERROR(
            VLOOKUP($A41, INDIRECT("EneR!$A$6:$ZZ$1048576"), MATCH(E$1, EneR!$6:$6, 0), FALSE),
            0
        ) +
        IFERROR(
            VLOOKUP($A41, INDIRECT("FebR!$A$6:$ZZ$1048576"), MATCH(E$1, FebR!$6:$6, 0), FALSE),
            0
        ) +
        IFERROR(
            VLOOKUP($A41, INDIRECT("MarR!$A$6:$ZZ$1048576"), MATCH(E$1, MarR!$6:$6, 0), FALSE),
            0
        ) +
        IFERROR(
            VLOOKUP($A41, INDIRECT("AbrR!$A$6:$ZZ$1048576"), MATCH(E$1, AbrR!$6:$6, 0), FALSE),
            0
        ) +
        IFERROR(
            VLOOKUP($A41, INDIRECT("MayR!$A$6:$ZZ$1048576"), MATCH(E$1, MayR!$6:$6, 0), FALSE),
            0
        ) +
        IFERROR(
            VLOOKUP($A41, INDIRECT("JunR!$A$6:$ZZ$1048576"), MATCH(E$1, JunR!$6:$6, 0), FALSE),
            0
        ) +
        IFERROR(
            VLOOKUP($A41, INDIRECT("JulR!$A$6:$ZZ$1048576"), MATCH(E$1, JulR!$6:$6, 0), FALSE),
            0
        ) +
        IFERROR(
            VLOOKUP($A41, INDIRECT("AgoR!$A$6:$ZZ$1048576"), MATCH(E$1, AgoR!$6:$6, 0), FALSE),
            0
        ) +
        IFERROR(
            VLOOKUP($A41, INDIRECT("SepR!$A$6:$ZZ$1048576"), MATCH(E$1, SepR!$6:$6, 0), FALSE),
            0
        ) +
        IFERROR(
            VLOOKUP($A41, INDIRECT("OctR!$A$6:$ZZ$1048576"), MATCH(E$1, OctR!$6:$6, 0), FALSE),
            0
        ) +
        IFERROR(
            VLOOKUP($A41, INDIRECT("NovR!$A$6:$ZZ$1048576"), MATCH(E$1, NovR!$6:$6, 0), FALSE),
            0
        ) +
        IFERROR(
            VLOOKUP($A41, INDIRECT("DicR!$A$6:$ZZ$1048576"), MATCH(E$1, DicR!$6:$6, 0), FALSE),
            0
        )
)</f>
        <v>0</v>
      </c>
      <c r="F41" s="32">
        <f t="array" ref="F41">SUM(
    IFERROR(
            VLOOKUP($A41, INDIRECT("EneR!$A$6:$ZZ$1048576"), MATCH(F$1, EneR!$6:$6, 0), FALSE),
            0
        ) +
        IFERROR(
            VLOOKUP($A41, INDIRECT("FebR!$A$6:$ZZ$1048576"), MATCH(F$1, FebR!$6:$6, 0), FALSE),
            0
        ) +
        IFERROR(
            VLOOKUP($A41, INDIRECT("MarR!$A$6:$ZZ$1048576"), MATCH(F$1, MarR!$6:$6, 0), FALSE),
            0
        ) +
        IFERROR(
            VLOOKUP($A41, INDIRECT("AbrR!$A$6:$ZZ$1048576"), MATCH(F$1, AbrR!$6:$6, 0), FALSE),
            0
        ) +
        IFERROR(
            VLOOKUP($A41, INDIRECT("MayR!$A$6:$ZZ$1048576"), MATCH(F$1, MayR!$6:$6, 0), FALSE),
            0
        ) +
        IFERROR(
            VLOOKUP($A41, INDIRECT("JunR!$A$6:$ZZ$1048576"), MATCH(F$1, JunR!$6:$6, 0), FALSE),
            0
        ) +
        IFERROR(
            VLOOKUP($A41, INDIRECT("JulR!$A$6:$ZZ$1048576"), MATCH(F$1, JulR!$6:$6, 0), FALSE),
            0
        ) +
        IFERROR(
            VLOOKUP($A41, INDIRECT("AgoR!$A$6:$ZZ$1048576"), MATCH(F$1, AgoR!$6:$6, 0), FALSE),
            0
        ) +
        IFERROR(
            VLOOKUP($A41, INDIRECT("SepR!$A$6:$ZZ$1048576"), MATCH(F$1, SepR!$6:$6, 0), FALSE),
            0
        ) +
        IFERROR(
            VLOOKUP($A41, INDIRECT("OctR!$A$6:$ZZ$1048576"), MATCH(F$1, OctR!$6:$6, 0), FALSE),
            0
        ) +
        IFERROR(
            VLOOKUP($A41, INDIRECT("NovR!$A$6:$ZZ$1048576"), MATCH(F$1, NovR!$6:$6, 0), FALSE),
            0
        ) +
        IFERROR(
            VLOOKUP($A41, INDIRECT("DicR!$A$6:$ZZ$1048576"), MATCH(F$1, DicR!$6:$6, 0), FALSE),
            0
        )
)</f>
        <v>0</v>
      </c>
      <c r="G41" s="35">
        <f t="array" ref="G41">SUM(
    IFERROR(
            VLOOKUP($A41, INDIRECT("EneR!$A$6:$ZZ$1048576"), MATCH(G$1, EneR!$6:$6, 0), FALSE),
            0
        ) +
        IFERROR(
            VLOOKUP($A41, INDIRECT("FebR!$A$6:$ZZ$1048576"), MATCH(G$1, FebR!$6:$6, 0), FALSE),
            0
        ) +
        IFERROR(
            VLOOKUP($A41, INDIRECT("MarR!$A$6:$ZZ$1048576"), MATCH(G$1, MarR!$6:$6, 0), FALSE),
            0
        ) +
        IFERROR(
            VLOOKUP($A41, INDIRECT("AbrR!$A$6:$ZZ$1048576"), MATCH(G$1, AbrR!$6:$6, 0), FALSE),
            0
        ) +
        IFERROR(
            VLOOKUP($A41, INDIRECT("MayR!$A$6:$ZZ$1048576"), MATCH(G$1, MayR!$6:$6, 0), FALSE),
            0
        ) +
        IFERROR(
            VLOOKUP($A41, INDIRECT("JunR!$A$6:$ZZ$1048576"), MATCH(G$1, JunR!$6:$6, 0), FALSE),
            0
        ) +
        IFERROR(
            VLOOKUP($A41, INDIRECT("JulR!$A$6:$ZZ$1048576"), MATCH(G$1, JulR!$6:$6, 0), FALSE),
            0
        ) +
        IFERROR(
            VLOOKUP($A41, INDIRECT("AgoR!$A$6:$ZZ$1048576"), MATCH(G$1, AgoR!$6:$6, 0), FALSE),
            0
        ) +
        IFERROR(
            VLOOKUP($A41, INDIRECT("SepR!$A$6:$ZZ$1048576"), MATCH(G$1, SepR!$6:$6, 0), FALSE),
            0
        ) +
        IFERROR(
            VLOOKUP($A41, INDIRECT("OctR!$A$6:$ZZ$1048576"), MATCH(G$1, OctR!$6:$6, 0), FALSE),
            0
        ) +
        IFERROR(
            VLOOKUP($A41, INDIRECT("NovR!$A$6:$ZZ$1048576"), MATCH(G$1, NovR!$6:$6, 0), FALSE),
            0
        ) +
        IFERROR(
            VLOOKUP($A41, INDIRECT("DicR!$A$6:$ZZ$1048576"), MATCH(G$1, DicR!$6:$6, 0), FALSE),
            0
        )
)</f>
        <v>0</v>
      </c>
      <c r="H41" s="32">
        <f t="array" ref="H41">SUM(
    IFERROR(
            VLOOKUP($A41, INDIRECT("EneR!$A$6:$ZZ$1048576"), MATCH(H$1, EneR!$6:$6, 0), FALSE),
            0
        ) +
        IFERROR(
            VLOOKUP($A41, INDIRECT("FebR!$A$6:$ZZ$1048576"), MATCH(H$1, FebR!$6:$6, 0), FALSE),
            0
        ) +
        IFERROR(
            VLOOKUP($A41, INDIRECT("MarR!$A$6:$ZZ$1048576"), MATCH(H$1, MarR!$6:$6, 0), FALSE),
            0
        ) +
        IFERROR(
            VLOOKUP($A41, INDIRECT("AbrR!$A$6:$ZZ$1048576"), MATCH(H$1, AbrR!$6:$6, 0), FALSE),
            0
        ) +
        IFERROR(
            VLOOKUP($A41, INDIRECT("MayR!$A$6:$ZZ$1048576"), MATCH(H$1, MayR!$6:$6, 0), FALSE),
            0
        ) +
        IFERROR(
            VLOOKUP($A41, INDIRECT("JunR!$A$6:$ZZ$1048576"), MATCH(H$1, JunR!$6:$6, 0), FALSE),
            0
        ) +
        IFERROR(
            VLOOKUP($A41, INDIRECT("JulR!$A$6:$ZZ$1048576"), MATCH(H$1, JulR!$6:$6, 0), FALSE),
            0
        ) +
        IFERROR(
            VLOOKUP($A41, INDIRECT("AgoR!$A$6:$ZZ$1048576"), MATCH(H$1, AgoR!$6:$6, 0), FALSE),
            0
        ) +
        IFERROR(
            VLOOKUP($A41, INDIRECT("SepR!$A$6:$ZZ$1048576"), MATCH(H$1, SepR!$6:$6, 0), FALSE),
            0
        ) +
        IFERROR(
            VLOOKUP($A41, INDIRECT("OctR!$A$6:$ZZ$1048576"), MATCH(H$1, OctR!$6:$6, 0), FALSE),
            0
        ) +
        IFERROR(
            VLOOKUP($A41, INDIRECT("NovR!$A$6:$ZZ$1048576"), MATCH(H$1, NovR!$6:$6, 0), FALSE),
            0
        ) +
        IFERROR(
            VLOOKUP($A41, INDIRECT("DicR!$A$6:$ZZ$1048576"), MATCH(H$1, DicR!$6:$6, 0), FALSE),
            0
        )
)</f>
        <v>0</v>
      </c>
      <c r="I41" s="35">
        <f t="array" ref="I41">SUM(
    IFERROR(
            VLOOKUP($A41, INDIRECT("EneR!$A$6:$ZZ$1048576"), MATCH(I$1, EneR!$6:$6, 0), FALSE),
            0
        ) +
        IFERROR(
            VLOOKUP($A41, INDIRECT("FebR!$A$6:$ZZ$1048576"), MATCH(I$1, FebR!$6:$6, 0), FALSE),
            0
        ) +
        IFERROR(
            VLOOKUP($A41, INDIRECT("MarR!$A$6:$ZZ$1048576"), MATCH(I$1, MarR!$6:$6, 0), FALSE),
            0
        ) +
        IFERROR(
            VLOOKUP($A41, INDIRECT("AbrR!$A$6:$ZZ$1048576"), MATCH(I$1, AbrR!$6:$6, 0), FALSE),
            0
        ) +
        IFERROR(
            VLOOKUP($A41, INDIRECT("MayR!$A$6:$ZZ$1048576"), MATCH(I$1, MayR!$6:$6, 0), FALSE),
            0
        ) +
        IFERROR(
            VLOOKUP($A41, INDIRECT("JunR!$A$6:$ZZ$1048576"), MATCH(I$1, JunR!$6:$6, 0), FALSE),
            0
        ) +
        IFERROR(
            VLOOKUP($A41, INDIRECT("JulR!$A$6:$ZZ$1048576"), MATCH(I$1, JulR!$6:$6, 0), FALSE),
            0
        ) +
        IFERROR(
            VLOOKUP($A41, INDIRECT("AgoR!$A$6:$ZZ$1048576"), MATCH(I$1, AgoR!$6:$6, 0), FALSE),
            0
        ) +
        IFERROR(
            VLOOKUP($A41, INDIRECT("SepR!$A$6:$ZZ$1048576"), MATCH(I$1, SepR!$6:$6, 0), FALSE),
            0
        ) +
        IFERROR(
            VLOOKUP($A41, INDIRECT("OctR!$A$6:$ZZ$1048576"), MATCH(I$1, OctR!$6:$6, 0), FALSE),
            0
        ) +
        IFERROR(
            VLOOKUP($A41, INDIRECT("NovR!$A$6:$ZZ$1048576"), MATCH(I$1, NovR!$6:$6, 0), FALSE),
            0
        ) +
        IFERROR(
            VLOOKUP($A41, INDIRECT("DicR!$A$6:$ZZ$1048576"), MATCH(I$1, DicR!$6:$6, 0), FALSE),
            0
        )
)</f>
        <v>0</v>
      </c>
      <c r="J41" s="32">
        <f t="array" ref="J41">SUM(
    IFERROR(
            VLOOKUP($A41, INDIRECT("EneR!$A$6:$ZZ$1048576"), MATCH(J$1, EneR!$6:$6, 0), FALSE),
            0
        ) +
        IFERROR(
            VLOOKUP($A41, INDIRECT("FebR!$A$6:$ZZ$1048576"), MATCH(J$1, FebR!$6:$6, 0), FALSE),
            0
        ) +
        IFERROR(
            VLOOKUP($A41, INDIRECT("MarR!$A$6:$ZZ$1048576"), MATCH(J$1, MarR!$6:$6, 0), FALSE),
            0
        ) +
        IFERROR(
            VLOOKUP($A41, INDIRECT("AbrR!$A$6:$ZZ$1048576"), MATCH(J$1, AbrR!$6:$6, 0), FALSE),
            0
        ) +
        IFERROR(
            VLOOKUP($A41, INDIRECT("MayR!$A$6:$ZZ$1048576"), MATCH(J$1, MayR!$6:$6, 0), FALSE),
            0
        ) +
        IFERROR(
            VLOOKUP($A41, INDIRECT("JunR!$A$6:$ZZ$1048576"), MATCH(J$1, JunR!$6:$6, 0), FALSE),
            0
        ) +
        IFERROR(
            VLOOKUP($A41, INDIRECT("JulR!$A$6:$ZZ$1048576"), MATCH(J$1, JulR!$6:$6, 0), FALSE),
            0
        ) +
        IFERROR(
            VLOOKUP($A41, INDIRECT("AgoR!$A$6:$ZZ$1048576"), MATCH(J$1, AgoR!$6:$6, 0), FALSE),
            0
        ) +
        IFERROR(
            VLOOKUP($A41, INDIRECT("SepR!$A$6:$ZZ$1048576"), MATCH(J$1, SepR!$6:$6, 0), FALSE),
            0
        ) +
        IFERROR(
            VLOOKUP($A41, INDIRECT("OctR!$A$6:$ZZ$1048576"), MATCH(J$1, OctR!$6:$6, 0), FALSE),
            0
        ) +
        IFERROR(
            VLOOKUP($A41, INDIRECT("NovR!$A$6:$ZZ$1048576"), MATCH(J$1, NovR!$6:$6, 0), FALSE),
            0
        ) +
        IFERROR(
            VLOOKUP($A41, INDIRECT("DicR!$A$6:$ZZ$1048576"), MATCH(J$1, DicR!$6:$6, 0), FALSE),
            0
        )
)</f>
        <v>0</v>
      </c>
      <c r="K41" s="35">
        <f t="array" ref="K41">SUM(
    IFERROR(
            VLOOKUP($A41, INDIRECT("EneR!$A$6:$ZZ$1048576"), MATCH(K$1, EneR!$6:$6, 0), FALSE),
            0
        ) +
        IFERROR(
            VLOOKUP($A41, INDIRECT("FebR!$A$6:$ZZ$1048576"), MATCH(K$1, FebR!$6:$6, 0), FALSE),
            0
        ) +
        IFERROR(
            VLOOKUP($A41, INDIRECT("MarR!$A$6:$ZZ$1048576"), MATCH(K$1, MarR!$6:$6, 0), FALSE),
            0
        ) +
        IFERROR(
            VLOOKUP($A41, INDIRECT("AbrR!$A$6:$ZZ$1048576"), MATCH(K$1, AbrR!$6:$6, 0), FALSE),
            0
        ) +
        IFERROR(
            VLOOKUP($A41, INDIRECT("MayR!$A$6:$ZZ$1048576"), MATCH(K$1, MayR!$6:$6, 0), FALSE),
            0
        ) +
        IFERROR(
            VLOOKUP($A41, INDIRECT("JunR!$A$6:$ZZ$1048576"), MATCH(K$1, JunR!$6:$6, 0), FALSE),
            0
        ) +
        IFERROR(
            VLOOKUP($A41, INDIRECT("JulR!$A$6:$ZZ$1048576"), MATCH(K$1, JulR!$6:$6, 0), FALSE),
            0
        ) +
        IFERROR(
            VLOOKUP($A41, INDIRECT("AgoR!$A$6:$ZZ$1048576"), MATCH(K$1, AgoR!$6:$6, 0), FALSE),
            0
        ) +
        IFERROR(
            VLOOKUP($A41, INDIRECT("SepR!$A$6:$ZZ$1048576"), MATCH(K$1, SepR!$6:$6, 0), FALSE),
            0
        ) +
        IFERROR(
            VLOOKUP($A41, INDIRECT("OctR!$A$6:$ZZ$1048576"), MATCH(K$1, OctR!$6:$6, 0), FALSE),
            0
        ) +
        IFERROR(
            VLOOKUP($A41, INDIRECT("NovR!$A$6:$ZZ$1048576"), MATCH(K$1, NovR!$6:$6, 0), FALSE),
            0
        ) +
        IFERROR(
            VLOOKUP($A41, INDIRECT("DicR!$A$6:$ZZ$1048576"), MATCH(K$1, DicR!$6:$6, 0), FALSE),
            0
        )
)</f>
        <v>0</v>
      </c>
      <c r="L41" s="32">
        <f t="array" ref="L41">SUM(
    IFERROR(
            VLOOKUP($A41, INDIRECT("EneR!$A$6:$ZZ$1048576"), MATCH(L$1, EneR!$6:$6, 0), FALSE),
            0
        ) +
        IFERROR(
            VLOOKUP($A41, INDIRECT("FebR!$A$6:$ZZ$1048576"), MATCH(L$1, FebR!$6:$6, 0), FALSE),
            0
        ) +
        IFERROR(
            VLOOKUP($A41, INDIRECT("MarR!$A$6:$ZZ$1048576"), MATCH(L$1, MarR!$6:$6, 0), FALSE),
            0
        ) +
        IFERROR(
            VLOOKUP($A41, INDIRECT("AbrR!$A$6:$ZZ$1048576"), MATCH(L$1, AbrR!$6:$6, 0), FALSE),
            0
        ) +
        IFERROR(
            VLOOKUP($A41, INDIRECT("MayR!$A$6:$ZZ$1048576"), MATCH(L$1, MayR!$6:$6, 0), FALSE),
            0
        ) +
        IFERROR(
            VLOOKUP($A41, INDIRECT("JunR!$A$6:$ZZ$1048576"), MATCH(L$1, JunR!$6:$6, 0), FALSE),
            0
        ) +
        IFERROR(
            VLOOKUP($A41, INDIRECT("JulR!$A$6:$ZZ$1048576"), MATCH(L$1, JulR!$6:$6, 0), FALSE),
            0
        ) +
        IFERROR(
            VLOOKUP($A41, INDIRECT("AgoR!$A$6:$ZZ$1048576"), MATCH(L$1, AgoR!$6:$6, 0), FALSE),
            0
        ) +
        IFERROR(
            VLOOKUP($A41, INDIRECT("SepR!$A$6:$ZZ$1048576"), MATCH(L$1, SepR!$6:$6, 0), FALSE),
            0
        ) +
        IFERROR(
            VLOOKUP($A41, INDIRECT("OctR!$A$6:$ZZ$1048576"), MATCH(L$1, OctR!$6:$6, 0), FALSE),
            0
        ) +
        IFERROR(
            VLOOKUP($A41, INDIRECT("NovR!$A$6:$ZZ$1048576"), MATCH(L$1, NovR!$6:$6, 0), FALSE),
            0
        ) +
        IFERROR(
            VLOOKUP($A41, INDIRECT("DicR!$A$6:$ZZ$1048576"), MATCH(L$1, DicR!$6:$6, 0), FALSE),
            0
        )
)</f>
        <v>0</v>
      </c>
      <c r="M41" s="35">
        <f t="array" ref="M41">SUM(
    IFERROR(
            VLOOKUP($A41, INDIRECT("EneR!$A$6:$ZZ$1048576"), MATCH(M$1, EneR!$6:$6, 0), FALSE),
            0
        ) +
        IFERROR(
            VLOOKUP($A41, INDIRECT("FebR!$A$6:$ZZ$1048576"), MATCH(M$1, FebR!$6:$6, 0), FALSE),
            0
        ) +
        IFERROR(
            VLOOKUP($A41, INDIRECT("MarR!$A$6:$ZZ$1048576"), MATCH(M$1, MarR!$6:$6, 0), FALSE),
            0
        ) +
        IFERROR(
            VLOOKUP($A41, INDIRECT("AbrR!$A$6:$ZZ$1048576"), MATCH(M$1, AbrR!$6:$6, 0), FALSE),
            0
        ) +
        IFERROR(
            VLOOKUP($A41, INDIRECT("MayR!$A$6:$ZZ$1048576"), MATCH(M$1, MayR!$6:$6, 0), FALSE),
            0
        ) +
        IFERROR(
            VLOOKUP($A41, INDIRECT("JunR!$A$6:$ZZ$1048576"), MATCH(M$1, JunR!$6:$6, 0), FALSE),
            0
        ) +
        IFERROR(
            VLOOKUP($A41, INDIRECT("JulR!$A$6:$ZZ$1048576"), MATCH(M$1, JulR!$6:$6, 0), FALSE),
            0
        ) +
        IFERROR(
            VLOOKUP($A41, INDIRECT("AgoR!$A$6:$ZZ$1048576"), MATCH(M$1, AgoR!$6:$6, 0), FALSE),
            0
        ) +
        IFERROR(
            VLOOKUP($A41, INDIRECT("SepR!$A$6:$ZZ$1048576"), MATCH(M$1, SepR!$6:$6, 0), FALSE),
            0
        ) +
        IFERROR(
            VLOOKUP($A41, INDIRECT("OctR!$A$6:$ZZ$1048576"), MATCH(M$1, OctR!$6:$6, 0), FALSE),
            0
        ) +
        IFERROR(
            VLOOKUP($A41, INDIRECT("NovR!$A$6:$ZZ$1048576"), MATCH(M$1, NovR!$6:$6, 0), FALSE),
            0
        ) +
        IFERROR(
            VLOOKUP($A41, INDIRECT("DicR!$A$6:$ZZ$1048576"), MATCH(M$1, DicR!$6:$6, 0), FALSE),
            0
        )
)</f>
        <v>0</v>
      </c>
      <c r="N41" s="32">
        <f t="array" ref="N41">SUM(
    IFERROR(
            VLOOKUP($A41, INDIRECT("EneR!$A$6:$ZZ$1048576"), MATCH(N$1, EneR!$6:$6, 0), FALSE),
            0
        ) +
        IFERROR(
            VLOOKUP($A41, INDIRECT("FebR!$A$6:$ZZ$1048576"), MATCH(N$1, FebR!$6:$6, 0), FALSE),
            0
        ) +
        IFERROR(
            VLOOKUP($A41, INDIRECT("MarR!$A$6:$ZZ$1048576"), MATCH(N$1, MarR!$6:$6, 0), FALSE),
            0
        ) +
        IFERROR(
            VLOOKUP($A41, INDIRECT("AbrR!$A$6:$ZZ$1048576"), MATCH(N$1, AbrR!$6:$6, 0), FALSE),
            0
        ) +
        IFERROR(
            VLOOKUP($A41, INDIRECT("MayR!$A$6:$ZZ$1048576"), MATCH(N$1, MayR!$6:$6, 0), FALSE),
            0
        ) +
        IFERROR(
            VLOOKUP($A41, INDIRECT("JunR!$A$6:$ZZ$1048576"), MATCH(N$1, JunR!$6:$6, 0), FALSE),
            0
        ) +
        IFERROR(
            VLOOKUP($A41, INDIRECT("JulR!$A$6:$ZZ$1048576"), MATCH(N$1, JulR!$6:$6, 0), FALSE),
            0
        ) +
        IFERROR(
            VLOOKUP($A41, INDIRECT("AgoR!$A$6:$ZZ$1048576"), MATCH(N$1, AgoR!$6:$6, 0), FALSE),
            0
        ) +
        IFERROR(
            VLOOKUP($A41, INDIRECT("SepR!$A$6:$ZZ$1048576"), MATCH(N$1, SepR!$6:$6, 0), FALSE),
            0
        ) +
        IFERROR(
            VLOOKUP($A41, INDIRECT("OctR!$A$6:$ZZ$1048576"), MATCH(N$1, OctR!$6:$6, 0), FALSE),
            0
        ) +
        IFERROR(
            VLOOKUP($A41, INDIRECT("NovR!$A$6:$ZZ$1048576"), MATCH(N$1, NovR!$6:$6, 0), FALSE),
            0
        ) +
        IFERROR(
            VLOOKUP($A41, INDIRECT("DicR!$A$6:$ZZ$1048576"), MATCH(N$1, DicR!$6:$6, 0), FALSE),
            0
        )
)</f>
        <v>0</v>
      </c>
      <c r="O41" s="35">
        <f t="array" ref="O41">SUM(
    IFERROR(
            VLOOKUP($A41, INDIRECT("EneR!$A$6:$ZZ$1048576"), MATCH(O$1, EneR!$6:$6, 0), FALSE),
            0
        ) +
        IFERROR(
            VLOOKUP($A41, INDIRECT("FebR!$A$6:$ZZ$1048576"), MATCH(O$1, FebR!$6:$6, 0), FALSE),
            0
        ) +
        IFERROR(
            VLOOKUP($A41, INDIRECT("MarR!$A$6:$ZZ$1048576"), MATCH(O$1, MarR!$6:$6, 0), FALSE),
            0
        ) +
        IFERROR(
            VLOOKUP($A41, INDIRECT("AbrR!$A$6:$ZZ$1048576"), MATCH(O$1, AbrR!$6:$6, 0), FALSE),
            0
        ) +
        IFERROR(
            VLOOKUP($A41, INDIRECT("MayR!$A$6:$ZZ$1048576"), MATCH(O$1, MayR!$6:$6, 0), FALSE),
            0
        ) +
        IFERROR(
            VLOOKUP($A41, INDIRECT("JunR!$A$6:$ZZ$1048576"), MATCH(O$1, JunR!$6:$6, 0), FALSE),
            0
        ) +
        IFERROR(
            VLOOKUP($A41, INDIRECT("JulR!$A$6:$ZZ$1048576"), MATCH(O$1, JulR!$6:$6, 0), FALSE),
            0
        ) +
        IFERROR(
            VLOOKUP($A41, INDIRECT("AgoR!$A$6:$ZZ$1048576"), MATCH(O$1, AgoR!$6:$6, 0), FALSE),
            0
        ) +
        IFERROR(
            VLOOKUP($A41, INDIRECT("SepR!$A$6:$ZZ$1048576"), MATCH(O$1, SepR!$6:$6, 0), FALSE),
            0
        ) +
        IFERROR(
            VLOOKUP($A41, INDIRECT("OctR!$A$6:$ZZ$1048576"), MATCH(O$1, OctR!$6:$6, 0), FALSE),
            0
        ) +
        IFERROR(
            VLOOKUP($A41, INDIRECT("NovR!$A$6:$ZZ$1048576"), MATCH(O$1, NovR!$6:$6, 0), FALSE),
            0
        ) +
        IFERROR(
            VLOOKUP($A41, INDIRECT("DicR!$A$6:$ZZ$1048576"), MATCH(O$1, DicR!$6:$6, 0), FALSE),
            0
        )
)</f>
        <v>0</v>
      </c>
      <c r="P41" s="32">
        <f t="array" ref="P41">SUM(
    IFERROR(
            VLOOKUP($A41, INDIRECT("EneR!$A$6:$ZZ$1048576"), MATCH(P$1, EneR!$6:$6, 0), FALSE),
            0
        ) +
        IFERROR(
            VLOOKUP($A41, INDIRECT("FebR!$A$6:$ZZ$1048576"), MATCH(P$1, FebR!$6:$6, 0), FALSE),
            0
        ) +
        IFERROR(
            VLOOKUP($A41, INDIRECT("MarR!$A$6:$ZZ$1048576"), MATCH(P$1, MarR!$6:$6, 0), FALSE),
            0
        ) +
        IFERROR(
            VLOOKUP($A41, INDIRECT("AbrR!$A$6:$ZZ$1048576"), MATCH(P$1, AbrR!$6:$6, 0), FALSE),
            0
        ) +
        IFERROR(
            VLOOKUP($A41, INDIRECT("MayR!$A$6:$ZZ$1048576"), MATCH(P$1, MayR!$6:$6, 0), FALSE),
            0
        ) +
        IFERROR(
            VLOOKUP($A41, INDIRECT("JunR!$A$6:$ZZ$1048576"), MATCH(P$1, JunR!$6:$6, 0), FALSE),
            0
        ) +
        IFERROR(
            VLOOKUP($A41, INDIRECT("JulR!$A$6:$ZZ$1048576"), MATCH(P$1, JulR!$6:$6, 0), FALSE),
            0
        ) +
        IFERROR(
            VLOOKUP($A41, INDIRECT("AgoR!$A$6:$ZZ$1048576"), MATCH(P$1, AgoR!$6:$6, 0), FALSE),
            0
        ) +
        IFERROR(
            VLOOKUP($A41, INDIRECT("SepR!$A$6:$ZZ$1048576"), MATCH(P$1, SepR!$6:$6, 0), FALSE),
            0
        ) +
        IFERROR(
            VLOOKUP($A41, INDIRECT("OctR!$A$6:$ZZ$1048576"), MATCH(P$1, OctR!$6:$6, 0), FALSE),
            0
        ) +
        IFERROR(
            VLOOKUP($A41, INDIRECT("NovR!$A$6:$ZZ$1048576"), MATCH(P$1, NovR!$6:$6, 0), FALSE),
            0
        ) +
        IFERROR(
            VLOOKUP($A41, INDIRECT("DicR!$A$6:$ZZ$1048576"), MATCH(P$1, DicR!$6:$6, 0), FALSE),
            0
        )
)</f>
        <v>0</v>
      </c>
      <c r="Q41" s="35">
        <f t="array" ref="Q41">SUM(
    IFERROR(
            VLOOKUP($A41, INDIRECT("EneR!$A$6:$ZZ$1048576"), MATCH(Q$1, EneR!$6:$6, 0), FALSE),
            0
        ) +
        IFERROR(
            VLOOKUP($A41, INDIRECT("FebR!$A$6:$ZZ$1048576"), MATCH(Q$1, FebR!$6:$6, 0), FALSE),
            0
        ) +
        IFERROR(
            VLOOKUP($A41, INDIRECT("MarR!$A$6:$ZZ$1048576"), MATCH(Q$1, MarR!$6:$6, 0), FALSE),
            0
        ) +
        IFERROR(
            VLOOKUP($A41, INDIRECT("AbrR!$A$6:$ZZ$1048576"), MATCH(Q$1, AbrR!$6:$6, 0), FALSE),
            0
        ) +
        IFERROR(
            VLOOKUP($A41, INDIRECT("MayR!$A$6:$ZZ$1048576"), MATCH(Q$1, MayR!$6:$6, 0), FALSE),
            0
        ) +
        IFERROR(
            VLOOKUP($A41, INDIRECT("JunR!$A$6:$ZZ$1048576"), MATCH(Q$1, JunR!$6:$6, 0), FALSE),
            0
        ) +
        IFERROR(
            VLOOKUP($A41, INDIRECT("JulR!$A$6:$ZZ$1048576"), MATCH(Q$1, JulR!$6:$6, 0), FALSE),
            0
        ) +
        IFERROR(
            VLOOKUP($A41, INDIRECT("AgoR!$A$6:$ZZ$1048576"), MATCH(Q$1, AgoR!$6:$6, 0), FALSE),
            0
        ) +
        IFERROR(
            VLOOKUP($A41, INDIRECT("SepR!$A$6:$ZZ$1048576"), MATCH(Q$1, SepR!$6:$6, 0), FALSE),
            0
        ) +
        IFERROR(
            VLOOKUP($A41, INDIRECT("OctR!$A$6:$ZZ$1048576"), MATCH(Q$1, OctR!$6:$6, 0), FALSE),
            0
        ) +
        IFERROR(
            VLOOKUP($A41, INDIRECT("NovR!$A$6:$ZZ$1048576"), MATCH(Q$1, NovR!$6:$6, 0), FALSE),
            0
        ) +
        IFERROR(
            VLOOKUP($A41, INDIRECT("DicR!$A$6:$ZZ$1048576"), MATCH(Q$1, DicR!$6:$6, 0), FALSE),
            0
        )
)</f>
        <v>0</v>
      </c>
      <c r="R41" s="36">
        <f t="array" ref="R41">SUM(
    IFERROR(
            VLOOKUP($A41, INDIRECT("EneR!$A$6:$ZZ$1048576"), MATCH(R$1, EneR!$6:$6, 0), FALSE),
            0
        ) +
        IFERROR(
            VLOOKUP($A41, INDIRECT("FebR!$A$6:$ZZ$1048576"), MATCH(R$1, FebR!$6:$6, 0), FALSE),
            0
        ) +
        IFERROR(
            VLOOKUP($A41, INDIRECT("MarR!$A$6:$ZZ$1048576"), MATCH(R$1, MarR!$6:$6, 0), FALSE),
            0
        ) +
        IFERROR(
            VLOOKUP($A41, INDIRECT("AbrR!$A$6:$ZZ$1048576"), MATCH(R$1, AbrR!$6:$6, 0), FALSE),
            0
        ) +
        IFERROR(
            VLOOKUP($A41, INDIRECT("MayR!$A$6:$ZZ$1048576"), MATCH(R$1, MayR!$6:$6, 0), FALSE),
            0
        ) +
        IFERROR(
            VLOOKUP($A41, INDIRECT("JunR!$A$6:$ZZ$1048576"), MATCH(R$1, JunR!$6:$6, 0), FALSE),
            0
        ) +
        IFERROR(
            VLOOKUP($A41, INDIRECT("JulR!$A$6:$ZZ$1048576"), MATCH(R$1, JulR!$6:$6, 0), FALSE),
            0
        ) +
        IFERROR(
            VLOOKUP($A41, INDIRECT("AgoR!$A$6:$ZZ$1048576"), MATCH(R$1, AgoR!$6:$6, 0), FALSE),
            0
        ) +
        IFERROR(
            VLOOKUP($A41, INDIRECT("SepR!$A$6:$ZZ$1048576"), MATCH(R$1, SepR!$6:$6, 0), FALSE),
            0
        ) +
        IFERROR(
            VLOOKUP($A41, INDIRECT("OctR!$A$6:$ZZ$1048576"), MATCH(R$1, OctR!$6:$6, 0), FALSE),
            0
        ) +
        IFERROR(
            VLOOKUP($A41, INDIRECT("NovR!$A$6:$ZZ$1048576"), MATCH(R$1, NovR!$6:$6, 0), FALSE),
            0
        ) +
        IFERROR(
            VLOOKUP($A41, INDIRECT("DicR!$A$6:$ZZ$1048576"), MATCH(R$1, DicR!$6:$6, 0), FALSE),
            0
        )
)</f>
        <v>0</v>
      </c>
      <c r="S41" s="37">
        <f t="array" ref="S41">SUM(
    IFERROR(
            VLOOKUP($A41, INDIRECT("EneR!$A$6:$ZZ$1048576"), MATCH(S$1, EneR!$6:$6, 0), FALSE),
            0
        ) +
        IFERROR(
            VLOOKUP($A41, INDIRECT("FebR!$A$6:$ZZ$1048576"), MATCH(S$1, FebR!$6:$6, 0), FALSE),
            0
        ) +
        IFERROR(
            VLOOKUP($A41, INDIRECT("MarR!$A$6:$ZZ$1048576"), MATCH(S$1, MarR!$6:$6, 0), FALSE),
            0
        ) +
        IFERROR(
            VLOOKUP($A41, INDIRECT("AbrR!$A$6:$ZZ$1048576"), MATCH(S$1, AbrR!$6:$6, 0), FALSE),
            0
        ) +
        IFERROR(
            VLOOKUP($A41, INDIRECT("MayR!$A$6:$ZZ$1048576"), MATCH(S$1, MayR!$6:$6, 0), FALSE),
            0
        ) +
        IFERROR(
            VLOOKUP($A41, INDIRECT("JunR!$A$6:$ZZ$1048576"), MATCH(S$1, JunR!$6:$6, 0), FALSE),
            0
        ) +
        IFERROR(
            VLOOKUP($A41, INDIRECT("JulR!$A$6:$ZZ$1048576"), MATCH(S$1, JulR!$6:$6, 0), FALSE),
            0
        ) +
        IFERROR(
            VLOOKUP($A41, INDIRECT("AgoR!$A$6:$ZZ$1048576"), MATCH(S$1, AgoR!$6:$6, 0), FALSE),
            0
        ) +
        IFERROR(
            VLOOKUP($A41, INDIRECT("SepR!$A$6:$ZZ$1048576"), MATCH(S$1, SepR!$6:$6, 0), FALSE),
            0
        ) +
        IFERROR(
            VLOOKUP($A41, INDIRECT("OctR!$A$6:$ZZ$1048576"), MATCH(S$1, OctR!$6:$6, 0), FALSE),
            0
        ) +
        IFERROR(
            VLOOKUP($A41, INDIRECT("NovR!$A$6:$ZZ$1048576"), MATCH(S$1, NovR!$6:$6, 0), FALSE),
            0
        ) +
        IFERROR(
            VLOOKUP($A41, INDIRECT("DicR!$A$6:$ZZ$1048576"), MATCH(S$1, DicR!$6:$6, 0), FALSE),
            0
        )
)</f>
        <v>0</v>
      </c>
      <c r="T41" s="36">
        <f t="array" ref="T41">SUM(
    IFERROR(
            VLOOKUP($A41, INDIRECT("EneR!$A$6:$ZZ$1048576"), MATCH(T$1, EneR!$6:$6, 0), FALSE),
            0
        ) +
        IFERROR(
            VLOOKUP($A41, INDIRECT("FebR!$A$6:$ZZ$1048576"), MATCH(T$1, FebR!$6:$6, 0), FALSE),
            0
        ) +
        IFERROR(
            VLOOKUP($A41, INDIRECT("MarR!$A$6:$ZZ$1048576"), MATCH(T$1, MarR!$6:$6, 0), FALSE),
            0
        ) +
        IFERROR(
            VLOOKUP($A41, INDIRECT("AbrR!$A$6:$ZZ$1048576"), MATCH(T$1, AbrR!$6:$6, 0), FALSE),
            0
        ) +
        IFERROR(
            VLOOKUP($A41, INDIRECT("MayR!$A$6:$ZZ$1048576"), MATCH(T$1, MayR!$6:$6, 0), FALSE),
            0
        ) +
        IFERROR(
            VLOOKUP($A41, INDIRECT("JunR!$A$6:$ZZ$1048576"), MATCH(T$1, JunR!$6:$6, 0), FALSE),
            0
        ) +
        IFERROR(
            VLOOKUP($A41, INDIRECT("JulR!$A$6:$ZZ$1048576"), MATCH(T$1, JulR!$6:$6, 0), FALSE),
            0
        ) +
        IFERROR(
            VLOOKUP($A41, INDIRECT("AgoR!$A$6:$ZZ$1048576"), MATCH(T$1, AgoR!$6:$6, 0), FALSE),
            0
        ) +
        IFERROR(
            VLOOKUP($A41, INDIRECT("SepR!$A$6:$ZZ$1048576"), MATCH(T$1, SepR!$6:$6, 0), FALSE),
            0
        ) +
        IFERROR(
            VLOOKUP($A41, INDIRECT("OctR!$A$6:$ZZ$1048576"), MATCH(T$1, OctR!$6:$6, 0), FALSE),
            0
        ) +
        IFERROR(
            VLOOKUP($A41, INDIRECT("NovR!$A$6:$ZZ$1048576"), MATCH(T$1, NovR!$6:$6, 0), FALSE),
            0
        ) +
        IFERROR(
            VLOOKUP($A41, INDIRECT("DicR!$A$6:$ZZ$1048576"), MATCH(T$1, DicR!$6:$6, 0), FALSE),
            0
        )
)</f>
        <v>0</v>
      </c>
      <c r="U41" s="37">
        <f t="array" ref="U41">SUM(
    IFERROR(
            VLOOKUP($A41, INDIRECT("EneR!$A$6:$ZZ$1048576"), MATCH(U$1, EneR!$6:$6, 0), FALSE),
            0
        ) +
        IFERROR(
            VLOOKUP($A41, INDIRECT("FebR!$A$6:$ZZ$1048576"), MATCH(U$1, FebR!$6:$6, 0), FALSE),
            0
        ) +
        IFERROR(
            VLOOKUP($A41, INDIRECT("MarR!$A$6:$ZZ$1048576"), MATCH(U$1, MarR!$6:$6, 0), FALSE),
            0
        ) +
        IFERROR(
            VLOOKUP($A41, INDIRECT("AbrR!$A$6:$ZZ$1048576"), MATCH(U$1, AbrR!$6:$6, 0), FALSE),
            0
        ) +
        IFERROR(
            VLOOKUP($A41, INDIRECT("MayR!$A$6:$ZZ$1048576"), MATCH(U$1, MayR!$6:$6, 0), FALSE),
            0
        ) +
        IFERROR(
            VLOOKUP($A41, INDIRECT("JunR!$A$6:$ZZ$1048576"), MATCH(U$1, JunR!$6:$6, 0), FALSE),
            0
        ) +
        IFERROR(
            VLOOKUP($A41, INDIRECT("JulR!$A$6:$ZZ$1048576"), MATCH(U$1, JulR!$6:$6, 0), FALSE),
            0
        ) +
        IFERROR(
            VLOOKUP($A41, INDIRECT("AgoR!$A$6:$ZZ$1048576"), MATCH(U$1, AgoR!$6:$6, 0), FALSE),
            0
        ) +
        IFERROR(
            VLOOKUP($A41, INDIRECT("SepR!$A$6:$ZZ$1048576"), MATCH(U$1, SepR!$6:$6, 0), FALSE),
            0
        ) +
        IFERROR(
            VLOOKUP($A41, INDIRECT("OctR!$A$6:$ZZ$1048576"), MATCH(U$1, OctR!$6:$6, 0), FALSE),
            0
        ) +
        IFERROR(
            VLOOKUP($A41, INDIRECT("NovR!$A$6:$ZZ$1048576"), MATCH(U$1, NovR!$6:$6, 0), FALSE),
            0
        ) +
        IFERROR(
            VLOOKUP($A41, INDIRECT("DicR!$A$6:$ZZ$1048576"), MATCH(U$1, DicR!$6:$6, 0), FALSE),
            0
        )
)</f>
        <v>0</v>
      </c>
      <c r="V41" s="36">
        <f t="array" ref="V41">SUM(
    IFERROR(
            VLOOKUP($A41, INDIRECT("EneR!$A$6:$ZZ$1048576"), MATCH(V$1, EneR!$6:$6, 0), FALSE),
            0
        ) +
        IFERROR(
            VLOOKUP($A41, INDIRECT("FebR!$A$6:$ZZ$1048576"), MATCH(V$1, FebR!$6:$6, 0), FALSE),
            0
        ) +
        IFERROR(
            VLOOKUP($A41, INDIRECT("MarR!$A$6:$ZZ$1048576"), MATCH(V$1, MarR!$6:$6, 0), FALSE),
            0
        ) +
        IFERROR(
            VLOOKUP($A41, INDIRECT("AbrR!$A$6:$ZZ$1048576"), MATCH(V$1, AbrR!$6:$6, 0), FALSE),
            0
        ) +
        IFERROR(
            VLOOKUP($A41, INDIRECT("MayR!$A$6:$ZZ$1048576"), MATCH(V$1, MayR!$6:$6, 0), FALSE),
            0
        ) +
        IFERROR(
            VLOOKUP($A41, INDIRECT("JunR!$A$6:$ZZ$1048576"), MATCH(V$1, JunR!$6:$6, 0), FALSE),
            0
        ) +
        IFERROR(
            VLOOKUP($A41, INDIRECT("JulR!$A$6:$ZZ$1048576"), MATCH(V$1, JulR!$6:$6, 0), FALSE),
            0
        ) +
        IFERROR(
            VLOOKUP($A41, INDIRECT("AgoR!$A$6:$ZZ$1048576"), MATCH(V$1, AgoR!$6:$6, 0), FALSE),
            0
        ) +
        IFERROR(
            VLOOKUP($A41, INDIRECT("SepR!$A$6:$ZZ$1048576"), MATCH(V$1, SepR!$6:$6, 0), FALSE),
            0
        ) +
        IFERROR(
            VLOOKUP($A41, INDIRECT("OctR!$A$6:$ZZ$1048576"), MATCH(V$1, OctR!$6:$6, 0), FALSE),
            0
        ) +
        IFERROR(
            VLOOKUP($A41, INDIRECT("NovR!$A$6:$ZZ$1048576"), MATCH(V$1, NovR!$6:$6, 0), FALSE),
            0
        ) +
        IFERROR(
            VLOOKUP($A41, INDIRECT("DicR!$A$6:$ZZ$1048576"), MATCH(V$1, DicR!$6:$6, 0), FALSE),
            0
        )
)</f>
        <v>0</v>
      </c>
      <c r="W41" s="37">
        <f t="array" ref="W41">SUM(
    IFERROR(
            VLOOKUP($A41, INDIRECT("EneR!$A$6:$ZZ$1048576"), MATCH(W$1, EneR!$6:$6, 0), FALSE),
            0
        ) +
        IFERROR(
            VLOOKUP($A41, INDIRECT("FebR!$A$6:$ZZ$1048576"), MATCH(W$1, FebR!$6:$6, 0), FALSE),
            0
        ) +
        IFERROR(
            VLOOKUP($A41, INDIRECT("MarR!$A$6:$ZZ$1048576"), MATCH(W$1, MarR!$6:$6, 0), FALSE),
            0
        ) +
        IFERROR(
            VLOOKUP($A41, INDIRECT("AbrR!$A$6:$ZZ$1048576"), MATCH(W$1, AbrR!$6:$6, 0), FALSE),
            0
        ) +
        IFERROR(
            VLOOKUP($A41, INDIRECT("MayR!$A$6:$ZZ$1048576"), MATCH(W$1, MayR!$6:$6, 0), FALSE),
            0
        ) +
        IFERROR(
            VLOOKUP($A41, INDIRECT("JunR!$A$6:$ZZ$1048576"), MATCH(W$1, JunR!$6:$6, 0), FALSE),
            0
        ) +
        IFERROR(
            VLOOKUP($A41, INDIRECT("JulR!$A$6:$ZZ$1048576"), MATCH(W$1, JulR!$6:$6, 0), FALSE),
            0
        ) +
        IFERROR(
            VLOOKUP($A41, INDIRECT("AgoR!$A$6:$ZZ$1048576"), MATCH(W$1, AgoR!$6:$6, 0), FALSE),
            0
        ) +
        IFERROR(
            VLOOKUP($A41, INDIRECT("SepR!$A$6:$ZZ$1048576"), MATCH(W$1, SepR!$6:$6, 0), FALSE),
            0
        ) +
        IFERROR(
            VLOOKUP($A41, INDIRECT("OctR!$A$6:$ZZ$1048576"), MATCH(W$1, OctR!$6:$6, 0), FALSE),
            0
        ) +
        IFERROR(
            VLOOKUP($A41, INDIRECT("NovR!$A$6:$ZZ$1048576"), MATCH(W$1, NovR!$6:$6, 0), FALSE),
            0
        ) +
        IFERROR(
            VLOOKUP($A41, INDIRECT("DicR!$A$6:$ZZ$1048576"), MATCH(W$1, DicR!$6:$6, 0), FALSE),
            0
        )
)</f>
        <v>0</v>
      </c>
      <c r="X41" s="36">
        <f t="array" ref="X41">SUM(
    IFERROR(
            VLOOKUP($A41, INDIRECT("EneR!$A$6:$ZZ$1048576"), MATCH(X$1, EneR!$6:$6, 0), FALSE),
            0
        ) +
        IFERROR(
            VLOOKUP($A41, INDIRECT("FebR!$A$6:$ZZ$1048576"), MATCH(X$1, FebR!$6:$6, 0), FALSE),
            0
        ) +
        IFERROR(
            VLOOKUP($A41, INDIRECT("MarR!$A$6:$ZZ$1048576"), MATCH(X$1, MarR!$6:$6, 0), FALSE),
            0
        ) +
        IFERROR(
            VLOOKUP($A41, INDIRECT("AbrR!$A$6:$ZZ$1048576"), MATCH(X$1, AbrR!$6:$6, 0), FALSE),
            0
        ) +
        IFERROR(
            VLOOKUP($A41, INDIRECT("MayR!$A$6:$ZZ$1048576"), MATCH(X$1, MayR!$6:$6, 0), FALSE),
            0
        ) +
        IFERROR(
            VLOOKUP($A41, INDIRECT("JunR!$A$6:$ZZ$1048576"), MATCH(X$1, JunR!$6:$6, 0), FALSE),
            0
        ) +
        IFERROR(
            VLOOKUP($A41, INDIRECT("JulR!$A$6:$ZZ$1048576"), MATCH(X$1, JulR!$6:$6, 0), FALSE),
            0
        ) +
        IFERROR(
            VLOOKUP($A41, INDIRECT("AgoR!$A$6:$ZZ$1048576"), MATCH(X$1, AgoR!$6:$6, 0), FALSE),
            0
        ) +
        IFERROR(
            VLOOKUP($A41, INDIRECT("SepR!$A$6:$ZZ$1048576"), MATCH(X$1, SepR!$6:$6, 0), FALSE),
            0
        ) +
        IFERROR(
            VLOOKUP($A41, INDIRECT("OctR!$A$6:$ZZ$1048576"), MATCH(X$1, OctR!$6:$6, 0), FALSE),
            0
        ) +
        IFERROR(
            VLOOKUP($A41, INDIRECT("NovR!$A$6:$ZZ$1048576"), MATCH(X$1, NovR!$6:$6, 0), FALSE),
            0
        ) +
        IFERROR(
            VLOOKUP($A41, INDIRECT("DicR!$A$6:$ZZ$1048576"), MATCH(X$1, DicR!$6:$6, 0), FALSE),
            0
        )
)</f>
        <v>0</v>
      </c>
      <c r="Y41" s="37">
        <f t="array" ref="Y41">SUM(
    IFERROR(
            VLOOKUP($A41, INDIRECT("EneR!$A$6:$ZZ$1048576"), MATCH(Y$1, EneR!$6:$6, 0), FALSE),
            0
        ) +
        IFERROR(
            VLOOKUP($A41, INDIRECT("FebR!$A$6:$ZZ$1048576"), MATCH(Y$1, FebR!$6:$6, 0), FALSE),
            0
        ) +
        IFERROR(
            VLOOKUP($A41, INDIRECT("MarR!$A$6:$ZZ$1048576"), MATCH(Y$1, MarR!$6:$6, 0), FALSE),
            0
        ) +
        IFERROR(
            VLOOKUP($A41, INDIRECT("AbrR!$A$6:$ZZ$1048576"), MATCH(Y$1, AbrR!$6:$6, 0), FALSE),
            0
        ) +
        IFERROR(
            VLOOKUP($A41, INDIRECT("MayR!$A$6:$ZZ$1048576"), MATCH(Y$1, MayR!$6:$6, 0), FALSE),
            0
        ) +
        IFERROR(
            VLOOKUP($A41, INDIRECT("JunR!$A$6:$ZZ$1048576"), MATCH(Y$1, JunR!$6:$6, 0), FALSE),
            0
        ) +
        IFERROR(
            VLOOKUP($A41, INDIRECT("JulR!$A$6:$ZZ$1048576"), MATCH(Y$1, JulR!$6:$6, 0), FALSE),
            0
        ) +
        IFERROR(
            VLOOKUP($A41, INDIRECT("AgoR!$A$6:$ZZ$1048576"), MATCH(Y$1, AgoR!$6:$6, 0), FALSE),
            0
        ) +
        IFERROR(
            VLOOKUP($A41, INDIRECT("SepR!$A$6:$ZZ$1048576"), MATCH(Y$1, SepR!$6:$6, 0), FALSE),
            0
        ) +
        IFERROR(
            VLOOKUP($A41, INDIRECT("OctR!$A$6:$ZZ$1048576"), MATCH(Y$1, OctR!$6:$6, 0), FALSE),
            0
        ) +
        IFERROR(
            VLOOKUP($A41, INDIRECT("NovR!$A$6:$ZZ$1048576"), MATCH(Y$1, NovR!$6:$6, 0), FALSE),
            0
        ) +
        IFERROR(
            VLOOKUP($A41, INDIRECT("DicR!$A$6:$ZZ$1048576"), MATCH(Y$1, DicR!$6:$6, 0), FALSE),
            0
        )
)</f>
        <v>0</v>
      </c>
      <c r="Z41" s="36">
        <f t="array" ref="Z41">SUM(
    IFERROR(
            VLOOKUP($A41, INDIRECT("EneR!$A$6:$ZZ$1048576"), MATCH(Z$1, EneR!$6:$6, 0), FALSE),
            0
        ) +
        IFERROR(
            VLOOKUP($A41, INDIRECT("FebR!$A$6:$ZZ$1048576"), MATCH(Z$1, FebR!$6:$6, 0), FALSE),
            0
        ) +
        IFERROR(
            VLOOKUP($A41, INDIRECT("MarR!$A$6:$ZZ$1048576"), MATCH(Z$1, MarR!$6:$6, 0), FALSE),
            0
        ) +
        IFERROR(
            VLOOKUP($A41, INDIRECT("AbrR!$A$6:$ZZ$1048576"), MATCH(Z$1, AbrR!$6:$6, 0), FALSE),
            0
        ) +
        IFERROR(
            VLOOKUP($A41, INDIRECT("MayR!$A$6:$ZZ$1048576"), MATCH(Z$1, MayR!$6:$6, 0), FALSE),
            0
        ) +
        IFERROR(
            VLOOKUP($A41, INDIRECT("JunR!$A$6:$ZZ$1048576"), MATCH(Z$1, JunR!$6:$6, 0), FALSE),
            0
        ) +
        IFERROR(
            VLOOKUP($A41, INDIRECT("JulR!$A$6:$ZZ$1048576"), MATCH(Z$1, JulR!$6:$6, 0), FALSE),
            0
        ) +
        IFERROR(
            VLOOKUP($A41, INDIRECT("AgoR!$A$6:$ZZ$1048576"), MATCH(Z$1, AgoR!$6:$6, 0), FALSE),
            0
        ) +
        IFERROR(
            VLOOKUP($A41, INDIRECT("SepR!$A$6:$ZZ$1048576"), MATCH(Z$1, SepR!$6:$6, 0), FALSE),
            0
        ) +
        IFERROR(
            VLOOKUP($A41, INDIRECT("OctR!$A$6:$ZZ$1048576"), MATCH(Z$1, OctR!$6:$6, 0), FALSE),
            0
        ) +
        IFERROR(
            VLOOKUP($A41, INDIRECT("NovR!$A$6:$ZZ$1048576"), MATCH(Z$1, NovR!$6:$6, 0), FALSE),
            0
        ) +
        IFERROR(
            VLOOKUP($A41, INDIRECT("DicR!$A$6:$ZZ$1048576"), MATCH(Z$1, DicR!$6:$6, 0), FALSE),
            0
        )
)</f>
        <v>0</v>
      </c>
      <c r="AA41" s="37">
        <f t="array" ref="AA41">SUM(
    IFERROR(
            VLOOKUP($A41, INDIRECT("EneR!$A$6:$ZZ$1048576"), MATCH(AA$1, EneR!$6:$6, 0), FALSE),
            0
        ) +
        IFERROR(
            VLOOKUP($A41, INDIRECT("FebR!$A$6:$ZZ$1048576"), MATCH(AA$1, FebR!$6:$6, 0), FALSE),
            0
        ) +
        IFERROR(
            VLOOKUP($A41, INDIRECT("MarR!$A$6:$ZZ$1048576"), MATCH(AA$1, MarR!$6:$6, 0), FALSE),
            0
        ) +
        IFERROR(
            VLOOKUP($A41, INDIRECT("AbrR!$A$6:$ZZ$1048576"), MATCH(AA$1, AbrR!$6:$6, 0), FALSE),
            0
        ) +
        IFERROR(
            VLOOKUP($A41, INDIRECT("MayR!$A$6:$ZZ$1048576"), MATCH(AA$1, MayR!$6:$6, 0), FALSE),
            0
        ) +
        IFERROR(
            VLOOKUP($A41, INDIRECT("JunR!$A$6:$ZZ$1048576"), MATCH(AA$1, JunR!$6:$6, 0), FALSE),
            0
        ) +
        IFERROR(
            VLOOKUP($A41, INDIRECT("JulR!$A$6:$ZZ$1048576"), MATCH(AA$1, JulR!$6:$6, 0), FALSE),
            0
        ) +
        IFERROR(
            VLOOKUP($A41, INDIRECT("AgoR!$A$6:$ZZ$1048576"), MATCH(AA$1, AgoR!$6:$6, 0), FALSE),
            0
        ) +
        IFERROR(
            VLOOKUP($A41, INDIRECT("SepR!$A$6:$ZZ$1048576"), MATCH(AA$1, SepR!$6:$6, 0), FALSE),
            0
        ) +
        IFERROR(
            VLOOKUP($A41, INDIRECT("OctR!$A$6:$ZZ$1048576"), MATCH(AA$1, OctR!$6:$6, 0), FALSE),
            0
        ) +
        IFERROR(
            VLOOKUP($A41, INDIRECT("NovR!$A$6:$ZZ$1048576"), MATCH(AA$1, NovR!$6:$6, 0), FALSE),
            0
        ) +
        IFERROR(
            VLOOKUP($A41, INDIRECT("DicR!$A$6:$ZZ$1048576"), MATCH(AA$1, DicR!$6:$6, 0), FALSE),
            0
        )
)</f>
        <v>0</v>
      </c>
      <c r="AB41" s="36">
        <f t="array" ref="AB41">SUM(
    IFERROR(
            VLOOKUP($A41, INDIRECT("EneR!$A$6:$ZZ$1048576"), MATCH(AB$1, EneR!$6:$6, 0), FALSE),
            0
        ) +
        IFERROR(
            VLOOKUP($A41, INDIRECT("FebR!$A$6:$ZZ$1048576"), MATCH(AB$1, FebR!$6:$6, 0), FALSE),
            0
        ) +
        IFERROR(
            VLOOKUP($A41, INDIRECT("MarR!$A$6:$ZZ$1048576"), MATCH(AB$1, MarR!$6:$6, 0), FALSE),
            0
        ) +
        IFERROR(
            VLOOKUP($A41, INDIRECT("AbrR!$A$6:$ZZ$1048576"), MATCH(AB$1, AbrR!$6:$6, 0), FALSE),
            0
        ) +
        IFERROR(
            VLOOKUP($A41, INDIRECT("MayR!$A$6:$ZZ$1048576"), MATCH(AB$1, MayR!$6:$6, 0), FALSE),
            0
        ) +
        IFERROR(
            VLOOKUP($A41, INDIRECT("JunR!$A$6:$ZZ$1048576"), MATCH(AB$1, JunR!$6:$6, 0), FALSE),
            0
        ) +
        IFERROR(
            VLOOKUP($A41, INDIRECT("JulR!$A$6:$ZZ$1048576"), MATCH(AB$1, JulR!$6:$6, 0), FALSE),
            0
        ) +
        IFERROR(
            VLOOKUP($A41, INDIRECT("AgoR!$A$6:$ZZ$1048576"), MATCH(AB$1, AgoR!$6:$6, 0), FALSE),
            0
        ) +
        IFERROR(
            VLOOKUP($A41, INDIRECT("SepR!$A$6:$ZZ$1048576"), MATCH(AB$1, SepR!$6:$6, 0), FALSE),
            0
        ) +
        IFERROR(
            VLOOKUP($A41, INDIRECT("OctR!$A$6:$ZZ$1048576"), MATCH(AB$1, OctR!$6:$6, 0), FALSE),
            0
        ) +
        IFERROR(
            VLOOKUP($A41, INDIRECT("NovR!$A$6:$ZZ$1048576"), MATCH(AB$1, NovR!$6:$6, 0), FALSE),
            0
        ) +
        IFERROR(
            VLOOKUP($A41, INDIRECT("DicR!$A$6:$ZZ$1048576"), MATCH(AB$1, DicR!$6:$6, 0), FALSE),
            0
        )
)</f>
        <v>0</v>
      </c>
      <c r="AC41" s="37">
        <f t="array" ref="AC41">SUM(
    IFERROR(
            VLOOKUP($A41, INDIRECT("EneR!$A$6:$ZZ$1048576"), MATCH(AC$1, EneR!$6:$6, 0), FALSE),
            0
        ) +
        IFERROR(
            VLOOKUP($A41, INDIRECT("FebR!$A$6:$ZZ$1048576"), MATCH(AC$1, FebR!$6:$6, 0), FALSE),
            0
        ) +
        IFERROR(
            VLOOKUP($A41, INDIRECT("MarR!$A$6:$ZZ$1048576"), MATCH(AC$1, MarR!$6:$6, 0), FALSE),
            0
        ) +
        IFERROR(
            VLOOKUP($A41, INDIRECT("AbrR!$A$6:$ZZ$1048576"), MATCH(AC$1, AbrR!$6:$6, 0), FALSE),
            0
        ) +
        IFERROR(
            VLOOKUP($A41, INDIRECT("MayR!$A$6:$ZZ$1048576"), MATCH(AC$1, MayR!$6:$6, 0), FALSE),
            0
        ) +
        IFERROR(
            VLOOKUP($A41, INDIRECT("JunR!$A$6:$ZZ$1048576"), MATCH(AC$1, JunR!$6:$6, 0), FALSE),
            0
        ) +
        IFERROR(
            VLOOKUP($A41, INDIRECT("JulR!$A$6:$ZZ$1048576"), MATCH(AC$1, JulR!$6:$6, 0), FALSE),
            0
        ) +
        IFERROR(
            VLOOKUP($A41, INDIRECT("AgoR!$A$6:$ZZ$1048576"), MATCH(AC$1, AgoR!$6:$6, 0), FALSE),
            0
        ) +
        IFERROR(
            VLOOKUP($A41, INDIRECT("SepR!$A$6:$ZZ$1048576"), MATCH(AC$1, SepR!$6:$6, 0), FALSE),
            0
        ) +
        IFERROR(
            VLOOKUP($A41, INDIRECT("OctR!$A$6:$ZZ$1048576"), MATCH(AC$1, OctR!$6:$6, 0), FALSE),
            0
        ) +
        IFERROR(
            VLOOKUP($A41, INDIRECT("NovR!$A$6:$ZZ$1048576"), MATCH(AC$1, NovR!$6:$6, 0), FALSE),
            0
        ) +
        IFERROR(
            VLOOKUP($A41, INDIRECT("DicR!$A$6:$ZZ$1048576"), MATCH(AC$1, DicR!$6:$6, 0), FALSE),
            0
        )
)</f>
        <v>0</v>
      </c>
      <c r="AD41" s="36">
        <f t="array" ref="AD41">SUM(
    IFERROR(
            VLOOKUP($A41, INDIRECT("EneR!$A$6:$ZZ$1048576"), MATCH(AD$1, EneR!$6:$6, 0), FALSE),
            0
        ) +
        IFERROR(
            VLOOKUP($A41, INDIRECT("FebR!$A$6:$ZZ$1048576"), MATCH(AD$1, FebR!$6:$6, 0), FALSE),
            0
        ) +
        IFERROR(
            VLOOKUP($A41, INDIRECT("MarR!$A$6:$ZZ$1048576"), MATCH(AD$1, MarR!$6:$6, 0), FALSE),
            0
        ) +
        IFERROR(
            VLOOKUP($A41, INDIRECT("AbrR!$A$6:$ZZ$1048576"), MATCH(AD$1, AbrR!$6:$6, 0), FALSE),
            0
        ) +
        IFERROR(
            VLOOKUP($A41, INDIRECT("MayR!$A$6:$ZZ$1048576"), MATCH(AD$1, MayR!$6:$6, 0), FALSE),
            0
        ) +
        IFERROR(
            VLOOKUP($A41, INDIRECT("JunR!$A$6:$ZZ$1048576"), MATCH(AD$1, JunR!$6:$6, 0), FALSE),
            0
        ) +
        IFERROR(
            VLOOKUP($A41, INDIRECT("JulR!$A$6:$ZZ$1048576"), MATCH(AD$1, JulR!$6:$6, 0), FALSE),
            0
        ) +
        IFERROR(
            VLOOKUP($A41, INDIRECT("AgoR!$A$6:$ZZ$1048576"), MATCH(AD$1, AgoR!$6:$6, 0), FALSE),
            0
        ) +
        IFERROR(
            VLOOKUP($A41, INDIRECT("SepR!$A$6:$ZZ$1048576"), MATCH(AD$1, SepR!$6:$6, 0), FALSE),
            0
        ) +
        IFERROR(
            VLOOKUP($A41, INDIRECT("OctR!$A$6:$ZZ$1048576"), MATCH(AD$1, OctR!$6:$6, 0), FALSE),
            0
        ) +
        IFERROR(
            VLOOKUP($A41, INDIRECT("NovR!$A$6:$ZZ$1048576"), MATCH(AD$1, NovR!$6:$6, 0), FALSE),
            0
        ) +
        IFERROR(
            VLOOKUP($A41, INDIRECT("DicR!$A$6:$ZZ$1048576"), MATCH(AD$1, DicR!$6:$6, 0), FALSE),
            0
        )
)</f>
        <v>0</v>
      </c>
      <c r="AE41" s="37">
        <f t="array" ref="AE41">SUM(
    IFERROR(
            VLOOKUP($A41, INDIRECT("EneR!$A$6:$ZZ$1048576"), MATCH(AE$1, EneR!$6:$6, 0), FALSE),
            0
        ) +
        IFERROR(
            VLOOKUP($A41, INDIRECT("FebR!$A$6:$ZZ$1048576"), MATCH(AE$1, FebR!$6:$6, 0), FALSE),
            0
        ) +
        IFERROR(
            VLOOKUP($A41, INDIRECT("MarR!$A$6:$ZZ$1048576"), MATCH(AE$1, MarR!$6:$6, 0), FALSE),
            0
        ) +
        IFERROR(
            VLOOKUP($A41, INDIRECT("AbrR!$A$6:$ZZ$1048576"), MATCH(AE$1, AbrR!$6:$6, 0), FALSE),
            0
        ) +
        IFERROR(
            VLOOKUP($A41, INDIRECT("MayR!$A$6:$ZZ$1048576"), MATCH(AE$1, MayR!$6:$6, 0), FALSE),
            0
        ) +
        IFERROR(
            VLOOKUP($A41, INDIRECT("JunR!$A$6:$ZZ$1048576"), MATCH(AE$1, JunR!$6:$6, 0), FALSE),
            0
        ) +
        IFERROR(
            VLOOKUP($A41, INDIRECT("JulR!$A$6:$ZZ$1048576"), MATCH(AE$1, JulR!$6:$6, 0), FALSE),
            0
        ) +
        IFERROR(
            VLOOKUP($A41, INDIRECT("AgoR!$A$6:$ZZ$1048576"), MATCH(AE$1, AgoR!$6:$6, 0), FALSE),
            0
        ) +
        IFERROR(
            VLOOKUP($A41, INDIRECT("SepR!$A$6:$ZZ$1048576"), MATCH(AE$1, SepR!$6:$6, 0), FALSE),
            0
        ) +
        IFERROR(
            VLOOKUP($A41, INDIRECT("OctR!$A$6:$ZZ$1048576"), MATCH(AE$1, OctR!$6:$6, 0), FALSE),
            0
        ) +
        IFERROR(
            VLOOKUP($A41, INDIRECT("NovR!$A$6:$ZZ$1048576"), MATCH(AE$1, NovR!$6:$6, 0), FALSE),
            0
        ) +
        IFERROR(
            VLOOKUP($A41, INDIRECT("DicR!$A$6:$ZZ$1048576"), MATCH(AE$1, DicR!$6:$6, 0), FALSE),
            0
        )
)</f>
        <v>0</v>
      </c>
      <c r="AF41" s="36">
        <f t="array" ref="AF41">SUM(
    IFERROR(
            VLOOKUP($A41, INDIRECT("EneR!$A$6:$ZZ$1048576"), MATCH(AF$1, EneR!$6:$6, 0), FALSE),
            0
        ) +
        IFERROR(
            VLOOKUP($A41, INDIRECT("FebR!$A$6:$ZZ$1048576"), MATCH(AF$1, FebR!$6:$6, 0), FALSE),
            0
        ) +
        IFERROR(
            VLOOKUP($A41, INDIRECT("MarR!$A$6:$ZZ$1048576"), MATCH(AF$1, MarR!$6:$6, 0), FALSE),
            0
        ) +
        IFERROR(
            VLOOKUP($A41, INDIRECT("AbrR!$A$6:$ZZ$1048576"), MATCH(AF$1, AbrR!$6:$6, 0), FALSE),
            0
        ) +
        IFERROR(
            VLOOKUP($A41, INDIRECT("MayR!$A$6:$ZZ$1048576"), MATCH(AF$1, MayR!$6:$6, 0), FALSE),
            0
        ) +
        IFERROR(
            VLOOKUP($A41, INDIRECT("JunR!$A$6:$ZZ$1048576"), MATCH(AF$1, JunR!$6:$6, 0), FALSE),
            0
        ) +
        IFERROR(
            VLOOKUP($A41, INDIRECT("JulR!$A$6:$ZZ$1048576"), MATCH(AF$1, JulR!$6:$6, 0), FALSE),
            0
        ) +
        IFERROR(
            VLOOKUP($A41, INDIRECT("AgoR!$A$6:$ZZ$1048576"), MATCH(AF$1, AgoR!$6:$6, 0), FALSE),
            0
        ) +
        IFERROR(
            VLOOKUP($A41, INDIRECT("SepR!$A$6:$ZZ$1048576"), MATCH(AF$1, SepR!$6:$6, 0), FALSE),
            0
        ) +
        IFERROR(
            VLOOKUP($A41, INDIRECT("OctR!$A$6:$ZZ$1048576"), MATCH(AF$1, OctR!$6:$6, 0), FALSE),
            0
        ) +
        IFERROR(
            VLOOKUP($A41, INDIRECT("NovR!$A$6:$ZZ$1048576"), MATCH(AF$1, NovR!$6:$6, 0), FALSE),
            0
        ) +
        IFERROR(
            VLOOKUP($A41, INDIRECT("DicR!$A$6:$ZZ$1048576"), MATCH(AF$1, DicR!$6:$6, 0), FALSE),
            0
        )
)</f>
        <v>0</v>
      </c>
      <c r="AG41" s="37">
        <f t="array" ref="AG41">SUM(
    IFERROR(
            VLOOKUP($A41, INDIRECT("EneR!$A$6:$ZZ$1048576"), MATCH(AG$1, EneR!$6:$6, 0), FALSE),
            0
        ) +
        IFERROR(
            VLOOKUP($A41, INDIRECT("FebR!$A$6:$ZZ$1048576"), MATCH(AG$1, FebR!$6:$6, 0), FALSE),
            0
        ) +
        IFERROR(
            VLOOKUP($A41, INDIRECT("MarR!$A$6:$ZZ$1048576"), MATCH(AG$1, MarR!$6:$6, 0), FALSE),
            0
        ) +
        IFERROR(
            VLOOKUP($A41, INDIRECT("AbrR!$A$6:$ZZ$1048576"), MATCH(AG$1, AbrR!$6:$6, 0), FALSE),
            0
        ) +
        IFERROR(
            VLOOKUP($A41, INDIRECT("MayR!$A$6:$ZZ$1048576"), MATCH(AG$1, MayR!$6:$6, 0), FALSE),
            0
        ) +
        IFERROR(
            VLOOKUP($A41, INDIRECT("JunR!$A$6:$ZZ$1048576"), MATCH(AG$1, JunR!$6:$6, 0), FALSE),
            0
        ) +
        IFERROR(
            VLOOKUP($A41, INDIRECT("JulR!$A$6:$ZZ$1048576"), MATCH(AG$1, JulR!$6:$6, 0), FALSE),
            0
        ) +
        IFERROR(
            VLOOKUP($A41, INDIRECT("AgoR!$A$6:$ZZ$1048576"), MATCH(AG$1, AgoR!$6:$6, 0), FALSE),
            0
        ) +
        IFERROR(
            VLOOKUP($A41, INDIRECT("SepR!$A$6:$ZZ$1048576"), MATCH(AG$1, SepR!$6:$6, 0), FALSE),
            0
        ) +
        IFERROR(
            VLOOKUP($A41, INDIRECT("OctR!$A$6:$ZZ$1048576"), MATCH(AG$1, OctR!$6:$6, 0), FALSE),
            0
        ) +
        IFERROR(
            VLOOKUP($A41, INDIRECT("NovR!$A$6:$ZZ$1048576"), MATCH(AG$1, NovR!$6:$6, 0), FALSE),
            0
        ) +
        IFERROR(
            VLOOKUP($A41, INDIRECT("DicR!$A$6:$ZZ$1048576"), MATCH(AG$1, DicR!$6:$6, 0), FALSE),
            0
        )
)</f>
        <v>0</v>
      </c>
      <c r="AH41" s="36">
        <f t="array" ref="AH41">SUM(
    IFERROR(
            VLOOKUP($A41, INDIRECT("EneR!$A$6:$ZZ$1048576"), MATCH(AH$1, EneR!$6:$6, 0), FALSE),
            0
        ) +
        IFERROR(
            VLOOKUP($A41, INDIRECT("FebR!$A$6:$ZZ$1048576"), MATCH(AH$1, FebR!$6:$6, 0), FALSE),
            0
        ) +
        IFERROR(
            VLOOKUP($A41, INDIRECT("MarR!$A$6:$ZZ$1048576"), MATCH(AH$1, MarR!$6:$6, 0), FALSE),
            0
        ) +
        IFERROR(
            VLOOKUP($A41, INDIRECT("AbrR!$A$6:$ZZ$1048576"), MATCH(AH$1, AbrR!$6:$6, 0), FALSE),
            0
        ) +
        IFERROR(
            VLOOKUP($A41, INDIRECT("MayR!$A$6:$ZZ$1048576"), MATCH(AH$1, MayR!$6:$6, 0), FALSE),
            0
        ) +
        IFERROR(
            VLOOKUP($A41, INDIRECT("JunR!$A$6:$ZZ$1048576"), MATCH(AH$1, JunR!$6:$6, 0), FALSE),
            0
        ) +
        IFERROR(
            VLOOKUP($A41, INDIRECT("JulR!$A$6:$ZZ$1048576"), MATCH(AH$1, JulR!$6:$6, 0), FALSE),
            0
        ) +
        IFERROR(
            VLOOKUP($A41, INDIRECT("AgoR!$A$6:$ZZ$1048576"), MATCH(AH$1, AgoR!$6:$6, 0), FALSE),
            0
        ) +
        IFERROR(
            VLOOKUP($A41, INDIRECT("SepR!$A$6:$ZZ$1048576"), MATCH(AH$1, SepR!$6:$6, 0), FALSE),
            0
        ) +
        IFERROR(
            VLOOKUP($A41, INDIRECT("OctR!$A$6:$ZZ$1048576"), MATCH(AH$1, OctR!$6:$6, 0), FALSE),
            0
        ) +
        IFERROR(
            VLOOKUP($A41, INDIRECT("NovR!$A$6:$ZZ$1048576"), MATCH(AH$1, NovR!$6:$6, 0), FALSE),
            0
        ) +
        IFERROR(
            VLOOKUP($A41, INDIRECT("DicR!$A$6:$ZZ$1048576"), MATCH(AH$1, DicR!$6:$6, 0), FALSE),
            0
        )
)</f>
        <v>0</v>
      </c>
      <c r="AI41" s="37">
        <f t="array" ref="AI41">SUM(
    IFERROR(
            VLOOKUP($A41, INDIRECT("EneR!$A$6:$ZZ$1048576"), MATCH(AI$1, EneR!$6:$6, 0), FALSE),
            0
        ) +
        IFERROR(
            VLOOKUP($A41, INDIRECT("FebR!$A$6:$ZZ$1048576"), MATCH(AI$1, FebR!$6:$6, 0), FALSE),
            0
        ) +
        IFERROR(
            VLOOKUP($A41, INDIRECT("MarR!$A$6:$ZZ$1048576"), MATCH(AI$1, MarR!$6:$6, 0), FALSE),
            0
        ) +
        IFERROR(
            VLOOKUP($A41, INDIRECT("AbrR!$A$6:$ZZ$1048576"), MATCH(AI$1, AbrR!$6:$6, 0), FALSE),
            0
        ) +
        IFERROR(
            VLOOKUP($A41, INDIRECT("MayR!$A$6:$ZZ$1048576"), MATCH(AI$1, MayR!$6:$6, 0), FALSE),
            0
        ) +
        IFERROR(
            VLOOKUP($A41, INDIRECT("JunR!$A$6:$ZZ$1048576"), MATCH(AI$1, JunR!$6:$6, 0), FALSE),
            0
        ) +
        IFERROR(
            VLOOKUP($A41, INDIRECT("JulR!$A$6:$ZZ$1048576"), MATCH(AI$1, JulR!$6:$6, 0), FALSE),
            0
        ) +
        IFERROR(
            VLOOKUP($A41, INDIRECT("AgoR!$A$6:$ZZ$1048576"), MATCH(AI$1, AgoR!$6:$6, 0), FALSE),
            0
        ) +
        IFERROR(
            VLOOKUP($A41, INDIRECT("SepR!$A$6:$ZZ$1048576"), MATCH(AI$1, SepR!$6:$6, 0), FALSE),
            0
        ) +
        IFERROR(
            VLOOKUP($A41, INDIRECT("OctR!$A$6:$ZZ$1048576"), MATCH(AI$1, OctR!$6:$6, 0), FALSE),
            0
        ) +
        IFERROR(
            VLOOKUP($A41, INDIRECT("NovR!$A$6:$ZZ$1048576"), MATCH(AI$1, NovR!$6:$6, 0), FALSE),
            0
        ) +
        IFERROR(
            VLOOKUP($A41, INDIRECT("DicR!$A$6:$ZZ$1048576"), MATCH(AI$1, DicR!$6:$6, 0), FALSE),
            0
        )
)</f>
        <v>0</v>
      </c>
      <c r="AJ41" s="36">
        <f t="array" ref="AJ41">SUM(
    IFERROR(
            VLOOKUP($A41, INDIRECT("EneR!$A$6:$ZZ$1048576"), MATCH(AJ$1, EneR!$6:$6, 0), FALSE),
            0
        ) +
        IFERROR(
            VLOOKUP($A41, INDIRECT("FebR!$A$6:$ZZ$1048576"), MATCH(AJ$1, FebR!$6:$6, 0), FALSE),
            0
        ) +
        IFERROR(
            VLOOKUP($A41, INDIRECT("MarR!$A$6:$ZZ$1048576"), MATCH(AJ$1, MarR!$6:$6, 0), FALSE),
            0
        ) +
        IFERROR(
            VLOOKUP($A41, INDIRECT("AbrR!$A$6:$ZZ$1048576"), MATCH(AJ$1, AbrR!$6:$6, 0), FALSE),
            0
        ) +
        IFERROR(
            VLOOKUP($A41, INDIRECT("MayR!$A$6:$ZZ$1048576"), MATCH(AJ$1, MayR!$6:$6, 0), FALSE),
            0
        ) +
        IFERROR(
            VLOOKUP($A41, INDIRECT("JunR!$A$6:$ZZ$1048576"), MATCH(AJ$1, JunR!$6:$6, 0), FALSE),
            0
        ) +
        IFERROR(
            VLOOKUP($A41, INDIRECT("JulR!$A$6:$ZZ$1048576"), MATCH(AJ$1, JulR!$6:$6, 0), FALSE),
            0
        ) +
        IFERROR(
            VLOOKUP($A41, INDIRECT("AgoR!$A$6:$ZZ$1048576"), MATCH(AJ$1, AgoR!$6:$6, 0), FALSE),
            0
        ) +
        IFERROR(
            VLOOKUP($A41, INDIRECT("SepR!$A$6:$ZZ$1048576"), MATCH(AJ$1, SepR!$6:$6, 0), FALSE),
            0
        ) +
        IFERROR(
            VLOOKUP($A41, INDIRECT("OctR!$A$6:$ZZ$1048576"), MATCH(AJ$1, OctR!$6:$6, 0), FALSE),
            0
        ) +
        IFERROR(
            VLOOKUP($A41, INDIRECT("NovR!$A$6:$ZZ$1048576"), MATCH(AJ$1, NovR!$6:$6, 0), FALSE),
            0
        ) +
        IFERROR(
            VLOOKUP($A41, INDIRECT("DicR!$A$6:$ZZ$1048576"), MATCH(AJ$1, DicR!$6:$6, 0), FALSE),
            0
        )
)</f>
        <v>0</v>
      </c>
      <c r="AK41" s="37">
        <f t="array" ref="AK41">SUM(
    IFERROR(
            VLOOKUP($A41, INDIRECT("EneR!$A$6:$ZZ$1048576"), MATCH(AK$1, EneR!$6:$6, 0), FALSE),
            0
        ) +
        IFERROR(
            VLOOKUP($A41, INDIRECT("FebR!$A$6:$ZZ$1048576"), MATCH(AK$1, FebR!$6:$6, 0), FALSE),
            0
        ) +
        IFERROR(
            VLOOKUP($A41, INDIRECT("MarR!$A$6:$ZZ$1048576"), MATCH(AK$1, MarR!$6:$6, 0), FALSE),
            0
        ) +
        IFERROR(
            VLOOKUP($A41, INDIRECT("AbrR!$A$6:$ZZ$1048576"), MATCH(AK$1, AbrR!$6:$6, 0), FALSE),
            0
        ) +
        IFERROR(
            VLOOKUP($A41, INDIRECT("MayR!$A$6:$ZZ$1048576"), MATCH(AK$1, MayR!$6:$6, 0), FALSE),
            0
        ) +
        IFERROR(
            VLOOKUP($A41, INDIRECT("JunR!$A$6:$ZZ$1048576"), MATCH(AK$1, JunR!$6:$6, 0), FALSE),
            0
        ) +
        IFERROR(
            VLOOKUP($A41, INDIRECT("JulR!$A$6:$ZZ$1048576"), MATCH(AK$1, JulR!$6:$6, 0), FALSE),
            0
        ) +
        IFERROR(
            VLOOKUP($A41, INDIRECT("AgoR!$A$6:$ZZ$1048576"), MATCH(AK$1, AgoR!$6:$6, 0), FALSE),
            0
        ) +
        IFERROR(
            VLOOKUP($A41, INDIRECT("SepR!$A$6:$ZZ$1048576"), MATCH(AK$1, SepR!$6:$6, 0), FALSE),
            0
        ) +
        IFERROR(
            VLOOKUP($A41, INDIRECT("OctR!$A$6:$ZZ$1048576"), MATCH(AK$1, OctR!$6:$6, 0), FALSE),
            0
        ) +
        IFERROR(
            VLOOKUP($A41, INDIRECT("NovR!$A$6:$ZZ$1048576"), MATCH(AK$1, NovR!$6:$6, 0), FALSE),
            0
        ) +
        IFERROR(
            VLOOKUP($A41, INDIRECT("DicR!$A$6:$ZZ$1048576"), MATCH(AK$1, DicR!$6:$6, 0), FALSE),
            0
        )
)</f>
        <v>0</v>
      </c>
      <c r="AL41" s="36">
        <f t="array" ref="AL41">SUM(
    IFERROR(
            VLOOKUP($A41, INDIRECT("EneR!$A$6:$ZZ$1048576"), MATCH(AL$1, EneR!$6:$6, 0), FALSE),
            0
        ) +
        IFERROR(
            VLOOKUP($A41, INDIRECT("FebR!$A$6:$ZZ$1048576"), MATCH(AL$1, FebR!$6:$6, 0), FALSE),
            0
        ) +
        IFERROR(
            VLOOKUP($A41, INDIRECT("MarR!$A$6:$ZZ$1048576"), MATCH(AL$1, MarR!$6:$6, 0), FALSE),
            0
        ) +
        IFERROR(
            VLOOKUP($A41, INDIRECT("AbrR!$A$6:$ZZ$1048576"), MATCH(AL$1, AbrR!$6:$6, 0), FALSE),
            0
        ) +
        IFERROR(
            VLOOKUP($A41, INDIRECT("MayR!$A$6:$ZZ$1048576"), MATCH(AL$1, MayR!$6:$6, 0), FALSE),
            0
        ) +
        IFERROR(
            VLOOKUP($A41, INDIRECT("JunR!$A$6:$ZZ$1048576"), MATCH(AL$1, JunR!$6:$6, 0), FALSE),
            0
        ) +
        IFERROR(
            VLOOKUP($A41, INDIRECT("JulR!$A$6:$ZZ$1048576"), MATCH(AL$1, JulR!$6:$6, 0), FALSE),
            0
        ) +
        IFERROR(
            VLOOKUP($A41, INDIRECT("AgoR!$A$6:$ZZ$1048576"), MATCH(AL$1, AgoR!$6:$6, 0), FALSE),
            0
        ) +
        IFERROR(
            VLOOKUP($A41, INDIRECT("SepR!$A$6:$ZZ$1048576"), MATCH(AL$1, SepR!$6:$6, 0), FALSE),
            0
        ) +
        IFERROR(
            VLOOKUP($A41, INDIRECT("OctR!$A$6:$ZZ$1048576"), MATCH(AL$1, OctR!$6:$6, 0), FALSE),
            0
        ) +
        IFERROR(
            VLOOKUP($A41, INDIRECT("NovR!$A$6:$ZZ$1048576"), MATCH(AL$1, NovR!$6:$6, 0), FALSE),
            0
        ) +
        IFERROR(
            VLOOKUP($A41, INDIRECT("DicR!$A$6:$ZZ$1048576"), MATCH(AL$1, DicR!$6:$6, 0), FALSE),
            0
        )
)</f>
        <v>0</v>
      </c>
      <c r="AM41" s="37">
        <f t="array" ref="AM41">SUM(
    IFERROR(
            VLOOKUP($A41, INDIRECT("EneR!$A$6:$ZZ$1048576"), MATCH(AM$1, EneR!$6:$6, 0), FALSE),
            0
        ) +
        IFERROR(
            VLOOKUP($A41, INDIRECT("FebR!$A$6:$ZZ$1048576"), MATCH(AM$1, FebR!$6:$6, 0), FALSE),
            0
        ) +
        IFERROR(
            VLOOKUP($A41, INDIRECT("MarR!$A$6:$ZZ$1048576"), MATCH(AM$1, MarR!$6:$6, 0), FALSE),
            0
        ) +
        IFERROR(
            VLOOKUP($A41, INDIRECT("AbrR!$A$6:$ZZ$1048576"), MATCH(AM$1, AbrR!$6:$6, 0), FALSE),
            0
        ) +
        IFERROR(
            VLOOKUP($A41, INDIRECT("MayR!$A$6:$ZZ$1048576"), MATCH(AM$1, MayR!$6:$6, 0), FALSE),
            0
        ) +
        IFERROR(
            VLOOKUP($A41, INDIRECT("JunR!$A$6:$ZZ$1048576"), MATCH(AM$1, JunR!$6:$6, 0), FALSE),
            0
        ) +
        IFERROR(
            VLOOKUP($A41, INDIRECT("JulR!$A$6:$ZZ$1048576"), MATCH(AM$1, JulR!$6:$6, 0), FALSE),
            0
        ) +
        IFERROR(
            VLOOKUP($A41, INDIRECT("AgoR!$A$6:$ZZ$1048576"), MATCH(AM$1, AgoR!$6:$6, 0), FALSE),
            0
        ) +
        IFERROR(
            VLOOKUP($A41, INDIRECT("SepR!$A$6:$ZZ$1048576"), MATCH(AM$1, SepR!$6:$6, 0), FALSE),
            0
        ) +
        IFERROR(
            VLOOKUP($A41, INDIRECT("OctR!$A$6:$ZZ$1048576"), MATCH(AM$1, OctR!$6:$6, 0), FALSE),
            0
        ) +
        IFERROR(
            VLOOKUP($A41, INDIRECT("NovR!$A$6:$ZZ$1048576"), MATCH(AM$1, NovR!$6:$6, 0), FALSE),
            0
        ) +
        IFERROR(
            VLOOKUP($A41, INDIRECT("DicR!$A$6:$ZZ$1048576"), MATCH(AM$1, DicR!$6:$6, 0), FALSE),
            0
        )
)</f>
        <v>0</v>
      </c>
      <c r="AN41" s="32">
        <f t="array" ref="AN41">SUM(
    IFERROR(
            VLOOKUP($A41, INDIRECT("EneR!$A$6:$ZZ$1048576"), MATCH(AN$1, EneR!$6:$6, 0), FALSE),
            0
        ) +
        IFERROR(
            VLOOKUP($A41, INDIRECT("FebR!$A$6:$ZZ$1048576"), MATCH(AN$1, FebR!$6:$6, 0), FALSE),
            0
        ) +
        IFERROR(
            VLOOKUP($A41, INDIRECT("MarR!$A$6:$ZZ$1048576"), MATCH(AN$1, MarR!$6:$6, 0), FALSE),
            0
        ) +
        IFERROR(
            VLOOKUP($A41, INDIRECT("AbrR!$A$6:$ZZ$1048576"), MATCH(AN$1, AbrR!$6:$6, 0), FALSE),
            0
        ) +
        IFERROR(
            VLOOKUP($A41, INDIRECT("MayR!$A$6:$ZZ$1048576"), MATCH(AN$1, MayR!$6:$6, 0), FALSE),
            0
        ) +
        IFERROR(
            VLOOKUP($A41, INDIRECT("JunR!$A$6:$ZZ$1048576"), MATCH(AN$1, JunR!$6:$6, 0), FALSE),
            0
        ) +
        IFERROR(
            VLOOKUP($A41, INDIRECT("JulR!$A$6:$ZZ$1048576"), MATCH(AN$1, JulR!$6:$6, 0), FALSE),
            0
        ) +
        IFERROR(
            VLOOKUP($A41, INDIRECT("AgoR!$A$6:$ZZ$1048576"), MATCH(AN$1, AgoR!$6:$6, 0), FALSE),
            0
        ) +
        IFERROR(
            VLOOKUP($A41, INDIRECT("SepR!$A$6:$ZZ$1048576"), MATCH(AN$1, SepR!$6:$6, 0), FALSE),
            0
        ) +
        IFERROR(
            VLOOKUP($A41, INDIRECT("OctR!$A$6:$ZZ$1048576"), MATCH(AN$1, OctR!$6:$6, 0), FALSE),
            0
        ) +
        IFERROR(
            VLOOKUP($A41, INDIRECT("NovR!$A$6:$ZZ$1048576"), MATCH(AN$1, NovR!$6:$6, 0), FALSE),
            0
        ) +
        IFERROR(
            VLOOKUP($A41, INDIRECT("DicR!$A$6:$ZZ$1048576"), MATCH(AN$1, DicR!$6:$6, 0), FALSE),
            0
        )
)</f>
        <v>0</v>
      </c>
      <c r="AO41" s="35">
        <f t="array" ref="AO41">SUM(
    IFERROR(
            VLOOKUP($A41, INDIRECT("EneR!$A$6:$ZZ$1048576"), MATCH(AO$1, EneR!$6:$6, 0), FALSE),
            0
        ) +
        IFERROR(
            VLOOKUP($A41, INDIRECT("FebR!$A$6:$ZZ$1048576"), MATCH(AO$1, FebR!$6:$6, 0), FALSE),
            0
        ) +
        IFERROR(
            VLOOKUP($A41, INDIRECT("MarR!$A$6:$ZZ$1048576"), MATCH(AO$1, MarR!$6:$6, 0), FALSE),
            0
        ) +
        IFERROR(
            VLOOKUP($A41, INDIRECT("AbrR!$A$6:$ZZ$1048576"), MATCH(AO$1, AbrR!$6:$6, 0), FALSE),
            0
        ) +
        IFERROR(
            VLOOKUP($A41, INDIRECT("MayR!$A$6:$ZZ$1048576"), MATCH(AO$1, MayR!$6:$6, 0), FALSE),
            0
        ) +
        IFERROR(
            VLOOKUP($A41, INDIRECT("JunR!$A$6:$ZZ$1048576"), MATCH(AO$1, JunR!$6:$6, 0), FALSE),
            0
        ) +
        IFERROR(
            VLOOKUP($A41, INDIRECT("JulR!$A$6:$ZZ$1048576"), MATCH(AO$1, JulR!$6:$6, 0), FALSE),
            0
        ) +
        IFERROR(
            VLOOKUP($A41, INDIRECT("AgoR!$A$6:$ZZ$1048576"), MATCH(AO$1, AgoR!$6:$6, 0), FALSE),
            0
        ) +
        IFERROR(
            VLOOKUP($A41, INDIRECT("SepR!$A$6:$ZZ$1048576"), MATCH(AO$1, SepR!$6:$6, 0), FALSE),
            0
        ) +
        IFERROR(
            VLOOKUP($A41, INDIRECT("OctR!$A$6:$ZZ$1048576"), MATCH(AO$1, OctR!$6:$6, 0), FALSE),
            0
        ) +
        IFERROR(
            VLOOKUP($A41, INDIRECT("NovR!$A$6:$ZZ$1048576"), MATCH(AO$1, NovR!$6:$6, 0), FALSE),
            0
        ) +
        IFERROR(
            VLOOKUP($A41, INDIRECT("DicR!$A$6:$ZZ$1048576"), MATCH(AO$1, DicR!$6:$6, 0), FALSE),
            0
        )
)</f>
        <v>0</v>
      </c>
      <c r="AP41" s="36">
        <f t="array" ref="AP41">SUM(
    IFERROR(
            VLOOKUP($A41, INDIRECT("EneR!$A$6:$ZZ$1048576"), MATCH(AP$1, EneR!$6:$6, 0), FALSE),
            0
        ) +
        IFERROR(
            VLOOKUP($A41, INDIRECT("FebR!$A$6:$ZZ$1048576"), MATCH(AP$1, FebR!$6:$6, 0), FALSE),
            0
        ) +
        IFERROR(
            VLOOKUP($A41, INDIRECT("MarR!$A$6:$ZZ$1048576"), MATCH(AP$1, MarR!$6:$6, 0), FALSE),
            0
        ) +
        IFERROR(
            VLOOKUP($A41, INDIRECT("AbrR!$A$6:$ZZ$1048576"), MATCH(AP$1, AbrR!$6:$6, 0), FALSE),
            0
        ) +
        IFERROR(
            VLOOKUP($A41, INDIRECT("MayR!$A$6:$ZZ$1048576"), MATCH(AP$1, MayR!$6:$6, 0), FALSE),
            0
        ) +
        IFERROR(
            VLOOKUP($A41, INDIRECT("JunR!$A$6:$ZZ$1048576"), MATCH(AP$1, JunR!$6:$6, 0), FALSE),
            0
        ) +
        IFERROR(
            VLOOKUP($A41, INDIRECT("JulR!$A$6:$ZZ$1048576"), MATCH(AP$1, JulR!$6:$6, 0), FALSE),
            0
        ) +
        IFERROR(
            VLOOKUP($A41, INDIRECT("AgoR!$A$6:$ZZ$1048576"), MATCH(AP$1, AgoR!$6:$6, 0), FALSE),
            0
        ) +
        IFERROR(
            VLOOKUP($A41, INDIRECT("SepR!$A$6:$ZZ$1048576"), MATCH(AP$1, SepR!$6:$6, 0), FALSE),
            0
        ) +
        IFERROR(
            VLOOKUP($A41, INDIRECT("OctR!$A$6:$ZZ$1048576"), MATCH(AP$1, OctR!$6:$6, 0), FALSE),
            0
        ) +
        IFERROR(
            VLOOKUP($A41, INDIRECT("NovR!$A$6:$ZZ$1048576"), MATCH(AP$1, NovR!$6:$6, 0), FALSE),
            0
        ) +
        IFERROR(
            VLOOKUP($A41, INDIRECT("DicR!$A$6:$ZZ$1048576"), MATCH(AP$1, DicR!$6:$6, 0), FALSE),
            0
        )
)</f>
        <v>0</v>
      </c>
      <c r="AQ41" s="35">
        <f t="array" ref="AQ41">SUM(
    IFERROR(
            VLOOKUP($A41, INDIRECT("EneR!$A$6:$ZZ$1048576"), MATCH(AQ$1, EneR!$6:$6, 0), FALSE),
            0
        ) +
        IFERROR(
            VLOOKUP($A41, INDIRECT("FebR!$A$6:$ZZ$1048576"), MATCH(AQ$1, FebR!$6:$6, 0), FALSE),
            0
        ) +
        IFERROR(
            VLOOKUP($A41, INDIRECT("MarR!$A$6:$ZZ$1048576"), MATCH(AQ$1, MarR!$6:$6, 0), FALSE),
            0
        ) +
        IFERROR(
            VLOOKUP($A41, INDIRECT("AbrR!$A$6:$ZZ$1048576"), MATCH(AQ$1, AbrR!$6:$6, 0), FALSE),
            0
        ) +
        IFERROR(
            VLOOKUP($A41, INDIRECT("MayR!$A$6:$ZZ$1048576"), MATCH(AQ$1, MayR!$6:$6, 0), FALSE),
            0
        ) +
        IFERROR(
            VLOOKUP($A41, INDIRECT("JunR!$A$6:$ZZ$1048576"), MATCH(AQ$1, JunR!$6:$6, 0), FALSE),
            0
        ) +
        IFERROR(
            VLOOKUP($A41, INDIRECT("JulR!$A$6:$ZZ$1048576"), MATCH(AQ$1, JulR!$6:$6, 0), FALSE),
            0
        ) +
        IFERROR(
            VLOOKUP($A41, INDIRECT("AgoR!$A$6:$ZZ$1048576"), MATCH(AQ$1, AgoR!$6:$6, 0), FALSE),
            0
        ) +
        IFERROR(
            VLOOKUP($A41, INDIRECT("SepR!$A$6:$ZZ$1048576"), MATCH(AQ$1, SepR!$6:$6, 0), FALSE),
            0
        ) +
        IFERROR(
            VLOOKUP($A41, INDIRECT("OctR!$A$6:$ZZ$1048576"), MATCH(AQ$1, OctR!$6:$6, 0), FALSE),
            0
        ) +
        IFERROR(
            VLOOKUP($A41, INDIRECT("NovR!$A$6:$ZZ$1048576"), MATCH(AQ$1, NovR!$6:$6, 0), FALSE),
            0
        ) +
        IFERROR(
            VLOOKUP($A41, INDIRECT("DicR!$A$6:$ZZ$1048576"), MATCH(AQ$1, DicR!$6:$6, 0), FALSE),
            0
        )
)</f>
        <v>0</v>
      </c>
      <c r="AR41" s="36">
        <f t="array" ref="AR41">SUM(
    IFERROR(
            VLOOKUP($A41, INDIRECT("EneR!$A$6:$ZZ$1048576"), MATCH(AR$1, EneR!$6:$6, 0), FALSE),
            0
        ) +
        IFERROR(
            VLOOKUP($A41, INDIRECT("FebR!$A$6:$ZZ$1048576"), MATCH(AR$1, FebR!$6:$6, 0), FALSE),
            0
        ) +
        IFERROR(
            VLOOKUP($A41, INDIRECT("MarR!$A$6:$ZZ$1048576"), MATCH(AR$1, MarR!$6:$6, 0), FALSE),
            0
        ) +
        IFERROR(
            VLOOKUP($A41, INDIRECT("AbrR!$A$6:$ZZ$1048576"), MATCH(AR$1, AbrR!$6:$6, 0), FALSE),
            0
        ) +
        IFERROR(
            VLOOKUP($A41, INDIRECT("MayR!$A$6:$ZZ$1048576"), MATCH(AR$1, MayR!$6:$6, 0), FALSE),
            0
        ) +
        IFERROR(
            VLOOKUP($A41, INDIRECT("JunR!$A$6:$ZZ$1048576"), MATCH(AR$1, JunR!$6:$6, 0), FALSE),
            0
        ) +
        IFERROR(
            VLOOKUP($A41, INDIRECT("JulR!$A$6:$ZZ$1048576"), MATCH(AR$1, JulR!$6:$6, 0), FALSE),
            0
        ) +
        IFERROR(
            VLOOKUP($A41, INDIRECT("AgoR!$A$6:$ZZ$1048576"), MATCH(AR$1, AgoR!$6:$6, 0), FALSE),
            0
        ) +
        IFERROR(
            VLOOKUP($A41, INDIRECT("SepR!$A$6:$ZZ$1048576"), MATCH(AR$1, SepR!$6:$6, 0), FALSE),
            0
        ) +
        IFERROR(
            VLOOKUP($A41, INDIRECT("OctR!$A$6:$ZZ$1048576"), MATCH(AR$1, OctR!$6:$6, 0), FALSE),
            0
        ) +
        IFERROR(
            VLOOKUP($A41, INDIRECT("NovR!$A$6:$ZZ$1048576"), MATCH(AR$1, NovR!$6:$6, 0), FALSE),
            0
        ) +
        IFERROR(
            VLOOKUP($A41, INDIRECT("DicR!$A$6:$ZZ$1048576"), MATCH(AR$1, DicR!$6:$6, 0), FALSE),
            0
        )
)</f>
        <v>0</v>
      </c>
      <c r="AS41" s="35">
        <f t="array" ref="AS41">SUM(
    IFERROR(
            VLOOKUP($A41, INDIRECT("EneR!$A$6:$ZZ$1048576"), MATCH(AS$1, EneR!$6:$6, 0), FALSE),
            0
        ) +
        IFERROR(
            VLOOKUP($A41, INDIRECT("FebR!$A$6:$ZZ$1048576"), MATCH(AS$1, FebR!$6:$6, 0), FALSE),
            0
        ) +
        IFERROR(
            VLOOKUP($A41, INDIRECT("MarR!$A$6:$ZZ$1048576"), MATCH(AS$1, MarR!$6:$6, 0), FALSE),
            0
        ) +
        IFERROR(
            VLOOKUP($A41, INDIRECT("AbrR!$A$6:$ZZ$1048576"), MATCH(AS$1, AbrR!$6:$6, 0), FALSE),
            0
        ) +
        IFERROR(
            VLOOKUP($A41, INDIRECT("MayR!$A$6:$ZZ$1048576"), MATCH(AS$1, MayR!$6:$6, 0), FALSE),
            0
        ) +
        IFERROR(
            VLOOKUP($A41, INDIRECT("JunR!$A$6:$ZZ$1048576"), MATCH(AS$1, JunR!$6:$6, 0), FALSE),
            0
        ) +
        IFERROR(
            VLOOKUP($A41, INDIRECT("JulR!$A$6:$ZZ$1048576"), MATCH(AS$1, JulR!$6:$6, 0), FALSE),
            0
        ) +
        IFERROR(
            VLOOKUP($A41, INDIRECT("AgoR!$A$6:$ZZ$1048576"), MATCH(AS$1, AgoR!$6:$6, 0), FALSE),
            0
        ) +
        IFERROR(
            VLOOKUP($A41, INDIRECT("SepR!$A$6:$ZZ$1048576"), MATCH(AS$1, SepR!$6:$6, 0), FALSE),
            0
        ) +
        IFERROR(
            VLOOKUP($A41, INDIRECT("OctR!$A$6:$ZZ$1048576"), MATCH(AS$1, OctR!$6:$6, 0), FALSE),
            0
        ) +
        IFERROR(
            VLOOKUP($A41, INDIRECT("NovR!$A$6:$ZZ$1048576"), MATCH(AS$1, NovR!$6:$6, 0), FALSE),
            0
        ) +
        IFERROR(
            VLOOKUP($A41, INDIRECT("DicR!$A$6:$ZZ$1048576"), MATCH(AS$1, DicR!$6:$6, 0), FALSE),
            0
        )
)</f>
        <v>0</v>
      </c>
      <c r="AT41" s="36">
        <f t="array" ref="AT41">SUM(
    IFERROR(
            VLOOKUP($A41, INDIRECT("EneR!$A$6:$ZZ$1048576"), MATCH(AT$1, EneR!$6:$6, 0), FALSE),
            0
        ) +
        IFERROR(
            VLOOKUP($A41, INDIRECT("FebR!$A$6:$ZZ$1048576"), MATCH(AT$1, FebR!$6:$6, 0), FALSE),
            0
        ) +
        IFERROR(
            VLOOKUP($A41, INDIRECT("MarR!$A$6:$ZZ$1048576"), MATCH(AT$1, MarR!$6:$6, 0), FALSE),
            0
        ) +
        IFERROR(
            VLOOKUP($A41, INDIRECT("AbrR!$A$6:$ZZ$1048576"), MATCH(AT$1, AbrR!$6:$6, 0), FALSE),
            0
        ) +
        IFERROR(
            VLOOKUP($A41, INDIRECT("MayR!$A$6:$ZZ$1048576"), MATCH(AT$1, MayR!$6:$6, 0), FALSE),
            0
        ) +
        IFERROR(
            VLOOKUP($A41, INDIRECT("JunR!$A$6:$ZZ$1048576"), MATCH(AT$1, JunR!$6:$6, 0), FALSE),
            0
        ) +
        IFERROR(
            VLOOKUP($A41, INDIRECT("JulR!$A$6:$ZZ$1048576"), MATCH(AT$1, JulR!$6:$6, 0), FALSE),
            0
        ) +
        IFERROR(
            VLOOKUP($A41, INDIRECT("AgoR!$A$6:$ZZ$1048576"), MATCH(AT$1, AgoR!$6:$6, 0), FALSE),
            0
        ) +
        IFERROR(
            VLOOKUP($A41, INDIRECT("SepR!$A$6:$ZZ$1048576"), MATCH(AT$1, SepR!$6:$6, 0), FALSE),
            0
        ) +
        IFERROR(
            VLOOKUP($A41, INDIRECT("OctR!$A$6:$ZZ$1048576"), MATCH(AT$1, OctR!$6:$6, 0), FALSE),
            0
        ) +
        IFERROR(
            VLOOKUP($A41, INDIRECT("NovR!$A$6:$ZZ$1048576"), MATCH(AT$1, NovR!$6:$6, 0), FALSE),
            0
        ) +
        IFERROR(
            VLOOKUP($A41, INDIRECT("DicR!$A$6:$ZZ$1048576"), MATCH(AT$1, DicR!$6:$6, 0), FALSE),
            0
        )
)</f>
        <v>0</v>
      </c>
      <c r="AU41" s="35">
        <f t="array" ref="AU41">SUM(
    IFERROR(
            VLOOKUP($A41, INDIRECT("EneR!$A$6:$ZZ$1048576"), MATCH(AU$1, EneR!$6:$6, 0), FALSE),
            0
        ) +
        IFERROR(
            VLOOKUP($A41, INDIRECT("FebR!$A$6:$ZZ$1048576"), MATCH(AU$1, FebR!$6:$6, 0), FALSE),
            0
        ) +
        IFERROR(
            VLOOKUP($A41, INDIRECT("MarR!$A$6:$ZZ$1048576"), MATCH(AU$1, MarR!$6:$6, 0), FALSE),
            0
        ) +
        IFERROR(
            VLOOKUP($A41, INDIRECT("AbrR!$A$6:$ZZ$1048576"), MATCH(AU$1, AbrR!$6:$6, 0), FALSE),
            0
        ) +
        IFERROR(
            VLOOKUP($A41, INDIRECT("MayR!$A$6:$ZZ$1048576"), MATCH(AU$1, MayR!$6:$6, 0), FALSE),
            0
        ) +
        IFERROR(
            VLOOKUP($A41, INDIRECT("JunR!$A$6:$ZZ$1048576"), MATCH(AU$1, JunR!$6:$6, 0), FALSE),
            0
        ) +
        IFERROR(
            VLOOKUP($A41, INDIRECT("JulR!$A$6:$ZZ$1048576"), MATCH(AU$1, JulR!$6:$6, 0), FALSE),
            0
        ) +
        IFERROR(
            VLOOKUP($A41, INDIRECT("AgoR!$A$6:$ZZ$1048576"), MATCH(AU$1, AgoR!$6:$6, 0), FALSE),
            0
        ) +
        IFERROR(
            VLOOKUP($A41, INDIRECT("SepR!$A$6:$ZZ$1048576"), MATCH(AU$1, SepR!$6:$6, 0), FALSE),
            0
        ) +
        IFERROR(
            VLOOKUP($A41, INDIRECT("OctR!$A$6:$ZZ$1048576"), MATCH(AU$1, OctR!$6:$6, 0), FALSE),
            0
        ) +
        IFERROR(
            VLOOKUP($A41, INDIRECT("NovR!$A$6:$ZZ$1048576"), MATCH(AU$1, NovR!$6:$6, 0), FALSE),
            0
        ) +
        IFERROR(
            VLOOKUP($A41, INDIRECT("DicR!$A$6:$ZZ$1048576"), MATCH(AU$1, DicR!$6:$6, 0), FALSE),
            0
        )
)</f>
        <v>0</v>
      </c>
      <c r="AV41" s="36">
        <f t="array" ref="AV41">SUM(
    IFERROR(
            VLOOKUP($A41, INDIRECT("EneR!$A$6:$ZZ$1048576"), MATCH(AV$1, EneR!$6:$6, 0), FALSE),
            0
        ) +
        IFERROR(
            VLOOKUP($A41, INDIRECT("FebR!$A$6:$ZZ$1048576"), MATCH(AV$1, FebR!$6:$6, 0), FALSE),
            0
        ) +
        IFERROR(
            VLOOKUP($A41, INDIRECT("MarR!$A$6:$ZZ$1048576"), MATCH(AV$1, MarR!$6:$6, 0), FALSE),
            0
        ) +
        IFERROR(
            VLOOKUP($A41, INDIRECT("AbrR!$A$6:$ZZ$1048576"), MATCH(AV$1, AbrR!$6:$6, 0), FALSE),
            0
        ) +
        IFERROR(
            VLOOKUP($A41, INDIRECT("MayR!$A$6:$ZZ$1048576"), MATCH(AV$1, MayR!$6:$6, 0), FALSE),
            0
        ) +
        IFERROR(
            VLOOKUP($A41, INDIRECT("JunR!$A$6:$ZZ$1048576"), MATCH(AV$1, JunR!$6:$6, 0), FALSE),
            0
        ) +
        IFERROR(
            VLOOKUP($A41, INDIRECT("JulR!$A$6:$ZZ$1048576"), MATCH(AV$1, JulR!$6:$6, 0), FALSE),
            0
        ) +
        IFERROR(
            VLOOKUP($A41, INDIRECT("AgoR!$A$6:$ZZ$1048576"), MATCH(AV$1, AgoR!$6:$6, 0), FALSE),
            0
        ) +
        IFERROR(
            VLOOKUP($A41, INDIRECT("SepR!$A$6:$ZZ$1048576"), MATCH(AV$1, SepR!$6:$6, 0), FALSE),
            0
        ) +
        IFERROR(
            VLOOKUP($A41, INDIRECT("OctR!$A$6:$ZZ$1048576"), MATCH(AV$1, OctR!$6:$6, 0), FALSE),
            0
        ) +
        IFERROR(
            VLOOKUP($A41, INDIRECT("NovR!$A$6:$ZZ$1048576"), MATCH(AV$1, NovR!$6:$6, 0), FALSE),
            0
        ) +
        IFERROR(
            VLOOKUP($A41, INDIRECT("DicR!$A$6:$ZZ$1048576"), MATCH(AV$1, DicR!$6:$6, 0), FALSE),
            0
        )
)</f>
        <v>0</v>
      </c>
      <c r="AW41" s="35">
        <f t="array" ref="AW41">SUM(
    IFERROR(
            VLOOKUP($A41, INDIRECT("EneR!$A$6:$ZZ$1048576"), MATCH(AW$1, EneR!$6:$6, 0), FALSE),
            0
        ) +
        IFERROR(
            VLOOKUP($A41, INDIRECT("FebR!$A$6:$ZZ$1048576"), MATCH(AW$1, FebR!$6:$6, 0), FALSE),
            0
        ) +
        IFERROR(
            VLOOKUP($A41, INDIRECT("MarR!$A$6:$ZZ$1048576"), MATCH(AW$1, MarR!$6:$6, 0), FALSE),
            0
        ) +
        IFERROR(
            VLOOKUP($A41, INDIRECT("AbrR!$A$6:$ZZ$1048576"), MATCH(AW$1, AbrR!$6:$6, 0), FALSE),
            0
        ) +
        IFERROR(
            VLOOKUP($A41, INDIRECT("MayR!$A$6:$ZZ$1048576"), MATCH(AW$1, MayR!$6:$6, 0), FALSE),
            0
        ) +
        IFERROR(
            VLOOKUP($A41, INDIRECT("JunR!$A$6:$ZZ$1048576"), MATCH(AW$1, JunR!$6:$6, 0), FALSE),
            0
        ) +
        IFERROR(
            VLOOKUP($A41, INDIRECT("JulR!$A$6:$ZZ$1048576"), MATCH(AW$1, JulR!$6:$6, 0), FALSE),
            0
        ) +
        IFERROR(
            VLOOKUP($A41, INDIRECT("AgoR!$A$6:$ZZ$1048576"), MATCH(AW$1, AgoR!$6:$6, 0), FALSE),
            0
        ) +
        IFERROR(
            VLOOKUP($A41, INDIRECT("SepR!$A$6:$ZZ$1048576"), MATCH(AW$1, SepR!$6:$6, 0), FALSE),
            0
        ) +
        IFERROR(
            VLOOKUP($A41, INDIRECT("OctR!$A$6:$ZZ$1048576"), MATCH(AW$1, OctR!$6:$6, 0), FALSE),
            0
        ) +
        IFERROR(
            VLOOKUP($A41, INDIRECT("NovR!$A$6:$ZZ$1048576"), MATCH(AW$1, NovR!$6:$6, 0), FALSE),
            0
        ) +
        IFERROR(
            VLOOKUP($A41, INDIRECT("DicR!$A$6:$ZZ$1048576"), MATCH(AW$1, DicR!$6:$6, 0), FALSE),
            0
        )
)</f>
        <v>0</v>
      </c>
      <c r="AX41" s="36">
        <f t="array" ref="AX41">SUM(
    IFERROR(
            VLOOKUP($A41, INDIRECT("EneR!$A$6:$ZZ$1048576"), MATCH(AX$1, EneR!$6:$6, 0), FALSE),
            0
        ) +
        IFERROR(
            VLOOKUP($A41, INDIRECT("FebR!$A$6:$ZZ$1048576"), MATCH(AX$1, FebR!$6:$6, 0), FALSE),
            0
        ) +
        IFERROR(
            VLOOKUP($A41, INDIRECT("MarR!$A$6:$ZZ$1048576"), MATCH(AX$1, MarR!$6:$6, 0), FALSE),
            0
        ) +
        IFERROR(
            VLOOKUP($A41, INDIRECT("AbrR!$A$6:$ZZ$1048576"), MATCH(AX$1, AbrR!$6:$6, 0), FALSE),
            0
        ) +
        IFERROR(
            VLOOKUP($A41, INDIRECT("MayR!$A$6:$ZZ$1048576"), MATCH(AX$1, MayR!$6:$6, 0), FALSE),
            0
        ) +
        IFERROR(
            VLOOKUP($A41, INDIRECT("JunR!$A$6:$ZZ$1048576"), MATCH(AX$1, JunR!$6:$6, 0), FALSE),
            0
        ) +
        IFERROR(
            VLOOKUP($A41, INDIRECT("JulR!$A$6:$ZZ$1048576"), MATCH(AX$1, JulR!$6:$6, 0), FALSE),
            0
        ) +
        IFERROR(
            VLOOKUP($A41, INDIRECT("AgoR!$A$6:$ZZ$1048576"), MATCH(AX$1, AgoR!$6:$6, 0), FALSE),
            0
        ) +
        IFERROR(
            VLOOKUP($A41, INDIRECT("SepR!$A$6:$ZZ$1048576"), MATCH(AX$1, SepR!$6:$6, 0), FALSE),
            0
        ) +
        IFERROR(
            VLOOKUP($A41, INDIRECT("OctR!$A$6:$ZZ$1048576"), MATCH(AX$1, OctR!$6:$6, 0), FALSE),
            0
        ) +
        IFERROR(
            VLOOKUP($A41, INDIRECT("NovR!$A$6:$ZZ$1048576"), MATCH(AX$1, NovR!$6:$6, 0), FALSE),
            0
        ) +
        IFERROR(
            VLOOKUP($A41, INDIRECT("DicR!$A$6:$ZZ$1048576"), MATCH(AX$1, DicR!$6:$6, 0), FALSE),
            0
        )
)</f>
        <v>0</v>
      </c>
      <c r="AY41" s="35">
        <f t="array" ref="AY41">SUM(
    IFERROR(
            VLOOKUP($A41, INDIRECT("EneR!$A$6:$ZZ$1048576"), MATCH(AY$1, EneR!$6:$6, 0), FALSE),
            0
        ) +
        IFERROR(
            VLOOKUP($A41, INDIRECT("FebR!$A$6:$ZZ$1048576"), MATCH(AY$1, FebR!$6:$6, 0), FALSE),
            0
        ) +
        IFERROR(
            VLOOKUP($A41, INDIRECT("MarR!$A$6:$ZZ$1048576"), MATCH(AY$1, MarR!$6:$6, 0), FALSE),
            0
        ) +
        IFERROR(
            VLOOKUP($A41, INDIRECT("AbrR!$A$6:$ZZ$1048576"), MATCH(AY$1, AbrR!$6:$6, 0), FALSE),
            0
        ) +
        IFERROR(
            VLOOKUP($A41, INDIRECT("MayR!$A$6:$ZZ$1048576"), MATCH(AY$1, MayR!$6:$6, 0), FALSE),
            0
        ) +
        IFERROR(
            VLOOKUP($A41, INDIRECT("JunR!$A$6:$ZZ$1048576"), MATCH(AY$1, JunR!$6:$6, 0), FALSE),
            0
        ) +
        IFERROR(
            VLOOKUP($A41, INDIRECT("JulR!$A$6:$ZZ$1048576"), MATCH(AY$1, JulR!$6:$6, 0), FALSE),
            0
        ) +
        IFERROR(
            VLOOKUP($A41, INDIRECT("AgoR!$A$6:$ZZ$1048576"), MATCH(AY$1, AgoR!$6:$6, 0), FALSE),
            0
        ) +
        IFERROR(
            VLOOKUP($A41, INDIRECT("SepR!$A$6:$ZZ$1048576"), MATCH(AY$1, SepR!$6:$6, 0), FALSE),
            0
        ) +
        IFERROR(
            VLOOKUP($A41, INDIRECT("OctR!$A$6:$ZZ$1048576"), MATCH(AY$1, OctR!$6:$6, 0), FALSE),
            0
        ) +
        IFERROR(
            VLOOKUP($A41, INDIRECT("NovR!$A$6:$ZZ$1048576"), MATCH(AY$1, NovR!$6:$6, 0), FALSE),
            0
        ) +
        IFERROR(
            VLOOKUP($A41, INDIRECT("DicR!$A$6:$ZZ$1048576"), MATCH(AY$1, DicR!$6:$6, 0), FALSE),
            0
        )
)</f>
        <v>0</v>
      </c>
      <c r="AZ41" s="35"/>
    </row>
    <row r="42" ht="15.75" customHeight="1">
      <c r="A42" s="12" t="str">
        <f>Menus!B3</f>
        <v/>
      </c>
      <c r="B42" s="32">
        <f t="shared" si="9"/>
        <v>0</v>
      </c>
      <c r="C42" s="33" t="str">
        <f t="shared" ref="C42:C103" si="10">IFERROR(INDEX($D$1:$AQ127, MATCH($A42, $A$1:$A$109, 0), MATCH(C$1, $D$1:AZ$1, 0)), "")
</f>
        <v/>
      </c>
      <c r="D42" s="34">
        <f t="array" ref="D42">SUM(
    IFERROR(
            VLOOKUP($A42, INDIRECT("EneR!$A$6:$ZZ$1048576"), MATCH(D$1, EneR!$6:$6, 0), FALSE),
            0
        ) +
        IFERROR(
            VLOOKUP($A42, INDIRECT("FebR!$A$6:$ZZ$1048576"), MATCH(D$1, FebR!$6:$6, 0), FALSE),
            0
        ) +
        IFERROR(
            VLOOKUP($A42, INDIRECT("MarR!$A$6:$ZZ$1048576"), MATCH(D$1, MarR!$6:$6, 0), FALSE),
            0
        ) +
        IFERROR(
            VLOOKUP($A42, INDIRECT("AbrR!$A$6:$ZZ$1048576"), MATCH(D$1, AbrR!$6:$6, 0), FALSE),
            0
        ) +
        IFERROR(
            VLOOKUP($A42, INDIRECT("MayR!$A$6:$ZZ$1048576"), MATCH(D$1, MayR!$6:$6, 0), FALSE),
            0
        ) +
        IFERROR(
            VLOOKUP($A42, INDIRECT("JunR!$A$6:$ZZ$1048576"), MATCH(D$1, JunR!$6:$6, 0), FALSE),
            0
        ) +
        IFERROR(
            VLOOKUP($A42, INDIRECT("JulR!$A$6:$ZZ$1048576"), MATCH(D$1, JulR!$6:$6, 0), FALSE),
            0
        ) +
        IFERROR(
            VLOOKUP($A42, INDIRECT("AgoR!$A$6:$ZZ$1048576"), MATCH(D$1, AgoR!$6:$6, 0), FALSE),
            0
        ) +
        IFERROR(
            VLOOKUP($A42, INDIRECT("SepR!$A$6:$ZZ$1048576"), MATCH(D$1, SepR!$6:$6, 0), FALSE),
            0
        ) +
        IFERROR(
            VLOOKUP($A42, INDIRECT("OctR!$A$6:$ZZ$1048576"), MATCH(D$1, OctR!$6:$6, 0), FALSE),
            0
        ) +
        IFERROR(
            VLOOKUP($A42, INDIRECT("NovR!$A$6:$ZZ$1048576"), MATCH(D$1, NovR!$6:$6, 0), FALSE),
            0
        ) +
        IFERROR(
            VLOOKUP($A42, INDIRECT("DicR!$A$6:$ZZ$1048576"), MATCH(D$1, DicR!$6:$6, 0), FALSE),
            0
        )
)</f>
        <v>0</v>
      </c>
      <c r="E42" s="35">
        <f t="array" ref="E42">SUM(
    IFERROR(
            VLOOKUP($A42, INDIRECT("EneR!$A$6:$ZZ$1048576"), MATCH(E$1, EneR!$6:$6, 0), FALSE),
            0
        ) +
        IFERROR(
            VLOOKUP($A42, INDIRECT("FebR!$A$6:$ZZ$1048576"), MATCH(E$1, FebR!$6:$6, 0), FALSE),
            0
        ) +
        IFERROR(
            VLOOKUP($A42, INDIRECT("MarR!$A$6:$ZZ$1048576"), MATCH(E$1, MarR!$6:$6, 0), FALSE),
            0
        ) +
        IFERROR(
            VLOOKUP($A42, INDIRECT("AbrR!$A$6:$ZZ$1048576"), MATCH(E$1, AbrR!$6:$6, 0), FALSE),
            0
        ) +
        IFERROR(
            VLOOKUP($A42, INDIRECT("MayR!$A$6:$ZZ$1048576"), MATCH(E$1, MayR!$6:$6, 0), FALSE),
            0
        ) +
        IFERROR(
            VLOOKUP($A42, INDIRECT("JunR!$A$6:$ZZ$1048576"), MATCH(E$1, JunR!$6:$6, 0), FALSE),
            0
        ) +
        IFERROR(
            VLOOKUP($A42, INDIRECT("JulR!$A$6:$ZZ$1048576"), MATCH(E$1, JulR!$6:$6, 0), FALSE),
            0
        ) +
        IFERROR(
            VLOOKUP($A42, INDIRECT("AgoR!$A$6:$ZZ$1048576"), MATCH(E$1, AgoR!$6:$6, 0), FALSE),
            0
        ) +
        IFERROR(
            VLOOKUP($A42, INDIRECT("SepR!$A$6:$ZZ$1048576"), MATCH(E$1, SepR!$6:$6, 0), FALSE),
            0
        ) +
        IFERROR(
            VLOOKUP($A42, INDIRECT("OctR!$A$6:$ZZ$1048576"), MATCH(E$1, OctR!$6:$6, 0), FALSE),
            0
        ) +
        IFERROR(
            VLOOKUP($A42, INDIRECT("NovR!$A$6:$ZZ$1048576"), MATCH(E$1, NovR!$6:$6, 0), FALSE),
            0
        ) +
        IFERROR(
            VLOOKUP($A42, INDIRECT("DicR!$A$6:$ZZ$1048576"), MATCH(E$1, DicR!$6:$6, 0), FALSE),
            0
        )
)</f>
        <v>0</v>
      </c>
      <c r="F42" s="32">
        <f t="array" ref="F42">SUM(
    IFERROR(
            VLOOKUP($A42, INDIRECT("EneR!$A$6:$ZZ$1048576"), MATCH(F$1, EneR!$6:$6, 0), FALSE),
            0
        ) +
        IFERROR(
            VLOOKUP($A42, INDIRECT("FebR!$A$6:$ZZ$1048576"), MATCH(F$1, FebR!$6:$6, 0), FALSE),
            0
        ) +
        IFERROR(
            VLOOKUP($A42, INDIRECT("MarR!$A$6:$ZZ$1048576"), MATCH(F$1, MarR!$6:$6, 0), FALSE),
            0
        ) +
        IFERROR(
            VLOOKUP($A42, INDIRECT("AbrR!$A$6:$ZZ$1048576"), MATCH(F$1, AbrR!$6:$6, 0), FALSE),
            0
        ) +
        IFERROR(
            VLOOKUP($A42, INDIRECT("MayR!$A$6:$ZZ$1048576"), MATCH(F$1, MayR!$6:$6, 0), FALSE),
            0
        ) +
        IFERROR(
            VLOOKUP($A42, INDIRECT("JunR!$A$6:$ZZ$1048576"), MATCH(F$1, JunR!$6:$6, 0), FALSE),
            0
        ) +
        IFERROR(
            VLOOKUP($A42, INDIRECT("JulR!$A$6:$ZZ$1048576"), MATCH(F$1, JulR!$6:$6, 0), FALSE),
            0
        ) +
        IFERROR(
            VLOOKUP($A42, INDIRECT("AgoR!$A$6:$ZZ$1048576"), MATCH(F$1, AgoR!$6:$6, 0), FALSE),
            0
        ) +
        IFERROR(
            VLOOKUP($A42, INDIRECT("SepR!$A$6:$ZZ$1048576"), MATCH(F$1, SepR!$6:$6, 0), FALSE),
            0
        ) +
        IFERROR(
            VLOOKUP($A42, INDIRECT("OctR!$A$6:$ZZ$1048576"), MATCH(F$1, OctR!$6:$6, 0), FALSE),
            0
        ) +
        IFERROR(
            VLOOKUP($A42, INDIRECT("NovR!$A$6:$ZZ$1048576"), MATCH(F$1, NovR!$6:$6, 0), FALSE),
            0
        ) +
        IFERROR(
            VLOOKUP($A42, INDIRECT("DicR!$A$6:$ZZ$1048576"), MATCH(F$1, DicR!$6:$6, 0), FALSE),
            0
        )
)</f>
        <v>0</v>
      </c>
      <c r="G42" s="35">
        <f t="array" ref="G42">SUM(
    IFERROR(
            VLOOKUP($A42, INDIRECT("EneR!$A$6:$ZZ$1048576"), MATCH(G$1, EneR!$6:$6, 0), FALSE),
            0
        ) +
        IFERROR(
            VLOOKUP($A42, INDIRECT("FebR!$A$6:$ZZ$1048576"), MATCH(G$1, FebR!$6:$6, 0), FALSE),
            0
        ) +
        IFERROR(
            VLOOKUP($A42, INDIRECT("MarR!$A$6:$ZZ$1048576"), MATCH(G$1, MarR!$6:$6, 0), FALSE),
            0
        ) +
        IFERROR(
            VLOOKUP($A42, INDIRECT("AbrR!$A$6:$ZZ$1048576"), MATCH(G$1, AbrR!$6:$6, 0), FALSE),
            0
        ) +
        IFERROR(
            VLOOKUP($A42, INDIRECT("MayR!$A$6:$ZZ$1048576"), MATCH(G$1, MayR!$6:$6, 0), FALSE),
            0
        ) +
        IFERROR(
            VLOOKUP($A42, INDIRECT("JunR!$A$6:$ZZ$1048576"), MATCH(G$1, JunR!$6:$6, 0), FALSE),
            0
        ) +
        IFERROR(
            VLOOKUP($A42, INDIRECT("JulR!$A$6:$ZZ$1048576"), MATCH(G$1, JulR!$6:$6, 0), FALSE),
            0
        ) +
        IFERROR(
            VLOOKUP($A42, INDIRECT("AgoR!$A$6:$ZZ$1048576"), MATCH(G$1, AgoR!$6:$6, 0), FALSE),
            0
        ) +
        IFERROR(
            VLOOKUP($A42, INDIRECT("SepR!$A$6:$ZZ$1048576"), MATCH(G$1, SepR!$6:$6, 0), FALSE),
            0
        ) +
        IFERROR(
            VLOOKUP($A42, INDIRECT("OctR!$A$6:$ZZ$1048576"), MATCH(G$1, OctR!$6:$6, 0), FALSE),
            0
        ) +
        IFERROR(
            VLOOKUP($A42, INDIRECT("NovR!$A$6:$ZZ$1048576"), MATCH(G$1, NovR!$6:$6, 0), FALSE),
            0
        ) +
        IFERROR(
            VLOOKUP($A42, INDIRECT("DicR!$A$6:$ZZ$1048576"), MATCH(G$1, DicR!$6:$6, 0), FALSE),
            0
        )
)</f>
        <v>0</v>
      </c>
      <c r="H42" s="32">
        <f t="array" ref="H42">SUM(
    IFERROR(
            VLOOKUP($A42, INDIRECT("EneR!$A$6:$ZZ$1048576"), MATCH(H$1, EneR!$6:$6, 0), FALSE),
            0
        ) +
        IFERROR(
            VLOOKUP($A42, INDIRECT("FebR!$A$6:$ZZ$1048576"), MATCH(H$1, FebR!$6:$6, 0), FALSE),
            0
        ) +
        IFERROR(
            VLOOKUP($A42, INDIRECT("MarR!$A$6:$ZZ$1048576"), MATCH(H$1, MarR!$6:$6, 0), FALSE),
            0
        ) +
        IFERROR(
            VLOOKUP($A42, INDIRECT("AbrR!$A$6:$ZZ$1048576"), MATCH(H$1, AbrR!$6:$6, 0), FALSE),
            0
        ) +
        IFERROR(
            VLOOKUP($A42, INDIRECT("MayR!$A$6:$ZZ$1048576"), MATCH(H$1, MayR!$6:$6, 0), FALSE),
            0
        ) +
        IFERROR(
            VLOOKUP($A42, INDIRECT("JunR!$A$6:$ZZ$1048576"), MATCH(H$1, JunR!$6:$6, 0), FALSE),
            0
        ) +
        IFERROR(
            VLOOKUP($A42, INDIRECT("JulR!$A$6:$ZZ$1048576"), MATCH(H$1, JulR!$6:$6, 0), FALSE),
            0
        ) +
        IFERROR(
            VLOOKUP($A42, INDIRECT("AgoR!$A$6:$ZZ$1048576"), MATCH(H$1, AgoR!$6:$6, 0), FALSE),
            0
        ) +
        IFERROR(
            VLOOKUP($A42, INDIRECT("SepR!$A$6:$ZZ$1048576"), MATCH(H$1, SepR!$6:$6, 0), FALSE),
            0
        ) +
        IFERROR(
            VLOOKUP($A42, INDIRECT("OctR!$A$6:$ZZ$1048576"), MATCH(H$1, OctR!$6:$6, 0), FALSE),
            0
        ) +
        IFERROR(
            VLOOKUP($A42, INDIRECT("NovR!$A$6:$ZZ$1048576"), MATCH(H$1, NovR!$6:$6, 0), FALSE),
            0
        ) +
        IFERROR(
            VLOOKUP($A42, INDIRECT("DicR!$A$6:$ZZ$1048576"), MATCH(H$1, DicR!$6:$6, 0), FALSE),
            0
        )
)</f>
        <v>0</v>
      </c>
      <c r="I42" s="35">
        <f t="array" ref="I42">SUM(
    IFERROR(
            VLOOKUP($A42, INDIRECT("EneR!$A$6:$ZZ$1048576"), MATCH(I$1, EneR!$6:$6, 0), FALSE),
            0
        ) +
        IFERROR(
            VLOOKUP($A42, INDIRECT("FebR!$A$6:$ZZ$1048576"), MATCH(I$1, FebR!$6:$6, 0), FALSE),
            0
        ) +
        IFERROR(
            VLOOKUP($A42, INDIRECT("MarR!$A$6:$ZZ$1048576"), MATCH(I$1, MarR!$6:$6, 0), FALSE),
            0
        ) +
        IFERROR(
            VLOOKUP($A42, INDIRECT("AbrR!$A$6:$ZZ$1048576"), MATCH(I$1, AbrR!$6:$6, 0), FALSE),
            0
        ) +
        IFERROR(
            VLOOKUP($A42, INDIRECT("MayR!$A$6:$ZZ$1048576"), MATCH(I$1, MayR!$6:$6, 0), FALSE),
            0
        ) +
        IFERROR(
            VLOOKUP($A42, INDIRECT("JunR!$A$6:$ZZ$1048576"), MATCH(I$1, JunR!$6:$6, 0), FALSE),
            0
        ) +
        IFERROR(
            VLOOKUP($A42, INDIRECT("JulR!$A$6:$ZZ$1048576"), MATCH(I$1, JulR!$6:$6, 0), FALSE),
            0
        ) +
        IFERROR(
            VLOOKUP($A42, INDIRECT("AgoR!$A$6:$ZZ$1048576"), MATCH(I$1, AgoR!$6:$6, 0), FALSE),
            0
        ) +
        IFERROR(
            VLOOKUP($A42, INDIRECT("SepR!$A$6:$ZZ$1048576"), MATCH(I$1, SepR!$6:$6, 0), FALSE),
            0
        ) +
        IFERROR(
            VLOOKUP($A42, INDIRECT("OctR!$A$6:$ZZ$1048576"), MATCH(I$1, OctR!$6:$6, 0), FALSE),
            0
        ) +
        IFERROR(
            VLOOKUP($A42, INDIRECT("NovR!$A$6:$ZZ$1048576"), MATCH(I$1, NovR!$6:$6, 0), FALSE),
            0
        ) +
        IFERROR(
            VLOOKUP($A42, INDIRECT("DicR!$A$6:$ZZ$1048576"), MATCH(I$1, DicR!$6:$6, 0), FALSE),
            0
        )
)</f>
        <v>0</v>
      </c>
      <c r="J42" s="32">
        <f t="array" ref="J42">SUM(
    IFERROR(
            VLOOKUP($A42, INDIRECT("EneR!$A$6:$ZZ$1048576"), MATCH(J$1, EneR!$6:$6, 0), FALSE),
            0
        ) +
        IFERROR(
            VLOOKUP($A42, INDIRECT("FebR!$A$6:$ZZ$1048576"), MATCH(J$1, FebR!$6:$6, 0), FALSE),
            0
        ) +
        IFERROR(
            VLOOKUP($A42, INDIRECT("MarR!$A$6:$ZZ$1048576"), MATCH(J$1, MarR!$6:$6, 0), FALSE),
            0
        ) +
        IFERROR(
            VLOOKUP($A42, INDIRECT("AbrR!$A$6:$ZZ$1048576"), MATCH(J$1, AbrR!$6:$6, 0), FALSE),
            0
        ) +
        IFERROR(
            VLOOKUP($A42, INDIRECT("MayR!$A$6:$ZZ$1048576"), MATCH(J$1, MayR!$6:$6, 0), FALSE),
            0
        ) +
        IFERROR(
            VLOOKUP($A42, INDIRECT("JunR!$A$6:$ZZ$1048576"), MATCH(J$1, JunR!$6:$6, 0), FALSE),
            0
        ) +
        IFERROR(
            VLOOKUP($A42, INDIRECT("JulR!$A$6:$ZZ$1048576"), MATCH(J$1, JulR!$6:$6, 0), FALSE),
            0
        ) +
        IFERROR(
            VLOOKUP($A42, INDIRECT("AgoR!$A$6:$ZZ$1048576"), MATCH(J$1, AgoR!$6:$6, 0), FALSE),
            0
        ) +
        IFERROR(
            VLOOKUP($A42, INDIRECT("SepR!$A$6:$ZZ$1048576"), MATCH(J$1, SepR!$6:$6, 0), FALSE),
            0
        ) +
        IFERROR(
            VLOOKUP($A42, INDIRECT("OctR!$A$6:$ZZ$1048576"), MATCH(J$1, OctR!$6:$6, 0), FALSE),
            0
        ) +
        IFERROR(
            VLOOKUP($A42, INDIRECT("NovR!$A$6:$ZZ$1048576"), MATCH(J$1, NovR!$6:$6, 0), FALSE),
            0
        ) +
        IFERROR(
            VLOOKUP($A42, INDIRECT("DicR!$A$6:$ZZ$1048576"), MATCH(J$1, DicR!$6:$6, 0), FALSE),
            0
        )
)</f>
        <v>0</v>
      </c>
      <c r="K42" s="35">
        <f t="array" ref="K42">SUM(
    IFERROR(
            VLOOKUP($A42, INDIRECT("EneR!$A$6:$ZZ$1048576"), MATCH(K$1, EneR!$6:$6, 0), FALSE),
            0
        ) +
        IFERROR(
            VLOOKUP($A42, INDIRECT("FebR!$A$6:$ZZ$1048576"), MATCH(K$1, FebR!$6:$6, 0), FALSE),
            0
        ) +
        IFERROR(
            VLOOKUP($A42, INDIRECT("MarR!$A$6:$ZZ$1048576"), MATCH(K$1, MarR!$6:$6, 0), FALSE),
            0
        ) +
        IFERROR(
            VLOOKUP($A42, INDIRECT("AbrR!$A$6:$ZZ$1048576"), MATCH(K$1, AbrR!$6:$6, 0), FALSE),
            0
        ) +
        IFERROR(
            VLOOKUP($A42, INDIRECT("MayR!$A$6:$ZZ$1048576"), MATCH(K$1, MayR!$6:$6, 0), FALSE),
            0
        ) +
        IFERROR(
            VLOOKUP($A42, INDIRECT("JunR!$A$6:$ZZ$1048576"), MATCH(K$1, JunR!$6:$6, 0), FALSE),
            0
        ) +
        IFERROR(
            VLOOKUP($A42, INDIRECT("JulR!$A$6:$ZZ$1048576"), MATCH(K$1, JulR!$6:$6, 0), FALSE),
            0
        ) +
        IFERROR(
            VLOOKUP($A42, INDIRECT("AgoR!$A$6:$ZZ$1048576"), MATCH(K$1, AgoR!$6:$6, 0), FALSE),
            0
        ) +
        IFERROR(
            VLOOKUP($A42, INDIRECT("SepR!$A$6:$ZZ$1048576"), MATCH(K$1, SepR!$6:$6, 0), FALSE),
            0
        ) +
        IFERROR(
            VLOOKUP($A42, INDIRECT("OctR!$A$6:$ZZ$1048576"), MATCH(K$1, OctR!$6:$6, 0), FALSE),
            0
        ) +
        IFERROR(
            VLOOKUP($A42, INDIRECT("NovR!$A$6:$ZZ$1048576"), MATCH(K$1, NovR!$6:$6, 0), FALSE),
            0
        ) +
        IFERROR(
            VLOOKUP($A42, INDIRECT("DicR!$A$6:$ZZ$1048576"), MATCH(K$1, DicR!$6:$6, 0), FALSE),
            0
        )
)</f>
        <v>0</v>
      </c>
      <c r="L42" s="32">
        <f t="array" ref="L42">SUM(
    IFERROR(
            VLOOKUP($A42, INDIRECT("EneR!$A$6:$ZZ$1048576"), MATCH(L$1, EneR!$6:$6, 0), FALSE),
            0
        ) +
        IFERROR(
            VLOOKUP($A42, INDIRECT("FebR!$A$6:$ZZ$1048576"), MATCH(L$1, FebR!$6:$6, 0), FALSE),
            0
        ) +
        IFERROR(
            VLOOKUP($A42, INDIRECT("MarR!$A$6:$ZZ$1048576"), MATCH(L$1, MarR!$6:$6, 0), FALSE),
            0
        ) +
        IFERROR(
            VLOOKUP($A42, INDIRECT("AbrR!$A$6:$ZZ$1048576"), MATCH(L$1, AbrR!$6:$6, 0), FALSE),
            0
        ) +
        IFERROR(
            VLOOKUP($A42, INDIRECT("MayR!$A$6:$ZZ$1048576"), MATCH(L$1, MayR!$6:$6, 0), FALSE),
            0
        ) +
        IFERROR(
            VLOOKUP($A42, INDIRECT("JunR!$A$6:$ZZ$1048576"), MATCH(L$1, JunR!$6:$6, 0), FALSE),
            0
        ) +
        IFERROR(
            VLOOKUP($A42, INDIRECT("JulR!$A$6:$ZZ$1048576"), MATCH(L$1, JulR!$6:$6, 0), FALSE),
            0
        ) +
        IFERROR(
            VLOOKUP($A42, INDIRECT("AgoR!$A$6:$ZZ$1048576"), MATCH(L$1, AgoR!$6:$6, 0), FALSE),
            0
        ) +
        IFERROR(
            VLOOKUP($A42, INDIRECT("SepR!$A$6:$ZZ$1048576"), MATCH(L$1, SepR!$6:$6, 0), FALSE),
            0
        ) +
        IFERROR(
            VLOOKUP($A42, INDIRECT("OctR!$A$6:$ZZ$1048576"), MATCH(L$1, OctR!$6:$6, 0), FALSE),
            0
        ) +
        IFERROR(
            VLOOKUP($A42, INDIRECT("NovR!$A$6:$ZZ$1048576"), MATCH(L$1, NovR!$6:$6, 0), FALSE),
            0
        ) +
        IFERROR(
            VLOOKUP($A42, INDIRECT("DicR!$A$6:$ZZ$1048576"), MATCH(L$1, DicR!$6:$6, 0), FALSE),
            0
        )
)</f>
        <v>0</v>
      </c>
      <c r="M42" s="35">
        <f t="array" ref="M42">SUM(
    IFERROR(
            VLOOKUP($A42, INDIRECT("EneR!$A$6:$ZZ$1048576"), MATCH(M$1, EneR!$6:$6, 0), FALSE),
            0
        ) +
        IFERROR(
            VLOOKUP($A42, INDIRECT("FebR!$A$6:$ZZ$1048576"), MATCH(M$1, FebR!$6:$6, 0), FALSE),
            0
        ) +
        IFERROR(
            VLOOKUP($A42, INDIRECT("MarR!$A$6:$ZZ$1048576"), MATCH(M$1, MarR!$6:$6, 0), FALSE),
            0
        ) +
        IFERROR(
            VLOOKUP($A42, INDIRECT("AbrR!$A$6:$ZZ$1048576"), MATCH(M$1, AbrR!$6:$6, 0), FALSE),
            0
        ) +
        IFERROR(
            VLOOKUP($A42, INDIRECT("MayR!$A$6:$ZZ$1048576"), MATCH(M$1, MayR!$6:$6, 0), FALSE),
            0
        ) +
        IFERROR(
            VLOOKUP($A42, INDIRECT("JunR!$A$6:$ZZ$1048576"), MATCH(M$1, JunR!$6:$6, 0), FALSE),
            0
        ) +
        IFERROR(
            VLOOKUP($A42, INDIRECT("JulR!$A$6:$ZZ$1048576"), MATCH(M$1, JulR!$6:$6, 0), FALSE),
            0
        ) +
        IFERROR(
            VLOOKUP($A42, INDIRECT("AgoR!$A$6:$ZZ$1048576"), MATCH(M$1, AgoR!$6:$6, 0), FALSE),
            0
        ) +
        IFERROR(
            VLOOKUP($A42, INDIRECT("SepR!$A$6:$ZZ$1048576"), MATCH(M$1, SepR!$6:$6, 0), FALSE),
            0
        ) +
        IFERROR(
            VLOOKUP($A42, INDIRECT("OctR!$A$6:$ZZ$1048576"), MATCH(M$1, OctR!$6:$6, 0), FALSE),
            0
        ) +
        IFERROR(
            VLOOKUP($A42, INDIRECT("NovR!$A$6:$ZZ$1048576"), MATCH(M$1, NovR!$6:$6, 0), FALSE),
            0
        ) +
        IFERROR(
            VLOOKUP($A42, INDIRECT("DicR!$A$6:$ZZ$1048576"), MATCH(M$1, DicR!$6:$6, 0), FALSE),
            0
        )
)</f>
        <v>0</v>
      </c>
      <c r="N42" s="32">
        <f t="array" ref="N42">SUM(
    IFERROR(
            VLOOKUP($A42, INDIRECT("EneR!$A$6:$ZZ$1048576"), MATCH(N$1, EneR!$6:$6, 0), FALSE),
            0
        ) +
        IFERROR(
            VLOOKUP($A42, INDIRECT("FebR!$A$6:$ZZ$1048576"), MATCH(N$1, FebR!$6:$6, 0), FALSE),
            0
        ) +
        IFERROR(
            VLOOKUP($A42, INDIRECT("MarR!$A$6:$ZZ$1048576"), MATCH(N$1, MarR!$6:$6, 0), FALSE),
            0
        ) +
        IFERROR(
            VLOOKUP($A42, INDIRECT("AbrR!$A$6:$ZZ$1048576"), MATCH(N$1, AbrR!$6:$6, 0), FALSE),
            0
        ) +
        IFERROR(
            VLOOKUP($A42, INDIRECT("MayR!$A$6:$ZZ$1048576"), MATCH(N$1, MayR!$6:$6, 0), FALSE),
            0
        ) +
        IFERROR(
            VLOOKUP($A42, INDIRECT("JunR!$A$6:$ZZ$1048576"), MATCH(N$1, JunR!$6:$6, 0), FALSE),
            0
        ) +
        IFERROR(
            VLOOKUP($A42, INDIRECT("JulR!$A$6:$ZZ$1048576"), MATCH(N$1, JulR!$6:$6, 0), FALSE),
            0
        ) +
        IFERROR(
            VLOOKUP($A42, INDIRECT("AgoR!$A$6:$ZZ$1048576"), MATCH(N$1, AgoR!$6:$6, 0), FALSE),
            0
        ) +
        IFERROR(
            VLOOKUP($A42, INDIRECT("SepR!$A$6:$ZZ$1048576"), MATCH(N$1, SepR!$6:$6, 0), FALSE),
            0
        ) +
        IFERROR(
            VLOOKUP($A42, INDIRECT("OctR!$A$6:$ZZ$1048576"), MATCH(N$1, OctR!$6:$6, 0), FALSE),
            0
        ) +
        IFERROR(
            VLOOKUP($A42, INDIRECT("NovR!$A$6:$ZZ$1048576"), MATCH(N$1, NovR!$6:$6, 0), FALSE),
            0
        ) +
        IFERROR(
            VLOOKUP($A42, INDIRECT("DicR!$A$6:$ZZ$1048576"), MATCH(N$1, DicR!$6:$6, 0), FALSE),
            0
        )
)</f>
        <v>0</v>
      </c>
      <c r="O42" s="35">
        <f t="array" ref="O42">SUM(
    IFERROR(
            VLOOKUP($A42, INDIRECT("EneR!$A$6:$ZZ$1048576"), MATCH(O$1, EneR!$6:$6, 0), FALSE),
            0
        ) +
        IFERROR(
            VLOOKUP($A42, INDIRECT("FebR!$A$6:$ZZ$1048576"), MATCH(O$1, FebR!$6:$6, 0), FALSE),
            0
        ) +
        IFERROR(
            VLOOKUP($A42, INDIRECT("MarR!$A$6:$ZZ$1048576"), MATCH(O$1, MarR!$6:$6, 0), FALSE),
            0
        ) +
        IFERROR(
            VLOOKUP($A42, INDIRECT("AbrR!$A$6:$ZZ$1048576"), MATCH(O$1, AbrR!$6:$6, 0), FALSE),
            0
        ) +
        IFERROR(
            VLOOKUP($A42, INDIRECT("MayR!$A$6:$ZZ$1048576"), MATCH(O$1, MayR!$6:$6, 0), FALSE),
            0
        ) +
        IFERROR(
            VLOOKUP($A42, INDIRECT("JunR!$A$6:$ZZ$1048576"), MATCH(O$1, JunR!$6:$6, 0), FALSE),
            0
        ) +
        IFERROR(
            VLOOKUP($A42, INDIRECT("JulR!$A$6:$ZZ$1048576"), MATCH(O$1, JulR!$6:$6, 0), FALSE),
            0
        ) +
        IFERROR(
            VLOOKUP($A42, INDIRECT("AgoR!$A$6:$ZZ$1048576"), MATCH(O$1, AgoR!$6:$6, 0), FALSE),
            0
        ) +
        IFERROR(
            VLOOKUP($A42, INDIRECT("SepR!$A$6:$ZZ$1048576"), MATCH(O$1, SepR!$6:$6, 0), FALSE),
            0
        ) +
        IFERROR(
            VLOOKUP($A42, INDIRECT("OctR!$A$6:$ZZ$1048576"), MATCH(O$1, OctR!$6:$6, 0), FALSE),
            0
        ) +
        IFERROR(
            VLOOKUP($A42, INDIRECT("NovR!$A$6:$ZZ$1048576"), MATCH(O$1, NovR!$6:$6, 0), FALSE),
            0
        ) +
        IFERROR(
            VLOOKUP($A42, INDIRECT("DicR!$A$6:$ZZ$1048576"), MATCH(O$1, DicR!$6:$6, 0), FALSE),
            0
        )
)</f>
        <v>0</v>
      </c>
      <c r="P42" s="32">
        <f t="array" ref="P42">SUM(
    IFERROR(
            VLOOKUP($A42, INDIRECT("EneR!$A$6:$ZZ$1048576"), MATCH(P$1, EneR!$6:$6, 0), FALSE),
            0
        ) +
        IFERROR(
            VLOOKUP($A42, INDIRECT("FebR!$A$6:$ZZ$1048576"), MATCH(P$1, FebR!$6:$6, 0), FALSE),
            0
        ) +
        IFERROR(
            VLOOKUP($A42, INDIRECT("MarR!$A$6:$ZZ$1048576"), MATCH(P$1, MarR!$6:$6, 0), FALSE),
            0
        ) +
        IFERROR(
            VLOOKUP($A42, INDIRECT("AbrR!$A$6:$ZZ$1048576"), MATCH(P$1, AbrR!$6:$6, 0), FALSE),
            0
        ) +
        IFERROR(
            VLOOKUP($A42, INDIRECT("MayR!$A$6:$ZZ$1048576"), MATCH(P$1, MayR!$6:$6, 0), FALSE),
            0
        ) +
        IFERROR(
            VLOOKUP($A42, INDIRECT("JunR!$A$6:$ZZ$1048576"), MATCH(P$1, JunR!$6:$6, 0), FALSE),
            0
        ) +
        IFERROR(
            VLOOKUP($A42, INDIRECT("JulR!$A$6:$ZZ$1048576"), MATCH(P$1, JulR!$6:$6, 0), FALSE),
            0
        ) +
        IFERROR(
            VLOOKUP($A42, INDIRECT("AgoR!$A$6:$ZZ$1048576"), MATCH(P$1, AgoR!$6:$6, 0), FALSE),
            0
        ) +
        IFERROR(
            VLOOKUP($A42, INDIRECT("SepR!$A$6:$ZZ$1048576"), MATCH(P$1, SepR!$6:$6, 0), FALSE),
            0
        ) +
        IFERROR(
            VLOOKUP($A42, INDIRECT("OctR!$A$6:$ZZ$1048576"), MATCH(P$1, OctR!$6:$6, 0), FALSE),
            0
        ) +
        IFERROR(
            VLOOKUP($A42, INDIRECT("NovR!$A$6:$ZZ$1048576"), MATCH(P$1, NovR!$6:$6, 0), FALSE),
            0
        ) +
        IFERROR(
            VLOOKUP($A42, INDIRECT("DicR!$A$6:$ZZ$1048576"), MATCH(P$1, DicR!$6:$6, 0), FALSE),
            0
        )
)</f>
        <v>0</v>
      </c>
      <c r="Q42" s="35">
        <f t="array" ref="Q42">SUM(
    IFERROR(
            VLOOKUP($A42, INDIRECT("EneR!$A$6:$ZZ$1048576"), MATCH(Q$1, EneR!$6:$6, 0), FALSE),
            0
        ) +
        IFERROR(
            VLOOKUP($A42, INDIRECT("FebR!$A$6:$ZZ$1048576"), MATCH(Q$1, FebR!$6:$6, 0), FALSE),
            0
        ) +
        IFERROR(
            VLOOKUP($A42, INDIRECT("MarR!$A$6:$ZZ$1048576"), MATCH(Q$1, MarR!$6:$6, 0), FALSE),
            0
        ) +
        IFERROR(
            VLOOKUP($A42, INDIRECT("AbrR!$A$6:$ZZ$1048576"), MATCH(Q$1, AbrR!$6:$6, 0), FALSE),
            0
        ) +
        IFERROR(
            VLOOKUP($A42, INDIRECT("MayR!$A$6:$ZZ$1048576"), MATCH(Q$1, MayR!$6:$6, 0), FALSE),
            0
        ) +
        IFERROR(
            VLOOKUP($A42, INDIRECT("JunR!$A$6:$ZZ$1048576"), MATCH(Q$1, JunR!$6:$6, 0), FALSE),
            0
        ) +
        IFERROR(
            VLOOKUP($A42, INDIRECT("JulR!$A$6:$ZZ$1048576"), MATCH(Q$1, JulR!$6:$6, 0), FALSE),
            0
        ) +
        IFERROR(
            VLOOKUP($A42, INDIRECT("AgoR!$A$6:$ZZ$1048576"), MATCH(Q$1, AgoR!$6:$6, 0), FALSE),
            0
        ) +
        IFERROR(
            VLOOKUP($A42, INDIRECT("SepR!$A$6:$ZZ$1048576"), MATCH(Q$1, SepR!$6:$6, 0), FALSE),
            0
        ) +
        IFERROR(
            VLOOKUP($A42, INDIRECT("OctR!$A$6:$ZZ$1048576"), MATCH(Q$1, OctR!$6:$6, 0), FALSE),
            0
        ) +
        IFERROR(
            VLOOKUP($A42, INDIRECT("NovR!$A$6:$ZZ$1048576"), MATCH(Q$1, NovR!$6:$6, 0), FALSE),
            0
        ) +
        IFERROR(
            VLOOKUP($A42, INDIRECT("DicR!$A$6:$ZZ$1048576"), MATCH(Q$1, DicR!$6:$6, 0), FALSE),
            0
        )
)</f>
        <v>0</v>
      </c>
      <c r="R42" s="36">
        <f t="array" ref="R42">SUM(
    IFERROR(
            VLOOKUP($A42, INDIRECT("EneR!$A$6:$ZZ$1048576"), MATCH(R$1, EneR!$6:$6, 0), FALSE),
            0
        ) +
        IFERROR(
            VLOOKUP($A42, INDIRECT("FebR!$A$6:$ZZ$1048576"), MATCH(R$1, FebR!$6:$6, 0), FALSE),
            0
        ) +
        IFERROR(
            VLOOKUP($A42, INDIRECT("MarR!$A$6:$ZZ$1048576"), MATCH(R$1, MarR!$6:$6, 0), FALSE),
            0
        ) +
        IFERROR(
            VLOOKUP($A42, INDIRECT("AbrR!$A$6:$ZZ$1048576"), MATCH(R$1, AbrR!$6:$6, 0), FALSE),
            0
        ) +
        IFERROR(
            VLOOKUP($A42, INDIRECT("MayR!$A$6:$ZZ$1048576"), MATCH(R$1, MayR!$6:$6, 0), FALSE),
            0
        ) +
        IFERROR(
            VLOOKUP($A42, INDIRECT("JunR!$A$6:$ZZ$1048576"), MATCH(R$1, JunR!$6:$6, 0), FALSE),
            0
        ) +
        IFERROR(
            VLOOKUP($A42, INDIRECT("JulR!$A$6:$ZZ$1048576"), MATCH(R$1, JulR!$6:$6, 0), FALSE),
            0
        ) +
        IFERROR(
            VLOOKUP($A42, INDIRECT("AgoR!$A$6:$ZZ$1048576"), MATCH(R$1, AgoR!$6:$6, 0), FALSE),
            0
        ) +
        IFERROR(
            VLOOKUP($A42, INDIRECT("SepR!$A$6:$ZZ$1048576"), MATCH(R$1, SepR!$6:$6, 0), FALSE),
            0
        ) +
        IFERROR(
            VLOOKUP($A42, INDIRECT("OctR!$A$6:$ZZ$1048576"), MATCH(R$1, OctR!$6:$6, 0), FALSE),
            0
        ) +
        IFERROR(
            VLOOKUP($A42, INDIRECT("NovR!$A$6:$ZZ$1048576"), MATCH(R$1, NovR!$6:$6, 0), FALSE),
            0
        ) +
        IFERROR(
            VLOOKUP($A42, INDIRECT("DicR!$A$6:$ZZ$1048576"), MATCH(R$1, DicR!$6:$6, 0), FALSE),
            0
        )
)</f>
        <v>0</v>
      </c>
      <c r="S42" s="37">
        <f t="array" ref="S42">SUM(
    IFERROR(
            VLOOKUP($A42, INDIRECT("EneR!$A$6:$ZZ$1048576"), MATCH(S$1, EneR!$6:$6, 0), FALSE),
            0
        ) +
        IFERROR(
            VLOOKUP($A42, INDIRECT("FebR!$A$6:$ZZ$1048576"), MATCH(S$1, FebR!$6:$6, 0), FALSE),
            0
        ) +
        IFERROR(
            VLOOKUP($A42, INDIRECT("MarR!$A$6:$ZZ$1048576"), MATCH(S$1, MarR!$6:$6, 0), FALSE),
            0
        ) +
        IFERROR(
            VLOOKUP($A42, INDIRECT("AbrR!$A$6:$ZZ$1048576"), MATCH(S$1, AbrR!$6:$6, 0), FALSE),
            0
        ) +
        IFERROR(
            VLOOKUP($A42, INDIRECT("MayR!$A$6:$ZZ$1048576"), MATCH(S$1, MayR!$6:$6, 0), FALSE),
            0
        ) +
        IFERROR(
            VLOOKUP($A42, INDIRECT("JunR!$A$6:$ZZ$1048576"), MATCH(S$1, JunR!$6:$6, 0), FALSE),
            0
        ) +
        IFERROR(
            VLOOKUP($A42, INDIRECT("JulR!$A$6:$ZZ$1048576"), MATCH(S$1, JulR!$6:$6, 0), FALSE),
            0
        ) +
        IFERROR(
            VLOOKUP($A42, INDIRECT("AgoR!$A$6:$ZZ$1048576"), MATCH(S$1, AgoR!$6:$6, 0), FALSE),
            0
        ) +
        IFERROR(
            VLOOKUP($A42, INDIRECT("SepR!$A$6:$ZZ$1048576"), MATCH(S$1, SepR!$6:$6, 0), FALSE),
            0
        ) +
        IFERROR(
            VLOOKUP($A42, INDIRECT("OctR!$A$6:$ZZ$1048576"), MATCH(S$1, OctR!$6:$6, 0), FALSE),
            0
        ) +
        IFERROR(
            VLOOKUP($A42, INDIRECT("NovR!$A$6:$ZZ$1048576"), MATCH(S$1, NovR!$6:$6, 0), FALSE),
            0
        ) +
        IFERROR(
            VLOOKUP($A42, INDIRECT("DicR!$A$6:$ZZ$1048576"), MATCH(S$1, DicR!$6:$6, 0), FALSE),
            0
        )
)</f>
        <v>0</v>
      </c>
      <c r="T42" s="36">
        <f t="array" ref="T42">SUM(
    IFERROR(
            VLOOKUP($A42, INDIRECT("EneR!$A$6:$ZZ$1048576"), MATCH(T$1, EneR!$6:$6, 0), FALSE),
            0
        ) +
        IFERROR(
            VLOOKUP($A42, INDIRECT("FebR!$A$6:$ZZ$1048576"), MATCH(T$1, FebR!$6:$6, 0), FALSE),
            0
        ) +
        IFERROR(
            VLOOKUP($A42, INDIRECT("MarR!$A$6:$ZZ$1048576"), MATCH(T$1, MarR!$6:$6, 0), FALSE),
            0
        ) +
        IFERROR(
            VLOOKUP($A42, INDIRECT("AbrR!$A$6:$ZZ$1048576"), MATCH(T$1, AbrR!$6:$6, 0), FALSE),
            0
        ) +
        IFERROR(
            VLOOKUP($A42, INDIRECT("MayR!$A$6:$ZZ$1048576"), MATCH(T$1, MayR!$6:$6, 0), FALSE),
            0
        ) +
        IFERROR(
            VLOOKUP($A42, INDIRECT("JunR!$A$6:$ZZ$1048576"), MATCH(T$1, JunR!$6:$6, 0), FALSE),
            0
        ) +
        IFERROR(
            VLOOKUP($A42, INDIRECT("JulR!$A$6:$ZZ$1048576"), MATCH(T$1, JulR!$6:$6, 0), FALSE),
            0
        ) +
        IFERROR(
            VLOOKUP($A42, INDIRECT("AgoR!$A$6:$ZZ$1048576"), MATCH(T$1, AgoR!$6:$6, 0), FALSE),
            0
        ) +
        IFERROR(
            VLOOKUP($A42, INDIRECT("SepR!$A$6:$ZZ$1048576"), MATCH(T$1, SepR!$6:$6, 0), FALSE),
            0
        ) +
        IFERROR(
            VLOOKUP($A42, INDIRECT("OctR!$A$6:$ZZ$1048576"), MATCH(T$1, OctR!$6:$6, 0), FALSE),
            0
        ) +
        IFERROR(
            VLOOKUP($A42, INDIRECT("NovR!$A$6:$ZZ$1048576"), MATCH(T$1, NovR!$6:$6, 0), FALSE),
            0
        ) +
        IFERROR(
            VLOOKUP($A42, INDIRECT("DicR!$A$6:$ZZ$1048576"), MATCH(T$1, DicR!$6:$6, 0), FALSE),
            0
        )
)</f>
        <v>0</v>
      </c>
      <c r="U42" s="37">
        <f t="array" ref="U42">SUM(
    IFERROR(
            VLOOKUP($A42, INDIRECT("EneR!$A$6:$ZZ$1048576"), MATCH(U$1, EneR!$6:$6, 0), FALSE),
            0
        ) +
        IFERROR(
            VLOOKUP($A42, INDIRECT("FebR!$A$6:$ZZ$1048576"), MATCH(U$1, FebR!$6:$6, 0), FALSE),
            0
        ) +
        IFERROR(
            VLOOKUP($A42, INDIRECT("MarR!$A$6:$ZZ$1048576"), MATCH(U$1, MarR!$6:$6, 0), FALSE),
            0
        ) +
        IFERROR(
            VLOOKUP($A42, INDIRECT("AbrR!$A$6:$ZZ$1048576"), MATCH(U$1, AbrR!$6:$6, 0), FALSE),
            0
        ) +
        IFERROR(
            VLOOKUP($A42, INDIRECT("MayR!$A$6:$ZZ$1048576"), MATCH(U$1, MayR!$6:$6, 0), FALSE),
            0
        ) +
        IFERROR(
            VLOOKUP($A42, INDIRECT("JunR!$A$6:$ZZ$1048576"), MATCH(U$1, JunR!$6:$6, 0), FALSE),
            0
        ) +
        IFERROR(
            VLOOKUP($A42, INDIRECT("JulR!$A$6:$ZZ$1048576"), MATCH(U$1, JulR!$6:$6, 0), FALSE),
            0
        ) +
        IFERROR(
            VLOOKUP($A42, INDIRECT("AgoR!$A$6:$ZZ$1048576"), MATCH(U$1, AgoR!$6:$6, 0), FALSE),
            0
        ) +
        IFERROR(
            VLOOKUP($A42, INDIRECT("SepR!$A$6:$ZZ$1048576"), MATCH(U$1, SepR!$6:$6, 0), FALSE),
            0
        ) +
        IFERROR(
            VLOOKUP($A42, INDIRECT("OctR!$A$6:$ZZ$1048576"), MATCH(U$1, OctR!$6:$6, 0), FALSE),
            0
        ) +
        IFERROR(
            VLOOKUP($A42, INDIRECT("NovR!$A$6:$ZZ$1048576"), MATCH(U$1, NovR!$6:$6, 0), FALSE),
            0
        ) +
        IFERROR(
            VLOOKUP($A42, INDIRECT("DicR!$A$6:$ZZ$1048576"), MATCH(U$1, DicR!$6:$6, 0), FALSE),
            0
        )
)</f>
        <v>0</v>
      </c>
      <c r="V42" s="36">
        <f t="array" ref="V42">SUM(
    IFERROR(
            VLOOKUP($A42, INDIRECT("EneR!$A$6:$ZZ$1048576"), MATCH(V$1, EneR!$6:$6, 0), FALSE),
            0
        ) +
        IFERROR(
            VLOOKUP($A42, INDIRECT("FebR!$A$6:$ZZ$1048576"), MATCH(V$1, FebR!$6:$6, 0), FALSE),
            0
        ) +
        IFERROR(
            VLOOKUP($A42, INDIRECT("MarR!$A$6:$ZZ$1048576"), MATCH(V$1, MarR!$6:$6, 0), FALSE),
            0
        ) +
        IFERROR(
            VLOOKUP($A42, INDIRECT("AbrR!$A$6:$ZZ$1048576"), MATCH(V$1, AbrR!$6:$6, 0), FALSE),
            0
        ) +
        IFERROR(
            VLOOKUP($A42, INDIRECT("MayR!$A$6:$ZZ$1048576"), MATCH(V$1, MayR!$6:$6, 0), FALSE),
            0
        ) +
        IFERROR(
            VLOOKUP($A42, INDIRECT("JunR!$A$6:$ZZ$1048576"), MATCH(V$1, JunR!$6:$6, 0), FALSE),
            0
        ) +
        IFERROR(
            VLOOKUP($A42, INDIRECT("JulR!$A$6:$ZZ$1048576"), MATCH(V$1, JulR!$6:$6, 0), FALSE),
            0
        ) +
        IFERROR(
            VLOOKUP($A42, INDIRECT("AgoR!$A$6:$ZZ$1048576"), MATCH(V$1, AgoR!$6:$6, 0), FALSE),
            0
        ) +
        IFERROR(
            VLOOKUP($A42, INDIRECT("SepR!$A$6:$ZZ$1048576"), MATCH(V$1, SepR!$6:$6, 0), FALSE),
            0
        ) +
        IFERROR(
            VLOOKUP($A42, INDIRECT("OctR!$A$6:$ZZ$1048576"), MATCH(V$1, OctR!$6:$6, 0), FALSE),
            0
        ) +
        IFERROR(
            VLOOKUP($A42, INDIRECT("NovR!$A$6:$ZZ$1048576"), MATCH(V$1, NovR!$6:$6, 0), FALSE),
            0
        ) +
        IFERROR(
            VLOOKUP($A42, INDIRECT("DicR!$A$6:$ZZ$1048576"), MATCH(V$1, DicR!$6:$6, 0), FALSE),
            0
        )
)</f>
        <v>0</v>
      </c>
      <c r="W42" s="37">
        <f t="array" ref="W42">SUM(
    IFERROR(
            VLOOKUP($A42, INDIRECT("EneR!$A$6:$ZZ$1048576"), MATCH(W$1, EneR!$6:$6, 0), FALSE),
            0
        ) +
        IFERROR(
            VLOOKUP($A42, INDIRECT("FebR!$A$6:$ZZ$1048576"), MATCH(W$1, FebR!$6:$6, 0), FALSE),
            0
        ) +
        IFERROR(
            VLOOKUP($A42, INDIRECT("MarR!$A$6:$ZZ$1048576"), MATCH(W$1, MarR!$6:$6, 0), FALSE),
            0
        ) +
        IFERROR(
            VLOOKUP($A42, INDIRECT("AbrR!$A$6:$ZZ$1048576"), MATCH(W$1, AbrR!$6:$6, 0), FALSE),
            0
        ) +
        IFERROR(
            VLOOKUP($A42, INDIRECT("MayR!$A$6:$ZZ$1048576"), MATCH(W$1, MayR!$6:$6, 0), FALSE),
            0
        ) +
        IFERROR(
            VLOOKUP($A42, INDIRECT("JunR!$A$6:$ZZ$1048576"), MATCH(W$1, JunR!$6:$6, 0), FALSE),
            0
        ) +
        IFERROR(
            VLOOKUP($A42, INDIRECT("JulR!$A$6:$ZZ$1048576"), MATCH(W$1, JulR!$6:$6, 0), FALSE),
            0
        ) +
        IFERROR(
            VLOOKUP($A42, INDIRECT("AgoR!$A$6:$ZZ$1048576"), MATCH(W$1, AgoR!$6:$6, 0), FALSE),
            0
        ) +
        IFERROR(
            VLOOKUP($A42, INDIRECT("SepR!$A$6:$ZZ$1048576"), MATCH(W$1, SepR!$6:$6, 0), FALSE),
            0
        ) +
        IFERROR(
            VLOOKUP($A42, INDIRECT("OctR!$A$6:$ZZ$1048576"), MATCH(W$1, OctR!$6:$6, 0), FALSE),
            0
        ) +
        IFERROR(
            VLOOKUP($A42, INDIRECT("NovR!$A$6:$ZZ$1048576"), MATCH(W$1, NovR!$6:$6, 0), FALSE),
            0
        ) +
        IFERROR(
            VLOOKUP($A42, INDIRECT("DicR!$A$6:$ZZ$1048576"), MATCH(W$1, DicR!$6:$6, 0), FALSE),
            0
        )
)</f>
        <v>0</v>
      </c>
      <c r="X42" s="36">
        <f t="array" ref="X42">SUM(
    IFERROR(
            VLOOKUP($A42, INDIRECT("EneR!$A$6:$ZZ$1048576"), MATCH(X$1, EneR!$6:$6, 0), FALSE),
            0
        ) +
        IFERROR(
            VLOOKUP($A42, INDIRECT("FebR!$A$6:$ZZ$1048576"), MATCH(X$1, FebR!$6:$6, 0), FALSE),
            0
        ) +
        IFERROR(
            VLOOKUP($A42, INDIRECT("MarR!$A$6:$ZZ$1048576"), MATCH(X$1, MarR!$6:$6, 0), FALSE),
            0
        ) +
        IFERROR(
            VLOOKUP($A42, INDIRECT("AbrR!$A$6:$ZZ$1048576"), MATCH(X$1, AbrR!$6:$6, 0), FALSE),
            0
        ) +
        IFERROR(
            VLOOKUP($A42, INDIRECT("MayR!$A$6:$ZZ$1048576"), MATCH(X$1, MayR!$6:$6, 0), FALSE),
            0
        ) +
        IFERROR(
            VLOOKUP($A42, INDIRECT("JunR!$A$6:$ZZ$1048576"), MATCH(X$1, JunR!$6:$6, 0), FALSE),
            0
        ) +
        IFERROR(
            VLOOKUP($A42, INDIRECT("JulR!$A$6:$ZZ$1048576"), MATCH(X$1, JulR!$6:$6, 0), FALSE),
            0
        ) +
        IFERROR(
            VLOOKUP($A42, INDIRECT("AgoR!$A$6:$ZZ$1048576"), MATCH(X$1, AgoR!$6:$6, 0), FALSE),
            0
        ) +
        IFERROR(
            VLOOKUP($A42, INDIRECT("SepR!$A$6:$ZZ$1048576"), MATCH(X$1, SepR!$6:$6, 0), FALSE),
            0
        ) +
        IFERROR(
            VLOOKUP($A42, INDIRECT("OctR!$A$6:$ZZ$1048576"), MATCH(X$1, OctR!$6:$6, 0), FALSE),
            0
        ) +
        IFERROR(
            VLOOKUP($A42, INDIRECT("NovR!$A$6:$ZZ$1048576"), MATCH(X$1, NovR!$6:$6, 0), FALSE),
            0
        ) +
        IFERROR(
            VLOOKUP($A42, INDIRECT("DicR!$A$6:$ZZ$1048576"), MATCH(X$1, DicR!$6:$6, 0), FALSE),
            0
        )
)</f>
        <v>0</v>
      </c>
      <c r="Y42" s="37">
        <f t="array" ref="Y42">SUM(
    IFERROR(
            VLOOKUP($A42, INDIRECT("EneR!$A$6:$ZZ$1048576"), MATCH(Y$1, EneR!$6:$6, 0), FALSE),
            0
        ) +
        IFERROR(
            VLOOKUP($A42, INDIRECT("FebR!$A$6:$ZZ$1048576"), MATCH(Y$1, FebR!$6:$6, 0), FALSE),
            0
        ) +
        IFERROR(
            VLOOKUP($A42, INDIRECT("MarR!$A$6:$ZZ$1048576"), MATCH(Y$1, MarR!$6:$6, 0), FALSE),
            0
        ) +
        IFERROR(
            VLOOKUP($A42, INDIRECT("AbrR!$A$6:$ZZ$1048576"), MATCH(Y$1, AbrR!$6:$6, 0), FALSE),
            0
        ) +
        IFERROR(
            VLOOKUP($A42, INDIRECT("MayR!$A$6:$ZZ$1048576"), MATCH(Y$1, MayR!$6:$6, 0), FALSE),
            0
        ) +
        IFERROR(
            VLOOKUP($A42, INDIRECT("JunR!$A$6:$ZZ$1048576"), MATCH(Y$1, JunR!$6:$6, 0), FALSE),
            0
        ) +
        IFERROR(
            VLOOKUP($A42, INDIRECT("JulR!$A$6:$ZZ$1048576"), MATCH(Y$1, JulR!$6:$6, 0), FALSE),
            0
        ) +
        IFERROR(
            VLOOKUP($A42, INDIRECT("AgoR!$A$6:$ZZ$1048576"), MATCH(Y$1, AgoR!$6:$6, 0), FALSE),
            0
        ) +
        IFERROR(
            VLOOKUP($A42, INDIRECT("SepR!$A$6:$ZZ$1048576"), MATCH(Y$1, SepR!$6:$6, 0), FALSE),
            0
        ) +
        IFERROR(
            VLOOKUP($A42, INDIRECT("OctR!$A$6:$ZZ$1048576"), MATCH(Y$1, OctR!$6:$6, 0), FALSE),
            0
        ) +
        IFERROR(
            VLOOKUP($A42, INDIRECT("NovR!$A$6:$ZZ$1048576"), MATCH(Y$1, NovR!$6:$6, 0), FALSE),
            0
        ) +
        IFERROR(
            VLOOKUP($A42, INDIRECT("DicR!$A$6:$ZZ$1048576"), MATCH(Y$1, DicR!$6:$6, 0), FALSE),
            0
        )
)</f>
        <v>0</v>
      </c>
      <c r="Z42" s="36">
        <f t="array" ref="Z42">SUM(
    IFERROR(
            VLOOKUP($A42, INDIRECT("EneR!$A$6:$ZZ$1048576"), MATCH(Z$1, EneR!$6:$6, 0), FALSE),
            0
        ) +
        IFERROR(
            VLOOKUP($A42, INDIRECT("FebR!$A$6:$ZZ$1048576"), MATCH(Z$1, FebR!$6:$6, 0), FALSE),
            0
        ) +
        IFERROR(
            VLOOKUP($A42, INDIRECT("MarR!$A$6:$ZZ$1048576"), MATCH(Z$1, MarR!$6:$6, 0), FALSE),
            0
        ) +
        IFERROR(
            VLOOKUP($A42, INDIRECT("AbrR!$A$6:$ZZ$1048576"), MATCH(Z$1, AbrR!$6:$6, 0), FALSE),
            0
        ) +
        IFERROR(
            VLOOKUP($A42, INDIRECT("MayR!$A$6:$ZZ$1048576"), MATCH(Z$1, MayR!$6:$6, 0), FALSE),
            0
        ) +
        IFERROR(
            VLOOKUP($A42, INDIRECT("JunR!$A$6:$ZZ$1048576"), MATCH(Z$1, JunR!$6:$6, 0), FALSE),
            0
        ) +
        IFERROR(
            VLOOKUP($A42, INDIRECT("JulR!$A$6:$ZZ$1048576"), MATCH(Z$1, JulR!$6:$6, 0), FALSE),
            0
        ) +
        IFERROR(
            VLOOKUP($A42, INDIRECT("AgoR!$A$6:$ZZ$1048576"), MATCH(Z$1, AgoR!$6:$6, 0), FALSE),
            0
        ) +
        IFERROR(
            VLOOKUP($A42, INDIRECT("SepR!$A$6:$ZZ$1048576"), MATCH(Z$1, SepR!$6:$6, 0), FALSE),
            0
        ) +
        IFERROR(
            VLOOKUP($A42, INDIRECT("OctR!$A$6:$ZZ$1048576"), MATCH(Z$1, OctR!$6:$6, 0), FALSE),
            0
        ) +
        IFERROR(
            VLOOKUP($A42, INDIRECT("NovR!$A$6:$ZZ$1048576"), MATCH(Z$1, NovR!$6:$6, 0), FALSE),
            0
        ) +
        IFERROR(
            VLOOKUP($A42, INDIRECT("DicR!$A$6:$ZZ$1048576"), MATCH(Z$1, DicR!$6:$6, 0), FALSE),
            0
        )
)</f>
        <v>0</v>
      </c>
      <c r="AA42" s="37">
        <f t="array" ref="AA42">SUM(
    IFERROR(
            VLOOKUP($A42, INDIRECT("EneR!$A$6:$ZZ$1048576"), MATCH(AA$1, EneR!$6:$6, 0), FALSE),
            0
        ) +
        IFERROR(
            VLOOKUP($A42, INDIRECT("FebR!$A$6:$ZZ$1048576"), MATCH(AA$1, FebR!$6:$6, 0), FALSE),
            0
        ) +
        IFERROR(
            VLOOKUP($A42, INDIRECT("MarR!$A$6:$ZZ$1048576"), MATCH(AA$1, MarR!$6:$6, 0), FALSE),
            0
        ) +
        IFERROR(
            VLOOKUP($A42, INDIRECT("AbrR!$A$6:$ZZ$1048576"), MATCH(AA$1, AbrR!$6:$6, 0), FALSE),
            0
        ) +
        IFERROR(
            VLOOKUP($A42, INDIRECT("MayR!$A$6:$ZZ$1048576"), MATCH(AA$1, MayR!$6:$6, 0), FALSE),
            0
        ) +
        IFERROR(
            VLOOKUP($A42, INDIRECT("JunR!$A$6:$ZZ$1048576"), MATCH(AA$1, JunR!$6:$6, 0), FALSE),
            0
        ) +
        IFERROR(
            VLOOKUP($A42, INDIRECT("JulR!$A$6:$ZZ$1048576"), MATCH(AA$1, JulR!$6:$6, 0), FALSE),
            0
        ) +
        IFERROR(
            VLOOKUP($A42, INDIRECT("AgoR!$A$6:$ZZ$1048576"), MATCH(AA$1, AgoR!$6:$6, 0), FALSE),
            0
        ) +
        IFERROR(
            VLOOKUP($A42, INDIRECT("SepR!$A$6:$ZZ$1048576"), MATCH(AA$1, SepR!$6:$6, 0), FALSE),
            0
        ) +
        IFERROR(
            VLOOKUP($A42, INDIRECT("OctR!$A$6:$ZZ$1048576"), MATCH(AA$1, OctR!$6:$6, 0), FALSE),
            0
        ) +
        IFERROR(
            VLOOKUP($A42, INDIRECT("NovR!$A$6:$ZZ$1048576"), MATCH(AA$1, NovR!$6:$6, 0), FALSE),
            0
        ) +
        IFERROR(
            VLOOKUP($A42, INDIRECT("DicR!$A$6:$ZZ$1048576"), MATCH(AA$1, DicR!$6:$6, 0), FALSE),
            0
        )
)</f>
        <v>0</v>
      </c>
      <c r="AB42" s="36">
        <f t="array" ref="AB42">SUM(
    IFERROR(
            VLOOKUP($A42, INDIRECT("EneR!$A$6:$ZZ$1048576"), MATCH(AB$1, EneR!$6:$6, 0), FALSE),
            0
        ) +
        IFERROR(
            VLOOKUP($A42, INDIRECT("FebR!$A$6:$ZZ$1048576"), MATCH(AB$1, FebR!$6:$6, 0), FALSE),
            0
        ) +
        IFERROR(
            VLOOKUP($A42, INDIRECT("MarR!$A$6:$ZZ$1048576"), MATCH(AB$1, MarR!$6:$6, 0), FALSE),
            0
        ) +
        IFERROR(
            VLOOKUP($A42, INDIRECT("AbrR!$A$6:$ZZ$1048576"), MATCH(AB$1, AbrR!$6:$6, 0), FALSE),
            0
        ) +
        IFERROR(
            VLOOKUP($A42, INDIRECT("MayR!$A$6:$ZZ$1048576"), MATCH(AB$1, MayR!$6:$6, 0), FALSE),
            0
        ) +
        IFERROR(
            VLOOKUP($A42, INDIRECT("JunR!$A$6:$ZZ$1048576"), MATCH(AB$1, JunR!$6:$6, 0), FALSE),
            0
        ) +
        IFERROR(
            VLOOKUP($A42, INDIRECT("JulR!$A$6:$ZZ$1048576"), MATCH(AB$1, JulR!$6:$6, 0), FALSE),
            0
        ) +
        IFERROR(
            VLOOKUP($A42, INDIRECT("AgoR!$A$6:$ZZ$1048576"), MATCH(AB$1, AgoR!$6:$6, 0), FALSE),
            0
        ) +
        IFERROR(
            VLOOKUP($A42, INDIRECT("SepR!$A$6:$ZZ$1048576"), MATCH(AB$1, SepR!$6:$6, 0), FALSE),
            0
        ) +
        IFERROR(
            VLOOKUP($A42, INDIRECT("OctR!$A$6:$ZZ$1048576"), MATCH(AB$1, OctR!$6:$6, 0), FALSE),
            0
        ) +
        IFERROR(
            VLOOKUP($A42, INDIRECT("NovR!$A$6:$ZZ$1048576"), MATCH(AB$1, NovR!$6:$6, 0), FALSE),
            0
        ) +
        IFERROR(
            VLOOKUP($A42, INDIRECT("DicR!$A$6:$ZZ$1048576"), MATCH(AB$1, DicR!$6:$6, 0), FALSE),
            0
        )
)</f>
        <v>0</v>
      </c>
      <c r="AC42" s="37">
        <f t="array" ref="AC42">SUM(
    IFERROR(
            VLOOKUP($A42, INDIRECT("EneR!$A$6:$ZZ$1048576"), MATCH(AC$1, EneR!$6:$6, 0), FALSE),
            0
        ) +
        IFERROR(
            VLOOKUP($A42, INDIRECT("FebR!$A$6:$ZZ$1048576"), MATCH(AC$1, FebR!$6:$6, 0), FALSE),
            0
        ) +
        IFERROR(
            VLOOKUP($A42, INDIRECT("MarR!$A$6:$ZZ$1048576"), MATCH(AC$1, MarR!$6:$6, 0), FALSE),
            0
        ) +
        IFERROR(
            VLOOKUP($A42, INDIRECT("AbrR!$A$6:$ZZ$1048576"), MATCH(AC$1, AbrR!$6:$6, 0), FALSE),
            0
        ) +
        IFERROR(
            VLOOKUP($A42, INDIRECT("MayR!$A$6:$ZZ$1048576"), MATCH(AC$1, MayR!$6:$6, 0), FALSE),
            0
        ) +
        IFERROR(
            VLOOKUP($A42, INDIRECT("JunR!$A$6:$ZZ$1048576"), MATCH(AC$1, JunR!$6:$6, 0), FALSE),
            0
        ) +
        IFERROR(
            VLOOKUP($A42, INDIRECT("JulR!$A$6:$ZZ$1048576"), MATCH(AC$1, JulR!$6:$6, 0), FALSE),
            0
        ) +
        IFERROR(
            VLOOKUP($A42, INDIRECT("AgoR!$A$6:$ZZ$1048576"), MATCH(AC$1, AgoR!$6:$6, 0), FALSE),
            0
        ) +
        IFERROR(
            VLOOKUP($A42, INDIRECT("SepR!$A$6:$ZZ$1048576"), MATCH(AC$1, SepR!$6:$6, 0), FALSE),
            0
        ) +
        IFERROR(
            VLOOKUP($A42, INDIRECT("OctR!$A$6:$ZZ$1048576"), MATCH(AC$1, OctR!$6:$6, 0), FALSE),
            0
        ) +
        IFERROR(
            VLOOKUP($A42, INDIRECT("NovR!$A$6:$ZZ$1048576"), MATCH(AC$1, NovR!$6:$6, 0), FALSE),
            0
        ) +
        IFERROR(
            VLOOKUP($A42, INDIRECT("DicR!$A$6:$ZZ$1048576"), MATCH(AC$1, DicR!$6:$6, 0), FALSE),
            0
        )
)</f>
        <v>0</v>
      </c>
      <c r="AD42" s="36">
        <f t="array" ref="AD42">SUM(
    IFERROR(
            VLOOKUP($A42, INDIRECT("EneR!$A$6:$ZZ$1048576"), MATCH(AD$1, EneR!$6:$6, 0), FALSE),
            0
        ) +
        IFERROR(
            VLOOKUP($A42, INDIRECT("FebR!$A$6:$ZZ$1048576"), MATCH(AD$1, FebR!$6:$6, 0), FALSE),
            0
        ) +
        IFERROR(
            VLOOKUP($A42, INDIRECT("MarR!$A$6:$ZZ$1048576"), MATCH(AD$1, MarR!$6:$6, 0), FALSE),
            0
        ) +
        IFERROR(
            VLOOKUP($A42, INDIRECT("AbrR!$A$6:$ZZ$1048576"), MATCH(AD$1, AbrR!$6:$6, 0), FALSE),
            0
        ) +
        IFERROR(
            VLOOKUP($A42, INDIRECT("MayR!$A$6:$ZZ$1048576"), MATCH(AD$1, MayR!$6:$6, 0), FALSE),
            0
        ) +
        IFERROR(
            VLOOKUP($A42, INDIRECT("JunR!$A$6:$ZZ$1048576"), MATCH(AD$1, JunR!$6:$6, 0), FALSE),
            0
        ) +
        IFERROR(
            VLOOKUP($A42, INDIRECT("JulR!$A$6:$ZZ$1048576"), MATCH(AD$1, JulR!$6:$6, 0), FALSE),
            0
        ) +
        IFERROR(
            VLOOKUP($A42, INDIRECT("AgoR!$A$6:$ZZ$1048576"), MATCH(AD$1, AgoR!$6:$6, 0), FALSE),
            0
        ) +
        IFERROR(
            VLOOKUP($A42, INDIRECT("SepR!$A$6:$ZZ$1048576"), MATCH(AD$1, SepR!$6:$6, 0), FALSE),
            0
        ) +
        IFERROR(
            VLOOKUP($A42, INDIRECT("OctR!$A$6:$ZZ$1048576"), MATCH(AD$1, OctR!$6:$6, 0), FALSE),
            0
        ) +
        IFERROR(
            VLOOKUP($A42, INDIRECT("NovR!$A$6:$ZZ$1048576"), MATCH(AD$1, NovR!$6:$6, 0), FALSE),
            0
        ) +
        IFERROR(
            VLOOKUP($A42, INDIRECT("DicR!$A$6:$ZZ$1048576"), MATCH(AD$1, DicR!$6:$6, 0), FALSE),
            0
        )
)</f>
        <v>0</v>
      </c>
      <c r="AE42" s="37">
        <f t="array" ref="AE42">SUM(
    IFERROR(
            VLOOKUP($A42, INDIRECT("EneR!$A$6:$ZZ$1048576"), MATCH(AE$1, EneR!$6:$6, 0), FALSE),
            0
        ) +
        IFERROR(
            VLOOKUP($A42, INDIRECT("FebR!$A$6:$ZZ$1048576"), MATCH(AE$1, FebR!$6:$6, 0), FALSE),
            0
        ) +
        IFERROR(
            VLOOKUP($A42, INDIRECT("MarR!$A$6:$ZZ$1048576"), MATCH(AE$1, MarR!$6:$6, 0), FALSE),
            0
        ) +
        IFERROR(
            VLOOKUP($A42, INDIRECT("AbrR!$A$6:$ZZ$1048576"), MATCH(AE$1, AbrR!$6:$6, 0), FALSE),
            0
        ) +
        IFERROR(
            VLOOKUP($A42, INDIRECT("MayR!$A$6:$ZZ$1048576"), MATCH(AE$1, MayR!$6:$6, 0), FALSE),
            0
        ) +
        IFERROR(
            VLOOKUP($A42, INDIRECT("JunR!$A$6:$ZZ$1048576"), MATCH(AE$1, JunR!$6:$6, 0), FALSE),
            0
        ) +
        IFERROR(
            VLOOKUP($A42, INDIRECT("JulR!$A$6:$ZZ$1048576"), MATCH(AE$1, JulR!$6:$6, 0), FALSE),
            0
        ) +
        IFERROR(
            VLOOKUP($A42, INDIRECT("AgoR!$A$6:$ZZ$1048576"), MATCH(AE$1, AgoR!$6:$6, 0), FALSE),
            0
        ) +
        IFERROR(
            VLOOKUP($A42, INDIRECT("SepR!$A$6:$ZZ$1048576"), MATCH(AE$1, SepR!$6:$6, 0), FALSE),
            0
        ) +
        IFERROR(
            VLOOKUP($A42, INDIRECT("OctR!$A$6:$ZZ$1048576"), MATCH(AE$1, OctR!$6:$6, 0), FALSE),
            0
        ) +
        IFERROR(
            VLOOKUP($A42, INDIRECT("NovR!$A$6:$ZZ$1048576"), MATCH(AE$1, NovR!$6:$6, 0), FALSE),
            0
        ) +
        IFERROR(
            VLOOKUP($A42, INDIRECT("DicR!$A$6:$ZZ$1048576"), MATCH(AE$1, DicR!$6:$6, 0), FALSE),
            0
        )
)</f>
        <v>0</v>
      </c>
      <c r="AF42" s="36">
        <f t="array" ref="AF42">SUM(
    IFERROR(
            VLOOKUP($A42, INDIRECT("EneR!$A$6:$ZZ$1048576"), MATCH(AF$1, EneR!$6:$6, 0), FALSE),
            0
        ) +
        IFERROR(
            VLOOKUP($A42, INDIRECT("FebR!$A$6:$ZZ$1048576"), MATCH(AF$1, FebR!$6:$6, 0), FALSE),
            0
        ) +
        IFERROR(
            VLOOKUP($A42, INDIRECT("MarR!$A$6:$ZZ$1048576"), MATCH(AF$1, MarR!$6:$6, 0), FALSE),
            0
        ) +
        IFERROR(
            VLOOKUP($A42, INDIRECT("AbrR!$A$6:$ZZ$1048576"), MATCH(AF$1, AbrR!$6:$6, 0), FALSE),
            0
        ) +
        IFERROR(
            VLOOKUP($A42, INDIRECT("MayR!$A$6:$ZZ$1048576"), MATCH(AF$1, MayR!$6:$6, 0), FALSE),
            0
        ) +
        IFERROR(
            VLOOKUP($A42, INDIRECT("JunR!$A$6:$ZZ$1048576"), MATCH(AF$1, JunR!$6:$6, 0), FALSE),
            0
        ) +
        IFERROR(
            VLOOKUP($A42, INDIRECT("JulR!$A$6:$ZZ$1048576"), MATCH(AF$1, JulR!$6:$6, 0), FALSE),
            0
        ) +
        IFERROR(
            VLOOKUP($A42, INDIRECT("AgoR!$A$6:$ZZ$1048576"), MATCH(AF$1, AgoR!$6:$6, 0), FALSE),
            0
        ) +
        IFERROR(
            VLOOKUP($A42, INDIRECT("SepR!$A$6:$ZZ$1048576"), MATCH(AF$1, SepR!$6:$6, 0), FALSE),
            0
        ) +
        IFERROR(
            VLOOKUP($A42, INDIRECT("OctR!$A$6:$ZZ$1048576"), MATCH(AF$1, OctR!$6:$6, 0), FALSE),
            0
        ) +
        IFERROR(
            VLOOKUP($A42, INDIRECT("NovR!$A$6:$ZZ$1048576"), MATCH(AF$1, NovR!$6:$6, 0), FALSE),
            0
        ) +
        IFERROR(
            VLOOKUP($A42, INDIRECT("DicR!$A$6:$ZZ$1048576"), MATCH(AF$1, DicR!$6:$6, 0), FALSE),
            0
        )
)</f>
        <v>0</v>
      </c>
      <c r="AG42" s="37">
        <f t="array" ref="AG42">SUM(
    IFERROR(
            VLOOKUP($A42, INDIRECT("EneR!$A$6:$ZZ$1048576"), MATCH(AG$1, EneR!$6:$6, 0), FALSE),
            0
        ) +
        IFERROR(
            VLOOKUP($A42, INDIRECT("FebR!$A$6:$ZZ$1048576"), MATCH(AG$1, FebR!$6:$6, 0), FALSE),
            0
        ) +
        IFERROR(
            VLOOKUP($A42, INDIRECT("MarR!$A$6:$ZZ$1048576"), MATCH(AG$1, MarR!$6:$6, 0), FALSE),
            0
        ) +
        IFERROR(
            VLOOKUP($A42, INDIRECT("AbrR!$A$6:$ZZ$1048576"), MATCH(AG$1, AbrR!$6:$6, 0), FALSE),
            0
        ) +
        IFERROR(
            VLOOKUP($A42, INDIRECT("MayR!$A$6:$ZZ$1048576"), MATCH(AG$1, MayR!$6:$6, 0), FALSE),
            0
        ) +
        IFERROR(
            VLOOKUP($A42, INDIRECT("JunR!$A$6:$ZZ$1048576"), MATCH(AG$1, JunR!$6:$6, 0), FALSE),
            0
        ) +
        IFERROR(
            VLOOKUP($A42, INDIRECT("JulR!$A$6:$ZZ$1048576"), MATCH(AG$1, JulR!$6:$6, 0), FALSE),
            0
        ) +
        IFERROR(
            VLOOKUP($A42, INDIRECT("AgoR!$A$6:$ZZ$1048576"), MATCH(AG$1, AgoR!$6:$6, 0), FALSE),
            0
        ) +
        IFERROR(
            VLOOKUP($A42, INDIRECT("SepR!$A$6:$ZZ$1048576"), MATCH(AG$1, SepR!$6:$6, 0), FALSE),
            0
        ) +
        IFERROR(
            VLOOKUP($A42, INDIRECT("OctR!$A$6:$ZZ$1048576"), MATCH(AG$1, OctR!$6:$6, 0), FALSE),
            0
        ) +
        IFERROR(
            VLOOKUP($A42, INDIRECT("NovR!$A$6:$ZZ$1048576"), MATCH(AG$1, NovR!$6:$6, 0), FALSE),
            0
        ) +
        IFERROR(
            VLOOKUP($A42, INDIRECT("DicR!$A$6:$ZZ$1048576"), MATCH(AG$1, DicR!$6:$6, 0), FALSE),
            0
        )
)</f>
        <v>0</v>
      </c>
      <c r="AH42" s="36">
        <f t="array" ref="AH42">SUM(
    IFERROR(
            VLOOKUP($A42, INDIRECT("EneR!$A$6:$ZZ$1048576"), MATCH(AH$1, EneR!$6:$6, 0), FALSE),
            0
        ) +
        IFERROR(
            VLOOKUP($A42, INDIRECT("FebR!$A$6:$ZZ$1048576"), MATCH(AH$1, FebR!$6:$6, 0), FALSE),
            0
        ) +
        IFERROR(
            VLOOKUP($A42, INDIRECT("MarR!$A$6:$ZZ$1048576"), MATCH(AH$1, MarR!$6:$6, 0), FALSE),
            0
        ) +
        IFERROR(
            VLOOKUP($A42, INDIRECT("AbrR!$A$6:$ZZ$1048576"), MATCH(AH$1, AbrR!$6:$6, 0), FALSE),
            0
        ) +
        IFERROR(
            VLOOKUP($A42, INDIRECT("MayR!$A$6:$ZZ$1048576"), MATCH(AH$1, MayR!$6:$6, 0), FALSE),
            0
        ) +
        IFERROR(
            VLOOKUP($A42, INDIRECT("JunR!$A$6:$ZZ$1048576"), MATCH(AH$1, JunR!$6:$6, 0), FALSE),
            0
        ) +
        IFERROR(
            VLOOKUP($A42, INDIRECT("JulR!$A$6:$ZZ$1048576"), MATCH(AH$1, JulR!$6:$6, 0), FALSE),
            0
        ) +
        IFERROR(
            VLOOKUP($A42, INDIRECT("AgoR!$A$6:$ZZ$1048576"), MATCH(AH$1, AgoR!$6:$6, 0), FALSE),
            0
        ) +
        IFERROR(
            VLOOKUP($A42, INDIRECT("SepR!$A$6:$ZZ$1048576"), MATCH(AH$1, SepR!$6:$6, 0), FALSE),
            0
        ) +
        IFERROR(
            VLOOKUP($A42, INDIRECT("OctR!$A$6:$ZZ$1048576"), MATCH(AH$1, OctR!$6:$6, 0), FALSE),
            0
        ) +
        IFERROR(
            VLOOKUP($A42, INDIRECT("NovR!$A$6:$ZZ$1048576"), MATCH(AH$1, NovR!$6:$6, 0), FALSE),
            0
        ) +
        IFERROR(
            VLOOKUP($A42, INDIRECT("DicR!$A$6:$ZZ$1048576"), MATCH(AH$1, DicR!$6:$6, 0), FALSE),
            0
        )
)</f>
        <v>0</v>
      </c>
      <c r="AI42" s="37">
        <f t="array" ref="AI42">SUM(
    IFERROR(
            VLOOKUP($A42, INDIRECT("EneR!$A$6:$ZZ$1048576"), MATCH(AI$1, EneR!$6:$6, 0), FALSE),
            0
        ) +
        IFERROR(
            VLOOKUP($A42, INDIRECT("FebR!$A$6:$ZZ$1048576"), MATCH(AI$1, FebR!$6:$6, 0), FALSE),
            0
        ) +
        IFERROR(
            VLOOKUP($A42, INDIRECT("MarR!$A$6:$ZZ$1048576"), MATCH(AI$1, MarR!$6:$6, 0), FALSE),
            0
        ) +
        IFERROR(
            VLOOKUP($A42, INDIRECT("AbrR!$A$6:$ZZ$1048576"), MATCH(AI$1, AbrR!$6:$6, 0), FALSE),
            0
        ) +
        IFERROR(
            VLOOKUP($A42, INDIRECT("MayR!$A$6:$ZZ$1048576"), MATCH(AI$1, MayR!$6:$6, 0), FALSE),
            0
        ) +
        IFERROR(
            VLOOKUP($A42, INDIRECT("JunR!$A$6:$ZZ$1048576"), MATCH(AI$1, JunR!$6:$6, 0), FALSE),
            0
        ) +
        IFERROR(
            VLOOKUP($A42, INDIRECT("JulR!$A$6:$ZZ$1048576"), MATCH(AI$1, JulR!$6:$6, 0), FALSE),
            0
        ) +
        IFERROR(
            VLOOKUP($A42, INDIRECT("AgoR!$A$6:$ZZ$1048576"), MATCH(AI$1, AgoR!$6:$6, 0), FALSE),
            0
        ) +
        IFERROR(
            VLOOKUP($A42, INDIRECT("SepR!$A$6:$ZZ$1048576"), MATCH(AI$1, SepR!$6:$6, 0), FALSE),
            0
        ) +
        IFERROR(
            VLOOKUP($A42, INDIRECT("OctR!$A$6:$ZZ$1048576"), MATCH(AI$1, OctR!$6:$6, 0), FALSE),
            0
        ) +
        IFERROR(
            VLOOKUP($A42, INDIRECT("NovR!$A$6:$ZZ$1048576"), MATCH(AI$1, NovR!$6:$6, 0), FALSE),
            0
        ) +
        IFERROR(
            VLOOKUP($A42, INDIRECT("DicR!$A$6:$ZZ$1048576"), MATCH(AI$1, DicR!$6:$6, 0), FALSE),
            0
        )
)</f>
        <v>0</v>
      </c>
      <c r="AJ42" s="36">
        <f t="array" ref="AJ42">SUM(
    IFERROR(
            VLOOKUP($A42, INDIRECT("EneR!$A$6:$ZZ$1048576"), MATCH(AJ$1, EneR!$6:$6, 0), FALSE),
            0
        ) +
        IFERROR(
            VLOOKUP($A42, INDIRECT("FebR!$A$6:$ZZ$1048576"), MATCH(AJ$1, FebR!$6:$6, 0), FALSE),
            0
        ) +
        IFERROR(
            VLOOKUP($A42, INDIRECT("MarR!$A$6:$ZZ$1048576"), MATCH(AJ$1, MarR!$6:$6, 0), FALSE),
            0
        ) +
        IFERROR(
            VLOOKUP($A42, INDIRECT("AbrR!$A$6:$ZZ$1048576"), MATCH(AJ$1, AbrR!$6:$6, 0), FALSE),
            0
        ) +
        IFERROR(
            VLOOKUP($A42, INDIRECT("MayR!$A$6:$ZZ$1048576"), MATCH(AJ$1, MayR!$6:$6, 0), FALSE),
            0
        ) +
        IFERROR(
            VLOOKUP($A42, INDIRECT("JunR!$A$6:$ZZ$1048576"), MATCH(AJ$1, JunR!$6:$6, 0), FALSE),
            0
        ) +
        IFERROR(
            VLOOKUP($A42, INDIRECT("JulR!$A$6:$ZZ$1048576"), MATCH(AJ$1, JulR!$6:$6, 0), FALSE),
            0
        ) +
        IFERROR(
            VLOOKUP($A42, INDIRECT("AgoR!$A$6:$ZZ$1048576"), MATCH(AJ$1, AgoR!$6:$6, 0), FALSE),
            0
        ) +
        IFERROR(
            VLOOKUP($A42, INDIRECT("SepR!$A$6:$ZZ$1048576"), MATCH(AJ$1, SepR!$6:$6, 0), FALSE),
            0
        ) +
        IFERROR(
            VLOOKUP($A42, INDIRECT("OctR!$A$6:$ZZ$1048576"), MATCH(AJ$1, OctR!$6:$6, 0), FALSE),
            0
        ) +
        IFERROR(
            VLOOKUP($A42, INDIRECT("NovR!$A$6:$ZZ$1048576"), MATCH(AJ$1, NovR!$6:$6, 0), FALSE),
            0
        ) +
        IFERROR(
            VLOOKUP($A42, INDIRECT("DicR!$A$6:$ZZ$1048576"), MATCH(AJ$1, DicR!$6:$6, 0), FALSE),
            0
        )
)</f>
        <v>0</v>
      </c>
      <c r="AK42" s="37">
        <f t="array" ref="AK42">SUM(
    IFERROR(
            VLOOKUP($A42, INDIRECT("EneR!$A$6:$ZZ$1048576"), MATCH(AK$1, EneR!$6:$6, 0), FALSE),
            0
        ) +
        IFERROR(
            VLOOKUP($A42, INDIRECT("FebR!$A$6:$ZZ$1048576"), MATCH(AK$1, FebR!$6:$6, 0), FALSE),
            0
        ) +
        IFERROR(
            VLOOKUP($A42, INDIRECT("MarR!$A$6:$ZZ$1048576"), MATCH(AK$1, MarR!$6:$6, 0), FALSE),
            0
        ) +
        IFERROR(
            VLOOKUP($A42, INDIRECT("AbrR!$A$6:$ZZ$1048576"), MATCH(AK$1, AbrR!$6:$6, 0), FALSE),
            0
        ) +
        IFERROR(
            VLOOKUP($A42, INDIRECT("MayR!$A$6:$ZZ$1048576"), MATCH(AK$1, MayR!$6:$6, 0), FALSE),
            0
        ) +
        IFERROR(
            VLOOKUP($A42, INDIRECT("JunR!$A$6:$ZZ$1048576"), MATCH(AK$1, JunR!$6:$6, 0), FALSE),
            0
        ) +
        IFERROR(
            VLOOKUP($A42, INDIRECT("JulR!$A$6:$ZZ$1048576"), MATCH(AK$1, JulR!$6:$6, 0), FALSE),
            0
        ) +
        IFERROR(
            VLOOKUP($A42, INDIRECT("AgoR!$A$6:$ZZ$1048576"), MATCH(AK$1, AgoR!$6:$6, 0), FALSE),
            0
        ) +
        IFERROR(
            VLOOKUP($A42, INDIRECT("SepR!$A$6:$ZZ$1048576"), MATCH(AK$1, SepR!$6:$6, 0), FALSE),
            0
        ) +
        IFERROR(
            VLOOKUP($A42, INDIRECT("OctR!$A$6:$ZZ$1048576"), MATCH(AK$1, OctR!$6:$6, 0), FALSE),
            0
        ) +
        IFERROR(
            VLOOKUP($A42, INDIRECT("NovR!$A$6:$ZZ$1048576"), MATCH(AK$1, NovR!$6:$6, 0), FALSE),
            0
        ) +
        IFERROR(
            VLOOKUP($A42, INDIRECT("DicR!$A$6:$ZZ$1048576"), MATCH(AK$1, DicR!$6:$6, 0), FALSE),
            0
        )
)</f>
        <v>0</v>
      </c>
      <c r="AL42" s="36">
        <f t="array" ref="AL42">SUM(
    IFERROR(
            VLOOKUP($A42, INDIRECT("EneR!$A$6:$ZZ$1048576"), MATCH(AL$1, EneR!$6:$6, 0), FALSE),
            0
        ) +
        IFERROR(
            VLOOKUP($A42, INDIRECT("FebR!$A$6:$ZZ$1048576"), MATCH(AL$1, FebR!$6:$6, 0), FALSE),
            0
        ) +
        IFERROR(
            VLOOKUP($A42, INDIRECT("MarR!$A$6:$ZZ$1048576"), MATCH(AL$1, MarR!$6:$6, 0), FALSE),
            0
        ) +
        IFERROR(
            VLOOKUP($A42, INDIRECT("AbrR!$A$6:$ZZ$1048576"), MATCH(AL$1, AbrR!$6:$6, 0), FALSE),
            0
        ) +
        IFERROR(
            VLOOKUP($A42, INDIRECT("MayR!$A$6:$ZZ$1048576"), MATCH(AL$1, MayR!$6:$6, 0), FALSE),
            0
        ) +
        IFERROR(
            VLOOKUP($A42, INDIRECT("JunR!$A$6:$ZZ$1048576"), MATCH(AL$1, JunR!$6:$6, 0), FALSE),
            0
        ) +
        IFERROR(
            VLOOKUP($A42, INDIRECT("JulR!$A$6:$ZZ$1048576"), MATCH(AL$1, JulR!$6:$6, 0), FALSE),
            0
        ) +
        IFERROR(
            VLOOKUP($A42, INDIRECT("AgoR!$A$6:$ZZ$1048576"), MATCH(AL$1, AgoR!$6:$6, 0), FALSE),
            0
        ) +
        IFERROR(
            VLOOKUP($A42, INDIRECT("SepR!$A$6:$ZZ$1048576"), MATCH(AL$1, SepR!$6:$6, 0), FALSE),
            0
        ) +
        IFERROR(
            VLOOKUP($A42, INDIRECT("OctR!$A$6:$ZZ$1048576"), MATCH(AL$1, OctR!$6:$6, 0), FALSE),
            0
        ) +
        IFERROR(
            VLOOKUP($A42, INDIRECT("NovR!$A$6:$ZZ$1048576"), MATCH(AL$1, NovR!$6:$6, 0), FALSE),
            0
        ) +
        IFERROR(
            VLOOKUP($A42, INDIRECT("DicR!$A$6:$ZZ$1048576"), MATCH(AL$1, DicR!$6:$6, 0), FALSE),
            0
        )
)</f>
        <v>0</v>
      </c>
      <c r="AM42" s="37">
        <f t="array" ref="AM42">SUM(
    IFERROR(
            VLOOKUP($A42, INDIRECT("EneR!$A$6:$ZZ$1048576"), MATCH(AM$1, EneR!$6:$6, 0), FALSE),
            0
        ) +
        IFERROR(
            VLOOKUP($A42, INDIRECT("FebR!$A$6:$ZZ$1048576"), MATCH(AM$1, FebR!$6:$6, 0), FALSE),
            0
        ) +
        IFERROR(
            VLOOKUP($A42, INDIRECT("MarR!$A$6:$ZZ$1048576"), MATCH(AM$1, MarR!$6:$6, 0), FALSE),
            0
        ) +
        IFERROR(
            VLOOKUP($A42, INDIRECT("AbrR!$A$6:$ZZ$1048576"), MATCH(AM$1, AbrR!$6:$6, 0), FALSE),
            0
        ) +
        IFERROR(
            VLOOKUP($A42, INDIRECT("MayR!$A$6:$ZZ$1048576"), MATCH(AM$1, MayR!$6:$6, 0), FALSE),
            0
        ) +
        IFERROR(
            VLOOKUP($A42, INDIRECT("JunR!$A$6:$ZZ$1048576"), MATCH(AM$1, JunR!$6:$6, 0), FALSE),
            0
        ) +
        IFERROR(
            VLOOKUP($A42, INDIRECT("JulR!$A$6:$ZZ$1048576"), MATCH(AM$1, JulR!$6:$6, 0), FALSE),
            0
        ) +
        IFERROR(
            VLOOKUP($A42, INDIRECT("AgoR!$A$6:$ZZ$1048576"), MATCH(AM$1, AgoR!$6:$6, 0), FALSE),
            0
        ) +
        IFERROR(
            VLOOKUP($A42, INDIRECT("SepR!$A$6:$ZZ$1048576"), MATCH(AM$1, SepR!$6:$6, 0), FALSE),
            0
        ) +
        IFERROR(
            VLOOKUP($A42, INDIRECT("OctR!$A$6:$ZZ$1048576"), MATCH(AM$1, OctR!$6:$6, 0), FALSE),
            0
        ) +
        IFERROR(
            VLOOKUP($A42, INDIRECT("NovR!$A$6:$ZZ$1048576"), MATCH(AM$1, NovR!$6:$6, 0), FALSE),
            0
        ) +
        IFERROR(
            VLOOKUP($A42, INDIRECT("DicR!$A$6:$ZZ$1048576"), MATCH(AM$1, DicR!$6:$6, 0), FALSE),
            0
        )
)</f>
        <v>0</v>
      </c>
      <c r="AN42" s="32">
        <f t="array" ref="AN42">SUM(
    IFERROR(
            VLOOKUP($A42, INDIRECT("EneR!$A$6:$ZZ$1048576"), MATCH(AN$1, EneR!$6:$6, 0), FALSE),
            0
        ) +
        IFERROR(
            VLOOKUP($A42, INDIRECT("FebR!$A$6:$ZZ$1048576"), MATCH(AN$1, FebR!$6:$6, 0), FALSE),
            0
        ) +
        IFERROR(
            VLOOKUP($A42, INDIRECT("MarR!$A$6:$ZZ$1048576"), MATCH(AN$1, MarR!$6:$6, 0), FALSE),
            0
        ) +
        IFERROR(
            VLOOKUP($A42, INDIRECT("AbrR!$A$6:$ZZ$1048576"), MATCH(AN$1, AbrR!$6:$6, 0), FALSE),
            0
        ) +
        IFERROR(
            VLOOKUP($A42, INDIRECT("MayR!$A$6:$ZZ$1048576"), MATCH(AN$1, MayR!$6:$6, 0), FALSE),
            0
        ) +
        IFERROR(
            VLOOKUP($A42, INDIRECT("JunR!$A$6:$ZZ$1048576"), MATCH(AN$1, JunR!$6:$6, 0), FALSE),
            0
        ) +
        IFERROR(
            VLOOKUP($A42, INDIRECT("JulR!$A$6:$ZZ$1048576"), MATCH(AN$1, JulR!$6:$6, 0), FALSE),
            0
        ) +
        IFERROR(
            VLOOKUP($A42, INDIRECT("AgoR!$A$6:$ZZ$1048576"), MATCH(AN$1, AgoR!$6:$6, 0), FALSE),
            0
        ) +
        IFERROR(
            VLOOKUP($A42, INDIRECT("SepR!$A$6:$ZZ$1048576"), MATCH(AN$1, SepR!$6:$6, 0), FALSE),
            0
        ) +
        IFERROR(
            VLOOKUP($A42, INDIRECT("OctR!$A$6:$ZZ$1048576"), MATCH(AN$1, OctR!$6:$6, 0), FALSE),
            0
        ) +
        IFERROR(
            VLOOKUP($A42, INDIRECT("NovR!$A$6:$ZZ$1048576"), MATCH(AN$1, NovR!$6:$6, 0), FALSE),
            0
        ) +
        IFERROR(
            VLOOKUP($A42, INDIRECT("DicR!$A$6:$ZZ$1048576"), MATCH(AN$1, DicR!$6:$6, 0), FALSE),
            0
        )
)</f>
        <v>0</v>
      </c>
      <c r="AO42" s="35">
        <f t="array" ref="AO42">SUM(
    IFERROR(
            VLOOKUP($A42, INDIRECT("EneR!$A$6:$ZZ$1048576"), MATCH(AO$1, EneR!$6:$6, 0), FALSE),
            0
        ) +
        IFERROR(
            VLOOKUP($A42, INDIRECT("FebR!$A$6:$ZZ$1048576"), MATCH(AO$1, FebR!$6:$6, 0), FALSE),
            0
        ) +
        IFERROR(
            VLOOKUP($A42, INDIRECT("MarR!$A$6:$ZZ$1048576"), MATCH(AO$1, MarR!$6:$6, 0), FALSE),
            0
        ) +
        IFERROR(
            VLOOKUP($A42, INDIRECT("AbrR!$A$6:$ZZ$1048576"), MATCH(AO$1, AbrR!$6:$6, 0), FALSE),
            0
        ) +
        IFERROR(
            VLOOKUP($A42, INDIRECT("MayR!$A$6:$ZZ$1048576"), MATCH(AO$1, MayR!$6:$6, 0), FALSE),
            0
        ) +
        IFERROR(
            VLOOKUP($A42, INDIRECT("JunR!$A$6:$ZZ$1048576"), MATCH(AO$1, JunR!$6:$6, 0), FALSE),
            0
        ) +
        IFERROR(
            VLOOKUP($A42, INDIRECT("JulR!$A$6:$ZZ$1048576"), MATCH(AO$1, JulR!$6:$6, 0), FALSE),
            0
        ) +
        IFERROR(
            VLOOKUP($A42, INDIRECT("AgoR!$A$6:$ZZ$1048576"), MATCH(AO$1, AgoR!$6:$6, 0), FALSE),
            0
        ) +
        IFERROR(
            VLOOKUP($A42, INDIRECT("SepR!$A$6:$ZZ$1048576"), MATCH(AO$1, SepR!$6:$6, 0), FALSE),
            0
        ) +
        IFERROR(
            VLOOKUP($A42, INDIRECT("OctR!$A$6:$ZZ$1048576"), MATCH(AO$1, OctR!$6:$6, 0), FALSE),
            0
        ) +
        IFERROR(
            VLOOKUP($A42, INDIRECT("NovR!$A$6:$ZZ$1048576"), MATCH(AO$1, NovR!$6:$6, 0), FALSE),
            0
        ) +
        IFERROR(
            VLOOKUP($A42, INDIRECT("DicR!$A$6:$ZZ$1048576"), MATCH(AO$1, DicR!$6:$6, 0), FALSE),
            0
        )
)</f>
        <v>0</v>
      </c>
      <c r="AP42" s="36">
        <f t="array" ref="AP42">SUM(
    IFERROR(
            VLOOKUP($A42, INDIRECT("EneR!$A$6:$ZZ$1048576"), MATCH(AP$1, EneR!$6:$6, 0), FALSE),
            0
        ) +
        IFERROR(
            VLOOKUP($A42, INDIRECT("FebR!$A$6:$ZZ$1048576"), MATCH(AP$1, FebR!$6:$6, 0), FALSE),
            0
        ) +
        IFERROR(
            VLOOKUP($A42, INDIRECT("MarR!$A$6:$ZZ$1048576"), MATCH(AP$1, MarR!$6:$6, 0), FALSE),
            0
        ) +
        IFERROR(
            VLOOKUP($A42, INDIRECT("AbrR!$A$6:$ZZ$1048576"), MATCH(AP$1, AbrR!$6:$6, 0), FALSE),
            0
        ) +
        IFERROR(
            VLOOKUP($A42, INDIRECT("MayR!$A$6:$ZZ$1048576"), MATCH(AP$1, MayR!$6:$6, 0), FALSE),
            0
        ) +
        IFERROR(
            VLOOKUP($A42, INDIRECT("JunR!$A$6:$ZZ$1048576"), MATCH(AP$1, JunR!$6:$6, 0), FALSE),
            0
        ) +
        IFERROR(
            VLOOKUP($A42, INDIRECT("JulR!$A$6:$ZZ$1048576"), MATCH(AP$1, JulR!$6:$6, 0), FALSE),
            0
        ) +
        IFERROR(
            VLOOKUP($A42, INDIRECT("AgoR!$A$6:$ZZ$1048576"), MATCH(AP$1, AgoR!$6:$6, 0), FALSE),
            0
        ) +
        IFERROR(
            VLOOKUP($A42, INDIRECT("SepR!$A$6:$ZZ$1048576"), MATCH(AP$1, SepR!$6:$6, 0), FALSE),
            0
        ) +
        IFERROR(
            VLOOKUP($A42, INDIRECT("OctR!$A$6:$ZZ$1048576"), MATCH(AP$1, OctR!$6:$6, 0), FALSE),
            0
        ) +
        IFERROR(
            VLOOKUP($A42, INDIRECT("NovR!$A$6:$ZZ$1048576"), MATCH(AP$1, NovR!$6:$6, 0), FALSE),
            0
        ) +
        IFERROR(
            VLOOKUP($A42, INDIRECT("DicR!$A$6:$ZZ$1048576"), MATCH(AP$1, DicR!$6:$6, 0), FALSE),
            0
        )
)</f>
        <v>0</v>
      </c>
      <c r="AQ42" s="35">
        <f t="array" ref="AQ42">SUM(
    IFERROR(
            VLOOKUP($A42, INDIRECT("EneR!$A$6:$ZZ$1048576"), MATCH(AQ$1, EneR!$6:$6, 0), FALSE),
            0
        ) +
        IFERROR(
            VLOOKUP($A42, INDIRECT("FebR!$A$6:$ZZ$1048576"), MATCH(AQ$1, FebR!$6:$6, 0), FALSE),
            0
        ) +
        IFERROR(
            VLOOKUP($A42, INDIRECT("MarR!$A$6:$ZZ$1048576"), MATCH(AQ$1, MarR!$6:$6, 0), FALSE),
            0
        ) +
        IFERROR(
            VLOOKUP($A42, INDIRECT("AbrR!$A$6:$ZZ$1048576"), MATCH(AQ$1, AbrR!$6:$6, 0), FALSE),
            0
        ) +
        IFERROR(
            VLOOKUP($A42, INDIRECT("MayR!$A$6:$ZZ$1048576"), MATCH(AQ$1, MayR!$6:$6, 0), FALSE),
            0
        ) +
        IFERROR(
            VLOOKUP($A42, INDIRECT("JunR!$A$6:$ZZ$1048576"), MATCH(AQ$1, JunR!$6:$6, 0), FALSE),
            0
        ) +
        IFERROR(
            VLOOKUP($A42, INDIRECT("JulR!$A$6:$ZZ$1048576"), MATCH(AQ$1, JulR!$6:$6, 0), FALSE),
            0
        ) +
        IFERROR(
            VLOOKUP($A42, INDIRECT("AgoR!$A$6:$ZZ$1048576"), MATCH(AQ$1, AgoR!$6:$6, 0), FALSE),
            0
        ) +
        IFERROR(
            VLOOKUP($A42, INDIRECT("SepR!$A$6:$ZZ$1048576"), MATCH(AQ$1, SepR!$6:$6, 0), FALSE),
            0
        ) +
        IFERROR(
            VLOOKUP($A42, INDIRECT("OctR!$A$6:$ZZ$1048576"), MATCH(AQ$1, OctR!$6:$6, 0), FALSE),
            0
        ) +
        IFERROR(
            VLOOKUP($A42, INDIRECT("NovR!$A$6:$ZZ$1048576"), MATCH(AQ$1, NovR!$6:$6, 0), FALSE),
            0
        ) +
        IFERROR(
            VLOOKUP($A42, INDIRECT("DicR!$A$6:$ZZ$1048576"), MATCH(AQ$1, DicR!$6:$6, 0), FALSE),
            0
        )
)</f>
        <v>0</v>
      </c>
      <c r="AR42" s="36">
        <f t="array" ref="AR42">SUM(
    IFERROR(
            VLOOKUP($A42, INDIRECT("EneR!$A$6:$ZZ$1048576"), MATCH(AR$1, EneR!$6:$6, 0), FALSE),
            0
        ) +
        IFERROR(
            VLOOKUP($A42, INDIRECT("FebR!$A$6:$ZZ$1048576"), MATCH(AR$1, FebR!$6:$6, 0), FALSE),
            0
        ) +
        IFERROR(
            VLOOKUP($A42, INDIRECT("MarR!$A$6:$ZZ$1048576"), MATCH(AR$1, MarR!$6:$6, 0), FALSE),
            0
        ) +
        IFERROR(
            VLOOKUP($A42, INDIRECT("AbrR!$A$6:$ZZ$1048576"), MATCH(AR$1, AbrR!$6:$6, 0), FALSE),
            0
        ) +
        IFERROR(
            VLOOKUP($A42, INDIRECT("MayR!$A$6:$ZZ$1048576"), MATCH(AR$1, MayR!$6:$6, 0), FALSE),
            0
        ) +
        IFERROR(
            VLOOKUP($A42, INDIRECT("JunR!$A$6:$ZZ$1048576"), MATCH(AR$1, JunR!$6:$6, 0), FALSE),
            0
        ) +
        IFERROR(
            VLOOKUP($A42, INDIRECT("JulR!$A$6:$ZZ$1048576"), MATCH(AR$1, JulR!$6:$6, 0), FALSE),
            0
        ) +
        IFERROR(
            VLOOKUP($A42, INDIRECT("AgoR!$A$6:$ZZ$1048576"), MATCH(AR$1, AgoR!$6:$6, 0), FALSE),
            0
        ) +
        IFERROR(
            VLOOKUP($A42, INDIRECT("SepR!$A$6:$ZZ$1048576"), MATCH(AR$1, SepR!$6:$6, 0), FALSE),
            0
        ) +
        IFERROR(
            VLOOKUP($A42, INDIRECT("OctR!$A$6:$ZZ$1048576"), MATCH(AR$1, OctR!$6:$6, 0), FALSE),
            0
        ) +
        IFERROR(
            VLOOKUP($A42, INDIRECT("NovR!$A$6:$ZZ$1048576"), MATCH(AR$1, NovR!$6:$6, 0), FALSE),
            0
        ) +
        IFERROR(
            VLOOKUP($A42, INDIRECT("DicR!$A$6:$ZZ$1048576"), MATCH(AR$1, DicR!$6:$6, 0), FALSE),
            0
        )
)</f>
        <v>0</v>
      </c>
      <c r="AS42" s="35">
        <f t="array" ref="AS42">SUM(
    IFERROR(
            VLOOKUP($A42, INDIRECT("EneR!$A$6:$ZZ$1048576"), MATCH(AS$1, EneR!$6:$6, 0), FALSE),
            0
        ) +
        IFERROR(
            VLOOKUP($A42, INDIRECT("FebR!$A$6:$ZZ$1048576"), MATCH(AS$1, FebR!$6:$6, 0), FALSE),
            0
        ) +
        IFERROR(
            VLOOKUP($A42, INDIRECT("MarR!$A$6:$ZZ$1048576"), MATCH(AS$1, MarR!$6:$6, 0), FALSE),
            0
        ) +
        IFERROR(
            VLOOKUP($A42, INDIRECT("AbrR!$A$6:$ZZ$1048576"), MATCH(AS$1, AbrR!$6:$6, 0), FALSE),
            0
        ) +
        IFERROR(
            VLOOKUP($A42, INDIRECT("MayR!$A$6:$ZZ$1048576"), MATCH(AS$1, MayR!$6:$6, 0), FALSE),
            0
        ) +
        IFERROR(
            VLOOKUP($A42, INDIRECT("JunR!$A$6:$ZZ$1048576"), MATCH(AS$1, JunR!$6:$6, 0), FALSE),
            0
        ) +
        IFERROR(
            VLOOKUP($A42, INDIRECT("JulR!$A$6:$ZZ$1048576"), MATCH(AS$1, JulR!$6:$6, 0), FALSE),
            0
        ) +
        IFERROR(
            VLOOKUP($A42, INDIRECT("AgoR!$A$6:$ZZ$1048576"), MATCH(AS$1, AgoR!$6:$6, 0), FALSE),
            0
        ) +
        IFERROR(
            VLOOKUP($A42, INDIRECT("SepR!$A$6:$ZZ$1048576"), MATCH(AS$1, SepR!$6:$6, 0), FALSE),
            0
        ) +
        IFERROR(
            VLOOKUP($A42, INDIRECT("OctR!$A$6:$ZZ$1048576"), MATCH(AS$1, OctR!$6:$6, 0), FALSE),
            0
        ) +
        IFERROR(
            VLOOKUP($A42, INDIRECT("NovR!$A$6:$ZZ$1048576"), MATCH(AS$1, NovR!$6:$6, 0), FALSE),
            0
        ) +
        IFERROR(
            VLOOKUP($A42, INDIRECT("DicR!$A$6:$ZZ$1048576"), MATCH(AS$1, DicR!$6:$6, 0), FALSE),
            0
        )
)</f>
        <v>0</v>
      </c>
      <c r="AT42" s="36">
        <f t="array" ref="AT42">SUM(
    IFERROR(
            VLOOKUP($A42, INDIRECT("EneR!$A$6:$ZZ$1048576"), MATCH(AT$1, EneR!$6:$6, 0), FALSE),
            0
        ) +
        IFERROR(
            VLOOKUP($A42, INDIRECT("FebR!$A$6:$ZZ$1048576"), MATCH(AT$1, FebR!$6:$6, 0), FALSE),
            0
        ) +
        IFERROR(
            VLOOKUP($A42, INDIRECT("MarR!$A$6:$ZZ$1048576"), MATCH(AT$1, MarR!$6:$6, 0), FALSE),
            0
        ) +
        IFERROR(
            VLOOKUP($A42, INDIRECT("AbrR!$A$6:$ZZ$1048576"), MATCH(AT$1, AbrR!$6:$6, 0), FALSE),
            0
        ) +
        IFERROR(
            VLOOKUP($A42, INDIRECT("MayR!$A$6:$ZZ$1048576"), MATCH(AT$1, MayR!$6:$6, 0), FALSE),
            0
        ) +
        IFERROR(
            VLOOKUP($A42, INDIRECT("JunR!$A$6:$ZZ$1048576"), MATCH(AT$1, JunR!$6:$6, 0), FALSE),
            0
        ) +
        IFERROR(
            VLOOKUP($A42, INDIRECT("JulR!$A$6:$ZZ$1048576"), MATCH(AT$1, JulR!$6:$6, 0), FALSE),
            0
        ) +
        IFERROR(
            VLOOKUP($A42, INDIRECT("AgoR!$A$6:$ZZ$1048576"), MATCH(AT$1, AgoR!$6:$6, 0), FALSE),
            0
        ) +
        IFERROR(
            VLOOKUP($A42, INDIRECT("SepR!$A$6:$ZZ$1048576"), MATCH(AT$1, SepR!$6:$6, 0), FALSE),
            0
        ) +
        IFERROR(
            VLOOKUP($A42, INDIRECT("OctR!$A$6:$ZZ$1048576"), MATCH(AT$1, OctR!$6:$6, 0), FALSE),
            0
        ) +
        IFERROR(
            VLOOKUP($A42, INDIRECT("NovR!$A$6:$ZZ$1048576"), MATCH(AT$1, NovR!$6:$6, 0), FALSE),
            0
        ) +
        IFERROR(
            VLOOKUP($A42, INDIRECT("DicR!$A$6:$ZZ$1048576"), MATCH(AT$1, DicR!$6:$6, 0), FALSE),
            0
        )
)</f>
        <v>0</v>
      </c>
      <c r="AU42" s="35">
        <f t="array" ref="AU42">SUM(
    IFERROR(
            VLOOKUP($A42, INDIRECT("EneR!$A$6:$ZZ$1048576"), MATCH(AU$1, EneR!$6:$6, 0), FALSE),
            0
        ) +
        IFERROR(
            VLOOKUP($A42, INDIRECT("FebR!$A$6:$ZZ$1048576"), MATCH(AU$1, FebR!$6:$6, 0), FALSE),
            0
        ) +
        IFERROR(
            VLOOKUP($A42, INDIRECT("MarR!$A$6:$ZZ$1048576"), MATCH(AU$1, MarR!$6:$6, 0), FALSE),
            0
        ) +
        IFERROR(
            VLOOKUP($A42, INDIRECT("AbrR!$A$6:$ZZ$1048576"), MATCH(AU$1, AbrR!$6:$6, 0), FALSE),
            0
        ) +
        IFERROR(
            VLOOKUP($A42, INDIRECT("MayR!$A$6:$ZZ$1048576"), MATCH(AU$1, MayR!$6:$6, 0), FALSE),
            0
        ) +
        IFERROR(
            VLOOKUP($A42, INDIRECT("JunR!$A$6:$ZZ$1048576"), MATCH(AU$1, JunR!$6:$6, 0), FALSE),
            0
        ) +
        IFERROR(
            VLOOKUP($A42, INDIRECT("JulR!$A$6:$ZZ$1048576"), MATCH(AU$1, JulR!$6:$6, 0), FALSE),
            0
        ) +
        IFERROR(
            VLOOKUP($A42, INDIRECT("AgoR!$A$6:$ZZ$1048576"), MATCH(AU$1, AgoR!$6:$6, 0), FALSE),
            0
        ) +
        IFERROR(
            VLOOKUP($A42, INDIRECT("SepR!$A$6:$ZZ$1048576"), MATCH(AU$1, SepR!$6:$6, 0), FALSE),
            0
        ) +
        IFERROR(
            VLOOKUP($A42, INDIRECT("OctR!$A$6:$ZZ$1048576"), MATCH(AU$1, OctR!$6:$6, 0), FALSE),
            0
        ) +
        IFERROR(
            VLOOKUP($A42, INDIRECT("NovR!$A$6:$ZZ$1048576"), MATCH(AU$1, NovR!$6:$6, 0), FALSE),
            0
        ) +
        IFERROR(
            VLOOKUP($A42, INDIRECT("DicR!$A$6:$ZZ$1048576"), MATCH(AU$1, DicR!$6:$6, 0), FALSE),
            0
        )
)</f>
        <v>0</v>
      </c>
      <c r="AV42" s="36">
        <f t="array" ref="AV42">SUM(
    IFERROR(
            VLOOKUP($A42, INDIRECT("EneR!$A$6:$ZZ$1048576"), MATCH(AV$1, EneR!$6:$6, 0), FALSE),
            0
        ) +
        IFERROR(
            VLOOKUP($A42, INDIRECT("FebR!$A$6:$ZZ$1048576"), MATCH(AV$1, FebR!$6:$6, 0), FALSE),
            0
        ) +
        IFERROR(
            VLOOKUP($A42, INDIRECT("MarR!$A$6:$ZZ$1048576"), MATCH(AV$1, MarR!$6:$6, 0), FALSE),
            0
        ) +
        IFERROR(
            VLOOKUP($A42, INDIRECT("AbrR!$A$6:$ZZ$1048576"), MATCH(AV$1, AbrR!$6:$6, 0), FALSE),
            0
        ) +
        IFERROR(
            VLOOKUP($A42, INDIRECT("MayR!$A$6:$ZZ$1048576"), MATCH(AV$1, MayR!$6:$6, 0), FALSE),
            0
        ) +
        IFERROR(
            VLOOKUP($A42, INDIRECT("JunR!$A$6:$ZZ$1048576"), MATCH(AV$1, JunR!$6:$6, 0), FALSE),
            0
        ) +
        IFERROR(
            VLOOKUP($A42, INDIRECT("JulR!$A$6:$ZZ$1048576"), MATCH(AV$1, JulR!$6:$6, 0), FALSE),
            0
        ) +
        IFERROR(
            VLOOKUP($A42, INDIRECT("AgoR!$A$6:$ZZ$1048576"), MATCH(AV$1, AgoR!$6:$6, 0), FALSE),
            0
        ) +
        IFERROR(
            VLOOKUP($A42, INDIRECT("SepR!$A$6:$ZZ$1048576"), MATCH(AV$1, SepR!$6:$6, 0), FALSE),
            0
        ) +
        IFERROR(
            VLOOKUP($A42, INDIRECT("OctR!$A$6:$ZZ$1048576"), MATCH(AV$1, OctR!$6:$6, 0), FALSE),
            0
        ) +
        IFERROR(
            VLOOKUP($A42, INDIRECT("NovR!$A$6:$ZZ$1048576"), MATCH(AV$1, NovR!$6:$6, 0), FALSE),
            0
        ) +
        IFERROR(
            VLOOKUP($A42, INDIRECT("DicR!$A$6:$ZZ$1048576"), MATCH(AV$1, DicR!$6:$6, 0), FALSE),
            0
        )
)</f>
        <v>0</v>
      </c>
      <c r="AW42" s="35">
        <f t="array" ref="AW42">SUM(
    IFERROR(
            VLOOKUP($A42, INDIRECT("EneR!$A$6:$ZZ$1048576"), MATCH(AW$1, EneR!$6:$6, 0), FALSE),
            0
        ) +
        IFERROR(
            VLOOKUP($A42, INDIRECT("FebR!$A$6:$ZZ$1048576"), MATCH(AW$1, FebR!$6:$6, 0), FALSE),
            0
        ) +
        IFERROR(
            VLOOKUP($A42, INDIRECT("MarR!$A$6:$ZZ$1048576"), MATCH(AW$1, MarR!$6:$6, 0), FALSE),
            0
        ) +
        IFERROR(
            VLOOKUP($A42, INDIRECT("AbrR!$A$6:$ZZ$1048576"), MATCH(AW$1, AbrR!$6:$6, 0), FALSE),
            0
        ) +
        IFERROR(
            VLOOKUP($A42, INDIRECT("MayR!$A$6:$ZZ$1048576"), MATCH(AW$1, MayR!$6:$6, 0), FALSE),
            0
        ) +
        IFERROR(
            VLOOKUP($A42, INDIRECT("JunR!$A$6:$ZZ$1048576"), MATCH(AW$1, JunR!$6:$6, 0), FALSE),
            0
        ) +
        IFERROR(
            VLOOKUP($A42, INDIRECT("JulR!$A$6:$ZZ$1048576"), MATCH(AW$1, JulR!$6:$6, 0), FALSE),
            0
        ) +
        IFERROR(
            VLOOKUP($A42, INDIRECT("AgoR!$A$6:$ZZ$1048576"), MATCH(AW$1, AgoR!$6:$6, 0), FALSE),
            0
        ) +
        IFERROR(
            VLOOKUP($A42, INDIRECT("SepR!$A$6:$ZZ$1048576"), MATCH(AW$1, SepR!$6:$6, 0), FALSE),
            0
        ) +
        IFERROR(
            VLOOKUP($A42, INDIRECT("OctR!$A$6:$ZZ$1048576"), MATCH(AW$1, OctR!$6:$6, 0), FALSE),
            0
        ) +
        IFERROR(
            VLOOKUP($A42, INDIRECT("NovR!$A$6:$ZZ$1048576"), MATCH(AW$1, NovR!$6:$6, 0), FALSE),
            0
        ) +
        IFERROR(
            VLOOKUP($A42, INDIRECT("DicR!$A$6:$ZZ$1048576"), MATCH(AW$1, DicR!$6:$6, 0), FALSE),
            0
        )
)</f>
        <v>0</v>
      </c>
      <c r="AX42" s="36">
        <f t="array" ref="AX42">SUM(
    IFERROR(
            VLOOKUP($A42, INDIRECT("EneR!$A$6:$ZZ$1048576"), MATCH(AX$1, EneR!$6:$6, 0), FALSE),
            0
        ) +
        IFERROR(
            VLOOKUP($A42, INDIRECT("FebR!$A$6:$ZZ$1048576"), MATCH(AX$1, FebR!$6:$6, 0), FALSE),
            0
        ) +
        IFERROR(
            VLOOKUP($A42, INDIRECT("MarR!$A$6:$ZZ$1048576"), MATCH(AX$1, MarR!$6:$6, 0), FALSE),
            0
        ) +
        IFERROR(
            VLOOKUP($A42, INDIRECT("AbrR!$A$6:$ZZ$1048576"), MATCH(AX$1, AbrR!$6:$6, 0), FALSE),
            0
        ) +
        IFERROR(
            VLOOKUP($A42, INDIRECT("MayR!$A$6:$ZZ$1048576"), MATCH(AX$1, MayR!$6:$6, 0), FALSE),
            0
        ) +
        IFERROR(
            VLOOKUP($A42, INDIRECT("JunR!$A$6:$ZZ$1048576"), MATCH(AX$1, JunR!$6:$6, 0), FALSE),
            0
        ) +
        IFERROR(
            VLOOKUP($A42, INDIRECT("JulR!$A$6:$ZZ$1048576"), MATCH(AX$1, JulR!$6:$6, 0), FALSE),
            0
        ) +
        IFERROR(
            VLOOKUP($A42, INDIRECT("AgoR!$A$6:$ZZ$1048576"), MATCH(AX$1, AgoR!$6:$6, 0), FALSE),
            0
        ) +
        IFERROR(
            VLOOKUP($A42, INDIRECT("SepR!$A$6:$ZZ$1048576"), MATCH(AX$1, SepR!$6:$6, 0), FALSE),
            0
        ) +
        IFERROR(
            VLOOKUP($A42, INDIRECT("OctR!$A$6:$ZZ$1048576"), MATCH(AX$1, OctR!$6:$6, 0), FALSE),
            0
        ) +
        IFERROR(
            VLOOKUP($A42, INDIRECT("NovR!$A$6:$ZZ$1048576"), MATCH(AX$1, NovR!$6:$6, 0), FALSE),
            0
        ) +
        IFERROR(
            VLOOKUP($A42, INDIRECT("DicR!$A$6:$ZZ$1048576"), MATCH(AX$1, DicR!$6:$6, 0), FALSE),
            0
        )
)</f>
        <v>0</v>
      </c>
      <c r="AY42" s="35">
        <f t="array" ref="AY42">SUM(
    IFERROR(
            VLOOKUP($A42, INDIRECT("EneR!$A$6:$ZZ$1048576"), MATCH(AY$1, EneR!$6:$6, 0), FALSE),
            0
        ) +
        IFERROR(
            VLOOKUP($A42, INDIRECT("FebR!$A$6:$ZZ$1048576"), MATCH(AY$1, FebR!$6:$6, 0), FALSE),
            0
        ) +
        IFERROR(
            VLOOKUP($A42, INDIRECT("MarR!$A$6:$ZZ$1048576"), MATCH(AY$1, MarR!$6:$6, 0), FALSE),
            0
        ) +
        IFERROR(
            VLOOKUP($A42, INDIRECT("AbrR!$A$6:$ZZ$1048576"), MATCH(AY$1, AbrR!$6:$6, 0), FALSE),
            0
        ) +
        IFERROR(
            VLOOKUP($A42, INDIRECT("MayR!$A$6:$ZZ$1048576"), MATCH(AY$1, MayR!$6:$6, 0), FALSE),
            0
        ) +
        IFERROR(
            VLOOKUP($A42, INDIRECT("JunR!$A$6:$ZZ$1048576"), MATCH(AY$1, JunR!$6:$6, 0), FALSE),
            0
        ) +
        IFERROR(
            VLOOKUP($A42, INDIRECT("JulR!$A$6:$ZZ$1048576"), MATCH(AY$1, JulR!$6:$6, 0), FALSE),
            0
        ) +
        IFERROR(
            VLOOKUP($A42, INDIRECT("AgoR!$A$6:$ZZ$1048576"), MATCH(AY$1, AgoR!$6:$6, 0), FALSE),
            0
        ) +
        IFERROR(
            VLOOKUP($A42, INDIRECT("SepR!$A$6:$ZZ$1048576"), MATCH(AY$1, SepR!$6:$6, 0), FALSE),
            0
        ) +
        IFERROR(
            VLOOKUP($A42, INDIRECT("OctR!$A$6:$ZZ$1048576"), MATCH(AY$1, OctR!$6:$6, 0), FALSE),
            0
        ) +
        IFERROR(
            VLOOKUP($A42, INDIRECT("NovR!$A$6:$ZZ$1048576"), MATCH(AY$1, NovR!$6:$6, 0), FALSE),
            0
        ) +
        IFERROR(
            VLOOKUP($A42, INDIRECT("DicR!$A$6:$ZZ$1048576"), MATCH(AY$1, DicR!$6:$6, 0), FALSE),
            0
        )
)</f>
        <v>0</v>
      </c>
      <c r="AZ42" s="35"/>
    </row>
    <row r="43" ht="15.75" customHeight="1">
      <c r="A43" s="12" t="str">
        <f>Menus!B4</f>
        <v/>
      </c>
      <c r="B43" s="32">
        <f t="shared" si="9"/>
        <v>0</v>
      </c>
      <c r="C43" s="33" t="str">
        <f t="shared" si="10"/>
        <v/>
      </c>
      <c r="D43" s="34">
        <f t="array" ref="D43">SUM(
    IFERROR(
            VLOOKUP($A43, INDIRECT("EneR!$A$6:$ZZ$1048576"), MATCH(D$1, EneR!$6:$6, 0), FALSE),
            0
        ) +
        IFERROR(
            VLOOKUP($A43, INDIRECT("FebR!$A$6:$ZZ$1048576"), MATCH(D$1, FebR!$6:$6, 0), FALSE),
            0
        ) +
        IFERROR(
            VLOOKUP($A43, INDIRECT("MarR!$A$6:$ZZ$1048576"), MATCH(D$1, MarR!$6:$6, 0), FALSE),
            0
        ) +
        IFERROR(
            VLOOKUP($A43, INDIRECT("AbrR!$A$6:$ZZ$1048576"), MATCH(D$1, AbrR!$6:$6, 0), FALSE),
            0
        ) +
        IFERROR(
            VLOOKUP($A43, INDIRECT("MayR!$A$6:$ZZ$1048576"), MATCH(D$1, MayR!$6:$6, 0), FALSE),
            0
        ) +
        IFERROR(
            VLOOKUP($A43, INDIRECT("JunR!$A$6:$ZZ$1048576"), MATCH(D$1, JunR!$6:$6, 0), FALSE),
            0
        ) +
        IFERROR(
            VLOOKUP($A43, INDIRECT("JulR!$A$6:$ZZ$1048576"), MATCH(D$1, JulR!$6:$6, 0), FALSE),
            0
        ) +
        IFERROR(
            VLOOKUP($A43, INDIRECT("AgoR!$A$6:$ZZ$1048576"), MATCH(D$1, AgoR!$6:$6, 0), FALSE),
            0
        ) +
        IFERROR(
            VLOOKUP($A43, INDIRECT("SepR!$A$6:$ZZ$1048576"), MATCH(D$1, SepR!$6:$6, 0), FALSE),
            0
        ) +
        IFERROR(
            VLOOKUP($A43, INDIRECT("OctR!$A$6:$ZZ$1048576"), MATCH(D$1, OctR!$6:$6, 0), FALSE),
            0
        ) +
        IFERROR(
            VLOOKUP($A43, INDIRECT("NovR!$A$6:$ZZ$1048576"), MATCH(D$1, NovR!$6:$6, 0), FALSE),
            0
        ) +
        IFERROR(
            VLOOKUP($A43, INDIRECT("DicR!$A$6:$ZZ$1048576"), MATCH(D$1, DicR!$6:$6, 0), FALSE),
            0
        )
)</f>
        <v>0</v>
      </c>
      <c r="E43" s="35">
        <f t="array" ref="E43">SUM(
    IFERROR(
            VLOOKUP($A43, INDIRECT("EneR!$A$6:$ZZ$1048576"), MATCH(E$1, EneR!$6:$6, 0), FALSE),
            0
        ) +
        IFERROR(
            VLOOKUP($A43, INDIRECT("FebR!$A$6:$ZZ$1048576"), MATCH(E$1, FebR!$6:$6, 0), FALSE),
            0
        ) +
        IFERROR(
            VLOOKUP($A43, INDIRECT("MarR!$A$6:$ZZ$1048576"), MATCH(E$1, MarR!$6:$6, 0), FALSE),
            0
        ) +
        IFERROR(
            VLOOKUP($A43, INDIRECT("AbrR!$A$6:$ZZ$1048576"), MATCH(E$1, AbrR!$6:$6, 0), FALSE),
            0
        ) +
        IFERROR(
            VLOOKUP($A43, INDIRECT("MayR!$A$6:$ZZ$1048576"), MATCH(E$1, MayR!$6:$6, 0), FALSE),
            0
        ) +
        IFERROR(
            VLOOKUP($A43, INDIRECT("JunR!$A$6:$ZZ$1048576"), MATCH(E$1, JunR!$6:$6, 0), FALSE),
            0
        ) +
        IFERROR(
            VLOOKUP($A43, INDIRECT("JulR!$A$6:$ZZ$1048576"), MATCH(E$1, JulR!$6:$6, 0), FALSE),
            0
        ) +
        IFERROR(
            VLOOKUP($A43, INDIRECT("AgoR!$A$6:$ZZ$1048576"), MATCH(E$1, AgoR!$6:$6, 0), FALSE),
            0
        ) +
        IFERROR(
            VLOOKUP($A43, INDIRECT("SepR!$A$6:$ZZ$1048576"), MATCH(E$1, SepR!$6:$6, 0), FALSE),
            0
        ) +
        IFERROR(
            VLOOKUP($A43, INDIRECT("OctR!$A$6:$ZZ$1048576"), MATCH(E$1, OctR!$6:$6, 0), FALSE),
            0
        ) +
        IFERROR(
            VLOOKUP($A43, INDIRECT("NovR!$A$6:$ZZ$1048576"), MATCH(E$1, NovR!$6:$6, 0), FALSE),
            0
        ) +
        IFERROR(
            VLOOKUP($A43, INDIRECT("DicR!$A$6:$ZZ$1048576"), MATCH(E$1, DicR!$6:$6, 0), FALSE),
            0
        )
)</f>
        <v>0</v>
      </c>
      <c r="F43" s="32">
        <f t="array" ref="F43">SUM(
    IFERROR(
            VLOOKUP($A43, INDIRECT("EneR!$A$6:$ZZ$1048576"), MATCH(F$1, EneR!$6:$6, 0), FALSE),
            0
        ) +
        IFERROR(
            VLOOKUP($A43, INDIRECT("FebR!$A$6:$ZZ$1048576"), MATCH(F$1, FebR!$6:$6, 0), FALSE),
            0
        ) +
        IFERROR(
            VLOOKUP($A43, INDIRECT("MarR!$A$6:$ZZ$1048576"), MATCH(F$1, MarR!$6:$6, 0), FALSE),
            0
        ) +
        IFERROR(
            VLOOKUP($A43, INDIRECT("AbrR!$A$6:$ZZ$1048576"), MATCH(F$1, AbrR!$6:$6, 0), FALSE),
            0
        ) +
        IFERROR(
            VLOOKUP($A43, INDIRECT("MayR!$A$6:$ZZ$1048576"), MATCH(F$1, MayR!$6:$6, 0), FALSE),
            0
        ) +
        IFERROR(
            VLOOKUP($A43, INDIRECT("JunR!$A$6:$ZZ$1048576"), MATCH(F$1, JunR!$6:$6, 0), FALSE),
            0
        ) +
        IFERROR(
            VLOOKUP($A43, INDIRECT("JulR!$A$6:$ZZ$1048576"), MATCH(F$1, JulR!$6:$6, 0), FALSE),
            0
        ) +
        IFERROR(
            VLOOKUP($A43, INDIRECT("AgoR!$A$6:$ZZ$1048576"), MATCH(F$1, AgoR!$6:$6, 0), FALSE),
            0
        ) +
        IFERROR(
            VLOOKUP($A43, INDIRECT("SepR!$A$6:$ZZ$1048576"), MATCH(F$1, SepR!$6:$6, 0), FALSE),
            0
        ) +
        IFERROR(
            VLOOKUP($A43, INDIRECT("OctR!$A$6:$ZZ$1048576"), MATCH(F$1, OctR!$6:$6, 0), FALSE),
            0
        ) +
        IFERROR(
            VLOOKUP($A43, INDIRECT("NovR!$A$6:$ZZ$1048576"), MATCH(F$1, NovR!$6:$6, 0), FALSE),
            0
        ) +
        IFERROR(
            VLOOKUP($A43, INDIRECT("DicR!$A$6:$ZZ$1048576"), MATCH(F$1, DicR!$6:$6, 0), FALSE),
            0
        )
)</f>
        <v>0</v>
      </c>
      <c r="G43" s="35">
        <f t="array" ref="G43">SUM(
    IFERROR(
            VLOOKUP($A43, INDIRECT("EneR!$A$6:$ZZ$1048576"), MATCH(G$1, EneR!$6:$6, 0), FALSE),
            0
        ) +
        IFERROR(
            VLOOKUP($A43, INDIRECT("FebR!$A$6:$ZZ$1048576"), MATCH(G$1, FebR!$6:$6, 0), FALSE),
            0
        ) +
        IFERROR(
            VLOOKUP($A43, INDIRECT("MarR!$A$6:$ZZ$1048576"), MATCH(G$1, MarR!$6:$6, 0), FALSE),
            0
        ) +
        IFERROR(
            VLOOKUP($A43, INDIRECT("AbrR!$A$6:$ZZ$1048576"), MATCH(G$1, AbrR!$6:$6, 0), FALSE),
            0
        ) +
        IFERROR(
            VLOOKUP($A43, INDIRECT("MayR!$A$6:$ZZ$1048576"), MATCH(G$1, MayR!$6:$6, 0), FALSE),
            0
        ) +
        IFERROR(
            VLOOKUP($A43, INDIRECT("JunR!$A$6:$ZZ$1048576"), MATCH(G$1, JunR!$6:$6, 0), FALSE),
            0
        ) +
        IFERROR(
            VLOOKUP($A43, INDIRECT("JulR!$A$6:$ZZ$1048576"), MATCH(G$1, JulR!$6:$6, 0), FALSE),
            0
        ) +
        IFERROR(
            VLOOKUP($A43, INDIRECT("AgoR!$A$6:$ZZ$1048576"), MATCH(G$1, AgoR!$6:$6, 0), FALSE),
            0
        ) +
        IFERROR(
            VLOOKUP($A43, INDIRECT("SepR!$A$6:$ZZ$1048576"), MATCH(G$1, SepR!$6:$6, 0), FALSE),
            0
        ) +
        IFERROR(
            VLOOKUP($A43, INDIRECT("OctR!$A$6:$ZZ$1048576"), MATCH(G$1, OctR!$6:$6, 0), FALSE),
            0
        ) +
        IFERROR(
            VLOOKUP($A43, INDIRECT("NovR!$A$6:$ZZ$1048576"), MATCH(G$1, NovR!$6:$6, 0), FALSE),
            0
        ) +
        IFERROR(
            VLOOKUP($A43, INDIRECT("DicR!$A$6:$ZZ$1048576"), MATCH(G$1, DicR!$6:$6, 0), FALSE),
            0
        )
)</f>
        <v>0</v>
      </c>
      <c r="H43" s="32">
        <f t="array" ref="H43">SUM(
    IFERROR(
            VLOOKUP($A43, INDIRECT("EneR!$A$6:$ZZ$1048576"), MATCH(H$1, EneR!$6:$6, 0), FALSE),
            0
        ) +
        IFERROR(
            VLOOKUP($A43, INDIRECT("FebR!$A$6:$ZZ$1048576"), MATCH(H$1, FebR!$6:$6, 0), FALSE),
            0
        ) +
        IFERROR(
            VLOOKUP($A43, INDIRECT("MarR!$A$6:$ZZ$1048576"), MATCH(H$1, MarR!$6:$6, 0), FALSE),
            0
        ) +
        IFERROR(
            VLOOKUP($A43, INDIRECT("AbrR!$A$6:$ZZ$1048576"), MATCH(H$1, AbrR!$6:$6, 0), FALSE),
            0
        ) +
        IFERROR(
            VLOOKUP($A43, INDIRECT("MayR!$A$6:$ZZ$1048576"), MATCH(H$1, MayR!$6:$6, 0), FALSE),
            0
        ) +
        IFERROR(
            VLOOKUP($A43, INDIRECT("JunR!$A$6:$ZZ$1048576"), MATCH(H$1, JunR!$6:$6, 0), FALSE),
            0
        ) +
        IFERROR(
            VLOOKUP($A43, INDIRECT("JulR!$A$6:$ZZ$1048576"), MATCH(H$1, JulR!$6:$6, 0), FALSE),
            0
        ) +
        IFERROR(
            VLOOKUP($A43, INDIRECT("AgoR!$A$6:$ZZ$1048576"), MATCH(H$1, AgoR!$6:$6, 0), FALSE),
            0
        ) +
        IFERROR(
            VLOOKUP($A43, INDIRECT("SepR!$A$6:$ZZ$1048576"), MATCH(H$1, SepR!$6:$6, 0), FALSE),
            0
        ) +
        IFERROR(
            VLOOKUP($A43, INDIRECT("OctR!$A$6:$ZZ$1048576"), MATCH(H$1, OctR!$6:$6, 0), FALSE),
            0
        ) +
        IFERROR(
            VLOOKUP($A43, INDIRECT("NovR!$A$6:$ZZ$1048576"), MATCH(H$1, NovR!$6:$6, 0), FALSE),
            0
        ) +
        IFERROR(
            VLOOKUP($A43, INDIRECT("DicR!$A$6:$ZZ$1048576"), MATCH(H$1, DicR!$6:$6, 0), FALSE),
            0
        )
)</f>
        <v>0</v>
      </c>
      <c r="I43" s="35">
        <f t="array" ref="I43">SUM(
    IFERROR(
            VLOOKUP($A43, INDIRECT("EneR!$A$6:$ZZ$1048576"), MATCH(I$1, EneR!$6:$6, 0), FALSE),
            0
        ) +
        IFERROR(
            VLOOKUP($A43, INDIRECT("FebR!$A$6:$ZZ$1048576"), MATCH(I$1, FebR!$6:$6, 0), FALSE),
            0
        ) +
        IFERROR(
            VLOOKUP($A43, INDIRECT("MarR!$A$6:$ZZ$1048576"), MATCH(I$1, MarR!$6:$6, 0), FALSE),
            0
        ) +
        IFERROR(
            VLOOKUP($A43, INDIRECT("AbrR!$A$6:$ZZ$1048576"), MATCH(I$1, AbrR!$6:$6, 0), FALSE),
            0
        ) +
        IFERROR(
            VLOOKUP($A43, INDIRECT("MayR!$A$6:$ZZ$1048576"), MATCH(I$1, MayR!$6:$6, 0), FALSE),
            0
        ) +
        IFERROR(
            VLOOKUP($A43, INDIRECT("JunR!$A$6:$ZZ$1048576"), MATCH(I$1, JunR!$6:$6, 0), FALSE),
            0
        ) +
        IFERROR(
            VLOOKUP($A43, INDIRECT("JulR!$A$6:$ZZ$1048576"), MATCH(I$1, JulR!$6:$6, 0), FALSE),
            0
        ) +
        IFERROR(
            VLOOKUP($A43, INDIRECT("AgoR!$A$6:$ZZ$1048576"), MATCH(I$1, AgoR!$6:$6, 0), FALSE),
            0
        ) +
        IFERROR(
            VLOOKUP($A43, INDIRECT("SepR!$A$6:$ZZ$1048576"), MATCH(I$1, SepR!$6:$6, 0), FALSE),
            0
        ) +
        IFERROR(
            VLOOKUP($A43, INDIRECT("OctR!$A$6:$ZZ$1048576"), MATCH(I$1, OctR!$6:$6, 0), FALSE),
            0
        ) +
        IFERROR(
            VLOOKUP($A43, INDIRECT("NovR!$A$6:$ZZ$1048576"), MATCH(I$1, NovR!$6:$6, 0), FALSE),
            0
        ) +
        IFERROR(
            VLOOKUP($A43, INDIRECT("DicR!$A$6:$ZZ$1048576"), MATCH(I$1, DicR!$6:$6, 0), FALSE),
            0
        )
)</f>
        <v>0</v>
      </c>
      <c r="J43" s="32">
        <f t="array" ref="J43">SUM(
    IFERROR(
            VLOOKUP($A43, INDIRECT("EneR!$A$6:$ZZ$1048576"), MATCH(J$1, EneR!$6:$6, 0), FALSE),
            0
        ) +
        IFERROR(
            VLOOKUP($A43, INDIRECT("FebR!$A$6:$ZZ$1048576"), MATCH(J$1, FebR!$6:$6, 0), FALSE),
            0
        ) +
        IFERROR(
            VLOOKUP($A43, INDIRECT("MarR!$A$6:$ZZ$1048576"), MATCH(J$1, MarR!$6:$6, 0), FALSE),
            0
        ) +
        IFERROR(
            VLOOKUP($A43, INDIRECT("AbrR!$A$6:$ZZ$1048576"), MATCH(J$1, AbrR!$6:$6, 0), FALSE),
            0
        ) +
        IFERROR(
            VLOOKUP($A43, INDIRECT("MayR!$A$6:$ZZ$1048576"), MATCH(J$1, MayR!$6:$6, 0), FALSE),
            0
        ) +
        IFERROR(
            VLOOKUP($A43, INDIRECT("JunR!$A$6:$ZZ$1048576"), MATCH(J$1, JunR!$6:$6, 0), FALSE),
            0
        ) +
        IFERROR(
            VLOOKUP($A43, INDIRECT("JulR!$A$6:$ZZ$1048576"), MATCH(J$1, JulR!$6:$6, 0), FALSE),
            0
        ) +
        IFERROR(
            VLOOKUP($A43, INDIRECT("AgoR!$A$6:$ZZ$1048576"), MATCH(J$1, AgoR!$6:$6, 0), FALSE),
            0
        ) +
        IFERROR(
            VLOOKUP($A43, INDIRECT("SepR!$A$6:$ZZ$1048576"), MATCH(J$1, SepR!$6:$6, 0), FALSE),
            0
        ) +
        IFERROR(
            VLOOKUP($A43, INDIRECT("OctR!$A$6:$ZZ$1048576"), MATCH(J$1, OctR!$6:$6, 0), FALSE),
            0
        ) +
        IFERROR(
            VLOOKUP($A43, INDIRECT("NovR!$A$6:$ZZ$1048576"), MATCH(J$1, NovR!$6:$6, 0), FALSE),
            0
        ) +
        IFERROR(
            VLOOKUP($A43, INDIRECT("DicR!$A$6:$ZZ$1048576"), MATCH(J$1, DicR!$6:$6, 0), FALSE),
            0
        )
)</f>
        <v>0</v>
      </c>
      <c r="K43" s="35">
        <f t="array" ref="K43">SUM(
    IFERROR(
            VLOOKUP($A43, INDIRECT("EneR!$A$6:$ZZ$1048576"), MATCH(K$1, EneR!$6:$6, 0), FALSE),
            0
        ) +
        IFERROR(
            VLOOKUP($A43, INDIRECT("FebR!$A$6:$ZZ$1048576"), MATCH(K$1, FebR!$6:$6, 0), FALSE),
            0
        ) +
        IFERROR(
            VLOOKUP($A43, INDIRECT("MarR!$A$6:$ZZ$1048576"), MATCH(K$1, MarR!$6:$6, 0), FALSE),
            0
        ) +
        IFERROR(
            VLOOKUP($A43, INDIRECT("AbrR!$A$6:$ZZ$1048576"), MATCH(K$1, AbrR!$6:$6, 0), FALSE),
            0
        ) +
        IFERROR(
            VLOOKUP($A43, INDIRECT("MayR!$A$6:$ZZ$1048576"), MATCH(K$1, MayR!$6:$6, 0), FALSE),
            0
        ) +
        IFERROR(
            VLOOKUP($A43, INDIRECT("JunR!$A$6:$ZZ$1048576"), MATCH(K$1, JunR!$6:$6, 0), FALSE),
            0
        ) +
        IFERROR(
            VLOOKUP($A43, INDIRECT("JulR!$A$6:$ZZ$1048576"), MATCH(K$1, JulR!$6:$6, 0), FALSE),
            0
        ) +
        IFERROR(
            VLOOKUP($A43, INDIRECT("AgoR!$A$6:$ZZ$1048576"), MATCH(K$1, AgoR!$6:$6, 0), FALSE),
            0
        ) +
        IFERROR(
            VLOOKUP($A43, INDIRECT("SepR!$A$6:$ZZ$1048576"), MATCH(K$1, SepR!$6:$6, 0), FALSE),
            0
        ) +
        IFERROR(
            VLOOKUP($A43, INDIRECT("OctR!$A$6:$ZZ$1048576"), MATCH(K$1, OctR!$6:$6, 0), FALSE),
            0
        ) +
        IFERROR(
            VLOOKUP($A43, INDIRECT("NovR!$A$6:$ZZ$1048576"), MATCH(K$1, NovR!$6:$6, 0), FALSE),
            0
        ) +
        IFERROR(
            VLOOKUP($A43, INDIRECT("DicR!$A$6:$ZZ$1048576"), MATCH(K$1, DicR!$6:$6, 0), FALSE),
            0
        )
)</f>
        <v>0</v>
      </c>
      <c r="L43" s="32">
        <f t="array" ref="L43">SUM(
    IFERROR(
            VLOOKUP($A43, INDIRECT("EneR!$A$6:$ZZ$1048576"), MATCH(L$1, EneR!$6:$6, 0), FALSE),
            0
        ) +
        IFERROR(
            VLOOKUP($A43, INDIRECT("FebR!$A$6:$ZZ$1048576"), MATCH(L$1, FebR!$6:$6, 0), FALSE),
            0
        ) +
        IFERROR(
            VLOOKUP($A43, INDIRECT("MarR!$A$6:$ZZ$1048576"), MATCH(L$1, MarR!$6:$6, 0), FALSE),
            0
        ) +
        IFERROR(
            VLOOKUP($A43, INDIRECT("AbrR!$A$6:$ZZ$1048576"), MATCH(L$1, AbrR!$6:$6, 0), FALSE),
            0
        ) +
        IFERROR(
            VLOOKUP($A43, INDIRECT("MayR!$A$6:$ZZ$1048576"), MATCH(L$1, MayR!$6:$6, 0), FALSE),
            0
        ) +
        IFERROR(
            VLOOKUP($A43, INDIRECT("JunR!$A$6:$ZZ$1048576"), MATCH(L$1, JunR!$6:$6, 0), FALSE),
            0
        ) +
        IFERROR(
            VLOOKUP($A43, INDIRECT("JulR!$A$6:$ZZ$1048576"), MATCH(L$1, JulR!$6:$6, 0), FALSE),
            0
        ) +
        IFERROR(
            VLOOKUP($A43, INDIRECT("AgoR!$A$6:$ZZ$1048576"), MATCH(L$1, AgoR!$6:$6, 0), FALSE),
            0
        ) +
        IFERROR(
            VLOOKUP($A43, INDIRECT("SepR!$A$6:$ZZ$1048576"), MATCH(L$1, SepR!$6:$6, 0), FALSE),
            0
        ) +
        IFERROR(
            VLOOKUP($A43, INDIRECT("OctR!$A$6:$ZZ$1048576"), MATCH(L$1, OctR!$6:$6, 0), FALSE),
            0
        ) +
        IFERROR(
            VLOOKUP($A43, INDIRECT("NovR!$A$6:$ZZ$1048576"), MATCH(L$1, NovR!$6:$6, 0), FALSE),
            0
        ) +
        IFERROR(
            VLOOKUP($A43, INDIRECT("DicR!$A$6:$ZZ$1048576"), MATCH(L$1, DicR!$6:$6, 0), FALSE),
            0
        )
)</f>
        <v>0</v>
      </c>
      <c r="M43" s="35">
        <f t="array" ref="M43">SUM(
    IFERROR(
            VLOOKUP($A43, INDIRECT("EneR!$A$6:$ZZ$1048576"), MATCH(M$1, EneR!$6:$6, 0), FALSE),
            0
        ) +
        IFERROR(
            VLOOKUP($A43, INDIRECT("FebR!$A$6:$ZZ$1048576"), MATCH(M$1, FebR!$6:$6, 0), FALSE),
            0
        ) +
        IFERROR(
            VLOOKUP($A43, INDIRECT("MarR!$A$6:$ZZ$1048576"), MATCH(M$1, MarR!$6:$6, 0), FALSE),
            0
        ) +
        IFERROR(
            VLOOKUP($A43, INDIRECT("AbrR!$A$6:$ZZ$1048576"), MATCH(M$1, AbrR!$6:$6, 0), FALSE),
            0
        ) +
        IFERROR(
            VLOOKUP($A43, INDIRECT("MayR!$A$6:$ZZ$1048576"), MATCH(M$1, MayR!$6:$6, 0), FALSE),
            0
        ) +
        IFERROR(
            VLOOKUP($A43, INDIRECT("JunR!$A$6:$ZZ$1048576"), MATCH(M$1, JunR!$6:$6, 0), FALSE),
            0
        ) +
        IFERROR(
            VLOOKUP($A43, INDIRECT("JulR!$A$6:$ZZ$1048576"), MATCH(M$1, JulR!$6:$6, 0), FALSE),
            0
        ) +
        IFERROR(
            VLOOKUP($A43, INDIRECT("AgoR!$A$6:$ZZ$1048576"), MATCH(M$1, AgoR!$6:$6, 0), FALSE),
            0
        ) +
        IFERROR(
            VLOOKUP($A43, INDIRECT("SepR!$A$6:$ZZ$1048576"), MATCH(M$1, SepR!$6:$6, 0), FALSE),
            0
        ) +
        IFERROR(
            VLOOKUP($A43, INDIRECT("OctR!$A$6:$ZZ$1048576"), MATCH(M$1, OctR!$6:$6, 0), FALSE),
            0
        ) +
        IFERROR(
            VLOOKUP($A43, INDIRECT("NovR!$A$6:$ZZ$1048576"), MATCH(M$1, NovR!$6:$6, 0), FALSE),
            0
        ) +
        IFERROR(
            VLOOKUP($A43, INDIRECT("DicR!$A$6:$ZZ$1048576"), MATCH(M$1, DicR!$6:$6, 0), FALSE),
            0
        )
)</f>
        <v>0</v>
      </c>
      <c r="N43" s="32">
        <f t="array" ref="N43">SUM(
    IFERROR(
            VLOOKUP($A43, INDIRECT("EneR!$A$6:$ZZ$1048576"), MATCH(N$1, EneR!$6:$6, 0), FALSE),
            0
        ) +
        IFERROR(
            VLOOKUP($A43, INDIRECT("FebR!$A$6:$ZZ$1048576"), MATCH(N$1, FebR!$6:$6, 0), FALSE),
            0
        ) +
        IFERROR(
            VLOOKUP($A43, INDIRECT("MarR!$A$6:$ZZ$1048576"), MATCH(N$1, MarR!$6:$6, 0), FALSE),
            0
        ) +
        IFERROR(
            VLOOKUP($A43, INDIRECT("AbrR!$A$6:$ZZ$1048576"), MATCH(N$1, AbrR!$6:$6, 0), FALSE),
            0
        ) +
        IFERROR(
            VLOOKUP($A43, INDIRECT("MayR!$A$6:$ZZ$1048576"), MATCH(N$1, MayR!$6:$6, 0), FALSE),
            0
        ) +
        IFERROR(
            VLOOKUP($A43, INDIRECT("JunR!$A$6:$ZZ$1048576"), MATCH(N$1, JunR!$6:$6, 0), FALSE),
            0
        ) +
        IFERROR(
            VLOOKUP($A43, INDIRECT("JulR!$A$6:$ZZ$1048576"), MATCH(N$1, JulR!$6:$6, 0), FALSE),
            0
        ) +
        IFERROR(
            VLOOKUP($A43, INDIRECT("AgoR!$A$6:$ZZ$1048576"), MATCH(N$1, AgoR!$6:$6, 0), FALSE),
            0
        ) +
        IFERROR(
            VLOOKUP($A43, INDIRECT("SepR!$A$6:$ZZ$1048576"), MATCH(N$1, SepR!$6:$6, 0), FALSE),
            0
        ) +
        IFERROR(
            VLOOKUP($A43, INDIRECT("OctR!$A$6:$ZZ$1048576"), MATCH(N$1, OctR!$6:$6, 0), FALSE),
            0
        ) +
        IFERROR(
            VLOOKUP($A43, INDIRECT("NovR!$A$6:$ZZ$1048576"), MATCH(N$1, NovR!$6:$6, 0), FALSE),
            0
        ) +
        IFERROR(
            VLOOKUP($A43, INDIRECT("DicR!$A$6:$ZZ$1048576"), MATCH(N$1, DicR!$6:$6, 0), FALSE),
            0
        )
)</f>
        <v>0</v>
      </c>
      <c r="O43" s="35">
        <f t="array" ref="O43">SUM(
    IFERROR(
            VLOOKUP($A43, INDIRECT("EneR!$A$6:$ZZ$1048576"), MATCH(O$1, EneR!$6:$6, 0), FALSE),
            0
        ) +
        IFERROR(
            VLOOKUP($A43, INDIRECT("FebR!$A$6:$ZZ$1048576"), MATCH(O$1, FebR!$6:$6, 0), FALSE),
            0
        ) +
        IFERROR(
            VLOOKUP($A43, INDIRECT("MarR!$A$6:$ZZ$1048576"), MATCH(O$1, MarR!$6:$6, 0), FALSE),
            0
        ) +
        IFERROR(
            VLOOKUP($A43, INDIRECT("AbrR!$A$6:$ZZ$1048576"), MATCH(O$1, AbrR!$6:$6, 0), FALSE),
            0
        ) +
        IFERROR(
            VLOOKUP($A43, INDIRECT("MayR!$A$6:$ZZ$1048576"), MATCH(O$1, MayR!$6:$6, 0), FALSE),
            0
        ) +
        IFERROR(
            VLOOKUP($A43, INDIRECT("JunR!$A$6:$ZZ$1048576"), MATCH(O$1, JunR!$6:$6, 0), FALSE),
            0
        ) +
        IFERROR(
            VLOOKUP($A43, INDIRECT("JulR!$A$6:$ZZ$1048576"), MATCH(O$1, JulR!$6:$6, 0), FALSE),
            0
        ) +
        IFERROR(
            VLOOKUP($A43, INDIRECT("AgoR!$A$6:$ZZ$1048576"), MATCH(O$1, AgoR!$6:$6, 0), FALSE),
            0
        ) +
        IFERROR(
            VLOOKUP($A43, INDIRECT("SepR!$A$6:$ZZ$1048576"), MATCH(O$1, SepR!$6:$6, 0), FALSE),
            0
        ) +
        IFERROR(
            VLOOKUP($A43, INDIRECT("OctR!$A$6:$ZZ$1048576"), MATCH(O$1, OctR!$6:$6, 0), FALSE),
            0
        ) +
        IFERROR(
            VLOOKUP($A43, INDIRECT("NovR!$A$6:$ZZ$1048576"), MATCH(O$1, NovR!$6:$6, 0), FALSE),
            0
        ) +
        IFERROR(
            VLOOKUP($A43, INDIRECT("DicR!$A$6:$ZZ$1048576"), MATCH(O$1, DicR!$6:$6, 0), FALSE),
            0
        )
)</f>
        <v>0</v>
      </c>
      <c r="P43" s="32">
        <f t="array" ref="P43">SUM(
    IFERROR(
            VLOOKUP($A43, INDIRECT("EneR!$A$6:$ZZ$1048576"), MATCH(P$1, EneR!$6:$6, 0), FALSE),
            0
        ) +
        IFERROR(
            VLOOKUP($A43, INDIRECT("FebR!$A$6:$ZZ$1048576"), MATCH(P$1, FebR!$6:$6, 0), FALSE),
            0
        ) +
        IFERROR(
            VLOOKUP($A43, INDIRECT("MarR!$A$6:$ZZ$1048576"), MATCH(P$1, MarR!$6:$6, 0), FALSE),
            0
        ) +
        IFERROR(
            VLOOKUP($A43, INDIRECT("AbrR!$A$6:$ZZ$1048576"), MATCH(P$1, AbrR!$6:$6, 0), FALSE),
            0
        ) +
        IFERROR(
            VLOOKUP($A43, INDIRECT("MayR!$A$6:$ZZ$1048576"), MATCH(P$1, MayR!$6:$6, 0), FALSE),
            0
        ) +
        IFERROR(
            VLOOKUP($A43, INDIRECT("JunR!$A$6:$ZZ$1048576"), MATCH(P$1, JunR!$6:$6, 0), FALSE),
            0
        ) +
        IFERROR(
            VLOOKUP($A43, INDIRECT("JulR!$A$6:$ZZ$1048576"), MATCH(P$1, JulR!$6:$6, 0), FALSE),
            0
        ) +
        IFERROR(
            VLOOKUP($A43, INDIRECT("AgoR!$A$6:$ZZ$1048576"), MATCH(P$1, AgoR!$6:$6, 0), FALSE),
            0
        ) +
        IFERROR(
            VLOOKUP($A43, INDIRECT("SepR!$A$6:$ZZ$1048576"), MATCH(P$1, SepR!$6:$6, 0), FALSE),
            0
        ) +
        IFERROR(
            VLOOKUP($A43, INDIRECT("OctR!$A$6:$ZZ$1048576"), MATCH(P$1, OctR!$6:$6, 0), FALSE),
            0
        ) +
        IFERROR(
            VLOOKUP($A43, INDIRECT("NovR!$A$6:$ZZ$1048576"), MATCH(P$1, NovR!$6:$6, 0), FALSE),
            0
        ) +
        IFERROR(
            VLOOKUP($A43, INDIRECT("DicR!$A$6:$ZZ$1048576"), MATCH(P$1, DicR!$6:$6, 0), FALSE),
            0
        )
)</f>
        <v>0</v>
      </c>
      <c r="Q43" s="35">
        <f t="array" ref="Q43">SUM(
    IFERROR(
            VLOOKUP($A43, INDIRECT("EneR!$A$6:$ZZ$1048576"), MATCH(Q$1, EneR!$6:$6, 0), FALSE),
            0
        ) +
        IFERROR(
            VLOOKUP($A43, INDIRECT("FebR!$A$6:$ZZ$1048576"), MATCH(Q$1, FebR!$6:$6, 0), FALSE),
            0
        ) +
        IFERROR(
            VLOOKUP($A43, INDIRECT("MarR!$A$6:$ZZ$1048576"), MATCH(Q$1, MarR!$6:$6, 0), FALSE),
            0
        ) +
        IFERROR(
            VLOOKUP($A43, INDIRECT("AbrR!$A$6:$ZZ$1048576"), MATCH(Q$1, AbrR!$6:$6, 0), FALSE),
            0
        ) +
        IFERROR(
            VLOOKUP($A43, INDIRECT("MayR!$A$6:$ZZ$1048576"), MATCH(Q$1, MayR!$6:$6, 0), FALSE),
            0
        ) +
        IFERROR(
            VLOOKUP($A43, INDIRECT("JunR!$A$6:$ZZ$1048576"), MATCH(Q$1, JunR!$6:$6, 0), FALSE),
            0
        ) +
        IFERROR(
            VLOOKUP($A43, INDIRECT("JulR!$A$6:$ZZ$1048576"), MATCH(Q$1, JulR!$6:$6, 0), FALSE),
            0
        ) +
        IFERROR(
            VLOOKUP($A43, INDIRECT("AgoR!$A$6:$ZZ$1048576"), MATCH(Q$1, AgoR!$6:$6, 0), FALSE),
            0
        ) +
        IFERROR(
            VLOOKUP($A43, INDIRECT("SepR!$A$6:$ZZ$1048576"), MATCH(Q$1, SepR!$6:$6, 0), FALSE),
            0
        ) +
        IFERROR(
            VLOOKUP($A43, INDIRECT("OctR!$A$6:$ZZ$1048576"), MATCH(Q$1, OctR!$6:$6, 0), FALSE),
            0
        ) +
        IFERROR(
            VLOOKUP($A43, INDIRECT("NovR!$A$6:$ZZ$1048576"), MATCH(Q$1, NovR!$6:$6, 0), FALSE),
            0
        ) +
        IFERROR(
            VLOOKUP($A43, INDIRECT("DicR!$A$6:$ZZ$1048576"), MATCH(Q$1, DicR!$6:$6, 0), FALSE),
            0
        )
)</f>
        <v>0</v>
      </c>
      <c r="R43" s="36">
        <f t="array" ref="R43">SUM(
    IFERROR(
            VLOOKUP($A43, INDIRECT("EneR!$A$6:$ZZ$1048576"), MATCH(R$1, EneR!$6:$6, 0), FALSE),
            0
        ) +
        IFERROR(
            VLOOKUP($A43, INDIRECT("FebR!$A$6:$ZZ$1048576"), MATCH(R$1, FebR!$6:$6, 0), FALSE),
            0
        ) +
        IFERROR(
            VLOOKUP($A43, INDIRECT("MarR!$A$6:$ZZ$1048576"), MATCH(R$1, MarR!$6:$6, 0), FALSE),
            0
        ) +
        IFERROR(
            VLOOKUP($A43, INDIRECT("AbrR!$A$6:$ZZ$1048576"), MATCH(R$1, AbrR!$6:$6, 0), FALSE),
            0
        ) +
        IFERROR(
            VLOOKUP($A43, INDIRECT("MayR!$A$6:$ZZ$1048576"), MATCH(R$1, MayR!$6:$6, 0), FALSE),
            0
        ) +
        IFERROR(
            VLOOKUP($A43, INDIRECT("JunR!$A$6:$ZZ$1048576"), MATCH(R$1, JunR!$6:$6, 0), FALSE),
            0
        ) +
        IFERROR(
            VLOOKUP($A43, INDIRECT("JulR!$A$6:$ZZ$1048576"), MATCH(R$1, JulR!$6:$6, 0), FALSE),
            0
        ) +
        IFERROR(
            VLOOKUP($A43, INDIRECT("AgoR!$A$6:$ZZ$1048576"), MATCH(R$1, AgoR!$6:$6, 0), FALSE),
            0
        ) +
        IFERROR(
            VLOOKUP($A43, INDIRECT("SepR!$A$6:$ZZ$1048576"), MATCH(R$1, SepR!$6:$6, 0), FALSE),
            0
        ) +
        IFERROR(
            VLOOKUP($A43, INDIRECT("OctR!$A$6:$ZZ$1048576"), MATCH(R$1, OctR!$6:$6, 0), FALSE),
            0
        ) +
        IFERROR(
            VLOOKUP($A43, INDIRECT("NovR!$A$6:$ZZ$1048576"), MATCH(R$1, NovR!$6:$6, 0), FALSE),
            0
        ) +
        IFERROR(
            VLOOKUP($A43, INDIRECT("DicR!$A$6:$ZZ$1048576"), MATCH(R$1, DicR!$6:$6, 0), FALSE),
            0
        )
)</f>
        <v>0</v>
      </c>
      <c r="S43" s="37">
        <f t="array" ref="S43">SUM(
    IFERROR(
            VLOOKUP($A43, INDIRECT("EneR!$A$6:$ZZ$1048576"), MATCH(S$1, EneR!$6:$6, 0), FALSE),
            0
        ) +
        IFERROR(
            VLOOKUP($A43, INDIRECT("FebR!$A$6:$ZZ$1048576"), MATCH(S$1, FebR!$6:$6, 0), FALSE),
            0
        ) +
        IFERROR(
            VLOOKUP($A43, INDIRECT("MarR!$A$6:$ZZ$1048576"), MATCH(S$1, MarR!$6:$6, 0), FALSE),
            0
        ) +
        IFERROR(
            VLOOKUP($A43, INDIRECT("AbrR!$A$6:$ZZ$1048576"), MATCH(S$1, AbrR!$6:$6, 0), FALSE),
            0
        ) +
        IFERROR(
            VLOOKUP($A43, INDIRECT("MayR!$A$6:$ZZ$1048576"), MATCH(S$1, MayR!$6:$6, 0), FALSE),
            0
        ) +
        IFERROR(
            VLOOKUP($A43, INDIRECT("JunR!$A$6:$ZZ$1048576"), MATCH(S$1, JunR!$6:$6, 0), FALSE),
            0
        ) +
        IFERROR(
            VLOOKUP($A43, INDIRECT("JulR!$A$6:$ZZ$1048576"), MATCH(S$1, JulR!$6:$6, 0), FALSE),
            0
        ) +
        IFERROR(
            VLOOKUP($A43, INDIRECT("AgoR!$A$6:$ZZ$1048576"), MATCH(S$1, AgoR!$6:$6, 0), FALSE),
            0
        ) +
        IFERROR(
            VLOOKUP($A43, INDIRECT("SepR!$A$6:$ZZ$1048576"), MATCH(S$1, SepR!$6:$6, 0), FALSE),
            0
        ) +
        IFERROR(
            VLOOKUP($A43, INDIRECT("OctR!$A$6:$ZZ$1048576"), MATCH(S$1, OctR!$6:$6, 0), FALSE),
            0
        ) +
        IFERROR(
            VLOOKUP($A43, INDIRECT("NovR!$A$6:$ZZ$1048576"), MATCH(S$1, NovR!$6:$6, 0), FALSE),
            0
        ) +
        IFERROR(
            VLOOKUP($A43, INDIRECT("DicR!$A$6:$ZZ$1048576"), MATCH(S$1, DicR!$6:$6, 0), FALSE),
            0
        )
)</f>
        <v>0</v>
      </c>
      <c r="T43" s="36">
        <f t="array" ref="T43">SUM(
    IFERROR(
            VLOOKUP($A43, INDIRECT("EneR!$A$6:$ZZ$1048576"), MATCH(T$1, EneR!$6:$6, 0), FALSE),
            0
        ) +
        IFERROR(
            VLOOKUP($A43, INDIRECT("FebR!$A$6:$ZZ$1048576"), MATCH(T$1, FebR!$6:$6, 0), FALSE),
            0
        ) +
        IFERROR(
            VLOOKUP($A43, INDIRECT("MarR!$A$6:$ZZ$1048576"), MATCH(T$1, MarR!$6:$6, 0), FALSE),
            0
        ) +
        IFERROR(
            VLOOKUP($A43, INDIRECT("AbrR!$A$6:$ZZ$1048576"), MATCH(T$1, AbrR!$6:$6, 0), FALSE),
            0
        ) +
        IFERROR(
            VLOOKUP($A43, INDIRECT("MayR!$A$6:$ZZ$1048576"), MATCH(T$1, MayR!$6:$6, 0), FALSE),
            0
        ) +
        IFERROR(
            VLOOKUP($A43, INDIRECT("JunR!$A$6:$ZZ$1048576"), MATCH(T$1, JunR!$6:$6, 0), FALSE),
            0
        ) +
        IFERROR(
            VLOOKUP($A43, INDIRECT("JulR!$A$6:$ZZ$1048576"), MATCH(T$1, JulR!$6:$6, 0), FALSE),
            0
        ) +
        IFERROR(
            VLOOKUP($A43, INDIRECT("AgoR!$A$6:$ZZ$1048576"), MATCH(T$1, AgoR!$6:$6, 0), FALSE),
            0
        ) +
        IFERROR(
            VLOOKUP($A43, INDIRECT("SepR!$A$6:$ZZ$1048576"), MATCH(T$1, SepR!$6:$6, 0), FALSE),
            0
        ) +
        IFERROR(
            VLOOKUP($A43, INDIRECT("OctR!$A$6:$ZZ$1048576"), MATCH(T$1, OctR!$6:$6, 0), FALSE),
            0
        ) +
        IFERROR(
            VLOOKUP($A43, INDIRECT("NovR!$A$6:$ZZ$1048576"), MATCH(T$1, NovR!$6:$6, 0), FALSE),
            0
        ) +
        IFERROR(
            VLOOKUP($A43, INDIRECT("DicR!$A$6:$ZZ$1048576"), MATCH(T$1, DicR!$6:$6, 0), FALSE),
            0
        )
)</f>
        <v>0</v>
      </c>
      <c r="U43" s="37">
        <f t="array" ref="U43">SUM(
    IFERROR(
            VLOOKUP($A43, INDIRECT("EneR!$A$6:$ZZ$1048576"), MATCH(U$1, EneR!$6:$6, 0), FALSE),
            0
        ) +
        IFERROR(
            VLOOKUP($A43, INDIRECT("FebR!$A$6:$ZZ$1048576"), MATCH(U$1, FebR!$6:$6, 0), FALSE),
            0
        ) +
        IFERROR(
            VLOOKUP($A43, INDIRECT("MarR!$A$6:$ZZ$1048576"), MATCH(U$1, MarR!$6:$6, 0), FALSE),
            0
        ) +
        IFERROR(
            VLOOKUP($A43, INDIRECT("AbrR!$A$6:$ZZ$1048576"), MATCH(U$1, AbrR!$6:$6, 0), FALSE),
            0
        ) +
        IFERROR(
            VLOOKUP($A43, INDIRECT("MayR!$A$6:$ZZ$1048576"), MATCH(U$1, MayR!$6:$6, 0), FALSE),
            0
        ) +
        IFERROR(
            VLOOKUP($A43, INDIRECT("JunR!$A$6:$ZZ$1048576"), MATCH(U$1, JunR!$6:$6, 0), FALSE),
            0
        ) +
        IFERROR(
            VLOOKUP($A43, INDIRECT("JulR!$A$6:$ZZ$1048576"), MATCH(U$1, JulR!$6:$6, 0), FALSE),
            0
        ) +
        IFERROR(
            VLOOKUP($A43, INDIRECT("AgoR!$A$6:$ZZ$1048576"), MATCH(U$1, AgoR!$6:$6, 0), FALSE),
            0
        ) +
        IFERROR(
            VLOOKUP($A43, INDIRECT("SepR!$A$6:$ZZ$1048576"), MATCH(U$1, SepR!$6:$6, 0), FALSE),
            0
        ) +
        IFERROR(
            VLOOKUP($A43, INDIRECT("OctR!$A$6:$ZZ$1048576"), MATCH(U$1, OctR!$6:$6, 0), FALSE),
            0
        ) +
        IFERROR(
            VLOOKUP($A43, INDIRECT("NovR!$A$6:$ZZ$1048576"), MATCH(U$1, NovR!$6:$6, 0), FALSE),
            0
        ) +
        IFERROR(
            VLOOKUP($A43, INDIRECT("DicR!$A$6:$ZZ$1048576"), MATCH(U$1, DicR!$6:$6, 0), FALSE),
            0
        )
)</f>
        <v>0</v>
      </c>
      <c r="V43" s="36">
        <f t="array" ref="V43">SUM(
    IFERROR(
            VLOOKUP($A43, INDIRECT("EneR!$A$6:$ZZ$1048576"), MATCH(V$1, EneR!$6:$6, 0), FALSE),
            0
        ) +
        IFERROR(
            VLOOKUP($A43, INDIRECT("FebR!$A$6:$ZZ$1048576"), MATCH(V$1, FebR!$6:$6, 0), FALSE),
            0
        ) +
        IFERROR(
            VLOOKUP($A43, INDIRECT("MarR!$A$6:$ZZ$1048576"), MATCH(V$1, MarR!$6:$6, 0), FALSE),
            0
        ) +
        IFERROR(
            VLOOKUP($A43, INDIRECT("AbrR!$A$6:$ZZ$1048576"), MATCH(V$1, AbrR!$6:$6, 0), FALSE),
            0
        ) +
        IFERROR(
            VLOOKUP($A43, INDIRECT("MayR!$A$6:$ZZ$1048576"), MATCH(V$1, MayR!$6:$6, 0), FALSE),
            0
        ) +
        IFERROR(
            VLOOKUP($A43, INDIRECT("JunR!$A$6:$ZZ$1048576"), MATCH(V$1, JunR!$6:$6, 0), FALSE),
            0
        ) +
        IFERROR(
            VLOOKUP($A43, INDIRECT("JulR!$A$6:$ZZ$1048576"), MATCH(V$1, JulR!$6:$6, 0), FALSE),
            0
        ) +
        IFERROR(
            VLOOKUP($A43, INDIRECT("AgoR!$A$6:$ZZ$1048576"), MATCH(V$1, AgoR!$6:$6, 0), FALSE),
            0
        ) +
        IFERROR(
            VLOOKUP($A43, INDIRECT("SepR!$A$6:$ZZ$1048576"), MATCH(V$1, SepR!$6:$6, 0), FALSE),
            0
        ) +
        IFERROR(
            VLOOKUP($A43, INDIRECT("OctR!$A$6:$ZZ$1048576"), MATCH(V$1, OctR!$6:$6, 0), FALSE),
            0
        ) +
        IFERROR(
            VLOOKUP($A43, INDIRECT("NovR!$A$6:$ZZ$1048576"), MATCH(V$1, NovR!$6:$6, 0), FALSE),
            0
        ) +
        IFERROR(
            VLOOKUP($A43, INDIRECT("DicR!$A$6:$ZZ$1048576"), MATCH(V$1, DicR!$6:$6, 0), FALSE),
            0
        )
)</f>
        <v>0</v>
      </c>
      <c r="W43" s="37">
        <f t="array" ref="W43">SUM(
    IFERROR(
            VLOOKUP($A43, INDIRECT("EneR!$A$6:$ZZ$1048576"), MATCH(W$1, EneR!$6:$6, 0), FALSE),
            0
        ) +
        IFERROR(
            VLOOKUP($A43, INDIRECT("FebR!$A$6:$ZZ$1048576"), MATCH(W$1, FebR!$6:$6, 0), FALSE),
            0
        ) +
        IFERROR(
            VLOOKUP($A43, INDIRECT("MarR!$A$6:$ZZ$1048576"), MATCH(W$1, MarR!$6:$6, 0), FALSE),
            0
        ) +
        IFERROR(
            VLOOKUP($A43, INDIRECT("AbrR!$A$6:$ZZ$1048576"), MATCH(W$1, AbrR!$6:$6, 0), FALSE),
            0
        ) +
        IFERROR(
            VLOOKUP($A43, INDIRECT("MayR!$A$6:$ZZ$1048576"), MATCH(W$1, MayR!$6:$6, 0), FALSE),
            0
        ) +
        IFERROR(
            VLOOKUP($A43, INDIRECT("JunR!$A$6:$ZZ$1048576"), MATCH(W$1, JunR!$6:$6, 0), FALSE),
            0
        ) +
        IFERROR(
            VLOOKUP($A43, INDIRECT("JulR!$A$6:$ZZ$1048576"), MATCH(W$1, JulR!$6:$6, 0), FALSE),
            0
        ) +
        IFERROR(
            VLOOKUP($A43, INDIRECT("AgoR!$A$6:$ZZ$1048576"), MATCH(W$1, AgoR!$6:$6, 0), FALSE),
            0
        ) +
        IFERROR(
            VLOOKUP($A43, INDIRECT("SepR!$A$6:$ZZ$1048576"), MATCH(W$1, SepR!$6:$6, 0), FALSE),
            0
        ) +
        IFERROR(
            VLOOKUP($A43, INDIRECT("OctR!$A$6:$ZZ$1048576"), MATCH(W$1, OctR!$6:$6, 0), FALSE),
            0
        ) +
        IFERROR(
            VLOOKUP($A43, INDIRECT("NovR!$A$6:$ZZ$1048576"), MATCH(W$1, NovR!$6:$6, 0), FALSE),
            0
        ) +
        IFERROR(
            VLOOKUP($A43, INDIRECT("DicR!$A$6:$ZZ$1048576"), MATCH(W$1, DicR!$6:$6, 0), FALSE),
            0
        )
)</f>
        <v>0</v>
      </c>
      <c r="X43" s="36">
        <f t="array" ref="X43">SUM(
    IFERROR(
            VLOOKUP($A43, INDIRECT("EneR!$A$6:$ZZ$1048576"), MATCH(X$1, EneR!$6:$6, 0), FALSE),
            0
        ) +
        IFERROR(
            VLOOKUP($A43, INDIRECT("FebR!$A$6:$ZZ$1048576"), MATCH(X$1, FebR!$6:$6, 0), FALSE),
            0
        ) +
        IFERROR(
            VLOOKUP($A43, INDIRECT("MarR!$A$6:$ZZ$1048576"), MATCH(X$1, MarR!$6:$6, 0), FALSE),
            0
        ) +
        IFERROR(
            VLOOKUP($A43, INDIRECT("AbrR!$A$6:$ZZ$1048576"), MATCH(X$1, AbrR!$6:$6, 0), FALSE),
            0
        ) +
        IFERROR(
            VLOOKUP($A43, INDIRECT("MayR!$A$6:$ZZ$1048576"), MATCH(X$1, MayR!$6:$6, 0), FALSE),
            0
        ) +
        IFERROR(
            VLOOKUP($A43, INDIRECT("JunR!$A$6:$ZZ$1048576"), MATCH(X$1, JunR!$6:$6, 0), FALSE),
            0
        ) +
        IFERROR(
            VLOOKUP($A43, INDIRECT("JulR!$A$6:$ZZ$1048576"), MATCH(X$1, JulR!$6:$6, 0), FALSE),
            0
        ) +
        IFERROR(
            VLOOKUP($A43, INDIRECT("AgoR!$A$6:$ZZ$1048576"), MATCH(X$1, AgoR!$6:$6, 0), FALSE),
            0
        ) +
        IFERROR(
            VLOOKUP($A43, INDIRECT("SepR!$A$6:$ZZ$1048576"), MATCH(X$1, SepR!$6:$6, 0), FALSE),
            0
        ) +
        IFERROR(
            VLOOKUP($A43, INDIRECT("OctR!$A$6:$ZZ$1048576"), MATCH(X$1, OctR!$6:$6, 0), FALSE),
            0
        ) +
        IFERROR(
            VLOOKUP($A43, INDIRECT("NovR!$A$6:$ZZ$1048576"), MATCH(X$1, NovR!$6:$6, 0), FALSE),
            0
        ) +
        IFERROR(
            VLOOKUP($A43, INDIRECT("DicR!$A$6:$ZZ$1048576"), MATCH(X$1, DicR!$6:$6, 0), FALSE),
            0
        )
)</f>
        <v>0</v>
      </c>
      <c r="Y43" s="37">
        <f t="array" ref="Y43">SUM(
    IFERROR(
            VLOOKUP($A43, INDIRECT("EneR!$A$6:$ZZ$1048576"), MATCH(Y$1, EneR!$6:$6, 0), FALSE),
            0
        ) +
        IFERROR(
            VLOOKUP($A43, INDIRECT("FebR!$A$6:$ZZ$1048576"), MATCH(Y$1, FebR!$6:$6, 0), FALSE),
            0
        ) +
        IFERROR(
            VLOOKUP($A43, INDIRECT("MarR!$A$6:$ZZ$1048576"), MATCH(Y$1, MarR!$6:$6, 0), FALSE),
            0
        ) +
        IFERROR(
            VLOOKUP($A43, INDIRECT("AbrR!$A$6:$ZZ$1048576"), MATCH(Y$1, AbrR!$6:$6, 0), FALSE),
            0
        ) +
        IFERROR(
            VLOOKUP($A43, INDIRECT("MayR!$A$6:$ZZ$1048576"), MATCH(Y$1, MayR!$6:$6, 0), FALSE),
            0
        ) +
        IFERROR(
            VLOOKUP($A43, INDIRECT("JunR!$A$6:$ZZ$1048576"), MATCH(Y$1, JunR!$6:$6, 0), FALSE),
            0
        ) +
        IFERROR(
            VLOOKUP($A43, INDIRECT("JulR!$A$6:$ZZ$1048576"), MATCH(Y$1, JulR!$6:$6, 0), FALSE),
            0
        ) +
        IFERROR(
            VLOOKUP($A43, INDIRECT("AgoR!$A$6:$ZZ$1048576"), MATCH(Y$1, AgoR!$6:$6, 0), FALSE),
            0
        ) +
        IFERROR(
            VLOOKUP($A43, INDIRECT("SepR!$A$6:$ZZ$1048576"), MATCH(Y$1, SepR!$6:$6, 0), FALSE),
            0
        ) +
        IFERROR(
            VLOOKUP($A43, INDIRECT("OctR!$A$6:$ZZ$1048576"), MATCH(Y$1, OctR!$6:$6, 0), FALSE),
            0
        ) +
        IFERROR(
            VLOOKUP($A43, INDIRECT("NovR!$A$6:$ZZ$1048576"), MATCH(Y$1, NovR!$6:$6, 0), FALSE),
            0
        ) +
        IFERROR(
            VLOOKUP($A43, INDIRECT("DicR!$A$6:$ZZ$1048576"), MATCH(Y$1, DicR!$6:$6, 0), FALSE),
            0
        )
)</f>
        <v>0</v>
      </c>
      <c r="Z43" s="36">
        <f t="array" ref="Z43">SUM(
    IFERROR(
            VLOOKUP($A43, INDIRECT("EneR!$A$6:$ZZ$1048576"), MATCH(Z$1, EneR!$6:$6, 0), FALSE),
            0
        ) +
        IFERROR(
            VLOOKUP($A43, INDIRECT("FebR!$A$6:$ZZ$1048576"), MATCH(Z$1, FebR!$6:$6, 0), FALSE),
            0
        ) +
        IFERROR(
            VLOOKUP($A43, INDIRECT("MarR!$A$6:$ZZ$1048576"), MATCH(Z$1, MarR!$6:$6, 0), FALSE),
            0
        ) +
        IFERROR(
            VLOOKUP($A43, INDIRECT("AbrR!$A$6:$ZZ$1048576"), MATCH(Z$1, AbrR!$6:$6, 0), FALSE),
            0
        ) +
        IFERROR(
            VLOOKUP($A43, INDIRECT("MayR!$A$6:$ZZ$1048576"), MATCH(Z$1, MayR!$6:$6, 0), FALSE),
            0
        ) +
        IFERROR(
            VLOOKUP($A43, INDIRECT("JunR!$A$6:$ZZ$1048576"), MATCH(Z$1, JunR!$6:$6, 0), FALSE),
            0
        ) +
        IFERROR(
            VLOOKUP($A43, INDIRECT("JulR!$A$6:$ZZ$1048576"), MATCH(Z$1, JulR!$6:$6, 0), FALSE),
            0
        ) +
        IFERROR(
            VLOOKUP($A43, INDIRECT("AgoR!$A$6:$ZZ$1048576"), MATCH(Z$1, AgoR!$6:$6, 0), FALSE),
            0
        ) +
        IFERROR(
            VLOOKUP($A43, INDIRECT("SepR!$A$6:$ZZ$1048576"), MATCH(Z$1, SepR!$6:$6, 0), FALSE),
            0
        ) +
        IFERROR(
            VLOOKUP($A43, INDIRECT("OctR!$A$6:$ZZ$1048576"), MATCH(Z$1, OctR!$6:$6, 0), FALSE),
            0
        ) +
        IFERROR(
            VLOOKUP($A43, INDIRECT("NovR!$A$6:$ZZ$1048576"), MATCH(Z$1, NovR!$6:$6, 0), FALSE),
            0
        ) +
        IFERROR(
            VLOOKUP($A43, INDIRECT("DicR!$A$6:$ZZ$1048576"), MATCH(Z$1, DicR!$6:$6, 0), FALSE),
            0
        )
)</f>
        <v>0</v>
      </c>
      <c r="AA43" s="37">
        <f t="array" ref="AA43">SUM(
    IFERROR(
            VLOOKUP($A43, INDIRECT("EneR!$A$6:$ZZ$1048576"), MATCH(AA$1, EneR!$6:$6, 0), FALSE),
            0
        ) +
        IFERROR(
            VLOOKUP($A43, INDIRECT("FebR!$A$6:$ZZ$1048576"), MATCH(AA$1, FebR!$6:$6, 0), FALSE),
            0
        ) +
        IFERROR(
            VLOOKUP($A43, INDIRECT("MarR!$A$6:$ZZ$1048576"), MATCH(AA$1, MarR!$6:$6, 0), FALSE),
            0
        ) +
        IFERROR(
            VLOOKUP($A43, INDIRECT("AbrR!$A$6:$ZZ$1048576"), MATCH(AA$1, AbrR!$6:$6, 0), FALSE),
            0
        ) +
        IFERROR(
            VLOOKUP($A43, INDIRECT("MayR!$A$6:$ZZ$1048576"), MATCH(AA$1, MayR!$6:$6, 0), FALSE),
            0
        ) +
        IFERROR(
            VLOOKUP($A43, INDIRECT("JunR!$A$6:$ZZ$1048576"), MATCH(AA$1, JunR!$6:$6, 0), FALSE),
            0
        ) +
        IFERROR(
            VLOOKUP($A43, INDIRECT("JulR!$A$6:$ZZ$1048576"), MATCH(AA$1, JulR!$6:$6, 0), FALSE),
            0
        ) +
        IFERROR(
            VLOOKUP($A43, INDIRECT("AgoR!$A$6:$ZZ$1048576"), MATCH(AA$1, AgoR!$6:$6, 0), FALSE),
            0
        ) +
        IFERROR(
            VLOOKUP($A43, INDIRECT("SepR!$A$6:$ZZ$1048576"), MATCH(AA$1, SepR!$6:$6, 0), FALSE),
            0
        ) +
        IFERROR(
            VLOOKUP($A43, INDIRECT("OctR!$A$6:$ZZ$1048576"), MATCH(AA$1, OctR!$6:$6, 0), FALSE),
            0
        ) +
        IFERROR(
            VLOOKUP($A43, INDIRECT("NovR!$A$6:$ZZ$1048576"), MATCH(AA$1, NovR!$6:$6, 0), FALSE),
            0
        ) +
        IFERROR(
            VLOOKUP($A43, INDIRECT("DicR!$A$6:$ZZ$1048576"), MATCH(AA$1, DicR!$6:$6, 0), FALSE),
            0
        )
)</f>
        <v>0</v>
      </c>
      <c r="AB43" s="36">
        <f t="array" ref="AB43">SUM(
    IFERROR(
            VLOOKUP($A43, INDIRECT("EneR!$A$6:$ZZ$1048576"), MATCH(AB$1, EneR!$6:$6, 0), FALSE),
            0
        ) +
        IFERROR(
            VLOOKUP($A43, INDIRECT("FebR!$A$6:$ZZ$1048576"), MATCH(AB$1, FebR!$6:$6, 0), FALSE),
            0
        ) +
        IFERROR(
            VLOOKUP($A43, INDIRECT("MarR!$A$6:$ZZ$1048576"), MATCH(AB$1, MarR!$6:$6, 0), FALSE),
            0
        ) +
        IFERROR(
            VLOOKUP($A43, INDIRECT("AbrR!$A$6:$ZZ$1048576"), MATCH(AB$1, AbrR!$6:$6, 0), FALSE),
            0
        ) +
        IFERROR(
            VLOOKUP($A43, INDIRECT("MayR!$A$6:$ZZ$1048576"), MATCH(AB$1, MayR!$6:$6, 0), FALSE),
            0
        ) +
        IFERROR(
            VLOOKUP($A43, INDIRECT("JunR!$A$6:$ZZ$1048576"), MATCH(AB$1, JunR!$6:$6, 0), FALSE),
            0
        ) +
        IFERROR(
            VLOOKUP($A43, INDIRECT("JulR!$A$6:$ZZ$1048576"), MATCH(AB$1, JulR!$6:$6, 0), FALSE),
            0
        ) +
        IFERROR(
            VLOOKUP($A43, INDIRECT("AgoR!$A$6:$ZZ$1048576"), MATCH(AB$1, AgoR!$6:$6, 0), FALSE),
            0
        ) +
        IFERROR(
            VLOOKUP($A43, INDIRECT("SepR!$A$6:$ZZ$1048576"), MATCH(AB$1, SepR!$6:$6, 0), FALSE),
            0
        ) +
        IFERROR(
            VLOOKUP($A43, INDIRECT("OctR!$A$6:$ZZ$1048576"), MATCH(AB$1, OctR!$6:$6, 0), FALSE),
            0
        ) +
        IFERROR(
            VLOOKUP($A43, INDIRECT("NovR!$A$6:$ZZ$1048576"), MATCH(AB$1, NovR!$6:$6, 0), FALSE),
            0
        ) +
        IFERROR(
            VLOOKUP($A43, INDIRECT("DicR!$A$6:$ZZ$1048576"), MATCH(AB$1, DicR!$6:$6, 0), FALSE),
            0
        )
)</f>
        <v>0</v>
      </c>
      <c r="AC43" s="37">
        <f t="array" ref="AC43">SUM(
    IFERROR(
            VLOOKUP($A43, INDIRECT("EneR!$A$6:$ZZ$1048576"), MATCH(AC$1, EneR!$6:$6, 0), FALSE),
            0
        ) +
        IFERROR(
            VLOOKUP($A43, INDIRECT("FebR!$A$6:$ZZ$1048576"), MATCH(AC$1, FebR!$6:$6, 0), FALSE),
            0
        ) +
        IFERROR(
            VLOOKUP($A43, INDIRECT("MarR!$A$6:$ZZ$1048576"), MATCH(AC$1, MarR!$6:$6, 0), FALSE),
            0
        ) +
        IFERROR(
            VLOOKUP($A43, INDIRECT("AbrR!$A$6:$ZZ$1048576"), MATCH(AC$1, AbrR!$6:$6, 0), FALSE),
            0
        ) +
        IFERROR(
            VLOOKUP($A43, INDIRECT("MayR!$A$6:$ZZ$1048576"), MATCH(AC$1, MayR!$6:$6, 0), FALSE),
            0
        ) +
        IFERROR(
            VLOOKUP($A43, INDIRECT("JunR!$A$6:$ZZ$1048576"), MATCH(AC$1, JunR!$6:$6, 0), FALSE),
            0
        ) +
        IFERROR(
            VLOOKUP($A43, INDIRECT("JulR!$A$6:$ZZ$1048576"), MATCH(AC$1, JulR!$6:$6, 0), FALSE),
            0
        ) +
        IFERROR(
            VLOOKUP($A43, INDIRECT("AgoR!$A$6:$ZZ$1048576"), MATCH(AC$1, AgoR!$6:$6, 0), FALSE),
            0
        ) +
        IFERROR(
            VLOOKUP($A43, INDIRECT("SepR!$A$6:$ZZ$1048576"), MATCH(AC$1, SepR!$6:$6, 0), FALSE),
            0
        ) +
        IFERROR(
            VLOOKUP($A43, INDIRECT("OctR!$A$6:$ZZ$1048576"), MATCH(AC$1, OctR!$6:$6, 0), FALSE),
            0
        ) +
        IFERROR(
            VLOOKUP($A43, INDIRECT("NovR!$A$6:$ZZ$1048576"), MATCH(AC$1, NovR!$6:$6, 0), FALSE),
            0
        ) +
        IFERROR(
            VLOOKUP($A43, INDIRECT("DicR!$A$6:$ZZ$1048576"), MATCH(AC$1, DicR!$6:$6, 0), FALSE),
            0
        )
)</f>
        <v>0</v>
      </c>
      <c r="AD43" s="36">
        <f t="array" ref="AD43">SUM(
    IFERROR(
            VLOOKUP($A43, INDIRECT("EneR!$A$6:$ZZ$1048576"), MATCH(AD$1, EneR!$6:$6, 0), FALSE),
            0
        ) +
        IFERROR(
            VLOOKUP($A43, INDIRECT("FebR!$A$6:$ZZ$1048576"), MATCH(AD$1, FebR!$6:$6, 0), FALSE),
            0
        ) +
        IFERROR(
            VLOOKUP($A43, INDIRECT("MarR!$A$6:$ZZ$1048576"), MATCH(AD$1, MarR!$6:$6, 0), FALSE),
            0
        ) +
        IFERROR(
            VLOOKUP($A43, INDIRECT("AbrR!$A$6:$ZZ$1048576"), MATCH(AD$1, AbrR!$6:$6, 0), FALSE),
            0
        ) +
        IFERROR(
            VLOOKUP($A43, INDIRECT("MayR!$A$6:$ZZ$1048576"), MATCH(AD$1, MayR!$6:$6, 0), FALSE),
            0
        ) +
        IFERROR(
            VLOOKUP($A43, INDIRECT("JunR!$A$6:$ZZ$1048576"), MATCH(AD$1, JunR!$6:$6, 0), FALSE),
            0
        ) +
        IFERROR(
            VLOOKUP($A43, INDIRECT("JulR!$A$6:$ZZ$1048576"), MATCH(AD$1, JulR!$6:$6, 0), FALSE),
            0
        ) +
        IFERROR(
            VLOOKUP($A43, INDIRECT("AgoR!$A$6:$ZZ$1048576"), MATCH(AD$1, AgoR!$6:$6, 0), FALSE),
            0
        ) +
        IFERROR(
            VLOOKUP($A43, INDIRECT("SepR!$A$6:$ZZ$1048576"), MATCH(AD$1, SepR!$6:$6, 0), FALSE),
            0
        ) +
        IFERROR(
            VLOOKUP($A43, INDIRECT("OctR!$A$6:$ZZ$1048576"), MATCH(AD$1, OctR!$6:$6, 0), FALSE),
            0
        ) +
        IFERROR(
            VLOOKUP($A43, INDIRECT("NovR!$A$6:$ZZ$1048576"), MATCH(AD$1, NovR!$6:$6, 0), FALSE),
            0
        ) +
        IFERROR(
            VLOOKUP($A43, INDIRECT("DicR!$A$6:$ZZ$1048576"), MATCH(AD$1, DicR!$6:$6, 0), FALSE),
            0
        )
)</f>
        <v>0</v>
      </c>
      <c r="AE43" s="37">
        <f t="array" ref="AE43">SUM(
    IFERROR(
            VLOOKUP($A43, INDIRECT("EneR!$A$6:$ZZ$1048576"), MATCH(AE$1, EneR!$6:$6, 0), FALSE),
            0
        ) +
        IFERROR(
            VLOOKUP($A43, INDIRECT("FebR!$A$6:$ZZ$1048576"), MATCH(AE$1, FebR!$6:$6, 0), FALSE),
            0
        ) +
        IFERROR(
            VLOOKUP($A43, INDIRECT("MarR!$A$6:$ZZ$1048576"), MATCH(AE$1, MarR!$6:$6, 0), FALSE),
            0
        ) +
        IFERROR(
            VLOOKUP($A43, INDIRECT("AbrR!$A$6:$ZZ$1048576"), MATCH(AE$1, AbrR!$6:$6, 0), FALSE),
            0
        ) +
        IFERROR(
            VLOOKUP($A43, INDIRECT("MayR!$A$6:$ZZ$1048576"), MATCH(AE$1, MayR!$6:$6, 0), FALSE),
            0
        ) +
        IFERROR(
            VLOOKUP($A43, INDIRECT("JunR!$A$6:$ZZ$1048576"), MATCH(AE$1, JunR!$6:$6, 0), FALSE),
            0
        ) +
        IFERROR(
            VLOOKUP($A43, INDIRECT("JulR!$A$6:$ZZ$1048576"), MATCH(AE$1, JulR!$6:$6, 0), FALSE),
            0
        ) +
        IFERROR(
            VLOOKUP($A43, INDIRECT("AgoR!$A$6:$ZZ$1048576"), MATCH(AE$1, AgoR!$6:$6, 0), FALSE),
            0
        ) +
        IFERROR(
            VLOOKUP($A43, INDIRECT("SepR!$A$6:$ZZ$1048576"), MATCH(AE$1, SepR!$6:$6, 0), FALSE),
            0
        ) +
        IFERROR(
            VLOOKUP($A43, INDIRECT("OctR!$A$6:$ZZ$1048576"), MATCH(AE$1, OctR!$6:$6, 0), FALSE),
            0
        ) +
        IFERROR(
            VLOOKUP($A43, INDIRECT("NovR!$A$6:$ZZ$1048576"), MATCH(AE$1, NovR!$6:$6, 0), FALSE),
            0
        ) +
        IFERROR(
            VLOOKUP($A43, INDIRECT("DicR!$A$6:$ZZ$1048576"), MATCH(AE$1, DicR!$6:$6, 0), FALSE),
            0
        )
)</f>
        <v>0</v>
      </c>
      <c r="AF43" s="36">
        <f t="array" ref="AF43">SUM(
    IFERROR(
            VLOOKUP($A43, INDIRECT("EneR!$A$6:$ZZ$1048576"), MATCH(AF$1, EneR!$6:$6, 0), FALSE),
            0
        ) +
        IFERROR(
            VLOOKUP($A43, INDIRECT("FebR!$A$6:$ZZ$1048576"), MATCH(AF$1, FebR!$6:$6, 0), FALSE),
            0
        ) +
        IFERROR(
            VLOOKUP($A43, INDIRECT("MarR!$A$6:$ZZ$1048576"), MATCH(AF$1, MarR!$6:$6, 0), FALSE),
            0
        ) +
        IFERROR(
            VLOOKUP($A43, INDIRECT("AbrR!$A$6:$ZZ$1048576"), MATCH(AF$1, AbrR!$6:$6, 0), FALSE),
            0
        ) +
        IFERROR(
            VLOOKUP($A43, INDIRECT("MayR!$A$6:$ZZ$1048576"), MATCH(AF$1, MayR!$6:$6, 0), FALSE),
            0
        ) +
        IFERROR(
            VLOOKUP($A43, INDIRECT("JunR!$A$6:$ZZ$1048576"), MATCH(AF$1, JunR!$6:$6, 0), FALSE),
            0
        ) +
        IFERROR(
            VLOOKUP($A43, INDIRECT("JulR!$A$6:$ZZ$1048576"), MATCH(AF$1, JulR!$6:$6, 0), FALSE),
            0
        ) +
        IFERROR(
            VLOOKUP($A43, INDIRECT("AgoR!$A$6:$ZZ$1048576"), MATCH(AF$1, AgoR!$6:$6, 0), FALSE),
            0
        ) +
        IFERROR(
            VLOOKUP($A43, INDIRECT("SepR!$A$6:$ZZ$1048576"), MATCH(AF$1, SepR!$6:$6, 0), FALSE),
            0
        ) +
        IFERROR(
            VLOOKUP($A43, INDIRECT("OctR!$A$6:$ZZ$1048576"), MATCH(AF$1, OctR!$6:$6, 0), FALSE),
            0
        ) +
        IFERROR(
            VLOOKUP($A43, INDIRECT("NovR!$A$6:$ZZ$1048576"), MATCH(AF$1, NovR!$6:$6, 0), FALSE),
            0
        ) +
        IFERROR(
            VLOOKUP($A43, INDIRECT("DicR!$A$6:$ZZ$1048576"), MATCH(AF$1, DicR!$6:$6, 0), FALSE),
            0
        )
)</f>
        <v>0</v>
      </c>
      <c r="AG43" s="37">
        <f t="array" ref="AG43">SUM(
    IFERROR(
            VLOOKUP($A43, INDIRECT("EneR!$A$6:$ZZ$1048576"), MATCH(AG$1, EneR!$6:$6, 0), FALSE),
            0
        ) +
        IFERROR(
            VLOOKUP($A43, INDIRECT("FebR!$A$6:$ZZ$1048576"), MATCH(AG$1, FebR!$6:$6, 0), FALSE),
            0
        ) +
        IFERROR(
            VLOOKUP($A43, INDIRECT("MarR!$A$6:$ZZ$1048576"), MATCH(AG$1, MarR!$6:$6, 0), FALSE),
            0
        ) +
        IFERROR(
            VLOOKUP($A43, INDIRECT("AbrR!$A$6:$ZZ$1048576"), MATCH(AG$1, AbrR!$6:$6, 0), FALSE),
            0
        ) +
        IFERROR(
            VLOOKUP($A43, INDIRECT("MayR!$A$6:$ZZ$1048576"), MATCH(AG$1, MayR!$6:$6, 0), FALSE),
            0
        ) +
        IFERROR(
            VLOOKUP($A43, INDIRECT("JunR!$A$6:$ZZ$1048576"), MATCH(AG$1, JunR!$6:$6, 0), FALSE),
            0
        ) +
        IFERROR(
            VLOOKUP($A43, INDIRECT("JulR!$A$6:$ZZ$1048576"), MATCH(AG$1, JulR!$6:$6, 0), FALSE),
            0
        ) +
        IFERROR(
            VLOOKUP($A43, INDIRECT("AgoR!$A$6:$ZZ$1048576"), MATCH(AG$1, AgoR!$6:$6, 0), FALSE),
            0
        ) +
        IFERROR(
            VLOOKUP($A43, INDIRECT("SepR!$A$6:$ZZ$1048576"), MATCH(AG$1, SepR!$6:$6, 0), FALSE),
            0
        ) +
        IFERROR(
            VLOOKUP($A43, INDIRECT("OctR!$A$6:$ZZ$1048576"), MATCH(AG$1, OctR!$6:$6, 0), FALSE),
            0
        ) +
        IFERROR(
            VLOOKUP($A43, INDIRECT("NovR!$A$6:$ZZ$1048576"), MATCH(AG$1, NovR!$6:$6, 0), FALSE),
            0
        ) +
        IFERROR(
            VLOOKUP($A43, INDIRECT("DicR!$A$6:$ZZ$1048576"), MATCH(AG$1, DicR!$6:$6, 0), FALSE),
            0
        )
)</f>
        <v>0</v>
      </c>
      <c r="AH43" s="36">
        <f t="array" ref="AH43">SUM(
    IFERROR(
            VLOOKUP($A43, INDIRECT("EneR!$A$6:$ZZ$1048576"), MATCH(AH$1, EneR!$6:$6, 0), FALSE),
            0
        ) +
        IFERROR(
            VLOOKUP($A43, INDIRECT("FebR!$A$6:$ZZ$1048576"), MATCH(AH$1, FebR!$6:$6, 0), FALSE),
            0
        ) +
        IFERROR(
            VLOOKUP($A43, INDIRECT("MarR!$A$6:$ZZ$1048576"), MATCH(AH$1, MarR!$6:$6, 0), FALSE),
            0
        ) +
        IFERROR(
            VLOOKUP($A43, INDIRECT("AbrR!$A$6:$ZZ$1048576"), MATCH(AH$1, AbrR!$6:$6, 0), FALSE),
            0
        ) +
        IFERROR(
            VLOOKUP($A43, INDIRECT("MayR!$A$6:$ZZ$1048576"), MATCH(AH$1, MayR!$6:$6, 0), FALSE),
            0
        ) +
        IFERROR(
            VLOOKUP($A43, INDIRECT("JunR!$A$6:$ZZ$1048576"), MATCH(AH$1, JunR!$6:$6, 0), FALSE),
            0
        ) +
        IFERROR(
            VLOOKUP($A43, INDIRECT("JulR!$A$6:$ZZ$1048576"), MATCH(AH$1, JulR!$6:$6, 0), FALSE),
            0
        ) +
        IFERROR(
            VLOOKUP($A43, INDIRECT("AgoR!$A$6:$ZZ$1048576"), MATCH(AH$1, AgoR!$6:$6, 0), FALSE),
            0
        ) +
        IFERROR(
            VLOOKUP($A43, INDIRECT("SepR!$A$6:$ZZ$1048576"), MATCH(AH$1, SepR!$6:$6, 0), FALSE),
            0
        ) +
        IFERROR(
            VLOOKUP($A43, INDIRECT("OctR!$A$6:$ZZ$1048576"), MATCH(AH$1, OctR!$6:$6, 0), FALSE),
            0
        ) +
        IFERROR(
            VLOOKUP($A43, INDIRECT("NovR!$A$6:$ZZ$1048576"), MATCH(AH$1, NovR!$6:$6, 0), FALSE),
            0
        ) +
        IFERROR(
            VLOOKUP($A43, INDIRECT("DicR!$A$6:$ZZ$1048576"), MATCH(AH$1, DicR!$6:$6, 0), FALSE),
            0
        )
)</f>
        <v>0</v>
      </c>
      <c r="AI43" s="37">
        <f t="array" ref="AI43">SUM(
    IFERROR(
            VLOOKUP($A43, INDIRECT("EneR!$A$6:$ZZ$1048576"), MATCH(AI$1, EneR!$6:$6, 0), FALSE),
            0
        ) +
        IFERROR(
            VLOOKUP($A43, INDIRECT("FebR!$A$6:$ZZ$1048576"), MATCH(AI$1, FebR!$6:$6, 0), FALSE),
            0
        ) +
        IFERROR(
            VLOOKUP($A43, INDIRECT("MarR!$A$6:$ZZ$1048576"), MATCH(AI$1, MarR!$6:$6, 0), FALSE),
            0
        ) +
        IFERROR(
            VLOOKUP($A43, INDIRECT("AbrR!$A$6:$ZZ$1048576"), MATCH(AI$1, AbrR!$6:$6, 0), FALSE),
            0
        ) +
        IFERROR(
            VLOOKUP($A43, INDIRECT("MayR!$A$6:$ZZ$1048576"), MATCH(AI$1, MayR!$6:$6, 0), FALSE),
            0
        ) +
        IFERROR(
            VLOOKUP($A43, INDIRECT("JunR!$A$6:$ZZ$1048576"), MATCH(AI$1, JunR!$6:$6, 0), FALSE),
            0
        ) +
        IFERROR(
            VLOOKUP($A43, INDIRECT("JulR!$A$6:$ZZ$1048576"), MATCH(AI$1, JulR!$6:$6, 0), FALSE),
            0
        ) +
        IFERROR(
            VLOOKUP($A43, INDIRECT("AgoR!$A$6:$ZZ$1048576"), MATCH(AI$1, AgoR!$6:$6, 0), FALSE),
            0
        ) +
        IFERROR(
            VLOOKUP($A43, INDIRECT("SepR!$A$6:$ZZ$1048576"), MATCH(AI$1, SepR!$6:$6, 0), FALSE),
            0
        ) +
        IFERROR(
            VLOOKUP($A43, INDIRECT("OctR!$A$6:$ZZ$1048576"), MATCH(AI$1, OctR!$6:$6, 0), FALSE),
            0
        ) +
        IFERROR(
            VLOOKUP($A43, INDIRECT("NovR!$A$6:$ZZ$1048576"), MATCH(AI$1, NovR!$6:$6, 0), FALSE),
            0
        ) +
        IFERROR(
            VLOOKUP($A43, INDIRECT("DicR!$A$6:$ZZ$1048576"), MATCH(AI$1, DicR!$6:$6, 0), FALSE),
            0
        )
)</f>
        <v>0</v>
      </c>
      <c r="AJ43" s="36">
        <f t="array" ref="AJ43">SUM(
    IFERROR(
            VLOOKUP($A43, INDIRECT("EneR!$A$6:$ZZ$1048576"), MATCH(AJ$1, EneR!$6:$6, 0), FALSE),
            0
        ) +
        IFERROR(
            VLOOKUP($A43, INDIRECT("FebR!$A$6:$ZZ$1048576"), MATCH(AJ$1, FebR!$6:$6, 0), FALSE),
            0
        ) +
        IFERROR(
            VLOOKUP($A43, INDIRECT("MarR!$A$6:$ZZ$1048576"), MATCH(AJ$1, MarR!$6:$6, 0), FALSE),
            0
        ) +
        IFERROR(
            VLOOKUP($A43, INDIRECT("AbrR!$A$6:$ZZ$1048576"), MATCH(AJ$1, AbrR!$6:$6, 0), FALSE),
            0
        ) +
        IFERROR(
            VLOOKUP($A43, INDIRECT("MayR!$A$6:$ZZ$1048576"), MATCH(AJ$1, MayR!$6:$6, 0), FALSE),
            0
        ) +
        IFERROR(
            VLOOKUP($A43, INDIRECT("JunR!$A$6:$ZZ$1048576"), MATCH(AJ$1, JunR!$6:$6, 0), FALSE),
            0
        ) +
        IFERROR(
            VLOOKUP($A43, INDIRECT("JulR!$A$6:$ZZ$1048576"), MATCH(AJ$1, JulR!$6:$6, 0), FALSE),
            0
        ) +
        IFERROR(
            VLOOKUP($A43, INDIRECT("AgoR!$A$6:$ZZ$1048576"), MATCH(AJ$1, AgoR!$6:$6, 0), FALSE),
            0
        ) +
        IFERROR(
            VLOOKUP($A43, INDIRECT("SepR!$A$6:$ZZ$1048576"), MATCH(AJ$1, SepR!$6:$6, 0), FALSE),
            0
        ) +
        IFERROR(
            VLOOKUP($A43, INDIRECT("OctR!$A$6:$ZZ$1048576"), MATCH(AJ$1, OctR!$6:$6, 0), FALSE),
            0
        ) +
        IFERROR(
            VLOOKUP($A43, INDIRECT("NovR!$A$6:$ZZ$1048576"), MATCH(AJ$1, NovR!$6:$6, 0), FALSE),
            0
        ) +
        IFERROR(
            VLOOKUP($A43, INDIRECT("DicR!$A$6:$ZZ$1048576"), MATCH(AJ$1, DicR!$6:$6, 0), FALSE),
            0
        )
)</f>
        <v>0</v>
      </c>
      <c r="AK43" s="37">
        <f t="array" ref="AK43">SUM(
    IFERROR(
            VLOOKUP($A43, INDIRECT("EneR!$A$6:$ZZ$1048576"), MATCH(AK$1, EneR!$6:$6, 0), FALSE),
            0
        ) +
        IFERROR(
            VLOOKUP($A43, INDIRECT("FebR!$A$6:$ZZ$1048576"), MATCH(AK$1, FebR!$6:$6, 0), FALSE),
            0
        ) +
        IFERROR(
            VLOOKUP($A43, INDIRECT("MarR!$A$6:$ZZ$1048576"), MATCH(AK$1, MarR!$6:$6, 0), FALSE),
            0
        ) +
        IFERROR(
            VLOOKUP($A43, INDIRECT("AbrR!$A$6:$ZZ$1048576"), MATCH(AK$1, AbrR!$6:$6, 0), FALSE),
            0
        ) +
        IFERROR(
            VLOOKUP($A43, INDIRECT("MayR!$A$6:$ZZ$1048576"), MATCH(AK$1, MayR!$6:$6, 0), FALSE),
            0
        ) +
        IFERROR(
            VLOOKUP($A43, INDIRECT("JunR!$A$6:$ZZ$1048576"), MATCH(AK$1, JunR!$6:$6, 0), FALSE),
            0
        ) +
        IFERROR(
            VLOOKUP($A43, INDIRECT("JulR!$A$6:$ZZ$1048576"), MATCH(AK$1, JulR!$6:$6, 0), FALSE),
            0
        ) +
        IFERROR(
            VLOOKUP($A43, INDIRECT("AgoR!$A$6:$ZZ$1048576"), MATCH(AK$1, AgoR!$6:$6, 0), FALSE),
            0
        ) +
        IFERROR(
            VLOOKUP($A43, INDIRECT("SepR!$A$6:$ZZ$1048576"), MATCH(AK$1, SepR!$6:$6, 0), FALSE),
            0
        ) +
        IFERROR(
            VLOOKUP($A43, INDIRECT("OctR!$A$6:$ZZ$1048576"), MATCH(AK$1, OctR!$6:$6, 0), FALSE),
            0
        ) +
        IFERROR(
            VLOOKUP($A43, INDIRECT("NovR!$A$6:$ZZ$1048576"), MATCH(AK$1, NovR!$6:$6, 0), FALSE),
            0
        ) +
        IFERROR(
            VLOOKUP($A43, INDIRECT("DicR!$A$6:$ZZ$1048576"), MATCH(AK$1, DicR!$6:$6, 0), FALSE),
            0
        )
)</f>
        <v>0</v>
      </c>
      <c r="AL43" s="36">
        <f t="array" ref="AL43">SUM(
    IFERROR(
            VLOOKUP($A43, INDIRECT("EneR!$A$6:$ZZ$1048576"), MATCH(AL$1, EneR!$6:$6, 0), FALSE),
            0
        ) +
        IFERROR(
            VLOOKUP($A43, INDIRECT("FebR!$A$6:$ZZ$1048576"), MATCH(AL$1, FebR!$6:$6, 0), FALSE),
            0
        ) +
        IFERROR(
            VLOOKUP($A43, INDIRECT("MarR!$A$6:$ZZ$1048576"), MATCH(AL$1, MarR!$6:$6, 0), FALSE),
            0
        ) +
        IFERROR(
            VLOOKUP($A43, INDIRECT("AbrR!$A$6:$ZZ$1048576"), MATCH(AL$1, AbrR!$6:$6, 0), FALSE),
            0
        ) +
        IFERROR(
            VLOOKUP($A43, INDIRECT("MayR!$A$6:$ZZ$1048576"), MATCH(AL$1, MayR!$6:$6, 0), FALSE),
            0
        ) +
        IFERROR(
            VLOOKUP($A43, INDIRECT("JunR!$A$6:$ZZ$1048576"), MATCH(AL$1, JunR!$6:$6, 0), FALSE),
            0
        ) +
        IFERROR(
            VLOOKUP($A43, INDIRECT("JulR!$A$6:$ZZ$1048576"), MATCH(AL$1, JulR!$6:$6, 0), FALSE),
            0
        ) +
        IFERROR(
            VLOOKUP($A43, INDIRECT("AgoR!$A$6:$ZZ$1048576"), MATCH(AL$1, AgoR!$6:$6, 0), FALSE),
            0
        ) +
        IFERROR(
            VLOOKUP($A43, INDIRECT("SepR!$A$6:$ZZ$1048576"), MATCH(AL$1, SepR!$6:$6, 0), FALSE),
            0
        ) +
        IFERROR(
            VLOOKUP($A43, INDIRECT("OctR!$A$6:$ZZ$1048576"), MATCH(AL$1, OctR!$6:$6, 0), FALSE),
            0
        ) +
        IFERROR(
            VLOOKUP($A43, INDIRECT("NovR!$A$6:$ZZ$1048576"), MATCH(AL$1, NovR!$6:$6, 0), FALSE),
            0
        ) +
        IFERROR(
            VLOOKUP($A43, INDIRECT("DicR!$A$6:$ZZ$1048576"), MATCH(AL$1, DicR!$6:$6, 0), FALSE),
            0
        )
)</f>
        <v>0</v>
      </c>
      <c r="AM43" s="37">
        <f t="array" ref="AM43">SUM(
    IFERROR(
            VLOOKUP($A43, INDIRECT("EneR!$A$6:$ZZ$1048576"), MATCH(AM$1, EneR!$6:$6, 0), FALSE),
            0
        ) +
        IFERROR(
            VLOOKUP($A43, INDIRECT("FebR!$A$6:$ZZ$1048576"), MATCH(AM$1, FebR!$6:$6, 0), FALSE),
            0
        ) +
        IFERROR(
            VLOOKUP($A43, INDIRECT("MarR!$A$6:$ZZ$1048576"), MATCH(AM$1, MarR!$6:$6, 0), FALSE),
            0
        ) +
        IFERROR(
            VLOOKUP($A43, INDIRECT("AbrR!$A$6:$ZZ$1048576"), MATCH(AM$1, AbrR!$6:$6, 0), FALSE),
            0
        ) +
        IFERROR(
            VLOOKUP($A43, INDIRECT("MayR!$A$6:$ZZ$1048576"), MATCH(AM$1, MayR!$6:$6, 0), FALSE),
            0
        ) +
        IFERROR(
            VLOOKUP($A43, INDIRECT("JunR!$A$6:$ZZ$1048576"), MATCH(AM$1, JunR!$6:$6, 0), FALSE),
            0
        ) +
        IFERROR(
            VLOOKUP($A43, INDIRECT("JulR!$A$6:$ZZ$1048576"), MATCH(AM$1, JulR!$6:$6, 0), FALSE),
            0
        ) +
        IFERROR(
            VLOOKUP($A43, INDIRECT("AgoR!$A$6:$ZZ$1048576"), MATCH(AM$1, AgoR!$6:$6, 0), FALSE),
            0
        ) +
        IFERROR(
            VLOOKUP($A43, INDIRECT("SepR!$A$6:$ZZ$1048576"), MATCH(AM$1, SepR!$6:$6, 0), FALSE),
            0
        ) +
        IFERROR(
            VLOOKUP($A43, INDIRECT("OctR!$A$6:$ZZ$1048576"), MATCH(AM$1, OctR!$6:$6, 0), FALSE),
            0
        ) +
        IFERROR(
            VLOOKUP($A43, INDIRECT("NovR!$A$6:$ZZ$1048576"), MATCH(AM$1, NovR!$6:$6, 0), FALSE),
            0
        ) +
        IFERROR(
            VLOOKUP($A43, INDIRECT("DicR!$A$6:$ZZ$1048576"), MATCH(AM$1, DicR!$6:$6, 0), FALSE),
            0
        )
)</f>
        <v>0</v>
      </c>
      <c r="AN43" s="32">
        <f t="array" ref="AN43">SUM(
    IFERROR(
            VLOOKUP($A43, INDIRECT("EneR!$A$6:$ZZ$1048576"), MATCH(AN$1, EneR!$6:$6, 0), FALSE),
            0
        ) +
        IFERROR(
            VLOOKUP($A43, INDIRECT("FebR!$A$6:$ZZ$1048576"), MATCH(AN$1, FebR!$6:$6, 0), FALSE),
            0
        ) +
        IFERROR(
            VLOOKUP($A43, INDIRECT("MarR!$A$6:$ZZ$1048576"), MATCH(AN$1, MarR!$6:$6, 0), FALSE),
            0
        ) +
        IFERROR(
            VLOOKUP($A43, INDIRECT("AbrR!$A$6:$ZZ$1048576"), MATCH(AN$1, AbrR!$6:$6, 0), FALSE),
            0
        ) +
        IFERROR(
            VLOOKUP($A43, INDIRECT("MayR!$A$6:$ZZ$1048576"), MATCH(AN$1, MayR!$6:$6, 0), FALSE),
            0
        ) +
        IFERROR(
            VLOOKUP($A43, INDIRECT("JunR!$A$6:$ZZ$1048576"), MATCH(AN$1, JunR!$6:$6, 0), FALSE),
            0
        ) +
        IFERROR(
            VLOOKUP($A43, INDIRECT("JulR!$A$6:$ZZ$1048576"), MATCH(AN$1, JulR!$6:$6, 0), FALSE),
            0
        ) +
        IFERROR(
            VLOOKUP($A43, INDIRECT("AgoR!$A$6:$ZZ$1048576"), MATCH(AN$1, AgoR!$6:$6, 0), FALSE),
            0
        ) +
        IFERROR(
            VLOOKUP($A43, INDIRECT("SepR!$A$6:$ZZ$1048576"), MATCH(AN$1, SepR!$6:$6, 0), FALSE),
            0
        ) +
        IFERROR(
            VLOOKUP($A43, INDIRECT("OctR!$A$6:$ZZ$1048576"), MATCH(AN$1, OctR!$6:$6, 0), FALSE),
            0
        ) +
        IFERROR(
            VLOOKUP($A43, INDIRECT("NovR!$A$6:$ZZ$1048576"), MATCH(AN$1, NovR!$6:$6, 0), FALSE),
            0
        ) +
        IFERROR(
            VLOOKUP($A43, INDIRECT("DicR!$A$6:$ZZ$1048576"), MATCH(AN$1, DicR!$6:$6, 0), FALSE),
            0
        )
)</f>
        <v>0</v>
      </c>
      <c r="AO43" s="35">
        <f t="array" ref="AO43">SUM(
    IFERROR(
            VLOOKUP($A43, INDIRECT("EneR!$A$6:$ZZ$1048576"), MATCH(AO$1, EneR!$6:$6, 0), FALSE),
            0
        ) +
        IFERROR(
            VLOOKUP($A43, INDIRECT("FebR!$A$6:$ZZ$1048576"), MATCH(AO$1, FebR!$6:$6, 0), FALSE),
            0
        ) +
        IFERROR(
            VLOOKUP($A43, INDIRECT("MarR!$A$6:$ZZ$1048576"), MATCH(AO$1, MarR!$6:$6, 0), FALSE),
            0
        ) +
        IFERROR(
            VLOOKUP($A43, INDIRECT("AbrR!$A$6:$ZZ$1048576"), MATCH(AO$1, AbrR!$6:$6, 0), FALSE),
            0
        ) +
        IFERROR(
            VLOOKUP($A43, INDIRECT("MayR!$A$6:$ZZ$1048576"), MATCH(AO$1, MayR!$6:$6, 0), FALSE),
            0
        ) +
        IFERROR(
            VLOOKUP($A43, INDIRECT("JunR!$A$6:$ZZ$1048576"), MATCH(AO$1, JunR!$6:$6, 0), FALSE),
            0
        ) +
        IFERROR(
            VLOOKUP($A43, INDIRECT("JulR!$A$6:$ZZ$1048576"), MATCH(AO$1, JulR!$6:$6, 0), FALSE),
            0
        ) +
        IFERROR(
            VLOOKUP($A43, INDIRECT("AgoR!$A$6:$ZZ$1048576"), MATCH(AO$1, AgoR!$6:$6, 0), FALSE),
            0
        ) +
        IFERROR(
            VLOOKUP($A43, INDIRECT("SepR!$A$6:$ZZ$1048576"), MATCH(AO$1, SepR!$6:$6, 0), FALSE),
            0
        ) +
        IFERROR(
            VLOOKUP($A43, INDIRECT("OctR!$A$6:$ZZ$1048576"), MATCH(AO$1, OctR!$6:$6, 0), FALSE),
            0
        ) +
        IFERROR(
            VLOOKUP($A43, INDIRECT("NovR!$A$6:$ZZ$1048576"), MATCH(AO$1, NovR!$6:$6, 0), FALSE),
            0
        ) +
        IFERROR(
            VLOOKUP($A43, INDIRECT("DicR!$A$6:$ZZ$1048576"), MATCH(AO$1, DicR!$6:$6, 0), FALSE),
            0
        )
)</f>
        <v>0</v>
      </c>
      <c r="AP43" s="36">
        <f t="array" ref="AP43">SUM(
    IFERROR(
            VLOOKUP($A43, INDIRECT("EneR!$A$6:$ZZ$1048576"), MATCH(AP$1, EneR!$6:$6, 0), FALSE),
            0
        ) +
        IFERROR(
            VLOOKUP($A43, INDIRECT("FebR!$A$6:$ZZ$1048576"), MATCH(AP$1, FebR!$6:$6, 0), FALSE),
            0
        ) +
        IFERROR(
            VLOOKUP($A43, INDIRECT("MarR!$A$6:$ZZ$1048576"), MATCH(AP$1, MarR!$6:$6, 0), FALSE),
            0
        ) +
        IFERROR(
            VLOOKUP($A43, INDIRECT("AbrR!$A$6:$ZZ$1048576"), MATCH(AP$1, AbrR!$6:$6, 0), FALSE),
            0
        ) +
        IFERROR(
            VLOOKUP($A43, INDIRECT("MayR!$A$6:$ZZ$1048576"), MATCH(AP$1, MayR!$6:$6, 0), FALSE),
            0
        ) +
        IFERROR(
            VLOOKUP($A43, INDIRECT("JunR!$A$6:$ZZ$1048576"), MATCH(AP$1, JunR!$6:$6, 0), FALSE),
            0
        ) +
        IFERROR(
            VLOOKUP($A43, INDIRECT("JulR!$A$6:$ZZ$1048576"), MATCH(AP$1, JulR!$6:$6, 0), FALSE),
            0
        ) +
        IFERROR(
            VLOOKUP($A43, INDIRECT("AgoR!$A$6:$ZZ$1048576"), MATCH(AP$1, AgoR!$6:$6, 0), FALSE),
            0
        ) +
        IFERROR(
            VLOOKUP($A43, INDIRECT("SepR!$A$6:$ZZ$1048576"), MATCH(AP$1, SepR!$6:$6, 0), FALSE),
            0
        ) +
        IFERROR(
            VLOOKUP($A43, INDIRECT("OctR!$A$6:$ZZ$1048576"), MATCH(AP$1, OctR!$6:$6, 0), FALSE),
            0
        ) +
        IFERROR(
            VLOOKUP($A43, INDIRECT("NovR!$A$6:$ZZ$1048576"), MATCH(AP$1, NovR!$6:$6, 0), FALSE),
            0
        ) +
        IFERROR(
            VLOOKUP($A43, INDIRECT("DicR!$A$6:$ZZ$1048576"), MATCH(AP$1, DicR!$6:$6, 0), FALSE),
            0
        )
)</f>
        <v>0</v>
      </c>
      <c r="AQ43" s="35">
        <f t="array" ref="AQ43">SUM(
    IFERROR(
            VLOOKUP($A43, INDIRECT("EneR!$A$6:$ZZ$1048576"), MATCH(AQ$1, EneR!$6:$6, 0), FALSE),
            0
        ) +
        IFERROR(
            VLOOKUP($A43, INDIRECT("FebR!$A$6:$ZZ$1048576"), MATCH(AQ$1, FebR!$6:$6, 0), FALSE),
            0
        ) +
        IFERROR(
            VLOOKUP($A43, INDIRECT("MarR!$A$6:$ZZ$1048576"), MATCH(AQ$1, MarR!$6:$6, 0), FALSE),
            0
        ) +
        IFERROR(
            VLOOKUP($A43, INDIRECT("AbrR!$A$6:$ZZ$1048576"), MATCH(AQ$1, AbrR!$6:$6, 0), FALSE),
            0
        ) +
        IFERROR(
            VLOOKUP($A43, INDIRECT("MayR!$A$6:$ZZ$1048576"), MATCH(AQ$1, MayR!$6:$6, 0), FALSE),
            0
        ) +
        IFERROR(
            VLOOKUP($A43, INDIRECT("JunR!$A$6:$ZZ$1048576"), MATCH(AQ$1, JunR!$6:$6, 0), FALSE),
            0
        ) +
        IFERROR(
            VLOOKUP($A43, INDIRECT("JulR!$A$6:$ZZ$1048576"), MATCH(AQ$1, JulR!$6:$6, 0), FALSE),
            0
        ) +
        IFERROR(
            VLOOKUP($A43, INDIRECT("AgoR!$A$6:$ZZ$1048576"), MATCH(AQ$1, AgoR!$6:$6, 0), FALSE),
            0
        ) +
        IFERROR(
            VLOOKUP($A43, INDIRECT("SepR!$A$6:$ZZ$1048576"), MATCH(AQ$1, SepR!$6:$6, 0), FALSE),
            0
        ) +
        IFERROR(
            VLOOKUP($A43, INDIRECT("OctR!$A$6:$ZZ$1048576"), MATCH(AQ$1, OctR!$6:$6, 0), FALSE),
            0
        ) +
        IFERROR(
            VLOOKUP($A43, INDIRECT("NovR!$A$6:$ZZ$1048576"), MATCH(AQ$1, NovR!$6:$6, 0), FALSE),
            0
        ) +
        IFERROR(
            VLOOKUP($A43, INDIRECT("DicR!$A$6:$ZZ$1048576"), MATCH(AQ$1, DicR!$6:$6, 0), FALSE),
            0
        )
)</f>
        <v>0</v>
      </c>
      <c r="AR43" s="36">
        <f t="array" ref="AR43">SUM(
    IFERROR(
            VLOOKUP($A43, INDIRECT("EneR!$A$6:$ZZ$1048576"), MATCH(AR$1, EneR!$6:$6, 0), FALSE),
            0
        ) +
        IFERROR(
            VLOOKUP($A43, INDIRECT("FebR!$A$6:$ZZ$1048576"), MATCH(AR$1, FebR!$6:$6, 0), FALSE),
            0
        ) +
        IFERROR(
            VLOOKUP($A43, INDIRECT("MarR!$A$6:$ZZ$1048576"), MATCH(AR$1, MarR!$6:$6, 0), FALSE),
            0
        ) +
        IFERROR(
            VLOOKUP($A43, INDIRECT("AbrR!$A$6:$ZZ$1048576"), MATCH(AR$1, AbrR!$6:$6, 0), FALSE),
            0
        ) +
        IFERROR(
            VLOOKUP($A43, INDIRECT("MayR!$A$6:$ZZ$1048576"), MATCH(AR$1, MayR!$6:$6, 0), FALSE),
            0
        ) +
        IFERROR(
            VLOOKUP($A43, INDIRECT("JunR!$A$6:$ZZ$1048576"), MATCH(AR$1, JunR!$6:$6, 0), FALSE),
            0
        ) +
        IFERROR(
            VLOOKUP($A43, INDIRECT("JulR!$A$6:$ZZ$1048576"), MATCH(AR$1, JulR!$6:$6, 0), FALSE),
            0
        ) +
        IFERROR(
            VLOOKUP($A43, INDIRECT("AgoR!$A$6:$ZZ$1048576"), MATCH(AR$1, AgoR!$6:$6, 0), FALSE),
            0
        ) +
        IFERROR(
            VLOOKUP($A43, INDIRECT("SepR!$A$6:$ZZ$1048576"), MATCH(AR$1, SepR!$6:$6, 0), FALSE),
            0
        ) +
        IFERROR(
            VLOOKUP($A43, INDIRECT("OctR!$A$6:$ZZ$1048576"), MATCH(AR$1, OctR!$6:$6, 0), FALSE),
            0
        ) +
        IFERROR(
            VLOOKUP($A43, INDIRECT("NovR!$A$6:$ZZ$1048576"), MATCH(AR$1, NovR!$6:$6, 0), FALSE),
            0
        ) +
        IFERROR(
            VLOOKUP($A43, INDIRECT("DicR!$A$6:$ZZ$1048576"), MATCH(AR$1, DicR!$6:$6, 0), FALSE),
            0
        )
)</f>
        <v>0</v>
      </c>
      <c r="AS43" s="35">
        <f t="array" ref="AS43">SUM(
    IFERROR(
            VLOOKUP($A43, INDIRECT("EneR!$A$6:$ZZ$1048576"), MATCH(AS$1, EneR!$6:$6, 0), FALSE),
            0
        ) +
        IFERROR(
            VLOOKUP($A43, INDIRECT("FebR!$A$6:$ZZ$1048576"), MATCH(AS$1, FebR!$6:$6, 0), FALSE),
            0
        ) +
        IFERROR(
            VLOOKUP($A43, INDIRECT("MarR!$A$6:$ZZ$1048576"), MATCH(AS$1, MarR!$6:$6, 0), FALSE),
            0
        ) +
        IFERROR(
            VLOOKUP($A43, INDIRECT("AbrR!$A$6:$ZZ$1048576"), MATCH(AS$1, AbrR!$6:$6, 0), FALSE),
            0
        ) +
        IFERROR(
            VLOOKUP($A43, INDIRECT("MayR!$A$6:$ZZ$1048576"), MATCH(AS$1, MayR!$6:$6, 0), FALSE),
            0
        ) +
        IFERROR(
            VLOOKUP($A43, INDIRECT("JunR!$A$6:$ZZ$1048576"), MATCH(AS$1, JunR!$6:$6, 0), FALSE),
            0
        ) +
        IFERROR(
            VLOOKUP($A43, INDIRECT("JulR!$A$6:$ZZ$1048576"), MATCH(AS$1, JulR!$6:$6, 0), FALSE),
            0
        ) +
        IFERROR(
            VLOOKUP($A43, INDIRECT("AgoR!$A$6:$ZZ$1048576"), MATCH(AS$1, AgoR!$6:$6, 0), FALSE),
            0
        ) +
        IFERROR(
            VLOOKUP($A43, INDIRECT("SepR!$A$6:$ZZ$1048576"), MATCH(AS$1, SepR!$6:$6, 0), FALSE),
            0
        ) +
        IFERROR(
            VLOOKUP($A43, INDIRECT("OctR!$A$6:$ZZ$1048576"), MATCH(AS$1, OctR!$6:$6, 0), FALSE),
            0
        ) +
        IFERROR(
            VLOOKUP($A43, INDIRECT("NovR!$A$6:$ZZ$1048576"), MATCH(AS$1, NovR!$6:$6, 0), FALSE),
            0
        ) +
        IFERROR(
            VLOOKUP($A43, INDIRECT("DicR!$A$6:$ZZ$1048576"), MATCH(AS$1, DicR!$6:$6, 0), FALSE),
            0
        )
)</f>
        <v>0</v>
      </c>
      <c r="AT43" s="36">
        <f t="array" ref="AT43">SUM(
    IFERROR(
            VLOOKUP($A43, INDIRECT("EneR!$A$6:$ZZ$1048576"), MATCH(AT$1, EneR!$6:$6, 0), FALSE),
            0
        ) +
        IFERROR(
            VLOOKUP($A43, INDIRECT("FebR!$A$6:$ZZ$1048576"), MATCH(AT$1, FebR!$6:$6, 0), FALSE),
            0
        ) +
        IFERROR(
            VLOOKUP($A43, INDIRECT("MarR!$A$6:$ZZ$1048576"), MATCH(AT$1, MarR!$6:$6, 0), FALSE),
            0
        ) +
        IFERROR(
            VLOOKUP($A43, INDIRECT("AbrR!$A$6:$ZZ$1048576"), MATCH(AT$1, AbrR!$6:$6, 0), FALSE),
            0
        ) +
        IFERROR(
            VLOOKUP($A43, INDIRECT("MayR!$A$6:$ZZ$1048576"), MATCH(AT$1, MayR!$6:$6, 0), FALSE),
            0
        ) +
        IFERROR(
            VLOOKUP($A43, INDIRECT("JunR!$A$6:$ZZ$1048576"), MATCH(AT$1, JunR!$6:$6, 0), FALSE),
            0
        ) +
        IFERROR(
            VLOOKUP($A43, INDIRECT("JulR!$A$6:$ZZ$1048576"), MATCH(AT$1, JulR!$6:$6, 0), FALSE),
            0
        ) +
        IFERROR(
            VLOOKUP($A43, INDIRECT("AgoR!$A$6:$ZZ$1048576"), MATCH(AT$1, AgoR!$6:$6, 0), FALSE),
            0
        ) +
        IFERROR(
            VLOOKUP($A43, INDIRECT("SepR!$A$6:$ZZ$1048576"), MATCH(AT$1, SepR!$6:$6, 0), FALSE),
            0
        ) +
        IFERROR(
            VLOOKUP($A43, INDIRECT("OctR!$A$6:$ZZ$1048576"), MATCH(AT$1, OctR!$6:$6, 0), FALSE),
            0
        ) +
        IFERROR(
            VLOOKUP($A43, INDIRECT("NovR!$A$6:$ZZ$1048576"), MATCH(AT$1, NovR!$6:$6, 0), FALSE),
            0
        ) +
        IFERROR(
            VLOOKUP($A43, INDIRECT("DicR!$A$6:$ZZ$1048576"), MATCH(AT$1, DicR!$6:$6, 0), FALSE),
            0
        )
)</f>
        <v>0</v>
      </c>
      <c r="AU43" s="35">
        <f t="array" ref="AU43">SUM(
    IFERROR(
            VLOOKUP($A43, INDIRECT("EneR!$A$6:$ZZ$1048576"), MATCH(AU$1, EneR!$6:$6, 0), FALSE),
            0
        ) +
        IFERROR(
            VLOOKUP($A43, INDIRECT("FebR!$A$6:$ZZ$1048576"), MATCH(AU$1, FebR!$6:$6, 0), FALSE),
            0
        ) +
        IFERROR(
            VLOOKUP($A43, INDIRECT("MarR!$A$6:$ZZ$1048576"), MATCH(AU$1, MarR!$6:$6, 0), FALSE),
            0
        ) +
        IFERROR(
            VLOOKUP($A43, INDIRECT("AbrR!$A$6:$ZZ$1048576"), MATCH(AU$1, AbrR!$6:$6, 0), FALSE),
            0
        ) +
        IFERROR(
            VLOOKUP($A43, INDIRECT("MayR!$A$6:$ZZ$1048576"), MATCH(AU$1, MayR!$6:$6, 0), FALSE),
            0
        ) +
        IFERROR(
            VLOOKUP($A43, INDIRECT("JunR!$A$6:$ZZ$1048576"), MATCH(AU$1, JunR!$6:$6, 0), FALSE),
            0
        ) +
        IFERROR(
            VLOOKUP($A43, INDIRECT("JulR!$A$6:$ZZ$1048576"), MATCH(AU$1, JulR!$6:$6, 0), FALSE),
            0
        ) +
        IFERROR(
            VLOOKUP($A43, INDIRECT("AgoR!$A$6:$ZZ$1048576"), MATCH(AU$1, AgoR!$6:$6, 0), FALSE),
            0
        ) +
        IFERROR(
            VLOOKUP($A43, INDIRECT("SepR!$A$6:$ZZ$1048576"), MATCH(AU$1, SepR!$6:$6, 0), FALSE),
            0
        ) +
        IFERROR(
            VLOOKUP($A43, INDIRECT("OctR!$A$6:$ZZ$1048576"), MATCH(AU$1, OctR!$6:$6, 0), FALSE),
            0
        ) +
        IFERROR(
            VLOOKUP($A43, INDIRECT("NovR!$A$6:$ZZ$1048576"), MATCH(AU$1, NovR!$6:$6, 0), FALSE),
            0
        ) +
        IFERROR(
            VLOOKUP($A43, INDIRECT("DicR!$A$6:$ZZ$1048576"), MATCH(AU$1, DicR!$6:$6, 0), FALSE),
            0
        )
)</f>
        <v>0</v>
      </c>
      <c r="AV43" s="36">
        <f t="array" ref="AV43">SUM(
    IFERROR(
            VLOOKUP($A43, INDIRECT("EneR!$A$6:$ZZ$1048576"), MATCH(AV$1, EneR!$6:$6, 0), FALSE),
            0
        ) +
        IFERROR(
            VLOOKUP($A43, INDIRECT("FebR!$A$6:$ZZ$1048576"), MATCH(AV$1, FebR!$6:$6, 0), FALSE),
            0
        ) +
        IFERROR(
            VLOOKUP($A43, INDIRECT("MarR!$A$6:$ZZ$1048576"), MATCH(AV$1, MarR!$6:$6, 0), FALSE),
            0
        ) +
        IFERROR(
            VLOOKUP($A43, INDIRECT("AbrR!$A$6:$ZZ$1048576"), MATCH(AV$1, AbrR!$6:$6, 0), FALSE),
            0
        ) +
        IFERROR(
            VLOOKUP($A43, INDIRECT("MayR!$A$6:$ZZ$1048576"), MATCH(AV$1, MayR!$6:$6, 0), FALSE),
            0
        ) +
        IFERROR(
            VLOOKUP($A43, INDIRECT("JunR!$A$6:$ZZ$1048576"), MATCH(AV$1, JunR!$6:$6, 0), FALSE),
            0
        ) +
        IFERROR(
            VLOOKUP($A43, INDIRECT("JulR!$A$6:$ZZ$1048576"), MATCH(AV$1, JulR!$6:$6, 0), FALSE),
            0
        ) +
        IFERROR(
            VLOOKUP($A43, INDIRECT("AgoR!$A$6:$ZZ$1048576"), MATCH(AV$1, AgoR!$6:$6, 0), FALSE),
            0
        ) +
        IFERROR(
            VLOOKUP($A43, INDIRECT("SepR!$A$6:$ZZ$1048576"), MATCH(AV$1, SepR!$6:$6, 0), FALSE),
            0
        ) +
        IFERROR(
            VLOOKUP($A43, INDIRECT("OctR!$A$6:$ZZ$1048576"), MATCH(AV$1, OctR!$6:$6, 0), FALSE),
            0
        ) +
        IFERROR(
            VLOOKUP($A43, INDIRECT("NovR!$A$6:$ZZ$1048576"), MATCH(AV$1, NovR!$6:$6, 0), FALSE),
            0
        ) +
        IFERROR(
            VLOOKUP($A43, INDIRECT("DicR!$A$6:$ZZ$1048576"), MATCH(AV$1, DicR!$6:$6, 0), FALSE),
            0
        )
)</f>
        <v>0</v>
      </c>
      <c r="AW43" s="35">
        <f t="array" ref="AW43">SUM(
    IFERROR(
            VLOOKUP($A43, INDIRECT("EneR!$A$6:$ZZ$1048576"), MATCH(AW$1, EneR!$6:$6, 0), FALSE),
            0
        ) +
        IFERROR(
            VLOOKUP($A43, INDIRECT("FebR!$A$6:$ZZ$1048576"), MATCH(AW$1, FebR!$6:$6, 0), FALSE),
            0
        ) +
        IFERROR(
            VLOOKUP($A43, INDIRECT("MarR!$A$6:$ZZ$1048576"), MATCH(AW$1, MarR!$6:$6, 0), FALSE),
            0
        ) +
        IFERROR(
            VLOOKUP($A43, INDIRECT("AbrR!$A$6:$ZZ$1048576"), MATCH(AW$1, AbrR!$6:$6, 0), FALSE),
            0
        ) +
        IFERROR(
            VLOOKUP($A43, INDIRECT("MayR!$A$6:$ZZ$1048576"), MATCH(AW$1, MayR!$6:$6, 0), FALSE),
            0
        ) +
        IFERROR(
            VLOOKUP($A43, INDIRECT("JunR!$A$6:$ZZ$1048576"), MATCH(AW$1, JunR!$6:$6, 0), FALSE),
            0
        ) +
        IFERROR(
            VLOOKUP($A43, INDIRECT("JulR!$A$6:$ZZ$1048576"), MATCH(AW$1, JulR!$6:$6, 0), FALSE),
            0
        ) +
        IFERROR(
            VLOOKUP($A43, INDIRECT("AgoR!$A$6:$ZZ$1048576"), MATCH(AW$1, AgoR!$6:$6, 0), FALSE),
            0
        ) +
        IFERROR(
            VLOOKUP($A43, INDIRECT("SepR!$A$6:$ZZ$1048576"), MATCH(AW$1, SepR!$6:$6, 0), FALSE),
            0
        ) +
        IFERROR(
            VLOOKUP($A43, INDIRECT("OctR!$A$6:$ZZ$1048576"), MATCH(AW$1, OctR!$6:$6, 0), FALSE),
            0
        ) +
        IFERROR(
            VLOOKUP($A43, INDIRECT("NovR!$A$6:$ZZ$1048576"), MATCH(AW$1, NovR!$6:$6, 0), FALSE),
            0
        ) +
        IFERROR(
            VLOOKUP($A43, INDIRECT("DicR!$A$6:$ZZ$1048576"), MATCH(AW$1, DicR!$6:$6, 0), FALSE),
            0
        )
)</f>
        <v>0</v>
      </c>
      <c r="AX43" s="36">
        <f t="array" ref="AX43">SUM(
    IFERROR(
            VLOOKUP($A43, INDIRECT("EneR!$A$6:$ZZ$1048576"), MATCH(AX$1, EneR!$6:$6, 0), FALSE),
            0
        ) +
        IFERROR(
            VLOOKUP($A43, INDIRECT("FebR!$A$6:$ZZ$1048576"), MATCH(AX$1, FebR!$6:$6, 0), FALSE),
            0
        ) +
        IFERROR(
            VLOOKUP($A43, INDIRECT("MarR!$A$6:$ZZ$1048576"), MATCH(AX$1, MarR!$6:$6, 0), FALSE),
            0
        ) +
        IFERROR(
            VLOOKUP($A43, INDIRECT("AbrR!$A$6:$ZZ$1048576"), MATCH(AX$1, AbrR!$6:$6, 0), FALSE),
            0
        ) +
        IFERROR(
            VLOOKUP($A43, INDIRECT("MayR!$A$6:$ZZ$1048576"), MATCH(AX$1, MayR!$6:$6, 0), FALSE),
            0
        ) +
        IFERROR(
            VLOOKUP($A43, INDIRECT("JunR!$A$6:$ZZ$1048576"), MATCH(AX$1, JunR!$6:$6, 0), FALSE),
            0
        ) +
        IFERROR(
            VLOOKUP($A43, INDIRECT("JulR!$A$6:$ZZ$1048576"), MATCH(AX$1, JulR!$6:$6, 0), FALSE),
            0
        ) +
        IFERROR(
            VLOOKUP($A43, INDIRECT("AgoR!$A$6:$ZZ$1048576"), MATCH(AX$1, AgoR!$6:$6, 0), FALSE),
            0
        ) +
        IFERROR(
            VLOOKUP($A43, INDIRECT("SepR!$A$6:$ZZ$1048576"), MATCH(AX$1, SepR!$6:$6, 0), FALSE),
            0
        ) +
        IFERROR(
            VLOOKUP($A43, INDIRECT("OctR!$A$6:$ZZ$1048576"), MATCH(AX$1, OctR!$6:$6, 0), FALSE),
            0
        ) +
        IFERROR(
            VLOOKUP($A43, INDIRECT("NovR!$A$6:$ZZ$1048576"), MATCH(AX$1, NovR!$6:$6, 0), FALSE),
            0
        ) +
        IFERROR(
            VLOOKUP($A43, INDIRECT("DicR!$A$6:$ZZ$1048576"), MATCH(AX$1, DicR!$6:$6, 0), FALSE),
            0
        )
)</f>
        <v>0</v>
      </c>
      <c r="AY43" s="35">
        <f t="array" ref="AY43">SUM(
    IFERROR(
            VLOOKUP($A43, INDIRECT("EneR!$A$6:$ZZ$1048576"), MATCH(AY$1, EneR!$6:$6, 0), FALSE),
            0
        ) +
        IFERROR(
            VLOOKUP($A43, INDIRECT("FebR!$A$6:$ZZ$1048576"), MATCH(AY$1, FebR!$6:$6, 0), FALSE),
            0
        ) +
        IFERROR(
            VLOOKUP($A43, INDIRECT("MarR!$A$6:$ZZ$1048576"), MATCH(AY$1, MarR!$6:$6, 0), FALSE),
            0
        ) +
        IFERROR(
            VLOOKUP($A43, INDIRECT("AbrR!$A$6:$ZZ$1048576"), MATCH(AY$1, AbrR!$6:$6, 0), FALSE),
            0
        ) +
        IFERROR(
            VLOOKUP($A43, INDIRECT("MayR!$A$6:$ZZ$1048576"), MATCH(AY$1, MayR!$6:$6, 0), FALSE),
            0
        ) +
        IFERROR(
            VLOOKUP($A43, INDIRECT("JunR!$A$6:$ZZ$1048576"), MATCH(AY$1, JunR!$6:$6, 0), FALSE),
            0
        ) +
        IFERROR(
            VLOOKUP($A43, INDIRECT("JulR!$A$6:$ZZ$1048576"), MATCH(AY$1, JulR!$6:$6, 0), FALSE),
            0
        ) +
        IFERROR(
            VLOOKUP($A43, INDIRECT("AgoR!$A$6:$ZZ$1048576"), MATCH(AY$1, AgoR!$6:$6, 0), FALSE),
            0
        ) +
        IFERROR(
            VLOOKUP($A43, INDIRECT("SepR!$A$6:$ZZ$1048576"), MATCH(AY$1, SepR!$6:$6, 0), FALSE),
            0
        ) +
        IFERROR(
            VLOOKUP($A43, INDIRECT("OctR!$A$6:$ZZ$1048576"), MATCH(AY$1, OctR!$6:$6, 0), FALSE),
            0
        ) +
        IFERROR(
            VLOOKUP($A43, INDIRECT("NovR!$A$6:$ZZ$1048576"), MATCH(AY$1, NovR!$6:$6, 0), FALSE),
            0
        ) +
        IFERROR(
            VLOOKUP($A43, INDIRECT("DicR!$A$6:$ZZ$1048576"), MATCH(AY$1, DicR!$6:$6, 0), FALSE),
            0
        )
)</f>
        <v>0</v>
      </c>
      <c r="AZ43" s="35"/>
    </row>
    <row r="44" ht="15.75" customHeight="1">
      <c r="A44" s="12" t="str">
        <f>Menus!B5</f>
        <v/>
      </c>
      <c r="B44" s="32">
        <f t="shared" si="9"/>
        <v>0</v>
      </c>
      <c r="C44" s="33" t="str">
        <f t="shared" si="10"/>
        <v/>
      </c>
      <c r="D44" s="34">
        <f t="array" ref="D44">SUM(
    IFERROR(
            VLOOKUP($A44, INDIRECT("EneR!$A$6:$ZZ$1048576"), MATCH(D$1, EneR!$6:$6, 0), FALSE),
            0
        ) +
        IFERROR(
            VLOOKUP($A44, INDIRECT("FebR!$A$6:$ZZ$1048576"), MATCH(D$1, FebR!$6:$6, 0), FALSE),
            0
        ) +
        IFERROR(
            VLOOKUP($A44, INDIRECT("MarR!$A$6:$ZZ$1048576"), MATCH(D$1, MarR!$6:$6, 0), FALSE),
            0
        ) +
        IFERROR(
            VLOOKUP($A44, INDIRECT("AbrR!$A$6:$ZZ$1048576"), MATCH(D$1, AbrR!$6:$6, 0), FALSE),
            0
        ) +
        IFERROR(
            VLOOKUP($A44, INDIRECT("MayR!$A$6:$ZZ$1048576"), MATCH(D$1, MayR!$6:$6, 0), FALSE),
            0
        ) +
        IFERROR(
            VLOOKUP($A44, INDIRECT("JunR!$A$6:$ZZ$1048576"), MATCH(D$1, JunR!$6:$6, 0), FALSE),
            0
        ) +
        IFERROR(
            VLOOKUP($A44, INDIRECT("JulR!$A$6:$ZZ$1048576"), MATCH(D$1, JulR!$6:$6, 0), FALSE),
            0
        ) +
        IFERROR(
            VLOOKUP($A44, INDIRECT("AgoR!$A$6:$ZZ$1048576"), MATCH(D$1, AgoR!$6:$6, 0), FALSE),
            0
        ) +
        IFERROR(
            VLOOKUP($A44, INDIRECT("SepR!$A$6:$ZZ$1048576"), MATCH(D$1, SepR!$6:$6, 0), FALSE),
            0
        ) +
        IFERROR(
            VLOOKUP($A44, INDIRECT("OctR!$A$6:$ZZ$1048576"), MATCH(D$1, OctR!$6:$6, 0), FALSE),
            0
        ) +
        IFERROR(
            VLOOKUP($A44, INDIRECT("NovR!$A$6:$ZZ$1048576"), MATCH(D$1, NovR!$6:$6, 0), FALSE),
            0
        ) +
        IFERROR(
            VLOOKUP($A44, INDIRECT("DicR!$A$6:$ZZ$1048576"), MATCH(D$1, DicR!$6:$6, 0), FALSE),
            0
        )
)</f>
        <v>0</v>
      </c>
      <c r="E44" s="35">
        <f t="array" ref="E44">SUM(
    IFERROR(
            VLOOKUP($A44, INDIRECT("EneR!$A$6:$ZZ$1048576"), MATCH(E$1, EneR!$6:$6, 0), FALSE),
            0
        ) +
        IFERROR(
            VLOOKUP($A44, INDIRECT("FebR!$A$6:$ZZ$1048576"), MATCH(E$1, FebR!$6:$6, 0), FALSE),
            0
        ) +
        IFERROR(
            VLOOKUP($A44, INDIRECT("MarR!$A$6:$ZZ$1048576"), MATCH(E$1, MarR!$6:$6, 0), FALSE),
            0
        ) +
        IFERROR(
            VLOOKUP($A44, INDIRECT("AbrR!$A$6:$ZZ$1048576"), MATCH(E$1, AbrR!$6:$6, 0), FALSE),
            0
        ) +
        IFERROR(
            VLOOKUP($A44, INDIRECT("MayR!$A$6:$ZZ$1048576"), MATCH(E$1, MayR!$6:$6, 0), FALSE),
            0
        ) +
        IFERROR(
            VLOOKUP($A44, INDIRECT("JunR!$A$6:$ZZ$1048576"), MATCH(E$1, JunR!$6:$6, 0), FALSE),
            0
        ) +
        IFERROR(
            VLOOKUP($A44, INDIRECT("JulR!$A$6:$ZZ$1048576"), MATCH(E$1, JulR!$6:$6, 0), FALSE),
            0
        ) +
        IFERROR(
            VLOOKUP($A44, INDIRECT("AgoR!$A$6:$ZZ$1048576"), MATCH(E$1, AgoR!$6:$6, 0), FALSE),
            0
        ) +
        IFERROR(
            VLOOKUP($A44, INDIRECT("SepR!$A$6:$ZZ$1048576"), MATCH(E$1, SepR!$6:$6, 0), FALSE),
            0
        ) +
        IFERROR(
            VLOOKUP($A44, INDIRECT("OctR!$A$6:$ZZ$1048576"), MATCH(E$1, OctR!$6:$6, 0), FALSE),
            0
        ) +
        IFERROR(
            VLOOKUP($A44, INDIRECT("NovR!$A$6:$ZZ$1048576"), MATCH(E$1, NovR!$6:$6, 0), FALSE),
            0
        ) +
        IFERROR(
            VLOOKUP($A44, INDIRECT("DicR!$A$6:$ZZ$1048576"), MATCH(E$1, DicR!$6:$6, 0), FALSE),
            0
        )
)</f>
        <v>0</v>
      </c>
      <c r="F44" s="32">
        <f t="array" ref="F44">SUM(
    IFERROR(
            VLOOKUP($A44, INDIRECT("EneR!$A$6:$ZZ$1048576"), MATCH(F$1, EneR!$6:$6, 0), FALSE),
            0
        ) +
        IFERROR(
            VLOOKUP($A44, INDIRECT("FebR!$A$6:$ZZ$1048576"), MATCH(F$1, FebR!$6:$6, 0), FALSE),
            0
        ) +
        IFERROR(
            VLOOKUP($A44, INDIRECT("MarR!$A$6:$ZZ$1048576"), MATCH(F$1, MarR!$6:$6, 0), FALSE),
            0
        ) +
        IFERROR(
            VLOOKUP($A44, INDIRECT("AbrR!$A$6:$ZZ$1048576"), MATCH(F$1, AbrR!$6:$6, 0), FALSE),
            0
        ) +
        IFERROR(
            VLOOKUP($A44, INDIRECT("MayR!$A$6:$ZZ$1048576"), MATCH(F$1, MayR!$6:$6, 0), FALSE),
            0
        ) +
        IFERROR(
            VLOOKUP($A44, INDIRECT("JunR!$A$6:$ZZ$1048576"), MATCH(F$1, JunR!$6:$6, 0), FALSE),
            0
        ) +
        IFERROR(
            VLOOKUP($A44, INDIRECT("JulR!$A$6:$ZZ$1048576"), MATCH(F$1, JulR!$6:$6, 0), FALSE),
            0
        ) +
        IFERROR(
            VLOOKUP($A44, INDIRECT("AgoR!$A$6:$ZZ$1048576"), MATCH(F$1, AgoR!$6:$6, 0), FALSE),
            0
        ) +
        IFERROR(
            VLOOKUP($A44, INDIRECT("SepR!$A$6:$ZZ$1048576"), MATCH(F$1, SepR!$6:$6, 0), FALSE),
            0
        ) +
        IFERROR(
            VLOOKUP($A44, INDIRECT("OctR!$A$6:$ZZ$1048576"), MATCH(F$1, OctR!$6:$6, 0), FALSE),
            0
        ) +
        IFERROR(
            VLOOKUP($A44, INDIRECT("NovR!$A$6:$ZZ$1048576"), MATCH(F$1, NovR!$6:$6, 0), FALSE),
            0
        ) +
        IFERROR(
            VLOOKUP($A44, INDIRECT("DicR!$A$6:$ZZ$1048576"), MATCH(F$1, DicR!$6:$6, 0), FALSE),
            0
        )
)</f>
        <v>0</v>
      </c>
      <c r="G44" s="35">
        <f t="array" ref="G44">SUM(
    IFERROR(
            VLOOKUP($A44, INDIRECT("EneR!$A$6:$ZZ$1048576"), MATCH(G$1, EneR!$6:$6, 0), FALSE),
            0
        ) +
        IFERROR(
            VLOOKUP($A44, INDIRECT("FebR!$A$6:$ZZ$1048576"), MATCH(G$1, FebR!$6:$6, 0), FALSE),
            0
        ) +
        IFERROR(
            VLOOKUP($A44, INDIRECT("MarR!$A$6:$ZZ$1048576"), MATCH(G$1, MarR!$6:$6, 0), FALSE),
            0
        ) +
        IFERROR(
            VLOOKUP($A44, INDIRECT("AbrR!$A$6:$ZZ$1048576"), MATCH(G$1, AbrR!$6:$6, 0), FALSE),
            0
        ) +
        IFERROR(
            VLOOKUP($A44, INDIRECT("MayR!$A$6:$ZZ$1048576"), MATCH(G$1, MayR!$6:$6, 0), FALSE),
            0
        ) +
        IFERROR(
            VLOOKUP($A44, INDIRECT("JunR!$A$6:$ZZ$1048576"), MATCH(G$1, JunR!$6:$6, 0), FALSE),
            0
        ) +
        IFERROR(
            VLOOKUP($A44, INDIRECT("JulR!$A$6:$ZZ$1048576"), MATCH(G$1, JulR!$6:$6, 0), FALSE),
            0
        ) +
        IFERROR(
            VLOOKUP($A44, INDIRECT("AgoR!$A$6:$ZZ$1048576"), MATCH(G$1, AgoR!$6:$6, 0), FALSE),
            0
        ) +
        IFERROR(
            VLOOKUP($A44, INDIRECT("SepR!$A$6:$ZZ$1048576"), MATCH(G$1, SepR!$6:$6, 0), FALSE),
            0
        ) +
        IFERROR(
            VLOOKUP($A44, INDIRECT("OctR!$A$6:$ZZ$1048576"), MATCH(G$1, OctR!$6:$6, 0), FALSE),
            0
        ) +
        IFERROR(
            VLOOKUP($A44, INDIRECT("NovR!$A$6:$ZZ$1048576"), MATCH(G$1, NovR!$6:$6, 0), FALSE),
            0
        ) +
        IFERROR(
            VLOOKUP($A44, INDIRECT("DicR!$A$6:$ZZ$1048576"), MATCH(G$1, DicR!$6:$6, 0), FALSE),
            0
        )
)</f>
        <v>0</v>
      </c>
      <c r="H44" s="32">
        <f t="array" ref="H44">SUM(
    IFERROR(
            VLOOKUP($A44, INDIRECT("EneR!$A$6:$ZZ$1048576"), MATCH(H$1, EneR!$6:$6, 0), FALSE),
            0
        ) +
        IFERROR(
            VLOOKUP($A44, INDIRECT("FebR!$A$6:$ZZ$1048576"), MATCH(H$1, FebR!$6:$6, 0), FALSE),
            0
        ) +
        IFERROR(
            VLOOKUP($A44, INDIRECT("MarR!$A$6:$ZZ$1048576"), MATCH(H$1, MarR!$6:$6, 0), FALSE),
            0
        ) +
        IFERROR(
            VLOOKUP($A44, INDIRECT("AbrR!$A$6:$ZZ$1048576"), MATCH(H$1, AbrR!$6:$6, 0), FALSE),
            0
        ) +
        IFERROR(
            VLOOKUP($A44, INDIRECT("MayR!$A$6:$ZZ$1048576"), MATCH(H$1, MayR!$6:$6, 0), FALSE),
            0
        ) +
        IFERROR(
            VLOOKUP($A44, INDIRECT("JunR!$A$6:$ZZ$1048576"), MATCH(H$1, JunR!$6:$6, 0), FALSE),
            0
        ) +
        IFERROR(
            VLOOKUP($A44, INDIRECT("JulR!$A$6:$ZZ$1048576"), MATCH(H$1, JulR!$6:$6, 0), FALSE),
            0
        ) +
        IFERROR(
            VLOOKUP($A44, INDIRECT("AgoR!$A$6:$ZZ$1048576"), MATCH(H$1, AgoR!$6:$6, 0), FALSE),
            0
        ) +
        IFERROR(
            VLOOKUP($A44, INDIRECT("SepR!$A$6:$ZZ$1048576"), MATCH(H$1, SepR!$6:$6, 0), FALSE),
            0
        ) +
        IFERROR(
            VLOOKUP($A44, INDIRECT("OctR!$A$6:$ZZ$1048576"), MATCH(H$1, OctR!$6:$6, 0), FALSE),
            0
        ) +
        IFERROR(
            VLOOKUP($A44, INDIRECT("NovR!$A$6:$ZZ$1048576"), MATCH(H$1, NovR!$6:$6, 0), FALSE),
            0
        ) +
        IFERROR(
            VLOOKUP($A44, INDIRECT("DicR!$A$6:$ZZ$1048576"), MATCH(H$1, DicR!$6:$6, 0), FALSE),
            0
        )
)</f>
        <v>0</v>
      </c>
      <c r="I44" s="35">
        <f t="array" ref="I44">SUM(
    IFERROR(
            VLOOKUP($A44, INDIRECT("EneR!$A$6:$ZZ$1048576"), MATCH(I$1, EneR!$6:$6, 0), FALSE),
            0
        ) +
        IFERROR(
            VLOOKUP($A44, INDIRECT("FebR!$A$6:$ZZ$1048576"), MATCH(I$1, FebR!$6:$6, 0), FALSE),
            0
        ) +
        IFERROR(
            VLOOKUP($A44, INDIRECT("MarR!$A$6:$ZZ$1048576"), MATCH(I$1, MarR!$6:$6, 0), FALSE),
            0
        ) +
        IFERROR(
            VLOOKUP($A44, INDIRECT("AbrR!$A$6:$ZZ$1048576"), MATCH(I$1, AbrR!$6:$6, 0), FALSE),
            0
        ) +
        IFERROR(
            VLOOKUP($A44, INDIRECT("MayR!$A$6:$ZZ$1048576"), MATCH(I$1, MayR!$6:$6, 0), FALSE),
            0
        ) +
        IFERROR(
            VLOOKUP($A44, INDIRECT("JunR!$A$6:$ZZ$1048576"), MATCH(I$1, JunR!$6:$6, 0), FALSE),
            0
        ) +
        IFERROR(
            VLOOKUP($A44, INDIRECT("JulR!$A$6:$ZZ$1048576"), MATCH(I$1, JulR!$6:$6, 0), FALSE),
            0
        ) +
        IFERROR(
            VLOOKUP($A44, INDIRECT("AgoR!$A$6:$ZZ$1048576"), MATCH(I$1, AgoR!$6:$6, 0), FALSE),
            0
        ) +
        IFERROR(
            VLOOKUP($A44, INDIRECT("SepR!$A$6:$ZZ$1048576"), MATCH(I$1, SepR!$6:$6, 0), FALSE),
            0
        ) +
        IFERROR(
            VLOOKUP($A44, INDIRECT("OctR!$A$6:$ZZ$1048576"), MATCH(I$1, OctR!$6:$6, 0), FALSE),
            0
        ) +
        IFERROR(
            VLOOKUP($A44, INDIRECT("NovR!$A$6:$ZZ$1048576"), MATCH(I$1, NovR!$6:$6, 0), FALSE),
            0
        ) +
        IFERROR(
            VLOOKUP($A44, INDIRECT("DicR!$A$6:$ZZ$1048576"), MATCH(I$1, DicR!$6:$6, 0), FALSE),
            0
        )
)</f>
        <v>0</v>
      </c>
      <c r="J44" s="32">
        <f t="array" ref="J44">SUM(
    IFERROR(
            VLOOKUP($A44, INDIRECT("EneR!$A$6:$ZZ$1048576"), MATCH(J$1, EneR!$6:$6, 0), FALSE),
            0
        ) +
        IFERROR(
            VLOOKUP($A44, INDIRECT("FebR!$A$6:$ZZ$1048576"), MATCH(J$1, FebR!$6:$6, 0), FALSE),
            0
        ) +
        IFERROR(
            VLOOKUP($A44, INDIRECT("MarR!$A$6:$ZZ$1048576"), MATCH(J$1, MarR!$6:$6, 0), FALSE),
            0
        ) +
        IFERROR(
            VLOOKUP($A44, INDIRECT("AbrR!$A$6:$ZZ$1048576"), MATCH(J$1, AbrR!$6:$6, 0), FALSE),
            0
        ) +
        IFERROR(
            VLOOKUP($A44, INDIRECT("MayR!$A$6:$ZZ$1048576"), MATCH(J$1, MayR!$6:$6, 0), FALSE),
            0
        ) +
        IFERROR(
            VLOOKUP($A44, INDIRECT("JunR!$A$6:$ZZ$1048576"), MATCH(J$1, JunR!$6:$6, 0), FALSE),
            0
        ) +
        IFERROR(
            VLOOKUP($A44, INDIRECT("JulR!$A$6:$ZZ$1048576"), MATCH(J$1, JulR!$6:$6, 0), FALSE),
            0
        ) +
        IFERROR(
            VLOOKUP($A44, INDIRECT("AgoR!$A$6:$ZZ$1048576"), MATCH(J$1, AgoR!$6:$6, 0), FALSE),
            0
        ) +
        IFERROR(
            VLOOKUP($A44, INDIRECT("SepR!$A$6:$ZZ$1048576"), MATCH(J$1, SepR!$6:$6, 0), FALSE),
            0
        ) +
        IFERROR(
            VLOOKUP($A44, INDIRECT("OctR!$A$6:$ZZ$1048576"), MATCH(J$1, OctR!$6:$6, 0), FALSE),
            0
        ) +
        IFERROR(
            VLOOKUP($A44, INDIRECT("NovR!$A$6:$ZZ$1048576"), MATCH(J$1, NovR!$6:$6, 0), FALSE),
            0
        ) +
        IFERROR(
            VLOOKUP($A44, INDIRECT("DicR!$A$6:$ZZ$1048576"), MATCH(J$1, DicR!$6:$6, 0), FALSE),
            0
        )
)</f>
        <v>0</v>
      </c>
      <c r="K44" s="35">
        <f t="array" ref="K44">SUM(
    IFERROR(
            VLOOKUP($A44, INDIRECT("EneR!$A$6:$ZZ$1048576"), MATCH(K$1, EneR!$6:$6, 0), FALSE),
            0
        ) +
        IFERROR(
            VLOOKUP($A44, INDIRECT("FebR!$A$6:$ZZ$1048576"), MATCH(K$1, FebR!$6:$6, 0), FALSE),
            0
        ) +
        IFERROR(
            VLOOKUP($A44, INDIRECT("MarR!$A$6:$ZZ$1048576"), MATCH(K$1, MarR!$6:$6, 0), FALSE),
            0
        ) +
        IFERROR(
            VLOOKUP($A44, INDIRECT("AbrR!$A$6:$ZZ$1048576"), MATCH(K$1, AbrR!$6:$6, 0), FALSE),
            0
        ) +
        IFERROR(
            VLOOKUP($A44, INDIRECT("MayR!$A$6:$ZZ$1048576"), MATCH(K$1, MayR!$6:$6, 0), FALSE),
            0
        ) +
        IFERROR(
            VLOOKUP($A44, INDIRECT("JunR!$A$6:$ZZ$1048576"), MATCH(K$1, JunR!$6:$6, 0), FALSE),
            0
        ) +
        IFERROR(
            VLOOKUP($A44, INDIRECT("JulR!$A$6:$ZZ$1048576"), MATCH(K$1, JulR!$6:$6, 0), FALSE),
            0
        ) +
        IFERROR(
            VLOOKUP($A44, INDIRECT("AgoR!$A$6:$ZZ$1048576"), MATCH(K$1, AgoR!$6:$6, 0), FALSE),
            0
        ) +
        IFERROR(
            VLOOKUP($A44, INDIRECT("SepR!$A$6:$ZZ$1048576"), MATCH(K$1, SepR!$6:$6, 0), FALSE),
            0
        ) +
        IFERROR(
            VLOOKUP($A44, INDIRECT("OctR!$A$6:$ZZ$1048576"), MATCH(K$1, OctR!$6:$6, 0), FALSE),
            0
        ) +
        IFERROR(
            VLOOKUP($A44, INDIRECT("NovR!$A$6:$ZZ$1048576"), MATCH(K$1, NovR!$6:$6, 0), FALSE),
            0
        ) +
        IFERROR(
            VLOOKUP($A44, INDIRECT("DicR!$A$6:$ZZ$1048576"), MATCH(K$1, DicR!$6:$6, 0), FALSE),
            0
        )
)</f>
        <v>0</v>
      </c>
      <c r="L44" s="32">
        <f t="array" ref="L44">SUM(
    IFERROR(
            VLOOKUP($A44, INDIRECT("EneR!$A$6:$ZZ$1048576"), MATCH(L$1, EneR!$6:$6, 0), FALSE),
            0
        ) +
        IFERROR(
            VLOOKUP($A44, INDIRECT("FebR!$A$6:$ZZ$1048576"), MATCH(L$1, FebR!$6:$6, 0), FALSE),
            0
        ) +
        IFERROR(
            VLOOKUP($A44, INDIRECT("MarR!$A$6:$ZZ$1048576"), MATCH(L$1, MarR!$6:$6, 0), FALSE),
            0
        ) +
        IFERROR(
            VLOOKUP($A44, INDIRECT("AbrR!$A$6:$ZZ$1048576"), MATCH(L$1, AbrR!$6:$6, 0), FALSE),
            0
        ) +
        IFERROR(
            VLOOKUP($A44, INDIRECT("MayR!$A$6:$ZZ$1048576"), MATCH(L$1, MayR!$6:$6, 0), FALSE),
            0
        ) +
        IFERROR(
            VLOOKUP($A44, INDIRECT("JunR!$A$6:$ZZ$1048576"), MATCH(L$1, JunR!$6:$6, 0), FALSE),
            0
        ) +
        IFERROR(
            VLOOKUP($A44, INDIRECT("JulR!$A$6:$ZZ$1048576"), MATCH(L$1, JulR!$6:$6, 0), FALSE),
            0
        ) +
        IFERROR(
            VLOOKUP($A44, INDIRECT("AgoR!$A$6:$ZZ$1048576"), MATCH(L$1, AgoR!$6:$6, 0), FALSE),
            0
        ) +
        IFERROR(
            VLOOKUP($A44, INDIRECT("SepR!$A$6:$ZZ$1048576"), MATCH(L$1, SepR!$6:$6, 0), FALSE),
            0
        ) +
        IFERROR(
            VLOOKUP($A44, INDIRECT("OctR!$A$6:$ZZ$1048576"), MATCH(L$1, OctR!$6:$6, 0), FALSE),
            0
        ) +
        IFERROR(
            VLOOKUP($A44, INDIRECT("NovR!$A$6:$ZZ$1048576"), MATCH(L$1, NovR!$6:$6, 0), FALSE),
            0
        ) +
        IFERROR(
            VLOOKUP($A44, INDIRECT("DicR!$A$6:$ZZ$1048576"), MATCH(L$1, DicR!$6:$6, 0), FALSE),
            0
        )
)</f>
        <v>0</v>
      </c>
      <c r="M44" s="35">
        <f t="array" ref="M44">SUM(
    IFERROR(
            VLOOKUP($A44, INDIRECT("EneR!$A$6:$ZZ$1048576"), MATCH(M$1, EneR!$6:$6, 0), FALSE),
            0
        ) +
        IFERROR(
            VLOOKUP($A44, INDIRECT("FebR!$A$6:$ZZ$1048576"), MATCH(M$1, FebR!$6:$6, 0), FALSE),
            0
        ) +
        IFERROR(
            VLOOKUP($A44, INDIRECT("MarR!$A$6:$ZZ$1048576"), MATCH(M$1, MarR!$6:$6, 0), FALSE),
            0
        ) +
        IFERROR(
            VLOOKUP($A44, INDIRECT("AbrR!$A$6:$ZZ$1048576"), MATCH(M$1, AbrR!$6:$6, 0), FALSE),
            0
        ) +
        IFERROR(
            VLOOKUP($A44, INDIRECT("MayR!$A$6:$ZZ$1048576"), MATCH(M$1, MayR!$6:$6, 0), FALSE),
            0
        ) +
        IFERROR(
            VLOOKUP($A44, INDIRECT("JunR!$A$6:$ZZ$1048576"), MATCH(M$1, JunR!$6:$6, 0), FALSE),
            0
        ) +
        IFERROR(
            VLOOKUP($A44, INDIRECT("JulR!$A$6:$ZZ$1048576"), MATCH(M$1, JulR!$6:$6, 0), FALSE),
            0
        ) +
        IFERROR(
            VLOOKUP($A44, INDIRECT("AgoR!$A$6:$ZZ$1048576"), MATCH(M$1, AgoR!$6:$6, 0), FALSE),
            0
        ) +
        IFERROR(
            VLOOKUP($A44, INDIRECT("SepR!$A$6:$ZZ$1048576"), MATCH(M$1, SepR!$6:$6, 0), FALSE),
            0
        ) +
        IFERROR(
            VLOOKUP($A44, INDIRECT("OctR!$A$6:$ZZ$1048576"), MATCH(M$1, OctR!$6:$6, 0), FALSE),
            0
        ) +
        IFERROR(
            VLOOKUP($A44, INDIRECT("NovR!$A$6:$ZZ$1048576"), MATCH(M$1, NovR!$6:$6, 0), FALSE),
            0
        ) +
        IFERROR(
            VLOOKUP($A44, INDIRECT("DicR!$A$6:$ZZ$1048576"), MATCH(M$1, DicR!$6:$6, 0), FALSE),
            0
        )
)</f>
        <v>0</v>
      </c>
      <c r="N44" s="32">
        <f t="array" ref="N44">SUM(
    IFERROR(
            VLOOKUP($A44, INDIRECT("EneR!$A$6:$ZZ$1048576"), MATCH(N$1, EneR!$6:$6, 0), FALSE),
            0
        ) +
        IFERROR(
            VLOOKUP($A44, INDIRECT("FebR!$A$6:$ZZ$1048576"), MATCH(N$1, FebR!$6:$6, 0), FALSE),
            0
        ) +
        IFERROR(
            VLOOKUP($A44, INDIRECT("MarR!$A$6:$ZZ$1048576"), MATCH(N$1, MarR!$6:$6, 0), FALSE),
            0
        ) +
        IFERROR(
            VLOOKUP($A44, INDIRECT("AbrR!$A$6:$ZZ$1048576"), MATCH(N$1, AbrR!$6:$6, 0), FALSE),
            0
        ) +
        IFERROR(
            VLOOKUP($A44, INDIRECT("MayR!$A$6:$ZZ$1048576"), MATCH(N$1, MayR!$6:$6, 0), FALSE),
            0
        ) +
        IFERROR(
            VLOOKUP($A44, INDIRECT("JunR!$A$6:$ZZ$1048576"), MATCH(N$1, JunR!$6:$6, 0), FALSE),
            0
        ) +
        IFERROR(
            VLOOKUP($A44, INDIRECT("JulR!$A$6:$ZZ$1048576"), MATCH(N$1, JulR!$6:$6, 0), FALSE),
            0
        ) +
        IFERROR(
            VLOOKUP($A44, INDIRECT("AgoR!$A$6:$ZZ$1048576"), MATCH(N$1, AgoR!$6:$6, 0), FALSE),
            0
        ) +
        IFERROR(
            VLOOKUP($A44, INDIRECT("SepR!$A$6:$ZZ$1048576"), MATCH(N$1, SepR!$6:$6, 0), FALSE),
            0
        ) +
        IFERROR(
            VLOOKUP($A44, INDIRECT("OctR!$A$6:$ZZ$1048576"), MATCH(N$1, OctR!$6:$6, 0), FALSE),
            0
        ) +
        IFERROR(
            VLOOKUP($A44, INDIRECT("NovR!$A$6:$ZZ$1048576"), MATCH(N$1, NovR!$6:$6, 0), FALSE),
            0
        ) +
        IFERROR(
            VLOOKUP($A44, INDIRECT("DicR!$A$6:$ZZ$1048576"), MATCH(N$1, DicR!$6:$6, 0), FALSE),
            0
        )
)</f>
        <v>0</v>
      </c>
      <c r="O44" s="35">
        <f t="array" ref="O44">SUM(
    IFERROR(
            VLOOKUP($A44, INDIRECT("EneR!$A$6:$ZZ$1048576"), MATCH(O$1, EneR!$6:$6, 0), FALSE),
            0
        ) +
        IFERROR(
            VLOOKUP($A44, INDIRECT("FebR!$A$6:$ZZ$1048576"), MATCH(O$1, FebR!$6:$6, 0), FALSE),
            0
        ) +
        IFERROR(
            VLOOKUP($A44, INDIRECT("MarR!$A$6:$ZZ$1048576"), MATCH(O$1, MarR!$6:$6, 0), FALSE),
            0
        ) +
        IFERROR(
            VLOOKUP($A44, INDIRECT("AbrR!$A$6:$ZZ$1048576"), MATCH(O$1, AbrR!$6:$6, 0), FALSE),
            0
        ) +
        IFERROR(
            VLOOKUP($A44, INDIRECT("MayR!$A$6:$ZZ$1048576"), MATCH(O$1, MayR!$6:$6, 0), FALSE),
            0
        ) +
        IFERROR(
            VLOOKUP($A44, INDIRECT("JunR!$A$6:$ZZ$1048576"), MATCH(O$1, JunR!$6:$6, 0), FALSE),
            0
        ) +
        IFERROR(
            VLOOKUP($A44, INDIRECT("JulR!$A$6:$ZZ$1048576"), MATCH(O$1, JulR!$6:$6, 0), FALSE),
            0
        ) +
        IFERROR(
            VLOOKUP($A44, INDIRECT("AgoR!$A$6:$ZZ$1048576"), MATCH(O$1, AgoR!$6:$6, 0), FALSE),
            0
        ) +
        IFERROR(
            VLOOKUP($A44, INDIRECT("SepR!$A$6:$ZZ$1048576"), MATCH(O$1, SepR!$6:$6, 0), FALSE),
            0
        ) +
        IFERROR(
            VLOOKUP($A44, INDIRECT("OctR!$A$6:$ZZ$1048576"), MATCH(O$1, OctR!$6:$6, 0), FALSE),
            0
        ) +
        IFERROR(
            VLOOKUP($A44, INDIRECT("NovR!$A$6:$ZZ$1048576"), MATCH(O$1, NovR!$6:$6, 0), FALSE),
            0
        ) +
        IFERROR(
            VLOOKUP($A44, INDIRECT("DicR!$A$6:$ZZ$1048576"), MATCH(O$1, DicR!$6:$6, 0), FALSE),
            0
        )
)</f>
        <v>0</v>
      </c>
      <c r="P44" s="32">
        <f t="array" ref="P44">SUM(
    IFERROR(
            VLOOKUP($A44, INDIRECT("EneR!$A$6:$ZZ$1048576"), MATCH(P$1, EneR!$6:$6, 0), FALSE),
            0
        ) +
        IFERROR(
            VLOOKUP($A44, INDIRECT("FebR!$A$6:$ZZ$1048576"), MATCH(P$1, FebR!$6:$6, 0), FALSE),
            0
        ) +
        IFERROR(
            VLOOKUP($A44, INDIRECT("MarR!$A$6:$ZZ$1048576"), MATCH(P$1, MarR!$6:$6, 0), FALSE),
            0
        ) +
        IFERROR(
            VLOOKUP($A44, INDIRECT("AbrR!$A$6:$ZZ$1048576"), MATCH(P$1, AbrR!$6:$6, 0), FALSE),
            0
        ) +
        IFERROR(
            VLOOKUP($A44, INDIRECT("MayR!$A$6:$ZZ$1048576"), MATCH(P$1, MayR!$6:$6, 0), FALSE),
            0
        ) +
        IFERROR(
            VLOOKUP($A44, INDIRECT("JunR!$A$6:$ZZ$1048576"), MATCH(P$1, JunR!$6:$6, 0), FALSE),
            0
        ) +
        IFERROR(
            VLOOKUP($A44, INDIRECT("JulR!$A$6:$ZZ$1048576"), MATCH(P$1, JulR!$6:$6, 0), FALSE),
            0
        ) +
        IFERROR(
            VLOOKUP($A44, INDIRECT("AgoR!$A$6:$ZZ$1048576"), MATCH(P$1, AgoR!$6:$6, 0), FALSE),
            0
        ) +
        IFERROR(
            VLOOKUP($A44, INDIRECT("SepR!$A$6:$ZZ$1048576"), MATCH(P$1, SepR!$6:$6, 0), FALSE),
            0
        ) +
        IFERROR(
            VLOOKUP($A44, INDIRECT("OctR!$A$6:$ZZ$1048576"), MATCH(P$1, OctR!$6:$6, 0), FALSE),
            0
        ) +
        IFERROR(
            VLOOKUP($A44, INDIRECT("NovR!$A$6:$ZZ$1048576"), MATCH(P$1, NovR!$6:$6, 0), FALSE),
            0
        ) +
        IFERROR(
            VLOOKUP($A44, INDIRECT("DicR!$A$6:$ZZ$1048576"), MATCH(P$1, DicR!$6:$6, 0), FALSE),
            0
        )
)</f>
        <v>0</v>
      </c>
      <c r="Q44" s="35">
        <f t="array" ref="Q44">SUM(
    IFERROR(
            VLOOKUP($A44, INDIRECT("EneR!$A$6:$ZZ$1048576"), MATCH(Q$1, EneR!$6:$6, 0), FALSE),
            0
        ) +
        IFERROR(
            VLOOKUP($A44, INDIRECT("FebR!$A$6:$ZZ$1048576"), MATCH(Q$1, FebR!$6:$6, 0), FALSE),
            0
        ) +
        IFERROR(
            VLOOKUP($A44, INDIRECT("MarR!$A$6:$ZZ$1048576"), MATCH(Q$1, MarR!$6:$6, 0), FALSE),
            0
        ) +
        IFERROR(
            VLOOKUP($A44, INDIRECT("AbrR!$A$6:$ZZ$1048576"), MATCH(Q$1, AbrR!$6:$6, 0), FALSE),
            0
        ) +
        IFERROR(
            VLOOKUP($A44, INDIRECT("MayR!$A$6:$ZZ$1048576"), MATCH(Q$1, MayR!$6:$6, 0), FALSE),
            0
        ) +
        IFERROR(
            VLOOKUP($A44, INDIRECT("JunR!$A$6:$ZZ$1048576"), MATCH(Q$1, JunR!$6:$6, 0), FALSE),
            0
        ) +
        IFERROR(
            VLOOKUP($A44, INDIRECT("JulR!$A$6:$ZZ$1048576"), MATCH(Q$1, JulR!$6:$6, 0), FALSE),
            0
        ) +
        IFERROR(
            VLOOKUP($A44, INDIRECT("AgoR!$A$6:$ZZ$1048576"), MATCH(Q$1, AgoR!$6:$6, 0), FALSE),
            0
        ) +
        IFERROR(
            VLOOKUP($A44, INDIRECT("SepR!$A$6:$ZZ$1048576"), MATCH(Q$1, SepR!$6:$6, 0), FALSE),
            0
        ) +
        IFERROR(
            VLOOKUP($A44, INDIRECT("OctR!$A$6:$ZZ$1048576"), MATCH(Q$1, OctR!$6:$6, 0), FALSE),
            0
        ) +
        IFERROR(
            VLOOKUP($A44, INDIRECT("NovR!$A$6:$ZZ$1048576"), MATCH(Q$1, NovR!$6:$6, 0), FALSE),
            0
        ) +
        IFERROR(
            VLOOKUP($A44, INDIRECT("DicR!$A$6:$ZZ$1048576"), MATCH(Q$1, DicR!$6:$6, 0), FALSE),
            0
        )
)</f>
        <v>0</v>
      </c>
      <c r="R44" s="36">
        <f t="array" ref="R44">SUM(
    IFERROR(
            VLOOKUP($A44, INDIRECT("EneR!$A$6:$ZZ$1048576"), MATCH(R$1, EneR!$6:$6, 0), FALSE),
            0
        ) +
        IFERROR(
            VLOOKUP($A44, INDIRECT("FebR!$A$6:$ZZ$1048576"), MATCH(R$1, FebR!$6:$6, 0), FALSE),
            0
        ) +
        IFERROR(
            VLOOKUP($A44, INDIRECT("MarR!$A$6:$ZZ$1048576"), MATCH(R$1, MarR!$6:$6, 0), FALSE),
            0
        ) +
        IFERROR(
            VLOOKUP($A44, INDIRECT("AbrR!$A$6:$ZZ$1048576"), MATCH(R$1, AbrR!$6:$6, 0), FALSE),
            0
        ) +
        IFERROR(
            VLOOKUP($A44, INDIRECT("MayR!$A$6:$ZZ$1048576"), MATCH(R$1, MayR!$6:$6, 0), FALSE),
            0
        ) +
        IFERROR(
            VLOOKUP($A44, INDIRECT("JunR!$A$6:$ZZ$1048576"), MATCH(R$1, JunR!$6:$6, 0), FALSE),
            0
        ) +
        IFERROR(
            VLOOKUP($A44, INDIRECT("JulR!$A$6:$ZZ$1048576"), MATCH(R$1, JulR!$6:$6, 0), FALSE),
            0
        ) +
        IFERROR(
            VLOOKUP($A44, INDIRECT("AgoR!$A$6:$ZZ$1048576"), MATCH(R$1, AgoR!$6:$6, 0), FALSE),
            0
        ) +
        IFERROR(
            VLOOKUP($A44, INDIRECT("SepR!$A$6:$ZZ$1048576"), MATCH(R$1, SepR!$6:$6, 0), FALSE),
            0
        ) +
        IFERROR(
            VLOOKUP($A44, INDIRECT("OctR!$A$6:$ZZ$1048576"), MATCH(R$1, OctR!$6:$6, 0), FALSE),
            0
        ) +
        IFERROR(
            VLOOKUP($A44, INDIRECT("NovR!$A$6:$ZZ$1048576"), MATCH(R$1, NovR!$6:$6, 0), FALSE),
            0
        ) +
        IFERROR(
            VLOOKUP($A44, INDIRECT("DicR!$A$6:$ZZ$1048576"), MATCH(R$1, DicR!$6:$6, 0), FALSE),
            0
        )
)</f>
        <v>0</v>
      </c>
      <c r="S44" s="37">
        <f t="array" ref="S44">SUM(
    IFERROR(
            VLOOKUP($A44, INDIRECT("EneR!$A$6:$ZZ$1048576"), MATCH(S$1, EneR!$6:$6, 0), FALSE),
            0
        ) +
        IFERROR(
            VLOOKUP($A44, INDIRECT("FebR!$A$6:$ZZ$1048576"), MATCH(S$1, FebR!$6:$6, 0), FALSE),
            0
        ) +
        IFERROR(
            VLOOKUP($A44, INDIRECT("MarR!$A$6:$ZZ$1048576"), MATCH(S$1, MarR!$6:$6, 0), FALSE),
            0
        ) +
        IFERROR(
            VLOOKUP($A44, INDIRECT("AbrR!$A$6:$ZZ$1048576"), MATCH(S$1, AbrR!$6:$6, 0), FALSE),
            0
        ) +
        IFERROR(
            VLOOKUP($A44, INDIRECT("MayR!$A$6:$ZZ$1048576"), MATCH(S$1, MayR!$6:$6, 0), FALSE),
            0
        ) +
        IFERROR(
            VLOOKUP($A44, INDIRECT("JunR!$A$6:$ZZ$1048576"), MATCH(S$1, JunR!$6:$6, 0), FALSE),
            0
        ) +
        IFERROR(
            VLOOKUP($A44, INDIRECT("JulR!$A$6:$ZZ$1048576"), MATCH(S$1, JulR!$6:$6, 0), FALSE),
            0
        ) +
        IFERROR(
            VLOOKUP($A44, INDIRECT("AgoR!$A$6:$ZZ$1048576"), MATCH(S$1, AgoR!$6:$6, 0), FALSE),
            0
        ) +
        IFERROR(
            VLOOKUP($A44, INDIRECT("SepR!$A$6:$ZZ$1048576"), MATCH(S$1, SepR!$6:$6, 0), FALSE),
            0
        ) +
        IFERROR(
            VLOOKUP($A44, INDIRECT("OctR!$A$6:$ZZ$1048576"), MATCH(S$1, OctR!$6:$6, 0), FALSE),
            0
        ) +
        IFERROR(
            VLOOKUP($A44, INDIRECT("NovR!$A$6:$ZZ$1048576"), MATCH(S$1, NovR!$6:$6, 0), FALSE),
            0
        ) +
        IFERROR(
            VLOOKUP($A44, INDIRECT("DicR!$A$6:$ZZ$1048576"), MATCH(S$1, DicR!$6:$6, 0), FALSE),
            0
        )
)</f>
        <v>0</v>
      </c>
      <c r="T44" s="36">
        <f t="array" ref="T44">SUM(
    IFERROR(
            VLOOKUP($A44, INDIRECT("EneR!$A$6:$ZZ$1048576"), MATCH(T$1, EneR!$6:$6, 0), FALSE),
            0
        ) +
        IFERROR(
            VLOOKUP($A44, INDIRECT("FebR!$A$6:$ZZ$1048576"), MATCH(T$1, FebR!$6:$6, 0), FALSE),
            0
        ) +
        IFERROR(
            VLOOKUP($A44, INDIRECT("MarR!$A$6:$ZZ$1048576"), MATCH(T$1, MarR!$6:$6, 0), FALSE),
            0
        ) +
        IFERROR(
            VLOOKUP($A44, INDIRECT("AbrR!$A$6:$ZZ$1048576"), MATCH(T$1, AbrR!$6:$6, 0), FALSE),
            0
        ) +
        IFERROR(
            VLOOKUP($A44, INDIRECT("MayR!$A$6:$ZZ$1048576"), MATCH(T$1, MayR!$6:$6, 0), FALSE),
            0
        ) +
        IFERROR(
            VLOOKUP($A44, INDIRECT("JunR!$A$6:$ZZ$1048576"), MATCH(T$1, JunR!$6:$6, 0), FALSE),
            0
        ) +
        IFERROR(
            VLOOKUP($A44, INDIRECT("JulR!$A$6:$ZZ$1048576"), MATCH(T$1, JulR!$6:$6, 0), FALSE),
            0
        ) +
        IFERROR(
            VLOOKUP($A44, INDIRECT("AgoR!$A$6:$ZZ$1048576"), MATCH(T$1, AgoR!$6:$6, 0), FALSE),
            0
        ) +
        IFERROR(
            VLOOKUP($A44, INDIRECT("SepR!$A$6:$ZZ$1048576"), MATCH(T$1, SepR!$6:$6, 0), FALSE),
            0
        ) +
        IFERROR(
            VLOOKUP($A44, INDIRECT("OctR!$A$6:$ZZ$1048576"), MATCH(T$1, OctR!$6:$6, 0), FALSE),
            0
        ) +
        IFERROR(
            VLOOKUP($A44, INDIRECT("NovR!$A$6:$ZZ$1048576"), MATCH(T$1, NovR!$6:$6, 0), FALSE),
            0
        ) +
        IFERROR(
            VLOOKUP($A44, INDIRECT("DicR!$A$6:$ZZ$1048576"), MATCH(T$1, DicR!$6:$6, 0), FALSE),
            0
        )
)</f>
        <v>0</v>
      </c>
      <c r="U44" s="37">
        <f t="array" ref="U44">SUM(
    IFERROR(
            VLOOKUP($A44, INDIRECT("EneR!$A$6:$ZZ$1048576"), MATCH(U$1, EneR!$6:$6, 0), FALSE),
            0
        ) +
        IFERROR(
            VLOOKUP($A44, INDIRECT("FebR!$A$6:$ZZ$1048576"), MATCH(U$1, FebR!$6:$6, 0), FALSE),
            0
        ) +
        IFERROR(
            VLOOKUP($A44, INDIRECT("MarR!$A$6:$ZZ$1048576"), MATCH(U$1, MarR!$6:$6, 0), FALSE),
            0
        ) +
        IFERROR(
            VLOOKUP($A44, INDIRECT("AbrR!$A$6:$ZZ$1048576"), MATCH(U$1, AbrR!$6:$6, 0), FALSE),
            0
        ) +
        IFERROR(
            VLOOKUP($A44, INDIRECT("MayR!$A$6:$ZZ$1048576"), MATCH(U$1, MayR!$6:$6, 0), FALSE),
            0
        ) +
        IFERROR(
            VLOOKUP($A44, INDIRECT("JunR!$A$6:$ZZ$1048576"), MATCH(U$1, JunR!$6:$6, 0), FALSE),
            0
        ) +
        IFERROR(
            VLOOKUP($A44, INDIRECT("JulR!$A$6:$ZZ$1048576"), MATCH(U$1, JulR!$6:$6, 0), FALSE),
            0
        ) +
        IFERROR(
            VLOOKUP($A44, INDIRECT("AgoR!$A$6:$ZZ$1048576"), MATCH(U$1, AgoR!$6:$6, 0), FALSE),
            0
        ) +
        IFERROR(
            VLOOKUP($A44, INDIRECT("SepR!$A$6:$ZZ$1048576"), MATCH(U$1, SepR!$6:$6, 0), FALSE),
            0
        ) +
        IFERROR(
            VLOOKUP($A44, INDIRECT("OctR!$A$6:$ZZ$1048576"), MATCH(U$1, OctR!$6:$6, 0), FALSE),
            0
        ) +
        IFERROR(
            VLOOKUP($A44, INDIRECT("NovR!$A$6:$ZZ$1048576"), MATCH(U$1, NovR!$6:$6, 0), FALSE),
            0
        ) +
        IFERROR(
            VLOOKUP($A44, INDIRECT("DicR!$A$6:$ZZ$1048576"), MATCH(U$1, DicR!$6:$6, 0), FALSE),
            0
        )
)</f>
        <v>0</v>
      </c>
      <c r="V44" s="36">
        <f t="array" ref="V44">SUM(
    IFERROR(
            VLOOKUP($A44, INDIRECT("EneR!$A$6:$ZZ$1048576"), MATCH(V$1, EneR!$6:$6, 0), FALSE),
            0
        ) +
        IFERROR(
            VLOOKUP($A44, INDIRECT("FebR!$A$6:$ZZ$1048576"), MATCH(V$1, FebR!$6:$6, 0), FALSE),
            0
        ) +
        IFERROR(
            VLOOKUP($A44, INDIRECT("MarR!$A$6:$ZZ$1048576"), MATCH(V$1, MarR!$6:$6, 0), FALSE),
            0
        ) +
        IFERROR(
            VLOOKUP($A44, INDIRECT("AbrR!$A$6:$ZZ$1048576"), MATCH(V$1, AbrR!$6:$6, 0), FALSE),
            0
        ) +
        IFERROR(
            VLOOKUP($A44, INDIRECT("MayR!$A$6:$ZZ$1048576"), MATCH(V$1, MayR!$6:$6, 0), FALSE),
            0
        ) +
        IFERROR(
            VLOOKUP($A44, INDIRECT("JunR!$A$6:$ZZ$1048576"), MATCH(V$1, JunR!$6:$6, 0), FALSE),
            0
        ) +
        IFERROR(
            VLOOKUP($A44, INDIRECT("JulR!$A$6:$ZZ$1048576"), MATCH(V$1, JulR!$6:$6, 0), FALSE),
            0
        ) +
        IFERROR(
            VLOOKUP($A44, INDIRECT("AgoR!$A$6:$ZZ$1048576"), MATCH(V$1, AgoR!$6:$6, 0), FALSE),
            0
        ) +
        IFERROR(
            VLOOKUP($A44, INDIRECT("SepR!$A$6:$ZZ$1048576"), MATCH(V$1, SepR!$6:$6, 0), FALSE),
            0
        ) +
        IFERROR(
            VLOOKUP($A44, INDIRECT("OctR!$A$6:$ZZ$1048576"), MATCH(V$1, OctR!$6:$6, 0), FALSE),
            0
        ) +
        IFERROR(
            VLOOKUP($A44, INDIRECT("NovR!$A$6:$ZZ$1048576"), MATCH(V$1, NovR!$6:$6, 0), FALSE),
            0
        ) +
        IFERROR(
            VLOOKUP($A44, INDIRECT("DicR!$A$6:$ZZ$1048576"), MATCH(V$1, DicR!$6:$6, 0), FALSE),
            0
        )
)</f>
        <v>0</v>
      </c>
      <c r="W44" s="37">
        <f t="array" ref="W44">SUM(
    IFERROR(
            VLOOKUP($A44, INDIRECT("EneR!$A$6:$ZZ$1048576"), MATCH(W$1, EneR!$6:$6, 0), FALSE),
            0
        ) +
        IFERROR(
            VLOOKUP($A44, INDIRECT("FebR!$A$6:$ZZ$1048576"), MATCH(W$1, FebR!$6:$6, 0), FALSE),
            0
        ) +
        IFERROR(
            VLOOKUP($A44, INDIRECT("MarR!$A$6:$ZZ$1048576"), MATCH(W$1, MarR!$6:$6, 0), FALSE),
            0
        ) +
        IFERROR(
            VLOOKUP($A44, INDIRECT("AbrR!$A$6:$ZZ$1048576"), MATCH(W$1, AbrR!$6:$6, 0), FALSE),
            0
        ) +
        IFERROR(
            VLOOKUP($A44, INDIRECT("MayR!$A$6:$ZZ$1048576"), MATCH(W$1, MayR!$6:$6, 0), FALSE),
            0
        ) +
        IFERROR(
            VLOOKUP($A44, INDIRECT("JunR!$A$6:$ZZ$1048576"), MATCH(W$1, JunR!$6:$6, 0), FALSE),
            0
        ) +
        IFERROR(
            VLOOKUP($A44, INDIRECT("JulR!$A$6:$ZZ$1048576"), MATCH(W$1, JulR!$6:$6, 0), FALSE),
            0
        ) +
        IFERROR(
            VLOOKUP($A44, INDIRECT("AgoR!$A$6:$ZZ$1048576"), MATCH(W$1, AgoR!$6:$6, 0), FALSE),
            0
        ) +
        IFERROR(
            VLOOKUP($A44, INDIRECT("SepR!$A$6:$ZZ$1048576"), MATCH(W$1, SepR!$6:$6, 0), FALSE),
            0
        ) +
        IFERROR(
            VLOOKUP($A44, INDIRECT("OctR!$A$6:$ZZ$1048576"), MATCH(W$1, OctR!$6:$6, 0), FALSE),
            0
        ) +
        IFERROR(
            VLOOKUP($A44, INDIRECT("NovR!$A$6:$ZZ$1048576"), MATCH(W$1, NovR!$6:$6, 0), FALSE),
            0
        ) +
        IFERROR(
            VLOOKUP($A44, INDIRECT("DicR!$A$6:$ZZ$1048576"), MATCH(W$1, DicR!$6:$6, 0), FALSE),
            0
        )
)</f>
        <v>0</v>
      </c>
      <c r="X44" s="36">
        <f t="array" ref="X44">SUM(
    IFERROR(
            VLOOKUP($A44, INDIRECT("EneR!$A$6:$ZZ$1048576"), MATCH(X$1, EneR!$6:$6, 0), FALSE),
            0
        ) +
        IFERROR(
            VLOOKUP($A44, INDIRECT("FebR!$A$6:$ZZ$1048576"), MATCH(X$1, FebR!$6:$6, 0), FALSE),
            0
        ) +
        IFERROR(
            VLOOKUP($A44, INDIRECT("MarR!$A$6:$ZZ$1048576"), MATCH(X$1, MarR!$6:$6, 0), FALSE),
            0
        ) +
        IFERROR(
            VLOOKUP($A44, INDIRECT("AbrR!$A$6:$ZZ$1048576"), MATCH(X$1, AbrR!$6:$6, 0), FALSE),
            0
        ) +
        IFERROR(
            VLOOKUP($A44, INDIRECT("MayR!$A$6:$ZZ$1048576"), MATCH(X$1, MayR!$6:$6, 0), FALSE),
            0
        ) +
        IFERROR(
            VLOOKUP($A44, INDIRECT("JunR!$A$6:$ZZ$1048576"), MATCH(X$1, JunR!$6:$6, 0), FALSE),
            0
        ) +
        IFERROR(
            VLOOKUP($A44, INDIRECT("JulR!$A$6:$ZZ$1048576"), MATCH(X$1, JulR!$6:$6, 0), FALSE),
            0
        ) +
        IFERROR(
            VLOOKUP($A44, INDIRECT("AgoR!$A$6:$ZZ$1048576"), MATCH(X$1, AgoR!$6:$6, 0), FALSE),
            0
        ) +
        IFERROR(
            VLOOKUP($A44, INDIRECT("SepR!$A$6:$ZZ$1048576"), MATCH(X$1, SepR!$6:$6, 0), FALSE),
            0
        ) +
        IFERROR(
            VLOOKUP($A44, INDIRECT("OctR!$A$6:$ZZ$1048576"), MATCH(X$1, OctR!$6:$6, 0), FALSE),
            0
        ) +
        IFERROR(
            VLOOKUP($A44, INDIRECT("NovR!$A$6:$ZZ$1048576"), MATCH(X$1, NovR!$6:$6, 0), FALSE),
            0
        ) +
        IFERROR(
            VLOOKUP($A44, INDIRECT("DicR!$A$6:$ZZ$1048576"), MATCH(X$1, DicR!$6:$6, 0), FALSE),
            0
        )
)</f>
        <v>0</v>
      </c>
      <c r="Y44" s="37">
        <f t="array" ref="Y44">SUM(
    IFERROR(
            VLOOKUP($A44, INDIRECT("EneR!$A$6:$ZZ$1048576"), MATCH(Y$1, EneR!$6:$6, 0), FALSE),
            0
        ) +
        IFERROR(
            VLOOKUP($A44, INDIRECT("FebR!$A$6:$ZZ$1048576"), MATCH(Y$1, FebR!$6:$6, 0), FALSE),
            0
        ) +
        IFERROR(
            VLOOKUP($A44, INDIRECT("MarR!$A$6:$ZZ$1048576"), MATCH(Y$1, MarR!$6:$6, 0), FALSE),
            0
        ) +
        IFERROR(
            VLOOKUP($A44, INDIRECT("AbrR!$A$6:$ZZ$1048576"), MATCH(Y$1, AbrR!$6:$6, 0), FALSE),
            0
        ) +
        IFERROR(
            VLOOKUP($A44, INDIRECT("MayR!$A$6:$ZZ$1048576"), MATCH(Y$1, MayR!$6:$6, 0), FALSE),
            0
        ) +
        IFERROR(
            VLOOKUP($A44, INDIRECT("JunR!$A$6:$ZZ$1048576"), MATCH(Y$1, JunR!$6:$6, 0), FALSE),
            0
        ) +
        IFERROR(
            VLOOKUP($A44, INDIRECT("JulR!$A$6:$ZZ$1048576"), MATCH(Y$1, JulR!$6:$6, 0), FALSE),
            0
        ) +
        IFERROR(
            VLOOKUP($A44, INDIRECT("AgoR!$A$6:$ZZ$1048576"), MATCH(Y$1, AgoR!$6:$6, 0), FALSE),
            0
        ) +
        IFERROR(
            VLOOKUP($A44, INDIRECT("SepR!$A$6:$ZZ$1048576"), MATCH(Y$1, SepR!$6:$6, 0), FALSE),
            0
        ) +
        IFERROR(
            VLOOKUP($A44, INDIRECT("OctR!$A$6:$ZZ$1048576"), MATCH(Y$1, OctR!$6:$6, 0), FALSE),
            0
        ) +
        IFERROR(
            VLOOKUP($A44, INDIRECT("NovR!$A$6:$ZZ$1048576"), MATCH(Y$1, NovR!$6:$6, 0), FALSE),
            0
        ) +
        IFERROR(
            VLOOKUP($A44, INDIRECT("DicR!$A$6:$ZZ$1048576"), MATCH(Y$1, DicR!$6:$6, 0), FALSE),
            0
        )
)</f>
        <v>0</v>
      </c>
      <c r="Z44" s="36">
        <f t="array" ref="Z44">SUM(
    IFERROR(
            VLOOKUP($A44, INDIRECT("EneR!$A$6:$ZZ$1048576"), MATCH(Z$1, EneR!$6:$6, 0), FALSE),
            0
        ) +
        IFERROR(
            VLOOKUP($A44, INDIRECT("FebR!$A$6:$ZZ$1048576"), MATCH(Z$1, FebR!$6:$6, 0), FALSE),
            0
        ) +
        IFERROR(
            VLOOKUP($A44, INDIRECT("MarR!$A$6:$ZZ$1048576"), MATCH(Z$1, MarR!$6:$6, 0), FALSE),
            0
        ) +
        IFERROR(
            VLOOKUP($A44, INDIRECT("AbrR!$A$6:$ZZ$1048576"), MATCH(Z$1, AbrR!$6:$6, 0), FALSE),
            0
        ) +
        IFERROR(
            VLOOKUP($A44, INDIRECT("MayR!$A$6:$ZZ$1048576"), MATCH(Z$1, MayR!$6:$6, 0), FALSE),
            0
        ) +
        IFERROR(
            VLOOKUP($A44, INDIRECT("JunR!$A$6:$ZZ$1048576"), MATCH(Z$1, JunR!$6:$6, 0), FALSE),
            0
        ) +
        IFERROR(
            VLOOKUP($A44, INDIRECT("JulR!$A$6:$ZZ$1048576"), MATCH(Z$1, JulR!$6:$6, 0), FALSE),
            0
        ) +
        IFERROR(
            VLOOKUP($A44, INDIRECT("AgoR!$A$6:$ZZ$1048576"), MATCH(Z$1, AgoR!$6:$6, 0), FALSE),
            0
        ) +
        IFERROR(
            VLOOKUP($A44, INDIRECT("SepR!$A$6:$ZZ$1048576"), MATCH(Z$1, SepR!$6:$6, 0), FALSE),
            0
        ) +
        IFERROR(
            VLOOKUP($A44, INDIRECT("OctR!$A$6:$ZZ$1048576"), MATCH(Z$1, OctR!$6:$6, 0), FALSE),
            0
        ) +
        IFERROR(
            VLOOKUP($A44, INDIRECT("NovR!$A$6:$ZZ$1048576"), MATCH(Z$1, NovR!$6:$6, 0), FALSE),
            0
        ) +
        IFERROR(
            VLOOKUP($A44, INDIRECT("DicR!$A$6:$ZZ$1048576"), MATCH(Z$1, DicR!$6:$6, 0), FALSE),
            0
        )
)</f>
        <v>0</v>
      </c>
      <c r="AA44" s="37">
        <f t="array" ref="AA44">SUM(
    IFERROR(
            VLOOKUP($A44, INDIRECT("EneR!$A$6:$ZZ$1048576"), MATCH(AA$1, EneR!$6:$6, 0), FALSE),
            0
        ) +
        IFERROR(
            VLOOKUP($A44, INDIRECT("FebR!$A$6:$ZZ$1048576"), MATCH(AA$1, FebR!$6:$6, 0), FALSE),
            0
        ) +
        IFERROR(
            VLOOKUP($A44, INDIRECT("MarR!$A$6:$ZZ$1048576"), MATCH(AA$1, MarR!$6:$6, 0), FALSE),
            0
        ) +
        IFERROR(
            VLOOKUP($A44, INDIRECT("AbrR!$A$6:$ZZ$1048576"), MATCH(AA$1, AbrR!$6:$6, 0), FALSE),
            0
        ) +
        IFERROR(
            VLOOKUP($A44, INDIRECT("MayR!$A$6:$ZZ$1048576"), MATCH(AA$1, MayR!$6:$6, 0), FALSE),
            0
        ) +
        IFERROR(
            VLOOKUP($A44, INDIRECT("JunR!$A$6:$ZZ$1048576"), MATCH(AA$1, JunR!$6:$6, 0), FALSE),
            0
        ) +
        IFERROR(
            VLOOKUP($A44, INDIRECT("JulR!$A$6:$ZZ$1048576"), MATCH(AA$1, JulR!$6:$6, 0), FALSE),
            0
        ) +
        IFERROR(
            VLOOKUP($A44, INDIRECT("AgoR!$A$6:$ZZ$1048576"), MATCH(AA$1, AgoR!$6:$6, 0), FALSE),
            0
        ) +
        IFERROR(
            VLOOKUP($A44, INDIRECT("SepR!$A$6:$ZZ$1048576"), MATCH(AA$1, SepR!$6:$6, 0), FALSE),
            0
        ) +
        IFERROR(
            VLOOKUP($A44, INDIRECT("OctR!$A$6:$ZZ$1048576"), MATCH(AA$1, OctR!$6:$6, 0), FALSE),
            0
        ) +
        IFERROR(
            VLOOKUP($A44, INDIRECT("NovR!$A$6:$ZZ$1048576"), MATCH(AA$1, NovR!$6:$6, 0), FALSE),
            0
        ) +
        IFERROR(
            VLOOKUP($A44, INDIRECT("DicR!$A$6:$ZZ$1048576"), MATCH(AA$1, DicR!$6:$6, 0), FALSE),
            0
        )
)</f>
        <v>0</v>
      </c>
      <c r="AB44" s="36">
        <f t="array" ref="AB44">SUM(
    IFERROR(
            VLOOKUP($A44, INDIRECT("EneR!$A$6:$ZZ$1048576"), MATCH(AB$1, EneR!$6:$6, 0), FALSE),
            0
        ) +
        IFERROR(
            VLOOKUP($A44, INDIRECT("FebR!$A$6:$ZZ$1048576"), MATCH(AB$1, FebR!$6:$6, 0), FALSE),
            0
        ) +
        IFERROR(
            VLOOKUP($A44, INDIRECT("MarR!$A$6:$ZZ$1048576"), MATCH(AB$1, MarR!$6:$6, 0), FALSE),
            0
        ) +
        IFERROR(
            VLOOKUP($A44, INDIRECT("AbrR!$A$6:$ZZ$1048576"), MATCH(AB$1, AbrR!$6:$6, 0), FALSE),
            0
        ) +
        IFERROR(
            VLOOKUP($A44, INDIRECT("MayR!$A$6:$ZZ$1048576"), MATCH(AB$1, MayR!$6:$6, 0), FALSE),
            0
        ) +
        IFERROR(
            VLOOKUP($A44, INDIRECT("JunR!$A$6:$ZZ$1048576"), MATCH(AB$1, JunR!$6:$6, 0), FALSE),
            0
        ) +
        IFERROR(
            VLOOKUP($A44, INDIRECT("JulR!$A$6:$ZZ$1048576"), MATCH(AB$1, JulR!$6:$6, 0), FALSE),
            0
        ) +
        IFERROR(
            VLOOKUP($A44, INDIRECT("AgoR!$A$6:$ZZ$1048576"), MATCH(AB$1, AgoR!$6:$6, 0), FALSE),
            0
        ) +
        IFERROR(
            VLOOKUP($A44, INDIRECT("SepR!$A$6:$ZZ$1048576"), MATCH(AB$1, SepR!$6:$6, 0), FALSE),
            0
        ) +
        IFERROR(
            VLOOKUP($A44, INDIRECT("OctR!$A$6:$ZZ$1048576"), MATCH(AB$1, OctR!$6:$6, 0), FALSE),
            0
        ) +
        IFERROR(
            VLOOKUP($A44, INDIRECT("NovR!$A$6:$ZZ$1048576"), MATCH(AB$1, NovR!$6:$6, 0), FALSE),
            0
        ) +
        IFERROR(
            VLOOKUP($A44, INDIRECT("DicR!$A$6:$ZZ$1048576"), MATCH(AB$1, DicR!$6:$6, 0), FALSE),
            0
        )
)</f>
        <v>0</v>
      </c>
      <c r="AC44" s="37">
        <f t="array" ref="AC44">SUM(
    IFERROR(
            VLOOKUP($A44, INDIRECT("EneR!$A$6:$ZZ$1048576"), MATCH(AC$1, EneR!$6:$6, 0), FALSE),
            0
        ) +
        IFERROR(
            VLOOKUP($A44, INDIRECT("FebR!$A$6:$ZZ$1048576"), MATCH(AC$1, FebR!$6:$6, 0), FALSE),
            0
        ) +
        IFERROR(
            VLOOKUP($A44, INDIRECT("MarR!$A$6:$ZZ$1048576"), MATCH(AC$1, MarR!$6:$6, 0), FALSE),
            0
        ) +
        IFERROR(
            VLOOKUP($A44, INDIRECT("AbrR!$A$6:$ZZ$1048576"), MATCH(AC$1, AbrR!$6:$6, 0), FALSE),
            0
        ) +
        IFERROR(
            VLOOKUP($A44, INDIRECT("MayR!$A$6:$ZZ$1048576"), MATCH(AC$1, MayR!$6:$6, 0), FALSE),
            0
        ) +
        IFERROR(
            VLOOKUP($A44, INDIRECT("JunR!$A$6:$ZZ$1048576"), MATCH(AC$1, JunR!$6:$6, 0), FALSE),
            0
        ) +
        IFERROR(
            VLOOKUP($A44, INDIRECT("JulR!$A$6:$ZZ$1048576"), MATCH(AC$1, JulR!$6:$6, 0), FALSE),
            0
        ) +
        IFERROR(
            VLOOKUP($A44, INDIRECT("AgoR!$A$6:$ZZ$1048576"), MATCH(AC$1, AgoR!$6:$6, 0), FALSE),
            0
        ) +
        IFERROR(
            VLOOKUP($A44, INDIRECT("SepR!$A$6:$ZZ$1048576"), MATCH(AC$1, SepR!$6:$6, 0), FALSE),
            0
        ) +
        IFERROR(
            VLOOKUP($A44, INDIRECT("OctR!$A$6:$ZZ$1048576"), MATCH(AC$1, OctR!$6:$6, 0), FALSE),
            0
        ) +
        IFERROR(
            VLOOKUP($A44, INDIRECT("NovR!$A$6:$ZZ$1048576"), MATCH(AC$1, NovR!$6:$6, 0), FALSE),
            0
        ) +
        IFERROR(
            VLOOKUP($A44, INDIRECT("DicR!$A$6:$ZZ$1048576"), MATCH(AC$1, DicR!$6:$6, 0), FALSE),
            0
        )
)</f>
        <v>0</v>
      </c>
      <c r="AD44" s="36">
        <f t="array" ref="AD44">SUM(
    IFERROR(
            VLOOKUP($A44, INDIRECT("EneR!$A$6:$ZZ$1048576"), MATCH(AD$1, EneR!$6:$6, 0), FALSE),
            0
        ) +
        IFERROR(
            VLOOKUP($A44, INDIRECT("FebR!$A$6:$ZZ$1048576"), MATCH(AD$1, FebR!$6:$6, 0), FALSE),
            0
        ) +
        IFERROR(
            VLOOKUP($A44, INDIRECT("MarR!$A$6:$ZZ$1048576"), MATCH(AD$1, MarR!$6:$6, 0), FALSE),
            0
        ) +
        IFERROR(
            VLOOKUP($A44, INDIRECT("AbrR!$A$6:$ZZ$1048576"), MATCH(AD$1, AbrR!$6:$6, 0), FALSE),
            0
        ) +
        IFERROR(
            VLOOKUP($A44, INDIRECT("MayR!$A$6:$ZZ$1048576"), MATCH(AD$1, MayR!$6:$6, 0), FALSE),
            0
        ) +
        IFERROR(
            VLOOKUP($A44, INDIRECT("JunR!$A$6:$ZZ$1048576"), MATCH(AD$1, JunR!$6:$6, 0), FALSE),
            0
        ) +
        IFERROR(
            VLOOKUP($A44, INDIRECT("JulR!$A$6:$ZZ$1048576"), MATCH(AD$1, JulR!$6:$6, 0), FALSE),
            0
        ) +
        IFERROR(
            VLOOKUP($A44, INDIRECT("AgoR!$A$6:$ZZ$1048576"), MATCH(AD$1, AgoR!$6:$6, 0), FALSE),
            0
        ) +
        IFERROR(
            VLOOKUP($A44, INDIRECT("SepR!$A$6:$ZZ$1048576"), MATCH(AD$1, SepR!$6:$6, 0), FALSE),
            0
        ) +
        IFERROR(
            VLOOKUP($A44, INDIRECT("OctR!$A$6:$ZZ$1048576"), MATCH(AD$1, OctR!$6:$6, 0), FALSE),
            0
        ) +
        IFERROR(
            VLOOKUP($A44, INDIRECT("NovR!$A$6:$ZZ$1048576"), MATCH(AD$1, NovR!$6:$6, 0), FALSE),
            0
        ) +
        IFERROR(
            VLOOKUP($A44, INDIRECT("DicR!$A$6:$ZZ$1048576"), MATCH(AD$1, DicR!$6:$6, 0), FALSE),
            0
        )
)</f>
        <v>0</v>
      </c>
      <c r="AE44" s="37">
        <f t="array" ref="AE44">SUM(
    IFERROR(
            VLOOKUP($A44, INDIRECT("EneR!$A$6:$ZZ$1048576"), MATCH(AE$1, EneR!$6:$6, 0), FALSE),
            0
        ) +
        IFERROR(
            VLOOKUP($A44, INDIRECT("FebR!$A$6:$ZZ$1048576"), MATCH(AE$1, FebR!$6:$6, 0), FALSE),
            0
        ) +
        IFERROR(
            VLOOKUP($A44, INDIRECT("MarR!$A$6:$ZZ$1048576"), MATCH(AE$1, MarR!$6:$6, 0), FALSE),
            0
        ) +
        IFERROR(
            VLOOKUP($A44, INDIRECT("AbrR!$A$6:$ZZ$1048576"), MATCH(AE$1, AbrR!$6:$6, 0), FALSE),
            0
        ) +
        IFERROR(
            VLOOKUP($A44, INDIRECT("MayR!$A$6:$ZZ$1048576"), MATCH(AE$1, MayR!$6:$6, 0), FALSE),
            0
        ) +
        IFERROR(
            VLOOKUP($A44, INDIRECT("JunR!$A$6:$ZZ$1048576"), MATCH(AE$1, JunR!$6:$6, 0), FALSE),
            0
        ) +
        IFERROR(
            VLOOKUP($A44, INDIRECT("JulR!$A$6:$ZZ$1048576"), MATCH(AE$1, JulR!$6:$6, 0), FALSE),
            0
        ) +
        IFERROR(
            VLOOKUP($A44, INDIRECT("AgoR!$A$6:$ZZ$1048576"), MATCH(AE$1, AgoR!$6:$6, 0), FALSE),
            0
        ) +
        IFERROR(
            VLOOKUP($A44, INDIRECT("SepR!$A$6:$ZZ$1048576"), MATCH(AE$1, SepR!$6:$6, 0), FALSE),
            0
        ) +
        IFERROR(
            VLOOKUP($A44, INDIRECT("OctR!$A$6:$ZZ$1048576"), MATCH(AE$1, OctR!$6:$6, 0), FALSE),
            0
        ) +
        IFERROR(
            VLOOKUP($A44, INDIRECT("NovR!$A$6:$ZZ$1048576"), MATCH(AE$1, NovR!$6:$6, 0), FALSE),
            0
        ) +
        IFERROR(
            VLOOKUP($A44, INDIRECT("DicR!$A$6:$ZZ$1048576"), MATCH(AE$1, DicR!$6:$6, 0), FALSE),
            0
        )
)</f>
        <v>0</v>
      </c>
      <c r="AF44" s="36">
        <f t="array" ref="AF44">SUM(
    IFERROR(
            VLOOKUP($A44, INDIRECT("EneR!$A$6:$ZZ$1048576"), MATCH(AF$1, EneR!$6:$6, 0), FALSE),
            0
        ) +
        IFERROR(
            VLOOKUP($A44, INDIRECT("FebR!$A$6:$ZZ$1048576"), MATCH(AF$1, FebR!$6:$6, 0), FALSE),
            0
        ) +
        IFERROR(
            VLOOKUP($A44, INDIRECT("MarR!$A$6:$ZZ$1048576"), MATCH(AF$1, MarR!$6:$6, 0), FALSE),
            0
        ) +
        IFERROR(
            VLOOKUP($A44, INDIRECT("AbrR!$A$6:$ZZ$1048576"), MATCH(AF$1, AbrR!$6:$6, 0), FALSE),
            0
        ) +
        IFERROR(
            VLOOKUP($A44, INDIRECT("MayR!$A$6:$ZZ$1048576"), MATCH(AF$1, MayR!$6:$6, 0), FALSE),
            0
        ) +
        IFERROR(
            VLOOKUP($A44, INDIRECT("JunR!$A$6:$ZZ$1048576"), MATCH(AF$1, JunR!$6:$6, 0), FALSE),
            0
        ) +
        IFERROR(
            VLOOKUP($A44, INDIRECT("JulR!$A$6:$ZZ$1048576"), MATCH(AF$1, JulR!$6:$6, 0), FALSE),
            0
        ) +
        IFERROR(
            VLOOKUP($A44, INDIRECT("AgoR!$A$6:$ZZ$1048576"), MATCH(AF$1, AgoR!$6:$6, 0), FALSE),
            0
        ) +
        IFERROR(
            VLOOKUP($A44, INDIRECT("SepR!$A$6:$ZZ$1048576"), MATCH(AF$1, SepR!$6:$6, 0), FALSE),
            0
        ) +
        IFERROR(
            VLOOKUP($A44, INDIRECT("OctR!$A$6:$ZZ$1048576"), MATCH(AF$1, OctR!$6:$6, 0), FALSE),
            0
        ) +
        IFERROR(
            VLOOKUP($A44, INDIRECT("NovR!$A$6:$ZZ$1048576"), MATCH(AF$1, NovR!$6:$6, 0), FALSE),
            0
        ) +
        IFERROR(
            VLOOKUP($A44, INDIRECT("DicR!$A$6:$ZZ$1048576"), MATCH(AF$1, DicR!$6:$6, 0), FALSE),
            0
        )
)</f>
        <v>0</v>
      </c>
      <c r="AG44" s="37">
        <f t="array" ref="AG44">SUM(
    IFERROR(
            VLOOKUP($A44, INDIRECT("EneR!$A$6:$ZZ$1048576"), MATCH(AG$1, EneR!$6:$6, 0), FALSE),
            0
        ) +
        IFERROR(
            VLOOKUP($A44, INDIRECT("FebR!$A$6:$ZZ$1048576"), MATCH(AG$1, FebR!$6:$6, 0), FALSE),
            0
        ) +
        IFERROR(
            VLOOKUP($A44, INDIRECT("MarR!$A$6:$ZZ$1048576"), MATCH(AG$1, MarR!$6:$6, 0), FALSE),
            0
        ) +
        IFERROR(
            VLOOKUP($A44, INDIRECT("AbrR!$A$6:$ZZ$1048576"), MATCH(AG$1, AbrR!$6:$6, 0), FALSE),
            0
        ) +
        IFERROR(
            VLOOKUP($A44, INDIRECT("MayR!$A$6:$ZZ$1048576"), MATCH(AG$1, MayR!$6:$6, 0), FALSE),
            0
        ) +
        IFERROR(
            VLOOKUP($A44, INDIRECT("JunR!$A$6:$ZZ$1048576"), MATCH(AG$1, JunR!$6:$6, 0), FALSE),
            0
        ) +
        IFERROR(
            VLOOKUP($A44, INDIRECT("JulR!$A$6:$ZZ$1048576"), MATCH(AG$1, JulR!$6:$6, 0), FALSE),
            0
        ) +
        IFERROR(
            VLOOKUP($A44, INDIRECT("AgoR!$A$6:$ZZ$1048576"), MATCH(AG$1, AgoR!$6:$6, 0), FALSE),
            0
        ) +
        IFERROR(
            VLOOKUP($A44, INDIRECT("SepR!$A$6:$ZZ$1048576"), MATCH(AG$1, SepR!$6:$6, 0), FALSE),
            0
        ) +
        IFERROR(
            VLOOKUP($A44, INDIRECT("OctR!$A$6:$ZZ$1048576"), MATCH(AG$1, OctR!$6:$6, 0), FALSE),
            0
        ) +
        IFERROR(
            VLOOKUP($A44, INDIRECT("NovR!$A$6:$ZZ$1048576"), MATCH(AG$1, NovR!$6:$6, 0), FALSE),
            0
        ) +
        IFERROR(
            VLOOKUP($A44, INDIRECT("DicR!$A$6:$ZZ$1048576"), MATCH(AG$1, DicR!$6:$6, 0), FALSE),
            0
        )
)</f>
        <v>0</v>
      </c>
      <c r="AH44" s="36">
        <f t="array" ref="AH44">SUM(
    IFERROR(
            VLOOKUP($A44, INDIRECT("EneR!$A$6:$ZZ$1048576"), MATCH(AH$1, EneR!$6:$6, 0), FALSE),
            0
        ) +
        IFERROR(
            VLOOKUP($A44, INDIRECT("FebR!$A$6:$ZZ$1048576"), MATCH(AH$1, FebR!$6:$6, 0), FALSE),
            0
        ) +
        IFERROR(
            VLOOKUP($A44, INDIRECT("MarR!$A$6:$ZZ$1048576"), MATCH(AH$1, MarR!$6:$6, 0), FALSE),
            0
        ) +
        IFERROR(
            VLOOKUP($A44, INDIRECT("AbrR!$A$6:$ZZ$1048576"), MATCH(AH$1, AbrR!$6:$6, 0), FALSE),
            0
        ) +
        IFERROR(
            VLOOKUP($A44, INDIRECT("MayR!$A$6:$ZZ$1048576"), MATCH(AH$1, MayR!$6:$6, 0), FALSE),
            0
        ) +
        IFERROR(
            VLOOKUP($A44, INDIRECT("JunR!$A$6:$ZZ$1048576"), MATCH(AH$1, JunR!$6:$6, 0), FALSE),
            0
        ) +
        IFERROR(
            VLOOKUP($A44, INDIRECT("JulR!$A$6:$ZZ$1048576"), MATCH(AH$1, JulR!$6:$6, 0), FALSE),
            0
        ) +
        IFERROR(
            VLOOKUP($A44, INDIRECT("AgoR!$A$6:$ZZ$1048576"), MATCH(AH$1, AgoR!$6:$6, 0), FALSE),
            0
        ) +
        IFERROR(
            VLOOKUP($A44, INDIRECT("SepR!$A$6:$ZZ$1048576"), MATCH(AH$1, SepR!$6:$6, 0), FALSE),
            0
        ) +
        IFERROR(
            VLOOKUP($A44, INDIRECT("OctR!$A$6:$ZZ$1048576"), MATCH(AH$1, OctR!$6:$6, 0), FALSE),
            0
        ) +
        IFERROR(
            VLOOKUP($A44, INDIRECT("NovR!$A$6:$ZZ$1048576"), MATCH(AH$1, NovR!$6:$6, 0), FALSE),
            0
        ) +
        IFERROR(
            VLOOKUP($A44, INDIRECT("DicR!$A$6:$ZZ$1048576"), MATCH(AH$1, DicR!$6:$6, 0), FALSE),
            0
        )
)</f>
        <v>0</v>
      </c>
      <c r="AI44" s="37">
        <f t="array" ref="AI44">SUM(
    IFERROR(
            VLOOKUP($A44, INDIRECT("EneR!$A$6:$ZZ$1048576"), MATCH(AI$1, EneR!$6:$6, 0), FALSE),
            0
        ) +
        IFERROR(
            VLOOKUP($A44, INDIRECT("FebR!$A$6:$ZZ$1048576"), MATCH(AI$1, FebR!$6:$6, 0), FALSE),
            0
        ) +
        IFERROR(
            VLOOKUP($A44, INDIRECT("MarR!$A$6:$ZZ$1048576"), MATCH(AI$1, MarR!$6:$6, 0), FALSE),
            0
        ) +
        IFERROR(
            VLOOKUP($A44, INDIRECT("AbrR!$A$6:$ZZ$1048576"), MATCH(AI$1, AbrR!$6:$6, 0), FALSE),
            0
        ) +
        IFERROR(
            VLOOKUP($A44, INDIRECT("MayR!$A$6:$ZZ$1048576"), MATCH(AI$1, MayR!$6:$6, 0), FALSE),
            0
        ) +
        IFERROR(
            VLOOKUP($A44, INDIRECT("JunR!$A$6:$ZZ$1048576"), MATCH(AI$1, JunR!$6:$6, 0), FALSE),
            0
        ) +
        IFERROR(
            VLOOKUP($A44, INDIRECT("JulR!$A$6:$ZZ$1048576"), MATCH(AI$1, JulR!$6:$6, 0), FALSE),
            0
        ) +
        IFERROR(
            VLOOKUP($A44, INDIRECT("AgoR!$A$6:$ZZ$1048576"), MATCH(AI$1, AgoR!$6:$6, 0), FALSE),
            0
        ) +
        IFERROR(
            VLOOKUP($A44, INDIRECT("SepR!$A$6:$ZZ$1048576"), MATCH(AI$1, SepR!$6:$6, 0), FALSE),
            0
        ) +
        IFERROR(
            VLOOKUP($A44, INDIRECT("OctR!$A$6:$ZZ$1048576"), MATCH(AI$1, OctR!$6:$6, 0), FALSE),
            0
        ) +
        IFERROR(
            VLOOKUP($A44, INDIRECT("NovR!$A$6:$ZZ$1048576"), MATCH(AI$1, NovR!$6:$6, 0), FALSE),
            0
        ) +
        IFERROR(
            VLOOKUP($A44, INDIRECT("DicR!$A$6:$ZZ$1048576"), MATCH(AI$1, DicR!$6:$6, 0), FALSE),
            0
        )
)</f>
        <v>0</v>
      </c>
      <c r="AJ44" s="36">
        <f t="array" ref="AJ44">SUM(
    IFERROR(
            VLOOKUP($A44, INDIRECT("EneR!$A$6:$ZZ$1048576"), MATCH(AJ$1, EneR!$6:$6, 0), FALSE),
            0
        ) +
        IFERROR(
            VLOOKUP($A44, INDIRECT("FebR!$A$6:$ZZ$1048576"), MATCH(AJ$1, FebR!$6:$6, 0), FALSE),
            0
        ) +
        IFERROR(
            VLOOKUP($A44, INDIRECT("MarR!$A$6:$ZZ$1048576"), MATCH(AJ$1, MarR!$6:$6, 0), FALSE),
            0
        ) +
        IFERROR(
            VLOOKUP($A44, INDIRECT("AbrR!$A$6:$ZZ$1048576"), MATCH(AJ$1, AbrR!$6:$6, 0), FALSE),
            0
        ) +
        IFERROR(
            VLOOKUP($A44, INDIRECT("MayR!$A$6:$ZZ$1048576"), MATCH(AJ$1, MayR!$6:$6, 0), FALSE),
            0
        ) +
        IFERROR(
            VLOOKUP($A44, INDIRECT("JunR!$A$6:$ZZ$1048576"), MATCH(AJ$1, JunR!$6:$6, 0), FALSE),
            0
        ) +
        IFERROR(
            VLOOKUP($A44, INDIRECT("JulR!$A$6:$ZZ$1048576"), MATCH(AJ$1, JulR!$6:$6, 0), FALSE),
            0
        ) +
        IFERROR(
            VLOOKUP($A44, INDIRECT("AgoR!$A$6:$ZZ$1048576"), MATCH(AJ$1, AgoR!$6:$6, 0), FALSE),
            0
        ) +
        IFERROR(
            VLOOKUP($A44, INDIRECT("SepR!$A$6:$ZZ$1048576"), MATCH(AJ$1, SepR!$6:$6, 0), FALSE),
            0
        ) +
        IFERROR(
            VLOOKUP($A44, INDIRECT("OctR!$A$6:$ZZ$1048576"), MATCH(AJ$1, OctR!$6:$6, 0), FALSE),
            0
        ) +
        IFERROR(
            VLOOKUP($A44, INDIRECT("NovR!$A$6:$ZZ$1048576"), MATCH(AJ$1, NovR!$6:$6, 0), FALSE),
            0
        ) +
        IFERROR(
            VLOOKUP($A44, INDIRECT("DicR!$A$6:$ZZ$1048576"), MATCH(AJ$1, DicR!$6:$6, 0), FALSE),
            0
        )
)</f>
        <v>0</v>
      </c>
      <c r="AK44" s="37">
        <f t="array" ref="AK44">SUM(
    IFERROR(
            VLOOKUP($A44, INDIRECT("EneR!$A$6:$ZZ$1048576"), MATCH(AK$1, EneR!$6:$6, 0), FALSE),
            0
        ) +
        IFERROR(
            VLOOKUP($A44, INDIRECT("FebR!$A$6:$ZZ$1048576"), MATCH(AK$1, FebR!$6:$6, 0), FALSE),
            0
        ) +
        IFERROR(
            VLOOKUP($A44, INDIRECT("MarR!$A$6:$ZZ$1048576"), MATCH(AK$1, MarR!$6:$6, 0), FALSE),
            0
        ) +
        IFERROR(
            VLOOKUP($A44, INDIRECT("AbrR!$A$6:$ZZ$1048576"), MATCH(AK$1, AbrR!$6:$6, 0), FALSE),
            0
        ) +
        IFERROR(
            VLOOKUP($A44, INDIRECT("MayR!$A$6:$ZZ$1048576"), MATCH(AK$1, MayR!$6:$6, 0), FALSE),
            0
        ) +
        IFERROR(
            VLOOKUP($A44, INDIRECT("JunR!$A$6:$ZZ$1048576"), MATCH(AK$1, JunR!$6:$6, 0), FALSE),
            0
        ) +
        IFERROR(
            VLOOKUP($A44, INDIRECT("JulR!$A$6:$ZZ$1048576"), MATCH(AK$1, JulR!$6:$6, 0), FALSE),
            0
        ) +
        IFERROR(
            VLOOKUP($A44, INDIRECT("AgoR!$A$6:$ZZ$1048576"), MATCH(AK$1, AgoR!$6:$6, 0), FALSE),
            0
        ) +
        IFERROR(
            VLOOKUP($A44, INDIRECT("SepR!$A$6:$ZZ$1048576"), MATCH(AK$1, SepR!$6:$6, 0), FALSE),
            0
        ) +
        IFERROR(
            VLOOKUP($A44, INDIRECT("OctR!$A$6:$ZZ$1048576"), MATCH(AK$1, OctR!$6:$6, 0), FALSE),
            0
        ) +
        IFERROR(
            VLOOKUP($A44, INDIRECT("NovR!$A$6:$ZZ$1048576"), MATCH(AK$1, NovR!$6:$6, 0), FALSE),
            0
        ) +
        IFERROR(
            VLOOKUP($A44, INDIRECT("DicR!$A$6:$ZZ$1048576"), MATCH(AK$1, DicR!$6:$6, 0), FALSE),
            0
        )
)</f>
        <v>0</v>
      </c>
      <c r="AL44" s="36">
        <f t="array" ref="AL44">SUM(
    IFERROR(
            VLOOKUP($A44, INDIRECT("EneR!$A$6:$ZZ$1048576"), MATCH(AL$1, EneR!$6:$6, 0), FALSE),
            0
        ) +
        IFERROR(
            VLOOKUP($A44, INDIRECT("FebR!$A$6:$ZZ$1048576"), MATCH(AL$1, FebR!$6:$6, 0), FALSE),
            0
        ) +
        IFERROR(
            VLOOKUP($A44, INDIRECT("MarR!$A$6:$ZZ$1048576"), MATCH(AL$1, MarR!$6:$6, 0), FALSE),
            0
        ) +
        IFERROR(
            VLOOKUP($A44, INDIRECT("AbrR!$A$6:$ZZ$1048576"), MATCH(AL$1, AbrR!$6:$6, 0), FALSE),
            0
        ) +
        IFERROR(
            VLOOKUP($A44, INDIRECT("MayR!$A$6:$ZZ$1048576"), MATCH(AL$1, MayR!$6:$6, 0), FALSE),
            0
        ) +
        IFERROR(
            VLOOKUP($A44, INDIRECT("JunR!$A$6:$ZZ$1048576"), MATCH(AL$1, JunR!$6:$6, 0), FALSE),
            0
        ) +
        IFERROR(
            VLOOKUP($A44, INDIRECT("JulR!$A$6:$ZZ$1048576"), MATCH(AL$1, JulR!$6:$6, 0), FALSE),
            0
        ) +
        IFERROR(
            VLOOKUP($A44, INDIRECT("AgoR!$A$6:$ZZ$1048576"), MATCH(AL$1, AgoR!$6:$6, 0), FALSE),
            0
        ) +
        IFERROR(
            VLOOKUP($A44, INDIRECT("SepR!$A$6:$ZZ$1048576"), MATCH(AL$1, SepR!$6:$6, 0), FALSE),
            0
        ) +
        IFERROR(
            VLOOKUP($A44, INDIRECT("OctR!$A$6:$ZZ$1048576"), MATCH(AL$1, OctR!$6:$6, 0), FALSE),
            0
        ) +
        IFERROR(
            VLOOKUP($A44, INDIRECT("NovR!$A$6:$ZZ$1048576"), MATCH(AL$1, NovR!$6:$6, 0), FALSE),
            0
        ) +
        IFERROR(
            VLOOKUP($A44, INDIRECT("DicR!$A$6:$ZZ$1048576"), MATCH(AL$1, DicR!$6:$6, 0), FALSE),
            0
        )
)</f>
        <v>0</v>
      </c>
      <c r="AM44" s="37">
        <f t="array" ref="AM44">SUM(
    IFERROR(
            VLOOKUP($A44, INDIRECT("EneR!$A$6:$ZZ$1048576"), MATCH(AM$1, EneR!$6:$6, 0), FALSE),
            0
        ) +
        IFERROR(
            VLOOKUP($A44, INDIRECT("FebR!$A$6:$ZZ$1048576"), MATCH(AM$1, FebR!$6:$6, 0), FALSE),
            0
        ) +
        IFERROR(
            VLOOKUP($A44, INDIRECT("MarR!$A$6:$ZZ$1048576"), MATCH(AM$1, MarR!$6:$6, 0), FALSE),
            0
        ) +
        IFERROR(
            VLOOKUP($A44, INDIRECT("AbrR!$A$6:$ZZ$1048576"), MATCH(AM$1, AbrR!$6:$6, 0), FALSE),
            0
        ) +
        IFERROR(
            VLOOKUP($A44, INDIRECT("MayR!$A$6:$ZZ$1048576"), MATCH(AM$1, MayR!$6:$6, 0), FALSE),
            0
        ) +
        IFERROR(
            VLOOKUP($A44, INDIRECT("JunR!$A$6:$ZZ$1048576"), MATCH(AM$1, JunR!$6:$6, 0), FALSE),
            0
        ) +
        IFERROR(
            VLOOKUP($A44, INDIRECT("JulR!$A$6:$ZZ$1048576"), MATCH(AM$1, JulR!$6:$6, 0), FALSE),
            0
        ) +
        IFERROR(
            VLOOKUP($A44, INDIRECT("AgoR!$A$6:$ZZ$1048576"), MATCH(AM$1, AgoR!$6:$6, 0), FALSE),
            0
        ) +
        IFERROR(
            VLOOKUP($A44, INDIRECT("SepR!$A$6:$ZZ$1048576"), MATCH(AM$1, SepR!$6:$6, 0), FALSE),
            0
        ) +
        IFERROR(
            VLOOKUP($A44, INDIRECT("OctR!$A$6:$ZZ$1048576"), MATCH(AM$1, OctR!$6:$6, 0), FALSE),
            0
        ) +
        IFERROR(
            VLOOKUP($A44, INDIRECT("NovR!$A$6:$ZZ$1048576"), MATCH(AM$1, NovR!$6:$6, 0), FALSE),
            0
        ) +
        IFERROR(
            VLOOKUP($A44, INDIRECT("DicR!$A$6:$ZZ$1048576"), MATCH(AM$1, DicR!$6:$6, 0), FALSE),
            0
        )
)</f>
        <v>0</v>
      </c>
      <c r="AN44" s="32">
        <f t="array" ref="AN44">SUM(
    IFERROR(
            VLOOKUP($A44, INDIRECT("EneR!$A$6:$ZZ$1048576"), MATCH(AN$1, EneR!$6:$6, 0), FALSE),
            0
        ) +
        IFERROR(
            VLOOKUP($A44, INDIRECT("FebR!$A$6:$ZZ$1048576"), MATCH(AN$1, FebR!$6:$6, 0), FALSE),
            0
        ) +
        IFERROR(
            VLOOKUP($A44, INDIRECT("MarR!$A$6:$ZZ$1048576"), MATCH(AN$1, MarR!$6:$6, 0), FALSE),
            0
        ) +
        IFERROR(
            VLOOKUP($A44, INDIRECT("AbrR!$A$6:$ZZ$1048576"), MATCH(AN$1, AbrR!$6:$6, 0), FALSE),
            0
        ) +
        IFERROR(
            VLOOKUP($A44, INDIRECT("MayR!$A$6:$ZZ$1048576"), MATCH(AN$1, MayR!$6:$6, 0), FALSE),
            0
        ) +
        IFERROR(
            VLOOKUP($A44, INDIRECT("JunR!$A$6:$ZZ$1048576"), MATCH(AN$1, JunR!$6:$6, 0), FALSE),
            0
        ) +
        IFERROR(
            VLOOKUP($A44, INDIRECT("JulR!$A$6:$ZZ$1048576"), MATCH(AN$1, JulR!$6:$6, 0), FALSE),
            0
        ) +
        IFERROR(
            VLOOKUP($A44, INDIRECT("AgoR!$A$6:$ZZ$1048576"), MATCH(AN$1, AgoR!$6:$6, 0), FALSE),
            0
        ) +
        IFERROR(
            VLOOKUP($A44, INDIRECT("SepR!$A$6:$ZZ$1048576"), MATCH(AN$1, SepR!$6:$6, 0), FALSE),
            0
        ) +
        IFERROR(
            VLOOKUP($A44, INDIRECT("OctR!$A$6:$ZZ$1048576"), MATCH(AN$1, OctR!$6:$6, 0), FALSE),
            0
        ) +
        IFERROR(
            VLOOKUP($A44, INDIRECT("NovR!$A$6:$ZZ$1048576"), MATCH(AN$1, NovR!$6:$6, 0), FALSE),
            0
        ) +
        IFERROR(
            VLOOKUP($A44, INDIRECT("DicR!$A$6:$ZZ$1048576"), MATCH(AN$1, DicR!$6:$6, 0), FALSE),
            0
        )
)</f>
        <v>0</v>
      </c>
      <c r="AO44" s="35">
        <f t="array" ref="AO44">SUM(
    IFERROR(
            VLOOKUP($A44, INDIRECT("EneR!$A$6:$ZZ$1048576"), MATCH(AO$1, EneR!$6:$6, 0), FALSE),
            0
        ) +
        IFERROR(
            VLOOKUP($A44, INDIRECT("FebR!$A$6:$ZZ$1048576"), MATCH(AO$1, FebR!$6:$6, 0), FALSE),
            0
        ) +
        IFERROR(
            VLOOKUP($A44, INDIRECT("MarR!$A$6:$ZZ$1048576"), MATCH(AO$1, MarR!$6:$6, 0), FALSE),
            0
        ) +
        IFERROR(
            VLOOKUP($A44, INDIRECT("AbrR!$A$6:$ZZ$1048576"), MATCH(AO$1, AbrR!$6:$6, 0), FALSE),
            0
        ) +
        IFERROR(
            VLOOKUP($A44, INDIRECT("MayR!$A$6:$ZZ$1048576"), MATCH(AO$1, MayR!$6:$6, 0), FALSE),
            0
        ) +
        IFERROR(
            VLOOKUP($A44, INDIRECT("JunR!$A$6:$ZZ$1048576"), MATCH(AO$1, JunR!$6:$6, 0), FALSE),
            0
        ) +
        IFERROR(
            VLOOKUP($A44, INDIRECT("JulR!$A$6:$ZZ$1048576"), MATCH(AO$1, JulR!$6:$6, 0), FALSE),
            0
        ) +
        IFERROR(
            VLOOKUP($A44, INDIRECT("AgoR!$A$6:$ZZ$1048576"), MATCH(AO$1, AgoR!$6:$6, 0), FALSE),
            0
        ) +
        IFERROR(
            VLOOKUP($A44, INDIRECT("SepR!$A$6:$ZZ$1048576"), MATCH(AO$1, SepR!$6:$6, 0), FALSE),
            0
        ) +
        IFERROR(
            VLOOKUP($A44, INDIRECT("OctR!$A$6:$ZZ$1048576"), MATCH(AO$1, OctR!$6:$6, 0), FALSE),
            0
        ) +
        IFERROR(
            VLOOKUP($A44, INDIRECT("NovR!$A$6:$ZZ$1048576"), MATCH(AO$1, NovR!$6:$6, 0), FALSE),
            0
        ) +
        IFERROR(
            VLOOKUP($A44, INDIRECT("DicR!$A$6:$ZZ$1048576"), MATCH(AO$1, DicR!$6:$6, 0), FALSE),
            0
        )
)</f>
        <v>0</v>
      </c>
      <c r="AP44" s="36">
        <f t="array" ref="AP44">SUM(
    IFERROR(
            VLOOKUP($A44, INDIRECT("EneR!$A$6:$ZZ$1048576"), MATCH(AP$1, EneR!$6:$6, 0), FALSE),
            0
        ) +
        IFERROR(
            VLOOKUP($A44, INDIRECT("FebR!$A$6:$ZZ$1048576"), MATCH(AP$1, FebR!$6:$6, 0), FALSE),
            0
        ) +
        IFERROR(
            VLOOKUP($A44, INDIRECT("MarR!$A$6:$ZZ$1048576"), MATCH(AP$1, MarR!$6:$6, 0), FALSE),
            0
        ) +
        IFERROR(
            VLOOKUP($A44, INDIRECT("AbrR!$A$6:$ZZ$1048576"), MATCH(AP$1, AbrR!$6:$6, 0), FALSE),
            0
        ) +
        IFERROR(
            VLOOKUP($A44, INDIRECT("MayR!$A$6:$ZZ$1048576"), MATCH(AP$1, MayR!$6:$6, 0), FALSE),
            0
        ) +
        IFERROR(
            VLOOKUP($A44, INDIRECT("JunR!$A$6:$ZZ$1048576"), MATCH(AP$1, JunR!$6:$6, 0), FALSE),
            0
        ) +
        IFERROR(
            VLOOKUP($A44, INDIRECT("JulR!$A$6:$ZZ$1048576"), MATCH(AP$1, JulR!$6:$6, 0), FALSE),
            0
        ) +
        IFERROR(
            VLOOKUP($A44, INDIRECT("AgoR!$A$6:$ZZ$1048576"), MATCH(AP$1, AgoR!$6:$6, 0), FALSE),
            0
        ) +
        IFERROR(
            VLOOKUP($A44, INDIRECT("SepR!$A$6:$ZZ$1048576"), MATCH(AP$1, SepR!$6:$6, 0), FALSE),
            0
        ) +
        IFERROR(
            VLOOKUP($A44, INDIRECT("OctR!$A$6:$ZZ$1048576"), MATCH(AP$1, OctR!$6:$6, 0), FALSE),
            0
        ) +
        IFERROR(
            VLOOKUP($A44, INDIRECT("NovR!$A$6:$ZZ$1048576"), MATCH(AP$1, NovR!$6:$6, 0), FALSE),
            0
        ) +
        IFERROR(
            VLOOKUP($A44, INDIRECT("DicR!$A$6:$ZZ$1048576"), MATCH(AP$1, DicR!$6:$6, 0), FALSE),
            0
        )
)</f>
        <v>0</v>
      </c>
      <c r="AQ44" s="35">
        <f t="array" ref="AQ44">SUM(
    IFERROR(
            VLOOKUP($A44, INDIRECT("EneR!$A$6:$ZZ$1048576"), MATCH(AQ$1, EneR!$6:$6, 0), FALSE),
            0
        ) +
        IFERROR(
            VLOOKUP($A44, INDIRECT("FebR!$A$6:$ZZ$1048576"), MATCH(AQ$1, FebR!$6:$6, 0), FALSE),
            0
        ) +
        IFERROR(
            VLOOKUP($A44, INDIRECT("MarR!$A$6:$ZZ$1048576"), MATCH(AQ$1, MarR!$6:$6, 0), FALSE),
            0
        ) +
        IFERROR(
            VLOOKUP($A44, INDIRECT("AbrR!$A$6:$ZZ$1048576"), MATCH(AQ$1, AbrR!$6:$6, 0), FALSE),
            0
        ) +
        IFERROR(
            VLOOKUP($A44, INDIRECT("MayR!$A$6:$ZZ$1048576"), MATCH(AQ$1, MayR!$6:$6, 0), FALSE),
            0
        ) +
        IFERROR(
            VLOOKUP($A44, INDIRECT("JunR!$A$6:$ZZ$1048576"), MATCH(AQ$1, JunR!$6:$6, 0), FALSE),
            0
        ) +
        IFERROR(
            VLOOKUP($A44, INDIRECT("JulR!$A$6:$ZZ$1048576"), MATCH(AQ$1, JulR!$6:$6, 0), FALSE),
            0
        ) +
        IFERROR(
            VLOOKUP($A44, INDIRECT("AgoR!$A$6:$ZZ$1048576"), MATCH(AQ$1, AgoR!$6:$6, 0), FALSE),
            0
        ) +
        IFERROR(
            VLOOKUP($A44, INDIRECT("SepR!$A$6:$ZZ$1048576"), MATCH(AQ$1, SepR!$6:$6, 0), FALSE),
            0
        ) +
        IFERROR(
            VLOOKUP($A44, INDIRECT("OctR!$A$6:$ZZ$1048576"), MATCH(AQ$1, OctR!$6:$6, 0), FALSE),
            0
        ) +
        IFERROR(
            VLOOKUP($A44, INDIRECT("NovR!$A$6:$ZZ$1048576"), MATCH(AQ$1, NovR!$6:$6, 0), FALSE),
            0
        ) +
        IFERROR(
            VLOOKUP($A44, INDIRECT("DicR!$A$6:$ZZ$1048576"), MATCH(AQ$1, DicR!$6:$6, 0), FALSE),
            0
        )
)</f>
        <v>0</v>
      </c>
      <c r="AR44" s="36">
        <f t="array" ref="AR44">SUM(
    IFERROR(
            VLOOKUP($A44, INDIRECT("EneR!$A$6:$ZZ$1048576"), MATCH(AR$1, EneR!$6:$6, 0), FALSE),
            0
        ) +
        IFERROR(
            VLOOKUP($A44, INDIRECT("FebR!$A$6:$ZZ$1048576"), MATCH(AR$1, FebR!$6:$6, 0), FALSE),
            0
        ) +
        IFERROR(
            VLOOKUP($A44, INDIRECT("MarR!$A$6:$ZZ$1048576"), MATCH(AR$1, MarR!$6:$6, 0), FALSE),
            0
        ) +
        IFERROR(
            VLOOKUP($A44, INDIRECT("AbrR!$A$6:$ZZ$1048576"), MATCH(AR$1, AbrR!$6:$6, 0), FALSE),
            0
        ) +
        IFERROR(
            VLOOKUP($A44, INDIRECT("MayR!$A$6:$ZZ$1048576"), MATCH(AR$1, MayR!$6:$6, 0), FALSE),
            0
        ) +
        IFERROR(
            VLOOKUP($A44, INDIRECT("JunR!$A$6:$ZZ$1048576"), MATCH(AR$1, JunR!$6:$6, 0), FALSE),
            0
        ) +
        IFERROR(
            VLOOKUP($A44, INDIRECT("JulR!$A$6:$ZZ$1048576"), MATCH(AR$1, JulR!$6:$6, 0), FALSE),
            0
        ) +
        IFERROR(
            VLOOKUP($A44, INDIRECT("AgoR!$A$6:$ZZ$1048576"), MATCH(AR$1, AgoR!$6:$6, 0), FALSE),
            0
        ) +
        IFERROR(
            VLOOKUP($A44, INDIRECT("SepR!$A$6:$ZZ$1048576"), MATCH(AR$1, SepR!$6:$6, 0), FALSE),
            0
        ) +
        IFERROR(
            VLOOKUP($A44, INDIRECT("OctR!$A$6:$ZZ$1048576"), MATCH(AR$1, OctR!$6:$6, 0), FALSE),
            0
        ) +
        IFERROR(
            VLOOKUP($A44, INDIRECT("NovR!$A$6:$ZZ$1048576"), MATCH(AR$1, NovR!$6:$6, 0), FALSE),
            0
        ) +
        IFERROR(
            VLOOKUP($A44, INDIRECT("DicR!$A$6:$ZZ$1048576"), MATCH(AR$1, DicR!$6:$6, 0), FALSE),
            0
        )
)</f>
        <v>0</v>
      </c>
      <c r="AS44" s="35">
        <f t="array" ref="AS44">SUM(
    IFERROR(
            VLOOKUP($A44, INDIRECT("EneR!$A$6:$ZZ$1048576"), MATCH(AS$1, EneR!$6:$6, 0), FALSE),
            0
        ) +
        IFERROR(
            VLOOKUP($A44, INDIRECT("FebR!$A$6:$ZZ$1048576"), MATCH(AS$1, FebR!$6:$6, 0), FALSE),
            0
        ) +
        IFERROR(
            VLOOKUP($A44, INDIRECT("MarR!$A$6:$ZZ$1048576"), MATCH(AS$1, MarR!$6:$6, 0), FALSE),
            0
        ) +
        IFERROR(
            VLOOKUP($A44, INDIRECT("AbrR!$A$6:$ZZ$1048576"), MATCH(AS$1, AbrR!$6:$6, 0), FALSE),
            0
        ) +
        IFERROR(
            VLOOKUP($A44, INDIRECT("MayR!$A$6:$ZZ$1048576"), MATCH(AS$1, MayR!$6:$6, 0), FALSE),
            0
        ) +
        IFERROR(
            VLOOKUP($A44, INDIRECT("JunR!$A$6:$ZZ$1048576"), MATCH(AS$1, JunR!$6:$6, 0), FALSE),
            0
        ) +
        IFERROR(
            VLOOKUP($A44, INDIRECT("JulR!$A$6:$ZZ$1048576"), MATCH(AS$1, JulR!$6:$6, 0), FALSE),
            0
        ) +
        IFERROR(
            VLOOKUP($A44, INDIRECT("AgoR!$A$6:$ZZ$1048576"), MATCH(AS$1, AgoR!$6:$6, 0), FALSE),
            0
        ) +
        IFERROR(
            VLOOKUP($A44, INDIRECT("SepR!$A$6:$ZZ$1048576"), MATCH(AS$1, SepR!$6:$6, 0), FALSE),
            0
        ) +
        IFERROR(
            VLOOKUP($A44, INDIRECT("OctR!$A$6:$ZZ$1048576"), MATCH(AS$1, OctR!$6:$6, 0), FALSE),
            0
        ) +
        IFERROR(
            VLOOKUP($A44, INDIRECT("NovR!$A$6:$ZZ$1048576"), MATCH(AS$1, NovR!$6:$6, 0), FALSE),
            0
        ) +
        IFERROR(
            VLOOKUP($A44, INDIRECT("DicR!$A$6:$ZZ$1048576"), MATCH(AS$1, DicR!$6:$6, 0), FALSE),
            0
        )
)</f>
        <v>0</v>
      </c>
      <c r="AT44" s="36">
        <f t="array" ref="AT44">SUM(
    IFERROR(
            VLOOKUP($A44, INDIRECT("EneR!$A$6:$ZZ$1048576"), MATCH(AT$1, EneR!$6:$6, 0), FALSE),
            0
        ) +
        IFERROR(
            VLOOKUP($A44, INDIRECT("FebR!$A$6:$ZZ$1048576"), MATCH(AT$1, FebR!$6:$6, 0), FALSE),
            0
        ) +
        IFERROR(
            VLOOKUP($A44, INDIRECT("MarR!$A$6:$ZZ$1048576"), MATCH(AT$1, MarR!$6:$6, 0), FALSE),
            0
        ) +
        IFERROR(
            VLOOKUP($A44, INDIRECT("AbrR!$A$6:$ZZ$1048576"), MATCH(AT$1, AbrR!$6:$6, 0), FALSE),
            0
        ) +
        IFERROR(
            VLOOKUP($A44, INDIRECT("MayR!$A$6:$ZZ$1048576"), MATCH(AT$1, MayR!$6:$6, 0), FALSE),
            0
        ) +
        IFERROR(
            VLOOKUP($A44, INDIRECT("JunR!$A$6:$ZZ$1048576"), MATCH(AT$1, JunR!$6:$6, 0), FALSE),
            0
        ) +
        IFERROR(
            VLOOKUP($A44, INDIRECT("JulR!$A$6:$ZZ$1048576"), MATCH(AT$1, JulR!$6:$6, 0), FALSE),
            0
        ) +
        IFERROR(
            VLOOKUP($A44, INDIRECT("AgoR!$A$6:$ZZ$1048576"), MATCH(AT$1, AgoR!$6:$6, 0), FALSE),
            0
        ) +
        IFERROR(
            VLOOKUP($A44, INDIRECT("SepR!$A$6:$ZZ$1048576"), MATCH(AT$1, SepR!$6:$6, 0), FALSE),
            0
        ) +
        IFERROR(
            VLOOKUP($A44, INDIRECT("OctR!$A$6:$ZZ$1048576"), MATCH(AT$1, OctR!$6:$6, 0), FALSE),
            0
        ) +
        IFERROR(
            VLOOKUP($A44, INDIRECT("NovR!$A$6:$ZZ$1048576"), MATCH(AT$1, NovR!$6:$6, 0), FALSE),
            0
        ) +
        IFERROR(
            VLOOKUP($A44, INDIRECT("DicR!$A$6:$ZZ$1048576"), MATCH(AT$1, DicR!$6:$6, 0), FALSE),
            0
        )
)</f>
        <v>0</v>
      </c>
      <c r="AU44" s="35">
        <f t="array" ref="AU44">SUM(
    IFERROR(
            VLOOKUP($A44, INDIRECT("EneR!$A$6:$ZZ$1048576"), MATCH(AU$1, EneR!$6:$6, 0), FALSE),
            0
        ) +
        IFERROR(
            VLOOKUP($A44, INDIRECT("FebR!$A$6:$ZZ$1048576"), MATCH(AU$1, FebR!$6:$6, 0), FALSE),
            0
        ) +
        IFERROR(
            VLOOKUP($A44, INDIRECT("MarR!$A$6:$ZZ$1048576"), MATCH(AU$1, MarR!$6:$6, 0), FALSE),
            0
        ) +
        IFERROR(
            VLOOKUP($A44, INDIRECT("AbrR!$A$6:$ZZ$1048576"), MATCH(AU$1, AbrR!$6:$6, 0), FALSE),
            0
        ) +
        IFERROR(
            VLOOKUP($A44, INDIRECT("MayR!$A$6:$ZZ$1048576"), MATCH(AU$1, MayR!$6:$6, 0), FALSE),
            0
        ) +
        IFERROR(
            VLOOKUP($A44, INDIRECT("JunR!$A$6:$ZZ$1048576"), MATCH(AU$1, JunR!$6:$6, 0), FALSE),
            0
        ) +
        IFERROR(
            VLOOKUP($A44, INDIRECT("JulR!$A$6:$ZZ$1048576"), MATCH(AU$1, JulR!$6:$6, 0), FALSE),
            0
        ) +
        IFERROR(
            VLOOKUP($A44, INDIRECT("AgoR!$A$6:$ZZ$1048576"), MATCH(AU$1, AgoR!$6:$6, 0), FALSE),
            0
        ) +
        IFERROR(
            VLOOKUP($A44, INDIRECT("SepR!$A$6:$ZZ$1048576"), MATCH(AU$1, SepR!$6:$6, 0), FALSE),
            0
        ) +
        IFERROR(
            VLOOKUP($A44, INDIRECT("OctR!$A$6:$ZZ$1048576"), MATCH(AU$1, OctR!$6:$6, 0), FALSE),
            0
        ) +
        IFERROR(
            VLOOKUP($A44, INDIRECT("NovR!$A$6:$ZZ$1048576"), MATCH(AU$1, NovR!$6:$6, 0), FALSE),
            0
        ) +
        IFERROR(
            VLOOKUP($A44, INDIRECT("DicR!$A$6:$ZZ$1048576"), MATCH(AU$1, DicR!$6:$6, 0), FALSE),
            0
        )
)</f>
        <v>0</v>
      </c>
      <c r="AV44" s="36">
        <f t="array" ref="AV44">SUM(
    IFERROR(
            VLOOKUP($A44, INDIRECT("EneR!$A$6:$ZZ$1048576"), MATCH(AV$1, EneR!$6:$6, 0), FALSE),
            0
        ) +
        IFERROR(
            VLOOKUP($A44, INDIRECT("FebR!$A$6:$ZZ$1048576"), MATCH(AV$1, FebR!$6:$6, 0), FALSE),
            0
        ) +
        IFERROR(
            VLOOKUP($A44, INDIRECT("MarR!$A$6:$ZZ$1048576"), MATCH(AV$1, MarR!$6:$6, 0), FALSE),
            0
        ) +
        IFERROR(
            VLOOKUP($A44, INDIRECT("AbrR!$A$6:$ZZ$1048576"), MATCH(AV$1, AbrR!$6:$6, 0), FALSE),
            0
        ) +
        IFERROR(
            VLOOKUP($A44, INDIRECT("MayR!$A$6:$ZZ$1048576"), MATCH(AV$1, MayR!$6:$6, 0), FALSE),
            0
        ) +
        IFERROR(
            VLOOKUP($A44, INDIRECT("JunR!$A$6:$ZZ$1048576"), MATCH(AV$1, JunR!$6:$6, 0), FALSE),
            0
        ) +
        IFERROR(
            VLOOKUP($A44, INDIRECT("JulR!$A$6:$ZZ$1048576"), MATCH(AV$1, JulR!$6:$6, 0), FALSE),
            0
        ) +
        IFERROR(
            VLOOKUP($A44, INDIRECT("AgoR!$A$6:$ZZ$1048576"), MATCH(AV$1, AgoR!$6:$6, 0), FALSE),
            0
        ) +
        IFERROR(
            VLOOKUP($A44, INDIRECT("SepR!$A$6:$ZZ$1048576"), MATCH(AV$1, SepR!$6:$6, 0), FALSE),
            0
        ) +
        IFERROR(
            VLOOKUP($A44, INDIRECT("OctR!$A$6:$ZZ$1048576"), MATCH(AV$1, OctR!$6:$6, 0), FALSE),
            0
        ) +
        IFERROR(
            VLOOKUP($A44, INDIRECT("NovR!$A$6:$ZZ$1048576"), MATCH(AV$1, NovR!$6:$6, 0), FALSE),
            0
        ) +
        IFERROR(
            VLOOKUP($A44, INDIRECT("DicR!$A$6:$ZZ$1048576"), MATCH(AV$1, DicR!$6:$6, 0), FALSE),
            0
        )
)</f>
        <v>0</v>
      </c>
      <c r="AW44" s="35">
        <f t="array" ref="AW44">SUM(
    IFERROR(
            VLOOKUP($A44, INDIRECT("EneR!$A$6:$ZZ$1048576"), MATCH(AW$1, EneR!$6:$6, 0), FALSE),
            0
        ) +
        IFERROR(
            VLOOKUP($A44, INDIRECT("FebR!$A$6:$ZZ$1048576"), MATCH(AW$1, FebR!$6:$6, 0), FALSE),
            0
        ) +
        IFERROR(
            VLOOKUP($A44, INDIRECT("MarR!$A$6:$ZZ$1048576"), MATCH(AW$1, MarR!$6:$6, 0), FALSE),
            0
        ) +
        IFERROR(
            VLOOKUP($A44, INDIRECT("AbrR!$A$6:$ZZ$1048576"), MATCH(AW$1, AbrR!$6:$6, 0), FALSE),
            0
        ) +
        IFERROR(
            VLOOKUP($A44, INDIRECT("MayR!$A$6:$ZZ$1048576"), MATCH(AW$1, MayR!$6:$6, 0), FALSE),
            0
        ) +
        IFERROR(
            VLOOKUP($A44, INDIRECT("JunR!$A$6:$ZZ$1048576"), MATCH(AW$1, JunR!$6:$6, 0), FALSE),
            0
        ) +
        IFERROR(
            VLOOKUP($A44, INDIRECT("JulR!$A$6:$ZZ$1048576"), MATCH(AW$1, JulR!$6:$6, 0), FALSE),
            0
        ) +
        IFERROR(
            VLOOKUP($A44, INDIRECT("AgoR!$A$6:$ZZ$1048576"), MATCH(AW$1, AgoR!$6:$6, 0), FALSE),
            0
        ) +
        IFERROR(
            VLOOKUP($A44, INDIRECT("SepR!$A$6:$ZZ$1048576"), MATCH(AW$1, SepR!$6:$6, 0), FALSE),
            0
        ) +
        IFERROR(
            VLOOKUP($A44, INDIRECT("OctR!$A$6:$ZZ$1048576"), MATCH(AW$1, OctR!$6:$6, 0), FALSE),
            0
        ) +
        IFERROR(
            VLOOKUP($A44, INDIRECT("NovR!$A$6:$ZZ$1048576"), MATCH(AW$1, NovR!$6:$6, 0), FALSE),
            0
        ) +
        IFERROR(
            VLOOKUP($A44, INDIRECT("DicR!$A$6:$ZZ$1048576"), MATCH(AW$1, DicR!$6:$6, 0), FALSE),
            0
        )
)</f>
        <v>0</v>
      </c>
      <c r="AX44" s="36">
        <f t="array" ref="AX44">SUM(
    IFERROR(
            VLOOKUP($A44, INDIRECT("EneR!$A$6:$ZZ$1048576"), MATCH(AX$1, EneR!$6:$6, 0), FALSE),
            0
        ) +
        IFERROR(
            VLOOKUP($A44, INDIRECT("FebR!$A$6:$ZZ$1048576"), MATCH(AX$1, FebR!$6:$6, 0), FALSE),
            0
        ) +
        IFERROR(
            VLOOKUP($A44, INDIRECT("MarR!$A$6:$ZZ$1048576"), MATCH(AX$1, MarR!$6:$6, 0), FALSE),
            0
        ) +
        IFERROR(
            VLOOKUP($A44, INDIRECT("AbrR!$A$6:$ZZ$1048576"), MATCH(AX$1, AbrR!$6:$6, 0), FALSE),
            0
        ) +
        IFERROR(
            VLOOKUP($A44, INDIRECT("MayR!$A$6:$ZZ$1048576"), MATCH(AX$1, MayR!$6:$6, 0), FALSE),
            0
        ) +
        IFERROR(
            VLOOKUP($A44, INDIRECT("JunR!$A$6:$ZZ$1048576"), MATCH(AX$1, JunR!$6:$6, 0), FALSE),
            0
        ) +
        IFERROR(
            VLOOKUP($A44, INDIRECT("JulR!$A$6:$ZZ$1048576"), MATCH(AX$1, JulR!$6:$6, 0), FALSE),
            0
        ) +
        IFERROR(
            VLOOKUP($A44, INDIRECT("AgoR!$A$6:$ZZ$1048576"), MATCH(AX$1, AgoR!$6:$6, 0), FALSE),
            0
        ) +
        IFERROR(
            VLOOKUP($A44, INDIRECT("SepR!$A$6:$ZZ$1048576"), MATCH(AX$1, SepR!$6:$6, 0), FALSE),
            0
        ) +
        IFERROR(
            VLOOKUP($A44, INDIRECT("OctR!$A$6:$ZZ$1048576"), MATCH(AX$1, OctR!$6:$6, 0), FALSE),
            0
        ) +
        IFERROR(
            VLOOKUP($A44, INDIRECT("NovR!$A$6:$ZZ$1048576"), MATCH(AX$1, NovR!$6:$6, 0), FALSE),
            0
        ) +
        IFERROR(
            VLOOKUP($A44, INDIRECT("DicR!$A$6:$ZZ$1048576"), MATCH(AX$1, DicR!$6:$6, 0), FALSE),
            0
        )
)</f>
        <v>0</v>
      </c>
      <c r="AY44" s="35">
        <f t="array" ref="AY44">SUM(
    IFERROR(
            VLOOKUP($A44, INDIRECT("EneR!$A$6:$ZZ$1048576"), MATCH(AY$1, EneR!$6:$6, 0), FALSE),
            0
        ) +
        IFERROR(
            VLOOKUP($A44, INDIRECT("FebR!$A$6:$ZZ$1048576"), MATCH(AY$1, FebR!$6:$6, 0), FALSE),
            0
        ) +
        IFERROR(
            VLOOKUP($A44, INDIRECT("MarR!$A$6:$ZZ$1048576"), MATCH(AY$1, MarR!$6:$6, 0), FALSE),
            0
        ) +
        IFERROR(
            VLOOKUP($A44, INDIRECT("AbrR!$A$6:$ZZ$1048576"), MATCH(AY$1, AbrR!$6:$6, 0), FALSE),
            0
        ) +
        IFERROR(
            VLOOKUP($A44, INDIRECT("MayR!$A$6:$ZZ$1048576"), MATCH(AY$1, MayR!$6:$6, 0), FALSE),
            0
        ) +
        IFERROR(
            VLOOKUP($A44, INDIRECT("JunR!$A$6:$ZZ$1048576"), MATCH(AY$1, JunR!$6:$6, 0), FALSE),
            0
        ) +
        IFERROR(
            VLOOKUP($A44, INDIRECT("JulR!$A$6:$ZZ$1048576"), MATCH(AY$1, JulR!$6:$6, 0), FALSE),
            0
        ) +
        IFERROR(
            VLOOKUP($A44, INDIRECT("AgoR!$A$6:$ZZ$1048576"), MATCH(AY$1, AgoR!$6:$6, 0), FALSE),
            0
        ) +
        IFERROR(
            VLOOKUP($A44, INDIRECT("SepR!$A$6:$ZZ$1048576"), MATCH(AY$1, SepR!$6:$6, 0), FALSE),
            0
        ) +
        IFERROR(
            VLOOKUP($A44, INDIRECT("OctR!$A$6:$ZZ$1048576"), MATCH(AY$1, OctR!$6:$6, 0), FALSE),
            0
        ) +
        IFERROR(
            VLOOKUP($A44, INDIRECT("NovR!$A$6:$ZZ$1048576"), MATCH(AY$1, NovR!$6:$6, 0), FALSE),
            0
        ) +
        IFERROR(
            VLOOKUP($A44, INDIRECT("DicR!$A$6:$ZZ$1048576"), MATCH(AY$1, DicR!$6:$6, 0), FALSE),
            0
        )
)</f>
        <v>0</v>
      </c>
      <c r="AZ44" s="35"/>
    </row>
    <row r="45" ht="15.75" customHeight="1">
      <c r="A45" s="39" t="str">
        <f>Menus!B6</f>
        <v/>
      </c>
      <c r="B45" s="32">
        <f t="shared" si="9"/>
        <v>0</v>
      </c>
      <c r="C45" s="33" t="str">
        <f t="shared" si="10"/>
        <v/>
      </c>
      <c r="D45" s="34">
        <f t="array" ref="D45">SUM(
    IFERROR(
            VLOOKUP($A45, INDIRECT("EneR!$A$6:$ZZ$1048576"), MATCH(D$1, EneR!$6:$6, 0), FALSE),
            0
        ) +
        IFERROR(
            VLOOKUP($A45, INDIRECT("FebR!$A$6:$ZZ$1048576"), MATCH(D$1, FebR!$6:$6, 0), FALSE),
            0
        ) +
        IFERROR(
            VLOOKUP($A45, INDIRECT("MarR!$A$6:$ZZ$1048576"), MATCH(D$1, MarR!$6:$6, 0), FALSE),
            0
        ) +
        IFERROR(
            VLOOKUP($A45, INDIRECT("AbrR!$A$6:$ZZ$1048576"), MATCH(D$1, AbrR!$6:$6, 0), FALSE),
            0
        ) +
        IFERROR(
            VLOOKUP($A45, INDIRECT("MayR!$A$6:$ZZ$1048576"), MATCH(D$1, MayR!$6:$6, 0), FALSE),
            0
        ) +
        IFERROR(
            VLOOKUP($A45, INDIRECT("JunR!$A$6:$ZZ$1048576"), MATCH(D$1, JunR!$6:$6, 0), FALSE),
            0
        ) +
        IFERROR(
            VLOOKUP($A45, INDIRECT("JulR!$A$6:$ZZ$1048576"), MATCH(D$1, JulR!$6:$6, 0), FALSE),
            0
        ) +
        IFERROR(
            VLOOKUP($A45, INDIRECT("AgoR!$A$6:$ZZ$1048576"), MATCH(D$1, AgoR!$6:$6, 0), FALSE),
            0
        ) +
        IFERROR(
            VLOOKUP($A45, INDIRECT("SepR!$A$6:$ZZ$1048576"), MATCH(D$1, SepR!$6:$6, 0), FALSE),
            0
        ) +
        IFERROR(
            VLOOKUP($A45, INDIRECT("OctR!$A$6:$ZZ$1048576"), MATCH(D$1, OctR!$6:$6, 0), FALSE),
            0
        ) +
        IFERROR(
            VLOOKUP($A45, INDIRECT("NovR!$A$6:$ZZ$1048576"), MATCH(D$1, NovR!$6:$6, 0), FALSE),
            0
        ) +
        IFERROR(
            VLOOKUP($A45, INDIRECT("DicR!$A$6:$ZZ$1048576"), MATCH(D$1, DicR!$6:$6, 0), FALSE),
            0
        )
)</f>
        <v>0</v>
      </c>
      <c r="E45" s="35">
        <f t="array" ref="E45">SUM(
    IFERROR(
            VLOOKUP($A45, INDIRECT("EneR!$A$6:$ZZ$1048576"), MATCH(E$1, EneR!$6:$6, 0), FALSE),
            0
        ) +
        IFERROR(
            VLOOKUP($A45, INDIRECT("FebR!$A$6:$ZZ$1048576"), MATCH(E$1, FebR!$6:$6, 0), FALSE),
            0
        ) +
        IFERROR(
            VLOOKUP($A45, INDIRECT("MarR!$A$6:$ZZ$1048576"), MATCH(E$1, MarR!$6:$6, 0), FALSE),
            0
        ) +
        IFERROR(
            VLOOKUP($A45, INDIRECT("AbrR!$A$6:$ZZ$1048576"), MATCH(E$1, AbrR!$6:$6, 0), FALSE),
            0
        ) +
        IFERROR(
            VLOOKUP($A45, INDIRECT("MayR!$A$6:$ZZ$1048576"), MATCH(E$1, MayR!$6:$6, 0), FALSE),
            0
        ) +
        IFERROR(
            VLOOKUP($A45, INDIRECT("JunR!$A$6:$ZZ$1048576"), MATCH(E$1, JunR!$6:$6, 0), FALSE),
            0
        ) +
        IFERROR(
            VLOOKUP($A45, INDIRECT("JulR!$A$6:$ZZ$1048576"), MATCH(E$1, JulR!$6:$6, 0), FALSE),
            0
        ) +
        IFERROR(
            VLOOKUP($A45, INDIRECT("AgoR!$A$6:$ZZ$1048576"), MATCH(E$1, AgoR!$6:$6, 0), FALSE),
            0
        ) +
        IFERROR(
            VLOOKUP($A45, INDIRECT("SepR!$A$6:$ZZ$1048576"), MATCH(E$1, SepR!$6:$6, 0), FALSE),
            0
        ) +
        IFERROR(
            VLOOKUP($A45, INDIRECT("OctR!$A$6:$ZZ$1048576"), MATCH(E$1, OctR!$6:$6, 0), FALSE),
            0
        ) +
        IFERROR(
            VLOOKUP($A45, INDIRECT("NovR!$A$6:$ZZ$1048576"), MATCH(E$1, NovR!$6:$6, 0), FALSE),
            0
        ) +
        IFERROR(
            VLOOKUP($A45, INDIRECT("DicR!$A$6:$ZZ$1048576"), MATCH(E$1, DicR!$6:$6, 0), FALSE),
            0
        )
)</f>
        <v>0</v>
      </c>
      <c r="F45" s="32">
        <f t="array" ref="F45">SUM(
    IFERROR(
            VLOOKUP($A45, INDIRECT("EneR!$A$6:$ZZ$1048576"), MATCH(F$1, EneR!$6:$6, 0), FALSE),
            0
        ) +
        IFERROR(
            VLOOKUP($A45, INDIRECT("FebR!$A$6:$ZZ$1048576"), MATCH(F$1, FebR!$6:$6, 0), FALSE),
            0
        ) +
        IFERROR(
            VLOOKUP($A45, INDIRECT("MarR!$A$6:$ZZ$1048576"), MATCH(F$1, MarR!$6:$6, 0), FALSE),
            0
        ) +
        IFERROR(
            VLOOKUP($A45, INDIRECT("AbrR!$A$6:$ZZ$1048576"), MATCH(F$1, AbrR!$6:$6, 0), FALSE),
            0
        ) +
        IFERROR(
            VLOOKUP($A45, INDIRECT("MayR!$A$6:$ZZ$1048576"), MATCH(F$1, MayR!$6:$6, 0), FALSE),
            0
        ) +
        IFERROR(
            VLOOKUP($A45, INDIRECT("JunR!$A$6:$ZZ$1048576"), MATCH(F$1, JunR!$6:$6, 0), FALSE),
            0
        ) +
        IFERROR(
            VLOOKUP($A45, INDIRECT("JulR!$A$6:$ZZ$1048576"), MATCH(F$1, JulR!$6:$6, 0), FALSE),
            0
        ) +
        IFERROR(
            VLOOKUP($A45, INDIRECT("AgoR!$A$6:$ZZ$1048576"), MATCH(F$1, AgoR!$6:$6, 0), FALSE),
            0
        ) +
        IFERROR(
            VLOOKUP($A45, INDIRECT("SepR!$A$6:$ZZ$1048576"), MATCH(F$1, SepR!$6:$6, 0), FALSE),
            0
        ) +
        IFERROR(
            VLOOKUP($A45, INDIRECT("OctR!$A$6:$ZZ$1048576"), MATCH(F$1, OctR!$6:$6, 0), FALSE),
            0
        ) +
        IFERROR(
            VLOOKUP($A45, INDIRECT("NovR!$A$6:$ZZ$1048576"), MATCH(F$1, NovR!$6:$6, 0), FALSE),
            0
        ) +
        IFERROR(
            VLOOKUP($A45, INDIRECT("DicR!$A$6:$ZZ$1048576"), MATCH(F$1, DicR!$6:$6, 0), FALSE),
            0
        )
)</f>
        <v>0</v>
      </c>
      <c r="G45" s="35">
        <f t="array" ref="G45">SUM(
    IFERROR(
            VLOOKUP($A45, INDIRECT("EneR!$A$6:$ZZ$1048576"), MATCH(G$1, EneR!$6:$6, 0), FALSE),
            0
        ) +
        IFERROR(
            VLOOKUP($A45, INDIRECT("FebR!$A$6:$ZZ$1048576"), MATCH(G$1, FebR!$6:$6, 0), FALSE),
            0
        ) +
        IFERROR(
            VLOOKUP($A45, INDIRECT("MarR!$A$6:$ZZ$1048576"), MATCH(G$1, MarR!$6:$6, 0), FALSE),
            0
        ) +
        IFERROR(
            VLOOKUP($A45, INDIRECT("AbrR!$A$6:$ZZ$1048576"), MATCH(G$1, AbrR!$6:$6, 0), FALSE),
            0
        ) +
        IFERROR(
            VLOOKUP($A45, INDIRECT("MayR!$A$6:$ZZ$1048576"), MATCH(G$1, MayR!$6:$6, 0), FALSE),
            0
        ) +
        IFERROR(
            VLOOKUP($A45, INDIRECT("JunR!$A$6:$ZZ$1048576"), MATCH(G$1, JunR!$6:$6, 0), FALSE),
            0
        ) +
        IFERROR(
            VLOOKUP($A45, INDIRECT("JulR!$A$6:$ZZ$1048576"), MATCH(G$1, JulR!$6:$6, 0), FALSE),
            0
        ) +
        IFERROR(
            VLOOKUP($A45, INDIRECT("AgoR!$A$6:$ZZ$1048576"), MATCH(G$1, AgoR!$6:$6, 0), FALSE),
            0
        ) +
        IFERROR(
            VLOOKUP($A45, INDIRECT("SepR!$A$6:$ZZ$1048576"), MATCH(G$1, SepR!$6:$6, 0), FALSE),
            0
        ) +
        IFERROR(
            VLOOKUP($A45, INDIRECT("OctR!$A$6:$ZZ$1048576"), MATCH(G$1, OctR!$6:$6, 0), FALSE),
            0
        ) +
        IFERROR(
            VLOOKUP($A45, INDIRECT("NovR!$A$6:$ZZ$1048576"), MATCH(G$1, NovR!$6:$6, 0), FALSE),
            0
        ) +
        IFERROR(
            VLOOKUP($A45, INDIRECT("DicR!$A$6:$ZZ$1048576"), MATCH(G$1, DicR!$6:$6, 0), FALSE),
            0
        )
)</f>
        <v>0</v>
      </c>
      <c r="H45" s="32">
        <f t="array" ref="H45">SUM(
    IFERROR(
            VLOOKUP($A45, INDIRECT("EneR!$A$6:$ZZ$1048576"), MATCH(H$1, EneR!$6:$6, 0), FALSE),
            0
        ) +
        IFERROR(
            VLOOKUP($A45, INDIRECT("FebR!$A$6:$ZZ$1048576"), MATCH(H$1, FebR!$6:$6, 0), FALSE),
            0
        ) +
        IFERROR(
            VLOOKUP($A45, INDIRECT("MarR!$A$6:$ZZ$1048576"), MATCH(H$1, MarR!$6:$6, 0), FALSE),
            0
        ) +
        IFERROR(
            VLOOKUP($A45, INDIRECT("AbrR!$A$6:$ZZ$1048576"), MATCH(H$1, AbrR!$6:$6, 0), FALSE),
            0
        ) +
        IFERROR(
            VLOOKUP($A45, INDIRECT("MayR!$A$6:$ZZ$1048576"), MATCH(H$1, MayR!$6:$6, 0), FALSE),
            0
        ) +
        IFERROR(
            VLOOKUP($A45, INDIRECT("JunR!$A$6:$ZZ$1048576"), MATCH(H$1, JunR!$6:$6, 0), FALSE),
            0
        ) +
        IFERROR(
            VLOOKUP($A45, INDIRECT("JulR!$A$6:$ZZ$1048576"), MATCH(H$1, JulR!$6:$6, 0), FALSE),
            0
        ) +
        IFERROR(
            VLOOKUP($A45, INDIRECT("AgoR!$A$6:$ZZ$1048576"), MATCH(H$1, AgoR!$6:$6, 0), FALSE),
            0
        ) +
        IFERROR(
            VLOOKUP($A45, INDIRECT("SepR!$A$6:$ZZ$1048576"), MATCH(H$1, SepR!$6:$6, 0), FALSE),
            0
        ) +
        IFERROR(
            VLOOKUP($A45, INDIRECT("OctR!$A$6:$ZZ$1048576"), MATCH(H$1, OctR!$6:$6, 0), FALSE),
            0
        ) +
        IFERROR(
            VLOOKUP($A45, INDIRECT("NovR!$A$6:$ZZ$1048576"), MATCH(H$1, NovR!$6:$6, 0), FALSE),
            0
        ) +
        IFERROR(
            VLOOKUP($A45, INDIRECT("DicR!$A$6:$ZZ$1048576"), MATCH(H$1, DicR!$6:$6, 0), FALSE),
            0
        )
)</f>
        <v>0</v>
      </c>
      <c r="I45" s="35">
        <f t="array" ref="I45">SUM(
    IFERROR(
            VLOOKUP($A45, INDIRECT("EneR!$A$6:$ZZ$1048576"), MATCH(I$1, EneR!$6:$6, 0), FALSE),
            0
        ) +
        IFERROR(
            VLOOKUP($A45, INDIRECT("FebR!$A$6:$ZZ$1048576"), MATCH(I$1, FebR!$6:$6, 0), FALSE),
            0
        ) +
        IFERROR(
            VLOOKUP($A45, INDIRECT("MarR!$A$6:$ZZ$1048576"), MATCH(I$1, MarR!$6:$6, 0), FALSE),
            0
        ) +
        IFERROR(
            VLOOKUP($A45, INDIRECT("AbrR!$A$6:$ZZ$1048576"), MATCH(I$1, AbrR!$6:$6, 0), FALSE),
            0
        ) +
        IFERROR(
            VLOOKUP($A45, INDIRECT("MayR!$A$6:$ZZ$1048576"), MATCH(I$1, MayR!$6:$6, 0), FALSE),
            0
        ) +
        IFERROR(
            VLOOKUP($A45, INDIRECT("JunR!$A$6:$ZZ$1048576"), MATCH(I$1, JunR!$6:$6, 0), FALSE),
            0
        ) +
        IFERROR(
            VLOOKUP($A45, INDIRECT("JulR!$A$6:$ZZ$1048576"), MATCH(I$1, JulR!$6:$6, 0), FALSE),
            0
        ) +
        IFERROR(
            VLOOKUP($A45, INDIRECT("AgoR!$A$6:$ZZ$1048576"), MATCH(I$1, AgoR!$6:$6, 0), FALSE),
            0
        ) +
        IFERROR(
            VLOOKUP($A45, INDIRECT("SepR!$A$6:$ZZ$1048576"), MATCH(I$1, SepR!$6:$6, 0), FALSE),
            0
        ) +
        IFERROR(
            VLOOKUP($A45, INDIRECT("OctR!$A$6:$ZZ$1048576"), MATCH(I$1, OctR!$6:$6, 0), FALSE),
            0
        ) +
        IFERROR(
            VLOOKUP($A45, INDIRECT("NovR!$A$6:$ZZ$1048576"), MATCH(I$1, NovR!$6:$6, 0), FALSE),
            0
        ) +
        IFERROR(
            VLOOKUP($A45, INDIRECT("DicR!$A$6:$ZZ$1048576"), MATCH(I$1, DicR!$6:$6, 0), FALSE),
            0
        )
)</f>
        <v>0</v>
      </c>
      <c r="J45" s="32">
        <f t="array" ref="J45">SUM(
    IFERROR(
            VLOOKUP($A45, INDIRECT("EneR!$A$6:$ZZ$1048576"), MATCH(J$1, EneR!$6:$6, 0), FALSE),
            0
        ) +
        IFERROR(
            VLOOKUP($A45, INDIRECT("FebR!$A$6:$ZZ$1048576"), MATCH(J$1, FebR!$6:$6, 0), FALSE),
            0
        ) +
        IFERROR(
            VLOOKUP($A45, INDIRECT("MarR!$A$6:$ZZ$1048576"), MATCH(J$1, MarR!$6:$6, 0), FALSE),
            0
        ) +
        IFERROR(
            VLOOKUP($A45, INDIRECT("AbrR!$A$6:$ZZ$1048576"), MATCH(J$1, AbrR!$6:$6, 0), FALSE),
            0
        ) +
        IFERROR(
            VLOOKUP($A45, INDIRECT("MayR!$A$6:$ZZ$1048576"), MATCH(J$1, MayR!$6:$6, 0), FALSE),
            0
        ) +
        IFERROR(
            VLOOKUP($A45, INDIRECT("JunR!$A$6:$ZZ$1048576"), MATCH(J$1, JunR!$6:$6, 0), FALSE),
            0
        ) +
        IFERROR(
            VLOOKUP($A45, INDIRECT("JulR!$A$6:$ZZ$1048576"), MATCH(J$1, JulR!$6:$6, 0), FALSE),
            0
        ) +
        IFERROR(
            VLOOKUP($A45, INDIRECT("AgoR!$A$6:$ZZ$1048576"), MATCH(J$1, AgoR!$6:$6, 0), FALSE),
            0
        ) +
        IFERROR(
            VLOOKUP($A45, INDIRECT("SepR!$A$6:$ZZ$1048576"), MATCH(J$1, SepR!$6:$6, 0), FALSE),
            0
        ) +
        IFERROR(
            VLOOKUP($A45, INDIRECT("OctR!$A$6:$ZZ$1048576"), MATCH(J$1, OctR!$6:$6, 0), FALSE),
            0
        ) +
        IFERROR(
            VLOOKUP($A45, INDIRECT("NovR!$A$6:$ZZ$1048576"), MATCH(J$1, NovR!$6:$6, 0), FALSE),
            0
        ) +
        IFERROR(
            VLOOKUP($A45, INDIRECT("DicR!$A$6:$ZZ$1048576"), MATCH(J$1, DicR!$6:$6, 0), FALSE),
            0
        )
)</f>
        <v>0</v>
      </c>
      <c r="K45" s="35">
        <f t="array" ref="K45">SUM(
    IFERROR(
            VLOOKUP($A45, INDIRECT("EneR!$A$6:$ZZ$1048576"), MATCH(K$1, EneR!$6:$6, 0), FALSE),
            0
        ) +
        IFERROR(
            VLOOKUP($A45, INDIRECT("FebR!$A$6:$ZZ$1048576"), MATCH(K$1, FebR!$6:$6, 0), FALSE),
            0
        ) +
        IFERROR(
            VLOOKUP($A45, INDIRECT("MarR!$A$6:$ZZ$1048576"), MATCH(K$1, MarR!$6:$6, 0), FALSE),
            0
        ) +
        IFERROR(
            VLOOKUP($A45, INDIRECT("AbrR!$A$6:$ZZ$1048576"), MATCH(K$1, AbrR!$6:$6, 0), FALSE),
            0
        ) +
        IFERROR(
            VLOOKUP($A45, INDIRECT("MayR!$A$6:$ZZ$1048576"), MATCH(K$1, MayR!$6:$6, 0), FALSE),
            0
        ) +
        IFERROR(
            VLOOKUP($A45, INDIRECT("JunR!$A$6:$ZZ$1048576"), MATCH(K$1, JunR!$6:$6, 0), FALSE),
            0
        ) +
        IFERROR(
            VLOOKUP($A45, INDIRECT("JulR!$A$6:$ZZ$1048576"), MATCH(K$1, JulR!$6:$6, 0), FALSE),
            0
        ) +
        IFERROR(
            VLOOKUP($A45, INDIRECT("AgoR!$A$6:$ZZ$1048576"), MATCH(K$1, AgoR!$6:$6, 0), FALSE),
            0
        ) +
        IFERROR(
            VLOOKUP($A45, INDIRECT("SepR!$A$6:$ZZ$1048576"), MATCH(K$1, SepR!$6:$6, 0), FALSE),
            0
        ) +
        IFERROR(
            VLOOKUP($A45, INDIRECT("OctR!$A$6:$ZZ$1048576"), MATCH(K$1, OctR!$6:$6, 0), FALSE),
            0
        ) +
        IFERROR(
            VLOOKUP($A45, INDIRECT("NovR!$A$6:$ZZ$1048576"), MATCH(K$1, NovR!$6:$6, 0), FALSE),
            0
        ) +
        IFERROR(
            VLOOKUP($A45, INDIRECT("DicR!$A$6:$ZZ$1048576"), MATCH(K$1, DicR!$6:$6, 0), FALSE),
            0
        )
)</f>
        <v>0</v>
      </c>
      <c r="L45" s="32">
        <f t="array" ref="L45">SUM(
    IFERROR(
            VLOOKUP($A45, INDIRECT("EneR!$A$6:$ZZ$1048576"), MATCH(L$1, EneR!$6:$6, 0), FALSE),
            0
        ) +
        IFERROR(
            VLOOKUP($A45, INDIRECT("FebR!$A$6:$ZZ$1048576"), MATCH(L$1, FebR!$6:$6, 0), FALSE),
            0
        ) +
        IFERROR(
            VLOOKUP($A45, INDIRECT("MarR!$A$6:$ZZ$1048576"), MATCH(L$1, MarR!$6:$6, 0), FALSE),
            0
        ) +
        IFERROR(
            VLOOKUP($A45, INDIRECT("AbrR!$A$6:$ZZ$1048576"), MATCH(L$1, AbrR!$6:$6, 0), FALSE),
            0
        ) +
        IFERROR(
            VLOOKUP($A45, INDIRECT("MayR!$A$6:$ZZ$1048576"), MATCH(L$1, MayR!$6:$6, 0), FALSE),
            0
        ) +
        IFERROR(
            VLOOKUP($A45, INDIRECT("JunR!$A$6:$ZZ$1048576"), MATCH(L$1, JunR!$6:$6, 0), FALSE),
            0
        ) +
        IFERROR(
            VLOOKUP($A45, INDIRECT("JulR!$A$6:$ZZ$1048576"), MATCH(L$1, JulR!$6:$6, 0), FALSE),
            0
        ) +
        IFERROR(
            VLOOKUP($A45, INDIRECT("AgoR!$A$6:$ZZ$1048576"), MATCH(L$1, AgoR!$6:$6, 0), FALSE),
            0
        ) +
        IFERROR(
            VLOOKUP($A45, INDIRECT("SepR!$A$6:$ZZ$1048576"), MATCH(L$1, SepR!$6:$6, 0), FALSE),
            0
        ) +
        IFERROR(
            VLOOKUP($A45, INDIRECT("OctR!$A$6:$ZZ$1048576"), MATCH(L$1, OctR!$6:$6, 0), FALSE),
            0
        ) +
        IFERROR(
            VLOOKUP($A45, INDIRECT("NovR!$A$6:$ZZ$1048576"), MATCH(L$1, NovR!$6:$6, 0), FALSE),
            0
        ) +
        IFERROR(
            VLOOKUP($A45, INDIRECT("DicR!$A$6:$ZZ$1048576"), MATCH(L$1, DicR!$6:$6, 0), FALSE),
            0
        )
)</f>
        <v>0</v>
      </c>
      <c r="M45" s="35">
        <f t="array" ref="M45">SUM(
    IFERROR(
            VLOOKUP($A45, INDIRECT("EneR!$A$6:$ZZ$1048576"), MATCH(M$1, EneR!$6:$6, 0), FALSE),
            0
        ) +
        IFERROR(
            VLOOKUP($A45, INDIRECT("FebR!$A$6:$ZZ$1048576"), MATCH(M$1, FebR!$6:$6, 0), FALSE),
            0
        ) +
        IFERROR(
            VLOOKUP($A45, INDIRECT("MarR!$A$6:$ZZ$1048576"), MATCH(M$1, MarR!$6:$6, 0), FALSE),
            0
        ) +
        IFERROR(
            VLOOKUP($A45, INDIRECT("AbrR!$A$6:$ZZ$1048576"), MATCH(M$1, AbrR!$6:$6, 0), FALSE),
            0
        ) +
        IFERROR(
            VLOOKUP($A45, INDIRECT("MayR!$A$6:$ZZ$1048576"), MATCH(M$1, MayR!$6:$6, 0), FALSE),
            0
        ) +
        IFERROR(
            VLOOKUP($A45, INDIRECT("JunR!$A$6:$ZZ$1048576"), MATCH(M$1, JunR!$6:$6, 0), FALSE),
            0
        ) +
        IFERROR(
            VLOOKUP($A45, INDIRECT("JulR!$A$6:$ZZ$1048576"), MATCH(M$1, JulR!$6:$6, 0), FALSE),
            0
        ) +
        IFERROR(
            VLOOKUP($A45, INDIRECT("AgoR!$A$6:$ZZ$1048576"), MATCH(M$1, AgoR!$6:$6, 0), FALSE),
            0
        ) +
        IFERROR(
            VLOOKUP($A45, INDIRECT("SepR!$A$6:$ZZ$1048576"), MATCH(M$1, SepR!$6:$6, 0), FALSE),
            0
        ) +
        IFERROR(
            VLOOKUP($A45, INDIRECT("OctR!$A$6:$ZZ$1048576"), MATCH(M$1, OctR!$6:$6, 0), FALSE),
            0
        ) +
        IFERROR(
            VLOOKUP($A45, INDIRECT("NovR!$A$6:$ZZ$1048576"), MATCH(M$1, NovR!$6:$6, 0), FALSE),
            0
        ) +
        IFERROR(
            VLOOKUP($A45, INDIRECT("DicR!$A$6:$ZZ$1048576"), MATCH(M$1, DicR!$6:$6, 0), FALSE),
            0
        )
)</f>
        <v>0</v>
      </c>
      <c r="N45" s="32">
        <f t="array" ref="N45">SUM(
    IFERROR(
            VLOOKUP($A45, INDIRECT("EneR!$A$6:$ZZ$1048576"), MATCH(N$1, EneR!$6:$6, 0), FALSE),
            0
        ) +
        IFERROR(
            VLOOKUP($A45, INDIRECT("FebR!$A$6:$ZZ$1048576"), MATCH(N$1, FebR!$6:$6, 0), FALSE),
            0
        ) +
        IFERROR(
            VLOOKUP($A45, INDIRECT("MarR!$A$6:$ZZ$1048576"), MATCH(N$1, MarR!$6:$6, 0), FALSE),
            0
        ) +
        IFERROR(
            VLOOKUP($A45, INDIRECT("AbrR!$A$6:$ZZ$1048576"), MATCH(N$1, AbrR!$6:$6, 0), FALSE),
            0
        ) +
        IFERROR(
            VLOOKUP($A45, INDIRECT("MayR!$A$6:$ZZ$1048576"), MATCH(N$1, MayR!$6:$6, 0), FALSE),
            0
        ) +
        IFERROR(
            VLOOKUP($A45, INDIRECT("JunR!$A$6:$ZZ$1048576"), MATCH(N$1, JunR!$6:$6, 0), FALSE),
            0
        ) +
        IFERROR(
            VLOOKUP($A45, INDIRECT("JulR!$A$6:$ZZ$1048576"), MATCH(N$1, JulR!$6:$6, 0), FALSE),
            0
        ) +
        IFERROR(
            VLOOKUP($A45, INDIRECT("AgoR!$A$6:$ZZ$1048576"), MATCH(N$1, AgoR!$6:$6, 0), FALSE),
            0
        ) +
        IFERROR(
            VLOOKUP($A45, INDIRECT("SepR!$A$6:$ZZ$1048576"), MATCH(N$1, SepR!$6:$6, 0), FALSE),
            0
        ) +
        IFERROR(
            VLOOKUP($A45, INDIRECT("OctR!$A$6:$ZZ$1048576"), MATCH(N$1, OctR!$6:$6, 0), FALSE),
            0
        ) +
        IFERROR(
            VLOOKUP($A45, INDIRECT("NovR!$A$6:$ZZ$1048576"), MATCH(N$1, NovR!$6:$6, 0), FALSE),
            0
        ) +
        IFERROR(
            VLOOKUP($A45, INDIRECT("DicR!$A$6:$ZZ$1048576"), MATCH(N$1, DicR!$6:$6, 0), FALSE),
            0
        )
)</f>
        <v>0</v>
      </c>
      <c r="O45" s="35">
        <f t="array" ref="O45">SUM(
    IFERROR(
            VLOOKUP($A45, INDIRECT("EneR!$A$6:$ZZ$1048576"), MATCH(O$1, EneR!$6:$6, 0), FALSE),
            0
        ) +
        IFERROR(
            VLOOKUP($A45, INDIRECT("FebR!$A$6:$ZZ$1048576"), MATCH(O$1, FebR!$6:$6, 0), FALSE),
            0
        ) +
        IFERROR(
            VLOOKUP($A45, INDIRECT("MarR!$A$6:$ZZ$1048576"), MATCH(O$1, MarR!$6:$6, 0), FALSE),
            0
        ) +
        IFERROR(
            VLOOKUP($A45, INDIRECT("AbrR!$A$6:$ZZ$1048576"), MATCH(O$1, AbrR!$6:$6, 0), FALSE),
            0
        ) +
        IFERROR(
            VLOOKUP($A45, INDIRECT("MayR!$A$6:$ZZ$1048576"), MATCH(O$1, MayR!$6:$6, 0), FALSE),
            0
        ) +
        IFERROR(
            VLOOKUP($A45, INDIRECT("JunR!$A$6:$ZZ$1048576"), MATCH(O$1, JunR!$6:$6, 0), FALSE),
            0
        ) +
        IFERROR(
            VLOOKUP($A45, INDIRECT("JulR!$A$6:$ZZ$1048576"), MATCH(O$1, JulR!$6:$6, 0), FALSE),
            0
        ) +
        IFERROR(
            VLOOKUP($A45, INDIRECT("AgoR!$A$6:$ZZ$1048576"), MATCH(O$1, AgoR!$6:$6, 0), FALSE),
            0
        ) +
        IFERROR(
            VLOOKUP($A45, INDIRECT("SepR!$A$6:$ZZ$1048576"), MATCH(O$1, SepR!$6:$6, 0), FALSE),
            0
        ) +
        IFERROR(
            VLOOKUP($A45, INDIRECT("OctR!$A$6:$ZZ$1048576"), MATCH(O$1, OctR!$6:$6, 0), FALSE),
            0
        ) +
        IFERROR(
            VLOOKUP($A45, INDIRECT("NovR!$A$6:$ZZ$1048576"), MATCH(O$1, NovR!$6:$6, 0), FALSE),
            0
        ) +
        IFERROR(
            VLOOKUP($A45, INDIRECT("DicR!$A$6:$ZZ$1048576"), MATCH(O$1, DicR!$6:$6, 0), FALSE),
            0
        )
)</f>
        <v>0</v>
      </c>
      <c r="P45" s="32">
        <f t="array" ref="P45">SUM(
    IFERROR(
            VLOOKUP($A45, INDIRECT("EneR!$A$6:$ZZ$1048576"), MATCH(P$1, EneR!$6:$6, 0), FALSE),
            0
        ) +
        IFERROR(
            VLOOKUP($A45, INDIRECT("FebR!$A$6:$ZZ$1048576"), MATCH(P$1, FebR!$6:$6, 0), FALSE),
            0
        ) +
        IFERROR(
            VLOOKUP($A45, INDIRECT("MarR!$A$6:$ZZ$1048576"), MATCH(P$1, MarR!$6:$6, 0), FALSE),
            0
        ) +
        IFERROR(
            VLOOKUP($A45, INDIRECT("AbrR!$A$6:$ZZ$1048576"), MATCH(P$1, AbrR!$6:$6, 0), FALSE),
            0
        ) +
        IFERROR(
            VLOOKUP($A45, INDIRECT("MayR!$A$6:$ZZ$1048576"), MATCH(P$1, MayR!$6:$6, 0), FALSE),
            0
        ) +
        IFERROR(
            VLOOKUP($A45, INDIRECT("JunR!$A$6:$ZZ$1048576"), MATCH(P$1, JunR!$6:$6, 0), FALSE),
            0
        ) +
        IFERROR(
            VLOOKUP($A45, INDIRECT("JulR!$A$6:$ZZ$1048576"), MATCH(P$1, JulR!$6:$6, 0), FALSE),
            0
        ) +
        IFERROR(
            VLOOKUP($A45, INDIRECT("AgoR!$A$6:$ZZ$1048576"), MATCH(P$1, AgoR!$6:$6, 0), FALSE),
            0
        ) +
        IFERROR(
            VLOOKUP($A45, INDIRECT("SepR!$A$6:$ZZ$1048576"), MATCH(P$1, SepR!$6:$6, 0), FALSE),
            0
        ) +
        IFERROR(
            VLOOKUP($A45, INDIRECT("OctR!$A$6:$ZZ$1048576"), MATCH(P$1, OctR!$6:$6, 0), FALSE),
            0
        ) +
        IFERROR(
            VLOOKUP($A45, INDIRECT("NovR!$A$6:$ZZ$1048576"), MATCH(P$1, NovR!$6:$6, 0), FALSE),
            0
        ) +
        IFERROR(
            VLOOKUP($A45, INDIRECT("DicR!$A$6:$ZZ$1048576"), MATCH(P$1, DicR!$6:$6, 0), FALSE),
            0
        )
)</f>
        <v>0</v>
      </c>
      <c r="Q45" s="35">
        <f t="array" ref="Q45">SUM(
    IFERROR(
            VLOOKUP($A45, INDIRECT("EneR!$A$6:$ZZ$1048576"), MATCH(Q$1, EneR!$6:$6, 0), FALSE),
            0
        ) +
        IFERROR(
            VLOOKUP($A45, INDIRECT("FebR!$A$6:$ZZ$1048576"), MATCH(Q$1, FebR!$6:$6, 0), FALSE),
            0
        ) +
        IFERROR(
            VLOOKUP($A45, INDIRECT("MarR!$A$6:$ZZ$1048576"), MATCH(Q$1, MarR!$6:$6, 0), FALSE),
            0
        ) +
        IFERROR(
            VLOOKUP($A45, INDIRECT("AbrR!$A$6:$ZZ$1048576"), MATCH(Q$1, AbrR!$6:$6, 0), FALSE),
            0
        ) +
        IFERROR(
            VLOOKUP($A45, INDIRECT("MayR!$A$6:$ZZ$1048576"), MATCH(Q$1, MayR!$6:$6, 0), FALSE),
            0
        ) +
        IFERROR(
            VLOOKUP($A45, INDIRECT("JunR!$A$6:$ZZ$1048576"), MATCH(Q$1, JunR!$6:$6, 0), FALSE),
            0
        ) +
        IFERROR(
            VLOOKUP($A45, INDIRECT("JulR!$A$6:$ZZ$1048576"), MATCH(Q$1, JulR!$6:$6, 0), FALSE),
            0
        ) +
        IFERROR(
            VLOOKUP($A45, INDIRECT("AgoR!$A$6:$ZZ$1048576"), MATCH(Q$1, AgoR!$6:$6, 0), FALSE),
            0
        ) +
        IFERROR(
            VLOOKUP($A45, INDIRECT("SepR!$A$6:$ZZ$1048576"), MATCH(Q$1, SepR!$6:$6, 0), FALSE),
            0
        ) +
        IFERROR(
            VLOOKUP($A45, INDIRECT("OctR!$A$6:$ZZ$1048576"), MATCH(Q$1, OctR!$6:$6, 0), FALSE),
            0
        ) +
        IFERROR(
            VLOOKUP($A45, INDIRECT("NovR!$A$6:$ZZ$1048576"), MATCH(Q$1, NovR!$6:$6, 0), FALSE),
            0
        ) +
        IFERROR(
            VLOOKUP($A45, INDIRECT("DicR!$A$6:$ZZ$1048576"), MATCH(Q$1, DicR!$6:$6, 0), FALSE),
            0
        )
)</f>
        <v>0</v>
      </c>
      <c r="R45" s="36">
        <f t="array" ref="R45">SUM(
    IFERROR(
            VLOOKUP($A45, INDIRECT("EneR!$A$6:$ZZ$1048576"), MATCH(R$1, EneR!$6:$6, 0), FALSE),
            0
        ) +
        IFERROR(
            VLOOKUP($A45, INDIRECT("FebR!$A$6:$ZZ$1048576"), MATCH(R$1, FebR!$6:$6, 0), FALSE),
            0
        ) +
        IFERROR(
            VLOOKUP($A45, INDIRECT("MarR!$A$6:$ZZ$1048576"), MATCH(R$1, MarR!$6:$6, 0), FALSE),
            0
        ) +
        IFERROR(
            VLOOKUP($A45, INDIRECT("AbrR!$A$6:$ZZ$1048576"), MATCH(R$1, AbrR!$6:$6, 0), FALSE),
            0
        ) +
        IFERROR(
            VLOOKUP($A45, INDIRECT("MayR!$A$6:$ZZ$1048576"), MATCH(R$1, MayR!$6:$6, 0), FALSE),
            0
        ) +
        IFERROR(
            VLOOKUP($A45, INDIRECT("JunR!$A$6:$ZZ$1048576"), MATCH(R$1, JunR!$6:$6, 0), FALSE),
            0
        ) +
        IFERROR(
            VLOOKUP($A45, INDIRECT("JulR!$A$6:$ZZ$1048576"), MATCH(R$1, JulR!$6:$6, 0), FALSE),
            0
        ) +
        IFERROR(
            VLOOKUP($A45, INDIRECT("AgoR!$A$6:$ZZ$1048576"), MATCH(R$1, AgoR!$6:$6, 0), FALSE),
            0
        ) +
        IFERROR(
            VLOOKUP($A45, INDIRECT("SepR!$A$6:$ZZ$1048576"), MATCH(R$1, SepR!$6:$6, 0), FALSE),
            0
        ) +
        IFERROR(
            VLOOKUP($A45, INDIRECT("OctR!$A$6:$ZZ$1048576"), MATCH(R$1, OctR!$6:$6, 0), FALSE),
            0
        ) +
        IFERROR(
            VLOOKUP($A45, INDIRECT("NovR!$A$6:$ZZ$1048576"), MATCH(R$1, NovR!$6:$6, 0), FALSE),
            0
        ) +
        IFERROR(
            VLOOKUP($A45, INDIRECT("DicR!$A$6:$ZZ$1048576"), MATCH(R$1, DicR!$6:$6, 0), FALSE),
            0
        )
)</f>
        <v>0</v>
      </c>
      <c r="S45" s="37">
        <f t="array" ref="S45">SUM(
    IFERROR(
            VLOOKUP($A45, INDIRECT("EneR!$A$6:$ZZ$1048576"), MATCH(S$1, EneR!$6:$6, 0), FALSE),
            0
        ) +
        IFERROR(
            VLOOKUP($A45, INDIRECT("FebR!$A$6:$ZZ$1048576"), MATCH(S$1, FebR!$6:$6, 0), FALSE),
            0
        ) +
        IFERROR(
            VLOOKUP($A45, INDIRECT("MarR!$A$6:$ZZ$1048576"), MATCH(S$1, MarR!$6:$6, 0), FALSE),
            0
        ) +
        IFERROR(
            VLOOKUP($A45, INDIRECT("AbrR!$A$6:$ZZ$1048576"), MATCH(S$1, AbrR!$6:$6, 0), FALSE),
            0
        ) +
        IFERROR(
            VLOOKUP($A45, INDIRECT("MayR!$A$6:$ZZ$1048576"), MATCH(S$1, MayR!$6:$6, 0), FALSE),
            0
        ) +
        IFERROR(
            VLOOKUP($A45, INDIRECT("JunR!$A$6:$ZZ$1048576"), MATCH(S$1, JunR!$6:$6, 0), FALSE),
            0
        ) +
        IFERROR(
            VLOOKUP($A45, INDIRECT("JulR!$A$6:$ZZ$1048576"), MATCH(S$1, JulR!$6:$6, 0), FALSE),
            0
        ) +
        IFERROR(
            VLOOKUP($A45, INDIRECT("AgoR!$A$6:$ZZ$1048576"), MATCH(S$1, AgoR!$6:$6, 0), FALSE),
            0
        ) +
        IFERROR(
            VLOOKUP($A45, INDIRECT("SepR!$A$6:$ZZ$1048576"), MATCH(S$1, SepR!$6:$6, 0), FALSE),
            0
        ) +
        IFERROR(
            VLOOKUP($A45, INDIRECT("OctR!$A$6:$ZZ$1048576"), MATCH(S$1, OctR!$6:$6, 0), FALSE),
            0
        ) +
        IFERROR(
            VLOOKUP($A45, INDIRECT("NovR!$A$6:$ZZ$1048576"), MATCH(S$1, NovR!$6:$6, 0), FALSE),
            0
        ) +
        IFERROR(
            VLOOKUP($A45, INDIRECT("DicR!$A$6:$ZZ$1048576"), MATCH(S$1, DicR!$6:$6, 0), FALSE),
            0
        )
)</f>
        <v>0</v>
      </c>
      <c r="T45" s="36">
        <f t="array" ref="T45">SUM(
    IFERROR(
            VLOOKUP($A45, INDIRECT("EneR!$A$6:$ZZ$1048576"), MATCH(T$1, EneR!$6:$6, 0), FALSE),
            0
        ) +
        IFERROR(
            VLOOKUP($A45, INDIRECT("FebR!$A$6:$ZZ$1048576"), MATCH(T$1, FebR!$6:$6, 0), FALSE),
            0
        ) +
        IFERROR(
            VLOOKUP($A45, INDIRECT("MarR!$A$6:$ZZ$1048576"), MATCH(T$1, MarR!$6:$6, 0), FALSE),
            0
        ) +
        IFERROR(
            VLOOKUP($A45, INDIRECT("AbrR!$A$6:$ZZ$1048576"), MATCH(T$1, AbrR!$6:$6, 0), FALSE),
            0
        ) +
        IFERROR(
            VLOOKUP($A45, INDIRECT("MayR!$A$6:$ZZ$1048576"), MATCH(T$1, MayR!$6:$6, 0), FALSE),
            0
        ) +
        IFERROR(
            VLOOKUP($A45, INDIRECT("JunR!$A$6:$ZZ$1048576"), MATCH(T$1, JunR!$6:$6, 0), FALSE),
            0
        ) +
        IFERROR(
            VLOOKUP($A45, INDIRECT("JulR!$A$6:$ZZ$1048576"), MATCH(T$1, JulR!$6:$6, 0), FALSE),
            0
        ) +
        IFERROR(
            VLOOKUP($A45, INDIRECT("AgoR!$A$6:$ZZ$1048576"), MATCH(T$1, AgoR!$6:$6, 0), FALSE),
            0
        ) +
        IFERROR(
            VLOOKUP($A45, INDIRECT("SepR!$A$6:$ZZ$1048576"), MATCH(T$1, SepR!$6:$6, 0), FALSE),
            0
        ) +
        IFERROR(
            VLOOKUP($A45, INDIRECT("OctR!$A$6:$ZZ$1048576"), MATCH(T$1, OctR!$6:$6, 0), FALSE),
            0
        ) +
        IFERROR(
            VLOOKUP($A45, INDIRECT("NovR!$A$6:$ZZ$1048576"), MATCH(T$1, NovR!$6:$6, 0), FALSE),
            0
        ) +
        IFERROR(
            VLOOKUP($A45, INDIRECT("DicR!$A$6:$ZZ$1048576"), MATCH(T$1, DicR!$6:$6, 0), FALSE),
            0
        )
)</f>
        <v>0</v>
      </c>
      <c r="U45" s="37">
        <f t="array" ref="U45">SUM(
    IFERROR(
            VLOOKUP($A45, INDIRECT("EneR!$A$6:$ZZ$1048576"), MATCH(U$1, EneR!$6:$6, 0), FALSE),
            0
        ) +
        IFERROR(
            VLOOKUP($A45, INDIRECT("FebR!$A$6:$ZZ$1048576"), MATCH(U$1, FebR!$6:$6, 0), FALSE),
            0
        ) +
        IFERROR(
            VLOOKUP($A45, INDIRECT("MarR!$A$6:$ZZ$1048576"), MATCH(U$1, MarR!$6:$6, 0), FALSE),
            0
        ) +
        IFERROR(
            VLOOKUP($A45, INDIRECT("AbrR!$A$6:$ZZ$1048576"), MATCH(U$1, AbrR!$6:$6, 0), FALSE),
            0
        ) +
        IFERROR(
            VLOOKUP($A45, INDIRECT("MayR!$A$6:$ZZ$1048576"), MATCH(U$1, MayR!$6:$6, 0), FALSE),
            0
        ) +
        IFERROR(
            VLOOKUP($A45, INDIRECT("JunR!$A$6:$ZZ$1048576"), MATCH(U$1, JunR!$6:$6, 0), FALSE),
            0
        ) +
        IFERROR(
            VLOOKUP($A45, INDIRECT("JulR!$A$6:$ZZ$1048576"), MATCH(U$1, JulR!$6:$6, 0), FALSE),
            0
        ) +
        IFERROR(
            VLOOKUP($A45, INDIRECT("AgoR!$A$6:$ZZ$1048576"), MATCH(U$1, AgoR!$6:$6, 0), FALSE),
            0
        ) +
        IFERROR(
            VLOOKUP($A45, INDIRECT("SepR!$A$6:$ZZ$1048576"), MATCH(U$1, SepR!$6:$6, 0), FALSE),
            0
        ) +
        IFERROR(
            VLOOKUP($A45, INDIRECT("OctR!$A$6:$ZZ$1048576"), MATCH(U$1, OctR!$6:$6, 0), FALSE),
            0
        ) +
        IFERROR(
            VLOOKUP($A45, INDIRECT("NovR!$A$6:$ZZ$1048576"), MATCH(U$1, NovR!$6:$6, 0), FALSE),
            0
        ) +
        IFERROR(
            VLOOKUP($A45, INDIRECT("DicR!$A$6:$ZZ$1048576"), MATCH(U$1, DicR!$6:$6, 0), FALSE),
            0
        )
)</f>
        <v>0</v>
      </c>
      <c r="V45" s="36">
        <f t="array" ref="V45">SUM(
    IFERROR(
            VLOOKUP($A45, INDIRECT("EneR!$A$6:$ZZ$1048576"), MATCH(V$1, EneR!$6:$6, 0), FALSE),
            0
        ) +
        IFERROR(
            VLOOKUP($A45, INDIRECT("FebR!$A$6:$ZZ$1048576"), MATCH(V$1, FebR!$6:$6, 0), FALSE),
            0
        ) +
        IFERROR(
            VLOOKUP($A45, INDIRECT("MarR!$A$6:$ZZ$1048576"), MATCH(V$1, MarR!$6:$6, 0), FALSE),
            0
        ) +
        IFERROR(
            VLOOKUP($A45, INDIRECT("AbrR!$A$6:$ZZ$1048576"), MATCH(V$1, AbrR!$6:$6, 0), FALSE),
            0
        ) +
        IFERROR(
            VLOOKUP($A45, INDIRECT("MayR!$A$6:$ZZ$1048576"), MATCH(V$1, MayR!$6:$6, 0), FALSE),
            0
        ) +
        IFERROR(
            VLOOKUP($A45, INDIRECT("JunR!$A$6:$ZZ$1048576"), MATCH(V$1, JunR!$6:$6, 0), FALSE),
            0
        ) +
        IFERROR(
            VLOOKUP($A45, INDIRECT("JulR!$A$6:$ZZ$1048576"), MATCH(V$1, JulR!$6:$6, 0), FALSE),
            0
        ) +
        IFERROR(
            VLOOKUP($A45, INDIRECT("AgoR!$A$6:$ZZ$1048576"), MATCH(V$1, AgoR!$6:$6, 0), FALSE),
            0
        ) +
        IFERROR(
            VLOOKUP($A45, INDIRECT("SepR!$A$6:$ZZ$1048576"), MATCH(V$1, SepR!$6:$6, 0), FALSE),
            0
        ) +
        IFERROR(
            VLOOKUP($A45, INDIRECT("OctR!$A$6:$ZZ$1048576"), MATCH(V$1, OctR!$6:$6, 0), FALSE),
            0
        ) +
        IFERROR(
            VLOOKUP($A45, INDIRECT("NovR!$A$6:$ZZ$1048576"), MATCH(V$1, NovR!$6:$6, 0), FALSE),
            0
        ) +
        IFERROR(
            VLOOKUP($A45, INDIRECT("DicR!$A$6:$ZZ$1048576"), MATCH(V$1, DicR!$6:$6, 0), FALSE),
            0
        )
)</f>
        <v>0</v>
      </c>
      <c r="W45" s="37">
        <f t="array" ref="W45">SUM(
    IFERROR(
            VLOOKUP($A45, INDIRECT("EneR!$A$6:$ZZ$1048576"), MATCH(W$1, EneR!$6:$6, 0), FALSE),
            0
        ) +
        IFERROR(
            VLOOKUP($A45, INDIRECT("FebR!$A$6:$ZZ$1048576"), MATCH(W$1, FebR!$6:$6, 0), FALSE),
            0
        ) +
        IFERROR(
            VLOOKUP($A45, INDIRECT("MarR!$A$6:$ZZ$1048576"), MATCH(W$1, MarR!$6:$6, 0), FALSE),
            0
        ) +
        IFERROR(
            VLOOKUP($A45, INDIRECT("AbrR!$A$6:$ZZ$1048576"), MATCH(W$1, AbrR!$6:$6, 0), FALSE),
            0
        ) +
        IFERROR(
            VLOOKUP($A45, INDIRECT("MayR!$A$6:$ZZ$1048576"), MATCH(W$1, MayR!$6:$6, 0), FALSE),
            0
        ) +
        IFERROR(
            VLOOKUP($A45, INDIRECT("JunR!$A$6:$ZZ$1048576"), MATCH(W$1, JunR!$6:$6, 0), FALSE),
            0
        ) +
        IFERROR(
            VLOOKUP($A45, INDIRECT("JulR!$A$6:$ZZ$1048576"), MATCH(W$1, JulR!$6:$6, 0), FALSE),
            0
        ) +
        IFERROR(
            VLOOKUP($A45, INDIRECT("AgoR!$A$6:$ZZ$1048576"), MATCH(W$1, AgoR!$6:$6, 0), FALSE),
            0
        ) +
        IFERROR(
            VLOOKUP($A45, INDIRECT("SepR!$A$6:$ZZ$1048576"), MATCH(W$1, SepR!$6:$6, 0), FALSE),
            0
        ) +
        IFERROR(
            VLOOKUP($A45, INDIRECT("OctR!$A$6:$ZZ$1048576"), MATCH(W$1, OctR!$6:$6, 0), FALSE),
            0
        ) +
        IFERROR(
            VLOOKUP($A45, INDIRECT("NovR!$A$6:$ZZ$1048576"), MATCH(W$1, NovR!$6:$6, 0), FALSE),
            0
        ) +
        IFERROR(
            VLOOKUP($A45, INDIRECT("DicR!$A$6:$ZZ$1048576"), MATCH(W$1, DicR!$6:$6, 0), FALSE),
            0
        )
)</f>
        <v>0</v>
      </c>
      <c r="X45" s="36">
        <f t="array" ref="X45">SUM(
    IFERROR(
            VLOOKUP($A45, INDIRECT("EneR!$A$6:$ZZ$1048576"), MATCH(X$1, EneR!$6:$6, 0), FALSE),
            0
        ) +
        IFERROR(
            VLOOKUP($A45, INDIRECT("FebR!$A$6:$ZZ$1048576"), MATCH(X$1, FebR!$6:$6, 0), FALSE),
            0
        ) +
        IFERROR(
            VLOOKUP($A45, INDIRECT("MarR!$A$6:$ZZ$1048576"), MATCH(X$1, MarR!$6:$6, 0), FALSE),
            0
        ) +
        IFERROR(
            VLOOKUP($A45, INDIRECT("AbrR!$A$6:$ZZ$1048576"), MATCH(X$1, AbrR!$6:$6, 0), FALSE),
            0
        ) +
        IFERROR(
            VLOOKUP($A45, INDIRECT("MayR!$A$6:$ZZ$1048576"), MATCH(X$1, MayR!$6:$6, 0), FALSE),
            0
        ) +
        IFERROR(
            VLOOKUP($A45, INDIRECT("JunR!$A$6:$ZZ$1048576"), MATCH(X$1, JunR!$6:$6, 0), FALSE),
            0
        ) +
        IFERROR(
            VLOOKUP($A45, INDIRECT("JulR!$A$6:$ZZ$1048576"), MATCH(X$1, JulR!$6:$6, 0), FALSE),
            0
        ) +
        IFERROR(
            VLOOKUP($A45, INDIRECT("AgoR!$A$6:$ZZ$1048576"), MATCH(X$1, AgoR!$6:$6, 0), FALSE),
            0
        ) +
        IFERROR(
            VLOOKUP($A45, INDIRECT("SepR!$A$6:$ZZ$1048576"), MATCH(X$1, SepR!$6:$6, 0), FALSE),
            0
        ) +
        IFERROR(
            VLOOKUP($A45, INDIRECT("OctR!$A$6:$ZZ$1048576"), MATCH(X$1, OctR!$6:$6, 0), FALSE),
            0
        ) +
        IFERROR(
            VLOOKUP($A45, INDIRECT("NovR!$A$6:$ZZ$1048576"), MATCH(X$1, NovR!$6:$6, 0), FALSE),
            0
        ) +
        IFERROR(
            VLOOKUP($A45, INDIRECT("DicR!$A$6:$ZZ$1048576"), MATCH(X$1, DicR!$6:$6, 0), FALSE),
            0
        )
)</f>
        <v>0</v>
      </c>
      <c r="Y45" s="37">
        <f t="array" ref="Y45">SUM(
    IFERROR(
            VLOOKUP($A45, INDIRECT("EneR!$A$6:$ZZ$1048576"), MATCH(Y$1, EneR!$6:$6, 0), FALSE),
            0
        ) +
        IFERROR(
            VLOOKUP($A45, INDIRECT("FebR!$A$6:$ZZ$1048576"), MATCH(Y$1, FebR!$6:$6, 0), FALSE),
            0
        ) +
        IFERROR(
            VLOOKUP($A45, INDIRECT("MarR!$A$6:$ZZ$1048576"), MATCH(Y$1, MarR!$6:$6, 0), FALSE),
            0
        ) +
        IFERROR(
            VLOOKUP($A45, INDIRECT("AbrR!$A$6:$ZZ$1048576"), MATCH(Y$1, AbrR!$6:$6, 0), FALSE),
            0
        ) +
        IFERROR(
            VLOOKUP($A45, INDIRECT("MayR!$A$6:$ZZ$1048576"), MATCH(Y$1, MayR!$6:$6, 0), FALSE),
            0
        ) +
        IFERROR(
            VLOOKUP($A45, INDIRECT("JunR!$A$6:$ZZ$1048576"), MATCH(Y$1, JunR!$6:$6, 0), FALSE),
            0
        ) +
        IFERROR(
            VLOOKUP($A45, INDIRECT("JulR!$A$6:$ZZ$1048576"), MATCH(Y$1, JulR!$6:$6, 0), FALSE),
            0
        ) +
        IFERROR(
            VLOOKUP($A45, INDIRECT("AgoR!$A$6:$ZZ$1048576"), MATCH(Y$1, AgoR!$6:$6, 0), FALSE),
            0
        ) +
        IFERROR(
            VLOOKUP($A45, INDIRECT("SepR!$A$6:$ZZ$1048576"), MATCH(Y$1, SepR!$6:$6, 0), FALSE),
            0
        ) +
        IFERROR(
            VLOOKUP($A45, INDIRECT("OctR!$A$6:$ZZ$1048576"), MATCH(Y$1, OctR!$6:$6, 0), FALSE),
            0
        ) +
        IFERROR(
            VLOOKUP($A45, INDIRECT("NovR!$A$6:$ZZ$1048576"), MATCH(Y$1, NovR!$6:$6, 0), FALSE),
            0
        ) +
        IFERROR(
            VLOOKUP($A45, INDIRECT("DicR!$A$6:$ZZ$1048576"), MATCH(Y$1, DicR!$6:$6, 0), FALSE),
            0
        )
)</f>
        <v>0</v>
      </c>
      <c r="Z45" s="36">
        <f t="array" ref="Z45">SUM(
    IFERROR(
            VLOOKUP($A45, INDIRECT("EneR!$A$6:$ZZ$1048576"), MATCH(Z$1, EneR!$6:$6, 0), FALSE),
            0
        ) +
        IFERROR(
            VLOOKUP($A45, INDIRECT("FebR!$A$6:$ZZ$1048576"), MATCH(Z$1, FebR!$6:$6, 0), FALSE),
            0
        ) +
        IFERROR(
            VLOOKUP($A45, INDIRECT("MarR!$A$6:$ZZ$1048576"), MATCH(Z$1, MarR!$6:$6, 0), FALSE),
            0
        ) +
        IFERROR(
            VLOOKUP($A45, INDIRECT("AbrR!$A$6:$ZZ$1048576"), MATCH(Z$1, AbrR!$6:$6, 0), FALSE),
            0
        ) +
        IFERROR(
            VLOOKUP($A45, INDIRECT("MayR!$A$6:$ZZ$1048576"), MATCH(Z$1, MayR!$6:$6, 0), FALSE),
            0
        ) +
        IFERROR(
            VLOOKUP($A45, INDIRECT("JunR!$A$6:$ZZ$1048576"), MATCH(Z$1, JunR!$6:$6, 0), FALSE),
            0
        ) +
        IFERROR(
            VLOOKUP($A45, INDIRECT("JulR!$A$6:$ZZ$1048576"), MATCH(Z$1, JulR!$6:$6, 0), FALSE),
            0
        ) +
        IFERROR(
            VLOOKUP($A45, INDIRECT("AgoR!$A$6:$ZZ$1048576"), MATCH(Z$1, AgoR!$6:$6, 0), FALSE),
            0
        ) +
        IFERROR(
            VLOOKUP($A45, INDIRECT("SepR!$A$6:$ZZ$1048576"), MATCH(Z$1, SepR!$6:$6, 0), FALSE),
            0
        ) +
        IFERROR(
            VLOOKUP($A45, INDIRECT("OctR!$A$6:$ZZ$1048576"), MATCH(Z$1, OctR!$6:$6, 0), FALSE),
            0
        ) +
        IFERROR(
            VLOOKUP($A45, INDIRECT("NovR!$A$6:$ZZ$1048576"), MATCH(Z$1, NovR!$6:$6, 0), FALSE),
            0
        ) +
        IFERROR(
            VLOOKUP($A45, INDIRECT("DicR!$A$6:$ZZ$1048576"), MATCH(Z$1, DicR!$6:$6, 0), FALSE),
            0
        )
)</f>
        <v>0</v>
      </c>
      <c r="AA45" s="37">
        <f t="array" ref="AA45">SUM(
    IFERROR(
            VLOOKUP($A45, INDIRECT("EneR!$A$6:$ZZ$1048576"), MATCH(AA$1, EneR!$6:$6, 0), FALSE),
            0
        ) +
        IFERROR(
            VLOOKUP($A45, INDIRECT("FebR!$A$6:$ZZ$1048576"), MATCH(AA$1, FebR!$6:$6, 0), FALSE),
            0
        ) +
        IFERROR(
            VLOOKUP($A45, INDIRECT("MarR!$A$6:$ZZ$1048576"), MATCH(AA$1, MarR!$6:$6, 0), FALSE),
            0
        ) +
        IFERROR(
            VLOOKUP($A45, INDIRECT("AbrR!$A$6:$ZZ$1048576"), MATCH(AA$1, AbrR!$6:$6, 0), FALSE),
            0
        ) +
        IFERROR(
            VLOOKUP($A45, INDIRECT("MayR!$A$6:$ZZ$1048576"), MATCH(AA$1, MayR!$6:$6, 0), FALSE),
            0
        ) +
        IFERROR(
            VLOOKUP($A45, INDIRECT("JunR!$A$6:$ZZ$1048576"), MATCH(AA$1, JunR!$6:$6, 0), FALSE),
            0
        ) +
        IFERROR(
            VLOOKUP($A45, INDIRECT("JulR!$A$6:$ZZ$1048576"), MATCH(AA$1, JulR!$6:$6, 0), FALSE),
            0
        ) +
        IFERROR(
            VLOOKUP($A45, INDIRECT("AgoR!$A$6:$ZZ$1048576"), MATCH(AA$1, AgoR!$6:$6, 0), FALSE),
            0
        ) +
        IFERROR(
            VLOOKUP($A45, INDIRECT("SepR!$A$6:$ZZ$1048576"), MATCH(AA$1, SepR!$6:$6, 0), FALSE),
            0
        ) +
        IFERROR(
            VLOOKUP($A45, INDIRECT("OctR!$A$6:$ZZ$1048576"), MATCH(AA$1, OctR!$6:$6, 0), FALSE),
            0
        ) +
        IFERROR(
            VLOOKUP($A45, INDIRECT("NovR!$A$6:$ZZ$1048576"), MATCH(AA$1, NovR!$6:$6, 0), FALSE),
            0
        ) +
        IFERROR(
            VLOOKUP($A45, INDIRECT("DicR!$A$6:$ZZ$1048576"), MATCH(AA$1, DicR!$6:$6, 0), FALSE),
            0
        )
)</f>
        <v>0</v>
      </c>
      <c r="AB45" s="36">
        <f t="array" ref="AB45">SUM(
    IFERROR(
            VLOOKUP($A45, INDIRECT("EneR!$A$6:$ZZ$1048576"), MATCH(AB$1, EneR!$6:$6, 0), FALSE),
            0
        ) +
        IFERROR(
            VLOOKUP($A45, INDIRECT("FebR!$A$6:$ZZ$1048576"), MATCH(AB$1, FebR!$6:$6, 0), FALSE),
            0
        ) +
        IFERROR(
            VLOOKUP($A45, INDIRECT("MarR!$A$6:$ZZ$1048576"), MATCH(AB$1, MarR!$6:$6, 0), FALSE),
            0
        ) +
        IFERROR(
            VLOOKUP($A45, INDIRECT("AbrR!$A$6:$ZZ$1048576"), MATCH(AB$1, AbrR!$6:$6, 0), FALSE),
            0
        ) +
        IFERROR(
            VLOOKUP($A45, INDIRECT("MayR!$A$6:$ZZ$1048576"), MATCH(AB$1, MayR!$6:$6, 0), FALSE),
            0
        ) +
        IFERROR(
            VLOOKUP($A45, INDIRECT("JunR!$A$6:$ZZ$1048576"), MATCH(AB$1, JunR!$6:$6, 0), FALSE),
            0
        ) +
        IFERROR(
            VLOOKUP($A45, INDIRECT("JulR!$A$6:$ZZ$1048576"), MATCH(AB$1, JulR!$6:$6, 0), FALSE),
            0
        ) +
        IFERROR(
            VLOOKUP($A45, INDIRECT("AgoR!$A$6:$ZZ$1048576"), MATCH(AB$1, AgoR!$6:$6, 0), FALSE),
            0
        ) +
        IFERROR(
            VLOOKUP($A45, INDIRECT("SepR!$A$6:$ZZ$1048576"), MATCH(AB$1, SepR!$6:$6, 0), FALSE),
            0
        ) +
        IFERROR(
            VLOOKUP($A45, INDIRECT("OctR!$A$6:$ZZ$1048576"), MATCH(AB$1, OctR!$6:$6, 0), FALSE),
            0
        ) +
        IFERROR(
            VLOOKUP($A45, INDIRECT("NovR!$A$6:$ZZ$1048576"), MATCH(AB$1, NovR!$6:$6, 0), FALSE),
            0
        ) +
        IFERROR(
            VLOOKUP($A45, INDIRECT("DicR!$A$6:$ZZ$1048576"), MATCH(AB$1, DicR!$6:$6, 0), FALSE),
            0
        )
)</f>
        <v>0</v>
      </c>
      <c r="AC45" s="37">
        <f t="array" ref="AC45">SUM(
    IFERROR(
            VLOOKUP($A45, INDIRECT("EneR!$A$6:$ZZ$1048576"), MATCH(AC$1, EneR!$6:$6, 0), FALSE),
            0
        ) +
        IFERROR(
            VLOOKUP($A45, INDIRECT("FebR!$A$6:$ZZ$1048576"), MATCH(AC$1, FebR!$6:$6, 0), FALSE),
            0
        ) +
        IFERROR(
            VLOOKUP($A45, INDIRECT("MarR!$A$6:$ZZ$1048576"), MATCH(AC$1, MarR!$6:$6, 0), FALSE),
            0
        ) +
        IFERROR(
            VLOOKUP($A45, INDIRECT("AbrR!$A$6:$ZZ$1048576"), MATCH(AC$1, AbrR!$6:$6, 0), FALSE),
            0
        ) +
        IFERROR(
            VLOOKUP($A45, INDIRECT("MayR!$A$6:$ZZ$1048576"), MATCH(AC$1, MayR!$6:$6, 0), FALSE),
            0
        ) +
        IFERROR(
            VLOOKUP($A45, INDIRECT("JunR!$A$6:$ZZ$1048576"), MATCH(AC$1, JunR!$6:$6, 0), FALSE),
            0
        ) +
        IFERROR(
            VLOOKUP($A45, INDIRECT("JulR!$A$6:$ZZ$1048576"), MATCH(AC$1, JulR!$6:$6, 0), FALSE),
            0
        ) +
        IFERROR(
            VLOOKUP($A45, INDIRECT("AgoR!$A$6:$ZZ$1048576"), MATCH(AC$1, AgoR!$6:$6, 0), FALSE),
            0
        ) +
        IFERROR(
            VLOOKUP($A45, INDIRECT("SepR!$A$6:$ZZ$1048576"), MATCH(AC$1, SepR!$6:$6, 0), FALSE),
            0
        ) +
        IFERROR(
            VLOOKUP($A45, INDIRECT("OctR!$A$6:$ZZ$1048576"), MATCH(AC$1, OctR!$6:$6, 0), FALSE),
            0
        ) +
        IFERROR(
            VLOOKUP($A45, INDIRECT("NovR!$A$6:$ZZ$1048576"), MATCH(AC$1, NovR!$6:$6, 0), FALSE),
            0
        ) +
        IFERROR(
            VLOOKUP($A45, INDIRECT("DicR!$A$6:$ZZ$1048576"), MATCH(AC$1, DicR!$6:$6, 0), FALSE),
            0
        )
)</f>
        <v>0</v>
      </c>
      <c r="AD45" s="36">
        <f t="array" ref="AD45">SUM(
    IFERROR(
            VLOOKUP($A45, INDIRECT("EneR!$A$6:$ZZ$1048576"), MATCH(AD$1, EneR!$6:$6, 0), FALSE),
            0
        ) +
        IFERROR(
            VLOOKUP($A45, INDIRECT("FebR!$A$6:$ZZ$1048576"), MATCH(AD$1, FebR!$6:$6, 0), FALSE),
            0
        ) +
        IFERROR(
            VLOOKUP($A45, INDIRECT("MarR!$A$6:$ZZ$1048576"), MATCH(AD$1, MarR!$6:$6, 0), FALSE),
            0
        ) +
        IFERROR(
            VLOOKUP($A45, INDIRECT("AbrR!$A$6:$ZZ$1048576"), MATCH(AD$1, AbrR!$6:$6, 0), FALSE),
            0
        ) +
        IFERROR(
            VLOOKUP($A45, INDIRECT("MayR!$A$6:$ZZ$1048576"), MATCH(AD$1, MayR!$6:$6, 0), FALSE),
            0
        ) +
        IFERROR(
            VLOOKUP($A45, INDIRECT("JunR!$A$6:$ZZ$1048576"), MATCH(AD$1, JunR!$6:$6, 0), FALSE),
            0
        ) +
        IFERROR(
            VLOOKUP($A45, INDIRECT("JulR!$A$6:$ZZ$1048576"), MATCH(AD$1, JulR!$6:$6, 0), FALSE),
            0
        ) +
        IFERROR(
            VLOOKUP($A45, INDIRECT("AgoR!$A$6:$ZZ$1048576"), MATCH(AD$1, AgoR!$6:$6, 0), FALSE),
            0
        ) +
        IFERROR(
            VLOOKUP($A45, INDIRECT("SepR!$A$6:$ZZ$1048576"), MATCH(AD$1, SepR!$6:$6, 0), FALSE),
            0
        ) +
        IFERROR(
            VLOOKUP($A45, INDIRECT("OctR!$A$6:$ZZ$1048576"), MATCH(AD$1, OctR!$6:$6, 0), FALSE),
            0
        ) +
        IFERROR(
            VLOOKUP($A45, INDIRECT("NovR!$A$6:$ZZ$1048576"), MATCH(AD$1, NovR!$6:$6, 0), FALSE),
            0
        ) +
        IFERROR(
            VLOOKUP($A45, INDIRECT("DicR!$A$6:$ZZ$1048576"), MATCH(AD$1, DicR!$6:$6, 0), FALSE),
            0
        )
)</f>
        <v>0</v>
      </c>
      <c r="AE45" s="37">
        <f t="array" ref="AE45">SUM(
    IFERROR(
            VLOOKUP($A45, INDIRECT("EneR!$A$6:$ZZ$1048576"), MATCH(AE$1, EneR!$6:$6, 0), FALSE),
            0
        ) +
        IFERROR(
            VLOOKUP($A45, INDIRECT("FebR!$A$6:$ZZ$1048576"), MATCH(AE$1, FebR!$6:$6, 0), FALSE),
            0
        ) +
        IFERROR(
            VLOOKUP($A45, INDIRECT("MarR!$A$6:$ZZ$1048576"), MATCH(AE$1, MarR!$6:$6, 0), FALSE),
            0
        ) +
        IFERROR(
            VLOOKUP($A45, INDIRECT("AbrR!$A$6:$ZZ$1048576"), MATCH(AE$1, AbrR!$6:$6, 0), FALSE),
            0
        ) +
        IFERROR(
            VLOOKUP($A45, INDIRECT("MayR!$A$6:$ZZ$1048576"), MATCH(AE$1, MayR!$6:$6, 0), FALSE),
            0
        ) +
        IFERROR(
            VLOOKUP($A45, INDIRECT("JunR!$A$6:$ZZ$1048576"), MATCH(AE$1, JunR!$6:$6, 0), FALSE),
            0
        ) +
        IFERROR(
            VLOOKUP($A45, INDIRECT("JulR!$A$6:$ZZ$1048576"), MATCH(AE$1, JulR!$6:$6, 0), FALSE),
            0
        ) +
        IFERROR(
            VLOOKUP($A45, INDIRECT("AgoR!$A$6:$ZZ$1048576"), MATCH(AE$1, AgoR!$6:$6, 0), FALSE),
            0
        ) +
        IFERROR(
            VLOOKUP($A45, INDIRECT("SepR!$A$6:$ZZ$1048576"), MATCH(AE$1, SepR!$6:$6, 0), FALSE),
            0
        ) +
        IFERROR(
            VLOOKUP($A45, INDIRECT("OctR!$A$6:$ZZ$1048576"), MATCH(AE$1, OctR!$6:$6, 0), FALSE),
            0
        ) +
        IFERROR(
            VLOOKUP($A45, INDIRECT("NovR!$A$6:$ZZ$1048576"), MATCH(AE$1, NovR!$6:$6, 0), FALSE),
            0
        ) +
        IFERROR(
            VLOOKUP($A45, INDIRECT("DicR!$A$6:$ZZ$1048576"), MATCH(AE$1, DicR!$6:$6, 0), FALSE),
            0
        )
)</f>
        <v>0</v>
      </c>
      <c r="AF45" s="36">
        <f t="array" ref="AF45">SUM(
    IFERROR(
            VLOOKUP($A45, INDIRECT("EneR!$A$6:$ZZ$1048576"), MATCH(AF$1, EneR!$6:$6, 0), FALSE),
            0
        ) +
        IFERROR(
            VLOOKUP($A45, INDIRECT("FebR!$A$6:$ZZ$1048576"), MATCH(AF$1, FebR!$6:$6, 0), FALSE),
            0
        ) +
        IFERROR(
            VLOOKUP($A45, INDIRECT("MarR!$A$6:$ZZ$1048576"), MATCH(AF$1, MarR!$6:$6, 0), FALSE),
            0
        ) +
        IFERROR(
            VLOOKUP($A45, INDIRECT("AbrR!$A$6:$ZZ$1048576"), MATCH(AF$1, AbrR!$6:$6, 0), FALSE),
            0
        ) +
        IFERROR(
            VLOOKUP($A45, INDIRECT("MayR!$A$6:$ZZ$1048576"), MATCH(AF$1, MayR!$6:$6, 0), FALSE),
            0
        ) +
        IFERROR(
            VLOOKUP($A45, INDIRECT("JunR!$A$6:$ZZ$1048576"), MATCH(AF$1, JunR!$6:$6, 0), FALSE),
            0
        ) +
        IFERROR(
            VLOOKUP($A45, INDIRECT("JulR!$A$6:$ZZ$1048576"), MATCH(AF$1, JulR!$6:$6, 0), FALSE),
            0
        ) +
        IFERROR(
            VLOOKUP($A45, INDIRECT("AgoR!$A$6:$ZZ$1048576"), MATCH(AF$1, AgoR!$6:$6, 0), FALSE),
            0
        ) +
        IFERROR(
            VLOOKUP($A45, INDIRECT("SepR!$A$6:$ZZ$1048576"), MATCH(AF$1, SepR!$6:$6, 0), FALSE),
            0
        ) +
        IFERROR(
            VLOOKUP($A45, INDIRECT("OctR!$A$6:$ZZ$1048576"), MATCH(AF$1, OctR!$6:$6, 0), FALSE),
            0
        ) +
        IFERROR(
            VLOOKUP($A45, INDIRECT("NovR!$A$6:$ZZ$1048576"), MATCH(AF$1, NovR!$6:$6, 0), FALSE),
            0
        ) +
        IFERROR(
            VLOOKUP($A45, INDIRECT("DicR!$A$6:$ZZ$1048576"), MATCH(AF$1, DicR!$6:$6, 0), FALSE),
            0
        )
)</f>
        <v>0</v>
      </c>
      <c r="AG45" s="37">
        <f t="array" ref="AG45">SUM(
    IFERROR(
            VLOOKUP($A45, INDIRECT("EneR!$A$6:$ZZ$1048576"), MATCH(AG$1, EneR!$6:$6, 0), FALSE),
            0
        ) +
        IFERROR(
            VLOOKUP($A45, INDIRECT("FebR!$A$6:$ZZ$1048576"), MATCH(AG$1, FebR!$6:$6, 0), FALSE),
            0
        ) +
        IFERROR(
            VLOOKUP($A45, INDIRECT("MarR!$A$6:$ZZ$1048576"), MATCH(AG$1, MarR!$6:$6, 0), FALSE),
            0
        ) +
        IFERROR(
            VLOOKUP($A45, INDIRECT("AbrR!$A$6:$ZZ$1048576"), MATCH(AG$1, AbrR!$6:$6, 0), FALSE),
            0
        ) +
        IFERROR(
            VLOOKUP($A45, INDIRECT("MayR!$A$6:$ZZ$1048576"), MATCH(AG$1, MayR!$6:$6, 0), FALSE),
            0
        ) +
        IFERROR(
            VLOOKUP($A45, INDIRECT("JunR!$A$6:$ZZ$1048576"), MATCH(AG$1, JunR!$6:$6, 0), FALSE),
            0
        ) +
        IFERROR(
            VLOOKUP($A45, INDIRECT("JulR!$A$6:$ZZ$1048576"), MATCH(AG$1, JulR!$6:$6, 0), FALSE),
            0
        ) +
        IFERROR(
            VLOOKUP($A45, INDIRECT("AgoR!$A$6:$ZZ$1048576"), MATCH(AG$1, AgoR!$6:$6, 0), FALSE),
            0
        ) +
        IFERROR(
            VLOOKUP($A45, INDIRECT("SepR!$A$6:$ZZ$1048576"), MATCH(AG$1, SepR!$6:$6, 0), FALSE),
            0
        ) +
        IFERROR(
            VLOOKUP($A45, INDIRECT("OctR!$A$6:$ZZ$1048576"), MATCH(AG$1, OctR!$6:$6, 0), FALSE),
            0
        ) +
        IFERROR(
            VLOOKUP($A45, INDIRECT("NovR!$A$6:$ZZ$1048576"), MATCH(AG$1, NovR!$6:$6, 0), FALSE),
            0
        ) +
        IFERROR(
            VLOOKUP($A45, INDIRECT("DicR!$A$6:$ZZ$1048576"), MATCH(AG$1, DicR!$6:$6, 0), FALSE),
            0
        )
)</f>
        <v>0</v>
      </c>
      <c r="AH45" s="36">
        <f t="array" ref="AH45">SUM(
    IFERROR(
            VLOOKUP($A45, INDIRECT("EneR!$A$6:$ZZ$1048576"), MATCH(AH$1, EneR!$6:$6, 0), FALSE),
            0
        ) +
        IFERROR(
            VLOOKUP($A45, INDIRECT("FebR!$A$6:$ZZ$1048576"), MATCH(AH$1, FebR!$6:$6, 0), FALSE),
            0
        ) +
        IFERROR(
            VLOOKUP($A45, INDIRECT("MarR!$A$6:$ZZ$1048576"), MATCH(AH$1, MarR!$6:$6, 0), FALSE),
            0
        ) +
        IFERROR(
            VLOOKUP($A45, INDIRECT("AbrR!$A$6:$ZZ$1048576"), MATCH(AH$1, AbrR!$6:$6, 0), FALSE),
            0
        ) +
        IFERROR(
            VLOOKUP($A45, INDIRECT("MayR!$A$6:$ZZ$1048576"), MATCH(AH$1, MayR!$6:$6, 0), FALSE),
            0
        ) +
        IFERROR(
            VLOOKUP($A45, INDIRECT("JunR!$A$6:$ZZ$1048576"), MATCH(AH$1, JunR!$6:$6, 0), FALSE),
            0
        ) +
        IFERROR(
            VLOOKUP($A45, INDIRECT("JulR!$A$6:$ZZ$1048576"), MATCH(AH$1, JulR!$6:$6, 0), FALSE),
            0
        ) +
        IFERROR(
            VLOOKUP($A45, INDIRECT("AgoR!$A$6:$ZZ$1048576"), MATCH(AH$1, AgoR!$6:$6, 0), FALSE),
            0
        ) +
        IFERROR(
            VLOOKUP($A45, INDIRECT("SepR!$A$6:$ZZ$1048576"), MATCH(AH$1, SepR!$6:$6, 0), FALSE),
            0
        ) +
        IFERROR(
            VLOOKUP($A45, INDIRECT("OctR!$A$6:$ZZ$1048576"), MATCH(AH$1, OctR!$6:$6, 0), FALSE),
            0
        ) +
        IFERROR(
            VLOOKUP($A45, INDIRECT("NovR!$A$6:$ZZ$1048576"), MATCH(AH$1, NovR!$6:$6, 0), FALSE),
            0
        ) +
        IFERROR(
            VLOOKUP($A45, INDIRECT("DicR!$A$6:$ZZ$1048576"), MATCH(AH$1, DicR!$6:$6, 0), FALSE),
            0
        )
)</f>
        <v>0</v>
      </c>
      <c r="AI45" s="37">
        <f t="array" ref="AI45">SUM(
    IFERROR(
            VLOOKUP($A45, INDIRECT("EneR!$A$6:$ZZ$1048576"), MATCH(AI$1, EneR!$6:$6, 0), FALSE),
            0
        ) +
        IFERROR(
            VLOOKUP($A45, INDIRECT("FebR!$A$6:$ZZ$1048576"), MATCH(AI$1, FebR!$6:$6, 0), FALSE),
            0
        ) +
        IFERROR(
            VLOOKUP($A45, INDIRECT("MarR!$A$6:$ZZ$1048576"), MATCH(AI$1, MarR!$6:$6, 0), FALSE),
            0
        ) +
        IFERROR(
            VLOOKUP($A45, INDIRECT("AbrR!$A$6:$ZZ$1048576"), MATCH(AI$1, AbrR!$6:$6, 0), FALSE),
            0
        ) +
        IFERROR(
            VLOOKUP($A45, INDIRECT("MayR!$A$6:$ZZ$1048576"), MATCH(AI$1, MayR!$6:$6, 0), FALSE),
            0
        ) +
        IFERROR(
            VLOOKUP($A45, INDIRECT("JunR!$A$6:$ZZ$1048576"), MATCH(AI$1, JunR!$6:$6, 0), FALSE),
            0
        ) +
        IFERROR(
            VLOOKUP($A45, INDIRECT("JulR!$A$6:$ZZ$1048576"), MATCH(AI$1, JulR!$6:$6, 0), FALSE),
            0
        ) +
        IFERROR(
            VLOOKUP($A45, INDIRECT("AgoR!$A$6:$ZZ$1048576"), MATCH(AI$1, AgoR!$6:$6, 0), FALSE),
            0
        ) +
        IFERROR(
            VLOOKUP($A45, INDIRECT("SepR!$A$6:$ZZ$1048576"), MATCH(AI$1, SepR!$6:$6, 0), FALSE),
            0
        ) +
        IFERROR(
            VLOOKUP($A45, INDIRECT("OctR!$A$6:$ZZ$1048576"), MATCH(AI$1, OctR!$6:$6, 0), FALSE),
            0
        ) +
        IFERROR(
            VLOOKUP($A45, INDIRECT("NovR!$A$6:$ZZ$1048576"), MATCH(AI$1, NovR!$6:$6, 0), FALSE),
            0
        ) +
        IFERROR(
            VLOOKUP($A45, INDIRECT("DicR!$A$6:$ZZ$1048576"), MATCH(AI$1, DicR!$6:$6, 0), FALSE),
            0
        )
)</f>
        <v>0</v>
      </c>
      <c r="AJ45" s="36">
        <f t="array" ref="AJ45">SUM(
    IFERROR(
            VLOOKUP($A45, INDIRECT("EneR!$A$6:$ZZ$1048576"), MATCH(AJ$1, EneR!$6:$6, 0), FALSE),
            0
        ) +
        IFERROR(
            VLOOKUP($A45, INDIRECT("FebR!$A$6:$ZZ$1048576"), MATCH(AJ$1, FebR!$6:$6, 0), FALSE),
            0
        ) +
        IFERROR(
            VLOOKUP($A45, INDIRECT("MarR!$A$6:$ZZ$1048576"), MATCH(AJ$1, MarR!$6:$6, 0), FALSE),
            0
        ) +
        IFERROR(
            VLOOKUP($A45, INDIRECT("AbrR!$A$6:$ZZ$1048576"), MATCH(AJ$1, AbrR!$6:$6, 0), FALSE),
            0
        ) +
        IFERROR(
            VLOOKUP($A45, INDIRECT("MayR!$A$6:$ZZ$1048576"), MATCH(AJ$1, MayR!$6:$6, 0), FALSE),
            0
        ) +
        IFERROR(
            VLOOKUP($A45, INDIRECT("JunR!$A$6:$ZZ$1048576"), MATCH(AJ$1, JunR!$6:$6, 0), FALSE),
            0
        ) +
        IFERROR(
            VLOOKUP($A45, INDIRECT("JulR!$A$6:$ZZ$1048576"), MATCH(AJ$1, JulR!$6:$6, 0), FALSE),
            0
        ) +
        IFERROR(
            VLOOKUP($A45, INDIRECT("AgoR!$A$6:$ZZ$1048576"), MATCH(AJ$1, AgoR!$6:$6, 0), FALSE),
            0
        ) +
        IFERROR(
            VLOOKUP($A45, INDIRECT("SepR!$A$6:$ZZ$1048576"), MATCH(AJ$1, SepR!$6:$6, 0), FALSE),
            0
        ) +
        IFERROR(
            VLOOKUP($A45, INDIRECT("OctR!$A$6:$ZZ$1048576"), MATCH(AJ$1, OctR!$6:$6, 0), FALSE),
            0
        ) +
        IFERROR(
            VLOOKUP($A45, INDIRECT("NovR!$A$6:$ZZ$1048576"), MATCH(AJ$1, NovR!$6:$6, 0), FALSE),
            0
        ) +
        IFERROR(
            VLOOKUP($A45, INDIRECT("DicR!$A$6:$ZZ$1048576"), MATCH(AJ$1, DicR!$6:$6, 0), FALSE),
            0
        )
)</f>
        <v>0</v>
      </c>
      <c r="AK45" s="37">
        <f t="array" ref="AK45">SUM(
    IFERROR(
            VLOOKUP($A45, INDIRECT("EneR!$A$6:$ZZ$1048576"), MATCH(AK$1, EneR!$6:$6, 0), FALSE),
            0
        ) +
        IFERROR(
            VLOOKUP($A45, INDIRECT("FebR!$A$6:$ZZ$1048576"), MATCH(AK$1, FebR!$6:$6, 0), FALSE),
            0
        ) +
        IFERROR(
            VLOOKUP($A45, INDIRECT("MarR!$A$6:$ZZ$1048576"), MATCH(AK$1, MarR!$6:$6, 0), FALSE),
            0
        ) +
        IFERROR(
            VLOOKUP($A45, INDIRECT("AbrR!$A$6:$ZZ$1048576"), MATCH(AK$1, AbrR!$6:$6, 0), FALSE),
            0
        ) +
        IFERROR(
            VLOOKUP($A45, INDIRECT("MayR!$A$6:$ZZ$1048576"), MATCH(AK$1, MayR!$6:$6, 0), FALSE),
            0
        ) +
        IFERROR(
            VLOOKUP($A45, INDIRECT("JunR!$A$6:$ZZ$1048576"), MATCH(AK$1, JunR!$6:$6, 0), FALSE),
            0
        ) +
        IFERROR(
            VLOOKUP($A45, INDIRECT("JulR!$A$6:$ZZ$1048576"), MATCH(AK$1, JulR!$6:$6, 0), FALSE),
            0
        ) +
        IFERROR(
            VLOOKUP($A45, INDIRECT("AgoR!$A$6:$ZZ$1048576"), MATCH(AK$1, AgoR!$6:$6, 0), FALSE),
            0
        ) +
        IFERROR(
            VLOOKUP($A45, INDIRECT("SepR!$A$6:$ZZ$1048576"), MATCH(AK$1, SepR!$6:$6, 0), FALSE),
            0
        ) +
        IFERROR(
            VLOOKUP($A45, INDIRECT("OctR!$A$6:$ZZ$1048576"), MATCH(AK$1, OctR!$6:$6, 0), FALSE),
            0
        ) +
        IFERROR(
            VLOOKUP($A45, INDIRECT("NovR!$A$6:$ZZ$1048576"), MATCH(AK$1, NovR!$6:$6, 0), FALSE),
            0
        ) +
        IFERROR(
            VLOOKUP($A45, INDIRECT("DicR!$A$6:$ZZ$1048576"), MATCH(AK$1, DicR!$6:$6, 0), FALSE),
            0
        )
)</f>
        <v>0</v>
      </c>
      <c r="AL45" s="36">
        <f t="array" ref="AL45">SUM(
    IFERROR(
            VLOOKUP($A45, INDIRECT("EneR!$A$6:$ZZ$1048576"), MATCH(AL$1, EneR!$6:$6, 0), FALSE),
            0
        ) +
        IFERROR(
            VLOOKUP($A45, INDIRECT("FebR!$A$6:$ZZ$1048576"), MATCH(AL$1, FebR!$6:$6, 0), FALSE),
            0
        ) +
        IFERROR(
            VLOOKUP($A45, INDIRECT("MarR!$A$6:$ZZ$1048576"), MATCH(AL$1, MarR!$6:$6, 0), FALSE),
            0
        ) +
        IFERROR(
            VLOOKUP($A45, INDIRECT("AbrR!$A$6:$ZZ$1048576"), MATCH(AL$1, AbrR!$6:$6, 0), FALSE),
            0
        ) +
        IFERROR(
            VLOOKUP($A45, INDIRECT("MayR!$A$6:$ZZ$1048576"), MATCH(AL$1, MayR!$6:$6, 0), FALSE),
            0
        ) +
        IFERROR(
            VLOOKUP($A45, INDIRECT("JunR!$A$6:$ZZ$1048576"), MATCH(AL$1, JunR!$6:$6, 0), FALSE),
            0
        ) +
        IFERROR(
            VLOOKUP($A45, INDIRECT("JulR!$A$6:$ZZ$1048576"), MATCH(AL$1, JulR!$6:$6, 0), FALSE),
            0
        ) +
        IFERROR(
            VLOOKUP($A45, INDIRECT("AgoR!$A$6:$ZZ$1048576"), MATCH(AL$1, AgoR!$6:$6, 0), FALSE),
            0
        ) +
        IFERROR(
            VLOOKUP($A45, INDIRECT("SepR!$A$6:$ZZ$1048576"), MATCH(AL$1, SepR!$6:$6, 0), FALSE),
            0
        ) +
        IFERROR(
            VLOOKUP($A45, INDIRECT("OctR!$A$6:$ZZ$1048576"), MATCH(AL$1, OctR!$6:$6, 0), FALSE),
            0
        ) +
        IFERROR(
            VLOOKUP($A45, INDIRECT("NovR!$A$6:$ZZ$1048576"), MATCH(AL$1, NovR!$6:$6, 0), FALSE),
            0
        ) +
        IFERROR(
            VLOOKUP($A45, INDIRECT("DicR!$A$6:$ZZ$1048576"), MATCH(AL$1, DicR!$6:$6, 0), FALSE),
            0
        )
)</f>
        <v>0</v>
      </c>
      <c r="AM45" s="37">
        <f t="array" ref="AM45">SUM(
    IFERROR(
            VLOOKUP($A45, INDIRECT("EneR!$A$6:$ZZ$1048576"), MATCH(AM$1, EneR!$6:$6, 0), FALSE),
            0
        ) +
        IFERROR(
            VLOOKUP($A45, INDIRECT("FebR!$A$6:$ZZ$1048576"), MATCH(AM$1, FebR!$6:$6, 0), FALSE),
            0
        ) +
        IFERROR(
            VLOOKUP($A45, INDIRECT("MarR!$A$6:$ZZ$1048576"), MATCH(AM$1, MarR!$6:$6, 0), FALSE),
            0
        ) +
        IFERROR(
            VLOOKUP($A45, INDIRECT("AbrR!$A$6:$ZZ$1048576"), MATCH(AM$1, AbrR!$6:$6, 0), FALSE),
            0
        ) +
        IFERROR(
            VLOOKUP($A45, INDIRECT("MayR!$A$6:$ZZ$1048576"), MATCH(AM$1, MayR!$6:$6, 0), FALSE),
            0
        ) +
        IFERROR(
            VLOOKUP($A45, INDIRECT("JunR!$A$6:$ZZ$1048576"), MATCH(AM$1, JunR!$6:$6, 0), FALSE),
            0
        ) +
        IFERROR(
            VLOOKUP($A45, INDIRECT("JulR!$A$6:$ZZ$1048576"), MATCH(AM$1, JulR!$6:$6, 0), FALSE),
            0
        ) +
        IFERROR(
            VLOOKUP($A45, INDIRECT("AgoR!$A$6:$ZZ$1048576"), MATCH(AM$1, AgoR!$6:$6, 0), FALSE),
            0
        ) +
        IFERROR(
            VLOOKUP($A45, INDIRECT("SepR!$A$6:$ZZ$1048576"), MATCH(AM$1, SepR!$6:$6, 0), FALSE),
            0
        ) +
        IFERROR(
            VLOOKUP($A45, INDIRECT("OctR!$A$6:$ZZ$1048576"), MATCH(AM$1, OctR!$6:$6, 0), FALSE),
            0
        ) +
        IFERROR(
            VLOOKUP($A45, INDIRECT("NovR!$A$6:$ZZ$1048576"), MATCH(AM$1, NovR!$6:$6, 0), FALSE),
            0
        ) +
        IFERROR(
            VLOOKUP($A45, INDIRECT("DicR!$A$6:$ZZ$1048576"), MATCH(AM$1, DicR!$6:$6, 0), FALSE),
            0
        )
)</f>
        <v>0</v>
      </c>
      <c r="AN45" s="32">
        <f t="array" ref="AN45">SUM(
    IFERROR(
            VLOOKUP($A45, INDIRECT("EneR!$A$6:$ZZ$1048576"), MATCH(AN$1, EneR!$6:$6, 0), FALSE),
            0
        ) +
        IFERROR(
            VLOOKUP($A45, INDIRECT("FebR!$A$6:$ZZ$1048576"), MATCH(AN$1, FebR!$6:$6, 0), FALSE),
            0
        ) +
        IFERROR(
            VLOOKUP($A45, INDIRECT("MarR!$A$6:$ZZ$1048576"), MATCH(AN$1, MarR!$6:$6, 0), FALSE),
            0
        ) +
        IFERROR(
            VLOOKUP($A45, INDIRECT("AbrR!$A$6:$ZZ$1048576"), MATCH(AN$1, AbrR!$6:$6, 0), FALSE),
            0
        ) +
        IFERROR(
            VLOOKUP($A45, INDIRECT("MayR!$A$6:$ZZ$1048576"), MATCH(AN$1, MayR!$6:$6, 0), FALSE),
            0
        ) +
        IFERROR(
            VLOOKUP($A45, INDIRECT("JunR!$A$6:$ZZ$1048576"), MATCH(AN$1, JunR!$6:$6, 0), FALSE),
            0
        ) +
        IFERROR(
            VLOOKUP($A45, INDIRECT("JulR!$A$6:$ZZ$1048576"), MATCH(AN$1, JulR!$6:$6, 0), FALSE),
            0
        ) +
        IFERROR(
            VLOOKUP($A45, INDIRECT("AgoR!$A$6:$ZZ$1048576"), MATCH(AN$1, AgoR!$6:$6, 0), FALSE),
            0
        ) +
        IFERROR(
            VLOOKUP($A45, INDIRECT("SepR!$A$6:$ZZ$1048576"), MATCH(AN$1, SepR!$6:$6, 0), FALSE),
            0
        ) +
        IFERROR(
            VLOOKUP($A45, INDIRECT("OctR!$A$6:$ZZ$1048576"), MATCH(AN$1, OctR!$6:$6, 0), FALSE),
            0
        ) +
        IFERROR(
            VLOOKUP($A45, INDIRECT("NovR!$A$6:$ZZ$1048576"), MATCH(AN$1, NovR!$6:$6, 0), FALSE),
            0
        ) +
        IFERROR(
            VLOOKUP($A45, INDIRECT("DicR!$A$6:$ZZ$1048576"), MATCH(AN$1, DicR!$6:$6, 0), FALSE),
            0
        )
)</f>
        <v>0</v>
      </c>
      <c r="AO45" s="35">
        <f t="array" ref="AO45">SUM(
    IFERROR(
            VLOOKUP($A45, INDIRECT("EneR!$A$6:$ZZ$1048576"), MATCH(AO$1, EneR!$6:$6, 0), FALSE),
            0
        ) +
        IFERROR(
            VLOOKUP($A45, INDIRECT("FebR!$A$6:$ZZ$1048576"), MATCH(AO$1, FebR!$6:$6, 0), FALSE),
            0
        ) +
        IFERROR(
            VLOOKUP($A45, INDIRECT("MarR!$A$6:$ZZ$1048576"), MATCH(AO$1, MarR!$6:$6, 0), FALSE),
            0
        ) +
        IFERROR(
            VLOOKUP($A45, INDIRECT("AbrR!$A$6:$ZZ$1048576"), MATCH(AO$1, AbrR!$6:$6, 0), FALSE),
            0
        ) +
        IFERROR(
            VLOOKUP($A45, INDIRECT("MayR!$A$6:$ZZ$1048576"), MATCH(AO$1, MayR!$6:$6, 0), FALSE),
            0
        ) +
        IFERROR(
            VLOOKUP($A45, INDIRECT("JunR!$A$6:$ZZ$1048576"), MATCH(AO$1, JunR!$6:$6, 0), FALSE),
            0
        ) +
        IFERROR(
            VLOOKUP($A45, INDIRECT("JulR!$A$6:$ZZ$1048576"), MATCH(AO$1, JulR!$6:$6, 0), FALSE),
            0
        ) +
        IFERROR(
            VLOOKUP($A45, INDIRECT("AgoR!$A$6:$ZZ$1048576"), MATCH(AO$1, AgoR!$6:$6, 0), FALSE),
            0
        ) +
        IFERROR(
            VLOOKUP($A45, INDIRECT("SepR!$A$6:$ZZ$1048576"), MATCH(AO$1, SepR!$6:$6, 0), FALSE),
            0
        ) +
        IFERROR(
            VLOOKUP($A45, INDIRECT("OctR!$A$6:$ZZ$1048576"), MATCH(AO$1, OctR!$6:$6, 0), FALSE),
            0
        ) +
        IFERROR(
            VLOOKUP($A45, INDIRECT("NovR!$A$6:$ZZ$1048576"), MATCH(AO$1, NovR!$6:$6, 0), FALSE),
            0
        ) +
        IFERROR(
            VLOOKUP($A45, INDIRECT("DicR!$A$6:$ZZ$1048576"), MATCH(AO$1, DicR!$6:$6, 0), FALSE),
            0
        )
)</f>
        <v>0</v>
      </c>
      <c r="AP45" s="36">
        <f t="array" ref="AP45">SUM(
    IFERROR(
            VLOOKUP($A45, INDIRECT("EneR!$A$6:$ZZ$1048576"), MATCH(AP$1, EneR!$6:$6, 0), FALSE),
            0
        ) +
        IFERROR(
            VLOOKUP($A45, INDIRECT("FebR!$A$6:$ZZ$1048576"), MATCH(AP$1, FebR!$6:$6, 0), FALSE),
            0
        ) +
        IFERROR(
            VLOOKUP($A45, INDIRECT("MarR!$A$6:$ZZ$1048576"), MATCH(AP$1, MarR!$6:$6, 0), FALSE),
            0
        ) +
        IFERROR(
            VLOOKUP($A45, INDIRECT("AbrR!$A$6:$ZZ$1048576"), MATCH(AP$1, AbrR!$6:$6, 0), FALSE),
            0
        ) +
        IFERROR(
            VLOOKUP($A45, INDIRECT("MayR!$A$6:$ZZ$1048576"), MATCH(AP$1, MayR!$6:$6, 0), FALSE),
            0
        ) +
        IFERROR(
            VLOOKUP($A45, INDIRECT("JunR!$A$6:$ZZ$1048576"), MATCH(AP$1, JunR!$6:$6, 0), FALSE),
            0
        ) +
        IFERROR(
            VLOOKUP($A45, INDIRECT("JulR!$A$6:$ZZ$1048576"), MATCH(AP$1, JulR!$6:$6, 0), FALSE),
            0
        ) +
        IFERROR(
            VLOOKUP($A45, INDIRECT("AgoR!$A$6:$ZZ$1048576"), MATCH(AP$1, AgoR!$6:$6, 0), FALSE),
            0
        ) +
        IFERROR(
            VLOOKUP($A45, INDIRECT("SepR!$A$6:$ZZ$1048576"), MATCH(AP$1, SepR!$6:$6, 0), FALSE),
            0
        ) +
        IFERROR(
            VLOOKUP($A45, INDIRECT("OctR!$A$6:$ZZ$1048576"), MATCH(AP$1, OctR!$6:$6, 0), FALSE),
            0
        ) +
        IFERROR(
            VLOOKUP($A45, INDIRECT("NovR!$A$6:$ZZ$1048576"), MATCH(AP$1, NovR!$6:$6, 0), FALSE),
            0
        ) +
        IFERROR(
            VLOOKUP($A45, INDIRECT("DicR!$A$6:$ZZ$1048576"), MATCH(AP$1, DicR!$6:$6, 0), FALSE),
            0
        )
)</f>
        <v>0</v>
      </c>
      <c r="AQ45" s="35">
        <f t="array" ref="AQ45">SUM(
    IFERROR(
            VLOOKUP($A45, INDIRECT("EneR!$A$6:$ZZ$1048576"), MATCH(AQ$1, EneR!$6:$6, 0), FALSE),
            0
        ) +
        IFERROR(
            VLOOKUP($A45, INDIRECT("FebR!$A$6:$ZZ$1048576"), MATCH(AQ$1, FebR!$6:$6, 0), FALSE),
            0
        ) +
        IFERROR(
            VLOOKUP($A45, INDIRECT("MarR!$A$6:$ZZ$1048576"), MATCH(AQ$1, MarR!$6:$6, 0), FALSE),
            0
        ) +
        IFERROR(
            VLOOKUP($A45, INDIRECT("AbrR!$A$6:$ZZ$1048576"), MATCH(AQ$1, AbrR!$6:$6, 0), FALSE),
            0
        ) +
        IFERROR(
            VLOOKUP($A45, INDIRECT("MayR!$A$6:$ZZ$1048576"), MATCH(AQ$1, MayR!$6:$6, 0), FALSE),
            0
        ) +
        IFERROR(
            VLOOKUP($A45, INDIRECT("JunR!$A$6:$ZZ$1048576"), MATCH(AQ$1, JunR!$6:$6, 0), FALSE),
            0
        ) +
        IFERROR(
            VLOOKUP($A45, INDIRECT("JulR!$A$6:$ZZ$1048576"), MATCH(AQ$1, JulR!$6:$6, 0), FALSE),
            0
        ) +
        IFERROR(
            VLOOKUP($A45, INDIRECT("AgoR!$A$6:$ZZ$1048576"), MATCH(AQ$1, AgoR!$6:$6, 0), FALSE),
            0
        ) +
        IFERROR(
            VLOOKUP($A45, INDIRECT("SepR!$A$6:$ZZ$1048576"), MATCH(AQ$1, SepR!$6:$6, 0), FALSE),
            0
        ) +
        IFERROR(
            VLOOKUP($A45, INDIRECT("OctR!$A$6:$ZZ$1048576"), MATCH(AQ$1, OctR!$6:$6, 0), FALSE),
            0
        ) +
        IFERROR(
            VLOOKUP($A45, INDIRECT("NovR!$A$6:$ZZ$1048576"), MATCH(AQ$1, NovR!$6:$6, 0), FALSE),
            0
        ) +
        IFERROR(
            VLOOKUP($A45, INDIRECT("DicR!$A$6:$ZZ$1048576"), MATCH(AQ$1, DicR!$6:$6, 0), FALSE),
            0
        )
)</f>
        <v>0</v>
      </c>
      <c r="AR45" s="36">
        <f t="array" ref="AR45">SUM(
    IFERROR(
            VLOOKUP($A45, INDIRECT("EneR!$A$6:$ZZ$1048576"), MATCH(AR$1, EneR!$6:$6, 0), FALSE),
            0
        ) +
        IFERROR(
            VLOOKUP($A45, INDIRECT("FebR!$A$6:$ZZ$1048576"), MATCH(AR$1, FebR!$6:$6, 0), FALSE),
            0
        ) +
        IFERROR(
            VLOOKUP($A45, INDIRECT("MarR!$A$6:$ZZ$1048576"), MATCH(AR$1, MarR!$6:$6, 0), FALSE),
            0
        ) +
        IFERROR(
            VLOOKUP($A45, INDIRECT("AbrR!$A$6:$ZZ$1048576"), MATCH(AR$1, AbrR!$6:$6, 0), FALSE),
            0
        ) +
        IFERROR(
            VLOOKUP($A45, INDIRECT("MayR!$A$6:$ZZ$1048576"), MATCH(AR$1, MayR!$6:$6, 0), FALSE),
            0
        ) +
        IFERROR(
            VLOOKUP($A45, INDIRECT("JunR!$A$6:$ZZ$1048576"), MATCH(AR$1, JunR!$6:$6, 0), FALSE),
            0
        ) +
        IFERROR(
            VLOOKUP($A45, INDIRECT("JulR!$A$6:$ZZ$1048576"), MATCH(AR$1, JulR!$6:$6, 0), FALSE),
            0
        ) +
        IFERROR(
            VLOOKUP($A45, INDIRECT("AgoR!$A$6:$ZZ$1048576"), MATCH(AR$1, AgoR!$6:$6, 0), FALSE),
            0
        ) +
        IFERROR(
            VLOOKUP($A45, INDIRECT("SepR!$A$6:$ZZ$1048576"), MATCH(AR$1, SepR!$6:$6, 0), FALSE),
            0
        ) +
        IFERROR(
            VLOOKUP($A45, INDIRECT("OctR!$A$6:$ZZ$1048576"), MATCH(AR$1, OctR!$6:$6, 0), FALSE),
            0
        ) +
        IFERROR(
            VLOOKUP($A45, INDIRECT("NovR!$A$6:$ZZ$1048576"), MATCH(AR$1, NovR!$6:$6, 0), FALSE),
            0
        ) +
        IFERROR(
            VLOOKUP($A45, INDIRECT("DicR!$A$6:$ZZ$1048576"), MATCH(AR$1, DicR!$6:$6, 0), FALSE),
            0
        )
)</f>
        <v>0</v>
      </c>
      <c r="AS45" s="35">
        <f t="array" ref="AS45">SUM(
    IFERROR(
            VLOOKUP($A45, INDIRECT("EneR!$A$6:$ZZ$1048576"), MATCH(AS$1, EneR!$6:$6, 0), FALSE),
            0
        ) +
        IFERROR(
            VLOOKUP($A45, INDIRECT("FebR!$A$6:$ZZ$1048576"), MATCH(AS$1, FebR!$6:$6, 0), FALSE),
            0
        ) +
        IFERROR(
            VLOOKUP($A45, INDIRECT("MarR!$A$6:$ZZ$1048576"), MATCH(AS$1, MarR!$6:$6, 0), FALSE),
            0
        ) +
        IFERROR(
            VLOOKUP($A45, INDIRECT("AbrR!$A$6:$ZZ$1048576"), MATCH(AS$1, AbrR!$6:$6, 0), FALSE),
            0
        ) +
        IFERROR(
            VLOOKUP($A45, INDIRECT("MayR!$A$6:$ZZ$1048576"), MATCH(AS$1, MayR!$6:$6, 0), FALSE),
            0
        ) +
        IFERROR(
            VLOOKUP($A45, INDIRECT("JunR!$A$6:$ZZ$1048576"), MATCH(AS$1, JunR!$6:$6, 0), FALSE),
            0
        ) +
        IFERROR(
            VLOOKUP($A45, INDIRECT("JulR!$A$6:$ZZ$1048576"), MATCH(AS$1, JulR!$6:$6, 0), FALSE),
            0
        ) +
        IFERROR(
            VLOOKUP($A45, INDIRECT("AgoR!$A$6:$ZZ$1048576"), MATCH(AS$1, AgoR!$6:$6, 0), FALSE),
            0
        ) +
        IFERROR(
            VLOOKUP($A45, INDIRECT("SepR!$A$6:$ZZ$1048576"), MATCH(AS$1, SepR!$6:$6, 0), FALSE),
            0
        ) +
        IFERROR(
            VLOOKUP($A45, INDIRECT("OctR!$A$6:$ZZ$1048576"), MATCH(AS$1, OctR!$6:$6, 0), FALSE),
            0
        ) +
        IFERROR(
            VLOOKUP($A45, INDIRECT("NovR!$A$6:$ZZ$1048576"), MATCH(AS$1, NovR!$6:$6, 0), FALSE),
            0
        ) +
        IFERROR(
            VLOOKUP($A45, INDIRECT("DicR!$A$6:$ZZ$1048576"), MATCH(AS$1, DicR!$6:$6, 0), FALSE),
            0
        )
)</f>
        <v>0</v>
      </c>
      <c r="AT45" s="36">
        <f t="array" ref="AT45">SUM(
    IFERROR(
            VLOOKUP($A45, INDIRECT("EneR!$A$6:$ZZ$1048576"), MATCH(AT$1, EneR!$6:$6, 0), FALSE),
            0
        ) +
        IFERROR(
            VLOOKUP($A45, INDIRECT("FebR!$A$6:$ZZ$1048576"), MATCH(AT$1, FebR!$6:$6, 0), FALSE),
            0
        ) +
        IFERROR(
            VLOOKUP($A45, INDIRECT("MarR!$A$6:$ZZ$1048576"), MATCH(AT$1, MarR!$6:$6, 0), FALSE),
            0
        ) +
        IFERROR(
            VLOOKUP($A45, INDIRECT("AbrR!$A$6:$ZZ$1048576"), MATCH(AT$1, AbrR!$6:$6, 0), FALSE),
            0
        ) +
        IFERROR(
            VLOOKUP($A45, INDIRECT("MayR!$A$6:$ZZ$1048576"), MATCH(AT$1, MayR!$6:$6, 0), FALSE),
            0
        ) +
        IFERROR(
            VLOOKUP($A45, INDIRECT("JunR!$A$6:$ZZ$1048576"), MATCH(AT$1, JunR!$6:$6, 0), FALSE),
            0
        ) +
        IFERROR(
            VLOOKUP($A45, INDIRECT("JulR!$A$6:$ZZ$1048576"), MATCH(AT$1, JulR!$6:$6, 0), FALSE),
            0
        ) +
        IFERROR(
            VLOOKUP($A45, INDIRECT("AgoR!$A$6:$ZZ$1048576"), MATCH(AT$1, AgoR!$6:$6, 0), FALSE),
            0
        ) +
        IFERROR(
            VLOOKUP($A45, INDIRECT("SepR!$A$6:$ZZ$1048576"), MATCH(AT$1, SepR!$6:$6, 0), FALSE),
            0
        ) +
        IFERROR(
            VLOOKUP($A45, INDIRECT("OctR!$A$6:$ZZ$1048576"), MATCH(AT$1, OctR!$6:$6, 0), FALSE),
            0
        ) +
        IFERROR(
            VLOOKUP($A45, INDIRECT("NovR!$A$6:$ZZ$1048576"), MATCH(AT$1, NovR!$6:$6, 0), FALSE),
            0
        ) +
        IFERROR(
            VLOOKUP($A45, INDIRECT("DicR!$A$6:$ZZ$1048576"), MATCH(AT$1, DicR!$6:$6, 0), FALSE),
            0
        )
)</f>
        <v>0</v>
      </c>
      <c r="AU45" s="35">
        <f t="array" ref="AU45">SUM(
    IFERROR(
            VLOOKUP($A45, INDIRECT("EneR!$A$6:$ZZ$1048576"), MATCH(AU$1, EneR!$6:$6, 0), FALSE),
            0
        ) +
        IFERROR(
            VLOOKUP($A45, INDIRECT("FebR!$A$6:$ZZ$1048576"), MATCH(AU$1, FebR!$6:$6, 0), FALSE),
            0
        ) +
        IFERROR(
            VLOOKUP($A45, INDIRECT("MarR!$A$6:$ZZ$1048576"), MATCH(AU$1, MarR!$6:$6, 0), FALSE),
            0
        ) +
        IFERROR(
            VLOOKUP($A45, INDIRECT("AbrR!$A$6:$ZZ$1048576"), MATCH(AU$1, AbrR!$6:$6, 0), FALSE),
            0
        ) +
        IFERROR(
            VLOOKUP($A45, INDIRECT("MayR!$A$6:$ZZ$1048576"), MATCH(AU$1, MayR!$6:$6, 0), FALSE),
            0
        ) +
        IFERROR(
            VLOOKUP($A45, INDIRECT("JunR!$A$6:$ZZ$1048576"), MATCH(AU$1, JunR!$6:$6, 0), FALSE),
            0
        ) +
        IFERROR(
            VLOOKUP($A45, INDIRECT("JulR!$A$6:$ZZ$1048576"), MATCH(AU$1, JulR!$6:$6, 0), FALSE),
            0
        ) +
        IFERROR(
            VLOOKUP($A45, INDIRECT("AgoR!$A$6:$ZZ$1048576"), MATCH(AU$1, AgoR!$6:$6, 0), FALSE),
            0
        ) +
        IFERROR(
            VLOOKUP($A45, INDIRECT("SepR!$A$6:$ZZ$1048576"), MATCH(AU$1, SepR!$6:$6, 0), FALSE),
            0
        ) +
        IFERROR(
            VLOOKUP($A45, INDIRECT("OctR!$A$6:$ZZ$1048576"), MATCH(AU$1, OctR!$6:$6, 0), FALSE),
            0
        ) +
        IFERROR(
            VLOOKUP($A45, INDIRECT("NovR!$A$6:$ZZ$1048576"), MATCH(AU$1, NovR!$6:$6, 0), FALSE),
            0
        ) +
        IFERROR(
            VLOOKUP($A45, INDIRECT("DicR!$A$6:$ZZ$1048576"), MATCH(AU$1, DicR!$6:$6, 0), FALSE),
            0
        )
)</f>
        <v>0</v>
      </c>
      <c r="AV45" s="36">
        <f t="array" ref="AV45">SUM(
    IFERROR(
            VLOOKUP($A45, INDIRECT("EneR!$A$6:$ZZ$1048576"), MATCH(AV$1, EneR!$6:$6, 0), FALSE),
            0
        ) +
        IFERROR(
            VLOOKUP($A45, INDIRECT("FebR!$A$6:$ZZ$1048576"), MATCH(AV$1, FebR!$6:$6, 0), FALSE),
            0
        ) +
        IFERROR(
            VLOOKUP($A45, INDIRECT("MarR!$A$6:$ZZ$1048576"), MATCH(AV$1, MarR!$6:$6, 0), FALSE),
            0
        ) +
        IFERROR(
            VLOOKUP($A45, INDIRECT("AbrR!$A$6:$ZZ$1048576"), MATCH(AV$1, AbrR!$6:$6, 0), FALSE),
            0
        ) +
        IFERROR(
            VLOOKUP($A45, INDIRECT("MayR!$A$6:$ZZ$1048576"), MATCH(AV$1, MayR!$6:$6, 0), FALSE),
            0
        ) +
        IFERROR(
            VLOOKUP($A45, INDIRECT("JunR!$A$6:$ZZ$1048576"), MATCH(AV$1, JunR!$6:$6, 0), FALSE),
            0
        ) +
        IFERROR(
            VLOOKUP($A45, INDIRECT("JulR!$A$6:$ZZ$1048576"), MATCH(AV$1, JulR!$6:$6, 0), FALSE),
            0
        ) +
        IFERROR(
            VLOOKUP($A45, INDIRECT("AgoR!$A$6:$ZZ$1048576"), MATCH(AV$1, AgoR!$6:$6, 0), FALSE),
            0
        ) +
        IFERROR(
            VLOOKUP($A45, INDIRECT("SepR!$A$6:$ZZ$1048576"), MATCH(AV$1, SepR!$6:$6, 0), FALSE),
            0
        ) +
        IFERROR(
            VLOOKUP($A45, INDIRECT("OctR!$A$6:$ZZ$1048576"), MATCH(AV$1, OctR!$6:$6, 0), FALSE),
            0
        ) +
        IFERROR(
            VLOOKUP($A45, INDIRECT("NovR!$A$6:$ZZ$1048576"), MATCH(AV$1, NovR!$6:$6, 0), FALSE),
            0
        ) +
        IFERROR(
            VLOOKUP($A45, INDIRECT("DicR!$A$6:$ZZ$1048576"), MATCH(AV$1, DicR!$6:$6, 0), FALSE),
            0
        )
)</f>
        <v>0</v>
      </c>
      <c r="AW45" s="35">
        <f t="array" ref="AW45">SUM(
    IFERROR(
            VLOOKUP($A45, INDIRECT("EneR!$A$6:$ZZ$1048576"), MATCH(AW$1, EneR!$6:$6, 0), FALSE),
            0
        ) +
        IFERROR(
            VLOOKUP($A45, INDIRECT("FebR!$A$6:$ZZ$1048576"), MATCH(AW$1, FebR!$6:$6, 0), FALSE),
            0
        ) +
        IFERROR(
            VLOOKUP($A45, INDIRECT("MarR!$A$6:$ZZ$1048576"), MATCH(AW$1, MarR!$6:$6, 0), FALSE),
            0
        ) +
        IFERROR(
            VLOOKUP($A45, INDIRECT("AbrR!$A$6:$ZZ$1048576"), MATCH(AW$1, AbrR!$6:$6, 0), FALSE),
            0
        ) +
        IFERROR(
            VLOOKUP($A45, INDIRECT("MayR!$A$6:$ZZ$1048576"), MATCH(AW$1, MayR!$6:$6, 0), FALSE),
            0
        ) +
        IFERROR(
            VLOOKUP($A45, INDIRECT("JunR!$A$6:$ZZ$1048576"), MATCH(AW$1, JunR!$6:$6, 0), FALSE),
            0
        ) +
        IFERROR(
            VLOOKUP($A45, INDIRECT("JulR!$A$6:$ZZ$1048576"), MATCH(AW$1, JulR!$6:$6, 0), FALSE),
            0
        ) +
        IFERROR(
            VLOOKUP($A45, INDIRECT("AgoR!$A$6:$ZZ$1048576"), MATCH(AW$1, AgoR!$6:$6, 0), FALSE),
            0
        ) +
        IFERROR(
            VLOOKUP($A45, INDIRECT("SepR!$A$6:$ZZ$1048576"), MATCH(AW$1, SepR!$6:$6, 0), FALSE),
            0
        ) +
        IFERROR(
            VLOOKUP($A45, INDIRECT("OctR!$A$6:$ZZ$1048576"), MATCH(AW$1, OctR!$6:$6, 0), FALSE),
            0
        ) +
        IFERROR(
            VLOOKUP($A45, INDIRECT("NovR!$A$6:$ZZ$1048576"), MATCH(AW$1, NovR!$6:$6, 0), FALSE),
            0
        ) +
        IFERROR(
            VLOOKUP($A45, INDIRECT("DicR!$A$6:$ZZ$1048576"), MATCH(AW$1, DicR!$6:$6, 0), FALSE),
            0
        )
)</f>
        <v>0</v>
      </c>
      <c r="AX45" s="36">
        <f t="array" ref="AX45">SUM(
    IFERROR(
            VLOOKUP($A45, INDIRECT("EneR!$A$6:$ZZ$1048576"), MATCH(AX$1, EneR!$6:$6, 0), FALSE),
            0
        ) +
        IFERROR(
            VLOOKUP($A45, INDIRECT("FebR!$A$6:$ZZ$1048576"), MATCH(AX$1, FebR!$6:$6, 0), FALSE),
            0
        ) +
        IFERROR(
            VLOOKUP($A45, INDIRECT("MarR!$A$6:$ZZ$1048576"), MATCH(AX$1, MarR!$6:$6, 0), FALSE),
            0
        ) +
        IFERROR(
            VLOOKUP($A45, INDIRECT("AbrR!$A$6:$ZZ$1048576"), MATCH(AX$1, AbrR!$6:$6, 0), FALSE),
            0
        ) +
        IFERROR(
            VLOOKUP($A45, INDIRECT("MayR!$A$6:$ZZ$1048576"), MATCH(AX$1, MayR!$6:$6, 0), FALSE),
            0
        ) +
        IFERROR(
            VLOOKUP($A45, INDIRECT("JunR!$A$6:$ZZ$1048576"), MATCH(AX$1, JunR!$6:$6, 0), FALSE),
            0
        ) +
        IFERROR(
            VLOOKUP($A45, INDIRECT("JulR!$A$6:$ZZ$1048576"), MATCH(AX$1, JulR!$6:$6, 0), FALSE),
            0
        ) +
        IFERROR(
            VLOOKUP($A45, INDIRECT("AgoR!$A$6:$ZZ$1048576"), MATCH(AX$1, AgoR!$6:$6, 0), FALSE),
            0
        ) +
        IFERROR(
            VLOOKUP($A45, INDIRECT("SepR!$A$6:$ZZ$1048576"), MATCH(AX$1, SepR!$6:$6, 0), FALSE),
            0
        ) +
        IFERROR(
            VLOOKUP($A45, INDIRECT("OctR!$A$6:$ZZ$1048576"), MATCH(AX$1, OctR!$6:$6, 0), FALSE),
            0
        ) +
        IFERROR(
            VLOOKUP($A45, INDIRECT("NovR!$A$6:$ZZ$1048576"), MATCH(AX$1, NovR!$6:$6, 0), FALSE),
            0
        ) +
        IFERROR(
            VLOOKUP($A45, INDIRECT("DicR!$A$6:$ZZ$1048576"), MATCH(AX$1, DicR!$6:$6, 0), FALSE),
            0
        )
)</f>
        <v>0</v>
      </c>
      <c r="AY45" s="35">
        <f t="array" ref="AY45">SUM(
    IFERROR(
            VLOOKUP($A45, INDIRECT("EneR!$A$6:$ZZ$1048576"), MATCH(AY$1, EneR!$6:$6, 0), FALSE),
            0
        ) +
        IFERROR(
            VLOOKUP($A45, INDIRECT("FebR!$A$6:$ZZ$1048576"), MATCH(AY$1, FebR!$6:$6, 0), FALSE),
            0
        ) +
        IFERROR(
            VLOOKUP($A45, INDIRECT("MarR!$A$6:$ZZ$1048576"), MATCH(AY$1, MarR!$6:$6, 0), FALSE),
            0
        ) +
        IFERROR(
            VLOOKUP($A45, INDIRECT("AbrR!$A$6:$ZZ$1048576"), MATCH(AY$1, AbrR!$6:$6, 0), FALSE),
            0
        ) +
        IFERROR(
            VLOOKUP($A45, INDIRECT("MayR!$A$6:$ZZ$1048576"), MATCH(AY$1, MayR!$6:$6, 0), FALSE),
            0
        ) +
        IFERROR(
            VLOOKUP($A45, INDIRECT("JunR!$A$6:$ZZ$1048576"), MATCH(AY$1, JunR!$6:$6, 0), FALSE),
            0
        ) +
        IFERROR(
            VLOOKUP($A45, INDIRECT("JulR!$A$6:$ZZ$1048576"), MATCH(AY$1, JulR!$6:$6, 0), FALSE),
            0
        ) +
        IFERROR(
            VLOOKUP($A45, INDIRECT("AgoR!$A$6:$ZZ$1048576"), MATCH(AY$1, AgoR!$6:$6, 0), FALSE),
            0
        ) +
        IFERROR(
            VLOOKUP($A45, INDIRECT("SepR!$A$6:$ZZ$1048576"), MATCH(AY$1, SepR!$6:$6, 0), FALSE),
            0
        ) +
        IFERROR(
            VLOOKUP($A45, INDIRECT("OctR!$A$6:$ZZ$1048576"), MATCH(AY$1, OctR!$6:$6, 0), FALSE),
            0
        ) +
        IFERROR(
            VLOOKUP($A45, INDIRECT("NovR!$A$6:$ZZ$1048576"), MATCH(AY$1, NovR!$6:$6, 0), FALSE),
            0
        ) +
        IFERROR(
            VLOOKUP($A45, INDIRECT("DicR!$A$6:$ZZ$1048576"), MATCH(AY$1, DicR!$6:$6, 0), FALSE),
            0
        )
)</f>
        <v>0</v>
      </c>
      <c r="AZ45" s="35"/>
    </row>
    <row r="46" ht="15.75" customHeight="1">
      <c r="A46" s="12" t="str">
        <f>Menus!B7</f>
        <v/>
      </c>
      <c r="B46" s="32">
        <f t="shared" si="9"/>
        <v>0</v>
      </c>
      <c r="C46" s="33" t="str">
        <f t="shared" si="10"/>
        <v/>
      </c>
      <c r="D46" s="34">
        <f t="array" ref="D46">SUM(
    IFERROR(
            VLOOKUP($A46, INDIRECT("EneR!$A$6:$ZZ$1048576"), MATCH(D$1, EneR!$6:$6, 0), FALSE),
            0
        ) +
        IFERROR(
            VLOOKUP($A46, INDIRECT("FebR!$A$6:$ZZ$1048576"), MATCH(D$1, FebR!$6:$6, 0), FALSE),
            0
        ) +
        IFERROR(
            VLOOKUP($A46, INDIRECT("MarR!$A$6:$ZZ$1048576"), MATCH(D$1, MarR!$6:$6, 0), FALSE),
            0
        ) +
        IFERROR(
            VLOOKUP($A46, INDIRECT("AbrR!$A$6:$ZZ$1048576"), MATCH(D$1, AbrR!$6:$6, 0), FALSE),
            0
        ) +
        IFERROR(
            VLOOKUP($A46, INDIRECT("MayR!$A$6:$ZZ$1048576"), MATCH(D$1, MayR!$6:$6, 0), FALSE),
            0
        ) +
        IFERROR(
            VLOOKUP($A46, INDIRECT("JunR!$A$6:$ZZ$1048576"), MATCH(D$1, JunR!$6:$6, 0), FALSE),
            0
        ) +
        IFERROR(
            VLOOKUP($A46, INDIRECT("JulR!$A$6:$ZZ$1048576"), MATCH(D$1, JulR!$6:$6, 0), FALSE),
            0
        ) +
        IFERROR(
            VLOOKUP($A46, INDIRECT("AgoR!$A$6:$ZZ$1048576"), MATCH(D$1, AgoR!$6:$6, 0), FALSE),
            0
        ) +
        IFERROR(
            VLOOKUP($A46, INDIRECT("SepR!$A$6:$ZZ$1048576"), MATCH(D$1, SepR!$6:$6, 0), FALSE),
            0
        ) +
        IFERROR(
            VLOOKUP($A46, INDIRECT("OctR!$A$6:$ZZ$1048576"), MATCH(D$1, OctR!$6:$6, 0), FALSE),
            0
        ) +
        IFERROR(
            VLOOKUP($A46, INDIRECT("NovR!$A$6:$ZZ$1048576"), MATCH(D$1, NovR!$6:$6, 0), FALSE),
            0
        ) +
        IFERROR(
            VLOOKUP($A46, INDIRECT("DicR!$A$6:$ZZ$1048576"), MATCH(D$1, DicR!$6:$6, 0), FALSE),
            0
        )
)</f>
        <v>0</v>
      </c>
      <c r="E46" s="35">
        <f t="array" ref="E46">SUM(
    IFERROR(
            VLOOKUP($A46, INDIRECT("EneR!$A$6:$ZZ$1048576"), MATCH(E$1, EneR!$6:$6, 0), FALSE),
            0
        ) +
        IFERROR(
            VLOOKUP($A46, INDIRECT("FebR!$A$6:$ZZ$1048576"), MATCH(E$1, FebR!$6:$6, 0), FALSE),
            0
        ) +
        IFERROR(
            VLOOKUP($A46, INDIRECT("MarR!$A$6:$ZZ$1048576"), MATCH(E$1, MarR!$6:$6, 0), FALSE),
            0
        ) +
        IFERROR(
            VLOOKUP($A46, INDIRECT("AbrR!$A$6:$ZZ$1048576"), MATCH(E$1, AbrR!$6:$6, 0), FALSE),
            0
        ) +
        IFERROR(
            VLOOKUP($A46, INDIRECT("MayR!$A$6:$ZZ$1048576"), MATCH(E$1, MayR!$6:$6, 0), FALSE),
            0
        ) +
        IFERROR(
            VLOOKUP($A46, INDIRECT("JunR!$A$6:$ZZ$1048576"), MATCH(E$1, JunR!$6:$6, 0), FALSE),
            0
        ) +
        IFERROR(
            VLOOKUP($A46, INDIRECT("JulR!$A$6:$ZZ$1048576"), MATCH(E$1, JulR!$6:$6, 0), FALSE),
            0
        ) +
        IFERROR(
            VLOOKUP($A46, INDIRECT("AgoR!$A$6:$ZZ$1048576"), MATCH(E$1, AgoR!$6:$6, 0), FALSE),
            0
        ) +
        IFERROR(
            VLOOKUP($A46, INDIRECT("SepR!$A$6:$ZZ$1048576"), MATCH(E$1, SepR!$6:$6, 0), FALSE),
            0
        ) +
        IFERROR(
            VLOOKUP($A46, INDIRECT("OctR!$A$6:$ZZ$1048576"), MATCH(E$1, OctR!$6:$6, 0), FALSE),
            0
        ) +
        IFERROR(
            VLOOKUP($A46, INDIRECT("NovR!$A$6:$ZZ$1048576"), MATCH(E$1, NovR!$6:$6, 0), FALSE),
            0
        ) +
        IFERROR(
            VLOOKUP($A46, INDIRECT("DicR!$A$6:$ZZ$1048576"), MATCH(E$1, DicR!$6:$6, 0), FALSE),
            0
        )
)</f>
        <v>0</v>
      </c>
      <c r="F46" s="32">
        <f t="array" ref="F46">SUM(
    IFERROR(
            VLOOKUP($A46, INDIRECT("EneR!$A$6:$ZZ$1048576"), MATCH(F$1, EneR!$6:$6, 0), FALSE),
            0
        ) +
        IFERROR(
            VLOOKUP($A46, INDIRECT("FebR!$A$6:$ZZ$1048576"), MATCH(F$1, FebR!$6:$6, 0), FALSE),
            0
        ) +
        IFERROR(
            VLOOKUP($A46, INDIRECT("MarR!$A$6:$ZZ$1048576"), MATCH(F$1, MarR!$6:$6, 0), FALSE),
            0
        ) +
        IFERROR(
            VLOOKUP($A46, INDIRECT("AbrR!$A$6:$ZZ$1048576"), MATCH(F$1, AbrR!$6:$6, 0), FALSE),
            0
        ) +
        IFERROR(
            VLOOKUP($A46, INDIRECT("MayR!$A$6:$ZZ$1048576"), MATCH(F$1, MayR!$6:$6, 0), FALSE),
            0
        ) +
        IFERROR(
            VLOOKUP($A46, INDIRECT("JunR!$A$6:$ZZ$1048576"), MATCH(F$1, JunR!$6:$6, 0), FALSE),
            0
        ) +
        IFERROR(
            VLOOKUP($A46, INDIRECT("JulR!$A$6:$ZZ$1048576"), MATCH(F$1, JulR!$6:$6, 0), FALSE),
            0
        ) +
        IFERROR(
            VLOOKUP($A46, INDIRECT("AgoR!$A$6:$ZZ$1048576"), MATCH(F$1, AgoR!$6:$6, 0), FALSE),
            0
        ) +
        IFERROR(
            VLOOKUP($A46, INDIRECT("SepR!$A$6:$ZZ$1048576"), MATCH(F$1, SepR!$6:$6, 0), FALSE),
            0
        ) +
        IFERROR(
            VLOOKUP($A46, INDIRECT("OctR!$A$6:$ZZ$1048576"), MATCH(F$1, OctR!$6:$6, 0), FALSE),
            0
        ) +
        IFERROR(
            VLOOKUP($A46, INDIRECT("NovR!$A$6:$ZZ$1048576"), MATCH(F$1, NovR!$6:$6, 0), FALSE),
            0
        ) +
        IFERROR(
            VLOOKUP($A46, INDIRECT("DicR!$A$6:$ZZ$1048576"), MATCH(F$1, DicR!$6:$6, 0), FALSE),
            0
        )
)</f>
        <v>0</v>
      </c>
      <c r="G46" s="35">
        <f t="array" ref="G46">SUM(
    IFERROR(
            VLOOKUP($A46, INDIRECT("EneR!$A$6:$ZZ$1048576"), MATCH(G$1, EneR!$6:$6, 0), FALSE),
            0
        ) +
        IFERROR(
            VLOOKUP($A46, INDIRECT("FebR!$A$6:$ZZ$1048576"), MATCH(G$1, FebR!$6:$6, 0), FALSE),
            0
        ) +
        IFERROR(
            VLOOKUP($A46, INDIRECT("MarR!$A$6:$ZZ$1048576"), MATCH(G$1, MarR!$6:$6, 0), FALSE),
            0
        ) +
        IFERROR(
            VLOOKUP($A46, INDIRECT("AbrR!$A$6:$ZZ$1048576"), MATCH(G$1, AbrR!$6:$6, 0), FALSE),
            0
        ) +
        IFERROR(
            VLOOKUP($A46, INDIRECT("MayR!$A$6:$ZZ$1048576"), MATCH(G$1, MayR!$6:$6, 0), FALSE),
            0
        ) +
        IFERROR(
            VLOOKUP($A46, INDIRECT("JunR!$A$6:$ZZ$1048576"), MATCH(G$1, JunR!$6:$6, 0), FALSE),
            0
        ) +
        IFERROR(
            VLOOKUP($A46, INDIRECT("JulR!$A$6:$ZZ$1048576"), MATCH(G$1, JulR!$6:$6, 0), FALSE),
            0
        ) +
        IFERROR(
            VLOOKUP($A46, INDIRECT("AgoR!$A$6:$ZZ$1048576"), MATCH(G$1, AgoR!$6:$6, 0), FALSE),
            0
        ) +
        IFERROR(
            VLOOKUP($A46, INDIRECT("SepR!$A$6:$ZZ$1048576"), MATCH(G$1, SepR!$6:$6, 0), FALSE),
            0
        ) +
        IFERROR(
            VLOOKUP($A46, INDIRECT("OctR!$A$6:$ZZ$1048576"), MATCH(G$1, OctR!$6:$6, 0), FALSE),
            0
        ) +
        IFERROR(
            VLOOKUP($A46, INDIRECT("NovR!$A$6:$ZZ$1048576"), MATCH(G$1, NovR!$6:$6, 0), FALSE),
            0
        ) +
        IFERROR(
            VLOOKUP($A46, INDIRECT("DicR!$A$6:$ZZ$1048576"), MATCH(G$1, DicR!$6:$6, 0), FALSE),
            0
        )
)</f>
        <v>0</v>
      </c>
      <c r="H46" s="32">
        <f t="array" ref="H46">SUM(
    IFERROR(
            VLOOKUP($A46, INDIRECT("EneR!$A$6:$ZZ$1048576"), MATCH(H$1, EneR!$6:$6, 0), FALSE),
            0
        ) +
        IFERROR(
            VLOOKUP($A46, INDIRECT("FebR!$A$6:$ZZ$1048576"), MATCH(H$1, FebR!$6:$6, 0), FALSE),
            0
        ) +
        IFERROR(
            VLOOKUP($A46, INDIRECT("MarR!$A$6:$ZZ$1048576"), MATCH(H$1, MarR!$6:$6, 0), FALSE),
            0
        ) +
        IFERROR(
            VLOOKUP($A46, INDIRECT("AbrR!$A$6:$ZZ$1048576"), MATCH(H$1, AbrR!$6:$6, 0), FALSE),
            0
        ) +
        IFERROR(
            VLOOKUP($A46, INDIRECT("MayR!$A$6:$ZZ$1048576"), MATCH(H$1, MayR!$6:$6, 0), FALSE),
            0
        ) +
        IFERROR(
            VLOOKUP($A46, INDIRECT("JunR!$A$6:$ZZ$1048576"), MATCH(H$1, JunR!$6:$6, 0), FALSE),
            0
        ) +
        IFERROR(
            VLOOKUP($A46, INDIRECT("JulR!$A$6:$ZZ$1048576"), MATCH(H$1, JulR!$6:$6, 0), FALSE),
            0
        ) +
        IFERROR(
            VLOOKUP($A46, INDIRECT("AgoR!$A$6:$ZZ$1048576"), MATCH(H$1, AgoR!$6:$6, 0), FALSE),
            0
        ) +
        IFERROR(
            VLOOKUP($A46, INDIRECT("SepR!$A$6:$ZZ$1048576"), MATCH(H$1, SepR!$6:$6, 0), FALSE),
            0
        ) +
        IFERROR(
            VLOOKUP($A46, INDIRECT("OctR!$A$6:$ZZ$1048576"), MATCH(H$1, OctR!$6:$6, 0), FALSE),
            0
        ) +
        IFERROR(
            VLOOKUP($A46, INDIRECT("NovR!$A$6:$ZZ$1048576"), MATCH(H$1, NovR!$6:$6, 0), FALSE),
            0
        ) +
        IFERROR(
            VLOOKUP($A46, INDIRECT("DicR!$A$6:$ZZ$1048576"), MATCH(H$1, DicR!$6:$6, 0), FALSE),
            0
        )
)</f>
        <v>0</v>
      </c>
      <c r="I46" s="35">
        <f t="array" ref="I46">SUM(
    IFERROR(
            VLOOKUP($A46, INDIRECT("EneR!$A$6:$ZZ$1048576"), MATCH(I$1, EneR!$6:$6, 0), FALSE),
            0
        ) +
        IFERROR(
            VLOOKUP($A46, INDIRECT("FebR!$A$6:$ZZ$1048576"), MATCH(I$1, FebR!$6:$6, 0), FALSE),
            0
        ) +
        IFERROR(
            VLOOKUP($A46, INDIRECT("MarR!$A$6:$ZZ$1048576"), MATCH(I$1, MarR!$6:$6, 0), FALSE),
            0
        ) +
        IFERROR(
            VLOOKUP($A46, INDIRECT("AbrR!$A$6:$ZZ$1048576"), MATCH(I$1, AbrR!$6:$6, 0), FALSE),
            0
        ) +
        IFERROR(
            VLOOKUP($A46, INDIRECT("MayR!$A$6:$ZZ$1048576"), MATCH(I$1, MayR!$6:$6, 0), FALSE),
            0
        ) +
        IFERROR(
            VLOOKUP($A46, INDIRECT("JunR!$A$6:$ZZ$1048576"), MATCH(I$1, JunR!$6:$6, 0), FALSE),
            0
        ) +
        IFERROR(
            VLOOKUP($A46, INDIRECT("JulR!$A$6:$ZZ$1048576"), MATCH(I$1, JulR!$6:$6, 0), FALSE),
            0
        ) +
        IFERROR(
            VLOOKUP($A46, INDIRECT("AgoR!$A$6:$ZZ$1048576"), MATCH(I$1, AgoR!$6:$6, 0), FALSE),
            0
        ) +
        IFERROR(
            VLOOKUP($A46, INDIRECT("SepR!$A$6:$ZZ$1048576"), MATCH(I$1, SepR!$6:$6, 0), FALSE),
            0
        ) +
        IFERROR(
            VLOOKUP($A46, INDIRECT("OctR!$A$6:$ZZ$1048576"), MATCH(I$1, OctR!$6:$6, 0), FALSE),
            0
        ) +
        IFERROR(
            VLOOKUP($A46, INDIRECT("NovR!$A$6:$ZZ$1048576"), MATCH(I$1, NovR!$6:$6, 0), FALSE),
            0
        ) +
        IFERROR(
            VLOOKUP($A46, INDIRECT("DicR!$A$6:$ZZ$1048576"), MATCH(I$1, DicR!$6:$6, 0), FALSE),
            0
        )
)</f>
        <v>0</v>
      </c>
      <c r="J46" s="32">
        <f t="array" ref="J46">SUM(
    IFERROR(
            VLOOKUP($A46, INDIRECT("EneR!$A$6:$ZZ$1048576"), MATCH(J$1, EneR!$6:$6, 0), FALSE),
            0
        ) +
        IFERROR(
            VLOOKUP($A46, INDIRECT("FebR!$A$6:$ZZ$1048576"), MATCH(J$1, FebR!$6:$6, 0), FALSE),
            0
        ) +
        IFERROR(
            VLOOKUP($A46, INDIRECT("MarR!$A$6:$ZZ$1048576"), MATCH(J$1, MarR!$6:$6, 0), FALSE),
            0
        ) +
        IFERROR(
            VLOOKUP($A46, INDIRECT("AbrR!$A$6:$ZZ$1048576"), MATCH(J$1, AbrR!$6:$6, 0), FALSE),
            0
        ) +
        IFERROR(
            VLOOKUP($A46, INDIRECT("MayR!$A$6:$ZZ$1048576"), MATCH(J$1, MayR!$6:$6, 0), FALSE),
            0
        ) +
        IFERROR(
            VLOOKUP($A46, INDIRECT("JunR!$A$6:$ZZ$1048576"), MATCH(J$1, JunR!$6:$6, 0), FALSE),
            0
        ) +
        IFERROR(
            VLOOKUP($A46, INDIRECT("JulR!$A$6:$ZZ$1048576"), MATCH(J$1, JulR!$6:$6, 0), FALSE),
            0
        ) +
        IFERROR(
            VLOOKUP($A46, INDIRECT("AgoR!$A$6:$ZZ$1048576"), MATCH(J$1, AgoR!$6:$6, 0), FALSE),
            0
        ) +
        IFERROR(
            VLOOKUP($A46, INDIRECT("SepR!$A$6:$ZZ$1048576"), MATCH(J$1, SepR!$6:$6, 0), FALSE),
            0
        ) +
        IFERROR(
            VLOOKUP($A46, INDIRECT("OctR!$A$6:$ZZ$1048576"), MATCH(J$1, OctR!$6:$6, 0), FALSE),
            0
        ) +
        IFERROR(
            VLOOKUP($A46, INDIRECT("NovR!$A$6:$ZZ$1048576"), MATCH(J$1, NovR!$6:$6, 0), FALSE),
            0
        ) +
        IFERROR(
            VLOOKUP($A46, INDIRECT("DicR!$A$6:$ZZ$1048576"), MATCH(J$1, DicR!$6:$6, 0), FALSE),
            0
        )
)</f>
        <v>0</v>
      </c>
      <c r="K46" s="35">
        <f t="array" ref="K46">SUM(
    IFERROR(
            VLOOKUP($A46, INDIRECT("EneR!$A$6:$ZZ$1048576"), MATCH(K$1, EneR!$6:$6, 0), FALSE),
            0
        ) +
        IFERROR(
            VLOOKUP($A46, INDIRECT("FebR!$A$6:$ZZ$1048576"), MATCH(K$1, FebR!$6:$6, 0), FALSE),
            0
        ) +
        IFERROR(
            VLOOKUP($A46, INDIRECT("MarR!$A$6:$ZZ$1048576"), MATCH(K$1, MarR!$6:$6, 0), FALSE),
            0
        ) +
        IFERROR(
            VLOOKUP($A46, INDIRECT("AbrR!$A$6:$ZZ$1048576"), MATCH(K$1, AbrR!$6:$6, 0), FALSE),
            0
        ) +
        IFERROR(
            VLOOKUP($A46, INDIRECT("MayR!$A$6:$ZZ$1048576"), MATCH(K$1, MayR!$6:$6, 0), FALSE),
            0
        ) +
        IFERROR(
            VLOOKUP($A46, INDIRECT("JunR!$A$6:$ZZ$1048576"), MATCH(K$1, JunR!$6:$6, 0), FALSE),
            0
        ) +
        IFERROR(
            VLOOKUP($A46, INDIRECT("JulR!$A$6:$ZZ$1048576"), MATCH(K$1, JulR!$6:$6, 0), FALSE),
            0
        ) +
        IFERROR(
            VLOOKUP($A46, INDIRECT("AgoR!$A$6:$ZZ$1048576"), MATCH(K$1, AgoR!$6:$6, 0), FALSE),
            0
        ) +
        IFERROR(
            VLOOKUP($A46, INDIRECT("SepR!$A$6:$ZZ$1048576"), MATCH(K$1, SepR!$6:$6, 0), FALSE),
            0
        ) +
        IFERROR(
            VLOOKUP($A46, INDIRECT("OctR!$A$6:$ZZ$1048576"), MATCH(K$1, OctR!$6:$6, 0), FALSE),
            0
        ) +
        IFERROR(
            VLOOKUP($A46, INDIRECT("NovR!$A$6:$ZZ$1048576"), MATCH(K$1, NovR!$6:$6, 0), FALSE),
            0
        ) +
        IFERROR(
            VLOOKUP($A46, INDIRECT("DicR!$A$6:$ZZ$1048576"), MATCH(K$1, DicR!$6:$6, 0), FALSE),
            0
        )
)</f>
        <v>0</v>
      </c>
      <c r="L46" s="32">
        <f t="array" ref="L46">SUM(
    IFERROR(
            VLOOKUP($A46, INDIRECT("EneR!$A$6:$ZZ$1048576"), MATCH(L$1, EneR!$6:$6, 0), FALSE),
            0
        ) +
        IFERROR(
            VLOOKUP($A46, INDIRECT("FebR!$A$6:$ZZ$1048576"), MATCH(L$1, FebR!$6:$6, 0), FALSE),
            0
        ) +
        IFERROR(
            VLOOKUP($A46, INDIRECT("MarR!$A$6:$ZZ$1048576"), MATCH(L$1, MarR!$6:$6, 0), FALSE),
            0
        ) +
        IFERROR(
            VLOOKUP($A46, INDIRECT("AbrR!$A$6:$ZZ$1048576"), MATCH(L$1, AbrR!$6:$6, 0), FALSE),
            0
        ) +
        IFERROR(
            VLOOKUP($A46, INDIRECT("MayR!$A$6:$ZZ$1048576"), MATCH(L$1, MayR!$6:$6, 0), FALSE),
            0
        ) +
        IFERROR(
            VLOOKUP($A46, INDIRECT("JunR!$A$6:$ZZ$1048576"), MATCH(L$1, JunR!$6:$6, 0), FALSE),
            0
        ) +
        IFERROR(
            VLOOKUP($A46, INDIRECT("JulR!$A$6:$ZZ$1048576"), MATCH(L$1, JulR!$6:$6, 0), FALSE),
            0
        ) +
        IFERROR(
            VLOOKUP($A46, INDIRECT("AgoR!$A$6:$ZZ$1048576"), MATCH(L$1, AgoR!$6:$6, 0), FALSE),
            0
        ) +
        IFERROR(
            VLOOKUP($A46, INDIRECT("SepR!$A$6:$ZZ$1048576"), MATCH(L$1, SepR!$6:$6, 0), FALSE),
            0
        ) +
        IFERROR(
            VLOOKUP($A46, INDIRECT("OctR!$A$6:$ZZ$1048576"), MATCH(L$1, OctR!$6:$6, 0), FALSE),
            0
        ) +
        IFERROR(
            VLOOKUP($A46, INDIRECT("NovR!$A$6:$ZZ$1048576"), MATCH(L$1, NovR!$6:$6, 0), FALSE),
            0
        ) +
        IFERROR(
            VLOOKUP($A46, INDIRECT("DicR!$A$6:$ZZ$1048576"), MATCH(L$1, DicR!$6:$6, 0), FALSE),
            0
        )
)</f>
        <v>0</v>
      </c>
      <c r="M46" s="35">
        <f t="array" ref="M46">SUM(
    IFERROR(
            VLOOKUP($A46, INDIRECT("EneR!$A$6:$ZZ$1048576"), MATCH(M$1, EneR!$6:$6, 0), FALSE),
            0
        ) +
        IFERROR(
            VLOOKUP($A46, INDIRECT("FebR!$A$6:$ZZ$1048576"), MATCH(M$1, FebR!$6:$6, 0), FALSE),
            0
        ) +
        IFERROR(
            VLOOKUP($A46, INDIRECT("MarR!$A$6:$ZZ$1048576"), MATCH(M$1, MarR!$6:$6, 0), FALSE),
            0
        ) +
        IFERROR(
            VLOOKUP($A46, INDIRECT("AbrR!$A$6:$ZZ$1048576"), MATCH(M$1, AbrR!$6:$6, 0), FALSE),
            0
        ) +
        IFERROR(
            VLOOKUP($A46, INDIRECT("MayR!$A$6:$ZZ$1048576"), MATCH(M$1, MayR!$6:$6, 0), FALSE),
            0
        ) +
        IFERROR(
            VLOOKUP($A46, INDIRECT("JunR!$A$6:$ZZ$1048576"), MATCH(M$1, JunR!$6:$6, 0), FALSE),
            0
        ) +
        IFERROR(
            VLOOKUP($A46, INDIRECT("JulR!$A$6:$ZZ$1048576"), MATCH(M$1, JulR!$6:$6, 0), FALSE),
            0
        ) +
        IFERROR(
            VLOOKUP($A46, INDIRECT("AgoR!$A$6:$ZZ$1048576"), MATCH(M$1, AgoR!$6:$6, 0), FALSE),
            0
        ) +
        IFERROR(
            VLOOKUP($A46, INDIRECT("SepR!$A$6:$ZZ$1048576"), MATCH(M$1, SepR!$6:$6, 0), FALSE),
            0
        ) +
        IFERROR(
            VLOOKUP($A46, INDIRECT("OctR!$A$6:$ZZ$1048576"), MATCH(M$1, OctR!$6:$6, 0), FALSE),
            0
        ) +
        IFERROR(
            VLOOKUP($A46, INDIRECT("NovR!$A$6:$ZZ$1048576"), MATCH(M$1, NovR!$6:$6, 0), FALSE),
            0
        ) +
        IFERROR(
            VLOOKUP($A46, INDIRECT("DicR!$A$6:$ZZ$1048576"), MATCH(M$1, DicR!$6:$6, 0), FALSE),
            0
        )
)</f>
        <v>0</v>
      </c>
      <c r="N46" s="32">
        <f t="array" ref="N46">SUM(
    IFERROR(
            VLOOKUP($A46, INDIRECT("EneR!$A$6:$ZZ$1048576"), MATCH(N$1, EneR!$6:$6, 0), FALSE),
            0
        ) +
        IFERROR(
            VLOOKUP($A46, INDIRECT("FebR!$A$6:$ZZ$1048576"), MATCH(N$1, FebR!$6:$6, 0), FALSE),
            0
        ) +
        IFERROR(
            VLOOKUP($A46, INDIRECT("MarR!$A$6:$ZZ$1048576"), MATCH(N$1, MarR!$6:$6, 0), FALSE),
            0
        ) +
        IFERROR(
            VLOOKUP($A46, INDIRECT("AbrR!$A$6:$ZZ$1048576"), MATCH(N$1, AbrR!$6:$6, 0), FALSE),
            0
        ) +
        IFERROR(
            VLOOKUP($A46, INDIRECT("MayR!$A$6:$ZZ$1048576"), MATCH(N$1, MayR!$6:$6, 0), FALSE),
            0
        ) +
        IFERROR(
            VLOOKUP($A46, INDIRECT("JunR!$A$6:$ZZ$1048576"), MATCH(N$1, JunR!$6:$6, 0), FALSE),
            0
        ) +
        IFERROR(
            VLOOKUP($A46, INDIRECT("JulR!$A$6:$ZZ$1048576"), MATCH(N$1, JulR!$6:$6, 0), FALSE),
            0
        ) +
        IFERROR(
            VLOOKUP($A46, INDIRECT("AgoR!$A$6:$ZZ$1048576"), MATCH(N$1, AgoR!$6:$6, 0), FALSE),
            0
        ) +
        IFERROR(
            VLOOKUP($A46, INDIRECT("SepR!$A$6:$ZZ$1048576"), MATCH(N$1, SepR!$6:$6, 0), FALSE),
            0
        ) +
        IFERROR(
            VLOOKUP($A46, INDIRECT("OctR!$A$6:$ZZ$1048576"), MATCH(N$1, OctR!$6:$6, 0), FALSE),
            0
        ) +
        IFERROR(
            VLOOKUP($A46, INDIRECT("NovR!$A$6:$ZZ$1048576"), MATCH(N$1, NovR!$6:$6, 0), FALSE),
            0
        ) +
        IFERROR(
            VLOOKUP($A46, INDIRECT("DicR!$A$6:$ZZ$1048576"), MATCH(N$1, DicR!$6:$6, 0), FALSE),
            0
        )
)</f>
        <v>0</v>
      </c>
      <c r="O46" s="35">
        <f t="array" ref="O46">SUM(
    IFERROR(
            VLOOKUP($A46, INDIRECT("EneR!$A$6:$ZZ$1048576"), MATCH(O$1, EneR!$6:$6, 0), FALSE),
            0
        ) +
        IFERROR(
            VLOOKUP($A46, INDIRECT("FebR!$A$6:$ZZ$1048576"), MATCH(O$1, FebR!$6:$6, 0), FALSE),
            0
        ) +
        IFERROR(
            VLOOKUP($A46, INDIRECT("MarR!$A$6:$ZZ$1048576"), MATCH(O$1, MarR!$6:$6, 0), FALSE),
            0
        ) +
        IFERROR(
            VLOOKUP($A46, INDIRECT("AbrR!$A$6:$ZZ$1048576"), MATCH(O$1, AbrR!$6:$6, 0), FALSE),
            0
        ) +
        IFERROR(
            VLOOKUP($A46, INDIRECT("MayR!$A$6:$ZZ$1048576"), MATCH(O$1, MayR!$6:$6, 0), FALSE),
            0
        ) +
        IFERROR(
            VLOOKUP($A46, INDIRECT("JunR!$A$6:$ZZ$1048576"), MATCH(O$1, JunR!$6:$6, 0), FALSE),
            0
        ) +
        IFERROR(
            VLOOKUP($A46, INDIRECT("JulR!$A$6:$ZZ$1048576"), MATCH(O$1, JulR!$6:$6, 0), FALSE),
            0
        ) +
        IFERROR(
            VLOOKUP($A46, INDIRECT("AgoR!$A$6:$ZZ$1048576"), MATCH(O$1, AgoR!$6:$6, 0), FALSE),
            0
        ) +
        IFERROR(
            VLOOKUP($A46, INDIRECT("SepR!$A$6:$ZZ$1048576"), MATCH(O$1, SepR!$6:$6, 0), FALSE),
            0
        ) +
        IFERROR(
            VLOOKUP($A46, INDIRECT("OctR!$A$6:$ZZ$1048576"), MATCH(O$1, OctR!$6:$6, 0), FALSE),
            0
        ) +
        IFERROR(
            VLOOKUP($A46, INDIRECT("NovR!$A$6:$ZZ$1048576"), MATCH(O$1, NovR!$6:$6, 0), FALSE),
            0
        ) +
        IFERROR(
            VLOOKUP($A46, INDIRECT("DicR!$A$6:$ZZ$1048576"), MATCH(O$1, DicR!$6:$6, 0), FALSE),
            0
        )
)</f>
        <v>0</v>
      </c>
      <c r="P46" s="32">
        <f t="array" ref="P46">SUM(
    IFERROR(
            VLOOKUP($A46, INDIRECT("EneR!$A$6:$ZZ$1048576"), MATCH(P$1, EneR!$6:$6, 0), FALSE),
            0
        ) +
        IFERROR(
            VLOOKUP($A46, INDIRECT("FebR!$A$6:$ZZ$1048576"), MATCH(P$1, FebR!$6:$6, 0), FALSE),
            0
        ) +
        IFERROR(
            VLOOKUP($A46, INDIRECT("MarR!$A$6:$ZZ$1048576"), MATCH(P$1, MarR!$6:$6, 0), FALSE),
            0
        ) +
        IFERROR(
            VLOOKUP($A46, INDIRECT("AbrR!$A$6:$ZZ$1048576"), MATCH(P$1, AbrR!$6:$6, 0), FALSE),
            0
        ) +
        IFERROR(
            VLOOKUP($A46, INDIRECT("MayR!$A$6:$ZZ$1048576"), MATCH(P$1, MayR!$6:$6, 0), FALSE),
            0
        ) +
        IFERROR(
            VLOOKUP($A46, INDIRECT("JunR!$A$6:$ZZ$1048576"), MATCH(P$1, JunR!$6:$6, 0), FALSE),
            0
        ) +
        IFERROR(
            VLOOKUP($A46, INDIRECT("JulR!$A$6:$ZZ$1048576"), MATCH(P$1, JulR!$6:$6, 0), FALSE),
            0
        ) +
        IFERROR(
            VLOOKUP($A46, INDIRECT("AgoR!$A$6:$ZZ$1048576"), MATCH(P$1, AgoR!$6:$6, 0), FALSE),
            0
        ) +
        IFERROR(
            VLOOKUP($A46, INDIRECT("SepR!$A$6:$ZZ$1048576"), MATCH(P$1, SepR!$6:$6, 0), FALSE),
            0
        ) +
        IFERROR(
            VLOOKUP($A46, INDIRECT("OctR!$A$6:$ZZ$1048576"), MATCH(P$1, OctR!$6:$6, 0), FALSE),
            0
        ) +
        IFERROR(
            VLOOKUP($A46, INDIRECT("NovR!$A$6:$ZZ$1048576"), MATCH(P$1, NovR!$6:$6, 0), FALSE),
            0
        ) +
        IFERROR(
            VLOOKUP($A46, INDIRECT("DicR!$A$6:$ZZ$1048576"), MATCH(P$1, DicR!$6:$6, 0), FALSE),
            0
        )
)</f>
        <v>0</v>
      </c>
      <c r="Q46" s="35">
        <f t="array" ref="Q46">SUM(
    IFERROR(
            VLOOKUP($A46, INDIRECT("EneR!$A$6:$ZZ$1048576"), MATCH(Q$1, EneR!$6:$6, 0), FALSE),
            0
        ) +
        IFERROR(
            VLOOKUP($A46, INDIRECT("FebR!$A$6:$ZZ$1048576"), MATCH(Q$1, FebR!$6:$6, 0), FALSE),
            0
        ) +
        IFERROR(
            VLOOKUP($A46, INDIRECT("MarR!$A$6:$ZZ$1048576"), MATCH(Q$1, MarR!$6:$6, 0), FALSE),
            0
        ) +
        IFERROR(
            VLOOKUP($A46, INDIRECT("AbrR!$A$6:$ZZ$1048576"), MATCH(Q$1, AbrR!$6:$6, 0), FALSE),
            0
        ) +
        IFERROR(
            VLOOKUP($A46, INDIRECT("MayR!$A$6:$ZZ$1048576"), MATCH(Q$1, MayR!$6:$6, 0), FALSE),
            0
        ) +
        IFERROR(
            VLOOKUP($A46, INDIRECT("JunR!$A$6:$ZZ$1048576"), MATCH(Q$1, JunR!$6:$6, 0), FALSE),
            0
        ) +
        IFERROR(
            VLOOKUP($A46, INDIRECT("JulR!$A$6:$ZZ$1048576"), MATCH(Q$1, JulR!$6:$6, 0), FALSE),
            0
        ) +
        IFERROR(
            VLOOKUP($A46, INDIRECT("AgoR!$A$6:$ZZ$1048576"), MATCH(Q$1, AgoR!$6:$6, 0), FALSE),
            0
        ) +
        IFERROR(
            VLOOKUP($A46, INDIRECT("SepR!$A$6:$ZZ$1048576"), MATCH(Q$1, SepR!$6:$6, 0), FALSE),
            0
        ) +
        IFERROR(
            VLOOKUP($A46, INDIRECT("OctR!$A$6:$ZZ$1048576"), MATCH(Q$1, OctR!$6:$6, 0), FALSE),
            0
        ) +
        IFERROR(
            VLOOKUP($A46, INDIRECT("NovR!$A$6:$ZZ$1048576"), MATCH(Q$1, NovR!$6:$6, 0), FALSE),
            0
        ) +
        IFERROR(
            VLOOKUP($A46, INDIRECT("DicR!$A$6:$ZZ$1048576"), MATCH(Q$1, DicR!$6:$6, 0), FALSE),
            0
        )
)</f>
        <v>0</v>
      </c>
      <c r="R46" s="36">
        <f t="array" ref="R46">SUM(
    IFERROR(
            VLOOKUP($A46, INDIRECT("EneR!$A$6:$ZZ$1048576"), MATCH(R$1, EneR!$6:$6, 0), FALSE),
            0
        ) +
        IFERROR(
            VLOOKUP($A46, INDIRECT("FebR!$A$6:$ZZ$1048576"), MATCH(R$1, FebR!$6:$6, 0), FALSE),
            0
        ) +
        IFERROR(
            VLOOKUP($A46, INDIRECT("MarR!$A$6:$ZZ$1048576"), MATCH(R$1, MarR!$6:$6, 0), FALSE),
            0
        ) +
        IFERROR(
            VLOOKUP($A46, INDIRECT("AbrR!$A$6:$ZZ$1048576"), MATCH(R$1, AbrR!$6:$6, 0), FALSE),
            0
        ) +
        IFERROR(
            VLOOKUP($A46, INDIRECT("MayR!$A$6:$ZZ$1048576"), MATCH(R$1, MayR!$6:$6, 0), FALSE),
            0
        ) +
        IFERROR(
            VLOOKUP($A46, INDIRECT("JunR!$A$6:$ZZ$1048576"), MATCH(R$1, JunR!$6:$6, 0), FALSE),
            0
        ) +
        IFERROR(
            VLOOKUP($A46, INDIRECT("JulR!$A$6:$ZZ$1048576"), MATCH(R$1, JulR!$6:$6, 0), FALSE),
            0
        ) +
        IFERROR(
            VLOOKUP($A46, INDIRECT("AgoR!$A$6:$ZZ$1048576"), MATCH(R$1, AgoR!$6:$6, 0), FALSE),
            0
        ) +
        IFERROR(
            VLOOKUP($A46, INDIRECT("SepR!$A$6:$ZZ$1048576"), MATCH(R$1, SepR!$6:$6, 0), FALSE),
            0
        ) +
        IFERROR(
            VLOOKUP($A46, INDIRECT("OctR!$A$6:$ZZ$1048576"), MATCH(R$1, OctR!$6:$6, 0), FALSE),
            0
        ) +
        IFERROR(
            VLOOKUP($A46, INDIRECT("NovR!$A$6:$ZZ$1048576"), MATCH(R$1, NovR!$6:$6, 0), FALSE),
            0
        ) +
        IFERROR(
            VLOOKUP($A46, INDIRECT("DicR!$A$6:$ZZ$1048576"), MATCH(R$1, DicR!$6:$6, 0), FALSE),
            0
        )
)</f>
        <v>0</v>
      </c>
      <c r="S46" s="37">
        <f t="array" ref="S46">SUM(
    IFERROR(
            VLOOKUP($A46, INDIRECT("EneR!$A$6:$ZZ$1048576"), MATCH(S$1, EneR!$6:$6, 0), FALSE),
            0
        ) +
        IFERROR(
            VLOOKUP($A46, INDIRECT("FebR!$A$6:$ZZ$1048576"), MATCH(S$1, FebR!$6:$6, 0), FALSE),
            0
        ) +
        IFERROR(
            VLOOKUP($A46, INDIRECT("MarR!$A$6:$ZZ$1048576"), MATCH(S$1, MarR!$6:$6, 0), FALSE),
            0
        ) +
        IFERROR(
            VLOOKUP($A46, INDIRECT("AbrR!$A$6:$ZZ$1048576"), MATCH(S$1, AbrR!$6:$6, 0), FALSE),
            0
        ) +
        IFERROR(
            VLOOKUP($A46, INDIRECT("MayR!$A$6:$ZZ$1048576"), MATCH(S$1, MayR!$6:$6, 0), FALSE),
            0
        ) +
        IFERROR(
            VLOOKUP($A46, INDIRECT("JunR!$A$6:$ZZ$1048576"), MATCH(S$1, JunR!$6:$6, 0), FALSE),
            0
        ) +
        IFERROR(
            VLOOKUP($A46, INDIRECT("JulR!$A$6:$ZZ$1048576"), MATCH(S$1, JulR!$6:$6, 0), FALSE),
            0
        ) +
        IFERROR(
            VLOOKUP($A46, INDIRECT("AgoR!$A$6:$ZZ$1048576"), MATCH(S$1, AgoR!$6:$6, 0), FALSE),
            0
        ) +
        IFERROR(
            VLOOKUP($A46, INDIRECT("SepR!$A$6:$ZZ$1048576"), MATCH(S$1, SepR!$6:$6, 0), FALSE),
            0
        ) +
        IFERROR(
            VLOOKUP($A46, INDIRECT("OctR!$A$6:$ZZ$1048576"), MATCH(S$1, OctR!$6:$6, 0), FALSE),
            0
        ) +
        IFERROR(
            VLOOKUP($A46, INDIRECT("NovR!$A$6:$ZZ$1048576"), MATCH(S$1, NovR!$6:$6, 0), FALSE),
            0
        ) +
        IFERROR(
            VLOOKUP($A46, INDIRECT("DicR!$A$6:$ZZ$1048576"), MATCH(S$1, DicR!$6:$6, 0), FALSE),
            0
        )
)</f>
        <v>0</v>
      </c>
      <c r="T46" s="36">
        <f t="array" ref="T46">SUM(
    IFERROR(
            VLOOKUP($A46, INDIRECT("EneR!$A$6:$ZZ$1048576"), MATCH(T$1, EneR!$6:$6, 0), FALSE),
            0
        ) +
        IFERROR(
            VLOOKUP($A46, INDIRECT("FebR!$A$6:$ZZ$1048576"), MATCH(T$1, FebR!$6:$6, 0), FALSE),
            0
        ) +
        IFERROR(
            VLOOKUP($A46, INDIRECT("MarR!$A$6:$ZZ$1048576"), MATCH(T$1, MarR!$6:$6, 0), FALSE),
            0
        ) +
        IFERROR(
            VLOOKUP($A46, INDIRECT("AbrR!$A$6:$ZZ$1048576"), MATCH(T$1, AbrR!$6:$6, 0), FALSE),
            0
        ) +
        IFERROR(
            VLOOKUP($A46, INDIRECT("MayR!$A$6:$ZZ$1048576"), MATCH(T$1, MayR!$6:$6, 0), FALSE),
            0
        ) +
        IFERROR(
            VLOOKUP($A46, INDIRECT("JunR!$A$6:$ZZ$1048576"), MATCH(T$1, JunR!$6:$6, 0), FALSE),
            0
        ) +
        IFERROR(
            VLOOKUP($A46, INDIRECT("JulR!$A$6:$ZZ$1048576"), MATCH(T$1, JulR!$6:$6, 0), FALSE),
            0
        ) +
        IFERROR(
            VLOOKUP($A46, INDIRECT("AgoR!$A$6:$ZZ$1048576"), MATCH(T$1, AgoR!$6:$6, 0), FALSE),
            0
        ) +
        IFERROR(
            VLOOKUP($A46, INDIRECT("SepR!$A$6:$ZZ$1048576"), MATCH(T$1, SepR!$6:$6, 0), FALSE),
            0
        ) +
        IFERROR(
            VLOOKUP($A46, INDIRECT("OctR!$A$6:$ZZ$1048576"), MATCH(T$1, OctR!$6:$6, 0), FALSE),
            0
        ) +
        IFERROR(
            VLOOKUP($A46, INDIRECT("NovR!$A$6:$ZZ$1048576"), MATCH(T$1, NovR!$6:$6, 0), FALSE),
            0
        ) +
        IFERROR(
            VLOOKUP($A46, INDIRECT("DicR!$A$6:$ZZ$1048576"), MATCH(T$1, DicR!$6:$6, 0), FALSE),
            0
        )
)</f>
        <v>0</v>
      </c>
      <c r="U46" s="37">
        <f t="array" ref="U46">SUM(
    IFERROR(
            VLOOKUP($A46, INDIRECT("EneR!$A$6:$ZZ$1048576"), MATCH(U$1, EneR!$6:$6, 0), FALSE),
            0
        ) +
        IFERROR(
            VLOOKUP($A46, INDIRECT("FebR!$A$6:$ZZ$1048576"), MATCH(U$1, FebR!$6:$6, 0), FALSE),
            0
        ) +
        IFERROR(
            VLOOKUP($A46, INDIRECT("MarR!$A$6:$ZZ$1048576"), MATCH(U$1, MarR!$6:$6, 0), FALSE),
            0
        ) +
        IFERROR(
            VLOOKUP($A46, INDIRECT("AbrR!$A$6:$ZZ$1048576"), MATCH(U$1, AbrR!$6:$6, 0), FALSE),
            0
        ) +
        IFERROR(
            VLOOKUP($A46, INDIRECT("MayR!$A$6:$ZZ$1048576"), MATCH(U$1, MayR!$6:$6, 0), FALSE),
            0
        ) +
        IFERROR(
            VLOOKUP($A46, INDIRECT("JunR!$A$6:$ZZ$1048576"), MATCH(U$1, JunR!$6:$6, 0), FALSE),
            0
        ) +
        IFERROR(
            VLOOKUP($A46, INDIRECT("JulR!$A$6:$ZZ$1048576"), MATCH(U$1, JulR!$6:$6, 0), FALSE),
            0
        ) +
        IFERROR(
            VLOOKUP($A46, INDIRECT("AgoR!$A$6:$ZZ$1048576"), MATCH(U$1, AgoR!$6:$6, 0), FALSE),
            0
        ) +
        IFERROR(
            VLOOKUP($A46, INDIRECT("SepR!$A$6:$ZZ$1048576"), MATCH(U$1, SepR!$6:$6, 0), FALSE),
            0
        ) +
        IFERROR(
            VLOOKUP($A46, INDIRECT("OctR!$A$6:$ZZ$1048576"), MATCH(U$1, OctR!$6:$6, 0), FALSE),
            0
        ) +
        IFERROR(
            VLOOKUP($A46, INDIRECT("NovR!$A$6:$ZZ$1048576"), MATCH(U$1, NovR!$6:$6, 0), FALSE),
            0
        ) +
        IFERROR(
            VLOOKUP($A46, INDIRECT("DicR!$A$6:$ZZ$1048576"), MATCH(U$1, DicR!$6:$6, 0), FALSE),
            0
        )
)</f>
        <v>0</v>
      </c>
      <c r="V46" s="36">
        <f t="array" ref="V46">SUM(
    IFERROR(
            VLOOKUP($A46, INDIRECT("EneR!$A$6:$ZZ$1048576"), MATCH(V$1, EneR!$6:$6, 0), FALSE),
            0
        ) +
        IFERROR(
            VLOOKUP($A46, INDIRECT("FebR!$A$6:$ZZ$1048576"), MATCH(V$1, FebR!$6:$6, 0), FALSE),
            0
        ) +
        IFERROR(
            VLOOKUP($A46, INDIRECT("MarR!$A$6:$ZZ$1048576"), MATCH(V$1, MarR!$6:$6, 0), FALSE),
            0
        ) +
        IFERROR(
            VLOOKUP($A46, INDIRECT("AbrR!$A$6:$ZZ$1048576"), MATCH(V$1, AbrR!$6:$6, 0), FALSE),
            0
        ) +
        IFERROR(
            VLOOKUP($A46, INDIRECT("MayR!$A$6:$ZZ$1048576"), MATCH(V$1, MayR!$6:$6, 0), FALSE),
            0
        ) +
        IFERROR(
            VLOOKUP($A46, INDIRECT("JunR!$A$6:$ZZ$1048576"), MATCH(V$1, JunR!$6:$6, 0), FALSE),
            0
        ) +
        IFERROR(
            VLOOKUP($A46, INDIRECT("JulR!$A$6:$ZZ$1048576"), MATCH(V$1, JulR!$6:$6, 0), FALSE),
            0
        ) +
        IFERROR(
            VLOOKUP($A46, INDIRECT("AgoR!$A$6:$ZZ$1048576"), MATCH(V$1, AgoR!$6:$6, 0), FALSE),
            0
        ) +
        IFERROR(
            VLOOKUP($A46, INDIRECT("SepR!$A$6:$ZZ$1048576"), MATCH(V$1, SepR!$6:$6, 0), FALSE),
            0
        ) +
        IFERROR(
            VLOOKUP($A46, INDIRECT("OctR!$A$6:$ZZ$1048576"), MATCH(V$1, OctR!$6:$6, 0), FALSE),
            0
        ) +
        IFERROR(
            VLOOKUP($A46, INDIRECT("NovR!$A$6:$ZZ$1048576"), MATCH(V$1, NovR!$6:$6, 0), FALSE),
            0
        ) +
        IFERROR(
            VLOOKUP($A46, INDIRECT("DicR!$A$6:$ZZ$1048576"), MATCH(V$1, DicR!$6:$6, 0), FALSE),
            0
        )
)</f>
        <v>0</v>
      </c>
      <c r="W46" s="37">
        <f t="array" ref="W46">SUM(
    IFERROR(
            VLOOKUP($A46, INDIRECT("EneR!$A$6:$ZZ$1048576"), MATCH(W$1, EneR!$6:$6, 0), FALSE),
            0
        ) +
        IFERROR(
            VLOOKUP($A46, INDIRECT("FebR!$A$6:$ZZ$1048576"), MATCH(W$1, FebR!$6:$6, 0), FALSE),
            0
        ) +
        IFERROR(
            VLOOKUP($A46, INDIRECT("MarR!$A$6:$ZZ$1048576"), MATCH(W$1, MarR!$6:$6, 0), FALSE),
            0
        ) +
        IFERROR(
            VLOOKUP($A46, INDIRECT("AbrR!$A$6:$ZZ$1048576"), MATCH(W$1, AbrR!$6:$6, 0), FALSE),
            0
        ) +
        IFERROR(
            VLOOKUP($A46, INDIRECT("MayR!$A$6:$ZZ$1048576"), MATCH(W$1, MayR!$6:$6, 0), FALSE),
            0
        ) +
        IFERROR(
            VLOOKUP($A46, INDIRECT("JunR!$A$6:$ZZ$1048576"), MATCH(W$1, JunR!$6:$6, 0), FALSE),
            0
        ) +
        IFERROR(
            VLOOKUP($A46, INDIRECT("JulR!$A$6:$ZZ$1048576"), MATCH(W$1, JulR!$6:$6, 0), FALSE),
            0
        ) +
        IFERROR(
            VLOOKUP($A46, INDIRECT("AgoR!$A$6:$ZZ$1048576"), MATCH(W$1, AgoR!$6:$6, 0), FALSE),
            0
        ) +
        IFERROR(
            VLOOKUP($A46, INDIRECT("SepR!$A$6:$ZZ$1048576"), MATCH(W$1, SepR!$6:$6, 0), FALSE),
            0
        ) +
        IFERROR(
            VLOOKUP($A46, INDIRECT("OctR!$A$6:$ZZ$1048576"), MATCH(W$1, OctR!$6:$6, 0), FALSE),
            0
        ) +
        IFERROR(
            VLOOKUP($A46, INDIRECT("NovR!$A$6:$ZZ$1048576"), MATCH(W$1, NovR!$6:$6, 0), FALSE),
            0
        ) +
        IFERROR(
            VLOOKUP($A46, INDIRECT("DicR!$A$6:$ZZ$1048576"), MATCH(W$1, DicR!$6:$6, 0), FALSE),
            0
        )
)</f>
        <v>0</v>
      </c>
      <c r="X46" s="36">
        <f t="array" ref="X46">SUM(
    IFERROR(
            VLOOKUP($A46, INDIRECT("EneR!$A$6:$ZZ$1048576"), MATCH(X$1, EneR!$6:$6, 0), FALSE),
            0
        ) +
        IFERROR(
            VLOOKUP($A46, INDIRECT("FebR!$A$6:$ZZ$1048576"), MATCH(X$1, FebR!$6:$6, 0), FALSE),
            0
        ) +
        IFERROR(
            VLOOKUP($A46, INDIRECT("MarR!$A$6:$ZZ$1048576"), MATCH(X$1, MarR!$6:$6, 0), FALSE),
            0
        ) +
        IFERROR(
            VLOOKUP($A46, INDIRECT("AbrR!$A$6:$ZZ$1048576"), MATCH(X$1, AbrR!$6:$6, 0), FALSE),
            0
        ) +
        IFERROR(
            VLOOKUP($A46, INDIRECT("MayR!$A$6:$ZZ$1048576"), MATCH(X$1, MayR!$6:$6, 0), FALSE),
            0
        ) +
        IFERROR(
            VLOOKUP($A46, INDIRECT("JunR!$A$6:$ZZ$1048576"), MATCH(X$1, JunR!$6:$6, 0), FALSE),
            0
        ) +
        IFERROR(
            VLOOKUP($A46, INDIRECT("JulR!$A$6:$ZZ$1048576"), MATCH(X$1, JulR!$6:$6, 0), FALSE),
            0
        ) +
        IFERROR(
            VLOOKUP($A46, INDIRECT("AgoR!$A$6:$ZZ$1048576"), MATCH(X$1, AgoR!$6:$6, 0), FALSE),
            0
        ) +
        IFERROR(
            VLOOKUP($A46, INDIRECT("SepR!$A$6:$ZZ$1048576"), MATCH(X$1, SepR!$6:$6, 0), FALSE),
            0
        ) +
        IFERROR(
            VLOOKUP($A46, INDIRECT("OctR!$A$6:$ZZ$1048576"), MATCH(X$1, OctR!$6:$6, 0), FALSE),
            0
        ) +
        IFERROR(
            VLOOKUP($A46, INDIRECT("NovR!$A$6:$ZZ$1048576"), MATCH(X$1, NovR!$6:$6, 0), FALSE),
            0
        ) +
        IFERROR(
            VLOOKUP($A46, INDIRECT("DicR!$A$6:$ZZ$1048576"), MATCH(X$1, DicR!$6:$6, 0), FALSE),
            0
        )
)</f>
        <v>0</v>
      </c>
      <c r="Y46" s="37">
        <f t="array" ref="Y46">SUM(
    IFERROR(
            VLOOKUP($A46, INDIRECT("EneR!$A$6:$ZZ$1048576"), MATCH(Y$1, EneR!$6:$6, 0), FALSE),
            0
        ) +
        IFERROR(
            VLOOKUP($A46, INDIRECT("FebR!$A$6:$ZZ$1048576"), MATCH(Y$1, FebR!$6:$6, 0), FALSE),
            0
        ) +
        IFERROR(
            VLOOKUP($A46, INDIRECT("MarR!$A$6:$ZZ$1048576"), MATCH(Y$1, MarR!$6:$6, 0), FALSE),
            0
        ) +
        IFERROR(
            VLOOKUP($A46, INDIRECT("AbrR!$A$6:$ZZ$1048576"), MATCH(Y$1, AbrR!$6:$6, 0), FALSE),
            0
        ) +
        IFERROR(
            VLOOKUP($A46, INDIRECT("MayR!$A$6:$ZZ$1048576"), MATCH(Y$1, MayR!$6:$6, 0), FALSE),
            0
        ) +
        IFERROR(
            VLOOKUP($A46, INDIRECT("JunR!$A$6:$ZZ$1048576"), MATCH(Y$1, JunR!$6:$6, 0), FALSE),
            0
        ) +
        IFERROR(
            VLOOKUP($A46, INDIRECT("JulR!$A$6:$ZZ$1048576"), MATCH(Y$1, JulR!$6:$6, 0), FALSE),
            0
        ) +
        IFERROR(
            VLOOKUP($A46, INDIRECT("AgoR!$A$6:$ZZ$1048576"), MATCH(Y$1, AgoR!$6:$6, 0), FALSE),
            0
        ) +
        IFERROR(
            VLOOKUP($A46, INDIRECT("SepR!$A$6:$ZZ$1048576"), MATCH(Y$1, SepR!$6:$6, 0), FALSE),
            0
        ) +
        IFERROR(
            VLOOKUP($A46, INDIRECT("OctR!$A$6:$ZZ$1048576"), MATCH(Y$1, OctR!$6:$6, 0), FALSE),
            0
        ) +
        IFERROR(
            VLOOKUP($A46, INDIRECT("NovR!$A$6:$ZZ$1048576"), MATCH(Y$1, NovR!$6:$6, 0), FALSE),
            0
        ) +
        IFERROR(
            VLOOKUP($A46, INDIRECT("DicR!$A$6:$ZZ$1048576"), MATCH(Y$1, DicR!$6:$6, 0), FALSE),
            0
        )
)</f>
        <v>0</v>
      </c>
      <c r="Z46" s="36">
        <f t="array" ref="Z46">SUM(
    IFERROR(
            VLOOKUP($A46, INDIRECT("EneR!$A$6:$ZZ$1048576"), MATCH(Z$1, EneR!$6:$6, 0), FALSE),
            0
        ) +
        IFERROR(
            VLOOKUP($A46, INDIRECT("FebR!$A$6:$ZZ$1048576"), MATCH(Z$1, FebR!$6:$6, 0), FALSE),
            0
        ) +
        IFERROR(
            VLOOKUP($A46, INDIRECT("MarR!$A$6:$ZZ$1048576"), MATCH(Z$1, MarR!$6:$6, 0), FALSE),
            0
        ) +
        IFERROR(
            VLOOKUP($A46, INDIRECT("AbrR!$A$6:$ZZ$1048576"), MATCH(Z$1, AbrR!$6:$6, 0), FALSE),
            0
        ) +
        IFERROR(
            VLOOKUP($A46, INDIRECT("MayR!$A$6:$ZZ$1048576"), MATCH(Z$1, MayR!$6:$6, 0), FALSE),
            0
        ) +
        IFERROR(
            VLOOKUP($A46, INDIRECT("JunR!$A$6:$ZZ$1048576"), MATCH(Z$1, JunR!$6:$6, 0), FALSE),
            0
        ) +
        IFERROR(
            VLOOKUP($A46, INDIRECT("JulR!$A$6:$ZZ$1048576"), MATCH(Z$1, JulR!$6:$6, 0), FALSE),
            0
        ) +
        IFERROR(
            VLOOKUP($A46, INDIRECT("AgoR!$A$6:$ZZ$1048576"), MATCH(Z$1, AgoR!$6:$6, 0), FALSE),
            0
        ) +
        IFERROR(
            VLOOKUP($A46, INDIRECT("SepR!$A$6:$ZZ$1048576"), MATCH(Z$1, SepR!$6:$6, 0), FALSE),
            0
        ) +
        IFERROR(
            VLOOKUP($A46, INDIRECT("OctR!$A$6:$ZZ$1048576"), MATCH(Z$1, OctR!$6:$6, 0), FALSE),
            0
        ) +
        IFERROR(
            VLOOKUP($A46, INDIRECT("NovR!$A$6:$ZZ$1048576"), MATCH(Z$1, NovR!$6:$6, 0), FALSE),
            0
        ) +
        IFERROR(
            VLOOKUP($A46, INDIRECT("DicR!$A$6:$ZZ$1048576"), MATCH(Z$1, DicR!$6:$6, 0), FALSE),
            0
        )
)</f>
        <v>0</v>
      </c>
      <c r="AA46" s="37">
        <f t="array" ref="AA46">SUM(
    IFERROR(
            VLOOKUP($A46, INDIRECT("EneR!$A$6:$ZZ$1048576"), MATCH(AA$1, EneR!$6:$6, 0), FALSE),
            0
        ) +
        IFERROR(
            VLOOKUP($A46, INDIRECT("FebR!$A$6:$ZZ$1048576"), MATCH(AA$1, FebR!$6:$6, 0), FALSE),
            0
        ) +
        IFERROR(
            VLOOKUP($A46, INDIRECT("MarR!$A$6:$ZZ$1048576"), MATCH(AA$1, MarR!$6:$6, 0), FALSE),
            0
        ) +
        IFERROR(
            VLOOKUP($A46, INDIRECT("AbrR!$A$6:$ZZ$1048576"), MATCH(AA$1, AbrR!$6:$6, 0), FALSE),
            0
        ) +
        IFERROR(
            VLOOKUP($A46, INDIRECT("MayR!$A$6:$ZZ$1048576"), MATCH(AA$1, MayR!$6:$6, 0), FALSE),
            0
        ) +
        IFERROR(
            VLOOKUP($A46, INDIRECT("JunR!$A$6:$ZZ$1048576"), MATCH(AA$1, JunR!$6:$6, 0), FALSE),
            0
        ) +
        IFERROR(
            VLOOKUP($A46, INDIRECT("JulR!$A$6:$ZZ$1048576"), MATCH(AA$1, JulR!$6:$6, 0), FALSE),
            0
        ) +
        IFERROR(
            VLOOKUP($A46, INDIRECT("AgoR!$A$6:$ZZ$1048576"), MATCH(AA$1, AgoR!$6:$6, 0), FALSE),
            0
        ) +
        IFERROR(
            VLOOKUP($A46, INDIRECT("SepR!$A$6:$ZZ$1048576"), MATCH(AA$1, SepR!$6:$6, 0), FALSE),
            0
        ) +
        IFERROR(
            VLOOKUP($A46, INDIRECT("OctR!$A$6:$ZZ$1048576"), MATCH(AA$1, OctR!$6:$6, 0), FALSE),
            0
        ) +
        IFERROR(
            VLOOKUP($A46, INDIRECT("NovR!$A$6:$ZZ$1048576"), MATCH(AA$1, NovR!$6:$6, 0), FALSE),
            0
        ) +
        IFERROR(
            VLOOKUP($A46, INDIRECT("DicR!$A$6:$ZZ$1048576"), MATCH(AA$1, DicR!$6:$6, 0), FALSE),
            0
        )
)</f>
        <v>0</v>
      </c>
      <c r="AB46" s="36">
        <f t="array" ref="AB46">SUM(
    IFERROR(
            VLOOKUP($A46, INDIRECT("EneR!$A$6:$ZZ$1048576"), MATCH(AB$1, EneR!$6:$6, 0), FALSE),
            0
        ) +
        IFERROR(
            VLOOKUP($A46, INDIRECT("FebR!$A$6:$ZZ$1048576"), MATCH(AB$1, FebR!$6:$6, 0), FALSE),
            0
        ) +
        IFERROR(
            VLOOKUP($A46, INDIRECT("MarR!$A$6:$ZZ$1048576"), MATCH(AB$1, MarR!$6:$6, 0), FALSE),
            0
        ) +
        IFERROR(
            VLOOKUP($A46, INDIRECT("AbrR!$A$6:$ZZ$1048576"), MATCH(AB$1, AbrR!$6:$6, 0), FALSE),
            0
        ) +
        IFERROR(
            VLOOKUP($A46, INDIRECT("MayR!$A$6:$ZZ$1048576"), MATCH(AB$1, MayR!$6:$6, 0), FALSE),
            0
        ) +
        IFERROR(
            VLOOKUP($A46, INDIRECT("JunR!$A$6:$ZZ$1048576"), MATCH(AB$1, JunR!$6:$6, 0), FALSE),
            0
        ) +
        IFERROR(
            VLOOKUP($A46, INDIRECT("JulR!$A$6:$ZZ$1048576"), MATCH(AB$1, JulR!$6:$6, 0), FALSE),
            0
        ) +
        IFERROR(
            VLOOKUP($A46, INDIRECT("AgoR!$A$6:$ZZ$1048576"), MATCH(AB$1, AgoR!$6:$6, 0), FALSE),
            0
        ) +
        IFERROR(
            VLOOKUP($A46, INDIRECT("SepR!$A$6:$ZZ$1048576"), MATCH(AB$1, SepR!$6:$6, 0), FALSE),
            0
        ) +
        IFERROR(
            VLOOKUP($A46, INDIRECT("OctR!$A$6:$ZZ$1048576"), MATCH(AB$1, OctR!$6:$6, 0), FALSE),
            0
        ) +
        IFERROR(
            VLOOKUP($A46, INDIRECT("NovR!$A$6:$ZZ$1048576"), MATCH(AB$1, NovR!$6:$6, 0), FALSE),
            0
        ) +
        IFERROR(
            VLOOKUP($A46, INDIRECT("DicR!$A$6:$ZZ$1048576"), MATCH(AB$1, DicR!$6:$6, 0), FALSE),
            0
        )
)</f>
        <v>0</v>
      </c>
      <c r="AC46" s="37">
        <f t="array" ref="AC46">SUM(
    IFERROR(
            VLOOKUP($A46, INDIRECT("EneR!$A$6:$ZZ$1048576"), MATCH(AC$1, EneR!$6:$6, 0), FALSE),
            0
        ) +
        IFERROR(
            VLOOKUP($A46, INDIRECT("FebR!$A$6:$ZZ$1048576"), MATCH(AC$1, FebR!$6:$6, 0), FALSE),
            0
        ) +
        IFERROR(
            VLOOKUP($A46, INDIRECT("MarR!$A$6:$ZZ$1048576"), MATCH(AC$1, MarR!$6:$6, 0), FALSE),
            0
        ) +
        IFERROR(
            VLOOKUP($A46, INDIRECT("AbrR!$A$6:$ZZ$1048576"), MATCH(AC$1, AbrR!$6:$6, 0), FALSE),
            0
        ) +
        IFERROR(
            VLOOKUP($A46, INDIRECT("MayR!$A$6:$ZZ$1048576"), MATCH(AC$1, MayR!$6:$6, 0), FALSE),
            0
        ) +
        IFERROR(
            VLOOKUP($A46, INDIRECT("JunR!$A$6:$ZZ$1048576"), MATCH(AC$1, JunR!$6:$6, 0), FALSE),
            0
        ) +
        IFERROR(
            VLOOKUP($A46, INDIRECT("JulR!$A$6:$ZZ$1048576"), MATCH(AC$1, JulR!$6:$6, 0), FALSE),
            0
        ) +
        IFERROR(
            VLOOKUP($A46, INDIRECT("AgoR!$A$6:$ZZ$1048576"), MATCH(AC$1, AgoR!$6:$6, 0), FALSE),
            0
        ) +
        IFERROR(
            VLOOKUP($A46, INDIRECT("SepR!$A$6:$ZZ$1048576"), MATCH(AC$1, SepR!$6:$6, 0), FALSE),
            0
        ) +
        IFERROR(
            VLOOKUP($A46, INDIRECT("OctR!$A$6:$ZZ$1048576"), MATCH(AC$1, OctR!$6:$6, 0), FALSE),
            0
        ) +
        IFERROR(
            VLOOKUP($A46, INDIRECT("NovR!$A$6:$ZZ$1048576"), MATCH(AC$1, NovR!$6:$6, 0), FALSE),
            0
        ) +
        IFERROR(
            VLOOKUP($A46, INDIRECT("DicR!$A$6:$ZZ$1048576"), MATCH(AC$1, DicR!$6:$6, 0), FALSE),
            0
        )
)</f>
        <v>0</v>
      </c>
      <c r="AD46" s="36">
        <f t="array" ref="AD46">SUM(
    IFERROR(
            VLOOKUP($A46, INDIRECT("EneR!$A$6:$ZZ$1048576"), MATCH(AD$1, EneR!$6:$6, 0), FALSE),
            0
        ) +
        IFERROR(
            VLOOKUP($A46, INDIRECT("FebR!$A$6:$ZZ$1048576"), MATCH(AD$1, FebR!$6:$6, 0), FALSE),
            0
        ) +
        IFERROR(
            VLOOKUP($A46, INDIRECT("MarR!$A$6:$ZZ$1048576"), MATCH(AD$1, MarR!$6:$6, 0), FALSE),
            0
        ) +
        IFERROR(
            VLOOKUP($A46, INDIRECT("AbrR!$A$6:$ZZ$1048576"), MATCH(AD$1, AbrR!$6:$6, 0), FALSE),
            0
        ) +
        IFERROR(
            VLOOKUP($A46, INDIRECT("MayR!$A$6:$ZZ$1048576"), MATCH(AD$1, MayR!$6:$6, 0), FALSE),
            0
        ) +
        IFERROR(
            VLOOKUP($A46, INDIRECT("JunR!$A$6:$ZZ$1048576"), MATCH(AD$1, JunR!$6:$6, 0), FALSE),
            0
        ) +
        IFERROR(
            VLOOKUP($A46, INDIRECT("JulR!$A$6:$ZZ$1048576"), MATCH(AD$1, JulR!$6:$6, 0), FALSE),
            0
        ) +
        IFERROR(
            VLOOKUP($A46, INDIRECT("AgoR!$A$6:$ZZ$1048576"), MATCH(AD$1, AgoR!$6:$6, 0), FALSE),
            0
        ) +
        IFERROR(
            VLOOKUP($A46, INDIRECT("SepR!$A$6:$ZZ$1048576"), MATCH(AD$1, SepR!$6:$6, 0), FALSE),
            0
        ) +
        IFERROR(
            VLOOKUP($A46, INDIRECT("OctR!$A$6:$ZZ$1048576"), MATCH(AD$1, OctR!$6:$6, 0), FALSE),
            0
        ) +
        IFERROR(
            VLOOKUP($A46, INDIRECT("NovR!$A$6:$ZZ$1048576"), MATCH(AD$1, NovR!$6:$6, 0), FALSE),
            0
        ) +
        IFERROR(
            VLOOKUP($A46, INDIRECT("DicR!$A$6:$ZZ$1048576"), MATCH(AD$1, DicR!$6:$6, 0), FALSE),
            0
        )
)</f>
        <v>0</v>
      </c>
      <c r="AE46" s="37">
        <f t="array" ref="AE46">SUM(
    IFERROR(
            VLOOKUP($A46, INDIRECT("EneR!$A$6:$ZZ$1048576"), MATCH(AE$1, EneR!$6:$6, 0), FALSE),
            0
        ) +
        IFERROR(
            VLOOKUP($A46, INDIRECT("FebR!$A$6:$ZZ$1048576"), MATCH(AE$1, FebR!$6:$6, 0), FALSE),
            0
        ) +
        IFERROR(
            VLOOKUP($A46, INDIRECT("MarR!$A$6:$ZZ$1048576"), MATCH(AE$1, MarR!$6:$6, 0), FALSE),
            0
        ) +
        IFERROR(
            VLOOKUP($A46, INDIRECT("AbrR!$A$6:$ZZ$1048576"), MATCH(AE$1, AbrR!$6:$6, 0), FALSE),
            0
        ) +
        IFERROR(
            VLOOKUP($A46, INDIRECT("MayR!$A$6:$ZZ$1048576"), MATCH(AE$1, MayR!$6:$6, 0), FALSE),
            0
        ) +
        IFERROR(
            VLOOKUP($A46, INDIRECT("JunR!$A$6:$ZZ$1048576"), MATCH(AE$1, JunR!$6:$6, 0), FALSE),
            0
        ) +
        IFERROR(
            VLOOKUP($A46, INDIRECT("JulR!$A$6:$ZZ$1048576"), MATCH(AE$1, JulR!$6:$6, 0), FALSE),
            0
        ) +
        IFERROR(
            VLOOKUP($A46, INDIRECT("AgoR!$A$6:$ZZ$1048576"), MATCH(AE$1, AgoR!$6:$6, 0), FALSE),
            0
        ) +
        IFERROR(
            VLOOKUP($A46, INDIRECT("SepR!$A$6:$ZZ$1048576"), MATCH(AE$1, SepR!$6:$6, 0), FALSE),
            0
        ) +
        IFERROR(
            VLOOKUP($A46, INDIRECT("OctR!$A$6:$ZZ$1048576"), MATCH(AE$1, OctR!$6:$6, 0), FALSE),
            0
        ) +
        IFERROR(
            VLOOKUP($A46, INDIRECT("NovR!$A$6:$ZZ$1048576"), MATCH(AE$1, NovR!$6:$6, 0), FALSE),
            0
        ) +
        IFERROR(
            VLOOKUP($A46, INDIRECT("DicR!$A$6:$ZZ$1048576"), MATCH(AE$1, DicR!$6:$6, 0), FALSE),
            0
        )
)</f>
        <v>0</v>
      </c>
      <c r="AF46" s="36">
        <f t="array" ref="AF46">SUM(
    IFERROR(
            VLOOKUP($A46, INDIRECT("EneR!$A$6:$ZZ$1048576"), MATCH(AF$1, EneR!$6:$6, 0), FALSE),
            0
        ) +
        IFERROR(
            VLOOKUP($A46, INDIRECT("FebR!$A$6:$ZZ$1048576"), MATCH(AF$1, FebR!$6:$6, 0), FALSE),
            0
        ) +
        IFERROR(
            VLOOKUP($A46, INDIRECT("MarR!$A$6:$ZZ$1048576"), MATCH(AF$1, MarR!$6:$6, 0), FALSE),
            0
        ) +
        IFERROR(
            VLOOKUP($A46, INDIRECT("AbrR!$A$6:$ZZ$1048576"), MATCH(AF$1, AbrR!$6:$6, 0), FALSE),
            0
        ) +
        IFERROR(
            VLOOKUP($A46, INDIRECT("MayR!$A$6:$ZZ$1048576"), MATCH(AF$1, MayR!$6:$6, 0), FALSE),
            0
        ) +
        IFERROR(
            VLOOKUP($A46, INDIRECT("JunR!$A$6:$ZZ$1048576"), MATCH(AF$1, JunR!$6:$6, 0), FALSE),
            0
        ) +
        IFERROR(
            VLOOKUP($A46, INDIRECT("JulR!$A$6:$ZZ$1048576"), MATCH(AF$1, JulR!$6:$6, 0), FALSE),
            0
        ) +
        IFERROR(
            VLOOKUP($A46, INDIRECT("AgoR!$A$6:$ZZ$1048576"), MATCH(AF$1, AgoR!$6:$6, 0), FALSE),
            0
        ) +
        IFERROR(
            VLOOKUP($A46, INDIRECT("SepR!$A$6:$ZZ$1048576"), MATCH(AF$1, SepR!$6:$6, 0), FALSE),
            0
        ) +
        IFERROR(
            VLOOKUP($A46, INDIRECT("OctR!$A$6:$ZZ$1048576"), MATCH(AF$1, OctR!$6:$6, 0), FALSE),
            0
        ) +
        IFERROR(
            VLOOKUP($A46, INDIRECT("NovR!$A$6:$ZZ$1048576"), MATCH(AF$1, NovR!$6:$6, 0), FALSE),
            0
        ) +
        IFERROR(
            VLOOKUP($A46, INDIRECT("DicR!$A$6:$ZZ$1048576"), MATCH(AF$1, DicR!$6:$6, 0), FALSE),
            0
        )
)</f>
        <v>0</v>
      </c>
      <c r="AG46" s="37">
        <f t="array" ref="AG46">SUM(
    IFERROR(
            VLOOKUP($A46, INDIRECT("EneR!$A$6:$ZZ$1048576"), MATCH(AG$1, EneR!$6:$6, 0), FALSE),
            0
        ) +
        IFERROR(
            VLOOKUP($A46, INDIRECT("FebR!$A$6:$ZZ$1048576"), MATCH(AG$1, FebR!$6:$6, 0), FALSE),
            0
        ) +
        IFERROR(
            VLOOKUP($A46, INDIRECT("MarR!$A$6:$ZZ$1048576"), MATCH(AG$1, MarR!$6:$6, 0), FALSE),
            0
        ) +
        IFERROR(
            VLOOKUP($A46, INDIRECT("AbrR!$A$6:$ZZ$1048576"), MATCH(AG$1, AbrR!$6:$6, 0), FALSE),
            0
        ) +
        IFERROR(
            VLOOKUP($A46, INDIRECT("MayR!$A$6:$ZZ$1048576"), MATCH(AG$1, MayR!$6:$6, 0), FALSE),
            0
        ) +
        IFERROR(
            VLOOKUP($A46, INDIRECT("JunR!$A$6:$ZZ$1048576"), MATCH(AG$1, JunR!$6:$6, 0), FALSE),
            0
        ) +
        IFERROR(
            VLOOKUP($A46, INDIRECT("JulR!$A$6:$ZZ$1048576"), MATCH(AG$1, JulR!$6:$6, 0), FALSE),
            0
        ) +
        IFERROR(
            VLOOKUP($A46, INDIRECT("AgoR!$A$6:$ZZ$1048576"), MATCH(AG$1, AgoR!$6:$6, 0), FALSE),
            0
        ) +
        IFERROR(
            VLOOKUP($A46, INDIRECT("SepR!$A$6:$ZZ$1048576"), MATCH(AG$1, SepR!$6:$6, 0), FALSE),
            0
        ) +
        IFERROR(
            VLOOKUP($A46, INDIRECT("OctR!$A$6:$ZZ$1048576"), MATCH(AG$1, OctR!$6:$6, 0), FALSE),
            0
        ) +
        IFERROR(
            VLOOKUP($A46, INDIRECT("NovR!$A$6:$ZZ$1048576"), MATCH(AG$1, NovR!$6:$6, 0), FALSE),
            0
        ) +
        IFERROR(
            VLOOKUP($A46, INDIRECT("DicR!$A$6:$ZZ$1048576"), MATCH(AG$1, DicR!$6:$6, 0), FALSE),
            0
        )
)</f>
        <v>0</v>
      </c>
      <c r="AH46" s="36">
        <f t="array" ref="AH46">SUM(
    IFERROR(
            VLOOKUP($A46, INDIRECT("EneR!$A$6:$ZZ$1048576"), MATCH(AH$1, EneR!$6:$6, 0), FALSE),
            0
        ) +
        IFERROR(
            VLOOKUP($A46, INDIRECT("FebR!$A$6:$ZZ$1048576"), MATCH(AH$1, FebR!$6:$6, 0), FALSE),
            0
        ) +
        IFERROR(
            VLOOKUP($A46, INDIRECT("MarR!$A$6:$ZZ$1048576"), MATCH(AH$1, MarR!$6:$6, 0), FALSE),
            0
        ) +
        IFERROR(
            VLOOKUP($A46, INDIRECT("AbrR!$A$6:$ZZ$1048576"), MATCH(AH$1, AbrR!$6:$6, 0), FALSE),
            0
        ) +
        IFERROR(
            VLOOKUP($A46, INDIRECT("MayR!$A$6:$ZZ$1048576"), MATCH(AH$1, MayR!$6:$6, 0), FALSE),
            0
        ) +
        IFERROR(
            VLOOKUP($A46, INDIRECT("JunR!$A$6:$ZZ$1048576"), MATCH(AH$1, JunR!$6:$6, 0), FALSE),
            0
        ) +
        IFERROR(
            VLOOKUP($A46, INDIRECT("JulR!$A$6:$ZZ$1048576"), MATCH(AH$1, JulR!$6:$6, 0), FALSE),
            0
        ) +
        IFERROR(
            VLOOKUP($A46, INDIRECT("AgoR!$A$6:$ZZ$1048576"), MATCH(AH$1, AgoR!$6:$6, 0), FALSE),
            0
        ) +
        IFERROR(
            VLOOKUP($A46, INDIRECT("SepR!$A$6:$ZZ$1048576"), MATCH(AH$1, SepR!$6:$6, 0), FALSE),
            0
        ) +
        IFERROR(
            VLOOKUP($A46, INDIRECT("OctR!$A$6:$ZZ$1048576"), MATCH(AH$1, OctR!$6:$6, 0), FALSE),
            0
        ) +
        IFERROR(
            VLOOKUP($A46, INDIRECT("NovR!$A$6:$ZZ$1048576"), MATCH(AH$1, NovR!$6:$6, 0), FALSE),
            0
        ) +
        IFERROR(
            VLOOKUP($A46, INDIRECT("DicR!$A$6:$ZZ$1048576"), MATCH(AH$1, DicR!$6:$6, 0), FALSE),
            0
        )
)</f>
        <v>0</v>
      </c>
      <c r="AI46" s="37">
        <f t="array" ref="AI46">SUM(
    IFERROR(
            VLOOKUP($A46, INDIRECT("EneR!$A$6:$ZZ$1048576"), MATCH(AI$1, EneR!$6:$6, 0), FALSE),
            0
        ) +
        IFERROR(
            VLOOKUP($A46, INDIRECT("FebR!$A$6:$ZZ$1048576"), MATCH(AI$1, FebR!$6:$6, 0), FALSE),
            0
        ) +
        IFERROR(
            VLOOKUP($A46, INDIRECT("MarR!$A$6:$ZZ$1048576"), MATCH(AI$1, MarR!$6:$6, 0), FALSE),
            0
        ) +
        IFERROR(
            VLOOKUP($A46, INDIRECT("AbrR!$A$6:$ZZ$1048576"), MATCH(AI$1, AbrR!$6:$6, 0), FALSE),
            0
        ) +
        IFERROR(
            VLOOKUP($A46, INDIRECT("MayR!$A$6:$ZZ$1048576"), MATCH(AI$1, MayR!$6:$6, 0), FALSE),
            0
        ) +
        IFERROR(
            VLOOKUP($A46, INDIRECT("JunR!$A$6:$ZZ$1048576"), MATCH(AI$1, JunR!$6:$6, 0), FALSE),
            0
        ) +
        IFERROR(
            VLOOKUP($A46, INDIRECT("JulR!$A$6:$ZZ$1048576"), MATCH(AI$1, JulR!$6:$6, 0), FALSE),
            0
        ) +
        IFERROR(
            VLOOKUP($A46, INDIRECT("AgoR!$A$6:$ZZ$1048576"), MATCH(AI$1, AgoR!$6:$6, 0), FALSE),
            0
        ) +
        IFERROR(
            VLOOKUP($A46, INDIRECT("SepR!$A$6:$ZZ$1048576"), MATCH(AI$1, SepR!$6:$6, 0), FALSE),
            0
        ) +
        IFERROR(
            VLOOKUP($A46, INDIRECT("OctR!$A$6:$ZZ$1048576"), MATCH(AI$1, OctR!$6:$6, 0), FALSE),
            0
        ) +
        IFERROR(
            VLOOKUP($A46, INDIRECT("NovR!$A$6:$ZZ$1048576"), MATCH(AI$1, NovR!$6:$6, 0), FALSE),
            0
        ) +
        IFERROR(
            VLOOKUP($A46, INDIRECT("DicR!$A$6:$ZZ$1048576"), MATCH(AI$1, DicR!$6:$6, 0), FALSE),
            0
        )
)</f>
        <v>0</v>
      </c>
      <c r="AJ46" s="36">
        <f t="array" ref="AJ46">SUM(
    IFERROR(
            VLOOKUP($A46, INDIRECT("EneR!$A$6:$ZZ$1048576"), MATCH(AJ$1, EneR!$6:$6, 0), FALSE),
            0
        ) +
        IFERROR(
            VLOOKUP($A46, INDIRECT("FebR!$A$6:$ZZ$1048576"), MATCH(AJ$1, FebR!$6:$6, 0), FALSE),
            0
        ) +
        IFERROR(
            VLOOKUP($A46, INDIRECT("MarR!$A$6:$ZZ$1048576"), MATCH(AJ$1, MarR!$6:$6, 0), FALSE),
            0
        ) +
        IFERROR(
            VLOOKUP($A46, INDIRECT("AbrR!$A$6:$ZZ$1048576"), MATCH(AJ$1, AbrR!$6:$6, 0), FALSE),
            0
        ) +
        IFERROR(
            VLOOKUP($A46, INDIRECT("MayR!$A$6:$ZZ$1048576"), MATCH(AJ$1, MayR!$6:$6, 0), FALSE),
            0
        ) +
        IFERROR(
            VLOOKUP($A46, INDIRECT("JunR!$A$6:$ZZ$1048576"), MATCH(AJ$1, JunR!$6:$6, 0), FALSE),
            0
        ) +
        IFERROR(
            VLOOKUP($A46, INDIRECT("JulR!$A$6:$ZZ$1048576"), MATCH(AJ$1, JulR!$6:$6, 0), FALSE),
            0
        ) +
        IFERROR(
            VLOOKUP($A46, INDIRECT("AgoR!$A$6:$ZZ$1048576"), MATCH(AJ$1, AgoR!$6:$6, 0), FALSE),
            0
        ) +
        IFERROR(
            VLOOKUP($A46, INDIRECT("SepR!$A$6:$ZZ$1048576"), MATCH(AJ$1, SepR!$6:$6, 0), FALSE),
            0
        ) +
        IFERROR(
            VLOOKUP($A46, INDIRECT("OctR!$A$6:$ZZ$1048576"), MATCH(AJ$1, OctR!$6:$6, 0), FALSE),
            0
        ) +
        IFERROR(
            VLOOKUP($A46, INDIRECT("NovR!$A$6:$ZZ$1048576"), MATCH(AJ$1, NovR!$6:$6, 0), FALSE),
            0
        ) +
        IFERROR(
            VLOOKUP($A46, INDIRECT("DicR!$A$6:$ZZ$1048576"), MATCH(AJ$1, DicR!$6:$6, 0), FALSE),
            0
        )
)</f>
        <v>0</v>
      </c>
      <c r="AK46" s="37">
        <f t="array" ref="AK46">SUM(
    IFERROR(
            VLOOKUP($A46, INDIRECT("EneR!$A$6:$ZZ$1048576"), MATCH(AK$1, EneR!$6:$6, 0), FALSE),
            0
        ) +
        IFERROR(
            VLOOKUP($A46, INDIRECT("FebR!$A$6:$ZZ$1048576"), MATCH(AK$1, FebR!$6:$6, 0), FALSE),
            0
        ) +
        IFERROR(
            VLOOKUP($A46, INDIRECT("MarR!$A$6:$ZZ$1048576"), MATCH(AK$1, MarR!$6:$6, 0), FALSE),
            0
        ) +
        IFERROR(
            VLOOKUP($A46, INDIRECT("AbrR!$A$6:$ZZ$1048576"), MATCH(AK$1, AbrR!$6:$6, 0), FALSE),
            0
        ) +
        IFERROR(
            VLOOKUP($A46, INDIRECT("MayR!$A$6:$ZZ$1048576"), MATCH(AK$1, MayR!$6:$6, 0), FALSE),
            0
        ) +
        IFERROR(
            VLOOKUP($A46, INDIRECT("JunR!$A$6:$ZZ$1048576"), MATCH(AK$1, JunR!$6:$6, 0), FALSE),
            0
        ) +
        IFERROR(
            VLOOKUP($A46, INDIRECT("JulR!$A$6:$ZZ$1048576"), MATCH(AK$1, JulR!$6:$6, 0), FALSE),
            0
        ) +
        IFERROR(
            VLOOKUP($A46, INDIRECT("AgoR!$A$6:$ZZ$1048576"), MATCH(AK$1, AgoR!$6:$6, 0), FALSE),
            0
        ) +
        IFERROR(
            VLOOKUP($A46, INDIRECT("SepR!$A$6:$ZZ$1048576"), MATCH(AK$1, SepR!$6:$6, 0), FALSE),
            0
        ) +
        IFERROR(
            VLOOKUP($A46, INDIRECT("OctR!$A$6:$ZZ$1048576"), MATCH(AK$1, OctR!$6:$6, 0), FALSE),
            0
        ) +
        IFERROR(
            VLOOKUP($A46, INDIRECT("NovR!$A$6:$ZZ$1048576"), MATCH(AK$1, NovR!$6:$6, 0), FALSE),
            0
        ) +
        IFERROR(
            VLOOKUP($A46, INDIRECT("DicR!$A$6:$ZZ$1048576"), MATCH(AK$1, DicR!$6:$6, 0), FALSE),
            0
        )
)</f>
        <v>0</v>
      </c>
      <c r="AL46" s="36">
        <f t="array" ref="AL46">SUM(
    IFERROR(
            VLOOKUP($A46, INDIRECT("EneR!$A$6:$ZZ$1048576"), MATCH(AL$1, EneR!$6:$6, 0), FALSE),
            0
        ) +
        IFERROR(
            VLOOKUP($A46, INDIRECT("FebR!$A$6:$ZZ$1048576"), MATCH(AL$1, FebR!$6:$6, 0), FALSE),
            0
        ) +
        IFERROR(
            VLOOKUP($A46, INDIRECT("MarR!$A$6:$ZZ$1048576"), MATCH(AL$1, MarR!$6:$6, 0), FALSE),
            0
        ) +
        IFERROR(
            VLOOKUP($A46, INDIRECT("AbrR!$A$6:$ZZ$1048576"), MATCH(AL$1, AbrR!$6:$6, 0), FALSE),
            0
        ) +
        IFERROR(
            VLOOKUP($A46, INDIRECT("MayR!$A$6:$ZZ$1048576"), MATCH(AL$1, MayR!$6:$6, 0), FALSE),
            0
        ) +
        IFERROR(
            VLOOKUP($A46, INDIRECT("JunR!$A$6:$ZZ$1048576"), MATCH(AL$1, JunR!$6:$6, 0), FALSE),
            0
        ) +
        IFERROR(
            VLOOKUP($A46, INDIRECT("JulR!$A$6:$ZZ$1048576"), MATCH(AL$1, JulR!$6:$6, 0), FALSE),
            0
        ) +
        IFERROR(
            VLOOKUP($A46, INDIRECT("AgoR!$A$6:$ZZ$1048576"), MATCH(AL$1, AgoR!$6:$6, 0), FALSE),
            0
        ) +
        IFERROR(
            VLOOKUP($A46, INDIRECT("SepR!$A$6:$ZZ$1048576"), MATCH(AL$1, SepR!$6:$6, 0), FALSE),
            0
        ) +
        IFERROR(
            VLOOKUP($A46, INDIRECT("OctR!$A$6:$ZZ$1048576"), MATCH(AL$1, OctR!$6:$6, 0), FALSE),
            0
        ) +
        IFERROR(
            VLOOKUP($A46, INDIRECT("NovR!$A$6:$ZZ$1048576"), MATCH(AL$1, NovR!$6:$6, 0), FALSE),
            0
        ) +
        IFERROR(
            VLOOKUP($A46, INDIRECT("DicR!$A$6:$ZZ$1048576"), MATCH(AL$1, DicR!$6:$6, 0), FALSE),
            0
        )
)</f>
        <v>0</v>
      </c>
      <c r="AM46" s="37">
        <f t="array" ref="AM46">SUM(
    IFERROR(
            VLOOKUP($A46, INDIRECT("EneR!$A$6:$ZZ$1048576"), MATCH(AM$1, EneR!$6:$6, 0), FALSE),
            0
        ) +
        IFERROR(
            VLOOKUP($A46, INDIRECT("FebR!$A$6:$ZZ$1048576"), MATCH(AM$1, FebR!$6:$6, 0), FALSE),
            0
        ) +
        IFERROR(
            VLOOKUP($A46, INDIRECT("MarR!$A$6:$ZZ$1048576"), MATCH(AM$1, MarR!$6:$6, 0), FALSE),
            0
        ) +
        IFERROR(
            VLOOKUP($A46, INDIRECT("AbrR!$A$6:$ZZ$1048576"), MATCH(AM$1, AbrR!$6:$6, 0), FALSE),
            0
        ) +
        IFERROR(
            VLOOKUP($A46, INDIRECT("MayR!$A$6:$ZZ$1048576"), MATCH(AM$1, MayR!$6:$6, 0), FALSE),
            0
        ) +
        IFERROR(
            VLOOKUP($A46, INDIRECT("JunR!$A$6:$ZZ$1048576"), MATCH(AM$1, JunR!$6:$6, 0), FALSE),
            0
        ) +
        IFERROR(
            VLOOKUP($A46, INDIRECT("JulR!$A$6:$ZZ$1048576"), MATCH(AM$1, JulR!$6:$6, 0), FALSE),
            0
        ) +
        IFERROR(
            VLOOKUP($A46, INDIRECT("AgoR!$A$6:$ZZ$1048576"), MATCH(AM$1, AgoR!$6:$6, 0), FALSE),
            0
        ) +
        IFERROR(
            VLOOKUP($A46, INDIRECT("SepR!$A$6:$ZZ$1048576"), MATCH(AM$1, SepR!$6:$6, 0), FALSE),
            0
        ) +
        IFERROR(
            VLOOKUP($A46, INDIRECT("OctR!$A$6:$ZZ$1048576"), MATCH(AM$1, OctR!$6:$6, 0), FALSE),
            0
        ) +
        IFERROR(
            VLOOKUP($A46, INDIRECT("NovR!$A$6:$ZZ$1048576"), MATCH(AM$1, NovR!$6:$6, 0), FALSE),
            0
        ) +
        IFERROR(
            VLOOKUP($A46, INDIRECT("DicR!$A$6:$ZZ$1048576"), MATCH(AM$1, DicR!$6:$6, 0), FALSE),
            0
        )
)</f>
        <v>0</v>
      </c>
      <c r="AN46" s="32">
        <f t="array" ref="AN46">SUM(
    IFERROR(
            VLOOKUP($A46, INDIRECT("EneR!$A$6:$ZZ$1048576"), MATCH(AN$1, EneR!$6:$6, 0), FALSE),
            0
        ) +
        IFERROR(
            VLOOKUP($A46, INDIRECT("FebR!$A$6:$ZZ$1048576"), MATCH(AN$1, FebR!$6:$6, 0), FALSE),
            0
        ) +
        IFERROR(
            VLOOKUP($A46, INDIRECT("MarR!$A$6:$ZZ$1048576"), MATCH(AN$1, MarR!$6:$6, 0), FALSE),
            0
        ) +
        IFERROR(
            VLOOKUP($A46, INDIRECT("AbrR!$A$6:$ZZ$1048576"), MATCH(AN$1, AbrR!$6:$6, 0), FALSE),
            0
        ) +
        IFERROR(
            VLOOKUP($A46, INDIRECT("MayR!$A$6:$ZZ$1048576"), MATCH(AN$1, MayR!$6:$6, 0), FALSE),
            0
        ) +
        IFERROR(
            VLOOKUP($A46, INDIRECT("JunR!$A$6:$ZZ$1048576"), MATCH(AN$1, JunR!$6:$6, 0), FALSE),
            0
        ) +
        IFERROR(
            VLOOKUP($A46, INDIRECT("JulR!$A$6:$ZZ$1048576"), MATCH(AN$1, JulR!$6:$6, 0), FALSE),
            0
        ) +
        IFERROR(
            VLOOKUP($A46, INDIRECT("AgoR!$A$6:$ZZ$1048576"), MATCH(AN$1, AgoR!$6:$6, 0), FALSE),
            0
        ) +
        IFERROR(
            VLOOKUP($A46, INDIRECT("SepR!$A$6:$ZZ$1048576"), MATCH(AN$1, SepR!$6:$6, 0), FALSE),
            0
        ) +
        IFERROR(
            VLOOKUP($A46, INDIRECT("OctR!$A$6:$ZZ$1048576"), MATCH(AN$1, OctR!$6:$6, 0), FALSE),
            0
        ) +
        IFERROR(
            VLOOKUP($A46, INDIRECT("NovR!$A$6:$ZZ$1048576"), MATCH(AN$1, NovR!$6:$6, 0), FALSE),
            0
        ) +
        IFERROR(
            VLOOKUP($A46, INDIRECT("DicR!$A$6:$ZZ$1048576"), MATCH(AN$1, DicR!$6:$6, 0), FALSE),
            0
        )
)</f>
        <v>0</v>
      </c>
      <c r="AO46" s="35">
        <f t="array" ref="AO46">SUM(
    IFERROR(
            VLOOKUP($A46, INDIRECT("EneR!$A$6:$ZZ$1048576"), MATCH(AO$1, EneR!$6:$6, 0), FALSE),
            0
        ) +
        IFERROR(
            VLOOKUP($A46, INDIRECT("FebR!$A$6:$ZZ$1048576"), MATCH(AO$1, FebR!$6:$6, 0), FALSE),
            0
        ) +
        IFERROR(
            VLOOKUP($A46, INDIRECT("MarR!$A$6:$ZZ$1048576"), MATCH(AO$1, MarR!$6:$6, 0), FALSE),
            0
        ) +
        IFERROR(
            VLOOKUP($A46, INDIRECT("AbrR!$A$6:$ZZ$1048576"), MATCH(AO$1, AbrR!$6:$6, 0), FALSE),
            0
        ) +
        IFERROR(
            VLOOKUP($A46, INDIRECT("MayR!$A$6:$ZZ$1048576"), MATCH(AO$1, MayR!$6:$6, 0), FALSE),
            0
        ) +
        IFERROR(
            VLOOKUP($A46, INDIRECT("JunR!$A$6:$ZZ$1048576"), MATCH(AO$1, JunR!$6:$6, 0), FALSE),
            0
        ) +
        IFERROR(
            VLOOKUP($A46, INDIRECT("JulR!$A$6:$ZZ$1048576"), MATCH(AO$1, JulR!$6:$6, 0), FALSE),
            0
        ) +
        IFERROR(
            VLOOKUP($A46, INDIRECT("AgoR!$A$6:$ZZ$1048576"), MATCH(AO$1, AgoR!$6:$6, 0), FALSE),
            0
        ) +
        IFERROR(
            VLOOKUP($A46, INDIRECT("SepR!$A$6:$ZZ$1048576"), MATCH(AO$1, SepR!$6:$6, 0), FALSE),
            0
        ) +
        IFERROR(
            VLOOKUP($A46, INDIRECT("OctR!$A$6:$ZZ$1048576"), MATCH(AO$1, OctR!$6:$6, 0), FALSE),
            0
        ) +
        IFERROR(
            VLOOKUP($A46, INDIRECT("NovR!$A$6:$ZZ$1048576"), MATCH(AO$1, NovR!$6:$6, 0), FALSE),
            0
        ) +
        IFERROR(
            VLOOKUP($A46, INDIRECT("DicR!$A$6:$ZZ$1048576"), MATCH(AO$1, DicR!$6:$6, 0), FALSE),
            0
        )
)</f>
        <v>0</v>
      </c>
      <c r="AP46" s="36">
        <f t="array" ref="AP46">SUM(
    IFERROR(
            VLOOKUP($A46, INDIRECT("EneR!$A$6:$ZZ$1048576"), MATCH(AP$1, EneR!$6:$6, 0), FALSE),
            0
        ) +
        IFERROR(
            VLOOKUP($A46, INDIRECT("FebR!$A$6:$ZZ$1048576"), MATCH(AP$1, FebR!$6:$6, 0), FALSE),
            0
        ) +
        IFERROR(
            VLOOKUP($A46, INDIRECT("MarR!$A$6:$ZZ$1048576"), MATCH(AP$1, MarR!$6:$6, 0), FALSE),
            0
        ) +
        IFERROR(
            VLOOKUP($A46, INDIRECT("AbrR!$A$6:$ZZ$1048576"), MATCH(AP$1, AbrR!$6:$6, 0), FALSE),
            0
        ) +
        IFERROR(
            VLOOKUP($A46, INDIRECT("MayR!$A$6:$ZZ$1048576"), MATCH(AP$1, MayR!$6:$6, 0), FALSE),
            0
        ) +
        IFERROR(
            VLOOKUP($A46, INDIRECT("JunR!$A$6:$ZZ$1048576"), MATCH(AP$1, JunR!$6:$6, 0), FALSE),
            0
        ) +
        IFERROR(
            VLOOKUP($A46, INDIRECT("JulR!$A$6:$ZZ$1048576"), MATCH(AP$1, JulR!$6:$6, 0), FALSE),
            0
        ) +
        IFERROR(
            VLOOKUP($A46, INDIRECT("AgoR!$A$6:$ZZ$1048576"), MATCH(AP$1, AgoR!$6:$6, 0), FALSE),
            0
        ) +
        IFERROR(
            VLOOKUP($A46, INDIRECT("SepR!$A$6:$ZZ$1048576"), MATCH(AP$1, SepR!$6:$6, 0), FALSE),
            0
        ) +
        IFERROR(
            VLOOKUP($A46, INDIRECT("OctR!$A$6:$ZZ$1048576"), MATCH(AP$1, OctR!$6:$6, 0), FALSE),
            0
        ) +
        IFERROR(
            VLOOKUP($A46, INDIRECT("NovR!$A$6:$ZZ$1048576"), MATCH(AP$1, NovR!$6:$6, 0), FALSE),
            0
        ) +
        IFERROR(
            VLOOKUP($A46, INDIRECT("DicR!$A$6:$ZZ$1048576"), MATCH(AP$1, DicR!$6:$6, 0), FALSE),
            0
        )
)</f>
        <v>0</v>
      </c>
      <c r="AQ46" s="35">
        <f t="array" ref="AQ46">SUM(
    IFERROR(
            VLOOKUP($A46, INDIRECT("EneR!$A$6:$ZZ$1048576"), MATCH(AQ$1, EneR!$6:$6, 0), FALSE),
            0
        ) +
        IFERROR(
            VLOOKUP($A46, INDIRECT("FebR!$A$6:$ZZ$1048576"), MATCH(AQ$1, FebR!$6:$6, 0), FALSE),
            0
        ) +
        IFERROR(
            VLOOKUP($A46, INDIRECT("MarR!$A$6:$ZZ$1048576"), MATCH(AQ$1, MarR!$6:$6, 0), FALSE),
            0
        ) +
        IFERROR(
            VLOOKUP($A46, INDIRECT("AbrR!$A$6:$ZZ$1048576"), MATCH(AQ$1, AbrR!$6:$6, 0), FALSE),
            0
        ) +
        IFERROR(
            VLOOKUP($A46, INDIRECT("MayR!$A$6:$ZZ$1048576"), MATCH(AQ$1, MayR!$6:$6, 0), FALSE),
            0
        ) +
        IFERROR(
            VLOOKUP($A46, INDIRECT("JunR!$A$6:$ZZ$1048576"), MATCH(AQ$1, JunR!$6:$6, 0), FALSE),
            0
        ) +
        IFERROR(
            VLOOKUP($A46, INDIRECT("JulR!$A$6:$ZZ$1048576"), MATCH(AQ$1, JulR!$6:$6, 0), FALSE),
            0
        ) +
        IFERROR(
            VLOOKUP($A46, INDIRECT("AgoR!$A$6:$ZZ$1048576"), MATCH(AQ$1, AgoR!$6:$6, 0), FALSE),
            0
        ) +
        IFERROR(
            VLOOKUP($A46, INDIRECT("SepR!$A$6:$ZZ$1048576"), MATCH(AQ$1, SepR!$6:$6, 0), FALSE),
            0
        ) +
        IFERROR(
            VLOOKUP($A46, INDIRECT("OctR!$A$6:$ZZ$1048576"), MATCH(AQ$1, OctR!$6:$6, 0), FALSE),
            0
        ) +
        IFERROR(
            VLOOKUP($A46, INDIRECT("NovR!$A$6:$ZZ$1048576"), MATCH(AQ$1, NovR!$6:$6, 0), FALSE),
            0
        ) +
        IFERROR(
            VLOOKUP($A46, INDIRECT("DicR!$A$6:$ZZ$1048576"), MATCH(AQ$1, DicR!$6:$6, 0), FALSE),
            0
        )
)</f>
        <v>0</v>
      </c>
      <c r="AR46" s="36">
        <f t="array" ref="AR46">SUM(
    IFERROR(
            VLOOKUP($A46, INDIRECT("EneR!$A$6:$ZZ$1048576"), MATCH(AR$1, EneR!$6:$6, 0), FALSE),
            0
        ) +
        IFERROR(
            VLOOKUP($A46, INDIRECT("FebR!$A$6:$ZZ$1048576"), MATCH(AR$1, FebR!$6:$6, 0), FALSE),
            0
        ) +
        IFERROR(
            VLOOKUP($A46, INDIRECT("MarR!$A$6:$ZZ$1048576"), MATCH(AR$1, MarR!$6:$6, 0), FALSE),
            0
        ) +
        IFERROR(
            VLOOKUP($A46, INDIRECT("AbrR!$A$6:$ZZ$1048576"), MATCH(AR$1, AbrR!$6:$6, 0), FALSE),
            0
        ) +
        IFERROR(
            VLOOKUP($A46, INDIRECT("MayR!$A$6:$ZZ$1048576"), MATCH(AR$1, MayR!$6:$6, 0), FALSE),
            0
        ) +
        IFERROR(
            VLOOKUP($A46, INDIRECT("JunR!$A$6:$ZZ$1048576"), MATCH(AR$1, JunR!$6:$6, 0), FALSE),
            0
        ) +
        IFERROR(
            VLOOKUP($A46, INDIRECT("JulR!$A$6:$ZZ$1048576"), MATCH(AR$1, JulR!$6:$6, 0), FALSE),
            0
        ) +
        IFERROR(
            VLOOKUP($A46, INDIRECT("AgoR!$A$6:$ZZ$1048576"), MATCH(AR$1, AgoR!$6:$6, 0), FALSE),
            0
        ) +
        IFERROR(
            VLOOKUP($A46, INDIRECT("SepR!$A$6:$ZZ$1048576"), MATCH(AR$1, SepR!$6:$6, 0), FALSE),
            0
        ) +
        IFERROR(
            VLOOKUP($A46, INDIRECT("OctR!$A$6:$ZZ$1048576"), MATCH(AR$1, OctR!$6:$6, 0), FALSE),
            0
        ) +
        IFERROR(
            VLOOKUP($A46, INDIRECT("NovR!$A$6:$ZZ$1048576"), MATCH(AR$1, NovR!$6:$6, 0), FALSE),
            0
        ) +
        IFERROR(
            VLOOKUP($A46, INDIRECT("DicR!$A$6:$ZZ$1048576"), MATCH(AR$1, DicR!$6:$6, 0), FALSE),
            0
        )
)</f>
        <v>0</v>
      </c>
      <c r="AS46" s="35">
        <f t="array" ref="AS46">SUM(
    IFERROR(
            VLOOKUP($A46, INDIRECT("EneR!$A$6:$ZZ$1048576"), MATCH(AS$1, EneR!$6:$6, 0), FALSE),
            0
        ) +
        IFERROR(
            VLOOKUP($A46, INDIRECT("FebR!$A$6:$ZZ$1048576"), MATCH(AS$1, FebR!$6:$6, 0), FALSE),
            0
        ) +
        IFERROR(
            VLOOKUP($A46, INDIRECT("MarR!$A$6:$ZZ$1048576"), MATCH(AS$1, MarR!$6:$6, 0), FALSE),
            0
        ) +
        IFERROR(
            VLOOKUP($A46, INDIRECT("AbrR!$A$6:$ZZ$1048576"), MATCH(AS$1, AbrR!$6:$6, 0), FALSE),
            0
        ) +
        IFERROR(
            VLOOKUP($A46, INDIRECT("MayR!$A$6:$ZZ$1048576"), MATCH(AS$1, MayR!$6:$6, 0), FALSE),
            0
        ) +
        IFERROR(
            VLOOKUP($A46, INDIRECT("JunR!$A$6:$ZZ$1048576"), MATCH(AS$1, JunR!$6:$6, 0), FALSE),
            0
        ) +
        IFERROR(
            VLOOKUP($A46, INDIRECT("JulR!$A$6:$ZZ$1048576"), MATCH(AS$1, JulR!$6:$6, 0), FALSE),
            0
        ) +
        IFERROR(
            VLOOKUP($A46, INDIRECT("AgoR!$A$6:$ZZ$1048576"), MATCH(AS$1, AgoR!$6:$6, 0), FALSE),
            0
        ) +
        IFERROR(
            VLOOKUP($A46, INDIRECT("SepR!$A$6:$ZZ$1048576"), MATCH(AS$1, SepR!$6:$6, 0), FALSE),
            0
        ) +
        IFERROR(
            VLOOKUP($A46, INDIRECT("OctR!$A$6:$ZZ$1048576"), MATCH(AS$1, OctR!$6:$6, 0), FALSE),
            0
        ) +
        IFERROR(
            VLOOKUP($A46, INDIRECT("NovR!$A$6:$ZZ$1048576"), MATCH(AS$1, NovR!$6:$6, 0), FALSE),
            0
        ) +
        IFERROR(
            VLOOKUP($A46, INDIRECT("DicR!$A$6:$ZZ$1048576"), MATCH(AS$1, DicR!$6:$6, 0), FALSE),
            0
        )
)</f>
        <v>0</v>
      </c>
      <c r="AT46" s="36">
        <f t="array" ref="AT46">SUM(
    IFERROR(
            VLOOKUP($A46, INDIRECT("EneR!$A$6:$ZZ$1048576"), MATCH(AT$1, EneR!$6:$6, 0), FALSE),
            0
        ) +
        IFERROR(
            VLOOKUP($A46, INDIRECT("FebR!$A$6:$ZZ$1048576"), MATCH(AT$1, FebR!$6:$6, 0), FALSE),
            0
        ) +
        IFERROR(
            VLOOKUP($A46, INDIRECT("MarR!$A$6:$ZZ$1048576"), MATCH(AT$1, MarR!$6:$6, 0), FALSE),
            0
        ) +
        IFERROR(
            VLOOKUP($A46, INDIRECT("AbrR!$A$6:$ZZ$1048576"), MATCH(AT$1, AbrR!$6:$6, 0), FALSE),
            0
        ) +
        IFERROR(
            VLOOKUP($A46, INDIRECT("MayR!$A$6:$ZZ$1048576"), MATCH(AT$1, MayR!$6:$6, 0), FALSE),
            0
        ) +
        IFERROR(
            VLOOKUP($A46, INDIRECT("JunR!$A$6:$ZZ$1048576"), MATCH(AT$1, JunR!$6:$6, 0), FALSE),
            0
        ) +
        IFERROR(
            VLOOKUP($A46, INDIRECT("JulR!$A$6:$ZZ$1048576"), MATCH(AT$1, JulR!$6:$6, 0), FALSE),
            0
        ) +
        IFERROR(
            VLOOKUP($A46, INDIRECT("AgoR!$A$6:$ZZ$1048576"), MATCH(AT$1, AgoR!$6:$6, 0), FALSE),
            0
        ) +
        IFERROR(
            VLOOKUP($A46, INDIRECT("SepR!$A$6:$ZZ$1048576"), MATCH(AT$1, SepR!$6:$6, 0), FALSE),
            0
        ) +
        IFERROR(
            VLOOKUP($A46, INDIRECT("OctR!$A$6:$ZZ$1048576"), MATCH(AT$1, OctR!$6:$6, 0), FALSE),
            0
        ) +
        IFERROR(
            VLOOKUP($A46, INDIRECT("NovR!$A$6:$ZZ$1048576"), MATCH(AT$1, NovR!$6:$6, 0), FALSE),
            0
        ) +
        IFERROR(
            VLOOKUP($A46, INDIRECT("DicR!$A$6:$ZZ$1048576"), MATCH(AT$1, DicR!$6:$6, 0), FALSE),
            0
        )
)</f>
        <v>0</v>
      </c>
      <c r="AU46" s="35">
        <f t="array" ref="AU46">SUM(
    IFERROR(
            VLOOKUP($A46, INDIRECT("EneR!$A$6:$ZZ$1048576"), MATCH(AU$1, EneR!$6:$6, 0), FALSE),
            0
        ) +
        IFERROR(
            VLOOKUP($A46, INDIRECT("FebR!$A$6:$ZZ$1048576"), MATCH(AU$1, FebR!$6:$6, 0), FALSE),
            0
        ) +
        IFERROR(
            VLOOKUP($A46, INDIRECT("MarR!$A$6:$ZZ$1048576"), MATCH(AU$1, MarR!$6:$6, 0), FALSE),
            0
        ) +
        IFERROR(
            VLOOKUP($A46, INDIRECT("AbrR!$A$6:$ZZ$1048576"), MATCH(AU$1, AbrR!$6:$6, 0), FALSE),
            0
        ) +
        IFERROR(
            VLOOKUP($A46, INDIRECT("MayR!$A$6:$ZZ$1048576"), MATCH(AU$1, MayR!$6:$6, 0), FALSE),
            0
        ) +
        IFERROR(
            VLOOKUP($A46, INDIRECT("JunR!$A$6:$ZZ$1048576"), MATCH(AU$1, JunR!$6:$6, 0), FALSE),
            0
        ) +
        IFERROR(
            VLOOKUP($A46, INDIRECT("JulR!$A$6:$ZZ$1048576"), MATCH(AU$1, JulR!$6:$6, 0), FALSE),
            0
        ) +
        IFERROR(
            VLOOKUP($A46, INDIRECT("AgoR!$A$6:$ZZ$1048576"), MATCH(AU$1, AgoR!$6:$6, 0), FALSE),
            0
        ) +
        IFERROR(
            VLOOKUP($A46, INDIRECT("SepR!$A$6:$ZZ$1048576"), MATCH(AU$1, SepR!$6:$6, 0), FALSE),
            0
        ) +
        IFERROR(
            VLOOKUP($A46, INDIRECT("OctR!$A$6:$ZZ$1048576"), MATCH(AU$1, OctR!$6:$6, 0), FALSE),
            0
        ) +
        IFERROR(
            VLOOKUP($A46, INDIRECT("NovR!$A$6:$ZZ$1048576"), MATCH(AU$1, NovR!$6:$6, 0), FALSE),
            0
        ) +
        IFERROR(
            VLOOKUP($A46, INDIRECT("DicR!$A$6:$ZZ$1048576"), MATCH(AU$1, DicR!$6:$6, 0), FALSE),
            0
        )
)</f>
        <v>0</v>
      </c>
      <c r="AV46" s="36">
        <f t="array" ref="AV46">SUM(
    IFERROR(
            VLOOKUP($A46, INDIRECT("EneR!$A$6:$ZZ$1048576"), MATCH(AV$1, EneR!$6:$6, 0), FALSE),
            0
        ) +
        IFERROR(
            VLOOKUP($A46, INDIRECT("FebR!$A$6:$ZZ$1048576"), MATCH(AV$1, FebR!$6:$6, 0), FALSE),
            0
        ) +
        IFERROR(
            VLOOKUP($A46, INDIRECT("MarR!$A$6:$ZZ$1048576"), MATCH(AV$1, MarR!$6:$6, 0), FALSE),
            0
        ) +
        IFERROR(
            VLOOKUP($A46, INDIRECT("AbrR!$A$6:$ZZ$1048576"), MATCH(AV$1, AbrR!$6:$6, 0), FALSE),
            0
        ) +
        IFERROR(
            VLOOKUP($A46, INDIRECT("MayR!$A$6:$ZZ$1048576"), MATCH(AV$1, MayR!$6:$6, 0), FALSE),
            0
        ) +
        IFERROR(
            VLOOKUP($A46, INDIRECT("JunR!$A$6:$ZZ$1048576"), MATCH(AV$1, JunR!$6:$6, 0), FALSE),
            0
        ) +
        IFERROR(
            VLOOKUP($A46, INDIRECT("JulR!$A$6:$ZZ$1048576"), MATCH(AV$1, JulR!$6:$6, 0), FALSE),
            0
        ) +
        IFERROR(
            VLOOKUP($A46, INDIRECT("AgoR!$A$6:$ZZ$1048576"), MATCH(AV$1, AgoR!$6:$6, 0), FALSE),
            0
        ) +
        IFERROR(
            VLOOKUP($A46, INDIRECT("SepR!$A$6:$ZZ$1048576"), MATCH(AV$1, SepR!$6:$6, 0), FALSE),
            0
        ) +
        IFERROR(
            VLOOKUP($A46, INDIRECT("OctR!$A$6:$ZZ$1048576"), MATCH(AV$1, OctR!$6:$6, 0), FALSE),
            0
        ) +
        IFERROR(
            VLOOKUP($A46, INDIRECT("NovR!$A$6:$ZZ$1048576"), MATCH(AV$1, NovR!$6:$6, 0), FALSE),
            0
        ) +
        IFERROR(
            VLOOKUP($A46, INDIRECT("DicR!$A$6:$ZZ$1048576"), MATCH(AV$1, DicR!$6:$6, 0), FALSE),
            0
        )
)</f>
        <v>0</v>
      </c>
      <c r="AW46" s="35">
        <f t="array" ref="AW46">SUM(
    IFERROR(
            VLOOKUP($A46, INDIRECT("EneR!$A$6:$ZZ$1048576"), MATCH(AW$1, EneR!$6:$6, 0), FALSE),
            0
        ) +
        IFERROR(
            VLOOKUP($A46, INDIRECT("FebR!$A$6:$ZZ$1048576"), MATCH(AW$1, FebR!$6:$6, 0), FALSE),
            0
        ) +
        IFERROR(
            VLOOKUP($A46, INDIRECT("MarR!$A$6:$ZZ$1048576"), MATCH(AW$1, MarR!$6:$6, 0), FALSE),
            0
        ) +
        IFERROR(
            VLOOKUP($A46, INDIRECT("AbrR!$A$6:$ZZ$1048576"), MATCH(AW$1, AbrR!$6:$6, 0), FALSE),
            0
        ) +
        IFERROR(
            VLOOKUP($A46, INDIRECT("MayR!$A$6:$ZZ$1048576"), MATCH(AW$1, MayR!$6:$6, 0), FALSE),
            0
        ) +
        IFERROR(
            VLOOKUP($A46, INDIRECT("JunR!$A$6:$ZZ$1048576"), MATCH(AW$1, JunR!$6:$6, 0), FALSE),
            0
        ) +
        IFERROR(
            VLOOKUP($A46, INDIRECT("JulR!$A$6:$ZZ$1048576"), MATCH(AW$1, JulR!$6:$6, 0), FALSE),
            0
        ) +
        IFERROR(
            VLOOKUP($A46, INDIRECT("AgoR!$A$6:$ZZ$1048576"), MATCH(AW$1, AgoR!$6:$6, 0), FALSE),
            0
        ) +
        IFERROR(
            VLOOKUP($A46, INDIRECT("SepR!$A$6:$ZZ$1048576"), MATCH(AW$1, SepR!$6:$6, 0), FALSE),
            0
        ) +
        IFERROR(
            VLOOKUP($A46, INDIRECT("OctR!$A$6:$ZZ$1048576"), MATCH(AW$1, OctR!$6:$6, 0), FALSE),
            0
        ) +
        IFERROR(
            VLOOKUP($A46, INDIRECT("NovR!$A$6:$ZZ$1048576"), MATCH(AW$1, NovR!$6:$6, 0), FALSE),
            0
        ) +
        IFERROR(
            VLOOKUP($A46, INDIRECT("DicR!$A$6:$ZZ$1048576"), MATCH(AW$1, DicR!$6:$6, 0), FALSE),
            0
        )
)</f>
        <v>0</v>
      </c>
      <c r="AX46" s="36">
        <f t="array" ref="AX46">SUM(
    IFERROR(
            VLOOKUP($A46, INDIRECT("EneR!$A$6:$ZZ$1048576"), MATCH(AX$1, EneR!$6:$6, 0), FALSE),
            0
        ) +
        IFERROR(
            VLOOKUP($A46, INDIRECT("FebR!$A$6:$ZZ$1048576"), MATCH(AX$1, FebR!$6:$6, 0), FALSE),
            0
        ) +
        IFERROR(
            VLOOKUP($A46, INDIRECT("MarR!$A$6:$ZZ$1048576"), MATCH(AX$1, MarR!$6:$6, 0), FALSE),
            0
        ) +
        IFERROR(
            VLOOKUP($A46, INDIRECT("AbrR!$A$6:$ZZ$1048576"), MATCH(AX$1, AbrR!$6:$6, 0), FALSE),
            0
        ) +
        IFERROR(
            VLOOKUP($A46, INDIRECT("MayR!$A$6:$ZZ$1048576"), MATCH(AX$1, MayR!$6:$6, 0), FALSE),
            0
        ) +
        IFERROR(
            VLOOKUP($A46, INDIRECT("JunR!$A$6:$ZZ$1048576"), MATCH(AX$1, JunR!$6:$6, 0), FALSE),
            0
        ) +
        IFERROR(
            VLOOKUP($A46, INDIRECT("JulR!$A$6:$ZZ$1048576"), MATCH(AX$1, JulR!$6:$6, 0), FALSE),
            0
        ) +
        IFERROR(
            VLOOKUP($A46, INDIRECT("AgoR!$A$6:$ZZ$1048576"), MATCH(AX$1, AgoR!$6:$6, 0), FALSE),
            0
        ) +
        IFERROR(
            VLOOKUP($A46, INDIRECT("SepR!$A$6:$ZZ$1048576"), MATCH(AX$1, SepR!$6:$6, 0), FALSE),
            0
        ) +
        IFERROR(
            VLOOKUP($A46, INDIRECT("OctR!$A$6:$ZZ$1048576"), MATCH(AX$1, OctR!$6:$6, 0), FALSE),
            0
        ) +
        IFERROR(
            VLOOKUP($A46, INDIRECT("NovR!$A$6:$ZZ$1048576"), MATCH(AX$1, NovR!$6:$6, 0), FALSE),
            0
        ) +
        IFERROR(
            VLOOKUP($A46, INDIRECT("DicR!$A$6:$ZZ$1048576"), MATCH(AX$1, DicR!$6:$6, 0), FALSE),
            0
        )
)</f>
        <v>0</v>
      </c>
      <c r="AY46" s="35">
        <f t="array" ref="AY46">SUM(
    IFERROR(
            VLOOKUP($A46, INDIRECT("EneR!$A$6:$ZZ$1048576"), MATCH(AY$1, EneR!$6:$6, 0), FALSE),
            0
        ) +
        IFERROR(
            VLOOKUP($A46, INDIRECT("FebR!$A$6:$ZZ$1048576"), MATCH(AY$1, FebR!$6:$6, 0), FALSE),
            0
        ) +
        IFERROR(
            VLOOKUP($A46, INDIRECT("MarR!$A$6:$ZZ$1048576"), MATCH(AY$1, MarR!$6:$6, 0), FALSE),
            0
        ) +
        IFERROR(
            VLOOKUP($A46, INDIRECT("AbrR!$A$6:$ZZ$1048576"), MATCH(AY$1, AbrR!$6:$6, 0), FALSE),
            0
        ) +
        IFERROR(
            VLOOKUP($A46, INDIRECT("MayR!$A$6:$ZZ$1048576"), MATCH(AY$1, MayR!$6:$6, 0), FALSE),
            0
        ) +
        IFERROR(
            VLOOKUP($A46, INDIRECT("JunR!$A$6:$ZZ$1048576"), MATCH(AY$1, JunR!$6:$6, 0), FALSE),
            0
        ) +
        IFERROR(
            VLOOKUP($A46, INDIRECT("JulR!$A$6:$ZZ$1048576"), MATCH(AY$1, JulR!$6:$6, 0), FALSE),
            0
        ) +
        IFERROR(
            VLOOKUP($A46, INDIRECT("AgoR!$A$6:$ZZ$1048576"), MATCH(AY$1, AgoR!$6:$6, 0), FALSE),
            0
        ) +
        IFERROR(
            VLOOKUP($A46, INDIRECT("SepR!$A$6:$ZZ$1048576"), MATCH(AY$1, SepR!$6:$6, 0), FALSE),
            0
        ) +
        IFERROR(
            VLOOKUP($A46, INDIRECT("OctR!$A$6:$ZZ$1048576"), MATCH(AY$1, OctR!$6:$6, 0), FALSE),
            0
        ) +
        IFERROR(
            VLOOKUP($A46, INDIRECT("NovR!$A$6:$ZZ$1048576"), MATCH(AY$1, NovR!$6:$6, 0), FALSE),
            0
        ) +
        IFERROR(
            VLOOKUP($A46, INDIRECT("DicR!$A$6:$ZZ$1048576"), MATCH(AY$1, DicR!$6:$6, 0), FALSE),
            0
        )
)</f>
        <v>0</v>
      </c>
      <c r="AZ46" s="35"/>
    </row>
    <row r="47" ht="15.75" customHeight="1">
      <c r="A47" s="12" t="str">
        <f>Menus!B8</f>
        <v/>
      </c>
      <c r="B47" s="32">
        <f t="shared" si="9"/>
        <v>0</v>
      </c>
      <c r="C47" s="33" t="str">
        <f t="shared" si="10"/>
        <v/>
      </c>
      <c r="D47" s="34">
        <f t="array" ref="D47">SUM(
    IFERROR(
            VLOOKUP($A47, INDIRECT("EneR!$A$6:$ZZ$1048576"), MATCH(D$1, EneR!$6:$6, 0), FALSE),
            0
        ) +
        IFERROR(
            VLOOKUP($A47, INDIRECT("FebR!$A$6:$ZZ$1048576"), MATCH(D$1, FebR!$6:$6, 0), FALSE),
            0
        ) +
        IFERROR(
            VLOOKUP($A47, INDIRECT("MarR!$A$6:$ZZ$1048576"), MATCH(D$1, MarR!$6:$6, 0), FALSE),
            0
        ) +
        IFERROR(
            VLOOKUP($A47, INDIRECT("AbrR!$A$6:$ZZ$1048576"), MATCH(D$1, AbrR!$6:$6, 0), FALSE),
            0
        ) +
        IFERROR(
            VLOOKUP($A47, INDIRECT("MayR!$A$6:$ZZ$1048576"), MATCH(D$1, MayR!$6:$6, 0), FALSE),
            0
        ) +
        IFERROR(
            VLOOKUP($A47, INDIRECT("JunR!$A$6:$ZZ$1048576"), MATCH(D$1, JunR!$6:$6, 0), FALSE),
            0
        ) +
        IFERROR(
            VLOOKUP($A47, INDIRECT("JulR!$A$6:$ZZ$1048576"), MATCH(D$1, JulR!$6:$6, 0), FALSE),
            0
        ) +
        IFERROR(
            VLOOKUP($A47, INDIRECT("AgoR!$A$6:$ZZ$1048576"), MATCH(D$1, AgoR!$6:$6, 0), FALSE),
            0
        ) +
        IFERROR(
            VLOOKUP($A47, INDIRECT("SepR!$A$6:$ZZ$1048576"), MATCH(D$1, SepR!$6:$6, 0), FALSE),
            0
        ) +
        IFERROR(
            VLOOKUP($A47, INDIRECT("OctR!$A$6:$ZZ$1048576"), MATCH(D$1, OctR!$6:$6, 0), FALSE),
            0
        ) +
        IFERROR(
            VLOOKUP($A47, INDIRECT("NovR!$A$6:$ZZ$1048576"), MATCH(D$1, NovR!$6:$6, 0), FALSE),
            0
        ) +
        IFERROR(
            VLOOKUP($A47, INDIRECT("DicR!$A$6:$ZZ$1048576"), MATCH(D$1, DicR!$6:$6, 0), FALSE),
            0
        )
)</f>
        <v>0</v>
      </c>
      <c r="E47" s="35">
        <f t="array" ref="E47">SUM(
    IFERROR(
            VLOOKUP($A47, INDIRECT("EneR!$A$6:$ZZ$1048576"), MATCH(E$1, EneR!$6:$6, 0), FALSE),
            0
        ) +
        IFERROR(
            VLOOKUP($A47, INDIRECT("FebR!$A$6:$ZZ$1048576"), MATCH(E$1, FebR!$6:$6, 0), FALSE),
            0
        ) +
        IFERROR(
            VLOOKUP($A47, INDIRECT("MarR!$A$6:$ZZ$1048576"), MATCH(E$1, MarR!$6:$6, 0), FALSE),
            0
        ) +
        IFERROR(
            VLOOKUP($A47, INDIRECT("AbrR!$A$6:$ZZ$1048576"), MATCH(E$1, AbrR!$6:$6, 0), FALSE),
            0
        ) +
        IFERROR(
            VLOOKUP($A47, INDIRECT("MayR!$A$6:$ZZ$1048576"), MATCH(E$1, MayR!$6:$6, 0), FALSE),
            0
        ) +
        IFERROR(
            VLOOKUP($A47, INDIRECT("JunR!$A$6:$ZZ$1048576"), MATCH(E$1, JunR!$6:$6, 0), FALSE),
            0
        ) +
        IFERROR(
            VLOOKUP($A47, INDIRECT("JulR!$A$6:$ZZ$1048576"), MATCH(E$1, JulR!$6:$6, 0), FALSE),
            0
        ) +
        IFERROR(
            VLOOKUP($A47, INDIRECT("AgoR!$A$6:$ZZ$1048576"), MATCH(E$1, AgoR!$6:$6, 0), FALSE),
            0
        ) +
        IFERROR(
            VLOOKUP($A47, INDIRECT("SepR!$A$6:$ZZ$1048576"), MATCH(E$1, SepR!$6:$6, 0), FALSE),
            0
        ) +
        IFERROR(
            VLOOKUP($A47, INDIRECT("OctR!$A$6:$ZZ$1048576"), MATCH(E$1, OctR!$6:$6, 0), FALSE),
            0
        ) +
        IFERROR(
            VLOOKUP($A47, INDIRECT("NovR!$A$6:$ZZ$1048576"), MATCH(E$1, NovR!$6:$6, 0), FALSE),
            0
        ) +
        IFERROR(
            VLOOKUP($A47, INDIRECT("DicR!$A$6:$ZZ$1048576"), MATCH(E$1, DicR!$6:$6, 0), FALSE),
            0
        )
)</f>
        <v>0</v>
      </c>
      <c r="F47" s="32">
        <f t="array" ref="F47">SUM(
    IFERROR(
            VLOOKUP($A47, INDIRECT("EneR!$A$6:$ZZ$1048576"), MATCH(F$1, EneR!$6:$6, 0), FALSE),
            0
        ) +
        IFERROR(
            VLOOKUP($A47, INDIRECT("FebR!$A$6:$ZZ$1048576"), MATCH(F$1, FebR!$6:$6, 0), FALSE),
            0
        ) +
        IFERROR(
            VLOOKUP($A47, INDIRECT("MarR!$A$6:$ZZ$1048576"), MATCH(F$1, MarR!$6:$6, 0), FALSE),
            0
        ) +
        IFERROR(
            VLOOKUP($A47, INDIRECT("AbrR!$A$6:$ZZ$1048576"), MATCH(F$1, AbrR!$6:$6, 0), FALSE),
            0
        ) +
        IFERROR(
            VLOOKUP($A47, INDIRECT("MayR!$A$6:$ZZ$1048576"), MATCH(F$1, MayR!$6:$6, 0), FALSE),
            0
        ) +
        IFERROR(
            VLOOKUP($A47, INDIRECT("JunR!$A$6:$ZZ$1048576"), MATCH(F$1, JunR!$6:$6, 0), FALSE),
            0
        ) +
        IFERROR(
            VLOOKUP($A47, INDIRECT("JulR!$A$6:$ZZ$1048576"), MATCH(F$1, JulR!$6:$6, 0), FALSE),
            0
        ) +
        IFERROR(
            VLOOKUP($A47, INDIRECT("AgoR!$A$6:$ZZ$1048576"), MATCH(F$1, AgoR!$6:$6, 0), FALSE),
            0
        ) +
        IFERROR(
            VLOOKUP($A47, INDIRECT("SepR!$A$6:$ZZ$1048576"), MATCH(F$1, SepR!$6:$6, 0), FALSE),
            0
        ) +
        IFERROR(
            VLOOKUP($A47, INDIRECT("OctR!$A$6:$ZZ$1048576"), MATCH(F$1, OctR!$6:$6, 0), FALSE),
            0
        ) +
        IFERROR(
            VLOOKUP($A47, INDIRECT("NovR!$A$6:$ZZ$1048576"), MATCH(F$1, NovR!$6:$6, 0), FALSE),
            0
        ) +
        IFERROR(
            VLOOKUP($A47, INDIRECT("DicR!$A$6:$ZZ$1048576"), MATCH(F$1, DicR!$6:$6, 0), FALSE),
            0
        )
)</f>
        <v>0</v>
      </c>
      <c r="G47" s="35">
        <f t="array" ref="G47">SUM(
    IFERROR(
            VLOOKUP($A47, INDIRECT("EneR!$A$6:$ZZ$1048576"), MATCH(G$1, EneR!$6:$6, 0), FALSE),
            0
        ) +
        IFERROR(
            VLOOKUP($A47, INDIRECT("FebR!$A$6:$ZZ$1048576"), MATCH(G$1, FebR!$6:$6, 0), FALSE),
            0
        ) +
        IFERROR(
            VLOOKUP($A47, INDIRECT("MarR!$A$6:$ZZ$1048576"), MATCH(G$1, MarR!$6:$6, 0), FALSE),
            0
        ) +
        IFERROR(
            VLOOKUP($A47, INDIRECT("AbrR!$A$6:$ZZ$1048576"), MATCH(G$1, AbrR!$6:$6, 0), FALSE),
            0
        ) +
        IFERROR(
            VLOOKUP($A47, INDIRECT("MayR!$A$6:$ZZ$1048576"), MATCH(G$1, MayR!$6:$6, 0), FALSE),
            0
        ) +
        IFERROR(
            VLOOKUP($A47, INDIRECT("JunR!$A$6:$ZZ$1048576"), MATCH(G$1, JunR!$6:$6, 0), FALSE),
            0
        ) +
        IFERROR(
            VLOOKUP($A47, INDIRECT("JulR!$A$6:$ZZ$1048576"), MATCH(G$1, JulR!$6:$6, 0), FALSE),
            0
        ) +
        IFERROR(
            VLOOKUP($A47, INDIRECT("AgoR!$A$6:$ZZ$1048576"), MATCH(G$1, AgoR!$6:$6, 0), FALSE),
            0
        ) +
        IFERROR(
            VLOOKUP($A47, INDIRECT("SepR!$A$6:$ZZ$1048576"), MATCH(G$1, SepR!$6:$6, 0), FALSE),
            0
        ) +
        IFERROR(
            VLOOKUP($A47, INDIRECT("OctR!$A$6:$ZZ$1048576"), MATCH(G$1, OctR!$6:$6, 0), FALSE),
            0
        ) +
        IFERROR(
            VLOOKUP($A47, INDIRECT("NovR!$A$6:$ZZ$1048576"), MATCH(G$1, NovR!$6:$6, 0), FALSE),
            0
        ) +
        IFERROR(
            VLOOKUP($A47, INDIRECT("DicR!$A$6:$ZZ$1048576"), MATCH(G$1, DicR!$6:$6, 0), FALSE),
            0
        )
)</f>
        <v>0</v>
      </c>
      <c r="H47" s="32">
        <f t="array" ref="H47">SUM(
    IFERROR(
            VLOOKUP($A47, INDIRECT("EneR!$A$6:$ZZ$1048576"), MATCH(H$1, EneR!$6:$6, 0), FALSE),
            0
        ) +
        IFERROR(
            VLOOKUP($A47, INDIRECT("FebR!$A$6:$ZZ$1048576"), MATCH(H$1, FebR!$6:$6, 0), FALSE),
            0
        ) +
        IFERROR(
            VLOOKUP($A47, INDIRECT("MarR!$A$6:$ZZ$1048576"), MATCH(H$1, MarR!$6:$6, 0), FALSE),
            0
        ) +
        IFERROR(
            VLOOKUP($A47, INDIRECT("AbrR!$A$6:$ZZ$1048576"), MATCH(H$1, AbrR!$6:$6, 0), FALSE),
            0
        ) +
        IFERROR(
            VLOOKUP($A47, INDIRECT("MayR!$A$6:$ZZ$1048576"), MATCH(H$1, MayR!$6:$6, 0), FALSE),
            0
        ) +
        IFERROR(
            VLOOKUP($A47, INDIRECT("JunR!$A$6:$ZZ$1048576"), MATCH(H$1, JunR!$6:$6, 0), FALSE),
            0
        ) +
        IFERROR(
            VLOOKUP($A47, INDIRECT("JulR!$A$6:$ZZ$1048576"), MATCH(H$1, JulR!$6:$6, 0), FALSE),
            0
        ) +
        IFERROR(
            VLOOKUP($A47, INDIRECT("AgoR!$A$6:$ZZ$1048576"), MATCH(H$1, AgoR!$6:$6, 0), FALSE),
            0
        ) +
        IFERROR(
            VLOOKUP($A47, INDIRECT("SepR!$A$6:$ZZ$1048576"), MATCH(H$1, SepR!$6:$6, 0), FALSE),
            0
        ) +
        IFERROR(
            VLOOKUP($A47, INDIRECT("OctR!$A$6:$ZZ$1048576"), MATCH(H$1, OctR!$6:$6, 0), FALSE),
            0
        ) +
        IFERROR(
            VLOOKUP($A47, INDIRECT("NovR!$A$6:$ZZ$1048576"), MATCH(H$1, NovR!$6:$6, 0), FALSE),
            0
        ) +
        IFERROR(
            VLOOKUP($A47, INDIRECT("DicR!$A$6:$ZZ$1048576"), MATCH(H$1, DicR!$6:$6, 0), FALSE),
            0
        )
)</f>
        <v>0</v>
      </c>
      <c r="I47" s="35">
        <f t="array" ref="I47">SUM(
    IFERROR(
            VLOOKUP($A47, INDIRECT("EneR!$A$6:$ZZ$1048576"), MATCH(I$1, EneR!$6:$6, 0), FALSE),
            0
        ) +
        IFERROR(
            VLOOKUP($A47, INDIRECT("FebR!$A$6:$ZZ$1048576"), MATCH(I$1, FebR!$6:$6, 0), FALSE),
            0
        ) +
        IFERROR(
            VLOOKUP($A47, INDIRECT("MarR!$A$6:$ZZ$1048576"), MATCH(I$1, MarR!$6:$6, 0), FALSE),
            0
        ) +
        IFERROR(
            VLOOKUP($A47, INDIRECT("AbrR!$A$6:$ZZ$1048576"), MATCH(I$1, AbrR!$6:$6, 0), FALSE),
            0
        ) +
        IFERROR(
            VLOOKUP($A47, INDIRECT("MayR!$A$6:$ZZ$1048576"), MATCH(I$1, MayR!$6:$6, 0), FALSE),
            0
        ) +
        IFERROR(
            VLOOKUP($A47, INDIRECT("JunR!$A$6:$ZZ$1048576"), MATCH(I$1, JunR!$6:$6, 0), FALSE),
            0
        ) +
        IFERROR(
            VLOOKUP($A47, INDIRECT("JulR!$A$6:$ZZ$1048576"), MATCH(I$1, JulR!$6:$6, 0), FALSE),
            0
        ) +
        IFERROR(
            VLOOKUP($A47, INDIRECT("AgoR!$A$6:$ZZ$1048576"), MATCH(I$1, AgoR!$6:$6, 0), FALSE),
            0
        ) +
        IFERROR(
            VLOOKUP($A47, INDIRECT("SepR!$A$6:$ZZ$1048576"), MATCH(I$1, SepR!$6:$6, 0), FALSE),
            0
        ) +
        IFERROR(
            VLOOKUP($A47, INDIRECT("OctR!$A$6:$ZZ$1048576"), MATCH(I$1, OctR!$6:$6, 0), FALSE),
            0
        ) +
        IFERROR(
            VLOOKUP($A47, INDIRECT("NovR!$A$6:$ZZ$1048576"), MATCH(I$1, NovR!$6:$6, 0), FALSE),
            0
        ) +
        IFERROR(
            VLOOKUP($A47, INDIRECT("DicR!$A$6:$ZZ$1048576"), MATCH(I$1, DicR!$6:$6, 0), FALSE),
            0
        )
)</f>
        <v>0</v>
      </c>
      <c r="J47" s="32">
        <f t="array" ref="J47">SUM(
    IFERROR(
            VLOOKUP($A47, INDIRECT("EneR!$A$6:$ZZ$1048576"), MATCH(J$1, EneR!$6:$6, 0), FALSE),
            0
        ) +
        IFERROR(
            VLOOKUP($A47, INDIRECT("FebR!$A$6:$ZZ$1048576"), MATCH(J$1, FebR!$6:$6, 0), FALSE),
            0
        ) +
        IFERROR(
            VLOOKUP($A47, INDIRECT("MarR!$A$6:$ZZ$1048576"), MATCH(J$1, MarR!$6:$6, 0), FALSE),
            0
        ) +
        IFERROR(
            VLOOKUP($A47, INDIRECT("AbrR!$A$6:$ZZ$1048576"), MATCH(J$1, AbrR!$6:$6, 0), FALSE),
            0
        ) +
        IFERROR(
            VLOOKUP($A47, INDIRECT("MayR!$A$6:$ZZ$1048576"), MATCH(J$1, MayR!$6:$6, 0), FALSE),
            0
        ) +
        IFERROR(
            VLOOKUP($A47, INDIRECT("JunR!$A$6:$ZZ$1048576"), MATCH(J$1, JunR!$6:$6, 0), FALSE),
            0
        ) +
        IFERROR(
            VLOOKUP($A47, INDIRECT("JulR!$A$6:$ZZ$1048576"), MATCH(J$1, JulR!$6:$6, 0), FALSE),
            0
        ) +
        IFERROR(
            VLOOKUP($A47, INDIRECT("AgoR!$A$6:$ZZ$1048576"), MATCH(J$1, AgoR!$6:$6, 0), FALSE),
            0
        ) +
        IFERROR(
            VLOOKUP($A47, INDIRECT("SepR!$A$6:$ZZ$1048576"), MATCH(J$1, SepR!$6:$6, 0), FALSE),
            0
        ) +
        IFERROR(
            VLOOKUP($A47, INDIRECT("OctR!$A$6:$ZZ$1048576"), MATCH(J$1, OctR!$6:$6, 0), FALSE),
            0
        ) +
        IFERROR(
            VLOOKUP($A47, INDIRECT("NovR!$A$6:$ZZ$1048576"), MATCH(J$1, NovR!$6:$6, 0), FALSE),
            0
        ) +
        IFERROR(
            VLOOKUP($A47, INDIRECT("DicR!$A$6:$ZZ$1048576"), MATCH(J$1, DicR!$6:$6, 0), FALSE),
            0
        )
)</f>
        <v>0</v>
      </c>
      <c r="K47" s="35">
        <f t="array" ref="K47">SUM(
    IFERROR(
            VLOOKUP($A47, INDIRECT("EneR!$A$6:$ZZ$1048576"), MATCH(K$1, EneR!$6:$6, 0), FALSE),
            0
        ) +
        IFERROR(
            VLOOKUP($A47, INDIRECT("FebR!$A$6:$ZZ$1048576"), MATCH(K$1, FebR!$6:$6, 0), FALSE),
            0
        ) +
        IFERROR(
            VLOOKUP($A47, INDIRECT("MarR!$A$6:$ZZ$1048576"), MATCH(K$1, MarR!$6:$6, 0), FALSE),
            0
        ) +
        IFERROR(
            VLOOKUP($A47, INDIRECT("AbrR!$A$6:$ZZ$1048576"), MATCH(K$1, AbrR!$6:$6, 0), FALSE),
            0
        ) +
        IFERROR(
            VLOOKUP($A47, INDIRECT("MayR!$A$6:$ZZ$1048576"), MATCH(K$1, MayR!$6:$6, 0), FALSE),
            0
        ) +
        IFERROR(
            VLOOKUP($A47, INDIRECT("JunR!$A$6:$ZZ$1048576"), MATCH(K$1, JunR!$6:$6, 0), FALSE),
            0
        ) +
        IFERROR(
            VLOOKUP($A47, INDIRECT("JulR!$A$6:$ZZ$1048576"), MATCH(K$1, JulR!$6:$6, 0), FALSE),
            0
        ) +
        IFERROR(
            VLOOKUP($A47, INDIRECT("AgoR!$A$6:$ZZ$1048576"), MATCH(K$1, AgoR!$6:$6, 0), FALSE),
            0
        ) +
        IFERROR(
            VLOOKUP($A47, INDIRECT("SepR!$A$6:$ZZ$1048576"), MATCH(K$1, SepR!$6:$6, 0), FALSE),
            0
        ) +
        IFERROR(
            VLOOKUP($A47, INDIRECT("OctR!$A$6:$ZZ$1048576"), MATCH(K$1, OctR!$6:$6, 0), FALSE),
            0
        ) +
        IFERROR(
            VLOOKUP($A47, INDIRECT("NovR!$A$6:$ZZ$1048576"), MATCH(K$1, NovR!$6:$6, 0), FALSE),
            0
        ) +
        IFERROR(
            VLOOKUP($A47, INDIRECT("DicR!$A$6:$ZZ$1048576"), MATCH(K$1, DicR!$6:$6, 0), FALSE),
            0
        )
)</f>
        <v>0</v>
      </c>
      <c r="L47" s="32">
        <f t="array" ref="L47">SUM(
    IFERROR(
            VLOOKUP($A47, INDIRECT("EneR!$A$6:$ZZ$1048576"), MATCH(L$1, EneR!$6:$6, 0), FALSE),
            0
        ) +
        IFERROR(
            VLOOKUP($A47, INDIRECT("FebR!$A$6:$ZZ$1048576"), MATCH(L$1, FebR!$6:$6, 0), FALSE),
            0
        ) +
        IFERROR(
            VLOOKUP($A47, INDIRECT("MarR!$A$6:$ZZ$1048576"), MATCH(L$1, MarR!$6:$6, 0), FALSE),
            0
        ) +
        IFERROR(
            VLOOKUP($A47, INDIRECT("AbrR!$A$6:$ZZ$1048576"), MATCH(L$1, AbrR!$6:$6, 0), FALSE),
            0
        ) +
        IFERROR(
            VLOOKUP($A47, INDIRECT("MayR!$A$6:$ZZ$1048576"), MATCH(L$1, MayR!$6:$6, 0), FALSE),
            0
        ) +
        IFERROR(
            VLOOKUP($A47, INDIRECT("JunR!$A$6:$ZZ$1048576"), MATCH(L$1, JunR!$6:$6, 0), FALSE),
            0
        ) +
        IFERROR(
            VLOOKUP($A47, INDIRECT("JulR!$A$6:$ZZ$1048576"), MATCH(L$1, JulR!$6:$6, 0), FALSE),
            0
        ) +
        IFERROR(
            VLOOKUP($A47, INDIRECT("AgoR!$A$6:$ZZ$1048576"), MATCH(L$1, AgoR!$6:$6, 0), FALSE),
            0
        ) +
        IFERROR(
            VLOOKUP($A47, INDIRECT("SepR!$A$6:$ZZ$1048576"), MATCH(L$1, SepR!$6:$6, 0), FALSE),
            0
        ) +
        IFERROR(
            VLOOKUP($A47, INDIRECT("OctR!$A$6:$ZZ$1048576"), MATCH(L$1, OctR!$6:$6, 0), FALSE),
            0
        ) +
        IFERROR(
            VLOOKUP($A47, INDIRECT("NovR!$A$6:$ZZ$1048576"), MATCH(L$1, NovR!$6:$6, 0), FALSE),
            0
        ) +
        IFERROR(
            VLOOKUP($A47, INDIRECT("DicR!$A$6:$ZZ$1048576"), MATCH(L$1, DicR!$6:$6, 0), FALSE),
            0
        )
)</f>
        <v>0</v>
      </c>
      <c r="M47" s="35">
        <f t="array" ref="M47">SUM(
    IFERROR(
            VLOOKUP($A47, INDIRECT("EneR!$A$6:$ZZ$1048576"), MATCH(M$1, EneR!$6:$6, 0), FALSE),
            0
        ) +
        IFERROR(
            VLOOKUP($A47, INDIRECT("FebR!$A$6:$ZZ$1048576"), MATCH(M$1, FebR!$6:$6, 0), FALSE),
            0
        ) +
        IFERROR(
            VLOOKUP($A47, INDIRECT("MarR!$A$6:$ZZ$1048576"), MATCH(M$1, MarR!$6:$6, 0), FALSE),
            0
        ) +
        IFERROR(
            VLOOKUP($A47, INDIRECT("AbrR!$A$6:$ZZ$1048576"), MATCH(M$1, AbrR!$6:$6, 0), FALSE),
            0
        ) +
        IFERROR(
            VLOOKUP($A47, INDIRECT("MayR!$A$6:$ZZ$1048576"), MATCH(M$1, MayR!$6:$6, 0), FALSE),
            0
        ) +
        IFERROR(
            VLOOKUP($A47, INDIRECT("JunR!$A$6:$ZZ$1048576"), MATCH(M$1, JunR!$6:$6, 0), FALSE),
            0
        ) +
        IFERROR(
            VLOOKUP($A47, INDIRECT("JulR!$A$6:$ZZ$1048576"), MATCH(M$1, JulR!$6:$6, 0), FALSE),
            0
        ) +
        IFERROR(
            VLOOKUP($A47, INDIRECT("AgoR!$A$6:$ZZ$1048576"), MATCH(M$1, AgoR!$6:$6, 0), FALSE),
            0
        ) +
        IFERROR(
            VLOOKUP($A47, INDIRECT("SepR!$A$6:$ZZ$1048576"), MATCH(M$1, SepR!$6:$6, 0), FALSE),
            0
        ) +
        IFERROR(
            VLOOKUP($A47, INDIRECT("OctR!$A$6:$ZZ$1048576"), MATCH(M$1, OctR!$6:$6, 0), FALSE),
            0
        ) +
        IFERROR(
            VLOOKUP($A47, INDIRECT("NovR!$A$6:$ZZ$1048576"), MATCH(M$1, NovR!$6:$6, 0), FALSE),
            0
        ) +
        IFERROR(
            VLOOKUP($A47, INDIRECT("DicR!$A$6:$ZZ$1048576"), MATCH(M$1, DicR!$6:$6, 0), FALSE),
            0
        )
)</f>
        <v>0</v>
      </c>
      <c r="N47" s="32">
        <f t="array" ref="N47">SUM(
    IFERROR(
            VLOOKUP($A47, INDIRECT("EneR!$A$6:$ZZ$1048576"), MATCH(N$1, EneR!$6:$6, 0), FALSE),
            0
        ) +
        IFERROR(
            VLOOKUP($A47, INDIRECT("FebR!$A$6:$ZZ$1048576"), MATCH(N$1, FebR!$6:$6, 0), FALSE),
            0
        ) +
        IFERROR(
            VLOOKUP($A47, INDIRECT("MarR!$A$6:$ZZ$1048576"), MATCH(N$1, MarR!$6:$6, 0), FALSE),
            0
        ) +
        IFERROR(
            VLOOKUP($A47, INDIRECT("AbrR!$A$6:$ZZ$1048576"), MATCH(N$1, AbrR!$6:$6, 0), FALSE),
            0
        ) +
        IFERROR(
            VLOOKUP($A47, INDIRECT("MayR!$A$6:$ZZ$1048576"), MATCH(N$1, MayR!$6:$6, 0), FALSE),
            0
        ) +
        IFERROR(
            VLOOKUP($A47, INDIRECT("JunR!$A$6:$ZZ$1048576"), MATCH(N$1, JunR!$6:$6, 0), FALSE),
            0
        ) +
        IFERROR(
            VLOOKUP($A47, INDIRECT("JulR!$A$6:$ZZ$1048576"), MATCH(N$1, JulR!$6:$6, 0), FALSE),
            0
        ) +
        IFERROR(
            VLOOKUP($A47, INDIRECT("AgoR!$A$6:$ZZ$1048576"), MATCH(N$1, AgoR!$6:$6, 0), FALSE),
            0
        ) +
        IFERROR(
            VLOOKUP($A47, INDIRECT("SepR!$A$6:$ZZ$1048576"), MATCH(N$1, SepR!$6:$6, 0), FALSE),
            0
        ) +
        IFERROR(
            VLOOKUP($A47, INDIRECT("OctR!$A$6:$ZZ$1048576"), MATCH(N$1, OctR!$6:$6, 0), FALSE),
            0
        ) +
        IFERROR(
            VLOOKUP($A47, INDIRECT("NovR!$A$6:$ZZ$1048576"), MATCH(N$1, NovR!$6:$6, 0), FALSE),
            0
        ) +
        IFERROR(
            VLOOKUP($A47, INDIRECT("DicR!$A$6:$ZZ$1048576"), MATCH(N$1, DicR!$6:$6, 0), FALSE),
            0
        )
)</f>
        <v>0</v>
      </c>
      <c r="O47" s="35">
        <f t="array" ref="O47">SUM(
    IFERROR(
            VLOOKUP($A47, INDIRECT("EneR!$A$6:$ZZ$1048576"), MATCH(O$1, EneR!$6:$6, 0), FALSE),
            0
        ) +
        IFERROR(
            VLOOKUP($A47, INDIRECT("FebR!$A$6:$ZZ$1048576"), MATCH(O$1, FebR!$6:$6, 0), FALSE),
            0
        ) +
        IFERROR(
            VLOOKUP($A47, INDIRECT("MarR!$A$6:$ZZ$1048576"), MATCH(O$1, MarR!$6:$6, 0), FALSE),
            0
        ) +
        IFERROR(
            VLOOKUP($A47, INDIRECT("AbrR!$A$6:$ZZ$1048576"), MATCH(O$1, AbrR!$6:$6, 0), FALSE),
            0
        ) +
        IFERROR(
            VLOOKUP($A47, INDIRECT("MayR!$A$6:$ZZ$1048576"), MATCH(O$1, MayR!$6:$6, 0), FALSE),
            0
        ) +
        IFERROR(
            VLOOKUP($A47, INDIRECT("JunR!$A$6:$ZZ$1048576"), MATCH(O$1, JunR!$6:$6, 0), FALSE),
            0
        ) +
        IFERROR(
            VLOOKUP($A47, INDIRECT("JulR!$A$6:$ZZ$1048576"), MATCH(O$1, JulR!$6:$6, 0), FALSE),
            0
        ) +
        IFERROR(
            VLOOKUP($A47, INDIRECT("AgoR!$A$6:$ZZ$1048576"), MATCH(O$1, AgoR!$6:$6, 0), FALSE),
            0
        ) +
        IFERROR(
            VLOOKUP($A47, INDIRECT("SepR!$A$6:$ZZ$1048576"), MATCH(O$1, SepR!$6:$6, 0), FALSE),
            0
        ) +
        IFERROR(
            VLOOKUP($A47, INDIRECT("OctR!$A$6:$ZZ$1048576"), MATCH(O$1, OctR!$6:$6, 0), FALSE),
            0
        ) +
        IFERROR(
            VLOOKUP($A47, INDIRECT("NovR!$A$6:$ZZ$1048576"), MATCH(O$1, NovR!$6:$6, 0), FALSE),
            0
        ) +
        IFERROR(
            VLOOKUP($A47, INDIRECT("DicR!$A$6:$ZZ$1048576"), MATCH(O$1, DicR!$6:$6, 0), FALSE),
            0
        )
)</f>
        <v>0</v>
      </c>
      <c r="P47" s="32">
        <f t="array" ref="P47">SUM(
    IFERROR(
            VLOOKUP($A47, INDIRECT("EneR!$A$6:$ZZ$1048576"), MATCH(P$1, EneR!$6:$6, 0), FALSE),
            0
        ) +
        IFERROR(
            VLOOKUP($A47, INDIRECT("FebR!$A$6:$ZZ$1048576"), MATCH(P$1, FebR!$6:$6, 0), FALSE),
            0
        ) +
        IFERROR(
            VLOOKUP($A47, INDIRECT("MarR!$A$6:$ZZ$1048576"), MATCH(P$1, MarR!$6:$6, 0), FALSE),
            0
        ) +
        IFERROR(
            VLOOKUP($A47, INDIRECT("AbrR!$A$6:$ZZ$1048576"), MATCH(P$1, AbrR!$6:$6, 0), FALSE),
            0
        ) +
        IFERROR(
            VLOOKUP($A47, INDIRECT("MayR!$A$6:$ZZ$1048576"), MATCH(P$1, MayR!$6:$6, 0), FALSE),
            0
        ) +
        IFERROR(
            VLOOKUP($A47, INDIRECT("JunR!$A$6:$ZZ$1048576"), MATCH(P$1, JunR!$6:$6, 0), FALSE),
            0
        ) +
        IFERROR(
            VLOOKUP($A47, INDIRECT("JulR!$A$6:$ZZ$1048576"), MATCH(P$1, JulR!$6:$6, 0), FALSE),
            0
        ) +
        IFERROR(
            VLOOKUP($A47, INDIRECT("AgoR!$A$6:$ZZ$1048576"), MATCH(P$1, AgoR!$6:$6, 0), FALSE),
            0
        ) +
        IFERROR(
            VLOOKUP($A47, INDIRECT("SepR!$A$6:$ZZ$1048576"), MATCH(P$1, SepR!$6:$6, 0), FALSE),
            0
        ) +
        IFERROR(
            VLOOKUP($A47, INDIRECT("OctR!$A$6:$ZZ$1048576"), MATCH(P$1, OctR!$6:$6, 0), FALSE),
            0
        ) +
        IFERROR(
            VLOOKUP($A47, INDIRECT("NovR!$A$6:$ZZ$1048576"), MATCH(P$1, NovR!$6:$6, 0), FALSE),
            0
        ) +
        IFERROR(
            VLOOKUP($A47, INDIRECT("DicR!$A$6:$ZZ$1048576"), MATCH(P$1, DicR!$6:$6, 0), FALSE),
            0
        )
)</f>
        <v>0</v>
      </c>
      <c r="Q47" s="35">
        <f t="array" ref="Q47">SUM(
    IFERROR(
            VLOOKUP($A47, INDIRECT("EneR!$A$6:$ZZ$1048576"), MATCH(Q$1, EneR!$6:$6, 0), FALSE),
            0
        ) +
        IFERROR(
            VLOOKUP($A47, INDIRECT("FebR!$A$6:$ZZ$1048576"), MATCH(Q$1, FebR!$6:$6, 0), FALSE),
            0
        ) +
        IFERROR(
            VLOOKUP($A47, INDIRECT("MarR!$A$6:$ZZ$1048576"), MATCH(Q$1, MarR!$6:$6, 0), FALSE),
            0
        ) +
        IFERROR(
            VLOOKUP($A47, INDIRECT("AbrR!$A$6:$ZZ$1048576"), MATCH(Q$1, AbrR!$6:$6, 0), FALSE),
            0
        ) +
        IFERROR(
            VLOOKUP($A47, INDIRECT("MayR!$A$6:$ZZ$1048576"), MATCH(Q$1, MayR!$6:$6, 0), FALSE),
            0
        ) +
        IFERROR(
            VLOOKUP($A47, INDIRECT("JunR!$A$6:$ZZ$1048576"), MATCH(Q$1, JunR!$6:$6, 0), FALSE),
            0
        ) +
        IFERROR(
            VLOOKUP($A47, INDIRECT("JulR!$A$6:$ZZ$1048576"), MATCH(Q$1, JulR!$6:$6, 0), FALSE),
            0
        ) +
        IFERROR(
            VLOOKUP($A47, INDIRECT("AgoR!$A$6:$ZZ$1048576"), MATCH(Q$1, AgoR!$6:$6, 0), FALSE),
            0
        ) +
        IFERROR(
            VLOOKUP($A47, INDIRECT("SepR!$A$6:$ZZ$1048576"), MATCH(Q$1, SepR!$6:$6, 0), FALSE),
            0
        ) +
        IFERROR(
            VLOOKUP($A47, INDIRECT("OctR!$A$6:$ZZ$1048576"), MATCH(Q$1, OctR!$6:$6, 0), FALSE),
            0
        ) +
        IFERROR(
            VLOOKUP($A47, INDIRECT("NovR!$A$6:$ZZ$1048576"), MATCH(Q$1, NovR!$6:$6, 0), FALSE),
            0
        ) +
        IFERROR(
            VLOOKUP($A47, INDIRECT("DicR!$A$6:$ZZ$1048576"), MATCH(Q$1, DicR!$6:$6, 0), FALSE),
            0
        )
)</f>
        <v>0</v>
      </c>
      <c r="R47" s="36">
        <f t="array" ref="R47">SUM(
    IFERROR(
            VLOOKUP($A47, INDIRECT("EneR!$A$6:$ZZ$1048576"), MATCH(R$1, EneR!$6:$6, 0), FALSE),
            0
        ) +
        IFERROR(
            VLOOKUP($A47, INDIRECT("FebR!$A$6:$ZZ$1048576"), MATCH(R$1, FebR!$6:$6, 0), FALSE),
            0
        ) +
        IFERROR(
            VLOOKUP($A47, INDIRECT("MarR!$A$6:$ZZ$1048576"), MATCH(R$1, MarR!$6:$6, 0), FALSE),
            0
        ) +
        IFERROR(
            VLOOKUP($A47, INDIRECT("AbrR!$A$6:$ZZ$1048576"), MATCH(R$1, AbrR!$6:$6, 0), FALSE),
            0
        ) +
        IFERROR(
            VLOOKUP($A47, INDIRECT("MayR!$A$6:$ZZ$1048576"), MATCH(R$1, MayR!$6:$6, 0), FALSE),
            0
        ) +
        IFERROR(
            VLOOKUP($A47, INDIRECT("JunR!$A$6:$ZZ$1048576"), MATCH(R$1, JunR!$6:$6, 0), FALSE),
            0
        ) +
        IFERROR(
            VLOOKUP($A47, INDIRECT("JulR!$A$6:$ZZ$1048576"), MATCH(R$1, JulR!$6:$6, 0), FALSE),
            0
        ) +
        IFERROR(
            VLOOKUP($A47, INDIRECT("AgoR!$A$6:$ZZ$1048576"), MATCH(R$1, AgoR!$6:$6, 0), FALSE),
            0
        ) +
        IFERROR(
            VLOOKUP($A47, INDIRECT("SepR!$A$6:$ZZ$1048576"), MATCH(R$1, SepR!$6:$6, 0), FALSE),
            0
        ) +
        IFERROR(
            VLOOKUP($A47, INDIRECT("OctR!$A$6:$ZZ$1048576"), MATCH(R$1, OctR!$6:$6, 0), FALSE),
            0
        ) +
        IFERROR(
            VLOOKUP($A47, INDIRECT("NovR!$A$6:$ZZ$1048576"), MATCH(R$1, NovR!$6:$6, 0), FALSE),
            0
        ) +
        IFERROR(
            VLOOKUP($A47, INDIRECT("DicR!$A$6:$ZZ$1048576"), MATCH(R$1, DicR!$6:$6, 0), FALSE),
            0
        )
)</f>
        <v>0</v>
      </c>
      <c r="S47" s="37">
        <f t="array" ref="S47">SUM(
    IFERROR(
            VLOOKUP($A47, INDIRECT("EneR!$A$6:$ZZ$1048576"), MATCH(S$1, EneR!$6:$6, 0), FALSE),
            0
        ) +
        IFERROR(
            VLOOKUP($A47, INDIRECT("FebR!$A$6:$ZZ$1048576"), MATCH(S$1, FebR!$6:$6, 0), FALSE),
            0
        ) +
        IFERROR(
            VLOOKUP($A47, INDIRECT("MarR!$A$6:$ZZ$1048576"), MATCH(S$1, MarR!$6:$6, 0), FALSE),
            0
        ) +
        IFERROR(
            VLOOKUP($A47, INDIRECT("AbrR!$A$6:$ZZ$1048576"), MATCH(S$1, AbrR!$6:$6, 0), FALSE),
            0
        ) +
        IFERROR(
            VLOOKUP($A47, INDIRECT("MayR!$A$6:$ZZ$1048576"), MATCH(S$1, MayR!$6:$6, 0), FALSE),
            0
        ) +
        IFERROR(
            VLOOKUP($A47, INDIRECT("JunR!$A$6:$ZZ$1048576"), MATCH(S$1, JunR!$6:$6, 0), FALSE),
            0
        ) +
        IFERROR(
            VLOOKUP($A47, INDIRECT("JulR!$A$6:$ZZ$1048576"), MATCH(S$1, JulR!$6:$6, 0), FALSE),
            0
        ) +
        IFERROR(
            VLOOKUP($A47, INDIRECT("AgoR!$A$6:$ZZ$1048576"), MATCH(S$1, AgoR!$6:$6, 0), FALSE),
            0
        ) +
        IFERROR(
            VLOOKUP($A47, INDIRECT("SepR!$A$6:$ZZ$1048576"), MATCH(S$1, SepR!$6:$6, 0), FALSE),
            0
        ) +
        IFERROR(
            VLOOKUP($A47, INDIRECT("OctR!$A$6:$ZZ$1048576"), MATCH(S$1, OctR!$6:$6, 0), FALSE),
            0
        ) +
        IFERROR(
            VLOOKUP($A47, INDIRECT("NovR!$A$6:$ZZ$1048576"), MATCH(S$1, NovR!$6:$6, 0), FALSE),
            0
        ) +
        IFERROR(
            VLOOKUP($A47, INDIRECT("DicR!$A$6:$ZZ$1048576"), MATCH(S$1, DicR!$6:$6, 0), FALSE),
            0
        )
)</f>
        <v>0</v>
      </c>
      <c r="T47" s="36">
        <f t="array" ref="T47">SUM(
    IFERROR(
            VLOOKUP($A47, INDIRECT("EneR!$A$6:$ZZ$1048576"), MATCH(T$1, EneR!$6:$6, 0), FALSE),
            0
        ) +
        IFERROR(
            VLOOKUP($A47, INDIRECT("FebR!$A$6:$ZZ$1048576"), MATCH(T$1, FebR!$6:$6, 0), FALSE),
            0
        ) +
        IFERROR(
            VLOOKUP($A47, INDIRECT("MarR!$A$6:$ZZ$1048576"), MATCH(T$1, MarR!$6:$6, 0), FALSE),
            0
        ) +
        IFERROR(
            VLOOKUP($A47, INDIRECT("AbrR!$A$6:$ZZ$1048576"), MATCH(T$1, AbrR!$6:$6, 0), FALSE),
            0
        ) +
        IFERROR(
            VLOOKUP($A47, INDIRECT("MayR!$A$6:$ZZ$1048576"), MATCH(T$1, MayR!$6:$6, 0), FALSE),
            0
        ) +
        IFERROR(
            VLOOKUP($A47, INDIRECT("JunR!$A$6:$ZZ$1048576"), MATCH(T$1, JunR!$6:$6, 0), FALSE),
            0
        ) +
        IFERROR(
            VLOOKUP($A47, INDIRECT("JulR!$A$6:$ZZ$1048576"), MATCH(T$1, JulR!$6:$6, 0), FALSE),
            0
        ) +
        IFERROR(
            VLOOKUP($A47, INDIRECT("AgoR!$A$6:$ZZ$1048576"), MATCH(T$1, AgoR!$6:$6, 0), FALSE),
            0
        ) +
        IFERROR(
            VLOOKUP($A47, INDIRECT("SepR!$A$6:$ZZ$1048576"), MATCH(T$1, SepR!$6:$6, 0), FALSE),
            0
        ) +
        IFERROR(
            VLOOKUP($A47, INDIRECT("OctR!$A$6:$ZZ$1048576"), MATCH(T$1, OctR!$6:$6, 0), FALSE),
            0
        ) +
        IFERROR(
            VLOOKUP($A47, INDIRECT("NovR!$A$6:$ZZ$1048576"), MATCH(T$1, NovR!$6:$6, 0), FALSE),
            0
        ) +
        IFERROR(
            VLOOKUP($A47, INDIRECT("DicR!$A$6:$ZZ$1048576"), MATCH(T$1, DicR!$6:$6, 0), FALSE),
            0
        )
)</f>
        <v>0</v>
      </c>
      <c r="U47" s="37">
        <f t="array" ref="U47">SUM(
    IFERROR(
            VLOOKUP($A47, INDIRECT("EneR!$A$6:$ZZ$1048576"), MATCH(U$1, EneR!$6:$6, 0), FALSE),
            0
        ) +
        IFERROR(
            VLOOKUP($A47, INDIRECT("FebR!$A$6:$ZZ$1048576"), MATCH(U$1, FebR!$6:$6, 0), FALSE),
            0
        ) +
        IFERROR(
            VLOOKUP($A47, INDIRECT("MarR!$A$6:$ZZ$1048576"), MATCH(U$1, MarR!$6:$6, 0), FALSE),
            0
        ) +
        IFERROR(
            VLOOKUP($A47, INDIRECT("AbrR!$A$6:$ZZ$1048576"), MATCH(U$1, AbrR!$6:$6, 0), FALSE),
            0
        ) +
        IFERROR(
            VLOOKUP($A47, INDIRECT("MayR!$A$6:$ZZ$1048576"), MATCH(U$1, MayR!$6:$6, 0), FALSE),
            0
        ) +
        IFERROR(
            VLOOKUP($A47, INDIRECT("JunR!$A$6:$ZZ$1048576"), MATCH(U$1, JunR!$6:$6, 0), FALSE),
            0
        ) +
        IFERROR(
            VLOOKUP($A47, INDIRECT("JulR!$A$6:$ZZ$1048576"), MATCH(U$1, JulR!$6:$6, 0), FALSE),
            0
        ) +
        IFERROR(
            VLOOKUP($A47, INDIRECT("AgoR!$A$6:$ZZ$1048576"), MATCH(U$1, AgoR!$6:$6, 0), FALSE),
            0
        ) +
        IFERROR(
            VLOOKUP($A47, INDIRECT("SepR!$A$6:$ZZ$1048576"), MATCH(U$1, SepR!$6:$6, 0), FALSE),
            0
        ) +
        IFERROR(
            VLOOKUP($A47, INDIRECT("OctR!$A$6:$ZZ$1048576"), MATCH(U$1, OctR!$6:$6, 0), FALSE),
            0
        ) +
        IFERROR(
            VLOOKUP($A47, INDIRECT("NovR!$A$6:$ZZ$1048576"), MATCH(U$1, NovR!$6:$6, 0), FALSE),
            0
        ) +
        IFERROR(
            VLOOKUP($A47, INDIRECT("DicR!$A$6:$ZZ$1048576"), MATCH(U$1, DicR!$6:$6, 0), FALSE),
            0
        )
)</f>
        <v>0</v>
      </c>
      <c r="V47" s="36">
        <f t="array" ref="V47">SUM(
    IFERROR(
            VLOOKUP($A47, INDIRECT("EneR!$A$6:$ZZ$1048576"), MATCH(V$1, EneR!$6:$6, 0), FALSE),
            0
        ) +
        IFERROR(
            VLOOKUP($A47, INDIRECT("FebR!$A$6:$ZZ$1048576"), MATCH(V$1, FebR!$6:$6, 0), FALSE),
            0
        ) +
        IFERROR(
            VLOOKUP($A47, INDIRECT("MarR!$A$6:$ZZ$1048576"), MATCH(V$1, MarR!$6:$6, 0), FALSE),
            0
        ) +
        IFERROR(
            VLOOKUP($A47, INDIRECT("AbrR!$A$6:$ZZ$1048576"), MATCH(V$1, AbrR!$6:$6, 0), FALSE),
            0
        ) +
        IFERROR(
            VLOOKUP($A47, INDIRECT("MayR!$A$6:$ZZ$1048576"), MATCH(V$1, MayR!$6:$6, 0), FALSE),
            0
        ) +
        IFERROR(
            VLOOKUP($A47, INDIRECT("JunR!$A$6:$ZZ$1048576"), MATCH(V$1, JunR!$6:$6, 0), FALSE),
            0
        ) +
        IFERROR(
            VLOOKUP($A47, INDIRECT("JulR!$A$6:$ZZ$1048576"), MATCH(V$1, JulR!$6:$6, 0), FALSE),
            0
        ) +
        IFERROR(
            VLOOKUP($A47, INDIRECT("AgoR!$A$6:$ZZ$1048576"), MATCH(V$1, AgoR!$6:$6, 0), FALSE),
            0
        ) +
        IFERROR(
            VLOOKUP($A47, INDIRECT("SepR!$A$6:$ZZ$1048576"), MATCH(V$1, SepR!$6:$6, 0), FALSE),
            0
        ) +
        IFERROR(
            VLOOKUP($A47, INDIRECT("OctR!$A$6:$ZZ$1048576"), MATCH(V$1, OctR!$6:$6, 0), FALSE),
            0
        ) +
        IFERROR(
            VLOOKUP($A47, INDIRECT("NovR!$A$6:$ZZ$1048576"), MATCH(V$1, NovR!$6:$6, 0), FALSE),
            0
        ) +
        IFERROR(
            VLOOKUP($A47, INDIRECT("DicR!$A$6:$ZZ$1048576"), MATCH(V$1, DicR!$6:$6, 0), FALSE),
            0
        )
)</f>
        <v>0</v>
      </c>
      <c r="W47" s="37">
        <f t="array" ref="W47">SUM(
    IFERROR(
            VLOOKUP($A47, INDIRECT("EneR!$A$6:$ZZ$1048576"), MATCH(W$1, EneR!$6:$6, 0), FALSE),
            0
        ) +
        IFERROR(
            VLOOKUP($A47, INDIRECT("FebR!$A$6:$ZZ$1048576"), MATCH(W$1, FebR!$6:$6, 0), FALSE),
            0
        ) +
        IFERROR(
            VLOOKUP($A47, INDIRECT("MarR!$A$6:$ZZ$1048576"), MATCH(W$1, MarR!$6:$6, 0), FALSE),
            0
        ) +
        IFERROR(
            VLOOKUP($A47, INDIRECT("AbrR!$A$6:$ZZ$1048576"), MATCH(W$1, AbrR!$6:$6, 0), FALSE),
            0
        ) +
        IFERROR(
            VLOOKUP($A47, INDIRECT("MayR!$A$6:$ZZ$1048576"), MATCH(W$1, MayR!$6:$6, 0), FALSE),
            0
        ) +
        IFERROR(
            VLOOKUP($A47, INDIRECT("JunR!$A$6:$ZZ$1048576"), MATCH(W$1, JunR!$6:$6, 0), FALSE),
            0
        ) +
        IFERROR(
            VLOOKUP($A47, INDIRECT("JulR!$A$6:$ZZ$1048576"), MATCH(W$1, JulR!$6:$6, 0), FALSE),
            0
        ) +
        IFERROR(
            VLOOKUP($A47, INDIRECT("AgoR!$A$6:$ZZ$1048576"), MATCH(W$1, AgoR!$6:$6, 0), FALSE),
            0
        ) +
        IFERROR(
            VLOOKUP($A47, INDIRECT("SepR!$A$6:$ZZ$1048576"), MATCH(W$1, SepR!$6:$6, 0), FALSE),
            0
        ) +
        IFERROR(
            VLOOKUP($A47, INDIRECT("OctR!$A$6:$ZZ$1048576"), MATCH(W$1, OctR!$6:$6, 0), FALSE),
            0
        ) +
        IFERROR(
            VLOOKUP($A47, INDIRECT("NovR!$A$6:$ZZ$1048576"), MATCH(W$1, NovR!$6:$6, 0), FALSE),
            0
        ) +
        IFERROR(
            VLOOKUP($A47, INDIRECT("DicR!$A$6:$ZZ$1048576"), MATCH(W$1, DicR!$6:$6, 0), FALSE),
            0
        )
)</f>
        <v>0</v>
      </c>
      <c r="X47" s="36">
        <f t="array" ref="X47">SUM(
    IFERROR(
            VLOOKUP($A47, INDIRECT("EneR!$A$6:$ZZ$1048576"), MATCH(X$1, EneR!$6:$6, 0), FALSE),
            0
        ) +
        IFERROR(
            VLOOKUP($A47, INDIRECT("FebR!$A$6:$ZZ$1048576"), MATCH(X$1, FebR!$6:$6, 0), FALSE),
            0
        ) +
        IFERROR(
            VLOOKUP($A47, INDIRECT("MarR!$A$6:$ZZ$1048576"), MATCH(X$1, MarR!$6:$6, 0), FALSE),
            0
        ) +
        IFERROR(
            VLOOKUP($A47, INDIRECT("AbrR!$A$6:$ZZ$1048576"), MATCH(X$1, AbrR!$6:$6, 0), FALSE),
            0
        ) +
        IFERROR(
            VLOOKUP($A47, INDIRECT("MayR!$A$6:$ZZ$1048576"), MATCH(X$1, MayR!$6:$6, 0), FALSE),
            0
        ) +
        IFERROR(
            VLOOKUP($A47, INDIRECT("JunR!$A$6:$ZZ$1048576"), MATCH(X$1, JunR!$6:$6, 0), FALSE),
            0
        ) +
        IFERROR(
            VLOOKUP($A47, INDIRECT("JulR!$A$6:$ZZ$1048576"), MATCH(X$1, JulR!$6:$6, 0), FALSE),
            0
        ) +
        IFERROR(
            VLOOKUP($A47, INDIRECT("AgoR!$A$6:$ZZ$1048576"), MATCH(X$1, AgoR!$6:$6, 0), FALSE),
            0
        ) +
        IFERROR(
            VLOOKUP($A47, INDIRECT("SepR!$A$6:$ZZ$1048576"), MATCH(X$1, SepR!$6:$6, 0), FALSE),
            0
        ) +
        IFERROR(
            VLOOKUP($A47, INDIRECT("OctR!$A$6:$ZZ$1048576"), MATCH(X$1, OctR!$6:$6, 0), FALSE),
            0
        ) +
        IFERROR(
            VLOOKUP($A47, INDIRECT("NovR!$A$6:$ZZ$1048576"), MATCH(X$1, NovR!$6:$6, 0), FALSE),
            0
        ) +
        IFERROR(
            VLOOKUP($A47, INDIRECT("DicR!$A$6:$ZZ$1048576"), MATCH(X$1, DicR!$6:$6, 0), FALSE),
            0
        )
)</f>
        <v>0</v>
      </c>
      <c r="Y47" s="37">
        <f t="array" ref="Y47">SUM(
    IFERROR(
            VLOOKUP($A47, INDIRECT("EneR!$A$6:$ZZ$1048576"), MATCH(Y$1, EneR!$6:$6, 0), FALSE),
            0
        ) +
        IFERROR(
            VLOOKUP($A47, INDIRECT("FebR!$A$6:$ZZ$1048576"), MATCH(Y$1, FebR!$6:$6, 0), FALSE),
            0
        ) +
        IFERROR(
            VLOOKUP($A47, INDIRECT("MarR!$A$6:$ZZ$1048576"), MATCH(Y$1, MarR!$6:$6, 0), FALSE),
            0
        ) +
        IFERROR(
            VLOOKUP($A47, INDIRECT("AbrR!$A$6:$ZZ$1048576"), MATCH(Y$1, AbrR!$6:$6, 0), FALSE),
            0
        ) +
        IFERROR(
            VLOOKUP($A47, INDIRECT("MayR!$A$6:$ZZ$1048576"), MATCH(Y$1, MayR!$6:$6, 0), FALSE),
            0
        ) +
        IFERROR(
            VLOOKUP($A47, INDIRECT("JunR!$A$6:$ZZ$1048576"), MATCH(Y$1, JunR!$6:$6, 0), FALSE),
            0
        ) +
        IFERROR(
            VLOOKUP($A47, INDIRECT("JulR!$A$6:$ZZ$1048576"), MATCH(Y$1, JulR!$6:$6, 0), FALSE),
            0
        ) +
        IFERROR(
            VLOOKUP($A47, INDIRECT("AgoR!$A$6:$ZZ$1048576"), MATCH(Y$1, AgoR!$6:$6, 0), FALSE),
            0
        ) +
        IFERROR(
            VLOOKUP($A47, INDIRECT("SepR!$A$6:$ZZ$1048576"), MATCH(Y$1, SepR!$6:$6, 0), FALSE),
            0
        ) +
        IFERROR(
            VLOOKUP($A47, INDIRECT("OctR!$A$6:$ZZ$1048576"), MATCH(Y$1, OctR!$6:$6, 0), FALSE),
            0
        ) +
        IFERROR(
            VLOOKUP($A47, INDIRECT("NovR!$A$6:$ZZ$1048576"), MATCH(Y$1, NovR!$6:$6, 0), FALSE),
            0
        ) +
        IFERROR(
            VLOOKUP($A47, INDIRECT("DicR!$A$6:$ZZ$1048576"), MATCH(Y$1, DicR!$6:$6, 0), FALSE),
            0
        )
)</f>
        <v>0</v>
      </c>
      <c r="Z47" s="36">
        <f t="array" ref="Z47">SUM(
    IFERROR(
            VLOOKUP($A47, INDIRECT("EneR!$A$6:$ZZ$1048576"), MATCH(Z$1, EneR!$6:$6, 0), FALSE),
            0
        ) +
        IFERROR(
            VLOOKUP($A47, INDIRECT("FebR!$A$6:$ZZ$1048576"), MATCH(Z$1, FebR!$6:$6, 0), FALSE),
            0
        ) +
        IFERROR(
            VLOOKUP($A47, INDIRECT("MarR!$A$6:$ZZ$1048576"), MATCH(Z$1, MarR!$6:$6, 0), FALSE),
            0
        ) +
        IFERROR(
            VLOOKUP($A47, INDIRECT("AbrR!$A$6:$ZZ$1048576"), MATCH(Z$1, AbrR!$6:$6, 0), FALSE),
            0
        ) +
        IFERROR(
            VLOOKUP($A47, INDIRECT("MayR!$A$6:$ZZ$1048576"), MATCH(Z$1, MayR!$6:$6, 0), FALSE),
            0
        ) +
        IFERROR(
            VLOOKUP($A47, INDIRECT("JunR!$A$6:$ZZ$1048576"), MATCH(Z$1, JunR!$6:$6, 0), FALSE),
            0
        ) +
        IFERROR(
            VLOOKUP($A47, INDIRECT("JulR!$A$6:$ZZ$1048576"), MATCH(Z$1, JulR!$6:$6, 0), FALSE),
            0
        ) +
        IFERROR(
            VLOOKUP($A47, INDIRECT("AgoR!$A$6:$ZZ$1048576"), MATCH(Z$1, AgoR!$6:$6, 0), FALSE),
            0
        ) +
        IFERROR(
            VLOOKUP($A47, INDIRECT("SepR!$A$6:$ZZ$1048576"), MATCH(Z$1, SepR!$6:$6, 0), FALSE),
            0
        ) +
        IFERROR(
            VLOOKUP($A47, INDIRECT("OctR!$A$6:$ZZ$1048576"), MATCH(Z$1, OctR!$6:$6, 0), FALSE),
            0
        ) +
        IFERROR(
            VLOOKUP($A47, INDIRECT("NovR!$A$6:$ZZ$1048576"), MATCH(Z$1, NovR!$6:$6, 0), FALSE),
            0
        ) +
        IFERROR(
            VLOOKUP($A47, INDIRECT("DicR!$A$6:$ZZ$1048576"), MATCH(Z$1, DicR!$6:$6, 0), FALSE),
            0
        )
)</f>
        <v>0</v>
      </c>
      <c r="AA47" s="37">
        <f t="array" ref="AA47">SUM(
    IFERROR(
            VLOOKUP($A47, INDIRECT("EneR!$A$6:$ZZ$1048576"), MATCH(AA$1, EneR!$6:$6, 0), FALSE),
            0
        ) +
        IFERROR(
            VLOOKUP($A47, INDIRECT("FebR!$A$6:$ZZ$1048576"), MATCH(AA$1, FebR!$6:$6, 0), FALSE),
            0
        ) +
        IFERROR(
            VLOOKUP($A47, INDIRECT("MarR!$A$6:$ZZ$1048576"), MATCH(AA$1, MarR!$6:$6, 0), FALSE),
            0
        ) +
        IFERROR(
            VLOOKUP($A47, INDIRECT("AbrR!$A$6:$ZZ$1048576"), MATCH(AA$1, AbrR!$6:$6, 0), FALSE),
            0
        ) +
        IFERROR(
            VLOOKUP($A47, INDIRECT("MayR!$A$6:$ZZ$1048576"), MATCH(AA$1, MayR!$6:$6, 0), FALSE),
            0
        ) +
        IFERROR(
            VLOOKUP($A47, INDIRECT("JunR!$A$6:$ZZ$1048576"), MATCH(AA$1, JunR!$6:$6, 0), FALSE),
            0
        ) +
        IFERROR(
            VLOOKUP($A47, INDIRECT("JulR!$A$6:$ZZ$1048576"), MATCH(AA$1, JulR!$6:$6, 0), FALSE),
            0
        ) +
        IFERROR(
            VLOOKUP($A47, INDIRECT("AgoR!$A$6:$ZZ$1048576"), MATCH(AA$1, AgoR!$6:$6, 0), FALSE),
            0
        ) +
        IFERROR(
            VLOOKUP($A47, INDIRECT("SepR!$A$6:$ZZ$1048576"), MATCH(AA$1, SepR!$6:$6, 0), FALSE),
            0
        ) +
        IFERROR(
            VLOOKUP($A47, INDIRECT("OctR!$A$6:$ZZ$1048576"), MATCH(AA$1, OctR!$6:$6, 0), FALSE),
            0
        ) +
        IFERROR(
            VLOOKUP($A47, INDIRECT("NovR!$A$6:$ZZ$1048576"), MATCH(AA$1, NovR!$6:$6, 0), FALSE),
            0
        ) +
        IFERROR(
            VLOOKUP($A47, INDIRECT("DicR!$A$6:$ZZ$1048576"), MATCH(AA$1, DicR!$6:$6, 0), FALSE),
            0
        )
)</f>
        <v>0</v>
      </c>
      <c r="AB47" s="36">
        <f t="array" ref="AB47">SUM(
    IFERROR(
            VLOOKUP($A47, INDIRECT("EneR!$A$6:$ZZ$1048576"), MATCH(AB$1, EneR!$6:$6, 0), FALSE),
            0
        ) +
        IFERROR(
            VLOOKUP($A47, INDIRECT("FebR!$A$6:$ZZ$1048576"), MATCH(AB$1, FebR!$6:$6, 0), FALSE),
            0
        ) +
        IFERROR(
            VLOOKUP($A47, INDIRECT("MarR!$A$6:$ZZ$1048576"), MATCH(AB$1, MarR!$6:$6, 0), FALSE),
            0
        ) +
        IFERROR(
            VLOOKUP($A47, INDIRECT("AbrR!$A$6:$ZZ$1048576"), MATCH(AB$1, AbrR!$6:$6, 0), FALSE),
            0
        ) +
        IFERROR(
            VLOOKUP($A47, INDIRECT("MayR!$A$6:$ZZ$1048576"), MATCH(AB$1, MayR!$6:$6, 0), FALSE),
            0
        ) +
        IFERROR(
            VLOOKUP($A47, INDIRECT("JunR!$A$6:$ZZ$1048576"), MATCH(AB$1, JunR!$6:$6, 0), FALSE),
            0
        ) +
        IFERROR(
            VLOOKUP($A47, INDIRECT("JulR!$A$6:$ZZ$1048576"), MATCH(AB$1, JulR!$6:$6, 0), FALSE),
            0
        ) +
        IFERROR(
            VLOOKUP($A47, INDIRECT("AgoR!$A$6:$ZZ$1048576"), MATCH(AB$1, AgoR!$6:$6, 0), FALSE),
            0
        ) +
        IFERROR(
            VLOOKUP($A47, INDIRECT("SepR!$A$6:$ZZ$1048576"), MATCH(AB$1, SepR!$6:$6, 0), FALSE),
            0
        ) +
        IFERROR(
            VLOOKUP($A47, INDIRECT("OctR!$A$6:$ZZ$1048576"), MATCH(AB$1, OctR!$6:$6, 0), FALSE),
            0
        ) +
        IFERROR(
            VLOOKUP($A47, INDIRECT("NovR!$A$6:$ZZ$1048576"), MATCH(AB$1, NovR!$6:$6, 0), FALSE),
            0
        ) +
        IFERROR(
            VLOOKUP($A47, INDIRECT("DicR!$A$6:$ZZ$1048576"), MATCH(AB$1, DicR!$6:$6, 0), FALSE),
            0
        )
)</f>
        <v>0</v>
      </c>
      <c r="AC47" s="37">
        <f t="array" ref="AC47">SUM(
    IFERROR(
            VLOOKUP($A47, INDIRECT("EneR!$A$6:$ZZ$1048576"), MATCH(AC$1, EneR!$6:$6, 0), FALSE),
            0
        ) +
        IFERROR(
            VLOOKUP($A47, INDIRECT("FebR!$A$6:$ZZ$1048576"), MATCH(AC$1, FebR!$6:$6, 0), FALSE),
            0
        ) +
        IFERROR(
            VLOOKUP($A47, INDIRECT("MarR!$A$6:$ZZ$1048576"), MATCH(AC$1, MarR!$6:$6, 0), FALSE),
            0
        ) +
        IFERROR(
            VLOOKUP($A47, INDIRECT("AbrR!$A$6:$ZZ$1048576"), MATCH(AC$1, AbrR!$6:$6, 0), FALSE),
            0
        ) +
        IFERROR(
            VLOOKUP($A47, INDIRECT("MayR!$A$6:$ZZ$1048576"), MATCH(AC$1, MayR!$6:$6, 0), FALSE),
            0
        ) +
        IFERROR(
            VLOOKUP($A47, INDIRECT("JunR!$A$6:$ZZ$1048576"), MATCH(AC$1, JunR!$6:$6, 0), FALSE),
            0
        ) +
        IFERROR(
            VLOOKUP($A47, INDIRECT("JulR!$A$6:$ZZ$1048576"), MATCH(AC$1, JulR!$6:$6, 0), FALSE),
            0
        ) +
        IFERROR(
            VLOOKUP($A47, INDIRECT("AgoR!$A$6:$ZZ$1048576"), MATCH(AC$1, AgoR!$6:$6, 0), FALSE),
            0
        ) +
        IFERROR(
            VLOOKUP($A47, INDIRECT("SepR!$A$6:$ZZ$1048576"), MATCH(AC$1, SepR!$6:$6, 0), FALSE),
            0
        ) +
        IFERROR(
            VLOOKUP($A47, INDIRECT("OctR!$A$6:$ZZ$1048576"), MATCH(AC$1, OctR!$6:$6, 0), FALSE),
            0
        ) +
        IFERROR(
            VLOOKUP($A47, INDIRECT("NovR!$A$6:$ZZ$1048576"), MATCH(AC$1, NovR!$6:$6, 0), FALSE),
            0
        ) +
        IFERROR(
            VLOOKUP($A47, INDIRECT("DicR!$A$6:$ZZ$1048576"), MATCH(AC$1, DicR!$6:$6, 0), FALSE),
            0
        )
)</f>
        <v>0</v>
      </c>
      <c r="AD47" s="36">
        <f t="array" ref="AD47">SUM(
    IFERROR(
            VLOOKUP($A47, INDIRECT("EneR!$A$6:$ZZ$1048576"), MATCH(AD$1, EneR!$6:$6, 0), FALSE),
            0
        ) +
        IFERROR(
            VLOOKUP($A47, INDIRECT("FebR!$A$6:$ZZ$1048576"), MATCH(AD$1, FebR!$6:$6, 0), FALSE),
            0
        ) +
        IFERROR(
            VLOOKUP($A47, INDIRECT("MarR!$A$6:$ZZ$1048576"), MATCH(AD$1, MarR!$6:$6, 0), FALSE),
            0
        ) +
        IFERROR(
            VLOOKUP($A47, INDIRECT("AbrR!$A$6:$ZZ$1048576"), MATCH(AD$1, AbrR!$6:$6, 0), FALSE),
            0
        ) +
        IFERROR(
            VLOOKUP($A47, INDIRECT("MayR!$A$6:$ZZ$1048576"), MATCH(AD$1, MayR!$6:$6, 0), FALSE),
            0
        ) +
        IFERROR(
            VLOOKUP($A47, INDIRECT("JunR!$A$6:$ZZ$1048576"), MATCH(AD$1, JunR!$6:$6, 0), FALSE),
            0
        ) +
        IFERROR(
            VLOOKUP($A47, INDIRECT("JulR!$A$6:$ZZ$1048576"), MATCH(AD$1, JulR!$6:$6, 0), FALSE),
            0
        ) +
        IFERROR(
            VLOOKUP($A47, INDIRECT("AgoR!$A$6:$ZZ$1048576"), MATCH(AD$1, AgoR!$6:$6, 0), FALSE),
            0
        ) +
        IFERROR(
            VLOOKUP($A47, INDIRECT("SepR!$A$6:$ZZ$1048576"), MATCH(AD$1, SepR!$6:$6, 0), FALSE),
            0
        ) +
        IFERROR(
            VLOOKUP($A47, INDIRECT("OctR!$A$6:$ZZ$1048576"), MATCH(AD$1, OctR!$6:$6, 0), FALSE),
            0
        ) +
        IFERROR(
            VLOOKUP($A47, INDIRECT("NovR!$A$6:$ZZ$1048576"), MATCH(AD$1, NovR!$6:$6, 0), FALSE),
            0
        ) +
        IFERROR(
            VLOOKUP($A47, INDIRECT("DicR!$A$6:$ZZ$1048576"), MATCH(AD$1, DicR!$6:$6, 0), FALSE),
            0
        )
)</f>
        <v>0</v>
      </c>
      <c r="AE47" s="37">
        <f t="array" ref="AE47">SUM(
    IFERROR(
            VLOOKUP($A47, INDIRECT("EneR!$A$6:$ZZ$1048576"), MATCH(AE$1, EneR!$6:$6, 0), FALSE),
            0
        ) +
        IFERROR(
            VLOOKUP($A47, INDIRECT("FebR!$A$6:$ZZ$1048576"), MATCH(AE$1, FebR!$6:$6, 0), FALSE),
            0
        ) +
        IFERROR(
            VLOOKUP($A47, INDIRECT("MarR!$A$6:$ZZ$1048576"), MATCH(AE$1, MarR!$6:$6, 0), FALSE),
            0
        ) +
        IFERROR(
            VLOOKUP($A47, INDIRECT("AbrR!$A$6:$ZZ$1048576"), MATCH(AE$1, AbrR!$6:$6, 0), FALSE),
            0
        ) +
        IFERROR(
            VLOOKUP($A47, INDIRECT("MayR!$A$6:$ZZ$1048576"), MATCH(AE$1, MayR!$6:$6, 0), FALSE),
            0
        ) +
        IFERROR(
            VLOOKUP($A47, INDIRECT("JunR!$A$6:$ZZ$1048576"), MATCH(AE$1, JunR!$6:$6, 0), FALSE),
            0
        ) +
        IFERROR(
            VLOOKUP($A47, INDIRECT("JulR!$A$6:$ZZ$1048576"), MATCH(AE$1, JulR!$6:$6, 0), FALSE),
            0
        ) +
        IFERROR(
            VLOOKUP($A47, INDIRECT("AgoR!$A$6:$ZZ$1048576"), MATCH(AE$1, AgoR!$6:$6, 0), FALSE),
            0
        ) +
        IFERROR(
            VLOOKUP($A47, INDIRECT("SepR!$A$6:$ZZ$1048576"), MATCH(AE$1, SepR!$6:$6, 0), FALSE),
            0
        ) +
        IFERROR(
            VLOOKUP($A47, INDIRECT("OctR!$A$6:$ZZ$1048576"), MATCH(AE$1, OctR!$6:$6, 0), FALSE),
            0
        ) +
        IFERROR(
            VLOOKUP($A47, INDIRECT("NovR!$A$6:$ZZ$1048576"), MATCH(AE$1, NovR!$6:$6, 0), FALSE),
            0
        ) +
        IFERROR(
            VLOOKUP($A47, INDIRECT("DicR!$A$6:$ZZ$1048576"), MATCH(AE$1, DicR!$6:$6, 0), FALSE),
            0
        )
)</f>
        <v>0</v>
      </c>
      <c r="AF47" s="36">
        <f t="array" ref="AF47">SUM(
    IFERROR(
            VLOOKUP($A47, INDIRECT("EneR!$A$6:$ZZ$1048576"), MATCH(AF$1, EneR!$6:$6, 0), FALSE),
            0
        ) +
        IFERROR(
            VLOOKUP($A47, INDIRECT("FebR!$A$6:$ZZ$1048576"), MATCH(AF$1, FebR!$6:$6, 0), FALSE),
            0
        ) +
        IFERROR(
            VLOOKUP($A47, INDIRECT("MarR!$A$6:$ZZ$1048576"), MATCH(AF$1, MarR!$6:$6, 0), FALSE),
            0
        ) +
        IFERROR(
            VLOOKUP($A47, INDIRECT("AbrR!$A$6:$ZZ$1048576"), MATCH(AF$1, AbrR!$6:$6, 0), FALSE),
            0
        ) +
        IFERROR(
            VLOOKUP($A47, INDIRECT("MayR!$A$6:$ZZ$1048576"), MATCH(AF$1, MayR!$6:$6, 0), FALSE),
            0
        ) +
        IFERROR(
            VLOOKUP($A47, INDIRECT("JunR!$A$6:$ZZ$1048576"), MATCH(AF$1, JunR!$6:$6, 0), FALSE),
            0
        ) +
        IFERROR(
            VLOOKUP($A47, INDIRECT("JulR!$A$6:$ZZ$1048576"), MATCH(AF$1, JulR!$6:$6, 0), FALSE),
            0
        ) +
        IFERROR(
            VLOOKUP($A47, INDIRECT("AgoR!$A$6:$ZZ$1048576"), MATCH(AF$1, AgoR!$6:$6, 0), FALSE),
            0
        ) +
        IFERROR(
            VLOOKUP($A47, INDIRECT("SepR!$A$6:$ZZ$1048576"), MATCH(AF$1, SepR!$6:$6, 0), FALSE),
            0
        ) +
        IFERROR(
            VLOOKUP($A47, INDIRECT("OctR!$A$6:$ZZ$1048576"), MATCH(AF$1, OctR!$6:$6, 0), FALSE),
            0
        ) +
        IFERROR(
            VLOOKUP($A47, INDIRECT("NovR!$A$6:$ZZ$1048576"), MATCH(AF$1, NovR!$6:$6, 0), FALSE),
            0
        ) +
        IFERROR(
            VLOOKUP($A47, INDIRECT("DicR!$A$6:$ZZ$1048576"), MATCH(AF$1, DicR!$6:$6, 0), FALSE),
            0
        )
)</f>
        <v>0</v>
      </c>
      <c r="AG47" s="37">
        <f t="array" ref="AG47">SUM(
    IFERROR(
            VLOOKUP($A47, INDIRECT("EneR!$A$6:$ZZ$1048576"), MATCH(AG$1, EneR!$6:$6, 0), FALSE),
            0
        ) +
        IFERROR(
            VLOOKUP($A47, INDIRECT("FebR!$A$6:$ZZ$1048576"), MATCH(AG$1, FebR!$6:$6, 0), FALSE),
            0
        ) +
        IFERROR(
            VLOOKUP($A47, INDIRECT("MarR!$A$6:$ZZ$1048576"), MATCH(AG$1, MarR!$6:$6, 0), FALSE),
            0
        ) +
        IFERROR(
            VLOOKUP($A47, INDIRECT("AbrR!$A$6:$ZZ$1048576"), MATCH(AG$1, AbrR!$6:$6, 0), FALSE),
            0
        ) +
        IFERROR(
            VLOOKUP($A47, INDIRECT("MayR!$A$6:$ZZ$1048576"), MATCH(AG$1, MayR!$6:$6, 0), FALSE),
            0
        ) +
        IFERROR(
            VLOOKUP($A47, INDIRECT("JunR!$A$6:$ZZ$1048576"), MATCH(AG$1, JunR!$6:$6, 0), FALSE),
            0
        ) +
        IFERROR(
            VLOOKUP($A47, INDIRECT("JulR!$A$6:$ZZ$1048576"), MATCH(AG$1, JulR!$6:$6, 0), FALSE),
            0
        ) +
        IFERROR(
            VLOOKUP($A47, INDIRECT("AgoR!$A$6:$ZZ$1048576"), MATCH(AG$1, AgoR!$6:$6, 0), FALSE),
            0
        ) +
        IFERROR(
            VLOOKUP($A47, INDIRECT("SepR!$A$6:$ZZ$1048576"), MATCH(AG$1, SepR!$6:$6, 0), FALSE),
            0
        ) +
        IFERROR(
            VLOOKUP($A47, INDIRECT("OctR!$A$6:$ZZ$1048576"), MATCH(AG$1, OctR!$6:$6, 0), FALSE),
            0
        ) +
        IFERROR(
            VLOOKUP($A47, INDIRECT("NovR!$A$6:$ZZ$1048576"), MATCH(AG$1, NovR!$6:$6, 0), FALSE),
            0
        ) +
        IFERROR(
            VLOOKUP($A47, INDIRECT("DicR!$A$6:$ZZ$1048576"), MATCH(AG$1, DicR!$6:$6, 0), FALSE),
            0
        )
)</f>
        <v>0</v>
      </c>
      <c r="AH47" s="36">
        <f t="array" ref="AH47">SUM(
    IFERROR(
            VLOOKUP($A47, INDIRECT("EneR!$A$6:$ZZ$1048576"), MATCH(AH$1, EneR!$6:$6, 0), FALSE),
            0
        ) +
        IFERROR(
            VLOOKUP($A47, INDIRECT("FebR!$A$6:$ZZ$1048576"), MATCH(AH$1, FebR!$6:$6, 0), FALSE),
            0
        ) +
        IFERROR(
            VLOOKUP($A47, INDIRECT("MarR!$A$6:$ZZ$1048576"), MATCH(AH$1, MarR!$6:$6, 0), FALSE),
            0
        ) +
        IFERROR(
            VLOOKUP($A47, INDIRECT("AbrR!$A$6:$ZZ$1048576"), MATCH(AH$1, AbrR!$6:$6, 0), FALSE),
            0
        ) +
        IFERROR(
            VLOOKUP($A47, INDIRECT("MayR!$A$6:$ZZ$1048576"), MATCH(AH$1, MayR!$6:$6, 0), FALSE),
            0
        ) +
        IFERROR(
            VLOOKUP($A47, INDIRECT("JunR!$A$6:$ZZ$1048576"), MATCH(AH$1, JunR!$6:$6, 0), FALSE),
            0
        ) +
        IFERROR(
            VLOOKUP($A47, INDIRECT("JulR!$A$6:$ZZ$1048576"), MATCH(AH$1, JulR!$6:$6, 0), FALSE),
            0
        ) +
        IFERROR(
            VLOOKUP($A47, INDIRECT("AgoR!$A$6:$ZZ$1048576"), MATCH(AH$1, AgoR!$6:$6, 0), FALSE),
            0
        ) +
        IFERROR(
            VLOOKUP($A47, INDIRECT("SepR!$A$6:$ZZ$1048576"), MATCH(AH$1, SepR!$6:$6, 0), FALSE),
            0
        ) +
        IFERROR(
            VLOOKUP($A47, INDIRECT("OctR!$A$6:$ZZ$1048576"), MATCH(AH$1, OctR!$6:$6, 0), FALSE),
            0
        ) +
        IFERROR(
            VLOOKUP($A47, INDIRECT("NovR!$A$6:$ZZ$1048576"), MATCH(AH$1, NovR!$6:$6, 0), FALSE),
            0
        ) +
        IFERROR(
            VLOOKUP($A47, INDIRECT("DicR!$A$6:$ZZ$1048576"), MATCH(AH$1, DicR!$6:$6, 0), FALSE),
            0
        )
)</f>
        <v>0</v>
      </c>
      <c r="AI47" s="37">
        <f t="array" ref="AI47">SUM(
    IFERROR(
            VLOOKUP($A47, INDIRECT("EneR!$A$6:$ZZ$1048576"), MATCH(AI$1, EneR!$6:$6, 0), FALSE),
            0
        ) +
        IFERROR(
            VLOOKUP($A47, INDIRECT("FebR!$A$6:$ZZ$1048576"), MATCH(AI$1, FebR!$6:$6, 0), FALSE),
            0
        ) +
        IFERROR(
            VLOOKUP($A47, INDIRECT("MarR!$A$6:$ZZ$1048576"), MATCH(AI$1, MarR!$6:$6, 0), FALSE),
            0
        ) +
        IFERROR(
            VLOOKUP($A47, INDIRECT("AbrR!$A$6:$ZZ$1048576"), MATCH(AI$1, AbrR!$6:$6, 0), FALSE),
            0
        ) +
        IFERROR(
            VLOOKUP($A47, INDIRECT("MayR!$A$6:$ZZ$1048576"), MATCH(AI$1, MayR!$6:$6, 0), FALSE),
            0
        ) +
        IFERROR(
            VLOOKUP($A47, INDIRECT("JunR!$A$6:$ZZ$1048576"), MATCH(AI$1, JunR!$6:$6, 0), FALSE),
            0
        ) +
        IFERROR(
            VLOOKUP($A47, INDIRECT("JulR!$A$6:$ZZ$1048576"), MATCH(AI$1, JulR!$6:$6, 0), FALSE),
            0
        ) +
        IFERROR(
            VLOOKUP($A47, INDIRECT("AgoR!$A$6:$ZZ$1048576"), MATCH(AI$1, AgoR!$6:$6, 0), FALSE),
            0
        ) +
        IFERROR(
            VLOOKUP($A47, INDIRECT("SepR!$A$6:$ZZ$1048576"), MATCH(AI$1, SepR!$6:$6, 0), FALSE),
            0
        ) +
        IFERROR(
            VLOOKUP($A47, INDIRECT("OctR!$A$6:$ZZ$1048576"), MATCH(AI$1, OctR!$6:$6, 0), FALSE),
            0
        ) +
        IFERROR(
            VLOOKUP($A47, INDIRECT("NovR!$A$6:$ZZ$1048576"), MATCH(AI$1, NovR!$6:$6, 0), FALSE),
            0
        ) +
        IFERROR(
            VLOOKUP($A47, INDIRECT("DicR!$A$6:$ZZ$1048576"), MATCH(AI$1, DicR!$6:$6, 0), FALSE),
            0
        )
)</f>
        <v>0</v>
      </c>
      <c r="AJ47" s="36">
        <f t="array" ref="AJ47">SUM(
    IFERROR(
            VLOOKUP($A47, INDIRECT("EneR!$A$6:$ZZ$1048576"), MATCH(AJ$1, EneR!$6:$6, 0), FALSE),
            0
        ) +
        IFERROR(
            VLOOKUP($A47, INDIRECT("FebR!$A$6:$ZZ$1048576"), MATCH(AJ$1, FebR!$6:$6, 0), FALSE),
            0
        ) +
        IFERROR(
            VLOOKUP($A47, INDIRECT("MarR!$A$6:$ZZ$1048576"), MATCH(AJ$1, MarR!$6:$6, 0), FALSE),
            0
        ) +
        IFERROR(
            VLOOKUP($A47, INDIRECT("AbrR!$A$6:$ZZ$1048576"), MATCH(AJ$1, AbrR!$6:$6, 0), FALSE),
            0
        ) +
        IFERROR(
            VLOOKUP($A47, INDIRECT("MayR!$A$6:$ZZ$1048576"), MATCH(AJ$1, MayR!$6:$6, 0), FALSE),
            0
        ) +
        IFERROR(
            VLOOKUP($A47, INDIRECT("JunR!$A$6:$ZZ$1048576"), MATCH(AJ$1, JunR!$6:$6, 0), FALSE),
            0
        ) +
        IFERROR(
            VLOOKUP($A47, INDIRECT("JulR!$A$6:$ZZ$1048576"), MATCH(AJ$1, JulR!$6:$6, 0), FALSE),
            0
        ) +
        IFERROR(
            VLOOKUP($A47, INDIRECT("AgoR!$A$6:$ZZ$1048576"), MATCH(AJ$1, AgoR!$6:$6, 0), FALSE),
            0
        ) +
        IFERROR(
            VLOOKUP($A47, INDIRECT("SepR!$A$6:$ZZ$1048576"), MATCH(AJ$1, SepR!$6:$6, 0), FALSE),
            0
        ) +
        IFERROR(
            VLOOKUP($A47, INDIRECT("OctR!$A$6:$ZZ$1048576"), MATCH(AJ$1, OctR!$6:$6, 0), FALSE),
            0
        ) +
        IFERROR(
            VLOOKUP($A47, INDIRECT("NovR!$A$6:$ZZ$1048576"), MATCH(AJ$1, NovR!$6:$6, 0), FALSE),
            0
        ) +
        IFERROR(
            VLOOKUP($A47, INDIRECT("DicR!$A$6:$ZZ$1048576"), MATCH(AJ$1, DicR!$6:$6, 0), FALSE),
            0
        )
)</f>
        <v>0</v>
      </c>
      <c r="AK47" s="37">
        <f t="array" ref="AK47">SUM(
    IFERROR(
            VLOOKUP($A47, INDIRECT("EneR!$A$6:$ZZ$1048576"), MATCH(AK$1, EneR!$6:$6, 0), FALSE),
            0
        ) +
        IFERROR(
            VLOOKUP($A47, INDIRECT("FebR!$A$6:$ZZ$1048576"), MATCH(AK$1, FebR!$6:$6, 0), FALSE),
            0
        ) +
        IFERROR(
            VLOOKUP($A47, INDIRECT("MarR!$A$6:$ZZ$1048576"), MATCH(AK$1, MarR!$6:$6, 0), FALSE),
            0
        ) +
        IFERROR(
            VLOOKUP($A47, INDIRECT("AbrR!$A$6:$ZZ$1048576"), MATCH(AK$1, AbrR!$6:$6, 0), FALSE),
            0
        ) +
        IFERROR(
            VLOOKUP($A47, INDIRECT("MayR!$A$6:$ZZ$1048576"), MATCH(AK$1, MayR!$6:$6, 0), FALSE),
            0
        ) +
        IFERROR(
            VLOOKUP($A47, INDIRECT("JunR!$A$6:$ZZ$1048576"), MATCH(AK$1, JunR!$6:$6, 0), FALSE),
            0
        ) +
        IFERROR(
            VLOOKUP($A47, INDIRECT("JulR!$A$6:$ZZ$1048576"), MATCH(AK$1, JulR!$6:$6, 0), FALSE),
            0
        ) +
        IFERROR(
            VLOOKUP($A47, INDIRECT("AgoR!$A$6:$ZZ$1048576"), MATCH(AK$1, AgoR!$6:$6, 0), FALSE),
            0
        ) +
        IFERROR(
            VLOOKUP($A47, INDIRECT("SepR!$A$6:$ZZ$1048576"), MATCH(AK$1, SepR!$6:$6, 0), FALSE),
            0
        ) +
        IFERROR(
            VLOOKUP($A47, INDIRECT("OctR!$A$6:$ZZ$1048576"), MATCH(AK$1, OctR!$6:$6, 0), FALSE),
            0
        ) +
        IFERROR(
            VLOOKUP($A47, INDIRECT("NovR!$A$6:$ZZ$1048576"), MATCH(AK$1, NovR!$6:$6, 0), FALSE),
            0
        ) +
        IFERROR(
            VLOOKUP($A47, INDIRECT("DicR!$A$6:$ZZ$1048576"), MATCH(AK$1, DicR!$6:$6, 0), FALSE),
            0
        )
)</f>
        <v>0</v>
      </c>
      <c r="AL47" s="36">
        <f t="array" ref="AL47">SUM(
    IFERROR(
            VLOOKUP($A47, INDIRECT("EneR!$A$6:$ZZ$1048576"), MATCH(AL$1, EneR!$6:$6, 0), FALSE),
            0
        ) +
        IFERROR(
            VLOOKUP($A47, INDIRECT("FebR!$A$6:$ZZ$1048576"), MATCH(AL$1, FebR!$6:$6, 0), FALSE),
            0
        ) +
        IFERROR(
            VLOOKUP($A47, INDIRECT("MarR!$A$6:$ZZ$1048576"), MATCH(AL$1, MarR!$6:$6, 0), FALSE),
            0
        ) +
        IFERROR(
            VLOOKUP($A47, INDIRECT("AbrR!$A$6:$ZZ$1048576"), MATCH(AL$1, AbrR!$6:$6, 0), FALSE),
            0
        ) +
        IFERROR(
            VLOOKUP($A47, INDIRECT("MayR!$A$6:$ZZ$1048576"), MATCH(AL$1, MayR!$6:$6, 0), FALSE),
            0
        ) +
        IFERROR(
            VLOOKUP($A47, INDIRECT("JunR!$A$6:$ZZ$1048576"), MATCH(AL$1, JunR!$6:$6, 0), FALSE),
            0
        ) +
        IFERROR(
            VLOOKUP($A47, INDIRECT("JulR!$A$6:$ZZ$1048576"), MATCH(AL$1, JulR!$6:$6, 0), FALSE),
            0
        ) +
        IFERROR(
            VLOOKUP($A47, INDIRECT("AgoR!$A$6:$ZZ$1048576"), MATCH(AL$1, AgoR!$6:$6, 0), FALSE),
            0
        ) +
        IFERROR(
            VLOOKUP($A47, INDIRECT("SepR!$A$6:$ZZ$1048576"), MATCH(AL$1, SepR!$6:$6, 0), FALSE),
            0
        ) +
        IFERROR(
            VLOOKUP($A47, INDIRECT("OctR!$A$6:$ZZ$1048576"), MATCH(AL$1, OctR!$6:$6, 0), FALSE),
            0
        ) +
        IFERROR(
            VLOOKUP($A47, INDIRECT("NovR!$A$6:$ZZ$1048576"), MATCH(AL$1, NovR!$6:$6, 0), FALSE),
            0
        ) +
        IFERROR(
            VLOOKUP($A47, INDIRECT("DicR!$A$6:$ZZ$1048576"), MATCH(AL$1, DicR!$6:$6, 0), FALSE),
            0
        )
)</f>
        <v>0</v>
      </c>
      <c r="AM47" s="37">
        <f t="array" ref="AM47">SUM(
    IFERROR(
            VLOOKUP($A47, INDIRECT("EneR!$A$6:$ZZ$1048576"), MATCH(AM$1, EneR!$6:$6, 0), FALSE),
            0
        ) +
        IFERROR(
            VLOOKUP($A47, INDIRECT("FebR!$A$6:$ZZ$1048576"), MATCH(AM$1, FebR!$6:$6, 0), FALSE),
            0
        ) +
        IFERROR(
            VLOOKUP($A47, INDIRECT("MarR!$A$6:$ZZ$1048576"), MATCH(AM$1, MarR!$6:$6, 0), FALSE),
            0
        ) +
        IFERROR(
            VLOOKUP($A47, INDIRECT("AbrR!$A$6:$ZZ$1048576"), MATCH(AM$1, AbrR!$6:$6, 0), FALSE),
            0
        ) +
        IFERROR(
            VLOOKUP($A47, INDIRECT("MayR!$A$6:$ZZ$1048576"), MATCH(AM$1, MayR!$6:$6, 0), FALSE),
            0
        ) +
        IFERROR(
            VLOOKUP($A47, INDIRECT("JunR!$A$6:$ZZ$1048576"), MATCH(AM$1, JunR!$6:$6, 0), FALSE),
            0
        ) +
        IFERROR(
            VLOOKUP($A47, INDIRECT("JulR!$A$6:$ZZ$1048576"), MATCH(AM$1, JulR!$6:$6, 0), FALSE),
            0
        ) +
        IFERROR(
            VLOOKUP($A47, INDIRECT("AgoR!$A$6:$ZZ$1048576"), MATCH(AM$1, AgoR!$6:$6, 0), FALSE),
            0
        ) +
        IFERROR(
            VLOOKUP($A47, INDIRECT("SepR!$A$6:$ZZ$1048576"), MATCH(AM$1, SepR!$6:$6, 0), FALSE),
            0
        ) +
        IFERROR(
            VLOOKUP($A47, INDIRECT("OctR!$A$6:$ZZ$1048576"), MATCH(AM$1, OctR!$6:$6, 0), FALSE),
            0
        ) +
        IFERROR(
            VLOOKUP($A47, INDIRECT("NovR!$A$6:$ZZ$1048576"), MATCH(AM$1, NovR!$6:$6, 0), FALSE),
            0
        ) +
        IFERROR(
            VLOOKUP($A47, INDIRECT("DicR!$A$6:$ZZ$1048576"), MATCH(AM$1, DicR!$6:$6, 0), FALSE),
            0
        )
)</f>
        <v>0</v>
      </c>
      <c r="AN47" s="32">
        <f t="array" ref="AN47">SUM(
    IFERROR(
            VLOOKUP($A47, INDIRECT("EneR!$A$6:$ZZ$1048576"), MATCH(AN$1, EneR!$6:$6, 0), FALSE),
            0
        ) +
        IFERROR(
            VLOOKUP($A47, INDIRECT("FebR!$A$6:$ZZ$1048576"), MATCH(AN$1, FebR!$6:$6, 0), FALSE),
            0
        ) +
        IFERROR(
            VLOOKUP($A47, INDIRECT("MarR!$A$6:$ZZ$1048576"), MATCH(AN$1, MarR!$6:$6, 0), FALSE),
            0
        ) +
        IFERROR(
            VLOOKUP($A47, INDIRECT("AbrR!$A$6:$ZZ$1048576"), MATCH(AN$1, AbrR!$6:$6, 0), FALSE),
            0
        ) +
        IFERROR(
            VLOOKUP($A47, INDIRECT("MayR!$A$6:$ZZ$1048576"), MATCH(AN$1, MayR!$6:$6, 0), FALSE),
            0
        ) +
        IFERROR(
            VLOOKUP($A47, INDIRECT("JunR!$A$6:$ZZ$1048576"), MATCH(AN$1, JunR!$6:$6, 0), FALSE),
            0
        ) +
        IFERROR(
            VLOOKUP($A47, INDIRECT("JulR!$A$6:$ZZ$1048576"), MATCH(AN$1, JulR!$6:$6, 0), FALSE),
            0
        ) +
        IFERROR(
            VLOOKUP($A47, INDIRECT("AgoR!$A$6:$ZZ$1048576"), MATCH(AN$1, AgoR!$6:$6, 0), FALSE),
            0
        ) +
        IFERROR(
            VLOOKUP($A47, INDIRECT("SepR!$A$6:$ZZ$1048576"), MATCH(AN$1, SepR!$6:$6, 0), FALSE),
            0
        ) +
        IFERROR(
            VLOOKUP($A47, INDIRECT("OctR!$A$6:$ZZ$1048576"), MATCH(AN$1, OctR!$6:$6, 0), FALSE),
            0
        ) +
        IFERROR(
            VLOOKUP($A47, INDIRECT("NovR!$A$6:$ZZ$1048576"), MATCH(AN$1, NovR!$6:$6, 0), FALSE),
            0
        ) +
        IFERROR(
            VLOOKUP($A47, INDIRECT("DicR!$A$6:$ZZ$1048576"), MATCH(AN$1, DicR!$6:$6, 0), FALSE),
            0
        )
)</f>
        <v>0</v>
      </c>
      <c r="AO47" s="35">
        <f t="array" ref="AO47">SUM(
    IFERROR(
            VLOOKUP($A47, INDIRECT("EneR!$A$6:$ZZ$1048576"), MATCH(AO$1, EneR!$6:$6, 0), FALSE),
            0
        ) +
        IFERROR(
            VLOOKUP($A47, INDIRECT("FebR!$A$6:$ZZ$1048576"), MATCH(AO$1, FebR!$6:$6, 0), FALSE),
            0
        ) +
        IFERROR(
            VLOOKUP($A47, INDIRECT("MarR!$A$6:$ZZ$1048576"), MATCH(AO$1, MarR!$6:$6, 0), FALSE),
            0
        ) +
        IFERROR(
            VLOOKUP($A47, INDIRECT("AbrR!$A$6:$ZZ$1048576"), MATCH(AO$1, AbrR!$6:$6, 0), FALSE),
            0
        ) +
        IFERROR(
            VLOOKUP($A47, INDIRECT("MayR!$A$6:$ZZ$1048576"), MATCH(AO$1, MayR!$6:$6, 0), FALSE),
            0
        ) +
        IFERROR(
            VLOOKUP($A47, INDIRECT("JunR!$A$6:$ZZ$1048576"), MATCH(AO$1, JunR!$6:$6, 0), FALSE),
            0
        ) +
        IFERROR(
            VLOOKUP($A47, INDIRECT("JulR!$A$6:$ZZ$1048576"), MATCH(AO$1, JulR!$6:$6, 0), FALSE),
            0
        ) +
        IFERROR(
            VLOOKUP($A47, INDIRECT("AgoR!$A$6:$ZZ$1048576"), MATCH(AO$1, AgoR!$6:$6, 0), FALSE),
            0
        ) +
        IFERROR(
            VLOOKUP($A47, INDIRECT("SepR!$A$6:$ZZ$1048576"), MATCH(AO$1, SepR!$6:$6, 0), FALSE),
            0
        ) +
        IFERROR(
            VLOOKUP($A47, INDIRECT("OctR!$A$6:$ZZ$1048576"), MATCH(AO$1, OctR!$6:$6, 0), FALSE),
            0
        ) +
        IFERROR(
            VLOOKUP($A47, INDIRECT("NovR!$A$6:$ZZ$1048576"), MATCH(AO$1, NovR!$6:$6, 0), FALSE),
            0
        ) +
        IFERROR(
            VLOOKUP($A47, INDIRECT("DicR!$A$6:$ZZ$1048576"), MATCH(AO$1, DicR!$6:$6, 0), FALSE),
            0
        )
)</f>
        <v>0</v>
      </c>
      <c r="AP47" s="36">
        <f t="array" ref="AP47">SUM(
    IFERROR(
            VLOOKUP($A47, INDIRECT("EneR!$A$6:$ZZ$1048576"), MATCH(AP$1, EneR!$6:$6, 0), FALSE),
            0
        ) +
        IFERROR(
            VLOOKUP($A47, INDIRECT("FebR!$A$6:$ZZ$1048576"), MATCH(AP$1, FebR!$6:$6, 0), FALSE),
            0
        ) +
        IFERROR(
            VLOOKUP($A47, INDIRECT("MarR!$A$6:$ZZ$1048576"), MATCH(AP$1, MarR!$6:$6, 0), FALSE),
            0
        ) +
        IFERROR(
            VLOOKUP($A47, INDIRECT("AbrR!$A$6:$ZZ$1048576"), MATCH(AP$1, AbrR!$6:$6, 0), FALSE),
            0
        ) +
        IFERROR(
            VLOOKUP($A47, INDIRECT("MayR!$A$6:$ZZ$1048576"), MATCH(AP$1, MayR!$6:$6, 0), FALSE),
            0
        ) +
        IFERROR(
            VLOOKUP($A47, INDIRECT("JunR!$A$6:$ZZ$1048576"), MATCH(AP$1, JunR!$6:$6, 0), FALSE),
            0
        ) +
        IFERROR(
            VLOOKUP($A47, INDIRECT("JulR!$A$6:$ZZ$1048576"), MATCH(AP$1, JulR!$6:$6, 0), FALSE),
            0
        ) +
        IFERROR(
            VLOOKUP($A47, INDIRECT("AgoR!$A$6:$ZZ$1048576"), MATCH(AP$1, AgoR!$6:$6, 0), FALSE),
            0
        ) +
        IFERROR(
            VLOOKUP($A47, INDIRECT("SepR!$A$6:$ZZ$1048576"), MATCH(AP$1, SepR!$6:$6, 0), FALSE),
            0
        ) +
        IFERROR(
            VLOOKUP($A47, INDIRECT("OctR!$A$6:$ZZ$1048576"), MATCH(AP$1, OctR!$6:$6, 0), FALSE),
            0
        ) +
        IFERROR(
            VLOOKUP($A47, INDIRECT("NovR!$A$6:$ZZ$1048576"), MATCH(AP$1, NovR!$6:$6, 0), FALSE),
            0
        ) +
        IFERROR(
            VLOOKUP($A47, INDIRECT("DicR!$A$6:$ZZ$1048576"), MATCH(AP$1, DicR!$6:$6, 0), FALSE),
            0
        )
)</f>
        <v>0</v>
      </c>
      <c r="AQ47" s="35">
        <f t="array" ref="AQ47">SUM(
    IFERROR(
            VLOOKUP($A47, INDIRECT("EneR!$A$6:$ZZ$1048576"), MATCH(AQ$1, EneR!$6:$6, 0), FALSE),
            0
        ) +
        IFERROR(
            VLOOKUP($A47, INDIRECT("FebR!$A$6:$ZZ$1048576"), MATCH(AQ$1, FebR!$6:$6, 0), FALSE),
            0
        ) +
        IFERROR(
            VLOOKUP($A47, INDIRECT("MarR!$A$6:$ZZ$1048576"), MATCH(AQ$1, MarR!$6:$6, 0), FALSE),
            0
        ) +
        IFERROR(
            VLOOKUP($A47, INDIRECT("AbrR!$A$6:$ZZ$1048576"), MATCH(AQ$1, AbrR!$6:$6, 0), FALSE),
            0
        ) +
        IFERROR(
            VLOOKUP($A47, INDIRECT("MayR!$A$6:$ZZ$1048576"), MATCH(AQ$1, MayR!$6:$6, 0), FALSE),
            0
        ) +
        IFERROR(
            VLOOKUP($A47, INDIRECT("JunR!$A$6:$ZZ$1048576"), MATCH(AQ$1, JunR!$6:$6, 0), FALSE),
            0
        ) +
        IFERROR(
            VLOOKUP($A47, INDIRECT("JulR!$A$6:$ZZ$1048576"), MATCH(AQ$1, JulR!$6:$6, 0), FALSE),
            0
        ) +
        IFERROR(
            VLOOKUP($A47, INDIRECT("AgoR!$A$6:$ZZ$1048576"), MATCH(AQ$1, AgoR!$6:$6, 0), FALSE),
            0
        ) +
        IFERROR(
            VLOOKUP($A47, INDIRECT("SepR!$A$6:$ZZ$1048576"), MATCH(AQ$1, SepR!$6:$6, 0), FALSE),
            0
        ) +
        IFERROR(
            VLOOKUP($A47, INDIRECT("OctR!$A$6:$ZZ$1048576"), MATCH(AQ$1, OctR!$6:$6, 0), FALSE),
            0
        ) +
        IFERROR(
            VLOOKUP($A47, INDIRECT("NovR!$A$6:$ZZ$1048576"), MATCH(AQ$1, NovR!$6:$6, 0), FALSE),
            0
        ) +
        IFERROR(
            VLOOKUP($A47, INDIRECT("DicR!$A$6:$ZZ$1048576"), MATCH(AQ$1, DicR!$6:$6, 0), FALSE),
            0
        )
)</f>
        <v>0</v>
      </c>
      <c r="AR47" s="36">
        <f t="array" ref="AR47">SUM(
    IFERROR(
            VLOOKUP($A47, INDIRECT("EneR!$A$6:$ZZ$1048576"), MATCH(AR$1, EneR!$6:$6, 0), FALSE),
            0
        ) +
        IFERROR(
            VLOOKUP($A47, INDIRECT("FebR!$A$6:$ZZ$1048576"), MATCH(AR$1, FebR!$6:$6, 0), FALSE),
            0
        ) +
        IFERROR(
            VLOOKUP($A47, INDIRECT("MarR!$A$6:$ZZ$1048576"), MATCH(AR$1, MarR!$6:$6, 0), FALSE),
            0
        ) +
        IFERROR(
            VLOOKUP($A47, INDIRECT("AbrR!$A$6:$ZZ$1048576"), MATCH(AR$1, AbrR!$6:$6, 0), FALSE),
            0
        ) +
        IFERROR(
            VLOOKUP($A47, INDIRECT("MayR!$A$6:$ZZ$1048576"), MATCH(AR$1, MayR!$6:$6, 0), FALSE),
            0
        ) +
        IFERROR(
            VLOOKUP($A47, INDIRECT("JunR!$A$6:$ZZ$1048576"), MATCH(AR$1, JunR!$6:$6, 0), FALSE),
            0
        ) +
        IFERROR(
            VLOOKUP($A47, INDIRECT("JulR!$A$6:$ZZ$1048576"), MATCH(AR$1, JulR!$6:$6, 0), FALSE),
            0
        ) +
        IFERROR(
            VLOOKUP($A47, INDIRECT("AgoR!$A$6:$ZZ$1048576"), MATCH(AR$1, AgoR!$6:$6, 0), FALSE),
            0
        ) +
        IFERROR(
            VLOOKUP($A47, INDIRECT("SepR!$A$6:$ZZ$1048576"), MATCH(AR$1, SepR!$6:$6, 0), FALSE),
            0
        ) +
        IFERROR(
            VLOOKUP($A47, INDIRECT("OctR!$A$6:$ZZ$1048576"), MATCH(AR$1, OctR!$6:$6, 0), FALSE),
            0
        ) +
        IFERROR(
            VLOOKUP($A47, INDIRECT("NovR!$A$6:$ZZ$1048576"), MATCH(AR$1, NovR!$6:$6, 0), FALSE),
            0
        ) +
        IFERROR(
            VLOOKUP($A47, INDIRECT("DicR!$A$6:$ZZ$1048576"), MATCH(AR$1, DicR!$6:$6, 0), FALSE),
            0
        )
)</f>
        <v>0</v>
      </c>
      <c r="AS47" s="35">
        <f t="array" ref="AS47">SUM(
    IFERROR(
            VLOOKUP($A47, INDIRECT("EneR!$A$6:$ZZ$1048576"), MATCH(AS$1, EneR!$6:$6, 0), FALSE),
            0
        ) +
        IFERROR(
            VLOOKUP($A47, INDIRECT("FebR!$A$6:$ZZ$1048576"), MATCH(AS$1, FebR!$6:$6, 0), FALSE),
            0
        ) +
        IFERROR(
            VLOOKUP($A47, INDIRECT("MarR!$A$6:$ZZ$1048576"), MATCH(AS$1, MarR!$6:$6, 0), FALSE),
            0
        ) +
        IFERROR(
            VLOOKUP($A47, INDIRECT("AbrR!$A$6:$ZZ$1048576"), MATCH(AS$1, AbrR!$6:$6, 0), FALSE),
            0
        ) +
        IFERROR(
            VLOOKUP($A47, INDIRECT("MayR!$A$6:$ZZ$1048576"), MATCH(AS$1, MayR!$6:$6, 0), FALSE),
            0
        ) +
        IFERROR(
            VLOOKUP($A47, INDIRECT("JunR!$A$6:$ZZ$1048576"), MATCH(AS$1, JunR!$6:$6, 0), FALSE),
            0
        ) +
        IFERROR(
            VLOOKUP($A47, INDIRECT("JulR!$A$6:$ZZ$1048576"), MATCH(AS$1, JulR!$6:$6, 0), FALSE),
            0
        ) +
        IFERROR(
            VLOOKUP($A47, INDIRECT("AgoR!$A$6:$ZZ$1048576"), MATCH(AS$1, AgoR!$6:$6, 0), FALSE),
            0
        ) +
        IFERROR(
            VLOOKUP($A47, INDIRECT("SepR!$A$6:$ZZ$1048576"), MATCH(AS$1, SepR!$6:$6, 0), FALSE),
            0
        ) +
        IFERROR(
            VLOOKUP($A47, INDIRECT("OctR!$A$6:$ZZ$1048576"), MATCH(AS$1, OctR!$6:$6, 0), FALSE),
            0
        ) +
        IFERROR(
            VLOOKUP($A47, INDIRECT("NovR!$A$6:$ZZ$1048576"), MATCH(AS$1, NovR!$6:$6, 0), FALSE),
            0
        ) +
        IFERROR(
            VLOOKUP($A47, INDIRECT("DicR!$A$6:$ZZ$1048576"), MATCH(AS$1, DicR!$6:$6, 0), FALSE),
            0
        )
)</f>
        <v>0</v>
      </c>
      <c r="AT47" s="36">
        <f t="array" ref="AT47">SUM(
    IFERROR(
            VLOOKUP($A47, INDIRECT("EneR!$A$6:$ZZ$1048576"), MATCH(AT$1, EneR!$6:$6, 0), FALSE),
            0
        ) +
        IFERROR(
            VLOOKUP($A47, INDIRECT("FebR!$A$6:$ZZ$1048576"), MATCH(AT$1, FebR!$6:$6, 0), FALSE),
            0
        ) +
        IFERROR(
            VLOOKUP($A47, INDIRECT("MarR!$A$6:$ZZ$1048576"), MATCH(AT$1, MarR!$6:$6, 0), FALSE),
            0
        ) +
        IFERROR(
            VLOOKUP($A47, INDIRECT("AbrR!$A$6:$ZZ$1048576"), MATCH(AT$1, AbrR!$6:$6, 0), FALSE),
            0
        ) +
        IFERROR(
            VLOOKUP($A47, INDIRECT("MayR!$A$6:$ZZ$1048576"), MATCH(AT$1, MayR!$6:$6, 0), FALSE),
            0
        ) +
        IFERROR(
            VLOOKUP($A47, INDIRECT("JunR!$A$6:$ZZ$1048576"), MATCH(AT$1, JunR!$6:$6, 0), FALSE),
            0
        ) +
        IFERROR(
            VLOOKUP($A47, INDIRECT("JulR!$A$6:$ZZ$1048576"), MATCH(AT$1, JulR!$6:$6, 0), FALSE),
            0
        ) +
        IFERROR(
            VLOOKUP($A47, INDIRECT("AgoR!$A$6:$ZZ$1048576"), MATCH(AT$1, AgoR!$6:$6, 0), FALSE),
            0
        ) +
        IFERROR(
            VLOOKUP($A47, INDIRECT("SepR!$A$6:$ZZ$1048576"), MATCH(AT$1, SepR!$6:$6, 0), FALSE),
            0
        ) +
        IFERROR(
            VLOOKUP($A47, INDIRECT("OctR!$A$6:$ZZ$1048576"), MATCH(AT$1, OctR!$6:$6, 0), FALSE),
            0
        ) +
        IFERROR(
            VLOOKUP($A47, INDIRECT("NovR!$A$6:$ZZ$1048576"), MATCH(AT$1, NovR!$6:$6, 0), FALSE),
            0
        ) +
        IFERROR(
            VLOOKUP($A47, INDIRECT("DicR!$A$6:$ZZ$1048576"), MATCH(AT$1, DicR!$6:$6, 0), FALSE),
            0
        )
)</f>
        <v>0</v>
      </c>
      <c r="AU47" s="35">
        <f t="array" ref="AU47">SUM(
    IFERROR(
            VLOOKUP($A47, INDIRECT("EneR!$A$6:$ZZ$1048576"), MATCH(AU$1, EneR!$6:$6, 0), FALSE),
            0
        ) +
        IFERROR(
            VLOOKUP($A47, INDIRECT("FebR!$A$6:$ZZ$1048576"), MATCH(AU$1, FebR!$6:$6, 0), FALSE),
            0
        ) +
        IFERROR(
            VLOOKUP($A47, INDIRECT("MarR!$A$6:$ZZ$1048576"), MATCH(AU$1, MarR!$6:$6, 0), FALSE),
            0
        ) +
        IFERROR(
            VLOOKUP($A47, INDIRECT("AbrR!$A$6:$ZZ$1048576"), MATCH(AU$1, AbrR!$6:$6, 0), FALSE),
            0
        ) +
        IFERROR(
            VLOOKUP($A47, INDIRECT("MayR!$A$6:$ZZ$1048576"), MATCH(AU$1, MayR!$6:$6, 0), FALSE),
            0
        ) +
        IFERROR(
            VLOOKUP($A47, INDIRECT("JunR!$A$6:$ZZ$1048576"), MATCH(AU$1, JunR!$6:$6, 0), FALSE),
            0
        ) +
        IFERROR(
            VLOOKUP($A47, INDIRECT("JulR!$A$6:$ZZ$1048576"), MATCH(AU$1, JulR!$6:$6, 0), FALSE),
            0
        ) +
        IFERROR(
            VLOOKUP($A47, INDIRECT("AgoR!$A$6:$ZZ$1048576"), MATCH(AU$1, AgoR!$6:$6, 0), FALSE),
            0
        ) +
        IFERROR(
            VLOOKUP($A47, INDIRECT("SepR!$A$6:$ZZ$1048576"), MATCH(AU$1, SepR!$6:$6, 0), FALSE),
            0
        ) +
        IFERROR(
            VLOOKUP($A47, INDIRECT("OctR!$A$6:$ZZ$1048576"), MATCH(AU$1, OctR!$6:$6, 0), FALSE),
            0
        ) +
        IFERROR(
            VLOOKUP($A47, INDIRECT("NovR!$A$6:$ZZ$1048576"), MATCH(AU$1, NovR!$6:$6, 0), FALSE),
            0
        ) +
        IFERROR(
            VLOOKUP($A47, INDIRECT("DicR!$A$6:$ZZ$1048576"), MATCH(AU$1, DicR!$6:$6, 0), FALSE),
            0
        )
)</f>
        <v>0</v>
      </c>
      <c r="AV47" s="36">
        <f t="array" ref="AV47">SUM(
    IFERROR(
            VLOOKUP($A47, INDIRECT("EneR!$A$6:$ZZ$1048576"), MATCH(AV$1, EneR!$6:$6, 0), FALSE),
            0
        ) +
        IFERROR(
            VLOOKUP($A47, INDIRECT("FebR!$A$6:$ZZ$1048576"), MATCH(AV$1, FebR!$6:$6, 0), FALSE),
            0
        ) +
        IFERROR(
            VLOOKUP($A47, INDIRECT("MarR!$A$6:$ZZ$1048576"), MATCH(AV$1, MarR!$6:$6, 0), FALSE),
            0
        ) +
        IFERROR(
            VLOOKUP($A47, INDIRECT("AbrR!$A$6:$ZZ$1048576"), MATCH(AV$1, AbrR!$6:$6, 0), FALSE),
            0
        ) +
        IFERROR(
            VLOOKUP($A47, INDIRECT("MayR!$A$6:$ZZ$1048576"), MATCH(AV$1, MayR!$6:$6, 0), FALSE),
            0
        ) +
        IFERROR(
            VLOOKUP($A47, INDIRECT("JunR!$A$6:$ZZ$1048576"), MATCH(AV$1, JunR!$6:$6, 0), FALSE),
            0
        ) +
        IFERROR(
            VLOOKUP($A47, INDIRECT("JulR!$A$6:$ZZ$1048576"), MATCH(AV$1, JulR!$6:$6, 0), FALSE),
            0
        ) +
        IFERROR(
            VLOOKUP($A47, INDIRECT("AgoR!$A$6:$ZZ$1048576"), MATCH(AV$1, AgoR!$6:$6, 0), FALSE),
            0
        ) +
        IFERROR(
            VLOOKUP($A47, INDIRECT("SepR!$A$6:$ZZ$1048576"), MATCH(AV$1, SepR!$6:$6, 0), FALSE),
            0
        ) +
        IFERROR(
            VLOOKUP($A47, INDIRECT("OctR!$A$6:$ZZ$1048576"), MATCH(AV$1, OctR!$6:$6, 0), FALSE),
            0
        ) +
        IFERROR(
            VLOOKUP($A47, INDIRECT("NovR!$A$6:$ZZ$1048576"), MATCH(AV$1, NovR!$6:$6, 0), FALSE),
            0
        ) +
        IFERROR(
            VLOOKUP($A47, INDIRECT("DicR!$A$6:$ZZ$1048576"), MATCH(AV$1, DicR!$6:$6, 0), FALSE),
            0
        )
)</f>
        <v>0</v>
      </c>
      <c r="AW47" s="35">
        <f t="array" ref="AW47">SUM(
    IFERROR(
            VLOOKUP($A47, INDIRECT("EneR!$A$6:$ZZ$1048576"), MATCH(AW$1, EneR!$6:$6, 0), FALSE),
            0
        ) +
        IFERROR(
            VLOOKUP($A47, INDIRECT("FebR!$A$6:$ZZ$1048576"), MATCH(AW$1, FebR!$6:$6, 0), FALSE),
            0
        ) +
        IFERROR(
            VLOOKUP($A47, INDIRECT("MarR!$A$6:$ZZ$1048576"), MATCH(AW$1, MarR!$6:$6, 0), FALSE),
            0
        ) +
        IFERROR(
            VLOOKUP($A47, INDIRECT("AbrR!$A$6:$ZZ$1048576"), MATCH(AW$1, AbrR!$6:$6, 0), FALSE),
            0
        ) +
        IFERROR(
            VLOOKUP($A47, INDIRECT("MayR!$A$6:$ZZ$1048576"), MATCH(AW$1, MayR!$6:$6, 0), FALSE),
            0
        ) +
        IFERROR(
            VLOOKUP($A47, INDIRECT("JunR!$A$6:$ZZ$1048576"), MATCH(AW$1, JunR!$6:$6, 0), FALSE),
            0
        ) +
        IFERROR(
            VLOOKUP($A47, INDIRECT("JulR!$A$6:$ZZ$1048576"), MATCH(AW$1, JulR!$6:$6, 0), FALSE),
            0
        ) +
        IFERROR(
            VLOOKUP($A47, INDIRECT("AgoR!$A$6:$ZZ$1048576"), MATCH(AW$1, AgoR!$6:$6, 0), FALSE),
            0
        ) +
        IFERROR(
            VLOOKUP($A47, INDIRECT("SepR!$A$6:$ZZ$1048576"), MATCH(AW$1, SepR!$6:$6, 0), FALSE),
            0
        ) +
        IFERROR(
            VLOOKUP($A47, INDIRECT("OctR!$A$6:$ZZ$1048576"), MATCH(AW$1, OctR!$6:$6, 0), FALSE),
            0
        ) +
        IFERROR(
            VLOOKUP($A47, INDIRECT("NovR!$A$6:$ZZ$1048576"), MATCH(AW$1, NovR!$6:$6, 0), FALSE),
            0
        ) +
        IFERROR(
            VLOOKUP($A47, INDIRECT("DicR!$A$6:$ZZ$1048576"), MATCH(AW$1, DicR!$6:$6, 0), FALSE),
            0
        )
)</f>
        <v>0</v>
      </c>
      <c r="AX47" s="36">
        <f t="array" ref="AX47">SUM(
    IFERROR(
            VLOOKUP($A47, INDIRECT("EneR!$A$6:$ZZ$1048576"), MATCH(AX$1, EneR!$6:$6, 0), FALSE),
            0
        ) +
        IFERROR(
            VLOOKUP($A47, INDIRECT("FebR!$A$6:$ZZ$1048576"), MATCH(AX$1, FebR!$6:$6, 0), FALSE),
            0
        ) +
        IFERROR(
            VLOOKUP($A47, INDIRECT("MarR!$A$6:$ZZ$1048576"), MATCH(AX$1, MarR!$6:$6, 0), FALSE),
            0
        ) +
        IFERROR(
            VLOOKUP($A47, INDIRECT("AbrR!$A$6:$ZZ$1048576"), MATCH(AX$1, AbrR!$6:$6, 0), FALSE),
            0
        ) +
        IFERROR(
            VLOOKUP($A47, INDIRECT("MayR!$A$6:$ZZ$1048576"), MATCH(AX$1, MayR!$6:$6, 0), FALSE),
            0
        ) +
        IFERROR(
            VLOOKUP($A47, INDIRECT("JunR!$A$6:$ZZ$1048576"), MATCH(AX$1, JunR!$6:$6, 0), FALSE),
            0
        ) +
        IFERROR(
            VLOOKUP($A47, INDIRECT("JulR!$A$6:$ZZ$1048576"), MATCH(AX$1, JulR!$6:$6, 0), FALSE),
            0
        ) +
        IFERROR(
            VLOOKUP($A47, INDIRECT("AgoR!$A$6:$ZZ$1048576"), MATCH(AX$1, AgoR!$6:$6, 0), FALSE),
            0
        ) +
        IFERROR(
            VLOOKUP($A47, INDIRECT("SepR!$A$6:$ZZ$1048576"), MATCH(AX$1, SepR!$6:$6, 0), FALSE),
            0
        ) +
        IFERROR(
            VLOOKUP($A47, INDIRECT("OctR!$A$6:$ZZ$1048576"), MATCH(AX$1, OctR!$6:$6, 0), FALSE),
            0
        ) +
        IFERROR(
            VLOOKUP($A47, INDIRECT("NovR!$A$6:$ZZ$1048576"), MATCH(AX$1, NovR!$6:$6, 0), FALSE),
            0
        ) +
        IFERROR(
            VLOOKUP($A47, INDIRECT("DicR!$A$6:$ZZ$1048576"), MATCH(AX$1, DicR!$6:$6, 0), FALSE),
            0
        )
)</f>
        <v>0</v>
      </c>
      <c r="AY47" s="35">
        <f t="array" ref="AY47">SUM(
    IFERROR(
            VLOOKUP($A47, INDIRECT("EneR!$A$6:$ZZ$1048576"), MATCH(AY$1, EneR!$6:$6, 0), FALSE),
            0
        ) +
        IFERROR(
            VLOOKUP($A47, INDIRECT("FebR!$A$6:$ZZ$1048576"), MATCH(AY$1, FebR!$6:$6, 0), FALSE),
            0
        ) +
        IFERROR(
            VLOOKUP($A47, INDIRECT("MarR!$A$6:$ZZ$1048576"), MATCH(AY$1, MarR!$6:$6, 0), FALSE),
            0
        ) +
        IFERROR(
            VLOOKUP($A47, INDIRECT("AbrR!$A$6:$ZZ$1048576"), MATCH(AY$1, AbrR!$6:$6, 0), FALSE),
            0
        ) +
        IFERROR(
            VLOOKUP($A47, INDIRECT("MayR!$A$6:$ZZ$1048576"), MATCH(AY$1, MayR!$6:$6, 0), FALSE),
            0
        ) +
        IFERROR(
            VLOOKUP($A47, INDIRECT("JunR!$A$6:$ZZ$1048576"), MATCH(AY$1, JunR!$6:$6, 0), FALSE),
            0
        ) +
        IFERROR(
            VLOOKUP($A47, INDIRECT("JulR!$A$6:$ZZ$1048576"), MATCH(AY$1, JulR!$6:$6, 0), FALSE),
            0
        ) +
        IFERROR(
            VLOOKUP($A47, INDIRECT("AgoR!$A$6:$ZZ$1048576"), MATCH(AY$1, AgoR!$6:$6, 0), FALSE),
            0
        ) +
        IFERROR(
            VLOOKUP($A47, INDIRECT("SepR!$A$6:$ZZ$1048576"), MATCH(AY$1, SepR!$6:$6, 0), FALSE),
            0
        ) +
        IFERROR(
            VLOOKUP($A47, INDIRECT("OctR!$A$6:$ZZ$1048576"), MATCH(AY$1, OctR!$6:$6, 0), FALSE),
            0
        ) +
        IFERROR(
            VLOOKUP($A47, INDIRECT("NovR!$A$6:$ZZ$1048576"), MATCH(AY$1, NovR!$6:$6, 0), FALSE),
            0
        ) +
        IFERROR(
            VLOOKUP($A47, INDIRECT("DicR!$A$6:$ZZ$1048576"), MATCH(AY$1, DicR!$6:$6, 0), FALSE),
            0
        )
)</f>
        <v>0</v>
      </c>
      <c r="AZ47" s="35"/>
    </row>
    <row r="48" ht="15.75" customHeight="1">
      <c r="A48" s="12" t="str">
        <f>Menus!B9</f>
        <v/>
      </c>
      <c r="B48" s="32">
        <f t="shared" si="9"/>
        <v>0</v>
      </c>
      <c r="C48" s="33" t="str">
        <f t="shared" si="10"/>
        <v/>
      </c>
      <c r="D48" s="34">
        <f t="array" ref="D48">SUM(
    IFERROR(
            VLOOKUP($A48, INDIRECT("EneR!$A$6:$ZZ$1048576"), MATCH(D$1, EneR!$6:$6, 0), FALSE),
            0
        ) +
        IFERROR(
            VLOOKUP($A48, INDIRECT("FebR!$A$6:$ZZ$1048576"), MATCH(D$1, FebR!$6:$6, 0), FALSE),
            0
        ) +
        IFERROR(
            VLOOKUP($A48, INDIRECT("MarR!$A$6:$ZZ$1048576"), MATCH(D$1, MarR!$6:$6, 0), FALSE),
            0
        ) +
        IFERROR(
            VLOOKUP($A48, INDIRECT("AbrR!$A$6:$ZZ$1048576"), MATCH(D$1, AbrR!$6:$6, 0), FALSE),
            0
        ) +
        IFERROR(
            VLOOKUP($A48, INDIRECT("MayR!$A$6:$ZZ$1048576"), MATCH(D$1, MayR!$6:$6, 0), FALSE),
            0
        ) +
        IFERROR(
            VLOOKUP($A48, INDIRECT("JunR!$A$6:$ZZ$1048576"), MATCH(D$1, JunR!$6:$6, 0), FALSE),
            0
        ) +
        IFERROR(
            VLOOKUP($A48, INDIRECT("JulR!$A$6:$ZZ$1048576"), MATCH(D$1, JulR!$6:$6, 0), FALSE),
            0
        ) +
        IFERROR(
            VLOOKUP($A48, INDIRECT("AgoR!$A$6:$ZZ$1048576"), MATCH(D$1, AgoR!$6:$6, 0), FALSE),
            0
        ) +
        IFERROR(
            VLOOKUP($A48, INDIRECT("SepR!$A$6:$ZZ$1048576"), MATCH(D$1, SepR!$6:$6, 0), FALSE),
            0
        ) +
        IFERROR(
            VLOOKUP($A48, INDIRECT("OctR!$A$6:$ZZ$1048576"), MATCH(D$1, OctR!$6:$6, 0), FALSE),
            0
        ) +
        IFERROR(
            VLOOKUP($A48, INDIRECT("NovR!$A$6:$ZZ$1048576"), MATCH(D$1, NovR!$6:$6, 0), FALSE),
            0
        ) +
        IFERROR(
            VLOOKUP($A48, INDIRECT("DicR!$A$6:$ZZ$1048576"), MATCH(D$1, DicR!$6:$6, 0), FALSE),
            0
        )
)</f>
        <v>0</v>
      </c>
      <c r="E48" s="35">
        <f t="array" ref="E48">SUM(
    IFERROR(
            VLOOKUP($A48, INDIRECT("EneR!$A$6:$ZZ$1048576"), MATCH(E$1, EneR!$6:$6, 0), FALSE),
            0
        ) +
        IFERROR(
            VLOOKUP($A48, INDIRECT("FebR!$A$6:$ZZ$1048576"), MATCH(E$1, FebR!$6:$6, 0), FALSE),
            0
        ) +
        IFERROR(
            VLOOKUP($A48, INDIRECT("MarR!$A$6:$ZZ$1048576"), MATCH(E$1, MarR!$6:$6, 0), FALSE),
            0
        ) +
        IFERROR(
            VLOOKUP($A48, INDIRECT("AbrR!$A$6:$ZZ$1048576"), MATCH(E$1, AbrR!$6:$6, 0), FALSE),
            0
        ) +
        IFERROR(
            VLOOKUP($A48, INDIRECT("MayR!$A$6:$ZZ$1048576"), MATCH(E$1, MayR!$6:$6, 0), FALSE),
            0
        ) +
        IFERROR(
            VLOOKUP($A48, INDIRECT("JunR!$A$6:$ZZ$1048576"), MATCH(E$1, JunR!$6:$6, 0), FALSE),
            0
        ) +
        IFERROR(
            VLOOKUP($A48, INDIRECT("JulR!$A$6:$ZZ$1048576"), MATCH(E$1, JulR!$6:$6, 0), FALSE),
            0
        ) +
        IFERROR(
            VLOOKUP($A48, INDIRECT("AgoR!$A$6:$ZZ$1048576"), MATCH(E$1, AgoR!$6:$6, 0), FALSE),
            0
        ) +
        IFERROR(
            VLOOKUP($A48, INDIRECT("SepR!$A$6:$ZZ$1048576"), MATCH(E$1, SepR!$6:$6, 0), FALSE),
            0
        ) +
        IFERROR(
            VLOOKUP($A48, INDIRECT("OctR!$A$6:$ZZ$1048576"), MATCH(E$1, OctR!$6:$6, 0), FALSE),
            0
        ) +
        IFERROR(
            VLOOKUP($A48, INDIRECT("NovR!$A$6:$ZZ$1048576"), MATCH(E$1, NovR!$6:$6, 0), FALSE),
            0
        ) +
        IFERROR(
            VLOOKUP($A48, INDIRECT("DicR!$A$6:$ZZ$1048576"), MATCH(E$1, DicR!$6:$6, 0), FALSE),
            0
        )
)</f>
        <v>0</v>
      </c>
      <c r="F48" s="32">
        <f t="array" ref="F48">SUM(
    IFERROR(
            VLOOKUP($A48, INDIRECT("EneR!$A$6:$ZZ$1048576"), MATCH(F$1, EneR!$6:$6, 0), FALSE),
            0
        ) +
        IFERROR(
            VLOOKUP($A48, INDIRECT("FebR!$A$6:$ZZ$1048576"), MATCH(F$1, FebR!$6:$6, 0), FALSE),
            0
        ) +
        IFERROR(
            VLOOKUP($A48, INDIRECT("MarR!$A$6:$ZZ$1048576"), MATCH(F$1, MarR!$6:$6, 0), FALSE),
            0
        ) +
        IFERROR(
            VLOOKUP($A48, INDIRECT("AbrR!$A$6:$ZZ$1048576"), MATCH(F$1, AbrR!$6:$6, 0), FALSE),
            0
        ) +
        IFERROR(
            VLOOKUP($A48, INDIRECT("MayR!$A$6:$ZZ$1048576"), MATCH(F$1, MayR!$6:$6, 0), FALSE),
            0
        ) +
        IFERROR(
            VLOOKUP($A48, INDIRECT("JunR!$A$6:$ZZ$1048576"), MATCH(F$1, JunR!$6:$6, 0), FALSE),
            0
        ) +
        IFERROR(
            VLOOKUP($A48, INDIRECT("JulR!$A$6:$ZZ$1048576"), MATCH(F$1, JulR!$6:$6, 0), FALSE),
            0
        ) +
        IFERROR(
            VLOOKUP($A48, INDIRECT("AgoR!$A$6:$ZZ$1048576"), MATCH(F$1, AgoR!$6:$6, 0), FALSE),
            0
        ) +
        IFERROR(
            VLOOKUP($A48, INDIRECT("SepR!$A$6:$ZZ$1048576"), MATCH(F$1, SepR!$6:$6, 0), FALSE),
            0
        ) +
        IFERROR(
            VLOOKUP($A48, INDIRECT("OctR!$A$6:$ZZ$1048576"), MATCH(F$1, OctR!$6:$6, 0), FALSE),
            0
        ) +
        IFERROR(
            VLOOKUP($A48, INDIRECT("NovR!$A$6:$ZZ$1048576"), MATCH(F$1, NovR!$6:$6, 0), FALSE),
            0
        ) +
        IFERROR(
            VLOOKUP($A48, INDIRECT("DicR!$A$6:$ZZ$1048576"), MATCH(F$1, DicR!$6:$6, 0), FALSE),
            0
        )
)</f>
        <v>0</v>
      </c>
      <c r="G48" s="35">
        <f t="array" ref="G48">SUM(
    IFERROR(
            VLOOKUP($A48, INDIRECT("EneR!$A$6:$ZZ$1048576"), MATCH(G$1, EneR!$6:$6, 0), FALSE),
            0
        ) +
        IFERROR(
            VLOOKUP($A48, INDIRECT("FebR!$A$6:$ZZ$1048576"), MATCH(G$1, FebR!$6:$6, 0), FALSE),
            0
        ) +
        IFERROR(
            VLOOKUP($A48, INDIRECT("MarR!$A$6:$ZZ$1048576"), MATCH(G$1, MarR!$6:$6, 0), FALSE),
            0
        ) +
        IFERROR(
            VLOOKUP($A48, INDIRECT("AbrR!$A$6:$ZZ$1048576"), MATCH(G$1, AbrR!$6:$6, 0), FALSE),
            0
        ) +
        IFERROR(
            VLOOKUP($A48, INDIRECT("MayR!$A$6:$ZZ$1048576"), MATCH(G$1, MayR!$6:$6, 0), FALSE),
            0
        ) +
        IFERROR(
            VLOOKUP($A48, INDIRECT("JunR!$A$6:$ZZ$1048576"), MATCH(G$1, JunR!$6:$6, 0), FALSE),
            0
        ) +
        IFERROR(
            VLOOKUP($A48, INDIRECT("JulR!$A$6:$ZZ$1048576"), MATCH(G$1, JulR!$6:$6, 0), FALSE),
            0
        ) +
        IFERROR(
            VLOOKUP($A48, INDIRECT("AgoR!$A$6:$ZZ$1048576"), MATCH(G$1, AgoR!$6:$6, 0), FALSE),
            0
        ) +
        IFERROR(
            VLOOKUP($A48, INDIRECT("SepR!$A$6:$ZZ$1048576"), MATCH(G$1, SepR!$6:$6, 0), FALSE),
            0
        ) +
        IFERROR(
            VLOOKUP($A48, INDIRECT("OctR!$A$6:$ZZ$1048576"), MATCH(G$1, OctR!$6:$6, 0), FALSE),
            0
        ) +
        IFERROR(
            VLOOKUP($A48, INDIRECT("NovR!$A$6:$ZZ$1048576"), MATCH(G$1, NovR!$6:$6, 0), FALSE),
            0
        ) +
        IFERROR(
            VLOOKUP($A48, INDIRECT("DicR!$A$6:$ZZ$1048576"), MATCH(G$1, DicR!$6:$6, 0), FALSE),
            0
        )
)</f>
        <v>0</v>
      </c>
      <c r="H48" s="32">
        <f t="array" ref="H48">SUM(
    IFERROR(
            VLOOKUP($A48, INDIRECT("EneR!$A$6:$ZZ$1048576"), MATCH(H$1, EneR!$6:$6, 0), FALSE),
            0
        ) +
        IFERROR(
            VLOOKUP($A48, INDIRECT("FebR!$A$6:$ZZ$1048576"), MATCH(H$1, FebR!$6:$6, 0), FALSE),
            0
        ) +
        IFERROR(
            VLOOKUP($A48, INDIRECT("MarR!$A$6:$ZZ$1048576"), MATCH(H$1, MarR!$6:$6, 0), FALSE),
            0
        ) +
        IFERROR(
            VLOOKUP($A48, INDIRECT("AbrR!$A$6:$ZZ$1048576"), MATCH(H$1, AbrR!$6:$6, 0), FALSE),
            0
        ) +
        IFERROR(
            VLOOKUP($A48, INDIRECT("MayR!$A$6:$ZZ$1048576"), MATCH(H$1, MayR!$6:$6, 0), FALSE),
            0
        ) +
        IFERROR(
            VLOOKUP($A48, INDIRECT("JunR!$A$6:$ZZ$1048576"), MATCH(H$1, JunR!$6:$6, 0), FALSE),
            0
        ) +
        IFERROR(
            VLOOKUP($A48, INDIRECT("JulR!$A$6:$ZZ$1048576"), MATCH(H$1, JulR!$6:$6, 0), FALSE),
            0
        ) +
        IFERROR(
            VLOOKUP($A48, INDIRECT("AgoR!$A$6:$ZZ$1048576"), MATCH(H$1, AgoR!$6:$6, 0), FALSE),
            0
        ) +
        IFERROR(
            VLOOKUP($A48, INDIRECT("SepR!$A$6:$ZZ$1048576"), MATCH(H$1, SepR!$6:$6, 0), FALSE),
            0
        ) +
        IFERROR(
            VLOOKUP($A48, INDIRECT("OctR!$A$6:$ZZ$1048576"), MATCH(H$1, OctR!$6:$6, 0), FALSE),
            0
        ) +
        IFERROR(
            VLOOKUP($A48, INDIRECT("NovR!$A$6:$ZZ$1048576"), MATCH(H$1, NovR!$6:$6, 0), FALSE),
            0
        ) +
        IFERROR(
            VLOOKUP($A48, INDIRECT("DicR!$A$6:$ZZ$1048576"), MATCH(H$1, DicR!$6:$6, 0), FALSE),
            0
        )
)</f>
        <v>0</v>
      </c>
      <c r="I48" s="35">
        <f t="array" ref="I48">SUM(
    IFERROR(
            VLOOKUP($A48, INDIRECT("EneR!$A$6:$ZZ$1048576"), MATCH(I$1, EneR!$6:$6, 0), FALSE),
            0
        ) +
        IFERROR(
            VLOOKUP($A48, INDIRECT("FebR!$A$6:$ZZ$1048576"), MATCH(I$1, FebR!$6:$6, 0), FALSE),
            0
        ) +
        IFERROR(
            VLOOKUP($A48, INDIRECT("MarR!$A$6:$ZZ$1048576"), MATCH(I$1, MarR!$6:$6, 0), FALSE),
            0
        ) +
        IFERROR(
            VLOOKUP($A48, INDIRECT("AbrR!$A$6:$ZZ$1048576"), MATCH(I$1, AbrR!$6:$6, 0), FALSE),
            0
        ) +
        IFERROR(
            VLOOKUP($A48, INDIRECT("MayR!$A$6:$ZZ$1048576"), MATCH(I$1, MayR!$6:$6, 0), FALSE),
            0
        ) +
        IFERROR(
            VLOOKUP($A48, INDIRECT("JunR!$A$6:$ZZ$1048576"), MATCH(I$1, JunR!$6:$6, 0), FALSE),
            0
        ) +
        IFERROR(
            VLOOKUP($A48, INDIRECT("JulR!$A$6:$ZZ$1048576"), MATCH(I$1, JulR!$6:$6, 0), FALSE),
            0
        ) +
        IFERROR(
            VLOOKUP($A48, INDIRECT("AgoR!$A$6:$ZZ$1048576"), MATCH(I$1, AgoR!$6:$6, 0), FALSE),
            0
        ) +
        IFERROR(
            VLOOKUP($A48, INDIRECT("SepR!$A$6:$ZZ$1048576"), MATCH(I$1, SepR!$6:$6, 0), FALSE),
            0
        ) +
        IFERROR(
            VLOOKUP($A48, INDIRECT("OctR!$A$6:$ZZ$1048576"), MATCH(I$1, OctR!$6:$6, 0), FALSE),
            0
        ) +
        IFERROR(
            VLOOKUP($A48, INDIRECT("NovR!$A$6:$ZZ$1048576"), MATCH(I$1, NovR!$6:$6, 0), FALSE),
            0
        ) +
        IFERROR(
            VLOOKUP($A48, INDIRECT("DicR!$A$6:$ZZ$1048576"), MATCH(I$1, DicR!$6:$6, 0), FALSE),
            0
        )
)</f>
        <v>0</v>
      </c>
      <c r="J48" s="32">
        <f t="array" ref="J48">SUM(
    IFERROR(
            VLOOKUP($A48, INDIRECT("EneR!$A$6:$ZZ$1048576"), MATCH(J$1, EneR!$6:$6, 0), FALSE),
            0
        ) +
        IFERROR(
            VLOOKUP($A48, INDIRECT("FebR!$A$6:$ZZ$1048576"), MATCH(J$1, FebR!$6:$6, 0), FALSE),
            0
        ) +
        IFERROR(
            VLOOKUP($A48, INDIRECT("MarR!$A$6:$ZZ$1048576"), MATCH(J$1, MarR!$6:$6, 0), FALSE),
            0
        ) +
        IFERROR(
            VLOOKUP($A48, INDIRECT("AbrR!$A$6:$ZZ$1048576"), MATCH(J$1, AbrR!$6:$6, 0), FALSE),
            0
        ) +
        IFERROR(
            VLOOKUP($A48, INDIRECT("MayR!$A$6:$ZZ$1048576"), MATCH(J$1, MayR!$6:$6, 0), FALSE),
            0
        ) +
        IFERROR(
            VLOOKUP($A48, INDIRECT("JunR!$A$6:$ZZ$1048576"), MATCH(J$1, JunR!$6:$6, 0), FALSE),
            0
        ) +
        IFERROR(
            VLOOKUP($A48, INDIRECT("JulR!$A$6:$ZZ$1048576"), MATCH(J$1, JulR!$6:$6, 0), FALSE),
            0
        ) +
        IFERROR(
            VLOOKUP($A48, INDIRECT("AgoR!$A$6:$ZZ$1048576"), MATCH(J$1, AgoR!$6:$6, 0), FALSE),
            0
        ) +
        IFERROR(
            VLOOKUP($A48, INDIRECT("SepR!$A$6:$ZZ$1048576"), MATCH(J$1, SepR!$6:$6, 0), FALSE),
            0
        ) +
        IFERROR(
            VLOOKUP($A48, INDIRECT("OctR!$A$6:$ZZ$1048576"), MATCH(J$1, OctR!$6:$6, 0), FALSE),
            0
        ) +
        IFERROR(
            VLOOKUP($A48, INDIRECT("NovR!$A$6:$ZZ$1048576"), MATCH(J$1, NovR!$6:$6, 0), FALSE),
            0
        ) +
        IFERROR(
            VLOOKUP($A48, INDIRECT("DicR!$A$6:$ZZ$1048576"), MATCH(J$1, DicR!$6:$6, 0), FALSE),
            0
        )
)</f>
        <v>0</v>
      </c>
      <c r="K48" s="35">
        <f t="array" ref="K48">SUM(
    IFERROR(
            VLOOKUP($A48, INDIRECT("EneR!$A$6:$ZZ$1048576"), MATCH(K$1, EneR!$6:$6, 0), FALSE),
            0
        ) +
        IFERROR(
            VLOOKUP($A48, INDIRECT("FebR!$A$6:$ZZ$1048576"), MATCH(K$1, FebR!$6:$6, 0), FALSE),
            0
        ) +
        IFERROR(
            VLOOKUP($A48, INDIRECT("MarR!$A$6:$ZZ$1048576"), MATCH(K$1, MarR!$6:$6, 0), FALSE),
            0
        ) +
        IFERROR(
            VLOOKUP($A48, INDIRECT("AbrR!$A$6:$ZZ$1048576"), MATCH(K$1, AbrR!$6:$6, 0), FALSE),
            0
        ) +
        IFERROR(
            VLOOKUP($A48, INDIRECT("MayR!$A$6:$ZZ$1048576"), MATCH(K$1, MayR!$6:$6, 0), FALSE),
            0
        ) +
        IFERROR(
            VLOOKUP($A48, INDIRECT("JunR!$A$6:$ZZ$1048576"), MATCH(K$1, JunR!$6:$6, 0), FALSE),
            0
        ) +
        IFERROR(
            VLOOKUP($A48, INDIRECT("JulR!$A$6:$ZZ$1048576"), MATCH(K$1, JulR!$6:$6, 0), FALSE),
            0
        ) +
        IFERROR(
            VLOOKUP($A48, INDIRECT("AgoR!$A$6:$ZZ$1048576"), MATCH(K$1, AgoR!$6:$6, 0), FALSE),
            0
        ) +
        IFERROR(
            VLOOKUP($A48, INDIRECT("SepR!$A$6:$ZZ$1048576"), MATCH(K$1, SepR!$6:$6, 0), FALSE),
            0
        ) +
        IFERROR(
            VLOOKUP($A48, INDIRECT("OctR!$A$6:$ZZ$1048576"), MATCH(K$1, OctR!$6:$6, 0), FALSE),
            0
        ) +
        IFERROR(
            VLOOKUP($A48, INDIRECT("NovR!$A$6:$ZZ$1048576"), MATCH(K$1, NovR!$6:$6, 0), FALSE),
            0
        ) +
        IFERROR(
            VLOOKUP($A48, INDIRECT("DicR!$A$6:$ZZ$1048576"), MATCH(K$1, DicR!$6:$6, 0), FALSE),
            0
        )
)</f>
        <v>0</v>
      </c>
      <c r="L48" s="32">
        <f t="array" ref="L48">SUM(
    IFERROR(
            VLOOKUP($A48, INDIRECT("EneR!$A$6:$ZZ$1048576"), MATCH(L$1, EneR!$6:$6, 0), FALSE),
            0
        ) +
        IFERROR(
            VLOOKUP($A48, INDIRECT("FebR!$A$6:$ZZ$1048576"), MATCH(L$1, FebR!$6:$6, 0), FALSE),
            0
        ) +
        IFERROR(
            VLOOKUP($A48, INDIRECT("MarR!$A$6:$ZZ$1048576"), MATCH(L$1, MarR!$6:$6, 0), FALSE),
            0
        ) +
        IFERROR(
            VLOOKUP($A48, INDIRECT("AbrR!$A$6:$ZZ$1048576"), MATCH(L$1, AbrR!$6:$6, 0), FALSE),
            0
        ) +
        IFERROR(
            VLOOKUP($A48, INDIRECT("MayR!$A$6:$ZZ$1048576"), MATCH(L$1, MayR!$6:$6, 0), FALSE),
            0
        ) +
        IFERROR(
            VLOOKUP($A48, INDIRECT("JunR!$A$6:$ZZ$1048576"), MATCH(L$1, JunR!$6:$6, 0), FALSE),
            0
        ) +
        IFERROR(
            VLOOKUP($A48, INDIRECT("JulR!$A$6:$ZZ$1048576"), MATCH(L$1, JulR!$6:$6, 0), FALSE),
            0
        ) +
        IFERROR(
            VLOOKUP($A48, INDIRECT("AgoR!$A$6:$ZZ$1048576"), MATCH(L$1, AgoR!$6:$6, 0), FALSE),
            0
        ) +
        IFERROR(
            VLOOKUP($A48, INDIRECT("SepR!$A$6:$ZZ$1048576"), MATCH(L$1, SepR!$6:$6, 0), FALSE),
            0
        ) +
        IFERROR(
            VLOOKUP($A48, INDIRECT("OctR!$A$6:$ZZ$1048576"), MATCH(L$1, OctR!$6:$6, 0), FALSE),
            0
        ) +
        IFERROR(
            VLOOKUP($A48, INDIRECT("NovR!$A$6:$ZZ$1048576"), MATCH(L$1, NovR!$6:$6, 0), FALSE),
            0
        ) +
        IFERROR(
            VLOOKUP($A48, INDIRECT("DicR!$A$6:$ZZ$1048576"), MATCH(L$1, DicR!$6:$6, 0), FALSE),
            0
        )
)</f>
        <v>0</v>
      </c>
      <c r="M48" s="35">
        <f t="array" ref="M48">SUM(
    IFERROR(
            VLOOKUP($A48, INDIRECT("EneR!$A$6:$ZZ$1048576"), MATCH(M$1, EneR!$6:$6, 0), FALSE),
            0
        ) +
        IFERROR(
            VLOOKUP($A48, INDIRECT("FebR!$A$6:$ZZ$1048576"), MATCH(M$1, FebR!$6:$6, 0), FALSE),
            0
        ) +
        IFERROR(
            VLOOKUP($A48, INDIRECT("MarR!$A$6:$ZZ$1048576"), MATCH(M$1, MarR!$6:$6, 0), FALSE),
            0
        ) +
        IFERROR(
            VLOOKUP($A48, INDIRECT("AbrR!$A$6:$ZZ$1048576"), MATCH(M$1, AbrR!$6:$6, 0), FALSE),
            0
        ) +
        IFERROR(
            VLOOKUP($A48, INDIRECT("MayR!$A$6:$ZZ$1048576"), MATCH(M$1, MayR!$6:$6, 0), FALSE),
            0
        ) +
        IFERROR(
            VLOOKUP($A48, INDIRECT("JunR!$A$6:$ZZ$1048576"), MATCH(M$1, JunR!$6:$6, 0), FALSE),
            0
        ) +
        IFERROR(
            VLOOKUP($A48, INDIRECT("JulR!$A$6:$ZZ$1048576"), MATCH(M$1, JulR!$6:$6, 0), FALSE),
            0
        ) +
        IFERROR(
            VLOOKUP($A48, INDIRECT("AgoR!$A$6:$ZZ$1048576"), MATCH(M$1, AgoR!$6:$6, 0), FALSE),
            0
        ) +
        IFERROR(
            VLOOKUP($A48, INDIRECT("SepR!$A$6:$ZZ$1048576"), MATCH(M$1, SepR!$6:$6, 0), FALSE),
            0
        ) +
        IFERROR(
            VLOOKUP($A48, INDIRECT("OctR!$A$6:$ZZ$1048576"), MATCH(M$1, OctR!$6:$6, 0), FALSE),
            0
        ) +
        IFERROR(
            VLOOKUP($A48, INDIRECT("NovR!$A$6:$ZZ$1048576"), MATCH(M$1, NovR!$6:$6, 0), FALSE),
            0
        ) +
        IFERROR(
            VLOOKUP($A48, INDIRECT("DicR!$A$6:$ZZ$1048576"), MATCH(M$1, DicR!$6:$6, 0), FALSE),
            0
        )
)</f>
        <v>0</v>
      </c>
      <c r="N48" s="32">
        <f t="array" ref="N48">SUM(
    IFERROR(
            VLOOKUP($A48, INDIRECT("EneR!$A$6:$ZZ$1048576"), MATCH(N$1, EneR!$6:$6, 0), FALSE),
            0
        ) +
        IFERROR(
            VLOOKUP($A48, INDIRECT("FebR!$A$6:$ZZ$1048576"), MATCH(N$1, FebR!$6:$6, 0), FALSE),
            0
        ) +
        IFERROR(
            VLOOKUP($A48, INDIRECT("MarR!$A$6:$ZZ$1048576"), MATCH(N$1, MarR!$6:$6, 0), FALSE),
            0
        ) +
        IFERROR(
            VLOOKUP($A48, INDIRECT("AbrR!$A$6:$ZZ$1048576"), MATCH(N$1, AbrR!$6:$6, 0), FALSE),
            0
        ) +
        IFERROR(
            VLOOKUP($A48, INDIRECT("MayR!$A$6:$ZZ$1048576"), MATCH(N$1, MayR!$6:$6, 0), FALSE),
            0
        ) +
        IFERROR(
            VLOOKUP($A48, INDIRECT("JunR!$A$6:$ZZ$1048576"), MATCH(N$1, JunR!$6:$6, 0), FALSE),
            0
        ) +
        IFERROR(
            VLOOKUP($A48, INDIRECT("JulR!$A$6:$ZZ$1048576"), MATCH(N$1, JulR!$6:$6, 0), FALSE),
            0
        ) +
        IFERROR(
            VLOOKUP($A48, INDIRECT("AgoR!$A$6:$ZZ$1048576"), MATCH(N$1, AgoR!$6:$6, 0), FALSE),
            0
        ) +
        IFERROR(
            VLOOKUP($A48, INDIRECT("SepR!$A$6:$ZZ$1048576"), MATCH(N$1, SepR!$6:$6, 0), FALSE),
            0
        ) +
        IFERROR(
            VLOOKUP($A48, INDIRECT("OctR!$A$6:$ZZ$1048576"), MATCH(N$1, OctR!$6:$6, 0), FALSE),
            0
        ) +
        IFERROR(
            VLOOKUP($A48, INDIRECT("NovR!$A$6:$ZZ$1048576"), MATCH(N$1, NovR!$6:$6, 0), FALSE),
            0
        ) +
        IFERROR(
            VLOOKUP($A48, INDIRECT("DicR!$A$6:$ZZ$1048576"), MATCH(N$1, DicR!$6:$6, 0), FALSE),
            0
        )
)</f>
        <v>0</v>
      </c>
      <c r="O48" s="35">
        <f t="array" ref="O48">SUM(
    IFERROR(
            VLOOKUP($A48, INDIRECT("EneR!$A$6:$ZZ$1048576"), MATCH(O$1, EneR!$6:$6, 0), FALSE),
            0
        ) +
        IFERROR(
            VLOOKUP($A48, INDIRECT("FebR!$A$6:$ZZ$1048576"), MATCH(O$1, FebR!$6:$6, 0), FALSE),
            0
        ) +
        IFERROR(
            VLOOKUP($A48, INDIRECT("MarR!$A$6:$ZZ$1048576"), MATCH(O$1, MarR!$6:$6, 0), FALSE),
            0
        ) +
        IFERROR(
            VLOOKUP($A48, INDIRECT("AbrR!$A$6:$ZZ$1048576"), MATCH(O$1, AbrR!$6:$6, 0), FALSE),
            0
        ) +
        IFERROR(
            VLOOKUP($A48, INDIRECT("MayR!$A$6:$ZZ$1048576"), MATCH(O$1, MayR!$6:$6, 0), FALSE),
            0
        ) +
        IFERROR(
            VLOOKUP($A48, INDIRECT("JunR!$A$6:$ZZ$1048576"), MATCH(O$1, JunR!$6:$6, 0), FALSE),
            0
        ) +
        IFERROR(
            VLOOKUP($A48, INDIRECT("JulR!$A$6:$ZZ$1048576"), MATCH(O$1, JulR!$6:$6, 0), FALSE),
            0
        ) +
        IFERROR(
            VLOOKUP($A48, INDIRECT("AgoR!$A$6:$ZZ$1048576"), MATCH(O$1, AgoR!$6:$6, 0), FALSE),
            0
        ) +
        IFERROR(
            VLOOKUP($A48, INDIRECT("SepR!$A$6:$ZZ$1048576"), MATCH(O$1, SepR!$6:$6, 0), FALSE),
            0
        ) +
        IFERROR(
            VLOOKUP($A48, INDIRECT("OctR!$A$6:$ZZ$1048576"), MATCH(O$1, OctR!$6:$6, 0), FALSE),
            0
        ) +
        IFERROR(
            VLOOKUP($A48, INDIRECT("NovR!$A$6:$ZZ$1048576"), MATCH(O$1, NovR!$6:$6, 0), FALSE),
            0
        ) +
        IFERROR(
            VLOOKUP($A48, INDIRECT("DicR!$A$6:$ZZ$1048576"), MATCH(O$1, DicR!$6:$6, 0), FALSE),
            0
        )
)</f>
        <v>0</v>
      </c>
      <c r="P48" s="32">
        <f t="array" ref="P48">SUM(
    IFERROR(
            VLOOKUP($A48, INDIRECT("EneR!$A$6:$ZZ$1048576"), MATCH(P$1, EneR!$6:$6, 0), FALSE),
            0
        ) +
        IFERROR(
            VLOOKUP($A48, INDIRECT("FebR!$A$6:$ZZ$1048576"), MATCH(P$1, FebR!$6:$6, 0), FALSE),
            0
        ) +
        IFERROR(
            VLOOKUP($A48, INDIRECT("MarR!$A$6:$ZZ$1048576"), MATCH(P$1, MarR!$6:$6, 0), FALSE),
            0
        ) +
        IFERROR(
            VLOOKUP($A48, INDIRECT("AbrR!$A$6:$ZZ$1048576"), MATCH(P$1, AbrR!$6:$6, 0), FALSE),
            0
        ) +
        IFERROR(
            VLOOKUP($A48, INDIRECT("MayR!$A$6:$ZZ$1048576"), MATCH(P$1, MayR!$6:$6, 0), FALSE),
            0
        ) +
        IFERROR(
            VLOOKUP($A48, INDIRECT("JunR!$A$6:$ZZ$1048576"), MATCH(P$1, JunR!$6:$6, 0), FALSE),
            0
        ) +
        IFERROR(
            VLOOKUP($A48, INDIRECT("JulR!$A$6:$ZZ$1048576"), MATCH(P$1, JulR!$6:$6, 0), FALSE),
            0
        ) +
        IFERROR(
            VLOOKUP($A48, INDIRECT("AgoR!$A$6:$ZZ$1048576"), MATCH(P$1, AgoR!$6:$6, 0), FALSE),
            0
        ) +
        IFERROR(
            VLOOKUP($A48, INDIRECT("SepR!$A$6:$ZZ$1048576"), MATCH(P$1, SepR!$6:$6, 0), FALSE),
            0
        ) +
        IFERROR(
            VLOOKUP($A48, INDIRECT("OctR!$A$6:$ZZ$1048576"), MATCH(P$1, OctR!$6:$6, 0), FALSE),
            0
        ) +
        IFERROR(
            VLOOKUP($A48, INDIRECT("NovR!$A$6:$ZZ$1048576"), MATCH(P$1, NovR!$6:$6, 0), FALSE),
            0
        ) +
        IFERROR(
            VLOOKUP($A48, INDIRECT("DicR!$A$6:$ZZ$1048576"), MATCH(P$1, DicR!$6:$6, 0), FALSE),
            0
        )
)</f>
        <v>0</v>
      </c>
      <c r="Q48" s="35">
        <f t="array" ref="Q48">SUM(
    IFERROR(
            VLOOKUP($A48, INDIRECT("EneR!$A$6:$ZZ$1048576"), MATCH(Q$1, EneR!$6:$6, 0), FALSE),
            0
        ) +
        IFERROR(
            VLOOKUP($A48, INDIRECT("FebR!$A$6:$ZZ$1048576"), MATCH(Q$1, FebR!$6:$6, 0), FALSE),
            0
        ) +
        IFERROR(
            VLOOKUP($A48, INDIRECT("MarR!$A$6:$ZZ$1048576"), MATCH(Q$1, MarR!$6:$6, 0), FALSE),
            0
        ) +
        IFERROR(
            VLOOKUP($A48, INDIRECT("AbrR!$A$6:$ZZ$1048576"), MATCH(Q$1, AbrR!$6:$6, 0), FALSE),
            0
        ) +
        IFERROR(
            VLOOKUP($A48, INDIRECT("MayR!$A$6:$ZZ$1048576"), MATCH(Q$1, MayR!$6:$6, 0), FALSE),
            0
        ) +
        IFERROR(
            VLOOKUP($A48, INDIRECT("JunR!$A$6:$ZZ$1048576"), MATCH(Q$1, JunR!$6:$6, 0), FALSE),
            0
        ) +
        IFERROR(
            VLOOKUP($A48, INDIRECT("JulR!$A$6:$ZZ$1048576"), MATCH(Q$1, JulR!$6:$6, 0), FALSE),
            0
        ) +
        IFERROR(
            VLOOKUP($A48, INDIRECT("AgoR!$A$6:$ZZ$1048576"), MATCH(Q$1, AgoR!$6:$6, 0), FALSE),
            0
        ) +
        IFERROR(
            VLOOKUP($A48, INDIRECT("SepR!$A$6:$ZZ$1048576"), MATCH(Q$1, SepR!$6:$6, 0), FALSE),
            0
        ) +
        IFERROR(
            VLOOKUP($A48, INDIRECT("OctR!$A$6:$ZZ$1048576"), MATCH(Q$1, OctR!$6:$6, 0), FALSE),
            0
        ) +
        IFERROR(
            VLOOKUP($A48, INDIRECT("NovR!$A$6:$ZZ$1048576"), MATCH(Q$1, NovR!$6:$6, 0), FALSE),
            0
        ) +
        IFERROR(
            VLOOKUP($A48, INDIRECT("DicR!$A$6:$ZZ$1048576"), MATCH(Q$1, DicR!$6:$6, 0), FALSE),
            0
        )
)</f>
        <v>0</v>
      </c>
      <c r="R48" s="36">
        <f t="array" ref="R48">SUM(
    IFERROR(
            VLOOKUP($A48, INDIRECT("EneR!$A$6:$ZZ$1048576"), MATCH(R$1, EneR!$6:$6, 0), FALSE),
            0
        ) +
        IFERROR(
            VLOOKUP($A48, INDIRECT("FebR!$A$6:$ZZ$1048576"), MATCH(R$1, FebR!$6:$6, 0), FALSE),
            0
        ) +
        IFERROR(
            VLOOKUP($A48, INDIRECT("MarR!$A$6:$ZZ$1048576"), MATCH(R$1, MarR!$6:$6, 0), FALSE),
            0
        ) +
        IFERROR(
            VLOOKUP($A48, INDIRECT("AbrR!$A$6:$ZZ$1048576"), MATCH(R$1, AbrR!$6:$6, 0), FALSE),
            0
        ) +
        IFERROR(
            VLOOKUP($A48, INDIRECT("MayR!$A$6:$ZZ$1048576"), MATCH(R$1, MayR!$6:$6, 0), FALSE),
            0
        ) +
        IFERROR(
            VLOOKUP($A48, INDIRECT("JunR!$A$6:$ZZ$1048576"), MATCH(R$1, JunR!$6:$6, 0), FALSE),
            0
        ) +
        IFERROR(
            VLOOKUP($A48, INDIRECT("JulR!$A$6:$ZZ$1048576"), MATCH(R$1, JulR!$6:$6, 0), FALSE),
            0
        ) +
        IFERROR(
            VLOOKUP($A48, INDIRECT("AgoR!$A$6:$ZZ$1048576"), MATCH(R$1, AgoR!$6:$6, 0), FALSE),
            0
        ) +
        IFERROR(
            VLOOKUP($A48, INDIRECT("SepR!$A$6:$ZZ$1048576"), MATCH(R$1, SepR!$6:$6, 0), FALSE),
            0
        ) +
        IFERROR(
            VLOOKUP($A48, INDIRECT("OctR!$A$6:$ZZ$1048576"), MATCH(R$1, OctR!$6:$6, 0), FALSE),
            0
        ) +
        IFERROR(
            VLOOKUP($A48, INDIRECT("NovR!$A$6:$ZZ$1048576"), MATCH(R$1, NovR!$6:$6, 0), FALSE),
            0
        ) +
        IFERROR(
            VLOOKUP($A48, INDIRECT("DicR!$A$6:$ZZ$1048576"), MATCH(R$1, DicR!$6:$6, 0), FALSE),
            0
        )
)</f>
        <v>0</v>
      </c>
      <c r="S48" s="37">
        <f t="array" ref="S48">SUM(
    IFERROR(
            VLOOKUP($A48, INDIRECT("EneR!$A$6:$ZZ$1048576"), MATCH(S$1, EneR!$6:$6, 0), FALSE),
            0
        ) +
        IFERROR(
            VLOOKUP($A48, INDIRECT("FebR!$A$6:$ZZ$1048576"), MATCH(S$1, FebR!$6:$6, 0), FALSE),
            0
        ) +
        IFERROR(
            VLOOKUP($A48, INDIRECT("MarR!$A$6:$ZZ$1048576"), MATCH(S$1, MarR!$6:$6, 0), FALSE),
            0
        ) +
        IFERROR(
            VLOOKUP($A48, INDIRECT("AbrR!$A$6:$ZZ$1048576"), MATCH(S$1, AbrR!$6:$6, 0), FALSE),
            0
        ) +
        IFERROR(
            VLOOKUP($A48, INDIRECT("MayR!$A$6:$ZZ$1048576"), MATCH(S$1, MayR!$6:$6, 0), FALSE),
            0
        ) +
        IFERROR(
            VLOOKUP($A48, INDIRECT("JunR!$A$6:$ZZ$1048576"), MATCH(S$1, JunR!$6:$6, 0), FALSE),
            0
        ) +
        IFERROR(
            VLOOKUP($A48, INDIRECT("JulR!$A$6:$ZZ$1048576"), MATCH(S$1, JulR!$6:$6, 0), FALSE),
            0
        ) +
        IFERROR(
            VLOOKUP($A48, INDIRECT("AgoR!$A$6:$ZZ$1048576"), MATCH(S$1, AgoR!$6:$6, 0), FALSE),
            0
        ) +
        IFERROR(
            VLOOKUP($A48, INDIRECT("SepR!$A$6:$ZZ$1048576"), MATCH(S$1, SepR!$6:$6, 0), FALSE),
            0
        ) +
        IFERROR(
            VLOOKUP($A48, INDIRECT("OctR!$A$6:$ZZ$1048576"), MATCH(S$1, OctR!$6:$6, 0), FALSE),
            0
        ) +
        IFERROR(
            VLOOKUP($A48, INDIRECT("NovR!$A$6:$ZZ$1048576"), MATCH(S$1, NovR!$6:$6, 0), FALSE),
            0
        ) +
        IFERROR(
            VLOOKUP($A48, INDIRECT("DicR!$A$6:$ZZ$1048576"), MATCH(S$1, DicR!$6:$6, 0), FALSE),
            0
        )
)</f>
        <v>0</v>
      </c>
      <c r="T48" s="36">
        <f t="array" ref="T48">SUM(
    IFERROR(
            VLOOKUP($A48, INDIRECT("EneR!$A$6:$ZZ$1048576"), MATCH(T$1, EneR!$6:$6, 0), FALSE),
            0
        ) +
        IFERROR(
            VLOOKUP($A48, INDIRECT("FebR!$A$6:$ZZ$1048576"), MATCH(T$1, FebR!$6:$6, 0), FALSE),
            0
        ) +
        IFERROR(
            VLOOKUP($A48, INDIRECT("MarR!$A$6:$ZZ$1048576"), MATCH(T$1, MarR!$6:$6, 0), FALSE),
            0
        ) +
        IFERROR(
            VLOOKUP($A48, INDIRECT("AbrR!$A$6:$ZZ$1048576"), MATCH(T$1, AbrR!$6:$6, 0), FALSE),
            0
        ) +
        IFERROR(
            VLOOKUP($A48, INDIRECT("MayR!$A$6:$ZZ$1048576"), MATCH(T$1, MayR!$6:$6, 0), FALSE),
            0
        ) +
        IFERROR(
            VLOOKUP($A48, INDIRECT("JunR!$A$6:$ZZ$1048576"), MATCH(T$1, JunR!$6:$6, 0), FALSE),
            0
        ) +
        IFERROR(
            VLOOKUP($A48, INDIRECT("JulR!$A$6:$ZZ$1048576"), MATCH(T$1, JulR!$6:$6, 0), FALSE),
            0
        ) +
        IFERROR(
            VLOOKUP($A48, INDIRECT("AgoR!$A$6:$ZZ$1048576"), MATCH(T$1, AgoR!$6:$6, 0), FALSE),
            0
        ) +
        IFERROR(
            VLOOKUP($A48, INDIRECT("SepR!$A$6:$ZZ$1048576"), MATCH(T$1, SepR!$6:$6, 0), FALSE),
            0
        ) +
        IFERROR(
            VLOOKUP($A48, INDIRECT("OctR!$A$6:$ZZ$1048576"), MATCH(T$1, OctR!$6:$6, 0), FALSE),
            0
        ) +
        IFERROR(
            VLOOKUP($A48, INDIRECT("NovR!$A$6:$ZZ$1048576"), MATCH(T$1, NovR!$6:$6, 0), FALSE),
            0
        ) +
        IFERROR(
            VLOOKUP($A48, INDIRECT("DicR!$A$6:$ZZ$1048576"), MATCH(T$1, DicR!$6:$6, 0), FALSE),
            0
        )
)</f>
        <v>0</v>
      </c>
      <c r="U48" s="37">
        <f t="array" ref="U48">SUM(
    IFERROR(
            VLOOKUP($A48, INDIRECT("EneR!$A$6:$ZZ$1048576"), MATCH(U$1, EneR!$6:$6, 0), FALSE),
            0
        ) +
        IFERROR(
            VLOOKUP($A48, INDIRECT("FebR!$A$6:$ZZ$1048576"), MATCH(U$1, FebR!$6:$6, 0), FALSE),
            0
        ) +
        IFERROR(
            VLOOKUP($A48, INDIRECT("MarR!$A$6:$ZZ$1048576"), MATCH(U$1, MarR!$6:$6, 0), FALSE),
            0
        ) +
        IFERROR(
            VLOOKUP($A48, INDIRECT("AbrR!$A$6:$ZZ$1048576"), MATCH(U$1, AbrR!$6:$6, 0), FALSE),
            0
        ) +
        IFERROR(
            VLOOKUP($A48, INDIRECT("MayR!$A$6:$ZZ$1048576"), MATCH(U$1, MayR!$6:$6, 0), FALSE),
            0
        ) +
        IFERROR(
            VLOOKUP($A48, INDIRECT("JunR!$A$6:$ZZ$1048576"), MATCH(U$1, JunR!$6:$6, 0), FALSE),
            0
        ) +
        IFERROR(
            VLOOKUP($A48, INDIRECT("JulR!$A$6:$ZZ$1048576"), MATCH(U$1, JulR!$6:$6, 0), FALSE),
            0
        ) +
        IFERROR(
            VLOOKUP($A48, INDIRECT("AgoR!$A$6:$ZZ$1048576"), MATCH(U$1, AgoR!$6:$6, 0), FALSE),
            0
        ) +
        IFERROR(
            VLOOKUP($A48, INDIRECT("SepR!$A$6:$ZZ$1048576"), MATCH(U$1, SepR!$6:$6, 0), FALSE),
            0
        ) +
        IFERROR(
            VLOOKUP($A48, INDIRECT("OctR!$A$6:$ZZ$1048576"), MATCH(U$1, OctR!$6:$6, 0), FALSE),
            0
        ) +
        IFERROR(
            VLOOKUP($A48, INDIRECT("NovR!$A$6:$ZZ$1048576"), MATCH(U$1, NovR!$6:$6, 0), FALSE),
            0
        ) +
        IFERROR(
            VLOOKUP($A48, INDIRECT("DicR!$A$6:$ZZ$1048576"), MATCH(U$1, DicR!$6:$6, 0), FALSE),
            0
        )
)</f>
        <v>0</v>
      </c>
      <c r="V48" s="36">
        <f t="array" ref="V48">SUM(
    IFERROR(
            VLOOKUP($A48, INDIRECT("EneR!$A$6:$ZZ$1048576"), MATCH(V$1, EneR!$6:$6, 0), FALSE),
            0
        ) +
        IFERROR(
            VLOOKUP($A48, INDIRECT("FebR!$A$6:$ZZ$1048576"), MATCH(V$1, FebR!$6:$6, 0), FALSE),
            0
        ) +
        IFERROR(
            VLOOKUP($A48, INDIRECT("MarR!$A$6:$ZZ$1048576"), MATCH(V$1, MarR!$6:$6, 0), FALSE),
            0
        ) +
        IFERROR(
            VLOOKUP($A48, INDIRECT("AbrR!$A$6:$ZZ$1048576"), MATCH(V$1, AbrR!$6:$6, 0), FALSE),
            0
        ) +
        IFERROR(
            VLOOKUP($A48, INDIRECT("MayR!$A$6:$ZZ$1048576"), MATCH(V$1, MayR!$6:$6, 0), FALSE),
            0
        ) +
        IFERROR(
            VLOOKUP($A48, INDIRECT("JunR!$A$6:$ZZ$1048576"), MATCH(V$1, JunR!$6:$6, 0), FALSE),
            0
        ) +
        IFERROR(
            VLOOKUP($A48, INDIRECT("JulR!$A$6:$ZZ$1048576"), MATCH(V$1, JulR!$6:$6, 0), FALSE),
            0
        ) +
        IFERROR(
            VLOOKUP($A48, INDIRECT("AgoR!$A$6:$ZZ$1048576"), MATCH(V$1, AgoR!$6:$6, 0), FALSE),
            0
        ) +
        IFERROR(
            VLOOKUP($A48, INDIRECT("SepR!$A$6:$ZZ$1048576"), MATCH(V$1, SepR!$6:$6, 0), FALSE),
            0
        ) +
        IFERROR(
            VLOOKUP($A48, INDIRECT("OctR!$A$6:$ZZ$1048576"), MATCH(V$1, OctR!$6:$6, 0), FALSE),
            0
        ) +
        IFERROR(
            VLOOKUP($A48, INDIRECT("NovR!$A$6:$ZZ$1048576"), MATCH(V$1, NovR!$6:$6, 0), FALSE),
            0
        ) +
        IFERROR(
            VLOOKUP($A48, INDIRECT("DicR!$A$6:$ZZ$1048576"), MATCH(V$1, DicR!$6:$6, 0), FALSE),
            0
        )
)</f>
        <v>0</v>
      </c>
      <c r="W48" s="37">
        <f t="array" ref="W48">SUM(
    IFERROR(
            VLOOKUP($A48, INDIRECT("EneR!$A$6:$ZZ$1048576"), MATCH(W$1, EneR!$6:$6, 0), FALSE),
            0
        ) +
        IFERROR(
            VLOOKUP($A48, INDIRECT("FebR!$A$6:$ZZ$1048576"), MATCH(W$1, FebR!$6:$6, 0), FALSE),
            0
        ) +
        IFERROR(
            VLOOKUP($A48, INDIRECT("MarR!$A$6:$ZZ$1048576"), MATCH(W$1, MarR!$6:$6, 0), FALSE),
            0
        ) +
        IFERROR(
            VLOOKUP($A48, INDIRECT("AbrR!$A$6:$ZZ$1048576"), MATCH(W$1, AbrR!$6:$6, 0), FALSE),
            0
        ) +
        IFERROR(
            VLOOKUP($A48, INDIRECT("MayR!$A$6:$ZZ$1048576"), MATCH(W$1, MayR!$6:$6, 0), FALSE),
            0
        ) +
        IFERROR(
            VLOOKUP($A48, INDIRECT("JunR!$A$6:$ZZ$1048576"), MATCH(W$1, JunR!$6:$6, 0), FALSE),
            0
        ) +
        IFERROR(
            VLOOKUP($A48, INDIRECT("JulR!$A$6:$ZZ$1048576"), MATCH(W$1, JulR!$6:$6, 0), FALSE),
            0
        ) +
        IFERROR(
            VLOOKUP($A48, INDIRECT("AgoR!$A$6:$ZZ$1048576"), MATCH(W$1, AgoR!$6:$6, 0), FALSE),
            0
        ) +
        IFERROR(
            VLOOKUP($A48, INDIRECT("SepR!$A$6:$ZZ$1048576"), MATCH(W$1, SepR!$6:$6, 0), FALSE),
            0
        ) +
        IFERROR(
            VLOOKUP($A48, INDIRECT("OctR!$A$6:$ZZ$1048576"), MATCH(W$1, OctR!$6:$6, 0), FALSE),
            0
        ) +
        IFERROR(
            VLOOKUP($A48, INDIRECT("NovR!$A$6:$ZZ$1048576"), MATCH(W$1, NovR!$6:$6, 0), FALSE),
            0
        ) +
        IFERROR(
            VLOOKUP($A48, INDIRECT("DicR!$A$6:$ZZ$1048576"), MATCH(W$1, DicR!$6:$6, 0), FALSE),
            0
        )
)</f>
        <v>0</v>
      </c>
      <c r="X48" s="36">
        <f t="array" ref="X48">SUM(
    IFERROR(
            VLOOKUP($A48, INDIRECT("EneR!$A$6:$ZZ$1048576"), MATCH(X$1, EneR!$6:$6, 0), FALSE),
            0
        ) +
        IFERROR(
            VLOOKUP($A48, INDIRECT("FebR!$A$6:$ZZ$1048576"), MATCH(X$1, FebR!$6:$6, 0), FALSE),
            0
        ) +
        IFERROR(
            VLOOKUP($A48, INDIRECT("MarR!$A$6:$ZZ$1048576"), MATCH(X$1, MarR!$6:$6, 0), FALSE),
            0
        ) +
        IFERROR(
            VLOOKUP($A48, INDIRECT("AbrR!$A$6:$ZZ$1048576"), MATCH(X$1, AbrR!$6:$6, 0), FALSE),
            0
        ) +
        IFERROR(
            VLOOKUP($A48, INDIRECT("MayR!$A$6:$ZZ$1048576"), MATCH(X$1, MayR!$6:$6, 0), FALSE),
            0
        ) +
        IFERROR(
            VLOOKUP($A48, INDIRECT("JunR!$A$6:$ZZ$1048576"), MATCH(X$1, JunR!$6:$6, 0), FALSE),
            0
        ) +
        IFERROR(
            VLOOKUP($A48, INDIRECT("JulR!$A$6:$ZZ$1048576"), MATCH(X$1, JulR!$6:$6, 0), FALSE),
            0
        ) +
        IFERROR(
            VLOOKUP($A48, INDIRECT("AgoR!$A$6:$ZZ$1048576"), MATCH(X$1, AgoR!$6:$6, 0), FALSE),
            0
        ) +
        IFERROR(
            VLOOKUP($A48, INDIRECT("SepR!$A$6:$ZZ$1048576"), MATCH(X$1, SepR!$6:$6, 0), FALSE),
            0
        ) +
        IFERROR(
            VLOOKUP($A48, INDIRECT("OctR!$A$6:$ZZ$1048576"), MATCH(X$1, OctR!$6:$6, 0), FALSE),
            0
        ) +
        IFERROR(
            VLOOKUP($A48, INDIRECT("NovR!$A$6:$ZZ$1048576"), MATCH(X$1, NovR!$6:$6, 0), FALSE),
            0
        ) +
        IFERROR(
            VLOOKUP($A48, INDIRECT("DicR!$A$6:$ZZ$1048576"), MATCH(X$1, DicR!$6:$6, 0), FALSE),
            0
        )
)</f>
        <v>0</v>
      </c>
      <c r="Y48" s="37">
        <f t="array" ref="Y48">SUM(
    IFERROR(
            VLOOKUP($A48, INDIRECT("EneR!$A$6:$ZZ$1048576"), MATCH(Y$1, EneR!$6:$6, 0), FALSE),
            0
        ) +
        IFERROR(
            VLOOKUP($A48, INDIRECT("FebR!$A$6:$ZZ$1048576"), MATCH(Y$1, FebR!$6:$6, 0), FALSE),
            0
        ) +
        IFERROR(
            VLOOKUP($A48, INDIRECT("MarR!$A$6:$ZZ$1048576"), MATCH(Y$1, MarR!$6:$6, 0), FALSE),
            0
        ) +
        IFERROR(
            VLOOKUP($A48, INDIRECT("AbrR!$A$6:$ZZ$1048576"), MATCH(Y$1, AbrR!$6:$6, 0), FALSE),
            0
        ) +
        IFERROR(
            VLOOKUP($A48, INDIRECT("MayR!$A$6:$ZZ$1048576"), MATCH(Y$1, MayR!$6:$6, 0), FALSE),
            0
        ) +
        IFERROR(
            VLOOKUP($A48, INDIRECT("JunR!$A$6:$ZZ$1048576"), MATCH(Y$1, JunR!$6:$6, 0), FALSE),
            0
        ) +
        IFERROR(
            VLOOKUP($A48, INDIRECT("JulR!$A$6:$ZZ$1048576"), MATCH(Y$1, JulR!$6:$6, 0), FALSE),
            0
        ) +
        IFERROR(
            VLOOKUP($A48, INDIRECT("AgoR!$A$6:$ZZ$1048576"), MATCH(Y$1, AgoR!$6:$6, 0), FALSE),
            0
        ) +
        IFERROR(
            VLOOKUP($A48, INDIRECT("SepR!$A$6:$ZZ$1048576"), MATCH(Y$1, SepR!$6:$6, 0), FALSE),
            0
        ) +
        IFERROR(
            VLOOKUP($A48, INDIRECT("OctR!$A$6:$ZZ$1048576"), MATCH(Y$1, OctR!$6:$6, 0), FALSE),
            0
        ) +
        IFERROR(
            VLOOKUP($A48, INDIRECT("NovR!$A$6:$ZZ$1048576"), MATCH(Y$1, NovR!$6:$6, 0), FALSE),
            0
        ) +
        IFERROR(
            VLOOKUP($A48, INDIRECT("DicR!$A$6:$ZZ$1048576"), MATCH(Y$1, DicR!$6:$6, 0), FALSE),
            0
        )
)</f>
        <v>0</v>
      </c>
      <c r="Z48" s="36">
        <f t="array" ref="Z48">SUM(
    IFERROR(
            VLOOKUP($A48, INDIRECT("EneR!$A$6:$ZZ$1048576"), MATCH(Z$1, EneR!$6:$6, 0), FALSE),
            0
        ) +
        IFERROR(
            VLOOKUP($A48, INDIRECT("FebR!$A$6:$ZZ$1048576"), MATCH(Z$1, FebR!$6:$6, 0), FALSE),
            0
        ) +
        IFERROR(
            VLOOKUP($A48, INDIRECT("MarR!$A$6:$ZZ$1048576"), MATCH(Z$1, MarR!$6:$6, 0), FALSE),
            0
        ) +
        IFERROR(
            VLOOKUP($A48, INDIRECT("AbrR!$A$6:$ZZ$1048576"), MATCH(Z$1, AbrR!$6:$6, 0), FALSE),
            0
        ) +
        IFERROR(
            VLOOKUP($A48, INDIRECT("MayR!$A$6:$ZZ$1048576"), MATCH(Z$1, MayR!$6:$6, 0), FALSE),
            0
        ) +
        IFERROR(
            VLOOKUP($A48, INDIRECT("JunR!$A$6:$ZZ$1048576"), MATCH(Z$1, JunR!$6:$6, 0), FALSE),
            0
        ) +
        IFERROR(
            VLOOKUP($A48, INDIRECT("JulR!$A$6:$ZZ$1048576"), MATCH(Z$1, JulR!$6:$6, 0), FALSE),
            0
        ) +
        IFERROR(
            VLOOKUP($A48, INDIRECT("AgoR!$A$6:$ZZ$1048576"), MATCH(Z$1, AgoR!$6:$6, 0), FALSE),
            0
        ) +
        IFERROR(
            VLOOKUP($A48, INDIRECT("SepR!$A$6:$ZZ$1048576"), MATCH(Z$1, SepR!$6:$6, 0), FALSE),
            0
        ) +
        IFERROR(
            VLOOKUP($A48, INDIRECT("OctR!$A$6:$ZZ$1048576"), MATCH(Z$1, OctR!$6:$6, 0), FALSE),
            0
        ) +
        IFERROR(
            VLOOKUP($A48, INDIRECT("NovR!$A$6:$ZZ$1048576"), MATCH(Z$1, NovR!$6:$6, 0), FALSE),
            0
        ) +
        IFERROR(
            VLOOKUP($A48, INDIRECT("DicR!$A$6:$ZZ$1048576"), MATCH(Z$1, DicR!$6:$6, 0), FALSE),
            0
        )
)</f>
        <v>0</v>
      </c>
      <c r="AA48" s="37">
        <f t="array" ref="AA48">SUM(
    IFERROR(
            VLOOKUP($A48, INDIRECT("EneR!$A$6:$ZZ$1048576"), MATCH(AA$1, EneR!$6:$6, 0), FALSE),
            0
        ) +
        IFERROR(
            VLOOKUP($A48, INDIRECT("FebR!$A$6:$ZZ$1048576"), MATCH(AA$1, FebR!$6:$6, 0), FALSE),
            0
        ) +
        IFERROR(
            VLOOKUP($A48, INDIRECT("MarR!$A$6:$ZZ$1048576"), MATCH(AA$1, MarR!$6:$6, 0), FALSE),
            0
        ) +
        IFERROR(
            VLOOKUP($A48, INDIRECT("AbrR!$A$6:$ZZ$1048576"), MATCH(AA$1, AbrR!$6:$6, 0), FALSE),
            0
        ) +
        IFERROR(
            VLOOKUP($A48, INDIRECT("MayR!$A$6:$ZZ$1048576"), MATCH(AA$1, MayR!$6:$6, 0), FALSE),
            0
        ) +
        IFERROR(
            VLOOKUP($A48, INDIRECT("JunR!$A$6:$ZZ$1048576"), MATCH(AA$1, JunR!$6:$6, 0), FALSE),
            0
        ) +
        IFERROR(
            VLOOKUP($A48, INDIRECT("JulR!$A$6:$ZZ$1048576"), MATCH(AA$1, JulR!$6:$6, 0), FALSE),
            0
        ) +
        IFERROR(
            VLOOKUP($A48, INDIRECT("AgoR!$A$6:$ZZ$1048576"), MATCH(AA$1, AgoR!$6:$6, 0), FALSE),
            0
        ) +
        IFERROR(
            VLOOKUP($A48, INDIRECT("SepR!$A$6:$ZZ$1048576"), MATCH(AA$1, SepR!$6:$6, 0), FALSE),
            0
        ) +
        IFERROR(
            VLOOKUP($A48, INDIRECT("OctR!$A$6:$ZZ$1048576"), MATCH(AA$1, OctR!$6:$6, 0), FALSE),
            0
        ) +
        IFERROR(
            VLOOKUP($A48, INDIRECT("NovR!$A$6:$ZZ$1048576"), MATCH(AA$1, NovR!$6:$6, 0), FALSE),
            0
        ) +
        IFERROR(
            VLOOKUP($A48, INDIRECT("DicR!$A$6:$ZZ$1048576"), MATCH(AA$1, DicR!$6:$6, 0), FALSE),
            0
        )
)</f>
        <v>0</v>
      </c>
      <c r="AB48" s="36">
        <f t="array" ref="AB48">SUM(
    IFERROR(
            VLOOKUP($A48, INDIRECT("EneR!$A$6:$ZZ$1048576"), MATCH(AB$1, EneR!$6:$6, 0), FALSE),
            0
        ) +
        IFERROR(
            VLOOKUP($A48, INDIRECT("FebR!$A$6:$ZZ$1048576"), MATCH(AB$1, FebR!$6:$6, 0), FALSE),
            0
        ) +
        IFERROR(
            VLOOKUP($A48, INDIRECT("MarR!$A$6:$ZZ$1048576"), MATCH(AB$1, MarR!$6:$6, 0), FALSE),
            0
        ) +
        IFERROR(
            VLOOKUP($A48, INDIRECT("AbrR!$A$6:$ZZ$1048576"), MATCH(AB$1, AbrR!$6:$6, 0), FALSE),
            0
        ) +
        IFERROR(
            VLOOKUP($A48, INDIRECT("MayR!$A$6:$ZZ$1048576"), MATCH(AB$1, MayR!$6:$6, 0), FALSE),
            0
        ) +
        IFERROR(
            VLOOKUP($A48, INDIRECT("JunR!$A$6:$ZZ$1048576"), MATCH(AB$1, JunR!$6:$6, 0), FALSE),
            0
        ) +
        IFERROR(
            VLOOKUP($A48, INDIRECT("JulR!$A$6:$ZZ$1048576"), MATCH(AB$1, JulR!$6:$6, 0), FALSE),
            0
        ) +
        IFERROR(
            VLOOKUP($A48, INDIRECT("AgoR!$A$6:$ZZ$1048576"), MATCH(AB$1, AgoR!$6:$6, 0), FALSE),
            0
        ) +
        IFERROR(
            VLOOKUP($A48, INDIRECT("SepR!$A$6:$ZZ$1048576"), MATCH(AB$1, SepR!$6:$6, 0), FALSE),
            0
        ) +
        IFERROR(
            VLOOKUP($A48, INDIRECT("OctR!$A$6:$ZZ$1048576"), MATCH(AB$1, OctR!$6:$6, 0), FALSE),
            0
        ) +
        IFERROR(
            VLOOKUP($A48, INDIRECT("NovR!$A$6:$ZZ$1048576"), MATCH(AB$1, NovR!$6:$6, 0), FALSE),
            0
        ) +
        IFERROR(
            VLOOKUP($A48, INDIRECT("DicR!$A$6:$ZZ$1048576"), MATCH(AB$1, DicR!$6:$6, 0), FALSE),
            0
        )
)</f>
        <v>0</v>
      </c>
      <c r="AC48" s="37">
        <f t="array" ref="AC48">SUM(
    IFERROR(
            VLOOKUP($A48, INDIRECT("EneR!$A$6:$ZZ$1048576"), MATCH(AC$1, EneR!$6:$6, 0), FALSE),
            0
        ) +
        IFERROR(
            VLOOKUP($A48, INDIRECT("FebR!$A$6:$ZZ$1048576"), MATCH(AC$1, FebR!$6:$6, 0), FALSE),
            0
        ) +
        IFERROR(
            VLOOKUP($A48, INDIRECT("MarR!$A$6:$ZZ$1048576"), MATCH(AC$1, MarR!$6:$6, 0), FALSE),
            0
        ) +
        IFERROR(
            VLOOKUP($A48, INDIRECT("AbrR!$A$6:$ZZ$1048576"), MATCH(AC$1, AbrR!$6:$6, 0), FALSE),
            0
        ) +
        IFERROR(
            VLOOKUP($A48, INDIRECT("MayR!$A$6:$ZZ$1048576"), MATCH(AC$1, MayR!$6:$6, 0), FALSE),
            0
        ) +
        IFERROR(
            VLOOKUP($A48, INDIRECT("JunR!$A$6:$ZZ$1048576"), MATCH(AC$1, JunR!$6:$6, 0), FALSE),
            0
        ) +
        IFERROR(
            VLOOKUP($A48, INDIRECT("JulR!$A$6:$ZZ$1048576"), MATCH(AC$1, JulR!$6:$6, 0), FALSE),
            0
        ) +
        IFERROR(
            VLOOKUP($A48, INDIRECT("AgoR!$A$6:$ZZ$1048576"), MATCH(AC$1, AgoR!$6:$6, 0), FALSE),
            0
        ) +
        IFERROR(
            VLOOKUP($A48, INDIRECT("SepR!$A$6:$ZZ$1048576"), MATCH(AC$1, SepR!$6:$6, 0), FALSE),
            0
        ) +
        IFERROR(
            VLOOKUP($A48, INDIRECT("OctR!$A$6:$ZZ$1048576"), MATCH(AC$1, OctR!$6:$6, 0), FALSE),
            0
        ) +
        IFERROR(
            VLOOKUP($A48, INDIRECT("NovR!$A$6:$ZZ$1048576"), MATCH(AC$1, NovR!$6:$6, 0), FALSE),
            0
        ) +
        IFERROR(
            VLOOKUP($A48, INDIRECT("DicR!$A$6:$ZZ$1048576"), MATCH(AC$1, DicR!$6:$6, 0), FALSE),
            0
        )
)</f>
        <v>0</v>
      </c>
      <c r="AD48" s="36">
        <f t="array" ref="AD48">SUM(
    IFERROR(
            VLOOKUP($A48, INDIRECT("EneR!$A$6:$ZZ$1048576"), MATCH(AD$1, EneR!$6:$6, 0), FALSE),
            0
        ) +
        IFERROR(
            VLOOKUP($A48, INDIRECT("FebR!$A$6:$ZZ$1048576"), MATCH(AD$1, FebR!$6:$6, 0), FALSE),
            0
        ) +
        IFERROR(
            VLOOKUP($A48, INDIRECT("MarR!$A$6:$ZZ$1048576"), MATCH(AD$1, MarR!$6:$6, 0), FALSE),
            0
        ) +
        IFERROR(
            VLOOKUP($A48, INDIRECT("AbrR!$A$6:$ZZ$1048576"), MATCH(AD$1, AbrR!$6:$6, 0), FALSE),
            0
        ) +
        IFERROR(
            VLOOKUP($A48, INDIRECT("MayR!$A$6:$ZZ$1048576"), MATCH(AD$1, MayR!$6:$6, 0), FALSE),
            0
        ) +
        IFERROR(
            VLOOKUP($A48, INDIRECT("JunR!$A$6:$ZZ$1048576"), MATCH(AD$1, JunR!$6:$6, 0), FALSE),
            0
        ) +
        IFERROR(
            VLOOKUP($A48, INDIRECT("JulR!$A$6:$ZZ$1048576"), MATCH(AD$1, JulR!$6:$6, 0), FALSE),
            0
        ) +
        IFERROR(
            VLOOKUP($A48, INDIRECT("AgoR!$A$6:$ZZ$1048576"), MATCH(AD$1, AgoR!$6:$6, 0), FALSE),
            0
        ) +
        IFERROR(
            VLOOKUP($A48, INDIRECT("SepR!$A$6:$ZZ$1048576"), MATCH(AD$1, SepR!$6:$6, 0), FALSE),
            0
        ) +
        IFERROR(
            VLOOKUP($A48, INDIRECT("OctR!$A$6:$ZZ$1048576"), MATCH(AD$1, OctR!$6:$6, 0), FALSE),
            0
        ) +
        IFERROR(
            VLOOKUP($A48, INDIRECT("NovR!$A$6:$ZZ$1048576"), MATCH(AD$1, NovR!$6:$6, 0), FALSE),
            0
        ) +
        IFERROR(
            VLOOKUP($A48, INDIRECT("DicR!$A$6:$ZZ$1048576"), MATCH(AD$1, DicR!$6:$6, 0), FALSE),
            0
        )
)</f>
        <v>0</v>
      </c>
      <c r="AE48" s="37">
        <f t="array" ref="AE48">SUM(
    IFERROR(
            VLOOKUP($A48, INDIRECT("EneR!$A$6:$ZZ$1048576"), MATCH(AE$1, EneR!$6:$6, 0), FALSE),
            0
        ) +
        IFERROR(
            VLOOKUP($A48, INDIRECT("FebR!$A$6:$ZZ$1048576"), MATCH(AE$1, FebR!$6:$6, 0), FALSE),
            0
        ) +
        IFERROR(
            VLOOKUP($A48, INDIRECT("MarR!$A$6:$ZZ$1048576"), MATCH(AE$1, MarR!$6:$6, 0), FALSE),
            0
        ) +
        IFERROR(
            VLOOKUP($A48, INDIRECT("AbrR!$A$6:$ZZ$1048576"), MATCH(AE$1, AbrR!$6:$6, 0), FALSE),
            0
        ) +
        IFERROR(
            VLOOKUP($A48, INDIRECT("MayR!$A$6:$ZZ$1048576"), MATCH(AE$1, MayR!$6:$6, 0), FALSE),
            0
        ) +
        IFERROR(
            VLOOKUP($A48, INDIRECT("JunR!$A$6:$ZZ$1048576"), MATCH(AE$1, JunR!$6:$6, 0), FALSE),
            0
        ) +
        IFERROR(
            VLOOKUP($A48, INDIRECT("JulR!$A$6:$ZZ$1048576"), MATCH(AE$1, JulR!$6:$6, 0), FALSE),
            0
        ) +
        IFERROR(
            VLOOKUP($A48, INDIRECT("AgoR!$A$6:$ZZ$1048576"), MATCH(AE$1, AgoR!$6:$6, 0), FALSE),
            0
        ) +
        IFERROR(
            VLOOKUP($A48, INDIRECT("SepR!$A$6:$ZZ$1048576"), MATCH(AE$1, SepR!$6:$6, 0), FALSE),
            0
        ) +
        IFERROR(
            VLOOKUP($A48, INDIRECT("OctR!$A$6:$ZZ$1048576"), MATCH(AE$1, OctR!$6:$6, 0), FALSE),
            0
        ) +
        IFERROR(
            VLOOKUP($A48, INDIRECT("NovR!$A$6:$ZZ$1048576"), MATCH(AE$1, NovR!$6:$6, 0), FALSE),
            0
        ) +
        IFERROR(
            VLOOKUP($A48, INDIRECT("DicR!$A$6:$ZZ$1048576"), MATCH(AE$1, DicR!$6:$6, 0), FALSE),
            0
        )
)</f>
        <v>0</v>
      </c>
      <c r="AF48" s="36">
        <f t="array" ref="AF48">SUM(
    IFERROR(
            VLOOKUP($A48, INDIRECT("EneR!$A$6:$ZZ$1048576"), MATCH(AF$1, EneR!$6:$6, 0), FALSE),
            0
        ) +
        IFERROR(
            VLOOKUP($A48, INDIRECT("FebR!$A$6:$ZZ$1048576"), MATCH(AF$1, FebR!$6:$6, 0), FALSE),
            0
        ) +
        IFERROR(
            VLOOKUP($A48, INDIRECT("MarR!$A$6:$ZZ$1048576"), MATCH(AF$1, MarR!$6:$6, 0), FALSE),
            0
        ) +
        IFERROR(
            VLOOKUP($A48, INDIRECT("AbrR!$A$6:$ZZ$1048576"), MATCH(AF$1, AbrR!$6:$6, 0), FALSE),
            0
        ) +
        IFERROR(
            VLOOKUP($A48, INDIRECT("MayR!$A$6:$ZZ$1048576"), MATCH(AF$1, MayR!$6:$6, 0), FALSE),
            0
        ) +
        IFERROR(
            VLOOKUP($A48, INDIRECT("JunR!$A$6:$ZZ$1048576"), MATCH(AF$1, JunR!$6:$6, 0), FALSE),
            0
        ) +
        IFERROR(
            VLOOKUP($A48, INDIRECT("JulR!$A$6:$ZZ$1048576"), MATCH(AF$1, JulR!$6:$6, 0), FALSE),
            0
        ) +
        IFERROR(
            VLOOKUP($A48, INDIRECT("AgoR!$A$6:$ZZ$1048576"), MATCH(AF$1, AgoR!$6:$6, 0), FALSE),
            0
        ) +
        IFERROR(
            VLOOKUP($A48, INDIRECT("SepR!$A$6:$ZZ$1048576"), MATCH(AF$1, SepR!$6:$6, 0), FALSE),
            0
        ) +
        IFERROR(
            VLOOKUP($A48, INDIRECT("OctR!$A$6:$ZZ$1048576"), MATCH(AF$1, OctR!$6:$6, 0), FALSE),
            0
        ) +
        IFERROR(
            VLOOKUP($A48, INDIRECT("NovR!$A$6:$ZZ$1048576"), MATCH(AF$1, NovR!$6:$6, 0), FALSE),
            0
        ) +
        IFERROR(
            VLOOKUP($A48, INDIRECT("DicR!$A$6:$ZZ$1048576"), MATCH(AF$1, DicR!$6:$6, 0), FALSE),
            0
        )
)</f>
        <v>0</v>
      </c>
      <c r="AG48" s="37">
        <f t="array" ref="AG48">SUM(
    IFERROR(
            VLOOKUP($A48, INDIRECT("EneR!$A$6:$ZZ$1048576"), MATCH(AG$1, EneR!$6:$6, 0), FALSE),
            0
        ) +
        IFERROR(
            VLOOKUP($A48, INDIRECT("FebR!$A$6:$ZZ$1048576"), MATCH(AG$1, FebR!$6:$6, 0), FALSE),
            0
        ) +
        IFERROR(
            VLOOKUP($A48, INDIRECT("MarR!$A$6:$ZZ$1048576"), MATCH(AG$1, MarR!$6:$6, 0), FALSE),
            0
        ) +
        IFERROR(
            VLOOKUP($A48, INDIRECT("AbrR!$A$6:$ZZ$1048576"), MATCH(AG$1, AbrR!$6:$6, 0), FALSE),
            0
        ) +
        IFERROR(
            VLOOKUP($A48, INDIRECT("MayR!$A$6:$ZZ$1048576"), MATCH(AG$1, MayR!$6:$6, 0), FALSE),
            0
        ) +
        IFERROR(
            VLOOKUP($A48, INDIRECT("JunR!$A$6:$ZZ$1048576"), MATCH(AG$1, JunR!$6:$6, 0), FALSE),
            0
        ) +
        IFERROR(
            VLOOKUP($A48, INDIRECT("JulR!$A$6:$ZZ$1048576"), MATCH(AG$1, JulR!$6:$6, 0), FALSE),
            0
        ) +
        IFERROR(
            VLOOKUP($A48, INDIRECT("AgoR!$A$6:$ZZ$1048576"), MATCH(AG$1, AgoR!$6:$6, 0), FALSE),
            0
        ) +
        IFERROR(
            VLOOKUP($A48, INDIRECT("SepR!$A$6:$ZZ$1048576"), MATCH(AG$1, SepR!$6:$6, 0), FALSE),
            0
        ) +
        IFERROR(
            VLOOKUP($A48, INDIRECT("OctR!$A$6:$ZZ$1048576"), MATCH(AG$1, OctR!$6:$6, 0), FALSE),
            0
        ) +
        IFERROR(
            VLOOKUP($A48, INDIRECT("NovR!$A$6:$ZZ$1048576"), MATCH(AG$1, NovR!$6:$6, 0), FALSE),
            0
        ) +
        IFERROR(
            VLOOKUP($A48, INDIRECT("DicR!$A$6:$ZZ$1048576"), MATCH(AG$1, DicR!$6:$6, 0), FALSE),
            0
        )
)</f>
        <v>0</v>
      </c>
      <c r="AH48" s="36">
        <f t="array" ref="AH48">SUM(
    IFERROR(
            VLOOKUP($A48, INDIRECT("EneR!$A$6:$ZZ$1048576"), MATCH(AH$1, EneR!$6:$6, 0), FALSE),
            0
        ) +
        IFERROR(
            VLOOKUP($A48, INDIRECT("FebR!$A$6:$ZZ$1048576"), MATCH(AH$1, FebR!$6:$6, 0), FALSE),
            0
        ) +
        IFERROR(
            VLOOKUP($A48, INDIRECT("MarR!$A$6:$ZZ$1048576"), MATCH(AH$1, MarR!$6:$6, 0), FALSE),
            0
        ) +
        IFERROR(
            VLOOKUP($A48, INDIRECT("AbrR!$A$6:$ZZ$1048576"), MATCH(AH$1, AbrR!$6:$6, 0), FALSE),
            0
        ) +
        IFERROR(
            VLOOKUP($A48, INDIRECT("MayR!$A$6:$ZZ$1048576"), MATCH(AH$1, MayR!$6:$6, 0), FALSE),
            0
        ) +
        IFERROR(
            VLOOKUP($A48, INDIRECT("JunR!$A$6:$ZZ$1048576"), MATCH(AH$1, JunR!$6:$6, 0), FALSE),
            0
        ) +
        IFERROR(
            VLOOKUP($A48, INDIRECT("JulR!$A$6:$ZZ$1048576"), MATCH(AH$1, JulR!$6:$6, 0), FALSE),
            0
        ) +
        IFERROR(
            VLOOKUP($A48, INDIRECT("AgoR!$A$6:$ZZ$1048576"), MATCH(AH$1, AgoR!$6:$6, 0), FALSE),
            0
        ) +
        IFERROR(
            VLOOKUP($A48, INDIRECT("SepR!$A$6:$ZZ$1048576"), MATCH(AH$1, SepR!$6:$6, 0), FALSE),
            0
        ) +
        IFERROR(
            VLOOKUP($A48, INDIRECT("OctR!$A$6:$ZZ$1048576"), MATCH(AH$1, OctR!$6:$6, 0), FALSE),
            0
        ) +
        IFERROR(
            VLOOKUP($A48, INDIRECT("NovR!$A$6:$ZZ$1048576"), MATCH(AH$1, NovR!$6:$6, 0), FALSE),
            0
        ) +
        IFERROR(
            VLOOKUP($A48, INDIRECT("DicR!$A$6:$ZZ$1048576"), MATCH(AH$1, DicR!$6:$6, 0), FALSE),
            0
        )
)</f>
        <v>0</v>
      </c>
      <c r="AI48" s="37">
        <f t="array" ref="AI48">SUM(
    IFERROR(
            VLOOKUP($A48, INDIRECT("EneR!$A$6:$ZZ$1048576"), MATCH(AI$1, EneR!$6:$6, 0), FALSE),
            0
        ) +
        IFERROR(
            VLOOKUP($A48, INDIRECT("FebR!$A$6:$ZZ$1048576"), MATCH(AI$1, FebR!$6:$6, 0), FALSE),
            0
        ) +
        IFERROR(
            VLOOKUP($A48, INDIRECT("MarR!$A$6:$ZZ$1048576"), MATCH(AI$1, MarR!$6:$6, 0), FALSE),
            0
        ) +
        IFERROR(
            VLOOKUP($A48, INDIRECT("AbrR!$A$6:$ZZ$1048576"), MATCH(AI$1, AbrR!$6:$6, 0), FALSE),
            0
        ) +
        IFERROR(
            VLOOKUP($A48, INDIRECT("MayR!$A$6:$ZZ$1048576"), MATCH(AI$1, MayR!$6:$6, 0), FALSE),
            0
        ) +
        IFERROR(
            VLOOKUP($A48, INDIRECT("JunR!$A$6:$ZZ$1048576"), MATCH(AI$1, JunR!$6:$6, 0), FALSE),
            0
        ) +
        IFERROR(
            VLOOKUP($A48, INDIRECT("JulR!$A$6:$ZZ$1048576"), MATCH(AI$1, JulR!$6:$6, 0), FALSE),
            0
        ) +
        IFERROR(
            VLOOKUP($A48, INDIRECT("AgoR!$A$6:$ZZ$1048576"), MATCH(AI$1, AgoR!$6:$6, 0), FALSE),
            0
        ) +
        IFERROR(
            VLOOKUP($A48, INDIRECT("SepR!$A$6:$ZZ$1048576"), MATCH(AI$1, SepR!$6:$6, 0), FALSE),
            0
        ) +
        IFERROR(
            VLOOKUP($A48, INDIRECT("OctR!$A$6:$ZZ$1048576"), MATCH(AI$1, OctR!$6:$6, 0), FALSE),
            0
        ) +
        IFERROR(
            VLOOKUP($A48, INDIRECT("NovR!$A$6:$ZZ$1048576"), MATCH(AI$1, NovR!$6:$6, 0), FALSE),
            0
        ) +
        IFERROR(
            VLOOKUP($A48, INDIRECT("DicR!$A$6:$ZZ$1048576"), MATCH(AI$1, DicR!$6:$6, 0), FALSE),
            0
        )
)</f>
        <v>0</v>
      </c>
      <c r="AJ48" s="36">
        <f t="array" ref="AJ48">SUM(
    IFERROR(
            VLOOKUP($A48, INDIRECT("EneR!$A$6:$ZZ$1048576"), MATCH(AJ$1, EneR!$6:$6, 0), FALSE),
            0
        ) +
        IFERROR(
            VLOOKUP($A48, INDIRECT("FebR!$A$6:$ZZ$1048576"), MATCH(AJ$1, FebR!$6:$6, 0), FALSE),
            0
        ) +
        IFERROR(
            VLOOKUP($A48, INDIRECT("MarR!$A$6:$ZZ$1048576"), MATCH(AJ$1, MarR!$6:$6, 0), FALSE),
            0
        ) +
        IFERROR(
            VLOOKUP($A48, INDIRECT("AbrR!$A$6:$ZZ$1048576"), MATCH(AJ$1, AbrR!$6:$6, 0), FALSE),
            0
        ) +
        IFERROR(
            VLOOKUP($A48, INDIRECT("MayR!$A$6:$ZZ$1048576"), MATCH(AJ$1, MayR!$6:$6, 0), FALSE),
            0
        ) +
        IFERROR(
            VLOOKUP($A48, INDIRECT("JunR!$A$6:$ZZ$1048576"), MATCH(AJ$1, JunR!$6:$6, 0), FALSE),
            0
        ) +
        IFERROR(
            VLOOKUP($A48, INDIRECT("JulR!$A$6:$ZZ$1048576"), MATCH(AJ$1, JulR!$6:$6, 0), FALSE),
            0
        ) +
        IFERROR(
            VLOOKUP($A48, INDIRECT("AgoR!$A$6:$ZZ$1048576"), MATCH(AJ$1, AgoR!$6:$6, 0), FALSE),
            0
        ) +
        IFERROR(
            VLOOKUP($A48, INDIRECT("SepR!$A$6:$ZZ$1048576"), MATCH(AJ$1, SepR!$6:$6, 0), FALSE),
            0
        ) +
        IFERROR(
            VLOOKUP($A48, INDIRECT("OctR!$A$6:$ZZ$1048576"), MATCH(AJ$1, OctR!$6:$6, 0), FALSE),
            0
        ) +
        IFERROR(
            VLOOKUP($A48, INDIRECT("NovR!$A$6:$ZZ$1048576"), MATCH(AJ$1, NovR!$6:$6, 0), FALSE),
            0
        ) +
        IFERROR(
            VLOOKUP($A48, INDIRECT("DicR!$A$6:$ZZ$1048576"), MATCH(AJ$1, DicR!$6:$6, 0), FALSE),
            0
        )
)</f>
        <v>0</v>
      </c>
      <c r="AK48" s="37">
        <f t="array" ref="AK48">SUM(
    IFERROR(
            VLOOKUP($A48, INDIRECT("EneR!$A$6:$ZZ$1048576"), MATCH(AK$1, EneR!$6:$6, 0), FALSE),
            0
        ) +
        IFERROR(
            VLOOKUP($A48, INDIRECT("FebR!$A$6:$ZZ$1048576"), MATCH(AK$1, FebR!$6:$6, 0), FALSE),
            0
        ) +
        IFERROR(
            VLOOKUP($A48, INDIRECT("MarR!$A$6:$ZZ$1048576"), MATCH(AK$1, MarR!$6:$6, 0), FALSE),
            0
        ) +
        IFERROR(
            VLOOKUP($A48, INDIRECT("AbrR!$A$6:$ZZ$1048576"), MATCH(AK$1, AbrR!$6:$6, 0), FALSE),
            0
        ) +
        IFERROR(
            VLOOKUP($A48, INDIRECT("MayR!$A$6:$ZZ$1048576"), MATCH(AK$1, MayR!$6:$6, 0), FALSE),
            0
        ) +
        IFERROR(
            VLOOKUP($A48, INDIRECT("JunR!$A$6:$ZZ$1048576"), MATCH(AK$1, JunR!$6:$6, 0), FALSE),
            0
        ) +
        IFERROR(
            VLOOKUP($A48, INDIRECT("JulR!$A$6:$ZZ$1048576"), MATCH(AK$1, JulR!$6:$6, 0), FALSE),
            0
        ) +
        IFERROR(
            VLOOKUP($A48, INDIRECT("AgoR!$A$6:$ZZ$1048576"), MATCH(AK$1, AgoR!$6:$6, 0), FALSE),
            0
        ) +
        IFERROR(
            VLOOKUP($A48, INDIRECT("SepR!$A$6:$ZZ$1048576"), MATCH(AK$1, SepR!$6:$6, 0), FALSE),
            0
        ) +
        IFERROR(
            VLOOKUP($A48, INDIRECT("OctR!$A$6:$ZZ$1048576"), MATCH(AK$1, OctR!$6:$6, 0), FALSE),
            0
        ) +
        IFERROR(
            VLOOKUP($A48, INDIRECT("NovR!$A$6:$ZZ$1048576"), MATCH(AK$1, NovR!$6:$6, 0), FALSE),
            0
        ) +
        IFERROR(
            VLOOKUP($A48, INDIRECT("DicR!$A$6:$ZZ$1048576"), MATCH(AK$1, DicR!$6:$6, 0), FALSE),
            0
        )
)</f>
        <v>0</v>
      </c>
      <c r="AL48" s="36">
        <f t="array" ref="AL48">SUM(
    IFERROR(
            VLOOKUP($A48, INDIRECT("EneR!$A$6:$ZZ$1048576"), MATCH(AL$1, EneR!$6:$6, 0), FALSE),
            0
        ) +
        IFERROR(
            VLOOKUP($A48, INDIRECT("FebR!$A$6:$ZZ$1048576"), MATCH(AL$1, FebR!$6:$6, 0), FALSE),
            0
        ) +
        IFERROR(
            VLOOKUP($A48, INDIRECT("MarR!$A$6:$ZZ$1048576"), MATCH(AL$1, MarR!$6:$6, 0), FALSE),
            0
        ) +
        IFERROR(
            VLOOKUP($A48, INDIRECT("AbrR!$A$6:$ZZ$1048576"), MATCH(AL$1, AbrR!$6:$6, 0), FALSE),
            0
        ) +
        IFERROR(
            VLOOKUP($A48, INDIRECT("MayR!$A$6:$ZZ$1048576"), MATCH(AL$1, MayR!$6:$6, 0), FALSE),
            0
        ) +
        IFERROR(
            VLOOKUP($A48, INDIRECT("JunR!$A$6:$ZZ$1048576"), MATCH(AL$1, JunR!$6:$6, 0), FALSE),
            0
        ) +
        IFERROR(
            VLOOKUP($A48, INDIRECT("JulR!$A$6:$ZZ$1048576"), MATCH(AL$1, JulR!$6:$6, 0), FALSE),
            0
        ) +
        IFERROR(
            VLOOKUP($A48, INDIRECT("AgoR!$A$6:$ZZ$1048576"), MATCH(AL$1, AgoR!$6:$6, 0), FALSE),
            0
        ) +
        IFERROR(
            VLOOKUP($A48, INDIRECT("SepR!$A$6:$ZZ$1048576"), MATCH(AL$1, SepR!$6:$6, 0), FALSE),
            0
        ) +
        IFERROR(
            VLOOKUP($A48, INDIRECT("OctR!$A$6:$ZZ$1048576"), MATCH(AL$1, OctR!$6:$6, 0), FALSE),
            0
        ) +
        IFERROR(
            VLOOKUP($A48, INDIRECT("NovR!$A$6:$ZZ$1048576"), MATCH(AL$1, NovR!$6:$6, 0), FALSE),
            0
        ) +
        IFERROR(
            VLOOKUP($A48, INDIRECT("DicR!$A$6:$ZZ$1048576"), MATCH(AL$1, DicR!$6:$6, 0), FALSE),
            0
        )
)</f>
        <v>0</v>
      </c>
      <c r="AM48" s="37">
        <f t="array" ref="AM48">SUM(
    IFERROR(
            VLOOKUP($A48, INDIRECT("EneR!$A$6:$ZZ$1048576"), MATCH(AM$1, EneR!$6:$6, 0), FALSE),
            0
        ) +
        IFERROR(
            VLOOKUP($A48, INDIRECT("FebR!$A$6:$ZZ$1048576"), MATCH(AM$1, FebR!$6:$6, 0), FALSE),
            0
        ) +
        IFERROR(
            VLOOKUP($A48, INDIRECT("MarR!$A$6:$ZZ$1048576"), MATCH(AM$1, MarR!$6:$6, 0), FALSE),
            0
        ) +
        IFERROR(
            VLOOKUP($A48, INDIRECT("AbrR!$A$6:$ZZ$1048576"), MATCH(AM$1, AbrR!$6:$6, 0), FALSE),
            0
        ) +
        IFERROR(
            VLOOKUP($A48, INDIRECT("MayR!$A$6:$ZZ$1048576"), MATCH(AM$1, MayR!$6:$6, 0), FALSE),
            0
        ) +
        IFERROR(
            VLOOKUP($A48, INDIRECT("JunR!$A$6:$ZZ$1048576"), MATCH(AM$1, JunR!$6:$6, 0), FALSE),
            0
        ) +
        IFERROR(
            VLOOKUP($A48, INDIRECT("JulR!$A$6:$ZZ$1048576"), MATCH(AM$1, JulR!$6:$6, 0), FALSE),
            0
        ) +
        IFERROR(
            VLOOKUP($A48, INDIRECT("AgoR!$A$6:$ZZ$1048576"), MATCH(AM$1, AgoR!$6:$6, 0), FALSE),
            0
        ) +
        IFERROR(
            VLOOKUP($A48, INDIRECT("SepR!$A$6:$ZZ$1048576"), MATCH(AM$1, SepR!$6:$6, 0), FALSE),
            0
        ) +
        IFERROR(
            VLOOKUP($A48, INDIRECT("OctR!$A$6:$ZZ$1048576"), MATCH(AM$1, OctR!$6:$6, 0), FALSE),
            0
        ) +
        IFERROR(
            VLOOKUP($A48, INDIRECT("NovR!$A$6:$ZZ$1048576"), MATCH(AM$1, NovR!$6:$6, 0), FALSE),
            0
        ) +
        IFERROR(
            VLOOKUP($A48, INDIRECT("DicR!$A$6:$ZZ$1048576"), MATCH(AM$1, DicR!$6:$6, 0), FALSE),
            0
        )
)</f>
        <v>0</v>
      </c>
      <c r="AN48" s="32">
        <f t="array" ref="AN48">SUM(
    IFERROR(
            VLOOKUP($A48, INDIRECT("EneR!$A$6:$ZZ$1048576"), MATCH(AN$1, EneR!$6:$6, 0), FALSE),
            0
        ) +
        IFERROR(
            VLOOKUP($A48, INDIRECT("FebR!$A$6:$ZZ$1048576"), MATCH(AN$1, FebR!$6:$6, 0), FALSE),
            0
        ) +
        IFERROR(
            VLOOKUP($A48, INDIRECT("MarR!$A$6:$ZZ$1048576"), MATCH(AN$1, MarR!$6:$6, 0), FALSE),
            0
        ) +
        IFERROR(
            VLOOKUP($A48, INDIRECT("AbrR!$A$6:$ZZ$1048576"), MATCH(AN$1, AbrR!$6:$6, 0), FALSE),
            0
        ) +
        IFERROR(
            VLOOKUP($A48, INDIRECT("MayR!$A$6:$ZZ$1048576"), MATCH(AN$1, MayR!$6:$6, 0), FALSE),
            0
        ) +
        IFERROR(
            VLOOKUP($A48, INDIRECT("JunR!$A$6:$ZZ$1048576"), MATCH(AN$1, JunR!$6:$6, 0), FALSE),
            0
        ) +
        IFERROR(
            VLOOKUP($A48, INDIRECT("JulR!$A$6:$ZZ$1048576"), MATCH(AN$1, JulR!$6:$6, 0), FALSE),
            0
        ) +
        IFERROR(
            VLOOKUP($A48, INDIRECT("AgoR!$A$6:$ZZ$1048576"), MATCH(AN$1, AgoR!$6:$6, 0), FALSE),
            0
        ) +
        IFERROR(
            VLOOKUP($A48, INDIRECT("SepR!$A$6:$ZZ$1048576"), MATCH(AN$1, SepR!$6:$6, 0), FALSE),
            0
        ) +
        IFERROR(
            VLOOKUP($A48, INDIRECT("OctR!$A$6:$ZZ$1048576"), MATCH(AN$1, OctR!$6:$6, 0), FALSE),
            0
        ) +
        IFERROR(
            VLOOKUP($A48, INDIRECT("NovR!$A$6:$ZZ$1048576"), MATCH(AN$1, NovR!$6:$6, 0), FALSE),
            0
        ) +
        IFERROR(
            VLOOKUP($A48, INDIRECT("DicR!$A$6:$ZZ$1048576"), MATCH(AN$1, DicR!$6:$6, 0), FALSE),
            0
        )
)</f>
        <v>0</v>
      </c>
      <c r="AO48" s="35">
        <f t="array" ref="AO48">SUM(
    IFERROR(
            VLOOKUP($A48, INDIRECT("EneR!$A$6:$ZZ$1048576"), MATCH(AO$1, EneR!$6:$6, 0), FALSE),
            0
        ) +
        IFERROR(
            VLOOKUP($A48, INDIRECT("FebR!$A$6:$ZZ$1048576"), MATCH(AO$1, FebR!$6:$6, 0), FALSE),
            0
        ) +
        IFERROR(
            VLOOKUP($A48, INDIRECT("MarR!$A$6:$ZZ$1048576"), MATCH(AO$1, MarR!$6:$6, 0), FALSE),
            0
        ) +
        IFERROR(
            VLOOKUP($A48, INDIRECT("AbrR!$A$6:$ZZ$1048576"), MATCH(AO$1, AbrR!$6:$6, 0), FALSE),
            0
        ) +
        IFERROR(
            VLOOKUP($A48, INDIRECT("MayR!$A$6:$ZZ$1048576"), MATCH(AO$1, MayR!$6:$6, 0), FALSE),
            0
        ) +
        IFERROR(
            VLOOKUP($A48, INDIRECT("JunR!$A$6:$ZZ$1048576"), MATCH(AO$1, JunR!$6:$6, 0), FALSE),
            0
        ) +
        IFERROR(
            VLOOKUP($A48, INDIRECT("JulR!$A$6:$ZZ$1048576"), MATCH(AO$1, JulR!$6:$6, 0), FALSE),
            0
        ) +
        IFERROR(
            VLOOKUP($A48, INDIRECT("AgoR!$A$6:$ZZ$1048576"), MATCH(AO$1, AgoR!$6:$6, 0), FALSE),
            0
        ) +
        IFERROR(
            VLOOKUP($A48, INDIRECT("SepR!$A$6:$ZZ$1048576"), MATCH(AO$1, SepR!$6:$6, 0), FALSE),
            0
        ) +
        IFERROR(
            VLOOKUP($A48, INDIRECT("OctR!$A$6:$ZZ$1048576"), MATCH(AO$1, OctR!$6:$6, 0), FALSE),
            0
        ) +
        IFERROR(
            VLOOKUP($A48, INDIRECT("NovR!$A$6:$ZZ$1048576"), MATCH(AO$1, NovR!$6:$6, 0), FALSE),
            0
        ) +
        IFERROR(
            VLOOKUP($A48, INDIRECT("DicR!$A$6:$ZZ$1048576"), MATCH(AO$1, DicR!$6:$6, 0), FALSE),
            0
        )
)</f>
        <v>0</v>
      </c>
      <c r="AP48" s="36">
        <f t="array" ref="AP48">SUM(
    IFERROR(
            VLOOKUP($A48, INDIRECT("EneR!$A$6:$ZZ$1048576"), MATCH(AP$1, EneR!$6:$6, 0), FALSE),
            0
        ) +
        IFERROR(
            VLOOKUP($A48, INDIRECT("FebR!$A$6:$ZZ$1048576"), MATCH(AP$1, FebR!$6:$6, 0), FALSE),
            0
        ) +
        IFERROR(
            VLOOKUP($A48, INDIRECT("MarR!$A$6:$ZZ$1048576"), MATCH(AP$1, MarR!$6:$6, 0), FALSE),
            0
        ) +
        IFERROR(
            VLOOKUP($A48, INDIRECT("AbrR!$A$6:$ZZ$1048576"), MATCH(AP$1, AbrR!$6:$6, 0), FALSE),
            0
        ) +
        IFERROR(
            VLOOKUP($A48, INDIRECT("MayR!$A$6:$ZZ$1048576"), MATCH(AP$1, MayR!$6:$6, 0), FALSE),
            0
        ) +
        IFERROR(
            VLOOKUP($A48, INDIRECT("JunR!$A$6:$ZZ$1048576"), MATCH(AP$1, JunR!$6:$6, 0), FALSE),
            0
        ) +
        IFERROR(
            VLOOKUP($A48, INDIRECT("JulR!$A$6:$ZZ$1048576"), MATCH(AP$1, JulR!$6:$6, 0), FALSE),
            0
        ) +
        IFERROR(
            VLOOKUP($A48, INDIRECT("AgoR!$A$6:$ZZ$1048576"), MATCH(AP$1, AgoR!$6:$6, 0), FALSE),
            0
        ) +
        IFERROR(
            VLOOKUP($A48, INDIRECT("SepR!$A$6:$ZZ$1048576"), MATCH(AP$1, SepR!$6:$6, 0), FALSE),
            0
        ) +
        IFERROR(
            VLOOKUP($A48, INDIRECT("OctR!$A$6:$ZZ$1048576"), MATCH(AP$1, OctR!$6:$6, 0), FALSE),
            0
        ) +
        IFERROR(
            VLOOKUP($A48, INDIRECT("NovR!$A$6:$ZZ$1048576"), MATCH(AP$1, NovR!$6:$6, 0), FALSE),
            0
        ) +
        IFERROR(
            VLOOKUP($A48, INDIRECT("DicR!$A$6:$ZZ$1048576"), MATCH(AP$1, DicR!$6:$6, 0), FALSE),
            0
        )
)</f>
        <v>0</v>
      </c>
      <c r="AQ48" s="35">
        <f t="array" ref="AQ48">SUM(
    IFERROR(
            VLOOKUP($A48, INDIRECT("EneR!$A$6:$ZZ$1048576"), MATCH(AQ$1, EneR!$6:$6, 0), FALSE),
            0
        ) +
        IFERROR(
            VLOOKUP($A48, INDIRECT("FebR!$A$6:$ZZ$1048576"), MATCH(AQ$1, FebR!$6:$6, 0), FALSE),
            0
        ) +
        IFERROR(
            VLOOKUP($A48, INDIRECT("MarR!$A$6:$ZZ$1048576"), MATCH(AQ$1, MarR!$6:$6, 0), FALSE),
            0
        ) +
        IFERROR(
            VLOOKUP($A48, INDIRECT("AbrR!$A$6:$ZZ$1048576"), MATCH(AQ$1, AbrR!$6:$6, 0), FALSE),
            0
        ) +
        IFERROR(
            VLOOKUP($A48, INDIRECT("MayR!$A$6:$ZZ$1048576"), MATCH(AQ$1, MayR!$6:$6, 0), FALSE),
            0
        ) +
        IFERROR(
            VLOOKUP($A48, INDIRECT("JunR!$A$6:$ZZ$1048576"), MATCH(AQ$1, JunR!$6:$6, 0), FALSE),
            0
        ) +
        IFERROR(
            VLOOKUP($A48, INDIRECT("JulR!$A$6:$ZZ$1048576"), MATCH(AQ$1, JulR!$6:$6, 0), FALSE),
            0
        ) +
        IFERROR(
            VLOOKUP($A48, INDIRECT("AgoR!$A$6:$ZZ$1048576"), MATCH(AQ$1, AgoR!$6:$6, 0), FALSE),
            0
        ) +
        IFERROR(
            VLOOKUP($A48, INDIRECT("SepR!$A$6:$ZZ$1048576"), MATCH(AQ$1, SepR!$6:$6, 0), FALSE),
            0
        ) +
        IFERROR(
            VLOOKUP($A48, INDIRECT("OctR!$A$6:$ZZ$1048576"), MATCH(AQ$1, OctR!$6:$6, 0), FALSE),
            0
        ) +
        IFERROR(
            VLOOKUP($A48, INDIRECT("NovR!$A$6:$ZZ$1048576"), MATCH(AQ$1, NovR!$6:$6, 0), FALSE),
            0
        ) +
        IFERROR(
            VLOOKUP($A48, INDIRECT("DicR!$A$6:$ZZ$1048576"), MATCH(AQ$1, DicR!$6:$6, 0), FALSE),
            0
        )
)</f>
        <v>0</v>
      </c>
      <c r="AR48" s="36">
        <f t="array" ref="AR48">SUM(
    IFERROR(
            VLOOKUP($A48, INDIRECT("EneR!$A$6:$ZZ$1048576"), MATCH(AR$1, EneR!$6:$6, 0), FALSE),
            0
        ) +
        IFERROR(
            VLOOKUP($A48, INDIRECT("FebR!$A$6:$ZZ$1048576"), MATCH(AR$1, FebR!$6:$6, 0), FALSE),
            0
        ) +
        IFERROR(
            VLOOKUP($A48, INDIRECT("MarR!$A$6:$ZZ$1048576"), MATCH(AR$1, MarR!$6:$6, 0), FALSE),
            0
        ) +
        IFERROR(
            VLOOKUP($A48, INDIRECT("AbrR!$A$6:$ZZ$1048576"), MATCH(AR$1, AbrR!$6:$6, 0), FALSE),
            0
        ) +
        IFERROR(
            VLOOKUP($A48, INDIRECT("MayR!$A$6:$ZZ$1048576"), MATCH(AR$1, MayR!$6:$6, 0), FALSE),
            0
        ) +
        IFERROR(
            VLOOKUP($A48, INDIRECT("JunR!$A$6:$ZZ$1048576"), MATCH(AR$1, JunR!$6:$6, 0), FALSE),
            0
        ) +
        IFERROR(
            VLOOKUP($A48, INDIRECT("JulR!$A$6:$ZZ$1048576"), MATCH(AR$1, JulR!$6:$6, 0), FALSE),
            0
        ) +
        IFERROR(
            VLOOKUP($A48, INDIRECT("AgoR!$A$6:$ZZ$1048576"), MATCH(AR$1, AgoR!$6:$6, 0), FALSE),
            0
        ) +
        IFERROR(
            VLOOKUP($A48, INDIRECT("SepR!$A$6:$ZZ$1048576"), MATCH(AR$1, SepR!$6:$6, 0), FALSE),
            0
        ) +
        IFERROR(
            VLOOKUP($A48, INDIRECT("OctR!$A$6:$ZZ$1048576"), MATCH(AR$1, OctR!$6:$6, 0), FALSE),
            0
        ) +
        IFERROR(
            VLOOKUP($A48, INDIRECT("NovR!$A$6:$ZZ$1048576"), MATCH(AR$1, NovR!$6:$6, 0), FALSE),
            0
        ) +
        IFERROR(
            VLOOKUP($A48, INDIRECT("DicR!$A$6:$ZZ$1048576"), MATCH(AR$1, DicR!$6:$6, 0), FALSE),
            0
        )
)</f>
        <v>0</v>
      </c>
      <c r="AS48" s="35">
        <f t="array" ref="AS48">SUM(
    IFERROR(
            VLOOKUP($A48, INDIRECT("EneR!$A$6:$ZZ$1048576"), MATCH(AS$1, EneR!$6:$6, 0), FALSE),
            0
        ) +
        IFERROR(
            VLOOKUP($A48, INDIRECT("FebR!$A$6:$ZZ$1048576"), MATCH(AS$1, FebR!$6:$6, 0), FALSE),
            0
        ) +
        IFERROR(
            VLOOKUP($A48, INDIRECT("MarR!$A$6:$ZZ$1048576"), MATCH(AS$1, MarR!$6:$6, 0), FALSE),
            0
        ) +
        IFERROR(
            VLOOKUP($A48, INDIRECT("AbrR!$A$6:$ZZ$1048576"), MATCH(AS$1, AbrR!$6:$6, 0), FALSE),
            0
        ) +
        IFERROR(
            VLOOKUP($A48, INDIRECT("MayR!$A$6:$ZZ$1048576"), MATCH(AS$1, MayR!$6:$6, 0), FALSE),
            0
        ) +
        IFERROR(
            VLOOKUP($A48, INDIRECT("JunR!$A$6:$ZZ$1048576"), MATCH(AS$1, JunR!$6:$6, 0), FALSE),
            0
        ) +
        IFERROR(
            VLOOKUP($A48, INDIRECT("JulR!$A$6:$ZZ$1048576"), MATCH(AS$1, JulR!$6:$6, 0), FALSE),
            0
        ) +
        IFERROR(
            VLOOKUP($A48, INDIRECT("AgoR!$A$6:$ZZ$1048576"), MATCH(AS$1, AgoR!$6:$6, 0), FALSE),
            0
        ) +
        IFERROR(
            VLOOKUP($A48, INDIRECT("SepR!$A$6:$ZZ$1048576"), MATCH(AS$1, SepR!$6:$6, 0), FALSE),
            0
        ) +
        IFERROR(
            VLOOKUP($A48, INDIRECT("OctR!$A$6:$ZZ$1048576"), MATCH(AS$1, OctR!$6:$6, 0), FALSE),
            0
        ) +
        IFERROR(
            VLOOKUP($A48, INDIRECT("NovR!$A$6:$ZZ$1048576"), MATCH(AS$1, NovR!$6:$6, 0), FALSE),
            0
        ) +
        IFERROR(
            VLOOKUP($A48, INDIRECT("DicR!$A$6:$ZZ$1048576"), MATCH(AS$1, DicR!$6:$6, 0), FALSE),
            0
        )
)</f>
        <v>0</v>
      </c>
      <c r="AT48" s="36">
        <f t="array" ref="AT48">SUM(
    IFERROR(
            VLOOKUP($A48, INDIRECT("EneR!$A$6:$ZZ$1048576"), MATCH(AT$1, EneR!$6:$6, 0), FALSE),
            0
        ) +
        IFERROR(
            VLOOKUP($A48, INDIRECT("FebR!$A$6:$ZZ$1048576"), MATCH(AT$1, FebR!$6:$6, 0), FALSE),
            0
        ) +
        IFERROR(
            VLOOKUP($A48, INDIRECT("MarR!$A$6:$ZZ$1048576"), MATCH(AT$1, MarR!$6:$6, 0), FALSE),
            0
        ) +
        IFERROR(
            VLOOKUP($A48, INDIRECT("AbrR!$A$6:$ZZ$1048576"), MATCH(AT$1, AbrR!$6:$6, 0), FALSE),
            0
        ) +
        IFERROR(
            VLOOKUP($A48, INDIRECT("MayR!$A$6:$ZZ$1048576"), MATCH(AT$1, MayR!$6:$6, 0), FALSE),
            0
        ) +
        IFERROR(
            VLOOKUP($A48, INDIRECT("JunR!$A$6:$ZZ$1048576"), MATCH(AT$1, JunR!$6:$6, 0), FALSE),
            0
        ) +
        IFERROR(
            VLOOKUP($A48, INDIRECT("JulR!$A$6:$ZZ$1048576"), MATCH(AT$1, JulR!$6:$6, 0), FALSE),
            0
        ) +
        IFERROR(
            VLOOKUP($A48, INDIRECT("AgoR!$A$6:$ZZ$1048576"), MATCH(AT$1, AgoR!$6:$6, 0), FALSE),
            0
        ) +
        IFERROR(
            VLOOKUP($A48, INDIRECT("SepR!$A$6:$ZZ$1048576"), MATCH(AT$1, SepR!$6:$6, 0), FALSE),
            0
        ) +
        IFERROR(
            VLOOKUP($A48, INDIRECT("OctR!$A$6:$ZZ$1048576"), MATCH(AT$1, OctR!$6:$6, 0), FALSE),
            0
        ) +
        IFERROR(
            VLOOKUP($A48, INDIRECT("NovR!$A$6:$ZZ$1048576"), MATCH(AT$1, NovR!$6:$6, 0), FALSE),
            0
        ) +
        IFERROR(
            VLOOKUP($A48, INDIRECT("DicR!$A$6:$ZZ$1048576"), MATCH(AT$1, DicR!$6:$6, 0), FALSE),
            0
        )
)</f>
        <v>0</v>
      </c>
      <c r="AU48" s="35">
        <f t="array" ref="AU48">SUM(
    IFERROR(
            VLOOKUP($A48, INDIRECT("EneR!$A$6:$ZZ$1048576"), MATCH(AU$1, EneR!$6:$6, 0), FALSE),
            0
        ) +
        IFERROR(
            VLOOKUP($A48, INDIRECT("FebR!$A$6:$ZZ$1048576"), MATCH(AU$1, FebR!$6:$6, 0), FALSE),
            0
        ) +
        IFERROR(
            VLOOKUP($A48, INDIRECT("MarR!$A$6:$ZZ$1048576"), MATCH(AU$1, MarR!$6:$6, 0), FALSE),
            0
        ) +
        IFERROR(
            VLOOKUP($A48, INDIRECT("AbrR!$A$6:$ZZ$1048576"), MATCH(AU$1, AbrR!$6:$6, 0), FALSE),
            0
        ) +
        IFERROR(
            VLOOKUP($A48, INDIRECT("MayR!$A$6:$ZZ$1048576"), MATCH(AU$1, MayR!$6:$6, 0), FALSE),
            0
        ) +
        IFERROR(
            VLOOKUP($A48, INDIRECT("JunR!$A$6:$ZZ$1048576"), MATCH(AU$1, JunR!$6:$6, 0), FALSE),
            0
        ) +
        IFERROR(
            VLOOKUP($A48, INDIRECT("JulR!$A$6:$ZZ$1048576"), MATCH(AU$1, JulR!$6:$6, 0), FALSE),
            0
        ) +
        IFERROR(
            VLOOKUP($A48, INDIRECT("AgoR!$A$6:$ZZ$1048576"), MATCH(AU$1, AgoR!$6:$6, 0), FALSE),
            0
        ) +
        IFERROR(
            VLOOKUP($A48, INDIRECT("SepR!$A$6:$ZZ$1048576"), MATCH(AU$1, SepR!$6:$6, 0), FALSE),
            0
        ) +
        IFERROR(
            VLOOKUP($A48, INDIRECT("OctR!$A$6:$ZZ$1048576"), MATCH(AU$1, OctR!$6:$6, 0), FALSE),
            0
        ) +
        IFERROR(
            VLOOKUP($A48, INDIRECT("NovR!$A$6:$ZZ$1048576"), MATCH(AU$1, NovR!$6:$6, 0), FALSE),
            0
        ) +
        IFERROR(
            VLOOKUP($A48, INDIRECT("DicR!$A$6:$ZZ$1048576"), MATCH(AU$1, DicR!$6:$6, 0), FALSE),
            0
        )
)</f>
        <v>0</v>
      </c>
      <c r="AV48" s="36">
        <f t="array" ref="AV48">SUM(
    IFERROR(
            VLOOKUP($A48, INDIRECT("EneR!$A$6:$ZZ$1048576"), MATCH(AV$1, EneR!$6:$6, 0), FALSE),
            0
        ) +
        IFERROR(
            VLOOKUP($A48, INDIRECT("FebR!$A$6:$ZZ$1048576"), MATCH(AV$1, FebR!$6:$6, 0), FALSE),
            0
        ) +
        IFERROR(
            VLOOKUP($A48, INDIRECT("MarR!$A$6:$ZZ$1048576"), MATCH(AV$1, MarR!$6:$6, 0), FALSE),
            0
        ) +
        IFERROR(
            VLOOKUP($A48, INDIRECT("AbrR!$A$6:$ZZ$1048576"), MATCH(AV$1, AbrR!$6:$6, 0), FALSE),
            0
        ) +
        IFERROR(
            VLOOKUP($A48, INDIRECT("MayR!$A$6:$ZZ$1048576"), MATCH(AV$1, MayR!$6:$6, 0), FALSE),
            0
        ) +
        IFERROR(
            VLOOKUP($A48, INDIRECT("JunR!$A$6:$ZZ$1048576"), MATCH(AV$1, JunR!$6:$6, 0), FALSE),
            0
        ) +
        IFERROR(
            VLOOKUP($A48, INDIRECT("JulR!$A$6:$ZZ$1048576"), MATCH(AV$1, JulR!$6:$6, 0), FALSE),
            0
        ) +
        IFERROR(
            VLOOKUP($A48, INDIRECT("AgoR!$A$6:$ZZ$1048576"), MATCH(AV$1, AgoR!$6:$6, 0), FALSE),
            0
        ) +
        IFERROR(
            VLOOKUP($A48, INDIRECT("SepR!$A$6:$ZZ$1048576"), MATCH(AV$1, SepR!$6:$6, 0), FALSE),
            0
        ) +
        IFERROR(
            VLOOKUP($A48, INDIRECT("OctR!$A$6:$ZZ$1048576"), MATCH(AV$1, OctR!$6:$6, 0), FALSE),
            0
        ) +
        IFERROR(
            VLOOKUP($A48, INDIRECT("NovR!$A$6:$ZZ$1048576"), MATCH(AV$1, NovR!$6:$6, 0), FALSE),
            0
        ) +
        IFERROR(
            VLOOKUP($A48, INDIRECT("DicR!$A$6:$ZZ$1048576"), MATCH(AV$1, DicR!$6:$6, 0), FALSE),
            0
        )
)</f>
        <v>0</v>
      </c>
      <c r="AW48" s="35">
        <f t="array" ref="AW48">SUM(
    IFERROR(
            VLOOKUP($A48, INDIRECT("EneR!$A$6:$ZZ$1048576"), MATCH(AW$1, EneR!$6:$6, 0), FALSE),
            0
        ) +
        IFERROR(
            VLOOKUP($A48, INDIRECT("FebR!$A$6:$ZZ$1048576"), MATCH(AW$1, FebR!$6:$6, 0), FALSE),
            0
        ) +
        IFERROR(
            VLOOKUP($A48, INDIRECT("MarR!$A$6:$ZZ$1048576"), MATCH(AW$1, MarR!$6:$6, 0), FALSE),
            0
        ) +
        IFERROR(
            VLOOKUP($A48, INDIRECT("AbrR!$A$6:$ZZ$1048576"), MATCH(AW$1, AbrR!$6:$6, 0), FALSE),
            0
        ) +
        IFERROR(
            VLOOKUP($A48, INDIRECT("MayR!$A$6:$ZZ$1048576"), MATCH(AW$1, MayR!$6:$6, 0), FALSE),
            0
        ) +
        IFERROR(
            VLOOKUP($A48, INDIRECT("JunR!$A$6:$ZZ$1048576"), MATCH(AW$1, JunR!$6:$6, 0), FALSE),
            0
        ) +
        IFERROR(
            VLOOKUP($A48, INDIRECT("JulR!$A$6:$ZZ$1048576"), MATCH(AW$1, JulR!$6:$6, 0), FALSE),
            0
        ) +
        IFERROR(
            VLOOKUP($A48, INDIRECT("AgoR!$A$6:$ZZ$1048576"), MATCH(AW$1, AgoR!$6:$6, 0), FALSE),
            0
        ) +
        IFERROR(
            VLOOKUP($A48, INDIRECT("SepR!$A$6:$ZZ$1048576"), MATCH(AW$1, SepR!$6:$6, 0), FALSE),
            0
        ) +
        IFERROR(
            VLOOKUP($A48, INDIRECT("OctR!$A$6:$ZZ$1048576"), MATCH(AW$1, OctR!$6:$6, 0), FALSE),
            0
        ) +
        IFERROR(
            VLOOKUP($A48, INDIRECT("NovR!$A$6:$ZZ$1048576"), MATCH(AW$1, NovR!$6:$6, 0), FALSE),
            0
        ) +
        IFERROR(
            VLOOKUP($A48, INDIRECT("DicR!$A$6:$ZZ$1048576"), MATCH(AW$1, DicR!$6:$6, 0), FALSE),
            0
        )
)</f>
        <v>0</v>
      </c>
      <c r="AX48" s="36">
        <f t="array" ref="AX48">SUM(
    IFERROR(
            VLOOKUP($A48, INDIRECT("EneR!$A$6:$ZZ$1048576"), MATCH(AX$1, EneR!$6:$6, 0), FALSE),
            0
        ) +
        IFERROR(
            VLOOKUP($A48, INDIRECT("FebR!$A$6:$ZZ$1048576"), MATCH(AX$1, FebR!$6:$6, 0), FALSE),
            0
        ) +
        IFERROR(
            VLOOKUP($A48, INDIRECT("MarR!$A$6:$ZZ$1048576"), MATCH(AX$1, MarR!$6:$6, 0), FALSE),
            0
        ) +
        IFERROR(
            VLOOKUP($A48, INDIRECT("AbrR!$A$6:$ZZ$1048576"), MATCH(AX$1, AbrR!$6:$6, 0), FALSE),
            0
        ) +
        IFERROR(
            VLOOKUP($A48, INDIRECT("MayR!$A$6:$ZZ$1048576"), MATCH(AX$1, MayR!$6:$6, 0), FALSE),
            0
        ) +
        IFERROR(
            VLOOKUP($A48, INDIRECT("JunR!$A$6:$ZZ$1048576"), MATCH(AX$1, JunR!$6:$6, 0), FALSE),
            0
        ) +
        IFERROR(
            VLOOKUP($A48, INDIRECT("JulR!$A$6:$ZZ$1048576"), MATCH(AX$1, JulR!$6:$6, 0), FALSE),
            0
        ) +
        IFERROR(
            VLOOKUP($A48, INDIRECT("AgoR!$A$6:$ZZ$1048576"), MATCH(AX$1, AgoR!$6:$6, 0), FALSE),
            0
        ) +
        IFERROR(
            VLOOKUP($A48, INDIRECT("SepR!$A$6:$ZZ$1048576"), MATCH(AX$1, SepR!$6:$6, 0), FALSE),
            0
        ) +
        IFERROR(
            VLOOKUP($A48, INDIRECT("OctR!$A$6:$ZZ$1048576"), MATCH(AX$1, OctR!$6:$6, 0), FALSE),
            0
        ) +
        IFERROR(
            VLOOKUP($A48, INDIRECT("NovR!$A$6:$ZZ$1048576"), MATCH(AX$1, NovR!$6:$6, 0), FALSE),
            0
        ) +
        IFERROR(
            VLOOKUP($A48, INDIRECT("DicR!$A$6:$ZZ$1048576"), MATCH(AX$1, DicR!$6:$6, 0), FALSE),
            0
        )
)</f>
        <v>0</v>
      </c>
      <c r="AY48" s="35">
        <f t="array" ref="AY48">SUM(
    IFERROR(
            VLOOKUP($A48, INDIRECT("EneR!$A$6:$ZZ$1048576"), MATCH(AY$1, EneR!$6:$6, 0), FALSE),
            0
        ) +
        IFERROR(
            VLOOKUP($A48, INDIRECT("FebR!$A$6:$ZZ$1048576"), MATCH(AY$1, FebR!$6:$6, 0), FALSE),
            0
        ) +
        IFERROR(
            VLOOKUP($A48, INDIRECT("MarR!$A$6:$ZZ$1048576"), MATCH(AY$1, MarR!$6:$6, 0), FALSE),
            0
        ) +
        IFERROR(
            VLOOKUP($A48, INDIRECT("AbrR!$A$6:$ZZ$1048576"), MATCH(AY$1, AbrR!$6:$6, 0), FALSE),
            0
        ) +
        IFERROR(
            VLOOKUP($A48, INDIRECT("MayR!$A$6:$ZZ$1048576"), MATCH(AY$1, MayR!$6:$6, 0), FALSE),
            0
        ) +
        IFERROR(
            VLOOKUP($A48, INDIRECT("JunR!$A$6:$ZZ$1048576"), MATCH(AY$1, JunR!$6:$6, 0), FALSE),
            0
        ) +
        IFERROR(
            VLOOKUP($A48, INDIRECT("JulR!$A$6:$ZZ$1048576"), MATCH(AY$1, JulR!$6:$6, 0), FALSE),
            0
        ) +
        IFERROR(
            VLOOKUP($A48, INDIRECT("AgoR!$A$6:$ZZ$1048576"), MATCH(AY$1, AgoR!$6:$6, 0), FALSE),
            0
        ) +
        IFERROR(
            VLOOKUP($A48, INDIRECT("SepR!$A$6:$ZZ$1048576"), MATCH(AY$1, SepR!$6:$6, 0), FALSE),
            0
        ) +
        IFERROR(
            VLOOKUP($A48, INDIRECT("OctR!$A$6:$ZZ$1048576"), MATCH(AY$1, OctR!$6:$6, 0), FALSE),
            0
        ) +
        IFERROR(
            VLOOKUP($A48, INDIRECT("NovR!$A$6:$ZZ$1048576"), MATCH(AY$1, NovR!$6:$6, 0), FALSE),
            0
        ) +
        IFERROR(
            VLOOKUP($A48, INDIRECT("DicR!$A$6:$ZZ$1048576"), MATCH(AY$1, DicR!$6:$6, 0), FALSE),
            0
        )
)</f>
        <v>0</v>
      </c>
      <c r="AZ48" s="35"/>
    </row>
    <row r="49" ht="15.75" customHeight="1">
      <c r="A49" s="12" t="str">
        <f>Menus!B10</f>
        <v/>
      </c>
      <c r="B49" s="32">
        <f t="shared" si="9"/>
        <v>0</v>
      </c>
      <c r="C49" s="33" t="str">
        <f t="shared" si="10"/>
        <v/>
      </c>
      <c r="D49" s="34">
        <f t="array" ref="D49">SUM(
    IFERROR(
            VLOOKUP($A49, INDIRECT("EneR!$A$6:$ZZ$1048576"), MATCH(D$1, EneR!$6:$6, 0), FALSE),
            0
        ) +
        IFERROR(
            VLOOKUP($A49, INDIRECT("FebR!$A$6:$ZZ$1048576"), MATCH(D$1, FebR!$6:$6, 0), FALSE),
            0
        ) +
        IFERROR(
            VLOOKUP($A49, INDIRECT("MarR!$A$6:$ZZ$1048576"), MATCH(D$1, MarR!$6:$6, 0), FALSE),
            0
        ) +
        IFERROR(
            VLOOKUP($A49, INDIRECT("AbrR!$A$6:$ZZ$1048576"), MATCH(D$1, AbrR!$6:$6, 0), FALSE),
            0
        ) +
        IFERROR(
            VLOOKUP($A49, INDIRECT("MayR!$A$6:$ZZ$1048576"), MATCH(D$1, MayR!$6:$6, 0), FALSE),
            0
        ) +
        IFERROR(
            VLOOKUP($A49, INDIRECT("JunR!$A$6:$ZZ$1048576"), MATCH(D$1, JunR!$6:$6, 0), FALSE),
            0
        ) +
        IFERROR(
            VLOOKUP($A49, INDIRECT("JulR!$A$6:$ZZ$1048576"), MATCH(D$1, JulR!$6:$6, 0), FALSE),
            0
        ) +
        IFERROR(
            VLOOKUP($A49, INDIRECT("AgoR!$A$6:$ZZ$1048576"), MATCH(D$1, AgoR!$6:$6, 0), FALSE),
            0
        ) +
        IFERROR(
            VLOOKUP($A49, INDIRECT("SepR!$A$6:$ZZ$1048576"), MATCH(D$1, SepR!$6:$6, 0), FALSE),
            0
        ) +
        IFERROR(
            VLOOKUP($A49, INDIRECT("OctR!$A$6:$ZZ$1048576"), MATCH(D$1, OctR!$6:$6, 0), FALSE),
            0
        ) +
        IFERROR(
            VLOOKUP($A49, INDIRECT("NovR!$A$6:$ZZ$1048576"), MATCH(D$1, NovR!$6:$6, 0), FALSE),
            0
        ) +
        IFERROR(
            VLOOKUP($A49, INDIRECT("DicR!$A$6:$ZZ$1048576"), MATCH(D$1, DicR!$6:$6, 0), FALSE),
            0
        )
)</f>
        <v>0</v>
      </c>
      <c r="E49" s="35">
        <f t="array" ref="E49">SUM(
    IFERROR(
            VLOOKUP($A49, INDIRECT("EneR!$A$6:$ZZ$1048576"), MATCH(E$1, EneR!$6:$6, 0), FALSE),
            0
        ) +
        IFERROR(
            VLOOKUP($A49, INDIRECT("FebR!$A$6:$ZZ$1048576"), MATCH(E$1, FebR!$6:$6, 0), FALSE),
            0
        ) +
        IFERROR(
            VLOOKUP($A49, INDIRECT("MarR!$A$6:$ZZ$1048576"), MATCH(E$1, MarR!$6:$6, 0), FALSE),
            0
        ) +
        IFERROR(
            VLOOKUP($A49, INDIRECT("AbrR!$A$6:$ZZ$1048576"), MATCH(E$1, AbrR!$6:$6, 0), FALSE),
            0
        ) +
        IFERROR(
            VLOOKUP($A49, INDIRECT("MayR!$A$6:$ZZ$1048576"), MATCH(E$1, MayR!$6:$6, 0), FALSE),
            0
        ) +
        IFERROR(
            VLOOKUP($A49, INDIRECT("JunR!$A$6:$ZZ$1048576"), MATCH(E$1, JunR!$6:$6, 0), FALSE),
            0
        ) +
        IFERROR(
            VLOOKUP($A49, INDIRECT("JulR!$A$6:$ZZ$1048576"), MATCH(E$1, JulR!$6:$6, 0), FALSE),
            0
        ) +
        IFERROR(
            VLOOKUP($A49, INDIRECT("AgoR!$A$6:$ZZ$1048576"), MATCH(E$1, AgoR!$6:$6, 0), FALSE),
            0
        ) +
        IFERROR(
            VLOOKUP($A49, INDIRECT("SepR!$A$6:$ZZ$1048576"), MATCH(E$1, SepR!$6:$6, 0), FALSE),
            0
        ) +
        IFERROR(
            VLOOKUP($A49, INDIRECT("OctR!$A$6:$ZZ$1048576"), MATCH(E$1, OctR!$6:$6, 0), FALSE),
            0
        ) +
        IFERROR(
            VLOOKUP($A49, INDIRECT("NovR!$A$6:$ZZ$1048576"), MATCH(E$1, NovR!$6:$6, 0), FALSE),
            0
        ) +
        IFERROR(
            VLOOKUP($A49, INDIRECT("DicR!$A$6:$ZZ$1048576"), MATCH(E$1, DicR!$6:$6, 0), FALSE),
            0
        )
)</f>
        <v>0</v>
      </c>
      <c r="F49" s="32">
        <f t="array" ref="F49">SUM(
    IFERROR(
            VLOOKUP($A49, INDIRECT("EneR!$A$6:$ZZ$1048576"), MATCH(F$1, EneR!$6:$6, 0), FALSE),
            0
        ) +
        IFERROR(
            VLOOKUP($A49, INDIRECT("FebR!$A$6:$ZZ$1048576"), MATCH(F$1, FebR!$6:$6, 0), FALSE),
            0
        ) +
        IFERROR(
            VLOOKUP($A49, INDIRECT("MarR!$A$6:$ZZ$1048576"), MATCH(F$1, MarR!$6:$6, 0), FALSE),
            0
        ) +
        IFERROR(
            VLOOKUP($A49, INDIRECT("AbrR!$A$6:$ZZ$1048576"), MATCH(F$1, AbrR!$6:$6, 0), FALSE),
            0
        ) +
        IFERROR(
            VLOOKUP($A49, INDIRECT("MayR!$A$6:$ZZ$1048576"), MATCH(F$1, MayR!$6:$6, 0), FALSE),
            0
        ) +
        IFERROR(
            VLOOKUP($A49, INDIRECT("JunR!$A$6:$ZZ$1048576"), MATCH(F$1, JunR!$6:$6, 0), FALSE),
            0
        ) +
        IFERROR(
            VLOOKUP($A49, INDIRECT("JulR!$A$6:$ZZ$1048576"), MATCH(F$1, JulR!$6:$6, 0), FALSE),
            0
        ) +
        IFERROR(
            VLOOKUP($A49, INDIRECT("AgoR!$A$6:$ZZ$1048576"), MATCH(F$1, AgoR!$6:$6, 0), FALSE),
            0
        ) +
        IFERROR(
            VLOOKUP($A49, INDIRECT("SepR!$A$6:$ZZ$1048576"), MATCH(F$1, SepR!$6:$6, 0), FALSE),
            0
        ) +
        IFERROR(
            VLOOKUP($A49, INDIRECT("OctR!$A$6:$ZZ$1048576"), MATCH(F$1, OctR!$6:$6, 0), FALSE),
            0
        ) +
        IFERROR(
            VLOOKUP($A49, INDIRECT("NovR!$A$6:$ZZ$1048576"), MATCH(F$1, NovR!$6:$6, 0), FALSE),
            0
        ) +
        IFERROR(
            VLOOKUP($A49, INDIRECT("DicR!$A$6:$ZZ$1048576"), MATCH(F$1, DicR!$6:$6, 0), FALSE),
            0
        )
)</f>
        <v>0</v>
      </c>
      <c r="G49" s="35">
        <f t="array" ref="G49">SUM(
    IFERROR(
            VLOOKUP($A49, INDIRECT("EneR!$A$6:$ZZ$1048576"), MATCH(G$1, EneR!$6:$6, 0), FALSE),
            0
        ) +
        IFERROR(
            VLOOKUP($A49, INDIRECT("FebR!$A$6:$ZZ$1048576"), MATCH(G$1, FebR!$6:$6, 0), FALSE),
            0
        ) +
        IFERROR(
            VLOOKUP($A49, INDIRECT("MarR!$A$6:$ZZ$1048576"), MATCH(G$1, MarR!$6:$6, 0), FALSE),
            0
        ) +
        IFERROR(
            VLOOKUP($A49, INDIRECT("AbrR!$A$6:$ZZ$1048576"), MATCH(G$1, AbrR!$6:$6, 0), FALSE),
            0
        ) +
        IFERROR(
            VLOOKUP($A49, INDIRECT("MayR!$A$6:$ZZ$1048576"), MATCH(G$1, MayR!$6:$6, 0), FALSE),
            0
        ) +
        IFERROR(
            VLOOKUP($A49, INDIRECT("JunR!$A$6:$ZZ$1048576"), MATCH(G$1, JunR!$6:$6, 0), FALSE),
            0
        ) +
        IFERROR(
            VLOOKUP($A49, INDIRECT("JulR!$A$6:$ZZ$1048576"), MATCH(G$1, JulR!$6:$6, 0), FALSE),
            0
        ) +
        IFERROR(
            VLOOKUP($A49, INDIRECT("AgoR!$A$6:$ZZ$1048576"), MATCH(G$1, AgoR!$6:$6, 0), FALSE),
            0
        ) +
        IFERROR(
            VLOOKUP($A49, INDIRECT("SepR!$A$6:$ZZ$1048576"), MATCH(G$1, SepR!$6:$6, 0), FALSE),
            0
        ) +
        IFERROR(
            VLOOKUP($A49, INDIRECT("OctR!$A$6:$ZZ$1048576"), MATCH(G$1, OctR!$6:$6, 0), FALSE),
            0
        ) +
        IFERROR(
            VLOOKUP($A49, INDIRECT("NovR!$A$6:$ZZ$1048576"), MATCH(G$1, NovR!$6:$6, 0), FALSE),
            0
        ) +
        IFERROR(
            VLOOKUP($A49, INDIRECT("DicR!$A$6:$ZZ$1048576"), MATCH(G$1, DicR!$6:$6, 0), FALSE),
            0
        )
)</f>
        <v>0</v>
      </c>
      <c r="H49" s="32">
        <f t="array" ref="H49">SUM(
    IFERROR(
            VLOOKUP($A49, INDIRECT("EneR!$A$6:$ZZ$1048576"), MATCH(H$1, EneR!$6:$6, 0), FALSE),
            0
        ) +
        IFERROR(
            VLOOKUP($A49, INDIRECT("FebR!$A$6:$ZZ$1048576"), MATCH(H$1, FebR!$6:$6, 0), FALSE),
            0
        ) +
        IFERROR(
            VLOOKUP($A49, INDIRECT("MarR!$A$6:$ZZ$1048576"), MATCH(H$1, MarR!$6:$6, 0), FALSE),
            0
        ) +
        IFERROR(
            VLOOKUP($A49, INDIRECT("AbrR!$A$6:$ZZ$1048576"), MATCH(H$1, AbrR!$6:$6, 0), FALSE),
            0
        ) +
        IFERROR(
            VLOOKUP($A49, INDIRECT("MayR!$A$6:$ZZ$1048576"), MATCH(H$1, MayR!$6:$6, 0), FALSE),
            0
        ) +
        IFERROR(
            VLOOKUP($A49, INDIRECT("JunR!$A$6:$ZZ$1048576"), MATCH(H$1, JunR!$6:$6, 0), FALSE),
            0
        ) +
        IFERROR(
            VLOOKUP($A49, INDIRECT("JulR!$A$6:$ZZ$1048576"), MATCH(H$1, JulR!$6:$6, 0), FALSE),
            0
        ) +
        IFERROR(
            VLOOKUP($A49, INDIRECT("AgoR!$A$6:$ZZ$1048576"), MATCH(H$1, AgoR!$6:$6, 0), FALSE),
            0
        ) +
        IFERROR(
            VLOOKUP($A49, INDIRECT("SepR!$A$6:$ZZ$1048576"), MATCH(H$1, SepR!$6:$6, 0), FALSE),
            0
        ) +
        IFERROR(
            VLOOKUP($A49, INDIRECT("OctR!$A$6:$ZZ$1048576"), MATCH(H$1, OctR!$6:$6, 0), FALSE),
            0
        ) +
        IFERROR(
            VLOOKUP($A49, INDIRECT("NovR!$A$6:$ZZ$1048576"), MATCH(H$1, NovR!$6:$6, 0), FALSE),
            0
        ) +
        IFERROR(
            VLOOKUP($A49, INDIRECT("DicR!$A$6:$ZZ$1048576"), MATCH(H$1, DicR!$6:$6, 0), FALSE),
            0
        )
)</f>
        <v>0</v>
      </c>
      <c r="I49" s="35">
        <f t="array" ref="I49">SUM(
    IFERROR(
            VLOOKUP($A49, INDIRECT("EneR!$A$6:$ZZ$1048576"), MATCH(I$1, EneR!$6:$6, 0), FALSE),
            0
        ) +
        IFERROR(
            VLOOKUP($A49, INDIRECT("FebR!$A$6:$ZZ$1048576"), MATCH(I$1, FebR!$6:$6, 0), FALSE),
            0
        ) +
        IFERROR(
            VLOOKUP($A49, INDIRECT("MarR!$A$6:$ZZ$1048576"), MATCH(I$1, MarR!$6:$6, 0), FALSE),
            0
        ) +
        IFERROR(
            VLOOKUP($A49, INDIRECT("AbrR!$A$6:$ZZ$1048576"), MATCH(I$1, AbrR!$6:$6, 0), FALSE),
            0
        ) +
        IFERROR(
            VLOOKUP($A49, INDIRECT("MayR!$A$6:$ZZ$1048576"), MATCH(I$1, MayR!$6:$6, 0), FALSE),
            0
        ) +
        IFERROR(
            VLOOKUP($A49, INDIRECT("JunR!$A$6:$ZZ$1048576"), MATCH(I$1, JunR!$6:$6, 0), FALSE),
            0
        ) +
        IFERROR(
            VLOOKUP($A49, INDIRECT("JulR!$A$6:$ZZ$1048576"), MATCH(I$1, JulR!$6:$6, 0), FALSE),
            0
        ) +
        IFERROR(
            VLOOKUP($A49, INDIRECT("AgoR!$A$6:$ZZ$1048576"), MATCH(I$1, AgoR!$6:$6, 0), FALSE),
            0
        ) +
        IFERROR(
            VLOOKUP($A49, INDIRECT("SepR!$A$6:$ZZ$1048576"), MATCH(I$1, SepR!$6:$6, 0), FALSE),
            0
        ) +
        IFERROR(
            VLOOKUP($A49, INDIRECT("OctR!$A$6:$ZZ$1048576"), MATCH(I$1, OctR!$6:$6, 0), FALSE),
            0
        ) +
        IFERROR(
            VLOOKUP($A49, INDIRECT("NovR!$A$6:$ZZ$1048576"), MATCH(I$1, NovR!$6:$6, 0), FALSE),
            0
        ) +
        IFERROR(
            VLOOKUP($A49, INDIRECT("DicR!$A$6:$ZZ$1048576"), MATCH(I$1, DicR!$6:$6, 0), FALSE),
            0
        )
)</f>
        <v>0</v>
      </c>
      <c r="J49" s="32">
        <f t="array" ref="J49">SUM(
    IFERROR(
            VLOOKUP($A49, INDIRECT("EneR!$A$6:$ZZ$1048576"), MATCH(J$1, EneR!$6:$6, 0), FALSE),
            0
        ) +
        IFERROR(
            VLOOKUP($A49, INDIRECT("FebR!$A$6:$ZZ$1048576"), MATCH(J$1, FebR!$6:$6, 0), FALSE),
            0
        ) +
        IFERROR(
            VLOOKUP($A49, INDIRECT("MarR!$A$6:$ZZ$1048576"), MATCH(J$1, MarR!$6:$6, 0), FALSE),
            0
        ) +
        IFERROR(
            VLOOKUP($A49, INDIRECT("AbrR!$A$6:$ZZ$1048576"), MATCH(J$1, AbrR!$6:$6, 0), FALSE),
            0
        ) +
        IFERROR(
            VLOOKUP($A49, INDIRECT("MayR!$A$6:$ZZ$1048576"), MATCH(J$1, MayR!$6:$6, 0), FALSE),
            0
        ) +
        IFERROR(
            VLOOKUP($A49, INDIRECT("JunR!$A$6:$ZZ$1048576"), MATCH(J$1, JunR!$6:$6, 0), FALSE),
            0
        ) +
        IFERROR(
            VLOOKUP($A49, INDIRECT("JulR!$A$6:$ZZ$1048576"), MATCH(J$1, JulR!$6:$6, 0), FALSE),
            0
        ) +
        IFERROR(
            VLOOKUP($A49, INDIRECT("AgoR!$A$6:$ZZ$1048576"), MATCH(J$1, AgoR!$6:$6, 0), FALSE),
            0
        ) +
        IFERROR(
            VLOOKUP($A49, INDIRECT("SepR!$A$6:$ZZ$1048576"), MATCH(J$1, SepR!$6:$6, 0), FALSE),
            0
        ) +
        IFERROR(
            VLOOKUP($A49, INDIRECT("OctR!$A$6:$ZZ$1048576"), MATCH(J$1, OctR!$6:$6, 0), FALSE),
            0
        ) +
        IFERROR(
            VLOOKUP($A49, INDIRECT("NovR!$A$6:$ZZ$1048576"), MATCH(J$1, NovR!$6:$6, 0), FALSE),
            0
        ) +
        IFERROR(
            VLOOKUP($A49, INDIRECT("DicR!$A$6:$ZZ$1048576"), MATCH(J$1, DicR!$6:$6, 0), FALSE),
            0
        )
)</f>
        <v>0</v>
      </c>
      <c r="K49" s="35">
        <f t="array" ref="K49">SUM(
    IFERROR(
            VLOOKUP($A49, INDIRECT("EneR!$A$6:$ZZ$1048576"), MATCH(K$1, EneR!$6:$6, 0), FALSE),
            0
        ) +
        IFERROR(
            VLOOKUP($A49, INDIRECT("FebR!$A$6:$ZZ$1048576"), MATCH(K$1, FebR!$6:$6, 0), FALSE),
            0
        ) +
        IFERROR(
            VLOOKUP($A49, INDIRECT("MarR!$A$6:$ZZ$1048576"), MATCH(K$1, MarR!$6:$6, 0), FALSE),
            0
        ) +
        IFERROR(
            VLOOKUP($A49, INDIRECT("AbrR!$A$6:$ZZ$1048576"), MATCH(K$1, AbrR!$6:$6, 0), FALSE),
            0
        ) +
        IFERROR(
            VLOOKUP($A49, INDIRECT("MayR!$A$6:$ZZ$1048576"), MATCH(K$1, MayR!$6:$6, 0), FALSE),
            0
        ) +
        IFERROR(
            VLOOKUP($A49, INDIRECT("JunR!$A$6:$ZZ$1048576"), MATCH(K$1, JunR!$6:$6, 0), FALSE),
            0
        ) +
        IFERROR(
            VLOOKUP($A49, INDIRECT("JulR!$A$6:$ZZ$1048576"), MATCH(K$1, JulR!$6:$6, 0), FALSE),
            0
        ) +
        IFERROR(
            VLOOKUP($A49, INDIRECT("AgoR!$A$6:$ZZ$1048576"), MATCH(K$1, AgoR!$6:$6, 0), FALSE),
            0
        ) +
        IFERROR(
            VLOOKUP($A49, INDIRECT("SepR!$A$6:$ZZ$1048576"), MATCH(K$1, SepR!$6:$6, 0), FALSE),
            0
        ) +
        IFERROR(
            VLOOKUP($A49, INDIRECT("OctR!$A$6:$ZZ$1048576"), MATCH(K$1, OctR!$6:$6, 0), FALSE),
            0
        ) +
        IFERROR(
            VLOOKUP($A49, INDIRECT("NovR!$A$6:$ZZ$1048576"), MATCH(K$1, NovR!$6:$6, 0), FALSE),
            0
        ) +
        IFERROR(
            VLOOKUP($A49, INDIRECT("DicR!$A$6:$ZZ$1048576"), MATCH(K$1, DicR!$6:$6, 0), FALSE),
            0
        )
)</f>
        <v>0</v>
      </c>
      <c r="L49" s="32">
        <f t="array" ref="L49">SUM(
    IFERROR(
            VLOOKUP($A49, INDIRECT("EneR!$A$6:$ZZ$1048576"), MATCH(L$1, EneR!$6:$6, 0), FALSE),
            0
        ) +
        IFERROR(
            VLOOKUP($A49, INDIRECT("FebR!$A$6:$ZZ$1048576"), MATCH(L$1, FebR!$6:$6, 0), FALSE),
            0
        ) +
        IFERROR(
            VLOOKUP($A49, INDIRECT("MarR!$A$6:$ZZ$1048576"), MATCH(L$1, MarR!$6:$6, 0), FALSE),
            0
        ) +
        IFERROR(
            VLOOKUP($A49, INDIRECT("AbrR!$A$6:$ZZ$1048576"), MATCH(L$1, AbrR!$6:$6, 0), FALSE),
            0
        ) +
        IFERROR(
            VLOOKUP($A49, INDIRECT("MayR!$A$6:$ZZ$1048576"), MATCH(L$1, MayR!$6:$6, 0), FALSE),
            0
        ) +
        IFERROR(
            VLOOKUP($A49, INDIRECT("JunR!$A$6:$ZZ$1048576"), MATCH(L$1, JunR!$6:$6, 0), FALSE),
            0
        ) +
        IFERROR(
            VLOOKUP($A49, INDIRECT("JulR!$A$6:$ZZ$1048576"), MATCH(L$1, JulR!$6:$6, 0), FALSE),
            0
        ) +
        IFERROR(
            VLOOKUP($A49, INDIRECT("AgoR!$A$6:$ZZ$1048576"), MATCH(L$1, AgoR!$6:$6, 0), FALSE),
            0
        ) +
        IFERROR(
            VLOOKUP($A49, INDIRECT("SepR!$A$6:$ZZ$1048576"), MATCH(L$1, SepR!$6:$6, 0), FALSE),
            0
        ) +
        IFERROR(
            VLOOKUP($A49, INDIRECT("OctR!$A$6:$ZZ$1048576"), MATCH(L$1, OctR!$6:$6, 0), FALSE),
            0
        ) +
        IFERROR(
            VLOOKUP($A49, INDIRECT("NovR!$A$6:$ZZ$1048576"), MATCH(L$1, NovR!$6:$6, 0), FALSE),
            0
        ) +
        IFERROR(
            VLOOKUP($A49, INDIRECT("DicR!$A$6:$ZZ$1048576"), MATCH(L$1, DicR!$6:$6, 0), FALSE),
            0
        )
)</f>
        <v>0</v>
      </c>
      <c r="M49" s="35">
        <f t="array" ref="M49">SUM(
    IFERROR(
            VLOOKUP($A49, INDIRECT("EneR!$A$6:$ZZ$1048576"), MATCH(M$1, EneR!$6:$6, 0), FALSE),
            0
        ) +
        IFERROR(
            VLOOKUP($A49, INDIRECT("FebR!$A$6:$ZZ$1048576"), MATCH(M$1, FebR!$6:$6, 0), FALSE),
            0
        ) +
        IFERROR(
            VLOOKUP($A49, INDIRECT("MarR!$A$6:$ZZ$1048576"), MATCH(M$1, MarR!$6:$6, 0), FALSE),
            0
        ) +
        IFERROR(
            VLOOKUP($A49, INDIRECT("AbrR!$A$6:$ZZ$1048576"), MATCH(M$1, AbrR!$6:$6, 0), FALSE),
            0
        ) +
        IFERROR(
            VLOOKUP($A49, INDIRECT("MayR!$A$6:$ZZ$1048576"), MATCH(M$1, MayR!$6:$6, 0), FALSE),
            0
        ) +
        IFERROR(
            VLOOKUP($A49, INDIRECT("JunR!$A$6:$ZZ$1048576"), MATCH(M$1, JunR!$6:$6, 0), FALSE),
            0
        ) +
        IFERROR(
            VLOOKUP($A49, INDIRECT("JulR!$A$6:$ZZ$1048576"), MATCH(M$1, JulR!$6:$6, 0), FALSE),
            0
        ) +
        IFERROR(
            VLOOKUP($A49, INDIRECT("AgoR!$A$6:$ZZ$1048576"), MATCH(M$1, AgoR!$6:$6, 0), FALSE),
            0
        ) +
        IFERROR(
            VLOOKUP($A49, INDIRECT("SepR!$A$6:$ZZ$1048576"), MATCH(M$1, SepR!$6:$6, 0), FALSE),
            0
        ) +
        IFERROR(
            VLOOKUP($A49, INDIRECT("OctR!$A$6:$ZZ$1048576"), MATCH(M$1, OctR!$6:$6, 0), FALSE),
            0
        ) +
        IFERROR(
            VLOOKUP($A49, INDIRECT("NovR!$A$6:$ZZ$1048576"), MATCH(M$1, NovR!$6:$6, 0), FALSE),
            0
        ) +
        IFERROR(
            VLOOKUP($A49, INDIRECT("DicR!$A$6:$ZZ$1048576"), MATCH(M$1, DicR!$6:$6, 0), FALSE),
            0
        )
)</f>
        <v>0</v>
      </c>
      <c r="N49" s="32">
        <f t="array" ref="N49">SUM(
    IFERROR(
            VLOOKUP($A49, INDIRECT("EneR!$A$6:$ZZ$1048576"), MATCH(N$1, EneR!$6:$6, 0), FALSE),
            0
        ) +
        IFERROR(
            VLOOKUP($A49, INDIRECT("FebR!$A$6:$ZZ$1048576"), MATCH(N$1, FebR!$6:$6, 0), FALSE),
            0
        ) +
        IFERROR(
            VLOOKUP($A49, INDIRECT("MarR!$A$6:$ZZ$1048576"), MATCH(N$1, MarR!$6:$6, 0), FALSE),
            0
        ) +
        IFERROR(
            VLOOKUP($A49, INDIRECT("AbrR!$A$6:$ZZ$1048576"), MATCH(N$1, AbrR!$6:$6, 0), FALSE),
            0
        ) +
        IFERROR(
            VLOOKUP($A49, INDIRECT("MayR!$A$6:$ZZ$1048576"), MATCH(N$1, MayR!$6:$6, 0), FALSE),
            0
        ) +
        IFERROR(
            VLOOKUP($A49, INDIRECT("JunR!$A$6:$ZZ$1048576"), MATCH(N$1, JunR!$6:$6, 0), FALSE),
            0
        ) +
        IFERROR(
            VLOOKUP($A49, INDIRECT("JulR!$A$6:$ZZ$1048576"), MATCH(N$1, JulR!$6:$6, 0), FALSE),
            0
        ) +
        IFERROR(
            VLOOKUP($A49, INDIRECT("AgoR!$A$6:$ZZ$1048576"), MATCH(N$1, AgoR!$6:$6, 0), FALSE),
            0
        ) +
        IFERROR(
            VLOOKUP($A49, INDIRECT("SepR!$A$6:$ZZ$1048576"), MATCH(N$1, SepR!$6:$6, 0), FALSE),
            0
        ) +
        IFERROR(
            VLOOKUP($A49, INDIRECT("OctR!$A$6:$ZZ$1048576"), MATCH(N$1, OctR!$6:$6, 0), FALSE),
            0
        ) +
        IFERROR(
            VLOOKUP($A49, INDIRECT("NovR!$A$6:$ZZ$1048576"), MATCH(N$1, NovR!$6:$6, 0), FALSE),
            0
        ) +
        IFERROR(
            VLOOKUP($A49, INDIRECT("DicR!$A$6:$ZZ$1048576"), MATCH(N$1, DicR!$6:$6, 0), FALSE),
            0
        )
)</f>
        <v>0</v>
      </c>
      <c r="O49" s="35">
        <f t="array" ref="O49">SUM(
    IFERROR(
            VLOOKUP($A49, INDIRECT("EneR!$A$6:$ZZ$1048576"), MATCH(O$1, EneR!$6:$6, 0), FALSE),
            0
        ) +
        IFERROR(
            VLOOKUP($A49, INDIRECT("FebR!$A$6:$ZZ$1048576"), MATCH(O$1, FebR!$6:$6, 0), FALSE),
            0
        ) +
        IFERROR(
            VLOOKUP($A49, INDIRECT("MarR!$A$6:$ZZ$1048576"), MATCH(O$1, MarR!$6:$6, 0), FALSE),
            0
        ) +
        IFERROR(
            VLOOKUP($A49, INDIRECT("AbrR!$A$6:$ZZ$1048576"), MATCH(O$1, AbrR!$6:$6, 0), FALSE),
            0
        ) +
        IFERROR(
            VLOOKUP($A49, INDIRECT("MayR!$A$6:$ZZ$1048576"), MATCH(O$1, MayR!$6:$6, 0), FALSE),
            0
        ) +
        IFERROR(
            VLOOKUP($A49, INDIRECT("JunR!$A$6:$ZZ$1048576"), MATCH(O$1, JunR!$6:$6, 0), FALSE),
            0
        ) +
        IFERROR(
            VLOOKUP($A49, INDIRECT("JulR!$A$6:$ZZ$1048576"), MATCH(O$1, JulR!$6:$6, 0), FALSE),
            0
        ) +
        IFERROR(
            VLOOKUP($A49, INDIRECT("AgoR!$A$6:$ZZ$1048576"), MATCH(O$1, AgoR!$6:$6, 0), FALSE),
            0
        ) +
        IFERROR(
            VLOOKUP($A49, INDIRECT("SepR!$A$6:$ZZ$1048576"), MATCH(O$1, SepR!$6:$6, 0), FALSE),
            0
        ) +
        IFERROR(
            VLOOKUP($A49, INDIRECT("OctR!$A$6:$ZZ$1048576"), MATCH(O$1, OctR!$6:$6, 0), FALSE),
            0
        ) +
        IFERROR(
            VLOOKUP($A49, INDIRECT("NovR!$A$6:$ZZ$1048576"), MATCH(O$1, NovR!$6:$6, 0), FALSE),
            0
        ) +
        IFERROR(
            VLOOKUP($A49, INDIRECT("DicR!$A$6:$ZZ$1048576"), MATCH(O$1, DicR!$6:$6, 0), FALSE),
            0
        )
)</f>
        <v>0</v>
      </c>
      <c r="P49" s="32">
        <f t="array" ref="P49">SUM(
    IFERROR(
            VLOOKUP($A49, INDIRECT("EneR!$A$6:$ZZ$1048576"), MATCH(P$1, EneR!$6:$6, 0), FALSE),
            0
        ) +
        IFERROR(
            VLOOKUP($A49, INDIRECT("FebR!$A$6:$ZZ$1048576"), MATCH(P$1, FebR!$6:$6, 0), FALSE),
            0
        ) +
        IFERROR(
            VLOOKUP($A49, INDIRECT("MarR!$A$6:$ZZ$1048576"), MATCH(P$1, MarR!$6:$6, 0), FALSE),
            0
        ) +
        IFERROR(
            VLOOKUP($A49, INDIRECT("AbrR!$A$6:$ZZ$1048576"), MATCH(P$1, AbrR!$6:$6, 0), FALSE),
            0
        ) +
        IFERROR(
            VLOOKUP($A49, INDIRECT("MayR!$A$6:$ZZ$1048576"), MATCH(P$1, MayR!$6:$6, 0), FALSE),
            0
        ) +
        IFERROR(
            VLOOKUP($A49, INDIRECT("JunR!$A$6:$ZZ$1048576"), MATCH(P$1, JunR!$6:$6, 0), FALSE),
            0
        ) +
        IFERROR(
            VLOOKUP($A49, INDIRECT("JulR!$A$6:$ZZ$1048576"), MATCH(P$1, JulR!$6:$6, 0), FALSE),
            0
        ) +
        IFERROR(
            VLOOKUP($A49, INDIRECT("AgoR!$A$6:$ZZ$1048576"), MATCH(P$1, AgoR!$6:$6, 0), FALSE),
            0
        ) +
        IFERROR(
            VLOOKUP($A49, INDIRECT("SepR!$A$6:$ZZ$1048576"), MATCH(P$1, SepR!$6:$6, 0), FALSE),
            0
        ) +
        IFERROR(
            VLOOKUP($A49, INDIRECT("OctR!$A$6:$ZZ$1048576"), MATCH(P$1, OctR!$6:$6, 0), FALSE),
            0
        ) +
        IFERROR(
            VLOOKUP($A49, INDIRECT("NovR!$A$6:$ZZ$1048576"), MATCH(P$1, NovR!$6:$6, 0), FALSE),
            0
        ) +
        IFERROR(
            VLOOKUP($A49, INDIRECT("DicR!$A$6:$ZZ$1048576"), MATCH(P$1, DicR!$6:$6, 0), FALSE),
            0
        )
)</f>
        <v>0</v>
      </c>
      <c r="Q49" s="35">
        <f t="array" ref="Q49">SUM(
    IFERROR(
            VLOOKUP($A49, INDIRECT("EneR!$A$6:$ZZ$1048576"), MATCH(Q$1, EneR!$6:$6, 0), FALSE),
            0
        ) +
        IFERROR(
            VLOOKUP($A49, INDIRECT("FebR!$A$6:$ZZ$1048576"), MATCH(Q$1, FebR!$6:$6, 0), FALSE),
            0
        ) +
        IFERROR(
            VLOOKUP($A49, INDIRECT("MarR!$A$6:$ZZ$1048576"), MATCH(Q$1, MarR!$6:$6, 0), FALSE),
            0
        ) +
        IFERROR(
            VLOOKUP($A49, INDIRECT("AbrR!$A$6:$ZZ$1048576"), MATCH(Q$1, AbrR!$6:$6, 0), FALSE),
            0
        ) +
        IFERROR(
            VLOOKUP($A49, INDIRECT("MayR!$A$6:$ZZ$1048576"), MATCH(Q$1, MayR!$6:$6, 0), FALSE),
            0
        ) +
        IFERROR(
            VLOOKUP($A49, INDIRECT("JunR!$A$6:$ZZ$1048576"), MATCH(Q$1, JunR!$6:$6, 0), FALSE),
            0
        ) +
        IFERROR(
            VLOOKUP($A49, INDIRECT("JulR!$A$6:$ZZ$1048576"), MATCH(Q$1, JulR!$6:$6, 0), FALSE),
            0
        ) +
        IFERROR(
            VLOOKUP($A49, INDIRECT("AgoR!$A$6:$ZZ$1048576"), MATCH(Q$1, AgoR!$6:$6, 0), FALSE),
            0
        ) +
        IFERROR(
            VLOOKUP($A49, INDIRECT("SepR!$A$6:$ZZ$1048576"), MATCH(Q$1, SepR!$6:$6, 0), FALSE),
            0
        ) +
        IFERROR(
            VLOOKUP($A49, INDIRECT("OctR!$A$6:$ZZ$1048576"), MATCH(Q$1, OctR!$6:$6, 0), FALSE),
            0
        ) +
        IFERROR(
            VLOOKUP($A49, INDIRECT("NovR!$A$6:$ZZ$1048576"), MATCH(Q$1, NovR!$6:$6, 0), FALSE),
            0
        ) +
        IFERROR(
            VLOOKUP($A49, INDIRECT("DicR!$A$6:$ZZ$1048576"), MATCH(Q$1, DicR!$6:$6, 0), FALSE),
            0
        )
)</f>
        <v>0</v>
      </c>
      <c r="R49" s="36">
        <f t="array" ref="R49">SUM(
    IFERROR(
            VLOOKUP($A49, INDIRECT("EneR!$A$6:$ZZ$1048576"), MATCH(R$1, EneR!$6:$6, 0), FALSE),
            0
        ) +
        IFERROR(
            VLOOKUP($A49, INDIRECT("FebR!$A$6:$ZZ$1048576"), MATCH(R$1, FebR!$6:$6, 0), FALSE),
            0
        ) +
        IFERROR(
            VLOOKUP($A49, INDIRECT("MarR!$A$6:$ZZ$1048576"), MATCH(R$1, MarR!$6:$6, 0), FALSE),
            0
        ) +
        IFERROR(
            VLOOKUP($A49, INDIRECT("AbrR!$A$6:$ZZ$1048576"), MATCH(R$1, AbrR!$6:$6, 0), FALSE),
            0
        ) +
        IFERROR(
            VLOOKUP($A49, INDIRECT("MayR!$A$6:$ZZ$1048576"), MATCH(R$1, MayR!$6:$6, 0), FALSE),
            0
        ) +
        IFERROR(
            VLOOKUP($A49, INDIRECT("JunR!$A$6:$ZZ$1048576"), MATCH(R$1, JunR!$6:$6, 0), FALSE),
            0
        ) +
        IFERROR(
            VLOOKUP($A49, INDIRECT("JulR!$A$6:$ZZ$1048576"), MATCH(R$1, JulR!$6:$6, 0), FALSE),
            0
        ) +
        IFERROR(
            VLOOKUP($A49, INDIRECT("AgoR!$A$6:$ZZ$1048576"), MATCH(R$1, AgoR!$6:$6, 0), FALSE),
            0
        ) +
        IFERROR(
            VLOOKUP($A49, INDIRECT("SepR!$A$6:$ZZ$1048576"), MATCH(R$1, SepR!$6:$6, 0), FALSE),
            0
        ) +
        IFERROR(
            VLOOKUP($A49, INDIRECT("OctR!$A$6:$ZZ$1048576"), MATCH(R$1, OctR!$6:$6, 0), FALSE),
            0
        ) +
        IFERROR(
            VLOOKUP($A49, INDIRECT("NovR!$A$6:$ZZ$1048576"), MATCH(R$1, NovR!$6:$6, 0), FALSE),
            0
        ) +
        IFERROR(
            VLOOKUP($A49, INDIRECT("DicR!$A$6:$ZZ$1048576"), MATCH(R$1, DicR!$6:$6, 0), FALSE),
            0
        )
)</f>
        <v>0</v>
      </c>
      <c r="S49" s="37">
        <f t="array" ref="S49">SUM(
    IFERROR(
            VLOOKUP($A49, INDIRECT("EneR!$A$6:$ZZ$1048576"), MATCH(S$1, EneR!$6:$6, 0), FALSE),
            0
        ) +
        IFERROR(
            VLOOKUP($A49, INDIRECT("FebR!$A$6:$ZZ$1048576"), MATCH(S$1, FebR!$6:$6, 0), FALSE),
            0
        ) +
        IFERROR(
            VLOOKUP($A49, INDIRECT("MarR!$A$6:$ZZ$1048576"), MATCH(S$1, MarR!$6:$6, 0), FALSE),
            0
        ) +
        IFERROR(
            VLOOKUP($A49, INDIRECT("AbrR!$A$6:$ZZ$1048576"), MATCH(S$1, AbrR!$6:$6, 0), FALSE),
            0
        ) +
        IFERROR(
            VLOOKUP($A49, INDIRECT("MayR!$A$6:$ZZ$1048576"), MATCH(S$1, MayR!$6:$6, 0), FALSE),
            0
        ) +
        IFERROR(
            VLOOKUP($A49, INDIRECT("JunR!$A$6:$ZZ$1048576"), MATCH(S$1, JunR!$6:$6, 0), FALSE),
            0
        ) +
        IFERROR(
            VLOOKUP($A49, INDIRECT("JulR!$A$6:$ZZ$1048576"), MATCH(S$1, JulR!$6:$6, 0), FALSE),
            0
        ) +
        IFERROR(
            VLOOKUP($A49, INDIRECT("AgoR!$A$6:$ZZ$1048576"), MATCH(S$1, AgoR!$6:$6, 0), FALSE),
            0
        ) +
        IFERROR(
            VLOOKUP($A49, INDIRECT("SepR!$A$6:$ZZ$1048576"), MATCH(S$1, SepR!$6:$6, 0), FALSE),
            0
        ) +
        IFERROR(
            VLOOKUP($A49, INDIRECT("OctR!$A$6:$ZZ$1048576"), MATCH(S$1, OctR!$6:$6, 0), FALSE),
            0
        ) +
        IFERROR(
            VLOOKUP($A49, INDIRECT("NovR!$A$6:$ZZ$1048576"), MATCH(S$1, NovR!$6:$6, 0), FALSE),
            0
        ) +
        IFERROR(
            VLOOKUP($A49, INDIRECT("DicR!$A$6:$ZZ$1048576"), MATCH(S$1, DicR!$6:$6, 0), FALSE),
            0
        )
)</f>
        <v>0</v>
      </c>
      <c r="T49" s="36">
        <f t="array" ref="T49">SUM(
    IFERROR(
            VLOOKUP($A49, INDIRECT("EneR!$A$6:$ZZ$1048576"), MATCH(T$1, EneR!$6:$6, 0), FALSE),
            0
        ) +
        IFERROR(
            VLOOKUP($A49, INDIRECT("FebR!$A$6:$ZZ$1048576"), MATCH(T$1, FebR!$6:$6, 0), FALSE),
            0
        ) +
        IFERROR(
            VLOOKUP($A49, INDIRECT("MarR!$A$6:$ZZ$1048576"), MATCH(T$1, MarR!$6:$6, 0), FALSE),
            0
        ) +
        IFERROR(
            VLOOKUP($A49, INDIRECT("AbrR!$A$6:$ZZ$1048576"), MATCH(T$1, AbrR!$6:$6, 0), FALSE),
            0
        ) +
        IFERROR(
            VLOOKUP($A49, INDIRECT("MayR!$A$6:$ZZ$1048576"), MATCH(T$1, MayR!$6:$6, 0), FALSE),
            0
        ) +
        IFERROR(
            VLOOKUP($A49, INDIRECT("JunR!$A$6:$ZZ$1048576"), MATCH(T$1, JunR!$6:$6, 0), FALSE),
            0
        ) +
        IFERROR(
            VLOOKUP($A49, INDIRECT("JulR!$A$6:$ZZ$1048576"), MATCH(T$1, JulR!$6:$6, 0), FALSE),
            0
        ) +
        IFERROR(
            VLOOKUP($A49, INDIRECT("AgoR!$A$6:$ZZ$1048576"), MATCH(T$1, AgoR!$6:$6, 0), FALSE),
            0
        ) +
        IFERROR(
            VLOOKUP($A49, INDIRECT("SepR!$A$6:$ZZ$1048576"), MATCH(T$1, SepR!$6:$6, 0), FALSE),
            0
        ) +
        IFERROR(
            VLOOKUP($A49, INDIRECT("OctR!$A$6:$ZZ$1048576"), MATCH(T$1, OctR!$6:$6, 0), FALSE),
            0
        ) +
        IFERROR(
            VLOOKUP($A49, INDIRECT("NovR!$A$6:$ZZ$1048576"), MATCH(T$1, NovR!$6:$6, 0), FALSE),
            0
        ) +
        IFERROR(
            VLOOKUP($A49, INDIRECT("DicR!$A$6:$ZZ$1048576"), MATCH(T$1, DicR!$6:$6, 0), FALSE),
            0
        )
)</f>
        <v>0</v>
      </c>
      <c r="U49" s="37">
        <f t="array" ref="U49">SUM(
    IFERROR(
            VLOOKUP($A49, INDIRECT("EneR!$A$6:$ZZ$1048576"), MATCH(U$1, EneR!$6:$6, 0), FALSE),
            0
        ) +
        IFERROR(
            VLOOKUP($A49, INDIRECT("FebR!$A$6:$ZZ$1048576"), MATCH(U$1, FebR!$6:$6, 0), FALSE),
            0
        ) +
        IFERROR(
            VLOOKUP($A49, INDIRECT("MarR!$A$6:$ZZ$1048576"), MATCH(U$1, MarR!$6:$6, 0), FALSE),
            0
        ) +
        IFERROR(
            VLOOKUP($A49, INDIRECT("AbrR!$A$6:$ZZ$1048576"), MATCH(U$1, AbrR!$6:$6, 0), FALSE),
            0
        ) +
        IFERROR(
            VLOOKUP($A49, INDIRECT("MayR!$A$6:$ZZ$1048576"), MATCH(U$1, MayR!$6:$6, 0), FALSE),
            0
        ) +
        IFERROR(
            VLOOKUP($A49, INDIRECT("JunR!$A$6:$ZZ$1048576"), MATCH(U$1, JunR!$6:$6, 0), FALSE),
            0
        ) +
        IFERROR(
            VLOOKUP($A49, INDIRECT("JulR!$A$6:$ZZ$1048576"), MATCH(U$1, JulR!$6:$6, 0), FALSE),
            0
        ) +
        IFERROR(
            VLOOKUP($A49, INDIRECT("AgoR!$A$6:$ZZ$1048576"), MATCH(U$1, AgoR!$6:$6, 0), FALSE),
            0
        ) +
        IFERROR(
            VLOOKUP($A49, INDIRECT("SepR!$A$6:$ZZ$1048576"), MATCH(U$1, SepR!$6:$6, 0), FALSE),
            0
        ) +
        IFERROR(
            VLOOKUP($A49, INDIRECT("OctR!$A$6:$ZZ$1048576"), MATCH(U$1, OctR!$6:$6, 0), FALSE),
            0
        ) +
        IFERROR(
            VLOOKUP($A49, INDIRECT("NovR!$A$6:$ZZ$1048576"), MATCH(U$1, NovR!$6:$6, 0), FALSE),
            0
        ) +
        IFERROR(
            VLOOKUP($A49, INDIRECT("DicR!$A$6:$ZZ$1048576"), MATCH(U$1, DicR!$6:$6, 0), FALSE),
            0
        )
)</f>
        <v>0</v>
      </c>
      <c r="V49" s="36">
        <f t="array" ref="V49">SUM(
    IFERROR(
            VLOOKUP($A49, INDIRECT("EneR!$A$6:$ZZ$1048576"), MATCH(V$1, EneR!$6:$6, 0), FALSE),
            0
        ) +
        IFERROR(
            VLOOKUP($A49, INDIRECT("FebR!$A$6:$ZZ$1048576"), MATCH(V$1, FebR!$6:$6, 0), FALSE),
            0
        ) +
        IFERROR(
            VLOOKUP($A49, INDIRECT("MarR!$A$6:$ZZ$1048576"), MATCH(V$1, MarR!$6:$6, 0), FALSE),
            0
        ) +
        IFERROR(
            VLOOKUP($A49, INDIRECT("AbrR!$A$6:$ZZ$1048576"), MATCH(V$1, AbrR!$6:$6, 0), FALSE),
            0
        ) +
        IFERROR(
            VLOOKUP($A49, INDIRECT("MayR!$A$6:$ZZ$1048576"), MATCH(V$1, MayR!$6:$6, 0), FALSE),
            0
        ) +
        IFERROR(
            VLOOKUP($A49, INDIRECT("JunR!$A$6:$ZZ$1048576"), MATCH(V$1, JunR!$6:$6, 0), FALSE),
            0
        ) +
        IFERROR(
            VLOOKUP($A49, INDIRECT("JulR!$A$6:$ZZ$1048576"), MATCH(V$1, JulR!$6:$6, 0), FALSE),
            0
        ) +
        IFERROR(
            VLOOKUP($A49, INDIRECT("AgoR!$A$6:$ZZ$1048576"), MATCH(V$1, AgoR!$6:$6, 0), FALSE),
            0
        ) +
        IFERROR(
            VLOOKUP($A49, INDIRECT("SepR!$A$6:$ZZ$1048576"), MATCH(V$1, SepR!$6:$6, 0), FALSE),
            0
        ) +
        IFERROR(
            VLOOKUP($A49, INDIRECT("OctR!$A$6:$ZZ$1048576"), MATCH(V$1, OctR!$6:$6, 0), FALSE),
            0
        ) +
        IFERROR(
            VLOOKUP($A49, INDIRECT("NovR!$A$6:$ZZ$1048576"), MATCH(V$1, NovR!$6:$6, 0), FALSE),
            0
        ) +
        IFERROR(
            VLOOKUP($A49, INDIRECT("DicR!$A$6:$ZZ$1048576"), MATCH(V$1, DicR!$6:$6, 0), FALSE),
            0
        )
)</f>
        <v>0</v>
      </c>
      <c r="W49" s="37">
        <f t="array" ref="W49">SUM(
    IFERROR(
            VLOOKUP($A49, INDIRECT("EneR!$A$6:$ZZ$1048576"), MATCH(W$1, EneR!$6:$6, 0), FALSE),
            0
        ) +
        IFERROR(
            VLOOKUP($A49, INDIRECT("FebR!$A$6:$ZZ$1048576"), MATCH(W$1, FebR!$6:$6, 0), FALSE),
            0
        ) +
        IFERROR(
            VLOOKUP($A49, INDIRECT("MarR!$A$6:$ZZ$1048576"), MATCH(W$1, MarR!$6:$6, 0), FALSE),
            0
        ) +
        IFERROR(
            VLOOKUP($A49, INDIRECT("AbrR!$A$6:$ZZ$1048576"), MATCH(W$1, AbrR!$6:$6, 0), FALSE),
            0
        ) +
        IFERROR(
            VLOOKUP($A49, INDIRECT("MayR!$A$6:$ZZ$1048576"), MATCH(W$1, MayR!$6:$6, 0), FALSE),
            0
        ) +
        IFERROR(
            VLOOKUP($A49, INDIRECT("JunR!$A$6:$ZZ$1048576"), MATCH(W$1, JunR!$6:$6, 0), FALSE),
            0
        ) +
        IFERROR(
            VLOOKUP($A49, INDIRECT("JulR!$A$6:$ZZ$1048576"), MATCH(W$1, JulR!$6:$6, 0), FALSE),
            0
        ) +
        IFERROR(
            VLOOKUP($A49, INDIRECT("AgoR!$A$6:$ZZ$1048576"), MATCH(W$1, AgoR!$6:$6, 0), FALSE),
            0
        ) +
        IFERROR(
            VLOOKUP($A49, INDIRECT("SepR!$A$6:$ZZ$1048576"), MATCH(W$1, SepR!$6:$6, 0), FALSE),
            0
        ) +
        IFERROR(
            VLOOKUP($A49, INDIRECT("OctR!$A$6:$ZZ$1048576"), MATCH(W$1, OctR!$6:$6, 0), FALSE),
            0
        ) +
        IFERROR(
            VLOOKUP($A49, INDIRECT("NovR!$A$6:$ZZ$1048576"), MATCH(W$1, NovR!$6:$6, 0), FALSE),
            0
        ) +
        IFERROR(
            VLOOKUP($A49, INDIRECT("DicR!$A$6:$ZZ$1048576"), MATCH(W$1, DicR!$6:$6, 0), FALSE),
            0
        )
)</f>
        <v>0</v>
      </c>
      <c r="X49" s="36">
        <f t="array" ref="X49">SUM(
    IFERROR(
            VLOOKUP($A49, INDIRECT("EneR!$A$6:$ZZ$1048576"), MATCH(X$1, EneR!$6:$6, 0), FALSE),
            0
        ) +
        IFERROR(
            VLOOKUP($A49, INDIRECT("FebR!$A$6:$ZZ$1048576"), MATCH(X$1, FebR!$6:$6, 0), FALSE),
            0
        ) +
        IFERROR(
            VLOOKUP($A49, INDIRECT("MarR!$A$6:$ZZ$1048576"), MATCH(X$1, MarR!$6:$6, 0), FALSE),
            0
        ) +
        IFERROR(
            VLOOKUP($A49, INDIRECT("AbrR!$A$6:$ZZ$1048576"), MATCH(X$1, AbrR!$6:$6, 0), FALSE),
            0
        ) +
        IFERROR(
            VLOOKUP($A49, INDIRECT("MayR!$A$6:$ZZ$1048576"), MATCH(X$1, MayR!$6:$6, 0), FALSE),
            0
        ) +
        IFERROR(
            VLOOKUP($A49, INDIRECT("JunR!$A$6:$ZZ$1048576"), MATCH(X$1, JunR!$6:$6, 0), FALSE),
            0
        ) +
        IFERROR(
            VLOOKUP($A49, INDIRECT("JulR!$A$6:$ZZ$1048576"), MATCH(X$1, JulR!$6:$6, 0), FALSE),
            0
        ) +
        IFERROR(
            VLOOKUP($A49, INDIRECT("AgoR!$A$6:$ZZ$1048576"), MATCH(X$1, AgoR!$6:$6, 0), FALSE),
            0
        ) +
        IFERROR(
            VLOOKUP($A49, INDIRECT("SepR!$A$6:$ZZ$1048576"), MATCH(X$1, SepR!$6:$6, 0), FALSE),
            0
        ) +
        IFERROR(
            VLOOKUP($A49, INDIRECT("OctR!$A$6:$ZZ$1048576"), MATCH(X$1, OctR!$6:$6, 0), FALSE),
            0
        ) +
        IFERROR(
            VLOOKUP($A49, INDIRECT("NovR!$A$6:$ZZ$1048576"), MATCH(X$1, NovR!$6:$6, 0), FALSE),
            0
        ) +
        IFERROR(
            VLOOKUP($A49, INDIRECT("DicR!$A$6:$ZZ$1048576"), MATCH(X$1, DicR!$6:$6, 0), FALSE),
            0
        )
)</f>
        <v>0</v>
      </c>
      <c r="Y49" s="37">
        <f t="array" ref="Y49">SUM(
    IFERROR(
            VLOOKUP($A49, INDIRECT("EneR!$A$6:$ZZ$1048576"), MATCH(Y$1, EneR!$6:$6, 0), FALSE),
            0
        ) +
        IFERROR(
            VLOOKUP($A49, INDIRECT("FebR!$A$6:$ZZ$1048576"), MATCH(Y$1, FebR!$6:$6, 0), FALSE),
            0
        ) +
        IFERROR(
            VLOOKUP($A49, INDIRECT("MarR!$A$6:$ZZ$1048576"), MATCH(Y$1, MarR!$6:$6, 0), FALSE),
            0
        ) +
        IFERROR(
            VLOOKUP($A49, INDIRECT("AbrR!$A$6:$ZZ$1048576"), MATCH(Y$1, AbrR!$6:$6, 0), FALSE),
            0
        ) +
        IFERROR(
            VLOOKUP($A49, INDIRECT("MayR!$A$6:$ZZ$1048576"), MATCH(Y$1, MayR!$6:$6, 0), FALSE),
            0
        ) +
        IFERROR(
            VLOOKUP($A49, INDIRECT("JunR!$A$6:$ZZ$1048576"), MATCH(Y$1, JunR!$6:$6, 0), FALSE),
            0
        ) +
        IFERROR(
            VLOOKUP($A49, INDIRECT("JulR!$A$6:$ZZ$1048576"), MATCH(Y$1, JulR!$6:$6, 0), FALSE),
            0
        ) +
        IFERROR(
            VLOOKUP($A49, INDIRECT("AgoR!$A$6:$ZZ$1048576"), MATCH(Y$1, AgoR!$6:$6, 0), FALSE),
            0
        ) +
        IFERROR(
            VLOOKUP($A49, INDIRECT("SepR!$A$6:$ZZ$1048576"), MATCH(Y$1, SepR!$6:$6, 0), FALSE),
            0
        ) +
        IFERROR(
            VLOOKUP($A49, INDIRECT("OctR!$A$6:$ZZ$1048576"), MATCH(Y$1, OctR!$6:$6, 0), FALSE),
            0
        ) +
        IFERROR(
            VLOOKUP($A49, INDIRECT("NovR!$A$6:$ZZ$1048576"), MATCH(Y$1, NovR!$6:$6, 0), FALSE),
            0
        ) +
        IFERROR(
            VLOOKUP($A49, INDIRECT("DicR!$A$6:$ZZ$1048576"), MATCH(Y$1, DicR!$6:$6, 0), FALSE),
            0
        )
)</f>
        <v>0</v>
      </c>
      <c r="Z49" s="36">
        <f t="array" ref="Z49">SUM(
    IFERROR(
            VLOOKUP($A49, INDIRECT("EneR!$A$6:$ZZ$1048576"), MATCH(Z$1, EneR!$6:$6, 0), FALSE),
            0
        ) +
        IFERROR(
            VLOOKUP($A49, INDIRECT("FebR!$A$6:$ZZ$1048576"), MATCH(Z$1, FebR!$6:$6, 0), FALSE),
            0
        ) +
        IFERROR(
            VLOOKUP($A49, INDIRECT("MarR!$A$6:$ZZ$1048576"), MATCH(Z$1, MarR!$6:$6, 0), FALSE),
            0
        ) +
        IFERROR(
            VLOOKUP($A49, INDIRECT("AbrR!$A$6:$ZZ$1048576"), MATCH(Z$1, AbrR!$6:$6, 0), FALSE),
            0
        ) +
        IFERROR(
            VLOOKUP($A49, INDIRECT("MayR!$A$6:$ZZ$1048576"), MATCH(Z$1, MayR!$6:$6, 0), FALSE),
            0
        ) +
        IFERROR(
            VLOOKUP($A49, INDIRECT("JunR!$A$6:$ZZ$1048576"), MATCH(Z$1, JunR!$6:$6, 0), FALSE),
            0
        ) +
        IFERROR(
            VLOOKUP($A49, INDIRECT("JulR!$A$6:$ZZ$1048576"), MATCH(Z$1, JulR!$6:$6, 0), FALSE),
            0
        ) +
        IFERROR(
            VLOOKUP($A49, INDIRECT("AgoR!$A$6:$ZZ$1048576"), MATCH(Z$1, AgoR!$6:$6, 0), FALSE),
            0
        ) +
        IFERROR(
            VLOOKUP($A49, INDIRECT("SepR!$A$6:$ZZ$1048576"), MATCH(Z$1, SepR!$6:$6, 0), FALSE),
            0
        ) +
        IFERROR(
            VLOOKUP($A49, INDIRECT("OctR!$A$6:$ZZ$1048576"), MATCH(Z$1, OctR!$6:$6, 0), FALSE),
            0
        ) +
        IFERROR(
            VLOOKUP($A49, INDIRECT("NovR!$A$6:$ZZ$1048576"), MATCH(Z$1, NovR!$6:$6, 0), FALSE),
            0
        ) +
        IFERROR(
            VLOOKUP($A49, INDIRECT("DicR!$A$6:$ZZ$1048576"), MATCH(Z$1, DicR!$6:$6, 0), FALSE),
            0
        )
)</f>
        <v>0</v>
      </c>
      <c r="AA49" s="37">
        <f t="array" ref="AA49">SUM(
    IFERROR(
            VLOOKUP($A49, INDIRECT("EneR!$A$6:$ZZ$1048576"), MATCH(AA$1, EneR!$6:$6, 0), FALSE),
            0
        ) +
        IFERROR(
            VLOOKUP($A49, INDIRECT("FebR!$A$6:$ZZ$1048576"), MATCH(AA$1, FebR!$6:$6, 0), FALSE),
            0
        ) +
        IFERROR(
            VLOOKUP($A49, INDIRECT("MarR!$A$6:$ZZ$1048576"), MATCH(AA$1, MarR!$6:$6, 0), FALSE),
            0
        ) +
        IFERROR(
            VLOOKUP($A49, INDIRECT("AbrR!$A$6:$ZZ$1048576"), MATCH(AA$1, AbrR!$6:$6, 0), FALSE),
            0
        ) +
        IFERROR(
            VLOOKUP($A49, INDIRECT("MayR!$A$6:$ZZ$1048576"), MATCH(AA$1, MayR!$6:$6, 0), FALSE),
            0
        ) +
        IFERROR(
            VLOOKUP($A49, INDIRECT("JunR!$A$6:$ZZ$1048576"), MATCH(AA$1, JunR!$6:$6, 0), FALSE),
            0
        ) +
        IFERROR(
            VLOOKUP($A49, INDIRECT("JulR!$A$6:$ZZ$1048576"), MATCH(AA$1, JulR!$6:$6, 0), FALSE),
            0
        ) +
        IFERROR(
            VLOOKUP($A49, INDIRECT("AgoR!$A$6:$ZZ$1048576"), MATCH(AA$1, AgoR!$6:$6, 0), FALSE),
            0
        ) +
        IFERROR(
            VLOOKUP($A49, INDIRECT("SepR!$A$6:$ZZ$1048576"), MATCH(AA$1, SepR!$6:$6, 0), FALSE),
            0
        ) +
        IFERROR(
            VLOOKUP($A49, INDIRECT("OctR!$A$6:$ZZ$1048576"), MATCH(AA$1, OctR!$6:$6, 0), FALSE),
            0
        ) +
        IFERROR(
            VLOOKUP($A49, INDIRECT("NovR!$A$6:$ZZ$1048576"), MATCH(AA$1, NovR!$6:$6, 0), FALSE),
            0
        ) +
        IFERROR(
            VLOOKUP($A49, INDIRECT("DicR!$A$6:$ZZ$1048576"), MATCH(AA$1, DicR!$6:$6, 0), FALSE),
            0
        )
)</f>
        <v>0</v>
      </c>
      <c r="AB49" s="36">
        <f t="array" ref="AB49">SUM(
    IFERROR(
            VLOOKUP($A49, INDIRECT("EneR!$A$6:$ZZ$1048576"), MATCH(AB$1, EneR!$6:$6, 0), FALSE),
            0
        ) +
        IFERROR(
            VLOOKUP($A49, INDIRECT("FebR!$A$6:$ZZ$1048576"), MATCH(AB$1, FebR!$6:$6, 0), FALSE),
            0
        ) +
        IFERROR(
            VLOOKUP($A49, INDIRECT("MarR!$A$6:$ZZ$1048576"), MATCH(AB$1, MarR!$6:$6, 0), FALSE),
            0
        ) +
        IFERROR(
            VLOOKUP($A49, INDIRECT("AbrR!$A$6:$ZZ$1048576"), MATCH(AB$1, AbrR!$6:$6, 0), FALSE),
            0
        ) +
        IFERROR(
            VLOOKUP($A49, INDIRECT("MayR!$A$6:$ZZ$1048576"), MATCH(AB$1, MayR!$6:$6, 0), FALSE),
            0
        ) +
        IFERROR(
            VLOOKUP($A49, INDIRECT("JunR!$A$6:$ZZ$1048576"), MATCH(AB$1, JunR!$6:$6, 0), FALSE),
            0
        ) +
        IFERROR(
            VLOOKUP($A49, INDIRECT("JulR!$A$6:$ZZ$1048576"), MATCH(AB$1, JulR!$6:$6, 0), FALSE),
            0
        ) +
        IFERROR(
            VLOOKUP($A49, INDIRECT("AgoR!$A$6:$ZZ$1048576"), MATCH(AB$1, AgoR!$6:$6, 0), FALSE),
            0
        ) +
        IFERROR(
            VLOOKUP($A49, INDIRECT("SepR!$A$6:$ZZ$1048576"), MATCH(AB$1, SepR!$6:$6, 0), FALSE),
            0
        ) +
        IFERROR(
            VLOOKUP($A49, INDIRECT("OctR!$A$6:$ZZ$1048576"), MATCH(AB$1, OctR!$6:$6, 0), FALSE),
            0
        ) +
        IFERROR(
            VLOOKUP($A49, INDIRECT("NovR!$A$6:$ZZ$1048576"), MATCH(AB$1, NovR!$6:$6, 0), FALSE),
            0
        ) +
        IFERROR(
            VLOOKUP($A49, INDIRECT("DicR!$A$6:$ZZ$1048576"), MATCH(AB$1, DicR!$6:$6, 0), FALSE),
            0
        )
)</f>
        <v>0</v>
      </c>
      <c r="AC49" s="37">
        <f t="array" ref="AC49">SUM(
    IFERROR(
            VLOOKUP($A49, INDIRECT("EneR!$A$6:$ZZ$1048576"), MATCH(AC$1, EneR!$6:$6, 0), FALSE),
            0
        ) +
        IFERROR(
            VLOOKUP($A49, INDIRECT("FebR!$A$6:$ZZ$1048576"), MATCH(AC$1, FebR!$6:$6, 0), FALSE),
            0
        ) +
        IFERROR(
            VLOOKUP($A49, INDIRECT("MarR!$A$6:$ZZ$1048576"), MATCH(AC$1, MarR!$6:$6, 0), FALSE),
            0
        ) +
        IFERROR(
            VLOOKUP($A49, INDIRECT("AbrR!$A$6:$ZZ$1048576"), MATCH(AC$1, AbrR!$6:$6, 0), FALSE),
            0
        ) +
        IFERROR(
            VLOOKUP($A49, INDIRECT("MayR!$A$6:$ZZ$1048576"), MATCH(AC$1, MayR!$6:$6, 0), FALSE),
            0
        ) +
        IFERROR(
            VLOOKUP($A49, INDIRECT("JunR!$A$6:$ZZ$1048576"), MATCH(AC$1, JunR!$6:$6, 0), FALSE),
            0
        ) +
        IFERROR(
            VLOOKUP($A49, INDIRECT("JulR!$A$6:$ZZ$1048576"), MATCH(AC$1, JulR!$6:$6, 0), FALSE),
            0
        ) +
        IFERROR(
            VLOOKUP($A49, INDIRECT("AgoR!$A$6:$ZZ$1048576"), MATCH(AC$1, AgoR!$6:$6, 0), FALSE),
            0
        ) +
        IFERROR(
            VLOOKUP($A49, INDIRECT("SepR!$A$6:$ZZ$1048576"), MATCH(AC$1, SepR!$6:$6, 0), FALSE),
            0
        ) +
        IFERROR(
            VLOOKUP($A49, INDIRECT("OctR!$A$6:$ZZ$1048576"), MATCH(AC$1, OctR!$6:$6, 0), FALSE),
            0
        ) +
        IFERROR(
            VLOOKUP($A49, INDIRECT("NovR!$A$6:$ZZ$1048576"), MATCH(AC$1, NovR!$6:$6, 0), FALSE),
            0
        ) +
        IFERROR(
            VLOOKUP($A49, INDIRECT("DicR!$A$6:$ZZ$1048576"), MATCH(AC$1, DicR!$6:$6, 0), FALSE),
            0
        )
)</f>
        <v>0</v>
      </c>
      <c r="AD49" s="36">
        <f t="array" ref="AD49">SUM(
    IFERROR(
            VLOOKUP($A49, INDIRECT("EneR!$A$6:$ZZ$1048576"), MATCH(AD$1, EneR!$6:$6, 0), FALSE),
            0
        ) +
        IFERROR(
            VLOOKUP($A49, INDIRECT("FebR!$A$6:$ZZ$1048576"), MATCH(AD$1, FebR!$6:$6, 0), FALSE),
            0
        ) +
        IFERROR(
            VLOOKUP($A49, INDIRECT("MarR!$A$6:$ZZ$1048576"), MATCH(AD$1, MarR!$6:$6, 0), FALSE),
            0
        ) +
        IFERROR(
            VLOOKUP($A49, INDIRECT("AbrR!$A$6:$ZZ$1048576"), MATCH(AD$1, AbrR!$6:$6, 0), FALSE),
            0
        ) +
        IFERROR(
            VLOOKUP($A49, INDIRECT("MayR!$A$6:$ZZ$1048576"), MATCH(AD$1, MayR!$6:$6, 0), FALSE),
            0
        ) +
        IFERROR(
            VLOOKUP($A49, INDIRECT("JunR!$A$6:$ZZ$1048576"), MATCH(AD$1, JunR!$6:$6, 0), FALSE),
            0
        ) +
        IFERROR(
            VLOOKUP($A49, INDIRECT("JulR!$A$6:$ZZ$1048576"), MATCH(AD$1, JulR!$6:$6, 0), FALSE),
            0
        ) +
        IFERROR(
            VLOOKUP($A49, INDIRECT("AgoR!$A$6:$ZZ$1048576"), MATCH(AD$1, AgoR!$6:$6, 0), FALSE),
            0
        ) +
        IFERROR(
            VLOOKUP($A49, INDIRECT("SepR!$A$6:$ZZ$1048576"), MATCH(AD$1, SepR!$6:$6, 0), FALSE),
            0
        ) +
        IFERROR(
            VLOOKUP($A49, INDIRECT("OctR!$A$6:$ZZ$1048576"), MATCH(AD$1, OctR!$6:$6, 0), FALSE),
            0
        ) +
        IFERROR(
            VLOOKUP($A49, INDIRECT("NovR!$A$6:$ZZ$1048576"), MATCH(AD$1, NovR!$6:$6, 0), FALSE),
            0
        ) +
        IFERROR(
            VLOOKUP($A49, INDIRECT("DicR!$A$6:$ZZ$1048576"), MATCH(AD$1, DicR!$6:$6, 0), FALSE),
            0
        )
)</f>
        <v>0</v>
      </c>
      <c r="AE49" s="37">
        <f t="array" ref="AE49">SUM(
    IFERROR(
            VLOOKUP($A49, INDIRECT("EneR!$A$6:$ZZ$1048576"), MATCH(AE$1, EneR!$6:$6, 0), FALSE),
            0
        ) +
        IFERROR(
            VLOOKUP($A49, INDIRECT("FebR!$A$6:$ZZ$1048576"), MATCH(AE$1, FebR!$6:$6, 0), FALSE),
            0
        ) +
        IFERROR(
            VLOOKUP($A49, INDIRECT("MarR!$A$6:$ZZ$1048576"), MATCH(AE$1, MarR!$6:$6, 0), FALSE),
            0
        ) +
        IFERROR(
            VLOOKUP($A49, INDIRECT("AbrR!$A$6:$ZZ$1048576"), MATCH(AE$1, AbrR!$6:$6, 0), FALSE),
            0
        ) +
        IFERROR(
            VLOOKUP($A49, INDIRECT("MayR!$A$6:$ZZ$1048576"), MATCH(AE$1, MayR!$6:$6, 0), FALSE),
            0
        ) +
        IFERROR(
            VLOOKUP($A49, INDIRECT("JunR!$A$6:$ZZ$1048576"), MATCH(AE$1, JunR!$6:$6, 0), FALSE),
            0
        ) +
        IFERROR(
            VLOOKUP($A49, INDIRECT("JulR!$A$6:$ZZ$1048576"), MATCH(AE$1, JulR!$6:$6, 0), FALSE),
            0
        ) +
        IFERROR(
            VLOOKUP($A49, INDIRECT("AgoR!$A$6:$ZZ$1048576"), MATCH(AE$1, AgoR!$6:$6, 0), FALSE),
            0
        ) +
        IFERROR(
            VLOOKUP($A49, INDIRECT("SepR!$A$6:$ZZ$1048576"), MATCH(AE$1, SepR!$6:$6, 0), FALSE),
            0
        ) +
        IFERROR(
            VLOOKUP($A49, INDIRECT("OctR!$A$6:$ZZ$1048576"), MATCH(AE$1, OctR!$6:$6, 0), FALSE),
            0
        ) +
        IFERROR(
            VLOOKUP($A49, INDIRECT("NovR!$A$6:$ZZ$1048576"), MATCH(AE$1, NovR!$6:$6, 0), FALSE),
            0
        ) +
        IFERROR(
            VLOOKUP($A49, INDIRECT("DicR!$A$6:$ZZ$1048576"), MATCH(AE$1, DicR!$6:$6, 0), FALSE),
            0
        )
)</f>
        <v>0</v>
      </c>
      <c r="AF49" s="36">
        <f t="array" ref="AF49">SUM(
    IFERROR(
            VLOOKUP($A49, INDIRECT("EneR!$A$6:$ZZ$1048576"), MATCH(AF$1, EneR!$6:$6, 0), FALSE),
            0
        ) +
        IFERROR(
            VLOOKUP($A49, INDIRECT("FebR!$A$6:$ZZ$1048576"), MATCH(AF$1, FebR!$6:$6, 0), FALSE),
            0
        ) +
        IFERROR(
            VLOOKUP($A49, INDIRECT("MarR!$A$6:$ZZ$1048576"), MATCH(AF$1, MarR!$6:$6, 0), FALSE),
            0
        ) +
        IFERROR(
            VLOOKUP($A49, INDIRECT("AbrR!$A$6:$ZZ$1048576"), MATCH(AF$1, AbrR!$6:$6, 0), FALSE),
            0
        ) +
        IFERROR(
            VLOOKUP($A49, INDIRECT("MayR!$A$6:$ZZ$1048576"), MATCH(AF$1, MayR!$6:$6, 0), FALSE),
            0
        ) +
        IFERROR(
            VLOOKUP($A49, INDIRECT("JunR!$A$6:$ZZ$1048576"), MATCH(AF$1, JunR!$6:$6, 0), FALSE),
            0
        ) +
        IFERROR(
            VLOOKUP($A49, INDIRECT("JulR!$A$6:$ZZ$1048576"), MATCH(AF$1, JulR!$6:$6, 0), FALSE),
            0
        ) +
        IFERROR(
            VLOOKUP($A49, INDIRECT("AgoR!$A$6:$ZZ$1048576"), MATCH(AF$1, AgoR!$6:$6, 0), FALSE),
            0
        ) +
        IFERROR(
            VLOOKUP($A49, INDIRECT("SepR!$A$6:$ZZ$1048576"), MATCH(AF$1, SepR!$6:$6, 0), FALSE),
            0
        ) +
        IFERROR(
            VLOOKUP($A49, INDIRECT("OctR!$A$6:$ZZ$1048576"), MATCH(AF$1, OctR!$6:$6, 0), FALSE),
            0
        ) +
        IFERROR(
            VLOOKUP($A49, INDIRECT("NovR!$A$6:$ZZ$1048576"), MATCH(AF$1, NovR!$6:$6, 0), FALSE),
            0
        ) +
        IFERROR(
            VLOOKUP($A49, INDIRECT("DicR!$A$6:$ZZ$1048576"), MATCH(AF$1, DicR!$6:$6, 0), FALSE),
            0
        )
)</f>
        <v>0</v>
      </c>
      <c r="AG49" s="37">
        <f t="array" ref="AG49">SUM(
    IFERROR(
            VLOOKUP($A49, INDIRECT("EneR!$A$6:$ZZ$1048576"), MATCH(AG$1, EneR!$6:$6, 0), FALSE),
            0
        ) +
        IFERROR(
            VLOOKUP($A49, INDIRECT("FebR!$A$6:$ZZ$1048576"), MATCH(AG$1, FebR!$6:$6, 0), FALSE),
            0
        ) +
        IFERROR(
            VLOOKUP($A49, INDIRECT("MarR!$A$6:$ZZ$1048576"), MATCH(AG$1, MarR!$6:$6, 0), FALSE),
            0
        ) +
        IFERROR(
            VLOOKUP($A49, INDIRECT("AbrR!$A$6:$ZZ$1048576"), MATCH(AG$1, AbrR!$6:$6, 0), FALSE),
            0
        ) +
        IFERROR(
            VLOOKUP($A49, INDIRECT("MayR!$A$6:$ZZ$1048576"), MATCH(AG$1, MayR!$6:$6, 0), FALSE),
            0
        ) +
        IFERROR(
            VLOOKUP($A49, INDIRECT("JunR!$A$6:$ZZ$1048576"), MATCH(AG$1, JunR!$6:$6, 0), FALSE),
            0
        ) +
        IFERROR(
            VLOOKUP($A49, INDIRECT("JulR!$A$6:$ZZ$1048576"), MATCH(AG$1, JulR!$6:$6, 0), FALSE),
            0
        ) +
        IFERROR(
            VLOOKUP($A49, INDIRECT("AgoR!$A$6:$ZZ$1048576"), MATCH(AG$1, AgoR!$6:$6, 0), FALSE),
            0
        ) +
        IFERROR(
            VLOOKUP($A49, INDIRECT("SepR!$A$6:$ZZ$1048576"), MATCH(AG$1, SepR!$6:$6, 0), FALSE),
            0
        ) +
        IFERROR(
            VLOOKUP($A49, INDIRECT("OctR!$A$6:$ZZ$1048576"), MATCH(AG$1, OctR!$6:$6, 0), FALSE),
            0
        ) +
        IFERROR(
            VLOOKUP($A49, INDIRECT("NovR!$A$6:$ZZ$1048576"), MATCH(AG$1, NovR!$6:$6, 0), FALSE),
            0
        ) +
        IFERROR(
            VLOOKUP($A49, INDIRECT("DicR!$A$6:$ZZ$1048576"), MATCH(AG$1, DicR!$6:$6, 0), FALSE),
            0
        )
)</f>
        <v>0</v>
      </c>
      <c r="AH49" s="36">
        <f t="array" ref="AH49">SUM(
    IFERROR(
            VLOOKUP($A49, INDIRECT("EneR!$A$6:$ZZ$1048576"), MATCH(AH$1, EneR!$6:$6, 0), FALSE),
            0
        ) +
        IFERROR(
            VLOOKUP($A49, INDIRECT("FebR!$A$6:$ZZ$1048576"), MATCH(AH$1, FebR!$6:$6, 0), FALSE),
            0
        ) +
        IFERROR(
            VLOOKUP($A49, INDIRECT("MarR!$A$6:$ZZ$1048576"), MATCH(AH$1, MarR!$6:$6, 0), FALSE),
            0
        ) +
        IFERROR(
            VLOOKUP($A49, INDIRECT("AbrR!$A$6:$ZZ$1048576"), MATCH(AH$1, AbrR!$6:$6, 0), FALSE),
            0
        ) +
        IFERROR(
            VLOOKUP($A49, INDIRECT("MayR!$A$6:$ZZ$1048576"), MATCH(AH$1, MayR!$6:$6, 0), FALSE),
            0
        ) +
        IFERROR(
            VLOOKUP($A49, INDIRECT("JunR!$A$6:$ZZ$1048576"), MATCH(AH$1, JunR!$6:$6, 0), FALSE),
            0
        ) +
        IFERROR(
            VLOOKUP($A49, INDIRECT("JulR!$A$6:$ZZ$1048576"), MATCH(AH$1, JulR!$6:$6, 0), FALSE),
            0
        ) +
        IFERROR(
            VLOOKUP($A49, INDIRECT("AgoR!$A$6:$ZZ$1048576"), MATCH(AH$1, AgoR!$6:$6, 0), FALSE),
            0
        ) +
        IFERROR(
            VLOOKUP($A49, INDIRECT("SepR!$A$6:$ZZ$1048576"), MATCH(AH$1, SepR!$6:$6, 0), FALSE),
            0
        ) +
        IFERROR(
            VLOOKUP($A49, INDIRECT("OctR!$A$6:$ZZ$1048576"), MATCH(AH$1, OctR!$6:$6, 0), FALSE),
            0
        ) +
        IFERROR(
            VLOOKUP($A49, INDIRECT("NovR!$A$6:$ZZ$1048576"), MATCH(AH$1, NovR!$6:$6, 0), FALSE),
            0
        ) +
        IFERROR(
            VLOOKUP($A49, INDIRECT("DicR!$A$6:$ZZ$1048576"), MATCH(AH$1, DicR!$6:$6, 0), FALSE),
            0
        )
)</f>
        <v>0</v>
      </c>
      <c r="AI49" s="37">
        <f t="array" ref="AI49">SUM(
    IFERROR(
            VLOOKUP($A49, INDIRECT("EneR!$A$6:$ZZ$1048576"), MATCH(AI$1, EneR!$6:$6, 0), FALSE),
            0
        ) +
        IFERROR(
            VLOOKUP($A49, INDIRECT("FebR!$A$6:$ZZ$1048576"), MATCH(AI$1, FebR!$6:$6, 0), FALSE),
            0
        ) +
        IFERROR(
            VLOOKUP($A49, INDIRECT("MarR!$A$6:$ZZ$1048576"), MATCH(AI$1, MarR!$6:$6, 0), FALSE),
            0
        ) +
        IFERROR(
            VLOOKUP($A49, INDIRECT("AbrR!$A$6:$ZZ$1048576"), MATCH(AI$1, AbrR!$6:$6, 0), FALSE),
            0
        ) +
        IFERROR(
            VLOOKUP($A49, INDIRECT("MayR!$A$6:$ZZ$1048576"), MATCH(AI$1, MayR!$6:$6, 0), FALSE),
            0
        ) +
        IFERROR(
            VLOOKUP($A49, INDIRECT("JunR!$A$6:$ZZ$1048576"), MATCH(AI$1, JunR!$6:$6, 0), FALSE),
            0
        ) +
        IFERROR(
            VLOOKUP($A49, INDIRECT("JulR!$A$6:$ZZ$1048576"), MATCH(AI$1, JulR!$6:$6, 0), FALSE),
            0
        ) +
        IFERROR(
            VLOOKUP($A49, INDIRECT("AgoR!$A$6:$ZZ$1048576"), MATCH(AI$1, AgoR!$6:$6, 0), FALSE),
            0
        ) +
        IFERROR(
            VLOOKUP($A49, INDIRECT("SepR!$A$6:$ZZ$1048576"), MATCH(AI$1, SepR!$6:$6, 0), FALSE),
            0
        ) +
        IFERROR(
            VLOOKUP($A49, INDIRECT("OctR!$A$6:$ZZ$1048576"), MATCH(AI$1, OctR!$6:$6, 0), FALSE),
            0
        ) +
        IFERROR(
            VLOOKUP($A49, INDIRECT("NovR!$A$6:$ZZ$1048576"), MATCH(AI$1, NovR!$6:$6, 0), FALSE),
            0
        ) +
        IFERROR(
            VLOOKUP($A49, INDIRECT("DicR!$A$6:$ZZ$1048576"), MATCH(AI$1, DicR!$6:$6, 0), FALSE),
            0
        )
)</f>
        <v>0</v>
      </c>
      <c r="AJ49" s="36">
        <f t="array" ref="AJ49">SUM(
    IFERROR(
            VLOOKUP($A49, INDIRECT("EneR!$A$6:$ZZ$1048576"), MATCH(AJ$1, EneR!$6:$6, 0), FALSE),
            0
        ) +
        IFERROR(
            VLOOKUP($A49, INDIRECT("FebR!$A$6:$ZZ$1048576"), MATCH(AJ$1, FebR!$6:$6, 0), FALSE),
            0
        ) +
        IFERROR(
            VLOOKUP($A49, INDIRECT("MarR!$A$6:$ZZ$1048576"), MATCH(AJ$1, MarR!$6:$6, 0), FALSE),
            0
        ) +
        IFERROR(
            VLOOKUP($A49, INDIRECT("AbrR!$A$6:$ZZ$1048576"), MATCH(AJ$1, AbrR!$6:$6, 0), FALSE),
            0
        ) +
        IFERROR(
            VLOOKUP($A49, INDIRECT("MayR!$A$6:$ZZ$1048576"), MATCH(AJ$1, MayR!$6:$6, 0), FALSE),
            0
        ) +
        IFERROR(
            VLOOKUP($A49, INDIRECT("JunR!$A$6:$ZZ$1048576"), MATCH(AJ$1, JunR!$6:$6, 0), FALSE),
            0
        ) +
        IFERROR(
            VLOOKUP($A49, INDIRECT("JulR!$A$6:$ZZ$1048576"), MATCH(AJ$1, JulR!$6:$6, 0), FALSE),
            0
        ) +
        IFERROR(
            VLOOKUP($A49, INDIRECT("AgoR!$A$6:$ZZ$1048576"), MATCH(AJ$1, AgoR!$6:$6, 0), FALSE),
            0
        ) +
        IFERROR(
            VLOOKUP($A49, INDIRECT("SepR!$A$6:$ZZ$1048576"), MATCH(AJ$1, SepR!$6:$6, 0), FALSE),
            0
        ) +
        IFERROR(
            VLOOKUP($A49, INDIRECT("OctR!$A$6:$ZZ$1048576"), MATCH(AJ$1, OctR!$6:$6, 0), FALSE),
            0
        ) +
        IFERROR(
            VLOOKUP($A49, INDIRECT("NovR!$A$6:$ZZ$1048576"), MATCH(AJ$1, NovR!$6:$6, 0), FALSE),
            0
        ) +
        IFERROR(
            VLOOKUP($A49, INDIRECT("DicR!$A$6:$ZZ$1048576"), MATCH(AJ$1, DicR!$6:$6, 0), FALSE),
            0
        )
)</f>
        <v>0</v>
      </c>
      <c r="AK49" s="37">
        <f t="array" ref="AK49">SUM(
    IFERROR(
            VLOOKUP($A49, INDIRECT("EneR!$A$6:$ZZ$1048576"), MATCH(AK$1, EneR!$6:$6, 0), FALSE),
            0
        ) +
        IFERROR(
            VLOOKUP($A49, INDIRECT("FebR!$A$6:$ZZ$1048576"), MATCH(AK$1, FebR!$6:$6, 0), FALSE),
            0
        ) +
        IFERROR(
            VLOOKUP($A49, INDIRECT("MarR!$A$6:$ZZ$1048576"), MATCH(AK$1, MarR!$6:$6, 0), FALSE),
            0
        ) +
        IFERROR(
            VLOOKUP($A49, INDIRECT("AbrR!$A$6:$ZZ$1048576"), MATCH(AK$1, AbrR!$6:$6, 0), FALSE),
            0
        ) +
        IFERROR(
            VLOOKUP($A49, INDIRECT("MayR!$A$6:$ZZ$1048576"), MATCH(AK$1, MayR!$6:$6, 0), FALSE),
            0
        ) +
        IFERROR(
            VLOOKUP($A49, INDIRECT("JunR!$A$6:$ZZ$1048576"), MATCH(AK$1, JunR!$6:$6, 0), FALSE),
            0
        ) +
        IFERROR(
            VLOOKUP($A49, INDIRECT("JulR!$A$6:$ZZ$1048576"), MATCH(AK$1, JulR!$6:$6, 0), FALSE),
            0
        ) +
        IFERROR(
            VLOOKUP($A49, INDIRECT("AgoR!$A$6:$ZZ$1048576"), MATCH(AK$1, AgoR!$6:$6, 0), FALSE),
            0
        ) +
        IFERROR(
            VLOOKUP($A49, INDIRECT("SepR!$A$6:$ZZ$1048576"), MATCH(AK$1, SepR!$6:$6, 0), FALSE),
            0
        ) +
        IFERROR(
            VLOOKUP($A49, INDIRECT("OctR!$A$6:$ZZ$1048576"), MATCH(AK$1, OctR!$6:$6, 0), FALSE),
            0
        ) +
        IFERROR(
            VLOOKUP($A49, INDIRECT("NovR!$A$6:$ZZ$1048576"), MATCH(AK$1, NovR!$6:$6, 0), FALSE),
            0
        ) +
        IFERROR(
            VLOOKUP($A49, INDIRECT("DicR!$A$6:$ZZ$1048576"), MATCH(AK$1, DicR!$6:$6, 0), FALSE),
            0
        )
)</f>
        <v>0</v>
      </c>
      <c r="AL49" s="36">
        <f t="array" ref="AL49">SUM(
    IFERROR(
            VLOOKUP($A49, INDIRECT("EneR!$A$6:$ZZ$1048576"), MATCH(AL$1, EneR!$6:$6, 0), FALSE),
            0
        ) +
        IFERROR(
            VLOOKUP($A49, INDIRECT("FebR!$A$6:$ZZ$1048576"), MATCH(AL$1, FebR!$6:$6, 0), FALSE),
            0
        ) +
        IFERROR(
            VLOOKUP($A49, INDIRECT("MarR!$A$6:$ZZ$1048576"), MATCH(AL$1, MarR!$6:$6, 0), FALSE),
            0
        ) +
        IFERROR(
            VLOOKUP($A49, INDIRECT("AbrR!$A$6:$ZZ$1048576"), MATCH(AL$1, AbrR!$6:$6, 0), FALSE),
            0
        ) +
        IFERROR(
            VLOOKUP($A49, INDIRECT("MayR!$A$6:$ZZ$1048576"), MATCH(AL$1, MayR!$6:$6, 0), FALSE),
            0
        ) +
        IFERROR(
            VLOOKUP($A49, INDIRECT("JunR!$A$6:$ZZ$1048576"), MATCH(AL$1, JunR!$6:$6, 0), FALSE),
            0
        ) +
        IFERROR(
            VLOOKUP($A49, INDIRECT("JulR!$A$6:$ZZ$1048576"), MATCH(AL$1, JulR!$6:$6, 0), FALSE),
            0
        ) +
        IFERROR(
            VLOOKUP($A49, INDIRECT("AgoR!$A$6:$ZZ$1048576"), MATCH(AL$1, AgoR!$6:$6, 0), FALSE),
            0
        ) +
        IFERROR(
            VLOOKUP($A49, INDIRECT("SepR!$A$6:$ZZ$1048576"), MATCH(AL$1, SepR!$6:$6, 0), FALSE),
            0
        ) +
        IFERROR(
            VLOOKUP($A49, INDIRECT("OctR!$A$6:$ZZ$1048576"), MATCH(AL$1, OctR!$6:$6, 0), FALSE),
            0
        ) +
        IFERROR(
            VLOOKUP($A49, INDIRECT("NovR!$A$6:$ZZ$1048576"), MATCH(AL$1, NovR!$6:$6, 0), FALSE),
            0
        ) +
        IFERROR(
            VLOOKUP($A49, INDIRECT("DicR!$A$6:$ZZ$1048576"), MATCH(AL$1, DicR!$6:$6, 0), FALSE),
            0
        )
)</f>
        <v>0</v>
      </c>
      <c r="AM49" s="37">
        <f t="array" ref="AM49">SUM(
    IFERROR(
            VLOOKUP($A49, INDIRECT("EneR!$A$6:$ZZ$1048576"), MATCH(AM$1, EneR!$6:$6, 0), FALSE),
            0
        ) +
        IFERROR(
            VLOOKUP($A49, INDIRECT("FebR!$A$6:$ZZ$1048576"), MATCH(AM$1, FebR!$6:$6, 0), FALSE),
            0
        ) +
        IFERROR(
            VLOOKUP($A49, INDIRECT("MarR!$A$6:$ZZ$1048576"), MATCH(AM$1, MarR!$6:$6, 0), FALSE),
            0
        ) +
        IFERROR(
            VLOOKUP($A49, INDIRECT("AbrR!$A$6:$ZZ$1048576"), MATCH(AM$1, AbrR!$6:$6, 0), FALSE),
            0
        ) +
        IFERROR(
            VLOOKUP($A49, INDIRECT("MayR!$A$6:$ZZ$1048576"), MATCH(AM$1, MayR!$6:$6, 0), FALSE),
            0
        ) +
        IFERROR(
            VLOOKUP($A49, INDIRECT("JunR!$A$6:$ZZ$1048576"), MATCH(AM$1, JunR!$6:$6, 0), FALSE),
            0
        ) +
        IFERROR(
            VLOOKUP($A49, INDIRECT("JulR!$A$6:$ZZ$1048576"), MATCH(AM$1, JulR!$6:$6, 0), FALSE),
            0
        ) +
        IFERROR(
            VLOOKUP($A49, INDIRECT("AgoR!$A$6:$ZZ$1048576"), MATCH(AM$1, AgoR!$6:$6, 0), FALSE),
            0
        ) +
        IFERROR(
            VLOOKUP($A49, INDIRECT("SepR!$A$6:$ZZ$1048576"), MATCH(AM$1, SepR!$6:$6, 0), FALSE),
            0
        ) +
        IFERROR(
            VLOOKUP($A49, INDIRECT("OctR!$A$6:$ZZ$1048576"), MATCH(AM$1, OctR!$6:$6, 0), FALSE),
            0
        ) +
        IFERROR(
            VLOOKUP($A49, INDIRECT("NovR!$A$6:$ZZ$1048576"), MATCH(AM$1, NovR!$6:$6, 0), FALSE),
            0
        ) +
        IFERROR(
            VLOOKUP($A49, INDIRECT("DicR!$A$6:$ZZ$1048576"), MATCH(AM$1, DicR!$6:$6, 0), FALSE),
            0
        )
)</f>
        <v>0</v>
      </c>
      <c r="AN49" s="32">
        <f t="array" ref="AN49">SUM(
    IFERROR(
            VLOOKUP($A49, INDIRECT("EneR!$A$6:$ZZ$1048576"), MATCH(AN$1, EneR!$6:$6, 0), FALSE),
            0
        ) +
        IFERROR(
            VLOOKUP($A49, INDIRECT("FebR!$A$6:$ZZ$1048576"), MATCH(AN$1, FebR!$6:$6, 0), FALSE),
            0
        ) +
        IFERROR(
            VLOOKUP($A49, INDIRECT("MarR!$A$6:$ZZ$1048576"), MATCH(AN$1, MarR!$6:$6, 0), FALSE),
            0
        ) +
        IFERROR(
            VLOOKUP($A49, INDIRECT("AbrR!$A$6:$ZZ$1048576"), MATCH(AN$1, AbrR!$6:$6, 0), FALSE),
            0
        ) +
        IFERROR(
            VLOOKUP($A49, INDIRECT("MayR!$A$6:$ZZ$1048576"), MATCH(AN$1, MayR!$6:$6, 0), FALSE),
            0
        ) +
        IFERROR(
            VLOOKUP($A49, INDIRECT("JunR!$A$6:$ZZ$1048576"), MATCH(AN$1, JunR!$6:$6, 0), FALSE),
            0
        ) +
        IFERROR(
            VLOOKUP($A49, INDIRECT("JulR!$A$6:$ZZ$1048576"), MATCH(AN$1, JulR!$6:$6, 0), FALSE),
            0
        ) +
        IFERROR(
            VLOOKUP($A49, INDIRECT("AgoR!$A$6:$ZZ$1048576"), MATCH(AN$1, AgoR!$6:$6, 0), FALSE),
            0
        ) +
        IFERROR(
            VLOOKUP($A49, INDIRECT("SepR!$A$6:$ZZ$1048576"), MATCH(AN$1, SepR!$6:$6, 0), FALSE),
            0
        ) +
        IFERROR(
            VLOOKUP($A49, INDIRECT("OctR!$A$6:$ZZ$1048576"), MATCH(AN$1, OctR!$6:$6, 0), FALSE),
            0
        ) +
        IFERROR(
            VLOOKUP($A49, INDIRECT("NovR!$A$6:$ZZ$1048576"), MATCH(AN$1, NovR!$6:$6, 0), FALSE),
            0
        ) +
        IFERROR(
            VLOOKUP($A49, INDIRECT("DicR!$A$6:$ZZ$1048576"), MATCH(AN$1, DicR!$6:$6, 0), FALSE),
            0
        )
)</f>
        <v>0</v>
      </c>
      <c r="AO49" s="35">
        <f t="array" ref="AO49">SUM(
    IFERROR(
            VLOOKUP($A49, INDIRECT("EneR!$A$6:$ZZ$1048576"), MATCH(AO$1, EneR!$6:$6, 0), FALSE),
            0
        ) +
        IFERROR(
            VLOOKUP($A49, INDIRECT("FebR!$A$6:$ZZ$1048576"), MATCH(AO$1, FebR!$6:$6, 0), FALSE),
            0
        ) +
        IFERROR(
            VLOOKUP($A49, INDIRECT("MarR!$A$6:$ZZ$1048576"), MATCH(AO$1, MarR!$6:$6, 0), FALSE),
            0
        ) +
        IFERROR(
            VLOOKUP($A49, INDIRECT("AbrR!$A$6:$ZZ$1048576"), MATCH(AO$1, AbrR!$6:$6, 0), FALSE),
            0
        ) +
        IFERROR(
            VLOOKUP($A49, INDIRECT("MayR!$A$6:$ZZ$1048576"), MATCH(AO$1, MayR!$6:$6, 0), FALSE),
            0
        ) +
        IFERROR(
            VLOOKUP($A49, INDIRECT("JunR!$A$6:$ZZ$1048576"), MATCH(AO$1, JunR!$6:$6, 0), FALSE),
            0
        ) +
        IFERROR(
            VLOOKUP($A49, INDIRECT("JulR!$A$6:$ZZ$1048576"), MATCH(AO$1, JulR!$6:$6, 0), FALSE),
            0
        ) +
        IFERROR(
            VLOOKUP($A49, INDIRECT("AgoR!$A$6:$ZZ$1048576"), MATCH(AO$1, AgoR!$6:$6, 0), FALSE),
            0
        ) +
        IFERROR(
            VLOOKUP($A49, INDIRECT("SepR!$A$6:$ZZ$1048576"), MATCH(AO$1, SepR!$6:$6, 0), FALSE),
            0
        ) +
        IFERROR(
            VLOOKUP($A49, INDIRECT("OctR!$A$6:$ZZ$1048576"), MATCH(AO$1, OctR!$6:$6, 0), FALSE),
            0
        ) +
        IFERROR(
            VLOOKUP($A49, INDIRECT("NovR!$A$6:$ZZ$1048576"), MATCH(AO$1, NovR!$6:$6, 0), FALSE),
            0
        ) +
        IFERROR(
            VLOOKUP($A49, INDIRECT("DicR!$A$6:$ZZ$1048576"), MATCH(AO$1, DicR!$6:$6, 0), FALSE),
            0
        )
)</f>
        <v>0</v>
      </c>
      <c r="AP49" s="36">
        <f t="array" ref="AP49">SUM(
    IFERROR(
            VLOOKUP($A49, INDIRECT("EneR!$A$6:$ZZ$1048576"), MATCH(AP$1, EneR!$6:$6, 0), FALSE),
            0
        ) +
        IFERROR(
            VLOOKUP($A49, INDIRECT("FebR!$A$6:$ZZ$1048576"), MATCH(AP$1, FebR!$6:$6, 0), FALSE),
            0
        ) +
        IFERROR(
            VLOOKUP($A49, INDIRECT("MarR!$A$6:$ZZ$1048576"), MATCH(AP$1, MarR!$6:$6, 0), FALSE),
            0
        ) +
        IFERROR(
            VLOOKUP($A49, INDIRECT("AbrR!$A$6:$ZZ$1048576"), MATCH(AP$1, AbrR!$6:$6, 0), FALSE),
            0
        ) +
        IFERROR(
            VLOOKUP($A49, INDIRECT("MayR!$A$6:$ZZ$1048576"), MATCH(AP$1, MayR!$6:$6, 0), FALSE),
            0
        ) +
        IFERROR(
            VLOOKUP($A49, INDIRECT("JunR!$A$6:$ZZ$1048576"), MATCH(AP$1, JunR!$6:$6, 0), FALSE),
            0
        ) +
        IFERROR(
            VLOOKUP($A49, INDIRECT("JulR!$A$6:$ZZ$1048576"), MATCH(AP$1, JulR!$6:$6, 0), FALSE),
            0
        ) +
        IFERROR(
            VLOOKUP($A49, INDIRECT("AgoR!$A$6:$ZZ$1048576"), MATCH(AP$1, AgoR!$6:$6, 0), FALSE),
            0
        ) +
        IFERROR(
            VLOOKUP($A49, INDIRECT("SepR!$A$6:$ZZ$1048576"), MATCH(AP$1, SepR!$6:$6, 0), FALSE),
            0
        ) +
        IFERROR(
            VLOOKUP($A49, INDIRECT("OctR!$A$6:$ZZ$1048576"), MATCH(AP$1, OctR!$6:$6, 0), FALSE),
            0
        ) +
        IFERROR(
            VLOOKUP($A49, INDIRECT("NovR!$A$6:$ZZ$1048576"), MATCH(AP$1, NovR!$6:$6, 0), FALSE),
            0
        ) +
        IFERROR(
            VLOOKUP($A49, INDIRECT("DicR!$A$6:$ZZ$1048576"), MATCH(AP$1, DicR!$6:$6, 0), FALSE),
            0
        )
)</f>
        <v>0</v>
      </c>
      <c r="AQ49" s="35">
        <f t="array" ref="AQ49">SUM(
    IFERROR(
            VLOOKUP($A49, INDIRECT("EneR!$A$6:$ZZ$1048576"), MATCH(AQ$1, EneR!$6:$6, 0), FALSE),
            0
        ) +
        IFERROR(
            VLOOKUP($A49, INDIRECT("FebR!$A$6:$ZZ$1048576"), MATCH(AQ$1, FebR!$6:$6, 0), FALSE),
            0
        ) +
        IFERROR(
            VLOOKUP($A49, INDIRECT("MarR!$A$6:$ZZ$1048576"), MATCH(AQ$1, MarR!$6:$6, 0), FALSE),
            0
        ) +
        IFERROR(
            VLOOKUP($A49, INDIRECT("AbrR!$A$6:$ZZ$1048576"), MATCH(AQ$1, AbrR!$6:$6, 0), FALSE),
            0
        ) +
        IFERROR(
            VLOOKUP($A49, INDIRECT("MayR!$A$6:$ZZ$1048576"), MATCH(AQ$1, MayR!$6:$6, 0), FALSE),
            0
        ) +
        IFERROR(
            VLOOKUP($A49, INDIRECT("JunR!$A$6:$ZZ$1048576"), MATCH(AQ$1, JunR!$6:$6, 0), FALSE),
            0
        ) +
        IFERROR(
            VLOOKUP($A49, INDIRECT("JulR!$A$6:$ZZ$1048576"), MATCH(AQ$1, JulR!$6:$6, 0), FALSE),
            0
        ) +
        IFERROR(
            VLOOKUP($A49, INDIRECT("AgoR!$A$6:$ZZ$1048576"), MATCH(AQ$1, AgoR!$6:$6, 0), FALSE),
            0
        ) +
        IFERROR(
            VLOOKUP($A49, INDIRECT("SepR!$A$6:$ZZ$1048576"), MATCH(AQ$1, SepR!$6:$6, 0), FALSE),
            0
        ) +
        IFERROR(
            VLOOKUP($A49, INDIRECT("OctR!$A$6:$ZZ$1048576"), MATCH(AQ$1, OctR!$6:$6, 0), FALSE),
            0
        ) +
        IFERROR(
            VLOOKUP($A49, INDIRECT("NovR!$A$6:$ZZ$1048576"), MATCH(AQ$1, NovR!$6:$6, 0), FALSE),
            0
        ) +
        IFERROR(
            VLOOKUP($A49, INDIRECT("DicR!$A$6:$ZZ$1048576"), MATCH(AQ$1, DicR!$6:$6, 0), FALSE),
            0
        )
)</f>
        <v>0</v>
      </c>
      <c r="AR49" s="36">
        <f t="array" ref="AR49">SUM(
    IFERROR(
            VLOOKUP($A49, INDIRECT("EneR!$A$6:$ZZ$1048576"), MATCH(AR$1, EneR!$6:$6, 0), FALSE),
            0
        ) +
        IFERROR(
            VLOOKUP($A49, INDIRECT("FebR!$A$6:$ZZ$1048576"), MATCH(AR$1, FebR!$6:$6, 0), FALSE),
            0
        ) +
        IFERROR(
            VLOOKUP($A49, INDIRECT("MarR!$A$6:$ZZ$1048576"), MATCH(AR$1, MarR!$6:$6, 0), FALSE),
            0
        ) +
        IFERROR(
            VLOOKUP($A49, INDIRECT("AbrR!$A$6:$ZZ$1048576"), MATCH(AR$1, AbrR!$6:$6, 0), FALSE),
            0
        ) +
        IFERROR(
            VLOOKUP($A49, INDIRECT("MayR!$A$6:$ZZ$1048576"), MATCH(AR$1, MayR!$6:$6, 0), FALSE),
            0
        ) +
        IFERROR(
            VLOOKUP($A49, INDIRECT("JunR!$A$6:$ZZ$1048576"), MATCH(AR$1, JunR!$6:$6, 0), FALSE),
            0
        ) +
        IFERROR(
            VLOOKUP($A49, INDIRECT("JulR!$A$6:$ZZ$1048576"), MATCH(AR$1, JulR!$6:$6, 0), FALSE),
            0
        ) +
        IFERROR(
            VLOOKUP($A49, INDIRECT("AgoR!$A$6:$ZZ$1048576"), MATCH(AR$1, AgoR!$6:$6, 0), FALSE),
            0
        ) +
        IFERROR(
            VLOOKUP($A49, INDIRECT("SepR!$A$6:$ZZ$1048576"), MATCH(AR$1, SepR!$6:$6, 0), FALSE),
            0
        ) +
        IFERROR(
            VLOOKUP($A49, INDIRECT("OctR!$A$6:$ZZ$1048576"), MATCH(AR$1, OctR!$6:$6, 0), FALSE),
            0
        ) +
        IFERROR(
            VLOOKUP($A49, INDIRECT("NovR!$A$6:$ZZ$1048576"), MATCH(AR$1, NovR!$6:$6, 0), FALSE),
            0
        ) +
        IFERROR(
            VLOOKUP($A49, INDIRECT("DicR!$A$6:$ZZ$1048576"), MATCH(AR$1, DicR!$6:$6, 0), FALSE),
            0
        )
)</f>
        <v>0</v>
      </c>
      <c r="AS49" s="35">
        <f t="array" ref="AS49">SUM(
    IFERROR(
            VLOOKUP($A49, INDIRECT("EneR!$A$6:$ZZ$1048576"), MATCH(AS$1, EneR!$6:$6, 0), FALSE),
            0
        ) +
        IFERROR(
            VLOOKUP($A49, INDIRECT("FebR!$A$6:$ZZ$1048576"), MATCH(AS$1, FebR!$6:$6, 0), FALSE),
            0
        ) +
        IFERROR(
            VLOOKUP($A49, INDIRECT("MarR!$A$6:$ZZ$1048576"), MATCH(AS$1, MarR!$6:$6, 0), FALSE),
            0
        ) +
        IFERROR(
            VLOOKUP($A49, INDIRECT("AbrR!$A$6:$ZZ$1048576"), MATCH(AS$1, AbrR!$6:$6, 0), FALSE),
            0
        ) +
        IFERROR(
            VLOOKUP($A49, INDIRECT("MayR!$A$6:$ZZ$1048576"), MATCH(AS$1, MayR!$6:$6, 0), FALSE),
            0
        ) +
        IFERROR(
            VLOOKUP($A49, INDIRECT("JunR!$A$6:$ZZ$1048576"), MATCH(AS$1, JunR!$6:$6, 0), FALSE),
            0
        ) +
        IFERROR(
            VLOOKUP($A49, INDIRECT("JulR!$A$6:$ZZ$1048576"), MATCH(AS$1, JulR!$6:$6, 0), FALSE),
            0
        ) +
        IFERROR(
            VLOOKUP($A49, INDIRECT("AgoR!$A$6:$ZZ$1048576"), MATCH(AS$1, AgoR!$6:$6, 0), FALSE),
            0
        ) +
        IFERROR(
            VLOOKUP($A49, INDIRECT("SepR!$A$6:$ZZ$1048576"), MATCH(AS$1, SepR!$6:$6, 0), FALSE),
            0
        ) +
        IFERROR(
            VLOOKUP($A49, INDIRECT("OctR!$A$6:$ZZ$1048576"), MATCH(AS$1, OctR!$6:$6, 0), FALSE),
            0
        ) +
        IFERROR(
            VLOOKUP($A49, INDIRECT("NovR!$A$6:$ZZ$1048576"), MATCH(AS$1, NovR!$6:$6, 0), FALSE),
            0
        ) +
        IFERROR(
            VLOOKUP($A49, INDIRECT("DicR!$A$6:$ZZ$1048576"), MATCH(AS$1, DicR!$6:$6, 0), FALSE),
            0
        )
)</f>
        <v>0</v>
      </c>
      <c r="AT49" s="36">
        <f t="array" ref="AT49">SUM(
    IFERROR(
            VLOOKUP($A49, INDIRECT("EneR!$A$6:$ZZ$1048576"), MATCH(AT$1, EneR!$6:$6, 0), FALSE),
            0
        ) +
        IFERROR(
            VLOOKUP($A49, INDIRECT("FebR!$A$6:$ZZ$1048576"), MATCH(AT$1, FebR!$6:$6, 0), FALSE),
            0
        ) +
        IFERROR(
            VLOOKUP($A49, INDIRECT("MarR!$A$6:$ZZ$1048576"), MATCH(AT$1, MarR!$6:$6, 0), FALSE),
            0
        ) +
        IFERROR(
            VLOOKUP($A49, INDIRECT("AbrR!$A$6:$ZZ$1048576"), MATCH(AT$1, AbrR!$6:$6, 0), FALSE),
            0
        ) +
        IFERROR(
            VLOOKUP($A49, INDIRECT("MayR!$A$6:$ZZ$1048576"), MATCH(AT$1, MayR!$6:$6, 0), FALSE),
            0
        ) +
        IFERROR(
            VLOOKUP($A49, INDIRECT("JunR!$A$6:$ZZ$1048576"), MATCH(AT$1, JunR!$6:$6, 0), FALSE),
            0
        ) +
        IFERROR(
            VLOOKUP($A49, INDIRECT("JulR!$A$6:$ZZ$1048576"), MATCH(AT$1, JulR!$6:$6, 0), FALSE),
            0
        ) +
        IFERROR(
            VLOOKUP($A49, INDIRECT("AgoR!$A$6:$ZZ$1048576"), MATCH(AT$1, AgoR!$6:$6, 0), FALSE),
            0
        ) +
        IFERROR(
            VLOOKUP($A49, INDIRECT("SepR!$A$6:$ZZ$1048576"), MATCH(AT$1, SepR!$6:$6, 0), FALSE),
            0
        ) +
        IFERROR(
            VLOOKUP($A49, INDIRECT("OctR!$A$6:$ZZ$1048576"), MATCH(AT$1, OctR!$6:$6, 0), FALSE),
            0
        ) +
        IFERROR(
            VLOOKUP($A49, INDIRECT("NovR!$A$6:$ZZ$1048576"), MATCH(AT$1, NovR!$6:$6, 0), FALSE),
            0
        ) +
        IFERROR(
            VLOOKUP($A49, INDIRECT("DicR!$A$6:$ZZ$1048576"), MATCH(AT$1, DicR!$6:$6, 0), FALSE),
            0
        )
)</f>
        <v>0</v>
      </c>
      <c r="AU49" s="35">
        <f t="array" ref="AU49">SUM(
    IFERROR(
            VLOOKUP($A49, INDIRECT("EneR!$A$6:$ZZ$1048576"), MATCH(AU$1, EneR!$6:$6, 0), FALSE),
            0
        ) +
        IFERROR(
            VLOOKUP($A49, INDIRECT("FebR!$A$6:$ZZ$1048576"), MATCH(AU$1, FebR!$6:$6, 0), FALSE),
            0
        ) +
        IFERROR(
            VLOOKUP($A49, INDIRECT("MarR!$A$6:$ZZ$1048576"), MATCH(AU$1, MarR!$6:$6, 0), FALSE),
            0
        ) +
        IFERROR(
            VLOOKUP($A49, INDIRECT("AbrR!$A$6:$ZZ$1048576"), MATCH(AU$1, AbrR!$6:$6, 0), FALSE),
            0
        ) +
        IFERROR(
            VLOOKUP($A49, INDIRECT("MayR!$A$6:$ZZ$1048576"), MATCH(AU$1, MayR!$6:$6, 0), FALSE),
            0
        ) +
        IFERROR(
            VLOOKUP($A49, INDIRECT("JunR!$A$6:$ZZ$1048576"), MATCH(AU$1, JunR!$6:$6, 0), FALSE),
            0
        ) +
        IFERROR(
            VLOOKUP($A49, INDIRECT("JulR!$A$6:$ZZ$1048576"), MATCH(AU$1, JulR!$6:$6, 0), FALSE),
            0
        ) +
        IFERROR(
            VLOOKUP($A49, INDIRECT("AgoR!$A$6:$ZZ$1048576"), MATCH(AU$1, AgoR!$6:$6, 0), FALSE),
            0
        ) +
        IFERROR(
            VLOOKUP($A49, INDIRECT("SepR!$A$6:$ZZ$1048576"), MATCH(AU$1, SepR!$6:$6, 0), FALSE),
            0
        ) +
        IFERROR(
            VLOOKUP($A49, INDIRECT("OctR!$A$6:$ZZ$1048576"), MATCH(AU$1, OctR!$6:$6, 0), FALSE),
            0
        ) +
        IFERROR(
            VLOOKUP($A49, INDIRECT("NovR!$A$6:$ZZ$1048576"), MATCH(AU$1, NovR!$6:$6, 0), FALSE),
            0
        ) +
        IFERROR(
            VLOOKUP($A49, INDIRECT("DicR!$A$6:$ZZ$1048576"), MATCH(AU$1, DicR!$6:$6, 0), FALSE),
            0
        )
)</f>
        <v>0</v>
      </c>
      <c r="AV49" s="36">
        <f t="array" ref="AV49">SUM(
    IFERROR(
            VLOOKUP($A49, INDIRECT("EneR!$A$6:$ZZ$1048576"), MATCH(AV$1, EneR!$6:$6, 0), FALSE),
            0
        ) +
        IFERROR(
            VLOOKUP($A49, INDIRECT("FebR!$A$6:$ZZ$1048576"), MATCH(AV$1, FebR!$6:$6, 0), FALSE),
            0
        ) +
        IFERROR(
            VLOOKUP($A49, INDIRECT("MarR!$A$6:$ZZ$1048576"), MATCH(AV$1, MarR!$6:$6, 0), FALSE),
            0
        ) +
        IFERROR(
            VLOOKUP($A49, INDIRECT("AbrR!$A$6:$ZZ$1048576"), MATCH(AV$1, AbrR!$6:$6, 0), FALSE),
            0
        ) +
        IFERROR(
            VLOOKUP($A49, INDIRECT("MayR!$A$6:$ZZ$1048576"), MATCH(AV$1, MayR!$6:$6, 0), FALSE),
            0
        ) +
        IFERROR(
            VLOOKUP($A49, INDIRECT("JunR!$A$6:$ZZ$1048576"), MATCH(AV$1, JunR!$6:$6, 0), FALSE),
            0
        ) +
        IFERROR(
            VLOOKUP($A49, INDIRECT("JulR!$A$6:$ZZ$1048576"), MATCH(AV$1, JulR!$6:$6, 0), FALSE),
            0
        ) +
        IFERROR(
            VLOOKUP($A49, INDIRECT("AgoR!$A$6:$ZZ$1048576"), MATCH(AV$1, AgoR!$6:$6, 0), FALSE),
            0
        ) +
        IFERROR(
            VLOOKUP($A49, INDIRECT("SepR!$A$6:$ZZ$1048576"), MATCH(AV$1, SepR!$6:$6, 0), FALSE),
            0
        ) +
        IFERROR(
            VLOOKUP($A49, INDIRECT("OctR!$A$6:$ZZ$1048576"), MATCH(AV$1, OctR!$6:$6, 0), FALSE),
            0
        ) +
        IFERROR(
            VLOOKUP($A49, INDIRECT("NovR!$A$6:$ZZ$1048576"), MATCH(AV$1, NovR!$6:$6, 0), FALSE),
            0
        ) +
        IFERROR(
            VLOOKUP($A49, INDIRECT("DicR!$A$6:$ZZ$1048576"), MATCH(AV$1, DicR!$6:$6, 0), FALSE),
            0
        )
)</f>
        <v>0</v>
      </c>
      <c r="AW49" s="35">
        <f t="array" ref="AW49">SUM(
    IFERROR(
            VLOOKUP($A49, INDIRECT("EneR!$A$6:$ZZ$1048576"), MATCH(AW$1, EneR!$6:$6, 0), FALSE),
            0
        ) +
        IFERROR(
            VLOOKUP($A49, INDIRECT("FebR!$A$6:$ZZ$1048576"), MATCH(AW$1, FebR!$6:$6, 0), FALSE),
            0
        ) +
        IFERROR(
            VLOOKUP($A49, INDIRECT("MarR!$A$6:$ZZ$1048576"), MATCH(AW$1, MarR!$6:$6, 0), FALSE),
            0
        ) +
        IFERROR(
            VLOOKUP($A49, INDIRECT("AbrR!$A$6:$ZZ$1048576"), MATCH(AW$1, AbrR!$6:$6, 0), FALSE),
            0
        ) +
        IFERROR(
            VLOOKUP($A49, INDIRECT("MayR!$A$6:$ZZ$1048576"), MATCH(AW$1, MayR!$6:$6, 0), FALSE),
            0
        ) +
        IFERROR(
            VLOOKUP($A49, INDIRECT("JunR!$A$6:$ZZ$1048576"), MATCH(AW$1, JunR!$6:$6, 0), FALSE),
            0
        ) +
        IFERROR(
            VLOOKUP($A49, INDIRECT("JulR!$A$6:$ZZ$1048576"), MATCH(AW$1, JulR!$6:$6, 0), FALSE),
            0
        ) +
        IFERROR(
            VLOOKUP($A49, INDIRECT("AgoR!$A$6:$ZZ$1048576"), MATCH(AW$1, AgoR!$6:$6, 0), FALSE),
            0
        ) +
        IFERROR(
            VLOOKUP($A49, INDIRECT("SepR!$A$6:$ZZ$1048576"), MATCH(AW$1, SepR!$6:$6, 0), FALSE),
            0
        ) +
        IFERROR(
            VLOOKUP($A49, INDIRECT("OctR!$A$6:$ZZ$1048576"), MATCH(AW$1, OctR!$6:$6, 0), FALSE),
            0
        ) +
        IFERROR(
            VLOOKUP($A49, INDIRECT("NovR!$A$6:$ZZ$1048576"), MATCH(AW$1, NovR!$6:$6, 0), FALSE),
            0
        ) +
        IFERROR(
            VLOOKUP($A49, INDIRECT("DicR!$A$6:$ZZ$1048576"), MATCH(AW$1, DicR!$6:$6, 0), FALSE),
            0
        )
)</f>
        <v>0</v>
      </c>
      <c r="AX49" s="36">
        <f t="array" ref="AX49">SUM(
    IFERROR(
            VLOOKUP($A49, INDIRECT("EneR!$A$6:$ZZ$1048576"), MATCH(AX$1, EneR!$6:$6, 0), FALSE),
            0
        ) +
        IFERROR(
            VLOOKUP($A49, INDIRECT("FebR!$A$6:$ZZ$1048576"), MATCH(AX$1, FebR!$6:$6, 0), FALSE),
            0
        ) +
        IFERROR(
            VLOOKUP($A49, INDIRECT("MarR!$A$6:$ZZ$1048576"), MATCH(AX$1, MarR!$6:$6, 0), FALSE),
            0
        ) +
        IFERROR(
            VLOOKUP($A49, INDIRECT("AbrR!$A$6:$ZZ$1048576"), MATCH(AX$1, AbrR!$6:$6, 0), FALSE),
            0
        ) +
        IFERROR(
            VLOOKUP($A49, INDIRECT("MayR!$A$6:$ZZ$1048576"), MATCH(AX$1, MayR!$6:$6, 0), FALSE),
            0
        ) +
        IFERROR(
            VLOOKUP($A49, INDIRECT("JunR!$A$6:$ZZ$1048576"), MATCH(AX$1, JunR!$6:$6, 0), FALSE),
            0
        ) +
        IFERROR(
            VLOOKUP($A49, INDIRECT("JulR!$A$6:$ZZ$1048576"), MATCH(AX$1, JulR!$6:$6, 0), FALSE),
            0
        ) +
        IFERROR(
            VLOOKUP($A49, INDIRECT("AgoR!$A$6:$ZZ$1048576"), MATCH(AX$1, AgoR!$6:$6, 0), FALSE),
            0
        ) +
        IFERROR(
            VLOOKUP($A49, INDIRECT("SepR!$A$6:$ZZ$1048576"), MATCH(AX$1, SepR!$6:$6, 0), FALSE),
            0
        ) +
        IFERROR(
            VLOOKUP($A49, INDIRECT("OctR!$A$6:$ZZ$1048576"), MATCH(AX$1, OctR!$6:$6, 0), FALSE),
            0
        ) +
        IFERROR(
            VLOOKUP($A49, INDIRECT("NovR!$A$6:$ZZ$1048576"), MATCH(AX$1, NovR!$6:$6, 0), FALSE),
            0
        ) +
        IFERROR(
            VLOOKUP($A49, INDIRECT("DicR!$A$6:$ZZ$1048576"), MATCH(AX$1, DicR!$6:$6, 0), FALSE),
            0
        )
)</f>
        <v>0</v>
      </c>
      <c r="AY49" s="35">
        <f t="array" ref="AY49">SUM(
    IFERROR(
            VLOOKUP($A49, INDIRECT("EneR!$A$6:$ZZ$1048576"), MATCH(AY$1, EneR!$6:$6, 0), FALSE),
            0
        ) +
        IFERROR(
            VLOOKUP($A49, INDIRECT("FebR!$A$6:$ZZ$1048576"), MATCH(AY$1, FebR!$6:$6, 0), FALSE),
            0
        ) +
        IFERROR(
            VLOOKUP($A49, INDIRECT("MarR!$A$6:$ZZ$1048576"), MATCH(AY$1, MarR!$6:$6, 0), FALSE),
            0
        ) +
        IFERROR(
            VLOOKUP($A49, INDIRECT("AbrR!$A$6:$ZZ$1048576"), MATCH(AY$1, AbrR!$6:$6, 0), FALSE),
            0
        ) +
        IFERROR(
            VLOOKUP($A49, INDIRECT("MayR!$A$6:$ZZ$1048576"), MATCH(AY$1, MayR!$6:$6, 0), FALSE),
            0
        ) +
        IFERROR(
            VLOOKUP($A49, INDIRECT("JunR!$A$6:$ZZ$1048576"), MATCH(AY$1, JunR!$6:$6, 0), FALSE),
            0
        ) +
        IFERROR(
            VLOOKUP($A49, INDIRECT("JulR!$A$6:$ZZ$1048576"), MATCH(AY$1, JulR!$6:$6, 0), FALSE),
            0
        ) +
        IFERROR(
            VLOOKUP($A49, INDIRECT("AgoR!$A$6:$ZZ$1048576"), MATCH(AY$1, AgoR!$6:$6, 0), FALSE),
            0
        ) +
        IFERROR(
            VLOOKUP($A49, INDIRECT("SepR!$A$6:$ZZ$1048576"), MATCH(AY$1, SepR!$6:$6, 0), FALSE),
            0
        ) +
        IFERROR(
            VLOOKUP($A49, INDIRECT("OctR!$A$6:$ZZ$1048576"), MATCH(AY$1, OctR!$6:$6, 0), FALSE),
            0
        ) +
        IFERROR(
            VLOOKUP($A49, INDIRECT("NovR!$A$6:$ZZ$1048576"), MATCH(AY$1, NovR!$6:$6, 0), FALSE),
            0
        ) +
        IFERROR(
            VLOOKUP($A49, INDIRECT("DicR!$A$6:$ZZ$1048576"), MATCH(AY$1, DicR!$6:$6, 0), FALSE),
            0
        )
)</f>
        <v>0</v>
      </c>
      <c r="AZ49" s="35"/>
    </row>
    <row r="50" ht="15.75" customHeight="1">
      <c r="A50" s="12" t="str">
        <f>Menus!B11</f>
        <v/>
      </c>
      <c r="B50" s="32">
        <f t="shared" si="9"/>
        <v>0</v>
      </c>
      <c r="C50" s="33" t="str">
        <f t="shared" si="10"/>
        <v/>
      </c>
      <c r="D50" s="34">
        <f t="array" ref="D50">SUM(
    IFERROR(
            VLOOKUP($A50, INDIRECT("EneR!$A$6:$ZZ$1048576"), MATCH(D$1, EneR!$6:$6, 0), FALSE),
            0
        ) +
        IFERROR(
            VLOOKUP($A50, INDIRECT("FebR!$A$6:$ZZ$1048576"), MATCH(D$1, FebR!$6:$6, 0), FALSE),
            0
        ) +
        IFERROR(
            VLOOKUP($A50, INDIRECT("MarR!$A$6:$ZZ$1048576"), MATCH(D$1, MarR!$6:$6, 0), FALSE),
            0
        ) +
        IFERROR(
            VLOOKUP($A50, INDIRECT("AbrR!$A$6:$ZZ$1048576"), MATCH(D$1, AbrR!$6:$6, 0), FALSE),
            0
        ) +
        IFERROR(
            VLOOKUP($A50, INDIRECT("MayR!$A$6:$ZZ$1048576"), MATCH(D$1, MayR!$6:$6, 0), FALSE),
            0
        ) +
        IFERROR(
            VLOOKUP($A50, INDIRECT("JunR!$A$6:$ZZ$1048576"), MATCH(D$1, JunR!$6:$6, 0), FALSE),
            0
        ) +
        IFERROR(
            VLOOKUP($A50, INDIRECT("JulR!$A$6:$ZZ$1048576"), MATCH(D$1, JulR!$6:$6, 0), FALSE),
            0
        ) +
        IFERROR(
            VLOOKUP($A50, INDIRECT("AgoR!$A$6:$ZZ$1048576"), MATCH(D$1, AgoR!$6:$6, 0), FALSE),
            0
        ) +
        IFERROR(
            VLOOKUP($A50, INDIRECT("SepR!$A$6:$ZZ$1048576"), MATCH(D$1, SepR!$6:$6, 0), FALSE),
            0
        ) +
        IFERROR(
            VLOOKUP($A50, INDIRECT("OctR!$A$6:$ZZ$1048576"), MATCH(D$1, OctR!$6:$6, 0), FALSE),
            0
        ) +
        IFERROR(
            VLOOKUP($A50, INDIRECT("NovR!$A$6:$ZZ$1048576"), MATCH(D$1, NovR!$6:$6, 0), FALSE),
            0
        ) +
        IFERROR(
            VLOOKUP($A50, INDIRECT("DicR!$A$6:$ZZ$1048576"), MATCH(D$1, DicR!$6:$6, 0), FALSE),
            0
        )
)</f>
        <v>0</v>
      </c>
      <c r="E50" s="35">
        <f t="array" ref="E50">SUM(
    IFERROR(
            VLOOKUP($A50, INDIRECT("EneR!$A$6:$ZZ$1048576"), MATCH(E$1, EneR!$6:$6, 0), FALSE),
            0
        ) +
        IFERROR(
            VLOOKUP($A50, INDIRECT("FebR!$A$6:$ZZ$1048576"), MATCH(E$1, FebR!$6:$6, 0), FALSE),
            0
        ) +
        IFERROR(
            VLOOKUP($A50, INDIRECT("MarR!$A$6:$ZZ$1048576"), MATCH(E$1, MarR!$6:$6, 0), FALSE),
            0
        ) +
        IFERROR(
            VLOOKUP($A50, INDIRECT("AbrR!$A$6:$ZZ$1048576"), MATCH(E$1, AbrR!$6:$6, 0), FALSE),
            0
        ) +
        IFERROR(
            VLOOKUP($A50, INDIRECT("MayR!$A$6:$ZZ$1048576"), MATCH(E$1, MayR!$6:$6, 0), FALSE),
            0
        ) +
        IFERROR(
            VLOOKUP($A50, INDIRECT("JunR!$A$6:$ZZ$1048576"), MATCH(E$1, JunR!$6:$6, 0), FALSE),
            0
        ) +
        IFERROR(
            VLOOKUP($A50, INDIRECT("JulR!$A$6:$ZZ$1048576"), MATCH(E$1, JulR!$6:$6, 0), FALSE),
            0
        ) +
        IFERROR(
            VLOOKUP($A50, INDIRECT("AgoR!$A$6:$ZZ$1048576"), MATCH(E$1, AgoR!$6:$6, 0), FALSE),
            0
        ) +
        IFERROR(
            VLOOKUP($A50, INDIRECT("SepR!$A$6:$ZZ$1048576"), MATCH(E$1, SepR!$6:$6, 0), FALSE),
            0
        ) +
        IFERROR(
            VLOOKUP($A50, INDIRECT("OctR!$A$6:$ZZ$1048576"), MATCH(E$1, OctR!$6:$6, 0), FALSE),
            0
        ) +
        IFERROR(
            VLOOKUP($A50, INDIRECT("NovR!$A$6:$ZZ$1048576"), MATCH(E$1, NovR!$6:$6, 0), FALSE),
            0
        ) +
        IFERROR(
            VLOOKUP($A50, INDIRECT("DicR!$A$6:$ZZ$1048576"), MATCH(E$1, DicR!$6:$6, 0), FALSE),
            0
        )
)</f>
        <v>0</v>
      </c>
      <c r="F50" s="32">
        <f t="array" ref="F50">SUM(
    IFERROR(
            VLOOKUP($A50, INDIRECT("EneR!$A$6:$ZZ$1048576"), MATCH(F$1, EneR!$6:$6, 0), FALSE),
            0
        ) +
        IFERROR(
            VLOOKUP($A50, INDIRECT("FebR!$A$6:$ZZ$1048576"), MATCH(F$1, FebR!$6:$6, 0), FALSE),
            0
        ) +
        IFERROR(
            VLOOKUP($A50, INDIRECT("MarR!$A$6:$ZZ$1048576"), MATCH(F$1, MarR!$6:$6, 0), FALSE),
            0
        ) +
        IFERROR(
            VLOOKUP($A50, INDIRECT("AbrR!$A$6:$ZZ$1048576"), MATCH(F$1, AbrR!$6:$6, 0), FALSE),
            0
        ) +
        IFERROR(
            VLOOKUP($A50, INDIRECT("MayR!$A$6:$ZZ$1048576"), MATCH(F$1, MayR!$6:$6, 0), FALSE),
            0
        ) +
        IFERROR(
            VLOOKUP($A50, INDIRECT("JunR!$A$6:$ZZ$1048576"), MATCH(F$1, JunR!$6:$6, 0), FALSE),
            0
        ) +
        IFERROR(
            VLOOKUP($A50, INDIRECT("JulR!$A$6:$ZZ$1048576"), MATCH(F$1, JulR!$6:$6, 0), FALSE),
            0
        ) +
        IFERROR(
            VLOOKUP($A50, INDIRECT("AgoR!$A$6:$ZZ$1048576"), MATCH(F$1, AgoR!$6:$6, 0), FALSE),
            0
        ) +
        IFERROR(
            VLOOKUP($A50, INDIRECT("SepR!$A$6:$ZZ$1048576"), MATCH(F$1, SepR!$6:$6, 0), FALSE),
            0
        ) +
        IFERROR(
            VLOOKUP($A50, INDIRECT("OctR!$A$6:$ZZ$1048576"), MATCH(F$1, OctR!$6:$6, 0), FALSE),
            0
        ) +
        IFERROR(
            VLOOKUP($A50, INDIRECT("NovR!$A$6:$ZZ$1048576"), MATCH(F$1, NovR!$6:$6, 0), FALSE),
            0
        ) +
        IFERROR(
            VLOOKUP($A50, INDIRECT("DicR!$A$6:$ZZ$1048576"), MATCH(F$1, DicR!$6:$6, 0), FALSE),
            0
        )
)</f>
        <v>0</v>
      </c>
      <c r="G50" s="35">
        <f t="array" ref="G50">SUM(
    IFERROR(
            VLOOKUP($A50, INDIRECT("EneR!$A$6:$ZZ$1048576"), MATCH(G$1, EneR!$6:$6, 0), FALSE),
            0
        ) +
        IFERROR(
            VLOOKUP($A50, INDIRECT("FebR!$A$6:$ZZ$1048576"), MATCH(G$1, FebR!$6:$6, 0), FALSE),
            0
        ) +
        IFERROR(
            VLOOKUP($A50, INDIRECT("MarR!$A$6:$ZZ$1048576"), MATCH(G$1, MarR!$6:$6, 0), FALSE),
            0
        ) +
        IFERROR(
            VLOOKUP($A50, INDIRECT("AbrR!$A$6:$ZZ$1048576"), MATCH(G$1, AbrR!$6:$6, 0), FALSE),
            0
        ) +
        IFERROR(
            VLOOKUP($A50, INDIRECT("MayR!$A$6:$ZZ$1048576"), MATCH(G$1, MayR!$6:$6, 0), FALSE),
            0
        ) +
        IFERROR(
            VLOOKUP($A50, INDIRECT("JunR!$A$6:$ZZ$1048576"), MATCH(G$1, JunR!$6:$6, 0), FALSE),
            0
        ) +
        IFERROR(
            VLOOKUP($A50, INDIRECT("JulR!$A$6:$ZZ$1048576"), MATCH(G$1, JulR!$6:$6, 0), FALSE),
            0
        ) +
        IFERROR(
            VLOOKUP($A50, INDIRECT("AgoR!$A$6:$ZZ$1048576"), MATCH(G$1, AgoR!$6:$6, 0), FALSE),
            0
        ) +
        IFERROR(
            VLOOKUP($A50, INDIRECT("SepR!$A$6:$ZZ$1048576"), MATCH(G$1, SepR!$6:$6, 0), FALSE),
            0
        ) +
        IFERROR(
            VLOOKUP($A50, INDIRECT("OctR!$A$6:$ZZ$1048576"), MATCH(G$1, OctR!$6:$6, 0), FALSE),
            0
        ) +
        IFERROR(
            VLOOKUP($A50, INDIRECT("NovR!$A$6:$ZZ$1048576"), MATCH(G$1, NovR!$6:$6, 0), FALSE),
            0
        ) +
        IFERROR(
            VLOOKUP($A50, INDIRECT("DicR!$A$6:$ZZ$1048576"), MATCH(G$1, DicR!$6:$6, 0), FALSE),
            0
        )
)</f>
        <v>0</v>
      </c>
      <c r="H50" s="32">
        <f t="array" ref="H50">SUM(
    IFERROR(
            VLOOKUP($A50, INDIRECT("EneR!$A$6:$ZZ$1048576"), MATCH(H$1, EneR!$6:$6, 0), FALSE),
            0
        ) +
        IFERROR(
            VLOOKUP($A50, INDIRECT("FebR!$A$6:$ZZ$1048576"), MATCH(H$1, FebR!$6:$6, 0), FALSE),
            0
        ) +
        IFERROR(
            VLOOKUP($A50, INDIRECT("MarR!$A$6:$ZZ$1048576"), MATCH(H$1, MarR!$6:$6, 0), FALSE),
            0
        ) +
        IFERROR(
            VLOOKUP($A50, INDIRECT("AbrR!$A$6:$ZZ$1048576"), MATCH(H$1, AbrR!$6:$6, 0), FALSE),
            0
        ) +
        IFERROR(
            VLOOKUP($A50, INDIRECT("MayR!$A$6:$ZZ$1048576"), MATCH(H$1, MayR!$6:$6, 0), FALSE),
            0
        ) +
        IFERROR(
            VLOOKUP($A50, INDIRECT("JunR!$A$6:$ZZ$1048576"), MATCH(H$1, JunR!$6:$6, 0), FALSE),
            0
        ) +
        IFERROR(
            VLOOKUP($A50, INDIRECT("JulR!$A$6:$ZZ$1048576"), MATCH(H$1, JulR!$6:$6, 0), FALSE),
            0
        ) +
        IFERROR(
            VLOOKUP($A50, INDIRECT("AgoR!$A$6:$ZZ$1048576"), MATCH(H$1, AgoR!$6:$6, 0), FALSE),
            0
        ) +
        IFERROR(
            VLOOKUP($A50, INDIRECT("SepR!$A$6:$ZZ$1048576"), MATCH(H$1, SepR!$6:$6, 0), FALSE),
            0
        ) +
        IFERROR(
            VLOOKUP($A50, INDIRECT("OctR!$A$6:$ZZ$1048576"), MATCH(H$1, OctR!$6:$6, 0), FALSE),
            0
        ) +
        IFERROR(
            VLOOKUP($A50, INDIRECT("NovR!$A$6:$ZZ$1048576"), MATCH(H$1, NovR!$6:$6, 0), FALSE),
            0
        ) +
        IFERROR(
            VLOOKUP($A50, INDIRECT("DicR!$A$6:$ZZ$1048576"), MATCH(H$1, DicR!$6:$6, 0), FALSE),
            0
        )
)</f>
        <v>0</v>
      </c>
      <c r="I50" s="35">
        <f t="array" ref="I50">SUM(
    IFERROR(
            VLOOKUP($A50, INDIRECT("EneR!$A$6:$ZZ$1048576"), MATCH(I$1, EneR!$6:$6, 0), FALSE),
            0
        ) +
        IFERROR(
            VLOOKUP($A50, INDIRECT("FebR!$A$6:$ZZ$1048576"), MATCH(I$1, FebR!$6:$6, 0), FALSE),
            0
        ) +
        IFERROR(
            VLOOKUP($A50, INDIRECT("MarR!$A$6:$ZZ$1048576"), MATCH(I$1, MarR!$6:$6, 0), FALSE),
            0
        ) +
        IFERROR(
            VLOOKUP($A50, INDIRECT("AbrR!$A$6:$ZZ$1048576"), MATCH(I$1, AbrR!$6:$6, 0), FALSE),
            0
        ) +
        IFERROR(
            VLOOKUP($A50, INDIRECT("MayR!$A$6:$ZZ$1048576"), MATCH(I$1, MayR!$6:$6, 0), FALSE),
            0
        ) +
        IFERROR(
            VLOOKUP($A50, INDIRECT("JunR!$A$6:$ZZ$1048576"), MATCH(I$1, JunR!$6:$6, 0), FALSE),
            0
        ) +
        IFERROR(
            VLOOKUP($A50, INDIRECT("JulR!$A$6:$ZZ$1048576"), MATCH(I$1, JulR!$6:$6, 0), FALSE),
            0
        ) +
        IFERROR(
            VLOOKUP($A50, INDIRECT("AgoR!$A$6:$ZZ$1048576"), MATCH(I$1, AgoR!$6:$6, 0), FALSE),
            0
        ) +
        IFERROR(
            VLOOKUP($A50, INDIRECT("SepR!$A$6:$ZZ$1048576"), MATCH(I$1, SepR!$6:$6, 0), FALSE),
            0
        ) +
        IFERROR(
            VLOOKUP($A50, INDIRECT("OctR!$A$6:$ZZ$1048576"), MATCH(I$1, OctR!$6:$6, 0), FALSE),
            0
        ) +
        IFERROR(
            VLOOKUP($A50, INDIRECT("NovR!$A$6:$ZZ$1048576"), MATCH(I$1, NovR!$6:$6, 0), FALSE),
            0
        ) +
        IFERROR(
            VLOOKUP($A50, INDIRECT("DicR!$A$6:$ZZ$1048576"), MATCH(I$1, DicR!$6:$6, 0), FALSE),
            0
        )
)</f>
        <v>0</v>
      </c>
      <c r="J50" s="32">
        <f t="array" ref="J50">SUM(
    IFERROR(
            VLOOKUP($A50, INDIRECT("EneR!$A$6:$ZZ$1048576"), MATCH(J$1, EneR!$6:$6, 0), FALSE),
            0
        ) +
        IFERROR(
            VLOOKUP($A50, INDIRECT("FebR!$A$6:$ZZ$1048576"), MATCH(J$1, FebR!$6:$6, 0), FALSE),
            0
        ) +
        IFERROR(
            VLOOKUP($A50, INDIRECT("MarR!$A$6:$ZZ$1048576"), MATCH(J$1, MarR!$6:$6, 0), FALSE),
            0
        ) +
        IFERROR(
            VLOOKUP($A50, INDIRECT("AbrR!$A$6:$ZZ$1048576"), MATCH(J$1, AbrR!$6:$6, 0), FALSE),
            0
        ) +
        IFERROR(
            VLOOKUP($A50, INDIRECT("MayR!$A$6:$ZZ$1048576"), MATCH(J$1, MayR!$6:$6, 0), FALSE),
            0
        ) +
        IFERROR(
            VLOOKUP($A50, INDIRECT("JunR!$A$6:$ZZ$1048576"), MATCH(J$1, JunR!$6:$6, 0), FALSE),
            0
        ) +
        IFERROR(
            VLOOKUP($A50, INDIRECT("JulR!$A$6:$ZZ$1048576"), MATCH(J$1, JulR!$6:$6, 0), FALSE),
            0
        ) +
        IFERROR(
            VLOOKUP($A50, INDIRECT("AgoR!$A$6:$ZZ$1048576"), MATCH(J$1, AgoR!$6:$6, 0), FALSE),
            0
        ) +
        IFERROR(
            VLOOKUP($A50, INDIRECT("SepR!$A$6:$ZZ$1048576"), MATCH(J$1, SepR!$6:$6, 0), FALSE),
            0
        ) +
        IFERROR(
            VLOOKUP($A50, INDIRECT("OctR!$A$6:$ZZ$1048576"), MATCH(J$1, OctR!$6:$6, 0), FALSE),
            0
        ) +
        IFERROR(
            VLOOKUP($A50, INDIRECT("NovR!$A$6:$ZZ$1048576"), MATCH(J$1, NovR!$6:$6, 0), FALSE),
            0
        ) +
        IFERROR(
            VLOOKUP($A50, INDIRECT("DicR!$A$6:$ZZ$1048576"), MATCH(J$1, DicR!$6:$6, 0), FALSE),
            0
        )
)</f>
        <v>0</v>
      </c>
      <c r="K50" s="35">
        <f t="array" ref="K50">SUM(
    IFERROR(
            VLOOKUP($A50, INDIRECT("EneR!$A$6:$ZZ$1048576"), MATCH(K$1, EneR!$6:$6, 0), FALSE),
            0
        ) +
        IFERROR(
            VLOOKUP($A50, INDIRECT("FebR!$A$6:$ZZ$1048576"), MATCH(K$1, FebR!$6:$6, 0), FALSE),
            0
        ) +
        IFERROR(
            VLOOKUP($A50, INDIRECT("MarR!$A$6:$ZZ$1048576"), MATCH(K$1, MarR!$6:$6, 0), FALSE),
            0
        ) +
        IFERROR(
            VLOOKUP($A50, INDIRECT("AbrR!$A$6:$ZZ$1048576"), MATCH(K$1, AbrR!$6:$6, 0), FALSE),
            0
        ) +
        IFERROR(
            VLOOKUP($A50, INDIRECT("MayR!$A$6:$ZZ$1048576"), MATCH(K$1, MayR!$6:$6, 0), FALSE),
            0
        ) +
        IFERROR(
            VLOOKUP($A50, INDIRECT("JunR!$A$6:$ZZ$1048576"), MATCH(K$1, JunR!$6:$6, 0), FALSE),
            0
        ) +
        IFERROR(
            VLOOKUP($A50, INDIRECT("JulR!$A$6:$ZZ$1048576"), MATCH(K$1, JulR!$6:$6, 0), FALSE),
            0
        ) +
        IFERROR(
            VLOOKUP($A50, INDIRECT("AgoR!$A$6:$ZZ$1048576"), MATCH(K$1, AgoR!$6:$6, 0), FALSE),
            0
        ) +
        IFERROR(
            VLOOKUP($A50, INDIRECT("SepR!$A$6:$ZZ$1048576"), MATCH(K$1, SepR!$6:$6, 0), FALSE),
            0
        ) +
        IFERROR(
            VLOOKUP($A50, INDIRECT("OctR!$A$6:$ZZ$1048576"), MATCH(K$1, OctR!$6:$6, 0), FALSE),
            0
        ) +
        IFERROR(
            VLOOKUP($A50, INDIRECT("NovR!$A$6:$ZZ$1048576"), MATCH(K$1, NovR!$6:$6, 0), FALSE),
            0
        ) +
        IFERROR(
            VLOOKUP($A50, INDIRECT("DicR!$A$6:$ZZ$1048576"), MATCH(K$1, DicR!$6:$6, 0), FALSE),
            0
        )
)</f>
        <v>0</v>
      </c>
      <c r="L50" s="32">
        <f t="array" ref="L50">SUM(
    IFERROR(
            VLOOKUP($A50, INDIRECT("EneR!$A$6:$ZZ$1048576"), MATCH(L$1, EneR!$6:$6, 0), FALSE),
            0
        ) +
        IFERROR(
            VLOOKUP($A50, INDIRECT("FebR!$A$6:$ZZ$1048576"), MATCH(L$1, FebR!$6:$6, 0), FALSE),
            0
        ) +
        IFERROR(
            VLOOKUP($A50, INDIRECT("MarR!$A$6:$ZZ$1048576"), MATCH(L$1, MarR!$6:$6, 0), FALSE),
            0
        ) +
        IFERROR(
            VLOOKUP($A50, INDIRECT("AbrR!$A$6:$ZZ$1048576"), MATCH(L$1, AbrR!$6:$6, 0), FALSE),
            0
        ) +
        IFERROR(
            VLOOKUP($A50, INDIRECT("MayR!$A$6:$ZZ$1048576"), MATCH(L$1, MayR!$6:$6, 0), FALSE),
            0
        ) +
        IFERROR(
            VLOOKUP($A50, INDIRECT("JunR!$A$6:$ZZ$1048576"), MATCH(L$1, JunR!$6:$6, 0), FALSE),
            0
        ) +
        IFERROR(
            VLOOKUP($A50, INDIRECT("JulR!$A$6:$ZZ$1048576"), MATCH(L$1, JulR!$6:$6, 0), FALSE),
            0
        ) +
        IFERROR(
            VLOOKUP($A50, INDIRECT("AgoR!$A$6:$ZZ$1048576"), MATCH(L$1, AgoR!$6:$6, 0), FALSE),
            0
        ) +
        IFERROR(
            VLOOKUP($A50, INDIRECT("SepR!$A$6:$ZZ$1048576"), MATCH(L$1, SepR!$6:$6, 0), FALSE),
            0
        ) +
        IFERROR(
            VLOOKUP($A50, INDIRECT("OctR!$A$6:$ZZ$1048576"), MATCH(L$1, OctR!$6:$6, 0), FALSE),
            0
        ) +
        IFERROR(
            VLOOKUP($A50, INDIRECT("NovR!$A$6:$ZZ$1048576"), MATCH(L$1, NovR!$6:$6, 0), FALSE),
            0
        ) +
        IFERROR(
            VLOOKUP($A50, INDIRECT("DicR!$A$6:$ZZ$1048576"), MATCH(L$1, DicR!$6:$6, 0), FALSE),
            0
        )
)</f>
        <v>0</v>
      </c>
      <c r="M50" s="35">
        <f t="array" ref="M50">SUM(
    IFERROR(
            VLOOKUP($A50, INDIRECT("EneR!$A$6:$ZZ$1048576"), MATCH(M$1, EneR!$6:$6, 0), FALSE),
            0
        ) +
        IFERROR(
            VLOOKUP($A50, INDIRECT("FebR!$A$6:$ZZ$1048576"), MATCH(M$1, FebR!$6:$6, 0), FALSE),
            0
        ) +
        IFERROR(
            VLOOKUP($A50, INDIRECT("MarR!$A$6:$ZZ$1048576"), MATCH(M$1, MarR!$6:$6, 0), FALSE),
            0
        ) +
        IFERROR(
            VLOOKUP($A50, INDIRECT("AbrR!$A$6:$ZZ$1048576"), MATCH(M$1, AbrR!$6:$6, 0), FALSE),
            0
        ) +
        IFERROR(
            VLOOKUP($A50, INDIRECT("MayR!$A$6:$ZZ$1048576"), MATCH(M$1, MayR!$6:$6, 0), FALSE),
            0
        ) +
        IFERROR(
            VLOOKUP($A50, INDIRECT("JunR!$A$6:$ZZ$1048576"), MATCH(M$1, JunR!$6:$6, 0), FALSE),
            0
        ) +
        IFERROR(
            VLOOKUP($A50, INDIRECT("JulR!$A$6:$ZZ$1048576"), MATCH(M$1, JulR!$6:$6, 0), FALSE),
            0
        ) +
        IFERROR(
            VLOOKUP($A50, INDIRECT("AgoR!$A$6:$ZZ$1048576"), MATCH(M$1, AgoR!$6:$6, 0), FALSE),
            0
        ) +
        IFERROR(
            VLOOKUP($A50, INDIRECT("SepR!$A$6:$ZZ$1048576"), MATCH(M$1, SepR!$6:$6, 0), FALSE),
            0
        ) +
        IFERROR(
            VLOOKUP($A50, INDIRECT("OctR!$A$6:$ZZ$1048576"), MATCH(M$1, OctR!$6:$6, 0), FALSE),
            0
        ) +
        IFERROR(
            VLOOKUP($A50, INDIRECT("NovR!$A$6:$ZZ$1048576"), MATCH(M$1, NovR!$6:$6, 0), FALSE),
            0
        ) +
        IFERROR(
            VLOOKUP($A50, INDIRECT("DicR!$A$6:$ZZ$1048576"), MATCH(M$1, DicR!$6:$6, 0), FALSE),
            0
        )
)</f>
        <v>0</v>
      </c>
      <c r="N50" s="32">
        <f t="array" ref="N50">SUM(
    IFERROR(
            VLOOKUP($A50, INDIRECT("EneR!$A$6:$ZZ$1048576"), MATCH(N$1, EneR!$6:$6, 0), FALSE),
            0
        ) +
        IFERROR(
            VLOOKUP($A50, INDIRECT("FebR!$A$6:$ZZ$1048576"), MATCH(N$1, FebR!$6:$6, 0), FALSE),
            0
        ) +
        IFERROR(
            VLOOKUP($A50, INDIRECT("MarR!$A$6:$ZZ$1048576"), MATCH(N$1, MarR!$6:$6, 0), FALSE),
            0
        ) +
        IFERROR(
            VLOOKUP($A50, INDIRECT("AbrR!$A$6:$ZZ$1048576"), MATCH(N$1, AbrR!$6:$6, 0), FALSE),
            0
        ) +
        IFERROR(
            VLOOKUP($A50, INDIRECT("MayR!$A$6:$ZZ$1048576"), MATCH(N$1, MayR!$6:$6, 0), FALSE),
            0
        ) +
        IFERROR(
            VLOOKUP($A50, INDIRECT("JunR!$A$6:$ZZ$1048576"), MATCH(N$1, JunR!$6:$6, 0), FALSE),
            0
        ) +
        IFERROR(
            VLOOKUP($A50, INDIRECT("JulR!$A$6:$ZZ$1048576"), MATCH(N$1, JulR!$6:$6, 0), FALSE),
            0
        ) +
        IFERROR(
            VLOOKUP($A50, INDIRECT("AgoR!$A$6:$ZZ$1048576"), MATCH(N$1, AgoR!$6:$6, 0), FALSE),
            0
        ) +
        IFERROR(
            VLOOKUP($A50, INDIRECT("SepR!$A$6:$ZZ$1048576"), MATCH(N$1, SepR!$6:$6, 0), FALSE),
            0
        ) +
        IFERROR(
            VLOOKUP($A50, INDIRECT("OctR!$A$6:$ZZ$1048576"), MATCH(N$1, OctR!$6:$6, 0), FALSE),
            0
        ) +
        IFERROR(
            VLOOKUP($A50, INDIRECT("NovR!$A$6:$ZZ$1048576"), MATCH(N$1, NovR!$6:$6, 0), FALSE),
            0
        ) +
        IFERROR(
            VLOOKUP($A50, INDIRECT("DicR!$A$6:$ZZ$1048576"), MATCH(N$1, DicR!$6:$6, 0), FALSE),
            0
        )
)</f>
        <v>0</v>
      </c>
      <c r="O50" s="35">
        <f t="array" ref="O50">SUM(
    IFERROR(
            VLOOKUP($A50, INDIRECT("EneR!$A$6:$ZZ$1048576"), MATCH(O$1, EneR!$6:$6, 0), FALSE),
            0
        ) +
        IFERROR(
            VLOOKUP($A50, INDIRECT("FebR!$A$6:$ZZ$1048576"), MATCH(O$1, FebR!$6:$6, 0), FALSE),
            0
        ) +
        IFERROR(
            VLOOKUP($A50, INDIRECT("MarR!$A$6:$ZZ$1048576"), MATCH(O$1, MarR!$6:$6, 0), FALSE),
            0
        ) +
        IFERROR(
            VLOOKUP($A50, INDIRECT("AbrR!$A$6:$ZZ$1048576"), MATCH(O$1, AbrR!$6:$6, 0), FALSE),
            0
        ) +
        IFERROR(
            VLOOKUP($A50, INDIRECT("MayR!$A$6:$ZZ$1048576"), MATCH(O$1, MayR!$6:$6, 0), FALSE),
            0
        ) +
        IFERROR(
            VLOOKUP($A50, INDIRECT("JunR!$A$6:$ZZ$1048576"), MATCH(O$1, JunR!$6:$6, 0), FALSE),
            0
        ) +
        IFERROR(
            VLOOKUP($A50, INDIRECT("JulR!$A$6:$ZZ$1048576"), MATCH(O$1, JulR!$6:$6, 0), FALSE),
            0
        ) +
        IFERROR(
            VLOOKUP($A50, INDIRECT("AgoR!$A$6:$ZZ$1048576"), MATCH(O$1, AgoR!$6:$6, 0), FALSE),
            0
        ) +
        IFERROR(
            VLOOKUP($A50, INDIRECT("SepR!$A$6:$ZZ$1048576"), MATCH(O$1, SepR!$6:$6, 0), FALSE),
            0
        ) +
        IFERROR(
            VLOOKUP($A50, INDIRECT("OctR!$A$6:$ZZ$1048576"), MATCH(O$1, OctR!$6:$6, 0), FALSE),
            0
        ) +
        IFERROR(
            VLOOKUP($A50, INDIRECT("NovR!$A$6:$ZZ$1048576"), MATCH(O$1, NovR!$6:$6, 0), FALSE),
            0
        ) +
        IFERROR(
            VLOOKUP($A50, INDIRECT("DicR!$A$6:$ZZ$1048576"), MATCH(O$1, DicR!$6:$6, 0), FALSE),
            0
        )
)</f>
        <v>0</v>
      </c>
      <c r="P50" s="32">
        <f t="array" ref="P50">SUM(
    IFERROR(
            VLOOKUP($A50, INDIRECT("EneR!$A$6:$ZZ$1048576"), MATCH(P$1, EneR!$6:$6, 0), FALSE),
            0
        ) +
        IFERROR(
            VLOOKUP($A50, INDIRECT("FebR!$A$6:$ZZ$1048576"), MATCH(P$1, FebR!$6:$6, 0), FALSE),
            0
        ) +
        IFERROR(
            VLOOKUP($A50, INDIRECT("MarR!$A$6:$ZZ$1048576"), MATCH(P$1, MarR!$6:$6, 0), FALSE),
            0
        ) +
        IFERROR(
            VLOOKUP($A50, INDIRECT("AbrR!$A$6:$ZZ$1048576"), MATCH(P$1, AbrR!$6:$6, 0), FALSE),
            0
        ) +
        IFERROR(
            VLOOKUP($A50, INDIRECT("MayR!$A$6:$ZZ$1048576"), MATCH(P$1, MayR!$6:$6, 0), FALSE),
            0
        ) +
        IFERROR(
            VLOOKUP($A50, INDIRECT("JunR!$A$6:$ZZ$1048576"), MATCH(P$1, JunR!$6:$6, 0), FALSE),
            0
        ) +
        IFERROR(
            VLOOKUP($A50, INDIRECT("JulR!$A$6:$ZZ$1048576"), MATCH(P$1, JulR!$6:$6, 0), FALSE),
            0
        ) +
        IFERROR(
            VLOOKUP($A50, INDIRECT("AgoR!$A$6:$ZZ$1048576"), MATCH(P$1, AgoR!$6:$6, 0), FALSE),
            0
        ) +
        IFERROR(
            VLOOKUP($A50, INDIRECT("SepR!$A$6:$ZZ$1048576"), MATCH(P$1, SepR!$6:$6, 0), FALSE),
            0
        ) +
        IFERROR(
            VLOOKUP($A50, INDIRECT("OctR!$A$6:$ZZ$1048576"), MATCH(P$1, OctR!$6:$6, 0), FALSE),
            0
        ) +
        IFERROR(
            VLOOKUP($A50, INDIRECT("NovR!$A$6:$ZZ$1048576"), MATCH(P$1, NovR!$6:$6, 0), FALSE),
            0
        ) +
        IFERROR(
            VLOOKUP($A50, INDIRECT("DicR!$A$6:$ZZ$1048576"), MATCH(P$1, DicR!$6:$6, 0), FALSE),
            0
        )
)</f>
        <v>0</v>
      </c>
      <c r="Q50" s="35">
        <f t="array" ref="Q50">SUM(
    IFERROR(
            VLOOKUP($A50, INDIRECT("EneR!$A$6:$ZZ$1048576"), MATCH(Q$1, EneR!$6:$6, 0), FALSE),
            0
        ) +
        IFERROR(
            VLOOKUP($A50, INDIRECT("FebR!$A$6:$ZZ$1048576"), MATCH(Q$1, FebR!$6:$6, 0), FALSE),
            0
        ) +
        IFERROR(
            VLOOKUP($A50, INDIRECT("MarR!$A$6:$ZZ$1048576"), MATCH(Q$1, MarR!$6:$6, 0), FALSE),
            0
        ) +
        IFERROR(
            VLOOKUP($A50, INDIRECT("AbrR!$A$6:$ZZ$1048576"), MATCH(Q$1, AbrR!$6:$6, 0), FALSE),
            0
        ) +
        IFERROR(
            VLOOKUP($A50, INDIRECT("MayR!$A$6:$ZZ$1048576"), MATCH(Q$1, MayR!$6:$6, 0), FALSE),
            0
        ) +
        IFERROR(
            VLOOKUP($A50, INDIRECT("JunR!$A$6:$ZZ$1048576"), MATCH(Q$1, JunR!$6:$6, 0), FALSE),
            0
        ) +
        IFERROR(
            VLOOKUP($A50, INDIRECT("JulR!$A$6:$ZZ$1048576"), MATCH(Q$1, JulR!$6:$6, 0), FALSE),
            0
        ) +
        IFERROR(
            VLOOKUP($A50, INDIRECT("AgoR!$A$6:$ZZ$1048576"), MATCH(Q$1, AgoR!$6:$6, 0), FALSE),
            0
        ) +
        IFERROR(
            VLOOKUP($A50, INDIRECT("SepR!$A$6:$ZZ$1048576"), MATCH(Q$1, SepR!$6:$6, 0), FALSE),
            0
        ) +
        IFERROR(
            VLOOKUP($A50, INDIRECT("OctR!$A$6:$ZZ$1048576"), MATCH(Q$1, OctR!$6:$6, 0), FALSE),
            0
        ) +
        IFERROR(
            VLOOKUP($A50, INDIRECT("NovR!$A$6:$ZZ$1048576"), MATCH(Q$1, NovR!$6:$6, 0), FALSE),
            0
        ) +
        IFERROR(
            VLOOKUP($A50, INDIRECT("DicR!$A$6:$ZZ$1048576"), MATCH(Q$1, DicR!$6:$6, 0), FALSE),
            0
        )
)</f>
        <v>0</v>
      </c>
      <c r="R50" s="36">
        <f t="array" ref="R50">SUM(
    IFERROR(
            VLOOKUP($A50, INDIRECT("EneR!$A$6:$ZZ$1048576"), MATCH(R$1, EneR!$6:$6, 0), FALSE),
            0
        ) +
        IFERROR(
            VLOOKUP($A50, INDIRECT("FebR!$A$6:$ZZ$1048576"), MATCH(R$1, FebR!$6:$6, 0), FALSE),
            0
        ) +
        IFERROR(
            VLOOKUP($A50, INDIRECT("MarR!$A$6:$ZZ$1048576"), MATCH(R$1, MarR!$6:$6, 0), FALSE),
            0
        ) +
        IFERROR(
            VLOOKUP($A50, INDIRECT("AbrR!$A$6:$ZZ$1048576"), MATCH(R$1, AbrR!$6:$6, 0), FALSE),
            0
        ) +
        IFERROR(
            VLOOKUP($A50, INDIRECT("MayR!$A$6:$ZZ$1048576"), MATCH(R$1, MayR!$6:$6, 0), FALSE),
            0
        ) +
        IFERROR(
            VLOOKUP($A50, INDIRECT("JunR!$A$6:$ZZ$1048576"), MATCH(R$1, JunR!$6:$6, 0), FALSE),
            0
        ) +
        IFERROR(
            VLOOKUP($A50, INDIRECT("JulR!$A$6:$ZZ$1048576"), MATCH(R$1, JulR!$6:$6, 0), FALSE),
            0
        ) +
        IFERROR(
            VLOOKUP($A50, INDIRECT("AgoR!$A$6:$ZZ$1048576"), MATCH(R$1, AgoR!$6:$6, 0), FALSE),
            0
        ) +
        IFERROR(
            VLOOKUP($A50, INDIRECT("SepR!$A$6:$ZZ$1048576"), MATCH(R$1, SepR!$6:$6, 0), FALSE),
            0
        ) +
        IFERROR(
            VLOOKUP($A50, INDIRECT("OctR!$A$6:$ZZ$1048576"), MATCH(R$1, OctR!$6:$6, 0), FALSE),
            0
        ) +
        IFERROR(
            VLOOKUP($A50, INDIRECT("NovR!$A$6:$ZZ$1048576"), MATCH(R$1, NovR!$6:$6, 0), FALSE),
            0
        ) +
        IFERROR(
            VLOOKUP($A50, INDIRECT("DicR!$A$6:$ZZ$1048576"), MATCH(R$1, DicR!$6:$6, 0), FALSE),
            0
        )
)</f>
        <v>0</v>
      </c>
      <c r="S50" s="37">
        <f t="array" ref="S50">SUM(
    IFERROR(
            VLOOKUP($A50, INDIRECT("EneR!$A$6:$ZZ$1048576"), MATCH(S$1, EneR!$6:$6, 0), FALSE),
            0
        ) +
        IFERROR(
            VLOOKUP($A50, INDIRECT("FebR!$A$6:$ZZ$1048576"), MATCH(S$1, FebR!$6:$6, 0), FALSE),
            0
        ) +
        IFERROR(
            VLOOKUP($A50, INDIRECT("MarR!$A$6:$ZZ$1048576"), MATCH(S$1, MarR!$6:$6, 0), FALSE),
            0
        ) +
        IFERROR(
            VLOOKUP($A50, INDIRECT("AbrR!$A$6:$ZZ$1048576"), MATCH(S$1, AbrR!$6:$6, 0), FALSE),
            0
        ) +
        IFERROR(
            VLOOKUP($A50, INDIRECT("MayR!$A$6:$ZZ$1048576"), MATCH(S$1, MayR!$6:$6, 0), FALSE),
            0
        ) +
        IFERROR(
            VLOOKUP($A50, INDIRECT("JunR!$A$6:$ZZ$1048576"), MATCH(S$1, JunR!$6:$6, 0), FALSE),
            0
        ) +
        IFERROR(
            VLOOKUP($A50, INDIRECT("JulR!$A$6:$ZZ$1048576"), MATCH(S$1, JulR!$6:$6, 0), FALSE),
            0
        ) +
        IFERROR(
            VLOOKUP($A50, INDIRECT("AgoR!$A$6:$ZZ$1048576"), MATCH(S$1, AgoR!$6:$6, 0), FALSE),
            0
        ) +
        IFERROR(
            VLOOKUP($A50, INDIRECT("SepR!$A$6:$ZZ$1048576"), MATCH(S$1, SepR!$6:$6, 0), FALSE),
            0
        ) +
        IFERROR(
            VLOOKUP($A50, INDIRECT("OctR!$A$6:$ZZ$1048576"), MATCH(S$1, OctR!$6:$6, 0), FALSE),
            0
        ) +
        IFERROR(
            VLOOKUP($A50, INDIRECT("NovR!$A$6:$ZZ$1048576"), MATCH(S$1, NovR!$6:$6, 0), FALSE),
            0
        ) +
        IFERROR(
            VLOOKUP($A50, INDIRECT("DicR!$A$6:$ZZ$1048576"), MATCH(S$1, DicR!$6:$6, 0), FALSE),
            0
        )
)</f>
        <v>0</v>
      </c>
      <c r="T50" s="36">
        <f t="array" ref="T50">SUM(
    IFERROR(
            VLOOKUP($A50, INDIRECT("EneR!$A$6:$ZZ$1048576"), MATCH(T$1, EneR!$6:$6, 0), FALSE),
            0
        ) +
        IFERROR(
            VLOOKUP($A50, INDIRECT("FebR!$A$6:$ZZ$1048576"), MATCH(T$1, FebR!$6:$6, 0), FALSE),
            0
        ) +
        IFERROR(
            VLOOKUP($A50, INDIRECT("MarR!$A$6:$ZZ$1048576"), MATCH(T$1, MarR!$6:$6, 0), FALSE),
            0
        ) +
        IFERROR(
            VLOOKUP($A50, INDIRECT("AbrR!$A$6:$ZZ$1048576"), MATCH(T$1, AbrR!$6:$6, 0), FALSE),
            0
        ) +
        IFERROR(
            VLOOKUP($A50, INDIRECT("MayR!$A$6:$ZZ$1048576"), MATCH(T$1, MayR!$6:$6, 0), FALSE),
            0
        ) +
        IFERROR(
            VLOOKUP($A50, INDIRECT("JunR!$A$6:$ZZ$1048576"), MATCH(T$1, JunR!$6:$6, 0), FALSE),
            0
        ) +
        IFERROR(
            VLOOKUP($A50, INDIRECT("JulR!$A$6:$ZZ$1048576"), MATCH(T$1, JulR!$6:$6, 0), FALSE),
            0
        ) +
        IFERROR(
            VLOOKUP($A50, INDIRECT("AgoR!$A$6:$ZZ$1048576"), MATCH(T$1, AgoR!$6:$6, 0), FALSE),
            0
        ) +
        IFERROR(
            VLOOKUP($A50, INDIRECT("SepR!$A$6:$ZZ$1048576"), MATCH(T$1, SepR!$6:$6, 0), FALSE),
            0
        ) +
        IFERROR(
            VLOOKUP($A50, INDIRECT("OctR!$A$6:$ZZ$1048576"), MATCH(T$1, OctR!$6:$6, 0), FALSE),
            0
        ) +
        IFERROR(
            VLOOKUP($A50, INDIRECT("NovR!$A$6:$ZZ$1048576"), MATCH(T$1, NovR!$6:$6, 0), FALSE),
            0
        ) +
        IFERROR(
            VLOOKUP($A50, INDIRECT("DicR!$A$6:$ZZ$1048576"), MATCH(T$1, DicR!$6:$6, 0), FALSE),
            0
        )
)</f>
        <v>0</v>
      </c>
      <c r="U50" s="37">
        <f t="array" ref="U50">SUM(
    IFERROR(
            VLOOKUP($A50, INDIRECT("EneR!$A$6:$ZZ$1048576"), MATCH(U$1, EneR!$6:$6, 0), FALSE),
            0
        ) +
        IFERROR(
            VLOOKUP($A50, INDIRECT("FebR!$A$6:$ZZ$1048576"), MATCH(U$1, FebR!$6:$6, 0), FALSE),
            0
        ) +
        IFERROR(
            VLOOKUP($A50, INDIRECT("MarR!$A$6:$ZZ$1048576"), MATCH(U$1, MarR!$6:$6, 0), FALSE),
            0
        ) +
        IFERROR(
            VLOOKUP($A50, INDIRECT("AbrR!$A$6:$ZZ$1048576"), MATCH(U$1, AbrR!$6:$6, 0), FALSE),
            0
        ) +
        IFERROR(
            VLOOKUP($A50, INDIRECT("MayR!$A$6:$ZZ$1048576"), MATCH(U$1, MayR!$6:$6, 0), FALSE),
            0
        ) +
        IFERROR(
            VLOOKUP($A50, INDIRECT("JunR!$A$6:$ZZ$1048576"), MATCH(U$1, JunR!$6:$6, 0), FALSE),
            0
        ) +
        IFERROR(
            VLOOKUP($A50, INDIRECT("JulR!$A$6:$ZZ$1048576"), MATCH(U$1, JulR!$6:$6, 0), FALSE),
            0
        ) +
        IFERROR(
            VLOOKUP($A50, INDIRECT("AgoR!$A$6:$ZZ$1048576"), MATCH(U$1, AgoR!$6:$6, 0), FALSE),
            0
        ) +
        IFERROR(
            VLOOKUP($A50, INDIRECT("SepR!$A$6:$ZZ$1048576"), MATCH(U$1, SepR!$6:$6, 0), FALSE),
            0
        ) +
        IFERROR(
            VLOOKUP($A50, INDIRECT("OctR!$A$6:$ZZ$1048576"), MATCH(U$1, OctR!$6:$6, 0), FALSE),
            0
        ) +
        IFERROR(
            VLOOKUP($A50, INDIRECT("NovR!$A$6:$ZZ$1048576"), MATCH(U$1, NovR!$6:$6, 0), FALSE),
            0
        ) +
        IFERROR(
            VLOOKUP($A50, INDIRECT("DicR!$A$6:$ZZ$1048576"), MATCH(U$1, DicR!$6:$6, 0), FALSE),
            0
        )
)</f>
        <v>0</v>
      </c>
      <c r="V50" s="36">
        <f t="array" ref="V50">SUM(
    IFERROR(
            VLOOKUP($A50, INDIRECT("EneR!$A$6:$ZZ$1048576"), MATCH(V$1, EneR!$6:$6, 0), FALSE),
            0
        ) +
        IFERROR(
            VLOOKUP($A50, INDIRECT("FebR!$A$6:$ZZ$1048576"), MATCH(V$1, FebR!$6:$6, 0), FALSE),
            0
        ) +
        IFERROR(
            VLOOKUP($A50, INDIRECT("MarR!$A$6:$ZZ$1048576"), MATCH(V$1, MarR!$6:$6, 0), FALSE),
            0
        ) +
        IFERROR(
            VLOOKUP($A50, INDIRECT("AbrR!$A$6:$ZZ$1048576"), MATCH(V$1, AbrR!$6:$6, 0), FALSE),
            0
        ) +
        IFERROR(
            VLOOKUP($A50, INDIRECT("MayR!$A$6:$ZZ$1048576"), MATCH(V$1, MayR!$6:$6, 0), FALSE),
            0
        ) +
        IFERROR(
            VLOOKUP($A50, INDIRECT("JunR!$A$6:$ZZ$1048576"), MATCH(V$1, JunR!$6:$6, 0), FALSE),
            0
        ) +
        IFERROR(
            VLOOKUP($A50, INDIRECT("JulR!$A$6:$ZZ$1048576"), MATCH(V$1, JulR!$6:$6, 0), FALSE),
            0
        ) +
        IFERROR(
            VLOOKUP($A50, INDIRECT("AgoR!$A$6:$ZZ$1048576"), MATCH(V$1, AgoR!$6:$6, 0), FALSE),
            0
        ) +
        IFERROR(
            VLOOKUP($A50, INDIRECT("SepR!$A$6:$ZZ$1048576"), MATCH(V$1, SepR!$6:$6, 0), FALSE),
            0
        ) +
        IFERROR(
            VLOOKUP($A50, INDIRECT("OctR!$A$6:$ZZ$1048576"), MATCH(V$1, OctR!$6:$6, 0), FALSE),
            0
        ) +
        IFERROR(
            VLOOKUP($A50, INDIRECT("NovR!$A$6:$ZZ$1048576"), MATCH(V$1, NovR!$6:$6, 0), FALSE),
            0
        ) +
        IFERROR(
            VLOOKUP($A50, INDIRECT("DicR!$A$6:$ZZ$1048576"), MATCH(V$1, DicR!$6:$6, 0), FALSE),
            0
        )
)</f>
        <v>0</v>
      </c>
      <c r="W50" s="37">
        <f t="array" ref="W50">SUM(
    IFERROR(
            VLOOKUP($A50, INDIRECT("EneR!$A$6:$ZZ$1048576"), MATCH(W$1, EneR!$6:$6, 0), FALSE),
            0
        ) +
        IFERROR(
            VLOOKUP($A50, INDIRECT("FebR!$A$6:$ZZ$1048576"), MATCH(W$1, FebR!$6:$6, 0), FALSE),
            0
        ) +
        IFERROR(
            VLOOKUP($A50, INDIRECT("MarR!$A$6:$ZZ$1048576"), MATCH(W$1, MarR!$6:$6, 0), FALSE),
            0
        ) +
        IFERROR(
            VLOOKUP($A50, INDIRECT("AbrR!$A$6:$ZZ$1048576"), MATCH(W$1, AbrR!$6:$6, 0), FALSE),
            0
        ) +
        IFERROR(
            VLOOKUP($A50, INDIRECT("MayR!$A$6:$ZZ$1048576"), MATCH(W$1, MayR!$6:$6, 0), FALSE),
            0
        ) +
        IFERROR(
            VLOOKUP($A50, INDIRECT("JunR!$A$6:$ZZ$1048576"), MATCH(W$1, JunR!$6:$6, 0), FALSE),
            0
        ) +
        IFERROR(
            VLOOKUP($A50, INDIRECT("JulR!$A$6:$ZZ$1048576"), MATCH(W$1, JulR!$6:$6, 0), FALSE),
            0
        ) +
        IFERROR(
            VLOOKUP($A50, INDIRECT("AgoR!$A$6:$ZZ$1048576"), MATCH(W$1, AgoR!$6:$6, 0), FALSE),
            0
        ) +
        IFERROR(
            VLOOKUP($A50, INDIRECT("SepR!$A$6:$ZZ$1048576"), MATCH(W$1, SepR!$6:$6, 0), FALSE),
            0
        ) +
        IFERROR(
            VLOOKUP($A50, INDIRECT("OctR!$A$6:$ZZ$1048576"), MATCH(W$1, OctR!$6:$6, 0), FALSE),
            0
        ) +
        IFERROR(
            VLOOKUP($A50, INDIRECT("NovR!$A$6:$ZZ$1048576"), MATCH(W$1, NovR!$6:$6, 0), FALSE),
            0
        ) +
        IFERROR(
            VLOOKUP($A50, INDIRECT("DicR!$A$6:$ZZ$1048576"), MATCH(W$1, DicR!$6:$6, 0), FALSE),
            0
        )
)</f>
        <v>0</v>
      </c>
      <c r="X50" s="36">
        <f t="array" ref="X50">SUM(
    IFERROR(
            VLOOKUP($A50, INDIRECT("EneR!$A$6:$ZZ$1048576"), MATCH(X$1, EneR!$6:$6, 0), FALSE),
            0
        ) +
        IFERROR(
            VLOOKUP($A50, INDIRECT("FebR!$A$6:$ZZ$1048576"), MATCH(X$1, FebR!$6:$6, 0), FALSE),
            0
        ) +
        IFERROR(
            VLOOKUP($A50, INDIRECT("MarR!$A$6:$ZZ$1048576"), MATCH(X$1, MarR!$6:$6, 0), FALSE),
            0
        ) +
        IFERROR(
            VLOOKUP($A50, INDIRECT("AbrR!$A$6:$ZZ$1048576"), MATCH(X$1, AbrR!$6:$6, 0), FALSE),
            0
        ) +
        IFERROR(
            VLOOKUP($A50, INDIRECT("MayR!$A$6:$ZZ$1048576"), MATCH(X$1, MayR!$6:$6, 0), FALSE),
            0
        ) +
        IFERROR(
            VLOOKUP($A50, INDIRECT("JunR!$A$6:$ZZ$1048576"), MATCH(X$1, JunR!$6:$6, 0), FALSE),
            0
        ) +
        IFERROR(
            VLOOKUP($A50, INDIRECT("JulR!$A$6:$ZZ$1048576"), MATCH(X$1, JulR!$6:$6, 0), FALSE),
            0
        ) +
        IFERROR(
            VLOOKUP($A50, INDIRECT("AgoR!$A$6:$ZZ$1048576"), MATCH(X$1, AgoR!$6:$6, 0), FALSE),
            0
        ) +
        IFERROR(
            VLOOKUP($A50, INDIRECT("SepR!$A$6:$ZZ$1048576"), MATCH(X$1, SepR!$6:$6, 0), FALSE),
            0
        ) +
        IFERROR(
            VLOOKUP($A50, INDIRECT("OctR!$A$6:$ZZ$1048576"), MATCH(X$1, OctR!$6:$6, 0), FALSE),
            0
        ) +
        IFERROR(
            VLOOKUP($A50, INDIRECT("NovR!$A$6:$ZZ$1048576"), MATCH(X$1, NovR!$6:$6, 0), FALSE),
            0
        ) +
        IFERROR(
            VLOOKUP($A50, INDIRECT("DicR!$A$6:$ZZ$1048576"), MATCH(X$1, DicR!$6:$6, 0), FALSE),
            0
        )
)</f>
        <v>0</v>
      </c>
      <c r="Y50" s="37">
        <f t="array" ref="Y50">SUM(
    IFERROR(
            VLOOKUP($A50, INDIRECT("EneR!$A$6:$ZZ$1048576"), MATCH(Y$1, EneR!$6:$6, 0), FALSE),
            0
        ) +
        IFERROR(
            VLOOKUP($A50, INDIRECT("FebR!$A$6:$ZZ$1048576"), MATCH(Y$1, FebR!$6:$6, 0), FALSE),
            0
        ) +
        IFERROR(
            VLOOKUP($A50, INDIRECT("MarR!$A$6:$ZZ$1048576"), MATCH(Y$1, MarR!$6:$6, 0), FALSE),
            0
        ) +
        IFERROR(
            VLOOKUP($A50, INDIRECT("AbrR!$A$6:$ZZ$1048576"), MATCH(Y$1, AbrR!$6:$6, 0), FALSE),
            0
        ) +
        IFERROR(
            VLOOKUP($A50, INDIRECT("MayR!$A$6:$ZZ$1048576"), MATCH(Y$1, MayR!$6:$6, 0), FALSE),
            0
        ) +
        IFERROR(
            VLOOKUP($A50, INDIRECT("JunR!$A$6:$ZZ$1048576"), MATCH(Y$1, JunR!$6:$6, 0), FALSE),
            0
        ) +
        IFERROR(
            VLOOKUP($A50, INDIRECT("JulR!$A$6:$ZZ$1048576"), MATCH(Y$1, JulR!$6:$6, 0), FALSE),
            0
        ) +
        IFERROR(
            VLOOKUP($A50, INDIRECT("AgoR!$A$6:$ZZ$1048576"), MATCH(Y$1, AgoR!$6:$6, 0), FALSE),
            0
        ) +
        IFERROR(
            VLOOKUP($A50, INDIRECT("SepR!$A$6:$ZZ$1048576"), MATCH(Y$1, SepR!$6:$6, 0), FALSE),
            0
        ) +
        IFERROR(
            VLOOKUP($A50, INDIRECT("OctR!$A$6:$ZZ$1048576"), MATCH(Y$1, OctR!$6:$6, 0), FALSE),
            0
        ) +
        IFERROR(
            VLOOKUP($A50, INDIRECT("NovR!$A$6:$ZZ$1048576"), MATCH(Y$1, NovR!$6:$6, 0), FALSE),
            0
        ) +
        IFERROR(
            VLOOKUP($A50, INDIRECT("DicR!$A$6:$ZZ$1048576"), MATCH(Y$1, DicR!$6:$6, 0), FALSE),
            0
        )
)</f>
        <v>0</v>
      </c>
      <c r="Z50" s="36">
        <f t="array" ref="Z50">SUM(
    IFERROR(
            VLOOKUP($A50, INDIRECT("EneR!$A$6:$ZZ$1048576"), MATCH(Z$1, EneR!$6:$6, 0), FALSE),
            0
        ) +
        IFERROR(
            VLOOKUP($A50, INDIRECT("FebR!$A$6:$ZZ$1048576"), MATCH(Z$1, FebR!$6:$6, 0), FALSE),
            0
        ) +
        IFERROR(
            VLOOKUP($A50, INDIRECT("MarR!$A$6:$ZZ$1048576"), MATCH(Z$1, MarR!$6:$6, 0), FALSE),
            0
        ) +
        IFERROR(
            VLOOKUP($A50, INDIRECT("AbrR!$A$6:$ZZ$1048576"), MATCH(Z$1, AbrR!$6:$6, 0), FALSE),
            0
        ) +
        IFERROR(
            VLOOKUP($A50, INDIRECT("MayR!$A$6:$ZZ$1048576"), MATCH(Z$1, MayR!$6:$6, 0), FALSE),
            0
        ) +
        IFERROR(
            VLOOKUP($A50, INDIRECT("JunR!$A$6:$ZZ$1048576"), MATCH(Z$1, JunR!$6:$6, 0), FALSE),
            0
        ) +
        IFERROR(
            VLOOKUP($A50, INDIRECT("JulR!$A$6:$ZZ$1048576"), MATCH(Z$1, JulR!$6:$6, 0), FALSE),
            0
        ) +
        IFERROR(
            VLOOKUP($A50, INDIRECT("AgoR!$A$6:$ZZ$1048576"), MATCH(Z$1, AgoR!$6:$6, 0), FALSE),
            0
        ) +
        IFERROR(
            VLOOKUP($A50, INDIRECT("SepR!$A$6:$ZZ$1048576"), MATCH(Z$1, SepR!$6:$6, 0), FALSE),
            0
        ) +
        IFERROR(
            VLOOKUP($A50, INDIRECT("OctR!$A$6:$ZZ$1048576"), MATCH(Z$1, OctR!$6:$6, 0), FALSE),
            0
        ) +
        IFERROR(
            VLOOKUP($A50, INDIRECT("NovR!$A$6:$ZZ$1048576"), MATCH(Z$1, NovR!$6:$6, 0), FALSE),
            0
        ) +
        IFERROR(
            VLOOKUP($A50, INDIRECT("DicR!$A$6:$ZZ$1048576"), MATCH(Z$1, DicR!$6:$6, 0), FALSE),
            0
        )
)</f>
        <v>0</v>
      </c>
      <c r="AA50" s="37">
        <f t="array" ref="AA50">SUM(
    IFERROR(
            VLOOKUP($A50, INDIRECT("EneR!$A$6:$ZZ$1048576"), MATCH(AA$1, EneR!$6:$6, 0), FALSE),
            0
        ) +
        IFERROR(
            VLOOKUP($A50, INDIRECT("FebR!$A$6:$ZZ$1048576"), MATCH(AA$1, FebR!$6:$6, 0), FALSE),
            0
        ) +
        IFERROR(
            VLOOKUP($A50, INDIRECT("MarR!$A$6:$ZZ$1048576"), MATCH(AA$1, MarR!$6:$6, 0), FALSE),
            0
        ) +
        IFERROR(
            VLOOKUP($A50, INDIRECT("AbrR!$A$6:$ZZ$1048576"), MATCH(AA$1, AbrR!$6:$6, 0), FALSE),
            0
        ) +
        IFERROR(
            VLOOKUP($A50, INDIRECT("MayR!$A$6:$ZZ$1048576"), MATCH(AA$1, MayR!$6:$6, 0), FALSE),
            0
        ) +
        IFERROR(
            VLOOKUP($A50, INDIRECT("JunR!$A$6:$ZZ$1048576"), MATCH(AA$1, JunR!$6:$6, 0), FALSE),
            0
        ) +
        IFERROR(
            VLOOKUP($A50, INDIRECT("JulR!$A$6:$ZZ$1048576"), MATCH(AA$1, JulR!$6:$6, 0), FALSE),
            0
        ) +
        IFERROR(
            VLOOKUP($A50, INDIRECT("AgoR!$A$6:$ZZ$1048576"), MATCH(AA$1, AgoR!$6:$6, 0), FALSE),
            0
        ) +
        IFERROR(
            VLOOKUP($A50, INDIRECT("SepR!$A$6:$ZZ$1048576"), MATCH(AA$1, SepR!$6:$6, 0), FALSE),
            0
        ) +
        IFERROR(
            VLOOKUP($A50, INDIRECT("OctR!$A$6:$ZZ$1048576"), MATCH(AA$1, OctR!$6:$6, 0), FALSE),
            0
        ) +
        IFERROR(
            VLOOKUP($A50, INDIRECT("NovR!$A$6:$ZZ$1048576"), MATCH(AA$1, NovR!$6:$6, 0), FALSE),
            0
        ) +
        IFERROR(
            VLOOKUP($A50, INDIRECT("DicR!$A$6:$ZZ$1048576"), MATCH(AA$1, DicR!$6:$6, 0), FALSE),
            0
        )
)</f>
        <v>0</v>
      </c>
      <c r="AB50" s="36">
        <f t="array" ref="AB50">SUM(
    IFERROR(
            VLOOKUP($A50, INDIRECT("EneR!$A$6:$ZZ$1048576"), MATCH(AB$1, EneR!$6:$6, 0), FALSE),
            0
        ) +
        IFERROR(
            VLOOKUP($A50, INDIRECT("FebR!$A$6:$ZZ$1048576"), MATCH(AB$1, FebR!$6:$6, 0), FALSE),
            0
        ) +
        IFERROR(
            VLOOKUP($A50, INDIRECT("MarR!$A$6:$ZZ$1048576"), MATCH(AB$1, MarR!$6:$6, 0), FALSE),
            0
        ) +
        IFERROR(
            VLOOKUP($A50, INDIRECT("AbrR!$A$6:$ZZ$1048576"), MATCH(AB$1, AbrR!$6:$6, 0), FALSE),
            0
        ) +
        IFERROR(
            VLOOKUP($A50, INDIRECT("MayR!$A$6:$ZZ$1048576"), MATCH(AB$1, MayR!$6:$6, 0), FALSE),
            0
        ) +
        IFERROR(
            VLOOKUP($A50, INDIRECT("JunR!$A$6:$ZZ$1048576"), MATCH(AB$1, JunR!$6:$6, 0), FALSE),
            0
        ) +
        IFERROR(
            VLOOKUP($A50, INDIRECT("JulR!$A$6:$ZZ$1048576"), MATCH(AB$1, JulR!$6:$6, 0), FALSE),
            0
        ) +
        IFERROR(
            VLOOKUP($A50, INDIRECT("AgoR!$A$6:$ZZ$1048576"), MATCH(AB$1, AgoR!$6:$6, 0), FALSE),
            0
        ) +
        IFERROR(
            VLOOKUP($A50, INDIRECT("SepR!$A$6:$ZZ$1048576"), MATCH(AB$1, SepR!$6:$6, 0), FALSE),
            0
        ) +
        IFERROR(
            VLOOKUP($A50, INDIRECT("OctR!$A$6:$ZZ$1048576"), MATCH(AB$1, OctR!$6:$6, 0), FALSE),
            0
        ) +
        IFERROR(
            VLOOKUP($A50, INDIRECT("NovR!$A$6:$ZZ$1048576"), MATCH(AB$1, NovR!$6:$6, 0), FALSE),
            0
        ) +
        IFERROR(
            VLOOKUP($A50, INDIRECT("DicR!$A$6:$ZZ$1048576"), MATCH(AB$1, DicR!$6:$6, 0), FALSE),
            0
        )
)</f>
        <v>0</v>
      </c>
      <c r="AC50" s="37">
        <f t="array" ref="AC50">SUM(
    IFERROR(
            VLOOKUP($A50, INDIRECT("EneR!$A$6:$ZZ$1048576"), MATCH(AC$1, EneR!$6:$6, 0), FALSE),
            0
        ) +
        IFERROR(
            VLOOKUP($A50, INDIRECT("FebR!$A$6:$ZZ$1048576"), MATCH(AC$1, FebR!$6:$6, 0), FALSE),
            0
        ) +
        IFERROR(
            VLOOKUP($A50, INDIRECT("MarR!$A$6:$ZZ$1048576"), MATCH(AC$1, MarR!$6:$6, 0), FALSE),
            0
        ) +
        IFERROR(
            VLOOKUP($A50, INDIRECT("AbrR!$A$6:$ZZ$1048576"), MATCH(AC$1, AbrR!$6:$6, 0), FALSE),
            0
        ) +
        IFERROR(
            VLOOKUP($A50, INDIRECT("MayR!$A$6:$ZZ$1048576"), MATCH(AC$1, MayR!$6:$6, 0), FALSE),
            0
        ) +
        IFERROR(
            VLOOKUP($A50, INDIRECT("JunR!$A$6:$ZZ$1048576"), MATCH(AC$1, JunR!$6:$6, 0), FALSE),
            0
        ) +
        IFERROR(
            VLOOKUP($A50, INDIRECT("JulR!$A$6:$ZZ$1048576"), MATCH(AC$1, JulR!$6:$6, 0), FALSE),
            0
        ) +
        IFERROR(
            VLOOKUP($A50, INDIRECT("AgoR!$A$6:$ZZ$1048576"), MATCH(AC$1, AgoR!$6:$6, 0), FALSE),
            0
        ) +
        IFERROR(
            VLOOKUP($A50, INDIRECT("SepR!$A$6:$ZZ$1048576"), MATCH(AC$1, SepR!$6:$6, 0), FALSE),
            0
        ) +
        IFERROR(
            VLOOKUP($A50, INDIRECT("OctR!$A$6:$ZZ$1048576"), MATCH(AC$1, OctR!$6:$6, 0), FALSE),
            0
        ) +
        IFERROR(
            VLOOKUP($A50, INDIRECT("NovR!$A$6:$ZZ$1048576"), MATCH(AC$1, NovR!$6:$6, 0), FALSE),
            0
        ) +
        IFERROR(
            VLOOKUP($A50, INDIRECT("DicR!$A$6:$ZZ$1048576"), MATCH(AC$1, DicR!$6:$6, 0), FALSE),
            0
        )
)</f>
        <v>0</v>
      </c>
      <c r="AD50" s="36">
        <f t="array" ref="AD50">SUM(
    IFERROR(
            VLOOKUP($A50, INDIRECT("EneR!$A$6:$ZZ$1048576"), MATCH(AD$1, EneR!$6:$6, 0), FALSE),
            0
        ) +
        IFERROR(
            VLOOKUP($A50, INDIRECT("FebR!$A$6:$ZZ$1048576"), MATCH(AD$1, FebR!$6:$6, 0), FALSE),
            0
        ) +
        IFERROR(
            VLOOKUP($A50, INDIRECT("MarR!$A$6:$ZZ$1048576"), MATCH(AD$1, MarR!$6:$6, 0), FALSE),
            0
        ) +
        IFERROR(
            VLOOKUP($A50, INDIRECT("AbrR!$A$6:$ZZ$1048576"), MATCH(AD$1, AbrR!$6:$6, 0), FALSE),
            0
        ) +
        IFERROR(
            VLOOKUP($A50, INDIRECT("MayR!$A$6:$ZZ$1048576"), MATCH(AD$1, MayR!$6:$6, 0), FALSE),
            0
        ) +
        IFERROR(
            VLOOKUP($A50, INDIRECT("JunR!$A$6:$ZZ$1048576"), MATCH(AD$1, JunR!$6:$6, 0), FALSE),
            0
        ) +
        IFERROR(
            VLOOKUP($A50, INDIRECT("JulR!$A$6:$ZZ$1048576"), MATCH(AD$1, JulR!$6:$6, 0), FALSE),
            0
        ) +
        IFERROR(
            VLOOKUP($A50, INDIRECT("AgoR!$A$6:$ZZ$1048576"), MATCH(AD$1, AgoR!$6:$6, 0), FALSE),
            0
        ) +
        IFERROR(
            VLOOKUP($A50, INDIRECT("SepR!$A$6:$ZZ$1048576"), MATCH(AD$1, SepR!$6:$6, 0), FALSE),
            0
        ) +
        IFERROR(
            VLOOKUP($A50, INDIRECT("OctR!$A$6:$ZZ$1048576"), MATCH(AD$1, OctR!$6:$6, 0), FALSE),
            0
        ) +
        IFERROR(
            VLOOKUP($A50, INDIRECT("NovR!$A$6:$ZZ$1048576"), MATCH(AD$1, NovR!$6:$6, 0), FALSE),
            0
        ) +
        IFERROR(
            VLOOKUP($A50, INDIRECT("DicR!$A$6:$ZZ$1048576"), MATCH(AD$1, DicR!$6:$6, 0), FALSE),
            0
        )
)</f>
        <v>0</v>
      </c>
      <c r="AE50" s="37">
        <f t="array" ref="AE50">SUM(
    IFERROR(
            VLOOKUP($A50, INDIRECT("EneR!$A$6:$ZZ$1048576"), MATCH(AE$1, EneR!$6:$6, 0), FALSE),
            0
        ) +
        IFERROR(
            VLOOKUP($A50, INDIRECT("FebR!$A$6:$ZZ$1048576"), MATCH(AE$1, FebR!$6:$6, 0), FALSE),
            0
        ) +
        IFERROR(
            VLOOKUP($A50, INDIRECT("MarR!$A$6:$ZZ$1048576"), MATCH(AE$1, MarR!$6:$6, 0), FALSE),
            0
        ) +
        IFERROR(
            VLOOKUP($A50, INDIRECT("AbrR!$A$6:$ZZ$1048576"), MATCH(AE$1, AbrR!$6:$6, 0), FALSE),
            0
        ) +
        IFERROR(
            VLOOKUP($A50, INDIRECT("MayR!$A$6:$ZZ$1048576"), MATCH(AE$1, MayR!$6:$6, 0), FALSE),
            0
        ) +
        IFERROR(
            VLOOKUP($A50, INDIRECT("JunR!$A$6:$ZZ$1048576"), MATCH(AE$1, JunR!$6:$6, 0), FALSE),
            0
        ) +
        IFERROR(
            VLOOKUP($A50, INDIRECT("JulR!$A$6:$ZZ$1048576"), MATCH(AE$1, JulR!$6:$6, 0), FALSE),
            0
        ) +
        IFERROR(
            VLOOKUP($A50, INDIRECT("AgoR!$A$6:$ZZ$1048576"), MATCH(AE$1, AgoR!$6:$6, 0), FALSE),
            0
        ) +
        IFERROR(
            VLOOKUP($A50, INDIRECT("SepR!$A$6:$ZZ$1048576"), MATCH(AE$1, SepR!$6:$6, 0), FALSE),
            0
        ) +
        IFERROR(
            VLOOKUP($A50, INDIRECT("OctR!$A$6:$ZZ$1048576"), MATCH(AE$1, OctR!$6:$6, 0), FALSE),
            0
        ) +
        IFERROR(
            VLOOKUP($A50, INDIRECT("NovR!$A$6:$ZZ$1048576"), MATCH(AE$1, NovR!$6:$6, 0), FALSE),
            0
        ) +
        IFERROR(
            VLOOKUP($A50, INDIRECT("DicR!$A$6:$ZZ$1048576"), MATCH(AE$1, DicR!$6:$6, 0), FALSE),
            0
        )
)</f>
        <v>0</v>
      </c>
      <c r="AF50" s="36">
        <f t="array" ref="AF50">SUM(
    IFERROR(
            VLOOKUP($A50, INDIRECT("EneR!$A$6:$ZZ$1048576"), MATCH(AF$1, EneR!$6:$6, 0), FALSE),
            0
        ) +
        IFERROR(
            VLOOKUP($A50, INDIRECT("FebR!$A$6:$ZZ$1048576"), MATCH(AF$1, FebR!$6:$6, 0), FALSE),
            0
        ) +
        IFERROR(
            VLOOKUP($A50, INDIRECT("MarR!$A$6:$ZZ$1048576"), MATCH(AF$1, MarR!$6:$6, 0), FALSE),
            0
        ) +
        IFERROR(
            VLOOKUP($A50, INDIRECT("AbrR!$A$6:$ZZ$1048576"), MATCH(AF$1, AbrR!$6:$6, 0), FALSE),
            0
        ) +
        IFERROR(
            VLOOKUP($A50, INDIRECT("MayR!$A$6:$ZZ$1048576"), MATCH(AF$1, MayR!$6:$6, 0), FALSE),
            0
        ) +
        IFERROR(
            VLOOKUP($A50, INDIRECT("JunR!$A$6:$ZZ$1048576"), MATCH(AF$1, JunR!$6:$6, 0), FALSE),
            0
        ) +
        IFERROR(
            VLOOKUP($A50, INDIRECT("JulR!$A$6:$ZZ$1048576"), MATCH(AF$1, JulR!$6:$6, 0), FALSE),
            0
        ) +
        IFERROR(
            VLOOKUP($A50, INDIRECT("AgoR!$A$6:$ZZ$1048576"), MATCH(AF$1, AgoR!$6:$6, 0), FALSE),
            0
        ) +
        IFERROR(
            VLOOKUP($A50, INDIRECT("SepR!$A$6:$ZZ$1048576"), MATCH(AF$1, SepR!$6:$6, 0), FALSE),
            0
        ) +
        IFERROR(
            VLOOKUP($A50, INDIRECT("OctR!$A$6:$ZZ$1048576"), MATCH(AF$1, OctR!$6:$6, 0), FALSE),
            0
        ) +
        IFERROR(
            VLOOKUP($A50, INDIRECT("NovR!$A$6:$ZZ$1048576"), MATCH(AF$1, NovR!$6:$6, 0), FALSE),
            0
        ) +
        IFERROR(
            VLOOKUP($A50, INDIRECT("DicR!$A$6:$ZZ$1048576"), MATCH(AF$1, DicR!$6:$6, 0), FALSE),
            0
        )
)</f>
        <v>0</v>
      </c>
      <c r="AG50" s="37">
        <f t="array" ref="AG50">SUM(
    IFERROR(
            VLOOKUP($A50, INDIRECT("EneR!$A$6:$ZZ$1048576"), MATCH(AG$1, EneR!$6:$6, 0), FALSE),
            0
        ) +
        IFERROR(
            VLOOKUP($A50, INDIRECT("FebR!$A$6:$ZZ$1048576"), MATCH(AG$1, FebR!$6:$6, 0), FALSE),
            0
        ) +
        IFERROR(
            VLOOKUP($A50, INDIRECT("MarR!$A$6:$ZZ$1048576"), MATCH(AG$1, MarR!$6:$6, 0), FALSE),
            0
        ) +
        IFERROR(
            VLOOKUP($A50, INDIRECT("AbrR!$A$6:$ZZ$1048576"), MATCH(AG$1, AbrR!$6:$6, 0), FALSE),
            0
        ) +
        IFERROR(
            VLOOKUP($A50, INDIRECT("MayR!$A$6:$ZZ$1048576"), MATCH(AG$1, MayR!$6:$6, 0), FALSE),
            0
        ) +
        IFERROR(
            VLOOKUP($A50, INDIRECT("JunR!$A$6:$ZZ$1048576"), MATCH(AG$1, JunR!$6:$6, 0), FALSE),
            0
        ) +
        IFERROR(
            VLOOKUP($A50, INDIRECT("JulR!$A$6:$ZZ$1048576"), MATCH(AG$1, JulR!$6:$6, 0), FALSE),
            0
        ) +
        IFERROR(
            VLOOKUP($A50, INDIRECT("AgoR!$A$6:$ZZ$1048576"), MATCH(AG$1, AgoR!$6:$6, 0), FALSE),
            0
        ) +
        IFERROR(
            VLOOKUP($A50, INDIRECT("SepR!$A$6:$ZZ$1048576"), MATCH(AG$1, SepR!$6:$6, 0), FALSE),
            0
        ) +
        IFERROR(
            VLOOKUP($A50, INDIRECT("OctR!$A$6:$ZZ$1048576"), MATCH(AG$1, OctR!$6:$6, 0), FALSE),
            0
        ) +
        IFERROR(
            VLOOKUP($A50, INDIRECT("NovR!$A$6:$ZZ$1048576"), MATCH(AG$1, NovR!$6:$6, 0), FALSE),
            0
        ) +
        IFERROR(
            VLOOKUP($A50, INDIRECT("DicR!$A$6:$ZZ$1048576"), MATCH(AG$1, DicR!$6:$6, 0), FALSE),
            0
        )
)</f>
        <v>0</v>
      </c>
      <c r="AH50" s="36">
        <f t="array" ref="AH50">SUM(
    IFERROR(
            VLOOKUP($A50, INDIRECT("EneR!$A$6:$ZZ$1048576"), MATCH(AH$1, EneR!$6:$6, 0), FALSE),
            0
        ) +
        IFERROR(
            VLOOKUP($A50, INDIRECT("FebR!$A$6:$ZZ$1048576"), MATCH(AH$1, FebR!$6:$6, 0), FALSE),
            0
        ) +
        IFERROR(
            VLOOKUP($A50, INDIRECT("MarR!$A$6:$ZZ$1048576"), MATCH(AH$1, MarR!$6:$6, 0), FALSE),
            0
        ) +
        IFERROR(
            VLOOKUP($A50, INDIRECT("AbrR!$A$6:$ZZ$1048576"), MATCH(AH$1, AbrR!$6:$6, 0), FALSE),
            0
        ) +
        IFERROR(
            VLOOKUP($A50, INDIRECT("MayR!$A$6:$ZZ$1048576"), MATCH(AH$1, MayR!$6:$6, 0), FALSE),
            0
        ) +
        IFERROR(
            VLOOKUP($A50, INDIRECT("JunR!$A$6:$ZZ$1048576"), MATCH(AH$1, JunR!$6:$6, 0), FALSE),
            0
        ) +
        IFERROR(
            VLOOKUP($A50, INDIRECT("JulR!$A$6:$ZZ$1048576"), MATCH(AH$1, JulR!$6:$6, 0), FALSE),
            0
        ) +
        IFERROR(
            VLOOKUP($A50, INDIRECT("AgoR!$A$6:$ZZ$1048576"), MATCH(AH$1, AgoR!$6:$6, 0), FALSE),
            0
        ) +
        IFERROR(
            VLOOKUP($A50, INDIRECT("SepR!$A$6:$ZZ$1048576"), MATCH(AH$1, SepR!$6:$6, 0), FALSE),
            0
        ) +
        IFERROR(
            VLOOKUP($A50, INDIRECT("OctR!$A$6:$ZZ$1048576"), MATCH(AH$1, OctR!$6:$6, 0), FALSE),
            0
        ) +
        IFERROR(
            VLOOKUP($A50, INDIRECT("NovR!$A$6:$ZZ$1048576"), MATCH(AH$1, NovR!$6:$6, 0), FALSE),
            0
        ) +
        IFERROR(
            VLOOKUP($A50, INDIRECT("DicR!$A$6:$ZZ$1048576"), MATCH(AH$1, DicR!$6:$6, 0), FALSE),
            0
        )
)</f>
        <v>0</v>
      </c>
      <c r="AI50" s="37">
        <f t="array" ref="AI50">SUM(
    IFERROR(
            VLOOKUP($A50, INDIRECT("EneR!$A$6:$ZZ$1048576"), MATCH(AI$1, EneR!$6:$6, 0), FALSE),
            0
        ) +
        IFERROR(
            VLOOKUP($A50, INDIRECT("FebR!$A$6:$ZZ$1048576"), MATCH(AI$1, FebR!$6:$6, 0), FALSE),
            0
        ) +
        IFERROR(
            VLOOKUP($A50, INDIRECT("MarR!$A$6:$ZZ$1048576"), MATCH(AI$1, MarR!$6:$6, 0), FALSE),
            0
        ) +
        IFERROR(
            VLOOKUP($A50, INDIRECT("AbrR!$A$6:$ZZ$1048576"), MATCH(AI$1, AbrR!$6:$6, 0), FALSE),
            0
        ) +
        IFERROR(
            VLOOKUP($A50, INDIRECT("MayR!$A$6:$ZZ$1048576"), MATCH(AI$1, MayR!$6:$6, 0), FALSE),
            0
        ) +
        IFERROR(
            VLOOKUP($A50, INDIRECT("JunR!$A$6:$ZZ$1048576"), MATCH(AI$1, JunR!$6:$6, 0), FALSE),
            0
        ) +
        IFERROR(
            VLOOKUP($A50, INDIRECT("JulR!$A$6:$ZZ$1048576"), MATCH(AI$1, JulR!$6:$6, 0), FALSE),
            0
        ) +
        IFERROR(
            VLOOKUP($A50, INDIRECT("AgoR!$A$6:$ZZ$1048576"), MATCH(AI$1, AgoR!$6:$6, 0), FALSE),
            0
        ) +
        IFERROR(
            VLOOKUP($A50, INDIRECT("SepR!$A$6:$ZZ$1048576"), MATCH(AI$1, SepR!$6:$6, 0), FALSE),
            0
        ) +
        IFERROR(
            VLOOKUP($A50, INDIRECT("OctR!$A$6:$ZZ$1048576"), MATCH(AI$1, OctR!$6:$6, 0), FALSE),
            0
        ) +
        IFERROR(
            VLOOKUP($A50, INDIRECT("NovR!$A$6:$ZZ$1048576"), MATCH(AI$1, NovR!$6:$6, 0), FALSE),
            0
        ) +
        IFERROR(
            VLOOKUP($A50, INDIRECT("DicR!$A$6:$ZZ$1048576"), MATCH(AI$1, DicR!$6:$6, 0), FALSE),
            0
        )
)</f>
        <v>0</v>
      </c>
      <c r="AJ50" s="36">
        <f t="array" ref="AJ50">SUM(
    IFERROR(
            VLOOKUP($A50, INDIRECT("EneR!$A$6:$ZZ$1048576"), MATCH(AJ$1, EneR!$6:$6, 0), FALSE),
            0
        ) +
        IFERROR(
            VLOOKUP($A50, INDIRECT("FebR!$A$6:$ZZ$1048576"), MATCH(AJ$1, FebR!$6:$6, 0), FALSE),
            0
        ) +
        IFERROR(
            VLOOKUP($A50, INDIRECT("MarR!$A$6:$ZZ$1048576"), MATCH(AJ$1, MarR!$6:$6, 0), FALSE),
            0
        ) +
        IFERROR(
            VLOOKUP($A50, INDIRECT("AbrR!$A$6:$ZZ$1048576"), MATCH(AJ$1, AbrR!$6:$6, 0), FALSE),
            0
        ) +
        IFERROR(
            VLOOKUP($A50, INDIRECT("MayR!$A$6:$ZZ$1048576"), MATCH(AJ$1, MayR!$6:$6, 0), FALSE),
            0
        ) +
        IFERROR(
            VLOOKUP($A50, INDIRECT("JunR!$A$6:$ZZ$1048576"), MATCH(AJ$1, JunR!$6:$6, 0), FALSE),
            0
        ) +
        IFERROR(
            VLOOKUP($A50, INDIRECT("JulR!$A$6:$ZZ$1048576"), MATCH(AJ$1, JulR!$6:$6, 0), FALSE),
            0
        ) +
        IFERROR(
            VLOOKUP($A50, INDIRECT("AgoR!$A$6:$ZZ$1048576"), MATCH(AJ$1, AgoR!$6:$6, 0), FALSE),
            0
        ) +
        IFERROR(
            VLOOKUP($A50, INDIRECT("SepR!$A$6:$ZZ$1048576"), MATCH(AJ$1, SepR!$6:$6, 0), FALSE),
            0
        ) +
        IFERROR(
            VLOOKUP($A50, INDIRECT("OctR!$A$6:$ZZ$1048576"), MATCH(AJ$1, OctR!$6:$6, 0), FALSE),
            0
        ) +
        IFERROR(
            VLOOKUP($A50, INDIRECT("NovR!$A$6:$ZZ$1048576"), MATCH(AJ$1, NovR!$6:$6, 0), FALSE),
            0
        ) +
        IFERROR(
            VLOOKUP($A50, INDIRECT("DicR!$A$6:$ZZ$1048576"), MATCH(AJ$1, DicR!$6:$6, 0), FALSE),
            0
        )
)</f>
        <v>0</v>
      </c>
      <c r="AK50" s="37">
        <f t="array" ref="AK50">SUM(
    IFERROR(
            VLOOKUP($A50, INDIRECT("EneR!$A$6:$ZZ$1048576"), MATCH(AK$1, EneR!$6:$6, 0), FALSE),
            0
        ) +
        IFERROR(
            VLOOKUP($A50, INDIRECT("FebR!$A$6:$ZZ$1048576"), MATCH(AK$1, FebR!$6:$6, 0), FALSE),
            0
        ) +
        IFERROR(
            VLOOKUP($A50, INDIRECT("MarR!$A$6:$ZZ$1048576"), MATCH(AK$1, MarR!$6:$6, 0), FALSE),
            0
        ) +
        IFERROR(
            VLOOKUP($A50, INDIRECT("AbrR!$A$6:$ZZ$1048576"), MATCH(AK$1, AbrR!$6:$6, 0), FALSE),
            0
        ) +
        IFERROR(
            VLOOKUP($A50, INDIRECT("MayR!$A$6:$ZZ$1048576"), MATCH(AK$1, MayR!$6:$6, 0), FALSE),
            0
        ) +
        IFERROR(
            VLOOKUP($A50, INDIRECT("JunR!$A$6:$ZZ$1048576"), MATCH(AK$1, JunR!$6:$6, 0), FALSE),
            0
        ) +
        IFERROR(
            VLOOKUP($A50, INDIRECT("JulR!$A$6:$ZZ$1048576"), MATCH(AK$1, JulR!$6:$6, 0), FALSE),
            0
        ) +
        IFERROR(
            VLOOKUP($A50, INDIRECT("AgoR!$A$6:$ZZ$1048576"), MATCH(AK$1, AgoR!$6:$6, 0), FALSE),
            0
        ) +
        IFERROR(
            VLOOKUP($A50, INDIRECT("SepR!$A$6:$ZZ$1048576"), MATCH(AK$1, SepR!$6:$6, 0), FALSE),
            0
        ) +
        IFERROR(
            VLOOKUP($A50, INDIRECT("OctR!$A$6:$ZZ$1048576"), MATCH(AK$1, OctR!$6:$6, 0), FALSE),
            0
        ) +
        IFERROR(
            VLOOKUP($A50, INDIRECT("NovR!$A$6:$ZZ$1048576"), MATCH(AK$1, NovR!$6:$6, 0), FALSE),
            0
        ) +
        IFERROR(
            VLOOKUP($A50, INDIRECT("DicR!$A$6:$ZZ$1048576"), MATCH(AK$1, DicR!$6:$6, 0), FALSE),
            0
        )
)</f>
        <v>0</v>
      </c>
      <c r="AL50" s="36">
        <f t="array" ref="AL50">SUM(
    IFERROR(
            VLOOKUP($A50, INDIRECT("EneR!$A$6:$ZZ$1048576"), MATCH(AL$1, EneR!$6:$6, 0), FALSE),
            0
        ) +
        IFERROR(
            VLOOKUP($A50, INDIRECT("FebR!$A$6:$ZZ$1048576"), MATCH(AL$1, FebR!$6:$6, 0), FALSE),
            0
        ) +
        IFERROR(
            VLOOKUP($A50, INDIRECT("MarR!$A$6:$ZZ$1048576"), MATCH(AL$1, MarR!$6:$6, 0), FALSE),
            0
        ) +
        IFERROR(
            VLOOKUP($A50, INDIRECT("AbrR!$A$6:$ZZ$1048576"), MATCH(AL$1, AbrR!$6:$6, 0), FALSE),
            0
        ) +
        IFERROR(
            VLOOKUP($A50, INDIRECT("MayR!$A$6:$ZZ$1048576"), MATCH(AL$1, MayR!$6:$6, 0), FALSE),
            0
        ) +
        IFERROR(
            VLOOKUP($A50, INDIRECT("JunR!$A$6:$ZZ$1048576"), MATCH(AL$1, JunR!$6:$6, 0), FALSE),
            0
        ) +
        IFERROR(
            VLOOKUP($A50, INDIRECT("JulR!$A$6:$ZZ$1048576"), MATCH(AL$1, JulR!$6:$6, 0), FALSE),
            0
        ) +
        IFERROR(
            VLOOKUP($A50, INDIRECT("AgoR!$A$6:$ZZ$1048576"), MATCH(AL$1, AgoR!$6:$6, 0), FALSE),
            0
        ) +
        IFERROR(
            VLOOKUP($A50, INDIRECT("SepR!$A$6:$ZZ$1048576"), MATCH(AL$1, SepR!$6:$6, 0), FALSE),
            0
        ) +
        IFERROR(
            VLOOKUP($A50, INDIRECT("OctR!$A$6:$ZZ$1048576"), MATCH(AL$1, OctR!$6:$6, 0), FALSE),
            0
        ) +
        IFERROR(
            VLOOKUP($A50, INDIRECT("NovR!$A$6:$ZZ$1048576"), MATCH(AL$1, NovR!$6:$6, 0), FALSE),
            0
        ) +
        IFERROR(
            VLOOKUP($A50, INDIRECT("DicR!$A$6:$ZZ$1048576"), MATCH(AL$1, DicR!$6:$6, 0), FALSE),
            0
        )
)</f>
        <v>0</v>
      </c>
      <c r="AM50" s="37">
        <f t="array" ref="AM50">SUM(
    IFERROR(
            VLOOKUP($A50, INDIRECT("EneR!$A$6:$ZZ$1048576"), MATCH(AM$1, EneR!$6:$6, 0), FALSE),
            0
        ) +
        IFERROR(
            VLOOKUP($A50, INDIRECT("FebR!$A$6:$ZZ$1048576"), MATCH(AM$1, FebR!$6:$6, 0), FALSE),
            0
        ) +
        IFERROR(
            VLOOKUP($A50, INDIRECT("MarR!$A$6:$ZZ$1048576"), MATCH(AM$1, MarR!$6:$6, 0), FALSE),
            0
        ) +
        IFERROR(
            VLOOKUP($A50, INDIRECT("AbrR!$A$6:$ZZ$1048576"), MATCH(AM$1, AbrR!$6:$6, 0), FALSE),
            0
        ) +
        IFERROR(
            VLOOKUP($A50, INDIRECT("MayR!$A$6:$ZZ$1048576"), MATCH(AM$1, MayR!$6:$6, 0), FALSE),
            0
        ) +
        IFERROR(
            VLOOKUP($A50, INDIRECT("JunR!$A$6:$ZZ$1048576"), MATCH(AM$1, JunR!$6:$6, 0), FALSE),
            0
        ) +
        IFERROR(
            VLOOKUP($A50, INDIRECT("JulR!$A$6:$ZZ$1048576"), MATCH(AM$1, JulR!$6:$6, 0), FALSE),
            0
        ) +
        IFERROR(
            VLOOKUP($A50, INDIRECT("AgoR!$A$6:$ZZ$1048576"), MATCH(AM$1, AgoR!$6:$6, 0), FALSE),
            0
        ) +
        IFERROR(
            VLOOKUP($A50, INDIRECT("SepR!$A$6:$ZZ$1048576"), MATCH(AM$1, SepR!$6:$6, 0), FALSE),
            0
        ) +
        IFERROR(
            VLOOKUP($A50, INDIRECT("OctR!$A$6:$ZZ$1048576"), MATCH(AM$1, OctR!$6:$6, 0), FALSE),
            0
        ) +
        IFERROR(
            VLOOKUP($A50, INDIRECT("NovR!$A$6:$ZZ$1048576"), MATCH(AM$1, NovR!$6:$6, 0), FALSE),
            0
        ) +
        IFERROR(
            VLOOKUP($A50, INDIRECT("DicR!$A$6:$ZZ$1048576"), MATCH(AM$1, DicR!$6:$6, 0), FALSE),
            0
        )
)</f>
        <v>0</v>
      </c>
      <c r="AN50" s="32">
        <f t="array" ref="AN50">SUM(
    IFERROR(
            VLOOKUP($A50, INDIRECT("EneR!$A$6:$ZZ$1048576"), MATCH(AN$1, EneR!$6:$6, 0), FALSE),
            0
        ) +
        IFERROR(
            VLOOKUP($A50, INDIRECT("FebR!$A$6:$ZZ$1048576"), MATCH(AN$1, FebR!$6:$6, 0), FALSE),
            0
        ) +
        IFERROR(
            VLOOKUP($A50, INDIRECT("MarR!$A$6:$ZZ$1048576"), MATCH(AN$1, MarR!$6:$6, 0), FALSE),
            0
        ) +
        IFERROR(
            VLOOKUP($A50, INDIRECT("AbrR!$A$6:$ZZ$1048576"), MATCH(AN$1, AbrR!$6:$6, 0), FALSE),
            0
        ) +
        IFERROR(
            VLOOKUP($A50, INDIRECT("MayR!$A$6:$ZZ$1048576"), MATCH(AN$1, MayR!$6:$6, 0), FALSE),
            0
        ) +
        IFERROR(
            VLOOKUP($A50, INDIRECT("JunR!$A$6:$ZZ$1048576"), MATCH(AN$1, JunR!$6:$6, 0), FALSE),
            0
        ) +
        IFERROR(
            VLOOKUP($A50, INDIRECT("JulR!$A$6:$ZZ$1048576"), MATCH(AN$1, JulR!$6:$6, 0), FALSE),
            0
        ) +
        IFERROR(
            VLOOKUP($A50, INDIRECT("AgoR!$A$6:$ZZ$1048576"), MATCH(AN$1, AgoR!$6:$6, 0), FALSE),
            0
        ) +
        IFERROR(
            VLOOKUP($A50, INDIRECT("SepR!$A$6:$ZZ$1048576"), MATCH(AN$1, SepR!$6:$6, 0), FALSE),
            0
        ) +
        IFERROR(
            VLOOKUP($A50, INDIRECT("OctR!$A$6:$ZZ$1048576"), MATCH(AN$1, OctR!$6:$6, 0), FALSE),
            0
        ) +
        IFERROR(
            VLOOKUP($A50, INDIRECT("NovR!$A$6:$ZZ$1048576"), MATCH(AN$1, NovR!$6:$6, 0), FALSE),
            0
        ) +
        IFERROR(
            VLOOKUP($A50, INDIRECT("DicR!$A$6:$ZZ$1048576"), MATCH(AN$1, DicR!$6:$6, 0), FALSE),
            0
        )
)</f>
        <v>0</v>
      </c>
      <c r="AO50" s="35">
        <f t="array" ref="AO50">SUM(
    IFERROR(
            VLOOKUP($A50, INDIRECT("EneR!$A$6:$ZZ$1048576"), MATCH(AO$1, EneR!$6:$6, 0), FALSE),
            0
        ) +
        IFERROR(
            VLOOKUP($A50, INDIRECT("FebR!$A$6:$ZZ$1048576"), MATCH(AO$1, FebR!$6:$6, 0), FALSE),
            0
        ) +
        IFERROR(
            VLOOKUP($A50, INDIRECT("MarR!$A$6:$ZZ$1048576"), MATCH(AO$1, MarR!$6:$6, 0), FALSE),
            0
        ) +
        IFERROR(
            VLOOKUP($A50, INDIRECT("AbrR!$A$6:$ZZ$1048576"), MATCH(AO$1, AbrR!$6:$6, 0), FALSE),
            0
        ) +
        IFERROR(
            VLOOKUP($A50, INDIRECT("MayR!$A$6:$ZZ$1048576"), MATCH(AO$1, MayR!$6:$6, 0), FALSE),
            0
        ) +
        IFERROR(
            VLOOKUP($A50, INDIRECT("JunR!$A$6:$ZZ$1048576"), MATCH(AO$1, JunR!$6:$6, 0), FALSE),
            0
        ) +
        IFERROR(
            VLOOKUP($A50, INDIRECT("JulR!$A$6:$ZZ$1048576"), MATCH(AO$1, JulR!$6:$6, 0), FALSE),
            0
        ) +
        IFERROR(
            VLOOKUP($A50, INDIRECT("AgoR!$A$6:$ZZ$1048576"), MATCH(AO$1, AgoR!$6:$6, 0), FALSE),
            0
        ) +
        IFERROR(
            VLOOKUP($A50, INDIRECT("SepR!$A$6:$ZZ$1048576"), MATCH(AO$1, SepR!$6:$6, 0), FALSE),
            0
        ) +
        IFERROR(
            VLOOKUP($A50, INDIRECT("OctR!$A$6:$ZZ$1048576"), MATCH(AO$1, OctR!$6:$6, 0), FALSE),
            0
        ) +
        IFERROR(
            VLOOKUP($A50, INDIRECT("NovR!$A$6:$ZZ$1048576"), MATCH(AO$1, NovR!$6:$6, 0), FALSE),
            0
        ) +
        IFERROR(
            VLOOKUP($A50, INDIRECT("DicR!$A$6:$ZZ$1048576"), MATCH(AO$1, DicR!$6:$6, 0), FALSE),
            0
        )
)</f>
        <v>0</v>
      </c>
      <c r="AP50" s="36">
        <f t="array" ref="AP50">SUM(
    IFERROR(
            VLOOKUP($A50, INDIRECT("EneR!$A$6:$ZZ$1048576"), MATCH(AP$1, EneR!$6:$6, 0), FALSE),
            0
        ) +
        IFERROR(
            VLOOKUP($A50, INDIRECT("FebR!$A$6:$ZZ$1048576"), MATCH(AP$1, FebR!$6:$6, 0), FALSE),
            0
        ) +
        IFERROR(
            VLOOKUP($A50, INDIRECT("MarR!$A$6:$ZZ$1048576"), MATCH(AP$1, MarR!$6:$6, 0), FALSE),
            0
        ) +
        IFERROR(
            VLOOKUP($A50, INDIRECT("AbrR!$A$6:$ZZ$1048576"), MATCH(AP$1, AbrR!$6:$6, 0), FALSE),
            0
        ) +
        IFERROR(
            VLOOKUP($A50, INDIRECT("MayR!$A$6:$ZZ$1048576"), MATCH(AP$1, MayR!$6:$6, 0), FALSE),
            0
        ) +
        IFERROR(
            VLOOKUP($A50, INDIRECT("JunR!$A$6:$ZZ$1048576"), MATCH(AP$1, JunR!$6:$6, 0), FALSE),
            0
        ) +
        IFERROR(
            VLOOKUP($A50, INDIRECT("JulR!$A$6:$ZZ$1048576"), MATCH(AP$1, JulR!$6:$6, 0), FALSE),
            0
        ) +
        IFERROR(
            VLOOKUP($A50, INDIRECT("AgoR!$A$6:$ZZ$1048576"), MATCH(AP$1, AgoR!$6:$6, 0), FALSE),
            0
        ) +
        IFERROR(
            VLOOKUP($A50, INDIRECT("SepR!$A$6:$ZZ$1048576"), MATCH(AP$1, SepR!$6:$6, 0), FALSE),
            0
        ) +
        IFERROR(
            VLOOKUP($A50, INDIRECT("OctR!$A$6:$ZZ$1048576"), MATCH(AP$1, OctR!$6:$6, 0), FALSE),
            0
        ) +
        IFERROR(
            VLOOKUP($A50, INDIRECT("NovR!$A$6:$ZZ$1048576"), MATCH(AP$1, NovR!$6:$6, 0), FALSE),
            0
        ) +
        IFERROR(
            VLOOKUP($A50, INDIRECT("DicR!$A$6:$ZZ$1048576"), MATCH(AP$1, DicR!$6:$6, 0), FALSE),
            0
        )
)</f>
        <v>0</v>
      </c>
      <c r="AQ50" s="35">
        <f t="array" ref="AQ50">SUM(
    IFERROR(
            VLOOKUP($A50, INDIRECT("EneR!$A$6:$ZZ$1048576"), MATCH(AQ$1, EneR!$6:$6, 0), FALSE),
            0
        ) +
        IFERROR(
            VLOOKUP($A50, INDIRECT("FebR!$A$6:$ZZ$1048576"), MATCH(AQ$1, FebR!$6:$6, 0), FALSE),
            0
        ) +
        IFERROR(
            VLOOKUP($A50, INDIRECT("MarR!$A$6:$ZZ$1048576"), MATCH(AQ$1, MarR!$6:$6, 0), FALSE),
            0
        ) +
        IFERROR(
            VLOOKUP($A50, INDIRECT("AbrR!$A$6:$ZZ$1048576"), MATCH(AQ$1, AbrR!$6:$6, 0), FALSE),
            0
        ) +
        IFERROR(
            VLOOKUP($A50, INDIRECT("MayR!$A$6:$ZZ$1048576"), MATCH(AQ$1, MayR!$6:$6, 0), FALSE),
            0
        ) +
        IFERROR(
            VLOOKUP($A50, INDIRECT("JunR!$A$6:$ZZ$1048576"), MATCH(AQ$1, JunR!$6:$6, 0), FALSE),
            0
        ) +
        IFERROR(
            VLOOKUP($A50, INDIRECT("JulR!$A$6:$ZZ$1048576"), MATCH(AQ$1, JulR!$6:$6, 0), FALSE),
            0
        ) +
        IFERROR(
            VLOOKUP($A50, INDIRECT("AgoR!$A$6:$ZZ$1048576"), MATCH(AQ$1, AgoR!$6:$6, 0), FALSE),
            0
        ) +
        IFERROR(
            VLOOKUP($A50, INDIRECT("SepR!$A$6:$ZZ$1048576"), MATCH(AQ$1, SepR!$6:$6, 0), FALSE),
            0
        ) +
        IFERROR(
            VLOOKUP($A50, INDIRECT("OctR!$A$6:$ZZ$1048576"), MATCH(AQ$1, OctR!$6:$6, 0), FALSE),
            0
        ) +
        IFERROR(
            VLOOKUP($A50, INDIRECT("NovR!$A$6:$ZZ$1048576"), MATCH(AQ$1, NovR!$6:$6, 0), FALSE),
            0
        ) +
        IFERROR(
            VLOOKUP($A50, INDIRECT("DicR!$A$6:$ZZ$1048576"), MATCH(AQ$1, DicR!$6:$6, 0), FALSE),
            0
        )
)</f>
        <v>0</v>
      </c>
      <c r="AR50" s="36">
        <f t="array" ref="AR50">SUM(
    IFERROR(
            VLOOKUP($A50, INDIRECT("EneR!$A$6:$ZZ$1048576"), MATCH(AR$1, EneR!$6:$6, 0), FALSE),
            0
        ) +
        IFERROR(
            VLOOKUP($A50, INDIRECT("FebR!$A$6:$ZZ$1048576"), MATCH(AR$1, FebR!$6:$6, 0), FALSE),
            0
        ) +
        IFERROR(
            VLOOKUP($A50, INDIRECT("MarR!$A$6:$ZZ$1048576"), MATCH(AR$1, MarR!$6:$6, 0), FALSE),
            0
        ) +
        IFERROR(
            VLOOKUP($A50, INDIRECT("AbrR!$A$6:$ZZ$1048576"), MATCH(AR$1, AbrR!$6:$6, 0), FALSE),
            0
        ) +
        IFERROR(
            VLOOKUP($A50, INDIRECT("MayR!$A$6:$ZZ$1048576"), MATCH(AR$1, MayR!$6:$6, 0), FALSE),
            0
        ) +
        IFERROR(
            VLOOKUP($A50, INDIRECT("JunR!$A$6:$ZZ$1048576"), MATCH(AR$1, JunR!$6:$6, 0), FALSE),
            0
        ) +
        IFERROR(
            VLOOKUP($A50, INDIRECT("JulR!$A$6:$ZZ$1048576"), MATCH(AR$1, JulR!$6:$6, 0), FALSE),
            0
        ) +
        IFERROR(
            VLOOKUP($A50, INDIRECT("AgoR!$A$6:$ZZ$1048576"), MATCH(AR$1, AgoR!$6:$6, 0), FALSE),
            0
        ) +
        IFERROR(
            VLOOKUP($A50, INDIRECT("SepR!$A$6:$ZZ$1048576"), MATCH(AR$1, SepR!$6:$6, 0), FALSE),
            0
        ) +
        IFERROR(
            VLOOKUP($A50, INDIRECT("OctR!$A$6:$ZZ$1048576"), MATCH(AR$1, OctR!$6:$6, 0), FALSE),
            0
        ) +
        IFERROR(
            VLOOKUP($A50, INDIRECT("NovR!$A$6:$ZZ$1048576"), MATCH(AR$1, NovR!$6:$6, 0), FALSE),
            0
        ) +
        IFERROR(
            VLOOKUP($A50, INDIRECT("DicR!$A$6:$ZZ$1048576"), MATCH(AR$1, DicR!$6:$6, 0), FALSE),
            0
        )
)</f>
        <v>0</v>
      </c>
      <c r="AS50" s="35">
        <f t="array" ref="AS50">SUM(
    IFERROR(
            VLOOKUP($A50, INDIRECT("EneR!$A$6:$ZZ$1048576"), MATCH(AS$1, EneR!$6:$6, 0), FALSE),
            0
        ) +
        IFERROR(
            VLOOKUP($A50, INDIRECT("FebR!$A$6:$ZZ$1048576"), MATCH(AS$1, FebR!$6:$6, 0), FALSE),
            0
        ) +
        IFERROR(
            VLOOKUP($A50, INDIRECT("MarR!$A$6:$ZZ$1048576"), MATCH(AS$1, MarR!$6:$6, 0), FALSE),
            0
        ) +
        IFERROR(
            VLOOKUP($A50, INDIRECT("AbrR!$A$6:$ZZ$1048576"), MATCH(AS$1, AbrR!$6:$6, 0), FALSE),
            0
        ) +
        IFERROR(
            VLOOKUP($A50, INDIRECT("MayR!$A$6:$ZZ$1048576"), MATCH(AS$1, MayR!$6:$6, 0), FALSE),
            0
        ) +
        IFERROR(
            VLOOKUP($A50, INDIRECT("JunR!$A$6:$ZZ$1048576"), MATCH(AS$1, JunR!$6:$6, 0), FALSE),
            0
        ) +
        IFERROR(
            VLOOKUP($A50, INDIRECT("JulR!$A$6:$ZZ$1048576"), MATCH(AS$1, JulR!$6:$6, 0), FALSE),
            0
        ) +
        IFERROR(
            VLOOKUP($A50, INDIRECT("AgoR!$A$6:$ZZ$1048576"), MATCH(AS$1, AgoR!$6:$6, 0), FALSE),
            0
        ) +
        IFERROR(
            VLOOKUP($A50, INDIRECT("SepR!$A$6:$ZZ$1048576"), MATCH(AS$1, SepR!$6:$6, 0), FALSE),
            0
        ) +
        IFERROR(
            VLOOKUP($A50, INDIRECT("OctR!$A$6:$ZZ$1048576"), MATCH(AS$1, OctR!$6:$6, 0), FALSE),
            0
        ) +
        IFERROR(
            VLOOKUP($A50, INDIRECT("NovR!$A$6:$ZZ$1048576"), MATCH(AS$1, NovR!$6:$6, 0), FALSE),
            0
        ) +
        IFERROR(
            VLOOKUP($A50, INDIRECT("DicR!$A$6:$ZZ$1048576"), MATCH(AS$1, DicR!$6:$6, 0), FALSE),
            0
        )
)</f>
        <v>0</v>
      </c>
      <c r="AT50" s="36">
        <f t="array" ref="AT50">SUM(
    IFERROR(
            VLOOKUP($A50, INDIRECT("EneR!$A$6:$ZZ$1048576"), MATCH(AT$1, EneR!$6:$6, 0), FALSE),
            0
        ) +
        IFERROR(
            VLOOKUP($A50, INDIRECT("FebR!$A$6:$ZZ$1048576"), MATCH(AT$1, FebR!$6:$6, 0), FALSE),
            0
        ) +
        IFERROR(
            VLOOKUP($A50, INDIRECT("MarR!$A$6:$ZZ$1048576"), MATCH(AT$1, MarR!$6:$6, 0), FALSE),
            0
        ) +
        IFERROR(
            VLOOKUP($A50, INDIRECT("AbrR!$A$6:$ZZ$1048576"), MATCH(AT$1, AbrR!$6:$6, 0), FALSE),
            0
        ) +
        IFERROR(
            VLOOKUP($A50, INDIRECT("MayR!$A$6:$ZZ$1048576"), MATCH(AT$1, MayR!$6:$6, 0), FALSE),
            0
        ) +
        IFERROR(
            VLOOKUP($A50, INDIRECT("JunR!$A$6:$ZZ$1048576"), MATCH(AT$1, JunR!$6:$6, 0), FALSE),
            0
        ) +
        IFERROR(
            VLOOKUP($A50, INDIRECT("JulR!$A$6:$ZZ$1048576"), MATCH(AT$1, JulR!$6:$6, 0), FALSE),
            0
        ) +
        IFERROR(
            VLOOKUP($A50, INDIRECT("AgoR!$A$6:$ZZ$1048576"), MATCH(AT$1, AgoR!$6:$6, 0), FALSE),
            0
        ) +
        IFERROR(
            VLOOKUP($A50, INDIRECT("SepR!$A$6:$ZZ$1048576"), MATCH(AT$1, SepR!$6:$6, 0), FALSE),
            0
        ) +
        IFERROR(
            VLOOKUP($A50, INDIRECT("OctR!$A$6:$ZZ$1048576"), MATCH(AT$1, OctR!$6:$6, 0), FALSE),
            0
        ) +
        IFERROR(
            VLOOKUP($A50, INDIRECT("NovR!$A$6:$ZZ$1048576"), MATCH(AT$1, NovR!$6:$6, 0), FALSE),
            0
        ) +
        IFERROR(
            VLOOKUP($A50, INDIRECT("DicR!$A$6:$ZZ$1048576"), MATCH(AT$1, DicR!$6:$6, 0), FALSE),
            0
        )
)</f>
        <v>0</v>
      </c>
      <c r="AU50" s="35">
        <f t="array" ref="AU50">SUM(
    IFERROR(
            VLOOKUP($A50, INDIRECT("EneR!$A$6:$ZZ$1048576"), MATCH(AU$1, EneR!$6:$6, 0), FALSE),
            0
        ) +
        IFERROR(
            VLOOKUP($A50, INDIRECT("FebR!$A$6:$ZZ$1048576"), MATCH(AU$1, FebR!$6:$6, 0), FALSE),
            0
        ) +
        IFERROR(
            VLOOKUP($A50, INDIRECT("MarR!$A$6:$ZZ$1048576"), MATCH(AU$1, MarR!$6:$6, 0), FALSE),
            0
        ) +
        IFERROR(
            VLOOKUP($A50, INDIRECT("AbrR!$A$6:$ZZ$1048576"), MATCH(AU$1, AbrR!$6:$6, 0), FALSE),
            0
        ) +
        IFERROR(
            VLOOKUP($A50, INDIRECT("MayR!$A$6:$ZZ$1048576"), MATCH(AU$1, MayR!$6:$6, 0), FALSE),
            0
        ) +
        IFERROR(
            VLOOKUP($A50, INDIRECT("JunR!$A$6:$ZZ$1048576"), MATCH(AU$1, JunR!$6:$6, 0), FALSE),
            0
        ) +
        IFERROR(
            VLOOKUP($A50, INDIRECT("JulR!$A$6:$ZZ$1048576"), MATCH(AU$1, JulR!$6:$6, 0), FALSE),
            0
        ) +
        IFERROR(
            VLOOKUP($A50, INDIRECT("AgoR!$A$6:$ZZ$1048576"), MATCH(AU$1, AgoR!$6:$6, 0), FALSE),
            0
        ) +
        IFERROR(
            VLOOKUP($A50, INDIRECT("SepR!$A$6:$ZZ$1048576"), MATCH(AU$1, SepR!$6:$6, 0), FALSE),
            0
        ) +
        IFERROR(
            VLOOKUP($A50, INDIRECT("OctR!$A$6:$ZZ$1048576"), MATCH(AU$1, OctR!$6:$6, 0), FALSE),
            0
        ) +
        IFERROR(
            VLOOKUP($A50, INDIRECT("NovR!$A$6:$ZZ$1048576"), MATCH(AU$1, NovR!$6:$6, 0), FALSE),
            0
        ) +
        IFERROR(
            VLOOKUP($A50, INDIRECT("DicR!$A$6:$ZZ$1048576"), MATCH(AU$1, DicR!$6:$6, 0), FALSE),
            0
        )
)</f>
        <v>0</v>
      </c>
      <c r="AV50" s="36">
        <f t="array" ref="AV50">SUM(
    IFERROR(
            VLOOKUP($A50, INDIRECT("EneR!$A$6:$ZZ$1048576"), MATCH(AV$1, EneR!$6:$6, 0), FALSE),
            0
        ) +
        IFERROR(
            VLOOKUP($A50, INDIRECT("FebR!$A$6:$ZZ$1048576"), MATCH(AV$1, FebR!$6:$6, 0), FALSE),
            0
        ) +
        IFERROR(
            VLOOKUP($A50, INDIRECT("MarR!$A$6:$ZZ$1048576"), MATCH(AV$1, MarR!$6:$6, 0), FALSE),
            0
        ) +
        IFERROR(
            VLOOKUP($A50, INDIRECT("AbrR!$A$6:$ZZ$1048576"), MATCH(AV$1, AbrR!$6:$6, 0), FALSE),
            0
        ) +
        IFERROR(
            VLOOKUP($A50, INDIRECT("MayR!$A$6:$ZZ$1048576"), MATCH(AV$1, MayR!$6:$6, 0), FALSE),
            0
        ) +
        IFERROR(
            VLOOKUP($A50, INDIRECT("JunR!$A$6:$ZZ$1048576"), MATCH(AV$1, JunR!$6:$6, 0), FALSE),
            0
        ) +
        IFERROR(
            VLOOKUP($A50, INDIRECT("JulR!$A$6:$ZZ$1048576"), MATCH(AV$1, JulR!$6:$6, 0), FALSE),
            0
        ) +
        IFERROR(
            VLOOKUP($A50, INDIRECT("AgoR!$A$6:$ZZ$1048576"), MATCH(AV$1, AgoR!$6:$6, 0), FALSE),
            0
        ) +
        IFERROR(
            VLOOKUP($A50, INDIRECT("SepR!$A$6:$ZZ$1048576"), MATCH(AV$1, SepR!$6:$6, 0), FALSE),
            0
        ) +
        IFERROR(
            VLOOKUP($A50, INDIRECT("OctR!$A$6:$ZZ$1048576"), MATCH(AV$1, OctR!$6:$6, 0), FALSE),
            0
        ) +
        IFERROR(
            VLOOKUP($A50, INDIRECT("NovR!$A$6:$ZZ$1048576"), MATCH(AV$1, NovR!$6:$6, 0), FALSE),
            0
        ) +
        IFERROR(
            VLOOKUP($A50, INDIRECT("DicR!$A$6:$ZZ$1048576"), MATCH(AV$1, DicR!$6:$6, 0), FALSE),
            0
        )
)</f>
        <v>0</v>
      </c>
      <c r="AW50" s="35">
        <f t="array" ref="AW50">SUM(
    IFERROR(
            VLOOKUP($A50, INDIRECT("EneR!$A$6:$ZZ$1048576"), MATCH(AW$1, EneR!$6:$6, 0), FALSE),
            0
        ) +
        IFERROR(
            VLOOKUP($A50, INDIRECT("FebR!$A$6:$ZZ$1048576"), MATCH(AW$1, FebR!$6:$6, 0), FALSE),
            0
        ) +
        IFERROR(
            VLOOKUP($A50, INDIRECT("MarR!$A$6:$ZZ$1048576"), MATCH(AW$1, MarR!$6:$6, 0), FALSE),
            0
        ) +
        IFERROR(
            VLOOKUP($A50, INDIRECT("AbrR!$A$6:$ZZ$1048576"), MATCH(AW$1, AbrR!$6:$6, 0), FALSE),
            0
        ) +
        IFERROR(
            VLOOKUP($A50, INDIRECT("MayR!$A$6:$ZZ$1048576"), MATCH(AW$1, MayR!$6:$6, 0), FALSE),
            0
        ) +
        IFERROR(
            VLOOKUP($A50, INDIRECT("JunR!$A$6:$ZZ$1048576"), MATCH(AW$1, JunR!$6:$6, 0), FALSE),
            0
        ) +
        IFERROR(
            VLOOKUP($A50, INDIRECT("JulR!$A$6:$ZZ$1048576"), MATCH(AW$1, JulR!$6:$6, 0), FALSE),
            0
        ) +
        IFERROR(
            VLOOKUP($A50, INDIRECT("AgoR!$A$6:$ZZ$1048576"), MATCH(AW$1, AgoR!$6:$6, 0), FALSE),
            0
        ) +
        IFERROR(
            VLOOKUP($A50, INDIRECT("SepR!$A$6:$ZZ$1048576"), MATCH(AW$1, SepR!$6:$6, 0), FALSE),
            0
        ) +
        IFERROR(
            VLOOKUP($A50, INDIRECT("OctR!$A$6:$ZZ$1048576"), MATCH(AW$1, OctR!$6:$6, 0), FALSE),
            0
        ) +
        IFERROR(
            VLOOKUP($A50, INDIRECT("NovR!$A$6:$ZZ$1048576"), MATCH(AW$1, NovR!$6:$6, 0), FALSE),
            0
        ) +
        IFERROR(
            VLOOKUP($A50, INDIRECT("DicR!$A$6:$ZZ$1048576"), MATCH(AW$1, DicR!$6:$6, 0), FALSE),
            0
        )
)</f>
        <v>0</v>
      </c>
      <c r="AX50" s="36">
        <f t="array" ref="AX50">SUM(
    IFERROR(
            VLOOKUP($A50, INDIRECT("EneR!$A$6:$ZZ$1048576"), MATCH(AX$1, EneR!$6:$6, 0), FALSE),
            0
        ) +
        IFERROR(
            VLOOKUP($A50, INDIRECT("FebR!$A$6:$ZZ$1048576"), MATCH(AX$1, FebR!$6:$6, 0), FALSE),
            0
        ) +
        IFERROR(
            VLOOKUP($A50, INDIRECT("MarR!$A$6:$ZZ$1048576"), MATCH(AX$1, MarR!$6:$6, 0), FALSE),
            0
        ) +
        IFERROR(
            VLOOKUP($A50, INDIRECT("AbrR!$A$6:$ZZ$1048576"), MATCH(AX$1, AbrR!$6:$6, 0), FALSE),
            0
        ) +
        IFERROR(
            VLOOKUP($A50, INDIRECT("MayR!$A$6:$ZZ$1048576"), MATCH(AX$1, MayR!$6:$6, 0), FALSE),
            0
        ) +
        IFERROR(
            VLOOKUP($A50, INDIRECT("JunR!$A$6:$ZZ$1048576"), MATCH(AX$1, JunR!$6:$6, 0), FALSE),
            0
        ) +
        IFERROR(
            VLOOKUP($A50, INDIRECT("JulR!$A$6:$ZZ$1048576"), MATCH(AX$1, JulR!$6:$6, 0), FALSE),
            0
        ) +
        IFERROR(
            VLOOKUP($A50, INDIRECT("AgoR!$A$6:$ZZ$1048576"), MATCH(AX$1, AgoR!$6:$6, 0), FALSE),
            0
        ) +
        IFERROR(
            VLOOKUP($A50, INDIRECT("SepR!$A$6:$ZZ$1048576"), MATCH(AX$1, SepR!$6:$6, 0), FALSE),
            0
        ) +
        IFERROR(
            VLOOKUP($A50, INDIRECT("OctR!$A$6:$ZZ$1048576"), MATCH(AX$1, OctR!$6:$6, 0), FALSE),
            0
        ) +
        IFERROR(
            VLOOKUP($A50, INDIRECT("NovR!$A$6:$ZZ$1048576"), MATCH(AX$1, NovR!$6:$6, 0), FALSE),
            0
        ) +
        IFERROR(
            VLOOKUP($A50, INDIRECT("DicR!$A$6:$ZZ$1048576"), MATCH(AX$1, DicR!$6:$6, 0), FALSE),
            0
        )
)</f>
        <v>0</v>
      </c>
      <c r="AY50" s="35">
        <f t="array" ref="AY50">SUM(
    IFERROR(
            VLOOKUP($A50, INDIRECT("EneR!$A$6:$ZZ$1048576"), MATCH(AY$1, EneR!$6:$6, 0), FALSE),
            0
        ) +
        IFERROR(
            VLOOKUP($A50, INDIRECT("FebR!$A$6:$ZZ$1048576"), MATCH(AY$1, FebR!$6:$6, 0), FALSE),
            0
        ) +
        IFERROR(
            VLOOKUP($A50, INDIRECT("MarR!$A$6:$ZZ$1048576"), MATCH(AY$1, MarR!$6:$6, 0), FALSE),
            0
        ) +
        IFERROR(
            VLOOKUP($A50, INDIRECT("AbrR!$A$6:$ZZ$1048576"), MATCH(AY$1, AbrR!$6:$6, 0), FALSE),
            0
        ) +
        IFERROR(
            VLOOKUP($A50, INDIRECT("MayR!$A$6:$ZZ$1048576"), MATCH(AY$1, MayR!$6:$6, 0), FALSE),
            0
        ) +
        IFERROR(
            VLOOKUP($A50, INDIRECT("JunR!$A$6:$ZZ$1048576"), MATCH(AY$1, JunR!$6:$6, 0), FALSE),
            0
        ) +
        IFERROR(
            VLOOKUP($A50, INDIRECT("JulR!$A$6:$ZZ$1048576"), MATCH(AY$1, JulR!$6:$6, 0), FALSE),
            0
        ) +
        IFERROR(
            VLOOKUP($A50, INDIRECT("AgoR!$A$6:$ZZ$1048576"), MATCH(AY$1, AgoR!$6:$6, 0), FALSE),
            0
        ) +
        IFERROR(
            VLOOKUP($A50, INDIRECT("SepR!$A$6:$ZZ$1048576"), MATCH(AY$1, SepR!$6:$6, 0), FALSE),
            0
        ) +
        IFERROR(
            VLOOKUP($A50, INDIRECT("OctR!$A$6:$ZZ$1048576"), MATCH(AY$1, OctR!$6:$6, 0), FALSE),
            0
        ) +
        IFERROR(
            VLOOKUP($A50, INDIRECT("NovR!$A$6:$ZZ$1048576"), MATCH(AY$1, NovR!$6:$6, 0), FALSE),
            0
        ) +
        IFERROR(
            VLOOKUP($A50, INDIRECT("DicR!$A$6:$ZZ$1048576"), MATCH(AY$1, DicR!$6:$6, 0), FALSE),
            0
        )
)</f>
        <v>0</v>
      </c>
      <c r="AZ50" s="35"/>
    </row>
    <row r="51" ht="15.75" customHeight="1">
      <c r="A51" s="12" t="str">
        <f>Menus!B12</f>
        <v/>
      </c>
      <c r="B51" s="32">
        <f t="shared" si="9"/>
        <v>0</v>
      </c>
      <c r="C51" s="33" t="str">
        <f t="shared" si="10"/>
        <v/>
      </c>
      <c r="D51" s="34">
        <f t="array" ref="D51">SUM(
    IFERROR(
            VLOOKUP($A51, INDIRECT("EneR!$A$6:$ZZ$1048576"), MATCH(D$1, EneR!$6:$6, 0), FALSE),
            0
        ) +
        IFERROR(
            VLOOKUP($A51, INDIRECT("FebR!$A$6:$ZZ$1048576"), MATCH(D$1, FebR!$6:$6, 0), FALSE),
            0
        ) +
        IFERROR(
            VLOOKUP($A51, INDIRECT("MarR!$A$6:$ZZ$1048576"), MATCH(D$1, MarR!$6:$6, 0), FALSE),
            0
        ) +
        IFERROR(
            VLOOKUP($A51, INDIRECT("AbrR!$A$6:$ZZ$1048576"), MATCH(D$1, AbrR!$6:$6, 0), FALSE),
            0
        ) +
        IFERROR(
            VLOOKUP($A51, INDIRECT("MayR!$A$6:$ZZ$1048576"), MATCH(D$1, MayR!$6:$6, 0), FALSE),
            0
        ) +
        IFERROR(
            VLOOKUP($A51, INDIRECT("JunR!$A$6:$ZZ$1048576"), MATCH(D$1, JunR!$6:$6, 0), FALSE),
            0
        ) +
        IFERROR(
            VLOOKUP($A51, INDIRECT("JulR!$A$6:$ZZ$1048576"), MATCH(D$1, JulR!$6:$6, 0), FALSE),
            0
        ) +
        IFERROR(
            VLOOKUP($A51, INDIRECT("AgoR!$A$6:$ZZ$1048576"), MATCH(D$1, AgoR!$6:$6, 0), FALSE),
            0
        ) +
        IFERROR(
            VLOOKUP($A51, INDIRECT("SepR!$A$6:$ZZ$1048576"), MATCH(D$1, SepR!$6:$6, 0), FALSE),
            0
        ) +
        IFERROR(
            VLOOKUP($A51, INDIRECT("OctR!$A$6:$ZZ$1048576"), MATCH(D$1, OctR!$6:$6, 0), FALSE),
            0
        ) +
        IFERROR(
            VLOOKUP($A51, INDIRECT("NovR!$A$6:$ZZ$1048576"), MATCH(D$1, NovR!$6:$6, 0), FALSE),
            0
        ) +
        IFERROR(
            VLOOKUP($A51, INDIRECT("DicR!$A$6:$ZZ$1048576"), MATCH(D$1, DicR!$6:$6, 0), FALSE),
            0
        )
)</f>
        <v>0</v>
      </c>
      <c r="E51" s="35">
        <f t="array" ref="E51">SUM(
    IFERROR(
            VLOOKUP($A51, INDIRECT("EneR!$A$6:$ZZ$1048576"), MATCH(E$1, EneR!$6:$6, 0), FALSE),
            0
        ) +
        IFERROR(
            VLOOKUP($A51, INDIRECT("FebR!$A$6:$ZZ$1048576"), MATCH(E$1, FebR!$6:$6, 0), FALSE),
            0
        ) +
        IFERROR(
            VLOOKUP($A51, INDIRECT("MarR!$A$6:$ZZ$1048576"), MATCH(E$1, MarR!$6:$6, 0), FALSE),
            0
        ) +
        IFERROR(
            VLOOKUP($A51, INDIRECT("AbrR!$A$6:$ZZ$1048576"), MATCH(E$1, AbrR!$6:$6, 0), FALSE),
            0
        ) +
        IFERROR(
            VLOOKUP($A51, INDIRECT("MayR!$A$6:$ZZ$1048576"), MATCH(E$1, MayR!$6:$6, 0), FALSE),
            0
        ) +
        IFERROR(
            VLOOKUP($A51, INDIRECT("JunR!$A$6:$ZZ$1048576"), MATCH(E$1, JunR!$6:$6, 0), FALSE),
            0
        ) +
        IFERROR(
            VLOOKUP($A51, INDIRECT("JulR!$A$6:$ZZ$1048576"), MATCH(E$1, JulR!$6:$6, 0), FALSE),
            0
        ) +
        IFERROR(
            VLOOKUP($A51, INDIRECT("AgoR!$A$6:$ZZ$1048576"), MATCH(E$1, AgoR!$6:$6, 0), FALSE),
            0
        ) +
        IFERROR(
            VLOOKUP($A51, INDIRECT("SepR!$A$6:$ZZ$1048576"), MATCH(E$1, SepR!$6:$6, 0), FALSE),
            0
        ) +
        IFERROR(
            VLOOKUP($A51, INDIRECT("OctR!$A$6:$ZZ$1048576"), MATCH(E$1, OctR!$6:$6, 0), FALSE),
            0
        ) +
        IFERROR(
            VLOOKUP($A51, INDIRECT("NovR!$A$6:$ZZ$1048576"), MATCH(E$1, NovR!$6:$6, 0), FALSE),
            0
        ) +
        IFERROR(
            VLOOKUP($A51, INDIRECT("DicR!$A$6:$ZZ$1048576"), MATCH(E$1, DicR!$6:$6, 0), FALSE),
            0
        )
)</f>
        <v>0</v>
      </c>
      <c r="F51" s="32">
        <f t="array" ref="F51">SUM(
    IFERROR(
            VLOOKUP($A51, INDIRECT("EneR!$A$6:$ZZ$1048576"), MATCH(F$1, EneR!$6:$6, 0), FALSE),
            0
        ) +
        IFERROR(
            VLOOKUP($A51, INDIRECT("FebR!$A$6:$ZZ$1048576"), MATCH(F$1, FebR!$6:$6, 0), FALSE),
            0
        ) +
        IFERROR(
            VLOOKUP($A51, INDIRECT("MarR!$A$6:$ZZ$1048576"), MATCH(F$1, MarR!$6:$6, 0), FALSE),
            0
        ) +
        IFERROR(
            VLOOKUP($A51, INDIRECT("AbrR!$A$6:$ZZ$1048576"), MATCH(F$1, AbrR!$6:$6, 0), FALSE),
            0
        ) +
        IFERROR(
            VLOOKUP($A51, INDIRECT("MayR!$A$6:$ZZ$1048576"), MATCH(F$1, MayR!$6:$6, 0), FALSE),
            0
        ) +
        IFERROR(
            VLOOKUP($A51, INDIRECT("JunR!$A$6:$ZZ$1048576"), MATCH(F$1, JunR!$6:$6, 0), FALSE),
            0
        ) +
        IFERROR(
            VLOOKUP($A51, INDIRECT("JulR!$A$6:$ZZ$1048576"), MATCH(F$1, JulR!$6:$6, 0), FALSE),
            0
        ) +
        IFERROR(
            VLOOKUP($A51, INDIRECT("AgoR!$A$6:$ZZ$1048576"), MATCH(F$1, AgoR!$6:$6, 0), FALSE),
            0
        ) +
        IFERROR(
            VLOOKUP($A51, INDIRECT("SepR!$A$6:$ZZ$1048576"), MATCH(F$1, SepR!$6:$6, 0), FALSE),
            0
        ) +
        IFERROR(
            VLOOKUP($A51, INDIRECT("OctR!$A$6:$ZZ$1048576"), MATCH(F$1, OctR!$6:$6, 0), FALSE),
            0
        ) +
        IFERROR(
            VLOOKUP($A51, INDIRECT("NovR!$A$6:$ZZ$1048576"), MATCH(F$1, NovR!$6:$6, 0), FALSE),
            0
        ) +
        IFERROR(
            VLOOKUP($A51, INDIRECT("DicR!$A$6:$ZZ$1048576"), MATCH(F$1, DicR!$6:$6, 0), FALSE),
            0
        )
)</f>
        <v>0</v>
      </c>
      <c r="G51" s="35">
        <f t="array" ref="G51">SUM(
    IFERROR(
            VLOOKUP($A51, INDIRECT("EneR!$A$6:$ZZ$1048576"), MATCH(G$1, EneR!$6:$6, 0), FALSE),
            0
        ) +
        IFERROR(
            VLOOKUP($A51, INDIRECT("FebR!$A$6:$ZZ$1048576"), MATCH(G$1, FebR!$6:$6, 0), FALSE),
            0
        ) +
        IFERROR(
            VLOOKUP($A51, INDIRECT("MarR!$A$6:$ZZ$1048576"), MATCH(G$1, MarR!$6:$6, 0), FALSE),
            0
        ) +
        IFERROR(
            VLOOKUP($A51, INDIRECT("AbrR!$A$6:$ZZ$1048576"), MATCH(G$1, AbrR!$6:$6, 0), FALSE),
            0
        ) +
        IFERROR(
            VLOOKUP($A51, INDIRECT("MayR!$A$6:$ZZ$1048576"), MATCH(G$1, MayR!$6:$6, 0), FALSE),
            0
        ) +
        IFERROR(
            VLOOKUP($A51, INDIRECT("JunR!$A$6:$ZZ$1048576"), MATCH(G$1, JunR!$6:$6, 0), FALSE),
            0
        ) +
        IFERROR(
            VLOOKUP($A51, INDIRECT("JulR!$A$6:$ZZ$1048576"), MATCH(G$1, JulR!$6:$6, 0), FALSE),
            0
        ) +
        IFERROR(
            VLOOKUP($A51, INDIRECT("AgoR!$A$6:$ZZ$1048576"), MATCH(G$1, AgoR!$6:$6, 0), FALSE),
            0
        ) +
        IFERROR(
            VLOOKUP($A51, INDIRECT("SepR!$A$6:$ZZ$1048576"), MATCH(G$1, SepR!$6:$6, 0), FALSE),
            0
        ) +
        IFERROR(
            VLOOKUP($A51, INDIRECT("OctR!$A$6:$ZZ$1048576"), MATCH(G$1, OctR!$6:$6, 0), FALSE),
            0
        ) +
        IFERROR(
            VLOOKUP($A51, INDIRECT("NovR!$A$6:$ZZ$1048576"), MATCH(G$1, NovR!$6:$6, 0), FALSE),
            0
        ) +
        IFERROR(
            VLOOKUP($A51, INDIRECT("DicR!$A$6:$ZZ$1048576"), MATCH(G$1, DicR!$6:$6, 0), FALSE),
            0
        )
)</f>
        <v>0</v>
      </c>
      <c r="H51" s="32">
        <f t="array" ref="H51">SUM(
    IFERROR(
            VLOOKUP($A51, INDIRECT("EneR!$A$6:$ZZ$1048576"), MATCH(H$1, EneR!$6:$6, 0), FALSE),
            0
        ) +
        IFERROR(
            VLOOKUP($A51, INDIRECT("FebR!$A$6:$ZZ$1048576"), MATCH(H$1, FebR!$6:$6, 0), FALSE),
            0
        ) +
        IFERROR(
            VLOOKUP($A51, INDIRECT("MarR!$A$6:$ZZ$1048576"), MATCH(H$1, MarR!$6:$6, 0), FALSE),
            0
        ) +
        IFERROR(
            VLOOKUP($A51, INDIRECT("AbrR!$A$6:$ZZ$1048576"), MATCH(H$1, AbrR!$6:$6, 0), FALSE),
            0
        ) +
        IFERROR(
            VLOOKUP($A51, INDIRECT("MayR!$A$6:$ZZ$1048576"), MATCH(H$1, MayR!$6:$6, 0), FALSE),
            0
        ) +
        IFERROR(
            VLOOKUP($A51, INDIRECT("JunR!$A$6:$ZZ$1048576"), MATCH(H$1, JunR!$6:$6, 0), FALSE),
            0
        ) +
        IFERROR(
            VLOOKUP($A51, INDIRECT("JulR!$A$6:$ZZ$1048576"), MATCH(H$1, JulR!$6:$6, 0), FALSE),
            0
        ) +
        IFERROR(
            VLOOKUP($A51, INDIRECT("AgoR!$A$6:$ZZ$1048576"), MATCH(H$1, AgoR!$6:$6, 0), FALSE),
            0
        ) +
        IFERROR(
            VLOOKUP($A51, INDIRECT("SepR!$A$6:$ZZ$1048576"), MATCH(H$1, SepR!$6:$6, 0), FALSE),
            0
        ) +
        IFERROR(
            VLOOKUP($A51, INDIRECT("OctR!$A$6:$ZZ$1048576"), MATCH(H$1, OctR!$6:$6, 0), FALSE),
            0
        ) +
        IFERROR(
            VLOOKUP($A51, INDIRECT("NovR!$A$6:$ZZ$1048576"), MATCH(H$1, NovR!$6:$6, 0), FALSE),
            0
        ) +
        IFERROR(
            VLOOKUP($A51, INDIRECT("DicR!$A$6:$ZZ$1048576"), MATCH(H$1, DicR!$6:$6, 0), FALSE),
            0
        )
)</f>
        <v>0</v>
      </c>
      <c r="I51" s="35">
        <f t="array" ref="I51">SUM(
    IFERROR(
            VLOOKUP($A51, INDIRECT("EneR!$A$6:$ZZ$1048576"), MATCH(I$1, EneR!$6:$6, 0), FALSE),
            0
        ) +
        IFERROR(
            VLOOKUP($A51, INDIRECT("FebR!$A$6:$ZZ$1048576"), MATCH(I$1, FebR!$6:$6, 0), FALSE),
            0
        ) +
        IFERROR(
            VLOOKUP($A51, INDIRECT("MarR!$A$6:$ZZ$1048576"), MATCH(I$1, MarR!$6:$6, 0), FALSE),
            0
        ) +
        IFERROR(
            VLOOKUP($A51, INDIRECT("AbrR!$A$6:$ZZ$1048576"), MATCH(I$1, AbrR!$6:$6, 0), FALSE),
            0
        ) +
        IFERROR(
            VLOOKUP($A51, INDIRECT("MayR!$A$6:$ZZ$1048576"), MATCH(I$1, MayR!$6:$6, 0), FALSE),
            0
        ) +
        IFERROR(
            VLOOKUP($A51, INDIRECT("JunR!$A$6:$ZZ$1048576"), MATCH(I$1, JunR!$6:$6, 0), FALSE),
            0
        ) +
        IFERROR(
            VLOOKUP($A51, INDIRECT("JulR!$A$6:$ZZ$1048576"), MATCH(I$1, JulR!$6:$6, 0), FALSE),
            0
        ) +
        IFERROR(
            VLOOKUP($A51, INDIRECT("AgoR!$A$6:$ZZ$1048576"), MATCH(I$1, AgoR!$6:$6, 0), FALSE),
            0
        ) +
        IFERROR(
            VLOOKUP($A51, INDIRECT("SepR!$A$6:$ZZ$1048576"), MATCH(I$1, SepR!$6:$6, 0), FALSE),
            0
        ) +
        IFERROR(
            VLOOKUP($A51, INDIRECT("OctR!$A$6:$ZZ$1048576"), MATCH(I$1, OctR!$6:$6, 0), FALSE),
            0
        ) +
        IFERROR(
            VLOOKUP($A51, INDIRECT("NovR!$A$6:$ZZ$1048576"), MATCH(I$1, NovR!$6:$6, 0), FALSE),
            0
        ) +
        IFERROR(
            VLOOKUP($A51, INDIRECT("DicR!$A$6:$ZZ$1048576"), MATCH(I$1, DicR!$6:$6, 0), FALSE),
            0
        )
)</f>
        <v>0</v>
      </c>
      <c r="J51" s="32">
        <f t="array" ref="J51">SUM(
    IFERROR(
            VLOOKUP($A51, INDIRECT("EneR!$A$6:$ZZ$1048576"), MATCH(J$1, EneR!$6:$6, 0), FALSE),
            0
        ) +
        IFERROR(
            VLOOKUP($A51, INDIRECT("FebR!$A$6:$ZZ$1048576"), MATCH(J$1, FebR!$6:$6, 0), FALSE),
            0
        ) +
        IFERROR(
            VLOOKUP($A51, INDIRECT("MarR!$A$6:$ZZ$1048576"), MATCH(J$1, MarR!$6:$6, 0), FALSE),
            0
        ) +
        IFERROR(
            VLOOKUP($A51, INDIRECT("AbrR!$A$6:$ZZ$1048576"), MATCH(J$1, AbrR!$6:$6, 0), FALSE),
            0
        ) +
        IFERROR(
            VLOOKUP($A51, INDIRECT("MayR!$A$6:$ZZ$1048576"), MATCH(J$1, MayR!$6:$6, 0), FALSE),
            0
        ) +
        IFERROR(
            VLOOKUP($A51, INDIRECT("JunR!$A$6:$ZZ$1048576"), MATCH(J$1, JunR!$6:$6, 0), FALSE),
            0
        ) +
        IFERROR(
            VLOOKUP($A51, INDIRECT("JulR!$A$6:$ZZ$1048576"), MATCH(J$1, JulR!$6:$6, 0), FALSE),
            0
        ) +
        IFERROR(
            VLOOKUP($A51, INDIRECT("AgoR!$A$6:$ZZ$1048576"), MATCH(J$1, AgoR!$6:$6, 0), FALSE),
            0
        ) +
        IFERROR(
            VLOOKUP($A51, INDIRECT("SepR!$A$6:$ZZ$1048576"), MATCH(J$1, SepR!$6:$6, 0), FALSE),
            0
        ) +
        IFERROR(
            VLOOKUP($A51, INDIRECT("OctR!$A$6:$ZZ$1048576"), MATCH(J$1, OctR!$6:$6, 0), FALSE),
            0
        ) +
        IFERROR(
            VLOOKUP($A51, INDIRECT("NovR!$A$6:$ZZ$1048576"), MATCH(J$1, NovR!$6:$6, 0), FALSE),
            0
        ) +
        IFERROR(
            VLOOKUP($A51, INDIRECT("DicR!$A$6:$ZZ$1048576"), MATCH(J$1, DicR!$6:$6, 0), FALSE),
            0
        )
)</f>
        <v>0</v>
      </c>
      <c r="K51" s="35">
        <f t="array" ref="K51">SUM(
    IFERROR(
            VLOOKUP($A51, INDIRECT("EneR!$A$6:$ZZ$1048576"), MATCH(K$1, EneR!$6:$6, 0), FALSE),
            0
        ) +
        IFERROR(
            VLOOKUP($A51, INDIRECT("FebR!$A$6:$ZZ$1048576"), MATCH(K$1, FebR!$6:$6, 0), FALSE),
            0
        ) +
        IFERROR(
            VLOOKUP($A51, INDIRECT("MarR!$A$6:$ZZ$1048576"), MATCH(K$1, MarR!$6:$6, 0), FALSE),
            0
        ) +
        IFERROR(
            VLOOKUP($A51, INDIRECT("AbrR!$A$6:$ZZ$1048576"), MATCH(K$1, AbrR!$6:$6, 0), FALSE),
            0
        ) +
        IFERROR(
            VLOOKUP($A51, INDIRECT("MayR!$A$6:$ZZ$1048576"), MATCH(K$1, MayR!$6:$6, 0), FALSE),
            0
        ) +
        IFERROR(
            VLOOKUP($A51, INDIRECT("JunR!$A$6:$ZZ$1048576"), MATCH(K$1, JunR!$6:$6, 0), FALSE),
            0
        ) +
        IFERROR(
            VLOOKUP($A51, INDIRECT("JulR!$A$6:$ZZ$1048576"), MATCH(K$1, JulR!$6:$6, 0), FALSE),
            0
        ) +
        IFERROR(
            VLOOKUP($A51, INDIRECT("AgoR!$A$6:$ZZ$1048576"), MATCH(K$1, AgoR!$6:$6, 0), FALSE),
            0
        ) +
        IFERROR(
            VLOOKUP($A51, INDIRECT("SepR!$A$6:$ZZ$1048576"), MATCH(K$1, SepR!$6:$6, 0), FALSE),
            0
        ) +
        IFERROR(
            VLOOKUP($A51, INDIRECT("OctR!$A$6:$ZZ$1048576"), MATCH(K$1, OctR!$6:$6, 0), FALSE),
            0
        ) +
        IFERROR(
            VLOOKUP($A51, INDIRECT("NovR!$A$6:$ZZ$1048576"), MATCH(K$1, NovR!$6:$6, 0), FALSE),
            0
        ) +
        IFERROR(
            VLOOKUP($A51, INDIRECT("DicR!$A$6:$ZZ$1048576"), MATCH(K$1, DicR!$6:$6, 0), FALSE),
            0
        )
)</f>
        <v>0</v>
      </c>
      <c r="L51" s="32">
        <f t="array" ref="L51">SUM(
    IFERROR(
            VLOOKUP($A51, INDIRECT("EneR!$A$6:$ZZ$1048576"), MATCH(L$1, EneR!$6:$6, 0), FALSE),
            0
        ) +
        IFERROR(
            VLOOKUP($A51, INDIRECT("FebR!$A$6:$ZZ$1048576"), MATCH(L$1, FebR!$6:$6, 0), FALSE),
            0
        ) +
        IFERROR(
            VLOOKUP($A51, INDIRECT("MarR!$A$6:$ZZ$1048576"), MATCH(L$1, MarR!$6:$6, 0), FALSE),
            0
        ) +
        IFERROR(
            VLOOKUP($A51, INDIRECT("AbrR!$A$6:$ZZ$1048576"), MATCH(L$1, AbrR!$6:$6, 0), FALSE),
            0
        ) +
        IFERROR(
            VLOOKUP($A51, INDIRECT("MayR!$A$6:$ZZ$1048576"), MATCH(L$1, MayR!$6:$6, 0), FALSE),
            0
        ) +
        IFERROR(
            VLOOKUP($A51, INDIRECT("JunR!$A$6:$ZZ$1048576"), MATCH(L$1, JunR!$6:$6, 0), FALSE),
            0
        ) +
        IFERROR(
            VLOOKUP($A51, INDIRECT("JulR!$A$6:$ZZ$1048576"), MATCH(L$1, JulR!$6:$6, 0), FALSE),
            0
        ) +
        IFERROR(
            VLOOKUP($A51, INDIRECT("AgoR!$A$6:$ZZ$1048576"), MATCH(L$1, AgoR!$6:$6, 0), FALSE),
            0
        ) +
        IFERROR(
            VLOOKUP($A51, INDIRECT("SepR!$A$6:$ZZ$1048576"), MATCH(L$1, SepR!$6:$6, 0), FALSE),
            0
        ) +
        IFERROR(
            VLOOKUP($A51, INDIRECT("OctR!$A$6:$ZZ$1048576"), MATCH(L$1, OctR!$6:$6, 0), FALSE),
            0
        ) +
        IFERROR(
            VLOOKUP($A51, INDIRECT("NovR!$A$6:$ZZ$1048576"), MATCH(L$1, NovR!$6:$6, 0), FALSE),
            0
        ) +
        IFERROR(
            VLOOKUP($A51, INDIRECT("DicR!$A$6:$ZZ$1048576"), MATCH(L$1, DicR!$6:$6, 0), FALSE),
            0
        )
)</f>
        <v>0</v>
      </c>
      <c r="M51" s="35">
        <f t="array" ref="M51">SUM(
    IFERROR(
            VLOOKUP($A51, INDIRECT("EneR!$A$6:$ZZ$1048576"), MATCH(M$1, EneR!$6:$6, 0), FALSE),
            0
        ) +
        IFERROR(
            VLOOKUP($A51, INDIRECT("FebR!$A$6:$ZZ$1048576"), MATCH(M$1, FebR!$6:$6, 0), FALSE),
            0
        ) +
        IFERROR(
            VLOOKUP($A51, INDIRECT("MarR!$A$6:$ZZ$1048576"), MATCH(M$1, MarR!$6:$6, 0), FALSE),
            0
        ) +
        IFERROR(
            VLOOKUP($A51, INDIRECT("AbrR!$A$6:$ZZ$1048576"), MATCH(M$1, AbrR!$6:$6, 0), FALSE),
            0
        ) +
        IFERROR(
            VLOOKUP($A51, INDIRECT("MayR!$A$6:$ZZ$1048576"), MATCH(M$1, MayR!$6:$6, 0), FALSE),
            0
        ) +
        IFERROR(
            VLOOKUP($A51, INDIRECT("JunR!$A$6:$ZZ$1048576"), MATCH(M$1, JunR!$6:$6, 0), FALSE),
            0
        ) +
        IFERROR(
            VLOOKUP($A51, INDIRECT("JulR!$A$6:$ZZ$1048576"), MATCH(M$1, JulR!$6:$6, 0), FALSE),
            0
        ) +
        IFERROR(
            VLOOKUP($A51, INDIRECT("AgoR!$A$6:$ZZ$1048576"), MATCH(M$1, AgoR!$6:$6, 0), FALSE),
            0
        ) +
        IFERROR(
            VLOOKUP($A51, INDIRECT("SepR!$A$6:$ZZ$1048576"), MATCH(M$1, SepR!$6:$6, 0), FALSE),
            0
        ) +
        IFERROR(
            VLOOKUP($A51, INDIRECT("OctR!$A$6:$ZZ$1048576"), MATCH(M$1, OctR!$6:$6, 0), FALSE),
            0
        ) +
        IFERROR(
            VLOOKUP($A51, INDIRECT("NovR!$A$6:$ZZ$1048576"), MATCH(M$1, NovR!$6:$6, 0), FALSE),
            0
        ) +
        IFERROR(
            VLOOKUP($A51, INDIRECT("DicR!$A$6:$ZZ$1048576"), MATCH(M$1, DicR!$6:$6, 0), FALSE),
            0
        )
)</f>
        <v>0</v>
      </c>
      <c r="N51" s="32">
        <f t="array" ref="N51">SUM(
    IFERROR(
            VLOOKUP($A51, INDIRECT("EneR!$A$6:$ZZ$1048576"), MATCH(N$1, EneR!$6:$6, 0), FALSE),
            0
        ) +
        IFERROR(
            VLOOKUP($A51, INDIRECT("FebR!$A$6:$ZZ$1048576"), MATCH(N$1, FebR!$6:$6, 0), FALSE),
            0
        ) +
        IFERROR(
            VLOOKUP($A51, INDIRECT("MarR!$A$6:$ZZ$1048576"), MATCH(N$1, MarR!$6:$6, 0), FALSE),
            0
        ) +
        IFERROR(
            VLOOKUP($A51, INDIRECT("AbrR!$A$6:$ZZ$1048576"), MATCH(N$1, AbrR!$6:$6, 0), FALSE),
            0
        ) +
        IFERROR(
            VLOOKUP($A51, INDIRECT("MayR!$A$6:$ZZ$1048576"), MATCH(N$1, MayR!$6:$6, 0), FALSE),
            0
        ) +
        IFERROR(
            VLOOKUP($A51, INDIRECT("JunR!$A$6:$ZZ$1048576"), MATCH(N$1, JunR!$6:$6, 0), FALSE),
            0
        ) +
        IFERROR(
            VLOOKUP($A51, INDIRECT("JulR!$A$6:$ZZ$1048576"), MATCH(N$1, JulR!$6:$6, 0), FALSE),
            0
        ) +
        IFERROR(
            VLOOKUP($A51, INDIRECT("AgoR!$A$6:$ZZ$1048576"), MATCH(N$1, AgoR!$6:$6, 0), FALSE),
            0
        ) +
        IFERROR(
            VLOOKUP($A51, INDIRECT("SepR!$A$6:$ZZ$1048576"), MATCH(N$1, SepR!$6:$6, 0), FALSE),
            0
        ) +
        IFERROR(
            VLOOKUP($A51, INDIRECT("OctR!$A$6:$ZZ$1048576"), MATCH(N$1, OctR!$6:$6, 0), FALSE),
            0
        ) +
        IFERROR(
            VLOOKUP($A51, INDIRECT("NovR!$A$6:$ZZ$1048576"), MATCH(N$1, NovR!$6:$6, 0), FALSE),
            0
        ) +
        IFERROR(
            VLOOKUP($A51, INDIRECT("DicR!$A$6:$ZZ$1048576"), MATCH(N$1, DicR!$6:$6, 0), FALSE),
            0
        )
)</f>
        <v>0</v>
      </c>
      <c r="O51" s="35">
        <f t="array" ref="O51">SUM(
    IFERROR(
            VLOOKUP($A51, INDIRECT("EneR!$A$6:$ZZ$1048576"), MATCH(O$1, EneR!$6:$6, 0), FALSE),
            0
        ) +
        IFERROR(
            VLOOKUP($A51, INDIRECT("FebR!$A$6:$ZZ$1048576"), MATCH(O$1, FebR!$6:$6, 0), FALSE),
            0
        ) +
        IFERROR(
            VLOOKUP($A51, INDIRECT("MarR!$A$6:$ZZ$1048576"), MATCH(O$1, MarR!$6:$6, 0), FALSE),
            0
        ) +
        IFERROR(
            VLOOKUP($A51, INDIRECT("AbrR!$A$6:$ZZ$1048576"), MATCH(O$1, AbrR!$6:$6, 0), FALSE),
            0
        ) +
        IFERROR(
            VLOOKUP($A51, INDIRECT("MayR!$A$6:$ZZ$1048576"), MATCH(O$1, MayR!$6:$6, 0), FALSE),
            0
        ) +
        IFERROR(
            VLOOKUP($A51, INDIRECT("JunR!$A$6:$ZZ$1048576"), MATCH(O$1, JunR!$6:$6, 0), FALSE),
            0
        ) +
        IFERROR(
            VLOOKUP($A51, INDIRECT("JulR!$A$6:$ZZ$1048576"), MATCH(O$1, JulR!$6:$6, 0), FALSE),
            0
        ) +
        IFERROR(
            VLOOKUP($A51, INDIRECT("AgoR!$A$6:$ZZ$1048576"), MATCH(O$1, AgoR!$6:$6, 0), FALSE),
            0
        ) +
        IFERROR(
            VLOOKUP($A51, INDIRECT("SepR!$A$6:$ZZ$1048576"), MATCH(O$1, SepR!$6:$6, 0), FALSE),
            0
        ) +
        IFERROR(
            VLOOKUP($A51, INDIRECT("OctR!$A$6:$ZZ$1048576"), MATCH(O$1, OctR!$6:$6, 0), FALSE),
            0
        ) +
        IFERROR(
            VLOOKUP($A51, INDIRECT("NovR!$A$6:$ZZ$1048576"), MATCH(O$1, NovR!$6:$6, 0), FALSE),
            0
        ) +
        IFERROR(
            VLOOKUP($A51, INDIRECT("DicR!$A$6:$ZZ$1048576"), MATCH(O$1, DicR!$6:$6, 0), FALSE),
            0
        )
)</f>
        <v>0</v>
      </c>
      <c r="P51" s="32">
        <f t="array" ref="P51">SUM(
    IFERROR(
            VLOOKUP($A51, INDIRECT("EneR!$A$6:$ZZ$1048576"), MATCH(P$1, EneR!$6:$6, 0), FALSE),
            0
        ) +
        IFERROR(
            VLOOKUP($A51, INDIRECT("FebR!$A$6:$ZZ$1048576"), MATCH(P$1, FebR!$6:$6, 0), FALSE),
            0
        ) +
        IFERROR(
            VLOOKUP($A51, INDIRECT("MarR!$A$6:$ZZ$1048576"), MATCH(P$1, MarR!$6:$6, 0), FALSE),
            0
        ) +
        IFERROR(
            VLOOKUP($A51, INDIRECT("AbrR!$A$6:$ZZ$1048576"), MATCH(P$1, AbrR!$6:$6, 0), FALSE),
            0
        ) +
        IFERROR(
            VLOOKUP($A51, INDIRECT("MayR!$A$6:$ZZ$1048576"), MATCH(P$1, MayR!$6:$6, 0), FALSE),
            0
        ) +
        IFERROR(
            VLOOKUP($A51, INDIRECT("JunR!$A$6:$ZZ$1048576"), MATCH(P$1, JunR!$6:$6, 0), FALSE),
            0
        ) +
        IFERROR(
            VLOOKUP($A51, INDIRECT("JulR!$A$6:$ZZ$1048576"), MATCH(P$1, JulR!$6:$6, 0), FALSE),
            0
        ) +
        IFERROR(
            VLOOKUP($A51, INDIRECT("AgoR!$A$6:$ZZ$1048576"), MATCH(P$1, AgoR!$6:$6, 0), FALSE),
            0
        ) +
        IFERROR(
            VLOOKUP($A51, INDIRECT("SepR!$A$6:$ZZ$1048576"), MATCH(P$1, SepR!$6:$6, 0), FALSE),
            0
        ) +
        IFERROR(
            VLOOKUP($A51, INDIRECT("OctR!$A$6:$ZZ$1048576"), MATCH(P$1, OctR!$6:$6, 0), FALSE),
            0
        ) +
        IFERROR(
            VLOOKUP($A51, INDIRECT("NovR!$A$6:$ZZ$1048576"), MATCH(P$1, NovR!$6:$6, 0), FALSE),
            0
        ) +
        IFERROR(
            VLOOKUP($A51, INDIRECT("DicR!$A$6:$ZZ$1048576"), MATCH(P$1, DicR!$6:$6, 0), FALSE),
            0
        )
)</f>
        <v>0</v>
      </c>
      <c r="Q51" s="35">
        <f t="array" ref="Q51">SUM(
    IFERROR(
            VLOOKUP($A51, INDIRECT("EneR!$A$6:$ZZ$1048576"), MATCH(Q$1, EneR!$6:$6, 0), FALSE),
            0
        ) +
        IFERROR(
            VLOOKUP($A51, INDIRECT("FebR!$A$6:$ZZ$1048576"), MATCH(Q$1, FebR!$6:$6, 0), FALSE),
            0
        ) +
        IFERROR(
            VLOOKUP($A51, INDIRECT("MarR!$A$6:$ZZ$1048576"), MATCH(Q$1, MarR!$6:$6, 0), FALSE),
            0
        ) +
        IFERROR(
            VLOOKUP($A51, INDIRECT("AbrR!$A$6:$ZZ$1048576"), MATCH(Q$1, AbrR!$6:$6, 0), FALSE),
            0
        ) +
        IFERROR(
            VLOOKUP($A51, INDIRECT("MayR!$A$6:$ZZ$1048576"), MATCH(Q$1, MayR!$6:$6, 0), FALSE),
            0
        ) +
        IFERROR(
            VLOOKUP($A51, INDIRECT("JunR!$A$6:$ZZ$1048576"), MATCH(Q$1, JunR!$6:$6, 0), FALSE),
            0
        ) +
        IFERROR(
            VLOOKUP($A51, INDIRECT("JulR!$A$6:$ZZ$1048576"), MATCH(Q$1, JulR!$6:$6, 0), FALSE),
            0
        ) +
        IFERROR(
            VLOOKUP($A51, INDIRECT("AgoR!$A$6:$ZZ$1048576"), MATCH(Q$1, AgoR!$6:$6, 0), FALSE),
            0
        ) +
        IFERROR(
            VLOOKUP($A51, INDIRECT("SepR!$A$6:$ZZ$1048576"), MATCH(Q$1, SepR!$6:$6, 0), FALSE),
            0
        ) +
        IFERROR(
            VLOOKUP($A51, INDIRECT("OctR!$A$6:$ZZ$1048576"), MATCH(Q$1, OctR!$6:$6, 0), FALSE),
            0
        ) +
        IFERROR(
            VLOOKUP($A51, INDIRECT("NovR!$A$6:$ZZ$1048576"), MATCH(Q$1, NovR!$6:$6, 0), FALSE),
            0
        ) +
        IFERROR(
            VLOOKUP($A51, INDIRECT("DicR!$A$6:$ZZ$1048576"), MATCH(Q$1, DicR!$6:$6, 0), FALSE),
            0
        )
)</f>
        <v>0</v>
      </c>
      <c r="R51" s="36">
        <f t="array" ref="R51">SUM(
    IFERROR(
            VLOOKUP($A51, INDIRECT("EneR!$A$6:$ZZ$1048576"), MATCH(R$1, EneR!$6:$6, 0), FALSE),
            0
        ) +
        IFERROR(
            VLOOKUP($A51, INDIRECT("FebR!$A$6:$ZZ$1048576"), MATCH(R$1, FebR!$6:$6, 0), FALSE),
            0
        ) +
        IFERROR(
            VLOOKUP($A51, INDIRECT("MarR!$A$6:$ZZ$1048576"), MATCH(R$1, MarR!$6:$6, 0), FALSE),
            0
        ) +
        IFERROR(
            VLOOKUP($A51, INDIRECT("AbrR!$A$6:$ZZ$1048576"), MATCH(R$1, AbrR!$6:$6, 0), FALSE),
            0
        ) +
        IFERROR(
            VLOOKUP($A51, INDIRECT("MayR!$A$6:$ZZ$1048576"), MATCH(R$1, MayR!$6:$6, 0), FALSE),
            0
        ) +
        IFERROR(
            VLOOKUP($A51, INDIRECT("JunR!$A$6:$ZZ$1048576"), MATCH(R$1, JunR!$6:$6, 0), FALSE),
            0
        ) +
        IFERROR(
            VLOOKUP($A51, INDIRECT("JulR!$A$6:$ZZ$1048576"), MATCH(R$1, JulR!$6:$6, 0), FALSE),
            0
        ) +
        IFERROR(
            VLOOKUP($A51, INDIRECT("AgoR!$A$6:$ZZ$1048576"), MATCH(R$1, AgoR!$6:$6, 0), FALSE),
            0
        ) +
        IFERROR(
            VLOOKUP($A51, INDIRECT("SepR!$A$6:$ZZ$1048576"), MATCH(R$1, SepR!$6:$6, 0), FALSE),
            0
        ) +
        IFERROR(
            VLOOKUP($A51, INDIRECT("OctR!$A$6:$ZZ$1048576"), MATCH(R$1, OctR!$6:$6, 0), FALSE),
            0
        ) +
        IFERROR(
            VLOOKUP($A51, INDIRECT("NovR!$A$6:$ZZ$1048576"), MATCH(R$1, NovR!$6:$6, 0), FALSE),
            0
        ) +
        IFERROR(
            VLOOKUP($A51, INDIRECT("DicR!$A$6:$ZZ$1048576"), MATCH(R$1, DicR!$6:$6, 0), FALSE),
            0
        )
)</f>
        <v>0</v>
      </c>
      <c r="S51" s="37">
        <f t="array" ref="S51">SUM(
    IFERROR(
            VLOOKUP($A51, INDIRECT("EneR!$A$6:$ZZ$1048576"), MATCH(S$1, EneR!$6:$6, 0), FALSE),
            0
        ) +
        IFERROR(
            VLOOKUP($A51, INDIRECT("FebR!$A$6:$ZZ$1048576"), MATCH(S$1, FebR!$6:$6, 0), FALSE),
            0
        ) +
        IFERROR(
            VLOOKUP($A51, INDIRECT("MarR!$A$6:$ZZ$1048576"), MATCH(S$1, MarR!$6:$6, 0), FALSE),
            0
        ) +
        IFERROR(
            VLOOKUP($A51, INDIRECT("AbrR!$A$6:$ZZ$1048576"), MATCH(S$1, AbrR!$6:$6, 0), FALSE),
            0
        ) +
        IFERROR(
            VLOOKUP($A51, INDIRECT("MayR!$A$6:$ZZ$1048576"), MATCH(S$1, MayR!$6:$6, 0), FALSE),
            0
        ) +
        IFERROR(
            VLOOKUP($A51, INDIRECT("JunR!$A$6:$ZZ$1048576"), MATCH(S$1, JunR!$6:$6, 0), FALSE),
            0
        ) +
        IFERROR(
            VLOOKUP($A51, INDIRECT("JulR!$A$6:$ZZ$1048576"), MATCH(S$1, JulR!$6:$6, 0), FALSE),
            0
        ) +
        IFERROR(
            VLOOKUP($A51, INDIRECT("AgoR!$A$6:$ZZ$1048576"), MATCH(S$1, AgoR!$6:$6, 0), FALSE),
            0
        ) +
        IFERROR(
            VLOOKUP($A51, INDIRECT("SepR!$A$6:$ZZ$1048576"), MATCH(S$1, SepR!$6:$6, 0), FALSE),
            0
        ) +
        IFERROR(
            VLOOKUP($A51, INDIRECT("OctR!$A$6:$ZZ$1048576"), MATCH(S$1, OctR!$6:$6, 0), FALSE),
            0
        ) +
        IFERROR(
            VLOOKUP($A51, INDIRECT("NovR!$A$6:$ZZ$1048576"), MATCH(S$1, NovR!$6:$6, 0), FALSE),
            0
        ) +
        IFERROR(
            VLOOKUP($A51, INDIRECT("DicR!$A$6:$ZZ$1048576"), MATCH(S$1, DicR!$6:$6, 0), FALSE),
            0
        )
)</f>
        <v>0</v>
      </c>
      <c r="T51" s="36">
        <f t="array" ref="T51">SUM(
    IFERROR(
            VLOOKUP($A51, INDIRECT("EneR!$A$6:$ZZ$1048576"), MATCH(T$1, EneR!$6:$6, 0), FALSE),
            0
        ) +
        IFERROR(
            VLOOKUP($A51, INDIRECT("FebR!$A$6:$ZZ$1048576"), MATCH(T$1, FebR!$6:$6, 0), FALSE),
            0
        ) +
        IFERROR(
            VLOOKUP($A51, INDIRECT("MarR!$A$6:$ZZ$1048576"), MATCH(T$1, MarR!$6:$6, 0), FALSE),
            0
        ) +
        IFERROR(
            VLOOKUP($A51, INDIRECT("AbrR!$A$6:$ZZ$1048576"), MATCH(T$1, AbrR!$6:$6, 0), FALSE),
            0
        ) +
        IFERROR(
            VLOOKUP($A51, INDIRECT("MayR!$A$6:$ZZ$1048576"), MATCH(T$1, MayR!$6:$6, 0), FALSE),
            0
        ) +
        IFERROR(
            VLOOKUP($A51, INDIRECT("JunR!$A$6:$ZZ$1048576"), MATCH(T$1, JunR!$6:$6, 0), FALSE),
            0
        ) +
        IFERROR(
            VLOOKUP($A51, INDIRECT("JulR!$A$6:$ZZ$1048576"), MATCH(T$1, JulR!$6:$6, 0), FALSE),
            0
        ) +
        IFERROR(
            VLOOKUP($A51, INDIRECT("AgoR!$A$6:$ZZ$1048576"), MATCH(T$1, AgoR!$6:$6, 0), FALSE),
            0
        ) +
        IFERROR(
            VLOOKUP($A51, INDIRECT("SepR!$A$6:$ZZ$1048576"), MATCH(T$1, SepR!$6:$6, 0), FALSE),
            0
        ) +
        IFERROR(
            VLOOKUP($A51, INDIRECT("OctR!$A$6:$ZZ$1048576"), MATCH(T$1, OctR!$6:$6, 0), FALSE),
            0
        ) +
        IFERROR(
            VLOOKUP($A51, INDIRECT("NovR!$A$6:$ZZ$1048576"), MATCH(T$1, NovR!$6:$6, 0), FALSE),
            0
        ) +
        IFERROR(
            VLOOKUP($A51, INDIRECT("DicR!$A$6:$ZZ$1048576"), MATCH(T$1, DicR!$6:$6, 0), FALSE),
            0
        )
)</f>
        <v>0</v>
      </c>
      <c r="U51" s="37">
        <f t="array" ref="U51">SUM(
    IFERROR(
            VLOOKUP($A51, INDIRECT("EneR!$A$6:$ZZ$1048576"), MATCH(U$1, EneR!$6:$6, 0), FALSE),
            0
        ) +
        IFERROR(
            VLOOKUP($A51, INDIRECT("FebR!$A$6:$ZZ$1048576"), MATCH(U$1, FebR!$6:$6, 0), FALSE),
            0
        ) +
        IFERROR(
            VLOOKUP($A51, INDIRECT("MarR!$A$6:$ZZ$1048576"), MATCH(U$1, MarR!$6:$6, 0), FALSE),
            0
        ) +
        IFERROR(
            VLOOKUP($A51, INDIRECT("AbrR!$A$6:$ZZ$1048576"), MATCH(U$1, AbrR!$6:$6, 0), FALSE),
            0
        ) +
        IFERROR(
            VLOOKUP($A51, INDIRECT("MayR!$A$6:$ZZ$1048576"), MATCH(U$1, MayR!$6:$6, 0), FALSE),
            0
        ) +
        IFERROR(
            VLOOKUP($A51, INDIRECT("JunR!$A$6:$ZZ$1048576"), MATCH(U$1, JunR!$6:$6, 0), FALSE),
            0
        ) +
        IFERROR(
            VLOOKUP($A51, INDIRECT("JulR!$A$6:$ZZ$1048576"), MATCH(U$1, JulR!$6:$6, 0), FALSE),
            0
        ) +
        IFERROR(
            VLOOKUP($A51, INDIRECT("AgoR!$A$6:$ZZ$1048576"), MATCH(U$1, AgoR!$6:$6, 0), FALSE),
            0
        ) +
        IFERROR(
            VLOOKUP($A51, INDIRECT("SepR!$A$6:$ZZ$1048576"), MATCH(U$1, SepR!$6:$6, 0), FALSE),
            0
        ) +
        IFERROR(
            VLOOKUP($A51, INDIRECT("OctR!$A$6:$ZZ$1048576"), MATCH(U$1, OctR!$6:$6, 0), FALSE),
            0
        ) +
        IFERROR(
            VLOOKUP($A51, INDIRECT("NovR!$A$6:$ZZ$1048576"), MATCH(U$1, NovR!$6:$6, 0), FALSE),
            0
        ) +
        IFERROR(
            VLOOKUP($A51, INDIRECT("DicR!$A$6:$ZZ$1048576"), MATCH(U$1, DicR!$6:$6, 0), FALSE),
            0
        )
)</f>
        <v>0</v>
      </c>
      <c r="V51" s="36">
        <f t="array" ref="V51">SUM(
    IFERROR(
            VLOOKUP($A51, INDIRECT("EneR!$A$6:$ZZ$1048576"), MATCH(V$1, EneR!$6:$6, 0), FALSE),
            0
        ) +
        IFERROR(
            VLOOKUP($A51, INDIRECT("FebR!$A$6:$ZZ$1048576"), MATCH(V$1, FebR!$6:$6, 0), FALSE),
            0
        ) +
        IFERROR(
            VLOOKUP($A51, INDIRECT("MarR!$A$6:$ZZ$1048576"), MATCH(V$1, MarR!$6:$6, 0), FALSE),
            0
        ) +
        IFERROR(
            VLOOKUP($A51, INDIRECT("AbrR!$A$6:$ZZ$1048576"), MATCH(V$1, AbrR!$6:$6, 0), FALSE),
            0
        ) +
        IFERROR(
            VLOOKUP($A51, INDIRECT("MayR!$A$6:$ZZ$1048576"), MATCH(V$1, MayR!$6:$6, 0), FALSE),
            0
        ) +
        IFERROR(
            VLOOKUP($A51, INDIRECT("JunR!$A$6:$ZZ$1048576"), MATCH(V$1, JunR!$6:$6, 0), FALSE),
            0
        ) +
        IFERROR(
            VLOOKUP($A51, INDIRECT("JulR!$A$6:$ZZ$1048576"), MATCH(V$1, JulR!$6:$6, 0), FALSE),
            0
        ) +
        IFERROR(
            VLOOKUP($A51, INDIRECT("AgoR!$A$6:$ZZ$1048576"), MATCH(V$1, AgoR!$6:$6, 0), FALSE),
            0
        ) +
        IFERROR(
            VLOOKUP($A51, INDIRECT("SepR!$A$6:$ZZ$1048576"), MATCH(V$1, SepR!$6:$6, 0), FALSE),
            0
        ) +
        IFERROR(
            VLOOKUP($A51, INDIRECT("OctR!$A$6:$ZZ$1048576"), MATCH(V$1, OctR!$6:$6, 0), FALSE),
            0
        ) +
        IFERROR(
            VLOOKUP($A51, INDIRECT("NovR!$A$6:$ZZ$1048576"), MATCH(V$1, NovR!$6:$6, 0), FALSE),
            0
        ) +
        IFERROR(
            VLOOKUP($A51, INDIRECT("DicR!$A$6:$ZZ$1048576"), MATCH(V$1, DicR!$6:$6, 0), FALSE),
            0
        )
)</f>
        <v>0</v>
      </c>
      <c r="W51" s="37">
        <f t="array" ref="W51">SUM(
    IFERROR(
            VLOOKUP($A51, INDIRECT("EneR!$A$6:$ZZ$1048576"), MATCH(W$1, EneR!$6:$6, 0), FALSE),
            0
        ) +
        IFERROR(
            VLOOKUP($A51, INDIRECT("FebR!$A$6:$ZZ$1048576"), MATCH(W$1, FebR!$6:$6, 0), FALSE),
            0
        ) +
        IFERROR(
            VLOOKUP($A51, INDIRECT("MarR!$A$6:$ZZ$1048576"), MATCH(W$1, MarR!$6:$6, 0), FALSE),
            0
        ) +
        IFERROR(
            VLOOKUP($A51, INDIRECT("AbrR!$A$6:$ZZ$1048576"), MATCH(W$1, AbrR!$6:$6, 0), FALSE),
            0
        ) +
        IFERROR(
            VLOOKUP($A51, INDIRECT("MayR!$A$6:$ZZ$1048576"), MATCH(W$1, MayR!$6:$6, 0), FALSE),
            0
        ) +
        IFERROR(
            VLOOKUP($A51, INDIRECT("JunR!$A$6:$ZZ$1048576"), MATCH(W$1, JunR!$6:$6, 0), FALSE),
            0
        ) +
        IFERROR(
            VLOOKUP($A51, INDIRECT("JulR!$A$6:$ZZ$1048576"), MATCH(W$1, JulR!$6:$6, 0), FALSE),
            0
        ) +
        IFERROR(
            VLOOKUP($A51, INDIRECT("AgoR!$A$6:$ZZ$1048576"), MATCH(W$1, AgoR!$6:$6, 0), FALSE),
            0
        ) +
        IFERROR(
            VLOOKUP($A51, INDIRECT("SepR!$A$6:$ZZ$1048576"), MATCH(W$1, SepR!$6:$6, 0), FALSE),
            0
        ) +
        IFERROR(
            VLOOKUP($A51, INDIRECT("OctR!$A$6:$ZZ$1048576"), MATCH(W$1, OctR!$6:$6, 0), FALSE),
            0
        ) +
        IFERROR(
            VLOOKUP($A51, INDIRECT("NovR!$A$6:$ZZ$1048576"), MATCH(W$1, NovR!$6:$6, 0), FALSE),
            0
        ) +
        IFERROR(
            VLOOKUP($A51, INDIRECT("DicR!$A$6:$ZZ$1048576"), MATCH(W$1, DicR!$6:$6, 0), FALSE),
            0
        )
)</f>
        <v>0</v>
      </c>
      <c r="X51" s="36">
        <f t="array" ref="X51">SUM(
    IFERROR(
            VLOOKUP($A51, INDIRECT("EneR!$A$6:$ZZ$1048576"), MATCH(X$1, EneR!$6:$6, 0), FALSE),
            0
        ) +
        IFERROR(
            VLOOKUP($A51, INDIRECT("FebR!$A$6:$ZZ$1048576"), MATCH(X$1, FebR!$6:$6, 0), FALSE),
            0
        ) +
        IFERROR(
            VLOOKUP($A51, INDIRECT("MarR!$A$6:$ZZ$1048576"), MATCH(X$1, MarR!$6:$6, 0), FALSE),
            0
        ) +
        IFERROR(
            VLOOKUP($A51, INDIRECT("AbrR!$A$6:$ZZ$1048576"), MATCH(X$1, AbrR!$6:$6, 0), FALSE),
            0
        ) +
        IFERROR(
            VLOOKUP($A51, INDIRECT("MayR!$A$6:$ZZ$1048576"), MATCH(X$1, MayR!$6:$6, 0), FALSE),
            0
        ) +
        IFERROR(
            VLOOKUP($A51, INDIRECT("JunR!$A$6:$ZZ$1048576"), MATCH(X$1, JunR!$6:$6, 0), FALSE),
            0
        ) +
        IFERROR(
            VLOOKUP($A51, INDIRECT("JulR!$A$6:$ZZ$1048576"), MATCH(X$1, JulR!$6:$6, 0), FALSE),
            0
        ) +
        IFERROR(
            VLOOKUP($A51, INDIRECT("AgoR!$A$6:$ZZ$1048576"), MATCH(X$1, AgoR!$6:$6, 0), FALSE),
            0
        ) +
        IFERROR(
            VLOOKUP($A51, INDIRECT("SepR!$A$6:$ZZ$1048576"), MATCH(X$1, SepR!$6:$6, 0), FALSE),
            0
        ) +
        IFERROR(
            VLOOKUP($A51, INDIRECT("OctR!$A$6:$ZZ$1048576"), MATCH(X$1, OctR!$6:$6, 0), FALSE),
            0
        ) +
        IFERROR(
            VLOOKUP($A51, INDIRECT("NovR!$A$6:$ZZ$1048576"), MATCH(X$1, NovR!$6:$6, 0), FALSE),
            0
        ) +
        IFERROR(
            VLOOKUP($A51, INDIRECT("DicR!$A$6:$ZZ$1048576"), MATCH(X$1, DicR!$6:$6, 0), FALSE),
            0
        )
)</f>
        <v>0</v>
      </c>
      <c r="Y51" s="37">
        <f t="array" ref="Y51">SUM(
    IFERROR(
            VLOOKUP($A51, INDIRECT("EneR!$A$6:$ZZ$1048576"), MATCH(Y$1, EneR!$6:$6, 0), FALSE),
            0
        ) +
        IFERROR(
            VLOOKUP($A51, INDIRECT("FebR!$A$6:$ZZ$1048576"), MATCH(Y$1, FebR!$6:$6, 0), FALSE),
            0
        ) +
        IFERROR(
            VLOOKUP($A51, INDIRECT("MarR!$A$6:$ZZ$1048576"), MATCH(Y$1, MarR!$6:$6, 0), FALSE),
            0
        ) +
        IFERROR(
            VLOOKUP($A51, INDIRECT("AbrR!$A$6:$ZZ$1048576"), MATCH(Y$1, AbrR!$6:$6, 0), FALSE),
            0
        ) +
        IFERROR(
            VLOOKUP($A51, INDIRECT("MayR!$A$6:$ZZ$1048576"), MATCH(Y$1, MayR!$6:$6, 0), FALSE),
            0
        ) +
        IFERROR(
            VLOOKUP($A51, INDIRECT("JunR!$A$6:$ZZ$1048576"), MATCH(Y$1, JunR!$6:$6, 0), FALSE),
            0
        ) +
        IFERROR(
            VLOOKUP($A51, INDIRECT("JulR!$A$6:$ZZ$1048576"), MATCH(Y$1, JulR!$6:$6, 0), FALSE),
            0
        ) +
        IFERROR(
            VLOOKUP($A51, INDIRECT("AgoR!$A$6:$ZZ$1048576"), MATCH(Y$1, AgoR!$6:$6, 0), FALSE),
            0
        ) +
        IFERROR(
            VLOOKUP($A51, INDIRECT("SepR!$A$6:$ZZ$1048576"), MATCH(Y$1, SepR!$6:$6, 0), FALSE),
            0
        ) +
        IFERROR(
            VLOOKUP($A51, INDIRECT("OctR!$A$6:$ZZ$1048576"), MATCH(Y$1, OctR!$6:$6, 0), FALSE),
            0
        ) +
        IFERROR(
            VLOOKUP($A51, INDIRECT("NovR!$A$6:$ZZ$1048576"), MATCH(Y$1, NovR!$6:$6, 0), FALSE),
            0
        ) +
        IFERROR(
            VLOOKUP($A51, INDIRECT("DicR!$A$6:$ZZ$1048576"), MATCH(Y$1, DicR!$6:$6, 0), FALSE),
            0
        )
)</f>
        <v>0</v>
      </c>
      <c r="Z51" s="36">
        <f t="array" ref="Z51">SUM(
    IFERROR(
            VLOOKUP($A51, INDIRECT("EneR!$A$6:$ZZ$1048576"), MATCH(Z$1, EneR!$6:$6, 0), FALSE),
            0
        ) +
        IFERROR(
            VLOOKUP($A51, INDIRECT("FebR!$A$6:$ZZ$1048576"), MATCH(Z$1, FebR!$6:$6, 0), FALSE),
            0
        ) +
        IFERROR(
            VLOOKUP($A51, INDIRECT("MarR!$A$6:$ZZ$1048576"), MATCH(Z$1, MarR!$6:$6, 0), FALSE),
            0
        ) +
        IFERROR(
            VLOOKUP($A51, INDIRECT("AbrR!$A$6:$ZZ$1048576"), MATCH(Z$1, AbrR!$6:$6, 0), FALSE),
            0
        ) +
        IFERROR(
            VLOOKUP($A51, INDIRECT("MayR!$A$6:$ZZ$1048576"), MATCH(Z$1, MayR!$6:$6, 0), FALSE),
            0
        ) +
        IFERROR(
            VLOOKUP($A51, INDIRECT("JunR!$A$6:$ZZ$1048576"), MATCH(Z$1, JunR!$6:$6, 0), FALSE),
            0
        ) +
        IFERROR(
            VLOOKUP($A51, INDIRECT("JulR!$A$6:$ZZ$1048576"), MATCH(Z$1, JulR!$6:$6, 0), FALSE),
            0
        ) +
        IFERROR(
            VLOOKUP($A51, INDIRECT("AgoR!$A$6:$ZZ$1048576"), MATCH(Z$1, AgoR!$6:$6, 0), FALSE),
            0
        ) +
        IFERROR(
            VLOOKUP($A51, INDIRECT("SepR!$A$6:$ZZ$1048576"), MATCH(Z$1, SepR!$6:$6, 0), FALSE),
            0
        ) +
        IFERROR(
            VLOOKUP($A51, INDIRECT("OctR!$A$6:$ZZ$1048576"), MATCH(Z$1, OctR!$6:$6, 0), FALSE),
            0
        ) +
        IFERROR(
            VLOOKUP($A51, INDIRECT("NovR!$A$6:$ZZ$1048576"), MATCH(Z$1, NovR!$6:$6, 0), FALSE),
            0
        ) +
        IFERROR(
            VLOOKUP($A51, INDIRECT("DicR!$A$6:$ZZ$1048576"), MATCH(Z$1, DicR!$6:$6, 0), FALSE),
            0
        )
)</f>
        <v>0</v>
      </c>
      <c r="AA51" s="37">
        <f t="array" ref="AA51">SUM(
    IFERROR(
            VLOOKUP($A51, INDIRECT("EneR!$A$6:$ZZ$1048576"), MATCH(AA$1, EneR!$6:$6, 0), FALSE),
            0
        ) +
        IFERROR(
            VLOOKUP($A51, INDIRECT("FebR!$A$6:$ZZ$1048576"), MATCH(AA$1, FebR!$6:$6, 0), FALSE),
            0
        ) +
        IFERROR(
            VLOOKUP($A51, INDIRECT("MarR!$A$6:$ZZ$1048576"), MATCH(AA$1, MarR!$6:$6, 0), FALSE),
            0
        ) +
        IFERROR(
            VLOOKUP($A51, INDIRECT("AbrR!$A$6:$ZZ$1048576"), MATCH(AA$1, AbrR!$6:$6, 0), FALSE),
            0
        ) +
        IFERROR(
            VLOOKUP($A51, INDIRECT("MayR!$A$6:$ZZ$1048576"), MATCH(AA$1, MayR!$6:$6, 0), FALSE),
            0
        ) +
        IFERROR(
            VLOOKUP($A51, INDIRECT("JunR!$A$6:$ZZ$1048576"), MATCH(AA$1, JunR!$6:$6, 0), FALSE),
            0
        ) +
        IFERROR(
            VLOOKUP($A51, INDIRECT("JulR!$A$6:$ZZ$1048576"), MATCH(AA$1, JulR!$6:$6, 0), FALSE),
            0
        ) +
        IFERROR(
            VLOOKUP($A51, INDIRECT("AgoR!$A$6:$ZZ$1048576"), MATCH(AA$1, AgoR!$6:$6, 0), FALSE),
            0
        ) +
        IFERROR(
            VLOOKUP($A51, INDIRECT("SepR!$A$6:$ZZ$1048576"), MATCH(AA$1, SepR!$6:$6, 0), FALSE),
            0
        ) +
        IFERROR(
            VLOOKUP($A51, INDIRECT("OctR!$A$6:$ZZ$1048576"), MATCH(AA$1, OctR!$6:$6, 0), FALSE),
            0
        ) +
        IFERROR(
            VLOOKUP($A51, INDIRECT("NovR!$A$6:$ZZ$1048576"), MATCH(AA$1, NovR!$6:$6, 0), FALSE),
            0
        ) +
        IFERROR(
            VLOOKUP($A51, INDIRECT("DicR!$A$6:$ZZ$1048576"), MATCH(AA$1, DicR!$6:$6, 0), FALSE),
            0
        )
)</f>
        <v>0</v>
      </c>
      <c r="AB51" s="36">
        <f t="array" ref="AB51">SUM(
    IFERROR(
            VLOOKUP($A51, INDIRECT("EneR!$A$6:$ZZ$1048576"), MATCH(AB$1, EneR!$6:$6, 0), FALSE),
            0
        ) +
        IFERROR(
            VLOOKUP($A51, INDIRECT("FebR!$A$6:$ZZ$1048576"), MATCH(AB$1, FebR!$6:$6, 0), FALSE),
            0
        ) +
        IFERROR(
            VLOOKUP($A51, INDIRECT("MarR!$A$6:$ZZ$1048576"), MATCH(AB$1, MarR!$6:$6, 0), FALSE),
            0
        ) +
        IFERROR(
            VLOOKUP($A51, INDIRECT("AbrR!$A$6:$ZZ$1048576"), MATCH(AB$1, AbrR!$6:$6, 0), FALSE),
            0
        ) +
        IFERROR(
            VLOOKUP($A51, INDIRECT("MayR!$A$6:$ZZ$1048576"), MATCH(AB$1, MayR!$6:$6, 0), FALSE),
            0
        ) +
        IFERROR(
            VLOOKUP($A51, INDIRECT("JunR!$A$6:$ZZ$1048576"), MATCH(AB$1, JunR!$6:$6, 0), FALSE),
            0
        ) +
        IFERROR(
            VLOOKUP($A51, INDIRECT("JulR!$A$6:$ZZ$1048576"), MATCH(AB$1, JulR!$6:$6, 0), FALSE),
            0
        ) +
        IFERROR(
            VLOOKUP($A51, INDIRECT("AgoR!$A$6:$ZZ$1048576"), MATCH(AB$1, AgoR!$6:$6, 0), FALSE),
            0
        ) +
        IFERROR(
            VLOOKUP($A51, INDIRECT("SepR!$A$6:$ZZ$1048576"), MATCH(AB$1, SepR!$6:$6, 0), FALSE),
            0
        ) +
        IFERROR(
            VLOOKUP($A51, INDIRECT("OctR!$A$6:$ZZ$1048576"), MATCH(AB$1, OctR!$6:$6, 0), FALSE),
            0
        ) +
        IFERROR(
            VLOOKUP($A51, INDIRECT("NovR!$A$6:$ZZ$1048576"), MATCH(AB$1, NovR!$6:$6, 0), FALSE),
            0
        ) +
        IFERROR(
            VLOOKUP($A51, INDIRECT("DicR!$A$6:$ZZ$1048576"), MATCH(AB$1, DicR!$6:$6, 0), FALSE),
            0
        )
)</f>
        <v>0</v>
      </c>
      <c r="AC51" s="37">
        <f t="array" ref="AC51">SUM(
    IFERROR(
            VLOOKUP($A51, INDIRECT("EneR!$A$6:$ZZ$1048576"), MATCH(AC$1, EneR!$6:$6, 0), FALSE),
            0
        ) +
        IFERROR(
            VLOOKUP($A51, INDIRECT("FebR!$A$6:$ZZ$1048576"), MATCH(AC$1, FebR!$6:$6, 0), FALSE),
            0
        ) +
        IFERROR(
            VLOOKUP($A51, INDIRECT("MarR!$A$6:$ZZ$1048576"), MATCH(AC$1, MarR!$6:$6, 0), FALSE),
            0
        ) +
        IFERROR(
            VLOOKUP($A51, INDIRECT("AbrR!$A$6:$ZZ$1048576"), MATCH(AC$1, AbrR!$6:$6, 0), FALSE),
            0
        ) +
        IFERROR(
            VLOOKUP($A51, INDIRECT("MayR!$A$6:$ZZ$1048576"), MATCH(AC$1, MayR!$6:$6, 0), FALSE),
            0
        ) +
        IFERROR(
            VLOOKUP($A51, INDIRECT("JunR!$A$6:$ZZ$1048576"), MATCH(AC$1, JunR!$6:$6, 0), FALSE),
            0
        ) +
        IFERROR(
            VLOOKUP($A51, INDIRECT("JulR!$A$6:$ZZ$1048576"), MATCH(AC$1, JulR!$6:$6, 0), FALSE),
            0
        ) +
        IFERROR(
            VLOOKUP($A51, INDIRECT("AgoR!$A$6:$ZZ$1048576"), MATCH(AC$1, AgoR!$6:$6, 0), FALSE),
            0
        ) +
        IFERROR(
            VLOOKUP($A51, INDIRECT("SepR!$A$6:$ZZ$1048576"), MATCH(AC$1, SepR!$6:$6, 0), FALSE),
            0
        ) +
        IFERROR(
            VLOOKUP($A51, INDIRECT("OctR!$A$6:$ZZ$1048576"), MATCH(AC$1, OctR!$6:$6, 0), FALSE),
            0
        ) +
        IFERROR(
            VLOOKUP($A51, INDIRECT("NovR!$A$6:$ZZ$1048576"), MATCH(AC$1, NovR!$6:$6, 0), FALSE),
            0
        ) +
        IFERROR(
            VLOOKUP($A51, INDIRECT("DicR!$A$6:$ZZ$1048576"), MATCH(AC$1, DicR!$6:$6, 0), FALSE),
            0
        )
)</f>
        <v>0</v>
      </c>
      <c r="AD51" s="36">
        <f t="array" ref="AD51">SUM(
    IFERROR(
            VLOOKUP($A51, INDIRECT("EneR!$A$6:$ZZ$1048576"), MATCH(AD$1, EneR!$6:$6, 0), FALSE),
            0
        ) +
        IFERROR(
            VLOOKUP($A51, INDIRECT("FebR!$A$6:$ZZ$1048576"), MATCH(AD$1, FebR!$6:$6, 0), FALSE),
            0
        ) +
        IFERROR(
            VLOOKUP($A51, INDIRECT("MarR!$A$6:$ZZ$1048576"), MATCH(AD$1, MarR!$6:$6, 0), FALSE),
            0
        ) +
        IFERROR(
            VLOOKUP($A51, INDIRECT("AbrR!$A$6:$ZZ$1048576"), MATCH(AD$1, AbrR!$6:$6, 0), FALSE),
            0
        ) +
        IFERROR(
            VLOOKUP($A51, INDIRECT("MayR!$A$6:$ZZ$1048576"), MATCH(AD$1, MayR!$6:$6, 0), FALSE),
            0
        ) +
        IFERROR(
            VLOOKUP($A51, INDIRECT("JunR!$A$6:$ZZ$1048576"), MATCH(AD$1, JunR!$6:$6, 0), FALSE),
            0
        ) +
        IFERROR(
            VLOOKUP($A51, INDIRECT("JulR!$A$6:$ZZ$1048576"), MATCH(AD$1, JulR!$6:$6, 0), FALSE),
            0
        ) +
        IFERROR(
            VLOOKUP($A51, INDIRECT("AgoR!$A$6:$ZZ$1048576"), MATCH(AD$1, AgoR!$6:$6, 0), FALSE),
            0
        ) +
        IFERROR(
            VLOOKUP($A51, INDIRECT("SepR!$A$6:$ZZ$1048576"), MATCH(AD$1, SepR!$6:$6, 0), FALSE),
            0
        ) +
        IFERROR(
            VLOOKUP($A51, INDIRECT("OctR!$A$6:$ZZ$1048576"), MATCH(AD$1, OctR!$6:$6, 0), FALSE),
            0
        ) +
        IFERROR(
            VLOOKUP($A51, INDIRECT("NovR!$A$6:$ZZ$1048576"), MATCH(AD$1, NovR!$6:$6, 0), FALSE),
            0
        ) +
        IFERROR(
            VLOOKUP($A51, INDIRECT("DicR!$A$6:$ZZ$1048576"), MATCH(AD$1, DicR!$6:$6, 0), FALSE),
            0
        )
)</f>
        <v>0</v>
      </c>
      <c r="AE51" s="37">
        <f t="array" ref="AE51">SUM(
    IFERROR(
            VLOOKUP($A51, INDIRECT("EneR!$A$6:$ZZ$1048576"), MATCH(AE$1, EneR!$6:$6, 0), FALSE),
            0
        ) +
        IFERROR(
            VLOOKUP($A51, INDIRECT("FebR!$A$6:$ZZ$1048576"), MATCH(AE$1, FebR!$6:$6, 0), FALSE),
            0
        ) +
        IFERROR(
            VLOOKUP($A51, INDIRECT("MarR!$A$6:$ZZ$1048576"), MATCH(AE$1, MarR!$6:$6, 0), FALSE),
            0
        ) +
        IFERROR(
            VLOOKUP($A51, INDIRECT("AbrR!$A$6:$ZZ$1048576"), MATCH(AE$1, AbrR!$6:$6, 0), FALSE),
            0
        ) +
        IFERROR(
            VLOOKUP($A51, INDIRECT("MayR!$A$6:$ZZ$1048576"), MATCH(AE$1, MayR!$6:$6, 0), FALSE),
            0
        ) +
        IFERROR(
            VLOOKUP($A51, INDIRECT("JunR!$A$6:$ZZ$1048576"), MATCH(AE$1, JunR!$6:$6, 0), FALSE),
            0
        ) +
        IFERROR(
            VLOOKUP($A51, INDIRECT("JulR!$A$6:$ZZ$1048576"), MATCH(AE$1, JulR!$6:$6, 0), FALSE),
            0
        ) +
        IFERROR(
            VLOOKUP($A51, INDIRECT("AgoR!$A$6:$ZZ$1048576"), MATCH(AE$1, AgoR!$6:$6, 0), FALSE),
            0
        ) +
        IFERROR(
            VLOOKUP($A51, INDIRECT("SepR!$A$6:$ZZ$1048576"), MATCH(AE$1, SepR!$6:$6, 0), FALSE),
            0
        ) +
        IFERROR(
            VLOOKUP($A51, INDIRECT("OctR!$A$6:$ZZ$1048576"), MATCH(AE$1, OctR!$6:$6, 0), FALSE),
            0
        ) +
        IFERROR(
            VLOOKUP($A51, INDIRECT("NovR!$A$6:$ZZ$1048576"), MATCH(AE$1, NovR!$6:$6, 0), FALSE),
            0
        ) +
        IFERROR(
            VLOOKUP($A51, INDIRECT("DicR!$A$6:$ZZ$1048576"), MATCH(AE$1, DicR!$6:$6, 0), FALSE),
            0
        )
)</f>
        <v>0</v>
      </c>
      <c r="AF51" s="36">
        <f t="array" ref="AF51">SUM(
    IFERROR(
            VLOOKUP($A51, INDIRECT("EneR!$A$6:$ZZ$1048576"), MATCH(AF$1, EneR!$6:$6, 0), FALSE),
            0
        ) +
        IFERROR(
            VLOOKUP($A51, INDIRECT("FebR!$A$6:$ZZ$1048576"), MATCH(AF$1, FebR!$6:$6, 0), FALSE),
            0
        ) +
        IFERROR(
            VLOOKUP($A51, INDIRECT("MarR!$A$6:$ZZ$1048576"), MATCH(AF$1, MarR!$6:$6, 0), FALSE),
            0
        ) +
        IFERROR(
            VLOOKUP($A51, INDIRECT("AbrR!$A$6:$ZZ$1048576"), MATCH(AF$1, AbrR!$6:$6, 0), FALSE),
            0
        ) +
        IFERROR(
            VLOOKUP($A51, INDIRECT("MayR!$A$6:$ZZ$1048576"), MATCH(AF$1, MayR!$6:$6, 0), FALSE),
            0
        ) +
        IFERROR(
            VLOOKUP($A51, INDIRECT("JunR!$A$6:$ZZ$1048576"), MATCH(AF$1, JunR!$6:$6, 0), FALSE),
            0
        ) +
        IFERROR(
            VLOOKUP($A51, INDIRECT("JulR!$A$6:$ZZ$1048576"), MATCH(AF$1, JulR!$6:$6, 0), FALSE),
            0
        ) +
        IFERROR(
            VLOOKUP($A51, INDIRECT("AgoR!$A$6:$ZZ$1048576"), MATCH(AF$1, AgoR!$6:$6, 0), FALSE),
            0
        ) +
        IFERROR(
            VLOOKUP($A51, INDIRECT("SepR!$A$6:$ZZ$1048576"), MATCH(AF$1, SepR!$6:$6, 0), FALSE),
            0
        ) +
        IFERROR(
            VLOOKUP($A51, INDIRECT("OctR!$A$6:$ZZ$1048576"), MATCH(AF$1, OctR!$6:$6, 0), FALSE),
            0
        ) +
        IFERROR(
            VLOOKUP($A51, INDIRECT("NovR!$A$6:$ZZ$1048576"), MATCH(AF$1, NovR!$6:$6, 0), FALSE),
            0
        ) +
        IFERROR(
            VLOOKUP($A51, INDIRECT("DicR!$A$6:$ZZ$1048576"), MATCH(AF$1, DicR!$6:$6, 0), FALSE),
            0
        )
)</f>
        <v>0</v>
      </c>
      <c r="AG51" s="37">
        <f t="array" ref="AG51">SUM(
    IFERROR(
            VLOOKUP($A51, INDIRECT("EneR!$A$6:$ZZ$1048576"), MATCH(AG$1, EneR!$6:$6, 0), FALSE),
            0
        ) +
        IFERROR(
            VLOOKUP($A51, INDIRECT("FebR!$A$6:$ZZ$1048576"), MATCH(AG$1, FebR!$6:$6, 0), FALSE),
            0
        ) +
        IFERROR(
            VLOOKUP($A51, INDIRECT("MarR!$A$6:$ZZ$1048576"), MATCH(AG$1, MarR!$6:$6, 0), FALSE),
            0
        ) +
        IFERROR(
            VLOOKUP($A51, INDIRECT("AbrR!$A$6:$ZZ$1048576"), MATCH(AG$1, AbrR!$6:$6, 0), FALSE),
            0
        ) +
        IFERROR(
            VLOOKUP($A51, INDIRECT("MayR!$A$6:$ZZ$1048576"), MATCH(AG$1, MayR!$6:$6, 0), FALSE),
            0
        ) +
        IFERROR(
            VLOOKUP($A51, INDIRECT("JunR!$A$6:$ZZ$1048576"), MATCH(AG$1, JunR!$6:$6, 0), FALSE),
            0
        ) +
        IFERROR(
            VLOOKUP($A51, INDIRECT("JulR!$A$6:$ZZ$1048576"), MATCH(AG$1, JulR!$6:$6, 0), FALSE),
            0
        ) +
        IFERROR(
            VLOOKUP($A51, INDIRECT("AgoR!$A$6:$ZZ$1048576"), MATCH(AG$1, AgoR!$6:$6, 0), FALSE),
            0
        ) +
        IFERROR(
            VLOOKUP($A51, INDIRECT("SepR!$A$6:$ZZ$1048576"), MATCH(AG$1, SepR!$6:$6, 0), FALSE),
            0
        ) +
        IFERROR(
            VLOOKUP($A51, INDIRECT("OctR!$A$6:$ZZ$1048576"), MATCH(AG$1, OctR!$6:$6, 0), FALSE),
            0
        ) +
        IFERROR(
            VLOOKUP($A51, INDIRECT("NovR!$A$6:$ZZ$1048576"), MATCH(AG$1, NovR!$6:$6, 0), FALSE),
            0
        ) +
        IFERROR(
            VLOOKUP($A51, INDIRECT("DicR!$A$6:$ZZ$1048576"), MATCH(AG$1, DicR!$6:$6, 0), FALSE),
            0
        )
)</f>
        <v>0</v>
      </c>
      <c r="AH51" s="36">
        <f t="array" ref="AH51">SUM(
    IFERROR(
            VLOOKUP($A51, INDIRECT("EneR!$A$6:$ZZ$1048576"), MATCH(AH$1, EneR!$6:$6, 0), FALSE),
            0
        ) +
        IFERROR(
            VLOOKUP($A51, INDIRECT("FebR!$A$6:$ZZ$1048576"), MATCH(AH$1, FebR!$6:$6, 0), FALSE),
            0
        ) +
        IFERROR(
            VLOOKUP($A51, INDIRECT("MarR!$A$6:$ZZ$1048576"), MATCH(AH$1, MarR!$6:$6, 0), FALSE),
            0
        ) +
        IFERROR(
            VLOOKUP($A51, INDIRECT("AbrR!$A$6:$ZZ$1048576"), MATCH(AH$1, AbrR!$6:$6, 0), FALSE),
            0
        ) +
        IFERROR(
            VLOOKUP($A51, INDIRECT("MayR!$A$6:$ZZ$1048576"), MATCH(AH$1, MayR!$6:$6, 0), FALSE),
            0
        ) +
        IFERROR(
            VLOOKUP($A51, INDIRECT("JunR!$A$6:$ZZ$1048576"), MATCH(AH$1, JunR!$6:$6, 0), FALSE),
            0
        ) +
        IFERROR(
            VLOOKUP($A51, INDIRECT("JulR!$A$6:$ZZ$1048576"), MATCH(AH$1, JulR!$6:$6, 0), FALSE),
            0
        ) +
        IFERROR(
            VLOOKUP($A51, INDIRECT("AgoR!$A$6:$ZZ$1048576"), MATCH(AH$1, AgoR!$6:$6, 0), FALSE),
            0
        ) +
        IFERROR(
            VLOOKUP($A51, INDIRECT("SepR!$A$6:$ZZ$1048576"), MATCH(AH$1, SepR!$6:$6, 0), FALSE),
            0
        ) +
        IFERROR(
            VLOOKUP($A51, INDIRECT("OctR!$A$6:$ZZ$1048576"), MATCH(AH$1, OctR!$6:$6, 0), FALSE),
            0
        ) +
        IFERROR(
            VLOOKUP($A51, INDIRECT("NovR!$A$6:$ZZ$1048576"), MATCH(AH$1, NovR!$6:$6, 0), FALSE),
            0
        ) +
        IFERROR(
            VLOOKUP($A51, INDIRECT("DicR!$A$6:$ZZ$1048576"), MATCH(AH$1, DicR!$6:$6, 0), FALSE),
            0
        )
)</f>
        <v>0</v>
      </c>
      <c r="AI51" s="37">
        <f t="array" ref="AI51">SUM(
    IFERROR(
            VLOOKUP($A51, INDIRECT("EneR!$A$6:$ZZ$1048576"), MATCH(AI$1, EneR!$6:$6, 0), FALSE),
            0
        ) +
        IFERROR(
            VLOOKUP($A51, INDIRECT("FebR!$A$6:$ZZ$1048576"), MATCH(AI$1, FebR!$6:$6, 0), FALSE),
            0
        ) +
        IFERROR(
            VLOOKUP($A51, INDIRECT("MarR!$A$6:$ZZ$1048576"), MATCH(AI$1, MarR!$6:$6, 0), FALSE),
            0
        ) +
        IFERROR(
            VLOOKUP($A51, INDIRECT("AbrR!$A$6:$ZZ$1048576"), MATCH(AI$1, AbrR!$6:$6, 0), FALSE),
            0
        ) +
        IFERROR(
            VLOOKUP($A51, INDIRECT("MayR!$A$6:$ZZ$1048576"), MATCH(AI$1, MayR!$6:$6, 0), FALSE),
            0
        ) +
        IFERROR(
            VLOOKUP($A51, INDIRECT("JunR!$A$6:$ZZ$1048576"), MATCH(AI$1, JunR!$6:$6, 0), FALSE),
            0
        ) +
        IFERROR(
            VLOOKUP($A51, INDIRECT("JulR!$A$6:$ZZ$1048576"), MATCH(AI$1, JulR!$6:$6, 0), FALSE),
            0
        ) +
        IFERROR(
            VLOOKUP($A51, INDIRECT("AgoR!$A$6:$ZZ$1048576"), MATCH(AI$1, AgoR!$6:$6, 0), FALSE),
            0
        ) +
        IFERROR(
            VLOOKUP($A51, INDIRECT("SepR!$A$6:$ZZ$1048576"), MATCH(AI$1, SepR!$6:$6, 0), FALSE),
            0
        ) +
        IFERROR(
            VLOOKUP($A51, INDIRECT("OctR!$A$6:$ZZ$1048576"), MATCH(AI$1, OctR!$6:$6, 0), FALSE),
            0
        ) +
        IFERROR(
            VLOOKUP($A51, INDIRECT("NovR!$A$6:$ZZ$1048576"), MATCH(AI$1, NovR!$6:$6, 0), FALSE),
            0
        ) +
        IFERROR(
            VLOOKUP($A51, INDIRECT("DicR!$A$6:$ZZ$1048576"), MATCH(AI$1, DicR!$6:$6, 0), FALSE),
            0
        )
)</f>
        <v>0</v>
      </c>
      <c r="AJ51" s="36">
        <f t="array" ref="AJ51">SUM(
    IFERROR(
            VLOOKUP($A51, INDIRECT("EneR!$A$6:$ZZ$1048576"), MATCH(AJ$1, EneR!$6:$6, 0), FALSE),
            0
        ) +
        IFERROR(
            VLOOKUP($A51, INDIRECT("FebR!$A$6:$ZZ$1048576"), MATCH(AJ$1, FebR!$6:$6, 0), FALSE),
            0
        ) +
        IFERROR(
            VLOOKUP($A51, INDIRECT("MarR!$A$6:$ZZ$1048576"), MATCH(AJ$1, MarR!$6:$6, 0), FALSE),
            0
        ) +
        IFERROR(
            VLOOKUP($A51, INDIRECT("AbrR!$A$6:$ZZ$1048576"), MATCH(AJ$1, AbrR!$6:$6, 0), FALSE),
            0
        ) +
        IFERROR(
            VLOOKUP($A51, INDIRECT("MayR!$A$6:$ZZ$1048576"), MATCH(AJ$1, MayR!$6:$6, 0), FALSE),
            0
        ) +
        IFERROR(
            VLOOKUP($A51, INDIRECT("JunR!$A$6:$ZZ$1048576"), MATCH(AJ$1, JunR!$6:$6, 0), FALSE),
            0
        ) +
        IFERROR(
            VLOOKUP($A51, INDIRECT("JulR!$A$6:$ZZ$1048576"), MATCH(AJ$1, JulR!$6:$6, 0), FALSE),
            0
        ) +
        IFERROR(
            VLOOKUP($A51, INDIRECT("AgoR!$A$6:$ZZ$1048576"), MATCH(AJ$1, AgoR!$6:$6, 0), FALSE),
            0
        ) +
        IFERROR(
            VLOOKUP($A51, INDIRECT("SepR!$A$6:$ZZ$1048576"), MATCH(AJ$1, SepR!$6:$6, 0), FALSE),
            0
        ) +
        IFERROR(
            VLOOKUP($A51, INDIRECT("OctR!$A$6:$ZZ$1048576"), MATCH(AJ$1, OctR!$6:$6, 0), FALSE),
            0
        ) +
        IFERROR(
            VLOOKUP($A51, INDIRECT("NovR!$A$6:$ZZ$1048576"), MATCH(AJ$1, NovR!$6:$6, 0), FALSE),
            0
        ) +
        IFERROR(
            VLOOKUP($A51, INDIRECT("DicR!$A$6:$ZZ$1048576"), MATCH(AJ$1, DicR!$6:$6, 0), FALSE),
            0
        )
)</f>
        <v>0</v>
      </c>
      <c r="AK51" s="37">
        <f t="array" ref="AK51">SUM(
    IFERROR(
            VLOOKUP($A51, INDIRECT("EneR!$A$6:$ZZ$1048576"), MATCH(AK$1, EneR!$6:$6, 0), FALSE),
            0
        ) +
        IFERROR(
            VLOOKUP($A51, INDIRECT("FebR!$A$6:$ZZ$1048576"), MATCH(AK$1, FebR!$6:$6, 0), FALSE),
            0
        ) +
        IFERROR(
            VLOOKUP($A51, INDIRECT("MarR!$A$6:$ZZ$1048576"), MATCH(AK$1, MarR!$6:$6, 0), FALSE),
            0
        ) +
        IFERROR(
            VLOOKUP($A51, INDIRECT("AbrR!$A$6:$ZZ$1048576"), MATCH(AK$1, AbrR!$6:$6, 0), FALSE),
            0
        ) +
        IFERROR(
            VLOOKUP($A51, INDIRECT("MayR!$A$6:$ZZ$1048576"), MATCH(AK$1, MayR!$6:$6, 0), FALSE),
            0
        ) +
        IFERROR(
            VLOOKUP($A51, INDIRECT("JunR!$A$6:$ZZ$1048576"), MATCH(AK$1, JunR!$6:$6, 0), FALSE),
            0
        ) +
        IFERROR(
            VLOOKUP($A51, INDIRECT("JulR!$A$6:$ZZ$1048576"), MATCH(AK$1, JulR!$6:$6, 0), FALSE),
            0
        ) +
        IFERROR(
            VLOOKUP($A51, INDIRECT("AgoR!$A$6:$ZZ$1048576"), MATCH(AK$1, AgoR!$6:$6, 0), FALSE),
            0
        ) +
        IFERROR(
            VLOOKUP($A51, INDIRECT("SepR!$A$6:$ZZ$1048576"), MATCH(AK$1, SepR!$6:$6, 0), FALSE),
            0
        ) +
        IFERROR(
            VLOOKUP($A51, INDIRECT("OctR!$A$6:$ZZ$1048576"), MATCH(AK$1, OctR!$6:$6, 0), FALSE),
            0
        ) +
        IFERROR(
            VLOOKUP($A51, INDIRECT("NovR!$A$6:$ZZ$1048576"), MATCH(AK$1, NovR!$6:$6, 0), FALSE),
            0
        ) +
        IFERROR(
            VLOOKUP($A51, INDIRECT("DicR!$A$6:$ZZ$1048576"), MATCH(AK$1, DicR!$6:$6, 0), FALSE),
            0
        )
)</f>
        <v>0</v>
      </c>
      <c r="AL51" s="36">
        <f t="array" ref="AL51">SUM(
    IFERROR(
            VLOOKUP($A51, INDIRECT("EneR!$A$6:$ZZ$1048576"), MATCH(AL$1, EneR!$6:$6, 0), FALSE),
            0
        ) +
        IFERROR(
            VLOOKUP($A51, INDIRECT("FebR!$A$6:$ZZ$1048576"), MATCH(AL$1, FebR!$6:$6, 0), FALSE),
            0
        ) +
        IFERROR(
            VLOOKUP($A51, INDIRECT("MarR!$A$6:$ZZ$1048576"), MATCH(AL$1, MarR!$6:$6, 0), FALSE),
            0
        ) +
        IFERROR(
            VLOOKUP($A51, INDIRECT("AbrR!$A$6:$ZZ$1048576"), MATCH(AL$1, AbrR!$6:$6, 0), FALSE),
            0
        ) +
        IFERROR(
            VLOOKUP($A51, INDIRECT("MayR!$A$6:$ZZ$1048576"), MATCH(AL$1, MayR!$6:$6, 0), FALSE),
            0
        ) +
        IFERROR(
            VLOOKUP($A51, INDIRECT("JunR!$A$6:$ZZ$1048576"), MATCH(AL$1, JunR!$6:$6, 0), FALSE),
            0
        ) +
        IFERROR(
            VLOOKUP($A51, INDIRECT("JulR!$A$6:$ZZ$1048576"), MATCH(AL$1, JulR!$6:$6, 0), FALSE),
            0
        ) +
        IFERROR(
            VLOOKUP($A51, INDIRECT("AgoR!$A$6:$ZZ$1048576"), MATCH(AL$1, AgoR!$6:$6, 0), FALSE),
            0
        ) +
        IFERROR(
            VLOOKUP($A51, INDIRECT("SepR!$A$6:$ZZ$1048576"), MATCH(AL$1, SepR!$6:$6, 0), FALSE),
            0
        ) +
        IFERROR(
            VLOOKUP($A51, INDIRECT("OctR!$A$6:$ZZ$1048576"), MATCH(AL$1, OctR!$6:$6, 0), FALSE),
            0
        ) +
        IFERROR(
            VLOOKUP($A51, INDIRECT("NovR!$A$6:$ZZ$1048576"), MATCH(AL$1, NovR!$6:$6, 0), FALSE),
            0
        ) +
        IFERROR(
            VLOOKUP($A51, INDIRECT("DicR!$A$6:$ZZ$1048576"), MATCH(AL$1, DicR!$6:$6, 0), FALSE),
            0
        )
)</f>
        <v>0</v>
      </c>
      <c r="AM51" s="37">
        <f t="array" ref="AM51">SUM(
    IFERROR(
            VLOOKUP($A51, INDIRECT("EneR!$A$6:$ZZ$1048576"), MATCH(AM$1, EneR!$6:$6, 0), FALSE),
            0
        ) +
        IFERROR(
            VLOOKUP($A51, INDIRECT("FebR!$A$6:$ZZ$1048576"), MATCH(AM$1, FebR!$6:$6, 0), FALSE),
            0
        ) +
        IFERROR(
            VLOOKUP($A51, INDIRECT("MarR!$A$6:$ZZ$1048576"), MATCH(AM$1, MarR!$6:$6, 0), FALSE),
            0
        ) +
        IFERROR(
            VLOOKUP($A51, INDIRECT("AbrR!$A$6:$ZZ$1048576"), MATCH(AM$1, AbrR!$6:$6, 0), FALSE),
            0
        ) +
        IFERROR(
            VLOOKUP($A51, INDIRECT("MayR!$A$6:$ZZ$1048576"), MATCH(AM$1, MayR!$6:$6, 0), FALSE),
            0
        ) +
        IFERROR(
            VLOOKUP($A51, INDIRECT("JunR!$A$6:$ZZ$1048576"), MATCH(AM$1, JunR!$6:$6, 0), FALSE),
            0
        ) +
        IFERROR(
            VLOOKUP($A51, INDIRECT("JulR!$A$6:$ZZ$1048576"), MATCH(AM$1, JulR!$6:$6, 0), FALSE),
            0
        ) +
        IFERROR(
            VLOOKUP($A51, INDIRECT("AgoR!$A$6:$ZZ$1048576"), MATCH(AM$1, AgoR!$6:$6, 0), FALSE),
            0
        ) +
        IFERROR(
            VLOOKUP($A51, INDIRECT("SepR!$A$6:$ZZ$1048576"), MATCH(AM$1, SepR!$6:$6, 0), FALSE),
            0
        ) +
        IFERROR(
            VLOOKUP($A51, INDIRECT("OctR!$A$6:$ZZ$1048576"), MATCH(AM$1, OctR!$6:$6, 0), FALSE),
            0
        ) +
        IFERROR(
            VLOOKUP($A51, INDIRECT("NovR!$A$6:$ZZ$1048576"), MATCH(AM$1, NovR!$6:$6, 0), FALSE),
            0
        ) +
        IFERROR(
            VLOOKUP($A51, INDIRECT("DicR!$A$6:$ZZ$1048576"), MATCH(AM$1, DicR!$6:$6, 0), FALSE),
            0
        )
)</f>
        <v>0</v>
      </c>
      <c r="AN51" s="32">
        <f t="array" ref="AN51">SUM(
    IFERROR(
            VLOOKUP($A51, INDIRECT("EneR!$A$6:$ZZ$1048576"), MATCH(AN$1, EneR!$6:$6, 0), FALSE),
            0
        ) +
        IFERROR(
            VLOOKUP($A51, INDIRECT("FebR!$A$6:$ZZ$1048576"), MATCH(AN$1, FebR!$6:$6, 0), FALSE),
            0
        ) +
        IFERROR(
            VLOOKUP($A51, INDIRECT("MarR!$A$6:$ZZ$1048576"), MATCH(AN$1, MarR!$6:$6, 0), FALSE),
            0
        ) +
        IFERROR(
            VLOOKUP($A51, INDIRECT("AbrR!$A$6:$ZZ$1048576"), MATCH(AN$1, AbrR!$6:$6, 0), FALSE),
            0
        ) +
        IFERROR(
            VLOOKUP($A51, INDIRECT("MayR!$A$6:$ZZ$1048576"), MATCH(AN$1, MayR!$6:$6, 0), FALSE),
            0
        ) +
        IFERROR(
            VLOOKUP($A51, INDIRECT("JunR!$A$6:$ZZ$1048576"), MATCH(AN$1, JunR!$6:$6, 0), FALSE),
            0
        ) +
        IFERROR(
            VLOOKUP($A51, INDIRECT("JulR!$A$6:$ZZ$1048576"), MATCH(AN$1, JulR!$6:$6, 0), FALSE),
            0
        ) +
        IFERROR(
            VLOOKUP($A51, INDIRECT("AgoR!$A$6:$ZZ$1048576"), MATCH(AN$1, AgoR!$6:$6, 0), FALSE),
            0
        ) +
        IFERROR(
            VLOOKUP($A51, INDIRECT("SepR!$A$6:$ZZ$1048576"), MATCH(AN$1, SepR!$6:$6, 0), FALSE),
            0
        ) +
        IFERROR(
            VLOOKUP($A51, INDIRECT("OctR!$A$6:$ZZ$1048576"), MATCH(AN$1, OctR!$6:$6, 0), FALSE),
            0
        ) +
        IFERROR(
            VLOOKUP($A51, INDIRECT("NovR!$A$6:$ZZ$1048576"), MATCH(AN$1, NovR!$6:$6, 0), FALSE),
            0
        ) +
        IFERROR(
            VLOOKUP($A51, INDIRECT("DicR!$A$6:$ZZ$1048576"), MATCH(AN$1, DicR!$6:$6, 0), FALSE),
            0
        )
)</f>
        <v>0</v>
      </c>
      <c r="AO51" s="35">
        <f t="array" ref="AO51">SUM(
    IFERROR(
            VLOOKUP($A51, INDIRECT("EneR!$A$6:$ZZ$1048576"), MATCH(AO$1, EneR!$6:$6, 0), FALSE),
            0
        ) +
        IFERROR(
            VLOOKUP($A51, INDIRECT("FebR!$A$6:$ZZ$1048576"), MATCH(AO$1, FebR!$6:$6, 0), FALSE),
            0
        ) +
        IFERROR(
            VLOOKUP($A51, INDIRECT("MarR!$A$6:$ZZ$1048576"), MATCH(AO$1, MarR!$6:$6, 0), FALSE),
            0
        ) +
        IFERROR(
            VLOOKUP($A51, INDIRECT("AbrR!$A$6:$ZZ$1048576"), MATCH(AO$1, AbrR!$6:$6, 0), FALSE),
            0
        ) +
        IFERROR(
            VLOOKUP($A51, INDIRECT("MayR!$A$6:$ZZ$1048576"), MATCH(AO$1, MayR!$6:$6, 0), FALSE),
            0
        ) +
        IFERROR(
            VLOOKUP($A51, INDIRECT("JunR!$A$6:$ZZ$1048576"), MATCH(AO$1, JunR!$6:$6, 0), FALSE),
            0
        ) +
        IFERROR(
            VLOOKUP($A51, INDIRECT("JulR!$A$6:$ZZ$1048576"), MATCH(AO$1, JulR!$6:$6, 0), FALSE),
            0
        ) +
        IFERROR(
            VLOOKUP($A51, INDIRECT("AgoR!$A$6:$ZZ$1048576"), MATCH(AO$1, AgoR!$6:$6, 0), FALSE),
            0
        ) +
        IFERROR(
            VLOOKUP($A51, INDIRECT("SepR!$A$6:$ZZ$1048576"), MATCH(AO$1, SepR!$6:$6, 0), FALSE),
            0
        ) +
        IFERROR(
            VLOOKUP($A51, INDIRECT("OctR!$A$6:$ZZ$1048576"), MATCH(AO$1, OctR!$6:$6, 0), FALSE),
            0
        ) +
        IFERROR(
            VLOOKUP($A51, INDIRECT("NovR!$A$6:$ZZ$1048576"), MATCH(AO$1, NovR!$6:$6, 0), FALSE),
            0
        ) +
        IFERROR(
            VLOOKUP($A51, INDIRECT("DicR!$A$6:$ZZ$1048576"), MATCH(AO$1, DicR!$6:$6, 0), FALSE),
            0
        )
)</f>
        <v>0</v>
      </c>
      <c r="AP51" s="36">
        <f t="array" ref="AP51">SUM(
    IFERROR(
            VLOOKUP($A51, INDIRECT("EneR!$A$6:$ZZ$1048576"), MATCH(AP$1, EneR!$6:$6, 0), FALSE),
            0
        ) +
        IFERROR(
            VLOOKUP($A51, INDIRECT("FebR!$A$6:$ZZ$1048576"), MATCH(AP$1, FebR!$6:$6, 0), FALSE),
            0
        ) +
        IFERROR(
            VLOOKUP($A51, INDIRECT("MarR!$A$6:$ZZ$1048576"), MATCH(AP$1, MarR!$6:$6, 0), FALSE),
            0
        ) +
        IFERROR(
            VLOOKUP($A51, INDIRECT("AbrR!$A$6:$ZZ$1048576"), MATCH(AP$1, AbrR!$6:$6, 0), FALSE),
            0
        ) +
        IFERROR(
            VLOOKUP($A51, INDIRECT("MayR!$A$6:$ZZ$1048576"), MATCH(AP$1, MayR!$6:$6, 0), FALSE),
            0
        ) +
        IFERROR(
            VLOOKUP($A51, INDIRECT("JunR!$A$6:$ZZ$1048576"), MATCH(AP$1, JunR!$6:$6, 0), FALSE),
            0
        ) +
        IFERROR(
            VLOOKUP($A51, INDIRECT("JulR!$A$6:$ZZ$1048576"), MATCH(AP$1, JulR!$6:$6, 0), FALSE),
            0
        ) +
        IFERROR(
            VLOOKUP($A51, INDIRECT("AgoR!$A$6:$ZZ$1048576"), MATCH(AP$1, AgoR!$6:$6, 0), FALSE),
            0
        ) +
        IFERROR(
            VLOOKUP($A51, INDIRECT("SepR!$A$6:$ZZ$1048576"), MATCH(AP$1, SepR!$6:$6, 0), FALSE),
            0
        ) +
        IFERROR(
            VLOOKUP($A51, INDIRECT("OctR!$A$6:$ZZ$1048576"), MATCH(AP$1, OctR!$6:$6, 0), FALSE),
            0
        ) +
        IFERROR(
            VLOOKUP($A51, INDIRECT("NovR!$A$6:$ZZ$1048576"), MATCH(AP$1, NovR!$6:$6, 0), FALSE),
            0
        ) +
        IFERROR(
            VLOOKUP($A51, INDIRECT("DicR!$A$6:$ZZ$1048576"), MATCH(AP$1, DicR!$6:$6, 0), FALSE),
            0
        )
)</f>
        <v>0</v>
      </c>
      <c r="AQ51" s="35">
        <f t="array" ref="AQ51">SUM(
    IFERROR(
            VLOOKUP($A51, INDIRECT("EneR!$A$6:$ZZ$1048576"), MATCH(AQ$1, EneR!$6:$6, 0), FALSE),
            0
        ) +
        IFERROR(
            VLOOKUP($A51, INDIRECT("FebR!$A$6:$ZZ$1048576"), MATCH(AQ$1, FebR!$6:$6, 0), FALSE),
            0
        ) +
        IFERROR(
            VLOOKUP($A51, INDIRECT("MarR!$A$6:$ZZ$1048576"), MATCH(AQ$1, MarR!$6:$6, 0), FALSE),
            0
        ) +
        IFERROR(
            VLOOKUP($A51, INDIRECT("AbrR!$A$6:$ZZ$1048576"), MATCH(AQ$1, AbrR!$6:$6, 0), FALSE),
            0
        ) +
        IFERROR(
            VLOOKUP($A51, INDIRECT("MayR!$A$6:$ZZ$1048576"), MATCH(AQ$1, MayR!$6:$6, 0), FALSE),
            0
        ) +
        IFERROR(
            VLOOKUP($A51, INDIRECT("JunR!$A$6:$ZZ$1048576"), MATCH(AQ$1, JunR!$6:$6, 0), FALSE),
            0
        ) +
        IFERROR(
            VLOOKUP($A51, INDIRECT("JulR!$A$6:$ZZ$1048576"), MATCH(AQ$1, JulR!$6:$6, 0), FALSE),
            0
        ) +
        IFERROR(
            VLOOKUP($A51, INDIRECT("AgoR!$A$6:$ZZ$1048576"), MATCH(AQ$1, AgoR!$6:$6, 0), FALSE),
            0
        ) +
        IFERROR(
            VLOOKUP($A51, INDIRECT("SepR!$A$6:$ZZ$1048576"), MATCH(AQ$1, SepR!$6:$6, 0), FALSE),
            0
        ) +
        IFERROR(
            VLOOKUP($A51, INDIRECT("OctR!$A$6:$ZZ$1048576"), MATCH(AQ$1, OctR!$6:$6, 0), FALSE),
            0
        ) +
        IFERROR(
            VLOOKUP($A51, INDIRECT("NovR!$A$6:$ZZ$1048576"), MATCH(AQ$1, NovR!$6:$6, 0), FALSE),
            0
        ) +
        IFERROR(
            VLOOKUP($A51, INDIRECT("DicR!$A$6:$ZZ$1048576"), MATCH(AQ$1, DicR!$6:$6, 0), FALSE),
            0
        )
)</f>
        <v>0</v>
      </c>
      <c r="AR51" s="36">
        <f t="array" ref="AR51">SUM(
    IFERROR(
            VLOOKUP($A51, INDIRECT("EneR!$A$6:$ZZ$1048576"), MATCH(AR$1, EneR!$6:$6, 0), FALSE),
            0
        ) +
        IFERROR(
            VLOOKUP($A51, INDIRECT("FebR!$A$6:$ZZ$1048576"), MATCH(AR$1, FebR!$6:$6, 0), FALSE),
            0
        ) +
        IFERROR(
            VLOOKUP($A51, INDIRECT("MarR!$A$6:$ZZ$1048576"), MATCH(AR$1, MarR!$6:$6, 0), FALSE),
            0
        ) +
        IFERROR(
            VLOOKUP($A51, INDIRECT("AbrR!$A$6:$ZZ$1048576"), MATCH(AR$1, AbrR!$6:$6, 0), FALSE),
            0
        ) +
        IFERROR(
            VLOOKUP($A51, INDIRECT("MayR!$A$6:$ZZ$1048576"), MATCH(AR$1, MayR!$6:$6, 0), FALSE),
            0
        ) +
        IFERROR(
            VLOOKUP($A51, INDIRECT("JunR!$A$6:$ZZ$1048576"), MATCH(AR$1, JunR!$6:$6, 0), FALSE),
            0
        ) +
        IFERROR(
            VLOOKUP($A51, INDIRECT("JulR!$A$6:$ZZ$1048576"), MATCH(AR$1, JulR!$6:$6, 0), FALSE),
            0
        ) +
        IFERROR(
            VLOOKUP($A51, INDIRECT("AgoR!$A$6:$ZZ$1048576"), MATCH(AR$1, AgoR!$6:$6, 0), FALSE),
            0
        ) +
        IFERROR(
            VLOOKUP($A51, INDIRECT("SepR!$A$6:$ZZ$1048576"), MATCH(AR$1, SepR!$6:$6, 0), FALSE),
            0
        ) +
        IFERROR(
            VLOOKUP($A51, INDIRECT("OctR!$A$6:$ZZ$1048576"), MATCH(AR$1, OctR!$6:$6, 0), FALSE),
            0
        ) +
        IFERROR(
            VLOOKUP($A51, INDIRECT("NovR!$A$6:$ZZ$1048576"), MATCH(AR$1, NovR!$6:$6, 0), FALSE),
            0
        ) +
        IFERROR(
            VLOOKUP($A51, INDIRECT("DicR!$A$6:$ZZ$1048576"), MATCH(AR$1, DicR!$6:$6, 0), FALSE),
            0
        )
)</f>
        <v>0</v>
      </c>
      <c r="AS51" s="35">
        <f t="array" ref="AS51">SUM(
    IFERROR(
            VLOOKUP($A51, INDIRECT("EneR!$A$6:$ZZ$1048576"), MATCH(AS$1, EneR!$6:$6, 0), FALSE),
            0
        ) +
        IFERROR(
            VLOOKUP($A51, INDIRECT("FebR!$A$6:$ZZ$1048576"), MATCH(AS$1, FebR!$6:$6, 0), FALSE),
            0
        ) +
        IFERROR(
            VLOOKUP($A51, INDIRECT("MarR!$A$6:$ZZ$1048576"), MATCH(AS$1, MarR!$6:$6, 0), FALSE),
            0
        ) +
        IFERROR(
            VLOOKUP($A51, INDIRECT("AbrR!$A$6:$ZZ$1048576"), MATCH(AS$1, AbrR!$6:$6, 0), FALSE),
            0
        ) +
        IFERROR(
            VLOOKUP($A51, INDIRECT("MayR!$A$6:$ZZ$1048576"), MATCH(AS$1, MayR!$6:$6, 0), FALSE),
            0
        ) +
        IFERROR(
            VLOOKUP($A51, INDIRECT("JunR!$A$6:$ZZ$1048576"), MATCH(AS$1, JunR!$6:$6, 0), FALSE),
            0
        ) +
        IFERROR(
            VLOOKUP($A51, INDIRECT("JulR!$A$6:$ZZ$1048576"), MATCH(AS$1, JulR!$6:$6, 0), FALSE),
            0
        ) +
        IFERROR(
            VLOOKUP($A51, INDIRECT("AgoR!$A$6:$ZZ$1048576"), MATCH(AS$1, AgoR!$6:$6, 0), FALSE),
            0
        ) +
        IFERROR(
            VLOOKUP($A51, INDIRECT("SepR!$A$6:$ZZ$1048576"), MATCH(AS$1, SepR!$6:$6, 0), FALSE),
            0
        ) +
        IFERROR(
            VLOOKUP($A51, INDIRECT("OctR!$A$6:$ZZ$1048576"), MATCH(AS$1, OctR!$6:$6, 0), FALSE),
            0
        ) +
        IFERROR(
            VLOOKUP($A51, INDIRECT("NovR!$A$6:$ZZ$1048576"), MATCH(AS$1, NovR!$6:$6, 0), FALSE),
            0
        ) +
        IFERROR(
            VLOOKUP($A51, INDIRECT("DicR!$A$6:$ZZ$1048576"), MATCH(AS$1, DicR!$6:$6, 0), FALSE),
            0
        )
)</f>
        <v>0</v>
      </c>
      <c r="AT51" s="36">
        <f t="array" ref="AT51">SUM(
    IFERROR(
            VLOOKUP($A51, INDIRECT("EneR!$A$6:$ZZ$1048576"), MATCH(AT$1, EneR!$6:$6, 0), FALSE),
            0
        ) +
        IFERROR(
            VLOOKUP($A51, INDIRECT("FebR!$A$6:$ZZ$1048576"), MATCH(AT$1, FebR!$6:$6, 0), FALSE),
            0
        ) +
        IFERROR(
            VLOOKUP($A51, INDIRECT("MarR!$A$6:$ZZ$1048576"), MATCH(AT$1, MarR!$6:$6, 0), FALSE),
            0
        ) +
        IFERROR(
            VLOOKUP($A51, INDIRECT("AbrR!$A$6:$ZZ$1048576"), MATCH(AT$1, AbrR!$6:$6, 0), FALSE),
            0
        ) +
        IFERROR(
            VLOOKUP($A51, INDIRECT("MayR!$A$6:$ZZ$1048576"), MATCH(AT$1, MayR!$6:$6, 0), FALSE),
            0
        ) +
        IFERROR(
            VLOOKUP($A51, INDIRECT("JunR!$A$6:$ZZ$1048576"), MATCH(AT$1, JunR!$6:$6, 0), FALSE),
            0
        ) +
        IFERROR(
            VLOOKUP($A51, INDIRECT("JulR!$A$6:$ZZ$1048576"), MATCH(AT$1, JulR!$6:$6, 0), FALSE),
            0
        ) +
        IFERROR(
            VLOOKUP($A51, INDIRECT("AgoR!$A$6:$ZZ$1048576"), MATCH(AT$1, AgoR!$6:$6, 0), FALSE),
            0
        ) +
        IFERROR(
            VLOOKUP($A51, INDIRECT("SepR!$A$6:$ZZ$1048576"), MATCH(AT$1, SepR!$6:$6, 0), FALSE),
            0
        ) +
        IFERROR(
            VLOOKUP($A51, INDIRECT("OctR!$A$6:$ZZ$1048576"), MATCH(AT$1, OctR!$6:$6, 0), FALSE),
            0
        ) +
        IFERROR(
            VLOOKUP($A51, INDIRECT("NovR!$A$6:$ZZ$1048576"), MATCH(AT$1, NovR!$6:$6, 0), FALSE),
            0
        ) +
        IFERROR(
            VLOOKUP($A51, INDIRECT("DicR!$A$6:$ZZ$1048576"), MATCH(AT$1, DicR!$6:$6, 0), FALSE),
            0
        )
)</f>
        <v>0</v>
      </c>
      <c r="AU51" s="35">
        <f t="array" ref="AU51">SUM(
    IFERROR(
            VLOOKUP($A51, INDIRECT("EneR!$A$6:$ZZ$1048576"), MATCH(AU$1, EneR!$6:$6, 0), FALSE),
            0
        ) +
        IFERROR(
            VLOOKUP($A51, INDIRECT("FebR!$A$6:$ZZ$1048576"), MATCH(AU$1, FebR!$6:$6, 0), FALSE),
            0
        ) +
        IFERROR(
            VLOOKUP($A51, INDIRECT("MarR!$A$6:$ZZ$1048576"), MATCH(AU$1, MarR!$6:$6, 0), FALSE),
            0
        ) +
        IFERROR(
            VLOOKUP($A51, INDIRECT("AbrR!$A$6:$ZZ$1048576"), MATCH(AU$1, AbrR!$6:$6, 0), FALSE),
            0
        ) +
        IFERROR(
            VLOOKUP($A51, INDIRECT("MayR!$A$6:$ZZ$1048576"), MATCH(AU$1, MayR!$6:$6, 0), FALSE),
            0
        ) +
        IFERROR(
            VLOOKUP($A51, INDIRECT("JunR!$A$6:$ZZ$1048576"), MATCH(AU$1, JunR!$6:$6, 0), FALSE),
            0
        ) +
        IFERROR(
            VLOOKUP($A51, INDIRECT("JulR!$A$6:$ZZ$1048576"), MATCH(AU$1, JulR!$6:$6, 0), FALSE),
            0
        ) +
        IFERROR(
            VLOOKUP($A51, INDIRECT("AgoR!$A$6:$ZZ$1048576"), MATCH(AU$1, AgoR!$6:$6, 0), FALSE),
            0
        ) +
        IFERROR(
            VLOOKUP($A51, INDIRECT("SepR!$A$6:$ZZ$1048576"), MATCH(AU$1, SepR!$6:$6, 0), FALSE),
            0
        ) +
        IFERROR(
            VLOOKUP($A51, INDIRECT("OctR!$A$6:$ZZ$1048576"), MATCH(AU$1, OctR!$6:$6, 0), FALSE),
            0
        ) +
        IFERROR(
            VLOOKUP($A51, INDIRECT("NovR!$A$6:$ZZ$1048576"), MATCH(AU$1, NovR!$6:$6, 0), FALSE),
            0
        ) +
        IFERROR(
            VLOOKUP($A51, INDIRECT("DicR!$A$6:$ZZ$1048576"), MATCH(AU$1, DicR!$6:$6, 0), FALSE),
            0
        )
)</f>
        <v>0</v>
      </c>
      <c r="AV51" s="36">
        <f t="array" ref="AV51">SUM(
    IFERROR(
            VLOOKUP($A51, INDIRECT("EneR!$A$6:$ZZ$1048576"), MATCH(AV$1, EneR!$6:$6, 0), FALSE),
            0
        ) +
        IFERROR(
            VLOOKUP($A51, INDIRECT("FebR!$A$6:$ZZ$1048576"), MATCH(AV$1, FebR!$6:$6, 0), FALSE),
            0
        ) +
        IFERROR(
            VLOOKUP($A51, INDIRECT("MarR!$A$6:$ZZ$1048576"), MATCH(AV$1, MarR!$6:$6, 0), FALSE),
            0
        ) +
        IFERROR(
            VLOOKUP($A51, INDIRECT("AbrR!$A$6:$ZZ$1048576"), MATCH(AV$1, AbrR!$6:$6, 0), FALSE),
            0
        ) +
        IFERROR(
            VLOOKUP($A51, INDIRECT("MayR!$A$6:$ZZ$1048576"), MATCH(AV$1, MayR!$6:$6, 0), FALSE),
            0
        ) +
        IFERROR(
            VLOOKUP($A51, INDIRECT("JunR!$A$6:$ZZ$1048576"), MATCH(AV$1, JunR!$6:$6, 0), FALSE),
            0
        ) +
        IFERROR(
            VLOOKUP($A51, INDIRECT("JulR!$A$6:$ZZ$1048576"), MATCH(AV$1, JulR!$6:$6, 0), FALSE),
            0
        ) +
        IFERROR(
            VLOOKUP($A51, INDIRECT("AgoR!$A$6:$ZZ$1048576"), MATCH(AV$1, AgoR!$6:$6, 0), FALSE),
            0
        ) +
        IFERROR(
            VLOOKUP($A51, INDIRECT("SepR!$A$6:$ZZ$1048576"), MATCH(AV$1, SepR!$6:$6, 0), FALSE),
            0
        ) +
        IFERROR(
            VLOOKUP($A51, INDIRECT("OctR!$A$6:$ZZ$1048576"), MATCH(AV$1, OctR!$6:$6, 0), FALSE),
            0
        ) +
        IFERROR(
            VLOOKUP($A51, INDIRECT("NovR!$A$6:$ZZ$1048576"), MATCH(AV$1, NovR!$6:$6, 0), FALSE),
            0
        ) +
        IFERROR(
            VLOOKUP($A51, INDIRECT("DicR!$A$6:$ZZ$1048576"), MATCH(AV$1, DicR!$6:$6, 0), FALSE),
            0
        )
)</f>
        <v>0</v>
      </c>
      <c r="AW51" s="35">
        <f t="array" ref="AW51">SUM(
    IFERROR(
            VLOOKUP($A51, INDIRECT("EneR!$A$6:$ZZ$1048576"), MATCH(AW$1, EneR!$6:$6, 0), FALSE),
            0
        ) +
        IFERROR(
            VLOOKUP($A51, INDIRECT("FebR!$A$6:$ZZ$1048576"), MATCH(AW$1, FebR!$6:$6, 0), FALSE),
            0
        ) +
        IFERROR(
            VLOOKUP($A51, INDIRECT("MarR!$A$6:$ZZ$1048576"), MATCH(AW$1, MarR!$6:$6, 0), FALSE),
            0
        ) +
        IFERROR(
            VLOOKUP($A51, INDIRECT("AbrR!$A$6:$ZZ$1048576"), MATCH(AW$1, AbrR!$6:$6, 0), FALSE),
            0
        ) +
        IFERROR(
            VLOOKUP($A51, INDIRECT("MayR!$A$6:$ZZ$1048576"), MATCH(AW$1, MayR!$6:$6, 0), FALSE),
            0
        ) +
        IFERROR(
            VLOOKUP($A51, INDIRECT("JunR!$A$6:$ZZ$1048576"), MATCH(AW$1, JunR!$6:$6, 0), FALSE),
            0
        ) +
        IFERROR(
            VLOOKUP($A51, INDIRECT("JulR!$A$6:$ZZ$1048576"), MATCH(AW$1, JulR!$6:$6, 0), FALSE),
            0
        ) +
        IFERROR(
            VLOOKUP($A51, INDIRECT("AgoR!$A$6:$ZZ$1048576"), MATCH(AW$1, AgoR!$6:$6, 0), FALSE),
            0
        ) +
        IFERROR(
            VLOOKUP($A51, INDIRECT("SepR!$A$6:$ZZ$1048576"), MATCH(AW$1, SepR!$6:$6, 0), FALSE),
            0
        ) +
        IFERROR(
            VLOOKUP($A51, INDIRECT("OctR!$A$6:$ZZ$1048576"), MATCH(AW$1, OctR!$6:$6, 0), FALSE),
            0
        ) +
        IFERROR(
            VLOOKUP($A51, INDIRECT("NovR!$A$6:$ZZ$1048576"), MATCH(AW$1, NovR!$6:$6, 0), FALSE),
            0
        ) +
        IFERROR(
            VLOOKUP($A51, INDIRECT("DicR!$A$6:$ZZ$1048576"), MATCH(AW$1, DicR!$6:$6, 0), FALSE),
            0
        )
)</f>
        <v>0</v>
      </c>
      <c r="AX51" s="36">
        <f t="array" ref="AX51">SUM(
    IFERROR(
            VLOOKUP($A51, INDIRECT("EneR!$A$6:$ZZ$1048576"), MATCH(AX$1, EneR!$6:$6, 0), FALSE),
            0
        ) +
        IFERROR(
            VLOOKUP($A51, INDIRECT("FebR!$A$6:$ZZ$1048576"), MATCH(AX$1, FebR!$6:$6, 0), FALSE),
            0
        ) +
        IFERROR(
            VLOOKUP($A51, INDIRECT("MarR!$A$6:$ZZ$1048576"), MATCH(AX$1, MarR!$6:$6, 0), FALSE),
            0
        ) +
        IFERROR(
            VLOOKUP($A51, INDIRECT("AbrR!$A$6:$ZZ$1048576"), MATCH(AX$1, AbrR!$6:$6, 0), FALSE),
            0
        ) +
        IFERROR(
            VLOOKUP($A51, INDIRECT("MayR!$A$6:$ZZ$1048576"), MATCH(AX$1, MayR!$6:$6, 0), FALSE),
            0
        ) +
        IFERROR(
            VLOOKUP($A51, INDIRECT("JunR!$A$6:$ZZ$1048576"), MATCH(AX$1, JunR!$6:$6, 0), FALSE),
            0
        ) +
        IFERROR(
            VLOOKUP($A51, INDIRECT("JulR!$A$6:$ZZ$1048576"), MATCH(AX$1, JulR!$6:$6, 0), FALSE),
            0
        ) +
        IFERROR(
            VLOOKUP($A51, INDIRECT("AgoR!$A$6:$ZZ$1048576"), MATCH(AX$1, AgoR!$6:$6, 0), FALSE),
            0
        ) +
        IFERROR(
            VLOOKUP($A51, INDIRECT("SepR!$A$6:$ZZ$1048576"), MATCH(AX$1, SepR!$6:$6, 0), FALSE),
            0
        ) +
        IFERROR(
            VLOOKUP($A51, INDIRECT("OctR!$A$6:$ZZ$1048576"), MATCH(AX$1, OctR!$6:$6, 0), FALSE),
            0
        ) +
        IFERROR(
            VLOOKUP($A51, INDIRECT("NovR!$A$6:$ZZ$1048576"), MATCH(AX$1, NovR!$6:$6, 0), FALSE),
            0
        ) +
        IFERROR(
            VLOOKUP($A51, INDIRECT("DicR!$A$6:$ZZ$1048576"), MATCH(AX$1, DicR!$6:$6, 0), FALSE),
            0
        )
)</f>
        <v>0</v>
      </c>
      <c r="AY51" s="35">
        <f t="array" ref="AY51">SUM(
    IFERROR(
            VLOOKUP($A51, INDIRECT("EneR!$A$6:$ZZ$1048576"), MATCH(AY$1, EneR!$6:$6, 0), FALSE),
            0
        ) +
        IFERROR(
            VLOOKUP($A51, INDIRECT("FebR!$A$6:$ZZ$1048576"), MATCH(AY$1, FebR!$6:$6, 0), FALSE),
            0
        ) +
        IFERROR(
            VLOOKUP($A51, INDIRECT("MarR!$A$6:$ZZ$1048576"), MATCH(AY$1, MarR!$6:$6, 0), FALSE),
            0
        ) +
        IFERROR(
            VLOOKUP($A51, INDIRECT("AbrR!$A$6:$ZZ$1048576"), MATCH(AY$1, AbrR!$6:$6, 0), FALSE),
            0
        ) +
        IFERROR(
            VLOOKUP($A51, INDIRECT("MayR!$A$6:$ZZ$1048576"), MATCH(AY$1, MayR!$6:$6, 0), FALSE),
            0
        ) +
        IFERROR(
            VLOOKUP($A51, INDIRECT("JunR!$A$6:$ZZ$1048576"), MATCH(AY$1, JunR!$6:$6, 0), FALSE),
            0
        ) +
        IFERROR(
            VLOOKUP($A51, INDIRECT("JulR!$A$6:$ZZ$1048576"), MATCH(AY$1, JulR!$6:$6, 0), FALSE),
            0
        ) +
        IFERROR(
            VLOOKUP($A51, INDIRECT("AgoR!$A$6:$ZZ$1048576"), MATCH(AY$1, AgoR!$6:$6, 0), FALSE),
            0
        ) +
        IFERROR(
            VLOOKUP($A51, INDIRECT("SepR!$A$6:$ZZ$1048576"), MATCH(AY$1, SepR!$6:$6, 0), FALSE),
            0
        ) +
        IFERROR(
            VLOOKUP($A51, INDIRECT("OctR!$A$6:$ZZ$1048576"), MATCH(AY$1, OctR!$6:$6, 0), FALSE),
            0
        ) +
        IFERROR(
            VLOOKUP($A51, INDIRECT("NovR!$A$6:$ZZ$1048576"), MATCH(AY$1, NovR!$6:$6, 0), FALSE),
            0
        ) +
        IFERROR(
            VLOOKUP($A51, INDIRECT("DicR!$A$6:$ZZ$1048576"), MATCH(AY$1, DicR!$6:$6, 0), FALSE),
            0
        )
)</f>
        <v>0</v>
      </c>
      <c r="AZ51" s="35"/>
    </row>
    <row r="52" ht="15.75" customHeight="1">
      <c r="A52" s="12" t="str">
        <f>Menus!B13</f>
        <v/>
      </c>
      <c r="B52" s="32">
        <f t="shared" si="9"/>
        <v>0</v>
      </c>
      <c r="C52" s="33" t="str">
        <f t="shared" si="10"/>
        <v/>
      </c>
      <c r="D52" s="34">
        <f t="array" ref="D52">SUM(
    IFERROR(
            VLOOKUP($A52, INDIRECT("EneR!$A$6:$ZZ$1048576"), MATCH(D$1, EneR!$6:$6, 0), FALSE),
            0
        ) +
        IFERROR(
            VLOOKUP($A52, INDIRECT("FebR!$A$6:$ZZ$1048576"), MATCH(D$1, FebR!$6:$6, 0), FALSE),
            0
        ) +
        IFERROR(
            VLOOKUP($A52, INDIRECT("MarR!$A$6:$ZZ$1048576"), MATCH(D$1, MarR!$6:$6, 0), FALSE),
            0
        ) +
        IFERROR(
            VLOOKUP($A52, INDIRECT("AbrR!$A$6:$ZZ$1048576"), MATCH(D$1, AbrR!$6:$6, 0), FALSE),
            0
        ) +
        IFERROR(
            VLOOKUP($A52, INDIRECT("MayR!$A$6:$ZZ$1048576"), MATCH(D$1, MayR!$6:$6, 0), FALSE),
            0
        ) +
        IFERROR(
            VLOOKUP($A52, INDIRECT("JunR!$A$6:$ZZ$1048576"), MATCH(D$1, JunR!$6:$6, 0), FALSE),
            0
        ) +
        IFERROR(
            VLOOKUP($A52, INDIRECT("JulR!$A$6:$ZZ$1048576"), MATCH(D$1, JulR!$6:$6, 0), FALSE),
            0
        ) +
        IFERROR(
            VLOOKUP($A52, INDIRECT("AgoR!$A$6:$ZZ$1048576"), MATCH(D$1, AgoR!$6:$6, 0), FALSE),
            0
        ) +
        IFERROR(
            VLOOKUP($A52, INDIRECT("SepR!$A$6:$ZZ$1048576"), MATCH(D$1, SepR!$6:$6, 0), FALSE),
            0
        ) +
        IFERROR(
            VLOOKUP($A52, INDIRECT("OctR!$A$6:$ZZ$1048576"), MATCH(D$1, OctR!$6:$6, 0), FALSE),
            0
        ) +
        IFERROR(
            VLOOKUP($A52, INDIRECT("NovR!$A$6:$ZZ$1048576"), MATCH(D$1, NovR!$6:$6, 0), FALSE),
            0
        ) +
        IFERROR(
            VLOOKUP($A52, INDIRECT("DicR!$A$6:$ZZ$1048576"), MATCH(D$1, DicR!$6:$6, 0), FALSE),
            0
        )
)</f>
        <v>0</v>
      </c>
      <c r="E52" s="35">
        <f t="array" ref="E52">SUM(
    IFERROR(
            VLOOKUP($A52, INDIRECT("EneR!$A$6:$ZZ$1048576"), MATCH(E$1, EneR!$6:$6, 0), FALSE),
            0
        ) +
        IFERROR(
            VLOOKUP($A52, INDIRECT("FebR!$A$6:$ZZ$1048576"), MATCH(E$1, FebR!$6:$6, 0), FALSE),
            0
        ) +
        IFERROR(
            VLOOKUP($A52, INDIRECT("MarR!$A$6:$ZZ$1048576"), MATCH(E$1, MarR!$6:$6, 0), FALSE),
            0
        ) +
        IFERROR(
            VLOOKUP($A52, INDIRECT("AbrR!$A$6:$ZZ$1048576"), MATCH(E$1, AbrR!$6:$6, 0), FALSE),
            0
        ) +
        IFERROR(
            VLOOKUP($A52, INDIRECT("MayR!$A$6:$ZZ$1048576"), MATCH(E$1, MayR!$6:$6, 0), FALSE),
            0
        ) +
        IFERROR(
            VLOOKUP($A52, INDIRECT("JunR!$A$6:$ZZ$1048576"), MATCH(E$1, JunR!$6:$6, 0), FALSE),
            0
        ) +
        IFERROR(
            VLOOKUP($A52, INDIRECT("JulR!$A$6:$ZZ$1048576"), MATCH(E$1, JulR!$6:$6, 0), FALSE),
            0
        ) +
        IFERROR(
            VLOOKUP($A52, INDIRECT("AgoR!$A$6:$ZZ$1048576"), MATCH(E$1, AgoR!$6:$6, 0), FALSE),
            0
        ) +
        IFERROR(
            VLOOKUP($A52, INDIRECT("SepR!$A$6:$ZZ$1048576"), MATCH(E$1, SepR!$6:$6, 0), FALSE),
            0
        ) +
        IFERROR(
            VLOOKUP($A52, INDIRECT("OctR!$A$6:$ZZ$1048576"), MATCH(E$1, OctR!$6:$6, 0), FALSE),
            0
        ) +
        IFERROR(
            VLOOKUP($A52, INDIRECT("NovR!$A$6:$ZZ$1048576"), MATCH(E$1, NovR!$6:$6, 0), FALSE),
            0
        ) +
        IFERROR(
            VLOOKUP($A52, INDIRECT("DicR!$A$6:$ZZ$1048576"), MATCH(E$1, DicR!$6:$6, 0), FALSE),
            0
        )
)</f>
        <v>0</v>
      </c>
      <c r="F52" s="32">
        <f t="array" ref="F52">SUM(
    IFERROR(
            VLOOKUP($A52, INDIRECT("EneR!$A$6:$ZZ$1048576"), MATCH(F$1, EneR!$6:$6, 0), FALSE),
            0
        ) +
        IFERROR(
            VLOOKUP($A52, INDIRECT("FebR!$A$6:$ZZ$1048576"), MATCH(F$1, FebR!$6:$6, 0), FALSE),
            0
        ) +
        IFERROR(
            VLOOKUP($A52, INDIRECT("MarR!$A$6:$ZZ$1048576"), MATCH(F$1, MarR!$6:$6, 0), FALSE),
            0
        ) +
        IFERROR(
            VLOOKUP($A52, INDIRECT("AbrR!$A$6:$ZZ$1048576"), MATCH(F$1, AbrR!$6:$6, 0), FALSE),
            0
        ) +
        IFERROR(
            VLOOKUP($A52, INDIRECT("MayR!$A$6:$ZZ$1048576"), MATCH(F$1, MayR!$6:$6, 0), FALSE),
            0
        ) +
        IFERROR(
            VLOOKUP($A52, INDIRECT("JunR!$A$6:$ZZ$1048576"), MATCH(F$1, JunR!$6:$6, 0), FALSE),
            0
        ) +
        IFERROR(
            VLOOKUP($A52, INDIRECT("JulR!$A$6:$ZZ$1048576"), MATCH(F$1, JulR!$6:$6, 0), FALSE),
            0
        ) +
        IFERROR(
            VLOOKUP($A52, INDIRECT("AgoR!$A$6:$ZZ$1048576"), MATCH(F$1, AgoR!$6:$6, 0), FALSE),
            0
        ) +
        IFERROR(
            VLOOKUP($A52, INDIRECT("SepR!$A$6:$ZZ$1048576"), MATCH(F$1, SepR!$6:$6, 0), FALSE),
            0
        ) +
        IFERROR(
            VLOOKUP($A52, INDIRECT("OctR!$A$6:$ZZ$1048576"), MATCH(F$1, OctR!$6:$6, 0), FALSE),
            0
        ) +
        IFERROR(
            VLOOKUP($A52, INDIRECT("NovR!$A$6:$ZZ$1048576"), MATCH(F$1, NovR!$6:$6, 0), FALSE),
            0
        ) +
        IFERROR(
            VLOOKUP($A52, INDIRECT("DicR!$A$6:$ZZ$1048576"), MATCH(F$1, DicR!$6:$6, 0), FALSE),
            0
        )
)</f>
        <v>0</v>
      </c>
      <c r="G52" s="35">
        <f t="array" ref="G52">SUM(
    IFERROR(
            VLOOKUP($A52, INDIRECT("EneR!$A$6:$ZZ$1048576"), MATCH(G$1, EneR!$6:$6, 0), FALSE),
            0
        ) +
        IFERROR(
            VLOOKUP($A52, INDIRECT("FebR!$A$6:$ZZ$1048576"), MATCH(G$1, FebR!$6:$6, 0), FALSE),
            0
        ) +
        IFERROR(
            VLOOKUP($A52, INDIRECT("MarR!$A$6:$ZZ$1048576"), MATCH(G$1, MarR!$6:$6, 0), FALSE),
            0
        ) +
        IFERROR(
            VLOOKUP($A52, INDIRECT("AbrR!$A$6:$ZZ$1048576"), MATCH(G$1, AbrR!$6:$6, 0), FALSE),
            0
        ) +
        IFERROR(
            VLOOKUP($A52, INDIRECT("MayR!$A$6:$ZZ$1048576"), MATCH(G$1, MayR!$6:$6, 0), FALSE),
            0
        ) +
        IFERROR(
            VLOOKUP($A52, INDIRECT("JunR!$A$6:$ZZ$1048576"), MATCH(G$1, JunR!$6:$6, 0), FALSE),
            0
        ) +
        IFERROR(
            VLOOKUP($A52, INDIRECT("JulR!$A$6:$ZZ$1048576"), MATCH(G$1, JulR!$6:$6, 0), FALSE),
            0
        ) +
        IFERROR(
            VLOOKUP($A52, INDIRECT("AgoR!$A$6:$ZZ$1048576"), MATCH(G$1, AgoR!$6:$6, 0), FALSE),
            0
        ) +
        IFERROR(
            VLOOKUP($A52, INDIRECT("SepR!$A$6:$ZZ$1048576"), MATCH(G$1, SepR!$6:$6, 0), FALSE),
            0
        ) +
        IFERROR(
            VLOOKUP($A52, INDIRECT("OctR!$A$6:$ZZ$1048576"), MATCH(G$1, OctR!$6:$6, 0), FALSE),
            0
        ) +
        IFERROR(
            VLOOKUP($A52, INDIRECT("NovR!$A$6:$ZZ$1048576"), MATCH(G$1, NovR!$6:$6, 0), FALSE),
            0
        ) +
        IFERROR(
            VLOOKUP($A52, INDIRECT("DicR!$A$6:$ZZ$1048576"), MATCH(G$1, DicR!$6:$6, 0), FALSE),
            0
        )
)</f>
        <v>0</v>
      </c>
      <c r="H52" s="32">
        <f t="array" ref="H52">SUM(
    IFERROR(
            VLOOKUP($A52, INDIRECT("EneR!$A$6:$ZZ$1048576"), MATCH(H$1, EneR!$6:$6, 0), FALSE),
            0
        ) +
        IFERROR(
            VLOOKUP($A52, INDIRECT("FebR!$A$6:$ZZ$1048576"), MATCH(H$1, FebR!$6:$6, 0), FALSE),
            0
        ) +
        IFERROR(
            VLOOKUP($A52, INDIRECT("MarR!$A$6:$ZZ$1048576"), MATCH(H$1, MarR!$6:$6, 0), FALSE),
            0
        ) +
        IFERROR(
            VLOOKUP($A52, INDIRECT("AbrR!$A$6:$ZZ$1048576"), MATCH(H$1, AbrR!$6:$6, 0), FALSE),
            0
        ) +
        IFERROR(
            VLOOKUP($A52, INDIRECT("MayR!$A$6:$ZZ$1048576"), MATCH(H$1, MayR!$6:$6, 0), FALSE),
            0
        ) +
        IFERROR(
            VLOOKUP($A52, INDIRECT("JunR!$A$6:$ZZ$1048576"), MATCH(H$1, JunR!$6:$6, 0), FALSE),
            0
        ) +
        IFERROR(
            VLOOKUP($A52, INDIRECT("JulR!$A$6:$ZZ$1048576"), MATCH(H$1, JulR!$6:$6, 0), FALSE),
            0
        ) +
        IFERROR(
            VLOOKUP($A52, INDIRECT("AgoR!$A$6:$ZZ$1048576"), MATCH(H$1, AgoR!$6:$6, 0), FALSE),
            0
        ) +
        IFERROR(
            VLOOKUP($A52, INDIRECT("SepR!$A$6:$ZZ$1048576"), MATCH(H$1, SepR!$6:$6, 0), FALSE),
            0
        ) +
        IFERROR(
            VLOOKUP($A52, INDIRECT("OctR!$A$6:$ZZ$1048576"), MATCH(H$1, OctR!$6:$6, 0), FALSE),
            0
        ) +
        IFERROR(
            VLOOKUP($A52, INDIRECT("NovR!$A$6:$ZZ$1048576"), MATCH(H$1, NovR!$6:$6, 0), FALSE),
            0
        ) +
        IFERROR(
            VLOOKUP($A52, INDIRECT("DicR!$A$6:$ZZ$1048576"), MATCH(H$1, DicR!$6:$6, 0), FALSE),
            0
        )
)</f>
        <v>0</v>
      </c>
      <c r="I52" s="35">
        <f t="array" ref="I52">SUM(
    IFERROR(
            VLOOKUP($A52, INDIRECT("EneR!$A$6:$ZZ$1048576"), MATCH(I$1, EneR!$6:$6, 0), FALSE),
            0
        ) +
        IFERROR(
            VLOOKUP($A52, INDIRECT("FebR!$A$6:$ZZ$1048576"), MATCH(I$1, FebR!$6:$6, 0), FALSE),
            0
        ) +
        IFERROR(
            VLOOKUP($A52, INDIRECT("MarR!$A$6:$ZZ$1048576"), MATCH(I$1, MarR!$6:$6, 0), FALSE),
            0
        ) +
        IFERROR(
            VLOOKUP($A52, INDIRECT("AbrR!$A$6:$ZZ$1048576"), MATCH(I$1, AbrR!$6:$6, 0), FALSE),
            0
        ) +
        IFERROR(
            VLOOKUP($A52, INDIRECT("MayR!$A$6:$ZZ$1048576"), MATCH(I$1, MayR!$6:$6, 0), FALSE),
            0
        ) +
        IFERROR(
            VLOOKUP($A52, INDIRECT("JunR!$A$6:$ZZ$1048576"), MATCH(I$1, JunR!$6:$6, 0), FALSE),
            0
        ) +
        IFERROR(
            VLOOKUP($A52, INDIRECT("JulR!$A$6:$ZZ$1048576"), MATCH(I$1, JulR!$6:$6, 0), FALSE),
            0
        ) +
        IFERROR(
            VLOOKUP($A52, INDIRECT("AgoR!$A$6:$ZZ$1048576"), MATCH(I$1, AgoR!$6:$6, 0), FALSE),
            0
        ) +
        IFERROR(
            VLOOKUP($A52, INDIRECT("SepR!$A$6:$ZZ$1048576"), MATCH(I$1, SepR!$6:$6, 0), FALSE),
            0
        ) +
        IFERROR(
            VLOOKUP($A52, INDIRECT("OctR!$A$6:$ZZ$1048576"), MATCH(I$1, OctR!$6:$6, 0), FALSE),
            0
        ) +
        IFERROR(
            VLOOKUP($A52, INDIRECT("NovR!$A$6:$ZZ$1048576"), MATCH(I$1, NovR!$6:$6, 0), FALSE),
            0
        ) +
        IFERROR(
            VLOOKUP($A52, INDIRECT("DicR!$A$6:$ZZ$1048576"), MATCH(I$1, DicR!$6:$6, 0), FALSE),
            0
        )
)</f>
        <v>0</v>
      </c>
      <c r="J52" s="32">
        <f t="array" ref="J52">SUM(
    IFERROR(
            VLOOKUP($A52, INDIRECT("EneR!$A$6:$ZZ$1048576"), MATCH(J$1, EneR!$6:$6, 0), FALSE),
            0
        ) +
        IFERROR(
            VLOOKUP($A52, INDIRECT("FebR!$A$6:$ZZ$1048576"), MATCH(J$1, FebR!$6:$6, 0), FALSE),
            0
        ) +
        IFERROR(
            VLOOKUP($A52, INDIRECT("MarR!$A$6:$ZZ$1048576"), MATCH(J$1, MarR!$6:$6, 0), FALSE),
            0
        ) +
        IFERROR(
            VLOOKUP($A52, INDIRECT("AbrR!$A$6:$ZZ$1048576"), MATCH(J$1, AbrR!$6:$6, 0), FALSE),
            0
        ) +
        IFERROR(
            VLOOKUP($A52, INDIRECT("MayR!$A$6:$ZZ$1048576"), MATCH(J$1, MayR!$6:$6, 0), FALSE),
            0
        ) +
        IFERROR(
            VLOOKUP($A52, INDIRECT("JunR!$A$6:$ZZ$1048576"), MATCH(J$1, JunR!$6:$6, 0), FALSE),
            0
        ) +
        IFERROR(
            VLOOKUP($A52, INDIRECT("JulR!$A$6:$ZZ$1048576"), MATCH(J$1, JulR!$6:$6, 0), FALSE),
            0
        ) +
        IFERROR(
            VLOOKUP($A52, INDIRECT("AgoR!$A$6:$ZZ$1048576"), MATCH(J$1, AgoR!$6:$6, 0), FALSE),
            0
        ) +
        IFERROR(
            VLOOKUP($A52, INDIRECT("SepR!$A$6:$ZZ$1048576"), MATCH(J$1, SepR!$6:$6, 0), FALSE),
            0
        ) +
        IFERROR(
            VLOOKUP($A52, INDIRECT("OctR!$A$6:$ZZ$1048576"), MATCH(J$1, OctR!$6:$6, 0), FALSE),
            0
        ) +
        IFERROR(
            VLOOKUP($A52, INDIRECT("NovR!$A$6:$ZZ$1048576"), MATCH(J$1, NovR!$6:$6, 0), FALSE),
            0
        ) +
        IFERROR(
            VLOOKUP($A52, INDIRECT("DicR!$A$6:$ZZ$1048576"), MATCH(J$1, DicR!$6:$6, 0), FALSE),
            0
        )
)</f>
        <v>0</v>
      </c>
      <c r="K52" s="35">
        <f t="array" ref="K52">SUM(
    IFERROR(
            VLOOKUP($A52, INDIRECT("EneR!$A$6:$ZZ$1048576"), MATCH(K$1, EneR!$6:$6, 0), FALSE),
            0
        ) +
        IFERROR(
            VLOOKUP($A52, INDIRECT("FebR!$A$6:$ZZ$1048576"), MATCH(K$1, FebR!$6:$6, 0), FALSE),
            0
        ) +
        IFERROR(
            VLOOKUP($A52, INDIRECT("MarR!$A$6:$ZZ$1048576"), MATCH(K$1, MarR!$6:$6, 0), FALSE),
            0
        ) +
        IFERROR(
            VLOOKUP($A52, INDIRECT("AbrR!$A$6:$ZZ$1048576"), MATCH(K$1, AbrR!$6:$6, 0), FALSE),
            0
        ) +
        IFERROR(
            VLOOKUP($A52, INDIRECT("MayR!$A$6:$ZZ$1048576"), MATCH(K$1, MayR!$6:$6, 0), FALSE),
            0
        ) +
        IFERROR(
            VLOOKUP($A52, INDIRECT("JunR!$A$6:$ZZ$1048576"), MATCH(K$1, JunR!$6:$6, 0), FALSE),
            0
        ) +
        IFERROR(
            VLOOKUP($A52, INDIRECT("JulR!$A$6:$ZZ$1048576"), MATCH(K$1, JulR!$6:$6, 0), FALSE),
            0
        ) +
        IFERROR(
            VLOOKUP($A52, INDIRECT("AgoR!$A$6:$ZZ$1048576"), MATCH(K$1, AgoR!$6:$6, 0), FALSE),
            0
        ) +
        IFERROR(
            VLOOKUP($A52, INDIRECT("SepR!$A$6:$ZZ$1048576"), MATCH(K$1, SepR!$6:$6, 0), FALSE),
            0
        ) +
        IFERROR(
            VLOOKUP($A52, INDIRECT("OctR!$A$6:$ZZ$1048576"), MATCH(K$1, OctR!$6:$6, 0), FALSE),
            0
        ) +
        IFERROR(
            VLOOKUP($A52, INDIRECT("NovR!$A$6:$ZZ$1048576"), MATCH(K$1, NovR!$6:$6, 0), FALSE),
            0
        ) +
        IFERROR(
            VLOOKUP($A52, INDIRECT("DicR!$A$6:$ZZ$1048576"), MATCH(K$1, DicR!$6:$6, 0), FALSE),
            0
        )
)</f>
        <v>0</v>
      </c>
      <c r="L52" s="32">
        <f t="array" ref="L52">SUM(
    IFERROR(
            VLOOKUP($A52, INDIRECT("EneR!$A$6:$ZZ$1048576"), MATCH(L$1, EneR!$6:$6, 0), FALSE),
            0
        ) +
        IFERROR(
            VLOOKUP($A52, INDIRECT("FebR!$A$6:$ZZ$1048576"), MATCH(L$1, FebR!$6:$6, 0), FALSE),
            0
        ) +
        IFERROR(
            VLOOKUP($A52, INDIRECT("MarR!$A$6:$ZZ$1048576"), MATCH(L$1, MarR!$6:$6, 0), FALSE),
            0
        ) +
        IFERROR(
            VLOOKUP($A52, INDIRECT("AbrR!$A$6:$ZZ$1048576"), MATCH(L$1, AbrR!$6:$6, 0), FALSE),
            0
        ) +
        IFERROR(
            VLOOKUP($A52, INDIRECT("MayR!$A$6:$ZZ$1048576"), MATCH(L$1, MayR!$6:$6, 0), FALSE),
            0
        ) +
        IFERROR(
            VLOOKUP($A52, INDIRECT("JunR!$A$6:$ZZ$1048576"), MATCH(L$1, JunR!$6:$6, 0), FALSE),
            0
        ) +
        IFERROR(
            VLOOKUP($A52, INDIRECT("JulR!$A$6:$ZZ$1048576"), MATCH(L$1, JulR!$6:$6, 0), FALSE),
            0
        ) +
        IFERROR(
            VLOOKUP($A52, INDIRECT("AgoR!$A$6:$ZZ$1048576"), MATCH(L$1, AgoR!$6:$6, 0), FALSE),
            0
        ) +
        IFERROR(
            VLOOKUP($A52, INDIRECT("SepR!$A$6:$ZZ$1048576"), MATCH(L$1, SepR!$6:$6, 0), FALSE),
            0
        ) +
        IFERROR(
            VLOOKUP($A52, INDIRECT("OctR!$A$6:$ZZ$1048576"), MATCH(L$1, OctR!$6:$6, 0), FALSE),
            0
        ) +
        IFERROR(
            VLOOKUP($A52, INDIRECT("NovR!$A$6:$ZZ$1048576"), MATCH(L$1, NovR!$6:$6, 0), FALSE),
            0
        ) +
        IFERROR(
            VLOOKUP($A52, INDIRECT("DicR!$A$6:$ZZ$1048576"), MATCH(L$1, DicR!$6:$6, 0), FALSE),
            0
        )
)</f>
        <v>0</v>
      </c>
      <c r="M52" s="35">
        <f t="array" ref="M52">SUM(
    IFERROR(
            VLOOKUP($A52, INDIRECT("EneR!$A$6:$ZZ$1048576"), MATCH(M$1, EneR!$6:$6, 0), FALSE),
            0
        ) +
        IFERROR(
            VLOOKUP($A52, INDIRECT("FebR!$A$6:$ZZ$1048576"), MATCH(M$1, FebR!$6:$6, 0), FALSE),
            0
        ) +
        IFERROR(
            VLOOKUP($A52, INDIRECT("MarR!$A$6:$ZZ$1048576"), MATCH(M$1, MarR!$6:$6, 0), FALSE),
            0
        ) +
        IFERROR(
            VLOOKUP($A52, INDIRECT("AbrR!$A$6:$ZZ$1048576"), MATCH(M$1, AbrR!$6:$6, 0), FALSE),
            0
        ) +
        IFERROR(
            VLOOKUP($A52, INDIRECT("MayR!$A$6:$ZZ$1048576"), MATCH(M$1, MayR!$6:$6, 0), FALSE),
            0
        ) +
        IFERROR(
            VLOOKUP($A52, INDIRECT("JunR!$A$6:$ZZ$1048576"), MATCH(M$1, JunR!$6:$6, 0), FALSE),
            0
        ) +
        IFERROR(
            VLOOKUP($A52, INDIRECT("JulR!$A$6:$ZZ$1048576"), MATCH(M$1, JulR!$6:$6, 0), FALSE),
            0
        ) +
        IFERROR(
            VLOOKUP($A52, INDIRECT("AgoR!$A$6:$ZZ$1048576"), MATCH(M$1, AgoR!$6:$6, 0), FALSE),
            0
        ) +
        IFERROR(
            VLOOKUP($A52, INDIRECT("SepR!$A$6:$ZZ$1048576"), MATCH(M$1, SepR!$6:$6, 0), FALSE),
            0
        ) +
        IFERROR(
            VLOOKUP($A52, INDIRECT("OctR!$A$6:$ZZ$1048576"), MATCH(M$1, OctR!$6:$6, 0), FALSE),
            0
        ) +
        IFERROR(
            VLOOKUP($A52, INDIRECT("NovR!$A$6:$ZZ$1048576"), MATCH(M$1, NovR!$6:$6, 0), FALSE),
            0
        ) +
        IFERROR(
            VLOOKUP($A52, INDIRECT("DicR!$A$6:$ZZ$1048576"), MATCH(M$1, DicR!$6:$6, 0), FALSE),
            0
        )
)</f>
        <v>0</v>
      </c>
      <c r="N52" s="32">
        <f t="array" ref="N52">SUM(
    IFERROR(
            VLOOKUP($A52, INDIRECT("EneR!$A$6:$ZZ$1048576"), MATCH(N$1, EneR!$6:$6, 0), FALSE),
            0
        ) +
        IFERROR(
            VLOOKUP($A52, INDIRECT("FebR!$A$6:$ZZ$1048576"), MATCH(N$1, FebR!$6:$6, 0), FALSE),
            0
        ) +
        IFERROR(
            VLOOKUP($A52, INDIRECT("MarR!$A$6:$ZZ$1048576"), MATCH(N$1, MarR!$6:$6, 0), FALSE),
            0
        ) +
        IFERROR(
            VLOOKUP($A52, INDIRECT("AbrR!$A$6:$ZZ$1048576"), MATCH(N$1, AbrR!$6:$6, 0), FALSE),
            0
        ) +
        IFERROR(
            VLOOKUP($A52, INDIRECT("MayR!$A$6:$ZZ$1048576"), MATCH(N$1, MayR!$6:$6, 0), FALSE),
            0
        ) +
        IFERROR(
            VLOOKUP($A52, INDIRECT("JunR!$A$6:$ZZ$1048576"), MATCH(N$1, JunR!$6:$6, 0), FALSE),
            0
        ) +
        IFERROR(
            VLOOKUP($A52, INDIRECT("JulR!$A$6:$ZZ$1048576"), MATCH(N$1, JulR!$6:$6, 0), FALSE),
            0
        ) +
        IFERROR(
            VLOOKUP($A52, INDIRECT("AgoR!$A$6:$ZZ$1048576"), MATCH(N$1, AgoR!$6:$6, 0), FALSE),
            0
        ) +
        IFERROR(
            VLOOKUP($A52, INDIRECT("SepR!$A$6:$ZZ$1048576"), MATCH(N$1, SepR!$6:$6, 0), FALSE),
            0
        ) +
        IFERROR(
            VLOOKUP($A52, INDIRECT("OctR!$A$6:$ZZ$1048576"), MATCH(N$1, OctR!$6:$6, 0), FALSE),
            0
        ) +
        IFERROR(
            VLOOKUP($A52, INDIRECT("NovR!$A$6:$ZZ$1048576"), MATCH(N$1, NovR!$6:$6, 0), FALSE),
            0
        ) +
        IFERROR(
            VLOOKUP($A52, INDIRECT("DicR!$A$6:$ZZ$1048576"), MATCH(N$1, DicR!$6:$6, 0), FALSE),
            0
        )
)</f>
        <v>0</v>
      </c>
      <c r="O52" s="35">
        <f t="array" ref="O52">SUM(
    IFERROR(
            VLOOKUP($A52, INDIRECT("EneR!$A$6:$ZZ$1048576"), MATCH(O$1, EneR!$6:$6, 0), FALSE),
            0
        ) +
        IFERROR(
            VLOOKUP($A52, INDIRECT("FebR!$A$6:$ZZ$1048576"), MATCH(O$1, FebR!$6:$6, 0), FALSE),
            0
        ) +
        IFERROR(
            VLOOKUP($A52, INDIRECT("MarR!$A$6:$ZZ$1048576"), MATCH(O$1, MarR!$6:$6, 0), FALSE),
            0
        ) +
        IFERROR(
            VLOOKUP($A52, INDIRECT("AbrR!$A$6:$ZZ$1048576"), MATCH(O$1, AbrR!$6:$6, 0), FALSE),
            0
        ) +
        IFERROR(
            VLOOKUP($A52, INDIRECT("MayR!$A$6:$ZZ$1048576"), MATCH(O$1, MayR!$6:$6, 0), FALSE),
            0
        ) +
        IFERROR(
            VLOOKUP($A52, INDIRECT("JunR!$A$6:$ZZ$1048576"), MATCH(O$1, JunR!$6:$6, 0), FALSE),
            0
        ) +
        IFERROR(
            VLOOKUP($A52, INDIRECT("JulR!$A$6:$ZZ$1048576"), MATCH(O$1, JulR!$6:$6, 0), FALSE),
            0
        ) +
        IFERROR(
            VLOOKUP($A52, INDIRECT("AgoR!$A$6:$ZZ$1048576"), MATCH(O$1, AgoR!$6:$6, 0), FALSE),
            0
        ) +
        IFERROR(
            VLOOKUP($A52, INDIRECT("SepR!$A$6:$ZZ$1048576"), MATCH(O$1, SepR!$6:$6, 0), FALSE),
            0
        ) +
        IFERROR(
            VLOOKUP($A52, INDIRECT("OctR!$A$6:$ZZ$1048576"), MATCH(O$1, OctR!$6:$6, 0), FALSE),
            0
        ) +
        IFERROR(
            VLOOKUP($A52, INDIRECT("NovR!$A$6:$ZZ$1048576"), MATCH(O$1, NovR!$6:$6, 0), FALSE),
            0
        ) +
        IFERROR(
            VLOOKUP($A52, INDIRECT("DicR!$A$6:$ZZ$1048576"), MATCH(O$1, DicR!$6:$6, 0), FALSE),
            0
        )
)</f>
        <v>0</v>
      </c>
      <c r="P52" s="32">
        <f t="array" ref="P52">SUM(
    IFERROR(
            VLOOKUP($A52, INDIRECT("EneR!$A$6:$ZZ$1048576"), MATCH(P$1, EneR!$6:$6, 0), FALSE),
            0
        ) +
        IFERROR(
            VLOOKUP($A52, INDIRECT("FebR!$A$6:$ZZ$1048576"), MATCH(P$1, FebR!$6:$6, 0), FALSE),
            0
        ) +
        IFERROR(
            VLOOKUP($A52, INDIRECT("MarR!$A$6:$ZZ$1048576"), MATCH(P$1, MarR!$6:$6, 0), FALSE),
            0
        ) +
        IFERROR(
            VLOOKUP($A52, INDIRECT("AbrR!$A$6:$ZZ$1048576"), MATCH(P$1, AbrR!$6:$6, 0), FALSE),
            0
        ) +
        IFERROR(
            VLOOKUP($A52, INDIRECT("MayR!$A$6:$ZZ$1048576"), MATCH(P$1, MayR!$6:$6, 0), FALSE),
            0
        ) +
        IFERROR(
            VLOOKUP($A52, INDIRECT("JunR!$A$6:$ZZ$1048576"), MATCH(P$1, JunR!$6:$6, 0), FALSE),
            0
        ) +
        IFERROR(
            VLOOKUP($A52, INDIRECT("JulR!$A$6:$ZZ$1048576"), MATCH(P$1, JulR!$6:$6, 0), FALSE),
            0
        ) +
        IFERROR(
            VLOOKUP($A52, INDIRECT("AgoR!$A$6:$ZZ$1048576"), MATCH(P$1, AgoR!$6:$6, 0), FALSE),
            0
        ) +
        IFERROR(
            VLOOKUP($A52, INDIRECT("SepR!$A$6:$ZZ$1048576"), MATCH(P$1, SepR!$6:$6, 0), FALSE),
            0
        ) +
        IFERROR(
            VLOOKUP($A52, INDIRECT("OctR!$A$6:$ZZ$1048576"), MATCH(P$1, OctR!$6:$6, 0), FALSE),
            0
        ) +
        IFERROR(
            VLOOKUP($A52, INDIRECT("NovR!$A$6:$ZZ$1048576"), MATCH(P$1, NovR!$6:$6, 0), FALSE),
            0
        ) +
        IFERROR(
            VLOOKUP($A52, INDIRECT("DicR!$A$6:$ZZ$1048576"), MATCH(P$1, DicR!$6:$6, 0), FALSE),
            0
        )
)</f>
        <v>0</v>
      </c>
      <c r="Q52" s="35">
        <f t="array" ref="Q52">SUM(
    IFERROR(
            VLOOKUP($A52, INDIRECT("EneR!$A$6:$ZZ$1048576"), MATCH(Q$1, EneR!$6:$6, 0), FALSE),
            0
        ) +
        IFERROR(
            VLOOKUP($A52, INDIRECT("FebR!$A$6:$ZZ$1048576"), MATCH(Q$1, FebR!$6:$6, 0), FALSE),
            0
        ) +
        IFERROR(
            VLOOKUP($A52, INDIRECT("MarR!$A$6:$ZZ$1048576"), MATCH(Q$1, MarR!$6:$6, 0), FALSE),
            0
        ) +
        IFERROR(
            VLOOKUP($A52, INDIRECT("AbrR!$A$6:$ZZ$1048576"), MATCH(Q$1, AbrR!$6:$6, 0), FALSE),
            0
        ) +
        IFERROR(
            VLOOKUP($A52, INDIRECT("MayR!$A$6:$ZZ$1048576"), MATCH(Q$1, MayR!$6:$6, 0), FALSE),
            0
        ) +
        IFERROR(
            VLOOKUP($A52, INDIRECT("JunR!$A$6:$ZZ$1048576"), MATCH(Q$1, JunR!$6:$6, 0), FALSE),
            0
        ) +
        IFERROR(
            VLOOKUP($A52, INDIRECT("JulR!$A$6:$ZZ$1048576"), MATCH(Q$1, JulR!$6:$6, 0), FALSE),
            0
        ) +
        IFERROR(
            VLOOKUP($A52, INDIRECT("AgoR!$A$6:$ZZ$1048576"), MATCH(Q$1, AgoR!$6:$6, 0), FALSE),
            0
        ) +
        IFERROR(
            VLOOKUP($A52, INDIRECT("SepR!$A$6:$ZZ$1048576"), MATCH(Q$1, SepR!$6:$6, 0), FALSE),
            0
        ) +
        IFERROR(
            VLOOKUP($A52, INDIRECT("OctR!$A$6:$ZZ$1048576"), MATCH(Q$1, OctR!$6:$6, 0), FALSE),
            0
        ) +
        IFERROR(
            VLOOKUP($A52, INDIRECT("NovR!$A$6:$ZZ$1048576"), MATCH(Q$1, NovR!$6:$6, 0), FALSE),
            0
        ) +
        IFERROR(
            VLOOKUP($A52, INDIRECT("DicR!$A$6:$ZZ$1048576"), MATCH(Q$1, DicR!$6:$6, 0), FALSE),
            0
        )
)</f>
        <v>0</v>
      </c>
      <c r="R52" s="36">
        <f t="array" ref="R52">SUM(
    IFERROR(
            VLOOKUP($A52, INDIRECT("EneR!$A$6:$ZZ$1048576"), MATCH(R$1, EneR!$6:$6, 0), FALSE),
            0
        ) +
        IFERROR(
            VLOOKUP($A52, INDIRECT("FebR!$A$6:$ZZ$1048576"), MATCH(R$1, FebR!$6:$6, 0), FALSE),
            0
        ) +
        IFERROR(
            VLOOKUP($A52, INDIRECT("MarR!$A$6:$ZZ$1048576"), MATCH(R$1, MarR!$6:$6, 0), FALSE),
            0
        ) +
        IFERROR(
            VLOOKUP($A52, INDIRECT("AbrR!$A$6:$ZZ$1048576"), MATCH(R$1, AbrR!$6:$6, 0), FALSE),
            0
        ) +
        IFERROR(
            VLOOKUP($A52, INDIRECT("MayR!$A$6:$ZZ$1048576"), MATCH(R$1, MayR!$6:$6, 0), FALSE),
            0
        ) +
        IFERROR(
            VLOOKUP($A52, INDIRECT("JunR!$A$6:$ZZ$1048576"), MATCH(R$1, JunR!$6:$6, 0), FALSE),
            0
        ) +
        IFERROR(
            VLOOKUP($A52, INDIRECT("JulR!$A$6:$ZZ$1048576"), MATCH(R$1, JulR!$6:$6, 0), FALSE),
            0
        ) +
        IFERROR(
            VLOOKUP($A52, INDIRECT("AgoR!$A$6:$ZZ$1048576"), MATCH(R$1, AgoR!$6:$6, 0), FALSE),
            0
        ) +
        IFERROR(
            VLOOKUP($A52, INDIRECT("SepR!$A$6:$ZZ$1048576"), MATCH(R$1, SepR!$6:$6, 0), FALSE),
            0
        ) +
        IFERROR(
            VLOOKUP($A52, INDIRECT("OctR!$A$6:$ZZ$1048576"), MATCH(R$1, OctR!$6:$6, 0), FALSE),
            0
        ) +
        IFERROR(
            VLOOKUP($A52, INDIRECT("NovR!$A$6:$ZZ$1048576"), MATCH(R$1, NovR!$6:$6, 0), FALSE),
            0
        ) +
        IFERROR(
            VLOOKUP($A52, INDIRECT("DicR!$A$6:$ZZ$1048576"), MATCH(R$1, DicR!$6:$6, 0), FALSE),
            0
        )
)</f>
        <v>0</v>
      </c>
      <c r="S52" s="37">
        <f t="array" ref="S52">SUM(
    IFERROR(
            VLOOKUP($A52, INDIRECT("EneR!$A$6:$ZZ$1048576"), MATCH(S$1, EneR!$6:$6, 0), FALSE),
            0
        ) +
        IFERROR(
            VLOOKUP($A52, INDIRECT("FebR!$A$6:$ZZ$1048576"), MATCH(S$1, FebR!$6:$6, 0), FALSE),
            0
        ) +
        IFERROR(
            VLOOKUP($A52, INDIRECT("MarR!$A$6:$ZZ$1048576"), MATCH(S$1, MarR!$6:$6, 0), FALSE),
            0
        ) +
        IFERROR(
            VLOOKUP($A52, INDIRECT("AbrR!$A$6:$ZZ$1048576"), MATCH(S$1, AbrR!$6:$6, 0), FALSE),
            0
        ) +
        IFERROR(
            VLOOKUP($A52, INDIRECT("MayR!$A$6:$ZZ$1048576"), MATCH(S$1, MayR!$6:$6, 0), FALSE),
            0
        ) +
        IFERROR(
            VLOOKUP($A52, INDIRECT("JunR!$A$6:$ZZ$1048576"), MATCH(S$1, JunR!$6:$6, 0), FALSE),
            0
        ) +
        IFERROR(
            VLOOKUP($A52, INDIRECT("JulR!$A$6:$ZZ$1048576"), MATCH(S$1, JulR!$6:$6, 0), FALSE),
            0
        ) +
        IFERROR(
            VLOOKUP($A52, INDIRECT("AgoR!$A$6:$ZZ$1048576"), MATCH(S$1, AgoR!$6:$6, 0), FALSE),
            0
        ) +
        IFERROR(
            VLOOKUP($A52, INDIRECT("SepR!$A$6:$ZZ$1048576"), MATCH(S$1, SepR!$6:$6, 0), FALSE),
            0
        ) +
        IFERROR(
            VLOOKUP($A52, INDIRECT("OctR!$A$6:$ZZ$1048576"), MATCH(S$1, OctR!$6:$6, 0), FALSE),
            0
        ) +
        IFERROR(
            VLOOKUP($A52, INDIRECT("NovR!$A$6:$ZZ$1048576"), MATCH(S$1, NovR!$6:$6, 0), FALSE),
            0
        ) +
        IFERROR(
            VLOOKUP($A52, INDIRECT("DicR!$A$6:$ZZ$1048576"), MATCH(S$1, DicR!$6:$6, 0), FALSE),
            0
        )
)</f>
        <v>0</v>
      </c>
      <c r="T52" s="36">
        <f t="array" ref="T52">SUM(
    IFERROR(
            VLOOKUP($A52, INDIRECT("EneR!$A$6:$ZZ$1048576"), MATCH(T$1, EneR!$6:$6, 0), FALSE),
            0
        ) +
        IFERROR(
            VLOOKUP($A52, INDIRECT("FebR!$A$6:$ZZ$1048576"), MATCH(T$1, FebR!$6:$6, 0), FALSE),
            0
        ) +
        IFERROR(
            VLOOKUP($A52, INDIRECT("MarR!$A$6:$ZZ$1048576"), MATCH(T$1, MarR!$6:$6, 0), FALSE),
            0
        ) +
        IFERROR(
            VLOOKUP($A52, INDIRECT("AbrR!$A$6:$ZZ$1048576"), MATCH(T$1, AbrR!$6:$6, 0), FALSE),
            0
        ) +
        IFERROR(
            VLOOKUP($A52, INDIRECT("MayR!$A$6:$ZZ$1048576"), MATCH(T$1, MayR!$6:$6, 0), FALSE),
            0
        ) +
        IFERROR(
            VLOOKUP($A52, INDIRECT("JunR!$A$6:$ZZ$1048576"), MATCH(T$1, JunR!$6:$6, 0), FALSE),
            0
        ) +
        IFERROR(
            VLOOKUP($A52, INDIRECT("JulR!$A$6:$ZZ$1048576"), MATCH(T$1, JulR!$6:$6, 0), FALSE),
            0
        ) +
        IFERROR(
            VLOOKUP($A52, INDIRECT("AgoR!$A$6:$ZZ$1048576"), MATCH(T$1, AgoR!$6:$6, 0), FALSE),
            0
        ) +
        IFERROR(
            VLOOKUP($A52, INDIRECT("SepR!$A$6:$ZZ$1048576"), MATCH(T$1, SepR!$6:$6, 0), FALSE),
            0
        ) +
        IFERROR(
            VLOOKUP($A52, INDIRECT("OctR!$A$6:$ZZ$1048576"), MATCH(T$1, OctR!$6:$6, 0), FALSE),
            0
        ) +
        IFERROR(
            VLOOKUP($A52, INDIRECT("NovR!$A$6:$ZZ$1048576"), MATCH(T$1, NovR!$6:$6, 0), FALSE),
            0
        ) +
        IFERROR(
            VLOOKUP($A52, INDIRECT("DicR!$A$6:$ZZ$1048576"), MATCH(T$1, DicR!$6:$6, 0), FALSE),
            0
        )
)</f>
        <v>0</v>
      </c>
      <c r="U52" s="37">
        <f t="array" ref="U52">SUM(
    IFERROR(
            VLOOKUP($A52, INDIRECT("EneR!$A$6:$ZZ$1048576"), MATCH(U$1, EneR!$6:$6, 0), FALSE),
            0
        ) +
        IFERROR(
            VLOOKUP($A52, INDIRECT("FebR!$A$6:$ZZ$1048576"), MATCH(U$1, FebR!$6:$6, 0), FALSE),
            0
        ) +
        IFERROR(
            VLOOKUP($A52, INDIRECT("MarR!$A$6:$ZZ$1048576"), MATCH(U$1, MarR!$6:$6, 0), FALSE),
            0
        ) +
        IFERROR(
            VLOOKUP($A52, INDIRECT("AbrR!$A$6:$ZZ$1048576"), MATCH(U$1, AbrR!$6:$6, 0), FALSE),
            0
        ) +
        IFERROR(
            VLOOKUP($A52, INDIRECT("MayR!$A$6:$ZZ$1048576"), MATCH(U$1, MayR!$6:$6, 0), FALSE),
            0
        ) +
        IFERROR(
            VLOOKUP($A52, INDIRECT("JunR!$A$6:$ZZ$1048576"), MATCH(U$1, JunR!$6:$6, 0), FALSE),
            0
        ) +
        IFERROR(
            VLOOKUP($A52, INDIRECT("JulR!$A$6:$ZZ$1048576"), MATCH(U$1, JulR!$6:$6, 0), FALSE),
            0
        ) +
        IFERROR(
            VLOOKUP($A52, INDIRECT("AgoR!$A$6:$ZZ$1048576"), MATCH(U$1, AgoR!$6:$6, 0), FALSE),
            0
        ) +
        IFERROR(
            VLOOKUP($A52, INDIRECT("SepR!$A$6:$ZZ$1048576"), MATCH(U$1, SepR!$6:$6, 0), FALSE),
            0
        ) +
        IFERROR(
            VLOOKUP($A52, INDIRECT("OctR!$A$6:$ZZ$1048576"), MATCH(U$1, OctR!$6:$6, 0), FALSE),
            0
        ) +
        IFERROR(
            VLOOKUP($A52, INDIRECT("NovR!$A$6:$ZZ$1048576"), MATCH(U$1, NovR!$6:$6, 0), FALSE),
            0
        ) +
        IFERROR(
            VLOOKUP($A52, INDIRECT("DicR!$A$6:$ZZ$1048576"), MATCH(U$1, DicR!$6:$6, 0), FALSE),
            0
        )
)</f>
        <v>0</v>
      </c>
      <c r="V52" s="36">
        <f t="array" ref="V52">SUM(
    IFERROR(
            VLOOKUP($A52, INDIRECT("EneR!$A$6:$ZZ$1048576"), MATCH(V$1, EneR!$6:$6, 0), FALSE),
            0
        ) +
        IFERROR(
            VLOOKUP($A52, INDIRECT("FebR!$A$6:$ZZ$1048576"), MATCH(V$1, FebR!$6:$6, 0), FALSE),
            0
        ) +
        IFERROR(
            VLOOKUP($A52, INDIRECT("MarR!$A$6:$ZZ$1048576"), MATCH(V$1, MarR!$6:$6, 0), FALSE),
            0
        ) +
        IFERROR(
            VLOOKUP($A52, INDIRECT("AbrR!$A$6:$ZZ$1048576"), MATCH(V$1, AbrR!$6:$6, 0), FALSE),
            0
        ) +
        IFERROR(
            VLOOKUP($A52, INDIRECT("MayR!$A$6:$ZZ$1048576"), MATCH(V$1, MayR!$6:$6, 0), FALSE),
            0
        ) +
        IFERROR(
            VLOOKUP($A52, INDIRECT("JunR!$A$6:$ZZ$1048576"), MATCH(V$1, JunR!$6:$6, 0), FALSE),
            0
        ) +
        IFERROR(
            VLOOKUP($A52, INDIRECT("JulR!$A$6:$ZZ$1048576"), MATCH(V$1, JulR!$6:$6, 0), FALSE),
            0
        ) +
        IFERROR(
            VLOOKUP($A52, INDIRECT("AgoR!$A$6:$ZZ$1048576"), MATCH(V$1, AgoR!$6:$6, 0), FALSE),
            0
        ) +
        IFERROR(
            VLOOKUP($A52, INDIRECT("SepR!$A$6:$ZZ$1048576"), MATCH(V$1, SepR!$6:$6, 0), FALSE),
            0
        ) +
        IFERROR(
            VLOOKUP($A52, INDIRECT("OctR!$A$6:$ZZ$1048576"), MATCH(V$1, OctR!$6:$6, 0), FALSE),
            0
        ) +
        IFERROR(
            VLOOKUP($A52, INDIRECT("NovR!$A$6:$ZZ$1048576"), MATCH(V$1, NovR!$6:$6, 0), FALSE),
            0
        ) +
        IFERROR(
            VLOOKUP($A52, INDIRECT("DicR!$A$6:$ZZ$1048576"), MATCH(V$1, DicR!$6:$6, 0), FALSE),
            0
        )
)</f>
        <v>0</v>
      </c>
      <c r="W52" s="37">
        <f t="array" ref="W52">SUM(
    IFERROR(
            VLOOKUP($A52, INDIRECT("EneR!$A$6:$ZZ$1048576"), MATCH(W$1, EneR!$6:$6, 0), FALSE),
            0
        ) +
        IFERROR(
            VLOOKUP($A52, INDIRECT("FebR!$A$6:$ZZ$1048576"), MATCH(W$1, FebR!$6:$6, 0), FALSE),
            0
        ) +
        IFERROR(
            VLOOKUP($A52, INDIRECT("MarR!$A$6:$ZZ$1048576"), MATCH(W$1, MarR!$6:$6, 0), FALSE),
            0
        ) +
        IFERROR(
            VLOOKUP($A52, INDIRECT("AbrR!$A$6:$ZZ$1048576"), MATCH(W$1, AbrR!$6:$6, 0), FALSE),
            0
        ) +
        IFERROR(
            VLOOKUP($A52, INDIRECT("MayR!$A$6:$ZZ$1048576"), MATCH(W$1, MayR!$6:$6, 0), FALSE),
            0
        ) +
        IFERROR(
            VLOOKUP($A52, INDIRECT("JunR!$A$6:$ZZ$1048576"), MATCH(W$1, JunR!$6:$6, 0), FALSE),
            0
        ) +
        IFERROR(
            VLOOKUP($A52, INDIRECT("JulR!$A$6:$ZZ$1048576"), MATCH(W$1, JulR!$6:$6, 0), FALSE),
            0
        ) +
        IFERROR(
            VLOOKUP($A52, INDIRECT("AgoR!$A$6:$ZZ$1048576"), MATCH(W$1, AgoR!$6:$6, 0), FALSE),
            0
        ) +
        IFERROR(
            VLOOKUP($A52, INDIRECT("SepR!$A$6:$ZZ$1048576"), MATCH(W$1, SepR!$6:$6, 0), FALSE),
            0
        ) +
        IFERROR(
            VLOOKUP($A52, INDIRECT("OctR!$A$6:$ZZ$1048576"), MATCH(W$1, OctR!$6:$6, 0), FALSE),
            0
        ) +
        IFERROR(
            VLOOKUP($A52, INDIRECT("NovR!$A$6:$ZZ$1048576"), MATCH(W$1, NovR!$6:$6, 0), FALSE),
            0
        ) +
        IFERROR(
            VLOOKUP($A52, INDIRECT("DicR!$A$6:$ZZ$1048576"), MATCH(W$1, DicR!$6:$6, 0), FALSE),
            0
        )
)</f>
        <v>0</v>
      </c>
      <c r="X52" s="36">
        <f t="array" ref="X52">SUM(
    IFERROR(
            VLOOKUP($A52, INDIRECT("EneR!$A$6:$ZZ$1048576"), MATCH(X$1, EneR!$6:$6, 0), FALSE),
            0
        ) +
        IFERROR(
            VLOOKUP($A52, INDIRECT("FebR!$A$6:$ZZ$1048576"), MATCH(X$1, FebR!$6:$6, 0), FALSE),
            0
        ) +
        IFERROR(
            VLOOKUP($A52, INDIRECT("MarR!$A$6:$ZZ$1048576"), MATCH(X$1, MarR!$6:$6, 0), FALSE),
            0
        ) +
        IFERROR(
            VLOOKUP($A52, INDIRECT("AbrR!$A$6:$ZZ$1048576"), MATCH(X$1, AbrR!$6:$6, 0), FALSE),
            0
        ) +
        IFERROR(
            VLOOKUP($A52, INDIRECT("MayR!$A$6:$ZZ$1048576"), MATCH(X$1, MayR!$6:$6, 0), FALSE),
            0
        ) +
        IFERROR(
            VLOOKUP($A52, INDIRECT("JunR!$A$6:$ZZ$1048576"), MATCH(X$1, JunR!$6:$6, 0), FALSE),
            0
        ) +
        IFERROR(
            VLOOKUP($A52, INDIRECT("JulR!$A$6:$ZZ$1048576"), MATCH(X$1, JulR!$6:$6, 0), FALSE),
            0
        ) +
        IFERROR(
            VLOOKUP($A52, INDIRECT("AgoR!$A$6:$ZZ$1048576"), MATCH(X$1, AgoR!$6:$6, 0), FALSE),
            0
        ) +
        IFERROR(
            VLOOKUP($A52, INDIRECT("SepR!$A$6:$ZZ$1048576"), MATCH(X$1, SepR!$6:$6, 0), FALSE),
            0
        ) +
        IFERROR(
            VLOOKUP($A52, INDIRECT("OctR!$A$6:$ZZ$1048576"), MATCH(X$1, OctR!$6:$6, 0), FALSE),
            0
        ) +
        IFERROR(
            VLOOKUP($A52, INDIRECT("NovR!$A$6:$ZZ$1048576"), MATCH(X$1, NovR!$6:$6, 0), FALSE),
            0
        ) +
        IFERROR(
            VLOOKUP($A52, INDIRECT("DicR!$A$6:$ZZ$1048576"), MATCH(X$1, DicR!$6:$6, 0), FALSE),
            0
        )
)</f>
        <v>0</v>
      </c>
      <c r="Y52" s="37">
        <f t="array" ref="Y52">SUM(
    IFERROR(
            VLOOKUP($A52, INDIRECT("EneR!$A$6:$ZZ$1048576"), MATCH(Y$1, EneR!$6:$6, 0), FALSE),
            0
        ) +
        IFERROR(
            VLOOKUP($A52, INDIRECT("FebR!$A$6:$ZZ$1048576"), MATCH(Y$1, FebR!$6:$6, 0), FALSE),
            0
        ) +
        IFERROR(
            VLOOKUP($A52, INDIRECT("MarR!$A$6:$ZZ$1048576"), MATCH(Y$1, MarR!$6:$6, 0), FALSE),
            0
        ) +
        IFERROR(
            VLOOKUP($A52, INDIRECT("AbrR!$A$6:$ZZ$1048576"), MATCH(Y$1, AbrR!$6:$6, 0), FALSE),
            0
        ) +
        IFERROR(
            VLOOKUP($A52, INDIRECT("MayR!$A$6:$ZZ$1048576"), MATCH(Y$1, MayR!$6:$6, 0), FALSE),
            0
        ) +
        IFERROR(
            VLOOKUP($A52, INDIRECT("JunR!$A$6:$ZZ$1048576"), MATCH(Y$1, JunR!$6:$6, 0), FALSE),
            0
        ) +
        IFERROR(
            VLOOKUP($A52, INDIRECT("JulR!$A$6:$ZZ$1048576"), MATCH(Y$1, JulR!$6:$6, 0), FALSE),
            0
        ) +
        IFERROR(
            VLOOKUP($A52, INDIRECT("AgoR!$A$6:$ZZ$1048576"), MATCH(Y$1, AgoR!$6:$6, 0), FALSE),
            0
        ) +
        IFERROR(
            VLOOKUP($A52, INDIRECT("SepR!$A$6:$ZZ$1048576"), MATCH(Y$1, SepR!$6:$6, 0), FALSE),
            0
        ) +
        IFERROR(
            VLOOKUP($A52, INDIRECT("OctR!$A$6:$ZZ$1048576"), MATCH(Y$1, OctR!$6:$6, 0), FALSE),
            0
        ) +
        IFERROR(
            VLOOKUP($A52, INDIRECT("NovR!$A$6:$ZZ$1048576"), MATCH(Y$1, NovR!$6:$6, 0), FALSE),
            0
        ) +
        IFERROR(
            VLOOKUP($A52, INDIRECT("DicR!$A$6:$ZZ$1048576"), MATCH(Y$1, DicR!$6:$6, 0), FALSE),
            0
        )
)</f>
        <v>0</v>
      </c>
      <c r="Z52" s="36">
        <f t="array" ref="Z52">SUM(
    IFERROR(
            VLOOKUP($A52, INDIRECT("EneR!$A$6:$ZZ$1048576"), MATCH(Z$1, EneR!$6:$6, 0), FALSE),
            0
        ) +
        IFERROR(
            VLOOKUP($A52, INDIRECT("FebR!$A$6:$ZZ$1048576"), MATCH(Z$1, FebR!$6:$6, 0), FALSE),
            0
        ) +
        IFERROR(
            VLOOKUP($A52, INDIRECT("MarR!$A$6:$ZZ$1048576"), MATCH(Z$1, MarR!$6:$6, 0), FALSE),
            0
        ) +
        IFERROR(
            VLOOKUP($A52, INDIRECT("AbrR!$A$6:$ZZ$1048576"), MATCH(Z$1, AbrR!$6:$6, 0), FALSE),
            0
        ) +
        IFERROR(
            VLOOKUP($A52, INDIRECT("MayR!$A$6:$ZZ$1048576"), MATCH(Z$1, MayR!$6:$6, 0), FALSE),
            0
        ) +
        IFERROR(
            VLOOKUP($A52, INDIRECT("JunR!$A$6:$ZZ$1048576"), MATCH(Z$1, JunR!$6:$6, 0), FALSE),
            0
        ) +
        IFERROR(
            VLOOKUP($A52, INDIRECT("JulR!$A$6:$ZZ$1048576"), MATCH(Z$1, JulR!$6:$6, 0), FALSE),
            0
        ) +
        IFERROR(
            VLOOKUP($A52, INDIRECT("AgoR!$A$6:$ZZ$1048576"), MATCH(Z$1, AgoR!$6:$6, 0), FALSE),
            0
        ) +
        IFERROR(
            VLOOKUP($A52, INDIRECT("SepR!$A$6:$ZZ$1048576"), MATCH(Z$1, SepR!$6:$6, 0), FALSE),
            0
        ) +
        IFERROR(
            VLOOKUP($A52, INDIRECT("OctR!$A$6:$ZZ$1048576"), MATCH(Z$1, OctR!$6:$6, 0), FALSE),
            0
        ) +
        IFERROR(
            VLOOKUP($A52, INDIRECT("NovR!$A$6:$ZZ$1048576"), MATCH(Z$1, NovR!$6:$6, 0), FALSE),
            0
        ) +
        IFERROR(
            VLOOKUP($A52, INDIRECT("DicR!$A$6:$ZZ$1048576"), MATCH(Z$1, DicR!$6:$6, 0), FALSE),
            0
        )
)</f>
        <v>0</v>
      </c>
      <c r="AA52" s="37">
        <f t="array" ref="AA52">SUM(
    IFERROR(
            VLOOKUP($A52, INDIRECT("EneR!$A$6:$ZZ$1048576"), MATCH(AA$1, EneR!$6:$6, 0), FALSE),
            0
        ) +
        IFERROR(
            VLOOKUP($A52, INDIRECT("FebR!$A$6:$ZZ$1048576"), MATCH(AA$1, FebR!$6:$6, 0), FALSE),
            0
        ) +
        IFERROR(
            VLOOKUP($A52, INDIRECT("MarR!$A$6:$ZZ$1048576"), MATCH(AA$1, MarR!$6:$6, 0), FALSE),
            0
        ) +
        IFERROR(
            VLOOKUP($A52, INDIRECT("AbrR!$A$6:$ZZ$1048576"), MATCH(AA$1, AbrR!$6:$6, 0), FALSE),
            0
        ) +
        IFERROR(
            VLOOKUP($A52, INDIRECT("MayR!$A$6:$ZZ$1048576"), MATCH(AA$1, MayR!$6:$6, 0), FALSE),
            0
        ) +
        IFERROR(
            VLOOKUP($A52, INDIRECT("JunR!$A$6:$ZZ$1048576"), MATCH(AA$1, JunR!$6:$6, 0), FALSE),
            0
        ) +
        IFERROR(
            VLOOKUP($A52, INDIRECT("JulR!$A$6:$ZZ$1048576"), MATCH(AA$1, JulR!$6:$6, 0), FALSE),
            0
        ) +
        IFERROR(
            VLOOKUP($A52, INDIRECT("AgoR!$A$6:$ZZ$1048576"), MATCH(AA$1, AgoR!$6:$6, 0), FALSE),
            0
        ) +
        IFERROR(
            VLOOKUP($A52, INDIRECT("SepR!$A$6:$ZZ$1048576"), MATCH(AA$1, SepR!$6:$6, 0), FALSE),
            0
        ) +
        IFERROR(
            VLOOKUP($A52, INDIRECT("OctR!$A$6:$ZZ$1048576"), MATCH(AA$1, OctR!$6:$6, 0), FALSE),
            0
        ) +
        IFERROR(
            VLOOKUP($A52, INDIRECT("NovR!$A$6:$ZZ$1048576"), MATCH(AA$1, NovR!$6:$6, 0), FALSE),
            0
        ) +
        IFERROR(
            VLOOKUP($A52, INDIRECT("DicR!$A$6:$ZZ$1048576"), MATCH(AA$1, DicR!$6:$6, 0), FALSE),
            0
        )
)</f>
        <v>0</v>
      </c>
      <c r="AB52" s="36">
        <f t="array" ref="AB52">SUM(
    IFERROR(
            VLOOKUP($A52, INDIRECT("EneR!$A$6:$ZZ$1048576"), MATCH(AB$1, EneR!$6:$6, 0), FALSE),
            0
        ) +
        IFERROR(
            VLOOKUP($A52, INDIRECT("FebR!$A$6:$ZZ$1048576"), MATCH(AB$1, FebR!$6:$6, 0), FALSE),
            0
        ) +
        IFERROR(
            VLOOKUP($A52, INDIRECT("MarR!$A$6:$ZZ$1048576"), MATCH(AB$1, MarR!$6:$6, 0), FALSE),
            0
        ) +
        IFERROR(
            VLOOKUP($A52, INDIRECT("AbrR!$A$6:$ZZ$1048576"), MATCH(AB$1, AbrR!$6:$6, 0), FALSE),
            0
        ) +
        IFERROR(
            VLOOKUP($A52, INDIRECT("MayR!$A$6:$ZZ$1048576"), MATCH(AB$1, MayR!$6:$6, 0), FALSE),
            0
        ) +
        IFERROR(
            VLOOKUP($A52, INDIRECT("JunR!$A$6:$ZZ$1048576"), MATCH(AB$1, JunR!$6:$6, 0), FALSE),
            0
        ) +
        IFERROR(
            VLOOKUP($A52, INDIRECT("JulR!$A$6:$ZZ$1048576"), MATCH(AB$1, JulR!$6:$6, 0), FALSE),
            0
        ) +
        IFERROR(
            VLOOKUP($A52, INDIRECT("AgoR!$A$6:$ZZ$1048576"), MATCH(AB$1, AgoR!$6:$6, 0), FALSE),
            0
        ) +
        IFERROR(
            VLOOKUP($A52, INDIRECT("SepR!$A$6:$ZZ$1048576"), MATCH(AB$1, SepR!$6:$6, 0), FALSE),
            0
        ) +
        IFERROR(
            VLOOKUP($A52, INDIRECT("OctR!$A$6:$ZZ$1048576"), MATCH(AB$1, OctR!$6:$6, 0), FALSE),
            0
        ) +
        IFERROR(
            VLOOKUP($A52, INDIRECT("NovR!$A$6:$ZZ$1048576"), MATCH(AB$1, NovR!$6:$6, 0), FALSE),
            0
        ) +
        IFERROR(
            VLOOKUP($A52, INDIRECT("DicR!$A$6:$ZZ$1048576"), MATCH(AB$1, DicR!$6:$6, 0), FALSE),
            0
        )
)</f>
        <v>0</v>
      </c>
      <c r="AC52" s="37">
        <f t="array" ref="AC52">SUM(
    IFERROR(
            VLOOKUP($A52, INDIRECT("EneR!$A$6:$ZZ$1048576"), MATCH(AC$1, EneR!$6:$6, 0), FALSE),
            0
        ) +
        IFERROR(
            VLOOKUP($A52, INDIRECT("FebR!$A$6:$ZZ$1048576"), MATCH(AC$1, FebR!$6:$6, 0), FALSE),
            0
        ) +
        IFERROR(
            VLOOKUP($A52, INDIRECT("MarR!$A$6:$ZZ$1048576"), MATCH(AC$1, MarR!$6:$6, 0), FALSE),
            0
        ) +
        IFERROR(
            VLOOKUP($A52, INDIRECT("AbrR!$A$6:$ZZ$1048576"), MATCH(AC$1, AbrR!$6:$6, 0), FALSE),
            0
        ) +
        IFERROR(
            VLOOKUP($A52, INDIRECT("MayR!$A$6:$ZZ$1048576"), MATCH(AC$1, MayR!$6:$6, 0), FALSE),
            0
        ) +
        IFERROR(
            VLOOKUP($A52, INDIRECT("JunR!$A$6:$ZZ$1048576"), MATCH(AC$1, JunR!$6:$6, 0), FALSE),
            0
        ) +
        IFERROR(
            VLOOKUP($A52, INDIRECT("JulR!$A$6:$ZZ$1048576"), MATCH(AC$1, JulR!$6:$6, 0), FALSE),
            0
        ) +
        IFERROR(
            VLOOKUP($A52, INDIRECT("AgoR!$A$6:$ZZ$1048576"), MATCH(AC$1, AgoR!$6:$6, 0), FALSE),
            0
        ) +
        IFERROR(
            VLOOKUP($A52, INDIRECT("SepR!$A$6:$ZZ$1048576"), MATCH(AC$1, SepR!$6:$6, 0), FALSE),
            0
        ) +
        IFERROR(
            VLOOKUP($A52, INDIRECT("OctR!$A$6:$ZZ$1048576"), MATCH(AC$1, OctR!$6:$6, 0), FALSE),
            0
        ) +
        IFERROR(
            VLOOKUP($A52, INDIRECT("NovR!$A$6:$ZZ$1048576"), MATCH(AC$1, NovR!$6:$6, 0), FALSE),
            0
        ) +
        IFERROR(
            VLOOKUP($A52, INDIRECT("DicR!$A$6:$ZZ$1048576"), MATCH(AC$1, DicR!$6:$6, 0), FALSE),
            0
        )
)</f>
        <v>0</v>
      </c>
      <c r="AD52" s="36">
        <f t="array" ref="AD52">SUM(
    IFERROR(
            VLOOKUP($A52, INDIRECT("EneR!$A$6:$ZZ$1048576"), MATCH(AD$1, EneR!$6:$6, 0), FALSE),
            0
        ) +
        IFERROR(
            VLOOKUP($A52, INDIRECT("FebR!$A$6:$ZZ$1048576"), MATCH(AD$1, FebR!$6:$6, 0), FALSE),
            0
        ) +
        IFERROR(
            VLOOKUP($A52, INDIRECT("MarR!$A$6:$ZZ$1048576"), MATCH(AD$1, MarR!$6:$6, 0), FALSE),
            0
        ) +
        IFERROR(
            VLOOKUP($A52, INDIRECT("AbrR!$A$6:$ZZ$1048576"), MATCH(AD$1, AbrR!$6:$6, 0), FALSE),
            0
        ) +
        IFERROR(
            VLOOKUP($A52, INDIRECT("MayR!$A$6:$ZZ$1048576"), MATCH(AD$1, MayR!$6:$6, 0), FALSE),
            0
        ) +
        IFERROR(
            VLOOKUP($A52, INDIRECT("JunR!$A$6:$ZZ$1048576"), MATCH(AD$1, JunR!$6:$6, 0), FALSE),
            0
        ) +
        IFERROR(
            VLOOKUP($A52, INDIRECT("JulR!$A$6:$ZZ$1048576"), MATCH(AD$1, JulR!$6:$6, 0), FALSE),
            0
        ) +
        IFERROR(
            VLOOKUP($A52, INDIRECT("AgoR!$A$6:$ZZ$1048576"), MATCH(AD$1, AgoR!$6:$6, 0), FALSE),
            0
        ) +
        IFERROR(
            VLOOKUP($A52, INDIRECT("SepR!$A$6:$ZZ$1048576"), MATCH(AD$1, SepR!$6:$6, 0), FALSE),
            0
        ) +
        IFERROR(
            VLOOKUP($A52, INDIRECT("OctR!$A$6:$ZZ$1048576"), MATCH(AD$1, OctR!$6:$6, 0), FALSE),
            0
        ) +
        IFERROR(
            VLOOKUP($A52, INDIRECT("NovR!$A$6:$ZZ$1048576"), MATCH(AD$1, NovR!$6:$6, 0), FALSE),
            0
        ) +
        IFERROR(
            VLOOKUP($A52, INDIRECT("DicR!$A$6:$ZZ$1048576"), MATCH(AD$1, DicR!$6:$6, 0), FALSE),
            0
        )
)</f>
        <v>0</v>
      </c>
      <c r="AE52" s="37">
        <f t="array" ref="AE52">SUM(
    IFERROR(
            VLOOKUP($A52, INDIRECT("EneR!$A$6:$ZZ$1048576"), MATCH(AE$1, EneR!$6:$6, 0), FALSE),
            0
        ) +
        IFERROR(
            VLOOKUP($A52, INDIRECT("FebR!$A$6:$ZZ$1048576"), MATCH(AE$1, FebR!$6:$6, 0), FALSE),
            0
        ) +
        IFERROR(
            VLOOKUP($A52, INDIRECT("MarR!$A$6:$ZZ$1048576"), MATCH(AE$1, MarR!$6:$6, 0), FALSE),
            0
        ) +
        IFERROR(
            VLOOKUP($A52, INDIRECT("AbrR!$A$6:$ZZ$1048576"), MATCH(AE$1, AbrR!$6:$6, 0), FALSE),
            0
        ) +
        IFERROR(
            VLOOKUP($A52, INDIRECT("MayR!$A$6:$ZZ$1048576"), MATCH(AE$1, MayR!$6:$6, 0), FALSE),
            0
        ) +
        IFERROR(
            VLOOKUP($A52, INDIRECT("JunR!$A$6:$ZZ$1048576"), MATCH(AE$1, JunR!$6:$6, 0), FALSE),
            0
        ) +
        IFERROR(
            VLOOKUP($A52, INDIRECT("JulR!$A$6:$ZZ$1048576"), MATCH(AE$1, JulR!$6:$6, 0), FALSE),
            0
        ) +
        IFERROR(
            VLOOKUP($A52, INDIRECT("AgoR!$A$6:$ZZ$1048576"), MATCH(AE$1, AgoR!$6:$6, 0), FALSE),
            0
        ) +
        IFERROR(
            VLOOKUP($A52, INDIRECT("SepR!$A$6:$ZZ$1048576"), MATCH(AE$1, SepR!$6:$6, 0), FALSE),
            0
        ) +
        IFERROR(
            VLOOKUP($A52, INDIRECT("OctR!$A$6:$ZZ$1048576"), MATCH(AE$1, OctR!$6:$6, 0), FALSE),
            0
        ) +
        IFERROR(
            VLOOKUP($A52, INDIRECT("NovR!$A$6:$ZZ$1048576"), MATCH(AE$1, NovR!$6:$6, 0), FALSE),
            0
        ) +
        IFERROR(
            VLOOKUP($A52, INDIRECT("DicR!$A$6:$ZZ$1048576"), MATCH(AE$1, DicR!$6:$6, 0), FALSE),
            0
        )
)</f>
        <v>0</v>
      </c>
      <c r="AF52" s="36">
        <f t="array" ref="AF52">SUM(
    IFERROR(
            VLOOKUP($A52, INDIRECT("EneR!$A$6:$ZZ$1048576"), MATCH(AF$1, EneR!$6:$6, 0), FALSE),
            0
        ) +
        IFERROR(
            VLOOKUP($A52, INDIRECT("FebR!$A$6:$ZZ$1048576"), MATCH(AF$1, FebR!$6:$6, 0), FALSE),
            0
        ) +
        IFERROR(
            VLOOKUP($A52, INDIRECT("MarR!$A$6:$ZZ$1048576"), MATCH(AF$1, MarR!$6:$6, 0), FALSE),
            0
        ) +
        IFERROR(
            VLOOKUP($A52, INDIRECT("AbrR!$A$6:$ZZ$1048576"), MATCH(AF$1, AbrR!$6:$6, 0), FALSE),
            0
        ) +
        IFERROR(
            VLOOKUP($A52, INDIRECT("MayR!$A$6:$ZZ$1048576"), MATCH(AF$1, MayR!$6:$6, 0), FALSE),
            0
        ) +
        IFERROR(
            VLOOKUP($A52, INDIRECT("JunR!$A$6:$ZZ$1048576"), MATCH(AF$1, JunR!$6:$6, 0), FALSE),
            0
        ) +
        IFERROR(
            VLOOKUP($A52, INDIRECT("JulR!$A$6:$ZZ$1048576"), MATCH(AF$1, JulR!$6:$6, 0), FALSE),
            0
        ) +
        IFERROR(
            VLOOKUP($A52, INDIRECT("AgoR!$A$6:$ZZ$1048576"), MATCH(AF$1, AgoR!$6:$6, 0), FALSE),
            0
        ) +
        IFERROR(
            VLOOKUP($A52, INDIRECT("SepR!$A$6:$ZZ$1048576"), MATCH(AF$1, SepR!$6:$6, 0), FALSE),
            0
        ) +
        IFERROR(
            VLOOKUP($A52, INDIRECT("OctR!$A$6:$ZZ$1048576"), MATCH(AF$1, OctR!$6:$6, 0), FALSE),
            0
        ) +
        IFERROR(
            VLOOKUP($A52, INDIRECT("NovR!$A$6:$ZZ$1048576"), MATCH(AF$1, NovR!$6:$6, 0), FALSE),
            0
        ) +
        IFERROR(
            VLOOKUP($A52, INDIRECT("DicR!$A$6:$ZZ$1048576"), MATCH(AF$1, DicR!$6:$6, 0), FALSE),
            0
        )
)</f>
        <v>0</v>
      </c>
      <c r="AG52" s="37">
        <f t="array" ref="AG52">SUM(
    IFERROR(
            VLOOKUP($A52, INDIRECT("EneR!$A$6:$ZZ$1048576"), MATCH(AG$1, EneR!$6:$6, 0), FALSE),
            0
        ) +
        IFERROR(
            VLOOKUP($A52, INDIRECT("FebR!$A$6:$ZZ$1048576"), MATCH(AG$1, FebR!$6:$6, 0), FALSE),
            0
        ) +
        IFERROR(
            VLOOKUP($A52, INDIRECT("MarR!$A$6:$ZZ$1048576"), MATCH(AG$1, MarR!$6:$6, 0), FALSE),
            0
        ) +
        IFERROR(
            VLOOKUP($A52, INDIRECT("AbrR!$A$6:$ZZ$1048576"), MATCH(AG$1, AbrR!$6:$6, 0), FALSE),
            0
        ) +
        IFERROR(
            VLOOKUP($A52, INDIRECT("MayR!$A$6:$ZZ$1048576"), MATCH(AG$1, MayR!$6:$6, 0), FALSE),
            0
        ) +
        IFERROR(
            VLOOKUP($A52, INDIRECT("JunR!$A$6:$ZZ$1048576"), MATCH(AG$1, JunR!$6:$6, 0), FALSE),
            0
        ) +
        IFERROR(
            VLOOKUP($A52, INDIRECT("JulR!$A$6:$ZZ$1048576"), MATCH(AG$1, JulR!$6:$6, 0), FALSE),
            0
        ) +
        IFERROR(
            VLOOKUP($A52, INDIRECT("AgoR!$A$6:$ZZ$1048576"), MATCH(AG$1, AgoR!$6:$6, 0), FALSE),
            0
        ) +
        IFERROR(
            VLOOKUP($A52, INDIRECT("SepR!$A$6:$ZZ$1048576"), MATCH(AG$1, SepR!$6:$6, 0), FALSE),
            0
        ) +
        IFERROR(
            VLOOKUP($A52, INDIRECT("OctR!$A$6:$ZZ$1048576"), MATCH(AG$1, OctR!$6:$6, 0), FALSE),
            0
        ) +
        IFERROR(
            VLOOKUP($A52, INDIRECT("NovR!$A$6:$ZZ$1048576"), MATCH(AG$1, NovR!$6:$6, 0), FALSE),
            0
        ) +
        IFERROR(
            VLOOKUP($A52, INDIRECT("DicR!$A$6:$ZZ$1048576"), MATCH(AG$1, DicR!$6:$6, 0), FALSE),
            0
        )
)</f>
        <v>0</v>
      </c>
      <c r="AH52" s="36">
        <f t="array" ref="AH52">SUM(
    IFERROR(
            VLOOKUP($A52, INDIRECT("EneR!$A$6:$ZZ$1048576"), MATCH(AH$1, EneR!$6:$6, 0), FALSE),
            0
        ) +
        IFERROR(
            VLOOKUP($A52, INDIRECT("FebR!$A$6:$ZZ$1048576"), MATCH(AH$1, FebR!$6:$6, 0), FALSE),
            0
        ) +
        IFERROR(
            VLOOKUP($A52, INDIRECT("MarR!$A$6:$ZZ$1048576"), MATCH(AH$1, MarR!$6:$6, 0), FALSE),
            0
        ) +
        IFERROR(
            VLOOKUP($A52, INDIRECT("AbrR!$A$6:$ZZ$1048576"), MATCH(AH$1, AbrR!$6:$6, 0), FALSE),
            0
        ) +
        IFERROR(
            VLOOKUP($A52, INDIRECT("MayR!$A$6:$ZZ$1048576"), MATCH(AH$1, MayR!$6:$6, 0), FALSE),
            0
        ) +
        IFERROR(
            VLOOKUP($A52, INDIRECT("JunR!$A$6:$ZZ$1048576"), MATCH(AH$1, JunR!$6:$6, 0), FALSE),
            0
        ) +
        IFERROR(
            VLOOKUP($A52, INDIRECT("JulR!$A$6:$ZZ$1048576"), MATCH(AH$1, JulR!$6:$6, 0), FALSE),
            0
        ) +
        IFERROR(
            VLOOKUP($A52, INDIRECT("AgoR!$A$6:$ZZ$1048576"), MATCH(AH$1, AgoR!$6:$6, 0), FALSE),
            0
        ) +
        IFERROR(
            VLOOKUP($A52, INDIRECT("SepR!$A$6:$ZZ$1048576"), MATCH(AH$1, SepR!$6:$6, 0), FALSE),
            0
        ) +
        IFERROR(
            VLOOKUP($A52, INDIRECT("OctR!$A$6:$ZZ$1048576"), MATCH(AH$1, OctR!$6:$6, 0), FALSE),
            0
        ) +
        IFERROR(
            VLOOKUP($A52, INDIRECT("NovR!$A$6:$ZZ$1048576"), MATCH(AH$1, NovR!$6:$6, 0), FALSE),
            0
        ) +
        IFERROR(
            VLOOKUP($A52, INDIRECT("DicR!$A$6:$ZZ$1048576"), MATCH(AH$1, DicR!$6:$6, 0), FALSE),
            0
        )
)</f>
        <v>0</v>
      </c>
      <c r="AI52" s="37">
        <f t="array" ref="AI52">SUM(
    IFERROR(
            VLOOKUP($A52, INDIRECT("EneR!$A$6:$ZZ$1048576"), MATCH(AI$1, EneR!$6:$6, 0), FALSE),
            0
        ) +
        IFERROR(
            VLOOKUP($A52, INDIRECT("FebR!$A$6:$ZZ$1048576"), MATCH(AI$1, FebR!$6:$6, 0), FALSE),
            0
        ) +
        IFERROR(
            VLOOKUP($A52, INDIRECT("MarR!$A$6:$ZZ$1048576"), MATCH(AI$1, MarR!$6:$6, 0), FALSE),
            0
        ) +
        IFERROR(
            VLOOKUP($A52, INDIRECT("AbrR!$A$6:$ZZ$1048576"), MATCH(AI$1, AbrR!$6:$6, 0), FALSE),
            0
        ) +
        IFERROR(
            VLOOKUP($A52, INDIRECT("MayR!$A$6:$ZZ$1048576"), MATCH(AI$1, MayR!$6:$6, 0), FALSE),
            0
        ) +
        IFERROR(
            VLOOKUP($A52, INDIRECT("JunR!$A$6:$ZZ$1048576"), MATCH(AI$1, JunR!$6:$6, 0), FALSE),
            0
        ) +
        IFERROR(
            VLOOKUP($A52, INDIRECT("JulR!$A$6:$ZZ$1048576"), MATCH(AI$1, JulR!$6:$6, 0), FALSE),
            0
        ) +
        IFERROR(
            VLOOKUP($A52, INDIRECT("AgoR!$A$6:$ZZ$1048576"), MATCH(AI$1, AgoR!$6:$6, 0), FALSE),
            0
        ) +
        IFERROR(
            VLOOKUP($A52, INDIRECT("SepR!$A$6:$ZZ$1048576"), MATCH(AI$1, SepR!$6:$6, 0), FALSE),
            0
        ) +
        IFERROR(
            VLOOKUP($A52, INDIRECT("OctR!$A$6:$ZZ$1048576"), MATCH(AI$1, OctR!$6:$6, 0), FALSE),
            0
        ) +
        IFERROR(
            VLOOKUP($A52, INDIRECT("NovR!$A$6:$ZZ$1048576"), MATCH(AI$1, NovR!$6:$6, 0), FALSE),
            0
        ) +
        IFERROR(
            VLOOKUP($A52, INDIRECT("DicR!$A$6:$ZZ$1048576"), MATCH(AI$1, DicR!$6:$6, 0), FALSE),
            0
        )
)</f>
        <v>0</v>
      </c>
      <c r="AJ52" s="36">
        <f t="array" ref="AJ52">SUM(
    IFERROR(
            VLOOKUP($A52, INDIRECT("EneR!$A$6:$ZZ$1048576"), MATCH(AJ$1, EneR!$6:$6, 0), FALSE),
            0
        ) +
        IFERROR(
            VLOOKUP($A52, INDIRECT("FebR!$A$6:$ZZ$1048576"), MATCH(AJ$1, FebR!$6:$6, 0), FALSE),
            0
        ) +
        IFERROR(
            VLOOKUP($A52, INDIRECT("MarR!$A$6:$ZZ$1048576"), MATCH(AJ$1, MarR!$6:$6, 0), FALSE),
            0
        ) +
        IFERROR(
            VLOOKUP($A52, INDIRECT("AbrR!$A$6:$ZZ$1048576"), MATCH(AJ$1, AbrR!$6:$6, 0), FALSE),
            0
        ) +
        IFERROR(
            VLOOKUP($A52, INDIRECT("MayR!$A$6:$ZZ$1048576"), MATCH(AJ$1, MayR!$6:$6, 0), FALSE),
            0
        ) +
        IFERROR(
            VLOOKUP($A52, INDIRECT("JunR!$A$6:$ZZ$1048576"), MATCH(AJ$1, JunR!$6:$6, 0), FALSE),
            0
        ) +
        IFERROR(
            VLOOKUP($A52, INDIRECT("JulR!$A$6:$ZZ$1048576"), MATCH(AJ$1, JulR!$6:$6, 0), FALSE),
            0
        ) +
        IFERROR(
            VLOOKUP($A52, INDIRECT("AgoR!$A$6:$ZZ$1048576"), MATCH(AJ$1, AgoR!$6:$6, 0), FALSE),
            0
        ) +
        IFERROR(
            VLOOKUP($A52, INDIRECT("SepR!$A$6:$ZZ$1048576"), MATCH(AJ$1, SepR!$6:$6, 0), FALSE),
            0
        ) +
        IFERROR(
            VLOOKUP($A52, INDIRECT("OctR!$A$6:$ZZ$1048576"), MATCH(AJ$1, OctR!$6:$6, 0), FALSE),
            0
        ) +
        IFERROR(
            VLOOKUP($A52, INDIRECT("NovR!$A$6:$ZZ$1048576"), MATCH(AJ$1, NovR!$6:$6, 0), FALSE),
            0
        ) +
        IFERROR(
            VLOOKUP($A52, INDIRECT("DicR!$A$6:$ZZ$1048576"), MATCH(AJ$1, DicR!$6:$6, 0), FALSE),
            0
        )
)</f>
        <v>0</v>
      </c>
      <c r="AK52" s="37">
        <f t="array" ref="AK52">SUM(
    IFERROR(
            VLOOKUP($A52, INDIRECT("EneR!$A$6:$ZZ$1048576"), MATCH(AK$1, EneR!$6:$6, 0), FALSE),
            0
        ) +
        IFERROR(
            VLOOKUP($A52, INDIRECT("FebR!$A$6:$ZZ$1048576"), MATCH(AK$1, FebR!$6:$6, 0), FALSE),
            0
        ) +
        IFERROR(
            VLOOKUP($A52, INDIRECT("MarR!$A$6:$ZZ$1048576"), MATCH(AK$1, MarR!$6:$6, 0), FALSE),
            0
        ) +
        IFERROR(
            VLOOKUP($A52, INDIRECT("AbrR!$A$6:$ZZ$1048576"), MATCH(AK$1, AbrR!$6:$6, 0), FALSE),
            0
        ) +
        IFERROR(
            VLOOKUP($A52, INDIRECT("MayR!$A$6:$ZZ$1048576"), MATCH(AK$1, MayR!$6:$6, 0), FALSE),
            0
        ) +
        IFERROR(
            VLOOKUP($A52, INDIRECT("JunR!$A$6:$ZZ$1048576"), MATCH(AK$1, JunR!$6:$6, 0), FALSE),
            0
        ) +
        IFERROR(
            VLOOKUP($A52, INDIRECT("JulR!$A$6:$ZZ$1048576"), MATCH(AK$1, JulR!$6:$6, 0), FALSE),
            0
        ) +
        IFERROR(
            VLOOKUP($A52, INDIRECT("AgoR!$A$6:$ZZ$1048576"), MATCH(AK$1, AgoR!$6:$6, 0), FALSE),
            0
        ) +
        IFERROR(
            VLOOKUP($A52, INDIRECT("SepR!$A$6:$ZZ$1048576"), MATCH(AK$1, SepR!$6:$6, 0), FALSE),
            0
        ) +
        IFERROR(
            VLOOKUP($A52, INDIRECT("OctR!$A$6:$ZZ$1048576"), MATCH(AK$1, OctR!$6:$6, 0), FALSE),
            0
        ) +
        IFERROR(
            VLOOKUP($A52, INDIRECT("NovR!$A$6:$ZZ$1048576"), MATCH(AK$1, NovR!$6:$6, 0), FALSE),
            0
        ) +
        IFERROR(
            VLOOKUP($A52, INDIRECT("DicR!$A$6:$ZZ$1048576"), MATCH(AK$1, DicR!$6:$6, 0), FALSE),
            0
        )
)</f>
        <v>0</v>
      </c>
      <c r="AL52" s="36">
        <f t="array" ref="AL52">SUM(
    IFERROR(
            VLOOKUP($A52, INDIRECT("EneR!$A$6:$ZZ$1048576"), MATCH(AL$1, EneR!$6:$6, 0), FALSE),
            0
        ) +
        IFERROR(
            VLOOKUP($A52, INDIRECT("FebR!$A$6:$ZZ$1048576"), MATCH(AL$1, FebR!$6:$6, 0), FALSE),
            0
        ) +
        IFERROR(
            VLOOKUP($A52, INDIRECT("MarR!$A$6:$ZZ$1048576"), MATCH(AL$1, MarR!$6:$6, 0), FALSE),
            0
        ) +
        IFERROR(
            VLOOKUP($A52, INDIRECT("AbrR!$A$6:$ZZ$1048576"), MATCH(AL$1, AbrR!$6:$6, 0), FALSE),
            0
        ) +
        IFERROR(
            VLOOKUP($A52, INDIRECT("MayR!$A$6:$ZZ$1048576"), MATCH(AL$1, MayR!$6:$6, 0), FALSE),
            0
        ) +
        IFERROR(
            VLOOKUP($A52, INDIRECT("JunR!$A$6:$ZZ$1048576"), MATCH(AL$1, JunR!$6:$6, 0), FALSE),
            0
        ) +
        IFERROR(
            VLOOKUP($A52, INDIRECT("JulR!$A$6:$ZZ$1048576"), MATCH(AL$1, JulR!$6:$6, 0), FALSE),
            0
        ) +
        IFERROR(
            VLOOKUP($A52, INDIRECT("AgoR!$A$6:$ZZ$1048576"), MATCH(AL$1, AgoR!$6:$6, 0), FALSE),
            0
        ) +
        IFERROR(
            VLOOKUP($A52, INDIRECT("SepR!$A$6:$ZZ$1048576"), MATCH(AL$1, SepR!$6:$6, 0), FALSE),
            0
        ) +
        IFERROR(
            VLOOKUP($A52, INDIRECT("OctR!$A$6:$ZZ$1048576"), MATCH(AL$1, OctR!$6:$6, 0), FALSE),
            0
        ) +
        IFERROR(
            VLOOKUP($A52, INDIRECT("NovR!$A$6:$ZZ$1048576"), MATCH(AL$1, NovR!$6:$6, 0), FALSE),
            0
        ) +
        IFERROR(
            VLOOKUP($A52, INDIRECT("DicR!$A$6:$ZZ$1048576"), MATCH(AL$1, DicR!$6:$6, 0), FALSE),
            0
        )
)</f>
        <v>0</v>
      </c>
      <c r="AM52" s="37">
        <f t="array" ref="AM52">SUM(
    IFERROR(
            VLOOKUP($A52, INDIRECT("EneR!$A$6:$ZZ$1048576"), MATCH(AM$1, EneR!$6:$6, 0), FALSE),
            0
        ) +
        IFERROR(
            VLOOKUP($A52, INDIRECT("FebR!$A$6:$ZZ$1048576"), MATCH(AM$1, FebR!$6:$6, 0), FALSE),
            0
        ) +
        IFERROR(
            VLOOKUP($A52, INDIRECT("MarR!$A$6:$ZZ$1048576"), MATCH(AM$1, MarR!$6:$6, 0), FALSE),
            0
        ) +
        IFERROR(
            VLOOKUP($A52, INDIRECT("AbrR!$A$6:$ZZ$1048576"), MATCH(AM$1, AbrR!$6:$6, 0), FALSE),
            0
        ) +
        IFERROR(
            VLOOKUP($A52, INDIRECT("MayR!$A$6:$ZZ$1048576"), MATCH(AM$1, MayR!$6:$6, 0), FALSE),
            0
        ) +
        IFERROR(
            VLOOKUP($A52, INDIRECT("JunR!$A$6:$ZZ$1048576"), MATCH(AM$1, JunR!$6:$6, 0), FALSE),
            0
        ) +
        IFERROR(
            VLOOKUP($A52, INDIRECT("JulR!$A$6:$ZZ$1048576"), MATCH(AM$1, JulR!$6:$6, 0), FALSE),
            0
        ) +
        IFERROR(
            VLOOKUP($A52, INDIRECT("AgoR!$A$6:$ZZ$1048576"), MATCH(AM$1, AgoR!$6:$6, 0), FALSE),
            0
        ) +
        IFERROR(
            VLOOKUP($A52, INDIRECT("SepR!$A$6:$ZZ$1048576"), MATCH(AM$1, SepR!$6:$6, 0), FALSE),
            0
        ) +
        IFERROR(
            VLOOKUP($A52, INDIRECT("OctR!$A$6:$ZZ$1048576"), MATCH(AM$1, OctR!$6:$6, 0), FALSE),
            0
        ) +
        IFERROR(
            VLOOKUP($A52, INDIRECT("NovR!$A$6:$ZZ$1048576"), MATCH(AM$1, NovR!$6:$6, 0), FALSE),
            0
        ) +
        IFERROR(
            VLOOKUP($A52, INDIRECT("DicR!$A$6:$ZZ$1048576"), MATCH(AM$1, DicR!$6:$6, 0), FALSE),
            0
        )
)</f>
        <v>0</v>
      </c>
      <c r="AN52" s="32">
        <f t="array" ref="AN52">SUM(
    IFERROR(
            VLOOKUP($A52, INDIRECT("EneR!$A$6:$ZZ$1048576"), MATCH(AN$1, EneR!$6:$6, 0), FALSE),
            0
        ) +
        IFERROR(
            VLOOKUP($A52, INDIRECT("FebR!$A$6:$ZZ$1048576"), MATCH(AN$1, FebR!$6:$6, 0), FALSE),
            0
        ) +
        IFERROR(
            VLOOKUP($A52, INDIRECT("MarR!$A$6:$ZZ$1048576"), MATCH(AN$1, MarR!$6:$6, 0), FALSE),
            0
        ) +
        IFERROR(
            VLOOKUP($A52, INDIRECT("AbrR!$A$6:$ZZ$1048576"), MATCH(AN$1, AbrR!$6:$6, 0), FALSE),
            0
        ) +
        IFERROR(
            VLOOKUP($A52, INDIRECT("MayR!$A$6:$ZZ$1048576"), MATCH(AN$1, MayR!$6:$6, 0), FALSE),
            0
        ) +
        IFERROR(
            VLOOKUP($A52, INDIRECT("JunR!$A$6:$ZZ$1048576"), MATCH(AN$1, JunR!$6:$6, 0), FALSE),
            0
        ) +
        IFERROR(
            VLOOKUP($A52, INDIRECT("JulR!$A$6:$ZZ$1048576"), MATCH(AN$1, JulR!$6:$6, 0), FALSE),
            0
        ) +
        IFERROR(
            VLOOKUP($A52, INDIRECT("AgoR!$A$6:$ZZ$1048576"), MATCH(AN$1, AgoR!$6:$6, 0), FALSE),
            0
        ) +
        IFERROR(
            VLOOKUP($A52, INDIRECT("SepR!$A$6:$ZZ$1048576"), MATCH(AN$1, SepR!$6:$6, 0), FALSE),
            0
        ) +
        IFERROR(
            VLOOKUP($A52, INDIRECT("OctR!$A$6:$ZZ$1048576"), MATCH(AN$1, OctR!$6:$6, 0), FALSE),
            0
        ) +
        IFERROR(
            VLOOKUP($A52, INDIRECT("NovR!$A$6:$ZZ$1048576"), MATCH(AN$1, NovR!$6:$6, 0), FALSE),
            0
        ) +
        IFERROR(
            VLOOKUP($A52, INDIRECT("DicR!$A$6:$ZZ$1048576"), MATCH(AN$1, DicR!$6:$6, 0), FALSE),
            0
        )
)</f>
        <v>0</v>
      </c>
      <c r="AO52" s="35">
        <f t="array" ref="AO52">SUM(
    IFERROR(
            VLOOKUP($A52, INDIRECT("EneR!$A$6:$ZZ$1048576"), MATCH(AO$1, EneR!$6:$6, 0), FALSE),
            0
        ) +
        IFERROR(
            VLOOKUP($A52, INDIRECT("FebR!$A$6:$ZZ$1048576"), MATCH(AO$1, FebR!$6:$6, 0), FALSE),
            0
        ) +
        IFERROR(
            VLOOKUP($A52, INDIRECT("MarR!$A$6:$ZZ$1048576"), MATCH(AO$1, MarR!$6:$6, 0), FALSE),
            0
        ) +
        IFERROR(
            VLOOKUP($A52, INDIRECT("AbrR!$A$6:$ZZ$1048576"), MATCH(AO$1, AbrR!$6:$6, 0), FALSE),
            0
        ) +
        IFERROR(
            VLOOKUP($A52, INDIRECT("MayR!$A$6:$ZZ$1048576"), MATCH(AO$1, MayR!$6:$6, 0), FALSE),
            0
        ) +
        IFERROR(
            VLOOKUP($A52, INDIRECT("JunR!$A$6:$ZZ$1048576"), MATCH(AO$1, JunR!$6:$6, 0), FALSE),
            0
        ) +
        IFERROR(
            VLOOKUP($A52, INDIRECT("JulR!$A$6:$ZZ$1048576"), MATCH(AO$1, JulR!$6:$6, 0), FALSE),
            0
        ) +
        IFERROR(
            VLOOKUP($A52, INDIRECT("AgoR!$A$6:$ZZ$1048576"), MATCH(AO$1, AgoR!$6:$6, 0), FALSE),
            0
        ) +
        IFERROR(
            VLOOKUP($A52, INDIRECT("SepR!$A$6:$ZZ$1048576"), MATCH(AO$1, SepR!$6:$6, 0), FALSE),
            0
        ) +
        IFERROR(
            VLOOKUP($A52, INDIRECT("OctR!$A$6:$ZZ$1048576"), MATCH(AO$1, OctR!$6:$6, 0), FALSE),
            0
        ) +
        IFERROR(
            VLOOKUP($A52, INDIRECT("NovR!$A$6:$ZZ$1048576"), MATCH(AO$1, NovR!$6:$6, 0), FALSE),
            0
        ) +
        IFERROR(
            VLOOKUP($A52, INDIRECT("DicR!$A$6:$ZZ$1048576"), MATCH(AO$1, DicR!$6:$6, 0), FALSE),
            0
        )
)</f>
        <v>0</v>
      </c>
      <c r="AP52" s="36">
        <f t="array" ref="AP52">SUM(
    IFERROR(
            VLOOKUP($A52, INDIRECT("EneR!$A$6:$ZZ$1048576"), MATCH(AP$1, EneR!$6:$6, 0), FALSE),
            0
        ) +
        IFERROR(
            VLOOKUP($A52, INDIRECT("FebR!$A$6:$ZZ$1048576"), MATCH(AP$1, FebR!$6:$6, 0), FALSE),
            0
        ) +
        IFERROR(
            VLOOKUP($A52, INDIRECT("MarR!$A$6:$ZZ$1048576"), MATCH(AP$1, MarR!$6:$6, 0), FALSE),
            0
        ) +
        IFERROR(
            VLOOKUP($A52, INDIRECT("AbrR!$A$6:$ZZ$1048576"), MATCH(AP$1, AbrR!$6:$6, 0), FALSE),
            0
        ) +
        IFERROR(
            VLOOKUP($A52, INDIRECT("MayR!$A$6:$ZZ$1048576"), MATCH(AP$1, MayR!$6:$6, 0), FALSE),
            0
        ) +
        IFERROR(
            VLOOKUP($A52, INDIRECT("JunR!$A$6:$ZZ$1048576"), MATCH(AP$1, JunR!$6:$6, 0), FALSE),
            0
        ) +
        IFERROR(
            VLOOKUP($A52, INDIRECT("JulR!$A$6:$ZZ$1048576"), MATCH(AP$1, JulR!$6:$6, 0), FALSE),
            0
        ) +
        IFERROR(
            VLOOKUP($A52, INDIRECT("AgoR!$A$6:$ZZ$1048576"), MATCH(AP$1, AgoR!$6:$6, 0), FALSE),
            0
        ) +
        IFERROR(
            VLOOKUP($A52, INDIRECT("SepR!$A$6:$ZZ$1048576"), MATCH(AP$1, SepR!$6:$6, 0), FALSE),
            0
        ) +
        IFERROR(
            VLOOKUP($A52, INDIRECT("OctR!$A$6:$ZZ$1048576"), MATCH(AP$1, OctR!$6:$6, 0), FALSE),
            0
        ) +
        IFERROR(
            VLOOKUP($A52, INDIRECT("NovR!$A$6:$ZZ$1048576"), MATCH(AP$1, NovR!$6:$6, 0), FALSE),
            0
        ) +
        IFERROR(
            VLOOKUP($A52, INDIRECT("DicR!$A$6:$ZZ$1048576"), MATCH(AP$1, DicR!$6:$6, 0), FALSE),
            0
        )
)</f>
        <v>0</v>
      </c>
      <c r="AQ52" s="35">
        <f t="array" ref="AQ52">SUM(
    IFERROR(
            VLOOKUP($A52, INDIRECT("EneR!$A$6:$ZZ$1048576"), MATCH(AQ$1, EneR!$6:$6, 0), FALSE),
            0
        ) +
        IFERROR(
            VLOOKUP($A52, INDIRECT("FebR!$A$6:$ZZ$1048576"), MATCH(AQ$1, FebR!$6:$6, 0), FALSE),
            0
        ) +
        IFERROR(
            VLOOKUP($A52, INDIRECT("MarR!$A$6:$ZZ$1048576"), MATCH(AQ$1, MarR!$6:$6, 0), FALSE),
            0
        ) +
        IFERROR(
            VLOOKUP($A52, INDIRECT("AbrR!$A$6:$ZZ$1048576"), MATCH(AQ$1, AbrR!$6:$6, 0), FALSE),
            0
        ) +
        IFERROR(
            VLOOKUP($A52, INDIRECT("MayR!$A$6:$ZZ$1048576"), MATCH(AQ$1, MayR!$6:$6, 0), FALSE),
            0
        ) +
        IFERROR(
            VLOOKUP($A52, INDIRECT("JunR!$A$6:$ZZ$1048576"), MATCH(AQ$1, JunR!$6:$6, 0), FALSE),
            0
        ) +
        IFERROR(
            VLOOKUP($A52, INDIRECT("JulR!$A$6:$ZZ$1048576"), MATCH(AQ$1, JulR!$6:$6, 0), FALSE),
            0
        ) +
        IFERROR(
            VLOOKUP($A52, INDIRECT("AgoR!$A$6:$ZZ$1048576"), MATCH(AQ$1, AgoR!$6:$6, 0), FALSE),
            0
        ) +
        IFERROR(
            VLOOKUP($A52, INDIRECT("SepR!$A$6:$ZZ$1048576"), MATCH(AQ$1, SepR!$6:$6, 0), FALSE),
            0
        ) +
        IFERROR(
            VLOOKUP($A52, INDIRECT("OctR!$A$6:$ZZ$1048576"), MATCH(AQ$1, OctR!$6:$6, 0), FALSE),
            0
        ) +
        IFERROR(
            VLOOKUP($A52, INDIRECT("NovR!$A$6:$ZZ$1048576"), MATCH(AQ$1, NovR!$6:$6, 0), FALSE),
            0
        ) +
        IFERROR(
            VLOOKUP($A52, INDIRECT("DicR!$A$6:$ZZ$1048576"), MATCH(AQ$1, DicR!$6:$6, 0), FALSE),
            0
        )
)</f>
        <v>0</v>
      </c>
      <c r="AR52" s="36">
        <f t="array" ref="AR52">SUM(
    IFERROR(
            VLOOKUP($A52, INDIRECT("EneR!$A$6:$ZZ$1048576"), MATCH(AR$1, EneR!$6:$6, 0), FALSE),
            0
        ) +
        IFERROR(
            VLOOKUP($A52, INDIRECT("FebR!$A$6:$ZZ$1048576"), MATCH(AR$1, FebR!$6:$6, 0), FALSE),
            0
        ) +
        IFERROR(
            VLOOKUP($A52, INDIRECT("MarR!$A$6:$ZZ$1048576"), MATCH(AR$1, MarR!$6:$6, 0), FALSE),
            0
        ) +
        IFERROR(
            VLOOKUP($A52, INDIRECT("AbrR!$A$6:$ZZ$1048576"), MATCH(AR$1, AbrR!$6:$6, 0), FALSE),
            0
        ) +
        IFERROR(
            VLOOKUP($A52, INDIRECT("MayR!$A$6:$ZZ$1048576"), MATCH(AR$1, MayR!$6:$6, 0), FALSE),
            0
        ) +
        IFERROR(
            VLOOKUP($A52, INDIRECT("JunR!$A$6:$ZZ$1048576"), MATCH(AR$1, JunR!$6:$6, 0), FALSE),
            0
        ) +
        IFERROR(
            VLOOKUP($A52, INDIRECT("JulR!$A$6:$ZZ$1048576"), MATCH(AR$1, JulR!$6:$6, 0), FALSE),
            0
        ) +
        IFERROR(
            VLOOKUP($A52, INDIRECT("AgoR!$A$6:$ZZ$1048576"), MATCH(AR$1, AgoR!$6:$6, 0), FALSE),
            0
        ) +
        IFERROR(
            VLOOKUP($A52, INDIRECT("SepR!$A$6:$ZZ$1048576"), MATCH(AR$1, SepR!$6:$6, 0), FALSE),
            0
        ) +
        IFERROR(
            VLOOKUP($A52, INDIRECT("OctR!$A$6:$ZZ$1048576"), MATCH(AR$1, OctR!$6:$6, 0), FALSE),
            0
        ) +
        IFERROR(
            VLOOKUP($A52, INDIRECT("NovR!$A$6:$ZZ$1048576"), MATCH(AR$1, NovR!$6:$6, 0), FALSE),
            0
        ) +
        IFERROR(
            VLOOKUP($A52, INDIRECT("DicR!$A$6:$ZZ$1048576"), MATCH(AR$1, DicR!$6:$6, 0), FALSE),
            0
        )
)</f>
        <v>0</v>
      </c>
      <c r="AS52" s="35">
        <f t="array" ref="AS52">SUM(
    IFERROR(
            VLOOKUP($A52, INDIRECT("EneR!$A$6:$ZZ$1048576"), MATCH(AS$1, EneR!$6:$6, 0), FALSE),
            0
        ) +
        IFERROR(
            VLOOKUP($A52, INDIRECT("FebR!$A$6:$ZZ$1048576"), MATCH(AS$1, FebR!$6:$6, 0), FALSE),
            0
        ) +
        IFERROR(
            VLOOKUP($A52, INDIRECT("MarR!$A$6:$ZZ$1048576"), MATCH(AS$1, MarR!$6:$6, 0), FALSE),
            0
        ) +
        IFERROR(
            VLOOKUP($A52, INDIRECT("AbrR!$A$6:$ZZ$1048576"), MATCH(AS$1, AbrR!$6:$6, 0), FALSE),
            0
        ) +
        IFERROR(
            VLOOKUP($A52, INDIRECT("MayR!$A$6:$ZZ$1048576"), MATCH(AS$1, MayR!$6:$6, 0), FALSE),
            0
        ) +
        IFERROR(
            VLOOKUP($A52, INDIRECT("JunR!$A$6:$ZZ$1048576"), MATCH(AS$1, JunR!$6:$6, 0), FALSE),
            0
        ) +
        IFERROR(
            VLOOKUP($A52, INDIRECT("JulR!$A$6:$ZZ$1048576"), MATCH(AS$1, JulR!$6:$6, 0), FALSE),
            0
        ) +
        IFERROR(
            VLOOKUP($A52, INDIRECT("AgoR!$A$6:$ZZ$1048576"), MATCH(AS$1, AgoR!$6:$6, 0), FALSE),
            0
        ) +
        IFERROR(
            VLOOKUP($A52, INDIRECT("SepR!$A$6:$ZZ$1048576"), MATCH(AS$1, SepR!$6:$6, 0), FALSE),
            0
        ) +
        IFERROR(
            VLOOKUP($A52, INDIRECT("OctR!$A$6:$ZZ$1048576"), MATCH(AS$1, OctR!$6:$6, 0), FALSE),
            0
        ) +
        IFERROR(
            VLOOKUP($A52, INDIRECT("NovR!$A$6:$ZZ$1048576"), MATCH(AS$1, NovR!$6:$6, 0), FALSE),
            0
        ) +
        IFERROR(
            VLOOKUP($A52, INDIRECT("DicR!$A$6:$ZZ$1048576"), MATCH(AS$1, DicR!$6:$6, 0), FALSE),
            0
        )
)</f>
        <v>0</v>
      </c>
      <c r="AT52" s="36">
        <f t="array" ref="AT52">SUM(
    IFERROR(
            VLOOKUP($A52, INDIRECT("EneR!$A$6:$ZZ$1048576"), MATCH(AT$1, EneR!$6:$6, 0), FALSE),
            0
        ) +
        IFERROR(
            VLOOKUP($A52, INDIRECT("FebR!$A$6:$ZZ$1048576"), MATCH(AT$1, FebR!$6:$6, 0), FALSE),
            0
        ) +
        IFERROR(
            VLOOKUP($A52, INDIRECT("MarR!$A$6:$ZZ$1048576"), MATCH(AT$1, MarR!$6:$6, 0), FALSE),
            0
        ) +
        IFERROR(
            VLOOKUP($A52, INDIRECT("AbrR!$A$6:$ZZ$1048576"), MATCH(AT$1, AbrR!$6:$6, 0), FALSE),
            0
        ) +
        IFERROR(
            VLOOKUP($A52, INDIRECT("MayR!$A$6:$ZZ$1048576"), MATCH(AT$1, MayR!$6:$6, 0), FALSE),
            0
        ) +
        IFERROR(
            VLOOKUP($A52, INDIRECT("JunR!$A$6:$ZZ$1048576"), MATCH(AT$1, JunR!$6:$6, 0), FALSE),
            0
        ) +
        IFERROR(
            VLOOKUP($A52, INDIRECT("JulR!$A$6:$ZZ$1048576"), MATCH(AT$1, JulR!$6:$6, 0), FALSE),
            0
        ) +
        IFERROR(
            VLOOKUP($A52, INDIRECT("AgoR!$A$6:$ZZ$1048576"), MATCH(AT$1, AgoR!$6:$6, 0), FALSE),
            0
        ) +
        IFERROR(
            VLOOKUP($A52, INDIRECT("SepR!$A$6:$ZZ$1048576"), MATCH(AT$1, SepR!$6:$6, 0), FALSE),
            0
        ) +
        IFERROR(
            VLOOKUP($A52, INDIRECT("OctR!$A$6:$ZZ$1048576"), MATCH(AT$1, OctR!$6:$6, 0), FALSE),
            0
        ) +
        IFERROR(
            VLOOKUP($A52, INDIRECT("NovR!$A$6:$ZZ$1048576"), MATCH(AT$1, NovR!$6:$6, 0), FALSE),
            0
        ) +
        IFERROR(
            VLOOKUP($A52, INDIRECT("DicR!$A$6:$ZZ$1048576"), MATCH(AT$1, DicR!$6:$6, 0), FALSE),
            0
        )
)</f>
        <v>0</v>
      </c>
      <c r="AU52" s="35">
        <f t="array" ref="AU52">SUM(
    IFERROR(
            VLOOKUP($A52, INDIRECT("EneR!$A$6:$ZZ$1048576"), MATCH(AU$1, EneR!$6:$6, 0), FALSE),
            0
        ) +
        IFERROR(
            VLOOKUP($A52, INDIRECT("FebR!$A$6:$ZZ$1048576"), MATCH(AU$1, FebR!$6:$6, 0), FALSE),
            0
        ) +
        IFERROR(
            VLOOKUP($A52, INDIRECT("MarR!$A$6:$ZZ$1048576"), MATCH(AU$1, MarR!$6:$6, 0), FALSE),
            0
        ) +
        IFERROR(
            VLOOKUP($A52, INDIRECT("AbrR!$A$6:$ZZ$1048576"), MATCH(AU$1, AbrR!$6:$6, 0), FALSE),
            0
        ) +
        IFERROR(
            VLOOKUP($A52, INDIRECT("MayR!$A$6:$ZZ$1048576"), MATCH(AU$1, MayR!$6:$6, 0), FALSE),
            0
        ) +
        IFERROR(
            VLOOKUP($A52, INDIRECT("JunR!$A$6:$ZZ$1048576"), MATCH(AU$1, JunR!$6:$6, 0), FALSE),
            0
        ) +
        IFERROR(
            VLOOKUP($A52, INDIRECT("JulR!$A$6:$ZZ$1048576"), MATCH(AU$1, JulR!$6:$6, 0), FALSE),
            0
        ) +
        IFERROR(
            VLOOKUP($A52, INDIRECT("AgoR!$A$6:$ZZ$1048576"), MATCH(AU$1, AgoR!$6:$6, 0), FALSE),
            0
        ) +
        IFERROR(
            VLOOKUP($A52, INDIRECT("SepR!$A$6:$ZZ$1048576"), MATCH(AU$1, SepR!$6:$6, 0), FALSE),
            0
        ) +
        IFERROR(
            VLOOKUP($A52, INDIRECT("OctR!$A$6:$ZZ$1048576"), MATCH(AU$1, OctR!$6:$6, 0), FALSE),
            0
        ) +
        IFERROR(
            VLOOKUP($A52, INDIRECT("NovR!$A$6:$ZZ$1048576"), MATCH(AU$1, NovR!$6:$6, 0), FALSE),
            0
        ) +
        IFERROR(
            VLOOKUP($A52, INDIRECT("DicR!$A$6:$ZZ$1048576"), MATCH(AU$1, DicR!$6:$6, 0), FALSE),
            0
        )
)</f>
        <v>0</v>
      </c>
      <c r="AV52" s="36">
        <f t="array" ref="AV52">SUM(
    IFERROR(
            VLOOKUP($A52, INDIRECT("EneR!$A$6:$ZZ$1048576"), MATCH(AV$1, EneR!$6:$6, 0), FALSE),
            0
        ) +
        IFERROR(
            VLOOKUP($A52, INDIRECT("FebR!$A$6:$ZZ$1048576"), MATCH(AV$1, FebR!$6:$6, 0), FALSE),
            0
        ) +
        IFERROR(
            VLOOKUP($A52, INDIRECT("MarR!$A$6:$ZZ$1048576"), MATCH(AV$1, MarR!$6:$6, 0), FALSE),
            0
        ) +
        IFERROR(
            VLOOKUP($A52, INDIRECT("AbrR!$A$6:$ZZ$1048576"), MATCH(AV$1, AbrR!$6:$6, 0), FALSE),
            0
        ) +
        IFERROR(
            VLOOKUP($A52, INDIRECT("MayR!$A$6:$ZZ$1048576"), MATCH(AV$1, MayR!$6:$6, 0), FALSE),
            0
        ) +
        IFERROR(
            VLOOKUP($A52, INDIRECT("JunR!$A$6:$ZZ$1048576"), MATCH(AV$1, JunR!$6:$6, 0), FALSE),
            0
        ) +
        IFERROR(
            VLOOKUP($A52, INDIRECT("JulR!$A$6:$ZZ$1048576"), MATCH(AV$1, JulR!$6:$6, 0), FALSE),
            0
        ) +
        IFERROR(
            VLOOKUP($A52, INDIRECT("AgoR!$A$6:$ZZ$1048576"), MATCH(AV$1, AgoR!$6:$6, 0), FALSE),
            0
        ) +
        IFERROR(
            VLOOKUP($A52, INDIRECT("SepR!$A$6:$ZZ$1048576"), MATCH(AV$1, SepR!$6:$6, 0), FALSE),
            0
        ) +
        IFERROR(
            VLOOKUP($A52, INDIRECT("OctR!$A$6:$ZZ$1048576"), MATCH(AV$1, OctR!$6:$6, 0), FALSE),
            0
        ) +
        IFERROR(
            VLOOKUP($A52, INDIRECT("NovR!$A$6:$ZZ$1048576"), MATCH(AV$1, NovR!$6:$6, 0), FALSE),
            0
        ) +
        IFERROR(
            VLOOKUP($A52, INDIRECT("DicR!$A$6:$ZZ$1048576"), MATCH(AV$1, DicR!$6:$6, 0), FALSE),
            0
        )
)</f>
        <v>0</v>
      </c>
      <c r="AW52" s="35">
        <f t="array" ref="AW52">SUM(
    IFERROR(
            VLOOKUP($A52, INDIRECT("EneR!$A$6:$ZZ$1048576"), MATCH(AW$1, EneR!$6:$6, 0), FALSE),
            0
        ) +
        IFERROR(
            VLOOKUP($A52, INDIRECT("FebR!$A$6:$ZZ$1048576"), MATCH(AW$1, FebR!$6:$6, 0), FALSE),
            0
        ) +
        IFERROR(
            VLOOKUP($A52, INDIRECT("MarR!$A$6:$ZZ$1048576"), MATCH(AW$1, MarR!$6:$6, 0), FALSE),
            0
        ) +
        IFERROR(
            VLOOKUP($A52, INDIRECT("AbrR!$A$6:$ZZ$1048576"), MATCH(AW$1, AbrR!$6:$6, 0), FALSE),
            0
        ) +
        IFERROR(
            VLOOKUP($A52, INDIRECT("MayR!$A$6:$ZZ$1048576"), MATCH(AW$1, MayR!$6:$6, 0), FALSE),
            0
        ) +
        IFERROR(
            VLOOKUP($A52, INDIRECT("JunR!$A$6:$ZZ$1048576"), MATCH(AW$1, JunR!$6:$6, 0), FALSE),
            0
        ) +
        IFERROR(
            VLOOKUP($A52, INDIRECT("JulR!$A$6:$ZZ$1048576"), MATCH(AW$1, JulR!$6:$6, 0), FALSE),
            0
        ) +
        IFERROR(
            VLOOKUP($A52, INDIRECT("AgoR!$A$6:$ZZ$1048576"), MATCH(AW$1, AgoR!$6:$6, 0), FALSE),
            0
        ) +
        IFERROR(
            VLOOKUP($A52, INDIRECT("SepR!$A$6:$ZZ$1048576"), MATCH(AW$1, SepR!$6:$6, 0), FALSE),
            0
        ) +
        IFERROR(
            VLOOKUP($A52, INDIRECT("OctR!$A$6:$ZZ$1048576"), MATCH(AW$1, OctR!$6:$6, 0), FALSE),
            0
        ) +
        IFERROR(
            VLOOKUP($A52, INDIRECT("NovR!$A$6:$ZZ$1048576"), MATCH(AW$1, NovR!$6:$6, 0), FALSE),
            0
        ) +
        IFERROR(
            VLOOKUP($A52, INDIRECT("DicR!$A$6:$ZZ$1048576"), MATCH(AW$1, DicR!$6:$6, 0), FALSE),
            0
        )
)</f>
        <v>0</v>
      </c>
      <c r="AX52" s="36">
        <f t="array" ref="AX52">SUM(
    IFERROR(
            VLOOKUP($A52, INDIRECT("EneR!$A$6:$ZZ$1048576"), MATCH(AX$1, EneR!$6:$6, 0), FALSE),
            0
        ) +
        IFERROR(
            VLOOKUP($A52, INDIRECT("FebR!$A$6:$ZZ$1048576"), MATCH(AX$1, FebR!$6:$6, 0), FALSE),
            0
        ) +
        IFERROR(
            VLOOKUP($A52, INDIRECT("MarR!$A$6:$ZZ$1048576"), MATCH(AX$1, MarR!$6:$6, 0), FALSE),
            0
        ) +
        IFERROR(
            VLOOKUP($A52, INDIRECT("AbrR!$A$6:$ZZ$1048576"), MATCH(AX$1, AbrR!$6:$6, 0), FALSE),
            0
        ) +
        IFERROR(
            VLOOKUP($A52, INDIRECT("MayR!$A$6:$ZZ$1048576"), MATCH(AX$1, MayR!$6:$6, 0), FALSE),
            0
        ) +
        IFERROR(
            VLOOKUP($A52, INDIRECT("JunR!$A$6:$ZZ$1048576"), MATCH(AX$1, JunR!$6:$6, 0), FALSE),
            0
        ) +
        IFERROR(
            VLOOKUP($A52, INDIRECT("JulR!$A$6:$ZZ$1048576"), MATCH(AX$1, JulR!$6:$6, 0), FALSE),
            0
        ) +
        IFERROR(
            VLOOKUP($A52, INDIRECT("AgoR!$A$6:$ZZ$1048576"), MATCH(AX$1, AgoR!$6:$6, 0), FALSE),
            0
        ) +
        IFERROR(
            VLOOKUP($A52, INDIRECT("SepR!$A$6:$ZZ$1048576"), MATCH(AX$1, SepR!$6:$6, 0), FALSE),
            0
        ) +
        IFERROR(
            VLOOKUP($A52, INDIRECT("OctR!$A$6:$ZZ$1048576"), MATCH(AX$1, OctR!$6:$6, 0), FALSE),
            0
        ) +
        IFERROR(
            VLOOKUP($A52, INDIRECT("NovR!$A$6:$ZZ$1048576"), MATCH(AX$1, NovR!$6:$6, 0), FALSE),
            0
        ) +
        IFERROR(
            VLOOKUP($A52, INDIRECT("DicR!$A$6:$ZZ$1048576"), MATCH(AX$1, DicR!$6:$6, 0), FALSE),
            0
        )
)</f>
        <v>0</v>
      </c>
      <c r="AY52" s="35">
        <f t="array" ref="AY52">SUM(
    IFERROR(
            VLOOKUP($A52, INDIRECT("EneR!$A$6:$ZZ$1048576"), MATCH(AY$1, EneR!$6:$6, 0), FALSE),
            0
        ) +
        IFERROR(
            VLOOKUP($A52, INDIRECT("FebR!$A$6:$ZZ$1048576"), MATCH(AY$1, FebR!$6:$6, 0), FALSE),
            0
        ) +
        IFERROR(
            VLOOKUP($A52, INDIRECT("MarR!$A$6:$ZZ$1048576"), MATCH(AY$1, MarR!$6:$6, 0), FALSE),
            0
        ) +
        IFERROR(
            VLOOKUP($A52, INDIRECT("AbrR!$A$6:$ZZ$1048576"), MATCH(AY$1, AbrR!$6:$6, 0), FALSE),
            0
        ) +
        IFERROR(
            VLOOKUP($A52, INDIRECT("MayR!$A$6:$ZZ$1048576"), MATCH(AY$1, MayR!$6:$6, 0), FALSE),
            0
        ) +
        IFERROR(
            VLOOKUP($A52, INDIRECT("JunR!$A$6:$ZZ$1048576"), MATCH(AY$1, JunR!$6:$6, 0), FALSE),
            0
        ) +
        IFERROR(
            VLOOKUP($A52, INDIRECT("JulR!$A$6:$ZZ$1048576"), MATCH(AY$1, JulR!$6:$6, 0), FALSE),
            0
        ) +
        IFERROR(
            VLOOKUP($A52, INDIRECT("AgoR!$A$6:$ZZ$1048576"), MATCH(AY$1, AgoR!$6:$6, 0), FALSE),
            0
        ) +
        IFERROR(
            VLOOKUP($A52, INDIRECT("SepR!$A$6:$ZZ$1048576"), MATCH(AY$1, SepR!$6:$6, 0), FALSE),
            0
        ) +
        IFERROR(
            VLOOKUP($A52, INDIRECT("OctR!$A$6:$ZZ$1048576"), MATCH(AY$1, OctR!$6:$6, 0), FALSE),
            0
        ) +
        IFERROR(
            VLOOKUP($A52, INDIRECT("NovR!$A$6:$ZZ$1048576"), MATCH(AY$1, NovR!$6:$6, 0), FALSE),
            0
        ) +
        IFERROR(
            VLOOKUP($A52, INDIRECT("DicR!$A$6:$ZZ$1048576"), MATCH(AY$1, DicR!$6:$6, 0), FALSE),
            0
        )
)</f>
        <v>0</v>
      </c>
      <c r="AZ52" s="35"/>
    </row>
    <row r="53" ht="15.75" customHeight="1">
      <c r="A53" s="12" t="str">
        <f>Menus!B14</f>
        <v/>
      </c>
      <c r="B53" s="32">
        <f t="shared" si="9"/>
        <v>0</v>
      </c>
      <c r="C53" s="33" t="str">
        <f t="shared" si="10"/>
        <v/>
      </c>
      <c r="D53" s="34">
        <f t="array" ref="D53">SUM(
    IFERROR(
            VLOOKUP($A53, INDIRECT("EneR!$A$6:$ZZ$1048576"), MATCH(D$1, EneR!$6:$6, 0), FALSE),
            0
        ) +
        IFERROR(
            VLOOKUP($A53, INDIRECT("FebR!$A$6:$ZZ$1048576"), MATCH(D$1, FebR!$6:$6, 0), FALSE),
            0
        ) +
        IFERROR(
            VLOOKUP($A53, INDIRECT("MarR!$A$6:$ZZ$1048576"), MATCH(D$1, MarR!$6:$6, 0), FALSE),
            0
        ) +
        IFERROR(
            VLOOKUP($A53, INDIRECT("AbrR!$A$6:$ZZ$1048576"), MATCH(D$1, AbrR!$6:$6, 0), FALSE),
            0
        ) +
        IFERROR(
            VLOOKUP($A53, INDIRECT("MayR!$A$6:$ZZ$1048576"), MATCH(D$1, MayR!$6:$6, 0), FALSE),
            0
        ) +
        IFERROR(
            VLOOKUP($A53, INDIRECT("JunR!$A$6:$ZZ$1048576"), MATCH(D$1, JunR!$6:$6, 0), FALSE),
            0
        ) +
        IFERROR(
            VLOOKUP($A53, INDIRECT("JulR!$A$6:$ZZ$1048576"), MATCH(D$1, JulR!$6:$6, 0), FALSE),
            0
        ) +
        IFERROR(
            VLOOKUP($A53, INDIRECT("AgoR!$A$6:$ZZ$1048576"), MATCH(D$1, AgoR!$6:$6, 0), FALSE),
            0
        ) +
        IFERROR(
            VLOOKUP($A53, INDIRECT("SepR!$A$6:$ZZ$1048576"), MATCH(D$1, SepR!$6:$6, 0), FALSE),
            0
        ) +
        IFERROR(
            VLOOKUP($A53, INDIRECT("OctR!$A$6:$ZZ$1048576"), MATCH(D$1, OctR!$6:$6, 0), FALSE),
            0
        ) +
        IFERROR(
            VLOOKUP($A53, INDIRECT("NovR!$A$6:$ZZ$1048576"), MATCH(D$1, NovR!$6:$6, 0), FALSE),
            0
        ) +
        IFERROR(
            VLOOKUP($A53, INDIRECT("DicR!$A$6:$ZZ$1048576"), MATCH(D$1, DicR!$6:$6, 0), FALSE),
            0
        )
)</f>
        <v>0</v>
      </c>
      <c r="E53" s="35">
        <f t="array" ref="E53">SUM(
    IFERROR(
            VLOOKUP($A53, INDIRECT("EneR!$A$6:$ZZ$1048576"), MATCH(E$1, EneR!$6:$6, 0), FALSE),
            0
        ) +
        IFERROR(
            VLOOKUP($A53, INDIRECT("FebR!$A$6:$ZZ$1048576"), MATCH(E$1, FebR!$6:$6, 0), FALSE),
            0
        ) +
        IFERROR(
            VLOOKUP($A53, INDIRECT("MarR!$A$6:$ZZ$1048576"), MATCH(E$1, MarR!$6:$6, 0), FALSE),
            0
        ) +
        IFERROR(
            VLOOKUP($A53, INDIRECT("AbrR!$A$6:$ZZ$1048576"), MATCH(E$1, AbrR!$6:$6, 0), FALSE),
            0
        ) +
        IFERROR(
            VLOOKUP($A53, INDIRECT("MayR!$A$6:$ZZ$1048576"), MATCH(E$1, MayR!$6:$6, 0), FALSE),
            0
        ) +
        IFERROR(
            VLOOKUP($A53, INDIRECT("JunR!$A$6:$ZZ$1048576"), MATCH(E$1, JunR!$6:$6, 0), FALSE),
            0
        ) +
        IFERROR(
            VLOOKUP($A53, INDIRECT("JulR!$A$6:$ZZ$1048576"), MATCH(E$1, JulR!$6:$6, 0), FALSE),
            0
        ) +
        IFERROR(
            VLOOKUP($A53, INDIRECT("AgoR!$A$6:$ZZ$1048576"), MATCH(E$1, AgoR!$6:$6, 0), FALSE),
            0
        ) +
        IFERROR(
            VLOOKUP($A53, INDIRECT("SepR!$A$6:$ZZ$1048576"), MATCH(E$1, SepR!$6:$6, 0), FALSE),
            0
        ) +
        IFERROR(
            VLOOKUP($A53, INDIRECT("OctR!$A$6:$ZZ$1048576"), MATCH(E$1, OctR!$6:$6, 0), FALSE),
            0
        ) +
        IFERROR(
            VLOOKUP($A53, INDIRECT("NovR!$A$6:$ZZ$1048576"), MATCH(E$1, NovR!$6:$6, 0), FALSE),
            0
        ) +
        IFERROR(
            VLOOKUP($A53, INDIRECT("DicR!$A$6:$ZZ$1048576"), MATCH(E$1, DicR!$6:$6, 0), FALSE),
            0
        )
)</f>
        <v>0</v>
      </c>
      <c r="F53" s="32">
        <f t="array" ref="F53">SUM(
    IFERROR(
            VLOOKUP($A53, INDIRECT("EneR!$A$6:$ZZ$1048576"), MATCH(F$1, EneR!$6:$6, 0), FALSE),
            0
        ) +
        IFERROR(
            VLOOKUP($A53, INDIRECT("FebR!$A$6:$ZZ$1048576"), MATCH(F$1, FebR!$6:$6, 0), FALSE),
            0
        ) +
        IFERROR(
            VLOOKUP($A53, INDIRECT("MarR!$A$6:$ZZ$1048576"), MATCH(F$1, MarR!$6:$6, 0), FALSE),
            0
        ) +
        IFERROR(
            VLOOKUP($A53, INDIRECT("AbrR!$A$6:$ZZ$1048576"), MATCH(F$1, AbrR!$6:$6, 0), FALSE),
            0
        ) +
        IFERROR(
            VLOOKUP($A53, INDIRECT("MayR!$A$6:$ZZ$1048576"), MATCH(F$1, MayR!$6:$6, 0), FALSE),
            0
        ) +
        IFERROR(
            VLOOKUP($A53, INDIRECT("JunR!$A$6:$ZZ$1048576"), MATCH(F$1, JunR!$6:$6, 0), FALSE),
            0
        ) +
        IFERROR(
            VLOOKUP($A53, INDIRECT("JulR!$A$6:$ZZ$1048576"), MATCH(F$1, JulR!$6:$6, 0), FALSE),
            0
        ) +
        IFERROR(
            VLOOKUP($A53, INDIRECT("AgoR!$A$6:$ZZ$1048576"), MATCH(F$1, AgoR!$6:$6, 0), FALSE),
            0
        ) +
        IFERROR(
            VLOOKUP($A53, INDIRECT("SepR!$A$6:$ZZ$1048576"), MATCH(F$1, SepR!$6:$6, 0), FALSE),
            0
        ) +
        IFERROR(
            VLOOKUP($A53, INDIRECT("OctR!$A$6:$ZZ$1048576"), MATCH(F$1, OctR!$6:$6, 0), FALSE),
            0
        ) +
        IFERROR(
            VLOOKUP($A53, INDIRECT("NovR!$A$6:$ZZ$1048576"), MATCH(F$1, NovR!$6:$6, 0), FALSE),
            0
        ) +
        IFERROR(
            VLOOKUP($A53, INDIRECT("DicR!$A$6:$ZZ$1048576"), MATCH(F$1, DicR!$6:$6, 0), FALSE),
            0
        )
)</f>
        <v>0</v>
      </c>
      <c r="G53" s="35">
        <f t="array" ref="G53">SUM(
    IFERROR(
            VLOOKUP($A53, INDIRECT("EneR!$A$6:$ZZ$1048576"), MATCH(G$1, EneR!$6:$6, 0), FALSE),
            0
        ) +
        IFERROR(
            VLOOKUP($A53, INDIRECT("FebR!$A$6:$ZZ$1048576"), MATCH(G$1, FebR!$6:$6, 0), FALSE),
            0
        ) +
        IFERROR(
            VLOOKUP($A53, INDIRECT("MarR!$A$6:$ZZ$1048576"), MATCH(G$1, MarR!$6:$6, 0), FALSE),
            0
        ) +
        IFERROR(
            VLOOKUP($A53, INDIRECT("AbrR!$A$6:$ZZ$1048576"), MATCH(G$1, AbrR!$6:$6, 0), FALSE),
            0
        ) +
        IFERROR(
            VLOOKUP($A53, INDIRECT("MayR!$A$6:$ZZ$1048576"), MATCH(G$1, MayR!$6:$6, 0), FALSE),
            0
        ) +
        IFERROR(
            VLOOKUP($A53, INDIRECT("JunR!$A$6:$ZZ$1048576"), MATCH(G$1, JunR!$6:$6, 0), FALSE),
            0
        ) +
        IFERROR(
            VLOOKUP($A53, INDIRECT("JulR!$A$6:$ZZ$1048576"), MATCH(G$1, JulR!$6:$6, 0), FALSE),
            0
        ) +
        IFERROR(
            VLOOKUP($A53, INDIRECT("AgoR!$A$6:$ZZ$1048576"), MATCH(G$1, AgoR!$6:$6, 0), FALSE),
            0
        ) +
        IFERROR(
            VLOOKUP($A53, INDIRECT("SepR!$A$6:$ZZ$1048576"), MATCH(G$1, SepR!$6:$6, 0), FALSE),
            0
        ) +
        IFERROR(
            VLOOKUP($A53, INDIRECT("OctR!$A$6:$ZZ$1048576"), MATCH(G$1, OctR!$6:$6, 0), FALSE),
            0
        ) +
        IFERROR(
            VLOOKUP($A53, INDIRECT("NovR!$A$6:$ZZ$1048576"), MATCH(G$1, NovR!$6:$6, 0), FALSE),
            0
        ) +
        IFERROR(
            VLOOKUP($A53, INDIRECT("DicR!$A$6:$ZZ$1048576"), MATCH(G$1, DicR!$6:$6, 0), FALSE),
            0
        )
)</f>
        <v>0</v>
      </c>
      <c r="H53" s="32">
        <f t="array" ref="H53">SUM(
    IFERROR(
            VLOOKUP($A53, INDIRECT("EneR!$A$6:$ZZ$1048576"), MATCH(H$1, EneR!$6:$6, 0), FALSE),
            0
        ) +
        IFERROR(
            VLOOKUP($A53, INDIRECT("FebR!$A$6:$ZZ$1048576"), MATCH(H$1, FebR!$6:$6, 0), FALSE),
            0
        ) +
        IFERROR(
            VLOOKUP($A53, INDIRECT("MarR!$A$6:$ZZ$1048576"), MATCH(H$1, MarR!$6:$6, 0), FALSE),
            0
        ) +
        IFERROR(
            VLOOKUP($A53, INDIRECT("AbrR!$A$6:$ZZ$1048576"), MATCH(H$1, AbrR!$6:$6, 0), FALSE),
            0
        ) +
        IFERROR(
            VLOOKUP($A53, INDIRECT("MayR!$A$6:$ZZ$1048576"), MATCH(H$1, MayR!$6:$6, 0), FALSE),
            0
        ) +
        IFERROR(
            VLOOKUP($A53, INDIRECT("JunR!$A$6:$ZZ$1048576"), MATCH(H$1, JunR!$6:$6, 0), FALSE),
            0
        ) +
        IFERROR(
            VLOOKUP($A53, INDIRECT("JulR!$A$6:$ZZ$1048576"), MATCH(H$1, JulR!$6:$6, 0), FALSE),
            0
        ) +
        IFERROR(
            VLOOKUP($A53, INDIRECT("AgoR!$A$6:$ZZ$1048576"), MATCH(H$1, AgoR!$6:$6, 0), FALSE),
            0
        ) +
        IFERROR(
            VLOOKUP($A53, INDIRECT("SepR!$A$6:$ZZ$1048576"), MATCH(H$1, SepR!$6:$6, 0), FALSE),
            0
        ) +
        IFERROR(
            VLOOKUP($A53, INDIRECT("OctR!$A$6:$ZZ$1048576"), MATCH(H$1, OctR!$6:$6, 0), FALSE),
            0
        ) +
        IFERROR(
            VLOOKUP($A53, INDIRECT("NovR!$A$6:$ZZ$1048576"), MATCH(H$1, NovR!$6:$6, 0), FALSE),
            0
        ) +
        IFERROR(
            VLOOKUP($A53, INDIRECT("DicR!$A$6:$ZZ$1048576"), MATCH(H$1, DicR!$6:$6, 0), FALSE),
            0
        )
)</f>
        <v>0</v>
      </c>
      <c r="I53" s="35">
        <f t="array" ref="I53">SUM(
    IFERROR(
            VLOOKUP($A53, INDIRECT("EneR!$A$6:$ZZ$1048576"), MATCH(I$1, EneR!$6:$6, 0), FALSE),
            0
        ) +
        IFERROR(
            VLOOKUP($A53, INDIRECT("FebR!$A$6:$ZZ$1048576"), MATCH(I$1, FebR!$6:$6, 0), FALSE),
            0
        ) +
        IFERROR(
            VLOOKUP($A53, INDIRECT("MarR!$A$6:$ZZ$1048576"), MATCH(I$1, MarR!$6:$6, 0), FALSE),
            0
        ) +
        IFERROR(
            VLOOKUP($A53, INDIRECT("AbrR!$A$6:$ZZ$1048576"), MATCH(I$1, AbrR!$6:$6, 0), FALSE),
            0
        ) +
        IFERROR(
            VLOOKUP($A53, INDIRECT("MayR!$A$6:$ZZ$1048576"), MATCH(I$1, MayR!$6:$6, 0), FALSE),
            0
        ) +
        IFERROR(
            VLOOKUP($A53, INDIRECT("JunR!$A$6:$ZZ$1048576"), MATCH(I$1, JunR!$6:$6, 0), FALSE),
            0
        ) +
        IFERROR(
            VLOOKUP($A53, INDIRECT("JulR!$A$6:$ZZ$1048576"), MATCH(I$1, JulR!$6:$6, 0), FALSE),
            0
        ) +
        IFERROR(
            VLOOKUP($A53, INDIRECT("AgoR!$A$6:$ZZ$1048576"), MATCH(I$1, AgoR!$6:$6, 0), FALSE),
            0
        ) +
        IFERROR(
            VLOOKUP($A53, INDIRECT("SepR!$A$6:$ZZ$1048576"), MATCH(I$1, SepR!$6:$6, 0), FALSE),
            0
        ) +
        IFERROR(
            VLOOKUP($A53, INDIRECT("OctR!$A$6:$ZZ$1048576"), MATCH(I$1, OctR!$6:$6, 0), FALSE),
            0
        ) +
        IFERROR(
            VLOOKUP($A53, INDIRECT("NovR!$A$6:$ZZ$1048576"), MATCH(I$1, NovR!$6:$6, 0), FALSE),
            0
        ) +
        IFERROR(
            VLOOKUP($A53, INDIRECT("DicR!$A$6:$ZZ$1048576"), MATCH(I$1, DicR!$6:$6, 0), FALSE),
            0
        )
)</f>
        <v>0</v>
      </c>
      <c r="J53" s="32">
        <f t="array" ref="J53">SUM(
    IFERROR(
            VLOOKUP($A53, INDIRECT("EneR!$A$6:$ZZ$1048576"), MATCH(J$1, EneR!$6:$6, 0), FALSE),
            0
        ) +
        IFERROR(
            VLOOKUP($A53, INDIRECT("FebR!$A$6:$ZZ$1048576"), MATCH(J$1, FebR!$6:$6, 0), FALSE),
            0
        ) +
        IFERROR(
            VLOOKUP($A53, INDIRECT("MarR!$A$6:$ZZ$1048576"), MATCH(J$1, MarR!$6:$6, 0), FALSE),
            0
        ) +
        IFERROR(
            VLOOKUP($A53, INDIRECT("AbrR!$A$6:$ZZ$1048576"), MATCH(J$1, AbrR!$6:$6, 0), FALSE),
            0
        ) +
        IFERROR(
            VLOOKUP($A53, INDIRECT("MayR!$A$6:$ZZ$1048576"), MATCH(J$1, MayR!$6:$6, 0), FALSE),
            0
        ) +
        IFERROR(
            VLOOKUP($A53, INDIRECT("JunR!$A$6:$ZZ$1048576"), MATCH(J$1, JunR!$6:$6, 0), FALSE),
            0
        ) +
        IFERROR(
            VLOOKUP($A53, INDIRECT("JulR!$A$6:$ZZ$1048576"), MATCH(J$1, JulR!$6:$6, 0), FALSE),
            0
        ) +
        IFERROR(
            VLOOKUP($A53, INDIRECT("AgoR!$A$6:$ZZ$1048576"), MATCH(J$1, AgoR!$6:$6, 0), FALSE),
            0
        ) +
        IFERROR(
            VLOOKUP($A53, INDIRECT("SepR!$A$6:$ZZ$1048576"), MATCH(J$1, SepR!$6:$6, 0), FALSE),
            0
        ) +
        IFERROR(
            VLOOKUP($A53, INDIRECT("OctR!$A$6:$ZZ$1048576"), MATCH(J$1, OctR!$6:$6, 0), FALSE),
            0
        ) +
        IFERROR(
            VLOOKUP($A53, INDIRECT("NovR!$A$6:$ZZ$1048576"), MATCH(J$1, NovR!$6:$6, 0), FALSE),
            0
        ) +
        IFERROR(
            VLOOKUP($A53, INDIRECT("DicR!$A$6:$ZZ$1048576"), MATCH(J$1, DicR!$6:$6, 0), FALSE),
            0
        )
)</f>
        <v>0</v>
      </c>
      <c r="K53" s="35">
        <f t="array" ref="K53">SUM(
    IFERROR(
            VLOOKUP($A53, INDIRECT("EneR!$A$6:$ZZ$1048576"), MATCH(K$1, EneR!$6:$6, 0), FALSE),
            0
        ) +
        IFERROR(
            VLOOKUP($A53, INDIRECT("FebR!$A$6:$ZZ$1048576"), MATCH(K$1, FebR!$6:$6, 0), FALSE),
            0
        ) +
        IFERROR(
            VLOOKUP($A53, INDIRECT("MarR!$A$6:$ZZ$1048576"), MATCH(K$1, MarR!$6:$6, 0), FALSE),
            0
        ) +
        IFERROR(
            VLOOKUP($A53, INDIRECT("AbrR!$A$6:$ZZ$1048576"), MATCH(K$1, AbrR!$6:$6, 0), FALSE),
            0
        ) +
        IFERROR(
            VLOOKUP($A53, INDIRECT("MayR!$A$6:$ZZ$1048576"), MATCH(K$1, MayR!$6:$6, 0), FALSE),
            0
        ) +
        IFERROR(
            VLOOKUP($A53, INDIRECT("JunR!$A$6:$ZZ$1048576"), MATCH(K$1, JunR!$6:$6, 0), FALSE),
            0
        ) +
        IFERROR(
            VLOOKUP($A53, INDIRECT("JulR!$A$6:$ZZ$1048576"), MATCH(K$1, JulR!$6:$6, 0), FALSE),
            0
        ) +
        IFERROR(
            VLOOKUP($A53, INDIRECT("AgoR!$A$6:$ZZ$1048576"), MATCH(K$1, AgoR!$6:$6, 0), FALSE),
            0
        ) +
        IFERROR(
            VLOOKUP($A53, INDIRECT("SepR!$A$6:$ZZ$1048576"), MATCH(K$1, SepR!$6:$6, 0), FALSE),
            0
        ) +
        IFERROR(
            VLOOKUP($A53, INDIRECT("OctR!$A$6:$ZZ$1048576"), MATCH(K$1, OctR!$6:$6, 0), FALSE),
            0
        ) +
        IFERROR(
            VLOOKUP($A53, INDIRECT("NovR!$A$6:$ZZ$1048576"), MATCH(K$1, NovR!$6:$6, 0), FALSE),
            0
        ) +
        IFERROR(
            VLOOKUP($A53, INDIRECT("DicR!$A$6:$ZZ$1048576"), MATCH(K$1, DicR!$6:$6, 0), FALSE),
            0
        )
)</f>
        <v>0</v>
      </c>
      <c r="L53" s="32">
        <f t="array" ref="L53">SUM(
    IFERROR(
            VLOOKUP($A53, INDIRECT("EneR!$A$6:$ZZ$1048576"), MATCH(L$1, EneR!$6:$6, 0), FALSE),
            0
        ) +
        IFERROR(
            VLOOKUP($A53, INDIRECT("FebR!$A$6:$ZZ$1048576"), MATCH(L$1, FebR!$6:$6, 0), FALSE),
            0
        ) +
        IFERROR(
            VLOOKUP($A53, INDIRECT("MarR!$A$6:$ZZ$1048576"), MATCH(L$1, MarR!$6:$6, 0), FALSE),
            0
        ) +
        IFERROR(
            VLOOKUP($A53, INDIRECT("AbrR!$A$6:$ZZ$1048576"), MATCH(L$1, AbrR!$6:$6, 0), FALSE),
            0
        ) +
        IFERROR(
            VLOOKUP($A53, INDIRECT("MayR!$A$6:$ZZ$1048576"), MATCH(L$1, MayR!$6:$6, 0), FALSE),
            0
        ) +
        IFERROR(
            VLOOKUP($A53, INDIRECT("JunR!$A$6:$ZZ$1048576"), MATCH(L$1, JunR!$6:$6, 0), FALSE),
            0
        ) +
        IFERROR(
            VLOOKUP($A53, INDIRECT("JulR!$A$6:$ZZ$1048576"), MATCH(L$1, JulR!$6:$6, 0), FALSE),
            0
        ) +
        IFERROR(
            VLOOKUP($A53, INDIRECT("AgoR!$A$6:$ZZ$1048576"), MATCH(L$1, AgoR!$6:$6, 0), FALSE),
            0
        ) +
        IFERROR(
            VLOOKUP($A53, INDIRECT("SepR!$A$6:$ZZ$1048576"), MATCH(L$1, SepR!$6:$6, 0), FALSE),
            0
        ) +
        IFERROR(
            VLOOKUP($A53, INDIRECT("OctR!$A$6:$ZZ$1048576"), MATCH(L$1, OctR!$6:$6, 0), FALSE),
            0
        ) +
        IFERROR(
            VLOOKUP($A53, INDIRECT("NovR!$A$6:$ZZ$1048576"), MATCH(L$1, NovR!$6:$6, 0), FALSE),
            0
        ) +
        IFERROR(
            VLOOKUP($A53, INDIRECT("DicR!$A$6:$ZZ$1048576"), MATCH(L$1, DicR!$6:$6, 0), FALSE),
            0
        )
)</f>
        <v>0</v>
      </c>
      <c r="M53" s="35">
        <f t="array" ref="M53">SUM(
    IFERROR(
            VLOOKUP($A53, INDIRECT("EneR!$A$6:$ZZ$1048576"), MATCH(M$1, EneR!$6:$6, 0), FALSE),
            0
        ) +
        IFERROR(
            VLOOKUP($A53, INDIRECT("FebR!$A$6:$ZZ$1048576"), MATCH(M$1, FebR!$6:$6, 0), FALSE),
            0
        ) +
        IFERROR(
            VLOOKUP($A53, INDIRECT("MarR!$A$6:$ZZ$1048576"), MATCH(M$1, MarR!$6:$6, 0), FALSE),
            0
        ) +
        IFERROR(
            VLOOKUP($A53, INDIRECT("AbrR!$A$6:$ZZ$1048576"), MATCH(M$1, AbrR!$6:$6, 0), FALSE),
            0
        ) +
        IFERROR(
            VLOOKUP($A53, INDIRECT("MayR!$A$6:$ZZ$1048576"), MATCH(M$1, MayR!$6:$6, 0), FALSE),
            0
        ) +
        IFERROR(
            VLOOKUP($A53, INDIRECT("JunR!$A$6:$ZZ$1048576"), MATCH(M$1, JunR!$6:$6, 0), FALSE),
            0
        ) +
        IFERROR(
            VLOOKUP($A53, INDIRECT("JulR!$A$6:$ZZ$1048576"), MATCH(M$1, JulR!$6:$6, 0), FALSE),
            0
        ) +
        IFERROR(
            VLOOKUP($A53, INDIRECT("AgoR!$A$6:$ZZ$1048576"), MATCH(M$1, AgoR!$6:$6, 0), FALSE),
            0
        ) +
        IFERROR(
            VLOOKUP($A53, INDIRECT("SepR!$A$6:$ZZ$1048576"), MATCH(M$1, SepR!$6:$6, 0), FALSE),
            0
        ) +
        IFERROR(
            VLOOKUP($A53, INDIRECT("OctR!$A$6:$ZZ$1048576"), MATCH(M$1, OctR!$6:$6, 0), FALSE),
            0
        ) +
        IFERROR(
            VLOOKUP($A53, INDIRECT("NovR!$A$6:$ZZ$1048576"), MATCH(M$1, NovR!$6:$6, 0), FALSE),
            0
        ) +
        IFERROR(
            VLOOKUP($A53, INDIRECT("DicR!$A$6:$ZZ$1048576"), MATCH(M$1, DicR!$6:$6, 0), FALSE),
            0
        )
)</f>
        <v>0</v>
      </c>
      <c r="N53" s="32">
        <f t="array" ref="N53">SUM(
    IFERROR(
            VLOOKUP($A53, INDIRECT("EneR!$A$6:$ZZ$1048576"), MATCH(N$1, EneR!$6:$6, 0), FALSE),
            0
        ) +
        IFERROR(
            VLOOKUP($A53, INDIRECT("FebR!$A$6:$ZZ$1048576"), MATCH(N$1, FebR!$6:$6, 0), FALSE),
            0
        ) +
        IFERROR(
            VLOOKUP($A53, INDIRECT("MarR!$A$6:$ZZ$1048576"), MATCH(N$1, MarR!$6:$6, 0), FALSE),
            0
        ) +
        IFERROR(
            VLOOKUP($A53, INDIRECT("AbrR!$A$6:$ZZ$1048576"), MATCH(N$1, AbrR!$6:$6, 0), FALSE),
            0
        ) +
        IFERROR(
            VLOOKUP($A53, INDIRECT("MayR!$A$6:$ZZ$1048576"), MATCH(N$1, MayR!$6:$6, 0), FALSE),
            0
        ) +
        IFERROR(
            VLOOKUP($A53, INDIRECT("JunR!$A$6:$ZZ$1048576"), MATCH(N$1, JunR!$6:$6, 0), FALSE),
            0
        ) +
        IFERROR(
            VLOOKUP($A53, INDIRECT("JulR!$A$6:$ZZ$1048576"), MATCH(N$1, JulR!$6:$6, 0), FALSE),
            0
        ) +
        IFERROR(
            VLOOKUP($A53, INDIRECT("AgoR!$A$6:$ZZ$1048576"), MATCH(N$1, AgoR!$6:$6, 0), FALSE),
            0
        ) +
        IFERROR(
            VLOOKUP($A53, INDIRECT("SepR!$A$6:$ZZ$1048576"), MATCH(N$1, SepR!$6:$6, 0), FALSE),
            0
        ) +
        IFERROR(
            VLOOKUP($A53, INDIRECT("OctR!$A$6:$ZZ$1048576"), MATCH(N$1, OctR!$6:$6, 0), FALSE),
            0
        ) +
        IFERROR(
            VLOOKUP($A53, INDIRECT("NovR!$A$6:$ZZ$1048576"), MATCH(N$1, NovR!$6:$6, 0), FALSE),
            0
        ) +
        IFERROR(
            VLOOKUP($A53, INDIRECT("DicR!$A$6:$ZZ$1048576"), MATCH(N$1, DicR!$6:$6, 0), FALSE),
            0
        )
)</f>
        <v>0</v>
      </c>
      <c r="O53" s="35">
        <f t="array" ref="O53">SUM(
    IFERROR(
            VLOOKUP($A53, INDIRECT("EneR!$A$6:$ZZ$1048576"), MATCH(O$1, EneR!$6:$6, 0), FALSE),
            0
        ) +
        IFERROR(
            VLOOKUP($A53, INDIRECT("FebR!$A$6:$ZZ$1048576"), MATCH(O$1, FebR!$6:$6, 0), FALSE),
            0
        ) +
        IFERROR(
            VLOOKUP($A53, INDIRECT("MarR!$A$6:$ZZ$1048576"), MATCH(O$1, MarR!$6:$6, 0), FALSE),
            0
        ) +
        IFERROR(
            VLOOKUP($A53, INDIRECT("AbrR!$A$6:$ZZ$1048576"), MATCH(O$1, AbrR!$6:$6, 0), FALSE),
            0
        ) +
        IFERROR(
            VLOOKUP($A53, INDIRECT("MayR!$A$6:$ZZ$1048576"), MATCH(O$1, MayR!$6:$6, 0), FALSE),
            0
        ) +
        IFERROR(
            VLOOKUP($A53, INDIRECT("JunR!$A$6:$ZZ$1048576"), MATCH(O$1, JunR!$6:$6, 0), FALSE),
            0
        ) +
        IFERROR(
            VLOOKUP($A53, INDIRECT("JulR!$A$6:$ZZ$1048576"), MATCH(O$1, JulR!$6:$6, 0), FALSE),
            0
        ) +
        IFERROR(
            VLOOKUP($A53, INDIRECT("AgoR!$A$6:$ZZ$1048576"), MATCH(O$1, AgoR!$6:$6, 0), FALSE),
            0
        ) +
        IFERROR(
            VLOOKUP($A53, INDIRECT("SepR!$A$6:$ZZ$1048576"), MATCH(O$1, SepR!$6:$6, 0), FALSE),
            0
        ) +
        IFERROR(
            VLOOKUP($A53, INDIRECT("OctR!$A$6:$ZZ$1048576"), MATCH(O$1, OctR!$6:$6, 0), FALSE),
            0
        ) +
        IFERROR(
            VLOOKUP($A53, INDIRECT("NovR!$A$6:$ZZ$1048576"), MATCH(O$1, NovR!$6:$6, 0), FALSE),
            0
        ) +
        IFERROR(
            VLOOKUP($A53, INDIRECT("DicR!$A$6:$ZZ$1048576"), MATCH(O$1, DicR!$6:$6, 0), FALSE),
            0
        )
)</f>
        <v>0</v>
      </c>
      <c r="P53" s="32">
        <f t="array" ref="P53">SUM(
    IFERROR(
            VLOOKUP($A53, INDIRECT("EneR!$A$6:$ZZ$1048576"), MATCH(P$1, EneR!$6:$6, 0), FALSE),
            0
        ) +
        IFERROR(
            VLOOKUP($A53, INDIRECT("FebR!$A$6:$ZZ$1048576"), MATCH(P$1, FebR!$6:$6, 0), FALSE),
            0
        ) +
        IFERROR(
            VLOOKUP($A53, INDIRECT("MarR!$A$6:$ZZ$1048576"), MATCH(P$1, MarR!$6:$6, 0), FALSE),
            0
        ) +
        IFERROR(
            VLOOKUP($A53, INDIRECT("AbrR!$A$6:$ZZ$1048576"), MATCH(P$1, AbrR!$6:$6, 0), FALSE),
            0
        ) +
        IFERROR(
            VLOOKUP($A53, INDIRECT("MayR!$A$6:$ZZ$1048576"), MATCH(P$1, MayR!$6:$6, 0), FALSE),
            0
        ) +
        IFERROR(
            VLOOKUP($A53, INDIRECT("JunR!$A$6:$ZZ$1048576"), MATCH(P$1, JunR!$6:$6, 0), FALSE),
            0
        ) +
        IFERROR(
            VLOOKUP($A53, INDIRECT("JulR!$A$6:$ZZ$1048576"), MATCH(P$1, JulR!$6:$6, 0), FALSE),
            0
        ) +
        IFERROR(
            VLOOKUP($A53, INDIRECT("AgoR!$A$6:$ZZ$1048576"), MATCH(P$1, AgoR!$6:$6, 0), FALSE),
            0
        ) +
        IFERROR(
            VLOOKUP($A53, INDIRECT("SepR!$A$6:$ZZ$1048576"), MATCH(P$1, SepR!$6:$6, 0), FALSE),
            0
        ) +
        IFERROR(
            VLOOKUP($A53, INDIRECT("OctR!$A$6:$ZZ$1048576"), MATCH(P$1, OctR!$6:$6, 0), FALSE),
            0
        ) +
        IFERROR(
            VLOOKUP($A53, INDIRECT("NovR!$A$6:$ZZ$1048576"), MATCH(P$1, NovR!$6:$6, 0), FALSE),
            0
        ) +
        IFERROR(
            VLOOKUP($A53, INDIRECT("DicR!$A$6:$ZZ$1048576"), MATCH(P$1, DicR!$6:$6, 0), FALSE),
            0
        )
)</f>
        <v>0</v>
      </c>
      <c r="Q53" s="35">
        <f t="array" ref="Q53">SUM(
    IFERROR(
            VLOOKUP($A53, INDIRECT("EneR!$A$6:$ZZ$1048576"), MATCH(Q$1, EneR!$6:$6, 0), FALSE),
            0
        ) +
        IFERROR(
            VLOOKUP($A53, INDIRECT("FebR!$A$6:$ZZ$1048576"), MATCH(Q$1, FebR!$6:$6, 0), FALSE),
            0
        ) +
        IFERROR(
            VLOOKUP($A53, INDIRECT("MarR!$A$6:$ZZ$1048576"), MATCH(Q$1, MarR!$6:$6, 0), FALSE),
            0
        ) +
        IFERROR(
            VLOOKUP($A53, INDIRECT("AbrR!$A$6:$ZZ$1048576"), MATCH(Q$1, AbrR!$6:$6, 0), FALSE),
            0
        ) +
        IFERROR(
            VLOOKUP($A53, INDIRECT("MayR!$A$6:$ZZ$1048576"), MATCH(Q$1, MayR!$6:$6, 0), FALSE),
            0
        ) +
        IFERROR(
            VLOOKUP($A53, INDIRECT("JunR!$A$6:$ZZ$1048576"), MATCH(Q$1, JunR!$6:$6, 0), FALSE),
            0
        ) +
        IFERROR(
            VLOOKUP($A53, INDIRECT("JulR!$A$6:$ZZ$1048576"), MATCH(Q$1, JulR!$6:$6, 0), FALSE),
            0
        ) +
        IFERROR(
            VLOOKUP($A53, INDIRECT("AgoR!$A$6:$ZZ$1048576"), MATCH(Q$1, AgoR!$6:$6, 0), FALSE),
            0
        ) +
        IFERROR(
            VLOOKUP($A53, INDIRECT("SepR!$A$6:$ZZ$1048576"), MATCH(Q$1, SepR!$6:$6, 0), FALSE),
            0
        ) +
        IFERROR(
            VLOOKUP($A53, INDIRECT("OctR!$A$6:$ZZ$1048576"), MATCH(Q$1, OctR!$6:$6, 0), FALSE),
            0
        ) +
        IFERROR(
            VLOOKUP($A53, INDIRECT("NovR!$A$6:$ZZ$1048576"), MATCH(Q$1, NovR!$6:$6, 0), FALSE),
            0
        ) +
        IFERROR(
            VLOOKUP($A53, INDIRECT("DicR!$A$6:$ZZ$1048576"), MATCH(Q$1, DicR!$6:$6, 0), FALSE),
            0
        )
)</f>
        <v>0</v>
      </c>
      <c r="R53" s="36">
        <f t="array" ref="R53">SUM(
    IFERROR(
            VLOOKUP($A53, INDIRECT("EneR!$A$6:$ZZ$1048576"), MATCH(R$1, EneR!$6:$6, 0), FALSE),
            0
        ) +
        IFERROR(
            VLOOKUP($A53, INDIRECT("FebR!$A$6:$ZZ$1048576"), MATCH(R$1, FebR!$6:$6, 0), FALSE),
            0
        ) +
        IFERROR(
            VLOOKUP($A53, INDIRECT("MarR!$A$6:$ZZ$1048576"), MATCH(R$1, MarR!$6:$6, 0), FALSE),
            0
        ) +
        IFERROR(
            VLOOKUP($A53, INDIRECT("AbrR!$A$6:$ZZ$1048576"), MATCH(R$1, AbrR!$6:$6, 0), FALSE),
            0
        ) +
        IFERROR(
            VLOOKUP($A53, INDIRECT("MayR!$A$6:$ZZ$1048576"), MATCH(R$1, MayR!$6:$6, 0), FALSE),
            0
        ) +
        IFERROR(
            VLOOKUP($A53, INDIRECT("JunR!$A$6:$ZZ$1048576"), MATCH(R$1, JunR!$6:$6, 0), FALSE),
            0
        ) +
        IFERROR(
            VLOOKUP($A53, INDIRECT("JulR!$A$6:$ZZ$1048576"), MATCH(R$1, JulR!$6:$6, 0), FALSE),
            0
        ) +
        IFERROR(
            VLOOKUP($A53, INDIRECT("AgoR!$A$6:$ZZ$1048576"), MATCH(R$1, AgoR!$6:$6, 0), FALSE),
            0
        ) +
        IFERROR(
            VLOOKUP($A53, INDIRECT("SepR!$A$6:$ZZ$1048576"), MATCH(R$1, SepR!$6:$6, 0), FALSE),
            0
        ) +
        IFERROR(
            VLOOKUP($A53, INDIRECT("OctR!$A$6:$ZZ$1048576"), MATCH(R$1, OctR!$6:$6, 0), FALSE),
            0
        ) +
        IFERROR(
            VLOOKUP($A53, INDIRECT("NovR!$A$6:$ZZ$1048576"), MATCH(R$1, NovR!$6:$6, 0), FALSE),
            0
        ) +
        IFERROR(
            VLOOKUP($A53, INDIRECT("DicR!$A$6:$ZZ$1048576"), MATCH(R$1, DicR!$6:$6, 0), FALSE),
            0
        )
)</f>
        <v>0</v>
      </c>
      <c r="S53" s="37">
        <f t="array" ref="S53">SUM(
    IFERROR(
            VLOOKUP($A53, INDIRECT("EneR!$A$6:$ZZ$1048576"), MATCH(S$1, EneR!$6:$6, 0), FALSE),
            0
        ) +
        IFERROR(
            VLOOKUP($A53, INDIRECT("FebR!$A$6:$ZZ$1048576"), MATCH(S$1, FebR!$6:$6, 0), FALSE),
            0
        ) +
        IFERROR(
            VLOOKUP($A53, INDIRECT("MarR!$A$6:$ZZ$1048576"), MATCH(S$1, MarR!$6:$6, 0), FALSE),
            0
        ) +
        IFERROR(
            VLOOKUP($A53, INDIRECT("AbrR!$A$6:$ZZ$1048576"), MATCH(S$1, AbrR!$6:$6, 0), FALSE),
            0
        ) +
        IFERROR(
            VLOOKUP($A53, INDIRECT("MayR!$A$6:$ZZ$1048576"), MATCH(S$1, MayR!$6:$6, 0), FALSE),
            0
        ) +
        IFERROR(
            VLOOKUP($A53, INDIRECT("JunR!$A$6:$ZZ$1048576"), MATCH(S$1, JunR!$6:$6, 0), FALSE),
            0
        ) +
        IFERROR(
            VLOOKUP($A53, INDIRECT("JulR!$A$6:$ZZ$1048576"), MATCH(S$1, JulR!$6:$6, 0), FALSE),
            0
        ) +
        IFERROR(
            VLOOKUP($A53, INDIRECT("AgoR!$A$6:$ZZ$1048576"), MATCH(S$1, AgoR!$6:$6, 0), FALSE),
            0
        ) +
        IFERROR(
            VLOOKUP($A53, INDIRECT("SepR!$A$6:$ZZ$1048576"), MATCH(S$1, SepR!$6:$6, 0), FALSE),
            0
        ) +
        IFERROR(
            VLOOKUP($A53, INDIRECT("OctR!$A$6:$ZZ$1048576"), MATCH(S$1, OctR!$6:$6, 0), FALSE),
            0
        ) +
        IFERROR(
            VLOOKUP($A53, INDIRECT("NovR!$A$6:$ZZ$1048576"), MATCH(S$1, NovR!$6:$6, 0), FALSE),
            0
        ) +
        IFERROR(
            VLOOKUP($A53, INDIRECT("DicR!$A$6:$ZZ$1048576"), MATCH(S$1, DicR!$6:$6, 0), FALSE),
            0
        )
)</f>
        <v>0</v>
      </c>
      <c r="T53" s="36">
        <f t="array" ref="T53">SUM(
    IFERROR(
            VLOOKUP($A53, INDIRECT("EneR!$A$6:$ZZ$1048576"), MATCH(T$1, EneR!$6:$6, 0), FALSE),
            0
        ) +
        IFERROR(
            VLOOKUP($A53, INDIRECT("FebR!$A$6:$ZZ$1048576"), MATCH(T$1, FebR!$6:$6, 0), FALSE),
            0
        ) +
        IFERROR(
            VLOOKUP($A53, INDIRECT("MarR!$A$6:$ZZ$1048576"), MATCH(T$1, MarR!$6:$6, 0), FALSE),
            0
        ) +
        IFERROR(
            VLOOKUP($A53, INDIRECT("AbrR!$A$6:$ZZ$1048576"), MATCH(T$1, AbrR!$6:$6, 0), FALSE),
            0
        ) +
        IFERROR(
            VLOOKUP($A53, INDIRECT("MayR!$A$6:$ZZ$1048576"), MATCH(T$1, MayR!$6:$6, 0), FALSE),
            0
        ) +
        IFERROR(
            VLOOKUP($A53, INDIRECT("JunR!$A$6:$ZZ$1048576"), MATCH(T$1, JunR!$6:$6, 0), FALSE),
            0
        ) +
        IFERROR(
            VLOOKUP($A53, INDIRECT("JulR!$A$6:$ZZ$1048576"), MATCH(T$1, JulR!$6:$6, 0), FALSE),
            0
        ) +
        IFERROR(
            VLOOKUP($A53, INDIRECT("AgoR!$A$6:$ZZ$1048576"), MATCH(T$1, AgoR!$6:$6, 0), FALSE),
            0
        ) +
        IFERROR(
            VLOOKUP($A53, INDIRECT("SepR!$A$6:$ZZ$1048576"), MATCH(T$1, SepR!$6:$6, 0), FALSE),
            0
        ) +
        IFERROR(
            VLOOKUP($A53, INDIRECT("OctR!$A$6:$ZZ$1048576"), MATCH(T$1, OctR!$6:$6, 0), FALSE),
            0
        ) +
        IFERROR(
            VLOOKUP($A53, INDIRECT("NovR!$A$6:$ZZ$1048576"), MATCH(T$1, NovR!$6:$6, 0), FALSE),
            0
        ) +
        IFERROR(
            VLOOKUP($A53, INDIRECT("DicR!$A$6:$ZZ$1048576"), MATCH(T$1, DicR!$6:$6, 0), FALSE),
            0
        )
)</f>
        <v>0</v>
      </c>
      <c r="U53" s="37">
        <f t="array" ref="U53">SUM(
    IFERROR(
            VLOOKUP($A53, INDIRECT("EneR!$A$6:$ZZ$1048576"), MATCH(U$1, EneR!$6:$6, 0), FALSE),
            0
        ) +
        IFERROR(
            VLOOKUP($A53, INDIRECT("FebR!$A$6:$ZZ$1048576"), MATCH(U$1, FebR!$6:$6, 0), FALSE),
            0
        ) +
        IFERROR(
            VLOOKUP($A53, INDIRECT("MarR!$A$6:$ZZ$1048576"), MATCH(U$1, MarR!$6:$6, 0), FALSE),
            0
        ) +
        IFERROR(
            VLOOKUP($A53, INDIRECT("AbrR!$A$6:$ZZ$1048576"), MATCH(U$1, AbrR!$6:$6, 0), FALSE),
            0
        ) +
        IFERROR(
            VLOOKUP($A53, INDIRECT("MayR!$A$6:$ZZ$1048576"), MATCH(U$1, MayR!$6:$6, 0), FALSE),
            0
        ) +
        IFERROR(
            VLOOKUP($A53, INDIRECT("JunR!$A$6:$ZZ$1048576"), MATCH(U$1, JunR!$6:$6, 0), FALSE),
            0
        ) +
        IFERROR(
            VLOOKUP($A53, INDIRECT("JulR!$A$6:$ZZ$1048576"), MATCH(U$1, JulR!$6:$6, 0), FALSE),
            0
        ) +
        IFERROR(
            VLOOKUP($A53, INDIRECT("AgoR!$A$6:$ZZ$1048576"), MATCH(U$1, AgoR!$6:$6, 0), FALSE),
            0
        ) +
        IFERROR(
            VLOOKUP($A53, INDIRECT("SepR!$A$6:$ZZ$1048576"), MATCH(U$1, SepR!$6:$6, 0), FALSE),
            0
        ) +
        IFERROR(
            VLOOKUP($A53, INDIRECT("OctR!$A$6:$ZZ$1048576"), MATCH(U$1, OctR!$6:$6, 0), FALSE),
            0
        ) +
        IFERROR(
            VLOOKUP($A53, INDIRECT("NovR!$A$6:$ZZ$1048576"), MATCH(U$1, NovR!$6:$6, 0), FALSE),
            0
        ) +
        IFERROR(
            VLOOKUP($A53, INDIRECT("DicR!$A$6:$ZZ$1048576"), MATCH(U$1, DicR!$6:$6, 0), FALSE),
            0
        )
)</f>
        <v>0</v>
      </c>
      <c r="V53" s="36">
        <f t="array" ref="V53">SUM(
    IFERROR(
            VLOOKUP($A53, INDIRECT("EneR!$A$6:$ZZ$1048576"), MATCH(V$1, EneR!$6:$6, 0), FALSE),
            0
        ) +
        IFERROR(
            VLOOKUP($A53, INDIRECT("FebR!$A$6:$ZZ$1048576"), MATCH(V$1, FebR!$6:$6, 0), FALSE),
            0
        ) +
        IFERROR(
            VLOOKUP($A53, INDIRECT("MarR!$A$6:$ZZ$1048576"), MATCH(V$1, MarR!$6:$6, 0), FALSE),
            0
        ) +
        IFERROR(
            VLOOKUP($A53, INDIRECT("AbrR!$A$6:$ZZ$1048576"), MATCH(V$1, AbrR!$6:$6, 0), FALSE),
            0
        ) +
        IFERROR(
            VLOOKUP($A53, INDIRECT("MayR!$A$6:$ZZ$1048576"), MATCH(V$1, MayR!$6:$6, 0), FALSE),
            0
        ) +
        IFERROR(
            VLOOKUP($A53, INDIRECT("JunR!$A$6:$ZZ$1048576"), MATCH(V$1, JunR!$6:$6, 0), FALSE),
            0
        ) +
        IFERROR(
            VLOOKUP($A53, INDIRECT("JulR!$A$6:$ZZ$1048576"), MATCH(V$1, JulR!$6:$6, 0), FALSE),
            0
        ) +
        IFERROR(
            VLOOKUP($A53, INDIRECT("AgoR!$A$6:$ZZ$1048576"), MATCH(V$1, AgoR!$6:$6, 0), FALSE),
            0
        ) +
        IFERROR(
            VLOOKUP($A53, INDIRECT("SepR!$A$6:$ZZ$1048576"), MATCH(V$1, SepR!$6:$6, 0), FALSE),
            0
        ) +
        IFERROR(
            VLOOKUP($A53, INDIRECT("OctR!$A$6:$ZZ$1048576"), MATCH(V$1, OctR!$6:$6, 0), FALSE),
            0
        ) +
        IFERROR(
            VLOOKUP($A53, INDIRECT("NovR!$A$6:$ZZ$1048576"), MATCH(V$1, NovR!$6:$6, 0), FALSE),
            0
        ) +
        IFERROR(
            VLOOKUP($A53, INDIRECT("DicR!$A$6:$ZZ$1048576"), MATCH(V$1, DicR!$6:$6, 0), FALSE),
            0
        )
)</f>
        <v>0</v>
      </c>
      <c r="W53" s="37">
        <f t="array" ref="W53">SUM(
    IFERROR(
            VLOOKUP($A53, INDIRECT("EneR!$A$6:$ZZ$1048576"), MATCH(W$1, EneR!$6:$6, 0), FALSE),
            0
        ) +
        IFERROR(
            VLOOKUP($A53, INDIRECT("FebR!$A$6:$ZZ$1048576"), MATCH(W$1, FebR!$6:$6, 0), FALSE),
            0
        ) +
        IFERROR(
            VLOOKUP($A53, INDIRECT("MarR!$A$6:$ZZ$1048576"), MATCH(W$1, MarR!$6:$6, 0), FALSE),
            0
        ) +
        IFERROR(
            VLOOKUP($A53, INDIRECT("AbrR!$A$6:$ZZ$1048576"), MATCH(W$1, AbrR!$6:$6, 0), FALSE),
            0
        ) +
        IFERROR(
            VLOOKUP($A53, INDIRECT("MayR!$A$6:$ZZ$1048576"), MATCH(W$1, MayR!$6:$6, 0), FALSE),
            0
        ) +
        IFERROR(
            VLOOKUP($A53, INDIRECT("JunR!$A$6:$ZZ$1048576"), MATCH(W$1, JunR!$6:$6, 0), FALSE),
            0
        ) +
        IFERROR(
            VLOOKUP($A53, INDIRECT("JulR!$A$6:$ZZ$1048576"), MATCH(W$1, JulR!$6:$6, 0), FALSE),
            0
        ) +
        IFERROR(
            VLOOKUP($A53, INDIRECT("AgoR!$A$6:$ZZ$1048576"), MATCH(W$1, AgoR!$6:$6, 0), FALSE),
            0
        ) +
        IFERROR(
            VLOOKUP($A53, INDIRECT("SepR!$A$6:$ZZ$1048576"), MATCH(W$1, SepR!$6:$6, 0), FALSE),
            0
        ) +
        IFERROR(
            VLOOKUP($A53, INDIRECT("OctR!$A$6:$ZZ$1048576"), MATCH(W$1, OctR!$6:$6, 0), FALSE),
            0
        ) +
        IFERROR(
            VLOOKUP($A53, INDIRECT("NovR!$A$6:$ZZ$1048576"), MATCH(W$1, NovR!$6:$6, 0), FALSE),
            0
        ) +
        IFERROR(
            VLOOKUP($A53, INDIRECT("DicR!$A$6:$ZZ$1048576"), MATCH(W$1, DicR!$6:$6, 0), FALSE),
            0
        )
)</f>
        <v>0</v>
      </c>
      <c r="X53" s="36">
        <f t="array" ref="X53">SUM(
    IFERROR(
            VLOOKUP($A53, INDIRECT("EneR!$A$6:$ZZ$1048576"), MATCH(X$1, EneR!$6:$6, 0), FALSE),
            0
        ) +
        IFERROR(
            VLOOKUP($A53, INDIRECT("FebR!$A$6:$ZZ$1048576"), MATCH(X$1, FebR!$6:$6, 0), FALSE),
            0
        ) +
        IFERROR(
            VLOOKUP($A53, INDIRECT("MarR!$A$6:$ZZ$1048576"), MATCH(X$1, MarR!$6:$6, 0), FALSE),
            0
        ) +
        IFERROR(
            VLOOKUP($A53, INDIRECT("AbrR!$A$6:$ZZ$1048576"), MATCH(X$1, AbrR!$6:$6, 0), FALSE),
            0
        ) +
        IFERROR(
            VLOOKUP($A53, INDIRECT("MayR!$A$6:$ZZ$1048576"), MATCH(X$1, MayR!$6:$6, 0), FALSE),
            0
        ) +
        IFERROR(
            VLOOKUP($A53, INDIRECT("JunR!$A$6:$ZZ$1048576"), MATCH(X$1, JunR!$6:$6, 0), FALSE),
            0
        ) +
        IFERROR(
            VLOOKUP($A53, INDIRECT("JulR!$A$6:$ZZ$1048576"), MATCH(X$1, JulR!$6:$6, 0), FALSE),
            0
        ) +
        IFERROR(
            VLOOKUP($A53, INDIRECT("AgoR!$A$6:$ZZ$1048576"), MATCH(X$1, AgoR!$6:$6, 0), FALSE),
            0
        ) +
        IFERROR(
            VLOOKUP($A53, INDIRECT("SepR!$A$6:$ZZ$1048576"), MATCH(X$1, SepR!$6:$6, 0), FALSE),
            0
        ) +
        IFERROR(
            VLOOKUP($A53, INDIRECT("OctR!$A$6:$ZZ$1048576"), MATCH(X$1, OctR!$6:$6, 0), FALSE),
            0
        ) +
        IFERROR(
            VLOOKUP($A53, INDIRECT("NovR!$A$6:$ZZ$1048576"), MATCH(X$1, NovR!$6:$6, 0), FALSE),
            0
        ) +
        IFERROR(
            VLOOKUP($A53, INDIRECT("DicR!$A$6:$ZZ$1048576"), MATCH(X$1, DicR!$6:$6, 0), FALSE),
            0
        )
)</f>
        <v>0</v>
      </c>
      <c r="Y53" s="37">
        <f t="array" ref="Y53">SUM(
    IFERROR(
            VLOOKUP($A53, INDIRECT("EneR!$A$6:$ZZ$1048576"), MATCH(Y$1, EneR!$6:$6, 0), FALSE),
            0
        ) +
        IFERROR(
            VLOOKUP($A53, INDIRECT("FebR!$A$6:$ZZ$1048576"), MATCH(Y$1, FebR!$6:$6, 0), FALSE),
            0
        ) +
        IFERROR(
            VLOOKUP($A53, INDIRECT("MarR!$A$6:$ZZ$1048576"), MATCH(Y$1, MarR!$6:$6, 0), FALSE),
            0
        ) +
        IFERROR(
            VLOOKUP($A53, INDIRECT("AbrR!$A$6:$ZZ$1048576"), MATCH(Y$1, AbrR!$6:$6, 0), FALSE),
            0
        ) +
        IFERROR(
            VLOOKUP($A53, INDIRECT("MayR!$A$6:$ZZ$1048576"), MATCH(Y$1, MayR!$6:$6, 0), FALSE),
            0
        ) +
        IFERROR(
            VLOOKUP($A53, INDIRECT("JunR!$A$6:$ZZ$1048576"), MATCH(Y$1, JunR!$6:$6, 0), FALSE),
            0
        ) +
        IFERROR(
            VLOOKUP($A53, INDIRECT("JulR!$A$6:$ZZ$1048576"), MATCH(Y$1, JulR!$6:$6, 0), FALSE),
            0
        ) +
        IFERROR(
            VLOOKUP($A53, INDIRECT("AgoR!$A$6:$ZZ$1048576"), MATCH(Y$1, AgoR!$6:$6, 0), FALSE),
            0
        ) +
        IFERROR(
            VLOOKUP($A53, INDIRECT("SepR!$A$6:$ZZ$1048576"), MATCH(Y$1, SepR!$6:$6, 0), FALSE),
            0
        ) +
        IFERROR(
            VLOOKUP($A53, INDIRECT("OctR!$A$6:$ZZ$1048576"), MATCH(Y$1, OctR!$6:$6, 0), FALSE),
            0
        ) +
        IFERROR(
            VLOOKUP($A53, INDIRECT("NovR!$A$6:$ZZ$1048576"), MATCH(Y$1, NovR!$6:$6, 0), FALSE),
            0
        ) +
        IFERROR(
            VLOOKUP($A53, INDIRECT("DicR!$A$6:$ZZ$1048576"), MATCH(Y$1, DicR!$6:$6, 0), FALSE),
            0
        )
)</f>
        <v>0</v>
      </c>
      <c r="Z53" s="36">
        <f t="array" ref="Z53">SUM(
    IFERROR(
            VLOOKUP($A53, INDIRECT("EneR!$A$6:$ZZ$1048576"), MATCH(Z$1, EneR!$6:$6, 0), FALSE),
            0
        ) +
        IFERROR(
            VLOOKUP($A53, INDIRECT("FebR!$A$6:$ZZ$1048576"), MATCH(Z$1, FebR!$6:$6, 0), FALSE),
            0
        ) +
        IFERROR(
            VLOOKUP($A53, INDIRECT("MarR!$A$6:$ZZ$1048576"), MATCH(Z$1, MarR!$6:$6, 0), FALSE),
            0
        ) +
        IFERROR(
            VLOOKUP($A53, INDIRECT("AbrR!$A$6:$ZZ$1048576"), MATCH(Z$1, AbrR!$6:$6, 0), FALSE),
            0
        ) +
        IFERROR(
            VLOOKUP($A53, INDIRECT("MayR!$A$6:$ZZ$1048576"), MATCH(Z$1, MayR!$6:$6, 0), FALSE),
            0
        ) +
        IFERROR(
            VLOOKUP($A53, INDIRECT("JunR!$A$6:$ZZ$1048576"), MATCH(Z$1, JunR!$6:$6, 0), FALSE),
            0
        ) +
        IFERROR(
            VLOOKUP($A53, INDIRECT("JulR!$A$6:$ZZ$1048576"), MATCH(Z$1, JulR!$6:$6, 0), FALSE),
            0
        ) +
        IFERROR(
            VLOOKUP($A53, INDIRECT("AgoR!$A$6:$ZZ$1048576"), MATCH(Z$1, AgoR!$6:$6, 0), FALSE),
            0
        ) +
        IFERROR(
            VLOOKUP($A53, INDIRECT("SepR!$A$6:$ZZ$1048576"), MATCH(Z$1, SepR!$6:$6, 0), FALSE),
            0
        ) +
        IFERROR(
            VLOOKUP($A53, INDIRECT("OctR!$A$6:$ZZ$1048576"), MATCH(Z$1, OctR!$6:$6, 0), FALSE),
            0
        ) +
        IFERROR(
            VLOOKUP($A53, INDIRECT("NovR!$A$6:$ZZ$1048576"), MATCH(Z$1, NovR!$6:$6, 0), FALSE),
            0
        ) +
        IFERROR(
            VLOOKUP($A53, INDIRECT("DicR!$A$6:$ZZ$1048576"), MATCH(Z$1, DicR!$6:$6, 0), FALSE),
            0
        )
)</f>
        <v>0</v>
      </c>
      <c r="AA53" s="37">
        <f t="array" ref="AA53">SUM(
    IFERROR(
            VLOOKUP($A53, INDIRECT("EneR!$A$6:$ZZ$1048576"), MATCH(AA$1, EneR!$6:$6, 0), FALSE),
            0
        ) +
        IFERROR(
            VLOOKUP($A53, INDIRECT("FebR!$A$6:$ZZ$1048576"), MATCH(AA$1, FebR!$6:$6, 0), FALSE),
            0
        ) +
        IFERROR(
            VLOOKUP($A53, INDIRECT("MarR!$A$6:$ZZ$1048576"), MATCH(AA$1, MarR!$6:$6, 0), FALSE),
            0
        ) +
        IFERROR(
            VLOOKUP($A53, INDIRECT("AbrR!$A$6:$ZZ$1048576"), MATCH(AA$1, AbrR!$6:$6, 0), FALSE),
            0
        ) +
        IFERROR(
            VLOOKUP($A53, INDIRECT("MayR!$A$6:$ZZ$1048576"), MATCH(AA$1, MayR!$6:$6, 0), FALSE),
            0
        ) +
        IFERROR(
            VLOOKUP($A53, INDIRECT("JunR!$A$6:$ZZ$1048576"), MATCH(AA$1, JunR!$6:$6, 0), FALSE),
            0
        ) +
        IFERROR(
            VLOOKUP($A53, INDIRECT("JulR!$A$6:$ZZ$1048576"), MATCH(AA$1, JulR!$6:$6, 0), FALSE),
            0
        ) +
        IFERROR(
            VLOOKUP($A53, INDIRECT("AgoR!$A$6:$ZZ$1048576"), MATCH(AA$1, AgoR!$6:$6, 0), FALSE),
            0
        ) +
        IFERROR(
            VLOOKUP($A53, INDIRECT("SepR!$A$6:$ZZ$1048576"), MATCH(AA$1, SepR!$6:$6, 0), FALSE),
            0
        ) +
        IFERROR(
            VLOOKUP($A53, INDIRECT("OctR!$A$6:$ZZ$1048576"), MATCH(AA$1, OctR!$6:$6, 0), FALSE),
            0
        ) +
        IFERROR(
            VLOOKUP($A53, INDIRECT("NovR!$A$6:$ZZ$1048576"), MATCH(AA$1, NovR!$6:$6, 0), FALSE),
            0
        ) +
        IFERROR(
            VLOOKUP($A53, INDIRECT("DicR!$A$6:$ZZ$1048576"), MATCH(AA$1, DicR!$6:$6, 0), FALSE),
            0
        )
)</f>
        <v>0</v>
      </c>
      <c r="AB53" s="36">
        <f t="array" ref="AB53">SUM(
    IFERROR(
            VLOOKUP($A53, INDIRECT("EneR!$A$6:$ZZ$1048576"), MATCH(AB$1, EneR!$6:$6, 0), FALSE),
            0
        ) +
        IFERROR(
            VLOOKUP($A53, INDIRECT("FebR!$A$6:$ZZ$1048576"), MATCH(AB$1, FebR!$6:$6, 0), FALSE),
            0
        ) +
        IFERROR(
            VLOOKUP($A53, INDIRECT("MarR!$A$6:$ZZ$1048576"), MATCH(AB$1, MarR!$6:$6, 0), FALSE),
            0
        ) +
        IFERROR(
            VLOOKUP($A53, INDIRECT("AbrR!$A$6:$ZZ$1048576"), MATCH(AB$1, AbrR!$6:$6, 0), FALSE),
            0
        ) +
        IFERROR(
            VLOOKUP($A53, INDIRECT("MayR!$A$6:$ZZ$1048576"), MATCH(AB$1, MayR!$6:$6, 0), FALSE),
            0
        ) +
        IFERROR(
            VLOOKUP($A53, INDIRECT("JunR!$A$6:$ZZ$1048576"), MATCH(AB$1, JunR!$6:$6, 0), FALSE),
            0
        ) +
        IFERROR(
            VLOOKUP($A53, INDIRECT("JulR!$A$6:$ZZ$1048576"), MATCH(AB$1, JulR!$6:$6, 0), FALSE),
            0
        ) +
        IFERROR(
            VLOOKUP($A53, INDIRECT("AgoR!$A$6:$ZZ$1048576"), MATCH(AB$1, AgoR!$6:$6, 0), FALSE),
            0
        ) +
        IFERROR(
            VLOOKUP($A53, INDIRECT("SepR!$A$6:$ZZ$1048576"), MATCH(AB$1, SepR!$6:$6, 0), FALSE),
            0
        ) +
        IFERROR(
            VLOOKUP($A53, INDIRECT("OctR!$A$6:$ZZ$1048576"), MATCH(AB$1, OctR!$6:$6, 0), FALSE),
            0
        ) +
        IFERROR(
            VLOOKUP($A53, INDIRECT("NovR!$A$6:$ZZ$1048576"), MATCH(AB$1, NovR!$6:$6, 0), FALSE),
            0
        ) +
        IFERROR(
            VLOOKUP($A53, INDIRECT("DicR!$A$6:$ZZ$1048576"), MATCH(AB$1, DicR!$6:$6, 0), FALSE),
            0
        )
)</f>
        <v>0</v>
      </c>
      <c r="AC53" s="37">
        <f t="array" ref="AC53">SUM(
    IFERROR(
            VLOOKUP($A53, INDIRECT("EneR!$A$6:$ZZ$1048576"), MATCH(AC$1, EneR!$6:$6, 0), FALSE),
            0
        ) +
        IFERROR(
            VLOOKUP($A53, INDIRECT("FebR!$A$6:$ZZ$1048576"), MATCH(AC$1, FebR!$6:$6, 0), FALSE),
            0
        ) +
        IFERROR(
            VLOOKUP($A53, INDIRECT("MarR!$A$6:$ZZ$1048576"), MATCH(AC$1, MarR!$6:$6, 0), FALSE),
            0
        ) +
        IFERROR(
            VLOOKUP($A53, INDIRECT("AbrR!$A$6:$ZZ$1048576"), MATCH(AC$1, AbrR!$6:$6, 0), FALSE),
            0
        ) +
        IFERROR(
            VLOOKUP($A53, INDIRECT("MayR!$A$6:$ZZ$1048576"), MATCH(AC$1, MayR!$6:$6, 0), FALSE),
            0
        ) +
        IFERROR(
            VLOOKUP($A53, INDIRECT("JunR!$A$6:$ZZ$1048576"), MATCH(AC$1, JunR!$6:$6, 0), FALSE),
            0
        ) +
        IFERROR(
            VLOOKUP($A53, INDIRECT("JulR!$A$6:$ZZ$1048576"), MATCH(AC$1, JulR!$6:$6, 0), FALSE),
            0
        ) +
        IFERROR(
            VLOOKUP($A53, INDIRECT("AgoR!$A$6:$ZZ$1048576"), MATCH(AC$1, AgoR!$6:$6, 0), FALSE),
            0
        ) +
        IFERROR(
            VLOOKUP($A53, INDIRECT("SepR!$A$6:$ZZ$1048576"), MATCH(AC$1, SepR!$6:$6, 0), FALSE),
            0
        ) +
        IFERROR(
            VLOOKUP($A53, INDIRECT("OctR!$A$6:$ZZ$1048576"), MATCH(AC$1, OctR!$6:$6, 0), FALSE),
            0
        ) +
        IFERROR(
            VLOOKUP($A53, INDIRECT("NovR!$A$6:$ZZ$1048576"), MATCH(AC$1, NovR!$6:$6, 0), FALSE),
            0
        ) +
        IFERROR(
            VLOOKUP($A53, INDIRECT("DicR!$A$6:$ZZ$1048576"), MATCH(AC$1, DicR!$6:$6, 0), FALSE),
            0
        )
)</f>
        <v>0</v>
      </c>
      <c r="AD53" s="36">
        <f t="array" ref="AD53">SUM(
    IFERROR(
            VLOOKUP($A53, INDIRECT("EneR!$A$6:$ZZ$1048576"), MATCH(AD$1, EneR!$6:$6, 0), FALSE),
            0
        ) +
        IFERROR(
            VLOOKUP($A53, INDIRECT("FebR!$A$6:$ZZ$1048576"), MATCH(AD$1, FebR!$6:$6, 0), FALSE),
            0
        ) +
        IFERROR(
            VLOOKUP($A53, INDIRECT("MarR!$A$6:$ZZ$1048576"), MATCH(AD$1, MarR!$6:$6, 0), FALSE),
            0
        ) +
        IFERROR(
            VLOOKUP($A53, INDIRECT("AbrR!$A$6:$ZZ$1048576"), MATCH(AD$1, AbrR!$6:$6, 0), FALSE),
            0
        ) +
        IFERROR(
            VLOOKUP($A53, INDIRECT("MayR!$A$6:$ZZ$1048576"), MATCH(AD$1, MayR!$6:$6, 0), FALSE),
            0
        ) +
        IFERROR(
            VLOOKUP($A53, INDIRECT("JunR!$A$6:$ZZ$1048576"), MATCH(AD$1, JunR!$6:$6, 0), FALSE),
            0
        ) +
        IFERROR(
            VLOOKUP($A53, INDIRECT("JulR!$A$6:$ZZ$1048576"), MATCH(AD$1, JulR!$6:$6, 0), FALSE),
            0
        ) +
        IFERROR(
            VLOOKUP($A53, INDIRECT("AgoR!$A$6:$ZZ$1048576"), MATCH(AD$1, AgoR!$6:$6, 0), FALSE),
            0
        ) +
        IFERROR(
            VLOOKUP($A53, INDIRECT("SepR!$A$6:$ZZ$1048576"), MATCH(AD$1, SepR!$6:$6, 0), FALSE),
            0
        ) +
        IFERROR(
            VLOOKUP($A53, INDIRECT("OctR!$A$6:$ZZ$1048576"), MATCH(AD$1, OctR!$6:$6, 0), FALSE),
            0
        ) +
        IFERROR(
            VLOOKUP($A53, INDIRECT("NovR!$A$6:$ZZ$1048576"), MATCH(AD$1, NovR!$6:$6, 0), FALSE),
            0
        ) +
        IFERROR(
            VLOOKUP($A53, INDIRECT("DicR!$A$6:$ZZ$1048576"), MATCH(AD$1, DicR!$6:$6, 0), FALSE),
            0
        )
)</f>
        <v>0</v>
      </c>
      <c r="AE53" s="37">
        <f t="array" ref="AE53">SUM(
    IFERROR(
            VLOOKUP($A53, INDIRECT("EneR!$A$6:$ZZ$1048576"), MATCH(AE$1, EneR!$6:$6, 0), FALSE),
            0
        ) +
        IFERROR(
            VLOOKUP($A53, INDIRECT("FebR!$A$6:$ZZ$1048576"), MATCH(AE$1, FebR!$6:$6, 0), FALSE),
            0
        ) +
        IFERROR(
            VLOOKUP($A53, INDIRECT("MarR!$A$6:$ZZ$1048576"), MATCH(AE$1, MarR!$6:$6, 0), FALSE),
            0
        ) +
        IFERROR(
            VLOOKUP($A53, INDIRECT("AbrR!$A$6:$ZZ$1048576"), MATCH(AE$1, AbrR!$6:$6, 0), FALSE),
            0
        ) +
        IFERROR(
            VLOOKUP($A53, INDIRECT("MayR!$A$6:$ZZ$1048576"), MATCH(AE$1, MayR!$6:$6, 0), FALSE),
            0
        ) +
        IFERROR(
            VLOOKUP($A53, INDIRECT("JunR!$A$6:$ZZ$1048576"), MATCH(AE$1, JunR!$6:$6, 0), FALSE),
            0
        ) +
        IFERROR(
            VLOOKUP($A53, INDIRECT("JulR!$A$6:$ZZ$1048576"), MATCH(AE$1, JulR!$6:$6, 0), FALSE),
            0
        ) +
        IFERROR(
            VLOOKUP($A53, INDIRECT("AgoR!$A$6:$ZZ$1048576"), MATCH(AE$1, AgoR!$6:$6, 0), FALSE),
            0
        ) +
        IFERROR(
            VLOOKUP($A53, INDIRECT("SepR!$A$6:$ZZ$1048576"), MATCH(AE$1, SepR!$6:$6, 0), FALSE),
            0
        ) +
        IFERROR(
            VLOOKUP($A53, INDIRECT("OctR!$A$6:$ZZ$1048576"), MATCH(AE$1, OctR!$6:$6, 0), FALSE),
            0
        ) +
        IFERROR(
            VLOOKUP($A53, INDIRECT("NovR!$A$6:$ZZ$1048576"), MATCH(AE$1, NovR!$6:$6, 0), FALSE),
            0
        ) +
        IFERROR(
            VLOOKUP($A53, INDIRECT("DicR!$A$6:$ZZ$1048576"), MATCH(AE$1, DicR!$6:$6, 0), FALSE),
            0
        )
)</f>
        <v>0</v>
      </c>
      <c r="AF53" s="36">
        <f t="array" ref="AF53">SUM(
    IFERROR(
            VLOOKUP($A53, INDIRECT("EneR!$A$6:$ZZ$1048576"), MATCH(AF$1, EneR!$6:$6, 0), FALSE),
            0
        ) +
        IFERROR(
            VLOOKUP($A53, INDIRECT("FebR!$A$6:$ZZ$1048576"), MATCH(AF$1, FebR!$6:$6, 0), FALSE),
            0
        ) +
        IFERROR(
            VLOOKUP($A53, INDIRECT("MarR!$A$6:$ZZ$1048576"), MATCH(AF$1, MarR!$6:$6, 0), FALSE),
            0
        ) +
        IFERROR(
            VLOOKUP($A53, INDIRECT("AbrR!$A$6:$ZZ$1048576"), MATCH(AF$1, AbrR!$6:$6, 0), FALSE),
            0
        ) +
        IFERROR(
            VLOOKUP($A53, INDIRECT("MayR!$A$6:$ZZ$1048576"), MATCH(AF$1, MayR!$6:$6, 0), FALSE),
            0
        ) +
        IFERROR(
            VLOOKUP($A53, INDIRECT("JunR!$A$6:$ZZ$1048576"), MATCH(AF$1, JunR!$6:$6, 0), FALSE),
            0
        ) +
        IFERROR(
            VLOOKUP($A53, INDIRECT("JulR!$A$6:$ZZ$1048576"), MATCH(AF$1, JulR!$6:$6, 0), FALSE),
            0
        ) +
        IFERROR(
            VLOOKUP($A53, INDIRECT("AgoR!$A$6:$ZZ$1048576"), MATCH(AF$1, AgoR!$6:$6, 0), FALSE),
            0
        ) +
        IFERROR(
            VLOOKUP($A53, INDIRECT("SepR!$A$6:$ZZ$1048576"), MATCH(AF$1, SepR!$6:$6, 0), FALSE),
            0
        ) +
        IFERROR(
            VLOOKUP($A53, INDIRECT("OctR!$A$6:$ZZ$1048576"), MATCH(AF$1, OctR!$6:$6, 0), FALSE),
            0
        ) +
        IFERROR(
            VLOOKUP($A53, INDIRECT("NovR!$A$6:$ZZ$1048576"), MATCH(AF$1, NovR!$6:$6, 0), FALSE),
            0
        ) +
        IFERROR(
            VLOOKUP($A53, INDIRECT("DicR!$A$6:$ZZ$1048576"), MATCH(AF$1, DicR!$6:$6, 0), FALSE),
            0
        )
)</f>
        <v>0</v>
      </c>
      <c r="AG53" s="37">
        <f t="array" ref="AG53">SUM(
    IFERROR(
            VLOOKUP($A53, INDIRECT("EneR!$A$6:$ZZ$1048576"), MATCH(AG$1, EneR!$6:$6, 0), FALSE),
            0
        ) +
        IFERROR(
            VLOOKUP($A53, INDIRECT("FebR!$A$6:$ZZ$1048576"), MATCH(AG$1, FebR!$6:$6, 0), FALSE),
            0
        ) +
        IFERROR(
            VLOOKUP($A53, INDIRECT("MarR!$A$6:$ZZ$1048576"), MATCH(AG$1, MarR!$6:$6, 0), FALSE),
            0
        ) +
        IFERROR(
            VLOOKUP($A53, INDIRECT("AbrR!$A$6:$ZZ$1048576"), MATCH(AG$1, AbrR!$6:$6, 0), FALSE),
            0
        ) +
        IFERROR(
            VLOOKUP($A53, INDIRECT("MayR!$A$6:$ZZ$1048576"), MATCH(AG$1, MayR!$6:$6, 0), FALSE),
            0
        ) +
        IFERROR(
            VLOOKUP($A53, INDIRECT("JunR!$A$6:$ZZ$1048576"), MATCH(AG$1, JunR!$6:$6, 0), FALSE),
            0
        ) +
        IFERROR(
            VLOOKUP($A53, INDIRECT("JulR!$A$6:$ZZ$1048576"), MATCH(AG$1, JulR!$6:$6, 0), FALSE),
            0
        ) +
        IFERROR(
            VLOOKUP($A53, INDIRECT("AgoR!$A$6:$ZZ$1048576"), MATCH(AG$1, AgoR!$6:$6, 0), FALSE),
            0
        ) +
        IFERROR(
            VLOOKUP($A53, INDIRECT("SepR!$A$6:$ZZ$1048576"), MATCH(AG$1, SepR!$6:$6, 0), FALSE),
            0
        ) +
        IFERROR(
            VLOOKUP($A53, INDIRECT("OctR!$A$6:$ZZ$1048576"), MATCH(AG$1, OctR!$6:$6, 0), FALSE),
            0
        ) +
        IFERROR(
            VLOOKUP($A53, INDIRECT("NovR!$A$6:$ZZ$1048576"), MATCH(AG$1, NovR!$6:$6, 0), FALSE),
            0
        ) +
        IFERROR(
            VLOOKUP($A53, INDIRECT("DicR!$A$6:$ZZ$1048576"), MATCH(AG$1, DicR!$6:$6, 0), FALSE),
            0
        )
)</f>
        <v>0</v>
      </c>
      <c r="AH53" s="36">
        <f t="array" ref="AH53">SUM(
    IFERROR(
            VLOOKUP($A53, INDIRECT("EneR!$A$6:$ZZ$1048576"), MATCH(AH$1, EneR!$6:$6, 0), FALSE),
            0
        ) +
        IFERROR(
            VLOOKUP($A53, INDIRECT("FebR!$A$6:$ZZ$1048576"), MATCH(AH$1, FebR!$6:$6, 0), FALSE),
            0
        ) +
        IFERROR(
            VLOOKUP($A53, INDIRECT("MarR!$A$6:$ZZ$1048576"), MATCH(AH$1, MarR!$6:$6, 0), FALSE),
            0
        ) +
        IFERROR(
            VLOOKUP($A53, INDIRECT("AbrR!$A$6:$ZZ$1048576"), MATCH(AH$1, AbrR!$6:$6, 0), FALSE),
            0
        ) +
        IFERROR(
            VLOOKUP($A53, INDIRECT("MayR!$A$6:$ZZ$1048576"), MATCH(AH$1, MayR!$6:$6, 0), FALSE),
            0
        ) +
        IFERROR(
            VLOOKUP($A53, INDIRECT("JunR!$A$6:$ZZ$1048576"), MATCH(AH$1, JunR!$6:$6, 0), FALSE),
            0
        ) +
        IFERROR(
            VLOOKUP($A53, INDIRECT("JulR!$A$6:$ZZ$1048576"), MATCH(AH$1, JulR!$6:$6, 0), FALSE),
            0
        ) +
        IFERROR(
            VLOOKUP($A53, INDIRECT("AgoR!$A$6:$ZZ$1048576"), MATCH(AH$1, AgoR!$6:$6, 0), FALSE),
            0
        ) +
        IFERROR(
            VLOOKUP($A53, INDIRECT("SepR!$A$6:$ZZ$1048576"), MATCH(AH$1, SepR!$6:$6, 0), FALSE),
            0
        ) +
        IFERROR(
            VLOOKUP($A53, INDIRECT("OctR!$A$6:$ZZ$1048576"), MATCH(AH$1, OctR!$6:$6, 0), FALSE),
            0
        ) +
        IFERROR(
            VLOOKUP($A53, INDIRECT("NovR!$A$6:$ZZ$1048576"), MATCH(AH$1, NovR!$6:$6, 0), FALSE),
            0
        ) +
        IFERROR(
            VLOOKUP($A53, INDIRECT("DicR!$A$6:$ZZ$1048576"), MATCH(AH$1, DicR!$6:$6, 0), FALSE),
            0
        )
)</f>
        <v>0</v>
      </c>
      <c r="AI53" s="37">
        <f t="array" ref="AI53">SUM(
    IFERROR(
            VLOOKUP($A53, INDIRECT("EneR!$A$6:$ZZ$1048576"), MATCH(AI$1, EneR!$6:$6, 0), FALSE),
            0
        ) +
        IFERROR(
            VLOOKUP($A53, INDIRECT("FebR!$A$6:$ZZ$1048576"), MATCH(AI$1, FebR!$6:$6, 0), FALSE),
            0
        ) +
        IFERROR(
            VLOOKUP($A53, INDIRECT("MarR!$A$6:$ZZ$1048576"), MATCH(AI$1, MarR!$6:$6, 0), FALSE),
            0
        ) +
        IFERROR(
            VLOOKUP($A53, INDIRECT("AbrR!$A$6:$ZZ$1048576"), MATCH(AI$1, AbrR!$6:$6, 0), FALSE),
            0
        ) +
        IFERROR(
            VLOOKUP($A53, INDIRECT("MayR!$A$6:$ZZ$1048576"), MATCH(AI$1, MayR!$6:$6, 0), FALSE),
            0
        ) +
        IFERROR(
            VLOOKUP($A53, INDIRECT("JunR!$A$6:$ZZ$1048576"), MATCH(AI$1, JunR!$6:$6, 0), FALSE),
            0
        ) +
        IFERROR(
            VLOOKUP($A53, INDIRECT("JulR!$A$6:$ZZ$1048576"), MATCH(AI$1, JulR!$6:$6, 0), FALSE),
            0
        ) +
        IFERROR(
            VLOOKUP($A53, INDIRECT("AgoR!$A$6:$ZZ$1048576"), MATCH(AI$1, AgoR!$6:$6, 0), FALSE),
            0
        ) +
        IFERROR(
            VLOOKUP($A53, INDIRECT("SepR!$A$6:$ZZ$1048576"), MATCH(AI$1, SepR!$6:$6, 0), FALSE),
            0
        ) +
        IFERROR(
            VLOOKUP($A53, INDIRECT("OctR!$A$6:$ZZ$1048576"), MATCH(AI$1, OctR!$6:$6, 0), FALSE),
            0
        ) +
        IFERROR(
            VLOOKUP($A53, INDIRECT("NovR!$A$6:$ZZ$1048576"), MATCH(AI$1, NovR!$6:$6, 0), FALSE),
            0
        ) +
        IFERROR(
            VLOOKUP($A53, INDIRECT("DicR!$A$6:$ZZ$1048576"), MATCH(AI$1, DicR!$6:$6, 0), FALSE),
            0
        )
)</f>
        <v>0</v>
      </c>
      <c r="AJ53" s="36">
        <f t="array" ref="AJ53">SUM(
    IFERROR(
            VLOOKUP($A53, INDIRECT("EneR!$A$6:$ZZ$1048576"), MATCH(AJ$1, EneR!$6:$6, 0), FALSE),
            0
        ) +
        IFERROR(
            VLOOKUP($A53, INDIRECT("FebR!$A$6:$ZZ$1048576"), MATCH(AJ$1, FebR!$6:$6, 0), FALSE),
            0
        ) +
        IFERROR(
            VLOOKUP($A53, INDIRECT("MarR!$A$6:$ZZ$1048576"), MATCH(AJ$1, MarR!$6:$6, 0), FALSE),
            0
        ) +
        IFERROR(
            VLOOKUP($A53, INDIRECT("AbrR!$A$6:$ZZ$1048576"), MATCH(AJ$1, AbrR!$6:$6, 0), FALSE),
            0
        ) +
        IFERROR(
            VLOOKUP($A53, INDIRECT("MayR!$A$6:$ZZ$1048576"), MATCH(AJ$1, MayR!$6:$6, 0), FALSE),
            0
        ) +
        IFERROR(
            VLOOKUP($A53, INDIRECT("JunR!$A$6:$ZZ$1048576"), MATCH(AJ$1, JunR!$6:$6, 0), FALSE),
            0
        ) +
        IFERROR(
            VLOOKUP($A53, INDIRECT("JulR!$A$6:$ZZ$1048576"), MATCH(AJ$1, JulR!$6:$6, 0), FALSE),
            0
        ) +
        IFERROR(
            VLOOKUP($A53, INDIRECT("AgoR!$A$6:$ZZ$1048576"), MATCH(AJ$1, AgoR!$6:$6, 0), FALSE),
            0
        ) +
        IFERROR(
            VLOOKUP($A53, INDIRECT("SepR!$A$6:$ZZ$1048576"), MATCH(AJ$1, SepR!$6:$6, 0), FALSE),
            0
        ) +
        IFERROR(
            VLOOKUP($A53, INDIRECT("OctR!$A$6:$ZZ$1048576"), MATCH(AJ$1, OctR!$6:$6, 0), FALSE),
            0
        ) +
        IFERROR(
            VLOOKUP($A53, INDIRECT("NovR!$A$6:$ZZ$1048576"), MATCH(AJ$1, NovR!$6:$6, 0), FALSE),
            0
        ) +
        IFERROR(
            VLOOKUP($A53, INDIRECT("DicR!$A$6:$ZZ$1048576"), MATCH(AJ$1, DicR!$6:$6, 0), FALSE),
            0
        )
)</f>
        <v>0</v>
      </c>
      <c r="AK53" s="37">
        <f t="array" ref="AK53">SUM(
    IFERROR(
            VLOOKUP($A53, INDIRECT("EneR!$A$6:$ZZ$1048576"), MATCH(AK$1, EneR!$6:$6, 0), FALSE),
            0
        ) +
        IFERROR(
            VLOOKUP($A53, INDIRECT("FebR!$A$6:$ZZ$1048576"), MATCH(AK$1, FebR!$6:$6, 0), FALSE),
            0
        ) +
        IFERROR(
            VLOOKUP($A53, INDIRECT("MarR!$A$6:$ZZ$1048576"), MATCH(AK$1, MarR!$6:$6, 0), FALSE),
            0
        ) +
        IFERROR(
            VLOOKUP($A53, INDIRECT("AbrR!$A$6:$ZZ$1048576"), MATCH(AK$1, AbrR!$6:$6, 0), FALSE),
            0
        ) +
        IFERROR(
            VLOOKUP($A53, INDIRECT("MayR!$A$6:$ZZ$1048576"), MATCH(AK$1, MayR!$6:$6, 0), FALSE),
            0
        ) +
        IFERROR(
            VLOOKUP($A53, INDIRECT("JunR!$A$6:$ZZ$1048576"), MATCH(AK$1, JunR!$6:$6, 0), FALSE),
            0
        ) +
        IFERROR(
            VLOOKUP($A53, INDIRECT("JulR!$A$6:$ZZ$1048576"), MATCH(AK$1, JulR!$6:$6, 0), FALSE),
            0
        ) +
        IFERROR(
            VLOOKUP($A53, INDIRECT("AgoR!$A$6:$ZZ$1048576"), MATCH(AK$1, AgoR!$6:$6, 0), FALSE),
            0
        ) +
        IFERROR(
            VLOOKUP($A53, INDIRECT("SepR!$A$6:$ZZ$1048576"), MATCH(AK$1, SepR!$6:$6, 0), FALSE),
            0
        ) +
        IFERROR(
            VLOOKUP($A53, INDIRECT("OctR!$A$6:$ZZ$1048576"), MATCH(AK$1, OctR!$6:$6, 0), FALSE),
            0
        ) +
        IFERROR(
            VLOOKUP($A53, INDIRECT("NovR!$A$6:$ZZ$1048576"), MATCH(AK$1, NovR!$6:$6, 0), FALSE),
            0
        ) +
        IFERROR(
            VLOOKUP($A53, INDIRECT("DicR!$A$6:$ZZ$1048576"), MATCH(AK$1, DicR!$6:$6, 0), FALSE),
            0
        )
)</f>
        <v>0</v>
      </c>
      <c r="AL53" s="36">
        <f t="array" ref="AL53">SUM(
    IFERROR(
            VLOOKUP($A53, INDIRECT("EneR!$A$6:$ZZ$1048576"), MATCH(AL$1, EneR!$6:$6, 0), FALSE),
            0
        ) +
        IFERROR(
            VLOOKUP($A53, INDIRECT("FebR!$A$6:$ZZ$1048576"), MATCH(AL$1, FebR!$6:$6, 0), FALSE),
            0
        ) +
        IFERROR(
            VLOOKUP($A53, INDIRECT("MarR!$A$6:$ZZ$1048576"), MATCH(AL$1, MarR!$6:$6, 0), FALSE),
            0
        ) +
        IFERROR(
            VLOOKUP($A53, INDIRECT("AbrR!$A$6:$ZZ$1048576"), MATCH(AL$1, AbrR!$6:$6, 0), FALSE),
            0
        ) +
        IFERROR(
            VLOOKUP($A53, INDIRECT("MayR!$A$6:$ZZ$1048576"), MATCH(AL$1, MayR!$6:$6, 0), FALSE),
            0
        ) +
        IFERROR(
            VLOOKUP($A53, INDIRECT("JunR!$A$6:$ZZ$1048576"), MATCH(AL$1, JunR!$6:$6, 0), FALSE),
            0
        ) +
        IFERROR(
            VLOOKUP($A53, INDIRECT("JulR!$A$6:$ZZ$1048576"), MATCH(AL$1, JulR!$6:$6, 0), FALSE),
            0
        ) +
        IFERROR(
            VLOOKUP($A53, INDIRECT("AgoR!$A$6:$ZZ$1048576"), MATCH(AL$1, AgoR!$6:$6, 0), FALSE),
            0
        ) +
        IFERROR(
            VLOOKUP($A53, INDIRECT("SepR!$A$6:$ZZ$1048576"), MATCH(AL$1, SepR!$6:$6, 0), FALSE),
            0
        ) +
        IFERROR(
            VLOOKUP($A53, INDIRECT("OctR!$A$6:$ZZ$1048576"), MATCH(AL$1, OctR!$6:$6, 0), FALSE),
            0
        ) +
        IFERROR(
            VLOOKUP($A53, INDIRECT("NovR!$A$6:$ZZ$1048576"), MATCH(AL$1, NovR!$6:$6, 0), FALSE),
            0
        ) +
        IFERROR(
            VLOOKUP($A53, INDIRECT("DicR!$A$6:$ZZ$1048576"), MATCH(AL$1, DicR!$6:$6, 0), FALSE),
            0
        )
)</f>
        <v>0</v>
      </c>
      <c r="AM53" s="37">
        <f t="array" ref="AM53">SUM(
    IFERROR(
            VLOOKUP($A53, INDIRECT("EneR!$A$6:$ZZ$1048576"), MATCH(AM$1, EneR!$6:$6, 0), FALSE),
            0
        ) +
        IFERROR(
            VLOOKUP($A53, INDIRECT("FebR!$A$6:$ZZ$1048576"), MATCH(AM$1, FebR!$6:$6, 0), FALSE),
            0
        ) +
        IFERROR(
            VLOOKUP($A53, INDIRECT("MarR!$A$6:$ZZ$1048576"), MATCH(AM$1, MarR!$6:$6, 0), FALSE),
            0
        ) +
        IFERROR(
            VLOOKUP($A53, INDIRECT("AbrR!$A$6:$ZZ$1048576"), MATCH(AM$1, AbrR!$6:$6, 0), FALSE),
            0
        ) +
        IFERROR(
            VLOOKUP($A53, INDIRECT("MayR!$A$6:$ZZ$1048576"), MATCH(AM$1, MayR!$6:$6, 0), FALSE),
            0
        ) +
        IFERROR(
            VLOOKUP($A53, INDIRECT("JunR!$A$6:$ZZ$1048576"), MATCH(AM$1, JunR!$6:$6, 0), FALSE),
            0
        ) +
        IFERROR(
            VLOOKUP($A53, INDIRECT("JulR!$A$6:$ZZ$1048576"), MATCH(AM$1, JulR!$6:$6, 0), FALSE),
            0
        ) +
        IFERROR(
            VLOOKUP($A53, INDIRECT("AgoR!$A$6:$ZZ$1048576"), MATCH(AM$1, AgoR!$6:$6, 0), FALSE),
            0
        ) +
        IFERROR(
            VLOOKUP($A53, INDIRECT("SepR!$A$6:$ZZ$1048576"), MATCH(AM$1, SepR!$6:$6, 0), FALSE),
            0
        ) +
        IFERROR(
            VLOOKUP($A53, INDIRECT("OctR!$A$6:$ZZ$1048576"), MATCH(AM$1, OctR!$6:$6, 0), FALSE),
            0
        ) +
        IFERROR(
            VLOOKUP($A53, INDIRECT("NovR!$A$6:$ZZ$1048576"), MATCH(AM$1, NovR!$6:$6, 0), FALSE),
            0
        ) +
        IFERROR(
            VLOOKUP($A53, INDIRECT("DicR!$A$6:$ZZ$1048576"), MATCH(AM$1, DicR!$6:$6, 0), FALSE),
            0
        )
)</f>
        <v>0</v>
      </c>
      <c r="AN53" s="32">
        <f t="array" ref="AN53">SUM(
    IFERROR(
            VLOOKUP($A53, INDIRECT("EneR!$A$6:$ZZ$1048576"), MATCH(AN$1, EneR!$6:$6, 0), FALSE),
            0
        ) +
        IFERROR(
            VLOOKUP($A53, INDIRECT("FebR!$A$6:$ZZ$1048576"), MATCH(AN$1, FebR!$6:$6, 0), FALSE),
            0
        ) +
        IFERROR(
            VLOOKUP($A53, INDIRECT("MarR!$A$6:$ZZ$1048576"), MATCH(AN$1, MarR!$6:$6, 0), FALSE),
            0
        ) +
        IFERROR(
            VLOOKUP($A53, INDIRECT("AbrR!$A$6:$ZZ$1048576"), MATCH(AN$1, AbrR!$6:$6, 0), FALSE),
            0
        ) +
        IFERROR(
            VLOOKUP($A53, INDIRECT("MayR!$A$6:$ZZ$1048576"), MATCH(AN$1, MayR!$6:$6, 0), FALSE),
            0
        ) +
        IFERROR(
            VLOOKUP($A53, INDIRECT("JunR!$A$6:$ZZ$1048576"), MATCH(AN$1, JunR!$6:$6, 0), FALSE),
            0
        ) +
        IFERROR(
            VLOOKUP($A53, INDIRECT("JulR!$A$6:$ZZ$1048576"), MATCH(AN$1, JulR!$6:$6, 0), FALSE),
            0
        ) +
        IFERROR(
            VLOOKUP($A53, INDIRECT("AgoR!$A$6:$ZZ$1048576"), MATCH(AN$1, AgoR!$6:$6, 0), FALSE),
            0
        ) +
        IFERROR(
            VLOOKUP($A53, INDIRECT("SepR!$A$6:$ZZ$1048576"), MATCH(AN$1, SepR!$6:$6, 0), FALSE),
            0
        ) +
        IFERROR(
            VLOOKUP($A53, INDIRECT("OctR!$A$6:$ZZ$1048576"), MATCH(AN$1, OctR!$6:$6, 0), FALSE),
            0
        ) +
        IFERROR(
            VLOOKUP($A53, INDIRECT("NovR!$A$6:$ZZ$1048576"), MATCH(AN$1, NovR!$6:$6, 0), FALSE),
            0
        ) +
        IFERROR(
            VLOOKUP($A53, INDIRECT("DicR!$A$6:$ZZ$1048576"), MATCH(AN$1, DicR!$6:$6, 0), FALSE),
            0
        )
)</f>
        <v>0</v>
      </c>
      <c r="AO53" s="35">
        <f t="array" ref="AO53">SUM(
    IFERROR(
            VLOOKUP($A53, INDIRECT("EneR!$A$6:$ZZ$1048576"), MATCH(AO$1, EneR!$6:$6, 0), FALSE),
            0
        ) +
        IFERROR(
            VLOOKUP($A53, INDIRECT("FebR!$A$6:$ZZ$1048576"), MATCH(AO$1, FebR!$6:$6, 0), FALSE),
            0
        ) +
        IFERROR(
            VLOOKUP($A53, INDIRECT("MarR!$A$6:$ZZ$1048576"), MATCH(AO$1, MarR!$6:$6, 0), FALSE),
            0
        ) +
        IFERROR(
            VLOOKUP($A53, INDIRECT("AbrR!$A$6:$ZZ$1048576"), MATCH(AO$1, AbrR!$6:$6, 0), FALSE),
            0
        ) +
        IFERROR(
            VLOOKUP($A53, INDIRECT("MayR!$A$6:$ZZ$1048576"), MATCH(AO$1, MayR!$6:$6, 0), FALSE),
            0
        ) +
        IFERROR(
            VLOOKUP($A53, INDIRECT("JunR!$A$6:$ZZ$1048576"), MATCH(AO$1, JunR!$6:$6, 0), FALSE),
            0
        ) +
        IFERROR(
            VLOOKUP($A53, INDIRECT("JulR!$A$6:$ZZ$1048576"), MATCH(AO$1, JulR!$6:$6, 0), FALSE),
            0
        ) +
        IFERROR(
            VLOOKUP($A53, INDIRECT("AgoR!$A$6:$ZZ$1048576"), MATCH(AO$1, AgoR!$6:$6, 0), FALSE),
            0
        ) +
        IFERROR(
            VLOOKUP($A53, INDIRECT("SepR!$A$6:$ZZ$1048576"), MATCH(AO$1, SepR!$6:$6, 0), FALSE),
            0
        ) +
        IFERROR(
            VLOOKUP($A53, INDIRECT("OctR!$A$6:$ZZ$1048576"), MATCH(AO$1, OctR!$6:$6, 0), FALSE),
            0
        ) +
        IFERROR(
            VLOOKUP($A53, INDIRECT("NovR!$A$6:$ZZ$1048576"), MATCH(AO$1, NovR!$6:$6, 0), FALSE),
            0
        ) +
        IFERROR(
            VLOOKUP($A53, INDIRECT("DicR!$A$6:$ZZ$1048576"), MATCH(AO$1, DicR!$6:$6, 0), FALSE),
            0
        )
)</f>
        <v>0</v>
      </c>
      <c r="AP53" s="36">
        <f t="array" ref="AP53">SUM(
    IFERROR(
            VLOOKUP($A53, INDIRECT("EneR!$A$6:$ZZ$1048576"), MATCH(AP$1, EneR!$6:$6, 0), FALSE),
            0
        ) +
        IFERROR(
            VLOOKUP($A53, INDIRECT("FebR!$A$6:$ZZ$1048576"), MATCH(AP$1, FebR!$6:$6, 0), FALSE),
            0
        ) +
        IFERROR(
            VLOOKUP($A53, INDIRECT("MarR!$A$6:$ZZ$1048576"), MATCH(AP$1, MarR!$6:$6, 0), FALSE),
            0
        ) +
        IFERROR(
            VLOOKUP($A53, INDIRECT("AbrR!$A$6:$ZZ$1048576"), MATCH(AP$1, AbrR!$6:$6, 0), FALSE),
            0
        ) +
        IFERROR(
            VLOOKUP($A53, INDIRECT("MayR!$A$6:$ZZ$1048576"), MATCH(AP$1, MayR!$6:$6, 0), FALSE),
            0
        ) +
        IFERROR(
            VLOOKUP($A53, INDIRECT("JunR!$A$6:$ZZ$1048576"), MATCH(AP$1, JunR!$6:$6, 0), FALSE),
            0
        ) +
        IFERROR(
            VLOOKUP($A53, INDIRECT("JulR!$A$6:$ZZ$1048576"), MATCH(AP$1, JulR!$6:$6, 0), FALSE),
            0
        ) +
        IFERROR(
            VLOOKUP($A53, INDIRECT("AgoR!$A$6:$ZZ$1048576"), MATCH(AP$1, AgoR!$6:$6, 0), FALSE),
            0
        ) +
        IFERROR(
            VLOOKUP($A53, INDIRECT("SepR!$A$6:$ZZ$1048576"), MATCH(AP$1, SepR!$6:$6, 0), FALSE),
            0
        ) +
        IFERROR(
            VLOOKUP($A53, INDIRECT("OctR!$A$6:$ZZ$1048576"), MATCH(AP$1, OctR!$6:$6, 0), FALSE),
            0
        ) +
        IFERROR(
            VLOOKUP($A53, INDIRECT("NovR!$A$6:$ZZ$1048576"), MATCH(AP$1, NovR!$6:$6, 0), FALSE),
            0
        ) +
        IFERROR(
            VLOOKUP($A53, INDIRECT("DicR!$A$6:$ZZ$1048576"), MATCH(AP$1, DicR!$6:$6, 0), FALSE),
            0
        )
)</f>
        <v>0</v>
      </c>
      <c r="AQ53" s="35">
        <f t="array" ref="AQ53">SUM(
    IFERROR(
            VLOOKUP($A53, INDIRECT("EneR!$A$6:$ZZ$1048576"), MATCH(AQ$1, EneR!$6:$6, 0), FALSE),
            0
        ) +
        IFERROR(
            VLOOKUP($A53, INDIRECT("FebR!$A$6:$ZZ$1048576"), MATCH(AQ$1, FebR!$6:$6, 0), FALSE),
            0
        ) +
        IFERROR(
            VLOOKUP($A53, INDIRECT("MarR!$A$6:$ZZ$1048576"), MATCH(AQ$1, MarR!$6:$6, 0), FALSE),
            0
        ) +
        IFERROR(
            VLOOKUP($A53, INDIRECT("AbrR!$A$6:$ZZ$1048576"), MATCH(AQ$1, AbrR!$6:$6, 0), FALSE),
            0
        ) +
        IFERROR(
            VLOOKUP($A53, INDIRECT("MayR!$A$6:$ZZ$1048576"), MATCH(AQ$1, MayR!$6:$6, 0), FALSE),
            0
        ) +
        IFERROR(
            VLOOKUP($A53, INDIRECT("JunR!$A$6:$ZZ$1048576"), MATCH(AQ$1, JunR!$6:$6, 0), FALSE),
            0
        ) +
        IFERROR(
            VLOOKUP($A53, INDIRECT("JulR!$A$6:$ZZ$1048576"), MATCH(AQ$1, JulR!$6:$6, 0), FALSE),
            0
        ) +
        IFERROR(
            VLOOKUP($A53, INDIRECT("AgoR!$A$6:$ZZ$1048576"), MATCH(AQ$1, AgoR!$6:$6, 0), FALSE),
            0
        ) +
        IFERROR(
            VLOOKUP($A53, INDIRECT("SepR!$A$6:$ZZ$1048576"), MATCH(AQ$1, SepR!$6:$6, 0), FALSE),
            0
        ) +
        IFERROR(
            VLOOKUP($A53, INDIRECT("OctR!$A$6:$ZZ$1048576"), MATCH(AQ$1, OctR!$6:$6, 0), FALSE),
            0
        ) +
        IFERROR(
            VLOOKUP($A53, INDIRECT("NovR!$A$6:$ZZ$1048576"), MATCH(AQ$1, NovR!$6:$6, 0), FALSE),
            0
        ) +
        IFERROR(
            VLOOKUP($A53, INDIRECT("DicR!$A$6:$ZZ$1048576"), MATCH(AQ$1, DicR!$6:$6, 0), FALSE),
            0
        )
)</f>
        <v>0</v>
      </c>
      <c r="AR53" s="36">
        <f t="array" ref="AR53">SUM(
    IFERROR(
            VLOOKUP($A53, INDIRECT("EneR!$A$6:$ZZ$1048576"), MATCH(AR$1, EneR!$6:$6, 0), FALSE),
            0
        ) +
        IFERROR(
            VLOOKUP($A53, INDIRECT("FebR!$A$6:$ZZ$1048576"), MATCH(AR$1, FebR!$6:$6, 0), FALSE),
            0
        ) +
        IFERROR(
            VLOOKUP($A53, INDIRECT("MarR!$A$6:$ZZ$1048576"), MATCH(AR$1, MarR!$6:$6, 0), FALSE),
            0
        ) +
        IFERROR(
            VLOOKUP($A53, INDIRECT("AbrR!$A$6:$ZZ$1048576"), MATCH(AR$1, AbrR!$6:$6, 0), FALSE),
            0
        ) +
        IFERROR(
            VLOOKUP($A53, INDIRECT("MayR!$A$6:$ZZ$1048576"), MATCH(AR$1, MayR!$6:$6, 0), FALSE),
            0
        ) +
        IFERROR(
            VLOOKUP($A53, INDIRECT("JunR!$A$6:$ZZ$1048576"), MATCH(AR$1, JunR!$6:$6, 0), FALSE),
            0
        ) +
        IFERROR(
            VLOOKUP($A53, INDIRECT("JulR!$A$6:$ZZ$1048576"), MATCH(AR$1, JulR!$6:$6, 0), FALSE),
            0
        ) +
        IFERROR(
            VLOOKUP($A53, INDIRECT("AgoR!$A$6:$ZZ$1048576"), MATCH(AR$1, AgoR!$6:$6, 0), FALSE),
            0
        ) +
        IFERROR(
            VLOOKUP($A53, INDIRECT("SepR!$A$6:$ZZ$1048576"), MATCH(AR$1, SepR!$6:$6, 0), FALSE),
            0
        ) +
        IFERROR(
            VLOOKUP($A53, INDIRECT("OctR!$A$6:$ZZ$1048576"), MATCH(AR$1, OctR!$6:$6, 0), FALSE),
            0
        ) +
        IFERROR(
            VLOOKUP($A53, INDIRECT("NovR!$A$6:$ZZ$1048576"), MATCH(AR$1, NovR!$6:$6, 0), FALSE),
            0
        ) +
        IFERROR(
            VLOOKUP($A53, INDIRECT("DicR!$A$6:$ZZ$1048576"), MATCH(AR$1, DicR!$6:$6, 0), FALSE),
            0
        )
)</f>
        <v>0</v>
      </c>
      <c r="AS53" s="35">
        <f t="array" ref="AS53">SUM(
    IFERROR(
            VLOOKUP($A53, INDIRECT("EneR!$A$6:$ZZ$1048576"), MATCH(AS$1, EneR!$6:$6, 0), FALSE),
            0
        ) +
        IFERROR(
            VLOOKUP($A53, INDIRECT("FebR!$A$6:$ZZ$1048576"), MATCH(AS$1, FebR!$6:$6, 0), FALSE),
            0
        ) +
        IFERROR(
            VLOOKUP($A53, INDIRECT("MarR!$A$6:$ZZ$1048576"), MATCH(AS$1, MarR!$6:$6, 0), FALSE),
            0
        ) +
        IFERROR(
            VLOOKUP($A53, INDIRECT("AbrR!$A$6:$ZZ$1048576"), MATCH(AS$1, AbrR!$6:$6, 0), FALSE),
            0
        ) +
        IFERROR(
            VLOOKUP($A53, INDIRECT("MayR!$A$6:$ZZ$1048576"), MATCH(AS$1, MayR!$6:$6, 0), FALSE),
            0
        ) +
        IFERROR(
            VLOOKUP($A53, INDIRECT("JunR!$A$6:$ZZ$1048576"), MATCH(AS$1, JunR!$6:$6, 0), FALSE),
            0
        ) +
        IFERROR(
            VLOOKUP($A53, INDIRECT("JulR!$A$6:$ZZ$1048576"), MATCH(AS$1, JulR!$6:$6, 0), FALSE),
            0
        ) +
        IFERROR(
            VLOOKUP($A53, INDIRECT("AgoR!$A$6:$ZZ$1048576"), MATCH(AS$1, AgoR!$6:$6, 0), FALSE),
            0
        ) +
        IFERROR(
            VLOOKUP($A53, INDIRECT("SepR!$A$6:$ZZ$1048576"), MATCH(AS$1, SepR!$6:$6, 0), FALSE),
            0
        ) +
        IFERROR(
            VLOOKUP($A53, INDIRECT("OctR!$A$6:$ZZ$1048576"), MATCH(AS$1, OctR!$6:$6, 0), FALSE),
            0
        ) +
        IFERROR(
            VLOOKUP($A53, INDIRECT("NovR!$A$6:$ZZ$1048576"), MATCH(AS$1, NovR!$6:$6, 0), FALSE),
            0
        ) +
        IFERROR(
            VLOOKUP($A53, INDIRECT("DicR!$A$6:$ZZ$1048576"), MATCH(AS$1, DicR!$6:$6, 0), FALSE),
            0
        )
)</f>
        <v>0</v>
      </c>
      <c r="AT53" s="36">
        <f t="array" ref="AT53">SUM(
    IFERROR(
            VLOOKUP($A53, INDIRECT("EneR!$A$6:$ZZ$1048576"), MATCH(AT$1, EneR!$6:$6, 0), FALSE),
            0
        ) +
        IFERROR(
            VLOOKUP($A53, INDIRECT("FebR!$A$6:$ZZ$1048576"), MATCH(AT$1, FebR!$6:$6, 0), FALSE),
            0
        ) +
        IFERROR(
            VLOOKUP($A53, INDIRECT("MarR!$A$6:$ZZ$1048576"), MATCH(AT$1, MarR!$6:$6, 0), FALSE),
            0
        ) +
        IFERROR(
            VLOOKUP($A53, INDIRECT("AbrR!$A$6:$ZZ$1048576"), MATCH(AT$1, AbrR!$6:$6, 0), FALSE),
            0
        ) +
        IFERROR(
            VLOOKUP($A53, INDIRECT("MayR!$A$6:$ZZ$1048576"), MATCH(AT$1, MayR!$6:$6, 0), FALSE),
            0
        ) +
        IFERROR(
            VLOOKUP($A53, INDIRECT("JunR!$A$6:$ZZ$1048576"), MATCH(AT$1, JunR!$6:$6, 0), FALSE),
            0
        ) +
        IFERROR(
            VLOOKUP($A53, INDIRECT("JulR!$A$6:$ZZ$1048576"), MATCH(AT$1, JulR!$6:$6, 0), FALSE),
            0
        ) +
        IFERROR(
            VLOOKUP($A53, INDIRECT("AgoR!$A$6:$ZZ$1048576"), MATCH(AT$1, AgoR!$6:$6, 0), FALSE),
            0
        ) +
        IFERROR(
            VLOOKUP($A53, INDIRECT("SepR!$A$6:$ZZ$1048576"), MATCH(AT$1, SepR!$6:$6, 0), FALSE),
            0
        ) +
        IFERROR(
            VLOOKUP($A53, INDIRECT("OctR!$A$6:$ZZ$1048576"), MATCH(AT$1, OctR!$6:$6, 0), FALSE),
            0
        ) +
        IFERROR(
            VLOOKUP($A53, INDIRECT("NovR!$A$6:$ZZ$1048576"), MATCH(AT$1, NovR!$6:$6, 0), FALSE),
            0
        ) +
        IFERROR(
            VLOOKUP($A53, INDIRECT("DicR!$A$6:$ZZ$1048576"), MATCH(AT$1, DicR!$6:$6, 0), FALSE),
            0
        )
)</f>
        <v>0</v>
      </c>
      <c r="AU53" s="35">
        <f t="array" ref="AU53">SUM(
    IFERROR(
            VLOOKUP($A53, INDIRECT("EneR!$A$6:$ZZ$1048576"), MATCH(AU$1, EneR!$6:$6, 0), FALSE),
            0
        ) +
        IFERROR(
            VLOOKUP($A53, INDIRECT("FebR!$A$6:$ZZ$1048576"), MATCH(AU$1, FebR!$6:$6, 0), FALSE),
            0
        ) +
        IFERROR(
            VLOOKUP($A53, INDIRECT("MarR!$A$6:$ZZ$1048576"), MATCH(AU$1, MarR!$6:$6, 0), FALSE),
            0
        ) +
        IFERROR(
            VLOOKUP($A53, INDIRECT("AbrR!$A$6:$ZZ$1048576"), MATCH(AU$1, AbrR!$6:$6, 0), FALSE),
            0
        ) +
        IFERROR(
            VLOOKUP($A53, INDIRECT("MayR!$A$6:$ZZ$1048576"), MATCH(AU$1, MayR!$6:$6, 0), FALSE),
            0
        ) +
        IFERROR(
            VLOOKUP($A53, INDIRECT("JunR!$A$6:$ZZ$1048576"), MATCH(AU$1, JunR!$6:$6, 0), FALSE),
            0
        ) +
        IFERROR(
            VLOOKUP($A53, INDIRECT("JulR!$A$6:$ZZ$1048576"), MATCH(AU$1, JulR!$6:$6, 0), FALSE),
            0
        ) +
        IFERROR(
            VLOOKUP($A53, INDIRECT("AgoR!$A$6:$ZZ$1048576"), MATCH(AU$1, AgoR!$6:$6, 0), FALSE),
            0
        ) +
        IFERROR(
            VLOOKUP($A53, INDIRECT("SepR!$A$6:$ZZ$1048576"), MATCH(AU$1, SepR!$6:$6, 0), FALSE),
            0
        ) +
        IFERROR(
            VLOOKUP($A53, INDIRECT("OctR!$A$6:$ZZ$1048576"), MATCH(AU$1, OctR!$6:$6, 0), FALSE),
            0
        ) +
        IFERROR(
            VLOOKUP($A53, INDIRECT("NovR!$A$6:$ZZ$1048576"), MATCH(AU$1, NovR!$6:$6, 0), FALSE),
            0
        ) +
        IFERROR(
            VLOOKUP($A53, INDIRECT("DicR!$A$6:$ZZ$1048576"), MATCH(AU$1, DicR!$6:$6, 0), FALSE),
            0
        )
)</f>
        <v>0</v>
      </c>
      <c r="AV53" s="36">
        <f t="array" ref="AV53">SUM(
    IFERROR(
            VLOOKUP($A53, INDIRECT("EneR!$A$6:$ZZ$1048576"), MATCH(AV$1, EneR!$6:$6, 0), FALSE),
            0
        ) +
        IFERROR(
            VLOOKUP($A53, INDIRECT("FebR!$A$6:$ZZ$1048576"), MATCH(AV$1, FebR!$6:$6, 0), FALSE),
            0
        ) +
        IFERROR(
            VLOOKUP($A53, INDIRECT("MarR!$A$6:$ZZ$1048576"), MATCH(AV$1, MarR!$6:$6, 0), FALSE),
            0
        ) +
        IFERROR(
            VLOOKUP($A53, INDIRECT("AbrR!$A$6:$ZZ$1048576"), MATCH(AV$1, AbrR!$6:$6, 0), FALSE),
            0
        ) +
        IFERROR(
            VLOOKUP($A53, INDIRECT("MayR!$A$6:$ZZ$1048576"), MATCH(AV$1, MayR!$6:$6, 0), FALSE),
            0
        ) +
        IFERROR(
            VLOOKUP($A53, INDIRECT("JunR!$A$6:$ZZ$1048576"), MATCH(AV$1, JunR!$6:$6, 0), FALSE),
            0
        ) +
        IFERROR(
            VLOOKUP($A53, INDIRECT("JulR!$A$6:$ZZ$1048576"), MATCH(AV$1, JulR!$6:$6, 0), FALSE),
            0
        ) +
        IFERROR(
            VLOOKUP($A53, INDIRECT("AgoR!$A$6:$ZZ$1048576"), MATCH(AV$1, AgoR!$6:$6, 0), FALSE),
            0
        ) +
        IFERROR(
            VLOOKUP($A53, INDIRECT("SepR!$A$6:$ZZ$1048576"), MATCH(AV$1, SepR!$6:$6, 0), FALSE),
            0
        ) +
        IFERROR(
            VLOOKUP($A53, INDIRECT("OctR!$A$6:$ZZ$1048576"), MATCH(AV$1, OctR!$6:$6, 0), FALSE),
            0
        ) +
        IFERROR(
            VLOOKUP($A53, INDIRECT("NovR!$A$6:$ZZ$1048576"), MATCH(AV$1, NovR!$6:$6, 0), FALSE),
            0
        ) +
        IFERROR(
            VLOOKUP($A53, INDIRECT("DicR!$A$6:$ZZ$1048576"), MATCH(AV$1, DicR!$6:$6, 0), FALSE),
            0
        )
)</f>
        <v>0</v>
      </c>
      <c r="AW53" s="35">
        <f t="array" ref="AW53">SUM(
    IFERROR(
            VLOOKUP($A53, INDIRECT("EneR!$A$6:$ZZ$1048576"), MATCH(AW$1, EneR!$6:$6, 0), FALSE),
            0
        ) +
        IFERROR(
            VLOOKUP($A53, INDIRECT("FebR!$A$6:$ZZ$1048576"), MATCH(AW$1, FebR!$6:$6, 0), FALSE),
            0
        ) +
        IFERROR(
            VLOOKUP($A53, INDIRECT("MarR!$A$6:$ZZ$1048576"), MATCH(AW$1, MarR!$6:$6, 0), FALSE),
            0
        ) +
        IFERROR(
            VLOOKUP($A53, INDIRECT("AbrR!$A$6:$ZZ$1048576"), MATCH(AW$1, AbrR!$6:$6, 0), FALSE),
            0
        ) +
        IFERROR(
            VLOOKUP($A53, INDIRECT("MayR!$A$6:$ZZ$1048576"), MATCH(AW$1, MayR!$6:$6, 0), FALSE),
            0
        ) +
        IFERROR(
            VLOOKUP($A53, INDIRECT("JunR!$A$6:$ZZ$1048576"), MATCH(AW$1, JunR!$6:$6, 0), FALSE),
            0
        ) +
        IFERROR(
            VLOOKUP($A53, INDIRECT("JulR!$A$6:$ZZ$1048576"), MATCH(AW$1, JulR!$6:$6, 0), FALSE),
            0
        ) +
        IFERROR(
            VLOOKUP($A53, INDIRECT("AgoR!$A$6:$ZZ$1048576"), MATCH(AW$1, AgoR!$6:$6, 0), FALSE),
            0
        ) +
        IFERROR(
            VLOOKUP($A53, INDIRECT("SepR!$A$6:$ZZ$1048576"), MATCH(AW$1, SepR!$6:$6, 0), FALSE),
            0
        ) +
        IFERROR(
            VLOOKUP($A53, INDIRECT("OctR!$A$6:$ZZ$1048576"), MATCH(AW$1, OctR!$6:$6, 0), FALSE),
            0
        ) +
        IFERROR(
            VLOOKUP($A53, INDIRECT("NovR!$A$6:$ZZ$1048576"), MATCH(AW$1, NovR!$6:$6, 0), FALSE),
            0
        ) +
        IFERROR(
            VLOOKUP($A53, INDIRECT("DicR!$A$6:$ZZ$1048576"), MATCH(AW$1, DicR!$6:$6, 0), FALSE),
            0
        )
)</f>
        <v>0</v>
      </c>
      <c r="AX53" s="36">
        <f t="array" ref="AX53">SUM(
    IFERROR(
            VLOOKUP($A53, INDIRECT("EneR!$A$6:$ZZ$1048576"), MATCH(AX$1, EneR!$6:$6, 0), FALSE),
            0
        ) +
        IFERROR(
            VLOOKUP($A53, INDIRECT("FebR!$A$6:$ZZ$1048576"), MATCH(AX$1, FebR!$6:$6, 0), FALSE),
            0
        ) +
        IFERROR(
            VLOOKUP($A53, INDIRECT("MarR!$A$6:$ZZ$1048576"), MATCH(AX$1, MarR!$6:$6, 0), FALSE),
            0
        ) +
        IFERROR(
            VLOOKUP($A53, INDIRECT("AbrR!$A$6:$ZZ$1048576"), MATCH(AX$1, AbrR!$6:$6, 0), FALSE),
            0
        ) +
        IFERROR(
            VLOOKUP($A53, INDIRECT("MayR!$A$6:$ZZ$1048576"), MATCH(AX$1, MayR!$6:$6, 0), FALSE),
            0
        ) +
        IFERROR(
            VLOOKUP($A53, INDIRECT("JunR!$A$6:$ZZ$1048576"), MATCH(AX$1, JunR!$6:$6, 0), FALSE),
            0
        ) +
        IFERROR(
            VLOOKUP($A53, INDIRECT("JulR!$A$6:$ZZ$1048576"), MATCH(AX$1, JulR!$6:$6, 0), FALSE),
            0
        ) +
        IFERROR(
            VLOOKUP($A53, INDIRECT("AgoR!$A$6:$ZZ$1048576"), MATCH(AX$1, AgoR!$6:$6, 0), FALSE),
            0
        ) +
        IFERROR(
            VLOOKUP($A53, INDIRECT("SepR!$A$6:$ZZ$1048576"), MATCH(AX$1, SepR!$6:$6, 0), FALSE),
            0
        ) +
        IFERROR(
            VLOOKUP($A53, INDIRECT("OctR!$A$6:$ZZ$1048576"), MATCH(AX$1, OctR!$6:$6, 0), FALSE),
            0
        ) +
        IFERROR(
            VLOOKUP($A53, INDIRECT("NovR!$A$6:$ZZ$1048576"), MATCH(AX$1, NovR!$6:$6, 0), FALSE),
            0
        ) +
        IFERROR(
            VLOOKUP($A53, INDIRECT("DicR!$A$6:$ZZ$1048576"), MATCH(AX$1, DicR!$6:$6, 0), FALSE),
            0
        )
)</f>
        <v>0</v>
      </c>
      <c r="AY53" s="35">
        <f t="array" ref="AY53">SUM(
    IFERROR(
            VLOOKUP($A53, INDIRECT("EneR!$A$6:$ZZ$1048576"), MATCH(AY$1, EneR!$6:$6, 0), FALSE),
            0
        ) +
        IFERROR(
            VLOOKUP($A53, INDIRECT("FebR!$A$6:$ZZ$1048576"), MATCH(AY$1, FebR!$6:$6, 0), FALSE),
            0
        ) +
        IFERROR(
            VLOOKUP($A53, INDIRECT("MarR!$A$6:$ZZ$1048576"), MATCH(AY$1, MarR!$6:$6, 0), FALSE),
            0
        ) +
        IFERROR(
            VLOOKUP($A53, INDIRECT("AbrR!$A$6:$ZZ$1048576"), MATCH(AY$1, AbrR!$6:$6, 0), FALSE),
            0
        ) +
        IFERROR(
            VLOOKUP($A53, INDIRECT("MayR!$A$6:$ZZ$1048576"), MATCH(AY$1, MayR!$6:$6, 0), FALSE),
            0
        ) +
        IFERROR(
            VLOOKUP($A53, INDIRECT("JunR!$A$6:$ZZ$1048576"), MATCH(AY$1, JunR!$6:$6, 0), FALSE),
            0
        ) +
        IFERROR(
            VLOOKUP($A53, INDIRECT("JulR!$A$6:$ZZ$1048576"), MATCH(AY$1, JulR!$6:$6, 0), FALSE),
            0
        ) +
        IFERROR(
            VLOOKUP($A53, INDIRECT("AgoR!$A$6:$ZZ$1048576"), MATCH(AY$1, AgoR!$6:$6, 0), FALSE),
            0
        ) +
        IFERROR(
            VLOOKUP($A53, INDIRECT("SepR!$A$6:$ZZ$1048576"), MATCH(AY$1, SepR!$6:$6, 0), FALSE),
            0
        ) +
        IFERROR(
            VLOOKUP($A53, INDIRECT("OctR!$A$6:$ZZ$1048576"), MATCH(AY$1, OctR!$6:$6, 0), FALSE),
            0
        ) +
        IFERROR(
            VLOOKUP($A53, INDIRECT("NovR!$A$6:$ZZ$1048576"), MATCH(AY$1, NovR!$6:$6, 0), FALSE),
            0
        ) +
        IFERROR(
            VLOOKUP($A53, INDIRECT("DicR!$A$6:$ZZ$1048576"), MATCH(AY$1, DicR!$6:$6, 0), FALSE),
            0
        )
)</f>
        <v>0</v>
      </c>
      <c r="AZ53" s="35"/>
    </row>
    <row r="54" ht="15.75" customHeight="1">
      <c r="A54" s="12" t="str">
        <f>Menus!B15</f>
        <v/>
      </c>
      <c r="B54" s="32">
        <f t="shared" si="9"/>
        <v>0</v>
      </c>
      <c r="C54" s="33" t="str">
        <f t="shared" si="10"/>
        <v/>
      </c>
      <c r="D54" s="34">
        <f t="array" ref="D54">SUM(
    IFERROR(
            VLOOKUP($A54, INDIRECT("EneR!$A$6:$ZZ$1048576"), MATCH(D$1, EneR!$6:$6, 0), FALSE),
            0
        ) +
        IFERROR(
            VLOOKUP($A54, INDIRECT("FebR!$A$6:$ZZ$1048576"), MATCH(D$1, FebR!$6:$6, 0), FALSE),
            0
        ) +
        IFERROR(
            VLOOKUP($A54, INDIRECT("MarR!$A$6:$ZZ$1048576"), MATCH(D$1, MarR!$6:$6, 0), FALSE),
            0
        ) +
        IFERROR(
            VLOOKUP($A54, INDIRECT("AbrR!$A$6:$ZZ$1048576"), MATCH(D$1, AbrR!$6:$6, 0), FALSE),
            0
        ) +
        IFERROR(
            VLOOKUP($A54, INDIRECT("MayR!$A$6:$ZZ$1048576"), MATCH(D$1, MayR!$6:$6, 0), FALSE),
            0
        ) +
        IFERROR(
            VLOOKUP($A54, INDIRECT("JunR!$A$6:$ZZ$1048576"), MATCH(D$1, JunR!$6:$6, 0), FALSE),
            0
        ) +
        IFERROR(
            VLOOKUP($A54, INDIRECT("JulR!$A$6:$ZZ$1048576"), MATCH(D$1, JulR!$6:$6, 0), FALSE),
            0
        ) +
        IFERROR(
            VLOOKUP($A54, INDIRECT("AgoR!$A$6:$ZZ$1048576"), MATCH(D$1, AgoR!$6:$6, 0), FALSE),
            0
        ) +
        IFERROR(
            VLOOKUP($A54, INDIRECT("SepR!$A$6:$ZZ$1048576"), MATCH(D$1, SepR!$6:$6, 0), FALSE),
            0
        ) +
        IFERROR(
            VLOOKUP($A54, INDIRECT("OctR!$A$6:$ZZ$1048576"), MATCH(D$1, OctR!$6:$6, 0), FALSE),
            0
        ) +
        IFERROR(
            VLOOKUP($A54, INDIRECT("NovR!$A$6:$ZZ$1048576"), MATCH(D$1, NovR!$6:$6, 0), FALSE),
            0
        ) +
        IFERROR(
            VLOOKUP($A54, INDIRECT("DicR!$A$6:$ZZ$1048576"), MATCH(D$1, DicR!$6:$6, 0), FALSE),
            0
        )
)</f>
        <v>0</v>
      </c>
      <c r="E54" s="35">
        <f t="array" ref="E54">SUM(
    IFERROR(
            VLOOKUP($A54, INDIRECT("EneR!$A$6:$ZZ$1048576"), MATCH(E$1, EneR!$6:$6, 0), FALSE),
            0
        ) +
        IFERROR(
            VLOOKUP($A54, INDIRECT("FebR!$A$6:$ZZ$1048576"), MATCH(E$1, FebR!$6:$6, 0), FALSE),
            0
        ) +
        IFERROR(
            VLOOKUP($A54, INDIRECT("MarR!$A$6:$ZZ$1048576"), MATCH(E$1, MarR!$6:$6, 0), FALSE),
            0
        ) +
        IFERROR(
            VLOOKUP($A54, INDIRECT("AbrR!$A$6:$ZZ$1048576"), MATCH(E$1, AbrR!$6:$6, 0), FALSE),
            0
        ) +
        IFERROR(
            VLOOKUP($A54, INDIRECT("MayR!$A$6:$ZZ$1048576"), MATCH(E$1, MayR!$6:$6, 0), FALSE),
            0
        ) +
        IFERROR(
            VLOOKUP($A54, INDIRECT("JunR!$A$6:$ZZ$1048576"), MATCH(E$1, JunR!$6:$6, 0), FALSE),
            0
        ) +
        IFERROR(
            VLOOKUP($A54, INDIRECT("JulR!$A$6:$ZZ$1048576"), MATCH(E$1, JulR!$6:$6, 0), FALSE),
            0
        ) +
        IFERROR(
            VLOOKUP($A54, INDIRECT("AgoR!$A$6:$ZZ$1048576"), MATCH(E$1, AgoR!$6:$6, 0), FALSE),
            0
        ) +
        IFERROR(
            VLOOKUP($A54, INDIRECT("SepR!$A$6:$ZZ$1048576"), MATCH(E$1, SepR!$6:$6, 0), FALSE),
            0
        ) +
        IFERROR(
            VLOOKUP($A54, INDIRECT("OctR!$A$6:$ZZ$1048576"), MATCH(E$1, OctR!$6:$6, 0), FALSE),
            0
        ) +
        IFERROR(
            VLOOKUP($A54, INDIRECT("NovR!$A$6:$ZZ$1048576"), MATCH(E$1, NovR!$6:$6, 0), FALSE),
            0
        ) +
        IFERROR(
            VLOOKUP($A54, INDIRECT("DicR!$A$6:$ZZ$1048576"), MATCH(E$1, DicR!$6:$6, 0), FALSE),
            0
        )
)</f>
        <v>0</v>
      </c>
      <c r="F54" s="32">
        <f t="array" ref="F54">SUM(
    IFERROR(
            VLOOKUP($A54, INDIRECT("EneR!$A$6:$ZZ$1048576"), MATCH(F$1, EneR!$6:$6, 0), FALSE),
            0
        ) +
        IFERROR(
            VLOOKUP($A54, INDIRECT("FebR!$A$6:$ZZ$1048576"), MATCH(F$1, FebR!$6:$6, 0), FALSE),
            0
        ) +
        IFERROR(
            VLOOKUP($A54, INDIRECT("MarR!$A$6:$ZZ$1048576"), MATCH(F$1, MarR!$6:$6, 0), FALSE),
            0
        ) +
        IFERROR(
            VLOOKUP($A54, INDIRECT("AbrR!$A$6:$ZZ$1048576"), MATCH(F$1, AbrR!$6:$6, 0), FALSE),
            0
        ) +
        IFERROR(
            VLOOKUP($A54, INDIRECT("MayR!$A$6:$ZZ$1048576"), MATCH(F$1, MayR!$6:$6, 0), FALSE),
            0
        ) +
        IFERROR(
            VLOOKUP($A54, INDIRECT("JunR!$A$6:$ZZ$1048576"), MATCH(F$1, JunR!$6:$6, 0), FALSE),
            0
        ) +
        IFERROR(
            VLOOKUP($A54, INDIRECT("JulR!$A$6:$ZZ$1048576"), MATCH(F$1, JulR!$6:$6, 0), FALSE),
            0
        ) +
        IFERROR(
            VLOOKUP($A54, INDIRECT("AgoR!$A$6:$ZZ$1048576"), MATCH(F$1, AgoR!$6:$6, 0), FALSE),
            0
        ) +
        IFERROR(
            VLOOKUP($A54, INDIRECT("SepR!$A$6:$ZZ$1048576"), MATCH(F$1, SepR!$6:$6, 0), FALSE),
            0
        ) +
        IFERROR(
            VLOOKUP($A54, INDIRECT("OctR!$A$6:$ZZ$1048576"), MATCH(F$1, OctR!$6:$6, 0), FALSE),
            0
        ) +
        IFERROR(
            VLOOKUP($A54, INDIRECT("NovR!$A$6:$ZZ$1048576"), MATCH(F$1, NovR!$6:$6, 0), FALSE),
            0
        ) +
        IFERROR(
            VLOOKUP($A54, INDIRECT("DicR!$A$6:$ZZ$1048576"), MATCH(F$1, DicR!$6:$6, 0), FALSE),
            0
        )
)</f>
        <v>0</v>
      </c>
      <c r="G54" s="35">
        <f t="array" ref="G54">SUM(
    IFERROR(
            VLOOKUP($A54, INDIRECT("EneR!$A$6:$ZZ$1048576"), MATCH(G$1, EneR!$6:$6, 0), FALSE),
            0
        ) +
        IFERROR(
            VLOOKUP($A54, INDIRECT("FebR!$A$6:$ZZ$1048576"), MATCH(G$1, FebR!$6:$6, 0), FALSE),
            0
        ) +
        IFERROR(
            VLOOKUP($A54, INDIRECT("MarR!$A$6:$ZZ$1048576"), MATCH(G$1, MarR!$6:$6, 0), FALSE),
            0
        ) +
        IFERROR(
            VLOOKUP($A54, INDIRECT("AbrR!$A$6:$ZZ$1048576"), MATCH(G$1, AbrR!$6:$6, 0), FALSE),
            0
        ) +
        IFERROR(
            VLOOKUP($A54, INDIRECT("MayR!$A$6:$ZZ$1048576"), MATCH(G$1, MayR!$6:$6, 0), FALSE),
            0
        ) +
        IFERROR(
            VLOOKUP($A54, INDIRECT("JunR!$A$6:$ZZ$1048576"), MATCH(G$1, JunR!$6:$6, 0), FALSE),
            0
        ) +
        IFERROR(
            VLOOKUP($A54, INDIRECT("JulR!$A$6:$ZZ$1048576"), MATCH(G$1, JulR!$6:$6, 0), FALSE),
            0
        ) +
        IFERROR(
            VLOOKUP($A54, INDIRECT("AgoR!$A$6:$ZZ$1048576"), MATCH(G$1, AgoR!$6:$6, 0), FALSE),
            0
        ) +
        IFERROR(
            VLOOKUP($A54, INDIRECT("SepR!$A$6:$ZZ$1048576"), MATCH(G$1, SepR!$6:$6, 0), FALSE),
            0
        ) +
        IFERROR(
            VLOOKUP($A54, INDIRECT("OctR!$A$6:$ZZ$1048576"), MATCH(G$1, OctR!$6:$6, 0), FALSE),
            0
        ) +
        IFERROR(
            VLOOKUP($A54, INDIRECT("NovR!$A$6:$ZZ$1048576"), MATCH(G$1, NovR!$6:$6, 0), FALSE),
            0
        ) +
        IFERROR(
            VLOOKUP($A54, INDIRECT("DicR!$A$6:$ZZ$1048576"), MATCH(G$1, DicR!$6:$6, 0), FALSE),
            0
        )
)</f>
        <v>0</v>
      </c>
      <c r="H54" s="32">
        <f t="array" ref="H54">SUM(
    IFERROR(
            VLOOKUP($A54, INDIRECT("EneR!$A$6:$ZZ$1048576"), MATCH(H$1, EneR!$6:$6, 0), FALSE),
            0
        ) +
        IFERROR(
            VLOOKUP($A54, INDIRECT("FebR!$A$6:$ZZ$1048576"), MATCH(H$1, FebR!$6:$6, 0), FALSE),
            0
        ) +
        IFERROR(
            VLOOKUP($A54, INDIRECT("MarR!$A$6:$ZZ$1048576"), MATCH(H$1, MarR!$6:$6, 0), FALSE),
            0
        ) +
        IFERROR(
            VLOOKUP($A54, INDIRECT("AbrR!$A$6:$ZZ$1048576"), MATCH(H$1, AbrR!$6:$6, 0), FALSE),
            0
        ) +
        IFERROR(
            VLOOKUP($A54, INDIRECT("MayR!$A$6:$ZZ$1048576"), MATCH(H$1, MayR!$6:$6, 0), FALSE),
            0
        ) +
        IFERROR(
            VLOOKUP($A54, INDIRECT("JunR!$A$6:$ZZ$1048576"), MATCH(H$1, JunR!$6:$6, 0), FALSE),
            0
        ) +
        IFERROR(
            VLOOKUP($A54, INDIRECT("JulR!$A$6:$ZZ$1048576"), MATCH(H$1, JulR!$6:$6, 0), FALSE),
            0
        ) +
        IFERROR(
            VLOOKUP($A54, INDIRECT("AgoR!$A$6:$ZZ$1048576"), MATCH(H$1, AgoR!$6:$6, 0), FALSE),
            0
        ) +
        IFERROR(
            VLOOKUP($A54, INDIRECT("SepR!$A$6:$ZZ$1048576"), MATCH(H$1, SepR!$6:$6, 0), FALSE),
            0
        ) +
        IFERROR(
            VLOOKUP($A54, INDIRECT("OctR!$A$6:$ZZ$1048576"), MATCH(H$1, OctR!$6:$6, 0), FALSE),
            0
        ) +
        IFERROR(
            VLOOKUP($A54, INDIRECT("NovR!$A$6:$ZZ$1048576"), MATCH(H$1, NovR!$6:$6, 0), FALSE),
            0
        ) +
        IFERROR(
            VLOOKUP($A54, INDIRECT("DicR!$A$6:$ZZ$1048576"), MATCH(H$1, DicR!$6:$6, 0), FALSE),
            0
        )
)</f>
        <v>0</v>
      </c>
      <c r="I54" s="35">
        <f t="array" ref="I54">SUM(
    IFERROR(
            VLOOKUP($A54, INDIRECT("EneR!$A$6:$ZZ$1048576"), MATCH(I$1, EneR!$6:$6, 0), FALSE),
            0
        ) +
        IFERROR(
            VLOOKUP($A54, INDIRECT("FebR!$A$6:$ZZ$1048576"), MATCH(I$1, FebR!$6:$6, 0), FALSE),
            0
        ) +
        IFERROR(
            VLOOKUP($A54, INDIRECT("MarR!$A$6:$ZZ$1048576"), MATCH(I$1, MarR!$6:$6, 0), FALSE),
            0
        ) +
        IFERROR(
            VLOOKUP($A54, INDIRECT("AbrR!$A$6:$ZZ$1048576"), MATCH(I$1, AbrR!$6:$6, 0), FALSE),
            0
        ) +
        IFERROR(
            VLOOKUP($A54, INDIRECT("MayR!$A$6:$ZZ$1048576"), MATCH(I$1, MayR!$6:$6, 0), FALSE),
            0
        ) +
        IFERROR(
            VLOOKUP($A54, INDIRECT("JunR!$A$6:$ZZ$1048576"), MATCH(I$1, JunR!$6:$6, 0), FALSE),
            0
        ) +
        IFERROR(
            VLOOKUP($A54, INDIRECT("JulR!$A$6:$ZZ$1048576"), MATCH(I$1, JulR!$6:$6, 0), FALSE),
            0
        ) +
        IFERROR(
            VLOOKUP($A54, INDIRECT("AgoR!$A$6:$ZZ$1048576"), MATCH(I$1, AgoR!$6:$6, 0), FALSE),
            0
        ) +
        IFERROR(
            VLOOKUP($A54, INDIRECT("SepR!$A$6:$ZZ$1048576"), MATCH(I$1, SepR!$6:$6, 0), FALSE),
            0
        ) +
        IFERROR(
            VLOOKUP($A54, INDIRECT("OctR!$A$6:$ZZ$1048576"), MATCH(I$1, OctR!$6:$6, 0), FALSE),
            0
        ) +
        IFERROR(
            VLOOKUP($A54, INDIRECT("NovR!$A$6:$ZZ$1048576"), MATCH(I$1, NovR!$6:$6, 0), FALSE),
            0
        ) +
        IFERROR(
            VLOOKUP($A54, INDIRECT("DicR!$A$6:$ZZ$1048576"), MATCH(I$1, DicR!$6:$6, 0), FALSE),
            0
        )
)</f>
        <v>0</v>
      </c>
      <c r="J54" s="32">
        <f t="array" ref="J54">SUM(
    IFERROR(
            VLOOKUP($A54, INDIRECT("EneR!$A$6:$ZZ$1048576"), MATCH(J$1, EneR!$6:$6, 0), FALSE),
            0
        ) +
        IFERROR(
            VLOOKUP($A54, INDIRECT("FebR!$A$6:$ZZ$1048576"), MATCH(J$1, FebR!$6:$6, 0), FALSE),
            0
        ) +
        IFERROR(
            VLOOKUP($A54, INDIRECT("MarR!$A$6:$ZZ$1048576"), MATCH(J$1, MarR!$6:$6, 0), FALSE),
            0
        ) +
        IFERROR(
            VLOOKUP($A54, INDIRECT("AbrR!$A$6:$ZZ$1048576"), MATCH(J$1, AbrR!$6:$6, 0), FALSE),
            0
        ) +
        IFERROR(
            VLOOKUP($A54, INDIRECT("MayR!$A$6:$ZZ$1048576"), MATCH(J$1, MayR!$6:$6, 0), FALSE),
            0
        ) +
        IFERROR(
            VLOOKUP($A54, INDIRECT("JunR!$A$6:$ZZ$1048576"), MATCH(J$1, JunR!$6:$6, 0), FALSE),
            0
        ) +
        IFERROR(
            VLOOKUP($A54, INDIRECT("JulR!$A$6:$ZZ$1048576"), MATCH(J$1, JulR!$6:$6, 0), FALSE),
            0
        ) +
        IFERROR(
            VLOOKUP($A54, INDIRECT("AgoR!$A$6:$ZZ$1048576"), MATCH(J$1, AgoR!$6:$6, 0), FALSE),
            0
        ) +
        IFERROR(
            VLOOKUP($A54, INDIRECT("SepR!$A$6:$ZZ$1048576"), MATCH(J$1, SepR!$6:$6, 0), FALSE),
            0
        ) +
        IFERROR(
            VLOOKUP($A54, INDIRECT("OctR!$A$6:$ZZ$1048576"), MATCH(J$1, OctR!$6:$6, 0), FALSE),
            0
        ) +
        IFERROR(
            VLOOKUP($A54, INDIRECT("NovR!$A$6:$ZZ$1048576"), MATCH(J$1, NovR!$6:$6, 0), FALSE),
            0
        ) +
        IFERROR(
            VLOOKUP($A54, INDIRECT("DicR!$A$6:$ZZ$1048576"), MATCH(J$1, DicR!$6:$6, 0), FALSE),
            0
        )
)</f>
        <v>0</v>
      </c>
      <c r="K54" s="35">
        <f t="array" ref="K54">SUM(
    IFERROR(
            VLOOKUP($A54, INDIRECT("EneR!$A$6:$ZZ$1048576"), MATCH(K$1, EneR!$6:$6, 0), FALSE),
            0
        ) +
        IFERROR(
            VLOOKUP($A54, INDIRECT("FebR!$A$6:$ZZ$1048576"), MATCH(K$1, FebR!$6:$6, 0), FALSE),
            0
        ) +
        IFERROR(
            VLOOKUP($A54, INDIRECT("MarR!$A$6:$ZZ$1048576"), MATCH(K$1, MarR!$6:$6, 0), FALSE),
            0
        ) +
        IFERROR(
            VLOOKUP($A54, INDIRECT("AbrR!$A$6:$ZZ$1048576"), MATCH(K$1, AbrR!$6:$6, 0), FALSE),
            0
        ) +
        IFERROR(
            VLOOKUP($A54, INDIRECT("MayR!$A$6:$ZZ$1048576"), MATCH(K$1, MayR!$6:$6, 0), FALSE),
            0
        ) +
        IFERROR(
            VLOOKUP($A54, INDIRECT("JunR!$A$6:$ZZ$1048576"), MATCH(K$1, JunR!$6:$6, 0), FALSE),
            0
        ) +
        IFERROR(
            VLOOKUP($A54, INDIRECT("JulR!$A$6:$ZZ$1048576"), MATCH(K$1, JulR!$6:$6, 0), FALSE),
            0
        ) +
        IFERROR(
            VLOOKUP($A54, INDIRECT("AgoR!$A$6:$ZZ$1048576"), MATCH(K$1, AgoR!$6:$6, 0), FALSE),
            0
        ) +
        IFERROR(
            VLOOKUP($A54, INDIRECT("SepR!$A$6:$ZZ$1048576"), MATCH(K$1, SepR!$6:$6, 0), FALSE),
            0
        ) +
        IFERROR(
            VLOOKUP($A54, INDIRECT("OctR!$A$6:$ZZ$1048576"), MATCH(K$1, OctR!$6:$6, 0), FALSE),
            0
        ) +
        IFERROR(
            VLOOKUP($A54, INDIRECT("NovR!$A$6:$ZZ$1048576"), MATCH(K$1, NovR!$6:$6, 0), FALSE),
            0
        ) +
        IFERROR(
            VLOOKUP($A54, INDIRECT("DicR!$A$6:$ZZ$1048576"), MATCH(K$1, DicR!$6:$6, 0), FALSE),
            0
        )
)</f>
        <v>0</v>
      </c>
      <c r="L54" s="32">
        <f t="array" ref="L54">SUM(
    IFERROR(
            VLOOKUP($A54, INDIRECT("EneR!$A$6:$ZZ$1048576"), MATCH(L$1, EneR!$6:$6, 0), FALSE),
            0
        ) +
        IFERROR(
            VLOOKUP($A54, INDIRECT("FebR!$A$6:$ZZ$1048576"), MATCH(L$1, FebR!$6:$6, 0), FALSE),
            0
        ) +
        IFERROR(
            VLOOKUP($A54, INDIRECT("MarR!$A$6:$ZZ$1048576"), MATCH(L$1, MarR!$6:$6, 0), FALSE),
            0
        ) +
        IFERROR(
            VLOOKUP($A54, INDIRECT("AbrR!$A$6:$ZZ$1048576"), MATCH(L$1, AbrR!$6:$6, 0), FALSE),
            0
        ) +
        IFERROR(
            VLOOKUP($A54, INDIRECT("MayR!$A$6:$ZZ$1048576"), MATCH(L$1, MayR!$6:$6, 0), FALSE),
            0
        ) +
        IFERROR(
            VLOOKUP($A54, INDIRECT("JunR!$A$6:$ZZ$1048576"), MATCH(L$1, JunR!$6:$6, 0), FALSE),
            0
        ) +
        IFERROR(
            VLOOKUP($A54, INDIRECT("JulR!$A$6:$ZZ$1048576"), MATCH(L$1, JulR!$6:$6, 0), FALSE),
            0
        ) +
        IFERROR(
            VLOOKUP($A54, INDIRECT("AgoR!$A$6:$ZZ$1048576"), MATCH(L$1, AgoR!$6:$6, 0), FALSE),
            0
        ) +
        IFERROR(
            VLOOKUP($A54, INDIRECT("SepR!$A$6:$ZZ$1048576"), MATCH(L$1, SepR!$6:$6, 0), FALSE),
            0
        ) +
        IFERROR(
            VLOOKUP($A54, INDIRECT("OctR!$A$6:$ZZ$1048576"), MATCH(L$1, OctR!$6:$6, 0), FALSE),
            0
        ) +
        IFERROR(
            VLOOKUP($A54, INDIRECT("NovR!$A$6:$ZZ$1048576"), MATCH(L$1, NovR!$6:$6, 0), FALSE),
            0
        ) +
        IFERROR(
            VLOOKUP($A54, INDIRECT("DicR!$A$6:$ZZ$1048576"), MATCH(L$1, DicR!$6:$6, 0), FALSE),
            0
        )
)</f>
        <v>0</v>
      </c>
      <c r="M54" s="35">
        <f t="array" ref="M54">SUM(
    IFERROR(
            VLOOKUP($A54, INDIRECT("EneR!$A$6:$ZZ$1048576"), MATCH(M$1, EneR!$6:$6, 0), FALSE),
            0
        ) +
        IFERROR(
            VLOOKUP($A54, INDIRECT("FebR!$A$6:$ZZ$1048576"), MATCH(M$1, FebR!$6:$6, 0), FALSE),
            0
        ) +
        IFERROR(
            VLOOKUP($A54, INDIRECT("MarR!$A$6:$ZZ$1048576"), MATCH(M$1, MarR!$6:$6, 0), FALSE),
            0
        ) +
        IFERROR(
            VLOOKUP($A54, INDIRECT("AbrR!$A$6:$ZZ$1048576"), MATCH(M$1, AbrR!$6:$6, 0), FALSE),
            0
        ) +
        IFERROR(
            VLOOKUP($A54, INDIRECT("MayR!$A$6:$ZZ$1048576"), MATCH(M$1, MayR!$6:$6, 0), FALSE),
            0
        ) +
        IFERROR(
            VLOOKUP($A54, INDIRECT("JunR!$A$6:$ZZ$1048576"), MATCH(M$1, JunR!$6:$6, 0), FALSE),
            0
        ) +
        IFERROR(
            VLOOKUP($A54, INDIRECT("JulR!$A$6:$ZZ$1048576"), MATCH(M$1, JulR!$6:$6, 0), FALSE),
            0
        ) +
        IFERROR(
            VLOOKUP($A54, INDIRECT("AgoR!$A$6:$ZZ$1048576"), MATCH(M$1, AgoR!$6:$6, 0), FALSE),
            0
        ) +
        IFERROR(
            VLOOKUP($A54, INDIRECT("SepR!$A$6:$ZZ$1048576"), MATCH(M$1, SepR!$6:$6, 0), FALSE),
            0
        ) +
        IFERROR(
            VLOOKUP($A54, INDIRECT("OctR!$A$6:$ZZ$1048576"), MATCH(M$1, OctR!$6:$6, 0), FALSE),
            0
        ) +
        IFERROR(
            VLOOKUP($A54, INDIRECT("NovR!$A$6:$ZZ$1048576"), MATCH(M$1, NovR!$6:$6, 0), FALSE),
            0
        ) +
        IFERROR(
            VLOOKUP($A54, INDIRECT("DicR!$A$6:$ZZ$1048576"), MATCH(M$1, DicR!$6:$6, 0), FALSE),
            0
        )
)</f>
        <v>0</v>
      </c>
      <c r="N54" s="32">
        <f t="array" ref="N54">SUM(
    IFERROR(
            VLOOKUP($A54, INDIRECT("EneR!$A$6:$ZZ$1048576"), MATCH(N$1, EneR!$6:$6, 0), FALSE),
            0
        ) +
        IFERROR(
            VLOOKUP($A54, INDIRECT("FebR!$A$6:$ZZ$1048576"), MATCH(N$1, FebR!$6:$6, 0), FALSE),
            0
        ) +
        IFERROR(
            VLOOKUP($A54, INDIRECT("MarR!$A$6:$ZZ$1048576"), MATCH(N$1, MarR!$6:$6, 0), FALSE),
            0
        ) +
        IFERROR(
            VLOOKUP($A54, INDIRECT("AbrR!$A$6:$ZZ$1048576"), MATCH(N$1, AbrR!$6:$6, 0), FALSE),
            0
        ) +
        IFERROR(
            VLOOKUP($A54, INDIRECT("MayR!$A$6:$ZZ$1048576"), MATCH(N$1, MayR!$6:$6, 0), FALSE),
            0
        ) +
        IFERROR(
            VLOOKUP($A54, INDIRECT("JunR!$A$6:$ZZ$1048576"), MATCH(N$1, JunR!$6:$6, 0), FALSE),
            0
        ) +
        IFERROR(
            VLOOKUP($A54, INDIRECT("JulR!$A$6:$ZZ$1048576"), MATCH(N$1, JulR!$6:$6, 0), FALSE),
            0
        ) +
        IFERROR(
            VLOOKUP($A54, INDIRECT("AgoR!$A$6:$ZZ$1048576"), MATCH(N$1, AgoR!$6:$6, 0), FALSE),
            0
        ) +
        IFERROR(
            VLOOKUP($A54, INDIRECT("SepR!$A$6:$ZZ$1048576"), MATCH(N$1, SepR!$6:$6, 0), FALSE),
            0
        ) +
        IFERROR(
            VLOOKUP($A54, INDIRECT("OctR!$A$6:$ZZ$1048576"), MATCH(N$1, OctR!$6:$6, 0), FALSE),
            0
        ) +
        IFERROR(
            VLOOKUP($A54, INDIRECT("NovR!$A$6:$ZZ$1048576"), MATCH(N$1, NovR!$6:$6, 0), FALSE),
            0
        ) +
        IFERROR(
            VLOOKUP($A54, INDIRECT("DicR!$A$6:$ZZ$1048576"), MATCH(N$1, DicR!$6:$6, 0), FALSE),
            0
        )
)</f>
        <v>0</v>
      </c>
      <c r="O54" s="35">
        <f t="array" ref="O54">SUM(
    IFERROR(
            VLOOKUP($A54, INDIRECT("EneR!$A$6:$ZZ$1048576"), MATCH(O$1, EneR!$6:$6, 0), FALSE),
            0
        ) +
        IFERROR(
            VLOOKUP($A54, INDIRECT("FebR!$A$6:$ZZ$1048576"), MATCH(O$1, FebR!$6:$6, 0), FALSE),
            0
        ) +
        IFERROR(
            VLOOKUP($A54, INDIRECT("MarR!$A$6:$ZZ$1048576"), MATCH(O$1, MarR!$6:$6, 0), FALSE),
            0
        ) +
        IFERROR(
            VLOOKUP($A54, INDIRECT("AbrR!$A$6:$ZZ$1048576"), MATCH(O$1, AbrR!$6:$6, 0), FALSE),
            0
        ) +
        IFERROR(
            VLOOKUP($A54, INDIRECT("MayR!$A$6:$ZZ$1048576"), MATCH(O$1, MayR!$6:$6, 0), FALSE),
            0
        ) +
        IFERROR(
            VLOOKUP($A54, INDIRECT("JunR!$A$6:$ZZ$1048576"), MATCH(O$1, JunR!$6:$6, 0), FALSE),
            0
        ) +
        IFERROR(
            VLOOKUP($A54, INDIRECT("JulR!$A$6:$ZZ$1048576"), MATCH(O$1, JulR!$6:$6, 0), FALSE),
            0
        ) +
        IFERROR(
            VLOOKUP($A54, INDIRECT("AgoR!$A$6:$ZZ$1048576"), MATCH(O$1, AgoR!$6:$6, 0), FALSE),
            0
        ) +
        IFERROR(
            VLOOKUP($A54, INDIRECT("SepR!$A$6:$ZZ$1048576"), MATCH(O$1, SepR!$6:$6, 0), FALSE),
            0
        ) +
        IFERROR(
            VLOOKUP($A54, INDIRECT("OctR!$A$6:$ZZ$1048576"), MATCH(O$1, OctR!$6:$6, 0), FALSE),
            0
        ) +
        IFERROR(
            VLOOKUP($A54, INDIRECT("NovR!$A$6:$ZZ$1048576"), MATCH(O$1, NovR!$6:$6, 0), FALSE),
            0
        ) +
        IFERROR(
            VLOOKUP($A54, INDIRECT("DicR!$A$6:$ZZ$1048576"), MATCH(O$1, DicR!$6:$6, 0), FALSE),
            0
        )
)</f>
        <v>0</v>
      </c>
      <c r="P54" s="32">
        <f t="array" ref="P54">SUM(
    IFERROR(
            VLOOKUP($A54, INDIRECT("EneR!$A$6:$ZZ$1048576"), MATCH(P$1, EneR!$6:$6, 0), FALSE),
            0
        ) +
        IFERROR(
            VLOOKUP($A54, INDIRECT("FebR!$A$6:$ZZ$1048576"), MATCH(P$1, FebR!$6:$6, 0), FALSE),
            0
        ) +
        IFERROR(
            VLOOKUP($A54, INDIRECT("MarR!$A$6:$ZZ$1048576"), MATCH(P$1, MarR!$6:$6, 0), FALSE),
            0
        ) +
        IFERROR(
            VLOOKUP($A54, INDIRECT("AbrR!$A$6:$ZZ$1048576"), MATCH(P$1, AbrR!$6:$6, 0), FALSE),
            0
        ) +
        IFERROR(
            VLOOKUP($A54, INDIRECT("MayR!$A$6:$ZZ$1048576"), MATCH(P$1, MayR!$6:$6, 0), FALSE),
            0
        ) +
        IFERROR(
            VLOOKUP($A54, INDIRECT("JunR!$A$6:$ZZ$1048576"), MATCH(P$1, JunR!$6:$6, 0), FALSE),
            0
        ) +
        IFERROR(
            VLOOKUP($A54, INDIRECT("JulR!$A$6:$ZZ$1048576"), MATCH(P$1, JulR!$6:$6, 0), FALSE),
            0
        ) +
        IFERROR(
            VLOOKUP($A54, INDIRECT("AgoR!$A$6:$ZZ$1048576"), MATCH(P$1, AgoR!$6:$6, 0), FALSE),
            0
        ) +
        IFERROR(
            VLOOKUP($A54, INDIRECT("SepR!$A$6:$ZZ$1048576"), MATCH(P$1, SepR!$6:$6, 0), FALSE),
            0
        ) +
        IFERROR(
            VLOOKUP($A54, INDIRECT("OctR!$A$6:$ZZ$1048576"), MATCH(P$1, OctR!$6:$6, 0), FALSE),
            0
        ) +
        IFERROR(
            VLOOKUP($A54, INDIRECT("NovR!$A$6:$ZZ$1048576"), MATCH(P$1, NovR!$6:$6, 0), FALSE),
            0
        ) +
        IFERROR(
            VLOOKUP($A54, INDIRECT("DicR!$A$6:$ZZ$1048576"), MATCH(P$1, DicR!$6:$6, 0), FALSE),
            0
        )
)</f>
        <v>0</v>
      </c>
      <c r="Q54" s="35">
        <f t="array" ref="Q54">SUM(
    IFERROR(
            VLOOKUP($A54, INDIRECT("EneR!$A$6:$ZZ$1048576"), MATCH(Q$1, EneR!$6:$6, 0), FALSE),
            0
        ) +
        IFERROR(
            VLOOKUP($A54, INDIRECT("FebR!$A$6:$ZZ$1048576"), MATCH(Q$1, FebR!$6:$6, 0), FALSE),
            0
        ) +
        IFERROR(
            VLOOKUP($A54, INDIRECT("MarR!$A$6:$ZZ$1048576"), MATCH(Q$1, MarR!$6:$6, 0), FALSE),
            0
        ) +
        IFERROR(
            VLOOKUP($A54, INDIRECT("AbrR!$A$6:$ZZ$1048576"), MATCH(Q$1, AbrR!$6:$6, 0), FALSE),
            0
        ) +
        IFERROR(
            VLOOKUP($A54, INDIRECT("MayR!$A$6:$ZZ$1048576"), MATCH(Q$1, MayR!$6:$6, 0), FALSE),
            0
        ) +
        IFERROR(
            VLOOKUP($A54, INDIRECT("JunR!$A$6:$ZZ$1048576"), MATCH(Q$1, JunR!$6:$6, 0), FALSE),
            0
        ) +
        IFERROR(
            VLOOKUP($A54, INDIRECT("JulR!$A$6:$ZZ$1048576"), MATCH(Q$1, JulR!$6:$6, 0), FALSE),
            0
        ) +
        IFERROR(
            VLOOKUP($A54, INDIRECT("AgoR!$A$6:$ZZ$1048576"), MATCH(Q$1, AgoR!$6:$6, 0), FALSE),
            0
        ) +
        IFERROR(
            VLOOKUP($A54, INDIRECT("SepR!$A$6:$ZZ$1048576"), MATCH(Q$1, SepR!$6:$6, 0), FALSE),
            0
        ) +
        IFERROR(
            VLOOKUP($A54, INDIRECT("OctR!$A$6:$ZZ$1048576"), MATCH(Q$1, OctR!$6:$6, 0), FALSE),
            0
        ) +
        IFERROR(
            VLOOKUP($A54, INDIRECT("NovR!$A$6:$ZZ$1048576"), MATCH(Q$1, NovR!$6:$6, 0), FALSE),
            0
        ) +
        IFERROR(
            VLOOKUP($A54, INDIRECT("DicR!$A$6:$ZZ$1048576"), MATCH(Q$1, DicR!$6:$6, 0), FALSE),
            0
        )
)</f>
        <v>0</v>
      </c>
      <c r="R54" s="36">
        <f t="array" ref="R54">SUM(
    IFERROR(
            VLOOKUP($A54, INDIRECT("EneR!$A$6:$ZZ$1048576"), MATCH(R$1, EneR!$6:$6, 0), FALSE),
            0
        ) +
        IFERROR(
            VLOOKUP($A54, INDIRECT("FebR!$A$6:$ZZ$1048576"), MATCH(R$1, FebR!$6:$6, 0), FALSE),
            0
        ) +
        IFERROR(
            VLOOKUP($A54, INDIRECT("MarR!$A$6:$ZZ$1048576"), MATCH(R$1, MarR!$6:$6, 0), FALSE),
            0
        ) +
        IFERROR(
            VLOOKUP($A54, INDIRECT("AbrR!$A$6:$ZZ$1048576"), MATCH(R$1, AbrR!$6:$6, 0), FALSE),
            0
        ) +
        IFERROR(
            VLOOKUP($A54, INDIRECT("MayR!$A$6:$ZZ$1048576"), MATCH(R$1, MayR!$6:$6, 0), FALSE),
            0
        ) +
        IFERROR(
            VLOOKUP($A54, INDIRECT("JunR!$A$6:$ZZ$1048576"), MATCH(R$1, JunR!$6:$6, 0), FALSE),
            0
        ) +
        IFERROR(
            VLOOKUP($A54, INDIRECT("JulR!$A$6:$ZZ$1048576"), MATCH(R$1, JulR!$6:$6, 0), FALSE),
            0
        ) +
        IFERROR(
            VLOOKUP($A54, INDIRECT("AgoR!$A$6:$ZZ$1048576"), MATCH(R$1, AgoR!$6:$6, 0), FALSE),
            0
        ) +
        IFERROR(
            VLOOKUP($A54, INDIRECT("SepR!$A$6:$ZZ$1048576"), MATCH(R$1, SepR!$6:$6, 0), FALSE),
            0
        ) +
        IFERROR(
            VLOOKUP($A54, INDIRECT("OctR!$A$6:$ZZ$1048576"), MATCH(R$1, OctR!$6:$6, 0), FALSE),
            0
        ) +
        IFERROR(
            VLOOKUP($A54, INDIRECT("NovR!$A$6:$ZZ$1048576"), MATCH(R$1, NovR!$6:$6, 0), FALSE),
            0
        ) +
        IFERROR(
            VLOOKUP($A54, INDIRECT("DicR!$A$6:$ZZ$1048576"), MATCH(R$1, DicR!$6:$6, 0), FALSE),
            0
        )
)</f>
        <v>0</v>
      </c>
      <c r="S54" s="37">
        <f t="array" ref="S54">SUM(
    IFERROR(
            VLOOKUP($A54, INDIRECT("EneR!$A$6:$ZZ$1048576"), MATCH(S$1, EneR!$6:$6, 0), FALSE),
            0
        ) +
        IFERROR(
            VLOOKUP($A54, INDIRECT("FebR!$A$6:$ZZ$1048576"), MATCH(S$1, FebR!$6:$6, 0), FALSE),
            0
        ) +
        IFERROR(
            VLOOKUP($A54, INDIRECT("MarR!$A$6:$ZZ$1048576"), MATCH(S$1, MarR!$6:$6, 0), FALSE),
            0
        ) +
        IFERROR(
            VLOOKUP($A54, INDIRECT("AbrR!$A$6:$ZZ$1048576"), MATCH(S$1, AbrR!$6:$6, 0), FALSE),
            0
        ) +
        IFERROR(
            VLOOKUP($A54, INDIRECT("MayR!$A$6:$ZZ$1048576"), MATCH(S$1, MayR!$6:$6, 0), FALSE),
            0
        ) +
        IFERROR(
            VLOOKUP($A54, INDIRECT("JunR!$A$6:$ZZ$1048576"), MATCH(S$1, JunR!$6:$6, 0), FALSE),
            0
        ) +
        IFERROR(
            VLOOKUP($A54, INDIRECT("JulR!$A$6:$ZZ$1048576"), MATCH(S$1, JulR!$6:$6, 0), FALSE),
            0
        ) +
        IFERROR(
            VLOOKUP($A54, INDIRECT("AgoR!$A$6:$ZZ$1048576"), MATCH(S$1, AgoR!$6:$6, 0), FALSE),
            0
        ) +
        IFERROR(
            VLOOKUP($A54, INDIRECT("SepR!$A$6:$ZZ$1048576"), MATCH(S$1, SepR!$6:$6, 0), FALSE),
            0
        ) +
        IFERROR(
            VLOOKUP($A54, INDIRECT("OctR!$A$6:$ZZ$1048576"), MATCH(S$1, OctR!$6:$6, 0), FALSE),
            0
        ) +
        IFERROR(
            VLOOKUP($A54, INDIRECT("NovR!$A$6:$ZZ$1048576"), MATCH(S$1, NovR!$6:$6, 0), FALSE),
            0
        ) +
        IFERROR(
            VLOOKUP($A54, INDIRECT("DicR!$A$6:$ZZ$1048576"), MATCH(S$1, DicR!$6:$6, 0), FALSE),
            0
        )
)</f>
        <v>0</v>
      </c>
      <c r="T54" s="36">
        <f t="array" ref="T54">SUM(
    IFERROR(
            VLOOKUP($A54, INDIRECT("EneR!$A$6:$ZZ$1048576"), MATCH(T$1, EneR!$6:$6, 0), FALSE),
            0
        ) +
        IFERROR(
            VLOOKUP($A54, INDIRECT("FebR!$A$6:$ZZ$1048576"), MATCH(T$1, FebR!$6:$6, 0), FALSE),
            0
        ) +
        IFERROR(
            VLOOKUP($A54, INDIRECT("MarR!$A$6:$ZZ$1048576"), MATCH(T$1, MarR!$6:$6, 0), FALSE),
            0
        ) +
        IFERROR(
            VLOOKUP($A54, INDIRECT("AbrR!$A$6:$ZZ$1048576"), MATCH(T$1, AbrR!$6:$6, 0), FALSE),
            0
        ) +
        IFERROR(
            VLOOKUP($A54, INDIRECT("MayR!$A$6:$ZZ$1048576"), MATCH(T$1, MayR!$6:$6, 0), FALSE),
            0
        ) +
        IFERROR(
            VLOOKUP($A54, INDIRECT("JunR!$A$6:$ZZ$1048576"), MATCH(T$1, JunR!$6:$6, 0), FALSE),
            0
        ) +
        IFERROR(
            VLOOKUP($A54, INDIRECT("JulR!$A$6:$ZZ$1048576"), MATCH(T$1, JulR!$6:$6, 0), FALSE),
            0
        ) +
        IFERROR(
            VLOOKUP($A54, INDIRECT("AgoR!$A$6:$ZZ$1048576"), MATCH(T$1, AgoR!$6:$6, 0), FALSE),
            0
        ) +
        IFERROR(
            VLOOKUP($A54, INDIRECT("SepR!$A$6:$ZZ$1048576"), MATCH(T$1, SepR!$6:$6, 0), FALSE),
            0
        ) +
        IFERROR(
            VLOOKUP($A54, INDIRECT("OctR!$A$6:$ZZ$1048576"), MATCH(T$1, OctR!$6:$6, 0), FALSE),
            0
        ) +
        IFERROR(
            VLOOKUP($A54, INDIRECT("NovR!$A$6:$ZZ$1048576"), MATCH(T$1, NovR!$6:$6, 0), FALSE),
            0
        ) +
        IFERROR(
            VLOOKUP($A54, INDIRECT("DicR!$A$6:$ZZ$1048576"), MATCH(T$1, DicR!$6:$6, 0), FALSE),
            0
        )
)</f>
        <v>0</v>
      </c>
      <c r="U54" s="37">
        <f t="array" ref="U54">SUM(
    IFERROR(
            VLOOKUP($A54, INDIRECT("EneR!$A$6:$ZZ$1048576"), MATCH(U$1, EneR!$6:$6, 0), FALSE),
            0
        ) +
        IFERROR(
            VLOOKUP($A54, INDIRECT("FebR!$A$6:$ZZ$1048576"), MATCH(U$1, FebR!$6:$6, 0), FALSE),
            0
        ) +
        IFERROR(
            VLOOKUP($A54, INDIRECT("MarR!$A$6:$ZZ$1048576"), MATCH(U$1, MarR!$6:$6, 0), FALSE),
            0
        ) +
        IFERROR(
            VLOOKUP($A54, INDIRECT("AbrR!$A$6:$ZZ$1048576"), MATCH(U$1, AbrR!$6:$6, 0), FALSE),
            0
        ) +
        IFERROR(
            VLOOKUP($A54, INDIRECT("MayR!$A$6:$ZZ$1048576"), MATCH(U$1, MayR!$6:$6, 0), FALSE),
            0
        ) +
        IFERROR(
            VLOOKUP($A54, INDIRECT("JunR!$A$6:$ZZ$1048576"), MATCH(U$1, JunR!$6:$6, 0), FALSE),
            0
        ) +
        IFERROR(
            VLOOKUP($A54, INDIRECT("JulR!$A$6:$ZZ$1048576"), MATCH(U$1, JulR!$6:$6, 0), FALSE),
            0
        ) +
        IFERROR(
            VLOOKUP($A54, INDIRECT("AgoR!$A$6:$ZZ$1048576"), MATCH(U$1, AgoR!$6:$6, 0), FALSE),
            0
        ) +
        IFERROR(
            VLOOKUP($A54, INDIRECT("SepR!$A$6:$ZZ$1048576"), MATCH(U$1, SepR!$6:$6, 0), FALSE),
            0
        ) +
        IFERROR(
            VLOOKUP($A54, INDIRECT("OctR!$A$6:$ZZ$1048576"), MATCH(U$1, OctR!$6:$6, 0), FALSE),
            0
        ) +
        IFERROR(
            VLOOKUP($A54, INDIRECT("NovR!$A$6:$ZZ$1048576"), MATCH(U$1, NovR!$6:$6, 0), FALSE),
            0
        ) +
        IFERROR(
            VLOOKUP($A54, INDIRECT("DicR!$A$6:$ZZ$1048576"), MATCH(U$1, DicR!$6:$6, 0), FALSE),
            0
        )
)</f>
        <v>0</v>
      </c>
      <c r="V54" s="36">
        <f t="array" ref="V54">SUM(
    IFERROR(
            VLOOKUP($A54, INDIRECT("EneR!$A$6:$ZZ$1048576"), MATCH(V$1, EneR!$6:$6, 0), FALSE),
            0
        ) +
        IFERROR(
            VLOOKUP($A54, INDIRECT("FebR!$A$6:$ZZ$1048576"), MATCH(V$1, FebR!$6:$6, 0), FALSE),
            0
        ) +
        IFERROR(
            VLOOKUP($A54, INDIRECT("MarR!$A$6:$ZZ$1048576"), MATCH(V$1, MarR!$6:$6, 0), FALSE),
            0
        ) +
        IFERROR(
            VLOOKUP($A54, INDIRECT("AbrR!$A$6:$ZZ$1048576"), MATCH(V$1, AbrR!$6:$6, 0), FALSE),
            0
        ) +
        IFERROR(
            VLOOKUP($A54, INDIRECT("MayR!$A$6:$ZZ$1048576"), MATCH(V$1, MayR!$6:$6, 0), FALSE),
            0
        ) +
        IFERROR(
            VLOOKUP($A54, INDIRECT("JunR!$A$6:$ZZ$1048576"), MATCH(V$1, JunR!$6:$6, 0), FALSE),
            0
        ) +
        IFERROR(
            VLOOKUP($A54, INDIRECT("JulR!$A$6:$ZZ$1048576"), MATCH(V$1, JulR!$6:$6, 0), FALSE),
            0
        ) +
        IFERROR(
            VLOOKUP($A54, INDIRECT("AgoR!$A$6:$ZZ$1048576"), MATCH(V$1, AgoR!$6:$6, 0), FALSE),
            0
        ) +
        IFERROR(
            VLOOKUP($A54, INDIRECT("SepR!$A$6:$ZZ$1048576"), MATCH(V$1, SepR!$6:$6, 0), FALSE),
            0
        ) +
        IFERROR(
            VLOOKUP($A54, INDIRECT("OctR!$A$6:$ZZ$1048576"), MATCH(V$1, OctR!$6:$6, 0), FALSE),
            0
        ) +
        IFERROR(
            VLOOKUP($A54, INDIRECT("NovR!$A$6:$ZZ$1048576"), MATCH(V$1, NovR!$6:$6, 0), FALSE),
            0
        ) +
        IFERROR(
            VLOOKUP($A54, INDIRECT("DicR!$A$6:$ZZ$1048576"), MATCH(V$1, DicR!$6:$6, 0), FALSE),
            0
        )
)</f>
        <v>0</v>
      </c>
      <c r="W54" s="37">
        <f t="array" ref="W54">SUM(
    IFERROR(
            VLOOKUP($A54, INDIRECT("EneR!$A$6:$ZZ$1048576"), MATCH(W$1, EneR!$6:$6, 0), FALSE),
            0
        ) +
        IFERROR(
            VLOOKUP($A54, INDIRECT("FebR!$A$6:$ZZ$1048576"), MATCH(W$1, FebR!$6:$6, 0), FALSE),
            0
        ) +
        IFERROR(
            VLOOKUP($A54, INDIRECT("MarR!$A$6:$ZZ$1048576"), MATCH(W$1, MarR!$6:$6, 0), FALSE),
            0
        ) +
        IFERROR(
            VLOOKUP($A54, INDIRECT("AbrR!$A$6:$ZZ$1048576"), MATCH(W$1, AbrR!$6:$6, 0), FALSE),
            0
        ) +
        IFERROR(
            VLOOKUP($A54, INDIRECT("MayR!$A$6:$ZZ$1048576"), MATCH(W$1, MayR!$6:$6, 0), FALSE),
            0
        ) +
        IFERROR(
            VLOOKUP($A54, INDIRECT("JunR!$A$6:$ZZ$1048576"), MATCH(W$1, JunR!$6:$6, 0), FALSE),
            0
        ) +
        IFERROR(
            VLOOKUP($A54, INDIRECT("JulR!$A$6:$ZZ$1048576"), MATCH(W$1, JulR!$6:$6, 0), FALSE),
            0
        ) +
        IFERROR(
            VLOOKUP($A54, INDIRECT("AgoR!$A$6:$ZZ$1048576"), MATCH(W$1, AgoR!$6:$6, 0), FALSE),
            0
        ) +
        IFERROR(
            VLOOKUP($A54, INDIRECT("SepR!$A$6:$ZZ$1048576"), MATCH(W$1, SepR!$6:$6, 0), FALSE),
            0
        ) +
        IFERROR(
            VLOOKUP($A54, INDIRECT("OctR!$A$6:$ZZ$1048576"), MATCH(W$1, OctR!$6:$6, 0), FALSE),
            0
        ) +
        IFERROR(
            VLOOKUP($A54, INDIRECT("NovR!$A$6:$ZZ$1048576"), MATCH(W$1, NovR!$6:$6, 0), FALSE),
            0
        ) +
        IFERROR(
            VLOOKUP($A54, INDIRECT("DicR!$A$6:$ZZ$1048576"), MATCH(W$1, DicR!$6:$6, 0), FALSE),
            0
        )
)</f>
        <v>0</v>
      </c>
      <c r="X54" s="36">
        <f t="array" ref="X54">SUM(
    IFERROR(
            VLOOKUP($A54, INDIRECT("EneR!$A$6:$ZZ$1048576"), MATCH(X$1, EneR!$6:$6, 0), FALSE),
            0
        ) +
        IFERROR(
            VLOOKUP($A54, INDIRECT("FebR!$A$6:$ZZ$1048576"), MATCH(X$1, FebR!$6:$6, 0), FALSE),
            0
        ) +
        IFERROR(
            VLOOKUP($A54, INDIRECT("MarR!$A$6:$ZZ$1048576"), MATCH(X$1, MarR!$6:$6, 0), FALSE),
            0
        ) +
        IFERROR(
            VLOOKUP($A54, INDIRECT("AbrR!$A$6:$ZZ$1048576"), MATCH(X$1, AbrR!$6:$6, 0), FALSE),
            0
        ) +
        IFERROR(
            VLOOKUP($A54, INDIRECT("MayR!$A$6:$ZZ$1048576"), MATCH(X$1, MayR!$6:$6, 0), FALSE),
            0
        ) +
        IFERROR(
            VLOOKUP($A54, INDIRECT("JunR!$A$6:$ZZ$1048576"), MATCH(X$1, JunR!$6:$6, 0), FALSE),
            0
        ) +
        IFERROR(
            VLOOKUP($A54, INDIRECT("JulR!$A$6:$ZZ$1048576"), MATCH(X$1, JulR!$6:$6, 0), FALSE),
            0
        ) +
        IFERROR(
            VLOOKUP($A54, INDIRECT("AgoR!$A$6:$ZZ$1048576"), MATCH(X$1, AgoR!$6:$6, 0), FALSE),
            0
        ) +
        IFERROR(
            VLOOKUP($A54, INDIRECT("SepR!$A$6:$ZZ$1048576"), MATCH(X$1, SepR!$6:$6, 0), FALSE),
            0
        ) +
        IFERROR(
            VLOOKUP($A54, INDIRECT("OctR!$A$6:$ZZ$1048576"), MATCH(X$1, OctR!$6:$6, 0), FALSE),
            0
        ) +
        IFERROR(
            VLOOKUP($A54, INDIRECT("NovR!$A$6:$ZZ$1048576"), MATCH(X$1, NovR!$6:$6, 0), FALSE),
            0
        ) +
        IFERROR(
            VLOOKUP($A54, INDIRECT("DicR!$A$6:$ZZ$1048576"), MATCH(X$1, DicR!$6:$6, 0), FALSE),
            0
        )
)</f>
        <v>0</v>
      </c>
      <c r="Y54" s="37">
        <f t="array" ref="Y54">SUM(
    IFERROR(
            VLOOKUP($A54, INDIRECT("EneR!$A$6:$ZZ$1048576"), MATCH(Y$1, EneR!$6:$6, 0), FALSE),
            0
        ) +
        IFERROR(
            VLOOKUP($A54, INDIRECT("FebR!$A$6:$ZZ$1048576"), MATCH(Y$1, FebR!$6:$6, 0), FALSE),
            0
        ) +
        IFERROR(
            VLOOKUP($A54, INDIRECT("MarR!$A$6:$ZZ$1048576"), MATCH(Y$1, MarR!$6:$6, 0), FALSE),
            0
        ) +
        IFERROR(
            VLOOKUP($A54, INDIRECT("AbrR!$A$6:$ZZ$1048576"), MATCH(Y$1, AbrR!$6:$6, 0), FALSE),
            0
        ) +
        IFERROR(
            VLOOKUP($A54, INDIRECT("MayR!$A$6:$ZZ$1048576"), MATCH(Y$1, MayR!$6:$6, 0), FALSE),
            0
        ) +
        IFERROR(
            VLOOKUP($A54, INDIRECT("JunR!$A$6:$ZZ$1048576"), MATCH(Y$1, JunR!$6:$6, 0), FALSE),
            0
        ) +
        IFERROR(
            VLOOKUP($A54, INDIRECT("JulR!$A$6:$ZZ$1048576"), MATCH(Y$1, JulR!$6:$6, 0), FALSE),
            0
        ) +
        IFERROR(
            VLOOKUP($A54, INDIRECT("AgoR!$A$6:$ZZ$1048576"), MATCH(Y$1, AgoR!$6:$6, 0), FALSE),
            0
        ) +
        IFERROR(
            VLOOKUP($A54, INDIRECT("SepR!$A$6:$ZZ$1048576"), MATCH(Y$1, SepR!$6:$6, 0), FALSE),
            0
        ) +
        IFERROR(
            VLOOKUP($A54, INDIRECT("OctR!$A$6:$ZZ$1048576"), MATCH(Y$1, OctR!$6:$6, 0), FALSE),
            0
        ) +
        IFERROR(
            VLOOKUP($A54, INDIRECT("NovR!$A$6:$ZZ$1048576"), MATCH(Y$1, NovR!$6:$6, 0), FALSE),
            0
        ) +
        IFERROR(
            VLOOKUP($A54, INDIRECT("DicR!$A$6:$ZZ$1048576"), MATCH(Y$1, DicR!$6:$6, 0), FALSE),
            0
        )
)</f>
        <v>0</v>
      </c>
      <c r="Z54" s="36">
        <f t="array" ref="Z54">SUM(
    IFERROR(
            VLOOKUP($A54, INDIRECT("EneR!$A$6:$ZZ$1048576"), MATCH(Z$1, EneR!$6:$6, 0), FALSE),
            0
        ) +
        IFERROR(
            VLOOKUP($A54, INDIRECT("FebR!$A$6:$ZZ$1048576"), MATCH(Z$1, FebR!$6:$6, 0), FALSE),
            0
        ) +
        IFERROR(
            VLOOKUP($A54, INDIRECT("MarR!$A$6:$ZZ$1048576"), MATCH(Z$1, MarR!$6:$6, 0), FALSE),
            0
        ) +
        IFERROR(
            VLOOKUP($A54, INDIRECT("AbrR!$A$6:$ZZ$1048576"), MATCH(Z$1, AbrR!$6:$6, 0), FALSE),
            0
        ) +
        IFERROR(
            VLOOKUP($A54, INDIRECT("MayR!$A$6:$ZZ$1048576"), MATCH(Z$1, MayR!$6:$6, 0), FALSE),
            0
        ) +
        IFERROR(
            VLOOKUP($A54, INDIRECT("JunR!$A$6:$ZZ$1048576"), MATCH(Z$1, JunR!$6:$6, 0), FALSE),
            0
        ) +
        IFERROR(
            VLOOKUP($A54, INDIRECT("JulR!$A$6:$ZZ$1048576"), MATCH(Z$1, JulR!$6:$6, 0), FALSE),
            0
        ) +
        IFERROR(
            VLOOKUP($A54, INDIRECT("AgoR!$A$6:$ZZ$1048576"), MATCH(Z$1, AgoR!$6:$6, 0), FALSE),
            0
        ) +
        IFERROR(
            VLOOKUP($A54, INDIRECT("SepR!$A$6:$ZZ$1048576"), MATCH(Z$1, SepR!$6:$6, 0), FALSE),
            0
        ) +
        IFERROR(
            VLOOKUP($A54, INDIRECT("OctR!$A$6:$ZZ$1048576"), MATCH(Z$1, OctR!$6:$6, 0), FALSE),
            0
        ) +
        IFERROR(
            VLOOKUP($A54, INDIRECT("NovR!$A$6:$ZZ$1048576"), MATCH(Z$1, NovR!$6:$6, 0), FALSE),
            0
        ) +
        IFERROR(
            VLOOKUP($A54, INDIRECT("DicR!$A$6:$ZZ$1048576"), MATCH(Z$1, DicR!$6:$6, 0), FALSE),
            0
        )
)</f>
        <v>0</v>
      </c>
      <c r="AA54" s="37">
        <f t="array" ref="AA54">SUM(
    IFERROR(
            VLOOKUP($A54, INDIRECT("EneR!$A$6:$ZZ$1048576"), MATCH(AA$1, EneR!$6:$6, 0), FALSE),
            0
        ) +
        IFERROR(
            VLOOKUP($A54, INDIRECT("FebR!$A$6:$ZZ$1048576"), MATCH(AA$1, FebR!$6:$6, 0), FALSE),
            0
        ) +
        IFERROR(
            VLOOKUP($A54, INDIRECT("MarR!$A$6:$ZZ$1048576"), MATCH(AA$1, MarR!$6:$6, 0), FALSE),
            0
        ) +
        IFERROR(
            VLOOKUP($A54, INDIRECT("AbrR!$A$6:$ZZ$1048576"), MATCH(AA$1, AbrR!$6:$6, 0), FALSE),
            0
        ) +
        IFERROR(
            VLOOKUP($A54, INDIRECT("MayR!$A$6:$ZZ$1048576"), MATCH(AA$1, MayR!$6:$6, 0), FALSE),
            0
        ) +
        IFERROR(
            VLOOKUP($A54, INDIRECT("JunR!$A$6:$ZZ$1048576"), MATCH(AA$1, JunR!$6:$6, 0), FALSE),
            0
        ) +
        IFERROR(
            VLOOKUP($A54, INDIRECT("JulR!$A$6:$ZZ$1048576"), MATCH(AA$1, JulR!$6:$6, 0), FALSE),
            0
        ) +
        IFERROR(
            VLOOKUP($A54, INDIRECT("AgoR!$A$6:$ZZ$1048576"), MATCH(AA$1, AgoR!$6:$6, 0), FALSE),
            0
        ) +
        IFERROR(
            VLOOKUP($A54, INDIRECT("SepR!$A$6:$ZZ$1048576"), MATCH(AA$1, SepR!$6:$6, 0), FALSE),
            0
        ) +
        IFERROR(
            VLOOKUP($A54, INDIRECT("OctR!$A$6:$ZZ$1048576"), MATCH(AA$1, OctR!$6:$6, 0), FALSE),
            0
        ) +
        IFERROR(
            VLOOKUP($A54, INDIRECT("NovR!$A$6:$ZZ$1048576"), MATCH(AA$1, NovR!$6:$6, 0), FALSE),
            0
        ) +
        IFERROR(
            VLOOKUP($A54, INDIRECT("DicR!$A$6:$ZZ$1048576"), MATCH(AA$1, DicR!$6:$6, 0), FALSE),
            0
        )
)</f>
        <v>0</v>
      </c>
      <c r="AB54" s="36">
        <f t="array" ref="AB54">SUM(
    IFERROR(
            VLOOKUP($A54, INDIRECT("EneR!$A$6:$ZZ$1048576"), MATCH(AB$1, EneR!$6:$6, 0), FALSE),
            0
        ) +
        IFERROR(
            VLOOKUP($A54, INDIRECT("FebR!$A$6:$ZZ$1048576"), MATCH(AB$1, FebR!$6:$6, 0), FALSE),
            0
        ) +
        IFERROR(
            VLOOKUP($A54, INDIRECT("MarR!$A$6:$ZZ$1048576"), MATCH(AB$1, MarR!$6:$6, 0), FALSE),
            0
        ) +
        IFERROR(
            VLOOKUP($A54, INDIRECT("AbrR!$A$6:$ZZ$1048576"), MATCH(AB$1, AbrR!$6:$6, 0), FALSE),
            0
        ) +
        IFERROR(
            VLOOKUP($A54, INDIRECT("MayR!$A$6:$ZZ$1048576"), MATCH(AB$1, MayR!$6:$6, 0), FALSE),
            0
        ) +
        IFERROR(
            VLOOKUP($A54, INDIRECT("JunR!$A$6:$ZZ$1048576"), MATCH(AB$1, JunR!$6:$6, 0), FALSE),
            0
        ) +
        IFERROR(
            VLOOKUP($A54, INDIRECT("JulR!$A$6:$ZZ$1048576"), MATCH(AB$1, JulR!$6:$6, 0), FALSE),
            0
        ) +
        IFERROR(
            VLOOKUP($A54, INDIRECT("AgoR!$A$6:$ZZ$1048576"), MATCH(AB$1, AgoR!$6:$6, 0), FALSE),
            0
        ) +
        IFERROR(
            VLOOKUP($A54, INDIRECT("SepR!$A$6:$ZZ$1048576"), MATCH(AB$1, SepR!$6:$6, 0), FALSE),
            0
        ) +
        IFERROR(
            VLOOKUP($A54, INDIRECT("OctR!$A$6:$ZZ$1048576"), MATCH(AB$1, OctR!$6:$6, 0), FALSE),
            0
        ) +
        IFERROR(
            VLOOKUP($A54, INDIRECT("NovR!$A$6:$ZZ$1048576"), MATCH(AB$1, NovR!$6:$6, 0), FALSE),
            0
        ) +
        IFERROR(
            VLOOKUP($A54, INDIRECT("DicR!$A$6:$ZZ$1048576"), MATCH(AB$1, DicR!$6:$6, 0), FALSE),
            0
        )
)</f>
        <v>0</v>
      </c>
      <c r="AC54" s="37">
        <f t="array" ref="AC54">SUM(
    IFERROR(
            VLOOKUP($A54, INDIRECT("EneR!$A$6:$ZZ$1048576"), MATCH(AC$1, EneR!$6:$6, 0), FALSE),
            0
        ) +
        IFERROR(
            VLOOKUP($A54, INDIRECT("FebR!$A$6:$ZZ$1048576"), MATCH(AC$1, FebR!$6:$6, 0), FALSE),
            0
        ) +
        IFERROR(
            VLOOKUP($A54, INDIRECT("MarR!$A$6:$ZZ$1048576"), MATCH(AC$1, MarR!$6:$6, 0), FALSE),
            0
        ) +
        IFERROR(
            VLOOKUP($A54, INDIRECT("AbrR!$A$6:$ZZ$1048576"), MATCH(AC$1, AbrR!$6:$6, 0), FALSE),
            0
        ) +
        IFERROR(
            VLOOKUP($A54, INDIRECT("MayR!$A$6:$ZZ$1048576"), MATCH(AC$1, MayR!$6:$6, 0), FALSE),
            0
        ) +
        IFERROR(
            VLOOKUP($A54, INDIRECT("JunR!$A$6:$ZZ$1048576"), MATCH(AC$1, JunR!$6:$6, 0), FALSE),
            0
        ) +
        IFERROR(
            VLOOKUP($A54, INDIRECT("JulR!$A$6:$ZZ$1048576"), MATCH(AC$1, JulR!$6:$6, 0), FALSE),
            0
        ) +
        IFERROR(
            VLOOKUP($A54, INDIRECT("AgoR!$A$6:$ZZ$1048576"), MATCH(AC$1, AgoR!$6:$6, 0), FALSE),
            0
        ) +
        IFERROR(
            VLOOKUP($A54, INDIRECT("SepR!$A$6:$ZZ$1048576"), MATCH(AC$1, SepR!$6:$6, 0), FALSE),
            0
        ) +
        IFERROR(
            VLOOKUP($A54, INDIRECT("OctR!$A$6:$ZZ$1048576"), MATCH(AC$1, OctR!$6:$6, 0), FALSE),
            0
        ) +
        IFERROR(
            VLOOKUP($A54, INDIRECT("NovR!$A$6:$ZZ$1048576"), MATCH(AC$1, NovR!$6:$6, 0), FALSE),
            0
        ) +
        IFERROR(
            VLOOKUP($A54, INDIRECT("DicR!$A$6:$ZZ$1048576"), MATCH(AC$1, DicR!$6:$6, 0), FALSE),
            0
        )
)</f>
        <v>0</v>
      </c>
      <c r="AD54" s="36">
        <f t="array" ref="AD54">SUM(
    IFERROR(
            VLOOKUP($A54, INDIRECT("EneR!$A$6:$ZZ$1048576"), MATCH(AD$1, EneR!$6:$6, 0), FALSE),
            0
        ) +
        IFERROR(
            VLOOKUP($A54, INDIRECT("FebR!$A$6:$ZZ$1048576"), MATCH(AD$1, FebR!$6:$6, 0), FALSE),
            0
        ) +
        IFERROR(
            VLOOKUP($A54, INDIRECT("MarR!$A$6:$ZZ$1048576"), MATCH(AD$1, MarR!$6:$6, 0), FALSE),
            0
        ) +
        IFERROR(
            VLOOKUP($A54, INDIRECT("AbrR!$A$6:$ZZ$1048576"), MATCH(AD$1, AbrR!$6:$6, 0), FALSE),
            0
        ) +
        IFERROR(
            VLOOKUP($A54, INDIRECT("MayR!$A$6:$ZZ$1048576"), MATCH(AD$1, MayR!$6:$6, 0), FALSE),
            0
        ) +
        IFERROR(
            VLOOKUP($A54, INDIRECT("JunR!$A$6:$ZZ$1048576"), MATCH(AD$1, JunR!$6:$6, 0), FALSE),
            0
        ) +
        IFERROR(
            VLOOKUP($A54, INDIRECT("JulR!$A$6:$ZZ$1048576"), MATCH(AD$1, JulR!$6:$6, 0), FALSE),
            0
        ) +
        IFERROR(
            VLOOKUP($A54, INDIRECT("AgoR!$A$6:$ZZ$1048576"), MATCH(AD$1, AgoR!$6:$6, 0), FALSE),
            0
        ) +
        IFERROR(
            VLOOKUP($A54, INDIRECT("SepR!$A$6:$ZZ$1048576"), MATCH(AD$1, SepR!$6:$6, 0), FALSE),
            0
        ) +
        IFERROR(
            VLOOKUP($A54, INDIRECT("OctR!$A$6:$ZZ$1048576"), MATCH(AD$1, OctR!$6:$6, 0), FALSE),
            0
        ) +
        IFERROR(
            VLOOKUP($A54, INDIRECT("NovR!$A$6:$ZZ$1048576"), MATCH(AD$1, NovR!$6:$6, 0), FALSE),
            0
        ) +
        IFERROR(
            VLOOKUP($A54, INDIRECT("DicR!$A$6:$ZZ$1048576"), MATCH(AD$1, DicR!$6:$6, 0), FALSE),
            0
        )
)</f>
        <v>0</v>
      </c>
      <c r="AE54" s="37">
        <f t="array" ref="AE54">SUM(
    IFERROR(
            VLOOKUP($A54, INDIRECT("EneR!$A$6:$ZZ$1048576"), MATCH(AE$1, EneR!$6:$6, 0), FALSE),
            0
        ) +
        IFERROR(
            VLOOKUP($A54, INDIRECT("FebR!$A$6:$ZZ$1048576"), MATCH(AE$1, FebR!$6:$6, 0), FALSE),
            0
        ) +
        IFERROR(
            VLOOKUP($A54, INDIRECT("MarR!$A$6:$ZZ$1048576"), MATCH(AE$1, MarR!$6:$6, 0), FALSE),
            0
        ) +
        IFERROR(
            VLOOKUP($A54, INDIRECT("AbrR!$A$6:$ZZ$1048576"), MATCH(AE$1, AbrR!$6:$6, 0), FALSE),
            0
        ) +
        IFERROR(
            VLOOKUP($A54, INDIRECT("MayR!$A$6:$ZZ$1048576"), MATCH(AE$1, MayR!$6:$6, 0), FALSE),
            0
        ) +
        IFERROR(
            VLOOKUP($A54, INDIRECT("JunR!$A$6:$ZZ$1048576"), MATCH(AE$1, JunR!$6:$6, 0), FALSE),
            0
        ) +
        IFERROR(
            VLOOKUP($A54, INDIRECT("JulR!$A$6:$ZZ$1048576"), MATCH(AE$1, JulR!$6:$6, 0), FALSE),
            0
        ) +
        IFERROR(
            VLOOKUP($A54, INDIRECT("AgoR!$A$6:$ZZ$1048576"), MATCH(AE$1, AgoR!$6:$6, 0), FALSE),
            0
        ) +
        IFERROR(
            VLOOKUP($A54, INDIRECT("SepR!$A$6:$ZZ$1048576"), MATCH(AE$1, SepR!$6:$6, 0), FALSE),
            0
        ) +
        IFERROR(
            VLOOKUP($A54, INDIRECT("OctR!$A$6:$ZZ$1048576"), MATCH(AE$1, OctR!$6:$6, 0), FALSE),
            0
        ) +
        IFERROR(
            VLOOKUP($A54, INDIRECT("NovR!$A$6:$ZZ$1048576"), MATCH(AE$1, NovR!$6:$6, 0), FALSE),
            0
        ) +
        IFERROR(
            VLOOKUP($A54, INDIRECT("DicR!$A$6:$ZZ$1048576"), MATCH(AE$1, DicR!$6:$6, 0), FALSE),
            0
        )
)</f>
        <v>0</v>
      </c>
      <c r="AF54" s="36">
        <f t="array" ref="AF54">SUM(
    IFERROR(
            VLOOKUP($A54, INDIRECT("EneR!$A$6:$ZZ$1048576"), MATCH(AF$1, EneR!$6:$6, 0), FALSE),
            0
        ) +
        IFERROR(
            VLOOKUP($A54, INDIRECT("FebR!$A$6:$ZZ$1048576"), MATCH(AF$1, FebR!$6:$6, 0), FALSE),
            0
        ) +
        IFERROR(
            VLOOKUP($A54, INDIRECT("MarR!$A$6:$ZZ$1048576"), MATCH(AF$1, MarR!$6:$6, 0), FALSE),
            0
        ) +
        IFERROR(
            VLOOKUP($A54, INDIRECT("AbrR!$A$6:$ZZ$1048576"), MATCH(AF$1, AbrR!$6:$6, 0), FALSE),
            0
        ) +
        IFERROR(
            VLOOKUP($A54, INDIRECT("MayR!$A$6:$ZZ$1048576"), MATCH(AF$1, MayR!$6:$6, 0), FALSE),
            0
        ) +
        IFERROR(
            VLOOKUP($A54, INDIRECT("JunR!$A$6:$ZZ$1048576"), MATCH(AF$1, JunR!$6:$6, 0), FALSE),
            0
        ) +
        IFERROR(
            VLOOKUP($A54, INDIRECT("JulR!$A$6:$ZZ$1048576"), MATCH(AF$1, JulR!$6:$6, 0), FALSE),
            0
        ) +
        IFERROR(
            VLOOKUP($A54, INDIRECT("AgoR!$A$6:$ZZ$1048576"), MATCH(AF$1, AgoR!$6:$6, 0), FALSE),
            0
        ) +
        IFERROR(
            VLOOKUP($A54, INDIRECT("SepR!$A$6:$ZZ$1048576"), MATCH(AF$1, SepR!$6:$6, 0), FALSE),
            0
        ) +
        IFERROR(
            VLOOKUP($A54, INDIRECT("OctR!$A$6:$ZZ$1048576"), MATCH(AF$1, OctR!$6:$6, 0), FALSE),
            0
        ) +
        IFERROR(
            VLOOKUP($A54, INDIRECT("NovR!$A$6:$ZZ$1048576"), MATCH(AF$1, NovR!$6:$6, 0), FALSE),
            0
        ) +
        IFERROR(
            VLOOKUP($A54, INDIRECT("DicR!$A$6:$ZZ$1048576"), MATCH(AF$1, DicR!$6:$6, 0), FALSE),
            0
        )
)</f>
        <v>0</v>
      </c>
      <c r="AG54" s="37">
        <f t="array" ref="AG54">SUM(
    IFERROR(
            VLOOKUP($A54, INDIRECT("EneR!$A$6:$ZZ$1048576"), MATCH(AG$1, EneR!$6:$6, 0), FALSE),
            0
        ) +
        IFERROR(
            VLOOKUP($A54, INDIRECT("FebR!$A$6:$ZZ$1048576"), MATCH(AG$1, FebR!$6:$6, 0), FALSE),
            0
        ) +
        IFERROR(
            VLOOKUP($A54, INDIRECT("MarR!$A$6:$ZZ$1048576"), MATCH(AG$1, MarR!$6:$6, 0), FALSE),
            0
        ) +
        IFERROR(
            VLOOKUP($A54, INDIRECT("AbrR!$A$6:$ZZ$1048576"), MATCH(AG$1, AbrR!$6:$6, 0), FALSE),
            0
        ) +
        IFERROR(
            VLOOKUP($A54, INDIRECT("MayR!$A$6:$ZZ$1048576"), MATCH(AG$1, MayR!$6:$6, 0), FALSE),
            0
        ) +
        IFERROR(
            VLOOKUP($A54, INDIRECT("JunR!$A$6:$ZZ$1048576"), MATCH(AG$1, JunR!$6:$6, 0), FALSE),
            0
        ) +
        IFERROR(
            VLOOKUP($A54, INDIRECT("JulR!$A$6:$ZZ$1048576"), MATCH(AG$1, JulR!$6:$6, 0), FALSE),
            0
        ) +
        IFERROR(
            VLOOKUP($A54, INDIRECT("AgoR!$A$6:$ZZ$1048576"), MATCH(AG$1, AgoR!$6:$6, 0), FALSE),
            0
        ) +
        IFERROR(
            VLOOKUP($A54, INDIRECT("SepR!$A$6:$ZZ$1048576"), MATCH(AG$1, SepR!$6:$6, 0), FALSE),
            0
        ) +
        IFERROR(
            VLOOKUP($A54, INDIRECT("OctR!$A$6:$ZZ$1048576"), MATCH(AG$1, OctR!$6:$6, 0), FALSE),
            0
        ) +
        IFERROR(
            VLOOKUP($A54, INDIRECT("NovR!$A$6:$ZZ$1048576"), MATCH(AG$1, NovR!$6:$6, 0), FALSE),
            0
        ) +
        IFERROR(
            VLOOKUP($A54, INDIRECT("DicR!$A$6:$ZZ$1048576"), MATCH(AG$1, DicR!$6:$6, 0), FALSE),
            0
        )
)</f>
        <v>0</v>
      </c>
      <c r="AH54" s="36">
        <f t="array" ref="AH54">SUM(
    IFERROR(
            VLOOKUP($A54, INDIRECT("EneR!$A$6:$ZZ$1048576"), MATCH(AH$1, EneR!$6:$6, 0), FALSE),
            0
        ) +
        IFERROR(
            VLOOKUP($A54, INDIRECT("FebR!$A$6:$ZZ$1048576"), MATCH(AH$1, FebR!$6:$6, 0), FALSE),
            0
        ) +
        IFERROR(
            VLOOKUP($A54, INDIRECT("MarR!$A$6:$ZZ$1048576"), MATCH(AH$1, MarR!$6:$6, 0), FALSE),
            0
        ) +
        IFERROR(
            VLOOKUP($A54, INDIRECT("AbrR!$A$6:$ZZ$1048576"), MATCH(AH$1, AbrR!$6:$6, 0), FALSE),
            0
        ) +
        IFERROR(
            VLOOKUP($A54, INDIRECT("MayR!$A$6:$ZZ$1048576"), MATCH(AH$1, MayR!$6:$6, 0), FALSE),
            0
        ) +
        IFERROR(
            VLOOKUP($A54, INDIRECT("JunR!$A$6:$ZZ$1048576"), MATCH(AH$1, JunR!$6:$6, 0), FALSE),
            0
        ) +
        IFERROR(
            VLOOKUP($A54, INDIRECT("JulR!$A$6:$ZZ$1048576"), MATCH(AH$1, JulR!$6:$6, 0), FALSE),
            0
        ) +
        IFERROR(
            VLOOKUP($A54, INDIRECT("AgoR!$A$6:$ZZ$1048576"), MATCH(AH$1, AgoR!$6:$6, 0), FALSE),
            0
        ) +
        IFERROR(
            VLOOKUP($A54, INDIRECT("SepR!$A$6:$ZZ$1048576"), MATCH(AH$1, SepR!$6:$6, 0), FALSE),
            0
        ) +
        IFERROR(
            VLOOKUP($A54, INDIRECT("OctR!$A$6:$ZZ$1048576"), MATCH(AH$1, OctR!$6:$6, 0), FALSE),
            0
        ) +
        IFERROR(
            VLOOKUP($A54, INDIRECT("NovR!$A$6:$ZZ$1048576"), MATCH(AH$1, NovR!$6:$6, 0), FALSE),
            0
        ) +
        IFERROR(
            VLOOKUP($A54, INDIRECT("DicR!$A$6:$ZZ$1048576"), MATCH(AH$1, DicR!$6:$6, 0), FALSE),
            0
        )
)</f>
        <v>0</v>
      </c>
      <c r="AI54" s="37">
        <f t="array" ref="AI54">SUM(
    IFERROR(
            VLOOKUP($A54, INDIRECT("EneR!$A$6:$ZZ$1048576"), MATCH(AI$1, EneR!$6:$6, 0), FALSE),
            0
        ) +
        IFERROR(
            VLOOKUP($A54, INDIRECT("FebR!$A$6:$ZZ$1048576"), MATCH(AI$1, FebR!$6:$6, 0), FALSE),
            0
        ) +
        IFERROR(
            VLOOKUP($A54, INDIRECT("MarR!$A$6:$ZZ$1048576"), MATCH(AI$1, MarR!$6:$6, 0), FALSE),
            0
        ) +
        IFERROR(
            VLOOKUP($A54, INDIRECT("AbrR!$A$6:$ZZ$1048576"), MATCH(AI$1, AbrR!$6:$6, 0), FALSE),
            0
        ) +
        IFERROR(
            VLOOKUP($A54, INDIRECT("MayR!$A$6:$ZZ$1048576"), MATCH(AI$1, MayR!$6:$6, 0), FALSE),
            0
        ) +
        IFERROR(
            VLOOKUP($A54, INDIRECT("JunR!$A$6:$ZZ$1048576"), MATCH(AI$1, JunR!$6:$6, 0), FALSE),
            0
        ) +
        IFERROR(
            VLOOKUP($A54, INDIRECT("JulR!$A$6:$ZZ$1048576"), MATCH(AI$1, JulR!$6:$6, 0), FALSE),
            0
        ) +
        IFERROR(
            VLOOKUP($A54, INDIRECT("AgoR!$A$6:$ZZ$1048576"), MATCH(AI$1, AgoR!$6:$6, 0), FALSE),
            0
        ) +
        IFERROR(
            VLOOKUP($A54, INDIRECT("SepR!$A$6:$ZZ$1048576"), MATCH(AI$1, SepR!$6:$6, 0), FALSE),
            0
        ) +
        IFERROR(
            VLOOKUP($A54, INDIRECT("OctR!$A$6:$ZZ$1048576"), MATCH(AI$1, OctR!$6:$6, 0), FALSE),
            0
        ) +
        IFERROR(
            VLOOKUP($A54, INDIRECT("NovR!$A$6:$ZZ$1048576"), MATCH(AI$1, NovR!$6:$6, 0), FALSE),
            0
        ) +
        IFERROR(
            VLOOKUP($A54, INDIRECT("DicR!$A$6:$ZZ$1048576"), MATCH(AI$1, DicR!$6:$6, 0), FALSE),
            0
        )
)</f>
        <v>0</v>
      </c>
      <c r="AJ54" s="36">
        <f t="array" ref="AJ54">SUM(
    IFERROR(
            VLOOKUP($A54, INDIRECT("EneR!$A$6:$ZZ$1048576"), MATCH(AJ$1, EneR!$6:$6, 0), FALSE),
            0
        ) +
        IFERROR(
            VLOOKUP($A54, INDIRECT("FebR!$A$6:$ZZ$1048576"), MATCH(AJ$1, FebR!$6:$6, 0), FALSE),
            0
        ) +
        IFERROR(
            VLOOKUP($A54, INDIRECT("MarR!$A$6:$ZZ$1048576"), MATCH(AJ$1, MarR!$6:$6, 0), FALSE),
            0
        ) +
        IFERROR(
            VLOOKUP($A54, INDIRECT("AbrR!$A$6:$ZZ$1048576"), MATCH(AJ$1, AbrR!$6:$6, 0), FALSE),
            0
        ) +
        IFERROR(
            VLOOKUP($A54, INDIRECT("MayR!$A$6:$ZZ$1048576"), MATCH(AJ$1, MayR!$6:$6, 0), FALSE),
            0
        ) +
        IFERROR(
            VLOOKUP($A54, INDIRECT("JunR!$A$6:$ZZ$1048576"), MATCH(AJ$1, JunR!$6:$6, 0), FALSE),
            0
        ) +
        IFERROR(
            VLOOKUP($A54, INDIRECT("JulR!$A$6:$ZZ$1048576"), MATCH(AJ$1, JulR!$6:$6, 0), FALSE),
            0
        ) +
        IFERROR(
            VLOOKUP($A54, INDIRECT("AgoR!$A$6:$ZZ$1048576"), MATCH(AJ$1, AgoR!$6:$6, 0), FALSE),
            0
        ) +
        IFERROR(
            VLOOKUP($A54, INDIRECT("SepR!$A$6:$ZZ$1048576"), MATCH(AJ$1, SepR!$6:$6, 0), FALSE),
            0
        ) +
        IFERROR(
            VLOOKUP($A54, INDIRECT("OctR!$A$6:$ZZ$1048576"), MATCH(AJ$1, OctR!$6:$6, 0), FALSE),
            0
        ) +
        IFERROR(
            VLOOKUP($A54, INDIRECT("NovR!$A$6:$ZZ$1048576"), MATCH(AJ$1, NovR!$6:$6, 0), FALSE),
            0
        ) +
        IFERROR(
            VLOOKUP($A54, INDIRECT("DicR!$A$6:$ZZ$1048576"), MATCH(AJ$1, DicR!$6:$6, 0), FALSE),
            0
        )
)</f>
        <v>0</v>
      </c>
      <c r="AK54" s="37">
        <f t="array" ref="AK54">SUM(
    IFERROR(
            VLOOKUP($A54, INDIRECT("EneR!$A$6:$ZZ$1048576"), MATCH(AK$1, EneR!$6:$6, 0), FALSE),
            0
        ) +
        IFERROR(
            VLOOKUP($A54, INDIRECT("FebR!$A$6:$ZZ$1048576"), MATCH(AK$1, FebR!$6:$6, 0), FALSE),
            0
        ) +
        IFERROR(
            VLOOKUP($A54, INDIRECT("MarR!$A$6:$ZZ$1048576"), MATCH(AK$1, MarR!$6:$6, 0), FALSE),
            0
        ) +
        IFERROR(
            VLOOKUP($A54, INDIRECT("AbrR!$A$6:$ZZ$1048576"), MATCH(AK$1, AbrR!$6:$6, 0), FALSE),
            0
        ) +
        IFERROR(
            VLOOKUP($A54, INDIRECT("MayR!$A$6:$ZZ$1048576"), MATCH(AK$1, MayR!$6:$6, 0), FALSE),
            0
        ) +
        IFERROR(
            VLOOKUP($A54, INDIRECT("JunR!$A$6:$ZZ$1048576"), MATCH(AK$1, JunR!$6:$6, 0), FALSE),
            0
        ) +
        IFERROR(
            VLOOKUP($A54, INDIRECT("JulR!$A$6:$ZZ$1048576"), MATCH(AK$1, JulR!$6:$6, 0), FALSE),
            0
        ) +
        IFERROR(
            VLOOKUP($A54, INDIRECT("AgoR!$A$6:$ZZ$1048576"), MATCH(AK$1, AgoR!$6:$6, 0), FALSE),
            0
        ) +
        IFERROR(
            VLOOKUP($A54, INDIRECT("SepR!$A$6:$ZZ$1048576"), MATCH(AK$1, SepR!$6:$6, 0), FALSE),
            0
        ) +
        IFERROR(
            VLOOKUP($A54, INDIRECT("OctR!$A$6:$ZZ$1048576"), MATCH(AK$1, OctR!$6:$6, 0), FALSE),
            0
        ) +
        IFERROR(
            VLOOKUP($A54, INDIRECT("NovR!$A$6:$ZZ$1048576"), MATCH(AK$1, NovR!$6:$6, 0), FALSE),
            0
        ) +
        IFERROR(
            VLOOKUP($A54, INDIRECT("DicR!$A$6:$ZZ$1048576"), MATCH(AK$1, DicR!$6:$6, 0), FALSE),
            0
        )
)</f>
        <v>0</v>
      </c>
      <c r="AL54" s="36">
        <f t="array" ref="AL54">SUM(
    IFERROR(
            VLOOKUP($A54, INDIRECT("EneR!$A$6:$ZZ$1048576"), MATCH(AL$1, EneR!$6:$6, 0), FALSE),
            0
        ) +
        IFERROR(
            VLOOKUP($A54, INDIRECT("FebR!$A$6:$ZZ$1048576"), MATCH(AL$1, FebR!$6:$6, 0), FALSE),
            0
        ) +
        IFERROR(
            VLOOKUP($A54, INDIRECT("MarR!$A$6:$ZZ$1048576"), MATCH(AL$1, MarR!$6:$6, 0), FALSE),
            0
        ) +
        IFERROR(
            VLOOKUP($A54, INDIRECT("AbrR!$A$6:$ZZ$1048576"), MATCH(AL$1, AbrR!$6:$6, 0), FALSE),
            0
        ) +
        IFERROR(
            VLOOKUP($A54, INDIRECT("MayR!$A$6:$ZZ$1048576"), MATCH(AL$1, MayR!$6:$6, 0), FALSE),
            0
        ) +
        IFERROR(
            VLOOKUP($A54, INDIRECT("JunR!$A$6:$ZZ$1048576"), MATCH(AL$1, JunR!$6:$6, 0), FALSE),
            0
        ) +
        IFERROR(
            VLOOKUP($A54, INDIRECT("JulR!$A$6:$ZZ$1048576"), MATCH(AL$1, JulR!$6:$6, 0), FALSE),
            0
        ) +
        IFERROR(
            VLOOKUP($A54, INDIRECT("AgoR!$A$6:$ZZ$1048576"), MATCH(AL$1, AgoR!$6:$6, 0), FALSE),
            0
        ) +
        IFERROR(
            VLOOKUP($A54, INDIRECT("SepR!$A$6:$ZZ$1048576"), MATCH(AL$1, SepR!$6:$6, 0), FALSE),
            0
        ) +
        IFERROR(
            VLOOKUP($A54, INDIRECT("OctR!$A$6:$ZZ$1048576"), MATCH(AL$1, OctR!$6:$6, 0), FALSE),
            0
        ) +
        IFERROR(
            VLOOKUP($A54, INDIRECT("NovR!$A$6:$ZZ$1048576"), MATCH(AL$1, NovR!$6:$6, 0), FALSE),
            0
        ) +
        IFERROR(
            VLOOKUP($A54, INDIRECT("DicR!$A$6:$ZZ$1048576"), MATCH(AL$1, DicR!$6:$6, 0), FALSE),
            0
        )
)</f>
        <v>0</v>
      </c>
      <c r="AM54" s="37">
        <f t="array" ref="AM54">SUM(
    IFERROR(
            VLOOKUP($A54, INDIRECT("EneR!$A$6:$ZZ$1048576"), MATCH(AM$1, EneR!$6:$6, 0), FALSE),
            0
        ) +
        IFERROR(
            VLOOKUP($A54, INDIRECT("FebR!$A$6:$ZZ$1048576"), MATCH(AM$1, FebR!$6:$6, 0), FALSE),
            0
        ) +
        IFERROR(
            VLOOKUP($A54, INDIRECT("MarR!$A$6:$ZZ$1048576"), MATCH(AM$1, MarR!$6:$6, 0), FALSE),
            0
        ) +
        IFERROR(
            VLOOKUP($A54, INDIRECT("AbrR!$A$6:$ZZ$1048576"), MATCH(AM$1, AbrR!$6:$6, 0), FALSE),
            0
        ) +
        IFERROR(
            VLOOKUP($A54, INDIRECT("MayR!$A$6:$ZZ$1048576"), MATCH(AM$1, MayR!$6:$6, 0), FALSE),
            0
        ) +
        IFERROR(
            VLOOKUP($A54, INDIRECT("JunR!$A$6:$ZZ$1048576"), MATCH(AM$1, JunR!$6:$6, 0), FALSE),
            0
        ) +
        IFERROR(
            VLOOKUP($A54, INDIRECT("JulR!$A$6:$ZZ$1048576"), MATCH(AM$1, JulR!$6:$6, 0), FALSE),
            0
        ) +
        IFERROR(
            VLOOKUP($A54, INDIRECT("AgoR!$A$6:$ZZ$1048576"), MATCH(AM$1, AgoR!$6:$6, 0), FALSE),
            0
        ) +
        IFERROR(
            VLOOKUP($A54, INDIRECT("SepR!$A$6:$ZZ$1048576"), MATCH(AM$1, SepR!$6:$6, 0), FALSE),
            0
        ) +
        IFERROR(
            VLOOKUP($A54, INDIRECT("OctR!$A$6:$ZZ$1048576"), MATCH(AM$1, OctR!$6:$6, 0), FALSE),
            0
        ) +
        IFERROR(
            VLOOKUP($A54, INDIRECT("NovR!$A$6:$ZZ$1048576"), MATCH(AM$1, NovR!$6:$6, 0), FALSE),
            0
        ) +
        IFERROR(
            VLOOKUP($A54, INDIRECT("DicR!$A$6:$ZZ$1048576"), MATCH(AM$1, DicR!$6:$6, 0), FALSE),
            0
        )
)</f>
        <v>0</v>
      </c>
      <c r="AN54" s="32">
        <f t="array" ref="AN54">SUM(
    IFERROR(
            VLOOKUP($A54, INDIRECT("EneR!$A$6:$ZZ$1048576"), MATCH(AN$1, EneR!$6:$6, 0), FALSE),
            0
        ) +
        IFERROR(
            VLOOKUP($A54, INDIRECT("FebR!$A$6:$ZZ$1048576"), MATCH(AN$1, FebR!$6:$6, 0), FALSE),
            0
        ) +
        IFERROR(
            VLOOKUP($A54, INDIRECT("MarR!$A$6:$ZZ$1048576"), MATCH(AN$1, MarR!$6:$6, 0), FALSE),
            0
        ) +
        IFERROR(
            VLOOKUP($A54, INDIRECT("AbrR!$A$6:$ZZ$1048576"), MATCH(AN$1, AbrR!$6:$6, 0), FALSE),
            0
        ) +
        IFERROR(
            VLOOKUP($A54, INDIRECT("MayR!$A$6:$ZZ$1048576"), MATCH(AN$1, MayR!$6:$6, 0), FALSE),
            0
        ) +
        IFERROR(
            VLOOKUP($A54, INDIRECT("JunR!$A$6:$ZZ$1048576"), MATCH(AN$1, JunR!$6:$6, 0), FALSE),
            0
        ) +
        IFERROR(
            VLOOKUP($A54, INDIRECT("JulR!$A$6:$ZZ$1048576"), MATCH(AN$1, JulR!$6:$6, 0), FALSE),
            0
        ) +
        IFERROR(
            VLOOKUP($A54, INDIRECT("AgoR!$A$6:$ZZ$1048576"), MATCH(AN$1, AgoR!$6:$6, 0), FALSE),
            0
        ) +
        IFERROR(
            VLOOKUP($A54, INDIRECT("SepR!$A$6:$ZZ$1048576"), MATCH(AN$1, SepR!$6:$6, 0), FALSE),
            0
        ) +
        IFERROR(
            VLOOKUP($A54, INDIRECT("OctR!$A$6:$ZZ$1048576"), MATCH(AN$1, OctR!$6:$6, 0), FALSE),
            0
        ) +
        IFERROR(
            VLOOKUP($A54, INDIRECT("NovR!$A$6:$ZZ$1048576"), MATCH(AN$1, NovR!$6:$6, 0), FALSE),
            0
        ) +
        IFERROR(
            VLOOKUP($A54, INDIRECT("DicR!$A$6:$ZZ$1048576"), MATCH(AN$1, DicR!$6:$6, 0), FALSE),
            0
        )
)</f>
        <v>0</v>
      </c>
      <c r="AO54" s="35">
        <f t="array" ref="AO54">SUM(
    IFERROR(
            VLOOKUP($A54, INDIRECT("EneR!$A$6:$ZZ$1048576"), MATCH(AO$1, EneR!$6:$6, 0), FALSE),
            0
        ) +
        IFERROR(
            VLOOKUP($A54, INDIRECT("FebR!$A$6:$ZZ$1048576"), MATCH(AO$1, FebR!$6:$6, 0), FALSE),
            0
        ) +
        IFERROR(
            VLOOKUP($A54, INDIRECT("MarR!$A$6:$ZZ$1048576"), MATCH(AO$1, MarR!$6:$6, 0), FALSE),
            0
        ) +
        IFERROR(
            VLOOKUP($A54, INDIRECT("AbrR!$A$6:$ZZ$1048576"), MATCH(AO$1, AbrR!$6:$6, 0), FALSE),
            0
        ) +
        IFERROR(
            VLOOKUP($A54, INDIRECT("MayR!$A$6:$ZZ$1048576"), MATCH(AO$1, MayR!$6:$6, 0), FALSE),
            0
        ) +
        IFERROR(
            VLOOKUP($A54, INDIRECT("JunR!$A$6:$ZZ$1048576"), MATCH(AO$1, JunR!$6:$6, 0), FALSE),
            0
        ) +
        IFERROR(
            VLOOKUP($A54, INDIRECT("JulR!$A$6:$ZZ$1048576"), MATCH(AO$1, JulR!$6:$6, 0), FALSE),
            0
        ) +
        IFERROR(
            VLOOKUP($A54, INDIRECT("AgoR!$A$6:$ZZ$1048576"), MATCH(AO$1, AgoR!$6:$6, 0), FALSE),
            0
        ) +
        IFERROR(
            VLOOKUP($A54, INDIRECT("SepR!$A$6:$ZZ$1048576"), MATCH(AO$1, SepR!$6:$6, 0), FALSE),
            0
        ) +
        IFERROR(
            VLOOKUP($A54, INDIRECT("OctR!$A$6:$ZZ$1048576"), MATCH(AO$1, OctR!$6:$6, 0), FALSE),
            0
        ) +
        IFERROR(
            VLOOKUP($A54, INDIRECT("NovR!$A$6:$ZZ$1048576"), MATCH(AO$1, NovR!$6:$6, 0), FALSE),
            0
        ) +
        IFERROR(
            VLOOKUP($A54, INDIRECT("DicR!$A$6:$ZZ$1048576"), MATCH(AO$1, DicR!$6:$6, 0), FALSE),
            0
        )
)</f>
        <v>0</v>
      </c>
      <c r="AP54" s="36">
        <f t="array" ref="AP54">SUM(
    IFERROR(
            VLOOKUP($A54, INDIRECT("EneR!$A$6:$ZZ$1048576"), MATCH(AP$1, EneR!$6:$6, 0), FALSE),
            0
        ) +
        IFERROR(
            VLOOKUP($A54, INDIRECT("FebR!$A$6:$ZZ$1048576"), MATCH(AP$1, FebR!$6:$6, 0), FALSE),
            0
        ) +
        IFERROR(
            VLOOKUP($A54, INDIRECT("MarR!$A$6:$ZZ$1048576"), MATCH(AP$1, MarR!$6:$6, 0), FALSE),
            0
        ) +
        IFERROR(
            VLOOKUP($A54, INDIRECT("AbrR!$A$6:$ZZ$1048576"), MATCH(AP$1, AbrR!$6:$6, 0), FALSE),
            0
        ) +
        IFERROR(
            VLOOKUP($A54, INDIRECT("MayR!$A$6:$ZZ$1048576"), MATCH(AP$1, MayR!$6:$6, 0), FALSE),
            0
        ) +
        IFERROR(
            VLOOKUP($A54, INDIRECT("JunR!$A$6:$ZZ$1048576"), MATCH(AP$1, JunR!$6:$6, 0), FALSE),
            0
        ) +
        IFERROR(
            VLOOKUP($A54, INDIRECT("JulR!$A$6:$ZZ$1048576"), MATCH(AP$1, JulR!$6:$6, 0), FALSE),
            0
        ) +
        IFERROR(
            VLOOKUP($A54, INDIRECT("AgoR!$A$6:$ZZ$1048576"), MATCH(AP$1, AgoR!$6:$6, 0), FALSE),
            0
        ) +
        IFERROR(
            VLOOKUP($A54, INDIRECT("SepR!$A$6:$ZZ$1048576"), MATCH(AP$1, SepR!$6:$6, 0), FALSE),
            0
        ) +
        IFERROR(
            VLOOKUP($A54, INDIRECT("OctR!$A$6:$ZZ$1048576"), MATCH(AP$1, OctR!$6:$6, 0), FALSE),
            0
        ) +
        IFERROR(
            VLOOKUP($A54, INDIRECT("NovR!$A$6:$ZZ$1048576"), MATCH(AP$1, NovR!$6:$6, 0), FALSE),
            0
        ) +
        IFERROR(
            VLOOKUP($A54, INDIRECT("DicR!$A$6:$ZZ$1048576"), MATCH(AP$1, DicR!$6:$6, 0), FALSE),
            0
        )
)</f>
        <v>0</v>
      </c>
      <c r="AQ54" s="35">
        <f t="array" ref="AQ54">SUM(
    IFERROR(
            VLOOKUP($A54, INDIRECT("EneR!$A$6:$ZZ$1048576"), MATCH(AQ$1, EneR!$6:$6, 0), FALSE),
            0
        ) +
        IFERROR(
            VLOOKUP($A54, INDIRECT("FebR!$A$6:$ZZ$1048576"), MATCH(AQ$1, FebR!$6:$6, 0), FALSE),
            0
        ) +
        IFERROR(
            VLOOKUP($A54, INDIRECT("MarR!$A$6:$ZZ$1048576"), MATCH(AQ$1, MarR!$6:$6, 0), FALSE),
            0
        ) +
        IFERROR(
            VLOOKUP($A54, INDIRECT("AbrR!$A$6:$ZZ$1048576"), MATCH(AQ$1, AbrR!$6:$6, 0), FALSE),
            0
        ) +
        IFERROR(
            VLOOKUP($A54, INDIRECT("MayR!$A$6:$ZZ$1048576"), MATCH(AQ$1, MayR!$6:$6, 0), FALSE),
            0
        ) +
        IFERROR(
            VLOOKUP($A54, INDIRECT("JunR!$A$6:$ZZ$1048576"), MATCH(AQ$1, JunR!$6:$6, 0), FALSE),
            0
        ) +
        IFERROR(
            VLOOKUP($A54, INDIRECT("JulR!$A$6:$ZZ$1048576"), MATCH(AQ$1, JulR!$6:$6, 0), FALSE),
            0
        ) +
        IFERROR(
            VLOOKUP($A54, INDIRECT("AgoR!$A$6:$ZZ$1048576"), MATCH(AQ$1, AgoR!$6:$6, 0), FALSE),
            0
        ) +
        IFERROR(
            VLOOKUP($A54, INDIRECT("SepR!$A$6:$ZZ$1048576"), MATCH(AQ$1, SepR!$6:$6, 0), FALSE),
            0
        ) +
        IFERROR(
            VLOOKUP($A54, INDIRECT("OctR!$A$6:$ZZ$1048576"), MATCH(AQ$1, OctR!$6:$6, 0), FALSE),
            0
        ) +
        IFERROR(
            VLOOKUP($A54, INDIRECT("NovR!$A$6:$ZZ$1048576"), MATCH(AQ$1, NovR!$6:$6, 0), FALSE),
            0
        ) +
        IFERROR(
            VLOOKUP($A54, INDIRECT("DicR!$A$6:$ZZ$1048576"), MATCH(AQ$1, DicR!$6:$6, 0), FALSE),
            0
        )
)</f>
        <v>0</v>
      </c>
      <c r="AR54" s="36">
        <f t="array" ref="AR54">SUM(
    IFERROR(
            VLOOKUP($A54, INDIRECT("EneR!$A$6:$ZZ$1048576"), MATCH(AR$1, EneR!$6:$6, 0), FALSE),
            0
        ) +
        IFERROR(
            VLOOKUP($A54, INDIRECT("FebR!$A$6:$ZZ$1048576"), MATCH(AR$1, FebR!$6:$6, 0), FALSE),
            0
        ) +
        IFERROR(
            VLOOKUP($A54, INDIRECT("MarR!$A$6:$ZZ$1048576"), MATCH(AR$1, MarR!$6:$6, 0), FALSE),
            0
        ) +
        IFERROR(
            VLOOKUP($A54, INDIRECT("AbrR!$A$6:$ZZ$1048576"), MATCH(AR$1, AbrR!$6:$6, 0), FALSE),
            0
        ) +
        IFERROR(
            VLOOKUP($A54, INDIRECT("MayR!$A$6:$ZZ$1048576"), MATCH(AR$1, MayR!$6:$6, 0), FALSE),
            0
        ) +
        IFERROR(
            VLOOKUP($A54, INDIRECT("JunR!$A$6:$ZZ$1048576"), MATCH(AR$1, JunR!$6:$6, 0), FALSE),
            0
        ) +
        IFERROR(
            VLOOKUP($A54, INDIRECT("JulR!$A$6:$ZZ$1048576"), MATCH(AR$1, JulR!$6:$6, 0), FALSE),
            0
        ) +
        IFERROR(
            VLOOKUP($A54, INDIRECT("AgoR!$A$6:$ZZ$1048576"), MATCH(AR$1, AgoR!$6:$6, 0), FALSE),
            0
        ) +
        IFERROR(
            VLOOKUP($A54, INDIRECT("SepR!$A$6:$ZZ$1048576"), MATCH(AR$1, SepR!$6:$6, 0), FALSE),
            0
        ) +
        IFERROR(
            VLOOKUP($A54, INDIRECT("OctR!$A$6:$ZZ$1048576"), MATCH(AR$1, OctR!$6:$6, 0), FALSE),
            0
        ) +
        IFERROR(
            VLOOKUP($A54, INDIRECT("NovR!$A$6:$ZZ$1048576"), MATCH(AR$1, NovR!$6:$6, 0), FALSE),
            0
        ) +
        IFERROR(
            VLOOKUP($A54, INDIRECT("DicR!$A$6:$ZZ$1048576"), MATCH(AR$1, DicR!$6:$6, 0), FALSE),
            0
        )
)</f>
        <v>0</v>
      </c>
      <c r="AS54" s="35">
        <f t="array" ref="AS54">SUM(
    IFERROR(
            VLOOKUP($A54, INDIRECT("EneR!$A$6:$ZZ$1048576"), MATCH(AS$1, EneR!$6:$6, 0), FALSE),
            0
        ) +
        IFERROR(
            VLOOKUP($A54, INDIRECT("FebR!$A$6:$ZZ$1048576"), MATCH(AS$1, FebR!$6:$6, 0), FALSE),
            0
        ) +
        IFERROR(
            VLOOKUP($A54, INDIRECT("MarR!$A$6:$ZZ$1048576"), MATCH(AS$1, MarR!$6:$6, 0), FALSE),
            0
        ) +
        IFERROR(
            VLOOKUP($A54, INDIRECT("AbrR!$A$6:$ZZ$1048576"), MATCH(AS$1, AbrR!$6:$6, 0), FALSE),
            0
        ) +
        IFERROR(
            VLOOKUP($A54, INDIRECT("MayR!$A$6:$ZZ$1048576"), MATCH(AS$1, MayR!$6:$6, 0), FALSE),
            0
        ) +
        IFERROR(
            VLOOKUP($A54, INDIRECT("JunR!$A$6:$ZZ$1048576"), MATCH(AS$1, JunR!$6:$6, 0), FALSE),
            0
        ) +
        IFERROR(
            VLOOKUP($A54, INDIRECT("JulR!$A$6:$ZZ$1048576"), MATCH(AS$1, JulR!$6:$6, 0), FALSE),
            0
        ) +
        IFERROR(
            VLOOKUP($A54, INDIRECT("AgoR!$A$6:$ZZ$1048576"), MATCH(AS$1, AgoR!$6:$6, 0), FALSE),
            0
        ) +
        IFERROR(
            VLOOKUP($A54, INDIRECT("SepR!$A$6:$ZZ$1048576"), MATCH(AS$1, SepR!$6:$6, 0), FALSE),
            0
        ) +
        IFERROR(
            VLOOKUP($A54, INDIRECT("OctR!$A$6:$ZZ$1048576"), MATCH(AS$1, OctR!$6:$6, 0), FALSE),
            0
        ) +
        IFERROR(
            VLOOKUP($A54, INDIRECT("NovR!$A$6:$ZZ$1048576"), MATCH(AS$1, NovR!$6:$6, 0), FALSE),
            0
        ) +
        IFERROR(
            VLOOKUP($A54, INDIRECT("DicR!$A$6:$ZZ$1048576"), MATCH(AS$1, DicR!$6:$6, 0), FALSE),
            0
        )
)</f>
        <v>0</v>
      </c>
      <c r="AT54" s="36">
        <f t="array" ref="AT54">SUM(
    IFERROR(
            VLOOKUP($A54, INDIRECT("EneR!$A$6:$ZZ$1048576"), MATCH(AT$1, EneR!$6:$6, 0), FALSE),
            0
        ) +
        IFERROR(
            VLOOKUP($A54, INDIRECT("FebR!$A$6:$ZZ$1048576"), MATCH(AT$1, FebR!$6:$6, 0), FALSE),
            0
        ) +
        IFERROR(
            VLOOKUP($A54, INDIRECT("MarR!$A$6:$ZZ$1048576"), MATCH(AT$1, MarR!$6:$6, 0), FALSE),
            0
        ) +
        IFERROR(
            VLOOKUP($A54, INDIRECT("AbrR!$A$6:$ZZ$1048576"), MATCH(AT$1, AbrR!$6:$6, 0), FALSE),
            0
        ) +
        IFERROR(
            VLOOKUP($A54, INDIRECT("MayR!$A$6:$ZZ$1048576"), MATCH(AT$1, MayR!$6:$6, 0), FALSE),
            0
        ) +
        IFERROR(
            VLOOKUP($A54, INDIRECT("JunR!$A$6:$ZZ$1048576"), MATCH(AT$1, JunR!$6:$6, 0), FALSE),
            0
        ) +
        IFERROR(
            VLOOKUP($A54, INDIRECT("JulR!$A$6:$ZZ$1048576"), MATCH(AT$1, JulR!$6:$6, 0), FALSE),
            0
        ) +
        IFERROR(
            VLOOKUP($A54, INDIRECT("AgoR!$A$6:$ZZ$1048576"), MATCH(AT$1, AgoR!$6:$6, 0), FALSE),
            0
        ) +
        IFERROR(
            VLOOKUP($A54, INDIRECT("SepR!$A$6:$ZZ$1048576"), MATCH(AT$1, SepR!$6:$6, 0), FALSE),
            0
        ) +
        IFERROR(
            VLOOKUP($A54, INDIRECT("OctR!$A$6:$ZZ$1048576"), MATCH(AT$1, OctR!$6:$6, 0), FALSE),
            0
        ) +
        IFERROR(
            VLOOKUP($A54, INDIRECT("NovR!$A$6:$ZZ$1048576"), MATCH(AT$1, NovR!$6:$6, 0), FALSE),
            0
        ) +
        IFERROR(
            VLOOKUP($A54, INDIRECT("DicR!$A$6:$ZZ$1048576"), MATCH(AT$1, DicR!$6:$6, 0), FALSE),
            0
        )
)</f>
        <v>0</v>
      </c>
      <c r="AU54" s="35">
        <f t="array" ref="AU54">SUM(
    IFERROR(
            VLOOKUP($A54, INDIRECT("EneR!$A$6:$ZZ$1048576"), MATCH(AU$1, EneR!$6:$6, 0), FALSE),
            0
        ) +
        IFERROR(
            VLOOKUP($A54, INDIRECT("FebR!$A$6:$ZZ$1048576"), MATCH(AU$1, FebR!$6:$6, 0), FALSE),
            0
        ) +
        IFERROR(
            VLOOKUP($A54, INDIRECT("MarR!$A$6:$ZZ$1048576"), MATCH(AU$1, MarR!$6:$6, 0), FALSE),
            0
        ) +
        IFERROR(
            VLOOKUP($A54, INDIRECT("AbrR!$A$6:$ZZ$1048576"), MATCH(AU$1, AbrR!$6:$6, 0), FALSE),
            0
        ) +
        IFERROR(
            VLOOKUP($A54, INDIRECT("MayR!$A$6:$ZZ$1048576"), MATCH(AU$1, MayR!$6:$6, 0), FALSE),
            0
        ) +
        IFERROR(
            VLOOKUP($A54, INDIRECT("JunR!$A$6:$ZZ$1048576"), MATCH(AU$1, JunR!$6:$6, 0), FALSE),
            0
        ) +
        IFERROR(
            VLOOKUP($A54, INDIRECT("JulR!$A$6:$ZZ$1048576"), MATCH(AU$1, JulR!$6:$6, 0), FALSE),
            0
        ) +
        IFERROR(
            VLOOKUP($A54, INDIRECT("AgoR!$A$6:$ZZ$1048576"), MATCH(AU$1, AgoR!$6:$6, 0), FALSE),
            0
        ) +
        IFERROR(
            VLOOKUP($A54, INDIRECT("SepR!$A$6:$ZZ$1048576"), MATCH(AU$1, SepR!$6:$6, 0), FALSE),
            0
        ) +
        IFERROR(
            VLOOKUP($A54, INDIRECT("OctR!$A$6:$ZZ$1048576"), MATCH(AU$1, OctR!$6:$6, 0), FALSE),
            0
        ) +
        IFERROR(
            VLOOKUP($A54, INDIRECT("NovR!$A$6:$ZZ$1048576"), MATCH(AU$1, NovR!$6:$6, 0), FALSE),
            0
        ) +
        IFERROR(
            VLOOKUP($A54, INDIRECT("DicR!$A$6:$ZZ$1048576"), MATCH(AU$1, DicR!$6:$6, 0), FALSE),
            0
        )
)</f>
        <v>0</v>
      </c>
      <c r="AV54" s="36">
        <f t="array" ref="AV54">SUM(
    IFERROR(
            VLOOKUP($A54, INDIRECT("EneR!$A$6:$ZZ$1048576"), MATCH(AV$1, EneR!$6:$6, 0), FALSE),
            0
        ) +
        IFERROR(
            VLOOKUP($A54, INDIRECT("FebR!$A$6:$ZZ$1048576"), MATCH(AV$1, FebR!$6:$6, 0), FALSE),
            0
        ) +
        IFERROR(
            VLOOKUP($A54, INDIRECT("MarR!$A$6:$ZZ$1048576"), MATCH(AV$1, MarR!$6:$6, 0), FALSE),
            0
        ) +
        IFERROR(
            VLOOKUP($A54, INDIRECT("AbrR!$A$6:$ZZ$1048576"), MATCH(AV$1, AbrR!$6:$6, 0), FALSE),
            0
        ) +
        IFERROR(
            VLOOKUP($A54, INDIRECT("MayR!$A$6:$ZZ$1048576"), MATCH(AV$1, MayR!$6:$6, 0), FALSE),
            0
        ) +
        IFERROR(
            VLOOKUP($A54, INDIRECT("JunR!$A$6:$ZZ$1048576"), MATCH(AV$1, JunR!$6:$6, 0), FALSE),
            0
        ) +
        IFERROR(
            VLOOKUP($A54, INDIRECT("JulR!$A$6:$ZZ$1048576"), MATCH(AV$1, JulR!$6:$6, 0), FALSE),
            0
        ) +
        IFERROR(
            VLOOKUP($A54, INDIRECT("AgoR!$A$6:$ZZ$1048576"), MATCH(AV$1, AgoR!$6:$6, 0), FALSE),
            0
        ) +
        IFERROR(
            VLOOKUP($A54, INDIRECT("SepR!$A$6:$ZZ$1048576"), MATCH(AV$1, SepR!$6:$6, 0), FALSE),
            0
        ) +
        IFERROR(
            VLOOKUP($A54, INDIRECT("OctR!$A$6:$ZZ$1048576"), MATCH(AV$1, OctR!$6:$6, 0), FALSE),
            0
        ) +
        IFERROR(
            VLOOKUP($A54, INDIRECT("NovR!$A$6:$ZZ$1048576"), MATCH(AV$1, NovR!$6:$6, 0), FALSE),
            0
        ) +
        IFERROR(
            VLOOKUP($A54, INDIRECT("DicR!$A$6:$ZZ$1048576"), MATCH(AV$1, DicR!$6:$6, 0), FALSE),
            0
        )
)</f>
        <v>0</v>
      </c>
      <c r="AW54" s="35">
        <f t="array" ref="AW54">SUM(
    IFERROR(
            VLOOKUP($A54, INDIRECT("EneR!$A$6:$ZZ$1048576"), MATCH(AW$1, EneR!$6:$6, 0), FALSE),
            0
        ) +
        IFERROR(
            VLOOKUP($A54, INDIRECT("FebR!$A$6:$ZZ$1048576"), MATCH(AW$1, FebR!$6:$6, 0), FALSE),
            0
        ) +
        IFERROR(
            VLOOKUP($A54, INDIRECT("MarR!$A$6:$ZZ$1048576"), MATCH(AW$1, MarR!$6:$6, 0), FALSE),
            0
        ) +
        IFERROR(
            VLOOKUP($A54, INDIRECT("AbrR!$A$6:$ZZ$1048576"), MATCH(AW$1, AbrR!$6:$6, 0), FALSE),
            0
        ) +
        IFERROR(
            VLOOKUP($A54, INDIRECT("MayR!$A$6:$ZZ$1048576"), MATCH(AW$1, MayR!$6:$6, 0), FALSE),
            0
        ) +
        IFERROR(
            VLOOKUP($A54, INDIRECT("JunR!$A$6:$ZZ$1048576"), MATCH(AW$1, JunR!$6:$6, 0), FALSE),
            0
        ) +
        IFERROR(
            VLOOKUP($A54, INDIRECT("JulR!$A$6:$ZZ$1048576"), MATCH(AW$1, JulR!$6:$6, 0), FALSE),
            0
        ) +
        IFERROR(
            VLOOKUP($A54, INDIRECT("AgoR!$A$6:$ZZ$1048576"), MATCH(AW$1, AgoR!$6:$6, 0), FALSE),
            0
        ) +
        IFERROR(
            VLOOKUP($A54, INDIRECT("SepR!$A$6:$ZZ$1048576"), MATCH(AW$1, SepR!$6:$6, 0), FALSE),
            0
        ) +
        IFERROR(
            VLOOKUP($A54, INDIRECT("OctR!$A$6:$ZZ$1048576"), MATCH(AW$1, OctR!$6:$6, 0), FALSE),
            0
        ) +
        IFERROR(
            VLOOKUP($A54, INDIRECT("NovR!$A$6:$ZZ$1048576"), MATCH(AW$1, NovR!$6:$6, 0), FALSE),
            0
        ) +
        IFERROR(
            VLOOKUP($A54, INDIRECT("DicR!$A$6:$ZZ$1048576"), MATCH(AW$1, DicR!$6:$6, 0), FALSE),
            0
        )
)</f>
        <v>0</v>
      </c>
      <c r="AX54" s="36">
        <f t="array" ref="AX54">SUM(
    IFERROR(
            VLOOKUP($A54, INDIRECT("EneR!$A$6:$ZZ$1048576"), MATCH(AX$1, EneR!$6:$6, 0), FALSE),
            0
        ) +
        IFERROR(
            VLOOKUP($A54, INDIRECT("FebR!$A$6:$ZZ$1048576"), MATCH(AX$1, FebR!$6:$6, 0), FALSE),
            0
        ) +
        IFERROR(
            VLOOKUP($A54, INDIRECT("MarR!$A$6:$ZZ$1048576"), MATCH(AX$1, MarR!$6:$6, 0), FALSE),
            0
        ) +
        IFERROR(
            VLOOKUP($A54, INDIRECT("AbrR!$A$6:$ZZ$1048576"), MATCH(AX$1, AbrR!$6:$6, 0), FALSE),
            0
        ) +
        IFERROR(
            VLOOKUP($A54, INDIRECT("MayR!$A$6:$ZZ$1048576"), MATCH(AX$1, MayR!$6:$6, 0), FALSE),
            0
        ) +
        IFERROR(
            VLOOKUP($A54, INDIRECT("JunR!$A$6:$ZZ$1048576"), MATCH(AX$1, JunR!$6:$6, 0), FALSE),
            0
        ) +
        IFERROR(
            VLOOKUP($A54, INDIRECT("JulR!$A$6:$ZZ$1048576"), MATCH(AX$1, JulR!$6:$6, 0), FALSE),
            0
        ) +
        IFERROR(
            VLOOKUP($A54, INDIRECT("AgoR!$A$6:$ZZ$1048576"), MATCH(AX$1, AgoR!$6:$6, 0), FALSE),
            0
        ) +
        IFERROR(
            VLOOKUP($A54, INDIRECT("SepR!$A$6:$ZZ$1048576"), MATCH(AX$1, SepR!$6:$6, 0), FALSE),
            0
        ) +
        IFERROR(
            VLOOKUP($A54, INDIRECT("OctR!$A$6:$ZZ$1048576"), MATCH(AX$1, OctR!$6:$6, 0), FALSE),
            0
        ) +
        IFERROR(
            VLOOKUP($A54, INDIRECT("NovR!$A$6:$ZZ$1048576"), MATCH(AX$1, NovR!$6:$6, 0), FALSE),
            0
        ) +
        IFERROR(
            VLOOKUP($A54, INDIRECT("DicR!$A$6:$ZZ$1048576"), MATCH(AX$1, DicR!$6:$6, 0), FALSE),
            0
        )
)</f>
        <v>0</v>
      </c>
      <c r="AY54" s="35">
        <f t="array" ref="AY54">SUM(
    IFERROR(
            VLOOKUP($A54, INDIRECT("EneR!$A$6:$ZZ$1048576"), MATCH(AY$1, EneR!$6:$6, 0), FALSE),
            0
        ) +
        IFERROR(
            VLOOKUP($A54, INDIRECT("FebR!$A$6:$ZZ$1048576"), MATCH(AY$1, FebR!$6:$6, 0), FALSE),
            0
        ) +
        IFERROR(
            VLOOKUP($A54, INDIRECT("MarR!$A$6:$ZZ$1048576"), MATCH(AY$1, MarR!$6:$6, 0), FALSE),
            0
        ) +
        IFERROR(
            VLOOKUP($A54, INDIRECT("AbrR!$A$6:$ZZ$1048576"), MATCH(AY$1, AbrR!$6:$6, 0), FALSE),
            0
        ) +
        IFERROR(
            VLOOKUP($A54, INDIRECT("MayR!$A$6:$ZZ$1048576"), MATCH(AY$1, MayR!$6:$6, 0), FALSE),
            0
        ) +
        IFERROR(
            VLOOKUP($A54, INDIRECT("JunR!$A$6:$ZZ$1048576"), MATCH(AY$1, JunR!$6:$6, 0), FALSE),
            0
        ) +
        IFERROR(
            VLOOKUP($A54, INDIRECT("JulR!$A$6:$ZZ$1048576"), MATCH(AY$1, JulR!$6:$6, 0), FALSE),
            0
        ) +
        IFERROR(
            VLOOKUP($A54, INDIRECT("AgoR!$A$6:$ZZ$1048576"), MATCH(AY$1, AgoR!$6:$6, 0), FALSE),
            0
        ) +
        IFERROR(
            VLOOKUP($A54, INDIRECT("SepR!$A$6:$ZZ$1048576"), MATCH(AY$1, SepR!$6:$6, 0), FALSE),
            0
        ) +
        IFERROR(
            VLOOKUP($A54, INDIRECT("OctR!$A$6:$ZZ$1048576"), MATCH(AY$1, OctR!$6:$6, 0), FALSE),
            0
        ) +
        IFERROR(
            VLOOKUP($A54, INDIRECT("NovR!$A$6:$ZZ$1048576"), MATCH(AY$1, NovR!$6:$6, 0), FALSE),
            0
        ) +
        IFERROR(
            VLOOKUP($A54, INDIRECT("DicR!$A$6:$ZZ$1048576"), MATCH(AY$1, DicR!$6:$6, 0), FALSE),
            0
        )
)</f>
        <v>0</v>
      </c>
      <c r="AZ54" s="35"/>
    </row>
    <row r="55" ht="15.75" customHeight="1">
      <c r="A55" s="12" t="str">
        <f>Menus!B16</f>
        <v/>
      </c>
      <c r="B55" s="32">
        <f t="shared" si="9"/>
        <v>0</v>
      </c>
      <c r="C55" s="33" t="str">
        <f t="shared" si="10"/>
        <v/>
      </c>
      <c r="D55" s="34">
        <f t="array" ref="D55">SUM(
    IFERROR(
            VLOOKUP($A55, INDIRECT("EneR!$A$6:$ZZ$1048576"), MATCH(D$1, EneR!$6:$6, 0), FALSE),
            0
        ) +
        IFERROR(
            VLOOKUP($A55, INDIRECT("FebR!$A$6:$ZZ$1048576"), MATCH(D$1, FebR!$6:$6, 0), FALSE),
            0
        ) +
        IFERROR(
            VLOOKUP($A55, INDIRECT("MarR!$A$6:$ZZ$1048576"), MATCH(D$1, MarR!$6:$6, 0), FALSE),
            0
        ) +
        IFERROR(
            VLOOKUP($A55, INDIRECT("AbrR!$A$6:$ZZ$1048576"), MATCH(D$1, AbrR!$6:$6, 0), FALSE),
            0
        ) +
        IFERROR(
            VLOOKUP($A55, INDIRECT("MayR!$A$6:$ZZ$1048576"), MATCH(D$1, MayR!$6:$6, 0), FALSE),
            0
        ) +
        IFERROR(
            VLOOKUP($A55, INDIRECT("JunR!$A$6:$ZZ$1048576"), MATCH(D$1, JunR!$6:$6, 0), FALSE),
            0
        ) +
        IFERROR(
            VLOOKUP($A55, INDIRECT("JulR!$A$6:$ZZ$1048576"), MATCH(D$1, JulR!$6:$6, 0), FALSE),
            0
        ) +
        IFERROR(
            VLOOKUP($A55, INDIRECT("AgoR!$A$6:$ZZ$1048576"), MATCH(D$1, AgoR!$6:$6, 0), FALSE),
            0
        ) +
        IFERROR(
            VLOOKUP($A55, INDIRECT("SepR!$A$6:$ZZ$1048576"), MATCH(D$1, SepR!$6:$6, 0), FALSE),
            0
        ) +
        IFERROR(
            VLOOKUP($A55, INDIRECT("OctR!$A$6:$ZZ$1048576"), MATCH(D$1, OctR!$6:$6, 0), FALSE),
            0
        ) +
        IFERROR(
            VLOOKUP($A55, INDIRECT("NovR!$A$6:$ZZ$1048576"), MATCH(D$1, NovR!$6:$6, 0), FALSE),
            0
        ) +
        IFERROR(
            VLOOKUP($A55, INDIRECT("DicR!$A$6:$ZZ$1048576"), MATCH(D$1, DicR!$6:$6, 0), FALSE),
            0
        )
)</f>
        <v>0</v>
      </c>
      <c r="E55" s="35">
        <f t="array" ref="E55">SUM(
    IFERROR(
            VLOOKUP($A55, INDIRECT("EneR!$A$6:$ZZ$1048576"), MATCH(E$1, EneR!$6:$6, 0), FALSE),
            0
        ) +
        IFERROR(
            VLOOKUP($A55, INDIRECT("FebR!$A$6:$ZZ$1048576"), MATCH(E$1, FebR!$6:$6, 0), FALSE),
            0
        ) +
        IFERROR(
            VLOOKUP($A55, INDIRECT("MarR!$A$6:$ZZ$1048576"), MATCH(E$1, MarR!$6:$6, 0), FALSE),
            0
        ) +
        IFERROR(
            VLOOKUP($A55, INDIRECT("AbrR!$A$6:$ZZ$1048576"), MATCH(E$1, AbrR!$6:$6, 0), FALSE),
            0
        ) +
        IFERROR(
            VLOOKUP($A55, INDIRECT("MayR!$A$6:$ZZ$1048576"), MATCH(E$1, MayR!$6:$6, 0), FALSE),
            0
        ) +
        IFERROR(
            VLOOKUP($A55, INDIRECT("JunR!$A$6:$ZZ$1048576"), MATCH(E$1, JunR!$6:$6, 0), FALSE),
            0
        ) +
        IFERROR(
            VLOOKUP($A55, INDIRECT("JulR!$A$6:$ZZ$1048576"), MATCH(E$1, JulR!$6:$6, 0), FALSE),
            0
        ) +
        IFERROR(
            VLOOKUP($A55, INDIRECT("AgoR!$A$6:$ZZ$1048576"), MATCH(E$1, AgoR!$6:$6, 0), FALSE),
            0
        ) +
        IFERROR(
            VLOOKUP($A55, INDIRECT("SepR!$A$6:$ZZ$1048576"), MATCH(E$1, SepR!$6:$6, 0), FALSE),
            0
        ) +
        IFERROR(
            VLOOKUP($A55, INDIRECT("OctR!$A$6:$ZZ$1048576"), MATCH(E$1, OctR!$6:$6, 0), FALSE),
            0
        ) +
        IFERROR(
            VLOOKUP($A55, INDIRECT("NovR!$A$6:$ZZ$1048576"), MATCH(E$1, NovR!$6:$6, 0), FALSE),
            0
        ) +
        IFERROR(
            VLOOKUP($A55, INDIRECT("DicR!$A$6:$ZZ$1048576"), MATCH(E$1, DicR!$6:$6, 0), FALSE),
            0
        )
)</f>
        <v>0</v>
      </c>
      <c r="F55" s="32">
        <f t="array" ref="F55">SUM(
    IFERROR(
            VLOOKUP($A55, INDIRECT("EneR!$A$6:$ZZ$1048576"), MATCH(F$1, EneR!$6:$6, 0), FALSE),
            0
        ) +
        IFERROR(
            VLOOKUP($A55, INDIRECT("FebR!$A$6:$ZZ$1048576"), MATCH(F$1, FebR!$6:$6, 0), FALSE),
            0
        ) +
        IFERROR(
            VLOOKUP($A55, INDIRECT("MarR!$A$6:$ZZ$1048576"), MATCH(F$1, MarR!$6:$6, 0), FALSE),
            0
        ) +
        IFERROR(
            VLOOKUP($A55, INDIRECT("AbrR!$A$6:$ZZ$1048576"), MATCH(F$1, AbrR!$6:$6, 0), FALSE),
            0
        ) +
        IFERROR(
            VLOOKUP($A55, INDIRECT("MayR!$A$6:$ZZ$1048576"), MATCH(F$1, MayR!$6:$6, 0), FALSE),
            0
        ) +
        IFERROR(
            VLOOKUP($A55, INDIRECT("JunR!$A$6:$ZZ$1048576"), MATCH(F$1, JunR!$6:$6, 0), FALSE),
            0
        ) +
        IFERROR(
            VLOOKUP($A55, INDIRECT("JulR!$A$6:$ZZ$1048576"), MATCH(F$1, JulR!$6:$6, 0), FALSE),
            0
        ) +
        IFERROR(
            VLOOKUP($A55, INDIRECT("AgoR!$A$6:$ZZ$1048576"), MATCH(F$1, AgoR!$6:$6, 0), FALSE),
            0
        ) +
        IFERROR(
            VLOOKUP($A55, INDIRECT("SepR!$A$6:$ZZ$1048576"), MATCH(F$1, SepR!$6:$6, 0), FALSE),
            0
        ) +
        IFERROR(
            VLOOKUP($A55, INDIRECT("OctR!$A$6:$ZZ$1048576"), MATCH(F$1, OctR!$6:$6, 0), FALSE),
            0
        ) +
        IFERROR(
            VLOOKUP($A55, INDIRECT("NovR!$A$6:$ZZ$1048576"), MATCH(F$1, NovR!$6:$6, 0), FALSE),
            0
        ) +
        IFERROR(
            VLOOKUP($A55, INDIRECT("DicR!$A$6:$ZZ$1048576"), MATCH(F$1, DicR!$6:$6, 0), FALSE),
            0
        )
)</f>
        <v>0</v>
      </c>
      <c r="G55" s="35">
        <f t="array" ref="G55">SUM(
    IFERROR(
            VLOOKUP($A55, INDIRECT("EneR!$A$6:$ZZ$1048576"), MATCH(G$1, EneR!$6:$6, 0), FALSE),
            0
        ) +
        IFERROR(
            VLOOKUP($A55, INDIRECT("FebR!$A$6:$ZZ$1048576"), MATCH(G$1, FebR!$6:$6, 0), FALSE),
            0
        ) +
        IFERROR(
            VLOOKUP($A55, INDIRECT("MarR!$A$6:$ZZ$1048576"), MATCH(G$1, MarR!$6:$6, 0), FALSE),
            0
        ) +
        IFERROR(
            VLOOKUP($A55, INDIRECT("AbrR!$A$6:$ZZ$1048576"), MATCH(G$1, AbrR!$6:$6, 0), FALSE),
            0
        ) +
        IFERROR(
            VLOOKUP($A55, INDIRECT("MayR!$A$6:$ZZ$1048576"), MATCH(G$1, MayR!$6:$6, 0), FALSE),
            0
        ) +
        IFERROR(
            VLOOKUP($A55, INDIRECT("JunR!$A$6:$ZZ$1048576"), MATCH(G$1, JunR!$6:$6, 0), FALSE),
            0
        ) +
        IFERROR(
            VLOOKUP($A55, INDIRECT("JulR!$A$6:$ZZ$1048576"), MATCH(G$1, JulR!$6:$6, 0), FALSE),
            0
        ) +
        IFERROR(
            VLOOKUP($A55, INDIRECT("AgoR!$A$6:$ZZ$1048576"), MATCH(G$1, AgoR!$6:$6, 0), FALSE),
            0
        ) +
        IFERROR(
            VLOOKUP($A55, INDIRECT("SepR!$A$6:$ZZ$1048576"), MATCH(G$1, SepR!$6:$6, 0), FALSE),
            0
        ) +
        IFERROR(
            VLOOKUP($A55, INDIRECT("OctR!$A$6:$ZZ$1048576"), MATCH(G$1, OctR!$6:$6, 0), FALSE),
            0
        ) +
        IFERROR(
            VLOOKUP($A55, INDIRECT("NovR!$A$6:$ZZ$1048576"), MATCH(G$1, NovR!$6:$6, 0), FALSE),
            0
        ) +
        IFERROR(
            VLOOKUP($A55, INDIRECT("DicR!$A$6:$ZZ$1048576"), MATCH(G$1, DicR!$6:$6, 0), FALSE),
            0
        )
)</f>
        <v>0</v>
      </c>
      <c r="H55" s="32">
        <f t="array" ref="H55">SUM(
    IFERROR(
            VLOOKUP($A55, INDIRECT("EneR!$A$6:$ZZ$1048576"), MATCH(H$1, EneR!$6:$6, 0), FALSE),
            0
        ) +
        IFERROR(
            VLOOKUP($A55, INDIRECT("FebR!$A$6:$ZZ$1048576"), MATCH(H$1, FebR!$6:$6, 0), FALSE),
            0
        ) +
        IFERROR(
            VLOOKUP($A55, INDIRECT("MarR!$A$6:$ZZ$1048576"), MATCH(H$1, MarR!$6:$6, 0), FALSE),
            0
        ) +
        IFERROR(
            VLOOKUP($A55, INDIRECT("AbrR!$A$6:$ZZ$1048576"), MATCH(H$1, AbrR!$6:$6, 0), FALSE),
            0
        ) +
        IFERROR(
            VLOOKUP($A55, INDIRECT("MayR!$A$6:$ZZ$1048576"), MATCH(H$1, MayR!$6:$6, 0), FALSE),
            0
        ) +
        IFERROR(
            VLOOKUP($A55, INDIRECT("JunR!$A$6:$ZZ$1048576"), MATCH(H$1, JunR!$6:$6, 0), FALSE),
            0
        ) +
        IFERROR(
            VLOOKUP($A55, INDIRECT("JulR!$A$6:$ZZ$1048576"), MATCH(H$1, JulR!$6:$6, 0), FALSE),
            0
        ) +
        IFERROR(
            VLOOKUP($A55, INDIRECT("AgoR!$A$6:$ZZ$1048576"), MATCH(H$1, AgoR!$6:$6, 0), FALSE),
            0
        ) +
        IFERROR(
            VLOOKUP($A55, INDIRECT("SepR!$A$6:$ZZ$1048576"), MATCH(H$1, SepR!$6:$6, 0), FALSE),
            0
        ) +
        IFERROR(
            VLOOKUP($A55, INDIRECT("OctR!$A$6:$ZZ$1048576"), MATCH(H$1, OctR!$6:$6, 0), FALSE),
            0
        ) +
        IFERROR(
            VLOOKUP($A55, INDIRECT("NovR!$A$6:$ZZ$1048576"), MATCH(H$1, NovR!$6:$6, 0), FALSE),
            0
        ) +
        IFERROR(
            VLOOKUP($A55, INDIRECT("DicR!$A$6:$ZZ$1048576"), MATCH(H$1, DicR!$6:$6, 0), FALSE),
            0
        )
)</f>
        <v>0</v>
      </c>
      <c r="I55" s="35">
        <f t="array" ref="I55">SUM(
    IFERROR(
            VLOOKUP($A55, INDIRECT("EneR!$A$6:$ZZ$1048576"), MATCH(I$1, EneR!$6:$6, 0), FALSE),
            0
        ) +
        IFERROR(
            VLOOKUP($A55, INDIRECT("FebR!$A$6:$ZZ$1048576"), MATCH(I$1, FebR!$6:$6, 0), FALSE),
            0
        ) +
        IFERROR(
            VLOOKUP($A55, INDIRECT("MarR!$A$6:$ZZ$1048576"), MATCH(I$1, MarR!$6:$6, 0), FALSE),
            0
        ) +
        IFERROR(
            VLOOKUP($A55, INDIRECT("AbrR!$A$6:$ZZ$1048576"), MATCH(I$1, AbrR!$6:$6, 0), FALSE),
            0
        ) +
        IFERROR(
            VLOOKUP($A55, INDIRECT("MayR!$A$6:$ZZ$1048576"), MATCH(I$1, MayR!$6:$6, 0), FALSE),
            0
        ) +
        IFERROR(
            VLOOKUP($A55, INDIRECT("JunR!$A$6:$ZZ$1048576"), MATCH(I$1, JunR!$6:$6, 0), FALSE),
            0
        ) +
        IFERROR(
            VLOOKUP($A55, INDIRECT("JulR!$A$6:$ZZ$1048576"), MATCH(I$1, JulR!$6:$6, 0), FALSE),
            0
        ) +
        IFERROR(
            VLOOKUP($A55, INDIRECT("AgoR!$A$6:$ZZ$1048576"), MATCH(I$1, AgoR!$6:$6, 0), FALSE),
            0
        ) +
        IFERROR(
            VLOOKUP($A55, INDIRECT("SepR!$A$6:$ZZ$1048576"), MATCH(I$1, SepR!$6:$6, 0), FALSE),
            0
        ) +
        IFERROR(
            VLOOKUP($A55, INDIRECT("OctR!$A$6:$ZZ$1048576"), MATCH(I$1, OctR!$6:$6, 0), FALSE),
            0
        ) +
        IFERROR(
            VLOOKUP($A55, INDIRECT("NovR!$A$6:$ZZ$1048576"), MATCH(I$1, NovR!$6:$6, 0), FALSE),
            0
        ) +
        IFERROR(
            VLOOKUP($A55, INDIRECT("DicR!$A$6:$ZZ$1048576"), MATCH(I$1, DicR!$6:$6, 0), FALSE),
            0
        )
)</f>
        <v>0</v>
      </c>
      <c r="J55" s="32">
        <f t="array" ref="J55">SUM(
    IFERROR(
            VLOOKUP($A55, INDIRECT("EneR!$A$6:$ZZ$1048576"), MATCH(J$1, EneR!$6:$6, 0), FALSE),
            0
        ) +
        IFERROR(
            VLOOKUP($A55, INDIRECT("FebR!$A$6:$ZZ$1048576"), MATCH(J$1, FebR!$6:$6, 0), FALSE),
            0
        ) +
        IFERROR(
            VLOOKUP($A55, INDIRECT("MarR!$A$6:$ZZ$1048576"), MATCH(J$1, MarR!$6:$6, 0), FALSE),
            0
        ) +
        IFERROR(
            VLOOKUP($A55, INDIRECT("AbrR!$A$6:$ZZ$1048576"), MATCH(J$1, AbrR!$6:$6, 0), FALSE),
            0
        ) +
        IFERROR(
            VLOOKUP($A55, INDIRECT("MayR!$A$6:$ZZ$1048576"), MATCH(J$1, MayR!$6:$6, 0), FALSE),
            0
        ) +
        IFERROR(
            VLOOKUP($A55, INDIRECT("JunR!$A$6:$ZZ$1048576"), MATCH(J$1, JunR!$6:$6, 0), FALSE),
            0
        ) +
        IFERROR(
            VLOOKUP($A55, INDIRECT("JulR!$A$6:$ZZ$1048576"), MATCH(J$1, JulR!$6:$6, 0), FALSE),
            0
        ) +
        IFERROR(
            VLOOKUP($A55, INDIRECT("AgoR!$A$6:$ZZ$1048576"), MATCH(J$1, AgoR!$6:$6, 0), FALSE),
            0
        ) +
        IFERROR(
            VLOOKUP($A55, INDIRECT("SepR!$A$6:$ZZ$1048576"), MATCH(J$1, SepR!$6:$6, 0), FALSE),
            0
        ) +
        IFERROR(
            VLOOKUP($A55, INDIRECT("OctR!$A$6:$ZZ$1048576"), MATCH(J$1, OctR!$6:$6, 0), FALSE),
            0
        ) +
        IFERROR(
            VLOOKUP($A55, INDIRECT("NovR!$A$6:$ZZ$1048576"), MATCH(J$1, NovR!$6:$6, 0), FALSE),
            0
        ) +
        IFERROR(
            VLOOKUP($A55, INDIRECT("DicR!$A$6:$ZZ$1048576"), MATCH(J$1, DicR!$6:$6, 0), FALSE),
            0
        )
)</f>
        <v>0</v>
      </c>
      <c r="K55" s="35">
        <f t="array" ref="K55">SUM(
    IFERROR(
            VLOOKUP($A55, INDIRECT("EneR!$A$6:$ZZ$1048576"), MATCH(K$1, EneR!$6:$6, 0), FALSE),
            0
        ) +
        IFERROR(
            VLOOKUP($A55, INDIRECT("FebR!$A$6:$ZZ$1048576"), MATCH(K$1, FebR!$6:$6, 0), FALSE),
            0
        ) +
        IFERROR(
            VLOOKUP($A55, INDIRECT("MarR!$A$6:$ZZ$1048576"), MATCH(K$1, MarR!$6:$6, 0), FALSE),
            0
        ) +
        IFERROR(
            VLOOKUP($A55, INDIRECT("AbrR!$A$6:$ZZ$1048576"), MATCH(K$1, AbrR!$6:$6, 0), FALSE),
            0
        ) +
        IFERROR(
            VLOOKUP($A55, INDIRECT("MayR!$A$6:$ZZ$1048576"), MATCH(K$1, MayR!$6:$6, 0), FALSE),
            0
        ) +
        IFERROR(
            VLOOKUP($A55, INDIRECT("JunR!$A$6:$ZZ$1048576"), MATCH(K$1, JunR!$6:$6, 0), FALSE),
            0
        ) +
        IFERROR(
            VLOOKUP($A55, INDIRECT("JulR!$A$6:$ZZ$1048576"), MATCH(K$1, JulR!$6:$6, 0), FALSE),
            0
        ) +
        IFERROR(
            VLOOKUP($A55, INDIRECT("AgoR!$A$6:$ZZ$1048576"), MATCH(K$1, AgoR!$6:$6, 0), FALSE),
            0
        ) +
        IFERROR(
            VLOOKUP($A55, INDIRECT("SepR!$A$6:$ZZ$1048576"), MATCH(K$1, SepR!$6:$6, 0), FALSE),
            0
        ) +
        IFERROR(
            VLOOKUP($A55, INDIRECT("OctR!$A$6:$ZZ$1048576"), MATCH(K$1, OctR!$6:$6, 0), FALSE),
            0
        ) +
        IFERROR(
            VLOOKUP($A55, INDIRECT("NovR!$A$6:$ZZ$1048576"), MATCH(K$1, NovR!$6:$6, 0), FALSE),
            0
        ) +
        IFERROR(
            VLOOKUP($A55, INDIRECT("DicR!$A$6:$ZZ$1048576"), MATCH(K$1, DicR!$6:$6, 0), FALSE),
            0
        )
)</f>
        <v>0</v>
      </c>
      <c r="L55" s="32">
        <f t="array" ref="L55">SUM(
    IFERROR(
            VLOOKUP($A55, INDIRECT("EneR!$A$6:$ZZ$1048576"), MATCH(L$1, EneR!$6:$6, 0), FALSE),
            0
        ) +
        IFERROR(
            VLOOKUP($A55, INDIRECT("FebR!$A$6:$ZZ$1048576"), MATCH(L$1, FebR!$6:$6, 0), FALSE),
            0
        ) +
        IFERROR(
            VLOOKUP($A55, INDIRECT("MarR!$A$6:$ZZ$1048576"), MATCH(L$1, MarR!$6:$6, 0), FALSE),
            0
        ) +
        IFERROR(
            VLOOKUP($A55, INDIRECT("AbrR!$A$6:$ZZ$1048576"), MATCH(L$1, AbrR!$6:$6, 0), FALSE),
            0
        ) +
        IFERROR(
            VLOOKUP($A55, INDIRECT("MayR!$A$6:$ZZ$1048576"), MATCH(L$1, MayR!$6:$6, 0), FALSE),
            0
        ) +
        IFERROR(
            VLOOKUP($A55, INDIRECT("JunR!$A$6:$ZZ$1048576"), MATCH(L$1, JunR!$6:$6, 0), FALSE),
            0
        ) +
        IFERROR(
            VLOOKUP($A55, INDIRECT("JulR!$A$6:$ZZ$1048576"), MATCH(L$1, JulR!$6:$6, 0), FALSE),
            0
        ) +
        IFERROR(
            VLOOKUP($A55, INDIRECT("AgoR!$A$6:$ZZ$1048576"), MATCH(L$1, AgoR!$6:$6, 0), FALSE),
            0
        ) +
        IFERROR(
            VLOOKUP($A55, INDIRECT("SepR!$A$6:$ZZ$1048576"), MATCH(L$1, SepR!$6:$6, 0), FALSE),
            0
        ) +
        IFERROR(
            VLOOKUP($A55, INDIRECT("OctR!$A$6:$ZZ$1048576"), MATCH(L$1, OctR!$6:$6, 0), FALSE),
            0
        ) +
        IFERROR(
            VLOOKUP($A55, INDIRECT("NovR!$A$6:$ZZ$1048576"), MATCH(L$1, NovR!$6:$6, 0), FALSE),
            0
        ) +
        IFERROR(
            VLOOKUP($A55, INDIRECT("DicR!$A$6:$ZZ$1048576"), MATCH(L$1, DicR!$6:$6, 0), FALSE),
            0
        )
)</f>
        <v>0</v>
      </c>
      <c r="M55" s="35">
        <f t="array" ref="M55">SUM(
    IFERROR(
            VLOOKUP($A55, INDIRECT("EneR!$A$6:$ZZ$1048576"), MATCH(M$1, EneR!$6:$6, 0), FALSE),
            0
        ) +
        IFERROR(
            VLOOKUP($A55, INDIRECT("FebR!$A$6:$ZZ$1048576"), MATCH(M$1, FebR!$6:$6, 0), FALSE),
            0
        ) +
        IFERROR(
            VLOOKUP($A55, INDIRECT("MarR!$A$6:$ZZ$1048576"), MATCH(M$1, MarR!$6:$6, 0), FALSE),
            0
        ) +
        IFERROR(
            VLOOKUP($A55, INDIRECT("AbrR!$A$6:$ZZ$1048576"), MATCH(M$1, AbrR!$6:$6, 0), FALSE),
            0
        ) +
        IFERROR(
            VLOOKUP($A55, INDIRECT("MayR!$A$6:$ZZ$1048576"), MATCH(M$1, MayR!$6:$6, 0), FALSE),
            0
        ) +
        IFERROR(
            VLOOKUP($A55, INDIRECT("JunR!$A$6:$ZZ$1048576"), MATCH(M$1, JunR!$6:$6, 0), FALSE),
            0
        ) +
        IFERROR(
            VLOOKUP($A55, INDIRECT("JulR!$A$6:$ZZ$1048576"), MATCH(M$1, JulR!$6:$6, 0), FALSE),
            0
        ) +
        IFERROR(
            VLOOKUP($A55, INDIRECT("AgoR!$A$6:$ZZ$1048576"), MATCH(M$1, AgoR!$6:$6, 0), FALSE),
            0
        ) +
        IFERROR(
            VLOOKUP($A55, INDIRECT("SepR!$A$6:$ZZ$1048576"), MATCH(M$1, SepR!$6:$6, 0), FALSE),
            0
        ) +
        IFERROR(
            VLOOKUP($A55, INDIRECT("OctR!$A$6:$ZZ$1048576"), MATCH(M$1, OctR!$6:$6, 0), FALSE),
            0
        ) +
        IFERROR(
            VLOOKUP($A55, INDIRECT("NovR!$A$6:$ZZ$1048576"), MATCH(M$1, NovR!$6:$6, 0), FALSE),
            0
        ) +
        IFERROR(
            VLOOKUP($A55, INDIRECT("DicR!$A$6:$ZZ$1048576"), MATCH(M$1, DicR!$6:$6, 0), FALSE),
            0
        )
)</f>
        <v>0</v>
      </c>
      <c r="N55" s="32">
        <f t="array" ref="N55">SUM(
    IFERROR(
            VLOOKUP($A55, INDIRECT("EneR!$A$6:$ZZ$1048576"), MATCH(N$1, EneR!$6:$6, 0), FALSE),
            0
        ) +
        IFERROR(
            VLOOKUP($A55, INDIRECT("FebR!$A$6:$ZZ$1048576"), MATCH(N$1, FebR!$6:$6, 0), FALSE),
            0
        ) +
        IFERROR(
            VLOOKUP($A55, INDIRECT("MarR!$A$6:$ZZ$1048576"), MATCH(N$1, MarR!$6:$6, 0), FALSE),
            0
        ) +
        IFERROR(
            VLOOKUP($A55, INDIRECT("AbrR!$A$6:$ZZ$1048576"), MATCH(N$1, AbrR!$6:$6, 0), FALSE),
            0
        ) +
        IFERROR(
            VLOOKUP($A55, INDIRECT("MayR!$A$6:$ZZ$1048576"), MATCH(N$1, MayR!$6:$6, 0), FALSE),
            0
        ) +
        IFERROR(
            VLOOKUP($A55, INDIRECT("JunR!$A$6:$ZZ$1048576"), MATCH(N$1, JunR!$6:$6, 0), FALSE),
            0
        ) +
        IFERROR(
            VLOOKUP($A55, INDIRECT("JulR!$A$6:$ZZ$1048576"), MATCH(N$1, JulR!$6:$6, 0), FALSE),
            0
        ) +
        IFERROR(
            VLOOKUP($A55, INDIRECT("AgoR!$A$6:$ZZ$1048576"), MATCH(N$1, AgoR!$6:$6, 0), FALSE),
            0
        ) +
        IFERROR(
            VLOOKUP($A55, INDIRECT("SepR!$A$6:$ZZ$1048576"), MATCH(N$1, SepR!$6:$6, 0), FALSE),
            0
        ) +
        IFERROR(
            VLOOKUP($A55, INDIRECT("OctR!$A$6:$ZZ$1048576"), MATCH(N$1, OctR!$6:$6, 0), FALSE),
            0
        ) +
        IFERROR(
            VLOOKUP($A55, INDIRECT("NovR!$A$6:$ZZ$1048576"), MATCH(N$1, NovR!$6:$6, 0), FALSE),
            0
        ) +
        IFERROR(
            VLOOKUP($A55, INDIRECT("DicR!$A$6:$ZZ$1048576"), MATCH(N$1, DicR!$6:$6, 0), FALSE),
            0
        )
)</f>
        <v>0</v>
      </c>
      <c r="O55" s="35">
        <f t="array" ref="O55">SUM(
    IFERROR(
            VLOOKUP($A55, INDIRECT("EneR!$A$6:$ZZ$1048576"), MATCH(O$1, EneR!$6:$6, 0), FALSE),
            0
        ) +
        IFERROR(
            VLOOKUP($A55, INDIRECT("FebR!$A$6:$ZZ$1048576"), MATCH(O$1, FebR!$6:$6, 0), FALSE),
            0
        ) +
        IFERROR(
            VLOOKUP($A55, INDIRECT("MarR!$A$6:$ZZ$1048576"), MATCH(O$1, MarR!$6:$6, 0), FALSE),
            0
        ) +
        IFERROR(
            VLOOKUP($A55, INDIRECT("AbrR!$A$6:$ZZ$1048576"), MATCH(O$1, AbrR!$6:$6, 0), FALSE),
            0
        ) +
        IFERROR(
            VLOOKUP($A55, INDIRECT("MayR!$A$6:$ZZ$1048576"), MATCH(O$1, MayR!$6:$6, 0), FALSE),
            0
        ) +
        IFERROR(
            VLOOKUP($A55, INDIRECT("JunR!$A$6:$ZZ$1048576"), MATCH(O$1, JunR!$6:$6, 0), FALSE),
            0
        ) +
        IFERROR(
            VLOOKUP($A55, INDIRECT("JulR!$A$6:$ZZ$1048576"), MATCH(O$1, JulR!$6:$6, 0), FALSE),
            0
        ) +
        IFERROR(
            VLOOKUP($A55, INDIRECT("AgoR!$A$6:$ZZ$1048576"), MATCH(O$1, AgoR!$6:$6, 0), FALSE),
            0
        ) +
        IFERROR(
            VLOOKUP($A55, INDIRECT("SepR!$A$6:$ZZ$1048576"), MATCH(O$1, SepR!$6:$6, 0), FALSE),
            0
        ) +
        IFERROR(
            VLOOKUP($A55, INDIRECT("OctR!$A$6:$ZZ$1048576"), MATCH(O$1, OctR!$6:$6, 0), FALSE),
            0
        ) +
        IFERROR(
            VLOOKUP($A55, INDIRECT("NovR!$A$6:$ZZ$1048576"), MATCH(O$1, NovR!$6:$6, 0), FALSE),
            0
        ) +
        IFERROR(
            VLOOKUP($A55, INDIRECT("DicR!$A$6:$ZZ$1048576"), MATCH(O$1, DicR!$6:$6, 0), FALSE),
            0
        )
)</f>
        <v>0</v>
      </c>
      <c r="P55" s="32">
        <f t="array" ref="P55">SUM(
    IFERROR(
            VLOOKUP($A55, INDIRECT("EneR!$A$6:$ZZ$1048576"), MATCH(P$1, EneR!$6:$6, 0), FALSE),
            0
        ) +
        IFERROR(
            VLOOKUP($A55, INDIRECT("FebR!$A$6:$ZZ$1048576"), MATCH(P$1, FebR!$6:$6, 0), FALSE),
            0
        ) +
        IFERROR(
            VLOOKUP($A55, INDIRECT("MarR!$A$6:$ZZ$1048576"), MATCH(P$1, MarR!$6:$6, 0), FALSE),
            0
        ) +
        IFERROR(
            VLOOKUP($A55, INDIRECT("AbrR!$A$6:$ZZ$1048576"), MATCH(P$1, AbrR!$6:$6, 0), FALSE),
            0
        ) +
        IFERROR(
            VLOOKUP($A55, INDIRECT("MayR!$A$6:$ZZ$1048576"), MATCH(P$1, MayR!$6:$6, 0), FALSE),
            0
        ) +
        IFERROR(
            VLOOKUP($A55, INDIRECT("JunR!$A$6:$ZZ$1048576"), MATCH(P$1, JunR!$6:$6, 0), FALSE),
            0
        ) +
        IFERROR(
            VLOOKUP($A55, INDIRECT("JulR!$A$6:$ZZ$1048576"), MATCH(P$1, JulR!$6:$6, 0), FALSE),
            0
        ) +
        IFERROR(
            VLOOKUP($A55, INDIRECT("AgoR!$A$6:$ZZ$1048576"), MATCH(P$1, AgoR!$6:$6, 0), FALSE),
            0
        ) +
        IFERROR(
            VLOOKUP($A55, INDIRECT("SepR!$A$6:$ZZ$1048576"), MATCH(P$1, SepR!$6:$6, 0), FALSE),
            0
        ) +
        IFERROR(
            VLOOKUP($A55, INDIRECT("OctR!$A$6:$ZZ$1048576"), MATCH(P$1, OctR!$6:$6, 0), FALSE),
            0
        ) +
        IFERROR(
            VLOOKUP($A55, INDIRECT("NovR!$A$6:$ZZ$1048576"), MATCH(P$1, NovR!$6:$6, 0), FALSE),
            0
        ) +
        IFERROR(
            VLOOKUP($A55, INDIRECT("DicR!$A$6:$ZZ$1048576"), MATCH(P$1, DicR!$6:$6, 0), FALSE),
            0
        )
)</f>
        <v>0</v>
      </c>
      <c r="Q55" s="35">
        <f t="array" ref="Q55">SUM(
    IFERROR(
            VLOOKUP($A55, INDIRECT("EneR!$A$6:$ZZ$1048576"), MATCH(Q$1, EneR!$6:$6, 0), FALSE),
            0
        ) +
        IFERROR(
            VLOOKUP($A55, INDIRECT("FebR!$A$6:$ZZ$1048576"), MATCH(Q$1, FebR!$6:$6, 0), FALSE),
            0
        ) +
        IFERROR(
            VLOOKUP($A55, INDIRECT("MarR!$A$6:$ZZ$1048576"), MATCH(Q$1, MarR!$6:$6, 0), FALSE),
            0
        ) +
        IFERROR(
            VLOOKUP($A55, INDIRECT("AbrR!$A$6:$ZZ$1048576"), MATCH(Q$1, AbrR!$6:$6, 0), FALSE),
            0
        ) +
        IFERROR(
            VLOOKUP($A55, INDIRECT("MayR!$A$6:$ZZ$1048576"), MATCH(Q$1, MayR!$6:$6, 0), FALSE),
            0
        ) +
        IFERROR(
            VLOOKUP($A55, INDIRECT("JunR!$A$6:$ZZ$1048576"), MATCH(Q$1, JunR!$6:$6, 0), FALSE),
            0
        ) +
        IFERROR(
            VLOOKUP($A55, INDIRECT("JulR!$A$6:$ZZ$1048576"), MATCH(Q$1, JulR!$6:$6, 0), FALSE),
            0
        ) +
        IFERROR(
            VLOOKUP($A55, INDIRECT("AgoR!$A$6:$ZZ$1048576"), MATCH(Q$1, AgoR!$6:$6, 0), FALSE),
            0
        ) +
        IFERROR(
            VLOOKUP($A55, INDIRECT("SepR!$A$6:$ZZ$1048576"), MATCH(Q$1, SepR!$6:$6, 0), FALSE),
            0
        ) +
        IFERROR(
            VLOOKUP($A55, INDIRECT("OctR!$A$6:$ZZ$1048576"), MATCH(Q$1, OctR!$6:$6, 0), FALSE),
            0
        ) +
        IFERROR(
            VLOOKUP($A55, INDIRECT("NovR!$A$6:$ZZ$1048576"), MATCH(Q$1, NovR!$6:$6, 0), FALSE),
            0
        ) +
        IFERROR(
            VLOOKUP($A55, INDIRECT("DicR!$A$6:$ZZ$1048576"), MATCH(Q$1, DicR!$6:$6, 0), FALSE),
            0
        )
)</f>
        <v>0</v>
      </c>
      <c r="R55" s="36">
        <f t="array" ref="R55">SUM(
    IFERROR(
            VLOOKUP($A55, INDIRECT("EneR!$A$6:$ZZ$1048576"), MATCH(R$1, EneR!$6:$6, 0), FALSE),
            0
        ) +
        IFERROR(
            VLOOKUP($A55, INDIRECT("FebR!$A$6:$ZZ$1048576"), MATCH(R$1, FebR!$6:$6, 0), FALSE),
            0
        ) +
        IFERROR(
            VLOOKUP($A55, INDIRECT("MarR!$A$6:$ZZ$1048576"), MATCH(R$1, MarR!$6:$6, 0), FALSE),
            0
        ) +
        IFERROR(
            VLOOKUP($A55, INDIRECT("AbrR!$A$6:$ZZ$1048576"), MATCH(R$1, AbrR!$6:$6, 0), FALSE),
            0
        ) +
        IFERROR(
            VLOOKUP($A55, INDIRECT("MayR!$A$6:$ZZ$1048576"), MATCH(R$1, MayR!$6:$6, 0), FALSE),
            0
        ) +
        IFERROR(
            VLOOKUP($A55, INDIRECT("JunR!$A$6:$ZZ$1048576"), MATCH(R$1, JunR!$6:$6, 0), FALSE),
            0
        ) +
        IFERROR(
            VLOOKUP($A55, INDIRECT("JulR!$A$6:$ZZ$1048576"), MATCH(R$1, JulR!$6:$6, 0), FALSE),
            0
        ) +
        IFERROR(
            VLOOKUP($A55, INDIRECT("AgoR!$A$6:$ZZ$1048576"), MATCH(R$1, AgoR!$6:$6, 0), FALSE),
            0
        ) +
        IFERROR(
            VLOOKUP($A55, INDIRECT("SepR!$A$6:$ZZ$1048576"), MATCH(R$1, SepR!$6:$6, 0), FALSE),
            0
        ) +
        IFERROR(
            VLOOKUP($A55, INDIRECT("OctR!$A$6:$ZZ$1048576"), MATCH(R$1, OctR!$6:$6, 0), FALSE),
            0
        ) +
        IFERROR(
            VLOOKUP($A55, INDIRECT("NovR!$A$6:$ZZ$1048576"), MATCH(R$1, NovR!$6:$6, 0), FALSE),
            0
        ) +
        IFERROR(
            VLOOKUP($A55, INDIRECT("DicR!$A$6:$ZZ$1048576"), MATCH(R$1, DicR!$6:$6, 0), FALSE),
            0
        )
)</f>
        <v>0</v>
      </c>
      <c r="S55" s="37">
        <f t="array" ref="S55">SUM(
    IFERROR(
            VLOOKUP($A55, INDIRECT("EneR!$A$6:$ZZ$1048576"), MATCH(S$1, EneR!$6:$6, 0), FALSE),
            0
        ) +
        IFERROR(
            VLOOKUP($A55, INDIRECT("FebR!$A$6:$ZZ$1048576"), MATCH(S$1, FebR!$6:$6, 0), FALSE),
            0
        ) +
        IFERROR(
            VLOOKUP($A55, INDIRECT("MarR!$A$6:$ZZ$1048576"), MATCH(S$1, MarR!$6:$6, 0), FALSE),
            0
        ) +
        IFERROR(
            VLOOKUP($A55, INDIRECT("AbrR!$A$6:$ZZ$1048576"), MATCH(S$1, AbrR!$6:$6, 0), FALSE),
            0
        ) +
        IFERROR(
            VLOOKUP($A55, INDIRECT("MayR!$A$6:$ZZ$1048576"), MATCH(S$1, MayR!$6:$6, 0), FALSE),
            0
        ) +
        IFERROR(
            VLOOKUP($A55, INDIRECT("JunR!$A$6:$ZZ$1048576"), MATCH(S$1, JunR!$6:$6, 0), FALSE),
            0
        ) +
        IFERROR(
            VLOOKUP($A55, INDIRECT("JulR!$A$6:$ZZ$1048576"), MATCH(S$1, JulR!$6:$6, 0), FALSE),
            0
        ) +
        IFERROR(
            VLOOKUP($A55, INDIRECT("AgoR!$A$6:$ZZ$1048576"), MATCH(S$1, AgoR!$6:$6, 0), FALSE),
            0
        ) +
        IFERROR(
            VLOOKUP($A55, INDIRECT("SepR!$A$6:$ZZ$1048576"), MATCH(S$1, SepR!$6:$6, 0), FALSE),
            0
        ) +
        IFERROR(
            VLOOKUP($A55, INDIRECT("OctR!$A$6:$ZZ$1048576"), MATCH(S$1, OctR!$6:$6, 0), FALSE),
            0
        ) +
        IFERROR(
            VLOOKUP($A55, INDIRECT("NovR!$A$6:$ZZ$1048576"), MATCH(S$1, NovR!$6:$6, 0), FALSE),
            0
        ) +
        IFERROR(
            VLOOKUP($A55, INDIRECT("DicR!$A$6:$ZZ$1048576"), MATCH(S$1, DicR!$6:$6, 0), FALSE),
            0
        )
)</f>
        <v>0</v>
      </c>
      <c r="T55" s="36">
        <f t="array" ref="T55">SUM(
    IFERROR(
            VLOOKUP($A55, INDIRECT("EneR!$A$6:$ZZ$1048576"), MATCH(T$1, EneR!$6:$6, 0), FALSE),
            0
        ) +
        IFERROR(
            VLOOKUP($A55, INDIRECT("FebR!$A$6:$ZZ$1048576"), MATCH(T$1, FebR!$6:$6, 0), FALSE),
            0
        ) +
        IFERROR(
            VLOOKUP($A55, INDIRECT("MarR!$A$6:$ZZ$1048576"), MATCH(T$1, MarR!$6:$6, 0), FALSE),
            0
        ) +
        IFERROR(
            VLOOKUP($A55, INDIRECT("AbrR!$A$6:$ZZ$1048576"), MATCH(T$1, AbrR!$6:$6, 0), FALSE),
            0
        ) +
        IFERROR(
            VLOOKUP($A55, INDIRECT("MayR!$A$6:$ZZ$1048576"), MATCH(T$1, MayR!$6:$6, 0), FALSE),
            0
        ) +
        IFERROR(
            VLOOKUP($A55, INDIRECT("JunR!$A$6:$ZZ$1048576"), MATCH(T$1, JunR!$6:$6, 0), FALSE),
            0
        ) +
        IFERROR(
            VLOOKUP($A55, INDIRECT("JulR!$A$6:$ZZ$1048576"), MATCH(T$1, JulR!$6:$6, 0), FALSE),
            0
        ) +
        IFERROR(
            VLOOKUP($A55, INDIRECT("AgoR!$A$6:$ZZ$1048576"), MATCH(T$1, AgoR!$6:$6, 0), FALSE),
            0
        ) +
        IFERROR(
            VLOOKUP($A55, INDIRECT("SepR!$A$6:$ZZ$1048576"), MATCH(T$1, SepR!$6:$6, 0), FALSE),
            0
        ) +
        IFERROR(
            VLOOKUP($A55, INDIRECT("OctR!$A$6:$ZZ$1048576"), MATCH(T$1, OctR!$6:$6, 0), FALSE),
            0
        ) +
        IFERROR(
            VLOOKUP($A55, INDIRECT("NovR!$A$6:$ZZ$1048576"), MATCH(T$1, NovR!$6:$6, 0), FALSE),
            0
        ) +
        IFERROR(
            VLOOKUP($A55, INDIRECT("DicR!$A$6:$ZZ$1048576"), MATCH(T$1, DicR!$6:$6, 0), FALSE),
            0
        )
)</f>
        <v>0</v>
      </c>
      <c r="U55" s="37">
        <f t="array" ref="U55">SUM(
    IFERROR(
            VLOOKUP($A55, INDIRECT("EneR!$A$6:$ZZ$1048576"), MATCH(U$1, EneR!$6:$6, 0), FALSE),
            0
        ) +
        IFERROR(
            VLOOKUP($A55, INDIRECT("FebR!$A$6:$ZZ$1048576"), MATCH(U$1, FebR!$6:$6, 0), FALSE),
            0
        ) +
        IFERROR(
            VLOOKUP($A55, INDIRECT("MarR!$A$6:$ZZ$1048576"), MATCH(U$1, MarR!$6:$6, 0), FALSE),
            0
        ) +
        IFERROR(
            VLOOKUP($A55, INDIRECT("AbrR!$A$6:$ZZ$1048576"), MATCH(U$1, AbrR!$6:$6, 0), FALSE),
            0
        ) +
        IFERROR(
            VLOOKUP($A55, INDIRECT("MayR!$A$6:$ZZ$1048576"), MATCH(U$1, MayR!$6:$6, 0), FALSE),
            0
        ) +
        IFERROR(
            VLOOKUP($A55, INDIRECT("JunR!$A$6:$ZZ$1048576"), MATCH(U$1, JunR!$6:$6, 0), FALSE),
            0
        ) +
        IFERROR(
            VLOOKUP($A55, INDIRECT("JulR!$A$6:$ZZ$1048576"), MATCH(U$1, JulR!$6:$6, 0), FALSE),
            0
        ) +
        IFERROR(
            VLOOKUP($A55, INDIRECT("AgoR!$A$6:$ZZ$1048576"), MATCH(U$1, AgoR!$6:$6, 0), FALSE),
            0
        ) +
        IFERROR(
            VLOOKUP($A55, INDIRECT("SepR!$A$6:$ZZ$1048576"), MATCH(U$1, SepR!$6:$6, 0), FALSE),
            0
        ) +
        IFERROR(
            VLOOKUP($A55, INDIRECT("OctR!$A$6:$ZZ$1048576"), MATCH(U$1, OctR!$6:$6, 0), FALSE),
            0
        ) +
        IFERROR(
            VLOOKUP($A55, INDIRECT("NovR!$A$6:$ZZ$1048576"), MATCH(U$1, NovR!$6:$6, 0), FALSE),
            0
        ) +
        IFERROR(
            VLOOKUP($A55, INDIRECT("DicR!$A$6:$ZZ$1048576"), MATCH(U$1, DicR!$6:$6, 0), FALSE),
            0
        )
)</f>
        <v>0</v>
      </c>
      <c r="V55" s="36">
        <f t="array" ref="V55">SUM(
    IFERROR(
            VLOOKUP($A55, INDIRECT("EneR!$A$6:$ZZ$1048576"), MATCH(V$1, EneR!$6:$6, 0), FALSE),
            0
        ) +
        IFERROR(
            VLOOKUP($A55, INDIRECT("FebR!$A$6:$ZZ$1048576"), MATCH(V$1, FebR!$6:$6, 0), FALSE),
            0
        ) +
        IFERROR(
            VLOOKUP($A55, INDIRECT("MarR!$A$6:$ZZ$1048576"), MATCH(V$1, MarR!$6:$6, 0), FALSE),
            0
        ) +
        IFERROR(
            VLOOKUP($A55, INDIRECT("AbrR!$A$6:$ZZ$1048576"), MATCH(V$1, AbrR!$6:$6, 0), FALSE),
            0
        ) +
        IFERROR(
            VLOOKUP($A55, INDIRECT("MayR!$A$6:$ZZ$1048576"), MATCH(V$1, MayR!$6:$6, 0), FALSE),
            0
        ) +
        IFERROR(
            VLOOKUP($A55, INDIRECT("JunR!$A$6:$ZZ$1048576"), MATCH(V$1, JunR!$6:$6, 0), FALSE),
            0
        ) +
        IFERROR(
            VLOOKUP($A55, INDIRECT("JulR!$A$6:$ZZ$1048576"), MATCH(V$1, JulR!$6:$6, 0), FALSE),
            0
        ) +
        IFERROR(
            VLOOKUP($A55, INDIRECT("AgoR!$A$6:$ZZ$1048576"), MATCH(V$1, AgoR!$6:$6, 0), FALSE),
            0
        ) +
        IFERROR(
            VLOOKUP($A55, INDIRECT("SepR!$A$6:$ZZ$1048576"), MATCH(V$1, SepR!$6:$6, 0), FALSE),
            0
        ) +
        IFERROR(
            VLOOKUP($A55, INDIRECT("OctR!$A$6:$ZZ$1048576"), MATCH(V$1, OctR!$6:$6, 0), FALSE),
            0
        ) +
        IFERROR(
            VLOOKUP($A55, INDIRECT("NovR!$A$6:$ZZ$1048576"), MATCH(V$1, NovR!$6:$6, 0), FALSE),
            0
        ) +
        IFERROR(
            VLOOKUP($A55, INDIRECT("DicR!$A$6:$ZZ$1048576"), MATCH(V$1, DicR!$6:$6, 0), FALSE),
            0
        )
)</f>
        <v>0</v>
      </c>
      <c r="W55" s="37">
        <f t="array" ref="W55">SUM(
    IFERROR(
            VLOOKUP($A55, INDIRECT("EneR!$A$6:$ZZ$1048576"), MATCH(W$1, EneR!$6:$6, 0), FALSE),
            0
        ) +
        IFERROR(
            VLOOKUP($A55, INDIRECT("FebR!$A$6:$ZZ$1048576"), MATCH(W$1, FebR!$6:$6, 0), FALSE),
            0
        ) +
        IFERROR(
            VLOOKUP($A55, INDIRECT("MarR!$A$6:$ZZ$1048576"), MATCH(W$1, MarR!$6:$6, 0), FALSE),
            0
        ) +
        IFERROR(
            VLOOKUP($A55, INDIRECT("AbrR!$A$6:$ZZ$1048576"), MATCH(W$1, AbrR!$6:$6, 0), FALSE),
            0
        ) +
        IFERROR(
            VLOOKUP($A55, INDIRECT("MayR!$A$6:$ZZ$1048576"), MATCH(W$1, MayR!$6:$6, 0), FALSE),
            0
        ) +
        IFERROR(
            VLOOKUP($A55, INDIRECT("JunR!$A$6:$ZZ$1048576"), MATCH(W$1, JunR!$6:$6, 0), FALSE),
            0
        ) +
        IFERROR(
            VLOOKUP($A55, INDIRECT("JulR!$A$6:$ZZ$1048576"), MATCH(W$1, JulR!$6:$6, 0), FALSE),
            0
        ) +
        IFERROR(
            VLOOKUP($A55, INDIRECT("AgoR!$A$6:$ZZ$1048576"), MATCH(W$1, AgoR!$6:$6, 0), FALSE),
            0
        ) +
        IFERROR(
            VLOOKUP($A55, INDIRECT("SepR!$A$6:$ZZ$1048576"), MATCH(W$1, SepR!$6:$6, 0), FALSE),
            0
        ) +
        IFERROR(
            VLOOKUP($A55, INDIRECT("OctR!$A$6:$ZZ$1048576"), MATCH(W$1, OctR!$6:$6, 0), FALSE),
            0
        ) +
        IFERROR(
            VLOOKUP($A55, INDIRECT("NovR!$A$6:$ZZ$1048576"), MATCH(W$1, NovR!$6:$6, 0), FALSE),
            0
        ) +
        IFERROR(
            VLOOKUP($A55, INDIRECT("DicR!$A$6:$ZZ$1048576"), MATCH(W$1, DicR!$6:$6, 0), FALSE),
            0
        )
)</f>
        <v>0</v>
      </c>
      <c r="X55" s="36">
        <f t="array" ref="X55">SUM(
    IFERROR(
            VLOOKUP($A55, INDIRECT("EneR!$A$6:$ZZ$1048576"), MATCH(X$1, EneR!$6:$6, 0), FALSE),
            0
        ) +
        IFERROR(
            VLOOKUP($A55, INDIRECT("FebR!$A$6:$ZZ$1048576"), MATCH(X$1, FebR!$6:$6, 0), FALSE),
            0
        ) +
        IFERROR(
            VLOOKUP($A55, INDIRECT("MarR!$A$6:$ZZ$1048576"), MATCH(X$1, MarR!$6:$6, 0), FALSE),
            0
        ) +
        IFERROR(
            VLOOKUP($A55, INDIRECT("AbrR!$A$6:$ZZ$1048576"), MATCH(X$1, AbrR!$6:$6, 0), FALSE),
            0
        ) +
        IFERROR(
            VLOOKUP($A55, INDIRECT("MayR!$A$6:$ZZ$1048576"), MATCH(X$1, MayR!$6:$6, 0), FALSE),
            0
        ) +
        IFERROR(
            VLOOKUP($A55, INDIRECT("JunR!$A$6:$ZZ$1048576"), MATCH(X$1, JunR!$6:$6, 0), FALSE),
            0
        ) +
        IFERROR(
            VLOOKUP($A55, INDIRECT("JulR!$A$6:$ZZ$1048576"), MATCH(X$1, JulR!$6:$6, 0), FALSE),
            0
        ) +
        IFERROR(
            VLOOKUP($A55, INDIRECT("AgoR!$A$6:$ZZ$1048576"), MATCH(X$1, AgoR!$6:$6, 0), FALSE),
            0
        ) +
        IFERROR(
            VLOOKUP($A55, INDIRECT("SepR!$A$6:$ZZ$1048576"), MATCH(X$1, SepR!$6:$6, 0), FALSE),
            0
        ) +
        IFERROR(
            VLOOKUP($A55, INDIRECT("OctR!$A$6:$ZZ$1048576"), MATCH(X$1, OctR!$6:$6, 0), FALSE),
            0
        ) +
        IFERROR(
            VLOOKUP($A55, INDIRECT("NovR!$A$6:$ZZ$1048576"), MATCH(X$1, NovR!$6:$6, 0), FALSE),
            0
        ) +
        IFERROR(
            VLOOKUP($A55, INDIRECT("DicR!$A$6:$ZZ$1048576"), MATCH(X$1, DicR!$6:$6, 0), FALSE),
            0
        )
)</f>
        <v>0</v>
      </c>
      <c r="Y55" s="37">
        <f t="array" ref="Y55">SUM(
    IFERROR(
            VLOOKUP($A55, INDIRECT("EneR!$A$6:$ZZ$1048576"), MATCH(Y$1, EneR!$6:$6, 0), FALSE),
            0
        ) +
        IFERROR(
            VLOOKUP($A55, INDIRECT("FebR!$A$6:$ZZ$1048576"), MATCH(Y$1, FebR!$6:$6, 0), FALSE),
            0
        ) +
        IFERROR(
            VLOOKUP($A55, INDIRECT("MarR!$A$6:$ZZ$1048576"), MATCH(Y$1, MarR!$6:$6, 0), FALSE),
            0
        ) +
        IFERROR(
            VLOOKUP($A55, INDIRECT("AbrR!$A$6:$ZZ$1048576"), MATCH(Y$1, AbrR!$6:$6, 0), FALSE),
            0
        ) +
        IFERROR(
            VLOOKUP($A55, INDIRECT("MayR!$A$6:$ZZ$1048576"), MATCH(Y$1, MayR!$6:$6, 0), FALSE),
            0
        ) +
        IFERROR(
            VLOOKUP($A55, INDIRECT("JunR!$A$6:$ZZ$1048576"), MATCH(Y$1, JunR!$6:$6, 0), FALSE),
            0
        ) +
        IFERROR(
            VLOOKUP($A55, INDIRECT("JulR!$A$6:$ZZ$1048576"), MATCH(Y$1, JulR!$6:$6, 0), FALSE),
            0
        ) +
        IFERROR(
            VLOOKUP($A55, INDIRECT("AgoR!$A$6:$ZZ$1048576"), MATCH(Y$1, AgoR!$6:$6, 0), FALSE),
            0
        ) +
        IFERROR(
            VLOOKUP($A55, INDIRECT("SepR!$A$6:$ZZ$1048576"), MATCH(Y$1, SepR!$6:$6, 0), FALSE),
            0
        ) +
        IFERROR(
            VLOOKUP($A55, INDIRECT("OctR!$A$6:$ZZ$1048576"), MATCH(Y$1, OctR!$6:$6, 0), FALSE),
            0
        ) +
        IFERROR(
            VLOOKUP($A55, INDIRECT("NovR!$A$6:$ZZ$1048576"), MATCH(Y$1, NovR!$6:$6, 0), FALSE),
            0
        ) +
        IFERROR(
            VLOOKUP($A55, INDIRECT("DicR!$A$6:$ZZ$1048576"), MATCH(Y$1, DicR!$6:$6, 0), FALSE),
            0
        )
)</f>
        <v>0</v>
      </c>
      <c r="Z55" s="36">
        <f t="array" ref="Z55">SUM(
    IFERROR(
            VLOOKUP($A55, INDIRECT("EneR!$A$6:$ZZ$1048576"), MATCH(Z$1, EneR!$6:$6, 0), FALSE),
            0
        ) +
        IFERROR(
            VLOOKUP($A55, INDIRECT("FebR!$A$6:$ZZ$1048576"), MATCH(Z$1, FebR!$6:$6, 0), FALSE),
            0
        ) +
        IFERROR(
            VLOOKUP($A55, INDIRECT("MarR!$A$6:$ZZ$1048576"), MATCH(Z$1, MarR!$6:$6, 0), FALSE),
            0
        ) +
        IFERROR(
            VLOOKUP($A55, INDIRECT("AbrR!$A$6:$ZZ$1048576"), MATCH(Z$1, AbrR!$6:$6, 0), FALSE),
            0
        ) +
        IFERROR(
            VLOOKUP($A55, INDIRECT("MayR!$A$6:$ZZ$1048576"), MATCH(Z$1, MayR!$6:$6, 0), FALSE),
            0
        ) +
        IFERROR(
            VLOOKUP($A55, INDIRECT("JunR!$A$6:$ZZ$1048576"), MATCH(Z$1, JunR!$6:$6, 0), FALSE),
            0
        ) +
        IFERROR(
            VLOOKUP($A55, INDIRECT("JulR!$A$6:$ZZ$1048576"), MATCH(Z$1, JulR!$6:$6, 0), FALSE),
            0
        ) +
        IFERROR(
            VLOOKUP($A55, INDIRECT("AgoR!$A$6:$ZZ$1048576"), MATCH(Z$1, AgoR!$6:$6, 0), FALSE),
            0
        ) +
        IFERROR(
            VLOOKUP($A55, INDIRECT("SepR!$A$6:$ZZ$1048576"), MATCH(Z$1, SepR!$6:$6, 0), FALSE),
            0
        ) +
        IFERROR(
            VLOOKUP($A55, INDIRECT("OctR!$A$6:$ZZ$1048576"), MATCH(Z$1, OctR!$6:$6, 0), FALSE),
            0
        ) +
        IFERROR(
            VLOOKUP($A55, INDIRECT("NovR!$A$6:$ZZ$1048576"), MATCH(Z$1, NovR!$6:$6, 0), FALSE),
            0
        ) +
        IFERROR(
            VLOOKUP($A55, INDIRECT("DicR!$A$6:$ZZ$1048576"), MATCH(Z$1, DicR!$6:$6, 0), FALSE),
            0
        )
)</f>
        <v>0</v>
      </c>
      <c r="AA55" s="37">
        <f t="array" ref="AA55">SUM(
    IFERROR(
            VLOOKUP($A55, INDIRECT("EneR!$A$6:$ZZ$1048576"), MATCH(AA$1, EneR!$6:$6, 0), FALSE),
            0
        ) +
        IFERROR(
            VLOOKUP($A55, INDIRECT("FebR!$A$6:$ZZ$1048576"), MATCH(AA$1, FebR!$6:$6, 0), FALSE),
            0
        ) +
        IFERROR(
            VLOOKUP($A55, INDIRECT("MarR!$A$6:$ZZ$1048576"), MATCH(AA$1, MarR!$6:$6, 0), FALSE),
            0
        ) +
        IFERROR(
            VLOOKUP($A55, INDIRECT("AbrR!$A$6:$ZZ$1048576"), MATCH(AA$1, AbrR!$6:$6, 0), FALSE),
            0
        ) +
        IFERROR(
            VLOOKUP($A55, INDIRECT("MayR!$A$6:$ZZ$1048576"), MATCH(AA$1, MayR!$6:$6, 0), FALSE),
            0
        ) +
        IFERROR(
            VLOOKUP($A55, INDIRECT("JunR!$A$6:$ZZ$1048576"), MATCH(AA$1, JunR!$6:$6, 0), FALSE),
            0
        ) +
        IFERROR(
            VLOOKUP($A55, INDIRECT("JulR!$A$6:$ZZ$1048576"), MATCH(AA$1, JulR!$6:$6, 0), FALSE),
            0
        ) +
        IFERROR(
            VLOOKUP($A55, INDIRECT("AgoR!$A$6:$ZZ$1048576"), MATCH(AA$1, AgoR!$6:$6, 0), FALSE),
            0
        ) +
        IFERROR(
            VLOOKUP($A55, INDIRECT("SepR!$A$6:$ZZ$1048576"), MATCH(AA$1, SepR!$6:$6, 0), FALSE),
            0
        ) +
        IFERROR(
            VLOOKUP($A55, INDIRECT("OctR!$A$6:$ZZ$1048576"), MATCH(AA$1, OctR!$6:$6, 0), FALSE),
            0
        ) +
        IFERROR(
            VLOOKUP($A55, INDIRECT("NovR!$A$6:$ZZ$1048576"), MATCH(AA$1, NovR!$6:$6, 0), FALSE),
            0
        ) +
        IFERROR(
            VLOOKUP($A55, INDIRECT("DicR!$A$6:$ZZ$1048576"), MATCH(AA$1, DicR!$6:$6, 0), FALSE),
            0
        )
)</f>
        <v>0</v>
      </c>
      <c r="AB55" s="36">
        <f t="array" ref="AB55">SUM(
    IFERROR(
            VLOOKUP($A55, INDIRECT("EneR!$A$6:$ZZ$1048576"), MATCH(AB$1, EneR!$6:$6, 0), FALSE),
            0
        ) +
        IFERROR(
            VLOOKUP($A55, INDIRECT("FebR!$A$6:$ZZ$1048576"), MATCH(AB$1, FebR!$6:$6, 0), FALSE),
            0
        ) +
        IFERROR(
            VLOOKUP($A55, INDIRECT("MarR!$A$6:$ZZ$1048576"), MATCH(AB$1, MarR!$6:$6, 0), FALSE),
            0
        ) +
        IFERROR(
            VLOOKUP($A55, INDIRECT("AbrR!$A$6:$ZZ$1048576"), MATCH(AB$1, AbrR!$6:$6, 0), FALSE),
            0
        ) +
        IFERROR(
            VLOOKUP($A55, INDIRECT("MayR!$A$6:$ZZ$1048576"), MATCH(AB$1, MayR!$6:$6, 0), FALSE),
            0
        ) +
        IFERROR(
            VLOOKUP($A55, INDIRECT("JunR!$A$6:$ZZ$1048576"), MATCH(AB$1, JunR!$6:$6, 0), FALSE),
            0
        ) +
        IFERROR(
            VLOOKUP($A55, INDIRECT("JulR!$A$6:$ZZ$1048576"), MATCH(AB$1, JulR!$6:$6, 0), FALSE),
            0
        ) +
        IFERROR(
            VLOOKUP($A55, INDIRECT("AgoR!$A$6:$ZZ$1048576"), MATCH(AB$1, AgoR!$6:$6, 0), FALSE),
            0
        ) +
        IFERROR(
            VLOOKUP($A55, INDIRECT("SepR!$A$6:$ZZ$1048576"), MATCH(AB$1, SepR!$6:$6, 0), FALSE),
            0
        ) +
        IFERROR(
            VLOOKUP($A55, INDIRECT("OctR!$A$6:$ZZ$1048576"), MATCH(AB$1, OctR!$6:$6, 0), FALSE),
            0
        ) +
        IFERROR(
            VLOOKUP($A55, INDIRECT("NovR!$A$6:$ZZ$1048576"), MATCH(AB$1, NovR!$6:$6, 0), FALSE),
            0
        ) +
        IFERROR(
            VLOOKUP($A55, INDIRECT("DicR!$A$6:$ZZ$1048576"), MATCH(AB$1, DicR!$6:$6, 0), FALSE),
            0
        )
)</f>
        <v>0</v>
      </c>
      <c r="AC55" s="37">
        <f t="array" ref="AC55">SUM(
    IFERROR(
            VLOOKUP($A55, INDIRECT("EneR!$A$6:$ZZ$1048576"), MATCH(AC$1, EneR!$6:$6, 0), FALSE),
            0
        ) +
        IFERROR(
            VLOOKUP($A55, INDIRECT("FebR!$A$6:$ZZ$1048576"), MATCH(AC$1, FebR!$6:$6, 0), FALSE),
            0
        ) +
        IFERROR(
            VLOOKUP($A55, INDIRECT("MarR!$A$6:$ZZ$1048576"), MATCH(AC$1, MarR!$6:$6, 0), FALSE),
            0
        ) +
        IFERROR(
            VLOOKUP($A55, INDIRECT("AbrR!$A$6:$ZZ$1048576"), MATCH(AC$1, AbrR!$6:$6, 0), FALSE),
            0
        ) +
        IFERROR(
            VLOOKUP($A55, INDIRECT("MayR!$A$6:$ZZ$1048576"), MATCH(AC$1, MayR!$6:$6, 0), FALSE),
            0
        ) +
        IFERROR(
            VLOOKUP($A55, INDIRECT("JunR!$A$6:$ZZ$1048576"), MATCH(AC$1, JunR!$6:$6, 0), FALSE),
            0
        ) +
        IFERROR(
            VLOOKUP($A55, INDIRECT("JulR!$A$6:$ZZ$1048576"), MATCH(AC$1, JulR!$6:$6, 0), FALSE),
            0
        ) +
        IFERROR(
            VLOOKUP($A55, INDIRECT("AgoR!$A$6:$ZZ$1048576"), MATCH(AC$1, AgoR!$6:$6, 0), FALSE),
            0
        ) +
        IFERROR(
            VLOOKUP($A55, INDIRECT("SepR!$A$6:$ZZ$1048576"), MATCH(AC$1, SepR!$6:$6, 0), FALSE),
            0
        ) +
        IFERROR(
            VLOOKUP($A55, INDIRECT("OctR!$A$6:$ZZ$1048576"), MATCH(AC$1, OctR!$6:$6, 0), FALSE),
            0
        ) +
        IFERROR(
            VLOOKUP($A55, INDIRECT("NovR!$A$6:$ZZ$1048576"), MATCH(AC$1, NovR!$6:$6, 0), FALSE),
            0
        ) +
        IFERROR(
            VLOOKUP($A55, INDIRECT("DicR!$A$6:$ZZ$1048576"), MATCH(AC$1, DicR!$6:$6, 0), FALSE),
            0
        )
)</f>
        <v>0</v>
      </c>
      <c r="AD55" s="36">
        <f t="array" ref="AD55">SUM(
    IFERROR(
            VLOOKUP($A55, INDIRECT("EneR!$A$6:$ZZ$1048576"), MATCH(AD$1, EneR!$6:$6, 0), FALSE),
            0
        ) +
        IFERROR(
            VLOOKUP($A55, INDIRECT("FebR!$A$6:$ZZ$1048576"), MATCH(AD$1, FebR!$6:$6, 0), FALSE),
            0
        ) +
        IFERROR(
            VLOOKUP($A55, INDIRECT("MarR!$A$6:$ZZ$1048576"), MATCH(AD$1, MarR!$6:$6, 0), FALSE),
            0
        ) +
        IFERROR(
            VLOOKUP($A55, INDIRECT("AbrR!$A$6:$ZZ$1048576"), MATCH(AD$1, AbrR!$6:$6, 0), FALSE),
            0
        ) +
        IFERROR(
            VLOOKUP($A55, INDIRECT("MayR!$A$6:$ZZ$1048576"), MATCH(AD$1, MayR!$6:$6, 0), FALSE),
            0
        ) +
        IFERROR(
            VLOOKUP($A55, INDIRECT("JunR!$A$6:$ZZ$1048576"), MATCH(AD$1, JunR!$6:$6, 0), FALSE),
            0
        ) +
        IFERROR(
            VLOOKUP($A55, INDIRECT("JulR!$A$6:$ZZ$1048576"), MATCH(AD$1, JulR!$6:$6, 0), FALSE),
            0
        ) +
        IFERROR(
            VLOOKUP($A55, INDIRECT("AgoR!$A$6:$ZZ$1048576"), MATCH(AD$1, AgoR!$6:$6, 0), FALSE),
            0
        ) +
        IFERROR(
            VLOOKUP($A55, INDIRECT("SepR!$A$6:$ZZ$1048576"), MATCH(AD$1, SepR!$6:$6, 0), FALSE),
            0
        ) +
        IFERROR(
            VLOOKUP($A55, INDIRECT("OctR!$A$6:$ZZ$1048576"), MATCH(AD$1, OctR!$6:$6, 0), FALSE),
            0
        ) +
        IFERROR(
            VLOOKUP($A55, INDIRECT("NovR!$A$6:$ZZ$1048576"), MATCH(AD$1, NovR!$6:$6, 0), FALSE),
            0
        ) +
        IFERROR(
            VLOOKUP($A55, INDIRECT("DicR!$A$6:$ZZ$1048576"), MATCH(AD$1, DicR!$6:$6, 0), FALSE),
            0
        )
)</f>
        <v>0</v>
      </c>
      <c r="AE55" s="37">
        <f t="array" ref="AE55">SUM(
    IFERROR(
            VLOOKUP($A55, INDIRECT("EneR!$A$6:$ZZ$1048576"), MATCH(AE$1, EneR!$6:$6, 0), FALSE),
            0
        ) +
        IFERROR(
            VLOOKUP($A55, INDIRECT("FebR!$A$6:$ZZ$1048576"), MATCH(AE$1, FebR!$6:$6, 0), FALSE),
            0
        ) +
        IFERROR(
            VLOOKUP($A55, INDIRECT("MarR!$A$6:$ZZ$1048576"), MATCH(AE$1, MarR!$6:$6, 0), FALSE),
            0
        ) +
        IFERROR(
            VLOOKUP($A55, INDIRECT("AbrR!$A$6:$ZZ$1048576"), MATCH(AE$1, AbrR!$6:$6, 0), FALSE),
            0
        ) +
        IFERROR(
            VLOOKUP($A55, INDIRECT("MayR!$A$6:$ZZ$1048576"), MATCH(AE$1, MayR!$6:$6, 0), FALSE),
            0
        ) +
        IFERROR(
            VLOOKUP($A55, INDIRECT("JunR!$A$6:$ZZ$1048576"), MATCH(AE$1, JunR!$6:$6, 0), FALSE),
            0
        ) +
        IFERROR(
            VLOOKUP($A55, INDIRECT("JulR!$A$6:$ZZ$1048576"), MATCH(AE$1, JulR!$6:$6, 0), FALSE),
            0
        ) +
        IFERROR(
            VLOOKUP($A55, INDIRECT("AgoR!$A$6:$ZZ$1048576"), MATCH(AE$1, AgoR!$6:$6, 0), FALSE),
            0
        ) +
        IFERROR(
            VLOOKUP($A55, INDIRECT("SepR!$A$6:$ZZ$1048576"), MATCH(AE$1, SepR!$6:$6, 0), FALSE),
            0
        ) +
        IFERROR(
            VLOOKUP($A55, INDIRECT("OctR!$A$6:$ZZ$1048576"), MATCH(AE$1, OctR!$6:$6, 0), FALSE),
            0
        ) +
        IFERROR(
            VLOOKUP($A55, INDIRECT("NovR!$A$6:$ZZ$1048576"), MATCH(AE$1, NovR!$6:$6, 0), FALSE),
            0
        ) +
        IFERROR(
            VLOOKUP($A55, INDIRECT("DicR!$A$6:$ZZ$1048576"), MATCH(AE$1, DicR!$6:$6, 0), FALSE),
            0
        )
)</f>
        <v>0</v>
      </c>
      <c r="AF55" s="36">
        <f t="array" ref="AF55">SUM(
    IFERROR(
            VLOOKUP($A55, INDIRECT("EneR!$A$6:$ZZ$1048576"), MATCH(AF$1, EneR!$6:$6, 0), FALSE),
            0
        ) +
        IFERROR(
            VLOOKUP($A55, INDIRECT("FebR!$A$6:$ZZ$1048576"), MATCH(AF$1, FebR!$6:$6, 0), FALSE),
            0
        ) +
        IFERROR(
            VLOOKUP($A55, INDIRECT("MarR!$A$6:$ZZ$1048576"), MATCH(AF$1, MarR!$6:$6, 0), FALSE),
            0
        ) +
        IFERROR(
            VLOOKUP($A55, INDIRECT("AbrR!$A$6:$ZZ$1048576"), MATCH(AF$1, AbrR!$6:$6, 0), FALSE),
            0
        ) +
        IFERROR(
            VLOOKUP($A55, INDIRECT("MayR!$A$6:$ZZ$1048576"), MATCH(AF$1, MayR!$6:$6, 0), FALSE),
            0
        ) +
        IFERROR(
            VLOOKUP($A55, INDIRECT("JunR!$A$6:$ZZ$1048576"), MATCH(AF$1, JunR!$6:$6, 0), FALSE),
            0
        ) +
        IFERROR(
            VLOOKUP($A55, INDIRECT("JulR!$A$6:$ZZ$1048576"), MATCH(AF$1, JulR!$6:$6, 0), FALSE),
            0
        ) +
        IFERROR(
            VLOOKUP($A55, INDIRECT("AgoR!$A$6:$ZZ$1048576"), MATCH(AF$1, AgoR!$6:$6, 0), FALSE),
            0
        ) +
        IFERROR(
            VLOOKUP($A55, INDIRECT("SepR!$A$6:$ZZ$1048576"), MATCH(AF$1, SepR!$6:$6, 0), FALSE),
            0
        ) +
        IFERROR(
            VLOOKUP($A55, INDIRECT("OctR!$A$6:$ZZ$1048576"), MATCH(AF$1, OctR!$6:$6, 0), FALSE),
            0
        ) +
        IFERROR(
            VLOOKUP($A55, INDIRECT("NovR!$A$6:$ZZ$1048576"), MATCH(AF$1, NovR!$6:$6, 0), FALSE),
            0
        ) +
        IFERROR(
            VLOOKUP($A55, INDIRECT("DicR!$A$6:$ZZ$1048576"), MATCH(AF$1, DicR!$6:$6, 0), FALSE),
            0
        )
)</f>
        <v>0</v>
      </c>
      <c r="AG55" s="37">
        <f t="array" ref="AG55">SUM(
    IFERROR(
            VLOOKUP($A55, INDIRECT("EneR!$A$6:$ZZ$1048576"), MATCH(AG$1, EneR!$6:$6, 0), FALSE),
            0
        ) +
        IFERROR(
            VLOOKUP($A55, INDIRECT("FebR!$A$6:$ZZ$1048576"), MATCH(AG$1, FebR!$6:$6, 0), FALSE),
            0
        ) +
        IFERROR(
            VLOOKUP($A55, INDIRECT("MarR!$A$6:$ZZ$1048576"), MATCH(AG$1, MarR!$6:$6, 0), FALSE),
            0
        ) +
        IFERROR(
            VLOOKUP($A55, INDIRECT("AbrR!$A$6:$ZZ$1048576"), MATCH(AG$1, AbrR!$6:$6, 0), FALSE),
            0
        ) +
        IFERROR(
            VLOOKUP($A55, INDIRECT("MayR!$A$6:$ZZ$1048576"), MATCH(AG$1, MayR!$6:$6, 0), FALSE),
            0
        ) +
        IFERROR(
            VLOOKUP($A55, INDIRECT("JunR!$A$6:$ZZ$1048576"), MATCH(AG$1, JunR!$6:$6, 0), FALSE),
            0
        ) +
        IFERROR(
            VLOOKUP($A55, INDIRECT("JulR!$A$6:$ZZ$1048576"), MATCH(AG$1, JulR!$6:$6, 0), FALSE),
            0
        ) +
        IFERROR(
            VLOOKUP($A55, INDIRECT("AgoR!$A$6:$ZZ$1048576"), MATCH(AG$1, AgoR!$6:$6, 0), FALSE),
            0
        ) +
        IFERROR(
            VLOOKUP($A55, INDIRECT("SepR!$A$6:$ZZ$1048576"), MATCH(AG$1, SepR!$6:$6, 0), FALSE),
            0
        ) +
        IFERROR(
            VLOOKUP($A55, INDIRECT("OctR!$A$6:$ZZ$1048576"), MATCH(AG$1, OctR!$6:$6, 0), FALSE),
            0
        ) +
        IFERROR(
            VLOOKUP($A55, INDIRECT("NovR!$A$6:$ZZ$1048576"), MATCH(AG$1, NovR!$6:$6, 0), FALSE),
            0
        ) +
        IFERROR(
            VLOOKUP($A55, INDIRECT("DicR!$A$6:$ZZ$1048576"), MATCH(AG$1, DicR!$6:$6, 0), FALSE),
            0
        )
)</f>
        <v>0</v>
      </c>
      <c r="AH55" s="36">
        <f t="array" ref="AH55">SUM(
    IFERROR(
            VLOOKUP($A55, INDIRECT("EneR!$A$6:$ZZ$1048576"), MATCH(AH$1, EneR!$6:$6, 0), FALSE),
            0
        ) +
        IFERROR(
            VLOOKUP($A55, INDIRECT("FebR!$A$6:$ZZ$1048576"), MATCH(AH$1, FebR!$6:$6, 0), FALSE),
            0
        ) +
        IFERROR(
            VLOOKUP($A55, INDIRECT("MarR!$A$6:$ZZ$1048576"), MATCH(AH$1, MarR!$6:$6, 0), FALSE),
            0
        ) +
        IFERROR(
            VLOOKUP($A55, INDIRECT("AbrR!$A$6:$ZZ$1048576"), MATCH(AH$1, AbrR!$6:$6, 0), FALSE),
            0
        ) +
        IFERROR(
            VLOOKUP($A55, INDIRECT("MayR!$A$6:$ZZ$1048576"), MATCH(AH$1, MayR!$6:$6, 0), FALSE),
            0
        ) +
        IFERROR(
            VLOOKUP($A55, INDIRECT("JunR!$A$6:$ZZ$1048576"), MATCH(AH$1, JunR!$6:$6, 0), FALSE),
            0
        ) +
        IFERROR(
            VLOOKUP($A55, INDIRECT("JulR!$A$6:$ZZ$1048576"), MATCH(AH$1, JulR!$6:$6, 0), FALSE),
            0
        ) +
        IFERROR(
            VLOOKUP($A55, INDIRECT("AgoR!$A$6:$ZZ$1048576"), MATCH(AH$1, AgoR!$6:$6, 0), FALSE),
            0
        ) +
        IFERROR(
            VLOOKUP($A55, INDIRECT("SepR!$A$6:$ZZ$1048576"), MATCH(AH$1, SepR!$6:$6, 0), FALSE),
            0
        ) +
        IFERROR(
            VLOOKUP($A55, INDIRECT("OctR!$A$6:$ZZ$1048576"), MATCH(AH$1, OctR!$6:$6, 0), FALSE),
            0
        ) +
        IFERROR(
            VLOOKUP($A55, INDIRECT("NovR!$A$6:$ZZ$1048576"), MATCH(AH$1, NovR!$6:$6, 0), FALSE),
            0
        ) +
        IFERROR(
            VLOOKUP($A55, INDIRECT("DicR!$A$6:$ZZ$1048576"), MATCH(AH$1, DicR!$6:$6, 0), FALSE),
            0
        )
)</f>
        <v>0</v>
      </c>
      <c r="AI55" s="37">
        <f t="array" ref="AI55">SUM(
    IFERROR(
            VLOOKUP($A55, INDIRECT("EneR!$A$6:$ZZ$1048576"), MATCH(AI$1, EneR!$6:$6, 0), FALSE),
            0
        ) +
        IFERROR(
            VLOOKUP($A55, INDIRECT("FebR!$A$6:$ZZ$1048576"), MATCH(AI$1, FebR!$6:$6, 0), FALSE),
            0
        ) +
        IFERROR(
            VLOOKUP($A55, INDIRECT("MarR!$A$6:$ZZ$1048576"), MATCH(AI$1, MarR!$6:$6, 0), FALSE),
            0
        ) +
        IFERROR(
            VLOOKUP($A55, INDIRECT("AbrR!$A$6:$ZZ$1048576"), MATCH(AI$1, AbrR!$6:$6, 0), FALSE),
            0
        ) +
        IFERROR(
            VLOOKUP($A55, INDIRECT("MayR!$A$6:$ZZ$1048576"), MATCH(AI$1, MayR!$6:$6, 0), FALSE),
            0
        ) +
        IFERROR(
            VLOOKUP($A55, INDIRECT("JunR!$A$6:$ZZ$1048576"), MATCH(AI$1, JunR!$6:$6, 0), FALSE),
            0
        ) +
        IFERROR(
            VLOOKUP($A55, INDIRECT("JulR!$A$6:$ZZ$1048576"), MATCH(AI$1, JulR!$6:$6, 0), FALSE),
            0
        ) +
        IFERROR(
            VLOOKUP($A55, INDIRECT("AgoR!$A$6:$ZZ$1048576"), MATCH(AI$1, AgoR!$6:$6, 0), FALSE),
            0
        ) +
        IFERROR(
            VLOOKUP($A55, INDIRECT("SepR!$A$6:$ZZ$1048576"), MATCH(AI$1, SepR!$6:$6, 0), FALSE),
            0
        ) +
        IFERROR(
            VLOOKUP($A55, INDIRECT("OctR!$A$6:$ZZ$1048576"), MATCH(AI$1, OctR!$6:$6, 0), FALSE),
            0
        ) +
        IFERROR(
            VLOOKUP($A55, INDIRECT("NovR!$A$6:$ZZ$1048576"), MATCH(AI$1, NovR!$6:$6, 0), FALSE),
            0
        ) +
        IFERROR(
            VLOOKUP($A55, INDIRECT("DicR!$A$6:$ZZ$1048576"), MATCH(AI$1, DicR!$6:$6, 0), FALSE),
            0
        )
)</f>
        <v>0</v>
      </c>
      <c r="AJ55" s="36">
        <f t="array" ref="AJ55">SUM(
    IFERROR(
            VLOOKUP($A55, INDIRECT("EneR!$A$6:$ZZ$1048576"), MATCH(AJ$1, EneR!$6:$6, 0), FALSE),
            0
        ) +
        IFERROR(
            VLOOKUP($A55, INDIRECT("FebR!$A$6:$ZZ$1048576"), MATCH(AJ$1, FebR!$6:$6, 0), FALSE),
            0
        ) +
        IFERROR(
            VLOOKUP($A55, INDIRECT("MarR!$A$6:$ZZ$1048576"), MATCH(AJ$1, MarR!$6:$6, 0), FALSE),
            0
        ) +
        IFERROR(
            VLOOKUP($A55, INDIRECT("AbrR!$A$6:$ZZ$1048576"), MATCH(AJ$1, AbrR!$6:$6, 0), FALSE),
            0
        ) +
        IFERROR(
            VLOOKUP($A55, INDIRECT("MayR!$A$6:$ZZ$1048576"), MATCH(AJ$1, MayR!$6:$6, 0), FALSE),
            0
        ) +
        IFERROR(
            VLOOKUP($A55, INDIRECT("JunR!$A$6:$ZZ$1048576"), MATCH(AJ$1, JunR!$6:$6, 0), FALSE),
            0
        ) +
        IFERROR(
            VLOOKUP($A55, INDIRECT("JulR!$A$6:$ZZ$1048576"), MATCH(AJ$1, JulR!$6:$6, 0), FALSE),
            0
        ) +
        IFERROR(
            VLOOKUP($A55, INDIRECT("AgoR!$A$6:$ZZ$1048576"), MATCH(AJ$1, AgoR!$6:$6, 0), FALSE),
            0
        ) +
        IFERROR(
            VLOOKUP($A55, INDIRECT("SepR!$A$6:$ZZ$1048576"), MATCH(AJ$1, SepR!$6:$6, 0), FALSE),
            0
        ) +
        IFERROR(
            VLOOKUP($A55, INDIRECT("OctR!$A$6:$ZZ$1048576"), MATCH(AJ$1, OctR!$6:$6, 0), FALSE),
            0
        ) +
        IFERROR(
            VLOOKUP($A55, INDIRECT("NovR!$A$6:$ZZ$1048576"), MATCH(AJ$1, NovR!$6:$6, 0), FALSE),
            0
        ) +
        IFERROR(
            VLOOKUP($A55, INDIRECT("DicR!$A$6:$ZZ$1048576"), MATCH(AJ$1, DicR!$6:$6, 0), FALSE),
            0
        )
)</f>
        <v>0</v>
      </c>
      <c r="AK55" s="37">
        <f t="array" ref="AK55">SUM(
    IFERROR(
            VLOOKUP($A55, INDIRECT("EneR!$A$6:$ZZ$1048576"), MATCH(AK$1, EneR!$6:$6, 0), FALSE),
            0
        ) +
        IFERROR(
            VLOOKUP($A55, INDIRECT("FebR!$A$6:$ZZ$1048576"), MATCH(AK$1, FebR!$6:$6, 0), FALSE),
            0
        ) +
        IFERROR(
            VLOOKUP($A55, INDIRECT("MarR!$A$6:$ZZ$1048576"), MATCH(AK$1, MarR!$6:$6, 0), FALSE),
            0
        ) +
        IFERROR(
            VLOOKUP($A55, INDIRECT("AbrR!$A$6:$ZZ$1048576"), MATCH(AK$1, AbrR!$6:$6, 0), FALSE),
            0
        ) +
        IFERROR(
            VLOOKUP($A55, INDIRECT("MayR!$A$6:$ZZ$1048576"), MATCH(AK$1, MayR!$6:$6, 0), FALSE),
            0
        ) +
        IFERROR(
            VLOOKUP($A55, INDIRECT("JunR!$A$6:$ZZ$1048576"), MATCH(AK$1, JunR!$6:$6, 0), FALSE),
            0
        ) +
        IFERROR(
            VLOOKUP($A55, INDIRECT("JulR!$A$6:$ZZ$1048576"), MATCH(AK$1, JulR!$6:$6, 0), FALSE),
            0
        ) +
        IFERROR(
            VLOOKUP($A55, INDIRECT("AgoR!$A$6:$ZZ$1048576"), MATCH(AK$1, AgoR!$6:$6, 0), FALSE),
            0
        ) +
        IFERROR(
            VLOOKUP($A55, INDIRECT("SepR!$A$6:$ZZ$1048576"), MATCH(AK$1, SepR!$6:$6, 0), FALSE),
            0
        ) +
        IFERROR(
            VLOOKUP($A55, INDIRECT("OctR!$A$6:$ZZ$1048576"), MATCH(AK$1, OctR!$6:$6, 0), FALSE),
            0
        ) +
        IFERROR(
            VLOOKUP($A55, INDIRECT("NovR!$A$6:$ZZ$1048576"), MATCH(AK$1, NovR!$6:$6, 0), FALSE),
            0
        ) +
        IFERROR(
            VLOOKUP($A55, INDIRECT("DicR!$A$6:$ZZ$1048576"), MATCH(AK$1, DicR!$6:$6, 0), FALSE),
            0
        )
)</f>
        <v>0</v>
      </c>
      <c r="AL55" s="36">
        <f t="array" ref="AL55">SUM(
    IFERROR(
            VLOOKUP($A55, INDIRECT("EneR!$A$6:$ZZ$1048576"), MATCH(AL$1, EneR!$6:$6, 0), FALSE),
            0
        ) +
        IFERROR(
            VLOOKUP($A55, INDIRECT("FebR!$A$6:$ZZ$1048576"), MATCH(AL$1, FebR!$6:$6, 0), FALSE),
            0
        ) +
        IFERROR(
            VLOOKUP($A55, INDIRECT("MarR!$A$6:$ZZ$1048576"), MATCH(AL$1, MarR!$6:$6, 0), FALSE),
            0
        ) +
        IFERROR(
            VLOOKUP($A55, INDIRECT("AbrR!$A$6:$ZZ$1048576"), MATCH(AL$1, AbrR!$6:$6, 0), FALSE),
            0
        ) +
        IFERROR(
            VLOOKUP($A55, INDIRECT("MayR!$A$6:$ZZ$1048576"), MATCH(AL$1, MayR!$6:$6, 0), FALSE),
            0
        ) +
        IFERROR(
            VLOOKUP($A55, INDIRECT("JunR!$A$6:$ZZ$1048576"), MATCH(AL$1, JunR!$6:$6, 0), FALSE),
            0
        ) +
        IFERROR(
            VLOOKUP($A55, INDIRECT("JulR!$A$6:$ZZ$1048576"), MATCH(AL$1, JulR!$6:$6, 0), FALSE),
            0
        ) +
        IFERROR(
            VLOOKUP($A55, INDIRECT("AgoR!$A$6:$ZZ$1048576"), MATCH(AL$1, AgoR!$6:$6, 0), FALSE),
            0
        ) +
        IFERROR(
            VLOOKUP($A55, INDIRECT("SepR!$A$6:$ZZ$1048576"), MATCH(AL$1, SepR!$6:$6, 0), FALSE),
            0
        ) +
        IFERROR(
            VLOOKUP($A55, INDIRECT("OctR!$A$6:$ZZ$1048576"), MATCH(AL$1, OctR!$6:$6, 0), FALSE),
            0
        ) +
        IFERROR(
            VLOOKUP($A55, INDIRECT("NovR!$A$6:$ZZ$1048576"), MATCH(AL$1, NovR!$6:$6, 0), FALSE),
            0
        ) +
        IFERROR(
            VLOOKUP($A55, INDIRECT("DicR!$A$6:$ZZ$1048576"), MATCH(AL$1, DicR!$6:$6, 0), FALSE),
            0
        )
)</f>
        <v>0</v>
      </c>
      <c r="AM55" s="37">
        <f t="array" ref="AM55">SUM(
    IFERROR(
            VLOOKUP($A55, INDIRECT("EneR!$A$6:$ZZ$1048576"), MATCH(AM$1, EneR!$6:$6, 0), FALSE),
            0
        ) +
        IFERROR(
            VLOOKUP($A55, INDIRECT("FebR!$A$6:$ZZ$1048576"), MATCH(AM$1, FebR!$6:$6, 0), FALSE),
            0
        ) +
        IFERROR(
            VLOOKUP($A55, INDIRECT("MarR!$A$6:$ZZ$1048576"), MATCH(AM$1, MarR!$6:$6, 0), FALSE),
            0
        ) +
        IFERROR(
            VLOOKUP($A55, INDIRECT("AbrR!$A$6:$ZZ$1048576"), MATCH(AM$1, AbrR!$6:$6, 0), FALSE),
            0
        ) +
        IFERROR(
            VLOOKUP($A55, INDIRECT("MayR!$A$6:$ZZ$1048576"), MATCH(AM$1, MayR!$6:$6, 0), FALSE),
            0
        ) +
        IFERROR(
            VLOOKUP($A55, INDIRECT("JunR!$A$6:$ZZ$1048576"), MATCH(AM$1, JunR!$6:$6, 0), FALSE),
            0
        ) +
        IFERROR(
            VLOOKUP($A55, INDIRECT("JulR!$A$6:$ZZ$1048576"), MATCH(AM$1, JulR!$6:$6, 0), FALSE),
            0
        ) +
        IFERROR(
            VLOOKUP($A55, INDIRECT("AgoR!$A$6:$ZZ$1048576"), MATCH(AM$1, AgoR!$6:$6, 0), FALSE),
            0
        ) +
        IFERROR(
            VLOOKUP($A55, INDIRECT("SepR!$A$6:$ZZ$1048576"), MATCH(AM$1, SepR!$6:$6, 0), FALSE),
            0
        ) +
        IFERROR(
            VLOOKUP($A55, INDIRECT("OctR!$A$6:$ZZ$1048576"), MATCH(AM$1, OctR!$6:$6, 0), FALSE),
            0
        ) +
        IFERROR(
            VLOOKUP($A55, INDIRECT("NovR!$A$6:$ZZ$1048576"), MATCH(AM$1, NovR!$6:$6, 0), FALSE),
            0
        ) +
        IFERROR(
            VLOOKUP($A55, INDIRECT("DicR!$A$6:$ZZ$1048576"), MATCH(AM$1, DicR!$6:$6, 0), FALSE),
            0
        )
)</f>
        <v>0</v>
      </c>
      <c r="AN55" s="32">
        <f t="array" ref="AN55">SUM(
    IFERROR(
            VLOOKUP($A55, INDIRECT("EneR!$A$6:$ZZ$1048576"), MATCH(AN$1, EneR!$6:$6, 0), FALSE),
            0
        ) +
        IFERROR(
            VLOOKUP($A55, INDIRECT("FebR!$A$6:$ZZ$1048576"), MATCH(AN$1, FebR!$6:$6, 0), FALSE),
            0
        ) +
        IFERROR(
            VLOOKUP($A55, INDIRECT("MarR!$A$6:$ZZ$1048576"), MATCH(AN$1, MarR!$6:$6, 0), FALSE),
            0
        ) +
        IFERROR(
            VLOOKUP($A55, INDIRECT("AbrR!$A$6:$ZZ$1048576"), MATCH(AN$1, AbrR!$6:$6, 0), FALSE),
            0
        ) +
        IFERROR(
            VLOOKUP($A55, INDIRECT("MayR!$A$6:$ZZ$1048576"), MATCH(AN$1, MayR!$6:$6, 0), FALSE),
            0
        ) +
        IFERROR(
            VLOOKUP($A55, INDIRECT("JunR!$A$6:$ZZ$1048576"), MATCH(AN$1, JunR!$6:$6, 0), FALSE),
            0
        ) +
        IFERROR(
            VLOOKUP($A55, INDIRECT("JulR!$A$6:$ZZ$1048576"), MATCH(AN$1, JulR!$6:$6, 0), FALSE),
            0
        ) +
        IFERROR(
            VLOOKUP($A55, INDIRECT("AgoR!$A$6:$ZZ$1048576"), MATCH(AN$1, AgoR!$6:$6, 0), FALSE),
            0
        ) +
        IFERROR(
            VLOOKUP($A55, INDIRECT("SepR!$A$6:$ZZ$1048576"), MATCH(AN$1, SepR!$6:$6, 0), FALSE),
            0
        ) +
        IFERROR(
            VLOOKUP($A55, INDIRECT("OctR!$A$6:$ZZ$1048576"), MATCH(AN$1, OctR!$6:$6, 0), FALSE),
            0
        ) +
        IFERROR(
            VLOOKUP($A55, INDIRECT("NovR!$A$6:$ZZ$1048576"), MATCH(AN$1, NovR!$6:$6, 0), FALSE),
            0
        ) +
        IFERROR(
            VLOOKUP($A55, INDIRECT("DicR!$A$6:$ZZ$1048576"), MATCH(AN$1, DicR!$6:$6, 0), FALSE),
            0
        )
)</f>
        <v>0</v>
      </c>
      <c r="AO55" s="35">
        <f t="array" ref="AO55">SUM(
    IFERROR(
            VLOOKUP($A55, INDIRECT("EneR!$A$6:$ZZ$1048576"), MATCH(AO$1, EneR!$6:$6, 0), FALSE),
            0
        ) +
        IFERROR(
            VLOOKUP($A55, INDIRECT("FebR!$A$6:$ZZ$1048576"), MATCH(AO$1, FebR!$6:$6, 0), FALSE),
            0
        ) +
        IFERROR(
            VLOOKUP($A55, INDIRECT("MarR!$A$6:$ZZ$1048576"), MATCH(AO$1, MarR!$6:$6, 0), FALSE),
            0
        ) +
        IFERROR(
            VLOOKUP($A55, INDIRECT("AbrR!$A$6:$ZZ$1048576"), MATCH(AO$1, AbrR!$6:$6, 0), FALSE),
            0
        ) +
        IFERROR(
            VLOOKUP($A55, INDIRECT("MayR!$A$6:$ZZ$1048576"), MATCH(AO$1, MayR!$6:$6, 0), FALSE),
            0
        ) +
        IFERROR(
            VLOOKUP($A55, INDIRECT("JunR!$A$6:$ZZ$1048576"), MATCH(AO$1, JunR!$6:$6, 0), FALSE),
            0
        ) +
        IFERROR(
            VLOOKUP($A55, INDIRECT("JulR!$A$6:$ZZ$1048576"), MATCH(AO$1, JulR!$6:$6, 0), FALSE),
            0
        ) +
        IFERROR(
            VLOOKUP($A55, INDIRECT("AgoR!$A$6:$ZZ$1048576"), MATCH(AO$1, AgoR!$6:$6, 0), FALSE),
            0
        ) +
        IFERROR(
            VLOOKUP($A55, INDIRECT("SepR!$A$6:$ZZ$1048576"), MATCH(AO$1, SepR!$6:$6, 0), FALSE),
            0
        ) +
        IFERROR(
            VLOOKUP($A55, INDIRECT("OctR!$A$6:$ZZ$1048576"), MATCH(AO$1, OctR!$6:$6, 0), FALSE),
            0
        ) +
        IFERROR(
            VLOOKUP($A55, INDIRECT("NovR!$A$6:$ZZ$1048576"), MATCH(AO$1, NovR!$6:$6, 0), FALSE),
            0
        ) +
        IFERROR(
            VLOOKUP($A55, INDIRECT("DicR!$A$6:$ZZ$1048576"), MATCH(AO$1, DicR!$6:$6, 0), FALSE),
            0
        )
)</f>
        <v>0</v>
      </c>
      <c r="AP55" s="36">
        <f t="array" ref="AP55">SUM(
    IFERROR(
            VLOOKUP($A55, INDIRECT("EneR!$A$6:$ZZ$1048576"), MATCH(AP$1, EneR!$6:$6, 0), FALSE),
            0
        ) +
        IFERROR(
            VLOOKUP($A55, INDIRECT("FebR!$A$6:$ZZ$1048576"), MATCH(AP$1, FebR!$6:$6, 0), FALSE),
            0
        ) +
        IFERROR(
            VLOOKUP($A55, INDIRECT("MarR!$A$6:$ZZ$1048576"), MATCH(AP$1, MarR!$6:$6, 0), FALSE),
            0
        ) +
        IFERROR(
            VLOOKUP($A55, INDIRECT("AbrR!$A$6:$ZZ$1048576"), MATCH(AP$1, AbrR!$6:$6, 0), FALSE),
            0
        ) +
        IFERROR(
            VLOOKUP($A55, INDIRECT("MayR!$A$6:$ZZ$1048576"), MATCH(AP$1, MayR!$6:$6, 0), FALSE),
            0
        ) +
        IFERROR(
            VLOOKUP($A55, INDIRECT("JunR!$A$6:$ZZ$1048576"), MATCH(AP$1, JunR!$6:$6, 0), FALSE),
            0
        ) +
        IFERROR(
            VLOOKUP($A55, INDIRECT("JulR!$A$6:$ZZ$1048576"), MATCH(AP$1, JulR!$6:$6, 0), FALSE),
            0
        ) +
        IFERROR(
            VLOOKUP($A55, INDIRECT("AgoR!$A$6:$ZZ$1048576"), MATCH(AP$1, AgoR!$6:$6, 0), FALSE),
            0
        ) +
        IFERROR(
            VLOOKUP($A55, INDIRECT("SepR!$A$6:$ZZ$1048576"), MATCH(AP$1, SepR!$6:$6, 0), FALSE),
            0
        ) +
        IFERROR(
            VLOOKUP($A55, INDIRECT("OctR!$A$6:$ZZ$1048576"), MATCH(AP$1, OctR!$6:$6, 0), FALSE),
            0
        ) +
        IFERROR(
            VLOOKUP($A55, INDIRECT("NovR!$A$6:$ZZ$1048576"), MATCH(AP$1, NovR!$6:$6, 0), FALSE),
            0
        ) +
        IFERROR(
            VLOOKUP($A55, INDIRECT("DicR!$A$6:$ZZ$1048576"), MATCH(AP$1, DicR!$6:$6, 0), FALSE),
            0
        )
)</f>
        <v>0</v>
      </c>
      <c r="AQ55" s="35">
        <f t="array" ref="AQ55">SUM(
    IFERROR(
            VLOOKUP($A55, INDIRECT("EneR!$A$6:$ZZ$1048576"), MATCH(AQ$1, EneR!$6:$6, 0), FALSE),
            0
        ) +
        IFERROR(
            VLOOKUP($A55, INDIRECT("FebR!$A$6:$ZZ$1048576"), MATCH(AQ$1, FebR!$6:$6, 0), FALSE),
            0
        ) +
        IFERROR(
            VLOOKUP($A55, INDIRECT("MarR!$A$6:$ZZ$1048576"), MATCH(AQ$1, MarR!$6:$6, 0), FALSE),
            0
        ) +
        IFERROR(
            VLOOKUP($A55, INDIRECT("AbrR!$A$6:$ZZ$1048576"), MATCH(AQ$1, AbrR!$6:$6, 0), FALSE),
            0
        ) +
        IFERROR(
            VLOOKUP($A55, INDIRECT("MayR!$A$6:$ZZ$1048576"), MATCH(AQ$1, MayR!$6:$6, 0), FALSE),
            0
        ) +
        IFERROR(
            VLOOKUP($A55, INDIRECT("JunR!$A$6:$ZZ$1048576"), MATCH(AQ$1, JunR!$6:$6, 0), FALSE),
            0
        ) +
        IFERROR(
            VLOOKUP($A55, INDIRECT("JulR!$A$6:$ZZ$1048576"), MATCH(AQ$1, JulR!$6:$6, 0), FALSE),
            0
        ) +
        IFERROR(
            VLOOKUP($A55, INDIRECT("AgoR!$A$6:$ZZ$1048576"), MATCH(AQ$1, AgoR!$6:$6, 0), FALSE),
            0
        ) +
        IFERROR(
            VLOOKUP($A55, INDIRECT("SepR!$A$6:$ZZ$1048576"), MATCH(AQ$1, SepR!$6:$6, 0), FALSE),
            0
        ) +
        IFERROR(
            VLOOKUP($A55, INDIRECT("OctR!$A$6:$ZZ$1048576"), MATCH(AQ$1, OctR!$6:$6, 0), FALSE),
            0
        ) +
        IFERROR(
            VLOOKUP($A55, INDIRECT("NovR!$A$6:$ZZ$1048576"), MATCH(AQ$1, NovR!$6:$6, 0), FALSE),
            0
        ) +
        IFERROR(
            VLOOKUP($A55, INDIRECT("DicR!$A$6:$ZZ$1048576"), MATCH(AQ$1, DicR!$6:$6, 0), FALSE),
            0
        )
)</f>
        <v>0</v>
      </c>
      <c r="AR55" s="36">
        <f t="array" ref="AR55">SUM(
    IFERROR(
            VLOOKUP($A55, INDIRECT("EneR!$A$6:$ZZ$1048576"), MATCH(AR$1, EneR!$6:$6, 0), FALSE),
            0
        ) +
        IFERROR(
            VLOOKUP($A55, INDIRECT("FebR!$A$6:$ZZ$1048576"), MATCH(AR$1, FebR!$6:$6, 0), FALSE),
            0
        ) +
        IFERROR(
            VLOOKUP($A55, INDIRECT("MarR!$A$6:$ZZ$1048576"), MATCH(AR$1, MarR!$6:$6, 0), FALSE),
            0
        ) +
        IFERROR(
            VLOOKUP($A55, INDIRECT("AbrR!$A$6:$ZZ$1048576"), MATCH(AR$1, AbrR!$6:$6, 0), FALSE),
            0
        ) +
        IFERROR(
            VLOOKUP($A55, INDIRECT("MayR!$A$6:$ZZ$1048576"), MATCH(AR$1, MayR!$6:$6, 0), FALSE),
            0
        ) +
        IFERROR(
            VLOOKUP($A55, INDIRECT("JunR!$A$6:$ZZ$1048576"), MATCH(AR$1, JunR!$6:$6, 0), FALSE),
            0
        ) +
        IFERROR(
            VLOOKUP($A55, INDIRECT("JulR!$A$6:$ZZ$1048576"), MATCH(AR$1, JulR!$6:$6, 0), FALSE),
            0
        ) +
        IFERROR(
            VLOOKUP($A55, INDIRECT("AgoR!$A$6:$ZZ$1048576"), MATCH(AR$1, AgoR!$6:$6, 0), FALSE),
            0
        ) +
        IFERROR(
            VLOOKUP($A55, INDIRECT("SepR!$A$6:$ZZ$1048576"), MATCH(AR$1, SepR!$6:$6, 0), FALSE),
            0
        ) +
        IFERROR(
            VLOOKUP($A55, INDIRECT("OctR!$A$6:$ZZ$1048576"), MATCH(AR$1, OctR!$6:$6, 0), FALSE),
            0
        ) +
        IFERROR(
            VLOOKUP($A55, INDIRECT("NovR!$A$6:$ZZ$1048576"), MATCH(AR$1, NovR!$6:$6, 0), FALSE),
            0
        ) +
        IFERROR(
            VLOOKUP($A55, INDIRECT("DicR!$A$6:$ZZ$1048576"), MATCH(AR$1, DicR!$6:$6, 0), FALSE),
            0
        )
)</f>
        <v>0</v>
      </c>
      <c r="AS55" s="35">
        <f t="array" ref="AS55">SUM(
    IFERROR(
            VLOOKUP($A55, INDIRECT("EneR!$A$6:$ZZ$1048576"), MATCH(AS$1, EneR!$6:$6, 0), FALSE),
            0
        ) +
        IFERROR(
            VLOOKUP($A55, INDIRECT("FebR!$A$6:$ZZ$1048576"), MATCH(AS$1, FebR!$6:$6, 0), FALSE),
            0
        ) +
        IFERROR(
            VLOOKUP($A55, INDIRECT("MarR!$A$6:$ZZ$1048576"), MATCH(AS$1, MarR!$6:$6, 0), FALSE),
            0
        ) +
        IFERROR(
            VLOOKUP($A55, INDIRECT("AbrR!$A$6:$ZZ$1048576"), MATCH(AS$1, AbrR!$6:$6, 0), FALSE),
            0
        ) +
        IFERROR(
            VLOOKUP($A55, INDIRECT("MayR!$A$6:$ZZ$1048576"), MATCH(AS$1, MayR!$6:$6, 0), FALSE),
            0
        ) +
        IFERROR(
            VLOOKUP($A55, INDIRECT("JunR!$A$6:$ZZ$1048576"), MATCH(AS$1, JunR!$6:$6, 0), FALSE),
            0
        ) +
        IFERROR(
            VLOOKUP($A55, INDIRECT("JulR!$A$6:$ZZ$1048576"), MATCH(AS$1, JulR!$6:$6, 0), FALSE),
            0
        ) +
        IFERROR(
            VLOOKUP($A55, INDIRECT("AgoR!$A$6:$ZZ$1048576"), MATCH(AS$1, AgoR!$6:$6, 0), FALSE),
            0
        ) +
        IFERROR(
            VLOOKUP($A55, INDIRECT("SepR!$A$6:$ZZ$1048576"), MATCH(AS$1, SepR!$6:$6, 0), FALSE),
            0
        ) +
        IFERROR(
            VLOOKUP($A55, INDIRECT("OctR!$A$6:$ZZ$1048576"), MATCH(AS$1, OctR!$6:$6, 0), FALSE),
            0
        ) +
        IFERROR(
            VLOOKUP($A55, INDIRECT("NovR!$A$6:$ZZ$1048576"), MATCH(AS$1, NovR!$6:$6, 0), FALSE),
            0
        ) +
        IFERROR(
            VLOOKUP($A55, INDIRECT("DicR!$A$6:$ZZ$1048576"), MATCH(AS$1, DicR!$6:$6, 0), FALSE),
            0
        )
)</f>
        <v>0</v>
      </c>
      <c r="AT55" s="36">
        <f t="array" ref="AT55">SUM(
    IFERROR(
            VLOOKUP($A55, INDIRECT("EneR!$A$6:$ZZ$1048576"), MATCH(AT$1, EneR!$6:$6, 0), FALSE),
            0
        ) +
        IFERROR(
            VLOOKUP($A55, INDIRECT("FebR!$A$6:$ZZ$1048576"), MATCH(AT$1, FebR!$6:$6, 0), FALSE),
            0
        ) +
        IFERROR(
            VLOOKUP($A55, INDIRECT("MarR!$A$6:$ZZ$1048576"), MATCH(AT$1, MarR!$6:$6, 0), FALSE),
            0
        ) +
        IFERROR(
            VLOOKUP($A55, INDIRECT("AbrR!$A$6:$ZZ$1048576"), MATCH(AT$1, AbrR!$6:$6, 0), FALSE),
            0
        ) +
        IFERROR(
            VLOOKUP($A55, INDIRECT("MayR!$A$6:$ZZ$1048576"), MATCH(AT$1, MayR!$6:$6, 0), FALSE),
            0
        ) +
        IFERROR(
            VLOOKUP($A55, INDIRECT("JunR!$A$6:$ZZ$1048576"), MATCH(AT$1, JunR!$6:$6, 0), FALSE),
            0
        ) +
        IFERROR(
            VLOOKUP($A55, INDIRECT("JulR!$A$6:$ZZ$1048576"), MATCH(AT$1, JulR!$6:$6, 0), FALSE),
            0
        ) +
        IFERROR(
            VLOOKUP($A55, INDIRECT("AgoR!$A$6:$ZZ$1048576"), MATCH(AT$1, AgoR!$6:$6, 0), FALSE),
            0
        ) +
        IFERROR(
            VLOOKUP($A55, INDIRECT("SepR!$A$6:$ZZ$1048576"), MATCH(AT$1, SepR!$6:$6, 0), FALSE),
            0
        ) +
        IFERROR(
            VLOOKUP($A55, INDIRECT("OctR!$A$6:$ZZ$1048576"), MATCH(AT$1, OctR!$6:$6, 0), FALSE),
            0
        ) +
        IFERROR(
            VLOOKUP($A55, INDIRECT("NovR!$A$6:$ZZ$1048576"), MATCH(AT$1, NovR!$6:$6, 0), FALSE),
            0
        ) +
        IFERROR(
            VLOOKUP($A55, INDIRECT("DicR!$A$6:$ZZ$1048576"), MATCH(AT$1, DicR!$6:$6, 0), FALSE),
            0
        )
)</f>
        <v>0</v>
      </c>
      <c r="AU55" s="35">
        <f t="array" ref="AU55">SUM(
    IFERROR(
            VLOOKUP($A55, INDIRECT("EneR!$A$6:$ZZ$1048576"), MATCH(AU$1, EneR!$6:$6, 0), FALSE),
            0
        ) +
        IFERROR(
            VLOOKUP($A55, INDIRECT("FebR!$A$6:$ZZ$1048576"), MATCH(AU$1, FebR!$6:$6, 0), FALSE),
            0
        ) +
        IFERROR(
            VLOOKUP($A55, INDIRECT("MarR!$A$6:$ZZ$1048576"), MATCH(AU$1, MarR!$6:$6, 0), FALSE),
            0
        ) +
        IFERROR(
            VLOOKUP($A55, INDIRECT("AbrR!$A$6:$ZZ$1048576"), MATCH(AU$1, AbrR!$6:$6, 0), FALSE),
            0
        ) +
        IFERROR(
            VLOOKUP($A55, INDIRECT("MayR!$A$6:$ZZ$1048576"), MATCH(AU$1, MayR!$6:$6, 0), FALSE),
            0
        ) +
        IFERROR(
            VLOOKUP($A55, INDIRECT("JunR!$A$6:$ZZ$1048576"), MATCH(AU$1, JunR!$6:$6, 0), FALSE),
            0
        ) +
        IFERROR(
            VLOOKUP($A55, INDIRECT("JulR!$A$6:$ZZ$1048576"), MATCH(AU$1, JulR!$6:$6, 0), FALSE),
            0
        ) +
        IFERROR(
            VLOOKUP($A55, INDIRECT("AgoR!$A$6:$ZZ$1048576"), MATCH(AU$1, AgoR!$6:$6, 0), FALSE),
            0
        ) +
        IFERROR(
            VLOOKUP($A55, INDIRECT("SepR!$A$6:$ZZ$1048576"), MATCH(AU$1, SepR!$6:$6, 0), FALSE),
            0
        ) +
        IFERROR(
            VLOOKUP($A55, INDIRECT("OctR!$A$6:$ZZ$1048576"), MATCH(AU$1, OctR!$6:$6, 0), FALSE),
            0
        ) +
        IFERROR(
            VLOOKUP($A55, INDIRECT("NovR!$A$6:$ZZ$1048576"), MATCH(AU$1, NovR!$6:$6, 0), FALSE),
            0
        ) +
        IFERROR(
            VLOOKUP($A55, INDIRECT("DicR!$A$6:$ZZ$1048576"), MATCH(AU$1, DicR!$6:$6, 0), FALSE),
            0
        )
)</f>
        <v>0</v>
      </c>
      <c r="AV55" s="36">
        <f t="array" ref="AV55">SUM(
    IFERROR(
            VLOOKUP($A55, INDIRECT("EneR!$A$6:$ZZ$1048576"), MATCH(AV$1, EneR!$6:$6, 0), FALSE),
            0
        ) +
        IFERROR(
            VLOOKUP($A55, INDIRECT("FebR!$A$6:$ZZ$1048576"), MATCH(AV$1, FebR!$6:$6, 0), FALSE),
            0
        ) +
        IFERROR(
            VLOOKUP($A55, INDIRECT("MarR!$A$6:$ZZ$1048576"), MATCH(AV$1, MarR!$6:$6, 0), FALSE),
            0
        ) +
        IFERROR(
            VLOOKUP($A55, INDIRECT("AbrR!$A$6:$ZZ$1048576"), MATCH(AV$1, AbrR!$6:$6, 0), FALSE),
            0
        ) +
        IFERROR(
            VLOOKUP($A55, INDIRECT("MayR!$A$6:$ZZ$1048576"), MATCH(AV$1, MayR!$6:$6, 0), FALSE),
            0
        ) +
        IFERROR(
            VLOOKUP($A55, INDIRECT("JunR!$A$6:$ZZ$1048576"), MATCH(AV$1, JunR!$6:$6, 0), FALSE),
            0
        ) +
        IFERROR(
            VLOOKUP($A55, INDIRECT("JulR!$A$6:$ZZ$1048576"), MATCH(AV$1, JulR!$6:$6, 0), FALSE),
            0
        ) +
        IFERROR(
            VLOOKUP($A55, INDIRECT("AgoR!$A$6:$ZZ$1048576"), MATCH(AV$1, AgoR!$6:$6, 0), FALSE),
            0
        ) +
        IFERROR(
            VLOOKUP($A55, INDIRECT("SepR!$A$6:$ZZ$1048576"), MATCH(AV$1, SepR!$6:$6, 0), FALSE),
            0
        ) +
        IFERROR(
            VLOOKUP($A55, INDIRECT("OctR!$A$6:$ZZ$1048576"), MATCH(AV$1, OctR!$6:$6, 0), FALSE),
            0
        ) +
        IFERROR(
            VLOOKUP($A55, INDIRECT("NovR!$A$6:$ZZ$1048576"), MATCH(AV$1, NovR!$6:$6, 0), FALSE),
            0
        ) +
        IFERROR(
            VLOOKUP($A55, INDIRECT("DicR!$A$6:$ZZ$1048576"), MATCH(AV$1, DicR!$6:$6, 0), FALSE),
            0
        )
)</f>
        <v>0</v>
      </c>
      <c r="AW55" s="35">
        <f t="array" ref="AW55">SUM(
    IFERROR(
            VLOOKUP($A55, INDIRECT("EneR!$A$6:$ZZ$1048576"), MATCH(AW$1, EneR!$6:$6, 0), FALSE),
            0
        ) +
        IFERROR(
            VLOOKUP($A55, INDIRECT("FebR!$A$6:$ZZ$1048576"), MATCH(AW$1, FebR!$6:$6, 0), FALSE),
            0
        ) +
        IFERROR(
            VLOOKUP($A55, INDIRECT("MarR!$A$6:$ZZ$1048576"), MATCH(AW$1, MarR!$6:$6, 0), FALSE),
            0
        ) +
        IFERROR(
            VLOOKUP($A55, INDIRECT("AbrR!$A$6:$ZZ$1048576"), MATCH(AW$1, AbrR!$6:$6, 0), FALSE),
            0
        ) +
        IFERROR(
            VLOOKUP($A55, INDIRECT("MayR!$A$6:$ZZ$1048576"), MATCH(AW$1, MayR!$6:$6, 0), FALSE),
            0
        ) +
        IFERROR(
            VLOOKUP($A55, INDIRECT("JunR!$A$6:$ZZ$1048576"), MATCH(AW$1, JunR!$6:$6, 0), FALSE),
            0
        ) +
        IFERROR(
            VLOOKUP($A55, INDIRECT("JulR!$A$6:$ZZ$1048576"), MATCH(AW$1, JulR!$6:$6, 0), FALSE),
            0
        ) +
        IFERROR(
            VLOOKUP($A55, INDIRECT("AgoR!$A$6:$ZZ$1048576"), MATCH(AW$1, AgoR!$6:$6, 0), FALSE),
            0
        ) +
        IFERROR(
            VLOOKUP($A55, INDIRECT("SepR!$A$6:$ZZ$1048576"), MATCH(AW$1, SepR!$6:$6, 0), FALSE),
            0
        ) +
        IFERROR(
            VLOOKUP($A55, INDIRECT("OctR!$A$6:$ZZ$1048576"), MATCH(AW$1, OctR!$6:$6, 0), FALSE),
            0
        ) +
        IFERROR(
            VLOOKUP($A55, INDIRECT("NovR!$A$6:$ZZ$1048576"), MATCH(AW$1, NovR!$6:$6, 0), FALSE),
            0
        ) +
        IFERROR(
            VLOOKUP($A55, INDIRECT("DicR!$A$6:$ZZ$1048576"), MATCH(AW$1, DicR!$6:$6, 0), FALSE),
            0
        )
)</f>
        <v>0</v>
      </c>
      <c r="AX55" s="36">
        <f t="array" ref="AX55">SUM(
    IFERROR(
            VLOOKUP($A55, INDIRECT("EneR!$A$6:$ZZ$1048576"), MATCH(AX$1, EneR!$6:$6, 0), FALSE),
            0
        ) +
        IFERROR(
            VLOOKUP($A55, INDIRECT("FebR!$A$6:$ZZ$1048576"), MATCH(AX$1, FebR!$6:$6, 0), FALSE),
            0
        ) +
        IFERROR(
            VLOOKUP($A55, INDIRECT("MarR!$A$6:$ZZ$1048576"), MATCH(AX$1, MarR!$6:$6, 0), FALSE),
            0
        ) +
        IFERROR(
            VLOOKUP($A55, INDIRECT("AbrR!$A$6:$ZZ$1048576"), MATCH(AX$1, AbrR!$6:$6, 0), FALSE),
            0
        ) +
        IFERROR(
            VLOOKUP($A55, INDIRECT("MayR!$A$6:$ZZ$1048576"), MATCH(AX$1, MayR!$6:$6, 0), FALSE),
            0
        ) +
        IFERROR(
            VLOOKUP($A55, INDIRECT("JunR!$A$6:$ZZ$1048576"), MATCH(AX$1, JunR!$6:$6, 0), FALSE),
            0
        ) +
        IFERROR(
            VLOOKUP($A55, INDIRECT("JulR!$A$6:$ZZ$1048576"), MATCH(AX$1, JulR!$6:$6, 0), FALSE),
            0
        ) +
        IFERROR(
            VLOOKUP($A55, INDIRECT("AgoR!$A$6:$ZZ$1048576"), MATCH(AX$1, AgoR!$6:$6, 0), FALSE),
            0
        ) +
        IFERROR(
            VLOOKUP($A55, INDIRECT("SepR!$A$6:$ZZ$1048576"), MATCH(AX$1, SepR!$6:$6, 0), FALSE),
            0
        ) +
        IFERROR(
            VLOOKUP($A55, INDIRECT("OctR!$A$6:$ZZ$1048576"), MATCH(AX$1, OctR!$6:$6, 0), FALSE),
            0
        ) +
        IFERROR(
            VLOOKUP($A55, INDIRECT("NovR!$A$6:$ZZ$1048576"), MATCH(AX$1, NovR!$6:$6, 0), FALSE),
            0
        ) +
        IFERROR(
            VLOOKUP($A55, INDIRECT("DicR!$A$6:$ZZ$1048576"), MATCH(AX$1, DicR!$6:$6, 0), FALSE),
            0
        )
)</f>
        <v>0</v>
      </c>
      <c r="AY55" s="35">
        <f t="array" ref="AY55">SUM(
    IFERROR(
            VLOOKUP($A55, INDIRECT("EneR!$A$6:$ZZ$1048576"), MATCH(AY$1, EneR!$6:$6, 0), FALSE),
            0
        ) +
        IFERROR(
            VLOOKUP($A55, INDIRECT("FebR!$A$6:$ZZ$1048576"), MATCH(AY$1, FebR!$6:$6, 0), FALSE),
            0
        ) +
        IFERROR(
            VLOOKUP($A55, INDIRECT("MarR!$A$6:$ZZ$1048576"), MATCH(AY$1, MarR!$6:$6, 0), FALSE),
            0
        ) +
        IFERROR(
            VLOOKUP($A55, INDIRECT("AbrR!$A$6:$ZZ$1048576"), MATCH(AY$1, AbrR!$6:$6, 0), FALSE),
            0
        ) +
        IFERROR(
            VLOOKUP($A55, INDIRECT("MayR!$A$6:$ZZ$1048576"), MATCH(AY$1, MayR!$6:$6, 0), FALSE),
            0
        ) +
        IFERROR(
            VLOOKUP($A55, INDIRECT("JunR!$A$6:$ZZ$1048576"), MATCH(AY$1, JunR!$6:$6, 0), FALSE),
            0
        ) +
        IFERROR(
            VLOOKUP($A55, INDIRECT("JulR!$A$6:$ZZ$1048576"), MATCH(AY$1, JulR!$6:$6, 0), FALSE),
            0
        ) +
        IFERROR(
            VLOOKUP($A55, INDIRECT("AgoR!$A$6:$ZZ$1048576"), MATCH(AY$1, AgoR!$6:$6, 0), FALSE),
            0
        ) +
        IFERROR(
            VLOOKUP($A55, INDIRECT("SepR!$A$6:$ZZ$1048576"), MATCH(AY$1, SepR!$6:$6, 0), FALSE),
            0
        ) +
        IFERROR(
            VLOOKUP($A55, INDIRECT("OctR!$A$6:$ZZ$1048576"), MATCH(AY$1, OctR!$6:$6, 0), FALSE),
            0
        ) +
        IFERROR(
            VLOOKUP($A55, INDIRECT("NovR!$A$6:$ZZ$1048576"), MATCH(AY$1, NovR!$6:$6, 0), FALSE),
            0
        ) +
        IFERROR(
            VLOOKUP($A55, INDIRECT("DicR!$A$6:$ZZ$1048576"), MATCH(AY$1, DicR!$6:$6, 0), FALSE),
            0
        )
)</f>
        <v>0</v>
      </c>
      <c r="AZ55" s="35"/>
    </row>
    <row r="56" ht="15.75" customHeight="1">
      <c r="A56" s="12" t="str">
        <f>Menus!B17</f>
        <v/>
      </c>
      <c r="B56" s="32">
        <f t="shared" si="9"/>
        <v>0</v>
      </c>
      <c r="C56" s="33" t="str">
        <f t="shared" si="10"/>
        <v/>
      </c>
      <c r="D56" s="34">
        <f t="array" ref="D56">SUM(
    IFERROR(
            VLOOKUP($A56, INDIRECT("EneR!$A$6:$ZZ$1048576"), MATCH(D$1, EneR!$6:$6, 0), FALSE),
            0
        ) +
        IFERROR(
            VLOOKUP($A56, INDIRECT("FebR!$A$6:$ZZ$1048576"), MATCH(D$1, FebR!$6:$6, 0), FALSE),
            0
        ) +
        IFERROR(
            VLOOKUP($A56, INDIRECT("MarR!$A$6:$ZZ$1048576"), MATCH(D$1, MarR!$6:$6, 0), FALSE),
            0
        ) +
        IFERROR(
            VLOOKUP($A56, INDIRECT("AbrR!$A$6:$ZZ$1048576"), MATCH(D$1, AbrR!$6:$6, 0), FALSE),
            0
        ) +
        IFERROR(
            VLOOKUP($A56, INDIRECT("MayR!$A$6:$ZZ$1048576"), MATCH(D$1, MayR!$6:$6, 0), FALSE),
            0
        ) +
        IFERROR(
            VLOOKUP($A56, INDIRECT("JunR!$A$6:$ZZ$1048576"), MATCH(D$1, JunR!$6:$6, 0), FALSE),
            0
        ) +
        IFERROR(
            VLOOKUP($A56, INDIRECT("JulR!$A$6:$ZZ$1048576"), MATCH(D$1, JulR!$6:$6, 0), FALSE),
            0
        ) +
        IFERROR(
            VLOOKUP($A56, INDIRECT("AgoR!$A$6:$ZZ$1048576"), MATCH(D$1, AgoR!$6:$6, 0), FALSE),
            0
        ) +
        IFERROR(
            VLOOKUP($A56, INDIRECT("SepR!$A$6:$ZZ$1048576"), MATCH(D$1, SepR!$6:$6, 0), FALSE),
            0
        ) +
        IFERROR(
            VLOOKUP($A56, INDIRECT("OctR!$A$6:$ZZ$1048576"), MATCH(D$1, OctR!$6:$6, 0), FALSE),
            0
        ) +
        IFERROR(
            VLOOKUP($A56, INDIRECT("NovR!$A$6:$ZZ$1048576"), MATCH(D$1, NovR!$6:$6, 0), FALSE),
            0
        ) +
        IFERROR(
            VLOOKUP($A56, INDIRECT("DicR!$A$6:$ZZ$1048576"), MATCH(D$1, DicR!$6:$6, 0), FALSE),
            0
        )
)</f>
        <v>0</v>
      </c>
      <c r="E56" s="35">
        <f t="array" ref="E56">SUM(
    IFERROR(
            VLOOKUP($A56, INDIRECT("EneR!$A$6:$ZZ$1048576"), MATCH(E$1, EneR!$6:$6, 0), FALSE),
            0
        ) +
        IFERROR(
            VLOOKUP($A56, INDIRECT("FebR!$A$6:$ZZ$1048576"), MATCH(E$1, FebR!$6:$6, 0), FALSE),
            0
        ) +
        IFERROR(
            VLOOKUP($A56, INDIRECT("MarR!$A$6:$ZZ$1048576"), MATCH(E$1, MarR!$6:$6, 0), FALSE),
            0
        ) +
        IFERROR(
            VLOOKUP($A56, INDIRECT("AbrR!$A$6:$ZZ$1048576"), MATCH(E$1, AbrR!$6:$6, 0), FALSE),
            0
        ) +
        IFERROR(
            VLOOKUP($A56, INDIRECT("MayR!$A$6:$ZZ$1048576"), MATCH(E$1, MayR!$6:$6, 0), FALSE),
            0
        ) +
        IFERROR(
            VLOOKUP($A56, INDIRECT("JunR!$A$6:$ZZ$1048576"), MATCH(E$1, JunR!$6:$6, 0), FALSE),
            0
        ) +
        IFERROR(
            VLOOKUP($A56, INDIRECT("JulR!$A$6:$ZZ$1048576"), MATCH(E$1, JulR!$6:$6, 0), FALSE),
            0
        ) +
        IFERROR(
            VLOOKUP($A56, INDIRECT("AgoR!$A$6:$ZZ$1048576"), MATCH(E$1, AgoR!$6:$6, 0), FALSE),
            0
        ) +
        IFERROR(
            VLOOKUP($A56, INDIRECT("SepR!$A$6:$ZZ$1048576"), MATCH(E$1, SepR!$6:$6, 0), FALSE),
            0
        ) +
        IFERROR(
            VLOOKUP($A56, INDIRECT("OctR!$A$6:$ZZ$1048576"), MATCH(E$1, OctR!$6:$6, 0), FALSE),
            0
        ) +
        IFERROR(
            VLOOKUP($A56, INDIRECT("NovR!$A$6:$ZZ$1048576"), MATCH(E$1, NovR!$6:$6, 0), FALSE),
            0
        ) +
        IFERROR(
            VLOOKUP($A56, INDIRECT("DicR!$A$6:$ZZ$1048576"), MATCH(E$1, DicR!$6:$6, 0), FALSE),
            0
        )
)</f>
        <v>0</v>
      </c>
      <c r="F56" s="32">
        <f t="array" ref="F56">SUM(
    IFERROR(
            VLOOKUP($A56, INDIRECT("EneR!$A$6:$ZZ$1048576"), MATCH(F$1, EneR!$6:$6, 0), FALSE),
            0
        ) +
        IFERROR(
            VLOOKUP($A56, INDIRECT("FebR!$A$6:$ZZ$1048576"), MATCH(F$1, FebR!$6:$6, 0), FALSE),
            0
        ) +
        IFERROR(
            VLOOKUP($A56, INDIRECT("MarR!$A$6:$ZZ$1048576"), MATCH(F$1, MarR!$6:$6, 0), FALSE),
            0
        ) +
        IFERROR(
            VLOOKUP($A56, INDIRECT("AbrR!$A$6:$ZZ$1048576"), MATCH(F$1, AbrR!$6:$6, 0), FALSE),
            0
        ) +
        IFERROR(
            VLOOKUP($A56, INDIRECT("MayR!$A$6:$ZZ$1048576"), MATCH(F$1, MayR!$6:$6, 0), FALSE),
            0
        ) +
        IFERROR(
            VLOOKUP($A56, INDIRECT("JunR!$A$6:$ZZ$1048576"), MATCH(F$1, JunR!$6:$6, 0), FALSE),
            0
        ) +
        IFERROR(
            VLOOKUP($A56, INDIRECT("JulR!$A$6:$ZZ$1048576"), MATCH(F$1, JulR!$6:$6, 0), FALSE),
            0
        ) +
        IFERROR(
            VLOOKUP($A56, INDIRECT("AgoR!$A$6:$ZZ$1048576"), MATCH(F$1, AgoR!$6:$6, 0), FALSE),
            0
        ) +
        IFERROR(
            VLOOKUP($A56, INDIRECT("SepR!$A$6:$ZZ$1048576"), MATCH(F$1, SepR!$6:$6, 0), FALSE),
            0
        ) +
        IFERROR(
            VLOOKUP($A56, INDIRECT("OctR!$A$6:$ZZ$1048576"), MATCH(F$1, OctR!$6:$6, 0), FALSE),
            0
        ) +
        IFERROR(
            VLOOKUP($A56, INDIRECT("NovR!$A$6:$ZZ$1048576"), MATCH(F$1, NovR!$6:$6, 0), FALSE),
            0
        ) +
        IFERROR(
            VLOOKUP($A56, INDIRECT("DicR!$A$6:$ZZ$1048576"), MATCH(F$1, DicR!$6:$6, 0), FALSE),
            0
        )
)</f>
        <v>0</v>
      </c>
      <c r="G56" s="35">
        <f t="array" ref="G56">SUM(
    IFERROR(
            VLOOKUP($A56, INDIRECT("EneR!$A$6:$ZZ$1048576"), MATCH(G$1, EneR!$6:$6, 0), FALSE),
            0
        ) +
        IFERROR(
            VLOOKUP($A56, INDIRECT("FebR!$A$6:$ZZ$1048576"), MATCH(G$1, FebR!$6:$6, 0), FALSE),
            0
        ) +
        IFERROR(
            VLOOKUP($A56, INDIRECT("MarR!$A$6:$ZZ$1048576"), MATCH(G$1, MarR!$6:$6, 0), FALSE),
            0
        ) +
        IFERROR(
            VLOOKUP($A56, INDIRECT("AbrR!$A$6:$ZZ$1048576"), MATCH(G$1, AbrR!$6:$6, 0), FALSE),
            0
        ) +
        IFERROR(
            VLOOKUP($A56, INDIRECT("MayR!$A$6:$ZZ$1048576"), MATCH(G$1, MayR!$6:$6, 0), FALSE),
            0
        ) +
        IFERROR(
            VLOOKUP($A56, INDIRECT("JunR!$A$6:$ZZ$1048576"), MATCH(G$1, JunR!$6:$6, 0), FALSE),
            0
        ) +
        IFERROR(
            VLOOKUP($A56, INDIRECT("JulR!$A$6:$ZZ$1048576"), MATCH(G$1, JulR!$6:$6, 0), FALSE),
            0
        ) +
        IFERROR(
            VLOOKUP($A56, INDIRECT("AgoR!$A$6:$ZZ$1048576"), MATCH(G$1, AgoR!$6:$6, 0), FALSE),
            0
        ) +
        IFERROR(
            VLOOKUP($A56, INDIRECT("SepR!$A$6:$ZZ$1048576"), MATCH(G$1, SepR!$6:$6, 0), FALSE),
            0
        ) +
        IFERROR(
            VLOOKUP($A56, INDIRECT("OctR!$A$6:$ZZ$1048576"), MATCH(G$1, OctR!$6:$6, 0), FALSE),
            0
        ) +
        IFERROR(
            VLOOKUP($A56, INDIRECT("NovR!$A$6:$ZZ$1048576"), MATCH(G$1, NovR!$6:$6, 0), FALSE),
            0
        ) +
        IFERROR(
            VLOOKUP($A56, INDIRECT("DicR!$A$6:$ZZ$1048576"), MATCH(G$1, DicR!$6:$6, 0), FALSE),
            0
        )
)</f>
        <v>0</v>
      </c>
      <c r="H56" s="32">
        <f t="array" ref="H56">SUM(
    IFERROR(
            VLOOKUP($A56, INDIRECT("EneR!$A$6:$ZZ$1048576"), MATCH(H$1, EneR!$6:$6, 0), FALSE),
            0
        ) +
        IFERROR(
            VLOOKUP($A56, INDIRECT("FebR!$A$6:$ZZ$1048576"), MATCH(H$1, FebR!$6:$6, 0), FALSE),
            0
        ) +
        IFERROR(
            VLOOKUP($A56, INDIRECT("MarR!$A$6:$ZZ$1048576"), MATCH(H$1, MarR!$6:$6, 0), FALSE),
            0
        ) +
        IFERROR(
            VLOOKUP($A56, INDIRECT("AbrR!$A$6:$ZZ$1048576"), MATCH(H$1, AbrR!$6:$6, 0), FALSE),
            0
        ) +
        IFERROR(
            VLOOKUP($A56, INDIRECT("MayR!$A$6:$ZZ$1048576"), MATCH(H$1, MayR!$6:$6, 0), FALSE),
            0
        ) +
        IFERROR(
            VLOOKUP($A56, INDIRECT("JunR!$A$6:$ZZ$1048576"), MATCH(H$1, JunR!$6:$6, 0), FALSE),
            0
        ) +
        IFERROR(
            VLOOKUP($A56, INDIRECT("JulR!$A$6:$ZZ$1048576"), MATCH(H$1, JulR!$6:$6, 0), FALSE),
            0
        ) +
        IFERROR(
            VLOOKUP($A56, INDIRECT("AgoR!$A$6:$ZZ$1048576"), MATCH(H$1, AgoR!$6:$6, 0), FALSE),
            0
        ) +
        IFERROR(
            VLOOKUP($A56, INDIRECT("SepR!$A$6:$ZZ$1048576"), MATCH(H$1, SepR!$6:$6, 0), FALSE),
            0
        ) +
        IFERROR(
            VLOOKUP($A56, INDIRECT("OctR!$A$6:$ZZ$1048576"), MATCH(H$1, OctR!$6:$6, 0), FALSE),
            0
        ) +
        IFERROR(
            VLOOKUP($A56, INDIRECT("NovR!$A$6:$ZZ$1048576"), MATCH(H$1, NovR!$6:$6, 0), FALSE),
            0
        ) +
        IFERROR(
            VLOOKUP($A56, INDIRECT("DicR!$A$6:$ZZ$1048576"), MATCH(H$1, DicR!$6:$6, 0), FALSE),
            0
        )
)</f>
        <v>0</v>
      </c>
      <c r="I56" s="35">
        <f t="array" ref="I56">SUM(
    IFERROR(
            VLOOKUP($A56, INDIRECT("EneR!$A$6:$ZZ$1048576"), MATCH(I$1, EneR!$6:$6, 0), FALSE),
            0
        ) +
        IFERROR(
            VLOOKUP($A56, INDIRECT("FebR!$A$6:$ZZ$1048576"), MATCH(I$1, FebR!$6:$6, 0), FALSE),
            0
        ) +
        IFERROR(
            VLOOKUP($A56, INDIRECT("MarR!$A$6:$ZZ$1048576"), MATCH(I$1, MarR!$6:$6, 0), FALSE),
            0
        ) +
        IFERROR(
            VLOOKUP($A56, INDIRECT("AbrR!$A$6:$ZZ$1048576"), MATCH(I$1, AbrR!$6:$6, 0), FALSE),
            0
        ) +
        IFERROR(
            VLOOKUP($A56, INDIRECT("MayR!$A$6:$ZZ$1048576"), MATCH(I$1, MayR!$6:$6, 0), FALSE),
            0
        ) +
        IFERROR(
            VLOOKUP($A56, INDIRECT("JunR!$A$6:$ZZ$1048576"), MATCH(I$1, JunR!$6:$6, 0), FALSE),
            0
        ) +
        IFERROR(
            VLOOKUP($A56, INDIRECT("JulR!$A$6:$ZZ$1048576"), MATCH(I$1, JulR!$6:$6, 0), FALSE),
            0
        ) +
        IFERROR(
            VLOOKUP($A56, INDIRECT("AgoR!$A$6:$ZZ$1048576"), MATCH(I$1, AgoR!$6:$6, 0), FALSE),
            0
        ) +
        IFERROR(
            VLOOKUP($A56, INDIRECT("SepR!$A$6:$ZZ$1048576"), MATCH(I$1, SepR!$6:$6, 0), FALSE),
            0
        ) +
        IFERROR(
            VLOOKUP($A56, INDIRECT("OctR!$A$6:$ZZ$1048576"), MATCH(I$1, OctR!$6:$6, 0), FALSE),
            0
        ) +
        IFERROR(
            VLOOKUP($A56, INDIRECT("NovR!$A$6:$ZZ$1048576"), MATCH(I$1, NovR!$6:$6, 0), FALSE),
            0
        ) +
        IFERROR(
            VLOOKUP($A56, INDIRECT("DicR!$A$6:$ZZ$1048576"), MATCH(I$1, DicR!$6:$6, 0), FALSE),
            0
        )
)</f>
        <v>0</v>
      </c>
      <c r="J56" s="32">
        <f t="array" ref="J56">SUM(
    IFERROR(
            VLOOKUP($A56, INDIRECT("EneR!$A$6:$ZZ$1048576"), MATCH(J$1, EneR!$6:$6, 0), FALSE),
            0
        ) +
        IFERROR(
            VLOOKUP($A56, INDIRECT("FebR!$A$6:$ZZ$1048576"), MATCH(J$1, FebR!$6:$6, 0), FALSE),
            0
        ) +
        IFERROR(
            VLOOKUP($A56, INDIRECT("MarR!$A$6:$ZZ$1048576"), MATCH(J$1, MarR!$6:$6, 0), FALSE),
            0
        ) +
        IFERROR(
            VLOOKUP($A56, INDIRECT("AbrR!$A$6:$ZZ$1048576"), MATCH(J$1, AbrR!$6:$6, 0), FALSE),
            0
        ) +
        IFERROR(
            VLOOKUP($A56, INDIRECT("MayR!$A$6:$ZZ$1048576"), MATCH(J$1, MayR!$6:$6, 0), FALSE),
            0
        ) +
        IFERROR(
            VLOOKUP($A56, INDIRECT("JunR!$A$6:$ZZ$1048576"), MATCH(J$1, JunR!$6:$6, 0), FALSE),
            0
        ) +
        IFERROR(
            VLOOKUP($A56, INDIRECT("JulR!$A$6:$ZZ$1048576"), MATCH(J$1, JulR!$6:$6, 0), FALSE),
            0
        ) +
        IFERROR(
            VLOOKUP($A56, INDIRECT("AgoR!$A$6:$ZZ$1048576"), MATCH(J$1, AgoR!$6:$6, 0), FALSE),
            0
        ) +
        IFERROR(
            VLOOKUP($A56, INDIRECT("SepR!$A$6:$ZZ$1048576"), MATCH(J$1, SepR!$6:$6, 0), FALSE),
            0
        ) +
        IFERROR(
            VLOOKUP($A56, INDIRECT("OctR!$A$6:$ZZ$1048576"), MATCH(J$1, OctR!$6:$6, 0), FALSE),
            0
        ) +
        IFERROR(
            VLOOKUP($A56, INDIRECT("NovR!$A$6:$ZZ$1048576"), MATCH(J$1, NovR!$6:$6, 0), FALSE),
            0
        ) +
        IFERROR(
            VLOOKUP($A56, INDIRECT("DicR!$A$6:$ZZ$1048576"), MATCH(J$1, DicR!$6:$6, 0), FALSE),
            0
        )
)</f>
        <v>0</v>
      </c>
      <c r="K56" s="35">
        <f t="array" ref="K56">SUM(
    IFERROR(
            VLOOKUP($A56, INDIRECT("EneR!$A$6:$ZZ$1048576"), MATCH(K$1, EneR!$6:$6, 0), FALSE),
            0
        ) +
        IFERROR(
            VLOOKUP($A56, INDIRECT("FebR!$A$6:$ZZ$1048576"), MATCH(K$1, FebR!$6:$6, 0), FALSE),
            0
        ) +
        IFERROR(
            VLOOKUP($A56, INDIRECT("MarR!$A$6:$ZZ$1048576"), MATCH(K$1, MarR!$6:$6, 0), FALSE),
            0
        ) +
        IFERROR(
            VLOOKUP($A56, INDIRECT("AbrR!$A$6:$ZZ$1048576"), MATCH(K$1, AbrR!$6:$6, 0), FALSE),
            0
        ) +
        IFERROR(
            VLOOKUP($A56, INDIRECT("MayR!$A$6:$ZZ$1048576"), MATCH(K$1, MayR!$6:$6, 0), FALSE),
            0
        ) +
        IFERROR(
            VLOOKUP($A56, INDIRECT("JunR!$A$6:$ZZ$1048576"), MATCH(K$1, JunR!$6:$6, 0), FALSE),
            0
        ) +
        IFERROR(
            VLOOKUP($A56, INDIRECT("JulR!$A$6:$ZZ$1048576"), MATCH(K$1, JulR!$6:$6, 0), FALSE),
            0
        ) +
        IFERROR(
            VLOOKUP($A56, INDIRECT("AgoR!$A$6:$ZZ$1048576"), MATCH(K$1, AgoR!$6:$6, 0), FALSE),
            0
        ) +
        IFERROR(
            VLOOKUP($A56, INDIRECT("SepR!$A$6:$ZZ$1048576"), MATCH(K$1, SepR!$6:$6, 0), FALSE),
            0
        ) +
        IFERROR(
            VLOOKUP($A56, INDIRECT("OctR!$A$6:$ZZ$1048576"), MATCH(K$1, OctR!$6:$6, 0), FALSE),
            0
        ) +
        IFERROR(
            VLOOKUP($A56, INDIRECT("NovR!$A$6:$ZZ$1048576"), MATCH(K$1, NovR!$6:$6, 0), FALSE),
            0
        ) +
        IFERROR(
            VLOOKUP($A56, INDIRECT("DicR!$A$6:$ZZ$1048576"), MATCH(K$1, DicR!$6:$6, 0), FALSE),
            0
        )
)</f>
        <v>0</v>
      </c>
      <c r="L56" s="32">
        <f t="array" ref="L56">SUM(
    IFERROR(
            VLOOKUP($A56, INDIRECT("EneR!$A$6:$ZZ$1048576"), MATCH(L$1, EneR!$6:$6, 0), FALSE),
            0
        ) +
        IFERROR(
            VLOOKUP($A56, INDIRECT("FebR!$A$6:$ZZ$1048576"), MATCH(L$1, FebR!$6:$6, 0), FALSE),
            0
        ) +
        IFERROR(
            VLOOKUP($A56, INDIRECT("MarR!$A$6:$ZZ$1048576"), MATCH(L$1, MarR!$6:$6, 0), FALSE),
            0
        ) +
        IFERROR(
            VLOOKUP($A56, INDIRECT("AbrR!$A$6:$ZZ$1048576"), MATCH(L$1, AbrR!$6:$6, 0), FALSE),
            0
        ) +
        IFERROR(
            VLOOKUP($A56, INDIRECT("MayR!$A$6:$ZZ$1048576"), MATCH(L$1, MayR!$6:$6, 0), FALSE),
            0
        ) +
        IFERROR(
            VLOOKUP($A56, INDIRECT("JunR!$A$6:$ZZ$1048576"), MATCH(L$1, JunR!$6:$6, 0), FALSE),
            0
        ) +
        IFERROR(
            VLOOKUP($A56, INDIRECT("JulR!$A$6:$ZZ$1048576"), MATCH(L$1, JulR!$6:$6, 0), FALSE),
            0
        ) +
        IFERROR(
            VLOOKUP($A56, INDIRECT("AgoR!$A$6:$ZZ$1048576"), MATCH(L$1, AgoR!$6:$6, 0), FALSE),
            0
        ) +
        IFERROR(
            VLOOKUP($A56, INDIRECT("SepR!$A$6:$ZZ$1048576"), MATCH(L$1, SepR!$6:$6, 0), FALSE),
            0
        ) +
        IFERROR(
            VLOOKUP($A56, INDIRECT("OctR!$A$6:$ZZ$1048576"), MATCH(L$1, OctR!$6:$6, 0), FALSE),
            0
        ) +
        IFERROR(
            VLOOKUP($A56, INDIRECT("NovR!$A$6:$ZZ$1048576"), MATCH(L$1, NovR!$6:$6, 0), FALSE),
            0
        ) +
        IFERROR(
            VLOOKUP($A56, INDIRECT("DicR!$A$6:$ZZ$1048576"), MATCH(L$1, DicR!$6:$6, 0), FALSE),
            0
        )
)</f>
        <v>0</v>
      </c>
      <c r="M56" s="35">
        <f t="array" ref="M56">SUM(
    IFERROR(
            VLOOKUP($A56, INDIRECT("EneR!$A$6:$ZZ$1048576"), MATCH(M$1, EneR!$6:$6, 0), FALSE),
            0
        ) +
        IFERROR(
            VLOOKUP($A56, INDIRECT("FebR!$A$6:$ZZ$1048576"), MATCH(M$1, FebR!$6:$6, 0), FALSE),
            0
        ) +
        IFERROR(
            VLOOKUP($A56, INDIRECT("MarR!$A$6:$ZZ$1048576"), MATCH(M$1, MarR!$6:$6, 0), FALSE),
            0
        ) +
        IFERROR(
            VLOOKUP($A56, INDIRECT("AbrR!$A$6:$ZZ$1048576"), MATCH(M$1, AbrR!$6:$6, 0), FALSE),
            0
        ) +
        IFERROR(
            VLOOKUP($A56, INDIRECT("MayR!$A$6:$ZZ$1048576"), MATCH(M$1, MayR!$6:$6, 0), FALSE),
            0
        ) +
        IFERROR(
            VLOOKUP($A56, INDIRECT("JunR!$A$6:$ZZ$1048576"), MATCH(M$1, JunR!$6:$6, 0), FALSE),
            0
        ) +
        IFERROR(
            VLOOKUP($A56, INDIRECT("JulR!$A$6:$ZZ$1048576"), MATCH(M$1, JulR!$6:$6, 0), FALSE),
            0
        ) +
        IFERROR(
            VLOOKUP($A56, INDIRECT("AgoR!$A$6:$ZZ$1048576"), MATCH(M$1, AgoR!$6:$6, 0), FALSE),
            0
        ) +
        IFERROR(
            VLOOKUP($A56, INDIRECT("SepR!$A$6:$ZZ$1048576"), MATCH(M$1, SepR!$6:$6, 0), FALSE),
            0
        ) +
        IFERROR(
            VLOOKUP($A56, INDIRECT("OctR!$A$6:$ZZ$1048576"), MATCH(M$1, OctR!$6:$6, 0), FALSE),
            0
        ) +
        IFERROR(
            VLOOKUP($A56, INDIRECT("NovR!$A$6:$ZZ$1048576"), MATCH(M$1, NovR!$6:$6, 0), FALSE),
            0
        ) +
        IFERROR(
            VLOOKUP($A56, INDIRECT("DicR!$A$6:$ZZ$1048576"), MATCH(M$1, DicR!$6:$6, 0), FALSE),
            0
        )
)</f>
        <v>0</v>
      </c>
      <c r="N56" s="32">
        <f t="array" ref="N56">SUM(
    IFERROR(
            VLOOKUP($A56, INDIRECT("EneR!$A$6:$ZZ$1048576"), MATCH(N$1, EneR!$6:$6, 0), FALSE),
            0
        ) +
        IFERROR(
            VLOOKUP($A56, INDIRECT("FebR!$A$6:$ZZ$1048576"), MATCH(N$1, FebR!$6:$6, 0), FALSE),
            0
        ) +
        IFERROR(
            VLOOKUP($A56, INDIRECT("MarR!$A$6:$ZZ$1048576"), MATCH(N$1, MarR!$6:$6, 0), FALSE),
            0
        ) +
        IFERROR(
            VLOOKUP($A56, INDIRECT("AbrR!$A$6:$ZZ$1048576"), MATCH(N$1, AbrR!$6:$6, 0), FALSE),
            0
        ) +
        IFERROR(
            VLOOKUP($A56, INDIRECT("MayR!$A$6:$ZZ$1048576"), MATCH(N$1, MayR!$6:$6, 0), FALSE),
            0
        ) +
        IFERROR(
            VLOOKUP($A56, INDIRECT("JunR!$A$6:$ZZ$1048576"), MATCH(N$1, JunR!$6:$6, 0), FALSE),
            0
        ) +
        IFERROR(
            VLOOKUP($A56, INDIRECT("JulR!$A$6:$ZZ$1048576"), MATCH(N$1, JulR!$6:$6, 0), FALSE),
            0
        ) +
        IFERROR(
            VLOOKUP($A56, INDIRECT("AgoR!$A$6:$ZZ$1048576"), MATCH(N$1, AgoR!$6:$6, 0), FALSE),
            0
        ) +
        IFERROR(
            VLOOKUP($A56, INDIRECT("SepR!$A$6:$ZZ$1048576"), MATCH(N$1, SepR!$6:$6, 0), FALSE),
            0
        ) +
        IFERROR(
            VLOOKUP($A56, INDIRECT("OctR!$A$6:$ZZ$1048576"), MATCH(N$1, OctR!$6:$6, 0), FALSE),
            0
        ) +
        IFERROR(
            VLOOKUP($A56, INDIRECT("NovR!$A$6:$ZZ$1048576"), MATCH(N$1, NovR!$6:$6, 0), FALSE),
            0
        ) +
        IFERROR(
            VLOOKUP($A56, INDIRECT("DicR!$A$6:$ZZ$1048576"), MATCH(N$1, DicR!$6:$6, 0), FALSE),
            0
        )
)</f>
        <v>0</v>
      </c>
      <c r="O56" s="35">
        <f t="array" ref="O56">SUM(
    IFERROR(
            VLOOKUP($A56, INDIRECT("EneR!$A$6:$ZZ$1048576"), MATCH(O$1, EneR!$6:$6, 0), FALSE),
            0
        ) +
        IFERROR(
            VLOOKUP($A56, INDIRECT("FebR!$A$6:$ZZ$1048576"), MATCH(O$1, FebR!$6:$6, 0), FALSE),
            0
        ) +
        IFERROR(
            VLOOKUP($A56, INDIRECT("MarR!$A$6:$ZZ$1048576"), MATCH(O$1, MarR!$6:$6, 0), FALSE),
            0
        ) +
        IFERROR(
            VLOOKUP($A56, INDIRECT("AbrR!$A$6:$ZZ$1048576"), MATCH(O$1, AbrR!$6:$6, 0), FALSE),
            0
        ) +
        IFERROR(
            VLOOKUP($A56, INDIRECT("MayR!$A$6:$ZZ$1048576"), MATCH(O$1, MayR!$6:$6, 0), FALSE),
            0
        ) +
        IFERROR(
            VLOOKUP($A56, INDIRECT("JunR!$A$6:$ZZ$1048576"), MATCH(O$1, JunR!$6:$6, 0), FALSE),
            0
        ) +
        IFERROR(
            VLOOKUP($A56, INDIRECT("JulR!$A$6:$ZZ$1048576"), MATCH(O$1, JulR!$6:$6, 0), FALSE),
            0
        ) +
        IFERROR(
            VLOOKUP($A56, INDIRECT("AgoR!$A$6:$ZZ$1048576"), MATCH(O$1, AgoR!$6:$6, 0), FALSE),
            0
        ) +
        IFERROR(
            VLOOKUP($A56, INDIRECT("SepR!$A$6:$ZZ$1048576"), MATCH(O$1, SepR!$6:$6, 0), FALSE),
            0
        ) +
        IFERROR(
            VLOOKUP($A56, INDIRECT("OctR!$A$6:$ZZ$1048576"), MATCH(O$1, OctR!$6:$6, 0), FALSE),
            0
        ) +
        IFERROR(
            VLOOKUP($A56, INDIRECT("NovR!$A$6:$ZZ$1048576"), MATCH(O$1, NovR!$6:$6, 0), FALSE),
            0
        ) +
        IFERROR(
            VLOOKUP($A56, INDIRECT("DicR!$A$6:$ZZ$1048576"), MATCH(O$1, DicR!$6:$6, 0), FALSE),
            0
        )
)</f>
        <v>0</v>
      </c>
      <c r="P56" s="32">
        <f t="array" ref="P56">SUM(
    IFERROR(
            VLOOKUP($A56, INDIRECT("EneR!$A$6:$ZZ$1048576"), MATCH(P$1, EneR!$6:$6, 0), FALSE),
            0
        ) +
        IFERROR(
            VLOOKUP($A56, INDIRECT("FebR!$A$6:$ZZ$1048576"), MATCH(P$1, FebR!$6:$6, 0), FALSE),
            0
        ) +
        IFERROR(
            VLOOKUP($A56, INDIRECT("MarR!$A$6:$ZZ$1048576"), MATCH(P$1, MarR!$6:$6, 0), FALSE),
            0
        ) +
        IFERROR(
            VLOOKUP($A56, INDIRECT("AbrR!$A$6:$ZZ$1048576"), MATCH(P$1, AbrR!$6:$6, 0), FALSE),
            0
        ) +
        IFERROR(
            VLOOKUP($A56, INDIRECT("MayR!$A$6:$ZZ$1048576"), MATCH(P$1, MayR!$6:$6, 0), FALSE),
            0
        ) +
        IFERROR(
            VLOOKUP($A56, INDIRECT("JunR!$A$6:$ZZ$1048576"), MATCH(P$1, JunR!$6:$6, 0), FALSE),
            0
        ) +
        IFERROR(
            VLOOKUP($A56, INDIRECT("JulR!$A$6:$ZZ$1048576"), MATCH(P$1, JulR!$6:$6, 0), FALSE),
            0
        ) +
        IFERROR(
            VLOOKUP($A56, INDIRECT("AgoR!$A$6:$ZZ$1048576"), MATCH(P$1, AgoR!$6:$6, 0), FALSE),
            0
        ) +
        IFERROR(
            VLOOKUP($A56, INDIRECT("SepR!$A$6:$ZZ$1048576"), MATCH(P$1, SepR!$6:$6, 0), FALSE),
            0
        ) +
        IFERROR(
            VLOOKUP($A56, INDIRECT("OctR!$A$6:$ZZ$1048576"), MATCH(P$1, OctR!$6:$6, 0), FALSE),
            0
        ) +
        IFERROR(
            VLOOKUP($A56, INDIRECT("NovR!$A$6:$ZZ$1048576"), MATCH(P$1, NovR!$6:$6, 0), FALSE),
            0
        ) +
        IFERROR(
            VLOOKUP($A56, INDIRECT("DicR!$A$6:$ZZ$1048576"), MATCH(P$1, DicR!$6:$6, 0), FALSE),
            0
        )
)</f>
        <v>0</v>
      </c>
      <c r="Q56" s="35">
        <f t="array" ref="Q56">SUM(
    IFERROR(
            VLOOKUP($A56, INDIRECT("EneR!$A$6:$ZZ$1048576"), MATCH(Q$1, EneR!$6:$6, 0), FALSE),
            0
        ) +
        IFERROR(
            VLOOKUP($A56, INDIRECT("FebR!$A$6:$ZZ$1048576"), MATCH(Q$1, FebR!$6:$6, 0), FALSE),
            0
        ) +
        IFERROR(
            VLOOKUP($A56, INDIRECT("MarR!$A$6:$ZZ$1048576"), MATCH(Q$1, MarR!$6:$6, 0), FALSE),
            0
        ) +
        IFERROR(
            VLOOKUP($A56, INDIRECT("AbrR!$A$6:$ZZ$1048576"), MATCH(Q$1, AbrR!$6:$6, 0), FALSE),
            0
        ) +
        IFERROR(
            VLOOKUP($A56, INDIRECT("MayR!$A$6:$ZZ$1048576"), MATCH(Q$1, MayR!$6:$6, 0), FALSE),
            0
        ) +
        IFERROR(
            VLOOKUP($A56, INDIRECT("JunR!$A$6:$ZZ$1048576"), MATCH(Q$1, JunR!$6:$6, 0), FALSE),
            0
        ) +
        IFERROR(
            VLOOKUP($A56, INDIRECT("JulR!$A$6:$ZZ$1048576"), MATCH(Q$1, JulR!$6:$6, 0), FALSE),
            0
        ) +
        IFERROR(
            VLOOKUP($A56, INDIRECT("AgoR!$A$6:$ZZ$1048576"), MATCH(Q$1, AgoR!$6:$6, 0), FALSE),
            0
        ) +
        IFERROR(
            VLOOKUP($A56, INDIRECT("SepR!$A$6:$ZZ$1048576"), MATCH(Q$1, SepR!$6:$6, 0), FALSE),
            0
        ) +
        IFERROR(
            VLOOKUP($A56, INDIRECT("OctR!$A$6:$ZZ$1048576"), MATCH(Q$1, OctR!$6:$6, 0), FALSE),
            0
        ) +
        IFERROR(
            VLOOKUP($A56, INDIRECT("NovR!$A$6:$ZZ$1048576"), MATCH(Q$1, NovR!$6:$6, 0), FALSE),
            0
        ) +
        IFERROR(
            VLOOKUP($A56, INDIRECT("DicR!$A$6:$ZZ$1048576"), MATCH(Q$1, DicR!$6:$6, 0), FALSE),
            0
        )
)</f>
        <v>0</v>
      </c>
      <c r="R56" s="36">
        <f t="array" ref="R56">SUM(
    IFERROR(
            VLOOKUP($A56, INDIRECT("EneR!$A$6:$ZZ$1048576"), MATCH(R$1, EneR!$6:$6, 0), FALSE),
            0
        ) +
        IFERROR(
            VLOOKUP($A56, INDIRECT("FebR!$A$6:$ZZ$1048576"), MATCH(R$1, FebR!$6:$6, 0), FALSE),
            0
        ) +
        IFERROR(
            VLOOKUP($A56, INDIRECT("MarR!$A$6:$ZZ$1048576"), MATCH(R$1, MarR!$6:$6, 0), FALSE),
            0
        ) +
        IFERROR(
            VLOOKUP($A56, INDIRECT("AbrR!$A$6:$ZZ$1048576"), MATCH(R$1, AbrR!$6:$6, 0), FALSE),
            0
        ) +
        IFERROR(
            VLOOKUP($A56, INDIRECT("MayR!$A$6:$ZZ$1048576"), MATCH(R$1, MayR!$6:$6, 0), FALSE),
            0
        ) +
        IFERROR(
            VLOOKUP($A56, INDIRECT("JunR!$A$6:$ZZ$1048576"), MATCH(R$1, JunR!$6:$6, 0), FALSE),
            0
        ) +
        IFERROR(
            VLOOKUP($A56, INDIRECT("JulR!$A$6:$ZZ$1048576"), MATCH(R$1, JulR!$6:$6, 0), FALSE),
            0
        ) +
        IFERROR(
            VLOOKUP($A56, INDIRECT("AgoR!$A$6:$ZZ$1048576"), MATCH(R$1, AgoR!$6:$6, 0), FALSE),
            0
        ) +
        IFERROR(
            VLOOKUP($A56, INDIRECT("SepR!$A$6:$ZZ$1048576"), MATCH(R$1, SepR!$6:$6, 0), FALSE),
            0
        ) +
        IFERROR(
            VLOOKUP($A56, INDIRECT("OctR!$A$6:$ZZ$1048576"), MATCH(R$1, OctR!$6:$6, 0), FALSE),
            0
        ) +
        IFERROR(
            VLOOKUP($A56, INDIRECT("NovR!$A$6:$ZZ$1048576"), MATCH(R$1, NovR!$6:$6, 0), FALSE),
            0
        ) +
        IFERROR(
            VLOOKUP($A56, INDIRECT("DicR!$A$6:$ZZ$1048576"), MATCH(R$1, DicR!$6:$6, 0), FALSE),
            0
        )
)</f>
        <v>0</v>
      </c>
      <c r="S56" s="37">
        <f t="array" ref="S56">SUM(
    IFERROR(
            VLOOKUP($A56, INDIRECT("EneR!$A$6:$ZZ$1048576"), MATCH(S$1, EneR!$6:$6, 0), FALSE),
            0
        ) +
        IFERROR(
            VLOOKUP($A56, INDIRECT("FebR!$A$6:$ZZ$1048576"), MATCH(S$1, FebR!$6:$6, 0), FALSE),
            0
        ) +
        IFERROR(
            VLOOKUP($A56, INDIRECT("MarR!$A$6:$ZZ$1048576"), MATCH(S$1, MarR!$6:$6, 0), FALSE),
            0
        ) +
        IFERROR(
            VLOOKUP($A56, INDIRECT("AbrR!$A$6:$ZZ$1048576"), MATCH(S$1, AbrR!$6:$6, 0), FALSE),
            0
        ) +
        IFERROR(
            VLOOKUP($A56, INDIRECT("MayR!$A$6:$ZZ$1048576"), MATCH(S$1, MayR!$6:$6, 0), FALSE),
            0
        ) +
        IFERROR(
            VLOOKUP($A56, INDIRECT("JunR!$A$6:$ZZ$1048576"), MATCH(S$1, JunR!$6:$6, 0), FALSE),
            0
        ) +
        IFERROR(
            VLOOKUP($A56, INDIRECT("JulR!$A$6:$ZZ$1048576"), MATCH(S$1, JulR!$6:$6, 0), FALSE),
            0
        ) +
        IFERROR(
            VLOOKUP($A56, INDIRECT("AgoR!$A$6:$ZZ$1048576"), MATCH(S$1, AgoR!$6:$6, 0), FALSE),
            0
        ) +
        IFERROR(
            VLOOKUP($A56, INDIRECT("SepR!$A$6:$ZZ$1048576"), MATCH(S$1, SepR!$6:$6, 0), FALSE),
            0
        ) +
        IFERROR(
            VLOOKUP($A56, INDIRECT("OctR!$A$6:$ZZ$1048576"), MATCH(S$1, OctR!$6:$6, 0), FALSE),
            0
        ) +
        IFERROR(
            VLOOKUP($A56, INDIRECT("NovR!$A$6:$ZZ$1048576"), MATCH(S$1, NovR!$6:$6, 0), FALSE),
            0
        ) +
        IFERROR(
            VLOOKUP($A56, INDIRECT("DicR!$A$6:$ZZ$1048576"), MATCH(S$1, DicR!$6:$6, 0), FALSE),
            0
        )
)</f>
        <v>0</v>
      </c>
      <c r="T56" s="36">
        <f t="array" ref="T56">SUM(
    IFERROR(
            VLOOKUP($A56, INDIRECT("EneR!$A$6:$ZZ$1048576"), MATCH(T$1, EneR!$6:$6, 0), FALSE),
            0
        ) +
        IFERROR(
            VLOOKUP($A56, INDIRECT("FebR!$A$6:$ZZ$1048576"), MATCH(T$1, FebR!$6:$6, 0), FALSE),
            0
        ) +
        IFERROR(
            VLOOKUP($A56, INDIRECT("MarR!$A$6:$ZZ$1048576"), MATCH(T$1, MarR!$6:$6, 0), FALSE),
            0
        ) +
        IFERROR(
            VLOOKUP($A56, INDIRECT("AbrR!$A$6:$ZZ$1048576"), MATCH(T$1, AbrR!$6:$6, 0), FALSE),
            0
        ) +
        IFERROR(
            VLOOKUP($A56, INDIRECT("MayR!$A$6:$ZZ$1048576"), MATCH(T$1, MayR!$6:$6, 0), FALSE),
            0
        ) +
        IFERROR(
            VLOOKUP($A56, INDIRECT("JunR!$A$6:$ZZ$1048576"), MATCH(T$1, JunR!$6:$6, 0), FALSE),
            0
        ) +
        IFERROR(
            VLOOKUP($A56, INDIRECT("JulR!$A$6:$ZZ$1048576"), MATCH(T$1, JulR!$6:$6, 0), FALSE),
            0
        ) +
        IFERROR(
            VLOOKUP($A56, INDIRECT("AgoR!$A$6:$ZZ$1048576"), MATCH(T$1, AgoR!$6:$6, 0), FALSE),
            0
        ) +
        IFERROR(
            VLOOKUP($A56, INDIRECT("SepR!$A$6:$ZZ$1048576"), MATCH(T$1, SepR!$6:$6, 0), FALSE),
            0
        ) +
        IFERROR(
            VLOOKUP($A56, INDIRECT("OctR!$A$6:$ZZ$1048576"), MATCH(T$1, OctR!$6:$6, 0), FALSE),
            0
        ) +
        IFERROR(
            VLOOKUP($A56, INDIRECT("NovR!$A$6:$ZZ$1048576"), MATCH(T$1, NovR!$6:$6, 0), FALSE),
            0
        ) +
        IFERROR(
            VLOOKUP($A56, INDIRECT("DicR!$A$6:$ZZ$1048576"), MATCH(T$1, DicR!$6:$6, 0), FALSE),
            0
        )
)</f>
        <v>0</v>
      </c>
      <c r="U56" s="37">
        <f t="array" ref="U56">SUM(
    IFERROR(
            VLOOKUP($A56, INDIRECT("EneR!$A$6:$ZZ$1048576"), MATCH(U$1, EneR!$6:$6, 0), FALSE),
            0
        ) +
        IFERROR(
            VLOOKUP($A56, INDIRECT("FebR!$A$6:$ZZ$1048576"), MATCH(U$1, FebR!$6:$6, 0), FALSE),
            0
        ) +
        IFERROR(
            VLOOKUP($A56, INDIRECT("MarR!$A$6:$ZZ$1048576"), MATCH(U$1, MarR!$6:$6, 0), FALSE),
            0
        ) +
        IFERROR(
            VLOOKUP($A56, INDIRECT("AbrR!$A$6:$ZZ$1048576"), MATCH(U$1, AbrR!$6:$6, 0), FALSE),
            0
        ) +
        IFERROR(
            VLOOKUP($A56, INDIRECT("MayR!$A$6:$ZZ$1048576"), MATCH(U$1, MayR!$6:$6, 0), FALSE),
            0
        ) +
        IFERROR(
            VLOOKUP($A56, INDIRECT("JunR!$A$6:$ZZ$1048576"), MATCH(U$1, JunR!$6:$6, 0), FALSE),
            0
        ) +
        IFERROR(
            VLOOKUP($A56, INDIRECT("JulR!$A$6:$ZZ$1048576"), MATCH(U$1, JulR!$6:$6, 0), FALSE),
            0
        ) +
        IFERROR(
            VLOOKUP($A56, INDIRECT("AgoR!$A$6:$ZZ$1048576"), MATCH(U$1, AgoR!$6:$6, 0), FALSE),
            0
        ) +
        IFERROR(
            VLOOKUP($A56, INDIRECT("SepR!$A$6:$ZZ$1048576"), MATCH(U$1, SepR!$6:$6, 0), FALSE),
            0
        ) +
        IFERROR(
            VLOOKUP($A56, INDIRECT("OctR!$A$6:$ZZ$1048576"), MATCH(U$1, OctR!$6:$6, 0), FALSE),
            0
        ) +
        IFERROR(
            VLOOKUP($A56, INDIRECT("NovR!$A$6:$ZZ$1048576"), MATCH(U$1, NovR!$6:$6, 0), FALSE),
            0
        ) +
        IFERROR(
            VLOOKUP($A56, INDIRECT("DicR!$A$6:$ZZ$1048576"), MATCH(U$1, DicR!$6:$6, 0), FALSE),
            0
        )
)</f>
        <v>0</v>
      </c>
      <c r="V56" s="36">
        <f t="array" ref="V56">SUM(
    IFERROR(
            VLOOKUP($A56, INDIRECT("EneR!$A$6:$ZZ$1048576"), MATCH(V$1, EneR!$6:$6, 0), FALSE),
            0
        ) +
        IFERROR(
            VLOOKUP($A56, INDIRECT("FebR!$A$6:$ZZ$1048576"), MATCH(V$1, FebR!$6:$6, 0), FALSE),
            0
        ) +
        IFERROR(
            VLOOKUP($A56, INDIRECT("MarR!$A$6:$ZZ$1048576"), MATCH(V$1, MarR!$6:$6, 0), FALSE),
            0
        ) +
        IFERROR(
            VLOOKUP($A56, INDIRECT("AbrR!$A$6:$ZZ$1048576"), MATCH(V$1, AbrR!$6:$6, 0), FALSE),
            0
        ) +
        IFERROR(
            VLOOKUP($A56, INDIRECT("MayR!$A$6:$ZZ$1048576"), MATCH(V$1, MayR!$6:$6, 0), FALSE),
            0
        ) +
        IFERROR(
            VLOOKUP($A56, INDIRECT("JunR!$A$6:$ZZ$1048576"), MATCH(V$1, JunR!$6:$6, 0), FALSE),
            0
        ) +
        IFERROR(
            VLOOKUP($A56, INDIRECT("JulR!$A$6:$ZZ$1048576"), MATCH(V$1, JulR!$6:$6, 0), FALSE),
            0
        ) +
        IFERROR(
            VLOOKUP($A56, INDIRECT("AgoR!$A$6:$ZZ$1048576"), MATCH(V$1, AgoR!$6:$6, 0), FALSE),
            0
        ) +
        IFERROR(
            VLOOKUP($A56, INDIRECT("SepR!$A$6:$ZZ$1048576"), MATCH(V$1, SepR!$6:$6, 0), FALSE),
            0
        ) +
        IFERROR(
            VLOOKUP($A56, INDIRECT("OctR!$A$6:$ZZ$1048576"), MATCH(V$1, OctR!$6:$6, 0), FALSE),
            0
        ) +
        IFERROR(
            VLOOKUP($A56, INDIRECT("NovR!$A$6:$ZZ$1048576"), MATCH(V$1, NovR!$6:$6, 0), FALSE),
            0
        ) +
        IFERROR(
            VLOOKUP($A56, INDIRECT("DicR!$A$6:$ZZ$1048576"), MATCH(V$1, DicR!$6:$6, 0), FALSE),
            0
        )
)</f>
        <v>0</v>
      </c>
      <c r="W56" s="37">
        <f t="array" ref="W56">SUM(
    IFERROR(
            VLOOKUP($A56, INDIRECT("EneR!$A$6:$ZZ$1048576"), MATCH(W$1, EneR!$6:$6, 0), FALSE),
            0
        ) +
        IFERROR(
            VLOOKUP($A56, INDIRECT("FebR!$A$6:$ZZ$1048576"), MATCH(W$1, FebR!$6:$6, 0), FALSE),
            0
        ) +
        IFERROR(
            VLOOKUP($A56, INDIRECT("MarR!$A$6:$ZZ$1048576"), MATCH(W$1, MarR!$6:$6, 0), FALSE),
            0
        ) +
        IFERROR(
            VLOOKUP($A56, INDIRECT("AbrR!$A$6:$ZZ$1048576"), MATCH(W$1, AbrR!$6:$6, 0), FALSE),
            0
        ) +
        IFERROR(
            VLOOKUP($A56, INDIRECT("MayR!$A$6:$ZZ$1048576"), MATCH(W$1, MayR!$6:$6, 0), FALSE),
            0
        ) +
        IFERROR(
            VLOOKUP($A56, INDIRECT("JunR!$A$6:$ZZ$1048576"), MATCH(W$1, JunR!$6:$6, 0), FALSE),
            0
        ) +
        IFERROR(
            VLOOKUP($A56, INDIRECT("JulR!$A$6:$ZZ$1048576"), MATCH(W$1, JulR!$6:$6, 0), FALSE),
            0
        ) +
        IFERROR(
            VLOOKUP($A56, INDIRECT("AgoR!$A$6:$ZZ$1048576"), MATCH(W$1, AgoR!$6:$6, 0), FALSE),
            0
        ) +
        IFERROR(
            VLOOKUP($A56, INDIRECT("SepR!$A$6:$ZZ$1048576"), MATCH(W$1, SepR!$6:$6, 0), FALSE),
            0
        ) +
        IFERROR(
            VLOOKUP($A56, INDIRECT("OctR!$A$6:$ZZ$1048576"), MATCH(W$1, OctR!$6:$6, 0), FALSE),
            0
        ) +
        IFERROR(
            VLOOKUP($A56, INDIRECT("NovR!$A$6:$ZZ$1048576"), MATCH(W$1, NovR!$6:$6, 0), FALSE),
            0
        ) +
        IFERROR(
            VLOOKUP($A56, INDIRECT("DicR!$A$6:$ZZ$1048576"), MATCH(W$1, DicR!$6:$6, 0), FALSE),
            0
        )
)</f>
        <v>0</v>
      </c>
      <c r="X56" s="36">
        <f t="array" ref="X56">SUM(
    IFERROR(
            VLOOKUP($A56, INDIRECT("EneR!$A$6:$ZZ$1048576"), MATCH(X$1, EneR!$6:$6, 0), FALSE),
            0
        ) +
        IFERROR(
            VLOOKUP($A56, INDIRECT("FebR!$A$6:$ZZ$1048576"), MATCH(X$1, FebR!$6:$6, 0), FALSE),
            0
        ) +
        IFERROR(
            VLOOKUP($A56, INDIRECT("MarR!$A$6:$ZZ$1048576"), MATCH(X$1, MarR!$6:$6, 0), FALSE),
            0
        ) +
        IFERROR(
            VLOOKUP($A56, INDIRECT("AbrR!$A$6:$ZZ$1048576"), MATCH(X$1, AbrR!$6:$6, 0), FALSE),
            0
        ) +
        IFERROR(
            VLOOKUP($A56, INDIRECT("MayR!$A$6:$ZZ$1048576"), MATCH(X$1, MayR!$6:$6, 0), FALSE),
            0
        ) +
        IFERROR(
            VLOOKUP($A56, INDIRECT("JunR!$A$6:$ZZ$1048576"), MATCH(X$1, JunR!$6:$6, 0), FALSE),
            0
        ) +
        IFERROR(
            VLOOKUP($A56, INDIRECT("JulR!$A$6:$ZZ$1048576"), MATCH(X$1, JulR!$6:$6, 0), FALSE),
            0
        ) +
        IFERROR(
            VLOOKUP($A56, INDIRECT("AgoR!$A$6:$ZZ$1048576"), MATCH(X$1, AgoR!$6:$6, 0), FALSE),
            0
        ) +
        IFERROR(
            VLOOKUP($A56, INDIRECT("SepR!$A$6:$ZZ$1048576"), MATCH(X$1, SepR!$6:$6, 0), FALSE),
            0
        ) +
        IFERROR(
            VLOOKUP($A56, INDIRECT("OctR!$A$6:$ZZ$1048576"), MATCH(X$1, OctR!$6:$6, 0), FALSE),
            0
        ) +
        IFERROR(
            VLOOKUP($A56, INDIRECT("NovR!$A$6:$ZZ$1048576"), MATCH(X$1, NovR!$6:$6, 0), FALSE),
            0
        ) +
        IFERROR(
            VLOOKUP($A56, INDIRECT("DicR!$A$6:$ZZ$1048576"), MATCH(X$1, DicR!$6:$6, 0), FALSE),
            0
        )
)</f>
        <v>0</v>
      </c>
      <c r="Y56" s="37">
        <f t="array" ref="Y56">SUM(
    IFERROR(
            VLOOKUP($A56, INDIRECT("EneR!$A$6:$ZZ$1048576"), MATCH(Y$1, EneR!$6:$6, 0), FALSE),
            0
        ) +
        IFERROR(
            VLOOKUP($A56, INDIRECT("FebR!$A$6:$ZZ$1048576"), MATCH(Y$1, FebR!$6:$6, 0), FALSE),
            0
        ) +
        IFERROR(
            VLOOKUP($A56, INDIRECT("MarR!$A$6:$ZZ$1048576"), MATCH(Y$1, MarR!$6:$6, 0), FALSE),
            0
        ) +
        IFERROR(
            VLOOKUP($A56, INDIRECT("AbrR!$A$6:$ZZ$1048576"), MATCH(Y$1, AbrR!$6:$6, 0), FALSE),
            0
        ) +
        IFERROR(
            VLOOKUP($A56, INDIRECT("MayR!$A$6:$ZZ$1048576"), MATCH(Y$1, MayR!$6:$6, 0), FALSE),
            0
        ) +
        IFERROR(
            VLOOKUP($A56, INDIRECT("JunR!$A$6:$ZZ$1048576"), MATCH(Y$1, JunR!$6:$6, 0), FALSE),
            0
        ) +
        IFERROR(
            VLOOKUP($A56, INDIRECT("JulR!$A$6:$ZZ$1048576"), MATCH(Y$1, JulR!$6:$6, 0), FALSE),
            0
        ) +
        IFERROR(
            VLOOKUP($A56, INDIRECT("AgoR!$A$6:$ZZ$1048576"), MATCH(Y$1, AgoR!$6:$6, 0), FALSE),
            0
        ) +
        IFERROR(
            VLOOKUP($A56, INDIRECT("SepR!$A$6:$ZZ$1048576"), MATCH(Y$1, SepR!$6:$6, 0), FALSE),
            0
        ) +
        IFERROR(
            VLOOKUP($A56, INDIRECT("OctR!$A$6:$ZZ$1048576"), MATCH(Y$1, OctR!$6:$6, 0), FALSE),
            0
        ) +
        IFERROR(
            VLOOKUP($A56, INDIRECT("NovR!$A$6:$ZZ$1048576"), MATCH(Y$1, NovR!$6:$6, 0), FALSE),
            0
        ) +
        IFERROR(
            VLOOKUP($A56, INDIRECT("DicR!$A$6:$ZZ$1048576"), MATCH(Y$1, DicR!$6:$6, 0), FALSE),
            0
        )
)</f>
        <v>0</v>
      </c>
      <c r="Z56" s="36">
        <f t="array" ref="Z56">SUM(
    IFERROR(
            VLOOKUP($A56, INDIRECT("EneR!$A$6:$ZZ$1048576"), MATCH(Z$1, EneR!$6:$6, 0), FALSE),
            0
        ) +
        IFERROR(
            VLOOKUP($A56, INDIRECT("FebR!$A$6:$ZZ$1048576"), MATCH(Z$1, FebR!$6:$6, 0), FALSE),
            0
        ) +
        IFERROR(
            VLOOKUP($A56, INDIRECT("MarR!$A$6:$ZZ$1048576"), MATCH(Z$1, MarR!$6:$6, 0), FALSE),
            0
        ) +
        IFERROR(
            VLOOKUP($A56, INDIRECT("AbrR!$A$6:$ZZ$1048576"), MATCH(Z$1, AbrR!$6:$6, 0), FALSE),
            0
        ) +
        IFERROR(
            VLOOKUP($A56, INDIRECT("MayR!$A$6:$ZZ$1048576"), MATCH(Z$1, MayR!$6:$6, 0), FALSE),
            0
        ) +
        IFERROR(
            VLOOKUP($A56, INDIRECT("JunR!$A$6:$ZZ$1048576"), MATCH(Z$1, JunR!$6:$6, 0), FALSE),
            0
        ) +
        IFERROR(
            VLOOKUP($A56, INDIRECT("JulR!$A$6:$ZZ$1048576"), MATCH(Z$1, JulR!$6:$6, 0), FALSE),
            0
        ) +
        IFERROR(
            VLOOKUP($A56, INDIRECT("AgoR!$A$6:$ZZ$1048576"), MATCH(Z$1, AgoR!$6:$6, 0), FALSE),
            0
        ) +
        IFERROR(
            VLOOKUP($A56, INDIRECT("SepR!$A$6:$ZZ$1048576"), MATCH(Z$1, SepR!$6:$6, 0), FALSE),
            0
        ) +
        IFERROR(
            VLOOKUP($A56, INDIRECT("OctR!$A$6:$ZZ$1048576"), MATCH(Z$1, OctR!$6:$6, 0), FALSE),
            0
        ) +
        IFERROR(
            VLOOKUP($A56, INDIRECT("NovR!$A$6:$ZZ$1048576"), MATCH(Z$1, NovR!$6:$6, 0), FALSE),
            0
        ) +
        IFERROR(
            VLOOKUP($A56, INDIRECT("DicR!$A$6:$ZZ$1048576"), MATCH(Z$1, DicR!$6:$6, 0), FALSE),
            0
        )
)</f>
        <v>0</v>
      </c>
      <c r="AA56" s="37">
        <f t="array" ref="AA56">SUM(
    IFERROR(
            VLOOKUP($A56, INDIRECT("EneR!$A$6:$ZZ$1048576"), MATCH(AA$1, EneR!$6:$6, 0), FALSE),
            0
        ) +
        IFERROR(
            VLOOKUP($A56, INDIRECT("FebR!$A$6:$ZZ$1048576"), MATCH(AA$1, FebR!$6:$6, 0), FALSE),
            0
        ) +
        IFERROR(
            VLOOKUP($A56, INDIRECT("MarR!$A$6:$ZZ$1048576"), MATCH(AA$1, MarR!$6:$6, 0), FALSE),
            0
        ) +
        IFERROR(
            VLOOKUP($A56, INDIRECT("AbrR!$A$6:$ZZ$1048576"), MATCH(AA$1, AbrR!$6:$6, 0), FALSE),
            0
        ) +
        IFERROR(
            VLOOKUP($A56, INDIRECT("MayR!$A$6:$ZZ$1048576"), MATCH(AA$1, MayR!$6:$6, 0), FALSE),
            0
        ) +
        IFERROR(
            VLOOKUP($A56, INDIRECT("JunR!$A$6:$ZZ$1048576"), MATCH(AA$1, JunR!$6:$6, 0), FALSE),
            0
        ) +
        IFERROR(
            VLOOKUP($A56, INDIRECT("JulR!$A$6:$ZZ$1048576"), MATCH(AA$1, JulR!$6:$6, 0), FALSE),
            0
        ) +
        IFERROR(
            VLOOKUP($A56, INDIRECT("AgoR!$A$6:$ZZ$1048576"), MATCH(AA$1, AgoR!$6:$6, 0), FALSE),
            0
        ) +
        IFERROR(
            VLOOKUP($A56, INDIRECT("SepR!$A$6:$ZZ$1048576"), MATCH(AA$1, SepR!$6:$6, 0), FALSE),
            0
        ) +
        IFERROR(
            VLOOKUP($A56, INDIRECT("OctR!$A$6:$ZZ$1048576"), MATCH(AA$1, OctR!$6:$6, 0), FALSE),
            0
        ) +
        IFERROR(
            VLOOKUP($A56, INDIRECT("NovR!$A$6:$ZZ$1048576"), MATCH(AA$1, NovR!$6:$6, 0), FALSE),
            0
        ) +
        IFERROR(
            VLOOKUP($A56, INDIRECT("DicR!$A$6:$ZZ$1048576"), MATCH(AA$1, DicR!$6:$6, 0), FALSE),
            0
        )
)</f>
        <v>0</v>
      </c>
      <c r="AB56" s="36">
        <f t="array" ref="AB56">SUM(
    IFERROR(
            VLOOKUP($A56, INDIRECT("EneR!$A$6:$ZZ$1048576"), MATCH(AB$1, EneR!$6:$6, 0), FALSE),
            0
        ) +
        IFERROR(
            VLOOKUP($A56, INDIRECT("FebR!$A$6:$ZZ$1048576"), MATCH(AB$1, FebR!$6:$6, 0), FALSE),
            0
        ) +
        IFERROR(
            VLOOKUP($A56, INDIRECT("MarR!$A$6:$ZZ$1048576"), MATCH(AB$1, MarR!$6:$6, 0), FALSE),
            0
        ) +
        IFERROR(
            VLOOKUP($A56, INDIRECT("AbrR!$A$6:$ZZ$1048576"), MATCH(AB$1, AbrR!$6:$6, 0), FALSE),
            0
        ) +
        IFERROR(
            VLOOKUP($A56, INDIRECT("MayR!$A$6:$ZZ$1048576"), MATCH(AB$1, MayR!$6:$6, 0), FALSE),
            0
        ) +
        IFERROR(
            VLOOKUP($A56, INDIRECT("JunR!$A$6:$ZZ$1048576"), MATCH(AB$1, JunR!$6:$6, 0), FALSE),
            0
        ) +
        IFERROR(
            VLOOKUP($A56, INDIRECT("JulR!$A$6:$ZZ$1048576"), MATCH(AB$1, JulR!$6:$6, 0), FALSE),
            0
        ) +
        IFERROR(
            VLOOKUP($A56, INDIRECT("AgoR!$A$6:$ZZ$1048576"), MATCH(AB$1, AgoR!$6:$6, 0), FALSE),
            0
        ) +
        IFERROR(
            VLOOKUP($A56, INDIRECT("SepR!$A$6:$ZZ$1048576"), MATCH(AB$1, SepR!$6:$6, 0), FALSE),
            0
        ) +
        IFERROR(
            VLOOKUP($A56, INDIRECT("OctR!$A$6:$ZZ$1048576"), MATCH(AB$1, OctR!$6:$6, 0), FALSE),
            0
        ) +
        IFERROR(
            VLOOKUP($A56, INDIRECT("NovR!$A$6:$ZZ$1048576"), MATCH(AB$1, NovR!$6:$6, 0), FALSE),
            0
        ) +
        IFERROR(
            VLOOKUP($A56, INDIRECT("DicR!$A$6:$ZZ$1048576"), MATCH(AB$1, DicR!$6:$6, 0), FALSE),
            0
        )
)</f>
        <v>0</v>
      </c>
      <c r="AC56" s="37">
        <f t="array" ref="AC56">SUM(
    IFERROR(
            VLOOKUP($A56, INDIRECT("EneR!$A$6:$ZZ$1048576"), MATCH(AC$1, EneR!$6:$6, 0), FALSE),
            0
        ) +
        IFERROR(
            VLOOKUP($A56, INDIRECT("FebR!$A$6:$ZZ$1048576"), MATCH(AC$1, FebR!$6:$6, 0), FALSE),
            0
        ) +
        IFERROR(
            VLOOKUP($A56, INDIRECT("MarR!$A$6:$ZZ$1048576"), MATCH(AC$1, MarR!$6:$6, 0), FALSE),
            0
        ) +
        IFERROR(
            VLOOKUP($A56, INDIRECT("AbrR!$A$6:$ZZ$1048576"), MATCH(AC$1, AbrR!$6:$6, 0), FALSE),
            0
        ) +
        IFERROR(
            VLOOKUP($A56, INDIRECT("MayR!$A$6:$ZZ$1048576"), MATCH(AC$1, MayR!$6:$6, 0), FALSE),
            0
        ) +
        IFERROR(
            VLOOKUP($A56, INDIRECT("JunR!$A$6:$ZZ$1048576"), MATCH(AC$1, JunR!$6:$6, 0), FALSE),
            0
        ) +
        IFERROR(
            VLOOKUP($A56, INDIRECT("JulR!$A$6:$ZZ$1048576"), MATCH(AC$1, JulR!$6:$6, 0), FALSE),
            0
        ) +
        IFERROR(
            VLOOKUP($A56, INDIRECT("AgoR!$A$6:$ZZ$1048576"), MATCH(AC$1, AgoR!$6:$6, 0), FALSE),
            0
        ) +
        IFERROR(
            VLOOKUP($A56, INDIRECT("SepR!$A$6:$ZZ$1048576"), MATCH(AC$1, SepR!$6:$6, 0), FALSE),
            0
        ) +
        IFERROR(
            VLOOKUP($A56, INDIRECT("OctR!$A$6:$ZZ$1048576"), MATCH(AC$1, OctR!$6:$6, 0), FALSE),
            0
        ) +
        IFERROR(
            VLOOKUP($A56, INDIRECT("NovR!$A$6:$ZZ$1048576"), MATCH(AC$1, NovR!$6:$6, 0), FALSE),
            0
        ) +
        IFERROR(
            VLOOKUP($A56, INDIRECT("DicR!$A$6:$ZZ$1048576"), MATCH(AC$1, DicR!$6:$6, 0), FALSE),
            0
        )
)</f>
        <v>0</v>
      </c>
      <c r="AD56" s="36">
        <f t="array" ref="AD56">SUM(
    IFERROR(
            VLOOKUP($A56, INDIRECT("EneR!$A$6:$ZZ$1048576"), MATCH(AD$1, EneR!$6:$6, 0), FALSE),
            0
        ) +
        IFERROR(
            VLOOKUP($A56, INDIRECT("FebR!$A$6:$ZZ$1048576"), MATCH(AD$1, FebR!$6:$6, 0), FALSE),
            0
        ) +
        IFERROR(
            VLOOKUP($A56, INDIRECT("MarR!$A$6:$ZZ$1048576"), MATCH(AD$1, MarR!$6:$6, 0), FALSE),
            0
        ) +
        IFERROR(
            VLOOKUP($A56, INDIRECT("AbrR!$A$6:$ZZ$1048576"), MATCH(AD$1, AbrR!$6:$6, 0), FALSE),
            0
        ) +
        IFERROR(
            VLOOKUP($A56, INDIRECT("MayR!$A$6:$ZZ$1048576"), MATCH(AD$1, MayR!$6:$6, 0), FALSE),
            0
        ) +
        IFERROR(
            VLOOKUP($A56, INDIRECT("JunR!$A$6:$ZZ$1048576"), MATCH(AD$1, JunR!$6:$6, 0), FALSE),
            0
        ) +
        IFERROR(
            VLOOKUP($A56, INDIRECT("JulR!$A$6:$ZZ$1048576"), MATCH(AD$1, JulR!$6:$6, 0), FALSE),
            0
        ) +
        IFERROR(
            VLOOKUP($A56, INDIRECT("AgoR!$A$6:$ZZ$1048576"), MATCH(AD$1, AgoR!$6:$6, 0), FALSE),
            0
        ) +
        IFERROR(
            VLOOKUP($A56, INDIRECT("SepR!$A$6:$ZZ$1048576"), MATCH(AD$1, SepR!$6:$6, 0), FALSE),
            0
        ) +
        IFERROR(
            VLOOKUP($A56, INDIRECT("OctR!$A$6:$ZZ$1048576"), MATCH(AD$1, OctR!$6:$6, 0), FALSE),
            0
        ) +
        IFERROR(
            VLOOKUP($A56, INDIRECT("NovR!$A$6:$ZZ$1048576"), MATCH(AD$1, NovR!$6:$6, 0), FALSE),
            0
        ) +
        IFERROR(
            VLOOKUP($A56, INDIRECT("DicR!$A$6:$ZZ$1048576"), MATCH(AD$1, DicR!$6:$6, 0), FALSE),
            0
        )
)</f>
        <v>0</v>
      </c>
      <c r="AE56" s="37">
        <f t="array" ref="AE56">SUM(
    IFERROR(
            VLOOKUP($A56, INDIRECT("EneR!$A$6:$ZZ$1048576"), MATCH(AE$1, EneR!$6:$6, 0), FALSE),
            0
        ) +
        IFERROR(
            VLOOKUP($A56, INDIRECT("FebR!$A$6:$ZZ$1048576"), MATCH(AE$1, FebR!$6:$6, 0), FALSE),
            0
        ) +
        IFERROR(
            VLOOKUP($A56, INDIRECT("MarR!$A$6:$ZZ$1048576"), MATCH(AE$1, MarR!$6:$6, 0), FALSE),
            0
        ) +
        IFERROR(
            VLOOKUP($A56, INDIRECT("AbrR!$A$6:$ZZ$1048576"), MATCH(AE$1, AbrR!$6:$6, 0), FALSE),
            0
        ) +
        IFERROR(
            VLOOKUP($A56, INDIRECT("MayR!$A$6:$ZZ$1048576"), MATCH(AE$1, MayR!$6:$6, 0), FALSE),
            0
        ) +
        IFERROR(
            VLOOKUP($A56, INDIRECT("JunR!$A$6:$ZZ$1048576"), MATCH(AE$1, JunR!$6:$6, 0), FALSE),
            0
        ) +
        IFERROR(
            VLOOKUP($A56, INDIRECT("JulR!$A$6:$ZZ$1048576"), MATCH(AE$1, JulR!$6:$6, 0), FALSE),
            0
        ) +
        IFERROR(
            VLOOKUP($A56, INDIRECT("AgoR!$A$6:$ZZ$1048576"), MATCH(AE$1, AgoR!$6:$6, 0), FALSE),
            0
        ) +
        IFERROR(
            VLOOKUP($A56, INDIRECT("SepR!$A$6:$ZZ$1048576"), MATCH(AE$1, SepR!$6:$6, 0), FALSE),
            0
        ) +
        IFERROR(
            VLOOKUP($A56, INDIRECT("OctR!$A$6:$ZZ$1048576"), MATCH(AE$1, OctR!$6:$6, 0), FALSE),
            0
        ) +
        IFERROR(
            VLOOKUP($A56, INDIRECT("NovR!$A$6:$ZZ$1048576"), MATCH(AE$1, NovR!$6:$6, 0), FALSE),
            0
        ) +
        IFERROR(
            VLOOKUP($A56, INDIRECT("DicR!$A$6:$ZZ$1048576"), MATCH(AE$1, DicR!$6:$6, 0), FALSE),
            0
        )
)</f>
        <v>0</v>
      </c>
      <c r="AF56" s="36">
        <f t="array" ref="AF56">SUM(
    IFERROR(
            VLOOKUP($A56, INDIRECT("EneR!$A$6:$ZZ$1048576"), MATCH(AF$1, EneR!$6:$6, 0), FALSE),
            0
        ) +
        IFERROR(
            VLOOKUP($A56, INDIRECT("FebR!$A$6:$ZZ$1048576"), MATCH(AF$1, FebR!$6:$6, 0), FALSE),
            0
        ) +
        IFERROR(
            VLOOKUP($A56, INDIRECT("MarR!$A$6:$ZZ$1048576"), MATCH(AF$1, MarR!$6:$6, 0), FALSE),
            0
        ) +
        IFERROR(
            VLOOKUP($A56, INDIRECT("AbrR!$A$6:$ZZ$1048576"), MATCH(AF$1, AbrR!$6:$6, 0), FALSE),
            0
        ) +
        IFERROR(
            VLOOKUP($A56, INDIRECT("MayR!$A$6:$ZZ$1048576"), MATCH(AF$1, MayR!$6:$6, 0), FALSE),
            0
        ) +
        IFERROR(
            VLOOKUP($A56, INDIRECT("JunR!$A$6:$ZZ$1048576"), MATCH(AF$1, JunR!$6:$6, 0), FALSE),
            0
        ) +
        IFERROR(
            VLOOKUP($A56, INDIRECT("JulR!$A$6:$ZZ$1048576"), MATCH(AF$1, JulR!$6:$6, 0), FALSE),
            0
        ) +
        IFERROR(
            VLOOKUP($A56, INDIRECT("AgoR!$A$6:$ZZ$1048576"), MATCH(AF$1, AgoR!$6:$6, 0), FALSE),
            0
        ) +
        IFERROR(
            VLOOKUP($A56, INDIRECT("SepR!$A$6:$ZZ$1048576"), MATCH(AF$1, SepR!$6:$6, 0), FALSE),
            0
        ) +
        IFERROR(
            VLOOKUP($A56, INDIRECT("OctR!$A$6:$ZZ$1048576"), MATCH(AF$1, OctR!$6:$6, 0), FALSE),
            0
        ) +
        IFERROR(
            VLOOKUP($A56, INDIRECT("NovR!$A$6:$ZZ$1048576"), MATCH(AF$1, NovR!$6:$6, 0), FALSE),
            0
        ) +
        IFERROR(
            VLOOKUP($A56, INDIRECT("DicR!$A$6:$ZZ$1048576"), MATCH(AF$1, DicR!$6:$6, 0), FALSE),
            0
        )
)</f>
        <v>0</v>
      </c>
      <c r="AG56" s="37">
        <f t="array" ref="AG56">SUM(
    IFERROR(
            VLOOKUP($A56, INDIRECT("EneR!$A$6:$ZZ$1048576"), MATCH(AG$1, EneR!$6:$6, 0), FALSE),
            0
        ) +
        IFERROR(
            VLOOKUP($A56, INDIRECT("FebR!$A$6:$ZZ$1048576"), MATCH(AG$1, FebR!$6:$6, 0), FALSE),
            0
        ) +
        IFERROR(
            VLOOKUP($A56, INDIRECT("MarR!$A$6:$ZZ$1048576"), MATCH(AG$1, MarR!$6:$6, 0), FALSE),
            0
        ) +
        IFERROR(
            VLOOKUP($A56, INDIRECT("AbrR!$A$6:$ZZ$1048576"), MATCH(AG$1, AbrR!$6:$6, 0), FALSE),
            0
        ) +
        IFERROR(
            VLOOKUP($A56, INDIRECT("MayR!$A$6:$ZZ$1048576"), MATCH(AG$1, MayR!$6:$6, 0), FALSE),
            0
        ) +
        IFERROR(
            VLOOKUP($A56, INDIRECT("JunR!$A$6:$ZZ$1048576"), MATCH(AG$1, JunR!$6:$6, 0), FALSE),
            0
        ) +
        IFERROR(
            VLOOKUP($A56, INDIRECT("JulR!$A$6:$ZZ$1048576"), MATCH(AG$1, JulR!$6:$6, 0), FALSE),
            0
        ) +
        IFERROR(
            VLOOKUP($A56, INDIRECT("AgoR!$A$6:$ZZ$1048576"), MATCH(AG$1, AgoR!$6:$6, 0), FALSE),
            0
        ) +
        IFERROR(
            VLOOKUP($A56, INDIRECT("SepR!$A$6:$ZZ$1048576"), MATCH(AG$1, SepR!$6:$6, 0), FALSE),
            0
        ) +
        IFERROR(
            VLOOKUP($A56, INDIRECT("OctR!$A$6:$ZZ$1048576"), MATCH(AG$1, OctR!$6:$6, 0), FALSE),
            0
        ) +
        IFERROR(
            VLOOKUP($A56, INDIRECT("NovR!$A$6:$ZZ$1048576"), MATCH(AG$1, NovR!$6:$6, 0), FALSE),
            0
        ) +
        IFERROR(
            VLOOKUP($A56, INDIRECT("DicR!$A$6:$ZZ$1048576"), MATCH(AG$1, DicR!$6:$6, 0), FALSE),
            0
        )
)</f>
        <v>0</v>
      </c>
      <c r="AH56" s="36">
        <f t="array" ref="AH56">SUM(
    IFERROR(
            VLOOKUP($A56, INDIRECT("EneR!$A$6:$ZZ$1048576"), MATCH(AH$1, EneR!$6:$6, 0), FALSE),
            0
        ) +
        IFERROR(
            VLOOKUP($A56, INDIRECT("FebR!$A$6:$ZZ$1048576"), MATCH(AH$1, FebR!$6:$6, 0), FALSE),
            0
        ) +
        IFERROR(
            VLOOKUP($A56, INDIRECT("MarR!$A$6:$ZZ$1048576"), MATCH(AH$1, MarR!$6:$6, 0), FALSE),
            0
        ) +
        IFERROR(
            VLOOKUP($A56, INDIRECT("AbrR!$A$6:$ZZ$1048576"), MATCH(AH$1, AbrR!$6:$6, 0), FALSE),
            0
        ) +
        IFERROR(
            VLOOKUP($A56, INDIRECT("MayR!$A$6:$ZZ$1048576"), MATCH(AH$1, MayR!$6:$6, 0), FALSE),
            0
        ) +
        IFERROR(
            VLOOKUP($A56, INDIRECT("JunR!$A$6:$ZZ$1048576"), MATCH(AH$1, JunR!$6:$6, 0), FALSE),
            0
        ) +
        IFERROR(
            VLOOKUP($A56, INDIRECT("JulR!$A$6:$ZZ$1048576"), MATCH(AH$1, JulR!$6:$6, 0), FALSE),
            0
        ) +
        IFERROR(
            VLOOKUP($A56, INDIRECT("AgoR!$A$6:$ZZ$1048576"), MATCH(AH$1, AgoR!$6:$6, 0), FALSE),
            0
        ) +
        IFERROR(
            VLOOKUP($A56, INDIRECT("SepR!$A$6:$ZZ$1048576"), MATCH(AH$1, SepR!$6:$6, 0), FALSE),
            0
        ) +
        IFERROR(
            VLOOKUP($A56, INDIRECT("OctR!$A$6:$ZZ$1048576"), MATCH(AH$1, OctR!$6:$6, 0), FALSE),
            0
        ) +
        IFERROR(
            VLOOKUP($A56, INDIRECT("NovR!$A$6:$ZZ$1048576"), MATCH(AH$1, NovR!$6:$6, 0), FALSE),
            0
        ) +
        IFERROR(
            VLOOKUP($A56, INDIRECT("DicR!$A$6:$ZZ$1048576"), MATCH(AH$1, DicR!$6:$6, 0), FALSE),
            0
        )
)</f>
        <v>0</v>
      </c>
      <c r="AI56" s="37">
        <f t="array" ref="AI56">SUM(
    IFERROR(
            VLOOKUP($A56, INDIRECT("EneR!$A$6:$ZZ$1048576"), MATCH(AI$1, EneR!$6:$6, 0), FALSE),
            0
        ) +
        IFERROR(
            VLOOKUP($A56, INDIRECT("FebR!$A$6:$ZZ$1048576"), MATCH(AI$1, FebR!$6:$6, 0), FALSE),
            0
        ) +
        IFERROR(
            VLOOKUP($A56, INDIRECT("MarR!$A$6:$ZZ$1048576"), MATCH(AI$1, MarR!$6:$6, 0), FALSE),
            0
        ) +
        IFERROR(
            VLOOKUP($A56, INDIRECT("AbrR!$A$6:$ZZ$1048576"), MATCH(AI$1, AbrR!$6:$6, 0), FALSE),
            0
        ) +
        IFERROR(
            VLOOKUP($A56, INDIRECT("MayR!$A$6:$ZZ$1048576"), MATCH(AI$1, MayR!$6:$6, 0), FALSE),
            0
        ) +
        IFERROR(
            VLOOKUP($A56, INDIRECT("JunR!$A$6:$ZZ$1048576"), MATCH(AI$1, JunR!$6:$6, 0), FALSE),
            0
        ) +
        IFERROR(
            VLOOKUP($A56, INDIRECT("JulR!$A$6:$ZZ$1048576"), MATCH(AI$1, JulR!$6:$6, 0), FALSE),
            0
        ) +
        IFERROR(
            VLOOKUP($A56, INDIRECT("AgoR!$A$6:$ZZ$1048576"), MATCH(AI$1, AgoR!$6:$6, 0), FALSE),
            0
        ) +
        IFERROR(
            VLOOKUP($A56, INDIRECT("SepR!$A$6:$ZZ$1048576"), MATCH(AI$1, SepR!$6:$6, 0), FALSE),
            0
        ) +
        IFERROR(
            VLOOKUP($A56, INDIRECT("OctR!$A$6:$ZZ$1048576"), MATCH(AI$1, OctR!$6:$6, 0), FALSE),
            0
        ) +
        IFERROR(
            VLOOKUP($A56, INDIRECT("NovR!$A$6:$ZZ$1048576"), MATCH(AI$1, NovR!$6:$6, 0), FALSE),
            0
        ) +
        IFERROR(
            VLOOKUP($A56, INDIRECT("DicR!$A$6:$ZZ$1048576"), MATCH(AI$1, DicR!$6:$6, 0), FALSE),
            0
        )
)</f>
        <v>0</v>
      </c>
      <c r="AJ56" s="36">
        <f t="array" ref="AJ56">SUM(
    IFERROR(
            VLOOKUP($A56, INDIRECT("EneR!$A$6:$ZZ$1048576"), MATCH(AJ$1, EneR!$6:$6, 0), FALSE),
            0
        ) +
        IFERROR(
            VLOOKUP($A56, INDIRECT("FebR!$A$6:$ZZ$1048576"), MATCH(AJ$1, FebR!$6:$6, 0), FALSE),
            0
        ) +
        IFERROR(
            VLOOKUP($A56, INDIRECT("MarR!$A$6:$ZZ$1048576"), MATCH(AJ$1, MarR!$6:$6, 0), FALSE),
            0
        ) +
        IFERROR(
            VLOOKUP($A56, INDIRECT("AbrR!$A$6:$ZZ$1048576"), MATCH(AJ$1, AbrR!$6:$6, 0), FALSE),
            0
        ) +
        IFERROR(
            VLOOKUP($A56, INDIRECT("MayR!$A$6:$ZZ$1048576"), MATCH(AJ$1, MayR!$6:$6, 0), FALSE),
            0
        ) +
        IFERROR(
            VLOOKUP($A56, INDIRECT("JunR!$A$6:$ZZ$1048576"), MATCH(AJ$1, JunR!$6:$6, 0), FALSE),
            0
        ) +
        IFERROR(
            VLOOKUP($A56, INDIRECT("JulR!$A$6:$ZZ$1048576"), MATCH(AJ$1, JulR!$6:$6, 0), FALSE),
            0
        ) +
        IFERROR(
            VLOOKUP($A56, INDIRECT("AgoR!$A$6:$ZZ$1048576"), MATCH(AJ$1, AgoR!$6:$6, 0), FALSE),
            0
        ) +
        IFERROR(
            VLOOKUP($A56, INDIRECT("SepR!$A$6:$ZZ$1048576"), MATCH(AJ$1, SepR!$6:$6, 0), FALSE),
            0
        ) +
        IFERROR(
            VLOOKUP($A56, INDIRECT("OctR!$A$6:$ZZ$1048576"), MATCH(AJ$1, OctR!$6:$6, 0), FALSE),
            0
        ) +
        IFERROR(
            VLOOKUP($A56, INDIRECT("NovR!$A$6:$ZZ$1048576"), MATCH(AJ$1, NovR!$6:$6, 0), FALSE),
            0
        ) +
        IFERROR(
            VLOOKUP($A56, INDIRECT("DicR!$A$6:$ZZ$1048576"), MATCH(AJ$1, DicR!$6:$6, 0), FALSE),
            0
        )
)</f>
        <v>0</v>
      </c>
      <c r="AK56" s="37">
        <f t="array" ref="AK56">SUM(
    IFERROR(
            VLOOKUP($A56, INDIRECT("EneR!$A$6:$ZZ$1048576"), MATCH(AK$1, EneR!$6:$6, 0), FALSE),
            0
        ) +
        IFERROR(
            VLOOKUP($A56, INDIRECT("FebR!$A$6:$ZZ$1048576"), MATCH(AK$1, FebR!$6:$6, 0), FALSE),
            0
        ) +
        IFERROR(
            VLOOKUP($A56, INDIRECT("MarR!$A$6:$ZZ$1048576"), MATCH(AK$1, MarR!$6:$6, 0), FALSE),
            0
        ) +
        IFERROR(
            VLOOKUP($A56, INDIRECT("AbrR!$A$6:$ZZ$1048576"), MATCH(AK$1, AbrR!$6:$6, 0), FALSE),
            0
        ) +
        IFERROR(
            VLOOKUP($A56, INDIRECT("MayR!$A$6:$ZZ$1048576"), MATCH(AK$1, MayR!$6:$6, 0), FALSE),
            0
        ) +
        IFERROR(
            VLOOKUP($A56, INDIRECT("JunR!$A$6:$ZZ$1048576"), MATCH(AK$1, JunR!$6:$6, 0), FALSE),
            0
        ) +
        IFERROR(
            VLOOKUP($A56, INDIRECT("JulR!$A$6:$ZZ$1048576"), MATCH(AK$1, JulR!$6:$6, 0), FALSE),
            0
        ) +
        IFERROR(
            VLOOKUP($A56, INDIRECT("AgoR!$A$6:$ZZ$1048576"), MATCH(AK$1, AgoR!$6:$6, 0), FALSE),
            0
        ) +
        IFERROR(
            VLOOKUP($A56, INDIRECT("SepR!$A$6:$ZZ$1048576"), MATCH(AK$1, SepR!$6:$6, 0), FALSE),
            0
        ) +
        IFERROR(
            VLOOKUP($A56, INDIRECT("OctR!$A$6:$ZZ$1048576"), MATCH(AK$1, OctR!$6:$6, 0), FALSE),
            0
        ) +
        IFERROR(
            VLOOKUP($A56, INDIRECT("NovR!$A$6:$ZZ$1048576"), MATCH(AK$1, NovR!$6:$6, 0), FALSE),
            0
        ) +
        IFERROR(
            VLOOKUP($A56, INDIRECT("DicR!$A$6:$ZZ$1048576"), MATCH(AK$1, DicR!$6:$6, 0), FALSE),
            0
        )
)</f>
        <v>0</v>
      </c>
      <c r="AL56" s="36">
        <f t="array" ref="AL56">SUM(
    IFERROR(
            VLOOKUP($A56, INDIRECT("EneR!$A$6:$ZZ$1048576"), MATCH(AL$1, EneR!$6:$6, 0), FALSE),
            0
        ) +
        IFERROR(
            VLOOKUP($A56, INDIRECT("FebR!$A$6:$ZZ$1048576"), MATCH(AL$1, FebR!$6:$6, 0), FALSE),
            0
        ) +
        IFERROR(
            VLOOKUP($A56, INDIRECT("MarR!$A$6:$ZZ$1048576"), MATCH(AL$1, MarR!$6:$6, 0), FALSE),
            0
        ) +
        IFERROR(
            VLOOKUP($A56, INDIRECT("AbrR!$A$6:$ZZ$1048576"), MATCH(AL$1, AbrR!$6:$6, 0), FALSE),
            0
        ) +
        IFERROR(
            VLOOKUP($A56, INDIRECT("MayR!$A$6:$ZZ$1048576"), MATCH(AL$1, MayR!$6:$6, 0), FALSE),
            0
        ) +
        IFERROR(
            VLOOKUP($A56, INDIRECT("JunR!$A$6:$ZZ$1048576"), MATCH(AL$1, JunR!$6:$6, 0), FALSE),
            0
        ) +
        IFERROR(
            VLOOKUP($A56, INDIRECT("JulR!$A$6:$ZZ$1048576"), MATCH(AL$1, JulR!$6:$6, 0), FALSE),
            0
        ) +
        IFERROR(
            VLOOKUP($A56, INDIRECT("AgoR!$A$6:$ZZ$1048576"), MATCH(AL$1, AgoR!$6:$6, 0), FALSE),
            0
        ) +
        IFERROR(
            VLOOKUP($A56, INDIRECT("SepR!$A$6:$ZZ$1048576"), MATCH(AL$1, SepR!$6:$6, 0), FALSE),
            0
        ) +
        IFERROR(
            VLOOKUP($A56, INDIRECT("OctR!$A$6:$ZZ$1048576"), MATCH(AL$1, OctR!$6:$6, 0), FALSE),
            0
        ) +
        IFERROR(
            VLOOKUP($A56, INDIRECT("NovR!$A$6:$ZZ$1048576"), MATCH(AL$1, NovR!$6:$6, 0), FALSE),
            0
        ) +
        IFERROR(
            VLOOKUP($A56, INDIRECT("DicR!$A$6:$ZZ$1048576"), MATCH(AL$1, DicR!$6:$6, 0), FALSE),
            0
        )
)</f>
        <v>0</v>
      </c>
      <c r="AM56" s="37">
        <f t="array" ref="AM56">SUM(
    IFERROR(
            VLOOKUP($A56, INDIRECT("EneR!$A$6:$ZZ$1048576"), MATCH(AM$1, EneR!$6:$6, 0), FALSE),
            0
        ) +
        IFERROR(
            VLOOKUP($A56, INDIRECT("FebR!$A$6:$ZZ$1048576"), MATCH(AM$1, FebR!$6:$6, 0), FALSE),
            0
        ) +
        IFERROR(
            VLOOKUP($A56, INDIRECT("MarR!$A$6:$ZZ$1048576"), MATCH(AM$1, MarR!$6:$6, 0), FALSE),
            0
        ) +
        IFERROR(
            VLOOKUP($A56, INDIRECT("AbrR!$A$6:$ZZ$1048576"), MATCH(AM$1, AbrR!$6:$6, 0), FALSE),
            0
        ) +
        IFERROR(
            VLOOKUP($A56, INDIRECT("MayR!$A$6:$ZZ$1048576"), MATCH(AM$1, MayR!$6:$6, 0), FALSE),
            0
        ) +
        IFERROR(
            VLOOKUP($A56, INDIRECT("JunR!$A$6:$ZZ$1048576"), MATCH(AM$1, JunR!$6:$6, 0), FALSE),
            0
        ) +
        IFERROR(
            VLOOKUP($A56, INDIRECT("JulR!$A$6:$ZZ$1048576"), MATCH(AM$1, JulR!$6:$6, 0), FALSE),
            0
        ) +
        IFERROR(
            VLOOKUP($A56, INDIRECT("AgoR!$A$6:$ZZ$1048576"), MATCH(AM$1, AgoR!$6:$6, 0), FALSE),
            0
        ) +
        IFERROR(
            VLOOKUP($A56, INDIRECT("SepR!$A$6:$ZZ$1048576"), MATCH(AM$1, SepR!$6:$6, 0), FALSE),
            0
        ) +
        IFERROR(
            VLOOKUP($A56, INDIRECT("OctR!$A$6:$ZZ$1048576"), MATCH(AM$1, OctR!$6:$6, 0), FALSE),
            0
        ) +
        IFERROR(
            VLOOKUP($A56, INDIRECT("NovR!$A$6:$ZZ$1048576"), MATCH(AM$1, NovR!$6:$6, 0), FALSE),
            0
        ) +
        IFERROR(
            VLOOKUP($A56, INDIRECT("DicR!$A$6:$ZZ$1048576"), MATCH(AM$1, DicR!$6:$6, 0), FALSE),
            0
        )
)</f>
        <v>0</v>
      </c>
      <c r="AN56" s="32">
        <f t="array" ref="AN56">SUM(
    IFERROR(
            VLOOKUP($A56, INDIRECT("EneR!$A$6:$ZZ$1048576"), MATCH(AN$1, EneR!$6:$6, 0), FALSE),
            0
        ) +
        IFERROR(
            VLOOKUP($A56, INDIRECT("FebR!$A$6:$ZZ$1048576"), MATCH(AN$1, FebR!$6:$6, 0), FALSE),
            0
        ) +
        IFERROR(
            VLOOKUP($A56, INDIRECT("MarR!$A$6:$ZZ$1048576"), MATCH(AN$1, MarR!$6:$6, 0), FALSE),
            0
        ) +
        IFERROR(
            VLOOKUP($A56, INDIRECT("AbrR!$A$6:$ZZ$1048576"), MATCH(AN$1, AbrR!$6:$6, 0), FALSE),
            0
        ) +
        IFERROR(
            VLOOKUP($A56, INDIRECT("MayR!$A$6:$ZZ$1048576"), MATCH(AN$1, MayR!$6:$6, 0), FALSE),
            0
        ) +
        IFERROR(
            VLOOKUP($A56, INDIRECT("JunR!$A$6:$ZZ$1048576"), MATCH(AN$1, JunR!$6:$6, 0), FALSE),
            0
        ) +
        IFERROR(
            VLOOKUP($A56, INDIRECT("JulR!$A$6:$ZZ$1048576"), MATCH(AN$1, JulR!$6:$6, 0), FALSE),
            0
        ) +
        IFERROR(
            VLOOKUP($A56, INDIRECT("AgoR!$A$6:$ZZ$1048576"), MATCH(AN$1, AgoR!$6:$6, 0), FALSE),
            0
        ) +
        IFERROR(
            VLOOKUP($A56, INDIRECT("SepR!$A$6:$ZZ$1048576"), MATCH(AN$1, SepR!$6:$6, 0), FALSE),
            0
        ) +
        IFERROR(
            VLOOKUP($A56, INDIRECT("OctR!$A$6:$ZZ$1048576"), MATCH(AN$1, OctR!$6:$6, 0), FALSE),
            0
        ) +
        IFERROR(
            VLOOKUP($A56, INDIRECT("NovR!$A$6:$ZZ$1048576"), MATCH(AN$1, NovR!$6:$6, 0), FALSE),
            0
        ) +
        IFERROR(
            VLOOKUP($A56, INDIRECT("DicR!$A$6:$ZZ$1048576"), MATCH(AN$1, DicR!$6:$6, 0), FALSE),
            0
        )
)</f>
        <v>0</v>
      </c>
      <c r="AO56" s="35">
        <f t="array" ref="AO56">SUM(
    IFERROR(
            VLOOKUP($A56, INDIRECT("EneR!$A$6:$ZZ$1048576"), MATCH(AO$1, EneR!$6:$6, 0), FALSE),
            0
        ) +
        IFERROR(
            VLOOKUP($A56, INDIRECT("FebR!$A$6:$ZZ$1048576"), MATCH(AO$1, FebR!$6:$6, 0), FALSE),
            0
        ) +
        IFERROR(
            VLOOKUP($A56, INDIRECT("MarR!$A$6:$ZZ$1048576"), MATCH(AO$1, MarR!$6:$6, 0), FALSE),
            0
        ) +
        IFERROR(
            VLOOKUP($A56, INDIRECT("AbrR!$A$6:$ZZ$1048576"), MATCH(AO$1, AbrR!$6:$6, 0), FALSE),
            0
        ) +
        IFERROR(
            VLOOKUP($A56, INDIRECT("MayR!$A$6:$ZZ$1048576"), MATCH(AO$1, MayR!$6:$6, 0), FALSE),
            0
        ) +
        IFERROR(
            VLOOKUP($A56, INDIRECT("JunR!$A$6:$ZZ$1048576"), MATCH(AO$1, JunR!$6:$6, 0), FALSE),
            0
        ) +
        IFERROR(
            VLOOKUP($A56, INDIRECT("JulR!$A$6:$ZZ$1048576"), MATCH(AO$1, JulR!$6:$6, 0), FALSE),
            0
        ) +
        IFERROR(
            VLOOKUP($A56, INDIRECT("AgoR!$A$6:$ZZ$1048576"), MATCH(AO$1, AgoR!$6:$6, 0), FALSE),
            0
        ) +
        IFERROR(
            VLOOKUP($A56, INDIRECT("SepR!$A$6:$ZZ$1048576"), MATCH(AO$1, SepR!$6:$6, 0), FALSE),
            0
        ) +
        IFERROR(
            VLOOKUP($A56, INDIRECT("OctR!$A$6:$ZZ$1048576"), MATCH(AO$1, OctR!$6:$6, 0), FALSE),
            0
        ) +
        IFERROR(
            VLOOKUP($A56, INDIRECT("NovR!$A$6:$ZZ$1048576"), MATCH(AO$1, NovR!$6:$6, 0), FALSE),
            0
        ) +
        IFERROR(
            VLOOKUP($A56, INDIRECT("DicR!$A$6:$ZZ$1048576"), MATCH(AO$1, DicR!$6:$6, 0), FALSE),
            0
        )
)</f>
        <v>0</v>
      </c>
      <c r="AP56" s="36">
        <f t="array" ref="AP56">SUM(
    IFERROR(
            VLOOKUP($A56, INDIRECT("EneR!$A$6:$ZZ$1048576"), MATCH(AP$1, EneR!$6:$6, 0), FALSE),
            0
        ) +
        IFERROR(
            VLOOKUP($A56, INDIRECT("FebR!$A$6:$ZZ$1048576"), MATCH(AP$1, FebR!$6:$6, 0), FALSE),
            0
        ) +
        IFERROR(
            VLOOKUP($A56, INDIRECT("MarR!$A$6:$ZZ$1048576"), MATCH(AP$1, MarR!$6:$6, 0), FALSE),
            0
        ) +
        IFERROR(
            VLOOKUP($A56, INDIRECT("AbrR!$A$6:$ZZ$1048576"), MATCH(AP$1, AbrR!$6:$6, 0), FALSE),
            0
        ) +
        IFERROR(
            VLOOKUP($A56, INDIRECT("MayR!$A$6:$ZZ$1048576"), MATCH(AP$1, MayR!$6:$6, 0), FALSE),
            0
        ) +
        IFERROR(
            VLOOKUP($A56, INDIRECT("JunR!$A$6:$ZZ$1048576"), MATCH(AP$1, JunR!$6:$6, 0), FALSE),
            0
        ) +
        IFERROR(
            VLOOKUP($A56, INDIRECT("JulR!$A$6:$ZZ$1048576"), MATCH(AP$1, JulR!$6:$6, 0), FALSE),
            0
        ) +
        IFERROR(
            VLOOKUP($A56, INDIRECT("AgoR!$A$6:$ZZ$1048576"), MATCH(AP$1, AgoR!$6:$6, 0), FALSE),
            0
        ) +
        IFERROR(
            VLOOKUP($A56, INDIRECT("SepR!$A$6:$ZZ$1048576"), MATCH(AP$1, SepR!$6:$6, 0), FALSE),
            0
        ) +
        IFERROR(
            VLOOKUP($A56, INDIRECT("OctR!$A$6:$ZZ$1048576"), MATCH(AP$1, OctR!$6:$6, 0), FALSE),
            0
        ) +
        IFERROR(
            VLOOKUP($A56, INDIRECT("NovR!$A$6:$ZZ$1048576"), MATCH(AP$1, NovR!$6:$6, 0), FALSE),
            0
        ) +
        IFERROR(
            VLOOKUP($A56, INDIRECT("DicR!$A$6:$ZZ$1048576"), MATCH(AP$1, DicR!$6:$6, 0), FALSE),
            0
        )
)</f>
        <v>0</v>
      </c>
      <c r="AQ56" s="35">
        <f t="array" ref="AQ56">SUM(
    IFERROR(
            VLOOKUP($A56, INDIRECT("EneR!$A$6:$ZZ$1048576"), MATCH(AQ$1, EneR!$6:$6, 0), FALSE),
            0
        ) +
        IFERROR(
            VLOOKUP($A56, INDIRECT("FebR!$A$6:$ZZ$1048576"), MATCH(AQ$1, FebR!$6:$6, 0), FALSE),
            0
        ) +
        IFERROR(
            VLOOKUP($A56, INDIRECT("MarR!$A$6:$ZZ$1048576"), MATCH(AQ$1, MarR!$6:$6, 0), FALSE),
            0
        ) +
        IFERROR(
            VLOOKUP($A56, INDIRECT("AbrR!$A$6:$ZZ$1048576"), MATCH(AQ$1, AbrR!$6:$6, 0), FALSE),
            0
        ) +
        IFERROR(
            VLOOKUP($A56, INDIRECT("MayR!$A$6:$ZZ$1048576"), MATCH(AQ$1, MayR!$6:$6, 0), FALSE),
            0
        ) +
        IFERROR(
            VLOOKUP($A56, INDIRECT("JunR!$A$6:$ZZ$1048576"), MATCH(AQ$1, JunR!$6:$6, 0), FALSE),
            0
        ) +
        IFERROR(
            VLOOKUP($A56, INDIRECT("JulR!$A$6:$ZZ$1048576"), MATCH(AQ$1, JulR!$6:$6, 0), FALSE),
            0
        ) +
        IFERROR(
            VLOOKUP($A56, INDIRECT("AgoR!$A$6:$ZZ$1048576"), MATCH(AQ$1, AgoR!$6:$6, 0), FALSE),
            0
        ) +
        IFERROR(
            VLOOKUP($A56, INDIRECT("SepR!$A$6:$ZZ$1048576"), MATCH(AQ$1, SepR!$6:$6, 0), FALSE),
            0
        ) +
        IFERROR(
            VLOOKUP($A56, INDIRECT("OctR!$A$6:$ZZ$1048576"), MATCH(AQ$1, OctR!$6:$6, 0), FALSE),
            0
        ) +
        IFERROR(
            VLOOKUP($A56, INDIRECT("NovR!$A$6:$ZZ$1048576"), MATCH(AQ$1, NovR!$6:$6, 0), FALSE),
            0
        ) +
        IFERROR(
            VLOOKUP($A56, INDIRECT("DicR!$A$6:$ZZ$1048576"), MATCH(AQ$1, DicR!$6:$6, 0), FALSE),
            0
        )
)</f>
        <v>0</v>
      </c>
      <c r="AR56" s="36">
        <f t="array" ref="AR56">SUM(
    IFERROR(
            VLOOKUP($A56, INDIRECT("EneR!$A$6:$ZZ$1048576"), MATCH(AR$1, EneR!$6:$6, 0), FALSE),
            0
        ) +
        IFERROR(
            VLOOKUP($A56, INDIRECT("FebR!$A$6:$ZZ$1048576"), MATCH(AR$1, FebR!$6:$6, 0), FALSE),
            0
        ) +
        IFERROR(
            VLOOKUP($A56, INDIRECT("MarR!$A$6:$ZZ$1048576"), MATCH(AR$1, MarR!$6:$6, 0), FALSE),
            0
        ) +
        IFERROR(
            VLOOKUP($A56, INDIRECT("AbrR!$A$6:$ZZ$1048576"), MATCH(AR$1, AbrR!$6:$6, 0), FALSE),
            0
        ) +
        IFERROR(
            VLOOKUP($A56, INDIRECT("MayR!$A$6:$ZZ$1048576"), MATCH(AR$1, MayR!$6:$6, 0), FALSE),
            0
        ) +
        IFERROR(
            VLOOKUP($A56, INDIRECT("JunR!$A$6:$ZZ$1048576"), MATCH(AR$1, JunR!$6:$6, 0), FALSE),
            0
        ) +
        IFERROR(
            VLOOKUP($A56, INDIRECT("JulR!$A$6:$ZZ$1048576"), MATCH(AR$1, JulR!$6:$6, 0), FALSE),
            0
        ) +
        IFERROR(
            VLOOKUP($A56, INDIRECT("AgoR!$A$6:$ZZ$1048576"), MATCH(AR$1, AgoR!$6:$6, 0), FALSE),
            0
        ) +
        IFERROR(
            VLOOKUP($A56, INDIRECT("SepR!$A$6:$ZZ$1048576"), MATCH(AR$1, SepR!$6:$6, 0), FALSE),
            0
        ) +
        IFERROR(
            VLOOKUP($A56, INDIRECT("OctR!$A$6:$ZZ$1048576"), MATCH(AR$1, OctR!$6:$6, 0), FALSE),
            0
        ) +
        IFERROR(
            VLOOKUP($A56, INDIRECT("NovR!$A$6:$ZZ$1048576"), MATCH(AR$1, NovR!$6:$6, 0), FALSE),
            0
        ) +
        IFERROR(
            VLOOKUP($A56, INDIRECT("DicR!$A$6:$ZZ$1048576"), MATCH(AR$1, DicR!$6:$6, 0), FALSE),
            0
        )
)</f>
        <v>0</v>
      </c>
      <c r="AS56" s="35">
        <f t="array" ref="AS56">SUM(
    IFERROR(
            VLOOKUP($A56, INDIRECT("EneR!$A$6:$ZZ$1048576"), MATCH(AS$1, EneR!$6:$6, 0), FALSE),
            0
        ) +
        IFERROR(
            VLOOKUP($A56, INDIRECT("FebR!$A$6:$ZZ$1048576"), MATCH(AS$1, FebR!$6:$6, 0), FALSE),
            0
        ) +
        IFERROR(
            VLOOKUP($A56, INDIRECT("MarR!$A$6:$ZZ$1048576"), MATCH(AS$1, MarR!$6:$6, 0), FALSE),
            0
        ) +
        IFERROR(
            VLOOKUP($A56, INDIRECT("AbrR!$A$6:$ZZ$1048576"), MATCH(AS$1, AbrR!$6:$6, 0), FALSE),
            0
        ) +
        IFERROR(
            VLOOKUP($A56, INDIRECT("MayR!$A$6:$ZZ$1048576"), MATCH(AS$1, MayR!$6:$6, 0), FALSE),
            0
        ) +
        IFERROR(
            VLOOKUP($A56, INDIRECT("JunR!$A$6:$ZZ$1048576"), MATCH(AS$1, JunR!$6:$6, 0), FALSE),
            0
        ) +
        IFERROR(
            VLOOKUP($A56, INDIRECT("JulR!$A$6:$ZZ$1048576"), MATCH(AS$1, JulR!$6:$6, 0), FALSE),
            0
        ) +
        IFERROR(
            VLOOKUP($A56, INDIRECT("AgoR!$A$6:$ZZ$1048576"), MATCH(AS$1, AgoR!$6:$6, 0), FALSE),
            0
        ) +
        IFERROR(
            VLOOKUP($A56, INDIRECT("SepR!$A$6:$ZZ$1048576"), MATCH(AS$1, SepR!$6:$6, 0), FALSE),
            0
        ) +
        IFERROR(
            VLOOKUP($A56, INDIRECT("OctR!$A$6:$ZZ$1048576"), MATCH(AS$1, OctR!$6:$6, 0), FALSE),
            0
        ) +
        IFERROR(
            VLOOKUP($A56, INDIRECT("NovR!$A$6:$ZZ$1048576"), MATCH(AS$1, NovR!$6:$6, 0), FALSE),
            0
        ) +
        IFERROR(
            VLOOKUP($A56, INDIRECT("DicR!$A$6:$ZZ$1048576"), MATCH(AS$1, DicR!$6:$6, 0), FALSE),
            0
        )
)</f>
        <v>0</v>
      </c>
      <c r="AT56" s="36">
        <f t="array" ref="AT56">SUM(
    IFERROR(
            VLOOKUP($A56, INDIRECT("EneR!$A$6:$ZZ$1048576"), MATCH(AT$1, EneR!$6:$6, 0), FALSE),
            0
        ) +
        IFERROR(
            VLOOKUP($A56, INDIRECT("FebR!$A$6:$ZZ$1048576"), MATCH(AT$1, FebR!$6:$6, 0), FALSE),
            0
        ) +
        IFERROR(
            VLOOKUP($A56, INDIRECT("MarR!$A$6:$ZZ$1048576"), MATCH(AT$1, MarR!$6:$6, 0), FALSE),
            0
        ) +
        IFERROR(
            VLOOKUP($A56, INDIRECT("AbrR!$A$6:$ZZ$1048576"), MATCH(AT$1, AbrR!$6:$6, 0), FALSE),
            0
        ) +
        IFERROR(
            VLOOKUP($A56, INDIRECT("MayR!$A$6:$ZZ$1048576"), MATCH(AT$1, MayR!$6:$6, 0), FALSE),
            0
        ) +
        IFERROR(
            VLOOKUP($A56, INDIRECT("JunR!$A$6:$ZZ$1048576"), MATCH(AT$1, JunR!$6:$6, 0), FALSE),
            0
        ) +
        IFERROR(
            VLOOKUP($A56, INDIRECT("JulR!$A$6:$ZZ$1048576"), MATCH(AT$1, JulR!$6:$6, 0), FALSE),
            0
        ) +
        IFERROR(
            VLOOKUP($A56, INDIRECT("AgoR!$A$6:$ZZ$1048576"), MATCH(AT$1, AgoR!$6:$6, 0), FALSE),
            0
        ) +
        IFERROR(
            VLOOKUP($A56, INDIRECT("SepR!$A$6:$ZZ$1048576"), MATCH(AT$1, SepR!$6:$6, 0), FALSE),
            0
        ) +
        IFERROR(
            VLOOKUP($A56, INDIRECT("OctR!$A$6:$ZZ$1048576"), MATCH(AT$1, OctR!$6:$6, 0), FALSE),
            0
        ) +
        IFERROR(
            VLOOKUP($A56, INDIRECT("NovR!$A$6:$ZZ$1048576"), MATCH(AT$1, NovR!$6:$6, 0), FALSE),
            0
        ) +
        IFERROR(
            VLOOKUP($A56, INDIRECT("DicR!$A$6:$ZZ$1048576"), MATCH(AT$1, DicR!$6:$6, 0), FALSE),
            0
        )
)</f>
        <v>0</v>
      </c>
      <c r="AU56" s="35">
        <f t="array" ref="AU56">SUM(
    IFERROR(
            VLOOKUP($A56, INDIRECT("EneR!$A$6:$ZZ$1048576"), MATCH(AU$1, EneR!$6:$6, 0), FALSE),
            0
        ) +
        IFERROR(
            VLOOKUP($A56, INDIRECT("FebR!$A$6:$ZZ$1048576"), MATCH(AU$1, FebR!$6:$6, 0), FALSE),
            0
        ) +
        IFERROR(
            VLOOKUP($A56, INDIRECT("MarR!$A$6:$ZZ$1048576"), MATCH(AU$1, MarR!$6:$6, 0), FALSE),
            0
        ) +
        IFERROR(
            VLOOKUP($A56, INDIRECT("AbrR!$A$6:$ZZ$1048576"), MATCH(AU$1, AbrR!$6:$6, 0), FALSE),
            0
        ) +
        IFERROR(
            VLOOKUP($A56, INDIRECT("MayR!$A$6:$ZZ$1048576"), MATCH(AU$1, MayR!$6:$6, 0), FALSE),
            0
        ) +
        IFERROR(
            VLOOKUP($A56, INDIRECT("JunR!$A$6:$ZZ$1048576"), MATCH(AU$1, JunR!$6:$6, 0), FALSE),
            0
        ) +
        IFERROR(
            VLOOKUP($A56, INDIRECT("JulR!$A$6:$ZZ$1048576"), MATCH(AU$1, JulR!$6:$6, 0), FALSE),
            0
        ) +
        IFERROR(
            VLOOKUP($A56, INDIRECT("AgoR!$A$6:$ZZ$1048576"), MATCH(AU$1, AgoR!$6:$6, 0), FALSE),
            0
        ) +
        IFERROR(
            VLOOKUP($A56, INDIRECT("SepR!$A$6:$ZZ$1048576"), MATCH(AU$1, SepR!$6:$6, 0), FALSE),
            0
        ) +
        IFERROR(
            VLOOKUP($A56, INDIRECT("OctR!$A$6:$ZZ$1048576"), MATCH(AU$1, OctR!$6:$6, 0), FALSE),
            0
        ) +
        IFERROR(
            VLOOKUP($A56, INDIRECT("NovR!$A$6:$ZZ$1048576"), MATCH(AU$1, NovR!$6:$6, 0), FALSE),
            0
        ) +
        IFERROR(
            VLOOKUP($A56, INDIRECT("DicR!$A$6:$ZZ$1048576"), MATCH(AU$1, DicR!$6:$6, 0), FALSE),
            0
        )
)</f>
        <v>0</v>
      </c>
      <c r="AV56" s="36">
        <f t="array" ref="AV56">SUM(
    IFERROR(
            VLOOKUP($A56, INDIRECT("EneR!$A$6:$ZZ$1048576"), MATCH(AV$1, EneR!$6:$6, 0), FALSE),
            0
        ) +
        IFERROR(
            VLOOKUP($A56, INDIRECT("FebR!$A$6:$ZZ$1048576"), MATCH(AV$1, FebR!$6:$6, 0), FALSE),
            0
        ) +
        IFERROR(
            VLOOKUP($A56, INDIRECT("MarR!$A$6:$ZZ$1048576"), MATCH(AV$1, MarR!$6:$6, 0), FALSE),
            0
        ) +
        IFERROR(
            VLOOKUP($A56, INDIRECT("AbrR!$A$6:$ZZ$1048576"), MATCH(AV$1, AbrR!$6:$6, 0), FALSE),
            0
        ) +
        IFERROR(
            VLOOKUP($A56, INDIRECT("MayR!$A$6:$ZZ$1048576"), MATCH(AV$1, MayR!$6:$6, 0), FALSE),
            0
        ) +
        IFERROR(
            VLOOKUP($A56, INDIRECT("JunR!$A$6:$ZZ$1048576"), MATCH(AV$1, JunR!$6:$6, 0), FALSE),
            0
        ) +
        IFERROR(
            VLOOKUP($A56, INDIRECT("JulR!$A$6:$ZZ$1048576"), MATCH(AV$1, JulR!$6:$6, 0), FALSE),
            0
        ) +
        IFERROR(
            VLOOKUP($A56, INDIRECT("AgoR!$A$6:$ZZ$1048576"), MATCH(AV$1, AgoR!$6:$6, 0), FALSE),
            0
        ) +
        IFERROR(
            VLOOKUP($A56, INDIRECT("SepR!$A$6:$ZZ$1048576"), MATCH(AV$1, SepR!$6:$6, 0), FALSE),
            0
        ) +
        IFERROR(
            VLOOKUP($A56, INDIRECT("OctR!$A$6:$ZZ$1048576"), MATCH(AV$1, OctR!$6:$6, 0), FALSE),
            0
        ) +
        IFERROR(
            VLOOKUP($A56, INDIRECT("NovR!$A$6:$ZZ$1048576"), MATCH(AV$1, NovR!$6:$6, 0), FALSE),
            0
        ) +
        IFERROR(
            VLOOKUP($A56, INDIRECT("DicR!$A$6:$ZZ$1048576"), MATCH(AV$1, DicR!$6:$6, 0), FALSE),
            0
        )
)</f>
        <v>0</v>
      </c>
      <c r="AW56" s="35">
        <f t="array" ref="AW56">SUM(
    IFERROR(
            VLOOKUP($A56, INDIRECT("EneR!$A$6:$ZZ$1048576"), MATCH(AW$1, EneR!$6:$6, 0), FALSE),
            0
        ) +
        IFERROR(
            VLOOKUP($A56, INDIRECT("FebR!$A$6:$ZZ$1048576"), MATCH(AW$1, FebR!$6:$6, 0), FALSE),
            0
        ) +
        IFERROR(
            VLOOKUP($A56, INDIRECT("MarR!$A$6:$ZZ$1048576"), MATCH(AW$1, MarR!$6:$6, 0), FALSE),
            0
        ) +
        IFERROR(
            VLOOKUP($A56, INDIRECT("AbrR!$A$6:$ZZ$1048576"), MATCH(AW$1, AbrR!$6:$6, 0), FALSE),
            0
        ) +
        IFERROR(
            VLOOKUP($A56, INDIRECT("MayR!$A$6:$ZZ$1048576"), MATCH(AW$1, MayR!$6:$6, 0), FALSE),
            0
        ) +
        IFERROR(
            VLOOKUP($A56, INDIRECT("JunR!$A$6:$ZZ$1048576"), MATCH(AW$1, JunR!$6:$6, 0), FALSE),
            0
        ) +
        IFERROR(
            VLOOKUP($A56, INDIRECT("JulR!$A$6:$ZZ$1048576"), MATCH(AW$1, JulR!$6:$6, 0), FALSE),
            0
        ) +
        IFERROR(
            VLOOKUP($A56, INDIRECT("AgoR!$A$6:$ZZ$1048576"), MATCH(AW$1, AgoR!$6:$6, 0), FALSE),
            0
        ) +
        IFERROR(
            VLOOKUP($A56, INDIRECT("SepR!$A$6:$ZZ$1048576"), MATCH(AW$1, SepR!$6:$6, 0), FALSE),
            0
        ) +
        IFERROR(
            VLOOKUP($A56, INDIRECT("OctR!$A$6:$ZZ$1048576"), MATCH(AW$1, OctR!$6:$6, 0), FALSE),
            0
        ) +
        IFERROR(
            VLOOKUP($A56, INDIRECT("NovR!$A$6:$ZZ$1048576"), MATCH(AW$1, NovR!$6:$6, 0), FALSE),
            0
        ) +
        IFERROR(
            VLOOKUP($A56, INDIRECT("DicR!$A$6:$ZZ$1048576"), MATCH(AW$1, DicR!$6:$6, 0), FALSE),
            0
        )
)</f>
        <v>0</v>
      </c>
      <c r="AX56" s="36">
        <f t="array" ref="AX56">SUM(
    IFERROR(
            VLOOKUP($A56, INDIRECT("EneR!$A$6:$ZZ$1048576"), MATCH(AX$1, EneR!$6:$6, 0), FALSE),
            0
        ) +
        IFERROR(
            VLOOKUP($A56, INDIRECT("FebR!$A$6:$ZZ$1048576"), MATCH(AX$1, FebR!$6:$6, 0), FALSE),
            0
        ) +
        IFERROR(
            VLOOKUP($A56, INDIRECT("MarR!$A$6:$ZZ$1048576"), MATCH(AX$1, MarR!$6:$6, 0), FALSE),
            0
        ) +
        IFERROR(
            VLOOKUP($A56, INDIRECT("AbrR!$A$6:$ZZ$1048576"), MATCH(AX$1, AbrR!$6:$6, 0), FALSE),
            0
        ) +
        IFERROR(
            VLOOKUP($A56, INDIRECT("MayR!$A$6:$ZZ$1048576"), MATCH(AX$1, MayR!$6:$6, 0), FALSE),
            0
        ) +
        IFERROR(
            VLOOKUP($A56, INDIRECT("JunR!$A$6:$ZZ$1048576"), MATCH(AX$1, JunR!$6:$6, 0), FALSE),
            0
        ) +
        IFERROR(
            VLOOKUP($A56, INDIRECT("JulR!$A$6:$ZZ$1048576"), MATCH(AX$1, JulR!$6:$6, 0), FALSE),
            0
        ) +
        IFERROR(
            VLOOKUP($A56, INDIRECT("AgoR!$A$6:$ZZ$1048576"), MATCH(AX$1, AgoR!$6:$6, 0), FALSE),
            0
        ) +
        IFERROR(
            VLOOKUP($A56, INDIRECT("SepR!$A$6:$ZZ$1048576"), MATCH(AX$1, SepR!$6:$6, 0), FALSE),
            0
        ) +
        IFERROR(
            VLOOKUP($A56, INDIRECT("OctR!$A$6:$ZZ$1048576"), MATCH(AX$1, OctR!$6:$6, 0), FALSE),
            0
        ) +
        IFERROR(
            VLOOKUP($A56, INDIRECT("NovR!$A$6:$ZZ$1048576"), MATCH(AX$1, NovR!$6:$6, 0), FALSE),
            0
        ) +
        IFERROR(
            VLOOKUP($A56, INDIRECT("DicR!$A$6:$ZZ$1048576"), MATCH(AX$1, DicR!$6:$6, 0), FALSE),
            0
        )
)</f>
        <v>0</v>
      </c>
      <c r="AY56" s="35">
        <f t="array" ref="AY56">SUM(
    IFERROR(
            VLOOKUP($A56, INDIRECT("EneR!$A$6:$ZZ$1048576"), MATCH(AY$1, EneR!$6:$6, 0), FALSE),
            0
        ) +
        IFERROR(
            VLOOKUP($A56, INDIRECT("FebR!$A$6:$ZZ$1048576"), MATCH(AY$1, FebR!$6:$6, 0), FALSE),
            0
        ) +
        IFERROR(
            VLOOKUP($A56, INDIRECT("MarR!$A$6:$ZZ$1048576"), MATCH(AY$1, MarR!$6:$6, 0), FALSE),
            0
        ) +
        IFERROR(
            VLOOKUP($A56, INDIRECT("AbrR!$A$6:$ZZ$1048576"), MATCH(AY$1, AbrR!$6:$6, 0), FALSE),
            0
        ) +
        IFERROR(
            VLOOKUP($A56, INDIRECT("MayR!$A$6:$ZZ$1048576"), MATCH(AY$1, MayR!$6:$6, 0), FALSE),
            0
        ) +
        IFERROR(
            VLOOKUP($A56, INDIRECT("JunR!$A$6:$ZZ$1048576"), MATCH(AY$1, JunR!$6:$6, 0), FALSE),
            0
        ) +
        IFERROR(
            VLOOKUP($A56, INDIRECT("JulR!$A$6:$ZZ$1048576"), MATCH(AY$1, JulR!$6:$6, 0), FALSE),
            0
        ) +
        IFERROR(
            VLOOKUP($A56, INDIRECT("AgoR!$A$6:$ZZ$1048576"), MATCH(AY$1, AgoR!$6:$6, 0), FALSE),
            0
        ) +
        IFERROR(
            VLOOKUP($A56, INDIRECT("SepR!$A$6:$ZZ$1048576"), MATCH(AY$1, SepR!$6:$6, 0), FALSE),
            0
        ) +
        IFERROR(
            VLOOKUP($A56, INDIRECT("OctR!$A$6:$ZZ$1048576"), MATCH(AY$1, OctR!$6:$6, 0), FALSE),
            0
        ) +
        IFERROR(
            VLOOKUP($A56, INDIRECT("NovR!$A$6:$ZZ$1048576"), MATCH(AY$1, NovR!$6:$6, 0), FALSE),
            0
        ) +
        IFERROR(
            VLOOKUP($A56, INDIRECT("DicR!$A$6:$ZZ$1048576"), MATCH(AY$1, DicR!$6:$6, 0), FALSE),
            0
        )
)</f>
        <v>0</v>
      </c>
      <c r="AZ56" s="35"/>
    </row>
    <row r="57" ht="15.75" customHeight="1">
      <c r="A57" s="12" t="str">
        <f>Menus!B18</f>
        <v/>
      </c>
      <c r="B57" s="32">
        <f t="shared" si="9"/>
        <v>0</v>
      </c>
      <c r="C57" s="33" t="str">
        <f t="shared" si="10"/>
        <v/>
      </c>
      <c r="D57" s="34">
        <f t="array" ref="D57">SUM(
    IFERROR(
            VLOOKUP($A57, INDIRECT("EneR!$A$6:$ZZ$1048576"), MATCH(D$1, EneR!$6:$6, 0), FALSE),
            0
        ) +
        IFERROR(
            VLOOKUP($A57, INDIRECT("FebR!$A$6:$ZZ$1048576"), MATCH(D$1, FebR!$6:$6, 0), FALSE),
            0
        ) +
        IFERROR(
            VLOOKUP($A57, INDIRECT("MarR!$A$6:$ZZ$1048576"), MATCH(D$1, MarR!$6:$6, 0), FALSE),
            0
        ) +
        IFERROR(
            VLOOKUP($A57, INDIRECT("AbrR!$A$6:$ZZ$1048576"), MATCH(D$1, AbrR!$6:$6, 0), FALSE),
            0
        ) +
        IFERROR(
            VLOOKUP($A57, INDIRECT("MayR!$A$6:$ZZ$1048576"), MATCH(D$1, MayR!$6:$6, 0), FALSE),
            0
        ) +
        IFERROR(
            VLOOKUP($A57, INDIRECT("JunR!$A$6:$ZZ$1048576"), MATCH(D$1, JunR!$6:$6, 0), FALSE),
            0
        ) +
        IFERROR(
            VLOOKUP($A57, INDIRECT("JulR!$A$6:$ZZ$1048576"), MATCH(D$1, JulR!$6:$6, 0), FALSE),
            0
        ) +
        IFERROR(
            VLOOKUP($A57, INDIRECT("AgoR!$A$6:$ZZ$1048576"), MATCH(D$1, AgoR!$6:$6, 0), FALSE),
            0
        ) +
        IFERROR(
            VLOOKUP($A57, INDIRECT("SepR!$A$6:$ZZ$1048576"), MATCH(D$1, SepR!$6:$6, 0), FALSE),
            0
        ) +
        IFERROR(
            VLOOKUP($A57, INDIRECT("OctR!$A$6:$ZZ$1048576"), MATCH(D$1, OctR!$6:$6, 0), FALSE),
            0
        ) +
        IFERROR(
            VLOOKUP($A57, INDIRECT("NovR!$A$6:$ZZ$1048576"), MATCH(D$1, NovR!$6:$6, 0), FALSE),
            0
        ) +
        IFERROR(
            VLOOKUP($A57, INDIRECT("DicR!$A$6:$ZZ$1048576"), MATCH(D$1, DicR!$6:$6, 0), FALSE),
            0
        )
)</f>
        <v>0</v>
      </c>
      <c r="E57" s="35">
        <f t="array" ref="E57">SUM(
    IFERROR(
            VLOOKUP($A57, INDIRECT("EneR!$A$6:$ZZ$1048576"), MATCH(E$1, EneR!$6:$6, 0), FALSE),
            0
        ) +
        IFERROR(
            VLOOKUP($A57, INDIRECT("FebR!$A$6:$ZZ$1048576"), MATCH(E$1, FebR!$6:$6, 0), FALSE),
            0
        ) +
        IFERROR(
            VLOOKUP($A57, INDIRECT("MarR!$A$6:$ZZ$1048576"), MATCH(E$1, MarR!$6:$6, 0), FALSE),
            0
        ) +
        IFERROR(
            VLOOKUP($A57, INDIRECT("AbrR!$A$6:$ZZ$1048576"), MATCH(E$1, AbrR!$6:$6, 0), FALSE),
            0
        ) +
        IFERROR(
            VLOOKUP($A57, INDIRECT("MayR!$A$6:$ZZ$1048576"), MATCH(E$1, MayR!$6:$6, 0), FALSE),
            0
        ) +
        IFERROR(
            VLOOKUP($A57, INDIRECT("JunR!$A$6:$ZZ$1048576"), MATCH(E$1, JunR!$6:$6, 0), FALSE),
            0
        ) +
        IFERROR(
            VLOOKUP($A57, INDIRECT("JulR!$A$6:$ZZ$1048576"), MATCH(E$1, JulR!$6:$6, 0), FALSE),
            0
        ) +
        IFERROR(
            VLOOKUP($A57, INDIRECT("AgoR!$A$6:$ZZ$1048576"), MATCH(E$1, AgoR!$6:$6, 0), FALSE),
            0
        ) +
        IFERROR(
            VLOOKUP($A57, INDIRECT("SepR!$A$6:$ZZ$1048576"), MATCH(E$1, SepR!$6:$6, 0), FALSE),
            0
        ) +
        IFERROR(
            VLOOKUP($A57, INDIRECT("OctR!$A$6:$ZZ$1048576"), MATCH(E$1, OctR!$6:$6, 0), FALSE),
            0
        ) +
        IFERROR(
            VLOOKUP($A57, INDIRECT("NovR!$A$6:$ZZ$1048576"), MATCH(E$1, NovR!$6:$6, 0), FALSE),
            0
        ) +
        IFERROR(
            VLOOKUP($A57, INDIRECT("DicR!$A$6:$ZZ$1048576"), MATCH(E$1, DicR!$6:$6, 0), FALSE),
            0
        )
)</f>
        <v>0</v>
      </c>
      <c r="F57" s="32">
        <f t="array" ref="F57">SUM(
    IFERROR(
            VLOOKUP($A57, INDIRECT("EneR!$A$6:$ZZ$1048576"), MATCH(F$1, EneR!$6:$6, 0), FALSE),
            0
        ) +
        IFERROR(
            VLOOKUP($A57, INDIRECT("FebR!$A$6:$ZZ$1048576"), MATCH(F$1, FebR!$6:$6, 0), FALSE),
            0
        ) +
        IFERROR(
            VLOOKUP($A57, INDIRECT("MarR!$A$6:$ZZ$1048576"), MATCH(F$1, MarR!$6:$6, 0), FALSE),
            0
        ) +
        IFERROR(
            VLOOKUP($A57, INDIRECT("AbrR!$A$6:$ZZ$1048576"), MATCH(F$1, AbrR!$6:$6, 0), FALSE),
            0
        ) +
        IFERROR(
            VLOOKUP($A57, INDIRECT("MayR!$A$6:$ZZ$1048576"), MATCH(F$1, MayR!$6:$6, 0), FALSE),
            0
        ) +
        IFERROR(
            VLOOKUP($A57, INDIRECT("JunR!$A$6:$ZZ$1048576"), MATCH(F$1, JunR!$6:$6, 0), FALSE),
            0
        ) +
        IFERROR(
            VLOOKUP($A57, INDIRECT("JulR!$A$6:$ZZ$1048576"), MATCH(F$1, JulR!$6:$6, 0), FALSE),
            0
        ) +
        IFERROR(
            VLOOKUP($A57, INDIRECT("AgoR!$A$6:$ZZ$1048576"), MATCH(F$1, AgoR!$6:$6, 0), FALSE),
            0
        ) +
        IFERROR(
            VLOOKUP($A57, INDIRECT("SepR!$A$6:$ZZ$1048576"), MATCH(F$1, SepR!$6:$6, 0), FALSE),
            0
        ) +
        IFERROR(
            VLOOKUP($A57, INDIRECT("OctR!$A$6:$ZZ$1048576"), MATCH(F$1, OctR!$6:$6, 0), FALSE),
            0
        ) +
        IFERROR(
            VLOOKUP($A57, INDIRECT("NovR!$A$6:$ZZ$1048576"), MATCH(F$1, NovR!$6:$6, 0), FALSE),
            0
        ) +
        IFERROR(
            VLOOKUP($A57, INDIRECT("DicR!$A$6:$ZZ$1048576"), MATCH(F$1, DicR!$6:$6, 0), FALSE),
            0
        )
)</f>
        <v>0</v>
      </c>
      <c r="G57" s="35">
        <f t="array" ref="G57">SUM(
    IFERROR(
            VLOOKUP($A57, INDIRECT("EneR!$A$6:$ZZ$1048576"), MATCH(G$1, EneR!$6:$6, 0), FALSE),
            0
        ) +
        IFERROR(
            VLOOKUP($A57, INDIRECT("FebR!$A$6:$ZZ$1048576"), MATCH(G$1, FebR!$6:$6, 0), FALSE),
            0
        ) +
        IFERROR(
            VLOOKUP($A57, INDIRECT("MarR!$A$6:$ZZ$1048576"), MATCH(G$1, MarR!$6:$6, 0), FALSE),
            0
        ) +
        IFERROR(
            VLOOKUP($A57, INDIRECT("AbrR!$A$6:$ZZ$1048576"), MATCH(G$1, AbrR!$6:$6, 0), FALSE),
            0
        ) +
        IFERROR(
            VLOOKUP($A57, INDIRECT("MayR!$A$6:$ZZ$1048576"), MATCH(G$1, MayR!$6:$6, 0), FALSE),
            0
        ) +
        IFERROR(
            VLOOKUP($A57, INDIRECT("JunR!$A$6:$ZZ$1048576"), MATCH(G$1, JunR!$6:$6, 0), FALSE),
            0
        ) +
        IFERROR(
            VLOOKUP($A57, INDIRECT("JulR!$A$6:$ZZ$1048576"), MATCH(G$1, JulR!$6:$6, 0), FALSE),
            0
        ) +
        IFERROR(
            VLOOKUP($A57, INDIRECT("AgoR!$A$6:$ZZ$1048576"), MATCH(G$1, AgoR!$6:$6, 0), FALSE),
            0
        ) +
        IFERROR(
            VLOOKUP($A57, INDIRECT("SepR!$A$6:$ZZ$1048576"), MATCH(G$1, SepR!$6:$6, 0), FALSE),
            0
        ) +
        IFERROR(
            VLOOKUP($A57, INDIRECT("OctR!$A$6:$ZZ$1048576"), MATCH(G$1, OctR!$6:$6, 0), FALSE),
            0
        ) +
        IFERROR(
            VLOOKUP($A57, INDIRECT("NovR!$A$6:$ZZ$1048576"), MATCH(G$1, NovR!$6:$6, 0), FALSE),
            0
        ) +
        IFERROR(
            VLOOKUP($A57, INDIRECT("DicR!$A$6:$ZZ$1048576"), MATCH(G$1, DicR!$6:$6, 0), FALSE),
            0
        )
)</f>
        <v>0</v>
      </c>
      <c r="H57" s="32">
        <f t="array" ref="H57">SUM(
    IFERROR(
            VLOOKUP($A57, INDIRECT("EneR!$A$6:$ZZ$1048576"), MATCH(H$1, EneR!$6:$6, 0), FALSE),
            0
        ) +
        IFERROR(
            VLOOKUP($A57, INDIRECT("FebR!$A$6:$ZZ$1048576"), MATCH(H$1, FebR!$6:$6, 0), FALSE),
            0
        ) +
        IFERROR(
            VLOOKUP($A57, INDIRECT("MarR!$A$6:$ZZ$1048576"), MATCH(H$1, MarR!$6:$6, 0), FALSE),
            0
        ) +
        IFERROR(
            VLOOKUP($A57, INDIRECT("AbrR!$A$6:$ZZ$1048576"), MATCH(H$1, AbrR!$6:$6, 0), FALSE),
            0
        ) +
        IFERROR(
            VLOOKUP($A57, INDIRECT("MayR!$A$6:$ZZ$1048576"), MATCH(H$1, MayR!$6:$6, 0), FALSE),
            0
        ) +
        IFERROR(
            VLOOKUP($A57, INDIRECT("JunR!$A$6:$ZZ$1048576"), MATCH(H$1, JunR!$6:$6, 0), FALSE),
            0
        ) +
        IFERROR(
            VLOOKUP($A57, INDIRECT("JulR!$A$6:$ZZ$1048576"), MATCH(H$1, JulR!$6:$6, 0), FALSE),
            0
        ) +
        IFERROR(
            VLOOKUP($A57, INDIRECT("AgoR!$A$6:$ZZ$1048576"), MATCH(H$1, AgoR!$6:$6, 0), FALSE),
            0
        ) +
        IFERROR(
            VLOOKUP($A57, INDIRECT("SepR!$A$6:$ZZ$1048576"), MATCH(H$1, SepR!$6:$6, 0), FALSE),
            0
        ) +
        IFERROR(
            VLOOKUP($A57, INDIRECT("OctR!$A$6:$ZZ$1048576"), MATCH(H$1, OctR!$6:$6, 0), FALSE),
            0
        ) +
        IFERROR(
            VLOOKUP($A57, INDIRECT("NovR!$A$6:$ZZ$1048576"), MATCH(H$1, NovR!$6:$6, 0), FALSE),
            0
        ) +
        IFERROR(
            VLOOKUP($A57, INDIRECT("DicR!$A$6:$ZZ$1048576"), MATCH(H$1, DicR!$6:$6, 0), FALSE),
            0
        )
)</f>
        <v>0</v>
      </c>
      <c r="I57" s="35">
        <f t="array" ref="I57">SUM(
    IFERROR(
            VLOOKUP($A57, INDIRECT("EneR!$A$6:$ZZ$1048576"), MATCH(I$1, EneR!$6:$6, 0), FALSE),
            0
        ) +
        IFERROR(
            VLOOKUP($A57, INDIRECT("FebR!$A$6:$ZZ$1048576"), MATCH(I$1, FebR!$6:$6, 0), FALSE),
            0
        ) +
        IFERROR(
            VLOOKUP($A57, INDIRECT("MarR!$A$6:$ZZ$1048576"), MATCH(I$1, MarR!$6:$6, 0), FALSE),
            0
        ) +
        IFERROR(
            VLOOKUP($A57, INDIRECT("AbrR!$A$6:$ZZ$1048576"), MATCH(I$1, AbrR!$6:$6, 0), FALSE),
            0
        ) +
        IFERROR(
            VLOOKUP($A57, INDIRECT("MayR!$A$6:$ZZ$1048576"), MATCH(I$1, MayR!$6:$6, 0), FALSE),
            0
        ) +
        IFERROR(
            VLOOKUP($A57, INDIRECT("JunR!$A$6:$ZZ$1048576"), MATCH(I$1, JunR!$6:$6, 0), FALSE),
            0
        ) +
        IFERROR(
            VLOOKUP($A57, INDIRECT("JulR!$A$6:$ZZ$1048576"), MATCH(I$1, JulR!$6:$6, 0), FALSE),
            0
        ) +
        IFERROR(
            VLOOKUP($A57, INDIRECT("AgoR!$A$6:$ZZ$1048576"), MATCH(I$1, AgoR!$6:$6, 0), FALSE),
            0
        ) +
        IFERROR(
            VLOOKUP($A57, INDIRECT("SepR!$A$6:$ZZ$1048576"), MATCH(I$1, SepR!$6:$6, 0), FALSE),
            0
        ) +
        IFERROR(
            VLOOKUP($A57, INDIRECT("OctR!$A$6:$ZZ$1048576"), MATCH(I$1, OctR!$6:$6, 0), FALSE),
            0
        ) +
        IFERROR(
            VLOOKUP($A57, INDIRECT("NovR!$A$6:$ZZ$1048576"), MATCH(I$1, NovR!$6:$6, 0), FALSE),
            0
        ) +
        IFERROR(
            VLOOKUP($A57, INDIRECT("DicR!$A$6:$ZZ$1048576"), MATCH(I$1, DicR!$6:$6, 0), FALSE),
            0
        )
)</f>
        <v>0</v>
      </c>
      <c r="J57" s="32">
        <f t="array" ref="J57">SUM(
    IFERROR(
            VLOOKUP($A57, INDIRECT("EneR!$A$6:$ZZ$1048576"), MATCH(J$1, EneR!$6:$6, 0), FALSE),
            0
        ) +
        IFERROR(
            VLOOKUP($A57, INDIRECT("FebR!$A$6:$ZZ$1048576"), MATCH(J$1, FebR!$6:$6, 0), FALSE),
            0
        ) +
        IFERROR(
            VLOOKUP($A57, INDIRECT("MarR!$A$6:$ZZ$1048576"), MATCH(J$1, MarR!$6:$6, 0), FALSE),
            0
        ) +
        IFERROR(
            VLOOKUP($A57, INDIRECT("AbrR!$A$6:$ZZ$1048576"), MATCH(J$1, AbrR!$6:$6, 0), FALSE),
            0
        ) +
        IFERROR(
            VLOOKUP($A57, INDIRECT("MayR!$A$6:$ZZ$1048576"), MATCH(J$1, MayR!$6:$6, 0), FALSE),
            0
        ) +
        IFERROR(
            VLOOKUP($A57, INDIRECT("JunR!$A$6:$ZZ$1048576"), MATCH(J$1, JunR!$6:$6, 0), FALSE),
            0
        ) +
        IFERROR(
            VLOOKUP($A57, INDIRECT("JulR!$A$6:$ZZ$1048576"), MATCH(J$1, JulR!$6:$6, 0), FALSE),
            0
        ) +
        IFERROR(
            VLOOKUP($A57, INDIRECT("AgoR!$A$6:$ZZ$1048576"), MATCH(J$1, AgoR!$6:$6, 0), FALSE),
            0
        ) +
        IFERROR(
            VLOOKUP($A57, INDIRECT("SepR!$A$6:$ZZ$1048576"), MATCH(J$1, SepR!$6:$6, 0), FALSE),
            0
        ) +
        IFERROR(
            VLOOKUP($A57, INDIRECT("OctR!$A$6:$ZZ$1048576"), MATCH(J$1, OctR!$6:$6, 0), FALSE),
            0
        ) +
        IFERROR(
            VLOOKUP($A57, INDIRECT("NovR!$A$6:$ZZ$1048576"), MATCH(J$1, NovR!$6:$6, 0), FALSE),
            0
        ) +
        IFERROR(
            VLOOKUP($A57, INDIRECT("DicR!$A$6:$ZZ$1048576"), MATCH(J$1, DicR!$6:$6, 0), FALSE),
            0
        )
)</f>
        <v>0</v>
      </c>
      <c r="K57" s="35">
        <f t="array" ref="K57">SUM(
    IFERROR(
            VLOOKUP($A57, INDIRECT("EneR!$A$6:$ZZ$1048576"), MATCH(K$1, EneR!$6:$6, 0), FALSE),
            0
        ) +
        IFERROR(
            VLOOKUP($A57, INDIRECT("FebR!$A$6:$ZZ$1048576"), MATCH(K$1, FebR!$6:$6, 0), FALSE),
            0
        ) +
        IFERROR(
            VLOOKUP($A57, INDIRECT("MarR!$A$6:$ZZ$1048576"), MATCH(K$1, MarR!$6:$6, 0), FALSE),
            0
        ) +
        IFERROR(
            VLOOKUP($A57, INDIRECT("AbrR!$A$6:$ZZ$1048576"), MATCH(K$1, AbrR!$6:$6, 0), FALSE),
            0
        ) +
        IFERROR(
            VLOOKUP($A57, INDIRECT("MayR!$A$6:$ZZ$1048576"), MATCH(K$1, MayR!$6:$6, 0), FALSE),
            0
        ) +
        IFERROR(
            VLOOKUP($A57, INDIRECT("JunR!$A$6:$ZZ$1048576"), MATCH(K$1, JunR!$6:$6, 0), FALSE),
            0
        ) +
        IFERROR(
            VLOOKUP($A57, INDIRECT("JulR!$A$6:$ZZ$1048576"), MATCH(K$1, JulR!$6:$6, 0), FALSE),
            0
        ) +
        IFERROR(
            VLOOKUP($A57, INDIRECT("AgoR!$A$6:$ZZ$1048576"), MATCH(K$1, AgoR!$6:$6, 0), FALSE),
            0
        ) +
        IFERROR(
            VLOOKUP($A57, INDIRECT("SepR!$A$6:$ZZ$1048576"), MATCH(K$1, SepR!$6:$6, 0), FALSE),
            0
        ) +
        IFERROR(
            VLOOKUP($A57, INDIRECT("OctR!$A$6:$ZZ$1048576"), MATCH(K$1, OctR!$6:$6, 0), FALSE),
            0
        ) +
        IFERROR(
            VLOOKUP($A57, INDIRECT("NovR!$A$6:$ZZ$1048576"), MATCH(K$1, NovR!$6:$6, 0), FALSE),
            0
        ) +
        IFERROR(
            VLOOKUP($A57, INDIRECT("DicR!$A$6:$ZZ$1048576"), MATCH(K$1, DicR!$6:$6, 0), FALSE),
            0
        )
)</f>
        <v>0</v>
      </c>
      <c r="L57" s="32">
        <f t="array" ref="L57">SUM(
    IFERROR(
            VLOOKUP($A57, INDIRECT("EneR!$A$6:$ZZ$1048576"), MATCH(L$1, EneR!$6:$6, 0), FALSE),
            0
        ) +
        IFERROR(
            VLOOKUP($A57, INDIRECT("FebR!$A$6:$ZZ$1048576"), MATCH(L$1, FebR!$6:$6, 0), FALSE),
            0
        ) +
        IFERROR(
            VLOOKUP($A57, INDIRECT("MarR!$A$6:$ZZ$1048576"), MATCH(L$1, MarR!$6:$6, 0), FALSE),
            0
        ) +
        IFERROR(
            VLOOKUP($A57, INDIRECT("AbrR!$A$6:$ZZ$1048576"), MATCH(L$1, AbrR!$6:$6, 0), FALSE),
            0
        ) +
        IFERROR(
            VLOOKUP($A57, INDIRECT("MayR!$A$6:$ZZ$1048576"), MATCH(L$1, MayR!$6:$6, 0), FALSE),
            0
        ) +
        IFERROR(
            VLOOKUP($A57, INDIRECT("JunR!$A$6:$ZZ$1048576"), MATCH(L$1, JunR!$6:$6, 0), FALSE),
            0
        ) +
        IFERROR(
            VLOOKUP($A57, INDIRECT("JulR!$A$6:$ZZ$1048576"), MATCH(L$1, JulR!$6:$6, 0), FALSE),
            0
        ) +
        IFERROR(
            VLOOKUP($A57, INDIRECT("AgoR!$A$6:$ZZ$1048576"), MATCH(L$1, AgoR!$6:$6, 0), FALSE),
            0
        ) +
        IFERROR(
            VLOOKUP($A57, INDIRECT("SepR!$A$6:$ZZ$1048576"), MATCH(L$1, SepR!$6:$6, 0), FALSE),
            0
        ) +
        IFERROR(
            VLOOKUP($A57, INDIRECT("OctR!$A$6:$ZZ$1048576"), MATCH(L$1, OctR!$6:$6, 0), FALSE),
            0
        ) +
        IFERROR(
            VLOOKUP($A57, INDIRECT("NovR!$A$6:$ZZ$1048576"), MATCH(L$1, NovR!$6:$6, 0), FALSE),
            0
        ) +
        IFERROR(
            VLOOKUP($A57, INDIRECT("DicR!$A$6:$ZZ$1048576"), MATCH(L$1, DicR!$6:$6, 0), FALSE),
            0
        )
)</f>
        <v>0</v>
      </c>
      <c r="M57" s="35">
        <f t="array" ref="M57">SUM(
    IFERROR(
            VLOOKUP($A57, INDIRECT("EneR!$A$6:$ZZ$1048576"), MATCH(M$1, EneR!$6:$6, 0), FALSE),
            0
        ) +
        IFERROR(
            VLOOKUP($A57, INDIRECT("FebR!$A$6:$ZZ$1048576"), MATCH(M$1, FebR!$6:$6, 0), FALSE),
            0
        ) +
        IFERROR(
            VLOOKUP($A57, INDIRECT("MarR!$A$6:$ZZ$1048576"), MATCH(M$1, MarR!$6:$6, 0), FALSE),
            0
        ) +
        IFERROR(
            VLOOKUP($A57, INDIRECT("AbrR!$A$6:$ZZ$1048576"), MATCH(M$1, AbrR!$6:$6, 0), FALSE),
            0
        ) +
        IFERROR(
            VLOOKUP($A57, INDIRECT("MayR!$A$6:$ZZ$1048576"), MATCH(M$1, MayR!$6:$6, 0), FALSE),
            0
        ) +
        IFERROR(
            VLOOKUP($A57, INDIRECT("JunR!$A$6:$ZZ$1048576"), MATCH(M$1, JunR!$6:$6, 0), FALSE),
            0
        ) +
        IFERROR(
            VLOOKUP($A57, INDIRECT("JulR!$A$6:$ZZ$1048576"), MATCH(M$1, JulR!$6:$6, 0), FALSE),
            0
        ) +
        IFERROR(
            VLOOKUP($A57, INDIRECT("AgoR!$A$6:$ZZ$1048576"), MATCH(M$1, AgoR!$6:$6, 0), FALSE),
            0
        ) +
        IFERROR(
            VLOOKUP($A57, INDIRECT("SepR!$A$6:$ZZ$1048576"), MATCH(M$1, SepR!$6:$6, 0), FALSE),
            0
        ) +
        IFERROR(
            VLOOKUP($A57, INDIRECT("OctR!$A$6:$ZZ$1048576"), MATCH(M$1, OctR!$6:$6, 0), FALSE),
            0
        ) +
        IFERROR(
            VLOOKUP($A57, INDIRECT("NovR!$A$6:$ZZ$1048576"), MATCH(M$1, NovR!$6:$6, 0), FALSE),
            0
        ) +
        IFERROR(
            VLOOKUP($A57, INDIRECT("DicR!$A$6:$ZZ$1048576"), MATCH(M$1, DicR!$6:$6, 0), FALSE),
            0
        )
)</f>
        <v>0</v>
      </c>
      <c r="N57" s="32">
        <f t="array" ref="N57">SUM(
    IFERROR(
            VLOOKUP($A57, INDIRECT("EneR!$A$6:$ZZ$1048576"), MATCH(N$1, EneR!$6:$6, 0), FALSE),
            0
        ) +
        IFERROR(
            VLOOKUP($A57, INDIRECT("FebR!$A$6:$ZZ$1048576"), MATCH(N$1, FebR!$6:$6, 0), FALSE),
            0
        ) +
        IFERROR(
            VLOOKUP($A57, INDIRECT("MarR!$A$6:$ZZ$1048576"), MATCH(N$1, MarR!$6:$6, 0), FALSE),
            0
        ) +
        IFERROR(
            VLOOKUP($A57, INDIRECT("AbrR!$A$6:$ZZ$1048576"), MATCH(N$1, AbrR!$6:$6, 0), FALSE),
            0
        ) +
        IFERROR(
            VLOOKUP($A57, INDIRECT("MayR!$A$6:$ZZ$1048576"), MATCH(N$1, MayR!$6:$6, 0), FALSE),
            0
        ) +
        IFERROR(
            VLOOKUP($A57, INDIRECT("JunR!$A$6:$ZZ$1048576"), MATCH(N$1, JunR!$6:$6, 0), FALSE),
            0
        ) +
        IFERROR(
            VLOOKUP($A57, INDIRECT("JulR!$A$6:$ZZ$1048576"), MATCH(N$1, JulR!$6:$6, 0), FALSE),
            0
        ) +
        IFERROR(
            VLOOKUP($A57, INDIRECT("AgoR!$A$6:$ZZ$1048576"), MATCH(N$1, AgoR!$6:$6, 0), FALSE),
            0
        ) +
        IFERROR(
            VLOOKUP($A57, INDIRECT("SepR!$A$6:$ZZ$1048576"), MATCH(N$1, SepR!$6:$6, 0), FALSE),
            0
        ) +
        IFERROR(
            VLOOKUP($A57, INDIRECT("OctR!$A$6:$ZZ$1048576"), MATCH(N$1, OctR!$6:$6, 0), FALSE),
            0
        ) +
        IFERROR(
            VLOOKUP($A57, INDIRECT("NovR!$A$6:$ZZ$1048576"), MATCH(N$1, NovR!$6:$6, 0), FALSE),
            0
        ) +
        IFERROR(
            VLOOKUP($A57, INDIRECT("DicR!$A$6:$ZZ$1048576"), MATCH(N$1, DicR!$6:$6, 0), FALSE),
            0
        )
)</f>
        <v>0</v>
      </c>
      <c r="O57" s="35">
        <f t="array" ref="O57">SUM(
    IFERROR(
            VLOOKUP($A57, INDIRECT("EneR!$A$6:$ZZ$1048576"), MATCH(O$1, EneR!$6:$6, 0), FALSE),
            0
        ) +
        IFERROR(
            VLOOKUP($A57, INDIRECT("FebR!$A$6:$ZZ$1048576"), MATCH(O$1, FebR!$6:$6, 0), FALSE),
            0
        ) +
        IFERROR(
            VLOOKUP($A57, INDIRECT("MarR!$A$6:$ZZ$1048576"), MATCH(O$1, MarR!$6:$6, 0), FALSE),
            0
        ) +
        IFERROR(
            VLOOKUP($A57, INDIRECT("AbrR!$A$6:$ZZ$1048576"), MATCH(O$1, AbrR!$6:$6, 0), FALSE),
            0
        ) +
        IFERROR(
            VLOOKUP($A57, INDIRECT("MayR!$A$6:$ZZ$1048576"), MATCH(O$1, MayR!$6:$6, 0), FALSE),
            0
        ) +
        IFERROR(
            VLOOKUP($A57, INDIRECT("JunR!$A$6:$ZZ$1048576"), MATCH(O$1, JunR!$6:$6, 0), FALSE),
            0
        ) +
        IFERROR(
            VLOOKUP($A57, INDIRECT("JulR!$A$6:$ZZ$1048576"), MATCH(O$1, JulR!$6:$6, 0), FALSE),
            0
        ) +
        IFERROR(
            VLOOKUP($A57, INDIRECT("AgoR!$A$6:$ZZ$1048576"), MATCH(O$1, AgoR!$6:$6, 0), FALSE),
            0
        ) +
        IFERROR(
            VLOOKUP($A57, INDIRECT("SepR!$A$6:$ZZ$1048576"), MATCH(O$1, SepR!$6:$6, 0), FALSE),
            0
        ) +
        IFERROR(
            VLOOKUP($A57, INDIRECT("OctR!$A$6:$ZZ$1048576"), MATCH(O$1, OctR!$6:$6, 0), FALSE),
            0
        ) +
        IFERROR(
            VLOOKUP($A57, INDIRECT("NovR!$A$6:$ZZ$1048576"), MATCH(O$1, NovR!$6:$6, 0), FALSE),
            0
        ) +
        IFERROR(
            VLOOKUP($A57, INDIRECT("DicR!$A$6:$ZZ$1048576"), MATCH(O$1, DicR!$6:$6, 0), FALSE),
            0
        )
)</f>
        <v>0</v>
      </c>
      <c r="P57" s="32">
        <f t="array" ref="P57">SUM(
    IFERROR(
            VLOOKUP($A57, INDIRECT("EneR!$A$6:$ZZ$1048576"), MATCH(P$1, EneR!$6:$6, 0), FALSE),
            0
        ) +
        IFERROR(
            VLOOKUP($A57, INDIRECT("FebR!$A$6:$ZZ$1048576"), MATCH(P$1, FebR!$6:$6, 0), FALSE),
            0
        ) +
        IFERROR(
            VLOOKUP($A57, INDIRECT("MarR!$A$6:$ZZ$1048576"), MATCH(P$1, MarR!$6:$6, 0), FALSE),
            0
        ) +
        IFERROR(
            VLOOKUP($A57, INDIRECT("AbrR!$A$6:$ZZ$1048576"), MATCH(P$1, AbrR!$6:$6, 0), FALSE),
            0
        ) +
        IFERROR(
            VLOOKUP($A57, INDIRECT("MayR!$A$6:$ZZ$1048576"), MATCH(P$1, MayR!$6:$6, 0), FALSE),
            0
        ) +
        IFERROR(
            VLOOKUP($A57, INDIRECT("JunR!$A$6:$ZZ$1048576"), MATCH(P$1, JunR!$6:$6, 0), FALSE),
            0
        ) +
        IFERROR(
            VLOOKUP($A57, INDIRECT("JulR!$A$6:$ZZ$1048576"), MATCH(P$1, JulR!$6:$6, 0), FALSE),
            0
        ) +
        IFERROR(
            VLOOKUP($A57, INDIRECT("AgoR!$A$6:$ZZ$1048576"), MATCH(P$1, AgoR!$6:$6, 0), FALSE),
            0
        ) +
        IFERROR(
            VLOOKUP($A57, INDIRECT("SepR!$A$6:$ZZ$1048576"), MATCH(P$1, SepR!$6:$6, 0), FALSE),
            0
        ) +
        IFERROR(
            VLOOKUP($A57, INDIRECT("OctR!$A$6:$ZZ$1048576"), MATCH(P$1, OctR!$6:$6, 0), FALSE),
            0
        ) +
        IFERROR(
            VLOOKUP($A57, INDIRECT("NovR!$A$6:$ZZ$1048576"), MATCH(P$1, NovR!$6:$6, 0), FALSE),
            0
        ) +
        IFERROR(
            VLOOKUP($A57, INDIRECT("DicR!$A$6:$ZZ$1048576"), MATCH(P$1, DicR!$6:$6, 0), FALSE),
            0
        )
)</f>
        <v>0</v>
      </c>
      <c r="Q57" s="35">
        <f t="array" ref="Q57">SUM(
    IFERROR(
            VLOOKUP($A57, INDIRECT("EneR!$A$6:$ZZ$1048576"), MATCH(Q$1, EneR!$6:$6, 0), FALSE),
            0
        ) +
        IFERROR(
            VLOOKUP($A57, INDIRECT("FebR!$A$6:$ZZ$1048576"), MATCH(Q$1, FebR!$6:$6, 0), FALSE),
            0
        ) +
        IFERROR(
            VLOOKUP($A57, INDIRECT("MarR!$A$6:$ZZ$1048576"), MATCH(Q$1, MarR!$6:$6, 0), FALSE),
            0
        ) +
        IFERROR(
            VLOOKUP($A57, INDIRECT("AbrR!$A$6:$ZZ$1048576"), MATCH(Q$1, AbrR!$6:$6, 0), FALSE),
            0
        ) +
        IFERROR(
            VLOOKUP($A57, INDIRECT("MayR!$A$6:$ZZ$1048576"), MATCH(Q$1, MayR!$6:$6, 0), FALSE),
            0
        ) +
        IFERROR(
            VLOOKUP($A57, INDIRECT("JunR!$A$6:$ZZ$1048576"), MATCH(Q$1, JunR!$6:$6, 0), FALSE),
            0
        ) +
        IFERROR(
            VLOOKUP($A57, INDIRECT("JulR!$A$6:$ZZ$1048576"), MATCH(Q$1, JulR!$6:$6, 0), FALSE),
            0
        ) +
        IFERROR(
            VLOOKUP($A57, INDIRECT("AgoR!$A$6:$ZZ$1048576"), MATCH(Q$1, AgoR!$6:$6, 0), FALSE),
            0
        ) +
        IFERROR(
            VLOOKUP($A57, INDIRECT("SepR!$A$6:$ZZ$1048576"), MATCH(Q$1, SepR!$6:$6, 0), FALSE),
            0
        ) +
        IFERROR(
            VLOOKUP($A57, INDIRECT("OctR!$A$6:$ZZ$1048576"), MATCH(Q$1, OctR!$6:$6, 0), FALSE),
            0
        ) +
        IFERROR(
            VLOOKUP($A57, INDIRECT("NovR!$A$6:$ZZ$1048576"), MATCH(Q$1, NovR!$6:$6, 0), FALSE),
            0
        ) +
        IFERROR(
            VLOOKUP($A57, INDIRECT("DicR!$A$6:$ZZ$1048576"), MATCH(Q$1, DicR!$6:$6, 0), FALSE),
            0
        )
)</f>
        <v>0</v>
      </c>
      <c r="R57" s="36">
        <f t="array" ref="R57">SUM(
    IFERROR(
            VLOOKUP($A57, INDIRECT("EneR!$A$6:$ZZ$1048576"), MATCH(R$1, EneR!$6:$6, 0), FALSE),
            0
        ) +
        IFERROR(
            VLOOKUP($A57, INDIRECT("FebR!$A$6:$ZZ$1048576"), MATCH(R$1, FebR!$6:$6, 0), FALSE),
            0
        ) +
        IFERROR(
            VLOOKUP($A57, INDIRECT("MarR!$A$6:$ZZ$1048576"), MATCH(R$1, MarR!$6:$6, 0), FALSE),
            0
        ) +
        IFERROR(
            VLOOKUP($A57, INDIRECT("AbrR!$A$6:$ZZ$1048576"), MATCH(R$1, AbrR!$6:$6, 0), FALSE),
            0
        ) +
        IFERROR(
            VLOOKUP($A57, INDIRECT("MayR!$A$6:$ZZ$1048576"), MATCH(R$1, MayR!$6:$6, 0), FALSE),
            0
        ) +
        IFERROR(
            VLOOKUP($A57, INDIRECT("JunR!$A$6:$ZZ$1048576"), MATCH(R$1, JunR!$6:$6, 0), FALSE),
            0
        ) +
        IFERROR(
            VLOOKUP($A57, INDIRECT("JulR!$A$6:$ZZ$1048576"), MATCH(R$1, JulR!$6:$6, 0), FALSE),
            0
        ) +
        IFERROR(
            VLOOKUP($A57, INDIRECT("AgoR!$A$6:$ZZ$1048576"), MATCH(R$1, AgoR!$6:$6, 0), FALSE),
            0
        ) +
        IFERROR(
            VLOOKUP($A57, INDIRECT("SepR!$A$6:$ZZ$1048576"), MATCH(R$1, SepR!$6:$6, 0), FALSE),
            0
        ) +
        IFERROR(
            VLOOKUP($A57, INDIRECT("OctR!$A$6:$ZZ$1048576"), MATCH(R$1, OctR!$6:$6, 0), FALSE),
            0
        ) +
        IFERROR(
            VLOOKUP($A57, INDIRECT("NovR!$A$6:$ZZ$1048576"), MATCH(R$1, NovR!$6:$6, 0), FALSE),
            0
        ) +
        IFERROR(
            VLOOKUP($A57, INDIRECT("DicR!$A$6:$ZZ$1048576"), MATCH(R$1, DicR!$6:$6, 0), FALSE),
            0
        )
)</f>
        <v>0</v>
      </c>
      <c r="S57" s="37">
        <f t="array" ref="S57">SUM(
    IFERROR(
            VLOOKUP($A57, INDIRECT("EneR!$A$6:$ZZ$1048576"), MATCH(S$1, EneR!$6:$6, 0), FALSE),
            0
        ) +
        IFERROR(
            VLOOKUP($A57, INDIRECT("FebR!$A$6:$ZZ$1048576"), MATCH(S$1, FebR!$6:$6, 0), FALSE),
            0
        ) +
        IFERROR(
            VLOOKUP($A57, INDIRECT("MarR!$A$6:$ZZ$1048576"), MATCH(S$1, MarR!$6:$6, 0), FALSE),
            0
        ) +
        IFERROR(
            VLOOKUP($A57, INDIRECT("AbrR!$A$6:$ZZ$1048576"), MATCH(S$1, AbrR!$6:$6, 0), FALSE),
            0
        ) +
        IFERROR(
            VLOOKUP($A57, INDIRECT("MayR!$A$6:$ZZ$1048576"), MATCH(S$1, MayR!$6:$6, 0), FALSE),
            0
        ) +
        IFERROR(
            VLOOKUP($A57, INDIRECT("JunR!$A$6:$ZZ$1048576"), MATCH(S$1, JunR!$6:$6, 0), FALSE),
            0
        ) +
        IFERROR(
            VLOOKUP($A57, INDIRECT("JulR!$A$6:$ZZ$1048576"), MATCH(S$1, JulR!$6:$6, 0), FALSE),
            0
        ) +
        IFERROR(
            VLOOKUP($A57, INDIRECT("AgoR!$A$6:$ZZ$1048576"), MATCH(S$1, AgoR!$6:$6, 0), FALSE),
            0
        ) +
        IFERROR(
            VLOOKUP($A57, INDIRECT("SepR!$A$6:$ZZ$1048576"), MATCH(S$1, SepR!$6:$6, 0), FALSE),
            0
        ) +
        IFERROR(
            VLOOKUP($A57, INDIRECT("OctR!$A$6:$ZZ$1048576"), MATCH(S$1, OctR!$6:$6, 0), FALSE),
            0
        ) +
        IFERROR(
            VLOOKUP($A57, INDIRECT("NovR!$A$6:$ZZ$1048576"), MATCH(S$1, NovR!$6:$6, 0), FALSE),
            0
        ) +
        IFERROR(
            VLOOKUP($A57, INDIRECT("DicR!$A$6:$ZZ$1048576"), MATCH(S$1, DicR!$6:$6, 0), FALSE),
            0
        )
)</f>
        <v>0</v>
      </c>
      <c r="T57" s="36">
        <f t="array" ref="T57">SUM(
    IFERROR(
            VLOOKUP($A57, INDIRECT("EneR!$A$6:$ZZ$1048576"), MATCH(T$1, EneR!$6:$6, 0), FALSE),
            0
        ) +
        IFERROR(
            VLOOKUP($A57, INDIRECT("FebR!$A$6:$ZZ$1048576"), MATCH(T$1, FebR!$6:$6, 0), FALSE),
            0
        ) +
        IFERROR(
            VLOOKUP($A57, INDIRECT("MarR!$A$6:$ZZ$1048576"), MATCH(T$1, MarR!$6:$6, 0), FALSE),
            0
        ) +
        IFERROR(
            VLOOKUP($A57, INDIRECT("AbrR!$A$6:$ZZ$1048576"), MATCH(T$1, AbrR!$6:$6, 0), FALSE),
            0
        ) +
        IFERROR(
            VLOOKUP($A57, INDIRECT("MayR!$A$6:$ZZ$1048576"), MATCH(T$1, MayR!$6:$6, 0), FALSE),
            0
        ) +
        IFERROR(
            VLOOKUP($A57, INDIRECT("JunR!$A$6:$ZZ$1048576"), MATCH(T$1, JunR!$6:$6, 0), FALSE),
            0
        ) +
        IFERROR(
            VLOOKUP($A57, INDIRECT("JulR!$A$6:$ZZ$1048576"), MATCH(T$1, JulR!$6:$6, 0), FALSE),
            0
        ) +
        IFERROR(
            VLOOKUP($A57, INDIRECT("AgoR!$A$6:$ZZ$1048576"), MATCH(T$1, AgoR!$6:$6, 0), FALSE),
            0
        ) +
        IFERROR(
            VLOOKUP($A57, INDIRECT("SepR!$A$6:$ZZ$1048576"), MATCH(T$1, SepR!$6:$6, 0), FALSE),
            0
        ) +
        IFERROR(
            VLOOKUP($A57, INDIRECT("OctR!$A$6:$ZZ$1048576"), MATCH(T$1, OctR!$6:$6, 0), FALSE),
            0
        ) +
        IFERROR(
            VLOOKUP($A57, INDIRECT("NovR!$A$6:$ZZ$1048576"), MATCH(T$1, NovR!$6:$6, 0), FALSE),
            0
        ) +
        IFERROR(
            VLOOKUP($A57, INDIRECT("DicR!$A$6:$ZZ$1048576"), MATCH(T$1, DicR!$6:$6, 0), FALSE),
            0
        )
)</f>
        <v>0</v>
      </c>
      <c r="U57" s="37">
        <f t="array" ref="U57">SUM(
    IFERROR(
            VLOOKUP($A57, INDIRECT("EneR!$A$6:$ZZ$1048576"), MATCH(U$1, EneR!$6:$6, 0), FALSE),
            0
        ) +
        IFERROR(
            VLOOKUP($A57, INDIRECT("FebR!$A$6:$ZZ$1048576"), MATCH(U$1, FebR!$6:$6, 0), FALSE),
            0
        ) +
        IFERROR(
            VLOOKUP($A57, INDIRECT("MarR!$A$6:$ZZ$1048576"), MATCH(U$1, MarR!$6:$6, 0), FALSE),
            0
        ) +
        IFERROR(
            VLOOKUP($A57, INDIRECT("AbrR!$A$6:$ZZ$1048576"), MATCH(U$1, AbrR!$6:$6, 0), FALSE),
            0
        ) +
        IFERROR(
            VLOOKUP($A57, INDIRECT("MayR!$A$6:$ZZ$1048576"), MATCH(U$1, MayR!$6:$6, 0), FALSE),
            0
        ) +
        IFERROR(
            VLOOKUP($A57, INDIRECT("JunR!$A$6:$ZZ$1048576"), MATCH(U$1, JunR!$6:$6, 0), FALSE),
            0
        ) +
        IFERROR(
            VLOOKUP($A57, INDIRECT("JulR!$A$6:$ZZ$1048576"), MATCH(U$1, JulR!$6:$6, 0), FALSE),
            0
        ) +
        IFERROR(
            VLOOKUP($A57, INDIRECT("AgoR!$A$6:$ZZ$1048576"), MATCH(U$1, AgoR!$6:$6, 0), FALSE),
            0
        ) +
        IFERROR(
            VLOOKUP($A57, INDIRECT("SepR!$A$6:$ZZ$1048576"), MATCH(U$1, SepR!$6:$6, 0), FALSE),
            0
        ) +
        IFERROR(
            VLOOKUP($A57, INDIRECT("OctR!$A$6:$ZZ$1048576"), MATCH(U$1, OctR!$6:$6, 0), FALSE),
            0
        ) +
        IFERROR(
            VLOOKUP($A57, INDIRECT("NovR!$A$6:$ZZ$1048576"), MATCH(U$1, NovR!$6:$6, 0), FALSE),
            0
        ) +
        IFERROR(
            VLOOKUP($A57, INDIRECT("DicR!$A$6:$ZZ$1048576"), MATCH(U$1, DicR!$6:$6, 0), FALSE),
            0
        )
)</f>
        <v>0</v>
      </c>
      <c r="V57" s="36">
        <f t="array" ref="V57">SUM(
    IFERROR(
            VLOOKUP($A57, INDIRECT("EneR!$A$6:$ZZ$1048576"), MATCH(V$1, EneR!$6:$6, 0), FALSE),
            0
        ) +
        IFERROR(
            VLOOKUP($A57, INDIRECT("FebR!$A$6:$ZZ$1048576"), MATCH(V$1, FebR!$6:$6, 0), FALSE),
            0
        ) +
        IFERROR(
            VLOOKUP($A57, INDIRECT("MarR!$A$6:$ZZ$1048576"), MATCH(V$1, MarR!$6:$6, 0), FALSE),
            0
        ) +
        IFERROR(
            VLOOKUP($A57, INDIRECT("AbrR!$A$6:$ZZ$1048576"), MATCH(V$1, AbrR!$6:$6, 0), FALSE),
            0
        ) +
        IFERROR(
            VLOOKUP($A57, INDIRECT("MayR!$A$6:$ZZ$1048576"), MATCH(V$1, MayR!$6:$6, 0), FALSE),
            0
        ) +
        IFERROR(
            VLOOKUP($A57, INDIRECT("JunR!$A$6:$ZZ$1048576"), MATCH(V$1, JunR!$6:$6, 0), FALSE),
            0
        ) +
        IFERROR(
            VLOOKUP($A57, INDIRECT("JulR!$A$6:$ZZ$1048576"), MATCH(V$1, JulR!$6:$6, 0), FALSE),
            0
        ) +
        IFERROR(
            VLOOKUP($A57, INDIRECT("AgoR!$A$6:$ZZ$1048576"), MATCH(V$1, AgoR!$6:$6, 0), FALSE),
            0
        ) +
        IFERROR(
            VLOOKUP($A57, INDIRECT("SepR!$A$6:$ZZ$1048576"), MATCH(V$1, SepR!$6:$6, 0), FALSE),
            0
        ) +
        IFERROR(
            VLOOKUP($A57, INDIRECT("OctR!$A$6:$ZZ$1048576"), MATCH(V$1, OctR!$6:$6, 0), FALSE),
            0
        ) +
        IFERROR(
            VLOOKUP($A57, INDIRECT("NovR!$A$6:$ZZ$1048576"), MATCH(V$1, NovR!$6:$6, 0), FALSE),
            0
        ) +
        IFERROR(
            VLOOKUP($A57, INDIRECT("DicR!$A$6:$ZZ$1048576"), MATCH(V$1, DicR!$6:$6, 0), FALSE),
            0
        )
)</f>
        <v>0</v>
      </c>
      <c r="W57" s="37">
        <f t="array" ref="W57">SUM(
    IFERROR(
            VLOOKUP($A57, INDIRECT("EneR!$A$6:$ZZ$1048576"), MATCH(W$1, EneR!$6:$6, 0), FALSE),
            0
        ) +
        IFERROR(
            VLOOKUP($A57, INDIRECT("FebR!$A$6:$ZZ$1048576"), MATCH(W$1, FebR!$6:$6, 0), FALSE),
            0
        ) +
        IFERROR(
            VLOOKUP($A57, INDIRECT("MarR!$A$6:$ZZ$1048576"), MATCH(W$1, MarR!$6:$6, 0), FALSE),
            0
        ) +
        IFERROR(
            VLOOKUP($A57, INDIRECT("AbrR!$A$6:$ZZ$1048576"), MATCH(W$1, AbrR!$6:$6, 0), FALSE),
            0
        ) +
        IFERROR(
            VLOOKUP($A57, INDIRECT("MayR!$A$6:$ZZ$1048576"), MATCH(W$1, MayR!$6:$6, 0), FALSE),
            0
        ) +
        IFERROR(
            VLOOKUP($A57, INDIRECT("JunR!$A$6:$ZZ$1048576"), MATCH(W$1, JunR!$6:$6, 0), FALSE),
            0
        ) +
        IFERROR(
            VLOOKUP($A57, INDIRECT("JulR!$A$6:$ZZ$1048576"), MATCH(W$1, JulR!$6:$6, 0), FALSE),
            0
        ) +
        IFERROR(
            VLOOKUP($A57, INDIRECT("AgoR!$A$6:$ZZ$1048576"), MATCH(W$1, AgoR!$6:$6, 0), FALSE),
            0
        ) +
        IFERROR(
            VLOOKUP($A57, INDIRECT("SepR!$A$6:$ZZ$1048576"), MATCH(W$1, SepR!$6:$6, 0), FALSE),
            0
        ) +
        IFERROR(
            VLOOKUP($A57, INDIRECT("OctR!$A$6:$ZZ$1048576"), MATCH(W$1, OctR!$6:$6, 0), FALSE),
            0
        ) +
        IFERROR(
            VLOOKUP($A57, INDIRECT("NovR!$A$6:$ZZ$1048576"), MATCH(W$1, NovR!$6:$6, 0), FALSE),
            0
        ) +
        IFERROR(
            VLOOKUP($A57, INDIRECT("DicR!$A$6:$ZZ$1048576"), MATCH(W$1, DicR!$6:$6, 0), FALSE),
            0
        )
)</f>
        <v>0</v>
      </c>
      <c r="X57" s="36">
        <f t="array" ref="X57">SUM(
    IFERROR(
            VLOOKUP($A57, INDIRECT("EneR!$A$6:$ZZ$1048576"), MATCH(X$1, EneR!$6:$6, 0), FALSE),
            0
        ) +
        IFERROR(
            VLOOKUP($A57, INDIRECT("FebR!$A$6:$ZZ$1048576"), MATCH(X$1, FebR!$6:$6, 0), FALSE),
            0
        ) +
        IFERROR(
            VLOOKUP($A57, INDIRECT("MarR!$A$6:$ZZ$1048576"), MATCH(X$1, MarR!$6:$6, 0), FALSE),
            0
        ) +
        IFERROR(
            VLOOKUP($A57, INDIRECT("AbrR!$A$6:$ZZ$1048576"), MATCH(X$1, AbrR!$6:$6, 0), FALSE),
            0
        ) +
        IFERROR(
            VLOOKUP($A57, INDIRECT("MayR!$A$6:$ZZ$1048576"), MATCH(X$1, MayR!$6:$6, 0), FALSE),
            0
        ) +
        IFERROR(
            VLOOKUP($A57, INDIRECT("JunR!$A$6:$ZZ$1048576"), MATCH(X$1, JunR!$6:$6, 0), FALSE),
            0
        ) +
        IFERROR(
            VLOOKUP($A57, INDIRECT("JulR!$A$6:$ZZ$1048576"), MATCH(X$1, JulR!$6:$6, 0), FALSE),
            0
        ) +
        IFERROR(
            VLOOKUP($A57, INDIRECT("AgoR!$A$6:$ZZ$1048576"), MATCH(X$1, AgoR!$6:$6, 0), FALSE),
            0
        ) +
        IFERROR(
            VLOOKUP($A57, INDIRECT("SepR!$A$6:$ZZ$1048576"), MATCH(X$1, SepR!$6:$6, 0), FALSE),
            0
        ) +
        IFERROR(
            VLOOKUP($A57, INDIRECT("OctR!$A$6:$ZZ$1048576"), MATCH(X$1, OctR!$6:$6, 0), FALSE),
            0
        ) +
        IFERROR(
            VLOOKUP($A57, INDIRECT("NovR!$A$6:$ZZ$1048576"), MATCH(X$1, NovR!$6:$6, 0), FALSE),
            0
        ) +
        IFERROR(
            VLOOKUP($A57, INDIRECT("DicR!$A$6:$ZZ$1048576"), MATCH(X$1, DicR!$6:$6, 0), FALSE),
            0
        )
)</f>
        <v>0</v>
      </c>
      <c r="Y57" s="37">
        <f t="array" ref="Y57">SUM(
    IFERROR(
            VLOOKUP($A57, INDIRECT("EneR!$A$6:$ZZ$1048576"), MATCH(Y$1, EneR!$6:$6, 0), FALSE),
            0
        ) +
        IFERROR(
            VLOOKUP($A57, INDIRECT("FebR!$A$6:$ZZ$1048576"), MATCH(Y$1, FebR!$6:$6, 0), FALSE),
            0
        ) +
        IFERROR(
            VLOOKUP($A57, INDIRECT("MarR!$A$6:$ZZ$1048576"), MATCH(Y$1, MarR!$6:$6, 0), FALSE),
            0
        ) +
        IFERROR(
            VLOOKUP($A57, INDIRECT("AbrR!$A$6:$ZZ$1048576"), MATCH(Y$1, AbrR!$6:$6, 0), FALSE),
            0
        ) +
        IFERROR(
            VLOOKUP($A57, INDIRECT("MayR!$A$6:$ZZ$1048576"), MATCH(Y$1, MayR!$6:$6, 0), FALSE),
            0
        ) +
        IFERROR(
            VLOOKUP($A57, INDIRECT("JunR!$A$6:$ZZ$1048576"), MATCH(Y$1, JunR!$6:$6, 0), FALSE),
            0
        ) +
        IFERROR(
            VLOOKUP($A57, INDIRECT("JulR!$A$6:$ZZ$1048576"), MATCH(Y$1, JulR!$6:$6, 0), FALSE),
            0
        ) +
        IFERROR(
            VLOOKUP($A57, INDIRECT("AgoR!$A$6:$ZZ$1048576"), MATCH(Y$1, AgoR!$6:$6, 0), FALSE),
            0
        ) +
        IFERROR(
            VLOOKUP($A57, INDIRECT("SepR!$A$6:$ZZ$1048576"), MATCH(Y$1, SepR!$6:$6, 0), FALSE),
            0
        ) +
        IFERROR(
            VLOOKUP($A57, INDIRECT("OctR!$A$6:$ZZ$1048576"), MATCH(Y$1, OctR!$6:$6, 0), FALSE),
            0
        ) +
        IFERROR(
            VLOOKUP($A57, INDIRECT("NovR!$A$6:$ZZ$1048576"), MATCH(Y$1, NovR!$6:$6, 0), FALSE),
            0
        ) +
        IFERROR(
            VLOOKUP($A57, INDIRECT("DicR!$A$6:$ZZ$1048576"), MATCH(Y$1, DicR!$6:$6, 0), FALSE),
            0
        )
)</f>
        <v>0</v>
      </c>
      <c r="Z57" s="36">
        <f t="array" ref="Z57">SUM(
    IFERROR(
            VLOOKUP($A57, INDIRECT("EneR!$A$6:$ZZ$1048576"), MATCH(Z$1, EneR!$6:$6, 0), FALSE),
            0
        ) +
        IFERROR(
            VLOOKUP($A57, INDIRECT("FebR!$A$6:$ZZ$1048576"), MATCH(Z$1, FebR!$6:$6, 0), FALSE),
            0
        ) +
        IFERROR(
            VLOOKUP($A57, INDIRECT("MarR!$A$6:$ZZ$1048576"), MATCH(Z$1, MarR!$6:$6, 0), FALSE),
            0
        ) +
        IFERROR(
            VLOOKUP($A57, INDIRECT("AbrR!$A$6:$ZZ$1048576"), MATCH(Z$1, AbrR!$6:$6, 0), FALSE),
            0
        ) +
        IFERROR(
            VLOOKUP($A57, INDIRECT("MayR!$A$6:$ZZ$1048576"), MATCH(Z$1, MayR!$6:$6, 0), FALSE),
            0
        ) +
        IFERROR(
            VLOOKUP($A57, INDIRECT("JunR!$A$6:$ZZ$1048576"), MATCH(Z$1, JunR!$6:$6, 0), FALSE),
            0
        ) +
        IFERROR(
            VLOOKUP($A57, INDIRECT("JulR!$A$6:$ZZ$1048576"), MATCH(Z$1, JulR!$6:$6, 0), FALSE),
            0
        ) +
        IFERROR(
            VLOOKUP($A57, INDIRECT("AgoR!$A$6:$ZZ$1048576"), MATCH(Z$1, AgoR!$6:$6, 0), FALSE),
            0
        ) +
        IFERROR(
            VLOOKUP($A57, INDIRECT("SepR!$A$6:$ZZ$1048576"), MATCH(Z$1, SepR!$6:$6, 0), FALSE),
            0
        ) +
        IFERROR(
            VLOOKUP($A57, INDIRECT("OctR!$A$6:$ZZ$1048576"), MATCH(Z$1, OctR!$6:$6, 0), FALSE),
            0
        ) +
        IFERROR(
            VLOOKUP($A57, INDIRECT("NovR!$A$6:$ZZ$1048576"), MATCH(Z$1, NovR!$6:$6, 0), FALSE),
            0
        ) +
        IFERROR(
            VLOOKUP($A57, INDIRECT("DicR!$A$6:$ZZ$1048576"), MATCH(Z$1, DicR!$6:$6, 0), FALSE),
            0
        )
)</f>
        <v>0</v>
      </c>
      <c r="AA57" s="37">
        <f t="array" ref="AA57">SUM(
    IFERROR(
            VLOOKUP($A57, INDIRECT("EneR!$A$6:$ZZ$1048576"), MATCH(AA$1, EneR!$6:$6, 0), FALSE),
            0
        ) +
        IFERROR(
            VLOOKUP($A57, INDIRECT("FebR!$A$6:$ZZ$1048576"), MATCH(AA$1, FebR!$6:$6, 0), FALSE),
            0
        ) +
        IFERROR(
            VLOOKUP($A57, INDIRECT("MarR!$A$6:$ZZ$1048576"), MATCH(AA$1, MarR!$6:$6, 0), FALSE),
            0
        ) +
        IFERROR(
            VLOOKUP($A57, INDIRECT("AbrR!$A$6:$ZZ$1048576"), MATCH(AA$1, AbrR!$6:$6, 0), FALSE),
            0
        ) +
        IFERROR(
            VLOOKUP($A57, INDIRECT("MayR!$A$6:$ZZ$1048576"), MATCH(AA$1, MayR!$6:$6, 0), FALSE),
            0
        ) +
        IFERROR(
            VLOOKUP($A57, INDIRECT("JunR!$A$6:$ZZ$1048576"), MATCH(AA$1, JunR!$6:$6, 0), FALSE),
            0
        ) +
        IFERROR(
            VLOOKUP($A57, INDIRECT("JulR!$A$6:$ZZ$1048576"), MATCH(AA$1, JulR!$6:$6, 0), FALSE),
            0
        ) +
        IFERROR(
            VLOOKUP($A57, INDIRECT("AgoR!$A$6:$ZZ$1048576"), MATCH(AA$1, AgoR!$6:$6, 0), FALSE),
            0
        ) +
        IFERROR(
            VLOOKUP($A57, INDIRECT("SepR!$A$6:$ZZ$1048576"), MATCH(AA$1, SepR!$6:$6, 0), FALSE),
            0
        ) +
        IFERROR(
            VLOOKUP($A57, INDIRECT("OctR!$A$6:$ZZ$1048576"), MATCH(AA$1, OctR!$6:$6, 0), FALSE),
            0
        ) +
        IFERROR(
            VLOOKUP($A57, INDIRECT("NovR!$A$6:$ZZ$1048576"), MATCH(AA$1, NovR!$6:$6, 0), FALSE),
            0
        ) +
        IFERROR(
            VLOOKUP($A57, INDIRECT("DicR!$A$6:$ZZ$1048576"), MATCH(AA$1, DicR!$6:$6, 0), FALSE),
            0
        )
)</f>
        <v>0</v>
      </c>
      <c r="AB57" s="36">
        <f t="array" ref="AB57">SUM(
    IFERROR(
            VLOOKUP($A57, INDIRECT("EneR!$A$6:$ZZ$1048576"), MATCH(AB$1, EneR!$6:$6, 0), FALSE),
            0
        ) +
        IFERROR(
            VLOOKUP($A57, INDIRECT("FebR!$A$6:$ZZ$1048576"), MATCH(AB$1, FebR!$6:$6, 0), FALSE),
            0
        ) +
        IFERROR(
            VLOOKUP($A57, INDIRECT("MarR!$A$6:$ZZ$1048576"), MATCH(AB$1, MarR!$6:$6, 0), FALSE),
            0
        ) +
        IFERROR(
            VLOOKUP($A57, INDIRECT("AbrR!$A$6:$ZZ$1048576"), MATCH(AB$1, AbrR!$6:$6, 0), FALSE),
            0
        ) +
        IFERROR(
            VLOOKUP($A57, INDIRECT("MayR!$A$6:$ZZ$1048576"), MATCH(AB$1, MayR!$6:$6, 0), FALSE),
            0
        ) +
        IFERROR(
            VLOOKUP($A57, INDIRECT("JunR!$A$6:$ZZ$1048576"), MATCH(AB$1, JunR!$6:$6, 0), FALSE),
            0
        ) +
        IFERROR(
            VLOOKUP($A57, INDIRECT("JulR!$A$6:$ZZ$1048576"), MATCH(AB$1, JulR!$6:$6, 0), FALSE),
            0
        ) +
        IFERROR(
            VLOOKUP($A57, INDIRECT("AgoR!$A$6:$ZZ$1048576"), MATCH(AB$1, AgoR!$6:$6, 0), FALSE),
            0
        ) +
        IFERROR(
            VLOOKUP($A57, INDIRECT("SepR!$A$6:$ZZ$1048576"), MATCH(AB$1, SepR!$6:$6, 0), FALSE),
            0
        ) +
        IFERROR(
            VLOOKUP($A57, INDIRECT("OctR!$A$6:$ZZ$1048576"), MATCH(AB$1, OctR!$6:$6, 0), FALSE),
            0
        ) +
        IFERROR(
            VLOOKUP($A57, INDIRECT("NovR!$A$6:$ZZ$1048576"), MATCH(AB$1, NovR!$6:$6, 0), FALSE),
            0
        ) +
        IFERROR(
            VLOOKUP($A57, INDIRECT("DicR!$A$6:$ZZ$1048576"), MATCH(AB$1, DicR!$6:$6, 0), FALSE),
            0
        )
)</f>
        <v>0</v>
      </c>
      <c r="AC57" s="37">
        <f t="array" ref="AC57">SUM(
    IFERROR(
            VLOOKUP($A57, INDIRECT("EneR!$A$6:$ZZ$1048576"), MATCH(AC$1, EneR!$6:$6, 0), FALSE),
            0
        ) +
        IFERROR(
            VLOOKUP($A57, INDIRECT("FebR!$A$6:$ZZ$1048576"), MATCH(AC$1, FebR!$6:$6, 0), FALSE),
            0
        ) +
        IFERROR(
            VLOOKUP($A57, INDIRECT("MarR!$A$6:$ZZ$1048576"), MATCH(AC$1, MarR!$6:$6, 0), FALSE),
            0
        ) +
        IFERROR(
            VLOOKUP($A57, INDIRECT("AbrR!$A$6:$ZZ$1048576"), MATCH(AC$1, AbrR!$6:$6, 0), FALSE),
            0
        ) +
        IFERROR(
            VLOOKUP($A57, INDIRECT("MayR!$A$6:$ZZ$1048576"), MATCH(AC$1, MayR!$6:$6, 0), FALSE),
            0
        ) +
        IFERROR(
            VLOOKUP($A57, INDIRECT("JunR!$A$6:$ZZ$1048576"), MATCH(AC$1, JunR!$6:$6, 0), FALSE),
            0
        ) +
        IFERROR(
            VLOOKUP($A57, INDIRECT("JulR!$A$6:$ZZ$1048576"), MATCH(AC$1, JulR!$6:$6, 0), FALSE),
            0
        ) +
        IFERROR(
            VLOOKUP($A57, INDIRECT("AgoR!$A$6:$ZZ$1048576"), MATCH(AC$1, AgoR!$6:$6, 0), FALSE),
            0
        ) +
        IFERROR(
            VLOOKUP($A57, INDIRECT("SepR!$A$6:$ZZ$1048576"), MATCH(AC$1, SepR!$6:$6, 0), FALSE),
            0
        ) +
        IFERROR(
            VLOOKUP($A57, INDIRECT("OctR!$A$6:$ZZ$1048576"), MATCH(AC$1, OctR!$6:$6, 0), FALSE),
            0
        ) +
        IFERROR(
            VLOOKUP($A57, INDIRECT("NovR!$A$6:$ZZ$1048576"), MATCH(AC$1, NovR!$6:$6, 0), FALSE),
            0
        ) +
        IFERROR(
            VLOOKUP($A57, INDIRECT("DicR!$A$6:$ZZ$1048576"), MATCH(AC$1, DicR!$6:$6, 0), FALSE),
            0
        )
)</f>
        <v>0</v>
      </c>
      <c r="AD57" s="36">
        <f t="array" ref="AD57">SUM(
    IFERROR(
            VLOOKUP($A57, INDIRECT("EneR!$A$6:$ZZ$1048576"), MATCH(AD$1, EneR!$6:$6, 0), FALSE),
            0
        ) +
        IFERROR(
            VLOOKUP($A57, INDIRECT("FebR!$A$6:$ZZ$1048576"), MATCH(AD$1, FebR!$6:$6, 0), FALSE),
            0
        ) +
        IFERROR(
            VLOOKUP($A57, INDIRECT("MarR!$A$6:$ZZ$1048576"), MATCH(AD$1, MarR!$6:$6, 0), FALSE),
            0
        ) +
        IFERROR(
            VLOOKUP($A57, INDIRECT("AbrR!$A$6:$ZZ$1048576"), MATCH(AD$1, AbrR!$6:$6, 0), FALSE),
            0
        ) +
        IFERROR(
            VLOOKUP($A57, INDIRECT("MayR!$A$6:$ZZ$1048576"), MATCH(AD$1, MayR!$6:$6, 0), FALSE),
            0
        ) +
        IFERROR(
            VLOOKUP($A57, INDIRECT("JunR!$A$6:$ZZ$1048576"), MATCH(AD$1, JunR!$6:$6, 0), FALSE),
            0
        ) +
        IFERROR(
            VLOOKUP($A57, INDIRECT("JulR!$A$6:$ZZ$1048576"), MATCH(AD$1, JulR!$6:$6, 0), FALSE),
            0
        ) +
        IFERROR(
            VLOOKUP($A57, INDIRECT("AgoR!$A$6:$ZZ$1048576"), MATCH(AD$1, AgoR!$6:$6, 0), FALSE),
            0
        ) +
        IFERROR(
            VLOOKUP($A57, INDIRECT("SepR!$A$6:$ZZ$1048576"), MATCH(AD$1, SepR!$6:$6, 0), FALSE),
            0
        ) +
        IFERROR(
            VLOOKUP($A57, INDIRECT("OctR!$A$6:$ZZ$1048576"), MATCH(AD$1, OctR!$6:$6, 0), FALSE),
            0
        ) +
        IFERROR(
            VLOOKUP($A57, INDIRECT("NovR!$A$6:$ZZ$1048576"), MATCH(AD$1, NovR!$6:$6, 0), FALSE),
            0
        ) +
        IFERROR(
            VLOOKUP($A57, INDIRECT("DicR!$A$6:$ZZ$1048576"), MATCH(AD$1, DicR!$6:$6, 0), FALSE),
            0
        )
)</f>
        <v>0</v>
      </c>
      <c r="AE57" s="37">
        <f t="array" ref="AE57">SUM(
    IFERROR(
            VLOOKUP($A57, INDIRECT("EneR!$A$6:$ZZ$1048576"), MATCH(AE$1, EneR!$6:$6, 0), FALSE),
            0
        ) +
        IFERROR(
            VLOOKUP($A57, INDIRECT("FebR!$A$6:$ZZ$1048576"), MATCH(AE$1, FebR!$6:$6, 0), FALSE),
            0
        ) +
        IFERROR(
            VLOOKUP($A57, INDIRECT("MarR!$A$6:$ZZ$1048576"), MATCH(AE$1, MarR!$6:$6, 0), FALSE),
            0
        ) +
        IFERROR(
            VLOOKUP($A57, INDIRECT("AbrR!$A$6:$ZZ$1048576"), MATCH(AE$1, AbrR!$6:$6, 0), FALSE),
            0
        ) +
        IFERROR(
            VLOOKUP($A57, INDIRECT("MayR!$A$6:$ZZ$1048576"), MATCH(AE$1, MayR!$6:$6, 0), FALSE),
            0
        ) +
        IFERROR(
            VLOOKUP($A57, INDIRECT("JunR!$A$6:$ZZ$1048576"), MATCH(AE$1, JunR!$6:$6, 0), FALSE),
            0
        ) +
        IFERROR(
            VLOOKUP($A57, INDIRECT("JulR!$A$6:$ZZ$1048576"), MATCH(AE$1, JulR!$6:$6, 0), FALSE),
            0
        ) +
        IFERROR(
            VLOOKUP($A57, INDIRECT("AgoR!$A$6:$ZZ$1048576"), MATCH(AE$1, AgoR!$6:$6, 0), FALSE),
            0
        ) +
        IFERROR(
            VLOOKUP($A57, INDIRECT("SepR!$A$6:$ZZ$1048576"), MATCH(AE$1, SepR!$6:$6, 0), FALSE),
            0
        ) +
        IFERROR(
            VLOOKUP($A57, INDIRECT("OctR!$A$6:$ZZ$1048576"), MATCH(AE$1, OctR!$6:$6, 0), FALSE),
            0
        ) +
        IFERROR(
            VLOOKUP($A57, INDIRECT("NovR!$A$6:$ZZ$1048576"), MATCH(AE$1, NovR!$6:$6, 0), FALSE),
            0
        ) +
        IFERROR(
            VLOOKUP($A57, INDIRECT("DicR!$A$6:$ZZ$1048576"), MATCH(AE$1, DicR!$6:$6, 0), FALSE),
            0
        )
)</f>
        <v>0</v>
      </c>
      <c r="AF57" s="36">
        <f t="array" ref="AF57">SUM(
    IFERROR(
            VLOOKUP($A57, INDIRECT("EneR!$A$6:$ZZ$1048576"), MATCH(AF$1, EneR!$6:$6, 0), FALSE),
            0
        ) +
        IFERROR(
            VLOOKUP($A57, INDIRECT("FebR!$A$6:$ZZ$1048576"), MATCH(AF$1, FebR!$6:$6, 0), FALSE),
            0
        ) +
        IFERROR(
            VLOOKUP($A57, INDIRECT("MarR!$A$6:$ZZ$1048576"), MATCH(AF$1, MarR!$6:$6, 0), FALSE),
            0
        ) +
        IFERROR(
            VLOOKUP($A57, INDIRECT("AbrR!$A$6:$ZZ$1048576"), MATCH(AF$1, AbrR!$6:$6, 0), FALSE),
            0
        ) +
        IFERROR(
            VLOOKUP($A57, INDIRECT("MayR!$A$6:$ZZ$1048576"), MATCH(AF$1, MayR!$6:$6, 0), FALSE),
            0
        ) +
        IFERROR(
            VLOOKUP($A57, INDIRECT("JunR!$A$6:$ZZ$1048576"), MATCH(AF$1, JunR!$6:$6, 0), FALSE),
            0
        ) +
        IFERROR(
            VLOOKUP($A57, INDIRECT("JulR!$A$6:$ZZ$1048576"), MATCH(AF$1, JulR!$6:$6, 0), FALSE),
            0
        ) +
        IFERROR(
            VLOOKUP($A57, INDIRECT("AgoR!$A$6:$ZZ$1048576"), MATCH(AF$1, AgoR!$6:$6, 0), FALSE),
            0
        ) +
        IFERROR(
            VLOOKUP($A57, INDIRECT("SepR!$A$6:$ZZ$1048576"), MATCH(AF$1, SepR!$6:$6, 0), FALSE),
            0
        ) +
        IFERROR(
            VLOOKUP($A57, INDIRECT("OctR!$A$6:$ZZ$1048576"), MATCH(AF$1, OctR!$6:$6, 0), FALSE),
            0
        ) +
        IFERROR(
            VLOOKUP($A57, INDIRECT("NovR!$A$6:$ZZ$1048576"), MATCH(AF$1, NovR!$6:$6, 0), FALSE),
            0
        ) +
        IFERROR(
            VLOOKUP($A57, INDIRECT("DicR!$A$6:$ZZ$1048576"), MATCH(AF$1, DicR!$6:$6, 0), FALSE),
            0
        )
)</f>
        <v>0</v>
      </c>
      <c r="AG57" s="37">
        <f t="array" ref="AG57">SUM(
    IFERROR(
            VLOOKUP($A57, INDIRECT("EneR!$A$6:$ZZ$1048576"), MATCH(AG$1, EneR!$6:$6, 0), FALSE),
            0
        ) +
        IFERROR(
            VLOOKUP($A57, INDIRECT("FebR!$A$6:$ZZ$1048576"), MATCH(AG$1, FebR!$6:$6, 0), FALSE),
            0
        ) +
        IFERROR(
            VLOOKUP($A57, INDIRECT("MarR!$A$6:$ZZ$1048576"), MATCH(AG$1, MarR!$6:$6, 0), FALSE),
            0
        ) +
        IFERROR(
            VLOOKUP($A57, INDIRECT("AbrR!$A$6:$ZZ$1048576"), MATCH(AG$1, AbrR!$6:$6, 0), FALSE),
            0
        ) +
        IFERROR(
            VLOOKUP($A57, INDIRECT("MayR!$A$6:$ZZ$1048576"), MATCH(AG$1, MayR!$6:$6, 0), FALSE),
            0
        ) +
        IFERROR(
            VLOOKUP($A57, INDIRECT("JunR!$A$6:$ZZ$1048576"), MATCH(AG$1, JunR!$6:$6, 0), FALSE),
            0
        ) +
        IFERROR(
            VLOOKUP($A57, INDIRECT("JulR!$A$6:$ZZ$1048576"), MATCH(AG$1, JulR!$6:$6, 0), FALSE),
            0
        ) +
        IFERROR(
            VLOOKUP($A57, INDIRECT("AgoR!$A$6:$ZZ$1048576"), MATCH(AG$1, AgoR!$6:$6, 0), FALSE),
            0
        ) +
        IFERROR(
            VLOOKUP($A57, INDIRECT("SepR!$A$6:$ZZ$1048576"), MATCH(AG$1, SepR!$6:$6, 0), FALSE),
            0
        ) +
        IFERROR(
            VLOOKUP($A57, INDIRECT("OctR!$A$6:$ZZ$1048576"), MATCH(AG$1, OctR!$6:$6, 0), FALSE),
            0
        ) +
        IFERROR(
            VLOOKUP($A57, INDIRECT("NovR!$A$6:$ZZ$1048576"), MATCH(AG$1, NovR!$6:$6, 0), FALSE),
            0
        ) +
        IFERROR(
            VLOOKUP($A57, INDIRECT("DicR!$A$6:$ZZ$1048576"), MATCH(AG$1, DicR!$6:$6, 0), FALSE),
            0
        )
)</f>
        <v>0</v>
      </c>
      <c r="AH57" s="36">
        <f t="array" ref="AH57">SUM(
    IFERROR(
            VLOOKUP($A57, INDIRECT("EneR!$A$6:$ZZ$1048576"), MATCH(AH$1, EneR!$6:$6, 0), FALSE),
            0
        ) +
        IFERROR(
            VLOOKUP($A57, INDIRECT("FebR!$A$6:$ZZ$1048576"), MATCH(AH$1, FebR!$6:$6, 0), FALSE),
            0
        ) +
        IFERROR(
            VLOOKUP($A57, INDIRECT("MarR!$A$6:$ZZ$1048576"), MATCH(AH$1, MarR!$6:$6, 0), FALSE),
            0
        ) +
        IFERROR(
            VLOOKUP($A57, INDIRECT("AbrR!$A$6:$ZZ$1048576"), MATCH(AH$1, AbrR!$6:$6, 0), FALSE),
            0
        ) +
        IFERROR(
            VLOOKUP($A57, INDIRECT("MayR!$A$6:$ZZ$1048576"), MATCH(AH$1, MayR!$6:$6, 0), FALSE),
            0
        ) +
        IFERROR(
            VLOOKUP($A57, INDIRECT("JunR!$A$6:$ZZ$1048576"), MATCH(AH$1, JunR!$6:$6, 0), FALSE),
            0
        ) +
        IFERROR(
            VLOOKUP($A57, INDIRECT("JulR!$A$6:$ZZ$1048576"), MATCH(AH$1, JulR!$6:$6, 0), FALSE),
            0
        ) +
        IFERROR(
            VLOOKUP($A57, INDIRECT("AgoR!$A$6:$ZZ$1048576"), MATCH(AH$1, AgoR!$6:$6, 0), FALSE),
            0
        ) +
        IFERROR(
            VLOOKUP($A57, INDIRECT("SepR!$A$6:$ZZ$1048576"), MATCH(AH$1, SepR!$6:$6, 0), FALSE),
            0
        ) +
        IFERROR(
            VLOOKUP($A57, INDIRECT("OctR!$A$6:$ZZ$1048576"), MATCH(AH$1, OctR!$6:$6, 0), FALSE),
            0
        ) +
        IFERROR(
            VLOOKUP($A57, INDIRECT("NovR!$A$6:$ZZ$1048576"), MATCH(AH$1, NovR!$6:$6, 0), FALSE),
            0
        ) +
        IFERROR(
            VLOOKUP($A57, INDIRECT("DicR!$A$6:$ZZ$1048576"), MATCH(AH$1, DicR!$6:$6, 0), FALSE),
            0
        )
)</f>
        <v>0</v>
      </c>
      <c r="AI57" s="37">
        <f t="array" ref="AI57">SUM(
    IFERROR(
            VLOOKUP($A57, INDIRECT("EneR!$A$6:$ZZ$1048576"), MATCH(AI$1, EneR!$6:$6, 0), FALSE),
            0
        ) +
        IFERROR(
            VLOOKUP($A57, INDIRECT("FebR!$A$6:$ZZ$1048576"), MATCH(AI$1, FebR!$6:$6, 0), FALSE),
            0
        ) +
        IFERROR(
            VLOOKUP($A57, INDIRECT("MarR!$A$6:$ZZ$1048576"), MATCH(AI$1, MarR!$6:$6, 0), FALSE),
            0
        ) +
        IFERROR(
            VLOOKUP($A57, INDIRECT("AbrR!$A$6:$ZZ$1048576"), MATCH(AI$1, AbrR!$6:$6, 0), FALSE),
            0
        ) +
        IFERROR(
            VLOOKUP($A57, INDIRECT("MayR!$A$6:$ZZ$1048576"), MATCH(AI$1, MayR!$6:$6, 0), FALSE),
            0
        ) +
        IFERROR(
            VLOOKUP($A57, INDIRECT("JunR!$A$6:$ZZ$1048576"), MATCH(AI$1, JunR!$6:$6, 0), FALSE),
            0
        ) +
        IFERROR(
            VLOOKUP($A57, INDIRECT("JulR!$A$6:$ZZ$1048576"), MATCH(AI$1, JulR!$6:$6, 0), FALSE),
            0
        ) +
        IFERROR(
            VLOOKUP($A57, INDIRECT("AgoR!$A$6:$ZZ$1048576"), MATCH(AI$1, AgoR!$6:$6, 0), FALSE),
            0
        ) +
        IFERROR(
            VLOOKUP($A57, INDIRECT("SepR!$A$6:$ZZ$1048576"), MATCH(AI$1, SepR!$6:$6, 0), FALSE),
            0
        ) +
        IFERROR(
            VLOOKUP($A57, INDIRECT("OctR!$A$6:$ZZ$1048576"), MATCH(AI$1, OctR!$6:$6, 0), FALSE),
            0
        ) +
        IFERROR(
            VLOOKUP($A57, INDIRECT("NovR!$A$6:$ZZ$1048576"), MATCH(AI$1, NovR!$6:$6, 0), FALSE),
            0
        ) +
        IFERROR(
            VLOOKUP($A57, INDIRECT("DicR!$A$6:$ZZ$1048576"), MATCH(AI$1, DicR!$6:$6, 0), FALSE),
            0
        )
)</f>
        <v>0</v>
      </c>
      <c r="AJ57" s="36">
        <f t="array" ref="AJ57">SUM(
    IFERROR(
            VLOOKUP($A57, INDIRECT("EneR!$A$6:$ZZ$1048576"), MATCH(AJ$1, EneR!$6:$6, 0), FALSE),
            0
        ) +
        IFERROR(
            VLOOKUP($A57, INDIRECT("FebR!$A$6:$ZZ$1048576"), MATCH(AJ$1, FebR!$6:$6, 0), FALSE),
            0
        ) +
        IFERROR(
            VLOOKUP($A57, INDIRECT("MarR!$A$6:$ZZ$1048576"), MATCH(AJ$1, MarR!$6:$6, 0), FALSE),
            0
        ) +
        IFERROR(
            VLOOKUP($A57, INDIRECT("AbrR!$A$6:$ZZ$1048576"), MATCH(AJ$1, AbrR!$6:$6, 0), FALSE),
            0
        ) +
        IFERROR(
            VLOOKUP($A57, INDIRECT("MayR!$A$6:$ZZ$1048576"), MATCH(AJ$1, MayR!$6:$6, 0), FALSE),
            0
        ) +
        IFERROR(
            VLOOKUP($A57, INDIRECT("JunR!$A$6:$ZZ$1048576"), MATCH(AJ$1, JunR!$6:$6, 0), FALSE),
            0
        ) +
        IFERROR(
            VLOOKUP($A57, INDIRECT("JulR!$A$6:$ZZ$1048576"), MATCH(AJ$1, JulR!$6:$6, 0), FALSE),
            0
        ) +
        IFERROR(
            VLOOKUP($A57, INDIRECT("AgoR!$A$6:$ZZ$1048576"), MATCH(AJ$1, AgoR!$6:$6, 0), FALSE),
            0
        ) +
        IFERROR(
            VLOOKUP($A57, INDIRECT("SepR!$A$6:$ZZ$1048576"), MATCH(AJ$1, SepR!$6:$6, 0), FALSE),
            0
        ) +
        IFERROR(
            VLOOKUP($A57, INDIRECT("OctR!$A$6:$ZZ$1048576"), MATCH(AJ$1, OctR!$6:$6, 0), FALSE),
            0
        ) +
        IFERROR(
            VLOOKUP($A57, INDIRECT("NovR!$A$6:$ZZ$1048576"), MATCH(AJ$1, NovR!$6:$6, 0), FALSE),
            0
        ) +
        IFERROR(
            VLOOKUP($A57, INDIRECT("DicR!$A$6:$ZZ$1048576"), MATCH(AJ$1, DicR!$6:$6, 0), FALSE),
            0
        )
)</f>
        <v>0</v>
      </c>
      <c r="AK57" s="37">
        <f t="array" ref="AK57">SUM(
    IFERROR(
            VLOOKUP($A57, INDIRECT("EneR!$A$6:$ZZ$1048576"), MATCH(AK$1, EneR!$6:$6, 0), FALSE),
            0
        ) +
        IFERROR(
            VLOOKUP($A57, INDIRECT("FebR!$A$6:$ZZ$1048576"), MATCH(AK$1, FebR!$6:$6, 0), FALSE),
            0
        ) +
        IFERROR(
            VLOOKUP($A57, INDIRECT("MarR!$A$6:$ZZ$1048576"), MATCH(AK$1, MarR!$6:$6, 0), FALSE),
            0
        ) +
        IFERROR(
            VLOOKUP($A57, INDIRECT("AbrR!$A$6:$ZZ$1048576"), MATCH(AK$1, AbrR!$6:$6, 0), FALSE),
            0
        ) +
        IFERROR(
            VLOOKUP($A57, INDIRECT("MayR!$A$6:$ZZ$1048576"), MATCH(AK$1, MayR!$6:$6, 0), FALSE),
            0
        ) +
        IFERROR(
            VLOOKUP($A57, INDIRECT("JunR!$A$6:$ZZ$1048576"), MATCH(AK$1, JunR!$6:$6, 0), FALSE),
            0
        ) +
        IFERROR(
            VLOOKUP($A57, INDIRECT("JulR!$A$6:$ZZ$1048576"), MATCH(AK$1, JulR!$6:$6, 0), FALSE),
            0
        ) +
        IFERROR(
            VLOOKUP($A57, INDIRECT("AgoR!$A$6:$ZZ$1048576"), MATCH(AK$1, AgoR!$6:$6, 0), FALSE),
            0
        ) +
        IFERROR(
            VLOOKUP($A57, INDIRECT("SepR!$A$6:$ZZ$1048576"), MATCH(AK$1, SepR!$6:$6, 0), FALSE),
            0
        ) +
        IFERROR(
            VLOOKUP($A57, INDIRECT("OctR!$A$6:$ZZ$1048576"), MATCH(AK$1, OctR!$6:$6, 0), FALSE),
            0
        ) +
        IFERROR(
            VLOOKUP($A57, INDIRECT("NovR!$A$6:$ZZ$1048576"), MATCH(AK$1, NovR!$6:$6, 0), FALSE),
            0
        ) +
        IFERROR(
            VLOOKUP($A57, INDIRECT("DicR!$A$6:$ZZ$1048576"), MATCH(AK$1, DicR!$6:$6, 0), FALSE),
            0
        )
)</f>
        <v>0</v>
      </c>
      <c r="AL57" s="36">
        <f t="array" ref="AL57">SUM(
    IFERROR(
            VLOOKUP($A57, INDIRECT("EneR!$A$6:$ZZ$1048576"), MATCH(AL$1, EneR!$6:$6, 0), FALSE),
            0
        ) +
        IFERROR(
            VLOOKUP($A57, INDIRECT("FebR!$A$6:$ZZ$1048576"), MATCH(AL$1, FebR!$6:$6, 0), FALSE),
            0
        ) +
        IFERROR(
            VLOOKUP($A57, INDIRECT("MarR!$A$6:$ZZ$1048576"), MATCH(AL$1, MarR!$6:$6, 0), FALSE),
            0
        ) +
        IFERROR(
            VLOOKUP($A57, INDIRECT("AbrR!$A$6:$ZZ$1048576"), MATCH(AL$1, AbrR!$6:$6, 0), FALSE),
            0
        ) +
        IFERROR(
            VLOOKUP($A57, INDIRECT("MayR!$A$6:$ZZ$1048576"), MATCH(AL$1, MayR!$6:$6, 0), FALSE),
            0
        ) +
        IFERROR(
            VLOOKUP($A57, INDIRECT("JunR!$A$6:$ZZ$1048576"), MATCH(AL$1, JunR!$6:$6, 0), FALSE),
            0
        ) +
        IFERROR(
            VLOOKUP($A57, INDIRECT("JulR!$A$6:$ZZ$1048576"), MATCH(AL$1, JulR!$6:$6, 0), FALSE),
            0
        ) +
        IFERROR(
            VLOOKUP($A57, INDIRECT("AgoR!$A$6:$ZZ$1048576"), MATCH(AL$1, AgoR!$6:$6, 0), FALSE),
            0
        ) +
        IFERROR(
            VLOOKUP($A57, INDIRECT("SepR!$A$6:$ZZ$1048576"), MATCH(AL$1, SepR!$6:$6, 0), FALSE),
            0
        ) +
        IFERROR(
            VLOOKUP($A57, INDIRECT("OctR!$A$6:$ZZ$1048576"), MATCH(AL$1, OctR!$6:$6, 0), FALSE),
            0
        ) +
        IFERROR(
            VLOOKUP($A57, INDIRECT("NovR!$A$6:$ZZ$1048576"), MATCH(AL$1, NovR!$6:$6, 0), FALSE),
            0
        ) +
        IFERROR(
            VLOOKUP($A57, INDIRECT("DicR!$A$6:$ZZ$1048576"), MATCH(AL$1, DicR!$6:$6, 0), FALSE),
            0
        )
)</f>
        <v>0</v>
      </c>
      <c r="AM57" s="37">
        <f t="array" ref="AM57">SUM(
    IFERROR(
            VLOOKUP($A57, INDIRECT("EneR!$A$6:$ZZ$1048576"), MATCH(AM$1, EneR!$6:$6, 0), FALSE),
            0
        ) +
        IFERROR(
            VLOOKUP($A57, INDIRECT("FebR!$A$6:$ZZ$1048576"), MATCH(AM$1, FebR!$6:$6, 0), FALSE),
            0
        ) +
        IFERROR(
            VLOOKUP($A57, INDIRECT("MarR!$A$6:$ZZ$1048576"), MATCH(AM$1, MarR!$6:$6, 0), FALSE),
            0
        ) +
        IFERROR(
            VLOOKUP($A57, INDIRECT("AbrR!$A$6:$ZZ$1048576"), MATCH(AM$1, AbrR!$6:$6, 0), FALSE),
            0
        ) +
        IFERROR(
            VLOOKUP($A57, INDIRECT("MayR!$A$6:$ZZ$1048576"), MATCH(AM$1, MayR!$6:$6, 0), FALSE),
            0
        ) +
        IFERROR(
            VLOOKUP($A57, INDIRECT("JunR!$A$6:$ZZ$1048576"), MATCH(AM$1, JunR!$6:$6, 0), FALSE),
            0
        ) +
        IFERROR(
            VLOOKUP($A57, INDIRECT("JulR!$A$6:$ZZ$1048576"), MATCH(AM$1, JulR!$6:$6, 0), FALSE),
            0
        ) +
        IFERROR(
            VLOOKUP($A57, INDIRECT("AgoR!$A$6:$ZZ$1048576"), MATCH(AM$1, AgoR!$6:$6, 0), FALSE),
            0
        ) +
        IFERROR(
            VLOOKUP($A57, INDIRECT("SepR!$A$6:$ZZ$1048576"), MATCH(AM$1, SepR!$6:$6, 0), FALSE),
            0
        ) +
        IFERROR(
            VLOOKUP($A57, INDIRECT("OctR!$A$6:$ZZ$1048576"), MATCH(AM$1, OctR!$6:$6, 0), FALSE),
            0
        ) +
        IFERROR(
            VLOOKUP($A57, INDIRECT("NovR!$A$6:$ZZ$1048576"), MATCH(AM$1, NovR!$6:$6, 0), FALSE),
            0
        ) +
        IFERROR(
            VLOOKUP($A57, INDIRECT("DicR!$A$6:$ZZ$1048576"), MATCH(AM$1, DicR!$6:$6, 0), FALSE),
            0
        )
)</f>
        <v>0</v>
      </c>
      <c r="AN57" s="32">
        <f t="array" ref="AN57">SUM(
    IFERROR(
            VLOOKUP($A57, INDIRECT("EneR!$A$6:$ZZ$1048576"), MATCH(AN$1, EneR!$6:$6, 0), FALSE),
            0
        ) +
        IFERROR(
            VLOOKUP($A57, INDIRECT("FebR!$A$6:$ZZ$1048576"), MATCH(AN$1, FebR!$6:$6, 0), FALSE),
            0
        ) +
        IFERROR(
            VLOOKUP($A57, INDIRECT("MarR!$A$6:$ZZ$1048576"), MATCH(AN$1, MarR!$6:$6, 0), FALSE),
            0
        ) +
        IFERROR(
            VLOOKUP($A57, INDIRECT("AbrR!$A$6:$ZZ$1048576"), MATCH(AN$1, AbrR!$6:$6, 0), FALSE),
            0
        ) +
        IFERROR(
            VLOOKUP($A57, INDIRECT("MayR!$A$6:$ZZ$1048576"), MATCH(AN$1, MayR!$6:$6, 0), FALSE),
            0
        ) +
        IFERROR(
            VLOOKUP($A57, INDIRECT("JunR!$A$6:$ZZ$1048576"), MATCH(AN$1, JunR!$6:$6, 0), FALSE),
            0
        ) +
        IFERROR(
            VLOOKUP($A57, INDIRECT("JulR!$A$6:$ZZ$1048576"), MATCH(AN$1, JulR!$6:$6, 0), FALSE),
            0
        ) +
        IFERROR(
            VLOOKUP($A57, INDIRECT("AgoR!$A$6:$ZZ$1048576"), MATCH(AN$1, AgoR!$6:$6, 0), FALSE),
            0
        ) +
        IFERROR(
            VLOOKUP($A57, INDIRECT("SepR!$A$6:$ZZ$1048576"), MATCH(AN$1, SepR!$6:$6, 0), FALSE),
            0
        ) +
        IFERROR(
            VLOOKUP($A57, INDIRECT("OctR!$A$6:$ZZ$1048576"), MATCH(AN$1, OctR!$6:$6, 0), FALSE),
            0
        ) +
        IFERROR(
            VLOOKUP($A57, INDIRECT("NovR!$A$6:$ZZ$1048576"), MATCH(AN$1, NovR!$6:$6, 0), FALSE),
            0
        ) +
        IFERROR(
            VLOOKUP($A57, INDIRECT("DicR!$A$6:$ZZ$1048576"), MATCH(AN$1, DicR!$6:$6, 0), FALSE),
            0
        )
)</f>
        <v>0</v>
      </c>
      <c r="AO57" s="35">
        <f t="array" ref="AO57">SUM(
    IFERROR(
            VLOOKUP($A57, INDIRECT("EneR!$A$6:$ZZ$1048576"), MATCH(AO$1, EneR!$6:$6, 0), FALSE),
            0
        ) +
        IFERROR(
            VLOOKUP($A57, INDIRECT("FebR!$A$6:$ZZ$1048576"), MATCH(AO$1, FebR!$6:$6, 0), FALSE),
            0
        ) +
        IFERROR(
            VLOOKUP($A57, INDIRECT("MarR!$A$6:$ZZ$1048576"), MATCH(AO$1, MarR!$6:$6, 0), FALSE),
            0
        ) +
        IFERROR(
            VLOOKUP($A57, INDIRECT("AbrR!$A$6:$ZZ$1048576"), MATCH(AO$1, AbrR!$6:$6, 0), FALSE),
            0
        ) +
        IFERROR(
            VLOOKUP($A57, INDIRECT("MayR!$A$6:$ZZ$1048576"), MATCH(AO$1, MayR!$6:$6, 0), FALSE),
            0
        ) +
        IFERROR(
            VLOOKUP($A57, INDIRECT("JunR!$A$6:$ZZ$1048576"), MATCH(AO$1, JunR!$6:$6, 0), FALSE),
            0
        ) +
        IFERROR(
            VLOOKUP($A57, INDIRECT("JulR!$A$6:$ZZ$1048576"), MATCH(AO$1, JulR!$6:$6, 0), FALSE),
            0
        ) +
        IFERROR(
            VLOOKUP($A57, INDIRECT("AgoR!$A$6:$ZZ$1048576"), MATCH(AO$1, AgoR!$6:$6, 0), FALSE),
            0
        ) +
        IFERROR(
            VLOOKUP($A57, INDIRECT("SepR!$A$6:$ZZ$1048576"), MATCH(AO$1, SepR!$6:$6, 0), FALSE),
            0
        ) +
        IFERROR(
            VLOOKUP($A57, INDIRECT("OctR!$A$6:$ZZ$1048576"), MATCH(AO$1, OctR!$6:$6, 0), FALSE),
            0
        ) +
        IFERROR(
            VLOOKUP($A57, INDIRECT("NovR!$A$6:$ZZ$1048576"), MATCH(AO$1, NovR!$6:$6, 0), FALSE),
            0
        ) +
        IFERROR(
            VLOOKUP($A57, INDIRECT("DicR!$A$6:$ZZ$1048576"), MATCH(AO$1, DicR!$6:$6, 0), FALSE),
            0
        )
)</f>
        <v>0</v>
      </c>
      <c r="AP57" s="36">
        <f t="array" ref="AP57">SUM(
    IFERROR(
            VLOOKUP($A57, INDIRECT("EneR!$A$6:$ZZ$1048576"), MATCH(AP$1, EneR!$6:$6, 0), FALSE),
            0
        ) +
        IFERROR(
            VLOOKUP($A57, INDIRECT("FebR!$A$6:$ZZ$1048576"), MATCH(AP$1, FebR!$6:$6, 0), FALSE),
            0
        ) +
        IFERROR(
            VLOOKUP($A57, INDIRECT("MarR!$A$6:$ZZ$1048576"), MATCH(AP$1, MarR!$6:$6, 0), FALSE),
            0
        ) +
        IFERROR(
            VLOOKUP($A57, INDIRECT("AbrR!$A$6:$ZZ$1048576"), MATCH(AP$1, AbrR!$6:$6, 0), FALSE),
            0
        ) +
        IFERROR(
            VLOOKUP($A57, INDIRECT("MayR!$A$6:$ZZ$1048576"), MATCH(AP$1, MayR!$6:$6, 0), FALSE),
            0
        ) +
        IFERROR(
            VLOOKUP($A57, INDIRECT("JunR!$A$6:$ZZ$1048576"), MATCH(AP$1, JunR!$6:$6, 0), FALSE),
            0
        ) +
        IFERROR(
            VLOOKUP($A57, INDIRECT("JulR!$A$6:$ZZ$1048576"), MATCH(AP$1, JulR!$6:$6, 0), FALSE),
            0
        ) +
        IFERROR(
            VLOOKUP($A57, INDIRECT("AgoR!$A$6:$ZZ$1048576"), MATCH(AP$1, AgoR!$6:$6, 0), FALSE),
            0
        ) +
        IFERROR(
            VLOOKUP($A57, INDIRECT("SepR!$A$6:$ZZ$1048576"), MATCH(AP$1, SepR!$6:$6, 0), FALSE),
            0
        ) +
        IFERROR(
            VLOOKUP($A57, INDIRECT("OctR!$A$6:$ZZ$1048576"), MATCH(AP$1, OctR!$6:$6, 0), FALSE),
            0
        ) +
        IFERROR(
            VLOOKUP($A57, INDIRECT("NovR!$A$6:$ZZ$1048576"), MATCH(AP$1, NovR!$6:$6, 0), FALSE),
            0
        ) +
        IFERROR(
            VLOOKUP($A57, INDIRECT("DicR!$A$6:$ZZ$1048576"), MATCH(AP$1, DicR!$6:$6, 0), FALSE),
            0
        )
)</f>
        <v>0</v>
      </c>
      <c r="AQ57" s="35">
        <f t="array" ref="AQ57">SUM(
    IFERROR(
            VLOOKUP($A57, INDIRECT("EneR!$A$6:$ZZ$1048576"), MATCH(AQ$1, EneR!$6:$6, 0), FALSE),
            0
        ) +
        IFERROR(
            VLOOKUP($A57, INDIRECT("FebR!$A$6:$ZZ$1048576"), MATCH(AQ$1, FebR!$6:$6, 0), FALSE),
            0
        ) +
        IFERROR(
            VLOOKUP($A57, INDIRECT("MarR!$A$6:$ZZ$1048576"), MATCH(AQ$1, MarR!$6:$6, 0), FALSE),
            0
        ) +
        IFERROR(
            VLOOKUP($A57, INDIRECT("AbrR!$A$6:$ZZ$1048576"), MATCH(AQ$1, AbrR!$6:$6, 0), FALSE),
            0
        ) +
        IFERROR(
            VLOOKUP($A57, INDIRECT("MayR!$A$6:$ZZ$1048576"), MATCH(AQ$1, MayR!$6:$6, 0), FALSE),
            0
        ) +
        IFERROR(
            VLOOKUP($A57, INDIRECT("JunR!$A$6:$ZZ$1048576"), MATCH(AQ$1, JunR!$6:$6, 0), FALSE),
            0
        ) +
        IFERROR(
            VLOOKUP($A57, INDIRECT("JulR!$A$6:$ZZ$1048576"), MATCH(AQ$1, JulR!$6:$6, 0), FALSE),
            0
        ) +
        IFERROR(
            VLOOKUP($A57, INDIRECT("AgoR!$A$6:$ZZ$1048576"), MATCH(AQ$1, AgoR!$6:$6, 0), FALSE),
            0
        ) +
        IFERROR(
            VLOOKUP($A57, INDIRECT("SepR!$A$6:$ZZ$1048576"), MATCH(AQ$1, SepR!$6:$6, 0), FALSE),
            0
        ) +
        IFERROR(
            VLOOKUP($A57, INDIRECT("OctR!$A$6:$ZZ$1048576"), MATCH(AQ$1, OctR!$6:$6, 0), FALSE),
            0
        ) +
        IFERROR(
            VLOOKUP($A57, INDIRECT("NovR!$A$6:$ZZ$1048576"), MATCH(AQ$1, NovR!$6:$6, 0), FALSE),
            0
        ) +
        IFERROR(
            VLOOKUP($A57, INDIRECT("DicR!$A$6:$ZZ$1048576"), MATCH(AQ$1, DicR!$6:$6, 0), FALSE),
            0
        )
)</f>
        <v>0</v>
      </c>
      <c r="AR57" s="36">
        <f t="array" ref="AR57">SUM(
    IFERROR(
            VLOOKUP($A57, INDIRECT("EneR!$A$6:$ZZ$1048576"), MATCH(AR$1, EneR!$6:$6, 0), FALSE),
            0
        ) +
        IFERROR(
            VLOOKUP($A57, INDIRECT("FebR!$A$6:$ZZ$1048576"), MATCH(AR$1, FebR!$6:$6, 0), FALSE),
            0
        ) +
        IFERROR(
            VLOOKUP($A57, INDIRECT("MarR!$A$6:$ZZ$1048576"), MATCH(AR$1, MarR!$6:$6, 0), FALSE),
            0
        ) +
        IFERROR(
            VLOOKUP($A57, INDIRECT("AbrR!$A$6:$ZZ$1048576"), MATCH(AR$1, AbrR!$6:$6, 0), FALSE),
            0
        ) +
        IFERROR(
            VLOOKUP($A57, INDIRECT("MayR!$A$6:$ZZ$1048576"), MATCH(AR$1, MayR!$6:$6, 0), FALSE),
            0
        ) +
        IFERROR(
            VLOOKUP($A57, INDIRECT("JunR!$A$6:$ZZ$1048576"), MATCH(AR$1, JunR!$6:$6, 0), FALSE),
            0
        ) +
        IFERROR(
            VLOOKUP($A57, INDIRECT("JulR!$A$6:$ZZ$1048576"), MATCH(AR$1, JulR!$6:$6, 0), FALSE),
            0
        ) +
        IFERROR(
            VLOOKUP($A57, INDIRECT("AgoR!$A$6:$ZZ$1048576"), MATCH(AR$1, AgoR!$6:$6, 0), FALSE),
            0
        ) +
        IFERROR(
            VLOOKUP($A57, INDIRECT("SepR!$A$6:$ZZ$1048576"), MATCH(AR$1, SepR!$6:$6, 0), FALSE),
            0
        ) +
        IFERROR(
            VLOOKUP($A57, INDIRECT("OctR!$A$6:$ZZ$1048576"), MATCH(AR$1, OctR!$6:$6, 0), FALSE),
            0
        ) +
        IFERROR(
            VLOOKUP($A57, INDIRECT("NovR!$A$6:$ZZ$1048576"), MATCH(AR$1, NovR!$6:$6, 0), FALSE),
            0
        ) +
        IFERROR(
            VLOOKUP($A57, INDIRECT("DicR!$A$6:$ZZ$1048576"), MATCH(AR$1, DicR!$6:$6, 0), FALSE),
            0
        )
)</f>
        <v>0</v>
      </c>
      <c r="AS57" s="35">
        <f t="array" ref="AS57">SUM(
    IFERROR(
            VLOOKUP($A57, INDIRECT("EneR!$A$6:$ZZ$1048576"), MATCH(AS$1, EneR!$6:$6, 0), FALSE),
            0
        ) +
        IFERROR(
            VLOOKUP($A57, INDIRECT("FebR!$A$6:$ZZ$1048576"), MATCH(AS$1, FebR!$6:$6, 0), FALSE),
            0
        ) +
        IFERROR(
            VLOOKUP($A57, INDIRECT("MarR!$A$6:$ZZ$1048576"), MATCH(AS$1, MarR!$6:$6, 0), FALSE),
            0
        ) +
        IFERROR(
            VLOOKUP($A57, INDIRECT("AbrR!$A$6:$ZZ$1048576"), MATCH(AS$1, AbrR!$6:$6, 0), FALSE),
            0
        ) +
        IFERROR(
            VLOOKUP($A57, INDIRECT("MayR!$A$6:$ZZ$1048576"), MATCH(AS$1, MayR!$6:$6, 0), FALSE),
            0
        ) +
        IFERROR(
            VLOOKUP($A57, INDIRECT("JunR!$A$6:$ZZ$1048576"), MATCH(AS$1, JunR!$6:$6, 0), FALSE),
            0
        ) +
        IFERROR(
            VLOOKUP($A57, INDIRECT("JulR!$A$6:$ZZ$1048576"), MATCH(AS$1, JulR!$6:$6, 0), FALSE),
            0
        ) +
        IFERROR(
            VLOOKUP($A57, INDIRECT("AgoR!$A$6:$ZZ$1048576"), MATCH(AS$1, AgoR!$6:$6, 0), FALSE),
            0
        ) +
        IFERROR(
            VLOOKUP($A57, INDIRECT("SepR!$A$6:$ZZ$1048576"), MATCH(AS$1, SepR!$6:$6, 0), FALSE),
            0
        ) +
        IFERROR(
            VLOOKUP($A57, INDIRECT("OctR!$A$6:$ZZ$1048576"), MATCH(AS$1, OctR!$6:$6, 0), FALSE),
            0
        ) +
        IFERROR(
            VLOOKUP($A57, INDIRECT("NovR!$A$6:$ZZ$1048576"), MATCH(AS$1, NovR!$6:$6, 0), FALSE),
            0
        ) +
        IFERROR(
            VLOOKUP($A57, INDIRECT("DicR!$A$6:$ZZ$1048576"), MATCH(AS$1, DicR!$6:$6, 0), FALSE),
            0
        )
)</f>
        <v>0</v>
      </c>
      <c r="AT57" s="36">
        <f t="array" ref="AT57">SUM(
    IFERROR(
            VLOOKUP($A57, INDIRECT("EneR!$A$6:$ZZ$1048576"), MATCH(AT$1, EneR!$6:$6, 0), FALSE),
            0
        ) +
        IFERROR(
            VLOOKUP($A57, INDIRECT("FebR!$A$6:$ZZ$1048576"), MATCH(AT$1, FebR!$6:$6, 0), FALSE),
            0
        ) +
        IFERROR(
            VLOOKUP($A57, INDIRECT("MarR!$A$6:$ZZ$1048576"), MATCH(AT$1, MarR!$6:$6, 0), FALSE),
            0
        ) +
        IFERROR(
            VLOOKUP($A57, INDIRECT("AbrR!$A$6:$ZZ$1048576"), MATCH(AT$1, AbrR!$6:$6, 0), FALSE),
            0
        ) +
        IFERROR(
            VLOOKUP($A57, INDIRECT("MayR!$A$6:$ZZ$1048576"), MATCH(AT$1, MayR!$6:$6, 0), FALSE),
            0
        ) +
        IFERROR(
            VLOOKUP($A57, INDIRECT("JunR!$A$6:$ZZ$1048576"), MATCH(AT$1, JunR!$6:$6, 0), FALSE),
            0
        ) +
        IFERROR(
            VLOOKUP($A57, INDIRECT("JulR!$A$6:$ZZ$1048576"), MATCH(AT$1, JulR!$6:$6, 0), FALSE),
            0
        ) +
        IFERROR(
            VLOOKUP($A57, INDIRECT("AgoR!$A$6:$ZZ$1048576"), MATCH(AT$1, AgoR!$6:$6, 0), FALSE),
            0
        ) +
        IFERROR(
            VLOOKUP($A57, INDIRECT("SepR!$A$6:$ZZ$1048576"), MATCH(AT$1, SepR!$6:$6, 0), FALSE),
            0
        ) +
        IFERROR(
            VLOOKUP($A57, INDIRECT("OctR!$A$6:$ZZ$1048576"), MATCH(AT$1, OctR!$6:$6, 0), FALSE),
            0
        ) +
        IFERROR(
            VLOOKUP($A57, INDIRECT("NovR!$A$6:$ZZ$1048576"), MATCH(AT$1, NovR!$6:$6, 0), FALSE),
            0
        ) +
        IFERROR(
            VLOOKUP($A57, INDIRECT("DicR!$A$6:$ZZ$1048576"), MATCH(AT$1, DicR!$6:$6, 0), FALSE),
            0
        )
)</f>
        <v>0</v>
      </c>
      <c r="AU57" s="35">
        <f t="array" ref="AU57">SUM(
    IFERROR(
            VLOOKUP($A57, INDIRECT("EneR!$A$6:$ZZ$1048576"), MATCH(AU$1, EneR!$6:$6, 0), FALSE),
            0
        ) +
        IFERROR(
            VLOOKUP($A57, INDIRECT("FebR!$A$6:$ZZ$1048576"), MATCH(AU$1, FebR!$6:$6, 0), FALSE),
            0
        ) +
        IFERROR(
            VLOOKUP($A57, INDIRECT("MarR!$A$6:$ZZ$1048576"), MATCH(AU$1, MarR!$6:$6, 0), FALSE),
            0
        ) +
        IFERROR(
            VLOOKUP($A57, INDIRECT("AbrR!$A$6:$ZZ$1048576"), MATCH(AU$1, AbrR!$6:$6, 0), FALSE),
            0
        ) +
        IFERROR(
            VLOOKUP($A57, INDIRECT("MayR!$A$6:$ZZ$1048576"), MATCH(AU$1, MayR!$6:$6, 0), FALSE),
            0
        ) +
        IFERROR(
            VLOOKUP($A57, INDIRECT("JunR!$A$6:$ZZ$1048576"), MATCH(AU$1, JunR!$6:$6, 0), FALSE),
            0
        ) +
        IFERROR(
            VLOOKUP($A57, INDIRECT("JulR!$A$6:$ZZ$1048576"), MATCH(AU$1, JulR!$6:$6, 0), FALSE),
            0
        ) +
        IFERROR(
            VLOOKUP($A57, INDIRECT("AgoR!$A$6:$ZZ$1048576"), MATCH(AU$1, AgoR!$6:$6, 0), FALSE),
            0
        ) +
        IFERROR(
            VLOOKUP($A57, INDIRECT("SepR!$A$6:$ZZ$1048576"), MATCH(AU$1, SepR!$6:$6, 0), FALSE),
            0
        ) +
        IFERROR(
            VLOOKUP($A57, INDIRECT("OctR!$A$6:$ZZ$1048576"), MATCH(AU$1, OctR!$6:$6, 0), FALSE),
            0
        ) +
        IFERROR(
            VLOOKUP($A57, INDIRECT("NovR!$A$6:$ZZ$1048576"), MATCH(AU$1, NovR!$6:$6, 0), FALSE),
            0
        ) +
        IFERROR(
            VLOOKUP($A57, INDIRECT("DicR!$A$6:$ZZ$1048576"), MATCH(AU$1, DicR!$6:$6, 0), FALSE),
            0
        )
)</f>
        <v>0</v>
      </c>
      <c r="AV57" s="36">
        <f t="array" ref="AV57">SUM(
    IFERROR(
            VLOOKUP($A57, INDIRECT("EneR!$A$6:$ZZ$1048576"), MATCH(AV$1, EneR!$6:$6, 0), FALSE),
            0
        ) +
        IFERROR(
            VLOOKUP($A57, INDIRECT("FebR!$A$6:$ZZ$1048576"), MATCH(AV$1, FebR!$6:$6, 0), FALSE),
            0
        ) +
        IFERROR(
            VLOOKUP($A57, INDIRECT("MarR!$A$6:$ZZ$1048576"), MATCH(AV$1, MarR!$6:$6, 0), FALSE),
            0
        ) +
        IFERROR(
            VLOOKUP($A57, INDIRECT("AbrR!$A$6:$ZZ$1048576"), MATCH(AV$1, AbrR!$6:$6, 0), FALSE),
            0
        ) +
        IFERROR(
            VLOOKUP($A57, INDIRECT("MayR!$A$6:$ZZ$1048576"), MATCH(AV$1, MayR!$6:$6, 0), FALSE),
            0
        ) +
        IFERROR(
            VLOOKUP($A57, INDIRECT("JunR!$A$6:$ZZ$1048576"), MATCH(AV$1, JunR!$6:$6, 0), FALSE),
            0
        ) +
        IFERROR(
            VLOOKUP($A57, INDIRECT("JulR!$A$6:$ZZ$1048576"), MATCH(AV$1, JulR!$6:$6, 0), FALSE),
            0
        ) +
        IFERROR(
            VLOOKUP($A57, INDIRECT("AgoR!$A$6:$ZZ$1048576"), MATCH(AV$1, AgoR!$6:$6, 0), FALSE),
            0
        ) +
        IFERROR(
            VLOOKUP($A57, INDIRECT("SepR!$A$6:$ZZ$1048576"), MATCH(AV$1, SepR!$6:$6, 0), FALSE),
            0
        ) +
        IFERROR(
            VLOOKUP($A57, INDIRECT("OctR!$A$6:$ZZ$1048576"), MATCH(AV$1, OctR!$6:$6, 0), FALSE),
            0
        ) +
        IFERROR(
            VLOOKUP($A57, INDIRECT("NovR!$A$6:$ZZ$1048576"), MATCH(AV$1, NovR!$6:$6, 0), FALSE),
            0
        ) +
        IFERROR(
            VLOOKUP($A57, INDIRECT("DicR!$A$6:$ZZ$1048576"), MATCH(AV$1, DicR!$6:$6, 0), FALSE),
            0
        )
)</f>
        <v>0</v>
      </c>
      <c r="AW57" s="35">
        <f t="array" ref="AW57">SUM(
    IFERROR(
            VLOOKUP($A57, INDIRECT("EneR!$A$6:$ZZ$1048576"), MATCH(AW$1, EneR!$6:$6, 0), FALSE),
            0
        ) +
        IFERROR(
            VLOOKUP($A57, INDIRECT("FebR!$A$6:$ZZ$1048576"), MATCH(AW$1, FebR!$6:$6, 0), FALSE),
            0
        ) +
        IFERROR(
            VLOOKUP($A57, INDIRECT("MarR!$A$6:$ZZ$1048576"), MATCH(AW$1, MarR!$6:$6, 0), FALSE),
            0
        ) +
        IFERROR(
            VLOOKUP($A57, INDIRECT("AbrR!$A$6:$ZZ$1048576"), MATCH(AW$1, AbrR!$6:$6, 0), FALSE),
            0
        ) +
        IFERROR(
            VLOOKUP($A57, INDIRECT("MayR!$A$6:$ZZ$1048576"), MATCH(AW$1, MayR!$6:$6, 0), FALSE),
            0
        ) +
        IFERROR(
            VLOOKUP($A57, INDIRECT("JunR!$A$6:$ZZ$1048576"), MATCH(AW$1, JunR!$6:$6, 0), FALSE),
            0
        ) +
        IFERROR(
            VLOOKUP($A57, INDIRECT("JulR!$A$6:$ZZ$1048576"), MATCH(AW$1, JulR!$6:$6, 0), FALSE),
            0
        ) +
        IFERROR(
            VLOOKUP($A57, INDIRECT("AgoR!$A$6:$ZZ$1048576"), MATCH(AW$1, AgoR!$6:$6, 0), FALSE),
            0
        ) +
        IFERROR(
            VLOOKUP($A57, INDIRECT("SepR!$A$6:$ZZ$1048576"), MATCH(AW$1, SepR!$6:$6, 0), FALSE),
            0
        ) +
        IFERROR(
            VLOOKUP($A57, INDIRECT("OctR!$A$6:$ZZ$1048576"), MATCH(AW$1, OctR!$6:$6, 0), FALSE),
            0
        ) +
        IFERROR(
            VLOOKUP($A57, INDIRECT("NovR!$A$6:$ZZ$1048576"), MATCH(AW$1, NovR!$6:$6, 0), FALSE),
            0
        ) +
        IFERROR(
            VLOOKUP($A57, INDIRECT("DicR!$A$6:$ZZ$1048576"), MATCH(AW$1, DicR!$6:$6, 0), FALSE),
            0
        )
)</f>
        <v>0</v>
      </c>
      <c r="AX57" s="36">
        <f t="array" ref="AX57">SUM(
    IFERROR(
            VLOOKUP($A57, INDIRECT("EneR!$A$6:$ZZ$1048576"), MATCH(AX$1, EneR!$6:$6, 0), FALSE),
            0
        ) +
        IFERROR(
            VLOOKUP($A57, INDIRECT("FebR!$A$6:$ZZ$1048576"), MATCH(AX$1, FebR!$6:$6, 0), FALSE),
            0
        ) +
        IFERROR(
            VLOOKUP($A57, INDIRECT("MarR!$A$6:$ZZ$1048576"), MATCH(AX$1, MarR!$6:$6, 0), FALSE),
            0
        ) +
        IFERROR(
            VLOOKUP($A57, INDIRECT("AbrR!$A$6:$ZZ$1048576"), MATCH(AX$1, AbrR!$6:$6, 0), FALSE),
            0
        ) +
        IFERROR(
            VLOOKUP($A57, INDIRECT("MayR!$A$6:$ZZ$1048576"), MATCH(AX$1, MayR!$6:$6, 0), FALSE),
            0
        ) +
        IFERROR(
            VLOOKUP($A57, INDIRECT("JunR!$A$6:$ZZ$1048576"), MATCH(AX$1, JunR!$6:$6, 0), FALSE),
            0
        ) +
        IFERROR(
            VLOOKUP($A57, INDIRECT("JulR!$A$6:$ZZ$1048576"), MATCH(AX$1, JulR!$6:$6, 0), FALSE),
            0
        ) +
        IFERROR(
            VLOOKUP($A57, INDIRECT("AgoR!$A$6:$ZZ$1048576"), MATCH(AX$1, AgoR!$6:$6, 0), FALSE),
            0
        ) +
        IFERROR(
            VLOOKUP($A57, INDIRECT("SepR!$A$6:$ZZ$1048576"), MATCH(AX$1, SepR!$6:$6, 0), FALSE),
            0
        ) +
        IFERROR(
            VLOOKUP($A57, INDIRECT("OctR!$A$6:$ZZ$1048576"), MATCH(AX$1, OctR!$6:$6, 0), FALSE),
            0
        ) +
        IFERROR(
            VLOOKUP($A57, INDIRECT("NovR!$A$6:$ZZ$1048576"), MATCH(AX$1, NovR!$6:$6, 0), FALSE),
            0
        ) +
        IFERROR(
            VLOOKUP($A57, INDIRECT("DicR!$A$6:$ZZ$1048576"), MATCH(AX$1, DicR!$6:$6, 0), FALSE),
            0
        )
)</f>
        <v>0</v>
      </c>
      <c r="AY57" s="35">
        <f t="array" ref="AY57">SUM(
    IFERROR(
            VLOOKUP($A57, INDIRECT("EneR!$A$6:$ZZ$1048576"), MATCH(AY$1, EneR!$6:$6, 0), FALSE),
            0
        ) +
        IFERROR(
            VLOOKUP($A57, INDIRECT("FebR!$A$6:$ZZ$1048576"), MATCH(AY$1, FebR!$6:$6, 0), FALSE),
            0
        ) +
        IFERROR(
            VLOOKUP($A57, INDIRECT("MarR!$A$6:$ZZ$1048576"), MATCH(AY$1, MarR!$6:$6, 0), FALSE),
            0
        ) +
        IFERROR(
            VLOOKUP($A57, INDIRECT("AbrR!$A$6:$ZZ$1048576"), MATCH(AY$1, AbrR!$6:$6, 0), FALSE),
            0
        ) +
        IFERROR(
            VLOOKUP($A57, INDIRECT("MayR!$A$6:$ZZ$1048576"), MATCH(AY$1, MayR!$6:$6, 0), FALSE),
            0
        ) +
        IFERROR(
            VLOOKUP($A57, INDIRECT("JunR!$A$6:$ZZ$1048576"), MATCH(AY$1, JunR!$6:$6, 0), FALSE),
            0
        ) +
        IFERROR(
            VLOOKUP($A57, INDIRECT("JulR!$A$6:$ZZ$1048576"), MATCH(AY$1, JulR!$6:$6, 0), FALSE),
            0
        ) +
        IFERROR(
            VLOOKUP($A57, INDIRECT("AgoR!$A$6:$ZZ$1048576"), MATCH(AY$1, AgoR!$6:$6, 0), FALSE),
            0
        ) +
        IFERROR(
            VLOOKUP($A57, INDIRECT("SepR!$A$6:$ZZ$1048576"), MATCH(AY$1, SepR!$6:$6, 0), FALSE),
            0
        ) +
        IFERROR(
            VLOOKUP($A57, INDIRECT("OctR!$A$6:$ZZ$1048576"), MATCH(AY$1, OctR!$6:$6, 0), FALSE),
            0
        ) +
        IFERROR(
            VLOOKUP($A57, INDIRECT("NovR!$A$6:$ZZ$1048576"), MATCH(AY$1, NovR!$6:$6, 0), FALSE),
            0
        ) +
        IFERROR(
            VLOOKUP($A57, INDIRECT("DicR!$A$6:$ZZ$1048576"), MATCH(AY$1, DicR!$6:$6, 0), FALSE),
            0
        )
)</f>
        <v>0</v>
      </c>
      <c r="AZ57" s="35"/>
    </row>
    <row r="58" ht="15.75" customHeight="1">
      <c r="A58" s="12" t="str">
        <f>Menus!B19</f>
        <v/>
      </c>
      <c r="B58" s="32">
        <f t="shared" si="9"/>
        <v>0</v>
      </c>
      <c r="C58" s="33" t="str">
        <f t="shared" si="10"/>
        <v/>
      </c>
      <c r="D58" s="34">
        <f t="array" ref="D58">SUM(
    IFERROR(
            VLOOKUP($A58, INDIRECT("EneR!$A$6:$ZZ$1048576"), MATCH(D$1, EneR!$6:$6, 0), FALSE),
            0
        ) +
        IFERROR(
            VLOOKUP($A58, INDIRECT("FebR!$A$6:$ZZ$1048576"), MATCH(D$1, FebR!$6:$6, 0), FALSE),
            0
        ) +
        IFERROR(
            VLOOKUP($A58, INDIRECT("MarR!$A$6:$ZZ$1048576"), MATCH(D$1, MarR!$6:$6, 0), FALSE),
            0
        ) +
        IFERROR(
            VLOOKUP($A58, INDIRECT("AbrR!$A$6:$ZZ$1048576"), MATCH(D$1, AbrR!$6:$6, 0), FALSE),
            0
        ) +
        IFERROR(
            VLOOKUP($A58, INDIRECT("MayR!$A$6:$ZZ$1048576"), MATCH(D$1, MayR!$6:$6, 0), FALSE),
            0
        ) +
        IFERROR(
            VLOOKUP($A58, INDIRECT("JunR!$A$6:$ZZ$1048576"), MATCH(D$1, JunR!$6:$6, 0), FALSE),
            0
        ) +
        IFERROR(
            VLOOKUP($A58, INDIRECT("JulR!$A$6:$ZZ$1048576"), MATCH(D$1, JulR!$6:$6, 0), FALSE),
            0
        ) +
        IFERROR(
            VLOOKUP($A58, INDIRECT("AgoR!$A$6:$ZZ$1048576"), MATCH(D$1, AgoR!$6:$6, 0), FALSE),
            0
        ) +
        IFERROR(
            VLOOKUP($A58, INDIRECT("SepR!$A$6:$ZZ$1048576"), MATCH(D$1, SepR!$6:$6, 0), FALSE),
            0
        ) +
        IFERROR(
            VLOOKUP($A58, INDIRECT("OctR!$A$6:$ZZ$1048576"), MATCH(D$1, OctR!$6:$6, 0), FALSE),
            0
        ) +
        IFERROR(
            VLOOKUP($A58, INDIRECT("NovR!$A$6:$ZZ$1048576"), MATCH(D$1, NovR!$6:$6, 0), FALSE),
            0
        ) +
        IFERROR(
            VLOOKUP($A58, INDIRECT("DicR!$A$6:$ZZ$1048576"), MATCH(D$1, DicR!$6:$6, 0), FALSE),
            0
        )
)</f>
        <v>0</v>
      </c>
      <c r="E58" s="35">
        <f t="array" ref="E58">SUM(
    IFERROR(
            VLOOKUP($A58, INDIRECT("EneR!$A$6:$ZZ$1048576"), MATCH(E$1, EneR!$6:$6, 0), FALSE),
            0
        ) +
        IFERROR(
            VLOOKUP($A58, INDIRECT("FebR!$A$6:$ZZ$1048576"), MATCH(E$1, FebR!$6:$6, 0), FALSE),
            0
        ) +
        IFERROR(
            VLOOKUP($A58, INDIRECT("MarR!$A$6:$ZZ$1048576"), MATCH(E$1, MarR!$6:$6, 0), FALSE),
            0
        ) +
        IFERROR(
            VLOOKUP($A58, INDIRECT("AbrR!$A$6:$ZZ$1048576"), MATCH(E$1, AbrR!$6:$6, 0), FALSE),
            0
        ) +
        IFERROR(
            VLOOKUP($A58, INDIRECT("MayR!$A$6:$ZZ$1048576"), MATCH(E$1, MayR!$6:$6, 0), FALSE),
            0
        ) +
        IFERROR(
            VLOOKUP($A58, INDIRECT("JunR!$A$6:$ZZ$1048576"), MATCH(E$1, JunR!$6:$6, 0), FALSE),
            0
        ) +
        IFERROR(
            VLOOKUP($A58, INDIRECT("JulR!$A$6:$ZZ$1048576"), MATCH(E$1, JulR!$6:$6, 0), FALSE),
            0
        ) +
        IFERROR(
            VLOOKUP($A58, INDIRECT("AgoR!$A$6:$ZZ$1048576"), MATCH(E$1, AgoR!$6:$6, 0), FALSE),
            0
        ) +
        IFERROR(
            VLOOKUP($A58, INDIRECT("SepR!$A$6:$ZZ$1048576"), MATCH(E$1, SepR!$6:$6, 0), FALSE),
            0
        ) +
        IFERROR(
            VLOOKUP($A58, INDIRECT("OctR!$A$6:$ZZ$1048576"), MATCH(E$1, OctR!$6:$6, 0), FALSE),
            0
        ) +
        IFERROR(
            VLOOKUP($A58, INDIRECT("NovR!$A$6:$ZZ$1048576"), MATCH(E$1, NovR!$6:$6, 0), FALSE),
            0
        ) +
        IFERROR(
            VLOOKUP($A58, INDIRECT("DicR!$A$6:$ZZ$1048576"), MATCH(E$1, DicR!$6:$6, 0), FALSE),
            0
        )
)</f>
        <v>0</v>
      </c>
      <c r="F58" s="32">
        <f t="array" ref="F58">SUM(
    IFERROR(
            VLOOKUP($A58, INDIRECT("EneR!$A$6:$ZZ$1048576"), MATCH(F$1, EneR!$6:$6, 0), FALSE),
            0
        ) +
        IFERROR(
            VLOOKUP($A58, INDIRECT("FebR!$A$6:$ZZ$1048576"), MATCH(F$1, FebR!$6:$6, 0), FALSE),
            0
        ) +
        IFERROR(
            VLOOKUP($A58, INDIRECT("MarR!$A$6:$ZZ$1048576"), MATCH(F$1, MarR!$6:$6, 0), FALSE),
            0
        ) +
        IFERROR(
            VLOOKUP($A58, INDIRECT("AbrR!$A$6:$ZZ$1048576"), MATCH(F$1, AbrR!$6:$6, 0), FALSE),
            0
        ) +
        IFERROR(
            VLOOKUP($A58, INDIRECT("MayR!$A$6:$ZZ$1048576"), MATCH(F$1, MayR!$6:$6, 0), FALSE),
            0
        ) +
        IFERROR(
            VLOOKUP($A58, INDIRECT("JunR!$A$6:$ZZ$1048576"), MATCH(F$1, JunR!$6:$6, 0), FALSE),
            0
        ) +
        IFERROR(
            VLOOKUP($A58, INDIRECT("JulR!$A$6:$ZZ$1048576"), MATCH(F$1, JulR!$6:$6, 0), FALSE),
            0
        ) +
        IFERROR(
            VLOOKUP($A58, INDIRECT("AgoR!$A$6:$ZZ$1048576"), MATCH(F$1, AgoR!$6:$6, 0), FALSE),
            0
        ) +
        IFERROR(
            VLOOKUP($A58, INDIRECT("SepR!$A$6:$ZZ$1048576"), MATCH(F$1, SepR!$6:$6, 0), FALSE),
            0
        ) +
        IFERROR(
            VLOOKUP($A58, INDIRECT("OctR!$A$6:$ZZ$1048576"), MATCH(F$1, OctR!$6:$6, 0), FALSE),
            0
        ) +
        IFERROR(
            VLOOKUP($A58, INDIRECT("NovR!$A$6:$ZZ$1048576"), MATCH(F$1, NovR!$6:$6, 0), FALSE),
            0
        ) +
        IFERROR(
            VLOOKUP($A58, INDIRECT("DicR!$A$6:$ZZ$1048576"), MATCH(F$1, DicR!$6:$6, 0), FALSE),
            0
        )
)</f>
        <v>0</v>
      </c>
      <c r="G58" s="35">
        <f t="array" ref="G58">SUM(
    IFERROR(
            VLOOKUP($A58, INDIRECT("EneR!$A$6:$ZZ$1048576"), MATCH(G$1, EneR!$6:$6, 0), FALSE),
            0
        ) +
        IFERROR(
            VLOOKUP($A58, INDIRECT("FebR!$A$6:$ZZ$1048576"), MATCH(G$1, FebR!$6:$6, 0), FALSE),
            0
        ) +
        IFERROR(
            VLOOKUP($A58, INDIRECT("MarR!$A$6:$ZZ$1048576"), MATCH(G$1, MarR!$6:$6, 0), FALSE),
            0
        ) +
        IFERROR(
            VLOOKUP($A58, INDIRECT("AbrR!$A$6:$ZZ$1048576"), MATCH(G$1, AbrR!$6:$6, 0), FALSE),
            0
        ) +
        IFERROR(
            VLOOKUP($A58, INDIRECT("MayR!$A$6:$ZZ$1048576"), MATCH(G$1, MayR!$6:$6, 0), FALSE),
            0
        ) +
        IFERROR(
            VLOOKUP($A58, INDIRECT("JunR!$A$6:$ZZ$1048576"), MATCH(G$1, JunR!$6:$6, 0), FALSE),
            0
        ) +
        IFERROR(
            VLOOKUP($A58, INDIRECT("JulR!$A$6:$ZZ$1048576"), MATCH(G$1, JulR!$6:$6, 0), FALSE),
            0
        ) +
        IFERROR(
            VLOOKUP($A58, INDIRECT("AgoR!$A$6:$ZZ$1048576"), MATCH(G$1, AgoR!$6:$6, 0), FALSE),
            0
        ) +
        IFERROR(
            VLOOKUP($A58, INDIRECT("SepR!$A$6:$ZZ$1048576"), MATCH(G$1, SepR!$6:$6, 0), FALSE),
            0
        ) +
        IFERROR(
            VLOOKUP($A58, INDIRECT("OctR!$A$6:$ZZ$1048576"), MATCH(G$1, OctR!$6:$6, 0), FALSE),
            0
        ) +
        IFERROR(
            VLOOKUP($A58, INDIRECT("NovR!$A$6:$ZZ$1048576"), MATCH(G$1, NovR!$6:$6, 0), FALSE),
            0
        ) +
        IFERROR(
            VLOOKUP($A58, INDIRECT("DicR!$A$6:$ZZ$1048576"), MATCH(G$1, DicR!$6:$6, 0), FALSE),
            0
        )
)</f>
        <v>0</v>
      </c>
      <c r="H58" s="32">
        <f t="array" ref="H58">SUM(
    IFERROR(
            VLOOKUP($A58, INDIRECT("EneR!$A$6:$ZZ$1048576"), MATCH(H$1, EneR!$6:$6, 0), FALSE),
            0
        ) +
        IFERROR(
            VLOOKUP($A58, INDIRECT("FebR!$A$6:$ZZ$1048576"), MATCH(H$1, FebR!$6:$6, 0), FALSE),
            0
        ) +
        IFERROR(
            VLOOKUP($A58, INDIRECT("MarR!$A$6:$ZZ$1048576"), MATCH(H$1, MarR!$6:$6, 0), FALSE),
            0
        ) +
        IFERROR(
            VLOOKUP($A58, INDIRECT("AbrR!$A$6:$ZZ$1048576"), MATCH(H$1, AbrR!$6:$6, 0), FALSE),
            0
        ) +
        IFERROR(
            VLOOKUP($A58, INDIRECT("MayR!$A$6:$ZZ$1048576"), MATCH(H$1, MayR!$6:$6, 0), FALSE),
            0
        ) +
        IFERROR(
            VLOOKUP($A58, INDIRECT("JunR!$A$6:$ZZ$1048576"), MATCH(H$1, JunR!$6:$6, 0), FALSE),
            0
        ) +
        IFERROR(
            VLOOKUP($A58, INDIRECT("JulR!$A$6:$ZZ$1048576"), MATCH(H$1, JulR!$6:$6, 0), FALSE),
            0
        ) +
        IFERROR(
            VLOOKUP($A58, INDIRECT("AgoR!$A$6:$ZZ$1048576"), MATCH(H$1, AgoR!$6:$6, 0), FALSE),
            0
        ) +
        IFERROR(
            VLOOKUP($A58, INDIRECT("SepR!$A$6:$ZZ$1048576"), MATCH(H$1, SepR!$6:$6, 0), FALSE),
            0
        ) +
        IFERROR(
            VLOOKUP($A58, INDIRECT("OctR!$A$6:$ZZ$1048576"), MATCH(H$1, OctR!$6:$6, 0), FALSE),
            0
        ) +
        IFERROR(
            VLOOKUP($A58, INDIRECT("NovR!$A$6:$ZZ$1048576"), MATCH(H$1, NovR!$6:$6, 0), FALSE),
            0
        ) +
        IFERROR(
            VLOOKUP($A58, INDIRECT("DicR!$A$6:$ZZ$1048576"), MATCH(H$1, DicR!$6:$6, 0), FALSE),
            0
        )
)</f>
        <v>0</v>
      </c>
      <c r="I58" s="35">
        <f t="array" ref="I58">SUM(
    IFERROR(
            VLOOKUP($A58, INDIRECT("EneR!$A$6:$ZZ$1048576"), MATCH(I$1, EneR!$6:$6, 0), FALSE),
            0
        ) +
        IFERROR(
            VLOOKUP($A58, INDIRECT("FebR!$A$6:$ZZ$1048576"), MATCH(I$1, FebR!$6:$6, 0), FALSE),
            0
        ) +
        IFERROR(
            VLOOKUP($A58, INDIRECT("MarR!$A$6:$ZZ$1048576"), MATCH(I$1, MarR!$6:$6, 0), FALSE),
            0
        ) +
        IFERROR(
            VLOOKUP($A58, INDIRECT("AbrR!$A$6:$ZZ$1048576"), MATCH(I$1, AbrR!$6:$6, 0), FALSE),
            0
        ) +
        IFERROR(
            VLOOKUP($A58, INDIRECT("MayR!$A$6:$ZZ$1048576"), MATCH(I$1, MayR!$6:$6, 0), FALSE),
            0
        ) +
        IFERROR(
            VLOOKUP($A58, INDIRECT("JunR!$A$6:$ZZ$1048576"), MATCH(I$1, JunR!$6:$6, 0), FALSE),
            0
        ) +
        IFERROR(
            VLOOKUP($A58, INDIRECT("JulR!$A$6:$ZZ$1048576"), MATCH(I$1, JulR!$6:$6, 0), FALSE),
            0
        ) +
        IFERROR(
            VLOOKUP($A58, INDIRECT("AgoR!$A$6:$ZZ$1048576"), MATCH(I$1, AgoR!$6:$6, 0), FALSE),
            0
        ) +
        IFERROR(
            VLOOKUP($A58, INDIRECT("SepR!$A$6:$ZZ$1048576"), MATCH(I$1, SepR!$6:$6, 0), FALSE),
            0
        ) +
        IFERROR(
            VLOOKUP($A58, INDIRECT("OctR!$A$6:$ZZ$1048576"), MATCH(I$1, OctR!$6:$6, 0), FALSE),
            0
        ) +
        IFERROR(
            VLOOKUP($A58, INDIRECT("NovR!$A$6:$ZZ$1048576"), MATCH(I$1, NovR!$6:$6, 0), FALSE),
            0
        ) +
        IFERROR(
            VLOOKUP($A58, INDIRECT("DicR!$A$6:$ZZ$1048576"), MATCH(I$1, DicR!$6:$6, 0), FALSE),
            0
        )
)</f>
        <v>0</v>
      </c>
      <c r="J58" s="32">
        <f t="array" ref="J58">SUM(
    IFERROR(
            VLOOKUP($A58, INDIRECT("EneR!$A$6:$ZZ$1048576"), MATCH(J$1, EneR!$6:$6, 0), FALSE),
            0
        ) +
        IFERROR(
            VLOOKUP($A58, INDIRECT("FebR!$A$6:$ZZ$1048576"), MATCH(J$1, FebR!$6:$6, 0), FALSE),
            0
        ) +
        IFERROR(
            VLOOKUP($A58, INDIRECT("MarR!$A$6:$ZZ$1048576"), MATCH(J$1, MarR!$6:$6, 0), FALSE),
            0
        ) +
        IFERROR(
            VLOOKUP($A58, INDIRECT("AbrR!$A$6:$ZZ$1048576"), MATCH(J$1, AbrR!$6:$6, 0), FALSE),
            0
        ) +
        IFERROR(
            VLOOKUP($A58, INDIRECT("MayR!$A$6:$ZZ$1048576"), MATCH(J$1, MayR!$6:$6, 0), FALSE),
            0
        ) +
        IFERROR(
            VLOOKUP($A58, INDIRECT("JunR!$A$6:$ZZ$1048576"), MATCH(J$1, JunR!$6:$6, 0), FALSE),
            0
        ) +
        IFERROR(
            VLOOKUP($A58, INDIRECT("JulR!$A$6:$ZZ$1048576"), MATCH(J$1, JulR!$6:$6, 0), FALSE),
            0
        ) +
        IFERROR(
            VLOOKUP($A58, INDIRECT("AgoR!$A$6:$ZZ$1048576"), MATCH(J$1, AgoR!$6:$6, 0), FALSE),
            0
        ) +
        IFERROR(
            VLOOKUP($A58, INDIRECT("SepR!$A$6:$ZZ$1048576"), MATCH(J$1, SepR!$6:$6, 0), FALSE),
            0
        ) +
        IFERROR(
            VLOOKUP($A58, INDIRECT("OctR!$A$6:$ZZ$1048576"), MATCH(J$1, OctR!$6:$6, 0), FALSE),
            0
        ) +
        IFERROR(
            VLOOKUP($A58, INDIRECT("NovR!$A$6:$ZZ$1048576"), MATCH(J$1, NovR!$6:$6, 0), FALSE),
            0
        ) +
        IFERROR(
            VLOOKUP($A58, INDIRECT("DicR!$A$6:$ZZ$1048576"), MATCH(J$1, DicR!$6:$6, 0), FALSE),
            0
        )
)</f>
        <v>0</v>
      </c>
      <c r="K58" s="35">
        <f t="array" ref="K58">SUM(
    IFERROR(
            VLOOKUP($A58, INDIRECT("EneR!$A$6:$ZZ$1048576"), MATCH(K$1, EneR!$6:$6, 0), FALSE),
            0
        ) +
        IFERROR(
            VLOOKUP($A58, INDIRECT("FebR!$A$6:$ZZ$1048576"), MATCH(K$1, FebR!$6:$6, 0), FALSE),
            0
        ) +
        IFERROR(
            VLOOKUP($A58, INDIRECT("MarR!$A$6:$ZZ$1048576"), MATCH(K$1, MarR!$6:$6, 0), FALSE),
            0
        ) +
        IFERROR(
            VLOOKUP($A58, INDIRECT("AbrR!$A$6:$ZZ$1048576"), MATCH(K$1, AbrR!$6:$6, 0), FALSE),
            0
        ) +
        IFERROR(
            VLOOKUP($A58, INDIRECT("MayR!$A$6:$ZZ$1048576"), MATCH(K$1, MayR!$6:$6, 0), FALSE),
            0
        ) +
        IFERROR(
            VLOOKUP($A58, INDIRECT("JunR!$A$6:$ZZ$1048576"), MATCH(K$1, JunR!$6:$6, 0), FALSE),
            0
        ) +
        IFERROR(
            VLOOKUP($A58, INDIRECT("JulR!$A$6:$ZZ$1048576"), MATCH(K$1, JulR!$6:$6, 0), FALSE),
            0
        ) +
        IFERROR(
            VLOOKUP($A58, INDIRECT("AgoR!$A$6:$ZZ$1048576"), MATCH(K$1, AgoR!$6:$6, 0), FALSE),
            0
        ) +
        IFERROR(
            VLOOKUP($A58, INDIRECT("SepR!$A$6:$ZZ$1048576"), MATCH(K$1, SepR!$6:$6, 0), FALSE),
            0
        ) +
        IFERROR(
            VLOOKUP($A58, INDIRECT("OctR!$A$6:$ZZ$1048576"), MATCH(K$1, OctR!$6:$6, 0), FALSE),
            0
        ) +
        IFERROR(
            VLOOKUP($A58, INDIRECT("NovR!$A$6:$ZZ$1048576"), MATCH(K$1, NovR!$6:$6, 0), FALSE),
            0
        ) +
        IFERROR(
            VLOOKUP($A58, INDIRECT("DicR!$A$6:$ZZ$1048576"), MATCH(K$1, DicR!$6:$6, 0), FALSE),
            0
        )
)</f>
        <v>0</v>
      </c>
      <c r="L58" s="32">
        <f t="array" ref="L58">SUM(
    IFERROR(
            VLOOKUP($A58, INDIRECT("EneR!$A$6:$ZZ$1048576"), MATCH(L$1, EneR!$6:$6, 0), FALSE),
            0
        ) +
        IFERROR(
            VLOOKUP($A58, INDIRECT("FebR!$A$6:$ZZ$1048576"), MATCH(L$1, FebR!$6:$6, 0), FALSE),
            0
        ) +
        IFERROR(
            VLOOKUP($A58, INDIRECT("MarR!$A$6:$ZZ$1048576"), MATCH(L$1, MarR!$6:$6, 0), FALSE),
            0
        ) +
        IFERROR(
            VLOOKUP($A58, INDIRECT("AbrR!$A$6:$ZZ$1048576"), MATCH(L$1, AbrR!$6:$6, 0), FALSE),
            0
        ) +
        IFERROR(
            VLOOKUP($A58, INDIRECT("MayR!$A$6:$ZZ$1048576"), MATCH(L$1, MayR!$6:$6, 0), FALSE),
            0
        ) +
        IFERROR(
            VLOOKUP($A58, INDIRECT("JunR!$A$6:$ZZ$1048576"), MATCH(L$1, JunR!$6:$6, 0), FALSE),
            0
        ) +
        IFERROR(
            VLOOKUP($A58, INDIRECT("JulR!$A$6:$ZZ$1048576"), MATCH(L$1, JulR!$6:$6, 0), FALSE),
            0
        ) +
        IFERROR(
            VLOOKUP($A58, INDIRECT("AgoR!$A$6:$ZZ$1048576"), MATCH(L$1, AgoR!$6:$6, 0), FALSE),
            0
        ) +
        IFERROR(
            VLOOKUP($A58, INDIRECT("SepR!$A$6:$ZZ$1048576"), MATCH(L$1, SepR!$6:$6, 0), FALSE),
            0
        ) +
        IFERROR(
            VLOOKUP($A58, INDIRECT("OctR!$A$6:$ZZ$1048576"), MATCH(L$1, OctR!$6:$6, 0), FALSE),
            0
        ) +
        IFERROR(
            VLOOKUP($A58, INDIRECT("NovR!$A$6:$ZZ$1048576"), MATCH(L$1, NovR!$6:$6, 0), FALSE),
            0
        ) +
        IFERROR(
            VLOOKUP($A58, INDIRECT("DicR!$A$6:$ZZ$1048576"), MATCH(L$1, DicR!$6:$6, 0), FALSE),
            0
        )
)</f>
        <v>0</v>
      </c>
      <c r="M58" s="35">
        <f t="array" ref="M58">SUM(
    IFERROR(
            VLOOKUP($A58, INDIRECT("EneR!$A$6:$ZZ$1048576"), MATCH(M$1, EneR!$6:$6, 0), FALSE),
            0
        ) +
        IFERROR(
            VLOOKUP($A58, INDIRECT("FebR!$A$6:$ZZ$1048576"), MATCH(M$1, FebR!$6:$6, 0), FALSE),
            0
        ) +
        IFERROR(
            VLOOKUP($A58, INDIRECT("MarR!$A$6:$ZZ$1048576"), MATCH(M$1, MarR!$6:$6, 0), FALSE),
            0
        ) +
        IFERROR(
            VLOOKUP($A58, INDIRECT("AbrR!$A$6:$ZZ$1048576"), MATCH(M$1, AbrR!$6:$6, 0), FALSE),
            0
        ) +
        IFERROR(
            VLOOKUP($A58, INDIRECT("MayR!$A$6:$ZZ$1048576"), MATCH(M$1, MayR!$6:$6, 0), FALSE),
            0
        ) +
        IFERROR(
            VLOOKUP($A58, INDIRECT("JunR!$A$6:$ZZ$1048576"), MATCH(M$1, JunR!$6:$6, 0), FALSE),
            0
        ) +
        IFERROR(
            VLOOKUP($A58, INDIRECT("JulR!$A$6:$ZZ$1048576"), MATCH(M$1, JulR!$6:$6, 0), FALSE),
            0
        ) +
        IFERROR(
            VLOOKUP($A58, INDIRECT("AgoR!$A$6:$ZZ$1048576"), MATCH(M$1, AgoR!$6:$6, 0), FALSE),
            0
        ) +
        IFERROR(
            VLOOKUP($A58, INDIRECT("SepR!$A$6:$ZZ$1048576"), MATCH(M$1, SepR!$6:$6, 0), FALSE),
            0
        ) +
        IFERROR(
            VLOOKUP($A58, INDIRECT("OctR!$A$6:$ZZ$1048576"), MATCH(M$1, OctR!$6:$6, 0), FALSE),
            0
        ) +
        IFERROR(
            VLOOKUP($A58, INDIRECT("NovR!$A$6:$ZZ$1048576"), MATCH(M$1, NovR!$6:$6, 0), FALSE),
            0
        ) +
        IFERROR(
            VLOOKUP($A58, INDIRECT("DicR!$A$6:$ZZ$1048576"), MATCH(M$1, DicR!$6:$6, 0), FALSE),
            0
        )
)</f>
        <v>0</v>
      </c>
      <c r="N58" s="32">
        <f t="array" ref="N58">SUM(
    IFERROR(
            VLOOKUP($A58, INDIRECT("EneR!$A$6:$ZZ$1048576"), MATCH(N$1, EneR!$6:$6, 0), FALSE),
            0
        ) +
        IFERROR(
            VLOOKUP($A58, INDIRECT("FebR!$A$6:$ZZ$1048576"), MATCH(N$1, FebR!$6:$6, 0), FALSE),
            0
        ) +
        IFERROR(
            VLOOKUP($A58, INDIRECT("MarR!$A$6:$ZZ$1048576"), MATCH(N$1, MarR!$6:$6, 0), FALSE),
            0
        ) +
        IFERROR(
            VLOOKUP($A58, INDIRECT("AbrR!$A$6:$ZZ$1048576"), MATCH(N$1, AbrR!$6:$6, 0), FALSE),
            0
        ) +
        IFERROR(
            VLOOKUP($A58, INDIRECT("MayR!$A$6:$ZZ$1048576"), MATCH(N$1, MayR!$6:$6, 0), FALSE),
            0
        ) +
        IFERROR(
            VLOOKUP($A58, INDIRECT("JunR!$A$6:$ZZ$1048576"), MATCH(N$1, JunR!$6:$6, 0), FALSE),
            0
        ) +
        IFERROR(
            VLOOKUP($A58, INDIRECT("JulR!$A$6:$ZZ$1048576"), MATCH(N$1, JulR!$6:$6, 0), FALSE),
            0
        ) +
        IFERROR(
            VLOOKUP($A58, INDIRECT("AgoR!$A$6:$ZZ$1048576"), MATCH(N$1, AgoR!$6:$6, 0), FALSE),
            0
        ) +
        IFERROR(
            VLOOKUP($A58, INDIRECT("SepR!$A$6:$ZZ$1048576"), MATCH(N$1, SepR!$6:$6, 0), FALSE),
            0
        ) +
        IFERROR(
            VLOOKUP($A58, INDIRECT("OctR!$A$6:$ZZ$1048576"), MATCH(N$1, OctR!$6:$6, 0), FALSE),
            0
        ) +
        IFERROR(
            VLOOKUP($A58, INDIRECT("NovR!$A$6:$ZZ$1048576"), MATCH(N$1, NovR!$6:$6, 0), FALSE),
            0
        ) +
        IFERROR(
            VLOOKUP($A58, INDIRECT("DicR!$A$6:$ZZ$1048576"), MATCH(N$1, DicR!$6:$6, 0), FALSE),
            0
        )
)</f>
        <v>0</v>
      </c>
      <c r="O58" s="35">
        <f t="array" ref="O58">SUM(
    IFERROR(
            VLOOKUP($A58, INDIRECT("EneR!$A$6:$ZZ$1048576"), MATCH(O$1, EneR!$6:$6, 0), FALSE),
            0
        ) +
        IFERROR(
            VLOOKUP($A58, INDIRECT("FebR!$A$6:$ZZ$1048576"), MATCH(O$1, FebR!$6:$6, 0), FALSE),
            0
        ) +
        IFERROR(
            VLOOKUP($A58, INDIRECT("MarR!$A$6:$ZZ$1048576"), MATCH(O$1, MarR!$6:$6, 0), FALSE),
            0
        ) +
        IFERROR(
            VLOOKUP($A58, INDIRECT("AbrR!$A$6:$ZZ$1048576"), MATCH(O$1, AbrR!$6:$6, 0), FALSE),
            0
        ) +
        IFERROR(
            VLOOKUP($A58, INDIRECT("MayR!$A$6:$ZZ$1048576"), MATCH(O$1, MayR!$6:$6, 0), FALSE),
            0
        ) +
        IFERROR(
            VLOOKUP($A58, INDIRECT("JunR!$A$6:$ZZ$1048576"), MATCH(O$1, JunR!$6:$6, 0), FALSE),
            0
        ) +
        IFERROR(
            VLOOKUP($A58, INDIRECT("JulR!$A$6:$ZZ$1048576"), MATCH(O$1, JulR!$6:$6, 0), FALSE),
            0
        ) +
        IFERROR(
            VLOOKUP($A58, INDIRECT("AgoR!$A$6:$ZZ$1048576"), MATCH(O$1, AgoR!$6:$6, 0), FALSE),
            0
        ) +
        IFERROR(
            VLOOKUP($A58, INDIRECT("SepR!$A$6:$ZZ$1048576"), MATCH(O$1, SepR!$6:$6, 0), FALSE),
            0
        ) +
        IFERROR(
            VLOOKUP($A58, INDIRECT("OctR!$A$6:$ZZ$1048576"), MATCH(O$1, OctR!$6:$6, 0), FALSE),
            0
        ) +
        IFERROR(
            VLOOKUP($A58, INDIRECT("NovR!$A$6:$ZZ$1048576"), MATCH(O$1, NovR!$6:$6, 0), FALSE),
            0
        ) +
        IFERROR(
            VLOOKUP($A58, INDIRECT("DicR!$A$6:$ZZ$1048576"), MATCH(O$1, DicR!$6:$6, 0), FALSE),
            0
        )
)</f>
        <v>0</v>
      </c>
      <c r="P58" s="32">
        <f t="array" ref="P58">SUM(
    IFERROR(
            VLOOKUP($A58, INDIRECT("EneR!$A$6:$ZZ$1048576"), MATCH(P$1, EneR!$6:$6, 0), FALSE),
            0
        ) +
        IFERROR(
            VLOOKUP($A58, INDIRECT("FebR!$A$6:$ZZ$1048576"), MATCH(P$1, FebR!$6:$6, 0), FALSE),
            0
        ) +
        IFERROR(
            VLOOKUP($A58, INDIRECT("MarR!$A$6:$ZZ$1048576"), MATCH(P$1, MarR!$6:$6, 0), FALSE),
            0
        ) +
        IFERROR(
            VLOOKUP($A58, INDIRECT("AbrR!$A$6:$ZZ$1048576"), MATCH(P$1, AbrR!$6:$6, 0), FALSE),
            0
        ) +
        IFERROR(
            VLOOKUP($A58, INDIRECT("MayR!$A$6:$ZZ$1048576"), MATCH(P$1, MayR!$6:$6, 0), FALSE),
            0
        ) +
        IFERROR(
            VLOOKUP($A58, INDIRECT("JunR!$A$6:$ZZ$1048576"), MATCH(P$1, JunR!$6:$6, 0), FALSE),
            0
        ) +
        IFERROR(
            VLOOKUP($A58, INDIRECT("JulR!$A$6:$ZZ$1048576"), MATCH(P$1, JulR!$6:$6, 0), FALSE),
            0
        ) +
        IFERROR(
            VLOOKUP($A58, INDIRECT("AgoR!$A$6:$ZZ$1048576"), MATCH(P$1, AgoR!$6:$6, 0), FALSE),
            0
        ) +
        IFERROR(
            VLOOKUP($A58, INDIRECT("SepR!$A$6:$ZZ$1048576"), MATCH(P$1, SepR!$6:$6, 0), FALSE),
            0
        ) +
        IFERROR(
            VLOOKUP($A58, INDIRECT("OctR!$A$6:$ZZ$1048576"), MATCH(P$1, OctR!$6:$6, 0), FALSE),
            0
        ) +
        IFERROR(
            VLOOKUP($A58, INDIRECT("NovR!$A$6:$ZZ$1048576"), MATCH(P$1, NovR!$6:$6, 0), FALSE),
            0
        ) +
        IFERROR(
            VLOOKUP($A58, INDIRECT("DicR!$A$6:$ZZ$1048576"), MATCH(P$1, DicR!$6:$6, 0), FALSE),
            0
        )
)</f>
        <v>0</v>
      </c>
      <c r="Q58" s="35">
        <f t="array" ref="Q58">SUM(
    IFERROR(
            VLOOKUP($A58, INDIRECT("EneR!$A$6:$ZZ$1048576"), MATCH(Q$1, EneR!$6:$6, 0), FALSE),
            0
        ) +
        IFERROR(
            VLOOKUP($A58, INDIRECT("FebR!$A$6:$ZZ$1048576"), MATCH(Q$1, FebR!$6:$6, 0), FALSE),
            0
        ) +
        IFERROR(
            VLOOKUP($A58, INDIRECT("MarR!$A$6:$ZZ$1048576"), MATCH(Q$1, MarR!$6:$6, 0), FALSE),
            0
        ) +
        IFERROR(
            VLOOKUP($A58, INDIRECT("AbrR!$A$6:$ZZ$1048576"), MATCH(Q$1, AbrR!$6:$6, 0), FALSE),
            0
        ) +
        IFERROR(
            VLOOKUP($A58, INDIRECT("MayR!$A$6:$ZZ$1048576"), MATCH(Q$1, MayR!$6:$6, 0), FALSE),
            0
        ) +
        IFERROR(
            VLOOKUP($A58, INDIRECT("JunR!$A$6:$ZZ$1048576"), MATCH(Q$1, JunR!$6:$6, 0), FALSE),
            0
        ) +
        IFERROR(
            VLOOKUP($A58, INDIRECT("JulR!$A$6:$ZZ$1048576"), MATCH(Q$1, JulR!$6:$6, 0), FALSE),
            0
        ) +
        IFERROR(
            VLOOKUP($A58, INDIRECT("AgoR!$A$6:$ZZ$1048576"), MATCH(Q$1, AgoR!$6:$6, 0), FALSE),
            0
        ) +
        IFERROR(
            VLOOKUP($A58, INDIRECT("SepR!$A$6:$ZZ$1048576"), MATCH(Q$1, SepR!$6:$6, 0), FALSE),
            0
        ) +
        IFERROR(
            VLOOKUP($A58, INDIRECT("OctR!$A$6:$ZZ$1048576"), MATCH(Q$1, OctR!$6:$6, 0), FALSE),
            0
        ) +
        IFERROR(
            VLOOKUP($A58, INDIRECT("NovR!$A$6:$ZZ$1048576"), MATCH(Q$1, NovR!$6:$6, 0), FALSE),
            0
        ) +
        IFERROR(
            VLOOKUP($A58, INDIRECT("DicR!$A$6:$ZZ$1048576"), MATCH(Q$1, DicR!$6:$6, 0), FALSE),
            0
        )
)</f>
        <v>0</v>
      </c>
      <c r="R58" s="36">
        <f t="array" ref="R58">SUM(
    IFERROR(
            VLOOKUP($A58, INDIRECT("EneR!$A$6:$ZZ$1048576"), MATCH(R$1, EneR!$6:$6, 0), FALSE),
            0
        ) +
        IFERROR(
            VLOOKUP($A58, INDIRECT("FebR!$A$6:$ZZ$1048576"), MATCH(R$1, FebR!$6:$6, 0), FALSE),
            0
        ) +
        IFERROR(
            VLOOKUP($A58, INDIRECT("MarR!$A$6:$ZZ$1048576"), MATCH(R$1, MarR!$6:$6, 0), FALSE),
            0
        ) +
        IFERROR(
            VLOOKUP($A58, INDIRECT("AbrR!$A$6:$ZZ$1048576"), MATCH(R$1, AbrR!$6:$6, 0), FALSE),
            0
        ) +
        IFERROR(
            VLOOKUP($A58, INDIRECT("MayR!$A$6:$ZZ$1048576"), MATCH(R$1, MayR!$6:$6, 0), FALSE),
            0
        ) +
        IFERROR(
            VLOOKUP($A58, INDIRECT("JunR!$A$6:$ZZ$1048576"), MATCH(R$1, JunR!$6:$6, 0), FALSE),
            0
        ) +
        IFERROR(
            VLOOKUP($A58, INDIRECT("JulR!$A$6:$ZZ$1048576"), MATCH(R$1, JulR!$6:$6, 0), FALSE),
            0
        ) +
        IFERROR(
            VLOOKUP($A58, INDIRECT("AgoR!$A$6:$ZZ$1048576"), MATCH(R$1, AgoR!$6:$6, 0), FALSE),
            0
        ) +
        IFERROR(
            VLOOKUP($A58, INDIRECT("SepR!$A$6:$ZZ$1048576"), MATCH(R$1, SepR!$6:$6, 0), FALSE),
            0
        ) +
        IFERROR(
            VLOOKUP($A58, INDIRECT("OctR!$A$6:$ZZ$1048576"), MATCH(R$1, OctR!$6:$6, 0), FALSE),
            0
        ) +
        IFERROR(
            VLOOKUP($A58, INDIRECT("NovR!$A$6:$ZZ$1048576"), MATCH(R$1, NovR!$6:$6, 0), FALSE),
            0
        ) +
        IFERROR(
            VLOOKUP($A58, INDIRECT("DicR!$A$6:$ZZ$1048576"), MATCH(R$1, DicR!$6:$6, 0), FALSE),
            0
        )
)</f>
        <v>0</v>
      </c>
      <c r="S58" s="37">
        <f t="array" ref="S58">SUM(
    IFERROR(
            VLOOKUP($A58, INDIRECT("EneR!$A$6:$ZZ$1048576"), MATCH(S$1, EneR!$6:$6, 0), FALSE),
            0
        ) +
        IFERROR(
            VLOOKUP($A58, INDIRECT("FebR!$A$6:$ZZ$1048576"), MATCH(S$1, FebR!$6:$6, 0), FALSE),
            0
        ) +
        IFERROR(
            VLOOKUP($A58, INDIRECT("MarR!$A$6:$ZZ$1048576"), MATCH(S$1, MarR!$6:$6, 0), FALSE),
            0
        ) +
        IFERROR(
            VLOOKUP($A58, INDIRECT("AbrR!$A$6:$ZZ$1048576"), MATCH(S$1, AbrR!$6:$6, 0), FALSE),
            0
        ) +
        IFERROR(
            VLOOKUP($A58, INDIRECT("MayR!$A$6:$ZZ$1048576"), MATCH(S$1, MayR!$6:$6, 0), FALSE),
            0
        ) +
        IFERROR(
            VLOOKUP($A58, INDIRECT("JunR!$A$6:$ZZ$1048576"), MATCH(S$1, JunR!$6:$6, 0), FALSE),
            0
        ) +
        IFERROR(
            VLOOKUP($A58, INDIRECT("JulR!$A$6:$ZZ$1048576"), MATCH(S$1, JulR!$6:$6, 0), FALSE),
            0
        ) +
        IFERROR(
            VLOOKUP($A58, INDIRECT("AgoR!$A$6:$ZZ$1048576"), MATCH(S$1, AgoR!$6:$6, 0), FALSE),
            0
        ) +
        IFERROR(
            VLOOKUP($A58, INDIRECT("SepR!$A$6:$ZZ$1048576"), MATCH(S$1, SepR!$6:$6, 0), FALSE),
            0
        ) +
        IFERROR(
            VLOOKUP($A58, INDIRECT("OctR!$A$6:$ZZ$1048576"), MATCH(S$1, OctR!$6:$6, 0), FALSE),
            0
        ) +
        IFERROR(
            VLOOKUP($A58, INDIRECT("NovR!$A$6:$ZZ$1048576"), MATCH(S$1, NovR!$6:$6, 0), FALSE),
            0
        ) +
        IFERROR(
            VLOOKUP($A58, INDIRECT("DicR!$A$6:$ZZ$1048576"), MATCH(S$1, DicR!$6:$6, 0), FALSE),
            0
        )
)</f>
        <v>0</v>
      </c>
      <c r="T58" s="36">
        <f t="array" ref="T58">SUM(
    IFERROR(
            VLOOKUP($A58, INDIRECT("EneR!$A$6:$ZZ$1048576"), MATCH(T$1, EneR!$6:$6, 0), FALSE),
            0
        ) +
        IFERROR(
            VLOOKUP($A58, INDIRECT("FebR!$A$6:$ZZ$1048576"), MATCH(T$1, FebR!$6:$6, 0), FALSE),
            0
        ) +
        IFERROR(
            VLOOKUP($A58, INDIRECT("MarR!$A$6:$ZZ$1048576"), MATCH(T$1, MarR!$6:$6, 0), FALSE),
            0
        ) +
        IFERROR(
            VLOOKUP($A58, INDIRECT("AbrR!$A$6:$ZZ$1048576"), MATCH(T$1, AbrR!$6:$6, 0), FALSE),
            0
        ) +
        IFERROR(
            VLOOKUP($A58, INDIRECT("MayR!$A$6:$ZZ$1048576"), MATCH(T$1, MayR!$6:$6, 0), FALSE),
            0
        ) +
        IFERROR(
            VLOOKUP($A58, INDIRECT("JunR!$A$6:$ZZ$1048576"), MATCH(T$1, JunR!$6:$6, 0), FALSE),
            0
        ) +
        IFERROR(
            VLOOKUP($A58, INDIRECT("JulR!$A$6:$ZZ$1048576"), MATCH(T$1, JulR!$6:$6, 0), FALSE),
            0
        ) +
        IFERROR(
            VLOOKUP($A58, INDIRECT("AgoR!$A$6:$ZZ$1048576"), MATCH(T$1, AgoR!$6:$6, 0), FALSE),
            0
        ) +
        IFERROR(
            VLOOKUP($A58, INDIRECT("SepR!$A$6:$ZZ$1048576"), MATCH(T$1, SepR!$6:$6, 0), FALSE),
            0
        ) +
        IFERROR(
            VLOOKUP($A58, INDIRECT("OctR!$A$6:$ZZ$1048576"), MATCH(T$1, OctR!$6:$6, 0), FALSE),
            0
        ) +
        IFERROR(
            VLOOKUP($A58, INDIRECT("NovR!$A$6:$ZZ$1048576"), MATCH(T$1, NovR!$6:$6, 0), FALSE),
            0
        ) +
        IFERROR(
            VLOOKUP($A58, INDIRECT("DicR!$A$6:$ZZ$1048576"), MATCH(T$1, DicR!$6:$6, 0), FALSE),
            0
        )
)</f>
        <v>0</v>
      </c>
      <c r="U58" s="37">
        <f t="array" ref="U58">SUM(
    IFERROR(
            VLOOKUP($A58, INDIRECT("EneR!$A$6:$ZZ$1048576"), MATCH(U$1, EneR!$6:$6, 0), FALSE),
            0
        ) +
        IFERROR(
            VLOOKUP($A58, INDIRECT("FebR!$A$6:$ZZ$1048576"), MATCH(U$1, FebR!$6:$6, 0), FALSE),
            0
        ) +
        IFERROR(
            VLOOKUP($A58, INDIRECT("MarR!$A$6:$ZZ$1048576"), MATCH(U$1, MarR!$6:$6, 0), FALSE),
            0
        ) +
        IFERROR(
            VLOOKUP($A58, INDIRECT("AbrR!$A$6:$ZZ$1048576"), MATCH(U$1, AbrR!$6:$6, 0), FALSE),
            0
        ) +
        IFERROR(
            VLOOKUP($A58, INDIRECT("MayR!$A$6:$ZZ$1048576"), MATCH(U$1, MayR!$6:$6, 0), FALSE),
            0
        ) +
        IFERROR(
            VLOOKUP($A58, INDIRECT("JunR!$A$6:$ZZ$1048576"), MATCH(U$1, JunR!$6:$6, 0), FALSE),
            0
        ) +
        IFERROR(
            VLOOKUP($A58, INDIRECT("JulR!$A$6:$ZZ$1048576"), MATCH(U$1, JulR!$6:$6, 0), FALSE),
            0
        ) +
        IFERROR(
            VLOOKUP($A58, INDIRECT("AgoR!$A$6:$ZZ$1048576"), MATCH(U$1, AgoR!$6:$6, 0), FALSE),
            0
        ) +
        IFERROR(
            VLOOKUP($A58, INDIRECT("SepR!$A$6:$ZZ$1048576"), MATCH(U$1, SepR!$6:$6, 0), FALSE),
            0
        ) +
        IFERROR(
            VLOOKUP($A58, INDIRECT("OctR!$A$6:$ZZ$1048576"), MATCH(U$1, OctR!$6:$6, 0), FALSE),
            0
        ) +
        IFERROR(
            VLOOKUP($A58, INDIRECT("NovR!$A$6:$ZZ$1048576"), MATCH(U$1, NovR!$6:$6, 0), FALSE),
            0
        ) +
        IFERROR(
            VLOOKUP($A58, INDIRECT("DicR!$A$6:$ZZ$1048576"), MATCH(U$1, DicR!$6:$6, 0), FALSE),
            0
        )
)</f>
        <v>0</v>
      </c>
      <c r="V58" s="36">
        <f t="array" ref="V58">SUM(
    IFERROR(
            VLOOKUP($A58, INDIRECT("EneR!$A$6:$ZZ$1048576"), MATCH(V$1, EneR!$6:$6, 0), FALSE),
            0
        ) +
        IFERROR(
            VLOOKUP($A58, INDIRECT("FebR!$A$6:$ZZ$1048576"), MATCH(V$1, FebR!$6:$6, 0), FALSE),
            0
        ) +
        IFERROR(
            VLOOKUP($A58, INDIRECT("MarR!$A$6:$ZZ$1048576"), MATCH(V$1, MarR!$6:$6, 0), FALSE),
            0
        ) +
        IFERROR(
            VLOOKUP($A58, INDIRECT("AbrR!$A$6:$ZZ$1048576"), MATCH(V$1, AbrR!$6:$6, 0), FALSE),
            0
        ) +
        IFERROR(
            VLOOKUP($A58, INDIRECT("MayR!$A$6:$ZZ$1048576"), MATCH(V$1, MayR!$6:$6, 0), FALSE),
            0
        ) +
        IFERROR(
            VLOOKUP($A58, INDIRECT("JunR!$A$6:$ZZ$1048576"), MATCH(V$1, JunR!$6:$6, 0), FALSE),
            0
        ) +
        IFERROR(
            VLOOKUP($A58, INDIRECT("JulR!$A$6:$ZZ$1048576"), MATCH(V$1, JulR!$6:$6, 0), FALSE),
            0
        ) +
        IFERROR(
            VLOOKUP($A58, INDIRECT("AgoR!$A$6:$ZZ$1048576"), MATCH(V$1, AgoR!$6:$6, 0), FALSE),
            0
        ) +
        IFERROR(
            VLOOKUP($A58, INDIRECT("SepR!$A$6:$ZZ$1048576"), MATCH(V$1, SepR!$6:$6, 0), FALSE),
            0
        ) +
        IFERROR(
            VLOOKUP($A58, INDIRECT("OctR!$A$6:$ZZ$1048576"), MATCH(V$1, OctR!$6:$6, 0), FALSE),
            0
        ) +
        IFERROR(
            VLOOKUP($A58, INDIRECT("NovR!$A$6:$ZZ$1048576"), MATCH(V$1, NovR!$6:$6, 0), FALSE),
            0
        ) +
        IFERROR(
            VLOOKUP($A58, INDIRECT("DicR!$A$6:$ZZ$1048576"), MATCH(V$1, DicR!$6:$6, 0), FALSE),
            0
        )
)</f>
        <v>0</v>
      </c>
      <c r="W58" s="37">
        <f t="array" ref="W58">SUM(
    IFERROR(
            VLOOKUP($A58, INDIRECT("EneR!$A$6:$ZZ$1048576"), MATCH(W$1, EneR!$6:$6, 0), FALSE),
            0
        ) +
        IFERROR(
            VLOOKUP($A58, INDIRECT("FebR!$A$6:$ZZ$1048576"), MATCH(W$1, FebR!$6:$6, 0), FALSE),
            0
        ) +
        IFERROR(
            VLOOKUP($A58, INDIRECT("MarR!$A$6:$ZZ$1048576"), MATCH(W$1, MarR!$6:$6, 0), FALSE),
            0
        ) +
        IFERROR(
            VLOOKUP($A58, INDIRECT("AbrR!$A$6:$ZZ$1048576"), MATCH(W$1, AbrR!$6:$6, 0), FALSE),
            0
        ) +
        IFERROR(
            VLOOKUP($A58, INDIRECT("MayR!$A$6:$ZZ$1048576"), MATCH(W$1, MayR!$6:$6, 0), FALSE),
            0
        ) +
        IFERROR(
            VLOOKUP($A58, INDIRECT("JunR!$A$6:$ZZ$1048576"), MATCH(W$1, JunR!$6:$6, 0), FALSE),
            0
        ) +
        IFERROR(
            VLOOKUP($A58, INDIRECT("JulR!$A$6:$ZZ$1048576"), MATCH(W$1, JulR!$6:$6, 0), FALSE),
            0
        ) +
        IFERROR(
            VLOOKUP($A58, INDIRECT("AgoR!$A$6:$ZZ$1048576"), MATCH(W$1, AgoR!$6:$6, 0), FALSE),
            0
        ) +
        IFERROR(
            VLOOKUP($A58, INDIRECT("SepR!$A$6:$ZZ$1048576"), MATCH(W$1, SepR!$6:$6, 0), FALSE),
            0
        ) +
        IFERROR(
            VLOOKUP($A58, INDIRECT("OctR!$A$6:$ZZ$1048576"), MATCH(W$1, OctR!$6:$6, 0), FALSE),
            0
        ) +
        IFERROR(
            VLOOKUP($A58, INDIRECT("NovR!$A$6:$ZZ$1048576"), MATCH(W$1, NovR!$6:$6, 0), FALSE),
            0
        ) +
        IFERROR(
            VLOOKUP($A58, INDIRECT("DicR!$A$6:$ZZ$1048576"), MATCH(W$1, DicR!$6:$6, 0), FALSE),
            0
        )
)</f>
        <v>0</v>
      </c>
      <c r="X58" s="36">
        <f t="array" ref="X58">SUM(
    IFERROR(
            VLOOKUP($A58, INDIRECT("EneR!$A$6:$ZZ$1048576"), MATCH(X$1, EneR!$6:$6, 0), FALSE),
            0
        ) +
        IFERROR(
            VLOOKUP($A58, INDIRECT("FebR!$A$6:$ZZ$1048576"), MATCH(X$1, FebR!$6:$6, 0), FALSE),
            0
        ) +
        IFERROR(
            VLOOKUP($A58, INDIRECT("MarR!$A$6:$ZZ$1048576"), MATCH(X$1, MarR!$6:$6, 0), FALSE),
            0
        ) +
        IFERROR(
            VLOOKUP($A58, INDIRECT("AbrR!$A$6:$ZZ$1048576"), MATCH(X$1, AbrR!$6:$6, 0), FALSE),
            0
        ) +
        IFERROR(
            VLOOKUP($A58, INDIRECT("MayR!$A$6:$ZZ$1048576"), MATCH(X$1, MayR!$6:$6, 0), FALSE),
            0
        ) +
        IFERROR(
            VLOOKUP($A58, INDIRECT("JunR!$A$6:$ZZ$1048576"), MATCH(X$1, JunR!$6:$6, 0), FALSE),
            0
        ) +
        IFERROR(
            VLOOKUP($A58, INDIRECT("JulR!$A$6:$ZZ$1048576"), MATCH(X$1, JulR!$6:$6, 0), FALSE),
            0
        ) +
        IFERROR(
            VLOOKUP($A58, INDIRECT("AgoR!$A$6:$ZZ$1048576"), MATCH(X$1, AgoR!$6:$6, 0), FALSE),
            0
        ) +
        IFERROR(
            VLOOKUP($A58, INDIRECT("SepR!$A$6:$ZZ$1048576"), MATCH(X$1, SepR!$6:$6, 0), FALSE),
            0
        ) +
        IFERROR(
            VLOOKUP($A58, INDIRECT("OctR!$A$6:$ZZ$1048576"), MATCH(X$1, OctR!$6:$6, 0), FALSE),
            0
        ) +
        IFERROR(
            VLOOKUP($A58, INDIRECT("NovR!$A$6:$ZZ$1048576"), MATCH(X$1, NovR!$6:$6, 0), FALSE),
            0
        ) +
        IFERROR(
            VLOOKUP($A58, INDIRECT("DicR!$A$6:$ZZ$1048576"), MATCH(X$1, DicR!$6:$6, 0), FALSE),
            0
        )
)</f>
        <v>0</v>
      </c>
      <c r="Y58" s="37">
        <f t="array" ref="Y58">SUM(
    IFERROR(
            VLOOKUP($A58, INDIRECT("EneR!$A$6:$ZZ$1048576"), MATCH(Y$1, EneR!$6:$6, 0), FALSE),
            0
        ) +
        IFERROR(
            VLOOKUP($A58, INDIRECT("FebR!$A$6:$ZZ$1048576"), MATCH(Y$1, FebR!$6:$6, 0), FALSE),
            0
        ) +
        IFERROR(
            VLOOKUP($A58, INDIRECT("MarR!$A$6:$ZZ$1048576"), MATCH(Y$1, MarR!$6:$6, 0), FALSE),
            0
        ) +
        IFERROR(
            VLOOKUP($A58, INDIRECT("AbrR!$A$6:$ZZ$1048576"), MATCH(Y$1, AbrR!$6:$6, 0), FALSE),
            0
        ) +
        IFERROR(
            VLOOKUP($A58, INDIRECT("MayR!$A$6:$ZZ$1048576"), MATCH(Y$1, MayR!$6:$6, 0), FALSE),
            0
        ) +
        IFERROR(
            VLOOKUP($A58, INDIRECT("JunR!$A$6:$ZZ$1048576"), MATCH(Y$1, JunR!$6:$6, 0), FALSE),
            0
        ) +
        IFERROR(
            VLOOKUP($A58, INDIRECT("JulR!$A$6:$ZZ$1048576"), MATCH(Y$1, JulR!$6:$6, 0), FALSE),
            0
        ) +
        IFERROR(
            VLOOKUP($A58, INDIRECT("AgoR!$A$6:$ZZ$1048576"), MATCH(Y$1, AgoR!$6:$6, 0), FALSE),
            0
        ) +
        IFERROR(
            VLOOKUP($A58, INDIRECT("SepR!$A$6:$ZZ$1048576"), MATCH(Y$1, SepR!$6:$6, 0), FALSE),
            0
        ) +
        IFERROR(
            VLOOKUP($A58, INDIRECT("OctR!$A$6:$ZZ$1048576"), MATCH(Y$1, OctR!$6:$6, 0), FALSE),
            0
        ) +
        IFERROR(
            VLOOKUP($A58, INDIRECT("NovR!$A$6:$ZZ$1048576"), MATCH(Y$1, NovR!$6:$6, 0), FALSE),
            0
        ) +
        IFERROR(
            VLOOKUP($A58, INDIRECT("DicR!$A$6:$ZZ$1048576"), MATCH(Y$1, DicR!$6:$6, 0), FALSE),
            0
        )
)</f>
        <v>0</v>
      </c>
      <c r="Z58" s="36">
        <f t="array" ref="Z58">SUM(
    IFERROR(
            VLOOKUP($A58, INDIRECT("EneR!$A$6:$ZZ$1048576"), MATCH(Z$1, EneR!$6:$6, 0), FALSE),
            0
        ) +
        IFERROR(
            VLOOKUP($A58, INDIRECT("FebR!$A$6:$ZZ$1048576"), MATCH(Z$1, FebR!$6:$6, 0), FALSE),
            0
        ) +
        IFERROR(
            VLOOKUP($A58, INDIRECT("MarR!$A$6:$ZZ$1048576"), MATCH(Z$1, MarR!$6:$6, 0), FALSE),
            0
        ) +
        IFERROR(
            VLOOKUP($A58, INDIRECT("AbrR!$A$6:$ZZ$1048576"), MATCH(Z$1, AbrR!$6:$6, 0), FALSE),
            0
        ) +
        IFERROR(
            VLOOKUP($A58, INDIRECT("MayR!$A$6:$ZZ$1048576"), MATCH(Z$1, MayR!$6:$6, 0), FALSE),
            0
        ) +
        IFERROR(
            VLOOKUP($A58, INDIRECT("JunR!$A$6:$ZZ$1048576"), MATCH(Z$1, JunR!$6:$6, 0), FALSE),
            0
        ) +
        IFERROR(
            VLOOKUP($A58, INDIRECT("JulR!$A$6:$ZZ$1048576"), MATCH(Z$1, JulR!$6:$6, 0), FALSE),
            0
        ) +
        IFERROR(
            VLOOKUP($A58, INDIRECT("AgoR!$A$6:$ZZ$1048576"), MATCH(Z$1, AgoR!$6:$6, 0), FALSE),
            0
        ) +
        IFERROR(
            VLOOKUP($A58, INDIRECT("SepR!$A$6:$ZZ$1048576"), MATCH(Z$1, SepR!$6:$6, 0), FALSE),
            0
        ) +
        IFERROR(
            VLOOKUP($A58, INDIRECT("OctR!$A$6:$ZZ$1048576"), MATCH(Z$1, OctR!$6:$6, 0), FALSE),
            0
        ) +
        IFERROR(
            VLOOKUP($A58, INDIRECT("NovR!$A$6:$ZZ$1048576"), MATCH(Z$1, NovR!$6:$6, 0), FALSE),
            0
        ) +
        IFERROR(
            VLOOKUP($A58, INDIRECT("DicR!$A$6:$ZZ$1048576"), MATCH(Z$1, DicR!$6:$6, 0), FALSE),
            0
        )
)</f>
        <v>0</v>
      </c>
      <c r="AA58" s="37">
        <f t="array" ref="AA58">SUM(
    IFERROR(
            VLOOKUP($A58, INDIRECT("EneR!$A$6:$ZZ$1048576"), MATCH(AA$1, EneR!$6:$6, 0), FALSE),
            0
        ) +
        IFERROR(
            VLOOKUP($A58, INDIRECT("FebR!$A$6:$ZZ$1048576"), MATCH(AA$1, FebR!$6:$6, 0), FALSE),
            0
        ) +
        IFERROR(
            VLOOKUP($A58, INDIRECT("MarR!$A$6:$ZZ$1048576"), MATCH(AA$1, MarR!$6:$6, 0), FALSE),
            0
        ) +
        IFERROR(
            VLOOKUP($A58, INDIRECT("AbrR!$A$6:$ZZ$1048576"), MATCH(AA$1, AbrR!$6:$6, 0), FALSE),
            0
        ) +
        IFERROR(
            VLOOKUP($A58, INDIRECT("MayR!$A$6:$ZZ$1048576"), MATCH(AA$1, MayR!$6:$6, 0), FALSE),
            0
        ) +
        IFERROR(
            VLOOKUP($A58, INDIRECT("JunR!$A$6:$ZZ$1048576"), MATCH(AA$1, JunR!$6:$6, 0), FALSE),
            0
        ) +
        IFERROR(
            VLOOKUP($A58, INDIRECT("JulR!$A$6:$ZZ$1048576"), MATCH(AA$1, JulR!$6:$6, 0), FALSE),
            0
        ) +
        IFERROR(
            VLOOKUP($A58, INDIRECT("AgoR!$A$6:$ZZ$1048576"), MATCH(AA$1, AgoR!$6:$6, 0), FALSE),
            0
        ) +
        IFERROR(
            VLOOKUP($A58, INDIRECT("SepR!$A$6:$ZZ$1048576"), MATCH(AA$1, SepR!$6:$6, 0), FALSE),
            0
        ) +
        IFERROR(
            VLOOKUP($A58, INDIRECT("OctR!$A$6:$ZZ$1048576"), MATCH(AA$1, OctR!$6:$6, 0), FALSE),
            0
        ) +
        IFERROR(
            VLOOKUP($A58, INDIRECT("NovR!$A$6:$ZZ$1048576"), MATCH(AA$1, NovR!$6:$6, 0), FALSE),
            0
        ) +
        IFERROR(
            VLOOKUP($A58, INDIRECT("DicR!$A$6:$ZZ$1048576"), MATCH(AA$1, DicR!$6:$6, 0), FALSE),
            0
        )
)</f>
        <v>0</v>
      </c>
      <c r="AB58" s="36">
        <f t="array" ref="AB58">SUM(
    IFERROR(
            VLOOKUP($A58, INDIRECT("EneR!$A$6:$ZZ$1048576"), MATCH(AB$1, EneR!$6:$6, 0), FALSE),
            0
        ) +
        IFERROR(
            VLOOKUP($A58, INDIRECT("FebR!$A$6:$ZZ$1048576"), MATCH(AB$1, FebR!$6:$6, 0), FALSE),
            0
        ) +
        IFERROR(
            VLOOKUP($A58, INDIRECT("MarR!$A$6:$ZZ$1048576"), MATCH(AB$1, MarR!$6:$6, 0), FALSE),
            0
        ) +
        IFERROR(
            VLOOKUP($A58, INDIRECT("AbrR!$A$6:$ZZ$1048576"), MATCH(AB$1, AbrR!$6:$6, 0), FALSE),
            0
        ) +
        IFERROR(
            VLOOKUP($A58, INDIRECT("MayR!$A$6:$ZZ$1048576"), MATCH(AB$1, MayR!$6:$6, 0), FALSE),
            0
        ) +
        IFERROR(
            VLOOKUP($A58, INDIRECT("JunR!$A$6:$ZZ$1048576"), MATCH(AB$1, JunR!$6:$6, 0), FALSE),
            0
        ) +
        IFERROR(
            VLOOKUP($A58, INDIRECT("JulR!$A$6:$ZZ$1048576"), MATCH(AB$1, JulR!$6:$6, 0), FALSE),
            0
        ) +
        IFERROR(
            VLOOKUP($A58, INDIRECT("AgoR!$A$6:$ZZ$1048576"), MATCH(AB$1, AgoR!$6:$6, 0), FALSE),
            0
        ) +
        IFERROR(
            VLOOKUP($A58, INDIRECT("SepR!$A$6:$ZZ$1048576"), MATCH(AB$1, SepR!$6:$6, 0), FALSE),
            0
        ) +
        IFERROR(
            VLOOKUP($A58, INDIRECT("OctR!$A$6:$ZZ$1048576"), MATCH(AB$1, OctR!$6:$6, 0), FALSE),
            0
        ) +
        IFERROR(
            VLOOKUP($A58, INDIRECT("NovR!$A$6:$ZZ$1048576"), MATCH(AB$1, NovR!$6:$6, 0), FALSE),
            0
        ) +
        IFERROR(
            VLOOKUP($A58, INDIRECT("DicR!$A$6:$ZZ$1048576"), MATCH(AB$1, DicR!$6:$6, 0), FALSE),
            0
        )
)</f>
        <v>0</v>
      </c>
      <c r="AC58" s="37">
        <f t="array" ref="AC58">SUM(
    IFERROR(
            VLOOKUP($A58, INDIRECT("EneR!$A$6:$ZZ$1048576"), MATCH(AC$1, EneR!$6:$6, 0), FALSE),
            0
        ) +
        IFERROR(
            VLOOKUP($A58, INDIRECT("FebR!$A$6:$ZZ$1048576"), MATCH(AC$1, FebR!$6:$6, 0), FALSE),
            0
        ) +
        IFERROR(
            VLOOKUP($A58, INDIRECT("MarR!$A$6:$ZZ$1048576"), MATCH(AC$1, MarR!$6:$6, 0), FALSE),
            0
        ) +
        IFERROR(
            VLOOKUP($A58, INDIRECT("AbrR!$A$6:$ZZ$1048576"), MATCH(AC$1, AbrR!$6:$6, 0), FALSE),
            0
        ) +
        IFERROR(
            VLOOKUP($A58, INDIRECT("MayR!$A$6:$ZZ$1048576"), MATCH(AC$1, MayR!$6:$6, 0), FALSE),
            0
        ) +
        IFERROR(
            VLOOKUP($A58, INDIRECT("JunR!$A$6:$ZZ$1048576"), MATCH(AC$1, JunR!$6:$6, 0), FALSE),
            0
        ) +
        IFERROR(
            VLOOKUP($A58, INDIRECT("JulR!$A$6:$ZZ$1048576"), MATCH(AC$1, JulR!$6:$6, 0), FALSE),
            0
        ) +
        IFERROR(
            VLOOKUP($A58, INDIRECT("AgoR!$A$6:$ZZ$1048576"), MATCH(AC$1, AgoR!$6:$6, 0), FALSE),
            0
        ) +
        IFERROR(
            VLOOKUP($A58, INDIRECT("SepR!$A$6:$ZZ$1048576"), MATCH(AC$1, SepR!$6:$6, 0), FALSE),
            0
        ) +
        IFERROR(
            VLOOKUP($A58, INDIRECT("OctR!$A$6:$ZZ$1048576"), MATCH(AC$1, OctR!$6:$6, 0), FALSE),
            0
        ) +
        IFERROR(
            VLOOKUP($A58, INDIRECT("NovR!$A$6:$ZZ$1048576"), MATCH(AC$1, NovR!$6:$6, 0), FALSE),
            0
        ) +
        IFERROR(
            VLOOKUP($A58, INDIRECT("DicR!$A$6:$ZZ$1048576"), MATCH(AC$1, DicR!$6:$6, 0), FALSE),
            0
        )
)</f>
        <v>0</v>
      </c>
      <c r="AD58" s="36">
        <f t="array" ref="AD58">SUM(
    IFERROR(
            VLOOKUP($A58, INDIRECT("EneR!$A$6:$ZZ$1048576"), MATCH(AD$1, EneR!$6:$6, 0), FALSE),
            0
        ) +
        IFERROR(
            VLOOKUP($A58, INDIRECT("FebR!$A$6:$ZZ$1048576"), MATCH(AD$1, FebR!$6:$6, 0), FALSE),
            0
        ) +
        IFERROR(
            VLOOKUP($A58, INDIRECT("MarR!$A$6:$ZZ$1048576"), MATCH(AD$1, MarR!$6:$6, 0), FALSE),
            0
        ) +
        IFERROR(
            VLOOKUP($A58, INDIRECT("AbrR!$A$6:$ZZ$1048576"), MATCH(AD$1, AbrR!$6:$6, 0), FALSE),
            0
        ) +
        IFERROR(
            VLOOKUP($A58, INDIRECT("MayR!$A$6:$ZZ$1048576"), MATCH(AD$1, MayR!$6:$6, 0), FALSE),
            0
        ) +
        IFERROR(
            VLOOKUP($A58, INDIRECT("JunR!$A$6:$ZZ$1048576"), MATCH(AD$1, JunR!$6:$6, 0), FALSE),
            0
        ) +
        IFERROR(
            VLOOKUP($A58, INDIRECT("JulR!$A$6:$ZZ$1048576"), MATCH(AD$1, JulR!$6:$6, 0), FALSE),
            0
        ) +
        IFERROR(
            VLOOKUP($A58, INDIRECT("AgoR!$A$6:$ZZ$1048576"), MATCH(AD$1, AgoR!$6:$6, 0), FALSE),
            0
        ) +
        IFERROR(
            VLOOKUP($A58, INDIRECT("SepR!$A$6:$ZZ$1048576"), MATCH(AD$1, SepR!$6:$6, 0), FALSE),
            0
        ) +
        IFERROR(
            VLOOKUP($A58, INDIRECT("OctR!$A$6:$ZZ$1048576"), MATCH(AD$1, OctR!$6:$6, 0), FALSE),
            0
        ) +
        IFERROR(
            VLOOKUP($A58, INDIRECT("NovR!$A$6:$ZZ$1048576"), MATCH(AD$1, NovR!$6:$6, 0), FALSE),
            0
        ) +
        IFERROR(
            VLOOKUP($A58, INDIRECT("DicR!$A$6:$ZZ$1048576"), MATCH(AD$1, DicR!$6:$6, 0), FALSE),
            0
        )
)</f>
        <v>0</v>
      </c>
      <c r="AE58" s="37">
        <f t="array" ref="AE58">SUM(
    IFERROR(
            VLOOKUP($A58, INDIRECT("EneR!$A$6:$ZZ$1048576"), MATCH(AE$1, EneR!$6:$6, 0), FALSE),
            0
        ) +
        IFERROR(
            VLOOKUP($A58, INDIRECT("FebR!$A$6:$ZZ$1048576"), MATCH(AE$1, FebR!$6:$6, 0), FALSE),
            0
        ) +
        IFERROR(
            VLOOKUP($A58, INDIRECT("MarR!$A$6:$ZZ$1048576"), MATCH(AE$1, MarR!$6:$6, 0), FALSE),
            0
        ) +
        IFERROR(
            VLOOKUP($A58, INDIRECT("AbrR!$A$6:$ZZ$1048576"), MATCH(AE$1, AbrR!$6:$6, 0), FALSE),
            0
        ) +
        IFERROR(
            VLOOKUP($A58, INDIRECT("MayR!$A$6:$ZZ$1048576"), MATCH(AE$1, MayR!$6:$6, 0), FALSE),
            0
        ) +
        IFERROR(
            VLOOKUP($A58, INDIRECT("JunR!$A$6:$ZZ$1048576"), MATCH(AE$1, JunR!$6:$6, 0), FALSE),
            0
        ) +
        IFERROR(
            VLOOKUP($A58, INDIRECT("JulR!$A$6:$ZZ$1048576"), MATCH(AE$1, JulR!$6:$6, 0), FALSE),
            0
        ) +
        IFERROR(
            VLOOKUP($A58, INDIRECT("AgoR!$A$6:$ZZ$1048576"), MATCH(AE$1, AgoR!$6:$6, 0), FALSE),
            0
        ) +
        IFERROR(
            VLOOKUP($A58, INDIRECT("SepR!$A$6:$ZZ$1048576"), MATCH(AE$1, SepR!$6:$6, 0), FALSE),
            0
        ) +
        IFERROR(
            VLOOKUP($A58, INDIRECT("OctR!$A$6:$ZZ$1048576"), MATCH(AE$1, OctR!$6:$6, 0), FALSE),
            0
        ) +
        IFERROR(
            VLOOKUP($A58, INDIRECT("NovR!$A$6:$ZZ$1048576"), MATCH(AE$1, NovR!$6:$6, 0), FALSE),
            0
        ) +
        IFERROR(
            VLOOKUP($A58, INDIRECT("DicR!$A$6:$ZZ$1048576"), MATCH(AE$1, DicR!$6:$6, 0), FALSE),
            0
        )
)</f>
        <v>0</v>
      </c>
      <c r="AF58" s="36">
        <f t="array" ref="AF58">SUM(
    IFERROR(
            VLOOKUP($A58, INDIRECT("EneR!$A$6:$ZZ$1048576"), MATCH(AF$1, EneR!$6:$6, 0), FALSE),
            0
        ) +
        IFERROR(
            VLOOKUP($A58, INDIRECT("FebR!$A$6:$ZZ$1048576"), MATCH(AF$1, FebR!$6:$6, 0), FALSE),
            0
        ) +
        IFERROR(
            VLOOKUP($A58, INDIRECT("MarR!$A$6:$ZZ$1048576"), MATCH(AF$1, MarR!$6:$6, 0), FALSE),
            0
        ) +
        IFERROR(
            VLOOKUP($A58, INDIRECT("AbrR!$A$6:$ZZ$1048576"), MATCH(AF$1, AbrR!$6:$6, 0), FALSE),
            0
        ) +
        IFERROR(
            VLOOKUP($A58, INDIRECT("MayR!$A$6:$ZZ$1048576"), MATCH(AF$1, MayR!$6:$6, 0), FALSE),
            0
        ) +
        IFERROR(
            VLOOKUP($A58, INDIRECT("JunR!$A$6:$ZZ$1048576"), MATCH(AF$1, JunR!$6:$6, 0), FALSE),
            0
        ) +
        IFERROR(
            VLOOKUP($A58, INDIRECT("JulR!$A$6:$ZZ$1048576"), MATCH(AF$1, JulR!$6:$6, 0), FALSE),
            0
        ) +
        IFERROR(
            VLOOKUP($A58, INDIRECT("AgoR!$A$6:$ZZ$1048576"), MATCH(AF$1, AgoR!$6:$6, 0), FALSE),
            0
        ) +
        IFERROR(
            VLOOKUP($A58, INDIRECT("SepR!$A$6:$ZZ$1048576"), MATCH(AF$1, SepR!$6:$6, 0), FALSE),
            0
        ) +
        IFERROR(
            VLOOKUP($A58, INDIRECT("OctR!$A$6:$ZZ$1048576"), MATCH(AF$1, OctR!$6:$6, 0), FALSE),
            0
        ) +
        IFERROR(
            VLOOKUP($A58, INDIRECT("NovR!$A$6:$ZZ$1048576"), MATCH(AF$1, NovR!$6:$6, 0), FALSE),
            0
        ) +
        IFERROR(
            VLOOKUP($A58, INDIRECT("DicR!$A$6:$ZZ$1048576"), MATCH(AF$1, DicR!$6:$6, 0), FALSE),
            0
        )
)</f>
        <v>0</v>
      </c>
      <c r="AG58" s="37">
        <f t="array" ref="AG58">SUM(
    IFERROR(
            VLOOKUP($A58, INDIRECT("EneR!$A$6:$ZZ$1048576"), MATCH(AG$1, EneR!$6:$6, 0), FALSE),
            0
        ) +
        IFERROR(
            VLOOKUP($A58, INDIRECT("FebR!$A$6:$ZZ$1048576"), MATCH(AG$1, FebR!$6:$6, 0), FALSE),
            0
        ) +
        IFERROR(
            VLOOKUP($A58, INDIRECT("MarR!$A$6:$ZZ$1048576"), MATCH(AG$1, MarR!$6:$6, 0), FALSE),
            0
        ) +
        IFERROR(
            VLOOKUP($A58, INDIRECT("AbrR!$A$6:$ZZ$1048576"), MATCH(AG$1, AbrR!$6:$6, 0), FALSE),
            0
        ) +
        IFERROR(
            VLOOKUP($A58, INDIRECT("MayR!$A$6:$ZZ$1048576"), MATCH(AG$1, MayR!$6:$6, 0), FALSE),
            0
        ) +
        IFERROR(
            VLOOKUP($A58, INDIRECT("JunR!$A$6:$ZZ$1048576"), MATCH(AG$1, JunR!$6:$6, 0), FALSE),
            0
        ) +
        IFERROR(
            VLOOKUP($A58, INDIRECT("JulR!$A$6:$ZZ$1048576"), MATCH(AG$1, JulR!$6:$6, 0), FALSE),
            0
        ) +
        IFERROR(
            VLOOKUP($A58, INDIRECT("AgoR!$A$6:$ZZ$1048576"), MATCH(AG$1, AgoR!$6:$6, 0), FALSE),
            0
        ) +
        IFERROR(
            VLOOKUP($A58, INDIRECT("SepR!$A$6:$ZZ$1048576"), MATCH(AG$1, SepR!$6:$6, 0), FALSE),
            0
        ) +
        IFERROR(
            VLOOKUP($A58, INDIRECT("OctR!$A$6:$ZZ$1048576"), MATCH(AG$1, OctR!$6:$6, 0), FALSE),
            0
        ) +
        IFERROR(
            VLOOKUP($A58, INDIRECT("NovR!$A$6:$ZZ$1048576"), MATCH(AG$1, NovR!$6:$6, 0), FALSE),
            0
        ) +
        IFERROR(
            VLOOKUP($A58, INDIRECT("DicR!$A$6:$ZZ$1048576"), MATCH(AG$1, DicR!$6:$6, 0), FALSE),
            0
        )
)</f>
        <v>0</v>
      </c>
      <c r="AH58" s="36">
        <f t="array" ref="AH58">SUM(
    IFERROR(
            VLOOKUP($A58, INDIRECT("EneR!$A$6:$ZZ$1048576"), MATCH(AH$1, EneR!$6:$6, 0), FALSE),
            0
        ) +
        IFERROR(
            VLOOKUP($A58, INDIRECT("FebR!$A$6:$ZZ$1048576"), MATCH(AH$1, FebR!$6:$6, 0), FALSE),
            0
        ) +
        IFERROR(
            VLOOKUP($A58, INDIRECT("MarR!$A$6:$ZZ$1048576"), MATCH(AH$1, MarR!$6:$6, 0), FALSE),
            0
        ) +
        IFERROR(
            VLOOKUP($A58, INDIRECT("AbrR!$A$6:$ZZ$1048576"), MATCH(AH$1, AbrR!$6:$6, 0), FALSE),
            0
        ) +
        IFERROR(
            VLOOKUP($A58, INDIRECT("MayR!$A$6:$ZZ$1048576"), MATCH(AH$1, MayR!$6:$6, 0), FALSE),
            0
        ) +
        IFERROR(
            VLOOKUP($A58, INDIRECT("JunR!$A$6:$ZZ$1048576"), MATCH(AH$1, JunR!$6:$6, 0), FALSE),
            0
        ) +
        IFERROR(
            VLOOKUP($A58, INDIRECT("JulR!$A$6:$ZZ$1048576"), MATCH(AH$1, JulR!$6:$6, 0), FALSE),
            0
        ) +
        IFERROR(
            VLOOKUP($A58, INDIRECT("AgoR!$A$6:$ZZ$1048576"), MATCH(AH$1, AgoR!$6:$6, 0), FALSE),
            0
        ) +
        IFERROR(
            VLOOKUP($A58, INDIRECT("SepR!$A$6:$ZZ$1048576"), MATCH(AH$1, SepR!$6:$6, 0), FALSE),
            0
        ) +
        IFERROR(
            VLOOKUP($A58, INDIRECT("OctR!$A$6:$ZZ$1048576"), MATCH(AH$1, OctR!$6:$6, 0), FALSE),
            0
        ) +
        IFERROR(
            VLOOKUP($A58, INDIRECT("NovR!$A$6:$ZZ$1048576"), MATCH(AH$1, NovR!$6:$6, 0), FALSE),
            0
        ) +
        IFERROR(
            VLOOKUP($A58, INDIRECT("DicR!$A$6:$ZZ$1048576"), MATCH(AH$1, DicR!$6:$6, 0), FALSE),
            0
        )
)</f>
        <v>0</v>
      </c>
      <c r="AI58" s="37">
        <f t="array" ref="AI58">SUM(
    IFERROR(
            VLOOKUP($A58, INDIRECT("EneR!$A$6:$ZZ$1048576"), MATCH(AI$1, EneR!$6:$6, 0), FALSE),
            0
        ) +
        IFERROR(
            VLOOKUP($A58, INDIRECT("FebR!$A$6:$ZZ$1048576"), MATCH(AI$1, FebR!$6:$6, 0), FALSE),
            0
        ) +
        IFERROR(
            VLOOKUP($A58, INDIRECT("MarR!$A$6:$ZZ$1048576"), MATCH(AI$1, MarR!$6:$6, 0), FALSE),
            0
        ) +
        IFERROR(
            VLOOKUP($A58, INDIRECT("AbrR!$A$6:$ZZ$1048576"), MATCH(AI$1, AbrR!$6:$6, 0), FALSE),
            0
        ) +
        IFERROR(
            VLOOKUP($A58, INDIRECT("MayR!$A$6:$ZZ$1048576"), MATCH(AI$1, MayR!$6:$6, 0), FALSE),
            0
        ) +
        IFERROR(
            VLOOKUP($A58, INDIRECT("JunR!$A$6:$ZZ$1048576"), MATCH(AI$1, JunR!$6:$6, 0), FALSE),
            0
        ) +
        IFERROR(
            VLOOKUP($A58, INDIRECT("JulR!$A$6:$ZZ$1048576"), MATCH(AI$1, JulR!$6:$6, 0), FALSE),
            0
        ) +
        IFERROR(
            VLOOKUP($A58, INDIRECT("AgoR!$A$6:$ZZ$1048576"), MATCH(AI$1, AgoR!$6:$6, 0), FALSE),
            0
        ) +
        IFERROR(
            VLOOKUP($A58, INDIRECT("SepR!$A$6:$ZZ$1048576"), MATCH(AI$1, SepR!$6:$6, 0), FALSE),
            0
        ) +
        IFERROR(
            VLOOKUP($A58, INDIRECT("OctR!$A$6:$ZZ$1048576"), MATCH(AI$1, OctR!$6:$6, 0), FALSE),
            0
        ) +
        IFERROR(
            VLOOKUP($A58, INDIRECT("NovR!$A$6:$ZZ$1048576"), MATCH(AI$1, NovR!$6:$6, 0), FALSE),
            0
        ) +
        IFERROR(
            VLOOKUP($A58, INDIRECT("DicR!$A$6:$ZZ$1048576"), MATCH(AI$1, DicR!$6:$6, 0), FALSE),
            0
        )
)</f>
        <v>0</v>
      </c>
      <c r="AJ58" s="36">
        <f t="array" ref="AJ58">SUM(
    IFERROR(
            VLOOKUP($A58, INDIRECT("EneR!$A$6:$ZZ$1048576"), MATCH(AJ$1, EneR!$6:$6, 0), FALSE),
            0
        ) +
        IFERROR(
            VLOOKUP($A58, INDIRECT("FebR!$A$6:$ZZ$1048576"), MATCH(AJ$1, FebR!$6:$6, 0), FALSE),
            0
        ) +
        IFERROR(
            VLOOKUP($A58, INDIRECT("MarR!$A$6:$ZZ$1048576"), MATCH(AJ$1, MarR!$6:$6, 0), FALSE),
            0
        ) +
        IFERROR(
            VLOOKUP($A58, INDIRECT("AbrR!$A$6:$ZZ$1048576"), MATCH(AJ$1, AbrR!$6:$6, 0), FALSE),
            0
        ) +
        IFERROR(
            VLOOKUP($A58, INDIRECT("MayR!$A$6:$ZZ$1048576"), MATCH(AJ$1, MayR!$6:$6, 0), FALSE),
            0
        ) +
        IFERROR(
            VLOOKUP($A58, INDIRECT("JunR!$A$6:$ZZ$1048576"), MATCH(AJ$1, JunR!$6:$6, 0), FALSE),
            0
        ) +
        IFERROR(
            VLOOKUP($A58, INDIRECT("JulR!$A$6:$ZZ$1048576"), MATCH(AJ$1, JulR!$6:$6, 0), FALSE),
            0
        ) +
        IFERROR(
            VLOOKUP($A58, INDIRECT("AgoR!$A$6:$ZZ$1048576"), MATCH(AJ$1, AgoR!$6:$6, 0), FALSE),
            0
        ) +
        IFERROR(
            VLOOKUP($A58, INDIRECT("SepR!$A$6:$ZZ$1048576"), MATCH(AJ$1, SepR!$6:$6, 0), FALSE),
            0
        ) +
        IFERROR(
            VLOOKUP($A58, INDIRECT("OctR!$A$6:$ZZ$1048576"), MATCH(AJ$1, OctR!$6:$6, 0), FALSE),
            0
        ) +
        IFERROR(
            VLOOKUP($A58, INDIRECT("NovR!$A$6:$ZZ$1048576"), MATCH(AJ$1, NovR!$6:$6, 0), FALSE),
            0
        ) +
        IFERROR(
            VLOOKUP($A58, INDIRECT("DicR!$A$6:$ZZ$1048576"), MATCH(AJ$1, DicR!$6:$6, 0), FALSE),
            0
        )
)</f>
        <v>0</v>
      </c>
      <c r="AK58" s="37">
        <f t="array" ref="AK58">SUM(
    IFERROR(
            VLOOKUP($A58, INDIRECT("EneR!$A$6:$ZZ$1048576"), MATCH(AK$1, EneR!$6:$6, 0), FALSE),
            0
        ) +
        IFERROR(
            VLOOKUP($A58, INDIRECT("FebR!$A$6:$ZZ$1048576"), MATCH(AK$1, FebR!$6:$6, 0), FALSE),
            0
        ) +
        IFERROR(
            VLOOKUP($A58, INDIRECT("MarR!$A$6:$ZZ$1048576"), MATCH(AK$1, MarR!$6:$6, 0), FALSE),
            0
        ) +
        IFERROR(
            VLOOKUP($A58, INDIRECT("AbrR!$A$6:$ZZ$1048576"), MATCH(AK$1, AbrR!$6:$6, 0), FALSE),
            0
        ) +
        IFERROR(
            VLOOKUP($A58, INDIRECT("MayR!$A$6:$ZZ$1048576"), MATCH(AK$1, MayR!$6:$6, 0), FALSE),
            0
        ) +
        IFERROR(
            VLOOKUP($A58, INDIRECT("JunR!$A$6:$ZZ$1048576"), MATCH(AK$1, JunR!$6:$6, 0), FALSE),
            0
        ) +
        IFERROR(
            VLOOKUP($A58, INDIRECT("JulR!$A$6:$ZZ$1048576"), MATCH(AK$1, JulR!$6:$6, 0), FALSE),
            0
        ) +
        IFERROR(
            VLOOKUP($A58, INDIRECT("AgoR!$A$6:$ZZ$1048576"), MATCH(AK$1, AgoR!$6:$6, 0), FALSE),
            0
        ) +
        IFERROR(
            VLOOKUP($A58, INDIRECT("SepR!$A$6:$ZZ$1048576"), MATCH(AK$1, SepR!$6:$6, 0), FALSE),
            0
        ) +
        IFERROR(
            VLOOKUP($A58, INDIRECT("OctR!$A$6:$ZZ$1048576"), MATCH(AK$1, OctR!$6:$6, 0), FALSE),
            0
        ) +
        IFERROR(
            VLOOKUP($A58, INDIRECT("NovR!$A$6:$ZZ$1048576"), MATCH(AK$1, NovR!$6:$6, 0), FALSE),
            0
        ) +
        IFERROR(
            VLOOKUP($A58, INDIRECT("DicR!$A$6:$ZZ$1048576"), MATCH(AK$1, DicR!$6:$6, 0), FALSE),
            0
        )
)</f>
        <v>0</v>
      </c>
      <c r="AL58" s="36">
        <f t="array" ref="AL58">SUM(
    IFERROR(
            VLOOKUP($A58, INDIRECT("EneR!$A$6:$ZZ$1048576"), MATCH(AL$1, EneR!$6:$6, 0), FALSE),
            0
        ) +
        IFERROR(
            VLOOKUP($A58, INDIRECT("FebR!$A$6:$ZZ$1048576"), MATCH(AL$1, FebR!$6:$6, 0), FALSE),
            0
        ) +
        IFERROR(
            VLOOKUP($A58, INDIRECT("MarR!$A$6:$ZZ$1048576"), MATCH(AL$1, MarR!$6:$6, 0), FALSE),
            0
        ) +
        IFERROR(
            VLOOKUP($A58, INDIRECT("AbrR!$A$6:$ZZ$1048576"), MATCH(AL$1, AbrR!$6:$6, 0), FALSE),
            0
        ) +
        IFERROR(
            VLOOKUP($A58, INDIRECT("MayR!$A$6:$ZZ$1048576"), MATCH(AL$1, MayR!$6:$6, 0), FALSE),
            0
        ) +
        IFERROR(
            VLOOKUP($A58, INDIRECT("JunR!$A$6:$ZZ$1048576"), MATCH(AL$1, JunR!$6:$6, 0), FALSE),
            0
        ) +
        IFERROR(
            VLOOKUP($A58, INDIRECT("JulR!$A$6:$ZZ$1048576"), MATCH(AL$1, JulR!$6:$6, 0), FALSE),
            0
        ) +
        IFERROR(
            VLOOKUP($A58, INDIRECT("AgoR!$A$6:$ZZ$1048576"), MATCH(AL$1, AgoR!$6:$6, 0), FALSE),
            0
        ) +
        IFERROR(
            VLOOKUP($A58, INDIRECT("SepR!$A$6:$ZZ$1048576"), MATCH(AL$1, SepR!$6:$6, 0), FALSE),
            0
        ) +
        IFERROR(
            VLOOKUP($A58, INDIRECT("OctR!$A$6:$ZZ$1048576"), MATCH(AL$1, OctR!$6:$6, 0), FALSE),
            0
        ) +
        IFERROR(
            VLOOKUP($A58, INDIRECT("NovR!$A$6:$ZZ$1048576"), MATCH(AL$1, NovR!$6:$6, 0), FALSE),
            0
        ) +
        IFERROR(
            VLOOKUP($A58, INDIRECT("DicR!$A$6:$ZZ$1048576"), MATCH(AL$1, DicR!$6:$6, 0), FALSE),
            0
        )
)</f>
        <v>0</v>
      </c>
      <c r="AM58" s="37">
        <f t="array" ref="AM58">SUM(
    IFERROR(
            VLOOKUP($A58, INDIRECT("EneR!$A$6:$ZZ$1048576"), MATCH(AM$1, EneR!$6:$6, 0), FALSE),
            0
        ) +
        IFERROR(
            VLOOKUP($A58, INDIRECT("FebR!$A$6:$ZZ$1048576"), MATCH(AM$1, FebR!$6:$6, 0), FALSE),
            0
        ) +
        IFERROR(
            VLOOKUP($A58, INDIRECT("MarR!$A$6:$ZZ$1048576"), MATCH(AM$1, MarR!$6:$6, 0), FALSE),
            0
        ) +
        IFERROR(
            VLOOKUP($A58, INDIRECT("AbrR!$A$6:$ZZ$1048576"), MATCH(AM$1, AbrR!$6:$6, 0), FALSE),
            0
        ) +
        IFERROR(
            VLOOKUP($A58, INDIRECT("MayR!$A$6:$ZZ$1048576"), MATCH(AM$1, MayR!$6:$6, 0), FALSE),
            0
        ) +
        IFERROR(
            VLOOKUP($A58, INDIRECT("JunR!$A$6:$ZZ$1048576"), MATCH(AM$1, JunR!$6:$6, 0), FALSE),
            0
        ) +
        IFERROR(
            VLOOKUP($A58, INDIRECT("JulR!$A$6:$ZZ$1048576"), MATCH(AM$1, JulR!$6:$6, 0), FALSE),
            0
        ) +
        IFERROR(
            VLOOKUP($A58, INDIRECT("AgoR!$A$6:$ZZ$1048576"), MATCH(AM$1, AgoR!$6:$6, 0), FALSE),
            0
        ) +
        IFERROR(
            VLOOKUP($A58, INDIRECT("SepR!$A$6:$ZZ$1048576"), MATCH(AM$1, SepR!$6:$6, 0), FALSE),
            0
        ) +
        IFERROR(
            VLOOKUP($A58, INDIRECT("OctR!$A$6:$ZZ$1048576"), MATCH(AM$1, OctR!$6:$6, 0), FALSE),
            0
        ) +
        IFERROR(
            VLOOKUP($A58, INDIRECT("NovR!$A$6:$ZZ$1048576"), MATCH(AM$1, NovR!$6:$6, 0), FALSE),
            0
        ) +
        IFERROR(
            VLOOKUP($A58, INDIRECT("DicR!$A$6:$ZZ$1048576"), MATCH(AM$1, DicR!$6:$6, 0), FALSE),
            0
        )
)</f>
        <v>0</v>
      </c>
      <c r="AN58" s="32">
        <f t="array" ref="AN58">SUM(
    IFERROR(
            VLOOKUP($A58, INDIRECT("EneR!$A$6:$ZZ$1048576"), MATCH(AN$1, EneR!$6:$6, 0), FALSE),
            0
        ) +
        IFERROR(
            VLOOKUP($A58, INDIRECT("FebR!$A$6:$ZZ$1048576"), MATCH(AN$1, FebR!$6:$6, 0), FALSE),
            0
        ) +
        IFERROR(
            VLOOKUP($A58, INDIRECT("MarR!$A$6:$ZZ$1048576"), MATCH(AN$1, MarR!$6:$6, 0), FALSE),
            0
        ) +
        IFERROR(
            VLOOKUP($A58, INDIRECT("AbrR!$A$6:$ZZ$1048576"), MATCH(AN$1, AbrR!$6:$6, 0), FALSE),
            0
        ) +
        IFERROR(
            VLOOKUP($A58, INDIRECT("MayR!$A$6:$ZZ$1048576"), MATCH(AN$1, MayR!$6:$6, 0), FALSE),
            0
        ) +
        IFERROR(
            VLOOKUP($A58, INDIRECT("JunR!$A$6:$ZZ$1048576"), MATCH(AN$1, JunR!$6:$6, 0), FALSE),
            0
        ) +
        IFERROR(
            VLOOKUP($A58, INDIRECT("JulR!$A$6:$ZZ$1048576"), MATCH(AN$1, JulR!$6:$6, 0), FALSE),
            0
        ) +
        IFERROR(
            VLOOKUP($A58, INDIRECT("AgoR!$A$6:$ZZ$1048576"), MATCH(AN$1, AgoR!$6:$6, 0), FALSE),
            0
        ) +
        IFERROR(
            VLOOKUP($A58, INDIRECT("SepR!$A$6:$ZZ$1048576"), MATCH(AN$1, SepR!$6:$6, 0), FALSE),
            0
        ) +
        IFERROR(
            VLOOKUP($A58, INDIRECT("OctR!$A$6:$ZZ$1048576"), MATCH(AN$1, OctR!$6:$6, 0), FALSE),
            0
        ) +
        IFERROR(
            VLOOKUP($A58, INDIRECT("NovR!$A$6:$ZZ$1048576"), MATCH(AN$1, NovR!$6:$6, 0), FALSE),
            0
        ) +
        IFERROR(
            VLOOKUP($A58, INDIRECT("DicR!$A$6:$ZZ$1048576"), MATCH(AN$1, DicR!$6:$6, 0), FALSE),
            0
        )
)</f>
        <v>0</v>
      </c>
      <c r="AO58" s="35">
        <f t="array" ref="AO58">SUM(
    IFERROR(
            VLOOKUP($A58, INDIRECT("EneR!$A$6:$ZZ$1048576"), MATCH(AO$1, EneR!$6:$6, 0), FALSE),
            0
        ) +
        IFERROR(
            VLOOKUP($A58, INDIRECT("FebR!$A$6:$ZZ$1048576"), MATCH(AO$1, FebR!$6:$6, 0), FALSE),
            0
        ) +
        IFERROR(
            VLOOKUP($A58, INDIRECT("MarR!$A$6:$ZZ$1048576"), MATCH(AO$1, MarR!$6:$6, 0), FALSE),
            0
        ) +
        IFERROR(
            VLOOKUP($A58, INDIRECT("AbrR!$A$6:$ZZ$1048576"), MATCH(AO$1, AbrR!$6:$6, 0), FALSE),
            0
        ) +
        IFERROR(
            VLOOKUP($A58, INDIRECT("MayR!$A$6:$ZZ$1048576"), MATCH(AO$1, MayR!$6:$6, 0), FALSE),
            0
        ) +
        IFERROR(
            VLOOKUP($A58, INDIRECT("JunR!$A$6:$ZZ$1048576"), MATCH(AO$1, JunR!$6:$6, 0), FALSE),
            0
        ) +
        IFERROR(
            VLOOKUP($A58, INDIRECT("JulR!$A$6:$ZZ$1048576"), MATCH(AO$1, JulR!$6:$6, 0), FALSE),
            0
        ) +
        IFERROR(
            VLOOKUP($A58, INDIRECT("AgoR!$A$6:$ZZ$1048576"), MATCH(AO$1, AgoR!$6:$6, 0), FALSE),
            0
        ) +
        IFERROR(
            VLOOKUP($A58, INDIRECT("SepR!$A$6:$ZZ$1048576"), MATCH(AO$1, SepR!$6:$6, 0), FALSE),
            0
        ) +
        IFERROR(
            VLOOKUP($A58, INDIRECT("OctR!$A$6:$ZZ$1048576"), MATCH(AO$1, OctR!$6:$6, 0), FALSE),
            0
        ) +
        IFERROR(
            VLOOKUP($A58, INDIRECT("NovR!$A$6:$ZZ$1048576"), MATCH(AO$1, NovR!$6:$6, 0), FALSE),
            0
        ) +
        IFERROR(
            VLOOKUP($A58, INDIRECT("DicR!$A$6:$ZZ$1048576"), MATCH(AO$1, DicR!$6:$6, 0), FALSE),
            0
        )
)</f>
        <v>0</v>
      </c>
      <c r="AP58" s="36">
        <f t="array" ref="AP58">SUM(
    IFERROR(
            VLOOKUP($A58, INDIRECT("EneR!$A$6:$ZZ$1048576"), MATCH(AP$1, EneR!$6:$6, 0), FALSE),
            0
        ) +
        IFERROR(
            VLOOKUP($A58, INDIRECT("FebR!$A$6:$ZZ$1048576"), MATCH(AP$1, FebR!$6:$6, 0), FALSE),
            0
        ) +
        IFERROR(
            VLOOKUP($A58, INDIRECT("MarR!$A$6:$ZZ$1048576"), MATCH(AP$1, MarR!$6:$6, 0), FALSE),
            0
        ) +
        IFERROR(
            VLOOKUP($A58, INDIRECT("AbrR!$A$6:$ZZ$1048576"), MATCH(AP$1, AbrR!$6:$6, 0), FALSE),
            0
        ) +
        IFERROR(
            VLOOKUP($A58, INDIRECT("MayR!$A$6:$ZZ$1048576"), MATCH(AP$1, MayR!$6:$6, 0), FALSE),
            0
        ) +
        IFERROR(
            VLOOKUP($A58, INDIRECT("JunR!$A$6:$ZZ$1048576"), MATCH(AP$1, JunR!$6:$6, 0), FALSE),
            0
        ) +
        IFERROR(
            VLOOKUP($A58, INDIRECT("JulR!$A$6:$ZZ$1048576"), MATCH(AP$1, JulR!$6:$6, 0), FALSE),
            0
        ) +
        IFERROR(
            VLOOKUP($A58, INDIRECT("AgoR!$A$6:$ZZ$1048576"), MATCH(AP$1, AgoR!$6:$6, 0), FALSE),
            0
        ) +
        IFERROR(
            VLOOKUP($A58, INDIRECT("SepR!$A$6:$ZZ$1048576"), MATCH(AP$1, SepR!$6:$6, 0), FALSE),
            0
        ) +
        IFERROR(
            VLOOKUP($A58, INDIRECT("OctR!$A$6:$ZZ$1048576"), MATCH(AP$1, OctR!$6:$6, 0), FALSE),
            0
        ) +
        IFERROR(
            VLOOKUP($A58, INDIRECT("NovR!$A$6:$ZZ$1048576"), MATCH(AP$1, NovR!$6:$6, 0), FALSE),
            0
        ) +
        IFERROR(
            VLOOKUP($A58, INDIRECT("DicR!$A$6:$ZZ$1048576"), MATCH(AP$1, DicR!$6:$6, 0), FALSE),
            0
        )
)</f>
        <v>0</v>
      </c>
      <c r="AQ58" s="35">
        <f t="array" ref="AQ58">SUM(
    IFERROR(
            VLOOKUP($A58, INDIRECT("EneR!$A$6:$ZZ$1048576"), MATCH(AQ$1, EneR!$6:$6, 0), FALSE),
            0
        ) +
        IFERROR(
            VLOOKUP($A58, INDIRECT("FebR!$A$6:$ZZ$1048576"), MATCH(AQ$1, FebR!$6:$6, 0), FALSE),
            0
        ) +
        IFERROR(
            VLOOKUP($A58, INDIRECT("MarR!$A$6:$ZZ$1048576"), MATCH(AQ$1, MarR!$6:$6, 0), FALSE),
            0
        ) +
        IFERROR(
            VLOOKUP($A58, INDIRECT("AbrR!$A$6:$ZZ$1048576"), MATCH(AQ$1, AbrR!$6:$6, 0), FALSE),
            0
        ) +
        IFERROR(
            VLOOKUP($A58, INDIRECT("MayR!$A$6:$ZZ$1048576"), MATCH(AQ$1, MayR!$6:$6, 0), FALSE),
            0
        ) +
        IFERROR(
            VLOOKUP($A58, INDIRECT("JunR!$A$6:$ZZ$1048576"), MATCH(AQ$1, JunR!$6:$6, 0), FALSE),
            0
        ) +
        IFERROR(
            VLOOKUP($A58, INDIRECT("JulR!$A$6:$ZZ$1048576"), MATCH(AQ$1, JulR!$6:$6, 0), FALSE),
            0
        ) +
        IFERROR(
            VLOOKUP($A58, INDIRECT("AgoR!$A$6:$ZZ$1048576"), MATCH(AQ$1, AgoR!$6:$6, 0), FALSE),
            0
        ) +
        IFERROR(
            VLOOKUP($A58, INDIRECT("SepR!$A$6:$ZZ$1048576"), MATCH(AQ$1, SepR!$6:$6, 0), FALSE),
            0
        ) +
        IFERROR(
            VLOOKUP($A58, INDIRECT("OctR!$A$6:$ZZ$1048576"), MATCH(AQ$1, OctR!$6:$6, 0), FALSE),
            0
        ) +
        IFERROR(
            VLOOKUP($A58, INDIRECT("NovR!$A$6:$ZZ$1048576"), MATCH(AQ$1, NovR!$6:$6, 0), FALSE),
            0
        ) +
        IFERROR(
            VLOOKUP($A58, INDIRECT("DicR!$A$6:$ZZ$1048576"), MATCH(AQ$1, DicR!$6:$6, 0), FALSE),
            0
        )
)</f>
        <v>0</v>
      </c>
      <c r="AR58" s="36">
        <f t="array" ref="AR58">SUM(
    IFERROR(
            VLOOKUP($A58, INDIRECT("EneR!$A$6:$ZZ$1048576"), MATCH(AR$1, EneR!$6:$6, 0), FALSE),
            0
        ) +
        IFERROR(
            VLOOKUP($A58, INDIRECT("FebR!$A$6:$ZZ$1048576"), MATCH(AR$1, FebR!$6:$6, 0), FALSE),
            0
        ) +
        IFERROR(
            VLOOKUP($A58, INDIRECT("MarR!$A$6:$ZZ$1048576"), MATCH(AR$1, MarR!$6:$6, 0), FALSE),
            0
        ) +
        IFERROR(
            VLOOKUP($A58, INDIRECT("AbrR!$A$6:$ZZ$1048576"), MATCH(AR$1, AbrR!$6:$6, 0), FALSE),
            0
        ) +
        IFERROR(
            VLOOKUP($A58, INDIRECT("MayR!$A$6:$ZZ$1048576"), MATCH(AR$1, MayR!$6:$6, 0), FALSE),
            0
        ) +
        IFERROR(
            VLOOKUP($A58, INDIRECT("JunR!$A$6:$ZZ$1048576"), MATCH(AR$1, JunR!$6:$6, 0), FALSE),
            0
        ) +
        IFERROR(
            VLOOKUP($A58, INDIRECT("JulR!$A$6:$ZZ$1048576"), MATCH(AR$1, JulR!$6:$6, 0), FALSE),
            0
        ) +
        IFERROR(
            VLOOKUP($A58, INDIRECT("AgoR!$A$6:$ZZ$1048576"), MATCH(AR$1, AgoR!$6:$6, 0), FALSE),
            0
        ) +
        IFERROR(
            VLOOKUP($A58, INDIRECT("SepR!$A$6:$ZZ$1048576"), MATCH(AR$1, SepR!$6:$6, 0), FALSE),
            0
        ) +
        IFERROR(
            VLOOKUP($A58, INDIRECT("OctR!$A$6:$ZZ$1048576"), MATCH(AR$1, OctR!$6:$6, 0), FALSE),
            0
        ) +
        IFERROR(
            VLOOKUP($A58, INDIRECT("NovR!$A$6:$ZZ$1048576"), MATCH(AR$1, NovR!$6:$6, 0), FALSE),
            0
        ) +
        IFERROR(
            VLOOKUP($A58, INDIRECT("DicR!$A$6:$ZZ$1048576"), MATCH(AR$1, DicR!$6:$6, 0), FALSE),
            0
        )
)</f>
        <v>0</v>
      </c>
      <c r="AS58" s="35">
        <f t="array" ref="AS58">SUM(
    IFERROR(
            VLOOKUP($A58, INDIRECT("EneR!$A$6:$ZZ$1048576"), MATCH(AS$1, EneR!$6:$6, 0), FALSE),
            0
        ) +
        IFERROR(
            VLOOKUP($A58, INDIRECT("FebR!$A$6:$ZZ$1048576"), MATCH(AS$1, FebR!$6:$6, 0), FALSE),
            0
        ) +
        IFERROR(
            VLOOKUP($A58, INDIRECT("MarR!$A$6:$ZZ$1048576"), MATCH(AS$1, MarR!$6:$6, 0), FALSE),
            0
        ) +
        IFERROR(
            VLOOKUP($A58, INDIRECT("AbrR!$A$6:$ZZ$1048576"), MATCH(AS$1, AbrR!$6:$6, 0), FALSE),
            0
        ) +
        IFERROR(
            VLOOKUP($A58, INDIRECT("MayR!$A$6:$ZZ$1048576"), MATCH(AS$1, MayR!$6:$6, 0), FALSE),
            0
        ) +
        IFERROR(
            VLOOKUP($A58, INDIRECT("JunR!$A$6:$ZZ$1048576"), MATCH(AS$1, JunR!$6:$6, 0), FALSE),
            0
        ) +
        IFERROR(
            VLOOKUP($A58, INDIRECT("JulR!$A$6:$ZZ$1048576"), MATCH(AS$1, JulR!$6:$6, 0), FALSE),
            0
        ) +
        IFERROR(
            VLOOKUP($A58, INDIRECT("AgoR!$A$6:$ZZ$1048576"), MATCH(AS$1, AgoR!$6:$6, 0), FALSE),
            0
        ) +
        IFERROR(
            VLOOKUP($A58, INDIRECT("SepR!$A$6:$ZZ$1048576"), MATCH(AS$1, SepR!$6:$6, 0), FALSE),
            0
        ) +
        IFERROR(
            VLOOKUP($A58, INDIRECT("OctR!$A$6:$ZZ$1048576"), MATCH(AS$1, OctR!$6:$6, 0), FALSE),
            0
        ) +
        IFERROR(
            VLOOKUP($A58, INDIRECT("NovR!$A$6:$ZZ$1048576"), MATCH(AS$1, NovR!$6:$6, 0), FALSE),
            0
        ) +
        IFERROR(
            VLOOKUP($A58, INDIRECT("DicR!$A$6:$ZZ$1048576"), MATCH(AS$1, DicR!$6:$6, 0), FALSE),
            0
        )
)</f>
        <v>0</v>
      </c>
      <c r="AT58" s="36">
        <f t="array" ref="AT58">SUM(
    IFERROR(
            VLOOKUP($A58, INDIRECT("EneR!$A$6:$ZZ$1048576"), MATCH(AT$1, EneR!$6:$6, 0), FALSE),
            0
        ) +
        IFERROR(
            VLOOKUP($A58, INDIRECT("FebR!$A$6:$ZZ$1048576"), MATCH(AT$1, FebR!$6:$6, 0), FALSE),
            0
        ) +
        IFERROR(
            VLOOKUP($A58, INDIRECT("MarR!$A$6:$ZZ$1048576"), MATCH(AT$1, MarR!$6:$6, 0), FALSE),
            0
        ) +
        IFERROR(
            VLOOKUP($A58, INDIRECT("AbrR!$A$6:$ZZ$1048576"), MATCH(AT$1, AbrR!$6:$6, 0), FALSE),
            0
        ) +
        IFERROR(
            VLOOKUP($A58, INDIRECT("MayR!$A$6:$ZZ$1048576"), MATCH(AT$1, MayR!$6:$6, 0), FALSE),
            0
        ) +
        IFERROR(
            VLOOKUP($A58, INDIRECT("JunR!$A$6:$ZZ$1048576"), MATCH(AT$1, JunR!$6:$6, 0), FALSE),
            0
        ) +
        IFERROR(
            VLOOKUP($A58, INDIRECT("JulR!$A$6:$ZZ$1048576"), MATCH(AT$1, JulR!$6:$6, 0), FALSE),
            0
        ) +
        IFERROR(
            VLOOKUP($A58, INDIRECT("AgoR!$A$6:$ZZ$1048576"), MATCH(AT$1, AgoR!$6:$6, 0), FALSE),
            0
        ) +
        IFERROR(
            VLOOKUP($A58, INDIRECT("SepR!$A$6:$ZZ$1048576"), MATCH(AT$1, SepR!$6:$6, 0), FALSE),
            0
        ) +
        IFERROR(
            VLOOKUP($A58, INDIRECT("OctR!$A$6:$ZZ$1048576"), MATCH(AT$1, OctR!$6:$6, 0), FALSE),
            0
        ) +
        IFERROR(
            VLOOKUP($A58, INDIRECT("NovR!$A$6:$ZZ$1048576"), MATCH(AT$1, NovR!$6:$6, 0), FALSE),
            0
        ) +
        IFERROR(
            VLOOKUP($A58, INDIRECT("DicR!$A$6:$ZZ$1048576"), MATCH(AT$1, DicR!$6:$6, 0), FALSE),
            0
        )
)</f>
        <v>0</v>
      </c>
      <c r="AU58" s="35">
        <f t="array" ref="AU58">SUM(
    IFERROR(
            VLOOKUP($A58, INDIRECT("EneR!$A$6:$ZZ$1048576"), MATCH(AU$1, EneR!$6:$6, 0), FALSE),
            0
        ) +
        IFERROR(
            VLOOKUP($A58, INDIRECT("FebR!$A$6:$ZZ$1048576"), MATCH(AU$1, FebR!$6:$6, 0), FALSE),
            0
        ) +
        IFERROR(
            VLOOKUP($A58, INDIRECT("MarR!$A$6:$ZZ$1048576"), MATCH(AU$1, MarR!$6:$6, 0), FALSE),
            0
        ) +
        IFERROR(
            VLOOKUP($A58, INDIRECT("AbrR!$A$6:$ZZ$1048576"), MATCH(AU$1, AbrR!$6:$6, 0), FALSE),
            0
        ) +
        IFERROR(
            VLOOKUP($A58, INDIRECT("MayR!$A$6:$ZZ$1048576"), MATCH(AU$1, MayR!$6:$6, 0), FALSE),
            0
        ) +
        IFERROR(
            VLOOKUP($A58, INDIRECT("JunR!$A$6:$ZZ$1048576"), MATCH(AU$1, JunR!$6:$6, 0), FALSE),
            0
        ) +
        IFERROR(
            VLOOKUP($A58, INDIRECT("JulR!$A$6:$ZZ$1048576"), MATCH(AU$1, JulR!$6:$6, 0), FALSE),
            0
        ) +
        IFERROR(
            VLOOKUP($A58, INDIRECT("AgoR!$A$6:$ZZ$1048576"), MATCH(AU$1, AgoR!$6:$6, 0), FALSE),
            0
        ) +
        IFERROR(
            VLOOKUP($A58, INDIRECT("SepR!$A$6:$ZZ$1048576"), MATCH(AU$1, SepR!$6:$6, 0), FALSE),
            0
        ) +
        IFERROR(
            VLOOKUP($A58, INDIRECT("OctR!$A$6:$ZZ$1048576"), MATCH(AU$1, OctR!$6:$6, 0), FALSE),
            0
        ) +
        IFERROR(
            VLOOKUP($A58, INDIRECT("NovR!$A$6:$ZZ$1048576"), MATCH(AU$1, NovR!$6:$6, 0), FALSE),
            0
        ) +
        IFERROR(
            VLOOKUP($A58, INDIRECT("DicR!$A$6:$ZZ$1048576"), MATCH(AU$1, DicR!$6:$6, 0), FALSE),
            0
        )
)</f>
        <v>0</v>
      </c>
      <c r="AV58" s="36">
        <f t="array" ref="AV58">SUM(
    IFERROR(
            VLOOKUP($A58, INDIRECT("EneR!$A$6:$ZZ$1048576"), MATCH(AV$1, EneR!$6:$6, 0), FALSE),
            0
        ) +
        IFERROR(
            VLOOKUP($A58, INDIRECT("FebR!$A$6:$ZZ$1048576"), MATCH(AV$1, FebR!$6:$6, 0), FALSE),
            0
        ) +
        IFERROR(
            VLOOKUP($A58, INDIRECT("MarR!$A$6:$ZZ$1048576"), MATCH(AV$1, MarR!$6:$6, 0), FALSE),
            0
        ) +
        IFERROR(
            VLOOKUP($A58, INDIRECT("AbrR!$A$6:$ZZ$1048576"), MATCH(AV$1, AbrR!$6:$6, 0), FALSE),
            0
        ) +
        IFERROR(
            VLOOKUP($A58, INDIRECT("MayR!$A$6:$ZZ$1048576"), MATCH(AV$1, MayR!$6:$6, 0), FALSE),
            0
        ) +
        IFERROR(
            VLOOKUP($A58, INDIRECT("JunR!$A$6:$ZZ$1048576"), MATCH(AV$1, JunR!$6:$6, 0), FALSE),
            0
        ) +
        IFERROR(
            VLOOKUP($A58, INDIRECT("JulR!$A$6:$ZZ$1048576"), MATCH(AV$1, JulR!$6:$6, 0), FALSE),
            0
        ) +
        IFERROR(
            VLOOKUP($A58, INDIRECT("AgoR!$A$6:$ZZ$1048576"), MATCH(AV$1, AgoR!$6:$6, 0), FALSE),
            0
        ) +
        IFERROR(
            VLOOKUP($A58, INDIRECT("SepR!$A$6:$ZZ$1048576"), MATCH(AV$1, SepR!$6:$6, 0), FALSE),
            0
        ) +
        IFERROR(
            VLOOKUP($A58, INDIRECT("OctR!$A$6:$ZZ$1048576"), MATCH(AV$1, OctR!$6:$6, 0), FALSE),
            0
        ) +
        IFERROR(
            VLOOKUP($A58, INDIRECT("NovR!$A$6:$ZZ$1048576"), MATCH(AV$1, NovR!$6:$6, 0), FALSE),
            0
        ) +
        IFERROR(
            VLOOKUP($A58, INDIRECT("DicR!$A$6:$ZZ$1048576"), MATCH(AV$1, DicR!$6:$6, 0), FALSE),
            0
        )
)</f>
        <v>0</v>
      </c>
      <c r="AW58" s="35">
        <f t="array" ref="AW58">SUM(
    IFERROR(
            VLOOKUP($A58, INDIRECT("EneR!$A$6:$ZZ$1048576"), MATCH(AW$1, EneR!$6:$6, 0), FALSE),
            0
        ) +
        IFERROR(
            VLOOKUP($A58, INDIRECT("FebR!$A$6:$ZZ$1048576"), MATCH(AW$1, FebR!$6:$6, 0), FALSE),
            0
        ) +
        IFERROR(
            VLOOKUP($A58, INDIRECT("MarR!$A$6:$ZZ$1048576"), MATCH(AW$1, MarR!$6:$6, 0), FALSE),
            0
        ) +
        IFERROR(
            VLOOKUP($A58, INDIRECT("AbrR!$A$6:$ZZ$1048576"), MATCH(AW$1, AbrR!$6:$6, 0), FALSE),
            0
        ) +
        IFERROR(
            VLOOKUP($A58, INDIRECT("MayR!$A$6:$ZZ$1048576"), MATCH(AW$1, MayR!$6:$6, 0), FALSE),
            0
        ) +
        IFERROR(
            VLOOKUP($A58, INDIRECT("JunR!$A$6:$ZZ$1048576"), MATCH(AW$1, JunR!$6:$6, 0), FALSE),
            0
        ) +
        IFERROR(
            VLOOKUP($A58, INDIRECT("JulR!$A$6:$ZZ$1048576"), MATCH(AW$1, JulR!$6:$6, 0), FALSE),
            0
        ) +
        IFERROR(
            VLOOKUP($A58, INDIRECT("AgoR!$A$6:$ZZ$1048576"), MATCH(AW$1, AgoR!$6:$6, 0), FALSE),
            0
        ) +
        IFERROR(
            VLOOKUP($A58, INDIRECT("SepR!$A$6:$ZZ$1048576"), MATCH(AW$1, SepR!$6:$6, 0), FALSE),
            0
        ) +
        IFERROR(
            VLOOKUP($A58, INDIRECT("OctR!$A$6:$ZZ$1048576"), MATCH(AW$1, OctR!$6:$6, 0), FALSE),
            0
        ) +
        IFERROR(
            VLOOKUP($A58, INDIRECT("NovR!$A$6:$ZZ$1048576"), MATCH(AW$1, NovR!$6:$6, 0), FALSE),
            0
        ) +
        IFERROR(
            VLOOKUP($A58, INDIRECT("DicR!$A$6:$ZZ$1048576"), MATCH(AW$1, DicR!$6:$6, 0), FALSE),
            0
        )
)</f>
        <v>0</v>
      </c>
      <c r="AX58" s="36">
        <f t="array" ref="AX58">SUM(
    IFERROR(
            VLOOKUP($A58, INDIRECT("EneR!$A$6:$ZZ$1048576"), MATCH(AX$1, EneR!$6:$6, 0), FALSE),
            0
        ) +
        IFERROR(
            VLOOKUP($A58, INDIRECT("FebR!$A$6:$ZZ$1048576"), MATCH(AX$1, FebR!$6:$6, 0), FALSE),
            0
        ) +
        IFERROR(
            VLOOKUP($A58, INDIRECT("MarR!$A$6:$ZZ$1048576"), MATCH(AX$1, MarR!$6:$6, 0), FALSE),
            0
        ) +
        IFERROR(
            VLOOKUP($A58, INDIRECT("AbrR!$A$6:$ZZ$1048576"), MATCH(AX$1, AbrR!$6:$6, 0), FALSE),
            0
        ) +
        IFERROR(
            VLOOKUP($A58, INDIRECT("MayR!$A$6:$ZZ$1048576"), MATCH(AX$1, MayR!$6:$6, 0), FALSE),
            0
        ) +
        IFERROR(
            VLOOKUP($A58, INDIRECT("JunR!$A$6:$ZZ$1048576"), MATCH(AX$1, JunR!$6:$6, 0), FALSE),
            0
        ) +
        IFERROR(
            VLOOKUP($A58, INDIRECT("JulR!$A$6:$ZZ$1048576"), MATCH(AX$1, JulR!$6:$6, 0), FALSE),
            0
        ) +
        IFERROR(
            VLOOKUP($A58, INDIRECT("AgoR!$A$6:$ZZ$1048576"), MATCH(AX$1, AgoR!$6:$6, 0), FALSE),
            0
        ) +
        IFERROR(
            VLOOKUP($A58, INDIRECT("SepR!$A$6:$ZZ$1048576"), MATCH(AX$1, SepR!$6:$6, 0), FALSE),
            0
        ) +
        IFERROR(
            VLOOKUP($A58, INDIRECT("OctR!$A$6:$ZZ$1048576"), MATCH(AX$1, OctR!$6:$6, 0), FALSE),
            0
        ) +
        IFERROR(
            VLOOKUP($A58, INDIRECT("NovR!$A$6:$ZZ$1048576"), MATCH(AX$1, NovR!$6:$6, 0), FALSE),
            0
        ) +
        IFERROR(
            VLOOKUP($A58, INDIRECT("DicR!$A$6:$ZZ$1048576"), MATCH(AX$1, DicR!$6:$6, 0), FALSE),
            0
        )
)</f>
        <v>0</v>
      </c>
      <c r="AY58" s="35">
        <f t="array" ref="AY58">SUM(
    IFERROR(
            VLOOKUP($A58, INDIRECT("EneR!$A$6:$ZZ$1048576"), MATCH(AY$1, EneR!$6:$6, 0), FALSE),
            0
        ) +
        IFERROR(
            VLOOKUP($A58, INDIRECT("FebR!$A$6:$ZZ$1048576"), MATCH(AY$1, FebR!$6:$6, 0), FALSE),
            0
        ) +
        IFERROR(
            VLOOKUP($A58, INDIRECT("MarR!$A$6:$ZZ$1048576"), MATCH(AY$1, MarR!$6:$6, 0), FALSE),
            0
        ) +
        IFERROR(
            VLOOKUP($A58, INDIRECT("AbrR!$A$6:$ZZ$1048576"), MATCH(AY$1, AbrR!$6:$6, 0), FALSE),
            0
        ) +
        IFERROR(
            VLOOKUP($A58, INDIRECT("MayR!$A$6:$ZZ$1048576"), MATCH(AY$1, MayR!$6:$6, 0), FALSE),
            0
        ) +
        IFERROR(
            VLOOKUP($A58, INDIRECT("JunR!$A$6:$ZZ$1048576"), MATCH(AY$1, JunR!$6:$6, 0), FALSE),
            0
        ) +
        IFERROR(
            VLOOKUP($A58, INDIRECT("JulR!$A$6:$ZZ$1048576"), MATCH(AY$1, JulR!$6:$6, 0), FALSE),
            0
        ) +
        IFERROR(
            VLOOKUP($A58, INDIRECT("AgoR!$A$6:$ZZ$1048576"), MATCH(AY$1, AgoR!$6:$6, 0), FALSE),
            0
        ) +
        IFERROR(
            VLOOKUP($A58, INDIRECT("SepR!$A$6:$ZZ$1048576"), MATCH(AY$1, SepR!$6:$6, 0), FALSE),
            0
        ) +
        IFERROR(
            VLOOKUP($A58, INDIRECT("OctR!$A$6:$ZZ$1048576"), MATCH(AY$1, OctR!$6:$6, 0), FALSE),
            0
        ) +
        IFERROR(
            VLOOKUP($A58, INDIRECT("NovR!$A$6:$ZZ$1048576"), MATCH(AY$1, NovR!$6:$6, 0), FALSE),
            0
        ) +
        IFERROR(
            VLOOKUP($A58, INDIRECT("DicR!$A$6:$ZZ$1048576"), MATCH(AY$1, DicR!$6:$6, 0), FALSE),
            0
        )
)</f>
        <v>0</v>
      </c>
      <c r="AZ58" s="35"/>
    </row>
    <row r="59" ht="15.75" customHeight="1">
      <c r="A59" s="12" t="str">
        <f>Menus!B20</f>
        <v/>
      </c>
      <c r="B59" s="32">
        <f t="shared" si="9"/>
        <v>0</v>
      </c>
      <c r="C59" s="33" t="str">
        <f t="shared" si="10"/>
        <v/>
      </c>
      <c r="D59" s="34">
        <f t="array" ref="D59">SUM(
    IFERROR(
            VLOOKUP($A59, INDIRECT("EneR!$A$6:$ZZ$1048576"), MATCH(D$1, EneR!$6:$6, 0), FALSE),
            0
        ) +
        IFERROR(
            VLOOKUP($A59, INDIRECT("FebR!$A$6:$ZZ$1048576"), MATCH(D$1, FebR!$6:$6, 0), FALSE),
            0
        ) +
        IFERROR(
            VLOOKUP($A59, INDIRECT("MarR!$A$6:$ZZ$1048576"), MATCH(D$1, MarR!$6:$6, 0), FALSE),
            0
        ) +
        IFERROR(
            VLOOKUP($A59, INDIRECT("AbrR!$A$6:$ZZ$1048576"), MATCH(D$1, AbrR!$6:$6, 0), FALSE),
            0
        ) +
        IFERROR(
            VLOOKUP($A59, INDIRECT("MayR!$A$6:$ZZ$1048576"), MATCH(D$1, MayR!$6:$6, 0), FALSE),
            0
        ) +
        IFERROR(
            VLOOKUP($A59, INDIRECT("JunR!$A$6:$ZZ$1048576"), MATCH(D$1, JunR!$6:$6, 0), FALSE),
            0
        ) +
        IFERROR(
            VLOOKUP($A59, INDIRECT("JulR!$A$6:$ZZ$1048576"), MATCH(D$1, JulR!$6:$6, 0), FALSE),
            0
        ) +
        IFERROR(
            VLOOKUP($A59, INDIRECT("AgoR!$A$6:$ZZ$1048576"), MATCH(D$1, AgoR!$6:$6, 0), FALSE),
            0
        ) +
        IFERROR(
            VLOOKUP($A59, INDIRECT("SepR!$A$6:$ZZ$1048576"), MATCH(D$1, SepR!$6:$6, 0), FALSE),
            0
        ) +
        IFERROR(
            VLOOKUP($A59, INDIRECT("OctR!$A$6:$ZZ$1048576"), MATCH(D$1, OctR!$6:$6, 0), FALSE),
            0
        ) +
        IFERROR(
            VLOOKUP($A59, INDIRECT("NovR!$A$6:$ZZ$1048576"), MATCH(D$1, NovR!$6:$6, 0), FALSE),
            0
        ) +
        IFERROR(
            VLOOKUP($A59, INDIRECT("DicR!$A$6:$ZZ$1048576"), MATCH(D$1, DicR!$6:$6, 0), FALSE),
            0
        )
)</f>
        <v>0</v>
      </c>
      <c r="E59" s="35">
        <f t="array" ref="E59">SUM(
    IFERROR(
            VLOOKUP($A59, INDIRECT("EneR!$A$6:$ZZ$1048576"), MATCH(E$1, EneR!$6:$6, 0), FALSE),
            0
        ) +
        IFERROR(
            VLOOKUP($A59, INDIRECT("FebR!$A$6:$ZZ$1048576"), MATCH(E$1, FebR!$6:$6, 0), FALSE),
            0
        ) +
        IFERROR(
            VLOOKUP($A59, INDIRECT("MarR!$A$6:$ZZ$1048576"), MATCH(E$1, MarR!$6:$6, 0), FALSE),
            0
        ) +
        IFERROR(
            VLOOKUP($A59, INDIRECT("AbrR!$A$6:$ZZ$1048576"), MATCH(E$1, AbrR!$6:$6, 0), FALSE),
            0
        ) +
        IFERROR(
            VLOOKUP($A59, INDIRECT("MayR!$A$6:$ZZ$1048576"), MATCH(E$1, MayR!$6:$6, 0), FALSE),
            0
        ) +
        IFERROR(
            VLOOKUP($A59, INDIRECT("JunR!$A$6:$ZZ$1048576"), MATCH(E$1, JunR!$6:$6, 0), FALSE),
            0
        ) +
        IFERROR(
            VLOOKUP($A59, INDIRECT("JulR!$A$6:$ZZ$1048576"), MATCH(E$1, JulR!$6:$6, 0), FALSE),
            0
        ) +
        IFERROR(
            VLOOKUP($A59, INDIRECT("AgoR!$A$6:$ZZ$1048576"), MATCH(E$1, AgoR!$6:$6, 0), FALSE),
            0
        ) +
        IFERROR(
            VLOOKUP($A59, INDIRECT("SepR!$A$6:$ZZ$1048576"), MATCH(E$1, SepR!$6:$6, 0), FALSE),
            0
        ) +
        IFERROR(
            VLOOKUP($A59, INDIRECT("OctR!$A$6:$ZZ$1048576"), MATCH(E$1, OctR!$6:$6, 0), FALSE),
            0
        ) +
        IFERROR(
            VLOOKUP($A59, INDIRECT("NovR!$A$6:$ZZ$1048576"), MATCH(E$1, NovR!$6:$6, 0), FALSE),
            0
        ) +
        IFERROR(
            VLOOKUP($A59, INDIRECT("DicR!$A$6:$ZZ$1048576"), MATCH(E$1, DicR!$6:$6, 0), FALSE),
            0
        )
)</f>
        <v>0</v>
      </c>
      <c r="F59" s="32">
        <f t="array" ref="F59">SUM(
    IFERROR(
            VLOOKUP($A59, INDIRECT("EneR!$A$6:$ZZ$1048576"), MATCH(F$1, EneR!$6:$6, 0), FALSE),
            0
        ) +
        IFERROR(
            VLOOKUP($A59, INDIRECT("FebR!$A$6:$ZZ$1048576"), MATCH(F$1, FebR!$6:$6, 0), FALSE),
            0
        ) +
        IFERROR(
            VLOOKUP($A59, INDIRECT("MarR!$A$6:$ZZ$1048576"), MATCH(F$1, MarR!$6:$6, 0), FALSE),
            0
        ) +
        IFERROR(
            VLOOKUP($A59, INDIRECT("AbrR!$A$6:$ZZ$1048576"), MATCH(F$1, AbrR!$6:$6, 0), FALSE),
            0
        ) +
        IFERROR(
            VLOOKUP($A59, INDIRECT("MayR!$A$6:$ZZ$1048576"), MATCH(F$1, MayR!$6:$6, 0), FALSE),
            0
        ) +
        IFERROR(
            VLOOKUP($A59, INDIRECT("JunR!$A$6:$ZZ$1048576"), MATCH(F$1, JunR!$6:$6, 0), FALSE),
            0
        ) +
        IFERROR(
            VLOOKUP($A59, INDIRECT("JulR!$A$6:$ZZ$1048576"), MATCH(F$1, JulR!$6:$6, 0), FALSE),
            0
        ) +
        IFERROR(
            VLOOKUP($A59, INDIRECT("AgoR!$A$6:$ZZ$1048576"), MATCH(F$1, AgoR!$6:$6, 0), FALSE),
            0
        ) +
        IFERROR(
            VLOOKUP($A59, INDIRECT("SepR!$A$6:$ZZ$1048576"), MATCH(F$1, SepR!$6:$6, 0), FALSE),
            0
        ) +
        IFERROR(
            VLOOKUP($A59, INDIRECT("OctR!$A$6:$ZZ$1048576"), MATCH(F$1, OctR!$6:$6, 0), FALSE),
            0
        ) +
        IFERROR(
            VLOOKUP($A59, INDIRECT("NovR!$A$6:$ZZ$1048576"), MATCH(F$1, NovR!$6:$6, 0), FALSE),
            0
        ) +
        IFERROR(
            VLOOKUP($A59, INDIRECT("DicR!$A$6:$ZZ$1048576"), MATCH(F$1, DicR!$6:$6, 0), FALSE),
            0
        )
)</f>
        <v>0</v>
      </c>
      <c r="G59" s="35">
        <f t="array" ref="G59">SUM(
    IFERROR(
            VLOOKUP($A59, INDIRECT("EneR!$A$6:$ZZ$1048576"), MATCH(G$1, EneR!$6:$6, 0), FALSE),
            0
        ) +
        IFERROR(
            VLOOKUP($A59, INDIRECT("FebR!$A$6:$ZZ$1048576"), MATCH(G$1, FebR!$6:$6, 0), FALSE),
            0
        ) +
        IFERROR(
            VLOOKUP($A59, INDIRECT("MarR!$A$6:$ZZ$1048576"), MATCH(G$1, MarR!$6:$6, 0), FALSE),
            0
        ) +
        IFERROR(
            VLOOKUP($A59, INDIRECT("AbrR!$A$6:$ZZ$1048576"), MATCH(G$1, AbrR!$6:$6, 0), FALSE),
            0
        ) +
        IFERROR(
            VLOOKUP($A59, INDIRECT("MayR!$A$6:$ZZ$1048576"), MATCH(G$1, MayR!$6:$6, 0), FALSE),
            0
        ) +
        IFERROR(
            VLOOKUP($A59, INDIRECT("JunR!$A$6:$ZZ$1048576"), MATCH(G$1, JunR!$6:$6, 0), FALSE),
            0
        ) +
        IFERROR(
            VLOOKUP($A59, INDIRECT("JulR!$A$6:$ZZ$1048576"), MATCH(G$1, JulR!$6:$6, 0), FALSE),
            0
        ) +
        IFERROR(
            VLOOKUP($A59, INDIRECT("AgoR!$A$6:$ZZ$1048576"), MATCH(G$1, AgoR!$6:$6, 0), FALSE),
            0
        ) +
        IFERROR(
            VLOOKUP($A59, INDIRECT("SepR!$A$6:$ZZ$1048576"), MATCH(G$1, SepR!$6:$6, 0), FALSE),
            0
        ) +
        IFERROR(
            VLOOKUP($A59, INDIRECT("OctR!$A$6:$ZZ$1048576"), MATCH(G$1, OctR!$6:$6, 0), FALSE),
            0
        ) +
        IFERROR(
            VLOOKUP($A59, INDIRECT("NovR!$A$6:$ZZ$1048576"), MATCH(G$1, NovR!$6:$6, 0), FALSE),
            0
        ) +
        IFERROR(
            VLOOKUP($A59, INDIRECT("DicR!$A$6:$ZZ$1048576"), MATCH(G$1, DicR!$6:$6, 0), FALSE),
            0
        )
)</f>
        <v>0</v>
      </c>
      <c r="H59" s="32">
        <f t="array" ref="H59">SUM(
    IFERROR(
            VLOOKUP($A59, INDIRECT("EneR!$A$6:$ZZ$1048576"), MATCH(H$1, EneR!$6:$6, 0), FALSE),
            0
        ) +
        IFERROR(
            VLOOKUP($A59, INDIRECT("FebR!$A$6:$ZZ$1048576"), MATCH(H$1, FebR!$6:$6, 0), FALSE),
            0
        ) +
        IFERROR(
            VLOOKUP($A59, INDIRECT("MarR!$A$6:$ZZ$1048576"), MATCH(H$1, MarR!$6:$6, 0), FALSE),
            0
        ) +
        IFERROR(
            VLOOKUP($A59, INDIRECT("AbrR!$A$6:$ZZ$1048576"), MATCH(H$1, AbrR!$6:$6, 0), FALSE),
            0
        ) +
        IFERROR(
            VLOOKUP($A59, INDIRECT("MayR!$A$6:$ZZ$1048576"), MATCH(H$1, MayR!$6:$6, 0), FALSE),
            0
        ) +
        IFERROR(
            VLOOKUP($A59, INDIRECT("JunR!$A$6:$ZZ$1048576"), MATCH(H$1, JunR!$6:$6, 0), FALSE),
            0
        ) +
        IFERROR(
            VLOOKUP($A59, INDIRECT("JulR!$A$6:$ZZ$1048576"), MATCH(H$1, JulR!$6:$6, 0), FALSE),
            0
        ) +
        IFERROR(
            VLOOKUP($A59, INDIRECT("AgoR!$A$6:$ZZ$1048576"), MATCH(H$1, AgoR!$6:$6, 0), FALSE),
            0
        ) +
        IFERROR(
            VLOOKUP($A59, INDIRECT("SepR!$A$6:$ZZ$1048576"), MATCH(H$1, SepR!$6:$6, 0), FALSE),
            0
        ) +
        IFERROR(
            VLOOKUP($A59, INDIRECT("OctR!$A$6:$ZZ$1048576"), MATCH(H$1, OctR!$6:$6, 0), FALSE),
            0
        ) +
        IFERROR(
            VLOOKUP($A59, INDIRECT("NovR!$A$6:$ZZ$1048576"), MATCH(H$1, NovR!$6:$6, 0), FALSE),
            0
        ) +
        IFERROR(
            VLOOKUP($A59, INDIRECT("DicR!$A$6:$ZZ$1048576"), MATCH(H$1, DicR!$6:$6, 0), FALSE),
            0
        )
)</f>
        <v>0</v>
      </c>
      <c r="I59" s="35">
        <f t="array" ref="I59">SUM(
    IFERROR(
            VLOOKUP($A59, INDIRECT("EneR!$A$6:$ZZ$1048576"), MATCH(I$1, EneR!$6:$6, 0), FALSE),
            0
        ) +
        IFERROR(
            VLOOKUP($A59, INDIRECT("FebR!$A$6:$ZZ$1048576"), MATCH(I$1, FebR!$6:$6, 0), FALSE),
            0
        ) +
        IFERROR(
            VLOOKUP($A59, INDIRECT("MarR!$A$6:$ZZ$1048576"), MATCH(I$1, MarR!$6:$6, 0), FALSE),
            0
        ) +
        IFERROR(
            VLOOKUP($A59, INDIRECT("AbrR!$A$6:$ZZ$1048576"), MATCH(I$1, AbrR!$6:$6, 0), FALSE),
            0
        ) +
        IFERROR(
            VLOOKUP($A59, INDIRECT("MayR!$A$6:$ZZ$1048576"), MATCH(I$1, MayR!$6:$6, 0), FALSE),
            0
        ) +
        IFERROR(
            VLOOKUP($A59, INDIRECT("JunR!$A$6:$ZZ$1048576"), MATCH(I$1, JunR!$6:$6, 0), FALSE),
            0
        ) +
        IFERROR(
            VLOOKUP($A59, INDIRECT("JulR!$A$6:$ZZ$1048576"), MATCH(I$1, JulR!$6:$6, 0), FALSE),
            0
        ) +
        IFERROR(
            VLOOKUP($A59, INDIRECT("AgoR!$A$6:$ZZ$1048576"), MATCH(I$1, AgoR!$6:$6, 0), FALSE),
            0
        ) +
        IFERROR(
            VLOOKUP($A59, INDIRECT("SepR!$A$6:$ZZ$1048576"), MATCH(I$1, SepR!$6:$6, 0), FALSE),
            0
        ) +
        IFERROR(
            VLOOKUP($A59, INDIRECT("OctR!$A$6:$ZZ$1048576"), MATCH(I$1, OctR!$6:$6, 0), FALSE),
            0
        ) +
        IFERROR(
            VLOOKUP($A59, INDIRECT("NovR!$A$6:$ZZ$1048576"), MATCH(I$1, NovR!$6:$6, 0), FALSE),
            0
        ) +
        IFERROR(
            VLOOKUP($A59, INDIRECT("DicR!$A$6:$ZZ$1048576"), MATCH(I$1, DicR!$6:$6, 0), FALSE),
            0
        )
)</f>
        <v>0</v>
      </c>
      <c r="J59" s="32">
        <f t="array" ref="J59">SUM(
    IFERROR(
            VLOOKUP($A59, INDIRECT("EneR!$A$6:$ZZ$1048576"), MATCH(J$1, EneR!$6:$6, 0), FALSE),
            0
        ) +
        IFERROR(
            VLOOKUP($A59, INDIRECT("FebR!$A$6:$ZZ$1048576"), MATCH(J$1, FebR!$6:$6, 0), FALSE),
            0
        ) +
        IFERROR(
            VLOOKUP($A59, INDIRECT("MarR!$A$6:$ZZ$1048576"), MATCH(J$1, MarR!$6:$6, 0), FALSE),
            0
        ) +
        IFERROR(
            VLOOKUP($A59, INDIRECT("AbrR!$A$6:$ZZ$1048576"), MATCH(J$1, AbrR!$6:$6, 0), FALSE),
            0
        ) +
        IFERROR(
            VLOOKUP($A59, INDIRECT("MayR!$A$6:$ZZ$1048576"), MATCH(J$1, MayR!$6:$6, 0), FALSE),
            0
        ) +
        IFERROR(
            VLOOKUP($A59, INDIRECT("JunR!$A$6:$ZZ$1048576"), MATCH(J$1, JunR!$6:$6, 0), FALSE),
            0
        ) +
        IFERROR(
            VLOOKUP($A59, INDIRECT("JulR!$A$6:$ZZ$1048576"), MATCH(J$1, JulR!$6:$6, 0), FALSE),
            0
        ) +
        IFERROR(
            VLOOKUP($A59, INDIRECT("AgoR!$A$6:$ZZ$1048576"), MATCH(J$1, AgoR!$6:$6, 0), FALSE),
            0
        ) +
        IFERROR(
            VLOOKUP($A59, INDIRECT("SepR!$A$6:$ZZ$1048576"), MATCH(J$1, SepR!$6:$6, 0), FALSE),
            0
        ) +
        IFERROR(
            VLOOKUP($A59, INDIRECT("OctR!$A$6:$ZZ$1048576"), MATCH(J$1, OctR!$6:$6, 0), FALSE),
            0
        ) +
        IFERROR(
            VLOOKUP($A59, INDIRECT("NovR!$A$6:$ZZ$1048576"), MATCH(J$1, NovR!$6:$6, 0), FALSE),
            0
        ) +
        IFERROR(
            VLOOKUP($A59, INDIRECT("DicR!$A$6:$ZZ$1048576"), MATCH(J$1, DicR!$6:$6, 0), FALSE),
            0
        )
)</f>
        <v>0</v>
      </c>
      <c r="K59" s="35">
        <f t="array" ref="K59">SUM(
    IFERROR(
            VLOOKUP($A59, INDIRECT("EneR!$A$6:$ZZ$1048576"), MATCH(K$1, EneR!$6:$6, 0), FALSE),
            0
        ) +
        IFERROR(
            VLOOKUP($A59, INDIRECT("FebR!$A$6:$ZZ$1048576"), MATCH(K$1, FebR!$6:$6, 0), FALSE),
            0
        ) +
        IFERROR(
            VLOOKUP($A59, INDIRECT("MarR!$A$6:$ZZ$1048576"), MATCH(K$1, MarR!$6:$6, 0), FALSE),
            0
        ) +
        IFERROR(
            VLOOKUP($A59, INDIRECT("AbrR!$A$6:$ZZ$1048576"), MATCH(K$1, AbrR!$6:$6, 0), FALSE),
            0
        ) +
        IFERROR(
            VLOOKUP($A59, INDIRECT("MayR!$A$6:$ZZ$1048576"), MATCH(K$1, MayR!$6:$6, 0), FALSE),
            0
        ) +
        IFERROR(
            VLOOKUP($A59, INDIRECT("JunR!$A$6:$ZZ$1048576"), MATCH(K$1, JunR!$6:$6, 0), FALSE),
            0
        ) +
        IFERROR(
            VLOOKUP($A59, INDIRECT("JulR!$A$6:$ZZ$1048576"), MATCH(K$1, JulR!$6:$6, 0), FALSE),
            0
        ) +
        IFERROR(
            VLOOKUP($A59, INDIRECT("AgoR!$A$6:$ZZ$1048576"), MATCH(K$1, AgoR!$6:$6, 0), FALSE),
            0
        ) +
        IFERROR(
            VLOOKUP($A59, INDIRECT("SepR!$A$6:$ZZ$1048576"), MATCH(K$1, SepR!$6:$6, 0), FALSE),
            0
        ) +
        IFERROR(
            VLOOKUP($A59, INDIRECT("OctR!$A$6:$ZZ$1048576"), MATCH(K$1, OctR!$6:$6, 0), FALSE),
            0
        ) +
        IFERROR(
            VLOOKUP($A59, INDIRECT("NovR!$A$6:$ZZ$1048576"), MATCH(K$1, NovR!$6:$6, 0), FALSE),
            0
        ) +
        IFERROR(
            VLOOKUP($A59, INDIRECT("DicR!$A$6:$ZZ$1048576"), MATCH(K$1, DicR!$6:$6, 0), FALSE),
            0
        )
)</f>
        <v>0</v>
      </c>
      <c r="L59" s="32">
        <f t="array" ref="L59">SUM(
    IFERROR(
            VLOOKUP($A59, INDIRECT("EneR!$A$6:$ZZ$1048576"), MATCH(L$1, EneR!$6:$6, 0), FALSE),
            0
        ) +
        IFERROR(
            VLOOKUP($A59, INDIRECT("FebR!$A$6:$ZZ$1048576"), MATCH(L$1, FebR!$6:$6, 0), FALSE),
            0
        ) +
        IFERROR(
            VLOOKUP($A59, INDIRECT("MarR!$A$6:$ZZ$1048576"), MATCH(L$1, MarR!$6:$6, 0), FALSE),
            0
        ) +
        IFERROR(
            VLOOKUP($A59, INDIRECT("AbrR!$A$6:$ZZ$1048576"), MATCH(L$1, AbrR!$6:$6, 0), FALSE),
            0
        ) +
        IFERROR(
            VLOOKUP($A59, INDIRECT("MayR!$A$6:$ZZ$1048576"), MATCH(L$1, MayR!$6:$6, 0), FALSE),
            0
        ) +
        IFERROR(
            VLOOKUP($A59, INDIRECT("JunR!$A$6:$ZZ$1048576"), MATCH(L$1, JunR!$6:$6, 0), FALSE),
            0
        ) +
        IFERROR(
            VLOOKUP($A59, INDIRECT("JulR!$A$6:$ZZ$1048576"), MATCH(L$1, JulR!$6:$6, 0), FALSE),
            0
        ) +
        IFERROR(
            VLOOKUP($A59, INDIRECT("AgoR!$A$6:$ZZ$1048576"), MATCH(L$1, AgoR!$6:$6, 0), FALSE),
            0
        ) +
        IFERROR(
            VLOOKUP($A59, INDIRECT("SepR!$A$6:$ZZ$1048576"), MATCH(L$1, SepR!$6:$6, 0), FALSE),
            0
        ) +
        IFERROR(
            VLOOKUP($A59, INDIRECT("OctR!$A$6:$ZZ$1048576"), MATCH(L$1, OctR!$6:$6, 0), FALSE),
            0
        ) +
        IFERROR(
            VLOOKUP($A59, INDIRECT("NovR!$A$6:$ZZ$1048576"), MATCH(L$1, NovR!$6:$6, 0), FALSE),
            0
        ) +
        IFERROR(
            VLOOKUP($A59, INDIRECT("DicR!$A$6:$ZZ$1048576"), MATCH(L$1, DicR!$6:$6, 0), FALSE),
            0
        )
)</f>
        <v>0</v>
      </c>
      <c r="M59" s="35">
        <f t="array" ref="M59">SUM(
    IFERROR(
            VLOOKUP($A59, INDIRECT("EneR!$A$6:$ZZ$1048576"), MATCH(M$1, EneR!$6:$6, 0), FALSE),
            0
        ) +
        IFERROR(
            VLOOKUP($A59, INDIRECT("FebR!$A$6:$ZZ$1048576"), MATCH(M$1, FebR!$6:$6, 0), FALSE),
            0
        ) +
        IFERROR(
            VLOOKUP($A59, INDIRECT("MarR!$A$6:$ZZ$1048576"), MATCH(M$1, MarR!$6:$6, 0), FALSE),
            0
        ) +
        IFERROR(
            VLOOKUP($A59, INDIRECT("AbrR!$A$6:$ZZ$1048576"), MATCH(M$1, AbrR!$6:$6, 0), FALSE),
            0
        ) +
        IFERROR(
            VLOOKUP($A59, INDIRECT("MayR!$A$6:$ZZ$1048576"), MATCH(M$1, MayR!$6:$6, 0), FALSE),
            0
        ) +
        IFERROR(
            VLOOKUP($A59, INDIRECT("JunR!$A$6:$ZZ$1048576"), MATCH(M$1, JunR!$6:$6, 0), FALSE),
            0
        ) +
        IFERROR(
            VLOOKUP($A59, INDIRECT("JulR!$A$6:$ZZ$1048576"), MATCH(M$1, JulR!$6:$6, 0), FALSE),
            0
        ) +
        IFERROR(
            VLOOKUP($A59, INDIRECT("AgoR!$A$6:$ZZ$1048576"), MATCH(M$1, AgoR!$6:$6, 0), FALSE),
            0
        ) +
        IFERROR(
            VLOOKUP($A59, INDIRECT("SepR!$A$6:$ZZ$1048576"), MATCH(M$1, SepR!$6:$6, 0), FALSE),
            0
        ) +
        IFERROR(
            VLOOKUP($A59, INDIRECT("OctR!$A$6:$ZZ$1048576"), MATCH(M$1, OctR!$6:$6, 0), FALSE),
            0
        ) +
        IFERROR(
            VLOOKUP($A59, INDIRECT("NovR!$A$6:$ZZ$1048576"), MATCH(M$1, NovR!$6:$6, 0), FALSE),
            0
        ) +
        IFERROR(
            VLOOKUP($A59, INDIRECT("DicR!$A$6:$ZZ$1048576"), MATCH(M$1, DicR!$6:$6, 0), FALSE),
            0
        )
)</f>
        <v>0</v>
      </c>
      <c r="N59" s="32">
        <f t="array" ref="N59">SUM(
    IFERROR(
            VLOOKUP($A59, INDIRECT("EneR!$A$6:$ZZ$1048576"), MATCH(N$1, EneR!$6:$6, 0), FALSE),
            0
        ) +
        IFERROR(
            VLOOKUP($A59, INDIRECT("FebR!$A$6:$ZZ$1048576"), MATCH(N$1, FebR!$6:$6, 0), FALSE),
            0
        ) +
        IFERROR(
            VLOOKUP($A59, INDIRECT("MarR!$A$6:$ZZ$1048576"), MATCH(N$1, MarR!$6:$6, 0), FALSE),
            0
        ) +
        IFERROR(
            VLOOKUP($A59, INDIRECT("AbrR!$A$6:$ZZ$1048576"), MATCH(N$1, AbrR!$6:$6, 0), FALSE),
            0
        ) +
        IFERROR(
            VLOOKUP($A59, INDIRECT("MayR!$A$6:$ZZ$1048576"), MATCH(N$1, MayR!$6:$6, 0), FALSE),
            0
        ) +
        IFERROR(
            VLOOKUP($A59, INDIRECT("JunR!$A$6:$ZZ$1048576"), MATCH(N$1, JunR!$6:$6, 0), FALSE),
            0
        ) +
        IFERROR(
            VLOOKUP($A59, INDIRECT("JulR!$A$6:$ZZ$1048576"), MATCH(N$1, JulR!$6:$6, 0), FALSE),
            0
        ) +
        IFERROR(
            VLOOKUP($A59, INDIRECT("AgoR!$A$6:$ZZ$1048576"), MATCH(N$1, AgoR!$6:$6, 0), FALSE),
            0
        ) +
        IFERROR(
            VLOOKUP($A59, INDIRECT("SepR!$A$6:$ZZ$1048576"), MATCH(N$1, SepR!$6:$6, 0), FALSE),
            0
        ) +
        IFERROR(
            VLOOKUP($A59, INDIRECT("OctR!$A$6:$ZZ$1048576"), MATCH(N$1, OctR!$6:$6, 0), FALSE),
            0
        ) +
        IFERROR(
            VLOOKUP($A59, INDIRECT("NovR!$A$6:$ZZ$1048576"), MATCH(N$1, NovR!$6:$6, 0), FALSE),
            0
        ) +
        IFERROR(
            VLOOKUP($A59, INDIRECT("DicR!$A$6:$ZZ$1048576"), MATCH(N$1, DicR!$6:$6, 0), FALSE),
            0
        )
)</f>
        <v>0</v>
      </c>
      <c r="O59" s="35">
        <f t="array" ref="O59">SUM(
    IFERROR(
            VLOOKUP($A59, INDIRECT("EneR!$A$6:$ZZ$1048576"), MATCH(O$1, EneR!$6:$6, 0), FALSE),
            0
        ) +
        IFERROR(
            VLOOKUP($A59, INDIRECT("FebR!$A$6:$ZZ$1048576"), MATCH(O$1, FebR!$6:$6, 0), FALSE),
            0
        ) +
        IFERROR(
            VLOOKUP($A59, INDIRECT("MarR!$A$6:$ZZ$1048576"), MATCH(O$1, MarR!$6:$6, 0), FALSE),
            0
        ) +
        IFERROR(
            VLOOKUP($A59, INDIRECT("AbrR!$A$6:$ZZ$1048576"), MATCH(O$1, AbrR!$6:$6, 0), FALSE),
            0
        ) +
        IFERROR(
            VLOOKUP($A59, INDIRECT("MayR!$A$6:$ZZ$1048576"), MATCH(O$1, MayR!$6:$6, 0), FALSE),
            0
        ) +
        IFERROR(
            VLOOKUP($A59, INDIRECT("JunR!$A$6:$ZZ$1048576"), MATCH(O$1, JunR!$6:$6, 0), FALSE),
            0
        ) +
        IFERROR(
            VLOOKUP($A59, INDIRECT("JulR!$A$6:$ZZ$1048576"), MATCH(O$1, JulR!$6:$6, 0), FALSE),
            0
        ) +
        IFERROR(
            VLOOKUP($A59, INDIRECT("AgoR!$A$6:$ZZ$1048576"), MATCH(O$1, AgoR!$6:$6, 0), FALSE),
            0
        ) +
        IFERROR(
            VLOOKUP($A59, INDIRECT("SepR!$A$6:$ZZ$1048576"), MATCH(O$1, SepR!$6:$6, 0), FALSE),
            0
        ) +
        IFERROR(
            VLOOKUP($A59, INDIRECT("OctR!$A$6:$ZZ$1048576"), MATCH(O$1, OctR!$6:$6, 0), FALSE),
            0
        ) +
        IFERROR(
            VLOOKUP($A59, INDIRECT("NovR!$A$6:$ZZ$1048576"), MATCH(O$1, NovR!$6:$6, 0), FALSE),
            0
        ) +
        IFERROR(
            VLOOKUP($A59, INDIRECT("DicR!$A$6:$ZZ$1048576"), MATCH(O$1, DicR!$6:$6, 0), FALSE),
            0
        )
)</f>
        <v>0</v>
      </c>
      <c r="P59" s="32">
        <f t="array" ref="P59">SUM(
    IFERROR(
            VLOOKUP($A59, INDIRECT("EneR!$A$6:$ZZ$1048576"), MATCH(P$1, EneR!$6:$6, 0), FALSE),
            0
        ) +
        IFERROR(
            VLOOKUP($A59, INDIRECT("FebR!$A$6:$ZZ$1048576"), MATCH(P$1, FebR!$6:$6, 0), FALSE),
            0
        ) +
        IFERROR(
            VLOOKUP($A59, INDIRECT("MarR!$A$6:$ZZ$1048576"), MATCH(P$1, MarR!$6:$6, 0), FALSE),
            0
        ) +
        IFERROR(
            VLOOKUP($A59, INDIRECT("AbrR!$A$6:$ZZ$1048576"), MATCH(P$1, AbrR!$6:$6, 0), FALSE),
            0
        ) +
        IFERROR(
            VLOOKUP($A59, INDIRECT("MayR!$A$6:$ZZ$1048576"), MATCH(P$1, MayR!$6:$6, 0), FALSE),
            0
        ) +
        IFERROR(
            VLOOKUP($A59, INDIRECT("JunR!$A$6:$ZZ$1048576"), MATCH(P$1, JunR!$6:$6, 0), FALSE),
            0
        ) +
        IFERROR(
            VLOOKUP($A59, INDIRECT("JulR!$A$6:$ZZ$1048576"), MATCH(P$1, JulR!$6:$6, 0), FALSE),
            0
        ) +
        IFERROR(
            VLOOKUP($A59, INDIRECT("AgoR!$A$6:$ZZ$1048576"), MATCH(P$1, AgoR!$6:$6, 0), FALSE),
            0
        ) +
        IFERROR(
            VLOOKUP($A59, INDIRECT("SepR!$A$6:$ZZ$1048576"), MATCH(P$1, SepR!$6:$6, 0), FALSE),
            0
        ) +
        IFERROR(
            VLOOKUP($A59, INDIRECT("OctR!$A$6:$ZZ$1048576"), MATCH(P$1, OctR!$6:$6, 0), FALSE),
            0
        ) +
        IFERROR(
            VLOOKUP($A59, INDIRECT("NovR!$A$6:$ZZ$1048576"), MATCH(P$1, NovR!$6:$6, 0), FALSE),
            0
        ) +
        IFERROR(
            VLOOKUP($A59, INDIRECT("DicR!$A$6:$ZZ$1048576"), MATCH(P$1, DicR!$6:$6, 0), FALSE),
            0
        )
)</f>
        <v>0</v>
      </c>
      <c r="Q59" s="35">
        <f t="array" ref="Q59">SUM(
    IFERROR(
            VLOOKUP($A59, INDIRECT("EneR!$A$6:$ZZ$1048576"), MATCH(Q$1, EneR!$6:$6, 0), FALSE),
            0
        ) +
        IFERROR(
            VLOOKUP($A59, INDIRECT("FebR!$A$6:$ZZ$1048576"), MATCH(Q$1, FebR!$6:$6, 0), FALSE),
            0
        ) +
        IFERROR(
            VLOOKUP($A59, INDIRECT("MarR!$A$6:$ZZ$1048576"), MATCH(Q$1, MarR!$6:$6, 0), FALSE),
            0
        ) +
        IFERROR(
            VLOOKUP($A59, INDIRECT("AbrR!$A$6:$ZZ$1048576"), MATCH(Q$1, AbrR!$6:$6, 0), FALSE),
            0
        ) +
        IFERROR(
            VLOOKUP($A59, INDIRECT("MayR!$A$6:$ZZ$1048576"), MATCH(Q$1, MayR!$6:$6, 0), FALSE),
            0
        ) +
        IFERROR(
            VLOOKUP($A59, INDIRECT("JunR!$A$6:$ZZ$1048576"), MATCH(Q$1, JunR!$6:$6, 0), FALSE),
            0
        ) +
        IFERROR(
            VLOOKUP($A59, INDIRECT("JulR!$A$6:$ZZ$1048576"), MATCH(Q$1, JulR!$6:$6, 0), FALSE),
            0
        ) +
        IFERROR(
            VLOOKUP($A59, INDIRECT("AgoR!$A$6:$ZZ$1048576"), MATCH(Q$1, AgoR!$6:$6, 0), FALSE),
            0
        ) +
        IFERROR(
            VLOOKUP($A59, INDIRECT("SepR!$A$6:$ZZ$1048576"), MATCH(Q$1, SepR!$6:$6, 0), FALSE),
            0
        ) +
        IFERROR(
            VLOOKUP($A59, INDIRECT("OctR!$A$6:$ZZ$1048576"), MATCH(Q$1, OctR!$6:$6, 0), FALSE),
            0
        ) +
        IFERROR(
            VLOOKUP($A59, INDIRECT("NovR!$A$6:$ZZ$1048576"), MATCH(Q$1, NovR!$6:$6, 0), FALSE),
            0
        ) +
        IFERROR(
            VLOOKUP($A59, INDIRECT("DicR!$A$6:$ZZ$1048576"), MATCH(Q$1, DicR!$6:$6, 0), FALSE),
            0
        )
)</f>
        <v>0</v>
      </c>
      <c r="R59" s="36">
        <f t="array" ref="R59">SUM(
    IFERROR(
            VLOOKUP($A59, INDIRECT("EneR!$A$6:$ZZ$1048576"), MATCH(R$1, EneR!$6:$6, 0), FALSE),
            0
        ) +
        IFERROR(
            VLOOKUP($A59, INDIRECT("FebR!$A$6:$ZZ$1048576"), MATCH(R$1, FebR!$6:$6, 0), FALSE),
            0
        ) +
        IFERROR(
            VLOOKUP($A59, INDIRECT("MarR!$A$6:$ZZ$1048576"), MATCH(R$1, MarR!$6:$6, 0), FALSE),
            0
        ) +
        IFERROR(
            VLOOKUP($A59, INDIRECT("AbrR!$A$6:$ZZ$1048576"), MATCH(R$1, AbrR!$6:$6, 0), FALSE),
            0
        ) +
        IFERROR(
            VLOOKUP($A59, INDIRECT("MayR!$A$6:$ZZ$1048576"), MATCH(R$1, MayR!$6:$6, 0), FALSE),
            0
        ) +
        IFERROR(
            VLOOKUP($A59, INDIRECT("JunR!$A$6:$ZZ$1048576"), MATCH(R$1, JunR!$6:$6, 0), FALSE),
            0
        ) +
        IFERROR(
            VLOOKUP($A59, INDIRECT("JulR!$A$6:$ZZ$1048576"), MATCH(R$1, JulR!$6:$6, 0), FALSE),
            0
        ) +
        IFERROR(
            VLOOKUP($A59, INDIRECT("AgoR!$A$6:$ZZ$1048576"), MATCH(R$1, AgoR!$6:$6, 0), FALSE),
            0
        ) +
        IFERROR(
            VLOOKUP($A59, INDIRECT("SepR!$A$6:$ZZ$1048576"), MATCH(R$1, SepR!$6:$6, 0), FALSE),
            0
        ) +
        IFERROR(
            VLOOKUP($A59, INDIRECT("OctR!$A$6:$ZZ$1048576"), MATCH(R$1, OctR!$6:$6, 0), FALSE),
            0
        ) +
        IFERROR(
            VLOOKUP($A59, INDIRECT("NovR!$A$6:$ZZ$1048576"), MATCH(R$1, NovR!$6:$6, 0), FALSE),
            0
        ) +
        IFERROR(
            VLOOKUP($A59, INDIRECT("DicR!$A$6:$ZZ$1048576"), MATCH(R$1, DicR!$6:$6, 0), FALSE),
            0
        )
)</f>
        <v>0</v>
      </c>
      <c r="S59" s="37">
        <f t="array" ref="S59">SUM(
    IFERROR(
            VLOOKUP($A59, INDIRECT("EneR!$A$6:$ZZ$1048576"), MATCH(S$1, EneR!$6:$6, 0), FALSE),
            0
        ) +
        IFERROR(
            VLOOKUP($A59, INDIRECT("FebR!$A$6:$ZZ$1048576"), MATCH(S$1, FebR!$6:$6, 0), FALSE),
            0
        ) +
        IFERROR(
            VLOOKUP($A59, INDIRECT("MarR!$A$6:$ZZ$1048576"), MATCH(S$1, MarR!$6:$6, 0), FALSE),
            0
        ) +
        IFERROR(
            VLOOKUP($A59, INDIRECT("AbrR!$A$6:$ZZ$1048576"), MATCH(S$1, AbrR!$6:$6, 0), FALSE),
            0
        ) +
        IFERROR(
            VLOOKUP($A59, INDIRECT("MayR!$A$6:$ZZ$1048576"), MATCH(S$1, MayR!$6:$6, 0), FALSE),
            0
        ) +
        IFERROR(
            VLOOKUP($A59, INDIRECT("JunR!$A$6:$ZZ$1048576"), MATCH(S$1, JunR!$6:$6, 0), FALSE),
            0
        ) +
        IFERROR(
            VLOOKUP($A59, INDIRECT("JulR!$A$6:$ZZ$1048576"), MATCH(S$1, JulR!$6:$6, 0), FALSE),
            0
        ) +
        IFERROR(
            VLOOKUP($A59, INDIRECT("AgoR!$A$6:$ZZ$1048576"), MATCH(S$1, AgoR!$6:$6, 0), FALSE),
            0
        ) +
        IFERROR(
            VLOOKUP($A59, INDIRECT("SepR!$A$6:$ZZ$1048576"), MATCH(S$1, SepR!$6:$6, 0), FALSE),
            0
        ) +
        IFERROR(
            VLOOKUP($A59, INDIRECT("OctR!$A$6:$ZZ$1048576"), MATCH(S$1, OctR!$6:$6, 0), FALSE),
            0
        ) +
        IFERROR(
            VLOOKUP($A59, INDIRECT("NovR!$A$6:$ZZ$1048576"), MATCH(S$1, NovR!$6:$6, 0), FALSE),
            0
        ) +
        IFERROR(
            VLOOKUP($A59, INDIRECT("DicR!$A$6:$ZZ$1048576"), MATCH(S$1, DicR!$6:$6, 0), FALSE),
            0
        )
)</f>
        <v>0</v>
      </c>
      <c r="T59" s="36">
        <f t="array" ref="T59">SUM(
    IFERROR(
            VLOOKUP($A59, INDIRECT("EneR!$A$6:$ZZ$1048576"), MATCH(T$1, EneR!$6:$6, 0), FALSE),
            0
        ) +
        IFERROR(
            VLOOKUP($A59, INDIRECT("FebR!$A$6:$ZZ$1048576"), MATCH(T$1, FebR!$6:$6, 0), FALSE),
            0
        ) +
        IFERROR(
            VLOOKUP($A59, INDIRECT("MarR!$A$6:$ZZ$1048576"), MATCH(T$1, MarR!$6:$6, 0), FALSE),
            0
        ) +
        IFERROR(
            VLOOKUP($A59, INDIRECT("AbrR!$A$6:$ZZ$1048576"), MATCH(T$1, AbrR!$6:$6, 0), FALSE),
            0
        ) +
        IFERROR(
            VLOOKUP($A59, INDIRECT("MayR!$A$6:$ZZ$1048576"), MATCH(T$1, MayR!$6:$6, 0), FALSE),
            0
        ) +
        IFERROR(
            VLOOKUP($A59, INDIRECT("JunR!$A$6:$ZZ$1048576"), MATCH(T$1, JunR!$6:$6, 0), FALSE),
            0
        ) +
        IFERROR(
            VLOOKUP($A59, INDIRECT("JulR!$A$6:$ZZ$1048576"), MATCH(T$1, JulR!$6:$6, 0), FALSE),
            0
        ) +
        IFERROR(
            VLOOKUP($A59, INDIRECT("AgoR!$A$6:$ZZ$1048576"), MATCH(T$1, AgoR!$6:$6, 0), FALSE),
            0
        ) +
        IFERROR(
            VLOOKUP($A59, INDIRECT("SepR!$A$6:$ZZ$1048576"), MATCH(T$1, SepR!$6:$6, 0), FALSE),
            0
        ) +
        IFERROR(
            VLOOKUP($A59, INDIRECT("OctR!$A$6:$ZZ$1048576"), MATCH(T$1, OctR!$6:$6, 0), FALSE),
            0
        ) +
        IFERROR(
            VLOOKUP($A59, INDIRECT("NovR!$A$6:$ZZ$1048576"), MATCH(T$1, NovR!$6:$6, 0), FALSE),
            0
        ) +
        IFERROR(
            VLOOKUP($A59, INDIRECT("DicR!$A$6:$ZZ$1048576"), MATCH(T$1, DicR!$6:$6, 0), FALSE),
            0
        )
)</f>
        <v>0</v>
      </c>
      <c r="U59" s="37">
        <f t="array" ref="U59">SUM(
    IFERROR(
            VLOOKUP($A59, INDIRECT("EneR!$A$6:$ZZ$1048576"), MATCH(U$1, EneR!$6:$6, 0), FALSE),
            0
        ) +
        IFERROR(
            VLOOKUP($A59, INDIRECT("FebR!$A$6:$ZZ$1048576"), MATCH(U$1, FebR!$6:$6, 0), FALSE),
            0
        ) +
        IFERROR(
            VLOOKUP($A59, INDIRECT("MarR!$A$6:$ZZ$1048576"), MATCH(U$1, MarR!$6:$6, 0), FALSE),
            0
        ) +
        IFERROR(
            VLOOKUP($A59, INDIRECT("AbrR!$A$6:$ZZ$1048576"), MATCH(U$1, AbrR!$6:$6, 0), FALSE),
            0
        ) +
        IFERROR(
            VLOOKUP($A59, INDIRECT("MayR!$A$6:$ZZ$1048576"), MATCH(U$1, MayR!$6:$6, 0), FALSE),
            0
        ) +
        IFERROR(
            VLOOKUP($A59, INDIRECT("JunR!$A$6:$ZZ$1048576"), MATCH(U$1, JunR!$6:$6, 0), FALSE),
            0
        ) +
        IFERROR(
            VLOOKUP($A59, INDIRECT("JulR!$A$6:$ZZ$1048576"), MATCH(U$1, JulR!$6:$6, 0), FALSE),
            0
        ) +
        IFERROR(
            VLOOKUP($A59, INDIRECT("AgoR!$A$6:$ZZ$1048576"), MATCH(U$1, AgoR!$6:$6, 0), FALSE),
            0
        ) +
        IFERROR(
            VLOOKUP($A59, INDIRECT("SepR!$A$6:$ZZ$1048576"), MATCH(U$1, SepR!$6:$6, 0), FALSE),
            0
        ) +
        IFERROR(
            VLOOKUP($A59, INDIRECT("OctR!$A$6:$ZZ$1048576"), MATCH(U$1, OctR!$6:$6, 0), FALSE),
            0
        ) +
        IFERROR(
            VLOOKUP($A59, INDIRECT("NovR!$A$6:$ZZ$1048576"), MATCH(U$1, NovR!$6:$6, 0), FALSE),
            0
        ) +
        IFERROR(
            VLOOKUP($A59, INDIRECT("DicR!$A$6:$ZZ$1048576"), MATCH(U$1, DicR!$6:$6, 0), FALSE),
            0
        )
)</f>
        <v>0</v>
      </c>
      <c r="V59" s="36">
        <f t="array" ref="V59">SUM(
    IFERROR(
            VLOOKUP($A59, INDIRECT("EneR!$A$6:$ZZ$1048576"), MATCH(V$1, EneR!$6:$6, 0), FALSE),
            0
        ) +
        IFERROR(
            VLOOKUP($A59, INDIRECT("FebR!$A$6:$ZZ$1048576"), MATCH(V$1, FebR!$6:$6, 0), FALSE),
            0
        ) +
        IFERROR(
            VLOOKUP($A59, INDIRECT("MarR!$A$6:$ZZ$1048576"), MATCH(V$1, MarR!$6:$6, 0), FALSE),
            0
        ) +
        IFERROR(
            VLOOKUP($A59, INDIRECT("AbrR!$A$6:$ZZ$1048576"), MATCH(V$1, AbrR!$6:$6, 0), FALSE),
            0
        ) +
        IFERROR(
            VLOOKUP($A59, INDIRECT("MayR!$A$6:$ZZ$1048576"), MATCH(V$1, MayR!$6:$6, 0), FALSE),
            0
        ) +
        IFERROR(
            VLOOKUP($A59, INDIRECT("JunR!$A$6:$ZZ$1048576"), MATCH(V$1, JunR!$6:$6, 0), FALSE),
            0
        ) +
        IFERROR(
            VLOOKUP($A59, INDIRECT("JulR!$A$6:$ZZ$1048576"), MATCH(V$1, JulR!$6:$6, 0), FALSE),
            0
        ) +
        IFERROR(
            VLOOKUP($A59, INDIRECT("AgoR!$A$6:$ZZ$1048576"), MATCH(V$1, AgoR!$6:$6, 0), FALSE),
            0
        ) +
        IFERROR(
            VLOOKUP($A59, INDIRECT("SepR!$A$6:$ZZ$1048576"), MATCH(V$1, SepR!$6:$6, 0), FALSE),
            0
        ) +
        IFERROR(
            VLOOKUP($A59, INDIRECT("OctR!$A$6:$ZZ$1048576"), MATCH(V$1, OctR!$6:$6, 0), FALSE),
            0
        ) +
        IFERROR(
            VLOOKUP($A59, INDIRECT("NovR!$A$6:$ZZ$1048576"), MATCH(V$1, NovR!$6:$6, 0), FALSE),
            0
        ) +
        IFERROR(
            VLOOKUP($A59, INDIRECT("DicR!$A$6:$ZZ$1048576"), MATCH(V$1, DicR!$6:$6, 0), FALSE),
            0
        )
)</f>
        <v>0</v>
      </c>
      <c r="W59" s="37">
        <f t="array" ref="W59">SUM(
    IFERROR(
            VLOOKUP($A59, INDIRECT("EneR!$A$6:$ZZ$1048576"), MATCH(W$1, EneR!$6:$6, 0), FALSE),
            0
        ) +
        IFERROR(
            VLOOKUP($A59, INDIRECT("FebR!$A$6:$ZZ$1048576"), MATCH(W$1, FebR!$6:$6, 0), FALSE),
            0
        ) +
        IFERROR(
            VLOOKUP($A59, INDIRECT("MarR!$A$6:$ZZ$1048576"), MATCH(W$1, MarR!$6:$6, 0), FALSE),
            0
        ) +
        IFERROR(
            VLOOKUP($A59, INDIRECT("AbrR!$A$6:$ZZ$1048576"), MATCH(W$1, AbrR!$6:$6, 0), FALSE),
            0
        ) +
        IFERROR(
            VLOOKUP($A59, INDIRECT("MayR!$A$6:$ZZ$1048576"), MATCH(W$1, MayR!$6:$6, 0), FALSE),
            0
        ) +
        IFERROR(
            VLOOKUP($A59, INDIRECT("JunR!$A$6:$ZZ$1048576"), MATCH(W$1, JunR!$6:$6, 0), FALSE),
            0
        ) +
        IFERROR(
            VLOOKUP($A59, INDIRECT("JulR!$A$6:$ZZ$1048576"), MATCH(W$1, JulR!$6:$6, 0), FALSE),
            0
        ) +
        IFERROR(
            VLOOKUP($A59, INDIRECT("AgoR!$A$6:$ZZ$1048576"), MATCH(W$1, AgoR!$6:$6, 0), FALSE),
            0
        ) +
        IFERROR(
            VLOOKUP($A59, INDIRECT("SepR!$A$6:$ZZ$1048576"), MATCH(W$1, SepR!$6:$6, 0), FALSE),
            0
        ) +
        IFERROR(
            VLOOKUP($A59, INDIRECT("OctR!$A$6:$ZZ$1048576"), MATCH(W$1, OctR!$6:$6, 0), FALSE),
            0
        ) +
        IFERROR(
            VLOOKUP($A59, INDIRECT("NovR!$A$6:$ZZ$1048576"), MATCH(W$1, NovR!$6:$6, 0), FALSE),
            0
        ) +
        IFERROR(
            VLOOKUP($A59, INDIRECT("DicR!$A$6:$ZZ$1048576"), MATCH(W$1, DicR!$6:$6, 0), FALSE),
            0
        )
)</f>
        <v>0</v>
      </c>
      <c r="X59" s="36">
        <f t="array" ref="X59">SUM(
    IFERROR(
            VLOOKUP($A59, INDIRECT("EneR!$A$6:$ZZ$1048576"), MATCH(X$1, EneR!$6:$6, 0), FALSE),
            0
        ) +
        IFERROR(
            VLOOKUP($A59, INDIRECT("FebR!$A$6:$ZZ$1048576"), MATCH(X$1, FebR!$6:$6, 0), FALSE),
            0
        ) +
        IFERROR(
            VLOOKUP($A59, INDIRECT("MarR!$A$6:$ZZ$1048576"), MATCH(X$1, MarR!$6:$6, 0), FALSE),
            0
        ) +
        IFERROR(
            VLOOKUP($A59, INDIRECT("AbrR!$A$6:$ZZ$1048576"), MATCH(X$1, AbrR!$6:$6, 0), FALSE),
            0
        ) +
        IFERROR(
            VLOOKUP($A59, INDIRECT("MayR!$A$6:$ZZ$1048576"), MATCH(X$1, MayR!$6:$6, 0), FALSE),
            0
        ) +
        IFERROR(
            VLOOKUP($A59, INDIRECT("JunR!$A$6:$ZZ$1048576"), MATCH(X$1, JunR!$6:$6, 0), FALSE),
            0
        ) +
        IFERROR(
            VLOOKUP($A59, INDIRECT("JulR!$A$6:$ZZ$1048576"), MATCH(X$1, JulR!$6:$6, 0), FALSE),
            0
        ) +
        IFERROR(
            VLOOKUP($A59, INDIRECT("AgoR!$A$6:$ZZ$1048576"), MATCH(X$1, AgoR!$6:$6, 0), FALSE),
            0
        ) +
        IFERROR(
            VLOOKUP($A59, INDIRECT("SepR!$A$6:$ZZ$1048576"), MATCH(X$1, SepR!$6:$6, 0), FALSE),
            0
        ) +
        IFERROR(
            VLOOKUP($A59, INDIRECT("OctR!$A$6:$ZZ$1048576"), MATCH(X$1, OctR!$6:$6, 0), FALSE),
            0
        ) +
        IFERROR(
            VLOOKUP($A59, INDIRECT("NovR!$A$6:$ZZ$1048576"), MATCH(X$1, NovR!$6:$6, 0), FALSE),
            0
        ) +
        IFERROR(
            VLOOKUP($A59, INDIRECT("DicR!$A$6:$ZZ$1048576"), MATCH(X$1, DicR!$6:$6, 0), FALSE),
            0
        )
)</f>
        <v>0</v>
      </c>
      <c r="Y59" s="37">
        <f t="array" ref="Y59">SUM(
    IFERROR(
            VLOOKUP($A59, INDIRECT("EneR!$A$6:$ZZ$1048576"), MATCH(Y$1, EneR!$6:$6, 0), FALSE),
            0
        ) +
        IFERROR(
            VLOOKUP($A59, INDIRECT("FebR!$A$6:$ZZ$1048576"), MATCH(Y$1, FebR!$6:$6, 0), FALSE),
            0
        ) +
        IFERROR(
            VLOOKUP($A59, INDIRECT("MarR!$A$6:$ZZ$1048576"), MATCH(Y$1, MarR!$6:$6, 0), FALSE),
            0
        ) +
        IFERROR(
            VLOOKUP($A59, INDIRECT("AbrR!$A$6:$ZZ$1048576"), MATCH(Y$1, AbrR!$6:$6, 0), FALSE),
            0
        ) +
        IFERROR(
            VLOOKUP($A59, INDIRECT("MayR!$A$6:$ZZ$1048576"), MATCH(Y$1, MayR!$6:$6, 0), FALSE),
            0
        ) +
        IFERROR(
            VLOOKUP($A59, INDIRECT("JunR!$A$6:$ZZ$1048576"), MATCH(Y$1, JunR!$6:$6, 0), FALSE),
            0
        ) +
        IFERROR(
            VLOOKUP($A59, INDIRECT("JulR!$A$6:$ZZ$1048576"), MATCH(Y$1, JulR!$6:$6, 0), FALSE),
            0
        ) +
        IFERROR(
            VLOOKUP($A59, INDIRECT("AgoR!$A$6:$ZZ$1048576"), MATCH(Y$1, AgoR!$6:$6, 0), FALSE),
            0
        ) +
        IFERROR(
            VLOOKUP($A59, INDIRECT("SepR!$A$6:$ZZ$1048576"), MATCH(Y$1, SepR!$6:$6, 0), FALSE),
            0
        ) +
        IFERROR(
            VLOOKUP($A59, INDIRECT("OctR!$A$6:$ZZ$1048576"), MATCH(Y$1, OctR!$6:$6, 0), FALSE),
            0
        ) +
        IFERROR(
            VLOOKUP($A59, INDIRECT("NovR!$A$6:$ZZ$1048576"), MATCH(Y$1, NovR!$6:$6, 0), FALSE),
            0
        ) +
        IFERROR(
            VLOOKUP($A59, INDIRECT("DicR!$A$6:$ZZ$1048576"), MATCH(Y$1, DicR!$6:$6, 0), FALSE),
            0
        )
)</f>
        <v>0</v>
      </c>
      <c r="Z59" s="36">
        <f t="array" ref="Z59">SUM(
    IFERROR(
            VLOOKUP($A59, INDIRECT("EneR!$A$6:$ZZ$1048576"), MATCH(Z$1, EneR!$6:$6, 0), FALSE),
            0
        ) +
        IFERROR(
            VLOOKUP($A59, INDIRECT("FebR!$A$6:$ZZ$1048576"), MATCH(Z$1, FebR!$6:$6, 0), FALSE),
            0
        ) +
        IFERROR(
            VLOOKUP($A59, INDIRECT("MarR!$A$6:$ZZ$1048576"), MATCH(Z$1, MarR!$6:$6, 0), FALSE),
            0
        ) +
        IFERROR(
            VLOOKUP($A59, INDIRECT("AbrR!$A$6:$ZZ$1048576"), MATCH(Z$1, AbrR!$6:$6, 0), FALSE),
            0
        ) +
        IFERROR(
            VLOOKUP($A59, INDIRECT("MayR!$A$6:$ZZ$1048576"), MATCH(Z$1, MayR!$6:$6, 0), FALSE),
            0
        ) +
        IFERROR(
            VLOOKUP($A59, INDIRECT("JunR!$A$6:$ZZ$1048576"), MATCH(Z$1, JunR!$6:$6, 0), FALSE),
            0
        ) +
        IFERROR(
            VLOOKUP($A59, INDIRECT("JulR!$A$6:$ZZ$1048576"), MATCH(Z$1, JulR!$6:$6, 0), FALSE),
            0
        ) +
        IFERROR(
            VLOOKUP($A59, INDIRECT("AgoR!$A$6:$ZZ$1048576"), MATCH(Z$1, AgoR!$6:$6, 0), FALSE),
            0
        ) +
        IFERROR(
            VLOOKUP($A59, INDIRECT("SepR!$A$6:$ZZ$1048576"), MATCH(Z$1, SepR!$6:$6, 0), FALSE),
            0
        ) +
        IFERROR(
            VLOOKUP($A59, INDIRECT("OctR!$A$6:$ZZ$1048576"), MATCH(Z$1, OctR!$6:$6, 0), FALSE),
            0
        ) +
        IFERROR(
            VLOOKUP($A59, INDIRECT("NovR!$A$6:$ZZ$1048576"), MATCH(Z$1, NovR!$6:$6, 0), FALSE),
            0
        ) +
        IFERROR(
            VLOOKUP($A59, INDIRECT("DicR!$A$6:$ZZ$1048576"), MATCH(Z$1, DicR!$6:$6, 0), FALSE),
            0
        )
)</f>
        <v>0</v>
      </c>
      <c r="AA59" s="37">
        <f t="array" ref="AA59">SUM(
    IFERROR(
            VLOOKUP($A59, INDIRECT("EneR!$A$6:$ZZ$1048576"), MATCH(AA$1, EneR!$6:$6, 0), FALSE),
            0
        ) +
        IFERROR(
            VLOOKUP($A59, INDIRECT("FebR!$A$6:$ZZ$1048576"), MATCH(AA$1, FebR!$6:$6, 0), FALSE),
            0
        ) +
        IFERROR(
            VLOOKUP($A59, INDIRECT("MarR!$A$6:$ZZ$1048576"), MATCH(AA$1, MarR!$6:$6, 0), FALSE),
            0
        ) +
        IFERROR(
            VLOOKUP($A59, INDIRECT("AbrR!$A$6:$ZZ$1048576"), MATCH(AA$1, AbrR!$6:$6, 0), FALSE),
            0
        ) +
        IFERROR(
            VLOOKUP($A59, INDIRECT("MayR!$A$6:$ZZ$1048576"), MATCH(AA$1, MayR!$6:$6, 0), FALSE),
            0
        ) +
        IFERROR(
            VLOOKUP($A59, INDIRECT("JunR!$A$6:$ZZ$1048576"), MATCH(AA$1, JunR!$6:$6, 0), FALSE),
            0
        ) +
        IFERROR(
            VLOOKUP($A59, INDIRECT("JulR!$A$6:$ZZ$1048576"), MATCH(AA$1, JulR!$6:$6, 0), FALSE),
            0
        ) +
        IFERROR(
            VLOOKUP($A59, INDIRECT("AgoR!$A$6:$ZZ$1048576"), MATCH(AA$1, AgoR!$6:$6, 0), FALSE),
            0
        ) +
        IFERROR(
            VLOOKUP($A59, INDIRECT("SepR!$A$6:$ZZ$1048576"), MATCH(AA$1, SepR!$6:$6, 0), FALSE),
            0
        ) +
        IFERROR(
            VLOOKUP($A59, INDIRECT("OctR!$A$6:$ZZ$1048576"), MATCH(AA$1, OctR!$6:$6, 0), FALSE),
            0
        ) +
        IFERROR(
            VLOOKUP($A59, INDIRECT("NovR!$A$6:$ZZ$1048576"), MATCH(AA$1, NovR!$6:$6, 0), FALSE),
            0
        ) +
        IFERROR(
            VLOOKUP($A59, INDIRECT("DicR!$A$6:$ZZ$1048576"), MATCH(AA$1, DicR!$6:$6, 0), FALSE),
            0
        )
)</f>
        <v>0</v>
      </c>
      <c r="AB59" s="36">
        <f t="array" ref="AB59">SUM(
    IFERROR(
            VLOOKUP($A59, INDIRECT("EneR!$A$6:$ZZ$1048576"), MATCH(AB$1, EneR!$6:$6, 0), FALSE),
            0
        ) +
        IFERROR(
            VLOOKUP($A59, INDIRECT("FebR!$A$6:$ZZ$1048576"), MATCH(AB$1, FebR!$6:$6, 0), FALSE),
            0
        ) +
        IFERROR(
            VLOOKUP($A59, INDIRECT("MarR!$A$6:$ZZ$1048576"), MATCH(AB$1, MarR!$6:$6, 0), FALSE),
            0
        ) +
        IFERROR(
            VLOOKUP($A59, INDIRECT("AbrR!$A$6:$ZZ$1048576"), MATCH(AB$1, AbrR!$6:$6, 0), FALSE),
            0
        ) +
        IFERROR(
            VLOOKUP($A59, INDIRECT("MayR!$A$6:$ZZ$1048576"), MATCH(AB$1, MayR!$6:$6, 0), FALSE),
            0
        ) +
        IFERROR(
            VLOOKUP($A59, INDIRECT("JunR!$A$6:$ZZ$1048576"), MATCH(AB$1, JunR!$6:$6, 0), FALSE),
            0
        ) +
        IFERROR(
            VLOOKUP($A59, INDIRECT("JulR!$A$6:$ZZ$1048576"), MATCH(AB$1, JulR!$6:$6, 0), FALSE),
            0
        ) +
        IFERROR(
            VLOOKUP($A59, INDIRECT("AgoR!$A$6:$ZZ$1048576"), MATCH(AB$1, AgoR!$6:$6, 0), FALSE),
            0
        ) +
        IFERROR(
            VLOOKUP($A59, INDIRECT("SepR!$A$6:$ZZ$1048576"), MATCH(AB$1, SepR!$6:$6, 0), FALSE),
            0
        ) +
        IFERROR(
            VLOOKUP($A59, INDIRECT("OctR!$A$6:$ZZ$1048576"), MATCH(AB$1, OctR!$6:$6, 0), FALSE),
            0
        ) +
        IFERROR(
            VLOOKUP($A59, INDIRECT("NovR!$A$6:$ZZ$1048576"), MATCH(AB$1, NovR!$6:$6, 0), FALSE),
            0
        ) +
        IFERROR(
            VLOOKUP($A59, INDIRECT("DicR!$A$6:$ZZ$1048576"), MATCH(AB$1, DicR!$6:$6, 0), FALSE),
            0
        )
)</f>
        <v>0</v>
      </c>
      <c r="AC59" s="37">
        <f t="array" ref="AC59">SUM(
    IFERROR(
            VLOOKUP($A59, INDIRECT("EneR!$A$6:$ZZ$1048576"), MATCH(AC$1, EneR!$6:$6, 0), FALSE),
            0
        ) +
        IFERROR(
            VLOOKUP($A59, INDIRECT("FebR!$A$6:$ZZ$1048576"), MATCH(AC$1, FebR!$6:$6, 0), FALSE),
            0
        ) +
        IFERROR(
            VLOOKUP($A59, INDIRECT("MarR!$A$6:$ZZ$1048576"), MATCH(AC$1, MarR!$6:$6, 0), FALSE),
            0
        ) +
        IFERROR(
            VLOOKUP($A59, INDIRECT("AbrR!$A$6:$ZZ$1048576"), MATCH(AC$1, AbrR!$6:$6, 0), FALSE),
            0
        ) +
        IFERROR(
            VLOOKUP($A59, INDIRECT("MayR!$A$6:$ZZ$1048576"), MATCH(AC$1, MayR!$6:$6, 0), FALSE),
            0
        ) +
        IFERROR(
            VLOOKUP($A59, INDIRECT("JunR!$A$6:$ZZ$1048576"), MATCH(AC$1, JunR!$6:$6, 0), FALSE),
            0
        ) +
        IFERROR(
            VLOOKUP($A59, INDIRECT("JulR!$A$6:$ZZ$1048576"), MATCH(AC$1, JulR!$6:$6, 0), FALSE),
            0
        ) +
        IFERROR(
            VLOOKUP($A59, INDIRECT("AgoR!$A$6:$ZZ$1048576"), MATCH(AC$1, AgoR!$6:$6, 0), FALSE),
            0
        ) +
        IFERROR(
            VLOOKUP($A59, INDIRECT("SepR!$A$6:$ZZ$1048576"), MATCH(AC$1, SepR!$6:$6, 0), FALSE),
            0
        ) +
        IFERROR(
            VLOOKUP($A59, INDIRECT("OctR!$A$6:$ZZ$1048576"), MATCH(AC$1, OctR!$6:$6, 0), FALSE),
            0
        ) +
        IFERROR(
            VLOOKUP($A59, INDIRECT("NovR!$A$6:$ZZ$1048576"), MATCH(AC$1, NovR!$6:$6, 0), FALSE),
            0
        ) +
        IFERROR(
            VLOOKUP($A59, INDIRECT("DicR!$A$6:$ZZ$1048576"), MATCH(AC$1, DicR!$6:$6, 0), FALSE),
            0
        )
)</f>
        <v>0</v>
      </c>
      <c r="AD59" s="36">
        <f t="array" ref="AD59">SUM(
    IFERROR(
            VLOOKUP($A59, INDIRECT("EneR!$A$6:$ZZ$1048576"), MATCH(AD$1, EneR!$6:$6, 0), FALSE),
            0
        ) +
        IFERROR(
            VLOOKUP($A59, INDIRECT("FebR!$A$6:$ZZ$1048576"), MATCH(AD$1, FebR!$6:$6, 0), FALSE),
            0
        ) +
        IFERROR(
            VLOOKUP($A59, INDIRECT("MarR!$A$6:$ZZ$1048576"), MATCH(AD$1, MarR!$6:$6, 0), FALSE),
            0
        ) +
        IFERROR(
            VLOOKUP($A59, INDIRECT("AbrR!$A$6:$ZZ$1048576"), MATCH(AD$1, AbrR!$6:$6, 0), FALSE),
            0
        ) +
        IFERROR(
            VLOOKUP($A59, INDIRECT("MayR!$A$6:$ZZ$1048576"), MATCH(AD$1, MayR!$6:$6, 0), FALSE),
            0
        ) +
        IFERROR(
            VLOOKUP($A59, INDIRECT("JunR!$A$6:$ZZ$1048576"), MATCH(AD$1, JunR!$6:$6, 0), FALSE),
            0
        ) +
        IFERROR(
            VLOOKUP($A59, INDIRECT("JulR!$A$6:$ZZ$1048576"), MATCH(AD$1, JulR!$6:$6, 0), FALSE),
            0
        ) +
        IFERROR(
            VLOOKUP($A59, INDIRECT("AgoR!$A$6:$ZZ$1048576"), MATCH(AD$1, AgoR!$6:$6, 0), FALSE),
            0
        ) +
        IFERROR(
            VLOOKUP($A59, INDIRECT("SepR!$A$6:$ZZ$1048576"), MATCH(AD$1, SepR!$6:$6, 0), FALSE),
            0
        ) +
        IFERROR(
            VLOOKUP($A59, INDIRECT("OctR!$A$6:$ZZ$1048576"), MATCH(AD$1, OctR!$6:$6, 0), FALSE),
            0
        ) +
        IFERROR(
            VLOOKUP($A59, INDIRECT("NovR!$A$6:$ZZ$1048576"), MATCH(AD$1, NovR!$6:$6, 0), FALSE),
            0
        ) +
        IFERROR(
            VLOOKUP($A59, INDIRECT("DicR!$A$6:$ZZ$1048576"), MATCH(AD$1, DicR!$6:$6, 0), FALSE),
            0
        )
)</f>
        <v>0</v>
      </c>
      <c r="AE59" s="37">
        <f t="array" ref="AE59">SUM(
    IFERROR(
            VLOOKUP($A59, INDIRECT("EneR!$A$6:$ZZ$1048576"), MATCH(AE$1, EneR!$6:$6, 0), FALSE),
            0
        ) +
        IFERROR(
            VLOOKUP($A59, INDIRECT("FebR!$A$6:$ZZ$1048576"), MATCH(AE$1, FebR!$6:$6, 0), FALSE),
            0
        ) +
        IFERROR(
            VLOOKUP($A59, INDIRECT("MarR!$A$6:$ZZ$1048576"), MATCH(AE$1, MarR!$6:$6, 0), FALSE),
            0
        ) +
        IFERROR(
            VLOOKUP($A59, INDIRECT("AbrR!$A$6:$ZZ$1048576"), MATCH(AE$1, AbrR!$6:$6, 0), FALSE),
            0
        ) +
        IFERROR(
            VLOOKUP($A59, INDIRECT("MayR!$A$6:$ZZ$1048576"), MATCH(AE$1, MayR!$6:$6, 0), FALSE),
            0
        ) +
        IFERROR(
            VLOOKUP($A59, INDIRECT("JunR!$A$6:$ZZ$1048576"), MATCH(AE$1, JunR!$6:$6, 0), FALSE),
            0
        ) +
        IFERROR(
            VLOOKUP($A59, INDIRECT("JulR!$A$6:$ZZ$1048576"), MATCH(AE$1, JulR!$6:$6, 0), FALSE),
            0
        ) +
        IFERROR(
            VLOOKUP($A59, INDIRECT("AgoR!$A$6:$ZZ$1048576"), MATCH(AE$1, AgoR!$6:$6, 0), FALSE),
            0
        ) +
        IFERROR(
            VLOOKUP($A59, INDIRECT("SepR!$A$6:$ZZ$1048576"), MATCH(AE$1, SepR!$6:$6, 0), FALSE),
            0
        ) +
        IFERROR(
            VLOOKUP($A59, INDIRECT("OctR!$A$6:$ZZ$1048576"), MATCH(AE$1, OctR!$6:$6, 0), FALSE),
            0
        ) +
        IFERROR(
            VLOOKUP($A59, INDIRECT("NovR!$A$6:$ZZ$1048576"), MATCH(AE$1, NovR!$6:$6, 0), FALSE),
            0
        ) +
        IFERROR(
            VLOOKUP($A59, INDIRECT("DicR!$A$6:$ZZ$1048576"), MATCH(AE$1, DicR!$6:$6, 0), FALSE),
            0
        )
)</f>
        <v>0</v>
      </c>
      <c r="AF59" s="36">
        <f t="array" ref="AF59">SUM(
    IFERROR(
            VLOOKUP($A59, INDIRECT("EneR!$A$6:$ZZ$1048576"), MATCH(AF$1, EneR!$6:$6, 0), FALSE),
            0
        ) +
        IFERROR(
            VLOOKUP($A59, INDIRECT("FebR!$A$6:$ZZ$1048576"), MATCH(AF$1, FebR!$6:$6, 0), FALSE),
            0
        ) +
        IFERROR(
            VLOOKUP($A59, INDIRECT("MarR!$A$6:$ZZ$1048576"), MATCH(AF$1, MarR!$6:$6, 0), FALSE),
            0
        ) +
        IFERROR(
            VLOOKUP($A59, INDIRECT("AbrR!$A$6:$ZZ$1048576"), MATCH(AF$1, AbrR!$6:$6, 0), FALSE),
            0
        ) +
        IFERROR(
            VLOOKUP($A59, INDIRECT("MayR!$A$6:$ZZ$1048576"), MATCH(AF$1, MayR!$6:$6, 0), FALSE),
            0
        ) +
        IFERROR(
            VLOOKUP($A59, INDIRECT("JunR!$A$6:$ZZ$1048576"), MATCH(AF$1, JunR!$6:$6, 0), FALSE),
            0
        ) +
        IFERROR(
            VLOOKUP($A59, INDIRECT("JulR!$A$6:$ZZ$1048576"), MATCH(AF$1, JulR!$6:$6, 0), FALSE),
            0
        ) +
        IFERROR(
            VLOOKUP($A59, INDIRECT("AgoR!$A$6:$ZZ$1048576"), MATCH(AF$1, AgoR!$6:$6, 0), FALSE),
            0
        ) +
        IFERROR(
            VLOOKUP($A59, INDIRECT("SepR!$A$6:$ZZ$1048576"), MATCH(AF$1, SepR!$6:$6, 0), FALSE),
            0
        ) +
        IFERROR(
            VLOOKUP($A59, INDIRECT("OctR!$A$6:$ZZ$1048576"), MATCH(AF$1, OctR!$6:$6, 0), FALSE),
            0
        ) +
        IFERROR(
            VLOOKUP($A59, INDIRECT("NovR!$A$6:$ZZ$1048576"), MATCH(AF$1, NovR!$6:$6, 0), FALSE),
            0
        ) +
        IFERROR(
            VLOOKUP($A59, INDIRECT("DicR!$A$6:$ZZ$1048576"), MATCH(AF$1, DicR!$6:$6, 0), FALSE),
            0
        )
)</f>
        <v>0</v>
      </c>
      <c r="AG59" s="37">
        <f t="array" ref="AG59">SUM(
    IFERROR(
            VLOOKUP($A59, INDIRECT("EneR!$A$6:$ZZ$1048576"), MATCH(AG$1, EneR!$6:$6, 0), FALSE),
            0
        ) +
        IFERROR(
            VLOOKUP($A59, INDIRECT("FebR!$A$6:$ZZ$1048576"), MATCH(AG$1, FebR!$6:$6, 0), FALSE),
            0
        ) +
        IFERROR(
            VLOOKUP($A59, INDIRECT("MarR!$A$6:$ZZ$1048576"), MATCH(AG$1, MarR!$6:$6, 0), FALSE),
            0
        ) +
        IFERROR(
            VLOOKUP($A59, INDIRECT("AbrR!$A$6:$ZZ$1048576"), MATCH(AG$1, AbrR!$6:$6, 0), FALSE),
            0
        ) +
        IFERROR(
            VLOOKUP($A59, INDIRECT("MayR!$A$6:$ZZ$1048576"), MATCH(AG$1, MayR!$6:$6, 0), FALSE),
            0
        ) +
        IFERROR(
            VLOOKUP($A59, INDIRECT("JunR!$A$6:$ZZ$1048576"), MATCH(AG$1, JunR!$6:$6, 0), FALSE),
            0
        ) +
        IFERROR(
            VLOOKUP($A59, INDIRECT("JulR!$A$6:$ZZ$1048576"), MATCH(AG$1, JulR!$6:$6, 0), FALSE),
            0
        ) +
        IFERROR(
            VLOOKUP($A59, INDIRECT("AgoR!$A$6:$ZZ$1048576"), MATCH(AG$1, AgoR!$6:$6, 0), FALSE),
            0
        ) +
        IFERROR(
            VLOOKUP($A59, INDIRECT("SepR!$A$6:$ZZ$1048576"), MATCH(AG$1, SepR!$6:$6, 0), FALSE),
            0
        ) +
        IFERROR(
            VLOOKUP($A59, INDIRECT("OctR!$A$6:$ZZ$1048576"), MATCH(AG$1, OctR!$6:$6, 0), FALSE),
            0
        ) +
        IFERROR(
            VLOOKUP($A59, INDIRECT("NovR!$A$6:$ZZ$1048576"), MATCH(AG$1, NovR!$6:$6, 0), FALSE),
            0
        ) +
        IFERROR(
            VLOOKUP($A59, INDIRECT("DicR!$A$6:$ZZ$1048576"), MATCH(AG$1, DicR!$6:$6, 0), FALSE),
            0
        )
)</f>
        <v>0</v>
      </c>
      <c r="AH59" s="36">
        <f t="array" ref="AH59">SUM(
    IFERROR(
            VLOOKUP($A59, INDIRECT("EneR!$A$6:$ZZ$1048576"), MATCH(AH$1, EneR!$6:$6, 0), FALSE),
            0
        ) +
        IFERROR(
            VLOOKUP($A59, INDIRECT("FebR!$A$6:$ZZ$1048576"), MATCH(AH$1, FebR!$6:$6, 0), FALSE),
            0
        ) +
        IFERROR(
            VLOOKUP($A59, INDIRECT("MarR!$A$6:$ZZ$1048576"), MATCH(AH$1, MarR!$6:$6, 0), FALSE),
            0
        ) +
        IFERROR(
            VLOOKUP($A59, INDIRECT("AbrR!$A$6:$ZZ$1048576"), MATCH(AH$1, AbrR!$6:$6, 0), FALSE),
            0
        ) +
        IFERROR(
            VLOOKUP($A59, INDIRECT("MayR!$A$6:$ZZ$1048576"), MATCH(AH$1, MayR!$6:$6, 0), FALSE),
            0
        ) +
        IFERROR(
            VLOOKUP($A59, INDIRECT("JunR!$A$6:$ZZ$1048576"), MATCH(AH$1, JunR!$6:$6, 0), FALSE),
            0
        ) +
        IFERROR(
            VLOOKUP($A59, INDIRECT("JulR!$A$6:$ZZ$1048576"), MATCH(AH$1, JulR!$6:$6, 0), FALSE),
            0
        ) +
        IFERROR(
            VLOOKUP($A59, INDIRECT("AgoR!$A$6:$ZZ$1048576"), MATCH(AH$1, AgoR!$6:$6, 0), FALSE),
            0
        ) +
        IFERROR(
            VLOOKUP($A59, INDIRECT("SepR!$A$6:$ZZ$1048576"), MATCH(AH$1, SepR!$6:$6, 0), FALSE),
            0
        ) +
        IFERROR(
            VLOOKUP($A59, INDIRECT("OctR!$A$6:$ZZ$1048576"), MATCH(AH$1, OctR!$6:$6, 0), FALSE),
            0
        ) +
        IFERROR(
            VLOOKUP($A59, INDIRECT("NovR!$A$6:$ZZ$1048576"), MATCH(AH$1, NovR!$6:$6, 0), FALSE),
            0
        ) +
        IFERROR(
            VLOOKUP($A59, INDIRECT("DicR!$A$6:$ZZ$1048576"), MATCH(AH$1, DicR!$6:$6, 0), FALSE),
            0
        )
)</f>
        <v>0</v>
      </c>
      <c r="AI59" s="37">
        <f t="array" ref="AI59">SUM(
    IFERROR(
            VLOOKUP($A59, INDIRECT("EneR!$A$6:$ZZ$1048576"), MATCH(AI$1, EneR!$6:$6, 0), FALSE),
            0
        ) +
        IFERROR(
            VLOOKUP($A59, INDIRECT("FebR!$A$6:$ZZ$1048576"), MATCH(AI$1, FebR!$6:$6, 0), FALSE),
            0
        ) +
        IFERROR(
            VLOOKUP($A59, INDIRECT("MarR!$A$6:$ZZ$1048576"), MATCH(AI$1, MarR!$6:$6, 0), FALSE),
            0
        ) +
        IFERROR(
            VLOOKUP($A59, INDIRECT("AbrR!$A$6:$ZZ$1048576"), MATCH(AI$1, AbrR!$6:$6, 0), FALSE),
            0
        ) +
        IFERROR(
            VLOOKUP($A59, INDIRECT("MayR!$A$6:$ZZ$1048576"), MATCH(AI$1, MayR!$6:$6, 0), FALSE),
            0
        ) +
        IFERROR(
            VLOOKUP($A59, INDIRECT("JunR!$A$6:$ZZ$1048576"), MATCH(AI$1, JunR!$6:$6, 0), FALSE),
            0
        ) +
        IFERROR(
            VLOOKUP($A59, INDIRECT("JulR!$A$6:$ZZ$1048576"), MATCH(AI$1, JulR!$6:$6, 0), FALSE),
            0
        ) +
        IFERROR(
            VLOOKUP($A59, INDIRECT("AgoR!$A$6:$ZZ$1048576"), MATCH(AI$1, AgoR!$6:$6, 0), FALSE),
            0
        ) +
        IFERROR(
            VLOOKUP($A59, INDIRECT("SepR!$A$6:$ZZ$1048576"), MATCH(AI$1, SepR!$6:$6, 0), FALSE),
            0
        ) +
        IFERROR(
            VLOOKUP($A59, INDIRECT("OctR!$A$6:$ZZ$1048576"), MATCH(AI$1, OctR!$6:$6, 0), FALSE),
            0
        ) +
        IFERROR(
            VLOOKUP($A59, INDIRECT("NovR!$A$6:$ZZ$1048576"), MATCH(AI$1, NovR!$6:$6, 0), FALSE),
            0
        ) +
        IFERROR(
            VLOOKUP($A59, INDIRECT("DicR!$A$6:$ZZ$1048576"), MATCH(AI$1, DicR!$6:$6, 0), FALSE),
            0
        )
)</f>
        <v>0</v>
      </c>
      <c r="AJ59" s="36">
        <f t="array" ref="AJ59">SUM(
    IFERROR(
            VLOOKUP($A59, INDIRECT("EneR!$A$6:$ZZ$1048576"), MATCH(AJ$1, EneR!$6:$6, 0), FALSE),
            0
        ) +
        IFERROR(
            VLOOKUP($A59, INDIRECT("FebR!$A$6:$ZZ$1048576"), MATCH(AJ$1, FebR!$6:$6, 0), FALSE),
            0
        ) +
        IFERROR(
            VLOOKUP($A59, INDIRECT("MarR!$A$6:$ZZ$1048576"), MATCH(AJ$1, MarR!$6:$6, 0), FALSE),
            0
        ) +
        IFERROR(
            VLOOKUP($A59, INDIRECT("AbrR!$A$6:$ZZ$1048576"), MATCH(AJ$1, AbrR!$6:$6, 0), FALSE),
            0
        ) +
        IFERROR(
            VLOOKUP($A59, INDIRECT("MayR!$A$6:$ZZ$1048576"), MATCH(AJ$1, MayR!$6:$6, 0), FALSE),
            0
        ) +
        IFERROR(
            VLOOKUP($A59, INDIRECT("JunR!$A$6:$ZZ$1048576"), MATCH(AJ$1, JunR!$6:$6, 0), FALSE),
            0
        ) +
        IFERROR(
            VLOOKUP($A59, INDIRECT("JulR!$A$6:$ZZ$1048576"), MATCH(AJ$1, JulR!$6:$6, 0), FALSE),
            0
        ) +
        IFERROR(
            VLOOKUP($A59, INDIRECT("AgoR!$A$6:$ZZ$1048576"), MATCH(AJ$1, AgoR!$6:$6, 0), FALSE),
            0
        ) +
        IFERROR(
            VLOOKUP($A59, INDIRECT("SepR!$A$6:$ZZ$1048576"), MATCH(AJ$1, SepR!$6:$6, 0), FALSE),
            0
        ) +
        IFERROR(
            VLOOKUP($A59, INDIRECT("OctR!$A$6:$ZZ$1048576"), MATCH(AJ$1, OctR!$6:$6, 0), FALSE),
            0
        ) +
        IFERROR(
            VLOOKUP($A59, INDIRECT("NovR!$A$6:$ZZ$1048576"), MATCH(AJ$1, NovR!$6:$6, 0), FALSE),
            0
        ) +
        IFERROR(
            VLOOKUP($A59, INDIRECT("DicR!$A$6:$ZZ$1048576"), MATCH(AJ$1, DicR!$6:$6, 0), FALSE),
            0
        )
)</f>
        <v>0</v>
      </c>
      <c r="AK59" s="37">
        <f t="array" ref="AK59">SUM(
    IFERROR(
            VLOOKUP($A59, INDIRECT("EneR!$A$6:$ZZ$1048576"), MATCH(AK$1, EneR!$6:$6, 0), FALSE),
            0
        ) +
        IFERROR(
            VLOOKUP($A59, INDIRECT("FebR!$A$6:$ZZ$1048576"), MATCH(AK$1, FebR!$6:$6, 0), FALSE),
            0
        ) +
        IFERROR(
            VLOOKUP($A59, INDIRECT("MarR!$A$6:$ZZ$1048576"), MATCH(AK$1, MarR!$6:$6, 0), FALSE),
            0
        ) +
        IFERROR(
            VLOOKUP($A59, INDIRECT("AbrR!$A$6:$ZZ$1048576"), MATCH(AK$1, AbrR!$6:$6, 0), FALSE),
            0
        ) +
        IFERROR(
            VLOOKUP($A59, INDIRECT("MayR!$A$6:$ZZ$1048576"), MATCH(AK$1, MayR!$6:$6, 0), FALSE),
            0
        ) +
        IFERROR(
            VLOOKUP($A59, INDIRECT("JunR!$A$6:$ZZ$1048576"), MATCH(AK$1, JunR!$6:$6, 0), FALSE),
            0
        ) +
        IFERROR(
            VLOOKUP($A59, INDIRECT("JulR!$A$6:$ZZ$1048576"), MATCH(AK$1, JulR!$6:$6, 0), FALSE),
            0
        ) +
        IFERROR(
            VLOOKUP($A59, INDIRECT("AgoR!$A$6:$ZZ$1048576"), MATCH(AK$1, AgoR!$6:$6, 0), FALSE),
            0
        ) +
        IFERROR(
            VLOOKUP($A59, INDIRECT("SepR!$A$6:$ZZ$1048576"), MATCH(AK$1, SepR!$6:$6, 0), FALSE),
            0
        ) +
        IFERROR(
            VLOOKUP($A59, INDIRECT("OctR!$A$6:$ZZ$1048576"), MATCH(AK$1, OctR!$6:$6, 0), FALSE),
            0
        ) +
        IFERROR(
            VLOOKUP($A59, INDIRECT("NovR!$A$6:$ZZ$1048576"), MATCH(AK$1, NovR!$6:$6, 0), FALSE),
            0
        ) +
        IFERROR(
            VLOOKUP($A59, INDIRECT("DicR!$A$6:$ZZ$1048576"), MATCH(AK$1, DicR!$6:$6, 0), FALSE),
            0
        )
)</f>
        <v>0</v>
      </c>
      <c r="AL59" s="36">
        <f t="array" ref="AL59">SUM(
    IFERROR(
            VLOOKUP($A59, INDIRECT("EneR!$A$6:$ZZ$1048576"), MATCH(AL$1, EneR!$6:$6, 0), FALSE),
            0
        ) +
        IFERROR(
            VLOOKUP($A59, INDIRECT("FebR!$A$6:$ZZ$1048576"), MATCH(AL$1, FebR!$6:$6, 0), FALSE),
            0
        ) +
        IFERROR(
            VLOOKUP($A59, INDIRECT("MarR!$A$6:$ZZ$1048576"), MATCH(AL$1, MarR!$6:$6, 0), FALSE),
            0
        ) +
        IFERROR(
            VLOOKUP($A59, INDIRECT("AbrR!$A$6:$ZZ$1048576"), MATCH(AL$1, AbrR!$6:$6, 0), FALSE),
            0
        ) +
        IFERROR(
            VLOOKUP($A59, INDIRECT("MayR!$A$6:$ZZ$1048576"), MATCH(AL$1, MayR!$6:$6, 0), FALSE),
            0
        ) +
        IFERROR(
            VLOOKUP($A59, INDIRECT("JunR!$A$6:$ZZ$1048576"), MATCH(AL$1, JunR!$6:$6, 0), FALSE),
            0
        ) +
        IFERROR(
            VLOOKUP($A59, INDIRECT("JulR!$A$6:$ZZ$1048576"), MATCH(AL$1, JulR!$6:$6, 0), FALSE),
            0
        ) +
        IFERROR(
            VLOOKUP($A59, INDIRECT("AgoR!$A$6:$ZZ$1048576"), MATCH(AL$1, AgoR!$6:$6, 0), FALSE),
            0
        ) +
        IFERROR(
            VLOOKUP($A59, INDIRECT("SepR!$A$6:$ZZ$1048576"), MATCH(AL$1, SepR!$6:$6, 0), FALSE),
            0
        ) +
        IFERROR(
            VLOOKUP($A59, INDIRECT("OctR!$A$6:$ZZ$1048576"), MATCH(AL$1, OctR!$6:$6, 0), FALSE),
            0
        ) +
        IFERROR(
            VLOOKUP($A59, INDIRECT("NovR!$A$6:$ZZ$1048576"), MATCH(AL$1, NovR!$6:$6, 0), FALSE),
            0
        ) +
        IFERROR(
            VLOOKUP($A59, INDIRECT("DicR!$A$6:$ZZ$1048576"), MATCH(AL$1, DicR!$6:$6, 0), FALSE),
            0
        )
)</f>
        <v>0</v>
      </c>
      <c r="AM59" s="37">
        <f t="array" ref="AM59">SUM(
    IFERROR(
            VLOOKUP($A59, INDIRECT("EneR!$A$6:$ZZ$1048576"), MATCH(AM$1, EneR!$6:$6, 0), FALSE),
            0
        ) +
        IFERROR(
            VLOOKUP($A59, INDIRECT("FebR!$A$6:$ZZ$1048576"), MATCH(AM$1, FebR!$6:$6, 0), FALSE),
            0
        ) +
        IFERROR(
            VLOOKUP($A59, INDIRECT("MarR!$A$6:$ZZ$1048576"), MATCH(AM$1, MarR!$6:$6, 0), FALSE),
            0
        ) +
        IFERROR(
            VLOOKUP($A59, INDIRECT("AbrR!$A$6:$ZZ$1048576"), MATCH(AM$1, AbrR!$6:$6, 0), FALSE),
            0
        ) +
        IFERROR(
            VLOOKUP($A59, INDIRECT("MayR!$A$6:$ZZ$1048576"), MATCH(AM$1, MayR!$6:$6, 0), FALSE),
            0
        ) +
        IFERROR(
            VLOOKUP($A59, INDIRECT("JunR!$A$6:$ZZ$1048576"), MATCH(AM$1, JunR!$6:$6, 0), FALSE),
            0
        ) +
        IFERROR(
            VLOOKUP($A59, INDIRECT("JulR!$A$6:$ZZ$1048576"), MATCH(AM$1, JulR!$6:$6, 0), FALSE),
            0
        ) +
        IFERROR(
            VLOOKUP($A59, INDIRECT("AgoR!$A$6:$ZZ$1048576"), MATCH(AM$1, AgoR!$6:$6, 0), FALSE),
            0
        ) +
        IFERROR(
            VLOOKUP($A59, INDIRECT("SepR!$A$6:$ZZ$1048576"), MATCH(AM$1, SepR!$6:$6, 0), FALSE),
            0
        ) +
        IFERROR(
            VLOOKUP($A59, INDIRECT("OctR!$A$6:$ZZ$1048576"), MATCH(AM$1, OctR!$6:$6, 0), FALSE),
            0
        ) +
        IFERROR(
            VLOOKUP($A59, INDIRECT("NovR!$A$6:$ZZ$1048576"), MATCH(AM$1, NovR!$6:$6, 0), FALSE),
            0
        ) +
        IFERROR(
            VLOOKUP($A59, INDIRECT("DicR!$A$6:$ZZ$1048576"), MATCH(AM$1, DicR!$6:$6, 0), FALSE),
            0
        )
)</f>
        <v>0</v>
      </c>
      <c r="AN59" s="32">
        <f t="array" ref="AN59">SUM(
    IFERROR(
            VLOOKUP($A59, INDIRECT("EneR!$A$6:$ZZ$1048576"), MATCH(AN$1, EneR!$6:$6, 0), FALSE),
            0
        ) +
        IFERROR(
            VLOOKUP($A59, INDIRECT("FebR!$A$6:$ZZ$1048576"), MATCH(AN$1, FebR!$6:$6, 0), FALSE),
            0
        ) +
        IFERROR(
            VLOOKUP($A59, INDIRECT("MarR!$A$6:$ZZ$1048576"), MATCH(AN$1, MarR!$6:$6, 0), FALSE),
            0
        ) +
        IFERROR(
            VLOOKUP($A59, INDIRECT("AbrR!$A$6:$ZZ$1048576"), MATCH(AN$1, AbrR!$6:$6, 0), FALSE),
            0
        ) +
        IFERROR(
            VLOOKUP($A59, INDIRECT("MayR!$A$6:$ZZ$1048576"), MATCH(AN$1, MayR!$6:$6, 0), FALSE),
            0
        ) +
        IFERROR(
            VLOOKUP($A59, INDIRECT("JunR!$A$6:$ZZ$1048576"), MATCH(AN$1, JunR!$6:$6, 0), FALSE),
            0
        ) +
        IFERROR(
            VLOOKUP($A59, INDIRECT("JulR!$A$6:$ZZ$1048576"), MATCH(AN$1, JulR!$6:$6, 0), FALSE),
            0
        ) +
        IFERROR(
            VLOOKUP($A59, INDIRECT("AgoR!$A$6:$ZZ$1048576"), MATCH(AN$1, AgoR!$6:$6, 0), FALSE),
            0
        ) +
        IFERROR(
            VLOOKUP($A59, INDIRECT("SepR!$A$6:$ZZ$1048576"), MATCH(AN$1, SepR!$6:$6, 0), FALSE),
            0
        ) +
        IFERROR(
            VLOOKUP($A59, INDIRECT("OctR!$A$6:$ZZ$1048576"), MATCH(AN$1, OctR!$6:$6, 0), FALSE),
            0
        ) +
        IFERROR(
            VLOOKUP($A59, INDIRECT("NovR!$A$6:$ZZ$1048576"), MATCH(AN$1, NovR!$6:$6, 0), FALSE),
            0
        ) +
        IFERROR(
            VLOOKUP($A59, INDIRECT("DicR!$A$6:$ZZ$1048576"), MATCH(AN$1, DicR!$6:$6, 0), FALSE),
            0
        )
)</f>
        <v>0</v>
      </c>
      <c r="AO59" s="35">
        <f t="array" ref="AO59">SUM(
    IFERROR(
            VLOOKUP($A59, INDIRECT("EneR!$A$6:$ZZ$1048576"), MATCH(AO$1, EneR!$6:$6, 0), FALSE),
            0
        ) +
        IFERROR(
            VLOOKUP($A59, INDIRECT("FebR!$A$6:$ZZ$1048576"), MATCH(AO$1, FebR!$6:$6, 0), FALSE),
            0
        ) +
        IFERROR(
            VLOOKUP($A59, INDIRECT("MarR!$A$6:$ZZ$1048576"), MATCH(AO$1, MarR!$6:$6, 0), FALSE),
            0
        ) +
        IFERROR(
            VLOOKUP($A59, INDIRECT("AbrR!$A$6:$ZZ$1048576"), MATCH(AO$1, AbrR!$6:$6, 0), FALSE),
            0
        ) +
        IFERROR(
            VLOOKUP($A59, INDIRECT("MayR!$A$6:$ZZ$1048576"), MATCH(AO$1, MayR!$6:$6, 0), FALSE),
            0
        ) +
        IFERROR(
            VLOOKUP($A59, INDIRECT("JunR!$A$6:$ZZ$1048576"), MATCH(AO$1, JunR!$6:$6, 0), FALSE),
            0
        ) +
        IFERROR(
            VLOOKUP($A59, INDIRECT("JulR!$A$6:$ZZ$1048576"), MATCH(AO$1, JulR!$6:$6, 0), FALSE),
            0
        ) +
        IFERROR(
            VLOOKUP($A59, INDIRECT("AgoR!$A$6:$ZZ$1048576"), MATCH(AO$1, AgoR!$6:$6, 0), FALSE),
            0
        ) +
        IFERROR(
            VLOOKUP($A59, INDIRECT("SepR!$A$6:$ZZ$1048576"), MATCH(AO$1, SepR!$6:$6, 0), FALSE),
            0
        ) +
        IFERROR(
            VLOOKUP($A59, INDIRECT("OctR!$A$6:$ZZ$1048576"), MATCH(AO$1, OctR!$6:$6, 0), FALSE),
            0
        ) +
        IFERROR(
            VLOOKUP($A59, INDIRECT("NovR!$A$6:$ZZ$1048576"), MATCH(AO$1, NovR!$6:$6, 0), FALSE),
            0
        ) +
        IFERROR(
            VLOOKUP($A59, INDIRECT("DicR!$A$6:$ZZ$1048576"), MATCH(AO$1, DicR!$6:$6, 0), FALSE),
            0
        )
)</f>
        <v>0</v>
      </c>
      <c r="AP59" s="36">
        <f t="array" ref="AP59">SUM(
    IFERROR(
            VLOOKUP($A59, INDIRECT("EneR!$A$6:$ZZ$1048576"), MATCH(AP$1, EneR!$6:$6, 0), FALSE),
            0
        ) +
        IFERROR(
            VLOOKUP($A59, INDIRECT("FebR!$A$6:$ZZ$1048576"), MATCH(AP$1, FebR!$6:$6, 0), FALSE),
            0
        ) +
        IFERROR(
            VLOOKUP($A59, INDIRECT("MarR!$A$6:$ZZ$1048576"), MATCH(AP$1, MarR!$6:$6, 0), FALSE),
            0
        ) +
        IFERROR(
            VLOOKUP($A59, INDIRECT("AbrR!$A$6:$ZZ$1048576"), MATCH(AP$1, AbrR!$6:$6, 0), FALSE),
            0
        ) +
        IFERROR(
            VLOOKUP($A59, INDIRECT("MayR!$A$6:$ZZ$1048576"), MATCH(AP$1, MayR!$6:$6, 0), FALSE),
            0
        ) +
        IFERROR(
            VLOOKUP($A59, INDIRECT("JunR!$A$6:$ZZ$1048576"), MATCH(AP$1, JunR!$6:$6, 0), FALSE),
            0
        ) +
        IFERROR(
            VLOOKUP($A59, INDIRECT("JulR!$A$6:$ZZ$1048576"), MATCH(AP$1, JulR!$6:$6, 0), FALSE),
            0
        ) +
        IFERROR(
            VLOOKUP($A59, INDIRECT("AgoR!$A$6:$ZZ$1048576"), MATCH(AP$1, AgoR!$6:$6, 0), FALSE),
            0
        ) +
        IFERROR(
            VLOOKUP($A59, INDIRECT("SepR!$A$6:$ZZ$1048576"), MATCH(AP$1, SepR!$6:$6, 0), FALSE),
            0
        ) +
        IFERROR(
            VLOOKUP($A59, INDIRECT("OctR!$A$6:$ZZ$1048576"), MATCH(AP$1, OctR!$6:$6, 0), FALSE),
            0
        ) +
        IFERROR(
            VLOOKUP($A59, INDIRECT("NovR!$A$6:$ZZ$1048576"), MATCH(AP$1, NovR!$6:$6, 0), FALSE),
            0
        ) +
        IFERROR(
            VLOOKUP($A59, INDIRECT("DicR!$A$6:$ZZ$1048576"), MATCH(AP$1, DicR!$6:$6, 0), FALSE),
            0
        )
)</f>
        <v>0</v>
      </c>
      <c r="AQ59" s="35">
        <f t="array" ref="AQ59">SUM(
    IFERROR(
            VLOOKUP($A59, INDIRECT("EneR!$A$6:$ZZ$1048576"), MATCH(AQ$1, EneR!$6:$6, 0), FALSE),
            0
        ) +
        IFERROR(
            VLOOKUP($A59, INDIRECT("FebR!$A$6:$ZZ$1048576"), MATCH(AQ$1, FebR!$6:$6, 0), FALSE),
            0
        ) +
        IFERROR(
            VLOOKUP($A59, INDIRECT("MarR!$A$6:$ZZ$1048576"), MATCH(AQ$1, MarR!$6:$6, 0), FALSE),
            0
        ) +
        IFERROR(
            VLOOKUP($A59, INDIRECT("AbrR!$A$6:$ZZ$1048576"), MATCH(AQ$1, AbrR!$6:$6, 0), FALSE),
            0
        ) +
        IFERROR(
            VLOOKUP($A59, INDIRECT("MayR!$A$6:$ZZ$1048576"), MATCH(AQ$1, MayR!$6:$6, 0), FALSE),
            0
        ) +
        IFERROR(
            VLOOKUP($A59, INDIRECT("JunR!$A$6:$ZZ$1048576"), MATCH(AQ$1, JunR!$6:$6, 0), FALSE),
            0
        ) +
        IFERROR(
            VLOOKUP($A59, INDIRECT("JulR!$A$6:$ZZ$1048576"), MATCH(AQ$1, JulR!$6:$6, 0), FALSE),
            0
        ) +
        IFERROR(
            VLOOKUP($A59, INDIRECT("AgoR!$A$6:$ZZ$1048576"), MATCH(AQ$1, AgoR!$6:$6, 0), FALSE),
            0
        ) +
        IFERROR(
            VLOOKUP($A59, INDIRECT("SepR!$A$6:$ZZ$1048576"), MATCH(AQ$1, SepR!$6:$6, 0), FALSE),
            0
        ) +
        IFERROR(
            VLOOKUP($A59, INDIRECT("OctR!$A$6:$ZZ$1048576"), MATCH(AQ$1, OctR!$6:$6, 0), FALSE),
            0
        ) +
        IFERROR(
            VLOOKUP($A59, INDIRECT("NovR!$A$6:$ZZ$1048576"), MATCH(AQ$1, NovR!$6:$6, 0), FALSE),
            0
        ) +
        IFERROR(
            VLOOKUP($A59, INDIRECT("DicR!$A$6:$ZZ$1048576"), MATCH(AQ$1, DicR!$6:$6, 0), FALSE),
            0
        )
)</f>
        <v>0</v>
      </c>
      <c r="AR59" s="36">
        <f t="array" ref="AR59">SUM(
    IFERROR(
            VLOOKUP($A59, INDIRECT("EneR!$A$6:$ZZ$1048576"), MATCH(AR$1, EneR!$6:$6, 0), FALSE),
            0
        ) +
        IFERROR(
            VLOOKUP($A59, INDIRECT("FebR!$A$6:$ZZ$1048576"), MATCH(AR$1, FebR!$6:$6, 0), FALSE),
            0
        ) +
        IFERROR(
            VLOOKUP($A59, INDIRECT("MarR!$A$6:$ZZ$1048576"), MATCH(AR$1, MarR!$6:$6, 0), FALSE),
            0
        ) +
        IFERROR(
            VLOOKUP($A59, INDIRECT("AbrR!$A$6:$ZZ$1048576"), MATCH(AR$1, AbrR!$6:$6, 0), FALSE),
            0
        ) +
        IFERROR(
            VLOOKUP($A59, INDIRECT("MayR!$A$6:$ZZ$1048576"), MATCH(AR$1, MayR!$6:$6, 0), FALSE),
            0
        ) +
        IFERROR(
            VLOOKUP($A59, INDIRECT("JunR!$A$6:$ZZ$1048576"), MATCH(AR$1, JunR!$6:$6, 0), FALSE),
            0
        ) +
        IFERROR(
            VLOOKUP($A59, INDIRECT("JulR!$A$6:$ZZ$1048576"), MATCH(AR$1, JulR!$6:$6, 0), FALSE),
            0
        ) +
        IFERROR(
            VLOOKUP($A59, INDIRECT("AgoR!$A$6:$ZZ$1048576"), MATCH(AR$1, AgoR!$6:$6, 0), FALSE),
            0
        ) +
        IFERROR(
            VLOOKUP($A59, INDIRECT("SepR!$A$6:$ZZ$1048576"), MATCH(AR$1, SepR!$6:$6, 0), FALSE),
            0
        ) +
        IFERROR(
            VLOOKUP($A59, INDIRECT("OctR!$A$6:$ZZ$1048576"), MATCH(AR$1, OctR!$6:$6, 0), FALSE),
            0
        ) +
        IFERROR(
            VLOOKUP($A59, INDIRECT("NovR!$A$6:$ZZ$1048576"), MATCH(AR$1, NovR!$6:$6, 0), FALSE),
            0
        ) +
        IFERROR(
            VLOOKUP($A59, INDIRECT("DicR!$A$6:$ZZ$1048576"), MATCH(AR$1, DicR!$6:$6, 0), FALSE),
            0
        )
)</f>
        <v>0</v>
      </c>
      <c r="AS59" s="35">
        <f t="array" ref="AS59">SUM(
    IFERROR(
            VLOOKUP($A59, INDIRECT("EneR!$A$6:$ZZ$1048576"), MATCH(AS$1, EneR!$6:$6, 0), FALSE),
            0
        ) +
        IFERROR(
            VLOOKUP($A59, INDIRECT("FebR!$A$6:$ZZ$1048576"), MATCH(AS$1, FebR!$6:$6, 0), FALSE),
            0
        ) +
        IFERROR(
            VLOOKUP($A59, INDIRECT("MarR!$A$6:$ZZ$1048576"), MATCH(AS$1, MarR!$6:$6, 0), FALSE),
            0
        ) +
        IFERROR(
            VLOOKUP($A59, INDIRECT("AbrR!$A$6:$ZZ$1048576"), MATCH(AS$1, AbrR!$6:$6, 0), FALSE),
            0
        ) +
        IFERROR(
            VLOOKUP($A59, INDIRECT("MayR!$A$6:$ZZ$1048576"), MATCH(AS$1, MayR!$6:$6, 0), FALSE),
            0
        ) +
        IFERROR(
            VLOOKUP($A59, INDIRECT("JunR!$A$6:$ZZ$1048576"), MATCH(AS$1, JunR!$6:$6, 0), FALSE),
            0
        ) +
        IFERROR(
            VLOOKUP($A59, INDIRECT("JulR!$A$6:$ZZ$1048576"), MATCH(AS$1, JulR!$6:$6, 0), FALSE),
            0
        ) +
        IFERROR(
            VLOOKUP($A59, INDIRECT("AgoR!$A$6:$ZZ$1048576"), MATCH(AS$1, AgoR!$6:$6, 0), FALSE),
            0
        ) +
        IFERROR(
            VLOOKUP($A59, INDIRECT("SepR!$A$6:$ZZ$1048576"), MATCH(AS$1, SepR!$6:$6, 0), FALSE),
            0
        ) +
        IFERROR(
            VLOOKUP($A59, INDIRECT("OctR!$A$6:$ZZ$1048576"), MATCH(AS$1, OctR!$6:$6, 0), FALSE),
            0
        ) +
        IFERROR(
            VLOOKUP($A59, INDIRECT("NovR!$A$6:$ZZ$1048576"), MATCH(AS$1, NovR!$6:$6, 0), FALSE),
            0
        ) +
        IFERROR(
            VLOOKUP($A59, INDIRECT("DicR!$A$6:$ZZ$1048576"), MATCH(AS$1, DicR!$6:$6, 0), FALSE),
            0
        )
)</f>
        <v>0</v>
      </c>
      <c r="AT59" s="36">
        <f t="array" ref="AT59">SUM(
    IFERROR(
            VLOOKUP($A59, INDIRECT("EneR!$A$6:$ZZ$1048576"), MATCH(AT$1, EneR!$6:$6, 0), FALSE),
            0
        ) +
        IFERROR(
            VLOOKUP($A59, INDIRECT("FebR!$A$6:$ZZ$1048576"), MATCH(AT$1, FebR!$6:$6, 0), FALSE),
            0
        ) +
        IFERROR(
            VLOOKUP($A59, INDIRECT("MarR!$A$6:$ZZ$1048576"), MATCH(AT$1, MarR!$6:$6, 0), FALSE),
            0
        ) +
        IFERROR(
            VLOOKUP($A59, INDIRECT("AbrR!$A$6:$ZZ$1048576"), MATCH(AT$1, AbrR!$6:$6, 0), FALSE),
            0
        ) +
        IFERROR(
            VLOOKUP($A59, INDIRECT("MayR!$A$6:$ZZ$1048576"), MATCH(AT$1, MayR!$6:$6, 0), FALSE),
            0
        ) +
        IFERROR(
            VLOOKUP($A59, INDIRECT("JunR!$A$6:$ZZ$1048576"), MATCH(AT$1, JunR!$6:$6, 0), FALSE),
            0
        ) +
        IFERROR(
            VLOOKUP($A59, INDIRECT("JulR!$A$6:$ZZ$1048576"), MATCH(AT$1, JulR!$6:$6, 0), FALSE),
            0
        ) +
        IFERROR(
            VLOOKUP($A59, INDIRECT("AgoR!$A$6:$ZZ$1048576"), MATCH(AT$1, AgoR!$6:$6, 0), FALSE),
            0
        ) +
        IFERROR(
            VLOOKUP($A59, INDIRECT("SepR!$A$6:$ZZ$1048576"), MATCH(AT$1, SepR!$6:$6, 0), FALSE),
            0
        ) +
        IFERROR(
            VLOOKUP($A59, INDIRECT("OctR!$A$6:$ZZ$1048576"), MATCH(AT$1, OctR!$6:$6, 0), FALSE),
            0
        ) +
        IFERROR(
            VLOOKUP($A59, INDIRECT("NovR!$A$6:$ZZ$1048576"), MATCH(AT$1, NovR!$6:$6, 0), FALSE),
            0
        ) +
        IFERROR(
            VLOOKUP($A59, INDIRECT("DicR!$A$6:$ZZ$1048576"), MATCH(AT$1, DicR!$6:$6, 0), FALSE),
            0
        )
)</f>
        <v>0</v>
      </c>
      <c r="AU59" s="35">
        <f t="array" ref="AU59">SUM(
    IFERROR(
            VLOOKUP($A59, INDIRECT("EneR!$A$6:$ZZ$1048576"), MATCH(AU$1, EneR!$6:$6, 0), FALSE),
            0
        ) +
        IFERROR(
            VLOOKUP($A59, INDIRECT("FebR!$A$6:$ZZ$1048576"), MATCH(AU$1, FebR!$6:$6, 0), FALSE),
            0
        ) +
        IFERROR(
            VLOOKUP($A59, INDIRECT("MarR!$A$6:$ZZ$1048576"), MATCH(AU$1, MarR!$6:$6, 0), FALSE),
            0
        ) +
        IFERROR(
            VLOOKUP($A59, INDIRECT("AbrR!$A$6:$ZZ$1048576"), MATCH(AU$1, AbrR!$6:$6, 0), FALSE),
            0
        ) +
        IFERROR(
            VLOOKUP($A59, INDIRECT("MayR!$A$6:$ZZ$1048576"), MATCH(AU$1, MayR!$6:$6, 0), FALSE),
            0
        ) +
        IFERROR(
            VLOOKUP($A59, INDIRECT("JunR!$A$6:$ZZ$1048576"), MATCH(AU$1, JunR!$6:$6, 0), FALSE),
            0
        ) +
        IFERROR(
            VLOOKUP($A59, INDIRECT("JulR!$A$6:$ZZ$1048576"), MATCH(AU$1, JulR!$6:$6, 0), FALSE),
            0
        ) +
        IFERROR(
            VLOOKUP($A59, INDIRECT("AgoR!$A$6:$ZZ$1048576"), MATCH(AU$1, AgoR!$6:$6, 0), FALSE),
            0
        ) +
        IFERROR(
            VLOOKUP($A59, INDIRECT("SepR!$A$6:$ZZ$1048576"), MATCH(AU$1, SepR!$6:$6, 0), FALSE),
            0
        ) +
        IFERROR(
            VLOOKUP($A59, INDIRECT("OctR!$A$6:$ZZ$1048576"), MATCH(AU$1, OctR!$6:$6, 0), FALSE),
            0
        ) +
        IFERROR(
            VLOOKUP($A59, INDIRECT("NovR!$A$6:$ZZ$1048576"), MATCH(AU$1, NovR!$6:$6, 0), FALSE),
            0
        ) +
        IFERROR(
            VLOOKUP($A59, INDIRECT("DicR!$A$6:$ZZ$1048576"), MATCH(AU$1, DicR!$6:$6, 0), FALSE),
            0
        )
)</f>
        <v>0</v>
      </c>
      <c r="AV59" s="36">
        <f t="array" ref="AV59">SUM(
    IFERROR(
            VLOOKUP($A59, INDIRECT("EneR!$A$6:$ZZ$1048576"), MATCH(AV$1, EneR!$6:$6, 0), FALSE),
            0
        ) +
        IFERROR(
            VLOOKUP($A59, INDIRECT("FebR!$A$6:$ZZ$1048576"), MATCH(AV$1, FebR!$6:$6, 0), FALSE),
            0
        ) +
        IFERROR(
            VLOOKUP($A59, INDIRECT("MarR!$A$6:$ZZ$1048576"), MATCH(AV$1, MarR!$6:$6, 0), FALSE),
            0
        ) +
        IFERROR(
            VLOOKUP($A59, INDIRECT("AbrR!$A$6:$ZZ$1048576"), MATCH(AV$1, AbrR!$6:$6, 0), FALSE),
            0
        ) +
        IFERROR(
            VLOOKUP($A59, INDIRECT("MayR!$A$6:$ZZ$1048576"), MATCH(AV$1, MayR!$6:$6, 0), FALSE),
            0
        ) +
        IFERROR(
            VLOOKUP($A59, INDIRECT("JunR!$A$6:$ZZ$1048576"), MATCH(AV$1, JunR!$6:$6, 0), FALSE),
            0
        ) +
        IFERROR(
            VLOOKUP($A59, INDIRECT("JulR!$A$6:$ZZ$1048576"), MATCH(AV$1, JulR!$6:$6, 0), FALSE),
            0
        ) +
        IFERROR(
            VLOOKUP($A59, INDIRECT("AgoR!$A$6:$ZZ$1048576"), MATCH(AV$1, AgoR!$6:$6, 0), FALSE),
            0
        ) +
        IFERROR(
            VLOOKUP($A59, INDIRECT("SepR!$A$6:$ZZ$1048576"), MATCH(AV$1, SepR!$6:$6, 0), FALSE),
            0
        ) +
        IFERROR(
            VLOOKUP($A59, INDIRECT("OctR!$A$6:$ZZ$1048576"), MATCH(AV$1, OctR!$6:$6, 0), FALSE),
            0
        ) +
        IFERROR(
            VLOOKUP($A59, INDIRECT("NovR!$A$6:$ZZ$1048576"), MATCH(AV$1, NovR!$6:$6, 0), FALSE),
            0
        ) +
        IFERROR(
            VLOOKUP($A59, INDIRECT("DicR!$A$6:$ZZ$1048576"), MATCH(AV$1, DicR!$6:$6, 0), FALSE),
            0
        )
)</f>
        <v>0</v>
      </c>
      <c r="AW59" s="35">
        <f t="array" ref="AW59">SUM(
    IFERROR(
            VLOOKUP($A59, INDIRECT("EneR!$A$6:$ZZ$1048576"), MATCH(AW$1, EneR!$6:$6, 0), FALSE),
            0
        ) +
        IFERROR(
            VLOOKUP($A59, INDIRECT("FebR!$A$6:$ZZ$1048576"), MATCH(AW$1, FebR!$6:$6, 0), FALSE),
            0
        ) +
        IFERROR(
            VLOOKUP($A59, INDIRECT("MarR!$A$6:$ZZ$1048576"), MATCH(AW$1, MarR!$6:$6, 0), FALSE),
            0
        ) +
        IFERROR(
            VLOOKUP($A59, INDIRECT("AbrR!$A$6:$ZZ$1048576"), MATCH(AW$1, AbrR!$6:$6, 0), FALSE),
            0
        ) +
        IFERROR(
            VLOOKUP($A59, INDIRECT("MayR!$A$6:$ZZ$1048576"), MATCH(AW$1, MayR!$6:$6, 0), FALSE),
            0
        ) +
        IFERROR(
            VLOOKUP($A59, INDIRECT("JunR!$A$6:$ZZ$1048576"), MATCH(AW$1, JunR!$6:$6, 0), FALSE),
            0
        ) +
        IFERROR(
            VLOOKUP($A59, INDIRECT("JulR!$A$6:$ZZ$1048576"), MATCH(AW$1, JulR!$6:$6, 0), FALSE),
            0
        ) +
        IFERROR(
            VLOOKUP($A59, INDIRECT("AgoR!$A$6:$ZZ$1048576"), MATCH(AW$1, AgoR!$6:$6, 0), FALSE),
            0
        ) +
        IFERROR(
            VLOOKUP($A59, INDIRECT("SepR!$A$6:$ZZ$1048576"), MATCH(AW$1, SepR!$6:$6, 0), FALSE),
            0
        ) +
        IFERROR(
            VLOOKUP($A59, INDIRECT("OctR!$A$6:$ZZ$1048576"), MATCH(AW$1, OctR!$6:$6, 0), FALSE),
            0
        ) +
        IFERROR(
            VLOOKUP($A59, INDIRECT("NovR!$A$6:$ZZ$1048576"), MATCH(AW$1, NovR!$6:$6, 0), FALSE),
            0
        ) +
        IFERROR(
            VLOOKUP($A59, INDIRECT("DicR!$A$6:$ZZ$1048576"), MATCH(AW$1, DicR!$6:$6, 0), FALSE),
            0
        )
)</f>
        <v>0</v>
      </c>
      <c r="AX59" s="36">
        <f t="array" ref="AX59">SUM(
    IFERROR(
            VLOOKUP($A59, INDIRECT("EneR!$A$6:$ZZ$1048576"), MATCH(AX$1, EneR!$6:$6, 0), FALSE),
            0
        ) +
        IFERROR(
            VLOOKUP($A59, INDIRECT("FebR!$A$6:$ZZ$1048576"), MATCH(AX$1, FebR!$6:$6, 0), FALSE),
            0
        ) +
        IFERROR(
            VLOOKUP($A59, INDIRECT("MarR!$A$6:$ZZ$1048576"), MATCH(AX$1, MarR!$6:$6, 0), FALSE),
            0
        ) +
        IFERROR(
            VLOOKUP($A59, INDIRECT("AbrR!$A$6:$ZZ$1048576"), MATCH(AX$1, AbrR!$6:$6, 0), FALSE),
            0
        ) +
        IFERROR(
            VLOOKUP($A59, INDIRECT("MayR!$A$6:$ZZ$1048576"), MATCH(AX$1, MayR!$6:$6, 0), FALSE),
            0
        ) +
        IFERROR(
            VLOOKUP($A59, INDIRECT("JunR!$A$6:$ZZ$1048576"), MATCH(AX$1, JunR!$6:$6, 0), FALSE),
            0
        ) +
        IFERROR(
            VLOOKUP($A59, INDIRECT("JulR!$A$6:$ZZ$1048576"), MATCH(AX$1, JulR!$6:$6, 0), FALSE),
            0
        ) +
        IFERROR(
            VLOOKUP($A59, INDIRECT("AgoR!$A$6:$ZZ$1048576"), MATCH(AX$1, AgoR!$6:$6, 0), FALSE),
            0
        ) +
        IFERROR(
            VLOOKUP($A59, INDIRECT("SepR!$A$6:$ZZ$1048576"), MATCH(AX$1, SepR!$6:$6, 0), FALSE),
            0
        ) +
        IFERROR(
            VLOOKUP($A59, INDIRECT("OctR!$A$6:$ZZ$1048576"), MATCH(AX$1, OctR!$6:$6, 0), FALSE),
            0
        ) +
        IFERROR(
            VLOOKUP($A59, INDIRECT("NovR!$A$6:$ZZ$1048576"), MATCH(AX$1, NovR!$6:$6, 0), FALSE),
            0
        ) +
        IFERROR(
            VLOOKUP($A59, INDIRECT("DicR!$A$6:$ZZ$1048576"), MATCH(AX$1, DicR!$6:$6, 0), FALSE),
            0
        )
)</f>
        <v>0</v>
      </c>
      <c r="AY59" s="35">
        <f t="array" ref="AY59">SUM(
    IFERROR(
            VLOOKUP($A59, INDIRECT("EneR!$A$6:$ZZ$1048576"), MATCH(AY$1, EneR!$6:$6, 0), FALSE),
            0
        ) +
        IFERROR(
            VLOOKUP($A59, INDIRECT("FebR!$A$6:$ZZ$1048576"), MATCH(AY$1, FebR!$6:$6, 0), FALSE),
            0
        ) +
        IFERROR(
            VLOOKUP($A59, INDIRECT("MarR!$A$6:$ZZ$1048576"), MATCH(AY$1, MarR!$6:$6, 0), FALSE),
            0
        ) +
        IFERROR(
            VLOOKUP($A59, INDIRECT("AbrR!$A$6:$ZZ$1048576"), MATCH(AY$1, AbrR!$6:$6, 0), FALSE),
            0
        ) +
        IFERROR(
            VLOOKUP($A59, INDIRECT("MayR!$A$6:$ZZ$1048576"), MATCH(AY$1, MayR!$6:$6, 0), FALSE),
            0
        ) +
        IFERROR(
            VLOOKUP($A59, INDIRECT("JunR!$A$6:$ZZ$1048576"), MATCH(AY$1, JunR!$6:$6, 0), FALSE),
            0
        ) +
        IFERROR(
            VLOOKUP($A59, INDIRECT("JulR!$A$6:$ZZ$1048576"), MATCH(AY$1, JulR!$6:$6, 0), FALSE),
            0
        ) +
        IFERROR(
            VLOOKUP($A59, INDIRECT("AgoR!$A$6:$ZZ$1048576"), MATCH(AY$1, AgoR!$6:$6, 0), FALSE),
            0
        ) +
        IFERROR(
            VLOOKUP($A59, INDIRECT("SepR!$A$6:$ZZ$1048576"), MATCH(AY$1, SepR!$6:$6, 0), FALSE),
            0
        ) +
        IFERROR(
            VLOOKUP($A59, INDIRECT("OctR!$A$6:$ZZ$1048576"), MATCH(AY$1, OctR!$6:$6, 0), FALSE),
            0
        ) +
        IFERROR(
            VLOOKUP($A59, INDIRECT("NovR!$A$6:$ZZ$1048576"), MATCH(AY$1, NovR!$6:$6, 0), FALSE),
            0
        ) +
        IFERROR(
            VLOOKUP($A59, INDIRECT("DicR!$A$6:$ZZ$1048576"), MATCH(AY$1, DicR!$6:$6, 0), FALSE),
            0
        )
)</f>
        <v>0</v>
      </c>
      <c r="AZ59" s="35"/>
    </row>
    <row r="60" ht="15.75" customHeight="1">
      <c r="A60" s="12" t="str">
        <f>Menus!B21</f>
        <v/>
      </c>
      <c r="B60" s="32">
        <f t="shared" si="9"/>
        <v>0</v>
      </c>
      <c r="C60" s="33" t="str">
        <f t="shared" si="10"/>
        <v/>
      </c>
      <c r="D60" s="34">
        <f t="array" ref="D60">SUM(
    IFERROR(
            VLOOKUP($A60, INDIRECT("EneR!$A$6:$ZZ$1048576"), MATCH(D$1, EneR!$6:$6, 0), FALSE),
            0
        ) +
        IFERROR(
            VLOOKUP($A60, INDIRECT("FebR!$A$6:$ZZ$1048576"), MATCH(D$1, FebR!$6:$6, 0), FALSE),
            0
        ) +
        IFERROR(
            VLOOKUP($A60, INDIRECT("MarR!$A$6:$ZZ$1048576"), MATCH(D$1, MarR!$6:$6, 0), FALSE),
            0
        ) +
        IFERROR(
            VLOOKUP($A60, INDIRECT("AbrR!$A$6:$ZZ$1048576"), MATCH(D$1, AbrR!$6:$6, 0), FALSE),
            0
        ) +
        IFERROR(
            VLOOKUP($A60, INDIRECT("MayR!$A$6:$ZZ$1048576"), MATCH(D$1, MayR!$6:$6, 0), FALSE),
            0
        ) +
        IFERROR(
            VLOOKUP($A60, INDIRECT("JunR!$A$6:$ZZ$1048576"), MATCH(D$1, JunR!$6:$6, 0), FALSE),
            0
        ) +
        IFERROR(
            VLOOKUP($A60, INDIRECT("JulR!$A$6:$ZZ$1048576"), MATCH(D$1, JulR!$6:$6, 0), FALSE),
            0
        ) +
        IFERROR(
            VLOOKUP($A60, INDIRECT("AgoR!$A$6:$ZZ$1048576"), MATCH(D$1, AgoR!$6:$6, 0), FALSE),
            0
        ) +
        IFERROR(
            VLOOKUP($A60, INDIRECT("SepR!$A$6:$ZZ$1048576"), MATCH(D$1, SepR!$6:$6, 0), FALSE),
            0
        ) +
        IFERROR(
            VLOOKUP($A60, INDIRECT("OctR!$A$6:$ZZ$1048576"), MATCH(D$1, OctR!$6:$6, 0), FALSE),
            0
        ) +
        IFERROR(
            VLOOKUP($A60, INDIRECT("NovR!$A$6:$ZZ$1048576"), MATCH(D$1, NovR!$6:$6, 0), FALSE),
            0
        ) +
        IFERROR(
            VLOOKUP($A60, INDIRECT("DicR!$A$6:$ZZ$1048576"), MATCH(D$1, DicR!$6:$6, 0), FALSE),
            0
        )
)</f>
        <v>0</v>
      </c>
      <c r="E60" s="35">
        <f t="array" ref="E60">SUM(
    IFERROR(
            VLOOKUP($A60, INDIRECT("EneR!$A$6:$ZZ$1048576"), MATCH(E$1, EneR!$6:$6, 0), FALSE),
            0
        ) +
        IFERROR(
            VLOOKUP($A60, INDIRECT("FebR!$A$6:$ZZ$1048576"), MATCH(E$1, FebR!$6:$6, 0), FALSE),
            0
        ) +
        IFERROR(
            VLOOKUP($A60, INDIRECT("MarR!$A$6:$ZZ$1048576"), MATCH(E$1, MarR!$6:$6, 0), FALSE),
            0
        ) +
        IFERROR(
            VLOOKUP($A60, INDIRECT("AbrR!$A$6:$ZZ$1048576"), MATCH(E$1, AbrR!$6:$6, 0), FALSE),
            0
        ) +
        IFERROR(
            VLOOKUP($A60, INDIRECT("MayR!$A$6:$ZZ$1048576"), MATCH(E$1, MayR!$6:$6, 0), FALSE),
            0
        ) +
        IFERROR(
            VLOOKUP($A60, INDIRECT("JunR!$A$6:$ZZ$1048576"), MATCH(E$1, JunR!$6:$6, 0), FALSE),
            0
        ) +
        IFERROR(
            VLOOKUP($A60, INDIRECT("JulR!$A$6:$ZZ$1048576"), MATCH(E$1, JulR!$6:$6, 0), FALSE),
            0
        ) +
        IFERROR(
            VLOOKUP($A60, INDIRECT("AgoR!$A$6:$ZZ$1048576"), MATCH(E$1, AgoR!$6:$6, 0), FALSE),
            0
        ) +
        IFERROR(
            VLOOKUP($A60, INDIRECT("SepR!$A$6:$ZZ$1048576"), MATCH(E$1, SepR!$6:$6, 0), FALSE),
            0
        ) +
        IFERROR(
            VLOOKUP($A60, INDIRECT("OctR!$A$6:$ZZ$1048576"), MATCH(E$1, OctR!$6:$6, 0), FALSE),
            0
        ) +
        IFERROR(
            VLOOKUP($A60, INDIRECT("NovR!$A$6:$ZZ$1048576"), MATCH(E$1, NovR!$6:$6, 0), FALSE),
            0
        ) +
        IFERROR(
            VLOOKUP($A60, INDIRECT("DicR!$A$6:$ZZ$1048576"), MATCH(E$1, DicR!$6:$6, 0), FALSE),
            0
        )
)</f>
        <v>0</v>
      </c>
      <c r="F60" s="32">
        <f t="array" ref="F60">SUM(
    IFERROR(
            VLOOKUP($A60, INDIRECT("EneR!$A$6:$ZZ$1048576"), MATCH(F$1, EneR!$6:$6, 0), FALSE),
            0
        ) +
        IFERROR(
            VLOOKUP($A60, INDIRECT("FebR!$A$6:$ZZ$1048576"), MATCH(F$1, FebR!$6:$6, 0), FALSE),
            0
        ) +
        IFERROR(
            VLOOKUP($A60, INDIRECT("MarR!$A$6:$ZZ$1048576"), MATCH(F$1, MarR!$6:$6, 0), FALSE),
            0
        ) +
        IFERROR(
            VLOOKUP($A60, INDIRECT("AbrR!$A$6:$ZZ$1048576"), MATCH(F$1, AbrR!$6:$6, 0), FALSE),
            0
        ) +
        IFERROR(
            VLOOKUP($A60, INDIRECT("MayR!$A$6:$ZZ$1048576"), MATCH(F$1, MayR!$6:$6, 0), FALSE),
            0
        ) +
        IFERROR(
            VLOOKUP($A60, INDIRECT("JunR!$A$6:$ZZ$1048576"), MATCH(F$1, JunR!$6:$6, 0), FALSE),
            0
        ) +
        IFERROR(
            VLOOKUP($A60, INDIRECT("JulR!$A$6:$ZZ$1048576"), MATCH(F$1, JulR!$6:$6, 0), FALSE),
            0
        ) +
        IFERROR(
            VLOOKUP($A60, INDIRECT("AgoR!$A$6:$ZZ$1048576"), MATCH(F$1, AgoR!$6:$6, 0), FALSE),
            0
        ) +
        IFERROR(
            VLOOKUP($A60, INDIRECT("SepR!$A$6:$ZZ$1048576"), MATCH(F$1, SepR!$6:$6, 0), FALSE),
            0
        ) +
        IFERROR(
            VLOOKUP($A60, INDIRECT("OctR!$A$6:$ZZ$1048576"), MATCH(F$1, OctR!$6:$6, 0), FALSE),
            0
        ) +
        IFERROR(
            VLOOKUP($A60, INDIRECT("NovR!$A$6:$ZZ$1048576"), MATCH(F$1, NovR!$6:$6, 0), FALSE),
            0
        ) +
        IFERROR(
            VLOOKUP($A60, INDIRECT("DicR!$A$6:$ZZ$1048576"), MATCH(F$1, DicR!$6:$6, 0), FALSE),
            0
        )
)</f>
        <v>0</v>
      </c>
      <c r="G60" s="35">
        <f t="array" ref="G60">SUM(
    IFERROR(
            VLOOKUP($A60, INDIRECT("EneR!$A$6:$ZZ$1048576"), MATCH(G$1, EneR!$6:$6, 0), FALSE),
            0
        ) +
        IFERROR(
            VLOOKUP($A60, INDIRECT("FebR!$A$6:$ZZ$1048576"), MATCH(G$1, FebR!$6:$6, 0), FALSE),
            0
        ) +
        IFERROR(
            VLOOKUP($A60, INDIRECT("MarR!$A$6:$ZZ$1048576"), MATCH(G$1, MarR!$6:$6, 0), FALSE),
            0
        ) +
        IFERROR(
            VLOOKUP($A60, INDIRECT("AbrR!$A$6:$ZZ$1048576"), MATCH(G$1, AbrR!$6:$6, 0), FALSE),
            0
        ) +
        IFERROR(
            VLOOKUP($A60, INDIRECT("MayR!$A$6:$ZZ$1048576"), MATCH(G$1, MayR!$6:$6, 0), FALSE),
            0
        ) +
        IFERROR(
            VLOOKUP($A60, INDIRECT("JunR!$A$6:$ZZ$1048576"), MATCH(G$1, JunR!$6:$6, 0), FALSE),
            0
        ) +
        IFERROR(
            VLOOKUP($A60, INDIRECT("JulR!$A$6:$ZZ$1048576"), MATCH(G$1, JulR!$6:$6, 0), FALSE),
            0
        ) +
        IFERROR(
            VLOOKUP($A60, INDIRECT("AgoR!$A$6:$ZZ$1048576"), MATCH(G$1, AgoR!$6:$6, 0), FALSE),
            0
        ) +
        IFERROR(
            VLOOKUP($A60, INDIRECT("SepR!$A$6:$ZZ$1048576"), MATCH(G$1, SepR!$6:$6, 0), FALSE),
            0
        ) +
        IFERROR(
            VLOOKUP($A60, INDIRECT("OctR!$A$6:$ZZ$1048576"), MATCH(G$1, OctR!$6:$6, 0), FALSE),
            0
        ) +
        IFERROR(
            VLOOKUP($A60, INDIRECT("NovR!$A$6:$ZZ$1048576"), MATCH(G$1, NovR!$6:$6, 0), FALSE),
            0
        ) +
        IFERROR(
            VLOOKUP($A60, INDIRECT("DicR!$A$6:$ZZ$1048576"), MATCH(G$1, DicR!$6:$6, 0), FALSE),
            0
        )
)</f>
        <v>0</v>
      </c>
      <c r="H60" s="32">
        <f t="array" ref="H60">SUM(
    IFERROR(
            VLOOKUP($A60, INDIRECT("EneR!$A$6:$ZZ$1048576"), MATCH(H$1, EneR!$6:$6, 0), FALSE),
            0
        ) +
        IFERROR(
            VLOOKUP($A60, INDIRECT("FebR!$A$6:$ZZ$1048576"), MATCH(H$1, FebR!$6:$6, 0), FALSE),
            0
        ) +
        IFERROR(
            VLOOKUP($A60, INDIRECT("MarR!$A$6:$ZZ$1048576"), MATCH(H$1, MarR!$6:$6, 0), FALSE),
            0
        ) +
        IFERROR(
            VLOOKUP($A60, INDIRECT("AbrR!$A$6:$ZZ$1048576"), MATCH(H$1, AbrR!$6:$6, 0), FALSE),
            0
        ) +
        IFERROR(
            VLOOKUP($A60, INDIRECT("MayR!$A$6:$ZZ$1048576"), MATCH(H$1, MayR!$6:$6, 0), FALSE),
            0
        ) +
        IFERROR(
            VLOOKUP($A60, INDIRECT("JunR!$A$6:$ZZ$1048576"), MATCH(H$1, JunR!$6:$6, 0), FALSE),
            0
        ) +
        IFERROR(
            VLOOKUP($A60, INDIRECT("JulR!$A$6:$ZZ$1048576"), MATCH(H$1, JulR!$6:$6, 0), FALSE),
            0
        ) +
        IFERROR(
            VLOOKUP($A60, INDIRECT("AgoR!$A$6:$ZZ$1048576"), MATCH(H$1, AgoR!$6:$6, 0), FALSE),
            0
        ) +
        IFERROR(
            VLOOKUP($A60, INDIRECT("SepR!$A$6:$ZZ$1048576"), MATCH(H$1, SepR!$6:$6, 0), FALSE),
            0
        ) +
        IFERROR(
            VLOOKUP($A60, INDIRECT("OctR!$A$6:$ZZ$1048576"), MATCH(H$1, OctR!$6:$6, 0), FALSE),
            0
        ) +
        IFERROR(
            VLOOKUP($A60, INDIRECT("NovR!$A$6:$ZZ$1048576"), MATCH(H$1, NovR!$6:$6, 0), FALSE),
            0
        ) +
        IFERROR(
            VLOOKUP($A60, INDIRECT("DicR!$A$6:$ZZ$1048576"), MATCH(H$1, DicR!$6:$6, 0), FALSE),
            0
        )
)</f>
        <v>0</v>
      </c>
      <c r="I60" s="35">
        <f t="array" ref="I60">SUM(
    IFERROR(
            VLOOKUP($A60, INDIRECT("EneR!$A$6:$ZZ$1048576"), MATCH(I$1, EneR!$6:$6, 0), FALSE),
            0
        ) +
        IFERROR(
            VLOOKUP($A60, INDIRECT("FebR!$A$6:$ZZ$1048576"), MATCH(I$1, FebR!$6:$6, 0), FALSE),
            0
        ) +
        IFERROR(
            VLOOKUP($A60, INDIRECT("MarR!$A$6:$ZZ$1048576"), MATCH(I$1, MarR!$6:$6, 0), FALSE),
            0
        ) +
        IFERROR(
            VLOOKUP($A60, INDIRECT("AbrR!$A$6:$ZZ$1048576"), MATCH(I$1, AbrR!$6:$6, 0), FALSE),
            0
        ) +
        IFERROR(
            VLOOKUP($A60, INDIRECT("MayR!$A$6:$ZZ$1048576"), MATCH(I$1, MayR!$6:$6, 0), FALSE),
            0
        ) +
        IFERROR(
            VLOOKUP($A60, INDIRECT("JunR!$A$6:$ZZ$1048576"), MATCH(I$1, JunR!$6:$6, 0), FALSE),
            0
        ) +
        IFERROR(
            VLOOKUP($A60, INDIRECT("JulR!$A$6:$ZZ$1048576"), MATCH(I$1, JulR!$6:$6, 0), FALSE),
            0
        ) +
        IFERROR(
            VLOOKUP($A60, INDIRECT("AgoR!$A$6:$ZZ$1048576"), MATCH(I$1, AgoR!$6:$6, 0), FALSE),
            0
        ) +
        IFERROR(
            VLOOKUP($A60, INDIRECT("SepR!$A$6:$ZZ$1048576"), MATCH(I$1, SepR!$6:$6, 0), FALSE),
            0
        ) +
        IFERROR(
            VLOOKUP($A60, INDIRECT("OctR!$A$6:$ZZ$1048576"), MATCH(I$1, OctR!$6:$6, 0), FALSE),
            0
        ) +
        IFERROR(
            VLOOKUP($A60, INDIRECT("NovR!$A$6:$ZZ$1048576"), MATCH(I$1, NovR!$6:$6, 0), FALSE),
            0
        ) +
        IFERROR(
            VLOOKUP($A60, INDIRECT("DicR!$A$6:$ZZ$1048576"), MATCH(I$1, DicR!$6:$6, 0), FALSE),
            0
        )
)</f>
        <v>0</v>
      </c>
      <c r="J60" s="32">
        <f t="array" ref="J60">SUM(
    IFERROR(
            VLOOKUP($A60, INDIRECT("EneR!$A$6:$ZZ$1048576"), MATCH(J$1, EneR!$6:$6, 0), FALSE),
            0
        ) +
        IFERROR(
            VLOOKUP($A60, INDIRECT("FebR!$A$6:$ZZ$1048576"), MATCH(J$1, FebR!$6:$6, 0), FALSE),
            0
        ) +
        IFERROR(
            VLOOKUP($A60, INDIRECT("MarR!$A$6:$ZZ$1048576"), MATCH(J$1, MarR!$6:$6, 0), FALSE),
            0
        ) +
        IFERROR(
            VLOOKUP($A60, INDIRECT("AbrR!$A$6:$ZZ$1048576"), MATCH(J$1, AbrR!$6:$6, 0), FALSE),
            0
        ) +
        IFERROR(
            VLOOKUP($A60, INDIRECT("MayR!$A$6:$ZZ$1048576"), MATCH(J$1, MayR!$6:$6, 0), FALSE),
            0
        ) +
        IFERROR(
            VLOOKUP($A60, INDIRECT("JunR!$A$6:$ZZ$1048576"), MATCH(J$1, JunR!$6:$6, 0), FALSE),
            0
        ) +
        IFERROR(
            VLOOKUP($A60, INDIRECT("JulR!$A$6:$ZZ$1048576"), MATCH(J$1, JulR!$6:$6, 0), FALSE),
            0
        ) +
        IFERROR(
            VLOOKUP($A60, INDIRECT("AgoR!$A$6:$ZZ$1048576"), MATCH(J$1, AgoR!$6:$6, 0), FALSE),
            0
        ) +
        IFERROR(
            VLOOKUP($A60, INDIRECT("SepR!$A$6:$ZZ$1048576"), MATCH(J$1, SepR!$6:$6, 0), FALSE),
            0
        ) +
        IFERROR(
            VLOOKUP($A60, INDIRECT("OctR!$A$6:$ZZ$1048576"), MATCH(J$1, OctR!$6:$6, 0), FALSE),
            0
        ) +
        IFERROR(
            VLOOKUP($A60, INDIRECT("NovR!$A$6:$ZZ$1048576"), MATCH(J$1, NovR!$6:$6, 0), FALSE),
            0
        ) +
        IFERROR(
            VLOOKUP($A60, INDIRECT("DicR!$A$6:$ZZ$1048576"), MATCH(J$1, DicR!$6:$6, 0), FALSE),
            0
        )
)</f>
        <v>0</v>
      </c>
      <c r="K60" s="35">
        <f t="array" ref="K60">SUM(
    IFERROR(
            VLOOKUP($A60, INDIRECT("EneR!$A$6:$ZZ$1048576"), MATCH(K$1, EneR!$6:$6, 0), FALSE),
            0
        ) +
        IFERROR(
            VLOOKUP($A60, INDIRECT("FebR!$A$6:$ZZ$1048576"), MATCH(K$1, FebR!$6:$6, 0), FALSE),
            0
        ) +
        IFERROR(
            VLOOKUP($A60, INDIRECT("MarR!$A$6:$ZZ$1048576"), MATCH(K$1, MarR!$6:$6, 0), FALSE),
            0
        ) +
        IFERROR(
            VLOOKUP($A60, INDIRECT("AbrR!$A$6:$ZZ$1048576"), MATCH(K$1, AbrR!$6:$6, 0), FALSE),
            0
        ) +
        IFERROR(
            VLOOKUP($A60, INDIRECT("MayR!$A$6:$ZZ$1048576"), MATCH(K$1, MayR!$6:$6, 0), FALSE),
            0
        ) +
        IFERROR(
            VLOOKUP($A60, INDIRECT("JunR!$A$6:$ZZ$1048576"), MATCH(K$1, JunR!$6:$6, 0), FALSE),
            0
        ) +
        IFERROR(
            VLOOKUP($A60, INDIRECT("JulR!$A$6:$ZZ$1048576"), MATCH(K$1, JulR!$6:$6, 0), FALSE),
            0
        ) +
        IFERROR(
            VLOOKUP($A60, INDIRECT("AgoR!$A$6:$ZZ$1048576"), MATCH(K$1, AgoR!$6:$6, 0), FALSE),
            0
        ) +
        IFERROR(
            VLOOKUP($A60, INDIRECT("SepR!$A$6:$ZZ$1048576"), MATCH(K$1, SepR!$6:$6, 0), FALSE),
            0
        ) +
        IFERROR(
            VLOOKUP($A60, INDIRECT("OctR!$A$6:$ZZ$1048576"), MATCH(K$1, OctR!$6:$6, 0), FALSE),
            0
        ) +
        IFERROR(
            VLOOKUP($A60, INDIRECT("NovR!$A$6:$ZZ$1048576"), MATCH(K$1, NovR!$6:$6, 0), FALSE),
            0
        ) +
        IFERROR(
            VLOOKUP($A60, INDIRECT("DicR!$A$6:$ZZ$1048576"), MATCH(K$1, DicR!$6:$6, 0), FALSE),
            0
        )
)</f>
        <v>0</v>
      </c>
      <c r="L60" s="32">
        <f t="array" ref="L60">SUM(
    IFERROR(
            VLOOKUP($A60, INDIRECT("EneR!$A$6:$ZZ$1048576"), MATCH(L$1, EneR!$6:$6, 0), FALSE),
            0
        ) +
        IFERROR(
            VLOOKUP($A60, INDIRECT("FebR!$A$6:$ZZ$1048576"), MATCH(L$1, FebR!$6:$6, 0), FALSE),
            0
        ) +
        IFERROR(
            VLOOKUP($A60, INDIRECT("MarR!$A$6:$ZZ$1048576"), MATCH(L$1, MarR!$6:$6, 0), FALSE),
            0
        ) +
        IFERROR(
            VLOOKUP($A60, INDIRECT("AbrR!$A$6:$ZZ$1048576"), MATCH(L$1, AbrR!$6:$6, 0), FALSE),
            0
        ) +
        IFERROR(
            VLOOKUP($A60, INDIRECT("MayR!$A$6:$ZZ$1048576"), MATCH(L$1, MayR!$6:$6, 0), FALSE),
            0
        ) +
        IFERROR(
            VLOOKUP($A60, INDIRECT("JunR!$A$6:$ZZ$1048576"), MATCH(L$1, JunR!$6:$6, 0), FALSE),
            0
        ) +
        IFERROR(
            VLOOKUP($A60, INDIRECT("JulR!$A$6:$ZZ$1048576"), MATCH(L$1, JulR!$6:$6, 0), FALSE),
            0
        ) +
        IFERROR(
            VLOOKUP($A60, INDIRECT("AgoR!$A$6:$ZZ$1048576"), MATCH(L$1, AgoR!$6:$6, 0), FALSE),
            0
        ) +
        IFERROR(
            VLOOKUP($A60, INDIRECT("SepR!$A$6:$ZZ$1048576"), MATCH(L$1, SepR!$6:$6, 0), FALSE),
            0
        ) +
        IFERROR(
            VLOOKUP($A60, INDIRECT("OctR!$A$6:$ZZ$1048576"), MATCH(L$1, OctR!$6:$6, 0), FALSE),
            0
        ) +
        IFERROR(
            VLOOKUP($A60, INDIRECT("NovR!$A$6:$ZZ$1048576"), MATCH(L$1, NovR!$6:$6, 0), FALSE),
            0
        ) +
        IFERROR(
            VLOOKUP($A60, INDIRECT("DicR!$A$6:$ZZ$1048576"), MATCH(L$1, DicR!$6:$6, 0), FALSE),
            0
        )
)</f>
        <v>0</v>
      </c>
      <c r="M60" s="35">
        <f t="array" ref="M60">SUM(
    IFERROR(
            VLOOKUP($A60, INDIRECT("EneR!$A$6:$ZZ$1048576"), MATCH(M$1, EneR!$6:$6, 0), FALSE),
            0
        ) +
        IFERROR(
            VLOOKUP($A60, INDIRECT("FebR!$A$6:$ZZ$1048576"), MATCH(M$1, FebR!$6:$6, 0), FALSE),
            0
        ) +
        IFERROR(
            VLOOKUP($A60, INDIRECT("MarR!$A$6:$ZZ$1048576"), MATCH(M$1, MarR!$6:$6, 0), FALSE),
            0
        ) +
        IFERROR(
            VLOOKUP($A60, INDIRECT("AbrR!$A$6:$ZZ$1048576"), MATCH(M$1, AbrR!$6:$6, 0), FALSE),
            0
        ) +
        IFERROR(
            VLOOKUP($A60, INDIRECT("MayR!$A$6:$ZZ$1048576"), MATCH(M$1, MayR!$6:$6, 0), FALSE),
            0
        ) +
        IFERROR(
            VLOOKUP($A60, INDIRECT("JunR!$A$6:$ZZ$1048576"), MATCH(M$1, JunR!$6:$6, 0), FALSE),
            0
        ) +
        IFERROR(
            VLOOKUP($A60, INDIRECT("JulR!$A$6:$ZZ$1048576"), MATCH(M$1, JulR!$6:$6, 0), FALSE),
            0
        ) +
        IFERROR(
            VLOOKUP($A60, INDIRECT("AgoR!$A$6:$ZZ$1048576"), MATCH(M$1, AgoR!$6:$6, 0), FALSE),
            0
        ) +
        IFERROR(
            VLOOKUP($A60, INDIRECT("SepR!$A$6:$ZZ$1048576"), MATCH(M$1, SepR!$6:$6, 0), FALSE),
            0
        ) +
        IFERROR(
            VLOOKUP($A60, INDIRECT("OctR!$A$6:$ZZ$1048576"), MATCH(M$1, OctR!$6:$6, 0), FALSE),
            0
        ) +
        IFERROR(
            VLOOKUP($A60, INDIRECT("NovR!$A$6:$ZZ$1048576"), MATCH(M$1, NovR!$6:$6, 0), FALSE),
            0
        ) +
        IFERROR(
            VLOOKUP($A60, INDIRECT("DicR!$A$6:$ZZ$1048576"), MATCH(M$1, DicR!$6:$6, 0), FALSE),
            0
        )
)</f>
        <v>0</v>
      </c>
      <c r="N60" s="32">
        <f t="array" ref="N60">SUM(
    IFERROR(
            VLOOKUP($A60, INDIRECT("EneR!$A$6:$ZZ$1048576"), MATCH(N$1, EneR!$6:$6, 0), FALSE),
            0
        ) +
        IFERROR(
            VLOOKUP($A60, INDIRECT("FebR!$A$6:$ZZ$1048576"), MATCH(N$1, FebR!$6:$6, 0), FALSE),
            0
        ) +
        IFERROR(
            VLOOKUP($A60, INDIRECT("MarR!$A$6:$ZZ$1048576"), MATCH(N$1, MarR!$6:$6, 0), FALSE),
            0
        ) +
        IFERROR(
            VLOOKUP($A60, INDIRECT("AbrR!$A$6:$ZZ$1048576"), MATCH(N$1, AbrR!$6:$6, 0), FALSE),
            0
        ) +
        IFERROR(
            VLOOKUP($A60, INDIRECT("MayR!$A$6:$ZZ$1048576"), MATCH(N$1, MayR!$6:$6, 0), FALSE),
            0
        ) +
        IFERROR(
            VLOOKUP($A60, INDIRECT("JunR!$A$6:$ZZ$1048576"), MATCH(N$1, JunR!$6:$6, 0), FALSE),
            0
        ) +
        IFERROR(
            VLOOKUP($A60, INDIRECT("JulR!$A$6:$ZZ$1048576"), MATCH(N$1, JulR!$6:$6, 0), FALSE),
            0
        ) +
        IFERROR(
            VLOOKUP($A60, INDIRECT("AgoR!$A$6:$ZZ$1048576"), MATCH(N$1, AgoR!$6:$6, 0), FALSE),
            0
        ) +
        IFERROR(
            VLOOKUP($A60, INDIRECT("SepR!$A$6:$ZZ$1048576"), MATCH(N$1, SepR!$6:$6, 0), FALSE),
            0
        ) +
        IFERROR(
            VLOOKUP($A60, INDIRECT("OctR!$A$6:$ZZ$1048576"), MATCH(N$1, OctR!$6:$6, 0), FALSE),
            0
        ) +
        IFERROR(
            VLOOKUP($A60, INDIRECT("NovR!$A$6:$ZZ$1048576"), MATCH(N$1, NovR!$6:$6, 0), FALSE),
            0
        ) +
        IFERROR(
            VLOOKUP($A60, INDIRECT("DicR!$A$6:$ZZ$1048576"), MATCH(N$1, DicR!$6:$6, 0), FALSE),
            0
        )
)</f>
        <v>0</v>
      </c>
      <c r="O60" s="35">
        <f t="array" ref="O60">SUM(
    IFERROR(
            VLOOKUP($A60, INDIRECT("EneR!$A$6:$ZZ$1048576"), MATCH(O$1, EneR!$6:$6, 0), FALSE),
            0
        ) +
        IFERROR(
            VLOOKUP($A60, INDIRECT("FebR!$A$6:$ZZ$1048576"), MATCH(O$1, FebR!$6:$6, 0), FALSE),
            0
        ) +
        IFERROR(
            VLOOKUP($A60, INDIRECT("MarR!$A$6:$ZZ$1048576"), MATCH(O$1, MarR!$6:$6, 0), FALSE),
            0
        ) +
        IFERROR(
            VLOOKUP($A60, INDIRECT("AbrR!$A$6:$ZZ$1048576"), MATCH(O$1, AbrR!$6:$6, 0), FALSE),
            0
        ) +
        IFERROR(
            VLOOKUP($A60, INDIRECT("MayR!$A$6:$ZZ$1048576"), MATCH(O$1, MayR!$6:$6, 0), FALSE),
            0
        ) +
        IFERROR(
            VLOOKUP($A60, INDIRECT("JunR!$A$6:$ZZ$1048576"), MATCH(O$1, JunR!$6:$6, 0), FALSE),
            0
        ) +
        IFERROR(
            VLOOKUP($A60, INDIRECT("JulR!$A$6:$ZZ$1048576"), MATCH(O$1, JulR!$6:$6, 0), FALSE),
            0
        ) +
        IFERROR(
            VLOOKUP($A60, INDIRECT("AgoR!$A$6:$ZZ$1048576"), MATCH(O$1, AgoR!$6:$6, 0), FALSE),
            0
        ) +
        IFERROR(
            VLOOKUP($A60, INDIRECT("SepR!$A$6:$ZZ$1048576"), MATCH(O$1, SepR!$6:$6, 0), FALSE),
            0
        ) +
        IFERROR(
            VLOOKUP($A60, INDIRECT("OctR!$A$6:$ZZ$1048576"), MATCH(O$1, OctR!$6:$6, 0), FALSE),
            0
        ) +
        IFERROR(
            VLOOKUP($A60, INDIRECT("NovR!$A$6:$ZZ$1048576"), MATCH(O$1, NovR!$6:$6, 0), FALSE),
            0
        ) +
        IFERROR(
            VLOOKUP($A60, INDIRECT("DicR!$A$6:$ZZ$1048576"), MATCH(O$1, DicR!$6:$6, 0), FALSE),
            0
        )
)</f>
        <v>0</v>
      </c>
      <c r="P60" s="32">
        <f t="array" ref="P60">SUM(
    IFERROR(
            VLOOKUP($A60, INDIRECT("EneR!$A$6:$ZZ$1048576"), MATCH(P$1, EneR!$6:$6, 0), FALSE),
            0
        ) +
        IFERROR(
            VLOOKUP($A60, INDIRECT("FebR!$A$6:$ZZ$1048576"), MATCH(P$1, FebR!$6:$6, 0), FALSE),
            0
        ) +
        IFERROR(
            VLOOKUP($A60, INDIRECT("MarR!$A$6:$ZZ$1048576"), MATCH(P$1, MarR!$6:$6, 0), FALSE),
            0
        ) +
        IFERROR(
            VLOOKUP($A60, INDIRECT("AbrR!$A$6:$ZZ$1048576"), MATCH(P$1, AbrR!$6:$6, 0), FALSE),
            0
        ) +
        IFERROR(
            VLOOKUP($A60, INDIRECT("MayR!$A$6:$ZZ$1048576"), MATCH(P$1, MayR!$6:$6, 0), FALSE),
            0
        ) +
        IFERROR(
            VLOOKUP($A60, INDIRECT("JunR!$A$6:$ZZ$1048576"), MATCH(P$1, JunR!$6:$6, 0), FALSE),
            0
        ) +
        IFERROR(
            VLOOKUP($A60, INDIRECT("JulR!$A$6:$ZZ$1048576"), MATCH(P$1, JulR!$6:$6, 0), FALSE),
            0
        ) +
        IFERROR(
            VLOOKUP($A60, INDIRECT("AgoR!$A$6:$ZZ$1048576"), MATCH(P$1, AgoR!$6:$6, 0), FALSE),
            0
        ) +
        IFERROR(
            VLOOKUP($A60, INDIRECT("SepR!$A$6:$ZZ$1048576"), MATCH(P$1, SepR!$6:$6, 0), FALSE),
            0
        ) +
        IFERROR(
            VLOOKUP($A60, INDIRECT("OctR!$A$6:$ZZ$1048576"), MATCH(P$1, OctR!$6:$6, 0), FALSE),
            0
        ) +
        IFERROR(
            VLOOKUP($A60, INDIRECT("NovR!$A$6:$ZZ$1048576"), MATCH(P$1, NovR!$6:$6, 0), FALSE),
            0
        ) +
        IFERROR(
            VLOOKUP($A60, INDIRECT("DicR!$A$6:$ZZ$1048576"), MATCH(P$1, DicR!$6:$6, 0), FALSE),
            0
        )
)</f>
        <v>0</v>
      </c>
      <c r="Q60" s="35">
        <f t="array" ref="Q60">SUM(
    IFERROR(
            VLOOKUP($A60, INDIRECT("EneR!$A$6:$ZZ$1048576"), MATCH(Q$1, EneR!$6:$6, 0), FALSE),
            0
        ) +
        IFERROR(
            VLOOKUP($A60, INDIRECT("FebR!$A$6:$ZZ$1048576"), MATCH(Q$1, FebR!$6:$6, 0), FALSE),
            0
        ) +
        IFERROR(
            VLOOKUP($A60, INDIRECT("MarR!$A$6:$ZZ$1048576"), MATCH(Q$1, MarR!$6:$6, 0), FALSE),
            0
        ) +
        IFERROR(
            VLOOKUP($A60, INDIRECT("AbrR!$A$6:$ZZ$1048576"), MATCH(Q$1, AbrR!$6:$6, 0), FALSE),
            0
        ) +
        IFERROR(
            VLOOKUP($A60, INDIRECT("MayR!$A$6:$ZZ$1048576"), MATCH(Q$1, MayR!$6:$6, 0), FALSE),
            0
        ) +
        IFERROR(
            VLOOKUP($A60, INDIRECT("JunR!$A$6:$ZZ$1048576"), MATCH(Q$1, JunR!$6:$6, 0), FALSE),
            0
        ) +
        IFERROR(
            VLOOKUP($A60, INDIRECT("JulR!$A$6:$ZZ$1048576"), MATCH(Q$1, JulR!$6:$6, 0), FALSE),
            0
        ) +
        IFERROR(
            VLOOKUP($A60, INDIRECT("AgoR!$A$6:$ZZ$1048576"), MATCH(Q$1, AgoR!$6:$6, 0), FALSE),
            0
        ) +
        IFERROR(
            VLOOKUP($A60, INDIRECT("SepR!$A$6:$ZZ$1048576"), MATCH(Q$1, SepR!$6:$6, 0), FALSE),
            0
        ) +
        IFERROR(
            VLOOKUP($A60, INDIRECT("OctR!$A$6:$ZZ$1048576"), MATCH(Q$1, OctR!$6:$6, 0), FALSE),
            0
        ) +
        IFERROR(
            VLOOKUP($A60, INDIRECT("NovR!$A$6:$ZZ$1048576"), MATCH(Q$1, NovR!$6:$6, 0), FALSE),
            0
        ) +
        IFERROR(
            VLOOKUP($A60, INDIRECT("DicR!$A$6:$ZZ$1048576"), MATCH(Q$1, DicR!$6:$6, 0), FALSE),
            0
        )
)</f>
        <v>0</v>
      </c>
      <c r="R60" s="36">
        <f t="array" ref="R60">SUM(
    IFERROR(
            VLOOKUP($A60, INDIRECT("EneR!$A$6:$ZZ$1048576"), MATCH(R$1, EneR!$6:$6, 0), FALSE),
            0
        ) +
        IFERROR(
            VLOOKUP($A60, INDIRECT("FebR!$A$6:$ZZ$1048576"), MATCH(R$1, FebR!$6:$6, 0), FALSE),
            0
        ) +
        IFERROR(
            VLOOKUP($A60, INDIRECT("MarR!$A$6:$ZZ$1048576"), MATCH(R$1, MarR!$6:$6, 0), FALSE),
            0
        ) +
        IFERROR(
            VLOOKUP($A60, INDIRECT("AbrR!$A$6:$ZZ$1048576"), MATCH(R$1, AbrR!$6:$6, 0), FALSE),
            0
        ) +
        IFERROR(
            VLOOKUP($A60, INDIRECT("MayR!$A$6:$ZZ$1048576"), MATCH(R$1, MayR!$6:$6, 0), FALSE),
            0
        ) +
        IFERROR(
            VLOOKUP($A60, INDIRECT("JunR!$A$6:$ZZ$1048576"), MATCH(R$1, JunR!$6:$6, 0), FALSE),
            0
        ) +
        IFERROR(
            VLOOKUP($A60, INDIRECT("JulR!$A$6:$ZZ$1048576"), MATCH(R$1, JulR!$6:$6, 0), FALSE),
            0
        ) +
        IFERROR(
            VLOOKUP($A60, INDIRECT("AgoR!$A$6:$ZZ$1048576"), MATCH(R$1, AgoR!$6:$6, 0), FALSE),
            0
        ) +
        IFERROR(
            VLOOKUP($A60, INDIRECT("SepR!$A$6:$ZZ$1048576"), MATCH(R$1, SepR!$6:$6, 0), FALSE),
            0
        ) +
        IFERROR(
            VLOOKUP($A60, INDIRECT("OctR!$A$6:$ZZ$1048576"), MATCH(R$1, OctR!$6:$6, 0), FALSE),
            0
        ) +
        IFERROR(
            VLOOKUP($A60, INDIRECT("NovR!$A$6:$ZZ$1048576"), MATCH(R$1, NovR!$6:$6, 0), FALSE),
            0
        ) +
        IFERROR(
            VLOOKUP($A60, INDIRECT("DicR!$A$6:$ZZ$1048576"), MATCH(R$1, DicR!$6:$6, 0), FALSE),
            0
        )
)</f>
        <v>0</v>
      </c>
      <c r="S60" s="37">
        <f t="array" ref="S60">SUM(
    IFERROR(
            VLOOKUP($A60, INDIRECT("EneR!$A$6:$ZZ$1048576"), MATCH(S$1, EneR!$6:$6, 0), FALSE),
            0
        ) +
        IFERROR(
            VLOOKUP($A60, INDIRECT("FebR!$A$6:$ZZ$1048576"), MATCH(S$1, FebR!$6:$6, 0), FALSE),
            0
        ) +
        IFERROR(
            VLOOKUP($A60, INDIRECT("MarR!$A$6:$ZZ$1048576"), MATCH(S$1, MarR!$6:$6, 0), FALSE),
            0
        ) +
        IFERROR(
            VLOOKUP($A60, INDIRECT("AbrR!$A$6:$ZZ$1048576"), MATCH(S$1, AbrR!$6:$6, 0), FALSE),
            0
        ) +
        IFERROR(
            VLOOKUP($A60, INDIRECT("MayR!$A$6:$ZZ$1048576"), MATCH(S$1, MayR!$6:$6, 0), FALSE),
            0
        ) +
        IFERROR(
            VLOOKUP($A60, INDIRECT("JunR!$A$6:$ZZ$1048576"), MATCH(S$1, JunR!$6:$6, 0), FALSE),
            0
        ) +
        IFERROR(
            VLOOKUP($A60, INDIRECT("JulR!$A$6:$ZZ$1048576"), MATCH(S$1, JulR!$6:$6, 0), FALSE),
            0
        ) +
        IFERROR(
            VLOOKUP($A60, INDIRECT("AgoR!$A$6:$ZZ$1048576"), MATCH(S$1, AgoR!$6:$6, 0), FALSE),
            0
        ) +
        IFERROR(
            VLOOKUP($A60, INDIRECT("SepR!$A$6:$ZZ$1048576"), MATCH(S$1, SepR!$6:$6, 0), FALSE),
            0
        ) +
        IFERROR(
            VLOOKUP($A60, INDIRECT("OctR!$A$6:$ZZ$1048576"), MATCH(S$1, OctR!$6:$6, 0), FALSE),
            0
        ) +
        IFERROR(
            VLOOKUP($A60, INDIRECT("NovR!$A$6:$ZZ$1048576"), MATCH(S$1, NovR!$6:$6, 0), FALSE),
            0
        ) +
        IFERROR(
            VLOOKUP($A60, INDIRECT("DicR!$A$6:$ZZ$1048576"), MATCH(S$1, DicR!$6:$6, 0), FALSE),
            0
        )
)</f>
        <v>0</v>
      </c>
      <c r="T60" s="36">
        <f t="array" ref="T60">SUM(
    IFERROR(
            VLOOKUP($A60, INDIRECT("EneR!$A$6:$ZZ$1048576"), MATCH(T$1, EneR!$6:$6, 0), FALSE),
            0
        ) +
        IFERROR(
            VLOOKUP($A60, INDIRECT("FebR!$A$6:$ZZ$1048576"), MATCH(T$1, FebR!$6:$6, 0), FALSE),
            0
        ) +
        IFERROR(
            VLOOKUP($A60, INDIRECT("MarR!$A$6:$ZZ$1048576"), MATCH(T$1, MarR!$6:$6, 0), FALSE),
            0
        ) +
        IFERROR(
            VLOOKUP($A60, INDIRECT("AbrR!$A$6:$ZZ$1048576"), MATCH(T$1, AbrR!$6:$6, 0), FALSE),
            0
        ) +
        IFERROR(
            VLOOKUP($A60, INDIRECT("MayR!$A$6:$ZZ$1048576"), MATCH(T$1, MayR!$6:$6, 0), FALSE),
            0
        ) +
        IFERROR(
            VLOOKUP($A60, INDIRECT("JunR!$A$6:$ZZ$1048576"), MATCH(T$1, JunR!$6:$6, 0), FALSE),
            0
        ) +
        IFERROR(
            VLOOKUP($A60, INDIRECT("JulR!$A$6:$ZZ$1048576"), MATCH(T$1, JulR!$6:$6, 0), FALSE),
            0
        ) +
        IFERROR(
            VLOOKUP($A60, INDIRECT("AgoR!$A$6:$ZZ$1048576"), MATCH(T$1, AgoR!$6:$6, 0), FALSE),
            0
        ) +
        IFERROR(
            VLOOKUP($A60, INDIRECT("SepR!$A$6:$ZZ$1048576"), MATCH(T$1, SepR!$6:$6, 0), FALSE),
            0
        ) +
        IFERROR(
            VLOOKUP($A60, INDIRECT("OctR!$A$6:$ZZ$1048576"), MATCH(T$1, OctR!$6:$6, 0), FALSE),
            0
        ) +
        IFERROR(
            VLOOKUP($A60, INDIRECT("NovR!$A$6:$ZZ$1048576"), MATCH(T$1, NovR!$6:$6, 0), FALSE),
            0
        ) +
        IFERROR(
            VLOOKUP($A60, INDIRECT("DicR!$A$6:$ZZ$1048576"), MATCH(T$1, DicR!$6:$6, 0), FALSE),
            0
        )
)</f>
        <v>0</v>
      </c>
      <c r="U60" s="37">
        <f t="array" ref="U60">SUM(
    IFERROR(
            VLOOKUP($A60, INDIRECT("EneR!$A$6:$ZZ$1048576"), MATCH(U$1, EneR!$6:$6, 0), FALSE),
            0
        ) +
        IFERROR(
            VLOOKUP($A60, INDIRECT("FebR!$A$6:$ZZ$1048576"), MATCH(U$1, FebR!$6:$6, 0), FALSE),
            0
        ) +
        IFERROR(
            VLOOKUP($A60, INDIRECT("MarR!$A$6:$ZZ$1048576"), MATCH(U$1, MarR!$6:$6, 0), FALSE),
            0
        ) +
        IFERROR(
            VLOOKUP($A60, INDIRECT("AbrR!$A$6:$ZZ$1048576"), MATCH(U$1, AbrR!$6:$6, 0), FALSE),
            0
        ) +
        IFERROR(
            VLOOKUP($A60, INDIRECT("MayR!$A$6:$ZZ$1048576"), MATCH(U$1, MayR!$6:$6, 0), FALSE),
            0
        ) +
        IFERROR(
            VLOOKUP($A60, INDIRECT("JunR!$A$6:$ZZ$1048576"), MATCH(U$1, JunR!$6:$6, 0), FALSE),
            0
        ) +
        IFERROR(
            VLOOKUP($A60, INDIRECT("JulR!$A$6:$ZZ$1048576"), MATCH(U$1, JulR!$6:$6, 0), FALSE),
            0
        ) +
        IFERROR(
            VLOOKUP($A60, INDIRECT("AgoR!$A$6:$ZZ$1048576"), MATCH(U$1, AgoR!$6:$6, 0), FALSE),
            0
        ) +
        IFERROR(
            VLOOKUP($A60, INDIRECT("SepR!$A$6:$ZZ$1048576"), MATCH(U$1, SepR!$6:$6, 0), FALSE),
            0
        ) +
        IFERROR(
            VLOOKUP($A60, INDIRECT("OctR!$A$6:$ZZ$1048576"), MATCH(U$1, OctR!$6:$6, 0), FALSE),
            0
        ) +
        IFERROR(
            VLOOKUP($A60, INDIRECT("NovR!$A$6:$ZZ$1048576"), MATCH(U$1, NovR!$6:$6, 0), FALSE),
            0
        ) +
        IFERROR(
            VLOOKUP($A60, INDIRECT("DicR!$A$6:$ZZ$1048576"), MATCH(U$1, DicR!$6:$6, 0), FALSE),
            0
        )
)</f>
        <v>0</v>
      </c>
      <c r="V60" s="36">
        <f t="array" ref="V60">SUM(
    IFERROR(
            VLOOKUP($A60, INDIRECT("EneR!$A$6:$ZZ$1048576"), MATCH(V$1, EneR!$6:$6, 0), FALSE),
            0
        ) +
        IFERROR(
            VLOOKUP($A60, INDIRECT("FebR!$A$6:$ZZ$1048576"), MATCH(V$1, FebR!$6:$6, 0), FALSE),
            0
        ) +
        IFERROR(
            VLOOKUP($A60, INDIRECT("MarR!$A$6:$ZZ$1048576"), MATCH(V$1, MarR!$6:$6, 0), FALSE),
            0
        ) +
        IFERROR(
            VLOOKUP($A60, INDIRECT("AbrR!$A$6:$ZZ$1048576"), MATCH(V$1, AbrR!$6:$6, 0), FALSE),
            0
        ) +
        IFERROR(
            VLOOKUP($A60, INDIRECT("MayR!$A$6:$ZZ$1048576"), MATCH(V$1, MayR!$6:$6, 0), FALSE),
            0
        ) +
        IFERROR(
            VLOOKUP($A60, INDIRECT("JunR!$A$6:$ZZ$1048576"), MATCH(V$1, JunR!$6:$6, 0), FALSE),
            0
        ) +
        IFERROR(
            VLOOKUP($A60, INDIRECT("JulR!$A$6:$ZZ$1048576"), MATCH(V$1, JulR!$6:$6, 0), FALSE),
            0
        ) +
        IFERROR(
            VLOOKUP($A60, INDIRECT("AgoR!$A$6:$ZZ$1048576"), MATCH(V$1, AgoR!$6:$6, 0), FALSE),
            0
        ) +
        IFERROR(
            VLOOKUP($A60, INDIRECT("SepR!$A$6:$ZZ$1048576"), MATCH(V$1, SepR!$6:$6, 0), FALSE),
            0
        ) +
        IFERROR(
            VLOOKUP($A60, INDIRECT("OctR!$A$6:$ZZ$1048576"), MATCH(V$1, OctR!$6:$6, 0), FALSE),
            0
        ) +
        IFERROR(
            VLOOKUP($A60, INDIRECT("NovR!$A$6:$ZZ$1048576"), MATCH(V$1, NovR!$6:$6, 0), FALSE),
            0
        ) +
        IFERROR(
            VLOOKUP($A60, INDIRECT("DicR!$A$6:$ZZ$1048576"), MATCH(V$1, DicR!$6:$6, 0), FALSE),
            0
        )
)</f>
        <v>0</v>
      </c>
      <c r="W60" s="37">
        <f t="array" ref="W60">SUM(
    IFERROR(
            VLOOKUP($A60, INDIRECT("EneR!$A$6:$ZZ$1048576"), MATCH(W$1, EneR!$6:$6, 0), FALSE),
            0
        ) +
        IFERROR(
            VLOOKUP($A60, INDIRECT("FebR!$A$6:$ZZ$1048576"), MATCH(W$1, FebR!$6:$6, 0), FALSE),
            0
        ) +
        IFERROR(
            VLOOKUP($A60, INDIRECT("MarR!$A$6:$ZZ$1048576"), MATCH(W$1, MarR!$6:$6, 0), FALSE),
            0
        ) +
        IFERROR(
            VLOOKUP($A60, INDIRECT("AbrR!$A$6:$ZZ$1048576"), MATCH(W$1, AbrR!$6:$6, 0), FALSE),
            0
        ) +
        IFERROR(
            VLOOKUP($A60, INDIRECT("MayR!$A$6:$ZZ$1048576"), MATCH(W$1, MayR!$6:$6, 0), FALSE),
            0
        ) +
        IFERROR(
            VLOOKUP($A60, INDIRECT("JunR!$A$6:$ZZ$1048576"), MATCH(W$1, JunR!$6:$6, 0), FALSE),
            0
        ) +
        IFERROR(
            VLOOKUP($A60, INDIRECT("JulR!$A$6:$ZZ$1048576"), MATCH(W$1, JulR!$6:$6, 0), FALSE),
            0
        ) +
        IFERROR(
            VLOOKUP($A60, INDIRECT("AgoR!$A$6:$ZZ$1048576"), MATCH(W$1, AgoR!$6:$6, 0), FALSE),
            0
        ) +
        IFERROR(
            VLOOKUP($A60, INDIRECT("SepR!$A$6:$ZZ$1048576"), MATCH(W$1, SepR!$6:$6, 0), FALSE),
            0
        ) +
        IFERROR(
            VLOOKUP($A60, INDIRECT("OctR!$A$6:$ZZ$1048576"), MATCH(W$1, OctR!$6:$6, 0), FALSE),
            0
        ) +
        IFERROR(
            VLOOKUP($A60, INDIRECT("NovR!$A$6:$ZZ$1048576"), MATCH(W$1, NovR!$6:$6, 0), FALSE),
            0
        ) +
        IFERROR(
            VLOOKUP($A60, INDIRECT("DicR!$A$6:$ZZ$1048576"), MATCH(W$1, DicR!$6:$6, 0), FALSE),
            0
        )
)</f>
        <v>0</v>
      </c>
      <c r="X60" s="36">
        <f t="array" ref="X60">SUM(
    IFERROR(
            VLOOKUP($A60, INDIRECT("EneR!$A$6:$ZZ$1048576"), MATCH(X$1, EneR!$6:$6, 0), FALSE),
            0
        ) +
        IFERROR(
            VLOOKUP($A60, INDIRECT("FebR!$A$6:$ZZ$1048576"), MATCH(X$1, FebR!$6:$6, 0), FALSE),
            0
        ) +
        IFERROR(
            VLOOKUP($A60, INDIRECT("MarR!$A$6:$ZZ$1048576"), MATCH(X$1, MarR!$6:$6, 0), FALSE),
            0
        ) +
        IFERROR(
            VLOOKUP($A60, INDIRECT("AbrR!$A$6:$ZZ$1048576"), MATCH(X$1, AbrR!$6:$6, 0), FALSE),
            0
        ) +
        IFERROR(
            VLOOKUP($A60, INDIRECT("MayR!$A$6:$ZZ$1048576"), MATCH(X$1, MayR!$6:$6, 0), FALSE),
            0
        ) +
        IFERROR(
            VLOOKUP($A60, INDIRECT("JunR!$A$6:$ZZ$1048576"), MATCH(X$1, JunR!$6:$6, 0), FALSE),
            0
        ) +
        IFERROR(
            VLOOKUP($A60, INDIRECT("JulR!$A$6:$ZZ$1048576"), MATCH(X$1, JulR!$6:$6, 0), FALSE),
            0
        ) +
        IFERROR(
            VLOOKUP($A60, INDIRECT("AgoR!$A$6:$ZZ$1048576"), MATCH(X$1, AgoR!$6:$6, 0), FALSE),
            0
        ) +
        IFERROR(
            VLOOKUP($A60, INDIRECT("SepR!$A$6:$ZZ$1048576"), MATCH(X$1, SepR!$6:$6, 0), FALSE),
            0
        ) +
        IFERROR(
            VLOOKUP($A60, INDIRECT("OctR!$A$6:$ZZ$1048576"), MATCH(X$1, OctR!$6:$6, 0), FALSE),
            0
        ) +
        IFERROR(
            VLOOKUP($A60, INDIRECT("NovR!$A$6:$ZZ$1048576"), MATCH(X$1, NovR!$6:$6, 0), FALSE),
            0
        ) +
        IFERROR(
            VLOOKUP($A60, INDIRECT("DicR!$A$6:$ZZ$1048576"), MATCH(X$1, DicR!$6:$6, 0), FALSE),
            0
        )
)</f>
        <v>0</v>
      </c>
      <c r="Y60" s="37">
        <f t="array" ref="Y60">SUM(
    IFERROR(
            VLOOKUP($A60, INDIRECT("EneR!$A$6:$ZZ$1048576"), MATCH(Y$1, EneR!$6:$6, 0), FALSE),
            0
        ) +
        IFERROR(
            VLOOKUP($A60, INDIRECT("FebR!$A$6:$ZZ$1048576"), MATCH(Y$1, FebR!$6:$6, 0), FALSE),
            0
        ) +
        IFERROR(
            VLOOKUP($A60, INDIRECT("MarR!$A$6:$ZZ$1048576"), MATCH(Y$1, MarR!$6:$6, 0), FALSE),
            0
        ) +
        IFERROR(
            VLOOKUP($A60, INDIRECT("AbrR!$A$6:$ZZ$1048576"), MATCH(Y$1, AbrR!$6:$6, 0), FALSE),
            0
        ) +
        IFERROR(
            VLOOKUP($A60, INDIRECT("MayR!$A$6:$ZZ$1048576"), MATCH(Y$1, MayR!$6:$6, 0), FALSE),
            0
        ) +
        IFERROR(
            VLOOKUP($A60, INDIRECT("JunR!$A$6:$ZZ$1048576"), MATCH(Y$1, JunR!$6:$6, 0), FALSE),
            0
        ) +
        IFERROR(
            VLOOKUP($A60, INDIRECT("JulR!$A$6:$ZZ$1048576"), MATCH(Y$1, JulR!$6:$6, 0), FALSE),
            0
        ) +
        IFERROR(
            VLOOKUP($A60, INDIRECT("AgoR!$A$6:$ZZ$1048576"), MATCH(Y$1, AgoR!$6:$6, 0), FALSE),
            0
        ) +
        IFERROR(
            VLOOKUP($A60, INDIRECT("SepR!$A$6:$ZZ$1048576"), MATCH(Y$1, SepR!$6:$6, 0), FALSE),
            0
        ) +
        IFERROR(
            VLOOKUP($A60, INDIRECT("OctR!$A$6:$ZZ$1048576"), MATCH(Y$1, OctR!$6:$6, 0), FALSE),
            0
        ) +
        IFERROR(
            VLOOKUP($A60, INDIRECT("NovR!$A$6:$ZZ$1048576"), MATCH(Y$1, NovR!$6:$6, 0), FALSE),
            0
        ) +
        IFERROR(
            VLOOKUP($A60, INDIRECT("DicR!$A$6:$ZZ$1048576"), MATCH(Y$1, DicR!$6:$6, 0), FALSE),
            0
        )
)</f>
        <v>0</v>
      </c>
      <c r="Z60" s="36">
        <f t="array" ref="Z60">SUM(
    IFERROR(
            VLOOKUP($A60, INDIRECT("EneR!$A$6:$ZZ$1048576"), MATCH(Z$1, EneR!$6:$6, 0), FALSE),
            0
        ) +
        IFERROR(
            VLOOKUP($A60, INDIRECT("FebR!$A$6:$ZZ$1048576"), MATCH(Z$1, FebR!$6:$6, 0), FALSE),
            0
        ) +
        IFERROR(
            VLOOKUP($A60, INDIRECT("MarR!$A$6:$ZZ$1048576"), MATCH(Z$1, MarR!$6:$6, 0), FALSE),
            0
        ) +
        IFERROR(
            VLOOKUP($A60, INDIRECT("AbrR!$A$6:$ZZ$1048576"), MATCH(Z$1, AbrR!$6:$6, 0), FALSE),
            0
        ) +
        IFERROR(
            VLOOKUP($A60, INDIRECT("MayR!$A$6:$ZZ$1048576"), MATCH(Z$1, MayR!$6:$6, 0), FALSE),
            0
        ) +
        IFERROR(
            VLOOKUP($A60, INDIRECT("JunR!$A$6:$ZZ$1048576"), MATCH(Z$1, JunR!$6:$6, 0), FALSE),
            0
        ) +
        IFERROR(
            VLOOKUP($A60, INDIRECT("JulR!$A$6:$ZZ$1048576"), MATCH(Z$1, JulR!$6:$6, 0), FALSE),
            0
        ) +
        IFERROR(
            VLOOKUP($A60, INDIRECT("AgoR!$A$6:$ZZ$1048576"), MATCH(Z$1, AgoR!$6:$6, 0), FALSE),
            0
        ) +
        IFERROR(
            VLOOKUP($A60, INDIRECT("SepR!$A$6:$ZZ$1048576"), MATCH(Z$1, SepR!$6:$6, 0), FALSE),
            0
        ) +
        IFERROR(
            VLOOKUP($A60, INDIRECT("OctR!$A$6:$ZZ$1048576"), MATCH(Z$1, OctR!$6:$6, 0), FALSE),
            0
        ) +
        IFERROR(
            VLOOKUP($A60, INDIRECT("NovR!$A$6:$ZZ$1048576"), MATCH(Z$1, NovR!$6:$6, 0), FALSE),
            0
        ) +
        IFERROR(
            VLOOKUP($A60, INDIRECT("DicR!$A$6:$ZZ$1048576"), MATCH(Z$1, DicR!$6:$6, 0), FALSE),
            0
        )
)</f>
        <v>0</v>
      </c>
      <c r="AA60" s="37">
        <f t="array" ref="AA60">SUM(
    IFERROR(
            VLOOKUP($A60, INDIRECT("EneR!$A$6:$ZZ$1048576"), MATCH(AA$1, EneR!$6:$6, 0), FALSE),
            0
        ) +
        IFERROR(
            VLOOKUP($A60, INDIRECT("FebR!$A$6:$ZZ$1048576"), MATCH(AA$1, FebR!$6:$6, 0), FALSE),
            0
        ) +
        IFERROR(
            VLOOKUP($A60, INDIRECT("MarR!$A$6:$ZZ$1048576"), MATCH(AA$1, MarR!$6:$6, 0), FALSE),
            0
        ) +
        IFERROR(
            VLOOKUP($A60, INDIRECT("AbrR!$A$6:$ZZ$1048576"), MATCH(AA$1, AbrR!$6:$6, 0), FALSE),
            0
        ) +
        IFERROR(
            VLOOKUP($A60, INDIRECT("MayR!$A$6:$ZZ$1048576"), MATCH(AA$1, MayR!$6:$6, 0), FALSE),
            0
        ) +
        IFERROR(
            VLOOKUP($A60, INDIRECT("JunR!$A$6:$ZZ$1048576"), MATCH(AA$1, JunR!$6:$6, 0), FALSE),
            0
        ) +
        IFERROR(
            VLOOKUP($A60, INDIRECT("JulR!$A$6:$ZZ$1048576"), MATCH(AA$1, JulR!$6:$6, 0), FALSE),
            0
        ) +
        IFERROR(
            VLOOKUP($A60, INDIRECT("AgoR!$A$6:$ZZ$1048576"), MATCH(AA$1, AgoR!$6:$6, 0), FALSE),
            0
        ) +
        IFERROR(
            VLOOKUP($A60, INDIRECT("SepR!$A$6:$ZZ$1048576"), MATCH(AA$1, SepR!$6:$6, 0), FALSE),
            0
        ) +
        IFERROR(
            VLOOKUP($A60, INDIRECT("OctR!$A$6:$ZZ$1048576"), MATCH(AA$1, OctR!$6:$6, 0), FALSE),
            0
        ) +
        IFERROR(
            VLOOKUP($A60, INDIRECT("NovR!$A$6:$ZZ$1048576"), MATCH(AA$1, NovR!$6:$6, 0), FALSE),
            0
        ) +
        IFERROR(
            VLOOKUP($A60, INDIRECT("DicR!$A$6:$ZZ$1048576"), MATCH(AA$1, DicR!$6:$6, 0), FALSE),
            0
        )
)</f>
        <v>0</v>
      </c>
      <c r="AB60" s="36">
        <f t="array" ref="AB60">SUM(
    IFERROR(
            VLOOKUP($A60, INDIRECT("EneR!$A$6:$ZZ$1048576"), MATCH(AB$1, EneR!$6:$6, 0), FALSE),
            0
        ) +
        IFERROR(
            VLOOKUP($A60, INDIRECT("FebR!$A$6:$ZZ$1048576"), MATCH(AB$1, FebR!$6:$6, 0), FALSE),
            0
        ) +
        IFERROR(
            VLOOKUP($A60, INDIRECT("MarR!$A$6:$ZZ$1048576"), MATCH(AB$1, MarR!$6:$6, 0), FALSE),
            0
        ) +
        IFERROR(
            VLOOKUP($A60, INDIRECT("AbrR!$A$6:$ZZ$1048576"), MATCH(AB$1, AbrR!$6:$6, 0), FALSE),
            0
        ) +
        IFERROR(
            VLOOKUP($A60, INDIRECT("MayR!$A$6:$ZZ$1048576"), MATCH(AB$1, MayR!$6:$6, 0), FALSE),
            0
        ) +
        IFERROR(
            VLOOKUP($A60, INDIRECT("JunR!$A$6:$ZZ$1048576"), MATCH(AB$1, JunR!$6:$6, 0), FALSE),
            0
        ) +
        IFERROR(
            VLOOKUP($A60, INDIRECT("JulR!$A$6:$ZZ$1048576"), MATCH(AB$1, JulR!$6:$6, 0), FALSE),
            0
        ) +
        IFERROR(
            VLOOKUP($A60, INDIRECT("AgoR!$A$6:$ZZ$1048576"), MATCH(AB$1, AgoR!$6:$6, 0), FALSE),
            0
        ) +
        IFERROR(
            VLOOKUP($A60, INDIRECT("SepR!$A$6:$ZZ$1048576"), MATCH(AB$1, SepR!$6:$6, 0), FALSE),
            0
        ) +
        IFERROR(
            VLOOKUP($A60, INDIRECT("OctR!$A$6:$ZZ$1048576"), MATCH(AB$1, OctR!$6:$6, 0), FALSE),
            0
        ) +
        IFERROR(
            VLOOKUP($A60, INDIRECT("NovR!$A$6:$ZZ$1048576"), MATCH(AB$1, NovR!$6:$6, 0), FALSE),
            0
        ) +
        IFERROR(
            VLOOKUP($A60, INDIRECT("DicR!$A$6:$ZZ$1048576"), MATCH(AB$1, DicR!$6:$6, 0), FALSE),
            0
        )
)</f>
        <v>0</v>
      </c>
      <c r="AC60" s="37">
        <f t="array" ref="AC60">SUM(
    IFERROR(
            VLOOKUP($A60, INDIRECT("EneR!$A$6:$ZZ$1048576"), MATCH(AC$1, EneR!$6:$6, 0), FALSE),
            0
        ) +
        IFERROR(
            VLOOKUP($A60, INDIRECT("FebR!$A$6:$ZZ$1048576"), MATCH(AC$1, FebR!$6:$6, 0), FALSE),
            0
        ) +
        IFERROR(
            VLOOKUP($A60, INDIRECT("MarR!$A$6:$ZZ$1048576"), MATCH(AC$1, MarR!$6:$6, 0), FALSE),
            0
        ) +
        IFERROR(
            VLOOKUP($A60, INDIRECT("AbrR!$A$6:$ZZ$1048576"), MATCH(AC$1, AbrR!$6:$6, 0), FALSE),
            0
        ) +
        IFERROR(
            VLOOKUP($A60, INDIRECT("MayR!$A$6:$ZZ$1048576"), MATCH(AC$1, MayR!$6:$6, 0), FALSE),
            0
        ) +
        IFERROR(
            VLOOKUP($A60, INDIRECT("JunR!$A$6:$ZZ$1048576"), MATCH(AC$1, JunR!$6:$6, 0), FALSE),
            0
        ) +
        IFERROR(
            VLOOKUP($A60, INDIRECT("JulR!$A$6:$ZZ$1048576"), MATCH(AC$1, JulR!$6:$6, 0), FALSE),
            0
        ) +
        IFERROR(
            VLOOKUP($A60, INDIRECT("AgoR!$A$6:$ZZ$1048576"), MATCH(AC$1, AgoR!$6:$6, 0), FALSE),
            0
        ) +
        IFERROR(
            VLOOKUP($A60, INDIRECT("SepR!$A$6:$ZZ$1048576"), MATCH(AC$1, SepR!$6:$6, 0), FALSE),
            0
        ) +
        IFERROR(
            VLOOKUP($A60, INDIRECT("OctR!$A$6:$ZZ$1048576"), MATCH(AC$1, OctR!$6:$6, 0), FALSE),
            0
        ) +
        IFERROR(
            VLOOKUP($A60, INDIRECT("NovR!$A$6:$ZZ$1048576"), MATCH(AC$1, NovR!$6:$6, 0), FALSE),
            0
        ) +
        IFERROR(
            VLOOKUP($A60, INDIRECT("DicR!$A$6:$ZZ$1048576"), MATCH(AC$1, DicR!$6:$6, 0), FALSE),
            0
        )
)</f>
        <v>0</v>
      </c>
      <c r="AD60" s="36">
        <f t="array" ref="AD60">SUM(
    IFERROR(
            VLOOKUP($A60, INDIRECT("EneR!$A$6:$ZZ$1048576"), MATCH(AD$1, EneR!$6:$6, 0), FALSE),
            0
        ) +
        IFERROR(
            VLOOKUP($A60, INDIRECT("FebR!$A$6:$ZZ$1048576"), MATCH(AD$1, FebR!$6:$6, 0), FALSE),
            0
        ) +
        IFERROR(
            VLOOKUP($A60, INDIRECT("MarR!$A$6:$ZZ$1048576"), MATCH(AD$1, MarR!$6:$6, 0), FALSE),
            0
        ) +
        IFERROR(
            VLOOKUP($A60, INDIRECT("AbrR!$A$6:$ZZ$1048576"), MATCH(AD$1, AbrR!$6:$6, 0), FALSE),
            0
        ) +
        IFERROR(
            VLOOKUP($A60, INDIRECT("MayR!$A$6:$ZZ$1048576"), MATCH(AD$1, MayR!$6:$6, 0), FALSE),
            0
        ) +
        IFERROR(
            VLOOKUP($A60, INDIRECT("JunR!$A$6:$ZZ$1048576"), MATCH(AD$1, JunR!$6:$6, 0), FALSE),
            0
        ) +
        IFERROR(
            VLOOKUP($A60, INDIRECT("JulR!$A$6:$ZZ$1048576"), MATCH(AD$1, JulR!$6:$6, 0), FALSE),
            0
        ) +
        IFERROR(
            VLOOKUP($A60, INDIRECT("AgoR!$A$6:$ZZ$1048576"), MATCH(AD$1, AgoR!$6:$6, 0), FALSE),
            0
        ) +
        IFERROR(
            VLOOKUP($A60, INDIRECT("SepR!$A$6:$ZZ$1048576"), MATCH(AD$1, SepR!$6:$6, 0), FALSE),
            0
        ) +
        IFERROR(
            VLOOKUP($A60, INDIRECT("OctR!$A$6:$ZZ$1048576"), MATCH(AD$1, OctR!$6:$6, 0), FALSE),
            0
        ) +
        IFERROR(
            VLOOKUP($A60, INDIRECT("NovR!$A$6:$ZZ$1048576"), MATCH(AD$1, NovR!$6:$6, 0), FALSE),
            0
        ) +
        IFERROR(
            VLOOKUP($A60, INDIRECT("DicR!$A$6:$ZZ$1048576"), MATCH(AD$1, DicR!$6:$6, 0), FALSE),
            0
        )
)</f>
        <v>0</v>
      </c>
      <c r="AE60" s="37">
        <f t="array" ref="AE60">SUM(
    IFERROR(
            VLOOKUP($A60, INDIRECT("EneR!$A$6:$ZZ$1048576"), MATCH(AE$1, EneR!$6:$6, 0), FALSE),
            0
        ) +
        IFERROR(
            VLOOKUP($A60, INDIRECT("FebR!$A$6:$ZZ$1048576"), MATCH(AE$1, FebR!$6:$6, 0), FALSE),
            0
        ) +
        IFERROR(
            VLOOKUP($A60, INDIRECT("MarR!$A$6:$ZZ$1048576"), MATCH(AE$1, MarR!$6:$6, 0), FALSE),
            0
        ) +
        IFERROR(
            VLOOKUP($A60, INDIRECT("AbrR!$A$6:$ZZ$1048576"), MATCH(AE$1, AbrR!$6:$6, 0), FALSE),
            0
        ) +
        IFERROR(
            VLOOKUP($A60, INDIRECT("MayR!$A$6:$ZZ$1048576"), MATCH(AE$1, MayR!$6:$6, 0), FALSE),
            0
        ) +
        IFERROR(
            VLOOKUP($A60, INDIRECT("JunR!$A$6:$ZZ$1048576"), MATCH(AE$1, JunR!$6:$6, 0), FALSE),
            0
        ) +
        IFERROR(
            VLOOKUP($A60, INDIRECT("JulR!$A$6:$ZZ$1048576"), MATCH(AE$1, JulR!$6:$6, 0), FALSE),
            0
        ) +
        IFERROR(
            VLOOKUP($A60, INDIRECT("AgoR!$A$6:$ZZ$1048576"), MATCH(AE$1, AgoR!$6:$6, 0), FALSE),
            0
        ) +
        IFERROR(
            VLOOKUP($A60, INDIRECT("SepR!$A$6:$ZZ$1048576"), MATCH(AE$1, SepR!$6:$6, 0), FALSE),
            0
        ) +
        IFERROR(
            VLOOKUP($A60, INDIRECT("OctR!$A$6:$ZZ$1048576"), MATCH(AE$1, OctR!$6:$6, 0), FALSE),
            0
        ) +
        IFERROR(
            VLOOKUP($A60, INDIRECT("NovR!$A$6:$ZZ$1048576"), MATCH(AE$1, NovR!$6:$6, 0), FALSE),
            0
        ) +
        IFERROR(
            VLOOKUP($A60, INDIRECT("DicR!$A$6:$ZZ$1048576"), MATCH(AE$1, DicR!$6:$6, 0), FALSE),
            0
        )
)</f>
        <v>0</v>
      </c>
      <c r="AF60" s="36">
        <f t="array" ref="AF60">SUM(
    IFERROR(
            VLOOKUP($A60, INDIRECT("EneR!$A$6:$ZZ$1048576"), MATCH(AF$1, EneR!$6:$6, 0), FALSE),
            0
        ) +
        IFERROR(
            VLOOKUP($A60, INDIRECT("FebR!$A$6:$ZZ$1048576"), MATCH(AF$1, FebR!$6:$6, 0), FALSE),
            0
        ) +
        IFERROR(
            VLOOKUP($A60, INDIRECT("MarR!$A$6:$ZZ$1048576"), MATCH(AF$1, MarR!$6:$6, 0), FALSE),
            0
        ) +
        IFERROR(
            VLOOKUP($A60, INDIRECT("AbrR!$A$6:$ZZ$1048576"), MATCH(AF$1, AbrR!$6:$6, 0), FALSE),
            0
        ) +
        IFERROR(
            VLOOKUP($A60, INDIRECT("MayR!$A$6:$ZZ$1048576"), MATCH(AF$1, MayR!$6:$6, 0), FALSE),
            0
        ) +
        IFERROR(
            VLOOKUP($A60, INDIRECT("JunR!$A$6:$ZZ$1048576"), MATCH(AF$1, JunR!$6:$6, 0), FALSE),
            0
        ) +
        IFERROR(
            VLOOKUP($A60, INDIRECT("JulR!$A$6:$ZZ$1048576"), MATCH(AF$1, JulR!$6:$6, 0), FALSE),
            0
        ) +
        IFERROR(
            VLOOKUP($A60, INDIRECT("AgoR!$A$6:$ZZ$1048576"), MATCH(AF$1, AgoR!$6:$6, 0), FALSE),
            0
        ) +
        IFERROR(
            VLOOKUP($A60, INDIRECT("SepR!$A$6:$ZZ$1048576"), MATCH(AF$1, SepR!$6:$6, 0), FALSE),
            0
        ) +
        IFERROR(
            VLOOKUP($A60, INDIRECT("OctR!$A$6:$ZZ$1048576"), MATCH(AF$1, OctR!$6:$6, 0), FALSE),
            0
        ) +
        IFERROR(
            VLOOKUP($A60, INDIRECT("NovR!$A$6:$ZZ$1048576"), MATCH(AF$1, NovR!$6:$6, 0), FALSE),
            0
        ) +
        IFERROR(
            VLOOKUP($A60, INDIRECT("DicR!$A$6:$ZZ$1048576"), MATCH(AF$1, DicR!$6:$6, 0), FALSE),
            0
        )
)</f>
        <v>0</v>
      </c>
      <c r="AG60" s="37">
        <f t="array" ref="AG60">SUM(
    IFERROR(
            VLOOKUP($A60, INDIRECT("EneR!$A$6:$ZZ$1048576"), MATCH(AG$1, EneR!$6:$6, 0), FALSE),
            0
        ) +
        IFERROR(
            VLOOKUP($A60, INDIRECT("FebR!$A$6:$ZZ$1048576"), MATCH(AG$1, FebR!$6:$6, 0), FALSE),
            0
        ) +
        IFERROR(
            VLOOKUP($A60, INDIRECT("MarR!$A$6:$ZZ$1048576"), MATCH(AG$1, MarR!$6:$6, 0), FALSE),
            0
        ) +
        IFERROR(
            VLOOKUP($A60, INDIRECT("AbrR!$A$6:$ZZ$1048576"), MATCH(AG$1, AbrR!$6:$6, 0), FALSE),
            0
        ) +
        IFERROR(
            VLOOKUP($A60, INDIRECT("MayR!$A$6:$ZZ$1048576"), MATCH(AG$1, MayR!$6:$6, 0), FALSE),
            0
        ) +
        IFERROR(
            VLOOKUP($A60, INDIRECT("JunR!$A$6:$ZZ$1048576"), MATCH(AG$1, JunR!$6:$6, 0), FALSE),
            0
        ) +
        IFERROR(
            VLOOKUP($A60, INDIRECT("JulR!$A$6:$ZZ$1048576"), MATCH(AG$1, JulR!$6:$6, 0), FALSE),
            0
        ) +
        IFERROR(
            VLOOKUP($A60, INDIRECT("AgoR!$A$6:$ZZ$1048576"), MATCH(AG$1, AgoR!$6:$6, 0), FALSE),
            0
        ) +
        IFERROR(
            VLOOKUP($A60, INDIRECT("SepR!$A$6:$ZZ$1048576"), MATCH(AG$1, SepR!$6:$6, 0), FALSE),
            0
        ) +
        IFERROR(
            VLOOKUP($A60, INDIRECT("OctR!$A$6:$ZZ$1048576"), MATCH(AG$1, OctR!$6:$6, 0), FALSE),
            0
        ) +
        IFERROR(
            VLOOKUP($A60, INDIRECT("NovR!$A$6:$ZZ$1048576"), MATCH(AG$1, NovR!$6:$6, 0), FALSE),
            0
        ) +
        IFERROR(
            VLOOKUP($A60, INDIRECT("DicR!$A$6:$ZZ$1048576"), MATCH(AG$1, DicR!$6:$6, 0), FALSE),
            0
        )
)</f>
        <v>0</v>
      </c>
      <c r="AH60" s="36">
        <f t="array" ref="AH60">SUM(
    IFERROR(
            VLOOKUP($A60, INDIRECT("EneR!$A$6:$ZZ$1048576"), MATCH(AH$1, EneR!$6:$6, 0), FALSE),
            0
        ) +
        IFERROR(
            VLOOKUP($A60, INDIRECT("FebR!$A$6:$ZZ$1048576"), MATCH(AH$1, FebR!$6:$6, 0), FALSE),
            0
        ) +
        IFERROR(
            VLOOKUP($A60, INDIRECT("MarR!$A$6:$ZZ$1048576"), MATCH(AH$1, MarR!$6:$6, 0), FALSE),
            0
        ) +
        IFERROR(
            VLOOKUP($A60, INDIRECT("AbrR!$A$6:$ZZ$1048576"), MATCH(AH$1, AbrR!$6:$6, 0), FALSE),
            0
        ) +
        IFERROR(
            VLOOKUP($A60, INDIRECT("MayR!$A$6:$ZZ$1048576"), MATCH(AH$1, MayR!$6:$6, 0), FALSE),
            0
        ) +
        IFERROR(
            VLOOKUP($A60, INDIRECT("JunR!$A$6:$ZZ$1048576"), MATCH(AH$1, JunR!$6:$6, 0), FALSE),
            0
        ) +
        IFERROR(
            VLOOKUP($A60, INDIRECT("JulR!$A$6:$ZZ$1048576"), MATCH(AH$1, JulR!$6:$6, 0), FALSE),
            0
        ) +
        IFERROR(
            VLOOKUP($A60, INDIRECT("AgoR!$A$6:$ZZ$1048576"), MATCH(AH$1, AgoR!$6:$6, 0), FALSE),
            0
        ) +
        IFERROR(
            VLOOKUP($A60, INDIRECT("SepR!$A$6:$ZZ$1048576"), MATCH(AH$1, SepR!$6:$6, 0), FALSE),
            0
        ) +
        IFERROR(
            VLOOKUP($A60, INDIRECT("OctR!$A$6:$ZZ$1048576"), MATCH(AH$1, OctR!$6:$6, 0), FALSE),
            0
        ) +
        IFERROR(
            VLOOKUP($A60, INDIRECT("NovR!$A$6:$ZZ$1048576"), MATCH(AH$1, NovR!$6:$6, 0), FALSE),
            0
        ) +
        IFERROR(
            VLOOKUP($A60, INDIRECT("DicR!$A$6:$ZZ$1048576"), MATCH(AH$1, DicR!$6:$6, 0), FALSE),
            0
        )
)</f>
        <v>0</v>
      </c>
      <c r="AI60" s="37">
        <f t="array" ref="AI60">SUM(
    IFERROR(
            VLOOKUP($A60, INDIRECT("EneR!$A$6:$ZZ$1048576"), MATCH(AI$1, EneR!$6:$6, 0), FALSE),
            0
        ) +
        IFERROR(
            VLOOKUP($A60, INDIRECT("FebR!$A$6:$ZZ$1048576"), MATCH(AI$1, FebR!$6:$6, 0), FALSE),
            0
        ) +
        IFERROR(
            VLOOKUP($A60, INDIRECT("MarR!$A$6:$ZZ$1048576"), MATCH(AI$1, MarR!$6:$6, 0), FALSE),
            0
        ) +
        IFERROR(
            VLOOKUP($A60, INDIRECT("AbrR!$A$6:$ZZ$1048576"), MATCH(AI$1, AbrR!$6:$6, 0), FALSE),
            0
        ) +
        IFERROR(
            VLOOKUP($A60, INDIRECT("MayR!$A$6:$ZZ$1048576"), MATCH(AI$1, MayR!$6:$6, 0), FALSE),
            0
        ) +
        IFERROR(
            VLOOKUP($A60, INDIRECT("JunR!$A$6:$ZZ$1048576"), MATCH(AI$1, JunR!$6:$6, 0), FALSE),
            0
        ) +
        IFERROR(
            VLOOKUP($A60, INDIRECT("JulR!$A$6:$ZZ$1048576"), MATCH(AI$1, JulR!$6:$6, 0), FALSE),
            0
        ) +
        IFERROR(
            VLOOKUP($A60, INDIRECT("AgoR!$A$6:$ZZ$1048576"), MATCH(AI$1, AgoR!$6:$6, 0), FALSE),
            0
        ) +
        IFERROR(
            VLOOKUP($A60, INDIRECT("SepR!$A$6:$ZZ$1048576"), MATCH(AI$1, SepR!$6:$6, 0), FALSE),
            0
        ) +
        IFERROR(
            VLOOKUP($A60, INDIRECT("OctR!$A$6:$ZZ$1048576"), MATCH(AI$1, OctR!$6:$6, 0), FALSE),
            0
        ) +
        IFERROR(
            VLOOKUP($A60, INDIRECT("NovR!$A$6:$ZZ$1048576"), MATCH(AI$1, NovR!$6:$6, 0), FALSE),
            0
        ) +
        IFERROR(
            VLOOKUP($A60, INDIRECT("DicR!$A$6:$ZZ$1048576"), MATCH(AI$1, DicR!$6:$6, 0), FALSE),
            0
        )
)</f>
        <v>0</v>
      </c>
      <c r="AJ60" s="36">
        <f t="array" ref="AJ60">SUM(
    IFERROR(
            VLOOKUP($A60, INDIRECT("EneR!$A$6:$ZZ$1048576"), MATCH(AJ$1, EneR!$6:$6, 0), FALSE),
            0
        ) +
        IFERROR(
            VLOOKUP($A60, INDIRECT("FebR!$A$6:$ZZ$1048576"), MATCH(AJ$1, FebR!$6:$6, 0), FALSE),
            0
        ) +
        IFERROR(
            VLOOKUP($A60, INDIRECT("MarR!$A$6:$ZZ$1048576"), MATCH(AJ$1, MarR!$6:$6, 0), FALSE),
            0
        ) +
        IFERROR(
            VLOOKUP($A60, INDIRECT("AbrR!$A$6:$ZZ$1048576"), MATCH(AJ$1, AbrR!$6:$6, 0), FALSE),
            0
        ) +
        IFERROR(
            VLOOKUP($A60, INDIRECT("MayR!$A$6:$ZZ$1048576"), MATCH(AJ$1, MayR!$6:$6, 0), FALSE),
            0
        ) +
        IFERROR(
            VLOOKUP($A60, INDIRECT("JunR!$A$6:$ZZ$1048576"), MATCH(AJ$1, JunR!$6:$6, 0), FALSE),
            0
        ) +
        IFERROR(
            VLOOKUP($A60, INDIRECT("JulR!$A$6:$ZZ$1048576"), MATCH(AJ$1, JulR!$6:$6, 0), FALSE),
            0
        ) +
        IFERROR(
            VLOOKUP($A60, INDIRECT("AgoR!$A$6:$ZZ$1048576"), MATCH(AJ$1, AgoR!$6:$6, 0), FALSE),
            0
        ) +
        IFERROR(
            VLOOKUP($A60, INDIRECT("SepR!$A$6:$ZZ$1048576"), MATCH(AJ$1, SepR!$6:$6, 0), FALSE),
            0
        ) +
        IFERROR(
            VLOOKUP($A60, INDIRECT("OctR!$A$6:$ZZ$1048576"), MATCH(AJ$1, OctR!$6:$6, 0), FALSE),
            0
        ) +
        IFERROR(
            VLOOKUP($A60, INDIRECT("NovR!$A$6:$ZZ$1048576"), MATCH(AJ$1, NovR!$6:$6, 0), FALSE),
            0
        ) +
        IFERROR(
            VLOOKUP($A60, INDIRECT("DicR!$A$6:$ZZ$1048576"), MATCH(AJ$1, DicR!$6:$6, 0), FALSE),
            0
        )
)</f>
        <v>0</v>
      </c>
      <c r="AK60" s="37">
        <f t="array" ref="AK60">SUM(
    IFERROR(
            VLOOKUP($A60, INDIRECT("EneR!$A$6:$ZZ$1048576"), MATCH(AK$1, EneR!$6:$6, 0), FALSE),
            0
        ) +
        IFERROR(
            VLOOKUP($A60, INDIRECT("FebR!$A$6:$ZZ$1048576"), MATCH(AK$1, FebR!$6:$6, 0), FALSE),
            0
        ) +
        IFERROR(
            VLOOKUP($A60, INDIRECT("MarR!$A$6:$ZZ$1048576"), MATCH(AK$1, MarR!$6:$6, 0), FALSE),
            0
        ) +
        IFERROR(
            VLOOKUP($A60, INDIRECT("AbrR!$A$6:$ZZ$1048576"), MATCH(AK$1, AbrR!$6:$6, 0), FALSE),
            0
        ) +
        IFERROR(
            VLOOKUP($A60, INDIRECT("MayR!$A$6:$ZZ$1048576"), MATCH(AK$1, MayR!$6:$6, 0), FALSE),
            0
        ) +
        IFERROR(
            VLOOKUP($A60, INDIRECT("JunR!$A$6:$ZZ$1048576"), MATCH(AK$1, JunR!$6:$6, 0), FALSE),
            0
        ) +
        IFERROR(
            VLOOKUP($A60, INDIRECT("JulR!$A$6:$ZZ$1048576"), MATCH(AK$1, JulR!$6:$6, 0), FALSE),
            0
        ) +
        IFERROR(
            VLOOKUP($A60, INDIRECT("AgoR!$A$6:$ZZ$1048576"), MATCH(AK$1, AgoR!$6:$6, 0), FALSE),
            0
        ) +
        IFERROR(
            VLOOKUP($A60, INDIRECT("SepR!$A$6:$ZZ$1048576"), MATCH(AK$1, SepR!$6:$6, 0), FALSE),
            0
        ) +
        IFERROR(
            VLOOKUP($A60, INDIRECT("OctR!$A$6:$ZZ$1048576"), MATCH(AK$1, OctR!$6:$6, 0), FALSE),
            0
        ) +
        IFERROR(
            VLOOKUP($A60, INDIRECT("NovR!$A$6:$ZZ$1048576"), MATCH(AK$1, NovR!$6:$6, 0), FALSE),
            0
        ) +
        IFERROR(
            VLOOKUP($A60, INDIRECT("DicR!$A$6:$ZZ$1048576"), MATCH(AK$1, DicR!$6:$6, 0), FALSE),
            0
        )
)</f>
        <v>0</v>
      </c>
      <c r="AL60" s="36">
        <f t="array" ref="AL60">SUM(
    IFERROR(
            VLOOKUP($A60, INDIRECT("EneR!$A$6:$ZZ$1048576"), MATCH(AL$1, EneR!$6:$6, 0), FALSE),
            0
        ) +
        IFERROR(
            VLOOKUP($A60, INDIRECT("FebR!$A$6:$ZZ$1048576"), MATCH(AL$1, FebR!$6:$6, 0), FALSE),
            0
        ) +
        IFERROR(
            VLOOKUP($A60, INDIRECT("MarR!$A$6:$ZZ$1048576"), MATCH(AL$1, MarR!$6:$6, 0), FALSE),
            0
        ) +
        IFERROR(
            VLOOKUP($A60, INDIRECT("AbrR!$A$6:$ZZ$1048576"), MATCH(AL$1, AbrR!$6:$6, 0), FALSE),
            0
        ) +
        IFERROR(
            VLOOKUP($A60, INDIRECT("MayR!$A$6:$ZZ$1048576"), MATCH(AL$1, MayR!$6:$6, 0), FALSE),
            0
        ) +
        IFERROR(
            VLOOKUP($A60, INDIRECT("JunR!$A$6:$ZZ$1048576"), MATCH(AL$1, JunR!$6:$6, 0), FALSE),
            0
        ) +
        IFERROR(
            VLOOKUP($A60, INDIRECT("JulR!$A$6:$ZZ$1048576"), MATCH(AL$1, JulR!$6:$6, 0), FALSE),
            0
        ) +
        IFERROR(
            VLOOKUP($A60, INDIRECT("AgoR!$A$6:$ZZ$1048576"), MATCH(AL$1, AgoR!$6:$6, 0), FALSE),
            0
        ) +
        IFERROR(
            VLOOKUP($A60, INDIRECT("SepR!$A$6:$ZZ$1048576"), MATCH(AL$1, SepR!$6:$6, 0), FALSE),
            0
        ) +
        IFERROR(
            VLOOKUP($A60, INDIRECT("OctR!$A$6:$ZZ$1048576"), MATCH(AL$1, OctR!$6:$6, 0), FALSE),
            0
        ) +
        IFERROR(
            VLOOKUP($A60, INDIRECT("NovR!$A$6:$ZZ$1048576"), MATCH(AL$1, NovR!$6:$6, 0), FALSE),
            0
        ) +
        IFERROR(
            VLOOKUP($A60, INDIRECT("DicR!$A$6:$ZZ$1048576"), MATCH(AL$1, DicR!$6:$6, 0), FALSE),
            0
        )
)</f>
        <v>0</v>
      </c>
      <c r="AM60" s="37">
        <f t="array" ref="AM60">SUM(
    IFERROR(
            VLOOKUP($A60, INDIRECT("EneR!$A$6:$ZZ$1048576"), MATCH(AM$1, EneR!$6:$6, 0), FALSE),
            0
        ) +
        IFERROR(
            VLOOKUP($A60, INDIRECT("FebR!$A$6:$ZZ$1048576"), MATCH(AM$1, FebR!$6:$6, 0), FALSE),
            0
        ) +
        IFERROR(
            VLOOKUP($A60, INDIRECT("MarR!$A$6:$ZZ$1048576"), MATCH(AM$1, MarR!$6:$6, 0), FALSE),
            0
        ) +
        IFERROR(
            VLOOKUP($A60, INDIRECT("AbrR!$A$6:$ZZ$1048576"), MATCH(AM$1, AbrR!$6:$6, 0), FALSE),
            0
        ) +
        IFERROR(
            VLOOKUP($A60, INDIRECT("MayR!$A$6:$ZZ$1048576"), MATCH(AM$1, MayR!$6:$6, 0), FALSE),
            0
        ) +
        IFERROR(
            VLOOKUP($A60, INDIRECT("JunR!$A$6:$ZZ$1048576"), MATCH(AM$1, JunR!$6:$6, 0), FALSE),
            0
        ) +
        IFERROR(
            VLOOKUP($A60, INDIRECT("JulR!$A$6:$ZZ$1048576"), MATCH(AM$1, JulR!$6:$6, 0), FALSE),
            0
        ) +
        IFERROR(
            VLOOKUP($A60, INDIRECT("AgoR!$A$6:$ZZ$1048576"), MATCH(AM$1, AgoR!$6:$6, 0), FALSE),
            0
        ) +
        IFERROR(
            VLOOKUP($A60, INDIRECT("SepR!$A$6:$ZZ$1048576"), MATCH(AM$1, SepR!$6:$6, 0), FALSE),
            0
        ) +
        IFERROR(
            VLOOKUP($A60, INDIRECT("OctR!$A$6:$ZZ$1048576"), MATCH(AM$1, OctR!$6:$6, 0), FALSE),
            0
        ) +
        IFERROR(
            VLOOKUP($A60, INDIRECT("NovR!$A$6:$ZZ$1048576"), MATCH(AM$1, NovR!$6:$6, 0), FALSE),
            0
        ) +
        IFERROR(
            VLOOKUP($A60, INDIRECT("DicR!$A$6:$ZZ$1048576"), MATCH(AM$1, DicR!$6:$6, 0), FALSE),
            0
        )
)</f>
        <v>0</v>
      </c>
      <c r="AN60" s="32">
        <f t="array" ref="AN60">SUM(
    IFERROR(
            VLOOKUP($A60, INDIRECT("EneR!$A$6:$ZZ$1048576"), MATCH(AN$1, EneR!$6:$6, 0), FALSE),
            0
        ) +
        IFERROR(
            VLOOKUP($A60, INDIRECT("FebR!$A$6:$ZZ$1048576"), MATCH(AN$1, FebR!$6:$6, 0), FALSE),
            0
        ) +
        IFERROR(
            VLOOKUP($A60, INDIRECT("MarR!$A$6:$ZZ$1048576"), MATCH(AN$1, MarR!$6:$6, 0), FALSE),
            0
        ) +
        IFERROR(
            VLOOKUP($A60, INDIRECT("AbrR!$A$6:$ZZ$1048576"), MATCH(AN$1, AbrR!$6:$6, 0), FALSE),
            0
        ) +
        IFERROR(
            VLOOKUP($A60, INDIRECT("MayR!$A$6:$ZZ$1048576"), MATCH(AN$1, MayR!$6:$6, 0), FALSE),
            0
        ) +
        IFERROR(
            VLOOKUP($A60, INDIRECT("JunR!$A$6:$ZZ$1048576"), MATCH(AN$1, JunR!$6:$6, 0), FALSE),
            0
        ) +
        IFERROR(
            VLOOKUP($A60, INDIRECT("JulR!$A$6:$ZZ$1048576"), MATCH(AN$1, JulR!$6:$6, 0), FALSE),
            0
        ) +
        IFERROR(
            VLOOKUP($A60, INDIRECT("AgoR!$A$6:$ZZ$1048576"), MATCH(AN$1, AgoR!$6:$6, 0), FALSE),
            0
        ) +
        IFERROR(
            VLOOKUP($A60, INDIRECT("SepR!$A$6:$ZZ$1048576"), MATCH(AN$1, SepR!$6:$6, 0), FALSE),
            0
        ) +
        IFERROR(
            VLOOKUP($A60, INDIRECT("OctR!$A$6:$ZZ$1048576"), MATCH(AN$1, OctR!$6:$6, 0), FALSE),
            0
        ) +
        IFERROR(
            VLOOKUP($A60, INDIRECT("NovR!$A$6:$ZZ$1048576"), MATCH(AN$1, NovR!$6:$6, 0), FALSE),
            0
        ) +
        IFERROR(
            VLOOKUP($A60, INDIRECT("DicR!$A$6:$ZZ$1048576"), MATCH(AN$1, DicR!$6:$6, 0), FALSE),
            0
        )
)</f>
        <v>0</v>
      </c>
      <c r="AO60" s="35">
        <f t="array" ref="AO60">SUM(
    IFERROR(
            VLOOKUP($A60, INDIRECT("EneR!$A$6:$ZZ$1048576"), MATCH(AO$1, EneR!$6:$6, 0), FALSE),
            0
        ) +
        IFERROR(
            VLOOKUP($A60, INDIRECT("FebR!$A$6:$ZZ$1048576"), MATCH(AO$1, FebR!$6:$6, 0), FALSE),
            0
        ) +
        IFERROR(
            VLOOKUP($A60, INDIRECT("MarR!$A$6:$ZZ$1048576"), MATCH(AO$1, MarR!$6:$6, 0), FALSE),
            0
        ) +
        IFERROR(
            VLOOKUP($A60, INDIRECT("AbrR!$A$6:$ZZ$1048576"), MATCH(AO$1, AbrR!$6:$6, 0), FALSE),
            0
        ) +
        IFERROR(
            VLOOKUP($A60, INDIRECT("MayR!$A$6:$ZZ$1048576"), MATCH(AO$1, MayR!$6:$6, 0), FALSE),
            0
        ) +
        IFERROR(
            VLOOKUP($A60, INDIRECT("JunR!$A$6:$ZZ$1048576"), MATCH(AO$1, JunR!$6:$6, 0), FALSE),
            0
        ) +
        IFERROR(
            VLOOKUP($A60, INDIRECT("JulR!$A$6:$ZZ$1048576"), MATCH(AO$1, JulR!$6:$6, 0), FALSE),
            0
        ) +
        IFERROR(
            VLOOKUP($A60, INDIRECT("AgoR!$A$6:$ZZ$1048576"), MATCH(AO$1, AgoR!$6:$6, 0), FALSE),
            0
        ) +
        IFERROR(
            VLOOKUP($A60, INDIRECT("SepR!$A$6:$ZZ$1048576"), MATCH(AO$1, SepR!$6:$6, 0), FALSE),
            0
        ) +
        IFERROR(
            VLOOKUP($A60, INDIRECT("OctR!$A$6:$ZZ$1048576"), MATCH(AO$1, OctR!$6:$6, 0), FALSE),
            0
        ) +
        IFERROR(
            VLOOKUP($A60, INDIRECT("NovR!$A$6:$ZZ$1048576"), MATCH(AO$1, NovR!$6:$6, 0), FALSE),
            0
        ) +
        IFERROR(
            VLOOKUP($A60, INDIRECT("DicR!$A$6:$ZZ$1048576"), MATCH(AO$1, DicR!$6:$6, 0), FALSE),
            0
        )
)</f>
        <v>0</v>
      </c>
      <c r="AP60" s="36">
        <f t="array" ref="AP60">SUM(
    IFERROR(
            VLOOKUP($A60, INDIRECT("EneR!$A$6:$ZZ$1048576"), MATCH(AP$1, EneR!$6:$6, 0), FALSE),
            0
        ) +
        IFERROR(
            VLOOKUP($A60, INDIRECT("FebR!$A$6:$ZZ$1048576"), MATCH(AP$1, FebR!$6:$6, 0), FALSE),
            0
        ) +
        IFERROR(
            VLOOKUP($A60, INDIRECT("MarR!$A$6:$ZZ$1048576"), MATCH(AP$1, MarR!$6:$6, 0), FALSE),
            0
        ) +
        IFERROR(
            VLOOKUP($A60, INDIRECT("AbrR!$A$6:$ZZ$1048576"), MATCH(AP$1, AbrR!$6:$6, 0), FALSE),
            0
        ) +
        IFERROR(
            VLOOKUP($A60, INDIRECT("MayR!$A$6:$ZZ$1048576"), MATCH(AP$1, MayR!$6:$6, 0), FALSE),
            0
        ) +
        IFERROR(
            VLOOKUP($A60, INDIRECT("JunR!$A$6:$ZZ$1048576"), MATCH(AP$1, JunR!$6:$6, 0), FALSE),
            0
        ) +
        IFERROR(
            VLOOKUP($A60, INDIRECT("JulR!$A$6:$ZZ$1048576"), MATCH(AP$1, JulR!$6:$6, 0), FALSE),
            0
        ) +
        IFERROR(
            VLOOKUP($A60, INDIRECT("AgoR!$A$6:$ZZ$1048576"), MATCH(AP$1, AgoR!$6:$6, 0), FALSE),
            0
        ) +
        IFERROR(
            VLOOKUP($A60, INDIRECT("SepR!$A$6:$ZZ$1048576"), MATCH(AP$1, SepR!$6:$6, 0), FALSE),
            0
        ) +
        IFERROR(
            VLOOKUP($A60, INDIRECT("OctR!$A$6:$ZZ$1048576"), MATCH(AP$1, OctR!$6:$6, 0), FALSE),
            0
        ) +
        IFERROR(
            VLOOKUP($A60, INDIRECT("NovR!$A$6:$ZZ$1048576"), MATCH(AP$1, NovR!$6:$6, 0), FALSE),
            0
        ) +
        IFERROR(
            VLOOKUP($A60, INDIRECT("DicR!$A$6:$ZZ$1048576"), MATCH(AP$1, DicR!$6:$6, 0), FALSE),
            0
        )
)</f>
        <v>0</v>
      </c>
      <c r="AQ60" s="35">
        <f t="array" ref="AQ60">SUM(
    IFERROR(
            VLOOKUP($A60, INDIRECT("EneR!$A$6:$ZZ$1048576"), MATCH(AQ$1, EneR!$6:$6, 0), FALSE),
            0
        ) +
        IFERROR(
            VLOOKUP($A60, INDIRECT("FebR!$A$6:$ZZ$1048576"), MATCH(AQ$1, FebR!$6:$6, 0), FALSE),
            0
        ) +
        IFERROR(
            VLOOKUP($A60, INDIRECT("MarR!$A$6:$ZZ$1048576"), MATCH(AQ$1, MarR!$6:$6, 0), FALSE),
            0
        ) +
        IFERROR(
            VLOOKUP($A60, INDIRECT("AbrR!$A$6:$ZZ$1048576"), MATCH(AQ$1, AbrR!$6:$6, 0), FALSE),
            0
        ) +
        IFERROR(
            VLOOKUP($A60, INDIRECT("MayR!$A$6:$ZZ$1048576"), MATCH(AQ$1, MayR!$6:$6, 0), FALSE),
            0
        ) +
        IFERROR(
            VLOOKUP($A60, INDIRECT("JunR!$A$6:$ZZ$1048576"), MATCH(AQ$1, JunR!$6:$6, 0), FALSE),
            0
        ) +
        IFERROR(
            VLOOKUP($A60, INDIRECT("JulR!$A$6:$ZZ$1048576"), MATCH(AQ$1, JulR!$6:$6, 0), FALSE),
            0
        ) +
        IFERROR(
            VLOOKUP($A60, INDIRECT("AgoR!$A$6:$ZZ$1048576"), MATCH(AQ$1, AgoR!$6:$6, 0), FALSE),
            0
        ) +
        IFERROR(
            VLOOKUP($A60, INDIRECT("SepR!$A$6:$ZZ$1048576"), MATCH(AQ$1, SepR!$6:$6, 0), FALSE),
            0
        ) +
        IFERROR(
            VLOOKUP($A60, INDIRECT("OctR!$A$6:$ZZ$1048576"), MATCH(AQ$1, OctR!$6:$6, 0), FALSE),
            0
        ) +
        IFERROR(
            VLOOKUP($A60, INDIRECT("NovR!$A$6:$ZZ$1048576"), MATCH(AQ$1, NovR!$6:$6, 0), FALSE),
            0
        ) +
        IFERROR(
            VLOOKUP($A60, INDIRECT("DicR!$A$6:$ZZ$1048576"), MATCH(AQ$1, DicR!$6:$6, 0), FALSE),
            0
        )
)</f>
        <v>0</v>
      </c>
      <c r="AR60" s="36">
        <f t="array" ref="AR60">SUM(
    IFERROR(
            VLOOKUP($A60, INDIRECT("EneR!$A$6:$ZZ$1048576"), MATCH(AR$1, EneR!$6:$6, 0), FALSE),
            0
        ) +
        IFERROR(
            VLOOKUP($A60, INDIRECT("FebR!$A$6:$ZZ$1048576"), MATCH(AR$1, FebR!$6:$6, 0), FALSE),
            0
        ) +
        IFERROR(
            VLOOKUP($A60, INDIRECT("MarR!$A$6:$ZZ$1048576"), MATCH(AR$1, MarR!$6:$6, 0), FALSE),
            0
        ) +
        IFERROR(
            VLOOKUP($A60, INDIRECT("AbrR!$A$6:$ZZ$1048576"), MATCH(AR$1, AbrR!$6:$6, 0), FALSE),
            0
        ) +
        IFERROR(
            VLOOKUP($A60, INDIRECT("MayR!$A$6:$ZZ$1048576"), MATCH(AR$1, MayR!$6:$6, 0), FALSE),
            0
        ) +
        IFERROR(
            VLOOKUP($A60, INDIRECT("JunR!$A$6:$ZZ$1048576"), MATCH(AR$1, JunR!$6:$6, 0), FALSE),
            0
        ) +
        IFERROR(
            VLOOKUP($A60, INDIRECT("JulR!$A$6:$ZZ$1048576"), MATCH(AR$1, JulR!$6:$6, 0), FALSE),
            0
        ) +
        IFERROR(
            VLOOKUP($A60, INDIRECT("AgoR!$A$6:$ZZ$1048576"), MATCH(AR$1, AgoR!$6:$6, 0), FALSE),
            0
        ) +
        IFERROR(
            VLOOKUP($A60, INDIRECT("SepR!$A$6:$ZZ$1048576"), MATCH(AR$1, SepR!$6:$6, 0), FALSE),
            0
        ) +
        IFERROR(
            VLOOKUP($A60, INDIRECT("OctR!$A$6:$ZZ$1048576"), MATCH(AR$1, OctR!$6:$6, 0), FALSE),
            0
        ) +
        IFERROR(
            VLOOKUP($A60, INDIRECT("NovR!$A$6:$ZZ$1048576"), MATCH(AR$1, NovR!$6:$6, 0), FALSE),
            0
        ) +
        IFERROR(
            VLOOKUP($A60, INDIRECT("DicR!$A$6:$ZZ$1048576"), MATCH(AR$1, DicR!$6:$6, 0), FALSE),
            0
        )
)</f>
        <v>0</v>
      </c>
      <c r="AS60" s="35">
        <f t="array" ref="AS60">SUM(
    IFERROR(
            VLOOKUP($A60, INDIRECT("EneR!$A$6:$ZZ$1048576"), MATCH(AS$1, EneR!$6:$6, 0), FALSE),
            0
        ) +
        IFERROR(
            VLOOKUP($A60, INDIRECT("FebR!$A$6:$ZZ$1048576"), MATCH(AS$1, FebR!$6:$6, 0), FALSE),
            0
        ) +
        IFERROR(
            VLOOKUP($A60, INDIRECT("MarR!$A$6:$ZZ$1048576"), MATCH(AS$1, MarR!$6:$6, 0), FALSE),
            0
        ) +
        IFERROR(
            VLOOKUP($A60, INDIRECT("AbrR!$A$6:$ZZ$1048576"), MATCH(AS$1, AbrR!$6:$6, 0), FALSE),
            0
        ) +
        IFERROR(
            VLOOKUP($A60, INDIRECT("MayR!$A$6:$ZZ$1048576"), MATCH(AS$1, MayR!$6:$6, 0), FALSE),
            0
        ) +
        IFERROR(
            VLOOKUP($A60, INDIRECT("JunR!$A$6:$ZZ$1048576"), MATCH(AS$1, JunR!$6:$6, 0), FALSE),
            0
        ) +
        IFERROR(
            VLOOKUP($A60, INDIRECT("JulR!$A$6:$ZZ$1048576"), MATCH(AS$1, JulR!$6:$6, 0), FALSE),
            0
        ) +
        IFERROR(
            VLOOKUP($A60, INDIRECT("AgoR!$A$6:$ZZ$1048576"), MATCH(AS$1, AgoR!$6:$6, 0), FALSE),
            0
        ) +
        IFERROR(
            VLOOKUP($A60, INDIRECT("SepR!$A$6:$ZZ$1048576"), MATCH(AS$1, SepR!$6:$6, 0), FALSE),
            0
        ) +
        IFERROR(
            VLOOKUP($A60, INDIRECT("OctR!$A$6:$ZZ$1048576"), MATCH(AS$1, OctR!$6:$6, 0), FALSE),
            0
        ) +
        IFERROR(
            VLOOKUP($A60, INDIRECT("NovR!$A$6:$ZZ$1048576"), MATCH(AS$1, NovR!$6:$6, 0), FALSE),
            0
        ) +
        IFERROR(
            VLOOKUP($A60, INDIRECT("DicR!$A$6:$ZZ$1048576"), MATCH(AS$1, DicR!$6:$6, 0), FALSE),
            0
        )
)</f>
        <v>0</v>
      </c>
      <c r="AT60" s="36">
        <f t="array" ref="AT60">SUM(
    IFERROR(
            VLOOKUP($A60, INDIRECT("EneR!$A$6:$ZZ$1048576"), MATCH(AT$1, EneR!$6:$6, 0), FALSE),
            0
        ) +
        IFERROR(
            VLOOKUP($A60, INDIRECT("FebR!$A$6:$ZZ$1048576"), MATCH(AT$1, FebR!$6:$6, 0), FALSE),
            0
        ) +
        IFERROR(
            VLOOKUP($A60, INDIRECT("MarR!$A$6:$ZZ$1048576"), MATCH(AT$1, MarR!$6:$6, 0), FALSE),
            0
        ) +
        IFERROR(
            VLOOKUP($A60, INDIRECT("AbrR!$A$6:$ZZ$1048576"), MATCH(AT$1, AbrR!$6:$6, 0), FALSE),
            0
        ) +
        IFERROR(
            VLOOKUP($A60, INDIRECT("MayR!$A$6:$ZZ$1048576"), MATCH(AT$1, MayR!$6:$6, 0), FALSE),
            0
        ) +
        IFERROR(
            VLOOKUP($A60, INDIRECT("JunR!$A$6:$ZZ$1048576"), MATCH(AT$1, JunR!$6:$6, 0), FALSE),
            0
        ) +
        IFERROR(
            VLOOKUP($A60, INDIRECT("JulR!$A$6:$ZZ$1048576"), MATCH(AT$1, JulR!$6:$6, 0), FALSE),
            0
        ) +
        IFERROR(
            VLOOKUP($A60, INDIRECT("AgoR!$A$6:$ZZ$1048576"), MATCH(AT$1, AgoR!$6:$6, 0), FALSE),
            0
        ) +
        IFERROR(
            VLOOKUP($A60, INDIRECT("SepR!$A$6:$ZZ$1048576"), MATCH(AT$1, SepR!$6:$6, 0), FALSE),
            0
        ) +
        IFERROR(
            VLOOKUP($A60, INDIRECT("OctR!$A$6:$ZZ$1048576"), MATCH(AT$1, OctR!$6:$6, 0), FALSE),
            0
        ) +
        IFERROR(
            VLOOKUP($A60, INDIRECT("NovR!$A$6:$ZZ$1048576"), MATCH(AT$1, NovR!$6:$6, 0), FALSE),
            0
        ) +
        IFERROR(
            VLOOKUP($A60, INDIRECT("DicR!$A$6:$ZZ$1048576"), MATCH(AT$1, DicR!$6:$6, 0), FALSE),
            0
        )
)</f>
        <v>0</v>
      </c>
      <c r="AU60" s="35">
        <f t="array" ref="AU60">SUM(
    IFERROR(
            VLOOKUP($A60, INDIRECT("EneR!$A$6:$ZZ$1048576"), MATCH(AU$1, EneR!$6:$6, 0), FALSE),
            0
        ) +
        IFERROR(
            VLOOKUP($A60, INDIRECT("FebR!$A$6:$ZZ$1048576"), MATCH(AU$1, FebR!$6:$6, 0), FALSE),
            0
        ) +
        IFERROR(
            VLOOKUP($A60, INDIRECT("MarR!$A$6:$ZZ$1048576"), MATCH(AU$1, MarR!$6:$6, 0), FALSE),
            0
        ) +
        IFERROR(
            VLOOKUP($A60, INDIRECT("AbrR!$A$6:$ZZ$1048576"), MATCH(AU$1, AbrR!$6:$6, 0), FALSE),
            0
        ) +
        IFERROR(
            VLOOKUP($A60, INDIRECT("MayR!$A$6:$ZZ$1048576"), MATCH(AU$1, MayR!$6:$6, 0), FALSE),
            0
        ) +
        IFERROR(
            VLOOKUP($A60, INDIRECT("JunR!$A$6:$ZZ$1048576"), MATCH(AU$1, JunR!$6:$6, 0), FALSE),
            0
        ) +
        IFERROR(
            VLOOKUP($A60, INDIRECT("JulR!$A$6:$ZZ$1048576"), MATCH(AU$1, JulR!$6:$6, 0), FALSE),
            0
        ) +
        IFERROR(
            VLOOKUP($A60, INDIRECT("AgoR!$A$6:$ZZ$1048576"), MATCH(AU$1, AgoR!$6:$6, 0), FALSE),
            0
        ) +
        IFERROR(
            VLOOKUP($A60, INDIRECT("SepR!$A$6:$ZZ$1048576"), MATCH(AU$1, SepR!$6:$6, 0), FALSE),
            0
        ) +
        IFERROR(
            VLOOKUP($A60, INDIRECT("OctR!$A$6:$ZZ$1048576"), MATCH(AU$1, OctR!$6:$6, 0), FALSE),
            0
        ) +
        IFERROR(
            VLOOKUP($A60, INDIRECT("NovR!$A$6:$ZZ$1048576"), MATCH(AU$1, NovR!$6:$6, 0), FALSE),
            0
        ) +
        IFERROR(
            VLOOKUP($A60, INDIRECT("DicR!$A$6:$ZZ$1048576"), MATCH(AU$1, DicR!$6:$6, 0), FALSE),
            0
        )
)</f>
        <v>0</v>
      </c>
      <c r="AV60" s="36">
        <f t="array" ref="AV60">SUM(
    IFERROR(
            VLOOKUP($A60, INDIRECT("EneR!$A$6:$ZZ$1048576"), MATCH(AV$1, EneR!$6:$6, 0), FALSE),
            0
        ) +
        IFERROR(
            VLOOKUP($A60, INDIRECT("FebR!$A$6:$ZZ$1048576"), MATCH(AV$1, FebR!$6:$6, 0), FALSE),
            0
        ) +
        IFERROR(
            VLOOKUP($A60, INDIRECT("MarR!$A$6:$ZZ$1048576"), MATCH(AV$1, MarR!$6:$6, 0), FALSE),
            0
        ) +
        IFERROR(
            VLOOKUP($A60, INDIRECT("AbrR!$A$6:$ZZ$1048576"), MATCH(AV$1, AbrR!$6:$6, 0), FALSE),
            0
        ) +
        IFERROR(
            VLOOKUP($A60, INDIRECT("MayR!$A$6:$ZZ$1048576"), MATCH(AV$1, MayR!$6:$6, 0), FALSE),
            0
        ) +
        IFERROR(
            VLOOKUP($A60, INDIRECT("JunR!$A$6:$ZZ$1048576"), MATCH(AV$1, JunR!$6:$6, 0), FALSE),
            0
        ) +
        IFERROR(
            VLOOKUP($A60, INDIRECT("JulR!$A$6:$ZZ$1048576"), MATCH(AV$1, JulR!$6:$6, 0), FALSE),
            0
        ) +
        IFERROR(
            VLOOKUP($A60, INDIRECT("AgoR!$A$6:$ZZ$1048576"), MATCH(AV$1, AgoR!$6:$6, 0), FALSE),
            0
        ) +
        IFERROR(
            VLOOKUP($A60, INDIRECT("SepR!$A$6:$ZZ$1048576"), MATCH(AV$1, SepR!$6:$6, 0), FALSE),
            0
        ) +
        IFERROR(
            VLOOKUP($A60, INDIRECT("OctR!$A$6:$ZZ$1048576"), MATCH(AV$1, OctR!$6:$6, 0), FALSE),
            0
        ) +
        IFERROR(
            VLOOKUP($A60, INDIRECT("NovR!$A$6:$ZZ$1048576"), MATCH(AV$1, NovR!$6:$6, 0), FALSE),
            0
        ) +
        IFERROR(
            VLOOKUP($A60, INDIRECT("DicR!$A$6:$ZZ$1048576"), MATCH(AV$1, DicR!$6:$6, 0), FALSE),
            0
        )
)</f>
        <v>0</v>
      </c>
      <c r="AW60" s="35">
        <f t="array" ref="AW60">SUM(
    IFERROR(
            VLOOKUP($A60, INDIRECT("EneR!$A$6:$ZZ$1048576"), MATCH(AW$1, EneR!$6:$6, 0), FALSE),
            0
        ) +
        IFERROR(
            VLOOKUP($A60, INDIRECT("FebR!$A$6:$ZZ$1048576"), MATCH(AW$1, FebR!$6:$6, 0), FALSE),
            0
        ) +
        IFERROR(
            VLOOKUP($A60, INDIRECT("MarR!$A$6:$ZZ$1048576"), MATCH(AW$1, MarR!$6:$6, 0), FALSE),
            0
        ) +
        IFERROR(
            VLOOKUP($A60, INDIRECT("AbrR!$A$6:$ZZ$1048576"), MATCH(AW$1, AbrR!$6:$6, 0), FALSE),
            0
        ) +
        IFERROR(
            VLOOKUP($A60, INDIRECT("MayR!$A$6:$ZZ$1048576"), MATCH(AW$1, MayR!$6:$6, 0), FALSE),
            0
        ) +
        IFERROR(
            VLOOKUP($A60, INDIRECT("JunR!$A$6:$ZZ$1048576"), MATCH(AW$1, JunR!$6:$6, 0), FALSE),
            0
        ) +
        IFERROR(
            VLOOKUP($A60, INDIRECT("JulR!$A$6:$ZZ$1048576"), MATCH(AW$1, JulR!$6:$6, 0), FALSE),
            0
        ) +
        IFERROR(
            VLOOKUP($A60, INDIRECT("AgoR!$A$6:$ZZ$1048576"), MATCH(AW$1, AgoR!$6:$6, 0), FALSE),
            0
        ) +
        IFERROR(
            VLOOKUP($A60, INDIRECT("SepR!$A$6:$ZZ$1048576"), MATCH(AW$1, SepR!$6:$6, 0), FALSE),
            0
        ) +
        IFERROR(
            VLOOKUP($A60, INDIRECT("OctR!$A$6:$ZZ$1048576"), MATCH(AW$1, OctR!$6:$6, 0), FALSE),
            0
        ) +
        IFERROR(
            VLOOKUP($A60, INDIRECT("NovR!$A$6:$ZZ$1048576"), MATCH(AW$1, NovR!$6:$6, 0), FALSE),
            0
        ) +
        IFERROR(
            VLOOKUP($A60, INDIRECT("DicR!$A$6:$ZZ$1048576"), MATCH(AW$1, DicR!$6:$6, 0), FALSE),
            0
        )
)</f>
        <v>0</v>
      </c>
      <c r="AX60" s="36">
        <f t="array" ref="AX60">SUM(
    IFERROR(
            VLOOKUP($A60, INDIRECT("EneR!$A$6:$ZZ$1048576"), MATCH(AX$1, EneR!$6:$6, 0), FALSE),
            0
        ) +
        IFERROR(
            VLOOKUP($A60, INDIRECT("FebR!$A$6:$ZZ$1048576"), MATCH(AX$1, FebR!$6:$6, 0), FALSE),
            0
        ) +
        IFERROR(
            VLOOKUP($A60, INDIRECT("MarR!$A$6:$ZZ$1048576"), MATCH(AX$1, MarR!$6:$6, 0), FALSE),
            0
        ) +
        IFERROR(
            VLOOKUP($A60, INDIRECT("AbrR!$A$6:$ZZ$1048576"), MATCH(AX$1, AbrR!$6:$6, 0), FALSE),
            0
        ) +
        IFERROR(
            VLOOKUP($A60, INDIRECT("MayR!$A$6:$ZZ$1048576"), MATCH(AX$1, MayR!$6:$6, 0), FALSE),
            0
        ) +
        IFERROR(
            VLOOKUP($A60, INDIRECT("JunR!$A$6:$ZZ$1048576"), MATCH(AX$1, JunR!$6:$6, 0), FALSE),
            0
        ) +
        IFERROR(
            VLOOKUP($A60, INDIRECT("JulR!$A$6:$ZZ$1048576"), MATCH(AX$1, JulR!$6:$6, 0), FALSE),
            0
        ) +
        IFERROR(
            VLOOKUP($A60, INDIRECT("AgoR!$A$6:$ZZ$1048576"), MATCH(AX$1, AgoR!$6:$6, 0), FALSE),
            0
        ) +
        IFERROR(
            VLOOKUP($A60, INDIRECT("SepR!$A$6:$ZZ$1048576"), MATCH(AX$1, SepR!$6:$6, 0), FALSE),
            0
        ) +
        IFERROR(
            VLOOKUP($A60, INDIRECT("OctR!$A$6:$ZZ$1048576"), MATCH(AX$1, OctR!$6:$6, 0), FALSE),
            0
        ) +
        IFERROR(
            VLOOKUP($A60, INDIRECT("NovR!$A$6:$ZZ$1048576"), MATCH(AX$1, NovR!$6:$6, 0), FALSE),
            0
        ) +
        IFERROR(
            VLOOKUP($A60, INDIRECT("DicR!$A$6:$ZZ$1048576"), MATCH(AX$1, DicR!$6:$6, 0), FALSE),
            0
        )
)</f>
        <v>0</v>
      </c>
      <c r="AY60" s="35">
        <f t="array" ref="AY60">SUM(
    IFERROR(
            VLOOKUP($A60, INDIRECT("EneR!$A$6:$ZZ$1048576"), MATCH(AY$1, EneR!$6:$6, 0), FALSE),
            0
        ) +
        IFERROR(
            VLOOKUP($A60, INDIRECT("FebR!$A$6:$ZZ$1048576"), MATCH(AY$1, FebR!$6:$6, 0), FALSE),
            0
        ) +
        IFERROR(
            VLOOKUP($A60, INDIRECT("MarR!$A$6:$ZZ$1048576"), MATCH(AY$1, MarR!$6:$6, 0), FALSE),
            0
        ) +
        IFERROR(
            VLOOKUP($A60, INDIRECT("AbrR!$A$6:$ZZ$1048576"), MATCH(AY$1, AbrR!$6:$6, 0), FALSE),
            0
        ) +
        IFERROR(
            VLOOKUP($A60, INDIRECT("MayR!$A$6:$ZZ$1048576"), MATCH(AY$1, MayR!$6:$6, 0), FALSE),
            0
        ) +
        IFERROR(
            VLOOKUP($A60, INDIRECT("JunR!$A$6:$ZZ$1048576"), MATCH(AY$1, JunR!$6:$6, 0), FALSE),
            0
        ) +
        IFERROR(
            VLOOKUP($A60, INDIRECT("JulR!$A$6:$ZZ$1048576"), MATCH(AY$1, JulR!$6:$6, 0), FALSE),
            0
        ) +
        IFERROR(
            VLOOKUP($A60, INDIRECT("AgoR!$A$6:$ZZ$1048576"), MATCH(AY$1, AgoR!$6:$6, 0), FALSE),
            0
        ) +
        IFERROR(
            VLOOKUP($A60, INDIRECT("SepR!$A$6:$ZZ$1048576"), MATCH(AY$1, SepR!$6:$6, 0), FALSE),
            0
        ) +
        IFERROR(
            VLOOKUP($A60, INDIRECT("OctR!$A$6:$ZZ$1048576"), MATCH(AY$1, OctR!$6:$6, 0), FALSE),
            0
        ) +
        IFERROR(
            VLOOKUP($A60, INDIRECT("NovR!$A$6:$ZZ$1048576"), MATCH(AY$1, NovR!$6:$6, 0), FALSE),
            0
        ) +
        IFERROR(
            VLOOKUP($A60, INDIRECT("DicR!$A$6:$ZZ$1048576"), MATCH(AY$1, DicR!$6:$6, 0), FALSE),
            0
        )
)</f>
        <v>0</v>
      </c>
      <c r="AZ60" s="35"/>
    </row>
    <row r="61" ht="15.75" customHeight="1">
      <c r="A61" s="12" t="str">
        <f>Menus!B22</f>
        <v/>
      </c>
      <c r="B61" s="32">
        <f t="shared" si="9"/>
        <v>0</v>
      </c>
      <c r="C61" s="33" t="str">
        <f t="shared" si="10"/>
        <v/>
      </c>
      <c r="D61" s="34">
        <f t="array" ref="D61">SUM(
    IFERROR(
            VLOOKUP($A61, INDIRECT("EneR!$A$6:$ZZ$1048576"), MATCH(D$1, EneR!$6:$6, 0), FALSE),
            0
        ) +
        IFERROR(
            VLOOKUP($A61, INDIRECT("FebR!$A$6:$ZZ$1048576"), MATCH(D$1, FebR!$6:$6, 0), FALSE),
            0
        ) +
        IFERROR(
            VLOOKUP($A61, INDIRECT("MarR!$A$6:$ZZ$1048576"), MATCH(D$1, MarR!$6:$6, 0), FALSE),
            0
        ) +
        IFERROR(
            VLOOKUP($A61, INDIRECT("AbrR!$A$6:$ZZ$1048576"), MATCH(D$1, AbrR!$6:$6, 0), FALSE),
            0
        ) +
        IFERROR(
            VLOOKUP($A61, INDIRECT("MayR!$A$6:$ZZ$1048576"), MATCH(D$1, MayR!$6:$6, 0), FALSE),
            0
        ) +
        IFERROR(
            VLOOKUP($A61, INDIRECT("JunR!$A$6:$ZZ$1048576"), MATCH(D$1, JunR!$6:$6, 0), FALSE),
            0
        ) +
        IFERROR(
            VLOOKUP($A61, INDIRECT("JulR!$A$6:$ZZ$1048576"), MATCH(D$1, JulR!$6:$6, 0), FALSE),
            0
        ) +
        IFERROR(
            VLOOKUP($A61, INDIRECT("AgoR!$A$6:$ZZ$1048576"), MATCH(D$1, AgoR!$6:$6, 0), FALSE),
            0
        ) +
        IFERROR(
            VLOOKUP($A61, INDIRECT("SepR!$A$6:$ZZ$1048576"), MATCH(D$1, SepR!$6:$6, 0), FALSE),
            0
        ) +
        IFERROR(
            VLOOKUP($A61, INDIRECT("OctR!$A$6:$ZZ$1048576"), MATCH(D$1, OctR!$6:$6, 0), FALSE),
            0
        ) +
        IFERROR(
            VLOOKUP($A61, INDIRECT("NovR!$A$6:$ZZ$1048576"), MATCH(D$1, NovR!$6:$6, 0), FALSE),
            0
        ) +
        IFERROR(
            VLOOKUP($A61, INDIRECT("DicR!$A$6:$ZZ$1048576"), MATCH(D$1, DicR!$6:$6, 0), FALSE),
            0
        )
)</f>
        <v>0</v>
      </c>
      <c r="E61" s="35">
        <f t="array" ref="E61">SUM(
    IFERROR(
            VLOOKUP($A61, INDIRECT("EneR!$A$6:$ZZ$1048576"), MATCH(E$1, EneR!$6:$6, 0), FALSE),
            0
        ) +
        IFERROR(
            VLOOKUP($A61, INDIRECT("FebR!$A$6:$ZZ$1048576"), MATCH(E$1, FebR!$6:$6, 0), FALSE),
            0
        ) +
        IFERROR(
            VLOOKUP($A61, INDIRECT("MarR!$A$6:$ZZ$1048576"), MATCH(E$1, MarR!$6:$6, 0), FALSE),
            0
        ) +
        IFERROR(
            VLOOKUP($A61, INDIRECT("AbrR!$A$6:$ZZ$1048576"), MATCH(E$1, AbrR!$6:$6, 0), FALSE),
            0
        ) +
        IFERROR(
            VLOOKUP($A61, INDIRECT("MayR!$A$6:$ZZ$1048576"), MATCH(E$1, MayR!$6:$6, 0), FALSE),
            0
        ) +
        IFERROR(
            VLOOKUP($A61, INDIRECT("JunR!$A$6:$ZZ$1048576"), MATCH(E$1, JunR!$6:$6, 0), FALSE),
            0
        ) +
        IFERROR(
            VLOOKUP($A61, INDIRECT("JulR!$A$6:$ZZ$1048576"), MATCH(E$1, JulR!$6:$6, 0), FALSE),
            0
        ) +
        IFERROR(
            VLOOKUP($A61, INDIRECT("AgoR!$A$6:$ZZ$1048576"), MATCH(E$1, AgoR!$6:$6, 0), FALSE),
            0
        ) +
        IFERROR(
            VLOOKUP($A61, INDIRECT("SepR!$A$6:$ZZ$1048576"), MATCH(E$1, SepR!$6:$6, 0), FALSE),
            0
        ) +
        IFERROR(
            VLOOKUP($A61, INDIRECT("OctR!$A$6:$ZZ$1048576"), MATCH(E$1, OctR!$6:$6, 0), FALSE),
            0
        ) +
        IFERROR(
            VLOOKUP($A61, INDIRECT("NovR!$A$6:$ZZ$1048576"), MATCH(E$1, NovR!$6:$6, 0), FALSE),
            0
        ) +
        IFERROR(
            VLOOKUP($A61, INDIRECT("DicR!$A$6:$ZZ$1048576"), MATCH(E$1, DicR!$6:$6, 0), FALSE),
            0
        )
)</f>
        <v>0</v>
      </c>
      <c r="F61" s="32">
        <f t="array" ref="F61">SUM(
    IFERROR(
            VLOOKUP($A61, INDIRECT("EneR!$A$6:$ZZ$1048576"), MATCH(F$1, EneR!$6:$6, 0), FALSE),
            0
        ) +
        IFERROR(
            VLOOKUP($A61, INDIRECT("FebR!$A$6:$ZZ$1048576"), MATCH(F$1, FebR!$6:$6, 0), FALSE),
            0
        ) +
        IFERROR(
            VLOOKUP($A61, INDIRECT("MarR!$A$6:$ZZ$1048576"), MATCH(F$1, MarR!$6:$6, 0), FALSE),
            0
        ) +
        IFERROR(
            VLOOKUP($A61, INDIRECT("AbrR!$A$6:$ZZ$1048576"), MATCH(F$1, AbrR!$6:$6, 0), FALSE),
            0
        ) +
        IFERROR(
            VLOOKUP($A61, INDIRECT("MayR!$A$6:$ZZ$1048576"), MATCH(F$1, MayR!$6:$6, 0), FALSE),
            0
        ) +
        IFERROR(
            VLOOKUP($A61, INDIRECT("JunR!$A$6:$ZZ$1048576"), MATCH(F$1, JunR!$6:$6, 0), FALSE),
            0
        ) +
        IFERROR(
            VLOOKUP($A61, INDIRECT("JulR!$A$6:$ZZ$1048576"), MATCH(F$1, JulR!$6:$6, 0), FALSE),
            0
        ) +
        IFERROR(
            VLOOKUP($A61, INDIRECT("AgoR!$A$6:$ZZ$1048576"), MATCH(F$1, AgoR!$6:$6, 0), FALSE),
            0
        ) +
        IFERROR(
            VLOOKUP($A61, INDIRECT("SepR!$A$6:$ZZ$1048576"), MATCH(F$1, SepR!$6:$6, 0), FALSE),
            0
        ) +
        IFERROR(
            VLOOKUP($A61, INDIRECT("OctR!$A$6:$ZZ$1048576"), MATCH(F$1, OctR!$6:$6, 0), FALSE),
            0
        ) +
        IFERROR(
            VLOOKUP($A61, INDIRECT("NovR!$A$6:$ZZ$1048576"), MATCH(F$1, NovR!$6:$6, 0), FALSE),
            0
        ) +
        IFERROR(
            VLOOKUP($A61, INDIRECT("DicR!$A$6:$ZZ$1048576"), MATCH(F$1, DicR!$6:$6, 0), FALSE),
            0
        )
)</f>
        <v>0</v>
      </c>
      <c r="G61" s="35">
        <f t="array" ref="G61">SUM(
    IFERROR(
            VLOOKUP($A61, INDIRECT("EneR!$A$6:$ZZ$1048576"), MATCH(G$1, EneR!$6:$6, 0), FALSE),
            0
        ) +
        IFERROR(
            VLOOKUP($A61, INDIRECT("FebR!$A$6:$ZZ$1048576"), MATCH(G$1, FebR!$6:$6, 0), FALSE),
            0
        ) +
        IFERROR(
            VLOOKUP($A61, INDIRECT("MarR!$A$6:$ZZ$1048576"), MATCH(G$1, MarR!$6:$6, 0), FALSE),
            0
        ) +
        IFERROR(
            VLOOKUP($A61, INDIRECT("AbrR!$A$6:$ZZ$1048576"), MATCH(G$1, AbrR!$6:$6, 0), FALSE),
            0
        ) +
        IFERROR(
            VLOOKUP($A61, INDIRECT("MayR!$A$6:$ZZ$1048576"), MATCH(G$1, MayR!$6:$6, 0), FALSE),
            0
        ) +
        IFERROR(
            VLOOKUP($A61, INDIRECT("JunR!$A$6:$ZZ$1048576"), MATCH(G$1, JunR!$6:$6, 0), FALSE),
            0
        ) +
        IFERROR(
            VLOOKUP($A61, INDIRECT("JulR!$A$6:$ZZ$1048576"), MATCH(G$1, JulR!$6:$6, 0), FALSE),
            0
        ) +
        IFERROR(
            VLOOKUP($A61, INDIRECT("AgoR!$A$6:$ZZ$1048576"), MATCH(G$1, AgoR!$6:$6, 0), FALSE),
            0
        ) +
        IFERROR(
            VLOOKUP($A61, INDIRECT("SepR!$A$6:$ZZ$1048576"), MATCH(G$1, SepR!$6:$6, 0), FALSE),
            0
        ) +
        IFERROR(
            VLOOKUP($A61, INDIRECT("OctR!$A$6:$ZZ$1048576"), MATCH(G$1, OctR!$6:$6, 0), FALSE),
            0
        ) +
        IFERROR(
            VLOOKUP($A61, INDIRECT("NovR!$A$6:$ZZ$1048576"), MATCH(G$1, NovR!$6:$6, 0), FALSE),
            0
        ) +
        IFERROR(
            VLOOKUP($A61, INDIRECT("DicR!$A$6:$ZZ$1048576"), MATCH(G$1, DicR!$6:$6, 0), FALSE),
            0
        )
)</f>
        <v>0</v>
      </c>
      <c r="H61" s="32">
        <f t="array" ref="H61">SUM(
    IFERROR(
            VLOOKUP($A61, INDIRECT("EneR!$A$6:$ZZ$1048576"), MATCH(H$1, EneR!$6:$6, 0), FALSE),
            0
        ) +
        IFERROR(
            VLOOKUP($A61, INDIRECT("FebR!$A$6:$ZZ$1048576"), MATCH(H$1, FebR!$6:$6, 0), FALSE),
            0
        ) +
        IFERROR(
            VLOOKUP($A61, INDIRECT("MarR!$A$6:$ZZ$1048576"), MATCH(H$1, MarR!$6:$6, 0), FALSE),
            0
        ) +
        IFERROR(
            VLOOKUP($A61, INDIRECT("AbrR!$A$6:$ZZ$1048576"), MATCH(H$1, AbrR!$6:$6, 0), FALSE),
            0
        ) +
        IFERROR(
            VLOOKUP($A61, INDIRECT("MayR!$A$6:$ZZ$1048576"), MATCH(H$1, MayR!$6:$6, 0), FALSE),
            0
        ) +
        IFERROR(
            VLOOKUP($A61, INDIRECT("JunR!$A$6:$ZZ$1048576"), MATCH(H$1, JunR!$6:$6, 0), FALSE),
            0
        ) +
        IFERROR(
            VLOOKUP($A61, INDIRECT("JulR!$A$6:$ZZ$1048576"), MATCH(H$1, JulR!$6:$6, 0), FALSE),
            0
        ) +
        IFERROR(
            VLOOKUP($A61, INDIRECT("AgoR!$A$6:$ZZ$1048576"), MATCH(H$1, AgoR!$6:$6, 0), FALSE),
            0
        ) +
        IFERROR(
            VLOOKUP($A61, INDIRECT("SepR!$A$6:$ZZ$1048576"), MATCH(H$1, SepR!$6:$6, 0), FALSE),
            0
        ) +
        IFERROR(
            VLOOKUP($A61, INDIRECT("OctR!$A$6:$ZZ$1048576"), MATCH(H$1, OctR!$6:$6, 0), FALSE),
            0
        ) +
        IFERROR(
            VLOOKUP($A61, INDIRECT("NovR!$A$6:$ZZ$1048576"), MATCH(H$1, NovR!$6:$6, 0), FALSE),
            0
        ) +
        IFERROR(
            VLOOKUP($A61, INDIRECT("DicR!$A$6:$ZZ$1048576"), MATCH(H$1, DicR!$6:$6, 0), FALSE),
            0
        )
)</f>
        <v>0</v>
      </c>
      <c r="I61" s="35">
        <f t="array" ref="I61">SUM(
    IFERROR(
            VLOOKUP($A61, INDIRECT("EneR!$A$6:$ZZ$1048576"), MATCH(I$1, EneR!$6:$6, 0), FALSE),
            0
        ) +
        IFERROR(
            VLOOKUP($A61, INDIRECT("FebR!$A$6:$ZZ$1048576"), MATCH(I$1, FebR!$6:$6, 0), FALSE),
            0
        ) +
        IFERROR(
            VLOOKUP($A61, INDIRECT("MarR!$A$6:$ZZ$1048576"), MATCH(I$1, MarR!$6:$6, 0), FALSE),
            0
        ) +
        IFERROR(
            VLOOKUP($A61, INDIRECT("AbrR!$A$6:$ZZ$1048576"), MATCH(I$1, AbrR!$6:$6, 0), FALSE),
            0
        ) +
        IFERROR(
            VLOOKUP($A61, INDIRECT("MayR!$A$6:$ZZ$1048576"), MATCH(I$1, MayR!$6:$6, 0), FALSE),
            0
        ) +
        IFERROR(
            VLOOKUP($A61, INDIRECT("JunR!$A$6:$ZZ$1048576"), MATCH(I$1, JunR!$6:$6, 0), FALSE),
            0
        ) +
        IFERROR(
            VLOOKUP($A61, INDIRECT("JulR!$A$6:$ZZ$1048576"), MATCH(I$1, JulR!$6:$6, 0), FALSE),
            0
        ) +
        IFERROR(
            VLOOKUP($A61, INDIRECT("AgoR!$A$6:$ZZ$1048576"), MATCH(I$1, AgoR!$6:$6, 0), FALSE),
            0
        ) +
        IFERROR(
            VLOOKUP($A61, INDIRECT("SepR!$A$6:$ZZ$1048576"), MATCH(I$1, SepR!$6:$6, 0), FALSE),
            0
        ) +
        IFERROR(
            VLOOKUP($A61, INDIRECT("OctR!$A$6:$ZZ$1048576"), MATCH(I$1, OctR!$6:$6, 0), FALSE),
            0
        ) +
        IFERROR(
            VLOOKUP($A61, INDIRECT("NovR!$A$6:$ZZ$1048576"), MATCH(I$1, NovR!$6:$6, 0), FALSE),
            0
        ) +
        IFERROR(
            VLOOKUP($A61, INDIRECT("DicR!$A$6:$ZZ$1048576"), MATCH(I$1, DicR!$6:$6, 0), FALSE),
            0
        )
)</f>
        <v>0</v>
      </c>
      <c r="J61" s="32">
        <f t="array" ref="J61">SUM(
    IFERROR(
            VLOOKUP($A61, INDIRECT("EneR!$A$6:$ZZ$1048576"), MATCH(J$1, EneR!$6:$6, 0), FALSE),
            0
        ) +
        IFERROR(
            VLOOKUP($A61, INDIRECT("FebR!$A$6:$ZZ$1048576"), MATCH(J$1, FebR!$6:$6, 0), FALSE),
            0
        ) +
        IFERROR(
            VLOOKUP($A61, INDIRECT("MarR!$A$6:$ZZ$1048576"), MATCH(J$1, MarR!$6:$6, 0), FALSE),
            0
        ) +
        IFERROR(
            VLOOKUP($A61, INDIRECT("AbrR!$A$6:$ZZ$1048576"), MATCH(J$1, AbrR!$6:$6, 0), FALSE),
            0
        ) +
        IFERROR(
            VLOOKUP($A61, INDIRECT("MayR!$A$6:$ZZ$1048576"), MATCH(J$1, MayR!$6:$6, 0), FALSE),
            0
        ) +
        IFERROR(
            VLOOKUP($A61, INDIRECT("JunR!$A$6:$ZZ$1048576"), MATCH(J$1, JunR!$6:$6, 0), FALSE),
            0
        ) +
        IFERROR(
            VLOOKUP($A61, INDIRECT("JulR!$A$6:$ZZ$1048576"), MATCH(J$1, JulR!$6:$6, 0), FALSE),
            0
        ) +
        IFERROR(
            VLOOKUP($A61, INDIRECT("AgoR!$A$6:$ZZ$1048576"), MATCH(J$1, AgoR!$6:$6, 0), FALSE),
            0
        ) +
        IFERROR(
            VLOOKUP($A61, INDIRECT("SepR!$A$6:$ZZ$1048576"), MATCH(J$1, SepR!$6:$6, 0), FALSE),
            0
        ) +
        IFERROR(
            VLOOKUP($A61, INDIRECT("OctR!$A$6:$ZZ$1048576"), MATCH(J$1, OctR!$6:$6, 0), FALSE),
            0
        ) +
        IFERROR(
            VLOOKUP($A61, INDIRECT("NovR!$A$6:$ZZ$1048576"), MATCH(J$1, NovR!$6:$6, 0), FALSE),
            0
        ) +
        IFERROR(
            VLOOKUP($A61, INDIRECT("DicR!$A$6:$ZZ$1048576"), MATCH(J$1, DicR!$6:$6, 0), FALSE),
            0
        )
)</f>
        <v>0</v>
      </c>
      <c r="K61" s="35">
        <f t="array" ref="K61">SUM(
    IFERROR(
            VLOOKUP($A61, INDIRECT("EneR!$A$6:$ZZ$1048576"), MATCH(K$1, EneR!$6:$6, 0), FALSE),
            0
        ) +
        IFERROR(
            VLOOKUP($A61, INDIRECT("FebR!$A$6:$ZZ$1048576"), MATCH(K$1, FebR!$6:$6, 0), FALSE),
            0
        ) +
        IFERROR(
            VLOOKUP($A61, INDIRECT("MarR!$A$6:$ZZ$1048576"), MATCH(K$1, MarR!$6:$6, 0), FALSE),
            0
        ) +
        IFERROR(
            VLOOKUP($A61, INDIRECT("AbrR!$A$6:$ZZ$1048576"), MATCH(K$1, AbrR!$6:$6, 0), FALSE),
            0
        ) +
        IFERROR(
            VLOOKUP($A61, INDIRECT("MayR!$A$6:$ZZ$1048576"), MATCH(K$1, MayR!$6:$6, 0), FALSE),
            0
        ) +
        IFERROR(
            VLOOKUP($A61, INDIRECT("JunR!$A$6:$ZZ$1048576"), MATCH(K$1, JunR!$6:$6, 0), FALSE),
            0
        ) +
        IFERROR(
            VLOOKUP($A61, INDIRECT("JulR!$A$6:$ZZ$1048576"), MATCH(K$1, JulR!$6:$6, 0), FALSE),
            0
        ) +
        IFERROR(
            VLOOKUP($A61, INDIRECT("AgoR!$A$6:$ZZ$1048576"), MATCH(K$1, AgoR!$6:$6, 0), FALSE),
            0
        ) +
        IFERROR(
            VLOOKUP($A61, INDIRECT("SepR!$A$6:$ZZ$1048576"), MATCH(K$1, SepR!$6:$6, 0), FALSE),
            0
        ) +
        IFERROR(
            VLOOKUP($A61, INDIRECT("OctR!$A$6:$ZZ$1048576"), MATCH(K$1, OctR!$6:$6, 0), FALSE),
            0
        ) +
        IFERROR(
            VLOOKUP($A61, INDIRECT("NovR!$A$6:$ZZ$1048576"), MATCH(K$1, NovR!$6:$6, 0), FALSE),
            0
        ) +
        IFERROR(
            VLOOKUP($A61, INDIRECT("DicR!$A$6:$ZZ$1048576"), MATCH(K$1, DicR!$6:$6, 0), FALSE),
            0
        )
)</f>
        <v>0</v>
      </c>
      <c r="L61" s="32">
        <f t="array" ref="L61">SUM(
    IFERROR(
            VLOOKUP($A61, INDIRECT("EneR!$A$6:$ZZ$1048576"), MATCH(L$1, EneR!$6:$6, 0), FALSE),
            0
        ) +
        IFERROR(
            VLOOKUP($A61, INDIRECT("FebR!$A$6:$ZZ$1048576"), MATCH(L$1, FebR!$6:$6, 0), FALSE),
            0
        ) +
        IFERROR(
            VLOOKUP($A61, INDIRECT("MarR!$A$6:$ZZ$1048576"), MATCH(L$1, MarR!$6:$6, 0), FALSE),
            0
        ) +
        IFERROR(
            VLOOKUP($A61, INDIRECT("AbrR!$A$6:$ZZ$1048576"), MATCH(L$1, AbrR!$6:$6, 0), FALSE),
            0
        ) +
        IFERROR(
            VLOOKUP($A61, INDIRECT("MayR!$A$6:$ZZ$1048576"), MATCH(L$1, MayR!$6:$6, 0), FALSE),
            0
        ) +
        IFERROR(
            VLOOKUP($A61, INDIRECT("JunR!$A$6:$ZZ$1048576"), MATCH(L$1, JunR!$6:$6, 0), FALSE),
            0
        ) +
        IFERROR(
            VLOOKUP($A61, INDIRECT("JulR!$A$6:$ZZ$1048576"), MATCH(L$1, JulR!$6:$6, 0), FALSE),
            0
        ) +
        IFERROR(
            VLOOKUP($A61, INDIRECT("AgoR!$A$6:$ZZ$1048576"), MATCH(L$1, AgoR!$6:$6, 0), FALSE),
            0
        ) +
        IFERROR(
            VLOOKUP($A61, INDIRECT("SepR!$A$6:$ZZ$1048576"), MATCH(L$1, SepR!$6:$6, 0), FALSE),
            0
        ) +
        IFERROR(
            VLOOKUP($A61, INDIRECT("OctR!$A$6:$ZZ$1048576"), MATCH(L$1, OctR!$6:$6, 0), FALSE),
            0
        ) +
        IFERROR(
            VLOOKUP($A61, INDIRECT("NovR!$A$6:$ZZ$1048576"), MATCH(L$1, NovR!$6:$6, 0), FALSE),
            0
        ) +
        IFERROR(
            VLOOKUP($A61, INDIRECT("DicR!$A$6:$ZZ$1048576"), MATCH(L$1, DicR!$6:$6, 0), FALSE),
            0
        )
)</f>
        <v>0</v>
      </c>
      <c r="M61" s="35">
        <f t="array" ref="M61">SUM(
    IFERROR(
            VLOOKUP($A61, INDIRECT("EneR!$A$6:$ZZ$1048576"), MATCH(M$1, EneR!$6:$6, 0), FALSE),
            0
        ) +
        IFERROR(
            VLOOKUP($A61, INDIRECT("FebR!$A$6:$ZZ$1048576"), MATCH(M$1, FebR!$6:$6, 0), FALSE),
            0
        ) +
        IFERROR(
            VLOOKUP($A61, INDIRECT("MarR!$A$6:$ZZ$1048576"), MATCH(M$1, MarR!$6:$6, 0), FALSE),
            0
        ) +
        IFERROR(
            VLOOKUP($A61, INDIRECT("AbrR!$A$6:$ZZ$1048576"), MATCH(M$1, AbrR!$6:$6, 0), FALSE),
            0
        ) +
        IFERROR(
            VLOOKUP($A61, INDIRECT("MayR!$A$6:$ZZ$1048576"), MATCH(M$1, MayR!$6:$6, 0), FALSE),
            0
        ) +
        IFERROR(
            VLOOKUP($A61, INDIRECT("JunR!$A$6:$ZZ$1048576"), MATCH(M$1, JunR!$6:$6, 0), FALSE),
            0
        ) +
        IFERROR(
            VLOOKUP($A61, INDIRECT("JulR!$A$6:$ZZ$1048576"), MATCH(M$1, JulR!$6:$6, 0), FALSE),
            0
        ) +
        IFERROR(
            VLOOKUP($A61, INDIRECT("AgoR!$A$6:$ZZ$1048576"), MATCH(M$1, AgoR!$6:$6, 0), FALSE),
            0
        ) +
        IFERROR(
            VLOOKUP($A61, INDIRECT("SepR!$A$6:$ZZ$1048576"), MATCH(M$1, SepR!$6:$6, 0), FALSE),
            0
        ) +
        IFERROR(
            VLOOKUP($A61, INDIRECT("OctR!$A$6:$ZZ$1048576"), MATCH(M$1, OctR!$6:$6, 0), FALSE),
            0
        ) +
        IFERROR(
            VLOOKUP($A61, INDIRECT("NovR!$A$6:$ZZ$1048576"), MATCH(M$1, NovR!$6:$6, 0), FALSE),
            0
        ) +
        IFERROR(
            VLOOKUP($A61, INDIRECT("DicR!$A$6:$ZZ$1048576"), MATCH(M$1, DicR!$6:$6, 0), FALSE),
            0
        )
)</f>
        <v>0</v>
      </c>
      <c r="N61" s="32">
        <f t="array" ref="N61">SUM(
    IFERROR(
            VLOOKUP($A61, INDIRECT("EneR!$A$6:$ZZ$1048576"), MATCH(N$1, EneR!$6:$6, 0), FALSE),
            0
        ) +
        IFERROR(
            VLOOKUP($A61, INDIRECT("FebR!$A$6:$ZZ$1048576"), MATCH(N$1, FebR!$6:$6, 0), FALSE),
            0
        ) +
        IFERROR(
            VLOOKUP($A61, INDIRECT("MarR!$A$6:$ZZ$1048576"), MATCH(N$1, MarR!$6:$6, 0), FALSE),
            0
        ) +
        IFERROR(
            VLOOKUP($A61, INDIRECT("AbrR!$A$6:$ZZ$1048576"), MATCH(N$1, AbrR!$6:$6, 0), FALSE),
            0
        ) +
        IFERROR(
            VLOOKUP($A61, INDIRECT("MayR!$A$6:$ZZ$1048576"), MATCH(N$1, MayR!$6:$6, 0), FALSE),
            0
        ) +
        IFERROR(
            VLOOKUP($A61, INDIRECT("JunR!$A$6:$ZZ$1048576"), MATCH(N$1, JunR!$6:$6, 0), FALSE),
            0
        ) +
        IFERROR(
            VLOOKUP($A61, INDIRECT("JulR!$A$6:$ZZ$1048576"), MATCH(N$1, JulR!$6:$6, 0), FALSE),
            0
        ) +
        IFERROR(
            VLOOKUP($A61, INDIRECT("AgoR!$A$6:$ZZ$1048576"), MATCH(N$1, AgoR!$6:$6, 0), FALSE),
            0
        ) +
        IFERROR(
            VLOOKUP($A61, INDIRECT("SepR!$A$6:$ZZ$1048576"), MATCH(N$1, SepR!$6:$6, 0), FALSE),
            0
        ) +
        IFERROR(
            VLOOKUP($A61, INDIRECT("OctR!$A$6:$ZZ$1048576"), MATCH(N$1, OctR!$6:$6, 0), FALSE),
            0
        ) +
        IFERROR(
            VLOOKUP($A61, INDIRECT("NovR!$A$6:$ZZ$1048576"), MATCH(N$1, NovR!$6:$6, 0), FALSE),
            0
        ) +
        IFERROR(
            VLOOKUP($A61, INDIRECT("DicR!$A$6:$ZZ$1048576"), MATCH(N$1, DicR!$6:$6, 0), FALSE),
            0
        )
)</f>
        <v>0</v>
      </c>
      <c r="O61" s="35">
        <f t="array" ref="O61">SUM(
    IFERROR(
            VLOOKUP($A61, INDIRECT("EneR!$A$6:$ZZ$1048576"), MATCH(O$1, EneR!$6:$6, 0), FALSE),
            0
        ) +
        IFERROR(
            VLOOKUP($A61, INDIRECT("FebR!$A$6:$ZZ$1048576"), MATCH(O$1, FebR!$6:$6, 0), FALSE),
            0
        ) +
        IFERROR(
            VLOOKUP($A61, INDIRECT("MarR!$A$6:$ZZ$1048576"), MATCH(O$1, MarR!$6:$6, 0), FALSE),
            0
        ) +
        IFERROR(
            VLOOKUP($A61, INDIRECT("AbrR!$A$6:$ZZ$1048576"), MATCH(O$1, AbrR!$6:$6, 0), FALSE),
            0
        ) +
        IFERROR(
            VLOOKUP($A61, INDIRECT("MayR!$A$6:$ZZ$1048576"), MATCH(O$1, MayR!$6:$6, 0), FALSE),
            0
        ) +
        IFERROR(
            VLOOKUP($A61, INDIRECT("JunR!$A$6:$ZZ$1048576"), MATCH(O$1, JunR!$6:$6, 0), FALSE),
            0
        ) +
        IFERROR(
            VLOOKUP($A61, INDIRECT("JulR!$A$6:$ZZ$1048576"), MATCH(O$1, JulR!$6:$6, 0), FALSE),
            0
        ) +
        IFERROR(
            VLOOKUP($A61, INDIRECT("AgoR!$A$6:$ZZ$1048576"), MATCH(O$1, AgoR!$6:$6, 0), FALSE),
            0
        ) +
        IFERROR(
            VLOOKUP($A61, INDIRECT("SepR!$A$6:$ZZ$1048576"), MATCH(O$1, SepR!$6:$6, 0), FALSE),
            0
        ) +
        IFERROR(
            VLOOKUP($A61, INDIRECT("OctR!$A$6:$ZZ$1048576"), MATCH(O$1, OctR!$6:$6, 0), FALSE),
            0
        ) +
        IFERROR(
            VLOOKUP($A61, INDIRECT("NovR!$A$6:$ZZ$1048576"), MATCH(O$1, NovR!$6:$6, 0), FALSE),
            0
        ) +
        IFERROR(
            VLOOKUP($A61, INDIRECT("DicR!$A$6:$ZZ$1048576"), MATCH(O$1, DicR!$6:$6, 0), FALSE),
            0
        )
)</f>
        <v>0</v>
      </c>
      <c r="P61" s="32">
        <f t="array" ref="P61">SUM(
    IFERROR(
            VLOOKUP($A61, INDIRECT("EneR!$A$6:$ZZ$1048576"), MATCH(P$1, EneR!$6:$6, 0), FALSE),
            0
        ) +
        IFERROR(
            VLOOKUP($A61, INDIRECT("FebR!$A$6:$ZZ$1048576"), MATCH(P$1, FebR!$6:$6, 0), FALSE),
            0
        ) +
        IFERROR(
            VLOOKUP($A61, INDIRECT("MarR!$A$6:$ZZ$1048576"), MATCH(P$1, MarR!$6:$6, 0), FALSE),
            0
        ) +
        IFERROR(
            VLOOKUP($A61, INDIRECT("AbrR!$A$6:$ZZ$1048576"), MATCH(P$1, AbrR!$6:$6, 0), FALSE),
            0
        ) +
        IFERROR(
            VLOOKUP($A61, INDIRECT("MayR!$A$6:$ZZ$1048576"), MATCH(P$1, MayR!$6:$6, 0), FALSE),
            0
        ) +
        IFERROR(
            VLOOKUP($A61, INDIRECT("JunR!$A$6:$ZZ$1048576"), MATCH(P$1, JunR!$6:$6, 0), FALSE),
            0
        ) +
        IFERROR(
            VLOOKUP($A61, INDIRECT("JulR!$A$6:$ZZ$1048576"), MATCH(P$1, JulR!$6:$6, 0), FALSE),
            0
        ) +
        IFERROR(
            VLOOKUP($A61, INDIRECT("AgoR!$A$6:$ZZ$1048576"), MATCH(P$1, AgoR!$6:$6, 0), FALSE),
            0
        ) +
        IFERROR(
            VLOOKUP($A61, INDIRECT("SepR!$A$6:$ZZ$1048576"), MATCH(P$1, SepR!$6:$6, 0), FALSE),
            0
        ) +
        IFERROR(
            VLOOKUP($A61, INDIRECT("OctR!$A$6:$ZZ$1048576"), MATCH(P$1, OctR!$6:$6, 0), FALSE),
            0
        ) +
        IFERROR(
            VLOOKUP($A61, INDIRECT("NovR!$A$6:$ZZ$1048576"), MATCH(P$1, NovR!$6:$6, 0), FALSE),
            0
        ) +
        IFERROR(
            VLOOKUP($A61, INDIRECT("DicR!$A$6:$ZZ$1048576"), MATCH(P$1, DicR!$6:$6, 0), FALSE),
            0
        )
)</f>
        <v>0</v>
      </c>
      <c r="Q61" s="35">
        <f t="array" ref="Q61">SUM(
    IFERROR(
            VLOOKUP($A61, INDIRECT("EneR!$A$6:$ZZ$1048576"), MATCH(Q$1, EneR!$6:$6, 0), FALSE),
            0
        ) +
        IFERROR(
            VLOOKUP($A61, INDIRECT("FebR!$A$6:$ZZ$1048576"), MATCH(Q$1, FebR!$6:$6, 0), FALSE),
            0
        ) +
        IFERROR(
            VLOOKUP($A61, INDIRECT("MarR!$A$6:$ZZ$1048576"), MATCH(Q$1, MarR!$6:$6, 0), FALSE),
            0
        ) +
        IFERROR(
            VLOOKUP($A61, INDIRECT("AbrR!$A$6:$ZZ$1048576"), MATCH(Q$1, AbrR!$6:$6, 0), FALSE),
            0
        ) +
        IFERROR(
            VLOOKUP($A61, INDIRECT("MayR!$A$6:$ZZ$1048576"), MATCH(Q$1, MayR!$6:$6, 0), FALSE),
            0
        ) +
        IFERROR(
            VLOOKUP($A61, INDIRECT("JunR!$A$6:$ZZ$1048576"), MATCH(Q$1, JunR!$6:$6, 0), FALSE),
            0
        ) +
        IFERROR(
            VLOOKUP($A61, INDIRECT("JulR!$A$6:$ZZ$1048576"), MATCH(Q$1, JulR!$6:$6, 0), FALSE),
            0
        ) +
        IFERROR(
            VLOOKUP($A61, INDIRECT("AgoR!$A$6:$ZZ$1048576"), MATCH(Q$1, AgoR!$6:$6, 0), FALSE),
            0
        ) +
        IFERROR(
            VLOOKUP($A61, INDIRECT("SepR!$A$6:$ZZ$1048576"), MATCH(Q$1, SepR!$6:$6, 0), FALSE),
            0
        ) +
        IFERROR(
            VLOOKUP($A61, INDIRECT("OctR!$A$6:$ZZ$1048576"), MATCH(Q$1, OctR!$6:$6, 0), FALSE),
            0
        ) +
        IFERROR(
            VLOOKUP($A61, INDIRECT("NovR!$A$6:$ZZ$1048576"), MATCH(Q$1, NovR!$6:$6, 0), FALSE),
            0
        ) +
        IFERROR(
            VLOOKUP($A61, INDIRECT("DicR!$A$6:$ZZ$1048576"), MATCH(Q$1, DicR!$6:$6, 0), FALSE),
            0
        )
)</f>
        <v>0</v>
      </c>
      <c r="R61" s="36">
        <f t="array" ref="R61">SUM(
    IFERROR(
            VLOOKUP($A61, INDIRECT("EneR!$A$6:$ZZ$1048576"), MATCH(R$1, EneR!$6:$6, 0), FALSE),
            0
        ) +
        IFERROR(
            VLOOKUP($A61, INDIRECT("FebR!$A$6:$ZZ$1048576"), MATCH(R$1, FebR!$6:$6, 0), FALSE),
            0
        ) +
        IFERROR(
            VLOOKUP($A61, INDIRECT("MarR!$A$6:$ZZ$1048576"), MATCH(R$1, MarR!$6:$6, 0), FALSE),
            0
        ) +
        IFERROR(
            VLOOKUP($A61, INDIRECT("AbrR!$A$6:$ZZ$1048576"), MATCH(R$1, AbrR!$6:$6, 0), FALSE),
            0
        ) +
        IFERROR(
            VLOOKUP($A61, INDIRECT("MayR!$A$6:$ZZ$1048576"), MATCH(R$1, MayR!$6:$6, 0), FALSE),
            0
        ) +
        IFERROR(
            VLOOKUP($A61, INDIRECT("JunR!$A$6:$ZZ$1048576"), MATCH(R$1, JunR!$6:$6, 0), FALSE),
            0
        ) +
        IFERROR(
            VLOOKUP($A61, INDIRECT("JulR!$A$6:$ZZ$1048576"), MATCH(R$1, JulR!$6:$6, 0), FALSE),
            0
        ) +
        IFERROR(
            VLOOKUP($A61, INDIRECT("AgoR!$A$6:$ZZ$1048576"), MATCH(R$1, AgoR!$6:$6, 0), FALSE),
            0
        ) +
        IFERROR(
            VLOOKUP($A61, INDIRECT("SepR!$A$6:$ZZ$1048576"), MATCH(R$1, SepR!$6:$6, 0), FALSE),
            0
        ) +
        IFERROR(
            VLOOKUP($A61, INDIRECT("OctR!$A$6:$ZZ$1048576"), MATCH(R$1, OctR!$6:$6, 0), FALSE),
            0
        ) +
        IFERROR(
            VLOOKUP($A61, INDIRECT("NovR!$A$6:$ZZ$1048576"), MATCH(R$1, NovR!$6:$6, 0), FALSE),
            0
        ) +
        IFERROR(
            VLOOKUP($A61, INDIRECT("DicR!$A$6:$ZZ$1048576"), MATCH(R$1, DicR!$6:$6, 0), FALSE),
            0
        )
)</f>
        <v>0</v>
      </c>
      <c r="S61" s="37">
        <f t="array" ref="S61">SUM(
    IFERROR(
            VLOOKUP($A61, INDIRECT("EneR!$A$6:$ZZ$1048576"), MATCH(S$1, EneR!$6:$6, 0), FALSE),
            0
        ) +
        IFERROR(
            VLOOKUP($A61, INDIRECT("FebR!$A$6:$ZZ$1048576"), MATCH(S$1, FebR!$6:$6, 0), FALSE),
            0
        ) +
        IFERROR(
            VLOOKUP($A61, INDIRECT("MarR!$A$6:$ZZ$1048576"), MATCH(S$1, MarR!$6:$6, 0), FALSE),
            0
        ) +
        IFERROR(
            VLOOKUP($A61, INDIRECT("AbrR!$A$6:$ZZ$1048576"), MATCH(S$1, AbrR!$6:$6, 0), FALSE),
            0
        ) +
        IFERROR(
            VLOOKUP($A61, INDIRECT("MayR!$A$6:$ZZ$1048576"), MATCH(S$1, MayR!$6:$6, 0), FALSE),
            0
        ) +
        IFERROR(
            VLOOKUP($A61, INDIRECT("JunR!$A$6:$ZZ$1048576"), MATCH(S$1, JunR!$6:$6, 0), FALSE),
            0
        ) +
        IFERROR(
            VLOOKUP($A61, INDIRECT("JulR!$A$6:$ZZ$1048576"), MATCH(S$1, JulR!$6:$6, 0), FALSE),
            0
        ) +
        IFERROR(
            VLOOKUP($A61, INDIRECT("AgoR!$A$6:$ZZ$1048576"), MATCH(S$1, AgoR!$6:$6, 0), FALSE),
            0
        ) +
        IFERROR(
            VLOOKUP($A61, INDIRECT("SepR!$A$6:$ZZ$1048576"), MATCH(S$1, SepR!$6:$6, 0), FALSE),
            0
        ) +
        IFERROR(
            VLOOKUP($A61, INDIRECT("OctR!$A$6:$ZZ$1048576"), MATCH(S$1, OctR!$6:$6, 0), FALSE),
            0
        ) +
        IFERROR(
            VLOOKUP($A61, INDIRECT("NovR!$A$6:$ZZ$1048576"), MATCH(S$1, NovR!$6:$6, 0), FALSE),
            0
        ) +
        IFERROR(
            VLOOKUP($A61, INDIRECT("DicR!$A$6:$ZZ$1048576"), MATCH(S$1, DicR!$6:$6, 0), FALSE),
            0
        )
)</f>
        <v>0</v>
      </c>
      <c r="T61" s="36">
        <f t="array" ref="T61">SUM(
    IFERROR(
            VLOOKUP($A61, INDIRECT("EneR!$A$6:$ZZ$1048576"), MATCH(T$1, EneR!$6:$6, 0), FALSE),
            0
        ) +
        IFERROR(
            VLOOKUP($A61, INDIRECT("FebR!$A$6:$ZZ$1048576"), MATCH(T$1, FebR!$6:$6, 0), FALSE),
            0
        ) +
        IFERROR(
            VLOOKUP($A61, INDIRECT("MarR!$A$6:$ZZ$1048576"), MATCH(T$1, MarR!$6:$6, 0), FALSE),
            0
        ) +
        IFERROR(
            VLOOKUP($A61, INDIRECT("AbrR!$A$6:$ZZ$1048576"), MATCH(T$1, AbrR!$6:$6, 0), FALSE),
            0
        ) +
        IFERROR(
            VLOOKUP($A61, INDIRECT("MayR!$A$6:$ZZ$1048576"), MATCH(T$1, MayR!$6:$6, 0), FALSE),
            0
        ) +
        IFERROR(
            VLOOKUP($A61, INDIRECT("JunR!$A$6:$ZZ$1048576"), MATCH(T$1, JunR!$6:$6, 0), FALSE),
            0
        ) +
        IFERROR(
            VLOOKUP($A61, INDIRECT("JulR!$A$6:$ZZ$1048576"), MATCH(T$1, JulR!$6:$6, 0), FALSE),
            0
        ) +
        IFERROR(
            VLOOKUP($A61, INDIRECT("AgoR!$A$6:$ZZ$1048576"), MATCH(T$1, AgoR!$6:$6, 0), FALSE),
            0
        ) +
        IFERROR(
            VLOOKUP($A61, INDIRECT("SepR!$A$6:$ZZ$1048576"), MATCH(T$1, SepR!$6:$6, 0), FALSE),
            0
        ) +
        IFERROR(
            VLOOKUP($A61, INDIRECT("OctR!$A$6:$ZZ$1048576"), MATCH(T$1, OctR!$6:$6, 0), FALSE),
            0
        ) +
        IFERROR(
            VLOOKUP($A61, INDIRECT("NovR!$A$6:$ZZ$1048576"), MATCH(T$1, NovR!$6:$6, 0), FALSE),
            0
        ) +
        IFERROR(
            VLOOKUP($A61, INDIRECT("DicR!$A$6:$ZZ$1048576"), MATCH(T$1, DicR!$6:$6, 0), FALSE),
            0
        )
)</f>
        <v>0</v>
      </c>
      <c r="U61" s="37">
        <f t="array" ref="U61">SUM(
    IFERROR(
            VLOOKUP($A61, INDIRECT("EneR!$A$6:$ZZ$1048576"), MATCH(U$1, EneR!$6:$6, 0), FALSE),
            0
        ) +
        IFERROR(
            VLOOKUP($A61, INDIRECT("FebR!$A$6:$ZZ$1048576"), MATCH(U$1, FebR!$6:$6, 0), FALSE),
            0
        ) +
        IFERROR(
            VLOOKUP($A61, INDIRECT("MarR!$A$6:$ZZ$1048576"), MATCH(U$1, MarR!$6:$6, 0), FALSE),
            0
        ) +
        IFERROR(
            VLOOKUP($A61, INDIRECT("AbrR!$A$6:$ZZ$1048576"), MATCH(U$1, AbrR!$6:$6, 0), FALSE),
            0
        ) +
        IFERROR(
            VLOOKUP($A61, INDIRECT("MayR!$A$6:$ZZ$1048576"), MATCH(U$1, MayR!$6:$6, 0), FALSE),
            0
        ) +
        IFERROR(
            VLOOKUP($A61, INDIRECT("JunR!$A$6:$ZZ$1048576"), MATCH(U$1, JunR!$6:$6, 0), FALSE),
            0
        ) +
        IFERROR(
            VLOOKUP($A61, INDIRECT("JulR!$A$6:$ZZ$1048576"), MATCH(U$1, JulR!$6:$6, 0), FALSE),
            0
        ) +
        IFERROR(
            VLOOKUP($A61, INDIRECT("AgoR!$A$6:$ZZ$1048576"), MATCH(U$1, AgoR!$6:$6, 0), FALSE),
            0
        ) +
        IFERROR(
            VLOOKUP($A61, INDIRECT("SepR!$A$6:$ZZ$1048576"), MATCH(U$1, SepR!$6:$6, 0), FALSE),
            0
        ) +
        IFERROR(
            VLOOKUP($A61, INDIRECT("OctR!$A$6:$ZZ$1048576"), MATCH(U$1, OctR!$6:$6, 0), FALSE),
            0
        ) +
        IFERROR(
            VLOOKUP($A61, INDIRECT("NovR!$A$6:$ZZ$1048576"), MATCH(U$1, NovR!$6:$6, 0), FALSE),
            0
        ) +
        IFERROR(
            VLOOKUP($A61, INDIRECT("DicR!$A$6:$ZZ$1048576"), MATCH(U$1, DicR!$6:$6, 0), FALSE),
            0
        )
)</f>
        <v>0</v>
      </c>
      <c r="V61" s="36">
        <f t="array" ref="V61">SUM(
    IFERROR(
            VLOOKUP($A61, INDIRECT("EneR!$A$6:$ZZ$1048576"), MATCH(V$1, EneR!$6:$6, 0), FALSE),
            0
        ) +
        IFERROR(
            VLOOKUP($A61, INDIRECT("FebR!$A$6:$ZZ$1048576"), MATCH(V$1, FebR!$6:$6, 0), FALSE),
            0
        ) +
        IFERROR(
            VLOOKUP($A61, INDIRECT("MarR!$A$6:$ZZ$1048576"), MATCH(V$1, MarR!$6:$6, 0), FALSE),
            0
        ) +
        IFERROR(
            VLOOKUP($A61, INDIRECT("AbrR!$A$6:$ZZ$1048576"), MATCH(V$1, AbrR!$6:$6, 0), FALSE),
            0
        ) +
        IFERROR(
            VLOOKUP($A61, INDIRECT("MayR!$A$6:$ZZ$1048576"), MATCH(V$1, MayR!$6:$6, 0), FALSE),
            0
        ) +
        IFERROR(
            VLOOKUP($A61, INDIRECT("JunR!$A$6:$ZZ$1048576"), MATCH(V$1, JunR!$6:$6, 0), FALSE),
            0
        ) +
        IFERROR(
            VLOOKUP($A61, INDIRECT("JulR!$A$6:$ZZ$1048576"), MATCH(V$1, JulR!$6:$6, 0), FALSE),
            0
        ) +
        IFERROR(
            VLOOKUP($A61, INDIRECT("AgoR!$A$6:$ZZ$1048576"), MATCH(V$1, AgoR!$6:$6, 0), FALSE),
            0
        ) +
        IFERROR(
            VLOOKUP($A61, INDIRECT("SepR!$A$6:$ZZ$1048576"), MATCH(V$1, SepR!$6:$6, 0), FALSE),
            0
        ) +
        IFERROR(
            VLOOKUP($A61, INDIRECT("OctR!$A$6:$ZZ$1048576"), MATCH(V$1, OctR!$6:$6, 0), FALSE),
            0
        ) +
        IFERROR(
            VLOOKUP($A61, INDIRECT("NovR!$A$6:$ZZ$1048576"), MATCH(V$1, NovR!$6:$6, 0), FALSE),
            0
        ) +
        IFERROR(
            VLOOKUP($A61, INDIRECT("DicR!$A$6:$ZZ$1048576"), MATCH(V$1, DicR!$6:$6, 0), FALSE),
            0
        )
)</f>
        <v>0</v>
      </c>
      <c r="W61" s="37">
        <f t="array" ref="W61">SUM(
    IFERROR(
            VLOOKUP($A61, INDIRECT("EneR!$A$6:$ZZ$1048576"), MATCH(W$1, EneR!$6:$6, 0), FALSE),
            0
        ) +
        IFERROR(
            VLOOKUP($A61, INDIRECT("FebR!$A$6:$ZZ$1048576"), MATCH(W$1, FebR!$6:$6, 0), FALSE),
            0
        ) +
        IFERROR(
            VLOOKUP($A61, INDIRECT("MarR!$A$6:$ZZ$1048576"), MATCH(W$1, MarR!$6:$6, 0), FALSE),
            0
        ) +
        IFERROR(
            VLOOKUP($A61, INDIRECT("AbrR!$A$6:$ZZ$1048576"), MATCH(W$1, AbrR!$6:$6, 0), FALSE),
            0
        ) +
        IFERROR(
            VLOOKUP($A61, INDIRECT("MayR!$A$6:$ZZ$1048576"), MATCH(W$1, MayR!$6:$6, 0), FALSE),
            0
        ) +
        IFERROR(
            VLOOKUP($A61, INDIRECT("JunR!$A$6:$ZZ$1048576"), MATCH(W$1, JunR!$6:$6, 0), FALSE),
            0
        ) +
        IFERROR(
            VLOOKUP($A61, INDIRECT("JulR!$A$6:$ZZ$1048576"), MATCH(W$1, JulR!$6:$6, 0), FALSE),
            0
        ) +
        IFERROR(
            VLOOKUP($A61, INDIRECT("AgoR!$A$6:$ZZ$1048576"), MATCH(W$1, AgoR!$6:$6, 0), FALSE),
            0
        ) +
        IFERROR(
            VLOOKUP($A61, INDIRECT("SepR!$A$6:$ZZ$1048576"), MATCH(W$1, SepR!$6:$6, 0), FALSE),
            0
        ) +
        IFERROR(
            VLOOKUP($A61, INDIRECT("OctR!$A$6:$ZZ$1048576"), MATCH(W$1, OctR!$6:$6, 0), FALSE),
            0
        ) +
        IFERROR(
            VLOOKUP($A61, INDIRECT("NovR!$A$6:$ZZ$1048576"), MATCH(W$1, NovR!$6:$6, 0), FALSE),
            0
        ) +
        IFERROR(
            VLOOKUP($A61, INDIRECT("DicR!$A$6:$ZZ$1048576"), MATCH(W$1, DicR!$6:$6, 0), FALSE),
            0
        )
)</f>
        <v>0</v>
      </c>
      <c r="X61" s="36">
        <f t="array" ref="X61">SUM(
    IFERROR(
            VLOOKUP($A61, INDIRECT("EneR!$A$6:$ZZ$1048576"), MATCH(X$1, EneR!$6:$6, 0), FALSE),
            0
        ) +
        IFERROR(
            VLOOKUP($A61, INDIRECT("FebR!$A$6:$ZZ$1048576"), MATCH(X$1, FebR!$6:$6, 0), FALSE),
            0
        ) +
        IFERROR(
            VLOOKUP($A61, INDIRECT("MarR!$A$6:$ZZ$1048576"), MATCH(X$1, MarR!$6:$6, 0), FALSE),
            0
        ) +
        IFERROR(
            VLOOKUP($A61, INDIRECT("AbrR!$A$6:$ZZ$1048576"), MATCH(X$1, AbrR!$6:$6, 0), FALSE),
            0
        ) +
        IFERROR(
            VLOOKUP($A61, INDIRECT("MayR!$A$6:$ZZ$1048576"), MATCH(X$1, MayR!$6:$6, 0), FALSE),
            0
        ) +
        IFERROR(
            VLOOKUP($A61, INDIRECT("JunR!$A$6:$ZZ$1048576"), MATCH(X$1, JunR!$6:$6, 0), FALSE),
            0
        ) +
        IFERROR(
            VLOOKUP($A61, INDIRECT("JulR!$A$6:$ZZ$1048576"), MATCH(X$1, JulR!$6:$6, 0), FALSE),
            0
        ) +
        IFERROR(
            VLOOKUP($A61, INDIRECT("AgoR!$A$6:$ZZ$1048576"), MATCH(X$1, AgoR!$6:$6, 0), FALSE),
            0
        ) +
        IFERROR(
            VLOOKUP($A61, INDIRECT("SepR!$A$6:$ZZ$1048576"), MATCH(X$1, SepR!$6:$6, 0), FALSE),
            0
        ) +
        IFERROR(
            VLOOKUP($A61, INDIRECT("OctR!$A$6:$ZZ$1048576"), MATCH(X$1, OctR!$6:$6, 0), FALSE),
            0
        ) +
        IFERROR(
            VLOOKUP($A61, INDIRECT("NovR!$A$6:$ZZ$1048576"), MATCH(X$1, NovR!$6:$6, 0), FALSE),
            0
        ) +
        IFERROR(
            VLOOKUP($A61, INDIRECT("DicR!$A$6:$ZZ$1048576"), MATCH(X$1, DicR!$6:$6, 0), FALSE),
            0
        )
)</f>
        <v>0</v>
      </c>
      <c r="Y61" s="37">
        <f t="array" ref="Y61">SUM(
    IFERROR(
            VLOOKUP($A61, INDIRECT("EneR!$A$6:$ZZ$1048576"), MATCH(Y$1, EneR!$6:$6, 0), FALSE),
            0
        ) +
        IFERROR(
            VLOOKUP($A61, INDIRECT("FebR!$A$6:$ZZ$1048576"), MATCH(Y$1, FebR!$6:$6, 0), FALSE),
            0
        ) +
        IFERROR(
            VLOOKUP($A61, INDIRECT("MarR!$A$6:$ZZ$1048576"), MATCH(Y$1, MarR!$6:$6, 0), FALSE),
            0
        ) +
        IFERROR(
            VLOOKUP($A61, INDIRECT("AbrR!$A$6:$ZZ$1048576"), MATCH(Y$1, AbrR!$6:$6, 0), FALSE),
            0
        ) +
        IFERROR(
            VLOOKUP($A61, INDIRECT("MayR!$A$6:$ZZ$1048576"), MATCH(Y$1, MayR!$6:$6, 0), FALSE),
            0
        ) +
        IFERROR(
            VLOOKUP($A61, INDIRECT("JunR!$A$6:$ZZ$1048576"), MATCH(Y$1, JunR!$6:$6, 0), FALSE),
            0
        ) +
        IFERROR(
            VLOOKUP($A61, INDIRECT("JulR!$A$6:$ZZ$1048576"), MATCH(Y$1, JulR!$6:$6, 0), FALSE),
            0
        ) +
        IFERROR(
            VLOOKUP($A61, INDIRECT("AgoR!$A$6:$ZZ$1048576"), MATCH(Y$1, AgoR!$6:$6, 0), FALSE),
            0
        ) +
        IFERROR(
            VLOOKUP($A61, INDIRECT("SepR!$A$6:$ZZ$1048576"), MATCH(Y$1, SepR!$6:$6, 0), FALSE),
            0
        ) +
        IFERROR(
            VLOOKUP($A61, INDIRECT("OctR!$A$6:$ZZ$1048576"), MATCH(Y$1, OctR!$6:$6, 0), FALSE),
            0
        ) +
        IFERROR(
            VLOOKUP($A61, INDIRECT("NovR!$A$6:$ZZ$1048576"), MATCH(Y$1, NovR!$6:$6, 0), FALSE),
            0
        ) +
        IFERROR(
            VLOOKUP($A61, INDIRECT("DicR!$A$6:$ZZ$1048576"), MATCH(Y$1, DicR!$6:$6, 0), FALSE),
            0
        )
)</f>
        <v>0</v>
      </c>
      <c r="Z61" s="36">
        <f t="array" ref="Z61">SUM(
    IFERROR(
            VLOOKUP($A61, INDIRECT("EneR!$A$6:$ZZ$1048576"), MATCH(Z$1, EneR!$6:$6, 0), FALSE),
            0
        ) +
        IFERROR(
            VLOOKUP($A61, INDIRECT("FebR!$A$6:$ZZ$1048576"), MATCH(Z$1, FebR!$6:$6, 0), FALSE),
            0
        ) +
        IFERROR(
            VLOOKUP($A61, INDIRECT("MarR!$A$6:$ZZ$1048576"), MATCH(Z$1, MarR!$6:$6, 0), FALSE),
            0
        ) +
        IFERROR(
            VLOOKUP($A61, INDIRECT("AbrR!$A$6:$ZZ$1048576"), MATCH(Z$1, AbrR!$6:$6, 0), FALSE),
            0
        ) +
        IFERROR(
            VLOOKUP($A61, INDIRECT("MayR!$A$6:$ZZ$1048576"), MATCH(Z$1, MayR!$6:$6, 0), FALSE),
            0
        ) +
        IFERROR(
            VLOOKUP($A61, INDIRECT("JunR!$A$6:$ZZ$1048576"), MATCH(Z$1, JunR!$6:$6, 0), FALSE),
            0
        ) +
        IFERROR(
            VLOOKUP($A61, INDIRECT("JulR!$A$6:$ZZ$1048576"), MATCH(Z$1, JulR!$6:$6, 0), FALSE),
            0
        ) +
        IFERROR(
            VLOOKUP($A61, INDIRECT("AgoR!$A$6:$ZZ$1048576"), MATCH(Z$1, AgoR!$6:$6, 0), FALSE),
            0
        ) +
        IFERROR(
            VLOOKUP($A61, INDIRECT("SepR!$A$6:$ZZ$1048576"), MATCH(Z$1, SepR!$6:$6, 0), FALSE),
            0
        ) +
        IFERROR(
            VLOOKUP($A61, INDIRECT("OctR!$A$6:$ZZ$1048576"), MATCH(Z$1, OctR!$6:$6, 0), FALSE),
            0
        ) +
        IFERROR(
            VLOOKUP($A61, INDIRECT("NovR!$A$6:$ZZ$1048576"), MATCH(Z$1, NovR!$6:$6, 0), FALSE),
            0
        ) +
        IFERROR(
            VLOOKUP($A61, INDIRECT("DicR!$A$6:$ZZ$1048576"), MATCH(Z$1, DicR!$6:$6, 0), FALSE),
            0
        )
)</f>
        <v>0</v>
      </c>
      <c r="AA61" s="37">
        <f t="array" ref="AA61">SUM(
    IFERROR(
            VLOOKUP($A61, INDIRECT("EneR!$A$6:$ZZ$1048576"), MATCH(AA$1, EneR!$6:$6, 0), FALSE),
            0
        ) +
        IFERROR(
            VLOOKUP($A61, INDIRECT("FebR!$A$6:$ZZ$1048576"), MATCH(AA$1, FebR!$6:$6, 0), FALSE),
            0
        ) +
        IFERROR(
            VLOOKUP($A61, INDIRECT("MarR!$A$6:$ZZ$1048576"), MATCH(AA$1, MarR!$6:$6, 0), FALSE),
            0
        ) +
        IFERROR(
            VLOOKUP($A61, INDIRECT("AbrR!$A$6:$ZZ$1048576"), MATCH(AA$1, AbrR!$6:$6, 0), FALSE),
            0
        ) +
        IFERROR(
            VLOOKUP($A61, INDIRECT("MayR!$A$6:$ZZ$1048576"), MATCH(AA$1, MayR!$6:$6, 0), FALSE),
            0
        ) +
        IFERROR(
            VLOOKUP($A61, INDIRECT("JunR!$A$6:$ZZ$1048576"), MATCH(AA$1, JunR!$6:$6, 0), FALSE),
            0
        ) +
        IFERROR(
            VLOOKUP($A61, INDIRECT("JulR!$A$6:$ZZ$1048576"), MATCH(AA$1, JulR!$6:$6, 0), FALSE),
            0
        ) +
        IFERROR(
            VLOOKUP($A61, INDIRECT("AgoR!$A$6:$ZZ$1048576"), MATCH(AA$1, AgoR!$6:$6, 0), FALSE),
            0
        ) +
        IFERROR(
            VLOOKUP($A61, INDIRECT("SepR!$A$6:$ZZ$1048576"), MATCH(AA$1, SepR!$6:$6, 0), FALSE),
            0
        ) +
        IFERROR(
            VLOOKUP($A61, INDIRECT("OctR!$A$6:$ZZ$1048576"), MATCH(AA$1, OctR!$6:$6, 0), FALSE),
            0
        ) +
        IFERROR(
            VLOOKUP($A61, INDIRECT("NovR!$A$6:$ZZ$1048576"), MATCH(AA$1, NovR!$6:$6, 0), FALSE),
            0
        ) +
        IFERROR(
            VLOOKUP($A61, INDIRECT("DicR!$A$6:$ZZ$1048576"), MATCH(AA$1, DicR!$6:$6, 0), FALSE),
            0
        )
)</f>
        <v>0</v>
      </c>
      <c r="AB61" s="36">
        <f t="array" ref="AB61">SUM(
    IFERROR(
            VLOOKUP($A61, INDIRECT("EneR!$A$6:$ZZ$1048576"), MATCH(AB$1, EneR!$6:$6, 0), FALSE),
            0
        ) +
        IFERROR(
            VLOOKUP($A61, INDIRECT("FebR!$A$6:$ZZ$1048576"), MATCH(AB$1, FebR!$6:$6, 0), FALSE),
            0
        ) +
        IFERROR(
            VLOOKUP($A61, INDIRECT("MarR!$A$6:$ZZ$1048576"), MATCH(AB$1, MarR!$6:$6, 0), FALSE),
            0
        ) +
        IFERROR(
            VLOOKUP($A61, INDIRECT("AbrR!$A$6:$ZZ$1048576"), MATCH(AB$1, AbrR!$6:$6, 0), FALSE),
            0
        ) +
        IFERROR(
            VLOOKUP($A61, INDIRECT("MayR!$A$6:$ZZ$1048576"), MATCH(AB$1, MayR!$6:$6, 0), FALSE),
            0
        ) +
        IFERROR(
            VLOOKUP($A61, INDIRECT("JunR!$A$6:$ZZ$1048576"), MATCH(AB$1, JunR!$6:$6, 0), FALSE),
            0
        ) +
        IFERROR(
            VLOOKUP($A61, INDIRECT("JulR!$A$6:$ZZ$1048576"), MATCH(AB$1, JulR!$6:$6, 0), FALSE),
            0
        ) +
        IFERROR(
            VLOOKUP($A61, INDIRECT("AgoR!$A$6:$ZZ$1048576"), MATCH(AB$1, AgoR!$6:$6, 0), FALSE),
            0
        ) +
        IFERROR(
            VLOOKUP($A61, INDIRECT("SepR!$A$6:$ZZ$1048576"), MATCH(AB$1, SepR!$6:$6, 0), FALSE),
            0
        ) +
        IFERROR(
            VLOOKUP($A61, INDIRECT("OctR!$A$6:$ZZ$1048576"), MATCH(AB$1, OctR!$6:$6, 0), FALSE),
            0
        ) +
        IFERROR(
            VLOOKUP($A61, INDIRECT("NovR!$A$6:$ZZ$1048576"), MATCH(AB$1, NovR!$6:$6, 0), FALSE),
            0
        ) +
        IFERROR(
            VLOOKUP($A61, INDIRECT("DicR!$A$6:$ZZ$1048576"), MATCH(AB$1, DicR!$6:$6, 0), FALSE),
            0
        )
)</f>
        <v>0</v>
      </c>
      <c r="AC61" s="37">
        <f t="array" ref="AC61">SUM(
    IFERROR(
            VLOOKUP($A61, INDIRECT("EneR!$A$6:$ZZ$1048576"), MATCH(AC$1, EneR!$6:$6, 0), FALSE),
            0
        ) +
        IFERROR(
            VLOOKUP($A61, INDIRECT("FebR!$A$6:$ZZ$1048576"), MATCH(AC$1, FebR!$6:$6, 0), FALSE),
            0
        ) +
        IFERROR(
            VLOOKUP($A61, INDIRECT("MarR!$A$6:$ZZ$1048576"), MATCH(AC$1, MarR!$6:$6, 0), FALSE),
            0
        ) +
        IFERROR(
            VLOOKUP($A61, INDIRECT("AbrR!$A$6:$ZZ$1048576"), MATCH(AC$1, AbrR!$6:$6, 0), FALSE),
            0
        ) +
        IFERROR(
            VLOOKUP($A61, INDIRECT("MayR!$A$6:$ZZ$1048576"), MATCH(AC$1, MayR!$6:$6, 0), FALSE),
            0
        ) +
        IFERROR(
            VLOOKUP($A61, INDIRECT("JunR!$A$6:$ZZ$1048576"), MATCH(AC$1, JunR!$6:$6, 0), FALSE),
            0
        ) +
        IFERROR(
            VLOOKUP($A61, INDIRECT("JulR!$A$6:$ZZ$1048576"), MATCH(AC$1, JulR!$6:$6, 0), FALSE),
            0
        ) +
        IFERROR(
            VLOOKUP($A61, INDIRECT("AgoR!$A$6:$ZZ$1048576"), MATCH(AC$1, AgoR!$6:$6, 0), FALSE),
            0
        ) +
        IFERROR(
            VLOOKUP($A61, INDIRECT("SepR!$A$6:$ZZ$1048576"), MATCH(AC$1, SepR!$6:$6, 0), FALSE),
            0
        ) +
        IFERROR(
            VLOOKUP($A61, INDIRECT("OctR!$A$6:$ZZ$1048576"), MATCH(AC$1, OctR!$6:$6, 0), FALSE),
            0
        ) +
        IFERROR(
            VLOOKUP($A61, INDIRECT("NovR!$A$6:$ZZ$1048576"), MATCH(AC$1, NovR!$6:$6, 0), FALSE),
            0
        ) +
        IFERROR(
            VLOOKUP($A61, INDIRECT("DicR!$A$6:$ZZ$1048576"), MATCH(AC$1, DicR!$6:$6, 0), FALSE),
            0
        )
)</f>
        <v>0</v>
      </c>
      <c r="AD61" s="36">
        <f t="array" ref="AD61">SUM(
    IFERROR(
            VLOOKUP($A61, INDIRECT("EneR!$A$6:$ZZ$1048576"), MATCH(AD$1, EneR!$6:$6, 0), FALSE),
            0
        ) +
        IFERROR(
            VLOOKUP($A61, INDIRECT("FebR!$A$6:$ZZ$1048576"), MATCH(AD$1, FebR!$6:$6, 0), FALSE),
            0
        ) +
        IFERROR(
            VLOOKUP($A61, INDIRECT("MarR!$A$6:$ZZ$1048576"), MATCH(AD$1, MarR!$6:$6, 0), FALSE),
            0
        ) +
        IFERROR(
            VLOOKUP($A61, INDIRECT("AbrR!$A$6:$ZZ$1048576"), MATCH(AD$1, AbrR!$6:$6, 0), FALSE),
            0
        ) +
        IFERROR(
            VLOOKUP($A61, INDIRECT("MayR!$A$6:$ZZ$1048576"), MATCH(AD$1, MayR!$6:$6, 0), FALSE),
            0
        ) +
        IFERROR(
            VLOOKUP($A61, INDIRECT("JunR!$A$6:$ZZ$1048576"), MATCH(AD$1, JunR!$6:$6, 0), FALSE),
            0
        ) +
        IFERROR(
            VLOOKUP($A61, INDIRECT("JulR!$A$6:$ZZ$1048576"), MATCH(AD$1, JulR!$6:$6, 0), FALSE),
            0
        ) +
        IFERROR(
            VLOOKUP($A61, INDIRECT("AgoR!$A$6:$ZZ$1048576"), MATCH(AD$1, AgoR!$6:$6, 0), FALSE),
            0
        ) +
        IFERROR(
            VLOOKUP($A61, INDIRECT("SepR!$A$6:$ZZ$1048576"), MATCH(AD$1, SepR!$6:$6, 0), FALSE),
            0
        ) +
        IFERROR(
            VLOOKUP($A61, INDIRECT("OctR!$A$6:$ZZ$1048576"), MATCH(AD$1, OctR!$6:$6, 0), FALSE),
            0
        ) +
        IFERROR(
            VLOOKUP($A61, INDIRECT("NovR!$A$6:$ZZ$1048576"), MATCH(AD$1, NovR!$6:$6, 0), FALSE),
            0
        ) +
        IFERROR(
            VLOOKUP($A61, INDIRECT("DicR!$A$6:$ZZ$1048576"), MATCH(AD$1, DicR!$6:$6, 0), FALSE),
            0
        )
)</f>
        <v>0</v>
      </c>
      <c r="AE61" s="37">
        <f t="array" ref="AE61">SUM(
    IFERROR(
            VLOOKUP($A61, INDIRECT("EneR!$A$6:$ZZ$1048576"), MATCH(AE$1, EneR!$6:$6, 0), FALSE),
            0
        ) +
        IFERROR(
            VLOOKUP($A61, INDIRECT("FebR!$A$6:$ZZ$1048576"), MATCH(AE$1, FebR!$6:$6, 0), FALSE),
            0
        ) +
        IFERROR(
            VLOOKUP($A61, INDIRECT("MarR!$A$6:$ZZ$1048576"), MATCH(AE$1, MarR!$6:$6, 0), FALSE),
            0
        ) +
        IFERROR(
            VLOOKUP($A61, INDIRECT("AbrR!$A$6:$ZZ$1048576"), MATCH(AE$1, AbrR!$6:$6, 0), FALSE),
            0
        ) +
        IFERROR(
            VLOOKUP($A61, INDIRECT("MayR!$A$6:$ZZ$1048576"), MATCH(AE$1, MayR!$6:$6, 0), FALSE),
            0
        ) +
        IFERROR(
            VLOOKUP($A61, INDIRECT("JunR!$A$6:$ZZ$1048576"), MATCH(AE$1, JunR!$6:$6, 0), FALSE),
            0
        ) +
        IFERROR(
            VLOOKUP($A61, INDIRECT("JulR!$A$6:$ZZ$1048576"), MATCH(AE$1, JulR!$6:$6, 0), FALSE),
            0
        ) +
        IFERROR(
            VLOOKUP($A61, INDIRECT("AgoR!$A$6:$ZZ$1048576"), MATCH(AE$1, AgoR!$6:$6, 0), FALSE),
            0
        ) +
        IFERROR(
            VLOOKUP($A61, INDIRECT("SepR!$A$6:$ZZ$1048576"), MATCH(AE$1, SepR!$6:$6, 0), FALSE),
            0
        ) +
        IFERROR(
            VLOOKUP($A61, INDIRECT("OctR!$A$6:$ZZ$1048576"), MATCH(AE$1, OctR!$6:$6, 0), FALSE),
            0
        ) +
        IFERROR(
            VLOOKUP($A61, INDIRECT("NovR!$A$6:$ZZ$1048576"), MATCH(AE$1, NovR!$6:$6, 0), FALSE),
            0
        ) +
        IFERROR(
            VLOOKUP($A61, INDIRECT("DicR!$A$6:$ZZ$1048576"), MATCH(AE$1, DicR!$6:$6, 0), FALSE),
            0
        )
)</f>
        <v>0</v>
      </c>
      <c r="AF61" s="36">
        <f t="array" ref="AF61">SUM(
    IFERROR(
            VLOOKUP($A61, INDIRECT("EneR!$A$6:$ZZ$1048576"), MATCH(AF$1, EneR!$6:$6, 0), FALSE),
            0
        ) +
        IFERROR(
            VLOOKUP($A61, INDIRECT("FebR!$A$6:$ZZ$1048576"), MATCH(AF$1, FebR!$6:$6, 0), FALSE),
            0
        ) +
        IFERROR(
            VLOOKUP($A61, INDIRECT("MarR!$A$6:$ZZ$1048576"), MATCH(AF$1, MarR!$6:$6, 0), FALSE),
            0
        ) +
        IFERROR(
            VLOOKUP($A61, INDIRECT("AbrR!$A$6:$ZZ$1048576"), MATCH(AF$1, AbrR!$6:$6, 0), FALSE),
            0
        ) +
        IFERROR(
            VLOOKUP($A61, INDIRECT("MayR!$A$6:$ZZ$1048576"), MATCH(AF$1, MayR!$6:$6, 0), FALSE),
            0
        ) +
        IFERROR(
            VLOOKUP($A61, INDIRECT("JunR!$A$6:$ZZ$1048576"), MATCH(AF$1, JunR!$6:$6, 0), FALSE),
            0
        ) +
        IFERROR(
            VLOOKUP($A61, INDIRECT("JulR!$A$6:$ZZ$1048576"), MATCH(AF$1, JulR!$6:$6, 0), FALSE),
            0
        ) +
        IFERROR(
            VLOOKUP($A61, INDIRECT("AgoR!$A$6:$ZZ$1048576"), MATCH(AF$1, AgoR!$6:$6, 0), FALSE),
            0
        ) +
        IFERROR(
            VLOOKUP($A61, INDIRECT("SepR!$A$6:$ZZ$1048576"), MATCH(AF$1, SepR!$6:$6, 0), FALSE),
            0
        ) +
        IFERROR(
            VLOOKUP($A61, INDIRECT("OctR!$A$6:$ZZ$1048576"), MATCH(AF$1, OctR!$6:$6, 0), FALSE),
            0
        ) +
        IFERROR(
            VLOOKUP($A61, INDIRECT("NovR!$A$6:$ZZ$1048576"), MATCH(AF$1, NovR!$6:$6, 0), FALSE),
            0
        ) +
        IFERROR(
            VLOOKUP($A61, INDIRECT("DicR!$A$6:$ZZ$1048576"), MATCH(AF$1, DicR!$6:$6, 0), FALSE),
            0
        )
)</f>
        <v>0</v>
      </c>
      <c r="AG61" s="37">
        <f t="array" ref="AG61">SUM(
    IFERROR(
            VLOOKUP($A61, INDIRECT("EneR!$A$6:$ZZ$1048576"), MATCH(AG$1, EneR!$6:$6, 0), FALSE),
            0
        ) +
        IFERROR(
            VLOOKUP($A61, INDIRECT("FebR!$A$6:$ZZ$1048576"), MATCH(AG$1, FebR!$6:$6, 0), FALSE),
            0
        ) +
        IFERROR(
            VLOOKUP($A61, INDIRECT("MarR!$A$6:$ZZ$1048576"), MATCH(AG$1, MarR!$6:$6, 0), FALSE),
            0
        ) +
        IFERROR(
            VLOOKUP($A61, INDIRECT("AbrR!$A$6:$ZZ$1048576"), MATCH(AG$1, AbrR!$6:$6, 0), FALSE),
            0
        ) +
        IFERROR(
            VLOOKUP($A61, INDIRECT("MayR!$A$6:$ZZ$1048576"), MATCH(AG$1, MayR!$6:$6, 0), FALSE),
            0
        ) +
        IFERROR(
            VLOOKUP($A61, INDIRECT("JunR!$A$6:$ZZ$1048576"), MATCH(AG$1, JunR!$6:$6, 0), FALSE),
            0
        ) +
        IFERROR(
            VLOOKUP($A61, INDIRECT("JulR!$A$6:$ZZ$1048576"), MATCH(AG$1, JulR!$6:$6, 0), FALSE),
            0
        ) +
        IFERROR(
            VLOOKUP($A61, INDIRECT("AgoR!$A$6:$ZZ$1048576"), MATCH(AG$1, AgoR!$6:$6, 0), FALSE),
            0
        ) +
        IFERROR(
            VLOOKUP($A61, INDIRECT("SepR!$A$6:$ZZ$1048576"), MATCH(AG$1, SepR!$6:$6, 0), FALSE),
            0
        ) +
        IFERROR(
            VLOOKUP($A61, INDIRECT("OctR!$A$6:$ZZ$1048576"), MATCH(AG$1, OctR!$6:$6, 0), FALSE),
            0
        ) +
        IFERROR(
            VLOOKUP($A61, INDIRECT("NovR!$A$6:$ZZ$1048576"), MATCH(AG$1, NovR!$6:$6, 0), FALSE),
            0
        ) +
        IFERROR(
            VLOOKUP($A61, INDIRECT("DicR!$A$6:$ZZ$1048576"), MATCH(AG$1, DicR!$6:$6, 0), FALSE),
            0
        )
)</f>
        <v>0</v>
      </c>
      <c r="AH61" s="36">
        <f t="array" ref="AH61">SUM(
    IFERROR(
            VLOOKUP($A61, INDIRECT("EneR!$A$6:$ZZ$1048576"), MATCH(AH$1, EneR!$6:$6, 0), FALSE),
            0
        ) +
        IFERROR(
            VLOOKUP($A61, INDIRECT("FebR!$A$6:$ZZ$1048576"), MATCH(AH$1, FebR!$6:$6, 0), FALSE),
            0
        ) +
        IFERROR(
            VLOOKUP($A61, INDIRECT("MarR!$A$6:$ZZ$1048576"), MATCH(AH$1, MarR!$6:$6, 0), FALSE),
            0
        ) +
        IFERROR(
            VLOOKUP($A61, INDIRECT("AbrR!$A$6:$ZZ$1048576"), MATCH(AH$1, AbrR!$6:$6, 0), FALSE),
            0
        ) +
        IFERROR(
            VLOOKUP($A61, INDIRECT("MayR!$A$6:$ZZ$1048576"), MATCH(AH$1, MayR!$6:$6, 0), FALSE),
            0
        ) +
        IFERROR(
            VLOOKUP($A61, INDIRECT("JunR!$A$6:$ZZ$1048576"), MATCH(AH$1, JunR!$6:$6, 0), FALSE),
            0
        ) +
        IFERROR(
            VLOOKUP($A61, INDIRECT("JulR!$A$6:$ZZ$1048576"), MATCH(AH$1, JulR!$6:$6, 0), FALSE),
            0
        ) +
        IFERROR(
            VLOOKUP($A61, INDIRECT("AgoR!$A$6:$ZZ$1048576"), MATCH(AH$1, AgoR!$6:$6, 0), FALSE),
            0
        ) +
        IFERROR(
            VLOOKUP($A61, INDIRECT("SepR!$A$6:$ZZ$1048576"), MATCH(AH$1, SepR!$6:$6, 0), FALSE),
            0
        ) +
        IFERROR(
            VLOOKUP($A61, INDIRECT("OctR!$A$6:$ZZ$1048576"), MATCH(AH$1, OctR!$6:$6, 0), FALSE),
            0
        ) +
        IFERROR(
            VLOOKUP($A61, INDIRECT("NovR!$A$6:$ZZ$1048576"), MATCH(AH$1, NovR!$6:$6, 0), FALSE),
            0
        ) +
        IFERROR(
            VLOOKUP($A61, INDIRECT("DicR!$A$6:$ZZ$1048576"), MATCH(AH$1, DicR!$6:$6, 0), FALSE),
            0
        )
)</f>
        <v>0</v>
      </c>
      <c r="AI61" s="37">
        <f t="array" ref="AI61">SUM(
    IFERROR(
            VLOOKUP($A61, INDIRECT("EneR!$A$6:$ZZ$1048576"), MATCH(AI$1, EneR!$6:$6, 0), FALSE),
            0
        ) +
        IFERROR(
            VLOOKUP($A61, INDIRECT("FebR!$A$6:$ZZ$1048576"), MATCH(AI$1, FebR!$6:$6, 0), FALSE),
            0
        ) +
        IFERROR(
            VLOOKUP($A61, INDIRECT("MarR!$A$6:$ZZ$1048576"), MATCH(AI$1, MarR!$6:$6, 0), FALSE),
            0
        ) +
        IFERROR(
            VLOOKUP($A61, INDIRECT("AbrR!$A$6:$ZZ$1048576"), MATCH(AI$1, AbrR!$6:$6, 0), FALSE),
            0
        ) +
        IFERROR(
            VLOOKUP($A61, INDIRECT("MayR!$A$6:$ZZ$1048576"), MATCH(AI$1, MayR!$6:$6, 0), FALSE),
            0
        ) +
        IFERROR(
            VLOOKUP($A61, INDIRECT("JunR!$A$6:$ZZ$1048576"), MATCH(AI$1, JunR!$6:$6, 0), FALSE),
            0
        ) +
        IFERROR(
            VLOOKUP($A61, INDIRECT("JulR!$A$6:$ZZ$1048576"), MATCH(AI$1, JulR!$6:$6, 0), FALSE),
            0
        ) +
        IFERROR(
            VLOOKUP($A61, INDIRECT("AgoR!$A$6:$ZZ$1048576"), MATCH(AI$1, AgoR!$6:$6, 0), FALSE),
            0
        ) +
        IFERROR(
            VLOOKUP($A61, INDIRECT("SepR!$A$6:$ZZ$1048576"), MATCH(AI$1, SepR!$6:$6, 0), FALSE),
            0
        ) +
        IFERROR(
            VLOOKUP($A61, INDIRECT("OctR!$A$6:$ZZ$1048576"), MATCH(AI$1, OctR!$6:$6, 0), FALSE),
            0
        ) +
        IFERROR(
            VLOOKUP($A61, INDIRECT("NovR!$A$6:$ZZ$1048576"), MATCH(AI$1, NovR!$6:$6, 0), FALSE),
            0
        ) +
        IFERROR(
            VLOOKUP($A61, INDIRECT("DicR!$A$6:$ZZ$1048576"), MATCH(AI$1, DicR!$6:$6, 0), FALSE),
            0
        )
)</f>
        <v>0</v>
      </c>
      <c r="AJ61" s="36">
        <f t="array" ref="AJ61">SUM(
    IFERROR(
            VLOOKUP($A61, INDIRECT("EneR!$A$6:$ZZ$1048576"), MATCH(AJ$1, EneR!$6:$6, 0), FALSE),
            0
        ) +
        IFERROR(
            VLOOKUP($A61, INDIRECT("FebR!$A$6:$ZZ$1048576"), MATCH(AJ$1, FebR!$6:$6, 0), FALSE),
            0
        ) +
        IFERROR(
            VLOOKUP($A61, INDIRECT("MarR!$A$6:$ZZ$1048576"), MATCH(AJ$1, MarR!$6:$6, 0), FALSE),
            0
        ) +
        IFERROR(
            VLOOKUP($A61, INDIRECT("AbrR!$A$6:$ZZ$1048576"), MATCH(AJ$1, AbrR!$6:$6, 0), FALSE),
            0
        ) +
        IFERROR(
            VLOOKUP($A61, INDIRECT("MayR!$A$6:$ZZ$1048576"), MATCH(AJ$1, MayR!$6:$6, 0), FALSE),
            0
        ) +
        IFERROR(
            VLOOKUP($A61, INDIRECT("JunR!$A$6:$ZZ$1048576"), MATCH(AJ$1, JunR!$6:$6, 0), FALSE),
            0
        ) +
        IFERROR(
            VLOOKUP($A61, INDIRECT("JulR!$A$6:$ZZ$1048576"), MATCH(AJ$1, JulR!$6:$6, 0), FALSE),
            0
        ) +
        IFERROR(
            VLOOKUP($A61, INDIRECT("AgoR!$A$6:$ZZ$1048576"), MATCH(AJ$1, AgoR!$6:$6, 0), FALSE),
            0
        ) +
        IFERROR(
            VLOOKUP($A61, INDIRECT("SepR!$A$6:$ZZ$1048576"), MATCH(AJ$1, SepR!$6:$6, 0), FALSE),
            0
        ) +
        IFERROR(
            VLOOKUP($A61, INDIRECT("OctR!$A$6:$ZZ$1048576"), MATCH(AJ$1, OctR!$6:$6, 0), FALSE),
            0
        ) +
        IFERROR(
            VLOOKUP($A61, INDIRECT("NovR!$A$6:$ZZ$1048576"), MATCH(AJ$1, NovR!$6:$6, 0), FALSE),
            0
        ) +
        IFERROR(
            VLOOKUP($A61, INDIRECT("DicR!$A$6:$ZZ$1048576"), MATCH(AJ$1, DicR!$6:$6, 0), FALSE),
            0
        )
)</f>
        <v>0</v>
      </c>
      <c r="AK61" s="37">
        <f t="array" ref="AK61">SUM(
    IFERROR(
            VLOOKUP($A61, INDIRECT("EneR!$A$6:$ZZ$1048576"), MATCH(AK$1, EneR!$6:$6, 0), FALSE),
            0
        ) +
        IFERROR(
            VLOOKUP($A61, INDIRECT("FebR!$A$6:$ZZ$1048576"), MATCH(AK$1, FebR!$6:$6, 0), FALSE),
            0
        ) +
        IFERROR(
            VLOOKUP($A61, INDIRECT("MarR!$A$6:$ZZ$1048576"), MATCH(AK$1, MarR!$6:$6, 0), FALSE),
            0
        ) +
        IFERROR(
            VLOOKUP($A61, INDIRECT("AbrR!$A$6:$ZZ$1048576"), MATCH(AK$1, AbrR!$6:$6, 0), FALSE),
            0
        ) +
        IFERROR(
            VLOOKUP($A61, INDIRECT("MayR!$A$6:$ZZ$1048576"), MATCH(AK$1, MayR!$6:$6, 0), FALSE),
            0
        ) +
        IFERROR(
            VLOOKUP($A61, INDIRECT("JunR!$A$6:$ZZ$1048576"), MATCH(AK$1, JunR!$6:$6, 0), FALSE),
            0
        ) +
        IFERROR(
            VLOOKUP($A61, INDIRECT("JulR!$A$6:$ZZ$1048576"), MATCH(AK$1, JulR!$6:$6, 0), FALSE),
            0
        ) +
        IFERROR(
            VLOOKUP($A61, INDIRECT("AgoR!$A$6:$ZZ$1048576"), MATCH(AK$1, AgoR!$6:$6, 0), FALSE),
            0
        ) +
        IFERROR(
            VLOOKUP($A61, INDIRECT("SepR!$A$6:$ZZ$1048576"), MATCH(AK$1, SepR!$6:$6, 0), FALSE),
            0
        ) +
        IFERROR(
            VLOOKUP($A61, INDIRECT("OctR!$A$6:$ZZ$1048576"), MATCH(AK$1, OctR!$6:$6, 0), FALSE),
            0
        ) +
        IFERROR(
            VLOOKUP($A61, INDIRECT("NovR!$A$6:$ZZ$1048576"), MATCH(AK$1, NovR!$6:$6, 0), FALSE),
            0
        ) +
        IFERROR(
            VLOOKUP($A61, INDIRECT("DicR!$A$6:$ZZ$1048576"), MATCH(AK$1, DicR!$6:$6, 0), FALSE),
            0
        )
)</f>
        <v>0</v>
      </c>
      <c r="AL61" s="36">
        <f t="array" ref="AL61">SUM(
    IFERROR(
            VLOOKUP($A61, INDIRECT("EneR!$A$6:$ZZ$1048576"), MATCH(AL$1, EneR!$6:$6, 0), FALSE),
            0
        ) +
        IFERROR(
            VLOOKUP($A61, INDIRECT("FebR!$A$6:$ZZ$1048576"), MATCH(AL$1, FebR!$6:$6, 0), FALSE),
            0
        ) +
        IFERROR(
            VLOOKUP($A61, INDIRECT("MarR!$A$6:$ZZ$1048576"), MATCH(AL$1, MarR!$6:$6, 0), FALSE),
            0
        ) +
        IFERROR(
            VLOOKUP($A61, INDIRECT("AbrR!$A$6:$ZZ$1048576"), MATCH(AL$1, AbrR!$6:$6, 0), FALSE),
            0
        ) +
        IFERROR(
            VLOOKUP($A61, INDIRECT("MayR!$A$6:$ZZ$1048576"), MATCH(AL$1, MayR!$6:$6, 0), FALSE),
            0
        ) +
        IFERROR(
            VLOOKUP($A61, INDIRECT("JunR!$A$6:$ZZ$1048576"), MATCH(AL$1, JunR!$6:$6, 0), FALSE),
            0
        ) +
        IFERROR(
            VLOOKUP($A61, INDIRECT("JulR!$A$6:$ZZ$1048576"), MATCH(AL$1, JulR!$6:$6, 0), FALSE),
            0
        ) +
        IFERROR(
            VLOOKUP($A61, INDIRECT("AgoR!$A$6:$ZZ$1048576"), MATCH(AL$1, AgoR!$6:$6, 0), FALSE),
            0
        ) +
        IFERROR(
            VLOOKUP($A61, INDIRECT("SepR!$A$6:$ZZ$1048576"), MATCH(AL$1, SepR!$6:$6, 0), FALSE),
            0
        ) +
        IFERROR(
            VLOOKUP($A61, INDIRECT("OctR!$A$6:$ZZ$1048576"), MATCH(AL$1, OctR!$6:$6, 0), FALSE),
            0
        ) +
        IFERROR(
            VLOOKUP($A61, INDIRECT("NovR!$A$6:$ZZ$1048576"), MATCH(AL$1, NovR!$6:$6, 0), FALSE),
            0
        ) +
        IFERROR(
            VLOOKUP($A61, INDIRECT("DicR!$A$6:$ZZ$1048576"), MATCH(AL$1, DicR!$6:$6, 0), FALSE),
            0
        )
)</f>
        <v>0</v>
      </c>
      <c r="AM61" s="37">
        <f t="array" ref="AM61">SUM(
    IFERROR(
            VLOOKUP($A61, INDIRECT("EneR!$A$6:$ZZ$1048576"), MATCH(AM$1, EneR!$6:$6, 0), FALSE),
            0
        ) +
        IFERROR(
            VLOOKUP($A61, INDIRECT("FebR!$A$6:$ZZ$1048576"), MATCH(AM$1, FebR!$6:$6, 0), FALSE),
            0
        ) +
        IFERROR(
            VLOOKUP($A61, INDIRECT("MarR!$A$6:$ZZ$1048576"), MATCH(AM$1, MarR!$6:$6, 0), FALSE),
            0
        ) +
        IFERROR(
            VLOOKUP($A61, INDIRECT("AbrR!$A$6:$ZZ$1048576"), MATCH(AM$1, AbrR!$6:$6, 0), FALSE),
            0
        ) +
        IFERROR(
            VLOOKUP($A61, INDIRECT("MayR!$A$6:$ZZ$1048576"), MATCH(AM$1, MayR!$6:$6, 0), FALSE),
            0
        ) +
        IFERROR(
            VLOOKUP($A61, INDIRECT("JunR!$A$6:$ZZ$1048576"), MATCH(AM$1, JunR!$6:$6, 0), FALSE),
            0
        ) +
        IFERROR(
            VLOOKUP($A61, INDIRECT("JulR!$A$6:$ZZ$1048576"), MATCH(AM$1, JulR!$6:$6, 0), FALSE),
            0
        ) +
        IFERROR(
            VLOOKUP($A61, INDIRECT("AgoR!$A$6:$ZZ$1048576"), MATCH(AM$1, AgoR!$6:$6, 0), FALSE),
            0
        ) +
        IFERROR(
            VLOOKUP($A61, INDIRECT("SepR!$A$6:$ZZ$1048576"), MATCH(AM$1, SepR!$6:$6, 0), FALSE),
            0
        ) +
        IFERROR(
            VLOOKUP($A61, INDIRECT("OctR!$A$6:$ZZ$1048576"), MATCH(AM$1, OctR!$6:$6, 0), FALSE),
            0
        ) +
        IFERROR(
            VLOOKUP($A61, INDIRECT("NovR!$A$6:$ZZ$1048576"), MATCH(AM$1, NovR!$6:$6, 0), FALSE),
            0
        ) +
        IFERROR(
            VLOOKUP($A61, INDIRECT("DicR!$A$6:$ZZ$1048576"), MATCH(AM$1, DicR!$6:$6, 0), FALSE),
            0
        )
)</f>
        <v>0</v>
      </c>
      <c r="AN61" s="32">
        <f t="array" ref="AN61">SUM(
    IFERROR(
            VLOOKUP($A61, INDIRECT("EneR!$A$6:$ZZ$1048576"), MATCH(AN$1, EneR!$6:$6, 0), FALSE),
            0
        ) +
        IFERROR(
            VLOOKUP($A61, INDIRECT("FebR!$A$6:$ZZ$1048576"), MATCH(AN$1, FebR!$6:$6, 0), FALSE),
            0
        ) +
        IFERROR(
            VLOOKUP($A61, INDIRECT("MarR!$A$6:$ZZ$1048576"), MATCH(AN$1, MarR!$6:$6, 0), FALSE),
            0
        ) +
        IFERROR(
            VLOOKUP($A61, INDIRECT("AbrR!$A$6:$ZZ$1048576"), MATCH(AN$1, AbrR!$6:$6, 0), FALSE),
            0
        ) +
        IFERROR(
            VLOOKUP($A61, INDIRECT("MayR!$A$6:$ZZ$1048576"), MATCH(AN$1, MayR!$6:$6, 0), FALSE),
            0
        ) +
        IFERROR(
            VLOOKUP($A61, INDIRECT("JunR!$A$6:$ZZ$1048576"), MATCH(AN$1, JunR!$6:$6, 0), FALSE),
            0
        ) +
        IFERROR(
            VLOOKUP($A61, INDIRECT("JulR!$A$6:$ZZ$1048576"), MATCH(AN$1, JulR!$6:$6, 0), FALSE),
            0
        ) +
        IFERROR(
            VLOOKUP($A61, INDIRECT("AgoR!$A$6:$ZZ$1048576"), MATCH(AN$1, AgoR!$6:$6, 0), FALSE),
            0
        ) +
        IFERROR(
            VLOOKUP($A61, INDIRECT("SepR!$A$6:$ZZ$1048576"), MATCH(AN$1, SepR!$6:$6, 0), FALSE),
            0
        ) +
        IFERROR(
            VLOOKUP($A61, INDIRECT("OctR!$A$6:$ZZ$1048576"), MATCH(AN$1, OctR!$6:$6, 0), FALSE),
            0
        ) +
        IFERROR(
            VLOOKUP($A61, INDIRECT("NovR!$A$6:$ZZ$1048576"), MATCH(AN$1, NovR!$6:$6, 0), FALSE),
            0
        ) +
        IFERROR(
            VLOOKUP($A61, INDIRECT("DicR!$A$6:$ZZ$1048576"), MATCH(AN$1, DicR!$6:$6, 0), FALSE),
            0
        )
)</f>
        <v>0</v>
      </c>
      <c r="AO61" s="35">
        <f t="array" ref="AO61">SUM(
    IFERROR(
            VLOOKUP($A61, INDIRECT("EneR!$A$6:$ZZ$1048576"), MATCH(AO$1, EneR!$6:$6, 0), FALSE),
            0
        ) +
        IFERROR(
            VLOOKUP($A61, INDIRECT("FebR!$A$6:$ZZ$1048576"), MATCH(AO$1, FebR!$6:$6, 0), FALSE),
            0
        ) +
        IFERROR(
            VLOOKUP($A61, INDIRECT("MarR!$A$6:$ZZ$1048576"), MATCH(AO$1, MarR!$6:$6, 0), FALSE),
            0
        ) +
        IFERROR(
            VLOOKUP($A61, INDIRECT("AbrR!$A$6:$ZZ$1048576"), MATCH(AO$1, AbrR!$6:$6, 0), FALSE),
            0
        ) +
        IFERROR(
            VLOOKUP($A61, INDIRECT("MayR!$A$6:$ZZ$1048576"), MATCH(AO$1, MayR!$6:$6, 0), FALSE),
            0
        ) +
        IFERROR(
            VLOOKUP($A61, INDIRECT("JunR!$A$6:$ZZ$1048576"), MATCH(AO$1, JunR!$6:$6, 0), FALSE),
            0
        ) +
        IFERROR(
            VLOOKUP($A61, INDIRECT("JulR!$A$6:$ZZ$1048576"), MATCH(AO$1, JulR!$6:$6, 0), FALSE),
            0
        ) +
        IFERROR(
            VLOOKUP($A61, INDIRECT("AgoR!$A$6:$ZZ$1048576"), MATCH(AO$1, AgoR!$6:$6, 0), FALSE),
            0
        ) +
        IFERROR(
            VLOOKUP($A61, INDIRECT("SepR!$A$6:$ZZ$1048576"), MATCH(AO$1, SepR!$6:$6, 0), FALSE),
            0
        ) +
        IFERROR(
            VLOOKUP($A61, INDIRECT("OctR!$A$6:$ZZ$1048576"), MATCH(AO$1, OctR!$6:$6, 0), FALSE),
            0
        ) +
        IFERROR(
            VLOOKUP($A61, INDIRECT("NovR!$A$6:$ZZ$1048576"), MATCH(AO$1, NovR!$6:$6, 0), FALSE),
            0
        ) +
        IFERROR(
            VLOOKUP($A61, INDIRECT("DicR!$A$6:$ZZ$1048576"), MATCH(AO$1, DicR!$6:$6, 0), FALSE),
            0
        )
)</f>
        <v>0</v>
      </c>
      <c r="AP61" s="36">
        <f t="array" ref="AP61">SUM(
    IFERROR(
            VLOOKUP($A61, INDIRECT("EneR!$A$6:$ZZ$1048576"), MATCH(AP$1, EneR!$6:$6, 0), FALSE),
            0
        ) +
        IFERROR(
            VLOOKUP($A61, INDIRECT("FebR!$A$6:$ZZ$1048576"), MATCH(AP$1, FebR!$6:$6, 0), FALSE),
            0
        ) +
        IFERROR(
            VLOOKUP($A61, INDIRECT("MarR!$A$6:$ZZ$1048576"), MATCH(AP$1, MarR!$6:$6, 0), FALSE),
            0
        ) +
        IFERROR(
            VLOOKUP($A61, INDIRECT("AbrR!$A$6:$ZZ$1048576"), MATCH(AP$1, AbrR!$6:$6, 0), FALSE),
            0
        ) +
        IFERROR(
            VLOOKUP($A61, INDIRECT("MayR!$A$6:$ZZ$1048576"), MATCH(AP$1, MayR!$6:$6, 0), FALSE),
            0
        ) +
        IFERROR(
            VLOOKUP($A61, INDIRECT("JunR!$A$6:$ZZ$1048576"), MATCH(AP$1, JunR!$6:$6, 0), FALSE),
            0
        ) +
        IFERROR(
            VLOOKUP($A61, INDIRECT("JulR!$A$6:$ZZ$1048576"), MATCH(AP$1, JulR!$6:$6, 0), FALSE),
            0
        ) +
        IFERROR(
            VLOOKUP($A61, INDIRECT("AgoR!$A$6:$ZZ$1048576"), MATCH(AP$1, AgoR!$6:$6, 0), FALSE),
            0
        ) +
        IFERROR(
            VLOOKUP($A61, INDIRECT("SepR!$A$6:$ZZ$1048576"), MATCH(AP$1, SepR!$6:$6, 0), FALSE),
            0
        ) +
        IFERROR(
            VLOOKUP($A61, INDIRECT("OctR!$A$6:$ZZ$1048576"), MATCH(AP$1, OctR!$6:$6, 0), FALSE),
            0
        ) +
        IFERROR(
            VLOOKUP($A61, INDIRECT("NovR!$A$6:$ZZ$1048576"), MATCH(AP$1, NovR!$6:$6, 0), FALSE),
            0
        ) +
        IFERROR(
            VLOOKUP($A61, INDIRECT("DicR!$A$6:$ZZ$1048576"), MATCH(AP$1, DicR!$6:$6, 0), FALSE),
            0
        )
)</f>
        <v>0</v>
      </c>
      <c r="AQ61" s="35">
        <f t="array" ref="AQ61">SUM(
    IFERROR(
            VLOOKUP($A61, INDIRECT("EneR!$A$6:$ZZ$1048576"), MATCH(AQ$1, EneR!$6:$6, 0), FALSE),
            0
        ) +
        IFERROR(
            VLOOKUP($A61, INDIRECT("FebR!$A$6:$ZZ$1048576"), MATCH(AQ$1, FebR!$6:$6, 0), FALSE),
            0
        ) +
        IFERROR(
            VLOOKUP($A61, INDIRECT("MarR!$A$6:$ZZ$1048576"), MATCH(AQ$1, MarR!$6:$6, 0), FALSE),
            0
        ) +
        IFERROR(
            VLOOKUP($A61, INDIRECT("AbrR!$A$6:$ZZ$1048576"), MATCH(AQ$1, AbrR!$6:$6, 0), FALSE),
            0
        ) +
        IFERROR(
            VLOOKUP($A61, INDIRECT("MayR!$A$6:$ZZ$1048576"), MATCH(AQ$1, MayR!$6:$6, 0), FALSE),
            0
        ) +
        IFERROR(
            VLOOKUP($A61, INDIRECT("JunR!$A$6:$ZZ$1048576"), MATCH(AQ$1, JunR!$6:$6, 0), FALSE),
            0
        ) +
        IFERROR(
            VLOOKUP($A61, INDIRECT("JulR!$A$6:$ZZ$1048576"), MATCH(AQ$1, JulR!$6:$6, 0), FALSE),
            0
        ) +
        IFERROR(
            VLOOKUP($A61, INDIRECT("AgoR!$A$6:$ZZ$1048576"), MATCH(AQ$1, AgoR!$6:$6, 0), FALSE),
            0
        ) +
        IFERROR(
            VLOOKUP($A61, INDIRECT("SepR!$A$6:$ZZ$1048576"), MATCH(AQ$1, SepR!$6:$6, 0), FALSE),
            0
        ) +
        IFERROR(
            VLOOKUP($A61, INDIRECT("OctR!$A$6:$ZZ$1048576"), MATCH(AQ$1, OctR!$6:$6, 0), FALSE),
            0
        ) +
        IFERROR(
            VLOOKUP($A61, INDIRECT("NovR!$A$6:$ZZ$1048576"), MATCH(AQ$1, NovR!$6:$6, 0), FALSE),
            0
        ) +
        IFERROR(
            VLOOKUP($A61, INDIRECT("DicR!$A$6:$ZZ$1048576"), MATCH(AQ$1, DicR!$6:$6, 0), FALSE),
            0
        )
)</f>
        <v>0</v>
      </c>
      <c r="AR61" s="36">
        <f t="array" ref="AR61">SUM(
    IFERROR(
            VLOOKUP($A61, INDIRECT("EneR!$A$6:$ZZ$1048576"), MATCH(AR$1, EneR!$6:$6, 0), FALSE),
            0
        ) +
        IFERROR(
            VLOOKUP($A61, INDIRECT("FebR!$A$6:$ZZ$1048576"), MATCH(AR$1, FebR!$6:$6, 0), FALSE),
            0
        ) +
        IFERROR(
            VLOOKUP($A61, INDIRECT("MarR!$A$6:$ZZ$1048576"), MATCH(AR$1, MarR!$6:$6, 0), FALSE),
            0
        ) +
        IFERROR(
            VLOOKUP($A61, INDIRECT("AbrR!$A$6:$ZZ$1048576"), MATCH(AR$1, AbrR!$6:$6, 0), FALSE),
            0
        ) +
        IFERROR(
            VLOOKUP($A61, INDIRECT("MayR!$A$6:$ZZ$1048576"), MATCH(AR$1, MayR!$6:$6, 0), FALSE),
            0
        ) +
        IFERROR(
            VLOOKUP($A61, INDIRECT("JunR!$A$6:$ZZ$1048576"), MATCH(AR$1, JunR!$6:$6, 0), FALSE),
            0
        ) +
        IFERROR(
            VLOOKUP($A61, INDIRECT("JulR!$A$6:$ZZ$1048576"), MATCH(AR$1, JulR!$6:$6, 0), FALSE),
            0
        ) +
        IFERROR(
            VLOOKUP($A61, INDIRECT("AgoR!$A$6:$ZZ$1048576"), MATCH(AR$1, AgoR!$6:$6, 0), FALSE),
            0
        ) +
        IFERROR(
            VLOOKUP($A61, INDIRECT("SepR!$A$6:$ZZ$1048576"), MATCH(AR$1, SepR!$6:$6, 0), FALSE),
            0
        ) +
        IFERROR(
            VLOOKUP($A61, INDIRECT("OctR!$A$6:$ZZ$1048576"), MATCH(AR$1, OctR!$6:$6, 0), FALSE),
            0
        ) +
        IFERROR(
            VLOOKUP($A61, INDIRECT("NovR!$A$6:$ZZ$1048576"), MATCH(AR$1, NovR!$6:$6, 0), FALSE),
            0
        ) +
        IFERROR(
            VLOOKUP($A61, INDIRECT("DicR!$A$6:$ZZ$1048576"), MATCH(AR$1, DicR!$6:$6, 0), FALSE),
            0
        )
)</f>
        <v>0</v>
      </c>
      <c r="AS61" s="35">
        <f t="array" ref="AS61">SUM(
    IFERROR(
            VLOOKUP($A61, INDIRECT("EneR!$A$6:$ZZ$1048576"), MATCH(AS$1, EneR!$6:$6, 0), FALSE),
            0
        ) +
        IFERROR(
            VLOOKUP($A61, INDIRECT("FebR!$A$6:$ZZ$1048576"), MATCH(AS$1, FebR!$6:$6, 0), FALSE),
            0
        ) +
        IFERROR(
            VLOOKUP($A61, INDIRECT("MarR!$A$6:$ZZ$1048576"), MATCH(AS$1, MarR!$6:$6, 0), FALSE),
            0
        ) +
        IFERROR(
            VLOOKUP($A61, INDIRECT("AbrR!$A$6:$ZZ$1048576"), MATCH(AS$1, AbrR!$6:$6, 0), FALSE),
            0
        ) +
        IFERROR(
            VLOOKUP($A61, INDIRECT("MayR!$A$6:$ZZ$1048576"), MATCH(AS$1, MayR!$6:$6, 0), FALSE),
            0
        ) +
        IFERROR(
            VLOOKUP($A61, INDIRECT("JunR!$A$6:$ZZ$1048576"), MATCH(AS$1, JunR!$6:$6, 0), FALSE),
            0
        ) +
        IFERROR(
            VLOOKUP($A61, INDIRECT("JulR!$A$6:$ZZ$1048576"), MATCH(AS$1, JulR!$6:$6, 0), FALSE),
            0
        ) +
        IFERROR(
            VLOOKUP($A61, INDIRECT("AgoR!$A$6:$ZZ$1048576"), MATCH(AS$1, AgoR!$6:$6, 0), FALSE),
            0
        ) +
        IFERROR(
            VLOOKUP($A61, INDIRECT("SepR!$A$6:$ZZ$1048576"), MATCH(AS$1, SepR!$6:$6, 0), FALSE),
            0
        ) +
        IFERROR(
            VLOOKUP($A61, INDIRECT("OctR!$A$6:$ZZ$1048576"), MATCH(AS$1, OctR!$6:$6, 0), FALSE),
            0
        ) +
        IFERROR(
            VLOOKUP($A61, INDIRECT("NovR!$A$6:$ZZ$1048576"), MATCH(AS$1, NovR!$6:$6, 0), FALSE),
            0
        ) +
        IFERROR(
            VLOOKUP($A61, INDIRECT("DicR!$A$6:$ZZ$1048576"), MATCH(AS$1, DicR!$6:$6, 0), FALSE),
            0
        )
)</f>
        <v>0</v>
      </c>
      <c r="AT61" s="36">
        <f t="array" ref="AT61">SUM(
    IFERROR(
            VLOOKUP($A61, INDIRECT("EneR!$A$6:$ZZ$1048576"), MATCH(AT$1, EneR!$6:$6, 0), FALSE),
            0
        ) +
        IFERROR(
            VLOOKUP($A61, INDIRECT("FebR!$A$6:$ZZ$1048576"), MATCH(AT$1, FebR!$6:$6, 0), FALSE),
            0
        ) +
        IFERROR(
            VLOOKUP($A61, INDIRECT("MarR!$A$6:$ZZ$1048576"), MATCH(AT$1, MarR!$6:$6, 0), FALSE),
            0
        ) +
        IFERROR(
            VLOOKUP($A61, INDIRECT("AbrR!$A$6:$ZZ$1048576"), MATCH(AT$1, AbrR!$6:$6, 0), FALSE),
            0
        ) +
        IFERROR(
            VLOOKUP($A61, INDIRECT("MayR!$A$6:$ZZ$1048576"), MATCH(AT$1, MayR!$6:$6, 0), FALSE),
            0
        ) +
        IFERROR(
            VLOOKUP($A61, INDIRECT("JunR!$A$6:$ZZ$1048576"), MATCH(AT$1, JunR!$6:$6, 0), FALSE),
            0
        ) +
        IFERROR(
            VLOOKUP($A61, INDIRECT("JulR!$A$6:$ZZ$1048576"), MATCH(AT$1, JulR!$6:$6, 0), FALSE),
            0
        ) +
        IFERROR(
            VLOOKUP($A61, INDIRECT("AgoR!$A$6:$ZZ$1048576"), MATCH(AT$1, AgoR!$6:$6, 0), FALSE),
            0
        ) +
        IFERROR(
            VLOOKUP($A61, INDIRECT("SepR!$A$6:$ZZ$1048576"), MATCH(AT$1, SepR!$6:$6, 0), FALSE),
            0
        ) +
        IFERROR(
            VLOOKUP($A61, INDIRECT("OctR!$A$6:$ZZ$1048576"), MATCH(AT$1, OctR!$6:$6, 0), FALSE),
            0
        ) +
        IFERROR(
            VLOOKUP($A61, INDIRECT("NovR!$A$6:$ZZ$1048576"), MATCH(AT$1, NovR!$6:$6, 0), FALSE),
            0
        ) +
        IFERROR(
            VLOOKUP($A61, INDIRECT("DicR!$A$6:$ZZ$1048576"), MATCH(AT$1, DicR!$6:$6, 0), FALSE),
            0
        )
)</f>
        <v>0</v>
      </c>
      <c r="AU61" s="35">
        <f t="array" ref="AU61">SUM(
    IFERROR(
            VLOOKUP($A61, INDIRECT("EneR!$A$6:$ZZ$1048576"), MATCH(AU$1, EneR!$6:$6, 0), FALSE),
            0
        ) +
        IFERROR(
            VLOOKUP($A61, INDIRECT("FebR!$A$6:$ZZ$1048576"), MATCH(AU$1, FebR!$6:$6, 0), FALSE),
            0
        ) +
        IFERROR(
            VLOOKUP($A61, INDIRECT("MarR!$A$6:$ZZ$1048576"), MATCH(AU$1, MarR!$6:$6, 0), FALSE),
            0
        ) +
        IFERROR(
            VLOOKUP($A61, INDIRECT("AbrR!$A$6:$ZZ$1048576"), MATCH(AU$1, AbrR!$6:$6, 0), FALSE),
            0
        ) +
        IFERROR(
            VLOOKUP($A61, INDIRECT("MayR!$A$6:$ZZ$1048576"), MATCH(AU$1, MayR!$6:$6, 0), FALSE),
            0
        ) +
        IFERROR(
            VLOOKUP($A61, INDIRECT("JunR!$A$6:$ZZ$1048576"), MATCH(AU$1, JunR!$6:$6, 0), FALSE),
            0
        ) +
        IFERROR(
            VLOOKUP($A61, INDIRECT("JulR!$A$6:$ZZ$1048576"), MATCH(AU$1, JulR!$6:$6, 0), FALSE),
            0
        ) +
        IFERROR(
            VLOOKUP($A61, INDIRECT("AgoR!$A$6:$ZZ$1048576"), MATCH(AU$1, AgoR!$6:$6, 0), FALSE),
            0
        ) +
        IFERROR(
            VLOOKUP($A61, INDIRECT("SepR!$A$6:$ZZ$1048576"), MATCH(AU$1, SepR!$6:$6, 0), FALSE),
            0
        ) +
        IFERROR(
            VLOOKUP($A61, INDIRECT("OctR!$A$6:$ZZ$1048576"), MATCH(AU$1, OctR!$6:$6, 0), FALSE),
            0
        ) +
        IFERROR(
            VLOOKUP($A61, INDIRECT("NovR!$A$6:$ZZ$1048576"), MATCH(AU$1, NovR!$6:$6, 0), FALSE),
            0
        ) +
        IFERROR(
            VLOOKUP($A61, INDIRECT("DicR!$A$6:$ZZ$1048576"), MATCH(AU$1, DicR!$6:$6, 0), FALSE),
            0
        )
)</f>
        <v>0</v>
      </c>
      <c r="AV61" s="36">
        <f t="array" ref="AV61">SUM(
    IFERROR(
            VLOOKUP($A61, INDIRECT("EneR!$A$6:$ZZ$1048576"), MATCH(AV$1, EneR!$6:$6, 0), FALSE),
            0
        ) +
        IFERROR(
            VLOOKUP($A61, INDIRECT("FebR!$A$6:$ZZ$1048576"), MATCH(AV$1, FebR!$6:$6, 0), FALSE),
            0
        ) +
        IFERROR(
            VLOOKUP($A61, INDIRECT("MarR!$A$6:$ZZ$1048576"), MATCH(AV$1, MarR!$6:$6, 0), FALSE),
            0
        ) +
        IFERROR(
            VLOOKUP($A61, INDIRECT("AbrR!$A$6:$ZZ$1048576"), MATCH(AV$1, AbrR!$6:$6, 0), FALSE),
            0
        ) +
        IFERROR(
            VLOOKUP($A61, INDIRECT("MayR!$A$6:$ZZ$1048576"), MATCH(AV$1, MayR!$6:$6, 0), FALSE),
            0
        ) +
        IFERROR(
            VLOOKUP($A61, INDIRECT("JunR!$A$6:$ZZ$1048576"), MATCH(AV$1, JunR!$6:$6, 0), FALSE),
            0
        ) +
        IFERROR(
            VLOOKUP($A61, INDIRECT("JulR!$A$6:$ZZ$1048576"), MATCH(AV$1, JulR!$6:$6, 0), FALSE),
            0
        ) +
        IFERROR(
            VLOOKUP($A61, INDIRECT("AgoR!$A$6:$ZZ$1048576"), MATCH(AV$1, AgoR!$6:$6, 0), FALSE),
            0
        ) +
        IFERROR(
            VLOOKUP($A61, INDIRECT("SepR!$A$6:$ZZ$1048576"), MATCH(AV$1, SepR!$6:$6, 0), FALSE),
            0
        ) +
        IFERROR(
            VLOOKUP($A61, INDIRECT("OctR!$A$6:$ZZ$1048576"), MATCH(AV$1, OctR!$6:$6, 0), FALSE),
            0
        ) +
        IFERROR(
            VLOOKUP($A61, INDIRECT("NovR!$A$6:$ZZ$1048576"), MATCH(AV$1, NovR!$6:$6, 0), FALSE),
            0
        ) +
        IFERROR(
            VLOOKUP($A61, INDIRECT("DicR!$A$6:$ZZ$1048576"), MATCH(AV$1, DicR!$6:$6, 0), FALSE),
            0
        )
)</f>
        <v>0</v>
      </c>
      <c r="AW61" s="35">
        <f t="array" ref="AW61">SUM(
    IFERROR(
            VLOOKUP($A61, INDIRECT("EneR!$A$6:$ZZ$1048576"), MATCH(AW$1, EneR!$6:$6, 0), FALSE),
            0
        ) +
        IFERROR(
            VLOOKUP($A61, INDIRECT("FebR!$A$6:$ZZ$1048576"), MATCH(AW$1, FebR!$6:$6, 0), FALSE),
            0
        ) +
        IFERROR(
            VLOOKUP($A61, INDIRECT("MarR!$A$6:$ZZ$1048576"), MATCH(AW$1, MarR!$6:$6, 0), FALSE),
            0
        ) +
        IFERROR(
            VLOOKUP($A61, INDIRECT("AbrR!$A$6:$ZZ$1048576"), MATCH(AW$1, AbrR!$6:$6, 0), FALSE),
            0
        ) +
        IFERROR(
            VLOOKUP($A61, INDIRECT("MayR!$A$6:$ZZ$1048576"), MATCH(AW$1, MayR!$6:$6, 0), FALSE),
            0
        ) +
        IFERROR(
            VLOOKUP($A61, INDIRECT("JunR!$A$6:$ZZ$1048576"), MATCH(AW$1, JunR!$6:$6, 0), FALSE),
            0
        ) +
        IFERROR(
            VLOOKUP($A61, INDIRECT("JulR!$A$6:$ZZ$1048576"), MATCH(AW$1, JulR!$6:$6, 0), FALSE),
            0
        ) +
        IFERROR(
            VLOOKUP($A61, INDIRECT("AgoR!$A$6:$ZZ$1048576"), MATCH(AW$1, AgoR!$6:$6, 0), FALSE),
            0
        ) +
        IFERROR(
            VLOOKUP($A61, INDIRECT("SepR!$A$6:$ZZ$1048576"), MATCH(AW$1, SepR!$6:$6, 0), FALSE),
            0
        ) +
        IFERROR(
            VLOOKUP($A61, INDIRECT("OctR!$A$6:$ZZ$1048576"), MATCH(AW$1, OctR!$6:$6, 0), FALSE),
            0
        ) +
        IFERROR(
            VLOOKUP($A61, INDIRECT("NovR!$A$6:$ZZ$1048576"), MATCH(AW$1, NovR!$6:$6, 0), FALSE),
            0
        ) +
        IFERROR(
            VLOOKUP($A61, INDIRECT("DicR!$A$6:$ZZ$1048576"), MATCH(AW$1, DicR!$6:$6, 0), FALSE),
            0
        )
)</f>
        <v>0</v>
      </c>
      <c r="AX61" s="36">
        <f t="array" ref="AX61">SUM(
    IFERROR(
            VLOOKUP($A61, INDIRECT("EneR!$A$6:$ZZ$1048576"), MATCH(AX$1, EneR!$6:$6, 0), FALSE),
            0
        ) +
        IFERROR(
            VLOOKUP($A61, INDIRECT("FebR!$A$6:$ZZ$1048576"), MATCH(AX$1, FebR!$6:$6, 0), FALSE),
            0
        ) +
        IFERROR(
            VLOOKUP($A61, INDIRECT("MarR!$A$6:$ZZ$1048576"), MATCH(AX$1, MarR!$6:$6, 0), FALSE),
            0
        ) +
        IFERROR(
            VLOOKUP($A61, INDIRECT("AbrR!$A$6:$ZZ$1048576"), MATCH(AX$1, AbrR!$6:$6, 0), FALSE),
            0
        ) +
        IFERROR(
            VLOOKUP($A61, INDIRECT("MayR!$A$6:$ZZ$1048576"), MATCH(AX$1, MayR!$6:$6, 0), FALSE),
            0
        ) +
        IFERROR(
            VLOOKUP($A61, INDIRECT("JunR!$A$6:$ZZ$1048576"), MATCH(AX$1, JunR!$6:$6, 0), FALSE),
            0
        ) +
        IFERROR(
            VLOOKUP($A61, INDIRECT("JulR!$A$6:$ZZ$1048576"), MATCH(AX$1, JulR!$6:$6, 0), FALSE),
            0
        ) +
        IFERROR(
            VLOOKUP($A61, INDIRECT("AgoR!$A$6:$ZZ$1048576"), MATCH(AX$1, AgoR!$6:$6, 0), FALSE),
            0
        ) +
        IFERROR(
            VLOOKUP($A61, INDIRECT("SepR!$A$6:$ZZ$1048576"), MATCH(AX$1, SepR!$6:$6, 0), FALSE),
            0
        ) +
        IFERROR(
            VLOOKUP($A61, INDIRECT("OctR!$A$6:$ZZ$1048576"), MATCH(AX$1, OctR!$6:$6, 0), FALSE),
            0
        ) +
        IFERROR(
            VLOOKUP($A61, INDIRECT("NovR!$A$6:$ZZ$1048576"), MATCH(AX$1, NovR!$6:$6, 0), FALSE),
            0
        ) +
        IFERROR(
            VLOOKUP($A61, INDIRECT("DicR!$A$6:$ZZ$1048576"), MATCH(AX$1, DicR!$6:$6, 0), FALSE),
            0
        )
)</f>
        <v>0</v>
      </c>
      <c r="AY61" s="35">
        <f t="array" ref="AY61">SUM(
    IFERROR(
            VLOOKUP($A61, INDIRECT("EneR!$A$6:$ZZ$1048576"), MATCH(AY$1, EneR!$6:$6, 0), FALSE),
            0
        ) +
        IFERROR(
            VLOOKUP($A61, INDIRECT("FebR!$A$6:$ZZ$1048576"), MATCH(AY$1, FebR!$6:$6, 0), FALSE),
            0
        ) +
        IFERROR(
            VLOOKUP($A61, INDIRECT("MarR!$A$6:$ZZ$1048576"), MATCH(AY$1, MarR!$6:$6, 0), FALSE),
            0
        ) +
        IFERROR(
            VLOOKUP($A61, INDIRECT("AbrR!$A$6:$ZZ$1048576"), MATCH(AY$1, AbrR!$6:$6, 0), FALSE),
            0
        ) +
        IFERROR(
            VLOOKUP($A61, INDIRECT("MayR!$A$6:$ZZ$1048576"), MATCH(AY$1, MayR!$6:$6, 0), FALSE),
            0
        ) +
        IFERROR(
            VLOOKUP($A61, INDIRECT("JunR!$A$6:$ZZ$1048576"), MATCH(AY$1, JunR!$6:$6, 0), FALSE),
            0
        ) +
        IFERROR(
            VLOOKUP($A61, INDIRECT("JulR!$A$6:$ZZ$1048576"), MATCH(AY$1, JulR!$6:$6, 0), FALSE),
            0
        ) +
        IFERROR(
            VLOOKUP($A61, INDIRECT("AgoR!$A$6:$ZZ$1048576"), MATCH(AY$1, AgoR!$6:$6, 0), FALSE),
            0
        ) +
        IFERROR(
            VLOOKUP($A61, INDIRECT("SepR!$A$6:$ZZ$1048576"), MATCH(AY$1, SepR!$6:$6, 0), FALSE),
            0
        ) +
        IFERROR(
            VLOOKUP($A61, INDIRECT("OctR!$A$6:$ZZ$1048576"), MATCH(AY$1, OctR!$6:$6, 0), FALSE),
            0
        ) +
        IFERROR(
            VLOOKUP($A61, INDIRECT("NovR!$A$6:$ZZ$1048576"), MATCH(AY$1, NovR!$6:$6, 0), FALSE),
            0
        ) +
        IFERROR(
            VLOOKUP($A61, INDIRECT("DicR!$A$6:$ZZ$1048576"), MATCH(AY$1, DicR!$6:$6, 0), FALSE),
            0
        )
)</f>
        <v>0</v>
      </c>
      <c r="AZ61" s="35"/>
    </row>
    <row r="62" ht="15.75" customHeight="1">
      <c r="A62" s="12" t="str">
        <f>Menus!B23</f>
        <v/>
      </c>
      <c r="B62" s="32">
        <f t="shared" si="9"/>
        <v>0</v>
      </c>
      <c r="C62" s="33" t="str">
        <f t="shared" si="10"/>
        <v/>
      </c>
      <c r="D62" s="34">
        <f t="array" ref="D62">SUM(
    IFERROR(
            VLOOKUP($A62, INDIRECT("EneR!$A$6:$ZZ$1048576"), MATCH(D$1, EneR!$6:$6, 0), FALSE),
            0
        ) +
        IFERROR(
            VLOOKUP($A62, INDIRECT("FebR!$A$6:$ZZ$1048576"), MATCH(D$1, FebR!$6:$6, 0), FALSE),
            0
        ) +
        IFERROR(
            VLOOKUP($A62, INDIRECT("MarR!$A$6:$ZZ$1048576"), MATCH(D$1, MarR!$6:$6, 0), FALSE),
            0
        ) +
        IFERROR(
            VLOOKUP($A62, INDIRECT("AbrR!$A$6:$ZZ$1048576"), MATCH(D$1, AbrR!$6:$6, 0), FALSE),
            0
        ) +
        IFERROR(
            VLOOKUP($A62, INDIRECT("MayR!$A$6:$ZZ$1048576"), MATCH(D$1, MayR!$6:$6, 0), FALSE),
            0
        ) +
        IFERROR(
            VLOOKUP($A62, INDIRECT("JunR!$A$6:$ZZ$1048576"), MATCH(D$1, JunR!$6:$6, 0), FALSE),
            0
        ) +
        IFERROR(
            VLOOKUP($A62, INDIRECT("JulR!$A$6:$ZZ$1048576"), MATCH(D$1, JulR!$6:$6, 0), FALSE),
            0
        ) +
        IFERROR(
            VLOOKUP($A62, INDIRECT("AgoR!$A$6:$ZZ$1048576"), MATCH(D$1, AgoR!$6:$6, 0), FALSE),
            0
        ) +
        IFERROR(
            VLOOKUP($A62, INDIRECT("SepR!$A$6:$ZZ$1048576"), MATCH(D$1, SepR!$6:$6, 0), FALSE),
            0
        ) +
        IFERROR(
            VLOOKUP($A62, INDIRECT("OctR!$A$6:$ZZ$1048576"), MATCH(D$1, OctR!$6:$6, 0), FALSE),
            0
        ) +
        IFERROR(
            VLOOKUP($A62, INDIRECT("NovR!$A$6:$ZZ$1048576"), MATCH(D$1, NovR!$6:$6, 0), FALSE),
            0
        ) +
        IFERROR(
            VLOOKUP($A62, INDIRECT("DicR!$A$6:$ZZ$1048576"), MATCH(D$1, DicR!$6:$6, 0), FALSE),
            0
        )
)</f>
        <v>0</v>
      </c>
      <c r="E62" s="35">
        <f t="array" ref="E62">SUM(
    IFERROR(
            VLOOKUP($A62, INDIRECT("EneR!$A$6:$ZZ$1048576"), MATCH(E$1, EneR!$6:$6, 0), FALSE),
            0
        ) +
        IFERROR(
            VLOOKUP($A62, INDIRECT("FebR!$A$6:$ZZ$1048576"), MATCH(E$1, FebR!$6:$6, 0), FALSE),
            0
        ) +
        IFERROR(
            VLOOKUP($A62, INDIRECT("MarR!$A$6:$ZZ$1048576"), MATCH(E$1, MarR!$6:$6, 0), FALSE),
            0
        ) +
        IFERROR(
            VLOOKUP($A62, INDIRECT("AbrR!$A$6:$ZZ$1048576"), MATCH(E$1, AbrR!$6:$6, 0), FALSE),
            0
        ) +
        IFERROR(
            VLOOKUP($A62, INDIRECT("MayR!$A$6:$ZZ$1048576"), MATCH(E$1, MayR!$6:$6, 0), FALSE),
            0
        ) +
        IFERROR(
            VLOOKUP($A62, INDIRECT("JunR!$A$6:$ZZ$1048576"), MATCH(E$1, JunR!$6:$6, 0), FALSE),
            0
        ) +
        IFERROR(
            VLOOKUP($A62, INDIRECT("JulR!$A$6:$ZZ$1048576"), MATCH(E$1, JulR!$6:$6, 0), FALSE),
            0
        ) +
        IFERROR(
            VLOOKUP($A62, INDIRECT("AgoR!$A$6:$ZZ$1048576"), MATCH(E$1, AgoR!$6:$6, 0), FALSE),
            0
        ) +
        IFERROR(
            VLOOKUP($A62, INDIRECT("SepR!$A$6:$ZZ$1048576"), MATCH(E$1, SepR!$6:$6, 0), FALSE),
            0
        ) +
        IFERROR(
            VLOOKUP($A62, INDIRECT("OctR!$A$6:$ZZ$1048576"), MATCH(E$1, OctR!$6:$6, 0), FALSE),
            0
        ) +
        IFERROR(
            VLOOKUP($A62, INDIRECT("NovR!$A$6:$ZZ$1048576"), MATCH(E$1, NovR!$6:$6, 0), FALSE),
            0
        ) +
        IFERROR(
            VLOOKUP($A62, INDIRECT("DicR!$A$6:$ZZ$1048576"), MATCH(E$1, DicR!$6:$6, 0), FALSE),
            0
        )
)</f>
        <v>0</v>
      </c>
      <c r="F62" s="32">
        <f t="array" ref="F62">SUM(
    IFERROR(
            VLOOKUP($A62, INDIRECT("EneR!$A$6:$ZZ$1048576"), MATCH(F$1, EneR!$6:$6, 0), FALSE),
            0
        ) +
        IFERROR(
            VLOOKUP($A62, INDIRECT("FebR!$A$6:$ZZ$1048576"), MATCH(F$1, FebR!$6:$6, 0), FALSE),
            0
        ) +
        IFERROR(
            VLOOKUP($A62, INDIRECT("MarR!$A$6:$ZZ$1048576"), MATCH(F$1, MarR!$6:$6, 0), FALSE),
            0
        ) +
        IFERROR(
            VLOOKUP($A62, INDIRECT("AbrR!$A$6:$ZZ$1048576"), MATCH(F$1, AbrR!$6:$6, 0), FALSE),
            0
        ) +
        IFERROR(
            VLOOKUP($A62, INDIRECT("MayR!$A$6:$ZZ$1048576"), MATCH(F$1, MayR!$6:$6, 0), FALSE),
            0
        ) +
        IFERROR(
            VLOOKUP($A62, INDIRECT("JunR!$A$6:$ZZ$1048576"), MATCH(F$1, JunR!$6:$6, 0), FALSE),
            0
        ) +
        IFERROR(
            VLOOKUP($A62, INDIRECT("JulR!$A$6:$ZZ$1048576"), MATCH(F$1, JulR!$6:$6, 0), FALSE),
            0
        ) +
        IFERROR(
            VLOOKUP($A62, INDIRECT("AgoR!$A$6:$ZZ$1048576"), MATCH(F$1, AgoR!$6:$6, 0), FALSE),
            0
        ) +
        IFERROR(
            VLOOKUP($A62, INDIRECT("SepR!$A$6:$ZZ$1048576"), MATCH(F$1, SepR!$6:$6, 0), FALSE),
            0
        ) +
        IFERROR(
            VLOOKUP($A62, INDIRECT("OctR!$A$6:$ZZ$1048576"), MATCH(F$1, OctR!$6:$6, 0), FALSE),
            0
        ) +
        IFERROR(
            VLOOKUP($A62, INDIRECT("NovR!$A$6:$ZZ$1048576"), MATCH(F$1, NovR!$6:$6, 0), FALSE),
            0
        ) +
        IFERROR(
            VLOOKUP($A62, INDIRECT("DicR!$A$6:$ZZ$1048576"), MATCH(F$1, DicR!$6:$6, 0), FALSE),
            0
        )
)</f>
        <v>0</v>
      </c>
      <c r="G62" s="35">
        <f t="array" ref="G62">SUM(
    IFERROR(
            VLOOKUP($A62, INDIRECT("EneR!$A$6:$ZZ$1048576"), MATCH(G$1, EneR!$6:$6, 0), FALSE),
            0
        ) +
        IFERROR(
            VLOOKUP($A62, INDIRECT("FebR!$A$6:$ZZ$1048576"), MATCH(G$1, FebR!$6:$6, 0), FALSE),
            0
        ) +
        IFERROR(
            VLOOKUP($A62, INDIRECT("MarR!$A$6:$ZZ$1048576"), MATCH(G$1, MarR!$6:$6, 0), FALSE),
            0
        ) +
        IFERROR(
            VLOOKUP($A62, INDIRECT("AbrR!$A$6:$ZZ$1048576"), MATCH(G$1, AbrR!$6:$6, 0), FALSE),
            0
        ) +
        IFERROR(
            VLOOKUP($A62, INDIRECT("MayR!$A$6:$ZZ$1048576"), MATCH(G$1, MayR!$6:$6, 0), FALSE),
            0
        ) +
        IFERROR(
            VLOOKUP($A62, INDIRECT("JunR!$A$6:$ZZ$1048576"), MATCH(G$1, JunR!$6:$6, 0), FALSE),
            0
        ) +
        IFERROR(
            VLOOKUP($A62, INDIRECT("JulR!$A$6:$ZZ$1048576"), MATCH(G$1, JulR!$6:$6, 0), FALSE),
            0
        ) +
        IFERROR(
            VLOOKUP($A62, INDIRECT("AgoR!$A$6:$ZZ$1048576"), MATCH(G$1, AgoR!$6:$6, 0), FALSE),
            0
        ) +
        IFERROR(
            VLOOKUP($A62, INDIRECT("SepR!$A$6:$ZZ$1048576"), MATCH(G$1, SepR!$6:$6, 0), FALSE),
            0
        ) +
        IFERROR(
            VLOOKUP($A62, INDIRECT("OctR!$A$6:$ZZ$1048576"), MATCH(G$1, OctR!$6:$6, 0), FALSE),
            0
        ) +
        IFERROR(
            VLOOKUP($A62, INDIRECT("NovR!$A$6:$ZZ$1048576"), MATCH(G$1, NovR!$6:$6, 0), FALSE),
            0
        ) +
        IFERROR(
            VLOOKUP($A62, INDIRECT("DicR!$A$6:$ZZ$1048576"), MATCH(G$1, DicR!$6:$6, 0), FALSE),
            0
        )
)</f>
        <v>0</v>
      </c>
      <c r="H62" s="32">
        <f t="array" ref="H62">SUM(
    IFERROR(
            VLOOKUP($A62, INDIRECT("EneR!$A$6:$ZZ$1048576"), MATCH(H$1, EneR!$6:$6, 0), FALSE),
            0
        ) +
        IFERROR(
            VLOOKUP($A62, INDIRECT("FebR!$A$6:$ZZ$1048576"), MATCH(H$1, FebR!$6:$6, 0), FALSE),
            0
        ) +
        IFERROR(
            VLOOKUP($A62, INDIRECT("MarR!$A$6:$ZZ$1048576"), MATCH(H$1, MarR!$6:$6, 0), FALSE),
            0
        ) +
        IFERROR(
            VLOOKUP($A62, INDIRECT("AbrR!$A$6:$ZZ$1048576"), MATCH(H$1, AbrR!$6:$6, 0), FALSE),
            0
        ) +
        IFERROR(
            VLOOKUP($A62, INDIRECT("MayR!$A$6:$ZZ$1048576"), MATCH(H$1, MayR!$6:$6, 0), FALSE),
            0
        ) +
        IFERROR(
            VLOOKUP($A62, INDIRECT("JunR!$A$6:$ZZ$1048576"), MATCH(H$1, JunR!$6:$6, 0), FALSE),
            0
        ) +
        IFERROR(
            VLOOKUP($A62, INDIRECT("JulR!$A$6:$ZZ$1048576"), MATCH(H$1, JulR!$6:$6, 0), FALSE),
            0
        ) +
        IFERROR(
            VLOOKUP($A62, INDIRECT("AgoR!$A$6:$ZZ$1048576"), MATCH(H$1, AgoR!$6:$6, 0), FALSE),
            0
        ) +
        IFERROR(
            VLOOKUP($A62, INDIRECT("SepR!$A$6:$ZZ$1048576"), MATCH(H$1, SepR!$6:$6, 0), FALSE),
            0
        ) +
        IFERROR(
            VLOOKUP($A62, INDIRECT("OctR!$A$6:$ZZ$1048576"), MATCH(H$1, OctR!$6:$6, 0), FALSE),
            0
        ) +
        IFERROR(
            VLOOKUP($A62, INDIRECT("NovR!$A$6:$ZZ$1048576"), MATCH(H$1, NovR!$6:$6, 0), FALSE),
            0
        ) +
        IFERROR(
            VLOOKUP($A62, INDIRECT("DicR!$A$6:$ZZ$1048576"), MATCH(H$1, DicR!$6:$6, 0), FALSE),
            0
        )
)</f>
        <v>0</v>
      </c>
      <c r="I62" s="35">
        <f t="array" ref="I62">SUM(
    IFERROR(
            VLOOKUP($A62, INDIRECT("EneR!$A$6:$ZZ$1048576"), MATCH(I$1, EneR!$6:$6, 0), FALSE),
            0
        ) +
        IFERROR(
            VLOOKUP($A62, INDIRECT("FebR!$A$6:$ZZ$1048576"), MATCH(I$1, FebR!$6:$6, 0), FALSE),
            0
        ) +
        IFERROR(
            VLOOKUP($A62, INDIRECT("MarR!$A$6:$ZZ$1048576"), MATCH(I$1, MarR!$6:$6, 0), FALSE),
            0
        ) +
        IFERROR(
            VLOOKUP($A62, INDIRECT("AbrR!$A$6:$ZZ$1048576"), MATCH(I$1, AbrR!$6:$6, 0), FALSE),
            0
        ) +
        IFERROR(
            VLOOKUP($A62, INDIRECT("MayR!$A$6:$ZZ$1048576"), MATCH(I$1, MayR!$6:$6, 0), FALSE),
            0
        ) +
        IFERROR(
            VLOOKUP($A62, INDIRECT("JunR!$A$6:$ZZ$1048576"), MATCH(I$1, JunR!$6:$6, 0), FALSE),
            0
        ) +
        IFERROR(
            VLOOKUP($A62, INDIRECT("JulR!$A$6:$ZZ$1048576"), MATCH(I$1, JulR!$6:$6, 0), FALSE),
            0
        ) +
        IFERROR(
            VLOOKUP($A62, INDIRECT("AgoR!$A$6:$ZZ$1048576"), MATCH(I$1, AgoR!$6:$6, 0), FALSE),
            0
        ) +
        IFERROR(
            VLOOKUP($A62, INDIRECT("SepR!$A$6:$ZZ$1048576"), MATCH(I$1, SepR!$6:$6, 0), FALSE),
            0
        ) +
        IFERROR(
            VLOOKUP($A62, INDIRECT("OctR!$A$6:$ZZ$1048576"), MATCH(I$1, OctR!$6:$6, 0), FALSE),
            0
        ) +
        IFERROR(
            VLOOKUP($A62, INDIRECT("NovR!$A$6:$ZZ$1048576"), MATCH(I$1, NovR!$6:$6, 0), FALSE),
            0
        ) +
        IFERROR(
            VLOOKUP($A62, INDIRECT("DicR!$A$6:$ZZ$1048576"), MATCH(I$1, DicR!$6:$6, 0), FALSE),
            0
        )
)</f>
        <v>0</v>
      </c>
      <c r="J62" s="32">
        <f t="array" ref="J62">SUM(
    IFERROR(
            VLOOKUP($A62, INDIRECT("EneR!$A$6:$ZZ$1048576"), MATCH(J$1, EneR!$6:$6, 0), FALSE),
            0
        ) +
        IFERROR(
            VLOOKUP($A62, INDIRECT("FebR!$A$6:$ZZ$1048576"), MATCH(J$1, FebR!$6:$6, 0), FALSE),
            0
        ) +
        IFERROR(
            VLOOKUP($A62, INDIRECT("MarR!$A$6:$ZZ$1048576"), MATCH(J$1, MarR!$6:$6, 0), FALSE),
            0
        ) +
        IFERROR(
            VLOOKUP($A62, INDIRECT("AbrR!$A$6:$ZZ$1048576"), MATCH(J$1, AbrR!$6:$6, 0), FALSE),
            0
        ) +
        IFERROR(
            VLOOKUP($A62, INDIRECT("MayR!$A$6:$ZZ$1048576"), MATCH(J$1, MayR!$6:$6, 0), FALSE),
            0
        ) +
        IFERROR(
            VLOOKUP($A62, INDIRECT("JunR!$A$6:$ZZ$1048576"), MATCH(J$1, JunR!$6:$6, 0), FALSE),
            0
        ) +
        IFERROR(
            VLOOKUP($A62, INDIRECT("JulR!$A$6:$ZZ$1048576"), MATCH(J$1, JulR!$6:$6, 0), FALSE),
            0
        ) +
        IFERROR(
            VLOOKUP($A62, INDIRECT("AgoR!$A$6:$ZZ$1048576"), MATCH(J$1, AgoR!$6:$6, 0), FALSE),
            0
        ) +
        IFERROR(
            VLOOKUP($A62, INDIRECT("SepR!$A$6:$ZZ$1048576"), MATCH(J$1, SepR!$6:$6, 0), FALSE),
            0
        ) +
        IFERROR(
            VLOOKUP($A62, INDIRECT("OctR!$A$6:$ZZ$1048576"), MATCH(J$1, OctR!$6:$6, 0), FALSE),
            0
        ) +
        IFERROR(
            VLOOKUP($A62, INDIRECT("NovR!$A$6:$ZZ$1048576"), MATCH(J$1, NovR!$6:$6, 0), FALSE),
            0
        ) +
        IFERROR(
            VLOOKUP($A62, INDIRECT("DicR!$A$6:$ZZ$1048576"), MATCH(J$1, DicR!$6:$6, 0), FALSE),
            0
        )
)</f>
        <v>0</v>
      </c>
      <c r="K62" s="35">
        <f t="array" ref="K62">SUM(
    IFERROR(
            VLOOKUP($A62, INDIRECT("EneR!$A$6:$ZZ$1048576"), MATCH(K$1, EneR!$6:$6, 0), FALSE),
            0
        ) +
        IFERROR(
            VLOOKUP($A62, INDIRECT("FebR!$A$6:$ZZ$1048576"), MATCH(K$1, FebR!$6:$6, 0), FALSE),
            0
        ) +
        IFERROR(
            VLOOKUP($A62, INDIRECT("MarR!$A$6:$ZZ$1048576"), MATCH(K$1, MarR!$6:$6, 0), FALSE),
            0
        ) +
        IFERROR(
            VLOOKUP($A62, INDIRECT("AbrR!$A$6:$ZZ$1048576"), MATCH(K$1, AbrR!$6:$6, 0), FALSE),
            0
        ) +
        IFERROR(
            VLOOKUP($A62, INDIRECT("MayR!$A$6:$ZZ$1048576"), MATCH(K$1, MayR!$6:$6, 0), FALSE),
            0
        ) +
        IFERROR(
            VLOOKUP($A62, INDIRECT("JunR!$A$6:$ZZ$1048576"), MATCH(K$1, JunR!$6:$6, 0), FALSE),
            0
        ) +
        IFERROR(
            VLOOKUP($A62, INDIRECT("JulR!$A$6:$ZZ$1048576"), MATCH(K$1, JulR!$6:$6, 0), FALSE),
            0
        ) +
        IFERROR(
            VLOOKUP($A62, INDIRECT("AgoR!$A$6:$ZZ$1048576"), MATCH(K$1, AgoR!$6:$6, 0), FALSE),
            0
        ) +
        IFERROR(
            VLOOKUP($A62, INDIRECT("SepR!$A$6:$ZZ$1048576"), MATCH(K$1, SepR!$6:$6, 0), FALSE),
            0
        ) +
        IFERROR(
            VLOOKUP($A62, INDIRECT("OctR!$A$6:$ZZ$1048576"), MATCH(K$1, OctR!$6:$6, 0), FALSE),
            0
        ) +
        IFERROR(
            VLOOKUP($A62, INDIRECT("NovR!$A$6:$ZZ$1048576"), MATCH(K$1, NovR!$6:$6, 0), FALSE),
            0
        ) +
        IFERROR(
            VLOOKUP($A62, INDIRECT("DicR!$A$6:$ZZ$1048576"), MATCH(K$1, DicR!$6:$6, 0), FALSE),
            0
        )
)</f>
        <v>0</v>
      </c>
      <c r="L62" s="32">
        <f t="array" ref="L62">SUM(
    IFERROR(
            VLOOKUP($A62, INDIRECT("EneR!$A$6:$ZZ$1048576"), MATCH(L$1, EneR!$6:$6, 0), FALSE),
            0
        ) +
        IFERROR(
            VLOOKUP($A62, INDIRECT("FebR!$A$6:$ZZ$1048576"), MATCH(L$1, FebR!$6:$6, 0), FALSE),
            0
        ) +
        IFERROR(
            VLOOKUP($A62, INDIRECT("MarR!$A$6:$ZZ$1048576"), MATCH(L$1, MarR!$6:$6, 0), FALSE),
            0
        ) +
        IFERROR(
            VLOOKUP($A62, INDIRECT("AbrR!$A$6:$ZZ$1048576"), MATCH(L$1, AbrR!$6:$6, 0), FALSE),
            0
        ) +
        IFERROR(
            VLOOKUP($A62, INDIRECT("MayR!$A$6:$ZZ$1048576"), MATCH(L$1, MayR!$6:$6, 0), FALSE),
            0
        ) +
        IFERROR(
            VLOOKUP($A62, INDIRECT("JunR!$A$6:$ZZ$1048576"), MATCH(L$1, JunR!$6:$6, 0), FALSE),
            0
        ) +
        IFERROR(
            VLOOKUP($A62, INDIRECT("JulR!$A$6:$ZZ$1048576"), MATCH(L$1, JulR!$6:$6, 0), FALSE),
            0
        ) +
        IFERROR(
            VLOOKUP($A62, INDIRECT("AgoR!$A$6:$ZZ$1048576"), MATCH(L$1, AgoR!$6:$6, 0), FALSE),
            0
        ) +
        IFERROR(
            VLOOKUP($A62, INDIRECT("SepR!$A$6:$ZZ$1048576"), MATCH(L$1, SepR!$6:$6, 0), FALSE),
            0
        ) +
        IFERROR(
            VLOOKUP($A62, INDIRECT("OctR!$A$6:$ZZ$1048576"), MATCH(L$1, OctR!$6:$6, 0), FALSE),
            0
        ) +
        IFERROR(
            VLOOKUP($A62, INDIRECT("NovR!$A$6:$ZZ$1048576"), MATCH(L$1, NovR!$6:$6, 0), FALSE),
            0
        ) +
        IFERROR(
            VLOOKUP($A62, INDIRECT("DicR!$A$6:$ZZ$1048576"), MATCH(L$1, DicR!$6:$6, 0), FALSE),
            0
        )
)</f>
        <v>0</v>
      </c>
      <c r="M62" s="35">
        <f t="array" ref="M62">SUM(
    IFERROR(
            VLOOKUP($A62, INDIRECT("EneR!$A$6:$ZZ$1048576"), MATCH(M$1, EneR!$6:$6, 0), FALSE),
            0
        ) +
        IFERROR(
            VLOOKUP($A62, INDIRECT("FebR!$A$6:$ZZ$1048576"), MATCH(M$1, FebR!$6:$6, 0), FALSE),
            0
        ) +
        IFERROR(
            VLOOKUP($A62, INDIRECT("MarR!$A$6:$ZZ$1048576"), MATCH(M$1, MarR!$6:$6, 0), FALSE),
            0
        ) +
        IFERROR(
            VLOOKUP($A62, INDIRECT("AbrR!$A$6:$ZZ$1048576"), MATCH(M$1, AbrR!$6:$6, 0), FALSE),
            0
        ) +
        IFERROR(
            VLOOKUP($A62, INDIRECT("MayR!$A$6:$ZZ$1048576"), MATCH(M$1, MayR!$6:$6, 0), FALSE),
            0
        ) +
        IFERROR(
            VLOOKUP($A62, INDIRECT("JunR!$A$6:$ZZ$1048576"), MATCH(M$1, JunR!$6:$6, 0), FALSE),
            0
        ) +
        IFERROR(
            VLOOKUP($A62, INDIRECT("JulR!$A$6:$ZZ$1048576"), MATCH(M$1, JulR!$6:$6, 0), FALSE),
            0
        ) +
        IFERROR(
            VLOOKUP($A62, INDIRECT("AgoR!$A$6:$ZZ$1048576"), MATCH(M$1, AgoR!$6:$6, 0), FALSE),
            0
        ) +
        IFERROR(
            VLOOKUP($A62, INDIRECT("SepR!$A$6:$ZZ$1048576"), MATCH(M$1, SepR!$6:$6, 0), FALSE),
            0
        ) +
        IFERROR(
            VLOOKUP($A62, INDIRECT("OctR!$A$6:$ZZ$1048576"), MATCH(M$1, OctR!$6:$6, 0), FALSE),
            0
        ) +
        IFERROR(
            VLOOKUP($A62, INDIRECT("NovR!$A$6:$ZZ$1048576"), MATCH(M$1, NovR!$6:$6, 0), FALSE),
            0
        ) +
        IFERROR(
            VLOOKUP($A62, INDIRECT("DicR!$A$6:$ZZ$1048576"), MATCH(M$1, DicR!$6:$6, 0), FALSE),
            0
        )
)</f>
        <v>0</v>
      </c>
      <c r="N62" s="32">
        <f t="array" ref="N62">SUM(
    IFERROR(
            VLOOKUP($A62, INDIRECT("EneR!$A$6:$ZZ$1048576"), MATCH(N$1, EneR!$6:$6, 0), FALSE),
            0
        ) +
        IFERROR(
            VLOOKUP($A62, INDIRECT("FebR!$A$6:$ZZ$1048576"), MATCH(N$1, FebR!$6:$6, 0), FALSE),
            0
        ) +
        IFERROR(
            VLOOKUP($A62, INDIRECT("MarR!$A$6:$ZZ$1048576"), MATCH(N$1, MarR!$6:$6, 0), FALSE),
            0
        ) +
        IFERROR(
            VLOOKUP($A62, INDIRECT("AbrR!$A$6:$ZZ$1048576"), MATCH(N$1, AbrR!$6:$6, 0), FALSE),
            0
        ) +
        IFERROR(
            VLOOKUP($A62, INDIRECT("MayR!$A$6:$ZZ$1048576"), MATCH(N$1, MayR!$6:$6, 0), FALSE),
            0
        ) +
        IFERROR(
            VLOOKUP($A62, INDIRECT("JunR!$A$6:$ZZ$1048576"), MATCH(N$1, JunR!$6:$6, 0), FALSE),
            0
        ) +
        IFERROR(
            VLOOKUP($A62, INDIRECT("JulR!$A$6:$ZZ$1048576"), MATCH(N$1, JulR!$6:$6, 0), FALSE),
            0
        ) +
        IFERROR(
            VLOOKUP($A62, INDIRECT("AgoR!$A$6:$ZZ$1048576"), MATCH(N$1, AgoR!$6:$6, 0), FALSE),
            0
        ) +
        IFERROR(
            VLOOKUP($A62, INDIRECT("SepR!$A$6:$ZZ$1048576"), MATCH(N$1, SepR!$6:$6, 0), FALSE),
            0
        ) +
        IFERROR(
            VLOOKUP($A62, INDIRECT("OctR!$A$6:$ZZ$1048576"), MATCH(N$1, OctR!$6:$6, 0), FALSE),
            0
        ) +
        IFERROR(
            VLOOKUP($A62, INDIRECT("NovR!$A$6:$ZZ$1048576"), MATCH(N$1, NovR!$6:$6, 0), FALSE),
            0
        ) +
        IFERROR(
            VLOOKUP($A62, INDIRECT("DicR!$A$6:$ZZ$1048576"), MATCH(N$1, DicR!$6:$6, 0), FALSE),
            0
        )
)</f>
        <v>0</v>
      </c>
      <c r="O62" s="35">
        <f t="array" ref="O62">SUM(
    IFERROR(
            VLOOKUP($A62, INDIRECT("EneR!$A$6:$ZZ$1048576"), MATCH(O$1, EneR!$6:$6, 0), FALSE),
            0
        ) +
        IFERROR(
            VLOOKUP($A62, INDIRECT("FebR!$A$6:$ZZ$1048576"), MATCH(O$1, FebR!$6:$6, 0), FALSE),
            0
        ) +
        IFERROR(
            VLOOKUP($A62, INDIRECT("MarR!$A$6:$ZZ$1048576"), MATCH(O$1, MarR!$6:$6, 0), FALSE),
            0
        ) +
        IFERROR(
            VLOOKUP($A62, INDIRECT("AbrR!$A$6:$ZZ$1048576"), MATCH(O$1, AbrR!$6:$6, 0), FALSE),
            0
        ) +
        IFERROR(
            VLOOKUP($A62, INDIRECT("MayR!$A$6:$ZZ$1048576"), MATCH(O$1, MayR!$6:$6, 0), FALSE),
            0
        ) +
        IFERROR(
            VLOOKUP($A62, INDIRECT("JunR!$A$6:$ZZ$1048576"), MATCH(O$1, JunR!$6:$6, 0), FALSE),
            0
        ) +
        IFERROR(
            VLOOKUP($A62, INDIRECT("JulR!$A$6:$ZZ$1048576"), MATCH(O$1, JulR!$6:$6, 0), FALSE),
            0
        ) +
        IFERROR(
            VLOOKUP($A62, INDIRECT("AgoR!$A$6:$ZZ$1048576"), MATCH(O$1, AgoR!$6:$6, 0), FALSE),
            0
        ) +
        IFERROR(
            VLOOKUP($A62, INDIRECT("SepR!$A$6:$ZZ$1048576"), MATCH(O$1, SepR!$6:$6, 0), FALSE),
            0
        ) +
        IFERROR(
            VLOOKUP($A62, INDIRECT("OctR!$A$6:$ZZ$1048576"), MATCH(O$1, OctR!$6:$6, 0), FALSE),
            0
        ) +
        IFERROR(
            VLOOKUP($A62, INDIRECT("NovR!$A$6:$ZZ$1048576"), MATCH(O$1, NovR!$6:$6, 0), FALSE),
            0
        ) +
        IFERROR(
            VLOOKUP($A62, INDIRECT("DicR!$A$6:$ZZ$1048576"), MATCH(O$1, DicR!$6:$6, 0), FALSE),
            0
        )
)</f>
        <v>0</v>
      </c>
      <c r="P62" s="32">
        <f t="array" ref="P62">SUM(
    IFERROR(
            VLOOKUP($A62, INDIRECT("EneR!$A$6:$ZZ$1048576"), MATCH(P$1, EneR!$6:$6, 0), FALSE),
            0
        ) +
        IFERROR(
            VLOOKUP($A62, INDIRECT("FebR!$A$6:$ZZ$1048576"), MATCH(P$1, FebR!$6:$6, 0), FALSE),
            0
        ) +
        IFERROR(
            VLOOKUP($A62, INDIRECT("MarR!$A$6:$ZZ$1048576"), MATCH(P$1, MarR!$6:$6, 0), FALSE),
            0
        ) +
        IFERROR(
            VLOOKUP($A62, INDIRECT("AbrR!$A$6:$ZZ$1048576"), MATCH(P$1, AbrR!$6:$6, 0), FALSE),
            0
        ) +
        IFERROR(
            VLOOKUP($A62, INDIRECT("MayR!$A$6:$ZZ$1048576"), MATCH(P$1, MayR!$6:$6, 0), FALSE),
            0
        ) +
        IFERROR(
            VLOOKUP($A62, INDIRECT("JunR!$A$6:$ZZ$1048576"), MATCH(P$1, JunR!$6:$6, 0), FALSE),
            0
        ) +
        IFERROR(
            VLOOKUP($A62, INDIRECT("JulR!$A$6:$ZZ$1048576"), MATCH(P$1, JulR!$6:$6, 0), FALSE),
            0
        ) +
        IFERROR(
            VLOOKUP($A62, INDIRECT("AgoR!$A$6:$ZZ$1048576"), MATCH(P$1, AgoR!$6:$6, 0), FALSE),
            0
        ) +
        IFERROR(
            VLOOKUP($A62, INDIRECT("SepR!$A$6:$ZZ$1048576"), MATCH(P$1, SepR!$6:$6, 0), FALSE),
            0
        ) +
        IFERROR(
            VLOOKUP($A62, INDIRECT("OctR!$A$6:$ZZ$1048576"), MATCH(P$1, OctR!$6:$6, 0), FALSE),
            0
        ) +
        IFERROR(
            VLOOKUP($A62, INDIRECT("NovR!$A$6:$ZZ$1048576"), MATCH(P$1, NovR!$6:$6, 0), FALSE),
            0
        ) +
        IFERROR(
            VLOOKUP($A62, INDIRECT("DicR!$A$6:$ZZ$1048576"), MATCH(P$1, DicR!$6:$6, 0), FALSE),
            0
        )
)</f>
        <v>0</v>
      </c>
      <c r="Q62" s="35">
        <f t="array" ref="Q62">SUM(
    IFERROR(
            VLOOKUP($A62, INDIRECT("EneR!$A$6:$ZZ$1048576"), MATCH(Q$1, EneR!$6:$6, 0), FALSE),
            0
        ) +
        IFERROR(
            VLOOKUP($A62, INDIRECT("FebR!$A$6:$ZZ$1048576"), MATCH(Q$1, FebR!$6:$6, 0), FALSE),
            0
        ) +
        IFERROR(
            VLOOKUP($A62, INDIRECT("MarR!$A$6:$ZZ$1048576"), MATCH(Q$1, MarR!$6:$6, 0), FALSE),
            0
        ) +
        IFERROR(
            VLOOKUP($A62, INDIRECT("AbrR!$A$6:$ZZ$1048576"), MATCH(Q$1, AbrR!$6:$6, 0), FALSE),
            0
        ) +
        IFERROR(
            VLOOKUP($A62, INDIRECT("MayR!$A$6:$ZZ$1048576"), MATCH(Q$1, MayR!$6:$6, 0), FALSE),
            0
        ) +
        IFERROR(
            VLOOKUP($A62, INDIRECT("JunR!$A$6:$ZZ$1048576"), MATCH(Q$1, JunR!$6:$6, 0), FALSE),
            0
        ) +
        IFERROR(
            VLOOKUP($A62, INDIRECT("JulR!$A$6:$ZZ$1048576"), MATCH(Q$1, JulR!$6:$6, 0), FALSE),
            0
        ) +
        IFERROR(
            VLOOKUP($A62, INDIRECT("AgoR!$A$6:$ZZ$1048576"), MATCH(Q$1, AgoR!$6:$6, 0), FALSE),
            0
        ) +
        IFERROR(
            VLOOKUP($A62, INDIRECT("SepR!$A$6:$ZZ$1048576"), MATCH(Q$1, SepR!$6:$6, 0), FALSE),
            0
        ) +
        IFERROR(
            VLOOKUP($A62, INDIRECT("OctR!$A$6:$ZZ$1048576"), MATCH(Q$1, OctR!$6:$6, 0), FALSE),
            0
        ) +
        IFERROR(
            VLOOKUP($A62, INDIRECT("NovR!$A$6:$ZZ$1048576"), MATCH(Q$1, NovR!$6:$6, 0), FALSE),
            0
        ) +
        IFERROR(
            VLOOKUP($A62, INDIRECT("DicR!$A$6:$ZZ$1048576"), MATCH(Q$1, DicR!$6:$6, 0), FALSE),
            0
        )
)</f>
        <v>0</v>
      </c>
      <c r="R62" s="36">
        <f t="array" ref="R62">SUM(
    IFERROR(
            VLOOKUP($A62, INDIRECT("EneR!$A$6:$ZZ$1048576"), MATCH(R$1, EneR!$6:$6, 0), FALSE),
            0
        ) +
        IFERROR(
            VLOOKUP($A62, INDIRECT("FebR!$A$6:$ZZ$1048576"), MATCH(R$1, FebR!$6:$6, 0), FALSE),
            0
        ) +
        IFERROR(
            VLOOKUP($A62, INDIRECT("MarR!$A$6:$ZZ$1048576"), MATCH(R$1, MarR!$6:$6, 0), FALSE),
            0
        ) +
        IFERROR(
            VLOOKUP($A62, INDIRECT("AbrR!$A$6:$ZZ$1048576"), MATCH(R$1, AbrR!$6:$6, 0), FALSE),
            0
        ) +
        IFERROR(
            VLOOKUP($A62, INDIRECT("MayR!$A$6:$ZZ$1048576"), MATCH(R$1, MayR!$6:$6, 0), FALSE),
            0
        ) +
        IFERROR(
            VLOOKUP($A62, INDIRECT("JunR!$A$6:$ZZ$1048576"), MATCH(R$1, JunR!$6:$6, 0), FALSE),
            0
        ) +
        IFERROR(
            VLOOKUP($A62, INDIRECT("JulR!$A$6:$ZZ$1048576"), MATCH(R$1, JulR!$6:$6, 0), FALSE),
            0
        ) +
        IFERROR(
            VLOOKUP($A62, INDIRECT("AgoR!$A$6:$ZZ$1048576"), MATCH(R$1, AgoR!$6:$6, 0), FALSE),
            0
        ) +
        IFERROR(
            VLOOKUP($A62, INDIRECT("SepR!$A$6:$ZZ$1048576"), MATCH(R$1, SepR!$6:$6, 0), FALSE),
            0
        ) +
        IFERROR(
            VLOOKUP($A62, INDIRECT("OctR!$A$6:$ZZ$1048576"), MATCH(R$1, OctR!$6:$6, 0), FALSE),
            0
        ) +
        IFERROR(
            VLOOKUP($A62, INDIRECT("NovR!$A$6:$ZZ$1048576"), MATCH(R$1, NovR!$6:$6, 0), FALSE),
            0
        ) +
        IFERROR(
            VLOOKUP($A62, INDIRECT("DicR!$A$6:$ZZ$1048576"), MATCH(R$1, DicR!$6:$6, 0), FALSE),
            0
        )
)</f>
        <v>0</v>
      </c>
      <c r="S62" s="37">
        <f t="array" ref="S62">SUM(
    IFERROR(
            VLOOKUP($A62, INDIRECT("EneR!$A$6:$ZZ$1048576"), MATCH(S$1, EneR!$6:$6, 0), FALSE),
            0
        ) +
        IFERROR(
            VLOOKUP($A62, INDIRECT("FebR!$A$6:$ZZ$1048576"), MATCH(S$1, FebR!$6:$6, 0), FALSE),
            0
        ) +
        IFERROR(
            VLOOKUP($A62, INDIRECT("MarR!$A$6:$ZZ$1048576"), MATCH(S$1, MarR!$6:$6, 0), FALSE),
            0
        ) +
        IFERROR(
            VLOOKUP($A62, INDIRECT("AbrR!$A$6:$ZZ$1048576"), MATCH(S$1, AbrR!$6:$6, 0), FALSE),
            0
        ) +
        IFERROR(
            VLOOKUP($A62, INDIRECT("MayR!$A$6:$ZZ$1048576"), MATCH(S$1, MayR!$6:$6, 0), FALSE),
            0
        ) +
        IFERROR(
            VLOOKUP($A62, INDIRECT("JunR!$A$6:$ZZ$1048576"), MATCH(S$1, JunR!$6:$6, 0), FALSE),
            0
        ) +
        IFERROR(
            VLOOKUP($A62, INDIRECT("JulR!$A$6:$ZZ$1048576"), MATCH(S$1, JulR!$6:$6, 0), FALSE),
            0
        ) +
        IFERROR(
            VLOOKUP($A62, INDIRECT("AgoR!$A$6:$ZZ$1048576"), MATCH(S$1, AgoR!$6:$6, 0), FALSE),
            0
        ) +
        IFERROR(
            VLOOKUP($A62, INDIRECT("SepR!$A$6:$ZZ$1048576"), MATCH(S$1, SepR!$6:$6, 0), FALSE),
            0
        ) +
        IFERROR(
            VLOOKUP($A62, INDIRECT("OctR!$A$6:$ZZ$1048576"), MATCH(S$1, OctR!$6:$6, 0), FALSE),
            0
        ) +
        IFERROR(
            VLOOKUP($A62, INDIRECT("NovR!$A$6:$ZZ$1048576"), MATCH(S$1, NovR!$6:$6, 0), FALSE),
            0
        ) +
        IFERROR(
            VLOOKUP($A62, INDIRECT("DicR!$A$6:$ZZ$1048576"), MATCH(S$1, DicR!$6:$6, 0), FALSE),
            0
        )
)</f>
        <v>0</v>
      </c>
      <c r="T62" s="36">
        <f t="array" ref="T62">SUM(
    IFERROR(
            VLOOKUP($A62, INDIRECT("EneR!$A$6:$ZZ$1048576"), MATCH(T$1, EneR!$6:$6, 0), FALSE),
            0
        ) +
        IFERROR(
            VLOOKUP($A62, INDIRECT("FebR!$A$6:$ZZ$1048576"), MATCH(T$1, FebR!$6:$6, 0), FALSE),
            0
        ) +
        IFERROR(
            VLOOKUP($A62, INDIRECT("MarR!$A$6:$ZZ$1048576"), MATCH(T$1, MarR!$6:$6, 0), FALSE),
            0
        ) +
        IFERROR(
            VLOOKUP($A62, INDIRECT("AbrR!$A$6:$ZZ$1048576"), MATCH(T$1, AbrR!$6:$6, 0), FALSE),
            0
        ) +
        IFERROR(
            VLOOKUP($A62, INDIRECT("MayR!$A$6:$ZZ$1048576"), MATCH(T$1, MayR!$6:$6, 0), FALSE),
            0
        ) +
        IFERROR(
            VLOOKUP($A62, INDIRECT("JunR!$A$6:$ZZ$1048576"), MATCH(T$1, JunR!$6:$6, 0), FALSE),
            0
        ) +
        IFERROR(
            VLOOKUP($A62, INDIRECT("JulR!$A$6:$ZZ$1048576"), MATCH(T$1, JulR!$6:$6, 0), FALSE),
            0
        ) +
        IFERROR(
            VLOOKUP($A62, INDIRECT("AgoR!$A$6:$ZZ$1048576"), MATCH(T$1, AgoR!$6:$6, 0), FALSE),
            0
        ) +
        IFERROR(
            VLOOKUP($A62, INDIRECT("SepR!$A$6:$ZZ$1048576"), MATCH(T$1, SepR!$6:$6, 0), FALSE),
            0
        ) +
        IFERROR(
            VLOOKUP($A62, INDIRECT("OctR!$A$6:$ZZ$1048576"), MATCH(T$1, OctR!$6:$6, 0), FALSE),
            0
        ) +
        IFERROR(
            VLOOKUP($A62, INDIRECT("NovR!$A$6:$ZZ$1048576"), MATCH(T$1, NovR!$6:$6, 0), FALSE),
            0
        ) +
        IFERROR(
            VLOOKUP($A62, INDIRECT("DicR!$A$6:$ZZ$1048576"), MATCH(T$1, DicR!$6:$6, 0), FALSE),
            0
        )
)</f>
        <v>0</v>
      </c>
      <c r="U62" s="37">
        <f t="array" ref="U62">SUM(
    IFERROR(
            VLOOKUP($A62, INDIRECT("EneR!$A$6:$ZZ$1048576"), MATCH(U$1, EneR!$6:$6, 0), FALSE),
            0
        ) +
        IFERROR(
            VLOOKUP($A62, INDIRECT("FebR!$A$6:$ZZ$1048576"), MATCH(U$1, FebR!$6:$6, 0), FALSE),
            0
        ) +
        IFERROR(
            VLOOKUP($A62, INDIRECT("MarR!$A$6:$ZZ$1048576"), MATCH(U$1, MarR!$6:$6, 0), FALSE),
            0
        ) +
        IFERROR(
            VLOOKUP($A62, INDIRECT("AbrR!$A$6:$ZZ$1048576"), MATCH(U$1, AbrR!$6:$6, 0), FALSE),
            0
        ) +
        IFERROR(
            VLOOKUP($A62, INDIRECT("MayR!$A$6:$ZZ$1048576"), MATCH(U$1, MayR!$6:$6, 0), FALSE),
            0
        ) +
        IFERROR(
            VLOOKUP($A62, INDIRECT("JunR!$A$6:$ZZ$1048576"), MATCH(U$1, JunR!$6:$6, 0), FALSE),
            0
        ) +
        IFERROR(
            VLOOKUP($A62, INDIRECT("JulR!$A$6:$ZZ$1048576"), MATCH(U$1, JulR!$6:$6, 0), FALSE),
            0
        ) +
        IFERROR(
            VLOOKUP($A62, INDIRECT("AgoR!$A$6:$ZZ$1048576"), MATCH(U$1, AgoR!$6:$6, 0), FALSE),
            0
        ) +
        IFERROR(
            VLOOKUP($A62, INDIRECT("SepR!$A$6:$ZZ$1048576"), MATCH(U$1, SepR!$6:$6, 0), FALSE),
            0
        ) +
        IFERROR(
            VLOOKUP($A62, INDIRECT("OctR!$A$6:$ZZ$1048576"), MATCH(U$1, OctR!$6:$6, 0), FALSE),
            0
        ) +
        IFERROR(
            VLOOKUP($A62, INDIRECT("NovR!$A$6:$ZZ$1048576"), MATCH(U$1, NovR!$6:$6, 0), FALSE),
            0
        ) +
        IFERROR(
            VLOOKUP($A62, INDIRECT("DicR!$A$6:$ZZ$1048576"), MATCH(U$1, DicR!$6:$6, 0), FALSE),
            0
        )
)</f>
        <v>0</v>
      </c>
      <c r="V62" s="36">
        <f t="array" ref="V62">SUM(
    IFERROR(
            VLOOKUP($A62, INDIRECT("EneR!$A$6:$ZZ$1048576"), MATCH(V$1, EneR!$6:$6, 0), FALSE),
            0
        ) +
        IFERROR(
            VLOOKUP($A62, INDIRECT("FebR!$A$6:$ZZ$1048576"), MATCH(V$1, FebR!$6:$6, 0), FALSE),
            0
        ) +
        IFERROR(
            VLOOKUP($A62, INDIRECT("MarR!$A$6:$ZZ$1048576"), MATCH(V$1, MarR!$6:$6, 0), FALSE),
            0
        ) +
        IFERROR(
            VLOOKUP($A62, INDIRECT("AbrR!$A$6:$ZZ$1048576"), MATCH(V$1, AbrR!$6:$6, 0), FALSE),
            0
        ) +
        IFERROR(
            VLOOKUP($A62, INDIRECT("MayR!$A$6:$ZZ$1048576"), MATCH(V$1, MayR!$6:$6, 0), FALSE),
            0
        ) +
        IFERROR(
            VLOOKUP($A62, INDIRECT("JunR!$A$6:$ZZ$1048576"), MATCH(V$1, JunR!$6:$6, 0), FALSE),
            0
        ) +
        IFERROR(
            VLOOKUP($A62, INDIRECT("JulR!$A$6:$ZZ$1048576"), MATCH(V$1, JulR!$6:$6, 0), FALSE),
            0
        ) +
        IFERROR(
            VLOOKUP($A62, INDIRECT("AgoR!$A$6:$ZZ$1048576"), MATCH(V$1, AgoR!$6:$6, 0), FALSE),
            0
        ) +
        IFERROR(
            VLOOKUP($A62, INDIRECT("SepR!$A$6:$ZZ$1048576"), MATCH(V$1, SepR!$6:$6, 0), FALSE),
            0
        ) +
        IFERROR(
            VLOOKUP($A62, INDIRECT("OctR!$A$6:$ZZ$1048576"), MATCH(V$1, OctR!$6:$6, 0), FALSE),
            0
        ) +
        IFERROR(
            VLOOKUP($A62, INDIRECT("NovR!$A$6:$ZZ$1048576"), MATCH(V$1, NovR!$6:$6, 0), FALSE),
            0
        ) +
        IFERROR(
            VLOOKUP($A62, INDIRECT("DicR!$A$6:$ZZ$1048576"), MATCH(V$1, DicR!$6:$6, 0), FALSE),
            0
        )
)</f>
        <v>0</v>
      </c>
      <c r="W62" s="37">
        <f t="array" ref="W62">SUM(
    IFERROR(
            VLOOKUP($A62, INDIRECT("EneR!$A$6:$ZZ$1048576"), MATCH(W$1, EneR!$6:$6, 0), FALSE),
            0
        ) +
        IFERROR(
            VLOOKUP($A62, INDIRECT("FebR!$A$6:$ZZ$1048576"), MATCH(W$1, FebR!$6:$6, 0), FALSE),
            0
        ) +
        IFERROR(
            VLOOKUP($A62, INDIRECT("MarR!$A$6:$ZZ$1048576"), MATCH(W$1, MarR!$6:$6, 0), FALSE),
            0
        ) +
        IFERROR(
            VLOOKUP($A62, INDIRECT("AbrR!$A$6:$ZZ$1048576"), MATCH(W$1, AbrR!$6:$6, 0), FALSE),
            0
        ) +
        IFERROR(
            VLOOKUP($A62, INDIRECT("MayR!$A$6:$ZZ$1048576"), MATCH(W$1, MayR!$6:$6, 0), FALSE),
            0
        ) +
        IFERROR(
            VLOOKUP($A62, INDIRECT("JunR!$A$6:$ZZ$1048576"), MATCH(W$1, JunR!$6:$6, 0), FALSE),
            0
        ) +
        IFERROR(
            VLOOKUP($A62, INDIRECT("JulR!$A$6:$ZZ$1048576"), MATCH(W$1, JulR!$6:$6, 0), FALSE),
            0
        ) +
        IFERROR(
            VLOOKUP($A62, INDIRECT("AgoR!$A$6:$ZZ$1048576"), MATCH(W$1, AgoR!$6:$6, 0), FALSE),
            0
        ) +
        IFERROR(
            VLOOKUP($A62, INDIRECT("SepR!$A$6:$ZZ$1048576"), MATCH(W$1, SepR!$6:$6, 0), FALSE),
            0
        ) +
        IFERROR(
            VLOOKUP($A62, INDIRECT("OctR!$A$6:$ZZ$1048576"), MATCH(W$1, OctR!$6:$6, 0), FALSE),
            0
        ) +
        IFERROR(
            VLOOKUP($A62, INDIRECT("NovR!$A$6:$ZZ$1048576"), MATCH(W$1, NovR!$6:$6, 0), FALSE),
            0
        ) +
        IFERROR(
            VLOOKUP($A62, INDIRECT("DicR!$A$6:$ZZ$1048576"), MATCH(W$1, DicR!$6:$6, 0), FALSE),
            0
        )
)</f>
        <v>0</v>
      </c>
      <c r="X62" s="36">
        <f t="array" ref="X62">SUM(
    IFERROR(
            VLOOKUP($A62, INDIRECT("EneR!$A$6:$ZZ$1048576"), MATCH(X$1, EneR!$6:$6, 0), FALSE),
            0
        ) +
        IFERROR(
            VLOOKUP($A62, INDIRECT("FebR!$A$6:$ZZ$1048576"), MATCH(X$1, FebR!$6:$6, 0), FALSE),
            0
        ) +
        IFERROR(
            VLOOKUP($A62, INDIRECT("MarR!$A$6:$ZZ$1048576"), MATCH(X$1, MarR!$6:$6, 0), FALSE),
            0
        ) +
        IFERROR(
            VLOOKUP($A62, INDIRECT("AbrR!$A$6:$ZZ$1048576"), MATCH(X$1, AbrR!$6:$6, 0), FALSE),
            0
        ) +
        IFERROR(
            VLOOKUP($A62, INDIRECT("MayR!$A$6:$ZZ$1048576"), MATCH(X$1, MayR!$6:$6, 0), FALSE),
            0
        ) +
        IFERROR(
            VLOOKUP($A62, INDIRECT("JunR!$A$6:$ZZ$1048576"), MATCH(X$1, JunR!$6:$6, 0), FALSE),
            0
        ) +
        IFERROR(
            VLOOKUP($A62, INDIRECT("JulR!$A$6:$ZZ$1048576"), MATCH(X$1, JulR!$6:$6, 0), FALSE),
            0
        ) +
        IFERROR(
            VLOOKUP($A62, INDIRECT("AgoR!$A$6:$ZZ$1048576"), MATCH(X$1, AgoR!$6:$6, 0), FALSE),
            0
        ) +
        IFERROR(
            VLOOKUP($A62, INDIRECT("SepR!$A$6:$ZZ$1048576"), MATCH(X$1, SepR!$6:$6, 0), FALSE),
            0
        ) +
        IFERROR(
            VLOOKUP($A62, INDIRECT("OctR!$A$6:$ZZ$1048576"), MATCH(X$1, OctR!$6:$6, 0), FALSE),
            0
        ) +
        IFERROR(
            VLOOKUP($A62, INDIRECT("NovR!$A$6:$ZZ$1048576"), MATCH(X$1, NovR!$6:$6, 0), FALSE),
            0
        ) +
        IFERROR(
            VLOOKUP($A62, INDIRECT("DicR!$A$6:$ZZ$1048576"), MATCH(X$1, DicR!$6:$6, 0), FALSE),
            0
        )
)</f>
        <v>0</v>
      </c>
      <c r="Y62" s="37">
        <f t="array" ref="Y62">SUM(
    IFERROR(
            VLOOKUP($A62, INDIRECT("EneR!$A$6:$ZZ$1048576"), MATCH(Y$1, EneR!$6:$6, 0), FALSE),
            0
        ) +
        IFERROR(
            VLOOKUP($A62, INDIRECT("FebR!$A$6:$ZZ$1048576"), MATCH(Y$1, FebR!$6:$6, 0), FALSE),
            0
        ) +
        IFERROR(
            VLOOKUP($A62, INDIRECT("MarR!$A$6:$ZZ$1048576"), MATCH(Y$1, MarR!$6:$6, 0), FALSE),
            0
        ) +
        IFERROR(
            VLOOKUP($A62, INDIRECT("AbrR!$A$6:$ZZ$1048576"), MATCH(Y$1, AbrR!$6:$6, 0), FALSE),
            0
        ) +
        IFERROR(
            VLOOKUP($A62, INDIRECT("MayR!$A$6:$ZZ$1048576"), MATCH(Y$1, MayR!$6:$6, 0), FALSE),
            0
        ) +
        IFERROR(
            VLOOKUP($A62, INDIRECT("JunR!$A$6:$ZZ$1048576"), MATCH(Y$1, JunR!$6:$6, 0), FALSE),
            0
        ) +
        IFERROR(
            VLOOKUP($A62, INDIRECT("JulR!$A$6:$ZZ$1048576"), MATCH(Y$1, JulR!$6:$6, 0), FALSE),
            0
        ) +
        IFERROR(
            VLOOKUP($A62, INDIRECT("AgoR!$A$6:$ZZ$1048576"), MATCH(Y$1, AgoR!$6:$6, 0), FALSE),
            0
        ) +
        IFERROR(
            VLOOKUP($A62, INDIRECT("SepR!$A$6:$ZZ$1048576"), MATCH(Y$1, SepR!$6:$6, 0), FALSE),
            0
        ) +
        IFERROR(
            VLOOKUP($A62, INDIRECT("OctR!$A$6:$ZZ$1048576"), MATCH(Y$1, OctR!$6:$6, 0), FALSE),
            0
        ) +
        IFERROR(
            VLOOKUP($A62, INDIRECT("NovR!$A$6:$ZZ$1048576"), MATCH(Y$1, NovR!$6:$6, 0), FALSE),
            0
        ) +
        IFERROR(
            VLOOKUP($A62, INDIRECT("DicR!$A$6:$ZZ$1048576"), MATCH(Y$1, DicR!$6:$6, 0), FALSE),
            0
        )
)</f>
        <v>0</v>
      </c>
      <c r="Z62" s="36">
        <f t="array" ref="Z62">SUM(
    IFERROR(
            VLOOKUP($A62, INDIRECT("EneR!$A$6:$ZZ$1048576"), MATCH(Z$1, EneR!$6:$6, 0), FALSE),
            0
        ) +
        IFERROR(
            VLOOKUP($A62, INDIRECT("FebR!$A$6:$ZZ$1048576"), MATCH(Z$1, FebR!$6:$6, 0), FALSE),
            0
        ) +
        IFERROR(
            VLOOKUP($A62, INDIRECT("MarR!$A$6:$ZZ$1048576"), MATCH(Z$1, MarR!$6:$6, 0), FALSE),
            0
        ) +
        IFERROR(
            VLOOKUP($A62, INDIRECT("AbrR!$A$6:$ZZ$1048576"), MATCH(Z$1, AbrR!$6:$6, 0), FALSE),
            0
        ) +
        IFERROR(
            VLOOKUP($A62, INDIRECT("MayR!$A$6:$ZZ$1048576"), MATCH(Z$1, MayR!$6:$6, 0), FALSE),
            0
        ) +
        IFERROR(
            VLOOKUP($A62, INDIRECT("JunR!$A$6:$ZZ$1048576"), MATCH(Z$1, JunR!$6:$6, 0), FALSE),
            0
        ) +
        IFERROR(
            VLOOKUP($A62, INDIRECT("JulR!$A$6:$ZZ$1048576"), MATCH(Z$1, JulR!$6:$6, 0), FALSE),
            0
        ) +
        IFERROR(
            VLOOKUP($A62, INDIRECT("AgoR!$A$6:$ZZ$1048576"), MATCH(Z$1, AgoR!$6:$6, 0), FALSE),
            0
        ) +
        IFERROR(
            VLOOKUP($A62, INDIRECT("SepR!$A$6:$ZZ$1048576"), MATCH(Z$1, SepR!$6:$6, 0), FALSE),
            0
        ) +
        IFERROR(
            VLOOKUP($A62, INDIRECT("OctR!$A$6:$ZZ$1048576"), MATCH(Z$1, OctR!$6:$6, 0), FALSE),
            0
        ) +
        IFERROR(
            VLOOKUP($A62, INDIRECT("NovR!$A$6:$ZZ$1048576"), MATCH(Z$1, NovR!$6:$6, 0), FALSE),
            0
        ) +
        IFERROR(
            VLOOKUP($A62, INDIRECT("DicR!$A$6:$ZZ$1048576"), MATCH(Z$1, DicR!$6:$6, 0), FALSE),
            0
        )
)</f>
        <v>0</v>
      </c>
      <c r="AA62" s="37">
        <f t="array" ref="AA62">SUM(
    IFERROR(
            VLOOKUP($A62, INDIRECT("EneR!$A$6:$ZZ$1048576"), MATCH(AA$1, EneR!$6:$6, 0), FALSE),
            0
        ) +
        IFERROR(
            VLOOKUP($A62, INDIRECT("FebR!$A$6:$ZZ$1048576"), MATCH(AA$1, FebR!$6:$6, 0), FALSE),
            0
        ) +
        IFERROR(
            VLOOKUP($A62, INDIRECT("MarR!$A$6:$ZZ$1048576"), MATCH(AA$1, MarR!$6:$6, 0), FALSE),
            0
        ) +
        IFERROR(
            VLOOKUP($A62, INDIRECT("AbrR!$A$6:$ZZ$1048576"), MATCH(AA$1, AbrR!$6:$6, 0), FALSE),
            0
        ) +
        IFERROR(
            VLOOKUP($A62, INDIRECT("MayR!$A$6:$ZZ$1048576"), MATCH(AA$1, MayR!$6:$6, 0), FALSE),
            0
        ) +
        IFERROR(
            VLOOKUP($A62, INDIRECT("JunR!$A$6:$ZZ$1048576"), MATCH(AA$1, JunR!$6:$6, 0), FALSE),
            0
        ) +
        IFERROR(
            VLOOKUP($A62, INDIRECT("JulR!$A$6:$ZZ$1048576"), MATCH(AA$1, JulR!$6:$6, 0), FALSE),
            0
        ) +
        IFERROR(
            VLOOKUP($A62, INDIRECT("AgoR!$A$6:$ZZ$1048576"), MATCH(AA$1, AgoR!$6:$6, 0), FALSE),
            0
        ) +
        IFERROR(
            VLOOKUP($A62, INDIRECT("SepR!$A$6:$ZZ$1048576"), MATCH(AA$1, SepR!$6:$6, 0), FALSE),
            0
        ) +
        IFERROR(
            VLOOKUP($A62, INDIRECT("OctR!$A$6:$ZZ$1048576"), MATCH(AA$1, OctR!$6:$6, 0), FALSE),
            0
        ) +
        IFERROR(
            VLOOKUP($A62, INDIRECT("NovR!$A$6:$ZZ$1048576"), MATCH(AA$1, NovR!$6:$6, 0), FALSE),
            0
        ) +
        IFERROR(
            VLOOKUP($A62, INDIRECT("DicR!$A$6:$ZZ$1048576"), MATCH(AA$1, DicR!$6:$6, 0), FALSE),
            0
        )
)</f>
        <v>0</v>
      </c>
      <c r="AB62" s="36">
        <f t="array" ref="AB62">SUM(
    IFERROR(
            VLOOKUP($A62, INDIRECT("EneR!$A$6:$ZZ$1048576"), MATCH(AB$1, EneR!$6:$6, 0), FALSE),
            0
        ) +
        IFERROR(
            VLOOKUP($A62, INDIRECT("FebR!$A$6:$ZZ$1048576"), MATCH(AB$1, FebR!$6:$6, 0), FALSE),
            0
        ) +
        IFERROR(
            VLOOKUP($A62, INDIRECT("MarR!$A$6:$ZZ$1048576"), MATCH(AB$1, MarR!$6:$6, 0), FALSE),
            0
        ) +
        IFERROR(
            VLOOKUP($A62, INDIRECT("AbrR!$A$6:$ZZ$1048576"), MATCH(AB$1, AbrR!$6:$6, 0), FALSE),
            0
        ) +
        IFERROR(
            VLOOKUP($A62, INDIRECT("MayR!$A$6:$ZZ$1048576"), MATCH(AB$1, MayR!$6:$6, 0), FALSE),
            0
        ) +
        IFERROR(
            VLOOKUP($A62, INDIRECT("JunR!$A$6:$ZZ$1048576"), MATCH(AB$1, JunR!$6:$6, 0), FALSE),
            0
        ) +
        IFERROR(
            VLOOKUP($A62, INDIRECT("JulR!$A$6:$ZZ$1048576"), MATCH(AB$1, JulR!$6:$6, 0), FALSE),
            0
        ) +
        IFERROR(
            VLOOKUP($A62, INDIRECT("AgoR!$A$6:$ZZ$1048576"), MATCH(AB$1, AgoR!$6:$6, 0), FALSE),
            0
        ) +
        IFERROR(
            VLOOKUP($A62, INDIRECT("SepR!$A$6:$ZZ$1048576"), MATCH(AB$1, SepR!$6:$6, 0), FALSE),
            0
        ) +
        IFERROR(
            VLOOKUP($A62, INDIRECT("OctR!$A$6:$ZZ$1048576"), MATCH(AB$1, OctR!$6:$6, 0), FALSE),
            0
        ) +
        IFERROR(
            VLOOKUP($A62, INDIRECT("NovR!$A$6:$ZZ$1048576"), MATCH(AB$1, NovR!$6:$6, 0), FALSE),
            0
        ) +
        IFERROR(
            VLOOKUP($A62, INDIRECT("DicR!$A$6:$ZZ$1048576"), MATCH(AB$1, DicR!$6:$6, 0), FALSE),
            0
        )
)</f>
        <v>0</v>
      </c>
      <c r="AC62" s="37">
        <f t="array" ref="AC62">SUM(
    IFERROR(
            VLOOKUP($A62, INDIRECT("EneR!$A$6:$ZZ$1048576"), MATCH(AC$1, EneR!$6:$6, 0), FALSE),
            0
        ) +
        IFERROR(
            VLOOKUP($A62, INDIRECT("FebR!$A$6:$ZZ$1048576"), MATCH(AC$1, FebR!$6:$6, 0), FALSE),
            0
        ) +
        IFERROR(
            VLOOKUP($A62, INDIRECT("MarR!$A$6:$ZZ$1048576"), MATCH(AC$1, MarR!$6:$6, 0), FALSE),
            0
        ) +
        IFERROR(
            VLOOKUP($A62, INDIRECT("AbrR!$A$6:$ZZ$1048576"), MATCH(AC$1, AbrR!$6:$6, 0), FALSE),
            0
        ) +
        IFERROR(
            VLOOKUP($A62, INDIRECT("MayR!$A$6:$ZZ$1048576"), MATCH(AC$1, MayR!$6:$6, 0), FALSE),
            0
        ) +
        IFERROR(
            VLOOKUP($A62, INDIRECT("JunR!$A$6:$ZZ$1048576"), MATCH(AC$1, JunR!$6:$6, 0), FALSE),
            0
        ) +
        IFERROR(
            VLOOKUP($A62, INDIRECT("JulR!$A$6:$ZZ$1048576"), MATCH(AC$1, JulR!$6:$6, 0), FALSE),
            0
        ) +
        IFERROR(
            VLOOKUP($A62, INDIRECT("AgoR!$A$6:$ZZ$1048576"), MATCH(AC$1, AgoR!$6:$6, 0), FALSE),
            0
        ) +
        IFERROR(
            VLOOKUP($A62, INDIRECT("SepR!$A$6:$ZZ$1048576"), MATCH(AC$1, SepR!$6:$6, 0), FALSE),
            0
        ) +
        IFERROR(
            VLOOKUP($A62, INDIRECT("OctR!$A$6:$ZZ$1048576"), MATCH(AC$1, OctR!$6:$6, 0), FALSE),
            0
        ) +
        IFERROR(
            VLOOKUP($A62, INDIRECT("NovR!$A$6:$ZZ$1048576"), MATCH(AC$1, NovR!$6:$6, 0), FALSE),
            0
        ) +
        IFERROR(
            VLOOKUP($A62, INDIRECT("DicR!$A$6:$ZZ$1048576"), MATCH(AC$1, DicR!$6:$6, 0), FALSE),
            0
        )
)</f>
        <v>0</v>
      </c>
      <c r="AD62" s="36">
        <f t="array" ref="AD62">SUM(
    IFERROR(
            VLOOKUP($A62, INDIRECT("EneR!$A$6:$ZZ$1048576"), MATCH(AD$1, EneR!$6:$6, 0), FALSE),
            0
        ) +
        IFERROR(
            VLOOKUP($A62, INDIRECT("FebR!$A$6:$ZZ$1048576"), MATCH(AD$1, FebR!$6:$6, 0), FALSE),
            0
        ) +
        IFERROR(
            VLOOKUP($A62, INDIRECT("MarR!$A$6:$ZZ$1048576"), MATCH(AD$1, MarR!$6:$6, 0), FALSE),
            0
        ) +
        IFERROR(
            VLOOKUP($A62, INDIRECT("AbrR!$A$6:$ZZ$1048576"), MATCH(AD$1, AbrR!$6:$6, 0), FALSE),
            0
        ) +
        IFERROR(
            VLOOKUP($A62, INDIRECT("MayR!$A$6:$ZZ$1048576"), MATCH(AD$1, MayR!$6:$6, 0), FALSE),
            0
        ) +
        IFERROR(
            VLOOKUP($A62, INDIRECT("JunR!$A$6:$ZZ$1048576"), MATCH(AD$1, JunR!$6:$6, 0), FALSE),
            0
        ) +
        IFERROR(
            VLOOKUP($A62, INDIRECT("JulR!$A$6:$ZZ$1048576"), MATCH(AD$1, JulR!$6:$6, 0), FALSE),
            0
        ) +
        IFERROR(
            VLOOKUP($A62, INDIRECT("AgoR!$A$6:$ZZ$1048576"), MATCH(AD$1, AgoR!$6:$6, 0), FALSE),
            0
        ) +
        IFERROR(
            VLOOKUP($A62, INDIRECT("SepR!$A$6:$ZZ$1048576"), MATCH(AD$1, SepR!$6:$6, 0), FALSE),
            0
        ) +
        IFERROR(
            VLOOKUP($A62, INDIRECT("OctR!$A$6:$ZZ$1048576"), MATCH(AD$1, OctR!$6:$6, 0), FALSE),
            0
        ) +
        IFERROR(
            VLOOKUP($A62, INDIRECT("NovR!$A$6:$ZZ$1048576"), MATCH(AD$1, NovR!$6:$6, 0), FALSE),
            0
        ) +
        IFERROR(
            VLOOKUP($A62, INDIRECT("DicR!$A$6:$ZZ$1048576"), MATCH(AD$1, DicR!$6:$6, 0), FALSE),
            0
        )
)</f>
        <v>0</v>
      </c>
      <c r="AE62" s="37">
        <f t="array" ref="AE62">SUM(
    IFERROR(
            VLOOKUP($A62, INDIRECT("EneR!$A$6:$ZZ$1048576"), MATCH(AE$1, EneR!$6:$6, 0), FALSE),
            0
        ) +
        IFERROR(
            VLOOKUP($A62, INDIRECT("FebR!$A$6:$ZZ$1048576"), MATCH(AE$1, FebR!$6:$6, 0), FALSE),
            0
        ) +
        IFERROR(
            VLOOKUP($A62, INDIRECT("MarR!$A$6:$ZZ$1048576"), MATCH(AE$1, MarR!$6:$6, 0), FALSE),
            0
        ) +
        IFERROR(
            VLOOKUP($A62, INDIRECT("AbrR!$A$6:$ZZ$1048576"), MATCH(AE$1, AbrR!$6:$6, 0), FALSE),
            0
        ) +
        IFERROR(
            VLOOKUP($A62, INDIRECT("MayR!$A$6:$ZZ$1048576"), MATCH(AE$1, MayR!$6:$6, 0), FALSE),
            0
        ) +
        IFERROR(
            VLOOKUP($A62, INDIRECT("JunR!$A$6:$ZZ$1048576"), MATCH(AE$1, JunR!$6:$6, 0), FALSE),
            0
        ) +
        IFERROR(
            VLOOKUP($A62, INDIRECT("JulR!$A$6:$ZZ$1048576"), MATCH(AE$1, JulR!$6:$6, 0), FALSE),
            0
        ) +
        IFERROR(
            VLOOKUP($A62, INDIRECT("AgoR!$A$6:$ZZ$1048576"), MATCH(AE$1, AgoR!$6:$6, 0), FALSE),
            0
        ) +
        IFERROR(
            VLOOKUP($A62, INDIRECT("SepR!$A$6:$ZZ$1048576"), MATCH(AE$1, SepR!$6:$6, 0), FALSE),
            0
        ) +
        IFERROR(
            VLOOKUP($A62, INDIRECT("OctR!$A$6:$ZZ$1048576"), MATCH(AE$1, OctR!$6:$6, 0), FALSE),
            0
        ) +
        IFERROR(
            VLOOKUP($A62, INDIRECT("NovR!$A$6:$ZZ$1048576"), MATCH(AE$1, NovR!$6:$6, 0), FALSE),
            0
        ) +
        IFERROR(
            VLOOKUP($A62, INDIRECT("DicR!$A$6:$ZZ$1048576"), MATCH(AE$1, DicR!$6:$6, 0), FALSE),
            0
        )
)</f>
        <v>0</v>
      </c>
      <c r="AF62" s="36">
        <f t="array" ref="AF62">SUM(
    IFERROR(
            VLOOKUP($A62, INDIRECT("EneR!$A$6:$ZZ$1048576"), MATCH(AF$1, EneR!$6:$6, 0), FALSE),
            0
        ) +
        IFERROR(
            VLOOKUP($A62, INDIRECT("FebR!$A$6:$ZZ$1048576"), MATCH(AF$1, FebR!$6:$6, 0), FALSE),
            0
        ) +
        IFERROR(
            VLOOKUP($A62, INDIRECT("MarR!$A$6:$ZZ$1048576"), MATCH(AF$1, MarR!$6:$6, 0), FALSE),
            0
        ) +
        IFERROR(
            VLOOKUP($A62, INDIRECT("AbrR!$A$6:$ZZ$1048576"), MATCH(AF$1, AbrR!$6:$6, 0), FALSE),
            0
        ) +
        IFERROR(
            VLOOKUP($A62, INDIRECT("MayR!$A$6:$ZZ$1048576"), MATCH(AF$1, MayR!$6:$6, 0), FALSE),
            0
        ) +
        IFERROR(
            VLOOKUP($A62, INDIRECT("JunR!$A$6:$ZZ$1048576"), MATCH(AF$1, JunR!$6:$6, 0), FALSE),
            0
        ) +
        IFERROR(
            VLOOKUP($A62, INDIRECT("JulR!$A$6:$ZZ$1048576"), MATCH(AF$1, JulR!$6:$6, 0), FALSE),
            0
        ) +
        IFERROR(
            VLOOKUP($A62, INDIRECT("AgoR!$A$6:$ZZ$1048576"), MATCH(AF$1, AgoR!$6:$6, 0), FALSE),
            0
        ) +
        IFERROR(
            VLOOKUP($A62, INDIRECT("SepR!$A$6:$ZZ$1048576"), MATCH(AF$1, SepR!$6:$6, 0), FALSE),
            0
        ) +
        IFERROR(
            VLOOKUP($A62, INDIRECT("OctR!$A$6:$ZZ$1048576"), MATCH(AF$1, OctR!$6:$6, 0), FALSE),
            0
        ) +
        IFERROR(
            VLOOKUP($A62, INDIRECT("NovR!$A$6:$ZZ$1048576"), MATCH(AF$1, NovR!$6:$6, 0), FALSE),
            0
        ) +
        IFERROR(
            VLOOKUP($A62, INDIRECT("DicR!$A$6:$ZZ$1048576"), MATCH(AF$1, DicR!$6:$6, 0), FALSE),
            0
        )
)</f>
        <v>0</v>
      </c>
      <c r="AG62" s="37">
        <f t="array" ref="AG62">SUM(
    IFERROR(
            VLOOKUP($A62, INDIRECT("EneR!$A$6:$ZZ$1048576"), MATCH(AG$1, EneR!$6:$6, 0), FALSE),
            0
        ) +
        IFERROR(
            VLOOKUP($A62, INDIRECT("FebR!$A$6:$ZZ$1048576"), MATCH(AG$1, FebR!$6:$6, 0), FALSE),
            0
        ) +
        IFERROR(
            VLOOKUP($A62, INDIRECT("MarR!$A$6:$ZZ$1048576"), MATCH(AG$1, MarR!$6:$6, 0), FALSE),
            0
        ) +
        IFERROR(
            VLOOKUP($A62, INDIRECT("AbrR!$A$6:$ZZ$1048576"), MATCH(AG$1, AbrR!$6:$6, 0), FALSE),
            0
        ) +
        IFERROR(
            VLOOKUP($A62, INDIRECT("MayR!$A$6:$ZZ$1048576"), MATCH(AG$1, MayR!$6:$6, 0), FALSE),
            0
        ) +
        IFERROR(
            VLOOKUP($A62, INDIRECT("JunR!$A$6:$ZZ$1048576"), MATCH(AG$1, JunR!$6:$6, 0), FALSE),
            0
        ) +
        IFERROR(
            VLOOKUP($A62, INDIRECT("JulR!$A$6:$ZZ$1048576"), MATCH(AG$1, JulR!$6:$6, 0), FALSE),
            0
        ) +
        IFERROR(
            VLOOKUP($A62, INDIRECT("AgoR!$A$6:$ZZ$1048576"), MATCH(AG$1, AgoR!$6:$6, 0), FALSE),
            0
        ) +
        IFERROR(
            VLOOKUP($A62, INDIRECT("SepR!$A$6:$ZZ$1048576"), MATCH(AG$1, SepR!$6:$6, 0), FALSE),
            0
        ) +
        IFERROR(
            VLOOKUP($A62, INDIRECT("OctR!$A$6:$ZZ$1048576"), MATCH(AG$1, OctR!$6:$6, 0), FALSE),
            0
        ) +
        IFERROR(
            VLOOKUP($A62, INDIRECT("NovR!$A$6:$ZZ$1048576"), MATCH(AG$1, NovR!$6:$6, 0), FALSE),
            0
        ) +
        IFERROR(
            VLOOKUP($A62, INDIRECT("DicR!$A$6:$ZZ$1048576"), MATCH(AG$1, DicR!$6:$6, 0), FALSE),
            0
        )
)</f>
        <v>0</v>
      </c>
      <c r="AH62" s="36">
        <f t="array" ref="AH62">SUM(
    IFERROR(
            VLOOKUP($A62, INDIRECT("EneR!$A$6:$ZZ$1048576"), MATCH(AH$1, EneR!$6:$6, 0), FALSE),
            0
        ) +
        IFERROR(
            VLOOKUP($A62, INDIRECT("FebR!$A$6:$ZZ$1048576"), MATCH(AH$1, FebR!$6:$6, 0), FALSE),
            0
        ) +
        IFERROR(
            VLOOKUP($A62, INDIRECT("MarR!$A$6:$ZZ$1048576"), MATCH(AH$1, MarR!$6:$6, 0), FALSE),
            0
        ) +
        IFERROR(
            VLOOKUP($A62, INDIRECT("AbrR!$A$6:$ZZ$1048576"), MATCH(AH$1, AbrR!$6:$6, 0), FALSE),
            0
        ) +
        IFERROR(
            VLOOKUP($A62, INDIRECT("MayR!$A$6:$ZZ$1048576"), MATCH(AH$1, MayR!$6:$6, 0), FALSE),
            0
        ) +
        IFERROR(
            VLOOKUP($A62, INDIRECT("JunR!$A$6:$ZZ$1048576"), MATCH(AH$1, JunR!$6:$6, 0), FALSE),
            0
        ) +
        IFERROR(
            VLOOKUP($A62, INDIRECT("JulR!$A$6:$ZZ$1048576"), MATCH(AH$1, JulR!$6:$6, 0), FALSE),
            0
        ) +
        IFERROR(
            VLOOKUP($A62, INDIRECT("AgoR!$A$6:$ZZ$1048576"), MATCH(AH$1, AgoR!$6:$6, 0), FALSE),
            0
        ) +
        IFERROR(
            VLOOKUP($A62, INDIRECT("SepR!$A$6:$ZZ$1048576"), MATCH(AH$1, SepR!$6:$6, 0), FALSE),
            0
        ) +
        IFERROR(
            VLOOKUP($A62, INDIRECT("OctR!$A$6:$ZZ$1048576"), MATCH(AH$1, OctR!$6:$6, 0), FALSE),
            0
        ) +
        IFERROR(
            VLOOKUP($A62, INDIRECT("NovR!$A$6:$ZZ$1048576"), MATCH(AH$1, NovR!$6:$6, 0), FALSE),
            0
        ) +
        IFERROR(
            VLOOKUP($A62, INDIRECT("DicR!$A$6:$ZZ$1048576"), MATCH(AH$1, DicR!$6:$6, 0), FALSE),
            0
        )
)</f>
        <v>0</v>
      </c>
      <c r="AI62" s="37">
        <f t="array" ref="AI62">SUM(
    IFERROR(
            VLOOKUP($A62, INDIRECT("EneR!$A$6:$ZZ$1048576"), MATCH(AI$1, EneR!$6:$6, 0), FALSE),
            0
        ) +
        IFERROR(
            VLOOKUP($A62, INDIRECT("FebR!$A$6:$ZZ$1048576"), MATCH(AI$1, FebR!$6:$6, 0), FALSE),
            0
        ) +
        IFERROR(
            VLOOKUP($A62, INDIRECT("MarR!$A$6:$ZZ$1048576"), MATCH(AI$1, MarR!$6:$6, 0), FALSE),
            0
        ) +
        IFERROR(
            VLOOKUP($A62, INDIRECT("AbrR!$A$6:$ZZ$1048576"), MATCH(AI$1, AbrR!$6:$6, 0), FALSE),
            0
        ) +
        IFERROR(
            VLOOKUP($A62, INDIRECT("MayR!$A$6:$ZZ$1048576"), MATCH(AI$1, MayR!$6:$6, 0), FALSE),
            0
        ) +
        IFERROR(
            VLOOKUP($A62, INDIRECT("JunR!$A$6:$ZZ$1048576"), MATCH(AI$1, JunR!$6:$6, 0), FALSE),
            0
        ) +
        IFERROR(
            VLOOKUP($A62, INDIRECT("JulR!$A$6:$ZZ$1048576"), MATCH(AI$1, JulR!$6:$6, 0), FALSE),
            0
        ) +
        IFERROR(
            VLOOKUP($A62, INDIRECT("AgoR!$A$6:$ZZ$1048576"), MATCH(AI$1, AgoR!$6:$6, 0), FALSE),
            0
        ) +
        IFERROR(
            VLOOKUP($A62, INDIRECT("SepR!$A$6:$ZZ$1048576"), MATCH(AI$1, SepR!$6:$6, 0), FALSE),
            0
        ) +
        IFERROR(
            VLOOKUP($A62, INDIRECT("OctR!$A$6:$ZZ$1048576"), MATCH(AI$1, OctR!$6:$6, 0), FALSE),
            0
        ) +
        IFERROR(
            VLOOKUP($A62, INDIRECT("NovR!$A$6:$ZZ$1048576"), MATCH(AI$1, NovR!$6:$6, 0), FALSE),
            0
        ) +
        IFERROR(
            VLOOKUP($A62, INDIRECT("DicR!$A$6:$ZZ$1048576"), MATCH(AI$1, DicR!$6:$6, 0), FALSE),
            0
        )
)</f>
        <v>0</v>
      </c>
      <c r="AJ62" s="36">
        <f t="array" ref="AJ62">SUM(
    IFERROR(
            VLOOKUP($A62, INDIRECT("EneR!$A$6:$ZZ$1048576"), MATCH(AJ$1, EneR!$6:$6, 0), FALSE),
            0
        ) +
        IFERROR(
            VLOOKUP($A62, INDIRECT("FebR!$A$6:$ZZ$1048576"), MATCH(AJ$1, FebR!$6:$6, 0), FALSE),
            0
        ) +
        IFERROR(
            VLOOKUP($A62, INDIRECT("MarR!$A$6:$ZZ$1048576"), MATCH(AJ$1, MarR!$6:$6, 0), FALSE),
            0
        ) +
        IFERROR(
            VLOOKUP($A62, INDIRECT("AbrR!$A$6:$ZZ$1048576"), MATCH(AJ$1, AbrR!$6:$6, 0), FALSE),
            0
        ) +
        IFERROR(
            VLOOKUP($A62, INDIRECT("MayR!$A$6:$ZZ$1048576"), MATCH(AJ$1, MayR!$6:$6, 0), FALSE),
            0
        ) +
        IFERROR(
            VLOOKUP($A62, INDIRECT("JunR!$A$6:$ZZ$1048576"), MATCH(AJ$1, JunR!$6:$6, 0), FALSE),
            0
        ) +
        IFERROR(
            VLOOKUP($A62, INDIRECT("JulR!$A$6:$ZZ$1048576"), MATCH(AJ$1, JulR!$6:$6, 0), FALSE),
            0
        ) +
        IFERROR(
            VLOOKUP($A62, INDIRECT("AgoR!$A$6:$ZZ$1048576"), MATCH(AJ$1, AgoR!$6:$6, 0), FALSE),
            0
        ) +
        IFERROR(
            VLOOKUP($A62, INDIRECT("SepR!$A$6:$ZZ$1048576"), MATCH(AJ$1, SepR!$6:$6, 0), FALSE),
            0
        ) +
        IFERROR(
            VLOOKUP($A62, INDIRECT("OctR!$A$6:$ZZ$1048576"), MATCH(AJ$1, OctR!$6:$6, 0), FALSE),
            0
        ) +
        IFERROR(
            VLOOKUP($A62, INDIRECT("NovR!$A$6:$ZZ$1048576"), MATCH(AJ$1, NovR!$6:$6, 0), FALSE),
            0
        ) +
        IFERROR(
            VLOOKUP($A62, INDIRECT("DicR!$A$6:$ZZ$1048576"), MATCH(AJ$1, DicR!$6:$6, 0), FALSE),
            0
        )
)</f>
        <v>0</v>
      </c>
      <c r="AK62" s="37">
        <f t="array" ref="AK62">SUM(
    IFERROR(
            VLOOKUP($A62, INDIRECT("EneR!$A$6:$ZZ$1048576"), MATCH(AK$1, EneR!$6:$6, 0), FALSE),
            0
        ) +
        IFERROR(
            VLOOKUP($A62, INDIRECT("FebR!$A$6:$ZZ$1048576"), MATCH(AK$1, FebR!$6:$6, 0), FALSE),
            0
        ) +
        IFERROR(
            VLOOKUP($A62, INDIRECT("MarR!$A$6:$ZZ$1048576"), MATCH(AK$1, MarR!$6:$6, 0), FALSE),
            0
        ) +
        IFERROR(
            VLOOKUP($A62, INDIRECT("AbrR!$A$6:$ZZ$1048576"), MATCH(AK$1, AbrR!$6:$6, 0), FALSE),
            0
        ) +
        IFERROR(
            VLOOKUP($A62, INDIRECT("MayR!$A$6:$ZZ$1048576"), MATCH(AK$1, MayR!$6:$6, 0), FALSE),
            0
        ) +
        IFERROR(
            VLOOKUP($A62, INDIRECT("JunR!$A$6:$ZZ$1048576"), MATCH(AK$1, JunR!$6:$6, 0), FALSE),
            0
        ) +
        IFERROR(
            VLOOKUP($A62, INDIRECT("JulR!$A$6:$ZZ$1048576"), MATCH(AK$1, JulR!$6:$6, 0), FALSE),
            0
        ) +
        IFERROR(
            VLOOKUP($A62, INDIRECT("AgoR!$A$6:$ZZ$1048576"), MATCH(AK$1, AgoR!$6:$6, 0), FALSE),
            0
        ) +
        IFERROR(
            VLOOKUP($A62, INDIRECT("SepR!$A$6:$ZZ$1048576"), MATCH(AK$1, SepR!$6:$6, 0), FALSE),
            0
        ) +
        IFERROR(
            VLOOKUP($A62, INDIRECT("OctR!$A$6:$ZZ$1048576"), MATCH(AK$1, OctR!$6:$6, 0), FALSE),
            0
        ) +
        IFERROR(
            VLOOKUP($A62, INDIRECT("NovR!$A$6:$ZZ$1048576"), MATCH(AK$1, NovR!$6:$6, 0), FALSE),
            0
        ) +
        IFERROR(
            VLOOKUP($A62, INDIRECT("DicR!$A$6:$ZZ$1048576"), MATCH(AK$1, DicR!$6:$6, 0), FALSE),
            0
        )
)</f>
        <v>0</v>
      </c>
      <c r="AL62" s="36">
        <f t="array" ref="AL62">SUM(
    IFERROR(
            VLOOKUP($A62, INDIRECT("EneR!$A$6:$ZZ$1048576"), MATCH(AL$1, EneR!$6:$6, 0), FALSE),
            0
        ) +
        IFERROR(
            VLOOKUP($A62, INDIRECT("FebR!$A$6:$ZZ$1048576"), MATCH(AL$1, FebR!$6:$6, 0), FALSE),
            0
        ) +
        IFERROR(
            VLOOKUP($A62, INDIRECT("MarR!$A$6:$ZZ$1048576"), MATCH(AL$1, MarR!$6:$6, 0), FALSE),
            0
        ) +
        IFERROR(
            VLOOKUP($A62, INDIRECT("AbrR!$A$6:$ZZ$1048576"), MATCH(AL$1, AbrR!$6:$6, 0), FALSE),
            0
        ) +
        IFERROR(
            VLOOKUP($A62, INDIRECT("MayR!$A$6:$ZZ$1048576"), MATCH(AL$1, MayR!$6:$6, 0), FALSE),
            0
        ) +
        IFERROR(
            VLOOKUP($A62, INDIRECT("JunR!$A$6:$ZZ$1048576"), MATCH(AL$1, JunR!$6:$6, 0), FALSE),
            0
        ) +
        IFERROR(
            VLOOKUP($A62, INDIRECT("JulR!$A$6:$ZZ$1048576"), MATCH(AL$1, JulR!$6:$6, 0), FALSE),
            0
        ) +
        IFERROR(
            VLOOKUP($A62, INDIRECT("AgoR!$A$6:$ZZ$1048576"), MATCH(AL$1, AgoR!$6:$6, 0), FALSE),
            0
        ) +
        IFERROR(
            VLOOKUP($A62, INDIRECT("SepR!$A$6:$ZZ$1048576"), MATCH(AL$1, SepR!$6:$6, 0), FALSE),
            0
        ) +
        IFERROR(
            VLOOKUP($A62, INDIRECT("OctR!$A$6:$ZZ$1048576"), MATCH(AL$1, OctR!$6:$6, 0), FALSE),
            0
        ) +
        IFERROR(
            VLOOKUP($A62, INDIRECT("NovR!$A$6:$ZZ$1048576"), MATCH(AL$1, NovR!$6:$6, 0), FALSE),
            0
        ) +
        IFERROR(
            VLOOKUP($A62, INDIRECT("DicR!$A$6:$ZZ$1048576"), MATCH(AL$1, DicR!$6:$6, 0), FALSE),
            0
        )
)</f>
        <v>0</v>
      </c>
      <c r="AM62" s="37">
        <f t="array" ref="AM62">SUM(
    IFERROR(
            VLOOKUP($A62, INDIRECT("EneR!$A$6:$ZZ$1048576"), MATCH(AM$1, EneR!$6:$6, 0), FALSE),
            0
        ) +
        IFERROR(
            VLOOKUP($A62, INDIRECT("FebR!$A$6:$ZZ$1048576"), MATCH(AM$1, FebR!$6:$6, 0), FALSE),
            0
        ) +
        IFERROR(
            VLOOKUP($A62, INDIRECT("MarR!$A$6:$ZZ$1048576"), MATCH(AM$1, MarR!$6:$6, 0), FALSE),
            0
        ) +
        IFERROR(
            VLOOKUP($A62, INDIRECT("AbrR!$A$6:$ZZ$1048576"), MATCH(AM$1, AbrR!$6:$6, 0), FALSE),
            0
        ) +
        IFERROR(
            VLOOKUP($A62, INDIRECT("MayR!$A$6:$ZZ$1048576"), MATCH(AM$1, MayR!$6:$6, 0), FALSE),
            0
        ) +
        IFERROR(
            VLOOKUP($A62, INDIRECT("JunR!$A$6:$ZZ$1048576"), MATCH(AM$1, JunR!$6:$6, 0), FALSE),
            0
        ) +
        IFERROR(
            VLOOKUP($A62, INDIRECT("JulR!$A$6:$ZZ$1048576"), MATCH(AM$1, JulR!$6:$6, 0), FALSE),
            0
        ) +
        IFERROR(
            VLOOKUP($A62, INDIRECT("AgoR!$A$6:$ZZ$1048576"), MATCH(AM$1, AgoR!$6:$6, 0), FALSE),
            0
        ) +
        IFERROR(
            VLOOKUP($A62, INDIRECT("SepR!$A$6:$ZZ$1048576"), MATCH(AM$1, SepR!$6:$6, 0), FALSE),
            0
        ) +
        IFERROR(
            VLOOKUP($A62, INDIRECT("OctR!$A$6:$ZZ$1048576"), MATCH(AM$1, OctR!$6:$6, 0), FALSE),
            0
        ) +
        IFERROR(
            VLOOKUP($A62, INDIRECT("NovR!$A$6:$ZZ$1048576"), MATCH(AM$1, NovR!$6:$6, 0), FALSE),
            0
        ) +
        IFERROR(
            VLOOKUP($A62, INDIRECT("DicR!$A$6:$ZZ$1048576"), MATCH(AM$1, DicR!$6:$6, 0), FALSE),
            0
        )
)</f>
        <v>0</v>
      </c>
      <c r="AN62" s="32">
        <f t="array" ref="AN62">SUM(
    IFERROR(
            VLOOKUP($A62, INDIRECT("EneR!$A$6:$ZZ$1048576"), MATCH(AN$1, EneR!$6:$6, 0), FALSE),
            0
        ) +
        IFERROR(
            VLOOKUP($A62, INDIRECT("FebR!$A$6:$ZZ$1048576"), MATCH(AN$1, FebR!$6:$6, 0), FALSE),
            0
        ) +
        IFERROR(
            VLOOKUP($A62, INDIRECT("MarR!$A$6:$ZZ$1048576"), MATCH(AN$1, MarR!$6:$6, 0), FALSE),
            0
        ) +
        IFERROR(
            VLOOKUP($A62, INDIRECT("AbrR!$A$6:$ZZ$1048576"), MATCH(AN$1, AbrR!$6:$6, 0), FALSE),
            0
        ) +
        IFERROR(
            VLOOKUP($A62, INDIRECT("MayR!$A$6:$ZZ$1048576"), MATCH(AN$1, MayR!$6:$6, 0), FALSE),
            0
        ) +
        IFERROR(
            VLOOKUP($A62, INDIRECT("JunR!$A$6:$ZZ$1048576"), MATCH(AN$1, JunR!$6:$6, 0), FALSE),
            0
        ) +
        IFERROR(
            VLOOKUP($A62, INDIRECT("JulR!$A$6:$ZZ$1048576"), MATCH(AN$1, JulR!$6:$6, 0), FALSE),
            0
        ) +
        IFERROR(
            VLOOKUP($A62, INDIRECT("AgoR!$A$6:$ZZ$1048576"), MATCH(AN$1, AgoR!$6:$6, 0), FALSE),
            0
        ) +
        IFERROR(
            VLOOKUP($A62, INDIRECT("SepR!$A$6:$ZZ$1048576"), MATCH(AN$1, SepR!$6:$6, 0), FALSE),
            0
        ) +
        IFERROR(
            VLOOKUP($A62, INDIRECT("OctR!$A$6:$ZZ$1048576"), MATCH(AN$1, OctR!$6:$6, 0), FALSE),
            0
        ) +
        IFERROR(
            VLOOKUP($A62, INDIRECT("NovR!$A$6:$ZZ$1048576"), MATCH(AN$1, NovR!$6:$6, 0), FALSE),
            0
        ) +
        IFERROR(
            VLOOKUP($A62, INDIRECT("DicR!$A$6:$ZZ$1048576"), MATCH(AN$1, DicR!$6:$6, 0), FALSE),
            0
        )
)</f>
        <v>0</v>
      </c>
      <c r="AO62" s="35">
        <f t="array" ref="AO62">SUM(
    IFERROR(
            VLOOKUP($A62, INDIRECT("EneR!$A$6:$ZZ$1048576"), MATCH(AO$1, EneR!$6:$6, 0), FALSE),
            0
        ) +
        IFERROR(
            VLOOKUP($A62, INDIRECT("FebR!$A$6:$ZZ$1048576"), MATCH(AO$1, FebR!$6:$6, 0), FALSE),
            0
        ) +
        IFERROR(
            VLOOKUP($A62, INDIRECT("MarR!$A$6:$ZZ$1048576"), MATCH(AO$1, MarR!$6:$6, 0), FALSE),
            0
        ) +
        IFERROR(
            VLOOKUP($A62, INDIRECT("AbrR!$A$6:$ZZ$1048576"), MATCH(AO$1, AbrR!$6:$6, 0), FALSE),
            0
        ) +
        IFERROR(
            VLOOKUP($A62, INDIRECT("MayR!$A$6:$ZZ$1048576"), MATCH(AO$1, MayR!$6:$6, 0), FALSE),
            0
        ) +
        IFERROR(
            VLOOKUP($A62, INDIRECT("JunR!$A$6:$ZZ$1048576"), MATCH(AO$1, JunR!$6:$6, 0), FALSE),
            0
        ) +
        IFERROR(
            VLOOKUP($A62, INDIRECT("JulR!$A$6:$ZZ$1048576"), MATCH(AO$1, JulR!$6:$6, 0), FALSE),
            0
        ) +
        IFERROR(
            VLOOKUP($A62, INDIRECT("AgoR!$A$6:$ZZ$1048576"), MATCH(AO$1, AgoR!$6:$6, 0), FALSE),
            0
        ) +
        IFERROR(
            VLOOKUP($A62, INDIRECT("SepR!$A$6:$ZZ$1048576"), MATCH(AO$1, SepR!$6:$6, 0), FALSE),
            0
        ) +
        IFERROR(
            VLOOKUP($A62, INDIRECT("OctR!$A$6:$ZZ$1048576"), MATCH(AO$1, OctR!$6:$6, 0), FALSE),
            0
        ) +
        IFERROR(
            VLOOKUP($A62, INDIRECT("NovR!$A$6:$ZZ$1048576"), MATCH(AO$1, NovR!$6:$6, 0), FALSE),
            0
        ) +
        IFERROR(
            VLOOKUP($A62, INDIRECT("DicR!$A$6:$ZZ$1048576"), MATCH(AO$1, DicR!$6:$6, 0), FALSE),
            0
        )
)</f>
        <v>0</v>
      </c>
      <c r="AP62" s="36">
        <f t="array" ref="AP62">SUM(
    IFERROR(
            VLOOKUP($A62, INDIRECT("EneR!$A$6:$ZZ$1048576"), MATCH(AP$1, EneR!$6:$6, 0), FALSE),
            0
        ) +
        IFERROR(
            VLOOKUP($A62, INDIRECT("FebR!$A$6:$ZZ$1048576"), MATCH(AP$1, FebR!$6:$6, 0), FALSE),
            0
        ) +
        IFERROR(
            VLOOKUP($A62, INDIRECT("MarR!$A$6:$ZZ$1048576"), MATCH(AP$1, MarR!$6:$6, 0), FALSE),
            0
        ) +
        IFERROR(
            VLOOKUP($A62, INDIRECT("AbrR!$A$6:$ZZ$1048576"), MATCH(AP$1, AbrR!$6:$6, 0), FALSE),
            0
        ) +
        IFERROR(
            VLOOKUP($A62, INDIRECT("MayR!$A$6:$ZZ$1048576"), MATCH(AP$1, MayR!$6:$6, 0), FALSE),
            0
        ) +
        IFERROR(
            VLOOKUP($A62, INDIRECT("JunR!$A$6:$ZZ$1048576"), MATCH(AP$1, JunR!$6:$6, 0), FALSE),
            0
        ) +
        IFERROR(
            VLOOKUP($A62, INDIRECT("JulR!$A$6:$ZZ$1048576"), MATCH(AP$1, JulR!$6:$6, 0), FALSE),
            0
        ) +
        IFERROR(
            VLOOKUP($A62, INDIRECT("AgoR!$A$6:$ZZ$1048576"), MATCH(AP$1, AgoR!$6:$6, 0), FALSE),
            0
        ) +
        IFERROR(
            VLOOKUP($A62, INDIRECT("SepR!$A$6:$ZZ$1048576"), MATCH(AP$1, SepR!$6:$6, 0), FALSE),
            0
        ) +
        IFERROR(
            VLOOKUP($A62, INDIRECT("OctR!$A$6:$ZZ$1048576"), MATCH(AP$1, OctR!$6:$6, 0), FALSE),
            0
        ) +
        IFERROR(
            VLOOKUP($A62, INDIRECT("NovR!$A$6:$ZZ$1048576"), MATCH(AP$1, NovR!$6:$6, 0), FALSE),
            0
        ) +
        IFERROR(
            VLOOKUP($A62, INDIRECT("DicR!$A$6:$ZZ$1048576"), MATCH(AP$1, DicR!$6:$6, 0), FALSE),
            0
        )
)</f>
        <v>0</v>
      </c>
      <c r="AQ62" s="35">
        <f t="array" ref="AQ62">SUM(
    IFERROR(
            VLOOKUP($A62, INDIRECT("EneR!$A$6:$ZZ$1048576"), MATCH(AQ$1, EneR!$6:$6, 0), FALSE),
            0
        ) +
        IFERROR(
            VLOOKUP($A62, INDIRECT("FebR!$A$6:$ZZ$1048576"), MATCH(AQ$1, FebR!$6:$6, 0), FALSE),
            0
        ) +
        IFERROR(
            VLOOKUP($A62, INDIRECT("MarR!$A$6:$ZZ$1048576"), MATCH(AQ$1, MarR!$6:$6, 0), FALSE),
            0
        ) +
        IFERROR(
            VLOOKUP($A62, INDIRECT("AbrR!$A$6:$ZZ$1048576"), MATCH(AQ$1, AbrR!$6:$6, 0), FALSE),
            0
        ) +
        IFERROR(
            VLOOKUP($A62, INDIRECT("MayR!$A$6:$ZZ$1048576"), MATCH(AQ$1, MayR!$6:$6, 0), FALSE),
            0
        ) +
        IFERROR(
            VLOOKUP($A62, INDIRECT("JunR!$A$6:$ZZ$1048576"), MATCH(AQ$1, JunR!$6:$6, 0), FALSE),
            0
        ) +
        IFERROR(
            VLOOKUP($A62, INDIRECT("JulR!$A$6:$ZZ$1048576"), MATCH(AQ$1, JulR!$6:$6, 0), FALSE),
            0
        ) +
        IFERROR(
            VLOOKUP($A62, INDIRECT("AgoR!$A$6:$ZZ$1048576"), MATCH(AQ$1, AgoR!$6:$6, 0), FALSE),
            0
        ) +
        IFERROR(
            VLOOKUP($A62, INDIRECT("SepR!$A$6:$ZZ$1048576"), MATCH(AQ$1, SepR!$6:$6, 0), FALSE),
            0
        ) +
        IFERROR(
            VLOOKUP($A62, INDIRECT("OctR!$A$6:$ZZ$1048576"), MATCH(AQ$1, OctR!$6:$6, 0), FALSE),
            0
        ) +
        IFERROR(
            VLOOKUP($A62, INDIRECT("NovR!$A$6:$ZZ$1048576"), MATCH(AQ$1, NovR!$6:$6, 0), FALSE),
            0
        ) +
        IFERROR(
            VLOOKUP($A62, INDIRECT("DicR!$A$6:$ZZ$1048576"), MATCH(AQ$1, DicR!$6:$6, 0), FALSE),
            0
        )
)</f>
        <v>0</v>
      </c>
      <c r="AR62" s="36">
        <f t="array" ref="AR62">SUM(
    IFERROR(
            VLOOKUP($A62, INDIRECT("EneR!$A$6:$ZZ$1048576"), MATCH(AR$1, EneR!$6:$6, 0), FALSE),
            0
        ) +
        IFERROR(
            VLOOKUP($A62, INDIRECT("FebR!$A$6:$ZZ$1048576"), MATCH(AR$1, FebR!$6:$6, 0), FALSE),
            0
        ) +
        IFERROR(
            VLOOKUP($A62, INDIRECT("MarR!$A$6:$ZZ$1048576"), MATCH(AR$1, MarR!$6:$6, 0), FALSE),
            0
        ) +
        IFERROR(
            VLOOKUP($A62, INDIRECT("AbrR!$A$6:$ZZ$1048576"), MATCH(AR$1, AbrR!$6:$6, 0), FALSE),
            0
        ) +
        IFERROR(
            VLOOKUP($A62, INDIRECT("MayR!$A$6:$ZZ$1048576"), MATCH(AR$1, MayR!$6:$6, 0), FALSE),
            0
        ) +
        IFERROR(
            VLOOKUP($A62, INDIRECT("JunR!$A$6:$ZZ$1048576"), MATCH(AR$1, JunR!$6:$6, 0), FALSE),
            0
        ) +
        IFERROR(
            VLOOKUP($A62, INDIRECT("JulR!$A$6:$ZZ$1048576"), MATCH(AR$1, JulR!$6:$6, 0), FALSE),
            0
        ) +
        IFERROR(
            VLOOKUP($A62, INDIRECT("AgoR!$A$6:$ZZ$1048576"), MATCH(AR$1, AgoR!$6:$6, 0), FALSE),
            0
        ) +
        IFERROR(
            VLOOKUP($A62, INDIRECT("SepR!$A$6:$ZZ$1048576"), MATCH(AR$1, SepR!$6:$6, 0), FALSE),
            0
        ) +
        IFERROR(
            VLOOKUP($A62, INDIRECT("OctR!$A$6:$ZZ$1048576"), MATCH(AR$1, OctR!$6:$6, 0), FALSE),
            0
        ) +
        IFERROR(
            VLOOKUP($A62, INDIRECT("NovR!$A$6:$ZZ$1048576"), MATCH(AR$1, NovR!$6:$6, 0), FALSE),
            0
        ) +
        IFERROR(
            VLOOKUP($A62, INDIRECT("DicR!$A$6:$ZZ$1048576"), MATCH(AR$1, DicR!$6:$6, 0), FALSE),
            0
        )
)</f>
        <v>0</v>
      </c>
      <c r="AS62" s="35">
        <f t="array" ref="AS62">SUM(
    IFERROR(
            VLOOKUP($A62, INDIRECT("EneR!$A$6:$ZZ$1048576"), MATCH(AS$1, EneR!$6:$6, 0), FALSE),
            0
        ) +
        IFERROR(
            VLOOKUP($A62, INDIRECT("FebR!$A$6:$ZZ$1048576"), MATCH(AS$1, FebR!$6:$6, 0), FALSE),
            0
        ) +
        IFERROR(
            VLOOKUP($A62, INDIRECT("MarR!$A$6:$ZZ$1048576"), MATCH(AS$1, MarR!$6:$6, 0), FALSE),
            0
        ) +
        IFERROR(
            VLOOKUP($A62, INDIRECT("AbrR!$A$6:$ZZ$1048576"), MATCH(AS$1, AbrR!$6:$6, 0), FALSE),
            0
        ) +
        IFERROR(
            VLOOKUP($A62, INDIRECT("MayR!$A$6:$ZZ$1048576"), MATCH(AS$1, MayR!$6:$6, 0), FALSE),
            0
        ) +
        IFERROR(
            VLOOKUP($A62, INDIRECT("JunR!$A$6:$ZZ$1048576"), MATCH(AS$1, JunR!$6:$6, 0), FALSE),
            0
        ) +
        IFERROR(
            VLOOKUP($A62, INDIRECT("JulR!$A$6:$ZZ$1048576"), MATCH(AS$1, JulR!$6:$6, 0), FALSE),
            0
        ) +
        IFERROR(
            VLOOKUP($A62, INDIRECT("AgoR!$A$6:$ZZ$1048576"), MATCH(AS$1, AgoR!$6:$6, 0), FALSE),
            0
        ) +
        IFERROR(
            VLOOKUP($A62, INDIRECT("SepR!$A$6:$ZZ$1048576"), MATCH(AS$1, SepR!$6:$6, 0), FALSE),
            0
        ) +
        IFERROR(
            VLOOKUP($A62, INDIRECT("OctR!$A$6:$ZZ$1048576"), MATCH(AS$1, OctR!$6:$6, 0), FALSE),
            0
        ) +
        IFERROR(
            VLOOKUP($A62, INDIRECT("NovR!$A$6:$ZZ$1048576"), MATCH(AS$1, NovR!$6:$6, 0), FALSE),
            0
        ) +
        IFERROR(
            VLOOKUP($A62, INDIRECT("DicR!$A$6:$ZZ$1048576"), MATCH(AS$1, DicR!$6:$6, 0), FALSE),
            0
        )
)</f>
        <v>0</v>
      </c>
      <c r="AT62" s="36">
        <f t="array" ref="AT62">SUM(
    IFERROR(
            VLOOKUP($A62, INDIRECT("EneR!$A$6:$ZZ$1048576"), MATCH(AT$1, EneR!$6:$6, 0), FALSE),
            0
        ) +
        IFERROR(
            VLOOKUP($A62, INDIRECT("FebR!$A$6:$ZZ$1048576"), MATCH(AT$1, FebR!$6:$6, 0), FALSE),
            0
        ) +
        IFERROR(
            VLOOKUP($A62, INDIRECT("MarR!$A$6:$ZZ$1048576"), MATCH(AT$1, MarR!$6:$6, 0), FALSE),
            0
        ) +
        IFERROR(
            VLOOKUP($A62, INDIRECT("AbrR!$A$6:$ZZ$1048576"), MATCH(AT$1, AbrR!$6:$6, 0), FALSE),
            0
        ) +
        IFERROR(
            VLOOKUP($A62, INDIRECT("MayR!$A$6:$ZZ$1048576"), MATCH(AT$1, MayR!$6:$6, 0), FALSE),
            0
        ) +
        IFERROR(
            VLOOKUP($A62, INDIRECT("JunR!$A$6:$ZZ$1048576"), MATCH(AT$1, JunR!$6:$6, 0), FALSE),
            0
        ) +
        IFERROR(
            VLOOKUP($A62, INDIRECT("JulR!$A$6:$ZZ$1048576"), MATCH(AT$1, JulR!$6:$6, 0), FALSE),
            0
        ) +
        IFERROR(
            VLOOKUP($A62, INDIRECT("AgoR!$A$6:$ZZ$1048576"), MATCH(AT$1, AgoR!$6:$6, 0), FALSE),
            0
        ) +
        IFERROR(
            VLOOKUP($A62, INDIRECT("SepR!$A$6:$ZZ$1048576"), MATCH(AT$1, SepR!$6:$6, 0), FALSE),
            0
        ) +
        IFERROR(
            VLOOKUP($A62, INDIRECT("OctR!$A$6:$ZZ$1048576"), MATCH(AT$1, OctR!$6:$6, 0), FALSE),
            0
        ) +
        IFERROR(
            VLOOKUP($A62, INDIRECT("NovR!$A$6:$ZZ$1048576"), MATCH(AT$1, NovR!$6:$6, 0), FALSE),
            0
        ) +
        IFERROR(
            VLOOKUP($A62, INDIRECT("DicR!$A$6:$ZZ$1048576"), MATCH(AT$1, DicR!$6:$6, 0), FALSE),
            0
        )
)</f>
        <v>0</v>
      </c>
      <c r="AU62" s="35">
        <f t="array" ref="AU62">SUM(
    IFERROR(
            VLOOKUP($A62, INDIRECT("EneR!$A$6:$ZZ$1048576"), MATCH(AU$1, EneR!$6:$6, 0), FALSE),
            0
        ) +
        IFERROR(
            VLOOKUP($A62, INDIRECT("FebR!$A$6:$ZZ$1048576"), MATCH(AU$1, FebR!$6:$6, 0), FALSE),
            0
        ) +
        IFERROR(
            VLOOKUP($A62, INDIRECT("MarR!$A$6:$ZZ$1048576"), MATCH(AU$1, MarR!$6:$6, 0), FALSE),
            0
        ) +
        IFERROR(
            VLOOKUP($A62, INDIRECT("AbrR!$A$6:$ZZ$1048576"), MATCH(AU$1, AbrR!$6:$6, 0), FALSE),
            0
        ) +
        IFERROR(
            VLOOKUP($A62, INDIRECT("MayR!$A$6:$ZZ$1048576"), MATCH(AU$1, MayR!$6:$6, 0), FALSE),
            0
        ) +
        IFERROR(
            VLOOKUP($A62, INDIRECT("JunR!$A$6:$ZZ$1048576"), MATCH(AU$1, JunR!$6:$6, 0), FALSE),
            0
        ) +
        IFERROR(
            VLOOKUP($A62, INDIRECT("JulR!$A$6:$ZZ$1048576"), MATCH(AU$1, JulR!$6:$6, 0), FALSE),
            0
        ) +
        IFERROR(
            VLOOKUP($A62, INDIRECT("AgoR!$A$6:$ZZ$1048576"), MATCH(AU$1, AgoR!$6:$6, 0), FALSE),
            0
        ) +
        IFERROR(
            VLOOKUP($A62, INDIRECT("SepR!$A$6:$ZZ$1048576"), MATCH(AU$1, SepR!$6:$6, 0), FALSE),
            0
        ) +
        IFERROR(
            VLOOKUP($A62, INDIRECT("OctR!$A$6:$ZZ$1048576"), MATCH(AU$1, OctR!$6:$6, 0), FALSE),
            0
        ) +
        IFERROR(
            VLOOKUP($A62, INDIRECT("NovR!$A$6:$ZZ$1048576"), MATCH(AU$1, NovR!$6:$6, 0), FALSE),
            0
        ) +
        IFERROR(
            VLOOKUP($A62, INDIRECT("DicR!$A$6:$ZZ$1048576"), MATCH(AU$1, DicR!$6:$6, 0), FALSE),
            0
        )
)</f>
        <v>0</v>
      </c>
      <c r="AV62" s="36">
        <f t="array" ref="AV62">SUM(
    IFERROR(
            VLOOKUP($A62, INDIRECT("EneR!$A$6:$ZZ$1048576"), MATCH(AV$1, EneR!$6:$6, 0), FALSE),
            0
        ) +
        IFERROR(
            VLOOKUP($A62, INDIRECT("FebR!$A$6:$ZZ$1048576"), MATCH(AV$1, FebR!$6:$6, 0), FALSE),
            0
        ) +
        IFERROR(
            VLOOKUP($A62, INDIRECT("MarR!$A$6:$ZZ$1048576"), MATCH(AV$1, MarR!$6:$6, 0), FALSE),
            0
        ) +
        IFERROR(
            VLOOKUP($A62, INDIRECT("AbrR!$A$6:$ZZ$1048576"), MATCH(AV$1, AbrR!$6:$6, 0), FALSE),
            0
        ) +
        IFERROR(
            VLOOKUP($A62, INDIRECT("MayR!$A$6:$ZZ$1048576"), MATCH(AV$1, MayR!$6:$6, 0), FALSE),
            0
        ) +
        IFERROR(
            VLOOKUP($A62, INDIRECT("JunR!$A$6:$ZZ$1048576"), MATCH(AV$1, JunR!$6:$6, 0), FALSE),
            0
        ) +
        IFERROR(
            VLOOKUP($A62, INDIRECT("JulR!$A$6:$ZZ$1048576"), MATCH(AV$1, JulR!$6:$6, 0), FALSE),
            0
        ) +
        IFERROR(
            VLOOKUP($A62, INDIRECT("AgoR!$A$6:$ZZ$1048576"), MATCH(AV$1, AgoR!$6:$6, 0), FALSE),
            0
        ) +
        IFERROR(
            VLOOKUP($A62, INDIRECT("SepR!$A$6:$ZZ$1048576"), MATCH(AV$1, SepR!$6:$6, 0), FALSE),
            0
        ) +
        IFERROR(
            VLOOKUP($A62, INDIRECT("OctR!$A$6:$ZZ$1048576"), MATCH(AV$1, OctR!$6:$6, 0), FALSE),
            0
        ) +
        IFERROR(
            VLOOKUP($A62, INDIRECT("NovR!$A$6:$ZZ$1048576"), MATCH(AV$1, NovR!$6:$6, 0), FALSE),
            0
        ) +
        IFERROR(
            VLOOKUP($A62, INDIRECT("DicR!$A$6:$ZZ$1048576"), MATCH(AV$1, DicR!$6:$6, 0), FALSE),
            0
        )
)</f>
        <v>0</v>
      </c>
      <c r="AW62" s="35">
        <f t="array" ref="AW62">SUM(
    IFERROR(
            VLOOKUP($A62, INDIRECT("EneR!$A$6:$ZZ$1048576"), MATCH(AW$1, EneR!$6:$6, 0), FALSE),
            0
        ) +
        IFERROR(
            VLOOKUP($A62, INDIRECT("FebR!$A$6:$ZZ$1048576"), MATCH(AW$1, FebR!$6:$6, 0), FALSE),
            0
        ) +
        IFERROR(
            VLOOKUP($A62, INDIRECT("MarR!$A$6:$ZZ$1048576"), MATCH(AW$1, MarR!$6:$6, 0), FALSE),
            0
        ) +
        IFERROR(
            VLOOKUP($A62, INDIRECT("AbrR!$A$6:$ZZ$1048576"), MATCH(AW$1, AbrR!$6:$6, 0), FALSE),
            0
        ) +
        IFERROR(
            VLOOKUP($A62, INDIRECT("MayR!$A$6:$ZZ$1048576"), MATCH(AW$1, MayR!$6:$6, 0), FALSE),
            0
        ) +
        IFERROR(
            VLOOKUP($A62, INDIRECT("JunR!$A$6:$ZZ$1048576"), MATCH(AW$1, JunR!$6:$6, 0), FALSE),
            0
        ) +
        IFERROR(
            VLOOKUP($A62, INDIRECT("JulR!$A$6:$ZZ$1048576"), MATCH(AW$1, JulR!$6:$6, 0), FALSE),
            0
        ) +
        IFERROR(
            VLOOKUP($A62, INDIRECT("AgoR!$A$6:$ZZ$1048576"), MATCH(AW$1, AgoR!$6:$6, 0), FALSE),
            0
        ) +
        IFERROR(
            VLOOKUP($A62, INDIRECT("SepR!$A$6:$ZZ$1048576"), MATCH(AW$1, SepR!$6:$6, 0), FALSE),
            0
        ) +
        IFERROR(
            VLOOKUP($A62, INDIRECT("OctR!$A$6:$ZZ$1048576"), MATCH(AW$1, OctR!$6:$6, 0), FALSE),
            0
        ) +
        IFERROR(
            VLOOKUP($A62, INDIRECT("NovR!$A$6:$ZZ$1048576"), MATCH(AW$1, NovR!$6:$6, 0), FALSE),
            0
        ) +
        IFERROR(
            VLOOKUP($A62, INDIRECT("DicR!$A$6:$ZZ$1048576"), MATCH(AW$1, DicR!$6:$6, 0), FALSE),
            0
        )
)</f>
        <v>0</v>
      </c>
      <c r="AX62" s="36">
        <f t="array" ref="AX62">SUM(
    IFERROR(
            VLOOKUP($A62, INDIRECT("EneR!$A$6:$ZZ$1048576"), MATCH(AX$1, EneR!$6:$6, 0), FALSE),
            0
        ) +
        IFERROR(
            VLOOKUP($A62, INDIRECT("FebR!$A$6:$ZZ$1048576"), MATCH(AX$1, FebR!$6:$6, 0), FALSE),
            0
        ) +
        IFERROR(
            VLOOKUP($A62, INDIRECT("MarR!$A$6:$ZZ$1048576"), MATCH(AX$1, MarR!$6:$6, 0), FALSE),
            0
        ) +
        IFERROR(
            VLOOKUP($A62, INDIRECT("AbrR!$A$6:$ZZ$1048576"), MATCH(AX$1, AbrR!$6:$6, 0), FALSE),
            0
        ) +
        IFERROR(
            VLOOKUP($A62, INDIRECT("MayR!$A$6:$ZZ$1048576"), MATCH(AX$1, MayR!$6:$6, 0), FALSE),
            0
        ) +
        IFERROR(
            VLOOKUP($A62, INDIRECT("JunR!$A$6:$ZZ$1048576"), MATCH(AX$1, JunR!$6:$6, 0), FALSE),
            0
        ) +
        IFERROR(
            VLOOKUP($A62, INDIRECT("JulR!$A$6:$ZZ$1048576"), MATCH(AX$1, JulR!$6:$6, 0), FALSE),
            0
        ) +
        IFERROR(
            VLOOKUP($A62, INDIRECT("AgoR!$A$6:$ZZ$1048576"), MATCH(AX$1, AgoR!$6:$6, 0), FALSE),
            0
        ) +
        IFERROR(
            VLOOKUP($A62, INDIRECT("SepR!$A$6:$ZZ$1048576"), MATCH(AX$1, SepR!$6:$6, 0), FALSE),
            0
        ) +
        IFERROR(
            VLOOKUP($A62, INDIRECT("OctR!$A$6:$ZZ$1048576"), MATCH(AX$1, OctR!$6:$6, 0), FALSE),
            0
        ) +
        IFERROR(
            VLOOKUP($A62, INDIRECT("NovR!$A$6:$ZZ$1048576"), MATCH(AX$1, NovR!$6:$6, 0), FALSE),
            0
        ) +
        IFERROR(
            VLOOKUP($A62, INDIRECT("DicR!$A$6:$ZZ$1048576"), MATCH(AX$1, DicR!$6:$6, 0), FALSE),
            0
        )
)</f>
        <v>0</v>
      </c>
      <c r="AY62" s="35">
        <f t="array" ref="AY62">SUM(
    IFERROR(
            VLOOKUP($A62, INDIRECT("EneR!$A$6:$ZZ$1048576"), MATCH(AY$1, EneR!$6:$6, 0), FALSE),
            0
        ) +
        IFERROR(
            VLOOKUP($A62, INDIRECT("FebR!$A$6:$ZZ$1048576"), MATCH(AY$1, FebR!$6:$6, 0), FALSE),
            0
        ) +
        IFERROR(
            VLOOKUP($A62, INDIRECT("MarR!$A$6:$ZZ$1048576"), MATCH(AY$1, MarR!$6:$6, 0), FALSE),
            0
        ) +
        IFERROR(
            VLOOKUP($A62, INDIRECT("AbrR!$A$6:$ZZ$1048576"), MATCH(AY$1, AbrR!$6:$6, 0), FALSE),
            0
        ) +
        IFERROR(
            VLOOKUP($A62, INDIRECT("MayR!$A$6:$ZZ$1048576"), MATCH(AY$1, MayR!$6:$6, 0), FALSE),
            0
        ) +
        IFERROR(
            VLOOKUP($A62, INDIRECT("JunR!$A$6:$ZZ$1048576"), MATCH(AY$1, JunR!$6:$6, 0), FALSE),
            0
        ) +
        IFERROR(
            VLOOKUP($A62, INDIRECT("JulR!$A$6:$ZZ$1048576"), MATCH(AY$1, JulR!$6:$6, 0), FALSE),
            0
        ) +
        IFERROR(
            VLOOKUP($A62, INDIRECT("AgoR!$A$6:$ZZ$1048576"), MATCH(AY$1, AgoR!$6:$6, 0), FALSE),
            0
        ) +
        IFERROR(
            VLOOKUP($A62, INDIRECT("SepR!$A$6:$ZZ$1048576"), MATCH(AY$1, SepR!$6:$6, 0), FALSE),
            0
        ) +
        IFERROR(
            VLOOKUP($A62, INDIRECT("OctR!$A$6:$ZZ$1048576"), MATCH(AY$1, OctR!$6:$6, 0), FALSE),
            0
        ) +
        IFERROR(
            VLOOKUP($A62, INDIRECT("NovR!$A$6:$ZZ$1048576"), MATCH(AY$1, NovR!$6:$6, 0), FALSE),
            0
        ) +
        IFERROR(
            VLOOKUP($A62, INDIRECT("DicR!$A$6:$ZZ$1048576"), MATCH(AY$1, DicR!$6:$6, 0), FALSE),
            0
        )
)</f>
        <v>0</v>
      </c>
      <c r="AZ62" s="35"/>
    </row>
    <row r="63" ht="15.75" customHeight="1">
      <c r="A63" s="12" t="str">
        <f>Menus!B24</f>
        <v/>
      </c>
      <c r="B63" s="32">
        <f t="shared" si="9"/>
        <v>0</v>
      </c>
      <c r="C63" s="33" t="str">
        <f t="shared" si="10"/>
        <v/>
      </c>
      <c r="D63" s="34">
        <f t="array" ref="D63">SUM(
    IFERROR(
            VLOOKUP($A63, INDIRECT("EneR!$A$6:$ZZ$1048576"), MATCH(D$1, EneR!$6:$6, 0), FALSE),
            0
        ) +
        IFERROR(
            VLOOKUP($A63, INDIRECT("FebR!$A$6:$ZZ$1048576"), MATCH(D$1, FebR!$6:$6, 0), FALSE),
            0
        ) +
        IFERROR(
            VLOOKUP($A63, INDIRECT("MarR!$A$6:$ZZ$1048576"), MATCH(D$1, MarR!$6:$6, 0), FALSE),
            0
        ) +
        IFERROR(
            VLOOKUP($A63, INDIRECT("AbrR!$A$6:$ZZ$1048576"), MATCH(D$1, AbrR!$6:$6, 0), FALSE),
            0
        ) +
        IFERROR(
            VLOOKUP($A63, INDIRECT("MayR!$A$6:$ZZ$1048576"), MATCH(D$1, MayR!$6:$6, 0), FALSE),
            0
        ) +
        IFERROR(
            VLOOKUP($A63, INDIRECT("JunR!$A$6:$ZZ$1048576"), MATCH(D$1, JunR!$6:$6, 0), FALSE),
            0
        ) +
        IFERROR(
            VLOOKUP($A63, INDIRECT("JulR!$A$6:$ZZ$1048576"), MATCH(D$1, JulR!$6:$6, 0), FALSE),
            0
        ) +
        IFERROR(
            VLOOKUP($A63, INDIRECT("AgoR!$A$6:$ZZ$1048576"), MATCH(D$1, AgoR!$6:$6, 0), FALSE),
            0
        ) +
        IFERROR(
            VLOOKUP($A63, INDIRECT("SepR!$A$6:$ZZ$1048576"), MATCH(D$1, SepR!$6:$6, 0), FALSE),
            0
        ) +
        IFERROR(
            VLOOKUP($A63, INDIRECT("OctR!$A$6:$ZZ$1048576"), MATCH(D$1, OctR!$6:$6, 0), FALSE),
            0
        ) +
        IFERROR(
            VLOOKUP($A63, INDIRECT("NovR!$A$6:$ZZ$1048576"), MATCH(D$1, NovR!$6:$6, 0), FALSE),
            0
        ) +
        IFERROR(
            VLOOKUP($A63, INDIRECT("DicR!$A$6:$ZZ$1048576"), MATCH(D$1, DicR!$6:$6, 0), FALSE),
            0
        )
)</f>
        <v>0</v>
      </c>
      <c r="E63" s="35">
        <f t="array" ref="E63">SUM(
    IFERROR(
            VLOOKUP($A63, INDIRECT("EneR!$A$6:$ZZ$1048576"), MATCH(E$1, EneR!$6:$6, 0), FALSE),
            0
        ) +
        IFERROR(
            VLOOKUP($A63, INDIRECT("FebR!$A$6:$ZZ$1048576"), MATCH(E$1, FebR!$6:$6, 0), FALSE),
            0
        ) +
        IFERROR(
            VLOOKUP($A63, INDIRECT("MarR!$A$6:$ZZ$1048576"), MATCH(E$1, MarR!$6:$6, 0), FALSE),
            0
        ) +
        IFERROR(
            VLOOKUP($A63, INDIRECT("AbrR!$A$6:$ZZ$1048576"), MATCH(E$1, AbrR!$6:$6, 0), FALSE),
            0
        ) +
        IFERROR(
            VLOOKUP($A63, INDIRECT("MayR!$A$6:$ZZ$1048576"), MATCH(E$1, MayR!$6:$6, 0), FALSE),
            0
        ) +
        IFERROR(
            VLOOKUP($A63, INDIRECT("JunR!$A$6:$ZZ$1048576"), MATCH(E$1, JunR!$6:$6, 0), FALSE),
            0
        ) +
        IFERROR(
            VLOOKUP($A63, INDIRECT("JulR!$A$6:$ZZ$1048576"), MATCH(E$1, JulR!$6:$6, 0), FALSE),
            0
        ) +
        IFERROR(
            VLOOKUP($A63, INDIRECT("AgoR!$A$6:$ZZ$1048576"), MATCH(E$1, AgoR!$6:$6, 0), FALSE),
            0
        ) +
        IFERROR(
            VLOOKUP($A63, INDIRECT("SepR!$A$6:$ZZ$1048576"), MATCH(E$1, SepR!$6:$6, 0), FALSE),
            0
        ) +
        IFERROR(
            VLOOKUP($A63, INDIRECT("OctR!$A$6:$ZZ$1048576"), MATCH(E$1, OctR!$6:$6, 0), FALSE),
            0
        ) +
        IFERROR(
            VLOOKUP($A63, INDIRECT("NovR!$A$6:$ZZ$1048576"), MATCH(E$1, NovR!$6:$6, 0), FALSE),
            0
        ) +
        IFERROR(
            VLOOKUP($A63, INDIRECT("DicR!$A$6:$ZZ$1048576"), MATCH(E$1, DicR!$6:$6, 0), FALSE),
            0
        )
)</f>
        <v>0</v>
      </c>
      <c r="F63" s="32">
        <f t="array" ref="F63">SUM(
    IFERROR(
            VLOOKUP($A63, INDIRECT("EneR!$A$6:$ZZ$1048576"), MATCH(F$1, EneR!$6:$6, 0), FALSE),
            0
        ) +
        IFERROR(
            VLOOKUP($A63, INDIRECT("FebR!$A$6:$ZZ$1048576"), MATCH(F$1, FebR!$6:$6, 0), FALSE),
            0
        ) +
        IFERROR(
            VLOOKUP($A63, INDIRECT("MarR!$A$6:$ZZ$1048576"), MATCH(F$1, MarR!$6:$6, 0), FALSE),
            0
        ) +
        IFERROR(
            VLOOKUP($A63, INDIRECT("AbrR!$A$6:$ZZ$1048576"), MATCH(F$1, AbrR!$6:$6, 0), FALSE),
            0
        ) +
        IFERROR(
            VLOOKUP($A63, INDIRECT("MayR!$A$6:$ZZ$1048576"), MATCH(F$1, MayR!$6:$6, 0), FALSE),
            0
        ) +
        IFERROR(
            VLOOKUP($A63, INDIRECT("JunR!$A$6:$ZZ$1048576"), MATCH(F$1, JunR!$6:$6, 0), FALSE),
            0
        ) +
        IFERROR(
            VLOOKUP($A63, INDIRECT("JulR!$A$6:$ZZ$1048576"), MATCH(F$1, JulR!$6:$6, 0), FALSE),
            0
        ) +
        IFERROR(
            VLOOKUP($A63, INDIRECT("AgoR!$A$6:$ZZ$1048576"), MATCH(F$1, AgoR!$6:$6, 0), FALSE),
            0
        ) +
        IFERROR(
            VLOOKUP($A63, INDIRECT("SepR!$A$6:$ZZ$1048576"), MATCH(F$1, SepR!$6:$6, 0), FALSE),
            0
        ) +
        IFERROR(
            VLOOKUP($A63, INDIRECT("OctR!$A$6:$ZZ$1048576"), MATCH(F$1, OctR!$6:$6, 0), FALSE),
            0
        ) +
        IFERROR(
            VLOOKUP($A63, INDIRECT("NovR!$A$6:$ZZ$1048576"), MATCH(F$1, NovR!$6:$6, 0), FALSE),
            0
        ) +
        IFERROR(
            VLOOKUP($A63, INDIRECT("DicR!$A$6:$ZZ$1048576"), MATCH(F$1, DicR!$6:$6, 0), FALSE),
            0
        )
)</f>
        <v>0</v>
      </c>
      <c r="G63" s="35">
        <f t="array" ref="G63">SUM(
    IFERROR(
            VLOOKUP($A63, INDIRECT("EneR!$A$6:$ZZ$1048576"), MATCH(G$1, EneR!$6:$6, 0), FALSE),
            0
        ) +
        IFERROR(
            VLOOKUP($A63, INDIRECT("FebR!$A$6:$ZZ$1048576"), MATCH(G$1, FebR!$6:$6, 0), FALSE),
            0
        ) +
        IFERROR(
            VLOOKUP($A63, INDIRECT("MarR!$A$6:$ZZ$1048576"), MATCH(G$1, MarR!$6:$6, 0), FALSE),
            0
        ) +
        IFERROR(
            VLOOKUP($A63, INDIRECT("AbrR!$A$6:$ZZ$1048576"), MATCH(G$1, AbrR!$6:$6, 0), FALSE),
            0
        ) +
        IFERROR(
            VLOOKUP($A63, INDIRECT("MayR!$A$6:$ZZ$1048576"), MATCH(G$1, MayR!$6:$6, 0), FALSE),
            0
        ) +
        IFERROR(
            VLOOKUP($A63, INDIRECT("JunR!$A$6:$ZZ$1048576"), MATCH(G$1, JunR!$6:$6, 0), FALSE),
            0
        ) +
        IFERROR(
            VLOOKUP($A63, INDIRECT("JulR!$A$6:$ZZ$1048576"), MATCH(G$1, JulR!$6:$6, 0), FALSE),
            0
        ) +
        IFERROR(
            VLOOKUP($A63, INDIRECT("AgoR!$A$6:$ZZ$1048576"), MATCH(G$1, AgoR!$6:$6, 0), FALSE),
            0
        ) +
        IFERROR(
            VLOOKUP($A63, INDIRECT("SepR!$A$6:$ZZ$1048576"), MATCH(G$1, SepR!$6:$6, 0), FALSE),
            0
        ) +
        IFERROR(
            VLOOKUP($A63, INDIRECT("OctR!$A$6:$ZZ$1048576"), MATCH(G$1, OctR!$6:$6, 0), FALSE),
            0
        ) +
        IFERROR(
            VLOOKUP($A63, INDIRECT("NovR!$A$6:$ZZ$1048576"), MATCH(G$1, NovR!$6:$6, 0), FALSE),
            0
        ) +
        IFERROR(
            VLOOKUP($A63, INDIRECT("DicR!$A$6:$ZZ$1048576"), MATCH(G$1, DicR!$6:$6, 0), FALSE),
            0
        )
)</f>
        <v>0</v>
      </c>
      <c r="H63" s="32">
        <f t="array" ref="H63">SUM(
    IFERROR(
            VLOOKUP($A63, INDIRECT("EneR!$A$6:$ZZ$1048576"), MATCH(H$1, EneR!$6:$6, 0), FALSE),
            0
        ) +
        IFERROR(
            VLOOKUP($A63, INDIRECT("FebR!$A$6:$ZZ$1048576"), MATCH(H$1, FebR!$6:$6, 0), FALSE),
            0
        ) +
        IFERROR(
            VLOOKUP($A63, INDIRECT("MarR!$A$6:$ZZ$1048576"), MATCH(H$1, MarR!$6:$6, 0), FALSE),
            0
        ) +
        IFERROR(
            VLOOKUP($A63, INDIRECT("AbrR!$A$6:$ZZ$1048576"), MATCH(H$1, AbrR!$6:$6, 0), FALSE),
            0
        ) +
        IFERROR(
            VLOOKUP($A63, INDIRECT("MayR!$A$6:$ZZ$1048576"), MATCH(H$1, MayR!$6:$6, 0), FALSE),
            0
        ) +
        IFERROR(
            VLOOKUP($A63, INDIRECT("JunR!$A$6:$ZZ$1048576"), MATCH(H$1, JunR!$6:$6, 0), FALSE),
            0
        ) +
        IFERROR(
            VLOOKUP($A63, INDIRECT("JulR!$A$6:$ZZ$1048576"), MATCH(H$1, JulR!$6:$6, 0), FALSE),
            0
        ) +
        IFERROR(
            VLOOKUP($A63, INDIRECT("AgoR!$A$6:$ZZ$1048576"), MATCH(H$1, AgoR!$6:$6, 0), FALSE),
            0
        ) +
        IFERROR(
            VLOOKUP($A63, INDIRECT("SepR!$A$6:$ZZ$1048576"), MATCH(H$1, SepR!$6:$6, 0), FALSE),
            0
        ) +
        IFERROR(
            VLOOKUP($A63, INDIRECT("OctR!$A$6:$ZZ$1048576"), MATCH(H$1, OctR!$6:$6, 0), FALSE),
            0
        ) +
        IFERROR(
            VLOOKUP($A63, INDIRECT("NovR!$A$6:$ZZ$1048576"), MATCH(H$1, NovR!$6:$6, 0), FALSE),
            0
        ) +
        IFERROR(
            VLOOKUP($A63, INDIRECT("DicR!$A$6:$ZZ$1048576"), MATCH(H$1, DicR!$6:$6, 0), FALSE),
            0
        )
)</f>
        <v>0</v>
      </c>
      <c r="I63" s="35">
        <f t="array" ref="I63">SUM(
    IFERROR(
            VLOOKUP($A63, INDIRECT("EneR!$A$6:$ZZ$1048576"), MATCH(I$1, EneR!$6:$6, 0), FALSE),
            0
        ) +
        IFERROR(
            VLOOKUP($A63, INDIRECT("FebR!$A$6:$ZZ$1048576"), MATCH(I$1, FebR!$6:$6, 0), FALSE),
            0
        ) +
        IFERROR(
            VLOOKUP($A63, INDIRECT("MarR!$A$6:$ZZ$1048576"), MATCH(I$1, MarR!$6:$6, 0), FALSE),
            0
        ) +
        IFERROR(
            VLOOKUP($A63, INDIRECT("AbrR!$A$6:$ZZ$1048576"), MATCH(I$1, AbrR!$6:$6, 0), FALSE),
            0
        ) +
        IFERROR(
            VLOOKUP($A63, INDIRECT("MayR!$A$6:$ZZ$1048576"), MATCH(I$1, MayR!$6:$6, 0), FALSE),
            0
        ) +
        IFERROR(
            VLOOKUP($A63, INDIRECT("JunR!$A$6:$ZZ$1048576"), MATCH(I$1, JunR!$6:$6, 0), FALSE),
            0
        ) +
        IFERROR(
            VLOOKUP($A63, INDIRECT("JulR!$A$6:$ZZ$1048576"), MATCH(I$1, JulR!$6:$6, 0), FALSE),
            0
        ) +
        IFERROR(
            VLOOKUP($A63, INDIRECT("AgoR!$A$6:$ZZ$1048576"), MATCH(I$1, AgoR!$6:$6, 0), FALSE),
            0
        ) +
        IFERROR(
            VLOOKUP($A63, INDIRECT("SepR!$A$6:$ZZ$1048576"), MATCH(I$1, SepR!$6:$6, 0), FALSE),
            0
        ) +
        IFERROR(
            VLOOKUP($A63, INDIRECT("OctR!$A$6:$ZZ$1048576"), MATCH(I$1, OctR!$6:$6, 0), FALSE),
            0
        ) +
        IFERROR(
            VLOOKUP($A63, INDIRECT("NovR!$A$6:$ZZ$1048576"), MATCH(I$1, NovR!$6:$6, 0), FALSE),
            0
        ) +
        IFERROR(
            VLOOKUP($A63, INDIRECT("DicR!$A$6:$ZZ$1048576"), MATCH(I$1, DicR!$6:$6, 0), FALSE),
            0
        )
)</f>
        <v>0</v>
      </c>
      <c r="J63" s="32">
        <f t="array" ref="J63">SUM(
    IFERROR(
            VLOOKUP($A63, INDIRECT("EneR!$A$6:$ZZ$1048576"), MATCH(J$1, EneR!$6:$6, 0), FALSE),
            0
        ) +
        IFERROR(
            VLOOKUP($A63, INDIRECT("FebR!$A$6:$ZZ$1048576"), MATCH(J$1, FebR!$6:$6, 0), FALSE),
            0
        ) +
        IFERROR(
            VLOOKUP($A63, INDIRECT("MarR!$A$6:$ZZ$1048576"), MATCH(J$1, MarR!$6:$6, 0), FALSE),
            0
        ) +
        IFERROR(
            VLOOKUP($A63, INDIRECT("AbrR!$A$6:$ZZ$1048576"), MATCH(J$1, AbrR!$6:$6, 0), FALSE),
            0
        ) +
        IFERROR(
            VLOOKUP($A63, INDIRECT("MayR!$A$6:$ZZ$1048576"), MATCH(J$1, MayR!$6:$6, 0), FALSE),
            0
        ) +
        IFERROR(
            VLOOKUP($A63, INDIRECT("JunR!$A$6:$ZZ$1048576"), MATCH(J$1, JunR!$6:$6, 0), FALSE),
            0
        ) +
        IFERROR(
            VLOOKUP($A63, INDIRECT("JulR!$A$6:$ZZ$1048576"), MATCH(J$1, JulR!$6:$6, 0), FALSE),
            0
        ) +
        IFERROR(
            VLOOKUP($A63, INDIRECT("AgoR!$A$6:$ZZ$1048576"), MATCH(J$1, AgoR!$6:$6, 0), FALSE),
            0
        ) +
        IFERROR(
            VLOOKUP($A63, INDIRECT("SepR!$A$6:$ZZ$1048576"), MATCH(J$1, SepR!$6:$6, 0), FALSE),
            0
        ) +
        IFERROR(
            VLOOKUP($A63, INDIRECT("OctR!$A$6:$ZZ$1048576"), MATCH(J$1, OctR!$6:$6, 0), FALSE),
            0
        ) +
        IFERROR(
            VLOOKUP($A63, INDIRECT("NovR!$A$6:$ZZ$1048576"), MATCH(J$1, NovR!$6:$6, 0), FALSE),
            0
        ) +
        IFERROR(
            VLOOKUP($A63, INDIRECT("DicR!$A$6:$ZZ$1048576"), MATCH(J$1, DicR!$6:$6, 0), FALSE),
            0
        )
)</f>
        <v>0</v>
      </c>
      <c r="K63" s="35">
        <f t="array" ref="K63">SUM(
    IFERROR(
            VLOOKUP($A63, INDIRECT("EneR!$A$6:$ZZ$1048576"), MATCH(K$1, EneR!$6:$6, 0), FALSE),
            0
        ) +
        IFERROR(
            VLOOKUP($A63, INDIRECT("FebR!$A$6:$ZZ$1048576"), MATCH(K$1, FebR!$6:$6, 0), FALSE),
            0
        ) +
        IFERROR(
            VLOOKUP($A63, INDIRECT("MarR!$A$6:$ZZ$1048576"), MATCH(K$1, MarR!$6:$6, 0), FALSE),
            0
        ) +
        IFERROR(
            VLOOKUP($A63, INDIRECT("AbrR!$A$6:$ZZ$1048576"), MATCH(K$1, AbrR!$6:$6, 0), FALSE),
            0
        ) +
        IFERROR(
            VLOOKUP($A63, INDIRECT("MayR!$A$6:$ZZ$1048576"), MATCH(K$1, MayR!$6:$6, 0), FALSE),
            0
        ) +
        IFERROR(
            VLOOKUP($A63, INDIRECT("JunR!$A$6:$ZZ$1048576"), MATCH(K$1, JunR!$6:$6, 0), FALSE),
            0
        ) +
        IFERROR(
            VLOOKUP($A63, INDIRECT("JulR!$A$6:$ZZ$1048576"), MATCH(K$1, JulR!$6:$6, 0), FALSE),
            0
        ) +
        IFERROR(
            VLOOKUP($A63, INDIRECT("AgoR!$A$6:$ZZ$1048576"), MATCH(K$1, AgoR!$6:$6, 0), FALSE),
            0
        ) +
        IFERROR(
            VLOOKUP($A63, INDIRECT("SepR!$A$6:$ZZ$1048576"), MATCH(K$1, SepR!$6:$6, 0), FALSE),
            0
        ) +
        IFERROR(
            VLOOKUP($A63, INDIRECT("OctR!$A$6:$ZZ$1048576"), MATCH(K$1, OctR!$6:$6, 0), FALSE),
            0
        ) +
        IFERROR(
            VLOOKUP($A63, INDIRECT("NovR!$A$6:$ZZ$1048576"), MATCH(K$1, NovR!$6:$6, 0), FALSE),
            0
        ) +
        IFERROR(
            VLOOKUP($A63, INDIRECT("DicR!$A$6:$ZZ$1048576"), MATCH(K$1, DicR!$6:$6, 0), FALSE),
            0
        )
)</f>
        <v>0</v>
      </c>
      <c r="L63" s="32">
        <f t="array" ref="L63">SUM(
    IFERROR(
            VLOOKUP($A63, INDIRECT("EneR!$A$6:$ZZ$1048576"), MATCH(L$1, EneR!$6:$6, 0), FALSE),
            0
        ) +
        IFERROR(
            VLOOKUP($A63, INDIRECT("FebR!$A$6:$ZZ$1048576"), MATCH(L$1, FebR!$6:$6, 0), FALSE),
            0
        ) +
        IFERROR(
            VLOOKUP($A63, INDIRECT("MarR!$A$6:$ZZ$1048576"), MATCH(L$1, MarR!$6:$6, 0), FALSE),
            0
        ) +
        IFERROR(
            VLOOKUP($A63, INDIRECT("AbrR!$A$6:$ZZ$1048576"), MATCH(L$1, AbrR!$6:$6, 0), FALSE),
            0
        ) +
        IFERROR(
            VLOOKUP($A63, INDIRECT("MayR!$A$6:$ZZ$1048576"), MATCH(L$1, MayR!$6:$6, 0), FALSE),
            0
        ) +
        IFERROR(
            VLOOKUP($A63, INDIRECT("JunR!$A$6:$ZZ$1048576"), MATCH(L$1, JunR!$6:$6, 0), FALSE),
            0
        ) +
        IFERROR(
            VLOOKUP($A63, INDIRECT("JulR!$A$6:$ZZ$1048576"), MATCH(L$1, JulR!$6:$6, 0), FALSE),
            0
        ) +
        IFERROR(
            VLOOKUP($A63, INDIRECT("AgoR!$A$6:$ZZ$1048576"), MATCH(L$1, AgoR!$6:$6, 0), FALSE),
            0
        ) +
        IFERROR(
            VLOOKUP($A63, INDIRECT("SepR!$A$6:$ZZ$1048576"), MATCH(L$1, SepR!$6:$6, 0), FALSE),
            0
        ) +
        IFERROR(
            VLOOKUP($A63, INDIRECT("OctR!$A$6:$ZZ$1048576"), MATCH(L$1, OctR!$6:$6, 0), FALSE),
            0
        ) +
        IFERROR(
            VLOOKUP($A63, INDIRECT("NovR!$A$6:$ZZ$1048576"), MATCH(L$1, NovR!$6:$6, 0), FALSE),
            0
        ) +
        IFERROR(
            VLOOKUP($A63, INDIRECT("DicR!$A$6:$ZZ$1048576"), MATCH(L$1, DicR!$6:$6, 0), FALSE),
            0
        )
)</f>
        <v>0</v>
      </c>
      <c r="M63" s="35">
        <f t="array" ref="M63">SUM(
    IFERROR(
            VLOOKUP($A63, INDIRECT("EneR!$A$6:$ZZ$1048576"), MATCH(M$1, EneR!$6:$6, 0), FALSE),
            0
        ) +
        IFERROR(
            VLOOKUP($A63, INDIRECT("FebR!$A$6:$ZZ$1048576"), MATCH(M$1, FebR!$6:$6, 0), FALSE),
            0
        ) +
        IFERROR(
            VLOOKUP($A63, INDIRECT("MarR!$A$6:$ZZ$1048576"), MATCH(M$1, MarR!$6:$6, 0), FALSE),
            0
        ) +
        IFERROR(
            VLOOKUP($A63, INDIRECT("AbrR!$A$6:$ZZ$1048576"), MATCH(M$1, AbrR!$6:$6, 0), FALSE),
            0
        ) +
        IFERROR(
            VLOOKUP($A63, INDIRECT("MayR!$A$6:$ZZ$1048576"), MATCH(M$1, MayR!$6:$6, 0), FALSE),
            0
        ) +
        IFERROR(
            VLOOKUP($A63, INDIRECT("JunR!$A$6:$ZZ$1048576"), MATCH(M$1, JunR!$6:$6, 0), FALSE),
            0
        ) +
        IFERROR(
            VLOOKUP($A63, INDIRECT("JulR!$A$6:$ZZ$1048576"), MATCH(M$1, JulR!$6:$6, 0), FALSE),
            0
        ) +
        IFERROR(
            VLOOKUP($A63, INDIRECT("AgoR!$A$6:$ZZ$1048576"), MATCH(M$1, AgoR!$6:$6, 0), FALSE),
            0
        ) +
        IFERROR(
            VLOOKUP($A63, INDIRECT("SepR!$A$6:$ZZ$1048576"), MATCH(M$1, SepR!$6:$6, 0), FALSE),
            0
        ) +
        IFERROR(
            VLOOKUP($A63, INDIRECT("OctR!$A$6:$ZZ$1048576"), MATCH(M$1, OctR!$6:$6, 0), FALSE),
            0
        ) +
        IFERROR(
            VLOOKUP($A63, INDIRECT("NovR!$A$6:$ZZ$1048576"), MATCH(M$1, NovR!$6:$6, 0), FALSE),
            0
        ) +
        IFERROR(
            VLOOKUP($A63, INDIRECT("DicR!$A$6:$ZZ$1048576"), MATCH(M$1, DicR!$6:$6, 0), FALSE),
            0
        )
)</f>
        <v>0</v>
      </c>
      <c r="N63" s="32">
        <f t="array" ref="N63">SUM(
    IFERROR(
            VLOOKUP($A63, INDIRECT("EneR!$A$6:$ZZ$1048576"), MATCH(N$1, EneR!$6:$6, 0), FALSE),
            0
        ) +
        IFERROR(
            VLOOKUP($A63, INDIRECT("FebR!$A$6:$ZZ$1048576"), MATCH(N$1, FebR!$6:$6, 0), FALSE),
            0
        ) +
        IFERROR(
            VLOOKUP($A63, INDIRECT("MarR!$A$6:$ZZ$1048576"), MATCH(N$1, MarR!$6:$6, 0), FALSE),
            0
        ) +
        IFERROR(
            VLOOKUP($A63, INDIRECT("AbrR!$A$6:$ZZ$1048576"), MATCH(N$1, AbrR!$6:$6, 0), FALSE),
            0
        ) +
        IFERROR(
            VLOOKUP($A63, INDIRECT("MayR!$A$6:$ZZ$1048576"), MATCH(N$1, MayR!$6:$6, 0), FALSE),
            0
        ) +
        IFERROR(
            VLOOKUP($A63, INDIRECT("JunR!$A$6:$ZZ$1048576"), MATCH(N$1, JunR!$6:$6, 0), FALSE),
            0
        ) +
        IFERROR(
            VLOOKUP($A63, INDIRECT("JulR!$A$6:$ZZ$1048576"), MATCH(N$1, JulR!$6:$6, 0), FALSE),
            0
        ) +
        IFERROR(
            VLOOKUP($A63, INDIRECT("AgoR!$A$6:$ZZ$1048576"), MATCH(N$1, AgoR!$6:$6, 0), FALSE),
            0
        ) +
        IFERROR(
            VLOOKUP($A63, INDIRECT("SepR!$A$6:$ZZ$1048576"), MATCH(N$1, SepR!$6:$6, 0), FALSE),
            0
        ) +
        IFERROR(
            VLOOKUP($A63, INDIRECT("OctR!$A$6:$ZZ$1048576"), MATCH(N$1, OctR!$6:$6, 0), FALSE),
            0
        ) +
        IFERROR(
            VLOOKUP($A63, INDIRECT("NovR!$A$6:$ZZ$1048576"), MATCH(N$1, NovR!$6:$6, 0), FALSE),
            0
        ) +
        IFERROR(
            VLOOKUP($A63, INDIRECT("DicR!$A$6:$ZZ$1048576"), MATCH(N$1, DicR!$6:$6, 0), FALSE),
            0
        )
)</f>
        <v>0</v>
      </c>
      <c r="O63" s="35">
        <f t="array" ref="O63">SUM(
    IFERROR(
            VLOOKUP($A63, INDIRECT("EneR!$A$6:$ZZ$1048576"), MATCH(O$1, EneR!$6:$6, 0), FALSE),
            0
        ) +
        IFERROR(
            VLOOKUP($A63, INDIRECT("FebR!$A$6:$ZZ$1048576"), MATCH(O$1, FebR!$6:$6, 0), FALSE),
            0
        ) +
        IFERROR(
            VLOOKUP($A63, INDIRECT("MarR!$A$6:$ZZ$1048576"), MATCH(O$1, MarR!$6:$6, 0), FALSE),
            0
        ) +
        IFERROR(
            VLOOKUP($A63, INDIRECT("AbrR!$A$6:$ZZ$1048576"), MATCH(O$1, AbrR!$6:$6, 0), FALSE),
            0
        ) +
        IFERROR(
            VLOOKUP($A63, INDIRECT("MayR!$A$6:$ZZ$1048576"), MATCH(O$1, MayR!$6:$6, 0), FALSE),
            0
        ) +
        IFERROR(
            VLOOKUP($A63, INDIRECT("JunR!$A$6:$ZZ$1048576"), MATCH(O$1, JunR!$6:$6, 0), FALSE),
            0
        ) +
        IFERROR(
            VLOOKUP($A63, INDIRECT("JulR!$A$6:$ZZ$1048576"), MATCH(O$1, JulR!$6:$6, 0), FALSE),
            0
        ) +
        IFERROR(
            VLOOKUP($A63, INDIRECT("AgoR!$A$6:$ZZ$1048576"), MATCH(O$1, AgoR!$6:$6, 0), FALSE),
            0
        ) +
        IFERROR(
            VLOOKUP($A63, INDIRECT("SepR!$A$6:$ZZ$1048576"), MATCH(O$1, SepR!$6:$6, 0), FALSE),
            0
        ) +
        IFERROR(
            VLOOKUP($A63, INDIRECT("OctR!$A$6:$ZZ$1048576"), MATCH(O$1, OctR!$6:$6, 0), FALSE),
            0
        ) +
        IFERROR(
            VLOOKUP($A63, INDIRECT("NovR!$A$6:$ZZ$1048576"), MATCH(O$1, NovR!$6:$6, 0), FALSE),
            0
        ) +
        IFERROR(
            VLOOKUP($A63, INDIRECT("DicR!$A$6:$ZZ$1048576"), MATCH(O$1, DicR!$6:$6, 0), FALSE),
            0
        )
)</f>
        <v>0</v>
      </c>
      <c r="P63" s="32">
        <f t="array" ref="P63">SUM(
    IFERROR(
            VLOOKUP($A63, INDIRECT("EneR!$A$6:$ZZ$1048576"), MATCH(P$1, EneR!$6:$6, 0), FALSE),
            0
        ) +
        IFERROR(
            VLOOKUP($A63, INDIRECT("FebR!$A$6:$ZZ$1048576"), MATCH(P$1, FebR!$6:$6, 0), FALSE),
            0
        ) +
        IFERROR(
            VLOOKUP($A63, INDIRECT("MarR!$A$6:$ZZ$1048576"), MATCH(P$1, MarR!$6:$6, 0), FALSE),
            0
        ) +
        IFERROR(
            VLOOKUP($A63, INDIRECT("AbrR!$A$6:$ZZ$1048576"), MATCH(P$1, AbrR!$6:$6, 0), FALSE),
            0
        ) +
        IFERROR(
            VLOOKUP($A63, INDIRECT("MayR!$A$6:$ZZ$1048576"), MATCH(P$1, MayR!$6:$6, 0), FALSE),
            0
        ) +
        IFERROR(
            VLOOKUP($A63, INDIRECT("JunR!$A$6:$ZZ$1048576"), MATCH(P$1, JunR!$6:$6, 0), FALSE),
            0
        ) +
        IFERROR(
            VLOOKUP($A63, INDIRECT("JulR!$A$6:$ZZ$1048576"), MATCH(P$1, JulR!$6:$6, 0), FALSE),
            0
        ) +
        IFERROR(
            VLOOKUP($A63, INDIRECT("AgoR!$A$6:$ZZ$1048576"), MATCH(P$1, AgoR!$6:$6, 0), FALSE),
            0
        ) +
        IFERROR(
            VLOOKUP($A63, INDIRECT("SepR!$A$6:$ZZ$1048576"), MATCH(P$1, SepR!$6:$6, 0), FALSE),
            0
        ) +
        IFERROR(
            VLOOKUP($A63, INDIRECT("OctR!$A$6:$ZZ$1048576"), MATCH(P$1, OctR!$6:$6, 0), FALSE),
            0
        ) +
        IFERROR(
            VLOOKUP($A63, INDIRECT("NovR!$A$6:$ZZ$1048576"), MATCH(P$1, NovR!$6:$6, 0), FALSE),
            0
        ) +
        IFERROR(
            VLOOKUP($A63, INDIRECT("DicR!$A$6:$ZZ$1048576"), MATCH(P$1, DicR!$6:$6, 0), FALSE),
            0
        )
)</f>
        <v>0</v>
      </c>
      <c r="Q63" s="35">
        <f t="array" ref="Q63">SUM(
    IFERROR(
            VLOOKUP($A63, INDIRECT("EneR!$A$6:$ZZ$1048576"), MATCH(Q$1, EneR!$6:$6, 0), FALSE),
            0
        ) +
        IFERROR(
            VLOOKUP($A63, INDIRECT("FebR!$A$6:$ZZ$1048576"), MATCH(Q$1, FebR!$6:$6, 0), FALSE),
            0
        ) +
        IFERROR(
            VLOOKUP($A63, INDIRECT("MarR!$A$6:$ZZ$1048576"), MATCH(Q$1, MarR!$6:$6, 0), FALSE),
            0
        ) +
        IFERROR(
            VLOOKUP($A63, INDIRECT("AbrR!$A$6:$ZZ$1048576"), MATCH(Q$1, AbrR!$6:$6, 0), FALSE),
            0
        ) +
        IFERROR(
            VLOOKUP($A63, INDIRECT("MayR!$A$6:$ZZ$1048576"), MATCH(Q$1, MayR!$6:$6, 0), FALSE),
            0
        ) +
        IFERROR(
            VLOOKUP($A63, INDIRECT("JunR!$A$6:$ZZ$1048576"), MATCH(Q$1, JunR!$6:$6, 0), FALSE),
            0
        ) +
        IFERROR(
            VLOOKUP($A63, INDIRECT("JulR!$A$6:$ZZ$1048576"), MATCH(Q$1, JulR!$6:$6, 0), FALSE),
            0
        ) +
        IFERROR(
            VLOOKUP($A63, INDIRECT("AgoR!$A$6:$ZZ$1048576"), MATCH(Q$1, AgoR!$6:$6, 0), FALSE),
            0
        ) +
        IFERROR(
            VLOOKUP($A63, INDIRECT("SepR!$A$6:$ZZ$1048576"), MATCH(Q$1, SepR!$6:$6, 0), FALSE),
            0
        ) +
        IFERROR(
            VLOOKUP($A63, INDIRECT("OctR!$A$6:$ZZ$1048576"), MATCH(Q$1, OctR!$6:$6, 0), FALSE),
            0
        ) +
        IFERROR(
            VLOOKUP($A63, INDIRECT("NovR!$A$6:$ZZ$1048576"), MATCH(Q$1, NovR!$6:$6, 0), FALSE),
            0
        ) +
        IFERROR(
            VLOOKUP($A63, INDIRECT("DicR!$A$6:$ZZ$1048576"), MATCH(Q$1, DicR!$6:$6, 0), FALSE),
            0
        )
)</f>
        <v>0</v>
      </c>
      <c r="R63" s="36">
        <f t="array" ref="R63">SUM(
    IFERROR(
            VLOOKUP($A63, INDIRECT("EneR!$A$6:$ZZ$1048576"), MATCH(R$1, EneR!$6:$6, 0), FALSE),
            0
        ) +
        IFERROR(
            VLOOKUP($A63, INDIRECT("FebR!$A$6:$ZZ$1048576"), MATCH(R$1, FebR!$6:$6, 0), FALSE),
            0
        ) +
        IFERROR(
            VLOOKUP($A63, INDIRECT("MarR!$A$6:$ZZ$1048576"), MATCH(R$1, MarR!$6:$6, 0), FALSE),
            0
        ) +
        IFERROR(
            VLOOKUP($A63, INDIRECT("AbrR!$A$6:$ZZ$1048576"), MATCH(R$1, AbrR!$6:$6, 0), FALSE),
            0
        ) +
        IFERROR(
            VLOOKUP($A63, INDIRECT("MayR!$A$6:$ZZ$1048576"), MATCH(R$1, MayR!$6:$6, 0), FALSE),
            0
        ) +
        IFERROR(
            VLOOKUP($A63, INDIRECT("JunR!$A$6:$ZZ$1048576"), MATCH(R$1, JunR!$6:$6, 0), FALSE),
            0
        ) +
        IFERROR(
            VLOOKUP($A63, INDIRECT("JulR!$A$6:$ZZ$1048576"), MATCH(R$1, JulR!$6:$6, 0), FALSE),
            0
        ) +
        IFERROR(
            VLOOKUP($A63, INDIRECT("AgoR!$A$6:$ZZ$1048576"), MATCH(R$1, AgoR!$6:$6, 0), FALSE),
            0
        ) +
        IFERROR(
            VLOOKUP($A63, INDIRECT("SepR!$A$6:$ZZ$1048576"), MATCH(R$1, SepR!$6:$6, 0), FALSE),
            0
        ) +
        IFERROR(
            VLOOKUP($A63, INDIRECT("OctR!$A$6:$ZZ$1048576"), MATCH(R$1, OctR!$6:$6, 0), FALSE),
            0
        ) +
        IFERROR(
            VLOOKUP($A63, INDIRECT("NovR!$A$6:$ZZ$1048576"), MATCH(R$1, NovR!$6:$6, 0), FALSE),
            0
        ) +
        IFERROR(
            VLOOKUP($A63, INDIRECT("DicR!$A$6:$ZZ$1048576"), MATCH(R$1, DicR!$6:$6, 0), FALSE),
            0
        )
)</f>
        <v>0</v>
      </c>
      <c r="S63" s="37">
        <f t="array" ref="S63">SUM(
    IFERROR(
            VLOOKUP($A63, INDIRECT("EneR!$A$6:$ZZ$1048576"), MATCH(S$1, EneR!$6:$6, 0), FALSE),
            0
        ) +
        IFERROR(
            VLOOKUP($A63, INDIRECT("FebR!$A$6:$ZZ$1048576"), MATCH(S$1, FebR!$6:$6, 0), FALSE),
            0
        ) +
        IFERROR(
            VLOOKUP($A63, INDIRECT("MarR!$A$6:$ZZ$1048576"), MATCH(S$1, MarR!$6:$6, 0), FALSE),
            0
        ) +
        IFERROR(
            VLOOKUP($A63, INDIRECT("AbrR!$A$6:$ZZ$1048576"), MATCH(S$1, AbrR!$6:$6, 0), FALSE),
            0
        ) +
        IFERROR(
            VLOOKUP($A63, INDIRECT("MayR!$A$6:$ZZ$1048576"), MATCH(S$1, MayR!$6:$6, 0), FALSE),
            0
        ) +
        IFERROR(
            VLOOKUP($A63, INDIRECT("JunR!$A$6:$ZZ$1048576"), MATCH(S$1, JunR!$6:$6, 0), FALSE),
            0
        ) +
        IFERROR(
            VLOOKUP($A63, INDIRECT("JulR!$A$6:$ZZ$1048576"), MATCH(S$1, JulR!$6:$6, 0), FALSE),
            0
        ) +
        IFERROR(
            VLOOKUP($A63, INDIRECT("AgoR!$A$6:$ZZ$1048576"), MATCH(S$1, AgoR!$6:$6, 0), FALSE),
            0
        ) +
        IFERROR(
            VLOOKUP($A63, INDIRECT("SepR!$A$6:$ZZ$1048576"), MATCH(S$1, SepR!$6:$6, 0), FALSE),
            0
        ) +
        IFERROR(
            VLOOKUP($A63, INDIRECT("OctR!$A$6:$ZZ$1048576"), MATCH(S$1, OctR!$6:$6, 0), FALSE),
            0
        ) +
        IFERROR(
            VLOOKUP($A63, INDIRECT("NovR!$A$6:$ZZ$1048576"), MATCH(S$1, NovR!$6:$6, 0), FALSE),
            0
        ) +
        IFERROR(
            VLOOKUP($A63, INDIRECT("DicR!$A$6:$ZZ$1048576"), MATCH(S$1, DicR!$6:$6, 0), FALSE),
            0
        )
)</f>
        <v>0</v>
      </c>
      <c r="T63" s="36">
        <f t="array" ref="T63">SUM(
    IFERROR(
            VLOOKUP($A63, INDIRECT("EneR!$A$6:$ZZ$1048576"), MATCH(T$1, EneR!$6:$6, 0), FALSE),
            0
        ) +
        IFERROR(
            VLOOKUP($A63, INDIRECT("FebR!$A$6:$ZZ$1048576"), MATCH(T$1, FebR!$6:$6, 0), FALSE),
            0
        ) +
        IFERROR(
            VLOOKUP($A63, INDIRECT("MarR!$A$6:$ZZ$1048576"), MATCH(T$1, MarR!$6:$6, 0), FALSE),
            0
        ) +
        IFERROR(
            VLOOKUP($A63, INDIRECT("AbrR!$A$6:$ZZ$1048576"), MATCH(T$1, AbrR!$6:$6, 0), FALSE),
            0
        ) +
        IFERROR(
            VLOOKUP($A63, INDIRECT("MayR!$A$6:$ZZ$1048576"), MATCH(T$1, MayR!$6:$6, 0), FALSE),
            0
        ) +
        IFERROR(
            VLOOKUP($A63, INDIRECT("JunR!$A$6:$ZZ$1048576"), MATCH(T$1, JunR!$6:$6, 0), FALSE),
            0
        ) +
        IFERROR(
            VLOOKUP($A63, INDIRECT("JulR!$A$6:$ZZ$1048576"), MATCH(T$1, JulR!$6:$6, 0), FALSE),
            0
        ) +
        IFERROR(
            VLOOKUP($A63, INDIRECT("AgoR!$A$6:$ZZ$1048576"), MATCH(T$1, AgoR!$6:$6, 0), FALSE),
            0
        ) +
        IFERROR(
            VLOOKUP($A63, INDIRECT("SepR!$A$6:$ZZ$1048576"), MATCH(T$1, SepR!$6:$6, 0), FALSE),
            0
        ) +
        IFERROR(
            VLOOKUP($A63, INDIRECT("OctR!$A$6:$ZZ$1048576"), MATCH(T$1, OctR!$6:$6, 0), FALSE),
            0
        ) +
        IFERROR(
            VLOOKUP($A63, INDIRECT("NovR!$A$6:$ZZ$1048576"), MATCH(T$1, NovR!$6:$6, 0), FALSE),
            0
        ) +
        IFERROR(
            VLOOKUP($A63, INDIRECT("DicR!$A$6:$ZZ$1048576"), MATCH(T$1, DicR!$6:$6, 0), FALSE),
            0
        )
)</f>
        <v>0</v>
      </c>
      <c r="U63" s="37">
        <f t="array" ref="U63">SUM(
    IFERROR(
            VLOOKUP($A63, INDIRECT("EneR!$A$6:$ZZ$1048576"), MATCH(U$1, EneR!$6:$6, 0), FALSE),
            0
        ) +
        IFERROR(
            VLOOKUP($A63, INDIRECT("FebR!$A$6:$ZZ$1048576"), MATCH(U$1, FebR!$6:$6, 0), FALSE),
            0
        ) +
        IFERROR(
            VLOOKUP($A63, INDIRECT("MarR!$A$6:$ZZ$1048576"), MATCH(U$1, MarR!$6:$6, 0), FALSE),
            0
        ) +
        IFERROR(
            VLOOKUP($A63, INDIRECT("AbrR!$A$6:$ZZ$1048576"), MATCH(U$1, AbrR!$6:$6, 0), FALSE),
            0
        ) +
        IFERROR(
            VLOOKUP($A63, INDIRECT("MayR!$A$6:$ZZ$1048576"), MATCH(U$1, MayR!$6:$6, 0), FALSE),
            0
        ) +
        IFERROR(
            VLOOKUP($A63, INDIRECT("JunR!$A$6:$ZZ$1048576"), MATCH(U$1, JunR!$6:$6, 0), FALSE),
            0
        ) +
        IFERROR(
            VLOOKUP($A63, INDIRECT("JulR!$A$6:$ZZ$1048576"), MATCH(U$1, JulR!$6:$6, 0), FALSE),
            0
        ) +
        IFERROR(
            VLOOKUP($A63, INDIRECT("AgoR!$A$6:$ZZ$1048576"), MATCH(U$1, AgoR!$6:$6, 0), FALSE),
            0
        ) +
        IFERROR(
            VLOOKUP($A63, INDIRECT("SepR!$A$6:$ZZ$1048576"), MATCH(U$1, SepR!$6:$6, 0), FALSE),
            0
        ) +
        IFERROR(
            VLOOKUP($A63, INDIRECT("OctR!$A$6:$ZZ$1048576"), MATCH(U$1, OctR!$6:$6, 0), FALSE),
            0
        ) +
        IFERROR(
            VLOOKUP($A63, INDIRECT("NovR!$A$6:$ZZ$1048576"), MATCH(U$1, NovR!$6:$6, 0), FALSE),
            0
        ) +
        IFERROR(
            VLOOKUP($A63, INDIRECT("DicR!$A$6:$ZZ$1048576"), MATCH(U$1, DicR!$6:$6, 0), FALSE),
            0
        )
)</f>
        <v>0</v>
      </c>
      <c r="V63" s="36">
        <f t="array" ref="V63">SUM(
    IFERROR(
            VLOOKUP($A63, INDIRECT("EneR!$A$6:$ZZ$1048576"), MATCH(V$1, EneR!$6:$6, 0), FALSE),
            0
        ) +
        IFERROR(
            VLOOKUP($A63, INDIRECT("FebR!$A$6:$ZZ$1048576"), MATCH(V$1, FebR!$6:$6, 0), FALSE),
            0
        ) +
        IFERROR(
            VLOOKUP($A63, INDIRECT("MarR!$A$6:$ZZ$1048576"), MATCH(V$1, MarR!$6:$6, 0), FALSE),
            0
        ) +
        IFERROR(
            VLOOKUP($A63, INDIRECT("AbrR!$A$6:$ZZ$1048576"), MATCH(V$1, AbrR!$6:$6, 0), FALSE),
            0
        ) +
        IFERROR(
            VLOOKUP($A63, INDIRECT("MayR!$A$6:$ZZ$1048576"), MATCH(V$1, MayR!$6:$6, 0), FALSE),
            0
        ) +
        IFERROR(
            VLOOKUP($A63, INDIRECT("JunR!$A$6:$ZZ$1048576"), MATCH(V$1, JunR!$6:$6, 0), FALSE),
            0
        ) +
        IFERROR(
            VLOOKUP($A63, INDIRECT("JulR!$A$6:$ZZ$1048576"), MATCH(V$1, JulR!$6:$6, 0), FALSE),
            0
        ) +
        IFERROR(
            VLOOKUP($A63, INDIRECT("AgoR!$A$6:$ZZ$1048576"), MATCH(V$1, AgoR!$6:$6, 0), FALSE),
            0
        ) +
        IFERROR(
            VLOOKUP($A63, INDIRECT("SepR!$A$6:$ZZ$1048576"), MATCH(V$1, SepR!$6:$6, 0), FALSE),
            0
        ) +
        IFERROR(
            VLOOKUP($A63, INDIRECT("OctR!$A$6:$ZZ$1048576"), MATCH(V$1, OctR!$6:$6, 0), FALSE),
            0
        ) +
        IFERROR(
            VLOOKUP($A63, INDIRECT("NovR!$A$6:$ZZ$1048576"), MATCH(V$1, NovR!$6:$6, 0), FALSE),
            0
        ) +
        IFERROR(
            VLOOKUP($A63, INDIRECT("DicR!$A$6:$ZZ$1048576"), MATCH(V$1, DicR!$6:$6, 0), FALSE),
            0
        )
)</f>
        <v>0</v>
      </c>
      <c r="W63" s="37">
        <f t="array" ref="W63">SUM(
    IFERROR(
            VLOOKUP($A63, INDIRECT("EneR!$A$6:$ZZ$1048576"), MATCH(W$1, EneR!$6:$6, 0), FALSE),
            0
        ) +
        IFERROR(
            VLOOKUP($A63, INDIRECT("FebR!$A$6:$ZZ$1048576"), MATCH(W$1, FebR!$6:$6, 0), FALSE),
            0
        ) +
        IFERROR(
            VLOOKUP($A63, INDIRECT("MarR!$A$6:$ZZ$1048576"), MATCH(W$1, MarR!$6:$6, 0), FALSE),
            0
        ) +
        IFERROR(
            VLOOKUP($A63, INDIRECT("AbrR!$A$6:$ZZ$1048576"), MATCH(W$1, AbrR!$6:$6, 0), FALSE),
            0
        ) +
        IFERROR(
            VLOOKUP($A63, INDIRECT("MayR!$A$6:$ZZ$1048576"), MATCH(W$1, MayR!$6:$6, 0), FALSE),
            0
        ) +
        IFERROR(
            VLOOKUP($A63, INDIRECT("JunR!$A$6:$ZZ$1048576"), MATCH(W$1, JunR!$6:$6, 0), FALSE),
            0
        ) +
        IFERROR(
            VLOOKUP($A63, INDIRECT("JulR!$A$6:$ZZ$1048576"), MATCH(W$1, JulR!$6:$6, 0), FALSE),
            0
        ) +
        IFERROR(
            VLOOKUP($A63, INDIRECT("AgoR!$A$6:$ZZ$1048576"), MATCH(W$1, AgoR!$6:$6, 0), FALSE),
            0
        ) +
        IFERROR(
            VLOOKUP($A63, INDIRECT("SepR!$A$6:$ZZ$1048576"), MATCH(W$1, SepR!$6:$6, 0), FALSE),
            0
        ) +
        IFERROR(
            VLOOKUP($A63, INDIRECT("OctR!$A$6:$ZZ$1048576"), MATCH(W$1, OctR!$6:$6, 0), FALSE),
            0
        ) +
        IFERROR(
            VLOOKUP($A63, INDIRECT("NovR!$A$6:$ZZ$1048576"), MATCH(W$1, NovR!$6:$6, 0), FALSE),
            0
        ) +
        IFERROR(
            VLOOKUP($A63, INDIRECT("DicR!$A$6:$ZZ$1048576"), MATCH(W$1, DicR!$6:$6, 0), FALSE),
            0
        )
)</f>
        <v>0</v>
      </c>
      <c r="X63" s="36">
        <f t="array" ref="X63">SUM(
    IFERROR(
            VLOOKUP($A63, INDIRECT("EneR!$A$6:$ZZ$1048576"), MATCH(X$1, EneR!$6:$6, 0), FALSE),
            0
        ) +
        IFERROR(
            VLOOKUP($A63, INDIRECT("FebR!$A$6:$ZZ$1048576"), MATCH(X$1, FebR!$6:$6, 0), FALSE),
            0
        ) +
        IFERROR(
            VLOOKUP($A63, INDIRECT("MarR!$A$6:$ZZ$1048576"), MATCH(X$1, MarR!$6:$6, 0), FALSE),
            0
        ) +
        IFERROR(
            VLOOKUP($A63, INDIRECT("AbrR!$A$6:$ZZ$1048576"), MATCH(X$1, AbrR!$6:$6, 0), FALSE),
            0
        ) +
        IFERROR(
            VLOOKUP($A63, INDIRECT("MayR!$A$6:$ZZ$1048576"), MATCH(X$1, MayR!$6:$6, 0), FALSE),
            0
        ) +
        IFERROR(
            VLOOKUP($A63, INDIRECT("JunR!$A$6:$ZZ$1048576"), MATCH(X$1, JunR!$6:$6, 0), FALSE),
            0
        ) +
        IFERROR(
            VLOOKUP($A63, INDIRECT("JulR!$A$6:$ZZ$1048576"), MATCH(X$1, JulR!$6:$6, 0), FALSE),
            0
        ) +
        IFERROR(
            VLOOKUP($A63, INDIRECT("AgoR!$A$6:$ZZ$1048576"), MATCH(X$1, AgoR!$6:$6, 0), FALSE),
            0
        ) +
        IFERROR(
            VLOOKUP($A63, INDIRECT("SepR!$A$6:$ZZ$1048576"), MATCH(X$1, SepR!$6:$6, 0), FALSE),
            0
        ) +
        IFERROR(
            VLOOKUP($A63, INDIRECT("OctR!$A$6:$ZZ$1048576"), MATCH(X$1, OctR!$6:$6, 0), FALSE),
            0
        ) +
        IFERROR(
            VLOOKUP($A63, INDIRECT("NovR!$A$6:$ZZ$1048576"), MATCH(X$1, NovR!$6:$6, 0), FALSE),
            0
        ) +
        IFERROR(
            VLOOKUP($A63, INDIRECT("DicR!$A$6:$ZZ$1048576"), MATCH(X$1, DicR!$6:$6, 0), FALSE),
            0
        )
)</f>
        <v>0</v>
      </c>
      <c r="Y63" s="37">
        <f t="array" ref="Y63">SUM(
    IFERROR(
            VLOOKUP($A63, INDIRECT("EneR!$A$6:$ZZ$1048576"), MATCH(Y$1, EneR!$6:$6, 0), FALSE),
            0
        ) +
        IFERROR(
            VLOOKUP($A63, INDIRECT("FebR!$A$6:$ZZ$1048576"), MATCH(Y$1, FebR!$6:$6, 0), FALSE),
            0
        ) +
        IFERROR(
            VLOOKUP($A63, INDIRECT("MarR!$A$6:$ZZ$1048576"), MATCH(Y$1, MarR!$6:$6, 0), FALSE),
            0
        ) +
        IFERROR(
            VLOOKUP($A63, INDIRECT("AbrR!$A$6:$ZZ$1048576"), MATCH(Y$1, AbrR!$6:$6, 0), FALSE),
            0
        ) +
        IFERROR(
            VLOOKUP($A63, INDIRECT("MayR!$A$6:$ZZ$1048576"), MATCH(Y$1, MayR!$6:$6, 0), FALSE),
            0
        ) +
        IFERROR(
            VLOOKUP($A63, INDIRECT("JunR!$A$6:$ZZ$1048576"), MATCH(Y$1, JunR!$6:$6, 0), FALSE),
            0
        ) +
        IFERROR(
            VLOOKUP($A63, INDIRECT("JulR!$A$6:$ZZ$1048576"), MATCH(Y$1, JulR!$6:$6, 0), FALSE),
            0
        ) +
        IFERROR(
            VLOOKUP($A63, INDIRECT("AgoR!$A$6:$ZZ$1048576"), MATCH(Y$1, AgoR!$6:$6, 0), FALSE),
            0
        ) +
        IFERROR(
            VLOOKUP($A63, INDIRECT("SepR!$A$6:$ZZ$1048576"), MATCH(Y$1, SepR!$6:$6, 0), FALSE),
            0
        ) +
        IFERROR(
            VLOOKUP($A63, INDIRECT("OctR!$A$6:$ZZ$1048576"), MATCH(Y$1, OctR!$6:$6, 0), FALSE),
            0
        ) +
        IFERROR(
            VLOOKUP($A63, INDIRECT("NovR!$A$6:$ZZ$1048576"), MATCH(Y$1, NovR!$6:$6, 0), FALSE),
            0
        ) +
        IFERROR(
            VLOOKUP($A63, INDIRECT("DicR!$A$6:$ZZ$1048576"), MATCH(Y$1, DicR!$6:$6, 0), FALSE),
            0
        )
)</f>
        <v>0</v>
      </c>
      <c r="Z63" s="36">
        <f t="array" ref="Z63">SUM(
    IFERROR(
            VLOOKUP($A63, INDIRECT("EneR!$A$6:$ZZ$1048576"), MATCH(Z$1, EneR!$6:$6, 0), FALSE),
            0
        ) +
        IFERROR(
            VLOOKUP($A63, INDIRECT("FebR!$A$6:$ZZ$1048576"), MATCH(Z$1, FebR!$6:$6, 0), FALSE),
            0
        ) +
        IFERROR(
            VLOOKUP($A63, INDIRECT("MarR!$A$6:$ZZ$1048576"), MATCH(Z$1, MarR!$6:$6, 0), FALSE),
            0
        ) +
        IFERROR(
            VLOOKUP($A63, INDIRECT("AbrR!$A$6:$ZZ$1048576"), MATCH(Z$1, AbrR!$6:$6, 0), FALSE),
            0
        ) +
        IFERROR(
            VLOOKUP($A63, INDIRECT("MayR!$A$6:$ZZ$1048576"), MATCH(Z$1, MayR!$6:$6, 0), FALSE),
            0
        ) +
        IFERROR(
            VLOOKUP($A63, INDIRECT("JunR!$A$6:$ZZ$1048576"), MATCH(Z$1, JunR!$6:$6, 0), FALSE),
            0
        ) +
        IFERROR(
            VLOOKUP($A63, INDIRECT("JulR!$A$6:$ZZ$1048576"), MATCH(Z$1, JulR!$6:$6, 0), FALSE),
            0
        ) +
        IFERROR(
            VLOOKUP($A63, INDIRECT("AgoR!$A$6:$ZZ$1048576"), MATCH(Z$1, AgoR!$6:$6, 0), FALSE),
            0
        ) +
        IFERROR(
            VLOOKUP($A63, INDIRECT("SepR!$A$6:$ZZ$1048576"), MATCH(Z$1, SepR!$6:$6, 0), FALSE),
            0
        ) +
        IFERROR(
            VLOOKUP($A63, INDIRECT("OctR!$A$6:$ZZ$1048576"), MATCH(Z$1, OctR!$6:$6, 0), FALSE),
            0
        ) +
        IFERROR(
            VLOOKUP($A63, INDIRECT("NovR!$A$6:$ZZ$1048576"), MATCH(Z$1, NovR!$6:$6, 0), FALSE),
            0
        ) +
        IFERROR(
            VLOOKUP($A63, INDIRECT("DicR!$A$6:$ZZ$1048576"), MATCH(Z$1, DicR!$6:$6, 0), FALSE),
            0
        )
)</f>
        <v>0</v>
      </c>
      <c r="AA63" s="37">
        <f t="array" ref="AA63">SUM(
    IFERROR(
            VLOOKUP($A63, INDIRECT("EneR!$A$6:$ZZ$1048576"), MATCH(AA$1, EneR!$6:$6, 0), FALSE),
            0
        ) +
        IFERROR(
            VLOOKUP($A63, INDIRECT("FebR!$A$6:$ZZ$1048576"), MATCH(AA$1, FebR!$6:$6, 0), FALSE),
            0
        ) +
        IFERROR(
            VLOOKUP($A63, INDIRECT("MarR!$A$6:$ZZ$1048576"), MATCH(AA$1, MarR!$6:$6, 0), FALSE),
            0
        ) +
        IFERROR(
            VLOOKUP($A63, INDIRECT("AbrR!$A$6:$ZZ$1048576"), MATCH(AA$1, AbrR!$6:$6, 0), FALSE),
            0
        ) +
        IFERROR(
            VLOOKUP($A63, INDIRECT("MayR!$A$6:$ZZ$1048576"), MATCH(AA$1, MayR!$6:$6, 0), FALSE),
            0
        ) +
        IFERROR(
            VLOOKUP($A63, INDIRECT("JunR!$A$6:$ZZ$1048576"), MATCH(AA$1, JunR!$6:$6, 0), FALSE),
            0
        ) +
        IFERROR(
            VLOOKUP($A63, INDIRECT("JulR!$A$6:$ZZ$1048576"), MATCH(AA$1, JulR!$6:$6, 0), FALSE),
            0
        ) +
        IFERROR(
            VLOOKUP($A63, INDIRECT("AgoR!$A$6:$ZZ$1048576"), MATCH(AA$1, AgoR!$6:$6, 0), FALSE),
            0
        ) +
        IFERROR(
            VLOOKUP($A63, INDIRECT("SepR!$A$6:$ZZ$1048576"), MATCH(AA$1, SepR!$6:$6, 0), FALSE),
            0
        ) +
        IFERROR(
            VLOOKUP($A63, INDIRECT("OctR!$A$6:$ZZ$1048576"), MATCH(AA$1, OctR!$6:$6, 0), FALSE),
            0
        ) +
        IFERROR(
            VLOOKUP($A63, INDIRECT("NovR!$A$6:$ZZ$1048576"), MATCH(AA$1, NovR!$6:$6, 0), FALSE),
            0
        ) +
        IFERROR(
            VLOOKUP($A63, INDIRECT("DicR!$A$6:$ZZ$1048576"), MATCH(AA$1, DicR!$6:$6, 0), FALSE),
            0
        )
)</f>
        <v>0</v>
      </c>
      <c r="AB63" s="36">
        <f t="array" ref="AB63">SUM(
    IFERROR(
            VLOOKUP($A63, INDIRECT("EneR!$A$6:$ZZ$1048576"), MATCH(AB$1, EneR!$6:$6, 0), FALSE),
            0
        ) +
        IFERROR(
            VLOOKUP($A63, INDIRECT("FebR!$A$6:$ZZ$1048576"), MATCH(AB$1, FebR!$6:$6, 0), FALSE),
            0
        ) +
        IFERROR(
            VLOOKUP($A63, INDIRECT("MarR!$A$6:$ZZ$1048576"), MATCH(AB$1, MarR!$6:$6, 0), FALSE),
            0
        ) +
        IFERROR(
            VLOOKUP($A63, INDIRECT("AbrR!$A$6:$ZZ$1048576"), MATCH(AB$1, AbrR!$6:$6, 0), FALSE),
            0
        ) +
        IFERROR(
            VLOOKUP($A63, INDIRECT("MayR!$A$6:$ZZ$1048576"), MATCH(AB$1, MayR!$6:$6, 0), FALSE),
            0
        ) +
        IFERROR(
            VLOOKUP($A63, INDIRECT("JunR!$A$6:$ZZ$1048576"), MATCH(AB$1, JunR!$6:$6, 0), FALSE),
            0
        ) +
        IFERROR(
            VLOOKUP($A63, INDIRECT("JulR!$A$6:$ZZ$1048576"), MATCH(AB$1, JulR!$6:$6, 0), FALSE),
            0
        ) +
        IFERROR(
            VLOOKUP($A63, INDIRECT("AgoR!$A$6:$ZZ$1048576"), MATCH(AB$1, AgoR!$6:$6, 0), FALSE),
            0
        ) +
        IFERROR(
            VLOOKUP($A63, INDIRECT("SepR!$A$6:$ZZ$1048576"), MATCH(AB$1, SepR!$6:$6, 0), FALSE),
            0
        ) +
        IFERROR(
            VLOOKUP($A63, INDIRECT("OctR!$A$6:$ZZ$1048576"), MATCH(AB$1, OctR!$6:$6, 0), FALSE),
            0
        ) +
        IFERROR(
            VLOOKUP($A63, INDIRECT("NovR!$A$6:$ZZ$1048576"), MATCH(AB$1, NovR!$6:$6, 0), FALSE),
            0
        ) +
        IFERROR(
            VLOOKUP($A63, INDIRECT("DicR!$A$6:$ZZ$1048576"), MATCH(AB$1, DicR!$6:$6, 0), FALSE),
            0
        )
)</f>
        <v>0</v>
      </c>
      <c r="AC63" s="37">
        <f t="array" ref="AC63">SUM(
    IFERROR(
            VLOOKUP($A63, INDIRECT("EneR!$A$6:$ZZ$1048576"), MATCH(AC$1, EneR!$6:$6, 0), FALSE),
            0
        ) +
        IFERROR(
            VLOOKUP($A63, INDIRECT("FebR!$A$6:$ZZ$1048576"), MATCH(AC$1, FebR!$6:$6, 0), FALSE),
            0
        ) +
        IFERROR(
            VLOOKUP($A63, INDIRECT("MarR!$A$6:$ZZ$1048576"), MATCH(AC$1, MarR!$6:$6, 0), FALSE),
            0
        ) +
        IFERROR(
            VLOOKUP($A63, INDIRECT("AbrR!$A$6:$ZZ$1048576"), MATCH(AC$1, AbrR!$6:$6, 0), FALSE),
            0
        ) +
        IFERROR(
            VLOOKUP($A63, INDIRECT("MayR!$A$6:$ZZ$1048576"), MATCH(AC$1, MayR!$6:$6, 0), FALSE),
            0
        ) +
        IFERROR(
            VLOOKUP($A63, INDIRECT("JunR!$A$6:$ZZ$1048576"), MATCH(AC$1, JunR!$6:$6, 0), FALSE),
            0
        ) +
        IFERROR(
            VLOOKUP($A63, INDIRECT("JulR!$A$6:$ZZ$1048576"), MATCH(AC$1, JulR!$6:$6, 0), FALSE),
            0
        ) +
        IFERROR(
            VLOOKUP($A63, INDIRECT("AgoR!$A$6:$ZZ$1048576"), MATCH(AC$1, AgoR!$6:$6, 0), FALSE),
            0
        ) +
        IFERROR(
            VLOOKUP($A63, INDIRECT("SepR!$A$6:$ZZ$1048576"), MATCH(AC$1, SepR!$6:$6, 0), FALSE),
            0
        ) +
        IFERROR(
            VLOOKUP($A63, INDIRECT("OctR!$A$6:$ZZ$1048576"), MATCH(AC$1, OctR!$6:$6, 0), FALSE),
            0
        ) +
        IFERROR(
            VLOOKUP($A63, INDIRECT("NovR!$A$6:$ZZ$1048576"), MATCH(AC$1, NovR!$6:$6, 0), FALSE),
            0
        ) +
        IFERROR(
            VLOOKUP($A63, INDIRECT("DicR!$A$6:$ZZ$1048576"), MATCH(AC$1, DicR!$6:$6, 0), FALSE),
            0
        )
)</f>
        <v>0</v>
      </c>
      <c r="AD63" s="36">
        <f t="array" ref="AD63">SUM(
    IFERROR(
            VLOOKUP($A63, INDIRECT("EneR!$A$6:$ZZ$1048576"), MATCH(AD$1, EneR!$6:$6, 0), FALSE),
            0
        ) +
        IFERROR(
            VLOOKUP($A63, INDIRECT("FebR!$A$6:$ZZ$1048576"), MATCH(AD$1, FebR!$6:$6, 0), FALSE),
            0
        ) +
        IFERROR(
            VLOOKUP($A63, INDIRECT("MarR!$A$6:$ZZ$1048576"), MATCH(AD$1, MarR!$6:$6, 0), FALSE),
            0
        ) +
        IFERROR(
            VLOOKUP($A63, INDIRECT("AbrR!$A$6:$ZZ$1048576"), MATCH(AD$1, AbrR!$6:$6, 0), FALSE),
            0
        ) +
        IFERROR(
            VLOOKUP($A63, INDIRECT("MayR!$A$6:$ZZ$1048576"), MATCH(AD$1, MayR!$6:$6, 0), FALSE),
            0
        ) +
        IFERROR(
            VLOOKUP($A63, INDIRECT("JunR!$A$6:$ZZ$1048576"), MATCH(AD$1, JunR!$6:$6, 0), FALSE),
            0
        ) +
        IFERROR(
            VLOOKUP($A63, INDIRECT("JulR!$A$6:$ZZ$1048576"), MATCH(AD$1, JulR!$6:$6, 0), FALSE),
            0
        ) +
        IFERROR(
            VLOOKUP($A63, INDIRECT("AgoR!$A$6:$ZZ$1048576"), MATCH(AD$1, AgoR!$6:$6, 0), FALSE),
            0
        ) +
        IFERROR(
            VLOOKUP($A63, INDIRECT("SepR!$A$6:$ZZ$1048576"), MATCH(AD$1, SepR!$6:$6, 0), FALSE),
            0
        ) +
        IFERROR(
            VLOOKUP($A63, INDIRECT("OctR!$A$6:$ZZ$1048576"), MATCH(AD$1, OctR!$6:$6, 0), FALSE),
            0
        ) +
        IFERROR(
            VLOOKUP($A63, INDIRECT("NovR!$A$6:$ZZ$1048576"), MATCH(AD$1, NovR!$6:$6, 0), FALSE),
            0
        ) +
        IFERROR(
            VLOOKUP($A63, INDIRECT("DicR!$A$6:$ZZ$1048576"), MATCH(AD$1, DicR!$6:$6, 0), FALSE),
            0
        )
)</f>
        <v>0</v>
      </c>
      <c r="AE63" s="37">
        <f t="array" ref="AE63">SUM(
    IFERROR(
            VLOOKUP($A63, INDIRECT("EneR!$A$6:$ZZ$1048576"), MATCH(AE$1, EneR!$6:$6, 0), FALSE),
            0
        ) +
        IFERROR(
            VLOOKUP($A63, INDIRECT("FebR!$A$6:$ZZ$1048576"), MATCH(AE$1, FebR!$6:$6, 0), FALSE),
            0
        ) +
        IFERROR(
            VLOOKUP($A63, INDIRECT("MarR!$A$6:$ZZ$1048576"), MATCH(AE$1, MarR!$6:$6, 0), FALSE),
            0
        ) +
        IFERROR(
            VLOOKUP($A63, INDIRECT("AbrR!$A$6:$ZZ$1048576"), MATCH(AE$1, AbrR!$6:$6, 0), FALSE),
            0
        ) +
        IFERROR(
            VLOOKUP($A63, INDIRECT("MayR!$A$6:$ZZ$1048576"), MATCH(AE$1, MayR!$6:$6, 0), FALSE),
            0
        ) +
        IFERROR(
            VLOOKUP($A63, INDIRECT("JunR!$A$6:$ZZ$1048576"), MATCH(AE$1, JunR!$6:$6, 0), FALSE),
            0
        ) +
        IFERROR(
            VLOOKUP($A63, INDIRECT("JulR!$A$6:$ZZ$1048576"), MATCH(AE$1, JulR!$6:$6, 0), FALSE),
            0
        ) +
        IFERROR(
            VLOOKUP($A63, INDIRECT("AgoR!$A$6:$ZZ$1048576"), MATCH(AE$1, AgoR!$6:$6, 0), FALSE),
            0
        ) +
        IFERROR(
            VLOOKUP($A63, INDIRECT("SepR!$A$6:$ZZ$1048576"), MATCH(AE$1, SepR!$6:$6, 0), FALSE),
            0
        ) +
        IFERROR(
            VLOOKUP($A63, INDIRECT("OctR!$A$6:$ZZ$1048576"), MATCH(AE$1, OctR!$6:$6, 0), FALSE),
            0
        ) +
        IFERROR(
            VLOOKUP($A63, INDIRECT("NovR!$A$6:$ZZ$1048576"), MATCH(AE$1, NovR!$6:$6, 0), FALSE),
            0
        ) +
        IFERROR(
            VLOOKUP($A63, INDIRECT("DicR!$A$6:$ZZ$1048576"), MATCH(AE$1, DicR!$6:$6, 0), FALSE),
            0
        )
)</f>
        <v>0</v>
      </c>
      <c r="AF63" s="36">
        <f t="array" ref="AF63">SUM(
    IFERROR(
            VLOOKUP($A63, INDIRECT("EneR!$A$6:$ZZ$1048576"), MATCH(AF$1, EneR!$6:$6, 0), FALSE),
            0
        ) +
        IFERROR(
            VLOOKUP($A63, INDIRECT("FebR!$A$6:$ZZ$1048576"), MATCH(AF$1, FebR!$6:$6, 0), FALSE),
            0
        ) +
        IFERROR(
            VLOOKUP($A63, INDIRECT("MarR!$A$6:$ZZ$1048576"), MATCH(AF$1, MarR!$6:$6, 0), FALSE),
            0
        ) +
        IFERROR(
            VLOOKUP($A63, INDIRECT("AbrR!$A$6:$ZZ$1048576"), MATCH(AF$1, AbrR!$6:$6, 0), FALSE),
            0
        ) +
        IFERROR(
            VLOOKUP($A63, INDIRECT("MayR!$A$6:$ZZ$1048576"), MATCH(AF$1, MayR!$6:$6, 0), FALSE),
            0
        ) +
        IFERROR(
            VLOOKUP($A63, INDIRECT("JunR!$A$6:$ZZ$1048576"), MATCH(AF$1, JunR!$6:$6, 0), FALSE),
            0
        ) +
        IFERROR(
            VLOOKUP($A63, INDIRECT("JulR!$A$6:$ZZ$1048576"), MATCH(AF$1, JulR!$6:$6, 0), FALSE),
            0
        ) +
        IFERROR(
            VLOOKUP($A63, INDIRECT("AgoR!$A$6:$ZZ$1048576"), MATCH(AF$1, AgoR!$6:$6, 0), FALSE),
            0
        ) +
        IFERROR(
            VLOOKUP($A63, INDIRECT("SepR!$A$6:$ZZ$1048576"), MATCH(AF$1, SepR!$6:$6, 0), FALSE),
            0
        ) +
        IFERROR(
            VLOOKUP($A63, INDIRECT("OctR!$A$6:$ZZ$1048576"), MATCH(AF$1, OctR!$6:$6, 0), FALSE),
            0
        ) +
        IFERROR(
            VLOOKUP($A63, INDIRECT("NovR!$A$6:$ZZ$1048576"), MATCH(AF$1, NovR!$6:$6, 0), FALSE),
            0
        ) +
        IFERROR(
            VLOOKUP($A63, INDIRECT("DicR!$A$6:$ZZ$1048576"), MATCH(AF$1, DicR!$6:$6, 0), FALSE),
            0
        )
)</f>
        <v>0</v>
      </c>
      <c r="AG63" s="37">
        <f t="array" ref="AG63">SUM(
    IFERROR(
            VLOOKUP($A63, INDIRECT("EneR!$A$6:$ZZ$1048576"), MATCH(AG$1, EneR!$6:$6, 0), FALSE),
            0
        ) +
        IFERROR(
            VLOOKUP($A63, INDIRECT("FebR!$A$6:$ZZ$1048576"), MATCH(AG$1, FebR!$6:$6, 0), FALSE),
            0
        ) +
        IFERROR(
            VLOOKUP($A63, INDIRECT("MarR!$A$6:$ZZ$1048576"), MATCH(AG$1, MarR!$6:$6, 0), FALSE),
            0
        ) +
        IFERROR(
            VLOOKUP($A63, INDIRECT("AbrR!$A$6:$ZZ$1048576"), MATCH(AG$1, AbrR!$6:$6, 0), FALSE),
            0
        ) +
        IFERROR(
            VLOOKUP($A63, INDIRECT("MayR!$A$6:$ZZ$1048576"), MATCH(AG$1, MayR!$6:$6, 0), FALSE),
            0
        ) +
        IFERROR(
            VLOOKUP($A63, INDIRECT("JunR!$A$6:$ZZ$1048576"), MATCH(AG$1, JunR!$6:$6, 0), FALSE),
            0
        ) +
        IFERROR(
            VLOOKUP($A63, INDIRECT("JulR!$A$6:$ZZ$1048576"), MATCH(AG$1, JulR!$6:$6, 0), FALSE),
            0
        ) +
        IFERROR(
            VLOOKUP($A63, INDIRECT("AgoR!$A$6:$ZZ$1048576"), MATCH(AG$1, AgoR!$6:$6, 0), FALSE),
            0
        ) +
        IFERROR(
            VLOOKUP($A63, INDIRECT("SepR!$A$6:$ZZ$1048576"), MATCH(AG$1, SepR!$6:$6, 0), FALSE),
            0
        ) +
        IFERROR(
            VLOOKUP($A63, INDIRECT("OctR!$A$6:$ZZ$1048576"), MATCH(AG$1, OctR!$6:$6, 0), FALSE),
            0
        ) +
        IFERROR(
            VLOOKUP($A63, INDIRECT("NovR!$A$6:$ZZ$1048576"), MATCH(AG$1, NovR!$6:$6, 0), FALSE),
            0
        ) +
        IFERROR(
            VLOOKUP($A63, INDIRECT("DicR!$A$6:$ZZ$1048576"), MATCH(AG$1, DicR!$6:$6, 0), FALSE),
            0
        )
)</f>
        <v>0</v>
      </c>
      <c r="AH63" s="36">
        <f t="array" ref="AH63">SUM(
    IFERROR(
            VLOOKUP($A63, INDIRECT("EneR!$A$6:$ZZ$1048576"), MATCH(AH$1, EneR!$6:$6, 0), FALSE),
            0
        ) +
        IFERROR(
            VLOOKUP($A63, INDIRECT("FebR!$A$6:$ZZ$1048576"), MATCH(AH$1, FebR!$6:$6, 0), FALSE),
            0
        ) +
        IFERROR(
            VLOOKUP($A63, INDIRECT("MarR!$A$6:$ZZ$1048576"), MATCH(AH$1, MarR!$6:$6, 0), FALSE),
            0
        ) +
        IFERROR(
            VLOOKUP($A63, INDIRECT("AbrR!$A$6:$ZZ$1048576"), MATCH(AH$1, AbrR!$6:$6, 0), FALSE),
            0
        ) +
        IFERROR(
            VLOOKUP($A63, INDIRECT("MayR!$A$6:$ZZ$1048576"), MATCH(AH$1, MayR!$6:$6, 0), FALSE),
            0
        ) +
        IFERROR(
            VLOOKUP($A63, INDIRECT("JunR!$A$6:$ZZ$1048576"), MATCH(AH$1, JunR!$6:$6, 0), FALSE),
            0
        ) +
        IFERROR(
            VLOOKUP($A63, INDIRECT("JulR!$A$6:$ZZ$1048576"), MATCH(AH$1, JulR!$6:$6, 0), FALSE),
            0
        ) +
        IFERROR(
            VLOOKUP($A63, INDIRECT("AgoR!$A$6:$ZZ$1048576"), MATCH(AH$1, AgoR!$6:$6, 0), FALSE),
            0
        ) +
        IFERROR(
            VLOOKUP($A63, INDIRECT("SepR!$A$6:$ZZ$1048576"), MATCH(AH$1, SepR!$6:$6, 0), FALSE),
            0
        ) +
        IFERROR(
            VLOOKUP($A63, INDIRECT("OctR!$A$6:$ZZ$1048576"), MATCH(AH$1, OctR!$6:$6, 0), FALSE),
            0
        ) +
        IFERROR(
            VLOOKUP($A63, INDIRECT("NovR!$A$6:$ZZ$1048576"), MATCH(AH$1, NovR!$6:$6, 0), FALSE),
            0
        ) +
        IFERROR(
            VLOOKUP($A63, INDIRECT("DicR!$A$6:$ZZ$1048576"), MATCH(AH$1, DicR!$6:$6, 0), FALSE),
            0
        )
)</f>
        <v>0</v>
      </c>
      <c r="AI63" s="37">
        <f t="array" ref="AI63">SUM(
    IFERROR(
            VLOOKUP($A63, INDIRECT("EneR!$A$6:$ZZ$1048576"), MATCH(AI$1, EneR!$6:$6, 0), FALSE),
            0
        ) +
        IFERROR(
            VLOOKUP($A63, INDIRECT("FebR!$A$6:$ZZ$1048576"), MATCH(AI$1, FebR!$6:$6, 0), FALSE),
            0
        ) +
        IFERROR(
            VLOOKUP($A63, INDIRECT("MarR!$A$6:$ZZ$1048576"), MATCH(AI$1, MarR!$6:$6, 0), FALSE),
            0
        ) +
        IFERROR(
            VLOOKUP($A63, INDIRECT("AbrR!$A$6:$ZZ$1048576"), MATCH(AI$1, AbrR!$6:$6, 0), FALSE),
            0
        ) +
        IFERROR(
            VLOOKUP($A63, INDIRECT("MayR!$A$6:$ZZ$1048576"), MATCH(AI$1, MayR!$6:$6, 0), FALSE),
            0
        ) +
        IFERROR(
            VLOOKUP($A63, INDIRECT("JunR!$A$6:$ZZ$1048576"), MATCH(AI$1, JunR!$6:$6, 0), FALSE),
            0
        ) +
        IFERROR(
            VLOOKUP($A63, INDIRECT("JulR!$A$6:$ZZ$1048576"), MATCH(AI$1, JulR!$6:$6, 0), FALSE),
            0
        ) +
        IFERROR(
            VLOOKUP($A63, INDIRECT("AgoR!$A$6:$ZZ$1048576"), MATCH(AI$1, AgoR!$6:$6, 0), FALSE),
            0
        ) +
        IFERROR(
            VLOOKUP($A63, INDIRECT("SepR!$A$6:$ZZ$1048576"), MATCH(AI$1, SepR!$6:$6, 0), FALSE),
            0
        ) +
        IFERROR(
            VLOOKUP($A63, INDIRECT("OctR!$A$6:$ZZ$1048576"), MATCH(AI$1, OctR!$6:$6, 0), FALSE),
            0
        ) +
        IFERROR(
            VLOOKUP($A63, INDIRECT("NovR!$A$6:$ZZ$1048576"), MATCH(AI$1, NovR!$6:$6, 0), FALSE),
            0
        ) +
        IFERROR(
            VLOOKUP($A63, INDIRECT("DicR!$A$6:$ZZ$1048576"), MATCH(AI$1, DicR!$6:$6, 0), FALSE),
            0
        )
)</f>
        <v>0</v>
      </c>
      <c r="AJ63" s="36">
        <f t="array" ref="AJ63">SUM(
    IFERROR(
            VLOOKUP($A63, INDIRECT("EneR!$A$6:$ZZ$1048576"), MATCH(AJ$1, EneR!$6:$6, 0), FALSE),
            0
        ) +
        IFERROR(
            VLOOKUP($A63, INDIRECT("FebR!$A$6:$ZZ$1048576"), MATCH(AJ$1, FebR!$6:$6, 0), FALSE),
            0
        ) +
        IFERROR(
            VLOOKUP($A63, INDIRECT("MarR!$A$6:$ZZ$1048576"), MATCH(AJ$1, MarR!$6:$6, 0), FALSE),
            0
        ) +
        IFERROR(
            VLOOKUP($A63, INDIRECT("AbrR!$A$6:$ZZ$1048576"), MATCH(AJ$1, AbrR!$6:$6, 0), FALSE),
            0
        ) +
        IFERROR(
            VLOOKUP($A63, INDIRECT("MayR!$A$6:$ZZ$1048576"), MATCH(AJ$1, MayR!$6:$6, 0), FALSE),
            0
        ) +
        IFERROR(
            VLOOKUP($A63, INDIRECT("JunR!$A$6:$ZZ$1048576"), MATCH(AJ$1, JunR!$6:$6, 0), FALSE),
            0
        ) +
        IFERROR(
            VLOOKUP($A63, INDIRECT("JulR!$A$6:$ZZ$1048576"), MATCH(AJ$1, JulR!$6:$6, 0), FALSE),
            0
        ) +
        IFERROR(
            VLOOKUP($A63, INDIRECT("AgoR!$A$6:$ZZ$1048576"), MATCH(AJ$1, AgoR!$6:$6, 0), FALSE),
            0
        ) +
        IFERROR(
            VLOOKUP($A63, INDIRECT("SepR!$A$6:$ZZ$1048576"), MATCH(AJ$1, SepR!$6:$6, 0), FALSE),
            0
        ) +
        IFERROR(
            VLOOKUP($A63, INDIRECT("OctR!$A$6:$ZZ$1048576"), MATCH(AJ$1, OctR!$6:$6, 0), FALSE),
            0
        ) +
        IFERROR(
            VLOOKUP($A63, INDIRECT("NovR!$A$6:$ZZ$1048576"), MATCH(AJ$1, NovR!$6:$6, 0), FALSE),
            0
        ) +
        IFERROR(
            VLOOKUP($A63, INDIRECT("DicR!$A$6:$ZZ$1048576"), MATCH(AJ$1, DicR!$6:$6, 0), FALSE),
            0
        )
)</f>
        <v>0</v>
      </c>
      <c r="AK63" s="37">
        <f t="array" ref="AK63">SUM(
    IFERROR(
            VLOOKUP($A63, INDIRECT("EneR!$A$6:$ZZ$1048576"), MATCH(AK$1, EneR!$6:$6, 0), FALSE),
            0
        ) +
        IFERROR(
            VLOOKUP($A63, INDIRECT("FebR!$A$6:$ZZ$1048576"), MATCH(AK$1, FebR!$6:$6, 0), FALSE),
            0
        ) +
        IFERROR(
            VLOOKUP($A63, INDIRECT("MarR!$A$6:$ZZ$1048576"), MATCH(AK$1, MarR!$6:$6, 0), FALSE),
            0
        ) +
        IFERROR(
            VLOOKUP($A63, INDIRECT("AbrR!$A$6:$ZZ$1048576"), MATCH(AK$1, AbrR!$6:$6, 0), FALSE),
            0
        ) +
        IFERROR(
            VLOOKUP($A63, INDIRECT("MayR!$A$6:$ZZ$1048576"), MATCH(AK$1, MayR!$6:$6, 0), FALSE),
            0
        ) +
        IFERROR(
            VLOOKUP($A63, INDIRECT("JunR!$A$6:$ZZ$1048576"), MATCH(AK$1, JunR!$6:$6, 0), FALSE),
            0
        ) +
        IFERROR(
            VLOOKUP($A63, INDIRECT("JulR!$A$6:$ZZ$1048576"), MATCH(AK$1, JulR!$6:$6, 0), FALSE),
            0
        ) +
        IFERROR(
            VLOOKUP($A63, INDIRECT("AgoR!$A$6:$ZZ$1048576"), MATCH(AK$1, AgoR!$6:$6, 0), FALSE),
            0
        ) +
        IFERROR(
            VLOOKUP($A63, INDIRECT("SepR!$A$6:$ZZ$1048576"), MATCH(AK$1, SepR!$6:$6, 0), FALSE),
            0
        ) +
        IFERROR(
            VLOOKUP($A63, INDIRECT("OctR!$A$6:$ZZ$1048576"), MATCH(AK$1, OctR!$6:$6, 0), FALSE),
            0
        ) +
        IFERROR(
            VLOOKUP($A63, INDIRECT("NovR!$A$6:$ZZ$1048576"), MATCH(AK$1, NovR!$6:$6, 0), FALSE),
            0
        ) +
        IFERROR(
            VLOOKUP($A63, INDIRECT("DicR!$A$6:$ZZ$1048576"), MATCH(AK$1, DicR!$6:$6, 0), FALSE),
            0
        )
)</f>
        <v>0</v>
      </c>
      <c r="AL63" s="36">
        <f t="array" ref="AL63">SUM(
    IFERROR(
            VLOOKUP($A63, INDIRECT("EneR!$A$6:$ZZ$1048576"), MATCH(AL$1, EneR!$6:$6, 0), FALSE),
            0
        ) +
        IFERROR(
            VLOOKUP($A63, INDIRECT("FebR!$A$6:$ZZ$1048576"), MATCH(AL$1, FebR!$6:$6, 0), FALSE),
            0
        ) +
        IFERROR(
            VLOOKUP($A63, INDIRECT("MarR!$A$6:$ZZ$1048576"), MATCH(AL$1, MarR!$6:$6, 0), FALSE),
            0
        ) +
        IFERROR(
            VLOOKUP($A63, INDIRECT("AbrR!$A$6:$ZZ$1048576"), MATCH(AL$1, AbrR!$6:$6, 0), FALSE),
            0
        ) +
        IFERROR(
            VLOOKUP($A63, INDIRECT("MayR!$A$6:$ZZ$1048576"), MATCH(AL$1, MayR!$6:$6, 0), FALSE),
            0
        ) +
        IFERROR(
            VLOOKUP($A63, INDIRECT("JunR!$A$6:$ZZ$1048576"), MATCH(AL$1, JunR!$6:$6, 0), FALSE),
            0
        ) +
        IFERROR(
            VLOOKUP($A63, INDIRECT("JulR!$A$6:$ZZ$1048576"), MATCH(AL$1, JulR!$6:$6, 0), FALSE),
            0
        ) +
        IFERROR(
            VLOOKUP($A63, INDIRECT("AgoR!$A$6:$ZZ$1048576"), MATCH(AL$1, AgoR!$6:$6, 0), FALSE),
            0
        ) +
        IFERROR(
            VLOOKUP($A63, INDIRECT("SepR!$A$6:$ZZ$1048576"), MATCH(AL$1, SepR!$6:$6, 0), FALSE),
            0
        ) +
        IFERROR(
            VLOOKUP($A63, INDIRECT("OctR!$A$6:$ZZ$1048576"), MATCH(AL$1, OctR!$6:$6, 0), FALSE),
            0
        ) +
        IFERROR(
            VLOOKUP($A63, INDIRECT("NovR!$A$6:$ZZ$1048576"), MATCH(AL$1, NovR!$6:$6, 0), FALSE),
            0
        ) +
        IFERROR(
            VLOOKUP($A63, INDIRECT("DicR!$A$6:$ZZ$1048576"), MATCH(AL$1, DicR!$6:$6, 0), FALSE),
            0
        )
)</f>
        <v>0</v>
      </c>
      <c r="AM63" s="37">
        <f t="array" ref="AM63">SUM(
    IFERROR(
            VLOOKUP($A63, INDIRECT("EneR!$A$6:$ZZ$1048576"), MATCH(AM$1, EneR!$6:$6, 0), FALSE),
            0
        ) +
        IFERROR(
            VLOOKUP($A63, INDIRECT("FebR!$A$6:$ZZ$1048576"), MATCH(AM$1, FebR!$6:$6, 0), FALSE),
            0
        ) +
        IFERROR(
            VLOOKUP($A63, INDIRECT("MarR!$A$6:$ZZ$1048576"), MATCH(AM$1, MarR!$6:$6, 0), FALSE),
            0
        ) +
        IFERROR(
            VLOOKUP($A63, INDIRECT("AbrR!$A$6:$ZZ$1048576"), MATCH(AM$1, AbrR!$6:$6, 0), FALSE),
            0
        ) +
        IFERROR(
            VLOOKUP($A63, INDIRECT("MayR!$A$6:$ZZ$1048576"), MATCH(AM$1, MayR!$6:$6, 0), FALSE),
            0
        ) +
        IFERROR(
            VLOOKUP($A63, INDIRECT("JunR!$A$6:$ZZ$1048576"), MATCH(AM$1, JunR!$6:$6, 0), FALSE),
            0
        ) +
        IFERROR(
            VLOOKUP($A63, INDIRECT("JulR!$A$6:$ZZ$1048576"), MATCH(AM$1, JulR!$6:$6, 0), FALSE),
            0
        ) +
        IFERROR(
            VLOOKUP($A63, INDIRECT("AgoR!$A$6:$ZZ$1048576"), MATCH(AM$1, AgoR!$6:$6, 0), FALSE),
            0
        ) +
        IFERROR(
            VLOOKUP($A63, INDIRECT("SepR!$A$6:$ZZ$1048576"), MATCH(AM$1, SepR!$6:$6, 0), FALSE),
            0
        ) +
        IFERROR(
            VLOOKUP($A63, INDIRECT("OctR!$A$6:$ZZ$1048576"), MATCH(AM$1, OctR!$6:$6, 0), FALSE),
            0
        ) +
        IFERROR(
            VLOOKUP($A63, INDIRECT("NovR!$A$6:$ZZ$1048576"), MATCH(AM$1, NovR!$6:$6, 0), FALSE),
            0
        ) +
        IFERROR(
            VLOOKUP($A63, INDIRECT("DicR!$A$6:$ZZ$1048576"), MATCH(AM$1, DicR!$6:$6, 0), FALSE),
            0
        )
)</f>
        <v>0</v>
      </c>
      <c r="AN63" s="32">
        <f t="array" ref="AN63">SUM(
    IFERROR(
            VLOOKUP($A63, INDIRECT("EneR!$A$6:$ZZ$1048576"), MATCH(AN$1, EneR!$6:$6, 0), FALSE),
            0
        ) +
        IFERROR(
            VLOOKUP($A63, INDIRECT("FebR!$A$6:$ZZ$1048576"), MATCH(AN$1, FebR!$6:$6, 0), FALSE),
            0
        ) +
        IFERROR(
            VLOOKUP($A63, INDIRECT("MarR!$A$6:$ZZ$1048576"), MATCH(AN$1, MarR!$6:$6, 0), FALSE),
            0
        ) +
        IFERROR(
            VLOOKUP($A63, INDIRECT("AbrR!$A$6:$ZZ$1048576"), MATCH(AN$1, AbrR!$6:$6, 0), FALSE),
            0
        ) +
        IFERROR(
            VLOOKUP($A63, INDIRECT("MayR!$A$6:$ZZ$1048576"), MATCH(AN$1, MayR!$6:$6, 0), FALSE),
            0
        ) +
        IFERROR(
            VLOOKUP($A63, INDIRECT("JunR!$A$6:$ZZ$1048576"), MATCH(AN$1, JunR!$6:$6, 0), FALSE),
            0
        ) +
        IFERROR(
            VLOOKUP($A63, INDIRECT("JulR!$A$6:$ZZ$1048576"), MATCH(AN$1, JulR!$6:$6, 0), FALSE),
            0
        ) +
        IFERROR(
            VLOOKUP($A63, INDIRECT("AgoR!$A$6:$ZZ$1048576"), MATCH(AN$1, AgoR!$6:$6, 0), FALSE),
            0
        ) +
        IFERROR(
            VLOOKUP($A63, INDIRECT("SepR!$A$6:$ZZ$1048576"), MATCH(AN$1, SepR!$6:$6, 0), FALSE),
            0
        ) +
        IFERROR(
            VLOOKUP($A63, INDIRECT("OctR!$A$6:$ZZ$1048576"), MATCH(AN$1, OctR!$6:$6, 0), FALSE),
            0
        ) +
        IFERROR(
            VLOOKUP($A63, INDIRECT("NovR!$A$6:$ZZ$1048576"), MATCH(AN$1, NovR!$6:$6, 0), FALSE),
            0
        ) +
        IFERROR(
            VLOOKUP($A63, INDIRECT("DicR!$A$6:$ZZ$1048576"), MATCH(AN$1, DicR!$6:$6, 0), FALSE),
            0
        )
)</f>
        <v>0</v>
      </c>
      <c r="AO63" s="35">
        <f t="array" ref="AO63">SUM(
    IFERROR(
            VLOOKUP($A63, INDIRECT("EneR!$A$6:$ZZ$1048576"), MATCH(AO$1, EneR!$6:$6, 0), FALSE),
            0
        ) +
        IFERROR(
            VLOOKUP($A63, INDIRECT("FebR!$A$6:$ZZ$1048576"), MATCH(AO$1, FebR!$6:$6, 0), FALSE),
            0
        ) +
        IFERROR(
            VLOOKUP($A63, INDIRECT("MarR!$A$6:$ZZ$1048576"), MATCH(AO$1, MarR!$6:$6, 0), FALSE),
            0
        ) +
        IFERROR(
            VLOOKUP($A63, INDIRECT("AbrR!$A$6:$ZZ$1048576"), MATCH(AO$1, AbrR!$6:$6, 0), FALSE),
            0
        ) +
        IFERROR(
            VLOOKUP($A63, INDIRECT("MayR!$A$6:$ZZ$1048576"), MATCH(AO$1, MayR!$6:$6, 0), FALSE),
            0
        ) +
        IFERROR(
            VLOOKUP($A63, INDIRECT("JunR!$A$6:$ZZ$1048576"), MATCH(AO$1, JunR!$6:$6, 0), FALSE),
            0
        ) +
        IFERROR(
            VLOOKUP($A63, INDIRECT("JulR!$A$6:$ZZ$1048576"), MATCH(AO$1, JulR!$6:$6, 0), FALSE),
            0
        ) +
        IFERROR(
            VLOOKUP($A63, INDIRECT("AgoR!$A$6:$ZZ$1048576"), MATCH(AO$1, AgoR!$6:$6, 0), FALSE),
            0
        ) +
        IFERROR(
            VLOOKUP($A63, INDIRECT("SepR!$A$6:$ZZ$1048576"), MATCH(AO$1, SepR!$6:$6, 0), FALSE),
            0
        ) +
        IFERROR(
            VLOOKUP($A63, INDIRECT("OctR!$A$6:$ZZ$1048576"), MATCH(AO$1, OctR!$6:$6, 0), FALSE),
            0
        ) +
        IFERROR(
            VLOOKUP($A63, INDIRECT("NovR!$A$6:$ZZ$1048576"), MATCH(AO$1, NovR!$6:$6, 0), FALSE),
            0
        ) +
        IFERROR(
            VLOOKUP($A63, INDIRECT("DicR!$A$6:$ZZ$1048576"), MATCH(AO$1, DicR!$6:$6, 0), FALSE),
            0
        )
)</f>
        <v>0</v>
      </c>
      <c r="AP63" s="36">
        <f t="array" ref="AP63">SUM(
    IFERROR(
            VLOOKUP($A63, INDIRECT("EneR!$A$6:$ZZ$1048576"), MATCH(AP$1, EneR!$6:$6, 0), FALSE),
            0
        ) +
        IFERROR(
            VLOOKUP($A63, INDIRECT("FebR!$A$6:$ZZ$1048576"), MATCH(AP$1, FebR!$6:$6, 0), FALSE),
            0
        ) +
        IFERROR(
            VLOOKUP($A63, INDIRECT("MarR!$A$6:$ZZ$1048576"), MATCH(AP$1, MarR!$6:$6, 0), FALSE),
            0
        ) +
        IFERROR(
            VLOOKUP($A63, INDIRECT("AbrR!$A$6:$ZZ$1048576"), MATCH(AP$1, AbrR!$6:$6, 0), FALSE),
            0
        ) +
        IFERROR(
            VLOOKUP($A63, INDIRECT("MayR!$A$6:$ZZ$1048576"), MATCH(AP$1, MayR!$6:$6, 0), FALSE),
            0
        ) +
        IFERROR(
            VLOOKUP($A63, INDIRECT("JunR!$A$6:$ZZ$1048576"), MATCH(AP$1, JunR!$6:$6, 0), FALSE),
            0
        ) +
        IFERROR(
            VLOOKUP($A63, INDIRECT("JulR!$A$6:$ZZ$1048576"), MATCH(AP$1, JulR!$6:$6, 0), FALSE),
            0
        ) +
        IFERROR(
            VLOOKUP($A63, INDIRECT("AgoR!$A$6:$ZZ$1048576"), MATCH(AP$1, AgoR!$6:$6, 0), FALSE),
            0
        ) +
        IFERROR(
            VLOOKUP($A63, INDIRECT("SepR!$A$6:$ZZ$1048576"), MATCH(AP$1, SepR!$6:$6, 0), FALSE),
            0
        ) +
        IFERROR(
            VLOOKUP($A63, INDIRECT("OctR!$A$6:$ZZ$1048576"), MATCH(AP$1, OctR!$6:$6, 0), FALSE),
            0
        ) +
        IFERROR(
            VLOOKUP($A63, INDIRECT("NovR!$A$6:$ZZ$1048576"), MATCH(AP$1, NovR!$6:$6, 0), FALSE),
            0
        ) +
        IFERROR(
            VLOOKUP($A63, INDIRECT("DicR!$A$6:$ZZ$1048576"), MATCH(AP$1, DicR!$6:$6, 0), FALSE),
            0
        )
)</f>
        <v>0</v>
      </c>
      <c r="AQ63" s="35">
        <f t="array" ref="AQ63">SUM(
    IFERROR(
            VLOOKUP($A63, INDIRECT("EneR!$A$6:$ZZ$1048576"), MATCH(AQ$1, EneR!$6:$6, 0), FALSE),
            0
        ) +
        IFERROR(
            VLOOKUP($A63, INDIRECT("FebR!$A$6:$ZZ$1048576"), MATCH(AQ$1, FebR!$6:$6, 0), FALSE),
            0
        ) +
        IFERROR(
            VLOOKUP($A63, INDIRECT("MarR!$A$6:$ZZ$1048576"), MATCH(AQ$1, MarR!$6:$6, 0), FALSE),
            0
        ) +
        IFERROR(
            VLOOKUP($A63, INDIRECT("AbrR!$A$6:$ZZ$1048576"), MATCH(AQ$1, AbrR!$6:$6, 0), FALSE),
            0
        ) +
        IFERROR(
            VLOOKUP($A63, INDIRECT("MayR!$A$6:$ZZ$1048576"), MATCH(AQ$1, MayR!$6:$6, 0), FALSE),
            0
        ) +
        IFERROR(
            VLOOKUP($A63, INDIRECT("JunR!$A$6:$ZZ$1048576"), MATCH(AQ$1, JunR!$6:$6, 0), FALSE),
            0
        ) +
        IFERROR(
            VLOOKUP($A63, INDIRECT("JulR!$A$6:$ZZ$1048576"), MATCH(AQ$1, JulR!$6:$6, 0), FALSE),
            0
        ) +
        IFERROR(
            VLOOKUP($A63, INDIRECT("AgoR!$A$6:$ZZ$1048576"), MATCH(AQ$1, AgoR!$6:$6, 0), FALSE),
            0
        ) +
        IFERROR(
            VLOOKUP($A63, INDIRECT("SepR!$A$6:$ZZ$1048576"), MATCH(AQ$1, SepR!$6:$6, 0), FALSE),
            0
        ) +
        IFERROR(
            VLOOKUP($A63, INDIRECT("OctR!$A$6:$ZZ$1048576"), MATCH(AQ$1, OctR!$6:$6, 0), FALSE),
            0
        ) +
        IFERROR(
            VLOOKUP($A63, INDIRECT("NovR!$A$6:$ZZ$1048576"), MATCH(AQ$1, NovR!$6:$6, 0), FALSE),
            0
        ) +
        IFERROR(
            VLOOKUP($A63, INDIRECT("DicR!$A$6:$ZZ$1048576"), MATCH(AQ$1, DicR!$6:$6, 0), FALSE),
            0
        )
)</f>
        <v>0</v>
      </c>
      <c r="AR63" s="36">
        <f t="array" ref="AR63">SUM(
    IFERROR(
            VLOOKUP($A63, INDIRECT("EneR!$A$6:$ZZ$1048576"), MATCH(AR$1, EneR!$6:$6, 0), FALSE),
            0
        ) +
        IFERROR(
            VLOOKUP($A63, INDIRECT("FebR!$A$6:$ZZ$1048576"), MATCH(AR$1, FebR!$6:$6, 0), FALSE),
            0
        ) +
        IFERROR(
            VLOOKUP($A63, INDIRECT("MarR!$A$6:$ZZ$1048576"), MATCH(AR$1, MarR!$6:$6, 0), FALSE),
            0
        ) +
        IFERROR(
            VLOOKUP($A63, INDIRECT("AbrR!$A$6:$ZZ$1048576"), MATCH(AR$1, AbrR!$6:$6, 0), FALSE),
            0
        ) +
        IFERROR(
            VLOOKUP($A63, INDIRECT("MayR!$A$6:$ZZ$1048576"), MATCH(AR$1, MayR!$6:$6, 0), FALSE),
            0
        ) +
        IFERROR(
            VLOOKUP($A63, INDIRECT("JunR!$A$6:$ZZ$1048576"), MATCH(AR$1, JunR!$6:$6, 0), FALSE),
            0
        ) +
        IFERROR(
            VLOOKUP($A63, INDIRECT("JulR!$A$6:$ZZ$1048576"), MATCH(AR$1, JulR!$6:$6, 0), FALSE),
            0
        ) +
        IFERROR(
            VLOOKUP($A63, INDIRECT("AgoR!$A$6:$ZZ$1048576"), MATCH(AR$1, AgoR!$6:$6, 0), FALSE),
            0
        ) +
        IFERROR(
            VLOOKUP($A63, INDIRECT("SepR!$A$6:$ZZ$1048576"), MATCH(AR$1, SepR!$6:$6, 0), FALSE),
            0
        ) +
        IFERROR(
            VLOOKUP($A63, INDIRECT("OctR!$A$6:$ZZ$1048576"), MATCH(AR$1, OctR!$6:$6, 0), FALSE),
            0
        ) +
        IFERROR(
            VLOOKUP($A63, INDIRECT("NovR!$A$6:$ZZ$1048576"), MATCH(AR$1, NovR!$6:$6, 0), FALSE),
            0
        ) +
        IFERROR(
            VLOOKUP($A63, INDIRECT("DicR!$A$6:$ZZ$1048576"), MATCH(AR$1, DicR!$6:$6, 0), FALSE),
            0
        )
)</f>
        <v>0</v>
      </c>
      <c r="AS63" s="35">
        <f t="array" ref="AS63">SUM(
    IFERROR(
            VLOOKUP($A63, INDIRECT("EneR!$A$6:$ZZ$1048576"), MATCH(AS$1, EneR!$6:$6, 0), FALSE),
            0
        ) +
        IFERROR(
            VLOOKUP($A63, INDIRECT("FebR!$A$6:$ZZ$1048576"), MATCH(AS$1, FebR!$6:$6, 0), FALSE),
            0
        ) +
        IFERROR(
            VLOOKUP($A63, INDIRECT("MarR!$A$6:$ZZ$1048576"), MATCH(AS$1, MarR!$6:$6, 0), FALSE),
            0
        ) +
        IFERROR(
            VLOOKUP($A63, INDIRECT("AbrR!$A$6:$ZZ$1048576"), MATCH(AS$1, AbrR!$6:$6, 0), FALSE),
            0
        ) +
        IFERROR(
            VLOOKUP($A63, INDIRECT("MayR!$A$6:$ZZ$1048576"), MATCH(AS$1, MayR!$6:$6, 0), FALSE),
            0
        ) +
        IFERROR(
            VLOOKUP($A63, INDIRECT("JunR!$A$6:$ZZ$1048576"), MATCH(AS$1, JunR!$6:$6, 0), FALSE),
            0
        ) +
        IFERROR(
            VLOOKUP($A63, INDIRECT("JulR!$A$6:$ZZ$1048576"), MATCH(AS$1, JulR!$6:$6, 0), FALSE),
            0
        ) +
        IFERROR(
            VLOOKUP($A63, INDIRECT("AgoR!$A$6:$ZZ$1048576"), MATCH(AS$1, AgoR!$6:$6, 0), FALSE),
            0
        ) +
        IFERROR(
            VLOOKUP($A63, INDIRECT("SepR!$A$6:$ZZ$1048576"), MATCH(AS$1, SepR!$6:$6, 0), FALSE),
            0
        ) +
        IFERROR(
            VLOOKUP($A63, INDIRECT("OctR!$A$6:$ZZ$1048576"), MATCH(AS$1, OctR!$6:$6, 0), FALSE),
            0
        ) +
        IFERROR(
            VLOOKUP($A63, INDIRECT("NovR!$A$6:$ZZ$1048576"), MATCH(AS$1, NovR!$6:$6, 0), FALSE),
            0
        ) +
        IFERROR(
            VLOOKUP($A63, INDIRECT("DicR!$A$6:$ZZ$1048576"), MATCH(AS$1, DicR!$6:$6, 0), FALSE),
            0
        )
)</f>
        <v>0</v>
      </c>
      <c r="AT63" s="36">
        <f t="array" ref="AT63">SUM(
    IFERROR(
            VLOOKUP($A63, INDIRECT("EneR!$A$6:$ZZ$1048576"), MATCH(AT$1, EneR!$6:$6, 0), FALSE),
            0
        ) +
        IFERROR(
            VLOOKUP($A63, INDIRECT("FebR!$A$6:$ZZ$1048576"), MATCH(AT$1, FebR!$6:$6, 0), FALSE),
            0
        ) +
        IFERROR(
            VLOOKUP($A63, INDIRECT("MarR!$A$6:$ZZ$1048576"), MATCH(AT$1, MarR!$6:$6, 0), FALSE),
            0
        ) +
        IFERROR(
            VLOOKUP($A63, INDIRECT("AbrR!$A$6:$ZZ$1048576"), MATCH(AT$1, AbrR!$6:$6, 0), FALSE),
            0
        ) +
        IFERROR(
            VLOOKUP($A63, INDIRECT("MayR!$A$6:$ZZ$1048576"), MATCH(AT$1, MayR!$6:$6, 0), FALSE),
            0
        ) +
        IFERROR(
            VLOOKUP($A63, INDIRECT("JunR!$A$6:$ZZ$1048576"), MATCH(AT$1, JunR!$6:$6, 0), FALSE),
            0
        ) +
        IFERROR(
            VLOOKUP($A63, INDIRECT("JulR!$A$6:$ZZ$1048576"), MATCH(AT$1, JulR!$6:$6, 0), FALSE),
            0
        ) +
        IFERROR(
            VLOOKUP($A63, INDIRECT("AgoR!$A$6:$ZZ$1048576"), MATCH(AT$1, AgoR!$6:$6, 0), FALSE),
            0
        ) +
        IFERROR(
            VLOOKUP($A63, INDIRECT("SepR!$A$6:$ZZ$1048576"), MATCH(AT$1, SepR!$6:$6, 0), FALSE),
            0
        ) +
        IFERROR(
            VLOOKUP($A63, INDIRECT("OctR!$A$6:$ZZ$1048576"), MATCH(AT$1, OctR!$6:$6, 0), FALSE),
            0
        ) +
        IFERROR(
            VLOOKUP($A63, INDIRECT("NovR!$A$6:$ZZ$1048576"), MATCH(AT$1, NovR!$6:$6, 0), FALSE),
            0
        ) +
        IFERROR(
            VLOOKUP($A63, INDIRECT("DicR!$A$6:$ZZ$1048576"), MATCH(AT$1, DicR!$6:$6, 0), FALSE),
            0
        )
)</f>
        <v>0</v>
      </c>
      <c r="AU63" s="35">
        <f t="array" ref="AU63">SUM(
    IFERROR(
            VLOOKUP($A63, INDIRECT("EneR!$A$6:$ZZ$1048576"), MATCH(AU$1, EneR!$6:$6, 0), FALSE),
            0
        ) +
        IFERROR(
            VLOOKUP($A63, INDIRECT("FebR!$A$6:$ZZ$1048576"), MATCH(AU$1, FebR!$6:$6, 0), FALSE),
            0
        ) +
        IFERROR(
            VLOOKUP($A63, INDIRECT("MarR!$A$6:$ZZ$1048576"), MATCH(AU$1, MarR!$6:$6, 0), FALSE),
            0
        ) +
        IFERROR(
            VLOOKUP($A63, INDIRECT("AbrR!$A$6:$ZZ$1048576"), MATCH(AU$1, AbrR!$6:$6, 0), FALSE),
            0
        ) +
        IFERROR(
            VLOOKUP($A63, INDIRECT("MayR!$A$6:$ZZ$1048576"), MATCH(AU$1, MayR!$6:$6, 0), FALSE),
            0
        ) +
        IFERROR(
            VLOOKUP($A63, INDIRECT("JunR!$A$6:$ZZ$1048576"), MATCH(AU$1, JunR!$6:$6, 0), FALSE),
            0
        ) +
        IFERROR(
            VLOOKUP($A63, INDIRECT("JulR!$A$6:$ZZ$1048576"), MATCH(AU$1, JulR!$6:$6, 0), FALSE),
            0
        ) +
        IFERROR(
            VLOOKUP($A63, INDIRECT("AgoR!$A$6:$ZZ$1048576"), MATCH(AU$1, AgoR!$6:$6, 0), FALSE),
            0
        ) +
        IFERROR(
            VLOOKUP($A63, INDIRECT("SepR!$A$6:$ZZ$1048576"), MATCH(AU$1, SepR!$6:$6, 0), FALSE),
            0
        ) +
        IFERROR(
            VLOOKUP($A63, INDIRECT("OctR!$A$6:$ZZ$1048576"), MATCH(AU$1, OctR!$6:$6, 0), FALSE),
            0
        ) +
        IFERROR(
            VLOOKUP($A63, INDIRECT("NovR!$A$6:$ZZ$1048576"), MATCH(AU$1, NovR!$6:$6, 0), FALSE),
            0
        ) +
        IFERROR(
            VLOOKUP($A63, INDIRECT("DicR!$A$6:$ZZ$1048576"), MATCH(AU$1, DicR!$6:$6, 0), FALSE),
            0
        )
)</f>
        <v>0</v>
      </c>
      <c r="AV63" s="36">
        <f t="array" ref="AV63">SUM(
    IFERROR(
            VLOOKUP($A63, INDIRECT("EneR!$A$6:$ZZ$1048576"), MATCH(AV$1, EneR!$6:$6, 0), FALSE),
            0
        ) +
        IFERROR(
            VLOOKUP($A63, INDIRECT("FebR!$A$6:$ZZ$1048576"), MATCH(AV$1, FebR!$6:$6, 0), FALSE),
            0
        ) +
        IFERROR(
            VLOOKUP($A63, INDIRECT("MarR!$A$6:$ZZ$1048576"), MATCH(AV$1, MarR!$6:$6, 0), FALSE),
            0
        ) +
        IFERROR(
            VLOOKUP($A63, INDIRECT("AbrR!$A$6:$ZZ$1048576"), MATCH(AV$1, AbrR!$6:$6, 0), FALSE),
            0
        ) +
        IFERROR(
            VLOOKUP($A63, INDIRECT("MayR!$A$6:$ZZ$1048576"), MATCH(AV$1, MayR!$6:$6, 0), FALSE),
            0
        ) +
        IFERROR(
            VLOOKUP($A63, INDIRECT("JunR!$A$6:$ZZ$1048576"), MATCH(AV$1, JunR!$6:$6, 0), FALSE),
            0
        ) +
        IFERROR(
            VLOOKUP($A63, INDIRECT("JulR!$A$6:$ZZ$1048576"), MATCH(AV$1, JulR!$6:$6, 0), FALSE),
            0
        ) +
        IFERROR(
            VLOOKUP($A63, INDIRECT("AgoR!$A$6:$ZZ$1048576"), MATCH(AV$1, AgoR!$6:$6, 0), FALSE),
            0
        ) +
        IFERROR(
            VLOOKUP($A63, INDIRECT("SepR!$A$6:$ZZ$1048576"), MATCH(AV$1, SepR!$6:$6, 0), FALSE),
            0
        ) +
        IFERROR(
            VLOOKUP($A63, INDIRECT("OctR!$A$6:$ZZ$1048576"), MATCH(AV$1, OctR!$6:$6, 0), FALSE),
            0
        ) +
        IFERROR(
            VLOOKUP($A63, INDIRECT("NovR!$A$6:$ZZ$1048576"), MATCH(AV$1, NovR!$6:$6, 0), FALSE),
            0
        ) +
        IFERROR(
            VLOOKUP($A63, INDIRECT("DicR!$A$6:$ZZ$1048576"), MATCH(AV$1, DicR!$6:$6, 0), FALSE),
            0
        )
)</f>
        <v>0</v>
      </c>
      <c r="AW63" s="35">
        <f t="array" ref="AW63">SUM(
    IFERROR(
            VLOOKUP($A63, INDIRECT("EneR!$A$6:$ZZ$1048576"), MATCH(AW$1, EneR!$6:$6, 0), FALSE),
            0
        ) +
        IFERROR(
            VLOOKUP($A63, INDIRECT("FebR!$A$6:$ZZ$1048576"), MATCH(AW$1, FebR!$6:$6, 0), FALSE),
            0
        ) +
        IFERROR(
            VLOOKUP($A63, INDIRECT("MarR!$A$6:$ZZ$1048576"), MATCH(AW$1, MarR!$6:$6, 0), FALSE),
            0
        ) +
        IFERROR(
            VLOOKUP($A63, INDIRECT("AbrR!$A$6:$ZZ$1048576"), MATCH(AW$1, AbrR!$6:$6, 0), FALSE),
            0
        ) +
        IFERROR(
            VLOOKUP($A63, INDIRECT("MayR!$A$6:$ZZ$1048576"), MATCH(AW$1, MayR!$6:$6, 0), FALSE),
            0
        ) +
        IFERROR(
            VLOOKUP($A63, INDIRECT("JunR!$A$6:$ZZ$1048576"), MATCH(AW$1, JunR!$6:$6, 0), FALSE),
            0
        ) +
        IFERROR(
            VLOOKUP($A63, INDIRECT("JulR!$A$6:$ZZ$1048576"), MATCH(AW$1, JulR!$6:$6, 0), FALSE),
            0
        ) +
        IFERROR(
            VLOOKUP($A63, INDIRECT("AgoR!$A$6:$ZZ$1048576"), MATCH(AW$1, AgoR!$6:$6, 0), FALSE),
            0
        ) +
        IFERROR(
            VLOOKUP($A63, INDIRECT("SepR!$A$6:$ZZ$1048576"), MATCH(AW$1, SepR!$6:$6, 0), FALSE),
            0
        ) +
        IFERROR(
            VLOOKUP($A63, INDIRECT("OctR!$A$6:$ZZ$1048576"), MATCH(AW$1, OctR!$6:$6, 0), FALSE),
            0
        ) +
        IFERROR(
            VLOOKUP($A63, INDIRECT("NovR!$A$6:$ZZ$1048576"), MATCH(AW$1, NovR!$6:$6, 0), FALSE),
            0
        ) +
        IFERROR(
            VLOOKUP($A63, INDIRECT("DicR!$A$6:$ZZ$1048576"), MATCH(AW$1, DicR!$6:$6, 0), FALSE),
            0
        )
)</f>
        <v>0</v>
      </c>
      <c r="AX63" s="36">
        <f t="array" ref="AX63">SUM(
    IFERROR(
            VLOOKUP($A63, INDIRECT("EneR!$A$6:$ZZ$1048576"), MATCH(AX$1, EneR!$6:$6, 0), FALSE),
            0
        ) +
        IFERROR(
            VLOOKUP($A63, INDIRECT("FebR!$A$6:$ZZ$1048576"), MATCH(AX$1, FebR!$6:$6, 0), FALSE),
            0
        ) +
        IFERROR(
            VLOOKUP($A63, INDIRECT("MarR!$A$6:$ZZ$1048576"), MATCH(AX$1, MarR!$6:$6, 0), FALSE),
            0
        ) +
        IFERROR(
            VLOOKUP($A63, INDIRECT("AbrR!$A$6:$ZZ$1048576"), MATCH(AX$1, AbrR!$6:$6, 0), FALSE),
            0
        ) +
        IFERROR(
            VLOOKUP($A63, INDIRECT("MayR!$A$6:$ZZ$1048576"), MATCH(AX$1, MayR!$6:$6, 0), FALSE),
            0
        ) +
        IFERROR(
            VLOOKUP($A63, INDIRECT("JunR!$A$6:$ZZ$1048576"), MATCH(AX$1, JunR!$6:$6, 0), FALSE),
            0
        ) +
        IFERROR(
            VLOOKUP($A63, INDIRECT("JulR!$A$6:$ZZ$1048576"), MATCH(AX$1, JulR!$6:$6, 0), FALSE),
            0
        ) +
        IFERROR(
            VLOOKUP($A63, INDIRECT("AgoR!$A$6:$ZZ$1048576"), MATCH(AX$1, AgoR!$6:$6, 0), FALSE),
            0
        ) +
        IFERROR(
            VLOOKUP($A63, INDIRECT("SepR!$A$6:$ZZ$1048576"), MATCH(AX$1, SepR!$6:$6, 0), FALSE),
            0
        ) +
        IFERROR(
            VLOOKUP($A63, INDIRECT("OctR!$A$6:$ZZ$1048576"), MATCH(AX$1, OctR!$6:$6, 0), FALSE),
            0
        ) +
        IFERROR(
            VLOOKUP($A63, INDIRECT("NovR!$A$6:$ZZ$1048576"), MATCH(AX$1, NovR!$6:$6, 0), FALSE),
            0
        ) +
        IFERROR(
            VLOOKUP($A63, INDIRECT("DicR!$A$6:$ZZ$1048576"), MATCH(AX$1, DicR!$6:$6, 0), FALSE),
            0
        )
)</f>
        <v>0</v>
      </c>
      <c r="AY63" s="35">
        <f t="array" ref="AY63">SUM(
    IFERROR(
            VLOOKUP($A63, INDIRECT("EneR!$A$6:$ZZ$1048576"), MATCH(AY$1, EneR!$6:$6, 0), FALSE),
            0
        ) +
        IFERROR(
            VLOOKUP($A63, INDIRECT("FebR!$A$6:$ZZ$1048576"), MATCH(AY$1, FebR!$6:$6, 0), FALSE),
            0
        ) +
        IFERROR(
            VLOOKUP($A63, INDIRECT("MarR!$A$6:$ZZ$1048576"), MATCH(AY$1, MarR!$6:$6, 0), FALSE),
            0
        ) +
        IFERROR(
            VLOOKUP($A63, INDIRECT("AbrR!$A$6:$ZZ$1048576"), MATCH(AY$1, AbrR!$6:$6, 0), FALSE),
            0
        ) +
        IFERROR(
            VLOOKUP($A63, INDIRECT("MayR!$A$6:$ZZ$1048576"), MATCH(AY$1, MayR!$6:$6, 0), FALSE),
            0
        ) +
        IFERROR(
            VLOOKUP($A63, INDIRECT("JunR!$A$6:$ZZ$1048576"), MATCH(AY$1, JunR!$6:$6, 0), FALSE),
            0
        ) +
        IFERROR(
            VLOOKUP($A63, INDIRECT("JulR!$A$6:$ZZ$1048576"), MATCH(AY$1, JulR!$6:$6, 0), FALSE),
            0
        ) +
        IFERROR(
            VLOOKUP($A63, INDIRECT("AgoR!$A$6:$ZZ$1048576"), MATCH(AY$1, AgoR!$6:$6, 0), FALSE),
            0
        ) +
        IFERROR(
            VLOOKUP($A63, INDIRECT("SepR!$A$6:$ZZ$1048576"), MATCH(AY$1, SepR!$6:$6, 0), FALSE),
            0
        ) +
        IFERROR(
            VLOOKUP($A63, INDIRECT("OctR!$A$6:$ZZ$1048576"), MATCH(AY$1, OctR!$6:$6, 0), FALSE),
            0
        ) +
        IFERROR(
            VLOOKUP($A63, INDIRECT("NovR!$A$6:$ZZ$1048576"), MATCH(AY$1, NovR!$6:$6, 0), FALSE),
            0
        ) +
        IFERROR(
            VLOOKUP($A63, INDIRECT("DicR!$A$6:$ZZ$1048576"), MATCH(AY$1, DicR!$6:$6, 0), FALSE),
            0
        )
)</f>
        <v>0</v>
      </c>
      <c r="AZ63" s="35"/>
    </row>
    <row r="64" ht="15.75" customHeight="1">
      <c r="A64" s="12" t="str">
        <f>Menus!B25</f>
        <v/>
      </c>
      <c r="B64" s="32">
        <f t="shared" si="9"/>
        <v>0</v>
      </c>
      <c r="C64" s="33" t="str">
        <f t="shared" si="10"/>
        <v/>
      </c>
      <c r="D64" s="34">
        <f t="array" ref="D64">SUM(
    IFERROR(
            VLOOKUP($A64, INDIRECT("EneR!$A$6:$ZZ$1048576"), MATCH(D$1, EneR!$6:$6, 0), FALSE),
            0
        ) +
        IFERROR(
            VLOOKUP($A64, INDIRECT("FebR!$A$6:$ZZ$1048576"), MATCH(D$1, FebR!$6:$6, 0), FALSE),
            0
        ) +
        IFERROR(
            VLOOKUP($A64, INDIRECT("MarR!$A$6:$ZZ$1048576"), MATCH(D$1, MarR!$6:$6, 0), FALSE),
            0
        ) +
        IFERROR(
            VLOOKUP($A64, INDIRECT("AbrR!$A$6:$ZZ$1048576"), MATCH(D$1, AbrR!$6:$6, 0), FALSE),
            0
        ) +
        IFERROR(
            VLOOKUP($A64, INDIRECT("MayR!$A$6:$ZZ$1048576"), MATCH(D$1, MayR!$6:$6, 0), FALSE),
            0
        ) +
        IFERROR(
            VLOOKUP($A64, INDIRECT("JunR!$A$6:$ZZ$1048576"), MATCH(D$1, JunR!$6:$6, 0), FALSE),
            0
        ) +
        IFERROR(
            VLOOKUP($A64, INDIRECT("JulR!$A$6:$ZZ$1048576"), MATCH(D$1, JulR!$6:$6, 0), FALSE),
            0
        ) +
        IFERROR(
            VLOOKUP($A64, INDIRECT("AgoR!$A$6:$ZZ$1048576"), MATCH(D$1, AgoR!$6:$6, 0), FALSE),
            0
        ) +
        IFERROR(
            VLOOKUP($A64, INDIRECT("SepR!$A$6:$ZZ$1048576"), MATCH(D$1, SepR!$6:$6, 0), FALSE),
            0
        ) +
        IFERROR(
            VLOOKUP($A64, INDIRECT("OctR!$A$6:$ZZ$1048576"), MATCH(D$1, OctR!$6:$6, 0), FALSE),
            0
        ) +
        IFERROR(
            VLOOKUP($A64, INDIRECT("NovR!$A$6:$ZZ$1048576"), MATCH(D$1, NovR!$6:$6, 0), FALSE),
            0
        ) +
        IFERROR(
            VLOOKUP($A64, INDIRECT("DicR!$A$6:$ZZ$1048576"), MATCH(D$1, DicR!$6:$6, 0), FALSE),
            0
        )
)</f>
        <v>0</v>
      </c>
      <c r="E64" s="35">
        <f t="array" ref="E64">SUM(
    IFERROR(
            VLOOKUP($A64, INDIRECT("EneR!$A$6:$ZZ$1048576"), MATCH(E$1, EneR!$6:$6, 0), FALSE),
            0
        ) +
        IFERROR(
            VLOOKUP($A64, INDIRECT("FebR!$A$6:$ZZ$1048576"), MATCH(E$1, FebR!$6:$6, 0), FALSE),
            0
        ) +
        IFERROR(
            VLOOKUP($A64, INDIRECT("MarR!$A$6:$ZZ$1048576"), MATCH(E$1, MarR!$6:$6, 0), FALSE),
            0
        ) +
        IFERROR(
            VLOOKUP($A64, INDIRECT("AbrR!$A$6:$ZZ$1048576"), MATCH(E$1, AbrR!$6:$6, 0), FALSE),
            0
        ) +
        IFERROR(
            VLOOKUP($A64, INDIRECT("MayR!$A$6:$ZZ$1048576"), MATCH(E$1, MayR!$6:$6, 0), FALSE),
            0
        ) +
        IFERROR(
            VLOOKUP($A64, INDIRECT("JunR!$A$6:$ZZ$1048576"), MATCH(E$1, JunR!$6:$6, 0), FALSE),
            0
        ) +
        IFERROR(
            VLOOKUP($A64, INDIRECT("JulR!$A$6:$ZZ$1048576"), MATCH(E$1, JulR!$6:$6, 0), FALSE),
            0
        ) +
        IFERROR(
            VLOOKUP($A64, INDIRECT("AgoR!$A$6:$ZZ$1048576"), MATCH(E$1, AgoR!$6:$6, 0), FALSE),
            0
        ) +
        IFERROR(
            VLOOKUP($A64, INDIRECT("SepR!$A$6:$ZZ$1048576"), MATCH(E$1, SepR!$6:$6, 0), FALSE),
            0
        ) +
        IFERROR(
            VLOOKUP($A64, INDIRECT("OctR!$A$6:$ZZ$1048576"), MATCH(E$1, OctR!$6:$6, 0), FALSE),
            0
        ) +
        IFERROR(
            VLOOKUP($A64, INDIRECT("NovR!$A$6:$ZZ$1048576"), MATCH(E$1, NovR!$6:$6, 0), FALSE),
            0
        ) +
        IFERROR(
            VLOOKUP($A64, INDIRECT("DicR!$A$6:$ZZ$1048576"), MATCH(E$1, DicR!$6:$6, 0), FALSE),
            0
        )
)</f>
        <v>0</v>
      </c>
      <c r="F64" s="32">
        <f t="array" ref="F64">SUM(
    IFERROR(
            VLOOKUP($A64, INDIRECT("EneR!$A$6:$ZZ$1048576"), MATCH(F$1, EneR!$6:$6, 0), FALSE),
            0
        ) +
        IFERROR(
            VLOOKUP($A64, INDIRECT("FebR!$A$6:$ZZ$1048576"), MATCH(F$1, FebR!$6:$6, 0), FALSE),
            0
        ) +
        IFERROR(
            VLOOKUP($A64, INDIRECT("MarR!$A$6:$ZZ$1048576"), MATCH(F$1, MarR!$6:$6, 0), FALSE),
            0
        ) +
        IFERROR(
            VLOOKUP($A64, INDIRECT("AbrR!$A$6:$ZZ$1048576"), MATCH(F$1, AbrR!$6:$6, 0), FALSE),
            0
        ) +
        IFERROR(
            VLOOKUP($A64, INDIRECT("MayR!$A$6:$ZZ$1048576"), MATCH(F$1, MayR!$6:$6, 0), FALSE),
            0
        ) +
        IFERROR(
            VLOOKUP($A64, INDIRECT("JunR!$A$6:$ZZ$1048576"), MATCH(F$1, JunR!$6:$6, 0), FALSE),
            0
        ) +
        IFERROR(
            VLOOKUP($A64, INDIRECT("JulR!$A$6:$ZZ$1048576"), MATCH(F$1, JulR!$6:$6, 0), FALSE),
            0
        ) +
        IFERROR(
            VLOOKUP($A64, INDIRECT("AgoR!$A$6:$ZZ$1048576"), MATCH(F$1, AgoR!$6:$6, 0), FALSE),
            0
        ) +
        IFERROR(
            VLOOKUP($A64, INDIRECT("SepR!$A$6:$ZZ$1048576"), MATCH(F$1, SepR!$6:$6, 0), FALSE),
            0
        ) +
        IFERROR(
            VLOOKUP($A64, INDIRECT("OctR!$A$6:$ZZ$1048576"), MATCH(F$1, OctR!$6:$6, 0), FALSE),
            0
        ) +
        IFERROR(
            VLOOKUP($A64, INDIRECT("NovR!$A$6:$ZZ$1048576"), MATCH(F$1, NovR!$6:$6, 0), FALSE),
            0
        ) +
        IFERROR(
            VLOOKUP($A64, INDIRECT("DicR!$A$6:$ZZ$1048576"), MATCH(F$1, DicR!$6:$6, 0), FALSE),
            0
        )
)</f>
        <v>0</v>
      </c>
      <c r="G64" s="35">
        <f t="array" ref="G64">SUM(
    IFERROR(
            VLOOKUP($A64, INDIRECT("EneR!$A$6:$ZZ$1048576"), MATCH(G$1, EneR!$6:$6, 0), FALSE),
            0
        ) +
        IFERROR(
            VLOOKUP($A64, INDIRECT("FebR!$A$6:$ZZ$1048576"), MATCH(G$1, FebR!$6:$6, 0), FALSE),
            0
        ) +
        IFERROR(
            VLOOKUP($A64, INDIRECT("MarR!$A$6:$ZZ$1048576"), MATCH(G$1, MarR!$6:$6, 0), FALSE),
            0
        ) +
        IFERROR(
            VLOOKUP($A64, INDIRECT("AbrR!$A$6:$ZZ$1048576"), MATCH(G$1, AbrR!$6:$6, 0), FALSE),
            0
        ) +
        IFERROR(
            VLOOKUP($A64, INDIRECT("MayR!$A$6:$ZZ$1048576"), MATCH(G$1, MayR!$6:$6, 0), FALSE),
            0
        ) +
        IFERROR(
            VLOOKUP($A64, INDIRECT("JunR!$A$6:$ZZ$1048576"), MATCH(G$1, JunR!$6:$6, 0), FALSE),
            0
        ) +
        IFERROR(
            VLOOKUP($A64, INDIRECT("JulR!$A$6:$ZZ$1048576"), MATCH(G$1, JulR!$6:$6, 0), FALSE),
            0
        ) +
        IFERROR(
            VLOOKUP($A64, INDIRECT("AgoR!$A$6:$ZZ$1048576"), MATCH(G$1, AgoR!$6:$6, 0), FALSE),
            0
        ) +
        IFERROR(
            VLOOKUP($A64, INDIRECT("SepR!$A$6:$ZZ$1048576"), MATCH(G$1, SepR!$6:$6, 0), FALSE),
            0
        ) +
        IFERROR(
            VLOOKUP($A64, INDIRECT("OctR!$A$6:$ZZ$1048576"), MATCH(G$1, OctR!$6:$6, 0), FALSE),
            0
        ) +
        IFERROR(
            VLOOKUP($A64, INDIRECT("NovR!$A$6:$ZZ$1048576"), MATCH(G$1, NovR!$6:$6, 0), FALSE),
            0
        ) +
        IFERROR(
            VLOOKUP($A64, INDIRECT("DicR!$A$6:$ZZ$1048576"), MATCH(G$1, DicR!$6:$6, 0), FALSE),
            0
        )
)</f>
        <v>0</v>
      </c>
      <c r="H64" s="32">
        <f t="array" ref="H64">SUM(
    IFERROR(
            VLOOKUP($A64, INDIRECT("EneR!$A$6:$ZZ$1048576"), MATCH(H$1, EneR!$6:$6, 0), FALSE),
            0
        ) +
        IFERROR(
            VLOOKUP($A64, INDIRECT("FebR!$A$6:$ZZ$1048576"), MATCH(H$1, FebR!$6:$6, 0), FALSE),
            0
        ) +
        IFERROR(
            VLOOKUP($A64, INDIRECT("MarR!$A$6:$ZZ$1048576"), MATCH(H$1, MarR!$6:$6, 0), FALSE),
            0
        ) +
        IFERROR(
            VLOOKUP($A64, INDIRECT("AbrR!$A$6:$ZZ$1048576"), MATCH(H$1, AbrR!$6:$6, 0), FALSE),
            0
        ) +
        IFERROR(
            VLOOKUP($A64, INDIRECT("MayR!$A$6:$ZZ$1048576"), MATCH(H$1, MayR!$6:$6, 0), FALSE),
            0
        ) +
        IFERROR(
            VLOOKUP($A64, INDIRECT("JunR!$A$6:$ZZ$1048576"), MATCH(H$1, JunR!$6:$6, 0), FALSE),
            0
        ) +
        IFERROR(
            VLOOKUP($A64, INDIRECT("JulR!$A$6:$ZZ$1048576"), MATCH(H$1, JulR!$6:$6, 0), FALSE),
            0
        ) +
        IFERROR(
            VLOOKUP($A64, INDIRECT("AgoR!$A$6:$ZZ$1048576"), MATCH(H$1, AgoR!$6:$6, 0), FALSE),
            0
        ) +
        IFERROR(
            VLOOKUP($A64, INDIRECT("SepR!$A$6:$ZZ$1048576"), MATCH(H$1, SepR!$6:$6, 0), FALSE),
            0
        ) +
        IFERROR(
            VLOOKUP($A64, INDIRECT("OctR!$A$6:$ZZ$1048576"), MATCH(H$1, OctR!$6:$6, 0), FALSE),
            0
        ) +
        IFERROR(
            VLOOKUP($A64, INDIRECT("NovR!$A$6:$ZZ$1048576"), MATCH(H$1, NovR!$6:$6, 0), FALSE),
            0
        ) +
        IFERROR(
            VLOOKUP($A64, INDIRECT("DicR!$A$6:$ZZ$1048576"), MATCH(H$1, DicR!$6:$6, 0), FALSE),
            0
        )
)</f>
        <v>0</v>
      </c>
      <c r="I64" s="35">
        <f t="array" ref="I64">SUM(
    IFERROR(
            VLOOKUP($A64, INDIRECT("EneR!$A$6:$ZZ$1048576"), MATCH(I$1, EneR!$6:$6, 0), FALSE),
            0
        ) +
        IFERROR(
            VLOOKUP($A64, INDIRECT("FebR!$A$6:$ZZ$1048576"), MATCH(I$1, FebR!$6:$6, 0), FALSE),
            0
        ) +
        IFERROR(
            VLOOKUP($A64, INDIRECT("MarR!$A$6:$ZZ$1048576"), MATCH(I$1, MarR!$6:$6, 0), FALSE),
            0
        ) +
        IFERROR(
            VLOOKUP($A64, INDIRECT("AbrR!$A$6:$ZZ$1048576"), MATCH(I$1, AbrR!$6:$6, 0), FALSE),
            0
        ) +
        IFERROR(
            VLOOKUP($A64, INDIRECT("MayR!$A$6:$ZZ$1048576"), MATCH(I$1, MayR!$6:$6, 0), FALSE),
            0
        ) +
        IFERROR(
            VLOOKUP($A64, INDIRECT("JunR!$A$6:$ZZ$1048576"), MATCH(I$1, JunR!$6:$6, 0), FALSE),
            0
        ) +
        IFERROR(
            VLOOKUP($A64, INDIRECT("JulR!$A$6:$ZZ$1048576"), MATCH(I$1, JulR!$6:$6, 0), FALSE),
            0
        ) +
        IFERROR(
            VLOOKUP($A64, INDIRECT("AgoR!$A$6:$ZZ$1048576"), MATCH(I$1, AgoR!$6:$6, 0), FALSE),
            0
        ) +
        IFERROR(
            VLOOKUP($A64, INDIRECT("SepR!$A$6:$ZZ$1048576"), MATCH(I$1, SepR!$6:$6, 0), FALSE),
            0
        ) +
        IFERROR(
            VLOOKUP($A64, INDIRECT("OctR!$A$6:$ZZ$1048576"), MATCH(I$1, OctR!$6:$6, 0), FALSE),
            0
        ) +
        IFERROR(
            VLOOKUP($A64, INDIRECT("NovR!$A$6:$ZZ$1048576"), MATCH(I$1, NovR!$6:$6, 0), FALSE),
            0
        ) +
        IFERROR(
            VLOOKUP($A64, INDIRECT("DicR!$A$6:$ZZ$1048576"), MATCH(I$1, DicR!$6:$6, 0), FALSE),
            0
        )
)</f>
        <v>0</v>
      </c>
      <c r="J64" s="32">
        <f t="array" ref="J64">SUM(
    IFERROR(
            VLOOKUP($A64, INDIRECT("EneR!$A$6:$ZZ$1048576"), MATCH(J$1, EneR!$6:$6, 0), FALSE),
            0
        ) +
        IFERROR(
            VLOOKUP($A64, INDIRECT("FebR!$A$6:$ZZ$1048576"), MATCH(J$1, FebR!$6:$6, 0), FALSE),
            0
        ) +
        IFERROR(
            VLOOKUP($A64, INDIRECT("MarR!$A$6:$ZZ$1048576"), MATCH(J$1, MarR!$6:$6, 0), FALSE),
            0
        ) +
        IFERROR(
            VLOOKUP($A64, INDIRECT("AbrR!$A$6:$ZZ$1048576"), MATCH(J$1, AbrR!$6:$6, 0), FALSE),
            0
        ) +
        IFERROR(
            VLOOKUP($A64, INDIRECT("MayR!$A$6:$ZZ$1048576"), MATCH(J$1, MayR!$6:$6, 0), FALSE),
            0
        ) +
        IFERROR(
            VLOOKUP($A64, INDIRECT("JunR!$A$6:$ZZ$1048576"), MATCH(J$1, JunR!$6:$6, 0), FALSE),
            0
        ) +
        IFERROR(
            VLOOKUP($A64, INDIRECT("JulR!$A$6:$ZZ$1048576"), MATCH(J$1, JulR!$6:$6, 0), FALSE),
            0
        ) +
        IFERROR(
            VLOOKUP($A64, INDIRECT("AgoR!$A$6:$ZZ$1048576"), MATCH(J$1, AgoR!$6:$6, 0), FALSE),
            0
        ) +
        IFERROR(
            VLOOKUP($A64, INDIRECT("SepR!$A$6:$ZZ$1048576"), MATCH(J$1, SepR!$6:$6, 0), FALSE),
            0
        ) +
        IFERROR(
            VLOOKUP($A64, INDIRECT("OctR!$A$6:$ZZ$1048576"), MATCH(J$1, OctR!$6:$6, 0), FALSE),
            0
        ) +
        IFERROR(
            VLOOKUP($A64, INDIRECT("NovR!$A$6:$ZZ$1048576"), MATCH(J$1, NovR!$6:$6, 0), FALSE),
            0
        ) +
        IFERROR(
            VLOOKUP($A64, INDIRECT("DicR!$A$6:$ZZ$1048576"), MATCH(J$1, DicR!$6:$6, 0), FALSE),
            0
        )
)</f>
        <v>0</v>
      </c>
      <c r="K64" s="35">
        <f t="array" ref="K64">SUM(
    IFERROR(
            VLOOKUP($A64, INDIRECT("EneR!$A$6:$ZZ$1048576"), MATCH(K$1, EneR!$6:$6, 0), FALSE),
            0
        ) +
        IFERROR(
            VLOOKUP($A64, INDIRECT("FebR!$A$6:$ZZ$1048576"), MATCH(K$1, FebR!$6:$6, 0), FALSE),
            0
        ) +
        IFERROR(
            VLOOKUP($A64, INDIRECT("MarR!$A$6:$ZZ$1048576"), MATCH(K$1, MarR!$6:$6, 0), FALSE),
            0
        ) +
        IFERROR(
            VLOOKUP($A64, INDIRECT("AbrR!$A$6:$ZZ$1048576"), MATCH(K$1, AbrR!$6:$6, 0), FALSE),
            0
        ) +
        IFERROR(
            VLOOKUP($A64, INDIRECT("MayR!$A$6:$ZZ$1048576"), MATCH(K$1, MayR!$6:$6, 0), FALSE),
            0
        ) +
        IFERROR(
            VLOOKUP($A64, INDIRECT("JunR!$A$6:$ZZ$1048576"), MATCH(K$1, JunR!$6:$6, 0), FALSE),
            0
        ) +
        IFERROR(
            VLOOKUP($A64, INDIRECT("JulR!$A$6:$ZZ$1048576"), MATCH(K$1, JulR!$6:$6, 0), FALSE),
            0
        ) +
        IFERROR(
            VLOOKUP($A64, INDIRECT("AgoR!$A$6:$ZZ$1048576"), MATCH(K$1, AgoR!$6:$6, 0), FALSE),
            0
        ) +
        IFERROR(
            VLOOKUP($A64, INDIRECT("SepR!$A$6:$ZZ$1048576"), MATCH(K$1, SepR!$6:$6, 0), FALSE),
            0
        ) +
        IFERROR(
            VLOOKUP($A64, INDIRECT("OctR!$A$6:$ZZ$1048576"), MATCH(K$1, OctR!$6:$6, 0), FALSE),
            0
        ) +
        IFERROR(
            VLOOKUP($A64, INDIRECT("NovR!$A$6:$ZZ$1048576"), MATCH(K$1, NovR!$6:$6, 0), FALSE),
            0
        ) +
        IFERROR(
            VLOOKUP($A64, INDIRECT("DicR!$A$6:$ZZ$1048576"), MATCH(K$1, DicR!$6:$6, 0), FALSE),
            0
        )
)</f>
        <v>0</v>
      </c>
      <c r="L64" s="32">
        <f t="array" ref="L64">SUM(
    IFERROR(
            VLOOKUP($A64, INDIRECT("EneR!$A$6:$ZZ$1048576"), MATCH(L$1, EneR!$6:$6, 0), FALSE),
            0
        ) +
        IFERROR(
            VLOOKUP($A64, INDIRECT("FebR!$A$6:$ZZ$1048576"), MATCH(L$1, FebR!$6:$6, 0), FALSE),
            0
        ) +
        IFERROR(
            VLOOKUP($A64, INDIRECT("MarR!$A$6:$ZZ$1048576"), MATCH(L$1, MarR!$6:$6, 0), FALSE),
            0
        ) +
        IFERROR(
            VLOOKUP($A64, INDIRECT("AbrR!$A$6:$ZZ$1048576"), MATCH(L$1, AbrR!$6:$6, 0), FALSE),
            0
        ) +
        IFERROR(
            VLOOKUP($A64, INDIRECT("MayR!$A$6:$ZZ$1048576"), MATCH(L$1, MayR!$6:$6, 0), FALSE),
            0
        ) +
        IFERROR(
            VLOOKUP($A64, INDIRECT("JunR!$A$6:$ZZ$1048576"), MATCH(L$1, JunR!$6:$6, 0), FALSE),
            0
        ) +
        IFERROR(
            VLOOKUP($A64, INDIRECT("JulR!$A$6:$ZZ$1048576"), MATCH(L$1, JulR!$6:$6, 0), FALSE),
            0
        ) +
        IFERROR(
            VLOOKUP($A64, INDIRECT("AgoR!$A$6:$ZZ$1048576"), MATCH(L$1, AgoR!$6:$6, 0), FALSE),
            0
        ) +
        IFERROR(
            VLOOKUP($A64, INDIRECT("SepR!$A$6:$ZZ$1048576"), MATCH(L$1, SepR!$6:$6, 0), FALSE),
            0
        ) +
        IFERROR(
            VLOOKUP($A64, INDIRECT("OctR!$A$6:$ZZ$1048576"), MATCH(L$1, OctR!$6:$6, 0), FALSE),
            0
        ) +
        IFERROR(
            VLOOKUP($A64, INDIRECT("NovR!$A$6:$ZZ$1048576"), MATCH(L$1, NovR!$6:$6, 0), FALSE),
            0
        ) +
        IFERROR(
            VLOOKUP($A64, INDIRECT("DicR!$A$6:$ZZ$1048576"), MATCH(L$1, DicR!$6:$6, 0), FALSE),
            0
        )
)</f>
        <v>0</v>
      </c>
      <c r="M64" s="35">
        <f t="array" ref="M64">SUM(
    IFERROR(
            VLOOKUP($A64, INDIRECT("EneR!$A$6:$ZZ$1048576"), MATCH(M$1, EneR!$6:$6, 0), FALSE),
            0
        ) +
        IFERROR(
            VLOOKUP($A64, INDIRECT("FebR!$A$6:$ZZ$1048576"), MATCH(M$1, FebR!$6:$6, 0), FALSE),
            0
        ) +
        IFERROR(
            VLOOKUP($A64, INDIRECT("MarR!$A$6:$ZZ$1048576"), MATCH(M$1, MarR!$6:$6, 0), FALSE),
            0
        ) +
        IFERROR(
            VLOOKUP($A64, INDIRECT("AbrR!$A$6:$ZZ$1048576"), MATCH(M$1, AbrR!$6:$6, 0), FALSE),
            0
        ) +
        IFERROR(
            VLOOKUP($A64, INDIRECT("MayR!$A$6:$ZZ$1048576"), MATCH(M$1, MayR!$6:$6, 0), FALSE),
            0
        ) +
        IFERROR(
            VLOOKUP($A64, INDIRECT("JunR!$A$6:$ZZ$1048576"), MATCH(M$1, JunR!$6:$6, 0), FALSE),
            0
        ) +
        IFERROR(
            VLOOKUP($A64, INDIRECT("JulR!$A$6:$ZZ$1048576"), MATCH(M$1, JulR!$6:$6, 0), FALSE),
            0
        ) +
        IFERROR(
            VLOOKUP($A64, INDIRECT("AgoR!$A$6:$ZZ$1048576"), MATCH(M$1, AgoR!$6:$6, 0), FALSE),
            0
        ) +
        IFERROR(
            VLOOKUP($A64, INDIRECT("SepR!$A$6:$ZZ$1048576"), MATCH(M$1, SepR!$6:$6, 0), FALSE),
            0
        ) +
        IFERROR(
            VLOOKUP($A64, INDIRECT("OctR!$A$6:$ZZ$1048576"), MATCH(M$1, OctR!$6:$6, 0), FALSE),
            0
        ) +
        IFERROR(
            VLOOKUP($A64, INDIRECT("NovR!$A$6:$ZZ$1048576"), MATCH(M$1, NovR!$6:$6, 0), FALSE),
            0
        ) +
        IFERROR(
            VLOOKUP($A64, INDIRECT("DicR!$A$6:$ZZ$1048576"), MATCH(M$1, DicR!$6:$6, 0), FALSE),
            0
        )
)</f>
        <v>0</v>
      </c>
      <c r="N64" s="32">
        <f t="array" ref="N64">SUM(
    IFERROR(
            VLOOKUP($A64, INDIRECT("EneR!$A$6:$ZZ$1048576"), MATCH(N$1, EneR!$6:$6, 0), FALSE),
            0
        ) +
        IFERROR(
            VLOOKUP($A64, INDIRECT("FebR!$A$6:$ZZ$1048576"), MATCH(N$1, FebR!$6:$6, 0), FALSE),
            0
        ) +
        IFERROR(
            VLOOKUP($A64, INDIRECT("MarR!$A$6:$ZZ$1048576"), MATCH(N$1, MarR!$6:$6, 0), FALSE),
            0
        ) +
        IFERROR(
            VLOOKUP($A64, INDIRECT("AbrR!$A$6:$ZZ$1048576"), MATCH(N$1, AbrR!$6:$6, 0), FALSE),
            0
        ) +
        IFERROR(
            VLOOKUP($A64, INDIRECT("MayR!$A$6:$ZZ$1048576"), MATCH(N$1, MayR!$6:$6, 0), FALSE),
            0
        ) +
        IFERROR(
            VLOOKUP($A64, INDIRECT("JunR!$A$6:$ZZ$1048576"), MATCH(N$1, JunR!$6:$6, 0), FALSE),
            0
        ) +
        IFERROR(
            VLOOKUP($A64, INDIRECT("JulR!$A$6:$ZZ$1048576"), MATCH(N$1, JulR!$6:$6, 0), FALSE),
            0
        ) +
        IFERROR(
            VLOOKUP($A64, INDIRECT("AgoR!$A$6:$ZZ$1048576"), MATCH(N$1, AgoR!$6:$6, 0), FALSE),
            0
        ) +
        IFERROR(
            VLOOKUP($A64, INDIRECT("SepR!$A$6:$ZZ$1048576"), MATCH(N$1, SepR!$6:$6, 0), FALSE),
            0
        ) +
        IFERROR(
            VLOOKUP($A64, INDIRECT("OctR!$A$6:$ZZ$1048576"), MATCH(N$1, OctR!$6:$6, 0), FALSE),
            0
        ) +
        IFERROR(
            VLOOKUP($A64, INDIRECT("NovR!$A$6:$ZZ$1048576"), MATCH(N$1, NovR!$6:$6, 0), FALSE),
            0
        ) +
        IFERROR(
            VLOOKUP($A64, INDIRECT("DicR!$A$6:$ZZ$1048576"), MATCH(N$1, DicR!$6:$6, 0), FALSE),
            0
        )
)</f>
        <v>0</v>
      </c>
      <c r="O64" s="35">
        <f t="array" ref="O64">SUM(
    IFERROR(
            VLOOKUP($A64, INDIRECT("EneR!$A$6:$ZZ$1048576"), MATCH(O$1, EneR!$6:$6, 0), FALSE),
            0
        ) +
        IFERROR(
            VLOOKUP($A64, INDIRECT("FebR!$A$6:$ZZ$1048576"), MATCH(O$1, FebR!$6:$6, 0), FALSE),
            0
        ) +
        IFERROR(
            VLOOKUP($A64, INDIRECT("MarR!$A$6:$ZZ$1048576"), MATCH(O$1, MarR!$6:$6, 0), FALSE),
            0
        ) +
        IFERROR(
            VLOOKUP($A64, INDIRECT("AbrR!$A$6:$ZZ$1048576"), MATCH(O$1, AbrR!$6:$6, 0), FALSE),
            0
        ) +
        IFERROR(
            VLOOKUP($A64, INDIRECT("MayR!$A$6:$ZZ$1048576"), MATCH(O$1, MayR!$6:$6, 0), FALSE),
            0
        ) +
        IFERROR(
            VLOOKUP($A64, INDIRECT("JunR!$A$6:$ZZ$1048576"), MATCH(O$1, JunR!$6:$6, 0), FALSE),
            0
        ) +
        IFERROR(
            VLOOKUP($A64, INDIRECT("JulR!$A$6:$ZZ$1048576"), MATCH(O$1, JulR!$6:$6, 0), FALSE),
            0
        ) +
        IFERROR(
            VLOOKUP($A64, INDIRECT("AgoR!$A$6:$ZZ$1048576"), MATCH(O$1, AgoR!$6:$6, 0), FALSE),
            0
        ) +
        IFERROR(
            VLOOKUP($A64, INDIRECT("SepR!$A$6:$ZZ$1048576"), MATCH(O$1, SepR!$6:$6, 0), FALSE),
            0
        ) +
        IFERROR(
            VLOOKUP($A64, INDIRECT("OctR!$A$6:$ZZ$1048576"), MATCH(O$1, OctR!$6:$6, 0), FALSE),
            0
        ) +
        IFERROR(
            VLOOKUP($A64, INDIRECT("NovR!$A$6:$ZZ$1048576"), MATCH(O$1, NovR!$6:$6, 0), FALSE),
            0
        ) +
        IFERROR(
            VLOOKUP($A64, INDIRECT("DicR!$A$6:$ZZ$1048576"), MATCH(O$1, DicR!$6:$6, 0), FALSE),
            0
        )
)</f>
        <v>0</v>
      </c>
      <c r="P64" s="32">
        <f t="array" ref="P64">SUM(
    IFERROR(
            VLOOKUP($A64, INDIRECT("EneR!$A$6:$ZZ$1048576"), MATCH(P$1, EneR!$6:$6, 0), FALSE),
            0
        ) +
        IFERROR(
            VLOOKUP($A64, INDIRECT("FebR!$A$6:$ZZ$1048576"), MATCH(P$1, FebR!$6:$6, 0), FALSE),
            0
        ) +
        IFERROR(
            VLOOKUP($A64, INDIRECT("MarR!$A$6:$ZZ$1048576"), MATCH(P$1, MarR!$6:$6, 0), FALSE),
            0
        ) +
        IFERROR(
            VLOOKUP($A64, INDIRECT("AbrR!$A$6:$ZZ$1048576"), MATCH(P$1, AbrR!$6:$6, 0), FALSE),
            0
        ) +
        IFERROR(
            VLOOKUP($A64, INDIRECT("MayR!$A$6:$ZZ$1048576"), MATCH(P$1, MayR!$6:$6, 0), FALSE),
            0
        ) +
        IFERROR(
            VLOOKUP($A64, INDIRECT("JunR!$A$6:$ZZ$1048576"), MATCH(P$1, JunR!$6:$6, 0), FALSE),
            0
        ) +
        IFERROR(
            VLOOKUP($A64, INDIRECT("JulR!$A$6:$ZZ$1048576"), MATCH(P$1, JulR!$6:$6, 0), FALSE),
            0
        ) +
        IFERROR(
            VLOOKUP($A64, INDIRECT("AgoR!$A$6:$ZZ$1048576"), MATCH(P$1, AgoR!$6:$6, 0), FALSE),
            0
        ) +
        IFERROR(
            VLOOKUP($A64, INDIRECT("SepR!$A$6:$ZZ$1048576"), MATCH(P$1, SepR!$6:$6, 0), FALSE),
            0
        ) +
        IFERROR(
            VLOOKUP($A64, INDIRECT("OctR!$A$6:$ZZ$1048576"), MATCH(P$1, OctR!$6:$6, 0), FALSE),
            0
        ) +
        IFERROR(
            VLOOKUP($A64, INDIRECT("NovR!$A$6:$ZZ$1048576"), MATCH(P$1, NovR!$6:$6, 0), FALSE),
            0
        ) +
        IFERROR(
            VLOOKUP($A64, INDIRECT("DicR!$A$6:$ZZ$1048576"), MATCH(P$1, DicR!$6:$6, 0), FALSE),
            0
        )
)</f>
        <v>0</v>
      </c>
      <c r="Q64" s="35">
        <f t="array" ref="Q64">SUM(
    IFERROR(
            VLOOKUP($A64, INDIRECT("EneR!$A$6:$ZZ$1048576"), MATCH(Q$1, EneR!$6:$6, 0), FALSE),
            0
        ) +
        IFERROR(
            VLOOKUP($A64, INDIRECT("FebR!$A$6:$ZZ$1048576"), MATCH(Q$1, FebR!$6:$6, 0), FALSE),
            0
        ) +
        IFERROR(
            VLOOKUP($A64, INDIRECT("MarR!$A$6:$ZZ$1048576"), MATCH(Q$1, MarR!$6:$6, 0), FALSE),
            0
        ) +
        IFERROR(
            VLOOKUP($A64, INDIRECT("AbrR!$A$6:$ZZ$1048576"), MATCH(Q$1, AbrR!$6:$6, 0), FALSE),
            0
        ) +
        IFERROR(
            VLOOKUP($A64, INDIRECT("MayR!$A$6:$ZZ$1048576"), MATCH(Q$1, MayR!$6:$6, 0), FALSE),
            0
        ) +
        IFERROR(
            VLOOKUP($A64, INDIRECT("JunR!$A$6:$ZZ$1048576"), MATCH(Q$1, JunR!$6:$6, 0), FALSE),
            0
        ) +
        IFERROR(
            VLOOKUP($A64, INDIRECT("JulR!$A$6:$ZZ$1048576"), MATCH(Q$1, JulR!$6:$6, 0), FALSE),
            0
        ) +
        IFERROR(
            VLOOKUP($A64, INDIRECT("AgoR!$A$6:$ZZ$1048576"), MATCH(Q$1, AgoR!$6:$6, 0), FALSE),
            0
        ) +
        IFERROR(
            VLOOKUP($A64, INDIRECT("SepR!$A$6:$ZZ$1048576"), MATCH(Q$1, SepR!$6:$6, 0), FALSE),
            0
        ) +
        IFERROR(
            VLOOKUP($A64, INDIRECT("OctR!$A$6:$ZZ$1048576"), MATCH(Q$1, OctR!$6:$6, 0), FALSE),
            0
        ) +
        IFERROR(
            VLOOKUP($A64, INDIRECT("NovR!$A$6:$ZZ$1048576"), MATCH(Q$1, NovR!$6:$6, 0), FALSE),
            0
        ) +
        IFERROR(
            VLOOKUP($A64, INDIRECT("DicR!$A$6:$ZZ$1048576"), MATCH(Q$1, DicR!$6:$6, 0), FALSE),
            0
        )
)</f>
        <v>0</v>
      </c>
      <c r="R64" s="36">
        <f t="array" ref="R64">SUM(
    IFERROR(
            VLOOKUP($A64, INDIRECT("EneR!$A$6:$ZZ$1048576"), MATCH(R$1, EneR!$6:$6, 0), FALSE),
            0
        ) +
        IFERROR(
            VLOOKUP($A64, INDIRECT("FebR!$A$6:$ZZ$1048576"), MATCH(R$1, FebR!$6:$6, 0), FALSE),
            0
        ) +
        IFERROR(
            VLOOKUP($A64, INDIRECT("MarR!$A$6:$ZZ$1048576"), MATCH(R$1, MarR!$6:$6, 0), FALSE),
            0
        ) +
        IFERROR(
            VLOOKUP($A64, INDIRECT("AbrR!$A$6:$ZZ$1048576"), MATCH(R$1, AbrR!$6:$6, 0), FALSE),
            0
        ) +
        IFERROR(
            VLOOKUP($A64, INDIRECT("MayR!$A$6:$ZZ$1048576"), MATCH(R$1, MayR!$6:$6, 0), FALSE),
            0
        ) +
        IFERROR(
            VLOOKUP($A64, INDIRECT("JunR!$A$6:$ZZ$1048576"), MATCH(R$1, JunR!$6:$6, 0), FALSE),
            0
        ) +
        IFERROR(
            VLOOKUP($A64, INDIRECT("JulR!$A$6:$ZZ$1048576"), MATCH(R$1, JulR!$6:$6, 0), FALSE),
            0
        ) +
        IFERROR(
            VLOOKUP($A64, INDIRECT("AgoR!$A$6:$ZZ$1048576"), MATCH(R$1, AgoR!$6:$6, 0), FALSE),
            0
        ) +
        IFERROR(
            VLOOKUP($A64, INDIRECT("SepR!$A$6:$ZZ$1048576"), MATCH(R$1, SepR!$6:$6, 0), FALSE),
            0
        ) +
        IFERROR(
            VLOOKUP($A64, INDIRECT("OctR!$A$6:$ZZ$1048576"), MATCH(R$1, OctR!$6:$6, 0), FALSE),
            0
        ) +
        IFERROR(
            VLOOKUP($A64, INDIRECT("NovR!$A$6:$ZZ$1048576"), MATCH(R$1, NovR!$6:$6, 0), FALSE),
            0
        ) +
        IFERROR(
            VLOOKUP($A64, INDIRECT("DicR!$A$6:$ZZ$1048576"), MATCH(R$1, DicR!$6:$6, 0), FALSE),
            0
        )
)</f>
        <v>0</v>
      </c>
      <c r="S64" s="37">
        <f t="array" ref="S64">SUM(
    IFERROR(
            VLOOKUP($A64, INDIRECT("EneR!$A$6:$ZZ$1048576"), MATCH(S$1, EneR!$6:$6, 0), FALSE),
            0
        ) +
        IFERROR(
            VLOOKUP($A64, INDIRECT("FebR!$A$6:$ZZ$1048576"), MATCH(S$1, FebR!$6:$6, 0), FALSE),
            0
        ) +
        IFERROR(
            VLOOKUP($A64, INDIRECT("MarR!$A$6:$ZZ$1048576"), MATCH(S$1, MarR!$6:$6, 0), FALSE),
            0
        ) +
        IFERROR(
            VLOOKUP($A64, INDIRECT("AbrR!$A$6:$ZZ$1048576"), MATCH(S$1, AbrR!$6:$6, 0), FALSE),
            0
        ) +
        IFERROR(
            VLOOKUP($A64, INDIRECT("MayR!$A$6:$ZZ$1048576"), MATCH(S$1, MayR!$6:$6, 0), FALSE),
            0
        ) +
        IFERROR(
            VLOOKUP($A64, INDIRECT("JunR!$A$6:$ZZ$1048576"), MATCH(S$1, JunR!$6:$6, 0), FALSE),
            0
        ) +
        IFERROR(
            VLOOKUP($A64, INDIRECT("JulR!$A$6:$ZZ$1048576"), MATCH(S$1, JulR!$6:$6, 0), FALSE),
            0
        ) +
        IFERROR(
            VLOOKUP($A64, INDIRECT("AgoR!$A$6:$ZZ$1048576"), MATCH(S$1, AgoR!$6:$6, 0), FALSE),
            0
        ) +
        IFERROR(
            VLOOKUP($A64, INDIRECT("SepR!$A$6:$ZZ$1048576"), MATCH(S$1, SepR!$6:$6, 0), FALSE),
            0
        ) +
        IFERROR(
            VLOOKUP($A64, INDIRECT("OctR!$A$6:$ZZ$1048576"), MATCH(S$1, OctR!$6:$6, 0), FALSE),
            0
        ) +
        IFERROR(
            VLOOKUP($A64, INDIRECT("NovR!$A$6:$ZZ$1048576"), MATCH(S$1, NovR!$6:$6, 0), FALSE),
            0
        ) +
        IFERROR(
            VLOOKUP($A64, INDIRECT("DicR!$A$6:$ZZ$1048576"), MATCH(S$1, DicR!$6:$6, 0), FALSE),
            0
        )
)</f>
        <v>0</v>
      </c>
      <c r="T64" s="36">
        <f t="array" ref="T64">SUM(
    IFERROR(
            VLOOKUP($A64, INDIRECT("EneR!$A$6:$ZZ$1048576"), MATCH(T$1, EneR!$6:$6, 0), FALSE),
            0
        ) +
        IFERROR(
            VLOOKUP($A64, INDIRECT("FebR!$A$6:$ZZ$1048576"), MATCH(T$1, FebR!$6:$6, 0), FALSE),
            0
        ) +
        IFERROR(
            VLOOKUP($A64, INDIRECT("MarR!$A$6:$ZZ$1048576"), MATCH(T$1, MarR!$6:$6, 0), FALSE),
            0
        ) +
        IFERROR(
            VLOOKUP($A64, INDIRECT("AbrR!$A$6:$ZZ$1048576"), MATCH(T$1, AbrR!$6:$6, 0), FALSE),
            0
        ) +
        IFERROR(
            VLOOKUP($A64, INDIRECT("MayR!$A$6:$ZZ$1048576"), MATCH(T$1, MayR!$6:$6, 0), FALSE),
            0
        ) +
        IFERROR(
            VLOOKUP($A64, INDIRECT("JunR!$A$6:$ZZ$1048576"), MATCH(T$1, JunR!$6:$6, 0), FALSE),
            0
        ) +
        IFERROR(
            VLOOKUP($A64, INDIRECT("JulR!$A$6:$ZZ$1048576"), MATCH(T$1, JulR!$6:$6, 0), FALSE),
            0
        ) +
        IFERROR(
            VLOOKUP($A64, INDIRECT("AgoR!$A$6:$ZZ$1048576"), MATCH(T$1, AgoR!$6:$6, 0), FALSE),
            0
        ) +
        IFERROR(
            VLOOKUP($A64, INDIRECT("SepR!$A$6:$ZZ$1048576"), MATCH(T$1, SepR!$6:$6, 0), FALSE),
            0
        ) +
        IFERROR(
            VLOOKUP($A64, INDIRECT("OctR!$A$6:$ZZ$1048576"), MATCH(T$1, OctR!$6:$6, 0), FALSE),
            0
        ) +
        IFERROR(
            VLOOKUP($A64, INDIRECT("NovR!$A$6:$ZZ$1048576"), MATCH(T$1, NovR!$6:$6, 0), FALSE),
            0
        ) +
        IFERROR(
            VLOOKUP($A64, INDIRECT("DicR!$A$6:$ZZ$1048576"), MATCH(T$1, DicR!$6:$6, 0), FALSE),
            0
        )
)</f>
        <v>0</v>
      </c>
      <c r="U64" s="37">
        <f t="array" ref="U64">SUM(
    IFERROR(
            VLOOKUP($A64, INDIRECT("EneR!$A$6:$ZZ$1048576"), MATCH(U$1, EneR!$6:$6, 0), FALSE),
            0
        ) +
        IFERROR(
            VLOOKUP($A64, INDIRECT("FebR!$A$6:$ZZ$1048576"), MATCH(U$1, FebR!$6:$6, 0), FALSE),
            0
        ) +
        IFERROR(
            VLOOKUP($A64, INDIRECT("MarR!$A$6:$ZZ$1048576"), MATCH(U$1, MarR!$6:$6, 0), FALSE),
            0
        ) +
        IFERROR(
            VLOOKUP($A64, INDIRECT("AbrR!$A$6:$ZZ$1048576"), MATCH(U$1, AbrR!$6:$6, 0), FALSE),
            0
        ) +
        IFERROR(
            VLOOKUP($A64, INDIRECT("MayR!$A$6:$ZZ$1048576"), MATCH(U$1, MayR!$6:$6, 0), FALSE),
            0
        ) +
        IFERROR(
            VLOOKUP($A64, INDIRECT("JunR!$A$6:$ZZ$1048576"), MATCH(U$1, JunR!$6:$6, 0), FALSE),
            0
        ) +
        IFERROR(
            VLOOKUP($A64, INDIRECT("JulR!$A$6:$ZZ$1048576"), MATCH(U$1, JulR!$6:$6, 0), FALSE),
            0
        ) +
        IFERROR(
            VLOOKUP($A64, INDIRECT("AgoR!$A$6:$ZZ$1048576"), MATCH(U$1, AgoR!$6:$6, 0), FALSE),
            0
        ) +
        IFERROR(
            VLOOKUP($A64, INDIRECT("SepR!$A$6:$ZZ$1048576"), MATCH(U$1, SepR!$6:$6, 0), FALSE),
            0
        ) +
        IFERROR(
            VLOOKUP($A64, INDIRECT("OctR!$A$6:$ZZ$1048576"), MATCH(U$1, OctR!$6:$6, 0), FALSE),
            0
        ) +
        IFERROR(
            VLOOKUP($A64, INDIRECT("NovR!$A$6:$ZZ$1048576"), MATCH(U$1, NovR!$6:$6, 0), FALSE),
            0
        ) +
        IFERROR(
            VLOOKUP($A64, INDIRECT("DicR!$A$6:$ZZ$1048576"), MATCH(U$1, DicR!$6:$6, 0), FALSE),
            0
        )
)</f>
        <v>0</v>
      </c>
      <c r="V64" s="36">
        <f t="array" ref="V64">SUM(
    IFERROR(
            VLOOKUP($A64, INDIRECT("EneR!$A$6:$ZZ$1048576"), MATCH(V$1, EneR!$6:$6, 0), FALSE),
            0
        ) +
        IFERROR(
            VLOOKUP($A64, INDIRECT("FebR!$A$6:$ZZ$1048576"), MATCH(V$1, FebR!$6:$6, 0), FALSE),
            0
        ) +
        IFERROR(
            VLOOKUP($A64, INDIRECT("MarR!$A$6:$ZZ$1048576"), MATCH(V$1, MarR!$6:$6, 0), FALSE),
            0
        ) +
        IFERROR(
            VLOOKUP($A64, INDIRECT("AbrR!$A$6:$ZZ$1048576"), MATCH(V$1, AbrR!$6:$6, 0), FALSE),
            0
        ) +
        IFERROR(
            VLOOKUP($A64, INDIRECT("MayR!$A$6:$ZZ$1048576"), MATCH(V$1, MayR!$6:$6, 0), FALSE),
            0
        ) +
        IFERROR(
            VLOOKUP($A64, INDIRECT("JunR!$A$6:$ZZ$1048576"), MATCH(V$1, JunR!$6:$6, 0), FALSE),
            0
        ) +
        IFERROR(
            VLOOKUP($A64, INDIRECT("JulR!$A$6:$ZZ$1048576"), MATCH(V$1, JulR!$6:$6, 0), FALSE),
            0
        ) +
        IFERROR(
            VLOOKUP($A64, INDIRECT("AgoR!$A$6:$ZZ$1048576"), MATCH(V$1, AgoR!$6:$6, 0), FALSE),
            0
        ) +
        IFERROR(
            VLOOKUP($A64, INDIRECT("SepR!$A$6:$ZZ$1048576"), MATCH(V$1, SepR!$6:$6, 0), FALSE),
            0
        ) +
        IFERROR(
            VLOOKUP($A64, INDIRECT("OctR!$A$6:$ZZ$1048576"), MATCH(V$1, OctR!$6:$6, 0), FALSE),
            0
        ) +
        IFERROR(
            VLOOKUP($A64, INDIRECT("NovR!$A$6:$ZZ$1048576"), MATCH(V$1, NovR!$6:$6, 0), FALSE),
            0
        ) +
        IFERROR(
            VLOOKUP($A64, INDIRECT("DicR!$A$6:$ZZ$1048576"), MATCH(V$1, DicR!$6:$6, 0), FALSE),
            0
        )
)</f>
        <v>0</v>
      </c>
      <c r="W64" s="37">
        <f t="array" ref="W64">SUM(
    IFERROR(
            VLOOKUP($A64, INDIRECT("EneR!$A$6:$ZZ$1048576"), MATCH(W$1, EneR!$6:$6, 0), FALSE),
            0
        ) +
        IFERROR(
            VLOOKUP($A64, INDIRECT("FebR!$A$6:$ZZ$1048576"), MATCH(W$1, FebR!$6:$6, 0), FALSE),
            0
        ) +
        IFERROR(
            VLOOKUP($A64, INDIRECT("MarR!$A$6:$ZZ$1048576"), MATCH(W$1, MarR!$6:$6, 0), FALSE),
            0
        ) +
        IFERROR(
            VLOOKUP($A64, INDIRECT("AbrR!$A$6:$ZZ$1048576"), MATCH(W$1, AbrR!$6:$6, 0), FALSE),
            0
        ) +
        IFERROR(
            VLOOKUP($A64, INDIRECT("MayR!$A$6:$ZZ$1048576"), MATCH(W$1, MayR!$6:$6, 0), FALSE),
            0
        ) +
        IFERROR(
            VLOOKUP($A64, INDIRECT("JunR!$A$6:$ZZ$1048576"), MATCH(W$1, JunR!$6:$6, 0), FALSE),
            0
        ) +
        IFERROR(
            VLOOKUP($A64, INDIRECT("JulR!$A$6:$ZZ$1048576"), MATCH(W$1, JulR!$6:$6, 0), FALSE),
            0
        ) +
        IFERROR(
            VLOOKUP($A64, INDIRECT("AgoR!$A$6:$ZZ$1048576"), MATCH(W$1, AgoR!$6:$6, 0), FALSE),
            0
        ) +
        IFERROR(
            VLOOKUP($A64, INDIRECT("SepR!$A$6:$ZZ$1048576"), MATCH(W$1, SepR!$6:$6, 0), FALSE),
            0
        ) +
        IFERROR(
            VLOOKUP($A64, INDIRECT("OctR!$A$6:$ZZ$1048576"), MATCH(W$1, OctR!$6:$6, 0), FALSE),
            0
        ) +
        IFERROR(
            VLOOKUP($A64, INDIRECT("NovR!$A$6:$ZZ$1048576"), MATCH(W$1, NovR!$6:$6, 0), FALSE),
            0
        ) +
        IFERROR(
            VLOOKUP($A64, INDIRECT("DicR!$A$6:$ZZ$1048576"), MATCH(W$1, DicR!$6:$6, 0), FALSE),
            0
        )
)</f>
        <v>0</v>
      </c>
      <c r="X64" s="36">
        <f t="array" ref="X64">SUM(
    IFERROR(
            VLOOKUP($A64, INDIRECT("EneR!$A$6:$ZZ$1048576"), MATCH(X$1, EneR!$6:$6, 0), FALSE),
            0
        ) +
        IFERROR(
            VLOOKUP($A64, INDIRECT("FebR!$A$6:$ZZ$1048576"), MATCH(X$1, FebR!$6:$6, 0), FALSE),
            0
        ) +
        IFERROR(
            VLOOKUP($A64, INDIRECT("MarR!$A$6:$ZZ$1048576"), MATCH(X$1, MarR!$6:$6, 0), FALSE),
            0
        ) +
        IFERROR(
            VLOOKUP($A64, INDIRECT("AbrR!$A$6:$ZZ$1048576"), MATCH(X$1, AbrR!$6:$6, 0), FALSE),
            0
        ) +
        IFERROR(
            VLOOKUP($A64, INDIRECT("MayR!$A$6:$ZZ$1048576"), MATCH(X$1, MayR!$6:$6, 0), FALSE),
            0
        ) +
        IFERROR(
            VLOOKUP($A64, INDIRECT("JunR!$A$6:$ZZ$1048576"), MATCH(X$1, JunR!$6:$6, 0), FALSE),
            0
        ) +
        IFERROR(
            VLOOKUP($A64, INDIRECT("JulR!$A$6:$ZZ$1048576"), MATCH(X$1, JulR!$6:$6, 0), FALSE),
            0
        ) +
        IFERROR(
            VLOOKUP($A64, INDIRECT("AgoR!$A$6:$ZZ$1048576"), MATCH(X$1, AgoR!$6:$6, 0), FALSE),
            0
        ) +
        IFERROR(
            VLOOKUP($A64, INDIRECT("SepR!$A$6:$ZZ$1048576"), MATCH(X$1, SepR!$6:$6, 0), FALSE),
            0
        ) +
        IFERROR(
            VLOOKUP($A64, INDIRECT("OctR!$A$6:$ZZ$1048576"), MATCH(X$1, OctR!$6:$6, 0), FALSE),
            0
        ) +
        IFERROR(
            VLOOKUP($A64, INDIRECT("NovR!$A$6:$ZZ$1048576"), MATCH(X$1, NovR!$6:$6, 0), FALSE),
            0
        ) +
        IFERROR(
            VLOOKUP($A64, INDIRECT("DicR!$A$6:$ZZ$1048576"), MATCH(X$1, DicR!$6:$6, 0), FALSE),
            0
        )
)</f>
        <v>0</v>
      </c>
      <c r="Y64" s="37">
        <f t="array" ref="Y64">SUM(
    IFERROR(
            VLOOKUP($A64, INDIRECT("EneR!$A$6:$ZZ$1048576"), MATCH(Y$1, EneR!$6:$6, 0), FALSE),
            0
        ) +
        IFERROR(
            VLOOKUP($A64, INDIRECT("FebR!$A$6:$ZZ$1048576"), MATCH(Y$1, FebR!$6:$6, 0), FALSE),
            0
        ) +
        IFERROR(
            VLOOKUP($A64, INDIRECT("MarR!$A$6:$ZZ$1048576"), MATCH(Y$1, MarR!$6:$6, 0), FALSE),
            0
        ) +
        IFERROR(
            VLOOKUP($A64, INDIRECT("AbrR!$A$6:$ZZ$1048576"), MATCH(Y$1, AbrR!$6:$6, 0), FALSE),
            0
        ) +
        IFERROR(
            VLOOKUP($A64, INDIRECT("MayR!$A$6:$ZZ$1048576"), MATCH(Y$1, MayR!$6:$6, 0), FALSE),
            0
        ) +
        IFERROR(
            VLOOKUP($A64, INDIRECT("JunR!$A$6:$ZZ$1048576"), MATCH(Y$1, JunR!$6:$6, 0), FALSE),
            0
        ) +
        IFERROR(
            VLOOKUP($A64, INDIRECT("JulR!$A$6:$ZZ$1048576"), MATCH(Y$1, JulR!$6:$6, 0), FALSE),
            0
        ) +
        IFERROR(
            VLOOKUP($A64, INDIRECT("AgoR!$A$6:$ZZ$1048576"), MATCH(Y$1, AgoR!$6:$6, 0), FALSE),
            0
        ) +
        IFERROR(
            VLOOKUP($A64, INDIRECT("SepR!$A$6:$ZZ$1048576"), MATCH(Y$1, SepR!$6:$6, 0), FALSE),
            0
        ) +
        IFERROR(
            VLOOKUP($A64, INDIRECT("OctR!$A$6:$ZZ$1048576"), MATCH(Y$1, OctR!$6:$6, 0), FALSE),
            0
        ) +
        IFERROR(
            VLOOKUP($A64, INDIRECT("NovR!$A$6:$ZZ$1048576"), MATCH(Y$1, NovR!$6:$6, 0), FALSE),
            0
        ) +
        IFERROR(
            VLOOKUP($A64, INDIRECT("DicR!$A$6:$ZZ$1048576"), MATCH(Y$1, DicR!$6:$6, 0), FALSE),
            0
        )
)</f>
        <v>0</v>
      </c>
      <c r="Z64" s="36">
        <f t="array" ref="Z64">SUM(
    IFERROR(
            VLOOKUP($A64, INDIRECT("EneR!$A$6:$ZZ$1048576"), MATCH(Z$1, EneR!$6:$6, 0), FALSE),
            0
        ) +
        IFERROR(
            VLOOKUP($A64, INDIRECT("FebR!$A$6:$ZZ$1048576"), MATCH(Z$1, FebR!$6:$6, 0), FALSE),
            0
        ) +
        IFERROR(
            VLOOKUP($A64, INDIRECT("MarR!$A$6:$ZZ$1048576"), MATCH(Z$1, MarR!$6:$6, 0), FALSE),
            0
        ) +
        IFERROR(
            VLOOKUP($A64, INDIRECT("AbrR!$A$6:$ZZ$1048576"), MATCH(Z$1, AbrR!$6:$6, 0), FALSE),
            0
        ) +
        IFERROR(
            VLOOKUP($A64, INDIRECT("MayR!$A$6:$ZZ$1048576"), MATCH(Z$1, MayR!$6:$6, 0), FALSE),
            0
        ) +
        IFERROR(
            VLOOKUP($A64, INDIRECT("JunR!$A$6:$ZZ$1048576"), MATCH(Z$1, JunR!$6:$6, 0), FALSE),
            0
        ) +
        IFERROR(
            VLOOKUP($A64, INDIRECT("JulR!$A$6:$ZZ$1048576"), MATCH(Z$1, JulR!$6:$6, 0), FALSE),
            0
        ) +
        IFERROR(
            VLOOKUP($A64, INDIRECT("AgoR!$A$6:$ZZ$1048576"), MATCH(Z$1, AgoR!$6:$6, 0), FALSE),
            0
        ) +
        IFERROR(
            VLOOKUP($A64, INDIRECT("SepR!$A$6:$ZZ$1048576"), MATCH(Z$1, SepR!$6:$6, 0), FALSE),
            0
        ) +
        IFERROR(
            VLOOKUP($A64, INDIRECT("OctR!$A$6:$ZZ$1048576"), MATCH(Z$1, OctR!$6:$6, 0), FALSE),
            0
        ) +
        IFERROR(
            VLOOKUP($A64, INDIRECT("NovR!$A$6:$ZZ$1048576"), MATCH(Z$1, NovR!$6:$6, 0), FALSE),
            0
        ) +
        IFERROR(
            VLOOKUP($A64, INDIRECT("DicR!$A$6:$ZZ$1048576"), MATCH(Z$1, DicR!$6:$6, 0), FALSE),
            0
        )
)</f>
        <v>0</v>
      </c>
      <c r="AA64" s="37">
        <f t="array" ref="AA64">SUM(
    IFERROR(
            VLOOKUP($A64, INDIRECT("EneR!$A$6:$ZZ$1048576"), MATCH(AA$1, EneR!$6:$6, 0), FALSE),
            0
        ) +
        IFERROR(
            VLOOKUP($A64, INDIRECT("FebR!$A$6:$ZZ$1048576"), MATCH(AA$1, FebR!$6:$6, 0), FALSE),
            0
        ) +
        IFERROR(
            VLOOKUP($A64, INDIRECT("MarR!$A$6:$ZZ$1048576"), MATCH(AA$1, MarR!$6:$6, 0), FALSE),
            0
        ) +
        IFERROR(
            VLOOKUP($A64, INDIRECT("AbrR!$A$6:$ZZ$1048576"), MATCH(AA$1, AbrR!$6:$6, 0), FALSE),
            0
        ) +
        IFERROR(
            VLOOKUP($A64, INDIRECT("MayR!$A$6:$ZZ$1048576"), MATCH(AA$1, MayR!$6:$6, 0), FALSE),
            0
        ) +
        IFERROR(
            VLOOKUP($A64, INDIRECT("JunR!$A$6:$ZZ$1048576"), MATCH(AA$1, JunR!$6:$6, 0), FALSE),
            0
        ) +
        IFERROR(
            VLOOKUP($A64, INDIRECT("JulR!$A$6:$ZZ$1048576"), MATCH(AA$1, JulR!$6:$6, 0), FALSE),
            0
        ) +
        IFERROR(
            VLOOKUP($A64, INDIRECT("AgoR!$A$6:$ZZ$1048576"), MATCH(AA$1, AgoR!$6:$6, 0), FALSE),
            0
        ) +
        IFERROR(
            VLOOKUP($A64, INDIRECT("SepR!$A$6:$ZZ$1048576"), MATCH(AA$1, SepR!$6:$6, 0), FALSE),
            0
        ) +
        IFERROR(
            VLOOKUP($A64, INDIRECT("OctR!$A$6:$ZZ$1048576"), MATCH(AA$1, OctR!$6:$6, 0), FALSE),
            0
        ) +
        IFERROR(
            VLOOKUP($A64, INDIRECT("NovR!$A$6:$ZZ$1048576"), MATCH(AA$1, NovR!$6:$6, 0), FALSE),
            0
        ) +
        IFERROR(
            VLOOKUP($A64, INDIRECT("DicR!$A$6:$ZZ$1048576"), MATCH(AA$1, DicR!$6:$6, 0), FALSE),
            0
        )
)</f>
        <v>0</v>
      </c>
      <c r="AB64" s="36">
        <f t="array" ref="AB64">SUM(
    IFERROR(
            VLOOKUP($A64, INDIRECT("EneR!$A$6:$ZZ$1048576"), MATCH(AB$1, EneR!$6:$6, 0), FALSE),
            0
        ) +
        IFERROR(
            VLOOKUP($A64, INDIRECT("FebR!$A$6:$ZZ$1048576"), MATCH(AB$1, FebR!$6:$6, 0), FALSE),
            0
        ) +
        IFERROR(
            VLOOKUP($A64, INDIRECT("MarR!$A$6:$ZZ$1048576"), MATCH(AB$1, MarR!$6:$6, 0), FALSE),
            0
        ) +
        IFERROR(
            VLOOKUP($A64, INDIRECT("AbrR!$A$6:$ZZ$1048576"), MATCH(AB$1, AbrR!$6:$6, 0), FALSE),
            0
        ) +
        IFERROR(
            VLOOKUP($A64, INDIRECT("MayR!$A$6:$ZZ$1048576"), MATCH(AB$1, MayR!$6:$6, 0), FALSE),
            0
        ) +
        IFERROR(
            VLOOKUP($A64, INDIRECT("JunR!$A$6:$ZZ$1048576"), MATCH(AB$1, JunR!$6:$6, 0), FALSE),
            0
        ) +
        IFERROR(
            VLOOKUP($A64, INDIRECT("JulR!$A$6:$ZZ$1048576"), MATCH(AB$1, JulR!$6:$6, 0), FALSE),
            0
        ) +
        IFERROR(
            VLOOKUP($A64, INDIRECT("AgoR!$A$6:$ZZ$1048576"), MATCH(AB$1, AgoR!$6:$6, 0), FALSE),
            0
        ) +
        IFERROR(
            VLOOKUP($A64, INDIRECT("SepR!$A$6:$ZZ$1048576"), MATCH(AB$1, SepR!$6:$6, 0), FALSE),
            0
        ) +
        IFERROR(
            VLOOKUP($A64, INDIRECT("OctR!$A$6:$ZZ$1048576"), MATCH(AB$1, OctR!$6:$6, 0), FALSE),
            0
        ) +
        IFERROR(
            VLOOKUP($A64, INDIRECT("NovR!$A$6:$ZZ$1048576"), MATCH(AB$1, NovR!$6:$6, 0), FALSE),
            0
        ) +
        IFERROR(
            VLOOKUP($A64, INDIRECT("DicR!$A$6:$ZZ$1048576"), MATCH(AB$1, DicR!$6:$6, 0), FALSE),
            0
        )
)</f>
        <v>0</v>
      </c>
      <c r="AC64" s="37">
        <f t="array" ref="AC64">SUM(
    IFERROR(
            VLOOKUP($A64, INDIRECT("EneR!$A$6:$ZZ$1048576"), MATCH(AC$1, EneR!$6:$6, 0), FALSE),
            0
        ) +
        IFERROR(
            VLOOKUP($A64, INDIRECT("FebR!$A$6:$ZZ$1048576"), MATCH(AC$1, FebR!$6:$6, 0), FALSE),
            0
        ) +
        IFERROR(
            VLOOKUP($A64, INDIRECT("MarR!$A$6:$ZZ$1048576"), MATCH(AC$1, MarR!$6:$6, 0), FALSE),
            0
        ) +
        IFERROR(
            VLOOKUP($A64, INDIRECT("AbrR!$A$6:$ZZ$1048576"), MATCH(AC$1, AbrR!$6:$6, 0), FALSE),
            0
        ) +
        IFERROR(
            VLOOKUP($A64, INDIRECT("MayR!$A$6:$ZZ$1048576"), MATCH(AC$1, MayR!$6:$6, 0), FALSE),
            0
        ) +
        IFERROR(
            VLOOKUP($A64, INDIRECT("JunR!$A$6:$ZZ$1048576"), MATCH(AC$1, JunR!$6:$6, 0), FALSE),
            0
        ) +
        IFERROR(
            VLOOKUP($A64, INDIRECT("JulR!$A$6:$ZZ$1048576"), MATCH(AC$1, JulR!$6:$6, 0), FALSE),
            0
        ) +
        IFERROR(
            VLOOKUP($A64, INDIRECT("AgoR!$A$6:$ZZ$1048576"), MATCH(AC$1, AgoR!$6:$6, 0), FALSE),
            0
        ) +
        IFERROR(
            VLOOKUP($A64, INDIRECT("SepR!$A$6:$ZZ$1048576"), MATCH(AC$1, SepR!$6:$6, 0), FALSE),
            0
        ) +
        IFERROR(
            VLOOKUP($A64, INDIRECT("OctR!$A$6:$ZZ$1048576"), MATCH(AC$1, OctR!$6:$6, 0), FALSE),
            0
        ) +
        IFERROR(
            VLOOKUP($A64, INDIRECT("NovR!$A$6:$ZZ$1048576"), MATCH(AC$1, NovR!$6:$6, 0), FALSE),
            0
        ) +
        IFERROR(
            VLOOKUP($A64, INDIRECT("DicR!$A$6:$ZZ$1048576"), MATCH(AC$1, DicR!$6:$6, 0), FALSE),
            0
        )
)</f>
        <v>0</v>
      </c>
      <c r="AD64" s="36">
        <f t="array" ref="AD64">SUM(
    IFERROR(
            VLOOKUP($A64, INDIRECT("EneR!$A$6:$ZZ$1048576"), MATCH(AD$1, EneR!$6:$6, 0), FALSE),
            0
        ) +
        IFERROR(
            VLOOKUP($A64, INDIRECT("FebR!$A$6:$ZZ$1048576"), MATCH(AD$1, FebR!$6:$6, 0), FALSE),
            0
        ) +
        IFERROR(
            VLOOKUP($A64, INDIRECT("MarR!$A$6:$ZZ$1048576"), MATCH(AD$1, MarR!$6:$6, 0), FALSE),
            0
        ) +
        IFERROR(
            VLOOKUP($A64, INDIRECT("AbrR!$A$6:$ZZ$1048576"), MATCH(AD$1, AbrR!$6:$6, 0), FALSE),
            0
        ) +
        IFERROR(
            VLOOKUP($A64, INDIRECT("MayR!$A$6:$ZZ$1048576"), MATCH(AD$1, MayR!$6:$6, 0), FALSE),
            0
        ) +
        IFERROR(
            VLOOKUP($A64, INDIRECT("JunR!$A$6:$ZZ$1048576"), MATCH(AD$1, JunR!$6:$6, 0), FALSE),
            0
        ) +
        IFERROR(
            VLOOKUP($A64, INDIRECT("JulR!$A$6:$ZZ$1048576"), MATCH(AD$1, JulR!$6:$6, 0), FALSE),
            0
        ) +
        IFERROR(
            VLOOKUP($A64, INDIRECT("AgoR!$A$6:$ZZ$1048576"), MATCH(AD$1, AgoR!$6:$6, 0), FALSE),
            0
        ) +
        IFERROR(
            VLOOKUP($A64, INDIRECT("SepR!$A$6:$ZZ$1048576"), MATCH(AD$1, SepR!$6:$6, 0), FALSE),
            0
        ) +
        IFERROR(
            VLOOKUP($A64, INDIRECT("OctR!$A$6:$ZZ$1048576"), MATCH(AD$1, OctR!$6:$6, 0), FALSE),
            0
        ) +
        IFERROR(
            VLOOKUP($A64, INDIRECT("NovR!$A$6:$ZZ$1048576"), MATCH(AD$1, NovR!$6:$6, 0), FALSE),
            0
        ) +
        IFERROR(
            VLOOKUP($A64, INDIRECT("DicR!$A$6:$ZZ$1048576"), MATCH(AD$1, DicR!$6:$6, 0), FALSE),
            0
        )
)</f>
        <v>0</v>
      </c>
      <c r="AE64" s="37">
        <f t="array" ref="AE64">SUM(
    IFERROR(
            VLOOKUP($A64, INDIRECT("EneR!$A$6:$ZZ$1048576"), MATCH(AE$1, EneR!$6:$6, 0), FALSE),
            0
        ) +
        IFERROR(
            VLOOKUP($A64, INDIRECT("FebR!$A$6:$ZZ$1048576"), MATCH(AE$1, FebR!$6:$6, 0), FALSE),
            0
        ) +
        IFERROR(
            VLOOKUP($A64, INDIRECT("MarR!$A$6:$ZZ$1048576"), MATCH(AE$1, MarR!$6:$6, 0), FALSE),
            0
        ) +
        IFERROR(
            VLOOKUP($A64, INDIRECT("AbrR!$A$6:$ZZ$1048576"), MATCH(AE$1, AbrR!$6:$6, 0), FALSE),
            0
        ) +
        IFERROR(
            VLOOKUP($A64, INDIRECT("MayR!$A$6:$ZZ$1048576"), MATCH(AE$1, MayR!$6:$6, 0), FALSE),
            0
        ) +
        IFERROR(
            VLOOKUP($A64, INDIRECT("JunR!$A$6:$ZZ$1048576"), MATCH(AE$1, JunR!$6:$6, 0), FALSE),
            0
        ) +
        IFERROR(
            VLOOKUP($A64, INDIRECT("JulR!$A$6:$ZZ$1048576"), MATCH(AE$1, JulR!$6:$6, 0), FALSE),
            0
        ) +
        IFERROR(
            VLOOKUP($A64, INDIRECT("AgoR!$A$6:$ZZ$1048576"), MATCH(AE$1, AgoR!$6:$6, 0), FALSE),
            0
        ) +
        IFERROR(
            VLOOKUP($A64, INDIRECT("SepR!$A$6:$ZZ$1048576"), MATCH(AE$1, SepR!$6:$6, 0), FALSE),
            0
        ) +
        IFERROR(
            VLOOKUP($A64, INDIRECT("OctR!$A$6:$ZZ$1048576"), MATCH(AE$1, OctR!$6:$6, 0), FALSE),
            0
        ) +
        IFERROR(
            VLOOKUP($A64, INDIRECT("NovR!$A$6:$ZZ$1048576"), MATCH(AE$1, NovR!$6:$6, 0), FALSE),
            0
        ) +
        IFERROR(
            VLOOKUP($A64, INDIRECT("DicR!$A$6:$ZZ$1048576"), MATCH(AE$1, DicR!$6:$6, 0), FALSE),
            0
        )
)</f>
        <v>0</v>
      </c>
      <c r="AF64" s="36">
        <f t="array" ref="AF64">SUM(
    IFERROR(
            VLOOKUP($A64, INDIRECT("EneR!$A$6:$ZZ$1048576"), MATCH(AF$1, EneR!$6:$6, 0), FALSE),
            0
        ) +
        IFERROR(
            VLOOKUP($A64, INDIRECT("FebR!$A$6:$ZZ$1048576"), MATCH(AF$1, FebR!$6:$6, 0), FALSE),
            0
        ) +
        IFERROR(
            VLOOKUP($A64, INDIRECT("MarR!$A$6:$ZZ$1048576"), MATCH(AF$1, MarR!$6:$6, 0), FALSE),
            0
        ) +
        IFERROR(
            VLOOKUP($A64, INDIRECT("AbrR!$A$6:$ZZ$1048576"), MATCH(AF$1, AbrR!$6:$6, 0), FALSE),
            0
        ) +
        IFERROR(
            VLOOKUP($A64, INDIRECT("MayR!$A$6:$ZZ$1048576"), MATCH(AF$1, MayR!$6:$6, 0), FALSE),
            0
        ) +
        IFERROR(
            VLOOKUP($A64, INDIRECT("JunR!$A$6:$ZZ$1048576"), MATCH(AF$1, JunR!$6:$6, 0), FALSE),
            0
        ) +
        IFERROR(
            VLOOKUP($A64, INDIRECT("JulR!$A$6:$ZZ$1048576"), MATCH(AF$1, JulR!$6:$6, 0), FALSE),
            0
        ) +
        IFERROR(
            VLOOKUP($A64, INDIRECT("AgoR!$A$6:$ZZ$1048576"), MATCH(AF$1, AgoR!$6:$6, 0), FALSE),
            0
        ) +
        IFERROR(
            VLOOKUP($A64, INDIRECT("SepR!$A$6:$ZZ$1048576"), MATCH(AF$1, SepR!$6:$6, 0), FALSE),
            0
        ) +
        IFERROR(
            VLOOKUP($A64, INDIRECT("OctR!$A$6:$ZZ$1048576"), MATCH(AF$1, OctR!$6:$6, 0), FALSE),
            0
        ) +
        IFERROR(
            VLOOKUP($A64, INDIRECT("NovR!$A$6:$ZZ$1048576"), MATCH(AF$1, NovR!$6:$6, 0), FALSE),
            0
        ) +
        IFERROR(
            VLOOKUP($A64, INDIRECT("DicR!$A$6:$ZZ$1048576"), MATCH(AF$1, DicR!$6:$6, 0), FALSE),
            0
        )
)</f>
        <v>0</v>
      </c>
      <c r="AG64" s="37">
        <f t="array" ref="AG64">SUM(
    IFERROR(
            VLOOKUP($A64, INDIRECT("EneR!$A$6:$ZZ$1048576"), MATCH(AG$1, EneR!$6:$6, 0), FALSE),
            0
        ) +
        IFERROR(
            VLOOKUP($A64, INDIRECT("FebR!$A$6:$ZZ$1048576"), MATCH(AG$1, FebR!$6:$6, 0), FALSE),
            0
        ) +
        IFERROR(
            VLOOKUP($A64, INDIRECT("MarR!$A$6:$ZZ$1048576"), MATCH(AG$1, MarR!$6:$6, 0), FALSE),
            0
        ) +
        IFERROR(
            VLOOKUP($A64, INDIRECT("AbrR!$A$6:$ZZ$1048576"), MATCH(AG$1, AbrR!$6:$6, 0), FALSE),
            0
        ) +
        IFERROR(
            VLOOKUP($A64, INDIRECT("MayR!$A$6:$ZZ$1048576"), MATCH(AG$1, MayR!$6:$6, 0), FALSE),
            0
        ) +
        IFERROR(
            VLOOKUP($A64, INDIRECT("JunR!$A$6:$ZZ$1048576"), MATCH(AG$1, JunR!$6:$6, 0), FALSE),
            0
        ) +
        IFERROR(
            VLOOKUP($A64, INDIRECT("JulR!$A$6:$ZZ$1048576"), MATCH(AG$1, JulR!$6:$6, 0), FALSE),
            0
        ) +
        IFERROR(
            VLOOKUP($A64, INDIRECT("AgoR!$A$6:$ZZ$1048576"), MATCH(AG$1, AgoR!$6:$6, 0), FALSE),
            0
        ) +
        IFERROR(
            VLOOKUP($A64, INDIRECT("SepR!$A$6:$ZZ$1048576"), MATCH(AG$1, SepR!$6:$6, 0), FALSE),
            0
        ) +
        IFERROR(
            VLOOKUP($A64, INDIRECT("OctR!$A$6:$ZZ$1048576"), MATCH(AG$1, OctR!$6:$6, 0), FALSE),
            0
        ) +
        IFERROR(
            VLOOKUP($A64, INDIRECT("NovR!$A$6:$ZZ$1048576"), MATCH(AG$1, NovR!$6:$6, 0), FALSE),
            0
        ) +
        IFERROR(
            VLOOKUP($A64, INDIRECT("DicR!$A$6:$ZZ$1048576"), MATCH(AG$1, DicR!$6:$6, 0), FALSE),
            0
        )
)</f>
        <v>0</v>
      </c>
      <c r="AH64" s="36">
        <f t="array" ref="AH64">SUM(
    IFERROR(
            VLOOKUP($A64, INDIRECT("EneR!$A$6:$ZZ$1048576"), MATCH(AH$1, EneR!$6:$6, 0), FALSE),
            0
        ) +
        IFERROR(
            VLOOKUP($A64, INDIRECT("FebR!$A$6:$ZZ$1048576"), MATCH(AH$1, FebR!$6:$6, 0), FALSE),
            0
        ) +
        IFERROR(
            VLOOKUP($A64, INDIRECT("MarR!$A$6:$ZZ$1048576"), MATCH(AH$1, MarR!$6:$6, 0), FALSE),
            0
        ) +
        IFERROR(
            VLOOKUP($A64, INDIRECT("AbrR!$A$6:$ZZ$1048576"), MATCH(AH$1, AbrR!$6:$6, 0), FALSE),
            0
        ) +
        IFERROR(
            VLOOKUP($A64, INDIRECT("MayR!$A$6:$ZZ$1048576"), MATCH(AH$1, MayR!$6:$6, 0), FALSE),
            0
        ) +
        IFERROR(
            VLOOKUP($A64, INDIRECT("JunR!$A$6:$ZZ$1048576"), MATCH(AH$1, JunR!$6:$6, 0), FALSE),
            0
        ) +
        IFERROR(
            VLOOKUP($A64, INDIRECT("JulR!$A$6:$ZZ$1048576"), MATCH(AH$1, JulR!$6:$6, 0), FALSE),
            0
        ) +
        IFERROR(
            VLOOKUP($A64, INDIRECT("AgoR!$A$6:$ZZ$1048576"), MATCH(AH$1, AgoR!$6:$6, 0), FALSE),
            0
        ) +
        IFERROR(
            VLOOKUP($A64, INDIRECT("SepR!$A$6:$ZZ$1048576"), MATCH(AH$1, SepR!$6:$6, 0), FALSE),
            0
        ) +
        IFERROR(
            VLOOKUP($A64, INDIRECT("OctR!$A$6:$ZZ$1048576"), MATCH(AH$1, OctR!$6:$6, 0), FALSE),
            0
        ) +
        IFERROR(
            VLOOKUP($A64, INDIRECT("NovR!$A$6:$ZZ$1048576"), MATCH(AH$1, NovR!$6:$6, 0), FALSE),
            0
        ) +
        IFERROR(
            VLOOKUP($A64, INDIRECT("DicR!$A$6:$ZZ$1048576"), MATCH(AH$1, DicR!$6:$6, 0), FALSE),
            0
        )
)</f>
        <v>0</v>
      </c>
      <c r="AI64" s="37">
        <f t="array" ref="AI64">SUM(
    IFERROR(
            VLOOKUP($A64, INDIRECT("EneR!$A$6:$ZZ$1048576"), MATCH(AI$1, EneR!$6:$6, 0), FALSE),
            0
        ) +
        IFERROR(
            VLOOKUP($A64, INDIRECT("FebR!$A$6:$ZZ$1048576"), MATCH(AI$1, FebR!$6:$6, 0), FALSE),
            0
        ) +
        IFERROR(
            VLOOKUP($A64, INDIRECT("MarR!$A$6:$ZZ$1048576"), MATCH(AI$1, MarR!$6:$6, 0), FALSE),
            0
        ) +
        IFERROR(
            VLOOKUP($A64, INDIRECT("AbrR!$A$6:$ZZ$1048576"), MATCH(AI$1, AbrR!$6:$6, 0), FALSE),
            0
        ) +
        IFERROR(
            VLOOKUP($A64, INDIRECT("MayR!$A$6:$ZZ$1048576"), MATCH(AI$1, MayR!$6:$6, 0), FALSE),
            0
        ) +
        IFERROR(
            VLOOKUP($A64, INDIRECT("JunR!$A$6:$ZZ$1048576"), MATCH(AI$1, JunR!$6:$6, 0), FALSE),
            0
        ) +
        IFERROR(
            VLOOKUP($A64, INDIRECT("JulR!$A$6:$ZZ$1048576"), MATCH(AI$1, JulR!$6:$6, 0), FALSE),
            0
        ) +
        IFERROR(
            VLOOKUP($A64, INDIRECT("AgoR!$A$6:$ZZ$1048576"), MATCH(AI$1, AgoR!$6:$6, 0), FALSE),
            0
        ) +
        IFERROR(
            VLOOKUP($A64, INDIRECT("SepR!$A$6:$ZZ$1048576"), MATCH(AI$1, SepR!$6:$6, 0), FALSE),
            0
        ) +
        IFERROR(
            VLOOKUP($A64, INDIRECT("OctR!$A$6:$ZZ$1048576"), MATCH(AI$1, OctR!$6:$6, 0), FALSE),
            0
        ) +
        IFERROR(
            VLOOKUP($A64, INDIRECT("NovR!$A$6:$ZZ$1048576"), MATCH(AI$1, NovR!$6:$6, 0), FALSE),
            0
        ) +
        IFERROR(
            VLOOKUP($A64, INDIRECT("DicR!$A$6:$ZZ$1048576"), MATCH(AI$1, DicR!$6:$6, 0), FALSE),
            0
        )
)</f>
        <v>0</v>
      </c>
      <c r="AJ64" s="36">
        <f t="array" ref="AJ64">SUM(
    IFERROR(
            VLOOKUP($A64, INDIRECT("EneR!$A$6:$ZZ$1048576"), MATCH(AJ$1, EneR!$6:$6, 0), FALSE),
            0
        ) +
        IFERROR(
            VLOOKUP($A64, INDIRECT("FebR!$A$6:$ZZ$1048576"), MATCH(AJ$1, FebR!$6:$6, 0), FALSE),
            0
        ) +
        IFERROR(
            VLOOKUP($A64, INDIRECT("MarR!$A$6:$ZZ$1048576"), MATCH(AJ$1, MarR!$6:$6, 0), FALSE),
            0
        ) +
        IFERROR(
            VLOOKUP($A64, INDIRECT("AbrR!$A$6:$ZZ$1048576"), MATCH(AJ$1, AbrR!$6:$6, 0), FALSE),
            0
        ) +
        IFERROR(
            VLOOKUP($A64, INDIRECT("MayR!$A$6:$ZZ$1048576"), MATCH(AJ$1, MayR!$6:$6, 0), FALSE),
            0
        ) +
        IFERROR(
            VLOOKUP($A64, INDIRECT("JunR!$A$6:$ZZ$1048576"), MATCH(AJ$1, JunR!$6:$6, 0), FALSE),
            0
        ) +
        IFERROR(
            VLOOKUP($A64, INDIRECT("JulR!$A$6:$ZZ$1048576"), MATCH(AJ$1, JulR!$6:$6, 0), FALSE),
            0
        ) +
        IFERROR(
            VLOOKUP($A64, INDIRECT("AgoR!$A$6:$ZZ$1048576"), MATCH(AJ$1, AgoR!$6:$6, 0), FALSE),
            0
        ) +
        IFERROR(
            VLOOKUP($A64, INDIRECT("SepR!$A$6:$ZZ$1048576"), MATCH(AJ$1, SepR!$6:$6, 0), FALSE),
            0
        ) +
        IFERROR(
            VLOOKUP($A64, INDIRECT("OctR!$A$6:$ZZ$1048576"), MATCH(AJ$1, OctR!$6:$6, 0), FALSE),
            0
        ) +
        IFERROR(
            VLOOKUP($A64, INDIRECT("NovR!$A$6:$ZZ$1048576"), MATCH(AJ$1, NovR!$6:$6, 0), FALSE),
            0
        ) +
        IFERROR(
            VLOOKUP($A64, INDIRECT("DicR!$A$6:$ZZ$1048576"), MATCH(AJ$1, DicR!$6:$6, 0), FALSE),
            0
        )
)</f>
        <v>0</v>
      </c>
      <c r="AK64" s="37">
        <f t="array" ref="AK64">SUM(
    IFERROR(
            VLOOKUP($A64, INDIRECT("EneR!$A$6:$ZZ$1048576"), MATCH(AK$1, EneR!$6:$6, 0), FALSE),
            0
        ) +
        IFERROR(
            VLOOKUP($A64, INDIRECT("FebR!$A$6:$ZZ$1048576"), MATCH(AK$1, FebR!$6:$6, 0), FALSE),
            0
        ) +
        IFERROR(
            VLOOKUP($A64, INDIRECT("MarR!$A$6:$ZZ$1048576"), MATCH(AK$1, MarR!$6:$6, 0), FALSE),
            0
        ) +
        IFERROR(
            VLOOKUP($A64, INDIRECT("AbrR!$A$6:$ZZ$1048576"), MATCH(AK$1, AbrR!$6:$6, 0), FALSE),
            0
        ) +
        IFERROR(
            VLOOKUP($A64, INDIRECT("MayR!$A$6:$ZZ$1048576"), MATCH(AK$1, MayR!$6:$6, 0), FALSE),
            0
        ) +
        IFERROR(
            VLOOKUP($A64, INDIRECT("JunR!$A$6:$ZZ$1048576"), MATCH(AK$1, JunR!$6:$6, 0), FALSE),
            0
        ) +
        IFERROR(
            VLOOKUP($A64, INDIRECT("JulR!$A$6:$ZZ$1048576"), MATCH(AK$1, JulR!$6:$6, 0), FALSE),
            0
        ) +
        IFERROR(
            VLOOKUP($A64, INDIRECT("AgoR!$A$6:$ZZ$1048576"), MATCH(AK$1, AgoR!$6:$6, 0), FALSE),
            0
        ) +
        IFERROR(
            VLOOKUP($A64, INDIRECT("SepR!$A$6:$ZZ$1048576"), MATCH(AK$1, SepR!$6:$6, 0), FALSE),
            0
        ) +
        IFERROR(
            VLOOKUP($A64, INDIRECT("OctR!$A$6:$ZZ$1048576"), MATCH(AK$1, OctR!$6:$6, 0), FALSE),
            0
        ) +
        IFERROR(
            VLOOKUP($A64, INDIRECT("NovR!$A$6:$ZZ$1048576"), MATCH(AK$1, NovR!$6:$6, 0), FALSE),
            0
        ) +
        IFERROR(
            VLOOKUP($A64, INDIRECT("DicR!$A$6:$ZZ$1048576"), MATCH(AK$1, DicR!$6:$6, 0), FALSE),
            0
        )
)</f>
        <v>0</v>
      </c>
      <c r="AL64" s="36">
        <f t="array" ref="AL64">SUM(
    IFERROR(
            VLOOKUP($A64, INDIRECT("EneR!$A$6:$ZZ$1048576"), MATCH(AL$1, EneR!$6:$6, 0), FALSE),
            0
        ) +
        IFERROR(
            VLOOKUP($A64, INDIRECT("FebR!$A$6:$ZZ$1048576"), MATCH(AL$1, FebR!$6:$6, 0), FALSE),
            0
        ) +
        IFERROR(
            VLOOKUP($A64, INDIRECT("MarR!$A$6:$ZZ$1048576"), MATCH(AL$1, MarR!$6:$6, 0), FALSE),
            0
        ) +
        IFERROR(
            VLOOKUP($A64, INDIRECT("AbrR!$A$6:$ZZ$1048576"), MATCH(AL$1, AbrR!$6:$6, 0), FALSE),
            0
        ) +
        IFERROR(
            VLOOKUP($A64, INDIRECT("MayR!$A$6:$ZZ$1048576"), MATCH(AL$1, MayR!$6:$6, 0), FALSE),
            0
        ) +
        IFERROR(
            VLOOKUP($A64, INDIRECT("JunR!$A$6:$ZZ$1048576"), MATCH(AL$1, JunR!$6:$6, 0), FALSE),
            0
        ) +
        IFERROR(
            VLOOKUP($A64, INDIRECT("JulR!$A$6:$ZZ$1048576"), MATCH(AL$1, JulR!$6:$6, 0), FALSE),
            0
        ) +
        IFERROR(
            VLOOKUP($A64, INDIRECT("AgoR!$A$6:$ZZ$1048576"), MATCH(AL$1, AgoR!$6:$6, 0), FALSE),
            0
        ) +
        IFERROR(
            VLOOKUP($A64, INDIRECT("SepR!$A$6:$ZZ$1048576"), MATCH(AL$1, SepR!$6:$6, 0), FALSE),
            0
        ) +
        IFERROR(
            VLOOKUP($A64, INDIRECT("OctR!$A$6:$ZZ$1048576"), MATCH(AL$1, OctR!$6:$6, 0), FALSE),
            0
        ) +
        IFERROR(
            VLOOKUP($A64, INDIRECT("NovR!$A$6:$ZZ$1048576"), MATCH(AL$1, NovR!$6:$6, 0), FALSE),
            0
        ) +
        IFERROR(
            VLOOKUP($A64, INDIRECT("DicR!$A$6:$ZZ$1048576"), MATCH(AL$1, DicR!$6:$6, 0), FALSE),
            0
        )
)</f>
        <v>0</v>
      </c>
      <c r="AM64" s="37">
        <f t="array" ref="AM64">SUM(
    IFERROR(
            VLOOKUP($A64, INDIRECT("EneR!$A$6:$ZZ$1048576"), MATCH(AM$1, EneR!$6:$6, 0), FALSE),
            0
        ) +
        IFERROR(
            VLOOKUP($A64, INDIRECT("FebR!$A$6:$ZZ$1048576"), MATCH(AM$1, FebR!$6:$6, 0), FALSE),
            0
        ) +
        IFERROR(
            VLOOKUP($A64, INDIRECT("MarR!$A$6:$ZZ$1048576"), MATCH(AM$1, MarR!$6:$6, 0), FALSE),
            0
        ) +
        IFERROR(
            VLOOKUP($A64, INDIRECT("AbrR!$A$6:$ZZ$1048576"), MATCH(AM$1, AbrR!$6:$6, 0), FALSE),
            0
        ) +
        IFERROR(
            VLOOKUP($A64, INDIRECT("MayR!$A$6:$ZZ$1048576"), MATCH(AM$1, MayR!$6:$6, 0), FALSE),
            0
        ) +
        IFERROR(
            VLOOKUP($A64, INDIRECT("JunR!$A$6:$ZZ$1048576"), MATCH(AM$1, JunR!$6:$6, 0), FALSE),
            0
        ) +
        IFERROR(
            VLOOKUP($A64, INDIRECT("JulR!$A$6:$ZZ$1048576"), MATCH(AM$1, JulR!$6:$6, 0), FALSE),
            0
        ) +
        IFERROR(
            VLOOKUP($A64, INDIRECT("AgoR!$A$6:$ZZ$1048576"), MATCH(AM$1, AgoR!$6:$6, 0), FALSE),
            0
        ) +
        IFERROR(
            VLOOKUP($A64, INDIRECT("SepR!$A$6:$ZZ$1048576"), MATCH(AM$1, SepR!$6:$6, 0), FALSE),
            0
        ) +
        IFERROR(
            VLOOKUP($A64, INDIRECT("OctR!$A$6:$ZZ$1048576"), MATCH(AM$1, OctR!$6:$6, 0), FALSE),
            0
        ) +
        IFERROR(
            VLOOKUP($A64, INDIRECT("NovR!$A$6:$ZZ$1048576"), MATCH(AM$1, NovR!$6:$6, 0), FALSE),
            0
        ) +
        IFERROR(
            VLOOKUP($A64, INDIRECT("DicR!$A$6:$ZZ$1048576"), MATCH(AM$1, DicR!$6:$6, 0), FALSE),
            0
        )
)</f>
        <v>0</v>
      </c>
      <c r="AN64" s="32">
        <f t="array" ref="AN64">SUM(
    IFERROR(
            VLOOKUP($A64, INDIRECT("EneR!$A$6:$ZZ$1048576"), MATCH(AN$1, EneR!$6:$6, 0), FALSE),
            0
        ) +
        IFERROR(
            VLOOKUP($A64, INDIRECT("FebR!$A$6:$ZZ$1048576"), MATCH(AN$1, FebR!$6:$6, 0), FALSE),
            0
        ) +
        IFERROR(
            VLOOKUP($A64, INDIRECT("MarR!$A$6:$ZZ$1048576"), MATCH(AN$1, MarR!$6:$6, 0), FALSE),
            0
        ) +
        IFERROR(
            VLOOKUP($A64, INDIRECT("AbrR!$A$6:$ZZ$1048576"), MATCH(AN$1, AbrR!$6:$6, 0), FALSE),
            0
        ) +
        IFERROR(
            VLOOKUP($A64, INDIRECT("MayR!$A$6:$ZZ$1048576"), MATCH(AN$1, MayR!$6:$6, 0), FALSE),
            0
        ) +
        IFERROR(
            VLOOKUP($A64, INDIRECT("JunR!$A$6:$ZZ$1048576"), MATCH(AN$1, JunR!$6:$6, 0), FALSE),
            0
        ) +
        IFERROR(
            VLOOKUP($A64, INDIRECT("JulR!$A$6:$ZZ$1048576"), MATCH(AN$1, JulR!$6:$6, 0), FALSE),
            0
        ) +
        IFERROR(
            VLOOKUP($A64, INDIRECT("AgoR!$A$6:$ZZ$1048576"), MATCH(AN$1, AgoR!$6:$6, 0), FALSE),
            0
        ) +
        IFERROR(
            VLOOKUP($A64, INDIRECT("SepR!$A$6:$ZZ$1048576"), MATCH(AN$1, SepR!$6:$6, 0), FALSE),
            0
        ) +
        IFERROR(
            VLOOKUP($A64, INDIRECT("OctR!$A$6:$ZZ$1048576"), MATCH(AN$1, OctR!$6:$6, 0), FALSE),
            0
        ) +
        IFERROR(
            VLOOKUP($A64, INDIRECT("NovR!$A$6:$ZZ$1048576"), MATCH(AN$1, NovR!$6:$6, 0), FALSE),
            0
        ) +
        IFERROR(
            VLOOKUP($A64, INDIRECT("DicR!$A$6:$ZZ$1048576"), MATCH(AN$1, DicR!$6:$6, 0), FALSE),
            0
        )
)</f>
        <v>0</v>
      </c>
      <c r="AO64" s="35">
        <f t="array" ref="AO64">SUM(
    IFERROR(
            VLOOKUP($A64, INDIRECT("EneR!$A$6:$ZZ$1048576"), MATCH(AO$1, EneR!$6:$6, 0), FALSE),
            0
        ) +
        IFERROR(
            VLOOKUP($A64, INDIRECT("FebR!$A$6:$ZZ$1048576"), MATCH(AO$1, FebR!$6:$6, 0), FALSE),
            0
        ) +
        IFERROR(
            VLOOKUP($A64, INDIRECT("MarR!$A$6:$ZZ$1048576"), MATCH(AO$1, MarR!$6:$6, 0), FALSE),
            0
        ) +
        IFERROR(
            VLOOKUP($A64, INDIRECT("AbrR!$A$6:$ZZ$1048576"), MATCH(AO$1, AbrR!$6:$6, 0), FALSE),
            0
        ) +
        IFERROR(
            VLOOKUP($A64, INDIRECT("MayR!$A$6:$ZZ$1048576"), MATCH(AO$1, MayR!$6:$6, 0), FALSE),
            0
        ) +
        IFERROR(
            VLOOKUP($A64, INDIRECT("JunR!$A$6:$ZZ$1048576"), MATCH(AO$1, JunR!$6:$6, 0), FALSE),
            0
        ) +
        IFERROR(
            VLOOKUP($A64, INDIRECT("JulR!$A$6:$ZZ$1048576"), MATCH(AO$1, JulR!$6:$6, 0), FALSE),
            0
        ) +
        IFERROR(
            VLOOKUP($A64, INDIRECT("AgoR!$A$6:$ZZ$1048576"), MATCH(AO$1, AgoR!$6:$6, 0), FALSE),
            0
        ) +
        IFERROR(
            VLOOKUP($A64, INDIRECT("SepR!$A$6:$ZZ$1048576"), MATCH(AO$1, SepR!$6:$6, 0), FALSE),
            0
        ) +
        IFERROR(
            VLOOKUP($A64, INDIRECT("OctR!$A$6:$ZZ$1048576"), MATCH(AO$1, OctR!$6:$6, 0), FALSE),
            0
        ) +
        IFERROR(
            VLOOKUP($A64, INDIRECT("NovR!$A$6:$ZZ$1048576"), MATCH(AO$1, NovR!$6:$6, 0), FALSE),
            0
        ) +
        IFERROR(
            VLOOKUP($A64, INDIRECT("DicR!$A$6:$ZZ$1048576"), MATCH(AO$1, DicR!$6:$6, 0), FALSE),
            0
        )
)</f>
        <v>0</v>
      </c>
      <c r="AP64" s="36">
        <f t="array" ref="AP64">SUM(
    IFERROR(
            VLOOKUP($A64, INDIRECT("EneR!$A$6:$ZZ$1048576"), MATCH(AP$1, EneR!$6:$6, 0), FALSE),
            0
        ) +
        IFERROR(
            VLOOKUP($A64, INDIRECT("FebR!$A$6:$ZZ$1048576"), MATCH(AP$1, FebR!$6:$6, 0), FALSE),
            0
        ) +
        IFERROR(
            VLOOKUP($A64, INDIRECT("MarR!$A$6:$ZZ$1048576"), MATCH(AP$1, MarR!$6:$6, 0), FALSE),
            0
        ) +
        IFERROR(
            VLOOKUP($A64, INDIRECT("AbrR!$A$6:$ZZ$1048576"), MATCH(AP$1, AbrR!$6:$6, 0), FALSE),
            0
        ) +
        IFERROR(
            VLOOKUP($A64, INDIRECT("MayR!$A$6:$ZZ$1048576"), MATCH(AP$1, MayR!$6:$6, 0), FALSE),
            0
        ) +
        IFERROR(
            VLOOKUP($A64, INDIRECT("JunR!$A$6:$ZZ$1048576"), MATCH(AP$1, JunR!$6:$6, 0), FALSE),
            0
        ) +
        IFERROR(
            VLOOKUP($A64, INDIRECT("JulR!$A$6:$ZZ$1048576"), MATCH(AP$1, JulR!$6:$6, 0), FALSE),
            0
        ) +
        IFERROR(
            VLOOKUP($A64, INDIRECT("AgoR!$A$6:$ZZ$1048576"), MATCH(AP$1, AgoR!$6:$6, 0), FALSE),
            0
        ) +
        IFERROR(
            VLOOKUP($A64, INDIRECT("SepR!$A$6:$ZZ$1048576"), MATCH(AP$1, SepR!$6:$6, 0), FALSE),
            0
        ) +
        IFERROR(
            VLOOKUP($A64, INDIRECT("OctR!$A$6:$ZZ$1048576"), MATCH(AP$1, OctR!$6:$6, 0), FALSE),
            0
        ) +
        IFERROR(
            VLOOKUP($A64, INDIRECT("NovR!$A$6:$ZZ$1048576"), MATCH(AP$1, NovR!$6:$6, 0), FALSE),
            0
        ) +
        IFERROR(
            VLOOKUP($A64, INDIRECT("DicR!$A$6:$ZZ$1048576"), MATCH(AP$1, DicR!$6:$6, 0), FALSE),
            0
        )
)</f>
        <v>0</v>
      </c>
      <c r="AQ64" s="35">
        <f t="array" ref="AQ64">SUM(
    IFERROR(
            VLOOKUP($A64, INDIRECT("EneR!$A$6:$ZZ$1048576"), MATCH(AQ$1, EneR!$6:$6, 0), FALSE),
            0
        ) +
        IFERROR(
            VLOOKUP($A64, INDIRECT("FebR!$A$6:$ZZ$1048576"), MATCH(AQ$1, FebR!$6:$6, 0), FALSE),
            0
        ) +
        IFERROR(
            VLOOKUP($A64, INDIRECT("MarR!$A$6:$ZZ$1048576"), MATCH(AQ$1, MarR!$6:$6, 0), FALSE),
            0
        ) +
        IFERROR(
            VLOOKUP($A64, INDIRECT("AbrR!$A$6:$ZZ$1048576"), MATCH(AQ$1, AbrR!$6:$6, 0), FALSE),
            0
        ) +
        IFERROR(
            VLOOKUP($A64, INDIRECT("MayR!$A$6:$ZZ$1048576"), MATCH(AQ$1, MayR!$6:$6, 0), FALSE),
            0
        ) +
        IFERROR(
            VLOOKUP($A64, INDIRECT("JunR!$A$6:$ZZ$1048576"), MATCH(AQ$1, JunR!$6:$6, 0), FALSE),
            0
        ) +
        IFERROR(
            VLOOKUP($A64, INDIRECT("JulR!$A$6:$ZZ$1048576"), MATCH(AQ$1, JulR!$6:$6, 0), FALSE),
            0
        ) +
        IFERROR(
            VLOOKUP($A64, INDIRECT("AgoR!$A$6:$ZZ$1048576"), MATCH(AQ$1, AgoR!$6:$6, 0), FALSE),
            0
        ) +
        IFERROR(
            VLOOKUP($A64, INDIRECT("SepR!$A$6:$ZZ$1048576"), MATCH(AQ$1, SepR!$6:$6, 0), FALSE),
            0
        ) +
        IFERROR(
            VLOOKUP($A64, INDIRECT("OctR!$A$6:$ZZ$1048576"), MATCH(AQ$1, OctR!$6:$6, 0), FALSE),
            0
        ) +
        IFERROR(
            VLOOKUP($A64, INDIRECT("NovR!$A$6:$ZZ$1048576"), MATCH(AQ$1, NovR!$6:$6, 0), FALSE),
            0
        ) +
        IFERROR(
            VLOOKUP($A64, INDIRECT("DicR!$A$6:$ZZ$1048576"), MATCH(AQ$1, DicR!$6:$6, 0), FALSE),
            0
        )
)</f>
        <v>0</v>
      </c>
      <c r="AR64" s="36">
        <f t="array" ref="AR64">SUM(
    IFERROR(
            VLOOKUP($A64, INDIRECT("EneR!$A$6:$ZZ$1048576"), MATCH(AR$1, EneR!$6:$6, 0), FALSE),
            0
        ) +
        IFERROR(
            VLOOKUP($A64, INDIRECT("FebR!$A$6:$ZZ$1048576"), MATCH(AR$1, FebR!$6:$6, 0), FALSE),
            0
        ) +
        IFERROR(
            VLOOKUP($A64, INDIRECT("MarR!$A$6:$ZZ$1048576"), MATCH(AR$1, MarR!$6:$6, 0), FALSE),
            0
        ) +
        IFERROR(
            VLOOKUP($A64, INDIRECT("AbrR!$A$6:$ZZ$1048576"), MATCH(AR$1, AbrR!$6:$6, 0), FALSE),
            0
        ) +
        IFERROR(
            VLOOKUP($A64, INDIRECT("MayR!$A$6:$ZZ$1048576"), MATCH(AR$1, MayR!$6:$6, 0), FALSE),
            0
        ) +
        IFERROR(
            VLOOKUP($A64, INDIRECT("JunR!$A$6:$ZZ$1048576"), MATCH(AR$1, JunR!$6:$6, 0), FALSE),
            0
        ) +
        IFERROR(
            VLOOKUP($A64, INDIRECT("JulR!$A$6:$ZZ$1048576"), MATCH(AR$1, JulR!$6:$6, 0), FALSE),
            0
        ) +
        IFERROR(
            VLOOKUP($A64, INDIRECT("AgoR!$A$6:$ZZ$1048576"), MATCH(AR$1, AgoR!$6:$6, 0), FALSE),
            0
        ) +
        IFERROR(
            VLOOKUP($A64, INDIRECT("SepR!$A$6:$ZZ$1048576"), MATCH(AR$1, SepR!$6:$6, 0), FALSE),
            0
        ) +
        IFERROR(
            VLOOKUP($A64, INDIRECT("OctR!$A$6:$ZZ$1048576"), MATCH(AR$1, OctR!$6:$6, 0), FALSE),
            0
        ) +
        IFERROR(
            VLOOKUP($A64, INDIRECT("NovR!$A$6:$ZZ$1048576"), MATCH(AR$1, NovR!$6:$6, 0), FALSE),
            0
        ) +
        IFERROR(
            VLOOKUP($A64, INDIRECT("DicR!$A$6:$ZZ$1048576"), MATCH(AR$1, DicR!$6:$6, 0), FALSE),
            0
        )
)</f>
        <v>0</v>
      </c>
      <c r="AS64" s="35">
        <f t="array" ref="AS64">SUM(
    IFERROR(
            VLOOKUP($A64, INDIRECT("EneR!$A$6:$ZZ$1048576"), MATCH(AS$1, EneR!$6:$6, 0), FALSE),
            0
        ) +
        IFERROR(
            VLOOKUP($A64, INDIRECT("FebR!$A$6:$ZZ$1048576"), MATCH(AS$1, FebR!$6:$6, 0), FALSE),
            0
        ) +
        IFERROR(
            VLOOKUP($A64, INDIRECT("MarR!$A$6:$ZZ$1048576"), MATCH(AS$1, MarR!$6:$6, 0), FALSE),
            0
        ) +
        IFERROR(
            VLOOKUP($A64, INDIRECT("AbrR!$A$6:$ZZ$1048576"), MATCH(AS$1, AbrR!$6:$6, 0), FALSE),
            0
        ) +
        IFERROR(
            VLOOKUP($A64, INDIRECT("MayR!$A$6:$ZZ$1048576"), MATCH(AS$1, MayR!$6:$6, 0), FALSE),
            0
        ) +
        IFERROR(
            VLOOKUP($A64, INDIRECT("JunR!$A$6:$ZZ$1048576"), MATCH(AS$1, JunR!$6:$6, 0), FALSE),
            0
        ) +
        IFERROR(
            VLOOKUP($A64, INDIRECT("JulR!$A$6:$ZZ$1048576"), MATCH(AS$1, JulR!$6:$6, 0), FALSE),
            0
        ) +
        IFERROR(
            VLOOKUP($A64, INDIRECT("AgoR!$A$6:$ZZ$1048576"), MATCH(AS$1, AgoR!$6:$6, 0), FALSE),
            0
        ) +
        IFERROR(
            VLOOKUP($A64, INDIRECT("SepR!$A$6:$ZZ$1048576"), MATCH(AS$1, SepR!$6:$6, 0), FALSE),
            0
        ) +
        IFERROR(
            VLOOKUP($A64, INDIRECT("OctR!$A$6:$ZZ$1048576"), MATCH(AS$1, OctR!$6:$6, 0), FALSE),
            0
        ) +
        IFERROR(
            VLOOKUP($A64, INDIRECT("NovR!$A$6:$ZZ$1048576"), MATCH(AS$1, NovR!$6:$6, 0), FALSE),
            0
        ) +
        IFERROR(
            VLOOKUP($A64, INDIRECT("DicR!$A$6:$ZZ$1048576"), MATCH(AS$1, DicR!$6:$6, 0), FALSE),
            0
        )
)</f>
        <v>0</v>
      </c>
      <c r="AT64" s="36">
        <f t="array" ref="AT64">SUM(
    IFERROR(
            VLOOKUP($A64, INDIRECT("EneR!$A$6:$ZZ$1048576"), MATCH(AT$1, EneR!$6:$6, 0), FALSE),
            0
        ) +
        IFERROR(
            VLOOKUP($A64, INDIRECT("FebR!$A$6:$ZZ$1048576"), MATCH(AT$1, FebR!$6:$6, 0), FALSE),
            0
        ) +
        IFERROR(
            VLOOKUP($A64, INDIRECT("MarR!$A$6:$ZZ$1048576"), MATCH(AT$1, MarR!$6:$6, 0), FALSE),
            0
        ) +
        IFERROR(
            VLOOKUP($A64, INDIRECT("AbrR!$A$6:$ZZ$1048576"), MATCH(AT$1, AbrR!$6:$6, 0), FALSE),
            0
        ) +
        IFERROR(
            VLOOKUP($A64, INDIRECT("MayR!$A$6:$ZZ$1048576"), MATCH(AT$1, MayR!$6:$6, 0), FALSE),
            0
        ) +
        IFERROR(
            VLOOKUP($A64, INDIRECT("JunR!$A$6:$ZZ$1048576"), MATCH(AT$1, JunR!$6:$6, 0), FALSE),
            0
        ) +
        IFERROR(
            VLOOKUP($A64, INDIRECT("JulR!$A$6:$ZZ$1048576"), MATCH(AT$1, JulR!$6:$6, 0), FALSE),
            0
        ) +
        IFERROR(
            VLOOKUP($A64, INDIRECT("AgoR!$A$6:$ZZ$1048576"), MATCH(AT$1, AgoR!$6:$6, 0), FALSE),
            0
        ) +
        IFERROR(
            VLOOKUP($A64, INDIRECT("SepR!$A$6:$ZZ$1048576"), MATCH(AT$1, SepR!$6:$6, 0), FALSE),
            0
        ) +
        IFERROR(
            VLOOKUP($A64, INDIRECT("OctR!$A$6:$ZZ$1048576"), MATCH(AT$1, OctR!$6:$6, 0), FALSE),
            0
        ) +
        IFERROR(
            VLOOKUP($A64, INDIRECT("NovR!$A$6:$ZZ$1048576"), MATCH(AT$1, NovR!$6:$6, 0), FALSE),
            0
        ) +
        IFERROR(
            VLOOKUP($A64, INDIRECT("DicR!$A$6:$ZZ$1048576"), MATCH(AT$1, DicR!$6:$6, 0), FALSE),
            0
        )
)</f>
        <v>0</v>
      </c>
      <c r="AU64" s="35">
        <f t="array" ref="AU64">SUM(
    IFERROR(
            VLOOKUP($A64, INDIRECT("EneR!$A$6:$ZZ$1048576"), MATCH(AU$1, EneR!$6:$6, 0), FALSE),
            0
        ) +
        IFERROR(
            VLOOKUP($A64, INDIRECT("FebR!$A$6:$ZZ$1048576"), MATCH(AU$1, FebR!$6:$6, 0), FALSE),
            0
        ) +
        IFERROR(
            VLOOKUP($A64, INDIRECT("MarR!$A$6:$ZZ$1048576"), MATCH(AU$1, MarR!$6:$6, 0), FALSE),
            0
        ) +
        IFERROR(
            VLOOKUP($A64, INDIRECT("AbrR!$A$6:$ZZ$1048576"), MATCH(AU$1, AbrR!$6:$6, 0), FALSE),
            0
        ) +
        IFERROR(
            VLOOKUP($A64, INDIRECT("MayR!$A$6:$ZZ$1048576"), MATCH(AU$1, MayR!$6:$6, 0), FALSE),
            0
        ) +
        IFERROR(
            VLOOKUP($A64, INDIRECT("JunR!$A$6:$ZZ$1048576"), MATCH(AU$1, JunR!$6:$6, 0), FALSE),
            0
        ) +
        IFERROR(
            VLOOKUP($A64, INDIRECT("JulR!$A$6:$ZZ$1048576"), MATCH(AU$1, JulR!$6:$6, 0), FALSE),
            0
        ) +
        IFERROR(
            VLOOKUP($A64, INDIRECT("AgoR!$A$6:$ZZ$1048576"), MATCH(AU$1, AgoR!$6:$6, 0), FALSE),
            0
        ) +
        IFERROR(
            VLOOKUP($A64, INDIRECT("SepR!$A$6:$ZZ$1048576"), MATCH(AU$1, SepR!$6:$6, 0), FALSE),
            0
        ) +
        IFERROR(
            VLOOKUP($A64, INDIRECT("OctR!$A$6:$ZZ$1048576"), MATCH(AU$1, OctR!$6:$6, 0), FALSE),
            0
        ) +
        IFERROR(
            VLOOKUP($A64, INDIRECT("NovR!$A$6:$ZZ$1048576"), MATCH(AU$1, NovR!$6:$6, 0), FALSE),
            0
        ) +
        IFERROR(
            VLOOKUP($A64, INDIRECT("DicR!$A$6:$ZZ$1048576"), MATCH(AU$1, DicR!$6:$6, 0), FALSE),
            0
        )
)</f>
        <v>0</v>
      </c>
      <c r="AV64" s="36">
        <f t="array" ref="AV64">SUM(
    IFERROR(
            VLOOKUP($A64, INDIRECT("EneR!$A$6:$ZZ$1048576"), MATCH(AV$1, EneR!$6:$6, 0), FALSE),
            0
        ) +
        IFERROR(
            VLOOKUP($A64, INDIRECT("FebR!$A$6:$ZZ$1048576"), MATCH(AV$1, FebR!$6:$6, 0), FALSE),
            0
        ) +
        IFERROR(
            VLOOKUP($A64, INDIRECT("MarR!$A$6:$ZZ$1048576"), MATCH(AV$1, MarR!$6:$6, 0), FALSE),
            0
        ) +
        IFERROR(
            VLOOKUP($A64, INDIRECT("AbrR!$A$6:$ZZ$1048576"), MATCH(AV$1, AbrR!$6:$6, 0), FALSE),
            0
        ) +
        IFERROR(
            VLOOKUP($A64, INDIRECT("MayR!$A$6:$ZZ$1048576"), MATCH(AV$1, MayR!$6:$6, 0), FALSE),
            0
        ) +
        IFERROR(
            VLOOKUP($A64, INDIRECT("JunR!$A$6:$ZZ$1048576"), MATCH(AV$1, JunR!$6:$6, 0), FALSE),
            0
        ) +
        IFERROR(
            VLOOKUP($A64, INDIRECT("JulR!$A$6:$ZZ$1048576"), MATCH(AV$1, JulR!$6:$6, 0), FALSE),
            0
        ) +
        IFERROR(
            VLOOKUP($A64, INDIRECT("AgoR!$A$6:$ZZ$1048576"), MATCH(AV$1, AgoR!$6:$6, 0), FALSE),
            0
        ) +
        IFERROR(
            VLOOKUP($A64, INDIRECT("SepR!$A$6:$ZZ$1048576"), MATCH(AV$1, SepR!$6:$6, 0), FALSE),
            0
        ) +
        IFERROR(
            VLOOKUP($A64, INDIRECT("OctR!$A$6:$ZZ$1048576"), MATCH(AV$1, OctR!$6:$6, 0), FALSE),
            0
        ) +
        IFERROR(
            VLOOKUP($A64, INDIRECT("NovR!$A$6:$ZZ$1048576"), MATCH(AV$1, NovR!$6:$6, 0), FALSE),
            0
        ) +
        IFERROR(
            VLOOKUP($A64, INDIRECT("DicR!$A$6:$ZZ$1048576"), MATCH(AV$1, DicR!$6:$6, 0), FALSE),
            0
        )
)</f>
        <v>0</v>
      </c>
      <c r="AW64" s="35">
        <f t="array" ref="AW64">SUM(
    IFERROR(
            VLOOKUP($A64, INDIRECT("EneR!$A$6:$ZZ$1048576"), MATCH(AW$1, EneR!$6:$6, 0), FALSE),
            0
        ) +
        IFERROR(
            VLOOKUP($A64, INDIRECT("FebR!$A$6:$ZZ$1048576"), MATCH(AW$1, FebR!$6:$6, 0), FALSE),
            0
        ) +
        IFERROR(
            VLOOKUP($A64, INDIRECT("MarR!$A$6:$ZZ$1048576"), MATCH(AW$1, MarR!$6:$6, 0), FALSE),
            0
        ) +
        IFERROR(
            VLOOKUP($A64, INDIRECT("AbrR!$A$6:$ZZ$1048576"), MATCH(AW$1, AbrR!$6:$6, 0), FALSE),
            0
        ) +
        IFERROR(
            VLOOKUP($A64, INDIRECT("MayR!$A$6:$ZZ$1048576"), MATCH(AW$1, MayR!$6:$6, 0), FALSE),
            0
        ) +
        IFERROR(
            VLOOKUP($A64, INDIRECT("JunR!$A$6:$ZZ$1048576"), MATCH(AW$1, JunR!$6:$6, 0), FALSE),
            0
        ) +
        IFERROR(
            VLOOKUP($A64, INDIRECT("JulR!$A$6:$ZZ$1048576"), MATCH(AW$1, JulR!$6:$6, 0), FALSE),
            0
        ) +
        IFERROR(
            VLOOKUP($A64, INDIRECT("AgoR!$A$6:$ZZ$1048576"), MATCH(AW$1, AgoR!$6:$6, 0), FALSE),
            0
        ) +
        IFERROR(
            VLOOKUP($A64, INDIRECT("SepR!$A$6:$ZZ$1048576"), MATCH(AW$1, SepR!$6:$6, 0), FALSE),
            0
        ) +
        IFERROR(
            VLOOKUP($A64, INDIRECT("OctR!$A$6:$ZZ$1048576"), MATCH(AW$1, OctR!$6:$6, 0), FALSE),
            0
        ) +
        IFERROR(
            VLOOKUP($A64, INDIRECT("NovR!$A$6:$ZZ$1048576"), MATCH(AW$1, NovR!$6:$6, 0), FALSE),
            0
        ) +
        IFERROR(
            VLOOKUP($A64, INDIRECT("DicR!$A$6:$ZZ$1048576"), MATCH(AW$1, DicR!$6:$6, 0), FALSE),
            0
        )
)</f>
        <v>0</v>
      </c>
      <c r="AX64" s="36">
        <f t="array" ref="AX64">SUM(
    IFERROR(
            VLOOKUP($A64, INDIRECT("EneR!$A$6:$ZZ$1048576"), MATCH(AX$1, EneR!$6:$6, 0), FALSE),
            0
        ) +
        IFERROR(
            VLOOKUP($A64, INDIRECT("FebR!$A$6:$ZZ$1048576"), MATCH(AX$1, FebR!$6:$6, 0), FALSE),
            0
        ) +
        IFERROR(
            VLOOKUP($A64, INDIRECT("MarR!$A$6:$ZZ$1048576"), MATCH(AX$1, MarR!$6:$6, 0), FALSE),
            0
        ) +
        IFERROR(
            VLOOKUP($A64, INDIRECT("AbrR!$A$6:$ZZ$1048576"), MATCH(AX$1, AbrR!$6:$6, 0), FALSE),
            0
        ) +
        IFERROR(
            VLOOKUP($A64, INDIRECT("MayR!$A$6:$ZZ$1048576"), MATCH(AX$1, MayR!$6:$6, 0), FALSE),
            0
        ) +
        IFERROR(
            VLOOKUP($A64, INDIRECT("JunR!$A$6:$ZZ$1048576"), MATCH(AX$1, JunR!$6:$6, 0), FALSE),
            0
        ) +
        IFERROR(
            VLOOKUP($A64, INDIRECT("JulR!$A$6:$ZZ$1048576"), MATCH(AX$1, JulR!$6:$6, 0), FALSE),
            0
        ) +
        IFERROR(
            VLOOKUP($A64, INDIRECT("AgoR!$A$6:$ZZ$1048576"), MATCH(AX$1, AgoR!$6:$6, 0), FALSE),
            0
        ) +
        IFERROR(
            VLOOKUP($A64, INDIRECT("SepR!$A$6:$ZZ$1048576"), MATCH(AX$1, SepR!$6:$6, 0), FALSE),
            0
        ) +
        IFERROR(
            VLOOKUP($A64, INDIRECT("OctR!$A$6:$ZZ$1048576"), MATCH(AX$1, OctR!$6:$6, 0), FALSE),
            0
        ) +
        IFERROR(
            VLOOKUP($A64, INDIRECT("NovR!$A$6:$ZZ$1048576"), MATCH(AX$1, NovR!$6:$6, 0), FALSE),
            0
        ) +
        IFERROR(
            VLOOKUP($A64, INDIRECT("DicR!$A$6:$ZZ$1048576"), MATCH(AX$1, DicR!$6:$6, 0), FALSE),
            0
        )
)</f>
        <v>0</v>
      </c>
      <c r="AY64" s="35">
        <f t="array" ref="AY64">SUM(
    IFERROR(
            VLOOKUP($A64, INDIRECT("EneR!$A$6:$ZZ$1048576"), MATCH(AY$1, EneR!$6:$6, 0), FALSE),
            0
        ) +
        IFERROR(
            VLOOKUP($A64, INDIRECT("FebR!$A$6:$ZZ$1048576"), MATCH(AY$1, FebR!$6:$6, 0), FALSE),
            0
        ) +
        IFERROR(
            VLOOKUP($A64, INDIRECT("MarR!$A$6:$ZZ$1048576"), MATCH(AY$1, MarR!$6:$6, 0), FALSE),
            0
        ) +
        IFERROR(
            VLOOKUP($A64, INDIRECT("AbrR!$A$6:$ZZ$1048576"), MATCH(AY$1, AbrR!$6:$6, 0), FALSE),
            0
        ) +
        IFERROR(
            VLOOKUP($A64, INDIRECT("MayR!$A$6:$ZZ$1048576"), MATCH(AY$1, MayR!$6:$6, 0), FALSE),
            0
        ) +
        IFERROR(
            VLOOKUP($A64, INDIRECT("JunR!$A$6:$ZZ$1048576"), MATCH(AY$1, JunR!$6:$6, 0), FALSE),
            0
        ) +
        IFERROR(
            VLOOKUP($A64, INDIRECT("JulR!$A$6:$ZZ$1048576"), MATCH(AY$1, JulR!$6:$6, 0), FALSE),
            0
        ) +
        IFERROR(
            VLOOKUP($A64, INDIRECT("AgoR!$A$6:$ZZ$1048576"), MATCH(AY$1, AgoR!$6:$6, 0), FALSE),
            0
        ) +
        IFERROR(
            VLOOKUP($A64, INDIRECT("SepR!$A$6:$ZZ$1048576"), MATCH(AY$1, SepR!$6:$6, 0), FALSE),
            0
        ) +
        IFERROR(
            VLOOKUP($A64, INDIRECT("OctR!$A$6:$ZZ$1048576"), MATCH(AY$1, OctR!$6:$6, 0), FALSE),
            0
        ) +
        IFERROR(
            VLOOKUP($A64, INDIRECT("NovR!$A$6:$ZZ$1048576"), MATCH(AY$1, NovR!$6:$6, 0), FALSE),
            0
        ) +
        IFERROR(
            VLOOKUP($A64, INDIRECT("DicR!$A$6:$ZZ$1048576"), MATCH(AY$1, DicR!$6:$6, 0), FALSE),
            0
        )
)</f>
        <v>0</v>
      </c>
      <c r="AZ64" s="35"/>
    </row>
    <row r="65" ht="15.75" customHeight="1">
      <c r="A65" s="12" t="str">
        <f>Menus!B26</f>
        <v/>
      </c>
      <c r="B65" s="32">
        <f t="shared" si="9"/>
        <v>0</v>
      </c>
      <c r="C65" s="33" t="str">
        <f t="shared" si="10"/>
        <v/>
      </c>
      <c r="D65" s="34">
        <f t="array" ref="D65">SUM(
    IFERROR(
            VLOOKUP($A65, INDIRECT("EneR!$A$6:$ZZ$1048576"), MATCH(D$1, EneR!$6:$6, 0), FALSE),
            0
        ) +
        IFERROR(
            VLOOKUP($A65, INDIRECT("FebR!$A$6:$ZZ$1048576"), MATCH(D$1, FebR!$6:$6, 0), FALSE),
            0
        ) +
        IFERROR(
            VLOOKUP($A65, INDIRECT("MarR!$A$6:$ZZ$1048576"), MATCH(D$1, MarR!$6:$6, 0), FALSE),
            0
        ) +
        IFERROR(
            VLOOKUP($A65, INDIRECT("AbrR!$A$6:$ZZ$1048576"), MATCH(D$1, AbrR!$6:$6, 0), FALSE),
            0
        ) +
        IFERROR(
            VLOOKUP($A65, INDIRECT("MayR!$A$6:$ZZ$1048576"), MATCH(D$1, MayR!$6:$6, 0), FALSE),
            0
        ) +
        IFERROR(
            VLOOKUP($A65, INDIRECT("JunR!$A$6:$ZZ$1048576"), MATCH(D$1, JunR!$6:$6, 0), FALSE),
            0
        ) +
        IFERROR(
            VLOOKUP($A65, INDIRECT("JulR!$A$6:$ZZ$1048576"), MATCH(D$1, JulR!$6:$6, 0), FALSE),
            0
        ) +
        IFERROR(
            VLOOKUP($A65, INDIRECT("AgoR!$A$6:$ZZ$1048576"), MATCH(D$1, AgoR!$6:$6, 0), FALSE),
            0
        ) +
        IFERROR(
            VLOOKUP($A65, INDIRECT("SepR!$A$6:$ZZ$1048576"), MATCH(D$1, SepR!$6:$6, 0), FALSE),
            0
        ) +
        IFERROR(
            VLOOKUP($A65, INDIRECT("OctR!$A$6:$ZZ$1048576"), MATCH(D$1, OctR!$6:$6, 0), FALSE),
            0
        ) +
        IFERROR(
            VLOOKUP($A65, INDIRECT("NovR!$A$6:$ZZ$1048576"), MATCH(D$1, NovR!$6:$6, 0), FALSE),
            0
        ) +
        IFERROR(
            VLOOKUP($A65, INDIRECT("DicR!$A$6:$ZZ$1048576"), MATCH(D$1, DicR!$6:$6, 0), FALSE),
            0
        )
)</f>
        <v>0</v>
      </c>
      <c r="E65" s="35">
        <f t="array" ref="E65">SUM(
    IFERROR(
            VLOOKUP($A65, INDIRECT("EneR!$A$6:$ZZ$1048576"), MATCH(E$1, EneR!$6:$6, 0), FALSE),
            0
        ) +
        IFERROR(
            VLOOKUP($A65, INDIRECT("FebR!$A$6:$ZZ$1048576"), MATCH(E$1, FebR!$6:$6, 0), FALSE),
            0
        ) +
        IFERROR(
            VLOOKUP($A65, INDIRECT("MarR!$A$6:$ZZ$1048576"), MATCH(E$1, MarR!$6:$6, 0), FALSE),
            0
        ) +
        IFERROR(
            VLOOKUP($A65, INDIRECT("AbrR!$A$6:$ZZ$1048576"), MATCH(E$1, AbrR!$6:$6, 0), FALSE),
            0
        ) +
        IFERROR(
            VLOOKUP($A65, INDIRECT("MayR!$A$6:$ZZ$1048576"), MATCH(E$1, MayR!$6:$6, 0), FALSE),
            0
        ) +
        IFERROR(
            VLOOKUP($A65, INDIRECT("JunR!$A$6:$ZZ$1048576"), MATCH(E$1, JunR!$6:$6, 0), FALSE),
            0
        ) +
        IFERROR(
            VLOOKUP($A65, INDIRECT("JulR!$A$6:$ZZ$1048576"), MATCH(E$1, JulR!$6:$6, 0), FALSE),
            0
        ) +
        IFERROR(
            VLOOKUP($A65, INDIRECT("AgoR!$A$6:$ZZ$1048576"), MATCH(E$1, AgoR!$6:$6, 0), FALSE),
            0
        ) +
        IFERROR(
            VLOOKUP($A65, INDIRECT("SepR!$A$6:$ZZ$1048576"), MATCH(E$1, SepR!$6:$6, 0), FALSE),
            0
        ) +
        IFERROR(
            VLOOKUP($A65, INDIRECT("OctR!$A$6:$ZZ$1048576"), MATCH(E$1, OctR!$6:$6, 0), FALSE),
            0
        ) +
        IFERROR(
            VLOOKUP($A65, INDIRECT("NovR!$A$6:$ZZ$1048576"), MATCH(E$1, NovR!$6:$6, 0), FALSE),
            0
        ) +
        IFERROR(
            VLOOKUP($A65, INDIRECT("DicR!$A$6:$ZZ$1048576"), MATCH(E$1, DicR!$6:$6, 0), FALSE),
            0
        )
)</f>
        <v>0</v>
      </c>
      <c r="F65" s="32">
        <f t="array" ref="F65">SUM(
    IFERROR(
            VLOOKUP($A65, INDIRECT("EneR!$A$6:$ZZ$1048576"), MATCH(F$1, EneR!$6:$6, 0), FALSE),
            0
        ) +
        IFERROR(
            VLOOKUP($A65, INDIRECT("FebR!$A$6:$ZZ$1048576"), MATCH(F$1, FebR!$6:$6, 0), FALSE),
            0
        ) +
        IFERROR(
            VLOOKUP($A65, INDIRECT("MarR!$A$6:$ZZ$1048576"), MATCH(F$1, MarR!$6:$6, 0), FALSE),
            0
        ) +
        IFERROR(
            VLOOKUP($A65, INDIRECT("AbrR!$A$6:$ZZ$1048576"), MATCH(F$1, AbrR!$6:$6, 0), FALSE),
            0
        ) +
        IFERROR(
            VLOOKUP($A65, INDIRECT("MayR!$A$6:$ZZ$1048576"), MATCH(F$1, MayR!$6:$6, 0), FALSE),
            0
        ) +
        IFERROR(
            VLOOKUP($A65, INDIRECT("JunR!$A$6:$ZZ$1048576"), MATCH(F$1, JunR!$6:$6, 0), FALSE),
            0
        ) +
        IFERROR(
            VLOOKUP($A65, INDIRECT("JulR!$A$6:$ZZ$1048576"), MATCH(F$1, JulR!$6:$6, 0), FALSE),
            0
        ) +
        IFERROR(
            VLOOKUP($A65, INDIRECT("AgoR!$A$6:$ZZ$1048576"), MATCH(F$1, AgoR!$6:$6, 0), FALSE),
            0
        ) +
        IFERROR(
            VLOOKUP($A65, INDIRECT("SepR!$A$6:$ZZ$1048576"), MATCH(F$1, SepR!$6:$6, 0), FALSE),
            0
        ) +
        IFERROR(
            VLOOKUP($A65, INDIRECT("OctR!$A$6:$ZZ$1048576"), MATCH(F$1, OctR!$6:$6, 0), FALSE),
            0
        ) +
        IFERROR(
            VLOOKUP($A65, INDIRECT("NovR!$A$6:$ZZ$1048576"), MATCH(F$1, NovR!$6:$6, 0), FALSE),
            0
        ) +
        IFERROR(
            VLOOKUP($A65, INDIRECT("DicR!$A$6:$ZZ$1048576"), MATCH(F$1, DicR!$6:$6, 0), FALSE),
            0
        )
)</f>
        <v>0</v>
      </c>
      <c r="G65" s="35">
        <f t="array" ref="G65">SUM(
    IFERROR(
            VLOOKUP($A65, INDIRECT("EneR!$A$6:$ZZ$1048576"), MATCH(G$1, EneR!$6:$6, 0), FALSE),
            0
        ) +
        IFERROR(
            VLOOKUP($A65, INDIRECT("FebR!$A$6:$ZZ$1048576"), MATCH(G$1, FebR!$6:$6, 0), FALSE),
            0
        ) +
        IFERROR(
            VLOOKUP($A65, INDIRECT("MarR!$A$6:$ZZ$1048576"), MATCH(G$1, MarR!$6:$6, 0), FALSE),
            0
        ) +
        IFERROR(
            VLOOKUP($A65, INDIRECT("AbrR!$A$6:$ZZ$1048576"), MATCH(G$1, AbrR!$6:$6, 0), FALSE),
            0
        ) +
        IFERROR(
            VLOOKUP($A65, INDIRECT("MayR!$A$6:$ZZ$1048576"), MATCH(G$1, MayR!$6:$6, 0), FALSE),
            0
        ) +
        IFERROR(
            VLOOKUP($A65, INDIRECT("JunR!$A$6:$ZZ$1048576"), MATCH(G$1, JunR!$6:$6, 0), FALSE),
            0
        ) +
        IFERROR(
            VLOOKUP($A65, INDIRECT("JulR!$A$6:$ZZ$1048576"), MATCH(G$1, JulR!$6:$6, 0), FALSE),
            0
        ) +
        IFERROR(
            VLOOKUP($A65, INDIRECT("AgoR!$A$6:$ZZ$1048576"), MATCH(G$1, AgoR!$6:$6, 0), FALSE),
            0
        ) +
        IFERROR(
            VLOOKUP($A65, INDIRECT("SepR!$A$6:$ZZ$1048576"), MATCH(G$1, SepR!$6:$6, 0), FALSE),
            0
        ) +
        IFERROR(
            VLOOKUP($A65, INDIRECT("OctR!$A$6:$ZZ$1048576"), MATCH(G$1, OctR!$6:$6, 0), FALSE),
            0
        ) +
        IFERROR(
            VLOOKUP($A65, INDIRECT("NovR!$A$6:$ZZ$1048576"), MATCH(G$1, NovR!$6:$6, 0), FALSE),
            0
        ) +
        IFERROR(
            VLOOKUP($A65, INDIRECT("DicR!$A$6:$ZZ$1048576"), MATCH(G$1, DicR!$6:$6, 0), FALSE),
            0
        )
)</f>
        <v>0</v>
      </c>
      <c r="H65" s="32">
        <f t="array" ref="H65">SUM(
    IFERROR(
            VLOOKUP($A65, INDIRECT("EneR!$A$6:$ZZ$1048576"), MATCH(H$1, EneR!$6:$6, 0), FALSE),
            0
        ) +
        IFERROR(
            VLOOKUP($A65, INDIRECT("FebR!$A$6:$ZZ$1048576"), MATCH(H$1, FebR!$6:$6, 0), FALSE),
            0
        ) +
        IFERROR(
            VLOOKUP($A65, INDIRECT("MarR!$A$6:$ZZ$1048576"), MATCH(H$1, MarR!$6:$6, 0), FALSE),
            0
        ) +
        IFERROR(
            VLOOKUP($A65, INDIRECT("AbrR!$A$6:$ZZ$1048576"), MATCH(H$1, AbrR!$6:$6, 0), FALSE),
            0
        ) +
        IFERROR(
            VLOOKUP($A65, INDIRECT("MayR!$A$6:$ZZ$1048576"), MATCH(H$1, MayR!$6:$6, 0), FALSE),
            0
        ) +
        IFERROR(
            VLOOKUP($A65, INDIRECT("JunR!$A$6:$ZZ$1048576"), MATCH(H$1, JunR!$6:$6, 0), FALSE),
            0
        ) +
        IFERROR(
            VLOOKUP($A65, INDIRECT("JulR!$A$6:$ZZ$1048576"), MATCH(H$1, JulR!$6:$6, 0), FALSE),
            0
        ) +
        IFERROR(
            VLOOKUP($A65, INDIRECT("AgoR!$A$6:$ZZ$1048576"), MATCH(H$1, AgoR!$6:$6, 0), FALSE),
            0
        ) +
        IFERROR(
            VLOOKUP($A65, INDIRECT("SepR!$A$6:$ZZ$1048576"), MATCH(H$1, SepR!$6:$6, 0), FALSE),
            0
        ) +
        IFERROR(
            VLOOKUP($A65, INDIRECT("OctR!$A$6:$ZZ$1048576"), MATCH(H$1, OctR!$6:$6, 0), FALSE),
            0
        ) +
        IFERROR(
            VLOOKUP($A65, INDIRECT("NovR!$A$6:$ZZ$1048576"), MATCH(H$1, NovR!$6:$6, 0), FALSE),
            0
        ) +
        IFERROR(
            VLOOKUP($A65, INDIRECT("DicR!$A$6:$ZZ$1048576"), MATCH(H$1, DicR!$6:$6, 0), FALSE),
            0
        )
)</f>
        <v>0</v>
      </c>
      <c r="I65" s="35">
        <f t="array" ref="I65">SUM(
    IFERROR(
            VLOOKUP($A65, INDIRECT("EneR!$A$6:$ZZ$1048576"), MATCH(I$1, EneR!$6:$6, 0), FALSE),
            0
        ) +
        IFERROR(
            VLOOKUP($A65, INDIRECT("FebR!$A$6:$ZZ$1048576"), MATCH(I$1, FebR!$6:$6, 0), FALSE),
            0
        ) +
        IFERROR(
            VLOOKUP($A65, INDIRECT("MarR!$A$6:$ZZ$1048576"), MATCH(I$1, MarR!$6:$6, 0), FALSE),
            0
        ) +
        IFERROR(
            VLOOKUP($A65, INDIRECT("AbrR!$A$6:$ZZ$1048576"), MATCH(I$1, AbrR!$6:$6, 0), FALSE),
            0
        ) +
        IFERROR(
            VLOOKUP($A65, INDIRECT("MayR!$A$6:$ZZ$1048576"), MATCH(I$1, MayR!$6:$6, 0), FALSE),
            0
        ) +
        IFERROR(
            VLOOKUP($A65, INDIRECT("JunR!$A$6:$ZZ$1048576"), MATCH(I$1, JunR!$6:$6, 0), FALSE),
            0
        ) +
        IFERROR(
            VLOOKUP($A65, INDIRECT("JulR!$A$6:$ZZ$1048576"), MATCH(I$1, JulR!$6:$6, 0), FALSE),
            0
        ) +
        IFERROR(
            VLOOKUP($A65, INDIRECT("AgoR!$A$6:$ZZ$1048576"), MATCH(I$1, AgoR!$6:$6, 0), FALSE),
            0
        ) +
        IFERROR(
            VLOOKUP($A65, INDIRECT("SepR!$A$6:$ZZ$1048576"), MATCH(I$1, SepR!$6:$6, 0), FALSE),
            0
        ) +
        IFERROR(
            VLOOKUP($A65, INDIRECT("OctR!$A$6:$ZZ$1048576"), MATCH(I$1, OctR!$6:$6, 0), FALSE),
            0
        ) +
        IFERROR(
            VLOOKUP($A65, INDIRECT("NovR!$A$6:$ZZ$1048576"), MATCH(I$1, NovR!$6:$6, 0), FALSE),
            0
        ) +
        IFERROR(
            VLOOKUP($A65, INDIRECT("DicR!$A$6:$ZZ$1048576"), MATCH(I$1, DicR!$6:$6, 0), FALSE),
            0
        )
)</f>
        <v>0</v>
      </c>
      <c r="J65" s="32">
        <f t="array" ref="J65">SUM(
    IFERROR(
            VLOOKUP($A65, INDIRECT("EneR!$A$6:$ZZ$1048576"), MATCH(J$1, EneR!$6:$6, 0), FALSE),
            0
        ) +
        IFERROR(
            VLOOKUP($A65, INDIRECT("FebR!$A$6:$ZZ$1048576"), MATCH(J$1, FebR!$6:$6, 0), FALSE),
            0
        ) +
        IFERROR(
            VLOOKUP($A65, INDIRECT("MarR!$A$6:$ZZ$1048576"), MATCH(J$1, MarR!$6:$6, 0), FALSE),
            0
        ) +
        IFERROR(
            VLOOKUP($A65, INDIRECT("AbrR!$A$6:$ZZ$1048576"), MATCH(J$1, AbrR!$6:$6, 0), FALSE),
            0
        ) +
        IFERROR(
            VLOOKUP($A65, INDIRECT("MayR!$A$6:$ZZ$1048576"), MATCH(J$1, MayR!$6:$6, 0), FALSE),
            0
        ) +
        IFERROR(
            VLOOKUP($A65, INDIRECT("JunR!$A$6:$ZZ$1048576"), MATCH(J$1, JunR!$6:$6, 0), FALSE),
            0
        ) +
        IFERROR(
            VLOOKUP($A65, INDIRECT("JulR!$A$6:$ZZ$1048576"), MATCH(J$1, JulR!$6:$6, 0), FALSE),
            0
        ) +
        IFERROR(
            VLOOKUP($A65, INDIRECT("AgoR!$A$6:$ZZ$1048576"), MATCH(J$1, AgoR!$6:$6, 0), FALSE),
            0
        ) +
        IFERROR(
            VLOOKUP($A65, INDIRECT("SepR!$A$6:$ZZ$1048576"), MATCH(J$1, SepR!$6:$6, 0), FALSE),
            0
        ) +
        IFERROR(
            VLOOKUP($A65, INDIRECT("OctR!$A$6:$ZZ$1048576"), MATCH(J$1, OctR!$6:$6, 0), FALSE),
            0
        ) +
        IFERROR(
            VLOOKUP($A65, INDIRECT("NovR!$A$6:$ZZ$1048576"), MATCH(J$1, NovR!$6:$6, 0), FALSE),
            0
        ) +
        IFERROR(
            VLOOKUP($A65, INDIRECT("DicR!$A$6:$ZZ$1048576"), MATCH(J$1, DicR!$6:$6, 0), FALSE),
            0
        )
)</f>
        <v>0</v>
      </c>
      <c r="K65" s="35">
        <f t="array" ref="K65">SUM(
    IFERROR(
            VLOOKUP($A65, INDIRECT("EneR!$A$6:$ZZ$1048576"), MATCH(K$1, EneR!$6:$6, 0), FALSE),
            0
        ) +
        IFERROR(
            VLOOKUP($A65, INDIRECT("FebR!$A$6:$ZZ$1048576"), MATCH(K$1, FebR!$6:$6, 0), FALSE),
            0
        ) +
        IFERROR(
            VLOOKUP($A65, INDIRECT("MarR!$A$6:$ZZ$1048576"), MATCH(K$1, MarR!$6:$6, 0), FALSE),
            0
        ) +
        IFERROR(
            VLOOKUP($A65, INDIRECT("AbrR!$A$6:$ZZ$1048576"), MATCH(K$1, AbrR!$6:$6, 0), FALSE),
            0
        ) +
        IFERROR(
            VLOOKUP($A65, INDIRECT("MayR!$A$6:$ZZ$1048576"), MATCH(K$1, MayR!$6:$6, 0), FALSE),
            0
        ) +
        IFERROR(
            VLOOKUP($A65, INDIRECT("JunR!$A$6:$ZZ$1048576"), MATCH(K$1, JunR!$6:$6, 0), FALSE),
            0
        ) +
        IFERROR(
            VLOOKUP($A65, INDIRECT("JulR!$A$6:$ZZ$1048576"), MATCH(K$1, JulR!$6:$6, 0), FALSE),
            0
        ) +
        IFERROR(
            VLOOKUP($A65, INDIRECT("AgoR!$A$6:$ZZ$1048576"), MATCH(K$1, AgoR!$6:$6, 0), FALSE),
            0
        ) +
        IFERROR(
            VLOOKUP($A65, INDIRECT("SepR!$A$6:$ZZ$1048576"), MATCH(K$1, SepR!$6:$6, 0), FALSE),
            0
        ) +
        IFERROR(
            VLOOKUP($A65, INDIRECT("OctR!$A$6:$ZZ$1048576"), MATCH(K$1, OctR!$6:$6, 0), FALSE),
            0
        ) +
        IFERROR(
            VLOOKUP($A65, INDIRECT("NovR!$A$6:$ZZ$1048576"), MATCH(K$1, NovR!$6:$6, 0), FALSE),
            0
        ) +
        IFERROR(
            VLOOKUP($A65, INDIRECT("DicR!$A$6:$ZZ$1048576"), MATCH(K$1, DicR!$6:$6, 0), FALSE),
            0
        )
)</f>
        <v>0</v>
      </c>
      <c r="L65" s="32">
        <f t="array" ref="L65">SUM(
    IFERROR(
            VLOOKUP($A65, INDIRECT("EneR!$A$6:$ZZ$1048576"), MATCH(L$1, EneR!$6:$6, 0), FALSE),
            0
        ) +
        IFERROR(
            VLOOKUP($A65, INDIRECT("FebR!$A$6:$ZZ$1048576"), MATCH(L$1, FebR!$6:$6, 0), FALSE),
            0
        ) +
        IFERROR(
            VLOOKUP($A65, INDIRECT("MarR!$A$6:$ZZ$1048576"), MATCH(L$1, MarR!$6:$6, 0), FALSE),
            0
        ) +
        IFERROR(
            VLOOKUP($A65, INDIRECT("AbrR!$A$6:$ZZ$1048576"), MATCH(L$1, AbrR!$6:$6, 0), FALSE),
            0
        ) +
        IFERROR(
            VLOOKUP($A65, INDIRECT("MayR!$A$6:$ZZ$1048576"), MATCH(L$1, MayR!$6:$6, 0), FALSE),
            0
        ) +
        IFERROR(
            VLOOKUP($A65, INDIRECT("JunR!$A$6:$ZZ$1048576"), MATCH(L$1, JunR!$6:$6, 0), FALSE),
            0
        ) +
        IFERROR(
            VLOOKUP($A65, INDIRECT("JulR!$A$6:$ZZ$1048576"), MATCH(L$1, JulR!$6:$6, 0), FALSE),
            0
        ) +
        IFERROR(
            VLOOKUP($A65, INDIRECT("AgoR!$A$6:$ZZ$1048576"), MATCH(L$1, AgoR!$6:$6, 0), FALSE),
            0
        ) +
        IFERROR(
            VLOOKUP($A65, INDIRECT("SepR!$A$6:$ZZ$1048576"), MATCH(L$1, SepR!$6:$6, 0), FALSE),
            0
        ) +
        IFERROR(
            VLOOKUP($A65, INDIRECT("OctR!$A$6:$ZZ$1048576"), MATCH(L$1, OctR!$6:$6, 0), FALSE),
            0
        ) +
        IFERROR(
            VLOOKUP($A65, INDIRECT("NovR!$A$6:$ZZ$1048576"), MATCH(L$1, NovR!$6:$6, 0), FALSE),
            0
        ) +
        IFERROR(
            VLOOKUP($A65, INDIRECT("DicR!$A$6:$ZZ$1048576"), MATCH(L$1, DicR!$6:$6, 0), FALSE),
            0
        )
)</f>
        <v>0</v>
      </c>
      <c r="M65" s="35">
        <f t="array" ref="M65">SUM(
    IFERROR(
            VLOOKUP($A65, INDIRECT("EneR!$A$6:$ZZ$1048576"), MATCH(M$1, EneR!$6:$6, 0), FALSE),
            0
        ) +
        IFERROR(
            VLOOKUP($A65, INDIRECT("FebR!$A$6:$ZZ$1048576"), MATCH(M$1, FebR!$6:$6, 0), FALSE),
            0
        ) +
        IFERROR(
            VLOOKUP($A65, INDIRECT("MarR!$A$6:$ZZ$1048576"), MATCH(M$1, MarR!$6:$6, 0), FALSE),
            0
        ) +
        IFERROR(
            VLOOKUP($A65, INDIRECT("AbrR!$A$6:$ZZ$1048576"), MATCH(M$1, AbrR!$6:$6, 0), FALSE),
            0
        ) +
        IFERROR(
            VLOOKUP($A65, INDIRECT("MayR!$A$6:$ZZ$1048576"), MATCH(M$1, MayR!$6:$6, 0), FALSE),
            0
        ) +
        IFERROR(
            VLOOKUP($A65, INDIRECT("JunR!$A$6:$ZZ$1048576"), MATCH(M$1, JunR!$6:$6, 0), FALSE),
            0
        ) +
        IFERROR(
            VLOOKUP($A65, INDIRECT("JulR!$A$6:$ZZ$1048576"), MATCH(M$1, JulR!$6:$6, 0), FALSE),
            0
        ) +
        IFERROR(
            VLOOKUP($A65, INDIRECT("AgoR!$A$6:$ZZ$1048576"), MATCH(M$1, AgoR!$6:$6, 0), FALSE),
            0
        ) +
        IFERROR(
            VLOOKUP($A65, INDIRECT("SepR!$A$6:$ZZ$1048576"), MATCH(M$1, SepR!$6:$6, 0), FALSE),
            0
        ) +
        IFERROR(
            VLOOKUP($A65, INDIRECT("OctR!$A$6:$ZZ$1048576"), MATCH(M$1, OctR!$6:$6, 0), FALSE),
            0
        ) +
        IFERROR(
            VLOOKUP($A65, INDIRECT("NovR!$A$6:$ZZ$1048576"), MATCH(M$1, NovR!$6:$6, 0), FALSE),
            0
        ) +
        IFERROR(
            VLOOKUP($A65, INDIRECT("DicR!$A$6:$ZZ$1048576"), MATCH(M$1, DicR!$6:$6, 0), FALSE),
            0
        )
)</f>
        <v>0</v>
      </c>
      <c r="N65" s="32">
        <f t="array" ref="N65">SUM(
    IFERROR(
            VLOOKUP($A65, INDIRECT("EneR!$A$6:$ZZ$1048576"), MATCH(N$1, EneR!$6:$6, 0), FALSE),
            0
        ) +
        IFERROR(
            VLOOKUP($A65, INDIRECT("FebR!$A$6:$ZZ$1048576"), MATCH(N$1, FebR!$6:$6, 0), FALSE),
            0
        ) +
        IFERROR(
            VLOOKUP($A65, INDIRECT("MarR!$A$6:$ZZ$1048576"), MATCH(N$1, MarR!$6:$6, 0), FALSE),
            0
        ) +
        IFERROR(
            VLOOKUP($A65, INDIRECT("AbrR!$A$6:$ZZ$1048576"), MATCH(N$1, AbrR!$6:$6, 0), FALSE),
            0
        ) +
        IFERROR(
            VLOOKUP($A65, INDIRECT("MayR!$A$6:$ZZ$1048576"), MATCH(N$1, MayR!$6:$6, 0), FALSE),
            0
        ) +
        IFERROR(
            VLOOKUP($A65, INDIRECT("JunR!$A$6:$ZZ$1048576"), MATCH(N$1, JunR!$6:$6, 0), FALSE),
            0
        ) +
        IFERROR(
            VLOOKUP($A65, INDIRECT("JulR!$A$6:$ZZ$1048576"), MATCH(N$1, JulR!$6:$6, 0), FALSE),
            0
        ) +
        IFERROR(
            VLOOKUP($A65, INDIRECT("AgoR!$A$6:$ZZ$1048576"), MATCH(N$1, AgoR!$6:$6, 0), FALSE),
            0
        ) +
        IFERROR(
            VLOOKUP($A65, INDIRECT("SepR!$A$6:$ZZ$1048576"), MATCH(N$1, SepR!$6:$6, 0), FALSE),
            0
        ) +
        IFERROR(
            VLOOKUP($A65, INDIRECT("OctR!$A$6:$ZZ$1048576"), MATCH(N$1, OctR!$6:$6, 0), FALSE),
            0
        ) +
        IFERROR(
            VLOOKUP($A65, INDIRECT("NovR!$A$6:$ZZ$1048576"), MATCH(N$1, NovR!$6:$6, 0), FALSE),
            0
        ) +
        IFERROR(
            VLOOKUP($A65, INDIRECT("DicR!$A$6:$ZZ$1048576"), MATCH(N$1, DicR!$6:$6, 0), FALSE),
            0
        )
)</f>
        <v>0</v>
      </c>
      <c r="O65" s="35">
        <f t="array" ref="O65">SUM(
    IFERROR(
            VLOOKUP($A65, INDIRECT("EneR!$A$6:$ZZ$1048576"), MATCH(O$1, EneR!$6:$6, 0), FALSE),
            0
        ) +
        IFERROR(
            VLOOKUP($A65, INDIRECT("FebR!$A$6:$ZZ$1048576"), MATCH(O$1, FebR!$6:$6, 0), FALSE),
            0
        ) +
        IFERROR(
            VLOOKUP($A65, INDIRECT("MarR!$A$6:$ZZ$1048576"), MATCH(O$1, MarR!$6:$6, 0), FALSE),
            0
        ) +
        IFERROR(
            VLOOKUP($A65, INDIRECT("AbrR!$A$6:$ZZ$1048576"), MATCH(O$1, AbrR!$6:$6, 0), FALSE),
            0
        ) +
        IFERROR(
            VLOOKUP($A65, INDIRECT("MayR!$A$6:$ZZ$1048576"), MATCH(O$1, MayR!$6:$6, 0), FALSE),
            0
        ) +
        IFERROR(
            VLOOKUP($A65, INDIRECT("JunR!$A$6:$ZZ$1048576"), MATCH(O$1, JunR!$6:$6, 0), FALSE),
            0
        ) +
        IFERROR(
            VLOOKUP($A65, INDIRECT("JulR!$A$6:$ZZ$1048576"), MATCH(O$1, JulR!$6:$6, 0), FALSE),
            0
        ) +
        IFERROR(
            VLOOKUP($A65, INDIRECT("AgoR!$A$6:$ZZ$1048576"), MATCH(O$1, AgoR!$6:$6, 0), FALSE),
            0
        ) +
        IFERROR(
            VLOOKUP($A65, INDIRECT("SepR!$A$6:$ZZ$1048576"), MATCH(O$1, SepR!$6:$6, 0), FALSE),
            0
        ) +
        IFERROR(
            VLOOKUP($A65, INDIRECT("OctR!$A$6:$ZZ$1048576"), MATCH(O$1, OctR!$6:$6, 0), FALSE),
            0
        ) +
        IFERROR(
            VLOOKUP($A65, INDIRECT("NovR!$A$6:$ZZ$1048576"), MATCH(O$1, NovR!$6:$6, 0), FALSE),
            0
        ) +
        IFERROR(
            VLOOKUP($A65, INDIRECT("DicR!$A$6:$ZZ$1048576"), MATCH(O$1, DicR!$6:$6, 0), FALSE),
            0
        )
)</f>
        <v>0</v>
      </c>
      <c r="P65" s="32">
        <f t="array" ref="P65">SUM(
    IFERROR(
            VLOOKUP($A65, INDIRECT("EneR!$A$6:$ZZ$1048576"), MATCH(P$1, EneR!$6:$6, 0), FALSE),
            0
        ) +
        IFERROR(
            VLOOKUP($A65, INDIRECT("FebR!$A$6:$ZZ$1048576"), MATCH(P$1, FebR!$6:$6, 0), FALSE),
            0
        ) +
        IFERROR(
            VLOOKUP($A65, INDIRECT("MarR!$A$6:$ZZ$1048576"), MATCH(P$1, MarR!$6:$6, 0), FALSE),
            0
        ) +
        IFERROR(
            VLOOKUP($A65, INDIRECT("AbrR!$A$6:$ZZ$1048576"), MATCH(P$1, AbrR!$6:$6, 0), FALSE),
            0
        ) +
        IFERROR(
            VLOOKUP($A65, INDIRECT("MayR!$A$6:$ZZ$1048576"), MATCH(P$1, MayR!$6:$6, 0), FALSE),
            0
        ) +
        IFERROR(
            VLOOKUP($A65, INDIRECT("JunR!$A$6:$ZZ$1048576"), MATCH(P$1, JunR!$6:$6, 0), FALSE),
            0
        ) +
        IFERROR(
            VLOOKUP($A65, INDIRECT("JulR!$A$6:$ZZ$1048576"), MATCH(P$1, JulR!$6:$6, 0), FALSE),
            0
        ) +
        IFERROR(
            VLOOKUP($A65, INDIRECT("AgoR!$A$6:$ZZ$1048576"), MATCH(P$1, AgoR!$6:$6, 0), FALSE),
            0
        ) +
        IFERROR(
            VLOOKUP($A65, INDIRECT("SepR!$A$6:$ZZ$1048576"), MATCH(P$1, SepR!$6:$6, 0), FALSE),
            0
        ) +
        IFERROR(
            VLOOKUP($A65, INDIRECT("OctR!$A$6:$ZZ$1048576"), MATCH(P$1, OctR!$6:$6, 0), FALSE),
            0
        ) +
        IFERROR(
            VLOOKUP($A65, INDIRECT("NovR!$A$6:$ZZ$1048576"), MATCH(P$1, NovR!$6:$6, 0), FALSE),
            0
        ) +
        IFERROR(
            VLOOKUP($A65, INDIRECT("DicR!$A$6:$ZZ$1048576"), MATCH(P$1, DicR!$6:$6, 0), FALSE),
            0
        )
)</f>
        <v>0</v>
      </c>
      <c r="Q65" s="35">
        <f t="array" ref="Q65">SUM(
    IFERROR(
            VLOOKUP($A65, INDIRECT("EneR!$A$6:$ZZ$1048576"), MATCH(Q$1, EneR!$6:$6, 0), FALSE),
            0
        ) +
        IFERROR(
            VLOOKUP($A65, INDIRECT("FebR!$A$6:$ZZ$1048576"), MATCH(Q$1, FebR!$6:$6, 0), FALSE),
            0
        ) +
        IFERROR(
            VLOOKUP($A65, INDIRECT("MarR!$A$6:$ZZ$1048576"), MATCH(Q$1, MarR!$6:$6, 0), FALSE),
            0
        ) +
        IFERROR(
            VLOOKUP($A65, INDIRECT("AbrR!$A$6:$ZZ$1048576"), MATCH(Q$1, AbrR!$6:$6, 0), FALSE),
            0
        ) +
        IFERROR(
            VLOOKUP($A65, INDIRECT("MayR!$A$6:$ZZ$1048576"), MATCH(Q$1, MayR!$6:$6, 0), FALSE),
            0
        ) +
        IFERROR(
            VLOOKUP($A65, INDIRECT("JunR!$A$6:$ZZ$1048576"), MATCH(Q$1, JunR!$6:$6, 0), FALSE),
            0
        ) +
        IFERROR(
            VLOOKUP($A65, INDIRECT("JulR!$A$6:$ZZ$1048576"), MATCH(Q$1, JulR!$6:$6, 0), FALSE),
            0
        ) +
        IFERROR(
            VLOOKUP($A65, INDIRECT("AgoR!$A$6:$ZZ$1048576"), MATCH(Q$1, AgoR!$6:$6, 0), FALSE),
            0
        ) +
        IFERROR(
            VLOOKUP($A65, INDIRECT("SepR!$A$6:$ZZ$1048576"), MATCH(Q$1, SepR!$6:$6, 0), FALSE),
            0
        ) +
        IFERROR(
            VLOOKUP($A65, INDIRECT("OctR!$A$6:$ZZ$1048576"), MATCH(Q$1, OctR!$6:$6, 0), FALSE),
            0
        ) +
        IFERROR(
            VLOOKUP($A65, INDIRECT("NovR!$A$6:$ZZ$1048576"), MATCH(Q$1, NovR!$6:$6, 0), FALSE),
            0
        ) +
        IFERROR(
            VLOOKUP($A65, INDIRECT("DicR!$A$6:$ZZ$1048576"), MATCH(Q$1, DicR!$6:$6, 0), FALSE),
            0
        )
)</f>
        <v>0</v>
      </c>
      <c r="R65" s="36">
        <f t="array" ref="R65">SUM(
    IFERROR(
            VLOOKUP($A65, INDIRECT("EneR!$A$6:$ZZ$1048576"), MATCH(R$1, EneR!$6:$6, 0), FALSE),
            0
        ) +
        IFERROR(
            VLOOKUP($A65, INDIRECT("FebR!$A$6:$ZZ$1048576"), MATCH(R$1, FebR!$6:$6, 0), FALSE),
            0
        ) +
        IFERROR(
            VLOOKUP($A65, INDIRECT("MarR!$A$6:$ZZ$1048576"), MATCH(R$1, MarR!$6:$6, 0), FALSE),
            0
        ) +
        IFERROR(
            VLOOKUP($A65, INDIRECT("AbrR!$A$6:$ZZ$1048576"), MATCH(R$1, AbrR!$6:$6, 0), FALSE),
            0
        ) +
        IFERROR(
            VLOOKUP($A65, INDIRECT("MayR!$A$6:$ZZ$1048576"), MATCH(R$1, MayR!$6:$6, 0), FALSE),
            0
        ) +
        IFERROR(
            VLOOKUP($A65, INDIRECT("JunR!$A$6:$ZZ$1048576"), MATCH(R$1, JunR!$6:$6, 0), FALSE),
            0
        ) +
        IFERROR(
            VLOOKUP($A65, INDIRECT("JulR!$A$6:$ZZ$1048576"), MATCH(R$1, JulR!$6:$6, 0), FALSE),
            0
        ) +
        IFERROR(
            VLOOKUP($A65, INDIRECT("AgoR!$A$6:$ZZ$1048576"), MATCH(R$1, AgoR!$6:$6, 0), FALSE),
            0
        ) +
        IFERROR(
            VLOOKUP($A65, INDIRECT("SepR!$A$6:$ZZ$1048576"), MATCH(R$1, SepR!$6:$6, 0), FALSE),
            0
        ) +
        IFERROR(
            VLOOKUP($A65, INDIRECT("OctR!$A$6:$ZZ$1048576"), MATCH(R$1, OctR!$6:$6, 0), FALSE),
            0
        ) +
        IFERROR(
            VLOOKUP($A65, INDIRECT("NovR!$A$6:$ZZ$1048576"), MATCH(R$1, NovR!$6:$6, 0), FALSE),
            0
        ) +
        IFERROR(
            VLOOKUP($A65, INDIRECT("DicR!$A$6:$ZZ$1048576"), MATCH(R$1, DicR!$6:$6, 0), FALSE),
            0
        )
)</f>
        <v>0</v>
      </c>
      <c r="S65" s="37">
        <f t="array" ref="S65">SUM(
    IFERROR(
            VLOOKUP($A65, INDIRECT("EneR!$A$6:$ZZ$1048576"), MATCH(S$1, EneR!$6:$6, 0), FALSE),
            0
        ) +
        IFERROR(
            VLOOKUP($A65, INDIRECT("FebR!$A$6:$ZZ$1048576"), MATCH(S$1, FebR!$6:$6, 0), FALSE),
            0
        ) +
        IFERROR(
            VLOOKUP($A65, INDIRECT("MarR!$A$6:$ZZ$1048576"), MATCH(S$1, MarR!$6:$6, 0), FALSE),
            0
        ) +
        IFERROR(
            VLOOKUP($A65, INDIRECT("AbrR!$A$6:$ZZ$1048576"), MATCH(S$1, AbrR!$6:$6, 0), FALSE),
            0
        ) +
        IFERROR(
            VLOOKUP($A65, INDIRECT("MayR!$A$6:$ZZ$1048576"), MATCH(S$1, MayR!$6:$6, 0), FALSE),
            0
        ) +
        IFERROR(
            VLOOKUP($A65, INDIRECT("JunR!$A$6:$ZZ$1048576"), MATCH(S$1, JunR!$6:$6, 0), FALSE),
            0
        ) +
        IFERROR(
            VLOOKUP($A65, INDIRECT("JulR!$A$6:$ZZ$1048576"), MATCH(S$1, JulR!$6:$6, 0), FALSE),
            0
        ) +
        IFERROR(
            VLOOKUP($A65, INDIRECT("AgoR!$A$6:$ZZ$1048576"), MATCH(S$1, AgoR!$6:$6, 0), FALSE),
            0
        ) +
        IFERROR(
            VLOOKUP($A65, INDIRECT("SepR!$A$6:$ZZ$1048576"), MATCH(S$1, SepR!$6:$6, 0), FALSE),
            0
        ) +
        IFERROR(
            VLOOKUP($A65, INDIRECT("OctR!$A$6:$ZZ$1048576"), MATCH(S$1, OctR!$6:$6, 0), FALSE),
            0
        ) +
        IFERROR(
            VLOOKUP($A65, INDIRECT("NovR!$A$6:$ZZ$1048576"), MATCH(S$1, NovR!$6:$6, 0), FALSE),
            0
        ) +
        IFERROR(
            VLOOKUP($A65, INDIRECT("DicR!$A$6:$ZZ$1048576"), MATCH(S$1, DicR!$6:$6, 0), FALSE),
            0
        )
)</f>
        <v>0</v>
      </c>
      <c r="T65" s="36">
        <f t="array" ref="T65">SUM(
    IFERROR(
            VLOOKUP($A65, INDIRECT("EneR!$A$6:$ZZ$1048576"), MATCH(T$1, EneR!$6:$6, 0), FALSE),
            0
        ) +
        IFERROR(
            VLOOKUP($A65, INDIRECT("FebR!$A$6:$ZZ$1048576"), MATCH(T$1, FebR!$6:$6, 0), FALSE),
            0
        ) +
        IFERROR(
            VLOOKUP($A65, INDIRECT("MarR!$A$6:$ZZ$1048576"), MATCH(T$1, MarR!$6:$6, 0), FALSE),
            0
        ) +
        IFERROR(
            VLOOKUP($A65, INDIRECT("AbrR!$A$6:$ZZ$1048576"), MATCH(T$1, AbrR!$6:$6, 0), FALSE),
            0
        ) +
        IFERROR(
            VLOOKUP($A65, INDIRECT("MayR!$A$6:$ZZ$1048576"), MATCH(T$1, MayR!$6:$6, 0), FALSE),
            0
        ) +
        IFERROR(
            VLOOKUP($A65, INDIRECT("JunR!$A$6:$ZZ$1048576"), MATCH(T$1, JunR!$6:$6, 0), FALSE),
            0
        ) +
        IFERROR(
            VLOOKUP($A65, INDIRECT("JulR!$A$6:$ZZ$1048576"), MATCH(T$1, JulR!$6:$6, 0), FALSE),
            0
        ) +
        IFERROR(
            VLOOKUP($A65, INDIRECT("AgoR!$A$6:$ZZ$1048576"), MATCH(T$1, AgoR!$6:$6, 0), FALSE),
            0
        ) +
        IFERROR(
            VLOOKUP($A65, INDIRECT("SepR!$A$6:$ZZ$1048576"), MATCH(T$1, SepR!$6:$6, 0), FALSE),
            0
        ) +
        IFERROR(
            VLOOKUP($A65, INDIRECT("OctR!$A$6:$ZZ$1048576"), MATCH(T$1, OctR!$6:$6, 0), FALSE),
            0
        ) +
        IFERROR(
            VLOOKUP($A65, INDIRECT("NovR!$A$6:$ZZ$1048576"), MATCH(T$1, NovR!$6:$6, 0), FALSE),
            0
        ) +
        IFERROR(
            VLOOKUP($A65, INDIRECT("DicR!$A$6:$ZZ$1048576"), MATCH(T$1, DicR!$6:$6, 0), FALSE),
            0
        )
)</f>
        <v>0</v>
      </c>
      <c r="U65" s="37">
        <f t="array" ref="U65">SUM(
    IFERROR(
            VLOOKUP($A65, INDIRECT("EneR!$A$6:$ZZ$1048576"), MATCH(U$1, EneR!$6:$6, 0), FALSE),
            0
        ) +
        IFERROR(
            VLOOKUP($A65, INDIRECT("FebR!$A$6:$ZZ$1048576"), MATCH(U$1, FebR!$6:$6, 0), FALSE),
            0
        ) +
        IFERROR(
            VLOOKUP($A65, INDIRECT("MarR!$A$6:$ZZ$1048576"), MATCH(U$1, MarR!$6:$6, 0), FALSE),
            0
        ) +
        IFERROR(
            VLOOKUP($A65, INDIRECT("AbrR!$A$6:$ZZ$1048576"), MATCH(U$1, AbrR!$6:$6, 0), FALSE),
            0
        ) +
        IFERROR(
            VLOOKUP($A65, INDIRECT("MayR!$A$6:$ZZ$1048576"), MATCH(U$1, MayR!$6:$6, 0), FALSE),
            0
        ) +
        IFERROR(
            VLOOKUP($A65, INDIRECT("JunR!$A$6:$ZZ$1048576"), MATCH(U$1, JunR!$6:$6, 0), FALSE),
            0
        ) +
        IFERROR(
            VLOOKUP($A65, INDIRECT("JulR!$A$6:$ZZ$1048576"), MATCH(U$1, JulR!$6:$6, 0), FALSE),
            0
        ) +
        IFERROR(
            VLOOKUP($A65, INDIRECT("AgoR!$A$6:$ZZ$1048576"), MATCH(U$1, AgoR!$6:$6, 0), FALSE),
            0
        ) +
        IFERROR(
            VLOOKUP($A65, INDIRECT("SepR!$A$6:$ZZ$1048576"), MATCH(U$1, SepR!$6:$6, 0), FALSE),
            0
        ) +
        IFERROR(
            VLOOKUP($A65, INDIRECT("OctR!$A$6:$ZZ$1048576"), MATCH(U$1, OctR!$6:$6, 0), FALSE),
            0
        ) +
        IFERROR(
            VLOOKUP($A65, INDIRECT("NovR!$A$6:$ZZ$1048576"), MATCH(U$1, NovR!$6:$6, 0), FALSE),
            0
        ) +
        IFERROR(
            VLOOKUP($A65, INDIRECT("DicR!$A$6:$ZZ$1048576"), MATCH(U$1, DicR!$6:$6, 0), FALSE),
            0
        )
)</f>
        <v>0</v>
      </c>
      <c r="V65" s="36">
        <f t="array" ref="V65">SUM(
    IFERROR(
            VLOOKUP($A65, INDIRECT("EneR!$A$6:$ZZ$1048576"), MATCH(V$1, EneR!$6:$6, 0), FALSE),
            0
        ) +
        IFERROR(
            VLOOKUP($A65, INDIRECT("FebR!$A$6:$ZZ$1048576"), MATCH(V$1, FebR!$6:$6, 0), FALSE),
            0
        ) +
        IFERROR(
            VLOOKUP($A65, INDIRECT("MarR!$A$6:$ZZ$1048576"), MATCH(V$1, MarR!$6:$6, 0), FALSE),
            0
        ) +
        IFERROR(
            VLOOKUP($A65, INDIRECT("AbrR!$A$6:$ZZ$1048576"), MATCH(V$1, AbrR!$6:$6, 0), FALSE),
            0
        ) +
        IFERROR(
            VLOOKUP($A65, INDIRECT("MayR!$A$6:$ZZ$1048576"), MATCH(V$1, MayR!$6:$6, 0), FALSE),
            0
        ) +
        IFERROR(
            VLOOKUP($A65, INDIRECT("JunR!$A$6:$ZZ$1048576"), MATCH(V$1, JunR!$6:$6, 0), FALSE),
            0
        ) +
        IFERROR(
            VLOOKUP($A65, INDIRECT("JulR!$A$6:$ZZ$1048576"), MATCH(V$1, JulR!$6:$6, 0), FALSE),
            0
        ) +
        IFERROR(
            VLOOKUP($A65, INDIRECT("AgoR!$A$6:$ZZ$1048576"), MATCH(V$1, AgoR!$6:$6, 0), FALSE),
            0
        ) +
        IFERROR(
            VLOOKUP($A65, INDIRECT("SepR!$A$6:$ZZ$1048576"), MATCH(V$1, SepR!$6:$6, 0), FALSE),
            0
        ) +
        IFERROR(
            VLOOKUP($A65, INDIRECT("OctR!$A$6:$ZZ$1048576"), MATCH(V$1, OctR!$6:$6, 0), FALSE),
            0
        ) +
        IFERROR(
            VLOOKUP($A65, INDIRECT("NovR!$A$6:$ZZ$1048576"), MATCH(V$1, NovR!$6:$6, 0), FALSE),
            0
        ) +
        IFERROR(
            VLOOKUP($A65, INDIRECT("DicR!$A$6:$ZZ$1048576"), MATCH(V$1, DicR!$6:$6, 0), FALSE),
            0
        )
)</f>
        <v>0</v>
      </c>
      <c r="W65" s="37">
        <f t="array" ref="W65">SUM(
    IFERROR(
            VLOOKUP($A65, INDIRECT("EneR!$A$6:$ZZ$1048576"), MATCH(W$1, EneR!$6:$6, 0), FALSE),
            0
        ) +
        IFERROR(
            VLOOKUP($A65, INDIRECT("FebR!$A$6:$ZZ$1048576"), MATCH(W$1, FebR!$6:$6, 0), FALSE),
            0
        ) +
        IFERROR(
            VLOOKUP($A65, INDIRECT("MarR!$A$6:$ZZ$1048576"), MATCH(W$1, MarR!$6:$6, 0), FALSE),
            0
        ) +
        IFERROR(
            VLOOKUP($A65, INDIRECT("AbrR!$A$6:$ZZ$1048576"), MATCH(W$1, AbrR!$6:$6, 0), FALSE),
            0
        ) +
        IFERROR(
            VLOOKUP($A65, INDIRECT("MayR!$A$6:$ZZ$1048576"), MATCH(W$1, MayR!$6:$6, 0), FALSE),
            0
        ) +
        IFERROR(
            VLOOKUP($A65, INDIRECT("JunR!$A$6:$ZZ$1048576"), MATCH(W$1, JunR!$6:$6, 0), FALSE),
            0
        ) +
        IFERROR(
            VLOOKUP($A65, INDIRECT("JulR!$A$6:$ZZ$1048576"), MATCH(W$1, JulR!$6:$6, 0), FALSE),
            0
        ) +
        IFERROR(
            VLOOKUP($A65, INDIRECT("AgoR!$A$6:$ZZ$1048576"), MATCH(W$1, AgoR!$6:$6, 0), FALSE),
            0
        ) +
        IFERROR(
            VLOOKUP($A65, INDIRECT("SepR!$A$6:$ZZ$1048576"), MATCH(W$1, SepR!$6:$6, 0), FALSE),
            0
        ) +
        IFERROR(
            VLOOKUP($A65, INDIRECT("OctR!$A$6:$ZZ$1048576"), MATCH(W$1, OctR!$6:$6, 0), FALSE),
            0
        ) +
        IFERROR(
            VLOOKUP($A65, INDIRECT("NovR!$A$6:$ZZ$1048576"), MATCH(W$1, NovR!$6:$6, 0), FALSE),
            0
        ) +
        IFERROR(
            VLOOKUP($A65, INDIRECT("DicR!$A$6:$ZZ$1048576"), MATCH(W$1, DicR!$6:$6, 0), FALSE),
            0
        )
)</f>
        <v>0</v>
      </c>
      <c r="X65" s="36">
        <f t="array" ref="X65">SUM(
    IFERROR(
            VLOOKUP($A65, INDIRECT("EneR!$A$6:$ZZ$1048576"), MATCH(X$1, EneR!$6:$6, 0), FALSE),
            0
        ) +
        IFERROR(
            VLOOKUP($A65, INDIRECT("FebR!$A$6:$ZZ$1048576"), MATCH(X$1, FebR!$6:$6, 0), FALSE),
            0
        ) +
        IFERROR(
            VLOOKUP($A65, INDIRECT("MarR!$A$6:$ZZ$1048576"), MATCH(X$1, MarR!$6:$6, 0), FALSE),
            0
        ) +
        IFERROR(
            VLOOKUP($A65, INDIRECT("AbrR!$A$6:$ZZ$1048576"), MATCH(X$1, AbrR!$6:$6, 0), FALSE),
            0
        ) +
        IFERROR(
            VLOOKUP($A65, INDIRECT("MayR!$A$6:$ZZ$1048576"), MATCH(X$1, MayR!$6:$6, 0), FALSE),
            0
        ) +
        IFERROR(
            VLOOKUP($A65, INDIRECT("JunR!$A$6:$ZZ$1048576"), MATCH(X$1, JunR!$6:$6, 0), FALSE),
            0
        ) +
        IFERROR(
            VLOOKUP($A65, INDIRECT("JulR!$A$6:$ZZ$1048576"), MATCH(X$1, JulR!$6:$6, 0), FALSE),
            0
        ) +
        IFERROR(
            VLOOKUP($A65, INDIRECT("AgoR!$A$6:$ZZ$1048576"), MATCH(X$1, AgoR!$6:$6, 0), FALSE),
            0
        ) +
        IFERROR(
            VLOOKUP($A65, INDIRECT("SepR!$A$6:$ZZ$1048576"), MATCH(X$1, SepR!$6:$6, 0), FALSE),
            0
        ) +
        IFERROR(
            VLOOKUP($A65, INDIRECT("OctR!$A$6:$ZZ$1048576"), MATCH(X$1, OctR!$6:$6, 0), FALSE),
            0
        ) +
        IFERROR(
            VLOOKUP($A65, INDIRECT("NovR!$A$6:$ZZ$1048576"), MATCH(X$1, NovR!$6:$6, 0), FALSE),
            0
        ) +
        IFERROR(
            VLOOKUP($A65, INDIRECT("DicR!$A$6:$ZZ$1048576"), MATCH(X$1, DicR!$6:$6, 0), FALSE),
            0
        )
)</f>
        <v>0</v>
      </c>
      <c r="Y65" s="37">
        <f t="array" ref="Y65">SUM(
    IFERROR(
            VLOOKUP($A65, INDIRECT("EneR!$A$6:$ZZ$1048576"), MATCH(Y$1, EneR!$6:$6, 0), FALSE),
            0
        ) +
        IFERROR(
            VLOOKUP($A65, INDIRECT("FebR!$A$6:$ZZ$1048576"), MATCH(Y$1, FebR!$6:$6, 0), FALSE),
            0
        ) +
        IFERROR(
            VLOOKUP($A65, INDIRECT("MarR!$A$6:$ZZ$1048576"), MATCH(Y$1, MarR!$6:$6, 0), FALSE),
            0
        ) +
        IFERROR(
            VLOOKUP($A65, INDIRECT("AbrR!$A$6:$ZZ$1048576"), MATCH(Y$1, AbrR!$6:$6, 0), FALSE),
            0
        ) +
        IFERROR(
            VLOOKUP($A65, INDIRECT("MayR!$A$6:$ZZ$1048576"), MATCH(Y$1, MayR!$6:$6, 0), FALSE),
            0
        ) +
        IFERROR(
            VLOOKUP($A65, INDIRECT("JunR!$A$6:$ZZ$1048576"), MATCH(Y$1, JunR!$6:$6, 0), FALSE),
            0
        ) +
        IFERROR(
            VLOOKUP($A65, INDIRECT("JulR!$A$6:$ZZ$1048576"), MATCH(Y$1, JulR!$6:$6, 0), FALSE),
            0
        ) +
        IFERROR(
            VLOOKUP($A65, INDIRECT("AgoR!$A$6:$ZZ$1048576"), MATCH(Y$1, AgoR!$6:$6, 0), FALSE),
            0
        ) +
        IFERROR(
            VLOOKUP($A65, INDIRECT("SepR!$A$6:$ZZ$1048576"), MATCH(Y$1, SepR!$6:$6, 0), FALSE),
            0
        ) +
        IFERROR(
            VLOOKUP($A65, INDIRECT("OctR!$A$6:$ZZ$1048576"), MATCH(Y$1, OctR!$6:$6, 0), FALSE),
            0
        ) +
        IFERROR(
            VLOOKUP($A65, INDIRECT("NovR!$A$6:$ZZ$1048576"), MATCH(Y$1, NovR!$6:$6, 0), FALSE),
            0
        ) +
        IFERROR(
            VLOOKUP($A65, INDIRECT("DicR!$A$6:$ZZ$1048576"), MATCH(Y$1, DicR!$6:$6, 0), FALSE),
            0
        )
)</f>
        <v>0</v>
      </c>
      <c r="Z65" s="36">
        <f t="array" ref="Z65">SUM(
    IFERROR(
            VLOOKUP($A65, INDIRECT("EneR!$A$6:$ZZ$1048576"), MATCH(Z$1, EneR!$6:$6, 0), FALSE),
            0
        ) +
        IFERROR(
            VLOOKUP($A65, INDIRECT("FebR!$A$6:$ZZ$1048576"), MATCH(Z$1, FebR!$6:$6, 0), FALSE),
            0
        ) +
        IFERROR(
            VLOOKUP($A65, INDIRECT("MarR!$A$6:$ZZ$1048576"), MATCH(Z$1, MarR!$6:$6, 0), FALSE),
            0
        ) +
        IFERROR(
            VLOOKUP($A65, INDIRECT("AbrR!$A$6:$ZZ$1048576"), MATCH(Z$1, AbrR!$6:$6, 0), FALSE),
            0
        ) +
        IFERROR(
            VLOOKUP($A65, INDIRECT("MayR!$A$6:$ZZ$1048576"), MATCH(Z$1, MayR!$6:$6, 0), FALSE),
            0
        ) +
        IFERROR(
            VLOOKUP($A65, INDIRECT("JunR!$A$6:$ZZ$1048576"), MATCH(Z$1, JunR!$6:$6, 0), FALSE),
            0
        ) +
        IFERROR(
            VLOOKUP($A65, INDIRECT("JulR!$A$6:$ZZ$1048576"), MATCH(Z$1, JulR!$6:$6, 0), FALSE),
            0
        ) +
        IFERROR(
            VLOOKUP($A65, INDIRECT("AgoR!$A$6:$ZZ$1048576"), MATCH(Z$1, AgoR!$6:$6, 0), FALSE),
            0
        ) +
        IFERROR(
            VLOOKUP($A65, INDIRECT("SepR!$A$6:$ZZ$1048576"), MATCH(Z$1, SepR!$6:$6, 0), FALSE),
            0
        ) +
        IFERROR(
            VLOOKUP($A65, INDIRECT("OctR!$A$6:$ZZ$1048576"), MATCH(Z$1, OctR!$6:$6, 0), FALSE),
            0
        ) +
        IFERROR(
            VLOOKUP($A65, INDIRECT("NovR!$A$6:$ZZ$1048576"), MATCH(Z$1, NovR!$6:$6, 0), FALSE),
            0
        ) +
        IFERROR(
            VLOOKUP($A65, INDIRECT("DicR!$A$6:$ZZ$1048576"), MATCH(Z$1, DicR!$6:$6, 0), FALSE),
            0
        )
)</f>
        <v>0</v>
      </c>
      <c r="AA65" s="37">
        <f t="array" ref="AA65">SUM(
    IFERROR(
            VLOOKUP($A65, INDIRECT("EneR!$A$6:$ZZ$1048576"), MATCH(AA$1, EneR!$6:$6, 0), FALSE),
            0
        ) +
        IFERROR(
            VLOOKUP($A65, INDIRECT("FebR!$A$6:$ZZ$1048576"), MATCH(AA$1, FebR!$6:$6, 0), FALSE),
            0
        ) +
        IFERROR(
            VLOOKUP($A65, INDIRECT("MarR!$A$6:$ZZ$1048576"), MATCH(AA$1, MarR!$6:$6, 0), FALSE),
            0
        ) +
        IFERROR(
            VLOOKUP($A65, INDIRECT("AbrR!$A$6:$ZZ$1048576"), MATCH(AA$1, AbrR!$6:$6, 0), FALSE),
            0
        ) +
        IFERROR(
            VLOOKUP($A65, INDIRECT("MayR!$A$6:$ZZ$1048576"), MATCH(AA$1, MayR!$6:$6, 0), FALSE),
            0
        ) +
        IFERROR(
            VLOOKUP($A65, INDIRECT("JunR!$A$6:$ZZ$1048576"), MATCH(AA$1, JunR!$6:$6, 0), FALSE),
            0
        ) +
        IFERROR(
            VLOOKUP($A65, INDIRECT("JulR!$A$6:$ZZ$1048576"), MATCH(AA$1, JulR!$6:$6, 0), FALSE),
            0
        ) +
        IFERROR(
            VLOOKUP($A65, INDIRECT("AgoR!$A$6:$ZZ$1048576"), MATCH(AA$1, AgoR!$6:$6, 0), FALSE),
            0
        ) +
        IFERROR(
            VLOOKUP($A65, INDIRECT("SepR!$A$6:$ZZ$1048576"), MATCH(AA$1, SepR!$6:$6, 0), FALSE),
            0
        ) +
        IFERROR(
            VLOOKUP($A65, INDIRECT("OctR!$A$6:$ZZ$1048576"), MATCH(AA$1, OctR!$6:$6, 0), FALSE),
            0
        ) +
        IFERROR(
            VLOOKUP($A65, INDIRECT("NovR!$A$6:$ZZ$1048576"), MATCH(AA$1, NovR!$6:$6, 0), FALSE),
            0
        ) +
        IFERROR(
            VLOOKUP($A65, INDIRECT("DicR!$A$6:$ZZ$1048576"), MATCH(AA$1, DicR!$6:$6, 0), FALSE),
            0
        )
)</f>
        <v>0</v>
      </c>
      <c r="AB65" s="36">
        <f t="array" ref="AB65">SUM(
    IFERROR(
            VLOOKUP($A65, INDIRECT("EneR!$A$6:$ZZ$1048576"), MATCH(AB$1, EneR!$6:$6, 0), FALSE),
            0
        ) +
        IFERROR(
            VLOOKUP($A65, INDIRECT("FebR!$A$6:$ZZ$1048576"), MATCH(AB$1, FebR!$6:$6, 0), FALSE),
            0
        ) +
        IFERROR(
            VLOOKUP($A65, INDIRECT("MarR!$A$6:$ZZ$1048576"), MATCH(AB$1, MarR!$6:$6, 0), FALSE),
            0
        ) +
        IFERROR(
            VLOOKUP($A65, INDIRECT("AbrR!$A$6:$ZZ$1048576"), MATCH(AB$1, AbrR!$6:$6, 0), FALSE),
            0
        ) +
        IFERROR(
            VLOOKUP($A65, INDIRECT("MayR!$A$6:$ZZ$1048576"), MATCH(AB$1, MayR!$6:$6, 0), FALSE),
            0
        ) +
        IFERROR(
            VLOOKUP($A65, INDIRECT("JunR!$A$6:$ZZ$1048576"), MATCH(AB$1, JunR!$6:$6, 0), FALSE),
            0
        ) +
        IFERROR(
            VLOOKUP($A65, INDIRECT("JulR!$A$6:$ZZ$1048576"), MATCH(AB$1, JulR!$6:$6, 0), FALSE),
            0
        ) +
        IFERROR(
            VLOOKUP($A65, INDIRECT("AgoR!$A$6:$ZZ$1048576"), MATCH(AB$1, AgoR!$6:$6, 0), FALSE),
            0
        ) +
        IFERROR(
            VLOOKUP($A65, INDIRECT("SepR!$A$6:$ZZ$1048576"), MATCH(AB$1, SepR!$6:$6, 0), FALSE),
            0
        ) +
        IFERROR(
            VLOOKUP($A65, INDIRECT("OctR!$A$6:$ZZ$1048576"), MATCH(AB$1, OctR!$6:$6, 0), FALSE),
            0
        ) +
        IFERROR(
            VLOOKUP($A65, INDIRECT("NovR!$A$6:$ZZ$1048576"), MATCH(AB$1, NovR!$6:$6, 0), FALSE),
            0
        ) +
        IFERROR(
            VLOOKUP($A65, INDIRECT("DicR!$A$6:$ZZ$1048576"), MATCH(AB$1, DicR!$6:$6, 0), FALSE),
            0
        )
)</f>
        <v>0</v>
      </c>
      <c r="AC65" s="37">
        <f t="array" ref="AC65">SUM(
    IFERROR(
            VLOOKUP($A65, INDIRECT("EneR!$A$6:$ZZ$1048576"), MATCH(AC$1, EneR!$6:$6, 0), FALSE),
            0
        ) +
        IFERROR(
            VLOOKUP($A65, INDIRECT("FebR!$A$6:$ZZ$1048576"), MATCH(AC$1, FebR!$6:$6, 0), FALSE),
            0
        ) +
        IFERROR(
            VLOOKUP($A65, INDIRECT("MarR!$A$6:$ZZ$1048576"), MATCH(AC$1, MarR!$6:$6, 0), FALSE),
            0
        ) +
        IFERROR(
            VLOOKUP($A65, INDIRECT("AbrR!$A$6:$ZZ$1048576"), MATCH(AC$1, AbrR!$6:$6, 0), FALSE),
            0
        ) +
        IFERROR(
            VLOOKUP($A65, INDIRECT("MayR!$A$6:$ZZ$1048576"), MATCH(AC$1, MayR!$6:$6, 0), FALSE),
            0
        ) +
        IFERROR(
            VLOOKUP($A65, INDIRECT("JunR!$A$6:$ZZ$1048576"), MATCH(AC$1, JunR!$6:$6, 0), FALSE),
            0
        ) +
        IFERROR(
            VLOOKUP($A65, INDIRECT("JulR!$A$6:$ZZ$1048576"), MATCH(AC$1, JulR!$6:$6, 0), FALSE),
            0
        ) +
        IFERROR(
            VLOOKUP($A65, INDIRECT("AgoR!$A$6:$ZZ$1048576"), MATCH(AC$1, AgoR!$6:$6, 0), FALSE),
            0
        ) +
        IFERROR(
            VLOOKUP($A65, INDIRECT("SepR!$A$6:$ZZ$1048576"), MATCH(AC$1, SepR!$6:$6, 0), FALSE),
            0
        ) +
        IFERROR(
            VLOOKUP($A65, INDIRECT("OctR!$A$6:$ZZ$1048576"), MATCH(AC$1, OctR!$6:$6, 0), FALSE),
            0
        ) +
        IFERROR(
            VLOOKUP($A65, INDIRECT("NovR!$A$6:$ZZ$1048576"), MATCH(AC$1, NovR!$6:$6, 0), FALSE),
            0
        ) +
        IFERROR(
            VLOOKUP($A65, INDIRECT("DicR!$A$6:$ZZ$1048576"), MATCH(AC$1, DicR!$6:$6, 0), FALSE),
            0
        )
)</f>
        <v>0</v>
      </c>
      <c r="AD65" s="36">
        <f t="array" ref="AD65">SUM(
    IFERROR(
            VLOOKUP($A65, INDIRECT("EneR!$A$6:$ZZ$1048576"), MATCH(AD$1, EneR!$6:$6, 0), FALSE),
            0
        ) +
        IFERROR(
            VLOOKUP($A65, INDIRECT("FebR!$A$6:$ZZ$1048576"), MATCH(AD$1, FebR!$6:$6, 0), FALSE),
            0
        ) +
        IFERROR(
            VLOOKUP($A65, INDIRECT("MarR!$A$6:$ZZ$1048576"), MATCH(AD$1, MarR!$6:$6, 0), FALSE),
            0
        ) +
        IFERROR(
            VLOOKUP($A65, INDIRECT("AbrR!$A$6:$ZZ$1048576"), MATCH(AD$1, AbrR!$6:$6, 0), FALSE),
            0
        ) +
        IFERROR(
            VLOOKUP($A65, INDIRECT("MayR!$A$6:$ZZ$1048576"), MATCH(AD$1, MayR!$6:$6, 0), FALSE),
            0
        ) +
        IFERROR(
            VLOOKUP($A65, INDIRECT("JunR!$A$6:$ZZ$1048576"), MATCH(AD$1, JunR!$6:$6, 0), FALSE),
            0
        ) +
        IFERROR(
            VLOOKUP($A65, INDIRECT("JulR!$A$6:$ZZ$1048576"), MATCH(AD$1, JulR!$6:$6, 0), FALSE),
            0
        ) +
        IFERROR(
            VLOOKUP($A65, INDIRECT("AgoR!$A$6:$ZZ$1048576"), MATCH(AD$1, AgoR!$6:$6, 0), FALSE),
            0
        ) +
        IFERROR(
            VLOOKUP($A65, INDIRECT("SepR!$A$6:$ZZ$1048576"), MATCH(AD$1, SepR!$6:$6, 0), FALSE),
            0
        ) +
        IFERROR(
            VLOOKUP($A65, INDIRECT("OctR!$A$6:$ZZ$1048576"), MATCH(AD$1, OctR!$6:$6, 0), FALSE),
            0
        ) +
        IFERROR(
            VLOOKUP($A65, INDIRECT("NovR!$A$6:$ZZ$1048576"), MATCH(AD$1, NovR!$6:$6, 0), FALSE),
            0
        ) +
        IFERROR(
            VLOOKUP($A65, INDIRECT("DicR!$A$6:$ZZ$1048576"), MATCH(AD$1, DicR!$6:$6, 0), FALSE),
            0
        )
)</f>
        <v>0</v>
      </c>
      <c r="AE65" s="37">
        <f t="array" ref="AE65">SUM(
    IFERROR(
            VLOOKUP($A65, INDIRECT("EneR!$A$6:$ZZ$1048576"), MATCH(AE$1, EneR!$6:$6, 0), FALSE),
            0
        ) +
        IFERROR(
            VLOOKUP($A65, INDIRECT("FebR!$A$6:$ZZ$1048576"), MATCH(AE$1, FebR!$6:$6, 0), FALSE),
            0
        ) +
        IFERROR(
            VLOOKUP($A65, INDIRECT("MarR!$A$6:$ZZ$1048576"), MATCH(AE$1, MarR!$6:$6, 0), FALSE),
            0
        ) +
        IFERROR(
            VLOOKUP($A65, INDIRECT("AbrR!$A$6:$ZZ$1048576"), MATCH(AE$1, AbrR!$6:$6, 0), FALSE),
            0
        ) +
        IFERROR(
            VLOOKUP($A65, INDIRECT("MayR!$A$6:$ZZ$1048576"), MATCH(AE$1, MayR!$6:$6, 0), FALSE),
            0
        ) +
        IFERROR(
            VLOOKUP($A65, INDIRECT("JunR!$A$6:$ZZ$1048576"), MATCH(AE$1, JunR!$6:$6, 0), FALSE),
            0
        ) +
        IFERROR(
            VLOOKUP($A65, INDIRECT("JulR!$A$6:$ZZ$1048576"), MATCH(AE$1, JulR!$6:$6, 0), FALSE),
            0
        ) +
        IFERROR(
            VLOOKUP($A65, INDIRECT("AgoR!$A$6:$ZZ$1048576"), MATCH(AE$1, AgoR!$6:$6, 0), FALSE),
            0
        ) +
        IFERROR(
            VLOOKUP($A65, INDIRECT("SepR!$A$6:$ZZ$1048576"), MATCH(AE$1, SepR!$6:$6, 0), FALSE),
            0
        ) +
        IFERROR(
            VLOOKUP($A65, INDIRECT("OctR!$A$6:$ZZ$1048576"), MATCH(AE$1, OctR!$6:$6, 0), FALSE),
            0
        ) +
        IFERROR(
            VLOOKUP($A65, INDIRECT("NovR!$A$6:$ZZ$1048576"), MATCH(AE$1, NovR!$6:$6, 0), FALSE),
            0
        ) +
        IFERROR(
            VLOOKUP($A65, INDIRECT("DicR!$A$6:$ZZ$1048576"), MATCH(AE$1, DicR!$6:$6, 0), FALSE),
            0
        )
)</f>
        <v>0</v>
      </c>
      <c r="AF65" s="36">
        <f t="array" ref="AF65">SUM(
    IFERROR(
            VLOOKUP($A65, INDIRECT("EneR!$A$6:$ZZ$1048576"), MATCH(AF$1, EneR!$6:$6, 0), FALSE),
            0
        ) +
        IFERROR(
            VLOOKUP($A65, INDIRECT("FebR!$A$6:$ZZ$1048576"), MATCH(AF$1, FebR!$6:$6, 0), FALSE),
            0
        ) +
        IFERROR(
            VLOOKUP($A65, INDIRECT("MarR!$A$6:$ZZ$1048576"), MATCH(AF$1, MarR!$6:$6, 0), FALSE),
            0
        ) +
        IFERROR(
            VLOOKUP($A65, INDIRECT("AbrR!$A$6:$ZZ$1048576"), MATCH(AF$1, AbrR!$6:$6, 0), FALSE),
            0
        ) +
        IFERROR(
            VLOOKUP($A65, INDIRECT("MayR!$A$6:$ZZ$1048576"), MATCH(AF$1, MayR!$6:$6, 0), FALSE),
            0
        ) +
        IFERROR(
            VLOOKUP($A65, INDIRECT("JunR!$A$6:$ZZ$1048576"), MATCH(AF$1, JunR!$6:$6, 0), FALSE),
            0
        ) +
        IFERROR(
            VLOOKUP($A65, INDIRECT("JulR!$A$6:$ZZ$1048576"), MATCH(AF$1, JulR!$6:$6, 0), FALSE),
            0
        ) +
        IFERROR(
            VLOOKUP($A65, INDIRECT("AgoR!$A$6:$ZZ$1048576"), MATCH(AF$1, AgoR!$6:$6, 0), FALSE),
            0
        ) +
        IFERROR(
            VLOOKUP($A65, INDIRECT("SepR!$A$6:$ZZ$1048576"), MATCH(AF$1, SepR!$6:$6, 0), FALSE),
            0
        ) +
        IFERROR(
            VLOOKUP($A65, INDIRECT("OctR!$A$6:$ZZ$1048576"), MATCH(AF$1, OctR!$6:$6, 0), FALSE),
            0
        ) +
        IFERROR(
            VLOOKUP($A65, INDIRECT("NovR!$A$6:$ZZ$1048576"), MATCH(AF$1, NovR!$6:$6, 0), FALSE),
            0
        ) +
        IFERROR(
            VLOOKUP($A65, INDIRECT("DicR!$A$6:$ZZ$1048576"), MATCH(AF$1, DicR!$6:$6, 0), FALSE),
            0
        )
)</f>
        <v>0</v>
      </c>
      <c r="AG65" s="37">
        <f t="array" ref="AG65">SUM(
    IFERROR(
            VLOOKUP($A65, INDIRECT("EneR!$A$6:$ZZ$1048576"), MATCH(AG$1, EneR!$6:$6, 0), FALSE),
            0
        ) +
        IFERROR(
            VLOOKUP($A65, INDIRECT("FebR!$A$6:$ZZ$1048576"), MATCH(AG$1, FebR!$6:$6, 0), FALSE),
            0
        ) +
        IFERROR(
            VLOOKUP($A65, INDIRECT("MarR!$A$6:$ZZ$1048576"), MATCH(AG$1, MarR!$6:$6, 0), FALSE),
            0
        ) +
        IFERROR(
            VLOOKUP($A65, INDIRECT("AbrR!$A$6:$ZZ$1048576"), MATCH(AG$1, AbrR!$6:$6, 0), FALSE),
            0
        ) +
        IFERROR(
            VLOOKUP($A65, INDIRECT("MayR!$A$6:$ZZ$1048576"), MATCH(AG$1, MayR!$6:$6, 0), FALSE),
            0
        ) +
        IFERROR(
            VLOOKUP($A65, INDIRECT("JunR!$A$6:$ZZ$1048576"), MATCH(AG$1, JunR!$6:$6, 0), FALSE),
            0
        ) +
        IFERROR(
            VLOOKUP($A65, INDIRECT("JulR!$A$6:$ZZ$1048576"), MATCH(AG$1, JulR!$6:$6, 0), FALSE),
            0
        ) +
        IFERROR(
            VLOOKUP($A65, INDIRECT("AgoR!$A$6:$ZZ$1048576"), MATCH(AG$1, AgoR!$6:$6, 0), FALSE),
            0
        ) +
        IFERROR(
            VLOOKUP($A65, INDIRECT("SepR!$A$6:$ZZ$1048576"), MATCH(AG$1, SepR!$6:$6, 0), FALSE),
            0
        ) +
        IFERROR(
            VLOOKUP($A65, INDIRECT("OctR!$A$6:$ZZ$1048576"), MATCH(AG$1, OctR!$6:$6, 0), FALSE),
            0
        ) +
        IFERROR(
            VLOOKUP($A65, INDIRECT("NovR!$A$6:$ZZ$1048576"), MATCH(AG$1, NovR!$6:$6, 0), FALSE),
            0
        ) +
        IFERROR(
            VLOOKUP($A65, INDIRECT("DicR!$A$6:$ZZ$1048576"), MATCH(AG$1, DicR!$6:$6, 0), FALSE),
            0
        )
)</f>
        <v>0</v>
      </c>
      <c r="AH65" s="36">
        <f t="array" ref="AH65">SUM(
    IFERROR(
            VLOOKUP($A65, INDIRECT("EneR!$A$6:$ZZ$1048576"), MATCH(AH$1, EneR!$6:$6, 0), FALSE),
            0
        ) +
        IFERROR(
            VLOOKUP($A65, INDIRECT("FebR!$A$6:$ZZ$1048576"), MATCH(AH$1, FebR!$6:$6, 0), FALSE),
            0
        ) +
        IFERROR(
            VLOOKUP($A65, INDIRECT("MarR!$A$6:$ZZ$1048576"), MATCH(AH$1, MarR!$6:$6, 0), FALSE),
            0
        ) +
        IFERROR(
            VLOOKUP($A65, INDIRECT("AbrR!$A$6:$ZZ$1048576"), MATCH(AH$1, AbrR!$6:$6, 0), FALSE),
            0
        ) +
        IFERROR(
            VLOOKUP($A65, INDIRECT("MayR!$A$6:$ZZ$1048576"), MATCH(AH$1, MayR!$6:$6, 0), FALSE),
            0
        ) +
        IFERROR(
            VLOOKUP($A65, INDIRECT("JunR!$A$6:$ZZ$1048576"), MATCH(AH$1, JunR!$6:$6, 0), FALSE),
            0
        ) +
        IFERROR(
            VLOOKUP($A65, INDIRECT("JulR!$A$6:$ZZ$1048576"), MATCH(AH$1, JulR!$6:$6, 0), FALSE),
            0
        ) +
        IFERROR(
            VLOOKUP($A65, INDIRECT("AgoR!$A$6:$ZZ$1048576"), MATCH(AH$1, AgoR!$6:$6, 0), FALSE),
            0
        ) +
        IFERROR(
            VLOOKUP($A65, INDIRECT("SepR!$A$6:$ZZ$1048576"), MATCH(AH$1, SepR!$6:$6, 0), FALSE),
            0
        ) +
        IFERROR(
            VLOOKUP($A65, INDIRECT("OctR!$A$6:$ZZ$1048576"), MATCH(AH$1, OctR!$6:$6, 0), FALSE),
            0
        ) +
        IFERROR(
            VLOOKUP($A65, INDIRECT("NovR!$A$6:$ZZ$1048576"), MATCH(AH$1, NovR!$6:$6, 0), FALSE),
            0
        ) +
        IFERROR(
            VLOOKUP($A65, INDIRECT("DicR!$A$6:$ZZ$1048576"), MATCH(AH$1, DicR!$6:$6, 0), FALSE),
            0
        )
)</f>
        <v>0</v>
      </c>
      <c r="AI65" s="37">
        <f t="array" ref="AI65">SUM(
    IFERROR(
            VLOOKUP($A65, INDIRECT("EneR!$A$6:$ZZ$1048576"), MATCH(AI$1, EneR!$6:$6, 0), FALSE),
            0
        ) +
        IFERROR(
            VLOOKUP($A65, INDIRECT("FebR!$A$6:$ZZ$1048576"), MATCH(AI$1, FebR!$6:$6, 0), FALSE),
            0
        ) +
        IFERROR(
            VLOOKUP($A65, INDIRECT("MarR!$A$6:$ZZ$1048576"), MATCH(AI$1, MarR!$6:$6, 0), FALSE),
            0
        ) +
        IFERROR(
            VLOOKUP($A65, INDIRECT("AbrR!$A$6:$ZZ$1048576"), MATCH(AI$1, AbrR!$6:$6, 0), FALSE),
            0
        ) +
        IFERROR(
            VLOOKUP($A65, INDIRECT("MayR!$A$6:$ZZ$1048576"), MATCH(AI$1, MayR!$6:$6, 0), FALSE),
            0
        ) +
        IFERROR(
            VLOOKUP($A65, INDIRECT("JunR!$A$6:$ZZ$1048576"), MATCH(AI$1, JunR!$6:$6, 0), FALSE),
            0
        ) +
        IFERROR(
            VLOOKUP($A65, INDIRECT("JulR!$A$6:$ZZ$1048576"), MATCH(AI$1, JulR!$6:$6, 0), FALSE),
            0
        ) +
        IFERROR(
            VLOOKUP($A65, INDIRECT("AgoR!$A$6:$ZZ$1048576"), MATCH(AI$1, AgoR!$6:$6, 0), FALSE),
            0
        ) +
        IFERROR(
            VLOOKUP($A65, INDIRECT("SepR!$A$6:$ZZ$1048576"), MATCH(AI$1, SepR!$6:$6, 0), FALSE),
            0
        ) +
        IFERROR(
            VLOOKUP($A65, INDIRECT("OctR!$A$6:$ZZ$1048576"), MATCH(AI$1, OctR!$6:$6, 0), FALSE),
            0
        ) +
        IFERROR(
            VLOOKUP($A65, INDIRECT("NovR!$A$6:$ZZ$1048576"), MATCH(AI$1, NovR!$6:$6, 0), FALSE),
            0
        ) +
        IFERROR(
            VLOOKUP($A65, INDIRECT("DicR!$A$6:$ZZ$1048576"), MATCH(AI$1, DicR!$6:$6, 0), FALSE),
            0
        )
)</f>
        <v>0</v>
      </c>
      <c r="AJ65" s="36">
        <f t="array" ref="AJ65">SUM(
    IFERROR(
            VLOOKUP($A65, INDIRECT("EneR!$A$6:$ZZ$1048576"), MATCH(AJ$1, EneR!$6:$6, 0), FALSE),
            0
        ) +
        IFERROR(
            VLOOKUP($A65, INDIRECT("FebR!$A$6:$ZZ$1048576"), MATCH(AJ$1, FebR!$6:$6, 0), FALSE),
            0
        ) +
        IFERROR(
            VLOOKUP($A65, INDIRECT("MarR!$A$6:$ZZ$1048576"), MATCH(AJ$1, MarR!$6:$6, 0), FALSE),
            0
        ) +
        IFERROR(
            VLOOKUP($A65, INDIRECT("AbrR!$A$6:$ZZ$1048576"), MATCH(AJ$1, AbrR!$6:$6, 0), FALSE),
            0
        ) +
        IFERROR(
            VLOOKUP($A65, INDIRECT("MayR!$A$6:$ZZ$1048576"), MATCH(AJ$1, MayR!$6:$6, 0), FALSE),
            0
        ) +
        IFERROR(
            VLOOKUP($A65, INDIRECT("JunR!$A$6:$ZZ$1048576"), MATCH(AJ$1, JunR!$6:$6, 0), FALSE),
            0
        ) +
        IFERROR(
            VLOOKUP($A65, INDIRECT("JulR!$A$6:$ZZ$1048576"), MATCH(AJ$1, JulR!$6:$6, 0), FALSE),
            0
        ) +
        IFERROR(
            VLOOKUP($A65, INDIRECT("AgoR!$A$6:$ZZ$1048576"), MATCH(AJ$1, AgoR!$6:$6, 0), FALSE),
            0
        ) +
        IFERROR(
            VLOOKUP($A65, INDIRECT("SepR!$A$6:$ZZ$1048576"), MATCH(AJ$1, SepR!$6:$6, 0), FALSE),
            0
        ) +
        IFERROR(
            VLOOKUP($A65, INDIRECT("OctR!$A$6:$ZZ$1048576"), MATCH(AJ$1, OctR!$6:$6, 0), FALSE),
            0
        ) +
        IFERROR(
            VLOOKUP($A65, INDIRECT("NovR!$A$6:$ZZ$1048576"), MATCH(AJ$1, NovR!$6:$6, 0), FALSE),
            0
        ) +
        IFERROR(
            VLOOKUP($A65, INDIRECT("DicR!$A$6:$ZZ$1048576"), MATCH(AJ$1, DicR!$6:$6, 0), FALSE),
            0
        )
)</f>
        <v>0</v>
      </c>
      <c r="AK65" s="37">
        <f t="array" ref="AK65">SUM(
    IFERROR(
            VLOOKUP($A65, INDIRECT("EneR!$A$6:$ZZ$1048576"), MATCH(AK$1, EneR!$6:$6, 0), FALSE),
            0
        ) +
        IFERROR(
            VLOOKUP($A65, INDIRECT("FebR!$A$6:$ZZ$1048576"), MATCH(AK$1, FebR!$6:$6, 0), FALSE),
            0
        ) +
        IFERROR(
            VLOOKUP($A65, INDIRECT("MarR!$A$6:$ZZ$1048576"), MATCH(AK$1, MarR!$6:$6, 0), FALSE),
            0
        ) +
        IFERROR(
            VLOOKUP($A65, INDIRECT("AbrR!$A$6:$ZZ$1048576"), MATCH(AK$1, AbrR!$6:$6, 0), FALSE),
            0
        ) +
        IFERROR(
            VLOOKUP($A65, INDIRECT("MayR!$A$6:$ZZ$1048576"), MATCH(AK$1, MayR!$6:$6, 0), FALSE),
            0
        ) +
        IFERROR(
            VLOOKUP($A65, INDIRECT("JunR!$A$6:$ZZ$1048576"), MATCH(AK$1, JunR!$6:$6, 0), FALSE),
            0
        ) +
        IFERROR(
            VLOOKUP($A65, INDIRECT("JulR!$A$6:$ZZ$1048576"), MATCH(AK$1, JulR!$6:$6, 0), FALSE),
            0
        ) +
        IFERROR(
            VLOOKUP($A65, INDIRECT("AgoR!$A$6:$ZZ$1048576"), MATCH(AK$1, AgoR!$6:$6, 0), FALSE),
            0
        ) +
        IFERROR(
            VLOOKUP($A65, INDIRECT("SepR!$A$6:$ZZ$1048576"), MATCH(AK$1, SepR!$6:$6, 0), FALSE),
            0
        ) +
        IFERROR(
            VLOOKUP($A65, INDIRECT("OctR!$A$6:$ZZ$1048576"), MATCH(AK$1, OctR!$6:$6, 0), FALSE),
            0
        ) +
        IFERROR(
            VLOOKUP($A65, INDIRECT("NovR!$A$6:$ZZ$1048576"), MATCH(AK$1, NovR!$6:$6, 0), FALSE),
            0
        ) +
        IFERROR(
            VLOOKUP($A65, INDIRECT("DicR!$A$6:$ZZ$1048576"), MATCH(AK$1, DicR!$6:$6, 0), FALSE),
            0
        )
)</f>
        <v>0</v>
      </c>
      <c r="AL65" s="36">
        <f t="array" ref="AL65">SUM(
    IFERROR(
            VLOOKUP($A65, INDIRECT("EneR!$A$6:$ZZ$1048576"), MATCH(AL$1, EneR!$6:$6, 0), FALSE),
            0
        ) +
        IFERROR(
            VLOOKUP($A65, INDIRECT("FebR!$A$6:$ZZ$1048576"), MATCH(AL$1, FebR!$6:$6, 0), FALSE),
            0
        ) +
        IFERROR(
            VLOOKUP($A65, INDIRECT("MarR!$A$6:$ZZ$1048576"), MATCH(AL$1, MarR!$6:$6, 0), FALSE),
            0
        ) +
        IFERROR(
            VLOOKUP($A65, INDIRECT("AbrR!$A$6:$ZZ$1048576"), MATCH(AL$1, AbrR!$6:$6, 0), FALSE),
            0
        ) +
        IFERROR(
            VLOOKUP($A65, INDIRECT("MayR!$A$6:$ZZ$1048576"), MATCH(AL$1, MayR!$6:$6, 0), FALSE),
            0
        ) +
        IFERROR(
            VLOOKUP($A65, INDIRECT("JunR!$A$6:$ZZ$1048576"), MATCH(AL$1, JunR!$6:$6, 0), FALSE),
            0
        ) +
        IFERROR(
            VLOOKUP($A65, INDIRECT("JulR!$A$6:$ZZ$1048576"), MATCH(AL$1, JulR!$6:$6, 0), FALSE),
            0
        ) +
        IFERROR(
            VLOOKUP($A65, INDIRECT("AgoR!$A$6:$ZZ$1048576"), MATCH(AL$1, AgoR!$6:$6, 0), FALSE),
            0
        ) +
        IFERROR(
            VLOOKUP($A65, INDIRECT("SepR!$A$6:$ZZ$1048576"), MATCH(AL$1, SepR!$6:$6, 0), FALSE),
            0
        ) +
        IFERROR(
            VLOOKUP($A65, INDIRECT("OctR!$A$6:$ZZ$1048576"), MATCH(AL$1, OctR!$6:$6, 0), FALSE),
            0
        ) +
        IFERROR(
            VLOOKUP($A65, INDIRECT("NovR!$A$6:$ZZ$1048576"), MATCH(AL$1, NovR!$6:$6, 0), FALSE),
            0
        ) +
        IFERROR(
            VLOOKUP($A65, INDIRECT("DicR!$A$6:$ZZ$1048576"), MATCH(AL$1, DicR!$6:$6, 0), FALSE),
            0
        )
)</f>
        <v>0</v>
      </c>
      <c r="AM65" s="37">
        <f t="array" ref="AM65">SUM(
    IFERROR(
            VLOOKUP($A65, INDIRECT("EneR!$A$6:$ZZ$1048576"), MATCH(AM$1, EneR!$6:$6, 0), FALSE),
            0
        ) +
        IFERROR(
            VLOOKUP($A65, INDIRECT("FebR!$A$6:$ZZ$1048576"), MATCH(AM$1, FebR!$6:$6, 0), FALSE),
            0
        ) +
        IFERROR(
            VLOOKUP($A65, INDIRECT("MarR!$A$6:$ZZ$1048576"), MATCH(AM$1, MarR!$6:$6, 0), FALSE),
            0
        ) +
        IFERROR(
            VLOOKUP($A65, INDIRECT("AbrR!$A$6:$ZZ$1048576"), MATCH(AM$1, AbrR!$6:$6, 0), FALSE),
            0
        ) +
        IFERROR(
            VLOOKUP($A65, INDIRECT("MayR!$A$6:$ZZ$1048576"), MATCH(AM$1, MayR!$6:$6, 0), FALSE),
            0
        ) +
        IFERROR(
            VLOOKUP($A65, INDIRECT("JunR!$A$6:$ZZ$1048576"), MATCH(AM$1, JunR!$6:$6, 0), FALSE),
            0
        ) +
        IFERROR(
            VLOOKUP($A65, INDIRECT("JulR!$A$6:$ZZ$1048576"), MATCH(AM$1, JulR!$6:$6, 0), FALSE),
            0
        ) +
        IFERROR(
            VLOOKUP($A65, INDIRECT("AgoR!$A$6:$ZZ$1048576"), MATCH(AM$1, AgoR!$6:$6, 0), FALSE),
            0
        ) +
        IFERROR(
            VLOOKUP($A65, INDIRECT("SepR!$A$6:$ZZ$1048576"), MATCH(AM$1, SepR!$6:$6, 0), FALSE),
            0
        ) +
        IFERROR(
            VLOOKUP($A65, INDIRECT("OctR!$A$6:$ZZ$1048576"), MATCH(AM$1, OctR!$6:$6, 0), FALSE),
            0
        ) +
        IFERROR(
            VLOOKUP($A65, INDIRECT("NovR!$A$6:$ZZ$1048576"), MATCH(AM$1, NovR!$6:$6, 0), FALSE),
            0
        ) +
        IFERROR(
            VLOOKUP($A65, INDIRECT("DicR!$A$6:$ZZ$1048576"), MATCH(AM$1, DicR!$6:$6, 0), FALSE),
            0
        )
)</f>
        <v>0</v>
      </c>
      <c r="AN65" s="32">
        <f t="array" ref="AN65">SUM(
    IFERROR(
            VLOOKUP($A65, INDIRECT("EneR!$A$6:$ZZ$1048576"), MATCH(AN$1, EneR!$6:$6, 0), FALSE),
            0
        ) +
        IFERROR(
            VLOOKUP($A65, INDIRECT("FebR!$A$6:$ZZ$1048576"), MATCH(AN$1, FebR!$6:$6, 0), FALSE),
            0
        ) +
        IFERROR(
            VLOOKUP($A65, INDIRECT("MarR!$A$6:$ZZ$1048576"), MATCH(AN$1, MarR!$6:$6, 0), FALSE),
            0
        ) +
        IFERROR(
            VLOOKUP($A65, INDIRECT("AbrR!$A$6:$ZZ$1048576"), MATCH(AN$1, AbrR!$6:$6, 0), FALSE),
            0
        ) +
        IFERROR(
            VLOOKUP($A65, INDIRECT("MayR!$A$6:$ZZ$1048576"), MATCH(AN$1, MayR!$6:$6, 0), FALSE),
            0
        ) +
        IFERROR(
            VLOOKUP($A65, INDIRECT("JunR!$A$6:$ZZ$1048576"), MATCH(AN$1, JunR!$6:$6, 0), FALSE),
            0
        ) +
        IFERROR(
            VLOOKUP($A65, INDIRECT("JulR!$A$6:$ZZ$1048576"), MATCH(AN$1, JulR!$6:$6, 0), FALSE),
            0
        ) +
        IFERROR(
            VLOOKUP($A65, INDIRECT("AgoR!$A$6:$ZZ$1048576"), MATCH(AN$1, AgoR!$6:$6, 0), FALSE),
            0
        ) +
        IFERROR(
            VLOOKUP($A65, INDIRECT("SepR!$A$6:$ZZ$1048576"), MATCH(AN$1, SepR!$6:$6, 0), FALSE),
            0
        ) +
        IFERROR(
            VLOOKUP($A65, INDIRECT("OctR!$A$6:$ZZ$1048576"), MATCH(AN$1, OctR!$6:$6, 0), FALSE),
            0
        ) +
        IFERROR(
            VLOOKUP($A65, INDIRECT("NovR!$A$6:$ZZ$1048576"), MATCH(AN$1, NovR!$6:$6, 0), FALSE),
            0
        ) +
        IFERROR(
            VLOOKUP($A65, INDIRECT("DicR!$A$6:$ZZ$1048576"), MATCH(AN$1, DicR!$6:$6, 0), FALSE),
            0
        )
)</f>
        <v>0</v>
      </c>
      <c r="AO65" s="35">
        <f t="array" ref="AO65">SUM(
    IFERROR(
            VLOOKUP($A65, INDIRECT("EneR!$A$6:$ZZ$1048576"), MATCH(AO$1, EneR!$6:$6, 0), FALSE),
            0
        ) +
        IFERROR(
            VLOOKUP($A65, INDIRECT("FebR!$A$6:$ZZ$1048576"), MATCH(AO$1, FebR!$6:$6, 0), FALSE),
            0
        ) +
        IFERROR(
            VLOOKUP($A65, INDIRECT("MarR!$A$6:$ZZ$1048576"), MATCH(AO$1, MarR!$6:$6, 0), FALSE),
            0
        ) +
        IFERROR(
            VLOOKUP($A65, INDIRECT("AbrR!$A$6:$ZZ$1048576"), MATCH(AO$1, AbrR!$6:$6, 0), FALSE),
            0
        ) +
        IFERROR(
            VLOOKUP($A65, INDIRECT("MayR!$A$6:$ZZ$1048576"), MATCH(AO$1, MayR!$6:$6, 0), FALSE),
            0
        ) +
        IFERROR(
            VLOOKUP($A65, INDIRECT("JunR!$A$6:$ZZ$1048576"), MATCH(AO$1, JunR!$6:$6, 0), FALSE),
            0
        ) +
        IFERROR(
            VLOOKUP($A65, INDIRECT("JulR!$A$6:$ZZ$1048576"), MATCH(AO$1, JulR!$6:$6, 0), FALSE),
            0
        ) +
        IFERROR(
            VLOOKUP($A65, INDIRECT("AgoR!$A$6:$ZZ$1048576"), MATCH(AO$1, AgoR!$6:$6, 0), FALSE),
            0
        ) +
        IFERROR(
            VLOOKUP($A65, INDIRECT("SepR!$A$6:$ZZ$1048576"), MATCH(AO$1, SepR!$6:$6, 0), FALSE),
            0
        ) +
        IFERROR(
            VLOOKUP($A65, INDIRECT("OctR!$A$6:$ZZ$1048576"), MATCH(AO$1, OctR!$6:$6, 0), FALSE),
            0
        ) +
        IFERROR(
            VLOOKUP($A65, INDIRECT("NovR!$A$6:$ZZ$1048576"), MATCH(AO$1, NovR!$6:$6, 0), FALSE),
            0
        ) +
        IFERROR(
            VLOOKUP($A65, INDIRECT("DicR!$A$6:$ZZ$1048576"), MATCH(AO$1, DicR!$6:$6, 0), FALSE),
            0
        )
)</f>
        <v>0</v>
      </c>
      <c r="AP65" s="36">
        <f t="array" ref="AP65">SUM(
    IFERROR(
            VLOOKUP($A65, INDIRECT("EneR!$A$6:$ZZ$1048576"), MATCH(AP$1, EneR!$6:$6, 0), FALSE),
            0
        ) +
        IFERROR(
            VLOOKUP($A65, INDIRECT("FebR!$A$6:$ZZ$1048576"), MATCH(AP$1, FebR!$6:$6, 0), FALSE),
            0
        ) +
        IFERROR(
            VLOOKUP($A65, INDIRECT("MarR!$A$6:$ZZ$1048576"), MATCH(AP$1, MarR!$6:$6, 0), FALSE),
            0
        ) +
        IFERROR(
            VLOOKUP($A65, INDIRECT("AbrR!$A$6:$ZZ$1048576"), MATCH(AP$1, AbrR!$6:$6, 0), FALSE),
            0
        ) +
        IFERROR(
            VLOOKUP($A65, INDIRECT("MayR!$A$6:$ZZ$1048576"), MATCH(AP$1, MayR!$6:$6, 0), FALSE),
            0
        ) +
        IFERROR(
            VLOOKUP($A65, INDIRECT("JunR!$A$6:$ZZ$1048576"), MATCH(AP$1, JunR!$6:$6, 0), FALSE),
            0
        ) +
        IFERROR(
            VLOOKUP($A65, INDIRECT("JulR!$A$6:$ZZ$1048576"), MATCH(AP$1, JulR!$6:$6, 0), FALSE),
            0
        ) +
        IFERROR(
            VLOOKUP($A65, INDIRECT("AgoR!$A$6:$ZZ$1048576"), MATCH(AP$1, AgoR!$6:$6, 0), FALSE),
            0
        ) +
        IFERROR(
            VLOOKUP($A65, INDIRECT("SepR!$A$6:$ZZ$1048576"), MATCH(AP$1, SepR!$6:$6, 0), FALSE),
            0
        ) +
        IFERROR(
            VLOOKUP($A65, INDIRECT("OctR!$A$6:$ZZ$1048576"), MATCH(AP$1, OctR!$6:$6, 0), FALSE),
            0
        ) +
        IFERROR(
            VLOOKUP($A65, INDIRECT("NovR!$A$6:$ZZ$1048576"), MATCH(AP$1, NovR!$6:$6, 0), FALSE),
            0
        ) +
        IFERROR(
            VLOOKUP($A65, INDIRECT("DicR!$A$6:$ZZ$1048576"), MATCH(AP$1, DicR!$6:$6, 0), FALSE),
            0
        )
)</f>
        <v>0</v>
      </c>
      <c r="AQ65" s="35">
        <f t="array" ref="AQ65">SUM(
    IFERROR(
            VLOOKUP($A65, INDIRECT("EneR!$A$6:$ZZ$1048576"), MATCH(AQ$1, EneR!$6:$6, 0), FALSE),
            0
        ) +
        IFERROR(
            VLOOKUP($A65, INDIRECT("FebR!$A$6:$ZZ$1048576"), MATCH(AQ$1, FebR!$6:$6, 0), FALSE),
            0
        ) +
        IFERROR(
            VLOOKUP($A65, INDIRECT("MarR!$A$6:$ZZ$1048576"), MATCH(AQ$1, MarR!$6:$6, 0), FALSE),
            0
        ) +
        IFERROR(
            VLOOKUP($A65, INDIRECT("AbrR!$A$6:$ZZ$1048576"), MATCH(AQ$1, AbrR!$6:$6, 0), FALSE),
            0
        ) +
        IFERROR(
            VLOOKUP($A65, INDIRECT("MayR!$A$6:$ZZ$1048576"), MATCH(AQ$1, MayR!$6:$6, 0), FALSE),
            0
        ) +
        IFERROR(
            VLOOKUP($A65, INDIRECT("JunR!$A$6:$ZZ$1048576"), MATCH(AQ$1, JunR!$6:$6, 0), FALSE),
            0
        ) +
        IFERROR(
            VLOOKUP($A65, INDIRECT("JulR!$A$6:$ZZ$1048576"), MATCH(AQ$1, JulR!$6:$6, 0), FALSE),
            0
        ) +
        IFERROR(
            VLOOKUP($A65, INDIRECT("AgoR!$A$6:$ZZ$1048576"), MATCH(AQ$1, AgoR!$6:$6, 0), FALSE),
            0
        ) +
        IFERROR(
            VLOOKUP($A65, INDIRECT("SepR!$A$6:$ZZ$1048576"), MATCH(AQ$1, SepR!$6:$6, 0), FALSE),
            0
        ) +
        IFERROR(
            VLOOKUP($A65, INDIRECT("OctR!$A$6:$ZZ$1048576"), MATCH(AQ$1, OctR!$6:$6, 0), FALSE),
            0
        ) +
        IFERROR(
            VLOOKUP($A65, INDIRECT("NovR!$A$6:$ZZ$1048576"), MATCH(AQ$1, NovR!$6:$6, 0), FALSE),
            0
        ) +
        IFERROR(
            VLOOKUP($A65, INDIRECT("DicR!$A$6:$ZZ$1048576"), MATCH(AQ$1, DicR!$6:$6, 0), FALSE),
            0
        )
)</f>
        <v>0</v>
      </c>
      <c r="AR65" s="36">
        <f t="array" ref="AR65">SUM(
    IFERROR(
            VLOOKUP($A65, INDIRECT("EneR!$A$6:$ZZ$1048576"), MATCH(AR$1, EneR!$6:$6, 0), FALSE),
            0
        ) +
        IFERROR(
            VLOOKUP($A65, INDIRECT("FebR!$A$6:$ZZ$1048576"), MATCH(AR$1, FebR!$6:$6, 0), FALSE),
            0
        ) +
        IFERROR(
            VLOOKUP($A65, INDIRECT("MarR!$A$6:$ZZ$1048576"), MATCH(AR$1, MarR!$6:$6, 0), FALSE),
            0
        ) +
        IFERROR(
            VLOOKUP($A65, INDIRECT("AbrR!$A$6:$ZZ$1048576"), MATCH(AR$1, AbrR!$6:$6, 0), FALSE),
            0
        ) +
        IFERROR(
            VLOOKUP($A65, INDIRECT("MayR!$A$6:$ZZ$1048576"), MATCH(AR$1, MayR!$6:$6, 0), FALSE),
            0
        ) +
        IFERROR(
            VLOOKUP($A65, INDIRECT("JunR!$A$6:$ZZ$1048576"), MATCH(AR$1, JunR!$6:$6, 0), FALSE),
            0
        ) +
        IFERROR(
            VLOOKUP($A65, INDIRECT("JulR!$A$6:$ZZ$1048576"), MATCH(AR$1, JulR!$6:$6, 0), FALSE),
            0
        ) +
        IFERROR(
            VLOOKUP($A65, INDIRECT("AgoR!$A$6:$ZZ$1048576"), MATCH(AR$1, AgoR!$6:$6, 0), FALSE),
            0
        ) +
        IFERROR(
            VLOOKUP($A65, INDIRECT("SepR!$A$6:$ZZ$1048576"), MATCH(AR$1, SepR!$6:$6, 0), FALSE),
            0
        ) +
        IFERROR(
            VLOOKUP($A65, INDIRECT("OctR!$A$6:$ZZ$1048576"), MATCH(AR$1, OctR!$6:$6, 0), FALSE),
            0
        ) +
        IFERROR(
            VLOOKUP($A65, INDIRECT("NovR!$A$6:$ZZ$1048576"), MATCH(AR$1, NovR!$6:$6, 0), FALSE),
            0
        ) +
        IFERROR(
            VLOOKUP($A65, INDIRECT("DicR!$A$6:$ZZ$1048576"), MATCH(AR$1, DicR!$6:$6, 0), FALSE),
            0
        )
)</f>
        <v>0</v>
      </c>
      <c r="AS65" s="35">
        <f t="array" ref="AS65">SUM(
    IFERROR(
            VLOOKUP($A65, INDIRECT("EneR!$A$6:$ZZ$1048576"), MATCH(AS$1, EneR!$6:$6, 0), FALSE),
            0
        ) +
        IFERROR(
            VLOOKUP($A65, INDIRECT("FebR!$A$6:$ZZ$1048576"), MATCH(AS$1, FebR!$6:$6, 0), FALSE),
            0
        ) +
        IFERROR(
            VLOOKUP($A65, INDIRECT("MarR!$A$6:$ZZ$1048576"), MATCH(AS$1, MarR!$6:$6, 0), FALSE),
            0
        ) +
        IFERROR(
            VLOOKUP($A65, INDIRECT("AbrR!$A$6:$ZZ$1048576"), MATCH(AS$1, AbrR!$6:$6, 0), FALSE),
            0
        ) +
        IFERROR(
            VLOOKUP($A65, INDIRECT("MayR!$A$6:$ZZ$1048576"), MATCH(AS$1, MayR!$6:$6, 0), FALSE),
            0
        ) +
        IFERROR(
            VLOOKUP($A65, INDIRECT("JunR!$A$6:$ZZ$1048576"), MATCH(AS$1, JunR!$6:$6, 0), FALSE),
            0
        ) +
        IFERROR(
            VLOOKUP($A65, INDIRECT("JulR!$A$6:$ZZ$1048576"), MATCH(AS$1, JulR!$6:$6, 0), FALSE),
            0
        ) +
        IFERROR(
            VLOOKUP($A65, INDIRECT("AgoR!$A$6:$ZZ$1048576"), MATCH(AS$1, AgoR!$6:$6, 0), FALSE),
            0
        ) +
        IFERROR(
            VLOOKUP($A65, INDIRECT("SepR!$A$6:$ZZ$1048576"), MATCH(AS$1, SepR!$6:$6, 0), FALSE),
            0
        ) +
        IFERROR(
            VLOOKUP($A65, INDIRECT("OctR!$A$6:$ZZ$1048576"), MATCH(AS$1, OctR!$6:$6, 0), FALSE),
            0
        ) +
        IFERROR(
            VLOOKUP($A65, INDIRECT("NovR!$A$6:$ZZ$1048576"), MATCH(AS$1, NovR!$6:$6, 0), FALSE),
            0
        ) +
        IFERROR(
            VLOOKUP($A65, INDIRECT("DicR!$A$6:$ZZ$1048576"), MATCH(AS$1, DicR!$6:$6, 0), FALSE),
            0
        )
)</f>
        <v>0</v>
      </c>
      <c r="AT65" s="36">
        <f t="array" ref="AT65">SUM(
    IFERROR(
            VLOOKUP($A65, INDIRECT("EneR!$A$6:$ZZ$1048576"), MATCH(AT$1, EneR!$6:$6, 0), FALSE),
            0
        ) +
        IFERROR(
            VLOOKUP($A65, INDIRECT("FebR!$A$6:$ZZ$1048576"), MATCH(AT$1, FebR!$6:$6, 0), FALSE),
            0
        ) +
        IFERROR(
            VLOOKUP($A65, INDIRECT("MarR!$A$6:$ZZ$1048576"), MATCH(AT$1, MarR!$6:$6, 0), FALSE),
            0
        ) +
        IFERROR(
            VLOOKUP($A65, INDIRECT("AbrR!$A$6:$ZZ$1048576"), MATCH(AT$1, AbrR!$6:$6, 0), FALSE),
            0
        ) +
        IFERROR(
            VLOOKUP($A65, INDIRECT("MayR!$A$6:$ZZ$1048576"), MATCH(AT$1, MayR!$6:$6, 0), FALSE),
            0
        ) +
        IFERROR(
            VLOOKUP($A65, INDIRECT("JunR!$A$6:$ZZ$1048576"), MATCH(AT$1, JunR!$6:$6, 0), FALSE),
            0
        ) +
        IFERROR(
            VLOOKUP($A65, INDIRECT("JulR!$A$6:$ZZ$1048576"), MATCH(AT$1, JulR!$6:$6, 0), FALSE),
            0
        ) +
        IFERROR(
            VLOOKUP($A65, INDIRECT("AgoR!$A$6:$ZZ$1048576"), MATCH(AT$1, AgoR!$6:$6, 0), FALSE),
            0
        ) +
        IFERROR(
            VLOOKUP($A65, INDIRECT("SepR!$A$6:$ZZ$1048576"), MATCH(AT$1, SepR!$6:$6, 0), FALSE),
            0
        ) +
        IFERROR(
            VLOOKUP($A65, INDIRECT("OctR!$A$6:$ZZ$1048576"), MATCH(AT$1, OctR!$6:$6, 0), FALSE),
            0
        ) +
        IFERROR(
            VLOOKUP($A65, INDIRECT("NovR!$A$6:$ZZ$1048576"), MATCH(AT$1, NovR!$6:$6, 0), FALSE),
            0
        ) +
        IFERROR(
            VLOOKUP($A65, INDIRECT("DicR!$A$6:$ZZ$1048576"), MATCH(AT$1, DicR!$6:$6, 0), FALSE),
            0
        )
)</f>
        <v>0</v>
      </c>
      <c r="AU65" s="35">
        <f t="array" ref="AU65">SUM(
    IFERROR(
            VLOOKUP($A65, INDIRECT("EneR!$A$6:$ZZ$1048576"), MATCH(AU$1, EneR!$6:$6, 0), FALSE),
            0
        ) +
        IFERROR(
            VLOOKUP($A65, INDIRECT("FebR!$A$6:$ZZ$1048576"), MATCH(AU$1, FebR!$6:$6, 0), FALSE),
            0
        ) +
        IFERROR(
            VLOOKUP($A65, INDIRECT("MarR!$A$6:$ZZ$1048576"), MATCH(AU$1, MarR!$6:$6, 0), FALSE),
            0
        ) +
        IFERROR(
            VLOOKUP($A65, INDIRECT("AbrR!$A$6:$ZZ$1048576"), MATCH(AU$1, AbrR!$6:$6, 0), FALSE),
            0
        ) +
        IFERROR(
            VLOOKUP($A65, INDIRECT("MayR!$A$6:$ZZ$1048576"), MATCH(AU$1, MayR!$6:$6, 0), FALSE),
            0
        ) +
        IFERROR(
            VLOOKUP($A65, INDIRECT("JunR!$A$6:$ZZ$1048576"), MATCH(AU$1, JunR!$6:$6, 0), FALSE),
            0
        ) +
        IFERROR(
            VLOOKUP($A65, INDIRECT("JulR!$A$6:$ZZ$1048576"), MATCH(AU$1, JulR!$6:$6, 0), FALSE),
            0
        ) +
        IFERROR(
            VLOOKUP($A65, INDIRECT("AgoR!$A$6:$ZZ$1048576"), MATCH(AU$1, AgoR!$6:$6, 0), FALSE),
            0
        ) +
        IFERROR(
            VLOOKUP($A65, INDIRECT("SepR!$A$6:$ZZ$1048576"), MATCH(AU$1, SepR!$6:$6, 0), FALSE),
            0
        ) +
        IFERROR(
            VLOOKUP($A65, INDIRECT("OctR!$A$6:$ZZ$1048576"), MATCH(AU$1, OctR!$6:$6, 0), FALSE),
            0
        ) +
        IFERROR(
            VLOOKUP($A65, INDIRECT("NovR!$A$6:$ZZ$1048576"), MATCH(AU$1, NovR!$6:$6, 0), FALSE),
            0
        ) +
        IFERROR(
            VLOOKUP($A65, INDIRECT("DicR!$A$6:$ZZ$1048576"), MATCH(AU$1, DicR!$6:$6, 0), FALSE),
            0
        )
)</f>
        <v>0</v>
      </c>
      <c r="AV65" s="36">
        <f t="array" ref="AV65">SUM(
    IFERROR(
            VLOOKUP($A65, INDIRECT("EneR!$A$6:$ZZ$1048576"), MATCH(AV$1, EneR!$6:$6, 0), FALSE),
            0
        ) +
        IFERROR(
            VLOOKUP($A65, INDIRECT("FebR!$A$6:$ZZ$1048576"), MATCH(AV$1, FebR!$6:$6, 0), FALSE),
            0
        ) +
        IFERROR(
            VLOOKUP($A65, INDIRECT("MarR!$A$6:$ZZ$1048576"), MATCH(AV$1, MarR!$6:$6, 0), FALSE),
            0
        ) +
        IFERROR(
            VLOOKUP($A65, INDIRECT("AbrR!$A$6:$ZZ$1048576"), MATCH(AV$1, AbrR!$6:$6, 0), FALSE),
            0
        ) +
        IFERROR(
            VLOOKUP($A65, INDIRECT("MayR!$A$6:$ZZ$1048576"), MATCH(AV$1, MayR!$6:$6, 0), FALSE),
            0
        ) +
        IFERROR(
            VLOOKUP($A65, INDIRECT("JunR!$A$6:$ZZ$1048576"), MATCH(AV$1, JunR!$6:$6, 0), FALSE),
            0
        ) +
        IFERROR(
            VLOOKUP($A65, INDIRECT("JulR!$A$6:$ZZ$1048576"), MATCH(AV$1, JulR!$6:$6, 0), FALSE),
            0
        ) +
        IFERROR(
            VLOOKUP($A65, INDIRECT("AgoR!$A$6:$ZZ$1048576"), MATCH(AV$1, AgoR!$6:$6, 0), FALSE),
            0
        ) +
        IFERROR(
            VLOOKUP($A65, INDIRECT("SepR!$A$6:$ZZ$1048576"), MATCH(AV$1, SepR!$6:$6, 0), FALSE),
            0
        ) +
        IFERROR(
            VLOOKUP($A65, INDIRECT("OctR!$A$6:$ZZ$1048576"), MATCH(AV$1, OctR!$6:$6, 0), FALSE),
            0
        ) +
        IFERROR(
            VLOOKUP($A65, INDIRECT("NovR!$A$6:$ZZ$1048576"), MATCH(AV$1, NovR!$6:$6, 0), FALSE),
            0
        ) +
        IFERROR(
            VLOOKUP($A65, INDIRECT("DicR!$A$6:$ZZ$1048576"), MATCH(AV$1, DicR!$6:$6, 0), FALSE),
            0
        )
)</f>
        <v>0</v>
      </c>
      <c r="AW65" s="35">
        <f t="array" ref="AW65">SUM(
    IFERROR(
            VLOOKUP($A65, INDIRECT("EneR!$A$6:$ZZ$1048576"), MATCH(AW$1, EneR!$6:$6, 0), FALSE),
            0
        ) +
        IFERROR(
            VLOOKUP($A65, INDIRECT("FebR!$A$6:$ZZ$1048576"), MATCH(AW$1, FebR!$6:$6, 0), FALSE),
            0
        ) +
        IFERROR(
            VLOOKUP($A65, INDIRECT("MarR!$A$6:$ZZ$1048576"), MATCH(AW$1, MarR!$6:$6, 0), FALSE),
            0
        ) +
        IFERROR(
            VLOOKUP($A65, INDIRECT("AbrR!$A$6:$ZZ$1048576"), MATCH(AW$1, AbrR!$6:$6, 0), FALSE),
            0
        ) +
        IFERROR(
            VLOOKUP($A65, INDIRECT("MayR!$A$6:$ZZ$1048576"), MATCH(AW$1, MayR!$6:$6, 0), FALSE),
            0
        ) +
        IFERROR(
            VLOOKUP($A65, INDIRECT("JunR!$A$6:$ZZ$1048576"), MATCH(AW$1, JunR!$6:$6, 0), FALSE),
            0
        ) +
        IFERROR(
            VLOOKUP($A65, INDIRECT("JulR!$A$6:$ZZ$1048576"), MATCH(AW$1, JulR!$6:$6, 0), FALSE),
            0
        ) +
        IFERROR(
            VLOOKUP($A65, INDIRECT("AgoR!$A$6:$ZZ$1048576"), MATCH(AW$1, AgoR!$6:$6, 0), FALSE),
            0
        ) +
        IFERROR(
            VLOOKUP($A65, INDIRECT("SepR!$A$6:$ZZ$1048576"), MATCH(AW$1, SepR!$6:$6, 0), FALSE),
            0
        ) +
        IFERROR(
            VLOOKUP($A65, INDIRECT("OctR!$A$6:$ZZ$1048576"), MATCH(AW$1, OctR!$6:$6, 0), FALSE),
            0
        ) +
        IFERROR(
            VLOOKUP($A65, INDIRECT("NovR!$A$6:$ZZ$1048576"), MATCH(AW$1, NovR!$6:$6, 0), FALSE),
            0
        ) +
        IFERROR(
            VLOOKUP($A65, INDIRECT("DicR!$A$6:$ZZ$1048576"), MATCH(AW$1, DicR!$6:$6, 0), FALSE),
            0
        )
)</f>
        <v>0</v>
      </c>
      <c r="AX65" s="36">
        <f t="array" ref="AX65">SUM(
    IFERROR(
            VLOOKUP($A65, INDIRECT("EneR!$A$6:$ZZ$1048576"), MATCH(AX$1, EneR!$6:$6, 0), FALSE),
            0
        ) +
        IFERROR(
            VLOOKUP($A65, INDIRECT("FebR!$A$6:$ZZ$1048576"), MATCH(AX$1, FebR!$6:$6, 0), FALSE),
            0
        ) +
        IFERROR(
            VLOOKUP($A65, INDIRECT("MarR!$A$6:$ZZ$1048576"), MATCH(AX$1, MarR!$6:$6, 0), FALSE),
            0
        ) +
        IFERROR(
            VLOOKUP($A65, INDIRECT("AbrR!$A$6:$ZZ$1048576"), MATCH(AX$1, AbrR!$6:$6, 0), FALSE),
            0
        ) +
        IFERROR(
            VLOOKUP($A65, INDIRECT("MayR!$A$6:$ZZ$1048576"), MATCH(AX$1, MayR!$6:$6, 0), FALSE),
            0
        ) +
        IFERROR(
            VLOOKUP($A65, INDIRECT("JunR!$A$6:$ZZ$1048576"), MATCH(AX$1, JunR!$6:$6, 0), FALSE),
            0
        ) +
        IFERROR(
            VLOOKUP($A65, INDIRECT("JulR!$A$6:$ZZ$1048576"), MATCH(AX$1, JulR!$6:$6, 0), FALSE),
            0
        ) +
        IFERROR(
            VLOOKUP($A65, INDIRECT("AgoR!$A$6:$ZZ$1048576"), MATCH(AX$1, AgoR!$6:$6, 0), FALSE),
            0
        ) +
        IFERROR(
            VLOOKUP($A65, INDIRECT("SepR!$A$6:$ZZ$1048576"), MATCH(AX$1, SepR!$6:$6, 0), FALSE),
            0
        ) +
        IFERROR(
            VLOOKUP($A65, INDIRECT("OctR!$A$6:$ZZ$1048576"), MATCH(AX$1, OctR!$6:$6, 0), FALSE),
            0
        ) +
        IFERROR(
            VLOOKUP($A65, INDIRECT("NovR!$A$6:$ZZ$1048576"), MATCH(AX$1, NovR!$6:$6, 0), FALSE),
            0
        ) +
        IFERROR(
            VLOOKUP($A65, INDIRECT("DicR!$A$6:$ZZ$1048576"), MATCH(AX$1, DicR!$6:$6, 0), FALSE),
            0
        )
)</f>
        <v>0</v>
      </c>
      <c r="AY65" s="35">
        <f t="array" ref="AY65">SUM(
    IFERROR(
            VLOOKUP($A65, INDIRECT("EneR!$A$6:$ZZ$1048576"), MATCH(AY$1, EneR!$6:$6, 0), FALSE),
            0
        ) +
        IFERROR(
            VLOOKUP($A65, INDIRECT("FebR!$A$6:$ZZ$1048576"), MATCH(AY$1, FebR!$6:$6, 0), FALSE),
            0
        ) +
        IFERROR(
            VLOOKUP($A65, INDIRECT("MarR!$A$6:$ZZ$1048576"), MATCH(AY$1, MarR!$6:$6, 0), FALSE),
            0
        ) +
        IFERROR(
            VLOOKUP($A65, INDIRECT("AbrR!$A$6:$ZZ$1048576"), MATCH(AY$1, AbrR!$6:$6, 0), FALSE),
            0
        ) +
        IFERROR(
            VLOOKUP($A65, INDIRECT("MayR!$A$6:$ZZ$1048576"), MATCH(AY$1, MayR!$6:$6, 0), FALSE),
            0
        ) +
        IFERROR(
            VLOOKUP($A65, INDIRECT("JunR!$A$6:$ZZ$1048576"), MATCH(AY$1, JunR!$6:$6, 0), FALSE),
            0
        ) +
        IFERROR(
            VLOOKUP($A65, INDIRECT("JulR!$A$6:$ZZ$1048576"), MATCH(AY$1, JulR!$6:$6, 0), FALSE),
            0
        ) +
        IFERROR(
            VLOOKUP($A65, INDIRECT("AgoR!$A$6:$ZZ$1048576"), MATCH(AY$1, AgoR!$6:$6, 0), FALSE),
            0
        ) +
        IFERROR(
            VLOOKUP($A65, INDIRECT("SepR!$A$6:$ZZ$1048576"), MATCH(AY$1, SepR!$6:$6, 0), FALSE),
            0
        ) +
        IFERROR(
            VLOOKUP($A65, INDIRECT("OctR!$A$6:$ZZ$1048576"), MATCH(AY$1, OctR!$6:$6, 0), FALSE),
            0
        ) +
        IFERROR(
            VLOOKUP($A65, INDIRECT("NovR!$A$6:$ZZ$1048576"), MATCH(AY$1, NovR!$6:$6, 0), FALSE),
            0
        ) +
        IFERROR(
            VLOOKUP($A65, INDIRECT("DicR!$A$6:$ZZ$1048576"), MATCH(AY$1, DicR!$6:$6, 0), FALSE),
            0
        )
)</f>
        <v>0</v>
      </c>
      <c r="AZ65" s="35"/>
    </row>
    <row r="66" ht="15.75" customHeight="1">
      <c r="A66" s="12" t="str">
        <f>Menus!B27</f>
        <v/>
      </c>
      <c r="B66" s="32">
        <f t="shared" si="9"/>
        <v>0</v>
      </c>
      <c r="C66" s="33" t="str">
        <f t="shared" si="10"/>
        <v/>
      </c>
      <c r="D66" s="34">
        <f t="array" ref="D66">SUM(
    IFERROR(
            VLOOKUP($A66, INDIRECT("EneR!$A$6:$ZZ$1048576"), MATCH(D$1, EneR!$6:$6, 0), FALSE),
            0
        ) +
        IFERROR(
            VLOOKUP($A66, INDIRECT("FebR!$A$6:$ZZ$1048576"), MATCH(D$1, FebR!$6:$6, 0), FALSE),
            0
        ) +
        IFERROR(
            VLOOKUP($A66, INDIRECT("MarR!$A$6:$ZZ$1048576"), MATCH(D$1, MarR!$6:$6, 0), FALSE),
            0
        ) +
        IFERROR(
            VLOOKUP($A66, INDIRECT("AbrR!$A$6:$ZZ$1048576"), MATCH(D$1, AbrR!$6:$6, 0), FALSE),
            0
        ) +
        IFERROR(
            VLOOKUP($A66, INDIRECT("MayR!$A$6:$ZZ$1048576"), MATCH(D$1, MayR!$6:$6, 0), FALSE),
            0
        ) +
        IFERROR(
            VLOOKUP($A66, INDIRECT("JunR!$A$6:$ZZ$1048576"), MATCH(D$1, JunR!$6:$6, 0), FALSE),
            0
        ) +
        IFERROR(
            VLOOKUP($A66, INDIRECT("JulR!$A$6:$ZZ$1048576"), MATCH(D$1, JulR!$6:$6, 0), FALSE),
            0
        ) +
        IFERROR(
            VLOOKUP($A66, INDIRECT("AgoR!$A$6:$ZZ$1048576"), MATCH(D$1, AgoR!$6:$6, 0), FALSE),
            0
        ) +
        IFERROR(
            VLOOKUP($A66, INDIRECT("SepR!$A$6:$ZZ$1048576"), MATCH(D$1, SepR!$6:$6, 0), FALSE),
            0
        ) +
        IFERROR(
            VLOOKUP($A66, INDIRECT("OctR!$A$6:$ZZ$1048576"), MATCH(D$1, OctR!$6:$6, 0), FALSE),
            0
        ) +
        IFERROR(
            VLOOKUP($A66, INDIRECT("NovR!$A$6:$ZZ$1048576"), MATCH(D$1, NovR!$6:$6, 0), FALSE),
            0
        ) +
        IFERROR(
            VLOOKUP($A66, INDIRECT("DicR!$A$6:$ZZ$1048576"), MATCH(D$1, DicR!$6:$6, 0), FALSE),
            0
        )
)</f>
        <v>0</v>
      </c>
      <c r="E66" s="35">
        <f t="array" ref="E66">SUM(
    IFERROR(
            VLOOKUP($A66, INDIRECT("EneR!$A$6:$ZZ$1048576"), MATCH(E$1, EneR!$6:$6, 0), FALSE),
            0
        ) +
        IFERROR(
            VLOOKUP($A66, INDIRECT("FebR!$A$6:$ZZ$1048576"), MATCH(E$1, FebR!$6:$6, 0), FALSE),
            0
        ) +
        IFERROR(
            VLOOKUP($A66, INDIRECT("MarR!$A$6:$ZZ$1048576"), MATCH(E$1, MarR!$6:$6, 0), FALSE),
            0
        ) +
        IFERROR(
            VLOOKUP($A66, INDIRECT("AbrR!$A$6:$ZZ$1048576"), MATCH(E$1, AbrR!$6:$6, 0), FALSE),
            0
        ) +
        IFERROR(
            VLOOKUP($A66, INDIRECT("MayR!$A$6:$ZZ$1048576"), MATCH(E$1, MayR!$6:$6, 0), FALSE),
            0
        ) +
        IFERROR(
            VLOOKUP($A66, INDIRECT("JunR!$A$6:$ZZ$1048576"), MATCH(E$1, JunR!$6:$6, 0), FALSE),
            0
        ) +
        IFERROR(
            VLOOKUP($A66, INDIRECT("JulR!$A$6:$ZZ$1048576"), MATCH(E$1, JulR!$6:$6, 0), FALSE),
            0
        ) +
        IFERROR(
            VLOOKUP($A66, INDIRECT("AgoR!$A$6:$ZZ$1048576"), MATCH(E$1, AgoR!$6:$6, 0), FALSE),
            0
        ) +
        IFERROR(
            VLOOKUP($A66, INDIRECT("SepR!$A$6:$ZZ$1048576"), MATCH(E$1, SepR!$6:$6, 0), FALSE),
            0
        ) +
        IFERROR(
            VLOOKUP($A66, INDIRECT("OctR!$A$6:$ZZ$1048576"), MATCH(E$1, OctR!$6:$6, 0), FALSE),
            0
        ) +
        IFERROR(
            VLOOKUP($A66, INDIRECT("NovR!$A$6:$ZZ$1048576"), MATCH(E$1, NovR!$6:$6, 0), FALSE),
            0
        ) +
        IFERROR(
            VLOOKUP($A66, INDIRECT("DicR!$A$6:$ZZ$1048576"), MATCH(E$1, DicR!$6:$6, 0), FALSE),
            0
        )
)</f>
        <v>0</v>
      </c>
      <c r="F66" s="32">
        <f t="array" ref="F66">SUM(
    IFERROR(
            VLOOKUP($A66, INDIRECT("EneR!$A$6:$ZZ$1048576"), MATCH(F$1, EneR!$6:$6, 0), FALSE),
            0
        ) +
        IFERROR(
            VLOOKUP($A66, INDIRECT("FebR!$A$6:$ZZ$1048576"), MATCH(F$1, FebR!$6:$6, 0), FALSE),
            0
        ) +
        IFERROR(
            VLOOKUP($A66, INDIRECT("MarR!$A$6:$ZZ$1048576"), MATCH(F$1, MarR!$6:$6, 0), FALSE),
            0
        ) +
        IFERROR(
            VLOOKUP($A66, INDIRECT("AbrR!$A$6:$ZZ$1048576"), MATCH(F$1, AbrR!$6:$6, 0), FALSE),
            0
        ) +
        IFERROR(
            VLOOKUP($A66, INDIRECT("MayR!$A$6:$ZZ$1048576"), MATCH(F$1, MayR!$6:$6, 0), FALSE),
            0
        ) +
        IFERROR(
            VLOOKUP($A66, INDIRECT("JunR!$A$6:$ZZ$1048576"), MATCH(F$1, JunR!$6:$6, 0), FALSE),
            0
        ) +
        IFERROR(
            VLOOKUP($A66, INDIRECT("JulR!$A$6:$ZZ$1048576"), MATCH(F$1, JulR!$6:$6, 0), FALSE),
            0
        ) +
        IFERROR(
            VLOOKUP($A66, INDIRECT("AgoR!$A$6:$ZZ$1048576"), MATCH(F$1, AgoR!$6:$6, 0), FALSE),
            0
        ) +
        IFERROR(
            VLOOKUP($A66, INDIRECT("SepR!$A$6:$ZZ$1048576"), MATCH(F$1, SepR!$6:$6, 0), FALSE),
            0
        ) +
        IFERROR(
            VLOOKUP($A66, INDIRECT("OctR!$A$6:$ZZ$1048576"), MATCH(F$1, OctR!$6:$6, 0), FALSE),
            0
        ) +
        IFERROR(
            VLOOKUP($A66, INDIRECT("NovR!$A$6:$ZZ$1048576"), MATCH(F$1, NovR!$6:$6, 0), FALSE),
            0
        ) +
        IFERROR(
            VLOOKUP($A66, INDIRECT("DicR!$A$6:$ZZ$1048576"), MATCH(F$1, DicR!$6:$6, 0), FALSE),
            0
        )
)</f>
        <v>0</v>
      </c>
      <c r="G66" s="35">
        <f t="array" ref="G66">SUM(
    IFERROR(
            VLOOKUP($A66, INDIRECT("EneR!$A$6:$ZZ$1048576"), MATCH(G$1, EneR!$6:$6, 0), FALSE),
            0
        ) +
        IFERROR(
            VLOOKUP($A66, INDIRECT("FebR!$A$6:$ZZ$1048576"), MATCH(G$1, FebR!$6:$6, 0), FALSE),
            0
        ) +
        IFERROR(
            VLOOKUP($A66, INDIRECT("MarR!$A$6:$ZZ$1048576"), MATCH(G$1, MarR!$6:$6, 0), FALSE),
            0
        ) +
        IFERROR(
            VLOOKUP($A66, INDIRECT("AbrR!$A$6:$ZZ$1048576"), MATCH(G$1, AbrR!$6:$6, 0), FALSE),
            0
        ) +
        IFERROR(
            VLOOKUP($A66, INDIRECT("MayR!$A$6:$ZZ$1048576"), MATCH(G$1, MayR!$6:$6, 0), FALSE),
            0
        ) +
        IFERROR(
            VLOOKUP($A66, INDIRECT("JunR!$A$6:$ZZ$1048576"), MATCH(G$1, JunR!$6:$6, 0), FALSE),
            0
        ) +
        IFERROR(
            VLOOKUP($A66, INDIRECT("JulR!$A$6:$ZZ$1048576"), MATCH(G$1, JulR!$6:$6, 0), FALSE),
            0
        ) +
        IFERROR(
            VLOOKUP($A66, INDIRECT("AgoR!$A$6:$ZZ$1048576"), MATCH(G$1, AgoR!$6:$6, 0), FALSE),
            0
        ) +
        IFERROR(
            VLOOKUP($A66, INDIRECT("SepR!$A$6:$ZZ$1048576"), MATCH(G$1, SepR!$6:$6, 0), FALSE),
            0
        ) +
        IFERROR(
            VLOOKUP($A66, INDIRECT("OctR!$A$6:$ZZ$1048576"), MATCH(G$1, OctR!$6:$6, 0), FALSE),
            0
        ) +
        IFERROR(
            VLOOKUP($A66, INDIRECT("NovR!$A$6:$ZZ$1048576"), MATCH(G$1, NovR!$6:$6, 0), FALSE),
            0
        ) +
        IFERROR(
            VLOOKUP($A66, INDIRECT("DicR!$A$6:$ZZ$1048576"), MATCH(G$1, DicR!$6:$6, 0), FALSE),
            0
        )
)</f>
        <v>0</v>
      </c>
      <c r="H66" s="32">
        <f t="array" ref="H66">SUM(
    IFERROR(
            VLOOKUP($A66, INDIRECT("EneR!$A$6:$ZZ$1048576"), MATCH(H$1, EneR!$6:$6, 0), FALSE),
            0
        ) +
        IFERROR(
            VLOOKUP($A66, INDIRECT("FebR!$A$6:$ZZ$1048576"), MATCH(H$1, FebR!$6:$6, 0), FALSE),
            0
        ) +
        IFERROR(
            VLOOKUP($A66, INDIRECT("MarR!$A$6:$ZZ$1048576"), MATCH(H$1, MarR!$6:$6, 0), FALSE),
            0
        ) +
        IFERROR(
            VLOOKUP($A66, INDIRECT("AbrR!$A$6:$ZZ$1048576"), MATCH(H$1, AbrR!$6:$6, 0), FALSE),
            0
        ) +
        IFERROR(
            VLOOKUP($A66, INDIRECT("MayR!$A$6:$ZZ$1048576"), MATCH(H$1, MayR!$6:$6, 0), FALSE),
            0
        ) +
        IFERROR(
            VLOOKUP($A66, INDIRECT("JunR!$A$6:$ZZ$1048576"), MATCH(H$1, JunR!$6:$6, 0), FALSE),
            0
        ) +
        IFERROR(
            VLOOKUP($A66, INDIRECT("JulR!$A$6:$ZZ$1048576"), MATCH(H$1, JulR!$6:$6, 0), FALSE),
            0
        ) +
        IFERROR(
            VLOOKUP($A66, INDIRECT("AgoR!$A$6:$ZZ$1048576"), MATCH(H$1, AgoR!$6:$6, 0), FALSE),
            0
        ) +
        IFERROR(
            VLOOKUP($A66, INDIRECT("SepR!$A$6:$ZZ$1048576"), MATCH(H$1, SepR!$6:$6, 0), FALSE),
            0
        ) +
        IFERROR(
            VLOOKUP($A66, INDIRECT("OctR!$A$6:$ZZ$1048576"), MATCH(H$1, OctR!$6:$6, 0), FALSE),
            0
        ) +
        IFERROR(
            VLOOKUP($A66, INDIRECT("NovR!$A$6:$ZZ$1048576"), MATCH(H$1, NovR!$6:$6, 0), FALSE),
            0
        ) +
        IFERROR(
            VLOOKUP($A66, INDIRECT("DicR!$A$6:$ZZ$1048576"), MATCH(H$1, DicR!$6:$6, 0), FALSE),
            0
        )
)</f>
        <v>0</v>
      </c>
      <c r="I66" s="35">
        <f t="array" ref="I66">SUM(
    IFERROR(
            VLOOKUP($A66, INDIRECT("EneR!$A$6:$ZZ$1048576"), MATCH(I$1, EneR!$6:$6, 0), FALSE),
            0
        ) +
        IFERROR(
            VLOOKUP($A66, INDIRECT("FebR!$A$6:$ZZ$1048576"), MATCH(I$1, FebR!$6:$6, 0), FALSE),
            0
        ) +
        IFERROR(
            VLOOKUP($A66, INDIRECT("MarR!$A$6:$ZZ$1048576"), MATCH(I$1, MarR!$6:$6, 0), FALSE),
            0
        ) +
        IFERROR(
            VLOOKUP($A66, INDIRECT("AbrR!$A$6:$ZZ$1048576"), MATCH(I$1, AbrR!$6:$6, 0), FALSE),
            0
        ) +
        IFERROR(
            VLOOKUP($A66, INDIRECT("MayR!$A$6:$ZZ$1048576"), MATCH(I$1, MayR!$6:$6, 0), FALSE),
            0
        ) +
        IFERROR(
            VLOOKUP($A66, INDIRECT("JunR!$A$6:$ZZ$1048576"), MATCH(I$1, JunR!$6:$6, 0), FALSE),
            0
        ) +
        IFERROR(
            VLOOKUP($A66, INDIRECT("JulR!$A$6:$ZZ$1048576"), MATCH(I$1, JulR!$6:$6, 0), FALSE),
            0
        ) +
        IFERROR(
            VLOOKUP($A66, INDIRECT("AgoR!$A$6:$ZZ$1048576"), MATCH(I$1, AgoR!$6:$6, 0), FALSE),
            0
        ) +
        IFERROR(
            VLOOKUP($A66, INDIRECT("SepR!$A$6:$ZZ$1048576"), MATCH(I$1, SepR!$6:$6, 0), FALSE),
            0
        ) +
        IFERROR(
            VLOOKUP($A66, INDIRECT("OctR!$A$6:$ZZ$1048576"), MATCH(I$1, OctR!$6:$6, 0), FALSE),
            0
        ) +
        IFERROR(
            VLOOKUP($A66, INDIRECT("NovR!$A$6:$ZZ$1048576"), MATCH(I$1, NovR!$6:$6, 0), FALSE),
            0
        ) +
        IFERROR(
            VLOOKUP($A66, INDIRECT("DicR!$A$6:$ZZ$1048576"), MATCH(I$1, DicR!$6:$6, 0), FALSE),
            0
        )
)</f>
        <v>0</v>
      </c>
      <c r="J66" s="32">
        <f t="array" ref="J66">SUM(
    IFERROR(
            VLOOKUP($A66, INDIRECT("EneR!$A$6:$ZZ$1048576"), MATCH(J$1, EneR!$6:$6, 0), FALSE),
            0
        ) +
        IFERROR(
            VLOOKUP($A66, INDIRECT("FebR!$A$6:$ZZ$1048576"), MATCH(J$1, FebR!$6:$6, 0), FALSE),
            0
        ) +
        IFERROR(
            VLOOKUP($A66, INDIRECT("MarR!$A$6:$ZZ$1048576"), MATCH(J$1, MarR!$6:$6, 0), FALSE),
            0
        ) +
        IFERROR(
            VLOOKUP($A66, INDIRECT("AbrR!$A$6:$ZZ$1048576"), MATCH(J$1, AbrR!$6:$6, 0), FALSE),
            0
        ) +
        IFERROR(
            VLOOKUP($A66, INDIRECT("MayR!$A$6:$ZZ$1048576"), MATCH(J$1, MayR!$6:$6, 0), FALSE),
            0
        ) +
        IFERROR(
            VLOOKUP($A66, INDIRECT("JunR!$A$6:$ZZ$1048576"), MATCH(J$1, JunR!$6:$6, 0), FALSE),
            0
        ) +
        IFERROR(
            VLOOKUP($A66, INDIRECT("JulR!$A$6:$ZZ$1048576"), MATCH(J$1, JulR!$6:$6, 0), FALSE),
            0
        ) +
        IFERROR(
            VLOOKUP($A66, INDIRECT("AgoR!$A$6:$ZZ$1048576"), MATCH(J$1, AgoR!$6:$6, 0), FALSE),
            0
        ) +
        IFERROR(
            VLOOKUP($A66, INDIRECT("SepR!$A$6:$ZZ$1048576"), MATCH(J$1, SepR!$6:$6, 0), FALSE),
            0
        ) +
        IFERROR(
            VLOOKUP($A66, INDIRECT("OctR!$A$6:$ZZ$1048576"), MATCH(J$1, OctR!$6:$6, 0), FALSE),
            0
        ) +
        IFERROR(
            VLOOKUP($A66, INDIRECT("NovR!$A$6:$ZZ$1048576"), MATCH(J$1, NovR!$6:$6, 0), FALSE),
            0
        ) +
        IFERROR(
            VLOOKUP($A66, INDIRECT("DicR!$A$6:$ZZ$1048576"), MATCH(J$1, DicR!$6:$6, 0), FALSE),
            0
        )
)</f>
        <v>0</v>
      </c>
      <c r="K66" s="35">
        <f t="array" ref="K66">SUM(
    IFERROR(
            VLOOKUP($A66, INDIRECT("EneR!$A$6:$ZZ$1048576"), MATCH(K$1, EneR!$6:$6, 0), FALSE),
            0
        ) +
        IFERROR(
            VLOOKUP($A66, INDIRECT("FebR!$A$6:$ZZ$1048576"), MATCH(K$1, FebR!$6:$6, 0), FALSE),
            0
        ) +
        IFERROR(
            VLOOKUP($A66, INDIRECT("MarR!$A$6:$ZZ$1048576"), MATCH(K$1, MarR!$6:$6, 0), FALSE),
            0
        ) +
        IFERROR(
            VLOOKUP($A66, INDIRECT("AbrR!$A$6:$ZZ$1048576"), MATCH(K$1, AbrR!$6:$6, 0), FALSE),
            0
        ) +
        IFERROR(
            VLOOKUP($A66, INDIRECT("MayR!$A$6:$ZZ$1048576"), MATCH(K$1, MayR!$6:$6, 0), FALSE),
            0
        ) +
        IFERROR(
            VLOOKUP($A66, INDIRECT("JunR!$A$6:$ZZ$1048576"), MATCH(K$1, JunR!$6:$6, 0), FALSE),
            0
        ) +
        IFERROR(
            VLOOKUP($A66, INDIRECT("JulR!$A$6:$ZZ$1048576"), MATCH(K$1, JulR!$6:$6, 0), FALSE),
            0
        ) +
        IFERROR(
            VLOOKUP($A66, INDIRECT("AgoR!$A$6:$ZZ$1048576"), MATCH(K$1, AgoR!$6:$6, 0), FALSE),
            0
        ) +
        IFERROR(
            VLOOKUP($A66, INDIRECT("SepR!$A$6:$ZZ$1048576"), MATCH(K$1, SepR!$6:$6, 0), FALSE),
            0
        ) +
        IFERROR(
            VLOOKUP($A66, INDIRECT("OctR!$A$6:$ZZ$1048576"), MATCH(K$1, OctR!$6:$6, 0), FALSE),
            0
        ) +
        IFERROR(
            VLOOKUP($A66, INDIRECT("NovR!$A$6:$ZZ$1048576"), MATCH(K$1, NovR!$6:$6, 0), FALSE),
            0
        ) +
        IFERROR(
            VLOOKUP($A66, INDIRECT("DicR!$A$6:$ZZ$1048576"), MATCH(K$1, DicR!$6:$6, 0), FALSE),
            0
        )
)</f>
        <v>0</v>
      </c>
      <c r="L66" s="32">
        <f t="array" ref="L66">SUM(
    IFERROR(
            VLOOKUP($A66, INDIRECT("EneR!$A$6:$ZZ$1048576"), MATCH(L$1, EneR!$6:$6, 0), FALSE),
            0
        ) +
        IFERROR(
            VLOOKUP($A66, INDIRECT("FebR!$A$6:$ZZ$1048576"), MATCH(L$1, FebR!$6:$6, 0), FALSE),
            0
        ) +
        IFERROR(
            VLOOKUP($A66, INDIRECT("MarR!$A$6:$ZZ$1048576"), MATCH(L$1, MarR!$6:$6, 0), FALSE),
            0
        ) +
        IFERROR(
            VLOOKUP($A66, INDIRECT("AbrR!$A$6:$ZZ$1048576"), MATCH(L$1, AbrR!$6:$6, 0), FALSE),
            0
        ) +
        IFERROR(
            VLOOKUP($A66, INDIRECT("MayR!$A$6:$ZZ$1048576"), MATCH(L$1, MayR!$6:$6, 0), FALSE),
            0
        ) +
        IFERROR(
            VLOOKUP($A66, INDIRECT("JunR!$A$6:$ZZ$1048576"), MATCH(L$1, JunR!$6:$6, 0), FALSE),
            0
        ) +
        IFERROR(
            VLOOKUP($A66, INDIRECT("JulR!$A$6:$ZZ$1048576"), MATCH(L$1, JulR!$6:$6, 0), FALSE),
            0
        ) +
        IFERROR(
            VLOOKUP($A66, INDIRECT("AgoR!$A$6:$ZZ$1048576"), MATCH(L$1, AgoR!$6:$6, 0), FALSE),
            0
        ) +
        IFERROR(
            VLOOKUP($A66, INDIRECT("SepR!$A$6:$ZZ$1048576"), MATCH(L$1, SepR!$6:$6, 0), FALSE),
            0
        ) +
        IFERROR(
            VLOOKUP($A66, INDIRECT("OctR!$A$6:$ZZ$1048576"), MATCH(L$1, OctR!$6:$6, 0), FALSE),
            0
        ) +
        IFERROR(
            VLOOKUP($A66, INDIRECT("NovR!$A$6:$ZZ$1048576"), MATCH(L$1, NovR!$6:$6, 0), FALSE),
            0
        ) +
        IFERROR(
            VLOOKUP($A66, INDIRECT("DicR!$A$6:$ZZ$1048576"), MATCH(L$1, DicR!$6:$6, 0), FALSE),
            0
        )
)</f>
        <v>0</v>
      </c>
      <c r="M66" s="35">
        <f t="array" ref="M66">SUM(
    IFERROR(
            VLOOKUP($A66, INDIRECT("EneR!$A$6:$ZZ$1048576"), MATCH(M$1, EneR!$6:$6, 0), FALSE),
            0
        ) +
        IFERROR(
            VLOOKUP($A66, INDIRECT("FebR!$A$6:$ZZ$1048576"), MATCH(M$1, FebR!$6:$6, 0), FALSE),
            0
        ) +
        IFERROR(
            VLOOKUP($A66, INDIRECT("MarR!$A$6:$ZZ$1048576"), MATCH(M$1, MarR!$6:$6, 0), FALSE),
            0
        ) +
        IFERROR(
            VLOOKUP($A66, INDIRECT("AbrR!$A$6:$ZZ$1048576"), MATCH(M$1, AbrR!$6:$6, 0), FALSE),
            0
        ) +
        IFERROR(
            VLOOKUP($A66, INDIRECT("MayR!$A$6:$ZZ$1048576"), MATCH(M$1, MayR!$6:$6, 0), FALSE),
            0
        ) +
        IFERROR(
            VLOOKUP($A66, INDIRECT("JunR!$A$6:$ZZ$1048576"), MATCH(M$1, JunR!$6:$6, 0), FALSE),
            0
        ) +
        IFERROR(
            VLOOKUP($A66, INDIRECT("JulR!$A$6:$ZZ$1048576"), MATCH(M$1, JulR!$6:$6, 0), FALSE),
            0
        ) +
        IFERROR(
            VLOOKUP($A66, INDIRECT("AgoR!$A$6:$ZZ$1048576"), MATCH(M$1, AgoR!$6:$6, 0), FALSE),
            0
        ) +
        IFERROR(
            VLOOKUP($A66, INDIRECT("SepR!$A$6:$ZZ$1048576"), MATCH(M$1, SepR!$6:$6, 0), FALSE),
            0
        ) +
        IFERROR(
            VLOOKUP($A66, INDIRECT("OctR!$A$6:$ZZ$1048576"), MATCH(M$1, OctR!$6:$6, 0), FALSE),
            0
        ) +
        IFERROR(
            VLOOKUP($A66, INDIRECT("NovR!$A$6:$ZZ$1048576"), MATCH(M$1, NovR!$6:$6, 0), FALSE),
            0
        ) +
        IFERROR(
            VLOOKUP($A66, INDIRECT("DicR!$A$6:$ZZ$1048576"), MATCH(M$1, DicR!$6:$6, 0), FALSE),
            0
        )
)</f>
        <v>0</v>
      </c>
      <c r="N66" s="32">
        <f t="array" ref="N66">SUM(
    IFERROR(
            VLOOKUP($A66, INDIRECT("EneR!$A$6:$ZZ$1048576"), MATCH(N$1, EneR!$6:$6, 0), FALSE),
            0
        ) +
        IFERROR(
            VLOOKUP($A66, INDIRECT("FebR!$A$6:$ZZ$1048576"), MATCH(N$1, FebR!$6:$6, 0), FALSE),
            0
        ) +
        IFERROR(
            VLOOKUP($A66, INDIRECT("MarR!$A$6:$ZZ$1048576"), MATCH(N$1, MarR!$6:$6, 0), FALSE),
            0
        ) +
        IFERROR(
            VLOOKUP($A66, INDIRECT("AbrR!$A$6:$ZZ$1048576"), MATCH(N$1, AbrR!$6:$6, 0), FALSE),
            0
        ) +
        IFERROR(
            VLOOKUP($A66, INDIRECT("MayR!$A$6:$ZZ$1048576"), MATCH(N$1, MayR!$6:$6, 0), FALSE),
            0
        ) +
        IFERROR(
            VLOOKUP($A66, INDIRECT("JunR!$A$6:$ZZ$1048576"), MATCH(N$1, JunR!$6:$6, 0), FALSE),
            0
        ) +
        IFERROR(
            VLOOKUP($A66, INDIRECT("JulR!$A$6:$ZZ$1048576"), MATCH(N$1, JulR!$6:$6, 0), FALSE),
            0
        ) +
        IFERROR(
            VLOOKUP($A66, INDIRECT("AgoR!$A$6:$ZZ$1048576"), MATCH(N$1, AgoR!$6:$6, 0), FALSE),
            0
        ) +
        IFERROR(
            VLOOKUP($A66, INDIRECT("SepR!$A$6:$ZZ$1048576"), MATCH(N$1, SepR!$6:$6, 0), FALSE),
            0
        ) +
        IFERROR(
            VLOOKUP($A66, INDIRECT("OctR!$A$6:$ZZ$1048576"), MATCH(N$1, OctR!$6:$6, 0), FALSE),
            0
        ) +
        IFERROR(
            VLOOKUP($A66, INDIRECT("NovR!$A$6:$ZZ$1048576"), MATCH(N$1, NovR!$6:$6, 0), FALSE),
            0
        ) +
        IFERROR(
            VLOOKUP($A66, INDIRECT("DicR!$A$6:$ZZ$1048576"), MATCH(N$1, DicR!$6:$6, 0), FALSE),
            0
        )
)</f>
        <v>0</v>
      </c>
      <c r="O66" s="35">
        <f t="array" ref="O66">SUM(
    IFERROR(
            VLOOKUP($A66, INDIRECT("EneR!$A$6:$ZZ$1048576"), MATCH(O$1, EneR!$6:$6, 0), FALSE),
            0
        ) +
        IFERROR(
            VLOOKUP($A66, INDIRECT("FebR!$A$6:$ZZ$1048576"), MATCH(O$1, FebR!$6:$6, 0), FALSE),
            0
        ) +
        IFERROR(
            VLOOKUP($A66, INDIRECT("MarR!$A$6:$ZZ$1048576"), MATCH(O$1, MarR!$6:$6, 0), FALSE),
            0
        ) +
        IFERROR(
            VLOOKUP($A66, INDIRECT("AbrR!$A$6:$ZZ$1048576"), MATCH(O$1, AbrR!$6:$6, 0), FALSE),
            0
        ) +
        IFERROR(
            VLOOKUP($A66, INDIRECT("MayR!$A$6:$ZZ$1048576"), MATCH(O$1, MayR!$6:$6, 0), FALSE),
            0
        ) +
        IFERROR(
            VLOOKUP($A66, INDIRECT("JunR!$A$6:$ZZ$1048576"), MATCH(O$1, JunR!$6:$6, 0), FALSE),
            0
        ) +
        IFERROR(
            VLOOKUP($A66, INDIRECT("JulR!$A$6:$ZZ$1048576"), MATCH(O$1, JulR!$6:$6, 0), FALSE),
            0
        ) +
        IFERROR(
            VLOOKUP($A66, INDIRECT("AgoR!$A$6:$ZZ$1048576"), MATCH(O$1, AgoR!$6:$6, 0), FALSE),
            0
        ) +
        IFERROR(
            VLOOKUP($A66, INDIRECT("SepR!$A$6:$ZZ$1048576"), MATCH(O$1, SepR!$6:$6, 0), FALSE),
            0
        ) +
        IFERROR(
            VLOOKUP($A66, INDIRECT("OctR!$A$6:$ZZ$1048576"), MATCH(O$1, OctR!$6:$6, 0), FALSE),
            0
        ) +
        IFERROR(
            VLOOKUP($A66, INDIRECT("NovR!$A$6:$ZZ$1048576"), MATCH(O$1, NovR!$6:$6, 0), FALSE),
            0
        ) +
        IFERROR(
            VLOOKUP($A66, INDIRECT("DicR!$A$6:$ZZ$1048576"), MATCH(O$1, DicR!$6:$6, 0), FALSE),
            0
        )
)</f>
        <v>0</v>
      </c>
      <c r="P66" s="32">
        <f t="array" ref="P66">SUM(
    IFERROR(
            VLOOKUP($A66, INDIRECT("EneR!$A$6:$ZZ$1048576"), MATCH(P$1, EneR!$6:$6, 0), FALSE),
            0
        ) +
        IFERROR(
            VLOOKUP($A66, INDIRECT("FebR!$A$6:$ZZ$1048576"), MATCH(P$1, FebR!$6:$6, 0), FALSE),
            0
        ) +
        IFERROR(
            VLOOKUP($A66, INDIRECT("MarR!$A$6:$ZZ$1048576"), MATCH(P$1, MarR!$6:$6, 0), FALSE),
            0
        ) +
        IFERROR(
            VLOOKUP($A66, INDIRECT("AbrR!$A$6:$ZZ$1048576"), MATCH(P$1, AbrR!$6:$6, 0), FALSE),
            0
        ) +
        IFERROR(
            VLOOKUP($A66, INDIRECT("MayR!$A$6:$ZZ$1048576"), MATCH(P$1, MayR!$6:$6, 0), FALSE),
            0
        ) +
        IFERROR(
            VLOOKUP($A66, INDIRECT("JunR!$A$6:$ZZ$1048576"), MATCH(P$1, JunR!$6:$6, 0), FALSE),
            0
        ) +
        IFERROR(
            VLOOKUP($A66, INDIRECT("JulR!$A$6:$ZZ$1048576"), MATCH(P$1, JulR!$6:$6, 0), FALSE),
            0
        ) +
        IFERROR(
            VLOOKUP($A66, INDIRECT("AgoR!$A$6:$ZZ$1048576"), MATCH(P$1, AgoR!$6:$6, 0), FALSE),
            0
        ) +
        IFERROR(
            VLOOKUP($A66, INDIRECT("SepR!$A$6:$ZZ$1048576"), MATCH(P$1, SepR!$6:$6, 0), FALSE),
            0
        ) +
        IFERROR(
            VLOOKUP($A66, INDIRECT("OctR!$A$6:$ZZ$1048576"), MATCH(P$1, OctR!$6:$6, 0), FALSE),
            0
        ) +
        IFERROR(
            VLOOKUP($A66, INDIRECT("NovR!$A$6:$ZZ$1048576"), MATCH(P$1, NovR!$6:$6, 0), FALSE),
            0
        ) +
        IFERROR(
            VLOOKUP($A66, INDIRECT("DicR!$A$6:$ZZ$1048576"), MATCH(P$1, DicR!$6:$6, 0), FALSE),
            0
        )
)</f>
        <v>0</v>
      </c>
      <c r="Q66" s="35">
        <f t="array" ref="Q66">SUM(
    IFERROR(
            VLOOKUP($A66, INDIRECT("EneR!$A$6:$ZZ$1048576"), MATCH(Q$1, EneR!$6:$6, 0), FALSE),
            0
        ) +
        IFERROR(
            VLOOKUP($A66, INDIRECT("FebR!$A$6:$ZZ$1048576"), MATCH(Q$1, FebR!$6:$6, 0), FALSE),
            0
        ) +
        IFERROR(
            VLOOKUP($A66, INDIRECT("MarR!$A$6:$ZZ$1048576"), MATCH(Q$1, MarR!$6:$6, 0), FALSE),
            0
        ) +
        IFERROR(
            VLOOKUP($A66, INDIRECT("AbrR!$A$6:$ZZ$1048576"), MATCH(Q$1, AbrR!$6:$6, 0), FALSE),
            0
        ) +
        IFERROR(
            VLOOKUP($A66, INDIRECT("MayR!$A$6:$ZZ$1048576"), MATCH(Q$1, MayR!$6:$6, 0), FALSE),
            0
        ) +
        IFERROR(
            VLOOKUP($A66, INDIRECT("JunR!$A$6:$ZZ$1048576"), MATCH(Q$1, JunR!$6:$6, 0), FALSE),
            0
        ) +
        IFERROR(
            VLOOKUP($A66, INDIRECT("JulR!$A$6:$ZZ$1048576"), MATCH(Q$1, JulR!$6:$6, 0), FALSE),
            0
        ) +
        IFERROR(
            VLOOKUP($A66, INDIRECT("AgoR!$A$6:$ZZ$1048576"), MATCH(Q$1, AgoR!$6:$6, 0), FALSE),
            0
        ) +
        IFERROR(
            VLOOKUP($A66, INDIRECT("SepR!$A$6:$ZZ$1048576"), MATCH(Q$1, SepR!$6:$6, 0), FALSE),
            0
        ) +
        IFERROR(
            VLOOKUP($A66, INDIRECT("OctR!$A$6:$ZZ$1048576"), MATCH(Q$1, OctR!$6:$6, 0), FALSE),
            0
        ) +
        IFERROR(
            VLOOKUP($A66, INDIRECT("NovR!$A$6:$ZZ$1048576"), MATCH(Q$1, NovR!$6:$6, 0), FALSE),
            0
        ) +
        IFERROR(
            VLOOKUP($A66, INDIRECT("DicR!$A$6:$ZZ$1048576"), MATCH(Q$1, DicR!$6:$6, 0), FALSE),
            0
        )
)</f>
        <v>0</v>
      </c>
      <c r="R66" s="36">
        <f t="array" ref="R66">SUM(
    IFERROR(
            VLOOKUP($A66, INDIRECT("EneR!$A$6:$ZZ$1048576"), MATCH(R$1, EneR!$6:$6, 0), FALSE),
            0
        ) +
        IFERROR(
            VLOOKUP($A66, INDIRECT("FebR!$A$6:$ZZ$1048576"), MATCH(R$1, FebR!$6:$6, 0), FALSE),
            0
        ) +
        IFERROR(
            VLOOKUP($A66, INDIRECT("MarR!$A$6:$ZZ$1048576"), MATCH(R$1, MarR!$6:$6, 0), FALSE),
            0
        ) +
        IFERROR(
            VLOOKUP($A66, INDIRECT("AbrR!$A$6:$ZZ$1048576"), MATCH(R$1, AbrR!$6:$6, 0), FALSE),
            0
        ) +
        IFERROR(
            VLOOKUP($A66, INDIRECT("MayR!$A$6:$ZZ$1048576"), MATCH(R$1, MayR!$6:$6, 0), FALSE),
            0
        ) +
        IFERROR(
            VLOOKUP($A66, INDIRECT("JunR!$A$6:$ZZ$1048576"), MATCH(R$1, JunR!$6:$6, 0), FALSE),
            0
        ) +
        IFERROR(
            VLOOKUP($A66, INDIRECT("JulR!$A$6:$ZZ$1048576"), MATCH(R$1, JulR!$6:$6, 0), FALSE),
            0
        ) +
        IFERROR(
            VLOOKUP($A66, INDIRECT("AgoR!$A$6:$ZZ$1048576"), MATCH(R$1, AgoR!$6:$6, 0), FALSE),
            0
        ) +
        IFERROR(
            VLOOKUP($A66, INDIRECT("SepR!$A$6:$ZZ$1048576"), MATCH(R$1, SepR!$6:$6, 0), FALSE),
            0
        ) +
        IFERROR(
            VLOOKUP($A66, INDIRECT("OctR!$A$6:$ZZ$1048576"), MATCH(R$1, OctR!$6:$6, 0), FALSE),
            0
        ) +
        IFERROR(
            VLOOKUP($A66, INDIRECT("NovR!$A$6:$ZZ$1048576"), MATCH(R$1, NovR!$6:$6, 0), FALSE),
            0
        ) +
        IFERROR(
            VLOOKUP($A66, INDIRECT("DicR!$A$6:$ZZ$1048576"), MATCH(R$1, DicR!$6:$6, 0), FALSE),
            0
        )
)</f>
        <v>0</v>
      </c>
      <c r="S66" s="37">
        <f t="array" ref="S66">SUM(
    IFERROR(
            VLOOKUP($A66, INDIRECT("EneR!$A$6:$ZZ$1048576"), MATCH(S$1, EneR!$6:$6, 0), FALSE),
            0
        ) +
        IFERROR(
            VLOOKUP($A66, INDIRECT("FebR!$A$6:$ZZ$1048576"), MATCH(S$1, FebR!$6:$6, 0), FALSE),
            0
        ) +
        IFERROR(
            VLOOKUP($A66, INDIRECT("MarR!$A$6:$ZZ$1048576"), MATCH(S$1, MarR!$6:$6, 0), FALSE),
            0
        ) +
        IFERROR(
            VLOOKUP($A66, INDIRECT("AbrR!$A$6:$ZZ$1048576"), MATCH(S$1, AbrR!$6:$6, 0), FALSE),
            0
        ) +
        IFERROR(
            VLOOKUP($A66, INDIRECT("MayR!$A$6:$ZZ$1048576"), MATCH(S$1, MayR!$6:$6, 0), FALSE),
            0
        ) +
        IFERROR(
            VLOOKUP($A66, INDIRECT("JunR!$A$6:$ZZ$1048576"), MATCH(S$1, JunR!$6:$6, 0), FALSE),
            0
        ) +
        IFERROR(
            VLOOKUP($A66, INDIRECT("JulR!$A$6:$ZZ$1048576"), MATCH(S$1, JulR!$6:$6, 0), FALSE),
            0
        ) +
        IFERROR(
            VLOOKUP($A66, INDIRECT("AgoR!$A$6:$ZZ$1048576"), MATCH(S$1, AgoR!$6:$6, 0), FALSE),
            0
        ) +
        IFERROR(
            VLOOKUP($A66, INDIRECT("SepR!$A$6:$ZZ$1048576"), MATCH(S$1, SepR!$6:$6, 0), FALSE),
            0
        ) +
        IFERROR(
            VLOOKUP($A66, INDIRECT("OctR!$A$6:$ZZ$1048576"), MATCH(S$1, OctR!$6:$6, 0), FALSE),
            0
        ) +
        IFERROR(
            VLOOKUP($A66, INDIRECT("NovR!$A$6:$ZZ$1048576"), MATCH(S$1, NovR!$6:$6, 0), FALSE),
            0
        ) +
        IFERROR(
            VLOOKUP($A66, INDIRECT("DicR!$A$6:$ZZ$1048576"), MATCH(S$1, DicR!$6:$6, 0), FALSE),
            0
        )
)</f>
        <v>0</v>
      </c>
      <c r="T66" s="36">
        <f t="array" ref="T66">SUM(
    IFERROR(
            VLOOKUP($A66, INDIRECT("EneR!$A$6:$ZZ$1048576"), MATCH(T$1, EneR!$6:$6, 0), FALSE),
            0
        ) +
        IFERROR(
            VLOOKUP($A66, INDIRECT("FebR!$A$6:$ZZ$1048576"), MATCH(T$1, FebR!$6:$6, 0), FALSE),
            0
        ) +
        IFERROR(
            VLOOKUP($A66, INDIRECT("MarR!$A$6:$ZZ$1048576"), MATCH(T$1, MarR!$6:$6, 0), FALSE),
            0
        ) +
        IFERROR(
            VLOOKUP($A66, INDIRECT("AbrR!$A$6:$ZZ$1048576"), MATCH(T$1, AbrR!$6:$6, 0), FALSE),
            0
        ) +
        IFERROR(
            VLOOKUP($A66, INDIRECT("MayR!$A$6:$ZZ$1048576"), MATCH(T$1, MayR!$6:$6, 0), FALSE),
            0
        ) +
        IFERROR(
            VLOOKUP($A66, INDIRECT("JunR!$A$6:$ZZ$1048576"), MATCH(T$1, JunR!$6:$6, 0), FALSE),
            0
        ) +
        IFERROR(
            VLOOKUP($A66, INDIRECT("JulR!$A$6:$ZZ$1048576"), MATCH(T$1, JulR!$6:$6, 0), FALSE),
            0
        ) +
        IFERROR(
            VLOOKUP($A66, INDIRECT("AgoR!$A$6:$ZZ$1048576"), MATCH(T$1, AgoR!$6:$6, 0), FALSE),
            0
        ) +
        IFERROR(
            VLOOKUP($A66, INDIRECT("SepR!$A$6:$ZZ$1048576"), MATCH(T$1, SepR!$6:$6, 0), FALSE),
            0
        ) +
        IFERROR(
            VLOOKUP($A66, INDIRECT("OctR!$A$6:$ZZ$1048576"), MATCH(T$1, OctR!$6:$6, 0), FALSE),
            0
        ) +
        IFERROR(
            VLOOKUP($A66, INDIRECT("NovR!$A$6:$ZZ$1048576"), MATCH(T$1, NovR!$6:$6, 0), FALSE),
            0
        ) +
        IFERROR(
            VLOOKUP($A66, INDIRECT("DicR!$A$6:$ZZ$1048576"), MATCH(T$1, DicR!$6:$6, 0), FALSE),
            0
        )
)</f>
        <v>0</v>
      </c>
      <c r="U66" s="37">
        <f t="array" ref="U66">SUM(
    IFERROR(
            VLOOKUP($A66, INDIRECT("EneR!$A$6:$ZZ$1048576"), MATCH(U$1, EneR!$6:$6, 0), FALSE),
            0
        ) +
        IFERROR(
            VLOOKUP($A66, INDIRECT("FebR!$A$6:$ZZ$1048576"), MATCH(U$1, FebR!$6:$6, 0), FALSE),
            0
        ) +
        IFERROR(
            VLOOKUP($A66, INDIRECT("MarR!$A$6:$ZZ$1048576"), MATCH(U$1, MarR!$6:$6, 0), FALSE),
            0
        ) +
        IFERROR(
            VLOOKUP($A66, INDIRECT("AbrR!$A$6:$ZZ$1048576"), MATCH(U$1, AbrR!$6:$6, 0), FALSE),
            0
        ) +
        IFERROR(
            VLOOKUP($A66, INDIRECT("MayR!$A$6:$ZZ$1048576"), MATCH(U$1, MayR!$6:$6, 0), FALSE),
            0
        ) +
        IFERROR(
            VLOOKUP($A66, INDIRECT("JunR!$A$6:$ZZ$1048576"), MATCH(U$1, JunR!$6:$6, 0), FALSE),
            0
        ) +
        IFERROR(
            VLOOKUP($A66, INDIRECT("JulR!$A$6:$ZZ$1048576"), MATCH(U$1, JulR!$6:$6, 0), FALSE),
            0
        ) +
        IFERROR(
            VLOOKUP($A66, INDIRECT("AgoR!$A$6:$ZZ$1048576"), MATCH(U$1, AgoR!$6:$6, 0), FALSE),
            0
        ) +
        IFERROR(
            VLOOKUP($A66, INDIRECT("SepR!$A$6:$ZZ$1048576"), MATCH(U$1, SepR!$6:$6, 0), FALSE),
            0
        ) +
        IFERROR(
            VLOOKUP($A66, INDIRECT("OctR!$A$6:$ZZ$1048576"), MATCH(U$1, OctR!$6:$6, 0), FALSE),
            0
        ) +
        IFERROR(
            VLOOKUP($A66, INDIRECT("NovR!$A$6:$ZZ$1048576"), MATCH(U$1, NovR!$6:$6, 0), FALSE),
            0
        ) +
        IFERROR(
            VLOOKUP($A66, INDIRECT("DicR!$A$6:$ZZ$1048576"), MATCH(U$1, DicR!$6:$6, 0), FALSE),
            0
        )
)</f>
        <v>0</v>
      </c>
      <c r="V66" s="36">
        <f t="array" ref="V66">SUM(
    IFERROR(
            VLOOKUP($A66, INDIRECT("EneR!$A$6:$ZZ$1048576"), MATCH(V$1, EneR!$6:$6, 0), FALSE),
            0
        ) +
        IFERROR(
            VLOOKUP($A66, INDIRECT("FebR!$A$6:$ZZ$1048576"), MATCH(V$1, FebR!$6:$6, 0), FALSE),
            0
        ) +
        IFERROR(
            VLOOKUP($A66, INDIRECT("MarR!$A$6:$ZZ$1048576"), MATCH(V$1, MarR!$6:$6, 0), FALSE),
            0
        ) +
        IFERROR(
            VLOOKUP($A66, INDIRECT("AbrR!$A$6:$ZZ$1048576"), MATCH(V$1, AbrR!$6:$6, 0), FALSE),
            0
        ) +
        IFERROR(
            VLOOKUP($A66, INDIRECT("MayR!$A$6:$ZZ$1048576"), MATCH(V$1, MayR!$6:$6, 0), FALSE),
            0
        ) +
        IFERROR(
            VLOOKUP($A66, INDIRECT("JunR!$A$6:$ZZ$1048576"), MATCH(V$1, JunR!$6:$6, 0), FALSE),
            0
        ) +
        IFERROR(
            VLOOKUP($A66, INDIRECT("JulR!$A$6:$ZZ$1048576"), MATCH(V$1, JulR!$6:$6, 0), FALSE),
            0
        ) +
        IFERROR(
            VLOOKUP($A66, INDIRECT("AgoR!$A$6:$ZZ$1048576"), MATCH(V$1, AgoR!$6:$6, 0), FALSE),
            0
        ) +
        IFERROR(
            VLOOKUP($A66, INDIRECT("SepR!$A$6:$ZZ$1048576"), MATCH(V$1, SepR!$6:$6, 0), FALSE),
            0
        ) +
        IFERROR(
            VLOOKUP($A66, INDIRECT("OctR!$A$6:$ZZ$1048576"), MATCH(V$1, OctR!$6:$6, 0), FALSE),
            0
        ) +
        IFERROR(
            VLOOKUP($A66, INDIRECT("NovR!$A$6:$ZZ$1048576"), MATCH(V$1, NovR!$6:$6, 0), FALSE),
            0
        ) +
        IFERROR(
            VLOOKUP($A66, INDIRECT("DicR!$A$6:$ZZ$1048576"), MATCH(V$1, DicR!$6:$6, 0), FALSE),
            0
        )
)</f>
        <v>0</v>
      </c>
      <c r="W66" s="37">
        <f t="array" ref="W66">SUM(
    IFERROR(
            VLOOKUP($A66, INDIRECT("EneR!$A$6:$ZZ$1048576"), MATCH(W$1, EneR!$6:$6, 0), FALSE),
            0
        ) +
        IFERROR(
            VLOOKUP($A66, INDIRECT("FebR!$A$6:$ZZ$1048576"), MATCH(W$1, FebR!$6:$6, 0), FALSE),
            0
        ) +
        IFERROR(
            VLOOKUP($A66, INDIRECT("MarR!$A$6:$ZZ$1048576"), MATCH(W$1, MarR!$6:$6, 0), FALSE),
            0
        ) +
        IFERROR(
            VLOOKUP($A66, INDIRECT("AbrR!$A$6:$ZZ$1048576"), MATCH(W$1, AbrR!$6:$6, 0), FALSE),
            0
        ) +
        IFERROR(
            VLOOKUP($A66, INDIRECT("MayR!$A$6:$ZZ$1048576"), MATCH(W$1, MayR!$6:$6, 0), FALSE),
            0
        ) +
        IFERROR(
            VLOOKUP($A66, INDIRECT("JunR!$A$6:$ZZ$1048576"), MATCH(W$1, JunR!$6:$6, 0), FALSE),
            0
        ) +
        IFERROR(
            VLOOKUP($A66, INDIRECT("JulR!$A$6:$ZZ$1048576"), MATCH(W$1, JulR!$6:$6, 0), FALSE),
            0
        ) +
        IFERROR(
            VLOOKUP($A66, INDIRECT("AgoR!$A$6:$ZZ$1048576"), MATCH(W$1, AgoR!$6:$6, 0), FALSE),
            0
        ) +
        IFERROR(
            VLOOKUP($A66, INDIRECT("SepR!$A$6:$ZZ$1048576"), MATCH(W$1, SepR!$6:$6, 0), FALSE),
            0
        ) +
        IFERROR(
            VLOOKUP($A66, INDIRECT("OctR!$A$6:$ZZ$1048576"), MATCH(W$1, OctR!$6:$6, 0), FALSE),
            0
        ) +
        IFERROR(
            VLOOKUP($A66, INDIRECT("NovR!$A$6:$ZZ$1048576"), MATCH(W$1, NovR!$6:$6, 0), FALSE),
            0
        ) +
        IFERROR(
            VLOOKUP($A66, INDIRECT("DicR!$A$6:$ZZ$1048576"), MATCH(W$1, DicR!$6:$6, 0), FALSE),
            0
        )
)</f>
        <v>0</v>
      </c>
      <c r="X66" s="36">
        <f t="array" ref="X66">SUM(
    IFERROR(
            VLOOKUP($A66, INDIRECT("EneR!$A$6:$ZZ$1048576"), MATCH(X$1, EneR!$6:$6, 0), FALSE),
            0
        ) +
        IFERROR(
            VLOOKUP($A66, INDIRECT("FebR!$A$6:$ZZ$1048576"), MATCH(X$1, FebR!$6:$6, 0), FALSE),
            0
        ) +
        IFERROR(
            VLOOKUP($A66, INDIRECT("MarR!$A$6:$ZZ$1048576"), MATCH(X$1, MarR!$6:$6, 0), FALSE),
            0
        ) +
        IFERROR(
            VLOOKUP($A66, INDIRECT("AbrR!$A$6:$ZZ$1048576"), MATCH(X$1, AbrR!$6:$6, 0), FALSE),
            0
        ) +
        IFERROR(
            VLOOKUP($A66, INDIRECT("MayR!$A$6:$ZZ$1048576"), MATCH(X$1, MayR!$6:$6, 0), FALSE),
            0
        ) +
        IFERROR(
            VLOOKUP($A66, INDIRECT("JunR!$A$6:$ZZ$1048576"), MATCH(X$1, JunR!$6:$6, 0), FALSE),
            0
        ) +
        IFERROR(
            VLOOKUP($A66, INDIRECT("JulR!$A$6:$ZZ$1048576"), MATCH(X$1, JulR!$6:$6, 0), FALSE),
            0
        ) +
        IFERROR(
            VLOOKUP($A66, INDIRECT("AgoR!$A$6:$ZZ$1048576"), MATCH(X$1, AgoR!$6:$6, 0), FALSE),
            0
        ) +
        IFERROR(
            VLOOKUP($A66, INDIRECT("SepR!$A$6:$ZZ$1048576"), MATCH(X$1, SepR!$6:$6, 0), FALSE),
            0
        ) +
        IFERROR(
            VLOOKUP($A66, INDIRECT("OctR!$A$6:$ZZ$1048576"), MATCH(X$1, OctR!$6:$6, 0), FALSE),
            0
        ) +
        IFERROR(
            VLOOKUP($A66, INDIRECT("NovR!$A$6:$ZZ$1048576"), MATCH(X$1, NovR!$6:$6, 0), FALSE),
            0
        ) +
        IFERROR(
            VLOOKUP($A66, INDIRECT("DicR!$A$6:$ZZ$1048576"), MATCH(X$1, DicR!$6:$6, 0), FALSE),
            0
        )
)</f>
        <v>0</v>
      </c>
      <c r="Y66" s="37">
        <f t="array" ref="Y66">SUM(
    IFERROR(
            VLOOKUP($A66, INDIRECT("EneR!$A$6:$ZZ$1048576"), MATCH(Y$1, EneR!$6:$6, 0), FALSE),
            0
        ) +
        IFERROR(
            VLOOKUP($A66, INDIRECT("FebR!$A$6:$ZZ$1048576"), MATCH(Y$1, FebR!$6:$6, 0), FALSE),
            0
        ) +
        IFERROR(
            VLOOKUP($A66, INDIRECT("MarR!$A$6:$ZZ$1048576"), MATCH(Y$1, MarR!$6:$6, 0), FALSE),
            0
        ) +
        IFERROR(
            VLOOKUP($A66, INDIRECT("AbrR!$A$6:$ZZ$1048576"), MATCH(Y$1, AbrR!$6:$6, 0), FALSE),
            0
        ) +
        IFERROR(
            VLOOKUP($A66, INDIRECT("MayR!$A$6:$ZZ$1048576"), MATCH(Y$1, MayR!$6:$6, 0), FALSE),
            0
        ) +
        IFERROR(
            VLOOKUP($A66, INDIRECT("JunR!$A$6:$ZZ$1048576"), MATCH(Y$1, JunR!$6:$6, 0), FALSE),
            0
        ) +
        IFERROR(
            VLOOKUP($A66, INDIRECT("JulR!$A$6:$ZZ$1048576"), MATCH(Y$1, JulR!$6:$6, 0), FALSE),
            0
        ) +
        IFERROR(
            VLOOKUP($A66, INDIRECT("AgoR!$A$6:$ZZ$1048576"), MATCH(Y$1, AgoR!$6:$6, 0), FALSE),
            0
        ) +
        IFERROR(
            VLOOKUP($A66, INDIRECT("SepR!$A$6:$ZZ$1048576"), MATCH(Y$1, SepR!$6:$6, 0), FALSE),
            0
        ) +
        IFERROR(
            VLOOKUP($A66, INDIRECT("OctR!$A$6:$ZZ$1048576"), MATCH(Y$1, OctR!$6:$6, 0), FALSE),
            0
        ) +
        IFERROR(
            VLOOKUP($A66, INDIRECT("NovR!$A$6:$ZZ$1048576"), MATCH(Y$1, NovR!$6:$6, 0), FALSE),
            0
        ) +
        IFERROR(
            VLOOKUP($A66, INDIRECT("DicR!$A$6:$ZZ$1048576"), MATCH(Y$1, DicR!$6:$6, 0), FALSE),
            0
        )
)</f>
        <v>0</v>
      </c>
      <c r="Z66" s="36">
        <f t="array" ref="Z66">SUM(
    IFERROR(
            VLOOKUP($A66, INDIRECT("EneR!$A$6:$ZZ$1048576"), MATCH(Z$1, EneR!$6:$6, 0), FALSE),
            0
        ) +
        IFERROR(
            VLOOKUP($A66, INDIRECT("FebR!$A$6:$ZZ$1048576"), MATCH(Z$1, FebR!$6:$6, 0), FALSE),
            0
        ) +
        IFERROR(
            VLOOKUP($A66, INDIRECT("MarR!$A$6:$ZZ$1048576"), MATCH(Z$1, MarR!$6:$6, 0), FALSE),
            0
        ) +
        IFERROR(
            VLOOKUP($A66, INDIRECT("AbrR!$A$6:$ZZ$1048576"), MATCH(Z$1, AbrR!$6:$6, 0), FALSE),
            0
        ) +
        IFERROR(
            VLOOKUP($A66, INDIRECT("MayR!$A$6:$ZZ$1048576"), MATCH(Z$1, MayR!$6:$6, 0), FALSE),
            0
        ) +
        IFERROR(
            VLOOKUP($A66, INDIRECT("JunR!$A$6:$ZZ$1048576"), MATCH(Z$1, JunR!$6:$6, 0), FALSE),
            0
        ) +
        IFERROR(
            VLOOKUP($A66, INDIRECT("JulR!$A$6:$ZZ$1048576"), MATCH(Z$1, JulR!$6:$6, 0), FALSE),
            0
        ) +
        IFERROR(
            VLOOKUP($A66, INDIRECT("AgoR!$A$6:$ZZ$1048576"), MATCH(Z$1, AgoR!$6:$6, 0), FALSE),
            0
        ) +
        IFERROR(
            VLOOKUP($A66, INDIRECT("SepR!$A$6:$ZZ$1048576"), MATCH(Z$1, SepR!$6:$6, 0), FALSE),
            0
        ) +
        IFERROR(
            VLOOKUP($A66, INDIRECT("OctR!$A$6:$ZZ$1048576"), MATCH(Z$1, OctR!$6:$6, 0), FALSE),
            0
        ) +
        IFERROR(
            VLOOKUP($A66, INDIRECT("NovR!$A$6:$ZZ$1048576"), MATCH(Z$1, NovR!$6:$6, 0), FALSE),
            0
        ) +
        IFERROR(
            VLOOKUP($A66, INDIRECT("DicR!$A$6:$ZZ$1048576"), MATCH(Z$1, DicR!$6:$6, 0), FALSE),
            0
        )
)</f>
        <v>0</v>
      </c>
      <c r="AA66" s="37">
        <f t="array" ref="AA66">SUM(
    IFERROR(
            VLOOKUP($A66, INDIRECT("EneR!$A$6:$ZZ$1048576"), MATCH(AA$1, EneR!$6:$6, 0), FALSE),
            0
        ) +
        IFERROR(
            VLOOKUP($A66, INDIRECT("FebR!$A$6:$ZZ$1048576"), MATCH(AA$1, FebR!$6:$6, 0), FALSE),
            0
        ) +
        IFERROR(
            VLOOKUP($A66, INDIRECT("MarR!$A$6:$ZZ$1048576"), MATCH(AA$1, MarR!$6:$6, 0), FALSE),
            0
        ) +
        IFERROR(
            VLOOKUP($A66, INDIRECT("AbrR!$A$6:$ZZ$1048576"), MATCH(AA$1, AbrR!$6:$6, 0), FALSE),
            0
        ) +
        IFERROR(
            VLOOKUP($A66, INDIRECT("MayR!$A$6:$ZZ$1048576"), MATCH(AA$1, MayR!$6:$6, 0), FALSE),
            0
        ) +
        IFERROR(
            VLOOKUP($A66, INDIRECT("JunR!$A$6:$ZZ$1048576"), MATCH(AA$1, JunR!$6:$6, 0), FALSE),
            0
        ) +
        IFERROR(
            VLOOKUP($A66, INDIRECT("JulR!$A$6:$ZZ$1048576"), MATCH(AA$1, JulR!$6:$6, 0), FALSE),
            0
        ) +
        IFERROR(
            VLOOKUP($A66, INDIRECT("AgoR!$A$6:$ZZ$1048576"), MATCH(AA$1, AgoR!$6:$6, 0), FALSE),
            0
        ) +
        IFERROR(
            VLOOKUP($A66, INDIRECT("SepR!$A$6:$ZZ$1048576"), MATCH(AA$1, SepR!$6:$6, 0), FALSE),
            0
        ) +
        IFERROR(
            VLOOKUP($A66, INDIRECT("OctR!$A$6:$ZZ$1048576"), MATCH(AA$1, OctR!$6:$6, 0), FALSE),
            0
        ) +
        IFERROR(
            VLOOKUP($A66, INDIRECT("NovR!$A$6:$ZZ$1048576"), MATCH(AA$1, NovR!$6:$6, 0), FALSE),
            0
        ) +
        IFERROR(
            VLOOKUP($A66, INDIRECT("DicR!$A$6:$ZZ$1048576"), MATCH(AA$1, DicR!$6:$6, 0), FALSE),
            0
        )
)</f>
        <v>0</v>
      </c>
      <c r="AB66" s="36">
        <f t="array" ref="AB66">SUM(
    IFERROR(
            VLOOKUP($A66, INDIRECT("EneR!$A$6:$ZZ$1048576"), MATCH(AB$1, EneR!$6:$6, 0), FALSE),
            0
        ) +
        IFERROR(
            VLOOKUP($A66, INDIRECT("FebR!$A$6:$ZZ$1048576"), MATCH(AB$1, FebR!$6:$6, 0), FALSE),
            0
        ) +
        IFERROR(
            VLOOKUP($A66, INDIRECT("MarR!$A$6:$ZZ$1048576"), MATCH(AB$1, MarR!$6:$6, 0), FALSE),
            0
        ) +
        IFERROR(
            VLOOKUP($A66, INDIRECT("AbrR!$A$6:$ZZ$1048576"), MATCH(AB$1, AbrR!$6:$6, 0), FALSE),
            0
        ) +
        IFERROR(
            VLOOKUP($A66, INDIRECT("MayR!$A$6:$ZZ$1048576"), MATCH(AB$1, MayR!$6:$6, 0), FALSE),
            0
        ) +
        IFERROR(
            VLOOKUP($A66, INDIRECT("JunR!$A$6:$ZZ$1048576"), MATCH(AB$1, JunR!$6:$6, 0), FALSE),
            0
        ) +
        IFERROR(
            VLOOKUP($A66, INDIRECT("JulR!$A$6:$ZZ$1048576"), MATCH(AB$1, JulR!$6:$6, 0), FALSE),
            0
        ) +
        IFERROR(
            VLOOKUP($A66, INDIRECT("AgoR!$A$6:$ZZ$1048576"), MATCH(AB$1, AgoR!$6:$6, 0), FALSE),
            0
        ) +
        IFERROR(
            VLOOKUP($A66, INDIRECT("SepR!$A$6:$ZZ$1048576"), MATCH(AB$1, SepR!$6:$6, 0), FALSE),
            0
        ) +
        IFERROR(
            VLOOKUP($A66, INDIRECT("OctR!$A$6:$ZZ$1048576"), MATCH(AB$1, OctR!$6:$6, 0), FALSE),
            0
        ) +
        IFERROR(
            VLOOKUP($A66, INDIRECT("NovR!$A$6:$ZZ$1048576"), MATCH(AB$1, NovR!$6:$6, 0), FALSE),
            0
        ) +
        IFERROR(
            VLOOKUP($A66, INDIRECT("DicR!$A$6:$ZZ$1048576"), MATCH(AB$1, DicR!$6:$6, 0), FALSE),
            0
        )
)</f>
        <v>0</v>
      </c>
      <c r="AC66" s="37">
        <f t="array" ref="AC66">SUM(
    IFERROR(
            VLOOKUP($A66, INDIRECT("EneR!$A$6:$ZZ$1048576"), MATCH(AC$1, EneR!$6:$6, 0), FALSE),
            0
        ) +
        IFERROR(
            VLOOKUP($A66, INDIRECT("FebR!$A$6:$ZZ$1048576"), MATCH(AC$1, FebR!$6:$6, 0), FALSE),
            0
        ) +
        IFERROR(
            VLOOKUP($A66, INDIRECT("MarR!$A$6:$ZZ$1048576"), MATCH(AC$1, MarR!$6:$6, 0), FALSE),
            0
        ) +
        IFERROR(
            VLOOKUP($A66, INDIRECT("AbrR!$A$6:$ZZ$1048576"), MATCH(AC$1, AbrR!$6:$6, 0), FALSE),
            0
        ) +
        IFERROR(
            VLOOKUP($A66, INDIRECT("MayR!$A$6:$ZZ$1048576"), MATCH(AC$1, MayR!$6:$6, 0), FALSE),
            0
        ) +
        IFERROR(
            VLOOKUP($A66, INDIRECT("JunR!$A$6:$ZZ$1048576"), MATCH(AC$1, JunR!$6:$6, 0), FALSE),
            0
        ) +
        IFERROR(
            VLOOKUP($A66, INDIRECT("JulR!$A$6:$ZZ$1048576"), MATCH(AC$1, JulR!$6:$6, 0), FALSE),
            0
        ) +
        IFERROR(
            VLOOKUP($A66, INDIRECT("AgoR!$A$6:$ZZ$1048576"), MATCH(AC$1, AgoR!$6:$6, 0), FALSE),
            0
        ) +
        IFERROR(
            VLOOKUP($A66, INDIRECT("SepR!$A$6:$ZZ$1048576"), MATCH(AC$1, SepR!$6:$6, 0), FALSE),
            0
        ) +
        IFERROR(
            VLOOKUP($A66, INDIRECT("OctR!$A$6:$ZZ$1048576"), MATCH(AC$1, OctR!$6:$6, 0), FALSE),
            0
        ) +
        IFERROR(
            VLOOKUP($A66, INDIRECT("NovR!$A$6:$ZZ$1048576"), MATCH(AC$1, NovR!$6:$6, 0), FALSE),
            0
        ) +
        IFERROR(
            VLOOKUP($A66, INDIRECT("DicR!$A$6:$ZZ$1048576"), MATCH(AC$1, DicR!$6:$6, 0), FALSE),
            0
        )
)</f>
        <v>0</v>
      </c>
      <c r="AD66" s="36">
        <f t="array" ref="AD66">SUM(
    IFERROR(
            VLOOKUP($A66, INDIRECT("EneR!$A$6:$ZZ$1048576"), MATCH(AD$1, EneR!$6:$6, 0), FALSE),
            0
        ) +
        IFERROR(
            VLOOKUP($A66, INDIRECT("FebR!$A$6:$ZZ$1048576"), MATCH(AD$1, FebR!$6:$6, 0), FALSE),
            0
        ) +
        IFERROR(
            VLOOKUP($A66, INDIRECT("MarR!$A$6:$ZZ$1048576"), MATCH(AD$1, MarR!$6:$6, 0), FALSE),
            0
        ) +
        IFERROR(
            VLOOKUP($A66, INDIRECT("AbrR!$A$6:$ZZ$1048576"), MATCH(AD$1, AbrR!$6:$6, 0), FALSE),
            0
        ) +
        IFERROR(
            VLOOKUP($A66, INDIRECT("MayR!$A$6:$ZZ$1048576"), MATCH(AD$1, MayR!$6:$6, 0), FALSE),
            0
        ) +
        IFERROR(
            VLOOKUP($A66, INDIRECT("JunR!$A$6:$ZZ$1048576"), MATCH(AD$1, JunR!$6:$6, 0), FALSE),
            0
        ) +
        IFERROR(
            VLOOKUP($A66, INDIRECT("JulR!$A$6:$ZZ$1048576"), MATCH(AD$1, JulR!$6:$6, 0), FALSE),
            0
        ) +
        IFERROR(
            VLOOKUP($A66, INDIRECT("AgoR!$A$6:$ZZ$1048576"), MATCH(AD$1, AgoR!$6:$6, 0), FALSE),
            0
        ) +
        IFERROR(
            VLOOKUP($A66, INDIRECT("SepR!$A$6:$ZZ$1048576"), MATCH(AD$1, SepR!$6:$6, 0), FALSE),
            0
        ) +
        IFERROR(
            VLOOKUP($A66, INDIRECT("OctR!$A$6:$ZZ$1048576"), MATCH(AD$1, OctR!$6:$6, 0), FALSE),
            0
        ) +
        IFERROR(
            VLOOKUP($A66, INDIRECT("NovR!$A$6:$ZZ$1048576"), MATCH(AD$1, NovR!$6:$6, 0), FALSE),
            0
        ) +
        IFERROR(
            VLOOKUP($A66, INDIRECT("DicR!$A$6:$ZZ$1048576"), MATCH(AD$1, DicR!$6:$6, 0), FALSE),
            0
        )
)</f>
        <v>0</v>
      </c>
      <c r="AE66" s="37">
        <f t="array" ref="AE66">SUM(
    IFERROR(
            VLOOKUP($A66, INDIRECT("EneR!$A$6:$ZZ$1048576"), MATCH(AE$1, EneR!$6:$6, 0), FALSE),
            0
        ) +
        IFERROR(
            VLOOKUP($A66, INDIRECT("FebR!$A$6:$ZZ$1048576"), MATCH(AE$1, FebR!$6:$6, 0), FALSE),
            0
        ) +
        IFERROR(
            VLOOKUP($A66, INDIRECT("MarR!$A$6:$ZZ$1048576"), MATCH(AE$1, MarR!$6:$6, 0), FALSE),
            0
        ) +
        IFERROR(
            VLOOKUP($A66, INDIRECT("AbrR!$A$6:$ZZ$1048576"), MATCH(AE$1, AbrR!$6:$6, 0), FALSE),
            0
        ) +
        IFERROR(
            VLOOKUP($A66, INDIRECT("MayR!$A$6:$ZZ$1048576"), MATCH(AE$1, MayR!$6:$6, 0), FALSE),
            0
        ) +
        IFERROR(
            VLOOKUP($A66, INDIRECT("JunR!$A$6:$ZZ$1048576"), MATCH(AE$1, JunR!$6:$6, 0), FALSE),
            0
        ) +
        IFERROR(
            VLOOKUP($A66, INDIRECT("JulR!$A$6:$ZZ$1048576"), MATCH(AE$1, JulR!$6:$6, 0), FALSE),
            0
        ) +
        IFERROR(
            VLOOKUP($A66, INDIRECT("AgoR!$A$6:$ZZ$1048576"), MATCH(AE$1, AgoR!$6:$6, 0), FALSE),
            0
        ) +
        IFERROR(
            VLOOKUP($A66, INDIRECT("SepR!$A$6:$ZZ$1048576"), MATCH(AE$1, SepR!$6:$6, 0), FALSE),
            0
        ) +
        IFERROR(
            VLOOKUP($A66, INDIRECT("OctR!$A$6:$ZZ$1048576"), MATCH(AE$1, OctR!$6:$6, 0), FALSE),
            0
        ) +
        IFERROR(
            VLOOKUP($A66, INDIRECT("NovR!$A$6:$ZZ$1048576"), MATCH(AE$1, NovR!$6:$6, 0), FALSE),
            0
        ) +
        IFERROR(
            VLOOKUP($A66, INDIRECT("DicR!$A$6:$ZZ$1048576"), MATCH(AE$1, DicR!$6:$6, 0), FALSE),
            0
        )
)</f>
        <v>0</v>
      </c>
      <c r="AF66" s="36">
        <f t="array" ref="AF66">SUM(
    IFERROR(
            VLOOKUP($A66, INDIRECT("EneR!$A$6:$ZZ$1048576"), MATCH(AF$1, EneR!$6:$6, 0), FALSE),
            0
        ) +
        IFERROR(
            VLOOKUP($A66, INDIRECT("FebR!$A$6:$ZZ$1048576"), MATCH(AF$1, FebR!$6:$6, 0), FALSE),
            0
        ) +
        IFERROR(
            VLOOKUP($A66, INDIRECT("MarR!$A$6:$ZZ$1048576"), MATCH(AF$1, MarR!$6:$6, 0), FALSE),
            0
        ) +
        IFERROR(
            VLOOKUP($A66, INDIRECT("AbrR!$A$6:$ZZ$1048576"), MATCH(AF$1, AbrR!$6:$6, 0), FALSE),
            0
        ) +
        IFERROR(
            VLOOKUP($A66, INDIRECT("MayR!$A$6:$ZZ$1048576"), MATCH(AF$1, MayR!$6:$6, 0), FALSE),
            0
        ) +
        IFERROR(
            VLOOKUP($A66, INDIRECT("JunR!$A$6:$ZZ$1048576"), MATCH(AF$1, JunR!$6:$6, 0), FALSE),
            0
        ) +
        IFERROR(
            VLOOKUP($A66, INDIRECT("JulR!$A$6:$ZZ$1048576"), MATCH(AF$1, JulR!$6:$6, 0), FALSE),
            0
        ) +
        IFERROR(
            VLOOKUP($A66, INDIRECT("AgoR!$A$6:$ZZ$1048576"), MATCH(AF$1, AgoR!$6:$6, 0), FALSE),
            0
        ) +
        IFERROR(
            VLOOKUP($A66, INDIRECT("SepR!$A$6:$ZZ$1048576"), MATCH(AF$1, SepR!$6:$6, 0), FALSE),
            0
        ) +
        IFERROR(
            VLOOKUP($A66, INDIRECT("OctR!$A$6:$ZZ$1048576"), MATCH(AF$1, OctR!$6:$6, 0), FALSE),
            0
        ) +
        IFERROR(
            VLOOKUP($A66, INDIRECT("NovR!$A$6:$ZZ$1048576"), MATCH(AF$1, NovR!$6:$6, 0), FALSE),
            0
        ) +
        IFERROR(
            VLOOKUP($A66, INDIRECT("DicR!$A$6:$ZZ$1048576"), MATCH(AF$1, DicR!$6:$6, 0), FALSE),
            0
        )
)</f>
        <v>0</v>
      </c>
      <c r="AG66" s="37">
        <f t="array" ref="AG66">SUM(
    IFERROR(
            VLOOKUP($A66, INDIRECT("EneR!$A$6:$ZZ$1048576"), MATCH(AG$1, EneR!$6:$6, 0), FALSE),
            0
        ) +
        IFERROR(
            VLOOKUP($A66, INDIRECT("FebR!$A$6:$ZZ$1048576"), MATCH(AG$1, FebR!$6:$6, 0), FALSE),
            0
        ) +
        IFERROR(
            VLOOKUP($A66, INDIRECT("MarR!$A$6:$ZZ$1048576"), MATCH(AG$1, MarR!$6:$6, 0), FALSE),
            0
        ) +
        IFERROR(
            VLOOKUP($A66, INDIRECT("AbrR!$A$6:$ZZ$1048576"), MATCH(AG$1, AbrR!$6:$6, 0), FALSE),
            0
        ) +
        IFERROR(
            VLOOKUP($A66, INDIRECT("MayR!$A$6:$ZZ$1048576"), MATCH(AG$1, MayR!$6:$6, 0), FALSE),
            0
        ) +
        IFERROR(
            VLOOKUP($A66, INDIRECT("JunR!$A$6:$ZZ$1048576"), MATCH(AG$1, JunR!$6:$6, 0), FALSE),
            0
        ) +
        IFERROR(
            VLOOKUP($A66, INDIRECT("JulR!$A$6:$ZZ$1048576"), MATCH(AG$1, JulR!$6:$6, 0), FALSE),
            0
        ) +
        IFERROR(
            VLOOKUP($A66, INDIRECT("AgoR!$A$6:$ZZ$1048576"), MATCH(AG$1, AgoR!$6:$6, 0), FALSE),
            0
        ) +
        IFERROR(
            VLOOKUP($A66, INDIRECT("SepR!$A$6:$ZZ$1048576"), MATCH(AG$1, SepR!$6:$6, 0), FALSE),
            0
        ) +
        IFERROR(
            VLOOKUP($A66, INDIRECT("OctR!$A$6:$ZZ$1048576"), MATCH(AG$1, OctR!$6:$6, 0), FALSE),
            0
        ) +
        IFERROR(
            VLOOKUP($A66, INDIRECT("NovR!$A$6:$ZZ$1048576"), MATCH(AG$1, NovR!$6:$6, 0), FALSE),
            0
        ) +
        IFERROR(
            VLOOKUP($A66, INDIRECT("DicR!$A$6:$ZZ$1048576"), MATCH(AG$1, DicR!$6:$6, 0), FALSE),
            0
        )
)</f>
        <v>0</v>
      </c>
      <c r="AH66" s="36">
        <f t="array" ref="AH66">SUM(
    IFERROR(
            VLOOKUP($A66, INDIRECT("EneR!$A$6:$ZZ$1048576"), MATCH(AH$1, EneR!$6:$6, 0), FALSE),
            0
        ) +
        IFERROR(
            VLOOKUP($A66, INDIRECT("FebR!$A$6:$ZZ$1048576"), MATCH(AH$1, FebR!$6:$6, 0), FALSE),
            0
        ) +
        IFERROR(
            VLOOKUP($A66, INDIRECT("MarR!$A$6:$ZZ$1048576"), MATCH(AH$1, MarR!$6:$6, 0), FALSE),
            0
        ) +
        IFERROR(
            VLOOKUP($A66, INDIRECT("AbrR!$A$6:$ZZ$1048576"), MATCH(AH$1, AbrR!$6:$6, 0), FALSE),
            0
        ) +
        IFERROR(
            VLOOKUP($A66, INDIRECT("MayR!$A$6:$ZZ$1048576"), MATCH(AH$1, MayR!$6:$6, 0), FALSE),
            0
        ) +
        IFERROR(
            VLOOKUP($A66, INDIRECT("JunR!$A$6:$ZZ$1048576"), MATCH(AH$1, JunR!$6:$6, 0), FALSE),
            0
        ) +
        IFERROR(
            VLOOKUP($A66, INDIRECT("JulR!$A$6:$ZZ$1048576"), MATCH(AH$1, JulR!$6:$6, 0), FALSE),
            0
        ) +
        IFERROR(
            VLOOKUP($A66, INDIRECT("AgoR!$A$6:$ZZ$1048576"), MATCH(AH$1, AgoR!$6:$6, 0), FALSE),
            0
        ) +
        IFERROR(
            VLOOKUP($A66, INDIRECT("SepR!$A$6:$ZZ$1048576"), MATCH(AH$1, SepR!$6:$6, 0), FALSE),
            0
        ) +
        IFERROR(
            VLOOKUP($A66, INDIRECT("OctR!$A$6:$ZZ$1048576"), MATCH(AH$1, OctR!$6:$6, 0), FALSE),
            0
        ) +
        IFERROR(
            VLOOKUP($A66, INDIRECT("NovR!$A$6:$ZZ$1048576"), MATCH(AH$1, NovR!$6:$6, 0), FALSE),
            0
        ) +
        IFERROR(
            VLOOKUP($A66, INDIRECT("DicR!$A$6:$ZZ$1048576"), MATCH(AH$1, DicR!$6:$6, 0), FALSE),
            0
        )
)</f>
        <v>0</v>
      </c>
      <c r="AI66" s="37">
        <f t="array" ref="AI66">SUM(
    IFERROR(
            VLOOKUP($A66, INDIRECT("EneR!$A$6:$ZZ$1048576"), MATCH(AI$1, EneR!$6:$6, 0), FALSE),
            0
        ) +
        IFERROR(
            VLOOKUP($A66, INDIRECT("FebR!$A$6:$ZZ$1048576"), MATCH(AI$1, FebR!$6:$6, 0), FALSE),
            0
        ) +
        IFERROR(
            VLOOKUP($A66, INDIRECT("MarR!$A$6:$ZZ$1048576"), MATCH(AI$1, MarR!$6:$6, 0), FALSE),
            0
        ) +
        IFERROR(
            VLOOKUP($A66, INDIRECT("AbrR!$A$6:$ZZ$1048576"), MATCH(AI$1, AbrR!$6:$6, 0), FALSE),
            0
        ) +
        IFERROR(
            VLOOKUP($A66, INDIRECT("MayR!$A$6:$ZZ$1048576"), MATCH(AI$1, MayR!$6:$6, 0), FALSE),
            0
        ) +
        IFERROR(
            VLOOKUP($A66, INDIRECT("JunR!$A$6:$ZZ$1048576"), MATCH(AI$1, JunR!$6:$6, 0), FALSE),
            0
        ) +
        IFERROR(
            VLOOKUP($A66, INDIRECT("JulR!$A$6:$ZZ$1048576"), MATCH(AI$1, JulR!$6:$6, 0), FALSE),
            0
        ) +
        IFERROR(
            VLOOKUP($A66, INDIRECT("AgoR!$A$6:$ZZ$1048576"), MATCH(AI$1, AgoR!$6:$6, 0), FALSE),
            0
        ) +
        IFERROR(
            VLOOKUP($A66, INDIRECT("SepR!$A$6:$ZZ$1048576"), MATCH(AI$1, SepR!$6:$6, 0), FALSE),
            0
        ) +
        IFERROR(
            VLOOKUP($A66, INDIRECT("OctR!$A$6:$ZZ$1048576"), MATCH(AI$1, OctR!$6:$6, 0), FALSE),
            0
        ) +
        IFERROR(
            VLOOKUP($A66, INDIRECT("NovR!$A$6:$ZZ$1048576"), MATCH(AI$1, NovR!$6:$6, 0), FALSE),
            0
        ) +
        IFERROR(
            VLOOKUP($A66, INDIRECT("DicR!$A$6:$ZZ$1048576"), MATCH(AI$1, DicR!$6:$6, 0), FALSE),
            0
        )
)</f>
        <v>0</v>
      </c>
      <c r="AJ66" s="36">
        <f t="array" ref="AJ66">SUM(
    IFERROR(
            VLOOKUP($A66, INDIRECT("EneR!$A$6:$ZZ$1048576"), MATCH(AJ$1, EneR!$6:$6, 0), FALSE),
            0
        ) +
        IFERROR(
            VLOOKUP($A66, INDIRECT("FebR!$A$6:$ZZ$1048576"), MATCH(AJ$1, FebR!$6:$6, 0), FALSE),
            0
        ) +
        IFERROR(
            VLOOKUP($A66, INDIRECT("MarR!$A$6:$ZZ$1048576"), MATCH(AJ$1, MarR!$6:$6, 0), FALSE),
            0
        ) +
        IFERROR(
            VLOOKUP($A66, INDIRECT("AbrR!$A$6:$ZZ$1048576"), MATCH(AJ$1, AbrR!$6:$6, 0), FALSE),
            0
        ) +
        IFERROR(
            VLOOKUP($A66, INDIRECT("MayR!$A$6:$ZZ$1048576"), MATCH(AJ$1, MayR!$6:$6, 0), FALSE),
            0
        ) +
        IFERROR(
            VLOOKUP($A66, INDIRECT("JunR!$A$6:$ZZ$1048576"), MATCH(AJ$1, JunR!$6:$6, 0), FALSE),
            0
        ) +
        IFERROR(
            VLOOKUP($A66, INDIRECT("JulR!$A$6:$ZZ$1048576"), MATCH(AJ$1, JulR!$6:$6, 0), FALSE),
            0
        ) +
        IFERROR(
            VLOOKUP($A66, INDIRECT("AgoR!$A$6:$ZZ$1048576"), MATCH(AJ$1, AgoR!$6:$6, 0), FALSE),
            0
        ) +
        IFERROR(
            VLOOKUP($A66, INDIRECT("SepR!$A$6:$ZZ$1048576"), MATCH(AJ$1, SepR!$6:$6, 0), FALSE),
            0
        ) +
        IFERROR(
            VLOOKUP($A66, INDIRECT("OctR!$A$6:$ZZ$1048576"), MATCH(AJ$1, OctR!$6:$6, 0), FALSE),
            0
        ) +
        IFERROR(
            VLOOKUP($A66, INDIRECT("NovR!$A$6:$ZZ$1048576"), MATCH(AJ$1, NovR!$6:$6, 0), FALSE),
            0
        ) +
        IFERROR(
            VLOOKUP($A66, INDIRECT("DicR!$A$6:$ZZ$1048576"), MATCH(AJ$1, DicR!$6:$6, 0), FALSE),
            0
        )
)</f>
        <v>0</v>
      </c>
      <c r="AK66" s="37">
        <f t="array" ref="AK66">SUM(
    IFERROR(
            VLOOKUP($A66, INDIRECT("EneR!$A$6:$ZZ$1048576"), MATCH(AK$1, EneR!$6:$6, 0), FALSE),
            0
        ) +
        IFERROR(
            VLOOKUP($A66, INDIRECT("FebR!$A$6:$ZZ$1048576"), MATCH(AK$1, FebR!$6:$6, 0), FALSE),
            0
        ) +
        IFERROR(
            VLOOKUP($A66, INDIRECT("MarR!$A$6:$ZZ$1048576"), MATCH(AK$1, MarR!$6:$6, 0), FALSE),
            0
        ) +
        IFERROR(
            VLOOKUP($A66, INDIRECT("AbrR!$A$6:$ZZ$1048576"), MATCH(AK$1, AbrR!$6:$6, 0), FALSE),
            0
        ) +
        IFERROR(
            VLOOKUP($A66, INDIRECT("MayR!$A$6:$ZZ$1048576"), MATCH(AK$1, MayR!$6:$6, 0), FALSE),
            0
        ) +
        IFERROR(
            VLOOKUP($A66, INDIRECT("JunR!$A$6:$ZZ$1048576"), MATCH(AK$1, JunR!$6:$6, 0), FALSE),
            0
        ) +
        IFERROR(
            VLOOKUP($A66, INDIRECT("JulR!$A$6:$ZZ$1048576"), MATCH(AK$1, JulR!$6:$6, 0), FALSE),
            0
        ) +
        IFERROR(
            VLOOKUP($A66, INDIRECT("AgoR!$A$6:$ZZ$1048576"), MATCH(AK$1, AgoR!$6:$6, 0), FALSE),
            0
        ) +
        IFERROR(
            VLOOKUP($A66, INDIRECT("SepR!$A$6:$ZZ$1048576"), MATCH(AK$1, SepR!$6:$6, 0), FALSE),
            0
        ) +
        IFERROR(
            VLOOKUP($A66, INDIRECT("OctR!$A$6:$ZZ$1048576"), MATCH(AK$1, OctR!$6:$6, 0), FALSE),
            0
        ) +
        IFERROR(
            VLOOKUP($A66, INDIRECT("NovR!$A$6:$ZZ$1048576"), MATCH(AK$1, NovR!$6:$6, 0), FALSE),
            0
        ) +
        IFERROR(
            VLOOKUP($A66, INDIRECT("DicR!$A$6:$ZZ$1048576"), MATCH(AK$1, DicR!$6:$6, 0), FALSE),
            0
        )
)</f>
        <v>0</v>
      </c>
      <c r="AL66" s="36">
        <f t="array" ref="AL66">SUM(
    IFERROR(
            VLOOKUP($A66, INDIRECT("EneR!$A$6:$ZZ$1048576"), MATCH(AL$1, EneR!$6:$6, 0), FALSE),
            0
        ) +
        IFERROR(
            VLOOKUP($A66, INDIRECT("FebR!$A$6:$ZZ$1048576"), MATCH(AL$1, FebR!$6:$6, 0), FALSE),
            0
        ) +
        IFERROR(
            VLOOKUP($A66, INDIRECT("MarR!$A$6:$ZZ$1048576"), MATCH(AL$1, MarR!$6:$6, 0), FALSE),
            0
        ) +
        IFERROR(
            VLOOKUP($A66, INDIRECT("AbrR!$A$6:$ZZ$1048576"), MATCH(AL$1, AbrR!$6:$6, 0), FALSE),
            0
        ) +
        IFERROR(
            VLOOKUP($A66, INDIRECT("MayR!$A$6:$ZZ$1048576"), MATCH(AL$1, MayR!$6:$6, 0), FALSE),
            0
        ) +
        IFERROR(
            VLOOKUP($A66, INDIRECT("JunR!$A$6:$ZZ$1048576"), MATCH(AL$1, JunR!$6:$6, 0), FALSE),
            0
        ) +
        IFERROR(
            VLOOKUP($A66, INDIRECT("JulR!$A$6:$ZZ$1048576"), MATCH(AL$1, JulR!$6:$6, 0), FALSE),
            0
        ) +
        IFERROR(
            VLOOKUP($A66, INDIRECT("AgoR!$A$6:$ZZ$1048576"), MATCH(AL$1, AgoR!$6:$6, 0), FALSE),
            0
        ) +
        IFERROR(
            VLOOKUP($A66, INDIRECT("SepR!$A$6:$ZZ$1048576"), MATCH(AL$1, SepR!$6:$6, 0), FALSE),
            0
        ) +
        IFERROR(
            VLOOKUP($A66, INDIRECT("OctR!$A$6:$ZZ$1048576"), MATCH(AL$1, OctR!$6:$6, 0), FALSE),
            0
        ) +
        IFERROR(
            VLOOKUP($A66, INDIRECT("NovR!$A$6:$ZZ$1048576"), MATCH(AL$1, NovR!$6:$6, 0), FALSE),
            0
        ) +
        IFERROR(
            VLOOKUP($A66, INDIRECT("DicR!$A$6:$ZZ$1048576"), MATCH(AL$1, DicR!$6:$6, 0), FALSE),
            0
        )
)</f>
        <v>0</v>
      </c>
      <c r="AM66" s="37">
        <f t="array" ref="AM66">SUM(
    IFERROR(
            VLOOKUP($A66, INDIRECT("EneR!$A$6:$ZZ$1048576"), MATCH(AM$1, EneR!$6:$6, 0), FALSE),
            0
        ) +
        IFERROR(
            VLOOKUP($A66, INDIRECT("FebR!$A$6:$ZZ$1048576"), MATCH(AM$1, FebR!$6:$6, 0), FALSE),
            0
        ) +
        IFERROR(
            VLOOKUP($A66, INDIRECT("MarR!$A$6:$ZZ$1048576"), MATCH(AM$1, MarR!$6:$6, 0), FALSE),
            0
        ) +
        IFERROR(
            VLOOKUP($A66, INDIRECT("AbrR!$A$6:$ZZ$1048576"), MATCH(AM$1, AbrR!$6:$6, 0), FALSE),
            0
        ) +
        IFERROR(
            VLOOKUP($A66, INDIRECT("MayR!$A$6:$ZZ$1048576"), MATCH(AM$1, MayR!$6:$6, 0), FALSE),
            0
        ) +
        IFERROR(
            VLOOKUP($A66, INDIRECT("JunR!$A$6:$ZZ$1048576"), MATCH(AM$1, JunR!$6:$6, 0), FALSE),
            0
        ) +
        IFERROR(
            VLOOKUP($A66, INDIRECT("JulR!$A$6:$ZZ$1048576"), MATCH(AM$1, JulR!$6:$6, 0), FALSE),
            0
        ) +
        IFERROR(
            VLOOKUP($A66, INDIRECT("AgoR!$A$6:$ZZ$1048576"), MATCH(AM$1, AgoR!$6:$6, 0), FALSE),
            0
        ) +
        IFERROR(
            VLOOKUP($A66, INDIRECT("SepR!$A$6:$ZZ$1048576"), MATCH(AM$1, SepR!$6:$6, 0), FALSE),
            0
        ) +
        IFERROR(
            VLOOKUP($A66, INDIRECT("OctR!$A$6:$ZZ$1048576"), MATCH(AM$1, OctR!$6:$6, 0), FALSE),
            0
        ) +
        IFERROR(
            VLOOKUP($A66, INDIRECT("NovR!$A$6:$ZZ$1048576"), MATCH(AM$1, NovR!$6:$6, 0), FALSE),
            0
        ) +
        IFERROR(
            VLOOKUP($A66, INDIRECT("DicR!$A$6:$ZZ$1048576"), MATCH(AM$1, DicR!$6:$6, 0), FALSE),
            0
        )
)</f>
        <v>0</v>
      </c>
      <c r="AN66" s="32">
        <f t="array" ref="AN66">SUM(
    IFERROR(
            VLOOKUP($A66, INDIRECT("EneR!$A$6:$ZZ$1048576"), MATCH(AN$1, EneR!$6:$6, 0), FALSE),
            0
        ) +
        IFERROR(
            VLOOKUP($A66, INDIRECT("FebR!$A$6:$ZZ$1048576"), MATCH(AN$1, FebR!$6:$6, 0), FALSE),
            0
        ) +
        IFERROR(
            VLOOKUP($A66, INDIRECT("MarR!$A$6:$ZZ$1048576"), MATCH(AN$1, MarR!$6:$6, 0), FALSE),
            0
        ) +
        IFERROR(
            VLOOKUP($A66, INDIRECT("AbrR!$A$6:$ZZ$1048576"), MATCH(AN$1, AbrR!$6:$6, 0), FALSE),
            0
        ) +
        IFERROR(
            VLOOKUP($A66, INDIRECT("MayR!$A$6:$ZZ$1048576"), MATCH(AN$1, MayR!$6:$6, 0), FALSE),
            0
        ) +
        IFERROR(
            VLOOKUP($A66, INDIRECT("JunR!$A$6:$ZZ$1048576"), MATCH(AN$1, JunR!$6:$6, 0), FALSE),
            0
        ) +
        IFERROR(
            VLOOKUP($A66, INDIRECT("JulR!$A$6:$ZZ$1048576"), MATCH(AN$1, JulR!$6:$6, 0), FALSE),
            0
        ) +
        IFERROR(
            VLOOKUP($A66, INDIRECT("AgoR!$A$6:$ZZ$1048576"), MATCH(AN$1, AgoR!$6:$6, 0), FALSE),
            0
        ) +
        IFERROR(
            VLOOKUP($A66, INDIRECT("SepR!$A$6:$ZZ$1048576"), MATCH(AN$1, SepR!$6:$6, 0), FALSE),
            0
        ) +
        IFERROR(
            VLOOKUP($A66, INDIRECT("OctR!$A$6:$ZZ$1048576"), MATCH(AN$1, OctR!$6:$6, 0), FALSE),
            0
        ) +
        IFERROR(
            VLOOKUP($A66, INDIRECT("NovR!$A$6:$ZZ$1048576"), MATCH(AN$1, NovR!$6:$6, 0), FALSE),
            0
        ) +
        IFERROR(
            VLOOKUP($A66, INDIRECT("DicR!$A$6:$ZZ$1048576"), MATCH(AN$1, DicR!$6:$6, 0), FALSE),
            0
        )
)</f>
        <v>0</v>
      </c>
      <c r="AO66" s="35">
        <f t="array" ref="AO66">SUM(
    IFERROR(
            VLOOKUP($A66, INDIRECT("EneR!$A$6:$ZZ$1048576"), MATCH(AO$1, EneR!$6:$6, 0), FALSE),
            0
        ) +
        IFERROR(
            VLOOKUP($A66, INDIRECT("FebR!$A$6:$ZZ$1048576"), MATCH(AO$1, FebR!$6:$6, 0), FALSE),
            0
        ) +
        IFERROR(
            VLOOKUP($A66, INDIRECT("MarR!$A$6:$ZZ$1048576"), MATCH(AO$1, MarR!$6:$6, 0), FALSE),
            0
        ) +
        IFERROR(
            VLOOKUP($A66, INDIRECT("AbrR!$A$6:$ZZ$1048576"), MATCH(AO$1, AbrR!$6:$6, 0), FALSE),
            0
        ) +
        IFERROR(
            VLOOKUP($A66, INDIRECT("MayR!$A$6:$ZZ$1048576"), MATCH(AO$1, MayR!$6:$6, 0), FALSE),
            0
        ) +
        IFERROR(
            VLOOKUP($A66, INDIRECT("JunR!$A$6:$ZZ$1048576"), MATCH(AO$1, JunR!$6:$6, 0), FALSE),
            0
        ) +
        IFERROR(
            VLOOKUP($A66, INDIRECT("JulR!$A$6:$ZZ$1048576"), MATCH(AO$1, JulR!$6:$6, 0), FALSE),
            0
        ) +
        IFERROR(
            VLOOKUP($A66, INDIRECT("AgoR!$A$6:$ZZ$1048576"), MATCH(AO$1, AgoR!$6:$6, 0), FALSE),
            0
        ) +
        IFERROR(
            VLOOKUP($A66, INDIRECT("SepR!$A$6:$ZZ$1048576"), MATCH(AO$1, SepR!$6:$6, 0), FALSE),
            0
        ) +
        IFERROR(
            VLOOKUP($A66, INDIRECT("OctR!$A$6:$ZZ$1048576"), MATCH(AO$1, OctR!$6:$6, 0), FALSE),
            0
        ) +
        IFERROR(
            VLOOKUP($A66, INDIRECT("NovR!$A$6:$ZZ$1048576"), MATCH(AO$1, NovR!$6:$6, 0), FALSE),
            0
        ) +
        IFERROR(
            VLOOKUP($A66, INDIRECT("DicR!$A$6:$ZZ$1048576"), MATCH(AO$1, DicR!$6:$6, 0), FALSE),
            0
        )
)</f>
        <v>0</v>
      </c>
      <c r="AP66" s="36">
        <f t="array" ref="AP66">SUM(
    IFERROR(
            VLOOKUP($A66, INDIRECT("EneR!$A$6:$ZZ$1048576"), MATCH(AP$1, EneR!$6:$6, 0), FALSE),
            0
        ) +
        IFERROR(
            VLOOKUP($A66, INDIRECT("FebR!$A$6:$ZZ$1048576"), MATCH(AP$1, FebR!$6:$6, 0), FALSE),
            0
        ) +
        IFERROR(
            VLOOKUP($A66, INDIRECT("MarR!$A$6:$ZZ$1048576"), MATCH(AP$1, MarR!$6:$6, 0), FALSE),
            0
        ) +
        IFERROR(
            VLOOKUP($A66, INDIRECT("AbrR!$A$6:$ZZ$1048576"), MATCH(AP$1, AbrR!$6:$6, 0), FALSE),
            0
        ) +
        IFERROR(
            VLOOKUP($A66, INDIRECT("MayR!$A$6:$ZZ$1048576"), MATCH(AP$1, MayR!$6:$6, 0), FALSE),
            0
        ) +
        IFERROR(
            VLOOKUP($A66, INDIRECT("JunR!$A$6:$ZZ$1048576"), MATCH(AP$1, JunR!$6:$6, 0), FALSE),
            0
        ) +
        IFERROR(
            VLOOKUP($A66, INDIRECT("JulR!$A$6:$ZZ$1048576"), MATCH(AP$1, JulR!$6:$6, 0), FALSE),
            0
        ) +
        IFERROR(
            VLOOKUP($A66, INDIRECT("AgoR!$A$6:$ZZ$1048576"), MATCH(AP$1, AgoR!$6:$6, 0), FALSE),
            0
        ) +
        IFERROR(
            VLOOKUP($A66, INDIRECT("SepR!$A$6:$ZZ$1048576"), MATCH(AP$1, SepR!$6:$6, 0), FALSE),
            0
        ) +
        IFERROR(
            VLOOKUP($A66, INDIRECT("OctR!$A$6:$ZZ$1048576"), MATCH(AP$1, OctR!$6:$6, 0), FALSE),
            0
        ) +
        IFERROR(
            VLOOKUP($A66, INDIRECT("NovR!$A$6:$ZZ$1048576"), MATCH(AP$1, NovR!$6:$6, 0), FALSE),
            0
        ) +
        IFERROR(
            VLOOKUP($A66, INDIRECT("DicR!$A$6:$ZZ$1048576"), MATCH(AP$1, DicR!$6:$6, 0), FALSE),
            0
        )
)</f>
        <v>0</v>
      </c>
      <c r="AQ66" s="35">
        <f t="array" ref="AQ66">SUM(
    IFERROR(
            VLOOKUP($A66, INDIRECT("EneR!$A$6:$ZZ$1048576"), MATCH(AQ$1, EneR!$6:$6, 0), FALSE),
            0
        ) +
        IFERROR(
            VLOOKUP($A66, INDIRECT("FebR!$A$6:$ZZ$1048576"), MATCH(AQ$1, FebR!$6:$6, 0), FALSE),
            0
        ) +
        IFERROR(
            VLOOKUP($A66, INDIRECT("MarR!$A$6:$ZZ$1048576"), MATCH(AQ$1, MarR!$6:$6, 0), FALSE),
            0
        ) +
        IFERROR(
            VLOOKUP($A66, INDIRECT("AbrR!$A$6:$ZZ$1048576"), MATCH(AQ$1, AbrR!$6:$6, 0), FALSE),
            0
        ) +
        IFERROR(
            VLOOKUP($A66, INDIRECT("MayR!$A$6:$ZZ$1048576"), MATCH(AQ$1, MayR!$6:$6, 0), FALSE),
            0
        ) +
        IFERROR(
            VLOOKUP($A66, INDIRECT("JunR!$A$6:$ZZ$1048576"), MATCH(AQ$1, JunR!$6:$6, 0), FALSE),
            0
        ) +
        IFERROR(
            VLOOKUP($A66, INDIRECT("JulR!$A$6:$ZZ$1048576"), MATCH(AQ$1, JulR!$6:$6, 0), FALSE),
            0
        ) +
        IFERROR(
            VLOOKUP($A66, INDIRECT("AgoR!$A$6:$ZZ$1048576"), MATCH(AQ$1, AgoR!$6:$6, 0), FALSE),
            0
        ) +
        IFERROR(
            VLOOKUP($A66, INDIRECT("SepR!$A$6:$ZZ$1048576"), MATCH(AQ$1, SepR!$6:$6, 0), FALSE),
            0
        ) +
        IFERROR(
            VLOOKUP($A66, INDIRECT("OctR!$A$6:$ZZ$1048576"), MATCH(AQ$1, OctR!$6:$6, 0), FALSE),
            0
        ) +
        IFERROR(
            VLOOKUP($A66, INDIRECT("NovR!$A$6:$ZZ$1048576"), MATCH(AQ$1, NovR!$6:$6, 0), FALSE),
            0
        ) +
        IFERROR(
            VLOOKUP($A66, INDIRECT("DicR!$A$6:$ZZ$1048576"), MATCH(AQ$1, DicR!$6:$6, 0), FALSE),
            0
        )
)</f>
        <v>0</v>
      </c>
      <c r="AR66" s="36">
        <f t="array" ref="AR66">SUM(
    IFERROR(
            VLOOKUP($A66, INDIRECT("EneR!$A$6:$ZZ$1048576"), MATCH(AR$1, EneR!$6:$6, 0), FALSE),
            0
        ) +
        IFERROR(
            VLOOKUP($A66, INDIRECT("FebR!$A$6:$ZZ$1048576"), MATCH(AR$1, FebR!$6:$6, 0), FALSE),
            0
        ) +
        IFERROR(
            VLOOKUP($A66, INDIRECT("MarR!$A$6:$ZZ$1048576"), MATCH(AR$1, MarR!$6:$6, 0), FALSE),
            0
        ) +
        IFERROR(
            VLOOKUP($A66, INDIRECT("AbrR!$A$6:$ZZ$1048576"), MATCH(AR$1, AbrR!$6:$6, 0), FALSE),
            0
        ) +
        IFERROR(
            VLOOKUP($A66, INDIRECT("MayR!$A$6:$ZZ$1048576"), MATCH(AR$1, MayR!$6:$6, 0), FALSE),
            0
        ) +
        IFERROR(
            VLOOKUP($A66, INDIRECT("JunR!$A$6:$ZZ$1048576"), MATCH(AR$1, JunR!$6:$6, 0), FALSE),
            0
        ) +
        IFERROR(
            VLOOKUP($A66, INDIRECT("JulR!$A$6:$ZZ$1048576"), MATCH(AR$1, JulR!$6:$6, 0), FALSE),
            0
        ) +
        IFERROR(
            VLOOKUP($A66, INDIRECT("AgoR!$A$6:$ZZ$1048576"), MATCH(AR$1, AgoR!$6:$6, 0), FALSE),
            0
        ) +
        IFERROR(
            VLOOKUP($A66, INDIRECT("SepR!$A$6:$ZZ$1048576"), MATCH(AR$1, SepR!$6:$6, 0), FALSE),
            0
        ) +
        IFERROR(
            VLOOKUP($A66, INDIRECT("OctR!$A$6:$ZZ$1048576"), MATCH(AR$1, OctR!$6:$6, 0), FALSE),
            0
        ) +
        IFERROR(
            VLOOKUP($A66, INDIRECT("NovR!$A$6:$ZZ$1048576"), MATCH(AR$1, NovR!$6:$6, 0), FALSE),
            0
        ) +
        IFERROR(
            VLOOKUP($A66, INDIRECT("DicR!$A$6:$ZZ$1048576"), MATCH(AR$1, DicR!$6:$6, 0), FALSE),
            0
        )
)</f>
        <v>0</v>
      </c>
      <c r="AS66" s="35">
        <f t="array" ref="AS66">SUM(
    IFERROR(
            VLOOKUP($A66, INDIRECT("EneR!$A$6:$ZZ$1048576"), MATCH(AS$1, EneR!$6:$6, 0), FALSE),
            0
        ) +
        IFERROR(
            VLOOKUP($A66, INDIRECT("FebR!$A$6:$ZZ$1048576"), MATCH(AS$1, FebR!$6:$6, 0), FALSE),
            0
        ) +
        IFERROR(
            VLOOKUP($A66, INDIRECT("MarR!$A$6:$ZZ$1048576"), MATCH(AS$1, MarR!$6:$6, 0), FALSE),
            0
        ) +
        IFERROR(
            VLOOKUP($A66, INDIRECT("AbrR!$A$6:$ZZ$1048576"), MATCH(AS$1, AbrR!$6:$6, 0), FALSE),
            0
        ) +
        IFERROR(
            VLOOKUP($A66, INDIRECT("MayR!$A$6:$ZZ$1048576"), MATCH(AS$1, MayR!$6:$6, 0), FALSE),
            0
        ) +
        IFERROR(
            VLOOKUP($A66, INDIRECT("JunR!$A$6:$ZZ$1048576"), MATCH(AS$1, JunR!$6:$6, 0), FALSE),
            0
        ) +
        IFERROR(
            VLOOKUP($A66, INDIRECT("JulR!$A$6:$ZZ$1048576"), MATCH(AS$1, JulR!$6:$6, 0), FALSE),
            0
        ) +
        IFERROR(
            VLOOKUP($A66, INDIRECT("AgoR!$A$6:$ZZ$1048576"), MATCH(AS$1, AgoR!$6:$6, 0), FALSE),
            0
        ) +
        IFERROR(
            VLOOKUP($A66, INDIRECT("SepR!$A$6:$ZZ$1048576"), MATCH(AS$1, SepR!$6:$6, 0), FALSE),
            0
        ) +
        IFERROR(
            VLOOKUP($A66, INDIRECT("OctR!$A$6:$ZZ$1048576"), MATCH(AS$1, OctR!$6:$6, 0), FALSE),
            0
        ) +
        IFERROR(
            VLOOKUP($A66, INDIRECT("NovR!$A$6:$ZZ$1048576"), MATCH(AS$1, NovR!$6:$6, 0), FALSE),
            0
        ) +
        IFERROR(
            VLOOKUP($A66, INDIRECT("DicR!$A$6:$ZZ$1048576"), MATCH(AS$1, DicR!$6:$6, 0), FALSE),
            0
        )
)</f>
        <v>0</v>
      </c>
      <c r="AT66" s="36">
        <f t="array" ref="AT66">SUM(
    IFERROR(
            VLOOKUP($A66, INDIRECT("EneR!$A$6:$ZZ$1048576"), MATCH(AT$1, EneR!$6:$6, 0), FALSE),
            0
        ) +
        IFERROR(
            VLOOKUP($A66, INDIRECT("FebR!$A$6:$ZZ$1048576"), MATCH(AT$1, FebR!$6:$6, 0), FALSE),
            0
        ) +
        IFERROR(
            VLOOKUP($A66, INDIRECT("MarR!$A$6:$ZZ$1048576"), MATCH(AT$1, MarR!$6:$6, 0), FALSE),
            0
        ) +
        IFERROR(
            VLOOKUP($A66, INDIRECT("AbrR!$A$6:$ZZ$1048576"), MATCH(AT$1, AbrR!$6:$6, 0), FALSE),
            0
        ) +
        IFERROR(
            VLOOKUP($A66, INDIRECT("MayR!$A$6:$ZZ$1048576"), MATCH(AT$1, MayR!$6:$6, 0), FALSE),
            0
        ) +
        IFERROR(
            VLOOKUP($A66, INDIRECT("JunR!$A$6:$ZZ$1048576"), MATCH(AT$1, JunR!$6:$6, 0), FALSE),
            0
        ) +
        IFERROR(
            VLOOKUP($A66, INDIRECT("JulR!$A$6:$ZZ$1048576"), MATCH(AT$1, JulR!$6:$6, 0), FALSE),
            0
        ) +
        IFERROR(
            VLOOKUP($A66, INDIRECT("AgoR!$A$6:$ZZ$1048576"), MATCH(AT$1, AgoR!$6:$6, 0), FALSE),
            0
        ) +
        IFERROR(
            VLOOKUP($A66, INDIRECT("SepR!$A$6:$ZZ$1048576"), MATCH(AT$1, SepR!$6:$6, 0), FALSE),
            0
        ) +
        IFERROR(
            VLOOKUP($A66, INDIRECT("OctR!$A$6:$ZZ$1048576"), MATCH(AT$1, OctR!$6:$6, 0), FALSE),
            0
        ) +
        IFERROR(
            VLOOKUP($A66, INDIRECT("NovR!$A$6:$ZZ$1048576"), MATCH(AT$1, NovR!$6:$6, 0), FALSE),
            0
        ) +
        IFERROR(
            VLOOKUP($A66, INDIRECT("DicR!$A$6:$ZZ$1048576"), MATCH(AT$1, DicR!$6:$6, 0), FALSE),
            0
        )
)</f>
        <v>0</v>
      </c>
      <c r="AU66" s="35">
        <f t="array" ref="AU66">SUM(
    IFERROR(
            VLOOKUP($A66, INDIRECT("EneR!$A$6:$ZZ$1048576"), MATCH(AU$1, EneR!$6:$6, 0), FALSE),
            0
        ) +
        IFERROR(
            VLOOKUP($A66, INDIRECT("FebR!$A$6:$ZZ$1048576"), MATCH(AU$1, FebR!$6:$6, 0), FALSE),
            0
        ) +
        IFERROR(
            VLOOKUP($A66, INDIRECT("MarR!$A$6:$ZZ$1048576"), MATCH(AU$1, MarR!$6:$6, 0), FALSE),
            0
        ) +
        IFERROR(
            VLOOKUP($A66, INDIRECT("AbrR!$A$6:$ZZ$1048576"), MATCH(AU$1, AbrR!$6:$6, 0), FALSE),
            0
        ) +
        IFERROR(
            VLOOKUP($A66, INDIRECT("MayR!$A$6:$ZZ$1048576"), MATCH(AU$1, MayR!$6:$6, 0), FALSE),
            0
        ) +
        IFERROR(
            VLOOKUP($A66, INDIRECT("JunR!$A$6:$ZZ$1048576"), MATCH(AU$1, JunR!$6:$6, 0), FALSE),
            0
        ) +
        IFERROR(
            VLOOKUP($A66, INDIRECT("JulR!$A$6:$ZZ$1048576"), MATCH(AU$1, JulR!$6:$6, 0), FALSE),
            0
        ) +
        IFERROR(
            VLOOKUP($A66, INDIRECT("AgoR!$A$6:$ZZ$1048576"), MATCH(AU$1, AgoR!$6:$6, 0), FALSE),
            0
        ) +
        IFERROR(
            VLOOKUP($A66, INDIRECT("SepR!$A$6:$ZZ$1048576"), MATCH(AU$1, SepR!$6:$6, 0), FALSE),
            0
        ) +
        IFERROR(
            VLOOKUP($A66, INDIRECT("OctR!$A$6:$ZZ$1048576"), MATCH(AU$1, OctR!$6:$6, 0), FALSE),
            0
        ) +
        IFERROR(
            VLOOKUP($A66, INDIRECT("NovR!$A$6:$ZZ$1048576"), MATCH(AU$1, NovR!$6:$6, 0), FALSE),
            0
        ) +
        IFERROR(
            VLOOKUP($A66, INDIRECT("DicR!$A$6:$ZZ$1048576"), MATCH(AU$1, DicR!$6:$6, 0), FALSE),
            0
        )
)</f>
        <v>0</v>
      </c>
      <c r="AV66" s="36">
        <f t="array" ref="AV66">SUM(
    IFERROR(
            VLOOKUP($A66, INDIRECT("EneR!$A$6:$ZZ$1048576"), MATCH(AV$1, EneR!$6:$6, 0), FALSE),
            0
        ) +
        IFERROR(
            VLOOKUP($A66, INDIRECT("FebR!$A$6:$ZZ$1048576"), MATCH(AV$1, FebR!$6:$6, 0), FALSE),
            0
        ) +
        IFERROR(
            VLOOKUP($A66, INDIRECT("MarR!$A$6:$ZZ$1048576"), MATCH(AV$1, MarR!$6:$6, 0), FALSE),
            0
        ) +
        IFERROR(
            VLOOKUP($A66, INDIRECT("AbrR!$A$6:$ZZ$1048576"), MATCH(AV$1, AbrR!$6:$6, 0), FALSE),
            0
        ) +
        IFERROR(
            VLOOKUP($A66, INDIRECT("MayR!$A$6:$ZZ$1048576"), MATCH(AV$1, MayR!$6:$6, 0), FALSE),
            0
        ) +
        IFERROR(
            VLOOKUP($A66, INDIRECT("JunR!$A$6:$ZZ$1048576"), MATCH(AV$1, JunR!$6:$6, 0), FALSE),
            0
        ) +
        IFERROR(
            VLOOKUP($A66, INDIRECT("JulR!$A$6:$ZZ$1048576"), MATCH(AV$1, JulR!$6:$6, 0), FALSE),
            0
        ) +
        IFERROR(
            VLOOKUP($A66, INDIRECT("AgoR!$A$6:$ZZ$1048576"), MATCH(AV$1, AgoR!$6:$6, 0), FALSE),
            0
        ) +
        IFERROR(
            VLOOKUP($A66, INDIRECT("SepR!$A$6:$ZZ$1048576"), MATCH(AV$1, SepR!$6:$6, 0), FALSE),
            0
        ) +
        IFERROR(
            VLOOKUP($A66, INDIRECT("OctR!$A$6:$ZZ$1048576"), MATCH(AV$1, OctR!$6:$6, 0), FALSE),
            0
        ) +
        IFERROR(
            VLOOKUP($A66, INDIRECT("NovR!$A$6:$ZZ$1048576"), MATCH(AV$1, NovR!$6:$6, 0), FALSE),
            0
        ) +
        IFERROR(
            VLOOKUP($A66, INDIRECT("DicR!$A$6:$ZZ$1048576"), MATCH(AV$1, DicR!$6:$6, 0), FALSE),
            0
        )
)</f>
        <v>0</v>
      </c>
      <c r="AW66" s="35">
        <f t="array" ref="AW66">SUM(
    IFERROR(
            VLOOKUP($A66, INDIRECT("EneR!$A$6:$ZZ$1048576"), MATCH(AW$1, EneR!$6:$6, 0), FALSE),
            0
        ) +
        IFERROR(
            VLOOKUP($A66, INDIRECT("FebR!$A$6:$ZZ$1048576"), MATCH(AW$1, FebR!$6:$6, 0), FALSE),
            0
        ) +
        IFERROR(
            VLOOKUP($A66, INDIRECT("MarR!$A$6:$ZZ$1048576"), MATCH(AW$1, MarR!$6:$6, 0), FALSE),
            0
        ) +
        IFERROR(
            VLOOKUP($A66, INDIRECT("AbrR!$A$6:$ZZ$1048576"), MATCH(AW$1, AbrR!$6:$6, 0), FALSE),
            0
        ) +
        IFERROR(
            VLOOKUP($A66, INDIRECT("MayR!$A$6:$ZZ$1048576"), MATCH(AW$1, MayR!$6:$6, 0), FALSE),
            0
        ) +
        IFERROR(
            VLOOKUP($A66, INDIRECT("JunR!$A$6:$ZZ$1048576"), MATCH(AW$1, JunR!$6:$6, 0), FALSE),
            0
        ) +
        IFERROR(
            VLOOKUP($A66, INDIRECT("JulR!$A$6:$ZZ$1048576"), MATCH(AW$1, JulR!$6:$6, 0), FALSE),
            0
        ) +
        IFERROR(
            VLOOKUP($A66, INDIRECT("AgoR!$A$6:$ZZ$1048576"), MATCH(AW$1, AgoR!$6:$6, 0), FALSE),
            0
        ) +
        IFERROR(
            VLOOKUP($A66, INDIRECT("SepR!$A$6:$ZZ$1048576"), MATCH(AW$1, SepR!$6:$6, 0), FALSE),
            0
        ) +
        IFERROR(
            VLOOKUP($A66, INDIRECT("OctR!$A$6:$ZZ$1048576"), MATCH(AW$1, OctR!$6:$6, 0), FALSE),
            0
        ) +
        IFERROR(
            VLOOKUP($A66, INDIRECT("NovR!$A$6:$ZZ$1048576"), MATCH(AW$1, NovR!$6:$6, 0), FALSE),
            0
        ) +
        IFERROR(
            VLOOKUP($A66, INDIRECT("DicR!$A$6:$ZZ$1048576"), MATCH(AW$1, DicR!$6:$6, 0), FALSE),
            0
        )
)</f>
        <v>0</v>
      </c>
      <c r="AX66" s="36">
        <f t="array" ref="AX66">SUM(
    IFERROR(
            VLOOKUP($A66, INDIRECT("EneR!$A$6:$ZZ$1048576"), MATCH(AX$1, EneR!$6:$6, 0), FALSE),
            0
        ) +
        IFERROR(
            VLOOKUP($A66, INDIRECT("FebR!$A$6:$ZZ$1048576"), MATCH(AX$1, FebR!$6:$6, 0), FALSE),
            0
        ) +
        IFERROR(
            VLOOKUP($A66, INDIRECT("MarR!$A$6:$ZZ$1048576"), MATCH(AX$1, MarR!$6:$6, 0), FALSE),
            0
        ) +
        IFERROR(
            VLOOKUP($A66, INDIRECT("AbrR!$A$6:$ZZ$1048576"), MATCH(AX$1, AbrR!$6:$6, 0), FALSE),
            0
        ) +
        IFERROR(
            VLOOKUP($A66, INDIRECT("MayR!$A$6:$ZZ$1048576"), MATCH(AX$1, MayR!$6:$6, 0), FALSE),
            0
        ) +
        IFERROR(
            VLOOKUP($A66, INDIRECT("JunR!$A$6:$ZZ$1048576"), MATCH(AX$1, JunR!$6:$6, 0), FALSE),
            0
        ) +
        IFERROR(
            VLOOKUP($A66, INDIRECT("JulR!$A$6:$ZZ$1048576"), MATCH(AX$1, JulR!$6:$6, 0), FALSE),
            0
        ) +
        IFERROR(
            VLOOKUP($A66, INDIRECT("AgoR!$A$6:$ZZ$1048576"), MATCH(AX$1, AgoR!$6:$6, 0), FALSE),
            0
        ) +
        IFERROR(
            VLOOKUP($A66, INDIRECT("SepR!$A$6:$ZZ$1048576"), MATCH(AX$1, SepR!$6:$6, 0), FALSE),
            0
        ) +
        IFERROR(
            VLOOKUP($A66, INDIRECT("OctR!$A$6:$ZZ$1048576"), MATCH(AX$1, OctR!$6:$6, 0), FALSE),
            0
        ) +
        IFERROR(
            VLOOKUP($A66, INDIRECT("NovR!$A$6:$ZZ$1048576"), MATCH(AX$1, NovR!$6:$6, 0), FALSE),
            0
        ) +
        IFERROR(
            VLOOKUP($A66, INDIRECT("DicR!$A$6:$ZZ$1048576"), MATCH(AX$1, DicR!$6:$6, 0), FALSE),
            0
        )
)</f>
        <v>0</v>
      </c>
      <c r="AY66" s="35">
        <f t="array" ref="AY66">SUM(
    IFERROR(
            VLOOKUP($A66, INDIRECT("EneR!$A$6:$ZZ$1048576"), MATCH(AY$1, EneR!$6:$6, 0), FALSE),
            0
        ) +
        IFERROR(
            VLOOKUP($A66, INDIRECT("FebR!$A$6:$ZZ$1048576"), MATCH(AY$1, FebR!$6:$6, 0), FALSE),
            0
        ) +
        IFERROR(
            VLOOKUP($A66, INDIRECT("MarR!$A$6:$ZZ$1048576"), MATCH(AY$1, MarR!$6:$6, 0), FALSE),
            0
        ) +
        IFERROR(
            VLOOKUP($A66, INDIRECT("AbrR!$A$6:$ZZ$1048576"), MATCH(AY$1, AbrR!$6:$6, 0), FALSE),
            0
        ) +
        IFERROR(
            VLOOKUP($A66, INDIRECT("MayR!$A$6:$ZZ$1048576"), MATCH(AY$1, MayR!$6:$6, 0), FALSE),
            0
        ) +
        IFERROR(
            VLOOKUP($A66, INDIRECT("JunR!$A$6:$ZZ$1048576"), MATCH(AY$1, JunR!$6:$6, 0), FALSE),
            0
        ) +
        IFERROR(
            VLOOKUP($A66, INDIRECT("JulR!$A$6:$ZZ$1048576"), MATCH(AY$1, JulR!$6:$6, 0), FALSE),
            0
        ) +
        IFERROR(
            VLOOKUP($A66, INDIRECT("AgoR!$A$6:$ZZ$1048576"), MATCH(AY$1, AgoR!$6:$6, 0), FALSE),
            0
        ) +
        IFERROR(
            VLOOKUP($A66, INDIRECT("SepR!$A$6:$ZZ$1048576"), MATCH(AY$1, SepR!$6:$6, 0), FALSE),
            0
        ) +
        IFERROR(
            VLOOKUP($A66, INDIRECT("OctR!$A$6:$ZZ$1048576"), MATCH(AY$1, OctR!$6:$6, 0), FALSE),
            0
        ) +
        IFERROR(
            VLOOKUP($A66, INDIRECT("NovR!$A$6:$ZZ$1048576"), MATCH(AY$1, NovR!$6:$6, 0), FALSE),
            0
        ) +
        IFERROR(
            VLOOKUP($A66, INDIRECT("DicR!$A$6:$ZZ$1048576"), MATCH(AY$1, DicR!$6:$6, 0), FALSE),
            0
        )
)</f>
        <v>0</v>
      </c>
      <c r="AZ66" s="35"/>
    </row>
    <row r="67" ht="15.75" customHeight="1">
      <c r="A67" s="12" t="str">
        <f>Menus!B28</f>
        <v/>
      </c>
      <c r="B67" s="32">
        <f t="shared" si="9"/>
        <v>0</v>
      </c>
      <c r="C67" s="33" t="str">
        <f t="shared" si="10"/>
        <v/>
      </c>
      <c r="D67" s="34">
        <f t="array" ref="D67">SUM(
    IFERROR(
            VLOOKUP($A67, INDIRECT("EneR!$A$6:$ZZ$1048576"), MATCH(D$1, EneR!$6:$6, 0), FALSE),
            0
        ) +
        IFERROR(
            VLOOKUP($A67, INDIRECT("FebR!$A$6:$ZZ$1048576"), MATCH(D$1, FebR!$6:$6, 0), FALSE),
            0
        ) +
        IFERROR(
            VLOOKUP($A67, INDIRECT("MarR!$A$6:$ZZ$1048576"), MATCH(D$1, MarR!$6:$6, 0), FALSE),
            0
        ) +
        IFERROR(
            VLOOKUP($A67, INDIRECT("AbrR!$A$6:$ZZ$1048576"), MATCH(D$1, AbrR!$6:$6, 0), FALSE),
            0
        ) +
        IFERROR(
            VLOOKUP($A67, INDIRECT("MayR!$A$6:$ZZ$1048576"), MATCH(D$1, MayR!$6:$6, 0), FALSE),
            0
        ) +
        IFERROR(
            VLOOKUP($A67, INDIRECT("JunR!$A$6:$ZZ$1048576"), MATCH(D$1, JunR!$6:$6, 0), FALSE),
            0
        ) +
        IFERROR(
            VLOOKUP($A67, INDIRECT("JulR!$A$6:$ZZ$1048576"), MATCH(D$1, JulR!$6:$6, 0), FALSE),
            0
        ) +
        IFERROR(
            VLOOKUP($A67, INDIRECT("AgoR!$A$6:$ZZ$1048576"), MATCH(D$1, AgoR!$6:$6, 0), FALSE),
            0
        ) +
        IFERROR(
            VLOOKUP($A67, INDIRECT("SepR!$A$6:$ZZ$1048576"), MATCH(D$1, SepR!$6:$6, 0), FALSE),
            0
        ) +
        IFERROR(
            VLOOKUP($A67, INDIRECT("OctR!$A$6:$ZZ$1048576"), MATCH(D$1, OctR!$6:$6, 0), FALSE),
            0
        ) +
        IFERROR(
            VLOOKUP($A67, INDIRECT("NovR!$A$6:$ZZ$1048576"), MATCH(D$1, NovR!$6:$6, 0), FALSE),
            0
        ) +
        IFERROR(
            VLOOKUP($A67, INDIRECT("DicR!$A$6:$ZZ$1048576"), MATCH(D$1, DicR!$6:$6, 0), FALSE),
            0
        )
)</f>
        <v>0</v>
      </c>
      <c r="E67" s="35">
        <f t="array" ref="E67">SUM(
    IFERROR(
            VLOOKUP($A67, INDIRECT("EneR!$A$6:$ZZ$1048576"), MATCH(E$1, EneR!$6:$6, 0), FALSE),
            0
        ) +
        IFERROR(
            VLOOKUP($A67, INDIRECT("FebR!$A$6:$ZZ$1048576"), MATCH(E$1, FebR!$6:$6, 0), FALSE),
            0
        ) +
        IFERROR(
            VLOOKUP($A67, INDIRECT("MarR!$A$6:$ZZ$1048576"), MATCH(E$1, MarR!$6:$6, 0), FALSE),
            0
        ) +
        IFERROR(
            VLOOKUP($A67, INDIRECT("AbrR!$A$6:$ZZ$1048576"), MATCH(E$1, AbrR!$6:$6, 0), FALSE),
            0
        ) +
        IFERROR(
            VLOOKUP($A67, INDIRECT("MayR!$A$6:$ZZ$1048576"), MATCH(E$1, MayR!$6:$6, 0), FALSE),
            0
        ) +
        IFERROR(
            VLOOKUP($A67, INDIRECT("JunR!$A$6:$ZZ$1048576"), MATCH(E$1, JunR!$6:$6, 0), FALSE),
            0
        ) +
        IFERROR(
            VLOOKUP($A67, INDIRECT("JulR!$A$6:$ZZ$1048576"), MATCH(E$1, JulR!$6:$6, 0), FALSE),
            0
        ) +
        IFERROR(
            VLOOKUP($A67, INDIRECT("AgoR!$A$6:$ZZ$1048576"), MATCH(E$1, AgoR!$6:$6, 0), FALSE),
            0
        ) +
        IFERROR(
            VLOOKUP($A67, INDIRECT("SepR!$A$6:$ZZ$1048576"), MATCH(E$1, SepR!$6:$6, 0), FALSE),
            0
        ) +
        IFERROR(
            VLOOKUP($A67, INDIRECT("OctR!$A$6:$ZZ$1048576"), MATCH(E$1, OctR!$6:$6, 0), FALSE),
            0
        ) +
        IFERROR(
            VLOOKUP($A67, INDIRECT("NovR!$A$6:$ZZ$1048576"), MATCH(E$1, NovR!$6:$6, 0), FALSE),
            0
        ) +
        IFERROR(
            VLOOKUP($A67, INDIRECT("DicR!$A$6:$ZZ$1048576"), MATCH(E$1, DicR!$6:$6, 0), FALSE),
            0
        )
)</f>
        <v>0</v>
      </c>
      <c r="F67" s="32">
        <f t="array" ref="F67">SUM(
    IFERROR(
            VLOOKUP($A67, INDIRECT("EneR!$A$6:$ZZ$1048576"), MATCH(F$1, EneR!$6:$6, 0), FALSE),
            0
        ) +
        IFERROR(
            VLOOKUP($A67, INDIRECT("FebR!$A$6:$ZZ$1048576"), MATCH(F$1, FebR!$6:$6, 0), FALSE),
            0
        ) +
        IFERROR(
            VLOOKUP($A67, INDIRECT("MarR!$A$6:$ZZ$1048576"), MATCH(F$1, MarR!$6:$6, 0), FALSE),
            0
        ) +
        IFERROR(
            VLOOKUP($A67, INDIRECT("AbrR!$A$6:$ZZ$1048576"), MATCH(F$1, AbrR!$6:$6, 0), FALSE),
            0
        ) +
        IFERROR(
            VLOOKUP($A67, INDIRECT("MayR!$A$6:$ZZ$1048576"), MATCH(F$1, MayR!$6:$6, 0), FALSE),
            0
        ) +
        IFERROR(
            VLOOKUP($A67, INDIRECT("JunR!$A$6:$ZZ$1048576"), MATCH(F$1, JunR!$6:$6, 0), FALSE),
            0
        ) +
        IFERROR(
            VLOOKUP($A67, INDIRECT("JulR!$A$6:$ZZ$1048576"), MATCH(F$1, JulR!$6:$6, 0), FALSE),
            0
        ) +
        IFERROR(
            VLOOKUP($A67, INDIRECT("AgoR!$A$6:$ZZ$1048576"), MATCH(F$1, AgoR!$6:$6, 0), FALSE),
            0
        ) +
        IFERROR(
            VLOOKUP($A67, INDIRECT("SepR!$A$6:$ZZ$1048576"), MATCH(F$1, SepR!$6:$6, 0), FALSE),
            0
        ) +
        IFERROR(
            VLOOKUP($A67, INDIRECT("OctR!$A$6:$ZZ$1048576"), MATCH(F$1, OctR!$6:$6, 0), FALSE),
            0
        ) +
        IFERROR(
            VLOOKUP($A67, INDIRECT("NovR!$A$6:$ZZ$1048576"), MATCH(F$1, NovR!$6:$6, 0), FALSE),
            0
        ) +
        IFERROR(
            VLOOKUP($A67, INDIRECT("DicR!$A$6:$ZZ$1048576"), MATCH(F$1, DicR!$6:$6, 0), FALSE),
            0
        )
)</f>
        <v>0</v>
      </c>
      <c r="G67" s="35">
        <f t="array" ref="G67">SUM(
    IFERROR(
            VLOOKUP($A67, INDIRECT("EneR!$A$6:$ZZ$1048576"), MATCH(G$1, EneR!$6:$6, 0), FALSE),
            0
        ) +
        IFERROR(
            VLOOKUP($A67, INDIRECT("FebR!$A$6:$ZZ$1048576"), MATCH(G$1, FebR!$6:$6, 0), FALSE),
            0
        ) +
        IFERROR(
            VLOOKUP($A67, INDIRECT("MarR!$A$6:$ZZ$1048576"), MATCH(G$1, MarR!$6:$6, 0), FALSE),
            0
        ) +
        IFERROR(
            VLOOKUP($A67, INDIRECT("AbrR!$A$6:$ZZ$1048576"), MATCH(G$1, AbrR!$6:$6, 0), FALSE),
            0
        ) +
        IFERROR(
            VLOOKUP($A67, INDIRECT("MayR!$A$6:$ZZ$1048576"), MATCH(G$1, MayR!$6:$6, 0), FALSE),
            0
        ) +
        IFERROR(
            VLOOKUP($A67, INDIRECT("JunR!$A$6:$ZZ$1048576"), MATCH(G$1, JunR!$6:$6, 0), FALSE),
            0
        ) +
        IFERROR(
            VLOOKUP($A67, INDIRECT("JulR!$A$6:$ZZ$1048576"), MATCH(G$1, JulR!$6:$6, 0), FALSE),
            0
        ) +
        IFERROR(
            VLOOKUP($A67, INDIRECT("AgoR!$A$6:$ZZ$1048576"), MATCH(G$1, AgoR!$6:$6, 0), FALSE),
            0
        ) +
        IFERROR(
            VLOOKUP($A67, INDIRECT("SepR!$A$6:$ZZ$1048576"), MATCH(G$1, SepR!$6:$6, 0), FALSE),
            0
        ) +
        IFERROR(
            VLOOKUP($A67, INDIRECT("OctR!$A$6:$ZZ$1048576"), MATCH(G$1, OctR!$6:$6, 0), FALSE),
            0
        ) +
        IFERROR(
            VLOOKUP($A67, INDIRECT("NovR!$A$6:$ZZ$1048576"), MATCH(G$1, NovR!$6:$6, 0), FALSE),
            0
        ) +
        IFERROR(
            VLOOKUP($A67, INDIRECT("DicR!$A$6:$ZZ$1048576"), MATCH(G$1, DicR!$6:$6, 0), FALSE),
            0
        )
)</f>
        <v>0</v>
      </c>
      <c r="H67" s="32">
        <f t="array" ref="H67">SUM(
    IFERROR(
            VLOOKUP($A67, INDIRECT("EneR!$A$6:$ZZ$1048576"), MATCH(H$1, EneR!$6:$6, 0), FALSE),
            0
        ) +
        IFERROR(
            VLOOKUP($A67, INDIRECT("FebR!$A$6:$ZZ$1048576"), MATCH(H$1, FebR!$6:$6, 0), FALSE),
            0
        ) +
        IFERROR(
            VLOOKUP($A67, INDIRECT("MarR!$A$6:$ZZ$1048576"), MATCH(H$1, MarR!$6:$6, 0), FALSE),
            0
        ) +
        IFERROR(
            VLOOKUP($A67, INDIRECT("AbrR!$A$6:$ZZ$1048576"), MATCH(H$1, AbrR!$6:$6, 0), FALSE),
            0
        ) +
        IFERROR(
            VLOOKUP($A67, INDIRECT("MayR!$A$6:$ZZ$1048576"), MATCH(H$1, MayR!$6:$6, 0), FALSE),
            0
        ) +
        IFERROR(
            VLOOKUP($A67, INDIRECT("JunR!$A$6:$ZZ$1048576"), MATCH(H$1, JunR!$6:$6, 0), FALSE),
            0
        ) +
        IFERROR(
            VLOOKUP($A67, INDIRECT("JulR!$A$6:$ZZ$1048576"), MATCH(H$1, JulR!$6:$6, 0), FALSE),
            0
        ) +
        IFERROR(
            VLOOKUP($A67, INDIRECT("AgoR!$A$6:$ZZ$1048576"), MATCH(H$1, AgoR!$6:$6, 0), FALSE),
            0
        ) +
        IFERROR(
            VLOOKUP($A67, INDIRECT("SepR!$A$6:$ZZ$1048576"), MATCH(H$1, SepR!$6:$6, 0), FALSE),
            0
        ) +
        IFERROR(
            VLOOKUP($A67, INDIRECT("OctR!$A$6:$ZZ$1048576"), MATCH(H$1, OctR!$6:$6, 0), FALSE),
            0
        ) +
        IFERROR(
            VLOOKUP($A67, INDIRECT("NovR!$A$6:$ZZ$1048576"), MATCH(H$1, NovR!$6:$6, 0), FALSE),
            0
        ) +
        IFERROR(
            VLOOKUP($A67, INDIRECT("DicR!$A$6:$ZZ$1048576"), MATCH(H$1, DicR!$6:$6, 0), FALSE),
            0
        )
)</f>
        <v>0</v>
      </c>
      <c r="I67" s="35">
        <f t="array" ref="I67">SUM(
    IFERROR(
            VLOOKUP($A67, INDIRECT("EneR!$A$6:$ZZ$1048576"), MATCH(I$1, EneR!$6:$6, 0), FALSE),
            0
        ) +
        IFERROR(
            VLOOKUP($A67, INDIRECT("FebR!$A$6:$ZZ$1048576"), MATCH(I$1, FebR!$6:$6, 0), FALSE),
            0
        ) +
        IFERROR(
            VLOOKUP($A67, INDIRECT("MarR!$A$6:$ZZ$1048576"), MATCH(I$1, MarR!$6:$6, 0), FALSE),
            0
        ) +
        IFERROR(
            VLOOKUP($A67, INDIRECT("AbrR!$A$6:$ZZ$1048576"), MATCH(I$1, AbrR!$6:$6, 0), FALSE),
            0
        ) +
        IFERROR(
            VLOOKUP($A67, INDIRECT("MayR!$A$6:$ZZ$1048576"), MATCH(I$1, MayR!$6:$6, 0), FALSE),
            0
        ) +
        IFERROR(
            VLOOKUP($A67, INDIRECT("JunR!$A$6:$ZZ$1048576"), MATCH(I$1, JunR!$6:$6, 0), FALSE),
            0
        ) +
        IFERROR(
            VLOOKUP($A67, INDIRECT("JulR!$A$6:$ZZ$1048576"), MATCH(I$1, JulR!$6:$6, 0), FALSE),
            0
        ) +
        IFERROR(
            VLOOKUP($A67, INDIRECT("AgoR!$A$6:$ZZ$1048576"), MATCH(I$1, AgoR!$6:$6, 0), FALSE),
            0
        ) +
        IFERROR(
            VLOOKUP($A67, INDIRECT("SepR!$A$6:$ZZ$1048576"), MATCH(I$1, SepR!$6:$6, 0), FALSE),
            0
        ) +
        IFERROR(
            VLOOKUP($A67, INDIRECT("OctR!$A$6:$ZZ$1048576"), MATCH(I$1, OctR!$6:$6, 0), FALSE),
            0
        ) +
        IFERROR(
            VLOOKUP($A67, INDIRECT("NovR!$A$6:$ZZ$1048576"), MATCH(I$1, NovR!$6:$6, 0), FALSE),
            0
        ) +
        IFERROR(
            VLOOKUP($A67, INDIRECT("DicR!$A$6:$ZZ$1048576"), MATCH(I$1, DicR!$6:$6, 0), FALSE),
            0
        )
)</f>
        <v>0</v>
      </c>
      <c r="J67" s="32">
        <f t="array" ref="J67">SUM(
    IFERROR(
            VLOOKUP($A67, INDIRECT("EneR!$A$6:$ZZ$1048576"), MATCH(J$1, EneR!$6:$6, 0), FALSE),
            0
        ) +
        IFERROR(
            VLOOKUP($A67, INDIRECT("FebR!$A$6:$ZZ$1048576"), MATCH(J$1, FebR!$6:$6, 0), FALSE),
            0
        ) +
        IFERROR(
            VLOOKUP($A67, INDIRECT("MarR!$A$6:$ZZ$1048576"), MATCH(J$1, MarR!$6:$6, 0), FALSE),
            0
        ) +
        IFERROR(
            VLOOKUP($A67, INDIRECT("AbrR!$A$6:$ZZ$1048576"), MATCH(J$1, AbrR!$6:$6, 0), FALSE),
            0
        ) +
        IFERROR(
            VLOOKUP($A67, INDIRECT("MayR!$A$6:$ZZ$1048576"), MATCH(J$1, MayR!$6:$6, 0), FALSE),
            0
        ) +
        IFERROR(
            VLOOKUP($A67, INDIRECT("JunR!$A$6:$ZZ$1048576"), MATCH(J$1, JunR!$6:$6, 0), FALSE),
            0
        ) +
        IFERROR(
            VLOOKUP($A67, INDIRECT("JulR!$A$6:$ZZ$1048576"), MATCH(J$1, JulR!$6:$6, 0), FALSE),
            0
        ) +
        IFERROR(
            VLOOKUP($A67, INDIRECT("AgoR!$A$6:$ZZ$1048576"), MATCH(J$1, AgoR!$6:$6, 0), FALSE),
            0
        ) +
        IFERROR(
            VLOOKUP($A67, INDIRECT("SepR!$A$6:$ZZ$1048576"), MATCH(J$1, SepR!$6:$6, 0), FALSE),
            0
        ) +
        IFERROR(
            VLOOKUP($A67, INDIRECT("OctR!$A$6:$ZZ$1048576"), MATCH(J$1, OctR!$6:$6, 0), FALSE),
            0
        ) +
        IFERROR(
            VLOOKUP($A67, INDIRECT("NovR!$A$6:$ZZ$1048576"), MATCH(J$1, NovR!$6:$6, 0), FALSE),
            0
        ) +
        IFERROR(
            VLOOKUP($A67, INDIRECT("DicR!$A$6:$ZZ$1048576"), MATCH(J$1, DicR!$6:$6, 0), FALSE),
            0
        )
)</f>
        <v>0</v>
      </c>
      <c r="K67" s="35">
        <f t="array" ref="K67">SUM(
    IFERROR(
            VLOOKUP($A67, INDIRECT("EneR!$A$6:$ZZ$1048576"), MATCH(K$1, EneR!$6:$6, 0), FALSE),
            0
        ) +
        IFERROR(
            VLOOKUP($A67, INDIRECT("FebR!$A$6:$ZZ$1048576"), MATCH(K$1, FebR!$6:$6, 0), FALSE),
            0
        ) +
        IFERROR(
            VLOOKUP($A67, INDIRECT("MarR!$A$6:$ZZ$1048576"), MATCH(K$1, MarR!$6:$6, 0), FALSE),
            0
        ) +
        IFERROR(
            VLOOKUP($A67, INDIRECT("AbrR!$A$6:$ZZ$1048576"), MATCH(K$1, AbrR!$6:$6, 0), FALSE),
            0
        ) +
        IFERROR(
            VLOOKUP($A67, INDIRECT("MayR!$A$6:$ZZ$1048576"), MATCH(K$1, MayR!$6:$6, 0), FALSE),
            0
        ) +
        IFERROR(
            VLOOKUP($A67, INDIRECT("JunR!$A$6:$ZZ$1048576"), MATCH(K$1, JunR!$6:$6, 0), FALSE),
            0
        ) +
        IFERROR(
            VLOOKUP($A67, INDIRECT("JulR!$A$6:$ZZ$1048576"), MATCH(K$1, JulR!$6:$6, 0), FALSE),
            0
        ) +
        IFERROR(
            VLOOKUP($A67, INDIRECT("AgoR!$A$6:$ZZ$1048576"), MATCH(K$1, AgoR!$6:$6, 0), FALSE),
            0
        ) +
        IFERROR(
            VLOOKUP($A67, INDIRECT("SepR!$A$6:$ZZ$1048576"), MATCH(K$1, SepR!$6:$6, 0), FALSE),
            0
        ) +
        IFERROR(
            VLOOKUP($A67, INDIRECT("OctR!$A$6:$ZZ$1048576"), MATCH(K$1, OctR!$6:$6, 0), FALSE),
            0
        ) +
        IFERROR(
            VLOOKUP($A67, INDIRECT("NovR!$A$6:$ZZ$1048576"), MATCH(K$1, NovR!$6:$6, 0), FALSE),
            0
        ) +
        IFERROR(
            VLOOKUP($A67, INDIRECT("DicR!$A$6:$ZZ$1048576"), MATCH(K$1, DicR!$6:$6, 0), FALSE),
            0
        )
)</f>
        <v>0</v>
      </c>
      <c r="L67" s="32">
        <f t="array" ref="L67">SUM(
    IFERROR(
            VLOOKUP($A67, INDIRECT("EneR!$A$6:$ZZ$1048576"), MATCH(L$1, EneR!$6:$6, 0), FALSE),
            0
        ) +
        IFERROR(
            VLOOKUP($A67, INDIRECT("FebR!$A$6:$ZZ$1048576"), MATCH(L$1, FebR!$6:$6, 0), FALSE),
            0
        ) +
        IFERROR(
            VLOOKUP($A67, INDIRECT("MarR!$A$6:$ZZ$1048576"), MATCH(L$1, MarR!$6:$6, 0), FALSE),
            0
        ) +
        IFERROR(
            VLOOKUP($A67, INDIRECT("AbrR!$A$6:$ZZ$1048576"), MATCH(L$1, AbrR!$6:$6, 0), FALSE),
            0
        ) +
        IFERROR(
            VLOOKUP($A67, INDIRECT("MayR!$A$6:$ZZ$1048576"), MATCH(L$1, MayR!$6:$6, 0), FALSE),
            0
        ) +
        IFERROR(
            VLOOKUP($A67, INDIRECT("JunR!$A$6:$ZZ$1048576"), MATCH(L$1, JunR!$6:$6, 0), FALSE),
            0
        ) +
        IFERROR(
            VLOOKUP($A67, INDIRECT("JulR!$A$6:$ZZ$1048576"), MATCH(L$1, JulR!$6:$6, 0), FALSE),
            0
        ) +
        IFERROR(
            VLOOKUP($A67, INDIRECT("AgoR!$A$6:$ZZ$1048576"), MATCH(L$1, AgoR!$6:$6, 0), FALSE),
            0
        ) +
        IFERROR(
            VLOOKUP($A67, INDIRECT("SepR!$A$6:$ZZ$1048576"), MATCH(L$1, SepR!$6:$6, 0), FALSE),
            0
        ) +
        IFERROR(
            VLOOKUP($A67, INDIRECT("OctR!$A$6:$ZZ$1048576"), MATCH(L$1, OctR!$6:$6, 0), FALSE),
            0
        ) +
        IFERROR(
            VLOOKUP($A67, INDIRECT("NovR!$A$6:$ZZ$1048576"), MATCH(L$1, NovR!$6:$6, 0), FALSE),
            0
        ) +
        IFERROR(
            VLOOKUP($A67, INDIRECT("DicR!$A$6:$ZZ$1048576"), MATCH(L$1, DicR!$6:$6, 0), FALSE),
            0
        )
)</f>
        <v>0</v>
      </c>
      <c r="M67" s="35">
        <f t="array" ref="M67">SUM(
    IFERROR(
            VLOOKUP($A67, INDIRECT("EneR!$A$6:$ZZ$1048576"), MATCH(M$1, EneR!$6:$6, 0), FALSE),
            0
        ) +
        IFERROR(
            VLOOKUP($A67, INDIRECT("FebR!$A$6:$ZZ$1048576"), MATCH(M$1, FebR!$6:$6, 0), FALSE),
            0
        ) +
        IFERROR(
            VLOOKUP($A67, INDIRECT("MarR!$A$6:$ZZ$1048576"), MATCH(M$1, MarR!$6:$6, 0), FALSE),
            0
        ) +
        IFERROR(
            VLOOKUP($A67, INDIRECT("AbrR!$A$6:$ZZ$1048576"), MATCH(M$1, AbrR!$6:$6, 0), FALSE),
            0
        ) +
        IFERROR(
            VLOOKUP($A67, INDIRECT("MayR!$A$6:$ZZ$1048576"), MATCH(M$1, MayR!$6:$6, 0), FALSE),
            0
        ) +
        IFERROR(
            VLOOKUP($A67, INDIRECT("JunR!$A$6:$ZZ$1048576"), MATCH(M$1, JunR!$6:$6, 0), FALSE),
            0
        ) +
        IFERROR(
            VLOOKUP($A67, INDIRECT("JulR!$A$6:$ZZ$1048576"), MATCH(M$1, JulR!$6:$6, 0), FALSE),
            0
        ) +
        IFERROR(
            VLOOKUP($A67, INDIRECT("AgoR!$A$6:$ZZ$1048576"), MATCH(M$1, AgoR!$6:$6, 0), FALSE),
            0
        ) +
        IFERROR(
            VLOOKUP($A67, INDIRECT("SepR!$A$6:$ZZ$1048576"), MATCH(M$1, SepR!$6:$6, 0), FALSE),
            0
        ) +
        IFERROR(
            VLOOKUP($A67, INDIRECT("OctR!$A$6:$ZZ$1048576"), MATCH(M$1, OctR!$6:$6, 0), FALSE),
            0
        ) +
        IFERROR(
            VLOOKUP($A67, INDIRECT("NovR!$A$6:$ZZ$1048576"), MATCH(M$1, NovR!$6:$6, 0), FALSE),
            0
        ) +
        IFERROR(
            VLOOKUP($A67, INDIRECT("DicR!$A$6:$ZZ$1048576"), MATCH(M$1, DicR!$6:$6, 0), FALSE),
            0
        )
)</f>
        <v>0</v>
      </c>
      <c r="N67" s="32">
        <f t="array" ref="N67">SUM(
    IFERROR(
            VLOOKUP($A67, INDIRECT("EneR!$A$6:$ZZ$1048576"), MATCH(N$1, EneR!$6:$6, 0), FALSE),
            0
        ) +
        IFERROR(
            VLOOKUP($A67, INDIRECT("FebR!$A$6:$ZZ$1048576"), MATCH(N$1, FebR!$6:$6, 0), FALSE),
            0
        ) +
        IFERROR(
            VLOOKUP($A67, INDIRECT("MarR!$A$6:$ZZ$1048576"), MATCH(N$1, MarR!$6:$6, 0), FALSE),
            0
        ) +
        IFERROR(
            VLOOKUP($A67, INDIRECT("AbrR!$A$6:$ZZ$1048576"), MATCH(N$1, AbrR!$6:$6, 0), FALSE),
            0
        ) +
        IFERROR(
            VLOOKUP($A67, INDIRECT("MayR!$A$6:$ZZ$1048576"), MATCH(N$1, MayR!$6:$6, 0), FALSE),
            0
        ) +
        IFERROR(
            VLOOKUP($A67, INDIRECT("JunR!$A$6:$ZZ$1048576"), MATCH(N$1, JunR!$6:$6, 0), FALSE),
            0
        ) +
        IFERROR(
            VLOOKUP($A67, INDIRECT("JulR!$A$6:$ZZ$1048576"), MATCH(N$1, JulR!$6:$6, 0), FALSE),
            0
        ) +
        IFERROR(
            VLOOKUP($A67, INDIRECT("AgoR!$A$6:$ZZ$1048576"), MATCH(N$1, AgoR!$6:$6, 0), FALSE),
            0
        ) +
        IFERROR(
            VLOOKUP($A67, INDIRECT("SepR!$A$6:$ZZ$1048576"), MATCH(N$1, SepR!$6:$6, 0), FALSE),
            0
        ) +
        IFERROR(
            VLOOKUP($A67, INDIRECT("OctR!$A$6:$ZZ$1048576"), MATCH(N$1, OctR!$6:$6, 0), FALSE),
            0
        ) +
        IFERROR(
            VLOOKUP($A67, INDIRECT("NovR!$A$6:$ZZ$1048576"), MATCH(N$1, NovR!$6:$6, 0), FALSE),
            0
        ) +
        IFERROR(
            VLOOKUP($A67, INDIRECT("DicR!$A$6:$ZZ$1048576"), MATCH(N$1, DicR!$6:$6, 0), FALSE),
            0
        )
)</f>
        <v>0</v>
      </c>
      <c r="O67" s="35">
        <f t="array" ref="O67">SUM(
    IFERROR(
            VLOOKUP($A67, INDIRECT("EneR!$A$6:$ZZ$1048576"), MATCH(O$1, EneR!$6:$6, 0), FALSE),
            0
        ) +
        IFERROR(
            VLOOKUP($A67, INDIRECT("FebR!$A$6:$ZZ$1048576"), MATCH(O$1, FebR!$6:$6, 0), FALSE),
            0
        ) +
        IFERROR(
            VLOOKUP($A67, INDIRECT("MarR!$A$6:$ZZ$1048576"), MATCH(O$1, MarR!$6:$6, 0), FALSE),
            0
        ) +
        IFERROR(
            VLOOKUP($A67, INDIRECT("AbrR!$A$6:$ZZ$1048576"), MATCH(O$1, AbrR!$6:$6, 0), FALSE),
            0
        ) +
        IFERROR(
            VLOOKUP($A67, INDIRECT("MayR!$A$6:$ZZ$1048576"), MATCH(O$1, MayR!$6:$6, 0), FALSE),
            0
        ) +
        IFERROR(
            VLOOKUP($A67, INDIRECT("JunR!$A$6:$ZZ$1048576"), MATCH(O$1, JunR!$6:$6, 0), FALSE),
            0
        ) +
        IFERROR(
            VLOOKUP($A67, INDIRECT("JulR!$A$6:$ZZ$1048576"), MATCH(O$1, JulR!$6:$6, 0), FALSE),
            0
        ) +
        IFERROR(
            VLOOKUP($A67, INDIRECT("AgoR!$A$6:$ZZ$1048576"), MATCH(O$1, AgoR!$6:$6, 0), FALSE),
            0
        ) +
        IFERROR(
            VLOOKUP($A67, INDIRECT("SepR!$A$6:$ZZ$1048576"), MATCH(O$1, SepR!$6:$6, 0), FALSE),
            0
        ) +
        IFERROR(
            VLOOKUP($A67, INDIRECT("OctR!$A$6:$ZZ$1048576"), MATCH(O$1, OctR!$6:$6, 0), FALSE),
            0
        ) +
        IFERROR(
            VLOOKUP($A67, INDIRECT("NovR!$A$6:$ZZ$1048576"), MATCH(O$1, NovR!$6:$6, 0), FALSE),
            0
        ) +
        IFERROR(
            VLOOKUP($A67, INDIRECT("DicR!$A$6:$ZZ$1048576"), MATCH(O$1, DicR!$6:$6, 0), FALSE),
            0
        )
)</f>
        <v>0</v>
      </c>
      <c r="P67" s="32">
        <f t="array" ref="P67">SUM(
    IFERROR(
            VLOOKUP($A67, INDIRECT("EneR!$A$6:$ZZ$1048576"), MATCH(P$1, EneR!$6:$6, 0), FALSE),
            0
        ) +
        IFERROR(
            VLOOKUP($A67, INDIRECT("FebR!$A$6:$ZZ$1048576"), MATCH(P$1, FebR!$6:$6, 0), FALSE),
            0
        ) +
        IFERROR(
            VLOOKUP($A67, INDIRECT("MarR!$A$6:$ZZ$1048576"), MATCH(P$1, MarR!$6:$6, 0), FALSE),
            0
        ) +
        IFERROR(
            VLOOKUP($A67, INDIRECT("AbrR!$A$6:$ZZ$1048576"), MATCH(P$1, AbrR!$6:$6, 0), FALSE),
            0
        ) +
        IFERROR(
            VLOOKUP($A67, INDIRECT("MayR!$A$6:$ZZ$1048576"), MATCH(P$1, MayR!$6:$6, 0), FALSE),
            0
        ) +
        IFERROR(
            VLOOKUP($A67, INDIRECT("JunR!$A$6:$ZZ$1048576"), MATCH(P$1, JunR!$6:$6, 0), FALSE),
            0
        ) +
        IFERROR(
            VLOOKUP($A67, INDIRECT("JulR!$A$6:$ZZ$1048576"), MATCH(P$1, JulR!$6:$6, 0), FALSE),
            0
        ) +
        IFERROR(
            VLOOKUP($A67, INDIRECT("AgoR!$A$6:$ZZ$1048576"), MATCH(P$1, AgoR!$6:$6, 0), FALSE),
            0
        ) +
        IFERROR(
            VLOOKUP($A67, INDIRECT("SepR!$A$6:$ZZ$1048576"), MATCH(P$1, SepR!$6:$6, 0), FALSE),
            0
        ) +
        IFERROR(
            VLOOKUP($A67, INDIRECT("OctR!$A$6:$ZZ$1048576"), MATCH(P$1, OctR!$6:$6, 0), FALSE),
            0
        ) +
        IFERROR(
            VLOOKUP($A67, INDIRECT("NovR!$A$6:$ZZ$1048576"), MATCH(P$1, NovR!$6:$6, 0), FALSE),
            0
        ) +
        IFERROR(
            VLOOKUP($A67, INDIRECT("DicR!$A$6:$ZZ$1048576"), MATCH(P$1, DicR!$6:$6, 0), FALSE),
            0
        )
)</f>
        <v>0</v>
      </c>
      <c r="Q67" s="35">
        <f t="array" ref="Q67">SUM(
    IFERROR(
            VLOOKUP($A67, INDIRECT("EneR!$A$6:$ZZ$1048576"), MATCH(Q$1, EneR!$6:$6, 0), FALSE),
            0
        ) +
        IFERROR(
            VLOOKUP($A67, INDIRECT("FebR!$A$6:$ZZ$1048576"), MATCH(Q$1, FebR!$6:$6, 0), FALSE),
            0
        ) +
        IFERROR(
            VLOOKUP($A67, INDIRECT("MarR!$A$6:$ZZ$1048576"), MATCH(Q$1, MarR!$6:$6, 0), FALSE),
            0
        ) +
        IFERROR(
            VLOOKUP($A67, INDIRECT("AbrR!$A$6:$ZZ$1048576"), MATCH(Q$1, AbrR!$6:$6, 0), FALSE),
            0
        ) +
        IFERROR(
            VLOOKUP($A67, INDIRECT("MayR!$A$6:$ZZ$1048576"), MATCH(Q$1, MayR!$6:$6, 0), FALSE),
            0
        ) +
        IFERROR(
            VLOOKUP($A67, INDIRECT("JunR!$A$6:$ZZ$1048576"), MATCH(Q$1, JunR!$6:$6, 0), FALSE),
            0
        ) +
        IFERROR(
            VLOOKUP($A67, INDIRECT("JulR!$A$6:$ZZ$1048576"), MATCH(Q$1, JulR!$6:$6, 0), FALSE),
            0
        ) +
        IFERROR(
            VLOOKUP($A67, INDIRECT("AgoR!$A$6:$ZZ$1048576"), MATCH(Q$1, AgoR!$6:$6, 0), FALSE),
            0
        ) +
        IFERROR(
            VLOOKUP($A67, INDIRECT("SepR!$A$6:$ZZ$1048576"), MATCH(Q$1, SepR!$6:$6, 0), FALSE),
            0
        ) +
        IFERROR(
            VLOOKUP($A67, INDIRECT("OctR!$A$6:$ZZ$1048576"), MATCH(Q$1, OctR!$6:$6, 0), FALSE),
            0
        ) +
        IFERROR(
            VLOOKUP($A67, INDIRECT("NovR!$A$6:$ZZ$1048576"), MATCH(Q$1, NovR!$6:$6, 0), FALSE),
            0
        ) +
        IFERROR(
            VLOOKUP($A67, INDIRECT("DicR!$A$6:$ZZ$1048576"), MATCH(Q$1, DicR!$6:$6, 0), FALSE),
            0
        )
)</f>
        <v>0</v>
      </c>
      <c r="R67" s="36">
        <f t="array" ref="R67">SUM(
    IFERROR(
            VLOOKUP($A67, INDIRECT("EneR!$A$6:$ZZ$1048576"), MATCH(R$1, EneR!$6:$6, 0), FALSE),
            0
        ) +
        IFERROR(
            VLOOKUP($A67, INDIRECT("FebR!$A$6:$ZZ$1048576"), MATCH(R$1, FebR!$6:$6, 0), FALSE),
            0
        ) +
        IFERROR(
            VLOOKUP($A67, INDIRECT("MarR!$A$6:$ZZ$1048576"), MATCH(R$1, MarR!$6:$6, 0), FALSE),
            0
        ) +
        IFERROR(
            VLOOKUP($A67, INDIRECT("AbrR!$A$6:$ZZ$1048576"), MATCH(R$1, AbrR!$6:$6, 0), FALSE),
            0
        ) +
        IFERROR(
            VLOOKUP($A67, INDIRECT("MayR!$A$6:$ZZ$1048576"), MATCH(R$1, MayR!$6:$6, 0), FALSE),
            0
        ) +
        IFERROR(
            VLOOKUP($A67, INDIRECT("JunR!$A$6:$ZZ$1048576"), MATCH(R$1, JunR!$6:$6, 0), FALSE),
            0
        ) +
        IFERROR(
            VLOOKUP($A67, INDIRECT("JulR!$A$6:$ZZ$1048576"), MATCH(R$1, JulR!$6:$6, 0), FALSE),
            0
        ) +
        IFERROR(
            VLOOKUP($A67, INDIRECT("AgoR!$A$6:$ZZ$1048576"), MATCH(R$1, AgoR!$6:$6, 0), FALSE),
            0
        ) +
        IFERROR(
            VLOOKUP($A67, INDIRECT("SepR!$A$6:$ZZ$1048576"), MATCH(R$1, SepR!$6:$6, 0), FALSE),
            0
        ) +
        IFERROR(
            VLOOKUP($A67, INDIRECT("OctR!$A$6:$ZZ$1048576"), MATCH(R$1, OctR!$6:$6, 0), FALSE),
            0
        ) +
        IFERROR(
            VLOOKUP($A67, INDIRECT("NovR!$A$6:$ZZ$1048576"), MATCH(R$1, NovR!$6:$6, 0), FALSE),
            0
        ) +
        IFERROR(
            VLOOKUP($A67, INDIRECT("DicR!$A$6:$ZZ$1048576"), MATCH(R$1, DicR!$6:$6, 0), FALSE),
            0
        )
)</f>
        <v>0</v>
      </c>
      <c r="S67" s="37">
        <f t="array" ref="S67">SUM(
    IFERROR(
            VLOOKUP($A67, INDIRECT("EneR!$A$6:$ZZ$1048576"), MATCH(S$1, EneR!$6:$6, 0), FALSE),
            0
        ) +
        IFERROR(
            VLOOKUP($A67, INDIRECT("FebR!$A$6:$ZZ$1048576"), MATCH(S$1, FebR!$6:$6, 0), FALSE),
            0
        ) +
        IFERROR(
            VLOOKUP($A67, INDIRECT("MarR!$A$6:$ZZ$1048576"), MATCH(S$1, MarR!$6:$6, 0), FALSE),
            0
        ) +
        IFERROR(
            VLOOKUP($A67, INDIRECT("AbrR!$A$6:$ZZ$1048576"), MATCH(S$1, AbrR!$6:$6, 0), FALSE),
            0
        ) +
        IFERROR(
            VLOOKUP($A67, INDIRECT("MayR!$A$6:$ZZ$1048576"), MATCH(S$1, MayR!$6:$6, 0), FALSE),
            0
        ) +
        IFERROR(
            VLOOKUP($A67, INDIRECT("JunR!$A$6:$ZZ$1048576"), MATCH(S$1, JunR!$6:$6, 0), FALSE),
            0
        ) +
        IFERROR(
            VLOOKUP($A67, INDIRECT("JulR!$A$6:$ZZ$1048576"), MATCH(S$1, JulR!$6:$6, 0), FALSE),
            0
        ) +
        IFERROR(
            VLOOKUP($A67, INDIRECT("AgoR!$A$6:$ZZ$1048576"), MATCH(S$1, AgoR!$6:$6, 0), FALSE),
            0
        ) +
        IFERROR(
            VLOOKUP($A67, INDIRECT("SepR!$A$6:$ZZ$1048576"), MATCH(S$1, SepR!$6:$6, 0), FALSE),
            0
        ) +
        IFERROR(
            VLOOKUP($A67, INDIRECT("OctR!$A$6:$ZZ$1048576"), MATCH(S$1, OctR!$6:$6, 0), FALSE),
            0
        ) +
        IFERROR(
            VLOOKUP($A67, INDIRECT("NovR!$A$6:$ZZ$1048576"), MATCH(S$1, NovR!$6:$6, 0), FALSE),
            0
        ) +
        IFERROR(
            VLOOKUP($A67, INDIRECT("DicR!$A$6:$ZZ$1048576"), MATCH(S$1, DicR!$6:$6, 0), FALSE),
            0
        )
)</f>
        <v>0</v>
      </c>
      <c r="T67" s="36">
        <f t="array" ref="T67">SUM(
    IFERROR(
            VLOOKUP($A67, INDIRECT("EneR!$A$6:$ZZ$1048576"), MATCH(T$1, EneR!$6:$6, 0), FALSE),
            0
        ) +
        IFERROR(
            VLOOKUP($A67, INDIRECT("FebR!$A$6:$ZZ$1048576"), MATCH(T$1, FebR!$6:$6, 0), FALSE),
            0
        ) +
        IFERROR(
            VLOOKUP($A67, INDIRECT("MarR!$A$6:$ZZ$1048576"), MATCH(T$1, MarR!$6:$6, 0), FALSE),
            0
        ) +
        IFERROR(
            VLOOKUP($A67, INDIRECT("AbrR!$A$6:$ZZ$1048576"), MATCH(T$1, AbrR!$6:$6, 0), FALSE),
            0
        ) +
        IFERROR(
            VLOOKUP($A67, INDIRECT("MayR!$A$6:$ZZ$1048576"), MATCH(T$1, MayR!$6:$6, 0), FALSE),
            0
        ) +
        IFERROR(
            VLOOKUP($A67, INDIRECT("JunR!$A$6:$ZZ$1048576"), MATCH(T$1, JunR!$6:$6, 0), FALSE),
            0
        ) +
        IFERROR(
            VLOOKUP($A67, INDIRECT("JulR!$A$6:$ZZ$1048576"), MATCH(T$1, JulR!$6:$6, 0), FALSE),
            0
        ) +
        IFERROR(
            VLOOKUP($A67, INDIRECT("AgoR!$A$6:$ZZ$1048576"), MATCH(T$1, AgoR!$6:$6, 0), FALSE),
            0
        ) +
        IFERROR(
            VLOOKUP($A67, INDIRECT("SepR!$A$6:$ZZ$1048576"), MATCH(T$1, SepR!$6:$6, 0), FALSE),
            0
        ) +
        IFERROR(
            VLOOKUP($A67, INDIRECT("OctR!$A$6:$ZZ$1048576"), MATCH(T$1, OctR!$6:$6, 0), FALSE),
            0
        ) +
        IFERROR(
            VLOOKUP($A67, INDIRECT("NovR!$A$6:$ZZ$1048576"), MATCH(T$1, NovR!$6:$6, 0), FALSE),
            0
        ) +
        IFERROR(
            VLOOKUP($A67, INDIRECT("DicR!$A$6:$ZZ$1048576"), MATCH(T$1, DicR!$6:$6, 0), FALSE),
            0
        )
)</f>
        <v>0</v>
      </c>
      <c r="U67" s="37">
        <f t="array" ref="U67">SUM(
    IFERROR(
            VLOOKUP($A67, INDIRECT("EneR!$A$6:$ZZ$1048576"), MATCH(U$1, EneR!$6:$6, 0), FALSE),
            0
        ) +
        IFERROR(
            VLOOKUP($A67, INDIRECT("FebR!$A$6:$ZZ$1048576"), MATCH(U$1, FebR!$6:$6, 0), FALSE),
            0
        ) +
        IFERROR(
            VLOOKUP($A67, INDIRECT("MarR!$A$6:$ZZ$1048576"), MATCH(U$1, MarR!$6:$6, 0), FALSE),
            0
        ) +
        IFERROR(
            VLOOKUP($A67, INDIRECT("AbrR!$A$6:$ZZ$1048576"), MATCH(U$1, AbrR!$6:$6, 0), FALSE),
            0
        ) +
        IFERROR(
            VLOOKUP($A67, INDIRECT("MayR!$A$6:$ZZ$1048576"), MATCH(U$1, MayR!$6:$6, 0), FALSE),
            0
        ) +
        IFERROR(
            VLOOKUP($A67, INDIRECT("JunR!$A$6:$ZZ$1048576"), MATCH(U$1, JunR!$6:$6, 0), FALSE),
            0
        ) +
        IFERROR(
            VLOOKUP($A67, INDIRECT("JulR!$A$6:$ZZ$1048576"), MATCH(U$1, JulR!$6:$6, 0), FALSE),
            0
        ) +
        IFERROR(
            VLOOKUP($A67, INDIRECT("AgoR!$A$6:$ZZ$1048576"), MATCH(U$1, AgoR!$6:$6, 0), FALSE),
            0
        ) +
        IFERROR(
            VLOOKUP($A67, INDIRECT("SepR!$A$6:$ZZ$1048576"), MATCH(U$1, SepR!$6:$6, 0), FALSE),
            0
        ) +
        IFERROR(
            VLOOKUP($A67, INDIRECT("OctR!$A$6:$ZZ$1048576"), MATCH(U$1, OctR!$6:$6, 0), FALSE),
            0
        ) +
        IFERROR(
            VLOOKUP($A67, INDIRECT("NovR!$A$6:$ZZ$1048576"), MATCH(U$1, NovR!$6:$6, 0), FALSE),
            0
        ) +
        IFERROR(
            VLOOKUP($A67, INDIRECT("DicR!$A$6:$ZZ$1048576"), MATCH(U$1, DicR!$6:$6, 0), FALSE),
            0
        )
)</f>
        <v>0</v>
      </c>
      <c r="V67" s="36">
        <f t="array" ref="V67">SUM(
    IFERROR(
            VLOOKUP($A67, INDIRECT("EneR!$A$6:$ZZ$1048576"), MATCH(V$1, EneR!$6:$6, 0), FALSE),
            0
        ) +
        IFERROR(
            VLOOKUP($A67, INDIRECT("FebR!$A$6:$ZZ$1048576"), MATCH(V$1, FebR!$6:$6, 0), FALSE),
            0
        ) +
        IFERROR(
            VLOOKUP($A67, INDIRECT("MarR!$A$6:$ZZ$1048576"), MATCH(V$1, MarR!$6:$6, 0), FALSE),
            0
        ) +
        IFERROR(
            VLOOKUP($A67, INDIRECT("AbrR!$A$6:$ZZ$1048576"), MATCH(V$1, AbrR!$6:$6, 0), FALSE),
            0
        ) +
        IFERROR(
            VLOOKUP($A67, INDIRECT("MayR!$A$6:$ZZ$1048576"), MATCH(V$1, MayR!$6:$6, 0), FALSE),
            0
        ) +
        IFERROR(
            VLOOKUP($A67, INDIRECT("JunR!$A$6:$ZZ$1048576"), MATCH(V$1, JunR!$6:$6, 0), FALSE),
            0
        ) +
        IFERROR(
            VLOOKUP($A67, INDIRECT("JulR!$A$6:$ZZ$1048576"), MATCH(V$1, JulR!$6:$6, 0), FALSE),
            0
        ) +
        IFERROR(
            VLOOKUP($A67, INDIRECT("AgoR!$A$6:$ZZ$1048576"), MATCH(V$1, AgoR!$6:$6, 0), FALSE),
            0
        ) +
        IFERROR(
            VLOOKUP($A67, INDIRECT("SepR!$A$6:$ZZ$1048576"), MATCH(V$1, SepR!$6:$6, 0), FALSE),
            0
        ) +
        IFERROR(
            VLOOKUP($A67, INDIRECT("OctR!$A$6:$ZZ$1048576"), MATCH(V$1, OctR!$6:$6, 0), FALSE),
            0
        ) +
        IFERROR(
            VLOOKUP($A67, INDIRECT("NovR!$A$6:$ZZ$1048576"), MATCH(V$1, NovR!$6:$6, 0), FALSE),
            0
        ) +
        IFERROR(
            VLOOKUP($A67, INDIRECT("DicR!$A$6:$ZZ$1048576"), MATCH(V$1, DicR!$6:$6, 0), FALSE),
            0
        )
)</f>
        <v>0</v>
      </c>
      <c r="W67" s="37">
        <f t="array" ref="W67">SUM(
    IFERROR(
            VLOOKUP($A67, INDIRECT("EneR!$A$6:$ZZ$1048576"), MATCH(W$1, EneR!$6:$6, 0), FALSE),
            0
        ) +
        IFERROR(
            VLOOKUP($A67, INDIRECT("FebR!$A$6:$ZZ$1048576"), MATCH(W$1, FebR!$6:$6, 0), FALSE),
            0
        ) +
        IFERROR(
            VLOOKUP($A67, INDIRECT("MarR!$A$6:$ZZ$1048576"), MATCH(W$1, MarR!$6:$6, 0), FALSE),
            0
        ) +
        IFERROR(
            VLOOKUP($A67, INDIRECT("AbrR!$A$6:$ZZ$1048576"), MATCH(W$1, AbrR!$6:$6, 0), FALSE),
            0
        ) +
        IFERROR(
            VLOOKUP($A67, INDIRECT("MayR!$A$6:$ZZ$1048576"), MATCH(W$1, MayR!$6:$6, 0), FALSE),
            0
        ) +
        IFERROR(
            VLOOKUP($A67, INDIRECT("JunR!$A$6:$ZZ$1048576"), MATCH(W$1, JunR!$6:$6, 0), FALSE),
            0
        ) +
        IFERROR(
            VLOOKUP($A67, INDIRECT("JulR!$A$6:$ZZ$1048576"), MATCH(W$1, JulR!$6:$6, 0), FALSE),
            0
        ) +
        IFERROR(
            VLOOKUP($A67, INDIRECT("AgoR!$A$6:$ZZ$1048576"), MATCH(W$1, AgoR!$6:$6, 0), FALSE),
            0
        ) +
        IFERROR(
            VLOOKUP($A67, INDIRECT("SepR!$A$6:$ZZ$1048576"), MATCH(W$1, SepR!$6:$6, 0), FALSE),
            0
        ) +
        IFERROR(
            VLOOKUP($A67, INDIRECT("OctR!$A$6:$ZZ$1048576"), MATCH(W$1, OctR!$6:$6, 0), FALSE),
            0
        ) +
        IFERROR(
            VLOOKUP($A67, INDIRECT("NovR!$A$6:$ZZ$1048576"), MATCH(W$1, NovR!$6:$6, 0), FALSE),
            0
        ) +
        IFERROR(
            VLOOKUP($A67, INDIRECT("DicR!$A$6:$ZZ$1048576"), MATCH(W$1, DicR!$6:$6, 0), FALSE),
            0
        )
)</f>
        <v>0</v>
      </c>
      <c r="X67" s="36">
        <f t="array" ref="X67">SUM(
    IFERROR(
            VLOOKUP($A67, INDIRECT("EneR!$A$6:$ZZ$1048576"), MATCH(X$1, EneR!$6:$6, 0), FALSE),
            0
        ) +
        IFERROR(
            VLOOKUP($A67, INDIRECT("FebR!$A$6:$ZZ$1048576"), MATCH(X$1, FebR!$6:$6, 0), FALSE),
            0
        ) +
        IFERROR(
            VLOOKUP($A67, INDIRECT("MarR!$A$6:$ZZ$1048576"), MATCH(X$1, MarR!$6:$6, 0), FALSE),
            0
        ) +
        IFERROR(
            VLOOKUP($A67, INDIRECT("AbrR!$A$6:$ZZ$1048576"), MATCH(X$1, AbrR!$6:$6, 0), FALSE),
            0
        ) +
        IFERROR(
            VLOOKUP($A67, INDIRECT("MayR!$A$6:$ZZ$1048576"), MATCH(X$1, MayR!$6:$6, 0), FALSE),
            0
        ) +
        IFERROR(
            VLOOKUP($A67, INDIRECT("JunR!$A$6:$ZZ$1048576"), MATCH(X$1, JunR!$6:$6, 0), FALSE),
            0
        ) +
        IFERROR(
            VLOOKUP($A67, INDIRECT("JulR!$A$6:$ZZ$1048576"), MATCH(X$1, JulR!$6:$6, 0), FALSE),
            0
        ) +
        IFERROR(
            VLOOKUP($A67, INDIRECT("AgoR!$A$6:$ZZ$1048576"), MATCH(X$1, AgoR!$6:$6, 0), FALSE),
            0
        ) +
        IFERROR(
            VLOOKUP($A67, INDIRECT("SepR!$A$6:$ZZ$1048576"), MATCH(X$1, SepR!$6:$6, 0), FALSE),
            0
        ) +
        IFERROR(
            VLOOKUP($A67, INDIRECT("OctR!$A$6:$ZZ$1048576"), MATCH(X$1, OctR!$6:$6, 0), FALSE),
            0
        ) +
        IFERROR(
            VLOOKUP($A67, INDIRECT("NovR!$A$6:$ZZ$1048576"), MATCH(X$1, NovR!$6:$6, 0), FALSE),
            0
        ) +
        IFERROR(
            VLOOKUP($A67, INDIRECT("DicR!$A$6:$ZZ$1048576"), MATCH(X$1, DicR!$6:$6, 0), FALSE),
            0
        )
)</f>
        <v>0</v>
      </c>
      <c r="Y67" s="37">
        <f t="array" ref="Y67">SUM(
    IFERROR(
            VLOOKUP($A67, INDIRECT("EneR!$A$6:$ZZ$1048576"), MATCH(Y$1, EneR!$6:$6, 0), FALSE),
            0
        ) +
        IFERROR(
            VLOOKUP($A67, INDIRECT("FebR!$A$6:$ZZ$1048576"), MATCH(Y$1, FebR!$6:$6, 0), FALSE),
            0
        ) +
        IFERROR(
            VLOOKUP($A67, INDIRECT("MarR!$A$6:$ZZ$1048576"), MATCH(Y$1, MarR!$6:$6, 0), FALSE),
            0
        ) +
        IFERROR(
            VLOOKUP($A67, INDIRECT("AbrR!$A$6:$ZZ$1048576"), MATCH(Y$1, AbrR!$6:$6, 0), FALSE),
            0
        ) +
        IFERROR(
            VLOOKUP($A67, INDIRECT("MayR!$A$6:$ZZ$1048576"), MATCH(Y$1, MayR!$6:$6, 0), FALSE),
            0
        ) +
        IFERROR(
            VLOOKUP($A67, INDIRECT("JunR!$A$6:$ZZ$1048576"), MATCH(Y$1, JunR!$6:$6, 0), FALSE),
            0
        ) +
        IFERROR(
            VLOOKUP($A67, INDIRECT("JulR!$A$6:$ZZ$1048576"), MATCH(Y$1, JulR!$6:$6, 0), FALSE),
            0
        ) +
        IFERROR(
            VLOOKUP($A67, INDIRECT("AgoR!$A$6:$ZZ$1048576"), MATCH(Y$1, AgoR!$6:$6, 0), FALSE),
            0
        ) +
        IFERROR(
            VLOOKUP($A67, INDIRECT("SepR!$A$6:$ZZ$1048576"), MATCH(Y$1, SepR!$6:$6, 0), FALSE),
            0
        ) +
        IFERROR(
            VLOOKUP($A67, INDIRECT("OctR!$A$6:$ZZ$1048576"), MATCH(Y$1, OctR!$6:$6, 0), FALSE),
            0
        ) +
        IFERROR(
            VLOOKUP($A67, INDIRECT("NovR!$A$6:$ZZ$1048576"), MATCH(Y$1, NovR!$6:$6, 0), FALSE),
            0
        ) +
        IFERROR(
            VLOOKUP($A67, INDIRECT("DicR!$A$6:$ZZ$1048576"), MATCH(Y$1, DicR!$6:$6, 0), FALSE),
            0
        )
)</f>
        <v>0</v>
      </c>
      <c r="Z67" s="36">
        <f t="array" ref="Z67">SUM(
    IFERROR(
            VLOOKUP($A67, INDIRECT("EneR!$A$6:$ZZ$1048576"), MATCH(Z$1, EneR!$6:$6, 0), FALSE),
            0
        ) +
        IFERROR(
            VLOOKUP($A67, INDIRECT("FebR!$A$6:$ZZ$1048576"), MATCH(Z$1, FebR!$6:$6, 0), FALSE),
            0
        ) +
        IFERROR(
            VLOOKUP($A67, INDIRECT("MarR!$A$6:$ZZ$1048576"), MATCH(Z$1, MarR!$6:$6, 0), FALSE),
            0
        ) +
        IFERROR(
            VLOOKUP($A67, INDIRECT("AbrR!$A$6:$ZZ$1048576"), MATCH(Z$1, AbrR!$6:$6, 0), FALSE),
            0
        ) +
        IFERROR(
            VLOOKUP($A67, INDIRECT("MayR!$A$6:$ZZ$1048576"), MATCH(Z$1, MayR!$6:$6, 0), FALSE),
            0
        ) +
        IFERROR(
            VLOOKUP($A67, INDIRECT("JunR!$A$6:$ZZ$1048576"), MATCH(Z$1, JunR!$6:$6, 0), FALSE),
            0
        ) +
        IFERROR(
            VLOOKUP($A67, INDIRECT("JulR!$A$6:$ZZ$1048576"), MATCH(Z$1, JulR!$6:$6, 0), FALSE),
            0
        ) +
        IFERROR(
            VLOOKUP($A67, INDIRECT("AgoR!$A$6:$ZZ$1048576"), MATCH(Z$1, AgoR!$6:$6, 0), FALSE),
            0
        ) +
        IFERROR(
            VLOOKUP($A67, INDIRECT("SepR!$A$6:$ZZ$1048576"), MATCH(Z$1, SepR!$6:$6, 0), FALSE),
            0
        ) +
        IFERROR(
            VLOOKUP($A67, INDIRECT("OctR!$A$6:$ZZ$1048576"), MATCH(Z$1, OctR!$6:$6, 0), FALSE),
            0
        ) +
        IFERROR(
            VLOOKUP($A67, INDIRECT("NovR!$A$6:$ZZ$1048576"), MATCH(Z$1, NovR!$6:$6, 0), FALSE),
            0
        ) +
        IFERROR(
            VLOOKUP($A67, INDIRECT("DicR!$A$6:$ZZ$1048576"), MATCH(Z$1, DicR!$6:$6, 0), FALSE),
            0
        )
)</f>
        <v>0</v>
      </c>
      <c r="AA67" s="37">
        <f t="array" ref="AA67">SUM(
    IFERROR(
            VLOOKUP($A67, INDIRECT("EneR!$A$6:$ZZ$1048576"), MATCH(AA$1, EneR!$6:$6, 0), FALSE),
            0
        ) +
        IFERROR(
            VLOOKUP($A67, INDIRECT("FebR!$A$6:$ZZ$1048576"), MATCH(AA$1, FebR!$6:$6, 0), FALSE),
            0
        ) +
        IFERROR(
            VLOOKUP($A67, INDIRECT("MarR!$A$6:$ZZ$1048576"), MATCH(AA$1, MarR!$6:$6, 0), FALSE),
            0
        ) +
        IFERROR(
            VLOOKUP($A67, INDIRECT("AbrR!$A$6:$ZZ$1048576"), MATCH(AA$1, AbrR!$6:$6, 0), FALSE),
            0
        ) +
        IFERROR(
            VLOOKUP($A67, INDIRECT("MayR!$A$6:$ZZ$1048576"), MATCH(AA$1, MayR!$6:$6, 0), FALSE),
            0
        ) +
        IFERROR(
            VLOOKUP($A67, INDIRECT("JunR!$A$6:$ZZ$1048576"), MATCH(AA$1, JunR!$6:$6, 0), FALSE),
            0
        ) +
        IFERROR(
            VLOOKUP($A67, INDIRECT("JulR!$A$6:$ZZ$1048576"), MATCH(AA$1, JulR!$6:$6, 0), FALSE),
            0
        ) +
        IFERROR(
            VLOOKUP($A67, INDIRECT("AgoR!$A$6:$ZZ$1048576"), MATCH(AA$1, AgoR!$6:$6, 0), FALSE),
            0
        ) +
        IFERROR(
            VLOOKUP($A67, INDIRECT("SepR!$A$6:$ZZ$1048576"), MATCH(AA$1, SepR!$6:$6, 0), FALSE),
            0
        ) +
        IFERROR(
            VLOOKUP($A67, INDIRECT("OctR!$A$6:$ZZ$1048576"), MATCH(AA$1, OctR!$6:$6, 0), FALSE),
            0
        ) +
        IFERROR(
            VLOOKUP($A67, INDIRECT("NovR!$A$6:$ZZ$1048576"), MATCH(AA$1, NovR!$6:$6, 0), FALSE),
            0
        ) +
        IFERROR(
            VLOOKUP($A67, INDIRECT("DicR!$A$6:$ZZ$1048576"), MATCH(AA$1, DicR!$6:$6, 0), FALSE),
            0
        )
)</f>
        <v>0</v>
      </c>
      <c r="AB67" s="36">
        <f t="array" ref="AB67">SUM(
    IFERROR(
            VLOOKUP($A67, INDIRECT("EneR!$A$6:$ZZ$1048576"), MATCH(AB$1, EneR!$6:$6, 0), FALSE),
            0
        ) +
        IFERROR(
            VLOOKUP($A67, INDIRECT("FebR!$A$6:$ZZ$1048576"), MATCH(AB$1, FebR!$6:$6, 0), FALSE),
            0
        ) +
        IFERROR(
            VLOOKUP($A67, INDIRECT("MarR!$A$6:$ZZ$1048576"), MATCH(AB$1, MarR!$6:$6, 0), FALSE),
            0
        ) +
        IFERROR(
            VLOOKUP($A67, INDIRECT("AbrR!$A$6:$ZZ$1048576"), MATCH(AB$1, AbrR!$6:$6, 0), FALSE),
            0
        ) +
        IFERROR(
            VLOOKUP($A67, INDIRECT("MayR!$A$6:$ZZ$1048576"), MATCH(AB$1, MayR!$6:$6, 0), FALSE),
            0
        ) +
        IFERROR(
            VLOOKUP($A67, INDIRECT("JunR!$A$6:$ZZ$1048576"), MATCH(AB$1, JunR!$6:$6, 0), FALSE),
            0
        ) +
        IFERROR(
            VLOOKUP($A67, INDIRECT("JulR!$A$6:$ZZ$1048576"), MATCH(AB$1, JulR!$6:$6, 0), FALSE),
            0
        ) +
        IFERROR(
            VLOOKUP($A67, INDIRECT("AgoR!$A$6:$ZZ$1048576"), MATCH(AB$1, AgoR!$6:$6, 0), FALSE),
            0
        ) +
        IFERROR(
            VLOOKUP($A67, INDIRECT("SepR!$A$6:$ZZ$1048576"), MATCH(AB$1, SepR!$6:$6, 0), FALSE),
            0
        ) +
        IFERROR(
            VLOOKUP($A67, INDIRECT("OctR!$A$6:$ZZ$1048576"), MATCH(AB$1, OctR!$6:$6, 0), FALSE),
            0
        ) +
        IFERROR(
            VLOOKUP($A67, INDIRECT("NovR!$A$6:$ZZ$1048576"), MATCH(AB$1, NovR!$6:$6, 0), FALSE),
            0
        ) +
        IFERROR(
            VLOOKUP($A67, INDIRECT("DicR!$A$6:$ZZ$1048576"), MATCH(AB$1, DicR!$6:$6, 0), FALSE),
            0
        )
)</f>
        <v>0</v>
      </c>
      <c r="AC67" s="37">
        <f t="array" ref="AC67">SUM(
    IFERROR(
            VLOOKUP($A67, INDIRECT("EneR!$A$6:$ZZ$1048576"), MATCH(AC$1, EneR!$6:$6, 0), FALSE),
            0
        ) +
        IFERROR(
            VLOOKUP($A67, INDIRECT("FebR!$A$6:$ZZ$1048576"), MATCH(AC$1, FebR!$6:$6, 0), FALSE),
            0
        ) +
        IFERROR(
            VLOOKUP($A67, INDIRECT("MarR!$A$6:$ZZ$1048576"), MATCH(AC$1, MarR!$6:$6, 0), FALSE),
            0
        ) +
        IFERROR(
            VLOOKUP($A67, INDIRECT("AbrR!$A$6:$ZZ$1048576"), MATCH(AC$1, AbrR!$6:$6, 0), FALSE),
            0
        ) +
        IFERROR(
            VLOOKUP($A67, INDIRECT("MayR!$A$6:$ZZ$1048576"), MATCH(AC$1, MayR!$6:$6, 0), FALSE),
            0
        ) +
        IFERROR(
            VLOOKUP($A67, INDIRECT("JunR!$A$6:$ZZ$1048576"), MATCH(AC$1, JunR!$6:$6, 0), FALSE),
            0
        ) +
        IFERROR(
            VLOOKUP($A67, INDIRECT("JulR!$A$6:$ZZ$1048576"), MATCH(AC$1, JulR!$6:$6, 0), FALSE),
            0
        ) +
        IFERROR(
            VLOOKUP($A67, INDIRECT("AgoR!$A$6:$ZZ$1048576"), MATCH(AC$1, AgoR!$6:$6, 0), FALSE),
            0
        ) +
        IFERROR(
            VLOOKUP($A67, INDIRECT("SepR!$A$6:$ZZ$1048576"), MATCH(AC$1, SepR!$6:$6, 0), FALSE),
            0
        ) +
        IFERROR(
            VLOOKUP($A67, INDIRECT("OctR!$A$6:$ZZ$1048576"), MATCH(AC$1, OctR!$6:$6, 0), FALSE),
            0
        ) +
        IFERROR(
            VLOOKUP($A67, INDIRECT("NovR!$A$6:$ZZ$1048576"), MATCH(AC$1, NovR!$6:$6, 0), FALSE),
            0
        ) +
        IFERROR(
            VLOOKUP($A67, INDIRECT("DicR!$A$6:$ZZ$1048576"), MATCH(AC$1, DicR!$6:$6, 0), FALSE),
            0
        )
)</f>
        <v>0</v>
      </c>
      <c r="AD67" s="36">
        <f t="array" ref="AD67">SUM(
    IFERROR(
            VLOOKUP($A67, INDIRECT("EneR!$A$6:$ZZ$1048576"), MATCH(AD$1, EneR!$6:$6, 0), FALSE),
            0
        ) +
        IFERROR(
            VLOOKUP($A67, INDIRECT("FebR!$A$6:$ZZ$1048576"), MATCH(AD$1, FebR!$6:$6, 0), FALSE),
            0
        ) +
        IFERROR(
            VLOOKUP($A67, INDIRECT("MarR!$A$6:$ZZ$1048576"), MATCH(AD$1, MarR!$6:$6, 0), FALSE),
            0
        ) +
        IFERROR(
            VLOOKUP($A67, INDIRECT("AbrR!$A$6:$ZZ$1048576"), MATCH(AD$1, AbrR!$6:$6, 0), FALSE),
            0
        ) +
        IFERROR(
            VLOOKUP($A67, INDIRECT("MayR!$A$6:$ZZ$1048576"), MATCH(AD$1, MayR!$6:$6, 0), FALSE),
            0
        ) +
        IFERROR(
            VLOOKUP($A67, INDIRECT("JunR!$A$6:$ZZ$1048576"), MATCH(AD$1, JunR!$6:$6, 0), FALSE),
            0
        ) +
        IFERROR(
            VLOOKUP($A67, INDIRECT("JulR!$A$6:$ZZ$1048576"), MATCH(AD$1, JulR!$6:$6, 0), FALSE),
            0
        ) +
        IFERROR(
            VLOOKUP($A67, INDIRECT("AgoR!$A$6:$ZZ$1048576"), MATCH(AD$1, AgoR!$6:$6, 0), FALSE),
            0
        ) +
        IFERROR(
            VLOOKUP($A67, INDIRECT("SepR!$A$6:$ZZ$1048576"), MATCH(AD$1, SepR!$6:$6, 0), FALSE),
            0
        ) +
        IFERROR(
            VLOOKUP($A67, INDIRECT("OctR!$A$6:$ZZ$1048576"), MATCH(AD$1, OctR!$6:$6, 0), FALSE),
            0
        ) +
        IFERROR(
            VLOOKUP($A67, INDIRECT("NovR!$A$6:$ZZ$1048576"), MATCH(AD$1, NovR!$6:$6, 0), FALSE),
            0
        ) +
        IFERROR(
            VLOOKUP($A67, INDIRECT("DicR!$A$6:$ZZ$1048576"), MATCH(AD$1, DicR!$6:$6, 0), FALSE),
            0
        )
)</f>
        <v>0</v>
      </c>
      <c r="AE67" s="37">
        <f t="array" ref="AE67">SUM(
    IFERROR(
            VLOOKUP($A67, INDIRECT("EneR!$A$6:$ZZ$1048576"), MATCH(AE$1, EneR!$6:$6, 0), FALSE),
            0
        ) +
        IFERROR(
            VLOOKUP($A67, INDIRECT("FebR!$A$6:$ZZ$1048576"), MATCH(AE$1, FebR!$6:$6, 0), FALSE),
            0
        ) +
        IFERROR(
            VLOOKUP($A67, INDIRECT("MarR!$A$6:$ZZ$1048576"), MATCH(AE$1, MarR!$6:$6, 0), FALSE),
            0
        ) +
        IFERROR(
            VLOOKUP($A67, INDIRECT("AbrR!$A$6:$ZZ$1048576"), MATCH(AE$1, AbrR!$6:$6, 0), FALSE),
            0
        ) +
        IFERROR(
            VLOOKUP($A67, INDIRECT("MayR!$A$6:$ZZ$1048576"), MATCH(AE$1, MayR!$6:$6, 0), FALSE),
            0
        ) +
        IFERROR(
            VLOOKUP($A67, INDIRECT("JunR!$A$6:$ZZ$1048576"), MATCH(AE$1, JunR!$6:$6, 0), FALSE),
            0
        ) +
        IFERROR(
            VLOOKUP($A67, INDIRECT("JulR!$A$6:$ZZ$1048576"), MATCH(AE$1, JulR!$6:$6, 0), FALSE),
            0
        ) +
        IFERROR(
            VLOOKUP($A67, INDIRECT("AgoR!$A$6:$ZZ$1048576"), MATCH(AE$1, AgoR!$6:$6, 0), FALSE),
            0
        ) +
        IFERROR(
            VLOOKUP($A67, INDIRECT("SepR!$A$6:$ZZ$1048576"), MATCH(AE$1, SepR!$6:$6, 0), FALSE),
            0
        ) +
        IFERROR(
            VLOOKUP($A67, INDIRECT("OctR!$A$6:$ZZ$1048576"), MATCH(AE$1, OctR!$6:$6, 0), FALSE),
            0
        ) +
        IFERROR(
            VLOOKUP($A67, INDIRECT("NovR!$A$6:$ZZ$1048576"), MATCH(AE$1, NovR!$6:$6, 0), FALSE),
            0
        ) +
        IFERROR(
            VLOOKUP($A67, INDIRECT("DicR!$A$6:$ZZ$1048576"), MATCH(AE$1, DicR!$6:$6, 0), FALSE),
            0
        )
)</f>
        <v>0</v>
      </c>
      <c r="AF67" s="36">
        <f t="array" ref="AF67">SUM(
    IFERROR(
            VLOOKUP($A67, INDIRECT("EneR!$A$6:$ZZ$1048576"), MATCH(AF$1, EneR!$6:$6, 0), FALSE),
            0
        ) +
        IFERROR(
            VLOOKUP($A67, INDIRECT("FebR!$A$6:$ZZ$1048576"), MATCH(AF$1, FebR!$6:$6, 0), FALSE),
            0
        ) +
        IFERROR(
            VLOOKUP($A67, INDIRECT("MarR!$A$6:$ZZ$1048576"), MATCH(AF$1, MarR!$6:$6, 0), FALSE),
            0
        ) +
        IFERROR(
            VLOOKUP($A67, INDIRECT("AbrR!$A$6:$ZZ$1048576"), MATCH(AF$1, AbrR!$6:$6, 0), FALSE),
            0
        ) +
        IFERROR(
            VLOOKUP($A67, INDIRECT("MayR!$A$6:$ZZ$1048576"), MATCH(AF$1, MayR!$6:$6, 0), FALSE),
            0
        ) +
        IFERROR(
            VLOOKUP($A67, INDIRECT("JunR!$A$6:$ZZ$1048576"), MATCH(AF$1, JunR!$6:$6, 0), FALSE),
            0
        ) +
        IFERROR(
            VLOOKUP($A67, INDIRECT("JulR!$A$6:$ZZ$1048576"), MATCH(AF$1, JulR!$6:$6, 0), FALSE),
            0
        ) +
        IFERROR(
            VLOOKUP($A67, INDIRECT("AgoR!$A$6:$ZZ$1048576"), MATCH(AF$1, AgoR!$6:$6, 0), FALSE),
            0
        ) +
        IFERROR(
            VLOOKUP($A67, INDIRECT("SepR!$A$6:$ZZ$1048576"), MATCH(AF$1, SepR!$6:$6, 0), FALSE),
            0
        ) +
        IFERROR(
            VLOOKUP($A67, INDIRECT("OctR!$A$6:$ZZ$1048576"), MATCH(AF$1, OctR!$6:$6, 0), FALSE),
            0
        ) +
        IFERROR(
            VLOOKUP($A67, INDIRECT("NovR!$A$6:$ZZ$1048576"), MATCH(AF$1, NovR!$6:$6, 0), FALSE),
            0
        ) +
        IFERROR(
            VLOOKUP($A67, INDIRECT("DicR!$A$6:$ZZ$1048576"), MATCH(AF$1, DicR!$6:$6, 0), FALSE),
            0
        )
)</f>
        <v>0</v>
      </c>
      <c r="AG67" s="37">
        <f t="array" ref="AG67">SUM(
    IFERROR(
            VLOOKUP($A67, INDIRECT("EneR!$A$6:$ZZ$1048576"), MATCH(AG$1, EneR!$6:$6, 0), FALSE),
            0
        ) +
        IFERROR(
            VLOOKUP($A67, INDIRECT("FebR!$A$6:$ZZ$1048576"), MATCH(AG$1, FebR!$6:$6, 0), FALSE),
            0
        ) +
        IFERROR(
            VLOOKUP($A67, INDIRECT("MarR!$A$6:$ZZ$1048576"), MATCH(AG$1, MarR!$6:$6, 0), FALSE),
            0
        ) +
        IFERROR(
            VLOOKUP($A67, INDIRECT("AbrR!$A$6:$ZZ$1048576"), MATCH(AG$1, AbrR!$6:$6, 0), FALSE),
            0
        ) +
        IFERROR(
            VLOOKUP($A67, INDIRECT("MayR!$A$6:$ZZ$1048576"), MATCH(AG$1, MayR!$6:$6, 0), FALSE),
            0
        ) +
        IFERROR(
            VLOOKUP($A67, INDIRECT("JunR!$A$6:$ZZ$1048576"), MATCH(AG$1, JunR!$6:$6, 0), FALSE),
            0
        ) +
        IFERROR(
            VLOOKUP($A67, INDIRECT("JulR!$A$6:$ZZ$1048576"), MATCH(AG$1, JulR!$6:$6, 0), FALSE),
            0
        ) +
        IFERROR(
            VLOOKUP($A67, INDIRECT("AgoR!$A$6:$ZZ$1048576"), MATCH(AG$1, AgoR!$6:$6, 0), FALSE),
            0
        ) +
        IFERROR(
            VLOOKUP($A67, INDIRECT("SepR!$A$6:$ZZ$1048576"), MATCH(AG$1, SepR!$6:$6, 0), FALSE),
            0
        ) +
        IFERROR(
            VLOOKUP($A67, INDIRECT("OctR!$A$6:$ZZ$1048576"), MATCH(AG$1, OctR!$6:$6, 0), FALSE),
            0
        ) +
        IFERROR(
            VLOOKUP($A67, INDIRECT("NovR!$A$6:$ZZ$1048576"), MATCH(AG$1, NovR!$6:$6, 0), FALSE),
            0
        ) +
        IFERROR(
            VLOOKUP($A67, INDIRECT("DicR!$A$6:$ZZ$1048576"), MATCH(AG$1, DicR!$6:$6, 0), FALSE),
            0
        )
)</f>
        <v>0</v>
      </c>
      <c r="AH67" s="36">
        <f t="array" ref="AH67">SUM(
    IFERROR(
            VLOOKUP($A67, INDIRECT("EneR!$A$6:$ZZ$1048576"), MATCH(AH$1, EneR!$6:$6, 0), FALSE),
            0
        ) +
        IFERROR(
            VLOOKUP($A67, INDIRECT("FebR!$A$6:$ZZ$1048576"), MATCH(AH$1, FebR!$6:$6, 0), FALSE),
            0
        ) +
        IFERROR(
            VLOOKUP($A67, INDIRECT("MarR!$A$6:$ZZ$1048576"), MATCH(AH$1, MarR!$6:$6, 0), FALSE),
            0
        ) +
        IFERROR(
            VLOOKUP($A67, INDIRECT("AbrR!$A$6:$ZZ$1048576"), MATCH(AH$1, AbrR!$6:$6, 0), FALSE),
            0
        ) +
        IFERROR(
            VLOOKUP($A67, INDIRECT("MayR!$A$6:$ZZ$1048576"), MATCH(AH$1, MayR!$6:$6, 0), FALSE),
            0
        ) +
        IFERROR(
            VLOOKUP($A67, INDIRECT("JunR!$A$6:$ZZ$1048576"), MATCH(AH$1, JunR!$6:$6, 0), FALSE),
            0
        ) +
        IFERROR(
            VLOOKUP($A67, INDIRECT("JulR!$A$6:$ZZ$1048576"), MATCH(AH$1, JulR!$6:$6, 0), FALSE),
            0
        ) +
        IFERROR(
            VLOOKUP($A67, INDIRECT("AgoR!$A$6:$ZZ$1048576"), MATCH(AH$1, AgoR!$6:$6, 0), FALSE),
            0
        ) +
        IFERROR(
            VLOOKUP($A67, INDIRECT("SepR!$A$6:$ZZ$1048576"), MATCH(AH$1, SepR!$6:$6, 0), FALSE),
            0
        ) +
        IFERROR(
            VLOOKUP($A67, INDIRECT("OctR!$A$6:$ZZ$1048576"), MATCH(AH$1, OctR!$6:$6, 0), FALSE),
            0
        ) +
        IFERROR(
            VLOOKUP($A67, INDIRECT("NovR!$A$6:$ZZ$1048576"), MATCH(AH$1, NovR!$6:$6, 0), FALSE),
            0
        ) +
        IFERROR(
            VLOOKUP($A67, INDIRECT("DicR!$A$6:$ZZ$1048576"), MATCH(AH$1, DicR!$6:$6, 0), FALSE),
            0
        )
)</f>
        <v>0</v>
      </c>
      <c r="AI67" s="37">
        <f t="array" ref="AI67">SUM(
    IFERROR(
            VLOOKUP($A67, INDIRECT("EneR!$A$6:$ZZ$1048576"), MATCH(AI$1, EneR!$6:$6, 0), FALSE),
            0
        ) +
        IFERROR(
            VLOOKUP($A67, INDIRECT("FebR!$A$6:$ZZ$1048576"), MATCH(AI$1, FebR!$6:$6, 0), FALSE),
            0
        ) +
        IFERROR(
            VLOOKUP($A67, INDIRECT("MarR!$A$6:$ZZ$1048576"), MATCH(AI$1, MarR!$6:$6, 0), FALSE),
            0
        ) +
        IFERROR(
            VLOOKUP($A67, INDIRECT("AbrR!$A$6:$ZZ$1048576"), MATCH(AI$1, AbrR!$6:$6, 0), FALSE),
            0
        ) +
        IFERROR(
            VLOOKUP($A67, INDIRECT("MayR!$A$6:$ZZ$1048576"), MATCH(AI$1, MayR!$6:$6, 0), FALSE),
            0
        ) +
        IFERROR(
            VLOOKUP($A67, INDIRECT("JunR!$A$6:$ZZ$1048576"), MATCH(AI$1, JunR!$6:$6, 0), FALSE),
            0
        ) +
        IFERROR(
            VLOOKUP($A67, INDIRECT("JulR!$A$6:$ZZ$1048576"), MATCH(AI$1, JulR!$6:$6, 0), FALSE),
            0
        ) +
        IFERROR(
            VLOOKUP($A67, INDIRECT("AgoR!$A$6:$ZZ$1048576"), MATCH(AI$1, AgoR!$6:$6, 0), FALSE),
            0
        ) +
        IFERROR(
            VLOOKUP($A67, INDIRECT("SepR!$A$6:$ZZ$1048576"), MATCH(AI$1, SepR!$6:$6, 0), FALSE),
            0
        ) +
        IFERROR(
            VLOOKUP($A67, INDIRECT("OctR!$A$6:$ZZ$1048576"), MATCH(AI$1, OctR!$6:$6, 0), FALSE),
            0
        ) +
        IFERROR(
            VLOOKUP($A67, INDIRECT("NovR!$A$6:$ZZ$1048576"), MATCH(AI$1, NovR!$6:$6, 0), FALSE),
            0
        ) +
        IFERROR(
            VLOOKUP($A67, INDIRECT("DicR!$A$6:$ZZ$1048576"), MATCH(AI$1, DicR!$6:$6, 0), FALSE),
            0
        )
)</f>
        <v>0</v>
      </c>
      <c r="AJ67" s="36">
        <f t="array" ref="AJ67">SUM(
    IFERROR(
            VLOOKUP($A67, INDIRECT("EneR!$A$6:$ZZ$1048576"), MATCH(AJ$1, EneR!$6:$6, 0), FALSE),
            0
        ) +
        IFERROR(
            VLOOKUP($A67, INDIRECT("FebR!$A$6:$ZZ$1048576"), MATCH(AJ$1, FebR!$6:$6, 0), FALSE),
            0
        ) +
        IFERROR(
            VLOOKUP($A67, INDIRECT("MarR!$A$6:$ZZ$1048576"), MATCH(AJ$1, MarR!$6:$6, 0), FALSE),
            0
        ) +
        IFERROR(
            VLOOKUP($A67, INDIRECT("AbrR!$A$6:$ZZ$1048576"), MATCH(AJ$1, AbrR!$6:$6, 0), FALSE),
            0
        ) +
        IFERROR(
            VLOOKUP($A67, INDIRECT("MayR!$A$6:$ZZ$1048576"), MATCH(AJ$1, MayR!$6:$6, 0), FALSE),
            0
        ) +
        IFERROR(
            VLOOKUP($A67, INDIRECT("JunR!$A$6:$ZZ$1048576"), MATCH(AJ$1, JunR!$6:$6, 0), FALSE),
            0
        ) +
        IFERROR(
            VLOOKUP($A67, INDIRECT("JulR!$A$6:$ZZ$1048576"), MATCH(AJ$1, JulR!$6:$6, 0), FALSE),
            0
        ) +
        IFERROR(
            VLOOKUP($A67, INDIRECT("AgoR!$A$6:$ZZ$1048576"), MATCH(AJ$1, AgoR!$6:$6, 0), FALSE),
            0
        ) +
        IFERROR(
            VLOOKUP($A67, INDIRECT("SepR!$A$6:$ZZ$1048576"), MATCH(AJ$1, SepR!$6:$6, 0), FALSE),
            0
        ) +
        IFERROR(
            VLOOKUP($A67, INDIRECT("OctR!$A$6:$ZZ$1048576"), MATCH(AJ$1, OctR!$6:$6, 0), FALSE),
            0
        ) +
        IFERROR(
            VLOOKUP($A67, INDIRECT("NovR!$A$6:$ZZ$1048576"), MATCH(AJ$1, NovR!$6:$6, 0), FALSE),
            0
        ) +
        IFERROR(
            VLOOKUP($A67, INDIRECT("DicR!$A$6:$ZZ$1048576"), MATCH(AJ$1, DicR!$6:$6, 0), FALSE),
            0
        )
)</f>
        <v>0</v>
      </c>
      <c r="AK67" s="37">
        <f t="array" ref="AK67">SUM(
    IFERROR(
            VLOOKUP($A67, INDIRECT("EneR!$A$6:$ZZ$1048576"), MATCH(AK$1, EneR!$6:$6, 0), FALSE),
            0
        ) +
        IFERROR(
            VLOOKUP($A67, INDIRECT("FebR!$A$6:$ZZ$1048576"), MATCH(AK$1, FebR!$6:$6, 0), FALSE),
            0
        ) +
        IFERROR(
            VLOOKUP($A67, INDIRECT("MarR!$A$6:$ZZ$1048576"), MATCH(AK$1, MarR!$6:$6, 0), FALSE),
            0
        ) +
        IFERROR(
            VLOOKUP($A67, INDIRECT("AbrR!$A$6:$ZZ$1048576"), MATCH(AK$1, AbrR!$6:$6, 0), FALSE),
            0
        ) +
        IFERROR(
            VLOOKUP($A67, INDIRECT("MayR!$A$6:$ZZ$1048576"), MATCH(AK$1, MayR!$6:$6, 0), FALSE),
            0
        ) +
        IFERROR(
            VLOOKUP($A67, INDIRECT("JunR!$A$6:$ZZ$1048576"), MATCH(AK$1, JunR!$6:$6, 0), FALSE),
            0
        ) +
        IFERROR(
            VLOOKUP($A67, INDIRECT("JulR!$A$6:$ZZ$1048576"), MATCH(AK$1, JulR!$6:$6, 0), FALSE),
            0
        ) +
        IFERROR(
            VLOOKUP($A67, INDIRECT("AgoR!$A$6:$ZZ$1048576"), MATCH(AK$1, AgoR!$6:$6, 0), FALSE),
            0
        ) +
        IFERROR(
            VLOOKUP($A67, INDIRECT("SepR!$A$6:$ZZ$1048576"), MATCH(AK$1, SepR!$6:$6, 0), FALSE),
            0
        ) +
        IFERROR(
            VLOOKUP($A67, INDIRECT("OctR!$A$6:$ZZ$1048576"), MATCH(AK$1, OctR!$6:$6, 0), FALSE),
            0
        ) +
        IFERROR(
            VLOOKUP($A67, INDIRECT("NovR!$A$6:$ZZ$1048576"), MATCH(AK$1, NovR!$6:$6, 0), FALSE),
            0
        ) +
        IFERROR(
            VLOOKUP($A67, INDIRECT("DicR!$A$6:$ZZ$1048576"), MATCH(AK$1, DicR!$6:$6, 0), FALSE),
            0
        )
)</f>
        <v>0</v>
      </c>
      <c r="AL67" s="36">
        <f t="array" ref="AL67">SUM(
    IFERROR(
            VLOOKUP($A67, INDIRECT("EneR!$A$6:$ZZ$1048576"), MATCH(AL$1, EneR!$6:$6, 0), FALSE),
            0
        ) +
        IFERROR(
            VLOOKUP($A67, INDIRECT("FebR!$A$6:$ZZ$1048576"), MATCH(AL$1, FebR!$6:$6, 0), FALSE),
            0
        ) +
        IFERROR(
            VLOOKUP($A67, INDIRECT("MarR!$A$6:$ZZ$1048576"), MATCH(AL$1, MarR!$6:$6, 0), FALSE),
            0
        ) +
        IFERROR(
            VLOOKUP($A67, INDIRECT("AbrR!$A$6:$ZZ$1048576"), MATCH(AL$1, AbrR!$6:$6, 0), FALSE),
            0
        ) +
        IFERROR(
            VLOOKUP($A67, INDIRECT("MayR!$A$6:$ZZ$1048576"), MATCH(AL$1, MayR!$6:$6, 0), FALSE),
            0
        ) +
        IFERROR(
            VLOOKUP($A67, INDIRECT("JunR!$A$6:$ZZ$1048576"), MATCH(AL$1, JunR!$6:$6, 0), FALSE),
            0
        ) +
        IFERROR(
            VLOOKUP($A67, INDIRECT("JulR!$A$6:$ZZ$1048576"), MATCH(AL$1, JulR!$6:$6, 0), FALSE),
            0
        ) +
        IFERROR(
            VLOOKUP($A67, INDIRECT("AgoR!$A$6:$ZZ$1048576"), MATCH(AL$1, AgoR!$6:$6, 0), FALSE),
            0
        ) +
        IFERROR(
            VLOOKUP($A67, INDIRECT("SepR!$A$6:$ZZ$1048576"), MATCH(AL$1, SepR!$6:$6, 0), FALSE),
            0
        ) +
        IFERROR(
            VLOOKUP($A67, INDIRECT("OctR!$A$6:$ZZ$1048576"), MATCH(AL$1, OctR!$6:$6, 0), FALSE),
            0
        ) +
        IFERROR(
            VLOOKUP($A67, INDIRECT("NovR!$A$6:$ZZ$1048576"), MATCH(AL$1, NovR!$6:$6, 0), FALSE),
            0
        ) +
        IFERROR(
            VLOOKUP($A67, INDIRECT("DicR!$A$6:$ZZ$1048576"), MATCH(AL$1, DicR!$6:$6, 0), FALSE),
            0
        )
)</f>
        <v>0</v>
      </c>
      <c r="AM67" s="37">
        <f t="array" ref="AM67">SUM(
    IFERROR(
            VLOOKUP($A67, INDIRECT("EneR!$A$6:$ZZ$1048576"), MATCH(AM$1, EneR!$6:$6, 0), FALSE),
            0
        ) +
        IFERROR(
            VLOOKUP($A67, INDIRECT("FebR!$A$6:$ZZ$1048576"), MATCH(AM$1, FebR!$6:$6, 0), FALSE),
            0
        ) +
        IFERROR(
            VLOOKUP($A67, INDIRECT("MarR!$A$6:$ZZ$1048576"), MATCH(AM$1, MarR!$6:$6, 0), FALSE),
            0
        ) +
        IFERROR(
            VLOOKUP($A67, INDIRECT("AbrR!$A$6:$ZZ$1048576"), MATCH(AM$1, AbrR!$6:$6, 0), FALSE),
            0
        ) +
        IFERROR(
            VLOOKUP($A67, INDIRECT("MayR!$A$6:$ZZ$1048576"), MATCH(AM$1, MayR!$6:$6, 0), FALSE),
            0
        ) +
        IFERROR(
            VLOOKUP($A67, INDIRECT("JunR!$A$6:$ZZ$1048576"), MATCH(AM$1, JunR!$6:$6, 0), FALSE),
            0
        ) +
        IFERROR(
            VLOOKUP($A67, INDIRECT("JulR!$A$6:$ZZ$1048576"), MATCH(AM$1, JulR!$6:$6, 0), FALSE),
            0
        ) +
        IFERROR(
            VLOOKUP($A67, INDIRECT("AgoR!$A$6:$ZZ$1048576"), MATCH(AM$1, AgoR!$6:$6, 0), FALSE),
            0
        ) +
        IFERROR(
            VLOOKUP($A67, INDIRECT("SepR!$A$6:$ZZ$1048576"), MATCH(AM$1, SepR!$6:$6, 0), FALSE),
            0
        ) +
        IFERROR(
            VLOOKUP($A67, INDIRECT("OctR!$A$6:$ZZ$1048576"), MATCH(AM$1, OctR!$6:$6, 0), FALSE),
            0
        ) +
        IFERROR(
            VLOOKUP($A67, INDIRECT("NovR!$A$6:$ZZ$1048576"), MATCH(AM$1, NovR!$6:$6, 0), FALSE),
            0
        ) +
        IFERROR(
            VLOOKUP($A67, INDIRECT("DicR!$A$6:$ZZ$1048576"), MATCH(AM$1, DicR!$6:$6, 0), FALSE),
            0
        )
)</f>
        <v>0</v>
      </c>
      <c r="AN67" s="32">
        <f t="array" ref="AN67">SUM(
    IFERROR(
            VLOOKUP($A67, INDIRECT("EneR!$A$6:$ZZ$1048576"), MATCH(AN$1, EneR!$6:$6, 0), FALSE),
            0
        ) +
        IFERROR(
            VLOOKUP($A67, INDIRECT("FebR!$A$6:$ZZ$1048576"), MATCH(AN$1, FebR!$6:$6, 0), FALSE),
            0
        ) +
        IFERROR(
            VLOOKUP($A67, INDIRECT("MarR!$A$6:$ZZ$1048576"), MATCH(AN$1, MarR!$6:$6, 0), FALSE),
            0
        ) +
        IFERROR(
            VLOOKUP($A67, INDIRECT("AbrR!$A$6:$ZZ$1048576"), MATCH(AN$1, AbrR!$6:$6, 0), FALSE),
            0
        ) +
        IFERROR(
            VLOOKUP($A67, INDIRECT("MayR!$A$6:$ZZ$1048576"), MATCH(AN$1, MayR!$6:$6, 0), FALSE),
            0
        ) +
        IFERROR(
            VLOOKUP($A67, INDIRECT("JunR!$A$6:$ZZ$1048576"), MATCH(AN$1, JunR!$6:$6, 0), FALSE),
            0
        ) +
        IFERROR(
            VLOOKUP($A67, INDIRECT("JulR!$A$6:$ZZ$1048576"), MATCH(AN$1, JulR!$6:$6, 0), FALSE),
            0
        ) +
        IFERROR(
            VLOOKUP($A67, INDIRECT("AgoR!$A$6:$ZZ$1048576"), MATCH(AN$1, AgoR!$6:$6, 0), FALSE),
            0
        ) +
        IFERROR(
            VLOOKUP($A67, INDIRECT("SepR!$A$6:$ZZ$1048576"), MATCH(AN$1, SepR!$6:$6, 0), FALSE),
            0
        ) +
        IFERROR(
            VLOOKUP($A67, INDIRECT("OctR!$A$6:$ZZ$1048576"), MATCH(AN$1, OctR!$6:$6, 0), FALSE),
            0
        ) +
        IFERROR(
            VLOOKUP($A67, INDIRECT("NovR!$A$6:$ZZ$1048576"), MATCH(AN$1, NovR!$6:$6, 0), FALSE),
            0
        ) +
        IFERROR(
            VLOOKUP($A67, INDIRECT("DicR!$A$6:$ZZ$1048576"), MATCH(AN$1, DicR!$6:$6, 0), FALSE),
            0
        )
)</f>
        <v>0</v>
      </c>
      <c r="AO67" s="35">
        <f t="array" ref="AO67">SUM(
    IFERROR(
            VLOOKUP($A67, INDIRECT("EneR!$A$6:$ZZ$1048576"), MATCH(AO$1, EneR!$6:$6, 0), FALSE),
            0
        ) +
        IFERROR(
            VLOOKUP($A67, INDIRECT("FebR!$A$6:$ZZ$1048576"), MATCH(AO$1, FebR!$6:$6, 0), FALSE),
            0
        ) +
        IFERROR(
            VLOOKUP($A67, INDIRECT("MarR!$A$6:$ZZ$1048576"), MATCH(AO$1, MarR!$6:$6, 0), FALSE),
            0
        ) +
        IFERROR(
            VLOOKUP($A67, INDIRECT("AbrR!$A$6:$ZZ$1048576"), MATCH(AO$1, AbrR!$6:$6, 0), FALSE),
            0
        ) +
        IFERROR(
            VLOOKUP($A67, INDIRECT("MayR!$A$6:$ZZ$1048576"), MATCH(AO$1, MayR!$6:$6, 0), FALSE),
            0
        ) +
        IFERROR(
            VLOOKUP($A67, INDIRECT("JunR!$A$6:$ZZ$1048576"), MATCH(AO$1, JunR!$6:$6, 0), FALSE),
            0
        ) +
        IFERROR(
            VLOOKUP($A67, INDIRECT("JulR!$A$6:$ZZ$1048576"), MATCH(AO$1, JulR!$6:$6, 0), FALSE),
            0
        ) +
        IFERROR(
            VLOOKUP($A67, INDIRECT("AgoR!$A$6:$ZZ$1048576"), MATCH(AO$1, AgoR!$6:$6, 0), FALSE),
            0
        ) +
        IFERROR(
            VLOOKUP($A67, INDIRECT("SepR!$A$6:$ZZ$1048576"), MATCH(AO$1, SepR!$6:$6, 0), FALSE),
            0
        ) +
        IFERROR(
            VLOOKUP($A67, INDIRECT("OctR!$A$6:$ZZ$1048576"), MATCH(AO$1, OctR!$6:$6, 0), FALSE),
            0
        ) +
        IFERROR(
            VLOOKUP($A67, INDIRECT("NovR!$A$6:$ZZ$1048576"), MATCH(AO$1, NovR!$6:$6, 0), FALSE),
            0
        ) +
        IFERROR(
            VLOOKUP($A67, INDIRECT("DicR!$A$6:$ZZ$1048576"), MATCH(AO$1, DicR!$6:$6, 0), FALSE),
            0
        )
)</f>
        <v>0</v>
      </c>
      <c r="AP67" s="36">
        <f t="array" ref="AP67">SUM(
    IFERROR(
            VLOOKUP($A67, INDIRECT("EneR!$A$6:$ZZ$1048576"), MATCH(AP$1, EneR!$6:$6, 0), FALSE),
            0
        ) +
        IFERROR(
            VLOOKUP($A67, INDIRECT("FebR!$A$6:$ZZ$1048576"), MATCH(AP$1, FebR!$6:$6, 0), FALSE),
            0
        ) +
        IFERROR(
            VLOOKUP($A67, INDIRECT("MarR!$A$6:$ZZ$1048576"), MATCH(AP$1, MarR!$6:$6, 0), FALSE),
            0
        ) +
        IFERROR(
            VLOOKUP($A67, INDIRECT("AbrR!$A$6:$ZZ$1048576"), MATCH(AP$1, AbrR!$6:$6, 0), FALSE),
            0
        ) +
        IFERROR(
            VLOOKUP($A67, INDIRECT("MayR!$A$6:$ZZ$1048576"), MATCH(AP$1, MayR!$6:$6, 0), FALSE),
            0
        ) +
        IFERROR(
            VLOOKUP($A67, INDIRECT("JunR!$A$6:$ZZ$1048576"), MATCH(AP$1, JunR!$6:$6, 0), FALSE),
            0
        ) +
        IFERROR(
            VLOOKUP($A67, INDIRECT("JulR!$A$6:$ZZ$1048576"), MATCH(AP$1, JulR!$6:$6, 0), FALSE),
            0
        ) +
        IFERROR(
            VLOOKUP($A67, INDIRECT("AgoR!$A$6:$ZZ$1048576"), MATCH(AP$1, AgoR!$6:$6, 0), FALSE),
            0
        ) +
        IFERROR(
            VLOOKUP($A67, INDIRECT("SepR!$A$6:$ZZ$1048576"), MATCH(AP$1, SepR!$6:$6, 0), FALSE),
            0
        ) +
        IFERROR(
            VLOOKUP($A67, INDIRECT("OctR!$A$6:$ZZ$1048576"), MATCH(AP$1, OctR!$6:$6, 0), FALSE),
            0
        ) +
        IFERROR(
            VLOOKUP($A67, INDIRECT("NovR!$A$6:$ZZ$1048576"), MATCH(AP$1, NovR!$6:$6, 0), FALSE),
            0
        ) +
        IFERROR(
            VLOOKUP($A67, INDIRECT("DicR!$A$6:$ZZ$1048576"), MATCH(AP$1, DicR!$6:$6, 0), FALSE),
            0
        )
)</f>
        <v>0</v>
      </c>
      <c r="AQ67" s="35">
        <f t="array" ref="AQ67">SUM(
    IFERROR(
            VLOOKUP($A67, INDIRECT("EneR!$A$6:$ZZ$1048576"), MATCH(AQ$1, EneR!$6:$6, 0), FALSE),
            0
        ) +
        IFERROR(
            VLOOKUP($A67, INDIRECT("FebR!$A$6:$ZZ$1048576"), MATCH(AQ$1, FebR!$6:$6, 0), FALSE),
            0
        ) +
        IFERROR(
            VLOOKUP($A67, INDIRECT("MarR!$A$6:$ZZ$1048576"), MATCH(AQ$1, MarR!$6:$6, 0), FALSE),
            0
        ) +
        IFERROR(
            VLOOKUP($A67, INDIRECT("AbrR!$A$6:$ZZ$1048576"), MATCH(AQ$1, AbrR!$6:$6, 0), FALSE),
            0
        ) +
        IFERROR(
            VLOOKUP($A67, INDIRECT("MayR!$A$6:$ZZ$1048576"), MATCH(AQ$1, MayR!$6:$6, 0), FALSE),
            0
        ) +
        IFERROR(
            VLOOKUP($A67, INDIRECT("JunR!$A$6:$ZZ$1048576"), MATCH(AQ$1, JunR!$6:$6, 0), FALSE),
            0
        ) +
        IFERROR(
            VLOOKUP($A67, INDIRECT("JulR!$A$6:$ZZ$1048576"), MATCH(AQ$1, JulR!$6:$6, 0), FALSE),
            0
        ) +
        IFERROR(
            VLOOKUP($A67, INDIRECT("AgoR!$A$6:$ZZ$1048576"), MATCH(AQ$1, AgoR!$6:$6, 0), FALSE),
            0
        ) +
        IFERROR(
            VLOOKUP($A67, INDIRECT("SepR!$A$6:$ZZ$1048576"), MATCH(AQ$1, SepR!$6:$6, 0), FALSE),
            0
        ) +
        IFERROR(
            VLOOKUP($A67, INDIRECT("OctR!$A$6:$ZZ$1048576"), MATCH(AQ$1, OctR!$6:$6, 0), FALSE),
            0
        ) +
        IFERROR(
            VLOOKUP($A67, INDIRECT("NovR!$A$6:$ZZ$1048576"), MATCH(AQ$1, NovR!$6:$6, 0), FALSE),
            0
        ) +
        IFERROR(
            VLOOKUP($A67, INDIRECT("DicR!$A$6:$ZZ$1048576"), MATCH(AQ$1, DicR!$6:$6, 0), FALSE),
            0
        )
)</f>
        <v>0</v>
      </c>
      <c r="AR67" s="36">
        <f t="array" ref="AR67">SUM(
    IFERROR(
            VLOOKUP($A67, INDIRECT("EneR!$A$6:$ZZ$1048576"), MATCH(AR$1, EneR!$6:$6, 0), FALSE),
            0
        ) +
        IFERROR(
            VLOOKUP($A67, INDIRECT("FebR!$A$6:$ZZ$1048576"), MATCH(AR$1, FebR!$6:$6, 0), FALSE),
            0
        ) +
        IFERROR(
            VLOOKUP($A67, INDIRECT("MarR!$A$6:$ZZ$1048576"), MATCH(AR$1, MarR!$6:$6, 0), FALSE),
            0
        ) +
        IFERROR(
            VLOOKUP($A67, INDIRECT("AbrR!$A$6:$ZZ$1048576"), MATCH(AR$1, AbrR!$6:$6, 0), FALSE),
            0
        ) +
        IFERROR(
            VLOOKUP($A67, INDIRECT("MayR!$A$6:$ZZ$1048576"), MATCH(AR$1, MayR!$6:$6, 0), FALSE),
            0
        ) +
        IFERROR(
            VLOOKUP($A67, INDIRECT("JunR!$A$6:$ZZ$1048576"), MATCH(AR$1, JunR!$6:$6, 0), FALSE),
            0
        ) +
        IFERROR(
            VLOOKUP($A67, INDIRECT("JulR!$A$6:$ZZ$1048576"), MATCH(AR$1, JulR!$6:$6, 0), FALSE),
            0
        ) +
        IFERROR(
            VLOOKUP($A67, INDIRECT("AgoR!$A$6:$ZZ$1048576"), MATCH(AR$1, AgoR!$6:$6, 0), FALSE),
            0
        ) +
        IFERROR(
            VLOOKUP($A67, INDIRECT("SepR!$A$6:$ZZ$1048576"), MATCH(AR$1, SepR!$6:$6, 0), FALSE),
            0
        ) +
        IFERROR(
            VLOOKUP($A67, INDIRECT("OctR!$A$6:$ZZ$1048576"), MATCH(AR$1, OctR!$6:$6, 0), FALSE),
            0
        ) +
        IFERROR(
            VLOOKUP($A67, INDIRECT("NovR!$A$6:$ZZ$1048576"), MATCH(AR$1, NovR!$6:$6, 0), FALSE),
            0
        ) +
        IFERROR(
            VLOOKUP($A67, INDIRECT("DicR!$A$6:$ZZ$1048576"), MATCH(AR$1, DicR!$6:$6, 0), FALSE),
            0
        )
)</f>
        <v>0</v>
      </c>
      <c r="AS67" s="35">
        <f t="array" ref="AS67">SUM(
    IFERROR(
            VLOOKUP($A67, INDIRECT("EneR!$A$6:$ZZ$1048576"), MATCH(AS$1, EneR!$6:$6, 0), FALSE),
            0
        ) +
        IFERROR(
            VLOOKUP($A67, INDIRECT("FebR!$A$6:$ZZ$1048576"), MATCH(AS$1, FebR!$6:$6, 0), FALSE),
            0
        ) +
        IFERROR(
            VLOOKUP($A67, INDIRECT("MarR!$A$6:$ZZ$1048576"), MATCH(AS$1, MarR!$6:$6, 0), FALSE),
            0
        ) +
        IFERROR(
            VLOOKUP($A67, INDIRECT("AbrR!$A$6:$ZZ$1048576"), MATCH(AS$1, AbrR!$6:$6, 0), FALSE),
            0
        ) +
        IFERROR(
            VLOOKUP($A67, INDIRECT("MayR!$A$6:$ZZ$1048576"), MATCH(AS$1, MayR!$6:$6, 0), FALSE),
            0
        ) +
        IFERROR(
            VLOOKUP($A67, INDIRECT("JunR!$A$6:$ZZ$1048576"), MATCH(AS$1, JunR!$6:$6, 0), FALSE),
            0
        ) +
        IFERROR(
            VLOOKUP($A67, INDIRECT("JulR!$A$6:$ZZ$1048576"), MATCH(AS$1, JulR!$6:$6, 0), FALSE),
            0
        ) +
        IFERROR(
            VLOOKUP($A67, INDIRECT("AgoR!$A$6:$ZZ$1048576"), MATCH(AS$1, AgoR!$6:$6, 0), FALSE),
            0
        ) +
        IFERROR(
            VLOOKUP($A67, INDIRECT("SepR!$A$6:$ZZ$1048576"), MATCH(AS$1, SepR!$6:$6, 0), FALSE),
            0
        ) +
        IFERROR(
            VLOOKUP($A67, INDIRECT("OctR!$A$6:$ZZ$1048576"), MATCH(AS$1, OctR!$6:$6, 0), FALSE),
            0
        ) +
        IFERROR(
            VLOOKUP($A67, INDIRECT("NovR!$A$6:$ZZ$1048576"), MATCH(AS$1, NovR!$6:$6, 0), FALSE),
            0
        ) +
        IFERROR(
            VLOOKUP($A67, INDIRECT("DicR!$A$6:$ZZ$1048576"), MATCH(AS$1, DicR!$6:$6, 0), FALSE),
            0
        )
)</f>
        <v>0</v>
      </c>
      <c r="AT67" s="36">
        <f t="array" ref="AT67">SUM(
    IFERROR(
            VLOOKUP($A67, INDIRECT("EneR!$A$6:$ZZ$1048576"), MATCH(AT$1, EneR!$6:$6, 0), FALSE),
            0
        ) +
        IFERROR(
            VLOOKUP($A67, INDIRECT("FebR!$A$6:$ZZ$1048576"), MATCH(AT$1, FebR!$6:$6, 0), FALSE),
            0
        ) +
        IFERROR(
            VLOOKUP($A67, INDIRECT("MarR!$A$6:$ZZ$1048576"), MATCH(AT$1, MarR!$6:$6, 0), FALSE),
            0
        ) +
        IFERROR(
            VLOOKUP($A67, INDIRECT("AbrR!$A$6:$ZZ$1048576"), MATCH(AT$1, AbrR!$6:$6, 0), FALSE),
            0
        ) +
        IFERROR(
            VLOOKUP($A67, INDIRECT("MayR!$A$6:$ZZ$1048576"), MATCH(AT$1, MayR!$6:$6, 0), FALSE),
            0
        ) +
        IFERROR(
            VLOOKUP($A67, INDIRECT("JunR!$A$6:$ZZ$1048576"), MATCH(AT$1, JunR!$6:$6, 0), FALSE),
            0
        ) +
        IFERROR(
            VLOOKUP($A67, INDIRECT("JulR!$A$6:$ZZ$1048576"), MATCH(AT$1, JulR!$6:$6, 0), FALSE),
            0
        ) +
        IFERROR(
            VLOOKUP($A67, INDIRECT("AgoR!$A$6:$ZZ$1048576"), MATCH(AT$1, AgoR!$6:$6, 0), FALSE),
            0
        ) +
        IFERROR(
            VLOOKUP($A67, INDIRECT("SepR!$A$6:$ZZ$1048576"), MATCH(AT$1, SepR!$6:$6, 0), FALSE),
            0
        ) +
        IFERROR(
            VLOOKUP($A67, INDIRECT("OctR!$A$6:$ZZ$1048576"), MATCH(AT$1, OctR!$6:$6, 0), FALSE),
            0
        ) +
        IFERROR(
            VLOOKUP($A67, INDIRECT("NovR!$A$6:$ZZ$1048576"), MATCH(AT$1, NovR!$6:$6, 0), FALSE),
            0
        ) +
        IFERROR(
            VLOOKUP($A67, INDIRECT("DicR!$A$6:$ZZ$1048576"), MATCH(AT$1, DicR!$6:$6, 0), FALSE),
            0
        )
)</f>
        <v>0</v>
      </c>
      <c r="AU67" s="35">
        <f t="array" ref="AU67">SUM(
    IFERROR(
            VLOOKUP($A67, INDIRECT("EneR!$A$6:$ZZ$1048576"), MATCH(AU$1, EneR!$6:$6, 0), FALSE),
            0
        ) +
        IFERROR(
            VLOOKUP($A67, INDIRECT("FebR!$A$6:$ZZ$1048576"), MATCH(AU$1, FebR!$6:$6, 0), FALSE),
            0
        ) +
        IFERROR(
            VLOOKUP($A67, INDIRECT("MarR!$A$6:$ZZ$1048576"), MATCH(AU$1, MarR!$6:$6, 0), FALSE),
            0
        ) +
        IFERROR(
            VLOOKUP($A67, INDIRECT("AbrR!$A$6:$ZZ$1048576"), MATCH(AU$1, AbrR!$6:$6, 0), FALSE),
            0
        ) +
        IFERROR(
            VLOOKUP($A67, INDIRECT("MayR!$A$6:$ZZ$1048576"), MATCH(AU$1, MayR!$6:$6, 0), FALSE),
            0
        ) +
        IFERROR(
            VLOOKUP($A67, INDIRECT("JunR!$A$6:$ZZ$1048576"), MATCH(AU$1, JunR!$6:$6, 0), FALSE),
            0
        ) +
        IFERROR(
            VLOOKUP($A67, INDIRECT("JulR!$A$6:$ZZ$1048576"), MATCH(AU$1, JulR!$6:$6, 0), FALSE),
            0
        ) +
        IFERROR(
            VLOOKUP($A67, INDIRECT("AgoR!$A$6:$ZZ$1048576"), MATCH(AU$1, AgoR!$6:$6, 0), FALSE),
            0
        ) +
        IFERROR(
            VLOOKUP($A67, INDIRECT("SepR!$A$6:$ZZ$1048576"), MATCH(AU$1, SepR!$6:$6, 0), FALSE),
            0
        ) +
        IFERROR(
            VLOOKUP($A67, INDIRECT("OctR!$A$6:$ZZ$1048576"), MATCH(AU$1, OctR!$6:$6, 0), FALSE),
            0
        ) +
        IFERROR(
            VLOOKUP($A67, INDIRECT("NovR!$A$6:$ZZ$1048576"), MATCH(AU$1, NovR!$6:$6, 0), FALSE),
            0
        ) +
        IFERROR(
            VLOOKUP($A67, INDIRECT("DicR!$A$6:$ZZ$1048576"), MATCH(AU$1, DicR!$6:$6, 0), FALSE),
            0
        )
)</f>
        <v>0</v>
      </c>
      <c r="AV67" s="36">
        <f t="array" ref="AV67">SUM(
    IFERROR(
            VLOOKUP($A67, INDIRECT("EneR!$A$6:$ZZ$1048576"), MATCH(AV$1, EneR!$6:$6, 0), FALSE),
            0
        ) +
        IFERROR(
            VLOOKUP($A67, INDIRECT("FebR!$A$6:$ZZ$1048576"), MATCH(AV$1, FebR!$6:$6, 0), FALSE),
            0
        ) +
        IFERROR(
            VLOOKUP($A67, INDIRECT("MarR!$A$6:$ZZ$1048576"), MATCH(AV$1, MarR!$6:$6, 0), FALSE),
            0
        ) +
        IFERROR(
            VLOOKUP($A67, INDIRECT("AbrR!$A$6:$ZZ$1048576"), MATCH(AV$1, AbrR!$6:$6, 0), FALSE),
            0
        ) +
        IFERROR(
            VLOOKUP($A67, INDIRECT("MayR!$A$6:$ZZ$1048576"), MATCH(AV$1, MayR!$6:$6, 0), FALSE),
            0
        ) +
        IFERROR(
            VLOOKUP($A67, INDIRECT("JunR!$A$6:$ZZ$1048576"), MATCH(AV$1, JunR!$6:$6, 0), FALSE),
            0
        ) +
        IFERROR(
            VLOOKUP($A67, INDIRECT("JulR!$A$6:$ZZ$1048576"), MATCH(AV$1, JulR!$6:$6, 0), FALSE),
            0
        ) +
        IFERROR(
            VLOOKUP($A67, INDIRECT("AgoR!$A$6:$ZZ$1048576"), MATCH(AV$1, AgoR!$6:$6, 0), FALSE),
            0
        ) +
        IFERROR(
            VLOOKUP($A67, INDIRECT("SepR!$A$6:$ZZ$1048576"), MATCH(AV$1, SepR!$6:$6, 0), FALSE),
            0
        ) +
        IFERROR(
            VLOOKUP($A67, INDIRECT("OctR!$A$6:$ZZ$1048576"), MATCH(AV$1, OctR!$6:$6, 0), FALSE),
            0
        ) +
        IFERROR(
            VLOOKUP($A67, INDIRECT("NovR!$A$6:$ZZ$1048576"), MATCH(AV$1, NovR!$6:$6, 0), FALSE),
            0
        ) +
        IFERROR(
            VLOOKUP($A67, INDIRECT("DicR!$A$6:$ZZ$1048576"), MATCH(AV$1, DicR!$6:$6, 0), FALSE),
            0
        )
)</f>
        <v>0</v>
      </c>
      <c r="AW67" s="35">
        <f t="array" ref="AW67">SUM(
    IFERROR(
            VLOOKUP($A67, INDIRECT("EneR!$A$6:$ZZ$1048576"), MATCH(AW$1, EneR!$6:$6, 0), FALSE),
            0
        ) +
        IFERROR(
            VLOOKUP($A67, INDIRECT("FebR!$A$6:$ZZ$1048576"), MATCH(AW$1, FebR!$6:$6, 0), FALSE),
            0
        ) +
        IFERROR(
            VLOOKUP($A67, INDIRECT("MarR!$A$6:$ZZ$1048576"), MATCH(AW$1, MarR!$6:$6, 0), FALSE),
            0
        ) +
        IFERROR(
            VLOOKUP($A67, INDIRECT("AbrR!$A$6:$ZZ$1048576"), MATCH(AW$1, AbrR!$6:$6, 0), FALSE),
            0
        ) +
        IFERROR(
            VLOOKUP($A67, INDIRECT("MayR!$A$6:$ZZ$1048576"), MATCH(AW$1, MayR!$6:$6, 0), FALSE),
            0
        ) +
        IFERROR(
            VLOOKUP($A67, INDIRECT("JunR!$A$6:$ZZ$1048576"), MATCH(AW$1, JunR!$6:$6, 0), FALSE),
            0
        ) +
        IFERROR(
            VLOOKUP($A67, INDIRECT("JulR!$A$6:$ZZ$1048576"), MATCH(AW$1, JulR!$6:$6, 0), FALSE),
            0
        ) +
        IFERROR(
            VLOOKUP($A67, INDIRECT("AgoR!$A$6:$ZZ$1048576"), MATCH(AW$1, AgoR!$6:$6, 0), FALSE),
            0
        ) +
        IFERROR(
            VLOOKUP($A67, INDIRECT("SepR!$A$6:$ZZ$1048576"), MATCH(AW$1, SepR!$6:$6, 0), FALSE),
            0
        ) +
        IFERROR(
            VLOOKUP($A67, INDIRECT("OctR!$A$6:$ZZ$1048576"), MATCH(AW$1, OctR!$6:$6, 0), FALSE),
            0
        ) +
        IFERROR(
            VLOOKUP($A67, INDIRECT("NovR!$A$6:$ZZ$1048576"), MATCH(AW$1, NovR!$6:$6, 0), FALSE),
            0
        ) +
        IFERROR(
            VLOOKUP($A67, INDIRECT("DicR!$A$6:$ZZ$1048576"), MATCH(AW$1, DicR!$6:$6, 0), FALSE),
            0
        )
)</f>
        <v>0</v>
      </c>
      <c r="AX67" s="36">
        <f t="array" ref="AX67">SUM(
    IFERROR(
            VLOOKUP($A67, INDIRECT("EneR!$A$6:$ZZ$1048576"), MATCH(AX$1, EneR!$6:$6, 0), FALSE),
            0
        ) +
        IFERROR(
            VLOOKUP($A67, INDIRECT("FebR!$A$6:$ZZ$1048576"), MATCH(AX$1, FebR!$6:$6, 0), FALSE),
            0
        ) +
        IFERROR(
            VLOOKUP($A67, INDIRECT("MarR!$A$6:$ZZ$1048576"), MATCH(AX$1, MarR!$6:$6, 0), FALSE),
            0
        ) +
        IFERROR(
            VLOOKUP($A67, INDIRECT("AbrR!$A$6:$ZZ$1048576"), MATCH(AX$1, AbrR!$6:$6, 0), FALSE),
            0
        ) +
        IFERROR(
            VLOOKUP($A67, INDIRECT("MayR!$A$6:$ZZ$1048576"), MATCH(AX$1, MayR!$6:$6, 0), FALSE),
            0
        ) +
        IFERROR(
            VLOOKUP($A67, INDIRECT("JunR!$A$6:$ZZ$1048576"), MATCH(AX$1, JunR!$6:$6, 0), FALSE),
            0
        ) +
        IFERROR(
            VLOOKUP($A67, INDIRECT("JulR!$A$6:$ZZ$1048576"), MATCH(AX$1, JulR!$6:$6, 0), FALSE),
            0
        ) +
        IFERROR(
            VLOOKUP($A67, INDIRECT("AgoR!$A$6:$ZZ$1048576"), MATCH(AX$1, AgoR!$6:$6, 0), FALSE),
            0
        ) +
        IFERROR(
            VLOOKUP($A67, INDIRECT("SepR!$A$6:$ZZ$1048576"), MATCH(AX$1, SepR!$6:$6, 0), FALSE),
            0
        ) +
        IFERROR(
            VLOOKUP($A67, INDIRECT("OctR!$A$6:$ZZ$1048576"), MATCH(AX$1, OctR!$6:$6, 0), FALSE),
            0
        ) +
        IFERROR(
            VLOOKUP($A67, INDIRECT("NovR!$A$6:$ZZ$1048576"), MATCH(AX$1, NovR!$6:$6, 0), FALSE),
            0
        ) +
        IFERROR(
            VLOOKUP($A67, INDIRECT("DicR!$A$6:$ZZ$1048576"), MATCH(AX$1, DicR!$6:$6, 0), FALSE),
            0
        )
)</f>
        <v>0</v>
      </c>
      <c r="AY67" s="35">
        <f t="array" ref="AY67">SUM(
    IFERROR(
            VLOOKUP($A67, INDIRECT("EneR!$A$6:$ZZ$1048576"), MATCH(AY$1, EneR!$6:$6, 0), FALSE),
            0
        ) +
        IFERROR(
            VLOOKUP($A67, INDIRECT("FebR!$A$6:$ZZ$1048576"), MATCH(AY$1, FebR!$6:$6, 0), FALSE),
            0
        ) +
        IFERROR(
            VLOOKUP($A67, INDIRECT("MarR!$A$6:$ZZ$1048576"), MATCH(AY$1, MarR!$6:$6, 0), FALSE),
            0
        ) +
        IFERROR(
            VLOOKUP($A67, INDIRECT("AbrR!$A$6:$ZZ$1048576"), MATCH(AY$1, AbrR!$6:$6, 0), FALSE),
            0
        ) +
        IFERROR(
            VLOOKUP($A67, INDIRECT("MayR!$A$6:$ZZ$1048576"), MATCH(AY$1, MayR!$6:$6, 0), FALSE),
            0
        ) +
        IFERROR(
            VLOOKUP($A67, INDIRECT("JunR!$A$6:$ZZ$1048576"), MATCH(AY$1, JunR!$6:$6, 0), FALSE),
            0
        ) +
        IFERROR(
            VLOOKUP($A67, INDIRECT("JulR!$A$6:$ZZ$1048576"), MATCH(AY$1, JulR!$6:$6, 0), FALSE),
            0
        ) +
        IFERROR(
            VLOOKUP($A67, INDIRECT("AgoR!$A$6:$ZZ$1048576"), MATCH(AY$1, AgoR!$6:$6, 0), FALSE),
            0
        ) +
        IFERROR(
            VLOOKUP($A67, INDIRECT("SepR!$A$6:$ZZ$1048576"), MATCH(AY$1, SepR!$6:$6, 0), FALSE),
            0
        ) +
        IFERROR(
            VLOOKUP($A67, INDIRECT("OctR!$A$6:$ZZ$1048576"), MATCH(AY$1, OctR!$6:$6, 0), FALSE),
            0
        ) +
        IFERROR(
            VLOOKUP($A67, INDIRECT("NovR!$A$6:$ZZ$1048576"), MATCH(AY$1, NovR!$6:$6, 0), FALSE),
            0
        ) +
        IFERROR(
            VLOOKUP($A67, INDIRECT("DicR!$A$6:$ZZ$1048576"), MATCH(AY$1, DicR!$6:$6, 0), FALSE),
            0
        )
)</f>
        <v>0</v>
      </c>
      <c r="AZ67" s="35"/>
    </row>
    <row r="68" ht="15.75" customHeight="1">
      <c r="A68" s="12" t="str">
        <f>Menus!B29</f>
        <v/>
      </c>
      <c r="B68" s="32">
        <f t="shared" si="9"/>
        <v>0</v>
      </c>
      <c r="C68" s="33" t="str">
        <f t="shared" si="10"/>
        <v/>
      </c>
      <c r="D68" s="34">
        <f t="array" ref="D68">SUM(
    IFERROR(
            VLOOKUP($A68, INDIRECT("EneR!$A$6:$ZZ$1048576"), MATCH(D$1, EneR!$6:$6, 0), FALSE),
            0
        ) +
        IFERROR(
            VLOOKUP($A68, INDIRECT("FebR!$A$6:$ZZ$1048576"), MATCH(D$1, FebR!$6:$6, 0), FALSE),
            0
        ) +
        IFERROR(
            VLOOKUP($A68, INDIRECT("MarR!$A$6:$ZZ$1048576"), MATCH(D$1, MarR!$6:$6, 0), FALSE),
            0
        ) +
        IFERROR(
            VLOOKUP($A68, INDIRECT("AbrR!$A$6:$ZZ$1048576"), MATCH(D$1, AbrR!$6:$6, 0), FALSE),
            0
        ) +
        IFERROR(
            VLOOKUP($A68, INDIRECT("MayR!$A$6:$ZZ$1048576"), MATCH(D$1, MayR!$6:$6, 0), FALSE),
            0
        ) +
        IFERROR(
            VLOOKUP($A68, INDIRECT("JunR!$A$6:$ZZ$1048576"), MATCH(D$1, JunR!$6:$6, 0), FALSE),
            0
        ) +
        IFERROR(
            VLOOKUP($A68, INDIRECT("JulR!$A$6:$ZZ$1048576"), MATCH(D$1, JulR!$6:$6, 0), FALSE),
            0
        ) +
        IFERROR(
            VLOOKUP($A68, INDIRECT("AgoR!$A$6:$ZZ$1048576"), MATCH(D$1, AgoR!$6:$6, 0), FALSE),
            0
        ) +
        IFERROR(
            VLOOKUP($A68, INDIRECT("SepR!$A$6:$ZZ$1048576"), MATCH(D$1, SepR!$6:$6, 0), FALSE),
            0
        ) +
        IFERROR(
            VLOOKUP($A68, INDIRECT("OctR!$A$6:$ZZ$1048576"), MATCH(D$1, OctR!$6:$6, 0), FALSE),
            0
        ) +
        IFERROR(
            VLOOKUP($A68, INDIRECT("NovR!$A$6:$ZZ$1048576"), MATCH(D$1, NovR!$6:$6, 0), FALSE),
            0
        ) +
        IFERROR(
            VLOOKUP($A68, INDIRECT("DicR!$A$6:$ZZ$1048576"), MATCH(D$1, DicR!$6:$6, 0), FALSE),
            0
        )
)</f>
        <v>0</v>
      </c>
      <c r="E68" s="35">
        <f t="array" ref="E68">SUM(
    IFERROR(
            VLOOKUP($A68, INDIRECT("EneR!$A$6:$ZZ$1048576"), MATCH(E$1, EneR!$6:$6, 0), FALSE),
            0
        ) +
        IFERROR(
            VLOOKUP($A68, INDIRECT("FebR!$A$6:$ZZ$1048576"), MATCH(E$1, FebR!$6:$6, 0), FALSE),
            0
        ) +
        IFERROR(
            VLOOKUP($A68, INDIRECT("MarR!$A$6:$ZZ$1048576"), MATCH(E$1, MarR!$6:$6, 0), FALSE),
            0
        ) +
        IFERROR(
            VLOOKUP($A68, INDIRECT("AbrR!$A$6:$ZZ$1048576"), MATCH(E$1, AbrR!$6:$6, 0), FALSE),
            0
        ) +
        IFERROR(
            VLOOKUP($A68, INDIRECT("MayR!$A$6:$ZZ$1048576"), MATCH(E$1, MayR!$6:$6, 0), FALSE),
            0
        ) +
        IFERROR(
            VLOOKUP($A68, INDIRECT("JunR!$A$6:$ZZ$1048576"), MATCH(E$1, JunR!$6:$6, 0), FALSE),
            0
        ) +
        IFERROR(
            VLOOKUP($A68, INDIRECT("JulR!$A$6:$ZZ$1048576"), MATCH(E$1, JulR!$6:$6, 0), FALSE),
            0
        ) +
        IFERROR(
            VLOOKUP($A68, INDIRECT("AgoR!$A$6:$ZZ$1048576"), MATCH(E$1, AgoR!$6:$6, 0), FALSE),
            0
        ) +
        IFERROR(
            VLOOKUP($A68, INDIRECT("SepR!$A$6:$ZZ$1048576"), MATCH(E$1, SepR!$6:$6, 0), FALSE),
            0
        ) +
        IFERROR(
            VLOOKUP($A68, INDIRECT("OctR!$A$6:$ZZ$1048576"), MATCH(E$1, OctR!$6:$6, 0), FALSE),
            0
        ) +
        IFERROR(
            VLOOKUP($A68, INDIRECT("NovR!$A$6:$ZZ$1048576"), MATCH(E$1, NovR!$6:$6, 0), FALSE),
            0
        ) +
        IFERROR(
            VLOOKUP($A68, INDIRECT("DicR!$A$6:$ZZ$1048576"), MATCH(E$1, DicR!$6:$6, 0), FALSE),
            0
        )
)</f>
        <v>0</v>
      </c>
      <c r="F68" s="32">
        <f t="array" ref="F68">SUM(
    IFERROR(
            VLOOKUP($A68, INDIRECT("EneR!$A$6:$ZZ$1048576"), MATCH(F$1, EneR!$6:$6, 0), FALSE),
            0
        ) +
        IFERROR(
            VLOOKUP($A68, INDIRECT("FebR!$A$6:$ZZ$1048576"), MATCH(F$1, FebR!$6:$6, 0), FALSE),
            0
        ) +
        IFERROR(
            VLOOKUP($A68, INDIRECT("MarR!$A$6:$ZZ$1048576"), MATCH(F$1, MarR!$6:$6, 0), FALSE),
            0
        ) +
        IFERROR(
            VLOOKUP($A68, INDIRECT("AbrR!$A$6:$ZZ$1048576"), MATCH(F$1, AbrR!$6:$6, 0), FALSE),
            0
        ) +
        IFERROR(
            VLOOKUP($A68, INDIRECT("MayR!$A$6:$ZZ$1048576"), MATCH(F$1, MayR!$6:$6, 0), FALSE),
            0
        ) +
        IFERROR(
            VLOOKUP($A68, INDIRECT("JunR!$A$6:$ZZ$1048576"), MATCH(F$1, JunR!$6:$6, 0), FALSE),
            0
        ) +
        IFERROR(
            VLOOKUP($A68, INDIRECT("JulR!$A$6:$ZZ$1048576"), MATCH(F$1, JulR!$6:$6, 0), FALSE),
            0
        ) +
        IFERROR(
            VLOOKUP($A68, INDIRECT("AgoR!$A$6:$ZZ$1048576"), MATCH(F$1, AgoR!$6:$6, 0), FALSE),
            0
        ) +
        IFERROR(
            VLOOKUP($A68, INDIRECT("SepR!$A$6:$ZZ$1048576"), MATCH(F$1, SepR!$6:$6, 0), FALSE),
            0
        ) +
        IFERROR(
            VLOOKUP($A68, INDIRECT("OctR!$A$6:$ZZ$1048576"), MATCH(F$1, OctR!$6:$6, 0), FALSE),
            0
        ) +
        IFERROR(
            VLOOKUP($A68, INDIRECT("NovR!$A$6:$ZZ$1048576"), MATCH(F$1, NovR!$6:$6, 0), FALSE),
            0
        ) +
        IFERROR(
            VLOOKUP($A68, INDIRECT("DicR!$A$6:$ZZ$1048576"), MATCH(F$1, DicR!$6:$6, 0), FALSE),
            0
        )
)</f>
        <v>0</v>
      </c>
      <c r="G68" s="35">
        <f t="array" ref="G68">SUM(
    IFERROR(
            VLOOKUP($A68, INDIRECT("EneR!$A$6:$ZZ$1048576"), MATCH(G$1, EneR!$6:$6, 0), FALSE),
            0
        ) +
        IFERROR(
            VLOOKUP($A68, INDIRECT("FebR!$A$6:$ZZ$1048576"), MATCH(G$1, FebR!$6:$6, 0), FALSE),
            0
        ) +
        IFERROR(
            VLOOKUP($A68, INDIRECT("MarR!$A$6:$ZZ$1048576"), MATCH(G$1, MarR!$6:$6, 0), FALSE),
            0
        ) +
        IFERROR(
            VLOOKUP($A68, INDIRECT("AbrR!$A$6:$ZZ$1048576"), MATCH(G$1, AbrR!$6:$6, 0), FALSE),
            0
        ) +
        IFERROR(
            VLOOKUP($A68, INDIRECT("MayR!$A$6:$ZZ$1048576"), MATCH(G$1, MayR!$6:$6, 0), FALSE),
            0
        ) +
        IFERROR(
            VLOOKUP($A68, INDIRECT("JunR!$A$6:$ZZ$1048576"), MATCH(G$1, JunR!$6:$6, 0), FALSE),
            0
        ) +
        IFERROR(
            VLOOKUP($A68, INDIRECT("JulR!$A$6:$ZZ$1048576"), MATCH(G$1, JulR!$6:$6, 0), FALSE),
            0
        ) +
        IFERROR(
            VLOOKUP($A68, INDIRECT("AgoR!$A$6:$ZZ$1048576"), MATCH(G$1, AgoR!$6:$6, 0), FALSE),
            0
        ) +
        IFERROR(
            VLOOKUP($A68, INDIRECT("SepR!$A$6:$ZZ$1048576"), MATCH(G$1, SepR!$6:$6, 0), FALSE),
            0
        ) +
        IFERROR(
            VLOOKUP($A68, INDIRECT("OctR!$A$6:$ZZ$1048576"), MATCH(G$1, OctR!$6:$6, 0), FALSE),
            0
        ) +
        IFERROR(
            VLOOKUP($A68, INDIRECT("NovR!$A$6:$ZZ$1048576"), MATCH(G$1, NovR!$6:$6, 0), FALSE),
            0
        ) +
        IFERROR(
            VLOOKUP($A68, INDIRECT("DicR!$A$6:$ZZ$1048576"), MATCH(G$1, DicR!$6:$6, 0), FALSE),
            0
        )
)</f>
        <v>0</v>
      </c>
      <c r="H68" s="32">
        <f t="array" ref="H68">SUM(
    IFERROR(
            VLOOKUP($A68, INDIRECT("EneR!$A$6:$ZZ$1048576"), MATCH(H$1, EneR!$6:$6, 0), FALSE),
            0
        ) +
        IFERROR(
            VLOOKUP($A68, INDIRECT("FebR!$A$6:$ZZ$1048576"), MATCH(H$1, FebR!$6:$6, 0), FALSE),
            0
        ) +
        IFERROR(
            VLOOKUP($A68, INDIRECT("MarR!$A$6:$ZZ$1048576"), MATCH(H$1, MarR!$6:$6, 0), FALSE),
            0
        ) +
        IFERROR(
            VLOOKUP($A68, INDIRECT("AbrR!$A$6:$ZZ$1048576"), MATCH(H$1, AbrR!$6:$6, 0), FALSE),
            0
        ) +
        IFERROR(
            VLOOKUP($A68, INDIRECT("MayR!$A$6:$ZZ$1048576"), MATCH(H$1, MayR!$6:$6, 0), FALSE),
            0
        ) +
        IFERROR(
            VLOOKUP($A68, INDIRECT("JunR!$A$6:$ZZ$1048576"), MATCH(H$1, JunR!$6:$6, 0), FALSE),
            0
        ) +
        IFERROR(
            VLOOKUP($A68, INDIRECT("JulR!$A$6:$ZZ$1048576"), MATCH(H$1, JulR!$6:$6, 0), FALSE),
            0
        ) +
        IFERROR(
            VLOOKUP($A68, INDIRECT("AgoR!$A$6:$ZZ$1048576"), MATCH(H$1, AgoR!$6:$6, 0), FALSE),
            0
        ) +
        IFERROR(
            VLOOKUP($A68, INDIRECT("SepR!$A$6:$ZZ$1048576"), MATCH(H$1, SepR!$6:$6, 0), FALSE),
            0
        ) +
        IFERROR(
            VLOOKUP($A68, INDIRECT("OctR!$A$6:$ZZ$1048576"), MATCH(H$1, OctR!$6:$6, 0), FALSE),
            0
        ) +
        IFERROR(
            VLOOKUP($A68, INDIRECT("NovR!$A$6:$ZZ$1048576"), MATCH(H$1, NovR!$6:$6, 0), FALSE),
            0
        ) +
        IFERROR(
            VLOOKUP($A68, INDIRECT("DicR!$A$6:$ZZ$1048576"), MATCH(H$1, DicR!$6:$6, 0), FALSE),
            0
        )
)</f>
        <v>0</v>
      </c>
      <c r="I68" s="35">
        <f t="array" ref="I68">SUM(
    IFERROR(
            VLOOKUP($A68, INDIRECT("EneR!$A$6:$ZZ$1048576"), MATCH(I$1, EneR!$6:$6, 0), FALSE),
            0
        ) +
        IFERROR(
            VLOOKUP($A68, INDIRECT("FebR!$A$6:$ZZ$1048576"), MATCH(I$1, FebR!$6:$6, 0), FALSE),
            0
        ) +
        IFERROR(
            VLOOKUP($A68, INDIRECT("MarR!$A$6:$ZZ$1048576"), MATCH(I$1, MarR!$6:$6, 0), FALSE),
            0
        ) +
        IFERROR(
            VLOOKUP($A68, INDIRECT("AbrR!$A$6:$ZZ$1048576"), MATCH(I$1, AbrR!$6:$6, 0), FALSE),
            0
        ) +
        IFERROR(
            VLOOKUP($A68, INDIRECT("MayR!$A$6:$ZZ$1048576"), MATCH(I$1, MayR!$6:$6, 0), FALSE),
            0
        ) +
        IFERROR(
            VLOOKUP($A68, INDIRECT("JunR!$A$6:$ZZ$1048576"), MATCH(I$1, JunR!$6:$6, 0), FALSE),
            0
        ) +
        IFERROR(
            VLOOKUP($A68, INDIRECT("JulR!$A$6:$ZZ$1048576"), MATCH(I$1, JulR!$6:$6, 0), FALSE),
            0
        ) +
        IFERROR(
            VLOOKUP($A68, INDIRECT("AgoR!$A$6:$ZZ$1048576"), MATCH(I$1, AgoR!$6:$6, 0), FALSE),
            0
        ) +
        IFERROR(
            VLOOKUP($A68, INDIRECT("SepR!$A$6:$ZZ$1048576"), MATCH(I$1, SepR!$6:$6, 0), FALSE),
            0
        ) +
        IFERROR(
            VLOOKUP($A68, INDIRECT("OctR!$A$6:$ZZ$1048576"), MATCH(I$1, OctR!$6:$6, 0), FALSE),
            0
        ) +
        IFERROR(
            VLOOKUP($A68, INDIRECT("NovR!$A$6:$ZZ$1048576"), MATCH(I$1, NovR!$6:$6, 0), FALSE),
            0
        ) +
        IFERROR(
            VLOOKUP($A68, INDIRECT("DicR!$A$6:$ZZ$1048576"), MATCH(I$1, DicR!$6:$6, 0), FALSE),
            0
        )
)</f>
        <v>0</v>
      </c>
      <c r="J68" s="32">
        <f t="array" ref="J68">SUM(
    IFERROR(
            VLOOKUP($A68, INDIRECT("EneR!$A$6:$ZZ$1048576"), MATCH(J$1, EneR!$6:$6, 0), FALSE),
            0
        ) +
        IFERROR(
            VLOOKUP($A68, INDIRECT("FebR!$A$6:$ZZ$1048576"), MATCH(J$1, FebR!$6:$6, 0), FALSE),
            0
        ) +
        IFERROR(
            VLOOKUP($A68, INDIRECT("MarR!$A$6:$ZZ$1048576"), MATCH(J$1, MarR!$6:$6, 0), FALSE),
            0
        ) +
        IFERROR(
            VLOOKUP($A68, INDIRECT("AbrR!$A$6:$ZZ$1048576"), MATCH(J$1, AbrR!$6:$6, 0), FALSE),
            0
        ) +
        IFERROR(
            VLOOKUP($A68, INDIRECT("MayR!$A$6:$ZZ$1048576"), MATCH(J$1, MayR!$6:$6, 0), FALSE),
            0
        ) +
        IFERROR(
            VLOOKUP($A68, INDIRECT("JunR!$A$6:$ZZ$1048576"), MATCH(J$1, JunR!$6:$6, 0), FALSE),
            0
        ) +
        IFERROR(
            VLOOKUP($A68, INDIRECT("JulR!$A$6:$ZZ$1048576"), MATCH(J$1, JulR!$6:$6, 0), FALSE),
            0
        ) +
        IFERROR(
            VLOOKUP($A68, INDIRECT("AgoR!$A$6:$ZZ$1048576"), MATCH(J$1, AgoR!$6:$6, 0), FALSE),
            0
        ) +
        IFERROR(
            VLOOKUP($A68, INDIRECT("SepR!$A$6:$ZZ$1048576"), MATCH(J$1, SepR!$6:$6, 0), FALSE),
            0
        ) +
        IFERROR(
            VLOOKUP($A68, INDIRECT("OctR!$A$6:$ZZ$1048576"), MATCH(J$1, OctR!$6:$6, 0), FALSE),
            0
        ) +
        IFERROR(
            VLOOKUP($A68, INDIRECT("NovR!$A$6:$ZZ$1048576"), MATCH(J$1, NovR!$6:$6, 0), FALSE),
            0
        ) +
        IFERROR(
            VLOOKUP($A68, INDIRECT("DicR!$A$6:$ZZ$1048576"), MATCH(J$1, DicR!$6:$6, 0), FALSE),
            0
        )
)</f>
        <v>0</v>
      </c>
      <c r="K68" s="35">
        <f t="array" ref="K68">SUM(
    IFERROR(
            VLOOKUP($A68, INDIRECT("EneR!$A$6:$ZZ$1048576"), MATCH(K$1, EneR!$6:$6, 0), FALSE),
            0
        ) +
        IFERROR(
            VLOOKUP($A68, INDIRECT("FebR!$A$6:$ZZ$1048576"), MATCH(K$1, FebR!$6:$6, 0), FALSE),
            0
        ) +
        IFERROR(
            VLOOKUP($A68, INDIRECT("MarR!$A$6:$ZZ$1048576"), MATCH(K$1, MarR!$6:$6, 0), FALSE),
            0
        ) +
        IFERROR(
            VLOOKUP($A68, INDIRECT("AbrR!$A$6:$ZZ$1048576"), MATCH(K$1, AbrR!$6:$6, 0), FALSE),
            0
        ) +
        IFERROR(
            VLOOKUP($A68, INDIRECT("MayR!$A$6:$ZZ$1048576"), MATCH(K$1, MayR!$6:$6, 0), FALSE),
            0
        ) +
        IFERROR(
            VLOOKUP($A68, INDIRECT("JunR!$A$6:$ZZ$1048576"), MATCH(K$1, JunR!$6:$6, 0), FALSE),
            0
        ) +
        IFERROR(
            VLOOKUP($A68, INDIRECT("JulR!$A$6:$ZZ$1048576"), MATCH(K$1, JulR!$6:$6, 0), FALSE),
            0
        ) +
        IFERROR(
            VLOOKUP($A68, INDIRECT("AgoR!$A$6:$ZZ$1048576"), MATCH(K$1, AgoR!$6:$6, 0), FALSE),
            0
        ) +
        IFERROR(
            VLOOKUP($A68, INDIRECT("SepR!$A$6:$ZZ$1048576"), MATCH(K$1, SepR!$6:$6, 0), FALSE),
            0
        ) +
        IFERROR(
            VLOOKUP($A68, INDIRECT("OctR!$A$6:$ZZ$1048576"), MATCH(K$1, OctR!$6:$6, 0), FALSE),
            0
        ) +
        IFERROR(
            VLOOKUP($A68, INDIRECT("NovR!$A$6:$ZZ$1048576"), MATCH(K$1, NovR!$6:$6, 0), FALSE),
            0
        ) +
        IFERROR(
            VLOOKUP($A68, INDIRECT("DicR!$A$6:$ZZ$1048576"), MATCH(K$1, DicR!$6:$6, 0), FALSE),
            0
        )
)</f>
        <v>0</v>
      </c>
      <c r="L68" s="32">
        <f t="array" ref="L68">SUM(
    IFERROR(
            VLOOKUP($A68, INDIRECT("EneR!$A$6:$ZZ$1048576"), MATCH(L$1, EneR!$6:$6, 0), FALSE),
            0
        ) +
        IFERROR(
            VLOOKUP($A68, INDIRECT("FebR!$A$6:$ZZ$1048576"), MATCH(L$1, FebR!$6:$6, 0), FALSE),
            0
        ) +
        IFERROR(
            VLOOKUP($A68, INDIRECT("MarR!$A$6:$ZZ$1048576"), MATCH(L$1, MarR!$6:$6, 0), FALSE),
            0
        ) +
        IFERROR(
            VLOOKUP($A68, INDIRECT("AbrR!$A$6:$ZZ$1048576"), MATCH(L$1, AbrR!$6:$6, 0), FALSE),
            0
        ) +
        IFERROR(
            VLOOKUP($A68, INDIRECT("MayR!$A$6:$ZZ$1048576"), MATCH(L$1, MayR!$6:$6, 0), FALSE),
            0
        ) +
        IFERROR(
            VLOOKUP($A68, INDIRECT("JunR!$A$6:$ZZ$1048576"), MATCH(L$1, JunR!$6:$6, 0), FALSE),
            0
        ) +
        IFERROR(
            VLOOKUP($A68, INDIRECT("JulR!$A$6:$ZZ$1048576"), MATCH(L$1, JulR!$6:$6, 0), FALSE),
            0
        ) +
        IFERROR(
            VLOOKUP($A68, INDIRECT("AgoR!$A$6:$ZZ$1048576"), MATCH(L$1, AgoR!$6:$6, 0), FALSE),
            0
        ) +
        IFERROR(
            VLOOKUP($A68, INDIRECT("SepR!$A$6:$ZZ$1048576"), MATCH(L$1, SepR!$6:$6, 0), FALSE),
            0
        ) +
        IFERROR(
            VLOOKUP($A68, INDIRECT("OctR!$A$6:$ZZ$1048576"), MATCH(L$1, OctR!$6:$6, 0), FALSE),
            0
        ) +
        IFERROR(
            VLOOKUP($A68, INDIRECT("NovR!$A$6:$ZZ$1048576"), MATCH(L$1, NovR!$6:$6, 0), FALSE),
            0
        ) +
        IFERROR(
            VLOOKUP($A68, INDIRECT("DicR!$A$6:$ZZ$1048576"), MATCH(L$1, DicR!$6:$6, 0), FALSE),
            0
        )
)</f>
        <v>0</v>
      </c>
      <c r="M68" s="35">
        <f t="array" ref="M68">SUM(
    IFERROR(
            VLOOKUP($A68, INDIRECT("EneR!$A$6:$ZZ$1048576"), MATCH(M$1, EneR!$6:$6, 0), FALSE),
            0
        ) +
        IFERROR(
            VLOOKUP($A68, INDIRECT("FebR!$A$6:$ZZ$1048576"), MATCH(M$1, FebR!$6:$6, 0), FALSE),
            0
        ) +
        IFERROR(
            VLOOKUP($A68, INDIRECT("MarR!$A$6:$ZZ$1048576"), MATCH(M$1, MarR!$6:$6, 0), FALSE),
            0
        ) +
        IFERROR(
            VLOOKUP($A68, INDIRECT("AbrR!$A$6:$ZZ$1048576"), MATCH(M$1, AbrR!$6:$6, 0), FALSE),
            0
        ) +
        IFERROR(
            VLOOKUP($A68, INDIRECT("MayR!$A$6:$ZZ$1048576"), MATCH(M$1, MayR!$6:$6, 0), FALSE),
            0
        ) +
        IFERROR(
            VLOOKUP($A68, INDIRECT("JunR!$A$6:$ZZ$1048576"), MATCH(M$1, JunR!$6:$6, 0), FALSE),
            0
        ) +
        IFERROR(
            VLOOKUP($A68, INDIRECT("JulR!$A$6:$ZZ$1048576"), MATCH(M$1, JulR!$6:$6, 0), FALSE),
            0
        ) +
        IFERROR(
            VLOOKUP($A68, INDIRECT("AgoR!$A$6:$ZZ$1048576"), MATCH(M$1, AgoR!$6:$6, 0), FALSE),
            0
        ) +
        IFERROR(
            VLOOKUP($A68, INDIRECT("SepR!$A$6:$ZZ$1048576"), MATCH(M$1, SepR!$6:$6, 0), FALSE),
            0
        ) +
        IFERROR(
            VLOOKUP($A68, INDIRECT("OctR!$A$6:$ZZ$1048576"), MATCH(M$1, OctR!$6:$6, 0), FALSE),
            0
        ) +
        IFERROR(
            VLOOKUP($A68, INDIRECT("NovR!$A$6:$ZZ$1048576"), MATCH(M$1, NovR!$6:$6, 0), FALSE),
            0
        ) +
        IFERROR(
            VLOOKUP($A68, INDIRECT("DicR!$A$6:$ZZ$1048576"), MATCH(M$1, DicR!$6:$6, 0), FALSE),
            0
        )
)</f>
        <v>0</v>
      </c>
      <c r="N68" s="32">
        <f t="array" ref="N68">SUM(
    IFERROR(
            VLOOKUP($A68, INDIRECT("EneR!$A$6:$ZZ$1048576"), MATCH(N$1, EneR!$6:$6, 0), FALSE),
            0
        ) +
        IFERROR(
            VLOOKUP($A68, INDIRECT("FebR!$A$6:$ZZ$1048576"), MATCH(N$1, FebR!$6:$6, 0), FALSE),
            0
        ) +
        IFERROR(
            VLOOKUP($A68, INDIRECT("MarR!$A$6:$ZZ$1048576"), MATCH(N$1, MarR!$6:$6, 0), FALSE),
            0
        ) +
        IFERROR(
            VLOOKUP($A68, INDIRECT("AbrR!$A$6:$ZZ$1048576"), MATCH(N$1, AbrR!$6:$6, 0), FALSE),
            0
        ) +
        IFERROR(
            VLOOKUP($A68, INDIRECT("MayR!$A$6:$ZZ$1048576"), MATCH(N$1, MayR!$6:$6, 0), FALSE),
            0
        ) +
        IFERROR(
            VLOOKUP($A68, INDIRECT("JunR!$A$6:$ZZ$1048576"), MATCH(N$1, JunR!$6:$6, 0), FALSE),
            0
        ) +
        IFERROR(
            VLOOKUP($A68, INDIRECT("JulR!$A$6:$ZZ$1048576"), MATCH(N$1, JulR!$6:$6, 0), FALSE),
            0
        ) +
        IFERROR(
            VLOOKUP($A68, INDIRECT("AgoR!$A$6:$ZZ$1048576"), MATCH(N$1, AgoR!$6:$6, 0), FALSE),
            0
        ) +
        IFERROR(
            VLOOKUP($A68, INDIRECT("SepR!$A$6:$ZZ$1048576"), MATCH(N$1, SepR!$6:$6, 0), FALSE),
            0
        ) +
        IFERROR(
            VLOOKUP($A68, INDIRECT("OctR!$A$6:$ZZ$1048576"), MATCH(N$1, OctR!$6:$6, 0), FALSE),
            0
        ) +
        IFERROR(
            VLOOKUP($A68, INDIRECT("NovR!$A$6:$ZZ$1048576"), MATCH(N$1, NovR!$6:$6, 0), FALSE),
            0
        ) +
        IFERROR(
            VLOOKUP($A68, INDIRECT("DicR!$A$6:$ZZ$1048576"), MATCH(N$1, DicR!$6:$6, 0), FALSE),
            0
        )
)</f>
        <v>0</v>
      </c>
      <c r="O68" s="35">
        <f t="array" ref="O68">SUM(
    IFERROR(
            VLOOKUP($A68, INDIRECT("EneR!$A$6:$ZZ$1048576"), MATCH(O$1, EneR!$6:$6, 0), FALSE),
            0
        ) +
        IFERROR(
            VLOOKUP($A68, INDIRECT("FebR!$A$6:$ZZ$1048576"), MATCH(O$1, FebR!$6:$6, 0), FALSE),
            0
        ) +
        IFERROR(
            VLOOKUP($A68, INDIRECT("MarR!$A$6:$ZZ$1048576"), MATCH(O$1, MarR!$6:$6, 0), FALSE),
            0
        ) +
        IFERROR(
            VLOOKUP($A68, INDIRECT("AbrR!$A$6:$ZZ$1048576"), MATCH(O$1, AbrR!$6:$6, 0), FALSE),
            0
        ) +
        IFERROR(
            VLOOKUP($A68, INDIRECT("MayR!$A$6:$ZZ$1048576"), MATCH(O$1, MayR!$6:$6, 0), FALSE),
            0
        ) +
        IFERROR(
            VLOOKUP($A68, INDIRECT("JunR!$A$6:$ZZ$1048576"), MATCH(O$1, JunR!$6:$6, 0), FALSE),
            0
        ) +
        IFERROR(
            VLOOKUP($A68, INDIRECT("JulR!$A$6:$ZZ$1048576"), MATCH(O$1, JulR!$6:$6, 0), FALSE),
            0
        ) +
        IFERROR(
            VLOOKUP($A68, INDIRECT("AgoR!$A$6:$ZZ$1048576"), MATCH(O$1, AgoR!$6:$6, 0), FALSE),
            0
        ) +
        IFERROR(
            VLOOKUP($A68, INDIRECT("SepR!$A$6:$ZZ$1048576"), MATCH(O$1, SepR!$6:$6, 0), FALSE),
            0
        ) +
        IFERROR(
            VLOOKUP($A68, INDIRECT("OctR!$A$6:$ZZ$1048576"), MATCH(O$1, OctR!$6:$6, 0), FALSE),
            0
        ) +
        IFERROR(
            VLOOKUP($A68, INDIRECT("NovR!$A$6:$ZZ$1048576"), MATCH(O$1, NovR!$6:$6, 0), FALSE),
            0
        ) +
        IFERROR(
            VLOOKUP($A68, INDIRECT("DicR!$A$6:$ZZ$1048576"), MATCH(O$1, DicR!$6:$6, 0), FALSE),
            0
        )
)</f>
        <v>0</v>
      </c>
      <c r="P68" s="32">
        <f t="array" ref="P68">SUM(
    IFERROR(
            VLOOKUP($A68, INDIRECT("EneR!$A$6:$ZZ$1048576"), MATCH(P$1, EneR!$6:$6, 0), FALSE),
            0
        ) +
        IFERROR(
            VLOOKUP($A68, INDIRECT("FebR!$A$6:$ZZ$1048576"), MATCH(P$1, FebR!$6:$6, 0), FALSE),
            0
        ) +
        IFERROR(
            VLOOKUP($A68, INDIRECT("MarR!$A$6:$ZZ$1048576"), MATCH(P$1, MarR!$6:$6, 0), FALSE),
            0
        ) +
        IFERROR(
            VLOOKUP($A68, INDIRECT("AbrR!$A$6:$ZZ$1048576"), MATCH(P$1, AbrR!$6:$6, 0), FALSE),
            0
        ) +
        IFERROR(
            VLOOKUP($A68, INDIRECT("MayR!$A$6:$ZZ$1048576"), MATCH(P$1, MayR!$6:$6, 0), FALSE),
            0
        ) +
        IFERROR(
            VLOOKUP($A68, INDIRECT("JunR!$A$6:$ZZ$1048576"), MATCH(P$1, JunR!$6:$6, 0), FALSE),
            0
        ) +
        IFERROR(
            VLOOKUP($A68, INDIRECT("JulR!$A$6:$ZZ$1048576"), MATCH(P$1, JulR!$6:$6, 0), FALSE),
            0
        ) +
        IFERROR(
            VLOOKUP($A68, INDIRECT("AgoR!$A$6:$ZZ$1048576"), MATCH(P$1, AgoR!$6:$6, 0), FALSE),
            0
        ) +
        IFERROR(
            VLOOKUP($A68, INDIRECT("SepR!$A$6:$ZZ$1048576"), MATCH(P$1, SepR!$6:$6, 0), FALSE),
            0
        ) +
        IFERROR(
            VLOOKUP($A68, INDIRECT("OctR!$A$6:$ZZ$1048576"), MATCH(P$1, OctR!$6:$6, 0), FALSE),
            0
        ) +
        IFERROR(
            VLOOKUP($A68, INDIRECT("NovR!$A$6:$ZZ$1048576"), MATCH(P$1, NovR!$6:$6, 0), FALSE),
            0
        ) +
        IFERROR(
            VLOOKUP($A68, INDIRECT("DicR!$A$6:$ZZ$1048576"), MATCH(P$1, DicR!$6:$6, 0), FALSE),
            0
        )
)</f>
        <v>0</v>
      </c>
      <c r="Q68" s="35">
        <f t="array" ref="Q68">SUM(
    IFERROR(
            VLOOKUP($A68, INDIRECT("EneR!$A$6:$ZZ$1048576"), MATCH(Q$1, EneR!$6:$6, 0), FALSE),
            0
        ) +
        IFERROR(
            VLOOKUP($A68, INDIRECT("FebR!$A$6:$ZZ$1048576"), MATCH(Q$1, FebR!$6:$6, 0), FALSE),
            0
        ) +
        IFERROR(
            VLOOKUP($A68, INDIRECT("MarR!$A$6:$ZZ$1048576"), MATCH(Q$1, MarR!$6:$6, 0), FALSE),
            0
        ) +
        IFERROR(
            VLOOKUP($A68, INDIRECT("AbrR!$A$6:$ZZ$1048576"), MATCH(Q$1, AbrR!$6:$6, 0), FALSE),
            0
        ) +
        IFERROR(
            VLOOKUP($A68, INDIRECT("MayR!$A$6:$ZZ$1048576"), MATCH(Q$1, MayR!$6:$6, 0), FALSE),
            0
        ) +
        IFERROR(
            VLOOKUP($A68, INDIRECT("JunR!$A$6:$ZZ$1048576"), MATCH(Q$1, JunR!$6:$6, 0), FALSE),
            0
        ) +
        IFERROR(
            VLOOKUP($A68, INDIRECT("JulR!$A$6:$ZZ$1048576"), MATCH(Q$1, JulR!$6:$6, 0), FALSE),
            0
        ) +
        IFERROR(
            VLOOKUP($A68, INDIRECT("AgoR!$A$6:$ZZ$1048576"), MATCH(Q$1, AgoR!$6:$6, 0), FALSE),
            0
        ) +
        IFERROR(
            VLOOKUP($A68, INDIRECT("SepR!$A$6:$ZZ$1048576"), MATCH(Q$1, SepR!$6:$6, 0), FALSE),
            0
        ) +
        IFERROR(
            VLOOKUP($A68, INDIRECT("OctR!$A$6:$ZZ$1048576"), MATCH(Q$1, OctR!$6:$6, 0), FALSE),
            0
        ) +
        IFERROR(
            VLOOKUP($A68, INDIRECT("NovR!$A$6:$ZZ$1048576"), MATCH(Q$1, NovR!$6:$6, 0), FALSE),
            0
        ) +
        IFERROR(
            VLOOKUP($A68, INDIRECT("DicR!$A$6:$ZZ$1048576"), MATCH(Q$1, DicR!$6:$6, 0), FALSE),
            0
        )
)</f>
        <v>0</v>
      </c>
      <c r="R68" s="36">
        <f t="array" ref="R68">SUM(
    IFERROR(
            VLOOKUP($A68, INDIRECT("EneR!$A$6:$ZZ$1048576"), MATCH(R$1, EneR!$6:$6, 0), FALSE),
            0
        ) +
        IFERROR(
            VLOOKUP($A68, INDIRECT("FebR!$A$6:$ZZ$1048576"), MATCH(R$1, FebR!$6:$6, 0), FALSE),
            0
        ) +
        IFERROR(
            VLOOKUP($A68, INDIRECT("MarR!$A$6:$ZZ$1048576"), MATCH(R$1, MarR!$6:$6, 0), FALSE),
            0
        ) +
        IFERROR(
            VLOOKUP($A68, INDIRECT("AbrR!$A$6:$ZZ$1048576"), MATCH(R$1, AbrR!$6:$6, 0), FALSE),
            0
        ) +
        IFERROR(
            VLOOKUP($A68, INDIRECT("MayR!$A$6:$ZZ$1048576"), MATCH(R$1, MayR!$6:$6, 0), FALSE),
            0
        ) +
        IFERROR(
            VLOOKUP($A68, INDIRECT("JunR!$A$6:$ZZ$1048576"), MATCH(R$1, JunR!$6:$6, 0), FALSE),
            0
        ) +
        IFERROR(
            VLOOKUP($A68, INDIRECT("JulR!$A$6:$ZZ$1048576"), MATCH(R$1, JulR!$6:$6, 0), FALSE),
            0
        ) +
        IFERROR(
            VLOOKUP($A68, INDIRECT("AgoR!$A$6:$ZZ$1048576"), MATCH(R$1, AgoR!$6:$6, 0), FALSE),
            0
        ) +
        IFERROR(
            VLOOKUP($A68, INDIRECT("SepR!$A$6:$ZZ$1048576"), MATCH(R$1, SepR!$6:$6, 0), FALSE),
            0
        ) +
        IFERROR(
            VLOOKUP($A68, INDIRECT("OctR!$A$6:$ZZ$1048576"), MATCH(R$1, OctR!$6:$6, 0), FALSE),
            0
        ) +
        IFERROR(
            VLOOKUP($A68, INDIRECT("NovR!$A$6:$ZZ$1048576"), MATCH(R$1, NovR!$6:$6, 0), FALSE),
            0
        ) +
        IFERROR(
            VLOOKUP($A68, INDIRECT("DicR!$A$6:$ZZ$1048576"), MATCH(R$1, DicR!$6:$6, 0), FALSE),
            0
        )
)</f>
        <v>0</v>
      </c>
      <c r="S68" s="37">
        <f t="array" ref="S68">SUM(
    IFERROR(
            VLOOKUP($A68, INDIRECT("EneR!$A$6:$ZZ$1048576"), MATCH(S$1, EneR!$6:$6, 0), FALSE),
            0
        ) +
        IFERROR(
            VLOOKUP($A68, INDIRECT("FebR!$A$6:$ZZ$1048576"), MATCH(S$1, FebR!$6:$6, 0), FALSE),
            0
        ) +
        IFERROR(
            VLOOKUP($A68, INDIRECT("MarR!$A$6:$ZZ$1048576"), MATCH(S$1, MarR!$6:$6, 0), FALSE),
            0
        ) +
        IFERROR(
            VLOOKUP($A68, INDIRECT("AbrR!$A$6:$ZZ$1048576"), MATCH(S$1, AbrR!$6:$6, 0), FALSE),
            0
        ) +
        IFERROR(
            VLOOKUP($A68, INDIRECT("MayR!$A$6:$ZZ$1048576"), MATCH(S$1, MayR!$6:$6, 0), FALSE),
            0
        ) +
        IFERROR(
            VLOOKUP($A68, INDIRECT("JunR!$A$6:$ZZ$1048576"), MATCH(S$1, JunR!$6:$6, 0), FALSE),
            0
        ) +
        IFERROR(
            VLOOKUP($A68, INDIRECT("JulR!$A$6:$ZZ$1048576"), MATCH(S$1, JulR!$6:$6, 0), FALSE),
            0
        ) +
        IFERROR(
            VLOOKUP($A68, INDIRECT("AgoR!$A$6:$ZZ$1048576"), MATCH(S$1, AgoR!$6:$6, 0), FALSE),
            0
        ) +
        IFERROR(
            VLOOKUP($A68, INDIRECT("SepR!$A$6:$ZZ$1048576"), MATCH(S$1, SepR!$6:$6, 0), FALSE),
            0
        ) +
        IFERROR(
            VLOOKUP($A68, INDIRECT("OctR!$A$6:$ZZ$1048576"), MATCH(S$1, OctR!$6:$6, 0), FALSE),
            0
        ) +
        IFERROR(
            VLOOKUP($A68, INDIRECT("NovR!$A$6:$ZZ$1048576"), MATCH(S$1, NovR!$6:$6, 0), FALSE),
            0
        ) +
        IFERROR(
            VLOOKUP($A68, INDIRECT("DicR!$A$6:$ZZ$1048576"), MATCH(S$1, DicR!$6:$6, 0), FALSE),
            0
        )
)</f>
        <v>0</v>
      </c>
      <c r="T68" s="36">
        <f t="array" ref="T68">SUM(
    IFERROR(
            VLOOKUP($A68, INDIRECT("EneR!$A$6:$ZZ$1048576"), MATCH(T$1, EneR!$6:$6, 0), FALSE),
            0
        ) +
        IFERROR(
            VLOOKUP($A68, INDIRECT("FebR!$A$6:$ZZ$1048576"), MATCH(T$1, FebR!$6:$6, 0), FALSE),
            0
        ) +
        IFERROR(
            VLOOKUP($A68, INDIRECT("MarR!$A$6:$ZZ$1048576"), MATCH(T$1, MarR!$6:$6, 0), FALSE),
            0
        ) +
        IFERROR(
            VLOOKUP($A68, INDIRECT("AbrR!$A$6:$ZZ$1048576"), MATCH(T$1, AbrR!$6:$6, 0), FALSE),
            0
        ) +
        IFERROR(
            VLOOKUP($A68, INDIRECT("MayR!$A$6:$ZZ$1048576"), MATCH(T$1, MayR!$6:$6, 0), FALSE),
            0
        ) +
        IFERROR(
            VLOOKUP($A68, INDIRECT("JunR!$A$6:$ZZ$1048576"), MATCH(T$1, JunR!$6:$6, 0), FALSE),
            0
        ) +
        IFERROR(
            VLOOKUP($A68, INDIRECT("JulR!$A$6:$ZZ$1048576"), MATCH(T$1, JulR!$6:$6, 0), FALSE),
            0
        ) +
        IFERROR(
            VLOOKUP($A68, INDIRECT("AgoR!$A$6:$ZZ$1048576"), MATCH(T$1, AgoR!$6:$6, 0), FALSE),
            0
        ) +
        IFERROR(
            VLOOKUP($A68, INDIRECT("SepR!$A$6:$ZZ$1048576"), MATCH(T$1, SepR!$6:$6, 0), FALSE),
            0
        ) +
        IFERROR(
            VLOOKUP($A68, INDIRECT("OctR!$A$6:$ZZ$1048576"), MATCH(T$1, OctR!$6:$6, 0), FALSE),
            0
        ) +
        IFERROR(
            VLOOKUP($A68, INDIRECT("NovR!$A$6:$ZZ$1048576"), MATCH(T$1, NovR!$6:$6, 0), FALSE),
            0
        ) +
        IFERROR(
            VLOOKUP($A68, INDIRECT("DicR!$A$6:$ZZ$1048576"), MATCH(T$1, DicR!$6:$6, 0), FALSE),
            0
        )
)</f>
        <v>0</v>
      </c>
      <c r="U68" s="37">
        <f t="array" ref="U68">SUM(
    IFERROR(
            VLOOKUP($A68, INDIRECT("EneR!$A$6:$ZZ$1048576"), MATCH(U$1, EneR!$6:$6, 0), FALSE),
            0
        ) +
        IFERROR(
            VLOOKUP($A68, INDIRECT("FebR!$A$6:$ZZ$1048576"), MATCH(U$1, FebR!$6:$6, 0), FALSE),
            0
        ) +
        IFERROR(
            VLOOKUP($A68, INDIRECT("MarR!$A$6:$ZZ$1048576"), MATCH(U$1, MarR!$6:$6, 0), FALSE),
            0
        ) +
        IFERROR(
            VLOOKUP($A68, INDIRECT("AbrR!$A$6:$ZZ$1048576"), MATCH(U$1, AbrR!$6:$6, 0), FALSE),
            0
        ) +
        IFERROR(
            VLOOKUP($A68, INDIRECT("MayR!$A$6:$ZZ$1048576"), MATCH(U$1, MayR!$6:$6, 0), FALSE),
            0
        ) +
        IFERROR(
            VLOOKUP($A68, INDIRECT("JunR!$A$6:$ZZ$1048576"), MATCH(U$1, JunR!$6:$6, 0), FALSE),
            0
        ) +
        IFERROR(
            VLOOKUP($A68, INDIRECT("JulR!$A$6:$ZZ$1048576"), MATCH(U$1, JulR!$6:$6, 0), FALSE),
            0
        ) +
        IFERROR(
            VLOOKUP($A68, INDIRECT("AgoR!$A$6:$ZZ$1048576"), MATCH(U$1, AgoR!$6:$6, 0), FALSE),
            0
        ) +
        IFERROR(
            VLOOKUP($A68, INDIRECT("SepR!$A$6:$ZZ$1048576"), MATCH(U$1, SepR!$6:$6, 0), FALSE),
            0
        ) +
        IFERROR(
            VLOOKUP($A68, INDIRECT("OctR!$A$6:$ZZ$1048576"), MATCH(U$1, OctR!$6:$6, 0), FALSE),
            0
        ) +
        IFERROR(
            VLOOKUP($A68, INDIRECT("NovR!$A$6:$ZZ$1048576"), MATCH(U$1, NovR!$6:$6, 0), FALSE),
            0
        ) +
        IFERROR(
            VLOOKUP($A68, INDIRECT("DicR!$A$6:$ZZ$1048576"), MATCH(U$1, DicR!$6:$6, 0), FALSE),
            0
        )
)</f>
        <v>0</v>
      </c>
      <c r="V68" s="36">
        <f t="array" ref="V68">SUM(
    IFERROR(
            VLOOKUP($A68, INDIRECT("EneR!$A$6:$ZZ$1048576"), MATCH(V$1, EneR!$6:$6, 0), FALSE),
            0
        ) +
        IFERROR(
            VLOOKUP($A68, INDIRECT("FebR!$A$6:$ZZ$1048576"), MATCH(V$1, FebR!$6:$6, 0), FALSE),
            0
        ) +
        IFERROR(
            VLOOKUP($A68, INDIRECT("MarR!$A$6:$ZZ$1048576"), MATCH(V$1, MarR!$6:$6, 0), FALSE),
            0
        ) +
        IFERROR(
            VLOOKUP($A68, INDIRECT("AbrR!$A$6:$ZZ$1048576"), MATCH(V$1, AbrR!$6:$6, 0), FALSE),
            0
        ) +
        IFERROR(
            VLOOKUP($A68, INDIRECT("MayR!$A$6:$ZZ$1048576"), MATCH(V$1, MayR!$6:$6, 0), FALSE),
            0
        ) +
        IFERROR(
            VLOOKUP($A68, INDIRECT("JunR!$A$6:$ZZ$1048576"), MATCH(V$1, JunR!$6:$6, 0), FALSE),
            0
        ) +
        IFERROR(
            VLOOKUP($A68, INDIRECT("JulR!$A$6:$ZZ$1048576"), MATCH(V$1, JulR!$6:$6, 0), FALSE),
            0
        ) +
        IFERROR(
            VLOOKUP($A68, INDIRECT("AgoR!$A$6:$ZZ$1048576"), MATCH(V$1, AgoR!$6:$6, 0), FALSE),
            0
        ) +
        IFERROR(
            VLOOKUP($A68, INDIRECT("SepR!$A$6:$ZZ$1048576"), MATCH(V$1, SepR!$6:$6, 0), FALSE),
            0
        ) +
        IFERROR(
            VLOOKUP($A68, INDIRECT("OctR!$A$6:$ZZ$1048576"), MATCH(V$1, OctR!$6:$6, 0), FALSE),
            0
        ) +
        IFERROR(
            VLOOKUP($A68, INDIRECT("NovR!$A$6:$ZZ$1048576"), MATCH(V$1, NovR!$6:$6, 0), FALSE),
            0
        ) +
        IFERROR(
            VLOOKUP($A68, INDIRECT("DicR!$A$6:$ZZ$1048576"), MATCH(V$1, DicR!$6:$6, 0), FALSE),
            0
        )
)</f>
        <v>0</v>
      </c>
      <c r="W68" s="37">
        <f t="array" ref="W68">SUM(
    IFERROR(
            VLOOKUP($A68, INDIRECT("EneR!$A$6:$ZZ$1048576"), MATCH(W$1, EneR!$6:$6, 0), FALSE),
            0
        ) +
        IFERROR(
            VLOOKUP($A68, INDIRECT("FebR!$A$6:$ZZ$1048576"), MATCH(W$1, FebR!$6:$6, 0), FALSE),
            0
        ) +
        IFERROR(
            VLOOKUP($A68, INDIRECT("MarR!$A$6:$ZZ$1048576"), MATCH(W$1, MarR!$6:$6, 0), FALSE),
            0
        ) +
        IFERROR(
            VLOOKUP($A68, INDIRECT("AbrR!$A$6:$ZZ$1048576"), MATCH(W$1, AbrR!$6:$6, 0), FALSE),
            0
        ) +
        IFERROR(
            VLOOKUP($A68, INDIRECT("MayR!$A$6:$ZZ$1048576"), MATCH(W$1, MayR!$6:$6, 0), FALSE),
            0
        ) +
        IFERROR(
            VLOOKUP($A68, INDIRECT("JunR!$A$6:$ZZ$1048576"), MATCH(W$1, JunR!$6:$6, 0), FALSE),
            0
        ) +
        IFERROR(
            VLOOKUP($A68, INDIRECT("JulR!$A$6:$ZZ$1048576"), MATCH(W$1, JulR!$6:$6, 0), FALSE),
            0
        ) +
        IFERROR(
            VLOOKUP($A68, INDIRECT("AgoR!$A$6:$ZZ$1048576"), MATCH(W$1, AgoR!$6:$6, 0), FALSE),
            0
        ) +
        IFERROR(
            VLOOKUP($A68, INDIRECT("SepR!$A$6:$ZZ$1048576"), MATCH(W$1, SepR!$6:$6, 0), FALSE),
            0
        ) +
        IFERROR(
            VLOOKUP($A68, INDIRECT("OctR!$A$6:$ZZ$1048576"), MATCH(W$1, OctR!$6:$6, 0), FALSE),
            0
        ) +
        IFERROR(
            VLOOKUP($A68, INDIRECT("NovR!$A$6:$ZZ$1048576"), MATCH(W$1, NovR!$6:$6, 0), FALSE),
            0
        ) +
        IFERROR(
            VLOOKUP($A68, INDIRECT("DicR!$A$6:$ZZ$1048576"), MATCH(W$1, DicR!$6:$6, 0), FALSE),
            0
        )
)</f>
        <v>0</v>
      </c>
      <c r="X68" s="36">
        <f t="array" ref="X68">SUM(
    IFERROR(
            VLOOKUP($A68, INDIRECT("EneR!$A$6:$ZZ$1048576"), MATCH(X$1, EneR!$6:$6, 0), FALSE),
            0
        ) +
        IFERROR(
            VLOOKUP($A68, INDIRECT("FebR!$A$6:$ZZ$1048576"), MATCH(X$1, FebR!$6:$6, 0), FALSE),
            0
        ) +
        IFERROR(
            VLOOKUP($A68, INDIRECT("MarR!$A$6:$ZZ$1048576"), MATCH(X$1, MarR!$6:$6, 0), FALSE),
            0
        ) +
        IFERROR(
            VLOOKUP($A68, INDIRECT("AbrR!$A$6:$ZZ$1048576"), MATCH(X$1, AbrR!$6:$6, 0), FALSE),
            0
        ) +
        IFERROR(
            VLOOKUP($A68, INDIRECT("MayR!$A$6:$ZZ$1048576"), MATCH(X$1, MayR!$6:$6, 0), FALSE),
            0
        ) +
        IFERROR(
            VLOOKUP($A68, INDIRECT("JunR!$A$6:$ZZ$1048576"), MATCH(X$1, JunR!$6:$6, 0), FALSE),
            0
        ) +
        IFERROR(
            VLOOKUP($A68, INDIRECT("JulR!$A$6:$ZZ$1048576"), MATCH(X$1, JulR!$6:$6, 0), FALSE),
            0
        ) +
        IFERROR(
            VLOOKUP($A68, INDIRECT("AgoR!$A$6:$ZZ$1048576"), MATCH(X$1, AgoR!$6:$6, 0), FALSE),
            0
        ) +
        IFERROR(
            VLOOKUP($A68, INDIRECT("SepR!$A$6:$ZZ$1048576"), MATCH(X$1, SepR!$6:$6, 0), FALSE),
            0
        ) +
        IFERROR(
            VLOOKUP($A68, INDIRECT("OctR!$A$6:$ZZ$1048576"), MATCH(X$1, OctR!$6:$6, 0), FALSE),
            0
        ) +
        IFERROR(
            VLOOKUP($A68, INDIRECT("NovR!$A$6:$ZZ$1048576"), MATCH(X$1, NovR!$6:$6, 0), FALSE),
            0
        ) +
        IFERROR(
            VLOOKUP($A68, INDIRECT("DicR!$A$6:$ZZ$1048576"), MATCH(X$1, DicR!$6:$6, 0), FALSE),
            0
        )
)</f>
        <v>0</v>
      </c>
      <c r="Y68" s="37">
        <f t="array" ref="Y68">SUM(
    IFERROR(
            VLOOKUP($A68, INDIRECT("EneR!$A$6:$ZZ$1048576"), MATCH(Y$1, EneR!$6:$6, 0), FALSE),
            0
        ) +
        IFERROR(
            VLOOKUP($A68, INDIRECT("FebR!$A$6:$ZZ$1048576"), MATCH(Y$1, FebR!$6:$6, 0), FALSE),
            0
        ) +
        IFERROR(
            VLOOKUP($A68, INDIRECT("MarR!$A$6:$ZZ$1048576"), MATCH(Y$1, MarR!$6:$6, 0), FALSE),
            0
        ) +
        IFERROR(
            VLOOKUP($A68, INDIRECT("AbrR!$A$6:$ZZ$1048576"), MATCH(Y$1, AbrR!$6:$6, 0), FALSE),
            0
        ) +
        IFERROR(
            VLOOKUP($A68, INDIRECT("MayR!$A$6:$ZZ$1048576"), MATCH(Y$1, MayR!$6:$6, 0), FALSE),
            0
        ) +
        IFERROR(
            VLOOKUP($A68, INDIRECT("JunR!$A$6:$ZZ$1048576"), MATCH(Y$1, JunR!$6:$6, 0), FALSE),
            0
        ) +
        IFERROR(
            VLOOKUP($A68, INDIRECT("JulR!$A$6:$ZZ$1048576"), MATCH(Y$1, JulR!$6:$6, 0), FALSE),
            0
        ) +
        IFERROR(
            VLOOKUP($A68, INDIRECT("AgoR!$A$6:$ZZ$1048576"), MATCH(Y$1, AgoR!$6:$6, 0), FALSE),
            0
        ) +
        IFERROR(
            VLOOKUP($A68, INDIRECT("SepR!$A$6:$ZZ$1048576"), MATCH(Y$1, SepR!$6:$6, 0), FALSE),
            0
        ) +
        IFERROR(
            VLOOKUP($A68, INDIRECT("OctR!$A$6:$ZZ$1048576"), MATCH(Y$1, OctR!$6:$6, 0), FALSE),
            0
        ) +
        IFERROR(
            VLOOKUP($A68, INDIRECT("NovR!$A$6:$ZZ$1048576"), MATCH(Y$1, NovR!$6:$6, 0), FALSE),
            0
        ) +
        IFERROR(
            VLOOKUP($A68, INDIRECT("DicR!$A$6:$ZZ$1048576"), MATCH(Y$1, DicR!$6:$6, 0), FALSE),
            0
        )
)</f>
        <v>0</v>
      </c>
      <c r="Z68" s="36">
        <f t="array" ref="Z68">SUM(
    IFERROR(
            VLOOKUP($A68, INDIRECT("EneR!$A$6:$ZZ$1048576"), MATCH(Z$1, EneR!$6:$6, 0), FALSE),
            0
        ) +
        IFERROR(
            VLOOKUP($A68, INDIRECT("FebR!$A$6:$ZZ$1048576"), MATCH(Z$1, FebR!$6:$6, 0), FALSE),
            0
        ) +
        IFERROR(
            VLOOKUP($A68, INDIRECT("MarR!$A$6:$ZZ$1048576"), MATCH(Z$1, MarR!$6:$6, 0), FALSE),
            0
        ) +
        IFERROR(
            VLOOKUP($A68, INDIRECT("AbrR!$A$6:$ZZ$1048576"), MATCH(Z$1, AbrR!$6:$6, 0), FALSE),
            0
        ) +
        IFERROR(
            VLOOKUP($A68, INDIRECT("MayR!$A$6:$ZZ$1048576"), MATCH(Z$1, MayR!$6:$6, 0), FALSE),
            0
        ) +
        IFERROR(
            VLOOKUP($A68, INDIRECT("JunR!$A$6:$ZZ$1048576"), MATCH(Z$1, JunR!$6:$6, 0), FALSE),
            0
        ) +
        IFERROR(
            VLOOKUP($A68, INDIRECT("JulR!$A$6:$ZZ$1048576"), MATCH(Z$1, JulR!$6:$6, 0), FALSE),
            0
        ) +
        IFERROR(
            VLOOKUP($A68, INDIRECT("AgoR!$A$6:$ZZ$1048576"), MATCH(Z$1, AgoR!$6:$6, 0), FALSE),
            0
        ) +
        IFERROR(
            VLOOKUP($A68, INDIRECT("SepR!$A$6:$ZZ$1048576"), MATCH(Z$1, SepR!$6:$6, 0), FALSE),
            0
        ) +
        IFERROR(
            VLOOKUP($A68, INDIRECT("OctR!$A$6:$ZZ$1048576"), MATCH(Z$1, OctR!$6:$6, 0), FALSE),
            0
        ) +
        IFERROR(
            VLOOKUP($A68, INDIRECT("NovR!$A$6:$ZZ$1048576"), MATCH(Z$1, NovR!$6:$6, 0), FALSE),
            0
        ) +
        IFERROR(
            VLOOKUP($A68, INDIRECT("DicR!$A$6:$ZZ$1048576"), MATCH(Z$1, DicR!$6:$6, 0), FALSE),
            0
        )
)</f>
        <v>0</v>
      </c>
      <c r="AA68" s="37">
        <f t="array" ref="AA68">SUM(
    IFERROR(
            VLOOKUP($A68, INDIRECT("EneR!$A$6:$ZZ$1048576"), MATCH(AA$1, EneR!$6:$6, 0), FALSE),
            0
        ) +
        IFERROR(
            VLOOKUP($A68, INDIRECT("FebR!$A$6:$ZZ$1048576"), MATCH(AA$1, FebR!$6:$6, 0), FALSE),
            0
        ) +
        IFERROR(
            VLOOKUP($A68, INDIRECT("MarR!$A$6:$ZZ$1048576"), MATCH(AA$1, MarR!$6:$6, 0), FALSE),
            0
        ) +
        IFERROR(
            VLOOKUP($A68, INDIRECT("AbrR!$A$6:$ZZ$1048576"), MATCH(AA$1, AbrR!$6:$6, 0), FALSE),
            0
        ) +
        IFERROR(
            VLOOKUP($A68, INDIRECT("MayR!$A$6:$ZZ$1048576"), MATCH(AA$1, MayR!$6:$6, 0), FALSE),
            0
        ) +
        IFERROR(
            VLOOKUP($A68, INDIRECT("JunR!$A$6:$ZZ$1048576"), MATCH(AA$1, JunR!$6:$6, 0), FALSE),
            0
        ) +
        IFERROR(
            VLOOKUP($A68, INDIRECT("JulR!$A$6:$ZZ$1048576"), MATCH(AA$1, JulR!$6:$6, 0), FALSE),
            0
        ) +
        IFERROR(
            VLOOKUP($A68, INDIRECT("AgoR!$A$6:$ZZ$1048576"), MATCH(AA$1, AgoR!$6:$6, 0), FALSE),
            0
        ) +
        IFERROR(
            VLOOKUP($A68, INDIRECT("SepR!$A$6:$ZZ$1048576"), MATCH(AA$1, SepR!$6:$6, 0), FALSE),
            0
        ) +
        IFERROR(
            VLOOKUP($A68, INDIRECT("OctR!$A$6:$ZZ$1048576"), MATCH(AA$1, OctR!$6:$6, 0), FALSE),
            0
        ) +
        IFERROR(
            VLOOKUP($A68, INDIRECT("NovR!$A$6:$ZZ$1048576"), MATCH(AA$1, NovR!$6:$6, 0), FALSE),
            0
        ) +
        IFERROR(
            VLOOKUP($A68, INDIRECT("DicR!$A$6:$ZZ$1048576"), MATCH(AA$1, DicR!$6:$6, 0), FALSE),
            0
        )
)</f>
        <v>0</v>
      </c>
      <c r="AB68" s="36">
        <f t="array" ref="AB68">SUM(
    IFERROR(
            VLOOKUP($A68, INDIRECT("EneR!$A$6:$ZZ$1048576"), MATCH(AB$1, EneR!$6:$6, 0), FALSE),
            0
        ) +
        IFERROR(
            VLOOKUP($A68, INDIRECT("FebR!$A$6:$ZZ$1048576"), MATCH(AB$1, FebR!$6:$6, 0), FALSE),
            0
        ) +
        IFERROR(
            VLOOKUP($A68, INDIRECT("MarR!$A$6:$ZZ$1048576"), MATCH(AB$1, MarR!$6:$6, 0), FALSE),
            0
        ) +
        IFERROR(
            VLOOKUP($A68, INDIRECT("AbrR!$A$6:$ZZ$1048576"), MATCH(AB$1, AbrR!$6:$6, 0), FALSE),
            0
        ) +
        IFERROR(
            VLOOKUP($A68, INDIRECT("MayR!$A$6:$ZZ$1048576"), MATCH(AB$1, MayR!$6:$6, 0), FALSE),
            0
        ) +
        IFERROR(
            VLOOKUP($A68, INDIRECT("JunR!$A$6:$ZZ$1048576"), MATCH(AB$1, JunR!$6:$6, 0), FALSE),
            0
        ) +
        IFERROR(
            VLOOKUP($A68, INDIRECT("JulR!$A$6:$ZZ$1048576"), MATCH(AB$1, JulR!$6:$6, 0), FALSE),
            0
        ) +
        IFERROR(
            VLOOKUP($A68, INDIRECT("AgoR!$A$6:$ZZ$1048576"), MATCH(AB$1, AgoR!$6:$6, 0), FALSE),
            0
        ) +
        IFERROR(
            VLOOKUP($A68, INDIRECT("SepR!$A$6:$ZZ$1048576"), MATCH(AB$1, SepR!$6:$6, 0), FALSE),
            0
        ) +
        IFERROR(
            VLOOKUP($A68, INDIRECT("OctR!$A$6:$ZZ$1048576"), MATCH(AB$1, OctR!$6:$6, 0), FALSE),
            0
        ) +
        IFERROR(
            VLOOKUP($A68, INDIRECT("NovR!$A$6:$ZZ$1048576"), MATCH(AB$1, NovR!$6:$6, 0), FALSE),
            0
        ) +
        IFERROR(
            VLOOKUP($A68, INDIRECT("DicR!$A$6:$ZZ$1048576"), MATCH(AB$1, DicR!$6:$6, 0), FALSE),
            0
        )
)</f>
        <v>0</v>
      </c>
      <c r="AC68" s="37">
        <f t="array" ref="AC68">SUM(
    IFERROR(
            VLOOKUP($A68, INDIRECT("EneR!$A$6:$ZZ$1048576"), MATCH(AC$1, EneR!$6:$6, 0), FALSE),
            0
        ) +
        IFERROR(
            VLOOKUP($A68, INDIRECT("FebR!$A$6:$ZZ$1048576"), MATCH(AC$1, FebR!$6:$6, 0), FALSE),
            0
        ) +
        IFERROR(
            VLOOKUP($A68, INDIRECT("MarR!$A$6:$ZZ$1048576"), MATCH(AC$1, MarR!$6:$6, 0), FALSE),
            0
        ) +
        IFERROR(
            VLOOKUP($A68, INDIRECT("AbrR!$A$6:$ZZ$1048576"), MATCH(AC$1, AbrR!$6:$6, 0), FALSE),
            0
        ) +
        IFERROR(
            VLOOKUP($A68, INDIRECT("MayR!$A$6:$ZZ$1048576"), MATCH(AC$1, MayR!$6:$6, 0), FALSE),
            0
        ) +
        IFERROR(
            VLOOKUP($A68, INDIRECT("JunR!$A$6:$ZZ$1048576"), MATCH(AC$1, JunR!$6:$6, 0), FALSE),
            0
        ) +
        IFERROR(
            VLOOKUP($A68, INDIRECT("JulR!$A$6:$ZZ$1048576"), MATCH(AC$1, JulR!$6:$6, 0), FALSE),
            0
        ) +
        IFERROR(
            VLOOKUP($A68, INDIRECT("AgoR!$A$6:$ZZ$1048576"), MATCH(AC$1, AgoR!$6:$6, 0), FALSE),
            0
        ) +
        IFERROR(
            VLOOKUP($A68, INDIRECT("SepR!$A$6:$ZZ$1048576"), MATCH(AC$1, SepR!$6:$6, 0), FALSE),
            0
        ) +
        IFERROR(
            VLOOKUP($A68, INDIRECT("OctR!$A$6:$ZZ$1048576"), MATCH(AC$1, OctR!$6:$6, 0), FALSE),
            0
        ) +
        IFERROR(
            VLOOKUP($A68, INDIRECT("NovR!$A$6:$ZZ$1048576"), MATCH(AC$1, NovR!$6:$6, 0), FALSE),
            0
        ) +
        IFERROR(
            VLOOKUP($A68, INDIRECT("DicR!$A$6:$ZZ$1048576"), MATCH(AC$1, DicR!$6:$6, 0), FALSE),
            0
        )
)</f>
        <v>0</v>
      </c>
      <c r="AD68" s="36">
        <f t="array" ref="AD68">SUM(
    IFERROR(
            VLOOKUP($A68, INDIRECT("EneR!$A$6:$ZZ$1048576"), MATCH(AD$1, EneR!$6:$6, 0), FALSE),
            0
        ) +
        IFERROR(
            VLOOKUP($A68, INDIRECT("FebR!$A$6:$ZZ$1048576"), MATCH(AD$1, FebR!$6:$6, 0), FALSE),
            0
        ) +
        IFERROR(
            VLOOKUP($A68, INDIRECT("MarR!$A$6:$ZZ$1048576"), MATCH(AD$1, MarR!$6:$6, 0), FALSE),
            0
        ) +
        IFERROR(
            VLOOKUP($A68, INDIRECT("AbrR!$A$6:$ZZ$1048576"), MATCH(AD$1, AbrR!$6:$6, 0), FALSE),
            0
        ) +
        IFERROR(
            VLOOKUP($A68, INDIRECT("MayR!$A$6:$ZZ$1048576"), MATCH(AD$1, MayR!$6:$6, 0), FALSE),
            0
        ) +
        IFERROR(
            VLOOKUP($A68, INDIRECT("JunR!$A$6:$ZZ$1048576"), MATCH(AD$1, JunR!$6:$6, 0), FALSE),
            0
        ) +
        IFERROR(
            VLOOKUP($A68, INDIRECT("JulR!$A$6:$ZZ$1048576"), MATCH(AD$1, JulR!$6:$6, 0), FALSE),
            0
        ) +
        IFERROR(
            VLOOKUP($A68, INDIRECT("AgoR!$A$6:$ZZ$1048576"), MATCH(AD$1, AgoR!$6:$6, 0), FALSE),
            0
        ) +
        IFERROR(
            VLOOKUP($A68, INDIRECT("SepR!$A$6:$ZZ$1048576"), MATCH(AD$1, SepR!$6:$6, 0), FALSE),
            0
        ) +
        IFERROR(
            VLOOKUP($A68, INDIRECT("OctR!$A$6:$ZZ$1048576"), MATCH(AD$1, OctR!$6:$6, 0), FALSE),
            0
        ) +
        IFERROR(
            VLOOKUP($A68, INDIRECT("NovR!$A$6:$ZZ$1048576"), MATCH(AD$1, NovR!$6:$6, 0), FALSE),
            0
        ) +
        IFERROR(
            VLOOKUP($A68, INDIRECT("DicR!$A$6:$ZZ$1048576"), MATCH(AD$1, DicR!$6:$6, 0), FALSE),
            0
        )
)</f>
        <v>0</v>
      </c>
      <c r="AE68" s="37">
        <f t="array" ref="AE68">SUM(
    IFERROR(
            VLOOKUP($A68, INDIRECT("EneR!$A$6:$ZZ$1048576"), MATCH(AE$1, EneR!$6:$6, 0), FALSE),
            0
        ) +
        IFERROR(
            VLOOKUP($A68, INDIRECT("FebR!$A$6:$ZZ$1048576"), MATCH(AE$1, FebR!$6:$6, 0), FALSE),
            0
        ) +
        IFERROR(
            VLOOKUP($A68, INDIRECT("MarR!$A$6:$ZZ$1048576"), MATCH(AE$1, MarR!$6:$6, 0), FALSE),
            0
        ) +
        IFERROR(
            VLOOKUP($A68, INDIRECT("AbrR!$A$6:$ZZ$1048576"), MATCH(AE$1, AbrR!$6:$6, 0), FALSE),
            0
        ) +
        IFERROR(
            VLOOKUP($A68, INDIRECT("MayR!$A$6:$ZZ$1048576"), MATCH(AE$1, MayR!$6:$6, 0), FALSE),
            0
        ) +
        IFERROR(
            VLOOKUP($A68, INDIRECT("JunR!$A$6:$ZZ$1048576"), MATCH(AE$1, JunR!$6:$6, 0), FALSE),
            0
        ) +
        IFERROR(
            VLOOKUP($A68, INDIRECT("JulR!$A$6:$ZZ$1048576"), MATCH(AE$1, JulR!$6:$6, 0), FALSE),
            0
        ) +
        IFERROR(
            VLOOKUP($A68, INDIRECT("AgoR!$A$6:$ZZ$1048576"), MATCH(AE$1, AgoR!$6:$6, 0), FALSE),
            0
        ) +
        IFERROR(
            VLOOKUP($A68, INDIRECT("SepR!$A$6:$ZZ$1048576"), MATCH(AE$1, SepR!$6:$6, 0), FALSE),
            0
        ) +
        IFERROR(
            VLOOKUP($A68, INDIRECT("OctR!$A$6:$ZZ$1048576"), MATCH(AE$1, OctR!$6:$6, 0), FALSE),
            0
        ) +
        IFERROR(
            VLOOKUP($A68, INDIRECT("NovR!$A$6:$ZZ$1048576"), MATCH(AE$1, NovR!$6:$6, 0), FALSE),
            0
        ) +
        IFERROR(
            VLOOKUP($A68, INDIRECT("DicR!$A$6:$ZZ$1048576"), MATCH(AE$1, DicR!$6:$6, 0), FALSE),
            0
        )
)</f>
        <v>0</v>
      </c>
      <c r="AF68" s="36">
        <f t="array" ref="AF68">SUM(
    IFERROR(
            VLOOKUP($A68, INDIRECT("EneR!$A$6:$ZZ$1048576"), MATCH(AF$1, EneR!$6:$6, 0), FALSE),
            0
        ) +
        IFERROR(
            VLOOKUP($A68, INDIRECT("FebR!$A$6:$ZZ$1048576"), MATCH(AF$1, FebR!$6:$6, 0), FALSE),
            0
        ) +
        IFERROR(
            VLOOKUP($A68, INDIRECT("MarR!$A$6:$ZZ$1048576"), MATCH(AF$1, MarR!$6:$6, 0), FALSE),
            0
        ) +
        IFERROR(
            VLOOKUP($A68, INDIRECT("AbrR!$A$6:$ZZ$1048576"), MATCH(AF$1, AbrR!$6:$6, 0), FALSE),
            0
        ) +
        IFERROR(
            VLOOKUP($A68, INDIRECT("MayR!$A$6:$ZZ$1048576"), MATCH(AF$1, MayR!$6:$6, 0), FALSE),
            0
        ) +
        IFERROR(
            VLOOKUP($A68, INDIRECT("JunR!$A$6:$ZZ$1048576"), MATCH(AF$1, JunR!$6:$6, 0), FALSE),
            0
        ) +
        IFERROR(
            VLOOKUP($A68, INDIRECT("JulR!$A$6:$ZZ$1048576"), MATCH(AF$1, JulR!$6:$6, 0), FALSE),
            0
        ) +
        IFERROR(
            VLOOKUP($A68, INDIRECT("AgoR!$A$6:$ZZ$1048576"), MATCH(AF$1, AgoR!$6:$6, 0), FALSE),
            0
        ) +
        IFERROR(
            VLOOKUP($A68, INDIRECT("SepR!$A$6:$ZZ$1048576"), MATCH(AF$1, SepR!$6:$6, 0), FALSE),
            0
        ) +
        IFERROR(
            VLOOKUP($A68, INDIRECT("OctR!$A$6:$ZZ$1048576"), MATCH(AF$1, OctR!$6:$6, 0), FALSE),
            0
        ) +
        IFERROR(
            VLOOKUP($A68, INDIRECT("NovR!$A$6:$ZZ$1048576"), MATCH(AF$1, NovR!$6:$6, 0), FALSE),
            0
        ) +
        IFERROR(
            VLOOKUP($A68, INDIRECT("DicR!$A$6:$ZZ$1048576"), MATCH(AF$1, DicR!$6:$6, 0), FALSE),
            0
        )
)</f>
        <v>0</v>
      </c>
      <c r="AG68" s="37">
        <f t="array" ref="AG68">SUM(
    IFERROR(
            VLOOKUP($A68, INDIRECT("EneR!$A$6:$ZZ$1048576"), MATCH(AG$1, EneR!$6:$6, 0), FALSE),
            0
        ) +
        IFERROR(
            VLOOKUP($A68, INDIRECT("FebR!$A$6:$ZZ$1048576"), MATCH(AG$1, FebR!$6:$6, 0), FALSE),
            0
        ) +
        IFERROR(
            VLOOKUP($A68, INDIRECT("MarR!$A$6:$ZZ$1048576"), MATCH(AG$1, MarR!$6:$6, 0), FALSE),
            0
        ) +
        IFERROR(
            VLOOKUP($A68, INDIRECT("AbrR!$A$6:$ZZ$1048576"), MATCH(AG$1, AbrR!$6:$6, 0), FALSE),
            0
        ) +
        IFERROR(
            VLOOKUP($A68, INDIRECT("MayR!$A$6:$ZZ$1048576"), MATCH(AG$1, MayR!$6:$6, 0), FALSE),
            0
        ) +
        IFERROR(
            VLOOKUP($A68, INDIRECT("JunR!$A$6:$ZZ$1048576"), MATCH(AG$1, JunR!$6:$6, 0), FALSE),
            0
        ) +
        IFERROR(
            VLOOKUP($A68, INDIRECT("JulR!$A$6:$ZZ$1048576"), MATCH(AG$1, JulR!$6:$6, 0), FALSE),
            0
        ) +
        IFERROR(
            VLOOKUP($A68, INDIRECT("AgoR!$A$6:$ZZ$1048576"), MATCH(AG$1, AgoR!$6:$6, 0), FALSE),
            0
        ) +
        IFERROR(
            VLOOKUP($A68, INDIRECT("SepR!$A$6:$ZZ$1048576"), MATCH(AG$1, SepR!$6:$6, 0), FALSE),
            0
        ) +
        IFERROR(
            VLOOKUP($A68, INDIRECT("OctR!$A$6:$ZZ$1048576"), MATCH(AG$1, OctR!$6:$6, 0), FALSE),
            0
        ) +
        IFERROR(
            VLOOKUP($A68, INDIRECT("NovR!$A$6:$ZZ$1048576"), MATCH(AG$1, NovR!$6:$6, 0), FALSE),
            0
        ) +
        IFERROR(
            VLOOKUP($A68, INDIRECT("DicR!$A$6:$ZZ$1048576"), MATCH(AG$1, DicR!$6:$6, 0), FALSE),
            0
        )
)</f>
        <v>0</v>
      </c>
      <c r="AH68" s="36">
        <f t="array" ref="AH68">SUM(
    IFERROR(
            VLOOKUP($A68, INDIRECT("EneR!$A$6:$ZZ$1048576"), MATCH(AH$1, EneR!$6:$6, 0), FALSE),
            0
        ) +
        IFERROR(
            VLOOKUP($A68, INDIRECT("FebR!$A$6:$ZZ$1048576"), MATCH(AH$1, FebR!$6:$6, 0), FALSE),
            0
        ) +
        IFERROR(
            VLOOKUP($A68, INDIRECT("MarR!$A$6:$ZZ$1048576"), MATCH(AH$1, MarR!$6:$6, 0), FALSE),
            0
        ) +
        IFERROR(
            VLOOKUP($A68, INDIRECT("AbrR!$A$6:$ZZ$1048576"), MATCH(AH$1, AbrR!$6:$6, 0), FALSE),
            0
        ) +
        IFERROR(
            VLOOKUP($A68, INDIRECT("MayR!$A$6:$ZZ$1048576"), MATCH(AH$1, MayR!$6:$6, 0), FALSE),
            0
        ) +
        IFERROR(
            VLOOKUP($A68, INDIRECT("JunR!$A$6:$ZZ$1048576"), MATCH(AH$1, JunR!$6:$6, 0), FALSE),
            0
        ) +
        IFERROR(
            VLOOKUP($A68, INDIRECT("JulR!$A$6:$ZZ$1048576"), MATCH(AH$1, JulR!$6:$6, 0), FALSE),
            0
        ) +
        IFERROR(
            VLOOKUP($A68, INDIRECT("AgoR!$A$6:$ZZ$1048576"), MATCH(AH$1, AgoR!$6:$6, 0), FALSE),
            0
        ) +
        IFERROR(
            VLOOKUP($A68, INDIRECT("SepR!$A$6:$ZZ$1048576"), MATCH(AH$1, SepR!$6:$6, 0), FALSE),
            0
        ) +
        IFERROR(
            VLOOKUP($A68, INDIRECT("OctR!$A$6:$ZZ$1048576"), MATCH(AH$1, OctR!$6:$6, 0), FALSE),
            0
        ) +
        IFERROR(
            VLOOKUP($A68, INDIRECT("NovR!$A$6:$ZZ$1048576"), MATCH(AH$1, NovR!$6:$6, 0), FALSE),
            0
        ) +
        IFERROR(
            VLOOKUP($A68, INDIRECT("DicR!$A$6:$ZZ$1048576"), MATCH(AH$1, DicR!$6:$6, 0), FALSE),
            0
        )
)</f>
        <v>0</v>
      </c>
      <c r="AI68" s="37">
        <f t="array" ref="AI68">SUM(
    IFERROR(
            VLOOKUP($A68, INDIRECT("EneR!$A$6:$ZZ$1048576"), MATCH(AI$1, EneR!$6:$6, 0), FALSE),
            0
        ) +
        IFERROR(
            VLOOKUP($A68, INDIRECT("FebR!$A$6:$ZZ$1048576"), MATCH(AI$1, FebR!$6:$6, 0), FALSE),
            0
        ) +
        IFERROR(
            VLOOKUP($A68, INDIRECT("MarR!$A$6:$ZZ$1048576"), MATCH(AI$1, MarR!$6:$6, 0), FALSE),
            0
        ) +
        IFERROR(
            VLOOKUP($A68, INDIRECT("AbrR!$A$6:$ZZ$1048576"), MATCH(AI$1, AbrR!$6:$6, 0), FALSE),
            0
        ) +
        IFERROR(
            VLOOKUP($A68, INDIRECT("MayR!$A$6:$ZZ$1048576"), MATCH(AI$1, MayR!$6:$6, 0), FALSE),
            0
        ) +
        IFERROR(
            VLOOKUP($A68, INDIRECT("JunR!$A$6:$ZZ$1048576"), MATCH(AI$1, JunR!$6:$6, 0), FALSE),
            0
        ) +
        IFERROR(
            VLOOKUP($A68, INDIRECT("JulR!$A$6:$ZZ$1048576"), MATCH(AI$1, JulR!$6:$6, 0), FALSE),
            0
        ) +
        IFERROR(
            VLOOKUP($A68, INDIRECT("AgoR!$A$6:$ZZ$1048576"), MATCH(AI$1, AgoR!$6:$6, 0), FALSE),
            0
        ) +
        IFERROR(
            VLOOKUP($A68, INDIRECT("SepR!$A$6:$ZZ$1048576"), MATCH(AI$1, SepR!$6:$6, 0), FALSE),
            0
        ) +
        IFERROR(
            VLOOKUP($A68, INDIRECT("OctR!$A$6:$ZZ$1048576"), MATCH(AI$1, OctR!$6:$6, 0), FALSE),
            0
        ) +
        IFERROR(
            VLOOKUP($A68, INDIRECT("NovR!$A$6:$ZZ$1048576"), MATCH(AI$1, NovR!$6:$6, 0), FALSE),
            0
        ) +
        IFERROR(
            VLOOKUP($A68, INDIRECT("DicR!$A$6:$ZZ$1048576"), MATCH(AI$1, DicR!$6:$6, 0), FALSE),
            0
        )
)</f>
        <v>0</v>
      </c>
      <c r="AJ68" s="36">
        <f t="array" ref="AJ68">SUM(
    IFERROR(
            VLOOKUP($A68, INDIRECT("EneR!$A$6:$ZZ$1048576"), MATCH(AJ$1, EneR!$6:$6, 0), FALSE),
            0
        ) +
        IFERROR(
            VLOOKUP($A68, INDIRECT("FebR!$A$6:$ZZ$1048576"), MATCH(AJ$1, FebR!$6:$6, 0), FALSE),
            0
        ) +
        IFERROR(
            VLOOKUP($A68, INDIRECT("MarR!$A$6:$ZZ$1048576"), MATCH(AJ$1, MarR!$6:$6, 0), FALSE),
            0
        ) +
        IFERROR(
            VLOOKUP($A68, INDIRECT("AbrR!$A$6:$ZZ$1048576"), MATCH(AJ$1, AbrR!$6:$6, 0), FALSE),
            0
        ) +
        IFERROR(
            VLOOKUP($A68, INDIRECT("MayR!$A$6:$ZZ$1048576"), MATCH(AJ$1, MayR!$6:$6, 0), FALSE),
            0
        ) +
        IFERROR(
            VLOOKUP($A68, INDIRECT("JunR!$A$6:$ZZ$1048576"), MATCH(AJ$1, JunR!$6:$6, 0), FALSE),
            0
        ) +
        IFERROR(
            VLOOKUP($A68, INDIRECT("JulR!$A$6:$ZZ$1048576"), MATCH(AJ$1, JulR!$6:$6, 0), FALSE),
            0
        ) +
        IFERROR(
            VLOOKUP($A68, INDIRECT("AgoR!$A$6:$ZZ$1048576"), MATCH(AJ$1, AgoR!$6:$6, 0), FALSE),
            0
        ) +
        IFERROR(
            VLOOKUP($A68, INDIRECT("SepR!$A$6:$ZZ$1048576"), MATCH(AJ$1, SepR!$6:$6, 0), FALSE),
            0
        ) +
        IFERROR(
            VLOOKUP($A68, INDIRECT("OctR!$A$6:$ZZ$1048576"), MATCH(AJ$1, OctR!$6:$6, 0), FALSE),
            0
        ) +
        IFERROR(
            VLOOKUP($A68, INDIRECT("NovR!$A$6:$ZZ$1048576"), MATCH(AJ$1, NovR!$6:$6, 0), FALSE),
            0
        ) +
        IFERROR(
            VLOOKUP($A68, INDIRECT("DicR!$A$6:$ZZ$1048576"), MATCH(AJ$1, DicR!$6:$6, 0), FALSE),
            0
        )
)</f>
        <v>0</v>
      </c>
      <c r="AK68" s="37">
        <f t="array" ref="AK68">SUM(
    IFERROR(
            VLOOKUP($A68, INDIRECT("EneR!$A$6:$ZZ$1048576"), MATCH(AK$1, EneR!$6:$6, 0), FALSE),
            0
        ) +
        IFERROR(
            VLOOKUP($A68, INDIRECT("FebR!$A$6:$ZZ$1048576"), MATCH(AK$1, FebR!$6:$6, 0), FALSE),
            0
        ) +
        IFERROR(
            VLOOKUP($A68, INDIRECT("MarR!$A$6:$ZZ$1048576"), MATCH(AK$1, MarR!$6:$6, 0), FALSE),
            0
        ) +
        IFERROR(
            VLOOKUP($A68, INDIRECT("AbrR!$A$6:$ZZ$1048576"), MATCH(AK$1, AbrR!$6:$6, 0), FALSE),
            0
        ) +
        IFERROR(
            VLOOKUP($A68, INDIRECT("MayR!$A$6:$ZZ$1048576"), MATCH(AK$1, MayR!$6:$6, 0), FALSE),
            0
        ) +
        IFERROR(
            VLOOKUP($A68, INDIRECT("JunR!$A$6:$ZZ$1048576"), MATCH(AK$1, JunR!$6:$6, 0), FALSE),
            0
        ) +
        IFERROR(
            VLOOKUP($A68, INDIRECT("JulR!$A$6:$ZZ$1048576"), MATCH(AK$1, JulR!$6:$6, 0), FALSE),
            0
        ) +
        IFERROR(
            VLOOKUP($A68, INDIRECT("AgoR!$A$6:$ZZ$1048576"), MATCH(AK$1, AgoR!$6:$6, 0), FALSE),
            0
        ) +
        IFERROR(
            VLOOKUP($A68, INDIRECT("SepR!$A$6:$ZZ$1048576"), MATCH(AK$1, SepR!$6:$6, 0), FALSE),
            0
        ) +
        IFERROR(
            VLOOKUP($A68, INDIRECT("OctR!$A$6:$ZZ$1048576"), MATCH(AK$1, OctR!$6:$6, 0), FALSE),
            0
        ) +
        IFERROR(
            VLOOKUP($A68, INDIRECT("NovR!$A$6:$ZZ$1048576"), MATCH(AK$1, NovR!$6:$6, 0), FALSE),
            0
        ) +
        IFERROR(
            VLOOKUP($A68, INDIRECT("DicR!$A$6:$ZZ$1048576"), MATCH(AK$1, DicR!$6:$6, 0), FALSE),
            0
        )
)</f>
        <v>0</v>
      </c>
      <c r="AL68" s="36">
        <f t="array" ref="AL68">SUM(
    IFERROR(
            VLOOKUP($A68, INDIRECT("EneR!$A$6:$ZZ$1048576"), MATCH(AL$1, EneR!$6:$6, 0), FALSE),
            0
        ) +
        IFERROR(
            VLOOKUP($A68, INDIRECT("FebR!$A$6:$ZZ$1048576"), MATCH(AL$1, FebR!$6:$6, 0), FALSE),
            0
        ) +
        IFERROR(
            VLOOKUP($A68, INDIRECT("MarR!$A$6:$ZZ$1048576"), MATCH(AL$1, MarR!$6:$6, 0), FALSE),
            0
        ) +
        IFERROR(
            VLOOKUP($A68, INDIRECT("AbrR!$A$6:$ZZ$1048576"), MATCH(AL$1, AbrR!$6:$6, 0), FALSE),
            0
        ) +
        IFERROR(
            VLOOKUP($A68, INDIRECT("MayR!$A$6:$ZZ$1048576"), MATCH(AL$1, MayR!$6:$6, 0), FALSE),
            0
        ) +
        IFERROR(
            VLOOKUP($A68, INDIRECT("JunR!$A$6:$ZZ$1048576"), MATCH(AL$1, JunR!$6:$6, 0), FALSE),
            0
        ) +
        IFERROR(
            VLOOKUP($A68, INDIRECT("JulR!$A$6:$ZZ$1048576"), MATCH(AL$1, JulR!$6:$6, 0), FALSE),
            0
        ) +
        IFERROR(
            VLOOKUP($A68, INDIRECT("AgoR!$A$6:$ZZ$1048576"), MATCH(AL$1, AgoR!$6:$6, 0), FALSE),
            0
        ) +
        IFERROR(
            VLOOKUP($A68, INDIRECT("SepR!$A$6:$ZZ$1048576"), MATCH(AL$1, SepR!$6:$6, 0), FALSE),
            0
        ) +
        IFERROR(
            VLOOKUP($A68, INDIRECT("OctR!$A$6:$ZZ$1048576"), MATCH(AL$1, OctR!$6:$6, 0), FALSE),
            0
        ) +
        IFERROR(
            VLOOKUP($A68, INDIRECT("NovR!$A$6:$ZZ$1048576"), MATCH(AL$1, NovR!$6:$6, 0), FALSE),
            0
        ) +
        IFERROR(
            VLOOKUP($A68, INDIRECT("DicR!$A$6:$ZZ$1048576"), MATCH(AL$1, DicR!$6:$6, 0), FALSE),
            0
        )
)</f>
        <v>0</v>
      </c>
      <c r="AM68" s="37">
        <f t="array" ref="AM68">SUM(
    IFERROR(
            VLOOKUP($A68, INDIRECT("EneR!$A$6:$ZZ$1048576"), MATCH(AM$1, EneR!$6:$6, 0), FALSE),
            0
        ) +
        IFERROR(
            VLOOKUP($A68, INDIRECT("FebR!$A$6:$ZZ$1048576"), MATCH(AM$1, FebR!$6:$6, 0), FALSE),
            0
        ) +
        IFERROR(
            VLOOKUP($A68, INDIRECT("MarR!$A$6:$ZZ$1048576"), MATCH(AM$1, MarR!$6:$6, 0), FALSE),
            0
        ) +
        IFERROR(
            VLOOKUP($A68, INDIRECT("AbrR!$A$6:$ZZ$1048576"), MATCH(AM$1, AbrR!$6:$6, 0), FALSE),
            0
        ) +
        IFERROR(
            VLOOKUP($A68, INDIRECT("MayR!$A$6:$ZZ$1048576"), MATCH(AM$1, MayR!$6:$6, 0), FALSE),
            0
        ) +
        IFERROR(
            VLOOKUP($A68, INDIRECT("JunR!$A$6:$ZZ$1048576"), MATCH(AM$1, JunR!$6:$6, 0), FALSE),
            0
        ) +
        IFERROR(
            VLOOKUP($A68, INDIRECT("JulR!$A$6:$ZZ$1048576"), MATCH(AM$1, JulR!$6:$6, 0), FALSE),
            0
        ) +
        IFERROR(
            VLOOKUP($A68, INDIRECT("AgoR!$A$6:$ZZ$1048576"), MATCH(AM$1, AgoR!$6:$6, 0), FALSE),
            0
        ) +
        IFERROR(
            VLOOKUP($A68, INDIRECT("SepR!$A$6:$ZZ$1048576"), MATCH(AM$1, SepR!$6:$6, 0), FALSE),
            0
        ) +
        IFERROR(
            VLOOKUP($A68, INDIRECT("OctR!$A$6:$ZZ$1048576"), MATCH(AM$1, OctR!$6:$6, 0), FALSE),
            0
        ) +
        IFERROR(
            VLOOKUP($A68, INDIRECT("NovR!$A$6:$ZZ$1048576"), MATCH(AM$1, NovR!$6:$6, 0), FALSE),
            0
        ) +
        IFERROR(
            VLOOKUP($A68, INDIRECT("DicR!$A$6:$ZZ$1048576"), MATCH(AM$1, DicR!$6:$6, 0), FALSE),
            0
        )
)</f>
        <v>0</v>
      </c>
      <c r="AN68" s="32">
        <f t="array" ref="AN68">SUM(
    IFERROR(
            VLOOKUP($A68, INDIRECT("EneR!$A$6:$ZZ$1048576"), MATCH(AN$1, EneR!$6:$6, 0), FALSE),
            0
        ) +
        IFERROR(
            VLOOKUP($A68, INDIRECT("FebR!$A$6:$ZZ$1048576"), MATCH(AN$1, FebR!$6:$6, 0), FALSE),
            0
        ) +
        IFERROR(
            VLOOKUP($A68, INDIRECT("MarR!$A$6:$ZZ$1048576"), MATCH(AN$1, MarR!$6:$6, 0), FALSE),
            0
        ) +
        IFERROR(
            VLOOKUP($A68, INDIRECT("AbrR!$A$6:$ZZ$1048576"), MATCH(AN$1, AbrR!$6:$6, 0), FALSE),
            0
        ) +
        IFERROR(
            VLOOKUP($A68, INDIRECT("MayR!$A$6:$ZZ$1048576"), MATCH(AN$1, MayR!$6:$6, 0), FALSE),
            0
        ) +
        IFERROR(
            VLOOKUP($A68, INDIRECT("JunR!$A$6:$ZZ$1048576"), MATCH(AN$1, JunR!$6:$6, 0), FALSE),
            0
        ) +
        IFERROR(
            VLOOKUP($A68, INDIRECT("JulR!$A$6:$ZZ$1048576"), MATCH(AN$1, JulR!$6:$6, 0), FALSE),
            0
        ) +
        IFERROR(
            VLOOKUP($A68, INDIRECT("AgoR!$A$6:$ZZ$1048576"), MATCH(AN$1, AgoR!$6:$6, 0), FALSE),
            0
        ) +
        IFERROR(
            VLOOKUP($A68, INDIRECT("SepR!$A$6:$ZZ$1048576"), MATCH(AN$1, SepR!$6:$6, 0), FALSE),
            0
        ) +
        IFERROR(
            VLOOKUP($A68, INDIRECT("OctR!$A$6:$ZZ$1048576"), MATCH(AN$1, OctR!$6:$6, 0), FALSE),
            0
        ) +
        IFERROR(
            VLOOKUP($A68, INDIRECT("NovR!$A$6:$ZZ$1048576"), MATCH(AN$1, NovR!$6:$6, 0), FALSE),
            0
        ) +
        IFERROR(
            VLOOKUP($A68, INDIRECT("DicR!$A$6:$ZZ$1048576"), MATCH(AN$1, DicR!$6:$6, 0), FALSE),
            0
        )
)</f>
        <v>0</v>
      </c>
      <c r="AO68" s="35">
        <f t="array" ref="AO68">SUM(
    IFERROR(
            VLOOKUP($A68, INDIRECT("EneR!$A$6:$ZZ$1048576"), MATCH(AO$1, EneR!$6:$6, 0), FALSE),
            0
        ) +
        IFERROR(
            VLOOKUP($A68, INDIRECT("FebR!$A$6:$ZZ$1048576"), MATCH(AO$1, FebR!$6:$6, 0), FALSE),
            0
        ) +
        IFERROR(
            VLOOKUP($A68, INDIRECT("MarR!$A$6:$ZZ$1048576"), MATCH(AO$1, MarR!$6:$6, 0), FALSE),
            0
        ) +
        IFERROR(
            VLOOKUP($A68, INDIRECT("AbrR!$A$6:$ZZ$1048576"), MATCH(AO$1, AbrR!$6:$6, 0), FALSE),
            0
        ) +
        IFERROR(
            VLOOKUP($A68, INDIRECT("MayR!$A$6:$ZZ$1048576"), MATCH(AO$1, MayR!$6:$6, 0), FALSE),
            0
        ) +
        IFERROR(
            VLOOKUP($A68, INDIRECT("JunR!$A$6:$ZZ$1048576"), MATCH(AO$1, JunR!$6:$6, 0), FALSE),
            0
        ) +
        IFERROR(
            VLOOKUP($A68, INDIRECT("JulR!$A$6:$ZZ$1048576"), MATCH(AO$1, JulR!$6:$6, 0), FALSE),
            0
        ) +
        IFERROR(
            VLOOKUP($A68, INDIRECT("AgoR!$A$6:$ZZ$1048576"), MATCH(AO$1, AgoR!$6:$6, 0), FALSE),
            0
        ) +
        IFERROR(
            VLOOKUP($A68, INDIRECT("SepR!$A$6:$ZZ$1048576"), MATCH(AO$1, SepR!$6:$6, 0), FALSE),
            0
        ) +
        IFERROR(
            VLOOKUP($A68, INDIRECT("OctR!$A$6:$ZZ$1048576"), MATCH(AO$1, OctR!$6:$6, 0), FALSE),
            0
        ) +
        IFERROR(
            VLOOKUP($A68, INDIRECT("NovR!$A$6:$ZZ$1048576"), MATCH(AO$1, NovR!$6:$6, 0), FALSE),
            0
        ) +
        IFERROR(
            VLOOKUP($A68, INDIRECT("DicR!$A$6:$ZZ$1048576"), MATCH(AO$1, DicR!$6:$6, 0), FALSE),
            0
        )
)</f>
        <v>0</v>
      </c>
      <c r="AP68" s="36">
        <f t="array" ref="AP68">SUM(
    IFERROR(
            VLOOKUP($A68, INDIRECT("EneR!$A$6:$ZZ$1048576"), MATCH(AP$1, EneR!$6:$6, 0), FALSE),
            0
        ) +
        IFERROR(
            VLOOKUP($A68, INDIRECT("FebR!$A$6:$ZZ$1048576"), MATCH(AP$1, FebR!$6:$6, 0), FALSE),
            0
        ) +
        IFERROR(
            VLOOKUP($A68, INDIRECT("MarR!$A$6:$ZZ$1048576"), MATCH(AP$1, MarR!$6:$6, 0), FALSE),
            0
        ) +
        IFERROR(
            VLOOKUP($A68, INDIRECT("AbrR!$A$6:$ZZ$1048576"), MATCH(AP$1, AbrR!$6:$6, 0), FALSE),
            0
        ) +
        IFERROR(
            VLOOKUP($A68, INDIRECT("MayR!$A$6:$ZZ$1048576"), MATCH(AP$1, MayR!$6:$6, 0), FALSE),
            0
        ) +
        IFERROR(
            VLOOKUP($A68, INDIRECT("JunR!$A$6:$ZZ$1048576"), MATCH(AP$1, JunR!$6:$6, 0), FALSE),
            0
        ) +
        IFERROR(
            VLOOKUP($A68, INDIRECT("JulR!$A$6:$ZZ$1048576"), MATCH(AP$1, JulR!$6:$6, 0), FALSE),
            0
        ) +
        IFERROR(
            VLOOKUP($A68, INDIRECT("AgoR!$A$6:$ZZ$1048576"), MATCH(AP$1, AgoR!$6:$6, 0), FALSE),
            0
        ) +
        IFERROR(
            VLOOKUP($A68, INDIRECT("SepR!$A$6:$ZZ$1048576"), MATCH(AP$1, SepR!$6:$6, 0), FALSE),
            0
        ) +
        IFERROR(
            VLOOKUP($A68, INDIRECT("OctR!$A$6:$ZZ$1048576"), MATCH(AP$1, OctR!$6:$6, 0), FALSE),
            0
        ) +
        IFERROR(
            VLOOKUP($A68, INDIRECT("NovR!$A$6:$ZZ$1048576"), MATCH(AP$1, NovR!$6:$6, 0), FALSE),
            0
        ) +
        IFERROR(
            VLOOKUP($A68, INDIRECT("DicR!$A$6:$ZZ$1048576"), MATCH(AP$1, DicR!$6:$6, 0), FALSE),
            0
        )
)</f>
        <v>0</v>
      </c>
      <c r="AQ68" s="35">
        <f t="array" ref="AQ68">SUM(
    IFERROR(
            VLOOKUP($A68, INDIRECT("EneR!$A$6:$ZZ$1048576"), MATCH(AQ$1, EneR!$6:$6, 0), FALSE),
            0
        ) +
        IFERROR(
            VLOOKUP($A68, INDIRECT("FebR!$A$6:$ZZ$1048576"), MATCH(AQ$1, FebR!$6:$6, 0), FALSE),
            0
        ) +
        IFERROR(
            VLOOKUP($A68, INDIRECT("MarR!$A$6:$ZZ$1048576"), MATCH(AQ$1, MarR!$6:$6, 0), FALSE),
            0
        ) +
        IFERROR(
            VLOOKUP($A68, INDIRECT("AbrR!$A$6:$ZZ$1048576"), MATCH(AQ$1, AbrR!$6:$6, 0), FALSE),
            0
        ) +
        IFERROR(
            VLOOKUP($A68, INDIRECT("MayR!$A$6:$ZZ$1048576"), MATCH(AQ$1, MayR!$6:$6, 0), FALSE),
            0
        ) +
        IFERROR(
            VLOOKUP($A68, INDIRECT("JunR!$A$6:$ZZ$1048576"), MATCH(AQ$1, JunR!$6:$6, 0), FALSE),
            0
        ) +
        IFERROR(
            VLOOKUP($A68, INDIRECT("JulR!$A$6:$ZZ$1048576"), MATCH(AQ$1, JulR!$6:$6, 0), FALSE),
            0
        ) +
        IFERROR(
            VLOOKUP($A68, INDIRECT("AgoR!$A$6:$ZZ$1048576"), MATCH(AQ$1, AgoR!$6:$6, 0), FALSE),
            0
        ) +
        IFERROR(
            VLOOKUP($A68, INDIRECT("SepR!$A$6:$ZZ$1048576"), MATCH(AQ$1, SepR!$6:$6, 0), FALSE),
            0
        ) +
        IFERROR(
            VLOOKUP($A68, INDIRECT("OctR!$A$6:$ZZ$1048576"), MATCH(AQ$1, OctR!$6:$6, 0), FALSE),
            0
        ) +
        IFERROR(
            VLOOKUP($A68, INDIRECT("NovR!$A$6:$ZZ$1048576"), MATCH(AQ$1, NovR!$6:$6, 0), FALSE),
            0
        ) +
        IFERROR(
            VLOOKUP($A68, INDIRECT("DicR!$A$6:$ZZ$1048576"), MATCH(AQ$1, DicR!$6:$6, 0), FALSE),
            0
        )
)</f>
        <v>0</v>
      </c>
      <c r="AR68" s="36">
        <f t="array" ref="AR68">SUM(
    IFERROR(
            VLOOKUP($A68, INDIRECT("EneR!$A$6:$ZZ$1048576"), MATCH(AR$1, EneR!$6:$6, 0), FALSE),
            0
        ) +
        IFERROR(
            VLOOKUP($A68, INDIRECT("FebR!$A$6:$ZZ$1048576"), MATCH(AR$1, FebR!$6:$6, 0), FALSE),
            0
        ) +
        IFERROR(
            VLOOKUP($A68, INDIRECT("MarR!$A$6:$ZZ$1048576"), MATCH(AR$1, MarR!$6:$6, 0), FALSE),
            0
        ) +
        IFERROR(
            VLOOKUP($A68, INDIRECT("AbrR!$A$6:$ZZ$1048576"), MATCH(AR$1, AbrR!$6:$6, 0), FALSE),
            0
        ) +
        IFERROR(
            VLOOKUP($A68, INDIRECT("MayR!$A$6:$ZZ$1048576"), MATCH(AR$1, MayR!$6:$6, 0), FALSE),
            0
        ) +
        IFERROR(
            VLOOKUP($A68, INDIRECT("JunR!$A$6:$ZZ$1048576"), MATCH(AR$1, JunR!$6:$6, 0), FALSE),
            0
        ) +
        IFERROR(
            VLOOKUP($A68, INDIRECT("JulR!$A$6:$ZZ$1048576"), MATCH(AR$1, JulR!$6:$6, 0), FALSE),
            0
        ) +
        IFERROR(
            VLOOKUP($A68, INDIRECT("AgoR!$A$6:$ZZ$1048576"), MATCH(AR$1, AgoR!$6:$6, 0), FALSE),
            0
        ) +
        IFERROR(
            VLOOKUP($A68, INDIRECT("SepR!$A$6:$ZZ$1048576"), MATCH(AR$1, SepR!$6:$6, 0), FALSE),
            0
        ) +
        IFERROR(
            VLOOKUP($A68, INDIRECT("OctR!$A$6:$ZZ$1048576"), MATCH(AR$1, OctR!$6:$6, 0), FALSE),
            0
        ) +
        IFERROR(
            VLOOKUP($A68, INDIRECT("NovR!$A$6:$ZZ$1048576"), MATCH(AR$1, NovR!$6:$6, 0), FALSE),
            0
        ) +
        IFERROR(
            VLOOKUP($A68, INDIRECT("DicR!$A$6:$ZZ$1048576"), MATCH(AR$1, DicR!$6:$6, 0), FALSE),
            0
        )
)</f>
        <v>0</v>
      </c>
      <c r="AS68" s="35">
        <f t="array" ref="AS68">SUM(
    IFERROR(
            VLOOKUP($A68, INDIRECT("EneR!$A$6:$ZZ$1048576"), MATCH(AS$1, EneR!$6:$6, 0), FALSE),
            0
        ) +
        IFERROR(
            VLOOKUP($A68, INDIRECT("FebR!$A$6:$ZZ$1048576"), MATCH(AS$1, FebR!$6:$6, 0), FALSE),
            0
        ) +
        IFERROR(
            VLOOKUP($A68, INDIRECT("MarR!$A$6:$ZZ$1048576"), MATCH(AS$1, MarR!$6:$6, 0), FALSE),
            0
        ) +
        IFERROR(
            VLOOKUP($A68, INDIRECT("AbrR!$A$6:$ZZ$1048576"), MATCH(AS$1, AbrR!$6:$6, 0), FALSE),
            0
        ) +
        IFERROR(
            VLOOKUP($A68, INDIRECT("MayR!$A$6:$ZZ$1048576"), MATCH(AS$1, MayR!$6:$6, 0), FALSE),
            0
        ) +
        IFERROR(
            VLOOKUP($A68, INDIRECT("JunR!$A$6:$ZZ$1048576"), MATCH(AS$1, JunR!$6:$6, 0), FALSE),
            0
        ) +
        IFERROR(
            VLOOKUP($A68, INDIRECT("JulR!$A$6:$ZZ$1048576"), MATCH(AS$1, JulR!$6:$6, 0), FALSE),
            0
        ) +
        IFERROR(
            VLOOKUP($A68, INDIRECT("AgoR!$A$6:$ZZ$1048576"), MATCH(AS$1, AgoR!$6:$6, 0), FALSE),
            0
        ) +
        IFERROR(
            VLOOKUP($A68, INDIRECT("SepR!$A$6:$ZZ$1048576"), MATCH(AS$1, SepR!$6:$6, 0), FALSE),
            0
        ) +
        IFERROR(
            VLOOKUP($A68, INDIRECT("OctR!$A$6:$ZZ$1048576"), MATCH(AS$1, OctR!$6:$6, 0), FALSE),
            0
        ) +
        IFERROR(
            VLOOKUP($A68, INDIRECT("NovR!$A$6:$ZZ$1048576"), MATCH(AS$1, NovR!$6:$6, 0), FALSE),
            0
        ) +
        IFERROR(
            VLOOKUP($A68, INDIRECT("DicR!$A$6:$ZZ$1048576"), MATCH(AS$1, DicR!$6:$6, 0), FALSE),
            0
        )
)</f>
        <v>0</v>
      </c>
      <c r="AT68" s="36">
        <f t="array" ref="AT68">SUM(
    IFERROR(
            VLOOKUP($A68, INDIRECT("EneR!$A$6:$ZZ$1048576"), MATCH(AT$1, EneR!$6:$6, 0), FALSE),
            0
        ) +
        IFERROR(
            VLOOKUP($A68, INDIRECT("FebR!$A$6:$ZZ$1048576"), MATCH(AT$1, FebR!$6:$6, 0), FALSE),
            0
        ) +
        IFERROR(
            VLOOKUP($A68, INDIRECT("MarR!$A$6:$ZZ$1048576"), MATCH(AT$1, MarR!$6:$6, 0), FALSE),
            0
        ) +
        IFERROR(
            VLOOKUP($A68, INDIRECT("AbrR!$A$6:$ZZ$1048576"), MATCH(AT$1, AbrR!$6:$6, 0), FALSE),
            0
        ) +
        IFERROR(
            VLOOKUP($A68, INDIRECT("MayR!$A$6:$ZZ$1048576"), MATCH(AT$1, MayR!$6:$6, 0), FALSE),
            0
        ) +
        IFERROR(
            VLOOKUP($A68, INDIRECT("JunR!$A$6:$ZZ$1048576"), MATCH(AT$1, JunR!$6:$6, 0), FALSE),
            0
        ) +
        IFERROR(
            VLOOKUP($A68, INDIRECT("JulR!$A$6:$ZZ$1048576"), MATCH(AT$1, JulR!$6:$6, 0), FALSE),
            0
        ) +
        IFERROR(
            VLOOKUP($A68, INDIRECT("AgoR!$A$6:$ZZ$1048576"), MATCH(AT$1, AgoR!$6:$6, 0), FALSE),
            0
        ) +
        IFERROR(
            VLOOKUP($A68, INDIRECT("SepR!$A$6:$ZZ$1048576"), MATCH(AT$1, SepR!$6:$6, 0), FALSE),
            0
        ) +
        IFERROR(
            VLOOKUP($A68, INDIRECT("OctR!$A$6:$ZZ$1048576"), MATCH(AT$1, OctR!$6:$6, 0), FALSE),
            0
        ) +
        IFERROR(
            VLOOKUP($A68, INDIRECT("NovR!$A$6:$ZZ$1048576"), MATCH(AT$1, NovR!$6:$6, 0), FALSE),
            0
        ) +
        IFERROR(
            VLOOKUP($A68, INDIRECT("DicR!$A$6:$ZZ$1048576"), MATCH(AT$1, DicR!$6:$6, 0), FALSE),
            0
        )
)</f>
        <v>0</v>
      </c>
      <c r="AU68" s="35">
        <f t="array" ref="AU68">SUM(
    IFERROR(
            VLOOKUP($A68, INDIRECT("EneR!$A$6:$ZZ$1048576"), MATCH(AU$1, EneR!$6:$6, 0), FALSE),
            0
        ) +
        IFERROR(
            VLOOKUP($A68, INDIRECT("FebR!$A$6:$ZZ$1048576"), MATCH(AU$1, FebR!$6:$6, 0), FALSE),
            0
        ) +
        IFERROR(
            VLOOKUP($A68, INDIRECT("MarR!$A$6:$ZZ$1048576"), MATCH(AU$1, MarR!$6:$6, 0), FALSE),
            0
        ) +
        IFERROR(
            VLOOKUP($A68, INDIRECT("AbrR!$A$6:$ZZ$1048576"), MATCH(AU$1, AbrR!$6:$6, 0), FALSE),
            0
        ) +
        IFERROR(
            VLOOKUP($A68, INDIRECT("MayR!$A$6:$ZZ$1048576"), MATCH(AU$1, MayR!$6:$6, 0), FALSE),
            0
        ) +
        IFERROR(
            VLOOKUP($A68, INDIRECT("JunR!$A$6:$ZZ$1048576"), MATCH(AU$1, JunR!$6:$6, 0), FALSE),
            0
        ) +
        IFERROR(
            VLOOKUP($A68, INDIRECT("JulR!$A$6:$ZZ$1048576"), MATCH(AU$1, JulR!$6:$6, 0), FALSE),
            0
        ) +
        IFERROR(
            VLOOKUP($A68, INDIRECT("AgoR!$A$6:$ZZ$1048576"), MATCH(AU$1, AgoR!$6:$6, 0), FALSE),
            0
        ) +
        IFERROR(
            VLOOKUP($A68, INDIRECT("SepR!$A$6:$ZZ$1048576"), MATCH(AU$1, SepR!$6:$6, 0), FALSE),
            0
        ) +
        IFERROR(
            VLOOKUP($A68, INDIRECT("OctR!$A$6:$ZZ$1048576"), MATCH(AU$1, OctR!$6:$6, 0), FALSE),
            0
        ) +
        IFERROR(
            VLOOKUP($A68, INDIRECT("NovR!$A$6:$ZZ$1048576"), MATCH(AU$1, NovR!$6:$6, 0), FALSE),
            0
        ) +
        IFERROR(
            VLOOKUP($A68, INDIRECT("DicR!$A$6:$ZZ$1048576"), MATCH(AU$1, DicR!$6:$6, 0), FALSE),
            0
        )
)</f>
        <v>0</v>
      </c>
      <c r="AV68" s="36">
        <f t="array" ref="AV68">SUM(
    IFERROR(
            VLOOKUP($A68, INDIRECT("EneR!$A$6:$ZZ$1048576"), MATCH(AV$1, EneR!$6:$6, 0), FALSE),
            0
        ) +
        IFERROR(
            VLOOKUP($A68, INDIRECT("FebR!$A$6:$ZZ$1048576"), MATCH(AV$1, FebR!$6:$6, 0), FALSE),
            0
        ) +
        IFERROR(
            VLOOKUP($A68, INDIRECT("MarR!$A$6:$ZZ$1048576"), MATCH(AV$1, MarR!$6:$6, 0), FALSE),
            0
        ) +
        IFERROR(
            VLOOKUP($A68, INDIRECT("AbrR!$A$6:$ZZ$1048576"), MATCH(AV$1, AbrR!$6:$6, 0), FALSE),
            0
        ) +
        IFERROR(
            VLOOKUP($A68, INDIRECT("MayR!$A$6:$ZZ$1048576"), MATCH(AV$1, MayR!$6:$6, 0), FALSE),
            0
        ) +
        IFERROR(
            VLOOKUP($A68, INDIRECT("JunR!$A$6:$ZZ$1048576"), MATCH(AV$1, JunR!$6:$6, 0), FALSE),
            0
        ) +
        IFERROR(
            VLOOKUP($A68, INDIRECT("JulR!$A$6:$ZZ$1048576"), MATCH(AV$1, JulR!$6:$6, 0), FALSE),
            0
        ) +
        IFERROR(
            VLOOKUP($A68, INDIRECT("AgoR!$A$6:$ZZ$1048576"), MATCH(AV$1, AgoR!$6:$6, 0), FALSE),
            0
        ) +
        IFERROR(
            VLOOKUP($A68, INDIRECT("SepR!$A$6:$ZZ$1048576"), MATCH(AV$1, SepR!$6:$6, 0), FALSE),
            0
        ) +
        IFERROR(
            VLOOKUP($A68, INDIRECT("OctR!$A$6:$ZZ$1048576"), MATCH(AV$1, OctR!$6:$6, 0), FALSE),
            0
        ) +
        IFERROR(
            VLOOKUP($A68, INDIRECT("NovR!$A$6:$ZZ$1048576"), MATCH(AV$1, NovR!$6:$6, 0), FALSE),
            0
        ) +
        IFERROR(
            VLOOKUP($A68, INDIRECT("DicR!$A$6:$ZZ$1048576"), MATCH(AV$1, DicR!$6:$6, 0), FALSE),
            0
        )
)</f>
        <v>0</v>
      </c>
      <c r="AW68" s="35">
        <f t="array" ref="AW68">SUM(
    IFERROR(
            VLOOKUP($A68, INDIRECT("EneR!$A$6:$ZZ$1048576"), MATCH(AW$1, EneR!$6:$6, 0), FALSE),
            0
        ) +
        IFERROR(
            VLOOKUP($A68, INDIRECT("FebR!$A$6:$ZZ$1048576"), MATCH(AW$1, FebR!$6:$6, 0), FALSE),
            0
        ) +
        IFERROR(
            VLOOKUP($A68, INDIRECT("MarR!$A$6:$ZZ$1048576"), MATCH(AW$1, MarR!$6:$6, 0), FALSE),
            0
        ) +
        IFERROR(
            VLOOKUP($A68, INDIRECT("AbrR!$A$6:$ZZ$1048576"), MATCH(AW$1, AbrR!$6:$6, 0), FALSE),
            0
        ) +
        IFERROR(
            VLOOKUP($A68, INDIRECT("MayR!$A$6:$ZZ$1048576"), MATCH(AW$1, MayR!$6:$6, 0), FALSE),
            0
        ) +
        IFERROR(
            VLOOKUP($A68, INDIRECT("JunR!$A$6:$ZZ$1048576"), MATCH(AW$1, JunR!$6:$6, 0), FALSE),
            0
        ) +
        IFERROR(
            VLOOKUP($A68, INDIRECT("JulR!$A$6:$ZZ$1048576"), MATCH(AW$1, JulR!$6:$6, 0), FALSE),
            0
        ) +
        IFERROR(
            VLOOKUP($A68, INDIRECT("AgoR!$A$6:$ZZ$1048576"), MATCH(AW$1, AgoR!$6:$6, 0), FALSE),
            0
        ) +
        IFERROR(
            VLOOKUP($A68, INDIRECT("SepR!$A$6:$ZZ$1048576"), MATCH(AW$1, SepR!$6:$6, 0), FALSE),
            0
        ) +
        IFERROR(
            VLOOKUP($A68, INDIRECT("OctR!$A$6:$ZZ$1048576"), MATCH(AW$1, OctR!$6:$6, 0), FALSE),
            0
        ) +
        IFERROR(
            VLOOKUP($A68, INDIRECT("NovR!$A$6:$ZZ$1048576"), MATCH(AW$1, NovR!$6:$6, 0), FALSE),
            0
        ) +
        IFERROR(
            VLOOKUP($A68, INDIRECT("DicR!$A$6:$ZZ$1048576"), MATCH(AW$1, DicR!$6:$6, 0), FALSE),
            0
        )
)</f>
        <v>0</v>
      </c>
      <c r="AX68" s="36">
        <f t="array" ref="AX68">SUM(
    IFERROR(
            VLOOKUP($A68, INDIRECT("EneR!$A$6:$ZZ$1048576"), MATCH(AX$1, EneR!$6:$6, 0), FALSE),
            0
        ) +
        IFERROR(
            VLOOKUP($A68, INDIRECT("FebR!$A$6:$ZZ$1048576"), MATCH(AX$1, FebR!$6:$6, 0), FALSE),
            0
        ) +
        IFERROR(
            VLOOKUP($A68, INDIRECT("MarR!$A$6:$ZZ$1048576"), MATCH(AX$1, MarR!$6:$6, 0), FALSE),
            0
        ) +
        IFERROR(
            VLOOKUP($A68, INDIRECT("AbrR!$A$6:$ZZ$1048576"), MATCH(AX$1, AbrR!$6:$6, 0), FALSE),
            0
        ) +
        IFERROR(
            VLOOKUP($A68, INDIRECT("MayR!$A$6:$ZZ$1048576"), MATCH(AX$1, MayR!$6:$6, 0), FALSE),
            0
        ) +
        IFERROR(
            VLOOKUP($A68, INDIRECT("JunR!$A$6:$ZZ$1048576"), MATCH(AX$1, JunR!$6:$6, 0), FALSE),
            0
        ) +
        IFERROR(
            VLOOKUP($A68, INDIRECT("JulR!$A$6:$ZZ$1048576"), MATCH(AX$1, JulR!$6:$6, 0), FALSE),
            0
        ) +
        IFERROR(
            VLOOKUP($A68, INDIRECT("AgoR!$A$6:$ZZ$1048576"), MATCH(AX$1, AgoR!$6:$6, 0), FALSE),
            0
        ) +
        IFERROR(
            VLOOKUP($A68, INDIRECT("SepR!$A$6:$ZZ$1048576"), MATCH(AX$1, SepR!$6:$6, 0), FALSE),
            0
        ) +
        IFERROR(
            VLOOKUP($A68, INDIRECT("OctR!$A$6:$ZZ$1048576"), MATCH(AX$1, OctR!$6:$6, 0), FALSE),
            0
        ) +
        IFERROR(
            VLOOKUP($A68, INDIRECT("NovR!$A$6:$ZZ$1048576"), MATCH(AX$1, NovR!$6:$6, 0), FALSE),
            0
        ) +
        IFERROR(
            VLOOKUP($A68, INDIRECT("DicR!$A$6:$ZZ$1048576"), MATCH(AX$1, DicR!$6:$6, 0), FALSE),
            0
        )
)</f>
        <v>0</v>
      </c>
      <c r="AY68" s="35">
        <f t="array" ref="AY68">SUM(
    IFERROR(
            VLOOKUP($A68, INDIRECT("EneR!$A$6:$ZZ$1048576"), MATCH(AY$1, EneR!$6:$6, 0), FALSE),
            0
        ) +
        IFERROR(
            VLOOKUP($A68, INDIRECT("FebR!$A$6:$ZZ$1048576"), MATCH(AY$1, FebR!$6:$6, 0), FALSE),
            0
        ) +
        IFERROR(
            VLOOKUP($A68, INDIRECT("MarR!$A$6:$ZZ$1048576"), MATCH(AY$1, MarR!$6:$6, 0), FALSE),
            0
        ) +
        IFERROR(
            VLOOKUP($A68, INDIRECT("AbrR!$A$6:$ZZ$1048576"), MATCH(AY$1, AbrR!$6:$6, 0), FALSE),
            0
        ) +
        IFERROR(
            VLOOKUP($A68, INDIRECT("MayR!$A$6:$ZZ$1048576"), MATCH(AY$1, MayR!$6:$6, 0), FALSE),
            0
        ) +
        IFERROR(
            VLOOKUP($A68, INDIRECT("JunR!$A$6:$ZZ$1048576"), MATCH(AY$1, JunR!$6:$6, 0), FALSE),
            0
        ) +
        IFERROR(
            VLOOKUP($A68, INDIRECT("JulR!$A$6:$ZZ$1048576"), MATCH(AY$1, JulR!$6:$6, 0), FALSE),
            0
        ) +
        IFERROR(
            VLOOKUP($A68, INDIRECT("AgoR!$A$6:$ZZ$1048576"), MATCH(AY$1, AgoR!$6:$6, 0), FALSE),
            0
        ) +
        IFERROR(
            VLOOKUP($A68, INDIRECT("SepR!$A$6:$ZZ$1048576"), MATCH(AY$1, SepR!$6:$6, 0), FALSE),
            0
        ) +
        IFERROR(
            VLOOKUP($A68, INDIRECT("OctR!$A$6:$ZZ$1048576"), MATCH(AY$1, OctR!$6:$6, 0), FALSE),
            0
        ) +
        IFERROR(
            VLOOKUP($A68, INDIRECT("NovR!$A$6:$ZZ$1048576"), MATCH(AY$1, NovR!$6:$6, 0), FALSE),
            0
        ) +
        IFERROR(
            VLOOKUP($A68, INDIRECT("DicR!$A$6:$ZZ$1048576"), MATCH(AY$1, DicR!$6:$6, 0), FALSE),
            0
        )
)</f>
        <v>0</v>
      </c>
      <c r="AZ68" s="35"/>
    </row>
    <row r="69" ht="15.75" customHeight="1">
      <c r="A69" s="12" t="str">
        <f>Menus!B30</f>
        <v/>
      </c>
      <c r="B69" s="32">
        <f t="shared" si="9"/>
        <v>0</v>
      </c>
      <c r="C69" s="33" t="str">
        <f t="shared" si="10"/>
        <v/>
      </c>
      <c r="D69" s="34">
        <f t="array" ref="D69">SUM(
    IFERROR(
            VLOOKUP($A69, INDIRECT("EneR!$A$6:$ZZ$1048576"), MATCH(D$1, EneR!$6:$6, 0), FALSE),
            0
        ) +
        IFERROR(
            VLOOKUP($A69, INDIRECT("FebR!$A$6:$ZZ$1048576"), MATCH(D$1, FebR!$6:$6, 0), FALSE),
            0
        ) +
        IFERROR(
            VLOOKUP($A69, INDIRECT("MarR!$A$6:$ZZ$1048576"), MATCH(D$1, MarR!$6:$6, 0), FALSE),
            0
        ) +
        IFERROR(
            VLOOKUP($A69, INDIRECT("AbrR!$A$6:$ZZ$1048576"), MATCH(D$1, AbrR!$6:$6, 0), FALSE),
            0
        ) +
        IFERROR(
            VLOOKUP($A69, INDIRECT("MayR!$A$6:$ZZ$1048576"), MATCH(D$1, MayR!$6:$6, 0), FALSE),
            0
        ) +
        IFERROR(
            VLOOKUP($A69, INDIRECT("JunR!$A$6:$ZZ$1048576"), MATCH(D$1, JunR!$6:$6, 0), FALSE),
            0
        ) +
        IFERROR(
            VLOOKUP($A69, INDIRECT("JulR!$A$6:$ZZ$1048576"), MATCH(D$1, JulR!$6:$6, 0), FALSE),
            0
        ) +
        IFERROR(
            VLOOKUP($A69, INDIRECT("AgoR!$A$6:$ZZ$1048576"), MATCH(D$1, AgoR!$6:$6, 0), FALSE),
            0
        ) +
        IFERROR(
            VLOOKUP($A69, INDIRECT("SepR!$A$6:$ZZ$1048576"), MATCH(D$1, SepR!$6:$6, 0), FALSE),
            0
        ) +
        IFERROR(
            VLOOKUP($A69, INDIRECT("OctR!$A$6:$ZZ$1048576"), MATCH(D$1, OctR!$6:$6, 0), FALSE),
            0
        ) +
        IFERROR(
            VLOOKUP($A69, INDIRECT("NovR!$A$6:$ZZ$1048576"), MATCH(D$1, NovR!$6:$6, 0), FALSE),
            0
        ) +
        IFERROR(
            VLOOKUP($A69, INDIRECT("DicR!$A$6:$ZZ$1048576"), MATCH(D$1, DicR!$6:$6, 0), FALSE),
            0
        )
)</f>
        <v>0</v>
      </c>
      <c r="E69" s="35">
        <f t="array" ref="E69">SUM(
    IFERROR(
            VLOOKUP($A69, INDIRECT("EneR!$A$6:$ZZ$1048576"), MATCH(E$1, EneR!$6:$6, 0), FALSE),
            0
        ) +
        IFERROR(
            VLOOKUP($A69, INDIRECT("FebR!$A$6:$ZZ$1048576"), MATCH(E$1, FebR!$6:$6, 0), FALSE),
            0
        ) +
        IFERROR(
            VLOOKUP($A69, INDIRECT("MarR!$A$6:$ZZ$1048576"), MATCH(E$1, MarR!$6:$6, 0), FALSE),
            0
        ) +
        IFERROR(
            VLOOKUP($A69, INDIRECT("AbrR!$A$6:$ZZ$1048576"), MATCH(E$1, AbrR!$6:$6, 0), FALSE),
            0
        ) +
        IFERROR(
            VLOOKUP($A69, INDIRECT("MayR!$A$6:$ZZ$1048576"), MATCH(E$1, MayR!$6:$6, 0), FALSE),
            0
        ) +
        IFERROR(
            VLOOKUP($A69, INDIRECT("JunR!$A$6:$ZZ$1048576"), MATCH(E$1, JunR!$6:$6, 0), FALSE),
            0
        ) +
        IFERROR(
            VLOOKUP($A69, INDIRECT("JulR!$A$6:$ZZ$1048576"), MATCH(E$1, JulR!$6:$6, 0), FALSE),
            0
        ) +
        IFERROR(
            VLOOKUP($A69, INDIRECT("AgoR!$A$6:$ZZ$1048576"), MATCH(E$1, AgoR!$6:$6, 0), FALSE),
            0
        ) +
        IFERROR(
            VLOOKUP($A69, INDIRECT("SepR!$A$6:$ZZ$1048576"), MATCH(E$1, SepR!$6:$6, 0), FALSE),
            0
        ) +
        IFERROR(
            VLOOKUP($A69, INDIRECT("OctR!$A$6:$ZZ$1048576"), MATCH(E$1, OctR!$6:$6, 0), FALSE),
            0
        ) +
        IFERROR(
            VLOOKUP($A69, INDIRECT("NovR!$A$6:$ZZ$1048576"), MATCH(E$1, NovR!$6:$6, 0), FALSE),
            0
        ) +
        IFERROR(
            VLOOKUP($A69, INDIRECT("DicR!$A$6:$ZZ$1048576"), MATCH(E$1, DicR!$6:$6, 0), FALSE),
            0
        )
)</f>
        <v>0</v>
      </c>
      <c r="F69" s="32">
        <f t="array" ref="F69">SUM(
    IFERROR(
            VLOOKUP($A69, INDIRECT("EneR!$A$6:$ZZ$1048576"), MATCH(F$1, EneR!$6:$6, 0), FALSE),
            0
        ) +
        IFERROR(
            VLOOKUP($A69, INDIRECT("FebR!$A$6:$ZZ$1048576"), MATCH(F$1, FebR!$6:$6, 0), FALSE),
            0
        ) +
        IFERROR(
            VLOOKUP($A69, INDIRECT("MarR!$A$6:$ZZ$1048576"), MATCH(F$1, MarR!$6:$6, 0), FALSE),
            0
        ) +
        IFERROR(
            VLOOKUP($A69, INDIRECT("AbrR!$A$6:$ZZ$1048576"), MATCH(F$1, AbrR!$6:$6, 0), FALSE),
            0
        ) +
        IFERROR(
            VLOOKUP($A69, INDIRECT("MayR!$A$6:$ZZ$1048576"), MATCH(F$1, MayR!$6:$6, 0), FALSE),
            0
        ) +
        IFERROR(
            VLOOKUP($A69, INDIRECT("JunR!$A$6:$ZZ$1048576"), MATCH(F$1, JunR!$6:$6, 0), FALSE),
            0
        ) +
        IFERROR(
            VLOOKUP($A69, INDIRECT("JulR!$A$6:$ZZ$1048576"), MATCH(F$1, JulR!$6:$6, 0), FALSE),
            0
        ) +
        IFERROR(
            VLOOKUP($A69, INDIRECT("AgoR!$A$6:$ZZ$1048576"), MATCH(F$1, AgoR!$6:$6, 0), FALSE),
            0
        ) +
        IFERROR(
            VLOOKUP($A69, INDIRECT("SepR!$A$6:$ZZ$1048576"), MATCH(F$1, SepR!$6:$6, 0), FALSE),
            0
        ) +
        IFERROR(
            VLOOKUP($A69, INDIRECT("OctR!$A$6:$ZZ$1048576"), MATCH(F$1, OctR!$6:$6, 0), FALSE),
            0
        ) +
        IFERROR(
            VLOOKUP($A69, INDIRECT("NovR!$A$6:$ZZ$1048576"), MATCH(F$1, NovR!$6:$6, 0), FALSE),
            0
        ) +
        IFERROR(
            VLOOKUP($A69, INDIRECT("DicR!$A$6:$ZZ$1048576"), MATCH(F$1, DicR!$6:$6, 0), FALSE),
            0
        )
)</f>
        <v>0</v>
      </c>
      <c r="G69" s="35">
        <f t="array" ref="G69">SUM(
    IFERROR(
            VLOOKUP($A69, INDIRECT("EneR!$A$6:$ZZ$1048576"), MATCH(G$1, EneR!$6:$6, 0), FALSE),
            0
        ) +
        IFERROR(
            VLOOKUP($A69, INDIRECT("FebR!$A$6:$ZZ$1048576"), MATCH(G$1, FebR!$6:$6, 0), FALSE),
            0
        ) +
        IFERROR(
            VLOOKUP($A69, INDIRECT("MarR!$A$6:$ZZ$1048576"), MATCH(G$1, MarR!$6:$6, 0), FALSE),
            0
        ) +
        IFERROR(
            VLOOKUP($A69, INDIRECT("AbrR!$A$6:$ZZ$1048576"), MATCH(G$1, AbrR!$6:$6, 0), FALSE),
            0
        ) +
        IFERROR(
            VLOOKUP($A69, INDIRECT("MayR!$A$6:$ZZ$1048576"), MATCH(G$1, MayR!$6:$6, 0), FALSE),
            0
        ) +
        IFERROR(
            VLOOKUP($A69, INDIRECT("JunR!$A$6:$ZZ$1048576"), MATCH(G$1, JunR!$6:$6, 0), FALSE),
            0
        ) +
        IFERROR(
            VLOOKUP($A69, INDIRECT("JulR!$A$6:$ZZ$1048576"), MATCH(G$1, JulR!$6:$6, 0), FALSE),
            0
        ) +
        IFERROR(
            VLOOKUP($A69, INDIRECT("AgoR!$A$6:$ZZ$1048576"), MATCH(G$1, AgoR!$6:$6, 0), FALSE),
            0
        ) +
        IFERROR(
            VLOOKUP($A69, INDIRECT("SepR!$A$6:$ZZ$1048576"), MATCH(G$1, SepR!$6:$6, 0), FALSE),
            0
        ) +
        IFERROR(
            VLOOKUP($A69, INDIRECT("OctR!$A$6:$ZZ$1048576"), MATCH(G$1, OctR!$6:$6, 0), FALSE),
            0
        ) +
        IFERROR(
            VLOOKUP($A69, INDIRECT("NovR!$A$6:$ZZ$1048576"), MATCH(G$1, NovR!$6:$6, 0), FALSE),
            0
        ) +
        IFERROR(
            VLOOKUP($A69, INDIRECT("DicR!$A$6:$ZZ$1048576"), MATCH(G$1, DicR!$6:$6, 0), FALSE),
            0
        )
)</f>
        <v>0</v>
      </c>
      <c r="H69" s="32">
        <f t="array" ref="H69">SUM(
    IFERROR(
            VLOOKUP($A69, INDIRECT("EneR!$A$6:$ZZ$1048576"), MATCH(H$1, EneR!$6:$6, 0), FALSE),
            0
        ) +
        IFERROR(
            VLOOKUP($A69, INDIRECT("FebR!$A$6:$ZZ$1048576"), MATCH(H$1, FebR!$6:$6, 0), FALSE),
            0
        ) +
        IFERROR(
            VLOOKUP($A69, INDIRECT("MarR!$A$6:$ZZ$1048576"), MATCH(H$1, MarR!$6:$6, 0), FALSE),
            0
        ) +
        IFERROR(
            VLOOKUP($A69, INDIRECT("AbrR!$A$6:$ZZ$1048576"), MATCH(H$1, AbrR!$6:$6, 0), FALSE),
            0
        ) +
        IFERROR(
            VLOOKUP($A69, INDIRECT("MayR!$A$6:$ZZ$1048576"), MATCH(H$1, MayR!$6:$6, 0), FALSE),
            0
        ) +
        IFERROR(
            VLOOKUP($A69, INDIRECT("JunR!$A$6:$ZZ$1048576"), MATCH(H$1, JunR!$6:$6, 0), FALSE),
            0
        ) +
        IFERROR(
            VLOOKUP($A69, INDIRECT("JulR!$A$6:$ZZ$1048576"), MATCH(H$1, JulR!$6:$6, 0), FALSE),
            0
        ) +
        IFERROR(
            VLOOKUP($A69, INDIRECT("AgoR!$A$6:$ZZ$1048576"), MATCH(H$1, AgoR!$6:$6, 0), FALSE),
            0
        ) +
        IFERROR(
            VLOOKUP($A69, INDIRECT("SepR!$A$6:$ZZ$1048576"), MATCH(H$1, SepR!$6:$6, 0), FALSE),
            0
        ) +
        IFERROR(
            VLOOKUP($A69, INDIRECT("OctR!$A$6:$ZZ$1048576"), MATCH(H$1, OctR!$6:$6, 0), FALSE),
            0
        ) +
        IFERROR(
            VLOOKUP($A69, INDIRECT("NovR!$A$6:$ZZ$1048576"), MATCH(H$1, NovR!$6:$6, 0), FALSE),
            0
        ) +
        IFERROR(
            VLOOKUP($A69, INDIRECT("DicR!$A$6:$ZZ$1048576"), MATCH(H$1, DicR!$6:$6, 0), FALSE),
            0
        )
)</f>
        <v>0</v>
      </c>
      <c r="I69" s="35">
        <f t="array" ref="I69">SUM(
    IFERROR(
            VLOOKUP($A69, INDIRECT("EneR!$A$6:$ZZ$1048576"), MATCH(I$1, EneR!$6:$6, 0), FALSE),
            0
        ) +
        IFERROR(
            VLOOKUP($A69, INDIRECT("FebR!$A$6:$ZZ$1048576"), MATCH(I$1, FebR!$6:$6, 0), FALSE),
            0
        ) +
        IFERROR(
            VLOOKUP($A69, INDIRECT("MarR!$A$6:$ZZ$1048576"), MATCH(I$1, MarR!$6:$6, 0), FALSE),
            0
        ) +
        IFERROR(
            VLOOKUP($A69, INDIRECT("AbrR!$A$6:$ZZ$1048576"), MATCH(I$1, AbrR!$6:$6, 0), FALSE),
            0
        ) +
        IFERROR(
            VLOOKUP($A69, INDIRECT("MayR!$A$6:$ZZ$1048576"), MATCH(I$1, MayR!$6:$6, 0), FALSE),
            0
        ) +
        IFERROR(
            VLOOKUP($A69, INDIRECT("JunR!$A$6:$ZZ$1048576"), MATCH(I$1, JunR!$6:$6, 0), FALSE),
            0
        ) +
        IFERROR(
            VLOOKUP($A69, INDIRECT("JulR!$A$6:$ZZ$1048576"), MATCH(I$1, JulR!$6:$6, 0), FALSE),
            0
        ) +
        IFERROR(
            VLOOKUP($A69, INDIRECT("AgoR!$A$6:$ZZ$1048576"), MATCH(I$1, AgoR!$6:$6, 0), FALSE),
            0
        ) +
        IFERROR(
            VLOOKUP($A69, INDIRECT("SepR!$A$6:$ZZ$1048576"), MATCH(I$1, SepR!$6:$6, 0), FALSE),
            0
        ) +
        IFERROR(
            VLOOKUP($A69, INDIRECT("OctR!$A$6:$ZZ$1048576"), MATCH(I$1, OctR!$6:$6, 0), FALSE),
            0
        ) +
        IFERROR(
            VLOOKUP($A69, INDIRECT("NovR!$A$6:$ZZ$1048576"), MATCH(I$1, NovR!$6:$6, 0), FALSE),
            0
        ) +
        IFERROR(
            VLOOKUP($A69, INDIRECT("DicR!$A$6:$ZZ$1048576"), MATCH(I$1, DicR!$6:$6, 0), FALSE),
            0
        )
)</f>
        <v>0</v>
      </c>
      <c r="J69" s="32">
        <f t="array" ref="J69">SUM(
    IFERROR(
            VLOOKUP($A69, INDIRECT("EneR!$A$6:$ZZ$1048576"), MATCH(J$1, EneR!$6:$6, 0), FALSE),
            0
        ) +
        IFERROR(
            VLOOKUP($A69, INDIRECT("FebR!$A$6:$ZZ$1048576"), MATCH(J$1, FebR!$6:$6, 0), FALSE),
            0
        ) +
        IFERROR(
            VLOOKUP($A69, INDIRECT("MarR!$A$6:$ZZ$1048576"), MATCH(J$1, MarR!$6:$6, 0), FALSE),
            0
        ) +
        IFERROR(
            VLOOKUP($A69, INDIRECT("AbrR!$A$6:$ZZ$1048576"), MATCH(J$1, AbrR!$6:$6, 0), FALSE),
            0
        ) +
        IFERROR(
            VLOOKUP($A69, INDIRECT("MayR!$A$6:$ZZ$1048576"), MATCH(J$1, MayR!$6:$6, 0), FALSE),
            0
        ) +
        IFERROR(
            VLOOKUP($A69, INDIRECT("JunR!$A$6:$ZZ$1048576"), MATCH(J$1, JunR!$6:$6, 0), FALSE),
            0
        ) +
        IFERROR(
            VLOOKUP($A69, INDIRECT("JulR!$A$6:$ZZ$1048576"), MATCH(J$1, JulR!$6:$6, 0), FALSE),
            0
        ) +
        IFERROR(
            VLOOKUP($A69, INDIRECT("AgoR!$A$6:$ZZ$1048576"), MATCH(J$1, AgoR!$6:$6, 0), FALSE),
            0
        ) +
        IFERROR(
            VLOOKUP($A69, INDIRECT("SepR!$A$6:$ZZ$1048576"), MATCH(J$1, SepR!$6:$6, 0), FALSE),
            0
        ) +
        IFERROR(
            VLOOKUP($A69, INDIRECT("OctR!$A$6:$ZZ$1048576"), MATCH(J$1, OctR!$6:$6, 0), FALSE),
            0
        ) +
        IFERROR(
            VLOOKUP($A69, INDIRECT("NovR!$A$6:$ZZ$1048576"), MATCH(J$1, NovR!$6:$6, 0), FALSE),
            0
        ) +
        IFERROR(
            VLOOKUP($A69, INDIRECT("DicR!$A$6:$ZZ$1048576"), MATCH(J$1, DicR!$6:$6, 0), FALSE),
            0
        )
)</f>
        <v>0</v>
      </c>
      <c r="K69" s="35">
        <f t="array" ref="K69">SUM(
    IFERROR(
            VLOOKUP($A69, INDIRECT("EneR!$A$6:$ZZ$1048576"), MATCH(K$1, EneR!$6:$6, 0), FALSE),
            0
        ) +
        IFERROR(
            VLOOKUP($A69, INDIRECT("FebR!$A$6:$ZZ$1048576"), MATCH(K$1, FebR!$6:$6, 0), FALSE),
            0
        ) +
        IFERROR(
            VLOOKUP($A69, INDIRECT("MarR!$A$6:$ZZ$1048576"), MATCH(K$1, MarR!$6:$6, 0), FALSE),
            0
        ) +
        IFERROR(
            VLOOKUP($A69, INDIRECT("AbrR!$A$6:$ZZ$1048576"), MATCH(K$1, AbrR!$6:$6, 0), FALSE),
            0
        ) +
        IFERROR(
            VLOOKUP($A69, INDIRECT("MayR!$A$6:$ZZ$1048576"), MATCH(K$1, MayR!$6:$6, 0), FALSE),
            0
        ) +
        IFERROR(
            VLOOKUP($A69, INDIRECT("JunR!$A$6:$ZZ$1048576"), MATCH(K$1, JunR!$6:$6, 0), FALSE),
            0
        ) +
        IFERROR(
            VLOOKUP($A69, INDIRECT("JulR!$A$6:$ZZ$1048576"), MATCH(K$1, JulR!$6:$6, 0), FALSE),
            0
        ) +
        IFERROR(
            VLOOKUP($A69, INDIRECT("AgoR!$A$6:$ZZ$1048576"), MATCH(K$1, AgoR!$6:$6, 0), FALSE),
            0
        ) +
        IFERROR(
            VLOOKUP($A69, INDIRECT("SepR!$A$6:$ZZ$1048576"), MATCH(K$1, SepR!$6:$6, 0), FALSE),
            0
        ) +
        IFERROR(
            VLOOKUP($A69, INDIRECT("OctR!$A$6:$ZZ$1048576"), MATCH(K$1, OctR!$6:$6, 0), FALSE),
            0
        ) +
        IFERROR(
            VLOOKUP($A69, INDIRECT("NovR!$A$6:$ZZ$1048576"), MATCH(K$1, NovR!$6:$6, 0), FALSE),
            0
        ) +
        IFERROR(
            VLOOKUP($A69, INDIRECT("DicR!$A$6:$ZZ$1048576"), MATCH(K$1, DicR!$6:$6, 0), FALSE),
            0
        )
)</f>
        <v>0</v>
      </c>
      <c r="L69" s="32">
        <f t="array" ref="L69">SUM(
    IFERROR(
            VLOOKUP($A69, INDIRECT("EneR!$A$6:$ZZ$1048576"), MATCH(L$1, EneR!$6:$6, 0), FALSE),
            0
        ) +
        IFERROR(
            VLOOKUP($A69, INDIRECT("FebR!$A$6:$ZZ$1048576"), MATCH(L$1, FebR!$6:$6, 0), FALSE),
            0
        ) +
        IFERROR(
            VLOOKUP($A69, INDIRECT("MarR!$A$6:$ZZ$1048576"), MATCH(L$1, MarR!$6:$6, 0), FALSE),
            0
        ) +
        IFERROR(
            VLOOKUP($A69, INDIRECT("AbrR!$A$6:$ZZ$1048576"), MATCH(L$1, AbrR!$6:$6, 0), FALSE),
            0
        ) +
        IFERROR(
            VLOOKUP($A69, INDIRECT("MayR!$A$6:$ZZ$1048576"), MATCH(L$1, MayR!$6:$6, 0), FALSE),
            0
        ) +
        IFERROR(
            VLOOKUP($A69, INDIRECT("JunR!$A$6:$ZZ$1048576"), MATCH(L$1, JunR!$6:$6, 0), FALSE),
            0
        ) +
        IFERROR(
            VLOOKUP($A69, INDIRECT("JulR!$A$6:$ZZ$1048576"), MATCH(L$1, JulR!$6:$6, 0), FALSE),
            0
        ) +
        IFERROR(
            VLOOKUP($A69, INDIRECT("AgoR!$A$6:$ZZ$1048576"), MATCH(L$1, AgoR!$6:$6, 0), FALSE),
            0
        ) +
        IFERROR(
            VLOOKUP($A69, INDIRECT("SepR!$A$6:$ZZ$1048576"), MATCH(L$1, SepR!$6:$6, 0), FALSE),
            0
        ) +
        IFERROR(
            VLOOKUP($A69, INDIRECT("OctR!$A$6:$ZZ$1048576"), MATCH(L$1, OctR!$6:$6, 0), FALSE),
            0
        ) +
        IFERROR(
            VLOOKUP($A69, INDIRECT("NovR!$A$6:$ZZ$1048576"), MATCH(L$1, NovR!$6:$6, 0), FALSE),
            0
        ) +
        IFERROR(
            VLOOKUP($A69, INDIRECT("DicR!$A$6:$ZZ$1048576"), MATCH(L$1, DicR!$6:$6, 0), FALSE),
            0
        )
)</f>
        <v>0</v>
      </c>
      <c r="M69" s="35">
        <f t="array" ref="M69">SUM(
    IFERROR(
            VLOOKUP($A69, INDIRECT("EneR!$A$6:$ZZ$1048576"), MATCH(M$1, EneR!$6:$6, 0), FALSE),
            0
        ) +
        IFERROR(
            VLOOKUP($A69, INDIRECT("FebR!$A$6:$ZZ$1048576"), MATCH(M$1, FebR!$6:$6, 0), FALSE),
            0
        ) +
        IFERROR(
            VLOOKUP($A69, INDIRECT("MarR!$A$6:$ZZ$1048576"), MATCH(M$1, MarR!$6:$6, 0), FALSE),
            0
        ) +
        IFERROR(
            VLOOKUP($A69, INDIRECT("AbrR!$A$6:$ZZ$1048576"), MATCH(M$1, AbrR!$6:$6, 0), FALSE),
            0
        ) +
        IFERROR(
            VLOOKUP($A69, INDIRECT("MayR!$A$6:$ZZ$1048576"), MATCH(M$1, MayR!$6:$6, 0), FALSE),
            0
        ) +
        IFERROR(
            VLOOKUP($A69, INDIRECT("JunR!$A$6:$ZZ$1048576"), MATCH(M$1, JunR!$6:$6, 0), FALSE),
            0
        ) +
        IFERROR(
            VLOOKUP($A69, INDIRECT("JulR!$A$6:$ZZ$1048576"), MATCH(M$1, JulR!$6:$6, 0), FALSE),
            0
        ) +
        IFERROR(
            VLOOKUP($A69, INDIRECT("AgoR!$A$6:$ZZ$1048576"), MATCH(M$1, AgoR!$6:$6, 0), FALSE),
            0
        ) +
        IFERROR(
            VLOOKUP($A69, INDIRECT("SepR!$A$6:$ZZ$1048576"), MATCH(M$1, SepR!$6:$6, 0), FALSE),
            0
        ) +
        IFERROR(
            VLOOKUP($A69, INDIRECT("OctR!$A$6:$ZZ$1048576"), MATCH(M$1, OctR!$6:$6, 0), FALSE),
            0
        ) +
        IFERROR(
            VLOOKUP($A69, INDIRECT("NovR!$A$6:$ZZ$1048576"), MATCH(M$1, NovR!$6:$6, 0), FALSE),
            0
        ) +
        IFERROR(
            VLOOKUP($A69, INDIRECT("DicR!$A$6:$ZZ$1048576"), MATCH(M$1, DicR!$6:$6, 0), FALSE),
            0
        )
)</f>
        <v>0</v>
      </c>
      <c r="N69" s="32">
        <f t="array" ref="N69">SUM(
    IFERROR(
            VLOOKUP($A69, INDIRECT("EneR!$A$6:$ZZ$1048576"), MATCH(N$1, EneR!$6:$6, 0), FALSE),
            0
        ) +
        IFERROR(
            VLOOKUP($A69, INDIRECT("FebR!$A$6:$ZZ$1048576"), MATCH(N$1, FebR!$6:$6, 0), FALSE),
            0
        ) +
        IFERROR(
            VLOOKUP($A69, INDIRECT("MarR!$A$6:$ZZ$1048576"), MATCH(N$1, MarR!$6:$6, 0), FALSE),
            0
        ) +
        IFERROR(
            VLOOKUP($A69, INDIRECT("AbrR!$A$6:$ZZ$1048576"), MATCH(N$1, AbrR!$6:$6, 0), FALSE),
            0
        ) +
        IFERROR(
            VLOOKUP($A69, INDIRECT("MayR!$A$6:$ZZ$1048576"), MATCH(N$1, MayR!$6:$6, 0), FALSE),
            0
        ) +
        IFERROR(
            VLOOKUP($A69, INDIRECT("JunR!$A$6:$ZZ$1048576"), MATCH(N$1, JunR!$6:$6, 0), FALSE),
            0
        ) +
        IFERROR(
            VLOOKUP($A69, INDIRECT("JulR!$A$6:$ZZ$1048576"), MATCH(N$1, JulR!$6:$6, 0), FALSE),
            0
        ) +
        IFERROR(
            VLOOKUP($A69, INDIRECT("AgoR!$A$6:$ZZ$1048576"), MATCH(N$1, AgoR!$6:$6, 0), FALSE),
            0
        ) +
        IFERROR(
            VLOOKUP($A69, INDIRECT("SepR!$A$6:$ZZ$1048576"), MATCH(N$1, SepR!$6:$6, 0), FALSE),
            0
        ) +
        IFERROR(
            VLOOKUP($A69, INDIRECT("OctR!$A$6:$ZZ$1048576"), MATCH(N$1, OctR!$6:$6, 0), FALSE),
            0
        ) +
        IFERROR(
            VLOOKUP($A69, INDIRECT("NovR!$A$6:$ZZ$1048576"), MATCH(N$1, NovR!$6:$6, 0), FALSE),
            0
        ) +
        IFERROR(
            VLOOKUP($A69, INDIRECT("DicR!$A$6:$ZZ$1048576"), MATCH(N$1, DicR!$6:$6, 0), FALSE),
            0
        )
)</f>
        <v>0</v>
      </c>
      <c r="O69" s="35">
        <f t="array" ref="O69">SUM(
    IFERROR(
            VLOOKUP($A69, INDIRECT("EneR!$A$6:$ZZ$1048576"), MATCH(O$1, EneR!$6:$6, 0), FALSE),
            0
        ) +
        IFERROR(
            VLOOKUP($A69, INDIRECT("FebR!$A$6:$ZZ$1048576"), MATCH(O$1, FebR!$6:$6, 0), FALSE),
            0
        ) +
        IFERROR(
            VLOOKUP($A69, INDIRECT("MarR!$A$6:$ZZ$1048576"), MATCH(O$1, MarR!$6:$6, 0), FALSE),
            0
        ) +
        IFERROR(
            VLOOKUP($A69, INDIRECT("AbrR!$A$6:$ZZ$1048576"), MATCH(O$1, AbrR!$6:$6, 0), FALSE),
            0
        ) +
        IFERROR(
            VLOOKUP($A69, INDIRECT("MayR!$A$6:$ZZ$1048576"), MATCH(O$1, MayR!$6:$6, 0), FALSE),
            0
        ) +
        IFERROR(
            VLOOKUP($A69, INDIRECT("JunR!$A$6:$ZZ$1048576"), MATCH(O$1, JunR!$6:$6, 0), FALSE),
            0
        ) +
        IFERROR(
            VLOOKUP($A69, INDIRECT("JulR!$A$6:$ZZ$1048576"), MATCH(O$1, JulR!$6:$6, 0), FALSE),
            0
        ) +
        IFERROR(
            VLOOKUP($A69, INDIRECT("AgoR!$A$6:$ZZ$1048576"), MATCH(O$1, AgoR!$6:$6, 0), FALSE),
            0
        ) +
        IFERROR(
            VLOOKUP($A69, INDIRECT("SepR!$A$6:$ZZ$1048576"), MATCH(O$1, SepR!$6:$6, 0), FALSE),
            0
        ) +
        IFERROR(
            VLOOKUP($A69, INDIRECT("OctR!$A$6:$ZZ$1048576"), MATCH(O$1, OctR!$6:$6, 0), FALSE),
            0
        ) +
        IFERROR(
            VLOOKUP($A69, INDIRECT("NovR!$A$6:$ZZ$1048576"), MATCH(O$1, NovR!$6:$6, 0), FALSE),
            0
        ) +
        IFERROR(
            VLOOKUP($A69, INDIRECT("DicR!$A$6:$ZZ$1048576"), MATCH(O$1, DicR!$6:$6, 0), FALSE),
            0
        )
)</f>
        <v>0</v>
      </c>
      <c r="P69" s="32">
        <f t="array" ref="P69">SUM(
    IFERROR(
            VLOOKUP($A69, INDIRECT("EneR!$A$6:$ZZ$1048576"), MATCH(P$1, EneR!$6:$6, 0), FALSE),
            0
        ) +
        IFERROR(
            VLOOKUP($A69, INDIRECT("FebR!$A$6:$ZZ$1048576"), MATCH(P$1, FebR!$6:$6, 0), FALSE),
            0
        ) +
        IFERROR(
            VLOOKUP($A69, INDIRECT("MarR!$A$6:$ZZ$1048576"), MATCH(P$1, MarR!$6:$6, 0), FALSE),
            0
        ) +
        IFERROR(
            VLOOKUP($A69, INDIRECT("AbrR!$A$6:$ZZ$1048576"), MATCH(P$1, AbrR!$6:$6, 0), FALSE),
            0
        ) +
        IFERROR(
            VLOOKUP($A69, INDIRECT("MayR!$A$6:$ZZ$1048576"), MATCH(P$1, MayR!$6:$6, 0), FALSE),
            0
        ) +
        IFERROR(
            VLOOKUP($A69, INDIRECT("JunR!$A$6:$ZZ$1048576"), MATCH(P$1, JunR!$6:$6, 0), FALSE),
            0
        ) +
        IFERROR(
            VLOOKUP($A69, INDIRECT("JulR!$A$6:$ZZ$1048576"), MATCH(P$1, JulR!$6:$6, 0), FALSE),
            0
        ) +
        IFERROR(
            VLOOKUP($A69, INDIRECT("AgoR!$A$6:$ZZ$1048576"), MATCH(P$1, AgoR!$6:$6, 0), FALSE),
            0
        ) +
        IFERROR(
            VLOOKUP($A69, INDIRECT("SepR!$A$6:$ZZ$1048576"), MATCH(P$1, SepR!$6:$6, 0), FALSE),
            0
        ) +
        IFERROR(
            VLOOKUP($A69, INDIRECT("OctR!$A$6:$ZZ$1048576"), MATCH(P$1, OctR!$6:$6, 0), FALSE),
            0
        ) +
        IFERROR(
            VLOOKUP($A69, INDIRECT("NovR!$A$6:$ZZ$1048576"), MATCH(P$1, NovR!$6:$6, 0), FALSE),
            0
        ) +
        IFERROR(
            VLOOKUP($A69, INDIRECT("DicR!$A$6:$ZZ$1048576"), MATCH(P$1, DicR!$6:$6, 0), FALSE),
            0
        )
)</f>
        <v>0</v>
      </c>
      <c r="Q69" s="35">
        <f t="array" ref="Q69">SUM(
    IFERROR(
            VLOOKUP($A69, INDIRECT("EneR!$A$6:$ZZ$1048576"), MATCH(Q$1, EneR!$6:$6, 0), FALSE),
            0
        ) +
        IFERROR(
            VLOOKUP($A69, INDIRECT("FebR!$A$6:$ZZ$1048576"), MATCH(Q$1, FebR!$6:$6, 0), FALSE),
            0
        ) +
        IFERROR(
            VLOOKUP($A69, INDIRECT("MarR!$A$6:$ZZ$1048576"), MATCH(Q$1, MarR!$6:$6, 0), FALSE),
            0
        ) +
        IFERROR(
            VLOOKUP($A69, INDIRECT("AbrR!$A$6:$ZZ$1048576"), MATCH(Q$1, AbrR!$6:$6, 0), FALSE),
            0
        ) +
        IFERROR(
            VLOOKUP($A69, INDIRECT("MayR!$A$6:$ZZ$1048576"), MATCH(Q$1, MayR!$6:$6, 0), FALSE),
            0
        ) +
        IFERROR(
            VLOOKUP($A69, INDIRECT("JunR!$A$6:$ZZ$1048576"), MATCH(Q$1, JunR!$6:$6, 0), FALSE),
            0
        ) +
        IFERROR(
            VLOOKUP($A69, INDIRECT("JulR!$A$6:$ZZ$1048576"), MATCH(Q$1, JulR!$6:$6, 0), FALSE),
            0
        ) +
        IFERROR(
            VLOOKUP($A69, INDIRECT("AgoR!$A$6:$ZZ$1048576"), MATCH(Q$1, AgoR!$6:$6, 0), FALSE),
            0
        ) +
        IFERROR(
            VLOOKUP($A69, INDIRECT("SepR!$A$6:$ZZ$1048576"), MATCH(Q$1, SepR!$6:$6, 0), FALSE),
            0
        ) +
        IFERROR(
            VLOOKUP($A69, INDIRECT("OctR!$A$6:$ZZ$1048576"), MATCH(Q$1, OctR!$6:$6, 0), FALSE),
            0
        ) +
        IFERROR(
            VLOOKUP($A69, INDIRECT("NovR!$A$6:$ZZ$1048576"), MATCH(Q$1, NovR!$6:$6, 0), FALSE),
            0
        ) +
        IFERROR(
            VLOOKUP($A69, INDIRECT("DicR!$A$6:$ZZ$1048576"), MATCH(Q$1, DicR!$6:$6, 0), FALSE),
            0
        )
)</f>
        <v>0</v>
      </c>
      <c r="R69" s="36">
        <f t="array" ref="R69">SUM(
    IFERROR(
            VLOOKUP($A69, INDIRECT("EneR!$A$6:$ZZ$1048576"), MATCH(R$1, EneR!$6:$6, 0), FALSE),
            0
        ) +
        IFERROR(
            VLOOKUP($A69, INDIRECT("FebR!$A$6:$ZZ$1048576"), MATCH(R$1, FebR!$6:$6, 0), FALSE),
            0
        ) +
        IFERROR(
            VLOOKUP($A69, INDIRECT("MarR!$A$6:$ZZ$1048576"), MATCH(R$1, MarR!$6:$6, 0), FALSE),
            0
        ) +
        IFERROR(
            VLOOKUP($A69, INDIRECT("AbrR!$A$6:$ZZ$1048576"), MATCH(R$1, AbrR!$6:$6, 0), FALSE),
            0
        ) +
        IFERROR(
            VLOOKUP($A69, INDIRECT("MayR!$A$6:$ZZ$1048576"), MATCH(R$1, MayR!$6:$6, 0), FALSE),
            0
        ) +
        IFERROR(
            VLOOKUP($A69, INDIRECT("JunR!$A$6:$ZZ$1048576"), MATCH(R$1, JunR!$6:$6, 0), FALSE),
            0
        ) +
        IFERROR(
            VLOOKUP($A69, INDIRECT("JulR!$A$6:$ZZ$1048576"), MATCH(R$1, JulR!$6:$6, 0), FALSE),
            0
        ) +
        IFERROR(
            VLOOKUP($A69, INDIRECT("AgoR!$A$6:$ZZ$1048576"), MATCH(R$1, AgoR!$6:$6, 0), FALSE),
            0
        ) +
        IFERROR(
            VLOOKUP($A69, INDIRECT("SepR!$A$6:$ZZ$1048576"), MATCH(R$1, SepR!$6:$6, 0), FALSE),
            0
        ) +
        IFERROR(
            VLOOKUP($A69, INDIRECT("OctR!$A$6:$ZZ$1048576"), MATCH(R$1, OctR!$6:$6, 0), FALSE),
            0
        ) +
        IFERROR(
            VLOOKUP($A69, INDIRECT("NovR!$A$6:$ZZ$1048576"), MATCH(R$1, NovR!$6:$6, 0), FALSE),
            0
        ) +
        IFERROR(
            VLOOKUP($A69, INDIRECT("DicR!$A$6:$ZZ$1048576"), MATCH(R$1, DicR!$6:$6, 0), FALSE),
            0
        )
)</f>
        <v>0</v>
      </c>
      <c r="S69" s="37">
        <f t="array" ref="S69">SUM(
    IFERROR(
            VLOOKUP($A69, INDIRECT("EneR!$A$6:$ZZ$1048576"), MATCH(S$1, EneR!$6:$6, 0), FALSE),
            0
        ) +
        IFERROR(
            VLOOKUP($A69, INDIRECT("FebR!$A$6:$ZZ$1048576"), MATCH(S$1, FebR!$6:$6, 0), FALSE),
            0
        ) +
        IFERROR(
            VLOOKUP($A69, INDIRECT("MarR!$A$6:$ZZ$1048576"), MATCH(S$1, MarR!$6:$6, 0), FALSE),
            0
        ) +
        IFERROR(
            VLOOKUP($A69, INDIRECT("AbrR!$A$6:$ZZ$1048576"), MATCH(S$1, AbrR!$6:$6, 0), FALSE),
            0
        ) +
        IFERROR(
            VLOOKUP($A69, INDIRECT("MayR!$A$6:$ZZ$1048576"), MATCH(S$1, MayR!$6:$6, 0), FALSE),
            0
        ) +
        IFERROR(
            VLOOKUP($A69, INDIRECT("JunR!$A$6:$ZZ$1048576"), MATCH(S$1, JunR!$6:$6, 0), FALSE),
            0
        ) +
        IFERROR(
            VLOOKUP($A69, INDIRECT("JulR!$A$6:$ZZ$1048576"), MATCH(S$1, JulR!$6:$6, 0), FALSE),
            0
        ) +
        IFERROR(
            VLOOKUP($A69, INDIRECT("AgoR!$A$6:$ZZ$1048576"), MATCH(S$1, AgoR!$6:$6, 0), FALSE),
            0
        ) +
        IFERROR(
            VLOOKUP($A69, INDIRECT("SepR!$A$6:$ZZ$1048576"), MATCH(S$1, SepR!$6:$6, 0), FALSE),
            0
        ) +
        IFERROR(
            VLOOKUP($A69, INDIRECT("OctR!$A$6:$ZZ$1048576"), MATCH(S$1, OctR!$6:$6, 0), FALSE),
            0
        ) +
        IFERROR(
            VLOOKUP($A69, INDIRECT("NovR!$A$6:$ZZ$1048576"), MATCH(S$1, NovR!$6:$6, 0), FALSE),
            0
        ) +
        IFERROR(
            VLOOKUP($A69, INDIRECT("DicR!$A$6:$ZZ$1048576"), MATCH(S$1, DicR!$6:$6, 0), FALSE),
            0
        )
)</f>
        <v>0</v>
      </c>
      <c r="T69" s="36">
        <f t="array" ref="T69">SUM(
    IFERROR(
            VLOOKUP($A69, INDIRECT("EneR!$A$6:$ZZ$1048576"), MATCH(T$1, EneR!$6:$6, 0), FALSE),
            0
        ) +
        IFERROR(
            VLOOKUP($A69, INDIRECT("FebR!$A$6:$ZZ$1048576"), MATCH(T$1, FebR!$6:$6, 0), FALSE),
            0
        ) +
        IFERROR(
            VLOOKUP($A69, INDIRECT("MarR!$A$6:$ZZ$1048576"), MATCH(T$1, MarR!$6:$6, 0), FALSE),
            0
        ) +
        IFERROR(
            VLOOKUP($A69, INDIRECT("AbrR!$A$6:$ZZ$1048576"), MATCH(T$1, AbrR!$6:$6, 0), FALSE),
            0
        ) +
        IFERROR(
            VLOOKUP($A69, INDIRECT("MayR!$A$6:$ZZ$1048576"), MATCH(T$1, MayR!$6:$6, 0), FALSE),
            0
        ) +
        IFERROR(
            VLOOKUP($A69, INDIRECT("JunR!$A$6:$ZZ$1048576"), MATCH(T$1, JunR!$6:$6, 0), FALSE),
            0
        ) +
        IFERROR(
            VLOOKUP($A69, INDIRECT("JulR!$A$6:$ZZ$1048576"), MATCH(T$1, JulR!$6:$6, 0), FALSE),
            0
        ) +
        IFERROR(
            VLOOKUP($A69, INDIRECT("AgoR!$A$6:$ZZ$1048576"), MATCH(T$1, AgoR!$6:$6, 0), FALSE),
            0
        ) +
        IFERROR(
            VLOOKUP($A69, INDIRECT("SepR!$A$6:$ZZ$1048576"), MATCH(T$1, SepR!$6:$6, 0), FALSE),
            0
        ) +
        IFERROR(
            VLOOKUP($A69, INDIRECT("OctR!$A$6:$ZZ$1048576"), MATCH(T$1, OctR!$6:$6, 0), FALSE),
            0
        ) +
        IFERROR(
            VLOOKUP($A69, INDIRECT("NovR!$A$6:$ZZ$1048576"), MATCH(T$1, NovR!$6:$6, 0), FALSE),
            0
        ) +
        IFERROR(
            VLOOKUP($A69, INDIRECT("DicR!$A$6:$ZZ$1048576"), MATCH(T$1, DicR!$6:$6, 0), FALSE),
            0
        )
)</f>
        <v>0</v>
      </c>
      <c r="U69" s="37">
        <f t="array" ref="U69">SUM(
    IFERROR(
            VLOOKUP($A69, INDIRECT("EneR!$A$6:$ZZ$1048576"), MATCH(U$1, EneR!$6:$6, 0), FALSE),
            0
        ) +
        IFERROR(
            VLOOKUP($A69, INDIRECT("FebR!$A$6:$ZZ$1048576"), MATCH(U$1, FebR!$6:$6, 0), FALSE),
            0
        ) +
        IFERROR(
            VLOOKUP($A69, INDIRECT("MarR!$A$6:$ZZ$1048576"), MATCH(U$1, MarR!$6:$6, 0), FALSE),
            0
        ) +
        IFERROR(
            VLOOKUP($A69, INDIRECT("AbrR!$A$6:$ZZ$1048576"), MATCH(U$1, AbrR!$6:$6, 0), FALSE),
            0
        ) +
        IFERROR(
            VLOOKUP($A69, INDIRECT("MayR!$A$6:$ZZ$1048576"), MATCH(U$1, MayR!$6:$6, 0), FALSE),
            0
        ) +
        IFERROR(
            VLOOKUP($A69, INDIRECT("JunR!$A$6:$ZZ$1048576"), MATCH(U$1, JunR!$6:$6, 0), FALSE),
            0
        ) +
        IFERROR(
            VLOOKUP($A69, INDIRECT("JulR!$A$6:$ZZ$1048576"), MATCH(U$1, JulR!$6:$6, 0), FALSE),
            0
        ) +
        IFERROR(
            VLOOKUP($A69, INDIRECT("AgoR!$A$6:$ZZ$1048576"), MATCH(U$1, AgoR!$6:$6, 0), FALSE),
            0
        ) +
        IFERROR(
            VLOOKUP($A69, INDIRECT("SepR!$A$6:$ZZ$1048576"), MATCH(U$1, SepR!$6:$6, 0), FALSE),
            0
        ) +
        IFERROR(
            VLOOKUP($A69, INDIRECT("OctR!$A$6:$ZZ$1048576"), MATCH(U$1, OctR!$6:$6, 0), FALSE),
            0
        ) +
        IFERROR(
            VLOOKUP($A69, INDIRECT("NovR!$A$6:$ZZ$1048576"), MATCH(U$1, NovR!$6:$6, 0), FALSE),
            0
        ) +
        IFERROR(
            VLOOKUP($A69, INDIRECT("DicR!$A$6:$ZZ$1048576"), MATCH(U$1, DicR!$6:$6, 0), FALSE),
            0
        )
)</f>
        <v>0</v>
      </c>
      <c r="V69" s="36">
        <f t="array" ref="V69">SUM(
    IFERROR(
            VLOOKUP($A69, INDIRECT("EneR!$A$6:$ZZ$1048576"), MATCH(V$1, EneR!$6:$6, 0), FALSE),
            0
        ) +
        IFERROR(
            VLOOKUP($A69, INDIRECT("FebR!$A$6:$ZZ$1048576"), MATCH(V$1, FebR!$6:$6, 0), FALSE),
            0
        ) +
        IFERROR(
            VLOOKUP($A69, INDIRECT("MarR!$A$6:$ZZ$1048576"), MATCH(V$1, MarR!$6:$6, 0), FALSE),
            0
        ) +
        IFERROR(
            VLOOKUP($A69, INDIRECT("AbrR!$A$6:$ZZ$1048576"), MATCH(V$1, AbrR!$6:$6, 0), FALSE),
            0
        ) +
        IFERROR(
            VLOOKUP($A69, INDIRECT("MayR!$A$6:$ZZ$1048576"), MATCH(V$1, MayR!$6:$6, 0), FALSE),
            0
        ) +
        IFERROR(
            VLOOKUP($A69, INDIRECT("JunR!$A$6:$ZZ$1048576"), MATCH(V$1, JunR!$6:$6, 0), FALSE),
            0
        ) +
        IFERROR(
            VLOOKUP($A69, INDIRECT("JulR!$A$6:$ZZ$1048576"), MATCH(V$1, JulR!$6:$6, 0), FALSE),
            0
        ) +
        IFERROR(
            VLOOKUP($A69, INDIRECT("AgoR!$A$6:$ZZ$1048576"), MATCH(V$1, AgoR!$6:$6, 0), FALSE),
            0
        ) +
        IFERROR(
            VLOOKUP($A69, INDIRECT("SepR!$A$6:$ZZ$1048576"), MATCH(V$1, SepR!$6:$6, 0), FALSE),
            0
        ) +
        IFERROR(
            VLOOKUP($A69, INDIRECT("OctR!$A$6:$ZZ$1048576"), MATCH(V$1, OctR!$6:$6, 0), FALSE),
            0
        ) +
        IFERROR(
            VLOOKUP($A69, INDIRECT("NovR!$A$6:$ZZ$1048576"), MATCH(V$1, NovR!$6:$6, 0), FALSE),
            0
        ) +
        IFERROR(
            VLOOKUP($A69, INDIRECT("DicR!$A$6:$ZZ$1048576"), MATCH(V$1, DicR!$6:$6, 0), FALSE),
            0
        )
)</f>
        <v>0</v>
      </c>
      <c r="W69" s="37">
        <f t="array" ref="W69">SUM(
    IFERROR(
            VLOOKUP($A69, INDIRECT("EneR!$A$6:$ZZ$1048576"), MATCH(W$1, EneR!$6:$6, 0), FALSE),
            0
        ) +
        IFERROR(
            VLOOKUP($A69, INDIRECT("FebR!$A$6:$ZZ$1048576"), MATCH(W$1, FebR!$6:$6, 0), FALSE),
            0
        ) +
        IFERROR(
            VLOOKUP($A69, INDIRECT("MarR!$A$6:$ZZ$1048576"), MATCH(W$1, MarR!$6:$6, 0), FALSE),
            0
        ) +
        IFERROR(
            VLOOKUP($A69, INDIRECT("AbrR!$A$6:$ZZ$1048576"), MATCH(W$1, AbrR!$6:$6, 0), FALSE),
            0
        ) +
        IFERROR(
            VLOOKUP($A69, INDIRECT("MayR!$A$6:$ZZ$1048576"), MATCH(W$1, MayR!$6:$6, 0), FALSE),
            0
        ) +
        IFERROR(
            VLOOKUP($A69, INDIRECT("JunR!$A$6:$ZZ$1048576"), MATCH(W$1, JunR!$6:$6, 0), FALSE),
            0
        ) +
        IFERROR(
            VLOOKUP($A69, INDIRECT("JulR!$A$6:$ZZ$1048576"), MATCH(W$1, JulR!$6:$6, 0), FALSE),
            0
        ) +
        IFERROR(
            VLOOKUP($A69, INDIRECT("AgoR!$A$6:$ZZ$1048576"), MATCH(W$1, AgoR!$6:$6, 0), FALSE),
            0
        ) +
        IFERROR(
            VLOOKUP($A69, INDIRECT("SepR!$A$6:$ZZ$1048576"), MATCH(W$1, SepR!$6:$6, 0), FALSE),
            0
        ) +
        IFERROR(
            VLOOKUP($A69, INDIRECT("OctR!$A$6:$ZZ$1048576"), MATCH(W$1, OctR!$6:$6, 0), FALSE),
            0
        ) +
        IFERROR(
            VLOOKUP($A69, INDIRECT("NovR!$A$6:$ZZ$1048576"), MATCH(W$1, NovR!$6:$6, 0), FALSE),
            0
        ) +
        IFERROR(
            VLOOKUP($A69, INDIRECT("DicR!$A$6:$ZZ$1048576"), MATCH(W$1, DicR!$6:$6, 0), FALSE),
            0
        )
)</f>
        <v>0</v>
      </c>
      <c r="X69" s="36">
        <f t="array" ref="X69">SUM(
    IFERROR(
            VLOOKUP($A69, INDIRECT("EneR!$A$6:$ZZ$1048576"), MATCH(X$1, EneR!$6:$6, 0), FALSE),
            0
        ) +
        IFERROR(
            VLOOKUP($A69, INDIRECT("FebR!$A$6:$ZZ$1048576"), MATCH(X$1, FebR!$6:$6, 0), FALSE),
            0
        ) +
        IFERROR(
            VLOOKUP($A69, INDIRECT("MarR!$A$6:$ZZ$1048576"), MATCH(X$1, MarR!$6:$6, 0), FALSE),
            0
        ) +
        IFERROR(
            VLOOKUP($A69, INDIRECT("AbrR!$A$6:$ZZ$1048576"), MATCH(X$1, AbrR!$6:$6, 0), FALSE),
            0
        ) +
        IFERROR(
            VLOOKUP($A69, INDIRECT("MayR!$A$6:$ZZ$1048576"), MATCH(X$1, MayR!$6:$6, 0), FALSE),
            0
        ) +
        IFERROR(
            VLOOKUP($A69, INDIRECT("JunR!$A$6:$ZZ$1048576"), MATCH(X$1, JunR!$6:$6, 0), FALSE),
            0
        ) +
        IFERROR(
            VLOOKUP($A69, INDIRECT("JulR!$A$6:$ZZ$1048576"), MATCH(X$1, JulR!$6:$6, 0), FALSE),
            0
        ) +
        IFERROR(
            VLOOKUP($A69, INDIRECT("AgoR!$A$6:$ZZ$1048576"), MATCH(X$1, AgoR!$6:$6, 0), FALSE),
            0
        ) +
        IFERROR(
            VLOOKUP($A69, INDIRECT("SepR!$A$6:$ZZ$1048576"), MATCH(X$1, SepR!$6:$6, 0), FALSE),
            0
        ) +
        IFERROR(
            VLOOKUP($A69, INDIRECT("OctR!$A$6:$ZZ$1048576"), MATCH(X$1, OctR!$6:$6, 0), FALSE),
            0
        ) +
        IFERROR(
            VLOOKUP($A69, INDIRECT("NovR!$A$6:$ZZ$1048576"), MATCH(X$1, NovR!$6:$6, 0), FALSE),
            0
        ) +
        IFERROR(
            VLOOKUP($A69, INDIRECT("DicR!$A$6:$ZZ$1048576"), MATCH(X$1, DicR!$6:$6, 0), FALSE),
            0
        )
)</f>
        <v>0</v>
      </c>
      <c r="Y69" s="37">
        <f t="array" ref="Y69">SUM(
    IFERROR(
            VLOOKUP($A69, INDIRECT("EneR!$A$6:$ZZ$1048576"), MATCH(Y$1, EneR!$6:$6, 0), FALSE),
            0
        ) +
        IFERROR(
            VLOOKUP($A69, INDIRECT("FebR!$A$6:$ZZ$1048576"), MATCH(Y$1, FebR!$6:$6, 0), FALSE),
            0
        ) +
        IFERROR(
            VLOOKUP($A69, INDIRECT("MarR!$A$6:$ZZ$1048576"), MATCH(Y$1, MarR!$6:$6, 0), FALSE),
            0
        ) +
        IFERROR(
            VLOOKUP($A69, INDIRECT("AbrR!$A$6:$ZZ$1048576"), MATCH(Y$1, AbrR!$6:$6, 0), FALSE),
            0
        ) +
        IFERROR(
            VLOOKUP($A69, INDIRECT("MayR!$A$6:$ZZ$1048576"), MATCH(Y$1, MayR!$6:$6, 0), FALSE),
            0
        ) +
        IFERROR(
            VLOOKUP($A69, INDIRECT("JunR!$A$6:$ZZ$1048576"), MATCH(Y$1, JunR!$6:$6, 0), FALSE),
            0
        ) +
        IFERROR(
            VLOOKUP($A69, INDIRECT("JulR!$A$6:$ZZ$1048576"), MATCH(Y$1, JulR!$6:$6, 0), FALSE),
            0
        ) +
        IFERROR(
            VLOOKUP($A69, INDIRECT("AgoR!$A$6:$ZZ$1048576"), MATCH(Y$1, AgoR!$6:$6, 0), FALSE),
            0
        ) +
        IFERROR(
            VLOOKUP($A69, INDIRECT("SepR!$A$6:$ZZ$1048576"), MATCH(Y$1, SepR!$6:$6, 0), FALSE),
            0
        ) +
        IFERROR(
            VLOOKUP($A69, INDIRECT("OctR!$A$6:$ZZ$1048576"), MATCH(Y$1, OctR!$6:$6, 0), FALSE),
            0
        ) +
        IFERROR(
            VLOOKUP($A69, INDIRECT("NovR!$A$6:$ZZ$1048576"), MATCH(Y$1, NovR!$6:$6, 0), FALSE),
            0
        ) +
        IFERROR(
            VLOOKUP($A69, INDIRECT("DicR!$A$6:$ZZ$1048576"), MATCH(Y$1, DicR!$6:$6, 0), FALSE),
            0
        )
)</f>
        <v>0</v>
      </c>
      <c r="Z69" s="36">
        <f t="array" ref="Z69">SUM(
    IFERROR(
            VLOOKUP($A69, INDIRECT("EneR!$A$6:$ZZ$1048576"), MATCH(Z$1, EneR!$6:$6, 0), FALSE),
            0
        ) +
        IFERROR(
            VLOOKUP($A69, INDIRECT("FebR!$A$6:$ZZ$1048576"), MATCH(Z$1, FebR!$6:$6, 0), FALSE),
            0
        ) +
        IFERROR(
            VLOOKUP($A69, INDIRECT("MarR!$A$6:$ZZ$1048576"), MATCH(Z$1, MarR!$6:$6, 0), FALSE),
            0
        ) +
        IFERROR(
            VLOOKUP($A69, INDIRECT("AbrR!$A$6:$ZZ$1048576"), MATCH(Z$1, AbrR!$6:$6, 0), FALSE),
            0
        ) +
        IFERROR(
            VLOOKUP($A69, INDIRECT("MayR!$A$6:$ZZ$1048576"), MATCH(Z$1, MayR!$6:$6, 0), FALSE),
            0
        ) +
        IFERROR(
            VLOOKUP($A69, INDIRECT("JunR!$A$6:$ZZ$1048576"), MATCH(Z$1, JunR!$6:$6, 0), FALSE),
            0
        ) +
        IFERROR(
            VLOOKUP($A69, INDIRECT("JulR!$A$6:$ZZ$1048576"), MATCH(Z$1, JulR!$6:$6, 0), FALSE),
            0
        ) +
        IFERROR(
            VLOOKUP($A69, INDIRECT("AgoR!$A$6:$ZZ$1048576"), MATCH(Z$1, AgoR!$6:$6, 0), FALSE),
            0
        ) +
        IFERROR(
            VLOOKUP($A69, INDIRECT("SepR!$A$6:$ZZ$1048576"), MATCH(Z$1, SepR!$6:$6, 0), FALSE),
            0
        ) +
        IFERROR(
            VLOOKUP($A69, INDIRECT("OctR!$A$6:$ZZ$1048576"), MATCH(Z$1, OctR!$6:$6, 0), FALSE),
            0
        ) +
        IFERROR(
            VLOOKUP($A69, INDIRECT("NovR!$A$6:$ZZ$1048576"), MATCH(Z$1, NovR!$6:$6, 0), FALSE),
            0
        ) +
        IFERROR(
            VLOOKUP($A69, INDIRECT("DicR!$A$6:$ZZ$1048576"), MATCH(Z$1, DicR!$6:$6, 0), FALSE),
            0
        )
)</f>
        <v>0</v>
      </c>
      <c r="AA69" s="37">
        <f t="array" ref="AA69">SUM(
    IFERROR(
            VLOOKUP($A69, INDIRECT("EneR!$A$6:$ZZ$1048576"), MATCH(AA$1, EneR!$6:$6, 0), FALSE),
            0
        ) +
        IFERROR(
            VLOOKUP($A69, INDIRECT("FebR!$A$6:$ZZ$1048576"), MATCH(AA$1, FebR!$6:$6, 0), FALSE),
            0
        ) +
        IFERROR(
            VLOOKUP($A69, INDIRECT("MarR!$A$6:$ZZ$1048576"), MATCH(AA$1, MarR!$6:$6, 0), FALSE),
            0
        ) +
        IFERROR(
            VLOOKUP($A69, INDIRECT("AbrR!$A$6:$ZZ$1048576"), MATCH(AA$1, AbrR!$6:$6, 0), FALSE),
            0
        ) +
        IFERROR(
            VLOOKUP($A69, INDIRECT("MayR!$A$6:$ZZ$1048576"), MATCH(AA$1, MayR!$6:$6, 0), FALSE),
            0
        ) +
        IFERROR(
            VLOOKUP($A69, INDIRECT("JunR!$A$6:$ZZ$1048576"), MATCH(AA$1, JunR!$6:$6, 0), FALSE),
            0
        ) +
        IFERROR(
            VLOOKUP($A69, INDIRECT("JulR!$A$6:$ZZ$1048576"), MATCH(AA$1, JulR!$6:$6, 0), FALSE),
            0
        ) +
        IFERROR(
            VLOOKUP($A69, INDIRECT("AgoR!$A$6:$ZZ$1048576"), MATCH(AA$1, AgoR!$6:$6, 0), FALSE),
            0
        ) +
        IFERROR(
            VLOOKUP($A69, INDIRECT("SepR!$A$6:$ZZ$1048576"), MATCH(AA$1, SepR!$6:$6, 0), FALSE),
            0
        ) +
        IFERROR(
            VLOOKUP($A69, INDIRECT("OctR!$A$6:$ZZ$1048576"), MATCH(AA$1, OctR!$6:$6, 0), FALSE),
            0
        ) +
        IFERROR(
            VLOOKUP($A69, INDIRECT("NovR!$A$6:$ZZ$1048576"), MATCH(AA$1, NovR!$6:$6, 0), FALSE),
            0
        ) +
        IFERROR(
            VLOOKUP($A69, INDIRECT("DicR!$A$6:$ZZ$1048576"), MATCH(AA$1, DicR!$6:$6, 0), FALSE),
            0
        )
)</f>
        <v>0</v>
      </c>
      <c r="AB69" s="36">
        <f t="array" ref="AB69">SUM(
    IFERROR(
            VLOOKUP($A69, INDIRECT("EneR!$A$6:$ZZ$1048576"), MATCH(AB$1, EneR!$6:$6, 0), FALSE),
            0
        ) +
        IFERROR(
            VLOOKUP($A69, INDIRECT("FebR!$A$6:$ZZ$1048576"), MATCH(AB$1, FebR!$6:$6, 0), FALSE),
            0
        ) +
        IFERROR(
            VLOOKUP($A69, INDIRECT("MarR!$A$6:$ZZ$1048576"), MATCH(AB$1, MarR!$6:$6, 0), FALSE),
            0
        ) +
        IFERROR(
            VLOOKUP($A69, INDIRECT("AbrR!$A$6:$ZZ$1048576"), MATCH(AB$1, AbrR!$6:$6, 0), FALSE),
            0
        ) +
        IFERROR(
            VLOOKUP($A69, INDIRECT("MayR!$A$6:$ZZ$1048576"), MATCH(AB$1, MayR!$6:$6, 0), FALSE),
            0
        ) +
        IFERROR(
            VLOOKUP($A69, INDIRECT("JunR!$A$6:$ZZ$1048576"), MATCH(AB$1, JunR!$6:$6, 0), FALSE),
            0
        ) +
        IFERROR(
            VLOOKUP($A69, INDIRECT("JulR!$A$6:$ZZ$1048576"), MATCH(AB$1, JulR!$6:$6, 0), FALSE),
            0
        ) +
        IFERROR(
            VLOOKUP($A69, INDIRECT("AgoR!$A$6:$ZZ$1048576"), MATCH(AB$1, AgoR!$6:$6, 0), FALSE),
            0
        ) +
        IFERROR(
            VLOOKUP($A69, INDIRECT("SepR!$A$6:$ZZ$1048576"), MATCH(AB$1, SepR!$6:$6, 0), FALSE),
            0
        ) +
        IFERROR(
            VLOOKUP($A69, INDIRECT("OctR!$A$6:$ZZ$1048576"), MATCH(AB$1, OctR!$6:$6, 0), FALSE),
            0
        ) +
        IFERROR(
            VLOOKUP($A69, INDIRECT("NovR!$A$6:$ZZ$1048576"), MATCH(AB$1, NovR!$6:$6, 0), FALSE),
            0
        ) +
        IFERROR(
            VLOOKUP($A69, INDIRECT("DicR!$A$6:$ZZ$1048576"), MATCH(AB$1, DicR!$6:$6, 0), FALSE),
            0
        )
)</f>
        <v>0</v>
      </c>
      <c r="AC69" s="37">
        <f t="array" ref="AC69">SUM(
    IFERROR(
            VLOOKUP($A69, INDIRECT("EneR!$A$6:$ZZ$1048576"), MATCH(AC$1, EneR!$6:$6, 0), FALSE),
            0
        ) +
        IFERROR(
            VLOOKUP($A69, INDIRECT("FebR!$A$6:$ZZ$1048576"), MATCH(AC$1, FebR!$6:$6, 0), FALSE),
            0
        ) +
        IFERROR(
            VLOOKUP($A69, INDIRECT("MarR!$A$6:$ZZ$1048576"), MATCH(AC$1, MarR!$6:$6, 0), FALSE),
            0
        ) +
        IFERROR(
            VLOOKUP($A69, INDIRECT("AbrR!$A$6:$ZZ$1048576"), MATCH(AC$1, AbrR!$6:$6, 0), FALSE),
            0
        ) +
        IFERROR(
            VLOOKUP($A69, INDIRECT("MayR!$A$6:$ZZ$1048576"), MATCH(AC$1, MayR!$6:$6, 0), FALSE),
            0
        ) +
        IFERROR(
            VLOOKUP($A69, INDIRECT("JunR!$A$6:$ZZ$1048576"), MATCH(AC$1, JunR!$6:$6, 0), FALSE),
            0
        ) +
        IFERROR(
            VLOOKUP($A69, INDIRECT("JulR!$A$6:$ZZ$1048576"), MATCH(AC$1, JulR!$6:$6, 0), FALSE),
            0
        ) +
        IFERROR(
            VLOOKUP($A69, INDIRECT("AgoR!$A$6:$ZZ$1048576"), MATCH(AC$1, AgoR!$6:$6, 0), FALSE),
            0
        ) +
        IFERROR(
            VLOOKUP($A69, INDIRECT("SepR!$A$6:$ZZ$1048576"), MATCH(AC$1, SepR!$6:$6, 0), FALSE),
            0
        ) +
        IFERROR(
            VLOOKUP($A69, INDIRECT("OctR!$A$6:$ZZ$1048576"), MATCH(AC$1, OctR!$6:$6, 0), FALSE),
            0
        ) +
        IFERROR(
            VLOOKUP($A69, INDIRECT("NovR!$A$6:$ZZ$1048576"), MATCH(AC$1, NovR!$6:$6, 0), FALSE),
            0
        ) +
        IFERROR(
            VLOOKUP($A69, INDIRECT("DicR!$A$6:$ZZ$1048576"), MATCH(AC$1, DicR!$6:$6, 0), FALSE),
            0
        )
)</f>
        <v>0</v>
      </c>
      <c r="AD69" s="36">
        <f t="array" ref="AD69">SUM(
    IFERROR(
            VLOOKUP($A69, INDIRECT("EneR!$A$6:$ZZ$1048576"), MATCH(AD$1, EneR!$6:$6, 0), FALSE),
            0
        ) +
        IFERROR(
            VLOOKUP($A69, INDIRECT("FebR!$A$6:$ZZ$1048576"), MATCH(AD$1, FebR!$6:$6, 0), FALSE),
            0
        ) +
        IFERROR(
            VLOOKUP($A69, INDIRECT("MarR!$A$6:$ZZ$1048576"), MATCH(AD$1, MarR!$6:$6, 0), FALSE),
            0
        ) +
        IFERROR(
            VLOOKUP($A69, INDIRECT("AbrR!$A$6:$ZZ$1048576"), MATCH(AD$1, AbrR!$6:$6, 0), FALSE),
            0
        ) +
        IFERROR(
            VLOOKUP($A69, INDIRECT("MayR!$A$6:$ZZ$1048576"), MATCH(AD$1, MayR!$6:$6, 0), FALSE),
            0
        ) +
        IFERROR(
            VLOOKUP($A69, INDIRECT("JunR!$A$6:$ZZ$1048576"), MATCH(AD$1, JunR!$6:$6, 0), FALSE),
            0
        ) +
        IFERROR(
            VLOOKUP($A69, INDIRECT("JulR!$A$6:$ZZ$1048576"), MATCH(AD$1, JulR!$6:$6, 0), FALSE),
            0
        ) +
        IFERROR(
            VLOOKUP($A69, INDIRECT("AgoR!$A$6:$ZZ$1048576"), MATCH(AD$1, AgoR!$6:$6, 0), FALSE),
            0
        ) +
        IFERROR(
            VLOOKUP($A69, INDIRECT("SepR!$A$6:$ZZ$1048576"), MATCH(AD$1, SepR!$6:$6, 0), FALSE),
            0
        ) +
        IFERROR(
            VLOOKUP($A69, INDIRECT("OctR!$A$6:$ZZ$1048576"), MATCH(AD$1, OctR!$6:$6, 0), FALSE),
            0
        ) +
        IFERROR(
            VLOOKUP($A69, INDIRECT("NovR!$A$6:$ZZ$1048576"), MATCH(AD$1, NovR!$6:$6, 0), FALSE),
            0
        ) +
        IFERROR(
            VLOOKUP($A69, INDIRECT("DicR!$A$6:$ZZ$1048576"), MATCH(AD$1, DicR!$6:$6, 0), FALSE),
            0
        )
)</f>
        <v>0</v>
      </c>
      <c r="AE69" s="37">
        <f t="array" ref="AE69">SUM(
    IFERROR(
            VLOOKUP($A69, INDIRECT("EneR!$A$6:$ZZ$1048576"), MATCH(AE$1, EneR!$6:$6, 0), FALSE),
            0
        ) +
        IFERROR(
            VLOOKUP($A69, INDIRECT("FebR!$A$6:$ZZ$1048576"), MATCH(AE$1, FebR!$6:$6, 0), FALSE),
            0
        ) +
        IFERROR(
            VLOOKUP($A69, INDIRECT("MarR!$A$6:$ZZ$1048576"), MATCH(AE$1, MarR!$6:$6, 0), FALSE),
            0
        ) +
        IFERROR(
            VLOOKUP($A69, INDIRECT("AbrR!$A$6:$ZZ$1048576"), MATCH(AE$1, AbrR!$6:$6, 0), FALSE),
            0
        ) +
        IFERROR(
            VLOOKUP($A69, INDIRECT("MayR!$A$6:$ZZ$1048576"), MATCH(AE$1, MayR!$6:$6, 0), FALSE),
            0
        ) +
        IFERROR(
            VLOOKUP($A69, INDIRECT("JunR!$A$6:$ZZ$1048576"), MATCH(AE$1, JunR!$6:$6, 0), FALSE),
            0
        ) +
        IFERROR(
            VLOOKUP($A69, INDIRECT("JulR!$A$6:$ZZ$1048576"), MATCH(AE$1, JulR!$6:$6, 0), FALSE),
            0
        ) +
        IFERROR(
            VLOOKUP($A69, INDIRECT("AgoR!$A$6:$ZZ$1048576"), MATCH(AE$1, AgoR!$6:$6, 0), FALSE),
            0
        ) +
        IFERROR(
            VLOOKUP($A69, INDIRECT("SepR!$A$6:$ZZ$1048576"), MATCH(AE$1, SepR!$6:$6, 0), FALSE),
            0
        ) +
        IFERROR(
            VLOOKUP($A69, INDIRECT("OctR!$A$6:$ZZ$1048576"), MATCH(AE$1, OctR!$6:$6, 0), FALSE),
            0
        ) +
        IFERROR(
            VLOOKUP($A69, INDIRECT("NovR!$A$6:$ZZ$1048576"), MATCH(AE$1, NovR!$6:$6, 0), FALSE),
            0
        ) +
        IFERROR(
            VLOOKUP($A69, INDIRECT("DicR!$A$6:$ZZ$1048576"), MATCH(AE$1, DicR!$6:$6, 0), FALSE),
            0
        )
)</f>
        <v>0</v>
      </c>
      <c r="AF69" s="36">
        <f t="array" ref="AF69">SUM(
    IFERROR(
            VLOOKUP($A69, INDIRECT("EneR!$A$6:$ZZ$1048576"), MATCH(AF$1, EneR!$6:$6, 0), FALSE),
            0
        ) +
        IFERROR(
            VLOOKUP($A69, INDIRECT("FebR!$A$6:$ZZ$1048576"), MATCH(AF$1, FebR!$6:$6, 0), FALSE),
            0
        ) +
        IFERROR(
            VLOOKUP($A69, INDIRECT("MarR!$A$6:$ZZ$1048576"), MATCH(AF$1, MarR!$6:$6, 0), FALSE),
            0
        ) +
        IFERROR(
            VLOOKUP($A69, INDIRECT("AbrR!$A$6:$ZZ$1048576"), MATCH(AF$1, AbrR!$6:$6, 0), FALSE),
            0
        ) +
        IFERROR(
            VLOOKUP($A69, INDIRECT("MayR!$A$6:$ZZ$1048576"), MATCH(AF$1, MayR!$6:$6, 0), FALSE),
            0
        ) +
        IFERROR(
            VLOOKUP($A69, INDIRECT("JunR!$A$6:$ZZ$1048576"), MATCH(AF$1, JunR!$6:$6, 0), FALSE),
            0
        ) +
        IFERROR(
            VLOOKUP($A69, INDIRECT("JulR!$A$6:$ZZ$1048576"), MATCH(AF$1, JulR!$6:$6, 0), FALSE),
            0
        ) +
        IFERROR(
            VLOOKUP($A69, INDIRECT("AgoR!$A$6:$ZZ$1048576"), MATCH(AF$1, AgoR!$6:$6, 0), FALSE),
            0
        ) +
        IFERROR(
            VLOOKUP($A69, INDIRECT("SepR!$A$6:$ZZ$1048576"), MATCH(AF$1, SepR!$6:$6, 0), FALSE),
            0
        ) +
        IFERROR(
            VLOOKUP($A69, INDIRECT("OctR!$A$6:$ZZ$1048576"), MATCH(AF$1, OctR!$6:$6, 0), FALSE),
            0
        ) +
        IFERROR(
            VLOOKUP($A69, INDIRECT("NovR!$A$6:$ZZ$1048576"), MATCH(AF$1, NovR!$6:$6, 0), FALSE),
            0
        ) +
        IFERROR(
            VLOOKUP($A69, INDIRECT("DicR!$A$6:$ZZ$1048576"), MATCH(AF$1, DicR!$6:$6, 0), FALSE),
            0
        )
)</f>
        <v>0</v>
      </c>
      <c r="AG69" s="37">
        <f t="array" ref="AG69">SUM(
    IFERROR(
            VLOOKUP($A69, INDIRECT("EneR!$A$6:$ZZ$1048576"), MATCH(AG$1, EneR!$6:$6, 0), FALSE),
            0
        ) +
        IFERROR(
            VLOOKUP($A69, INDIRECT("FebR!$A$6:$ZZ$1048576"), MATCH(AG$1, FebR!$6:$6, 0), FALSE),
            0
        ) +
        IFERROR(
            VLOOKUP($A69, INDIRECT("MarR!$A$6:$ZZ$1048576"), MATCH(AG$1, MarR!$6:$6, 0), FALSE),
            0
        ) +
        IFERROR(
            VLOOKUP($A69, INDIRECT("AbrR!$A$6:$ZZ$1048576"), MATCH(AG$1, AbrR!$6:$6, 0), FALSE),
            0
        ) +
        IFERROR(
            VLOOKUP($A69, INDIRECT("MayR!$A$6:$ZZ$1048576"), MATCH(AG$1, MayR!$6:$6, 0), FALSE),
            0
        ) +
        IFERROR(
            VLOOKUP($A69, INDIRECT("JunR!$A$6:$ZZ$1048576"), MATCH(AG$1, JunR!$6:$6, 0), FALSE),
            0
        ) +
        IFERROR(
            VLOOKUP($A69, INDIRECT("JulR!$A$6:$ZZ$1048576"), MATCH(AG$1, JulR!$6:$6, 0), FALSE),
            0
        ) +
        IFERROR(
            VLOOKUP($A69, INDIRECT("AgoR!$A$6:$ZZ$1048576"), MATCH(AG$1, AgoR!$6:$6, 0), FALSE),
            0
        ) +
        IFERROR(
            VLOOKUP($A69, INDIRECT("SepR!$A$6:$ZZ$1048576"), MATCH(AG$1, SepR!$6:$6, 0), FALSE),
            0
        ) +
        IFERROR(
            VLOOKUP($A69, INDIRECT("OctR!$A$6:$ZZ$1048576"), MATCH(AG$1, OctR!$6:$6, 0), FALSE),
            0
        ) +
        IFERROR(
            VLOOKUP($A69, INDIRECT("NovR!$A$6:$ZZ$1048576"), MATCH(AG$1, NovR!$6:$6, 0), FALSE),
            0
        ) +
        IFERROR(
            VLOOKUP($A69, INDIRECT("DicR!$A$6:$ZZ$1048576"), MATCH(AG$1, DicR!$6:$6, 0), FALSE),
            0
        )
)</f>
        <v>0</v>
      </c>
      <c r="AH69" s="36">
        <f t="array" ref="AH69">SUM(
    IFERROR(
            VLOOKUP($A69, INDIRECT("EneR!$A$6:$ZZ$1048576"), MATCH(AH$1, EneR!$6:$6, 0), FALSE),
            0
        ) +
        IFERROR(
            VLOOKUP($A69, INDIRECT("FebR!$A$6:$ZZ$1048576"), MATCH(AH$1, FebR!$6:$6, 0), FALSE),
            0
        ) +
        IFERROR(
            VLOOKUP($A69, INDIRECT("MarR!$A$6:$ZZ$1048576"), MATCH(AH$1, MarR!$6:$6, 0), FALSE),
            0
        ) +
        IFERROR(
            VLOOKUP($A69, INDIRECT("AbrR!$A$6:$ZZ$1048576"), MATCH(AH$1, AbrR!$6:$6, 0), FALSE),
            0
        ) +
        IFERROR(
            VLOOKUP($A69, INDIRECT("MayR!$A$6:$ZZ$1048576"), MATCH(AH$1, MayR!$6:$6, 0), FALSE),
            0
        ) +
        IFERROR(
            VLOOKUP($A69, INDIRECT("JunR!$A$6:$ZZ$1048576"), MATCH(AH$1, JunR!$6:$6, 0), FALSE),
            0
        ) +
        IFERROR(
            VLOOKUP($A69, INDIRECT("JulR!$A$6:$ZZ$1048576"), MATCH(AH$1, JulR!$6:$6, 0), FALSE),
            0
        ) +
        IFERROR(
            VLOOKUP($A69, INDIRECT("AgoR!$A$6:$ZZ$1048576"), MATCH(AH$1, AgoR!$6:$6, 0), FALSE),
            0
        ) +
        IFERROR(
            VLOOKUP($A69, INDIRECT("SepR!$A$6:$ZZ$1048576"), MATCH(AH$1, SepR!$6:$6, 0), FALSE),
            0
        ) +
        IFERROR(
            VLOOKUP($A69, INDIRECT("OctR!$A$6:$ZZ$1048576"), MATCH(AH$1, OctR!$6:$6, 0), FALSE),
            0
        ) +
        IFERROR(
            VLOOKUP($A69, INDIRECT("NovR!$A$6:$ZZ$1048576"), MATCH(AH$1, NovR!$6:$6, 0), FALSE),
            0
        ) +
        IFERROR(
            VLOOKUP($A69, INDIRECT("DicR!$A$6:$ZZ$1048576"), MATCH(AH$1, DicR!$6:$6, 0), FALSE),
            0
        )
)</f>
        <v>0</v>
      </c>
      <c r="AI69" s="37">
        <f t="array" ref="AI69">SUM(
    IFERROR(
            VLOOKUP($A69, INDIRECT("EneR!$A$6:$ZZ$1048576"), MATCH(AI$1, EneR!$6:$6, 0), FALSE),
            0
        ) +
        IFERROR(
            VLOOKUP($A69, INDIRECT("FebR!$A$6:$ZZ$1048576"), MATCH(AI$1, FebR!$6:$6, 0), FALSE),
            0
        ) +
        IFERROR(
            VLOOKUP($A69, INDIRECT("MarR!$A$6:$ZZ$1048576"), MATCH(AI$1, MarR!$6:$6, 0), FALSE),
            0
        ) +
        IFERROR(
            VLOOKUP($A69, INDIRECT("AbrR!$A$6:$ZZ$1048576"), MATCH(AI$1, AbrR!$6:$6, 0), FALSE),
            0
        ) +
        IFERROR(
            VLOOKUP($A69, INDIRECT("MayR!$A$6:$ZZ$1048576"), MATCH(AI$1, MayR!$6:$6, 0), FALSE),
            0
        ) +
        IFERROR(
            VLOOKUP($A69, INDIRECT("JunR!$A$6:$ZZ$1048576"), MATCH(AI$1, JunR!$6:$6, 0), FALSE),
            0
        ) +
        IFERROR(
            VLOOKUP($A69, INDIRECT("JulR!$A$6:$ZZ$1048576"), MATCH(AI$1, JulR!$6:$6, 0), FALSE),
            0
        ) +
        IFERROR(
            VLOOKUP($A69, INDIRECT("AgoR!$A$6:$ZZ$1048576"), MATCH(AI$1, AgoR!$6:$6, 0), FALSE),
            0
        ) +
        IFERROR(
            VLOOKUP($A69, INDIRECT("SepR!$A$6:$ZZ$1048576"), MATCH(AI$1, SepR!$6:$6, 0), FALSE),
            0
        ) +
        IFERROR(
            VLOOKUP($A69, INDIRECT("OctR!$A$6:$ZZ$1048576"), MATCH(AI$1, OctR!$6:$6, 0), FALSE),
            0
        ) +
        IFERROR(
            VLOOKUP($A69, INDIRECT("NovR!$A$6:$ZZ$1048576"), MATCH(AI$1, NovR!$6:$6, 0), FALSE),
            0
        ) +
        IFERROR(
            VLOOKUP($A69, INDIRECT("DicR!$A$6:$ZZ$1048576"), MATCH(AI$1, DicR!$6:$6, 0), FALSE),
            0
        )
)</f>
        <v>0</v>
      </c>
      <c r="AJ69" s="36">
        <f t="array" ref="AJ69">SUM(
    IFERROR(
            VLOOKUP($A69, INDIRECT("EneR!$A$6:$ZZ$1048576"), MATCH(AJ$1, EneR!$6:$6, 0), FALSE),
            0
        ) +
        IFERROR(
            VLOOKUP($A69, INDIRECT("FebR!$A$6:$ZZ$1048576"), MATCH(AJ$1, FebR!$6:$6, 0), FALSE),
            0
        ) +
        IFERROR(
            VLOOKUP($A69, INDIRECT("MarR!$A$6:$ZZ$1048576"), MATCH(AJ$1, MarR!$6:$6, 0), FALSE),
            0
        ) +
        IFERROR(
            VLOOKUP($A69, INDIRECT("AbrR!$A$6:$ZZ$1048576"), MATCH(AJ$1, AbrR!$6:$6, 0), FALSE),
            0
        ) +
        IFERROR(
            VLOOKUP($A69, INDIRECT("MayR!$A$6:$ZZ$1048576"), MATCH(AJ$1, MayR!$6:$6, 0), FALSE),
            0
        ) +
        IFERROR(
            VLOOKUP($A69, INDIRECT("JunR!$A$6:$ZZ$1048576"), MATCH(AJ$1, JunR!$6:$6, 0), FALSE),
            0
        ) +
        IFERROR(
            VLOOKUP($A69, INDIRECT("JulR!$A$6:$ZZ$1048576"), MATCH(AJ$1, JulR!$6:$6, 0), FALSE),
            0
        ) +
        IFERROR(
            VLOOKUP($A69, INDIRECT("AgoR!$A$6:$ZZ$1048576"), MATCH(AJ$1, AgoR!$6:$6, 0), FALSE),
            0
        ) +
        IFERROR(
            VLOOKUP($A69, INDIRECT("SepR!$A$6:$ZZ$1048576"), MATCH(AJ$1, SepR!$6:$6, 0), FALSE),
            0
        ) +
        IFERROR(
            VLOOKUP($A69, INDIRECT("OctR!$A$6:$ZZ$1048576"), MATCH(AJ$1, OctR!$6:$6, 0), FALSE),
            0
        ) +
        IFERROR(
            VLOOKUP($A69, INDIRECT("NovR!$A$6:$ZZ$1048576"), MATCH(AJ$1, NovR!$6:$6, 0), FALSE),
            0
        ) +
        IFERROR(
            VLOOKUP($A69, INDIRECT("DicR!$A$6:$ZZ$1048576"), MATCH(AJ$1, DicR!$6:$6, 0), FALSE),
            0
        )
)</f>
        <v>0</v>
      </c>
      <c r="AK69" s="37">
        <f t="array" ref="AK69">SUM(
    IFERROR(
            VLOOKUP($A69, INDIRECT("EneR!$A$6:$ZZ$1048576"), MATCH(AK$1, EneR!$6:$6, 0), FALSE),
            0
        ) +
        IFERROR(
            VLOOKUP($A69, INDIRECT("FebR!$A$6:$ZZ$1048576"), MATCH(AK$1, FebR!$6:$6, 0), FALSE),
            0
        ) +
        IFERROR(
            VLOOKUP($A69, INDIRECT("MarR!$A$6:$ZZ$1048576"), MATCH(AK$1, MarR!$6:$6, 0), FALSE),
            0
        ) +
        IFERROR(
            VLOOKUP($A69, INDIRECT("AbrR!$A$6:$ZZ$1048576"), MATCH(AK$1, AbrR!$6:$6, 0), FALSE),
            0
        ) +
        IFERROR(
            VLOOKUP($A69, INDIRECT("MayR!$A$6:$ZZ$1048576"), MATCH(AK$1, MayR!$6:$6, 0), FALSE),
            0
        ) +
        IFERROR(
            VLOOKUP($A69, INDIRECT("JunR!$A$6:$ZZ$1048576"), MATCH(AK$1, JunR!$6:$6, 0), FALSE),
            0
        ) +
        IFERROR(
            VLOOKUP($A69, INDIRECT("JulR!$A$6:$ZZ$1048576"), MATCH(AK$1, JulR!$6:$6, 0), FALSE),
            0
        ) +
        IFERROR(
            VLOOKUP($A69, INDIRECT("AgoR!$A$6:$ZZ$1048576"), MATCH(AK$1, AgoR!$6:$6, 0), FALSE),
            0
        ) +
        IFERROR(
            VLOOKUP($A69, INDIRECT("SepR!$A$6:$ZZ$1048576"), MATCH(AK$1, SepR!$6:$6, 0), FALSE),
            0
        ) +
        IFERROR(
            VLOOKUP($A69, INDIRECT("OctR!$A$6:$ZZ$1048576"), MATCH(AK$1, OctR!$6:$6, 0), FALSE),
            0
        ) +
        IFERROR(
            VLOOKUP($A69, INDIRECT("NovR!$A$6:$ZZ$1048576"), MATCH(AK$1, NovR!$6:$6, 0), FALSE),
            0
        ) +
        IFERROR(
            VLOOKUP($A69, INDIRECT("DicR!$A$6:$ZZ$1048576"), MATCH(AK$1, DicR!$6:$6, 0), FALSE),
            0
        )
)</f>
        <v>0</v>
      </c>
      <c r="AL69" s="36">
        <f t="array" ref="AL69">SUM(
    IFERROR(
            VLOOKUP($A69, INDIRECT("EneR!$A$6:$ZZ$1048576"), MATCH(AL$1, EneR!$6:$6, 0), FALSE),
            0
        ) +
        IFERROR(
            VLOOKUP($A69, INDIRECT("FebR!$A$6:$ZZ$1048576"), MATCH(AL$1, FebR!$6:$6, 0), FALSE),
            0
        ) +
        IFERROR(
            VLOOKUP($A69, INDIRECT("MarR!$A$6:$ZZ$1048576"), MATCH(AL$1, MarR!$6:$6, 0), FALSE),
            0
        ) +
        IFERROR(
            VLOOKUP($A69, INDIRECT("AbrR!$A$6:$ZZ$1048576"), MATCH(AL$1, AbrR!$6:$6, 0), FALSE),
            0
        ) +
        IFERROR(
            VLOOKUP($A69, INDIRECT("MayR!$A$6:$ZZ$1048576"), MATCH(AL$1, MayR!$6:$6, 0), FALSE),
            0
        ) +
        IFERROR(
            VLOOKUP($A69, INDIRECT("JunR!$A$6:$ZZ$1048576"), MATCH(AL$1, JunR!$6:$6, 0), FALSE),
            0
        ) +
        IFERROR(
            VLOOKUP($A69, INDIRECT("JulR!$A$6:$ZZ$1048576"), MATCH(AL$1, JulR!$6:$6, 0), FALSE),
            0
        ) +
        IFERROR(
            VLOOKUP($A69, INDIRECT("AgoR!$A$6:$ZZ$1048576"), MATCH(AL$1, AgoR!$6:$6, 0), FALSE),
            0
        ) +
        IFERROR(
            VLOOKUP($A69, INDIRECT("SepR!$A$6:$ZZ$1048576"), MATCH(AL$1, SepR!$6:$6, 0), FALSE),
            0
        ) +
        IFERROR(
            VLOOKUP($A69, INDIRECT("OctR!$A$6:$ZZ$1048576"), MATCH(AL$1, OctR!$6:$6, 0), FALSE),
            0
        ) +
        IFERROR(
            VLOOKUP($A69, INDIRECT("NovR!$A$6:$ZZ$1048576"), MATCH(AL$1, NovR!$6:$6, 0), FALSE),
            0
        ) +
        IFERROR(
            VLOOKUP($A69, INDIRECT("DicR!$A$6:$ZZ$1048576"), MATCH(AL$1, DicR!$6:$6, 0), FALSE),
            0
        )
)</f>
        <v>0</v>
      </c>
      <c r="AM69" s="37">
        <f t="array" ref="AM69">SUM(
    IFERROR(
            VLOOKUP($A69, INDIRECT("EneR!$A$6:$ZZ$1048576"), MATCH(AM$1, EneR!$6:$6, 0), FALSE),
            0
        ) +
        IFERROR(
            VLOOKUP($A69, INDIRECT("FebR!$A$6:$ZZ$1048576"), MATCH(AM$1, FebR!$6:$6, 0), FALSE),
            0
        ) +
        IFERROR(
            VLOOKUP($A69, INDIRECT("MarR!$A$6:$ZZ$1048576"), MATCH(AM$1, MarR!$6:$6, 0), FALSE),
            0
        ) +
        IFERROR(
            VLOOKUP($A69, INDIRECT("AbrR!$A$6:$ZZ$1048576"), MATCH(AM$1, AbrR!$6:$6, 0), FALSE),
            0
        ) +
        IFERROR(
            VLOOKUP($A69, INDIRECT("MayR!$A$6:$ZZ$1048576"), MATCH(AM$1, MayR!$6:$6, 0), FALSE),
            0
        ) +
        IFERROR(
            VLOOKUP($A69, INDIRECT("JunR!$A$6:$ZZ$1048576"), MATCH(AM$1, JunR!$6:$6, 0), FALSE),
            0
        ) +
        IFERROR(
            VLOOKUP($A69, INDIRECT("JulR!$A$6:$ZZ$1048576"), MATCH(AM$1, JulR!$6:$6, 0), FALSE),
            0
        ) +
        IFERROR(
            VLOOKUP($A69, INDIRECT("AgoR!$A$6:$ZZ$1048576"), MATCH(AM$1, AgoR!$6:$6, 0), FALSE),
            0
        ) +
        IFERROR(
            VLOOKUP($A69, INDIRECT("SepR!$A$6:$ZZ$1048576"), MATCH(AM$1, SepR!$6:$6, 0), FALSE),
            0
        ) +
        IFERROR(
            VLOOKUP($A69, INDIRECT("OctR!$A$6:$ZZ$1048576"), MATCH(AM$1, OctR!$6:$6, 0), FALSE),
            0
        ) +
        IFERROR(
            VLOOKUP($A69, INDIRECT("NovR!$A$6:$ZZ$1048576"), MATCH(AM$1, NovR!$6:$6, 0), FALSE),
            0
        ) +
        IFERROR(
            VLOOKUP($A69, INDIRECT("DicR!$A$6:$ZZ$1048576"), MATCH(AM$1, DicR!$6:$6, 0), FALSE),
            0
        )
)</f>
        <v>0</v>
      </c>
      <c r="AN69" s="32">
        <f t="array" ref="AN69">SUM(
    IFERROR(
            VLOOKUP($A69, INDIRECT("EneR!$A$6:$ZZ$1048576"), MATCH(AN$1, EneR!$6:$6, 0), FALSE),
            0
        ) +
        IFERROR(
            VLOOKUP($A69, INDIRECT("FebR!$A$6:$ZZ$1048576"), MATCH(AN$1, FebR!$6:$6, 0), FALSE),
            0
        ) +
        IFERROR(
            VLOOKUP($A69, INDIRECT("MarR!$A$6:$ZZ$1048576"), MATCH(AN$1, MarR!$6:$6, 0), FALSE),
            0
        ) +
        IFERROR(
            VLOOKUP($A69, INDIRECT("AbrR!$A$6:$ZZ$1048576"), MATCH(AN$1, AbrR!$6:$6, 0), FALSE),
            0
        ) +
        IFERROR(
            VLOOKUP($A69, INDIRECT("MayR!$A$6:$ZZ$1048576"), MATCH(AN$1, MayR!$6:$6, 0), FALSE),
            0
        ) +
        IFERROR(
            VLOOKUP($A69, INDIRECT("JunR!$A$6:$ZZ$1048576"), MATCH(AN$1, JunR!$6:$6, 0), FALSE),
            0
        ) +
        IFERROR(
            VLOOKUP($A69, INDIRECT("JulR!$A$6:$ZZ$1048576"), MATCH(AN$1, JulR!$6:$6, 0), FALSE),
            0
        ) +
        IFERROR(
            VLOOKUP($A69, INDIRECT("AgoR!$A$6:$ZZ$1048576"), MATCH(AN$1, AgoR!$6:$6, 0), FALSE),
            0
        ) +
        IFERROR(
            VLOOKUP($A69, INDIRECT("SepR!$A$6:$ZZ$1048576"), MATCH(AN$1, SepR!$6:$6, 0), FALSE),
            0
        ) +
        IFERROR(
            VLOOKUP($A69, INDIRECT("OctR!$A$6:$ZZ$1048576"), MATCH(AN$1, OctR!$6:$6, 0), FALSE),
            0
        ) +
        IFERROR(
            VLOOKUP($A69, INDIRECT("NovR!$A$6:$ZZ$1048576"), MATCH(AN$1, NovR!$6:$6, 0), FALSE),
            0
        ) +
        IFERROR(
            VLOOKUP($A69, INDIRECT("DicR!$A$6:$ZZ$1048576"), MATCH(AN$1, DicR!$6:$6, 0), FALSE),
            0
        )
)</f>
        <v>0</v>
      </c>
      <c r="AO69" s="35">
        <f t="array" ref="AO69">SUM(
    IFERROR(
            VLOOKUP($A69, INDIRECT("EneR!$A$6:$ZZ$1048576"), MATCH(AO$1, EneR!$6:$6, 0), FALSE),
            0
        ) +
        IFERROR(
            VLOOKUP($A69, INDIRECT("FebR!$A$6:$ZZ$1048576"), MATCH(AO$1, FebR!$6:$6, 0), FALSE),
            0
        ) +
        IFERROR(
            VLOOKUP($A69, INDIRECT("MarR!$A$6:$ZZ$1048576"), MATCH(AO$1, MarR!$6:$6, 0), FALSE),
            0
        ) +
        IFERROR(
            VLOOKUP($A69, INDIRECT("AbrR!$A$6:$ZZ$1048576"), MATCH(AO$1, AbrR!$6:$6, 0), FALSE),
            0
        ) +
        IFERROR(
            VLOOKUP($A69, INDIRECT("MayR!$A$6:$ZZ$1048576"), MATCH(AO$1, MayR!$6:$6, 0), FALSE),
            0
        ) +
        IFERROR(
            VLOOKUP($A69, INDIRECT("JunR!$A$6:$ZZ$1048576"), MATCH(AO$1, JunR!$6:$6, 0), FALSE),
            0
        ) +
        IFERROR(
            VLOOKUP($A69, INDIRECT("JulR!$A$6:$ZZ$1048576"), MATCH(AO$1, JulR!$6:$6, 0), FALSE),
            0
        ) +
        IFERROR(
            VLOOKUP($A69, INDIRECT("AgoR!$A$6:$ZZ$1048576"), MATCH(AO$1, AgoR!$6:$6, 0), FALSE),
            0
        ) +
        IFERROR(
            VLOOKUP($A69, INDIRECT("SepR!$A$6:$ZZ$1048576"), MATCH(AO$1, SepR!$6:$6, 0), FALSE),
            0
        ) +
        IFERROR(
            VLOOKUP($A69, INDIRECT("OctR!$A$6:$ZZ$1048576"), MATCH(AO$1, OctR!$6:$6, 0), FALSE),
            0
        ) +
        IFERROR(
            VLOOKUP($A69, INDIRECT("NovR!$A$6:$ZZ$1048576"), MATCH(AO$1, NovR!$6:$6, 0), FALSE),
            0
        ) +
        IFERROR(
            VLOOKUP($A69, INDIRECT("DicR!$A$6:$ZZ$1048576"), MATCH(AO$1, DicR!$6:$6, 0), FALSE),
            0
        )
)</f>
        <v>0</v>
      </c>
      <c r="AP69" s="36">
        <f t="array" ref="AP69">SUM(
    IFERROR(
            VLOOKUP($A69, INDIRECT("EneR!$A$6:$ZZ$1048576"), MATCH(AP$1, EneR!$6:$6, 0), FALSE),
            0
        ) +
        IFERROR(
            VLOOKUP($A69, INDIRECT("FebR!$A$6:$ZZ$1048576"), MATCH(AP$1, FebR!$6:$6, 0), FALSE),
            0
        ) +
        IFERROR(
            VLOOKUP($A69, INDIRECT("MarR!$A$6:$ZZ$1048576"), MATCH(AP$1, MarR!$6:$6, 0), FALSE),
            0
        ) +
        IFERROR(
            VLOOKUP($A69, INDIRECT("AbrR!$A$6:$ZZ$1048576"), MATCH(AP$1, AbrR!$6:$6, 0), FALSE),
            0
        ) +
        IFERROR(
            VLOOKUP($A69, INDIRECT("MayR!$A$6:$ZZ$1048576"), MATCH(AP$1, MayR!$6:$6, 0), FALSE),
            0
        ) +
        IFERROR(
            VLOOKUP($A69, INDIRECT("JunR!$A$6:$ZZ$1048576"), MATCH(AP$1, JunR!$6:$6, 0), FALSE),
            0
        ) +
        IFERROR(
            VLOOKUP($A69, INDIRECT("JulR!$A$6:$ZZ$1048576"), MATCH(AP$1, JulR!$6:$6, 0), FALSE),
            0
        ) +
        IFERROR(
            VLOOKUP($A69, INDIRECT("AgoR!$A$6:$ZZ$1048576"), MATCH(AP$1, AgoR!$6:$6, 0), FALSE),
            0
        ) +
        IFERROR(
            VLOOKUP($A69, INDIRECT("SepR!$A$6:$ZZ$1048576"), MATCH(AP$1, SepR!$6:$6, 0), FALSE),
            0
        ) +
        IFERROR(
            VLOOKUP($A69, INDIRECT("OctR!$A$6:$ZZ$1048576"), MATCH(AP$1, OctR!$6:$6, 0), FALSE),
            0
        ) +
        IFERROR(
            VLOOKUP($A69, INDIRECT("NovR!$A$6:$ZZ$1048576"), MATCH(AP$1, NovR!$6:$6, 0), FALSE),
            0
        ) +
        IFERROR(
            VLOOKUP($A69, INDIRECT("DicR!$A$6:$ZZ$1048576"), MATCH(AP$1, DicR!$6:$6, 0), FALSE),
            0
        )
)</f>
        <v>0</v>
      </c>
      <c r="AQ69" s="35">
        <f t="array" ref="AQ69">SUM(
    IFERROR(
            VLOOKUP($A69, INDIRECT("EneR!$A$6:$ZZ$1048576"), MATCH(AQ$1, EneR!$6:$6, 0), FALSE),
            0
        ) +
        IFERROR(
            VLOOKUP($A69, INDIRECT("FebR!$A$6:$ZZ$1048576"), MATCH(AQ$1, FebR!$6:$6, 0), FALSE),
            0
        ) +
        IFERROR(
            VLOOKUP($A69, INDIRECT("MarR!$A$6:$ZZ$1048576"), MATCH(AQ$1, MarR!$6:$6, 0), FALSE),
            0
        ) +
        IFERROR(
            VLOOKUP($A69, INDIRECT("AbrR!$A$6:$ZZ$1048576"), MATCH(AQ$1, AbrR!$6:$6, 0), FALSE),
            0
        ) +
        IFERROR(
            VLOOKUP($A69, INDIRECT("MayR!$A$6:$ZZ$1048576"), MATCH(AQ$1, MayR!$6:$6, 0), FALSE),
            0
        ) +
        IFERROR(
            VLOOKUP($A69, INDIRECT("JunR!$A$6:$ZZ$1048576"), MATCH(AQ$1, JunR!$6:$6, 0), FALSE),
            0
        ) +
        IFERROR(
            VLOOKUP($A69, INDIRECT("JulR!$A$6:$ZZ$1048576"), MATCH(AQ$1, JulR!$6:$6, 0), FALSE),
            0
        ) +
        IFERROR(
            VLOOKUP($A69, INDIRECT("AgoR!$A$6:$ZZ$1048576"), MATCH(AQ$1, AgoR!$6:$6, 0), FALSE),
            0
        ) +
        IFERROR(
            VLOOKUP($A69, INDIRECT("SepR!$A$6:$ZZ$1048576"), MATCH(AQ$1, SepR!$6:$6, 0), FALSE),
            0
        ) +
        IFERROR(
            VLOOKUP($A69, INDIRECT("OctR!$A$6:$ZZ$1048576"), MATCH(AQ$1, OctR!$6:$6, 0), FALSE),
            0
        ) +
        IFERROR(
            VLOOKUP($A69, INDIRECT("NovR!$A$6:$ZZ$1048576"), MATCH(AQ$1, NovR!$6:$6, 0), FALSE),
            0
        ) +
        IFERROR(
            VLOOKUP($A69, INDIRECT("DicR!$A$6:$ZZ$1048576"), MATCH(AQ$1, DicR!$6:$6, 0), FALSE),
            0
        )
)</f>
        <v>0</v>
      </c>
      <c r="AR69" s="36">
        <f t="array" ref="AR69">SUM(
    IFERROR(
            VLOOKUP($A69, INDIRECT("EneR!$A$6:$ZZ$1048576"), MATCH(AR$1, EneR!$6:$6, 0), FALSE),
            0
        ) +
        IFERROR(
            VLOOKUP($A69, INDIRECT("FebR!$A$6:$ZZ$1048576"), MATCH(AR$1, FebR!$6:$6, 0), FALSE),
            0
        ) +
        IFERROR(
            VLOOKUP($A69, INDIRECT("MarR!$A$6:$ZZ$1048576"), MATCH(AR$1, MarR!$6:$6, 0), FALSE),
            0
        ) +
        IFERROR(
            VLOOKUP($A69, INDIRECT("AbrR!$A$6:$ZZ$1048576"), MATCH(AR$1, AbrR!$6:$6, 0), FALSE),
            0
        ) +
        IFERROR(
            VLOOKUP($A69, INDIRECT("MayR!$A$6:$ZZ$1048576"), MATCH(AR$1, MayR!$6:$6, 0), FALSE),
            0
        ) +
        IFERROR(
            VLOOKUP($A69, INDIRECT("JunR!$A$6:$ZZ$1048576"), MATCH(AR$1, JunR!$6:$6, 0), FALSE),
            0
        ) +
        IFERROR(
            VLOOKUP($A69, INDIRECT("JulR!$A$6:$ZZ$1048576"), MATCH(AR$1, JulR!$6:$6, 0), FALSE),
            0
        ) +
        IFERROR(
            VLOOKUP($A69, INDIRECT("AgoR!$A$6:$ZZ$1048576"), MATCH(AR$1, AgoR!$6:$6, 0), FALSE),
            0
        ) +
        IFERROR(
            VLOOKUP($A69, INDIRECT("SepR!$A$6:$ZZ$1048576"), MATCH(AR$1, SepR!$6:$6, 0), FALSE),
            0
        ) +
        IFERROR(
            VLOOKUP($A69, INDIRECT("OctR!$A$6:$ZZ$1048576"), MATCH(AR$1, OctR!$6:$6, 0), FALSE),
            0
        ) +
        IFERROR(
            VLOOKUP($A69, INDIRECT("NovR!$A$6:$ZZ$1048576"), MATCH(AR$1, NovR!$6:$6, 0), FALSE),
            0
        ) +
        IFERROR(
            VLOOKUP($A69, INDIRECT("DicR!$A$6:$ZZ$1048576"), MATCH(AR$1, DicR!$6:$6, 0), FALSE),
            0
        )
)</f>
        <v>0</v>
      </c>
      <c r="AS69" s="35">
        <f t="array" ref="AS69">SUM(
    IFERROR(
            VLOOKUP($A69, INDIRECT("EneR!$A$6:$ZZ$1048576"), MATCH(AS$1, EneR!$6:$6, 0), FALSE),
            0
        ) +
        IFERROR(
            VLOOKUP($A69, INDIRECT("FebR!$A$6:$ZZ$1048576"), MATCH(AS$1, FebR!$6:$6, 0), FALSE),
            0
        ) +
        IFERROR(
            VLOOKUP($A69, INDIRECT("MarR!$A$6:$ZZ$1048576"), MATCH(AS$1, MarR!$6:$6, 0), FALSE),
            0
        ) +
        IFERROR(
            VLOOKUP($A69, INDIRECT("AbrR!$A$6:$ZZ$1048576"), MATCH(AS$1, AbrR!$6:$6, 0), FALSE),
            0
        ) +
        IFERROR(
            VLOOKUP($A69, INDIRECT("MayR!$A$6:$ZZ$1048576"), MATCH(AS$1, MayR!$6:$6, 0), FALSE),
            0
        ) +
        IFERROR(
            VLOOKUP($A69, INDIRECT("JunR!$A$6:$ZZ$1048576"), MATCH(AS$1, JunR!$6:$6, 0), FALSE),
            0
        ) +
        IFERROR(
            VLOOKUP($A69, INDIRECT("JulR!$A$6:$ZZ$1048576"), MATCH(AS$1, JulR!$6:$6, 0), FALSE),
            0
        ) +
        IFERROR(
            VLOOKUP($A69, INDIRECT("AgoR!$A$6:$ZZ$1048576"), MATCH(AS$1, AgoR!$6:$6, 0), FALSE),
            0
        ) +
        IFERROR(
            VLOOKUP($A69, INDIRECT("SepR!$A$6:$ZZ$1048576"), MATCH(AS$1, SepR!$6:$6, 0), FALSE),
            0
        ) +
        IFERROR(
            VLOOKUP($A69, INDIRECT("OctR!$A$6:$ZZ$1048576"), MATCH(AS$1, OctR!$6:$6, 0), FALSE),
            0
        ) +
        IFERROR(
            VLOOKUP($A69, INDIRECT("NovR!$A$6:$ZZ$1048576"), MATCH(AS$1, NovR!$6:$6, 0), FALSE),
            0
        ) +
        IFERROR(
            VLOOKUP($A69, INDIRECT("DicR!$A$6:$ZZ$1048576"), MATCH(AS$1, DicR!$6:$6, 0), FALSE),
            0
        )
)</f>
        <v>0</v>
      </c>
      <c r="AT69" s="36">
        <f t="array" ref="AT69">SUM(
    IFERROR(
            VLOOKUP($A69, INDIRECT("EneR!$A$6:$ZZ$1048576"), MATCH(AT$1, EneR!$6:$6, 0), FALSE),
            0
        ) +
        IFERROR(
            VLOOKUP($A69, INDIRECT("FebR!$A$6:$ZZ$1048576"), MATCH(AT$1, FebR!$6:$6, 0), FALSE),
            0
        ) +
        IFERROR(
            VLOOKUP($A69, INDIRECT("MarR!$A$6:$ZZ$1048576"), MATCH(AT$1, MarR!$6:$6, 0), FALSE),
            0
        ) +
        IFERROR(
            VLOOKUP($A69, INDIRECT("AbrR!$A$6:$ZZ$1048576"), MATCH(AT$1, AbrR!$6:$6, 0), FALSE),
            0
        ) +
        IFERROR(
            VLOOKUP($A69, INDIRECT("MayR!$A$6:$ZZ$1048576"), MATCH(AT$1, MayR!$6:$6, 0), FALSE),
            0
        ) +
        IFERROR(
            VLOOKUP($A69, INDIRECT("JunR!$A$6:$ZZ$1048576"), MATCH(AT$1, JunR!$6:$6, 0), FALSE),
            0
        ) +
        IFERROR(
            VLOOKUP($A69, INDIRECT("JulR!$A$6:$ZZ$1048576"), MATCH(AT$1, JulR!$6:$6, 0), FALSE),
            0
        ) +
        IFERROR(
            VLOOKUP($A69, INDIRECT("AgoR!$A$6:$ZZ$1048576"), MATCH(AT$1, AgoR!$6:$6, 0), FALSE),
            0
        ) +
        IFERROR(
            VLOOKUP($A69, INDIRECT("SepR!$A$6:$ZZ$1048576"), MATCH(AT$1, SepR!$6:$6, 0), FALSE),
            0
        ) +
        IFERROR(
            VLOOKUP($A69, INDIRECT("OctR!$A$6:$ZZ$1048576"), MATCH(AT$1, OctR!$6:$6, 0), FALSE),
            0
        ) +
        IFERROR(
            VLOOKUP($A69, INDIRECT("NovR!$A$6:$ZZ$1048576"), MATCH(AT$1, NovR!$6:$6, 0), FALSE),
            0
        ) +
        IFERROR(
            VLOOKUP($A69, INDIRECT("DicR!$A$6:$ZZ$1048576"), MATCH(AT$1, DicR!$6:$6, 0), FALSE),
            0
        )
)</f>
        <v>0</v>
      </c>
      <c r="AU69" s="35">
        <f t="array" ref="AU69">SUM(
    IFERROR(
            VLOOKUP($A69, INDIRECT("EneR!$A$6:$ZZ$1048576"), MATCH(AU$1, EneR!$6:$6, 0), FALSE),
            0
        ) +
        IFERROR(
            VLOOKUP($A69, INDIRECT("FebR!$A$6:$ZZ$1048576"), MATCH(AU$1, FebR!$6:$6, 0), FALSE),
            0
        ) +
        IFERROR(
            VLOOKUP($A69, INDIRECT("MarR!$A$6:$ZZ$1048576"), MATCH(AU$1, MarR!$6:$6, 0), FALSE),
            0
        ) +
        IFERROR(
            VLOOKUP($A69, INDIRECT("AbrR!$A$6:$ZZ$1048576"), MATCH(AU$1, AbrR!$6:$6, 0), FALSE),
            0
        ) +
        IFERROR(
            VLOOKUP($A69, INDIRECT("MayR!$A$6:$ZZ$1048576"), MATCH(AU$1, MayR!$6:$6, 0), FALSE),
            0
        ) +
        IFERROR(
            VLOOKUP($A69, INDIRECT("JunR!$A$6:$ZZ$1048576"), MATCH(AU$1, JunR!$6:$6, 0), FALSE),
            0
        ) +
        IFERROR(
            VLOOKUP($A69, INDIRECT("JulR!$A$6:$ZZ$1048576"), MATCH(AU$1, JulR!$6:$6, 0), FALSE),
            0
        ) +
        IFERROR(
            VLOOKUP($A69, INDIRECT("AgoR!$A$6:$ZZ$1048576"), MATCH(AU$1, AgoR!$6:$6, 0), FALSE),
            0
        ) +
        IFERROR(
            VLOOKUP($A69, INDIRECT("SepR!$A$6:$ZZ$1048576"), MATCH(AU$1, SepR!$6:$6, 0), FALSE),
            0
        ) +
        IFERROR(
            VLOOKUP($A69, INDIRECT("OctR!$A$6:$ZZ$1048576"), MATCH(AU$1, OctR!$6:$6, 0), FALSE),
            0
        ) +
        IFERROR(
            VLOOKUP($A69, INDIRECT("NovR!$A$6:$ZZ$1048576"), MATCH(AU$1, NovR!$6:$6, 0), FALSE),
            0
        ) +
        IFERROR(
            VLOOKUP($A69, INDIRECT("DicR!$A$6:$ZZ$1048576"), MATCH(AU$1, DicR!$6:$6, 0), FALSE),
            0
        )
)</f>
        <v>0</v>
      </c>
      <c r="AV69" s="36">
        <f t="array" ref="AV69">SUM(
    IFERROR(
            VLOOKUP($A69, INDIRECT("EneR!$A$6:$ZZ$1048576"), MATCH(AV$1, EneR!$6:$6, 0), FALSE),
            0
        ) +
        IFERROR(
            VLOOKUP($A69, INDIRECT("FebR!$A$6:$ZZ$1048576"), MATCH(AV$1, FebR!$6:$6, 0), FALSE),
            0
        ) +
        IFERROR(
            VLOOKUP($A69, INDIRECT("MarR!$A$6:$ZZ$1048576"), MATCH(AV$1, MarR!$6:$6, 0), FALSE),
            0
        ) +
        IFERROR(
            VLOOKUP($A69, INDIRECT("AbrR!$A$6:$ZZ$1048576"), MATCH(AV$1, AbrR!$6:$6, 0), FALSE),
            0
        ) +
        IFERROR(
            VLOOKUP($A69, INDIRECT("MayR!$A$6:$ZZ$1048576"), MATCH(AV$1, MayR!$6:$6, 0), FALSE),
            0
        ) +
        IFERROR(
            VLOOKUP($A69, INDIRECT("JunR!$A$6:$ZZ$1048576"), MATCH(AV$1, JunR!$6:$6, 0), FALSE),
            0
        ) +
        IFERROR(
            VLOOKUP($A69, INDIRECT("JulR!$A$6:$ZZ$1048576"), MATCH(AV$1, JulR!$6:$6, 0), FALSE),
            0
        ) +
        IFERROR(
            VLOOKUP($A69, INDIRECT("AgoR!$A$6:$ZZ$1048576"), MATCH(AV$1, AgoR!$6:$6, 0), FALSE),
            0
        ) +
        IFERROR(
            VLOOKUP($A69, INDIRECT("SepR!$A$6:$ZZ$1048576"), MATCH(AV$1, SepR!$6:$6, 0), FALSE),
            0
        ) +
        IFERROR(
            VLOOKUP($A69, INDIRECT("OctR!$A$6:$ZZ$1048576"), MATCH(AV$1, OctR!$6:$6, 0), FALSE),
            0
        ) +
        IFERROR(
            VLOOKUP($A69, INDIRECT("NovR!$A$6:$ZZ$1048576"), MATCH(AV$1, NovR!$6:$6, 0), FALSE),
            0
        ) +
        IFERROR(
            VLOOKUP($A69, INDIRECT("DicR!$A$6:$ZZ$1048576"), MATCH(AV$1, DicR!$6:$6, 0), FALSE),
            0
        )
)</f>
        <v>0</v>
      </c>
      <c r="AW69" s="35">
        <f t="array" ref="AW69">SUM(
    IFERROR(
            VLOOKUP($A69, INDIRECT("EneR!$A$6:$ZZ$1048576"), MATCH(AW$1, EneR!$6:$6, 0), FALSE),
            0
        ) +
        IFERROR(
            VLOOKUP($A69, INDIRECT("FebR!$A$6:$ZZ$1048576"), MATCH(AW$1, FebR!$6:$6, 0), FALSE),
            0
        ) +
        IFERROR(
            VLOOKUP($A69, INDIRECT("MarR!$A$6:$ZZ$1048576"), MATCH(AW$1, MarR!$6:$6, 0), FALSE),
            0
        ) +
        IFERROR(
            VLOOKUP($A69, INDIRECT("AbrR!$A$6:$ZZ$1048576"), MATCH(AW$1, AbrR!$6:$6, 0), FALSE),
            0
        ) +
        IFERROR(
            VLOOKUP($A69, INDIRECT("MayR!$A$6:$ZZ$1048576"), MATCH(AW$1, MayR!$6:$6, 0), FALSE),
            0
        ) +
        IFERROR(
            VLOOKUP($A69, INDIRECT("JunR!$A$6:$ZZ$1048576"), MATCH(AW$1, JunR!$6:$6, 0), FALSE),
            0
        ) +
        IFERROR(
            VLOOKUP($A69, INDIRECT("JulR!$A$6:$ZZ$1048576"), MATCH(AW$1, JulR!$6:$6, 0), FALSE),
            0
        ) +
        IFERROR(
            VLOOKUP($A69, INDIRECT("AgoR!$A$6:$ZZ$1048576"), MATCH(AW$1, AgoR!$6:$6, 0), FALSE),
            0
        ) +
        IFERROR(
            VLOOKUP($A69, INDIRECT("SepR!$A$6:$ZZ$1048576"), MATCH(AW$1, SepR!$6:$6, 0), FALSE),
            0
        ) +
        IFERROR(
            VLOOKUP($A69, INDIRECT("OctR!$A$6:$ZZ$1048576"), MATCH(AW$1, OctR!$6:$6, 0), FALSE),
            0
        ) +
        IFERROR(
            VLOOKUP($A69, INDIRECT("NovR!$A$6:$ZZ$1048576"), MATCH(AW$1, NovR!$6:$6, 0), FALSE),
            0
        ) +
        IFERROR(
            VLOOKUP($A69, INDIRECT("DicR!$A$6:$ZZ$1048576"), MATCH(AW$1, DicR!$6:$6, 0), FALSE),
            0
        )
)</f>
        <v>0</v>
      </c>
      <c r="AX69" s="36">
        <f t="array" ref="AX69">SUM(
    IFERROR(
            VLOOKUP($A69, INDIRECT("EneR!$A$6:$ZZ$1048576"), MATCH(AX$1, EneR!$6:$6, 0), FALSE),
            0
        ) +
        IFERROR(
            VLOOKUP($A69, INDIRECT("FebR!$A$6:$ZZ$1048576"), MATCH(AX$1, FebR!$6:$6, 0), FALSE),
            0
        ) +
        IFERROR(
            VLOOKUP($A69, INDIRECT("MarR!$A$6:$ZZ$1048576"), MATCH(AX$1, MarR!$6:$6, 0), FALSE),
            0
        ) +
        IFERROR(
            VLOOKUP($A69, INDIRECT("AbrR!$A$6:$ZZ$1048576"), MATCH(AX$1, AbrR!$6:$6, 0), FALSE),
            0
        ) +
        IFERROR(
            VLOOKUP($A69, INDIRECT("MayR!$A$6:$ZZ$1048576"), MATCH(AX$1, MayR!$6:$6, 0), FALSE),
            0
        ) +
        IFERROR(
            VLOOKUP($A69, INDIRECT("JunR!$A$6:$ZZ$1048576"), MATCH(AX$1, JunR!$6:$6, 0), FALSE),
            0
        ) +
        IFERROR(
            VLOOKUP($A69, INDIRECT("JulR!$A$6:$ZZ$1048576"), MATCH(AX$1, JulR!$6:$6, 0), FALSE),
            0
        ) +
        IFERROR(
            VLOOKUP($A69, INDIRECT("AgoR!$A$6:$ZZ$1048576"), MATCH(AX$1, AgoR!$6:$6, 0), FALSE),
            0
        ) +
        IFERROR(
            VLOOKUP($A69, INDIRECT("SepR!$A$6:$ZZ$1048576"), MATCH(AX$1, SepR!$6:$6, 0), FALSE),
            0
        ) +
        IFERROR(
            VLOOKUP($A69, INDIRECT("OctR!$A$6:$ZZ$1048576"), MATCH(AX$1, OctR!$6:$6, 0), FALSE),
            0
        ) +
        IFERROR(
            VLOOKUP($A69, INDIRECT("NovR!$A$6:$ZZ$1048576"), MATCH(AX$1, NovR!$6:$6, 0), FALSE),
            0
        ) +
        IFERROR(
            VLOOKUP($A69, INDIRECT("DicR!$A$6:$ZZ$1048576"), MATCH(AX$1, DicR!$6:$6, 0), FALSE),
            0
        )
)</f>
        <v>0</v>
      </c>
      <c r="AY69" s="35">
        <f t="array" ref="AY69">SUM(
    IFERROR(
            VLOOKUP($A69, INDIRECT("EneR!$A$6:$ZZ$1048576"), MATCH(AY$1, EneR!$6:$6, 0), FALSE),
            0
        ) +
        IFERROR(
            VLOOKUP($A69, INDIRECT("FebR!$A$6:$ZZ$1048576"), MATCH(AY$1, FebR!$6:$6, 0), FALSE),
            0
        ) +
        IFERROR(
            VLOOKUP($A69, INDIRECT("MarR!$A$6:$ZZ$1048576"), MATCH(AY$1, MarR!$6:$6, 0), FALSE),
            0
        ) +
        IFERROR(
            VLOOKUP($A69, INDIRECT("AbrR!$A$6:$ZZ$1048576"), MATCH(AY$1, AbrR!$6:$6, 0), FALSE),
            0
        ) +
        IFERROR(
            VLOOKUP($A69, INDIRECT("MayR!$A$6:$ZZ$1048576"), MATCH(AY$1, MayR!$6:$6, 0), FALSE),
            0
        ) +
        IFERROR(
            VLOOKUP($A69, INDIRECT("JunR!$A$6:$ZZ$1048576"), MATCH(AY$1, JunR!$6:$6, 0), FALSE),
            0
        ) +
        IFERROR(
            VLOOKUP($A69, INDIRECT("JulR!$A$6:$ZZ$1048576"), MATCH(AY$1, JulR!$6:$6, 0), FALSE),
            0
        ) +
        IFERROR(
            VLOOKUP($A69, INDIRECT("AgoR!$A$6:$ZZ$1048576"), MATCH(AY$1, AgoR!$6:$6, 0), FALSE),
            0
        ) +
        IFERROR(
            VLOOKUP($A69, INDIRECT("SepR!$A$6:$ZZ$1048576"), MATCH(AY$1, SepR!$6:$6, 0), FALSE),
            0
        ) +
        IFERROR(
            VLOOKUP($A69, INDIRECT("OctR!$A$6:$ZZ$1048576"), MATCH(AY$1, OctR!$6:$6, 0), FALSE),
            0
        ) +
        IFERROR(
            VLOOKUP($A69, INDIRECT("NovR!$A$6:$ZZ$1048576"), MATCH(AY$1, NovR!$6:$6, 0), FALSE),
            0
        ) +
        IFERROR(
            VLOOKUP($A69, INDIRECT("DicR!$A$6:$ZZ$1048576"), MATCH(AY$1, DicR!$6:$6, 0), FALSE),
            0
        )
)</f>
        <v>0</v>
      </c>
      <c r="AZ69" s="35"/>
    </row>
    <row r="70" ht="15.75" customHeight="1">
      <c r="A70" s="12" t="str">
        <f>Menus!B31</f>
        <v/>
      </c>
      <c r="B70" s="32">
        <f t="shared" si="9"/>
        <v>0</v>
      </c>
      <c r="C70" s="33" t="str">
        <f t="shared" si="10"/>
        <v/>
      </c>
      <c r="D70" s="34">
        <f t="array" ref="D70">SUM(
    IFERROR(
            VLOOKUP($A70, INDIRECT("EneR!$A$6:$ZZ$1048576"), MATCH(D$1, EneR!$6:$6, 0), FALSE),
            0
        ) +
        IFERROR(
            VLOOKUP($A70, INDIRECT("FebR!$A$6:$ZZ$1048576"), MATCH(D$1, FebR!$6:$6, 0), FALSE),
            0
        ) +
        IFERROR(
            VLOOKUP($A70, INDIRECT("MarR!$A$6:$ZZ$1048576"), MATCH(D$1, MarR!$6:$6, 0), FALSE),
            0
        ) +
        IFERROR(
            VLOOKUP($A70, INDIRECT("AbrR!$A$6:$ZZ$1048576"), MATCH(D$1, AbrR!$6:$6, 0), FALSE),
            0
        ) +
        IFERROR(
            VLOOKUP($A70, INDIRECT("MayR!$A$6:$ZZ$1048576"), MATCH(D$1, MayR!$6:$6, 0), FALSE),
            0
        ) +
        IFERROR(
            VLOOKUP($A70, INDIRECT("JunR!$A$6:$ZZ$1048576"), MATCH(D$1, JunR!$6:$6, 0), FALSE),
            0
        ) +
        IFERROR(
            VLOOKUP($A70, INDIRECT("JulR!$A$6:$ZZ$1048576"), MATCH(D$1, JulR!$6:$6, 0), FALSE),
            0
        ) +
        IFERROR(
            VLOOKUP($A70, INDIRECT("AgoR!$A$6:$ZZ$1048576"), MATCH(D$1, AgoR!$6:$6, 0), FALSE),
            0
        ) +
        IFERROR(
            VLOOKUP($A70, INDIRECT("SepR!$A$6:$ZZ$1048576"), MATCH(D$1, SepR!$6:$6, 0), FALSE),
            0
        ) +
        IFERROR(
            VLOOKUP($A70, INDIRECT("OctR!$A$6:$ZZ$1048576"), MATCH(D$1, OctR!$6:$6, 0), FALSE),
            0
        ) +
        IFERROR(
            VLOOKUP($A70, INDIRECT("NovR!$A$6:$ZZ$1048576"), MATCH(D$1, NovR!$6:$6, 0), FALSE),
            0
        ) +
        IFERROR(
            VLOOKUP($A70, INDIRECT("DicR!$A$6:$ZZ$1048576"), MATCH(D$1, DicR!$6:$6, 0), FALSE),
            0
        )
)</f>
        <v>0</v>
      </c>
      <c r="E70" s="35">
        <f t="array" ref="E70">SUM(
    IFERROR(
            VLOOKUP($A70, INDIRECT("EneR!$A$6:$ZZ$1048576"), MATCH(E$1, EneR!$6:$6, 0), FALSE),
            0
        ) +
        IFERROR(
            VLOOKUP($A70, INDIRECT("FebR!$A$6:$ZZ$1048576"), MATCH(E$1, FebR!$6:$6, 0), FALSE),
            0
        ) +
        IFERROR(
            VLOOKUP($A70, INDIRECT("MarR!$A$6:$ZZ$1048576"), MATCH(E$1, MarR!$6:$6, 0), FALSE),
            0
        ) +
        IFERROR(
            VLOOKUP($A70, INDIRECT("AbrR!$A$6:$ZZ$1048576"), MATCH(E$1, AbrR!$6:$6, 0), FALSE),
            0
        ) +
        IFERROR(
            VLOOKUP($A70, INDIRECT("MayR!$A$6:$ZZ$1048576"), MATCH(E$1, MayR!$6:$6, 0), FALSE),
            0
        ) +
        IFERROR(
            VLOOKUP($A70, INDIRECT("JunR!$A$6:$ZZ$1048576"), MATCH(E$1, JunR!$6:$6, 0), FALSE),
            0
        ) +
        IFERROR(
            VLOOKUP($A70, INDIRECT("JulR!$A$6:$ZZ$1048576"), MATCH(E$1, JulR!$6:$6, 0), FALSE),
            0
        ) +
        IFERROR(
            VLOOKUP($A70, INDIRECT("AgoR!$A$6:$ZZ$1048576"), MATCH(E$1, AgoR!$6:$6, 0), FALSE),
            0
        ) +
        IFERROR(
            VLOOKUP($A70, INDIRECT("SepR!$A$6:$ZZ$1048576"), MATCH(E$1, SepR!$6:$6, 0), FALSE),
            0
        ) +
        IFERROR(
            VLOOKUP($A70, INDIRECT("OctR!$A$6:$ZZ$1048576"), MATCH(E$1, OctR!$6:$6, 0), FALSE),
            0
        ) +
        IFERROR(
            VLOOKUP($A70, INDIRECT("NovR!$A$6:$ZZ$1048576"), MATCH(E$1, NovR!$6:$6, 0), FALSE),
            0
        ) +
        IFERROR(
            VLOOKUP($A70, INDIRECT("DicR!$A$6:$ZZ$1048576"), MATCH(E$1, DicR!$6:$6, 0), FALSE),
            0
        )
)</f>
        <v>0</v>
      </c>
      <c r="F70" s="32">
        <f t="array" ref="F70">SUM(
    IFERROR(
            VLOOKUP($A70, INDIRECT("EneR!$A$6:$ZZ$1048576"), MATCH(F$1, EneR!$6:$6, 0), FALSE),
            0
        ) +
        IFERROR(
            VLOOKUP($A70, INDIRECT("FebR!$A$6:$ZZ$1048576"), MATCH(F$1, FebR!$6:$6, 0), FALSE),
            0
        ) +
        IFERROR(
            VLOOKUP($A70, INDIRECT("MarR!$A$6:$ZZ$1048576"), MATCH(F$1, MarR!$6:$6, 0), FALSE),
            0
        ) +
        IFERROR(
            VLOOKUP($A70, INDIRECT("AbrR!$A$6:$ZZ$1048576"), MATCH(F$1, AbrR!$6:$6, 0), FALSE),
            0
        ) +
        IFERROR(
            VLOOKUP($A70, INDIRECT("MayR!$A$6:$ZZ$1048576"), MATCH(F$1, MayR!$6:$6, 0), FALSE),
            0
        ) +
        IFERROR(
            VLOOKUP($A70, INDIRECT("JunR!$A$6:$ZZ$1048576"), MATCH(F$1, JunR!$6:$6, 0), FALSE),
            0
        ) +
        IFERROR(
            VLOOKUP($A70, INDIRECT("JulR!$A$6:$ZZ$1048576"), MATCH(F$1, JulR!$6:$6, 0), FALSE),
            0
        ) +
        IFERROR(
            VLOOKUP($A70, INDIRECT("AgoR!$A$6:$ZZ$1048576"), MATCH(F$1, AgoR!$6:$6, 0), FALSE),
            0
        ) +
        IFERROR(
            VLOOKUP($A70, INDIRECT("SepR!$A$6:$ZZ$1048576"), MATCH(F$1, SepR!$6:$6, 0), FALSE),
            0
        ) +
        IFERROR(
            VLOOKUP($A70, INDIRECT("OctR!$A$6:$ZZ$1048576"), MATCH(F$1, OctR!$6:$6, 0), FALSE),
            0
        ) +
        IFERROR(
            VLOOKUP($A70, INDIRECT("NovR!$A$6:$ZZ$1048576"), MATCH(F$1, NovR!$6:$6, 0), FALSE),
            0
        ) +
        IFERROR(
            VLOOKUP($A70, INDIRECT("DicR!$A$6:$ZZ$1048576"), MATCH(F$1, DicR!$6:$6, 0), FALSE),
            0
        )
)</f>
        <v>0</v>
      </c>
      <c r="G70" s="35">
        <f t="array" ref="G70">SUM(
    IFERROR(
            VLOOKUP($A70, INDIRECT("EneR!$A$6:$ZZ$1048576"), MATCH(G$1, EneR!$6:$6, 0), FALSE),
            0
        ) +
        IFERROR(
            VLOOKUP($A70, INDIRECT("FebR!$A$6:$ZZ$1048576"), MATCH(G$1, FebR!$6:$6, 0), FALSE),
            0
        ) +
        IFERROR(
            VLOOKUP($A70, INDIRECT("MarR!$A$6:$ZZ$1048576"), MATCH(G$1, MarR!$6:$6, 0), FALSE),
            0
        ) +
        IFERROR(
            VLOOKUP($A70, INDIRECT("AbrR!$A$6:$ZZ$1048576"), MATCH(G$1, AbrR!$6:$6, 0), FALSE),
            0
        ) +
        IFERROR(
            VLOOKUP($A70, INDIRECT("MayR!$A$6:$ZZ$1048576"), MATCH(G$1, MayR!$6:$6, 0), FALSE),
            0
        ) +
        IFERROR(
            VLOOKUP($A70, INDIRECT("JunR!$A$6:$ZZ$1048576"), MATCH(G$1, JunR!$6:$6, 0), FALSE),
            0
        ) +
        IFERROR(
            VLOOKUP($A70, INDIRECT("JulR!$A$6:$ZZ$1048576"), MATCH(G$1, JulR!$6:$6, 0), FALSE),
            0
        ) +
        IFERROR(
            VLOOKUP($A70, INDIRECT("AgoR!$A$6:$ZZ$1048576"), MATCH(G$1, AgoR!$6:$6, 0), FALSE),
            0
        ) +
        IFERROR(
            VLOOKUP($A70, INDIRECT("SepR!$A$6:$ZZ$1048576"), MATCH(G$1, SepR!$6:$6, 0), FALSE),
            0
        ) +
        IFERROR(
            VLOOKUP($A70, INDIRECT("OctR!$A$6:$ZZ$1048576"), MATCH(G$1, OctR!$6:$6, 0), FALSE),
            0
        ) +
        IFERROR(
            VLOOKUP($A70, INDIRECT("NovR!$A$6:$ZZ$1048576"), MATCH(G$1, NovR!$6:$6, 0), FALSE),
            0
        ) +
        IFERROR(
            VLOOKUP($A70, INDIRECT("DicR!$A$6:$ZZ$1048576"), MATCH(G$1, DicR!$6:$6, 0), FALSE),
            0
        )
)</f>
        <v>0</v>
      </c>
      <c r="H70" s="32">
        <f t="array" ref="H70">SUM(
    IFERROR(
            VLOOKUP($A70, INDIRECT("EneR!$A$6:$ZZ$1048576"), MATCH(H$1, EneR!$6:$6, 0), FALSE),
            0
        ) +
        IFERROR(
            VLOOKUP($A70, INDIRECT("FebR!$A$6:$ZZ$1048576"), MATCH(H$1, FebR!$6:$6, 0), FALSE),
            0
        ) +
        IFERROR(
            VLOOKUP($A70, INDIRECT("MarR!$A$6:$ZZ$1048576"), MATCH(H$1, MarR!$6:$6, 0), FALSE),
            0
        ) +
        IFERROR(
            VLOOKUP($A70, INDIRECT("AbrR!$A$6:$ZZ$1048576"), MATCH(H$1, AbrR!$6:$6, 0), FALSE),
            0
        ) +
        IFERROR(
            VLOOKUP($A70, INDIRECT("MayR!$A$6:$ZZ$1048576"), MATCH(H$1, MayR!$6:$6, 0), FALSE),
            0
        ) +
        IFERROR(
            VLOOKUP($A70, INDIRECT("JunR!$A$6:$ZZ$1048576"), MATCH(H$1, JunR!$6:$6, 0), FALSE),
            0
        ) +
        IFERROR(
            VLOOKUP($A70, INDIRECT("JulR!$A$6:$ZZ$1048576"), MATCH(H$1, JulR!$6:$6, 0), FALSE),
            0
        ) +
        IFERROR(
            VLOOKUP($A70, INDIRECT("AgoR!$A$6:$ZZ$1048576"), MATCH(H$1, AgoR!$6:$6, 0), FALSE),
            0
        ) +
        IFERROR(
            VLOOKUP($A70, INDIRECT("SepR!$A$6:$ZZ$1048576"), MATCH(H$1, SepR!$6:$6, 0), FALSE),
            0
        ) +
        IFERROR(
            VLOOKUP($A70, INDIRECT("OctR!$A$6:$ZZ$1048576"), MATCH(H$1, OctR!$6:$6, 0), FALSE),
            0
        ) +
        IFERROR(
            VLOOKUP($A70, INDIRECT("NovR!$A$6:$ZZ$1048576"), MATCH(H$1, NovR!$6:$6, 0), FALSE),
            0
        ) +
        IFERROR(
            VLOOKUP($A70, INDIRECT("DicR!$A$6:$ZZ$1048576"), MATCH(H$1, DicR!$6:$6, 0), FALSE),
            0
        )
)</f>
        <v>0</v>
      </c>
      <c r="I70" s="35">
        <f t="array" ref="I70">SUM(
    IFERROR(
            VLOOKUP($A70, INDIRECT("EneR!$A$6:$ZZ$1048576"), MATCH(I$1, EneR!$6:$6, 0), FALSE),
            0
        ) +
        IFERROR(
            VLOOKUP($A70, INDIRECT("FebR!$A$6:$ZZ$1048576"), MATCH(I$1, FebR!$6:$6, 0), FALSE),
            0
        ) +
        IFERROR(
            VLOOKUP($A70, INDIRECT("MarR!$A$6:$ZZ$1048576"), MATCH(I$1, MarR!$6:$6, 0), FALSE),
            0
        ) +
        IFERROR(
            VLOOKUP($A70, INDIRECT("AbrR!$A$6:$ZZ$1048576"), MATCH(I$1, AbrR!$6:$6, 0), FALSE),
            0
        ) +
        IFERROR(
            VLOOKUP($A70, INDIRECT("MayR!$A$6:$ZZ$1048576"), MATCH(I$1, MayR!$6:$6, 0), FALSE),
            0
        ) +
        IFERROR(
            VLOOKUP($A70, INDIRECT("JunR!$A$6:$ZZ$1048576"), MATCH(I$1, JunR!$6:$6, 0), FALSE),
            0
        ) +
        IFERROR(
            VLOOKUP($A70, INDIRECT("JulR!$A$6:$ZZ$1048576"), MATCH(I$1, JulR!$6:$6, 0), FALSE),
            0
        ) +
        IFERROR(
            VLOOKUP($A70, INDIRECT("AgoR!$A$6:$ZZ$1048576"), MATCH(I$1, AgoR!$6:$6, 0), FALSE),
            0
        ) +
        IFERROR(
            VLOOKUP($A70, INDIRECT("SepR!$A$6:$ZZ$1048576"), MATCH(I$1, SepR!$6:$6, 0), FALSE),
            0
        ) +
        IFERROR(
            VLOOKUP($A70, INDIRECT("OctR!$A$6:$ZZ$1048576"), MATCH(I$1, OctR!$6:$6, 0), FALSE),
            0
        ) +
        IFERROR(
            VLOOKUP($A70, INDIRECT("NovR!$A$6:$ZZ$1048576"), MATCH(I$1, NovR!$6:$6, 0), FALSE),
            0
        ) +
        IFERROR(
            VLOOKUP($A70, INDIRECT("DicR!$A$6:$ZZ$1048576"), MATCH(I$1, DicR!$6:$6, 0), FALSE),
            0
        )
)</f>
        <v>0</v>
      </c>
      <c r="J70" s="32">
        <f t="array" ref="J70">SUM(
    IFERROR(
            VLOOKUP($A70, INDIRECT("EneR!$A$6:$ZZ$1048576"), MATCH(J$1, EneR!$6:$6, 0), FALSE),
            0
        ) +
        IFERROR(
            VLOOKUP($A70, INDIRECT("FebR!$A$6:$ZZ$1048576"), MATCH(J$1, FebR!$6:$6, 0), FALSE),
            0
        ) +
        IFERROR(
            VLOOKUP($A70, INDIRECT("MarR!$A$6:$ZZ$1048576"), MATCH(J$1, MarR!$6:$6, 0), FALSE),
            0
        ) +
        IFERROR(
            VLOOKUP($A70, INDIRECT("AbrR!$A$6:$ZZ$1048576"), MATCH(J$1, AbrR!$6:$6, 0), FALSE),
            0
        ) +
        IFERROR(
            VLOOKUP($A70, INDIRECT("MayR!$A$6:$ZZ$1048576"), MATCH(J$1, MayR!$6:$6, 0), FALSE),
            0
        ) +
        IFERROR(
            VLOOKUP($A70, INDIRECT("JunR!$A$6:$ZZ$1048576"), MATCH(J$1, JunR!$6:$6, 0), FALSE),
            0
        ) +
        IFERROR(
            VLOOKUP($A70, INDIRECT("JulR!$A$6:$ZZ$1048576"), MATCH(J$1, JulR!$6:$6, 0), FALSE),
            0
        ) +
        IFERROR(
            VLOOKUP($A70, INDIRECT("AgoR!$A$6:$ZZ$1048576"), MATCH(J$1, AgoR!$6:$6, 0), FALSE),
            0
        ) +
        IFERROR(
            VLOOKUP($A70, INDIRECT("SepR!$A$6:$ZZ$1048576"), MATCH(J$1, SepR!$6:$6, 0), FALSE),
            0
        ) +
        IFERROR(
            VLOOKUP($A70, INDIRECT("OctR!$A$6:$ZZ$1048576"), MATCH(J$1, OctR!$6:$6, 0), FALSE),
            0
        ) +
        IFERROR(
            VLOOKUP($A70, INDIRECT("NovR!$A$6:$ZZ$1048576"), MATCH(J$1, NovR!$6:$6, 0), FALSE),
            0
        ) +
        IFERROR(
            VLOOKUP($A70, INDIRECT("DicR!$A$6:$ZZ$1048576"), MATCH(J$1, DicR!$6:$6, 0), FALSE),
            0
        )
)</f>
        <v>0</v>
      </c>
      <c r="K70" s="35">
        <f t="array" ref="K70">SUM(
    IFERROR(
            VLOOKUP($A70, INDIRECT("EneR!$A$6:$ZZ$1048576"), MATCH(K$1, EneR!$6:$6, 0), FALSE),
            0
        ) +
        IFERROR(
            VLOOKUP($A70, INDIRECT("FebR!$A$6:$ZZ$1048576"), MATCH(K$1, FebR!$6:$6, 0), FALSE),
            0
        ) +
        IFERROR(
            VLOOKUP($A70, INDIRECT("MarR!$A$6:$ZZ$1048576"), MATCH(K$1, MarR!$6:$6, 0), FALSE),
            0
        ) +
        IFERROR(
            VLOOKUP($A70, INDIRECT("AbrR!$A$6:$ZZ$1048576"), MATCH(K$1, AbrR!$6:$6, 0), FALSE),
            0
        ) +
        IFERROR(
            VLOOKUP($A70, INDIRECT("MayR!$A$6:$ZZ$1048576"), MATCH(K$1, MayR!$6:$6, 0), FALSE),
            0
        ) +
        IFERROR(
            VLOOKUP($A70, INDIRECT("JunR!$A$6:$ZZ$1048576"), MATCH(K$1, JunR!$6:$6, 0), FALSE),
            0
        ) +
        IFERROR(
            VLOOKUP($A70, INDIRECT("JulR!$A$6:$ZZ$1048576"), MATCH(K$1, JulR!$6:$6, 0), FALSE),
            0
        ) +
        IFERROR(
            VLOOKUP($A70, INDIRECT("AgoR!$A$6:$ZZ$1048576"), MATCH(K$1, AgoR!$6:$6, 0), FALSE),
            0
        ) +
        IFERROR(
            VLOOKUP($A70, INDIRECT("SepR!$A$6:$ZZ$1048576"), MATCH(K$1, SepR!$6:$6, 0), FALSE),
            0
        ) +
        IFERROR(
            VLOOKUP($A70, INDIRECT("OctR!$A$6:$ZZ$1048576"), MATCH(K$1, OctR!$6:$6, 0), FALSE),
            0
        ) +
        IFERROR(
            VLOOKUP($A70, INDIRECT("NovR!$A$6:$ZZ$1048576"), MATCH(K$1, NovR!$6:$6, 0), FALSE),
            0
        ) +
        IFERROR(
            VLOOKUP($A70, INDIRECT("DicR!$A$6:$ZZ$1048576"), MATCH(K$1, DicR!$6:$6, 0), FALSE),
            0
        )
)</f>
        <v>0</v>
      </c>
      <c r="L70" s="32">
        <f t="array" ref="L70">SUM(
    IFERROR(
            VLOOKUP($A70, INDIRECT("EneR!$A$6:$ZZ$1048576"), MATCH(L$1, EneR!$6:$6, 0), FALSE),
            0
        ) +
        IFERROR(
            VLOOKUP($A70, INDIRECT("FebR!$A$6:$ZZ$1048576"), MATCH(L$1, FebR!$6:$6, 0), FALSE),
            0
        ) +
        IFERROR(
            VLOOKUP($A70, INDIRECT("MarR!$A$6:$ZZ$1048576"), MATCH(L$1, MarR!$6:$6, 0), FALSE),
            0
        ) +
        IFERROR(
            VLOOKUP($A70, INDIRECT("AbrR!$A$6:$ZZ$1048576"), MATCH(L$1, AbrR!$6:$6, 0), FALSE),
            0
        ) +
        IFERROR(
            VLOOKUP($A70, INDIRECT("MayR!$A$6:$ZZ$1048576"), MATCH(L$1, MayR!$6:$6, 0), FALSE),
            0
        ) +
        IFERROR(
            VLOOKUP($A70, INDIRECT("JunR!$A$6:$ZZ$1048576"), MATCH(L$1, JunR!$6:$6, 0), FALSE),
            0
        ) +
        IFERROR(
            VLOOKUP($A70, INDIRECT("JulR!$A$6:$ZZ$1048576"), MATCH(L$1, JulR!$6:$6, 0), FALSE),
            0
        ) +
        IFERROR(
            VLOOKUP($A70, INDIRECT("AgoR!$A$6:$ZZ$1048576"), MATCH(L$1, AgoR!$6:$6, 0), FALSE),
            0
        ) +
        IFERROR(
            VLOOKUP($A70, INDIRECT("SepR!$A$6:$ZZ$1048576"), MATCH(L$1, SepR!$6:$6, 0), FALSE),
            0
        ) +
        IFERROR(
            VLOOKUP($A70, INDIRECT("OctR!$A$6:$ZZ$1048576"), MATCH(L$1, OctR!$6:$6, 0), FALSE),
            0
        ) +
        IFERROR(
            VLOOKUP($A70, INDIRECT("NovR!$A$6:$ZZ$1048576"), MATCH(L$1, NovR!$6:$6, 0), FALSE),
            0
        ) +
        IFERROR(
            VLOOKUP($A70, INDIRECT("DicR!$A$6:$ZZ$1048576"), MATCH(L$1, DicR!$6:$6, 0), FALSE),
            0
        )
)</f>
        <v>0</v>
      </c>
      <c r="M70" s="35">
        <f t="array" ref="M70">SUM(
    IFERROR(
            VLOOKUP($A70, INDIRECT("EneR!$A$6:$ZZ$1048576"), MATCH(M$1, EneR!$6:$6, 0), FALSE),
            0
        ) +
        IFERROR(
            VLOOKUP($A70, INDIRECT("FebR!$A$6:$ZZ$1048576"), MATCH(M$1, FebR!$6:$6, 0), FALSE),
            0
        ) +
        IFERROR(
            VLOOKUP($A70, INDIRECT("MarR!$A$6:$ZZ$1048576"), MATCH(M$1, MarR!$6:$6, 0), FALSE),
            0
        ) +
        IFERROR(
            VLOOKUP($A70, INDIRECT("AbrR!$A$6:$ZZ$1048576"), MATCH(M$1, AbrR!$6:$6, 0), FALSE),
            0
        ) +
        IFERROR(
            VLOOKUP($A70, INDIRECT("MayR!$A$6:$ZZ$1048576"), MATCH(M$1, MayR!$6:$6, 0), FALSE),
            0
        ) +
        IFERROR(
            VLOOKUP($A70, INDIRECT("JunR!$A$6:$ZZ$1048576"), MATCH(M$1, JunR!$6:$6, 0), FALSE),
            0
        ) +
        IFERROR(
            VLOOKUP($A70, INDIRECT("JulR!$A$6:$ZZ$1048576"), MATCH(M$1, JulR!$6:$6, 0), FALSE),
            0
        ) +
        IFERROR(
            VLOOKUP($A70, INDIRECT("AgoR!$A$6:$ZZ$1048576"), MATCH(M$1, AgoR!$6:$6, 0), FALSE),
            0
        ) +
        IFERROR(
            VLOOKUP($A70, INDIRECT("SepR!$A$6:$ZZ$1048576"), MATCH(M$1, SepR!$6:$6, 0), FALSE),
            0
        ) +
        IFERROR(
            VLOOKUP($A70, INDIRECT("OctR!$A$6:$ZZ$1048576"), MATCH(M$1, OctR!$6:$6, 0), FALSE),
            0
        ) +
        IFERROR(
            VLOOKUP($A70, INDIRECT("NovR!$A$6:$ZZ$1048576"), MATCH(M$1, NovR!$6:$6, 0), FALSE),
            0
        ) +
        IFERROR(
            VLOOKUP($A70, INDIRECT("DicR!$A$6:$ZZ$1048576"), MATCH(M$1, DicR!$6:$6, 0), FALSE),
            0
        )
)</f>
        <v>0</v>
      </c>
      <c r="N70" s="32">
        <f t="array" ref="N70">SUM(
    IFERROR(
            VLOOKUP($A70, INDIRECT("EneR!$A$6:$ZZ$1048576"), MATCH(N$1, EneR!$6:$6, 0), FALSE),
            0
        ) +
        IFERROR(
            VLOOKUP($A70, INDIRECT("FebR!$A$6:$ZZ$1048576"), MATCH(N$1, FebR!$6:$6, 0), FALSE),
            0
        ) +
        IFERROR(
            VLOOKUP($A70, INDIRECT("MarR!$A$6:$ZZ$1048576"), MATCH(N$1, MarR!$6:$6, 0), FALSE),
            0
        ) +
        IFERROR(
            VLOOKUP($A70, INDIRECT("AbrR!$A$6:$ZZ$1048576"), MATCH(N$1, AbrR!$6:$6, 0), FALSE),
            0
        ) +
        IFERROR(
            VLOOKUP($A70, INDIRECT("MayR!$A$6:$ZZ$1048576"), MATCH(N$1, MayR!$6:$6, 0), FALSE),
            0
        ) +
        IFERROR(
            VLOOKUP($A70, INDIRECT("JunR!$A$6:$ZZ$1048576"), MATCH(N$1, JunR!$6:$6, 0), FALSE),
            0
        ) +
        IFERROR(
            VLOOKUP($A70, INDIRECT("JulR!$A$6:$ZZ$1048576"), MATCH(N$1, JulR!$6:$6, 0), FALSE),
            0
        ) +
        IFERROR(
            VLOOKUP($A70, INDIRECT("AgoR!$A$6:$ZZ$1048576"), MATCH(N$1, AgoR!$6:$6, 0), FALSE),
            0
        ) +
        IFERROR(
            VLOOKUP($A70, INDIRECT("SepR!$A$6:$ZZ$1048576"), MATCH(N$1, SepR!$6:$6, 0), FALSE),
            0
        ) +
        IFERROR(
            VLOOKUP($A70, INDIRECT("OctR!$A$6:$ZZ$1048576"), MATCH(N$1, OctR!$6:$6, 0), FALSE),
            0
        ) +
        IFERROR(
            VLOOKUP($A70, INDIRECT("NovR!$A$6:$ZZ$1048576"), MATCH(N$1, NovR!$6:$6, 0), FALSE),
            0
        ) +
        IFERROR(
            VLOOKUP($A70, INDIRECT("DicR!$A$6:$ZZ$1048576"), MATCH(N$1, DicR!$6:$6, 0), FALSE),
            0
        )
)</f>
        <v>0</v>
      </c>
      <c r="O70" s="35">
        <f t="array" ref="O70">SUM(
    IFERROR(
            VLOOKUP($A70, INDIRECT("EneR!$A$6:$ZZ$1048576"), MATCH(O$1, EneR!$6:$6, 0), FALSE),
            0
        ) +
        IFERROR(
            VLOOKUP($A70, INDIRECT("FebR!$A$6:$ZZ$1048576"), MATCH(O$1, FebR!$6:$6, 0), FALSE),
            0
        ) +
        IFERROR(
            VLOOKUP($A70, INDIRECT("MarR!$A$6:$ZZ$1048576"), MATCH(O$1, MarR!$6:$6, 0), FALSE),
            0
        ) +
        IFERROR(
            VLOOKUP($A70, INDIRECT("AbrR!$A$6:$ZZ$1048576"), MATCH(O$1, AbrR!$6:$6, 0), FALSE),
            0
        ) +
        IFERROR(
            VLOOKUP($A70, INDIRECT("MayR!$A$6:$ZZ$1048576"), MATCH(O$1, MayR!$6:$6, 0), FALSE),
            0
        ) +
        IFERROR(
            VLOOKUP($A70, INDIRECT("JunR!$A$6:$ZZ$1048576"), MATCH(O$1, JunR!$6:$6, 0), FALSE),
            0
        ) +
        IFERROR(
            VLOOKUP($A70, INDIRECT("JulR!$A$6:$ZZ$1048576"), MATCH(O$1, JulR!$6:$6, 0), FALSE),
            0
        ) +
        IFERROR(
            VLOOKUP($A70, INDIRECT("AgoR!$A$6:$ZZ$1048576"), MATCH(O$1, AgoR!$6:$6, 0), FALSE),
            0
        ) +
        IFERROR(
            VLOOKUP($A70, INDIRECT("SepR!$A$6:$ZZ$1048576"), MATCH(O$1, SepR!$6:$6, 0), FALSE),
            0
        ) +
        IFERROR(
            VLOOKUP($A70, INDIRECT("OctR!$A$6:$ZZ$1048576"), MATCH(O$1, OctR!$6:$6, 0), FALSE),
            0
        ) +
        IFERROR(
            VLOOKUP($A70, INDIRECT("NovR!$A$6:$ZZ$1048576"), MATCH(O$1, NovR!$6:$6, 0), FALSE),
            0
        ) +
        IFERROR(
            VLOOKUP($A70, INDIRECT("DicR!$A$6:$ZZ$1048576"), MATCH(O$1, DicR!$6:$6, 0), FALSE),
            0
        )
)</f>
        <v>0</v>
      </c>
      <c r="P70" s="32">
        <f t="array" ref="P70">SUM(
    IFERROR(
            VLOOKUP($A70, INDIRECT("EneR!$A$6:$ZZ$1048576"), MATCH(P$1, EneR!$6:$6, 0), FALSE),
            0
        ) +
        IFERROR(
            VLOOKUP($A70, INDIRECT("FebR!$A$6:$ZZ$1048576"), MATCH(P$1, FebR!$6:$6, 0), FALSE),
            0
        ) +
        IFERROR(
            VLOOKUP($A70, INDIRECT("MarR!$A$6:$ZZ$1048576"), MATCH(P$1, MarR!$6:$6, 0), FALSE),
            0
        ) +
        IFERROR(
            VLOOKUP($A70, INDIRECT("AbrR!$A$6:$ZZ$1048576"), MATCH(P$1, AbrR!$6:$6, 0), FALSE),
            0
        ) +
        IFERROR(
            VLOOKUP($A70, INDIRECT("MayR!$A$6:$ZZ$1048576"), MATCH(P$1, MayR!$6:$6, 0), FALSE),
            0
        ) +
        IFERROR(
            VLOOKUP($A70, INDIRECT("JunR!$A$6:$ZZ$1048576"), MATCH(P$1, JunR!$6:$6, 0), FALSE),
            0
        ) +
        IFERROR(
            VLOOKUP($A70, INDIRECT("JulR!$A$6:$ZZ$1048576"), MATCH(P$1, JulR!$6:$6, 0), FALSE),
            0
        ) +
        IFERROR(
            VLOOKUP($A70, INDIRECT("AgoR!$A$6:$ZZ$1048576"), MATCH(P$1, AgoR!$6:$6, 0), FALSE),
            0
        ) +
        IFERROR(
            VLOOKUP($A70, INDIRECT("SepR!$A$6:$ZZ$1048576"), MATCH(P$1, SepR!$6:$6, 0), FALSE),
            0
        ) +
        IFERROR(
            VLOOKUP($A70, INDIRECT("OctR!$A$6:$ZZ$1048576"), MATCH(P$1, OctR!$6:$6, 0), FALSE),
            0
        ) +
        IFERROR(
            VLOOKUP($A70, INDIRECT("NovR!$A$6:$ZZ$1048576"), MATCH(P$1, NovR!$6:$6, 0), FALSE),
            0
        ) +
        IFERROR(
            VLOOKUP($A70, INDIRECT("DicR!$A$6:$ZZ$1048576"), MATCH(P$1, DicR!$6:$6, 0), FALSE),
            0
        )
)</f>
        <v>0</v>
      </c>
      <c r="Q70" s="35">
        <f t="array" ref="Q70">SUM(
    IFERROR(
            VLOOKUP($A70, INDIRECT("EneR!$A$6:$ZZ$1048576"), MATCH(Q$1, EneR!$6:$6, 0), FALSE),
            0
        ) +
        IFERROR(
            VLOOKUP($A70, INDIRECT("FebR!$A$6:$ZZ$1048576"), MATCH(Q$1, FebR!$6:$6, 0), FALSE),
            0
        ) +
        IFERROR(
            VLOOKUP($A70, INDIRECT("MarR!$A$6:$ZZ$1048576"), MATCH(Q$1, MarR!$6:$6, 0), FALSE),
            0
        ) +
        IFERROR(
            VLOOKUP($A70, INDIRECT("AbrR!$A$6:$ZZ$1048576"), MATCH(Q$1, AbrR!$6:$6, 0), FALSE),
            0
        ) +
        IFERROR(
            VLOOKUP($A70, INDIRECT("MayR!$A$6:$ZZ$1048576"), MATCH(Q$1, MayR!$6:$6, 0), FALSE),
            0
        ) +
        IFERROR(
            VLOOKUP($A70, INDIRECT("JunR!$A$6:$ZZ$1048576"), MATCH(Q$1, JunR!$6:$6, 0), FALSE),
            0
        ) +
        IFERROR(
            VLOOKUP($A70, INDIRECT("JulR!$A$6:$ZZ$1048576"), MATCH(Q$1, JulR!$6:$6, 0), FALSE),
            0
        ) +
        IFERROR(
            VLOOKUP($A70, INDIRECT("AgoR!$A$6:$ZZ$1048576"), MATCH(Q$1, AgoR!$6:$6, 0), FALSE),
            0
        ) +
        IFERROR(
            VLOOKUP($A70, INDIRECT("SepR!$A$6:$ZZ$1048576"), MATCH(Q$1, SepR!$6:$6, 0), FALSE),
            0
        ) +
        IFERROR(
            VLOOKUP($A70, INDIRECT("OctR!$A$6:$ZZ$1048576"), MATCH(Q$1, OctR!$6:$6, 0), FALSE),
            0
        ) +
        IFERROR(
            VLOOKUP($A70, INDIRECT("NovR!$A$6:$ZZ$1048576"), MATCH(Q$1, NovR!$6:$6, 0), FALSE),
            0
        ) +
        IFERROR(
            VLOOKUP($A70, INDIRECT("DicR!$A$6:$ZZ$1048576"), MATCH(Q$1, DicR!$6:$6, 0), FALSE),
            0
        )
)</f>
        <v>0</v>
      </c>
      <c r="R70" s="36">
        <f t="array" ref="R70">SUM(
    IFERROR(
            VLOOKUP($A70, INDIRECT("EneR!$A$6:$ZZ$1048576"), MATCH(R$1, EneR!$6:$6, 0), FALSE),
            0
        ) +
        IFERROR(
            VLOOKUP($A70, INDIRECT("FebR!$A$6:$ZZ$1048576"), MATCH(R$1, FebR!$6:$6, 0), FALSE),
            0
        ) +
        IFERROR(
            VLOOKUP($A70, INDIRECT("MarR!$A$6:$ZZ$1048576"), MATCH(R$1, MarR!$6:$6, 0), FALSE),
            0
        ) +
        IFERROR(
            VLOOKUP($A70, INDIRECT("AbrR!$A$6:$ZZ$1048576"), MATCH(R$1, AbrR!$6:$6, 0), FALSE),
            0
        ) +
        IFERROR(
            VLOOKUP($A70, INDIRECT("MayR!$A$6:$ZZ$1048576"), MATCH(R$1, MayR!$6:$6, 0), FALSE),
            0
        ) +
        IFERROR(
            VLOOKUP($A70, INDIRECT("JunR!$A$6:$ZZ$1048576"), MATCH(R$1, JunR!$6:$6, 0), FALSE),
            0
        ) +
        IFERROR(
            VLOOKUP($A70, INDIRECT("JulR!$A$6:$ZZ$1048576"), MATCH(R$1, JulR!$6:$6, 0), FALSE),
            0
        ) +
        IFERROR(
            VLOOKUP($A70, INDIRECT("AgoR!$A$6:$ZZ$1048576"), MATCH(R$1, AgoR!$6:$6, 0), FALSE),
            0
        ) +
        IFERROR(
            VLOOKUP($A70, INDIRECT("SepR!$A$6:$ZZ$1048576"), MATCH(R$1, SepR!$6:$6, 0), FALSE),
            0
        ) +
        IFERROR(
            VLOOKUP($A70, INDIRECT("OctR!$A$6:$ZZ$1048576"), MATCH(R$1, OctR!$6:$6, 0), FALSE),
            0
        ) +
        IFERROR(
            VLOOKUP($A70, INDIRECT("NovR!$A$6:$ZZ$1048576"), MATCH(R$1, NovR!$6:$6, 0), FALSE),
            0
        ) +
        IFERROR(
            VLOOKUP($A70, INDIRECT("DicR!$A$6:$ZZ$1048576"), MATCH(R$1, DicR!$6:$6, 0), FALSE),
            0
        )
)</f>
        <v>0</v>
      </c>
      <c r="S70" s="37">
        <f t="array" ref="S70">SUM(
    IFERROR(
            VLOOKUP($A70, INDIRECT("EneR!$A$6:$ZZ$1048576"), MATCH(S$1, EneR!$6:$6, 0), FALSE),
            0
        ) +
        IFERROR(
            VLOOKUP($A70, INDIRECT("FebR!$A$6:$ZZ$1048576"), MATCH(S$1, FebR!$6:$6, 0), FALSE),
            0
        ) +
        IFERROR(
            VLOOKUP($A70, INDIRECT("MarR!$A$6:$ZZ$1048576"), MATCH(S$1, MarR!$6:$6, 0), FALSE),
            0
        ) +
        IFERROR(
            VLOOKUP($A70, INDIRECT("AbrR!$A$6:$ZZ$1048576"), MATCH(S$1, AbrR!$6:$6, 0), FALSE),
            0
        ) +
        IFERROR(
            VLOOKUP($A70, INDIRECT("MayR!$A$6:$ZZ$1048576"), MATCH(S$1, MayR!$6:$6, 0), FALSE),
            0
        ) +
        IFERROR(
            VLOOKUP($A70, INDIRECT("JunR!$A$6:$ZZ$1048576"), MATCH(S$1, JunR!$6:$6, 0), FALSE),
            0
        ) +
        IFERROR(
            VLOOKUP($A70, INDIRECT("JulR!$A$6:$ZZ$1048576"), MATCH(S$1, JulR!$6:$6, 0), FALSE),
            0
        ) +
        IFERROR(
            VLOOKUP($A70, INDIRECT("AgoR!$A$6:$ZZ$1048576"), MATCH(S$1, AgoR!$6:$6, 0), FALSE),
            0
        ) +
        IFERROR(
            VLOOKUP($A70, INDIRECT("SepR!$A$6:$ZZ$1048576"), MATCH(S$1, SepR!$6:$6, 0), FALSE),
            0
        ) +
        IFERROR(
            VLOOKUP($A70, INDIRECT("OctR!$A$6:$ZZ$1048576"), MATCH(S$1, OctR!$6:$6, 0), FALSE),
            0
        ) +
        IFERROR(
            VLOOKUP($A70, INDIRECT("NovR!$A$6:$ZZ$1048576"), MATCH(S$1, NovR!$6:$6, 0), FALSE),
            0
        ) +
        IFERROR(
            VLOOKUP($A70, INDIRECT("DicR!$A$6:$ZZ$1048576"), MATCH(S$1, DicR!$6:$6, 0), FALSE),
            0
        )
)</f>
        <v>0</v>
      </c>
      <c r="T70" s="36">
        <f t="array" ref="T70">SUM(
    IFERROR(
            VLOOKUP($A70, INDIRECT("EneR!$A$6:$ZZ$1048576"), MATCH(T$1, EneR!$6:$6, 0), FALSE),
            0
        ) +
        IFERROR(
            VLOOKUP($A70, INDIRECT("FebR!$A$6:$ZZ$1048576"), MATCH(T$1, FebR!$6:$6, 0), FALSE),
            0
        ) +
        IFERROR(
            VLOOKUP($A70, INDIRECT("MarR!$A$6:$ZZ$1048576"), MATCH(T$1, MarR!$6:$6, 0), FALSE),
            0
        ) +
        IFERROR(
            VLOOKUP($A70, INDIRECT("AbrR!$A$6:$ZZ$1048576"), MATCH(T$1, AbrR!$6:$6, 0), FALSE),
            0
        ) +
        IFERROR(
            VLOOKUP($A70, INDIRECT("MayR!$A$6:$ZZ$1048576"), MATCH(T$1, MayR!$6:$6, 0), FALSE),
            0
        ) +
        IFERROR(
            VLOOKUP($A70, INDIRECT("JunR!$A$6:$ZZ$1048576"), MATCH(T$1, JunR!$6:$6, 0), FALSE),
            0
        ) +
        IFERROR(
            VLOOKUP($A70, INDIRECT("JulR!$A$6:$ZZ$1048576"), MATCH(T$1, JulR!$6:$6, 0), FALSE),
            0
        ) +
        IFERROR(
            VLOOKUP($A70, INDIRECT("AgoR!$A$6:$ZZ$1048576"), MATCH(T$1, AgoR!$6:$6, 0), FALSE),
            0
        ) +
        IFERROR(
            VLOOKUP($A70, INDIRECT("SepR!$A$6:$ZZ$1048576"), MATCH(T$1, SepR!$6:$6, 0), FALSE),
            0
        ) +
        IFERROR(
            VLOOKUP($A70, INDIRECT("OctR!$A$6:$ZZ$1048576"), MATCH(T$1, OctR!$6:$6, 0), FALSE),
            0
        ) +
        IFERROR(
            VLOOKUP($A70, INDIRECT("NovR!$A$6:$ZZ$1048576"), MATCH(T$1, NovR!$6:$6, 0), FALSE),
            0
        ) +
        IFERROR(
            VLOOKUP($A70, INDIRECT("DicR!$A$6:$ZZ$1048576"), MATCH(T$1, DicR!$6:$6, 0), FALSE),
            0
        )
)</f>
        <v>0</v>
      </c>
      <c r="U70" s="37">
        <f t="array" ref="U70">SUM(
    IFERROR(
            VLOOKUP($A70, INDIRECT("EneR!$A$6:$ZZ$1048576"), MATCH(U$1, EneR!$6:$6, 0), FALSE),
            0
        ) +
        IFERROR(
            VLOOKUP($A70, INDIRECT("FebR!$A$6:$ZZ$1048576"), MATCH(U$1, FebR!$6:$6, 0), FALSE),
            0
        ) +
        IFERROR(
            VLOOKUP($A70, INDIRECT("MarR!$A$6:$ZZ$1048576"), MATCH(U$1, MarR!$6:$6, 0), FALSE),
            0
        ) +
        IFERROR(
            VLOOKUP($A70, INDIRECT("AbrR!$A$6:$ZZ$1048576"), MATCH(U$1, AbrR!$6:$6, 0), FALSE),
            0
        ) +
        IFERROR(
            VLOOKUP($A70, INDIRECT("MayR!$A$6:$ZZ$1048576"), MATCH(U$1, MayR!$6:$6, 0), FALSE),
            0
        ) +
        IFERROR(
            VLOOKUP($A70, INDIRECT("JunR!$A$6:$ZZ$1048576"), MATCH(U$1, JunR!$6:$6, 0), FALSE),
            0
        ) +
        IFERROR(
            VLOOKUP($A70, INDIRECT("JulR!$A$6:$ZZ$1048576"), MATCH(U$1, JulR!$6:$6, 0), FALSE),
            0
        ) +
        IFERROR(
            VLOOKUP($A70, INDIRECT("AgoR!$A$6:$ZZ$1048576"), MATCH(U$1, AgoR!$6:$6, 0), FALSE),
            0
        ) +
        IFERROR(
            VLOOKUP($A70, INDIRECT("SepR!$A$6:$ZZ$1048576"), MATCH(U$1, SepR!$6:$6, 0), FALSE),
            0
        ) +
        IFERROR(
            VLOOKUP($A70, INDIRECT("OctR!$A$6:$ZZ$1048576"), MATCH(U$1, OctR!$6:$6, 0), FALSE),
            0
        ) +
        IFERROR(
            VLOOKUP($A70, INDIRECT("NovR!$A$6:$ZZ$1048576"), MATCH(U$1, NovR!$6:$6, 0), FALSE),
            0
        ) +
        IFERROR(
            VLOOKUP($A70, INDIRECT("DicR!$A$6:$ZZ$1048576"), MATCH(U$1, DicR!$6:$6, 0), FALSE),
            0
        )
)</f>
        <v>0</v>
      </c>
      <c r="V70" s="36">
        <f t="array" ref="V70">SUM(
    IFERROR(
            VLOOKUP($A70, INDIRECT("EneR!$A$6:$ZZ$1048576"), MATCH(V$1, EneR!$6:$6, 0), FALSE),
            0
        ) +
        IFERROR(
            VLOOKUP($A70, INDIRECT("FebR!$A$6:$ZZ$1048576"), MATCH(V$1, FebR!$6:$6, 0), FALSE),
            0
        ) +
        IFERROR(
            VLOOKUP($A70, INDIRECT("MarR!$A$6:$ZZ$1048576"), MATCH(V$1, MarR!$6:$6, 0), FALSE),
            0
        ) +
        IFERROR(
            VLOOKUP($A70, INDIRECT("AbrR!$A$6:$ZZ$1048576"), MATCH(V$1, AbrR!$6:$6, 0), FALSE),
            0
        ) +
        IFERROR(
            VLOOKUP($A70, INDIRECT("MayR!$A$6:$ZZ$1048576"), MATCH(V$1, MayR!$6:$6, 0), FALSE),
            0
        ) +
        IFERROR(
            VLOOKUP($A70, INDIRECT("JunR!$A$6:$ZZ$1048576"), MATCH(V$1, JunR!$6:$6, 0), FALSE),
            0
        ) +
        IFERROR(
            VLOOKUP($A70, INDIRECT("JulR!$A$6:$ZZ$1048576"), MATCH(V$1, JulR!$6:$6, 0), FALSE),
            0
        ) +
        IFERROR(
            VLOOKUP($A70, INDIRECT("AgoR!$A$6:$ZZ$1048576"), MATCH(V$1, AgoR!$6:$6, 0), FALSE),
            0
        ) +
        IFERROR(
            VLOOKUP($A70, INDIRECT("SepR!$A$6:$ZZ$1048576"), MATCH(V$1, SepR!$6:$6, 0), FALSE),
            0
        ) +
        IFERROR(
            VLOOKUP($A70, INDIRECT("OctR!$A$6:$ZZ$1048576"), MATCH(V$1, OctR!$6:$6, 0), FALSE),
            0
        ) +
        IFERROR(
            VLOOKUP($A70, INDIRECT("NovR!$A$6:$ZZ$1048576"), MATCH(V$1, NovR!$6:$6, 0), FALSE),
            0
        ) +
        IFERROR(
            VLOOKUP($A70, INDIRECT("DicR!$A$6:$ZZ$1048576"), MATCH(V$1, DicR!$6:$6, 0), FALSE),
            0
        )
)</f>
        <v>0</v>
      </c>
      <c r="W70" s="37">
        <f t="array" ref="W70">SUM(
    IFERROR(
            VLOOKUP($A70, INDIRECT("EneR!$A$6:$ZZ$1048576"), MATCH(W$1, EneR!$6:$6, 0), FALSE),
            0
        ) +
        IFERROR(
            VLOOKUP($A70, INDIRECT("FebR!$A$6:$ZZ$1048576"), MATCH(W$1, FebR!$6:$6, 0), FALSE),
            0
        ) +
        IFERROR(
            VLOOKUP($A70, INDIRECT("MarR!$A$6:$ZZ$1048576"), MATCH(W$1, MarR!$6:$6, 0), FALSE),
            0
        ) +
        IFERROR(
            VLOOKUP($A70, INDIRECT("AbrR!$A$6:$ZZ$1048576"), MATCH(W$1, AbrR!$6:$6, 0), FALSE),
            0
        ) +
        IFERROR(
            VLOOKUP($A70, INDIRECT("MayR!$A$6:$ZZ$1048576"), MATCH(W$1, MayR!$6:$6, 0), FALSE),
            0
        ) +
        IFERROR(
            VLOOKUP($A70, INDIRECT("JunR!$A$6:$ZZ$1048576"), MATCH(W$1, JunR!$6:$6, 0), FALSE),
            0
        ) +
        IFERROR(
            VLOOKUP($A70, INDIRECT("JulR!$A$6:$ZZ$1048576"), MATCH(W$1, JulR!$6:$6, 0), FALSE),
            0
        ) +
        IFERROR(
            VLOOKUP($A70, INDIRECT("AgoR!$A$6:$ZZ$1048576"), MATCH(W$1, AgoR!$6:$6, 0), FALSE),
            0
        ) +
        IFERROR(
            VLOOKUP($A70, INDIRECT("SepR!$A$6:$ZZ$1048576"), MATCH(W$1, SepR!$6:$6, 0), FALSE),
            0
        ) +
        IFERROR(
            VLOOKUP($A70, INDIRECT("OctR!$A$6:$ZZ$1048576"), MATCH(W$1, OctR!$6:$6, 0), FALSE),
            0
        ) +
        IFERROR(
            VLOOKUP($A70, INDIRECT("NovR!$A$6:$ZZ$1048576"), MATCH(W$1, NovR!$6:$6, 0), FALSE),
            0
        ) +
        IFERROR(
            VLOOKUP($A70, INDIRECT("DicR!$A$6:$ZZ$1048576"), MATCH(W$1, DicR!$6:$6, 0), FALSE),
            0
        )
)</f>
        <v>0</v>
      </c>
      <c r="X70" s="36">
        <f t="array" ref="X70">SUM(
    IFERROR(
            VLOOKUP($A70, INDIRECT("EneR!$A$6:$ZZ$1048576"), MATCH(X$1, EneR!$6:$6, 0), FALSE),
            0
        ) +
        IFERROR(
            VLOOKUP($A70, INDIRECT("FebR!$A$6:$ZZ$1048576"), MATCH(X$1, FebR!$6:$6, 0), FALSE),
            0
        ) +
        IFERROR(
            VLOOKUP($A70, INDIRECT("MarR!$A$6:$ZZ$1048576"), MATCH(X$1, MarR!$6:$6, 0), FALSE),
            0
        ) +
        IFERROR(
            VLOOKUP($A70, INDIRECT("AbrR!$A$6:$ZZ$1048576"), MATCH(X$1, AbrR!$6:$6, 0), FALSE),
            0
        ) +
        IFERROR(
            VLOOKUP($A70, INDIRECT("MayR!$A$6:$ZZ$1048576"), MATCH(X$1, MayR!$6:$6, 0), FALSE),
            0
        ) +
        IFERROR(
            VLOOKUP($A70, INDIRECT("JunR!$A$6:$ZZ$1048576"), MATCH(X$1, JunR!$6:$6, 0), FALSE),
            0
        ) +
        IFERROR(
            VLOOKUP($A70, INDIRECT("JulR!$A$6:$ZZ$1048576"), MATCH(X$1, JulR!$6:$6, 0), FALSE),
            0
        ) +
        IFERROR(
            VLOOKUP($A70, INDIRECT("AgoR!$A$6:$ZZ$1048576"), MATCH(X$1, AgoR!$6:$6, 0), FALSE),
            0
        ) +
        IFERROR(
            VLOOKUP($A70, INDIRECT("SepR!$A$6:$ZZ$1048576"), MATCH(X$1, SepR!$6:$6, 0), FALSE),
            0
        ) +
        IFERROR(
            VLOOKUP($A70, INDIRECT("OctR!$A$6:$ZZ$1048576"), MATCH(X$1, OctR!$6:$6, 0), FALSE),
            0
        ) +
        IFERROR(
            VLOOKUP($A70, INDIRECT("NovR!$A$6:$ZZ$1048576"), MATCH(X$1, NovR!$6:$6, 0), FALSE),
            0
        ) +
        IFERROR(
            VLOOKUP($A70, INDIRECT("DicR!$A$6:$ZZ$1048576"), MATCH(X$1, DicR!$6:$6, 0), FALSE),
            0
        )
)</f>
        <v>0</v>
      </c>
      <c r="Y70" s="37">
        <f t="array" ref="Y70">SUM(
    IFERROR(
            VLOOKUP($A70, INDIRECT("EneR!$A$6:$ZZ$1048576"), MATCH(Y$1, EneR!$6:$6, 0), FALSE),
            0
        ) +
        IFERROR(
            VLOOKUP($A70, INDIRECT("FebR!$A$6:$ZZ$1048576"), MATCH(Y$1, FebR!$6:$6, 0), FALSE),
            0
        ) +
        IFERROR(
            VLOOKUP($A70, INDIRECT("MarR!$A$6:$ZZ$1048576"), MATCH(Y$1, MarR!$6:$6, 0), FALSE),
            0
        ) +
        IFERROR(
            VLOOKUP($A70, INDIRECT("AbrR!$A$6:$ZZ$1048576"), MATCH(Y$1, AbrR!$6:$6, 0), FALSE),
            0
        ) +
        IFERROR(
            VLOOKUP($A70, INDIRECT("MayR!$A$6:$ZZ$1048576"), MATCH(Y$1, MayR!$6:$6, 0), FALSE),
            0
        ) +
        IFERROR(
            VLOOKUP($A70, INDIRECT("JunR!$A$6:$ZZ$1048576"), MATCH(Y$1, JunR!$6:$6, 0), FALSE),
            0
        ) +
        IFERROR(
            VLOOKUP($A70, INDIRECT("JulR!$A$6:$ZZ$1048576"), MATCH(Y$1, JulR!$6:$6, 0), FALSE),
            0
        ) +
        IFERROR(
            VLOOKUP($A70, INDIRECT("AgoR!$A$6:$ZZ$1048576"), MATCH(Y$1, AgoR!$6:$6, 0), FALSE),
            0
        ) +
        IFERROR(
            VLOOKUP($A70, INDIRECT("SepR!$A$6:$ZZ$1048576"), MATCH(Y$1, SepR!$6:$6, 0), FALSE),
            0
        ) +
        IFERROR(
            VLOOKUP($A70, INDIRECT("OctR!$A$6:$ZZ$1048576"), MATCH(Y$1, OctR!$6:$6, 0), FALSE),
            0
        ) +
        IFERROR(
            VLOOKUP($A70, INDIRECT("NovR!$A$6:$ZZ$1048576"), MATCH(Y$1, NovR!$6:$6, 0), FALSE),
            0
        ) +
        IFERROR(
            VLOOKUP($A70, INDIRECT("DicR!$A$6:$ZZ$1048576"), MATCH(Y$1, DicR!$6:$6, 0), FALSE),
            0
        )
)</f>
        <v>0</v>
      </c>
      <c r="Z70" s="36">
        <f t="array" ref="Z70">SUM(
    IFERROR(
            VLOOKUP($A70, INDIRECT("EneR!$A$6:$ZZ$1048576"), MATCH(Z$1, EneR!$6:$6, 0), FALSE),
            0
        ) +
        IFERROR(
            VLOOKUP($A70, INDIRECT("FebR!$A$6:$ZZ$1048576"), MATCH(Z$1, FebR!$6:$6, 0), FALSE),
            0
        ) +
        IFERROR(
            VLOOKUP($A70, INDIRECT("MarR!$A$6:$ZZ$1048576"), MATCH(Z$1, MarR!$6:$6, 0), FALSE),
            0
        ) +
        IFERROR(
            VLOOKUP($A70, INDIRECT("AbrR!$A$6:$ZZ$1048576"), MATCH(Z$1, AbrR!$6:$6, 0), FALSE),
            0
        ) +
        IFERROR(
            VLOOKUP($A70, INDIRECT("MayR!$A$6:$ZZ$1048576"), MATCH(Z$1, MayR!$6:$6, 0), FALSE),
            0
        ) +
        IFERROR(
            VLOOKUP($A70, INDIRECT("JunR!$A$6:$ZZ$1048576"), MATCH(Z$1, JunR!$6:$6, 0), FALSE),
            0
        ) +
        IFERROR(
            VLOOKUP($A70, INDIRECT("JulR!$A$6:$ZZ$1048576"), MATCH(Z$1, JulR!$6:$6, 0), FALSE),
            0
        ) +
        IFERROR(
            VLOOKUP($A70, INDIRECT("AgoR!$A$6:$ZZ$1048576"), MATCH(Z$1, AgoR!$6:$6, 0), FALSE),
            0
        ) +
        IFERROR(
            VLOOKUP($A70, INDIRECT("SepR!$A$6:$ZZ$1048576"), MATCH(Z$1, SepR!$6:$6, 0), FALSE),
            0
        ) +
        IFERROR(
            VLOOKUP($A70, INDIRECT("OctR!$A$6:$ZZ$1048576"), MATCH(Z$1, OctR!$6:$6, 0), FALSE),
            0
        ) +
        IFERROR(
            VLOOKUP($A70, INDIRECT("NovR!$A$6:$ZZ$1048576"), MATCH(Z$1, NovR!$6:$6, 0), FALSE),
            0
        ) +
        IFERROR(
            VLOOKUP($A70, INDIRECT("DicR!$A$6:$ZZ$1048576"), MATCH(Z$1, DicR!$6:$6, 0), FALSE),
            0
        )
)</f>
        <v>0</v>
      </c>
      <c r="AA70" s="37">
        <f t="array" ref="AA70">SUM(
    IFERROR(
            VLOOKUP($A70, INDIRECT("EneR!$A$6:$ZZ$1048576"), MATCH(AA$1, EneR!$6:$6, 0), FALSE),
            0
        ) +
        IFERROR(
            VLOOKUP($A70, INDIRECT("FebR!$A$6:$ZZ$1048576"), MATCH(AA$1, FebR!$6:$6, 0), FALSE),
            0
        ) +
        IFERROR(
            VLOOKUP($A70, INDIRECT("MarR!$A$6:$ZZ$1048576"), MATCH(AA$1, MarR!$6:$6, 0), FALSE),
            0
        ) +
        IFERROR(
            VLOOKUP($A70, INDIRECT("AbrR!$A$6:$ZZ$1048576"), MATCH(AA$1, AbrR!$6:$6, 0), FALSE),
            0
        ) +
        IFERROR(
            VLOOKUP($A70, INDIRECT("MayR!$A$6:$ZZ$1048576"), MATCH(AA$1, MayR!$6:$6, 0), FALSE),
            0
        ) +
        IFERROR(
            VLOOKUP($A70, INDIRECT("JunR!$A$6:$ZZ$1048576"), MATCH(AA$1, JunR!$6:$6, 0), FALSE),
            0
        ) +
        IFERROR(
            VLOOKUP($A70, INDIRECT("JulR!$A$6:$ZZ$1048576"), MATCH(AA$1, JulR!$6:$6, 0), FALSE),
            0
        ) +
        IFERROR(
            VLOOKUP($A70, INDIRECT("AgoR!$A$6:$ZZ$1048576"), MATCH(AA$1, AgoR!$6:$6, 0), FALSE),
            0
        ) +
        IFERROR(
            VLOOKUP($A70, INDIRECT("SepR!$A$6:$ZZ$1048576"), MATCH(AA$1, SepR!$6:$6, 0), FALSE),
            0
        ) +
        IFERROR(
            VLOOKUP($A70, INDIRECT("OctR!$A$6:$ZZ$1048576"), MATCH(AA$1, OctR!$6:$6, 0), FALSE),
            0
        ) +
        IFERROR(
            VLOOKUP($A70, INDIRECT("NovR!$A$6:$ZZ$1048576"), MATCH(AA$1, NovR!$6:$6, 0), FALSE),
            0
        ) +
        IFERROR(
            VLOOKUP($A70, INDIRECT("DicR!$A$6:$ZZ$1048576"), MATCH(AA$1, DicR!$6:$6, 0), FALSE),
            0
        )
)</f>
        <v>0</v>
      </c>
      <c r="AB70" s="36">
        <f t="array" ref="AB70">SUM(
    IFERROR(
            VLOOKUP($A70, INDIRECT("EneR!$A$6:$ZZ$1048576"), MATCH(AB$1, EneR!$6:$6, 0), FALSE),
            0
        ) +
        IFERROR(
            VLOOKUP($A70, INDIRECT("FebR!$A$6:$ZZ$1048576"), MATCH(AB$1, FebR!$6:$6, 0), FALSE),
            0
        ) +
        IFERROR(
            VLOOKUP($A70, INDIRECT("MarR!$A$6:$ZZ$1048576"), MATCH(AB$1, MarR!$6:$6, 0), FALSE),
            0
        ) +
        IFERROR(
            VLOOKUP($A70, INDIRECT("AbrR!$A$6:$ZZ$1048576"), MATCH(AB$1, AbrR!$6:$6, 0), FALSE),
            0
        ) +
        IFERROR(
            VLOOKUP($A70, INDIRECT("MayR!$A$6:$ZZ$1048576"), MATCH(AB$1, MayR!$6:$6, 0), FALSE),
            0
        ) +
        IFERROR(
            VLOOKUP($A70, INDIRECT("JunR!$A$6:$ZZ$1048576"), MATCH(AB$1, JunR!$6:$6, 0), FALSE),
            0
        ) +
        IFERROR(
            VLOOKUP($A70, INDIRECT("JulR!$A$6:$ZZ$1048576"), MATCH(AB$1, JulR!$6:$6, 0), FALSE),
            0
        ) +
        IFERROR(
            VLOOKUP($A70, INDIRECT("AgoR!$A$6:$ZZ$1048576"), MATCH(AB$1, AgoR!$6:$6, 0), FALSE),
            0
        ) +
        IFERROR(
            VLOOKUP($A70, INDIRECT("SepR!$A$6:$ZZ$1048576"), MATCH(AB$1, SepR!$6:$6, 0), FALSE),
            0
        ) +
        IFERROR(
            VLOOKUP($A70, INDIRECT("OctR!$A$6:$ZZ$1048576"), MATCH(AB$1, OctR!$6:$6, 0), FALSE),
            0
        ) +
        IFERROR(
            VLOOKUP($A70, INDIRECT("NovR!$A$6:$ZZ$1048576"), MATCH(AB$1, NovR!$6:$6, 0), FALSE),
            0
        ) +
        IFERROR(
            VLOOKUP($A70, INDIRECT("DicR!$A$6:$ZZ$1048576"), MATCH(AB$1, DicR!$6:$6, 0), FALSE),
            0
        )
)</f>
        <v>0</v>
      </c>
      <c r="AC70" s="37">
        <f t="array" ref="AC70">SUM(
    IFERROR(
            VLOOKUP($A70, INDIRECT("EneR!$A$6:$ZZ$1048576"), MATCH(AC$1, EneR!$6:$6, 0), FALSE),
            0
        ) +
        IFERROR(
            VLOOKUP($A70, INDIRECT("FebR!$A$6:$ZZ$1048576"), MATCH(AC$1, FebR!$6:$6, 0), FALSE),
            0
        ) +
        IFERROR(
            VLOOKUP($A70, INDIRECT("MarR!$A$6:$ZZ$1048576"), MATCH(AC$1, MarR!$6:$6, 0), FALSE),
            0
        ) +
        IFERROR(
            VLOOKUP($A70, INDIRECT("AbrR!$A$6:$ZZ$1048576"), MATCH(AC$1, AbrR!$6:$6, 0), FALSE),
            0
        ) +
        IFERROR(
            VLOOKUP($A70, INDIRECT("MayR!$A$6:$ZZ$1048576"), MATCH(AC$1, MayR!$6:$6, 0), FALSE),
            0
        ) +
        IFERROR(
            VLOOKUP($A70, INDIRECT("JunR!$A$6:$ZZ$1048576"), MATCH(AC$1, JunR!$6:$6, 0), FALSE),
            0
        ) +
        IFERROR(
            VLOOKUP($A70, INDIRECT("JulR!$A$6:$ZZ$1048576"), MATCH(AC$1, JulR!$6:$6, 0), FALSE),
            0
        ) +
        IFERROR(
            VLOOKUP($A70, INDIRECT("AgoR!$A$6:$ZZ$1048576"), MATCH(AC$1, AgoR!$6:$6, 0), FALSE),
            0
        ) +
        IFERROR(
            VLOOKUP($A70, INDIRECT("SepR!$A$6:$ZZ$1048576"), MATCH(AC$1, SepR!$6:$6, 0), FALSE),
            0
        ) +
        IFERROR(
            VLOOKUP($A70, INDIRECT("OctR!$A$6:$ZZ$1048576"), MATCH(AC$1, OctR!$6:$6, 0), FALSE),
            0
        ) +
        IFERROR(
            VLOOKUP($A70, INDIRECT("NovR!$A$6:$ZZ$1048576"), MATCH(AC$1, NovR!$6:$6, 0), FALSE),
            0
        ) +
        IFERROR(
            VLOOKUP($A70, INDIRECT("DicR!$A$6:$ZZ$1048576"), MATCH(AC$1, DicR!$6:$6, 0), FALSE),
            0
        )
)</f>
        <v>0</v>
      </c>
      <c r="AD70" s="36">
        <f t="array" ref="AD70">SUM(
    IFERROR(
            VLOOKUP($A70, INDIRECT("EneR!$A$6:$ZZ$1048576"), MATCH(AD$1, EneR!$6:$6, 0), FALSE),
            0
        ) +
        IFERROR(
            VLOOKUP($A70, INDIRECT("FebR!$A$6:$ZZ$1048576"), MATCH(AD$1, FebR!$6:$6, 0), FALSE),
            0
        ) +
        IFERROR(
            VLOOKUP($A70, INDIRECT("MarR!$A$6:$ZZ$1048576"), MATCH(AD$1, MarR!$6:$6, 0), FALSE),
            0
        ) +
        IFERROR(
            VLOOKUP($A70, INDIRECT("AbrR!$A$6:$ZZ$1048576"), MATCH(AD$1, AbrR!$6:$6, 0), FALSE),
            0
        ) +
        IFERROR(
            VLOOKUP($A70, INDIRECT("MayR!$A$6:$ZZ$1048576"), MATCH(AD$1, MayR!$6:$6, 0), FALSE),
            0
        ) +
        IFERROR(
            VLOOKUP($A70, INDIRECT("JunR!$A$6:$ZZ$1048576"), MATCH(AD$1, JunR!$6:$6, 0), FALSE),
            0
        ) +
        IFERROR(
            VLOOKUP($A70, INDIRECT("JulR!$A$6:$ZZ$1048576"), MATCH(AD$1, JulR!$6:$6, 0), FALSE),
            0
        ) +
        IFERROR(
            VLOOKUP($A70, INDIRECT("AgoR!$A$6:$ZZ$1048576"), MATCH(AD$1, AgoR!$6:$6, 0), FALSE),
            0
        ) +
        IFERROR(
            VLOOKUP($A70, INDIRECT("SepR!$A$6:$ZZ$1048576"), MATCH(AD$1, SepR!$6:$6, 0), FALSE),
            0
        ) +
        IFERROR(
            VLOOKUP($A70, INDIRECT("OctR!$A$6:$ZZ$1048576"), MATCH(AD$1, OctR!$6:$6, 0), FALSE),
            0
        ) +
        IFERROR(
            VLOOKUP($A70, INDIRECT("NovR!$A$6:$ZZ$1048576"), MATCH(AD$1, NovR!$6:$6, 0), FALSE),
            0
        ) +
        IFERROR(
            VLOOKUP($A70, INDIRECT("DicR!$A$6:$ZZ$1048576"), MATCH(AD$1, DicR!$6:$6, 0), FALSE),
            0
        )
)</f>
        <v>0</v>
      </c>
      <c r="AE70" s="37">
        <f t="array" ref="AE70">SUM(
    IFERROR(
            VLOOKUP($A70, INDIRECT("EneR!$A$6:$ZZ$1048576"), MATCH(AE$1, EneR!$6:$6, 0), FALSE),
            0
        ) +
        IFERROR(
            VLOOKUP($A70, INDIRECT("FebR!$A$6:$ZZ$1048576"), MATCH(AE$1, FebR!$6:$6, 0), FALSE),
            0
        ) +
        IFERROR(
            VLOOKUP($A70, INDIRECT("MarR!$A$6:$ZZ$1048576"), MATCH(AE$1, MarR!$6:$6, 0), FALSE),
            0
        ) +
        IFERROR(
            VLOOKUP($A70, INDIRECT("AbrR!$A$6:$ZZ$1048576"), MATCH(AE$1, AbrR!$6:$6, 0), FALSE),
            0
        ) +
        IFERROR(
            VLOOKUP($A70, INDIRECT("MayR!$A$6:$ZZ$1048576"), MATCH(AE$1, MayR!$6:$6, 0), FALSE),
            0
        ) +
        IFERROR(
            VLOOKUP($A70, INDIRECT("JunR!$A$6:$ZZ$1048576"), MATCH(AE$1, JunR!$6:$6, 0), FALSE),
            0
        ) +
        IFERROR(
            VLOOKUP($A70, INDIRECT("JulR!$A$6:$ZZ$1048576"), MATCH(AE$1, JulR!$6:$6, 0), FALSE),
            0
        ) +
        IFERROR(
            VLOOKUP($A70, INDIRECT("AgoR!$A$6:$ZZ$1048576"), MATCH(AE$1, AgoR!$6:$6, 0), FALSE),
            0
        ) +
        IFERROR(
            VLOOKUP($A70, INDIRECT("SepR!$A$6:$ZZ$1048576"), MATCH(AE$1, SepR!$6:$6, 0), FALSE),
            0
        ) +
        IFERROR(
            VLOOKUP($A70, INDIRECT("OctR!$A$6:$ZZ$1048576"), MATCH(AE$1, OctR!$6:$6, 0), FALSE),
            0
        ) +
        IFERROR(
            VLOOKUP($A70, INDIRECT("NovR!$A$6:$ZZ$1048576"), MATCH(AE$1, NovR!$6:$6, 0), FALSE),
            0
        ) +
        IFERROR(
            VLOOKUP($A70, INDIRECT("DicR!$A$6:$ZZ$1048576"), MATCH(AE$1, DicR!$6:$6, 0), FALSE),
            0
        )
)</f>
        <v>0</v>
      </c>
      <c r="AF70" s="36">
        <f t="array" ref="AF70">SUM(
    IFERROR(
            VLOOKUP($A70, INDIRECT("EneR!$A$6:$ZZ$1048576"), MATCH(AF$1, EneR!$6:$6, 0), FALSE),
            0
        ) +
        IFERROR(
            VLOOKUP($A70, INDIRECT("FebR!$A$6:$ZZ$1048576"), MATCH(AF$1, FebR!$6:$6, 0), FALSE),
            0
        ) +
        IFERROR(
            VLOOKUP($A70, INDIRECT("MarR!$A$6:$ZZ$1048576"), MATCH(AF$1, MarR!$6:$6, 0), FALSE),
            0
        ) +
        IFERROR(
            VLOOKUP($A70, INDIRECT("AbrR!$A$6:$ZZ$1048576"), MATCH(AF$1, AbrR!$6:$6, 0), FALSE),
            0
        ) +
        IFERROR(
            VLOOKUP($A70, INDIRECT("MayR!$A$6:$ZZ$1048576"), MATCH(AF$1, MayR!$6:$6, 0), FALSE),
            0
        ) +
        IFERROR(
            VLOOKUP($A70, INDIRECT("JunR!$A$6:$ZZ$1048576"), MATCH(AF$1, JunR!$6:$6, 0), FALSE),
            0
        ) +
        IFERROR(
            VLOOKUP($A70, INDIRECT("JulR!$A$6:$ZZ$1048576"), MATCH(AF$1, JulR!$6:$6, 0), FALSE),
            0
        ) +
        IFERROR(
            VLOOKUP($A70, INDIRECT("AgoR!$A$6:$ZZ$1048576"), MATCH(AF$1, AgoR!$6:$6, 0), FALSE),
            0
        ) +
        IFERROR(
            VLOOKUP($A70, INDIRECT("SepR!$A$6:$ZZ$1048576"), MATCH(AF$1, SepR!$6:$6, 0), FALSE),
            0
        ) +
        IFERROR(
            VLOOKUP($A70, INDIRECT("OctR!$A$6:$ZZ$1048576"), MATCH(AF$1, OctR!$6:$6, 0), FALSE),
            0
        ) +
        IFERROR(
            VLOOKUP($A70, INDIRECT("NovR!$A$6:$ZZ$1048576"), MATCH(AF$1, NovR!$6:$6, 0), FALSE),
            0
        ) +
        IFERROR(
            VLOOKUP($A70, INDIRECT("DicR!$A$6:$ZZ$1048576"), MATCH(AF$1, DicR!$6:$6, 0), FALSE),
            0
        )
)</f>
        <v>0</v>
      </c>
      <c r="AG70" s="37">
        <f t="array" ref="AG70">SUM(
    IFERROR(
            VLOOKUP($A70, INDIRECT("EneR!$A$6:$ZZ$1048576"), MATCH(AG$1, EneR!$6:$6, 0), FALSE),
            0
        ) +
        IFERROR(
            VLOOKUP($A70, INDIRECT("FebR!$A$6:$ZZ$1048576"), MATCH(AG$1, FebR!$6:$6, 0), FALSE),
            0
        ) +
        IFERROR(
            VLOOKUP($A70, INDIRECT("MarR!$A$6:$ZZ$1048576"), MATCH(AG$1, MarR!$6:$6, 0), FALSE),
            0
        ) +
        IFERROR(
            VLOOKUP($A70, INDIRECT("AbrR!$A$6:$ZZ$1048576"), MATCH(AG$1, AbrR!$6:$6, 0), FALSE),
            0
        ) +
        IFERROR(
            VLOOKUP($A70, INDIRECT("MayR!$A$6:$ZZ$1048576"), MATCH(AG$1, MayR!$6:$6, 0), FALSE),
            0
        ) +
        IFERROR(
            VLOOKUP($A70, INDIRECT("JunR!$A$6:$ZZ$1048576"), MATCH(AG$1, JunR!$6:$6, 0), FALSE),
            0
        ) +
        IFERROR(
            VLOOKUP($A70, INDIRECT("JulR!$A$6:$ZZ$1048576"), MATCH(AG$1, JulR!$6:$6, 0), FALSE),
            0
        ) +
        IFERROR(
            VLOOKUP($A70, INDIRECT("AgoR!$A$6:$ZZ$1048576"), MATCH(AG$1, AgoR!$6:$6, 0), FALSE),
            0
        ) +
        IFERROR(
            VLOOKUP($A70, INDIRECT("SepR!$A$6:$ZZ$1048576"), MATCH(AG$1, SepR!$6:$6, 0), FALSE),
            0
        ) +
        IFERROR(
            VLOOKUP($A70, INDIRECT("OctR!$A$6:$ZZ$1048576"), MATCH(AG$1, OctR!$6:$6, 0), FALSE),
            0
        ) +
        IFERROR(
            VLOOKUP($A70, INDIRECT("NovR!$A$6:$ZZ$1048576"), MATCH(AG$1, NovR!$6:$6, 0), FALSE),
            0
        ) +
        IFERROR(
            VLOOKUP($A70, INDIRECT("DicR!$A$6:$ZZ$1048576"), MATCH(AG$1, DicR!$6:$6, 0), FALSE),
            0
        )
)</f>
        <v>0</v>
      </c>
      <c r="AH70" s="36">
        <f t="array" ref="AH70">SUM(
    IFERROR(
            VLOOKUP($A70, INDIRECT("EneR!$A$6:$ZZ$1048576"), MATCH(AH$1, EneR!$6:$6, 0), FALSE),
            0
        ) +
        IFERROR(
            VLOOKUP($A70, INDIRECT("FebR!$A$6:$ZZ$1048576"), MATCH(AH$1, FebR!$6:$6, 0), FALSE),
            0
        ) +
        IFERROR(
            VLOOKUP($A70, INDIRECT("MarR!$A$6:$ZZ$1048576"), MATCH(AH$1, MarR!$6:$6, 0), FALSE),
            0
        ) +
        IFERROR(
            VLOOKUP($A70, INDIRECT("AbrR!$A$6:$ZZ$1048576"), MATCH(AH$1, AbrR!$6:$6, 0), FALSE),
            0
        ) +
        IFERROR(
            VLOOKUP($A70, INDIRECT("MayR!$A$6:$ZZ$1048576"), MATCH(AH$1, MayR!$6:$6, 0), FALSE),
            0
        ) +
        IFERROR(
            VLOOKUP($A70, INDIRECT("JunR!$A$6:$ZZ$1048576"), MATCH(AH$1, JunR!$6:$6, 0), FALSE),
            0
        ) +
        IFERROR(
            VLOOKUP($A70, INDIRECT("JulR!$A$6:$ZZ$1048576"), MATCH(AH$1, JulR!$6:$6, 0), FALSE),
            0
        ) +
        IFERROR(
            VLOOKUP($A70, INDIRECT("AgoR!$A$6:$ZZ$1048576"), MATCH(AH$1, AgoR!$6:$6, 0), FALSE),
            0
        ) +
        IFERROR(
            VLOOKUP($A70, INDIRECT("SepR!$A$6:$ZZ$1048576"), MATCH(AH$1, SepR!$6:$6, 0), FALSE),
            0
        ) +
        IFERROR(
            VLOOKUP($A70, INDIRECT("OctR!$A$6:$ZZ$1048576"), MATCH(AH$1, OctR!$6:$6, 0), FALSE),
            0
        ) +
        IFERROR(
            VLOOKUP($A70, INDIRECT("NovR!$A$6:$ZZ$1048576"), MATCH(AH$1, NovR!$6:$6, 0), FALSE),
            0
        ) +
        IFERROR(
            VLOOKUP($A70, INDIRECT("DicR!$A$6:$ZZ$1048576"), MATCH(AH$1, DicR!$6:$6, 0), FALSE),
            0
        )
)</f>
        <v>0</v>
      </c>
      <c r="AI70" s="37">
        <f t="array" ref="AI70">SUM(
    IFERROR(
            VLOOKUP($A70, INDIRECT("EneR!$A$6:$ZZ$1048576"), MATCH(AI$1, EneR!$6:$6, 0), FALSE),
            0
        ) +
        IFERROR(
            VLOOKUP($A70, INDIRECT("FebR!$A$6:$ZZ$1048576"), MATCH(AI$1, FebR!$6:$6, 0), FALSE),
            0
        ) +
        IFERROR(
            VLOOKUP($A70, INDIRECT("MarR!$A$6:$ZZ$1048576"), MATCH(AI$1, MarR!$6:$6, 0), FALSE),
            0
        ) +
        IFERROR(
            VLOOKUP($A70, INDIRECT("AbrR!$A$6:$ZZ$1048576"), MATCH(AI$1, AbrR!$6:$6, 0), FALSE),
            0
        ) +
        IFERROR(
            VLOOKUP($A70, INDIRECT("MayR!$A$6:$ZZ$1048576"), MATCH(AI$1, MayR!$6:$6, 0), FALSE),
            0
        ) +
        IFERROR(
            VLOOKUP($A70, INDIRECT("JunR!$A$6:$ZZ$1048576"), MATCH(AI$1, JunR!$6:$6, 0), FALSE),
            0
        ) +
        IFERROR(
            VLOOKUP($A70, INDIRECT("JulR!$A$6:$ZZ$1048576"), MATCH(AI$1, JulR!$6:$6, 0), FALSE),
            0
        ) +
        IFERROR(
            VLOOKUP($A70, INDIRECT("AgoR!$A$6:$ZZ$1048576"), MATCH(AI$1, AgoR!$6:$6, 0), FALSE),
            0
        ) +
        IFERROR(
            VLOOKUP($A70, INDIRECT("SepR!$A$6:$ZZ$1048576"), MATCH(AI$1, SepR!$6:$6, 0), FALSE),
            0
        ) +
        IFERROR(
            VLOOKUP($A70, INDIRECT("OctR!$A$6:$ZZ$1048576"), MATCH(AI$1, OctR!$6:$6, 0), FALSE),
            0
        ) +
        IFERROR(
            VLOOKUP($A70, INDIRECT("NovR!$A$6:$ZZ$1048576"), MATCH(AI$1, NovR!$6:$6, 0), FALSE),
            0
        ) +
        IFERROR(
            VLOOKUP($A70, INDIRECT("DicR!$A$6:$ZZ$1048576"), MATCH(AI$1, DicR!$6:$6, 0), FALSE),
            0
        )
)</f>
        <v>0</v>
      </c>
      <c r="AJ70" s="36">
        <f t="array" ref="AJ70">SUM(
    IFERROR(
            VLOOKUP($A70, INDIRECT("EneR!$A$6:$ZZ$1048576"), MATCH(AJ$1, EneR!$6:$6, 0), FALSE),
            0
        ) +
        IFERROR(
            VLOOKUP($A70, INDIRECT("FebR!$A$6:$ZZ$1048576"), MATCH(AJ$1, FebR!$6:$6, 0), FALSE),
            0
        ) +
        IFERROR(
            VLOOKUP($A70, INDIRECT("MarR!$A$6:$ZZ$1048576"), MATCH(AJ$1, MarR!$6:$6, 0), FALSE),
            0
        ) +
        IFERROR(
            VLOOKUP($A70, INDIRECT("AbrR!$A$6:$ZZ$1048576"), MATCH(AJ$1, AbrR!$6:$6, 0), FALSE),
            0
        ) +
        IFERROR(
            VLOOKUP($A70, INDIRECT("MayR!$A$6:$ZZ$1048576"), MATCH(AJ$1, MayR!$6:$6, 0), FALSE),
            0
        ) +
        IFERROR(
            VLOOKUP($A70, INDIRECT("JunR!$A$6:$ZZ$1048576"), MATCH(AJ$1, JunR!$6:$6, 0), FALSE),
            0
        ) +
        IFERROR(
            VLOOKUP($A70, INDIRECT("JulR!$A$6:$ZZ$1048576"), MATCH(AJ$1, JulR!$6:$6, 0), FALSE),
            0
        ) +
        IFERROR(
            VLOOKUP($A70, INDIRECT("AgoR!$A$6:$ZZ$1048576"), MATCH(AJ$1, AgoR!$6:$6, 0), FALSE),
            0
        ) +
        IFERROR(
            VLOOKUP($A70, INDIRECT("SepR!$A$6:$ZZ$1048576"), MATCH(AJ$1, SepR!$6:$6, 0), FALSE),
            0
        ) +
        IFERROR(
            VLOOKUP($A70, INDIRECT("OctR!$A$6:$ZZ$1048576"), MATCH(AJ$1, OctR!$6:$6, 0), FALSE),
            0
        ) +
        IFERROR(
            VLOOKUP($A70, INDIRECT("NovR!$A$6:$ZZ$1048576"), MATCH(AJ$1, NovR!$6:$6, 0), FALSE),
            0
        ) +
        IFERROR(
            VLOOKUP($A70, INDIRECT("DicR!$A$6:$ZZ$1048576"), MATCH(AJ$1, DicR!$6:$6, 0), FALSE),
            0
        )
)</f>
        <v>0</v>
      </c>
      <c r="AK70" s="37">
        <f t="array" ref="AK70">SUM(
    IFERROR(
            VLOOKUP($A70, INDIRECT("EneR!$A$6:$ZZ$1048576"), MATCH(AK$1, EneR!$6:$6, 0), FALSE),
            0
        ) +
        IFERROR(
            VLOOKUP($A70, INDIRECT("FebR!$A$6:$ZZ$1048576"), MATCH(AK$1, FebR!$6:$6, 0), FALSE),
            0
        ) +
        IFERROR(
            VLOOKUP($A70, INDIRECT("MarR!$A$6:$ZZ$1048576"), MATCH(AK$1, MarR!$6:$6, 0), FALSE),
            0
        ) +
        IFERROR(
            VLOOKUP($A70, INDIRECT("AbrR!$A$6:$ZZ$1048576"), MATCH(AK$1, AbrR!$6:$6, 0), FALSE),
            0
        ) +
        IFERROR(
            VLOOKUP($A70, INDIRECT("MayR!$A$6:$ZZ$1048576"), MATCH(AK$1, MayR!$6:$6, 0), FALSE),
            0
        ) +
        IFERROR(
            VLOOKUP($A70, INDIRECT("JunR!$A$6:$ZZ$1048576"), MATCH(AK$1, JunR!$6:$6, 0), FALSE),
            0
        ) +
        IFERROR(
            VLOOKUP($A70, INDIRECT("JulR!$A$6:$ZZ$1048576"), MATCH(AK$1, JulR!$6:$6, 0), FALSE),
            0
        ) +
        IFERROR(
            VLOOKUP($A70, INDIRECT("AgoR!$A$6:$ZZ$1048576"), MATCH(AK$1, AgoR!$6:$6, 0), FALSE),
            0
        ) +
        IFERROR(
            VLOOKUP($A70, INDIRECT("SepR!$A$6:$ZZ$1048576"), MATCH(AK$1, SepR!$6:$6, 0), FALSE),
            0
        ) +
        IFERROR(
            VLOOKUP($A70, INDIRECT("OctR!$A$6:$ZZ$1048576"), MATCH(AK$1, OctR!$6:$6, 0), FALSE),
            0
        ) +
        IFERROR(
            VLOOKUP($A70, INDIRECT("NovR!$A$6:$ZZ$1048576"), MATCH(AK$1, NovR!$6:$6, 0), FALSE),
            0
        ) +
        IFERROR(
            VLOOKUP($A70, INDIRECT("DicR!$A$6:$ZZ$1048576"), MATCH(AK$1, DicR!$6:$6, 0), FALSE),
            0
        )
)</f>
        <v>0</v>
      </c>
      <c r="AL70" s="36">
        <f t="array" ref="AL70">SUM(
    IFERROR(
            VLOOKUP($A70, INDIRECT("EneR!$A$6:$ZZ$1048576"), MATCH(AL$1, EneR!$6:$6, 0), FALSE),
            0
        ) +
        IFERROR(
            VLOOKUP($A70, INDIRECT("FebR!$A$6:$ZZ$1048576"), MATCH(AL$1, FebR!$6:$6, 0), FALSE),
            0
        ) +
        IFERROR(
            VLOOKUP($A70, INDIRECT("MarR!$A$6:$ZZ$1048576"), MATCH(AL$1, MarR!$6:$6, 0), FALSE),
            0
        ) +
        IFERROR(
            VLOOKUP($A70, INDIRECT("AbrR!$A$6:$ZZ$1048576"), MATCH(AL$1, AbrR!$6:$6, 0), FALSE),
            0
        ) +
        IFERROR(
            VLOOKUP($A70, INDIRECT("MayR!$A$6:$ZZ$1048576"), MATCH(AL$1, MayR!$6:$6, 0), FALSE),
            0
        ) +
        IFERROR(
            VLOOKUP($A70, INDIRECT("JunR!$A$6:$ZZ$1048576"), MATCH(AL$1, JunR!$6:$6, 0), FALSE),
            0
        ) +
        IFERROR(
            VLOOKUP($A70, INDIRECT("JulR!$A$6:$ZZ$1048576"), MATCH(AL$1, JulR!$6:$6, 0), FALSE),
            0
        ) +
        IFERROR(
            VLOOKUP($A70, INDIRECT("AgoR!$A$6:$ZZ$1048576"), MATCH(AL$1, AgoR!$6:$6, 0), FALSE),
            0
        ) +
        IFERROR(
            VLOOKUP($A70, INDIRECT("SepR!$A$6:$ZZ$1048576"), MATCH(AL$1, SepR!$6:$6, 0), FALSE),
            0
        ) +
        IFERROR(
            VLOOKUP($A70, INDIRECT("OctR!$A$6:$ZZ$1048576"), MATCH(AL$1, OctR!$6:$6, 0), FALSE),
            0
        ) +
        IFERROR(
            VLOOKUP($A70, INDIRECT("NovR!$A$6:$ZZ$1048576"), MATCH(AL$1, NovR!$6:$6, 0), FALSE),
            0
        ) +
        IFERROR(
            VLOOKUP($A70, INDIRECT("DicR!$A$6:$ZZ$1048576"), MATCH(AL$1, DicR!$6:$6, 0), FALSE),
            0
        )
)</f>
        <v>0</v>
      </c>
      <c r="AM70" s="37">
        <f t="array" ref="AM70">SUM(
    IFERROR(
            VLOOKUP($A70, INDIRECT("EneR!$A$6:$ZZ$1048576"), MATCH(AM$1, EneR!$6:$6, 0), FALSE),
            0
        ) +
        IFERROR(
            VLOOKUP($A70, INDIRECT("FebR!$A$6:$ZZ$1048576"), MATCH(AM$1, FebR!$6:$6, 0), FALSE),
            0
        ) +
        IFERROR(
            VLOOKUP($A70, INDIRECT("MarR!$A$6:$ZZ$1048576"), MATCH(AM$1, MarR!$6:$6, 0), FALSE),
            0
        ) +
        IFERROR(
            VLOOKUP($A70, INDIRECT("AbrR!$A$6:$ZZ$1048576"), MATCH(AM$1, AbrR!$6:$6, 0), FALSE),
            0
        ) +
        IFERROR(
            VLOOKUP($A70, INDIRECT("MayR!$A$6:$ZZ$1048576"), MATCH(AM$1, MayR!$6:$6, 0), FALSE),
            0
        ) +
        IFERROR(
            VLOOKUP($A70, INDIRECT("JunR!$A$6:$ZZ$1048576"), MATCH(AM$1, JunR!$6:$6, 0), FALSE),
            0
        ) +
        IFERROR(
            VLOOKUP($A70, INDIRECT("JulR!$A$6:$ZZ$1048576"), MATCH(AM$1, JulR!$6:$6, 0), FALSE),
            0
        ) +
        IFERROR(
            VLOOKUP($A70, INDIRECT("AgoR!$A$6:$ZZ$1048576"), MATCH(AM$1, AgoR!$6:$6, 0), FALSE),
            0
        ) +
        IFERROR(
            VLOOKUP($A70, INDIRECT("SepR!$A$6:$ZZ$1048576"), MATCH(AM$1, SepR!$6:$6, 0), FALSE),
            0
        ) +
        IFERROR(
            VLOOKUP($A70, INDIRECT("OctR!$A$6:$ZZ$1048576"), MATCH(AM$1, OctR!$6:$6, 0), FALSE),
            0
        ) +
        IFERROR(
            VLOOKUP($A70, INDIRECT("NovR!$A$6:$ZZ$1048576"), MATCH(AM$1, NovR!$6:$6, 0), FALSE),
            0
        ) +
        IFERROR(
            VLOOKUP($A70, INDIRECT("DicR!$A$6:$ZZ$1048576"), MATCH(AM$1, DicR!$6:$6, 0), FALSE),
            0
        )
)</f>
        <v>0</v>
      </c>
      <c r="AN70" s="32">
        <f t="array" ref="AN70">SUM(
    IFERROR(
            VLOOKUP($A70, INDIRECT("EneR!$A$6:$ZZ$1048576"), MATCH(AN$1, EneR!$6:$6, 0), FALSE),
            0
        ) +
        IFERROR(
            VLOOKUP($A70, INDIRECT("FebR!$A$6:$ZZ$1048576"), MATCH(AN$1, FebR!$6:$6, 0), FALSE),
            0
        ) +
        IFERROR(
            VLOOKUP($A70, INDIRECT("MarR!$A$6:$ZZ$1048576"), MATCH(AN$1, MarR!$6:$6, 0), FALSE),
            0
        ) +
        IFERROR(
            VLOOKUP($A70, INDIRECT("AbrR!$A$6:$ZZ$1048576"), MATCH(AN$1, AbrR!$6:$6, 0), FALSE),
            0
        ) +
        IFERROR(
            VLOOKUP($A70, INDIRECT("MayR!$A$6:$ZZ$1048576"), MATCH(AN$1, MayR!$6:$6, 0), FALSE),
            0
        ) +
        IFERROR(
            VLOOKUP($A70, INDIRECT("JunR!$A$6:$ZZ$1048576"), MATCH(AN$1, JunR!$6:$6, 0), FALSE),
            0
        ) +
        IFERROR(
            VLOOKUP($A70, INDIRECT("JulR!$A$6:$ZZ$1048576"), MATCH(AN$1, JulR!$6:$6, 0), FALSE),
            0
        ) +
        IFERROR(
            VLOOKUP($A70, INDIRECT("AgoR!$A$6:$ZZ$1048576"), MATCH(AN$1, AgoR!$6:$6, 0), FALSE),
            0
        ) +
        IFERROR(
            VLOOKUP($A70, INDIRECT("SepR!$A$6:$ZZ$1048576"), MATCH(AN$1, SepR!$6:$6, 0), FALSE),
            0
        ) +
        IFERROR(
            VLOOKUP($A70, INDIRECT("OctR!$A$6:$ZZ$1048576"), MATCH(AN$1, OctR!$6:$6, 0), FALSE),
            0
        ) +
        IFERROR(
            VLOOKUP($A70, INDIRECT("NovR!$A$6:$ZZ$1048576"), MATCH(AN$1, NovR!$6:$6, 0), FALSE),
            0
        ) +
        IFERROR(
            VLOOKUP($A70, INDIRECT("DicR!$A$6:$ZZ$1048576"), MATCH(AN$1, DicR!$6:$6, 0), FALSE),
            0
        )
)</f>
        <v>0</v>
      </c>
      <c r="AO70" s="35">
        <f t="array" ref="AO70">SUM(
    IFERROR(
            VLOOKUP($A70, INDIRECT("EneR!$A$6:$ZZ$1048576"), MATCH(AO$1, EneR!$6:$6, 0), FALSE),
            0
        ) +
        IFERROR(
            VLOOKUP($A70, INDIRECT("FebR!$A$6:$ZZ$1048576"), MATCH(AO$1, FebR!$6:$6, 0), FALSE),
            0
        ) +
        IFERROR(
            VLOOKUP($A70, INDIRECT("MarR!$A$6:$ZZ$1048576"), MATCH(AO$1, MarR!$6:$6, 0), FALSE),
            0
        ) +
        IFERROR(
            VLOOKUP($A70, INDIRECT("AbrR!$A$6:$ZZ$1048576"), MATCH(AO$1, AbrR!$6:$6, 0), FALSE),
            0
        ) +
        IFERROR(
            VLOOKUP($A70, INDIRECT("MayR!$A$6:$ZZ$1048576"), MATCH(AO$1, MayR!$6:$6, 0), FALSE),
            0
        ) +
        IFERROR(
            VLOOKUP($A70, INDIRECT("JunR!$A$6:$ZZ$1048576"), MATCH(AO$1, JunR!$6:$6, 0), FALSE),
            0
        ) +
        IFERROR(
            VLOOKUP($A70, INDIRECT("JulR!$A$6:$ZZ$1048576"), MATCH(AO$1, JulR!$6:$6, 0), FALSE),
            0
        ) +
        IFERROR(
            VLOOKUP($A70, INDIRECT("AgoR!$A$6:$ZZ$1048576"), MATCH(AO$1, AgoR!$6:$6, 0), FALSE),
            0
        ) +
        IFERROR(
            VLOOKUP($A70, INDIRECT("SepR!$A$6:$ZZ$1048576"), MATCH(AO$1, SepR!$6:$6, 0), FALSE),
            0
        ) +
        IFERROR(
            VLOOKUP($A70, INDIRECT("OctR!$A$6:$ZZ$1048576"), MATCH(AO$1, OctR!$6:$6, 0), FALSE),
            0
        ) +
        IFERROR(
            VLOOKUP($A70, INDIRECT("NovR!$A$6:$ZZ$1048576"), MATCH(AO$1, NovR!$6:$6, 0), FALSE),
            0
        ) +
        IFERROR(
            VLOOKUP($A70, INDIRECT("DicR!$A$6:$ZZ$1048576"), MATCH(AO$1, DicR!$6:$6, 0), FALSE),
            0
        )
)</f>
        <v>0</v>
      </c>
      <c r="AP70" s="36">
        <f t="array" ref="AP70">SUM(
    IFERROR(
            VLOOKUP($A70, INDIRECT("EneR!$A$6:$ZZ$1048576"), MATCH(AP$1, EneR!$6:$6, 0), FALSE),
            0
        ) +
        IFERROR(
            VLOOKUP($A70, INDIRECT("FebR!$A$6:$ZZ$1048576"), MATCH(AP$1, FebR!$6:$6, 0), FALSE),
            0
        ) +
        IFERROR(
            VLOOKUP($A70, INDIRECT("MarR!$A$6:$ZZ$1048576"), MATCH(AP$1, MarR!$6:$6, 0), FALSE),
            0
        ) +
        IFERROR(
            VLOOKUP($A70, INDIRECT("AbrR!$A$6:$ZZ$1048576"), MATCH(AP$1, AbrR!$6:$6, 0), FALSE),
            0
        ) +
        IFERROR(
            VLOOKUP($A70, INDIRECT("MayR!$A$6:$ZZ$1048576"), MATCH(AP$1, MayR!$6:$6, 0), FALSE),
            0
        ) +
        IFERROR(
            VLOOKUP($A70, INDIRECT("JunR!$A$6:$ZZ$1048576"), MATCH(AP$1, JunR!$6:$6, 0), FALSE),
            0
        ) +
        IFERROR(
            VLOOKUP($A70, INDIRECT("JulR!$A$6:$ZZ$1048576"), MATCH(AP$1, JulR!$6:$6, 0), FALSE),
            0
        ) +
        IFERROR(
            VLOOKUP($A70, INDIRECT("AgoR!$A$6:$ZZ$1048576"), MATCH(AP$1, AgoR!$6:$6, 0), FALSE),
            0
        ) +
        IFERROR(
            VLOOKUP($A70, INDIRECT("SepR!$A$6:$ZZ$1048576"), MATCH(AP$1, SepR!$6:$6, 0), FALSE),
            0
        ) +
        IFERROR(
            VLOOKUP($A70, INDIRECT("OctR!$A$6:$ZZ$1048576"), MATCH(AP$1, OctR!$6:$6, 0), FALSE),
            0
        ) +
        IFERROR(
            VLOOKUP($A70, INDIRECT("NovR!$A$6:$ZZ$1048576"), MATCH(AP$1, NovR!$6:$6, 0), FALSE),
            0
        ) +
        IFERROR(
            VLOOKUP($A70, INDIRECT("DicR!$A$6:$ZZ$1048576"), MATCH(AP$1, DicR!$6:$6, 0), FALSE),
            0
        )
)</f>
        <v>0</v>
      </c>
      <c r="AQ70" s="35">
        <f t="array" ref="AQ70">SUM(
    IFERROR(
            VLOOKUP($A70, INDIRECT("EneR!$A$6:$ZZ$1048576"), MATCH(AQ$1, EneR!$6:$6, 0), FALSE),
            0
        ) +
        IFERROR(
            VLOOKUP($A70, INDIRECT("FebR!$A$6:$ZZ$1048576"), MATCH(AQ$1, FebR!$6:$6, 0), FALSE),
            0
        ) +
        IFERROR(
            VLOOKUP($A70, INDIRECT("MarR!$A$6:$ZZ$1048576"), MATCH(AQ$1, MarR!$6:$6, 0), FALSE),
            0
        ) +
        IFERROR(
            VLOOKUP($A70, INDIRECT("AbrR!$A$6:$ZZ$1048576"), MATCH(AQ$1, AbrR!$6:$6, 0), FALSE),
            0
        ) +
        IFERROR(
            VLOOKUP($A70, INDIRECT("MayR!$A$6:$ZZ$1048576"), MATCH(AQ$1, MayR!$6:$6, 0), FALSE),
            0
        ) +
        IFERROR(
            VLOOKUP($A70, INDIRECT("JunR!$A$6:$ZZ$1048576"), MATCH(AQ$1, JunR!$6:$6, 0), FALSE),
            0
        ) +
        IFERROR(
            VLOOKUP($A70, INDIRECT("JulR!$A$6:$ZZ$1048576"), MATCH(AQ$1, JulR!$6:$6, 0), FALSE),
            0
        ) +
        IFERROR(
            VLOOKUP($A70, INDIRECT("AgoR!$A$6:$ZZ$1048576"), MATCH(AQ$1, AgoR!$6:$6, 0), FALSE),
            0
        ) +
        IFERROR(
            VLOOKUP($A70, INDIRECT("SepR!$A$6:$ZZ$1048576"), MATCH(AQ$1, SepR!$6:$6, 0), FALSE),
            0
        ) +
        IFERROR(
            VLOOKUP($A70, INDIRECT("OctR!$A$6:$ZZ$1048576"), MATCH(AQ$1, OctR!$6:$6, 0), FALSE),
            0
        ) +
        IFERROR(
            VLOOKUP($A70, INDIRECT("NovR!$A$6:$ZZ$1048576"), MATCH(AQ$1, NovR!$6:$6, 0), FALSE),
            0
        ) +
        IFERROR(
            VLOOKUP($A70, INDIRECT("DicR!$A$6:$ZZ$1048576"), MATCH(AQ$1, DicR!$6:$6, 0), FALSE),
            0
        )
)</f>
        <v>0</v>
      </c>
      <c r="AR70" s="36">
        <f t="array" ref="AR70">SUM(
    IFERROR(
            VLOOKUP($A70, INDIRECT("EneR!$A$6:$ZZ$1048576"), MATCH(AR$1, EneR!$6:$6, 0), FALSE),
            0
        ) +
        IFERROR(
            VLOOKUP($A70, INDIRECT("FebR!$A$6:$ZZ$1048576"), MATCH(AR$1, FebR!$6:$6, 0), FALSE),
            0
        ) +
        IFERROR(
            VLOOKUP($A70, INDIRECT("MarR!$A$6:$ZZ$1048576"), MATCH(AR$1, MarR!$6:$6, 0), FALSE),
            0
        ) +
        IFERROR(
            VLOOKUP($A70, INDIRECT("AbrR!$A$6:$ZZ$1048576"), MATCH(AR$1, AbrR!$6:$6, 0), FALSE),
            0
        ) +
        IFERROR(
            VLOOKUP($A70, INDIRECT("MayR!$A$6:$ZZ$1048576"), MATCH(AR$1, MayR!$6:$6, 0), FALSE),
            0
        ) +
        IFERROR(
            VLOOKUP($A70, INDIRECT("JunR!$A$6:$ZZ$1048576"), MATCH(AR$1, JunR!$6:$6, 0), FALSE),
            0
        ) +
        IFERROR(
            VLOOKUP($A70, INDIRECT("JulR!$A$6:$ZZ$1048576"), MATCH(AR$1, JulR!$6:$6, 0), FALSE),
            0
        ) +
        IFERROR(
            VLOOKUP($A70, INDIRECT("AgoR!$A$6:$ZZ$1048576"), MATCH(AR$1, AgoR!$6:$6, 0), FALSE),
            0
        ) +
        IFERROR(
            VLOOKUP($A70, INDIRECT("SepR!$A$6:$ZZ$1048576"), MATCH(AR$1, SepR!$6:$6, 0), FALSE),
            0
        ) +
        IFERROR(
            VLOOKUP($A70, INDIRECT("OctR!$A$6:$ZZ$1048576"), MATCH(AR$1, OctR!$6:$6, 0), FALSE),
            0
        ) +
        IFERROR(
            VLOOKUP($A70, INDIRECT("NovR!$A$6:$ZZ$1048576"), MATCH(AR$1, NovR!$6:$6, 0), FALSE),
            0
        ) +
        IFERROR(
            VLOOKUP($A70, INDIRECT("DicR!$A$6:$ZZ$1048576"), MATCH(AR$1, DicR!$6:$6, 0), FALSE),
            0
        )
)</f>
        <v>0</v>
      </c>
      <c r="AS70" s="35">
        <f t="array" ref="AS70">SUM(
    IFERROR(
            VLOOKUP($A70, INDIRECT("EneR!$A$6:$ZZ$1048576"), MATCH(AS$1, EneR!$6:$6, 0), FALSE),
            0
        ) +
        IFERROR(
            VLOOKUP($A70, INDIRECT("FebR!$A$6:$ZZ$1048576"), MATCH(AS$1, FebR!$6:$6, 0), FALSE),
            0
        ) +
        IFERROR(
            VLOOKUP($A70, INDIRECT("MarR!$A$6:$ZZ$1048576"), MATCH(AS$1, MarR!$6:$6, 0), FALSE),
            0
        ) +
        IFERROR(
            VLOOKUP($A70, INDIRECT("AbrR!$A$6:$ZZ$1048576"), MATCH(AS$1, AbrR!$6:$6, 0), FALSE),
            0
        ) +
        IFERROR(
            VLOOKUP($A70, INDIRECT("MayR!$A$6:$ZZ$1048576"), MATCH(AS$1, MayR!$6:$6, 0), FALSE),
            0
        ) +
        IFERROR(
            VLOOKUP($A70, INDIRECT("JunR!$A$6:$ZZ$1048576"), MATCH(AS$1, JunR!$6:$6, 0), FALSE),
            0
        ) +
        IFERROR(
            VLOOKUP($A70, INDIRECT("JulR!$A$6:$ZZ$1048576"), MATCH(AS$1, JulR!$6:$6, 0), FALSE),
            0
        ) +
        IFERROR(
            VLOOKUP($A70, INDIRECT("AgoR!$A$6:$ZZ$1048576"), MATCH(AS$1, AgoR!$6:$6, 0), FALSE),
            0
        ) +
        IFERROR(
            VLOOKUP($A70, INDIRECT("SepR!$A$6:$ZZ$1048576"), MATCH(AS$1, SepR!$6:$6, 0), FALSE),
            0
        ) +
        IFERROR(
            VLOOKUP($A70, INDIRECT("OctR!$A$6:$ZZ$1048576"), MATCH(AS$1, OctR!$6:$6, 0), FALSE),
            0
        ) +
        IFERROR(
            VLOOKUP($A70, INDIRECT("NovR!$A$6:$ZZ$1048576"), MATCH(AS$1, NovR!$6:$6, 0), FALSE),
            0
        ) +
        IFERROR(
            VLOOKUP($A70, INDIRECT("DicR!$A$6:$ZZ$1048576"), MATCH(AS$1, DicR!$6:$6, 0), FALSE),
            0
        )
)</f>
        <v>0</v>
      </c>
      <c r="AT70" s="36">
        <f t="array" ref="AT70">SUM(
    IFERROR(
            VLOOKUP($A70, INDIRECT("EneR!$A$6:$ZZ$1048576"), MATCH(AT$1, EneR!$6:$6, 0), FALSE),
            0
        ) +
        IFERROR(
            VLOOKUP($A70, INDIRECT("FebR!$A$6:$ZZ$1048576"), MATCH(AT$1, FebR!$6:$6, 0), FALSE),
            0
        ) +
        IFERROR(
            VLOOKUP($A70, INDIRECT("MarR!$A$6:$ZZ$1048576"), MATCH(AT$1, MarR!$6:$6, 0), FALSE),
            0
        ) +
        IFERROR(
            VLOOKUP($A70, INDIRECT("AbrR!$A$6:$ZZ$1048576"), MATCH(AT$1, AbrR!$6:$6, 0), FALSE),
            0
        ) +
        IFERROR(
            VLOOKUP($A70, INDIRECT("MayR!$A$6:$ZZ$1048576"), MATCH(AT$1, MayR!$6:$6, 0), FALSE),
            0
        ) +
        IFERROR(
            VLOOKUP($A70, INDIRECT("JunR!$A$6:$ZZ$1048576"), MATCH(AT$1, JunR!$6:$6, 0), FALSE),
            0
        ) +
        IFERROR(
            VLOOKUP($A70, INDIRECT("JulR!$A$6:$ZZ$1048576"), MATCH(AT$1, JulR!$6:$6, 0), FALSE),
            0
        ) +
        IFERROR(
            VLOOKUP($A70, INDIRECT("AgoR!$A$6:$ZZ$1048576"), MATCH(AT$1, AgoR!$6:$6, 0), FALSE),
            0
        ) +
        IFERROR(
            VLOOKUP($A70, INDIRECT("SepR!$A$6:$ZZ$1048576"), MATCH(AT$1, SepR!$6:$6, 0), FALSE),
            0
        ) +
        IFERROR(
            VLOOKUP($A70, INDIRECT("OctR!$A$6:$ZZ$1048576"), MATCH(AT$1, OctR!$6:$6, 0), FALSE),
            0
        ) +
        IFERROR(
            VLOOKUP($A70, INDIRECT("NovR!$A$6:$ZZ$1048576"), MATCH(AT$1, NovR!$6:$6, 0), FALSE),
            0
        ) +
        IFERROR(
            VLOOKUP($A70, INDIRECT("DicR!$A$6:$ZZ$1048576"), MATCH(AT$1, DicR!$6:$6, 0), FALSE),
            0
        )
)</f>
        <v>0</v>
      </c>
      <c r="AU70" s="35">
        <f t="array" ref="AU70">SUM(
    IFERROR(
            VLOOKUP($A70, INDIRECT("EneR!$A$6:$ZZ$1048576"), MATCH(AU$1, EneR!$6:$6, 0), FALSE),
            0
        ) +
        IFERROR(
            VLOOKUP($A70, INDIRECT("FebR!$A$6:$ZZ$1048576"), MATCH(AU$1, FebR!$6:$6, 0), FALSE),
            0
        ) +
        IFERROR(
            VLOOKUP($A70, INDIRECT("MarR!$A$6:$ZZ$1048576"), MATCH(AU$1, MarR!$6:$6, 0), FALSE),
            0
        ) +
        IFERROR(
            VLOOKUP($A70, INDIRECT("AbrR!$A$6:$ZZ$1048576"), MATCH(AU$1, AbrR!$6:$6, 0), FALSE),
            0
        ) +
        IFERROR(
            VLOOKUP($A70, INDIRECT("MayR!$A$6:$ZZ$1048576"), MATCH(AU$1, MayR!$6:$6, 0), FALSE),
            0
        ) +
        IFERROR(
            VLOOKUP($A70, INDIRECT("JunR!$A$6:$ZZ$1048576"), MATCH(AU$1, JunR!$6:$6, 0), FALSE),
            0
        ) +
        IFERROR(
            VLOOKUP($A70, INDIRECT("JulR!$A$6:$ZZ$1048576"), MATCH(AU$1, JulR!$6:$6, 0), FALSE),
            0
        ) +
        IFERROR(
            VLOOKUP($A70, INDIRECT("AgoR!$A$6:$ZZ$1048576"), MATCH(AU$1, AgoR!$6:$6, 0), FALSE),
            0
        ) +
        IFERROR(
            VLOOKUP($A70, INDIRECT("SepR!$A$6:$ZZ$1048576"), MATCH(AU$1, SepR!$6:$6, 0), FALSE),
            0
        ) +
        IFERROR(
            VLOOKUP($A70, INDIRECT("OctR!$A$6:$ZZ$1048576"), MATCH(AU$1, OctR!$6:$6, 0), FALSE),
            0
        ) +
        IFERROR(
            VLOOKUP($A70, INDIRECT("NovR!$A$6:$ZZ$1048576"), MATCH(AU$1, NovR!$6:$6, 0), FALSE),
            0
        ) +
        IFERROR(
            VLOOKUP($A70, INDIRECT("DicR!$A$6:$ZZ$1048576"), MATCH(AU$1, DicR!$6:$6, 0), FALSE),
            0
        )
)</f>
        <v>0</v>
      </c>
      <c r="AV70" s="36">
        <f t="array" ref="AV70">SUM(
    IFERROR(
            VLOOKUP($A70, INDIRECT("EneR!$A$6:$ZZ$1048576"), MATCH(AV$1, EneR!$6:$6, 0), FALSE),
            0
        ) +
        IFERROR(
            VLOOKUP($A70, INDIRECT("FebR!$A$6:$ZZ$1048576"), MATCH(AV$1, FebR!$6:$6, 0), FALSE),
            0
        ) +
        IFERROR(
            VLOOKUP($A70, INDIRECT("MarR!$A$6:$ZZ$1048576"), MATCH(AV$1, MarR!$6:$6, 0), FALSE),
            0
        ) +
        IFERROR(
            VLOOKUP($A70, INDIRECT("AbrR!$A$6:$ZZ$1048576"), MATCH(AV$1, AbrR!$6:$6, 0), FALSE),
            0
        ) +
        IFERROR(
            VLOOKUP($A70, INDIRECT("MayR!$A$6:$ZZ$1048576"), MATCH(AV$1, MayR!$6:$6, 0), FALSE),
            0
        ) +
        IFERROR(
            VLOOKUP($A70, INDIRECT("JunR!$A$6:$ZZ$1048576"), MATCH(AV$1, JunR!$6:$6, 0), FALSE),
            0
        ) +
        IFERROR(
            VLOOKUP($A70, INDIRECT("JulR!$A$6:$ZZ$1048576"), MATCH(AV$1, JulR!$6:$6, 0), FALSE),
            0
        ) +
        IFERROR(
            VLOOKUP($A70, INDIRECT("AgoR!$A$6:$ZZ$1048576"), MATCH(AV$1, AgoR!$6:$6, 0), FALSE),
            0
        ) +
        IFERROR(
            VLOOKUP($A70, INDIRECT("SepR!$A$6:$ZZ$1048576"), MATCH(AV$1, SepR!$6:$6, 0), FALSE),
            0
        ) +
        IFERROR(
            VLOOKUP($A70, INDIRECT("OctR!$A$6:$ZZ$1048576"), MATCH(AV$1, OctR!$6:$6, 0), FALSE),
            0
        ) +
        IFERROR(
            VLOOKUP($A70, INDIRECT("NovR!$A$6:$ZZ$1048576"), MATCH(AV$1, NovR!$6:$6, 0), FALSE),
            0
        ) +
        IFERROR(
            VLOOKUP($A70, INDIRECT("DicR!$A$6:$ZZ$1048576"), MATCH(AV$1, DicR!$6:$6, 0), FALSE),
            0
        )
)</f>
        <v>0</v>
      </c>
      <c r="AW70" s="35">
        <f t="array" ref="AW70">SUM(
    IFERROR(
            VLOOKUP($A70, INDIRECT("EneR!$A$6:$ZZ$1048576"), MATCH(AW$1, EneR!$6:$6, 0), FALSE),
            0
        ) +
        IFERROR(
            VLOOKUP($A70, INDIRECT("FebR!$A$6:$ZZ$1048576"), MATCH(AW$1, FebR!$6:$6, 0), FALSE),
            0
        ) +
        IFERROR(
            VLOOKUP($A70, INDIRECT("MarR!$A$6:$ZZ$1048576"), MATCH(AW$1, MarR!$6:$6, 0), FALSE),
            0
        ) +
        IFERROR(
            VLOOKUP($A70, INDIRECT("AbrR!$A$6:$ZZ$1048576"), MATCH(AW$1, AbrR!$6:$6, 0), FALSE),
            0
        ) +
        IFERROR(
            VLOOKUP($A70, INDIRECT("MayR!$A$6:$ZZ$1048576"), MATCH(AW$1, MayR!$6:$6, 0), FALSE),
            0
        ) +
        IFERROR(
            VLOOKUP($A70, INDIRECT("JunR!$A$6:$ZZ$1048576"), MATCH(AW$1, JunR!$6:$6, 0), FALSE),
            0
        ) +
        IFERROR(
            VLOOKUP($A70, INDIRECT("JulR!$A$6:$ZZ$1048576"), MATCH(AW$1, JulR!$6:$6, 0), FALSE),
            0
        ) +
        IFERROR(
            VLOOKUP($A70, INDIRECT("AgoR!$A$6:$ZZ$1048576"), MATCH(AW$1, AgoR!$6:$6, 0), FALSE),
            0
        ) +
        IFERROR(
            VLOOKUP($A70, INDIRECT("SepR!$A$6:$ZZ$1048576"), MATCH(AW$1, SepR!$6:$6, 0), FALSE),
            0
        ) +
        IFERROR(
            VLOOKUP($A70, INDIRECT("OctR!$A$6:$ZZ$1048576"), MATCH(AW$1, OctR!$6:$6, 0), FALSE),
            0
        ) +
        IFERROR(
            VLOOKUP($A70, INDIRECT("NovR!$A$6:$ZZ$1048576"), MATCH(AW$1, NovR!$6:$6, 0), FALSE),
            0
        ) +
        IFERROR(
            VLOOKUP($A70, INDIRECT("DicR!$A$6:$ZZ$1048576"), MATCH(AW$1, DicR!$6:$6, 0), FALSE),
            0
        )
)</f>
        <v>0</v>
      </c>
      <c r="AX70" s="36">
        <f t="array" ref="AX70">SUM(
    IFERROR(
            VLOOKUP($A70, INDIRECT("EneR!$A$6:$ZZ$1048576"), MATCH(AX$1, EneR!$6:$6, 0), FALSE),
            0
        ) +
        IFERROR(
            VLOOKUP($A70, INDIRECT("FebR!$A$6:$ZZ$1048576"), MATCH(AX$1, FebR!$6:$6, 0), FALSE),
            0
        ) +
        IFERROR(
            VLOOKUP($A70, INDIRECT("MarR!$A$6:$ZZ$1048576"), MATCH(AX$1, MarR!$6:$6, 0), FALSE),
            0
        ) +
        IFERROR(
            VLOOKUP($A70, INDIRECT("AbrR!$A$6:$ZZ$1048576"), MATCH(AX$1, AbrR!$6:$6, 0), FALSE),
            0
        ) +
        IFERROR(
            VLOOKUP($A70, INDIRECT("MayR!$A$6:$ZZ$1048576"), MATCH(AX$1, MayR!$6:$6, 0), FALSE),
            0
        ) +
        IFERROR(
            VLOOKUP($A70, INDIRECT("JunR!$A$6:$ZZ$1048576"), MATCH(AX$1, JunR!$6:$6, 0), FALSE),
            0
        ) +
        IFERROR(
            VLOOKUP($A70, INDIRECT("JulR!$A$6:$ZZ$1048576"), MATCH(AX$1, JulR!$6:$6, 0), FALSE),
            0
        ) +
        IFERROR(
            VLOOKUP($A70, INDIRECT("AgoR!$A$6:$ZZ$1048576"), MATCH(AX$1, AgoR!$6:$6, 0), FALSE),
            0
        ) +
        IFERROR(
            VLOOKUP($A70, INDIRECT("SepR!$A$6:$ZZ$1048576"), MATCH(AX$1, SepR!$6:$6, 0), FALSE),
            0
        ) +
        IFERROR(
            VLOOKUP($A70, INDIRECT("OctR!$A$6:$ZZ$1048576"), MATCH(AX$1, OctR!$6:$6, 0), FALSE),
            0
        ) +
        IFERROR(
            VLOOKUP($A70, INDIRECT("NovR!$A$6:$ZZ$1048576"), MATCH(AX$1, NovR!$6:$6, 0), FALSE),
            0
        ) +
        IFERROR(
            VLOOKUP($A70, INDIRECT("DicR!$A$6:$ZZ$1048576"), MATCH(AX$1, DicR!$6:$6, 0), FALSE),
            0
        )
)</f>
        <v>0</v>
      </c>
      <c r="AY70" s="35">
        <f t="array" ref="AY70">SUM(
    IFERROR(
            VLOOKUP($A70, INDIRECT("EneR!$A$6:$ZZ$1048576"), MATCH(AY$1, EneR!$6:$6, 0), FALSE),
            0
        ) +
        IFERROR(
            VLOOKUP($A70, INDIRECT("FebR!$A$6:$ZZ$1048576"), MATCH(AY$1, FebR!$6:$6, 0), FALSE),
            0
        ) +
        IFERROR(
            VLOOKUP($A70, INDIRECT("MarR!$A$6:$ZZ$1048576"), MATCH(AY$1, MarR!$6:$6, 0), FALSE),
            0
        ) +
        IFERROR(
            VLOOKUP($A70, INDIRECT("AbrR!$A$6:$ZZ$1048576"), MATCH(AY$1, AbrR!$6:$6, 0), FALSE),
            0
        ) +
        IFERROR(
            VLOOKUP($A70, INDIRECT("MayR!$A$6:$ZZ$1048576"), MATCH(AY$1, MayR!$6:$6, 0), FALSE),
            0
        ) +
        IFERROR(
            VLOOKUP($A70, INDIRECT("JunR!$A$6:$ZZ$1048576"), MATCH(AY$1, JunR!$6:$6, 0), FALSE),
            0
        ) +
        IFERROR(
            VLOOKUP($A70, INDIRECT("JulR!$A$6:$ZZ$1048576"), MATCH(AY$1, JulR!$6:$6, 0), FALSE),
            0
        ) +
        IFERROR(
            VLOOKUP($A70, INDIRECT("AgoR!$A$6:$ZZ$1048576"), MATCH(AY$1, AgoR!$6:$6, 0), FALSE),
            0
        ) +
        IFERROR(
            VLOOKUP($A70, INDIRECT("SepR!$A$6:$ZZ$1048576"), MATCH(AY$1, SepR!$6:$6, 0), FALSE),
            0
        ) +
        IFERROR(
            VLOOKUP($A70, INDIRECT("OctR!$A$6:$ZZ$1048576"), MATCH(AY$1, OctR!$6:$6, 0), FALSE),
            0
        ) +
        IFERROR(
            VLOOKUP($A70, INDIRECT("NovR!$A$6:$ZZ$1048576"), MATCH(AY$1, NovR!$6:$6, 0), FALSE),
            0
        ) +
        IFERROR(
            VLOOKUP($A70, INDIRECT("DicR!$A$6:$ZZ$1048576"), MATCH(AY$1, DicR!$6:$6, 0), FALSE),
            0
        )
)</f>
        <v>0</v>
      </c>
      <c r="AZ70" s="35"/>
    </row>
    <row r="71" ht="15.75" customHeight="1">
      <c r="A71" s="12" t="str">
        <f>Menus!B32</f>
        <v/>
      </c>
      <c r="B71" s="32">
        <f t="shared" si="9"/>
        <v>0</v>
      </c>
      <c r="C71" s="33" t="str">
        <f t="shared" si="10"/>
        <v/>
      </c>
      <c r="D71" s="34">
        <f t="array" ref="D71">SUM(
    IFERROR(
            VLOOKUP($A71, INDIRECT("EneR!$A$6:$ZZ$1048576"), MATCH(D$1, EneR!$6:$6, 0), FALSE),
            0
        ) +
        IFERROR(
            VLOOKUP($A71, INDIRECT("FebR!$A$6:$ZZ$1048576"), MATCH(D$1, FebR!$6:$6, 0), FALSE),
            0
        ) +
        IFERROR(
            VLOOKUP($A71, INDIRECT("MarR!$A$6:$ZZ$1048576"), MATCH(D$1, MarR!$6:$6, 0), FALSE),
            0
        ) +
        IFERROR(
            VLOOKUP($A71, INDIRECT("AbrR!$A$6:$ZZ$1048576"), MATCH(D$1, AbrR!$6:$6, 0), FALSE),
            0
        ) +
        IFERROR(
            VLOOKUP($A71, INDIRECT("MayR!$A$6:$ZZ$1048576"), MATCH(D$1, MayR!$6:$6, 0), FALSE),
            0
        ) +
        IFERROR(
            VLOOKUP($A71, INDIRECT("JunR!$A$6:$ZZ$1048576"), MATCH(D$1, JunR!$6:$6, 0), FALSE),
            0
        ) +
        IFERROR(
            VLOOKUP($A71, INDIRECT("JulR!$A$6:$ZZ$1048576"), MATCH(D$1, JulR!$6:$6, 0), FALSE),
            0
        ) +
        IFERROR(
            VLOOKUP($A71, INDIRECT("AgoR!$A$6:$ZZ$1048576"), MATCH(D$1, AgoR!$6:$6, 0), FALSE),
            0
        ) +
        IFERROR(
            VLOOKUP($A71, INDIRECT("SepR!$A$6:$ZZ$1048576"), MATCH(D$1, SepR!$6:$6, 0), FALSE),
            0
        ) +
        IFERROR(
            VLOOKUP($A71, INDIRECT("OctR!$A$6:$ZZ$1048576"), MATCH(D$1, OctR!$6:$6, 0), FALSE),
            0
        ) +
        IFERROR(
            VLOOKUP($A71, INDIRECT("NovR!$A$6:$ZZ$1048576"), MATCH(D$1, NovR!$6:$6, 0), FALSE),
            0
        ) +
        IFERROR(
            VLOOKUP($A71, INDIRECT("DicR!$A$6:$ZZ$1048576"), MATCH(D$1, DicR!$6:$6, 0), FALSE),
            0
        )
)</f>
        <v>0</v>
      </c>
      <c r="E71" s="35">
        <f t="array" ref="E71">SUM(
    IFERROR(
            VLOOKUP($A71, INDIRECT("EneR!$A$6:$ZZ$1048576"), MATCH(E$1, EneR!$6:$6, 0), FALSE),
            0
        ) +
        IFERROR(
            VLOOKUP($A71, INDIRECT("FebR!$A$6:$ZZ$1048576"), MATCH(E$1, FebR!$6:$6, 0), FALSE),
            0
        ) +
        IFERROR(
            VLOOKUP($A71, INDIRECT("MarR!$A$6:$ZZ$1048576"), MATCH(E$1, MarR!$6:$6, 0), FALSE),
            0
        ) +
        IFERROR(
            VLOOKUP($A71, INDIRECT("AbrR!$A$6:$ZZ$1048576"), MATCH(E$1, AbrR!$6:$6, 0), FALSE),
            0
        ) +
        IFERROR(
            VLOOKUP($A71, INDIRECT("MayR!$A$6:$ZZ$1048576"), MATCH(E$1, MayR!$6:$6, 0), FALSE),
            0
        ) +
        IFERROR(
            VLOOKUP($A71, INDIRECT("JunR!$A$6:$ZZ$1048576"), MATCH(E$1, JunR!$6:$6, 0), FALSE),
            0
        ) +
        IFERROR(
            VLOOKUP($A71, INDIRECT("JulR!$A$6:$ZZ$1048576"), MATCH(E$1, JulR!$6:$6, 0), FALSE),
            0
        ) +
        IFERROR(
            VLOOKUP($A71, INDIRECT("AgoR!$A$6:$ZZ$1048576"), MATCH(E$1, AgoR!$6:$6, 0), FALSE),
            0
        ) +
        IFERROR(
            VLOOKUP($A71, INDIRECT("SepR!$A$6:$ZZ$1048576"), MATCH(E$1, SepR!$6:$6, 0), FALSE),
            0
        ) +
        IFERROR(
            VLOOKUP($A71, INDIRECT("OctR!$A$6:$ZZ$1048576"), MATCH(E$1, OctR!$6:$6, 0), FALSE),
            0
        ) +
        IFERROR(
            VLOOKUP($A71, INDIRECT("NovR!$A$6:$ZZ$1048576"), MATCH(E$1, NovR!$6:$6, 0), FALSE),
            0
        ) +
        IFERROR(
            VLOOKUP($A71, INDIRECT("DicR!$A$6:$ZZ$1048576"), MATCH(E$1, DicR!$6:$6, 0), FALSE),
            0
        )
)</f>
        <v>0</v>
      </c>
      <c r="F71" s="32">
        <f t="array" ref="F71">SUM(
    IFERROR(
            VLOOKUP($A71, INDIRECT("EneR!$A$6:$ZZ$1048576"), MATCH(F$1, EneR!$6:$6, 0), FALSE),
            0
        ) +
        IFERROR(
            VLOOKUP($A71, INDIRECT("FebR!$A$6:$ZZ$1048576"), MATCH(F$1, FebR!$6:$6, 0), FALSE),
            0
        ) +
        IFERROR(
            VLOOKUP($A71, INDIRECT("MarR!$A$6:$ZZ$1048576"), MATCH(F$1, MarR!$6:$6, 0), FALSE),
            0
        ) +
        IFERROR(
            VLOOKUP($A71, INDIRECT("AbrR!$A$6:$ZZ$1048576"), MATCH(F$1, AbrR!$6:$6, 0), FALSE),
            0
        ) +
        IFERROR(
            VLOOKUP($A71, INDIRECT("MayR!$A$6:$ZZ$1048576"), MATCH(F$1, MayR!$6:$6, 0), FALSE),
            0
        ) +
        IFERROR(
            VLOOKUP($A71, INDIRECT("JunR!$A$6:$ZZ$1048576"), MATCH(F$1, JunR!$6:$6, 0), FALSE),
            0
        ) +
        IFERROR(
            VLOOKUP($A71, INDIRECT("JulR!$A$6:$ZZ$1048576"), MATCH(F$1, JulR!$6:$6, 0), FALSE),
            0
        ) +
        IFERROR(
            VLOOKUP($A71, INDIRECT("AgoR!$A$6:$ZZ$1048576"), MATCH(F$1, AgoR!$6:$6, 0), FALSE),
            0
        ) +
        IFERROR(
            VLOOKUP($A71, INDIRECT("SepR!$A$6:$ZZ$1048576"), MATCH(F$1, SepR!$6:$6, 0), FALSE),
            0
        ) +
        IFERROR(
            VLOOKUP($A71, INDIRECT("OctR!$A$6:$ZZ$1048576"), MATCH(F$1, OctR!$6:$6, 0), FALSE),
            0
        ) +
        IFERROR(
            VLOOKUP($A71, INDIRECT("NovR!$A$6:$ZZ$1048576"), MATCH(F$1, NovR!$6:$6, 0), FALSE),
            0
        ) +
        IFERROR(
            VLOOKUP($A71, INDIRECT("DicR!$A$6:$ZZ$1048576"), MATCH(F$1, DicR!$6:$6, 0), FALSE),
            0
        )
)</f>
        <v>0</v>
      </c>
      <c r="G71" s="35">
        <f t="array" ref="G71">SUM(
    IFERROR(
            VLOOKUP($A71, INDIRECT("EneR!$A$6:$ZZ$1048576"), MATCH(G$1, EneR!$6:$6, 0), FALSE),
            0
        ) +
        IFERROR(
            VLOOKUP($A71, INDIRECT("FebR!$A$6:$ZZ$1048576"), MATCH(G$1, FebR!$6:$6, 0), FALSE),
            0
        ) +
        IFERROR(
            VLOOKUP($A71, INDIRECT("MarR!$A$6:$ZZ$1048576"), MATCH(G$1, MarR!$6:$6, 0), FALSE),
            0
        ) +
        IFERROR(
            VLOOKUP($A71, INDIRECT("AbrR!$A$6:$ZZ$1048576"), MATCH(G$1, AbrR!$6:$6, 0), FALSE),
            0
        ) +
        IFERROR(
            VLOOKUP($A71, INDIRECT("MayR!$A$6:$ZZ$1048576"), MATCH(G$1, MayR!$6:$6, 0), FALSE),
            0
        ) +
        IFERROR(
            VLOOKUP($A71, INDIRECT("JunR!$A$6:$ZZ$1048576"), MATCH(G$1, JunR!$6:$6, 0), FALSE),
            0
        ) +
        IFERROR(
            VLOOKUP($A71, INDIRECT("JulR!$A$6:$ZZ$1048576"), MATCH(G$1, JulR!$6:$6, 0), FALSE),
            0
        ) +
        IFERROR(
            VLOOKUP($A71, INDIRECT("AgoR!$A$6:$ZZ$1048576"), MATCH(G$1, AgoR!$6:$6, 0), FALSE),
            0
        ) +
        IFERROR(
            VLOOKUP($A71, INDIRECT("SepR!$A$6:$ZZ$1048576"), MATCH(G$1, SepR!$6:$6, 0), FALSE),
            0
        ) +
        IFERROR(
            VLOOKUP($A71, INDIRECT("OctR!$A$6:$ZZ$1048576"), MATCH(G$1, OctR!$6:$6, 0), FALSE),
            0
        ) +
        IFERROR(
            VLOOKUP($A71, INDIRECT("NovR!$A$6:$ZZ$1048576"), MATCH(G$1, NovR!$6:$6, 0), FALSE),
            0
        ) +
        IFERROR(
            VLOOKUP($A71, INDIRECT("DicR!$A$6:$ZZ$1048576"), MATCH(G$1, DicR!$6:$6, 0), FALSE),
            0
        )
)</f>
        <v>0</v>
      </c>
      <c r="H71" s="32">
        <f t="array" ref="H71">SUM(
    IFERROR(
            VLOOKUP($A71, INDIRECT("EneR!$A$6:$ZZ$1048576"), MATCH(H$1, EneR!$6:$6, 0), FALSE),
            0
        ) +
        IFERROR(
            VLOOKUP($A71, INDIRECT("FebR!$A$6:$ZZ$1048576"), MATCH(H$1, FebR!$6:$6, 0), FALSE),
            0
        ) +
        IFERROR(
            VLOOKUP($A71, INDIRECT("MarR!$A$6:$ZZ$1048576"), MATCH(H$1, MarR!$6:$6, 0), FALSE),
            0
        ) +
        IFERROR(
            VLOOKUP($A71, INDIRECT("AbrR!$A$6:$ZZ$1048576"), MATCH(H$1, AbrR!$6:$6, 0), FALSE),
            0
        ) +
        IFERROR(
            VLOOKUP($A71, INDIRECT("MayR!$A$6:$ZZ$1048576"), MATCH(H$1, MayR!$6:$6, 0), FALSE),
            0
        ) +
        IFERROR(
            VLOOKUP($A71, INDIRECT("JunR!$A$6:$ZZ$1048576"), MATCH(H$1, JunR!$6:$6, 0), FALSE),
            0
        ) +
        IFERROR(
            VLOOKUP($A71, INDIRECT("JulR!$A$6:$ZZ$1048576"), MATCH(H$1, JulR!$6:$6, 0), FALSE),
            0
        ) +
        IFERROR(
            VLOOKUP($A71, INDIRECT("AgoR!$A$6:$ZZ$1048576"), MATCH(H$1, AgoR!$6:$6, 0), FALSE),
            0
        ) +
        IFERROR(
            VLOOKUP($A71, INDIRECT("SepR!$A$6:$ZZ$1048576"), MATCH(H$1, SepR!$6:$6, 0), FALSE),
            0
        ) +
        IFERROR(
            VLOOKUP($A71, INDIRECT("OctR!$A$6:$ZZ$1048576"), MATCH(H$1, OctR!$6:$6, 0), FALSE),
            0
        ) +
        IFERROR(
            VLOOKUP($A71, INDIRECT("NovR!$A$6:$ZZ$1048576"), MATCH(H$1, NovR!$6:$6, 0), FALSE),
            0
        ) +
        IFERROR(
            VLOOKUP($A71, INDIRECT("DicR!$A$6:$ZZ$1048576"), MATCH(H$1, DicR!$6:$6, 0), FALSE),
            0
        )
)</f>
        <v>0</v>
      </c>
      <c r="I71" s="35">
        <f t="array" ref="I71">SUM(
    IFERROR(
            VLOOKUP($A71, INDIRECT("EneR!$A$6:$ZZ$1048576"), MATCH(I$1, EneR!$6:$6, 0), FALSE),
            0
        ) +
        IFERROR(
            VLOOKUP($A71, INDIRECT("FebR!$A$6:$ZZ$1048576"), MATCH(I$1, FebR!$6:$6, 0), FALSE),
            0
        ) +
        IFERROR(
            VLOOKUP($A71, INDIRECT("MarR!$A$6:$ZZ$1048576"), MATCH(I$1, MarR!$6:$6, 0), FALSE),
            0
        ) +
        IFERROR(
            VLOOKUP($A71, INDIRECT("AbrR!$A$6:$ZZ$1048576"), MATCH(I$1, AbrR!$6:$6, 0), FALSE),
            0
        ) +
        IFERROR(
            VLOOKUP($A71, INDIRECT("MayR!$A$6:$ZZ$1048576"), MATCH(I$1, MayR!$6:$6, 0), FALSE),
            0
        ) +
        IFERROR(
            VLOOKUP($A71, INDIRECT("JunR!$A$6:$ZZ$1048576"), MATCH(I$1, JunR!$6:$6, 0), FALSE),
            0
        ) +
        IFERROR(
            VLOOKUP($A71, INDIRECT("JulR!$A$6:$ZZ$1048576"), MATCH(I$1, JulR!$6:$6, 0), FALSE),
            0
        ) +
        IFERROR(
            VLOOKUP($A71, INDIRECT("AgoR!$A$6:$ZZ$1048576"), MATCH(I$1, AgoR!$6:$6, 0), FALSE),
            0
        ) +
        IFERROR(
            VLOOKUP($A71, INDIRECT("SepR!$A$6:$ZZ$1048576"), MATCH(I$1, SepR!$6:$6, 0), FALSE),
            0
        ) +
        IFERROR(
            VLOOKUP($A71, INDIRECT("OctR!$A$6:$ZZ$1048576"), MATCH(I$1, OctR!$6:$6, 0), FALSE),
            0
        ) +
        IFERROR(
            VLOOKUP($A71, INDIRECT("NovR!$A$6:$ZZ$1048576"), MATCH(I$1, NovR!$6:$6, 0), FALSE),
            0
        ) +
        IFERROR(
            VLOOKUP($A71, INDIRECT("DicR!$A$6:$ZZ$1048576"), MATCH(I$1, DicR!$6:$6, 0), FALSE),
            0
        )
)</f>
        <v>0</v>
      </c>
      <c r="J71" s="32">
        <f t="array" ref="J71">SUM(
    IFERROR(
            VLOOKUP($A71, INDIRECT("EneR!$A$6:$ZZ$1048576"), MATCH(J$1, EneR!$6:$6, 0), FALSE),
            0
        ) +
        IFERROR(
            VLOOKUP($A71, INDIRECT("FebR!$A$6:$ZZ$1048576"), MATCH(J$1, FebR!$6:$6, 0), FALSE),
            0
        ) +
        IFERROR(
            VLOOKUP($A71, INDIRECT("MarR!$A$6:$ZZ$1048576"), MATCH(J$1, MarR!$6:$6, 0), FALSE),
            0
        ) +
        IFERROR(
            VLOOKUP($A71, INDIRECT("AbrR!$A$6:$ZZ$1048576"), MATCH(J$1, AbrR!$6:$6, 0), FALSE),
            0
        ) +
        IFERROR(
            VLOOKUP($A71, INDIRECT("MayR!$A$6:$ZZ$1048576"), MATCH(J$1, MayR!$6:$6, 0), FALSE),
            0
        ) +
        IFERROR(
            VLOOKUP($A71, INDIRECT("JunR!$A$6:$ZZ$1048576"), MATCH(J$1, JunR!$6:$6, 0), FALSE),
            0
        ) +
        IFERROR(
            VLOOKUP($A71, INDIRECT("JulR!$A$6:$ZZ$1048576"), MATCH(J$1, JulR!$6:$6, 0), FALSE),
            0
        ) +
        IFERROR(
            VLOOKUP($A71, INDIRECT("AgoR!$A$6:$ZZ$1048576"), MATCH(J$1, AgoR!$6:$6, 0), FALSE),
            0
        ) +
        IFERROR(
            VLOOKUP($A71, INDIRECT("SepR!$A$6:$ZZ$1048576"), MATCH(J$1, SepR!$6:$6, 0), FALSE),
            0
        ) +
        IFERROR(
            VLOOKUP($A71, INDIRECT("OctR!$A$6:$ZZ$1048576"), MATCH(J$1, OctR!$6:$6, 0), FALSE),
            0
        ) +
        IFERROR(
            VLOOKUP($A71, INDIRECT("NovR!$A$6:$ZZ$1048576"), MATCH(J$1, NovR!$6:$6, 0), FALSE),
            0
        ) +
        IFERROR(
            VLOOKUP($A71, INDIRECT("DicR!$A$6:$ZZ$1048576"), MATCH(J$1, DicR!$6:$6, 0), FALSE),
            0
        )
)</f>
        <v>0</v>
      </c>
      <c r="K71" s="35">
        <f t="array" ref="K71">SUM(
    IFERROR(
            VLOOKUP($A71, INDIRECT("EneR!$A$6:$ZZ$1048576"), MATCH(K$1, EneR!$6:$6, 0), FALSE),
            0
        ) +
        IFERROR(
            VLOOKUP($A71, INDIRECT("FebR!$A$6:$ZZ$1048576"), MATCH(K$1, FebR!$6:$6, 0), FALSE),
            0
        ) +
        IFERROR(
            VLOOKUP($A71, INDIRECT("MarR!$A$6:$ZZ$1048576"), MATCH(K$1, MarR!$6:$6, 0), FALSE),
            0
        ) +
        IFERROR(
            VLOOKUP($A71, INDIRECT("AbrR!$A$6:$ZZ$1048576"), MATCH(K$1, AbrR!$6:$6, 0), FALSE),
            0
        ) +
        IFERROR(
            VLOOKUP($A71, INDIRECT("MayR!$A$6:$ZZ$1048576"), MATCH(K$1, MayR!$6:$6, 0), FALSE),
            0
        ) +
        IFERROR(
            VLOOKUP($A71, INDIRECT("JunR!$A$6:$ZZ$1048576"), MATCH(K$1, JunR!$6:$6, 0), FALSE),
            0
        ) +
        IFERROR(
            VLOOKUP($A71, INDIRECT("JulR!$A$6:$ZZ$1048576"), MATCH(K$1, JulR!$6:$6, 0), FALSE),
            0
        ) +
        IFERROR(
            VLOOKUP($A71, INDIRECT("AgoR!$A$6:$ZZ$1048576"), MATCH(K$1, AgoR!$6:$6, 0), FALSE),
            0
        ) +
        IFERROR(
            VLOOKUP($A71, INDIRECT("SepR!$A$6:$ZZ$1048576"), MATCH(K$1, SepR!$6:$6, 0), FALSE),
            0
        ) +
        IFERROR(
            VLOOKUP($A71, INDIRECT("OctR!$A$6:$ZZ$1048576"), MATCH(K$1, OctR!$6:$6, 0), FALSE),
            0
        ) +
        IFERROR(
            VLOOKUP($A71, INDIRECT("NovR!$A$6:$ZZ$1048576"), MATCH(K$1, NovR!$6:$6, 0), FALSE),
            0
        ) +
        IFERROR(
            VLOOKUP($A71, INDIRECT("DicR!$A$6:$ZZ$1048576"), MATCH(K$1, DicR!$6:$6, 0), FALSE),
            0
        )
)</f>
        <v>0</v>
      </c>
      <c r="L71" s="32">
        <f t="array" ref="L71">SUM(
    IFERROR(
            VLOOKUP($A71, INDIRECT("EneR!$A$6:$ZZ$1048576"), MATCH(L$1, EneR!$6:$6, 0), FALSE),
            0
        ) +
        IFERROR(
            VLOOKUP($A71, INDIRECT("FebR!$A$6:$ZZ$1048576"), MATCH(L$1, FebR!$6:$6, 0), FALSE),
            0
        ) +
        IFERROR(
            VLOOKUP($A71, INDIRECT("MarR!$A$6:$ZZ$1048576"), MATCH(L$1, MarR!$6:$6, 0), FALSE),
            0
        ) +
        IFERROR(
            VLOOKUP($A71, INDIRECT("AbrR!$A$6:$ZZ$1048576"), MATCH(L$1, AbrR!$6:$6, 0), FALSE),
            0
        ) +
        IFERROR(
            VLOOKUP($A71, INDIRECT("MayR!$A$6:$ZZ$1048576"), MATCH(L$1, MayR!$6:$6, 0), FALSE),
            0
        ) +
        IFERROR(
            VLOOKUP($A71, INDIRECT("JunR!$A$6:$ZZ$1048576"), MATCH(L$1, JunR!$6:$6, 0), FALSE),
            0
        ) +
        IFERROR(
            VLOOKUP($A71, INDIRECT("JulR!$A$6:$ZZ$1048576"), MATCH(L$1, JulR!$6:$6, 0), FALSE),
            0
        ) +
        IFERROR(
            VLOOKUP($A71, INDIRECT("AgoR!$A$6:$ZZ$1048576"), MATCH(L$1, AgoR!$6:$6, 0), FALSE),
            0
        ) +
        IFERROR(
            VLOOKUP($A71, INDIRECT("SepR!$A$6:$ZZ$1048576"), MATCH(L$1, SepR!$6:$6, 0), FALSE),
            0
        ) +
        IFERROR(
            VLOOKUP($A71, INDIRECT("OctR!$A$6:$ZZ$1048576"), MATCH(L$1, OctR!$6:$6, 0), FALSE),
            0
        ) +
        IFERROR(
            VLOOKUP($A71, INDIRECT("NovR!$A$6:$ZZ$1048576"), MATCH(L$1, NovR!$6:$6, 0), FALSE),
            0
        ) +
        IFERROR(
            VLOOKUP($A71, INDIRECT("DicR!$A$6:$ZZ$1048576"), MATCH(L$1, DicR!$6:$6, 0), FALSE),
            0
        )
)</f>
        <v>0</v>
      </c>
      <c r="M71" s="35">
        <f t="array" ref="M71">SUM(
    IFERROR(
            VLOOKUP($A71, INDIRECT("EneR!$A$6:$ZZ$1048576"), MATCH(M$1, EneR!$6:$6, 0), FALSE),
            0
        ) +
        IFERROR(
            VLOOKUP($A71, INDIRECT("FebR!$A$6:$ZZ$1048576"), MATCH(M$1, FebR!$6:$6, 0), FALSE),
            0
        ) +
        IFERROR(
            VLOOKUP($A71, INDIRECT("MarR!$A$6:$ZZ$1048576"), MATCH(M$1, MarR!$6:$6, 0), FALSE),
            0
        ) +
        IFERROR(
            VLOOKUP($A71, INDIRECT("AbrR!$A$6:$ZZ$1048576"), MATCH(M$1, AbrR!$6:$6, 0), FALSE),
            0
        ) +
        IFERROR(
            VLOOKUP($A71, INDIRECT("MayR!$A$6:$ZZ$1048576"), MATCH(M$1, MayR!$6:$6, 0), FALSE),
            0
        ) +
        IFERROR(
            VLOOKUP($A71, INDIRECT("JunR!$A$6:$ZZ$1048576"), MATCH(M$1, JunR!$6:$6, 0), FALSE),
            0
        ) +
        IFERROR(
            VLOOKUP($A71, INDIRECT("JulR!$A$6:$ZZ$1048576"), MATCH(M$1, JulR!$6:$6, 0), FALSE),
            0
        ) +
        IFERROR(
            VLOOKUP($A71, INDIRECT("AgoR!$A$6:$ZZ$1048576"), MATCH(M$1, AgoR!$6:$6, 0), FALSE),
            0
        ) +
        IFERROR(
            VLOOKUP($A71, INDIRECT("SepR!$A$6:$ZZ$1048576"), MATCH(M$1, SepR!$6:$6, 0), FALSE),
            0
        ) +
        IFERROR(
            VLOOKUP($A71, INDIRECT("OctR!$A$6:$ZZ$1048576"), MATCH(M$1, OctR!$6:$6, 0), FALSE),
            0
        ) +
        IFERROR(
            VLOOKUP($A71, INDIRECT("NovR!$A$6:$ZZ$1048576"), MATCH(M$1, NovR!$6:$6, 0), FALSE),
            0
        ) +
        IFERROR(
            VLOOKUP($A71, INDIRECT("DicR!$A$6:$ZZ$1048576"), MATCH(M$1, DicR!$6:$6, 0), FALSE),
            0
        )
)</f>
        <v>0</v>
      </c>
      <c r="N71" s="32">
        <f t="array" ref="N71">SUM(
    IFERROR(
            VLOOKUP($A71, INDIRECT("EneR!$A$6:$ZZ$1048576"), MATCH(N$1, EneR!$6:$6, 0), FALSE),
            0
        ) +
        IFERROR(
            VLOOKUP($A71, INDIRECT("FebR!$A$6:$ZZ$1048576"), MATCH(N$1, FebR!$6:$6, 0), FALSE),
            0
        ) +
        IFERROR(
            VLOOKUP($A71, INDIRECT("MarR!$A$6:$ZZ$1048576"), MATCH(N$1, MarR!$6:$6, 0), FALSE),
            0
        ) +
        IFERROR(
            VLOOKUP($A71, INDIRECT("AbrR!$A$6:$ZZ$1048576"), MATCH(N$1, AbrR!$6:$6, 0), FALSE),
            0
        ) +
        IFERROR(
            VLOOKUP($A71, INDIRECT("MayR!$A$6:$ZZ$1048576"), MATCH(N$1, MayR!$6:$6, 0), FALSE),
            0
        ) +
        IFERROR(
            VLOOKUP($A71, INDIRECT("JunR!$A$6:$ZZ$1048576"), MATCH(N$1, JunR!$6:$6, 0), FALSE),
            0
        ) +
        IFERROR(
            VLOOKUP($A71, INDIRECT("JulR!$A$6:$ZZ$1048576"), MATCH(N$1, JulR!$6:$6, 0), FALSE),
            0
        ) +
        IFERROR(
            VLOOKUP($A71, INDIRECT("AgoR!$A$6:$ZZ$1048576"), MATCH(N$1, AgoR!$6:$6, 0), FALSE),
            0
        ) +
        IFERROR(
            VLOOKUP($A71, INDIRECT("SepR!$A$6:$ZZ$1048576"), MATCH(N$1, SepR!$6:$6, 0), FALSE),
            0
        ) +
        IFERROR(
            VLOOKUP($A71, INDIRECT("OctR!$A$6:$ZZ$1048576"), MATCH(N$1, OctR!$6:$6, 0), FALSE),
            0
        ) +
        IFERROR(
            VLOOKUP($A71, INDIRECT("NovR!$A$6:$ZZ$1048576"), MATCH(N$1, NovR!$6:$6, 0), FALSE),
            0
        ) +
        IFERROR(
            VLOOKUP($A71, INDIRECT("DicR!$A$6:$ZZ$1048576"), MATCH(N$1, DicR!$6:$6, 0), FALSE),
            0
        )
)</f>
        <v>0</v>
      </c>
      <c r="O71" s="35">
        <f t="array" ref="O71">SUM(
    IFERROR(
            VLOOKUP($A71, INDIRECT("EneR!$A$6:$ZZ$1048576"), MATCH(O$1, EneR!$6:$6, 0), FALSE),
            0
        ) +
        IFERROR(
            VLOOKUP($A71, INDIRECT("FebR!$A$6:$ZZ$1048576"), MATCH(O$1, FebR!$6:$6, 0), FALSE),
            0
        ) +
        IFERROR(
            VLOOKUP($A71, INDIRECT("MarR!$A$6:$ZZ$1048576"), MATCH(O$1, MarR!$6:$6, 0), FALSE),
            0
        ) +
        IFERROR(
            VLOOKUP($A71, INDIRECT("AbrR!$A$6:$ZZ$1048576"), MATCH(O$1, AbrR!$6:$6, 0), FALSE),
            0
        ) +
        IFERROR(
            VLOOKUP($A71, INDIRECT("MayR!$A$6:$ZZ$1048576"), MATCH(O$1, MayR!$6:$6, 0), FALSE),
            0
        ) +
        IFERROR(
            VLOOKUP($A71, INDIRECT("JunR!$A$6:$ZZ$1048576"), MATCH(O$1, JunR!$6:$6, 0), FALSE),
            0
        ) +
        IFERROR(
            VLOOKUP($A71, INDIRECT("JulR!$A$6:$ZZ$1048576"), MATCH(O$1, JulR!$6:$6, 0), FALSE),
            0
        ) +
        IFERROR(
            VLOOKUP($A71, INDIRECT("AgoR!$A$6:$ZZ$1048576"), MATCH(O$1, AgoR!$6:$6, 0), FALSE),
            0
        ) +
        IFERROR(
            VLOOKUP($A71, INDIRECT("SepR!$A$6:$ZZ$1048576"), MATCH(O$1, SepR!$6:$6, 0), FALSE),
            0
        ) +
        IFERROR(
            VLOOKUP($A71, INDIRECT("OctR!$A$6:$ZZ$1048576"), MATCH(O$1, OctR!$6:$6, 0), FALSE),
            0
        ) +
        IFERROR(
            VLOOKUP($A71, INDIRECT("NovR!$A$6:$ZZ$1048576"), MATCH(O$1, NovR!$6:$6, 0), FALSE),
            0
        ) +
        IFERROR(
            VLOOKUP($A71, INDIRECT("DicR!$A$6:$ZZ$1048576"), MATCH(O$1, DicR!$6:$6, 0), FALSE),
            0
        )
)</f>
        <v>0</v>
      </c>
      <c r="P71" s="32">
        <f t="array" ref="P71">SUM(
    IFERROR(
            VLOOKUP($A71, INDIRECT("EneR!$A$6:$ZZ$1048576"), MATCH(P$1, EneR!$6:$6, 0), FALSE),
            0
        ) +
        IFERROR(
            VLOOKUP($A71, INDIRECT("FebR!$A$6:$ZZ$1048576"), MATCH(P$1, FebR!$6:$6, 0), FALSE),
            0
        ) +
        IFERROR(
            VLOOKUP($A71, INDIRECT("MarR!$A$6:$ZZ$1048576"), MATCH(P$1, MarR!$6:$6, 0), FALSE),
            0
        ) +
        IFERROR(
            VLOOKUP($A71, INDIRECT("AbrR!$A$6:$ZZ$1048576"), MATCH(P$1, AbrR!$6:$6, 0), FALSE),
            0
        ) +
        IFERROR(
            VLOOKUP($A71, INDIRECT("MayR!$A$6:$ZZ$1048576"), MATCH(P$1, MayR!$6:$6, 0), FALSE),
            0
        ) +
        IFERROR(
            VLOOKUP($A71, INDIRECT("JunR!$A$6:$ZZ$1048576"), MATCH(P$1, JunR!$6:$6, 0), FALSE),
            0
        ) +
        IFERROR(
            VLOOKUP($A71, INDIRECT("JulR!$A$6:$ZZ$1048576"), MATCH(P$1, JulR!$6:$6, 0), FALSE),
            0
        ) +
        IFERROR(
            VLOOKUP($A71, INDIRECT("AgoR!$A$6:$ZZ$1048576"), MATCH(P$1, AgoR!$6:$6, 0), FALSE),
            0
        ) +
        IFERROR(
            VLOOKUP($A71, INDIRECT("SepR!$A$6:$ZZ$1048576"), MATCH(P$1, SepR!$6:$6, 0), FALSE),
            0
        ) +
        IFERROR(
            VLOOKUP($A71, INDIRECT("OctR!$A$6:$ZZ$1048576"), MATCH(P$1, OctR!$6:$6, 0), FALSE),
            0
        ) +
        IFERROR(
            VLOOKUP($A71, INDIRECT("NovR!$A$6:$ZZ$1048576"), MATCH(P$1, NovR!$6:$6, 0), FALSE),
            0
        ) +
        IFERROR(
            VLOOKUP($A71, INDIRECT("DicR!$A$6:$ZZ$1048576"), MATCH(P$1, DicR!$6:$6, 0), FALSE),
            0
        )
)</f>
        <v>0</v>
      </c>
      <c r="Q71" s="35">
        <f t="array" ref="Q71">SUM(
    IFERROR(
            VLOOKUP($A71, INDIRECT("EneR!$A$6:$ZZ$1048576"), MATCH(Q$1, EneR!$6:$6, 0), FALSE),
            0
        ) +
        IFERROR(
            VLOOKUP($A71, INDIRECT("FebR!$A$6:$ZZ$1048576"), MATCH(Q$1, FebR!$6:$6, 0), FALSE),
            0
        ) +
        IFERROR(
            VLOOKUP($A71, INDIRECT("MarR!$A$6:$ZZ$1048576"), MATCH(Q$1, MarR!$6:$6, 0), FALSE),
            0
        ) +
        IFERROR(
            VLOOKUP($A71, INDIRECT("AbrR!$A$6:$ZZ$1048576"), MATCH(Q$1, AbrR!$6:$6, 0), FALSE),
            0
        ) +
        IFERROR(
            VLOOKUP($A71, INDIRECT("MayR!$A$6:$ZZ$1048576"), MATCH(Q$1, MayR!$6:$6, 0), FALSE),
            0
        ) +
        IFERROR(
            VLOOKUP($A71, INDIRECT("JunR!$A$6:$ZZ$1048576"), MATCH(Q$1, JunR!$6:$6, 0), FALSE),
            0
        ) +
        IFERROR(
            VLOOKUP($A71, INDIRECT("JulR!$A$6:$ZZ$1048576"), MATCH(Q$1, JulR!$6:$6, 0), FALSE),
            0
        ) +
        IFERROR(
            VLOOKUP($A71, INDIRECT("AgoR!$A$6:$ZZ$1048576"), MATCH(Q$1, AgoR!$6:$6, 0), FALSE),
            0
        ) +
        IFERROR(
            VLOOKUP($A71, INDIRECT("SepR!$A$6:$ZZ$1048576"), MATCH(Q$1, SepR!$6:$6, 0), FALSE),
            0
        ) +
        IFERROR(
            VLOOKUP($A71, INDIRECT("OctR!$A$6:$ZZ$1048576"), MATCH(Q$1, OctR!$6:$6, 0), FALSE),
            0
        ) +
        IFERROR(
            VLOOKUP($A71, INDIRECT("NovR!$A$6:$ZZ$1048576"), MATCH(Q$1, NovR!$6:$6, 0), FALSE),
            0
        ) +
        IFERROR(
            VLOOKUP($A71, INDIRECT("DicR!$A$6:$ZZ$1048576"), MATCH(Q$1, DicR!$6:$6, 0), FALSE),
            0
        )
)</f>
        <v>0</v>
      </c>
      <c r="R71" s="36">
        <f t="array" ref="R71">SUM(
    IFERROR(
            VLOOKUP($A71, INDIRECT("EneR!$A$6:$ZZ$1048576"), MATCH(R$1, EneR!$6:$6, 0), FALSE),
            0
        ) +
        IFERROR(
            VLOOKUP($A71, INDIRECT("FebR!$A$6:$ZZ$1048576"), MATCH(R$1, FebR!$6:$6, 0), FALSE),
            0
        ) +
        IFERROR(
            VLOOKUP($A71, INDIRECT("MarR!$A$6:$ZZ$1048576"), MATCH(R$1, MarR!$6:$6, 0), FALSE),
            0
        ) +
        IFERROR(
            VLOOKUP($A71, INDIRECT("AbrR!$A$6:$ZZ$1048576"), MATCH(R$1, AbrR!$6:$6, 0), FALSE),
            0
        ) +
        IFERROR(
            VLOOKUP($A71, INDIRECT("MayR!$A$6:$ZZ$1048576"), MATCH(R$1, MayR!$6:$6, 0), FALSE),
            0
        ) +
        IFERROR(
            VLOOKUP($A71, INDIRECT("JunR!$A$6:$ZZ$1048576"), MATCH(R$1, JunR!$6:$6, 0), FALSE),
            0
        ) +
        IFERROR(
            VLOOKUP($A71, INDIRECT("JulR!$A$6:$ZZ$1048576"), MATCH(R$1, JulR!$6:$6, 0), FALSE),
            0
        ) +
        IFERROR(
            VLOOKUP($A71, INDIRECT("AgoR!$A$6:$ZZ$1048576"), MATCH(R$1, AgoR!$6:$6, 0), FALSE),
            0
        ) +
        IFERROR(
            VLOOKUP($A71, INDIRECT("SepR!$A$6:$ZZ$1048576"), MATCH(R$1, SepR!$6:$6, 0), FALSE),
            0
        ) +
        IFERROR(
            VLOOKUP($A71, INDIRECT("OctR!$A$6:$ZZ$1048576"), MATCH(R$1, OctR!$6:$6, 0), FALSE),
            0
        ) +
        IFERROR(
            VLOOKUP($A71, INDIRECT("NovR!$A$6:$ZZ$1048576"), MATCH(R$1, NovR!$6:$6, 0), FALSE),
            0
        ) +
        IFERROR(
            VLOOKUP($A71, INDIRECT("DicR!$A$6:$ZZ$1048576"), MATCH(R$1, DicR!$6:$6, 0), FALSE),
            0
        )
)</f>
        <v>0</v>
      </c>
      <c r="S71" s="37">
        <f t="array" ref="S71">SUM(
    IFERROR(
            VLOOKUP($A71, INDIRECT("EneR!$A$6:$ZZ$1048576"), MATCH(S$1, EneR!$6:$6, 0), FALSE),
            0
        ) +
        IFERROR(
            VLOOKUP($A71, INDIRECT("FebR!$A$6:$ZZ$1048576"), MATCH(S$1, FebR!$6:$6, 0), FALSE),
            0
        ) +
        IFERROR(
            VLOOKUP($A71, INDIRECT("MarR!$A$6:$ZZ$1048576"), MATCH(S$1, MarR!$6:$6, 0), FALSE),
            0
        ) +
        IFERROR(
            VLOOKUP($A71, INDIRECT("AbrR!$A$6:$ZZ$1048576"), MATCH(S$1, AbrR!$6:$6, 0), FALSE),
            0
        ) +
        IFERROR(
            VLOOKUP($A71, INDIRECT("MayR!$A$6:$ZZ$1048576"), MATCH(S$1, MayR!$6:$6, 0), FALSE),
            0
        ) +
        IFERROR(
            VLOOKUP($A71, INDIRECT("JunR!$A$6:$ZZ$1048576"), MATCH(S$1, JunR!$6:$6, 0), FALSE),
            0
        ) +
        IFERROR(
            VLOOKUP($A71, INDIRECT("JulR!$A$6:$ZZ$1048576"), MATCH(S$1, JulR!$6:$6, 0), FALSE),
            0
        ) +
        IFERROR(
            VLOOKUP($A71, INDIRECT("AgoR!$A$6:$ZZ$1048576"), MATCH(S$1, AgoR!$6:$6, 0), FALSE),
            0
        ) +
        IFERROR(
            VLOOKUP($A71, INDIRECT("SepR!$A$6:$ZZ$1048576"), MATCH(S$1, SepR!$6:$6, 0), FALSE),
            0
        ) +
        IFERROR(
            VLOOKUP($A71, INDIRECT("OctR!$A$6:$ZZ$1048576"), MATCH(S$1, OctR!$6:$6, 0), FALSE),
            0
        ) +
        IFERROR(
            VLOOKUP($A71, INDIRECT("NovR!$A$6:$ZZ$1048576"), MATCH(S$1, NovR!$6:$6, 0), FALSE),
            0
        ) +
        IFERROR(
            VLOOKUP($A71, INDIRECT("DicR!$A$6:$ZZ$1048576"), MATCH(S$1, DicR!$6:$6, 0), FALSE),
            0
        )
)</f>
        <v>0</v>
      </c>
      <c r="T71" s="36">
        <f t="array" ref="T71">SUM(
    IFERROR(
            VLOOKUP($A71, INDIRECT("EneR!$A$6:$ZZ$1048576"), MATCH(T$1, EneR!$6:$6, 0), FALSE),
            0
        ) +
        IFERROR(
            VLOOKUP($A71, INDIRECT("FebR!$A$6:$ZZ$1048576"), MATCH(T$1, FebR!$6:$6, 0), FALSE),
            0
        ) +
        IFERROR(
            VLOOKUP($A71, INDIRECT("MarR!$A$6:$ZZ$1048576"), MATCH(T$1, MarR!$6:$6, 0), FALSE),
            0
        ) +
        IFERROR(
            VLOOKUP($A71, INDIRECT("AbrR!$A$6:$ZZ$1048576"), MATCH(T$1, AbrR!$6:$6, 0), FALSE),
            0
        ) +
        IFERROR(
            VLOOKUP($A71, INDIRECT("MayR!$A$6:$ZZ$1048576"), MATCH(T$1, MayR!$6:$6, 0), FALSE),
            0
        ) +
        IFERROR(
            VLOOKUP($A71, INDIRECT("JunR!$A$6:$ZZ$1048576"), MATCH(T$1, JunR!$6:$6, 0), FALSE),
            0
        ) +
        IFERROR(
            VLOOKUP($A71, INDIRECT("JulR!$A$6:$ZZ$1048576"), MATCH(T$1, JulR!$6:$6, 0), FALSE),
            0
        ) +
        IFERROR(
            VLOOKUP($A71, INDIRECT("AgoR!$A$6:$ZZ$1048576"), MATCH(T$1, AgoR!$6:$6, 0), FALSE),
            0
        ) +
        IFERROR(
            VLOOKUP($A71, INDIRECT("SepR!$A$6:$ZZ$1048576"), MATCH(T$1, SepR!$6:$6, 0), FALSE),
            0
        ) +
        IFERROR(
            VLOOKUP($A71, INDIRECT("OctR!$A$6:$ZZ$1048576"), MATCH(T$1, OctR!$6:$6, 0), FALSE),
            0
        ) +
        IFERROR(
            VLOOKUP($A71, INDIRECT("NovR!$A$6:$ZZ$1048576"), MATCH(T$1, NovR!$6:$6, 0), FALSE),
            0
        ) +
        IFERROR(
            VLOOKUP($A71, INDIRECT("DicR!$A$6:$ZZ$1048576"), MATCH(T$1, DicR!$6:$6, 0), FALSE),
            0
        )
)</f>
        <v>0</v>
      </c>
      <c r="U71" s="37">
        <f t="array" ref="U71">SUM(
    IFERROR(
            VLOOKUP($A71, INDIRECT("EneR!$A$6:$ZZ$1048576"), MATCH(U$1, EneR!$6:$6, 0), FALSE),
            0
        ) +
        IFERROR(
            VLOOKUP($A71, INDIRECT("FebR!$A$6:$ZZ$1048576"), MATCH(U$1, FebR!$6:$6, 0), FALSE),
            0
        ) +
        IFERROR(
            VLOOKUP($A71, INDIRECT("MarR!$A$6:$ZZ$1048576"), MATCH(U$1, MarR!$6:$6, 0), FALSE),
            0
        ) +
        IFERROR(
            VLOOKUP($A71, INDIRECT("AbrR!$A$6:$ZZ$1048576"), MATCH(U$1, AbrR!$6:$6, 0), FALSE),
            0
        ) +
        IFERROR(
            VLOOKUP($A71, INDIRECT("MayR!$A$6:$ZZ$1048576"), MATCH(U$1, MayR!$6:$6, 0), FALSE),
            0
        ) +
        IFERROR(
            VLOOKUP($A71, INDIRECT("JunR!$A$6:$ZZ$1048576"), MATCH(U$1, JunR!$6:$6, 0), FALSE),
            0
        ) +
        IFERROR(
            VLOOKUP($A71, INDIRECT("JulR!$A$6:$ZZ$1048576"), MATCH(U$1, JulR!$6:$6, 0), FALSE),
            0
        ) +
        IFERROR(
            VLOOKUP($A71, INDIRECT("AgoR!$A$6:$ZZ$1048576"), MATCH(U$1, AgoR!$6:$6, 0), FALSE),
            0
        ) +
        IFERROR(
            VLOOKUP($A71, INDIRECT("SepR!$A$6:$ZZ$1048576"), MATCH(U$1, SepR!$6:$6, 0), FALSE),
            0
        ) +
        IFERROR(
            VLOOKUP($A71, INDIRECT("OctR!$A$6:$ZZ$1048576"), MATCH(U$1, OctR!$6:$6, 0), FALSE),
            0
        ) +
        IFERROR(
            VLOOKUP($A71, INDIRECT("NovR!$A$6:$ZZ$1048576"), MATCH(U$1, NovR!$6:$6, 0), FALSE),
            0
        ) +
        IFERROR(
            VLOOKUP($A71, INDIRECT("DicR!$A$6:$ZZ$1048576"), MATCH(U$1, DicR!$6:$6, 0), FALSE),
            0
        )
)</f>
        <v>0</v>
      </c>
      <c r="V71" s="36">
        <f t="array" ref="V71">SUM(
    IFERROR(
            VLOOKUP($A71, INDIRECT("EneR!$A$6:$ZZ$1048576"), MATCH(V$1, EneR!$6:$6, 0), FALSE),
            0
        ) +
        IFERROR(
            VLOOKUP($A71, INDIRECT("FebR!$A$6:$ZZ$1048576"), MATCH(V$1, FebR!$6:$6, 0), FALSE),
            0
        ) +
        IFERROR(
            VLOOKUP($A71, INDIRECT("MarR!$A$6:$ZZ$1048576"), MATCH(V$1, MarR!$6:$6, 0), FALSE),
            0
        ) +
        IFERROR(
            VLOOKUP($A71, INDIRECT("AbrR!$A$6:$ZZ$1048576"), MATCH(V$1, AbrR!$6:$6, 0), FALSE),
            0
        ) +
        IFERROR(
            VLOOKUP($A71, INDIRECT("MayR!$A$6:$ZZ$1048576"), MATCH(V$1, MayR!$6:$6, 0), FALSE),
            0
        ) +
        IFERROR(
            VLOOKUP($A71, INDIRECT("JunR!$A$6:$ZZ$1048576"), MATCH(V$1, JunR!$6:$6, 0), FALSE),
            0
        ) +
        IFERROR(
            VLOOKUP($A71, INDIRECT("JulR!$A$6:$ZZ$1048576"), MATCH(V$1, JulR!$6:$6, 0), FALSE),
            0
        ) +
        IFERROR(
            VLOOKUP($A71, INDIRECT("AgoR!$A$6:$ZZ$1048576"), MATCH(V$1, AgoR!$6:$6, 0), FALSE),
            0
        ) +
        IFERROR(
            VLOOKUP($A71, INDIRECT("SepR!$A$6:$ZZ$1048576"), MATCH(V$1, SepR!$6:$6, 0), FALSE),
            0
        ) +
        IFERROR(
            VLOOKUP($A71, INDIRECT("OctR!$A$6:$ZZ$1048576"), MATCH(V$1, OctR!$6:$6, 0), FALSE),
            0
        ) +
        IFERROR(
            VLOOKUP($A71, INDIRECT("NovR!$A$6:$ZZ$1048576"), MATCH(V$1, NovR!$6:$6, 0), FALSE),
            0
        ) +
        IFERROR(
            VLOOKUP($A71, INDIRECT("DicR!$A$6:$ZZ$1048576"), MATCH(V$1, DicR!$6:$6, 0), FALSE),
            0
        )
)</f>
        <v>0</v>
      </c>
      <c r="W71" s="37">
        <f t="array" ref="W71">SUM(
    IFERROR(
            VLOOKUP($A71, INDIRECT("EneR!$A$6:$ZZ$1048576"), MATCH(W$1, EneR!$6:$6, 0), FALSE),
            0
        ) +
        IFERROR(
            VLOOKUP($A71, INDIRECT("FebR!$A$6:$ZZ$1048576"), MATCH(W$1, FebR!$6:$6, 0), FALSE),
            0
        ) +
        IFERROR(
            VLOOKUP($A71, INDIRECT("MarR!$A$6:$ZZ$1048576"), MATCH(W$1, MarR!$6:$6, 0), FALSE),
            0
        ) +
        IFERROR(
            VLOOKUP($A71, INDIRECT("AbrR!$A$6:$ZZ$1048576"), MATCH(W$1, AbrR!$6:$6, 0), FALSE),
            0
        ) +
        IFERROR(
            VLOOKUP($A71, INDIRECT("MayR!$A$6:$ZZ$1048576"), MATCH(W$1, MayR!$6:$6, 0), FALSE),
            0
        ) +
        IFERROR(
            VLOOKUP($A71, INDIRECT("JunR!$A$6:$ZZ$1048576"), MATCH(W$1, JunR!$6:$6, 0), FALSE),
            0
        ) +
        IFERROR(
            VLOOKUP($A71, INDIRECT("JulR!$A$6:$ZZ$1048576"), MATCH(W$1, JulR!$6:$6, 0), FALSE),
            0
        ) +
        IFERROR(
            VLOOKUP($A71, INDIRECT("AgoR!$A$6:$ZZ$1048576"), MATCH(W$1, AgoR!$6:$6, 0), FALSE),
            0
        ) +
        IFERROR(
            VLOOKUP($A71, INDIRECT("SepR!$A$6:$ZZ$1048576"), MATCH(W$1, SepR!$6:$6, 0), FALSE),
            0
        ) +
        IFERROR(
            VLOOKUP($A71, INDIRECT("OctR!$A$6:$ZZ$1048576"), MATCH(W$1, OctR!$6:$6, 0), FALSE),
            0
        ) +
        IFERROR(
            VLOOKUP($A71, INDIRECT("NovR!$A$6:$ZZ$1048576"), MATCH(W$1, NovR!$6:$6, 0), FALSE),
            0
        ) +
        IFERROR(
            VLOOKUP($A71, INDIRECT("DicR!$A$6:$ZZ$1048576"), MATCH(W$1, DicR!$6:$6, 0), FALSE),
            0
        )
)</f>
        <v>0</v>
      </c>
      <c r="X71" s="36">
        <f t="array" ref="X71">SUM(
    IFERROR(
            VLOOKUP($A71, INDIRECT("EneR!$A$6:$ZZ$1048576"), MATCH(X$1, EneR!$6:$6, 0), FALSE),
            0
        ) +
        IFERROR(
            VLOOKUP($A71, INDIRECT("FebR!$A$6:$ZZ$1048576"), MATCH(X$1, FebR!$6:$6, 0), FALSE),
            0
        ) +
        IFERROR(
            VLOOKUP($A71, INDIRECT("MarR!$A$6:$ZZ$1048576"), MATCH(X$1, MarR!$6:$6, 0), FALSE),
            0
        ) +
        IFERROR(
            VLOOKUP($A71, INDIRECT("AbrR!$A$6:$ZZ$1048576"), MATCH(X$1, AbrR!$6:$6, 0), FALSE),
            0
        ) +
        IFERROR(
            VLOOKUP($A71, INDIRECT("MayR!$A$6:$ZZ$1048576"), MATCH(X$1, MayR!$6:$6, 0), FALSE),
            0
        ) +
        IFERROR(
            VLOOKUP($A71, INDIRECT("JunR!$A$6:$ZZ$1048576"), MATCH(X$1, JunR!$6:$6, 0), FALSE),
            0
        ) +
        IFERROR(
            VLOOKUP($A71, INDIRECT("JulR!$A$6:$ZZ$1048576"), MATCH(X$1, JulR!$6:$6, 0), FALSE),
            0
        ) +
        IFERROR(
            VLOOKUP($A71, INDIRECT("AgoR!$A$6:$ZZ$1048576"), MATCH(X$1, AgoR!$6:$6, 0), FALSE),
            0
        ) +
        IFERROR(
            VLOOKUP($A71, INDIRECT("SepR!$A$6:$ZZ$1048576"), MATCH(X$1, SepR!$6:$6, 0), FALSE),
            0
        ) +
        IFERROR(
            VLOOKUP($A71, INDIRECT("OctR!$A$6:$ZZ$1048576"), MATCH(X$1, OctR!$6:$6, 0), FALSE),
            0
        ) +
        IFERROR(
            VLOOKUP($A71, INDIRECT("NovR!$A$6:$ZZ$1048576"), MATCH(X$1, NovR!$6:$6, 0), FALSE),
            0
        ) +
        IFERROR(
            VLOOKUP($A71, INDIRECT("DicR!$A$6:$ZZ$1048576"), MATCH(X$1, DicR!$6:$6, 0), FALSE),
            0
        )
)</f>
        <v>0</v>
      </c>
      <c r="Y71" s="37">
        <f t="array" ref="Y71">SUM(
    IFERROR(
            VLOOKUP($A71, INDIRECT("EneR!$A$6:$ZZ$1048576"), MATCH(Y$1, EneR!$6:$6, 0), FALSE),
            0
        ) +
        IFERROR(
            VLOOKUP($A71, INDIRECT("FebR!$A$6:$ZZ$1048576"), MATCH(Y$1, FebR!$6:$6, 0), FALSE),
            0
        ) +
        IFERROR(
            VLOOKUP($A71, INDIRECT("MarR!$A$6:$ZZ$1048576"), MATCH(Y$1, MarR!$6:$6, 0), FALSE),
            0
        ) +
        IFERROR(
            VLOOKUP($A71, INDIRECT("AbrR!$A$6:$ZZ$1048576"), MATCH(Y$1, AbrR!$6:$6, 0), FALSE),
            0
        ) +
        IFERROR(
            VLOOKUP($A71, INDIRECT("MayR!$A$6:$ZZ$1048576"), MATCH(Y$1, MayR!$6:$6, 0), FALSE),
            0
        ) +
        IFERROR(
            VLOOKUP($A71, INDIRECT("JunR!$A$6:$ZZ$1048576"), MATCH(Y$1, JunR!$6:$6, 0), FALSE),
            0
        ) +
        IFERROR(
            VLOOKUP($A71, INDIRECT("JulR!$A$6:$ZZ$1048576"), MATCH(Y$1, JulR!$6:$6, 0), FALSE),
            0
        ) +
        IFERROR(
            VLOOKUP($A71, INDIRECT("AgoR!$A$6:$ZZ$1048576"), MATCH(Y$1, AgoR!$6:$6, 0), FALSE),
            0
        ) +
        IFERROR(
            VLOOKUP($A71, INDIRECT("SepR!$A$6:$ZZ$1048576"), MATCH(Y$1, SepR!$6:$6, 0), FALSE),
            0
        ) +
        IFERROR(
            VLOOKUP($A71, INDIRECT("OctR!$A$6:$ZZ$1048576"), MATCH(Y$1, OctR!$6:$6, 0), FALSE),
            0
        ) +
        IFERROR(
            VLOOKUP($A71, INDIRECT("NovR!$A$6:$ZZ$1048576"), MATCH(Y$1, NovR!$6:$6, 0), FALSE),
            0
        ) +
        IFERROR(
            VLOOKUP($A71, INDIRECT("DicR!$A$6:$ZZ$1048576"), MATCH(Y$1, DicR!$6:$6, 0), FALSE),
            0
        )
)</f>
        <v>0</v>
      </c>
      <c r="Z71" s="36">
        <f t="array" ref="Z71">SUM(
    IFERROR(
            VLOOKUP($A71, INDIRECT("EneR!$A$6:$ZZ$1048576"), MATCH(Z$1, EneR!$6:$6, 0), FALSE),
            0
        ) +
        IFERROR(
            VLOOKUP($A71, INDIRECT("FebR!$A$6:$ZZ$1048576"), MATCH(Z$1, FebR!$6:$6, 0), FALSE),
            0
        ) +
        IFERROR(
            VLOOKUP($A71, INDIRECT("MarR!$A$6:$ZZ$1048576"), MATCH(Z$1, MarR!$6:$6, 0), FALSE),
            0
        ) +
        IFERROR(
            VLOOKUP($A71, INDIRECT("AbrR!$A$6:$ZZ$1048576"), MATCH(Z$1, AbrR!$6:$6, 0), FALSE),
            0
        ) +
        IFERROR(
            VLOOKUP($A71, INDIRECT("MayR!$A$6:$ZZ$1048576"), MATCH(Z$1, MayR!$6:$6, 0), FALSE),
            0
        ) +
        IFERROR(
            VLOOKUP($A71, INDIRECT("JunR!$A$6:$ZZ$1048576"), MATCH(Z$1, JunR!$6:$6, 0), FALSE),
            0
        ) +
        IFERROR(
            VLOOKUP($A71, INDIRECT("JulR!$A$6:$ZZ$1048576"), MATCH(Z$1, JulR!$6:$6, 0), FALSE),
            0
        ) +
        IFERROR(
            VLOOKUP($A71, INDIRECT("AgoR!$A$6:$ZZ$1048576"), MATCH(Z$1, AgoR!$6:$6, 0), FALSE),
            0
        ) +
        IFERROR(
            VLOOKUP($A71, INDIRECT("SepR!$A$6:$ZZ$1048576"), MATCH(Z$1, SepR!$6:$6, 0), FALSE),
            0
        ) +
        IFERROR(
            VLOOKUP($A71, INDIRECT("OctR!$A$6:$ZZ$1048576"), MATCH(Z$1, OctR!$6:$6, 0), FALSE),
            0
        ) +
        IFERROR(
            VLOOKUP($A71, INDIRECT("NovR!$A$6:$ZZ$1048576"), MATCH(Z$1, NovR!$6:$6, 0), FALSE),
            0
        ) +
        IFERROR(
            VLOOKUP($A71, INDIRECT("DicR!$A$6:$ZZ$1048576"), MATCH(Z$1, DicR!$6:$6, 0), FALSE),
            0
        )
)</f>
        <v>0</v>
      </c>
      <c r="AA71" s="37">
        <f t="array" ref="AA71">SUM(
    IFERROR(
            VLOOKUP($A71, INDIRECT("EneR!$A$6:$ZZ$1048576"), MATCH(AA$1, EneR!$6:$6, 0), FALSE),
            0
        ) +
        IFERROR(
            VLOOKUP($A71, INDIRECT("FebR!$A$6:$ZZ$1048576"), MATCH(AA$1, FebR!$6:$6, 0), FALSE),
            0
        ) +
        IFERROR(
            VLOOKUP($A71, INDIRECT("MarR!$A$6:$ZZ$1048576"), MATCH(AA$1, MarR!$6:$6, 0), FALSE),
            0
        ) +
        IFERROR(
            VLOOKUP($A71, INDIRECT("AbrR!$A$6:$ZZ$1048576"), MATCH(AA$1, AbrR!$6:$6, 0), FALSE),
            0
        ) +
        IFERROR(
            VLOOKUP($A71, INDIRECT("MayR!$A$6:$ZZ$1048576"), MATCH(AA$1, MayR!$6:$6, 0), FALSE),
            0
        ) +
        IFERROR(
            VLOOKUP($A71, INDIRECT("JunR!$A$6:$ZZ$1048576"), MATCH(AA$1, JunR!$6:$6, 0), FALSE),
            0
        ) +
        IFERROR(
            VLOOKUP($A71, INDIRECT("JulR!$A$6:$ZZ$1048576"), MATCH(AA$1, JulR!$6:$6, 0), FALSE),
            0
        ) +
        IFERROR(
            VLOOKUP($A71, INDIRECT("AgoR!$A$6:$ZZ$1048576"), MATCH(AA$1, AgoR!$6:$6, 0), FALSE),
            0
        ) +
        IFERROR(
            VLOOKUP($A71, INDIRECT("SepR!$A$6:$ZZ$1048576"), MATCH(AA$1, SepR!$6:$6, 0), FALSE),
            0
        ) +
        IFERROR(
            VLOOKUP($A71, INDIRECT("OctR!$A$6:$ZZ$1048576"), MATCH(AA$1, OctR!$6:$6, 0), FALSE),
            0
        ) +
        IFERROR(
            VLOOKUP($A71, INDIRECT("NovR!$A$6:$ZZ$1048576"), MATCH(AA$1, NovR!$6:$6, 0), FALSE),
            0
        ) +
        IFERROR(
            VLOOKUP($A71, INDIRECT("DicR!$A$6:$ZZ$1048576"), MATCH(AA$1, DicR!$6:$6, 0), FALSE),
            0
        )
)</f>
        <v>0</v>
      </c>
      <c r="AB71" s="36">
        <f t="array" ref="AB71">SUM(
    IFERROR(
            VLOOKUP($A71, INDIRECT("EneR!$A$6:$ZZ$1048576"), MATCH(AB$1, EneR!$6:$6, 0), FALSE),
            0
        ) +
        IFERROR(
            VLOOKUP($A71, INDIRECT("FebR!$A$6:$ZZ$1048576"), MATCH(AB$1, FebR!$6:$6, 0), FALSE),
            0
        ) +
        IFERROR(
            VLOOKUP($A71, INDIRECT("MarR!$A$6:$ZZ$1048576"), MATCH(AB$1, MarR!$6:$6, 0), FALSE),
            0
        ) +
        IFERROR(
            VLOOKUP($A71, INDIRECT("AbrR!$A$6:$ZZ$1048576"), MATCH(AB$1, AbrR!$6:$6, 0), FALSE),
            0
        ) +
        IFERROR(
            VLOOKUP($A71, INDIRECT("MayR!$A$6:$ZZ$1048576"), MATCH(AB$1, MayR!$6:$6, 0), FALSE),
            0
        ) +
        IFERROR(
            VLOOKUP($A71, INDIRECT("JunR!$A$6:$ZZ$1048576"), MATCH(AB$1, JunR!$6:$6, 0), FALSE),
            0
        ) +
        IFERROR(
            VLOOKUP($A71, INDIRECT("JulR!$A$6:$ZZ$1048576"), MATCH(AB$1, JulR!$6:$6, 0), FALSE),
            0
        ) +
        IFERROR(
            VLOOKUP($A71, INDIRECT("AgoR!$A$6:$ZZ$1048576"), MATCH(AB$1, AgoR!$6:$6, 0), FALSE),
            0
        ) +
        IFERROR(
            VLOOKUP($A71, INDIRECT("SepR!$A$6:$ZZ$1048576"), MATCH(AB$1, SepR!$6:$6, 0), FALSE),
            0
        ) +
        IFERROR(
            VLOOKUP($A71, INDIRECT("OctR!$A$6:$ZZ$1048576"), MATCH(AB$1, OctR!$6:$6, 0), FALSE),
            0
        ) +
        IFERROR(
            VLOOKUP($A71, INDIRECT("NovR!$A$6:$ZZ$1048576"), MATCH(AB$1, NovR!$6:$6, 0), FALSE),
            0
        ) +
        IFERROR(
            VLOOKUP($A71, INDIRECT("DicR!$A$6:$ZZ$1048576"), MATCH(AB$1, DicR!$6:$6, 0), FALSE),
            0
        )
)</f>
        <v>0</v>
      </c>
      <c r="AC71" s="37">
        <f t="array" ref="AC71">SUM(
    IFERROR(
            VLOOKUP($A71, INDIRECT("EneR!$A$6:$ZZ$1048576"), MATCH(AC$1, EneR!$6:$6, 0), FALSE),
            0
        ) +
        IFERROR(
            VLOOKUP($A71, INDIRECT("FebR!$A$6:$ZZ$1048576"), MATCH(AC$1, FebR!$6:$6, 0), FALSE),
            0
        ) +
        IFERROR(
            VLOOKUP($A71, INDIRECT("MarR!$A$6:$ZZ$1048576"), MATCH(AC$1, MarR!$6:$6, 0), FALSE),
            0
        ) +
        IFERROR(
            VLOOKUP($A71, INDIRECT("AbrR!$A$6:$ZZ$1048576"), MATCH(AC$1, AbrR!$6:$6, 0), FALSE),
            0
        ) +
        IFERROR(
            VLOOKUP($A71, INDIRECT("MayR!$A$6:$ZZ$1048576"), MATCH(AC$1, MayR!$6:$6, 0), FALSE),
            0
        ) +
        IFERROR(
            VLOOKUP($A71, INDIRECT("JunR!$A$6:$ZZ$1048576"), MATCH(AC$1, JunR!$6:$6, 0), FALSE),
            0
        ) +
        IFERROR(
            VLOOKUP($A71, INDIRECT("JulR!$A$6:$ZZ$1048576"), MATCH(AC$1, JulR!$6:$6, 0), FALSE),
            0
        ) +
        IFERROR(
            VLOOKUP($A71, INDIRECT("AgoR!$A$6:$ZZ$1048576"), MATCH(AC$1, AgoR!$6:$6, 0), FALSE),
            0
        ) +
        IFERROR(
            VLOOKUP($A71, INDIRECT("SepR!$A$6:$ZZ$1048576"), MATCH(AC$1, SepR!$6:$6, 0), FALSE),
            0
        ) +
        IFERROR(
            VLOOKUP($A71, INDIRECT("OctR!$A$6:$ZZ$1048576"), MATCH(AC$1, OctR!$6:$6, 0), FALSE),
            0
        ) +
        IFERROR(
            VLOOKUP($A71, INDIRECT("NovR!$A$6:$ZZ$1048576"), MATCH(AC$1, NovR!$6:$6, 0), FALSE),
            0
        ) +
        IFERROR(
            VLOOKUP($A71, INDIRECT("DicR!$A$6:$ZZ$1048576"), MATCH(AC$1, DicR!$6:$6, 0), FALSE),
            0
        )
)</f>
        <v>0</v>
      </c>
      <c r="AD71" s="36">
        <f t="array" ref="AD71">SUM(
    IFERROR(
            VLOOKUP($A71, INDIRECT("EneR!$A$6:$ZZ$1048576"), MATCH(AD$1, EneR!$6:$6, 0), FALSE),
            0
        ) +
        IFERROR(
            VLOOKUP($A71, INDIRECT("FebR!$A$6:$ZZ$1048576"), MATCH(AD$1, FebR!$6:$6, 0), FALSE),
            0
        ) +
        IFERROR(
            VLOOKUP($A71, INDIRECT("MarR!$A$6:$ZZ$1048576"), MATCH(AD$1, MarR!$6:$6, 0), FALSE),
            0
        ) +
        IFERROR(
            VLOOKUP($A71, INDIRECT("AbrR!$A$6:$ZZ$1048576"), MATCH(AD$1, AbrR!$6:$6, 0), FALSE),
            0
        ) +
        IFERROR(
            VLOOKUP($A71, INDIRECT("MayR!$A$6:$ZZ$1048576"), MATCH(AD$1, MayR!$6:$6, 0), FALSE),
            0
        ) +
        IFERROR(
            VLOOKUP($A71, INDIRECT("JunR!$A$6:$ZZ$1048576"), MATCH(AD$1, JunR!$6:$6, 0), FALSE),
            0
        ) +
        IFERROR(
            VLOOKUP($A71, INDIRECT("JulR!$A$6:$ZZ$1048576"), MATCH(AD$1, JulR!$6:$6, 0), FALSE),
            0
        ) +
        IFERROR(
            VLOOKUP($A71, INDIRECT("AgoR!$A$6:$ZZ$1048576"), MATCH(AD$1, AgoR!$6:$6, 0), FALSE),
            0
        ) +
        IFERROR(
            VLOOKUP($A71, INDIRECT("SepR!$A$6:$ZZ$1048576"), MATCH(AD$1, SepR!$6:$6, 0), FALSE),
            0
        ) +
        IFERROR(
            VLOOKUP($A71, INDIRECT("OctR!$A$6:$ZZ$1048576"), MATCH(AD$1, OctR!$6:$6, 0), FALSE),
            0
        ) +
        IFERROR(
            VLOOKUP($A71, INDIRECT("NovR!$A$6:$ZZ$1048576"), MATCH(AD$1, NovR!$6:$6, 0), FALSE),
            0
        ) +
        IFERROR(
            VLOOKUP($A71, INDIRECT("DicR!$A$6:$ZZ$1048576"), MATCH(AD$1, DicR!$6:$6, 0), FALSE),
            0
        )
)</f>
        <v>0</v>
      </c>
      <c r="AE71" s="37">
        <f t="array" ref="AE71">SUM(
    IFERROR(
            VLOOKUP($A71, INDIRECT("EneR!$A$6:$ZZ$1048576"), MATCH(AE$1, EneR!$6:$6, 0), FALSE),
            0
        ) +
        IFERROR(
            VLOOKUP($A71, INDIRECT("FebR!$A$6:$ZZ$1048576"), MATCH(AE$1, FebR!$6:$6, 0), FALSE),
            0
        ) +
        IFERROR(
            VLOOKUP($A71, INDIRECT("MarR!$A$6:$ZZ$1048576"), MATCH(AE$1, MarR!$6:$6, 0), FALSE),
            0
        ) +
        IFERROR(
            VLOOKUP($A71, INDIRECT("AbrR!$A$6:$ZZ$1048576"), MATCH(AE$1, AbrR!$6:$6, 0), FALSE),
            0
        ) +
        IFERROR(
            VLOOKUP($A71, INDIRECT("MayR!$A$6:$ZZ$1048576"), MATCH(AE$1, MayR!$6:$6, 0), FALSE),
            0
        ) +
        IFERROR(
            VLOOKUP($A71, INDIRECT("JunR!$A$6:$ZZ$1048576"), MATCH(AE$1, JunR!$6:$6, 0), FALSE),
            0
        ) +
        IFERROR(
            VLOOKUP($A71, INDIRECT("JulR!$A$6:$ZZ$1048576"), MATCH(AE$1, JulR!$6:$6, 0), FALSE),
            0
        ) +
        IFERROR(
            VLOOKUP($A71, INDIRECT("AgoR!$A$6:$ZZ$1048576"), MATCH(AE$1, AgoR!$6:$6, 0), FALSE),
            0
        ) +
        IFERROR(
            VLOOKUP($A71, INDIRECT("SepR!$A$6:$ZZ$1048576"), MATCH(AE$1, SepR!$6:$6, 0), FALSE),
            0
        ) +
        IFERROR(
            VLOOKUP($A71, INDIRECT("OctR!$A$6:$ZZ$1048576"), MATCH(AE$1, OctR!$6:$6, 0), FALSE),
            0
        ) +
        IFERROR(
            VLOOKUP($A71, INDIRECT("NovR!$A$6:$ZZ$1048576"), MATCH(AE$1, NovR!$6:$6, 0), FALSE),
            0
        ) +
        IFERROR(
            VLOOKUP($A71, INDIRECT("DicR!$A$6:$ZZ$1048576"), MATCH(AE$1, DicR!$6:$6, 0), FALSE),
            0
        )
)</f>
        <v>0</v>
      </c>
      <c r="AF71" s="36">
        <f t="array" ref="AF71">SUM(
    IFERROR(
            VLOOKUP($A71, INDIRECT("EneR!$A$6:$ZZ$1048576"), MATCH(AF$1, EneR!$6:$6, 0), FALSE),
            0
        ) +
        IFERROR(
            VLOOKUP($A71, INDIRECT("FebR!$A$6:$ZZ$1048576"), MATCH(AF$1, FebR!$6:$6, 0), FALSE),
            0
        ) +
        IFERROR(
            VLOOKUP($A71, INDIRECT("MarR!$A$6:$ZZ$1048576"), MATCH(AF$1, MarR!$6:$6, 0), FALSE),
            0
        ) +
        IFERROR(
            VLOOKUP($A71, INDIRECT("AbrR!$A$6:$ZZ$1048576"), MATCH(AF$1, AbrR!$6:$6, 0), FALSE),
            0
        ) +
        IFERROR(
            VLOOKUP($A71, INDIRECT("MayR!$A$6:$ZZ$1048576"), MATCH(AF$1, MayR!$6:$6, 0), FALSE),
            0
        ) +
        IFERROR(
            VLOOKUP($A71, INDIRECT("JunR!$A$6:$ZZ$1048576"), MATCH(AF$1, JunR!$6:$6, 0), FALSE),
            0
        ) +
        IFERROR(
            VLOOKUP($A71, INDIRECT("JulR!$A$6:$ZZ$1048576"), MATCH(AF$1, JulR!$6:$6, 0), FALSE),
            0
        ) +
        IFERROR(
            VLOOKUP($A71, INDIRECT("AgoR!$A$6:$ZZ$1048576"), MATCH(AF$1, AgoR!$6:$6, 0), FALSE),
            0
        ) +
        IFERROR(
            VLOOKUP($A71, INDIRECT("SepR!$A$6:$ZZ$1048576"), MATCH(AF$1, SepR!$6:$6, 0), FALSE),
            0
        ) +
        IFERROR(
            VLOOKUP($A71, INDIRECT("OctR!$A$6:$ZZ$1048576"), MATCH(AF$1, OctR!$6:$6, 0), FALSE),
            0
        ) +
        IFERROR(
            VLOOKUP($A71, INDIRECT("NovR!$A$6:$ZZ$1048576"), MATCH(AF$1, NovR!$6:$6, 0), FALSE),
            0
        ) +
        IFERROR(
            VLOOKUP($A71, INDIRECT("DicR!$A$6:$ZZ$1048576"), MATCH(AF$1, DicR!$6:$6, 0), FALSE),
            0
        )
)</f>
        <v>0</v>
      </c>
      <c r="AG71" s="37">
        <f t="array" ref="AG71">SUM(
    IFERROR(
            VLOOKUP($A71, INDIRECT("EneR!$A$6:$ZZ$1048576"), MATCH(AG$1, EneR!$6:$6, 0), FALSE),
            0
        ) +
        IFERROR(
            VLOOKUP($A71, INDIRECT("FebR!$A$6:$ZZ$1048576"), MATCH(AG$1, FebR!$6:$6, 0), FALSE),
            0
        ) +
        IFERROR(
            VLOOKUP($A71, INDIRECT("MarR!$A$6:$ZZ$1048576"), MATCH(AG$1, MarR!$6:$6, 0), FALSE),
            0
        ) +
        IFERROR(
            VLOOKUP($A71, INDIRECT("AbrR!$A$6:$ZZ$1048576"), MATCH(AG$1, AbrR!$6:$6, 0), FALSE),
            0
        ) +
        IFERROR(
            VLOOKUP($A71, INDIRECT("MayR!$A$6:$ZZ$1048576"), MATCH(AG$1, MayR!$6:$6, 0), FALSE),
            0
        ) +
        IFERROR(
            VLOOKUP($A71, INDIRECT("JunR!$A$6:$ZZ$1048576"), MATCH(AG$1, JunR!$6:$6, 0), FALSE),
            0
        ) +
        IFERROR(
            VLOOKUP($A71, INDIRECT("JulR!$A$6:$ZZ$1048576"), MATCH(AG$1, JulR!$6:$6, 0), FALSE),
            0
        ) +
        IFERROR(
            VLOOKUP($A71, INDIRECT("AgoR!$A$6:$ZZ$1048576"), MATCH(AG$1, AgoR!$6:$6, 0), FALSE),
            0
        ) +
        IFERROR(
            VLOOKUP($A71, INDIRECT("SepR!$A$6:$ZZ$1048576"), MATCH(AG$1, SepR!$6:$6, 0), FALSE),
            0
        ) +
        IFERROR(
            VLOOKUP($A71, INDIRECT("OctR!$A$6:$ZZ$1048576"), MATCH(AG$1, OctR!$6:$6, 0), FALSE),
            0
        ) +
        IFERROR(
            VLOOKUP($A71, INDIRECT("NovR!$A$6:$ZZ$1048576"), MATCH(AG$1, NovR!$6:$6, 0), FALSE),
            0
        ) +
        IFERROR(
            VLOOKUP($A71, INDIRECT("DicR!$A$6:$ZZ$1048576"), MATCH(AG$1, DicR!$6:$6, 0), FALSE),
            0
        )
)</f>
        <v>0</v>
      </c>
      <c r="AH71" s="36">
        <f t="array" ref="AH71">SUM(
    IFERROR(
            VLOOKUP($A71, INDIRECT("EneR!$A$6:$ZZ$1048576"), MATCH(AH$1, EneR!$6:$6, 0), FALSE),
            0
        ) +
        IFERROR(
            VLOOKUP($A71, INDIRECT("FebR!$A$6:$ZZ$1048576"), MATCH(AH$1, FebR!$6:$6, 0), FALSE),
            0
        ) +
        IFERROR(
            VLOOKUP($A71, INDIRECT("MarR!$A$6:$ZZ$1048576"), MATCH(AH$1, MarR!$6:$6, 0), FALSE),
            0
        ) +
        IFERROR(
            VLOOKUP($A71, INDIRECT("AbrR!$A$6:$ZZ$1048576"), MATCH(AH$1, AbrR!$6:$6, 0), FALSE),
            0
        ) +
        IFERROR(
            VLOOKUP($A71, INDIRECT("MayR!$A$6:$ZZ$1048576"), MATCH(AH$1, MayR!$6:$6, 0), FALSE),
            0
        ) +
        IFERROR(
            VLOOKUP($A71, INDIRECT("JunR!$A$6:$ZZ$1048576"), MATCH(AH$1, JunR!$6:$6, 0), FALSE),
            0
        ) +
        IFERROR(
            VLOOKUP($A71, INDIRECT("JulR!$A$6:$ZZ$1048576"), MATCH(AH$1, JulR!$6:$6, 0), FALSE),
            0
        ) +
        IFERROR(
            VLOOKUP($A71, INDIRECT("AgoR!$A$6:$ZZ$1048576"), MATCH(AH$1, AgoR!$6:$6, 0), FALSE),
            0
        ) +
        IFERROR(
            VLOOKUP($A71, INDIRECT("SepR!$A$6:$ZZ$1048576"), MATCH(AH$1, SepR!$6:$6, 0), FALSE),
            0
        ) +
        IFERROR(
            VLOOKUP($A71, INDIRECT("OctR!$A$6:$ZZ$1048576"), MATCH(AH$1, OctR!$6:$6, 0), FALSE),
            0
        ) +
        IFERROR(
            VLOOKUP($A71, INDIRECT("NovR!$A$6:$ZZ$1048576"), MATCH(AH$1, NovR!$6:$6, 0), FALSE),
            0
        ) +
        IFERROR(
            VLOOKUP($A71, INDIRECT("DicR!$A$6:$ZZ$1048576"), MATCH(AH$1, DicR!$6:$6, 0), FALSE),
            0
        )
)</f>
        <v>0</v>
      </c>
      <c r="AI71" s="37">
        <f t="array" ref="AI71">SUM(
    IFERROR(
            VLOOKUP($A71, INDIRECT("EneR!$A$6:$ZZ$1048576"), MATCH(AI$1, EneR!$6:$6, 0), FALSE),
            0
        ) +
        IFERROR(
            VLOOKUP($A71, INDIRECT("FebR!$A$6:$ZZ$1048576"), MATCH(AI$1, FebR!$6:$6, 0), FALSE),
            0
        ) +
        IFERROR(
            VLOOKUP($A71, INDIRECT("MarR!$A$6:$ZZ$1048576"), MATCH(AI$1, MarR!$6:$6, 0), FALSE),
            0
        ) +
        IFERROR(
            VLOOKUP($A71, INDIRECT("AbrR!$A$6:$ZZ$1048576"), MATCH(AI$1, AbrR!$6:$6, 0), FALSE),
            0
        ) +
        IFERROR(
            VLOOKUP($A71, INDIRECT("MayR!$A$6:$ZZ$1048576"), MATCH(AI$1, MayR!$6:$6, 0), FALSE),
            0
        ) +
        IFERROR(
            VLOOKUP($A71, INDIRECT("JunR!$A$6:$ZZ$1048576"), MATCH(AI$1, JunR!$6:$6, 0), FALSE),
            0
        ) +
        IFERROR(
            VLOOKUP($A71, INDIRECT("JulR!$A$6:$ZZ$1048576"), MATCH(AI$1, JulR!$6:$6, 0), FALSE),
            0
        ) +
        IFERROR(
            VLOOKUP($A71, INDIRECT("AgoR!$A$6:$ZZ$1048576"), MATCH(AI$1, AgoR!$6:$6, 0), FALSE),
            0
        ) +
        IFERROR(
            VLOOKUP($A71, INDIRECT("SepR!$A$6:$ZZ$1048576"), MATCH(AI$1, SepR!$6:$6, 0), FALSE),
            0
        ) +
        IFERROR(
            VLOOKUP($A71, INDIRECT("OctR!$A$6:$ZZ$1048576"), MATCH(AI$1, OctR!$6:$6, 0), FALSE),
            0
        ) +
        IFERROR(
            VLOOKUP($A71, INDIRECT("NovR!$A$6:$ZZ$1048576"), MATCH(AI$1, NovR!$6:$6, 0), FALSE),
            0
        ) +
        IFERROR(
            VLOOKUP($A71, INDIRECT("DicR!$A$6:$ZZ$1048576"), MATCH(AI$1, DicR!$6:$6, 0), FALSE),
            0
        )
)</f>
        <v>0</v>
      </c>
      <c r="AJ71" s="36">
        <f t="array" ref="AJ71">SUM(
    IFERROR(
            VLOOKUP($A71, INDIRECT("EneR!$A$6:$ZZ$1048576"), MATCH(AJ$1, EneR!$6:$6, 0), FALSE),
            0
        ) +
        IFERROR(
            VLOOKUP($A71, INDIRECT("FebR!$A$6:$ZZ$1048576"), MATCH(AJ$1, FebR!$6:$6, 0), FALSE),
            0
        ) +
        IFERROR(
            VLOOKUP($A71, INDIRECT("MarR!$A$6:$ZZ$1048576"), MATCH(AJ$1, MarR!$6:$6, 0), FALSE),
            0
        ) +
        IFERROR(
            VLOOKUP($A71, INDIRECT("AbrR!$A$6:$ZZ$1048576"), MATCH(AJ$1, AbrR!$6:$6, 0), FALSE),
            0
        ) +
        IFERROR(
            VLOOKUP($A71, INDIRECT("MayR!$A$6:$ZZ$1048576"), MATCH(AJ$1, MayR!$6:$6, 0), FALSE),
            0
        ) +
        IFERROR(
            VLOOKUP($A71, INDIRECT("JunR!$A$6:$ZZ$1048576"), MATCH(AJ$1, JunR!$6:$6, 0), FALSE),
            0
        ) +
        IFERROR(
            VLOOKUP($A71, INDIRECT("JulR!$A$6:$ZZ$1048576"), MATCH(AJ$1, JulR!$6:$6, 0), FALSE),
            0
        ) +
        IFERROR(
            VLOOKUP($A71, INDIRECT("AgoR!$A$6:$ZZ$1048576"), MATCH(AJ$1, AgoR!$6:$6, 0), FALSE),
            0
        ) +
        IFERROR(
            VLOOKUP($A71, INDIRECT("SepR!$A$6:$ZZ$1048576"), MATCH(AJ$1, SepR!$6:$6, 0), FALSE),
            0
        ) +
        IFERROR(
            VLOOKUP($A71, INDIRECT("OctR!$A$6:$ZZ$1048576"), MATCH(AJ$1, OctR!$6:$6, 0), FALSE),
            0
        ) +
        IFERROR(
            VLOOKUP($A71, INDIRECT("NovR!$A$6:$ZZ$1048576"), MATCH(AJ$1, NovR!$6:$6, 0), FALSE),
            0
        ) +
        IFERROR(
            VLOOKUP($A71, INDIRECT("DicR!$A$6:$ZZ$1048576"), MATCH(AJ$1, DicR!$6:$6, 0), FALSE),
            0
        )
)</f>
        <v>0</v>
      </c>
      <c r="AK71" s="37">
        <f t="array" ref="AK71">SUM(
    IFERROR(
            VLOOKUP($A71, INDIRECT("EneR!$A$6:$ZZ$1048576"), MATCH(AK$1, EneR!$6:$6, 0), FALSE),
            0
        ) +
        IFERROR(
            VLOOKUP($A71, INDIRECT("FebR!$A$6:$ZZ$1048576"), MATCH(AK$1, FebR!$6:$6, 0), FALSE),
            0
        ) +
        IFERROR(
            VLOOKUP($A71, INDIRECT("MarR!$A$6:$ZZ$1048576"), MATCH(AK$1, MarR!$6:$6, 0), FALSE),
            0
        ) +
        IFERROR(
            VLOOKUP($A71, INDIRECT("AbrR!$A$6:$ZZ$1048576"), MATCH(AK$1, AbrR!$6:$6, 0), FALSE),
            0
        ) +
        IFERROR(
            VLOOKUP($A71, INDIRECT("MayR!$A$6:$ZZ$1048576"), MATCH(AK$1, MayR!$6:$6, 0), FALSE),
            0
        ) +
        IFERROR(
            VLOOKUP($A71, INDIRECT("JunR!$A$6:$ZZ$1048576"), MATCH(AK$1, JunR!$6:$6, 0), FALSE),
            0
        ) +
        IFERROR(
            VLOOKUP($A71, INDIRECT("JulR!$A$6:$ZZ$1048576"), MATCH(AK$1, JulR!$6:$6, 0), FALSE),
            0
        ) +
        IFERROR(
            VLOOKUP($A71, INDIRECT("AgoR!$A$6:$ZZ$1048576"), MATCH(AK$1, AgoR!$6:$6, 0), FALSE),
            0
        ) +
        IFERROR(
            VLOOKUP($A71, INDIRECT("SepR!$A$6:$ZZ$1048576"), MATCH(AK$1, SepR!$6:$6, 0), FALSE),
            0
        ) +
        IFERROR(
            VLOOKUP($A71, INDIRECT("OctR!$A$6:$ZZ$1048576"), MATCH(AK$1, OctR!$6:$6, 0), FALSE),
            0
        ) +
        IFERROR(
            VLOOKUP($A71, INDIRECT("NovR!$A$6:$ZZ$1048576"), MATCH(AK$1, NovR!$6:$6, 0), FALSE),
            0
        ) +
        IFERROR(
            VLOOKUP($A71, INDIRECT("DicR!$A$6:$ZZ$1048576"), MATCH(AK$1, DicR!$6:$6, 0), FALSE),
            0
        )
)</f>
        <v>0</v>
      </c>
      <c r="AL71" s="36">
        <f t="array" ref="AL71">SUM(
    IFERROR(
            VLOOKUP($A71, INDIRECT("EneR!$A$6:$ZZ$1048576"), MATCH(AL$1, EneR!$6:$6, 0), FALSE),
            0
        ) +
        IFERROR(
            VLOOKUP($A71, INDIRECT("FebR!$A$6:$ZZ$1048576"), MATCH(AL$1, FebR!$6:$6, 0), FALSE),
            0
        ) +
        IFERROR(
            VLOOKUP($A71, INDIRECT("MarR!$A$6:$ZZ$1048576"), MATCH(AL$1, MarR!$6:$6, 0), FALSE),
            0
        ) +
        IFERROR(
            VLOOKUP($A71, INDIRECT("AbrR!$A$6:$ZZ$1048576"), MATCH(AL$1, AbrR!$6:$6, 0), FALSE),
            0
        ) +
        IFERROR(
            VLOOKUP($A71, INDIRECT("MayR!$A$6:$ZZ$1048576"), MATCH(AL$1, MayR!$6:$6, 0), FALSE),
            0
        ) +
        IFERROR(
            VLOOKUP($A71, INDIRECT("JunR!$A$6:$ZZ$1048576"), MATCH(AL$1, JunR!$6:$6, 0), FALSE),
            0
        ) +
        IFERROR(
            VLOOKUP($A71, INDIRECT("JulR!$A$6:$ZZ$1048576"), MATCH(AL$1, JulR!$6:$6, 0), FALSE),
            0
        ) +
        IFERROR(
            VLOOKUP($A71, INDIRECT("AgoR!$A$6:$ZZ$1048576"), MATCH(AL$1, AgoR!$6:$6, 0), FALSE),
            0
        ) +
        IFERROR(
            VLOOKUP($A71, INDIRECT("SepR!$A$6:$ZZ$1048576"), MATCH(AL$1, SepR!$6:$6, 0), FALSE),
            0
        ) +
        IFERROR(
            VLOOKUP($A71, INDIRECT("OctR!$A$6:$ZZ$1048576"), MATCH(AL$1, OctR!$6:$6, 0), FALSE),
            0
        ) +
        IFERROR(
            VLOOKUP($A71, INDIRECT("NovR!$A$6:$ZZ$1048576"), MATCH(AL$1, NovR!$6:$6, 0), FALSE),
            0
        ) +
        IFERROR(
            VLOOKUP($A71, INDIRECT("DicR!$A$6:$ZZ$1048576"), MATCH(AL$1, DicR!$6:$6, 0), FALSE),
            0
        )
)</f>
        <v>0</v>
      </c>
      <c r="AM71" s="37">
        <f t="array" ref="AM71">SUM(
    IFERROR(
            VLOOKUP($A71, INDIRECT("EneR!$A$6:$ZZ$1048576"), MATCH(AM$1, EneR!$6:$6, 0), FALSE),
            0
        ) +
        IFERROR(
            VLOOKUP($A71, INDIRECT("FebR!$A$6:$ZZ$1048576"), MATCH(AM$1, FebR!$6:$6, 0), FALSE),
            0
        ) +
        IFERROR(
            VLOOKUP($A71, INDIRECT("MarR!$A$6:$ZZ$1048576"), MATCH(AM$1, MarR!$6:$6, 0), FALSE),
            0
        ) +
        IFERROR(
            VLOOKUP($A71, INDIRECT("AbrR!$A$6:$ZZ$1048576"), MATCH(AM$1, AbrR!$6:$6, 0), FALSE),
            0
        ) +
        IFERROR(
            VLOOKUP($A71, INDIRECT("MayR!$A$6:$ZZ$1048576"), MATCH(AM$1, MayR!$6:$6, 0), FALSE),
            0
        ) +
        IFERROR(
            VLOOKUP($A71, INDIRECT("JunR!$A$6:$ZZ$1048576"), MATCH(AM$1, JunR!$6:$6, 0), FALSE),
            0
        ) +
        IFERROR(
            VLOOKUP($A71, INDIRECT("JulR!$A$6:$ZZ$1048576"), MATCH(AM$1, JulR!$6:$6, 0), FALSE),
            0
        ) +
        IFERROR(
            VLOOKUP($A71, INDIRECT("AgoR!$A$6:$ZZ$1048576"), MATCH(AM$1, AgoR!$6:$6, 0), FALSE),
            0
        ) +
        IFERROR(
            VLOOKUP($A71, INDIRECT("SepR!$A$6:$ZZ$1048576"), MATCH(AM$1, SepR!$6:$6, 0), FALSE),
            0
        ) +
        IFERROR(
            VLOOKUP($A71, INDIRECT("OctR!$A$6:$ZZ$1048576"), MATCH(AM$1, OctR!$6:$6, 0), FALSE),
            0
        ) +
        IFERROR(
            VLOOKUP($A71, INDIRECT("NovR!$A$6:$ZZ$1048576"), MATCH(AM$1, NovR!$6:$6, 0), FALSE),
            0
        ) +
        IFERROR(
            VLOOKUP($A71, INDIRECT("DicR!$A$6:$ZZ$1048576"), MATCH(AM$1, DicR!$6:$6, 0), FALSE),
            0
        )
)</f>
        <v>0</v>
      </c>
      <c r="AN71" s="32">
        <f t="array" ref="AN71">SUM(
    IFERROR(
            VLOOKUP($A71, INDIRECT("EneR!$A$6:$ZZ$1048576"), MATCH(AN$1, EneR!$6:$6, 0), FALSE),
            0
        ) +
        IFERROR(
            VLOOKUP($A71, INDIRECT("FebR!$A$6:$ZZ$1048576"), MATCH(AN$1, FebR!$6:$6, 0), FALSE),
            0
        ) +
        IFERROR(
            VLOOKUP($A71, INDIRECT("MarR!$A$6:$ZZ$1048576"), MATCH(AN$1, MarR!$6:$6, 0), FALSE),
            0
        ) +
        IFERROR(
            VLOOKUP($A71, INDIRECT("AbrR!$A$6:$ZZ$1048576"), MATCH(AN$1, AbrR!$6:$6, 0), FALSE),
            0
        ) +
        IFERROR(
            VLOOKUP($A71, INDIRECT("MayR!$A$6:$ZZ$1048576"), MATCH(AN$1, MayR!$6:$6, 0), FALSE),
            0
        ) +
        IFERROR(
            VLOOKUP($A71, INDIRECT("JunR!$A$6:$ZZ$1048576"), MATCH(AN$1, JunR!$6:$6, 0), FALSE),
            0
        ) +
        IFERROR(
            VLOOKUP($A71, INDIRECT("JulR!$A$6:$ZZ$1048576"), MATCH(AN$1, JulR!$6:$6, 0), FALSE),
            0
        ) +
        IFERROR(
            VLOOKUP($A71, INDIRECT("AgoR!$A$6:$ZZ$1048576"), MATCH(AN$1, AgoR!$6:$6, 0), FALSE),
            0
        ) +
        IFERROR(
            VLOOKUP($A71, INDIRECT("SepR!$A$6:$ZZ$1048576"), MATCH(AN$1, SepR!$6:$6, 0), FALSE),
            0
        ) +
        IFERROR(
            VLOOKUP($A71, INDIRECT("OctR!$A$6:$ZZ$1048576"), MATCH(AN$1, OctR!$6:$6, 0), FALSE),
            0
        ) +
        IFERROR(
            VLOOKUP($A71, INDIRECT("NovR!$A$6:$ZZ$1048576"), MATCH(AN$1, NovR!$6:$6, 0), FALSE),
            0
        ) +
        IFERROR(
            VLOOKUP($A71, INDIRECT("DicR!$A$6:$ZZ$1048576"), MATCH(AN$1, DicR!$6:$6, 0), FALSE),
            0
        )
)</f>
        <v>0</v>
      </c>
      <c r="AO71" s="35">
        <f t="array" ref="AO71">SUM(
    IFERROR(
            VLOOKUP($A71, INDIRECT("EneR!$A$6:$ZZ$1048576"), MATCH(AO$1, EneR!$6:$6, 0), FALSE),
            0
        ) +
        IFERROR(
            VLOOKUP($A71, INDIRECT("FebR!$A$6:$ZZ$1048576"), MATCH(AO$1, FebR!$6:$6, 0), FALSE),
            0
        ) +
        IFERROR(
            VLOOKUP($A71, INDIRECT("MarR!$A$6:$ZZ$1048576"), MATCH(AO$1, MarR!$6:$6, 0), FALSE),
            0
        ) +
        IFERROR(
            VLOOKUP($A71, INDIRECT("AbrR!$A$6:$ZZ$1048576"), MATCH(AO$1, AbrR!$6:$6, 0), FALSE),
            0
        ) +
        IFERROR(
            VLOOKUP($A71, INDIRECT("MayR!$A$6:$ZZ$1048576"), MATCH(AO$1, MayR!$6:$6, 0), FALSE),
            0
        ) +
        IFERROR(
            VLOOKUP($A71, INDIRECT("JunR!$A$6:$ZZ$1048576"), MATCH(AO$1, JunR!$6:$6, 0), FALSE),
            0
        ) +
        IFERROR(
            VLOOKUP($A71, INDIRECT("JulR!$A$6:$ZZ$1048576"), MATCH(AO$1, JulR!$6:$6, 0), FALSE),
            0
        ) +
        IFERROR(
            VLOOKUP($A71, INDIRECT("AgoR!$A$6:$ZZ$1048576"), MATCH(AO$1, AgoR!$6:$6, 0), FALSE),
            0
        ) +
        IFERROR(
            VLOOKUP($A71, INDIRECT("SepR!$A$6:$ZZ$1048576"), MATCH(AO$1, SepR!$6:$6, 0), FALSE),
            0
        ) +
        IFERROR(
            VLOOKUP($A71, INDIRECT("OctR!$A$6:$ZZ$1048576"), MATCH(AO$1, OctR!$6:$6, 0), FALSE),
            0
        ) +
        IFERROR(
            VLOOKUP($A71, INDIRECT("NovR!$A$6:$ZZ$1048576"), MATCH(AO$1, NovR!$6:$6, 0), FALSE),
            0
        ) +
        IFERROR(
            VLOOKUP($A71, INDIRECT("DicR!$A$6:$ZZ$1048576"), MATCH(AO$1, DicR!$6:$6, 0), FALSE),
            0
        )
)</f>
        <v>0</v>
      </c>
      <c r="AP71" s="36">
        <f t="array" ref="AP71">SUM(
    IFERROR(
            VLOOKUP($A71, INDIRECT("EneR!$A$6:$ZZ$1048576"), MATCH(AP$1, EneR!$6:$6, 0), FALSE),
            0
        ) +
        IFERROR(
            VLOOKUP($A71, INDIRECT("FebR!$A$6:$ZZ$1048576"), MATCH(AP$1, FebR!$6:$6, 0), FALSE),
            0
        ) +
        IFERROR(
            VLOOKUP($A71, INDIRECT("MarR!$A$6:$ZZ$1048576"), MATCH(AP$1, MarR!$6:$6, 0), FALSE),
            0
        ) +
        IFERROR(
            VLOOKUP($A71, INDIRECT("AbrR!$A$6:$ZZ$1048576"), MATCH(AP$1, AbrR!$6:$6, 0), FALSE),
            0
        ) +
        IFERROR(
            VLOOKUP($A71, INDIRECT("MayR!$A$6:$ZZ$1048576"), MATCH(AP$1, MayR!$6:$6, 0), FALSE),
            0
        ) +
        IFERROR(
            VLOOKUP($A71, INDIRECT("JunR!$A$6:$ZZ$1048576"), MATCH(AP$1, JunR!$6:$6, 0), FALSE),
            0
        ) +
        IFERROR(
            VLOOKUP($A71, INDIRECT("JulR!$A$6:$ZZ$1048576"), MATCH(AP$1, JulR!$6:$6, 0), FALSE),
            0
        ) +
        IFERROR(
            VLOOKUP($A71, INDIRECT("AgoR!$A$6:$ZZ$1048576"), MATCH(AP$1, AgoR!$6:$6, 0), FALSE),
            0
        ) +
        IFERROR(
            VLOOKUP($A71, INDIRECT("SepR!$A$6:$ZZ$1048576"), MATCH(AP$1, SepR!$6:$6, 0), FALSE),
            0
        ) +
        IFERROR(
            VLOOKUP($A71, INDIRECT("OctR!$A$6:$ZZ$1048576"), MATCH(AP$1, OctR!$6:$6, 0), FALSE),
            0
        ) +
        IFERROR(
            VLOOKUP($A71, INDIRECT("NovR!$A$6:$ZZ$1048576"), MATCH(AP$1, NovR!$6:$6, 0), FALSE),
            0
        ) +
        IFERROR(
            VLOOKUP($A71, INDIRECT("DicR!$A$6:$ZZ$1048576"), MATCH(AP$1, DicR!$6:$6, 0), FALSE),
            0
        )
)</f>
        <v>0</v>
      </c>
      <c r="AQ71" s="35">
        <f t="array" ref="AQ71">SUM(
    IFERROR(
            VLOOKUP($A71, INDIRECT("EneR!$A$6:$ZZ$1048576"), MATCH(AQ$1, EneR!$6:$6, 0), FALSE),
            0
        ) +
        IFERROR(
            VLOOKUP($A71, INDIRECT("FebR!$A$6:$ZZ$1048576"), MATCH(AQ$1, FebR!$6:$6, 0), FALSE),
            0
        ) +
        IFERROR(
            VLOOKUP($A71, INDIRECT("MarR!$A$6:$ZZ$1048576"), MATCH(AQ$1, MarR!$6:$6, 0), FALSE),
            0
        ) +
        IFERROR(
            VLOOKUP($A71, INDIRECT("AbrR!$A$6:$ZZ$1048576"), MATCH(AQ$1, AbrR!$6:$6, 0), FALSE),
            0
        ) +
        IFERROR(
            VLOOKUP($A71, INDIRECT("MayR!$A$6:$ZZ$1048576"), MATCH(AQ$1, MayR!$6:$6, 0), FALSE),
            0
        ) +
        IFERROR(
            VLOOKUP($A71, INDIRECT("JunR!$A$6:$ZZ$1048576"), MATCH(AQ$1, JunR!$6:$6, 0), FALSE),
            0
        ) +
        IFERROR(
            VLOOKUP($A71, INDIRECT("JulR!$A$6:$ZZ$1048576"), MATCH(AQ$1, JulR!$6:$6, 0), FALSE),
            0
        ) +
        IFERROR(
            VLOOKUP($A71, INDIRECT("AgoR!$A$6:$ZZ$1048576"), MATCH(AQ$1, AgoR!$6:$6, 0), FALSE),
            0
        ) +
        IFERROR(
            VLOOKUP($A71, INDIRECT("SepR!$A$6:$ZZ$1048576"), MATCH(AQ$1, SepR!$6:$6, 0), FALSE),
            0
        ) +
        IFERROR(
            VLOOKUP($A71, INDIRECT("OctR!$A$6:$ZZ$1048576"), MATCH(AQ$1, OctR!$6:$6, 0), FALSE),
            0
        ) +
        IFERROR(
            VLOOKUP($A71, INDIRECT("NovR!$A$6:$ZZ$1048576"), MATCH(AQ$1, NovR!$6:$6, 0), FALSE),
            0
        ) +
        IFERROR(
            VLOOKUP($A71, INDIRECT("DicR!$A$6:$ZZ$1048576"), MATCH(AQ$1, DicR!$6:$6, 0), FALSE),
            0
        )
)</f>
        <v>0</v>
      </c>
      <c r="AR71" s="36">
        <f t="array" ref="AR71">SUM(
    IFERROR(
            VLOOKUP($A71, INDIRECT("EneR!$A$6:$ZZ$1048576"), MATCH(AR$1, EneR!$6:$6, 0), FALSE),
            0
        ) +
        IFERROR(
            VLOOKUP($A71, INDIRECT("FebR!$A$6:$ZZ$1048576"), MATCH(AR$1, FebR!$6:$6, 0), FALSE),
            0
        ) +
        IFERROR(
            VLOOKUP($A71, INDIRECT("MarR!$A$6:$ZZ$1048576"), MATCH(AR$1, MarR!$6:$6, 0), FALSE),
            0
        ) +
        IFERROR(
            VLOOKUP($A71, INDIRECT("AbrR!$A$6:$ZZ$1048576"), MATCH(AR$1, AbrR!$6:$6, 0), FALSE),
            0
        ) +
        IFERROR(
            VLOOKUP($A71, INDIRECT("MayR!$A$6:$ZZ$1048576"), MATCH(AR$1, MayR!$6:$6, 0), FALSE),
            0
        ) +
        IFERROR(
            VLOOKUP($A71, INDIRECT("JunR!$A$6:$ZZ$1048576"), MATCH(AR$1, JunR!$6:$6, 0), FALSE),
            0
        ) +
        IFERROR(
            VLOOKUP($A71, INDIRECT("JulR!$A$6:$ZZ$1048576"), MATCH(AR$1, JulR!$6:$6, 0), FALSE),
            0
        ) +
        IFERROR(
            VLOOKUP($A71, INDIRECT("AgoR!$A$6:$ZZ$1048576"), MATCH(AR$1, AgoR!$6:$6, 0), FALSE),
            0
        ) +
        IFERROR(
            VLOOKUP($A71, INDIRECT("SepR!$A$6:$ZZ$1048576"), MATCH(AR$1, SepR!$6:$6, 0), FALSE),
            0
        ) +
        IFERROR(
            VLOOKUP($A71, INDIRECT("OctR!$A$6:$ZZ$1048576"), MATCH(AR$1, OctR!$6:$6, 0), FALSE),
            0
        ) +
        IFERROR(
            VLOOKUP($A71, INDIRECT("NovR!$A$6:$ZZ$1048576"), MATCH(AR$1, NovR!$6:$6, 0), FALSE),
            0
        ) +
        IFERROR(
            VLOOKUP($A71, INDIRECT("DicR!$A$6:$ZZ$1048576"), MATCH(AR$1, DicR!$6:$6, 0), FALSE),
            0
        )
)</f>
        <v>0</v>
      </c>
      <c r="AS71" s="35">
        <f t="array" ref="AS71">SUM(
    IFERROR(
            VLOOKUP($A71, INDIRECT("EneR!$A$6:$ZZ$1048576"), MATCH(AS$1, EneR!$6:$6, 0), FALSE),
            0
        ) +
        IFERROR(
            VLOOKUP($A71, INDIRECT("FebR!$A$6:$ZZ$1048576"), MATCH(AS$1, FebR!$6:$6, 0), FALSE),
            0
        ) +
        IFERROR(
            VLOOKUP($A71, INDIRECT("MarR!$A$6:$ZZ$1048576"), MATCH(AS$1, MarR!$6:$6, 0), FALSE),
            0
        ) +
        IFERROR(
            VLOOKUP($A71, INDIRECT("AbrR!$A$6:$ZZ$1048576"), MATCH(AS$1, AbrR!$6:$6, 0), FALSE),
            0
        ) +
        IFERROR(
            VLOOKUP($A71, INDIRECT("MayR!$A$6:$ZZ$1048576"), MATCH(AS$1, MayR!$6:$6, 0), FALSE),
            0
        ) +
        IFERROR(
            VLOOKUP($A71, INDIRECT("JunR!$A$6:$ZZ$1048576"), MATCH(AS$1, JunR!$6:$6, 0), FALSE),
            0
        ) +
        IFERROR(
            VLOOKUP($A71, INDIRECT("JulR!$A$6:$ZZ$1048576"), MATCH(AS$1, JulR!$6:$6, 0), FALSE),
            0
        ) +
        IFERROR(
            VLOOKUP($A71, INDIRECT("AgoR!$A$6:$ZZ$1048576"), MATCH(AS$1, AgoR!$6:$6, 0), FALSE),
            0
        ) +
        IFERROR(
            VLOOKUP($A71, INDIRECT("SepR!$A$6:$ZZ$1048576"), MATCH(AS$1, SepR!$6:$6, 0), FALSE),
            0
        ) +
        IFERROR(
            VLOOKUP($A71, INDIRECT("OctR!$A$6:$ZZ$1048576"), MATCH(AS$1, OctR!$6:$6, 0), FALSE),
            0
        ) +
        IFERROR(
            VLOOKUP($A71, INDIRECT("NovR!$A$6:$ZZ$1048576"), MATCH(AS$1, NovR!$6:$6, 0), FALSE),
            0
        ) +
        IFERROR(
            VLOOKUP($A71, INDIRECT("DicR!$A$6:$ZZ$1048576"), MATCH(AS$1, DicR!$6:$6, 0), FALSE),
            0
        )
)</f>
        <v>0</v>
      </c>
      <c r="AT71" s="36">
        <f t="array" ref="AT71">SUM(
    IFERROR(
            VLOOKUP($A71, INDIRECT("EneR!$A$6:$ZZ$1048576"), MATCH(AT$1, EneR!$6:$6, 0), FALSE),
            0
        ) +
        IFERROR(
            VLOOKUP($A71, INDIRECT("FebR!$A$6:$ZZ$1048576"), MATCH(AT$1, FebR!$6:$6, 0), FALSE),
            0
        ) +
        IFERROR(
            VLOOKUP($A71, INDIRECT("MarR!$A$6:$ZZ$1048576"), MATCH(AT$1, MarR!$6:$6, 0), FALSE),
            0
        ) +
        IFERROR(
            VLOOKUP($A71, INDIRECT("AbrR!$A$6:$ZZ$1048576"), MATCH(AT$1, AbrR!$6:$6, 0), FALSE),
            0
        ) +
        IFERROR(
            VLOOKUP($A71, INDIRECT("MayR!$A$6:$ZZ$1048576"), MATCH(AT$1, MayR!$6:$6, 0), FALSE),
            0
        ) +
        IFERROR(
            VLOOKUP($A71, INDIRECT("JunR!$A$6:$ZZ$1048576"), MATCH(AT$1, JunR!$6:$6, 0), FALSE),
            0
        ) +
        IFERROR(
            VLOOKUP($A71, INDIRECT("JulR!$A$6:$ZZ$1048576"), MATCH(AT$1, JulR!$6:$6, 0), FALSE),
            0
        ) +
        IFERROR(
            VLOOKUP($A71, INDIRECT("AgoR!$A$6:$ZZ$1048576"), MATCH(AT$1, AgoR!$6:$6, 0), FALSE),
            0
        ) +
        IFERROR(
            VLOOKUP($A71, INDIRECT("SepR!$A$6:$ZZ$1048576"), MATCH(AT$1, SepR!$6:$6, 0), FALSE),
            0
        ) +
        IFERROR(
            VLOOKUP($A71, INDIRECT("OctR!$A$6:$ZZ$1048576"), MATCH(AT$1, OctR!$6:$6, 0), FALSE),
            0
        ) +
        IFERROR(
            VLOOKUP($A71, INDIRECT("NovR!$A$6:$ZZ$1048576"), MATCH(AT$1, NovR!$6:$6, 0), FALSE),
            0
        ) +
        IFERROR(
            VLOOKUP($A71, INDIRECT("DicR!$A$6:$ZZ$1048576"), MATCH(AT$1, DicR!$6:$6, 0), FALSE),
            0
        )
)</f>
        <v>0</v>
      </c>
      <c r="AU71" s="35">
        <f t="array" ref="AU71">SUM(
    IFERROR(
            VLOOKUP($A71, INDIRECT("EneR!$A$6:$ZZ$1048576"), MATCH(AU$1, EneR!$6:$6, 0), FALSE),
            0
        ) +
        IFERROR(
            VLOOKUP($A71, INDIRECT("FebR!$A$6:$ZZ$1048576"), MATCH(AU$1, FebR!$6:$6, 0), FALSE),
            0
        ) +
        IFERROR(
            VLOOKUP($A71, INDIRECT("MarR!$A$6:$ZZ$1048576"), MATCH(AU$1, MarR!$6:$6, 0), FALSE),
            0
        ) +
        IFERROR(
            VLOOKUP($A71, INDIRECT("AbrR!$A$6:$ZZ$1048576"), MATCH(AU$1, AbrR!$6:$6, 0), FALSE),
            0
        ) +
        IFERROR(
            VLOOKUP($A71, INDIRECT("MayR!$A$6:$ZZ$1048576"), MATCH(AU$1, MayR!$6:$6, 0), FALSE),
            0
        ) +
        IFERROR(
            VLOOKUP($A71, INDIRECT("JunR!$A$6:$ZZ$1048576"), MATCH(AU$1, JunR!$6:$6, 0), FALSE),
            0
        ) +
        IFERROR(
            VLOOKUP($A71, INDIRECT("JulR!$A$6:$ZZ$1048576"), MATCH(AU$1, JulR!$6:$6, 0), FALSE),
            0
        ) +
        IFERROR(
            VLOOKUP($A71, INDIRECT("AgoR!$A$6:$ZZ$1048576"), MATCH(AU$1, AgoR!$6:$6, 0), FALSE),
            0
        ) +
        IFERROR(
            VLOOKUP($A71, INDIRECT("SepR!$A$6:$ZZ$1048576"), MATCH(AU$1, SepR!$6:$6, 0), FALSE),
            0
        ) +
        IFERROR(
            VLOOKUP($A71, INDIRECT("OctR!$A$6:$ZZ$1048576"), MATCH(AU$1, OctR!$6:$6, 0), FALSE),
            0
        ) +
        IFERROR(
            VLOOKUP($A71, INDIRECT("NovR!$A$6:$ZZ$1048576"), MATCH(AU$1, NovR!$6:$6, 0), FALSE),
            0
        ) +
        IFERROR(
            VLOOKUP($A71, INDIRECT("DicR!$A$6:$ZZ$1048576"), MATCH(AU$1, DicR!$6:$6, 0), FALSE),
            0
        )
)</f>
        <v>0</v>
      </c>
      <c r="AV71" s="36">
        <f t="array" ref="AV71">SUM(
    IFERROR(
            VLOOKUP($A71, INDIRECT("EneR!$A$6:$ZZ$1048576"), MATCH(AV$1, EneR!$6:$6, 0), FALSE),
            0
        ) +
        IFERROR(
            VLOOKUP($A71, INDIRECT("FebR!$A$6:$ZZ$1048576"), MATCH(AV$1, FebR!$6:$6, 0), FALSE),
            0
        ) +
        IFERROR(
            VLOOKUP($A71, INDIRECT("MarR!$A$6:$ZZ$1048576"), MATCH(AV$1, MarR!$6:$6, 0), FALSE),
            0
        ) +
        IFERROR(
            VLOOKUP($A71, INDIRECT("AbrR!$A$6:$ZZ$1048576"), MATCH(AV$1, AbrR!$6:$6, 0), FALSE),
            0
        ) +
        IFERROR(
            VLOOKUP($A71, INDIRECT("MayR!$A$6:$ZZ$1048576"), MATCH(AV$1, MayR!$6:$6, 0), FALSE),
            0
        ) +
        IFERROR(
            VLOOKUP($A71, INDIRECT("JunR!$A$6:$ZZ$1048576"), MATCH(AV$1, JunR!$6:$6, 0), FALSE),
            0
        ) +
        IFERROR(
            VLOOKUP($A71, INDIRECT("JulR!$A$6:$ZZ$1048576"), MATCH(AV$1, JulR!$6:$6, 0), FALSE),
            0
        ) +
        IFERROR(
            VLOOKUP($A71, INDIRECT("AgoR!$A$6:$ZZ$1048576"), MATCH(AV$1, AgoR!$6:$6, 0), FALSE),
            0
        ) +
        IFERROR(
            VLOOKUP($A71, INDIRECT("SepR!$A$6:$ZZ$1048576"), MATCH(AV$1, SepR!$6:$6, 0), FALSE),
            0
        ) +
        IFERROR(
            VLOOKUP($A71, INDIRECT("OctR!$A$6:$ZZ$1048576"), MATCH(AV$1, OctR!$6:$6, 0), FALSE),
            0
        ) +
        IFERROR(
            VLOOKUP($A71, INDIRECT("NovR!$A$6:$ZZ$1048576"), MATCH(AV$1, NovR!$6:$6, 0), FALSE),
            0
        ) +
        IFERROR(
            VLOOKUP($A71, INDIRECT("DicR!$A$6:$ZZ$1048576"), MATCH(AV$1, DicR!$6:$6, 0), FALSE),
            0
        )
)</f>
        <v>0</v>
      </c>
      <c r="AW71" s="35">
        <f t="array" ref="AW71">SUM(
    IFERROR(
            VLOOKUP($A71, INDIRECT("EneR!$A$6:$ZZ$1048576"), MATCH(AW$1, EneR!$6:$6, 0), FALSE),
            0
        ) +
        IFERROR(
            VLOOKUP($A71, INDIRECT("FebR!$A$6:$ZZ$1048576"), MATCH(AW$1, FebR!$6:$6, 0), FALSE),
            0
        ) +
        IFERROR(
            VLOOKUP($A71, INDIRECT("MarR!$A$6:$ZZ$1048576"), MATCH(AW$1, MarR!$6:$6, 0), FALSE),
            0
        ) +
        IFERROR(
            VLOOKUP($A71, INDIRECT("AbrR!$A$6:$ZZ$1048576"), MATCH(AW$1, AbrR!$6:$6, 0), FALSE),
            0
        ) +
        IFERROR(
            VLOOKUP($A71, INDIRECT("MayR!$A$6:$ZZ$1048576"), MATCH(AW$1, MayR!$6:$6, 0), FALSE),
            0
        ) +
        IFERROR(
            VLOOKUP($A71, INDIRECT("JunR!$A$6:$ZZ$1048576"), MATCH(AW$1, JunR!$6:$6, 0), FALSE),
            0
        ) +
        IFERROR(
            VLOOKUP($A71, INDIRECT("JulR!$A$6:$ZZ$1048576"), MATCH(AW$1, JulR!$6:$6, 0), FALSE),
            0
        ) +
        IFERROR(
            VLOOKUP($A71, INDIRECT("AgoR!$A$6:$ZZ$1048576"), MATCH(AW$1, AgoR!$6:$6, 0), FALSE),
            0
        ) +
        IFERROR(
            VLOOKUP($A71, INDIRECT("SepR!$A$6:$ZZ$1048576"), MATCH(AW$1, SepR!$6:$6, 0), FALSE),
            0
        ) +
        IFERROR(
            VLOOKUP($A71, INDIRECT("OctR!$A$6:$ZZ$1048576"), MATCH(AW$1, OctR!$6:$6, 0), FALSE),
            0
        ) +
        IFERROR(
            VLOOKUP($A71, INDIRECT("NovR!$A$6:$ZZ$1048576"), MATCH(AW$1, NovR!$6:$6, 0), FALSE),
            0
        ) +
        IFERROR(
            VLOOKUP($A71, INDIRECT("DicR!$A$6:$ZZ$1048576"), MATCH(AW$1, DicR!$6:$6, 0), FALSE),
            0
        )
)</f>
        <v>0</v>
      </c>
      <c r="AX71" s="36">
        <f t="array" ref="AX71">SUM(
    IFERROR(
            VLOOKUP($A71, INDIRECT("EneR!$A$6:$ZZ$1048576"), MATCH(AX$1, EneR!$6:$6, 0), FALSE),
            0
        ) +
        IFERROR(
            VLOOKUP($A71, INDIRECT("FebR!$A$6:$ZZ$1048576"), MATCH(AX$1, FebR!$6:$6, 0), FALSE),
            0
        ) +
        IFERROR(
            VLOOKUP($A71, INDIRECT("MarR!$A$6:$ZZ$1048576"), MATCH(AX$1, MarR!$6:$6, 0), FALSE),
            0
        ) +
        IFERROR(
            VLOOKUP($A71, INDIRECT("AbrR!$A$6:$ZZ$1048576"), MATCH(AX$1, AbrR!$6:$6, 0), FALSE),
            0
        ) +
        IFERROR(
            VLOOKUP($A71, INDIRECT("MayR!$A$6:$ZZ$1048576"), MATCH(AX$1, MayR!$6:$6, 0), FALSE),
            0
        ) +
        IFERROR(
            VLOOKUP($A71, INDIRECT("JunR!$A$6:$ZZ$1048576"), MATCH(AX$1, JunR!$6:$6, 0), FALSE),
            0
        ) +
        IFERROR(
            VLOOKUP($A71, INDIRECT("JulR!$A$6:$ZZ$1048576"), MATCH(AX$1, JulR!$6:$6, 0), FALSE),
            0
        ) +
        IFERROR(
            VLOOKUP($A71, INDIRECT("AgoR!$A$6:$ZZ$1048576"), MATCH(AX$1, AgoR!$6:$6, 0), FALSE),
            0
        ) +
        IFERROR(
            VLOOKUP($A71, INDIRECT("SepR!$A$6:$ZZ$1048576"), MATCH(AX$1, SepR!$6:$6, 0), FALSE),
            0
        ) +
        IFERROR(
            VLOOKUP($A71, INDIRECT("OctR!$A$6:$ZZ$1048576"), MATCH(AX$1, OctR!$6:$6, 0), FALSE),
            0
        ) +
        IFERROR(
            VLOOKUP($A71, INDIRECT("NovR!$A$6:$ZZ$1048576"), MATCH(AX$1, NovR!$6:$6, 0), FALSE),
            0
        ) +
        IFERROR(
            VLOOKUP($A71, INDIRECT("DicR!$A$6:$ZZ$1048576"), MATCH(AX$1, DicR!$6:$6, 0), FALSE),
            0
        )
)</f>
        <v>0</v>
      </c>
      <c r="AY71" s="35">
        <f t="array" ref="AY71">SUM(
    IFERROR(
            VLOOKUP($A71, INDIRECT("EneR!$A$6:$ZZ$1048576"), MATCH(AY$1, EneR!$6:$6, 0), FALSE),
            0
        ) +
        IFERROR(
            VLOOKUP($A71, INDIRECT("FebR!$A$6:$ZZ$1048576"), MATCH(AY$1, FebR!$6:$6, 0), FALSE),
            0
        ) +
        IFERROR(
            VLOOKUP($A71, INDIRECT("MarR!$A$6:$ZZ$1048576"), MATCH(AY$1, MarR!$6:$6, 0), FALSE),
            0
        ) +
        IFERROR(
            VLOOKUP($A71, INDIRECT("AbrR!$A$6:$ZZ$1048576"), MATCH(AY$1, AbrR!$6:$6, 0), FALSE),
            0
        ) +
        IFERROR(
            VLOOKUP($A71, INDIRECT("MayR!$A$6:$ZZ$1048576"), MATCH(AY$1, MayR!$6:$6, 0), FALSE),
            0
        ) +
        IFERROR(
            VLOOKUP($A71, INDIRECT("JunR!$A$6:$ZZ$1048576"), MATCH(AY$1, JunR!$6:$6, 0), FALSE),
            0
        ) +
        IFERROR(
            VLOOKUP($A71, INDIRECT("JulR!$A$6:$ZZ$1048576"), MATCH(AY$1, JulR!$6:$6, 0), FALSE),
            0
        ) +
        IFERROR(
            VLOOKUP($A71, INDIRECT("AgoR!$A$6:$ZZ$1048576"), MATCH(AY$1, AgoR!$6:$6, 0), FALSE),
            0
        ) +
        IFERROR(
            VLOOKUP($A71, INDIRECT("SepR!$A$6:$ZZ$1048576"), MATCH(AY$1, SepR!$6:$6, 0), FALSE),
            0
        ) +
        IFERROR(
            VLOOKUP($A71, INDIRECT("OctR!$A$6:$ZZ$1048576"), MATCH(AY$1, OctR!$6:$6, 0), FALSE),
            0
        ) +
        IFERROR(
            VLOOKUP($A71, INDIRECT("NovR!$A$6:$ZZ$1048576"), MATCH(AY$1, NovR!$6:$6, 0), FALSE),
            0
        ) +
        IFERROR(
            VLOOKUP($A71, INDIRECT("DicR!$A$6:$ZZ$1048576"), MATCH(AY$1, DicR!$6:$6, 0), FALSE),
            0
        )
)</f>
        <v>0</v>
      </c>
      <c r="AZ71" s="35"/>
    </row>
    <row r="72" ht="15.75" customHeight="1">
      <c r="A72" s="12" t="str">
        <f>Menus!B33</f>
        <v/>
      </c>
      <c r="B72" s="32">
        <f t="shared" si="9"/>
        <v>0</v>
      </c>
      <c r="C72" s="33" t="str">
        <f t="shared" si="10"/>
        <v/>
      </c>
      <c r="D72" s="34">
        <f t="array" ref="D72">SUM(
    IFERROR(
            VLOOKUP($A72, INDIRECT("EneR!$A$6:$ZZ$1048576"), MATCH(D$1, EneR!$6:$6, 0), FALSE),
            0
        ) +
        IFERROR(
            VLOOKUP($A72, INDIRECT("FebR!$A$6:$ZZ$1048576"), MATCH(D$1, FebR!$6:$6, 0), FALSE),
            0
        ) +
        IFERROR(
            VLOOKUP($A72, INDIRECT("MarR!$A$6:$ZZ$1048576"), MATCH(D$1, MarR!$6:$6, 0), FALSE),
            0
        ) +
        IFERROR(
            VLOOKUP($A72, INDIRECT("AbrR!$A$6:$ZZ$1048576"), MATCH(D$1, AbrR!$6:$6, 0), FALSE),
            0
        ) +
        IFERROR(
            VLOOKUP($A72, INDIRECT("MayR!$A$6:$ZZ$1048576"), MATCH(D$1, MayR!$6:$6, 0), FALSE),
            0
        ) +
        IFERROR(
            VLOOKUP($A72, INDIRECT("JunR!$A$6:$ZZ$1048576"), MATCH(D$1, JunR!$6:$6, 0), FALSE),
            0
        ) +
        IFERROR(
            VLOOKUP($A72, INDIRECT("JulR!$A$6:$ZZ$1048576"), MATCH(D$1, JulR!$6:$6, 0), FALSE),
            0
        ) +
        IFERROR(
            VLOOKUP($A72, INDIRECT("AgoR!$A$6:$ZZ$1048576"), MATCH(D$1, AgoR!$6:$6, 0), FALSE),
            0
        ) +
        IFERROR(
            VLOOKUP($A72, INDIRECT("SepR!$A$6:$ZZ$1048576"), MATCH(D$1, SepR!$6:$6, 0), FALSE),
            0
        ) +
        IFERROR(
            VLOOKUP($A72, INDIRECT("OctR!$A$6:$ZZ$1048576"), MATCH(D$1, OctR!$6:$6, 0), FALSE),
            0
        ) +
        IFERROR(
            VLOOKUP($A72, INDIRECT("NovR!$A$6:$ZZ$1048576"), MATCH(D$1, NovR!$6:$6, 0), FALSE),
            0
        ) +
        IFERROR(
            VLOOKUP($A72, INDIRECT("DicR!$A$6:$ZZ$1048576"), MATCH(D$1, DicR!$6:$6, 0), FALSE),
            0
        )
)</f>
        <v>0</v>
      </c>
      <c r="E72" s="35">
        <f t="array" ref="E72">SUM(
    IFERROR(
            VLOOKUP($A72, INDIRECT("EneR!$A$6:$ZZ$1048576"), MATCH(E$1, EneR!$6:$6, 0), FALSE),
            0
        ) +
        IFERROR(
            VLOOKUP($A72, INDIRECT("FebR!$A$6:$ZZ$1048576"), MATCH(E$1, FebR!$6:$6, 0), FALSE),
            0
        ) +
        IFERROR(
            VLOOKUP($A72, INDIRECT("MarR!$A$6:$ZZ$1048576"), MATCH(E$1, MarR!$6:$6, 0), FALSE),
            0
        ) +
        IFERROR(
            VLOOKUP($A72, INDIRECT("AbrR!$A$6:$ZZ$1048576"), MATCH(E$1, AbrR!$6:$6, 0), FALSE),
            0
        ) +
        IFERROR(
            VLOOKUP($A72, INDIRECT("MayR!$A$6:$ZZ$1048576"), MATCH(E$1, MayR!$6:$6, 0), FALSE),
            0
        ) +
        IFERROR(
            VLOOKUP($A72, INDIRECT("JunR!$A$6:$ZZ$1048576"), MATCH(E$1, JunR!$6:$6, 0), FALSE),
            0
        ) +
        IFERROR(
            VLOOKUP($A72, INDIRECT("JulR!$A$6:$ZZ$1048576"), MATCH(E$1, JulR!$6:$6, 0), FALSE),
            0
        ) +
        IFERROR(
            VLOOKUP($A72, INDIRECT("AgoR!$A$6:$ZZ$1048576"), MATCH(E$1, AgoR!$6:$6, 0), FALSE),
            0
        ) +
        IFERROR(
            VLOOKUP($A72, INDIRECT("SepR!$A$6:$ZZ$1048576"), MATCH(E$1, SepR!$6:$6, 0), FALSE),
            0
        ) +
        IFERROR(
            VLOOKUP($A72, INDIRECT("OctR!$A$6:$ZZ$1048576"), MATCH(E$1, OctR!$6:$6, 0), FALSE),
            0
        ) +
        IFERROR(
            VLOOKUP($A72, INDIRECT("NovR!$A$6:$ZZ$1048576"), MATCH(E$1, NovR!$6:$6, 0), FALSE),
            0
        ) +
        IFERROR(
            VLOOKUP($A72, INDIRECT("DicR!$A$6:$ZZ$1048576"), MATCH(E$1, DicR!$6:$6, 0), FALSE),
            0
        )
)</f>
        <v>0</v>
      </c>
      <c r="F72" s="32">
        <f t="array" ref="F72">SUM(
    IFERROR(
            VLOOKUP($A72, INDIRECT("EneR!$A$6:$ZZ$1048576"), MATCH(F$1, EneR!$6:$6, 0), FALSE),
            0
        ) +
        IFERROR(
            VLOOKUP($A72, INDIRECT("FebR!$A$6:$ZZ$1048576"), MATCH(F$1, FebR!$6:$6, 0), FALSE),
            0
        ) +
        IFERROR(
            VLOOKUP($A72, INDIRECT("MarR!$A$6:$ZZ$1048576"), MATCH(F$1, MarR!$6:$6, 0), FALSE),
            0
        ) +
        IFERROR(
            VLOOKUP($A72, INDIRECT("AbrR!$A$6:$ZZ$1048576"), MATCH(F$1, AbrR!$6:$6, 0), FALSE),
            0
        ) +
        IFERROR(
            VLOOKUP($A72, INDIRECT("MayR!$A$6:$ZZ$1048576"), MATCH(F$1, MayR!$6:$6, 0), FALSE),
            0
        ) +
        IFERROR(
            VLOOKUP($A72, INDIRECT("JunR!$A$6:$ZZ$1048576"), MATCH(F$1, JunR!$6:$6, 0), FALSE),
            0
        ) +
        IFERROR(
            VLOOKUP($A72, INDIRECT("JulR!$A$6:$ZZ$1048576"), MATCH(F$1, JulR!$6:$6, 0), FALSE),
            0
        ) +
        IFERROR(
            VLOOKUP($A72, INDIRECT("AgoR!$A$6:$ZZ$1048576"), MATCH(F$1, AgoR!$6:$6, 0), FALSE),
            0
        ) +
        IFERROR(
            VLOOKUP($A72, INDIRECT("SepR!$A$6:$ZZ$1048576"), MATCH(F$1, SepR!$6:$6, 0), FALSE),
            0
        ) +
        IFERROR(
            VLOOKUP($A72, INDIRECT("OctR!$A$6:$ZZ$1048576"), MATCH(F$1, OctR!$6:$6, 0), FALSE),
            0
        ) +
        IFERROR(
            VLOOKUP($A72, INDIRECT("NovR!$A$6:$ZZ$1048576"), MATCH(F$1, NovR!$6:$6, 0), FALSE),
            0
        ) +
        IFERROR(
            VLOOKUP($A72, INDIRECT("DicR!$A$6:$ZZ$1048576"), MATCH(F$1, DicR!$6:$6, 0), FALSE),
            0
        )
)</f>
        <v>0</v>
      </c>
      <c r="G72" s="35">
        <f t="array" ref="G72">SUM(
    IFERROR(
            VLOOKUP($A72, INDIRECT("EneR!$A$6:$ZZ$1048576"), MATCH(G$1, EneR!$6:$6, 0), FALSE),
            0
        ) +
        IFERROR(
            VLOOKUP($A72, INDIRECT("FebR!$A$6:$ZZ$1048576"), MATCH(G$1, FebR!$6:$6, 0), FALSE),
            0
        ) +
        IFERROR(
            VLOOKUP($A72, INDIRECT("MarR!$A$6:$ZZ$1048576"), MATCH(G$1, MarR!$6:$6, 0), FALSE),
            0
        ) +
        IFERROR(
            VLOOKUP($A72, INDIRECT("AbrR!$A$6:$ZZ$1048576"), MATCH(G$1, AbrR!$6:$6, 0), FALSE),
            0
        ) +
        IFERROR(
            VLOOKUP($A72, INDIRECT("MayR!$A$6:$ZZ$1048576"), MATCH(G$1, MayR!$6:$6, 0), FALSE),
            0
        ) +
        IFERROR(
            VLOOKUP($A72, INDIRECT("JunR!$A$6:$ZZ$1048576"), MATCH(G$1, JunR!$6:$6, 0), FALSE),
            0
        ) +
        IFERROR(
            VLOOKUP($A72, INDIRECT("JulR!$A$6:$ZZ$1048576"), MATCH(G$1, JulR!$6:$6, 0), FALSE),
            0
        ) +
        IFERROR(
            VLOOKUP($A72, INDIRECT("AgoR!$A$6:$ZZ$1048576"), MATCH(G$1, AgoR!$6:$6, 0), FALSE),
            0
        ) +
        IFERROR(
            VLOOKUP($A72, INDIRECT("SepR!$A$6:$ZZ$1048576"), MATCH(G$1, SepR!$6:$6, 0), FALSE),
            0
        ) +
        IFERROR(
            VLOOKUP($A72, INDIRECT("OctR!$A$6:$ZZ$1048576"), MATCH(G$1, OctR!$6:$6, 0), FALSE),
            0
        ) +
        IFERROR(
            VLOOKUP($A72, INDIRECT("NovR!$A$6:$ZZ$1048576"), MATCH(G$1, NovR!$6:$6, 0), FALSE),
            0
        ) +
        IFERROR(
            VLOOKUP($A72, INDIRECT("DicR!$A$6:$ZZ$1048576"), MATCH(G$1, DicR!$6:$6, 0), FALSE),
            0
        )
)</f>
        <v>0</v>
      </c>
      <c r="H72" s="32">
        <f t="array" ref="H72">SUM(
    IFERROR(
            VLOOKUP($A72, INDIRECT("EneR!$A$6:$ZZ$1048576"), MATCH(H$1, EneR!$6:$6, 0), FALSE),
            0
        ) +
        IFERROR(
            VLOOKUP($A72, INDIRECT("FebR!$A$6:$ZZ$1048576"), MATCH(H$1, FebR!$6:$6, 0), FALSE),
            0
        ) +
        IFERROR(
            VLOOKUP($A72, INDIRECT("MarR!$A$6:$ZZ$1048576"), MATCH(H$1, MarR!$6:$6, 0), FALSE),
            0
        ) +
        IFERROR(
            VLOOKUP($A72, INDIRECT("AbrR!$A$6:$ZZ$1048576"), MATCH(H$1, AbrR!$6:$6, 0), FALSE),
            0
        ) +
        IFERROR(
            VLOOKUP($A72, INDIRECT("MayR!$A$6:$ZZ$1048576"), MATCH(H$1, MayR!$6:$6, 0), FALSE),
            0
        ) +
        IFERROR(
            VLOOKUP($A72, INDIRECT("JunR!$A$6:$ZZ$1048576"), MATCH(H$1, JunR!$6:$6, 0), FALSE),
            0
        ) +
        IFERROR(
            VLOOKUP($A72, INDIRECT("JulR!$A$6:$ZZ$1048576"), MATCH(H$1, JulR!$6:$6, 0), FALSE),
            0
        ) +
        IFERROR(
            VLOOKUP($A72, INDIRECT("AgoR!$A$6:$ZZ$1048576"), MATCH(H$1, AgoR!$6:$6, 0), FALSE),
            0
        ) +
        IFERROR(
            VLOOKUP($A72, INDIRECT("SepR!$A$6:$ZZ$1048576"), MATCH(H$1, SepR!$6:$6, 0), FALSE),
            0
        ) +
        IFERROR(
            VLOOKUP($A72, INDIRECT("OctR!$A$6:$ZZ$1048576"), MATCH(H$1, OctR!$6:$6, 0), FALSE),
            0
        ) +
        IFERROR(
            VLOOKUP($A72, INDIRECT("NovR!$A$6:$ZZ$1048576"), MATCH(H$1, NovR!$6:$6, 0), FALSE),
            0
        ) +
        IFERROR(
            VLOOKUP($A72, INDIRECT("DicR!$A$6:$ZZ$1048576"), MATCH(H$1, DicR!$6:$6, 0), FALSE),
            0
        )
)</f>
        <v>0</v>
      </c>
      <c r="I72" s="35">
        <f t="array" ref="I72">SUM(
    IFERROR(
            VLOOKUP($A72, INDIRECT("EneR!$A$6:$ZZ$1048576"), MATCH(I$1, EneR!$6:$6, 0), FALSE),
            0
        ) +
        IFERROR(
            VLOOKUP($A72, INDIRECT("FebR!$A$6:$ZZ$1048576"), MATCH(I$1, FebR!$6:$6, 0), FALSE),
            0
        ) +
        IFERROR(
            VLOOKUP($A72, INDIRECT("MarR!$A$6:$ZZ$1048576"), MATCH(I$1, MarR!$6:$6, 0), FALSE),
            0
        ) +
        IFERROR(
            VLOOKUP($A72, INDIRECT("AbrR!$A$6:$ZZ$1048576"), MATCH(I$1, AbrR!$6:$6, 0), FALSE),
            0
        ) +
        IFERROR(
            VLOOKUP($A72, INDIRECT("MayR!$A$6:$ZZ$1048576"), MATCH(I$1, MayR!$6:$6, 0), FALSE),
            0
        ) +
        IFERROR(
            VLOOKUP($A72, INDIRECT("JunR!$A$6:$ZZ$1048576"), MATCH(I$1, JunR!$6:$6, 0), FALSE),
            0
        ) +
        IFERROR(
            VLOOKUP($A72, INDIRECT("JulR!$A$6:$ZZ$1048576"), MATCH(I$1, JulR!$6:$6, 0), FALSE),
            0
        ) +
        IFERROR(
            VLOOKUP($A72, INDIRECT("AgoR!$A$6:$ZZ$1048576"), MATCH(I$1, AgoR!$6:$6, 0), FALSE),
            0
        ) +
        IFERROR(
            VLOOKUP($A72, INDIRECT("SepR!$A$6:$ZZ$1048576"), MATCH(I$1, SepR!$6:$6, 0), FALSE),
            0
        ) +
        IFERROR(
            VLOOKUP($A72, INDIRECT("OctR!$A$6:$ZZ$1048576"), MATCH(I$1, OctR!$6:$6, 0), FALSE),
            0
        ) +
        IFERROR(
            VLOOKUP($A72, INDIRECT("NovR!$A$6:$ZZ$1048576"), MATCH(I$1, NovR!$6:$6, 0), FALSE),
            0
        ) +
        IFERROR(
            VLOOKUP($A72, INDIRECT("DicR!$A$6:$ZZ$1048576"), MATCH(I$1, DicR!$6:$6, 0), FALSE),
            0
        )
)</f>
        <v>0</v>
      </c>
      <c r="J72" s="32">
        <f t="array" ref="J72">SUM(
    IFERROR(
            VLOOKUP($A72, INDIRECT("EneR!$A$6:$ZZ$1048576"), MATCH(J$1, EneR!$6:$6, 0), FALSE),
            0
        ) +
        IFERROR(
            VLOOKUP($A72, INDIRECT("FebR!$A$6:$ZZ$1048576"), MATCH(J$1, FebR!$6:$6, 0), FALSE),
            0
        ) +
        IFERROR(
            VLOOKUP($A72, INDIRECT("MarR!$A$6:$ZZ$1048576"), MATCH(J$1, MarR!$6:$6, 0), FALSE),
            0
        ) +
        IFERROR(
            VLOOKUP($A72, INDIRECT("AbrR!$A$6:$ZZ$1048576"), MATCH(J$1, AbrR!$6:$6, 0), FALSE),
            0
        ) +
        IFERROR(
            VLOOKUP($A72, INDIRECT("MayR!$A$6:$ZZ$1048576"), MATCH(J$1, MayR!$6:$6, 0), FALSE),
            0
        ) +
        IFERROR(
            VLOOKUP($A72, INDIRECT("JunR!$A$6:$ZZ$1048576"), MATCH(J$1, JunR!$6:$6, 0), FALSE),
            0
        ) +
        IFERROR(
            VLOOKUP($A72, INDIRECT("JulR!$A$6:$ZZ$1048576"), MATCH(J$1, JulR!$6:$6, 0), FALSE),
            0
        ) +
        IFERROR(
            VLOOKUP($A72, INDIRECT("AgoR!$A$6:$ZZ$1048576"), MATCH(J$1, AgoR!$6:$6, 0), FALSE),
            0
        ) +
        IFERROR(
            VLOOKUP($A72, INDIRECT("SepR!$A$6:$ZZ$1048576"), MATCH(J$1, SepR!$6:$6, 0), FALSE),
            0
        ) +
        IFERROR(
            VLOOKUP($A72, INDIRECT("OctR!$A$6:$ZZ$1048576"), MATCH(J$1, OctR!$6:$6, 0), FALSE),
            0
        ) +
        IFERROR(
            VLOOKUP($A72, INDIRECT("NovR!$A$6:$ZZ$1048576"), MATCH(J$1, NovR!$6:$6, 0), FALSE),
            0
        ) +
        IFERROR(
            VLOOKUP($A72, INDIRECT("DicR!$A$6:$ZZ$1048576"), MATCH(J$1, DicR!$6:$6, 0), FALSE),
            0
        )
)</f>
        <v>0</v>
      </c>
      <c r="K72" s="35">
        <f t="array" ref="K72">SUM(
    IFERROR(
            VLOOKUP($A72, INDIRECT("EneR!$A$6:$ZZ$1048576"), MATCH(K$1, EneR!$6:$6, 0), FALSE),
            0
        ) +
        IFERROR(
            VLOOKUP($A72, INDIRECT("FebR!$A$6:$ZZ$1048576"), MATCH(K$1, FebR!$6:$6, 0), FALSE),
            0
        ) +
        IFERROR(
            VLOOKUP($A72, INDIRECT("MarR!$A$6:$ZZ$1048576"), MATCH(K$1, MarR!$6:$6, 0), FALSE),
            0
        ) +
        IFERROR(
            VLOOKUP($A72, INDIRECT("AbrR!$A$6:$ZZ$1048576"), MATCH(K$1, AbrR!$6:$6, 0), FALSE),
            0
        ) +
        IFERROR(
            VLOOKUP($A72, INDIRECT("MayR!$A$6:$ZZ$1048576"), MATCH(K$1, MayR!$6:$6, 0), FALSE),
            0
        ) +
        IFERROR(
            VLOOKUP($A72, INDIRECT("JunR!$A$6:$ZZ$1048576"), MATCH(K$1, JunR!$6:$6, 0), FALSE),
            0
        ) +
        IFERROR(
            VLOOKUP($A72, INDIRECT("JulR!$A$6:$ZZ$1048576"), MATCH(K$1, JulR!$6:$6, 0), FALSE),
            0
        ) +
        IFERROR(
            VLOOKUP($A72, INDIRECT("AgoR!$A$6:$ZZ$1048576"), MATCH(K$1, AgoR!$6:$6, 0), FALSE),
            0
        ) +
        IFERROR(
            VLOOKUP($A72, INDIRECT("SepR!$A$6:$ZZ$1048576"), MATCH(K$1, SepR!$6:$6, 0), FALSE),
            0
        ) +
        IFERROR(
            VLOOKUP($A72, INDIRECT("OctR!$A$6:$ZZ$1048576"), MATCH(K$1, OctR!$6:$6, 0), FALSE),
            0
        ) +
        IFERROR(
            VLOOKUP($A72, INDIRECT("NovR!$A$6:$ZZ$1048576"), MATCH(K$1, NovR!$6:$6, 0), FALSE),
            0
        ) +
        IFERROR(
            VLOOKUP($A72, INDIRECT("DicR!$A$6:$ZZ$1048576"), MATCH(K$1, DicR!$6:$6, 0), FALSE),
            0
        )
)</f>
        <v>0</v>
      </c>
      <c r="L72" s="32">
        <f t="array" ref="L72">SUM(
    IFERROR(
            VLOOKUP($A72, INDIRECT("EneR!$A$6:$ZZ$1048576"), MATCH(L$1, EneR!$6:$6, 0), FALSE),
            0
        ) +
        IFERROR(
            VLOOKUP($A72, INDIRECT("FebR!$A$6:$ZZ$1048576"), MATCH(L$1, FebR!$6:$6, 0), FALSE),
            0
        ) +
        IFERROR(
            VLOOKUP($A72, INDIRECT("MarR!$A$6:$ZZ$1048576"), MATCH(L$1, MarR!$6:$6, 0), FALSE),
            0
        ) +
        IFERROR(
            VLOOKUP($A72, INDIRECT("AbrR!$A$6:$ZZ$1048576"), MATCH(L$1, AbrR!$6:$6, 0), FALSE),
            0
        ) +
        IFERROR(
            VLOOKUP($A72, INDIRECT("MayR!$A$6:$ZZ$1048576"), MATCH(L$1, MayR!$6:$6, 0), FALSE),
            0
        ) +
        IFERROR(
            VLOOKUP($A72, INDIRECT("JunR!$A$6:$ZZ$1048576"), MATCH(L$1, JunR!$6:$6, 0), FALSE),
            0
        ) +
        IFERROR(
            VLOOKUP($A72, INDIRECT("JulR!$A$6:$ZZ$1048576"), MATCH(L$1, JulR!$6:$6, 0), FALSE),
            0
        ) +
        IFERROR(
            VLOOKUP($A72, INDIRECT("AgoR!$A$6:$ZZ$1048576"), MATCH(L$1, AgoR!$6:$6, 0), FALSE),
            0
        ) +
        IFERROR(
            VLOOKUP($A72, INDIRECT("SepR!$A$6:$ZZ$1048576"), MATCH(L$1, SepR!$6:$6, 0), FALSE),
            0
        ) +
        IFERROR(
            VLOOKUP($A72, INDIRECT("OctR!$A$6:$ZZ$1048576"), MATCH(L$1, OctR!$6:$6, 0), FALSE),
            0
        ) +
        IFERROR(
            VLOOKUP($A72, INDIRECT("NovR!$A$6:$ZZ$1048576"), MATCH(L$1, NovR!$6:$6, 0), FALSE),
            0
        ) +
        IFERROR(
            VLOOKUP($A72, INDIRECT("DicR!$A$6:$ZZ$1048576"), MATCH(L$1, DicR!$6:$6, 0), FALSE),
            0
        )
)</f>
        <v>0</v>
      </c>
      <c r="M72" s="35">
        <f t="array" ref="M72">SUM(
    IFERROR(
            VLOOKUP($A72, INDIRECT("EneR!$A$6:$ZZ$1048576"), MATCH(M$1, EneR!$6:$6, 0), FALSE),
            0
        ) +
        IFERROR(
            VLOOKUP($A72, INDIRECT("FebR!$A$6:$ZZ$1048576"), MATCH(M$1, FebR!$6:$6, 0), FALSE),
            0
        ) +
        IFERROR(
            VLOOKUP($A72, INDIRECT("MarR!$A$6:$ZZ$1048576"), MATCH(M$1, MarR!$6:$6, 0), FALSE),
            0
        ) +
        IFERROR(
            VLOOKUP($A72, INDIRECT("AbrR!$A$6:$ZZ$1048576"), MATCH(M$1, AbrR!$6:$6, 0), FALSE),
            0
        ) +
        IFERROR(
            VLOOKUP($A72, INDIRECT("MayR!$A$6:$ZZ$1048576"), MATCH(M$1, MayR!$6:$6, 0), FALSE),
            0
        ) +
        IFERROR(
            VLOOKUP($A72, INDIRECT("JunR!$A$6:$ZZ$1048576"), MATCH(M$1, JunR!$6:$6, 0), FALSE),
            0
        ) +
        IFERROR(
            VLOOKUP($A72, INDIRECT("JulR!$A$6:$ZZ$1048576"), MATCH(M$1, JulR!$6:$6, 0), FALSE),
            0
        ) +
        IFERROR(
            VLOOKUP($A72, INDIRECT("AgoR!$A$6:$ZZ$1048576"), MATCH(M$1, AgoR!$6:$6, 0), FALSE),
            0
        ) +
        IFERROR(
            VLOOKUP($A72, INDIRECT("SepR!$A$6:$ZZ$1048576"), MATCH(M$1, SepR!$6:$6, 0), FALSE),
            0
        ) +
        IFERROR(
            VLOOKUP($A72, INDIRECT("OctR!$A$6:$ZZ$1048576"), MATCH(M$1, OctR!$6:$6, 0), FALSE),
            0
        ) +
        IFERROR(
            VLOOKUP($A72, INDIRECT("NovR!$A$6:$ZZ$1048576"), MATCH(M$1, NovR!$6:$6, 0), FALSE),
            0
        ) +
        IFERROR(
            VLOOKUP($A72, INDIRECT("DicR!$A$6:$ZZ$1048576"), MATCH(M$1, DicR!$6:$6, 0), FALSE),
            0
        )
)</f>
        <v>0</v>
      </c>
      <c r="N72" s="32">
        <f t="array" ref="N72">SUM(
    IFERROR(
            VLOOKUP($A72, INDIRECT("EneR!$A$6:$ZZ$1048576"), MATCH(N$1, EneR!$6:$6, 0), FALSE),
            0
        ) +
        IFERROR(
            VLOOKUP($A72, INDIRECT("FebR!$A$6:$ZZ$1048576"), MATCH(N$1, FebR!$6:$6, 0), FALSE),
            0
        ) +
        IFERROR(
            VLOOKUP($A72, INDIRECT("MarR!$A$6:$ZZ$1048576"), MATCH(N$1, MarR!$6:$6, 0), FALSE),
            0
        ) +
        IFERROR(
            VLOOKUP($A72, INDIRECT("AbrR!$A$6:$ZZ$1048576"), MATCH(N$1, AbrR!$6:$6, 0), FALSE),
            0
        ) +
        IFERROR(
            VLOOKUP($A72, INDIRECT("MayR!$A$6:$ZZ$1048576"), MATCH(N$1, MayR!$6:$6, 0), FALSE),
            0
        ) +
        IFERROR(
            VLOOKUP($A72, INDIRECT("JunR!$A$6:$ZZ$1048576"), MATCH(N$1, JunR!$6:$6, 0), FALSE),
            0
        ) +
        IFERROR(
            VLOOKUP($A72, INDIRECT("JulR!$A$6:$ZZ$1048576"), MATCH(N$1, JulR!$6:$6, 0), FALSE),
            0
        ) +
        IFERROR(
            VLOOKUP($A72, INDIRECT("AgoR!$A$6:$ZZ$1048576"), MATCH(N$1, AgoR!$6:$6, 0), FALSE),
            0
        ) +
        IFERROR(
            VLOOKUP($A72, INDIRECT("SepR!$A$6:$ZZ$1048576"), MATCH(N$1, SepR!$6:$6, 0), FALSE),
            0
        ) +
        IFERROR(
            VLOOKUP($A72, INDIRECT("OctR!$A$6:$ZZ$1048576"), MATCH(N$1, OctR!$6:$6, 0), FALSE),
            0
        ) +
        IFERROR(
            VLOOKUP($A72, INDIRECT("NovR!$A$6:$ZZ$1048576"), MATCH(N$1, NovR!$6:$6, 0), FALSE),
            0
        ) +
        IFERROR(
            VLOOKUP($A72, INDIRECT("DicR!$A$6:$ZZ$1048576"), MATCH(N$1, DicR!$6:$6, 0), FALSE),
            0
        )
)</f>
        <v>0</v>
      </c>
      <c r="O72" s="35">
        <f t="array" ref="O72">SUM(
    IFERROR(
            VLOOKUP($A72, INDIRECT("EneR!$A$6:$ZZ$1048576"), MATCH(O$1, EneR!$6:$6, 0), FALSE),
            0
        ) +
        IFERROR(
            VLOOKUP($A72, INDIRECT("FebR!$A$6:$ZZ$1048576"), MATCH(O$1, FebR!$6:$6, 0), FALSE),
            0
        ) +
        IFERROR(
            VLOOKUP($A72, INDIRECT("MarR!$A$6:$ZZ$1048576"), MATCH(O$1, MarR!$6:$6, 0), FALSE),
            0
        ) +
        IFERROR(
            VLOOKUP($A72, INDIRECT("AbrR!$A$6:$ZZ$1048576"), MATCH(O$1, AbrR!$6:$6, 0), FALSE),
            0
        ) +
        IFERROR(
            VLOOKUP($A72, INDIRECT("MayR!$A$6:$ZZ$1048576"), MATCH(O$1, MayR!$6:$6, 0), FALSE),
            0
        ) +
        IFERROR(
            VLOOKUP($A72, INDIRECT("JunR!$A$6:$ZZ$1048576"), MATCH(O$1, JunR!$6:$6, 0), FALSE),
            0
        ) +
        IFERROR(
            VLOOKUP($A72, INDIRECT("JulR!$A$6:$ZZ$1048576"), MATCH(O$1, JulR!$6:$6, 0), FALSE),
            0
        ) +
        IFERROR(
            VLOOKUP($A72, INDIRECT("AgoR!$A$6:$ZZ$1048576"), MATCH(O$1, AgoR!$6:$6, 0), FALSE),
            0
        ) +
        IFERROR(
            VLOOKUP($A72, INDIRECT("SepR!$A$6:$ZZ$1048576"), MATCH(O$1, SepR!$6:$6, 0), FALSE),
            0
        ) +
        IFERROR(
            VLOOKUP($A72, INDIRECT("OctR!$A$6:$ZZ$1048576"), MATCH(O$1, OctR!$6:$6, 0), FALSE),
            0
        ) +
        IFERROR(
            VLOOKUP($A72, INDIRECT("NovR!$A$6:$ZZ$1048576"), MATCH(O$1, NovR!$6:$6, 0), FALSE),
            0
        ) +
        IFERROR(
            VLOOKUP($A72, INDIRECT("DicR!$A$6:$ZZ$1048576"), MATCH(O$1, DicR!$6:$6, 0), FALSE),
            0
        )
)</f>
        <v>0</v>
      </c>
      <c r="P72" s="32">
        <f t="array" ref="P72">SUM(
    IFERROR(
            VLOOKUP($A72, INDIRECT("EneR!$A$6:$ZZ$1048576"), MATCH(P$1, EneR!$6:$6, 0), FALSE),
            0
        ) +
        IFERROR(
            VLOOKUP($A72, INDIRECT("FebR!$A$6:$ZZ$1048576"), MATCH(P$1, FebR!$6:$6, 0), FALSE),
            0
        ) +
        IFERROR(
            VLOOKUP($A72, INDIRECT("MarR!$A$6:$ZZ$1048576"), MATCH(P$1, MarR!$6:$6, 0), FALSE),
            0
        ) +
        IFERROR(
            VLOOKUP($A72, INDIRECT("AbrR!$A$6:$ZZ$1048576"), MATCH(P$1, AbrR!$6:$6, 0), FALSE),
            0
        ) +
        IFERROR(
            VLOOKUP($A72, INDIRECT("MayR!$A$6:$ZZ$1048576"), MATCH(P$1, MayR!$6:$6, 0), FALSE),
            0
        ) +
        IFERROR(
            VLOOKUP($A72, INDIRECT("JunR!$A$6:$ZZ$1048576"), MATCH(P$1, JunR!$6:$6, 0), FALSE),
            0
        ) +
        IFERROR(
            VLOOKUP($A72, INDIRECT("JulR!$A$6:$ZZ$1048576"), MATCH(P$1, JulR!$6:$6, 0), FALSE),
            0
        ) +
        IFERROR(
            VLOOKUP($A72, INDIRECT("AgoR!$A$6:$ZZ$1048576"), MATCH(P$1, AgoR!$6:$6, 0), FALSE),
            0
        ) +
        IFERROR(
            VLOOKUP($A72, INDIRECT("SepR!$A$6:$ZZ$1048576"), MATCH(P$1, SepR!$6:$6, 0), FALSE),
            0
        ) +
        IFERROR(
            VLOOKUP($A72, INDIRECT("OctR!$A$6:$ZZ$1048576"), MATCH(P$1, OctR!$6:$6, 0), FALSE),
            0
        ) +
        IFERROR(
            VLOOKUP($A72, INDIRECT("NovR!$A$6:$ZZ$1048576"), MATCH(P$1, NovR!$6:$6, 0), FALSE),
            0
        ) +
        IFERROR(
            VLOOKUP($A72, INDIRECT("DicR!$A$6:$ZZ$1048576"), MATCH(P$1, DicR!$6:$6, 0), FALSE),
            0
        )
)</f>
        <v>0</v>
      </c>
      <c r="Q72" s="35">
        <f t="array" ref="Q72">SUM(
    IFERROR(
            VLOOKUP($A72, INDIRECT("EneR!$A$6:$ZZ$1048576"), MATCH(Q$1, EneR!$6:$6, 0), FALSE),
            0
        ) +
        IFERROR(
            VLOOKUP($A72, INDIRECT("FebR!$A$6:$ZZ$1048576"), MATCH(Q$1, FebR!$6:$6, 0), FALSE),
            0
        ) +
        IFERROR(
            VLOOKUP($A72, INDIRECT("MarR!$A$6:$ZZ$1048576"), MATCH(Q$1, MarR!$6:$6, 0), FALSE),
            0
        ) +
        IFERROR(
            VLOOKUP($A72, INDIRECT("AbrR!$A$6:$ZZ$1048576"), MATCH(Q$1, AbrR!$6:$6, 0), FALSE),
            0
        ) +
        IFERROR(
            VLOOKUP($A72, INDIRECT("MayR!$A$6:$ZZ$1048576"), MATCH(Q$1, MayR!$6:$6, 0), FALSE),
            0
        ) +
        IFERROR(
            VLOOKUP($A72, INDIRECT("JunR!$A$6:$ZZ$1048576"), MATCH(Q$1, JunR!$6:$6, 0), FALSE),
            0
        ) +
        IFERROR(
            VLOOKUP($A72, INDIRECT("JulR!$A$6:$ZZ$1048576"), MATCH(Q$1, JulR!$6:$6, 0), FALSE),
            0
        ) +
        IFERROR(
            VLOOKUP($A72, INDIRECT("AgoR!$A$6:$ZZ$1048576"), MATCH(Q$1, AgoR!$6:$6, 0), FALSE),
            0
        ) +
        IFERROR(
            VLOOKUP($A72, INDIRECT("SepR!$A$6:$ZZ$1048576"), MATCH(Q$1, SepR!$6:$6, 0), FALSE),
            0
        ) +
        IFERROR(
            VLOOKUP($A72, INDIRECT("OctR!$A$6:$ZZ$1048576"), MATCH(Q$1, OctR!$6:$6, 0), FALSE),
            0
        ) +
        IFERROR(
            VLOOKUP($A72, INDIRECT("NovR!$A$6:$ZZ$1048576"), MATCH(Q$1, NovR!$6:$6, 0), FALSE),
            0
        ) +
        IFERROR(
            VLOOKUP($A72, INDIRECT("DicR!$A$6:$ZZ$1048576"), MATCH(Q$1, DicR!$6:$6, 0), FALSE),
            0
        )
)</f>
        <v>0</v>
      </c>
      <c r="R72" s="36">
        <f t="array" ref="R72">SUM(
    IFERROR(
            VLOOKUP($A72, INDIRECT("EneR!$A$6:$ZZ$1048576"), MATCH(R$1, EneR!$6:$6, 0), FALSE),
            0
        ) +
        IFERROR(
            VLOOKUP($A72, INDIRECT("FebR!$A$6:$ZZ$1048576"), MATCH(R$1, FebR!$6:$6, 0), FALSE),
            0
        ) +
        IFERROR(
            VLOOKUP($A72, INDIRECT("MarR!$A$6:$ZZ$1048576"), MATCH(R$1, MarR!$6:$6, 0), FALSE),
            0
        ) +
        IFERROR(
            VLOOKUP($A72, INDIRECT("AbrR!$A$6:$ZZ$1048576"), MATCH(R$1, AbrR!$6:$6, 0), FALSE),
            0
        ) +
        IFERROR(
            VLOOKUP($A72, INDIRECT("MayR!$A$6:$ZZ$1048576"), MATCH(R$1, MayR!$6:$6, 0), FALSE),
            0
        ) +
        IFERROR(
            VLOOKUP($A72, INDIRECT("JunR!$A$6:$ZZ$1048576"), MATCH(R$1, JunR!$6:$6, 0), FALSE),
            0
        ) +
        IFERROR(
            VLOOKUP($A72, INDIRECT("JulR!$A$6:$ZZ$1048576"), MATCH(R$1, JulR!$6:$6, 0), FALSE),
            0
        ) +
        IFERROR(
            VLOOKUP($A72, INDIRECT("AgoR!$A$6:$ZZ$1048576"), MATCH(R$1, AgoR!$6:$6, 0), FALSE),
            0
        ) +
        IFERROR(
            VLOOKUP($A72, INDIRECT("SepR!$A$6:$ZZ$1048576"), MATCH(R$1, SepR!$6:$6, 0), FALSE),
            0
        ) +
        IFERROR(
            VLOOKUP($A72, INDIRECT("OctR!$A$6:$ZZ$1048576"), MATCH(R$1, OctR!$6:$6, 0), FALSE),
            0
        ) +
        IFERROR(
            VLOOKUP($A72, INDIRECT("NovR!$A$6:$ZZ$1048576"), MATCH(R$1, NovR!$6:$6, 0), FALSE),
            0
        ) +
        IFERROR(
            VLOOKUP($A72, INDIRECT("DicR!$A$6:$ZZ$1048576"), MATCH(R$1, DicR!$6:$6, 0), FALSE),
            0
        )
)</f>
        <v>0</v>
      </c>
      <c r="S72" s="37">
        <f t="array" ref="S72">SUM(
    IFERROR(
            VLOOKUP($A72, INDIRECT("EneR!$A$6:$ZZ$1048576"), MATCH(S$1, EneR!$6:$6, 0), FALSE),
            0
        ) +
        IFERROR(
            VLOOKUP($A72, INDIRECT("FebR!$A$6:$ZZ$1048576"), MATCH(S$1, FebR!$6:$6, 0), FALSE),
            0
        ) +
        IFERROR(
            VLOOKUP($A72, INDIRECT("MarR!$A$6:$ZZ$1048576"), MATCH(S$1, MarR!$6:$6, 0), FALSE),
            0
        ) +
        IFERROR(
            VLOOKUP($A72, INDIRECT("AbrR!$A$6:$ZZ$1048576"), MATCH(S$1, AbrR!$6:$6, 0), FALSE),
            0
        ) +
        IFERROR(
            VLOOKUP($A72, INDIRECT("MayR!$A$6:$ZZ$1048576"), MATCH(S$1, MayR!$6:$6, 0), FALSE),
            0
        ) +
        IFERROR(
            VLOOKUP($A72, INDIRECT("JunR!$A$6:$ZZ$1048576"), MATCH(S$1, JunR!$6:$6, 0), FALSE),
            0
        ) +
        IFERROR(
            VLOOKUP($A72, INDIRECT("JulR!$A$6:$ZZ$1048576"), MATCH(S$1, JulR!$6:$6, 0), FALSE),
            0
        ) +
        IFERROR(
            VLOOKUP($A72, INDIRECT("AgoR!$A$6:$ZZ$1048576"), MATCH(S$1, AgoR!$6:$6, 0), FALSE),
            0
        ) +
        IFERROR(
            VLOOKUP($A72, INDIRECT("SepR!$A$6:$ZZ$1048576"), MATCH(S$1, SepR!$6:$6, 0), FALSE),
            0
        ) +
        IFERROR(
            VLOOKUP($A72, INDIRECT("OctR!$A$6:$ZZ$1048576"), MATCH(S$1, OctR!$6:$6, 0), FALSE),
            0
        ) +
        IFERROR(
            VLOOKUP($A72, INDIRECT("NovR!$A$6:$ZZ$1048576"), MATCH(S$1, NovR!$6:$6, 0), FALSE),
            0
        ) +
        IFERROR(
            VLOOKUP($A72, INDIRECT("DicR!$A$6:$ZZ$1048576"), MATCH(S$1, DicR!$6:$6, 0), FALSE),
            0
        )
)</f>
        <v>0</v>
      </c>
      <c r="T72" s="36">
        <f t="array" ref="T72">SUM(
    IFERROR(
            VLOOKUP($A72, INDIRECT("EneR!$A$6:$ZZ$1048576"), MATCH(T$1, EneR!$6:$6, 0), FALSE),
            0
        ) +
        IFERROR(
            VLOOKUP($A72, INDIRECT("FebR!$A$6:$ZZ$1048576"), MATCH(T$1, FebR!$6:$6, 0), FALSE),
            0
        ) +
        IFERROR(
            VLOOKUP($A72, INDIRECT("MarR!$A$6:$ZZ$1048576"), MATCH(T$1, MarR!$6:$6, 0), FALSE),
            0
        ) +
        IFERROR(
            VLOOKUP($A72, INDIRECT("AbrR!$A$6:$ZZ$1048576"), MATCH(T$1, AbrR!$6:$6, 0), FALSE),
            0
        ) +
        IFERROR(
            VLOOKUP($A72, INDIRECT("MayR!$A$6:$ZZ$1048576"), MATCH(T$1, MayR!$6:$6, 0), FALSE),
            0
        ) +
        IFERROR(
            VLOOKUP($A72, INDIRECT("JunR!$A$6:$ZZ$1048576"), MATCH(T$1, JunR!$6:$6, 0), FALSE),
            0
        ) +
        IFERROR(
            VLOOKUP($A72, INDIRECT("JulR!$A$6:$ZZ$1048576"), MATCH(T$1, JulR!$6:$6, 0), FALSE),
            0
        ) +
        IFERROR(
            VLOOKUP($A72, INDIRECT("AgoR!$A$6:$ZZ$1048576"), MATCH(T$1, AgoR!$6:$6, 0), FALSE),
            0
        ) +
        IFERROR(
            VLOOKUP($A72, INDIRECT("SepR!$A$6:$ZZ$1048576"), MATCH(T$1, SepR!$6:$6, 0), FALSE),
            0
        ) +
        IFERROR(
            VLOOKUP($A72, INDIRECT("OctR!$A$6:$ZZ$1048576"), MATCH(T$1, OctR!$6:$6, 0), FALSE),
            0
        ) +
        IFERROR(
            VLOOKUP($A72, INDIRECT("NovR!$A$6:$ZZ$1048576"), MATCH(T$1, NovR!$6:$6, 0), FALSE),
            0
        ) +
        IFERROR(
            VLOOKUP($A72, INDIRECT("DicR!$A$6:$ZZ$1048576"), MATCH(T$1, DicR!$6:$6, 0), FALSE),
            0
        )
)</f>
        <v>0</v>
      </c>
      <c r="U72" s="37">
        <f t="array" ref="U72">SUM(
    IFERROR(
            VLOOKUP($A72, INDIRECT("EneR!$A$6:$ZZ$1048576"), MATCH(U$1, EneR!$6:$6, 0), FALSE),
            0
        ) +
        IFERROR(
            VLOOKUP($A72, INDIRECT("FebR!$A$6:$ZZ$1048576"), MATCH(U$1, FebR!$6:$6, 0), FALSE),
            0
        ) +
        IFERROR(
            VLOOKUP($A72, INDIRECT("MarR!$A$6:$ZZ$1048576"), MATCH(U$1, MarR!$6:$6, 0), FALSE),
            0
        ) +
        IFERROR(
            VLOOKUP($A72, INDIRECT("AbrR!$A$6:$ZZ$1048576"), MATCH(U$1, AbrR!$6:$6, 0), FALSE),
            0
        ) +
        IFERROR(
            VLOOKUP($A72, INDIRECT("MayR!$A$6:$ZZ$1048576"), MATCH(U$1, MayR!$6:$6, 0), FALSE),
            0
        ) +
        IFERROR(
            VLOOKUP($A72, INDIRECT("JunR!$A$6:$ZZ$1048576"), MATCH(U$1, JunR!$6:$6, 0), FALSE),
            0
        ) +
        IFERROR(
            VLOOKUP($A72, INDIRECT("JulR!$A$6:$ZZ$1048576"), MATCH(U$1, JulR!$6:$6, 0), FALSE),
            0
        ) +
        IFERROR(
            VLOOKUP($A72, INDIRECT("AgoR!$A$6:$ZZ$1048576"), MATCH(U$1, AgoR!$6:$6, 0), FALSE),
            0
        ) +
        IFERROR(
            VLOOKUP($A72, INDIRECT("SepR!$A$6:$ZZ$1048576"), MATCH(U$1, SepR!$6:$6, 0), FALSE),
            0
        ) +
        IFERROR(
            VLOOKUP($A72, INDIRECT("OctR!$A$6:$ZZ$1048576"), MATCH(U$1, OctR!$6:$6, 0), FALSE),
            0
        ) +
        IFERROR(
            VLOOKUP($A72, INDIRECT("NovR!$A$6:$ZZ$1048576"), MATCH(U$1, NovR!$6:$6, 0), FALSE),
            0
        ) +
        IFERROR(
            VLOOKUP($A72, INDIRECT("DicR!$A$6:$ZZ$1048576"), MATCH(U$1, DicR!$6:$6, 0), FALSE),
            0
        )
)</f>
        <v>0</v>
      </c>
      <c r="V72" s="36">
        <f t="array" ref="V72">SUM(
    IFERROR(
            VLOOKUP($A72, INDIRECT("EneR!$A$6:$ZZ$1048576"), MATCH(V$1, EneR!$6:$6, 0), FALSE),
            0
        ) +
        IFERROR(
            VLOOKUP($A72, INDIRECT("FebR!$A$6:$ZZ$1048576"), MATCH(V$1, FebR!$6:$6, 0), FALSE),
            0
        ) +
        IFERROR(
            VLOOKUP($A72, INDIRECT("MarR!$A$6:$ZZ$1048576"), MATCH(V$1, MarR!$6:$6, 0), FALSE),
            0
        ) +
        IFERROR(
            VLOOKUP($A72, INDIRECT("AbrR!$A$6:$ZZ$1048576"), MATCH(V$1, AbrR!$6:$6, 0), FALSE),
            0
        ) +
        IFERROR(
            VLOOKUP($A72, INDIRECT("MayR!$A$6:$ZZ$1048576"), MATCH(V$1, MayR!$6:$6, 0), FALSE),
            0
        ) +
        IFERROR(
            VLOOKUP($A72, INDIRECT("JunR!$A$6:$ZZ$1048576"), MATCH(V$1, JunR!$6:$6, 0), FALSE),
            0
        ) +
        IFERROR(
            VLOOKUP($A72, INDIRECT("JulR!$A$6:$ZZ$1048576"), MATCH(V$1, JulR!$6:$6, 0), FALSE),
            0
        ) +
        IFERROR(
            VLOOKUP($A72, INDIRECT("AgoR!$A$6:$ZZ$1048576"), MATCH(V$1, AgoR!$6:$6, 0), FALSE),
            0
        ) +
        IFERROR(
            VLOOKUP($A72, INDIRECT("SepR!$A$6:$ZZ$1048576"), MATCH(V$1, SepR!$6:$6, 0), FALSE),
            0
        ) +
        IFERROR(
            VLOOKUP($A72, INDIRECT("OctR!$A$6:$ZZ$1048576"), MATCH(V$1, OctR!$6:$6, 0), FALSE),
            0
        ) +
        IFERROR(
            VLOOKUP($A72, INDIRECT("NovR!$A$6:$ZZ$1048576"), MATCH(V$1, NovR!$6:$6, 0), FALSE),
            0
        ) +
        IFERROR(
            VLOOKUP($A72, INDIRECT("DicR!$A$6:$ZZ$1048576"), MATCH(V$1, DicR!$6:$6, 0), FALSE),
            0
        )
)</f>
        <v>0</v>
      </c>
      <c r="W72" s="37">
        <f t="array" ref="W72">SUM(
    IFERROR(
            VLOOKUP($A72, INDIRECT("EneR!$A$6:$ZZ$1048576"), MATCH(W$1, EneR!$6:$6, 0), FALSE),
            0
        ) +
        IFERROR(
            VLOOKUP($A72, INDIRECT("FebR!$A$6:$ZZ$1048576"), MATCH(W$1, FebR!$6:$6, 0), FALSE),
            0
        ) +
        IFERROR(
            VLOOKUP($A72, INDIRECT("MarR!$A$6:$ZZ$1048576"), MATCH(W$1, MarR!$6:$6, 0), FALSE),
            0
        ) +
        IFERROR(
            VLOOKUP($A72, INDIRECT("AbrR!$A$6:$ZZ$1048576"), MATCH(W$1, AbrR!$6:$6, 0), FALSE),
            0
        ) +
        IFERROR(
            VLOOKUP($A72, INDIRECT("MayR!$A$6:$ZZ$1048576"), MATCH(W$1, MayR!$6:$6, 0), FALSE),
            0
        ) +
        IFERROR(
            VLOOKUP($A72, INDIRECT("JunR!$A$6:$ZZ$1048576"), MATCH(W$1, JunR!$6:$6, 0), FALSE),
            0
        ) +
        IFERROR(
            VLOOKUP($A72, INDIRECT("JulR!$A$6:$ZZ$1048576"), MATCH(W$1, JulR!$6:$6, 0), FALSE),
            0
        ) +
        IFERROR(
            VLOOKUP($A72, INDIRECT("AgoR!$A$6:$ZZ$1048576"), MATCH(W$1, AgoR!$6:$6, 0), FALSE),
            0
        ) +
        IFERROR(
            VLOOKUP($A72, INDIRECT("SepR!$A$6:$ZZ$1048576"), MATCH(W$1, SepR!$6:$6, 0), FALSE),
            0
        ) +
        IFERROR(
            VLOOKUP($A72, INDIRECT("OctR!$A$6:$ZZ$1048576"), MATCH(W$1, OctR!$6:$6, 0), FALSE),
            0
        ) +
        IFERROR(
            VLOOKUP($A72, INDIRECT("NovR!$A$6:$ZZ$1048576"), MATCH(W$1, NovR!$6:$6, 0), FALSE),
            0
        ) +
        IFERROR(
            VLOOKUP($A72, INDIRECT("DicR!$A$6:$ZZ$1048576"), MATCH(W$1, DicR!$6:$6, 0), FALSE),
            0
        )
)</f>
        <v>0</v>
      </c>
      <c r="X72" s="36">
        <f t="array" ref="X72">SUM(
    IFERROR(
            VLOOKUP($A72, INDIRECT("EneR!$A$6:$ZZ$1048576"), MATCH(X$1, EneR!$6:$6, 0), FALSE),
            0
        ) +
        IFERROR(
            VLOOKUP($A72, INDIRECT("FebR!$A$6:$ZZ$1048576"), MATCH(X$1, FebR!$6:$6, 0), FALSE),
            0
        ) +
        IFERROR(
            VLOOKUP($A72, INDIRECT("MarR!$A$6:$ZZ$1048576"), MATCH(X$1, MarR!$6:$6, 0), FALSE),
            0
        ) +
        IFERROR(
            VLOOKUP($A72, INDIRECT("AbrR!$A$6:$ZZ$1048576"), MATCH(X$1, AbrR!$6:$6, 0), FALSE),
            0
        ) +
        IFERROR(
            VLOOKUP($A72, INDIRECT("MayR!$A$6:$ZZ$1048576"), MATCH(X$1, MayR!$6:$6, 0), FALSE),
            0
        ) +
        IFERROR(
            VLOOKUP($A72, INDIRECT("JunR!$A$6:$ZZ$1048576"), MATCH(X$1, JunR!$6:$6, 0), FALSE),
            0
        ) +
        IFERROR(
            VLOOKUP($A72, INDIRECT("JulR!$A$6:$ZZ$1048576"), MATCH(X$1, JulR!$6:$6, 0), FALSE),
            0
        ) +
        IFERROR(
            VLOOKUP($A72, INDIRECT("AgoR!$A$6:$ZZ$1048576"), MATCH(X$1, AgoR!$6:$6, 0), FALSE),
            0
        ) +
        IFERROR(
            VLOOKUP($A72, INDIRECT("SepR!$A$6:$ZZ$1048576"), MATCH(X$1, SepR!$6:$6, 0), FALSE),
            0
        ) +
        IFERROR(
            VLOOKUP($A72, INDIRECT("OctR!$A$6:$ZZ$1048576"), MATCH(X$1, OctR!$6:$6, 0), FALSE),
            0
        ) +
        IFERROR(
            VLOOKUP($A72, INDIRECT("NovR!$A$6:$ZZ$1048576"), MATCH(X$1, NovR!$6:$6, 0), FALSE),
            0
        ) +
        IFERROR(
            VLOOKUP($A72, INDIRECT("DicR!$A$6:$ZZ$1048576"), MATCH(X$1, DicR!$6:$6, 0), FALSE),
            0
        )
)</f>
        <v>0</v>
      </c>
      <c r="Y72" s="37">
        <f t="array" ref="Y72">SUM(
    IFERROR(
            VLOOKUP($A72, INDIRECT("EneR!$A$6:$ZZ$1048576"), MATCH(Y$1, EneR!$6:$6, 0), FALSE),
            0
        ) +
        IFERROR(
            VLOOKUP($A72, INDIRECT("FebR!$A$6:$ZZ$1048576"), MATCH(Y$1, FebR!$6:$6, 0), FALSE),
            0
        ) +
        IFERROR(
            VLOOKUP($A72, INDIRECT("MarR!$A$6:$ZZ$1048576"), MATCH(Y$1, MarR!$6:$6, 0), FALSE),
            0
        ) +
        IFERROR(
            VLOOKUP($A72, INDIRECT("AbrR!$A$6:$ZZ$1048576"), MATCH(Y$1, AbrR!$6:$6, 0), FALSE),
            0
        ) +
        IFERROR(
            VLOOKUP($A72, INDIRECT("MayR!$A$6:$ZZ$1048576"), MATCH(Y$1, MayR!$6:$6, 0), FALSE),
            0
        ) +
        IFERROR(
            VLOOKUP($A72, INDIRECT("JunR!$A$6:$ZZ$1048576"), MATCH(Y$1, JunR!$6:$6, 0), FALSE),
            0
        ) +
        IFERROR(
            VLOOKUP($A72, INDIRECT("JulR!$A$6:$ZZ$1048576"), MATCH(Y$1, JulR!$6:$6, 0), FALSE),
            0
        ) +
        IFERROR(
            VLOOKUP($A72, INDIRECT("AgoR!$A$6:$ZZ$1048576"), MATCH(Y$1, AgoR!$6:$6, 0), FALSE),
            0
        ) +
        IFERROR(
            VLOOKUP($A72, INDIRECT("SepR!$A$6:$ZZ$1048576"), MATCH(Y$1, SepR!$6:$6, 0), FALSE),
            0
        ) +
        IFERROR(
            VLOOKUP($A72, INDIRECT("OctR!$A$6:$ZZ$1048576"), MATCH(Y$1, OctR!$6:$6, 0), FALSE),
            0
        ) +
        IFERROR(
            VLOOKUP($A72, INDIRECT("NovR!$A$6:$ZZ$1048576"), MATCH(Y$1, NovR!$6:$6, 0), FALSE),
            0
        ) +
        IFERROR(
            VLOOKUP($A72, INDIRECT("DicR!$A$6:$ZZ$1048576"), MATCH(Y$1, DicR!$6:$6, 0), FALSE),
            0
        )
)</f>
        <v>0</v>
      </c>
      <c r="Z72" s="36">
        <f t="array" ref="Z72">SUM(
    IFERROR(
            VLOOKUP($A72, INDIRECT("EneR!$A$6:$ZZ$1048576"), MATCH(Z$1, EneR!$6:$6, 0), FALSE),
            0
        ) +
        IFERROR(
            VLOOKUP($A72, INDIRECT("FebR!$A$6:$ZZ$1048576"), MATCH(Z$1, FebR!$6:$6, 0), FALSE),
            0
        ) +
        IFERROR(
            VLOOKUP($A72, INDIRECT("MarR!$A$6:$ZZ$1048576"), MATCH(Z$1, MarR!$6:$6, 0), FALSE),
            0
        ) +
        IFERROR(
            VLOOKUP($A72, INDIRECT("AbrR!$A$6:$ZZ$1048576"), MATCH(Z$1, AbrR!$6:$6, 0), FALSE),
            0
        ) +
        IFERROR(
            VLOOKUP($A72, INDIRECT("MayR!$A$6:$ZZ$1048576"), MATCH(Z$1, MayR!$6:$6, 0), FALSE),
            0
        ) +
        IFERROR(
            VLOOKUP($A72, INDIRECT("JunR!$A$6:$ZZ$1048576"), MATCH(Z$1, JunR!$6:$6, 0), FALSE),
            0
        ) +
        IFERROR(
            VLOOKUP($A72, INDIRECT("JulR!$A$6:$ZZ$1048576"), MATCH(Z$1, JulR!$6:$6, 0), FALSE),
            0
        ) +
        IFERROR(
            VLOOKUP($A72, INDIRECT("AgoR!$A$6:$ZZ$1048576"), MATCH(Z$1, AgoR!$6:$6, 0), FALSE),
            0
        ) +
        IFERROR(
            VLOOKUP($A72, INDIRECT("SepR!$A$6:$ZZ$1048576"), MATCH(Z$1, SepR!$6:$6, 0), FALSE),
            0
        ) +
        IFERROR(
            VLOOKUP($A72, INDIRECT("OctR!$A$6:$ZZ$1048576"), MATCH(Z$1, OctR!$6:$6, 0), FALSE),
            0
        ) +
        IFERROR(
            VLOOKUP($A72, INDIRECT("NovR!$A$6:$ZZ$1048576"), MATCH(Z$1, NovR!$6:$6, 0), FALSE),
            0
        ) +
        IFERROR(
            VLOOKUP($A72, INDIRECT("DicR!$A$6:$ZZ$1048576"), MATCH(Z$1, DicR!$6:$6, 0), FALSE),
            0
        )
)</f>
        <v>0</v>
      </c>
      <c r="AA72" s="37">
        <f t="array" ref="AA72">SUM(
    IFERROR(
            VLOOKUP($A72, INDIRECT("EneR!$A$6:$ZZ$1048576"), MATCH(AA$1, EneR!$6:$6, 0), FALSE),
            0
        ) +
        IFERROR(
            VLOOKUP($A72, INDIRECT("FebR!$A$6:$ZZ$1048576"), MATCH(AA$1, FebR!$6:$6, 0), FALSE),
            0
        ) +
        IFERROR(
            VLOOKUP($A72, INDIRECT("MarR!$A$6:$ZZ$1048576"), MATCH(AA$1, MarR!$6:$6, 0), FALSE),
            0
        ) +
        IFERROR(
            VLOOKUP($A72, INDIRECT("AbrR!$A$6:$ZZ$1048576"), MATCH(AA$1, AbrR!$6:$6, 0), FALSE),
            0
        ) +
        IFERROR(
            VLOOKUP($A72, INDIRECT("MayR!$A$6:$ZZ$1048576"), MATCH(AA$1, MayR!$6:$6, 0), FALSE),
            0
        ) +
        IFERROR(
            VLOOKUP($A72, INDIRECT("JunR!$A$6:$ZZ$1048576"), MATCH(AA$1, JunR!$6:$6, 0), FALSE),
            0
        ) +
        IFERROR(
            VLOOKUP($A72, INDIRECT("JulR!$A$6:$ZZ$1048576"), MATCH(AA$1, JulR!$6:$6, 0), FALSE),
            0
        ) +
        IFERROR(
            VLOOKUP($A72, INDIRECT("AgoR!$A$6:$ZZ$1048576"), MATCH(AA$1, AgoR!$6:$6, 0), FALSE),
            0
        ) +
        IFERROR(
            VLOOKUP($A72, INDIRECT("SepR!$A$6:$ZZ$1048576"), MATCH(AA$1, SepR!$6:$6, 0), FALSE),
            0
        ) +
        IFERROR(
            VLOOKUP($A72, INDIRECT("OctR!$A$6:$ZZ$1048576"), MATCH(AA$1, OctR!$6:$6, 0), FALSE),
            0
        ) +
        IFERROR(
            VLOOKUP($A72, INDIRECT("NovR!$A$6:$ZZ$1048576"), MATCH(AA$1, NovR!$6:$6, 0), FALSE),
            0
        ) +
        IFERROR(
            VLOOKUP($A72, INDIRECT("DicR!$A$6:$ZZ$1048576"), MATCH(AA$1, DicR!$6:$6, 0), FALSE),
            0
        )
)</f>
        <v>0</v>
      </c>
      <c r="AB72" s="36">
        <f t="array" ref="AB72">SUM(
    IFERROR(
            VLOOKUP($A72, INDIRECT("EneR!$A$6:$ZZ$1048576"), MATCH(AB$1, EneR!$6:$6, 0), FALSE),
            0
        ) +
        IFERROR(
            VLOOKUP($A72, INDIRECT("FebR!$A$6:$ZZ$1048576"), MATCH(AB$1, FebR!$6:$6, 0), FALSE),
            0
        ) +
        IFERROR(
            VLOOKUP($A72, INDIRECT("MarR!$A$6:$ZZ$1048576"), MATCH(AB$1, MarR!$6:$6, 0), FALSE),
            0
        ) +
        IFERROR(
            VLOOKUP($A72, INDIRECT("AbrR!$A$6:$ZZ$1048576"), MATCH(AB$1, AbrR!$6:$6, 0), FALSE),
            0
        ) +
        IFERROR(
            VLOOKUP($A72, INDIRECT("MayR!$A$6:$ZZ$1048576"), MATCH(AB$1, MayR!$6:$6, 0), FALSE),
            0
        ) +
        IFERROR(
            VLOOKUP($A72, INDIRECT("JunR!$A$6:$ZZ$1048576"), MATCH(AB$1, JunR!$6:$6, 0), FALSE),
            0
        ) +
        IFERROR(
            VLOOKUP($A72, INDIRECT("JulR!$A$6:$ZZ$1048576"), MATCH(AB$1, JulR!$6:$6, 0), FALSE),
            0
        ) +
        IFERROR(
            VLOOKUP($A72, INDIRECT("AgoR!$A$6:$ZZ$1048576"), MATCH(AB$1, AgoR!$6:$6, 0), FALSE),
            0
        ) +
        IFERROR(
            VLOOKUP($A72, INDIRECT("SepR!$A$6:$ZZ$1048576"), MATCH(AB$1, SepR!$6:$6, 0), FALSE),
            0
        ) +
        IFERROR(
            VLOOKUP($A72, INDIRECT("OctR!$A$6:$ZZ$1048576"), MATCH(AB$1, OctR!$6:$6, 0), FALSE),
            0
        ) +
        IFERROR(
            VLOOKUP($A72, INDIRECT("NovR!$A$6:$ZZ$1048576"), MATCH(AB$1, NovR!$6:$6, 0), FALSE),
            0
        ) +
        IFERROR(
            VLOOKUP($A72, INDIRECT("DicR!$A$6:$ZZ$1048576"), MATCH(AB$1, DicR!$6:$6, 0), FALSE),
            0
        )
)</f>
        <v>0</v>
      </c>
      <c r="AC72" s="37">
        <f t="array" ref="AC72">SUM(
    IFERROR(
            VLOOKUP($A72, INDIRECT("EneR!$A$6:$ZZ$1048576"), MATCH(AC$1, EneR!$6:$6, 0), FALSE),
            0
        ) +
        IFERROR(
            VLOOKUP($A72, INDIRECT("FebR!$A$6:$ZZ$1048576"), MATCH(AC$1, FebR!$6:$6, 0), FALSE),
            0
        ) +
        IFERROR(
            VLOOKUP($A72, INDIRECT("MarR!$A$6:$ZZ$1048576"), MATCH(AC$1, MarR!$6:$6, 0), FALSE),
            0
        ) +
        IFERROR(
            VLOOKUP($A72, INDIRECT("AbrR!$A$6:$ZZ$1048576"), MATCH(AC$1, AbrR!$6:$6, 0), FALSE),
            0
        ) +
        IFERROR(
            VLOOKUP($A72, INDIRECT("MayR!$A$6:$ZZ$1048576"), MATCH(AC$1, MayR!$6:$6, 0), FALSE),
            0
        ) +
        IFERROR(
            VLOOKUP($A72, INDIRECT("JunR!$A$6:$ZZ$1048576"), MATCH(AC$1, JunR!$6:$6, 0), FALSE),
            0
        ) +
        IFERROR(
            VLOOKUP($A72, INDIRECT("JulR!$A$6:$ZZ$1048576"), MATCH(AC$1, JulR!$6:$6, 0), FALSE),
            0
        ) +
        IFERROR(
            VLOOKUP($A72, INDIRECT("AgoR!$A$6:$ZZ$1048576"), MATCH(AC$1, AgoR!$6:$6, 0), FALSE),
            0
        ) +
        IFERROR(
            VLOOKUP($A72, INDIRECT("SepR!$A$6:$ZZ$1048576"), MATCH(AC$1, SepR!$6:$6, 0), FALSE),
            0
        ) +
        IFERROR(
            VLOOKUP($A72, INDIRECT("OctR!$A$6:$ZZ$1048576"), MATCH(AC$1, OctR!$6:$6, 0), FALSE),
            0
        ) +
        IFERROR(
            VLOOKUP($A72, INDIRECT("NovR!$A$6:$ZZ$1048576"), MATCH(AC$1, NovR!$6:$6, 0), FALSE),
            0
        ) +
        IFERROR(
            VLOOKUP($A72, INDIRECT("DicR!$A$6:$ZZ$1048576"), MATCH(AC$1, DicR!$6:$6, 0), FALSE),
            0
        )
)</f>
        <v>0</v>
      </c>
      <c r="AD72" s="36">
        <f t="array" ref="AD72">SUM(
    IFERROR(
            VLOOKUP($A72, INDIRECT("EneR!$A$6:$ZZ$1048576"), MATCH(AD$1, EneR!$6:$6, 0), FALSE),
            0
        ) +
        IFERROR(
            VLOOKUP($A72, INDIRECT("FebR!$A$6:$ZZ$1048576"), MATCH(AD$1, FebR!$6:$6, 0), FALSE),
            0
        ) +
        IFERROR(
            VLOOKUP($A72, INDIRECT("MarR!$A$6:$ZZ$1048576"), MATCH(AD$1, MarR!$6:$6, 0), FALSE),
            0
        ) +
        IFERROR(
            VLOOKUP($A72, INDIRECT("AbrR!$A$6:$ZZ$1048576"), MATCH(AD$1, AbrR!$6:$6, 0), FALSE),
            0
        ) +
        IFERROR(
            VLOOKUP($A72, INDIRECT("MayR!$A$6:$ZZ$1048576"), MATCH(AD$1, MayR!$6:$6, 0), FALSE),
            0
        ) +
        IFERROR(
            VLOOKUP($A72, INDIRECT("JunR!$A$6:$ZZ$1048576"), MATCH(AD$1, JunR!$6:$6, 0), FALSE),
            0
        ) +
        IFERROR(
            VLOOKUP($A72, INDIRECT("JulR!$A$6:$ZZ$1048576"), MATCH(AD$1, JulR!$6:$6, 0), FALSE),
            0
        ) +
        IFERROR(
            VLOOKUP($A72, INDIRECT("AgoR!$A$6:$ZZ$1048576"), MATCH(AD$1, AgoR!$6:$6, 0), FALSE),
            0
        ) +
        IFERROR(
            VLOOKUP($A72, INDIRECT("SepR!$A$6:$ZZ$1048576"), MATCH(AD$1, SepR!$6:$6, 0), FALSE),
            0
        ) +
        IFERROR(
            VLOOKUP($A72, INDIRECT("OctR!$A$6:$ZZ$1048576"), MATCH(AD$1, OctR!$6:$6, 0), FALSE),
            0
        ) +
        IFERROR(
            VLOOKUP($A72, INDIRECT("NovR!$A$6:$ZZ$1048576"), MATCH(AD$1, NovR!$6:$6, 0), FALSE),
            0
        ) +
        IFERROR(
            VLOOKUP($A72, INDIRECT("DicR!$A$6:$ZZ$1048576"), MATCH(AD$1, DicR!$6:$6, 0), FALSE),
            0
        )
)</f>
        <v>0</v>
      </c>
      <c r="AE72" s="37">
        <f t="array" ref="AE72">SUM(
    IFERROR(
            VLOOKUP($A72, INDIRECT("EneR!$A$6:$ZZ$1048576"), MATCH(AE$1, EneR!$6:$6, 0), FALSE),
            0
        ) +
        IFERROR(
            VLOOKUP($A72, INDIRECT("FebR!$A$6:$ZZ$1048576"), MATCH(AE$1, FebR!$6:$6, 0), FALSE),
            0
        ) +
        IFERROR(
            VLOOKUP($A72, INDIRECT("MarR!$A$6:$ZZ$1048576"), MATCH(AE$1, MarR!$6:$6, 0), FALSE),
            0
        ) +
        IFERROR(
            VLOOKUP($A72, INDIRECT("AbrR!$A$6:$ZZ$1048576"), MATCH(AE$1, AbrR!$6:$6, 0), FALSE),
            0
        ) +
        IFERROR(
            VLOOKUP($A72, INDIRECT("MayR!$A$6:$ZZ$1048576"), MATCH(AE$1, MayR!$6:$6, 0), FALSE),
            0
        ) +
        IFERROR(
            VLOOKUP($A72, INDIRECT("JunR!$A$6:$ZZ$1048576"), MATCH(AE$1, JunR!$6:$6, 0), FALSE),
            0
        ) +
        IFERROR(
            VLOOKUP($A72, INDIRECT("JulR!$A$6:$ZZ$1048576"), MATCH(AE$1, JulR!$6:$6, 0), FALSE),
            0
        ) +
        IFERROR(
            VLOOKUP($A72, INDIRECT("AgoR!$A$6:$ZZ$1048576"), MATCH(AE$1, AgoR!$6:$6, 0), FALSE),
            0
        ) +
        IFERROR(
            VLOOKUP($A72, INDIRECT("SepR!$A$6:$ZZ$1048576"), MATCH(AE$1, SepR!$6:$6, 0), FALSE),
            0
        ) +
        IFERROR(
            VLOOKUP($A72, INDIRECT("OctR!$A$6:$ZZ$1048576"), MATCH(AE$1, OctR!$6:$6, 0), FALSE),
            0
        ) +
        IFERROR(
            VLOOKUP($A72, INDIRECT("NovR!$A$6:$ZZ$1048576"), MATCH(AE$1, NovR!$6:$6, 0), FALSE),
            0
        ) +
        IFERROR(
            VLOOKUP($A72, INDIRECT("DicR!$A$6:$ZZ$1048576"), MATCH(AE$1, DicR!$6:$6, 0), FALSE),
            0
        )
)</f>
        <v>0</v>
      </c>
      <c r="AF72" s="36">
        <f t="array" ref="AF72">SUM(
    IFERROR(
            VLOOKUP($A72, INDIRECT("EneR!$A$6:$ZZ$1048576"), MATCH(AF$1, EneR!$6:$6, 0), FALSE),
            0
        ) +
        IFERROR(
            VLOOKUP($A72, INDIRECT("FebR!$A$6:$ZZ$1048576"), MATCH(AF$1, FebR!$6:$6, 0), FALSE),
            0
        ) +
        IFERROR(
            VLOOKUP($A72, INDIRECT("MarR!$A$6:$ZZ$1048576"), MATCH(AF$1, MarR!$6:$6, 0), FALSE),
            0
        ) +
        IFERROR(
            VLOOKUP($A72, INDIRECT("AbrR!$A$6:$ZZ$1048576"), MATCH(AF$1, AbrR!$6:$6, 0), FALSE),
            0
        ) +
        IFERROR(
            VLOOKUP($A72, INDIRECT("MayR!$A$6:$ZZ$1048576"), MATCH(AF$1, MayR!$6:$6, 0), FALSE),
            0
        ) +
        IFERROR(
            VLOOKUP($A72, INDIRECT("JunR!$A$6:$ZZ$1048576"), MATCH(AF$1, JunR!$6:$6, 0), FALSE),
            0
        ) +
        IFERROR(
            VLOOKUP($A72, INDIRECT("JulR!$A$6:$ZZ$1048576"), MATCH(AF$1, JulR!$6:$6, 0), FALSE),
            0
        ) +
        IFERROR(
            VLOOKUP($A72, INDIRECT("AgoR!$A$6:$ZZ$1048576"), MATCH(AF$1, AgoR!$6:$6, 0), FALSE),
            0
        ) +
        IFERROR(
            VLOOKUP($A72, INDIRECT("SepR!$A$6:$ZZ$1048576"), MATCH(AF$1, SepR!$6:$6, 0), FALSE),
            0
        ) +
        IFERROR(
            VLOOKUP($A72, INDIRECT("OctR!$A$6:$ZZ$1048576"), MATCH(AF$1, OctR!$6:$6, 0), FALSE),
            0
        ) +
        IFERROR(
            VLOOKUP($A72, INDIRECT("NovR!$A$6:$ZZ$1048576"), MATCH(AF$1, NovR!$6:$6, 0), FALSE),
            0
        ) +
        IFERROR(
            VLOOKUP($A72, INDIRECT("DicR!$A$6:$ZZ$1048576"), MATCH(AF$1, DicR!$6:$6, 0), FALSE),
            0
        )
)</f>
        <v>0</v>
      </c>
      <c r="AG72" s="37">
        <f t="array" ref="AG72">SUM(
    IFERROR(
            VLOOKUP($A72, INDIRECT("EneR!$A$6:$ZZ$1048576"), MATCH(AG$1, EneR!$6:$6, 0), FALSE),
            0
        ) +
        IFERROR(
            VLOOKUP($A72, INDIRECT("FebR!$A$6:$ZZ$1048576"), MATCH(AG$1, FebR!$6:$6, 0), FALSE),
            0
        ) +
        IFERROR(
            VLOOKUP($A72, INDIRECT("MarR!$A$6:$ZZ$1048576"), MATCH(AG$1, MarR!$6:$6, 0), FALSE),
            0
        ) +
        IFERROR(
            VLOOKUP($A72, INDIRECT("AbrR!$A$6:$ZZ$1048576"), MATCH(AG$1, AbrR!$6:$6, 0), FALSE),
            0
        ) +
        IFERROR(
            VLOOKUP($A72, INDIRECT("MayR!$A$6:$ZZ$1048576"), MATCH(AG$1, MayR!$6:$6, 0), FALSE),
            0
        ) +
        IFERROR(
            VLOOKUP($A72, INDIRECT("JunR!$A$6:$ZZ$1048576"), MATCH(AG$1, JunR!$6:$6, 0), FALSE),
            0
        ) +
        IFERROR(
            VLOOKUP($A72, INDIRECT("JulR!$A$6:$ZZ$1048576"), MATCH(AG$1, JulR!$6:$6, 0), FALSE),
            0
        ) +
        IFERROR(
            VLOOKUP($A72, INDIRECT("AgoR!$A$6:$ZZ$1048576"), MATCH(AG$1, AgoR!$6:$6, 0), FALSE),
            0
        ) +
        IFERROR(
            VLOOKUP($A72, INDIRECT("SepR!$A$6:$ZZ$1048576"), MATCH(AG$1, SepR!$6:$6, 0), FALSE),
            0
        ) +
        IFERROR(
            VLOOKUP($A72, INDIRECT("OctR!$A$6:$ZZ$1048576"), MATCH(AG$1, OctR!$6:$6, 0), FALSE),
            0
        ) +
        IFERROR(
            VLOOKUP($A72, INDIRECT("NovR!$A$6:$ZZ$1048576"), MATCH(AG$1, NovR!$6:$6, 0), FALSE),
            0
        ) +
        IFERROR(
            VLOOKUP($A72, INDIRECT("DicR!$A$6:$ZZ$1048576"), MATCH(AG$1, DicR!$6:$6, 0), FALSE),
            0
        )
)</f>
        <v>0</v>
      </c>
      <c r="AH72" s="36">
        <f t="array" ref="AH72">SUM(
    IFERROR(
            VLOOKUP($A72, INDIRECT("EneR!$A$6:$ZZ$1048576"), MATCH(AH$1, EneR!$6:$6, 0), FALSE),
            0
        ) +
        IFERROR(
            VLOOKUP($A72, INDIRECT("FebR!$A$6:$ZZ$1048576"), MATCH(AH$1, FebR!$6:$6, 0), FALSE),
            0
        ) +
        IFERROR(
            VLOOKUP($A72, INDIRECT("MarR!$A$6:$ZZ$1048576"), MATCH(AH$1, MarR!$6:$6, 0), FALSE),
            0
        ) +
        IFERROR(
            VLOOKUP($A72, INDIRECT("AbrR!$A$6:$ZZ$1048576"), MATCH(AH$1, AbrR!$6:$6, 0), FALSE),
            0
        ) +
        IFERROR(
            VLOOKUP($A72, INDIRECT("MayR!$A$6:$ZZ$1048576"), MATCH(AH$1, MayR!$6:$6, 0), FALSE),
            0
        ) +
        IFERROR(
            VLOOKUP($A72, INDIRECT("JunR!$A$6:$ZZ$1048576"), MATCH(AH$1, JunR!$6:$6, 0), FALSE),
            0
        ) +
        IFERROR(
            VLOOKUP($A72, INDIRECT("JulR!$A$6:$ZZ$1048576"), MATCH(AH$1, JulR!$6:$6, 0), FALSE),
            0
        ) +
        IFERROR(
            VLOOKUP($A72, INDIRECT("AgoR!$A$6:$ZZ$1048576"), MATCH(AH$1, AgoR!$6:$6, 0), FALSE),
            0
        ) +
        IFERROR(
            VLOOKUP($A72, INDIRECT("SepR!$A$6:$ZZ$1048576"), MATCH(AH$1, SepR!$6:$6, 0), FALSE),
            0
        ) +
        IFERROR(
            VLOOKUP($A72, INDIRECT("OctR!$A$6:$ZZ$1048576"), MATCH(AH$1, OctR!$6:$6, 0), FALSE),
            0
        ) +
        IFERROR(
            VLOOKUP($A72, INDIRECT("NovR!$A$6:$ZZ$1048576"), MATCH(AH$1, NovR!$6:$6, 0), FALSE),
            0
        ) +
        IFERROR(
            VLOOKUP($A72, INDIRECT("DicR!$A$6:$ZZ$1048576"), MATCH(AH$1, DicR!$6:$6, 0), FALSE),
            0
        )
)</f>
        <v>0</v>
      </c>
      <c r="AI72" s="37">
        <f t="array" ref="AI72">SUM(
    IFERROR(
            VLOOKUP($A72, INDIRECT("EneR!$A$6:$ZZ$1048576"), MATCH(AI$1, EneR!$6:$6, 0), FALSE),
            0
        ) +
        IFERROR(
            VLOOKUP($A72, INDIRECT("FebR!$A$6:$ZZ$1048576"), MATCH(AI$1, FebR!$6:$6, 0), FALSE),
            0
        ) +
        IFERROR(
            VLOOKUP($A72, INDIRECT("MarR!$A$6:$ZZ$1048576"), MATCH(AI$1, MarR!$6:$6, 0), FALSE),
            0
        ) +
        IFERROR(
            VLOOKUP($A72, INDIRECT("AbrR!$A$6:$ZZ$1048576"), MATCH(AI$1, AbrR!$6:$6, 0), FALSE),
            0
        ) +
        IFERROR(
            VLOOKUP($A72, INDIRECT("MayR!$A$6:$ZZ$1048576"), MATCH(AI$1, MayR!$6:$6, 0), FALSE),
            0
        ) +
        IFERROR(
            VLOOKUP($A72, INDIRECT("JunR!$A$6:$ZZ$1048576"), MATCH(AI$1, JunR!$6:$6, 0), FALSE),
            0
        ) +
        IFERROR(
            VLOOKUP($A72, INDIRECT("JulR!$A$6:$ZZ$1048576"), MATCH(AI$1, JulR!$6:$6, 0), FALSE),
            0
        ) +
        IFERROR(
            VLOOKUP($A72, INDIRECT("AgoR!$A$6:$ZZ$1048576"), MATCH(AI$1, AgoR!$6:$6, 0), FALSE),
            0
        ) +
        IFERROR(
            VLOOKUP($A72, INDIRECT("SepR!$A$6:$ZZ$1048576"), MATCH(AI$1, SepR!$6:$6, 0), FALSE),
            0
        ) +
        IFERROR(
            VLOOKUP($A72, INDIRECT("OctR!$A$6:$ZZ$1048576"), MATCH(AI$1, OctR!$6:$6, 0), FALSE),
            0
        ) +
        IFERROR(
            VLOOKUP($A72, INDIRECT("NovR!$A$6:$ZZ$1048576"), MATCH(AI$1, NovR!$6:$6, 0), FALSE),
            0
        ) +
        IFERROR(
            VLOOKUP($A72, INDIRECT("DicR!$A$6:$ZZ$1048576"), MATCH(AI$1, DicR!$6:$6, 0), FALSE),
            0
        )
)</f>
        <v>0</v>
      </c>
      <c r="AJ72" s="36">
        <f t="array" ref="AJ72">SUM(
    IFERROR(
            VLOOKUP($A72, INDIRECT("EneR!$A$6:$ZZ$1048576"), MATCH(AJ$1, EneR!$6:$6, 0), FALSE),
            0
        ) +
        IFERROR(
            VLOOKUP($A72, INDIRECT("FebR!$A$6:$ZZ$1048576"), MATCH(AJ$1, FebR!$6:$6, 0), FALSE),
            0
        ) +
        IFERROR(
            VLOOKUP($A72, INDIRECT("MarR!$A$6:$ZZ$1048576"), MATCH(AJ$1, MarR!$6:$6, 0), FALSE),
            0
        ) +
        IFERROR(
            VLOOKUP($A72, INDIRECT("AbrR!$A$6:$ZZ$1048576"), MATCH(AJ$1, AbrR!$6:$6, 0), FALSE),
            0
        ) +
        IFERROR(
            VLOOKUP($A72, INDIRECT("MayR!$A$6:$ZZ$1048576"), MATCH(AJ$1, MayR!$6:$6, 0), FALSE),
            0
        ) +
        IFERROR(
            VLOOKUP($A72, INDIRECT("JunR!$A$6:$ZZ$1048576"), MATCH(AJ$1, JunR!$6:$6, 0), FALSE),
            0
        ) +
        IFERROR(
            VLOOKUP($A72, INDIRECT("JulR!$A$6:$ZZ$1048576"), MATCH(AJ$1, JulR!$6:$6, 0), FALSE),
            0
        ) +
        IFERROR(
            VLOOKUP($A72, INDIRECT("AgoR!$A$6:$ZZ$1048576"), MATCH(AJ$1, AgoR!$6:$6, 0), FALSE),
            0
        ) +
        IFERROR(
            VLOOKUP($A72, INDIRECT("SepR!$A$6:$ZZ$1048576"), MATCH(AJ$1, SepR!$6:$6, 0), FALSE),
            0
        ) +
        IFERROR(
            VLOOKUP($A72, INDIRECT("OctR!$A$6:$ZZ$1048576"), MATCH(AJ$1, OctR!$6:$6, 0), FALSE),
            0
        ) +
        IFERROR(
            VLOOKUP($A72, INDIRECT("NovR!$A$6:$ZZ$1048576"), MATCH(AJ$1, NovR!$6:$6, 0), FALSE),
            0
        ) +
        IFERROR(
            VLOOKUP($A72, INDIRECT("DicR!$A$6:$ZZ$1048576"), MATCH(AJ$1, DicR!$6:$6, 0), FALSE),
            0
        )
)</f>
        <v>0</v>
      </c>
      <c r="AK72" s="37">
        <f t="array" ref="AK72">SUM(
    IFERROR(
            VLOOKUP($A72, INDIRECT("EneR!$A$6:$ZZ$1048576"), MATCH(AK$1, EneR!$6:$6, 0), FALSE),
            0
        ) +
        IFERROR(
            VLOOKUP($A72, INDIRECT("FebR!$A$6:$ZZ$1048576"), MATCH(AK$1, FebR!$6:$6, 0), FALSE),
            0
        ) +
        IFERROR(
            VLOOKUP($A72, INDIRECT("MarR!$A$6:$ZZ$1048576"), MATCH(AK$1, MarR!$6:$6, 0), FALSE),
            0
        ) +
        IFERROR(
            VLOOKUP($A72, INDIRECT("AbrR!$A$6:$ZZ$1048576"), MATCH(AK$1, AbrR!$6:$6, 0), FALSE),
            0
        ) +
        IFERROR(
            VLOOKUP($A72, INDIRECT("MayR!$A$6:$ZZ$1048576"), MATCH(AK$1, MayR!$6:$6, 0), FALSE),
            0
        ) +
        IFERROR(
            VLOOKUP($A72, INDIRECT("JunR!$A$6:$ZZ$1048576"), MATCH(AK$1, JunR!$6:$6, 0), FALSE),
            0
        ) +
        IFERROR(
            VLOOKUP($A72, INDIRECT("JulR!$A$6:$ZZ$1048576"), MATCH(AK$1, JulR!$6:$6, 0), FALSE),
            0
        ) +
        IFERROR(
            VLOOKUP($A72, INDIRECT("AgoR!$A$6:$ZZ$1048576"), MATCH(AK$1, AgoR!$6:$6, 0), FALSE),
            0
        ) +
        IFERROR(
            VLOOKUP($A72, INDIRECT("SepR!$A$6:$ZZ$1048576"), MATCH(AK$1, SepR!$6:$6, 0), FALSE),
            0
        ) +
        IFERROR(
            VLOOKUP($A72, INDIRECT("OctR!$A$6:$ZZ$1048576"), MATCH(AK$1, OctR!$6:$6, 0), FALSE),
            0
        ) +
        IFERROR(
            VLOOKUP($A72, INDIRECT("NovR!$A$6:$ZZ$1048576"), MATCH(AK$1, NovR!$6:$6, 0), FALSE),
            0
        ) +
        IFERROR(
            VLOOKUP($A72, INDIRECT("DicR!$A$6:$ZZ$1048576"), MATCH(AK$1, DicR!$6:$6, 0), FALSE),
            0
        )
)</f>
        <v>0</v>
      </c>
      <c r="AL72" s="36">
        <f t="array" ref="AL72">SUM(
    IFERROR(
            VLOOKUP($A72, INDIRECT("EneR!$A$6:$ZZ$1048576"), MATCH(AL$1, EneR!$6:$6, 0), FALSE),
            0
        ) +
        IFERROR(
            VLOOKUP($A72, INDIRECT("FebR!$A$6:$ZZ$1048576"), MATCH(AL$1, FebR!$6:$6, 0), FALSE),
            0
        ) +
        IFERROR(
            VLOOKUP($A72, INDIRECT("MarR!$A$6:$ZZ$1048576"), MATCH(AL$1, MarR!$6:$6, 0), FALSE),
            0
        ) +
        IFERROR(
            VLOOKUP($A72, INDIRECT("AbrR!$A$6:$ZZ$1048576"), MATCH(AL$1, AbrR!$6:$6, 0), FALSE),
            0
        ) +
        IFERROR(
            VLOOKUP($A72, INDIRECT("MayR!$A$6:$ZZ$1048576"), MATCH(AL$1, MayR!$6:$6, 0), FALSE),
            0
        ) +
        IFERROR(
            VLOOKUP($A72, INDIRECT("JunR!$A$6:$ZZ$1048576"), MATCH(AL$1, JunR!$6:$6, 0), FALSE),
            0
        ) +
        IFERROR(
            VLOOKUP($A72, INDIRECT("JulR!$A$6:$ZZ$1048576"), MATCH(AL$1, JulR!$6:$6, 0), FALSE),
            0
        ) +
        IFERROR(
            VLOOKUP($A72, INDIRECT("AgoR!$A$6:$ZZ$1048576"), MATCH(AL$1, AgoR!$6:$6, 0), FALSE),
            0
        ) +
        IFERROR(
            VLOOKUP($A72, INDIRECT("SepR!$A$6:$ZZ$1048576"), MATCH(AL$1, SepR!$6:$6, 0), FALSE),
            0
        ) +
        IFERROR(
            VLOOKUP($A72, INDIRECT("OctR!$A$6:$ZZ$1048576"), MATCH(AL$1, OctR!$6:$6, 0), FALSE),
            0
        ) +
        IFERROR(
            VLOOKUP($A72, INDIRECT("NovR!$A$6:$ZZ$1048576"), MATCH(AL$1, NovR!$6:$6, 0), FALSE),
            0
        ) +
        IFERROR(
            VLOOKUP($A72, INDIRECT("DicR!$A$6:$ZZ$1048576"), MATCH(AL$1, DicR!$6:$6, 0), FALSE),
            0
        )
)</f>
        <v>0</v>
      </c>
      <c r="AM72" s="37">
        <f t="array" ref="AM72">SUM(
    IFERROR(
            VLOOKUP($A72, INDIRECT("EneR!$A$6:$ZZ$1048576"), MATCH(AM$1, EneR!$6:$6, 0), FALSE),
            0
        ) +
        IFERROR(
            VLOOKUP($A72, INDIRECT("FebR!$A$6:$ZZ$1048576"), MATCH(AM$1, FebR!$6:$6, 0), FALSE),
            0
        ) +
        IFERROR(
            VLOOKUP($A72, INDIRECT("MarR!$A$6:$ZZ$1048576"), MATCH(AM$1, MarR!$6:$6, 0), FALSE),
            0
        ) +
        IFERROR(
            VLOOKUP($A72, INDIRECT("AbrR!$A$6:$ZZ$1048576"), MATCH(AM$1, AbrR!$6:$6, 0), FALSE),
            0
        ) +
        IFERROR(
            VLOOKUP($A72, INDIRECT("MayR!$A$6:$ZZ$1048576"), MATCH(AM$1, MayR!$6:$6, 0), FALSE),
            0
        ) +
        IFERROR(
            VLOOKUP($A72, INDIRECT("JunR!$A$6:$ZZ$1048576"), MATCH(AM$1, JunR!$6:$6, 0), FALSE),
            0
        ) +
        IFERROR(
            VLOOKUP($A72, INDIRECT("JulR!$A$6:$ZZ$1048576"), MATCH(AM$1, JulR!$6:$6, 0), FALSE),
            0
        ) +
        IFERROR(
            VLOOKUP($A72, INDIRECT("AgoR!$A$6:$ZZ$1048576"), MATCH(AM$1, AgoR!$6:$6, 0), FALSE),
            0
        ) +
        IFERROR(
            VLOOKUP($A72, INDIRECT("SepR!$A$6:$ZZ$1048576"), MATCH(AM$1, SepR!$6:$6, 0), FALSE),
            0
        ) +
        IFERROR(
            VLOOKUP($A72, INDIRECT("OctR!$A$6:$ZZ$1048576"), MATCH(AM$1, OctR!$6:$6, 0), FALSE),
            0
        ) +
        IFERROR(
            VLOOKUP($A72, INDIRECT("NovR!$A$6:$ZZ$1048576"), MATCH(AM$1, NovR!$6:$6, 0), FALSE),
            0
        ) +
        IFERROR(
            VLOOKUP($A72, INDIRECT("DicR!$A$6:$ZZ$1048576"), MATCH(AM$1, DicR!$6:$6, 0), FALSE),
            0
        )
)</f>
        <v>0</v>
      </c>
      <c r="AN72" s="32">
        <f t="array" ref="AN72">SUM(
    IFERROR(
            VLOOKUP($A72, INDIRECT("EneR!$A$6:$ZZ$1048576"), MATCH(AN$1, EneR!$6:$6, 0), FALSE),
            0
        ) +
        IFERROR(
            VLOOKUP($A72, INDIRECT("FebR!$A$6:$ZZ$1048576"), MATCH(AN$1, FebR!$6:$6, 0), FALSE),
            0
        ) +
        IFERROR(
            VLOOKUP($A72, INDIRECT("MarR!$A$6:$ZZ$1048576"), MATCH(AN$1, MarR!$6:$6, 0), FALSE),
            0
        ) +
        IFERROR(
            VLOOKUP($A72, INDIRECT("AbrR!$A$6:$ZZ$1048576"), MATCH(AN$1, AbrR!$6:$6, 0), FALSE),
            0
        ) +
        IFERROR(
            VLOOKUP($A72, INDIRECT("MayR!$A$6:$ZZ$1048576"), MATCH(AN$1, MayR!$6:$6, 0), FALSE),
            0
        ) +
        IFERROR(
            VLOOKUP($A72, INDIRECT("JunR!$A$6:$ZZ$1048576"), MATCH(AN$1, JunR!$6:$6, 0), FALSE),
            0
        ) +
        IFERROR(
            VLOOKUP($A72, INDIRECT("JulR!$A$6:$ZZ$1048576"), MATCH(AN$1, JulR!$6:$6, 0), FALSE),
            0
        ) +
        IFERROR(
            VLOOKUP($A72, INDIRECT("AgoR!$A$6:$ZZ$1048576"), MATCH(AN$1, AgoR!$6:$6, 0), FALSE),
            0
        ) +
        IFERROR(
            VLOOKUP($A72, INDIRECT("SepR!$A$6:$ZZ$1048576"), MATCH(AN$1, SepR!$6:$6, 0), FALSE),
            0
        ) +
        IFERROR(
            VLOOKUP($A72, INDIRECT("OctR!$A$6:$ZZ$1048576"), MATCH(AN$1, OctR!$6:$6, 0), FALSE),
            0
        ) +
        IFERROR(
            VLOOKUP($A72, INDIRECT("NovR!$A$6:$ZZ$1048576"), MATCH(AN$1, NovR!$6:$6, 0), FALSE),
            0
        ) +
        IFERROR(
            VLOOKUP($A72, INDIRECT("DicR!$A$6:$ZZ$1048576"), MATCH(AN$1, DicR!$6:$6, 0), FALSE),
            0
        )
)</f>
        <v>0</v>
      </c>
      <c r="AO72" s="35">
        <f t="array" ref="AO72">SUM(
    IFERROR(
            VLOOKUP($A72, INDIRECT("EneR!$A$6:$ZZ$1048576"), MATCH(AO$1, EneR!$6:$6, 0), FALSE),
            0
        ) +
        IFERROR(
            VLOOKUP($A72, INDIRECT("FebR!$A$6:$ZZ$1048576"), MATCH(AO$1, FebR!$6:$6, 0), FALSE),
            0
        ) +
        IFERROR(
            VLOOKUP($A72, INDIRECT("MarR!$A$6:$ZZ$1048576"), MATCH(AO$1, MarR!$6:$6, 0), FALSE),
            0
        ) +
        IFERROR(
            VLOOKUP($A72, INDIRECT("AbrR!$A$6:$ZZ$1048576"), MATCH(AO$1, AbrR!$6:$6, 0), FALSE),
            0
        ) +
        IFERROR(
            VLOOKUP($A72, INDIRECT("MayR!$A$6:$ZZ$1048576"), MATCH(AO$1, MayR!$6:$6, 0), FALSE),
            0
        ) +
        IFERROR(
            VLOOKUP($A72, INDIRECT("JunR!$A$6:$ZZ$1048576"), MATCH(AO$1, JunR!$6:$6, 0), FALSE),
            0
        ) +
        IFERROR(
            VLOOKUP($A72, INDIRECT("JulR!$A$6:$ZZ$1048576"), MATCH(AO$1, JulR!$6:$6, 0), FALSE),
            0
        ) +
        IFERROR(
            VLOOKUP($A72, INDIRECT("AgoR!$A$6:$ZZ$1048576"), MATCH(AO$1, AgoR!$6:$6, 0), FALSE),
            0
        ) +
        IFERROR(
            VLOOKUP($A72, INDIRECT("SepR!$A$6:$ZZ$1048576"), MATCH(AO$1, SepR!$6:$6, 0), FALSE),
            0
        ) +
        IFERROR(
            VLOOKUP($A72, INDIRECT("OctR!$A$6:$ZZ$1048576"), MATCH(AO$1, OctR!$6:$6, 0), FALSE),
            0
        ) +
        IFERROR(
            VLOOKUP($A72, INDIRECT("NovR!$A$6:$ZZ$1048576"), MATCH(AO$1, NovR!$6:$6, 0), FALSE),
            0
        ) +
        IFERROR(
            VLOOKUP($A72, INDIRECT("DicR!$A$6:$ZZ$1048576"), MATCH(AO$1, DicR!$6:$6, 0), FALSE),
            0
        )
)</f>
        <v>0</v>
      </c>
      <c r="AP72" s="36">
        <f t="array" ref="AP72">SUM(
    IFERROR(
            VLOOKUP($A72, INDIRECT("EneR!$A$6:$ZZ$1048576"), MATCH(AP$1, EneR!$6:$6, 0), FALSE),
            0
        ) +
        IFERROR(
            VLOOKUP($A72, INDIRECT("FebR!$A$6:$ZZ$1048576"), MATCH(AP$1, FebR!$6:$6, 0), FALSE),
            0
        ) +
        IFERROR(
            VLOOKUP($A72, INDIRECT("MarR!$A$6:$ZZ$1048576"), MATCH(AP$1, MarR!$6:$6, 0), FALSE),
            0
        ) +
        IFERROR(
            VLOOKUP($A72, INDIRECT("AbrR!$A$6:$ZZ$1048576"), MATCH(AP$1, AbrR!$6:$6, 0), FALSE),
            0
        ) +
        IFERROR(
            VLOOKUP($A72, INDIRECT("MayR!$A$6:$ZZ$1048576"), MATCH(AP$1, MayR!$6:$6, 0), FALSE),
            0
        ) +
        IFERROR(
            VLOOKUP($A72, INDIRECT("JunR!$A$6:$ZZ$1048576"), MATCH(AP$1, JunR!$6:$6, 0), FALSE),
            0
        ) +
        IFERROR(
            VLOOKUP($A72, INDIRECT("JulR!$A$6:$ZZ$1048576"), MATCH(AP$1, JulR!$6:$6, 0), FALSE),
            0
        ) +
        IFERROR(
            VLOOKUP($A72, INDIRECT("AgoR!$A$6:$ZZ$1048576"), MATCH(AP$1, AgoR!$6:$6, 0), FALSE),
            0
        ) +
        IFERROR(
            VLOOKUP($A72, INDIRECT("SepR!$A$6:$ZZ$1048576"), MATCH(AP$1, SepR!$6:$6, 0), FALSE),
            0
        ) +
        IFERROR(
            VLOOKUP($A72, INDIRECT("OctR!$A$6:$ZZ$1048576"), MATCH(AP$1, OctR!$6:$6, 0), FALSE),
            0
        ) +
        IFERROR(
            VLOOKUP($A72, INDIRECT("NovR!$A$6:$ZZ$1048576"), MATCH(AP$1, NovR!$6:$6, 0), FALSE),
            0
        ) +
        IFERROR(
            VLOOKUP($A72, INDIRECT("DicR!$A$6:$ZZ$1048576"), MATCH(AP$1, DicR!$6:$6, 0), FALSE),
            0
        )
)</f>
        <v>0</v>
      </c>
      <c r="AQ72" s="35">
        <f t="array" ref="AQ72">SUM(
    IFERROR(
            VLOOKUP($A72, INDIRECT("EneR!$A$6:$ZZ$1048576"), MATCH(AQ$1, EneR!$6:$6, 0), FALSE),
            0
        ) +
        IFERROR(
            VLOOKUP($A72, INDIRECT("FebR!$A$6:$ZZ$1048576"), MATCH(AQ$1, FebR!$6:$6, 0), FALSE),
            0
        ) +
        IFERROR(
            VLOOKUP($A72, INDIRECT("MarR!$A$6:$ZZ$1048576"), MATCH(AQ$1, MarR!$6:$6, 0), FALSE),
            0
        ) +
        IFERROR(
            VLOOKUP($A72, INDIRECT("AbrR!$A$6:$ZZ$1048576"), MATCH(AQ$1, AbrR!$6:$6, 0), FALSE),
            0
        ) +
        IFERROR(
            VLOOKUP($A72, INDIRECT("MayR!$A$6:$ZZ$1048576"), MATCH(AQ$1, MayR!$6:$6, 0), FALSE),
            0
        ) +
        IFERROR(
            VLOOKUP($A72, INDIRECT("JunR!$A$6:$ZZ$1048576"), MATCH(AQ$1, JunR!$6:$6, 0), FALSE),
            0
        ) +
        IFERROR(
            VLOOKUP($A72, INDIRECT("JulR!$A$6:$ZZ$1048576"), MATCH(AQ$1, JulR!$6:$6, 0), FALSE),
            0
        ) +
        IFERROR(
            VLOOKUP($A72, INDIRECT("AgoR!$A$6:$ZZ$1048576"), MATCH(AQ$1, AgoR!$6:$6, 0), FALSE),
            0
        ) +
        IFERROR(
            VLOOKUP($A72, INDIRECT("SepR!$A$6:$ZZ$1048576"), MATCH(AQ$1, SepR!$6:$6, 0), FALSE),
            0
        ) +
        IFERROR(
            VLOOKUP($A72, INDIRECT("OctR!$A$6:$ZZ$1048576"), MATCH(AQ$1, OctR!$6:$6, 0), FALSE),
            0
        ) +
        IFERROR(
            VLOOKUP($A72, INDIRECT("NovR!$A$6:$ZZ$1048576"), MATCH(AQ$1, NovR!$6:$6, 0), FALSE),
            0
        ) +
        IFERROR(
            VLOOKUP($A72, INDIRECT("DicR!$A$6:$ZZ$1048576"), MATCH(AQ$1, DicR!$6:$6, 0), FALSE),
            0
        )
)</f>
        <v>0</v>
      </c>
      <c r="AR72" s="36">
        <f t="array" ref="AR72">SUM(
    IFERROR(
            VLOOKUP($A72, INDIRECT("EneR!$A$6:$ZZ$1048576"), MATCH(AR$1, EneR!$6:$6, 0), FALSE),
            0
        ) +
        IFERROR(
            VLOOKUP($A72, INDIRECT("FebR!$A$6:$ZZ$1048576"), MATCH(AR$1, FebR!$6:$6, 0), FALSE),
            0
        ) +
        IFERROR(
            VLOOKUP($A72, INDIRECT("MarR!$A$6:$ZZ$1048576"), MATCH(AR$1, MarR!$6:$6, 0), FALSE),
            0
        ) +
        IFERROR(
            VLOOKUP($A72, INDIRECT("AbrR!$A$6:$ZZ$1048576"), MATCH(AR$1, AbrR!$6:$6, 0), FALSE),
            0
        ) +
        IFERROR(
            VLOOKUP($A72, INDIRECT("MayR!$A$6:$ZZ$1048576"), MATCH(AR$1, MayR!$6:$6, 0), FALSE),
            0
        ) +
        IFERROR(
            VLOOKUP($A72, INDIRECT("JunR!$A$6:$ZZ$1048576"), MATCH(AR$1, JunR!$6:$6, 0), FALSE),
            0
        ) +
        IFERROR(
            VLOOKUP($A72, INDIRECT("JulR!$A$6:$ZZ$1048576"), MATCH(AR$1, JulR!$6:$6, 0), FALSE),
            0
        ) +
        IFERROR(
            VLOOKUP($A72, INDIRECT("AgoR!$A$6:$ZZ$1048576"), MATCH(AR$1, AgoR!$6:$6, 0), FALSE),
            0
        ) +
        IFERROR(
            VLOOKUP($A72, INDIRECT("SepR!$A$6:$ZZ$1048576"), MATCH(AR$1, SepR!$6:$6, 0), FALSE),
            0
        ) +
        IFERROR(
            VLOOKUP($A72, INDIRECT("OctR!$A$6:$ZZ$1048576"), MATCH(AR$1, OctR!$6:$6, 0), FALSE),
            0
        ) +
        IFERROR(
            VLOOKUP($A72, INDIRECT("NovR!$A$6:$ZZ$1048576"), MATCH(AR$1, NovR!$6:$6, 0), FALSE),
            0
        ) +
        IFERROR(
            VLOOKUP($A72, INDIRECT("DicR!$A$6:$ZZ$1048576"), MATCH(AR$1, DicR!$6:$6, 0), FALSE),
            0
        )
)</f>
        <v>0</v>
      </c>
      <c r="AS72" s="35">
        <f t="array" ref="AS72">SUM(
    IFERROR(
            VLOOKUP($A72, INDIRECT("EneR!$A$6:$ZZ$1048576"), MATCH(AS$1, EneR!$6:$6, 0), FALSE),
            0
        ) +
        IFERROR(
            VLOOKUP($A72, INDIRECT("FebR!$A$6:$ZZ$1048576"), MATCH(AS$1, FebR!$6:$6, 0), FALSE),
            0
        ) +
        IFERROR(
            VLOOKUP($A72, INDIRECT("MarR!$A$6:$ZZ$1048576"), MATCH(AS$1, MarR!$6:$6, 0), FALSE),
            0
        ) +
        IFERROR(
            VLOOKUP($A72, INDIRECT("AbrR!$A$6:$ZZ$1048576"), MATCH(AS$1, AbrR!$6:$6, 0), FALSE),
            0
        ) +
        IFERROR(
            VLOOKUP($A72, INDIRECT("MayR!$A$6:$ZZ$1048576"), MATCH(AS$1, MayR!$6:$6, 0), FALSE),
            0
        ) +
        IFERROR(
            VLOOKUP($A72, INDIRECT("JunR!$A$6:$ZZ$1048576"), MATCH(AS$1, JunR!$6:$6, 0), FALSE),
            0
        ) +
        IFERROR(
            VLOOKUP($A72, INDIRECT("JulR!$A$6:$ZZ$1048576"), MATCH(AS$1, JulR!$6:$6, 0), FALSE),
            0
        ) +
        IFERROR(
            VLOOKUP($A72, INDIRECT("AgoR!$A$6:$ZZ$1048576"), MATCH(AS$1, AgoR!$6:$6, 0), FALSE),
            0
        ) +
        IFERROR(
            VLOOKUP($A72, INDIRECT("SepR!$A$6:$ZZ$1048576"), MATCH(AS$1, SepR!$6:$6, 0), FALSE),
            0
        ) +
        IFERROR(
            VLOOKUP($A72, INDIRECT("OctR!$A$6:$ZZ$1048576"), MATCH(AS$1, OctR!$6:$6, 0), FALSE),
            0
        ) +
        IFERROR(
            VLOOKUP($A72, INDIRECT("NovR!$A$6:$ZZ$1048576"), MATCH(AS$1, NovR!$6:$6, 0), FALSE),
            0
        ) +
        IFERROR(
            VLOOKUP($A72, INDIRECT("DicR!$A$6:$ZZ$1048576"), MATCH(AS$1, DicR!$6:$6, 0), FALSE),
            0
        )
)</f>
        <v>0</v>
      </c>
      <c r="AT72" s="36">
        <f t="array" ref="AT72">SUM(
    IFERROR(
            VLOOKUP($A72, INDIRECT("EneR!$A$6:$ZZ$1048576"), MATCH(AT$1, EneR!$6:$6, 0), FALSE),
            0
        ) +
        IFERROR(
            VLOOKUP($A72, INDIRECT("FebR!$A$6:$ZZ$1048576"), MATCH(AT$1, FebR!$6:$6, 0), FALSE),
            0
        ) +
        IFERROR(
            VLOOKUP($A72, INDIRECT("MarR!$A$6:$ZZ$1048576"), MATCH(AT$1, MarR!$6:$6, 0), FALSE),
            0
        ) +
        IFERROR(
            VLOOKUP($A72, INDIRECT("AbrR!$A$6:$ZZ$1048576"), MATCH(AT$1, AbrR!$6:$6, 0), FALSE),
            0
        ) +
        IFERROR(
            VLOOKUP($A72, INDIRECT("MayR!$A$6:$ZZ$1048576"), MATCH(AT$1, MayR!$6:$6, 0), FALSE),
            0
        ) +
        IFERROR(
            VLOOKUP($A72, INDIRECT("JunR!$A$6:$ZZ$1048576"), MATCH(AT$1, JunR!$6:$6, 0), FALSE),
            0
        ) +
        IFERROR(
            VLOOKUP($A72, INDIRECT("JulR!$A$6:$ZZ$1048576"), MATCH(AT$1, JulR!$6:$6, 0), FALSE),
            0
        ) +
        IFERROR(
            VLOOKUP($A72, INDIRECT("AgoR!$A$6:$ZZ$1048576"), MATCH(AT$1, AgoR!$6:$6, 0), FALSE),
            0
        ) +
        IFERROR(
            VLOOKUP($A72, INDIRECT("SepR!$A$6:$ZZ$1048576"), MATCH(AT$1, SepR!$6:$6, 0), FALSE),
            0
        ) +
        IFERROR(
            VLOOKUP($A72, INDIRECT("OctR!$A$6:$ZZ$1048576"), MATCH(AT$1, OctR!$6:$6, 0), FALSE),
            0
        ) +
        IFERROR(
            VLOOKUP($A72, INDIRECT("NovR!$A$6:$ZZ$1048576"), MATCH(AT$1, NovR!$6:$6, 0), FALSE),
            0
        ) +
        IFERROR(
            VLOOKUP($A72, INDIRECT("DicR!$A$6:$ZZ$1048576"), MATCH(AT$1, DicR!$6:$6, 0), FALSE),
            0
        )
)</f>
        <v>0</v>
      </c>
      <c r="AU72" s="35">
        <f t="array" ref="AU72">SUM(
    IFERROR(
            VLOOKUP($A72, INDIRECT("EneR!$A$6:$ZZ$1048576"), MATCH(AU$1, EneR!$6:$6, 0), FALSE),
            0
        ) +
        IFERROR(
            VLOOKUP($A72, INDIRECT("FebR!$A$6:$ZZ$1048576"), MATCH(AU$1, FebR!$6:$6, 0), FALSE),
            0
        ) +
        IFERROR(
            VLOOKUP($A72, INDIRECT("MarR!$A$6:$ZZ$1048576"), MATCH(AU$1, MarR!$6:$6, 0), FALSE),
            0
        ) +
        IFERROR(
            VLOOKUP($A72, INDIRECT("AbrR!$A$6:$ZZ$1048576"), MATCH(AU$1, AbrR!$6:$6, 0), FALSE),
            0
        ) +
        IFERROR(
            VLOOKUP($A72, INDIRECT("MayR!$A$6:$ZZ$1048576"), MATCH(AU$1, MayR!$6:$6, 0), FALSE),
            0
        ) +
        IFERROR(
            VLOOKUP($A72, INDIRECT("JunR!$A$6:$ZZ$1048576"), MATCH(AU$1, JunR!$6:$6, 0), FALSE),
            0
        ) +
        IFERROR(
            VLOOKUP($A72, INDIRECT("JulR!$A$6:$ZZ$1048576"), MATCH(AU$1, JulR!$6:$6, 0), FALSE),
            0
        ) +
        IFERROR(
            VLOOKUP($A72, INDIRECT("AgoR!$A$6:$ZZ$1048576"), MATCH(AU$1, AgoR!$6:$6, 0), FALSE),
            0
        ) +
        IFERROR(
            VLOOKUP($A72, INDIRECT("SepR!$A$6:$ZZ$1048576"), MATCH(AU$1, SepR!$6:$6, 0), FALSE),
            0
        ) +
        IFERROR(
            VLOOKUP($A72, INDIRECT("OctR!$A$6:$ZZ$1048576"), MATCH(AU$1, OctR!$6:$6, 0), FALSE),
            0
        ) +
        IFERROR(
            VLOOKUP($A72, INDIRECT("NovR!$A$6:$ZZ$1048576"), MATCH(AU$1, NovR!$6:$6, 0), FALSE),
            0
        ) +
        IFERROR(
            VLOOKUP($A72, INDIRECT("DicR!$A$6:$ZZ$1048576"), MATCH(AU$1, DicR!$6:$6, 0), FALSE),
            0
        )
)</f>
        <v>0</v>
      </c>
      <c r="AV72" s="36">
        <f t="array" ref="AV72">SUM(
    IFERROR(
            VLOOKUP($A72, INDIRECT("EneR!$A$6:$ZZ$1048576"), MATCH(AV$1, EneR!$6:$6, 0), FALSE),
            0
        ) +
        IFERROR(
            VLOOKUP($A72, INDIRECT("FebR!$A$6:$ZZ$1048576"), MATCH(AV$1, FebR!$6:$6, 0), FALSE),
            0
        ) +
        IFERROR(
            VLOOKUP($A72, INDIRECT("MarR!$A$6:$ZZ$1048576"), MATCH(AV$1, MarR!$6:$6, 0), FALSE),
            0
        ) +
        IFERROR(
            VLOOKUP($A72, INDIRECT("AbrR!$A$6:$ZZ$1048576"), MATCH(AV$1, AbrR!$6:$6, 0), FALSE),
            0
        ) +
        IFERROR(
            VLOOKUP($A72, INDIRECT("MayR!$A$6:$ZZ$1048576"), MATCH(AV$1, MayR!$6:$6, 0), FALSE),
            0
        ) +
        IFERROR(
            VLOOKUP($A72, INDIRECT("JunR!$A$6:$ZZ$1048576"), MATCH(AV$1, JunR!$6:$6, 0), FALSE),
            0
        ) +
        IFERROR(
            VLOOKUP($A72, INDIRECT("JulR!$A$6:$ZZ$1048576"), MATCH(AV$1, JulR!$6:$6, 0), FALSE),
            0
        ) +
        IFERROR(
            VLOOKUP($A72, INDIRECT("AgoR!$A$6:$ZZ$1048576"), MATCH(AV$1, AgoR!$6:$6, 0), FALSE),
            0
        ) +
        IFERROR(
            VLOOKUP($A72, INDIRECT("SepR!$A$6:$ZZ$1048576"), MATCH(AV$1, SepR!$6:$6, 0), FALSE),
            0
        ) +
        IFERROR(
            VLOOKUP($A72, INDIRECT("OctR!$A$6:$ZZ$1048576"), MATCH(AV$1, OctR!$6:$6, 0), FALSE),
            0
        ) +
        IFERROR(
            VLOOKUP($A72, INDIRECT("NovR!$A$6:$ZZ$1048576"), MATCH(AV$1, NovR!$6:$6, 0), FALSE),
            0
        ) +
        IFERROR(
            VLOOKUP($A72, INDIRECT("DicR!$A$6:$ZZ$1048576"), MATCH(AV$1, DicR!$6:$6, 0), FALSE),
            0
        )
)</f>
        <v>0</v>
      </c>
      <c r="AW72" s="35">
        <f t="array" ref="AW72">SUM(
    IFERROR(
            VLOOKUP($A72, INDIRECT("EneR!$A$6:$ZZ$1048576"), MATCH(AW$1, EneR!$6:$6, 0), FALSE),
            0
        ) +
        IFERROR(
            VLOOKUP($A72, INDIRECT("FebR!$A$6:$ZZ$1048576"), MATCH(AW$1, FebR!$6:$6, 0), FALSE),
            0
        ) +
        IFERROR(
            VLOOKUP($A72, INDIRECT("MarR!$A$6:$ZZ$1048576"), MATCH(AW$1, MarR!$6:$6, 0), FALSE),
            0
        ) +
        IFERROR(
            VLOOKUP($A72, INDIRECT("AbrR!$A$6:$ZZ$1048576"), MATCH(AW$1, AbrR!$6:$6, 0), FALSE),
            0
        ) +
        IFERROR(
            VLOOKUP($A72, INDIRECT("MayR!$A$6:$ZZ$1048576"), MATCH(AW$1, MayR!$6:$6, 0), FALSE),
            0
        ) +
        IFERROR(
            VLOOKUP($A72, INDIRECT("JunR!$A$6:$ZZ$1048576"), MATCH(AW$1, JunR!$6:$6, 0), FALSE),
            0
        ) +
        IFERROR(
            VLOOKUP($A72, INDIRECT("JulR!$A$6:$ZZ$1048576"), MATCH(AW$1, JulR!$6:$6, 0), FALSE),
            0
        ) +
        IFERROR(
            VLOOKUP($A72, INDIRECT("AgoR!$A$6:$ZZ$1048576"), MATCH(AW$1, AgoR!$6:$6, 0), FALSE),
            0
        ) +
        IFERROR(
            VLOOKUP($A72, INDIRECT("SepR!$A$6:$ZZ$1048576"), MATCH(AW$1, SepR!$6:$6, 0), FALSE),
            0
        ) +
        IFERROR(
            VLOOKUP($A72, INDIRECT("OctR!$A$6:$ZZ$1048576"), MATCH(AW$1, OctR!$6:$6, 0), FALSE),
            0
        ) +
        IFERROR(
            VLOOKUP($A72, INDIRECT("NovR!$A$6:$ZZ$1048576"), MATCH(AW$1, NovR!$6:$6, 0), FALSE),
            0
        ) +
        IFERROR(
            VLOOKUP($A72, INDIRECT("DicR!$A$6:$ZZ$1048576"), MATCH(AW$1, DicR!$6:$6, 0), FALSE),
            0
        )
)</f>
        <v>0</v>
      </c>
      <c r="AX72" s="36">
        <f t="array" ref="AX72">SUM(
    IFERROR(
            VLOOKUP($A72, INDIRECT("EneR!$A$6:$ZZ$1048576"), MATCH(AX$1, EneR!$6:$6, 0), FALSE),
            0
        ) +
        IFERROR(
            VLOOKUP($A72, INDIRECT("FebR!$A$6:$ZZ$1048576"), MATCH(AX$1, FebR!$6:$6, 0), FALSE),
            0
        ) +
        IFERROR(
            VLOOKUP($A72, INDIRECT("MarR!$A$6:$ZZ$1048576"), MATCH(AX$1, MarR!$6:$6, 0), FALSE),
            0
        ) +
        IFERROR(
            VLOOKUP($A72, INDIRECT("AbrR!$A$6:$ZZ$1048576"), MATCH(AX$1, AbrR!$6:$6, 0), FALSE),
            0
        ) +
        IFERROR(
            VLOOKUP($A72, INDIRECT("MayR!$A$6:$ZZ$1048576"), MATCH(AX$1, MayR!$6:$6, 0), FALSE),
            0
        ) +
        IFERROR(
            VLOOKUP($A72, INDIRECT("JunR!$A$6:$ZZ$1048576"), MATCH(AX$1, JunR!$6:$6, 0), FALSE),
            0
        ) +
        IFERROR(
            VLOOKUP($A72, INDIRECT("JulR!$A$6:$ZZ$1048576"), MATCH(AX$1, JulR!$6:$6, 0), FALSE),
            0
        ) +
        IFERROR(
            VLOOKUP($A72, INDIRECT("AgoR!$A$6:$ZZ$1048576"), MATCH(AX$1, AgoR!$6:$6, 0), FALSE),
            0
        ) +
        IFERROR(
            VLOOKUP($A72, INDIRECT("SepR!$A$6:$ZZ$1048576"), MATCH(AX$1, SepR!$6:$6, 0), FALSE),
            0
        ) +
        IFERROR(
            VLOOKUP($A72, INDIRECT("OctR!$A$6:$ZZ$1048576"), MATCH(AX$1, OctR!$6:$6, 0), FALSE),
            0
        ) +
        IFERROR(
            VLOOKUP($A72, INDIRECT("NovR!$A$6:$ZZ$1048576"), MATCH(AX$1, NovR!$6:$6, 0), FALSE),
            0
        ) +
        IFERROR(
            VLOOKUP($A72, INDIRECT("DicR!$A$6:$ZZ$1048576"), MATCH(AX$1, DicR!$6:$6, 0), FALSE),
            0
        )
)</f>
        <v>0</v>
      </c>
      <c r="AY72" s="35">
        <f t="array" ref="AY72">SUM(
    IFERROR(
            VLOOKUP($A72, INDIRECT("EneR!$A$6:$ZZ$1048576"), MATCH(AY$1, EneR!$6:$6, 0), FALSE),
            0
        ) +
        IFERROR(
            VLOOKUP($A72, INDIRECT("FebR!$A$6:$ZZ$1048576"), MATCH(AY$1, FebR!$6:$6, 0), FALSE),
            0
        ) +
        IFERROR(
            VLOOKUP($A72, INDIRECT("MarR!$A$6:$ZZ$1048576"), MATCH(AY$1, MarR!$6:$6, 0), FALSE),
            0
        ) +
        IFERROR(
            VLOOKUP($A72, INDIRECT("AbrR!$A$6:$ZZ$1048576"), MATCH(AY$1, AbrR!$6:$6, 0), FALSE),
            0
        ) +
        IFERROR(
            VLOOKUP($A72, INDIRECT("MayR!$A$6:$ZZ$1048576"), MATCH(AY$1, MayR!$6:$6, 0), FALSE),
            0
        ) +
        IFERROR(
            VLOOKUP($A72, INDIRECT("JunR!$A$6:$ZZ$1048576"), MATCH(AY$1, JunR!$6:$6, 0), FALSE),
            0
        ) +
        IFERROR(
            VLOOKUP($A72, INDIRECT("JulR!$A$6:$ZZ$1048576"), MATCH(AY$1, JulR!$6:$6, 0), FALSE),
            0
        ) +
        IFERROR(
            VLOOKUP($A72, INDIRECT("AgoR!$A$6:$ZZ$1048576"), MATCH(AY$1, AgoR!$6:$6, 0), FALSE),
            0
        ) +
        IFERROR(
            VLOOKUP($A72, INDIRECT("SepR!$A$6:$ZZ$1048576"), MATCH(AY$1, SepR!$6:$6, 0), FALSE),
            0
        ) +
        IFERROR(
            VLOOKUP($A72, INDIRECT("OctR!$A$6:$ZZ$1048576"), MATCH(AY$1, OctR!$6:$6, 0), FALSE),
            0
        ) +
        IFERROR(
            VLOOKUP($A72, INDIRECT("NovR!$A$6:$ZZ$1048576"), MATCH(AY$1, NovR!$6:$6, 0), FALSE),
            0
        ) +
        IFERROR(
            VLOOKUP($A72, INDIRECT("DicR!$A$6:$ZZ$1048576"), MATCH(AY$1, DicR!$6:$6, 0), FALSE),
            0
        )
)</f>
        <v>0</v>
      </c>
      <c r="AZ72" s="35"/>
    </row>
    <row r="73" ht="15.75" customHeight="1">
      <c r="A73" s="12" t="str">
        <f>Menus!B34</f>
        <v/>
      </c>
      <c r="B73" s="32">
        <f t="shared" si="9"/>
        <v>0</v>
      </c>
      <c r="C73" s="33" t="str">
        <f t="shared" si="10"/>
        <v/>
      </c>
      <c r="D73" s="34">
        <f t="array" ref="D73">SUM(
    IFERROR(
            VLOOKUP($A73, INDIRECT("EneR!$A$6:$ZZ$1048576"), MATCH(D$1, EneR!$6:$6, 0), FALSE),
            0
        ) +
        IFERROR(
            VLOOKUP($A73, INDIRECT("FebR!$A$6:$ZZ$1048576"), MATCH(D$1, FebR!$6:$6, 0), FALSE),
            0
        ) +
        IFERROR(
            VLOOKUP($A73, INDIRECT("MarR!$A$6:$ZZ$1048576"), MATCH(D$1, MarR!$6:$6, 0), FALSE),
            0
        ) +
        IFERROR(
            VLOOKUP($A73, INDIRECT("AbrR!$A$6:$ZZ$1048576"), MATCH(D$1, AbrR!$6:$6, 0), FALSE),
            0
        ) +
        IFERROR(
            VLOOKUP($A73, INDIRECT("MayR!$A$6:$ZZ$1048576"), MATCH(D$1, MayR!$6:$6, 0), FALSE),
            0
        ) +
        IFERROR(
            VLOOKUP($A73, INDIRECT("JunR!$A$6:$ZZ$1048576"), MATCH(D$1, JunR!$6:$6, 0), FALSE),
            0
        ) +
        IFERROR(
            VLOOKUP($A73, INDIRECT("JulR!$A$6:$ZZ$1048576"), MATCH(D$1, JulR!$6:$6, 0), FALSE),
            0
        ) +
        IFERROR(
            VLOOKUP($A73, INDIRECT("AgoR!$A$6:$ZZ$1048576"), MATCH(D$1, AgoR!$6:$6, 0), FALSE),
            0
        ) +
        IFERROR(
            VLOOKUP($A73, INDIRECT("SepR!$A$6:$ZZ$1048576"), MATCH(D$1, SepR!$6:$6, 0), FALSE),
            0
        ) +
        IFERROR(
            VLOOKUP($A73, INDIRECT("OctR!$A$6:$ZZ$1048576"), MATCH(D$1, OctR!$6:$6, 0), FALSE),
            0
        ) +
        IFERROR(
            VLOOKUP($A73, INDIRECT("NovR!$A$6:$ZZ$1048576"), MATCH(D$1, NovR!$6:$6, 0), FALSE),
            0
        ) +
        IFERROR(
            VLOOKUP($A73, INDIRECT("DicR!$A$6:$ZZ$1048576"), MATCH(D$1, DicR!$6:$6, 0), FALSE),
            0
        )
)</f>
        <v>0</v>
      </c>
      <c r="E73" s="35">
        <f t="array" ref="E73">SUM(
    IFERROR(
            VLOOKUP($A73, INDIRECT("EneR!$A$6:$ZZ$1048576"), MATCH(E$1, EneR!$6:$6, 0), FALSE),
            0
        ) +
        IFERROR(
            VLOOKUP($A73, INDIRECT("FebR!$A$6:$ZZ$1048576"), MATCH(E$1, FebR!$6:$6, 0), FALSE),
            0
        ) +
        IFERROR(
            VLOOKUP($A73, INDIRECT("MarR!$A$6:$ZZ$1048576"), MATCH(E$1, MarR!$6:$6, 0), FALSE),
            0
        ) +
        IFERROR(
            VLOOKUP($A73, INDIRECT("AbrR!$A$6:$ZZ$1048576"), MATCH(E$1, AbrR!$6:$6, 0), FALSE),
            0
        ) +
        IFERROR(
            VLOOKUP($A73, INDIRECT("MayR!$A$6:$ZZ$1048576"), MATCH(E$1, MayR!$6:$6, 0), FALSE),
            0
        ) +
        IFERROR(
            VLOOKUP($A73, INDIRECT("JunR!$A$6:$ZZ$1048576"), MATCH(E$1, JunR!$6:$6, 0), FALSE),
            0
        ) +
        IFERROR(
            VLOOKUP($A73, INDIRECT("JulR!$A$6:$ZZ$1048576"), MATCH(E$1, JulR!$6:$6, 0), FALSE),
            0
        ) +
        IFERROR(
            VLOOKUP($A73, INDIRECT("AgoR!$A$6:$ZZ$1048576"), MATCH(E$1, AgoR!$6:$6, 0), FALSE),
            0
        ) +
        IFERROR(
            VLOOKUP($A73, INDIRECT("SepR!$A$6:$ZZ$1048576"), MATCH(E$1, SepR!$6:$6, 0), FALSE),
            0
        ) +
        IFERROR(
            VLOOKUP($A73, INDIRECT("OctR!$A$6:$ZZ$1048576"), MATCH(E$1, OctR!$6:$6, 0), FALSE),
            0
        ) +
        IFERROR(
            VLOOKUP($A73, INDIRECT("NovR!$A$6:$ZZ$1048576"), MATCH(E$1, NovR!$6:$6, 0), FALSE),
            0
        ) +
        IFERROR(
            VLOOKUP($A73, INDIRECT("DicR!$A$6:$ZZ$1048576"), MATCH(E$1, DicR!$6:$6, 0), FALSE),
            0
        )
)</f>
        <v>0</v>
      </c>
      <c r="F73" s="32">
        <f t="array" ref="F73">SUM(
    IFERROR(
            VLOOKUP($A73, INDIRECT("EneR!$A$6:$ZZ$1048576"), MATCH(F$1, EneR!$6:$6, 0), FALSE),
            0
        ) +
        IFERROR(
            VLOOKUP($A73, INDIRECT("FebR!$A$6:$ZZ$1048576"), MATCH(F$1, FebR!$6:$6, 0), FALSE),
            0
        ) +
        IFERROR(
            VLOOKUP($A73, INDIRECT("MarR!$A$6:$ZZ$1048576"), MATCH(F$1, MarR!$6:$6, 0), FALSE),
            0
        ) +
        IFERROR(
            VLOOKUP($A73, INDIRECT("AbrR!$A$6:$ZZ$1048576"), MATCH(F$1, AbrR!$6:$6, 0), FALSE),
            0
        ) +
        IFERROR(
            VLOOKUP($A73, INDIRECT("MayR!$A$6:$ZZ$1048576"), MATCH(F$1, MayR!$6:$6, 0), FALSE),
            0
        ) +
        IFERROR(
            VLOOKUP($A73, INDIRECT("JunR!$A$6:$ZZ$1048576"), MATCH(F$1, JunR!$6:$6, 0), FALSE),
            0
        ) +
        IFERROR(
            VLOOKUP($A73, INDIRECT("JulR!$A$6:$ZZ$1048576"), MATCH(F$1, JulR!$6:$6, 0), FALSE),
            0
        ) +
        IFERROR(
            VLOOKUP($A73, INDIRECT("AgoR!$A$6:$ZZ$1048576"), MATCH(F$1, AgoR!$6:$6, 0), FALSE),
            0
        ) +
        IFERROR(
            VLOOKUP($A73, INDIRECT("SepR!$A$6:$ZZ$1048576"), MATCH(F$1, SepR!$6:$6, 0), FALSE),
            0
        ) +
        IFERROR(
            VLOOKUP($A73, INDIRECT("OctR!$A$6:$ZZ$1048576"), MATCH(F$1, OctR!$6:$6, 0), FALSE),
            0
        ) +
        IFERROR(
            VLOOKUP($A73, INDIRECT("NovR!$A$6:$ZZ$1048576"), MATCH(F$1, NovR!$6:$6, 0), FALSE),
            0
        ) +
        IFERROR(
            VLOOKUP($A73, INDIRECT("DicR!$A$6:$ZZ$1048576"), MATCH(F$1, DicR!$6:$6, 0), FALSE),
            0
        )
)</f>
        <v>0</v>
      </c>
      <c r="G73" s="35">
        <f t="array" ref="G73">SUM(
    IFERROR(
            VLOOKUP($A73, INDIRECT("EneR!$A$6:$ZZ$1048576"), MATCH(G$1, EneR!$6:$6, 0), FALSE),
            0
        ) +
        IFERROR(
            VLOOKUP($A73, INDIRECT("FebR!$A$6:$ZZ$1048576"), MATCH(G$1, FebR!$6:$6, 0), FALSE),
            0
        ) +
        IFERROR(
            VLOOKUP($A73, INDIRECT("MarR!$A$6:$ZZ$1048576"), MATCH(G$1, MarR!$6:$6, 0), FALSE),
            0
        ) +
        IFERROR(
            VLOOKUP($A73, INDIRECT("AbrR!$A$6:$ZZ$1048576"), MATCH(G$1, AbrR!$6:$6, 0), FALSE),
            0
        ) +
        IFERROR(
            VLOOKUP($A73, INDIRECT("MayR!$A$6:$ZZ$1048576"), MATCH(G$1, MayR!$6:$6, 0), FALSE),
            0
        ) +
        IFERROR(
            VLOOKUP($A73, INDIRECT("JunR!$A$6:$ZZ$1048576"), MATCH(G$1, JunR!$6:$6, 0), FALSE),
            0
        ) +
        IFERROR(
            VLOOKUP($A73, INDIRECT("JulR!$A$6:$ZZ$1048576"), MATCH(G$1, JulR!$6:$6, 0), FALSE),
            0
        ) +
        IFERROR(
            VLOOKUP($A73, INDIRECT("AgoR!$A$6:$ZZ$1048576"), MATCH(G$1, AgoR!$6:$6, 0), FALSE),
            0
        ) +
        IFERROR(
            VLOOKUP($A73, INDIRECT("SepR!$A$6:$ZZ$1048576"), MATCH(G$1, SepR!$6:$6, 0), FALSE),
            0
        ) +
        IFERROR(
            VLOOKUP($A73, INDIRECT("OctR!$A$6:$ZZ$1048576"), MATCH(G$1, OctR!$6:$6, 0), FALSE),
            0
        ) +
        IFERROR(
            VLOOKUP($A73, INDIRECT("NovR!$A$6:$ZZ$1048576"), MATCH(G$1, NovR!$6:$6, 0), FALSE),
            0
        ) +
        IFERROR(
            VLOOKUP($A73, INDIRECT("DicR!$A$6:$ZZ$1048576"), MATCH(G$1, DicR!$6:$6, 0), FALSE),
            0
        )
)</f>
        <v>0</v>
      </c>
      <c r="H73" s="32">
        <f t="array" ref="H73">SUM(
    IFERROR(
            VLOOKUP($A73, INDIRECT("EneR!$A$6:$ZZ$1048576"), MATCH(H$1, EneR!$6:$6, 0), FALSE),
            0
        ) +
        IFERROR(
            VLOOKUP($A73, INDIRECT("FebR!$A$6:$ZZ$1048576"), MATCH(H$1, FebR!$6:$6, 0), FALSE),
            0
        ) +
        IFERROR(
            VLOOKUP($A73, INDIRECT("MarR!$A$6:$ZZ$1048576"), MATCH(H$1, MarR!$6:$6, 0), FALSE),
            0
        ) +
        IFERROR(
            VLOOKUP($A73, INDIRECT("AbrR!$A$6:$ZZ$1048576"), MATCH(H$1, AbrR!$6:$6, 0), FALSE),
            0
        ) +
        IFERROR(
            VLOOKUP($A73, INDIRECT("MayR!$A$6:$ZZ$1048576"), MATCH(H$1, MayR!$6:$6, 0), FALSE),
            0
        ) +
        IFERROR(
            VLOOKUP($A73, INDIRECT("JunR!$A$6:$ZZ$1048576"), MATCH(H$1, JunR!$6:$6, 0), FALSE),
            0
        ) +
        IFERROR(
            VLOOKUP($A73, INDIRECT("JulR!$A$6:$ZZ$1048576"), MATCH(H$1, JulR!$6:$6, 0), FALSE),
            0
        ) +
        IFERROR(
            VLOOKUP($A73, INDIRECT("AgoR!$A$6:$ZZ$1048576"), MATCH(H$1, AgoR!$6:$6, 0), FALSE),
            0
        ) +
        IFERROR(
            VLOOKUP($A73, INDIRECT("SepR!$A$6:$ZZ$1048576"), MATCH(H$1, SepR!$6:$6, 0), FALSE),
            0
        ) +
        IFERROR(
            VLOOKUP($A73, INDIRECT("OctR!$A$6:$ZZ$1048576"), MATCH(H$1, OctR!$6:$6, 0), FALSE),
            0
        ) +
        IFERROR(
            VLOOKUP($A73, INDIRECT("NovR!$A$6:$ZZ$1048576"), MATCH(H$1, NovR!$6:$6, 0), FALSE),
            0
        ) +
        IFERROR(
            VLOOKUP($A73, INDIRECT("DicR!$A$6:$ZZ$1048576"), MATCH(H$1, DicR!$6:$6, 0), FALSE),
            0
        )
)</f>
        <v>0</v>
      </c>
      <c r="I73" s="35">
        <f t="array" ref="I73">SUM(
    IFERROR(
            VLOOKUP($A73, INDIRECT("EneR!$A$6:$ZZ$1048576"), MATCH(I$1, EneR!$6:$6, 0), FALSE),
            0
        ) +
        IFERROR(
            VLOOKUP($A73, INDIRECT("FebR!$A$6:$ZZ$1048576"), MATCH(I$1, FebR!$6:$6, 0), FALSE),
            0
        ) +
        IFERROR(
            VLOOKUP($A73, INDIRECT("MarR!$A$6:$ZZ$1048576"), MATCH(I$1, MarR!$6:$6, 0), FALSE),
            0
        ) +
        IFERROR(
            VLOOKUP($A73, INDIRECT("AbrR!$A$6:$ZZ$1048576"), MATCH(I$1, AbrR!$6:$6, 0), FALSE),
            0
        ) +
        IFERROR(
            VLOOKUP($A73, INDIRECT("MayR!$A$6:$ZZ$1048576"), MATCH(I$1, MayR!$6:$6, 0), FALSE),
            0
        ) +
        IFERROR(
            VLOOKUP($A73, INDIRECT("JunR!$A$6:$ZZ$1048576"), MATCH(I$1, JunR!$6:$6, 0), FALSE),
            0
        ) +
        IFERROR(
            VLOOKUP($A73, INDIRECT("JulR!$A$6:$ZZ$1048576"), MATCH(I$1, JulR!$6:$6, 0), FALSE),
            0
        ) +
        IFERROR(
            VLOOKUP($A73, INDIRECT("AgoR!$A$6:$ZZ$1048576"), MATCH(I$1, AgoR!$6:$6, 0), FALSE),
            0
        ) +
        IFERROR(
            VLOOKUP($A73, INDIRECT("SepR!$A$6:$ZZ$1048576"), MATCH(I$1, SepR!$6:$6, 0), FALSE),
            0
        ) +
        IFERROR(
            VLOOKUP($A73, INDIRECT("OctR!$A$6:$ZZ$1048576"), MATCH(I$1, OctR!$6:$6, 0), FALSE),
            0
        ) +
        IFERROR(
            VLOOKUP($A73, INDIRECT("NovR!$A$6:$ZZ$1048576"), MATCH(I$1, NovR!$6:$6, 0), FALSE),
            0
        ) +
        IFERROR(
            VLOOKUP($A73, INDIRECT("DicR!$A$6:$ZZ$1048576"), MATCH(I$1, DicR!$6:$6, 0), FALSE),
            0
        )
)</f>
        <v>0</v>
      </c>
      <c r="J73" s="32">
        <f t="array" ref="J73">SUM(
    IFERROR(
            VLOOKUP($A73, INDIRECT("EneR!$A$6:$ZZ$1048576"), MATCH(J$1, EneR!$6:$6, 0), FALSE),
            0
        ) +
        IFERROR(
            VLOOKUP($A73, INDIRECT("FebR!$A$6:$ZZ$1048576"), MATCH(J$1, FebR!$6:$6, 0), FALSE),
            0
        ) +
        IFERROR(
            VLOOKUP($A73, INDIRECT("MarR!$A$6:$ZZ$1048576"), MATCH(J$1, MarR!$6:$6, 0), FALSE),
            0
        ) +
        IFERROR(
            VLOOKUP($A73, INDIRECT("AbrR!$A$6:$ZZ$1048576"), MATCH(J$1, AbrR!$6:$6, 0), FALSE),
            0
        ) +
        IFERROR(
            VLOOKUP($A73, INDIRECT("MayR!$A$6:$ZZ$1048576"), MATCH(J$1, MayR!$6:$6, 0), FALSE),
            0
        ) +
        IFERROR(
            VLOOKUP($A73, INDIRECT("JunR!$A$6:$ZZ$1048576"), MATCH(J$1, JunR!$6:$6, 0), FALSE),
            0
        ) +
        IFERROR(
            VLOOKUP($A73, INDIRECT("JulR!$A$6:$ZZ$1048576"), MATCH(J$1, JulR!$6:$6, 0), FALSE),
            0
        ) +
        IFERROR(
            VLOOKUP($A73, INDIRECT("AgoR!$A$6:$ZZ$1048576"), MATCH(J$1, AgoR!$6:$6, 0), FALSE),
            0
        ) +
        IFERROR(
            VLOOKUP($A73, INDIRECT("SepR!$A$6:$ZZ$1048576"), MATCH(J$1, SepR!$6:$6, 0), FALSE),
            0
        ) +
        IFERROR(
            VLOOKUP($A73, INDIRECT("OctR!$A$6:$ZZ$1048576"), MATCH(J$1, OctR!$6:$6, 0), FALSE),
            0
        ) +
        IFERROR(
            VLOOKUP($A73, INDIRECT("NovR!$A$6:$ZZ$1048576"), MATCH(J$1, NovR!$6:$6, 0), FALSE),
            0
        ) +
        IFERROR(
            VLOOKUP($A73, INDIRECT("DicR!$A$6:$ZZ$1048576"), MATCH(J$1, DicR!$6:$6, 0), FALSE),
            0
        )
)</f>
        <v>0</v>
      </c>
      <c r="K73" s="35">
        <f t="array" ref="K73">SUM(
    IFERROR(
            VLOOKUP($A73, INDIRECT("EneR!$A$6:$ZZ$1048576"), MATCH(K$1, EneR!$6:$6, 0), FALSE),
            0
        ) +
        IFERROR(
            VLOOKUP($A73, INDIRECT("FebR!$A$6:$ZZ$1048576"), MATCH(K$1, FebR!$6:$6, 0), FALSE),
            0
        ) +
        IFERROR(
            VLOOKUP($A73, INDIRECT("MarR!$A$6:$ZZ$1048576"), MATCH(K$1, MarR!$6:$6, 0), FALSE),
            0
        ) +
        IFERROR(
            VLOOKUP($A73, INDIRECT("AbrR!$A$6:$ZZ$1048576"), MATCH(K$1, AbrR!$6:$6, 0), FALSE),
            0
        ) +
        IFERROR(
            VLOOKUP($A73, INDIRECT("MayR!$A$6:$ZZ$1048576"), MATCH(K$1, MayR!$6:$6, 0), FALSE),
            0
        ) +
        IFERROR(
            VLOOKUP($A73, INDIRECT("JunR!$A$6:$ZZ$1048576"), MATCH(K$1, JunR!$6:$6, 0), FALSE),
            0
        ) +
        IFERROR(
            VLOOKUP($A73, INDIRECT("JulR!$A$6:$ZZ$1048576"), MATCH(K$1, JulR!$6:$6, 0), FALSE),
            0
        ) +
        IFERROR(
            VLOOKUP($A73, INDIRECT("AgoR!$A$6:$ZZ$1048576"), MATCH(K$1, AgoR!$6:$6, 0), FALSE),
            0
        ) +
        IFERROR(
            VLOOKUP($A73, INDIRECT("SepR!$A$6:$ZZ$1048576"), MATCH(K$1, SepR!$6:$6, 0), FALSE),
            0
        ) +
        IFERROR(
            VLOOKUP($A73, INDIRECT("OctR!$A$6:$ZZ$1048576"), MATCH(K$1, OctR!$6:$6, 0), FALSE),
            0
        ) +
        IFERROR(
            VLOOKUP($A73, INDIRECT("NovR!$A$6:$ZZ$1048576"), MATCH(K$1, NovR!$6:$6, 0), FALSE),
            0
        ) +
        IFERROR(
            VLOOKUP($A73, INDIRECT("DicR!$A$6:$ZZ$1048576"), MATCH(K$1, DicR!$6:$6, 0), FALSE),
            0
        )
)</f>
        <v>0</v>
      </c>
      <c r="L73" s="32">
        <f t="array" ref="L73">SUM(
    IFERROR(
            VLOOKUP($A73, INDIRECT("EneR!$A$6:$ZZ$1048576"), MATCH(L$1, EneR!$6:$6, 0), FALSE),
            0
        ) +
        IFERROR(
            VLOOKUP($A73, INDIRECT("FebR!$A$6:$ZZ$1048576"), MATCH(L$1, FebR!$6:$6, 0), FALSE),
            0
        ) +
        IFERROR(
            VLOOKUP($A73, INDIRECT("MarR!$A$6:$ZZ$1048576"), MATCH(L$1, MarR!$6:$6, 0), FALSE),
            0
        ) +
        IFERROR(
            VLOOKUP($A73, INDIRECT("AbrR!$A$6:$ZZ$1048576"), MATCH(L$1, AbrR!$6:$6, 0), FALSE),
            0
        ) +
        IFERROR(
            VLOOKUP($A73, INDIRECT("MayR!$A$6:$ZZ$1048576"), MATCH(L$1, MayR!$6:$6, 0), FALSE),
            0
        ) +
        IFERROR(
            VLOOKUP($A73, INDIRECT("JunR!$A$6:$ZZ$1048576"), MATCH(L$1, JunR!$6:$6, 0), FALSE),
            0
        ) +
        IFERROR(
            VLOOKUP($A73, INDIRECT("JulR!$A$6:$ZZ$1048576"), MATCH(L$1, JulR!$6:$6, 0), FALSE),
            0
        ) +
        IFERROR(
            VLOOKUP($A73, INDIRECT("AgoR!$A$6:$ZZ$1048576"), MATCH(L$1, AgoR!$6:$6, 0), FALSE),
            0
        ) +
        IFERROR(
            VLOOKUP($A73, INDIRECT("SepR!$A$6:$ZZ$1048576"), MATCH(L$1, SepR!$6:$6, 0), FALSE),
            0
        ) +
        IFERROR(
            VLOOKUP($A73, INDIRECT("OctR!$A$6:$ZZ$1048576"), MATCH(L$1, OctR!$6:$6, 0), FALSE),
            0
        ) +
        IFERROR(
            VLOOKUP($A73, INDIRECT("NovR!$A$6:$ZZ$1048576"), MATCH(L$1, NovR!$6:$6, 0), FALSE),
            0
        ) +
        IFERROR(
            VLOOKUP($A73, INDIRECT("DicR!$A$6:$ZZ$1048576"), MATCH(L$1, DicR!$6:$6, 0), FALSE),
            0
        )
)</f>
        <v>0</v>
      </c>
      <c r="M73" s="35">
        <f t="array" ref="M73">SUM(
    IFERROR(
            VLOOKUP($A73, INDIRECT("EneR!$A$6:$ZZ$1048576"), MATCH(M$1, EneR!$6:$6, 0), FALSE),
            0
        ) +
        IFERROR(
            VLOOKUP($A73, INDIRECT("FebR!$A$6:$ZZ$1048576"), MATCH(M$1, FebR!$6:$6, 0), FALSE),
            0
        ) +
        IFERROR(
            VLOOKUP($A73, INDIRECT("MarR!$A$6:$ZZ$1048576"), MATCH(M$1, MarR!$6:$6, 0), FALSE),
            0
        ) +
        IFERROR(
            VLOOKUP($A73, INDIRECT("AbrR!$A$6:$ZZ$1048576"), MATCH(M$1, AbrR!$6:$6, 0), FALSE),
            0
        ) +
        IFERROR(
            VLOOKUP($A73, INDIRECT("MayR!$A$6:$ZZ$1048576"), MATCH(M$1, MayR!$6:$6, 0), FALSE),
            0
        ) +
        IFERROR(
            VLOOKUP($A73, INDIRECT("JunR!$A$6:$ZZ$1048576"), MATCH(M$1, JunR!$6:$6, 0), FALSE),
            0
        ) +
        IFERROR(
            VLOOKUP($A73, INDIRECT("JulR!$A$6:$ZZ$1048576"), MATCH(M$1, JulR!$6:$6, 0), FALSE),
            0
        ) +
        IFERROR(
            VLOOKUP($A73, INDIRECT("AgoR!$A$6:$ZZ$1048576"), MATCH(M$1, AgoR!$6:$6, 0), FALSE),
            0
        ) +
        IFERROR(
            VLOOKUP($A73, INDIRECT("SepR!$A$6:$ZZ$1048576"), MATCH(M$1, SepR!$6:$6, 0), FALSE),
            0
        ) +
        IFERROR(
            VLOOKUP($A73, INDIRECT("OctR!$A$6:$ZZ$1048576"), MATCH(M$1, OctR!$6:$6, 0), FALSE),
            0
        ) +
        IFERROR(
            VLOOKUP($A73, INDIRECT("NovR!$A$6:$ZZ$1048576"), MATCH(M$1, NovR!$6:$6, 0), FALSE),
            0
        ) +
        IFERROR(
            VLOOKUP($A73, INDIRECT("DicR!$A$6:$ZZ$1048576"), MATCH(M$1, DicR!$6:$6, 0), FALSE),
            0
        )
)</f>
        <v>0</v>
      </c>
      <c r="N73" s="32">
        <f t="array" ref="N73">SUM(
    IFERROR(
            VLOOKUP($A73, INDIRECT("EneR!$A$6:$ZZ$1048576"), MATCH(N$1, EneR!$6:$6, 0), FALSE),
            0
        ) +
        IFERROR(
            VLOOKUP($A73, INDIRECT("FebR!$A$6:$ZZ$1048576"), MATCH(N$1, FebR!$6:$6, 0), FALSE),
            0
        ) +
        IFERROR(
            VLOOKUP($A73, INDIRECT("MarR!$A$6:$ZZ$1048576"), MATCH(N$1, MarR!$6:$6, 0), FALSE),
            0
        ) +
        IFERROR(
            VLOOKUP($A73, INDIRECT("AbrR!$A$6:$ZZ$1048576"), MATCH(N$1, AbrR!$6:$6, 0), FALSE),
            0
        ) +
        IFERROR(
            VLOOKUP($A73, INDIRECT("MayR!$A$6:$ZZ$1048576"), MATCH(N$1, MayR!$6:$6, 0), FALSE),
            0
        ) +
        IFERROR(
            VLOOKUP($A73, INDIRECT("JunR!$A$6:$ZZ$1048576"), MATCH(N$1, JunR!$6:$6, 0), FALSE),
            0
        ) +
        IFERROR(
            VLOOKUP($A73, INDIRECT("JulR!$A$6:$ZZ$1048576"), MATCH(N$1, JulR!$6:$6, 0), FALSE),
            0
        ) +
        IFERROR(
            VLOOKUP($A73, INDIRECT("AgoR!$A$6:$ZZ$1048576"), MATCH(N$1, AgoR!$6:$6, 0), FALSE),
            0
        ) +
        IFERROR(
            VLOOKUP($A73, INDIRECT("SepR!$A$6:$ZZ$1048576"), MATCH(N$1, SepR!$6:$6, 0), FALSE),
            0
        ) +
        IFERROR(
            VLOOKUP($A73, INDIRECT("OctR!$A$6:$ZZ$1048576"), MATCH(N$1, OctR!$6:$6, 0), FALSE),
            0
        ) +
        IFERROR(
            VLOOKUP($A73, INDIRECT("NovR!$A$6:$ZZ$1048576"), MATCH(N$1, NovR!$6:$6, 0), FALSE),
            0
        ) +
        IFERROR(
            VLOOKUP($A73, INDIRECT("DicR!$A$6:$ZZ$1048576"), MATCH(N$1, DicR!$6:$6, 0), FALSE),
            0
        )
)</f>
        <v>0</v>
      </c>
      <c r="O73" s="35">
        <f t="array" ref="O73">SUM(
    IFERROR(
            VLOOKUP($A73, INDIRECT("EneR!$A$6:$ZZ$1048576"), MATCH(O$1, EneR!$6:$6, 0), FALSE),
            0
        ) +
        IFERROR(
            VLOOKUP($A73, INDIRECT("FebR!$A$6:$ZZ$1048576"), MATCH(O$1, FebR!$6:$6, 0), FALSE),
            0
        ) +
        IFERROR(
            VLOOKUP($A73, INDIRECT("MarR!$A$6:$ZZ$1048576"), MATCH(O$1, MarR!$6:$6, 0), FALSE),
            0
        ) +
        IFERROR(
            VLOOKUP($A73, INDIRECT("AbrR!$A$6:$ZZ$1048576"), MATCH(O$1, AbrR!$6:$6, 0), FALSE),
            0
        ) +
        IFERROR(
            VLOOKUP($A73, INDIRECT("MayR!$A$6:$ZZ$1048576"), MATCH(O$1, MayR!$6:$6, 0), FALSE),
            0
        ) +
        IFERROR(
            VLOOKUP($A73, INDIRECT("JunR!$A$6:$ZZ$1048576"), MATCH(O$1, JunR!$6:$6, 0), FALSE),
            0
        ) +
        IFERROR(
            VLOOKUP($A73, INDIRECT("JulR!$A$6:$ZZ$1048576"), MATCH(O$1, JulR!$6:$6, 0), FALSE),
            0
        ) +
        IFERROR(
            VLOOKUP($A73, INDIRECT("AgoR!$A$6:$ZZ$1048576"), MATCH(O$1, AgoR!$6:$6, 0), FALSE),
            0
        ) +
        IFERROR(
            VLOOKUP($A73, INDIRECT("SepR!$A$6:$ZZ$1048576"), MATCH(O$1, SepR!$6:$6, 0), FALSE),
            0
        ) +
        IFERROR(
            VLOOKUP($A73, INDIRECT("OctR!$A$6:$ZZ$1048576"), MATCH(O$1, OctR!$6:$6, 0), FALSE),
            0
        ) +
        IFERROR(
            VLOOKUP($A73, INDIRECT("NovR!$A$6:$ZZ$1048576"), MATCH(O$1, NovR!$6:$6, 0), FALSE),
            0
        ) +
        IFERROR(
            VLOOKUP($A73, INDIRECT("DicR!$A$6:$ZZ$1048576"), MATCH(O$1, DicR!$6:$6, 0), FALSE),
            0
        )
)</f>
        <v>0</v>
      </c>
      <c r="P73" s="32">
        <f t="array" ref="P73">SUM(
    IFERROR(
            VLOOKUP($A73, INDIRECT("EneR!$A$6:$ZZ$1048576"), MATCH(P$1, EneR!$6:$6, 0), FALSE),
            0
        ) +
        IFERROR(
            VLOOKUP($A73, INDIRECT("FebR!$A$6:$ZZ$1048576"), MATCH(P$1, FebR!$6:$6, 0), FALSE),
            0
        ) +
        IFERROR(
            VLOOKUP($A73, INDIRECT("MarR!$A$6:$ZZ$1048576"), MATCH(P$1, MarR!$6:$6, 0), FALSE),
            0
        ) +
        IFERROR(
            VLOOKUP($A73, INDIRECT("AbrR!$A$6:$ZZ$1048576"), MATCH(P$1, AbrR!$6:$6, 0), FALSE),
            0
        ) +
        IFERROR(
            VLOOKUP($A73, INDIRECT("MayR!$A$6:$ZZ$1048576"), MATCH(P$1, MayR!$6:$6, 0), FALSE),
            0
        ) +
        IFERROR(
            VLOOKUP($A73, INDIRECT("JunR!$A$6:$ZZ$1048576"), MATCH(P$1, JunR!$6:$6, 0), FALSE),
            0
        ) +
        IFERROR(
            VLOOKUP($A73, INDIRECT("JulR!$A$6:$ZZ$1048576"), MATCH(P$1, JulR!$6:$6, 0), FALSE),
            0
        ) +
        IFERROR(
            VLOOKUP($A73, INDIRECT("AgoR!$A$6:$ZZ$1048576"), MATCH(P$1, AgoR!$6:$6, 0), FALSE),
            0
        ) +
        IFERROR(
            VLOOKUP($A73, INDIRECT("SepR!$A$6:$ZZ$1048576"), MATCH(P$1, SepR!$6:$6, 0), FALSE),
            0
        ) +
        IFERROR(
            VLOOKUP($A73, INDIRECT("OctR!$A$6:$ZZ$1048576"), MATCH(P$1, OctR!$6:$6, 0), FALSE),
            0
        ) +
        IFERROR(
            VLOOKUP($A73, INDIRECT("NovR!$A$6:$ZZ$1048576"), MATCH(P$1, NovR!$6:$6, 0), FALSE),
            0
        ) +
        IFERROR(
            VLOOKUP($A73, INDIRECT("DicR!$A$6:$ZZ$1048576"), MATCH(P$1, DicR!$6:$6, 0), FALSE),
            0
        )
)</f>
        <v>0</v>
      </c>
      <c r="Q73" s="35">
        <f t="array" ref="Q73">SUM(
    IFERROR(
            VLOOKUP($A73, INDIRECT("EneR!$A$6:$ZZ$1048576"), MATCH(Q$1, EneR!$6:$6, 0), FALSE),
            0
        ) +
        IFERROR(
            VLOOKUP($A73, INDIRECT("FebR!$A$6:$ZZ$1048576"), MATCH(Q$1, FebR!$6:$6, 0), FALSE),
            0
        ) +
        IFERROR(
            VLOOKUP($A73, INDIRECT("MarR!$A$6:$ZZ$1048576"), MATCH(Q$1, MarR!$6:$6, 0), FALSE),
            0
        ) +
        IFERROR(
            VLOOKUP($A73, INDIRECT("AbrR!$A$6:$ZZ$1048576"), MATCH(Q$1, AbrR!$6:$6, 0), FALSE),
            0
        ) +
        IFERROR(
            VLOOKUP($A73, INDIRECT("MayR!$A$6:$ZZ$1048576"), MATCH(Q$1, MayR!$6:$6, 0), FALSE),
            0
        ) +
        IFERROR(
            VLOOKUP($A73, INDIRECT("JunR!$A$6:$ZZ$1048576"), MATCH(Q$1, JunR!$6:$6, 0), FALSE),
            0
        ) +
        IFERROR(
            VLOOKUP($A73, INDIRECT("JulR!$A$6:$ZZ$1048576"), MATCH(Q$1, JulR!$6:$6, 0), FALSE),
            0
        ) +
        IFERROR(
            VLOOKUP($A73, INDIRECT("AgoR!$A$6:$ZZ$1048576"), MATCH(Q$1, AgoR!$6:$6, 0), FALSE),
            0
        ) +
        IFERROR(
            VLOOKUP($A73, INDIRECT("SepR!$A$6:$ZZ$1048576"), MATCH(Q$1, SepR!$6:$6, 0), FALSE),
            0
        ) +
        IFERROR(
            VLOOKUP($A73, INDIRECT("OctR!$A$6:$ZZ$1048576"), MATCH(Q$1, OctR!$6:$6, 0), FALSE),
            0
        ) +
        IFERROR(
            VLOOKUP($A73, INDIRECT("NovR!$A$6:$ZZ$1048576"), MATCH(Q$1, NovR!$6:$6, 0), FALSE),
            0
        ) +
        IFERROR(
            VLOOKUP($A73, INDIRECT("DicR!$A$6:$ZZ$1048576"), MATCH(Q$1, DicR!$6:$6, 0), FALSE),
            0
        )
)</f>
        <v>0</v>
      </c>
      <c r="R73" s="36">
        <f t="array" ref="R73">SUM(
    IFERROR(
            VLOOKUP($A73, INDIRECT("EneR!$A$6:$ZZ$1048576"), MATCH(R$1, EneR!$6:$6, 0), FALSE),
            0
        ) +
        IFERROR(
            VLOOKUP($A73, INDIRECT("FebR!$A$6:$ZZ$1048576"), MATCH(R$1, FebR!$6:$6, 0), FALSE),
            0
        ) +
        IFERROR(
            VLOOKUP($A73, INDIRECT("MarR!$A$6:$ZZ$1048576"), MATCH(R$1, MarR!$6:$6, 0), FALSE),
            0
        ) +
        IFERROR(
            VLOOKUP($A73, INDIRECT("AbrR!$A$6:$ZZ$1048576"), MATCH(R$1, AbrR!$6:$6, 0), FALSE),
            0
        ) +
        IFERROR(
            VLOOKUP($A73, INDIRECT("MayR!$A$6:$ZZ$1048576"), MATCH(R$1, MayR!$6:$6, 0), FALSE),
            0
        ) +
        IFERROR(
            VLOOKUP($A73, INDIRECT("JunR!$A$6:$ZZ$1048576"), MATCH(R$1, JunR!$6:$6, 0), FALSE),
            0
        ) +
        IFERROR(
            VLOOKUP($A73, INDIRECT("JulR!$A$6:$ZZ$1048576"), MATCH(R$1, JulR!$6:$6, 0), FALSE),
            0
        ) +
        IFERROR(
            VLOOKUP($A73, INDIRECT("AgoR!$A$6:$ZZ$1048576"), MATCH(R$1, AgoR!$6:$6, 0), FALSE),
            0
        ) +
        IFERROR(
            VLOOKUP($A73, INDIRECT("SepR!$A$6:$ZZ$1048576"), MATCH(R$1, SepR!$6:$6, 0), FALSE),
            0
        ) +
        IFERROR(
            VLOOKUP($A73, INDIRECT("OctR!$A$6:$ZZ$1048576"), MATCH(R$1, OctR!$6:$6, 0), FALSE),
            0
        ) +
        IFERROR(
            VLOOKUP($A73, INDIRECT("NovR!$A$6:$ZZ$1048576"), MATCH(R$1, NovR!$6:$6, 0), FALSE),
            0
        ) +
        IFERROR(
            VLOOKUP($A73, INDIRECT("DicR!$A$6:$ZZ$1048576"), MATCH(R$1, DicR!$6:$6, 0), FALSE),
            0
        )
)</f>
        <v>0</v>
      </c>
      <c r="S73" s="37">
        <f t="array" ref="S73">SUM(
    IFERROR(
            VLOOKUP($A73, INDIRECT("EneR!$A$6:$ZZ$1048576"), MATCH(S$1, EneR!$6:$6, 0), FALSE),
            0
        ) +
        IFERROR(
            VLOOKUP($A73, INDIRECT("FebR!$A$6:$ZZ$1048576"), MATCH(S$1, FebR!$6:$6, 0), FALSE),
            0
        ) +
        IFERROR(
            VLOOKUP($A73, INDIRECT("MarR!$A$6:$ZZ$1048576"), MATCH(S$1, MarR!$6:$6, 0), FALSE),
            0
        ) +
        IFERROR(
            VLOOKUP($A73, INDIRECT("AbrR!$A$6:$ZZ$1048576"), MATCH(S$1, AbrR!$6:$6, 0), FALSE),
            0
        ) +
        IFERROR(
            VLOOKUP($A73, INDIRECT("MayR!$A$6:$ZZ$1048576"), MATCH(S$1, MayR!$6:$6, 0), FALSE),
            0
        ) +
        IFERROR(
            VLOOKUP($A73, INDIRECT("JunR!$A$6:$ZZ$1048576"), MATCH(S$1, JunR!$6:$6, 0), FALSE),
            0
        ) +
        IFERROR(
            VLOOKUP($A73, INDIRECT("JulR!$A$6:$ZZ$1048576"), MATCH(S$1, JulR!$6:$6, 0), FALSE),
            0
        ) +
        IFERROR(
            VLOOKUP($A73, INDIRECT("AgoR!$A$6:$ZZ$1048576"), MATCH(S$1, AgoR!$6:$6, 0), FALSE),
            0
        ) +
        IFERROR(
            VLOOKUP($A73, INDIRECT("SepR!$A$6:$ZZ$1048576"), MATCH(S$1, SepR!$6:$6, 0), FALSE),
            0
        ) +
        IFERROR(
            VLOOKUP($A73, INDIRECT("OctR!$A$6:$ZZ$1048576"), MATCH(S$1, OctR!$6:$6, 0), FALSE),
            0
        ) +
        IFERROR(
            VLOOKUP($A73, INDIRECT("NovR!$A$6:$ZZ$1048576"), MATCH(S$1, NovR!$6:$6, 0), FALSE),
            0
        ) +
        IFERROR(
            VLOOKUP($A73, INDIRECT("DicR!$A$6:$ZZ$1048576"), MATCH(S$1, DicR!$6:$6, 0), FALSE),
            0
        )
)</f>
        <v>0</v>
      </c>
      <c r="T73" s="36">
        <f t="array" ref="T73">SUM(
    IFERROR(
            VLOOKUP($A73, INDIRECT("EneR!$A$6:$ZZ$1048576"), MATCH(T$1, EneR!$6:$6, 0), FALSE),
            0
        ) +
        IFERROR(
            VLOOKUP($A73, INDIRECT("FebR!$A$6:$ZZ$1048576"), MATCH(T$1, FebR!$6:$6, 0), FALSE),
            0
        ) +
        IFERROR(
            VLOOKUP($A73, INDIRECT("MarR!$A$6:$ZZ$1048576"), MATCH(T$1, MarR!$6:$6, 0), FALSE),
            0
        ) +
        IFERROR(
            VLOOKUP($A73, INDIRECT("AbrR!$A$6:$ZZ$1048576"), MATCH(T$1, AbrR!$6:$6, 0), FALSE),
            0
        ) +
        IFERROR(
            VLOOKUP($A73, INDIRECT("MayR!$A$6:$ZZ$1048576"), MATCH(T$1, MayR!$6:$6, 0), FALSE),
            0
        ) +
        IFERROR(
            VLOOKUP($A73, INDIRECT("JunR!$A$6:$ZZ$1048576"), MATCH(T$1, JunR!$6:$6, 0), FALSE),
            0
        ) +
        IFERROR(
            VLOOKUP($A73, INDIRECT("JulR!$A$6:$ZZ$1048576"), MATCH(T$1, JulR!$6:$6, 0), FALSE),
            0
        ) +
        IFERROR(
            VLOOKUP($A73, INDIRECT("AgoR!$A$6:$ZZ$1048576"), MATCH(T$1, AgoR!$6:$6, 0), FALSE),
            0
        ) +
        IFERROR(
            VLOOKUP($A73, INDIRECT("SepR!$A$6:$ZZ$1048576"), MATCH(T$1, SepR!$6:$6, 0), FALSE),
            0
        ) +
        IFERROR(
            VLOOKUP($A73, INDIRECT("OctR!$A$6:$ZZ$1048576"), MATCH(T$1, OctR!$6:$6, 0), FALSE),
            0
        ) +
        IFERROR(
            VLOOKUP($A73, INDIRECT("NovR!$A$6:$ZZ$1048576"), MATCH(T$1, NovR!$6:$6, 0), FALSE),
            0
        ) +
        IFERROR(
            VLOOKUP($A73, INDIRECT("DicR!$A$6:$ZZ$1048576"), MATCH(T$1, DicR!$6:$6, 0), FALSE),
            0
        )
)</f>
        <v>0</v>
      </c>
      <c r="U73" s="37">
        <f t="array" ref="U73">SUM(
    IFERROR(
            VLOOKUP($A73, INDIRECT("EneR!$A$6:$ZZ$1048576"), MATCH(U$1, EneR!$6:$6, 0), FALSE),
            0
        ) +
        IFERROR(
            VLOOKUP($A73, INDIRECT("FebR!$A$6:$ZZ$1048576"), MATCH(U$1, FebR!$6:$6, 0), FALSE),
            0
        ) +
        IFERROR(
            VLOOKUP($A73, INDIRECT("MarR!$A$6:$ZZ$1048576"), MATCH(U$1, MarR!$6:$6, 0), FALSE),
            0
        ) +
        IFERROR(
            VLOOKUP($A73, INDIRECT("AbrR!$A$6:$ZZ$1048576"), MATCH(U$1, AbrR!$6:$6, 0), FALSE),
            0
        ) +
        IFERROR(
            VLOOKUP($A73, INDIRECT("MayR!$A$6:$ZZ$1048576"), MATCH(U$1, MayR!$6:$6, 0), FALSE),
            0
        ) +
        IFERROR(
            VLOOKUP($A73, INDIRECT("JunR!$A$6:$ZZ$1048576"), MATCH(U$1, JunR!$6:$6, 0), FALSE),
            0
        ) +
        IFERROR(
            VLOOKUP($A73, INDIRECT("JulR!$A$6:$ZZ$1048576"), MATCH(U$1, JulR!$6:$6, 0), FALSE),
            0
        ) +
        IFERROR(
            VLOOKUP($A73, INDIRECT("AgoR!$A$6:$ZZ$1048576"), MATCH(U$1, AgoR!$6:$6, 0), FALSE),
            0
        ) +
        IFERROR(
            VLOOKUP($A73, INDIRECT("SepR!$A$6:$ZZ$1048576"), MATCH(U$1, SepR!$6:$6, 0), FALSE),
            0
        ) +
        IFERROR(
            VLOOKUP($A73, INDIRECT("OctR!$A$6:$ZZ$1048576"), MATCH(U$1, OctR!$6:$6, 0), FALSE),
            0
        ) +
        IFERROR(
            VLOOKUP($A73, INDIRECT("NovR!$A$6:$ZZ$1048576"), MATCH(U$1, NovR!$6:$6, 0), FALSE),
            0
        ) +
        IFERROR(
            VLOOKUP($A73, INDIRECT("DicR!$A$6:$ZZ$1048576"), MATCH(U$1, DicR!$6:$6, 0), FALSE),
            0
        )
)</f>
        <v>0</v>
      </c>
      <c r="V73" s="36">
        <f t="array" ref="V73">SUM(
    IFERROR(
            VLOOKUP($A73, INDIRECT("EneR!$A$6:$ZZ$1048576"), MATCH(V$1, EneR!$6:$6, 0), FALSE),
            0
        ) +
        IFERROR(
            VLOOKUP($A73, INDIRECT("FebR!$A$6:$ZZ$1048576"), MATCH(V$1, FebR!$6:$6, 0), FALSE),
            0
        ) +
        IFERROR(
            VLOOKUP($A73, INDIRECT("MarR!$A$6:$ZZ$1048576"), MATCH(V$1, MarR!$6:$6, 0), FALSE),
            0
        ) +
        IFERROR(
            VLOOKUP($A73, INDIRECT("AbrR!$A$6:$ZZ$1048576"), MATCH(V$1, AbrR!$6:$6, 0), FALSE),
            0
        ) +
        IFERROR(
            VLOOKUP($A73, INDIRECT("MayR!$A$6:$ZZ$1048576"), MATCH(V$1, MayR!$6:$6, 0), FALSE),
            0
        ) +
        IFERROR(
            VLOOKUP($A73, INDIRECT("JunR!$A$6:$ZZ$1048576"), MATCH(V$1, JunR!$6:$6, 0), FALSE),
            0
        ) +
        IFERROR(
            VLOOKUP($A73, INDIRECT("JulR!$A$6:$ZZ$1048576"), MATCH(V$1, JulR!$6:$6, 0), FALSE),
            0
        ) +
        IFERROR(
            VLOOKUP($A73, INDIRECT("AgoR!$A$6:$ZZ$1048576"), MATCH(V$1, AgoR!$6:$6, 0), FALSE),
            0
        ) +
        IFERROR(
            VLOOKUP($A73, INDIRECT("SepR!$A$6:$ZZ$1048576"), MATCH(V$1, SepR!$6:$6, 0), FALSE),
            0
        ) +
        IFERROR(
            VLOOKUP($A73, INDIRECT("OctR!$A$6:$ZZ$1048576"), MATCH(V$1, OctR!$6:$6, 0), FALSE),
            0
        ) +
        IFERROR(
            VLOOKUP($A73, INDIRECT("NovR!$A$6:$ZZ$1048576"), MATCH(V$1, NovR!$6:$6, 0), FALSE),
            0
        ) +
        IFERROR(
            VLOOKUP($A73, INDIRECT("DicR!$A$6:$ZZ$1048576"), MATCH(V$1, DicR!$6:$6, 0), FALSE),
            0
        )
)</f>
        <v>0</v>
      </c>
      <c r="W73" s="37">
        <f t="array" ref="W73">SUM(
    IFERROR(
            VLOOKUP($A73, INDIRECT("EneR!$A$6:$ZZ$1048576"), MATCH(W$1, EneR!$6:$6, 0), FALSE),
            0
        ) +
        IFERROR(
            VLOOKUP($A73, INDIRECT("FebR!$A$6:$ZZ$1048576"), MATCH(W$1, FebR!$6:$6, 0), FALSE),
            0
        ) +
        IFERROR(
            VLOOKUP($A73, INDIRECT("MarR!$A$6:$ZZ$1048576"), MATCH(W$1, MarR!$6:$6, 0), FALSE),
            0
        ) +
        IFERROR(
            VLOOKUP($A73, INDIRECT("AbrR!$A$6:$ZZ$1048576"), MATCH(W$1, AbrR!$6:$6, 0), FALSE),
            0
        ) +
        IFERROR(
            VLOOKUP($A73, INDIRECT("MayR!$A$6:$ZZ$1048576"), MATCH(W$1, MayR!$6:$6, 0), FALSE),
            0
        ) +
        IFERROR(
            VLOOKUP($A73, INDIRECT("JunR!$A$6:$ZZ$1048576"), MATCH(W$1, JunR!$6:$6, 0), FALSE),
            0
        ) +
        IFERROR(
            VLOOKUP($A73, INDIRECT("JulR!$A$6:$ZZ$1048576"), MATCH(W$1, JulR!$6:$6, 0), FALSE),
            0
        ) +
        IFERROR(
            VLOOKUP($A73, INDIRECT("AgoR!$A$6:$ZZ$1048576"), MATCH(W$1, AgoR!$6:$6, 0), FALSE),
            0
        ) +
        IFERROR(
            VLOOKUP($A73, INDIRECT("SepR!$A$6:$ZZ$1048576"), MATCH(W$1, SepR!$6:$6, 0), FALSE),
            0
        ) +
        IFERROR(
            VLOOKUP($A73, INDIRECT("OctR!$A$6:$ZZ$1048576"), MATCH(W$1, OctR!$6:$6, 0), FALSE),
            0
        ) +
        IFERROR(
            VLOOKUP($A73, INDIRECT("NovR!$A$6:$ZZ$1048576"), MATCH(W$1, NovR!$6:$6, 0), FALSE),
            0
        ) +
        IFERROR(
            VLOOKUP($A73, INDIRECT("DicR!$A$6:$ZZ$1048576"), MATCH(W$1, DicR!$6:$6, 0), FALSE),
            0
        )
)</f>
        <v>0</v>
      </c>
      <c r="X73" s="36">
        <f t="array" ref="X73">SUM(
    IFERROR(
            VLOOKUP($A73, INDIRECT("EneR!$A$6:$ZZ$1048576"), MATCH(X$1, EneR!$6:$6, 0), FALSE),
            0
        ) +
        IFERROR(
            VLOOKUP($A73, INDIRECT("FebR!$A$6:$ZZ$1048576"), MATCH(X$1, FebR!$6:$6, 0), FALSE),
            0
        ) +
        IFERROR(
            VLOOKUP($A73, INDIRECT("MarR!$A$6:$ZZ$1048576"), MATCH(X$1, MarR!$6:$6, 0), FALSE),
            0
        ) +
        IFERROR(
            VLOOKUP($A73, INDIRECT("AbrR!$A$6:$ZZ$1048576"), MATCH(X$1, AbrR!$6:$6, 0), FALSE),
            0
        ) +
        IFERROR(
            VLOOKUP($A73, INDIRECT("MayR!$A$6:$ZZ$1048576"), MATCH(X$1, MayR!$6:$6, 0), FALSE),
            0
        ) +
        IFERROR(
            VLOOKUP($A73, INDIRECT("JunR!$A$6:$ZZ$1048576"), MATCH(X$1, JunR!$6:$6, 0), FALSE),
            0
        ) +
        IFERROR(
            VLOOKUP($A73, INDIRECT("JulR!$A$6:$ZZ$1048576"), MATCH(X$1, JulR!$6:$6, 0), FALSE),
            0
        ) +
        IFERROR(
            VLOOKUP($A73, INDIRECT("AgoR!$A$6:$ZZ$1048576"), MATCH(X$1, AgoR!$6:$6, 0), FALSE),
            0
        ) +
        IFERROR(
            VLOOKUP($A73, INDIRECT("SepR!$A$6:$ZZ$1048576"), MATCH(X$1, SepR!$6:$6, 0), FALSE),
            0
        ) +
        IFERROR(
            VLOOKUP($A73, INDIRECT("OctR!$A$6:$ZZ$1048576"), MATCH(X$1, OctR!$6:$6, 0), FALSE),
            0
        ) +
        IFERROR(
            VLOOKUP($A73, INDIRECT("NovR!$A$6:$ZZ$1048576"), MATCH(X$1, NovR!$6:$6, 0), FALSE),
            0
        ) +
        IFERROR(
            VLOOKUP($A73, INDIRECT("DicR!$A$6:$ZZ$1048576"), MATCH(X$1, DicR!$6:$6, 0), FALSE),
            0
        )
)</f>
        <v>0</v>
      </c>
      <c r="Y73" s="37">
        <f t="array" ref="Y73">SUM(
    IFERROR(
            VLOOKUP($A73, INDIRECT("EneR!$A$6:$ZZ$1048576"), MATCH(Y$1, EneR!$6:$6, 0), FALSE),
            0
        ) +
        IFERROR(
            VLOOKUP($A73, INDIRECT("FebR!$A$6:$ZZ$1048576"), MATCH(Y$1, FebR!$6:$6, 0), FALSE),
            0
        ) +
        IFERROR(
            VLOOKUP($A73, INDIRECT("MarR!$A$6:$ZZ$1048576"), MATCH(Y$1, MarR!$6:$6, 0), FALSE),
            0
        ) +
        IFERROR(
            VLOOKUP($A73, INDIRECT("AbrR!$A$6:$ZZ$1048576"), MATCH(Y$1, AbrR!$6:$6, 0), FALSE),
            0
        ) +
        IFERROR(
            VLOOKUP($A73, INDIRECT("MayR!$A$6:$ZZ$1048576"), MATCH(Y$1, MayR!$6:$6, 0), FALSE),
            0
        ) +
        IFERROR(
            VLOOKUP($A73, INDIRECT("JunR!$A$6:$ZZ$1048576"), MATCH(Y$1, JunR!$6:$6, 0), FALSE),
            0
        ) +
        IFERROR(
            VLOOKUP($A73, INDIRECT("JulR!$A$6:$ZZ$1048576"), MATCH(Y$1, JulR!$6:$6, 0), FALSE),
            0
        ) +
        IFERROR(
            VLOOKUP($A73, INDIRECT("AgoR!$A$6:$ZZ$1048576"), MATCH(Y$1, AgoR!$6:$6, 0), FALSE),
            0
        ) +
        IFERROR(
            VLOOKUP($A73, INDIRECT("SepR!$A$6:$ZZ$1048576"), MATCH(Y$1, SepR!$6:$6, 0), FALSE),
            0
        ) +
        IFERROR(
            VLOOKUP($A73, INDIRECT("OctR!$A$6:$ZZ$1048576"), MATCH(Y$1, OctR!$6:$6, 0), FALSE),
            0
        ) +
        IFERROR(
            VLOOKUP($A73, INDIRECT("NovR!$A$6:$ZZ$1048576"), MATCH(Y$1, NovR!$6:$6, 0), FALSE),
            0
        ) +
        IFERROR(
            VLOOKUP($A73, INDIRECT("DicR!$A$6:$ZZ$1048576"), MATCH(Y$1, DicR!$6:$6, 0), FALSE),
            0
        )
)</f>
        <v>0</v>
      </c>
      <c r="Z73" s="36">
        <f t="array" ref="Z73">SUM(
    IFERROR(
            VLOOKUP($A73, INDIRECT("EneR!$A$6:$ZZ$1048576"), MATCH(Z$1, EneR!$6:$6, 0), FALSE),
            0
        ) +
        IFERROR(
            VLOOKUP($A73, INDIRECT("FebR!$A$6:$ZZ$1048576"), MATCH(Z$1, FebR!$6:$6, 0), FALSE),
            0
        ) +
        IFERROR(
            VLOOKUP($A73, INDIRECT("MarR!$A$6:$ZZ$1048576"), MATCH(Z$1, MarR!$6:$6, 0), FALSE),
            0
        ) +
        IFERROR(
            VLOOKUP($A73, INDIRECT("AbrR!$A$6:$ZZ$1048576"), MATCH(Z$1, AbrR!$6:$6, 0), FALSE),
            0
        ) +
        IFERROR(
            VLOOKUP($A73, INDIRECT("MayR!$A$6:$ZZ$1048576"), MATCH(Z$1, MayR!$6:$6, 0), FALSE),
            0
        ) +
        IFERROR(
            VLOOKUP($A73, INDIRECT("JunR!$A$6:$ZZ$1048576"), MATCH(Z$1, JunR!$6:$6, 0), FALSE),
            0
        ) +
        IFERROR(
            VLOOKUP($A73, INDIRECT("JulR!$A$6:$ZZ$1048576"), MATCH(Z$1, JulR!$6:$6, 0), FALSE),
            0
        ) +
        IFERROR(
            VLOOKUP($A73, INDIRECT("AgoR!$A$6:$ZZ$1048576"), MATCH(Z$1, AgoR!$6:$6, 0), FALSE),
            0
        ) +
        IFERROR(
            VLOOKUP($A73, INDIRECT("SepR!$A$6:$ZZ$1048576"), MATCH(Z$1, SepR!$6:$6, 0), FALSE),
            0
        ) +
        IFERROR(
            VLOOKUP($A73, INDIRECT("OctR!$A$6:$ZZ$1048576"), MATCH(Z$1, OctR!$6:$6, 0), FALSE),
            0
        ) +
        IFERROR(
            VLOOKUP($A73, INDIRECT("NovR!$A$6:$ZZ$1048576"), MATCH(Z$1, NovR!$6:$6, 0), FALSE),
            0
        ) +
        IFERROR(
            VLOOKUP($A73, INDIRECT("DicR!$A$6:$ZZ$1048576"), MATCH(Z$1, DicR!$6:$6, 0), FALSE),
            0
        )
)</f>
        <v>0</v>
      </c>
      <c r="AA73" s="37">
        <f t="array" ref="AA73">SUM(
    IFERROR(
            VLOOKUP($A73, INDIRECT("EneR!$A$6:$ZZ$1048576"), MATCH(AA$1, EneR!$6:$6, 0), FALSE),
            0
        ) +
        IFERROR(
            VLOOKUP($A73, INDIRECT("FebR!$A$6:$ZZ$1048576"), MATCH(AA$1, FebR!$6:$6, 0), FALSE),
            0
        ) +
        IFERROR(
            VLOOKUP($A73, INDIRECT("MarR!$A$6:$ZZ$1048576"), MATCH(AA$1, MarR!$6:$6, 0), FALSE),
            0
        ) +
        IFERROR(
            VLOOKUP($A73, INDIRECT("AbrR!$A$6:$ZZ$1048576"), MATCH(AA$1, AbrR!$6:$6, 0), FALSE),
            0
        ) +
        IFERROR(
            VLOOKUP($A73, INDIRECT("MayR!$A$6:$ZZ$1048576"), MATCH(AA$1, MayR!$6:$6, 0), FALSE),
            0
        ) +
        IFERROR(
            VLOOKUP($A73, INDIRECT("JunR!$A$6:$ZZ$1048576"), MATCH(AA$1, JunR!$6:$6, 0), FALSE),
            0
        ) +
        IFERROR(
            VLOOKUP($A73, INDIRECT("JulR!$A$6:$ZZ$1048576"), MATCH(AA$1, JulR!$6:$6, 0), FALSE),
            0
        ) +
        IFERROR(
            VLOOKUP($A73, INDIRECT("AgoR!$A$6:$ZZ$1048576"), MATCH(AA$1, AgoR!$6:$6, 0), FALSE),
            0
        ) +
        IFERROR(
            VLOOKUP($A73, INDIRECT("SepR!$A$6:$ZZ$1048576"), MATCH(AA$1, SepR!$6:$6, 0), FALSE),
            0
        ) +
        IFERROR(
            VLOOKUP($A73, INDIRECT("OctR!$A$6:$ZZ$1048576"), MATCH(AA$1, OctR!$6:$6, 0), FALSE),
            0
        ) +
        IFERROR(
            VLOOKUP($A73, INDIRECT("NovR!$A$6:$ZZ$1048576"), MATCH(AA$1, NovR!$6:$6, 0), FALSE),
            0
        ) +
        IFERROR(
            VLOOKUP($A73, INDIRECT("DicR!$A$6:$ZZ$1048576"), MATCH(AA$1, DicR!$6:$6, 0), FALSE),
            0
        )
)</f>
        <v>0</v>
      </c>
      <c r="AB73" s="36">
        <f t="array" ref="AB73">SUM(
    IFERROR(
            VLOOKUP($A73, INDIRECT("EneR!$A$6:$ZZ$1048576"), MATCH(AB$1, EneR!$6:$6, 0), FALSE),
            0
        ) +
        IFERROR(
            VLOOKUP($A73, INDIRECT("FebR!$A$6:$ZZ$1048576"), MATCH(AB$1, FebR!$6:$6, 0), FALSE),
            0
        ) +
        IFERROR(
            VLOOKUP($A73, INDIRECT("MarR!$A$6:$ZZ$1048576"), MATCH(AB$1, MarR!$6:$6, 0), FALSE),
            0
        ) +
        IFERROR(
            VLOOKUP($A73, INDIRECT("AbrR!$A$6:$ZZ$1048576"), MATCH(AB$1, AbrR!$6:$6, 0), FALSE),
            0
        ) +
        IFERROR(
            VLOOKUP($A73, INDIRECT("MayR!$A$6:$ZZ$1048576"), MATCH(AB$1, MayR!$6:$6, 0), FALSE),
            0
        ) +
        IFERROR(
            VLOOKUP($A73, INDIRECT("JunR!$A$6:$ZZ$1048576"), MATCH(AB$1, JunR!$6:$6, 0), FALSE),
            0
        ) +
        IFERROR(
            VLOOKUP($A73, INDIRECT("JulR!$A$6:$ZZ$1048576"), MATCH(AB$1, JulR!$6:$6, 0), FALSE),
            0
        ) +
        IFERROR(
            VLOOKUP($A73, INDIRECT("AgoR!$A$6:$ZZ$1048576"), MATCH(AB$1, AgoR!$6:$6, 0), FALSE),
            0
        ) +
        IFERROR(
            VLOOKUP($A73, INDIRECT("SepR!$A$6:$ZZ$1048576"), MATCH(AB$1, SepR!$6:$6, 0), FALSE),
            0
        ) +
        IFERROR(
            VLOOKUP($A73, INDIRECT("OctR!$A$6:$ZZ$1048576"), MATCH(AB$1, OctR!$6:$6, 0), FALSE),
            0
        ) +
        IFERROR(
            VLOOKUP($A73, INDIRECT("NovR!$A$6:$ZZ$1048576"), MATCH(AB$1, NovR!$6:$6, 0), FALSE),
            0
        ) +
        IFERROR(
            VLOOKUP($A73, INDIRECT("DicR!$A$6:$ZZ$1048576"), MATCH(AB$1, DicR!$6:$6, 0), FALSE),
            0
        )
)</f>
        <v>0</v>
      </c>
      <c r="AC73" s="37">
        <f t="array" ref="AC73">SUM(
    IFERROR(
            VLOOKUP($A73, INDIRECT("EneR!$A$6:$ZZ$1048576"), MATCH(AC$1, EneR!$6:$6, 0), FALSE),
            0
        ) +
        IFERROR(
            VLOOKUP($A73, INDIRECT("FebR!$A$6:$ZZ$1048576"), MATCH(AC$1, FebR!$6:$6, 0), FALSE),
            0
        ) +
        IFERROR(
            VLOOKUP($A73, INDIRECT("MarR!$A$6:$ZZ$1048576"), MATCH(AC$1, MarR!$6:$6, 0), FALSE),
            0
        ) +
        IFERROR(
            VLOOKUP($A73, INDIRECT("AbrR!$A$6:$ZZ$1048576"), MATCH(AC$1, AbrR!$6:$6, 0), FALSE),
            0
        ) +
        IFERROR(
            VLOOKUP($A73, INDIRECT("MayR!$A$6:$ZZ$1048576"), MATCH(AC$1, MayR!$6:$6, 0), FALSE),
            0
        ) +
        IFERROR(
            VLOOKUP($A73, INDIRECT("JunR!$A$6:$ZZ$1048576"), MATCH(AC$1, JunR!$6:$6, 0), FALSE),
            0
        ) +
        IFERROR(
            VLOOKUP($A73, INDIRECT("JulR!$A$6:$ZZ$1048576"), MATCH(AC$1, JulR!$6:$6, 0), FALSE),
            0
        ) +
        IFERROR(
            VLOOKUP($A73, INDIRECT("AgoR!$A$6:$ZZ$1048576"), MATCH(AC$1, AgoR!$6:$6, 0), FALSE),
            0
        ) +
        IFERROR(
            VLOOKUP($A73, INDIRECT("SepR!$A$6:$ZZ$1048576"), MATCH(AC$1, SepR!$6:$6, 0), FALSE),
            0
        ) +
        IFERROR(
            VLOOKUP($A73, INDIRECT("OctR!$A$6:$ZZ$1048576"), MATCH(AC$1, OctR!$6:$6, 0), FALSE),
            0
        ) +
        IFERROR(
            VLOOKUP($A73, INDIRECT("NovR!$A$6:$ZZ$1048576"), MATCH(AC$1, NovR!$6:$6, 0), FALSE),
            0
        ) +
        IFERROR(
            VLOOKUP($A73, INDIRECT("DicR!$A$6:$ZZ$1048576"), MATCH(AC$1, DicR!$6:$6, 0), FALSE),
            0
        )
)</f>
        <v>0</v>
      </c>
      <c r="AD73" s="36">
        <f t="array" ref="AD73">SUM(
    IFERROR(
            VLOOKUP($A73, INDIRECT("EneR!$A$6:$ZZ$1048576"), MATCH(AD$1, EneR!$6:$6, 0), FALSE),
            0
        ) +
        IFERROR(
            VLOOKUP($A73, INDIRECT("FebR!$A$6:$ZZ$1048576"), MATCH(AD$1, FebR!$6:$6, 0), FALSE),
            0
        ) +
        IFERROR(
            VLOOKUP($A73, INDIRECT("MarR!$A$6:$ZZ$1048576"), MATCH(AD$1, MarR!$6:$6, 0), FALSE),
            0
        ) +
        IFERROR(
            VLOOKUP($A73, INDIRECT("AbrR!$A$6:$ZZ$1048576"), MATCH(AD$1, AbrR!$6:$6, 0), FALSE),
            0
        ) +
        IFERROR(
            VLOOKUP($A73, INDIRECT("MayR!$A$6:$ZZ$1048576"), MATCH(AD$1, MayR!$6:$6, 0), FALSE),
            0
        ) +
        IFERROR(
            VLOOKUP($A73, INDIRECT("JunR!$A$6:$ZZ$1048576"), MATCH(AD$1, JunR!$6:$6, 0), FALSE),
            0
        ) +
        IFERROR(
            VLOOKUP($A73, INDIRECT("JulR!$A$6:$ZZ$1048576"), MATCH(AD$1, JulR!$6:$6, 0), FALSE),
            0
        ) +
        IFERROR(
            VLOOKUP($A73, INDIRECT("AgoR!$A$6:$ZZ$1048576"), MATCH(AD$1, AgoR!$6:$6, 0), FALSE),
            0
        ) +
        IFERROR(
            VLOOKUP($A73, INDIRECT("SepR!$A$6:$ZZ$1048576"), MATCH(AD$1, SepR!$6:$6, 0), FALSE),
            0
        ) +
        IFERROR(
            VLOOKUP($A73, INDIRECT("OctR!$A$6:$ZZ$1048576"), MATCH(AD$1, OctR!$6:$6, 0), FALSE),
            0
        ) +
        IFERROR(
            VLOOKUP($A73, INDIRECT("NovR!$A$6:$ZZ$1048576"), MATCH(AD$1, NovR!$6:$6, 0), FALSE),
            0
        ) +
        IFERROR(
            VLOOKUP($A73, INDIRECT("DicR!$A$6:$ZZ$1048576"), MATCH(AD$1, DicR!$6:$6, 0), FALSE),
            0
        )
)</f>
        <v>0</v>
      </c>
      <c r="AE73" s="37">
        <f t="array" ref="AE73">SUM(
    IFERROR(
            VLOOKUP($A73, INDIRECT("EneR!$A$6:$ZZ$1048576"), MATCH(AE$1, EneR!$6:$6, 0), FALSE),
            0
        ) +
        IFERROR(
            VLOOKUP($A73, INDIRECT("FebR!$A$6:$ZZ$1048576"), MATCH(AE$1, FebR!$6:$6, 0), FALSE),
            0
        ) +
        IFERROR(
            VLOOKUP($A73, INDIRECT("MarR!$A$6:$ZZ$1048576"), MATCH(AE$1, MarR!$6:$6, 0), FALSE),
            0
        ) +
        IFERROR(
            VLOOKUP($A73, INDIRECT("AbrR!$A$6:$ZZ$1048576"), MATCH(AE$1, AbrR!$6:$6, 0), FALSE),
            0
        ) +
        IFERROR(
            VLOOKUP($A73, INDIRECT("MayR!$A$6:$ZZ$1048576"), MATCH(AE$1, MayR!$6:$6, 0), FALSE),
            0
        ) +
        IFERROR(
            VLOOKUP($A73, INDIRECT("JunR!$A$6:$ZZ$1048576"), MATCH(AE$1, JunR!$6:$6, 0), FALSE),
            0
        ) +
        IFERROR(
            VLOOKUP($A73, INDIRECT("JulR!$A$6:$ZZ$1048576"), MATCH(AE$1, JulR!$6:$6, 0), FALSE),
            0
        ) +
        IFERROR(
            VLOOKUP($A73, INDIRECT("AgoR!$A$6:$ZZ$1048576"), MATCH(AE$1, AgoR!$6:$6, 0), FALSE),
            0
        ) +
        IFERROR(
            VLOOKUP($A73, INDIRECT("SepR!$A$6:$ZZ$1048576"), MATCH(AE$1, SepR!$6:$6, 0), FALSE),
            0
        ) +
        IFERROR(
            VLOOKUP($A73, INDIRECT("OctR!$A$6:$ZZ$1048576"), MATCH(AE$1, OctR!$6:$6, 0), FALSE),
            0
        ) +
        IFERROR(
            VLOOKUP($A73, INDIRECT("NovR!$A$6:$ZZ$1048576"), MATCH(AE$1, NovR!$6:$6, 0), FALSE),
            0
        ) +
        IFERROR(
            VLOOKUP($A73, INDIRECT("DicR!$A$6:$ZZ$1048576"), MATCH(AE$1, DicR!$6:$6, 0), FALSE),
            0
        )
)</f>
        <v>0</v>
      </c>
      <c r="AF73" s="36">
        <f t="array" ref="AF73">SUM(
    IFERROR(
            VLOOKUP($A73, INDIRECT("EneR!$A$6:$ZZ$1048576"), MATCH(AF$1, EneR!$6:$6, 0), FALSE),
            0
        ) +
        IFERROR(
            VLOOKUP($A73, INDIRECT("FebR!$A$6:$ZZ$1048576"), MATCH(AF$1, FebR!$6:$6, 0), FALSE),
            0
        ) +
        IFERROR(
            VLOOKUP($A73, INDIRECT("MarR!$A$6:$ZZ$1048576"), MATCH(AF$1, MarR!$6:$6, 0), FALSE),
            0
        ) +
        IFERROR(
            VLOOKUP($A73, INDIRECT("AbrR!$A$6:$ZZ$1048576"), MATCH(AF$1, AbrR!$6:$6, 0), FALSE),
            0
        ) +
        IFERROR(
            VLOOKUP($A73, INDIRECT("MayR!$A$6:$ZZ$1048576"), MATCH(AF$1, MayR!$6:$6, 0), FALSE),
            0
        ) +
        IFERROR(
            VLOOKUP($A73, INDIRECT("JunR!$A$6:$ZZ$1048576"), MATCH(AF$1, JunR!$6:$6, 0), FALSE),
            0
        ) +
        IFERROR(
            VLOOKUP($A73, INDIRECT("JulR!$A$6:$ZZ$1048576"), MATCH(AF$1, JulR!$6:$6, 0), FALSE),
            0
        ) +
        IFERROR(
            VLOOKUP($A73, INDIRECT("AgoR!$A$6:$ZZ$1048576"), MATCH(AF$1, AgoR!$6:$6, 0), FALSE),
            0
        ) +
        IFERROR(
            VLOOKUP($A73, INDIRECT("SepR!$A$6:$ZZ$1048576"), MATCH(AF$1, SepR!$6:$6, 0), FALSE),
            0
        ) +
        IFERROR(
            VLOOKUP($A73, INDIRECT("OctR!$A$6:$ZZ$1048576"), MATCH(AF$1, OctR!$6:$6, 0), FALSE),
            0
        ) +
        IFERROR(
            VLOOKUP($A73, INDIRECT("NovR!$A$6:$ZZ$1048576"), MATCH(AF$1, NovR!$6:$6, 0), FALSE),
            0
        ) +
        IFERROR(
            VLOOKUP($A73, INDIRECT("DicR!$A$6:$ZZ$1048576"), MATCH(AF$1, DicR!$6:$6, 0), FALSE),
            0
        )
)</f>
        <v>0</v>
      </c>
      <c r="AG73" s="37">
        <f t="array" ref="AG73">SUM(
    IFERROR(
            VLOOKUP($A73, INDIRECT("EneR!$A$6:$ZZ$1048576"), MATCH(AG$1, EneR!$6:$6, 0), FALSE),
            0
        ) +
        IFERROR(
            VLOOKUP($A73, INDIRECT("FebR!$A$6:$ZZ$1048576"), MATCH(AG$1, FebR!$6:$6, 0), FALSE),
            0
        ) +
        IFERROR(
            VLOOKUP($A73, INDIRECT("MarR!$A$6:$ZZ$1048576"), MATCH(AG$1, MarR!$6:$6, 0), FALSE),
            0
        ) +
        IFERROR(
            VLOOKUP($A73, INDIRECT("AbrR!$A$6:$ZZ$1048576"), MATCH(AG$1, AbrR!$6:$6, 0), FALSE),
            0
        ) +
        IFERROR(
            VLOOKUP($A73, INDIRECT("MayR!$A$6:$ZZ$1048576"), MATCH(AG$1, MayR!$6:$6, 0), FALSE),
            0
        ) +
        IFERROR(
            VLOOKUP($A73, INDIRECT("JunR!$A$6:$ZZ$1048576"), MATCH(AG$1, JunR!$6:$6, 0), FALSE),
            0
        ) +
        IFERROR(
            VLOOKUP($A73, INDIRECT("JulR!$A$6:$ZZ$1048576"), MATCH(AG$1, JulR!$6:$6, 0), FALSE),
            0
        ) +
        IFERROR(
            VLOOKUP($A73, INDIRECT("AgoR!$A$6:$ZZ$1048576"), MATCH(AG$1, AgoR!$6:$6, 0), FALSE),
            0
        ) +
        IFERROR(
            VLOOKUP($A73, INDIRECT("SepR!$A$6:$ZZ$1048576"), MATCH(AG$1, SepR!$6:$6, 0), FALSE),
            0
        ) +
        IFERROR(
            VLOOKUP($A73, INDIRECT("OctR!$A$6:$ZZ$1048576"), MATCH(AG$1, OctR!$6:$6, 0), FALSE),
            0
        ) +
        IFERROR(
            VLOOKUP($A73, INDIRECT("NovR!$A$6:$ZZ$1048576"), MATCH(AG$1, NovR!$6:$6, 0), FALSE),
            0
        ) +
        IFERROR(
            VLOOKUP($A73, INDIRECT("DicR!$A$6:$ZZ$1048576"), MATCH(AG$1, DicR!$6:$6, 0), FALSE),
            0
        )
)</f>
        <v>0</v>
      </c>
      <c r="AH73" s="36">
        <f t="array" ref="AH73">SUM(
    IFERROR(
            VLOOKUP($A73, INDIRECT("EneR!$A$6:$ZZ$1048576"), MATCH(AH$1, EneR!$6:$6, 0), FALSE),
            0
        ) +
        IFERROR(
            VLOOKUP($A73, INDIRECT("FebR!$A$6:$ZZ$1048576"), MATCH(AH$1, FebR!$6:$6, 0), FALSE),
            0
        ) +
        IFERROR(
            VLOOKUP($A73, INDIRECT("MarR!$A$6:$ZZ$1048576"), MATCH(AH$1, MarR!$6:$6, 0), FALSE),
            0
        ) +
        IFERROR(
            VLOOKUP($A73, INDIRECT("AbrR!$A$6:$ZZ$1048576"), MATCH(AH$1, AbrR!$6:$6, 0), FALSE),
            0
        ) +
        IFERROR(
            VLOOKUP($A73, INDIRECT("MayR!$A$6:$ZZ$1048576"), MATCH(AH$1, MayR!$6:$6, 0), FALSE),
            0
        ) +
        IFERROR(
            VLOOKUP($A73, INDIRECT("JunR!$A$6:$ZZ$1048576"), MATCH(AH$1, JunR!$6:$6, 0), FALSE),
            0
        ) +
        IFERROR(
            VLOOKUP($A73, INDIRECT("JulR!$A$6:$ZZ$1048576"), MATCH(AH$1, JulR!$6:$6, 0), FALSE),
            0
        ) +
        IFERROR(
            VLOOKUP($A73, INDIRECT("AgoR!$A$6:$ZZ$1048576"), MATCH(AH$1, AgoR!$6:$6, 0), FALSE),
            0
        ) +
        IFERROR(
            VLOOKUP($A73, INDIRECT("SepR!$A$6:$ZZ$1048576"), MATCH(AH$1, SepR!$6:$6, 0), FALSE),
            0
        ) +
        IFERROR(
            VLOOKUP($A73, INDIRECT("OctR!$A$6:$ZZ$1048576"), MATCH(AH$1, OctR!$6:$6, 0), FALSE),
            0
        ) +
        IFERROR(
            VLOOKUP($A73, INDIRECT("NovR!$A$6:$ZZ$1048576"), MATCH(AH$1, NovR!$6:$6, 0), FALSE),
            0
        ) +
        IFERROR(
            VLOOKUP($A73, INDIRECT("DicR!$A$6:$ZZ$1048576"), MATCH(AH$1, DicR!$6:$6, 0), FALSE),
            0
        )
)</f>
        <v>0</v>
      </c>
      <c r="AI73" s="37">
        <f t="array" ref="AI73">SUM(
    IFERROR(
            VLOOKUP($A73, INDIRECT("EneR!$A$6:$ZZ$1048576"), MATCH(AI$1, EneR!$6:$6, 0), FALSE),
            0
        ) +
        IFERROR(
            VLOOKUP($A73, INDIRECT("FebR!$A$6:$ZZ$1048576"), MATCH(AI$1, FebR!$6:$6, 0), FALSE),
            0
        ) +
        IFERROR(
            VLOOKUP($A73, INDIRECT("MarR!$A$6:$ZZ$1048576"), MATCH(AI$1, MarR!$6:$6, 0), FALSE),
            0
        ) +
        IFERROR(
            VLOOKUP($A73, INDIRECT("AbrR!$A$6:$ZZ$1048576"), MATCH(AI$1, AbrR!$6:$6, 0), FALSE),
            0
        ) +
        IFERROR(
            VLOOKUP($A73, INDIRECT("MayR!$A$6:$ZZ$1048576"), MATCH(AI$1, MayR!$6:$6, 0), FALSE),
            0
        ) +
        IFERROR(
            VLOOKUP($A73, INDIRECT("JunR!$A$6:$ZZ$1048576"), MATCH(AI$1, JunR!$6:$6, 0), FALSE),
            0
        ) +
        IFERROR(
            VLOOKUP($A73, INDIRECT("JulR!$A$6:$ZZ$1048576"), MATCH(AI$1, JulR!$6:$6, 0), FALSE),
            0
        ) +
        IFERROR(
            VLOOKUP($A73, INDIRECT("AgoR!$A$6:$ZZ$1048576"), MATCH(AI$1, AgoR!$6:$6, 0), FALSE),
            0
        ) +
        IFERROR(
            VLOOKUP($A73, INDIRECT("SepR!$A$6:$ZZ$1048576"), MATCH(AI$1, SepR!$6:$6, 0), FALSE),
            0
        ) +
        IFERROR(
            VLOOKUP($A73, INDIRECT("OctR!$A$6:$ZZ$1048576"), MATCH(AI$1, OctR!$6:$6, 0), FALSE),
            0
        ) +
        IFERROR(
            VLOOKUP($A73, INDIRECT("NovR!$A$6:$ZZ$1048576"), MATCH(AI$1, NovR!$6:$6, 0), FALSE),
            0
        ) +
        IFERROR(
            VLOOKUP($A73, INDIRECT("DicR!$A$6:$ZZ$1048576"), MATCH(AI$1, DicR!$6:$6, 0), FALSE),
            0
        )
)</f>
        <v>0</v>
      </c>
      <c r="AJ73" s="36">
        <f t="array" ref="AJ73">SUM(
    IFERROR(
            VLOOKUP($A73, INDIRECT("EneR!$A$6:$ZZ$1048576"), MATCH(AJ$1, EneR!$6:$6, 0), FALSE),
            0
        ) +
        IFERROR(
            VLOOKUP($A73, INDIRECT("FebR!$A$6:$ZZ$1048576"), MATCH(AJ$1, FebR!$6:$6, 0), FALSE),
            0
        ) +
        IFERROR(
            VLOOKUP($A73, INDIRECT("MarR!$A$6:$ZZ$1048576"), MATCH(AJ$1, MarR!$6:$6, 0), FALSE),
            0
        ) +
        IFERROR(
            VLOOKUP($A73, INDIRECT("AbrR!$A$6:$ZZ$1048576"), MATCH(AJ$1, AbrR!$6:$6, 0), FALSE),
            0
        ) +
        IFERROR(
            VLOOKUP($A73, INDIRECT("MayR!$A$6:$ZZ$1048576"), MATCH(AJ$1, MayR!$6:$6, 0), FALSE),
            0
        ) +
        IFERROR(
            VLOOKUP($A73, INDIRECT("JunR!$A$6:$ZZ$1048576"), MATCH(AJ$1, JunR!$6:$6, 0), FALSE),
            0
        ) +
        IFERROR(
            VLOOKUP($A73, INDIRECT("JulR!$A$6:$ZZ$1048576"), MATCH(AJ$1, JulR!$6:$6, 0), FALSE),
            0
        ) +
        IFERROR(
            VLOOKUP($A73, INDIRECT("AgoR!$A$6:$ZZ$1048576"), MATCH(AJ$1, AgoR!$6:$6, 0), FALSE),
            0
        ) +
        IFERROR(
            VLOOKUP($A73, INDIRECT("SepR!$A$6:$ZZ$1048576"), MATCH(AJ$1, SepR!$6:$6, 0), FALSE),
            0
        ) +
        IFERROR(
            VLOOKUP($A73, INDIRECT("OctR!$A$6:$ZZ$1048576"), MATCH(AJ$1, OctR!$6:$6, 0), FALSE),
            0
        ) +
        IFERROR(
            VLOOKUP($A73, INDIRECT("NovR!$A$6:$ZZ$1048576"), MATCH(AJ$1, NovR!$6:$6, 0), FALSE),
            0
        ) +
        IFERROR(
            VLOOKUP($A73, INDIRECT("DicR!$A$6:$ZZ$1048576"), MATCH(AJ$1, DicR!$6:$6, 0), FALSE),
            0
        )
)</f>
        <v>0</v>
      </c>
      <c r="AK73" s="37">
        <f t="array" ref="AK73">SUM(
    IFERROR(
            VLOOKUP($A73, INDIRECT("EneR!$A$6:$ZZ$1048576"), MATCH(AK$1, EneR!$6:$6, 0), FALSE),
            0
        ) +
        IFERROR(
            VLOOKUP($A73, INDIRECT("FebR!$A$6:$ZZ$1048576"), MATCH(AK$1, FebR!$6:$6, 0), FALSE),
            0
        ) +
        IFERROR(
            VLOOKUP($A73, INDIRECT("MarR!$A$6:$ZZ$1048576"), MATCH(AK$1, MarR!$6:$6, 0), FALSE),
            0
        ) +
        IFERROR(
            VLOOKUP($A73, INDIRECT("AbrR!$A$6:$ZZ$1048576"), MATCH(AK$1, AbrR!$6:$6, 0), FALSE),
            0
        ) +
        IFERROR(
            VLOOKUP($A73, INDIRECT("MayR!$A$6:$ZZ$1048576"), MATCH(AK$1, MayR!$6:$6, 0), FALSE),
            0
        ) +
        IFERROR(
            VLOOKUP($A73, INDIRECT("JunR!$A$6:$ZZ$1048576"), MATCH(AK$1, JunR!$6:$6, 0), FALSE),
            0
        ) +
        IFERROR(
            VLOOKUP($A73, INDIRECT("JulR!$A$6:$ZZ$1048576"), MATCH(AK$1, JulR!$6:$6, 0), FALSE),
            0
        ) +
        IFERROR(
            VLOOKUP($A73, INDIRECT("AgoR!$A$6:$ZZ$1048576"), MATCH(AK$1, AgoR!$6:$6, 0), FALSE),
            0
        ) +
        IFERROR(
            VLOOKUP($A73, INDIRECT("SepR!$A$6:$ZZ$1048576"), MATCH(AK$1, SepR!$6:$6, 0), FALSE),
            0
        ) +
        IFERROR(
            VLOOKUP($A73, INDIRECT("OctR!$A$6:$ZZ$1048576"), MATCH(AK$1, OctR!$6:$6, 0), FALSE),
            0
        ) +
        IFERROR(
            VLOOKUP($A73, INDIRECT("NovR!$A$6:$ZZ$1048576"), MATCH(AK$1, NovR!$6:$6, 0), FALSE),
            0
        ) +
        IFERROR(
            VLOOKUP($A73, INDIRECT("DicR!$A$6:$ZZ$1048576"), MATCH(AK$1, DicR!$6:$6, 0), FALSE),
            0
        )
)</f>
        <v>0</v>
      </c>
      <c r="AL73" s="36">
        <f t="array" ref="AL73">SUM(
    IFERROR(
            VLOOKUP($A73, INDIRECT("EneR!$A$6:$ZZ$1048576"), MATCH(AL$1, EneR!$6:$6, 0), FALSE),
            0
        ) +
        IFERROR(
            VLOOKUP($A73, INDIRECT("FebR!$A$6:$ZZ$1048576"), MATCH(AL$1, FebR!$6:$6, 0), FALSE),
            0
        ) +
        IFERROR(
            VLOOKUP($A73, INDIRECT("MarR!$A$6:$ZZ$1048576"), MATCH(AL$1, MarR!$6:$6, 0), FALSE),
            0
        ) +
        IFERROR(
            VLOOKUP($A73, INDIRECT("AbrR!$A$6:$ZZ$1048576"), MATCH(AL$1, AbrR!$6:$6, 0), FALSE),
            0
        ) +
        IFERROR(
            VLOOKUP($A73, INDIRECT("MayR!$A$6:$ZZ$1048576"), MATCH(AL$1, MayR!$6:$6, 0), FALSE),
            0
        ) +
        IFERROR(
            VLOOKUP($A73, INDIRECT("JunR!$A$6:$ZZ$1048576"), MATCH(AL$1, JunR!$6:$6, 0), FALSE),
            0
        ) +
        IFERROR(
            VLOOKUP($A73, INDIRECT("JulR!$A$6:$ZZ$1048576"), MATCH(AL$1, JulR!$6:$6, 0), FALSE),
            0
        ) +
        IFERROR(
            VLOOKUP($A73, INDIRECT("AgoR!$A$6:$ZZ$1048576"), MATCH(AL$1, AgoR!$6:$6, 0), FALSE),
            0
        ) +
        IFERROR(
            VLOOKUP($A73, INDIRECT("SepR!$A$6:$ZZ$1048576"), MATCH(AL$1, SepR!$6:$6, 0), FALSE),
            0
        ) +
        IFERROR(
            VLOOKUP($A73, INDIRECT("OctR!$A$6:$ZZ$1048576"), MATCH(AL$1, OctR!$6:$6, 0), FALSE),
            0
        ) +
        IFERROR(
            VLOOKUP($A73, INDIRECT("NovR!$A$6:$ZZ$1048576"), MATCH(AL$1, NovR!$6:$6, 0), FALSE),
            0
        ) +
        IFERROR(
            VLOOKUP($A73, INDIRECT("DicR!$A$6:$ZZ$1048576"), MATCH(AL$1, DicR!$6:$6, 0), FALSE),
            0
        )
)</f>
        <v>0</v>
      </c>
      <c r="AM73" s="37">
        <f t="array" ref="AM73">SUM(
    IFERROR(
            VLOOKUP($A73, INDIRECT("EneR!$A$6:$ZZ$1048576"), MATCH(AM$1, EneR!$6:$6, 0), FALSE),
            0
        ) +
        IFERROR(
            VLOOKUP($A73, INDIRECT("FebR!$A$6:$ZZ$1048576"), MATCH(AM$1, FebR!$6:$6, 0), FALSE),
            0
        ) +
        IFERROR(
            VLOOKUP($A73, INDIRECT("MarR!$A$6:$ZZ$1048576"), MATCH(AM$1, MarR!$6:$6, 0), FALSE),
            0
        ) +
        IFERROR(
            VLOOKUP($A73, INDIRECT("AbrR!$A$6:$ZZ$1048576"), MATCH(AM$1, AbrR!$6:$6, 0), FALSE),
            0
        ) +
        IFERROR(
            VLOOKUP($A73, INDIRECT("MayR!$A$6:$ZZ$1048576"), MATCH(AM$1, MayR!$6:$6, 0), FALSE),
            0
        ) +
        IFERROR(
            VLOOKUP($A73, INDIRECT("JunR!$A$6:$ZZ$1048576"), MATCH(AM$1, JunR!$6:$6, 0), FALSE),
            0
        ) +
        IFERROR(
            VLOOKUP($A73, INDIRECT("JulR!$A$6:$ZZ$1048576"), MATCH(AM$1, JulR!$6:$6, 0), FALSE),
            0
        ) +
        IFERROR(
            VLOOKUP($A73, INDIRECT("AgoR!$A$6:$ZZ$1048576"), MATCH(AM$1, AgoR!$6:$6, 0), FALSE),
            0
        ) +
        IFERROR(
            VLOOKUP($A73, INDIRECT("SepR!$A$6:$ZZ$1048576"), MATCH(AM$1, SepR!$6:$6, 0), FALSE),
            0
        ) +
        IFERROR(
            VLOOKUP($A73, INDIRECT("OctR!$A$6:$ZZ$1048576"), MATCH(AM$1, OctR!$6:$6, 0), FALSE),
            0
        ) +
        IFERROR(
            VLOOKUP($A73, INDIRECT("NovR!$A$6:$ZZ$1048576"), MATCH(AM$1, NovR!$6:$6, 0), FALSE),
            0
        ) +
        IFERROR(
            VLOOKUP($A73, INDIRECT("DicR!$A$6:$ZZ$1048576"), MATCH(AM$1, DicR!$6:$6, 0), FALSE),
            0
        )
)</f>
        <v>0</v>
      </c>
      <c r="AN73" s="32">
        <f t="array" ref="AN73">SUM(
    IFERROR(
            VLOOKUP($A73, INDIRECT("EneR!$A$6:$ZZ$1048576"), MATCH(AN$1, EneR!$6:$6, 0), FALSE),
            0
        ) +
        IFERROR(
            VLOOKUP($A73, INDIRECT("FebR!$A$6:$ZZ$1048576"), MATCH(AN$1, FebR!$6:$6, 0), FALSE),
            0
        ) +
        IFERROR(
            VLOOKUP($A73, INDIRECT("MarR!$A$6:$ZZ$1048576"), MATCH(AN$1, MarR!$6:$6, 0), FALSE),
            0
        ) +
        IFERROR(
            VLOOKUP($A73, INDIRECT("AbrR!$A$6:$ZZ$1048576"), MATCH(AN$1, AbrR!$6:$6, 0), FALSE),
            0
        ) +
        IFERROR(
            VLOOKUP($A73, INDIRECT("MayR!$A$6:$ZZ$1048576"), MATCH(AN$1, MayR!$6:$6, 0), FALSE),
            0
        ) +
        IFERROR(
            VLOOKUP($A73, INDIRECT("JunR!$A$6:$ZZ$1048576"), MATCH(AN$1, JunR!$6:$6, 0), FALSE),
            0
        ) +
        IFERROR(
            VLOOKUP($A73, INDIRECT("JulR!$A$6:$ZZ$1048576"), MATCH(AN$1, JulR!$6:$6, 0), FALSE),
            0
        ) +
        IFERROR(
            VLOOKUP($A73, INDIRECT("AgoR!$A$6:$ZZ$1048576"), MATCH(AN$1, AgoR!$6:$6, 0), FALSE),
            0
        ) +
        IFERROR(
            VLOOKUP($A73, INDIRECT("SepR!$A$6:$ZZ$1048576"), MATCH(AN$1, SepR!$6:$6, 0), FALSE),
            0
        ) +
        IFERROR(
            VLOOKUP($A73, INDIRECT("OctR!$A$6:$ZZ$1048576"), MATCH(AN$1, OctR!$6:$6, 0), FALSE),
            0
        ) +
        IFERROR(
            VLOOKUP($A73, INDIRECT("NovR!$A$6:$ZZ$1048576"), MATCH(AN$1, NovR!$6:$6, 0), FALSE),
            0
        ) +
        IFERROR(
            VLOOKUP($A73, INDIRECT("DicR!$A$6:$ZZ$1048576"), MATCH(AN$1, DicR!$6:$6, 0), FALSE),
            0
        )
)</f>
        <v>0</v>
      </c>
      <c r="AO73" s="35">
        <f t="array" ref="AO73">SUM(
    IFERROR(
            VLOOKUP($A73, INDIRECT("EneR!$A$6:$ZZ$1048576"), MATCH(AO$1, EneR!$6:$6, 0), FALSE),
            0
        ) +
        IFERROR(
            VLOOKUP($A73, INDIRECT("FebR!$A$6:$ZZ$1048576"), MATCH(AO$1, FebR!$6:$6, 0), FALSE),
            0
        ) +
        IFERROR(
            VLOOKUP($A73, INDIRECT("MarR!$A$6:$ZZ$1048576"), MATCH(AO$1, MarR!$6:$6, 0), FALSE),
            0
        ) +
        IFERROR(
            VLOOKUP($A73, INDIRECT("AbrR!$A$6:$ZZ$1048576"), MATCH(AO$1, AbrR!$6:$6, 0), FALSE),
            0
        ) +
        IFERROR(
            VLOOKUP($A73, INDIRECT("MayR!$A$6:$ZZ$1048576"), MATCH(AO$1, MayR!$6:$6, 0), FALSE),
            0
        ) +
        IFERROR(
            VLOOKUP($A73, INDIRECT("JunR!$A$6:$ZZ$1048576"), MATCH(AO$1, JunR!$6:$6, 0), FALSE),
            0
        ) +
        IFERROR(
            VLOOKUP($A73, INDIRECT("JulR!$A$6:$ZZ$1048576"), MATCH(AO$1, JulR!$6:$6, 0), FALSE),
            0
        ) +
        IFERROR(
            VLOOKUP($A73, INDIRECT("AgoR!$A$6:$ZZ$1048576"), MATCH(AO$1, AgoR!$6:$6, 0), FALSE),
            0
        ) +
        IFERROR(
            VLOOKUP($A73, INDIRECT("SepR!$A$6:$ZZ$1048576"), MATCH(AO$1, SepR!$6:$6, 0), FALSE),
            0
        ) +
        IFERROR(
            VLOOKUP($A73, INDIRECT("OctR!$A$6:$ZZ$1048576"), MATCH(AO$1, OctR!$6:$6, 0), FALSE),
            0
        ) +
        IFERROR(
            VLOOKUP($A73, INDIRECT("NovR!$A$6:$ZZ$1048576"), MATCH(AO$1, NovR!$6:$6, 0), FALSE),
            0
        ) +
        IFERROR(
            VLOOKUP($A73, INDIRECT("DicR!$A$6:$ZZ$1048576"), MATCH(AO$1, DicR!$6:$6, 0), FALSE),
            0
        )
)</f>
        <v>0</v>
      </c>
      <c r="AP73" s="36">
        <f t="array" ref="AP73">SUM(
    IFERROR(
            VLOOKUP($A73, INDIRECT("EneR!$A$6:$ZZ$1048576"), MATCH(AP$1, EneR!$6:$6, 0), FALSE),
            0
        ) +
        IFERROR(
            VLOOKUP($A73, INDIRECT("FebR!$A$6:$ZZ$1048576"), MATCH(AP$1, FebR!$6:$6, 0), FALSE),
            0
        ) +
        IFERROR(
            VLOOKUP($A73, INDIRECT("MarR!$A$6:$ZZ$1048576"), MATCH(AP$1, MarR!$6:$6, 0), FALSE),
            0
        ) +
        IFERROR(
            VLOOKUP($A73, INDIRECT("AbrR!$A$6:$ZZ$1048576"), MATCH(AP$1, AbrR!$6:$6, 0), FALSE),
            0
        ) +
        IFERROR(
            VLOOKUP($A73, INDIRECT("MayR!$A$6:$ZZ$1048576"), MATCH(AP$1, MayR!$6:$6, 0), FALSE),
            0
        ) +
        IFERROR(
            VLOOKUP($A73, INDIRECT("JunR!$A$6:$ZZ$1048576"), MATCH(AP$1, JunR!$6:$6, 0), FALSE),
            0
        ) +
        IFERROR(
            VLOOKUP($A73, INDIRECT("JulR!$A$6:$ZZ$1048576"), MATCH(AP$1, JulR!$6:$6, 0), FALSE),
            0
        ) +
        IFERROR(
            VLOOKUP($A73, INDIRECT("AgoR!$A$6:$ZZ$1048576"), MATCH(AP$1, AgoR!$6:$6, 0), FALSE),
            0
        ) +
        IFERROR(
            VLOOKUP($A73, INDIRECT("SepR!$A$6:$ZZ$1048576"), MATCH(AP$1, SepR!$6:$6, 0), FALSE),
            0
        ) +
        IFERROR(
            VLOOKUP($A73, INDIRECT("OctR!$A$6:$ZZ$1048576"), MATCH(AP$1, OctR!$6:$6, 0), FALSE),
            0
        ) +
        IFERROR(
            VLOOKUP($A73, INDIRECT("NovR!$A$6:$ZZ$1048576"), MATCH(AP$1, NovR!$6:$6, 0), FALSE),
            0
        ) +
        IFERROR(
            VLOOKUP($A73, INDIRECT("DicR!$A$6:$ZZ$1048576"), MATCH(AP$1, DicR!$6:$6, 0), FALSE),
            0
        )
)</f>
        <v>0</v>
      </c>
      <c r="AQ73" s="35">
        <f t="array" ref="AQ73">SUM(
    IFERROR(
            VLOOKUP($A73, INDIRECT("EneR!$A$6:$ZZ$1048576"), MATCH(AQ$1, EneR!$6:$6, 0), FALSE),
            0
        ) +
        IFERROR(
            VLOOKUP($A73, INDIRECT("FebR!$A$6:$ZZ$1048576"), MATCH(AQ$1, FebR!$6:$6, 0), FALSE),
            0
        ) +
        IFERROR(
            VLOOKUP($A73, INDIRECT("MarR!$A$6:$ZZ$1048576"), MATCH(AQ$1, MarR!$6:$6, 0), FALSE),
            0
        ) +
        IFERROR(
            VLOOKUP($A73, INDIRECT("AbrR!$A$6:$ZZ$1048576"), MATCH(AQ$1, AbrR!$6:$6, 0), FALSE),
            0
        ) +
        IFERROR(
            VLOOKUP($A73, INDIRECT("MayR!$A$6:$ZZ$1048576"), MATCH(AQ$1, MayR!$6:$6, 0), FALSE),
            0
        ) +
        IFERROR(
            VLOOKUP($A73, INDIRECT("JunR!$A$6:$ZZ$1048576"), MATCH(AQ$1, JunR!$6:$6, 0), FALSE),
            0
        ) +
        IFERROR(
            VLOOKUP($A73, INDIRECT("JulR!$A$6:$ZZ$1048576"), MATCH(AQ$1, JulR!$6:$6, 0), FALSE),
            0
        ) +
        IFERROR(
            VLOOKUP($A73, INDIRECT("AgoR!$A$6:$ZZ$1048576"), MATCH(AQ$1, AgoR!$6:$6, 0), FALSE),
            0
        ) +
        IFERROR(
            VLOOKUP($A73, INDIRECT("SepR!$A$6:$ZZ$1048576"), MATCH(AQ$1, SepR!$6:$6, 0), FALSE),
            0
        ) +
        IFERROR(
            VLOOKUP($A73, INDIRECT("OctR!$A$6:$ZZ$1048576"), MATCH(AQ$1, OctR!$6:$6, 0), FALSE),
            0
        ) +
        IFERROR(
            VLOOKUP($A73, INDIRECT("NovR!$A$6:$ZZ$1048576"), MATCH(AQ$1, NovR!$6:$6, 0), FALSE),
            0
        ) +
        IFERROR(
            VLOOKUP($A73, INDIRECT("DicR!$A$6:$ZZ$1048576"), MATCH(AQ$1, DicR!$6:$6, 0), FALSE),
            0
        )
)</f>
        <v>0</v>
      </c>
      <c r="AR73" s="36">
        <f t="array" ref="AR73">SUM(
    IFERROR(
            VLOOKUP($A73, INDIRECT("EneR!$A$6:$ZZ$1048576"), MATCH(AR$1, EneR!$6:$6, 0), FALSE),
            0
        ) +
        IFERROR(
            VLOOKUP($A73, INDIRECT("FebR!$A$6:$ZZ$1048576"), MATCH(AR$1, FebR!$6:$6, 0), FALSE),
            0
        ) +
        IFERROR(
            VLOOKUP($A73, INDIRECT("MarR!$A$6:$ZZ$1048576"), MATCH(AR$1, MarR!$6:$6, 0), FALSE),
            0
        ) +
        IFERROR(
            VLOOKUP($A73, INDIRECT("AbrR!$A$6:$ZZ$1048576"), MATCH(AR$1, AbrR!$6:$6, 0), FALSE),
            0
        ) +
        IFERROR(
            VLOOKUP($A73, INDIRECT("MayR!$A$6:$ZZ$1048576"), MATCH(AR$1, MayR!$6:$6, 0), FALSE),
            0
        ) +
        IFERROR(
            VLOOKUP($A73, INDIRECT("JunR!$A$6:$ZZ$1048576"), MATCH(AR$1, JunR!$6:$6, 0), FALSE),
            0
        ) +
        IFERROR(
            VLOOKUP($A73, INDIRECT("JulR!$A$6:$ZZ$1048576"), MATCH(AR$1, JulR!$6:$6, 0), FALSE),
            0
        ) +
        IFERROR(
            VLOOKUP($A73, INDIRECT("AgoR!$A$6:$ZZ$1048576"), MATCH(AR$1, AgoR!$6:$6, 0), FALSE),
            0
        ) +
        IFERROR(
            VLOOKUP($A73, INDIRECT("SepR!$A$6:$ZZ$1048576"), MATCH(AR$1, SepR!$6:$6, 0), FALSE),
            0
        ) +
        IFERROR(
            VLOOKUP($A73, INDIRECT("OctR!$A$6:$ZZ$1048576"), MATCH(AR$1, OctR!$6:$6, 0), FALSE),
            0
        ) +
        IFERROR(
            VLOOKUP($A73, INDIRECT("NovR!$A$6:$ZZ$1048576"), MATCH(AR$1, NovR!$6:$6, 0), FALSE),
            0
        ) +
        IFERROR(
            VLOOKUP($A73, INDIRECT("DicR!$A$6:$ZZ$1048576"), MATCH(AR$1, DicR!$6:$6, 0), FALSE),
            0
        )
)</f>
        <v>0</v>
      </c>
      <c r="AS73" s="35">
        <f t="array" ref="AS73">SUM(
    IFERROR(
            VLOOKUP($A73, INDIRECT("EneR!$A$6:$ZZ$1048576"), MATCH(AS$1, EneR!$6:$6, 0), FALSE),
            0
        ) +
        IFERROR(
            VLOOKUP($A73, INDIRECT("FebR!$A$6:$ZZ$1048576"), MATCH(AS$1, FebR!$6:$6, 0), FALSE),
            0
        ) +
        IFERROR(
            VLOOKUP($A73, INDIRECT("MarR!$A$6:$ZZ$1048576"), MATCH(AS$1, MarR!$6:$6, 0), FALSE),
            0
        ) +
        IFERROR(
            VLOOKUP($A73, INDIRECT("AbrR!$A$6:$ZZ$1048576"), MATCH(AS$1, AbrR!$6:$6, 0), FALSE),
            0
        ) +
        IFERROR(
            VLOOKUP($A73, INDIRECT("MayR!$A$6:$ZZ$1048576"), MATCH(AS$1, MayR!$6:$6, 0), FALSE),
            0
        ) +
        IFERROR(
            VLOOKUP($A73, INDIRECT("JunR!$A$6:$ZZ$1048576"), MATCH(AS$1, JunR!$6:$6, 0), FALSE),
            0
        ) +
        IFERROR(
            VLOOKUP($A73, INDIRECT("JulR!$A$6:$ZZ$1048576"), MATCH(AS$1, JulR!$6:$6, 0), FALSE),
            0
        ) +
        IFERROR(
            VLOOKUP($A73, INDIRECT("AgoR!$A$6:$ZZ$1048576"), MATCH(AS$1, AgoR!$6:$6, 0), FALSE),
            0
        ) +
        IFERROR(
            VLOOKUP($A73, INDIRECT("SepR!$A$6:$ZZ$1048576"), MATCH(AS$1, SepR!$6:$6, 0), FALSE),
            0
        ) +
        IFERROR(
            VLOOKUP($A73, INDIRECT("OctR!$A$6:$ZZ$1048576"), MATCH(AS$1, OctR!$6:$6, 0), FALSE),
            0
        ) +
        IFERROR(
            VLOOKUP($A73, INDIRECT("NovR!$A$6:$ZZ$1048576"), MATCH(AS$1, NovR!$6:$6, 0), FALSE),
            0
        ) +
        IFERROR(
            VLOOKUP($A73, INDIRECT("DicR!$A$6:$ZZ$1048576"), MATCH(AS$1, DicR!$6:$6, 0), FALSE),
            0
        )
)</f>
        <v>0</v>
      </c>
      <c r="AT73" s="36">
        <f t="array" ref="AT73">SUM(
    IFERROR(
            VLOOKUP($A73, INDIRECT("EneR!$A$6:$ZZ$1048576"), MATCH(AT$1, EneR!$6:$6, 0), FALSE),
            0
        ) +
        IFERROR(
            VLOOKUP($A73, INDIRECT("FebR!$A$6:$ZZ$1048576"), MATCH(AT$1, FebR!$6:$6, 0), FALSE),
            0
        ) +
        IFERROR(
            VLOOKUP($A73, INDIRECT("MarR!$A$6:$ZZ$1048576"), MATCH(AT$1, MarR!$6:$6, 0), FALSE),
            0
        ) +
        IFERROR(
            VLOOKUP($A73, INDIRECT("AbrR!$A$6:$ZZ$1048576"), MATCH(AT$1, AbrR!$6:$6, 0), FALSE),
            0
        ) +
        IFERROR(
            VLOOKUP($A73, INDIRECT("MayR!$A$6:$ZZ$1048576"), MATCH(AT$1, MayR!$6:$6, 0), FALSE),
            0
        ) +
        IFERROR(
            VLOOKUP($A73, INDIRECT("JunR!$A$6:$ZZ$1048576"), MATCH(AT$1, JunR!$6:$6, 0), FALSE),
            0
        ) +
        IFERROR(
            VLOOKUP($A73, INDIRECT("JulR!$A$6:$ZZ$1048576"), MATCH(AT$1, JulR!$6:$6, 0), FALSE),
            0
        ) +
        IFERROR(
            VLOOKUP($A73, INDIRECT("AgoR!$A$6:$ZZ$1048576"), MATCH(AT$1, AgoR!$6:$6, 0), FALSE),
            0
        ) +
        IFERROR(
            VLOOKUP($A73, INDIRECT("SepR!$A$6:$ZZ$1048576"), MATCH(AT$1, SepR!$6:$6, 0), FALSE),
            0
        ) +
        IFERROR(
            VLOOKUP($A73, INDIRECT("OctR!$A$6:$ZZ$1048576"), MATCH(AT$1, OctR!$6:$6, 0), FALSE),
            0
        ) +
        IFERROR(
            VLOOKUP($A73, INDIRECT("NovR!$A$6:$ZZ$1048576"), MATCH(AT$1, NovR!$6:$6, 0), FALSE),
            0
        ) +
        IFERROR(
            VLOOKUP($A73, INDIRECT("DicR!$A$6:$ZZ$1048576"), MATCH(AT$1, DicR!$6:$6, 0), FALSE),
            0
        )
)</f>
        <v>0</v>
      </c>
      <c r="AU73" s="35">
        <f t="array" ref="AU73">SUM(
    IFERROR(
            VLOOKUP($A73, INDIRECT("EneR!$A$6:$ZZ$1048576"), MATCH(AU$1, EneR!$6:$6, 0), FALSE),
            0
        ) +
        IFERROR(
            VLOOKUP($A73, INDIRECT("FebR!$A$6:$ZZ$1048576"), MATCH(AU$1, FebR!$6:$6, 0), FALSE),
            0
        ) +
        IFERROR(
            VLOOKUP($A73, INDIRECT("MarR!$A$6:$ZZ$1048576"), MATCH(AU$1, MarR!$6:$6, 0), FALSE),
            0
        ) +
        IFERROR(
            VLOOKUP($A73, INDIRECT("AbrR!$A$6:$ZZ$1048576"), MATCH(AU$1, AbrR!$6:$6, 0), FALSE),
            0
        ) +
        IFERROR(
            VLOOKUP($A73, INDIRECT("MayR!$A$6:$ZZ$1048576"), MATCH(AU$1, MayR!$6:$6, 0), FALSE),
            0
        ) +
        IFERROR(
            VLOOKUP($A73, INDIRECT("JunR!$A$6:$ZZ$1048576"), MATCH(AU$1, JunR!$6:$6, 0), FALSE),
            0
        ) +
        IFERROR(
            VLOOKUP($A73, INDIRECT("JulR!$A$6:$ZZ$1048576"), MATCH(AU$1, JulR!$6:$6, 0), FALSE),
            0
        ) +
        IFERROR(
            VLOOKUP($A73, INDIRECT("AgoR!$A$6:$ZZ$1048576"), MATCH(AU$1, AgoR!$6:$6, 0), FALSE),
            0
        ) +
        IFERROR(
            VLOOKUP($A73, INDIRECT("SepR!$A$6:$ZZ$1048576"), MATCH(AU$1, SepR!$6:$6, 0), FALSE),
            0
        ) +
        IFERROR(
            VLOOKUP($A73, INDIRECT("OctR!$A$6:$ZZ$1048576"), MATCH(AU$1, OctR!$6:$6, 0), FALSE),
            0
        ) +
        IFERROR(
            VLOOKUP($A73, INDIRECT("NovR!$A$6:$ZZ$1048576"), MATCH(AU$1, NovR!$6:$6, 0), FALSE),
            0
        ) +
        IFERROR(
            VLOOKUP($A73, INDIRECT("DicR!$A$6:$ZZ$1048576"), MATCH(AU$1, DicR!$6:$6, 0), FALSE),
            0
        )
)</f>
        <v>0</v>
      </c>
      <c r="AV73" s="36">
        <f t="array" ref="AV73">SUM(
    IFERROR(
            VLOOKUP($A73, INDIRECT("EneR!$A$6:$ZZ$1048576"), MATCH(AV$1, EneR!$6:$6, 0), FALSE),
            0
        ) +
        IFERROR(
            VLOOKUP($A73, INDIRECT("FebR!$A$6:$ZZ$1048576"), MATCH(AV$1, FebR!$6:$6, 0), FALSE),
            0
        ) +
        IFERROR(
            VLOOKUP($A73, INDIRECT("MarR!$A$6:$ZZ$1048576"), MATCH(AV$1, MarR!$6:$6, 0), FALSE),
            0
        ) +
        IFERROR(
            VLOOKUP($A73, INDIRECT("AbrR!$A$6:$ZZ$1048576"), MATCH(AV$1, AbrR!$6:$6, 0), FALSE),
            0
        ) +
        IFERROR(
            VLOOKUP($A73, INDIRECT("MayR!$A$6:$ZZ$1048576"), MATCH(AV$1, MayR!$6:$6, 0), FALSE),
            0
        ) +
        IFERROR(
            VLOOKUP($A73, INDIRECT("JunR!$A$6:$ZZ$1048576"), MATCH(AV$1, JunR!$6:$6, 0), FALSE),
            0
        ) +
        IFERROR(
            VLOOKUP($A73, INDIRECT("JulR!$A$6:$ZZ$1048576"), MATCH(AV$1, JulR!$6:$6, 0), FALSE),
            0
        ) +
        IFERROR(
            VLOOKUP($A73, INDIRECT("AgoR!$A$6:$ZZ$1048576"), MATCH(AV$1, AgoR!$6:$6, 0), FALSE),
            0
        ) +
        IFERROR(
            VLOOKUP($A73, INDIRECT("SepR!$A$6:$ZZ$1048576"), MATCH(AV$1, SepR!$6:$6, 0), FALSE),
            0
        ) +
        IFERROR(
            VLOOKUP($A73, INDIRECT("OctR!$A$6:$ZZ$1048576"), MATCH(AV$1, OctR!$6:$6, 0), FALSE),
            0
        ) +
        IFERROR(
            VLOOKUP($A73, INDIRECT("NovR!$A$6:$ZZ$1048576"), MATCH(AV$1, NovR!$6:$6, 0), FALSE),
            0
        ) +
        IFERROR(
            VLOOKUP($A73, INDIRECT("DicR!$A$6:$ZZ$1048576"), MATCH(AV$1, DicR!$6:$6, 0), FALSE),
            0
        )
)</f>
        <v>0</v>
      </c>
      <c r="AW73" s="35">
        <f t="array" ref="AW73">SUM(
    IFERROR(
            VLOOKUP($A73, INDIRECT("EneR!$A$6:$ZZ$1048576"), MATCH(AW$1, EneR!$6:$6, 0), FALSE),
            0
        ) +
        IFERROR(
            VLOOKUP($A73, INDIRECT("FebR!$A$6:$ZZ$1048576"), MATCH(AW$1, FebR!$6:$6, 0), FALSE),
            0
        ) +
        IFERROR(
            VLOOKUP($A73, INDIRECT("MarR!$A$6:$ZZ$1048576"), MATCH(AW$1, MarR!$6:$6, 0), FALSE),
            0
        ) +
        IFERROR(
            VLOOKUP($A73, INDIRECT("AbrR!$A$6:$ZZ$1048576"), MATCH(AW$1, AbrR!$6:$6, 0), FALSE),
            0
        ) +
        IFERROR(
            VLOOKUP($A73, INDIRECT("MayR!$A$6:$ZZ$1048576"), MATCH(AW$1, MayR!$6:$6, 0), FALSE),
            0
        ) +
        IFERROR(
            VLOOKUP($A73, INDIRECT("JunR!$A$6:$ZZ$1048576"), MATCH(AW$1, JunR!$6:$6, 0), FALSE),
            0
        ) +
        IFERROR(
            VLOOKUP($A73, INDIRECT("JulR!$A$6:$ZZ$1048576"), MATCH(AW$1, JulR!$6:$6, 0), FALSE),
            0
        ) +
        IFERROR(
            VLOOKUP($A73, INDIRECT("AgoR!$A$6:$ZZ$1048576"), MATCH(AW$1, AgoR!$6:$6, 0), FALSE),
            0
        ) +
        IFERROR(
            VLOOKUP($A73, INDIRECT("SepR!$A$6:$ZZ$1048576"), MATCH(AW$1, SepR!$6:$6, 0), FALSE),
            0
        ) +
        IFERROR(
            VLOOKUP($A73, INDIRECT("OctR!$A$6:$ZZ$1048576"), MATCH(AW$1, OctR!$6:$6, 0), FALSE),
            0
        ) +
        IFERROR(
            VLOOKUP($A73, INDIRECT("NovR!$A$6:$ZZ$1048576"), MATCH(AW$1, NovR!$6:$6, 0), FALSE),
            0
        ) +
        IFERROR(
            VLOOKUP($A73, INDIRECT("DicR!$A$6:$ZZ$1048576"), MATCH(AW$1, DicR!$6:$6, 0), FALSE),
            0
        )
)</f>
        <v>0</v>
      </c>
      <c r="AX73" s="36">
        <f t="array" ref="AX73">SUM(
    IFERROR(
            VLOOKUP($A73, INDIRECT("EneR!$A$6:$ZZ$1048576"), MATCH(AX$1, EneR!$6:$6, 0), FALSE),
            0
        ) +
        IFERROR(
            VLOOKUP($A73, INDIRECT("FebR!$A$6:$ZZ$1048576"), MATCH(AX$1, FebR!$6:$6, 0), FALSE),
            0
        ) +
        IFERROR(
            VLOOKUP($A73, INDIRECT("MarR!$A$6:$ZZ$1048576"), MATCH(AX$1, MarR!$6:$6, 0), FALSE),
            0
        ) +
        IFERROR(
            VLOOKUP($A73, INDIRECT("AbrR!$A$6:$ZZ$1048576"), MATCH(AX$1, AbrR!$6:$6, 0), FALSE),
            0
        ) +
        IFERROR(
            VLOOKUP($A73, INDIRECT("MayR!$A$6:$ZZ$1048576"), MATCH(AX$1, MayR!$6:$6, 0), FALSE),
            0
        ) +
        IFERROR(
            VLOOKUP($A73, INDIRECT("JunR!$A$6:$ZZ$1048576"), MATCH(AX$1, JunR!$6:$6, 0), FALSE),
            0
        ) +
        IFERROR(
            VLOOKUP($A73, INDIRECT("JulR!$A$6:$ZZ$1048576"), MATCH(AX$1, JulR!$6:$6, 0), FALSE),
            0
        ) +
        IFERROR(
            VLOOKUP($A73, INDIRECT("AgoR!$A$6:$ZZ$1048576"), MATCH(AX$1, AgoR!$6:$6, 0), FALSE),
            0
        ) +
        IFERROR(
            VLOOKUP($A73, INDIRECT("SepR!$A$6:$ZZ$1048576"), MATCH(AX$1, SepR!$6:$6, 0), FALSE),
            0
        ) +
        IFERROR(
            VLOOKUP($A73, INDIRECT("OctR!$A$6:$ZZ$1048576"), MATCH(AX$1, OctR!$6:$6, 0), FALSE),
            0
        ) +
        IFERROR(
            VLOOKUP($A73, INDIRECT("NovR!$A$6:$ZZ$1048576"), MATCH(AX$1, NovR!$6:$6, 0), FALSE),
            0
        ) +
        IFERROR(
            VLOOKUP($A73, INDIRECT("DicR!$A$6:$ZZ$1048576"), MATCH(AX$1, DicR!$6:$6, 0), FALSE),
            0
        )
)</f>
        <v>0</v>
      </c>
      <c r="AY73" s="35">
        <f t="array" ref="AY73">SUM(
    IFERROR(
            VLOOKUP($A73, INDIRECT("EneR!$A$6:$ZZ$1048576"), MATCH(AY$1, EneR!$6:$6, 0), FALSE),
            0
        ) +
        IFERROR(
            VLOOKUP($A73, INDIRECT("FebR!$A$6:$ZZ$1048576"), MATCH(AY$1, FebR!$6:$6, 0), FALSE),
            0
        ) +
        IFERROR(
            VLOOKUP($A73, INDIRECT("MarR!$A$6:$ZZ$1048576"), MATCH(AY$1, MarR!$6:$6, 0), FALSE),
            0
        ) +
        IFERROR(
            VLOOKUP($A73, INDIRECT("AbrR!$A$6:$ZZ$1048576"), MATCH(AY$1, AbrR!$6:$6, 0), FALSE),
            0
        ) +
        IFERROR(
            VLOOKUP($A73, INDIRECT("MayR!$A$6:$ZZ$1048576"), MATCH(AY$1, MayR!$6:$6, 0), FALSE),
            0
        ) +
        IFERROR(
            VLOOKUP($A73, INDIRECT("JunR!$A$6:$ZZ$1048576"), MATCH(AY$1, JunR!$6:$6, 0), FALSE),
            0
        ) +
        IFERROR(
            VLOOKUP($A73, INDIRECT("JulR!$A$6:$ZZ$1048576"), MATCH(AY$1, JulR!$6:$6, 0), FALSE),
            0
        ) +
        IFERROR(
            VLOOKUP($A73, INDIRECT("AgoR!$A$6:$ZZ$1048576"), MATCH(AY$1, AgoR!$6:$6, 0), FALSE),
            0
        ) +
        IFERROR(
            VLOOKUP($A73, INDIRECT("SepR!$A$6:$ZZ$1048576"), MATCH(AY$1, SepR!$6:$6, 0), FALSE),
            0
        ) +
        IFERROR(
            VLOOKUP($A73, INDIRECT("OctR!$A$6:$ZZ$1048576"), MATCH(AY$1, OctR!$6:$6, 0), FALSE),
            0
        ) +
        IFERROR(
            VLOOKUP($A73, INDIRECT("NovR!$A$6:$ZZ$1048576"), MATCH(AY$1, NovR!$6:$6, 0), FALSE),
            0
        ) +
        IFERROR(
            VLOOKUP($A73, INDIRECT("DicR!$A$6:$ZZ$1048576"), MATCH(AY$1, DicR!$6:$6, 0), FALSE),
            0
        )
)</f>
        <v>0</v>
      </c>
      <c r="AZ73" s="35"/>
    </row>
    <row r="74" ht="15.75" customHeight="1">
      <c r="A74" s="12" t="str">
        <f>Menus!B35</f>
        <v/>
      </c>
      <c r="B74" s="32">
        <f t="shared" si="9"/>
        <v>0</v>
      </c>
      <c r="C74" s="33" t="str">
        <f t="shared" si="10"/>
        <v/>
      </c>
      <c r="D74" s="34">
        <f t="array" ref="D74">SUM(
    IFERROR(
            VLOOKUP($A74, INDIRECT("EneR!$A$6:$ZZ$1048576"), MATCH(D$1, EneR!$6:$6, 0), FALSE),
            0
        ) +
        IFERROR(
            VLOOKUP($A74, INDIRECT("FebR!$A$6:$ZZ$1048576"), MATCH(D$1, FebR!$6:$6, 0), FALSE),
            0
        ) +
        IFERROR(
            VLOOKUP($A74, INDIRECT("MarR!$A$6:$ZZ$1048576"), MATCH(D$1, MarR!$6:$6, 0), FALSE),
            0
        ) +
        IFERROR(
            VLOOKUP($A74, INDIRECT("AbrR!$A$6:$ZZ$1048576"), MATCH(D$1, AbrR!$6:$6, 0), FALSE),
            0
        ) +
        IFERROR(
            VLOOKUP($A74, INDIRECT("MayR!$A$6:$ZZ$1048576"), MATCH(D$1, MayR!$6:$6, 0), FALSE),
            0
        ) +
        IFERROR(
            VLOOKUP($A74, INDIRECT("JunR!$A$6:$ZZ$1048576"), MATCH(D$1, JunR!$6:$6, 0), FALSE),
            0
        ) +
        IFERROR(
            VLOOKUP($A74, INDIRECT("JulR!$A$6:$ZZ$1048576"), MATCH(D$1, JulR!$6:$6, 0), FALSE),
            0
        ) +
        IFERROR(
            VLOOKUP($A74, INDIRECT("AgoR!$A$6:$ZZ$1048576"), MATCH(D$1, AgoR!$6:$6, 0), FALSE),
            0
        ) +
        IFERROR(
            VLOOKUP($A74, INDIRECT("SepR!$A$6:$ZZ$1048576"), MATCH(D$1, SepR!$6:$6, 0), FALSE),
            0
        ) +
        IFERROR(
            VLOOKUP($A74, INDIRECT("OctR!$A$6:$ZZ$1048576"), MATCH(D$1, OctR!$6:$6, 0), FALSE),
            0
        ) +
        IFERROR(
            VLOOKUP($A74, INDIRECT("NovR!$A$6:$ZZ$1048576"), MATCH(D$1, NovR!$6:$6, 0), FALSE),
            0
        ) +
        IFERROR(
            VLOOKUP($A74, INDIRECT("DicR!$A$6:$ZZ$1048576"), MATCH(D$1, DicR!$6:$6, 0), FALSE),
            0
        )
)</f>
        <v>0</v>
      </c>
      <c r="E74" s="35">
        <f t="array" ref="E74">SUM(
    IFERROR(
            VLOOKUP($A74, INDIRECT("EneR!$A$6:$ZZ$1048576"), MATCH(E$1, EneR!$6:$6, 0), FALSE),
            0
        ) +
        IFERROR(
            VLOOKUP($A74, INDIRECT("FebR!$A$6:$ZZ$1048576"), MATCH(E$1, FebR!$6:$6, 0), FALSE),
            0
        ) +
        IFERROR(
            VLOOKUP($A74, INDIRECT("MarR!$A$6:$ZZ$1048576"), MATCH(E$1, MarR!$6:$6, 0), FALSE),
            0
        ) +
        IFERROR(
            VLOOKUP($A74, INDIRECT("AbrR!$A$6:$ZZ$1048576"), MATCH(E$1, AbrR!$6:$6, 0), FALSE),
            0
        ) +
        IFERROR(
            VLOOKUP($A74, INDIRECT("MayR!$A$6:$ZZ$1048576"), MATCH(E$1, MayR!$6:$6, 0), FALSE),
            0
        ) +
        IFERROR(
            VLOOKUP($A74, INDIRECT("JunR!$A$6:$ZZ$1048576"), MATCH(E$1, JunR!$6:$6, 0), FALSE),
            0
        ) +
        IFERROR(
            VLOOKUP($A74, INDIRECT("JulR!$A$6:$ZZ$1048576"), MATCH(E$1, JulR!$6:$6, 0), FALSE),
            0
        ) +
        IFERROR(
            VLOOKUP($A74, INDIRECT("AgoR!$A$6:$ZZ$1048576"), MATCH(E$1, AgoR!$6:$6, 0), FALSE),
            0
        ) +
        IFERROR(
            VLOOKUP($A74, INDIRECT("SepR!$A$6:$ZZ$1048576"), MATCH(E$1, SepR!$6:$6, 0), FALSE),
            0
        ) +
        IFERROR(
            VLOOKUP($A74, INDIRECT("OctR!$A$6:$ZZ$1048576"), MATCH(E$1, OctR!$6:$6, 0), FALSE),
            0
        ) +
        IFERROR(
            VLOOKUP($A74, INDIRECT("NovR!$A$6:$ZZ$1048576"), MATCH(E$1, NovR!$6:$6, 0), FALSE),
            0
        ) +
        IFERROR(
            VLOOKUP($A74, INDIRECT("DicR!$A$6:$ZZ$1048576"), MATCH(E$1, DicR!$6:$6, 0), FALSE),
            0
        )
)</f>
        <v>0</v>
      </c>
      <c r="F74" s="32">
        <f t="array" ref="F74">SUM(
    IFERROR(
            VLOOKUP($A74, INDIRECT("EneR!$A$6:$ZZ$1048576"), MATCH(F$1, EneR!$6:$6, 0), FALSE),
            0
        ) +
        IFERROR(
            VLOOKUP($A74, INDIRECT("FebR!$A$6:$ZZ$1048576"), MATCH(F$1, FebR!$6:$6, 0), FALSE),
            0
        ) +
        IFERROR(
            VLOOKUP($A74, INDIRECT("MarR!$A$6:$ZZ$1048576"), MATCH(F$1, MarR!$6:$6, 0), FALSE),
            0
        ) +
        IFERROR(
            VLOOKUP($A74, INDIRECT("AbrR!$A$6:$ZZ$1048576"), MATCH(F$1, AbrR!$6:$6, 0), FALSE),
            0
        ) +
        IFERROR(
            VLOOKUP($A74, INDIRECT("MayR!$A$6:$ZZ$1048576"), MATCH(F$1, MayR!$6:$6, 0), FALSE),
            0
        ) +
        IFERROR(
            VLOOKUP($A74, INDIRECT("JunR!$A$6:$ZZ$1048576"), MATCH(F$1, JunR!$6:$6, 0), FALSE),
            0
        ) +
        IFERROR(
            VLOOKUP($A74, INDIRECT("JulR!$A$6:$ZZ$1048576"), MATCH(F$1, JulR!$6:$6, 0), FALSE),
            0
        ) +
        IFERROR(
            VLOOKUP($A74, INDIRECT("AgoR!$A$6:$ZZ$1048576"), MATCH(F$1, AgoR!$6:$6, 0), FALSE),
            0
        ) +
        IFERROR(
            VLOOKUP($A74, INDIRECT("SepR!$A$6:$ZZ$1048576"), MATCH(F$1, SepR!$6:$6, 0), FALSE),
            0
        ) +
        IFERROR(
            VLOOKUP($A74, INDIRECT("OctR!$A$6:$ZZ$1048576"), MATCH(F$1, OctR!$6:$6, 0), FALSE),
            0
        ) +
        IFERROR(
            VLOOKUP($A74, INDIRECT("NovR!$A$6:$ZZ$1048576"), MATCH(F$1, NovR!$6:$6, 0), FALSE),
            0
        ) +
        IFERROR(
            VLOOKUP($A74, INDIRECT("DicR!$A$6:$ZZ$1048576"), MATCH(F$1, DicR!$6:$6, 0), FALSE),
            0
        )
)</f>
        <v>0</v>
      </c>
      <c r="G74" s="35">
        <f t="array" ref="G74">SUM(
    IFERROR(
            VLOOKUP($A74, INDIRECT("EneR!$A$6:$ZZ$1048576"), MATCH(G$1, EneR!$6:$6, 0), FALSE),
            0
        ) +
        IFERROR(
            VLOOKUP($A74, INDIRECT("FebR!$A$6:$ZZ$1048576"), MATCH(G$1, FebR!$6:$6, 0), FALSE),
            0
        ) +
        IFERROR(
            VLOOKUP($A74, INDIRECT("MarR!$A$6:$ZZ$1048576"), MATCH(G$1, MarR!$6:$6, 0), FALSE),
            0
        ) +
        IFERROR(
            VLOOKUP($A74, INDIRECT("AbrR!$A$6:$ZZ$1048576"), MATCH(G$1, AbrR!$6:$6, 0), FALSE),
            0
        ) +
        IFERROR(
            VLOOKUP($A74, INDIRECT("MayR!$A$6:$ZZ$1048576"), MATCH(G$1, MayR!$6:$6, 0), FALSE),
            0
        ) +
        IFERROR(
            VLOOKUP($A74, INDIRECT("JunR!$A$6:$ZZ$1048576"), MATCH(G$1, JunR!$6:$6, 0), FALSE),
            0
        ) +
        IFERROR(
            VLOOKUP($A74, INDIRECT("JulR!$A$6:$ZZ$1048576"), MATCH(G$1, JulR!$6:$6, 0), FALSE),
            0
        ) +
        IFERROR(
            VLOOKUP($A74, INDIRECT("AgoR!$A$6:$ZZ$1048576"), MATCH(G$1, AgoR!$6:$6, 0), FALSE),
            0
        ) +
        IFERROR(
            VLOOKUP($A74, INDIRECT("SepR!$A$6:$ZZ$1048576"), MATCH(G$1, SepR!$6:$6, 0), FALSE),
            0
        ) +
        IFERROR(
            VLOOKUP($A74, INDIRECT("OctR!$A$6:$ZZ$1048576"), MATCH(G$1, OctR!$6:$6, 0), FALSE),
            0
        ) +
        IFERROR(
            VLOOKUP($A74, INDIRECT("NovR!$A$6:$ZZ$1048576"), MATCH(G$1, NovR!$6:$6, 0), FALSE),
            0
        ) +
        IFERROR(
            VLOOKUP($A74, INDIRECT("DicR!$A$6:$ZZ$1048576"), MATCH(G$1, DicR!$6:$6, 0), FALSE),
            0
        )
)</f>
        <v>0</v>
      </c>
      <c r="H74" s="32">
        <f t="array" ref="H74">SUM(
    IFERROR(
            VLOOKUP($A74, INDIRECT("EneR!$A$6:$ZZ$1048576"), MATCH(H$1, EneR!$6:$6, 0), FALSE),
            0
        ) +
        IFERROR(
            VLOOKUP($A74, INDIRECT("FebR!$A$6:$ZZ$1048576"), MATCH(H$1, FebR!$6:$6, 0), FALSE),
            0
        ) +
        IFERROR(
            VLOOKUP($A74, INDIRECT("MarR!$A$6:$ZZ$1048576"), MATCH(H$1, MarR!$6:$6, 0), FALSE),
            0
        ) +
        IFERROR(
            VLOOKUP($A74, INDIRECT("AbrR!$A$6:$ZZ$1048576"), MATCH(H$1, AbrR!$6:$6, 0), FALSE),
            0
        ) +
        IFERROR(
            VLOOKUP($A74, INDIRECT("MayR!$A$6:$ZZ$1048576"), MATCH(H$1, MayR!$6:$6, 0), FALSE),
            0
        ) +
        IFERROR(
            VLOOKUP($A74, INDIRECT("JunR!$A$6:$ZZ$1048576"), MATCH(H$1, JunR!$6:$6, 0), FALSE),
            0
        ) +
        IFERROR(
            VLOOKUP($A74, INDIRECT("JulR!$A$6:$ZZ$1048576"), MATCH(H$1, JulR!$6:$6, 0), FALSE),
            0
        ) +
        IFERROR(
            VLOOKUP($A74, INDIRECT("AgoR!$A$6:$ZZ$1048576"), MATCH(H$1, AgoR!$6:$6, 0), FALSE),
            0
        ) +
        IFERROR(
            VLOOKUP($A74, INDIRECT("SepR!$A$6:$ZZ$1048576"), MATCH(H$1, SepR!$6:$6, 0), FALSE),
            0
        ) +
        IFERROR(
            VLOOKUP($A74, INDIRECT("OctR!$A$6:$ZZ$1048576"), MATCH(H$1, OctR!$6:$6, 0), FALSE),
            0
        ) +
        IFERROR(
            VLOOKUP($A74, INDIRECT("NovR!$A$6:$ZZ$1048576"), MATCH(H$1, NovR!$6:$6, 0), FALSE),
            0
        ) +
        IFERROR(
            VLOOKUP($A74, INDIRECT("DicR!$A$6:$ZZ$1048576"), MATCH(H$1, DicR!$6:$6, 0), FALSE),
            0
        )
)</f>
        <v>0</v>
      </c>
      <c r="I74" s="35">
        <f t="array" ref="I74">SUM(
    IFERROR(
            VLOOKUP($A74, INDIRECT("EneR!$A$6:$ZZ$1048576"), MATCH(I$1, EneR!$6:$6, 0), FALSE),
            0
        ) +
        IFERROR(
            VLOOKUP($A74, INDIRECT("FebR!$A$6:$ZZ$1048576"), MATCH(I$1, FebR!$6:$6, 0), FALSE),
            0
        ) +
        IFERROR(
            VLOOKUP($A74, INDIRECT("MarR!$A$6:$ZZ$1048576"), MATCH(I$1, MarR!$6:$6, 0), FALSE),
            0
        ) +
        IFERROR(
            VLOOKUP($A74, INDIRECT("AbrR!$A$6:$ZZ$1048576"), MATCH(I$1, AbrR!$6:$6, 0), FALSE),
            0
        ) +
        IFERROR(
            VLOOKUP($A74, INDIRECT("MayR!$A$6:$ZZ$1048576"), MATCH(I$1, MayR!$6:$6, 0), FALSE),
            0
        ) +
        IFERROR(
            VLOOKUP($A74, INDIRECT("JunR!$A$6:$ZZ$1048576"), MATCH(I$1, JunR!$6:$6, 0), FALSE),
            0
        ) +
        IFERROR(
            VLOOKUP($A74, INDIRECT("JulR!$A$6:$ZZ$1048576"), MATCH(I$1, JulR!$6:$6, 0), FALSE),
            0
        ) +
        IFERROR(
            VLOOKUP($A74, INDIRECT("AgoR!$A$6:$ZZ$1048576"), MATCH(I$1, AgoR!$6:$6, 0), FALSE),
            0
        ) +
        IFERROR(
            VLOOKUP($A74, INDIRECT("SepR!$A$6:$ZZ$1048576"), MATCH(I$1, SepR!$6:$6, 0), FALSE),
            0
        ) +
        IFERROR(
            VLOOKUP($A74, INDIRECT("OctR!$A$6:$ZZ$1048576"), MATCH(I$1, OctR!$6:$6, 0), FALSE),
            0
        ) +
        IFERROR(
            VLOOKUP($A74, INDIRECT("NovR!$A$6:$ZZ$1048576"), MATCH(I$1, NovR!$6:$6, 0), FALSE),
            0
        ) +
        IFERROR(
            VLOOKUP($A74, INDIRECT("DicR!$A$6:$ZZ$1048576"), MATCH(I$1, DicR!$6:$6, 0), FALSE),
            0
        )
)</f>
        <v>0</v>
      </c>
      <c r="J74" s="32">
        <f t="array" ref="J74">SUM(
    IFERROR(
            VLOOKUP($A74, INDIRECT("EneR!$A$6:$ZZ$1048576"), MATCH(J$1, EneR!$6:$6, 0), FALSE),
            0
        ) +
        IFERROR(
            VLOOKUP($A74, INDIRECT("FebR!$A$6:$ZZ$1048576"), MATCH(J$1, FebR!$6:$6, 0), FALSE),
            0
        ) +
        IFERROR(
            VLOOKUP($A74, INDIRECT("MarR!$A$6:$ZZ$1048576"), MATCH(J$1, MarR!$6:$6, 0), FALSE),
            0
        ) +
        IFERROR(
            VLOOKUP($A74, INDIRECT("AbrR!$A$6:$ZZ$1048576"), MATCH(J$1, AbrR!$6:$6, 0), FALSE),
            0
        ) +
        IFERROR(
            VLOOKUP($A74, INDIRECT("MayR!$A$6:$ZZ$1048576"), MATCH(J$1, MayR!$6:$6, 0), FALSE),
            0
        ) +
        IFERROR(
            VLOOKUP($A74, INDIRECT("JunR!$A$6:$ZZ$1048576"), MATCH(J$1, JunR!$6:$6, 0), FALSE),
            0
        ) +
        IFERROR(
            VLOOKUP($A74, INDIRECT("JulR!$A$6:$ZZ$1048576"), MATCH(J$1, JulR!$6:$6, 0), FALSE),
            0
        ) +
        IFERROR(
            VLOOKUP($A74, INDIRECT("AgoR!$A$6:$ZZ$1048576"), MATCH(J$1, AgoR!$6:$6, 0), FALSE),
            0
        ) +
        IFERROR(
            VLOOKUP($A74, INDIRECT("SepR!$A$6:$ZZ$1048576"), MATCH(J$1, SepR!$6:$6, 0), FALSE),
            0
        ) +
        IFERROR(
            VLOOKUP($A74, INDIRECT("OctR!$A$6:$ZZ$1048576"), MATCH(J$1, OctR!$6:$6, 0), FALSE),
            0
        ) +
        IFERROR(
            VLOOKUP($A74, INDIRECT("NovR!$A$6:$ZZ$1048576"), MATCH(J$1, NovR!$6:$6, 0), FALSE),
            0
        ) +
        IFERROR(
            VLOOKUP($A74, INDIRECT("DicR!$A$6:$ZZ$1048576"), MATCH(J$1, DicR!$6:$6, 0), FALSE),
            0
        )
)</f>
        <v>0</v>
      </c>
      <c r="K74" s="35">
        <f t="array" ref="K74">SUM(
    IFERROR(
            VLOOKUP($A74, INDIRECT("EneR!$A$6:$ZZ$1048576"), MATCH(K$1, EneR!$6:$6, 0), FALSE),
            0
        ) +
        IFERROR(
            VLOOKUP($A74, INDIRECT("FebR!$A$6:$ZZ$1048576"), MATCH(K$1, FebR!$6:$6, 0), FALSE),
            0
        ) +
        IFERROR(
            VLOOKUP($A74, INDIRECT("MarR!$A$6:$ZZ$1048576"), MATCH(K$1, MarR!$6:$6, 0), FALSE),
            0
        ) +
        IFERROR(
            VLOOKUP($A74, INDIRECT("AbrR!$A$6:$ZZ$1048576"), MATCH(K$1, AbrR!$6:$6, 0), FALSE),
            0
        ) +
        IFERROR(
            VLOOKUP($A74, INDIRECT("MayR!$A$6:$ZZ$1048576"), MATCH(K$1, MayR!$6:$6, 0), FALSE),
            0
        ) +
        IFERROR(
            VLOOKUP($A74, INDIRECT("JunR!$A$6:$ZZ$1048576"), MATCH(K$1, JunR!$6:$6, 0), FALSE),
            0
        ) +
        IFERROR(
            VLOOKUP($A74, INDIRECT("JulR!$A$6:$ZZ$1048576"), MATCH(K$1, JulR!$6:$6, 0), FALSE),
            0
        ) +
        IFERROR(
            VLOOKUP($A74, INDIRECT("AgoR!$A$6:$ZZ$1048576"), MATCH(K$1, AgoR!$6:$6, 0), FALSE),
            0
        ) +
        IFERROR(
            VLOOKUP($A74, INDIRECT("SepR!$A$6:$ZZ$1048576"), MATCH(K$1, SepR!$6:$6, 0), FALSE),
            0
        ) +
        IFERROR(
            VLOOKUP($A74, INDIRECT("OctR!$A$6:$ZZ$1048576"), MATCH(K$1, OctR!$6:$6, 0), FALSE),
            0
        ) +
        IFERROR(
            VLOOKUP($A74, INDIRECT("NovR!$A$6:$ZZ$1048576"), MATCH(K$1, NovR!$6:$6, 0), FALSE),
            0
        ) +
        IFERROR(
            VLOOKUP($A74, INDIRECT("DicR!$A$6:$ZZ$1048576"), MATCH(K$1, DicR!$6:$6, 0), FALSE),
            0
        )
)</f>
        <v>0</v>
      </c>
      <c r="L74" s="32">
        <f t="array" ref="L74">SUM(
    IFERROR(
            VLOOKUP($A74, INDIRECT("EneR!$A$6:$ZZ$1048576"), MATCH(L$1, EneR!$6:$6, 0), FALSE),
            0
        ) +
        IFERROR(
            VLOOKUP($A74, INDIRECT("FebR!$A$6:$ZZ$1048576"), MATCH(L$1, FebR!$6:$6, 0), FALSE),
            0
        ) +
        IFERROR(
            VLOOKUP($A74, INDIRECT("MarR!$A$6:$ZZ$1048576"), MATCH(L$1, MarR!$6:$6, 0), FALSE),
            0
        ) +
        IFERROR(
            VLOOKUP($A74, INDIRECT("AbrR!$A$6:$ZZ$1048576"), MATCH(L$1, AbrR!$6:$6, 0), FALSE),
            0
        ) +
        IFERROR(
            VLOOKUP($A74, INDIRECT("MayR!$A$6:$ZZ$1048576"), MATCH(L$1, MayR!$6:$6, 0), FALSE),
            0
        ) +
        IFERROR(
            VLOOKUP($A74, INDIRECT("JunR!$A$6:$ZZ$1048576"), MATCH(L$1, JunR!$6:$6, 0), FALSE),
            0
        ) +
        IFERROR(
            VLOOKUP($A74, INDIRECT("JulR!$A$6:$ZZ$1048576"), MATCH(L$1, JulR!$6:$6, 0), FALSE),
            0
        ) +
        IFERROR(
            VLOOKUP($A74, INDIRECT("AgoR!$A$6:$ZZ$1048576"), MATCH(L$1, AgoR!$6:$6, 0), FALSE),
            0
        ) +
        IFERROR(
            VLOOKUP($A74, INDIRECT("SepR!$A$6:$ZZ$1048576"), MATCH(L$1, SepR!$6:$6, 0), FALSE),
            0
        ) +
        IFERROR(
            VLOOKUP($A74, INDIRECT("OctR!$A$6:$ZZ$1048576"), MATCH(L$1, OctR!$6:$6, 0), FALSE),
            0
        ) +
        IFERROR(
            VLOOKUP($A74, INDIRECT("NovR!$A$6:$ZZ$1048576"), MATCH(L$1, NovR!$6:$6, 0), FALSE),
            0
        ) +
        IFERROR(
            VLOOKUP($A74, INDIRECT("DicR!$A$6:$ZZ$1048576"), MATCH(L$1, DicR!$6:$6, 0), FALSE),
            0
        )
)</f>
        <v>0</v>
      </c>
      <c r="M74" s="35">
        <f t="array" ref="M74">SUM(
    IFERROR(
            VLOOKUP($A74, INDIRECT("EneR!$A$6:$ZZ$1048576"), MATCH(M$1, EneR!$6:$6, 0), FALSE),
            0
        ) +
        IFERROR(
            VLOOKUP($A74, INDIRECT("FebR!$A$6:$ZZ$1048576"), MATCH(M$1, FebR!$6:$6, 0), FALSE),
            0
        ) +
        IFERROR(
            VLOOKUP($A74, INDIRECT("MarR!$A$6:$ZZ$1048576"), MATCH(M$1, MarR!$6:$6, 0), FALSE),
            0
        ) +
        IFERROR(
            VLOOKUP($A74, INDIRECT("AbrR!$A$6:$ZZ$1048576"), MATCH(M$1, AbrR!$6:$6, 0), FALSE),
            0
        ) +
        IFERROR(
            VLOOKUP($A74, INDIRECT("MayR!$A$6:$ZZ$1048576"), MATCH(M$1, MayR!$6:$6, 0), FALSE),
            0
        ) +
        IFERROR(
            VLOOKUP($A74, INDIRECT("JunR!$A$6:$ZZ$1048576"), MATCH(M$1, JunR!$6:$6, 0), FALSE),
            0
        ) +
        IFERROR(
            VLOOKUP($A74, INDIRECT("JulR!$A$6:$ZZ$1048576"), MATCH(M$1, JulR!$6:$6, 0), FALSE),
            0
        ) +
        IFERROR(
            VLOOKUP($A74, INDIRECT("AgoR!$A$6:$ZZ$1048576"), MATCH(M$1, AgoR!$6:$6, 0), FALSE),
            0
        ) +
        IFERROR(
            VLOOKUP($A74, INDIRECT("SepR!$A$6:$ZZ$1048576"), MATCH(M$1, SepR!$6:$6, 0), FALSE),
            0
        ) +
        IFERROR(
            VLOOKUP($A74, INDIRECT("OctR!$A$6:$ZZ$1048576"), MATCH(M$1, OctR!$6:$6, 0), FALSE),
            0
        ) +
        IFERROR(
            VLOOKUP($A74, INDIRECT("NovR!$A$6:$ZZ$1048576"), MATCH(M$1, NovR!$6:$6, 0), FALSE),
            0
        ) +
        IFERROR(
            VLOOKUP($A74, INDIRECT("DicR!$A$6:$ZZ$1048576"), MATCH(M$1, DicR!$6:$6, 0), FALSE),
            0
        )
)</f>
        <v>0</v>
      </c>
      <c r="N74" s="32">
        <f t="array" ref="N74">SUM(
    IFERROR(
            VLOOKUP($A74, INDIRECT("EneR!$A$6:$ZZ$1048576"), MATCH(N$1, EneR!$6:$6, 0), FALSE),
            0
        ) +
        IFERROR(
            VLOOKUP($A74, INDIRECT("FebR!$A$6:$ZZ$1048576"), MATCH(N$1, FebR!$6:$6, 0), FALSE),
            0
        ) +
        IFERROR(
            VLOOKUP($A74, INDIRECT("MarR!$A$6:$ZZ$1048576"), MATCH(N$1, MarR!$6:$6, 0), FALSE),
            0
        ) +
        IFERROR(
            VLOOKUP($A74, INDIRECT("AbrR!$A$6:$ZZ$1048576"), MATCH(N$1, AbrR!$6:$6, 0), FALSE),
            0
        ) +
        IFERROR(
            VLOOKUP($A74, INDIRECT("MayR!$A$6:$ZZ$1048576"), MATCH(N$1, MayR!$6:$6, 0), FALSE),
            0
        ) +
        IFERROR(
            VLOOKUP($A74, INDIRECT("JunR!$A$6:$ZZ$1048576"), MATCH(N$1, JunR!$6:$6, 0), FALSE),
            0
        ) +
        IFERROR(
            VLOOKUP($A74, INDIRECT("JulR!$A$6:$ZZ$1048576"), MATCH(N$1, JulR!$6:$6, 0), FALSE),
            0
        ) +
        IFERROR(
            VLOOKUP($A74, INDIRECT("AgoR!$A$6:$ZZ$1048576"), MATCH(N$1, AgoR!$6:$6, 0), FALSE),
            0
        ) +
        IFERROR(
            VLOOKUP($A74, INDIRECT("SepR!$A$6:$ZZ$1048576"), MATCH(N$1, SepR!$6:$6, 0), FALSE),
            0
        ) +
        IFERROR(
            VLOOKUP($A74, INDIRECT("OctR!$A$6:$ZZ$1048576"), MATCH(N$1, OctR!$6:$6, 0), FALSE),
            0
        ) +
        IFERROR(
            VLOOKUP($A74, INDIRECT("NovR!$A$6:$ZZ$1048576"), MATCH(N$1, NovR!$6:$6, 0), FALSE),
            0
        ) +
        IFERROR(
            VLOOKUP($A74, INDIRECT("DicR!$A$6:$ZZ$1048576"), MATCH(N$1, DicR!$6:$6, 0), FALSE),
            0
        )
)</f>
        <v>0</v>
      </c>
      <c r="O74" s="35">
        <f t="array" ref="O74">SUM(
    IFERROR(
            VLOOKUP($A74, INDIRECT("EneR!$A$6:$ZZ$1048576"), MATCH(O$1, EneR!$6:$6, 0), FALSE),
            0
        ) +
        IFERROR(
            VLOOKUP($A74, INDIRECT("FebR!$A$6:$ZZ$1048576"), MATCH(O$1, FebR!$6:$6, 0), FALSE),
            0
        ) +
        IFERROR(
            VLOOKUP($A74, INDIRECT("MarR!$A$6:$ZZ$1048576"), MATCH(O$1, MarR!$6:$6, 0), FALSE),
            0
        ) +
        IFERROR(
            VLOOKUP($A74, INDIRECT("AbrR!$A$6:$ZZ$1048576"), MATCH(O$1, AbrR!$6:$6, 0), FALSE),
            0
        ) +
        IFERROR(
            VLOOKUP($A74, INDIRECT("MayR!$A$6:$ZZ$1048576"), MATCH(O$1, MayR!$6:$6, 0), FALSE),
            0
        ) +
        IFERROR(
            VLOOKUP($A74, INDIRECT("JunR!$A$6:$ZZ$1048576"), MATCH(O$1, JunR!$6:$6, 0), FALSE),
            0
        ) +
        IFERROR(
            VLOOKUP($A74, INDIRECT("JulR!$A$6:$ZZ$1048576"), MATCH(O$1, JulR!$6:$6, 0), FALSE),
            0
        ) +
        IFERROR(
            VLOOKUP($A74, INDIRECT("AgoR!$A$6:$ZZ$1048576"), MATCH(O$1, AgoR!$6:$6, 0), FALSE),
            0
        ) +
        IFERROR(
            VLOOKUP($A74, INDIRECT("SepR!$A$6:$ZZ$1048576"), MATCH(O$1, SepR!$6:$6, 0), FALSE),
            0
        ) +
        IFERROR(
            VLOOKUP($A74, INDIRECT("OctR!$A$6:$ZZ$1048576"), MATCH(O$1, OctR!$6:$6, 0), FALSE),
            0
        ) +
        IFERROR(
            VLOOKUP($A74, INDIRECT("NovR!$A$6:$ZZ$1048576"), MATCH(O$1, NovR!$6:$6, 0), FALSE),
            0
        ) +
        IFERROR(
            VLOOKUP($A74, INDIRECT("DicR!$A$6:$ZZ$1048576"), MATCH(O$1, DicR!$6:$6, 0), FALSE),
            0
        )
)</f>
        <v>0</v>
      </c>
      <c r="P74" s="32">
        <f t="array" ref="P74">SUM(
    IFERROR(
            VLOOKUP($A74, INDIRECT("EneR!$A$6:$ZZ$1048576"), MATCH(P$1, EneR!$6:$6, 0), FALSE),
            0
        ) +
        IFERROR(
            VLOOKUP($A74, INDIRECT("FebR!$A$6:$ZZ$1048576"), MATCH(P$1, FebR!$6:$6, 0), FALSE),
            0
        ) +
        IFERROR(
            VLOOKUP($A74, INDIRECT("MarR!$A$6:$ZZ$1048576"), MATCH(P$1, MarR!$6:$6, 0), FALSE),
            0
        ) +
        IFERROR(
            VLOOKUP($A74, INDIRECT("AbrR!$A$6:$ZZ$1048576"), MATCH(P$1, AbrR!$6:$6, 0), FALSE),
            0
        ) +
        IFERROR(
            VLOOKUP($A74, INDIRECT("MayR!$A$6:$ZZ$1048576"), MATCH(P$1, MayR!$6:$6, 0), FALSE),
            0
        ) +
        IFERROR(
            VLOOKUP($A74, INDIRECT("JunR!$A$6:$ZZ$1048576"), MATCH(P$1, JunR!$6:$6, 0), FALSE),
            0
        ) +
        IFERROR(
            VLOOKUP($A74, INDIRECT("JulR!$A$6:$ZZ$1048576"), MATCH(P$1, JulR!$6:$6, 0), FALSE),
            0
        ) +
        IFERROR(
            VLOOKUP($A74, INDIRECT("AgoR!$A$6:$ZZ$1048576"), MATCH(P$1, AgoR!$6:$6, 0), FALSE),
            0
        ) +
        IFERROR(
            VLOOKUP($A74, INDIRECT("SepR!$A$6:$ZZ$1048576"), MATCH(P$1, SepR!$6:$6, 0), FALSE),
            0
        ) +
        IFERROR(
            VLOOKUP($A74, INDIRECT("OctR!$A$6:$ZZ$1048576"), MATCH(P$1, OctR!$6:$6, 0), FALSE),
            0
        ) +
        IFERROR(
            VLOOKUP($A74, INDIRECT("NovR!$A$6:$ZZ$1048576"), MATCH(P$1, NovR!$6:$6, 0), FALSE),
            0
        ) +
        IFERROR(
            VLOOKUP($A74, INDIRECT("DicR!$A$6:$ZZ$1048576"), MATCH(P$1, DicR!$6:$6, 0), FALSE),
            0
        )
)</f>
        <v>0</v>
      </c>
      <c r="Q74" s="35">
        <f t="array" ref="Q74">SUM(
    IFERROR(
            VLOOKUP($A74, INDIRECT("EneR!$A$6:$ZZ$1048576"), MATCH(Q$1, EneR!$6:$6, 0), FALSE),
            0
        ) +
        IFERROR(
            VLOOKUP($A74, INDIRECT("FebR!$A$6:$ZZ$1048576"), MATCH(Q$1, FebR!$6:$6, 0), FALSE),
            0
        ) +
        IFERROR(
            VLOOKUP($A74, INDIRECT("MarR!$A$6:$ZZ$1048576"), MATCH(Q$1, MarR!$6:$6, 0), FALSE),
            0
        ) +
        IFERROR(
            VLOOKUP($A74, INDIRECT("AbrR!$A$6:$ZZ$1048576"), MATCH(Q$1, AbrR!$6:$6, 0), FALSE),
            0
        ) +
        IFERROR(
            VLOOKUP($A74, INDIRECT("MayR!$A$6:$ZZ$1048576"), MATCH(Q$1, MayR!$6:$6, 0), FALSE),
            0
        ) +
        IFERROR(
            VLOOKUP($A74, INDIRECT("JunR!$A$6:$ZZ$1048576"), MATCH(Q$1, JunR!$6:$6, 0), FALSE),
            0
        ) +
        IFERROR(
            VLOOKUP($A74, INDIRECT("JulR!$A$6:$ZZ$1048576"), MATCH(Q$1, JulR!$6:$6, 0), FALSE),
            0
        ) +
        IFERROR(
            VLOOKUP($A74, INDIRECT("AgoR!$A$6:$ZZ$1048576"), MATCH(Q$1, AgoR!$6:$6, 0), FALSE),
            0
        ) +
        IFERROR(
            VLOOKUP($A74, INDIRECT("SepR!$A$6:$ZZ$1048576"), MATCH(Q$1, SepR!$6:$6, 0), FALSE),
            0
        ) +
        IFERROR(
            VLOOKUP($A74, INDIRECT("OctR!$A$6:$ZZ$1048576"), MATCH(Q$1, OctR!$6:$6, 0), FALSE),
            0
        ) +
        IFERROR(
            VLOOKUP($A74, INDIRECT("NovR!$A$6:$ZZ$1048576"), MATCH(Q$1, NovR!$6:$6, 0), FALSE),
            0
        ) +
        IFERROR(
            VLOOKUP($A74, INDIRECT("DicR!$A$6:$ZZ$1048576"), MATCH(Q$1, DicR!$6:$6, 0), FALSE),
            0
        )
)</f>
        <v>0</v>
      </c>
      <c r="R74" s="36">
        <f t="array" ref="R74">SUM(
    IFERROR(
            VLOOKUP($A74, INDIRECT("EneR!$A$6:$ZZ$1048576"), MATCH(R$1, EneR!$6:$6, 0), FALSE),
            0
        ) +
        IFERROR(
            VLOOKUP($A74, INDIRECT("FebR!$A$6:$ZZ$1048576"), MATCH(R$1, FebR!$6:$6, 0), FALSE),
            0
        ) +
        IFERROR(
            VLOOKUP($A74, INDIRECT("MarR!$A$6:$ZZ$1048576"), MATCH(R$1, MarR!$6:$6, 0), FALSE),
            0
        ) +
        IFERROR(
            VLOOKUP($A74, INDIRECT("AbrR!$A$6:$ZZ$1048576"), MATCH(R$1, AbrR!$6:$6, 0), FALSE),
            0
        ) +
        IFERROR(
            VLOOKUP($A74, INDIRECT("MayR!$A$6:$ZZ$1048576"), MATCH(R$1, MayR!$6:$6, 0), FALSE),
            0
        ) +
        IFERROR(
            VLOOKUP($A74, INDIRECT("JunR!$A$6:$ZZ$1048576"), MATCH(R$1, JunR!$6:$6, 0), FALSE),
            0
        ) +
        IFERROR(
            VLOOKUP($A74, INDIRECT("JulR!$A$6:$ZZ$1048576"), MATCH(R$1, JulR!$6:$6, 0), FALSE),
            0
        ) +
        IFERROR(
            VLOOKUP($A74, INDIRECT("AgoR!$A$6:$ZZ$1048576"), MATCH(R$1, AgoR!$6:$6, 0), FALSE),
            0
        ) +
        IFERROR(
            VLOOKUP($A74, INDIRECT("SepR!$A$6:$ZZ$1048576"), MATCH(R$1, SepR!$6:$6, 0), FALSE),
            0
        ) +
        IFERROR(
            VLOOKUP($A74, INDIRECT("OctR!$A$6:$ZZ$1048576"), MATCH(R$1, OctR!$6:$6, 0), FALSE),
            0
        ) +
        IFERROR(
            VLOOKUP($A74, INDIRECT("NovR!$A$6:$ZZ$1048576"), MATCH(R$1, NovR!$6:$6, 0), FALSE),
            0
        ) +
        IFERROR(
            VLOOKUP($A74, INDIRECT("DicR!$A$6:$ZZ$1048576"), MATCH(R$1, DicR!$6:$6, 0), FALSE),
            0
        )
)</f>
        <v>0</v>
      </c>
      <c r="S74" s="37">
        <f t="array" ref="S74">SUM(
    IFERROR(
            VLOOKUP($A74, INDIRECT("EneR!$A$6:$ZZ$1048576"), MATCH(S$1, EneR!$6:$6, 0), FALSE),
            0
        ) +
        IFERROR(
            VLOOKUP($A74, INDIRECT("FebR!$A$6:$ZZ$1048576"), MATCH(S$1, FebR!$6:$6, 0), FALSE),
            0
        ) +
        IFERROR(
            VLOOKUP($A74, INDIRECT("MarR!$A$6:$ZZ$1048576"), MATCH(S$1, MarR!$6:$6, 0), FALSE),
            0
        ) +
        IFERROR(
            VLOOKUP($A74, INDIRECT("AbrR!$A$6:$ZZ$1048576"), MATCH(S$1, AbrR!$6:$6, 0), FALSE),
            0
        ) +
        IFERROR(
            VLOOKUP($A74, INDIRECT("MayR!$A$6:$ZZ$1048576"), MATCH(S$1, MayR!$6:$6, 0), FALSE),
            0
        ) +
        IFERROR(
            VLOOKUP($A74, INDIRECT("JunR!$A$6:$ZZ$1048576"), MATCH(S$1, JunR!$6:$6, 0), FALSE),
            0
        ) +
        IFERROR(
            VLOOKUP($A74, INDIRECT("JulR!$A$6:$ZZ$1048576"), MATCH(S$1, JulR!$6:$6, 0), FALSE),
            0
        ) +
        IFERROR(
            VLOOKUP($A74, INDIRECT("AgoR!$A$6:$ZZ$1048576"), MATCH(S$1, AgoR!$6:$6, 0), FALSE),
            0
        ) +
        IFERROR(
            VLOOKUP($A74, INDIRECT("SepR!$A$6:$ZZ$1048576"), MATCH(S$1, SepR!$6:$6, 0), FALSE),
            0
        ) +
        IFERROR(
            VLOOKUP($A74, INDIRECT("OctR!$A$6:$ZZ$1048576"), MATCH(S$1, OctR!$6:$6, 0), FALSE),
            0
        ) +
        IFERROR(
            VLOOKUP($A74, INDIRECT("NovR!$A$6:$ZZ$1048576"), MATCH(S$1, NovR!$6:$6, 0), FALSE),
            0
        ) +
        IFERROR(
            VLOOKUP($A74, INDIRECT("DicR!$A$6:$ZZ$1048576"), MATCH(S$1, DicR!$6:$6, 0), FALSE),
            0
        )
)</f>
        <v>0</v>
      </c>
      <c r="T74" s="36">
        <f t="array" ref="T74">SUM(
    IFERROR(
            VLOOKUP($A74, INDIRECT("EneR!$A$6:$ZZ$1048576"), MATCH(T$1, EneR!$6:$6, 0), FALSE),
            0
        ) +
        IFERROR(
            VLOOKUP($A74, INDIRECT("FebR!$A$6:$ZZ$1048576"), MATCH(T$1, FebR!$6:$6, 0), FALSE),
            0
        ) +
        IFERROR(
            VLOOKUP($A74, INDIRECT("MarR!$A$6:$ZZ$1048576"), MATCH(T$1, MarR!$6:$6, 0), FALSE),
            0
        ) +
        IFERROR(
            VLOOKUP($A74, INDIRECT("AbrR!$A$6:$ZZ$1048576"), MATCH(T$1, AbrR!$6:$6, 0), FALSE),
            0
        ) +
        IFERROR(
            VLOOKUP($A74, INDIRECT("MayR!$A$6:$ZZ$1048576"), MATCH(T$1, MayR!$6:$6, 0), FALSE),
            0
        ) +
        IFERROR(
            VLOOKUP($A74, INDIRECT("JunR!$A$6:$ZZ$1048576"), MATCH(T$1, JunR!$6:$6, 0), FALSE),
            0
        ) +
        IFERROR(
            VLOOKUP($A74, INDIRECT("JulR!$A$6:$ZZ$1048576"), MATCH(T$1, JulR!$6:$6, 0), FALSE),
            0
        ) +
        IFERROR(
            VLOOKUP($A74, INDIRECT("AgoR!$A$6:$ZZ$1048576"), MATCH(T$1, AgoR!$6:$6, 0), FALSE),
            0
        ) +
        IFERROR(
            VLOOKUP($A74, INDIRECT("SepR!$A$6:$ZZ$1048576"), MATCH(T$1, SepR!$6:$6, 0), FALSE),
            0
        ) +
        IFERROR(
            VLOOKUP($A74, INDIRECT("OctR!$A$6:$ZZ$1048576"), MATCH(T$1, OctR!$6:$6, 0), FALSE),
            0
        ) +
        IFERROR(
            VLOOKUP($A74, INDIRECT("NovR!$A$6:$ZZ$1048576"), MATCH(T$1, NovR!$6:$6, 0), FALSE),
            0
        ) +
        IFERROR(
            VLOOKUP($A74, INDIRECT("DicR!$A$6:$ZZ$1048576"), MATCH(T$1, DicR!$6:$6, 0), FALSE),
            0
        )
)</f>
        <v>0</v>
      </c>
      <c r="U74" s="37">
        <f t="array" ref="U74">SUM(
    IFERROR(
            VLOOKUP($A74, INDIRECT("EneR!$A$6:$ZZ$1048576"), MATCH(U$1, EneR!$6:$6, 0), FALSE),
            0
        ) +
        IFERROR(
            VLOOKUP($A74, INDIRECT("FebR!$A$6:$ZZ$1048576"), MATCH(U$1, FebR!$6:$6, 0), FALSE),
            0
        ) +
        IFERROR(
            VLOOKUP($A74, INDIRECT("MarR!$A$6:$ZZ$1048576"), MATCH(U$1, MarR!$6:$6, 0), FALSE),
            0
        ) +
        IFERROR(
            VLOOKUP($A74, INDIRECT("AbrR!$A$6:$ZZ$1048576"), MATCH(U$1, AbrR!$6:$6, 0), FALSE),
            0
        ) +
        IFERROR(
            VLOOKUP($A74, INDIRECT("MayR!$A$6:$ZZ$1048576"), MATCH(U$1, MayR!$6:$6, 0), FALSE),
            0
        ) +
        IFERROR(
            VLOOKUP($A74, INDIRECT("JunR!$A$6:$ZZ$1048576"), MATCH(U$1, JunR!$6:$6, 0), FALSE),
            0
        ) +
        IFERROR(
            VLOOKUP($A74, INDIRECT("JulR!$A$6:$ZZ$1048576"), MATCH(U$1, JulR!$6:$6, 0), FALSE),
            0
        ) +
        IFERROR(
            VLOOKUP($A74, INDIRECT("AgoR!$A$6:$ZZ$1048576"), MATCH(U$1, AgoR!$6:$6, 0), FALSE),
            0
        ) +
        IFERROR(
            VLOOKUP($A74, INDIRECT("SepR!$A$6:$ZZ$1048576"), MATCH(U$1, SepR!$6:$6, 0), FALSE),
            0
        ) +
        IFERROR(
            VLOOKUP($A74, INDIRECT("OctR!$A$6:$ZZ$1048576"), MATCH(U$1, OctR!$6:$6, 0), FALSE),
            0
        ) +
        IFERROR(
            VLOOKUP($A74, INDIRECT("NovR!$A$6:$ZZ$1048576"), MATCH(U$1, NovR!$6:$6, 0), FALSE),
            0
        ) +
        IFERROR(
            VLOOKUP($A74, INDIRECT("DicR!$A$6:$ZZ$1048576"), MATCH(U$1, DicR!$6:$6, 0), FALSE),
            0
        )
)</f>
        <v>0</v>
      </c>
      <c r="V74" s="36">
        <f t="array" ref="V74">SUM(
    IFERROR(
            VLOOKUP($A74, INDIRECT("EneR!$A$6:$ZZ$1048576"), MATCH(V$1, EneR!$6:$6, 0), FALSE),
            0
        ) +
        IFERROR(
            VLOOKUP($A74, INDIRECT("FebR!$A$6:$ZZ$1048576"), MATCH(V$1, FebR!$6:$6, 0), FALSE),
            0
        ) +
        IFERROR(
            VLOOKUP($A74, INDIRECT("MarR!$A$6:$ZZ$1048576"), MATCH(V$1, MarR!$6:$6, 0), FALSE),
            0
        ) +
        IFERROR(
            VLOOKUP($A74, INDIRECT("AbrR!$A$6:$ZZ$1048576"), MATCH(V$1, AbrR!$6:$6, 0), FALSE),
            0
        ) +
        IFERROR(
            VLOOKUP($A74, INDIRECT("MayR!$A$6:$ZZ$1048576"), MATCH(V$1, MayR!$6:$6, 0), FALSE),
            0
        ) +
        IFERROR(
            VLOOKUP($A74, INDIRECT("JunR!$A$6:$ZZ$1048576"), MATCH(V$1, JunR!$6:$6, 0), FALSE),
            0
        ) +
        IFERROR(
            VLOOKUP($A74, INDIRECT("JulR!$A$6:$ZZ$1048576"), MATCH(V$1, JulR!$6:$6, 0), FALSE),
            0
        ) +
        IFERROR(
            VLOOKUP($A74, INDIRECT("AgoR!$A$6:$ZZ$1048576"), MATCH(V$1, AgoR!$6:$6, 0), FALSE),
            0
        ) +
        IFERROR(
            VLOOKUP($A74, INDIRECT("SepR!$A$6:$ZZ$1048576"), MATCH(V$1, SepR!$6:$6, 0), FALSE),
            0
        ) +
        IFERROR(
            VLOOKUP($A74, INDIRECT("OctR!$A$6:$ZZ$1048576"), MATCH(V$1, OctR!$6:$6, 0), FALSE),
            0
        ) +
        IFERROR(
            VLOOKUP($A74, INDIRECT("NovR!$A$6:$ZZ$1048576"), MATCH(V$1, NovR!$6:$6, 0), FALSE),
            0
        ) +
        IFERROR(
            VLOOKUP($A74, INDIRECT("DicR!$A$6:$ZZ$1048576"), MATCH(V$1, DicR!$6:$6, 0), FALSE),
            0
        )
)</f>
        <v>0</v>
      </c>
      <c r="W74" s="37">
        <f t="array" ref="W74">SUM(
    IFERROR(
            VLOOKUP($A74, INDIRECT("EneR!$A$6:$ZZ$1048576"), MATCH(W$1, EneR!$6:$6, 0), FALSE),
            0
        ) +
        IFERROR(
            VLOOKUP($A74, INDIRECT("FebR!$A$6:$ZZ$1048576"), MATCH(W$1, FebR!$6:$6, 0), FALSE),
            0
        ) +
        IFERROR(
            VLOOKUP($A74, INDIRECT("MarR!$A$6:$ZZ$1048576"), MATCH(W$1, MarR!$6:$6, 0), FALSE),
            0
        ) +
        IFERROR(
            VLOOKUP($A74, INDIRECT("AbrR!$A$6:$ZZ$1048576"), MATCH(W$1, AbrR!$6:$6, 0), FALSE),
            0
        ) +
        IFERROR(
            VLOOKUP($A74, INDIRECT("MayR!$A$6:$ZZ$1048576"), MATCH(W$1, MayR!$6:$6, 0), FALSE),
            0
        ) +
        IFERROR(
            VLOOKUP($A74, INDIRECT("JunR!$A$6:$ZZ$1048576"), MATCH(W$1, JunR!$6:$6, 0), FALSE),
            0
        ) +
        IFERROR(
            VLOOKUP($A74, INDIRECT("JulR!$A$6:$ZZ$1048576"), MATCH(W$1, JulR!$6:$6, 0), FALSE),
            0
        ) +
        IFERROR(
            VLOOKUP($A74, INDIRECT("AgoR!$A$6:$ZZ$1048576"), MATCH(W$1, AgoR!$6:$6, 0), FALSE),
            0
        ) +
        IFERROR(
            VLOOKUP($A74, INDIRECT("SepR!$A$6:$ZZ$1048576"), MATCH(W$1, SepR!$6:$6, 0), FALSE),
            0
        ) +
        IFERROR(
            VLOOKUP($A74, INDIRECT("OctR!$A$6:$ZZ$1048576"), MATCH(W$1, OctR!$6:$6, 0), FALSE),
            0
        ) +
        IFERROR(
            VLOOKUP($A74, INDIRECT("NovR!$A$6:$ZZ$1048576"), MATCH(W$1, NovR!$6:$6, 0), FALSE),
            0
        ) +
        IFERROR(
            VLOOKUP($A74, INDIRECT("DicR!$A$6:$ZZ$1048576"), MATCH(W$1, DicR!$6:$6, 0), FALSE),
            0
        )
)</f>
        <v>0</v>
      </c>
      <c r="X74" s="36">
        <f t="array" ref="X74">SUM(
    IFERROR(
            VLOOKUP($A74, INDIRECT("EneR!$A$6:$ZZ$1048576"), MATCH(X$1, EneR!$6:$6, 0), FALSE),
            0
        ) +
        IFERROR(
            VLOOKUP($A74, INDIRECT("FebR!$A$6:$ZZ$1048576"), MATCH(X$1, FebR!$6:$6, 0), FALSE),
            0
        ) +
        IFERROR(
            VLOOKUP($A74, INDIRECT("MarR!$A$6:$ZZ$1048576"), MATCH(X$1, MarR!$6:$6, 0), FALSE),
            0
        ) +
        IFERROR(
            VLOOKUP($A74, INDIRECT("AbrR!$A$6:$ZZ$1048576"), MATCH(X$1, AbrR!$6:$6, 0), FALSE),
            0
        ) +
        IFERROR(
            VLOOKUP($A74, INDIRECT("MayR!$A$6:$ZZ$1048576"), MATCH(X$1, MayR!$6:$6, 0), FALSE),
            0
        ) +
        IFERROR(
            VLOOKUP($A74, INDIRECT("JunR!$A$6:$ZZ$1048576"), MATCH(X$1, JunR!$6:$6, 0), FALSE),
            0
        ) +
        IFERROR(
            VLOOKUP($A74, INDIRECT("JulR!$A$6:$ZZ$1048576"), MATCH(X$1, JulR!$6:$6, 0), FALSE),
            0
        ) +
        IFERROR(
            VLOOKUP($A74, INDIRECT("AgoR!$A$6:$ZZ$1048576"), MATCH(X$1, AgoR!$6:$6, 0), FALSE),
            0
        ) +
        IFERROR(
            VLOOKUP($A74, INDIRECT("SepR!$A$6:$ZZ$1048576"), MATCH(X$1, SepR!$6:$6, 0), FALSE),
            0
        ) +
        IFERROR(
            VLOOKUP($A74, INDIRECT("OctR!$A$6:$ZZ$1048576"), MATCH(X$1, OctR!$6:$6, 0), FALSE),
            0
        ) +
        IFERROR(
            VLOOKUP($A74, INDIRECT("NovR!$A$6:$ZZ$1048576"), MATCH(X$1, NovR!$6:$6, 0), FALSE),
            0
        ) +
        IFERROR(
            VLOOKUP($A74, INDIRECT("DicR!$A$6:$ZZ$1048576"), MATCH(X$1, DicR!$6:$6, 0), FALSE),
            0
        )
)</f>
        <v>0</v>
      </c>
      <c r="Y74" s="37">
        <f t="array" ref="Y74">SUM(
    IFERROR(
            VLOOKUP($A74, INDIRECT("EneR!$A$6:$ZZ$1048576"), MATCH(Y$1, EneR!$6:$6, 0), FALSE),
            0
        ) +
        IFERROR(
            VLOOKUP($A74, INDIRECT("FebR!$A$6:$ZZ$1048576"), MATCH(Y$1, FebR!$6:$6, 0), FALSE),
            0
        ) +
        IFERROR(
            VLOOKUP($A74, INDIRECT("MarR!$A$6:$ZZ$1048576"), MATCH(Y$1, MarR!$6:$6, 0), FALSE),
            0
        ) +
        IFERROR(
            VLOOKUP($A74, INDIRECT("AbrR!$A$6:$ZZ$1048576"), MATCH(Y$1, AbrR!$6:$6, 0), FALSE),
            0
        ) +
        IFERROR(
            VLOOKUP($A74, INDIRECT("MayR!$A$6:$ZZ$1048576"), MATCH(Y$1, MayR!$6:$6, 0), FALSE),
            0
        ) +
        IFERROR(
            VLOOKUP($A74, INDIRECT("JunR!$A$6:$ZZ$1048576"), MATCH(Y$1, JunR!$6:$6, 0), FALSE),
            0
        ) +
        IFERROR(
            VLOOKUP($A74, INDIRECT("JulR!$A$6:$ZZ$1048576"), MATCH(Y$1, JulR!$6:$6, 0), FALSE),
            0
        ) +
        IFERROR(
            VLOOKUP($A74, INDIRECT("AgoR!$A$6:$ZZ$1048576"), MATCH(Y$1, AgoR!$6:$6, 0), FALSE),
            0
        ) +
        IFERROR(
            VLOOKUP($A74, INDIRECT("SepR!$A$6:$ZZ$1048576"), MATCH(Y$1, SepR!$6:$6, 0), FALSE),
            0
        ) +
        IFERROR(
            VLOOKUP($A74, INDIRECT("OctR!$A$6:$ZZ$1048576"), MATCH(Y$1, OctR!$6:$6, 0), FALSE),
            0
        ) +
        IFERROR(
            VLOOKUP($A74, INDIRECT("NovR!$A$6:$ZZ$1048576"), MATCH(Y$1, NovR!$6:$6, 0), FALSE),
            0
        ) +
        IFERROR(
            VLOOKUP($A74, INDIRECT("DicR!$A$6:$ZZ$1048576"), MATCH(Y$1, DicR!$6:$6, 0), FALSE),
            0
        )
)</f>
        <v>0</v>
      </c>
      <c r="Z74" s="36">
        <f t="array" ref="Z74">SUM(
    IFERROR(
            VLOOKUP($A74, INDIRECT("EneR!$A$6:$ZZ$1048576"), MATCH(Z$1, EneR!$6:$6, 0), FALSE),
            0
        ) +
        IFERROR(
            VLOOKUP($A74, INDIRECT("FebR!$A$6:$ZZ$1048576"), MATCH(Z$1, FebR!$6:$6, 0), FALSE),
            0
        ) +
        IFERROR(
            VLOOKUP($A74, INDIRECT("MarR!$A$6:$ZZ$1048576"), MATCH(Z$1, MarR!$6:$6, 0), FALSE),
            0
        ) +
        IFERROR(
            VLOOKUP($A74, INDIRECT("AbrR!$A$6:$ZZ$1048576"), MATCH(Z$1, AbrR!$6:$6, 0), FALSE),
            0
        ) +
        IFERROR(
            VLOOKUP($A74, INDIRECT("MayR!$A$6:$ZZ$1048576"), MATCH(Z$1, MayR!$6:$6, 0), FALSE),
            0
        ) +
        IFERROR(
            VLOOKUP($A74, INDIRECT("JunR!$A$6:$ZZ$1048576"), MATCH(Z$1, JunR!$6:$6, 0), FALSE),
            0
        ) +
        IFERROR(
            VLOOKUP($A74, INDIRECT("JulR!$A$6:$ZZ$1048576"), MATCH(Z$1, JulR!$6:$6, 0), FALSE),
            0
        ) +
        IFERROR(
            VLOOKUP($A74, INDIRECT("AgoR!$A$6:$ZZ$1048576"), MATCH(Z$1, AgoR!$6:$6, 0), FALSE),
            0
        ) +
        IFERROR(
            VLOOKUP($A74, INDIRECT("SepR!$A$6:$ZZ$1048576"), MATCH(Z$1, SepR!$6:$6, 0), FALSE),
            0
        ) +
        IFERROR(
            VLOOKUP($A74, INDIRECT("OctR!$A$6:$ZZ$1048576"), MATCH(Z$1, OctR!$6:$6, 0), FALSE),
            0
        ) +
        IFERROR(
            VLOOKUP($A74, INDIRECT("NovR!$A$6:$ZZ$1048576"), MATCH(Z$1, NovR!$6:$6, 0), FALSE),
            0
        ) +
        IFERROR(
            VLOOKUP($A74, INDIRECT("DicR!$A$6:$ZZ$1048576"), MATCH(Z$1, DicR!$6:$6, 0), FALSE),
            0
        )
)</f>
        <v>0</v>
      </c>
      <c r="AA74" s="37">
        <f t="array" ref="AA74">SUM(
    IFERROR(
            VLOOKUP($A74, INDIRECT("EneR!$A$6:$ZZ$1048576"), MATCH(AA$1, EneR!$6:$6, 0), FALSE),
            0
        ) +
        IFERROR(
            VLOOKUP($A74, INDIRECT("FebR!$A$6:$ZZ$1048576"), MATCH(AA$1, FebR!$6:$6, 0), FALSE),
            0
        ) +
        IFERROR(
            VLOOKUP($A74, INDIRECT("MarR!$A$6:$ZZ$1048576"), MATCH(AA$1, MarR!$6:$6, 0), FALSE),
            0
        ) +
        IFERROR(
            VLOOKUP($A74, INDIRECT("AbrR!$A$6:$ZZ$1048576"), MATCH(AA$1, AbrR!$6:$6, 0), FALSE),
            0
        ) +
        IFERROR(
            VLOOKUP($A74, INDIRECT("MayR!$A$6:$ZZ$1048576"), MATCH(AA$1, MayR!$6:$6, 0), FALSE),
            0
        ) +
        IFERROR(
            VLOOKUP($A74, INDIRECT("JunR!$A$6:$ZZ$1048576"), MATCH(AA$1, JunR!$6:$6, 0), FALSE),
            0
        ) +
        IFERROR(
            VLOOKUP($A74, INDIRECT("JulR!$A$6:$ZZ$1048576"), MATCH(AA$1, JulR!$6:$6, 0), FALSE),
            0
        ) +
        IFERROR(
            VLOOKUP($A74, INDIRECT("AgoR!$A$6:$ZZ$1048576"), MATCH(AA$1, AgoR!$6:$6, 0), FALSE),
            0
        ) +
        IFERROR(
            VLOOKUP($A74, INDIRECT("SepR!$A$6:$ZZ$1048576"), MATCH(AA$1, SepR!$6:$6, 0), FALSE),
            0
        ) +
        IFERROR(
            VLOOKUP($A74, INDIRECT("OctR!$A$6:$ZZ$1048576"), MATCH(AA$1, OctR!$6:$6, 0), FALSE),
            0
        ) +
        IFERROR(
            VLOOKUP($A74, INDIRECT("NovR!$A$6:$ZZ$1048576"), MATCH(AA$1, NovR!$6:$6, 0), FALSE),
            0
        ) +
        IFERROR(
            VLOOKUP($A74, INDIRECT("DicR!$A$6:$ZZ$1048576"), MATCH(AA$1, DicR!$6:$6, 0), FALSE),
            0
        )
)</f>
        <v>0</v>
      </c>
      <c r="AB74" s="36">
        <f t="array" ref="AB74">SUM(
    IFERROR(
            VLOOKUP($A74, INDIRECT("EneR!$A$6:$ZZ$1048576"), MATCH(AB$1, EneR!$6:$6, 0), FALSE),
            0
        ) +
        IFERROR(
            VLOOKUP($A74, INDIRECT("FebR!$A$6:$ZZ$1048576"), MATCH(AB$1, FebR!$6:$6, 0), FALSE),
            0
        ) +
        IFERROR(
            VLOOKUP($A74, INDIRECT("MarR!$A$6:$ZZ$1048576"), MATCH(AB$1, MarR!$6:$6, 0), FALSE),
            0
        ) +
        IFERROR(
            VLOOKUP($A74, INDIRECT("AbrR!$A$6:$ZZ$1048576"), MATCH(AB$1, AbrR!$6:$6, 0), FALSE),
            0
        ) +
        IFERROR(
            VLOOKUP($A74, INDIRECT("MayR!$A$6:$ZZ$1048576"), MATCH(AB$1, MayR!$6:$6, 0), FALSE),
            0
        ) +
        IFERROR(
            VLOOKUP($A74, INDIRECT("JunR!$A$6:$ZZ$1048576"), MATCH(AB$1, JunR!$6:$6, 0), FALSE),
            0
        ) +
        IFERROR(
            VLOOKUP($A74, INDIRECT("JulR!$A$6:$ZZ$1048576"), MATCH(AB$1, JulR!$6:$6, 0), FALSE),
            0
        ) +
        IFERROR(
            VLOOKUP($A74, INDIRECT("AgoR!$A$6:$ZZ$1048576"), MATCH(AB$1, AgoR!$6:$6, 0), FALSE),
            0
        ) +
        IFERROR(
            VLOOKUP($A74, INDIRECT("SepR!$A$6:$ZZ$1048576"), MATCH(AB$1, SepR!$6:$6, 0), FALSE),
            0
        ) +
        IFERROR(
            VLOOKUP($A74, INDIRECT("OctR!$A$6:$ZZ$1048576"), MATCH(AB$1, OctR!$6:$6, 0), FALSE),
            0
        ) +
        IFERROR(
            VLOOKUP($A74, INDIRECT("NovR!$A$6:$ZZ$1048576"), MATCH(AB$1, NovR!$6:$6, 0), FALSE),
            0
        ) +
        IFERROR(
            VLOOKUP($A74, INDIRECT("DicR!$A$6:$ZZ$1048576"), MATCH(AB$1, DicR!$6:$6, 0), FALSE),
            0
        )
)</f>
        <v>0</v>
      </c>
      <c r="AC74" s="37">
        <f t="array" ref="AC74">SUM(
    IFERROR(
            VLOOKUP($A74, INDIRECT("EneR!$A$6:$ZZ$1048576"), MATCH(AC$1, EneR!$6:$6, 0), FALSE),
            0
        ) +
        IFERROR(
            VLOOKUP($A74, INDIRECT("FebR!$A$6:$ZZ$1048576"), MATCH(AC$1, FebR!$6:$6, 0), FALSE),
            0
        ) +
        IFERROR(
            VLOOKUP($A74, INDIRECT("MarR!$A$6:$ZZ$1048576"), MATCH(AC$1, MarR!$6:$6, 0), FALSE),
            0
        ) +
        IFERROR(
            VLOOKUP($A74, INDIRECT("AbrR!$A$6:$ZZ$1048576"), MATCH(AC$1, AbrR!$6:$6, 0), FALSE),
            0
        ) +
        IFERROR(
            VLOOKUP($A74, INDIRECT("MayR!$A$6:$ZZ$1048576"), MATCH(AC$1, MayR!$6:$6, 0), FALSE),
            0
        ) +
        IFERROR(
            VLOOKUP($A74, INDIRECT("JunR!$A$6:$ZZ$1048576"), MATCH(AC$1, JunR!$6:$6, 0), FALSE),
            0
        ) +
        IFERROR(
            VLOOKUP($A74, INDIRECT("JulR!$A$6:$ZZ$1048576"), MATCH(AC$1, JulR!$6:$6, 0), FALSE),
            0
        ) +
        IFERROR(
            VLOOKUP($A74, INDIRECT("AgoR!$A$6:$ZZ$1048576"), MATCH(AC$1, AgoR!$6:$6, 0), FALSE),
            0
        ) +
        IFERROR(
            VLOOKUP($A74, INDIRECT("SepR!$A$6:$ZZ$1048576"), MATCH(AC$1, SepR!$6:$6, 0), FALSE),
            0
        ) +
        IFERROR(
            VLOOKUP($A74, INDIRECT("OctR!$A$6:$ZZ$1048576"), MATCH(AC$1, OctR!$6:$6, 0), FALSE),
            0
        ) +
        IFERROR(
            VLOOKUP($A74, INDIRECT("NovR!$A$6:$ZZ$1048576"), MATCH(AC$1, NovR!$6:$6, 0), FALSE),
            0
        ) +
        IFERROR(
            VLOOKUP($A74, INDIRECT("DicR!$A$6:$ZZ$1048576"), MATCH(AC$1, DicR!$6:$6, 0), FALSE),
            0
        )
)</f>
        <v>0</v>
      </c>
      <c r="AD74" s="36">
        <f t="array" ref="AD74">SUM(
    IFERROR(
            VLOOKUP($A74, INDIRECT("EneR!$A$6:$ZZ$1048576"), MATCH(AD$1, EneR!$6:$6, 0), FALSE),
            0
        ) +
        IFERROR(
            VLOOKUP($A74, INDIRECT("FebR!$A$6:$ZZ$1048576"), MATCH(AD$1, FebR!$6:$6, 0), FALSE),
            0
        ) +
        IFERROR(
            VLOOKUP($A74, INDIRECT("MarR!$A$6:$ZZ$1048576"), MATCH(AD$1, MarR!$6:$6, 0), FALSE),
            0
        ) +
        IFERROR(
            VLOOKUP($A74, INDIRECT("AbrR!$A$6:$ZZ$1048576"), MATCH(AD$1, AbrR!$6:$6, 0), FALSE),
            0
        ) +
        IFERROR(
            VLOOKUP($A74, INDIRECT("MayR!$A$6:$ZZ$1048576"), MATCH(AD$1, MayR!$6:$6, 0), FALSE),
            0
        ) +
        IFERROR(
            VLOOKUP($A74, INDIRECT("JunR!$A$6:$ZZ$1048576"), MATCH(AD$1, JunR!$6:$6, 0), FALSE),
            0
        ) +
        IFERROR(
            VLOOKUP($A74, INDIRECT("JulR!$A$6:$ZZ$1048576"), MATCH(AD$1, JulR!$6:$6, 0), FALSE),
            0
        ) +
        IFERROR(
            VLOOKUP($A74, INDIRECT("AgoR!$A$6:$ZZ$1048576"), MATCH(AD$1, AgoR!$6:$6, 0), FALSE),
            0
        ) +
        IFERROR(
            VLOOKUP($A74, INDIRECT("SepR!$A$6:$ZZ$1048576"), MATCH(AD$1, SepR!$6:$6, 0), FALSE),
            0
        ) +
        IFERROR(
            VLOOKUP($A74, INDIRECT("OctR!$A$6:$ZZ$1048576"), MATCH(AD$1, OctR!$6:$6, 0), FALSE),
            0
        ) +
        IFERROR(
            VLOOKUP($A74, INDIRECT("NovR!$A$6:$ZZ$1048576"), MATCH(AD$1, NovR!$6:$6, 0), FALSE),
            0
        ) +
        IFERROR(
            VLOOKUP($A74, INDIRECT("DicR!$A$6:$ZZ$1048576"), MATCH(AD$1, DicR!$6:$6, 0), FALSE),
            0
        )
)</f>
        <v>0</v>
      </c>
      <c r="AE74" s="37">
        <f t="array" ref="AE74">SUM(
    IFERROR(
            VLOOKUP($A74, INDIRECT("EneR!$A$6:$ZZ$1048576"), MATCH(AE$1, EneR!$6:$6, 0), FALSE),
            0
        ) +
        IFERROR(
            VLOOKUP($A74, INDIRECT("FebR!$A$6:$ZZ$1048576"), MATCH(AE$1, FebR!$6:$6, 0), FALSE),
            0
        ) +
        IFERROR(
            VLOOKUP($A74, INDIRECT("MarR!$A$6:$ZZ$1048576"), MATCH(AE$1, MarR!$6:$6, 0), FALSE),
            0
        ) +
        IFERROR(
            VLOOKUP($A74, INDIRECT("AbrR!$A$6:$ZZ$1048576"), MATCH(AE$1, AbrR!$6:$6, 0), FALSE),
            0
        ) +
        IFERROR(
            VLOOKUP($A74, INDIRECT("MayR!$A$6:$ZZ$1048576"), MATCH(AE$1, MayR!$6:$6, 0), FALSE),
            0
        ) +
        IFERROR(
            VLOOKUP($A74, INDIRECT("JunR!$A$6:$ZZ$1048576"), MATCH(AE$1, JunR!$6:$6, 0), FALSE),
            0
        ) +
        IFERROR(
            VLOOKUP($A74, INDIRECT("JulR!$A$6:$ZZ$1048576"), MATCH(AE$1, JulR!$6:$6, 0), FALSE),
            0
        ) +
        IFERROR(
            VLOOKUP($A74, INDIRECT("AgoR!$A$6:$ZZ$1048576"), MATCH(AE$1, AgoR!$6:$6, 0), FALSE),
            0
        ) +
        IFERROR(
            VLOOKUP($A74, INDIRECT("SepR!$A$6:$ZZ$1048576"), MATCH(AE$1, SepR!$6:$6, 0), FALSE),
            0
        ) +
        IFERROR(
            VLOOKUP($A74, INDIRECT("OctR!$A$6:$ZZ$1048576"), MATCH(AE$1, OctR!$6:$6, 0), FALSE),
            0
        ) +
        IFERROR(
            VLOOKUP($A74, INDIRECT("NovR!$A$6:$ZZ$1048576"), MATCH(AE$1, NovR!$6:$6, 0), FALSE),
            0
        ) +
        IFERROR(
            VLOOKUP($A74, INDIRECT("DicR!$A$6:$ZZ$1048576"), MATCH(AE$1, DicR!$6:$6, 0), FALSE),
            0
        )
)</f>
        <v>0</v>
      </c>
      <c r="AF74" s="36">
        <f t="array" ref="AF74">SUM(
    IFERROR(
            VLOOKUP($A74, INDIRECT("EneR!$A$6:$ZZ$1048576"), MATCH(AF$1, EneR!$6:$6, 0), FALSE),
            0
        ) +
        IFERROR(
            VLOOKUP($A74, INDIRECT("FebR!$A$6:$ZZ$1048576"), MATCH(AF$1, FebR!$6:$6, 0), FALSE),
            0
        ) +
        IFERROR(
            VLOOKUP($A74, INDIRECT("MarR!$A$6:$ZZ$1048576"), MATCH(AF$1, MarR!$6:$6, 0), FALSE),
            0
        ) +
        IFERROR(
            VLOOKUP($A74, INDIRECT("AbrR!$A$6:$ZZ$1048576"), MATCH(AF$1, AbrR!$6:$6, 0), FALSE),
            0
        ) +
        IFERROR(
            VLOOKUP($A74, INDIRECT("MayR!$A$6:$ZZ$1048576"), MATCH(AF$1, MayR!$6:$6, 0), FALSE),
            0
        ) +
        IFERROR(
            VLOOKUP($A74, INDIRECT("JunR!$A$6:$ZZ$1048576"), MATCH(AF$1, JunR!$6:$6, 0), FALSE),
            0
        ) +
        IFERROR(
            VLOOKUP($A74, INDIRECT("JulR!$A$6:$ZZ$1048576"), MATCH(AF$1, JulR!$6:$6, 0), FALSE),
            0
        ) +
        IFERROR(
            VLOOKUP($A74, INDIRECT("AgoR!$A$6:$ZZ$1048576"), MATCH(AF$1, AgoR!$6:$6, 0), FALSE),
            0
        ) +
        IFERROR(
            VLOOKUP($A74, INDIRECT("SepR!$A$6:$ZZ$1048576"), MATCH(AF$1, SepR!$6:$6, 0), FALSE),
            0
        ) +
        IFERROR(
            VLOOKUP($A74, INDIRECT("OctR!$A$6:$ZZ$1048576"), MATCH(AF$1, OctR!$6:$6, 0), FALSE),
            0
        ) +
        IFERROR(
            VLOOKUP($A74, INDIRECT("NovR!$A$6:$ZZ$1048576"), MATCH(AF$1, NovR!$6:$6, 0), FALSE),
            0
        ) +
        IFERROR(
            VLOOKUP($A74, INDIRECT("DicR!$A$6:$ZZ$1048576"), MATCH(AF$1, DicR!$6:$6, 0), FALSE),
            0
        )
)</f>
        <v>0</v>
      </c>
      <c r="AG74" s="37">
        <f t="array" ref="AG74">SUM(
    IFERROR(
            VLOOKUP($A74, INDIRECT("EneR!$A$6:$ZZ$1048576"), MATCH(AG$1, EneR!$6:$6, 0), FALSE),
            0
        ) +
        IFERROR(
            VLOOKUP($A74, INDIRECT("FebR!$A$6:$ZZ$1048576"), MATCH(AG$1, FebR!$6:$6, 0), FALSE),
            0
        ) +
        IFERROR(
            VLOOKUP($A74, INDIRECT("MarR!$A$6:$ZZ$1048576"), MATCH(AG$1, MarR!$6:$6, 0), FALSE),
            0
        ) +
        IFERROR(
            VLOOKUP($A74, INDIRECT("AbrR!$A$6:$ZZ$1048576"), MATCH(AG$1, AbrR!$6:$6, 0), FALSE),
            0
        ) +
        IFERROR(
            VLOOKUP($A74, INDIRECT("MayR!$A$6:$ZZ$1048576"), MATCH(AG$1, MayR!$6:$6, 0), FALSE),
            0
        ) +
        IFERROR(
            VLOOKUP($A74, INDIRECT("JunR!$A$6:$ZZ$1048576"), MATCH(AG$1, JunR!$6:$6, 0), FALSE),
            0
        ) +
        IFERROR(
            VLOOKUP($A74, INDIRECT("JulR!$A$6:$ZZ$1048576"), MATCH(AG$1, JulR!$6:$6, 0), FALSE),
            0
        ) +
        IFERROR(
            VLOOKUP($A74, INDIRECT("AgoR!$A$6:$ZZ$1048576"), MATCH(AG$1, AgoR!$6:$6, 0), FALSE),
            0
        ) +
        IFERROR(
            VLOOKUP($A74, INDIRECT("SepR!$A$6:$ZZ$1048576"), MATCH(AG$1, SepR!$6:$6, 0), FALSE),
            0
        ) +
        IFERROR(
            VLOOKUP($A74, INDIRECT("OctR!$A$6:$ZZ$1048576"), MATCH(AG$1, OctR!$6:$6, 0), FALSE),
            0
        ) +
        IFERROR(
            VLOOKUP($A74, INDIRECT("NovR!$A$6:$ZZ$1048576"), MATCH(AG$1, NovR!$6:$6, 0), FALSE),
            0
        ) +
        IFERROR(
            VLOOKUP($A74, INDIRECT("DicR!$A$6:$ZZ$1048576"), MATCH(AG$1, DicR!$6:$6, 0), FALSE),
            0
        )
)</f>
        <v>0</v>
      </c>
      <c r="AH74" s="36">
        <f t="array" ref="AH74">SUM(
    IFERROR(
            VLOOKUP($A74, INDIRECT("EneR!$A$6:$ZZ$1048576"), MATCH(AH$1, EneR!$6:$6, 0), FALSE),
            0
        ) +
        IFERROR(
            VLOOKUP($A74, INDIRECT("FebR!$A$6:$ZZ$1048576"), MATCH(AH$1, FebR!$6:$6, 0), FALSE),
            0
        ) +
        IFERROR(
            VLOOKUP($A74, INDIRECT("MarR!$A$6:$ZZ$1048576"), MATCH(AH$1, MarR!$6:$6, 0), FALSE),
            0
        ) +
        IFERROR(
            VLOOKUP($A74, INDIRECT("AbrR!$A$6:$ZZ$1048576"), MATCH(AH$1, AbrR!$6:$6, 0), FALSE),
            0
        ) +
        IFERROR(
            VLOOKUP($A74, INDIRECT("MayR!$A$6:$ZZ$1048576"), MATCH(AH$1, MayR!$6:$6, 0), FALSE),
            0
        ) +
        IFERROR(
            VLOOKUP($A74, INDIRECT("JunR!$A$6:$ZZ$1048576"), MATCH(AH$1, JunR!$6:$6, 0), FALSE),
            0
        ) +
        IFERROR(
            VLOOKUP($A74, INDIRECT("JulR!$A$6:$ZZ$1048576"), MATCH(AH$1, JulR!$6:$6, 0), FALSE),
            0
        ) +
        IFERROR(
            VLOOKUP($A74, INDIRECT("AgoR!$A$6:$ZZ$1048576"), MATCH(AH$1, AgoR!$6:$6, 0), FALSE),
            0
        ) +
        IFERROR(
            VLOOKUP($A74, INDIRECT("SepR!$A$6:$ZZ$1048576"), MATCH(AH$1, SepR!$6:$6, 0), FALSE),
            0
        ) +
        IFERROR(
            VLOOKUP($A74, INDIRECT("OctR!$A$6:$ZZ$1048576"), MATCH(AH$1, OctR!$6:$6, 0), FALSE),
            0
        ) +
        IFERROR(
            VLOOKUP($A74, INDIRECT("NovR!$A$6:$ZZ$1048576"), MATCH(AH$1, NovR!$6:$6, 0), FALSE),
            0
        ) +
        IFERROR(
            VLOOKUP($A74, INDIRECT("DicR!$A$6:$ZZ$1048576"), MATCH(AH$1, DicR!$6:$6, 0), FALSE),
            0
        )
)</f>
        <v>0</v>
      </c>
      <c r="AI74" s="37">
        <f t="array" ref="AI74">SUM(
    IFERROR(
            VLOOKUP($A74, INDIRECT("EneR!$A$6:$ZZ$1048576"), MATCH(AI$1, EneR!$6:$6, 0), FALSE),
            0
        ) +
        IFERROR(
            VLOOKUP($A74, INDIRECT("FebR!$A$6:$ZZ$1048576"), MATCH(AI$1, FebR!$6:$6, 0), FALSE),
            0
        ) +
        IFERROR(
            VLOOKUP($A74, INDIRECT("MarR!$A$6:$ZZ$1048576"), MATCH(AI$1, MarR!$6:$6, 0), FALSE),
            0
        ) +
        IFERROR(
            VLOOKUP($A74, INDIRECT("AbrR!$A$6:$ZZ$1048576"), MATCH(AI$1, AbrR!$6:$6, 0), FALSE),
            0
        ) +
        IFERROR(
            VLOOKUP($A74, INDIRECT("MayR!$A$6:$ZZ$1048576"), MATCH(AI$1, MayR!$6:$6, 0), FALSE),
            0
        ) +
        IFERROR(
            VLOOKUP($A74, INDIRECT("JunR!$A$6:$ZZ$1048576"), MATCH(AI$1, JunR!$6:$6, 0), FALSE),
            0
        ) +
        IFERROR(
            VLOOKUP($A74, INDIRECT("JulR!$A$6:$ZZ$1048576"), MATCH(AI$1, JulR!$6:$6, 0), FALSE),
            0
        ) +
        IFERROR(
            VLOOKUP($A74, INDIRECT("AgoR!$A$6:$ZZ$1048576"), MATCH(AI$1, AgoR!$6:$6, 0), FALSE),
            0
        ) +
        IFERROR(
            VLOOKUP($A74, INDIRECT("SepR!$A$6:$ZZ$1048576"), MATCH(AI$1, SepR!$6:$6, 0), FALSE),
            0
        ) +
        IFERROR(
            VLOOKUP($A74, INDIRECT("OctR!$A$6:$ZZ$1048576"), MATCH(AI$1, OctR!$6:$6, 0), FALSE),
            0
        ) +
        IFERROR(
            VLOOKUP($A74, INDIRECT("NovR!$A$6:$ZZ$1048576"), MATCH(AI$1, NovR!$6:$6, 0), FALSE),
            0
        ) +
        IFERROR(
            VLOOKUP($A74, INDIRECT("DicR!$A$6:$ZZ$1048576"), MATCH(AI$1, DicR!$6:$6, 0), FALSE),
            0
        )
)</f>
        <v>0</v>
      </c>
      <c r="AJ74" s="36">
        <f t="array" ref="AJ74">SUM(
    IFERROR(
            VLOOKUP($A74, INDIRECT("EneR!$A$6:$ZZ$1048576"), MATCH(AJ$1, EneR!$6:$6, 0), FALSE),
            0
        ) +
        IFERROR(
            VLOOKUP($A74, INDIRECT("FebR!$A$6:$ZZ$1048576"), MATCH(AJ$1, FebR!$6:$6, 0), FALSE),
            0
        ) +
        IFERROR(
            VLOOKUP($A74, INDIRECT("MarR!$A$6:$ZZ$1048576"), MATCH(AJ$1, MarR!$6:$6, 0), FALSE),
            0
        ) +
        IFERROR(
            VLOOKUP($A74, INDIRECT("AbrR!$A$6:$ZZ$1048576"), MATCH(AJ$1, AbrR!$6:$6, 0), FALSE),
            0
        ) +
        IFERROR(
            VLOOKUP($A74, INDIRECT("MayR!$A$6:$ZZ$1048576"), MATCH(AJ$1, MayR!$6:$6, 0), FALSE),
            0
        ) +
        IFERROR(
            VLOOKUP($A74, INDIRECT("JunR!$A$6:$ZZ$1048576"), MATCH(AJ$1, JunR!$6:$6, 0), FALSE),
            0
        ) +
        IFERROR(
            VLOOKUP($A74, INDIRECT("JulR!$A$6:$ZZ$1048576"), MATCH(AJ$1, JulR!$6:$6, 0), FALSE),
            0
        ) +
        IFERROR(
            VLOOKUP($A74, INDIRECT("AgoR!$A$6:$ZZ$1048576"), MATCH(AJ$1, AgoR!$6:$6, 0), FALSE),
            0
        ) +
        IFERROR(
            VLOOKUP($A74, INDIRECT("SepR!$A$6:$ZZ$1048576"), MATCH(AJ$1, SepR!$6:$6, 0), FALSE),
            0
        ) +
        IFERROR(
            VLOOKUP($A74, INDIRECT("OctR!$A$6:$ZZ$1048576"), MATCH(AJ$1, OctR!$6:$6, 0), FALSE),
            0
        ) +
        IFERROR(
            VLOOKUP($A74, INDIRECT("NovR!$A$6:$ZZ$1048576"), MATCH(AJ$1, NovR!$6:$6, 0), FALSE),
            0
        ) +
        IFERROR(
            VLOOKUP($A74, INDIRECT("DicR!$A$6:$ZZ$1048576"), MATCH(AJ$1, DicR!$6:$6, 0), FALSE),
            0
        )
)</f>
        <v>0</v>
      </c>
      <c r="AK74" s="37">
        <f t="array" ref="AK74">SUM(
    IFERROR(
            VLOOKUP($A74, INDIRECT("EneR!$A$6:$ZZ$1048576"), MATCH(AK$1, EneR!$6:$6, 0), FALSE),
            0
        ) +
        IFERROR(
            VLOOKUP($A74, INDIRECT("FebR!$A$6:$ZZ$1048576"), MATCH(AK$1, FebR!$6:$6, 0), FALSE),
            0
        ) +
        IFERROR(
            VLOOKUP($A74, INDIRECT("MarR!$A$6:$ZZ$1048576"), MATCH(AK$1, MarR!$6:$6, 0), FALSE),
            0
        ) +
        IFERROR(
            VLOOKUP($A74, INDIRECT("AbrR!$A$6:$ZZ$1048576"), MATCH(AK$1, AbrR!$6:$6, 0), FALSE),
            0
        ) +
        IFERROR(
            VLOOKUP($A74, INDIRECT("MayR!$A$6:$ZZ$1048576"), MATCH(AK$1, MayR!$6:$6, 0), FALSE),
            0
        ) +
        IFERROR(
            VLOOKUP($A74, INDIRECT("JunR!$A$6:$ZZ$1048576"), MATCH(AK$1, JunR!$6:$6, 0), FALSE),
            0
        ) +
        IFERROR(
            VLOOKUP($A74, INDIRECT("JulR!$A$6:$ZZ$1048576"), MATCH(AK$1, JulR!$6:$6, 0), FALSE),
            0
        ) +
        IFERROR(
            VLOOKUP($A74, INDIRECT("AgoR!$A$6:$ZZ$1048576"), MATCH(AK$1, AgoR!$6:$6, 0), FALSE),
            0
        ) +
        IFERROR(
            VLOOKUP($A74, INDIRECT("SepR!$A$6:$ZZ$1048576"), MATCH(AK$1, SepR!$6:$6, 0), FALSE),
            0
        ) +
        IFERROR(
            VLOOKUP($A74, INDIRECT("OctR!$A$6:$ZZ$1048576"), MATCH(AK$1, OctR!$6:$6, 0), FALSE),
            0
        ) +
        IFERROR(
            VLOOKUP($A74, INDIRECT("NovR!$A$6:$ZZ$1048576"), MATCH(AK$1, NovR!$6:$6, 0), FALSE),
            0
        ) +
        IFERROR(
            VLOOKUP($A74, INDIRECT("DicR!$A$6:$ZZ$1048576"), MATCH(AK$1, DicR!$6:$6, 0), FALSE),
            0
        )
)</f>
        <v>0</v>
      </c>
      <c r="AL74" s="36">
        <f t="array" ref="AL74">SUM(
    IFERROR(
            VLOOKUP($A74, INDIRECT("EneR!$A$6:$ZZ$1048576"), MATCH(AL$1, EneR!$6:$6, 0), FALSE),
            0
        ) +
        IFERROR(
            VLOOKUP($A74, INDIRECT("FebR!$A$6:$ZZ$1048576"), MATCH(AL$1, FebR!$6:$6, 0), FALSE),
            0
        ) +
        IFERROR(
            VLOOKUP($A74, INDIRECT("MarR!$A$6:$ZZ$1048576"), MATCH(AL$1, MarR!$6:$6, 0), FALSE),
            0
        ) +
        IFERROR(
            VLOOKUP($A74, INDIRECT("AbrR!$A$6:$ZZ$1048576"), MATCH(AL$1, AbrR!$6:$6, 0), FALSE),
            0
        ) +
        IFERROR(
            VLOOKUP($A74, INDIRECT("MayR!$A$6:$ZZ$1048576"), MATCH(AL$1, MayR!$6:$6, 0), FALSE),
            0
        ) +
        IFERROR(
            VLOOKUP($A74, INDIRECT("JunR!$A$6:$ZZ$1048576"), MATCH(AL$1, JunR!$6:$6, 0), FALSE),
            0
        ) +
        IFERROR(
            VLOOKUP($A74, INDIRECT("JulR!$A$6:$ZZ$1048576"), MATCH(AL$1, JulR!$6:$6, 0), FALSE),
            0
        ) +
        IFERROR(
            VLOOKUP($A74, INDIRECT("AgoR!$A$6:$ZZ$1048576"), MATCH(AL$1, AgoR!$6:$6, 0), FALSE),
            0
        ) +
        IFERROR(
            VLOOKUP($A74, INDIRECT("SepR!$A$6:$ZZ$1048576"), MATCH(AL$1, SepR!$6:$6, 0), FALSE),
            0
        ) +
        IFERROR(
            VLOOKUP($A74, INDIRECT("OctR!$A$6:$ZZ$1048576"), MATCH(AL$1, OctR!$6:$6, 0), FALSE),
            0
        ) +
        IFERROR(
            VLOOKUP($A74, INDIRECT("NovR!$A$6:$ZZ$1048576"), MATCH(AL$1, NovR!$6:$6, 0), FALSE),
            0
        ) +
        IFERROR(
            VLOOKUP($A74, INDIRECT("DicR!$A$6:$ZZ$1048576"), MATCH(AL$1, DicR!$6:$6, 0), FALSE),
            0
        )
)</f>
        <v>0</v>
      </c>
      <c r="AM74" s="37">
        <f t="array" ref="AM74">SUM(
    IFERROR(
            VLOOKUP($A74, INDIRECT("EneR!$A$6:$ZZ$1048576"), MATCH(AM$1, EneR!$6:$6, 0), FALSE),
            0
        ) +
        IFERROR(
            VLOOKUP($A74, INDIRECT("FebR!$A$6:$ZZ$1048576"), MATCH(AM$1, FebR!$6:$6, 0), FALSE),
            0
        ) +
        IFERROR(
            VLOOKUP($A74, INDIRECT("MarR!$A$6:$ZZ$1048576"), MATCH(AM$1, MarR!$6:$6, 0), FALSE),
            0
        ) +
        IFERROR(
            VLOOKUP($A74, INDIRECT("AbrR!$A$6:$ZZ$1048576"), MATCH(AM$1, AbrR!$6:$6, 0), FALSE),
            0
        ) +
        IFERROR(
            VLOOKUP($A74, INDIRECT("MayR!$A$6:$ZZ$1048576"), MATCH(AM$1, MayR!$6:$6, 0), FALSE),
            0
        ) +
        IFERROR(
            VLOOKUP($A74, INDIRECT("JunR!$A$6:$ZZ$1048576"), MATCH(AM$1, JunR!$6:$6, 0), FALSE),
            0
        ) +
        IFERROR(
            VLOOKUP($A74, INDIRECT("JulR!$A$6:$ZZ$1048576"), MATCH(AM$1, JulR!$6:$6, 0), FALSE),
            0
        ) +
        IFERROR(
            VLOOKUP($A74, INDIRECT("AgoR!$A$6:$ZZ$1048576"), MATCH(AM$1, AgoR!$6:$6, 0), FALSE),
            0
        ) +
        IFERROR(
            VLOOKUP($A74, INDIRECT("SepR!$A$6:$ZZ$1048576"), MATCH(AM$1, SepR!$6:$6, 0), FALSE),
            0
        ) +
        IFERROR(
            VLOOKUP($A74, INDIRECT("OctR!$A$6:$ZZ$1048576"), MATCH(AM$1, OctR!$6:$6, 0), FALSE),
            0
        ) +
        IFERROR(
            VLOOKUP($A74, INDIRECT("NovR!$A$6:$ZZ$1048576"), MATCH(AM$1, NovR!$6:$6, 0), FALSE),
            0
        ) +
        IFERROR(
            VLOOKUP($A74, INDIRECT("DicR!$A$6:$ZZ$1048576"), MATCH(AM$1, DicR!$6:$6, 0), FALSE),
            0
        )
)</f>
        <v>0</v>
      </c>
      <c r="AN74" s="32">
        <f t="array" ref="AN74">SUM(
    IFERROR(
            VLOOKUP($A74, INDIRECT("EneR!$A$6:$ZZ$1048576"), MATCH(AN$1, EneR!$6:$6, 0), FALSE),
            0
        ) +
        IFERROR(
            VLOOKUP($A74, INDIRECT("FebR!$A$6:$ZZ$1048576"), MATCH(AN$1, FebR!$6:$6, 0), FALSE),
            0
        ) +
        IFERROR(
            VLOOKUP($A74, INDIRECT("MarR!$A$6:$ZZ$1048576"), MATCH(AN$1, MarR!$6:$6, 0), FALSE),
            0
        ) +
        IFERROR(
            VLOOKUP($A74, INDIRECT("AbrR!$A$6:$ZZ$1048576"), MATCH(AN$1, AbrR!$6:$6, 0), FALSE),
            0
        ) +
        IFERROR(
            VLOOKUP($A74, INDIRECT("MayR!$A$6:$ZZ$1048576"), MATCH(AN$1, MayR!$6:$6, 0), FALSE),
            0
        ) +
        IFERROR(
            VLOOKUP($A74, INDIRECT("JunR!$A$6:$ZZ$1048576"), MATCH(AN$1, JunR!$6:$6, 0), FALSE),
            0
        ) +
        IFERROR(
            VLOOKUP($A74, INDIRECT("JulR!$A$6:$ZZ$1048576"), MATCH(AN$1, JulR!$6:$6, 0), FALSE),
            0
        ) +
        IFERROR(
            VLOOKUP($A74, INDIRECT("AgoR!$A$6:$ZZ$1048576"), MATCH(AN$1, AgoR!$6:$6, 0), FALSE),
            0
        ) +
        IFERROR(
            VLOOKUP($A74, INDIRECT("SepR!$A$6:$ZZ$1048576"), MATCH(AN$1, SepR!$6:$6, 0), FALSE),
            0
        ) +
        IFERROR(
            VLOOKUP($A74, INDIRECT("OctR!$A$6:$ZZ$1048576"), MATCH(AN$1, OctR!$6:$6, 0), FALSE),
            0
        ) +
        IFERROR(
            VLOOKUP($A74, INDIRECT("NovR!$A$6:$ZZ$1048576"), MATCH(AN$1, NovR!$6:$6, 0), FALSE),
            0
        ) +
        IFERROR(
            VLOOKUP($A74, INDIRECT("DicR!$A$6:$ZZ$1048576"), MATCH(AN$1, DicR!$6:$6, 0), FALSE),
            0
        )
)</f>
        <v>0</v>
      </c>
      <c r="AO74" s="35">
        <f t="array" ref="AO74">SUM(
    IFERROR(
            VLOOKUP($A74, INDIRECT("EneR!$A$6:$ZZ$1048576"), MATCH(AO$1, EneR!$6:$6, 0), FALSE),
            0
        ) +
        IFERROR(
            VLOOKUP($A74, INDIRECT("FebR!$A$6:$ZZ$1048576"), MATCH(AO$1, FebR!$6:$6, 0), FALSE),
            0
        ) +
        IFERROR(
            VLOOKUP($A74, INDIRECT("MarR!$A$6:$ZZ$1048576"), MATCH(AO$1, MarR!$6:$6, 0), FALSE),
            0
        ) +
        IFERROR(
            VLOOKUP($A74, INDIRECT("AbrR!$A$6:$ZZ$1048576"), MATCH(AO$1, AbrR!$6:$6, 0), FALSE),
            0
        ) +
        IFERROR(
            VLOOKUP($A74, INDIRECT("MayR!$A$6:$ZZ$1048576"), MATCH(AO$1, MayR!$6:$6, 0), FALSE),
            0
        ) +
        IFERROR(
            VLOOKUP($A74, INDIRECT("JunR!$A$6:$ZZ$1048576"), MATCH(AO$1, JunR!$6:$6, 0), FALSE),
            0
        ) +
        IFERROR(
            VLOOKUP($A74, INDIRECT("JulR!$A$6:$ZZ$1048576"), MATCH(AO$1, JulR!$6:$6, 0), FALSE),
            0
        ) +
        IFERROR(
            VLOOKUP($A74, INDIRECT("AgoR!$A$6:$ZZ$1048576"), MATCH(AO$1, AgoR!$6:$6, 0), FALSE),
            0
        ) +
        IFERROR(
            VLOOKUP($A74, INDIRECT("SepR!$A$6:$ZZ$1048576"), MATCH(AO$1, SepR!$6:$6, 0), FALSE),
            0
        ) +
        IFERROR(
            VLOOKUP($A74, INDIRECT("OctR!$A$6:$ZZ$1048576"), MATCH(AO$1, OctR!$6:$6, 0), FALSE),
            0
        ) +
        IFERROR(
            VLOOKUP($A74, INDIRECT("NovR!$A$6:$ZZ$1048576"), MATCH(AO$1, NovR!$6:$6, 0), FALSE),
            0
        ) +
        IFERROR(
            VLOOKUP($A74, INDIRECT("DicR!$A$6:$ZZ$1048576"), MATCH(AO$1, DicR!$6:$6, 0), FALSE),
            0
        )
)</f>
        <v>0</v>
      </c>
      <c r="AP74" s="36">
        <f t="array" ref="AP74">SUM(
    IFERROR(
            VLOOKUP($A74, INDIRECT("EneR!$A$6:$ZZ$1048576"), MATCH(AP$1, EneR!$6:$6, 0), FALSE),
            0
        ) +
        IFERROR(
            VLOOKUP($A74, INDIRECT("FebR!$A$6:$ZZ$1048576"), MATCH(AP$1, FebR!$6:$6, 0), FALSE),
            0
        ) +
        IFERROR(
            VLOOKUP($A74, INDIRECT("MarR!$A$6:$ZZ$1048576"), MATCH(AP$1, MarR!$6:$6, 0), FALSE),
            0
        ) +
        IFERROR(
            VLOOKUP($A74, INDIRECT("AbrR!$A$6:$ZZ$1048576"), MATCH(AP$1, AbrR!$6:$6, 0), FALSE),
            0
        ) +
        IFERROR(
            VLOOKUP($A74, INDIRECT("MayR!$A$6:$ZZ$1048576"), MATCH(AP$1, MayR!$6:$6, 0), FALSE),
            0
        ) +
        IFERROR(
            VLOOKUP($A74, INDIRECT("JunR!$A$6:$ZZ$1048576"), MATCH(AP$1, JunR!$6:$6, 0), FALSE),
            0
        ) +
        IFERROR(
            VLOOKUP($A74, INDIRECT("JulR!$A$6:$ZZ$1048576"), MATCH(AP$1, JulR!$6:$6, 0), FALSE),
            0
        ) +
        IFERROR(
            VLOOKUP($A74, INDIRECT("AgoR!$A$6:$ZZ$1048576"), MATCH(AP$1, AgoR!$6:$6, 0), FALSE),
            0
        ) +
        IFERROR(
            VLOOKUP($A74, INDIRECT("SepR!$A$6:$ZZ$1048576"), MATCH(AP$1, SepR!$6:$6, 0), FALSE),
            0
        ) +
        IFERROR(
            VLOOKUP($A74, INDIRECT("OctR!$A$6:$ZZ$1048576"), MATCH(AP$1, OctR!$6:$6, 0), FALSE),
            0
        ) +
        IFERROR(
            VLOOKUP($A74, INDIRECT("NovR!$A$6:$ZZ$1048576"), MATCH(AP$1, NovR!$6:$6, 0), FALSE),
            0
        ) +
        IFERROR(
            VLOOKUP($A74, INDIRECT("DicR!$A$6:$ZZ$1048576"), MATCH(AP$1, DicR!$6:$6, 0), FALSE),
            0
        )
)</f>
        <v>0</v>
      </c>
      <c r="AQ74" s="35">
        <f t="array" ref="AQ74">SUM(
    IFERROR(
            VLOOKUP($A74, INDIRECT("EneR!$A$6:$ZZ$1048576"), MATCH(AQ$1, EneR!$6:$6, 0), FALSE),
            0
        ) +
        IFERROR(
            VLOOKUP($A74, INDIRECT("FebR!$A$6:$ZZ$1048576"), MATCH(AQ$1, FebR!$6:$6, 0), FALSE),
            0
        ) +
        IFERROR(
            VLOOKUP($A74, INDIRECT("MarR!$A$6:$ZZ$1048576"), MATCH(AQ$1, MarR!$6:$6, 0), FALSE),
            0
        ) +
        IFERROR(
            VLOOKUP($A74, INDIRECT("AbrR!$A$6:$ZZ$1048576"), MATCH(AQ$1, AbrR!$6:$6, 0), FALSE),
            0
        ) +
        IFERROR(
            VLOOKUP($A74, INDIRECT("MayR!$A$6:$ZZ$1048576"), MATCH(AQ$1, MayR!$6:$6, 0), FALSE),
            0
        ) +
        IFERROR(
            VLOOKUP($A74, INDIRECT("JunR!$A$6:$ZZ$1048576"), MATCH(AQ$1, JunR!$6:$6, 0), FALSE),
            0
        ) +
        IFERROR(
            VLOOKUP($A74, INDIRECT("JulR!$A$6:$ZZ$1048576"), MATCH(AQ$1, JulR!$6:$6, 0), FALSE),
            0
        ) +
        IFERROR(
            VLOOKUP($A74, INDIRECT("AgoR!$A$6:$ZZ$1048576"), MATCH(AQ$1, AgoR!$6:$6, 0), FALSE),
            0
        ) +
        IFERROR(
            VLOOKUP($A74, INDIRECT("SepR!$A$6:$ZZ$1048576"), MATCH(AQ$1, SepR!$6:$6, 0), FALSE),
            0
        ) +
        IFERROR(
            VLOOKUP($A74, INDIRECT("OctR!$A$6:$ZZ$1048576"), MATCH(AQ$1, OctR!$6:$6, 0), FALSE),
            0
        ) +
        IFERROR(
            VLOOKUP($A74, INDIRECT("NovR!$A$6:$ZZ$1048576"), MATCH(AQ$1, NovR!$6:$6, 0), FALSE),
            0
        ) +
        IFERROR(
            VLOOKUP($A74, INDIRECT("DicR!$A$6:$ZZ$1048576"), MATCH(AQ$1, DicR!$6:$6, 0), FALSE),
            0
        )
)</f>
        <v>0</v>
      </c>
      <c r="AR74" s="36">
        <f t="array" ref="AR74">SUM(
    IFERROR(
            VLOOKUP($A74, INDIRECT("EneR!$A$6:$ZZ$1048576"), MATCH(AR$1, EneR!$6:$6, 0), FALSE),
            0
        ) +
        IFERROR(
            VLOOKUP($A74, INDIRECT("FebR!$A$6:$ZZ$1048576"), MATCH(AR$1, FebR!$6:$6, 0), FALSE),
            0
        ) +
        IFERROR(
            VLOOKUP($A74, INDIRECT("MarR!$A$6:$ZZ$1048576"), MATCH(AR$1, MarR!$6:$6, 0), FALSE),
            0
        ) +
        IFERROR(
            VLOOKUP($A74, INDIRECT("AbrR!$A$6:$ZZ$1048576"), MATCH(AR$1, AbrR!$6:$6, 0), FALSE),
            0
        ) +
        IFERROR(
            VLOOKUP($A74, INDIRECT("MayR!$A$6:$ZZ$1048576"), MATCH(AR$1, MayR!$6:$6, 0), FALSE),
            0
        ) +
        IFERROR(
            VLOOKUP($A74, INDIRECT("JunR!$A$6:$ZZ$1048576"), MATCH(AR$1, JunR!$6:$6, 0), FALSE),
            0
        ) +
        IFERROR(
            VLOOKUP($A74, INDIRECT("JulR!$A$6:$ZZ$1048576"), MATCH(AR$1, JulR!$6:$6, 0), FALSE),
            0
        ) +
        IFERROR(
            VLOOKUP($A74, INDIRECT("AgoR!$A$6:$ZZ$1048576"), MATCH(AR$1, AgoR!$6:$6, 0), FALSE),
            0
        ) +
        IFERROR(
            VLOOKUP($A74, INDIRECT("SepR!$A$6:$ZZ$1048576"), MATCH(AR$1, SepR!$6:$6, 0), FALSE),
            0
        ) +
        IFERROR(
            VLOOKUP($A74, INDIRECT("OctR!$A$6:$ZZ$1048576"), MATCH(AR$1, OctR!$6:$6, 0), FALSE),
            0
        ) +
        IFERROR(
            VLOOKUP($A74, INDIRECT("NovR!$A$6:$ZZ$1048576"), MATCH(AR$1, NovR!$6:$6, 0), FALSE),
            0
        ) +
        IFERROR(
            VLOOKUP($A74, INDIRECT("DicR!$A$6:$ZZ$1048576"), MATCH(AR$1, DicR!$6:$6, 0), FALSE),
            0
        )
)</f>
        <v>0</v>
      </c>
      <c r="AS74" s="35">
        <f t="array" ref="AS74">SUM(
    IFERROR(
            VLOOKUP($A74, INDIRECT("EneR!$A$6:$ZZ$1048576"), MATCH(AS$1, EneR!$6:$6, 0), FALSE),
            0
        ) +
        IFERROR(
            VLOOKUP($A74, INDIRECT("FebR!$A$6:$ZZ$1048576"), MATCH(AS$1, FebR!$6:$6, 0), FALSE),
            0
        ) +
        IFERROR(
            VLOOKUP($A74, INDIRECT("MarR!$A$6:$ZZ$1048576"), MATCH(AS$1, MarR!$6:$6, 0), FALSE),
            0
        ) +
        IFERROR(
            VLOOKUP($A74, INDIRECT("AbrR!$A$6:$ZZ$1048576"), MATCH(AS$1, AbrR!$6:$6, 0), FALSE),
            0
        ) +
        IFERROR(
            VLOOKUP($A74, INDIRECT("MayR!$A$6:$ZZ$1048576"), MATCH(AS$1, MayR!$6:$6, 0), FALSE),
            0
        ) +
        IFERROR(
            VLOOKUP($A74, INDIRECT("JunR!$A$6:$ZZ$1048576"), MATCH(AS$1, JunR!$6:$6, 0), FALSE),
            0
        ) +
        IFERROR(
            VLOOKUP($A74, INDIRECT("JulR!$A$6:$ZZ$1048576"), MATCH(AS$1, JulR!$6:$6, 0), FALSE),
            0
        ) +
        IFERROR(
            VLOOKUP($A74, INDIRECT("AgoR!$A$6:$ZZ$1048576"), MATCH(AS$1, AgoR!$6:$6, 0), FALSE),
            0
        ) +
        IFERROR(
            VLOOKUP($A74, INDIRECT("SepR!$A$6:$ZZ$1048576"), MATCH(AS$1, SepR!$6:$6, 0), FALSE),
            0
        ) +
        IFERROR(
            VLOOKUP($A74, INDIRECT("OctR!$A$6:$ZZ$1048576"), MATCH(AS$1, OctR!$6:$6, 0), FALSE),
            0
        ) +
        IFERROR(
            VLOOKUP($A74, INDIRECT("NovR!$A$6:$ZZ$1048576"), MATCH(AS$1, NovR!$6:$6, 0), FALSE),
            0
        ) +
        IFERROR(
            VLOOKUP($A74, INDIRECT("DicR!$A$6:$ZZ$1048576"), MATCH(AS$1, DicR!$6:$6, 0), FALSE),
            0
        )
)</f>
        <v>0</v>
      </c>
      <c r="AT74" s="36">
        <f t="array" ref="AT74">SUM(
    IFERROR(
            VLOOKUP($A74, INDIRECT("EneR!$A$6:$ZZ$1048576"), MATCH(AT$1, EneR!$6:$6, 0), FALSE),
            0
        ) +
        IFERROR(
            VLOOKUP($A74, INDIRECT("FebR!$A$6:$ZZ$1048576"), MATCH(AT$1, FebR!$6:$6, 0), FALSE),
            0
        ) +
        IFERROR(
            VLOOKUP($A74, INDIRECT("MarR!$A$6:$ZZ$1048576"), MATCH(AT$1, MarR!$6:$6, 0), FALSE),
            0
        ) +
        IFERROR(
            VLOOKUP($A74, INDIRECT("AbrR!$A$6:$ZZ$1048576"), MATCH(AT$1, AbrR!$6:$6, 0), FALSE),
            0
        ) +
        IFERROR(
            VLOOKUP($A74, INDIRECT("MayR!$A$6:$ZZ$1048576"), MATCH(AT$1, MayR!$6:$6, 0), FALSE),
            0
        ) +
        IFERROR(
            VLOOKUP($A74, INDIRECT("JunR!$A$6:$ZZ$1048576"), MATCH(AT$1, JunR!$6:$6, 0), FALSE),
            0
        ) +
        IFERROR(
            VLOOKUP($A74, INDIRECT("JulR!$A$6:$ZZ$1048576"), MATCH(AT$1, JulR!$6:$6, 0), FALSE),
            0
        ) +
        IFERROR(
            VLOOKUP($A74, INDIRECT("AgoR!$A$6:$ZZ$1048576"), MATCH(AT$1, AgoR!$6:$6, 0), FALSE),
            0
        ) +
        IFERROR(
            VLOOKUP($A74, INDIRECT("SepR!$A$6:$ZZ$1048576"), MATCH(AT$1, SepR!$6:$6, 0), FALSE),
            0
        ) +
        IFERROR(
            VLOOKUP($A74, INDIRECT("OctR!$A$6:$ZZ$1048576"), MATCH(AT$1, OctR!$6:$6, 0), FALSE),
            0
        ) +
        IFERROR(
            VLOOKUP($A74, INDIRECT("NovR!$A$6:$ZZ$1048576"), MATCH(AT$1, NovR!$6:$6, 0), FALSE),
            0
        ) +
        IFERROR(
            VLOOKUP($A74, INDIRECT("DicR!$A$6:$ZZ$1048576"), MATCH(AT$1, DicR!$6:$6, 0), FALSE),
            0
        )
)</f>
        <v>0</v>
      </c>
      <c r="AU74" s="35">
        <f t="array" ref="AU74">SUM(
    IFERROR(
            VLOOKUP($A74, INDIRECT("EneR!$A$6:$ZZ$1048576"), MATCH(AU$1, EneR!$6:$6, 0), FALSE),
            0
        ) +
        IFERROR(
            VLOOKUP($A74, INDIRECT("FebR!$A$6:$ZZ$1048576"), MATCH(AU$1, FebR!$6:$6, 0), FALSE),
            0
        ) +
        IFERROR(
            VLOOKUP($A74, INDIRECT("MarR!$A$6:$ZZ$1048576"), MATCH(AU$1, MarR!$6:$6, 0), FALSE),
            0
        ) +
        IFERROR(
            VLOOKUP($A74, INDIRECT("AbrR!$A$6:$ZZ$1048576"), MATCH(AU$1, AbrR!$6:$6, 0), FALSE),
            0
        ) +
        IFERROR(
            VLOOKUP($A74, INDIRECT("MayR!$A$6:$ZZ$1048576"), MATCH(AU$1, MayR!$6:$6, 0), FALSE),
            0
        ) +
        IFERROR(
            VLOOKUP($A74, INDIRECT("JunR!$A$6:$ZZ$1048576"), MATCH(AU$1, JunR!$6:$6, 0), FALSE),
            0
        ) +
        IFERROR(
            VLOOKUP($A74, INDIRECT("JulR!$A$6:$ZZ$1048576"), MATCH(AU$1, JulR!$6:$6, 0), FALSE),
            0
        ) +
        IFERROR(
            VLOOKUP($A74, INDIRECT("AgoR!$A$6:$ZZ$1048576"), MATCH(AU$1, AgoR!$6:$6, 0), FALSE),
            0
        ) +
        IFERROR(
            VLOOKUP($A74, INDIRECT("SepR!$A$6:$ZZ$1048576"), MATCH(AU$1, SepR!$6:$6, 0), FALSE),
            0
        ) +
        IFERROR(
            VLOOKUP($A74, INDIRECT("OctR!$A$6:$ZZ$1048576"), MATCH(AU$1, OctR!$6:$6, 0), FALSE),
            0
        ) +
        IFERROR(
            VLOOKUP($A74, INDIRECT("NovR!$A$6:$ZZ$1048576"), MATCH(AU$1, NovR!$6:$6, 0), FALSE),
            0
        ) +
        IFERROR(
            VLOOKUP($A74, INDIRECT("DicR!$A$6:$ZZ$1048576"), MATCH(AU$1, DicR!$6:$6, 0), FALSE),
            0
        )
)</f>
        <v>0</v>
      </c>
      <c r="AV74" s="36">
        <f t="array" ref="AV74">SUM(
    IFERROR(
            VLOOKUP($A74, INDIRECT("EneR!$A$6:$ZZ$1048576"), MATCH(AV$1, EneR!$6:$6, 0), FALSE),
            0
        ) +
        IFERROR(
            VLOOKUP($A74, INDIRECT("FebR!$A$6:$ZZ$1048576"), MATCH(AV$1, FebR!$6:$6, 0), FALSE),
            0
        ) +
        IFERROR(
            VLOOKUP($A74, INDIRECT("MarR!$A$6:$ZZ$1048576"), MATCH(AV$1, MarR!$6:$6, 0), FALSE),
            0
        ) +
        IFERROR(
            VLOOKUP($A74, INDIRECT("AbrR!$A$6:$ZZ$1048576"), MATCH(AV$1, AbrR!$6:$6, 0), FALSE),
            0
        ) +
        IFERROR(
            VLOOKUP($A74, INDIRECT("MayR!$A$6:$ZZ$1048576"), MATCH(AV$1, MayR!$6:$6, 0), FALSE),
            0
        ) +
        IFERROR(
            VLOOKUP($A74, INDIRECT("JunR!$A$6:$ZZ$1048576"), MATCH(AV$1, JunR!$6:$6, 0), FALSE),
            0
        ) +
        IFERROR(
            VLOOKUP($A74, INDIRECT("JulR!$A$6:$ZZ$1048576"), MATCH(AV$1, JulR!$6:$6, 0), FALSE),
            0
        ) +
        IFERROR(
            VLOOKUP($A74, INDIRECT("AgoR!$A$6:$ZZ$1048576"), MATCH(AV$1, AgoR!$6:$6, 0), FALSE),
            0
        ) +
        IFERROR(
            VLOOKUP($A74, INDIRECT("SepR!$A$6:$ZZ$1048576"), MATCH(AV$1, SepR!$6:$6, 0), FALSE),
            0
        ) +
        IFERROR(
            VLOOKUP($A74, INDIRECT("OctR!$A$6:$ZZ$1048576"), MATCH(AV$1, OctR!$6:$6, 0), FALSE),
            0
        ) +
        IFERROR(
            VLOOKUP($A74, INDIRECT("NovR!$A$6:$ZZ$1048576"), MATCH(AV$1, NovR!$6:$6, 0), FALSE),
            0
        ) +
        IFERROR(
            VLOOKUP($A74, INDIRECT("DicR!$A$6:$ZZ$1048576"), MATCH(AV$1, DicR!$6:$6, 0), FALSE),
            0
        )
)</f>
        <v>0</v>
      </c>
      <c r="AW74" s="35">
        <f t="array" ref="AW74">SUM(
    IFERROR(
            VLOOKUP($A74, INDIRECT("EneR!$A$6:$ZZ$1048576"), MATCH(AW$1, EneR!$6:$6, 0), FALSE),
            0
        ) +
        IFERROR(
            VLOOKUP($A74, INDIRECT("FebR!$A$6:$ZZ$1048576"), MATCH(AW$1, FebR!$6:$6, 0), FALSE),
            0
        ) +
        IFERROR(
            VLOOKUP($A74, INDIRECT("MarR!$A$6:$ZZ$1048576"), MATCH(AW$1, MarR!$6:$6, 0), FALSE),
            0
        ) +
        IFERROR(
            VLOOKUP($A74, INDIRECT("AbrR!$A$6:$ZZ$1048576"), MATCH(AW$1, AbrR!$6:$6, 0), FALSE),
            0
        ) +
        IFERROR(
            VLOOKUP($A74, INDIRECT("MayR!$A$6:$ZZ$1048576"), MATCH(AW$1, MayR!$6:$6, 0), FALSE),
            0
        ) +
        IFERROR(
            VLOOKUP($A74, INDIRECT("JunR!$A$6:$ZZ$1048576"), MATCH(AW$1, JunR!$6:$6, 0), FALSE),
            0
        ) +
        IFERROR(
            VLOOKUP($A74, INDIRECT("JulR!$A$6:$ZZ$1048576"), MATCH(AW$1, JulR!$6:$6, 0), FALSE),
            0
        ) +
        IFERROR(
            VLOOKUP($A74, INDIRECT("AgoR!$A$6:$ZZ$1048576"), MATCH(AW$1, AgoR!$6:$6, 0), FALSE),
            0
        ) +
        IFERROR(
            VLOOKUP($A74, INDIRECT("SepR!$A$6:$ZZ$1048576"), MATCH(AW$1, SepR!$6:$6, 0), FALSE),
            0
        ) +
        IFERROR(
            VLOOKUP($A74, INDIRECT("OctR!$A$6:$ZZ$1048576"), MATCH(AW$1, OctR!$6:$6, 0), FALSE),
            0
        ) +
        IFERROR(
            VLOOKUP($A74, INDIRECT("NovR!$A$6:$ZZ$1048576"), MATCH(AW$1, NovR!$6:$6, 0), FALSE),
            0
        ) +
        IFERROR(
            VLOOKUP($A74, INDIRECT("DicR!$A$6:$ZZ$1048576"), MATCH(AW$1, DicR!$6:$6, 0), FALSE),
            0
        )
)</f>
        <v>0</v>
      </c>
      <c r="AX74" s="36">
        <f t="array" ref="AX74">SUM(
    IFERROR(
            VLOOKUP($A74, INDIRECT("EneR!$A$6:$ZZ$1048576"), MATCH(AX$1, EneR!$6:$6, 0), FALSE),
            0
        ) +
        IFERROR(
            VLOOKUP($A74, INDIRECT("FebR!$A$6:$ZZ$1048576"), MATCH(AX$1, FebR!$6:$6, 0), FALSE),
            0
        ) +
        IFERROR(
            VLOOKUP($A74, INDIRECT("MarR!$A$6:$ZZ$1048576"), MATCH(AX$1, MarR!$6:$6, 0), FALSE),
            0
        ) +
        IFERROR(
            VLOOKUP($A74, INDIRECT("AbrR!$A$6:$ZZ$1048576"), MATCH(AX$1, AbrR!$6:$6, 0), FALSE),
            0
        ) +
        IFERROR(
            VLOOKUP($A74, INDIRECT("MayR!$A$6:$ZZ$1048576"), MATCH(AX$1, MayR!$6:$6, 0), FALSE),
            0
        ) +
        IFERROR(
            VLOOKUP($A74, INDIRECT("JunR!$A$6:$ZZ$1048576"), MATCH(AX$1, JunR!$6:$6, 0), FALSE),
            0
        ) +
        IFERROR(
            VLOOKUP($A74, INDIRECT("JulR!$A$6:$ZZ$1048576"), MATCH(AX$1, JulR!$6:$6, 0), FALSE),
            0
        ) +
        IFERROR(
            VLOOKUP($A74, INDIRECT("AgoR!$A$6:$ZZ$1048576"), MATCH(AX$1, AgoR!$6:$6, 0), FALSE),
            0
        ) +
        IFERROR(
            VLOOKUP($A74, INDIRECT("SepR!$A$6:$ZZ$1048576"), MATCH(AX$1, SepR!$6:$6, 0), FALSE),
            0
        ) +
        IFERROR(
            VLOOKUP($A74, INDIRECT("OctR!$A$6:$ZZ$1048576"), MATCH(AX$1, OctR!$6:$6, 0), FALSE),
            0
        ) +
        IFERROR(
            VLOOKUP($A74, INDIRECT("NovR!$A$6:$ZZ$1048576"), MATCH(AX$1, NovR!$6:$6, 0), FALSE),
            0
        ) +
        IFERROR(
            VLOOKUP($A74, INDIRECT("DicR!$A$6:$ZZ$1048576"), MATCH(AX$1, DicR!$6:$6, 0), FALSE),
            0
        )
)</f>
        <v>0</v>
      </c>
      <c r="AY74" s="35">
        <f t="array" ref="AY74">SUM(
    IFERROR(
            VLOOKUP($A74, INDIRECT("EneR!$A$6:$ZZ$1048576"), MATCH(AY$1, EneR!$6:$6, 0), FALSE),
            0
        ) +
        IFERROR(
            VLOOKUP($A74, INDIRECT("FebR!$A$6:$ZZ$1048576"), MATCH(AY$1, FebR!$6:$6, 0), FALSE),
            0
        ) +
        IFERROR(
            VLOOKUP($A74, INDIRECT("MarR!$A$6:$ZZ$1048576"), MATCH(AY$1, MarR!$6:$6, 0), FALSE),
            0
        ) +
        IFERROR(
            VLOOKUP($A74, INDIRECT("AbrR!$A$6:$ZZ$1048576"), MATCH(AY$1, AbrR!$6:$6, 0), FALSE),
            0
        ) +
        IFERROR(
            VLOOKUP($A74, INDIRECT("MayR!$A$6:$ZZ$1048576"), MATCH(AY$1, MayR!$6:$6, 0), FALSE),
            0
        ) +
        IFERROR(
            VLOOKUP($A74, INDIRECT("JunR!$A$6:$ZZ$1048576"), MATCH(AY$1, JunR!$6:$6, 0), FALSE),
            0
        ) +
        IFERROR(
            VLOOKUP($A74, INDIRECT("JulR!$A$6:$ZZ$1048576"), MATCH(AY$1, JulR!$6:$6, 0), FALSE),
            0
        ) +
        IFERROR(
            VLOOKUP($A74, INDIRECT("AgoR!$A$6:$ZZ$1048576"), MATCH(AY$1, AgoR!$6:$6, 0), FALSE),
            0
        ) +
        IFERROR(
            VLOOKUP($A74, INDIRECT("SepR!$A$6:$ZZ$1048576"), MATCH(AY$1, SepR!$6:$6, 0), FALSE),
            0
        ) +
        IFERROR(
            VLOOKUP($A74, INDIRECT("OctR!$A$6:$ZZ$1048576"), MATCH(AY$1, OctR!$6:$6, 0), FALSE),
            0
        ) +
        IFERROR(
            VLOOKUP($A74, INDIRECT("NovR!$A$6:$ZZ$1048576"), MATCH(AY$1, NovR!$6:$6, 0), FALSE),
            0
        ) +
        IFERROR(
            VLOOKUP($A74, INDIRECT("DicR!$A$6:$ZZ$1048576"), MATCH(AY$1, DicR!$6:$6, 0), FALSE),
            0
        )
)</f>
        <v>0</v>
      </c>
      <c r="AZ74" s="35"/>
    </row>
    <row r="75" ht="15.75" customHeight="1">
      <c r="A75" s="12" t="str">
        <f>Menus!B36</f>
        <v/>
      </c>
      <c r="B75" s="32">
        <f t="shared" si="9"/>
        <v>0</v>
      </c>
      <c r="C75" s="33" t="str">
        <f t="shared" si="10"/>
        <v/>
      </c>
      <c r="D75" s="34">
        <f t="array" ref="D75">SUM(
    IFERROR(
            VLOOKUP($A75, INDIRECT("EneR!$A$6:$ZZ$1048576"), MATCH(D$1, EneR!$6:$6, 0), FALSE),
            0
        ) +
        IFERROR(
            VLOOKUP($A75, INDIRECT("FebR!$A$6:$ZZ$1048576"), MATCH(D$1, FebR!$6:$6, 0), FALSE),
            0
        ) +
        IFERROR(
            VLOOKUP($A75, INDIRECT("MarR!$A$6:$ZZ$1048576"), MATCH(D$1, MarR!$6:$6, 0), FALSE),
            0
        ) +
        IFERROR(
            VLOOKUP($A75, INDIRECT("AbrR!$A$6:$ZZ$1048576"), MATCH(D$1, AbrR!$6:$6, 0), FALSE),
            0
        ) +
        IFERROR(
            VLOOKUP($A75, INDIRECT("MayR!$A$6:$ZZ$1048576"), MATCH(D$1, MayR!$6:$6, 0), FALSE),
            0
        ) +
        IFERROR(
            VLOOKUP($A75, INDIRECT("JunR!$A$6:$ZZ$1048576"), MATCH(D$1, JunR!$6:$6, 0), FALSE),
            0
        ) +
        IFERROR(
            VLOOKUP($A75, INDIRECT("JulR!$A$6:$ZZ$1048576"), MATCH(D$1, JulR!$6:$6, 0), FALSE),
            0
        ) +
        IFERROR(
            VLOOKUP($A75, INDIRECT("AgoR!$A$6:$ZZ$1048576"), MATCH(D$1, AgoR!$6:$6, 0), FALSE),
            0
        ) +
        IFERROR(
            VLOOKUP($A75, INDIRECT("SepR!$A$6:$ZZ$1048576"), MATCH(D$1, SepR!$6:$6, 0), FALSE),
            0
        ) +
        IFERROR(
            VLOOKUP($A75, INDIRECT("OctR!$A$6:$ZZ$1048576"), MATCH(D$1, OctR!$6:$6, 0), FALSE),
            0
        ) +
        IFERROR(
            VLOOKUP($A75, INDIRECT("NovR!$A$6:$ZZ$1048576"), MATCH(D$1, NovR!$6:$6, 0), FALSE),
            0
        ) +
        IFERROR(
            VLOOKUP($A75, INDIRECT("DicR!$A$6:$ZZ$1048576"), MATCH(D$1, DicR!$6:$6, 0), FALSE),
            0
        )
)</f>
        <v>0</v>
      </c>
      <c r="E75" s="35">
        <f t="array" ref="E75">SUM(
    IFERROR(
            VLOOKUP($A75, INDIRECT("EneR!$A$6:$ZZ$1048576"), MATCH(E$1, EneR!$6:$6, 0), FALSE),
            0
        ) +
        IFERROR(
            VLOOKUP($A75, INDIRECT("FebR!$A$6:$ZZ$1048576"), MATCH(E$1, FebR!$6:$6, 0), FALSE),
            0
        ) +
        IFERROR(
            VLOOKUP($A75, INDIRECT("MarR!$A$6:$ZZ$1048576"), MATCH(E$1, MarR!$6:$6, 0), FALSE),
            0
        ) +
        IFERROR(
            VLOOKUP($A75, INDIRECT("AbrR!$A$6:$ZZ$1048576"), MATCH(E$1, AbrR!$6:$6, 0), FALSE),
            0
        ) +
        IFERROR(
            VLOOKUP($A75, INDIRECT("MayR!$A$6:$ZZ$1048576"), MATCH(E$1, MayR!$6:$6, 0), FALSE),
            0
        ) +
        IFERROR(
            VLOOKUP($A75, INDIRECT("JunR!$A$6:$ZZ$1048576"), MATCH(E$1, JunR!$6:$6, 0), FALSE),
            0
        ) +
        IFERROR(
            VLOOKUP($A75, INDIRECT("JulR!$A$6:$ZZ$1048576"), MATCH(E$1, JulR!$6:$6, 0), FALSE),
            0
        ) +
        IFERROR(
            VLOOKUP($A75, INDIRECT("AgoR!$A$6:$ZZ$1048576"), MATCH(E$1, AgoR!$6:$6, 0), FALSE),
            0
        ) +
        IFERROR(
            VLOOKUP($A75, INDIRECT("SepR!$A$6:$ZZ$1048576"), MATCH(E$1, SepR!$6:$6, 0), FALSE),
            0
        ) +
        IFERROR(
            VLOOKUP($A75, INDIRECT("OctR!$A$6:$ZZ$1048576"), MATCH(E$1, OctR!$6:$6, 0), FALSE),
            0
        ) +
        IFERROR(
            VLOOKUP($A75, INDIRECT("NovR!$A$6:$ZZ$1048576"), MATCH(E$1, NovR!$6:$6, 0), FALSE),
            0
        ) +
        IFERROR(
            VLOOKUP($A75, INDIRECT("DicR!$A$6:$ZZ$1048576"), MATCH(E$1, DicR!$6:$6, 0), FALSE),
            0
        )
)</f>
        <v>0</v>
      </c>
      <c r="F75" s="32">
        <f t="array" ref="F75">SUM(
    IFERROR(
            VLOOKUP($A75, INDIRECT("EneR!$A$6:$ZZ$1048576"), MATCH(F$1, EneR!$6:$6, 0), FALSE),
            0
        ) +
        IFERROR(
            VLOOKUP($A75, INDIRECT("FebR!$A$6:$ZZ$1048576"), MATCH(F$1, FebR!$6:$6, 0), FALSE),
            0
        ) +
        IFERROR(
            VLOOKUP($A75, INDIRECT("MarR!$A$6:$ZZ$1048576"), MATCH(F$1, MarR!$6:$6, 0), FALSE),
            0
        ) +
        IFERROR(
            VLOOKUP($A75, INDIRECT("AbrR!$A$6:$ZZ$1048576"), MATCH(F$1, AbrR!$6:$6, 0), FALSE),
            0
        ) +
        IFERROR(
            VLOOKUP($A75, INDIRECT("MayR!$A$6:$ZZ$1048576"), MATCH(F$1, MayR!$6:$6, 0), FALSE),
            0
        ) +
        IFERROR(
            VLOOKUP($A75, INDIRECT("JunR!$A$6:$ZZ$1048576"), MATCH(F$1, JunR!$6:$6, 0), FALSE),
            0
        ) +
        IFERROR(
            VLOOKUP($A75, INDIRECT("JulR!$A$6:$ZZ$1048576"), MATCH(F$1, JulR!$6:$6, 0), FALSE),
            0
        ) +
        IFERROR(
            VLOOKUP($A75, INDIRECT("AgoR!$A$6:$ZZ$1048576"), MATCH(F$1, AgoR!$6:$6, 0), FALSE),
            0
        ) +
        IFERROR(
            VLOOKUP($A75, INDIRECT("SepR!$A$6:$ZZ$1048576"), MATCH(F$1, SepR!$6:$6, 0), FALSE),
            0
        ) +
        IFERROR(
            VLOOKUP($A75, INDIRECT("OctR!$A$6:$ZZ$1048576"), MATCH(F$1, OctR!$6:$6, 0), FALSE),
            0
        ) +
        IFERROR(
            VLOOKUP($A75, INDIRECT("NovR!$A$6:$ZZ$1048576"), MATCH(F$1, NovR!$6:$6, 0), FALSE),
            0
        ) +
        IFERROR(
            VLOOKUP($A75, INDIRECT("DicR!$A$6:$ZZ$1048576"), MATCH(F$1, DicR!$6:$6, 0), FALSE),
            0
        )
)</f>
        <v>0</v>
      </c>
      <c r="G75" s="35">
        <f t="array" ref="G75">SUM(
    IFERROR(
            VLOOKUP($A75, INDIRECT("EneR!$A$6:$ZZ$1048576"), MATCH(G$1, EneR!$6:$6, 0), FALSE),
            0
        ) +
        IFERROR(
            VLOOKUP($A75, INDIRECT("FebR!$A$6:$ZZ$1048576"), MATCH(G$1, FebR!$6:$6, 0), FALSE),
            0
        ) +
        IFERROR(
            VLOOKUP($A75, INDIRECT("MarR!$A$6:$ZZ$1048576"), MATCH(G$1, MarR!$6:$6, 0), FALSE),
            0
        ) +
        IFERROR(
            VLOOKUP($A75, INDIRECT("AbrR!$A$6:$ZZ$1048576"), MATCH(G$1, AbrR!$6:$6, 0), FALSE),
            0
        ) +
        IFERROR(
            VLOOKUP($A75, INDIRECT("MayR!$A$6:$ZZ$1048576"), MATCH(G$1, MayR!$6:$6, 0), FALSE),
            0
        ) +
        IFERROR(
            VLOOKUP($A75, INDIRECT("JunR!$A$6:$ZZ$1048576"), MATCH(G$1, JunR!$6:$6, 0), FALSE),
            0
        ) +
        IFERROR(
            VLOOKUP($A75, INDIRECT("JulR!$A$6:$ZZ$1048576"), MATCH(G$1, JulR!$6:$6, 0), FALSE),
            0
        ) +
        IFERROR(
            VLOOKUP($A75, INDIRECT("AgoR!$A$6:$ZZ$1048576"), MATCH(G$1, AgoR!$6:$6, 0), FALSE),
            0
        ) +
        IFERROR(
            VLOOKUP($A75, INDIRECT("SepR!$A$6:$ZZ$1048576"), MATCH(G$1, SepR!$6:$6, 0), FALSE),
            0
        ) +
        IFERROR(
            VLOOKUP($A75, INDIRECT("OctR!$A$6:$ZZ$1048576"), MATCH(G$1, OctR!$6:$6, 0), FALSE),
            0
        ) +
        IFERROR(
            VLOOKUP($A75, INDIRECT("NovR!$A$6:$ZZ$1048576"), MATCH(G$1, NovR!$6:$6, 0), FALSE),
            0
        ) +
        IFERROR(
            VLOOKUP($A75, INDIRECT("DicR!$A$6:$ZZ$1048576"), MATCH(G$1, DicR!$6:$6, 0), FALSE),
            0
        )
)</f>
        <v>0</v>
      </c>
      <c r="H75" s="32">
        <f t="array" ref="H75">SUM(
    IFERROR(
            VLOOKUP($A75, INDIRECT("EneR!$A$6:$ZZ$1048576"), MATCH(H$1, EneR!$6:$6, 0), FALSE),
            0
        ) +
        IFERROR(
            VLOOKUP($A75, INDIRECT("FebR!$A$6:$ZZ$1048576"), MATCH(H$1, FebR!$6:$6, 0), FALSE),
            0
        ) +
        IFERROR(
            VLOOKUP($A75, INDIRECT("MarR!$A$6:$ZZ$1048576"), MATCH(H$1, MarR!$6:$6, 0), FALSE),
            0
        ) +
        IFERROR(
            VLOOKUP($A75, INDIRECT("AbrR!$A$6:$ZZ$1048576"), MATCH(H$1, AbrR!$6:$6, 0), FALSE),
            0
        ) +
        IFERROR(
            VLOOKUP($A75, INDIRECT("MayR!$A$6:$ZZ$1048576"), MATCH(H$1, MayR!$6:$6, 0), FALSE),
            0
        ) +
        IFERROR(
            VLOOKUP($A75, INDIRECT("JunR!$A$6:$ZZ$1048576"), MATCH(H$1, JunR!$6:$6, 0), FALSE),
            0
        ) +
        IFERROR(
            VLOOKUP($A75, INDIRECT("JulR!$A$6:$ZZ$1048576"), MATCH(H$1, JulR!$6:$6, 0), FALSE),
            0
        ) +
        IFERROR(
            VLOOKUP($A75, INDIRECT("AgoR!$A$6:$ZZ$1048576"), MATCH(H$1, AgoR!$6:$6, 0), FALSE),
            0
        ) +
        IFERROR(
            VLOOKUP($A75, INDIRECT("SepR!$A$6:$ZZ$1048576"), MATCH(H$1, SepR!$6:$6, 0), FALSE),
            0
        ) +
        IFERROR(
            VLOOKUP($A75, INDIRECT("OctR!$A$6:$ZZ$1048576"), MATCH(H$1, OctR!$6:$6, 0), FALSE),
            0
        ) +
        IFERROR(
            VLOOKUP($A75, INDIRECT("NovR!$A$6:$ZZ$1048576"), MATCH(H$1, NovR!$6:$6, 0), FALSE),
            0
        ) +
        IFERROR(
            VLOOKUP($A75, INDIRECT("DicR!$A$6:$ZZ$1048576"), MATCH(H$1, DicR!$6:$6, 0), FALSE),
            0
        )
)</f>
        <v>0</v>
      </c>
      <c r="I75" s="35">
        <f t="array" ref="I75">SUM(
    IFERROR(
            VLOOKUP($A75, INDIRECT("EneR!$A$6:$ZZ$1048576"), MATCH(I$1, EneR!$6:$6, 0), FALSE),
            0
        ) +
        IFERROR(
            VLOOKUP($A75, INDIRECT("FebR!$A$6:$ZZ$1048576"), MATCH(I$1, FebR!$6:$6, 0), FALSE),
            0
        ) +
        IFERROR(
            VLOOKUP($A75, INDIRECT("MarR!$A$6:$ZZ$1048576"), MATCH(I$1, MarR!$6:$6, 0), FALSE),
            0
        ) +
        IFERROR(
            VLOOKUP($A75, INDIRECT("AbrR!$A$6:$ZZ$1048576"), MATCH(I$1, AbrR!$6:$6, 0), FALSE),
            0
        ) +
        IFERROR(
            VLOOKUP($A75, INDIRECT("MayR!$A$6:$ZZ$1048576"), MATCH(I$1, MayR!$6:$6, 0), FALSE),
            0
        ) +
        IFERROR(
            VLOOKUP($A75, INDIRECT("JunR!$A$6:$ZZ$1048576"), MATCH(I$1, JunR!$6:$6, 0), FALSE),
            0
        ) +
        IFERROR(
            VLOOKUP($A75, INDIRECT("JulR!$A$6:$ZZ$1048576"), MATCH(I$1, JulR!$6:$6, 0), FALSE),
            0
        ) +
        IFERROR(
            VLOOKUP($A75, INDIRECT("AgoR!$A$6:$ZZ$1048576"), MATCH(I$1, AgoR!$6:$6, 0), FALSE),
            0
        ) +
        IFERROR(
            VLOOKUP($A75, INDIRECT("SepR!$A$6:$ZZ$1048576"), MATCH(I$1, SepR!$6:$6, 0), FALSE),
            0
        ) +
        IFERROR(
            VLOOKUP($A75, INDIRECT("OctR!$A$6:$ZZ$1048576"), MATCH(I$1, OctR!$6:$6, 0), FALSE),
            0
        ) +
        IFERROR(
            VLOOKUP($A75, INDIRECT("NovR!$A$6:$ZZ$1048576"), MATCH(I$1, NovR!$6:$6, 0), FALSE),
            0
        ) +
        IFERROR(
            VLOOKUP($A75, INDIRECT("DicR!$A$6:$ZZ$1048576"), MATCH(I$1, DicR!$6:$6, 0), FALSE),
            0
        )
)</f>
        <v>0</v>
      </c>
      <c r="J75" s="32">
        <f t="array" ref="J75">SUM(
    IFERROR(
            VLOOKUP($A75, INDIRECT("EneR!$A$6:$ZZ$1048576"), MATCH(J$1, EneR!$6:$6, 0), FALSE),
            0
        ) +
        IFERROR(
            VLOOKUP($A75, INDIRECT("FebR!$A$6:$ZZ$1048576"), MATCH(J$1, FebR!$6:$6, 0), FALSE),
            0
        ) +
        IFERROR(
            VLOOKUP($A75, INDIRECT("MarR!$A$6:$ZZ$1048576"), MATCH(J$1, MarR!$6:$6, 0), FALSE),
            0
        ) +
        IFERROR(
            VLOOKUP($A75, INDIRECT("AbrR!$A$6:$ZZ$1048576"), MATCH(J$1, AbrR!$6:$6, 0), FALSE),
            0
        ) +
        IFERROR(
            VLOOKUP($A75, INDIRECT("MayR!$A$6:$ZZ$1048576"), MATCH(J$1, MayR!$6:$6, 0), FALSE),
            0
        ) +
        IFERROR(
            VLOOKUP($A75, INDIRECT("JunR!$A$6:$ZZ$1048576"), MATCH(J$1, JunR!$6:$6, 0), FALSE),
            0
        ) +
        IFERROR(
            VLOOKUP($A75, INDIRECT("JulR!$A$6:$ZZ$1048576"), MATCH(J$1, JulR!$6:$6, 0), FALSE),
            0
        ) +
        IFERROR(
            VLOOKUP($A75, INDIRECT("AgoR!$A$6:$ZZ$1048576"), MATCH(J$1, AgoR!$6:$6, 0), FALSE),
            0
        ) +
        IFERROR(
            VLOOKUP($A75, INDIRECT("SepR!$A$6:$ZZ$1048576"), MATCH(J$1, SepR!$6:$6, 0), FALSE),
            0
        ) +
        IFERROR(
            VLOOKUP($A75, INDIRECT("OctR!$A$6:$ZZ$1048576"), MATCH(J$1, OctR!$6:$6, 0), FALSE),
            0
        ) +
        IFERROR(
            VLOOKUP($A75, INDIRECT("NovR!$A$6:$ZZ$1048576"), MATCH(J$1, NovR!$6:$6, 0), FALSE),
            0
        ) +
        IFERROR(
            VLOOKUP($A75, INDIRECT("DicR!$A$6:$ZZ$1048576"), MATCH(J$1, DicR!$6:$6, 0), FALSE),
            0
        )
)</f>
        <v>0</v>
      </c>
      <c r="K75" s="35">
        <f t="array" ref="K75">SUM(
    IFERROR(
            VLOOKUP($A75, INDIRECT("EneR!$A$6:$ZZ$1048576"), MATCH(K$1, EneR!$6:$6, 0), FALSE),
            0
        ) +
        IFERROR(
            VLOOKUP($A75, INDIRECT("FebR!$A$6:$ZZ$1048576"), MATCH(K$1, FebR!$6:$6, 0), FALSE),
            0
        ) +
        IFERROR(
            VLOOKUP($A75, INDIRECT("MarR!$A$6:$ZZ$1048576"), MATCH(K$1, MarR!$6:$6, 0), FALSE),
            0
        ) +
        IFERROR(
            VLOOKUP($A75, INDIRECT("AbrR!$A$6:$ZZ$1048576"), MATCH(K$1, AbrR!$6:$6, 0), FALSE),
            0
        ) +
        IFERROR(
            VLOOKUP($A75, INDIRECT("MayR!$A$6:$ZZ$1048576"), MATCH(K$1, MayR!$6:$6, 0), FALSE),
            0
        ) +
        IFERROR(
            VLOOKUP($A75, INDIRECT("JunR!$A$6:$ZZ$1048576"), MATCH(K$1, JunR!$6:$6, 0), FALSE),
            0
        ) +
        IFERROR(
            VLOOKUP($A75, INDIRECT("JulR!$A$6:$ZZ$1048576"), MATCH(K$1, JulR!$6:$6, 0), FALSE),
            0
        ) +
        IFERROR(
            VLOOKUP($A75, INDIRECT("AgoR!$A$6:$ZZ$1048576"), MATCH(K$1, AgoR!$6:$6, 0), FALSE),
            0
        ) +
        IFERROR(
            VLOOKUP($A75, INDIRECT("SepR!$A$6:$ZZ$1048576"), MATCH(K$1, SepR!$6:$6, 0), FALSE),
            0
        ) +
        IFERROR(
            VLOOKUP($A75, INDIRECT("OctR!$A$6:$ZZ$1048576"), MATCH(K$1, OctR!$6:$6, 0), FALSE),
            0
        ) +
        IFERROR(
            VLOOKUP($A75, INDIRECT("NovR!$A$6:$ZZ$1048576"), MATCH(K$1, NovR!$6:$6, 0), FALSE),
            0
        ) +
        IFERROR(
            VLOOKUP($A75, INDIRECT("DicR!$A$6:$ZZ$1048576"), MATCH(K$1, DicR!$6:$6, 0), FALSE),
            0
        )
)</f>
        <v>0</v>
      </c>
      <c r="L75" s="32">
        <f t="array" ref="L75">SUM(
    IFERROR(
            VLOOKUP($A75, INDIRECT("EneR!$A$6:$ZZ$1048576"), MATCH(L$1, EneR!$6:$6, 0), FALSE),
            0
        ) +
        IFERROR(
            VLOOKUP($A75, INDIRECT("FebR!$A$6:$ZZ$1048576"), MATCH(L$1, FebR!$6:$6, 0), FALSE),
            0
        ) +
        IFERROR(
            VLOOKUP($A75, INDIRECT("MarR!$A$6:$ZZ$1048576"), MATCH(L$1, MarR!$6:$6, 0), FALSE),
            0
        ) +
        IFERROR(
            VLOOKUP($A75, INDIRECT("AbrR!$A$6:$ZZ$1048576"), MATCH(L$1, AbrR!$6:$6, 0), FALSE),
            0
        ) +
        IFERROR(
            VLOOKUP($A75, INDIRECT("MayR!$A$6:$ZZ$1048576"), MATCH(L$1, MayR!$6:$6, 0), FALSE),
            0
        ) +
        IFERROR(
            VLOOKUP($A75, INDIRECT("JunR!$A$6:$ZZ$1048576"), MATCH(L$1, JunR!$6:$6, 0), FALSE),
            0
        ) +
        IFERROR(
            VLOOKUP($A75, INDIRECT("JulR!$A$6:$ZZ$1048576"), MATCH(L$1, JulR!$6:$6, 0), FALSE),
            0
        ) +
        IFERROR(
            VLOOKUP($A75, INDIRECT("AgoR!$A$6:$ZZ$1048576"), MATCH(L$1, AgoR!$6:$6, 0), FALSE),
            0
        ) +
        IFERROR(
            VLOOKUP($A75, INDIRECT("SepR!$A$6:$ZZ$1048576"), MATCH(L$1, SepR!$6:$6, 0), FALSE),
            0
        ) +
        IFERROR(
            VLOOKUP($A75, INDIRECT("OctR!$A$6:$ZZ$1048576"), MATCH(L$1, OctR!$6:$6, 0), FALSE),
            0
        ) +
        IFERROR(
            VLOOKUP($A75, INDIRECT("NovR!$A$6:$ZZ$1048576"), MATCH(L$1, NovR!$6:$6, 0), FALSE),
            0
        ) +
        IFERROR(
            VLOOKUP($A75, INDIRECT("DicR!$A$6:$ZZ$1048576"), MATCH(L$1, DicR!$6:$6, 0), FALSE),
            0
        )
)</f>
        <v>0</v>
      </c>
      <c r="M75" s="35">
        <f t="array" ref="M75">SUM(
    IFERROR(
            VLOOKUP($A75, INDIRECT("EneR!$A$6:$ZZ$1048576"), MATCH(M$1, EneR!$6:$6, 0), FALSE),
            0
        ) +
        IFERROR(
            VLOOKUP($A75, INDIRECT("FebR!$A$6:$ZZ$1048576"), MATCH(M$1, FebR!$6:$6, 0), FALSE),
            0
        ) +
        IFERROR(
            VLOOKUP($A75, INDIRECT("MarR!$A$6:$ZZ$1048576"), MATCH(M$1, MarR!$6:$6, 0), FALSE),
            0
        ) +
        IFERROR(
            VLOOKUP($A75, INDIRECT("AbrR!$A$6:$ZZ$1048576"), MATCH(M$1, AbrR!$6:$6, 0), FALSE),
            0
        ) +
        IFERROR(
            VLOOKUP($A75, INDIRECT("MayR!$A$6:$ZZ$1048576"), MATCH(M$1, MayR!$6:$6, 0), FALSE),
            0
        ) +
        IFERROR(
            VLOOKUP($A75, INDIRECT("JunR!$A$6:$ZZ$1048576"), MATCH(M$1, JunR!$6:$6, 0), FALSE),
            0
        ) +
        IFERROR(
            VLOOKUP($A75, INDIRECT("JulR!$A$6:$ZZ$1048576"), MATCH(M$1, JulR!$6:$6, 0), FALSE),
            0
        ) +
        IFERROR(
            VLOOKUP($A75, INDIRECT("AgoR!$A$6:$ZZ$1048576"), MATCH(M$1, AgoR!$6:$6, 0), FALSE),
            0
        ) +
        IFERROR(
            VLOOKUP($A75, INDIRECT("SepR!$A$6:$ZZ$1048576"), MATCH(M$1, SepR!$6:$6, 0), FALSE),
            0
        ) +
        IFERROR(
            VLOOKUP($A75, INDIRECT("OctR!$A$6:$ZZ$1048576"), MATCH(M$1, OctR!$6:$6, 0), FALSE),
            0
        ) +
        IFERROR(
            VLOOKUP($A75, INDIRECT("NovR!$A$6:$ZZ$1048576"), MATCH(M$1, NovR!$6:$6, 0), FALSE),
            0
        ) +
        IFERROR(
            VLOOKUP($A75, INDIRECT("DicR!$A$6:$ZZ$1048576"), MATCH(M$1, DicR!$6:$6, 0), FALSE),
            0
        )
)</f>
        <v>0</v>
      </c>
      <c r="N75" s="32">
        <f t="array" ref="N75">SUM(
    IFERROR(
            VLOOKUP($A75, INDIRECT("EneR!$A$6:$ZZ$1048576"), MATCH(N$1, EneR!$6:$6, 0), FALSE),
            0
        ) +
        IFERROR(
            VLOOKUP($A75, INDIRECT("FebR!$A$6:$ZZ$1048576"), MATCH(N$1, FebR!$6:$6, 0), FALSE),
            0
        ) +
        IFERROR(
            VLOOKUP($A75, INDIRECT("MarR!$A$6:$ZZ$1048576"), MATCH(N$1, MarR!$6:$6, 0), FALSE),
            0
        ) +
        IFERROR(
            VLOOKUP($A75, INDIRECT("AbrR!$A$6:$ZZ$1048576"), MATCH(N$1, AbrR!$6:$6, 0), FALSE),
            0
        ) +
        IFERROR(
            VLOOKUP($A75, INDIRECT("MayR!$A$6:$ZZ$1048576"), MATCH(N$1, MayR!$6:$6, 0), FALSE),
            0
        ) +
        IFERROR(
            VLOOKUP($A75, INDIRECT("JunR!$A$6:$ZZ$1048576"), MATCH(N$1, JunR!$6:$6, 0), FALSE),
            0
        ) +
        IFERROR(
            VLOOKUP($A75, INDIRECT("JulR!$A$6:$ZZ$1048576"), MATCH(N$1, JulR!$6:$6, 0), FALSE),
            0
        ) +
        IFERROR(
            VLOOKUP($A75, INDIRECT("AgoR!$A$6:$ZZ$1048576"), MATCH(N$1, AgoR!$6:$6, 0), FALSE),
            0
        ) +
        IFERROR(
            VLOOKUP($A75, INDIRECT("SepR!$A$6:$ZZ$1048576"), MATCH(N$1, SepR!$6:$6, 0), FALSE),
            0
        ) +
        IFERROR(
            VLOOKUP($A75, INDIRECT("OctR!$A$6:$ZZ$1048576"), MATCH(N$1, OctR!$6:$6, 0), FALSE),
            0
        ) +
        IFERROR(
            VLOOKUP($A75, INDIRECT("NovR!$A$6:$ZZ$1048576"), MATCH(N$1, NovR!$6:$6, 0), FALSE),
            0
        ) +
        IFERROR(
            VLOOKUP($A75, INDIRECT("DicR!$A$6:$ZZ$1048576"), MATCH(N$1, DicR!$6:$6, 0), FALSE),
            0
        )
)</f>
        <v>0</v>
      </c>
      <c r="O75" s="35">
        <f t="array" ref="O75">SUM(
    IFERROR(
            VLOOKUP($A75, INDIRECT("EneR!$A$6:$ZZ$1048576"), MATCH(O$1, EneR!$6:$6, 0), FALSE),
            0
        ) +
        IFERROR(
            VLOOKUP($A75, INDIRECT("FebR!$A$6:$ZZ$1048576"), MATCH(O$1, FebR!$6:$6, 0), FALSE),
            0
        ) +
        IFERROR(
            VLOOKUP($A75, INDIRECT("MarR!$A$6:$ZZ$1048576"), MATCH(O$1, MarR!$6:$6, 0), FALSE),
            0
        ) +
        IFERROR(
            VLOOKUP($A75, INDIRECT("AbrR!$A$6:$ZZ$1048576"), MATCH(O$1, AbrR!$6:$6, 0), FALSE),
            0
        ) +
        IFERROR(
            VLOOKUP($A75, INDIRECT("MayR!$A$6:$ZZ$1048576"), MATCH(O$1, MayR!$6:$6, 0), FALSE),
            0
        ) +
        IFERROR(
            VLOOKUP($A75, INDIRECT("JunR!$A$6:$ZZ$1048576"), MATCH(O$1, JunR!$6:$6, 0), FALSE),
            0
        ) +
        IFERROR(
            VLOOKUP($A75, INDIRECT("JulR!$A$6:$ZZ$1048576"), MATCH(O$1, JulR!$6:$6, 0), FALSE),
            0
        ) +
        IFERROR(
            VLOOKUP($A75, INDIRECT("AgoR!$A$6:$ZZ$1048576"), MATCH(O$1, AgoR!$6:$6, 0), FALSE),
            0
        ) +
        IFERROR(
            VLOOKUP($A75, INDIRECT("SepR!$A$6:$ZZ$1048576"), MATCH(O$1, SepR!$6:$6, 0), FALSE),
            0
        ) +
        IFERROR(
            VLOOKUP($A75, INDIRECT("OctR!$A$6:$ZZ$1048576"), MATCH(O$1, OctR!$6:$6, 0), FALSE),
            0
        ) +
        IFERROR(
            VLOOKUP($A75, INDIRECT("NovR!$A$6:$ZZ$1048576"), MATCH(O$1, NovR!$6:$6, 0), FALSE),
            0
        ) +
        IFERROR(
            VLOOKUP($A75, INDIRECT("DicR!$A$6:$ZZ$1048576"), MATCH(O$1, DicR!$6:$6, 0), FALSE),
            0
        )
)</f>
        <v>0</v>
      </c>
      <c r="P75" s="32">
        <f t="array" ref="P75">SUM(
    IFERROR(
            VLOOKUP($A75, INDIRECT("EneR!$A$6:$ZZ$1048576"), MATCH(P$1, EneR!$6:$6, 0), FALSE),
            0
        ) +
        IFERROR(
            VLOOKUP($A75, INDIRECT("FebR!$A$6:$ZZ$1048576"), MATCH(P$1, FebR!$6:$6, 0), FALSE),
            0
        ) +
        IFERROR(
            VLOOKUP($A75, INDIRECT("MarR!$A$6:$ZZ$1048576"), MATCH(P$1, MarR!$6:$6, 0), FALSE),
            0
        ) +
        IFERROR(
            VLOOKUP($A75, INDIRECT("AbrR!$A$6:$ZZ$1048576"), MATCH(P$1, AbrR!$6:$6, 0), FALSE),
            0
        ) +
        IFERROR(
            VLOOKUP($A75, INDIRECT("MayR!$A$6:$ZZ$1048576"), MATCH(P$1, MayR!$6:$6, 0), FALSE),
            0
        ) +
        IFERROR(
            VLOOKUP($A75, INDIRECT("JunR!$A$6:$ZZ$1048576"), MATCH(P$1, JunR!$6:$6, 0), FALSE),
            0
        ) +
        IFERROR(
            VLOOKUP($A75, INDIRECT("JulR!$A$6:$ZZ$1048576"), MATCH(P$1, JulR!$6:$6, 0), FALSE),
            0
        ) +
        IFERROR(
            VLOOKUP($A75, INDIRECT("AgoR!$A$6:$ZZ$1048576"), MATCH(P$1, AgoR!$6:$6, 0), FALSE),
            0
        ) +
        IFERROR(
            VLOOKUP($A75, INDIRECT("SepR!$A$6:$ZZ$1048576"), MATCH(P$1, SepR!$6:$6, 0), FALSE),
            0
        ) +
        IFERROR(
            VLOOKUP($A75, INDIRECT("OctR!$A$6:$ZZ$1048576"), MATCH(P$1, OctR!$6:$6, 0), FALSE),
            0
        ) +
        IFERROR(
            VLOOKUP($A75, INDIRECT("NovR!$A$6:$ZZ$1048576"), MATCH(P$1, NovR!$6:$6, 0), FALSE),
            0
        ) +
        IFERROR(
            VLOOKUP($A75, INDIRECT("DicR!$A$6:$ZZ$1048576"), MATCH(P$1, DicR!$6:$6, 0), FALSE),
            0
        )
)</f>
        <v>0</v>
      </c>
      <c r="Q75" s="35">
        <f t="array" ref="Q75">SUM(
    IFERROR(
            VLOOKUP($A75, INDIRECT("EneR!$A$6:$ZZ$1048576"), MATCH(Q$1, EneR!$6:$6, 0), FALSE),
            0
        ) +
        IFERROR(
            VLOOKUP($A75, INDIRECT("FebR!$A$6:$ZZ$1048576"), MATCH(Q$1, FebR!$6:$6, 0), FALSE),
            0
        ) +
        IFERROR(
            VLOOKUP($A75, INDIRECT("MarR!$A$6:$ZZ$1048576"), MATCH(Q$1, MarR!$6:$6, 0), FALSE),
            0
        ) +
        IFERROR(
            VLOOKUP($A75, INDIRECT("AbrR!$A$6:$ZZ$1048576"), MATCH(Q$1, AbrR!$6:$6, 0), FALSE),
            0
        ) +
        IFERROR(
            VLOOKUP($A75, INDIRECT("MayR!$A$6:$ZZ$1048576"), MATCH(Q$1, MayR!$6:$6, 0), FALSE),
            0
        ) +
        IFERROR(
            VLOOKUP($A75, INDIRECT("JunR!$A$6:$ZZ$1048576"), MATCH(Q$1, JunR!$6:$6, 0), FALSE),
            0
        ) +
        IFERROR(
            VLOOKUP($A75, INDIRECT("JulR!$A$6:$ZZ$1048576"), MATCH(Q$1, JulR!$6:$6, 0), FALSE),
            0
        ) +
        IFERROR(
            VLOOKUP($A75, INDIRECT("AgoR!$A$6:$ZZ$1048576"), MATCH(Q$1, AgoR!$6:$6, 0), FALSE),
            0
        ) +
        IFERROR(
            VLOOKUP($A75, INDIRECT("SepR!$A$6:$ZZ$1048576"), MATCH(Q$1, SepR!$6:$6, 0), FALSE),
            0
        ) +
        IFERROR(
            VLOOKUP($A75, INDIRECT("OctR!$A$6:$ZZ$1048576"), MATCH(Q$1, OctR!$6:$6, 0), FALSE),
            0
        ) +
        IFERROR(
            VLOOKUP($A75, INDIRECT("NovR!$A$6:$ZZ$1048576"), MATCH(Q$1, NovR!$6:$6, 0), FALSE),
            0
        ) +
        IFERROR(
            VLOOKUP($A75, INDIRECT("DicR!$A$6:$ZZ$1048576"), MATCH(Q$1, DicR!$6:$6, 0), FALSE),
            0
        )
)</f>
        <v>0</v>
      </c>
      <c r="R75" s="36">
        <f t="array" ref="R75">SUM(
    IFERROR(
            VLOOKUP($A75, INDIRECT("EneR!$A$6:$ZZ$1048576"), MATCH(R$1, EneR!$6:$6, 0), FALSE),
            0
        ) +
        IFERROR(
            VLOOKUP($A75, INDIRECT("FebR!$A$6:$ZZ$1048576"), MATCH(R$1, FebR!$6:$6, 0), FALSE),
            0
        ) +
        IFERROR(
            VLOOKUP($A75, INDIRECT("MarR!$A$6:$ZZ$1048576"), MATCH(R$1, MarR!$6:$6, 0), FALSE),
            0
        ) +
        IFERROR(
            VLOOKUP($A75, INDIRECT("AbrR!$A$6:$ZZ$1048576"), MATCH(R$1, AbrR!$6:$6, 0), FALSE),
            0
        ) +
        IFERROR(
            VLOOKUP($A75, INDIRECT("MayR!$A$6:$ZZ$1048576"), MATCH(R$1, MayR!$6:$6, 0), FALSE),
            0
        ) +
        IFERROR(
            VLOOKUP($A75, INDIRECT("JunR!$A$6:$ZZ$1048576"), MATCH(R$1, JunR!$6:$6, 0), FALSE),
            0
        ) +
        IFERROR(
            VLOOKUP($A75, INDIRECT("JulR!$A$6:$ZZ$1048576"), MATCH(R$1, JulR!$6:$6, 0), FALSE),
            0
        ) +
        IFERROR(
            VLOOKUP($A75, INDIRECT("AgoR!$A$6:$ZZ$1048576"), MATCH(R$1, AgoR!$6:$6, 0), FALSE),
            0
        ) +
        IFERROR(
            VLOOKUP($A75, INDIRECT("SepR!$A$6:$ZZ$1048576"), MATCH(R$1, SepR!$6:$6, 0), FALSE),
            0
        ) +
        IFERROR(
            VLOOKUP($A75, INDIRECT("OctR!$A$6:$ZZ$1048576"), MATCH(R$1, OctR!$6:$6, 0), FALSE),
            0
        ) +
        IFERROR(
            VLOOKUP($A75, INDIRECT("NovR!$A$6:$ZZ$1048576"), MATCH(R$1, NovR!$6:$6, 0), FALSE),
            0
        ) +
        IFERROR(
            VLOOKUP($A75, INDIRECT("DicR!$A$6:$ZZ$1048576"), MATCH(R$1, DicR!$6:$6, 0), FALSE),
            0
        )
)</f>
        <v>0</v>
      </c>
      <c r="S75" s="37">
        <f t="array" ref="S75">SUM(
    IFERROR(
            VLOOKUP($A75, INDIRECT("EneR!$A$6:$ZZ$1048576"), MATCH(S$1, EneR!$6:$6, 0), FALSE),
            0
        ) +
        IFERROR(
            VLOOKUP($A75, INDIRECT("FebR!$A$6:$ZZ$1048576"), MATCH(S$1, FebR!$6:$6, 0), FALSE),
            0
        ) +
        IFERROR(
            VLOOKUP($A75, INDIRECT("MarR!$A$6:$ZZ$1048576"), MATCH(S$1, MarR!$6:$6, 0), FALSE),
            0
        ) +
        IFERROR(
            VLOOKUP($A75, INDIRECT("AbrR!$A$6:$ZZ$1048576"), MATCH(S$1, AbrR!$6:$6, 0), FALSE),
            0
        ) +
        IFERROR(
            VLOOKUP($A75, INDIRECT("MayR!$A$6:$ZZ$1048576"), MATCH(S$1, MayR!$6:$6, 0), FALSE),
            0
        ) +
        IFERROR(
            VLOOKUP($A75, INDIRECT("JunR!$A$6:$ZZ$1048576"), MATCH(S$1, JunR!$6:$6, 0), FALSE),
            0
        ) +
        IFERROR(
            VLOOKUP($A75, INDIRECT("JulR!$A$6:$ZZ$1048576"), MATCH(S$1, JulR!$6:$6, 0), FALSE),
            0
        ) +
        IFERROR(
            VLOOKUP($A75, INDIRECT("AgoR!$A$6:$ZZ$1048576"), MATCH(S$1, AgoR!$6:$6, 0), FALSE),
            0
        ) +
        IFERROR(
            VLOOKUP($A75, INDIRECT("SepR!$A$6:$ZZ$1048576"), MATCH(S$1, SepR!$6:$6, 0), FALSE),
            0
        ) +
        IFERROR(
            VLOOKUP($A75, INDIRECT("OctR!$A$6:$ZZ$1048576"), MATCH(S$1, OctR!$6:$6, 0), FALSE),
            0
        ) +
        IFERROR(
            VLOOKUP($A75, INDIRECT("NovR!$A$6:$ZZ$1048576"), MATCH(S$1, NovR!$6:$6, 0), FALSE),
            0
        ) +
        IFERROR(
            VLOOKUP($A75, INDIRECT("DicR!$A$6:$ZZ$1048576"), MATCH(S$1, DicR!$6:$6, 0), FALSE),
            0
        )
)</f>
        <v>0</v>
      </c>
      <c r="T75" s="36">
        <f t="array" ref="T75">SUM(
    IFERROR(
            VLOOKUP($A75, INDIRECT("EneR!$A$6:$ZZ$1048576"), MATCH(T$1, EneR!$6:$6, 0), FALSE),
            0
        ) +
        IFERROR(
            VLOOKUP($A75, INDIRECT("FebR!$A$6:$ZZ$1048576"), MATCH(T$1, FebR!$6:$6, 0), FALSE),
            0
        ) +
        IFERROR(
            VLOOKUP($A75, INDIRECT("MarR!$A$6:$ZZ$1048576"), MATCH(T$1, MarR!$6:$6, 0), FALSE),
            0
        ) +
        IFERROR(
            VLOOKUP($A75, INDIRECT("AbrR!$A$6:$ZZ$1048576"), MATCH(T$1, AbrR!$6:$6, 0), FALSE),
            0
        ) +
        IFERROR(
            VLOOKUP($A75, INDIRECT("MayR!$A$6:$ZZ$1048576"), MATCH(T$1, MayR!$6:$6, 0), FALSE),
            0
        ) +
        IFERROR(
            VLOOKUP($A75, INDIRECT("JunR!$A$6:$ZZ$1048576"), MATCH(T$1, JunR!$6:$6, 0), FALSE),
            0
        ) +
        IFERROR(
            VLOOKUP($A75, INDIRECT("JulR!$A$6:$ZZ$1048576"), MATCH(T$1, JulR!$6:$6, 0), FALSE),
            0
        ) +
        IFERROR(
            VLOOKUP($A75, INDIRECT("AgoR!$A$6:$ZZ$1048576"), MATCH(T$1, AgoR!$6:$6, 0), FALSE),
            0
        ) +
        IFERROR(
            VLOOKUP($A75, INDIRECT("SepR!$A$6:$ZZ$1048576"), MATCH(T$1, SepR!$6:$6, 0), FALSE),
            0
        ) +
        IFERROR(
            VLOOKUP($A75, INDIRECT("OctR!$A$6:$ZZ$1048576"), MATCH(T$1, OctR!$6:$6, 0), FALSE),
            0
        ) +
        IFERROR(
            VLOOKUP($A75, INDIRECT("NovR!$A$6:$ZZ$1048576"), MATCH(T$1, NovR!$6:$6, 0), FALSE),
            0
        ) +
        IFERROR(
            VLOOKUP($A75, INDIRECT("DicR!$A$6:$ZZ$1048576"), MATCH(T$1, DicR!$6:$6, 0), FALSE),
            0
        )
)</f>
        <v>0</v>
      </c>
      <c r="U75" s="37">
        <f t="array" ref="U75">SUM(
    IFERROR(
            VLOOKUP($A75, INDIRECT("EneR!$A$6:$ZZ$1048576"), MATCH(U$1, EneR!$6:$6, 0), FALSE),
            0
        ) +
        IFERROR(
            VLOOKUP($A75, INDIRECT("FebR!$A$6:$ZZ$1048576"), MATCH(U$1, FebR!$6:$6, 0), FALSE),
            0
        ) +
        IFERROR(
            VLOOKUP($A75, INDIRECT("MarR!$A$6:$ZZ$1048576"), MATCH(U$1, MarR!$6:$6, 0), FALSE),
            0
        ) +
        IFERROR(
            VLOOKUP($A75, INDIRECT("AbrR!$A$6:$ZZ$1048576"), MATCH(U$1, AbrR!$6:$6, 0), FALSE),
            0
        ) +
        IFERROR(
            VLOOKUP($A75, INDIRECT("MayR!$A$6:$ZZ$1048576"), MATCH(U$1, MayR!$6:$6, 0), FALSE),
            0
        ) +
        IFERROR(
            VLOOKUP($A75, INDIRECT("JunR!$A$6:$ZZ$1048576"), MATCH(U$1, JunR!$6:$6, 0), FALSE),
            0
        ) +
        IFERROR(
            VLOOKUP($A75, INDIRECT("JulR!$A$6:$ZZ$1048576"), MATCH(U$1, JulR!$6:$6, 0), FALSE),
            0
        ) +
        IFERROR(
            VLOOKUP($A75, INDIRECT("AgoR!$A$6:$ZZ$1048576"), MATCH(U$1, AgoR!$6:$6, 0), FALSE),
            0
        ) +
        IFERROR(
            VLOOKUP($A75, INDIRECT("SepR!$A$6:$ZZ$1048576"), MATCH(U$1, SepR!$6:$6, 0), FALSE),
            0
        ) +
        IFERROR(
            VLOOKUP($A75, INDIRECT("OctR!$A$6:$ZZ$1048576"), MATCH(U$1, OctR!$6:$6, 0), FALSE),
            0
        ) +
        IFERROR(
            VLOOKUP($A75, INDIRECT("NovR!$A$6:$ZZ$1048576"), MATCH(U$1, NovR!$6:$6, 0), FALSE),
            0
        ) +
        IFERROR(
            VLOOKUP($A75, INDIRECT("DicR!$A$6:$ZZ$1048576"), MATCH(U$1, DicR!$6:$6, 0), FALSE),
            0
        )
)</f>
        <v>0</v>
      </c>
      <c r="V75" s="36">
        <f t="array" ref="V75">SUM(
    IFERROR(
            VLOOKUP($A75, INDIRECT("EneR!$A$6:$ZZ$1048576"), MATCH(V$1, EneR!$6:$6, 0), FALSE),
            0
        ) +
        IFERROR(
            VLOOKUP($A75, INDIRECT("FebR!$A$6:$ZZ$1048576"), MATCH(V$1, FebR!$6:$6, 0), FALSE),
            0
        ) +
        IFERROR(
            VLOOKUP($A75, INDIRECT("MarR!$A$6:$ZZ$1048576"), MATCH(V$1, MarR!$6:$6, 0), FALSE),
            0
        ) +
        IFERROR(
            VLOOKUP($A75, INDIRECT("AbrR!$A$6:$ZZ$1048576"), MATCH(V$1, AbrR!$6:$6, 0), FALSE),
            0
        ) +
        IFERROR(
            VLOOKUP($A75, INDIRECT("MayR!$A$6:$ZZ$1048576"), MATCH(V$1, MayR!$6:$6, 0), FALSE),
            0
        ) +
        IFERROR(
            VLOOKUP($A75, INDIRECT("JunR!$A$6:$ZZ$1048576"), MATCH(V$1, JunR!$6:$6, 0), FALSE),
            0
        ) +
        IFERROR(
            VLOOKUP($A75, INDIRECT("JulR!$A$6:$ZZ$1048576"), MATCH(V$1, JulR!$6:$6, 0), FALSE),
            0
        ) +
        IFERROR(
            VLOOKUP($A75, INDIRECT("AgoR!$A$6:$ZZ$1048576"), MATCH(V$1, AgoR!$6:$6, 0), FALSE),
            0
        ) +
        IFERROR(
            VLOOKUP($A75, INDIRECT("SepR!$A$6:$ZZ$1048576"), MATCH(V$1, SepR!$6:$6, 0), FALSE),
            0
        ) +
        IFERROR(
            VLOOKUP($A75, INDIRECT("OctR!$A$6:$ZZ$1048576"), MATCH(V$1, OctR!$6:$6, 0), FALSE),
            0
        ) +
        IFERROR(
            VLOOKUP($A75, INDIRECT("NovR!$A$6:$ZZ$1048576"), MATCH(V$1, NovR!$6:$6, 0), FALSE),
            0
        ) +
        IFERROR(
            VLOOKUP($A75, INDIRECT("DicR!$A$6:$ZZ$1048576"), MATCH(V$1, DicR!$6:$6, 0), FALSE),
            0
        )
)</f>
        <v>0</v>
      </c>
      <c r="W75" s="37">
        <f t="array" ref="W75">SUM(
    IFERROR(
            VLOOKUP($A75, INDIRECT("EneR!$A$6:$ZZ$1048576"), MATCH(W$1, EneR!$6:$6, 0), FALSE),
            0
        ) +
        IFERROR(
            VLOOKUP($A75, INDIRECT("FebR!$A$6:$ZZ$1048576"), MATCH(W$1, FebR!$6:$6, 0), FALSE),
            0
        ) +
        IFERROR(
            VLOOKUP($A75, INDIRECT("MarR!$A$6:$ZZ$1048576"), MATCH(W$1, MarR!$6:$6, 0), FALSE),
            0
        ) +
        IFERROR(
            VLOOKUP($A75, INDIRECT("AbrR!$A$6:$ZZ$1048576"), MATCH(W$1, AbrR!$6:$6, 0), FALSE),
            0
        ) +
        IFERROR(
            VLOOKUP($A75, INDIRECT("MayR!$A$6:$ZZ$1048576"), MATCH(W$1, MayR!$6:$6, 0), FALSE),
            0
        ) +
        IFERROR(
            VLOOKUP($A75, INDIRECT("JunR!$A$6:$ZZ$1048576"), MATCH(W$1, JunR!$6:$6, 0), FALSE),
            0
        ) +
        IFERROR(
            VLOOKUP($A75, INDIRECT("JulR!$A$6:$ZZ$1048576"), MATCH(W$1, JulR!$6:$6, 0), FALSE),
            0
        ) +
        IFERROR(
            VLOOKUP($A75, INDIRECT("AgoR!$A$6:$ZZ$1048576"), MATCH(W$1, AgoR!$6:$6, 0), FALSE),
            0
        ) +
        IFERROR(
            VLOOKUP($A75, INDIRECT("SepR!$A$6:$ZZ$1048576"), MATCH(W$1, SepR!$6:$6, 0), FALSE),
            0
        ) +
        IFERROR(
            VLOOKUP($A75, INDIRECT("OctR!$A$6:$ZZ$1048576"), MATCH(W$1, OctR!$6:$6, 0), FALSE),
            0
        ) +
        IFERROR(
            VLOOKUP($A75, INDIRECT("NovR!$A$6:$ZZ$1048576"), MATCH(W$1, NovR!$6:$6, 0), FALSE),
            0
        ) +
        IFERROR(
            VLOOKUP($A75, INDIRECT("DicR!$A$6:$ZZ$1048576"), MATCH(W$1, DicR!$6:$6, 0), FALSE),
            0
        )
)</f>
        <v>0</v>
      </c>
      <c r="X75" s="36">
        <f t="array" ref="X75">SUM(
    IFERROR(
            VLOOKUP($A75, INDIRECT("EneR!$A$6:$ZZ$1048576"), MATCH(X$1, EneR!$6:$6, 0), FALSE),
            0
        ) +
        IFERROR(
            VLOOKUP($A75, INDIRECT("FebR!$A$6:$ZZ$1048576"), MATCH(X$1, FebR!$6:$6, 0), FALSE),
            0
        ) +
        IFERROR(
            VLOOKUP($A75, INDIRECT("MarR!$A$6:$ZZ$1048576"), MATCH(X$1, MarR!$6:$6, 0), FALSE),
            0
        ) +
        IFERROR(
            VLOOKUP($A75, INDIRECT("AbrR!$A$6:$ZZ$1048576"), MATCH(X$1, AbrR!$6:$6, 0), FALSE),
            0
        ) +
        IFERROR(
            VLOOKUP($A75, INDIRECT("MayR!$A$6:$ZZ$1048576"), MATCH(X$1, MayR!$6:$6, 0), FALSE),
            0
        ) +
        IFERROR(
            VLOOKUP($A75, INDIRECT("JunR!$A$6:$ZZ$1048576"), MATCH(X$1, JunR!$6:$6, 0), FALSE),
            0
        ) +
        IFERROR(
            VLOOKUP($A75, INDIRECT("JulR!$A$6:$ZZ$1048576"), MATCH(X$1, JulR!$6:$6, 0), FALSE),
            0
        ) +
        IFERROR(
            VLOOKUP($A75, INDIRECT("AgoR!$A$6:$ZZ$1048576"), MATCH(X$1, AgoR!$6:$6, 0), FALSE),
            0
        ) +
        IFERROR(
            VLOOKUP($A75, INDIRECT("SepR!$A$6:$ZZ$1048576"), MATCH(X$1, SepR!$6:$6, 0), FALSE),
            0
        ) +
        IFERROR(
            VLOOKUP($A75, INDIRECT("OctR!$A$6:$ZZ$1048576"), MATCH(X$1, OctR!$6:$6, 0), FALSE),
            0
        ) +
        IFERROR(
            VLOOKUP($A75, INDIRECT("NovR!$A$6:$ZZ$1048576"), MATCH(X$1, NovR!$6:$6, 0), FALSE),
            0
        ) +
        IFERROR(
            VLOOKUP($A75, INDIRECT("DicR!$A$6:$ZZ$1048576"), MATCH(X$1, DicR!$6:$6, 0), FALSE),
            0
        )
)</f>
        <v>0</v>
      </c>
      <c r="Y75" s="37">
        <f t="array" ref="Y75">SUM(
    IFERROR(
            VLOOKUP($A75, INDIRECT("EneR!$A$6:$ZZ$1048576"), MATCH(Y$1, EneR!$6:$6, 0), FALSE),
            0
        ) +
        IFERROR(
            VLOOKUP($A75, INDIRECT("FebR!$A$6:$ZZ$1048576"), MATCH(Y$1, FebR!$6:$6, 0), FALSE),
            0
        ) +
        IFERROR(
            VLOOKUP($A75, INDIRECT("MarR!$A$6:$ZZ$1048576"), MATCH(Y$1, MarR!$6:$6, 0), FALSE),
            0
        ) +
        IFERROR(
            VLOOKUP($A75, INDIRECT("AbrR!$A$6:$ZZ$1048576"), MATCH(Y$1, AbrR!$6:$6, 0), FALSE),
            0
        ) +
        IFERROR(
            VLOOKUP($A75, INDIRECT("MayR!$A$6:$ZZ$1048576"), MATCH(Y$1, MayR!$6:$6, 0), FALSE),
            0
        ) +
        IFERROR(
            VLOOKUP($A75, INDIRECT("JunR!$A$6:$ZZ$1048576"), MATCH(Y$1, JunR!$6:$6, 0), FALSE),
            0
        ) +
        IFERROR(
            VLOOKUP($A75, INDIRECT("JulR!$A$6:$ZZ$1048576"), MATCH(Y$1, JulR!$6:$6, 0), FALSE),
            0
        ) +
        IFERROR(
            VLOOKUP($A75, INDIRECT("AgoR!$A$6:$ZZ$1048576"), MATCH(Y$1, AgoR!$6:$6, 0), FALSE),
            0
        ) +
        IFERROR(
            VLOOKUP($A75, INDIRECT("SepR!$A$6:$ZZ$1048576"), MATCH(Y$1, SepR!$6:$6, 0), FALSE),
            0
        ) +
        IFERROR(
            VLOOKUP($A75, INDIRECT("OctR!$A$6:$ZZ$1048576"), MATCH(Y$1, OctR!$6:$6, 0), FALSE),
            0
        ) +
        IFERROR(
            VLOOKUP($A75, INDIRECT("NovR!$A$6:$ZZ$1048576"), MATCH(Y$1, NovR!$6:$6, 0), FALSE),
            0
        ) +
        IFERROR(
            VLOOKUP($A75, INDIRECT("DicR!$A$6:$ZZ$1048576"), MATCH(Y$1, DicR!$6:$6, 0), FALSE),
            0
        )
)</f>
        <v>0</v>
      </c>
      <c r="Z75" s="36">
        <f t="array" ref="Z75">SUM(
    IFERROR(
            VLOOKUP($A75, INDIRECT("EneR!$A$6:$ZZ$1048576"), MATCH(Z$1, EneR!$6:$6, 0), FALSE),
            0
        ) +
        IFERROR(
            VLOOKUP($A75, INDIRECT("FebR!$A$6:$ZZ$1048576"), MATCH(Z$1, FebR!$6:$6, 0), FALSE),
            0
        ) +
        IFERROR(
            VLOOKUP($A75, INDIRECT("MarR!$A$6:$ZZ$1048576"), MATCH(Z$1, MarR!$6:$6, 0), FALSE),
            0
        ) +
        IFERROR(
            VLOOKUP($A75, INDIRECT("AbrR!$A$6:$ZZ$1048576"), MATCH(Z$1, AbrR!$6:$6, 0), FALSE),
            0
        ) +
        IFERROR(
            VLOOKUP($A75, INDIRECT("MayR!$A$6:$ZZ$1048576"), MATCH(Z$1, MayR!$6:$6, 0), FALSE),
            0
        ) +
        IFERROR(
            VLOOKUP($A75, INDIRECT("JunR!$A$6:$ZZ$1048576"), MATCH(Z$1, JunR!$6:$6, 0), FALSE),
            0
        ) +
        IFERROR(
            VLOOKUP($A75, INDIRECT("JulR!$A$6:$ZZ$1048576"), MATCH(Z$1, JulR!$6:$6, 0), FALSE),
            0
        ) +
        IFERROR(
            VLOOKUP($A75, INDIRECT("AgoR!$A$6:$ZZ$1048576"), MATCH(Z$1, AgoR!$6:$6, 0), FALSE),
            0
        ) +
        IFERROR(
            VLOOKUP($A75, INDIRECT("SepR!$A$6:$ZZ$1048576"), MATCH(Z$1, SepR!$6:$6, 0), FALSE),
            0
        ) +
        IFERROR(
            VLOOKUP($A75, INDIRECT("OctR!$A$6:$ZZ$1048576"), MATCH(Z$1, OctR!$6:$6, 0), FALSE),
            0
        ) +
        IFERROR(
            VLOOKUP($A75, INDIRECT("NovR!$A$6:$ZZ$1048576"), MATCH(Z$1, NovR!$6:$6, 0), FALSE),
            0
        ) +
        IFERROR(
            VLOOKUP($A75, INDIRECT("DicR!$A$6:$ZZ$1048576"), MATCH(Z$1, DicR!$6:$6, 0), FALSE),
            0
        )
)</f>
        <v>0</v>
      </c>
      <c r="AA75" s="37">
        <f t="array" ref="AA75">SUM(
    IFERROR(
            VLOOKUP($A75, INDIRECT("EneR!$A$6:$ZZ$1048576"), MATCH(AA$1, EneR!$6:$6, 0), FALSE),
            0
        ) +
        IFERROR(
            VLOOKUP($A75, INDIRECT("FebR!$A$6:$ZZ$1048576"), MATCH(AA$1, FebR!$6:$6, 0), FALSE),
            0
        ) +
        IFERROR(
            VLOOKUP($A75, INDIRECT("MarR!$A$6:$ZZ$1048576"), MATCH(AA$1, MarR!$6:$6, 0), FALSE),
            0
        ) +
        IFERROR(
            VLOOKUP($A75, INDIRECT("AbrR!$A$6:$ZZ$1048576"), MATCH(AA$1, AbrR!$6:$6, 0), FALSE),
            0
        ) +
        IFERROR(
            VLOOKUP($A75, INDIRECT("MayR!$A$6:$ZZ$1048576"), MATCH(AA$1, MayR!$6:$6, 0), FALSE),
            0
        ) +
        IFERROR(
            VLOOKUP($A75, INDIRECT("JunR!$A$6:$ZZ$1048576"), MATCH(AA$1, JunR!$6:$6, 0), FALSE),
            0
        ) +
        IFERROR(
            VLOOKUP($A75, INDIRECT("JulR!$A$6:$ZZ$1048576"), MATCH(AA$1, JulR!$6:$6, 0), FALSE),
            0
        ) +
        IFERROR(
            VLOOKUP($A75, INDIRECT("AgoR!$A$6:$ZZ$1048576"), MATCH(AA$1, AgoR!$6:$6, 0), FALSE),
            0
        ) +
        IFERROR(
            VLOOKUP($A75, INDIRECT("SepR!$A$6:$ZZ$1048576"), MATCH(AA$1, SepR!$6:$6, 0), FALSE),
            0
        ) +
        IFERROR(
            VLOOKUP($A75, INDIRECT("OctR!$A$6:$ZZ$1048576"), MATCH(AA$1, OctR!$6:$6, 0), FALSE),
            0
        ) +
        IFERROR(
            VLOOKUP($A75, INDIRECT("NovR!$A$6:$ZZ$1048576"), MATCH(AA$1, NovR!$6:$6, 0), FALSE),
            0
        ) +
        IFERROR(
            VLOOKUP($A75, INDIRECT("DicR!$A$6:$ZZ$1048576"), MATCH(AA$1, DicR!$6:$6, 0), FALSE),
            0
        )
)</f>
        <v>0</v>
      </c>
      <c r="AB75" s="36">
        <f t="array" ref="AB75">SUM(
    IFERROR(
            VLOOKUP($A75, INDIRECT("EneR!$A$6:$ZZ$1048576"), MATCH(AB$1, EneR!$6:$6, 0), FALSE),
            0
        ) +
        IFERROR(
            VLOOKUP($A75, INDIRECT("FebR!$A$6:$ZZ$1048576"), MATCH(AB$1, FebR!$6:$6, 0), FALSE),
            0
        ) +
        IFERROR(
            VLOOKUP($A75, INDIRECT("MarR!$A$6:$ZZ$1048576"), MATCH(AB$1, MarR!$6:$6, 0), FALSE),
            0
        ) +
        IFERROR(
            VLOOKUP($A75, INDIRECT("AbrR!$A$6:$ZZ$1048576"), MATCH(AB$1, AbrR!$6:$6, 0), FALSE),
            0
        ) +
        IFERROR(
            VLOOKUP($A75, INDIRECT("MayR!$A$6:$ZZ$1048576"), MATCH(AB$1, MayR!$6:$6, 0), FALSE),
            0
        ) +
        IFERROR(
            VLOOKUP($A75, INDIRECT("JunR!$A$6:$ZZ$1048576"), MATCH(AB$1, JunR!$6:$6, 0), FALSE),
            0
        ) +
        IFERROR(
            VLOOKUP($A75, INDIRECT("JulR!$A$6:$ZZ$1048576"), MATCH(AB$1, JulR!$6:$6, 0), FALSE),
            0
        ) +
        IFERROR(
            VLOOKUP($A75, INDIRECT("AgoR!$A$6:$ZZ$1048576"), MATCH(AB$1, AgoR!$6:$6, 0), FALSE),
            0
        ) +
        IFERROR(
            VLOOKUP($A75, INDIRECT("SepR!$A$6:$ZZ$1048576"), MATCH(AB$1, SepR!$6:$6, 0), FALSE),
            0
        ) +
        IFERROR(
            VLOOKUP($A75, INDIRECT("OctR!$A$6:$ZZ$1048576"), MATCH(AB$1, OctR!$6:$6, 0), FALSE),
            0
        ) +
        IFERROR(
            VLOOKUP($A75, INDIRECT("NovR!$A$6:$ZZ$1048576"), MATCH(AB$1, NovR!$6:$6, 0), FALSE),
            0
        ) +
        IFERROR(
            VLOOKUP($A75, INDIRECT("DicR!$A$6:$ZZ$1048576"), MATCH(AB$1, DicR!$6:$6, 0), FALSE),
            0
        )
)</f>
        <v>0</v>
      </c>
      <c r="AC75" s="37">
        <f t="array" ref="AC75">SUM(
    IFERROR(
            VLOOKUP($A75, INDIRECT("EneR!$A$6:$ZZ$1048576"), MATCH(AC$1, EneR!$6:$6, 0), FALSE),
            0
        ) +
        IFERROR(
            VLOOKUP($A75, INDIRECT("FebR!$A$6:$ZZ$1048576"), MATCH(AC$1, FebR!$6:$6, 0), FALSE),
            0
        ) +
        IFERROR(
            VLOOKUP($A75, INDIRECT("MarR!$A$6:$ZZ$1048576"), MATCH(AC$1, MarR!$6:$6, 0), FALSE),
            0
        ) +
        IFERROR(
            VLOOKUP($A75, INDIRECT("AbrR!$A$6:$ZZ$1048576"), MATCH(AC$1, AbrR!$6:$6, 0), FALSE),
            0
        ) +
        IFERROR(
            VLOOKUP($A75, INDIRECT("MayR!$A$6:$ZZ$1048576"), MATCH(AC$1, MayR!$6:$6, 0), FALSE),
            0
        ) +
        IFERROR(
            VLOOKUP($A75, INDIRECT("JunR!$A$6:$ZZ$1048576"), MATCH(AC$1, JunR!$6:$6, 0), FALSE),
            0
        ) +
        IFERROR(
            VLOOKUP($A75, INDIRECT("JulR!$A$6:$ZZ$1048576"), MATCH(AC$1, JulR!$6:$6, 0), FALSE),
            0
        ) +
        IFERROR(
            VLOOKUP($A75, INDIRECT("AgoR!$A$6:$ZZ$1048576"), MATCH(AC$1, AgoR!$6:$6, 0), FALSE),
            0
        ) +
        IFERROR(
            VLOOKUP($A75, INDIRECT("SepR!$A$6:$ZZ$1048576"), MATCH(AC$1, SepR!$6:$6, 0), FALSE),
            0
        ) +
        IFERROR(
            VLOOKUP($A75, INDIRECT("OctR!$A$6:$ZZ$1048576"), MATCH(AC$1, OctR!$6:$6, 0), FALSE),
            0
        ) +
        IFERROR(
            VLOOKUP($A75, INDIRECT("NovR!$A$6:$ZZ$1048576"), MATCH(AC$1, NovR!$6:$6, 0), FALSE),
            0
        ) +
        IFERROR(
            VLOOKUP($A75, INDIRECT("DicR!$A$6:$ZZ$1048576"), MATCH(AC$1, DicR!$6:$6, 0), FALSE),
            0
        )
)</f>
        <v>0</v>
      </c>
      <c r="AD75" s="36">
        <f t="array" ref="AD75">SUM(
    IFERROR(
            VLOOKUP($A75, INDIRECT("EneR!$A$6:$ZZ$1048576"), MATCH(AD$1, EneR!$6:$6, 0), FALSE),
            0
        ) +
        IFERROR(
            VLOOKUP($A75, INDIRECT("FebR!$A$6:$ZZ$1048576"), MATCH(AD$1, FebR!$6:$6, 0), FALSE),
            0
        ) +
        IFERROR(
            VLOOKUP($A75, INDIRECT("MarR!$A$6:$ZZ$1048576"), MATCH(AD$1, MarR!$6:$6, 0), FALSE),
            0
        ) +
        IFERROR(
            VLOOKUP($A75, INDIRECT("AbrR!$A$6:$ZZ$1048576"), MATCH(AD$1, AbrR!$6:$6, 0), FALSE),
            0
        ) +
        IFERROR(
            VLOOKUP($A75, INDIRECT("MayR!$A$6:$ZZ$1048576"), MATCH(AD$1, MayR!$6:$6, 0), FALSE),
            0
        ) +
        IFERROR(
            VLOOKUP($A75, INDIRECT("JunR!$A$6:$ZZ$1048576"), MATCH(AD$1, JunR!$6:$6, 0), FALSE),
            0
        ) +
        IFERROR(
            VLOOKUP($A75, INDIRECT("JulR!$A$6:$ZZ$1048576"), MATCH(AD$1, JulR!$6:$6, 0), FALSE),
            0
        ) +
        IFERROR(
            VLOOKUP($A75, INDIRECT("AgoR!$A$6:$ZZ$1048576"), MATCH(AD$1, AgoR!$6:$6, 0), FALSE),
            0
        ) +
        IFERROR(
            VLOOKUP($A75, INDIRECT("SepR!$A$6:$ZZ$1048576"), MATCH(AD$1, SepR!$6:$6, 0), FALSE),
            0
        ) +
        IFERROR(
            VLOOKUP($A75, INDIRECT("OctR!$A$6:$ZZ$1048576"), MATCH(AD$1, OctR!$6:$6, 0), FALSE),
            0
        ) +
        IFERROR(
            VLOOKUP($A75, INDIRECT("NovR!$A$6:$ZZ$1048576"), MATCH(AD$1, NovR!$6:$6, 0), FALSE),
            0
        ) +
        IFERROR(
            VLOOKUP($A75, INDIRECT("DicR!$A$6:$ZZ$1048576"), MATCH(AD$1, DicR!$6:$6, 0), FALSE),
            0
        )
)</f>
        <v>0</v>
      </c>
      <c r="AE75" s="37">
        <f t="array" ref="AE75">SUM(
    IFERROR(
            VLOOKUP($A75, INDIRECT("EneR!$A$6:$ZZ$1048576"), MATCH(AE$1, EneR!$6:$6, 0), FALSE),
            0
        ) +
        IFERROR(
            VLOOKUP($A75, INDIRECT("FebR!$A$6:$ZZ$1048576"), MATCH(AE$1, FebR!$6:$6, 0), FALSE),
            0
        ) +
        IFERROR(
            VLOOKUP($A75, INDIRECT("MarR!$A$6:$ZZ$1048576"), MATCH(AE$1, MarR!$6:$6, 0), FALSE),
            0
        ) +
        IFERROR(
            VLOOKUP($A75, INDIRECT("AbrR!$A$6:$ZZ$1048576"), MATCH(AE$1, AbrR!$6:$6, 0), FALSE),
            0
        ) +
        IFERROR(
            VLOOKUP($A75, INDIRECT("MayR!$A$6:$ZZ$1048576"), MATCH(AE$1, MayR!$6:$6, 0), FALSE),
            0
        ) +
        IFERROR(
            VLOOKUP($A75, INDIRECT("JunR!$A$6:$ZZ$1048576"), MATCH(AE$1, JunR!$6:$6, 0), FALSE),
            0
        ) +
        IFERROR(
            VLOOKUP($A75, INDIRECT("JulR!$A$6:$ZZ$1048576"), MATCH(AE$1, JulR!$6:$6, 0), FALSE),
            0
        ) +
        IFERROR(
            VLOOKUP($A75, INDIRECT("AgoR!$A$6:$ZZ$1048576"), MATCH(AE$1, AgoR!$6:$6, 0), FALSE),
            0
        ) +
        IFERROR(
            VLOOKUP($A75, INDIRECT("SepR!$A$6:$ZZ$1048576"), MATCH(AE$1, SepR!$6:$6, 0), FALSE),
            0
        ) +
        IFERROR(
            VLOOKUP($A75, INDIRECT("OctR!$A$6:$ZZ$1048576"), MATCH(AE$1, OctR!$6:$6, 0), FALSE),
            0
        ) +
        IFERROR(
            VLOOKUP($A75, INDIRECT("NovR!$A$6:$ZZ$1048576"), MATCH(AE$1, NovR!$6:$6, 0), FALSE),
            0
        ) +
        IFERROR(
            VLOOKUP($A75, INDIRECT("DicR!$A$6:$ZZ$1048576"), MATCH(AE$1, DicR!$6:$6, 0), FALSE),
            0
        )
)</f>
        <v>0</v>
      </c>
      <c r="AF75" s="36">
        <f t="array" ref="AF75">SUM(
    IFERROR(
            VLOOKUP($A75, INDIRECT("EneR!$A$6:$ZZ$1048576"), MATCH(AF$1, EneR!$6:$6, 0), FALSE),
            0
        ) +
        IFERROR(
            VLOOKUP($A75, INDIRECT("FebR!$A$6:$ZZ$1048576"), MATCH(AF$1, FebR!$6:$6, 0), FALSE),
            0
        ) +
        IFERROR(
            VLOOKUP($A75, INDIRECT("MarR!$A$6:$ZZ$1048576"), MATCH(AF$1, MarR!$6:$6, 0), FALSE),
            0
        ) +
        IFERROR(
            VLOOKUP($A75, INDIRECT("AbrR!$A$6:$ZZ$1048576"), MATCH(AF$1, AbrR!$6:$6, 0), FALSE),
            0
        ) +
        IFERROR(
            VLOOKUP($A75, INDIRECT("MayR!$A$6:$ZZ$1048576"), MATCH(AF$1, MayR!$6:$6, 0), FALSE),
            0
        ) +
        IFERROR(
            VLOOKUP($A75, INDIRECT("JunR!$A$6:$ZZ$1048576"), MATCH(AF$1, JunR!$6:$6, 0), FALSE),
            0
        ) +
        IFERROR(
            VLOOKUP($A75, INDIRECT("JulR!$A$6:$ZZ$1048576"), MATCH(AF$1, JulR!$6:$6, 0), FALSE),
            0
        ) +
        IFERROR(
            VLOOKUP($A75, INDIRECT("AgoR!$A$6:$ZZ$1048576"), MATCH(AF$1, AgoR!$6:$6, 0), FALSE),
            0
        ) +
        IFERROR(
            VLOOKUP($A75, INDIRECT("SepR!$A$6:$ZZ$1048576"), MATCH(AF$1, SepR!$6:$6, 0), FALSE),
            0
        ) +
        IFERROR(
            VLOOKUP($A75, INDIRECT("OctR!$A$6:$ZZ$1048576"), MATCH(AF$1, OctR!$6:$6, 0), FALSE),
            0
        ) +
        IFERROR(
            VLOOKUP($A75, INDIRECT("NovR!$A$6:$ZZ$1048576"), MATCH(AF$1, NovR!$6:$6, 0), FALSE),
            0
        ) +
        IFERROR(
            VLOOKUP($A75, INDIRECT("DicR!$A$6:$ZZ$1048576"), MATCH(AF$1, DicR!$6:$6, 0), FALSE),
            0
        )
)</f>
        <v>0</v>
      </c>
      <c r="AG75" s="37">
        <f t="array" ref="AG75">SUM(
    IFERROR(
            VLOOKUP($A75, INDIRECT("EneR!$A$6:$ZZ$1048576"), MATCH(AG$1, EneR!$6:$6, 0), FALSE),
            0
        ) +
        IFERROR(
            VLOOKUP($A75, INDIRECT("FebR!$A$6:$ZZ$1048576"), MATCH(AG$1, FebR!$6:$6, 0), FALSE),
            0
        ) +
        IFERROR(
            VLOOKUP($A75, INDIRECT("MarR!$A$6:$ZZ$1048576"), MATCH(AG$1, MarR!$6:$6, 0), FALSE),
            0
        ) +
        IFERROR(
            VLOOKUP($A75, INDIRECT("AbrR!$A$6:$ZZ$1048576"), MATCH(AG$1, AbrR!$6:$6, 0), FALSE),
            0
        ) +
        IFERROR(
            VLOOKUP($A75, INDIRECT("MayR!$A$6:$ZZ$1048576"), MATCH(AG$1, MayR!$6:$6, 0), FALSE),
            0
        ) +
        IFERROR(
            VLOOKUP($A75, INDIRECT("JunR!$A$6:$ZZ$1048576"), MATCH(AG$1, JunR!$6:$6, 0), FALSE),
            0
        ) +
        IFERROR(
            VLOOKUP($A75, INDIRECT("JulR!$A$6:$ZZ$1048576"), MATCH(AG$1, JulR!$6:$6, 0), FALSE),
            0
        ) +
        IFERROR(
            VLOOKUP($A75, INDIRECT("AgoR!$A$6:$ZZ$1048576"), MATCH(AG$1, AgoR!$6:$6, 0), FALSE),
            0
        ) +
        IFERROR(
            VLOOKUP($A75, INDIRECT("SepR!$A$6:$ZZ$1048576"), MATCH(AG$1, SepR!$6:$6, 0), FALSE),
            0
        ) +
        IFERROR(
            VLOOKUP($A75, INDIRECT("OctR!$A$6:$ZZ$1048576"), MATCH(AG$1, OctR!$6:$6, 0), FALSE),
            0
        ) +
        IFERROR(
            VLOOKUP($A75, INDIRECT("NovR!$A$6:$ZZ$1048576"), MATCH(AG$1, NovR!$6:$6, 0), FALSE),
            0
        ) +
        IFERROR(
            VLOOKUP($A75, INDIRECT("DicR!$A$6:$ZZ$1048576"), MATCH(AG$1, DicR!$6:$6, 0), FALSE),
            0
        )
)</f>
        <v>0</v>
      </c>
      <c r="AH75" s="36">
        <f t="array" ref="AH75">SUM(
    IFERROR(
            VLOOKUP($A75, INDIRECT("EneR!$A$6:$ZZ$1048576"), MATCH(AH$1, EneR!$6:$6, 0), FALSE),
            0
        ) +
        IFERROR(
            VLOOKUP($A75, INDIRECT("FebR!$A$6:$ZZ$1048576"), MATCH(AH$1, FebR!$6:$6, 0), FALSE),
            0
        ) +
        IFERROR(
            VLOOKUP($A75, INDIRECT("MarR!$A$6:$ZZ$1048576"), MATCH(AH$1, MarR!$6:$6, 0), FALSE),
            0
        ) +
        IFERROR(
            VLOOKUP($A75, INDIRECT("AbrR!$A$6:$ZZ$1048576"), MATCH(AH$1, AbrR!$6:$6, 0), FALSE),
            0
        ) +
        IFERROR(
            VLOOKUP($A75, INDIRECT("MayR!$A$6:$ZZ$1048576"), MATCH(AH$1, MayR!$6:$6, 0), FALSE),
            0
        ) +
        IFERROR(
            VLOOKUP($A75, INDIRECT("JunR!$A$6:$ZZ$1048576"), MATCH(AH$1, JunR!$6:$6, 0), FALSE),
            0
        ) +
        IFERROR(
            VLOOKUP($A75, INDIRECT("JulR!$A$6:$ZZ$1048576"), MATCH(AH$1, JulR!$6:$6, 0), FALSE),
            0
        ) +
        IFERROR(
            VLOOKUP($A75, INDIRECT("AgoR!$A$6:$ZZ$1048576"), MATCH(AH$1, AgoR!$6:$6, 0), FALSE),
            0
        ) +
        IFERROR(
            VLOOKUP($A75, INDIRECT("SepR!$A$6:$ZZ$1048576"), MATCH(AH$1, SepR!$6:$6, 0), FALSE),
            0
        ) +
        IFERROR(
            VLOOKUP($A75, INDIRECT("OctR!$A$6:$ZZ$1048576"), MATCH(AH$1, OctR!$6:$6, 0), FALSE),
            0
        ) +
        IFERROR(
            VLOOKUP($A75, INDIRECT("NovR!$A$6:$ZZ$1048576"), MATCH(AH$1, NovR!$6:$6, 0), FALSE),
            0
        ) +
        IFERROR(
            VLOOKUP($A75, INDIRECT("DicR!$A$6:$ZZ$1048576"), MATCH(AH$1, DicR!$6:$6, 0), FALSE),
            0
        )
)</f>
        <v>0</v>
      </c>
      <c r="AI75" s="37">
        <f t="array" ref="AI75">SUM(
    IFERROR(
            VLOOKUP($A75, INDIRECT("EneR!$A$6:$ZZ$1048576"), MATCH(AI$1, EneR!$6:$6, 0), FALSE),
            0
        ) +
        IFERROR(
            VLOOKUP($A75, INDIRECT("FebR!$A$6:$ZZ$1048576"), MATCH(AI$1, FebR!$6:$6, 0), FALSE),
            0
        ) +
        IFERROR(
            VLOOKUP($A75, INDIRECT("MarR!$A$6:$ZZ$1048576"), MATCH(AI$1, MarR!$6:$6, 0), FALSE),
            0
        ) +
        IFERROR(
            VLOOKUP($A75, INDIRECT("AbrR!$A$6:$ZZ$1048576"), MATCH(AI$1, AbrR!$6:$6, 0), FALSE),
            0
        ) +
        IFERROR(
            VLOOKUP($A75, INDIRECT("MayR!$A$6:$ZZ$1048576"), MATCH(AI$1, MayR!$6:$6, 0), FALSE),
            0
        ) +
        IFERROR(
            VLOOKUP($A75, INDIRECT("JunR!$A$6:$ZZ$1048576"), MATCH(AI$1, JunR!$6:$6, 0), FALSE),
            0
        ) +
        IFERROR(
            VLOOKUP($A75, INDIRECT("JulR!$A$6:$ZZ$1048576"), MATCH(AI$1, JulR!$6:$6, 0), FALSE),
            0
        ) +
        IFERROR(
            VLOOKUP($A75, INDIRECT("AgoR!$A$6:$ZZ$1048576"), MATCH(AI$1, AgoR!$6:$6, 0), FALSE),
            0
        ) +
        IFERROR(
            VLOOKUP($A75, INDIRECT("SepR!$A$6:$ZZ$1048576"), MATCH(AI$1, SepR!$6:$6, 0), FALSE),
            0
        ) +
        IFERROR(
            VLOOKUP($A75, INDIRECT("OctR!$A$6:$ZZ$1048576"), MATCH(AI$1, OctR!$6:$6, 0), FALSE),
            0
        ) +
        IFERROR(
            VLOOKUP($A75, INDIRECT("NovR!$A$6:$ZZ$1048576"), MATCH(AI$1, NovR!$6:$6, 0), FALSE),
            0
        ) +
        IFERROR(
            VLOOKUP($A75, INDIRECT("DicR!$A$6:$ZZ$1048576"), MATCH(AI$1, DicR!$6:$6, 0), FALSE),
            0
        )
)</f>
        <v>0</v>
      </c>
      <c r="AJ75" s="36">
        <f t="array" ref="AJ75">SUM(
    IFERROR(
            VLOOKUP($A75, INDIRECT("EneR!$A$6:$ZZ$1048576"), MATCH(AJ$1, EneR!$6:$6, 0), FALSE),
            0
        ) +
        IFERROR(
            VLOOKUP($A75, INDIRECT("FebR!$A$6:$ZZ$1048576"), MATCH(AJ$1, FebR!$6:$6, 0), FALSE),
            0
        ) +
        IFERROR(
            VLOOKUP($A75, INDIRECT("MarR!$A$6:$ZZ$1048576"), MATCH(AJ$1, MarR!$6:$6, 0), FALSE),
            0
        ) +
        IFERROR(
            VLOOKUP($A75, INDIRECT("AbrR!$A$6:$ZZ$1048576"), MATCH(AJ$1, AbrR!$6:$6, 0), FALSE),
            0
        ) +
        IFERROR(
            VLOOKUP($A75, INDIRECT("MayR!$A$6:$ZZ$1048576"), MATCH(AJ$1, MayR!$6:$6, 0), FALSE),
            0
        ) +
        IFERROR(
            VLOOKUP($A75, INDIRECT("JunR!$A$6:$ZZ$1048576"), MATCH(AJ$1, JunR!$6:$6, 0), FALSE),
            0
        ) +
        IFERROR(
            VLOOKUP($A75, INDIRECT("JulR!$A$6:$ZZ$1048576"), MATCH(AJ$1, JulR!$6:$6, 0), FALSE),
            0
        ) +
        IFERROR(
            VLOOKUP($A75, INDIRECT("AgoR!$A$6:$ZZ$1048576"), MATCH(AJ$1, AgoR!$6:$6, 0), FALSE),
            0
        ) +
        IFERROR(
            VLOOKUP($A75, INDIRECT("SepR!$A$6:$ZZ$1048576"), MATCH(AJ$1, SepR!$6:$6, 0), FALSE),
            0
        ) +
        IFERROR(
            VLOOKUP($A75, INDIRECT("OctR!$A$6:$ZZ$1048576"), MATCH(AJ$1, OctR!$6:$6, 0), FALSE),
            0
        ) +
        IFERROR(
            VLOOKUP($A75, INDIRECT("NovR!$A$6:$ZZ$1048576"), MATCH(AJ$1, NovR!$6:$6, 0), FALSE),
            0
        ) +
        IFERROR(
            VLOOKUP($A75, INDIRECT("DicR!$A$6:$ZZ$1048576"), MATCH(AJ$1, DicR!$6:$6, 0), FALSE),
            0
        )
)</f>
        <v>0</v>
      </c>
      <c r="AK75" s="37">
        <f t="array" ref="AK75">SUM(
    IFERROR(
            VLOOKUP($A75, INDIRECT("EneR!$A$6:$ZZ$1048576"), MATCH(AK$1, EneR!$6:$6, 0), FALSE),
            0
        ) +
        IFERROR(
            VLOOKUP($A75, INDIRECT("FebR!$A$6:$ZZ$1048576"), MATCH(AK$1, FebR!$6:$6, 0), FALSE),
            0
        ) +
        IFERROR(
            VLOOKUP($A75, INDIRECT("MarR!$A$6:$ZZ$1048576"), MATCH(AK$1, MarR!$6:$6, 0), FALSE),
            0
        ) +
        IFERROR(
            VLOOKUP($A75, INDIRECT("AbrR!$A$6:$ZZ$1048576"), MATCH(AK$1, AbrR!$6:$6, 0), FALSE),
            0
        ) +
        IFERROR(
            VLOOKUP($A75, INDIRECT("MayR!$A$6:$ZZ$1048576"), MATCH(AK$1, MayR!$6:$6, 0), FALSE),
            0
        ) +
        IFERROR(
            VLOOKUP($A75, INDIRECT("JunR!$A$6:$ZZ$1048576"), MATCH(AK$1, JunR!$6:$6, 0), FALSE),
            0
        ) +
        IFERROR(
            VLOOKUP($A75, INDIRECT("JulR!$A$6:$ZZ$1048576"), MATCH(AK$1, JulR!$6:$6, 0), FALSE),
            0
        ) +
        IFERROR(
            VLOOKUP($A75, INDIRECT("AgoR!$A$6:$ZZ$1048576"), MATCH(AK$1, AgoR!$6:$6, 0), FALSE),
            0
        ) +
        IFERROR(
            VLOOKUP($A75, INDIRECT("SepR!$A$6:$ZZ$1048576"), MATCH(AK$1, SepR!$6:$6, 0), FALSE),
            0
        ) +
        IFERROR(
            VLOOKUP($A75, INDIRECT("OctR!$A$6:$ZZ$1048576"), MATCH(AK$1, OctR!$6:$6, 0), FALSE),
            0
        ) +
        IFERROR(
            VLOOKUP($A75, INDIRECT("NovR!$A$6:$ZZ$1048576"), MATCH(AK$1, NovR!$6:$6, 0), FALSE),
            0
        ) +
        IFERROR(
            VLOOKUP($A75, INDIRECT("DicR!$A$6:$ZZ$1048576"), MATCH(AK$1, DicR!$6:$6, 0), FALSE),
            0
        )
)</f>
        <v>0</v>
      </c>
      <c r="AL75" s="36">
        <f t="array" ref="AL75">SUM(
    IFERROR(
            VLOOKUP($A75, INDIRECT("EneR!$A$6:$ZZ$1048576"), MATCH(AL$1, EneR!$6:$6, 0), FALSE),
            0
        ) +
        IFERROR(
            VLOOKUP($A75, INDIRECT("FebR!$A$6:$ZZ$1048576"), MATCH(AL$1, FebR!$6:$6, 0), FALSE),
            0
        ) +
        IFERROR(
            VLOOKUP($A75, INDIRECT("MarR!$A$6:$ZZ$1048576"), MATCH(AL$1, MarR!$6:$6, 0), FALSE),
            0
        ) +
        IFERROR(
            VLOOKUP($A75, INDIRECT("AbrR!$A$6:$ZZ$1048576"), MATCH(AL$1, AbrR!$6:$6, 0), FALSE),
            0
        ) +
        IFERROR(
            VLOOKUP($A75, INDIRECT("MayR!$A$6:$ZZ$1048576"), MATCH(AL$1, MayR!$6:$6, 0), FALSE),
            0
        ) +
        IFERROR(
            VLOOKUP($A75, INDIRECT("JunR!$A$6:$ZZ$1048576"), MATCH(AL$1, JunR!$6:$6, 0), FALSE),
            0
        ) +
        IFERROR(
            VLOOKUP($A75, INDIRECT("JulR!$A$6:$ZZ$1048576"), MATCH(AL$1, JulR!$6:$6, 0), FALSE),
            0
        ) +
        IFERROR(
            VLOOKUP($A75, INDIRECT("AgoR!$A$6:$ZZ$1048576"), MATCH(AL$1, AgoR!$6:$6, 0), FALSE),
            0
        ) +
        IFERROR(
            VLOOKUP($A75, INDIRECT("SepR!$A$6:$ZZ$1048576"), MATCH(AL$1, SepR!$6:$6, 0), FALSE),
            0
        ) +
        IFERROR(
            VLOOKUP($A75, INDIRECT("OctR!$A$6:$ZZ$1048576"), MATCH(AL$1, OctR!$6:$6, 0), FALSE),
            0
        ) +
        IFERROR(
            VLOOKUP($A75, INDIRECT("NovR!$A$6:$ZZ$1048576"), MATCH(AL$1, NovR!$6:$6, 0), FALSE),
            0
        ) +
        IFERROR(
            VLOOKUP($A75, INDIRECT("DicR!$A$6:$ZZ$1048576"), MATCH(AL$1, DicR!$6:$6, 0), FALSE),
            0
        )
)</f>
        <v>0</v>
      </c>
      <c r="AM75" s="37">
        <f t="array" ref="AM75">SUM(
    IFERROR(
            VLOOKUP($A75, INDIRECT("EneR!$A$6:$ZZ$1048576"), MATCH(AM$1, EneR!$6:$6, 0), FALSE),
            0
        ) +
        IFERROR(
            VLOOKUP($A75, INDIRECT("FebR!$A$6:$ZZ$1048576"), MATCH(AM$1, FebR!$6:$6, 0), FALSE),
            0
        ) +
        IFERROR(
            VLOOKUP($A75, INDIRECT("MarR!$A$6:$ZZ$1048576"), MATCH(AM$1, MarR!$6:$6, 0), FALSE),
            0
        ) +
        IFERROR(
            VLOOKUP($A75, INDIRECT("AbrR!$A$6:$ZZ$1048576"), MATCH(AM$1, AbrR!$6:$6, 0), FALSE),
            0
        ) +
        IFERROR(
            VLOOKUP($A75, INDIRECT("MayR!$A$6:$ZZ$1048576"), MATCH(AM$1, MayR!$6:$6, 0), FALSE),
            0
        ) +
        IFERROR(
            VLOOKUP($A75, INDIRECT("JunR!$A$6:$ZZ$1048576"), MATCH(AM$1, JunR!$6:$6, 0), FALSE),
            0
        ) +
        IFERROR(
            VLOOKUP($A75, INDIRECT("JulR!$A$6:$ZZ$1048576"), MATCH(AM$1, JulR!$6:$6, 0), FALSE),
            0
        ) +
        IFERROR(
            VLOOKUP($A75, INDIRECT("AgoR!$A$6:$ZZ$1048576"), MATCH(AM$1, AgoR!$6:$6, 0), FALSE),
            0
        ) +
        IFERROR(
            VLOOKUP($A75, INDIRECT("SepR!$A$6:$ZZ$1048576"), MATCH(AM$1, SepR!$6:$6, 0), FALSE),
            0
        ) +
        IFERROR(
            VLOOKUP($A75, INDIRECT("OctR!$A$6:$ZZ$1048576"), MATCH(AM$1, OctR!$6:$6, 0), FALSE),
            0
        ) +
        IFERROR(
            VLOOKUP($A75, INDIRECT("NovR!$A$6:$ZZ$1048576"), MATCH(AM$1, NovR!$6:$6, 0), FALSE),
            0
        ) +
        IFERROR(
            VLOOKUP($A75, INDIRECT("DicR!$A$6:$ZZ$1048576"), MATCH(AM$1, DicR!$6:$6, 0), FALSE),
            0
        )
)</f>
        <v>0</v>
      </c>
      <c r="AN75" s="32">
        <f t="array" ref="AN75">SUM(
    IFERROR(
            VLOOKUP($A75, INDIRECT("EneR!$A$6:$ZZ$1048576"), MATCH(AN$1, EneR!$6:$6, 0), FALSE),
            0
        ) +
        IFERROR(
            VLOOKUP($A75, INDIRECT("FebR!$A$6:$ZZ$1048576"), MATCH(AN$1, FebR!$6:$6, 0), FALSE),
            0
        ) +
        IFERROR(
            VLOOKUP($A75, INDIRECT("MarR!$A$6:$ZZ$1048576"), MATCH(AN$1, MarR!$6:$6, 0), FALSE),
            0
        ) +
        IFERROR(
            VLOOKUP($A75, INDIRECT("AbrR!$A$6:$ZZ$1048576"), MATCH(AN$1, AbrR!$6:$6, 0), FALSE),
            0
        ) +
        IFERROR(
            VLOOKUP($A75, INDIRECT("MayR!$A$6:$ZZ$1048576"), MATCH(AN$1, MayR!$6:$6, 0), FALSE),
            0
        ) +
        IFERROR(
            VLOOKUP($A75, INDIRECT("JunR!$A$6:$ZZ$1048576"), MATCH(AN$1, JunR!$6:$6, 0), FALSE),
            0
        ) +
        IFERROR(
            VLOOKUP($A75, INDIRECT("JulR!$A$6:$ZZ$1048576"), MATCH(AN$1, JulR!$6:$6, 0), FALSE),
            0
        ) +
        IFERROR(
            VLOOKUP($A75, INDIRECT("AgoR!$A$6:$ZZ$1048576"), MATCH(AN$1, AgoR!$6:$6, 0), FALSE),
            0
        ) +
        IFERROR(
            VLOOKUP($A75, INDIRECT("SepR!$A$6:$ZZ$1048576"), MATCH(AN$1, SepR!$6:$6, 0), FALSE),
            0
        ) +
        IFERROR(
            VLOOKUP($A75, INDIRECT("OctR!$A$6:$ZZ$1048576"), MATCH(AN$1, OctR!$6:$6, 0), FALSE),
            0
        ) +
        IFERROR(
            VLOOKUP($A75, INDIRECT("NovR!$A$6:$ZZ$1048576"), MATCH(AN$1, NovR!$6:$6, 0), FALSE),
            0
        ) +
        IFERROR(
            VLOOKUP($A75, INDIRECT("DicR!$A$6:$ZZ$1048576"), MATCH(AN$1, DicR!$6:$6, 0), FALSE),
            0
        )
)</f>
        <v>0</v>
      </c>
      <c r="AO75" s="35">
        <f t="array" ref="AO75">SUM(
    IFERROR(
            VLOOKUP($A75, INDIRECT("EneR!$A$6:$ZZ$1048576"), MATCH(AO$1, EneR!$6:$6, 0), FALSE),
            0
        ) +
        IFERROR(
            VLOOKUP($A75, INDIRECT("FebR!$A$6:$ZZ$1048576"), MATCH(AO$1, FebR!$6:$6, 0), FALSE),
            0
        ) +
        IFERROR(
            VLOOKUP($A75, INDIRECT("MarR!$A$6:$ZZ$1048576"), MATCH(AO$1, MarR!$6:$6, 0), FALSE),
            0
        ) +
        IFERROR(
            VLOOKUP($A75, INDIRECT("AbrR!$A$6:$ZZ$1048576"), MATCH(AO$1, AbrR!$6:$6, 0), FALSE),
            0
        ) +
        IFERROR(
            VLOOKUP($A75, INDIRECT("MayR!$A$6:$ZZ$1048576"), MATCH(AO$1, MayR!$6:$6, 0), FALSE),
            0
        ) +
        IFERROR(
            VLOOKUP($A75, INDIRECT("JunR!$A$6:$ZZ$1048576"), MATCH(AO$1, JunR!$6:$6, 0), FALSE),
            0
        ) +
        IFERROR(
            VLOOKUP($A75, INDIRECT("JulR!$A$6:$ZZ$1048576"), MATCH(AO$1, JulR!$6:$6, 0), FALSE),
            0
        ) +
        IFERROR(
            VLOOKUP($A75, INDIRECT("AgoR!$A$6:$ZZ$1048576"), MATCH(AO$1, AgoR!$6:$6, 0), FALSE),
            0
        ) +
        IFERROR(
            VLOOKUP($A75, INDIRECT("SepR!$A$6:$ZZ$1048576"), MATCH(AO$1, SepR!$6:$6, 0), FALSE),
            0
        ) +
        IFERROR(
            VLOOKUP($A75, INDIRECT("OctR!$A$6:$ZZ$1048576"), MATCH(AO$1, OctR!$6:$6, 0), FALSE),
            0
        ) +
        IFERROR(
            VLOOKUP($A75, INDIRECT("NovR!$A$6:$ZZ$1048576"), MATCH(AO$1, NovR!$6:$6, 0), FALSE),
            0
        ) +
        IFERROR(
            VLOOKUP($A75, INDIRECT("DicR!$A$6:$ZZ$1048576"), MATCH(AO$1, DicR!$6:$6, 0), FALSE),
            0
        )
)</f>
        <v>0</v>
      </c>
      <c r="AP75" s="36">
        <f t="array" ref="AP75">SUM(
    IFERROR(
            VLOOKUP($A75, INDIRECT("EneR!$A$6:$ZZ$1048576"), MATCH(AP$1, EneR!$6:$6, 0), FALSE),
            0
        ) +
        IFERROR(
            VLOOKUP($A75, INDIRECT("FebR!$A$6:$ZZ$1048576"), MATCH(AP$1, FebR!$6:$6, 0), FALSE),
            0
        ) +
        IFERROR(
            VLOOKUP($A75, INDIRECT("MarR!$A$6:$ZZ$1048576"), MATCH(AP$1, MarR!$6:$6, 0), FALSE),
            0
        ) +
        IFERROR(
            VLOOKUP($A75, INDIRECT("AbrR!$A$6:$ZZ$1048576"), MATCH(AP$1, AbrR!$6:$6, 0), FALSE),
            0
        ) +
        IFERROR(
            VLOOKUP($A75, INDIRECT("MayR!$A$6:$ZZ$1048576"), MATCH(AP$1, MayR!$6:$6, 0), FALSE),
            0
        ) +
        IFERROR(
            VLOOKUP($A75, INDIRECT("JunR!$A$6:$ZZ$1048576"), MATCH(AP$1, JunR!$6:$6, 0), FALSE),
            0
        ) +
        IFERROR(
            VLOOKUP($A75, INDIRECT("JulR!$A$6:$ZZ$1048576"), MATCH(AP$1, JulR!$6:$6, 0), FALSE),
            0
        ) +
        IFERROR(
            VLOOKUP($A75, INDIRECT("AgoR!$A$6:$ZZ$1048576"), MATCH(AP$1, AgoR!$6:$6, 0), FALSE),
            0
        ) +
        IFERROR(
            VLOOKUP($A75, INDIRECT("SepR!$A$6:$ZZ$1048576"), MATCH(AP$1, SepR!$6:$6, 0), FALSE),
            0
        ) +
        IFERROR(
            VLOOKUP($A75, INDIRECT("OctR!$A$6:$ZZ$1048576"), MATCH(AP$1, OctR!$6:$6, 0), FALSE),
            0
        ) +
        IFERROR(
            VLOOKUP($A75, INDIRECT("NovR!$A$6:$ZZ$1048576"), MATCH(AP$1, NovR!$6:$6, 0), FALSE),
            0
        ) +
        IFERROR(
            VLOOKUP($A75, INDIRECT("DicR!$A$6:$ZZ$1048576"), MATCH(AP$1, DicR!$6:$6, 0), FALSE),
            0
        )
)</f>
        <v>0</v>
      </c>
      <c r="AQ75" s="35">
        <f t="array" ref="AQ75">SUM(
    IFERROR(
            VLOOKUP($A75, INDIRECT("EneR!$A$6:$ZZ$1048576"), MATCH(AQ$1, EneR!$6:$6, 0), FALSE),
            0
        ) +
        IFERROR(
            VLOOKUP($A75, INDIRECT("FebR!$A$6:$ZZ$1048576"), MATCH(AQ$1, FebR!$6:$6, 0), FALSE),
            0
        ) +
        IFERROR(
            VLOOKUP($A75, INDIRECT("MarR!$A$6:$ZZ$1048576"), MATCH(AQ$1, MarR!$6:$6, 0), FALSE),
            0
        ) +
        IFERROR(
            VLOOKUP($A75, INDIRECT("AbrR!$A$6:$ZZ$1048576"), MATCH(AQ$1, AbrR!$6:$6, 0), FALSE),
            0
        ) +
        IFERROR(
            VLOOKUP($A75, INDIRECT("MayR!$A$6:$ZZ$1048576"), MATCH(AQ$1, MayR!$6:$6, 0), FALSE),
            0
        ) +
        IFERROR(
            VLOOKUP($A75, INDIRECT("JunR!$A$6:$ZZ$1048576"), MATCH(AQ$1, JunR!$6:$6, 0), FALSE),
            0
        ) +
        IFERROR(
            VLOOKUP($A75, INDIRECT("JulR!$A$6:$ZZ$1048576"), MATCH(AQ$1, JulR!$6:$6, 0), FALSE),
            0
        ) +
        IFERROR(
            VLOOKUP($A75, INDIRECT("AgoR!$A$6:$ZZ$1048576"), MATCH(AQ$1, AgoR!$6:$6, 0), FALSE),
            0
        ) +
        IFERROR(
            VLOOKUP($A75, INDIRECT("SepR!$A$6:$ZZ$1048576"), MATCH(AQ$1, SepR!$6:$6, 0), FALSE),
            0
        ) +
        IFERROR(
            VLOOKUP($A75, INDIRECT("OctR!$A$6:$ZZ$1048576"), MATCH(AQ$1, OctR!$6:$6, 0), FALSE),
            0
        ) +
        IFERROR(
            VLOOKUP($A75, INDIRECT("NovR!$A$6:$ZZ$1048576"), MATCH(AQ$1, NovR!$6:$6, 0), FALSE),
            0
        ) +
        IFERROR(
            VLOOKUP($A75, INDIRECT("DicR!$A$6:$ZZ$1048576"), MATCH(AQ$1, DicR!$6:$6, 0), FALSE),
            0
        )
)</f>
        <v>0</v>
      </c>
      <c r="AR75" s="36">
        <f t="array" ref="AR75">SUM(
    IFERROR(
            VLOOKUP($A75, INDIRECT("EneR!$A$6:$ZZ$1048576"), MATCH(AR$1, EneR!$6:$6, 0), FALSE),
            0
        ) +
        IFERROR(
            VLOOKUP($A75, INDIRECT("FebR!$A$6:$ZZ$1048576"), MATCH(AR$1, FebR!$6:$6, 0), FALSE),
            0
        ) +
        IFERROR(
            VLOOKUP($A75, INDIRECT("MarR!$A$6:$ZZ$1048576"), MATCH(AR$1, MarR!$6:$6, 0), FALSE),
            0
        ) +
        IFERROR(
            VLOOKUP($A75, INDIRECT("AbrR!$A$6:$ZZ$1048576"), MATCH(AR$1, AbrR!$6:$6, 0), FALSE),
            0
        ) +
        IFERROR(
            VLOOKUP($A75, INDIRECT("MayR!$A$6:$ZZ$1048576"), MATCH(AR$1, MayR!$6:$6, 0), FALSE),
            0
        ) +
        IFERROR(
            VLOOKUP($A75, INDIRECT("JunR!$A$6:$ZZ$1048576"), MATCH(AR$1, JunR!$6:$6, 0), FALSE),
            0
        ) +
        IFERROR(
            VLOOKUP($A75, INDIRECT("JulR!$A$6:$ZZ$1048576"), MATCH(AR$1, JulR!$6:$6, 0), FALSE),
            0
        ) +
        IFERROR(
            VLOOKUP($A75, INDIRECT("AgoR!$A$6:$ZZ$1048576"), MATCH(AR$1, AgoR!$6:$6, 0), FALSE),
            0
        ) +
        IFERROR(
            VLOOKUP($A75, INDIRECT("SepR!$A$6:$ZZ$1048576"), MATCH(AR$1, SepR!$6:$6, 0), FALSE),
            0
        ) +
        IFERROR(
            VLOOKUP($A75, INDIRECT("OctR!$A$6:$ZZ$1048576"), MATCH(AR$1, OctR!$6:$6, 0), FALSE),
            0
        ) +
        IFERROR(
            VLOOKUP($A75, INDIRECT("NovR!$A$6:$ZZ$1048576"), MATCH(AR$1, NovR!$6:$6, 0), FALSE),
            0
        ) +
        IFERROR(
            VLOOKUP($A75, INDIRECT("DicR!$A$6:$ZZ$1048576"), MATCH(AR$1, DicR!$6:$6, 0), FALSE),
            0
        )
)</f>
        <v>0</v>
      </c>
      <c r="AS75" s="35">
        <f t="array" ref="AS75">SUM(
    IFERROR(
            VLOOKUP($A75, INDIRECT("EneR!$A$6:$ZZ$1048576"), MATCH(AS$1, EneR!$6:$6, 0), FALSE),
            0
        ) +
        IFERROR(
            VLOOKUP($A75, INDIRECT("FebR!$A$6:$ZZ$1048576"), MATCH(AS$1, FebR!$6:$6, 0), FALSE),
            0
        ) +
        IFERROR(
            VLOOKUP($A75, INDIRECT("MarR!$A$6:$ZZ$1048576"), MATCH(AS$1, MarR!$6:$6, 0), FALSE),
            0
        ) +
        IFERROR(
            VLOOKUP($A75, INDIRECT("AbrR!$A$6:$ZZ$1048576"), MATCH(AS$1, AbrR!$6:$6, 0), FALSE),
            0
        ) +
        IFERROR(
            VLOOKUP($A75, INDIRECT("MayR!$A$6:$ZZ$1048576"), MATCH(AS$1, MayR!$6:$6, 0), FALSE),
            0
        ) +
        IFERROR(
            VLOOKUP($A75, INDIRECT("JunR!$A$6:$ZZ$1048576"), MATCH(AS$1, JunR!$6:$6, 0), FALSE),
            0
        ) +
        IFERROR(
            VLOOKUP($A75, INDIRECT("JulR!$A$6:$ZZ$1048576"), MATCH(AS$1, JulR!$6:$6, 0), FALSE),
            0
        ) +
        IFERROR(
            VLOOKUP($A75, INDIRECT("AgoR!$A$6:$ZZ$1048576"), MATCH(AS$1, AgoR!$6:$6, 0), FALSE),
            0
        ) +
        IFERROR(
            VLOOKUP($A75, INDIRECT("SepR!$A$6:$ZZ$1048576"), MATCH(AS$1, SepR!$6:$6, 0), FALSE),
            0
        ) +
        IFERROR(
            VLOOKUP($A75, INDIRECT("OctR!$A$6:$ZZ$1048576"), MATCH(AS$1, OctR!$6:$6, 0), FALSE),
            0
        ) +
        IFERROR(
            VLOOKUP($A75, INDIRECT("NovR!$A$6:$ZZ$1048576"), MATCH(AS$1, NovR!$6:$6, 0), FALSE),
            0
        ) +
        IFERROR(
            VLOOKUP($A75, INDIRECT("DicR!$A$6:$ZZ$1048576"), MATCH(AS$1, DicR!$6:$6, 0), FALSE),
            0
        )
)</f>
        <v>0</v>
      </c>
      <c r="AT75" s="36">
        <f t="array" ref="AT75">SUM(
    IFERROR(
            VLOOKUP($A75, INDIRECT("EneR!$A$6:$ZZ$1048576"), MATCH(AT$1, EneR!$6:$6, 0), FALSE),
            0
        ) +
        IFERROR(
            VLOOKUP($A75, INDIRECT("FebR!$A$6:$ZZ$1048576"), MATCH(AT$1, FebR!$6:$6, 0), FALSE),
            0
        ) +
        IFERROR(
            VLOOKUP($A75, INDIRECT("MarR!$A$6:$ZZ$1048576"), MATCH(AT$1, MarR!$6:$6, 0), FALSE),
            0
        ) +
        IFERROR(
            VLOOKUP($A75, INDIRECT("AbrR!$A$6:$ZZ$1048576"), MATCH(AT$1, AbrR!$6:$6, 0), FALSE),
            0
        ) +
        IFERROR(
            VLOOKUP($A75, INDIRECT("MayR!$A$6:$ZZ$1048576"), MATCH(AT$1, MayR!$6:$6, 0), FALSE),
            0
        ) +
        IFERROR(
            VLOOKUP($A75, INDIRECT("JunR!$A$6:$ZZ$1048576"), MATCH(AT$1, JunR!$6:$6, 0), FALSE),
            0
        ) +
        IFERROR(
            VLOOKUP($A75, INDIRECT("JulR!$A$6:$ZZ$1048576"), MATCH(AT$1, JulR!$6:$6, 0), FALSE),
            0
        ) +
        IFERROR(
            VLOOKUP($A75, INDIRECT("AgoR!$A$6:$ZZ$1048576"), MATCH(AT$1, AgoR!$6:$6, 0), FALSE),
            0
        ) +
        IFERROR(
            VLOOKUP($A75, INDIRECT("SepR!$A$6:$ZZ$1048576"), MATCH(AT$1, SepR!$6:$6, 0), FALSE),
            0
        ) +
        IFERROR(
            VLOOKUP($A75, INDIRECT("OctR!$A$6:$ZZ$1048576"), MATCH(AT$1, OctR!$6:$6, 0), FALSE),
            0
        ) +
        IFERROR(
            VLOOKUP($A75, INDIRECT("NovR!$A$6:$ZZ$1048576"), MATCH(AT$1, NovR!$6:$6, 0), FALSE),
            0
        ) +
        IFERROR(
            VLOOKUP($A75, INDIRECT("DicR!$A$6:$ZZ$1048576"), MATCH(AT$1, DicR!$6:$6, 0), FALSE),
            0
        )
)</f>
        <v>0</v>
      </c>
      <c r="AU75" s="35">
        <f t="array" ref="AU75">SUM(
    IFERROR(
            VLOOKUP($A75, INDIRECT("EneR!$A$6:$ZZ$1048576"), MATCH(AU$1, EneR!$6:$6, 0), FALSE),
            0
        ) +
        IFERROR(
            VLOOKUP($A75, INDIRECT("FebR!$A$6:$ZZ$1048576"), MATCH(AU$1, FebR!$6:$6, 0), FALSE),
            0
        ) +
        IFERROR(
            VLOOKUP($A75, INDIRECT("MarR!$A$6:$ZZ$1048576"), MATCH(AU$1, MarR!$6:$6, 0), FALSE),
            0
        ) +
        IFERROR(
            VLOOKUP($A75, INDIRECT("AbrR!$A$6:$ZZ$1048576"), MATCH(AU$1, AbrR!$6:$6, 0), FALSE),
            0
        ) +
        IFERROR(
            VLOOKUP($A75, INDIRECT("MayR!$A$6:$ZZ$1048576"), MATCH(AU$1, MayR!$6:$6, 0), FALSE),
            0
        ) +
        IFERROR(
            VLOOKUP($A75, INDIRECT("JunR!$A$6:$ZZ$1048576"), MATCH(AU$1, JunR!$6:$6, 0), FALSE),
            0
        ) +
        IFERROR(
            VLOOKUP($A75, INDIRECT("JulR!$A$6:$ZZ$1048576"), MATCH(AU$1, JulR!$6:$6, 0), FALSE),
            0
        ) +
        IFERROR(
            VLOOKUP($A75, INDIRECT("AgoR!$A$6:$ZZ$1048576"), MATCH(AU$1, AgoR!$6:$6, 0), FALSE),
            0
        ) +
        IFERROR(
            VLOOKUP($A75, INDIRECT("SepR!$A$6:$ZZ$1048576"), MATCH(AU$1, SepR!$6:$6, 0), FALSE),
            0
        ) +
        IFERROR(
            VLOOKUP($A75, INDIRECT("OctR!$A$6:$ZZ$1048576"), MATCH(AU$1, OctR!$6:$6, 0), FALSE),
            0
        ) +
        IFERROR(
            VLOOKUP($A75, INDIRECT("NovR!$A$6:$ZZ$1048576"), MATCH(AU$1, NovR!$6:$6, 0), FALSE),
            0
        ) +
        IFERROR(
            VLOOKUP($A75, INDIRECT("DicR!$A$6:$ZZ$1048576"), MATCH(AU$1, DicR!$6:$6, 0), FALSE),
            0
        )
)</f>
        <v>0</v>
      </c>
      <c r="AV75" s="36">
        <f t="array" ref="AV75">SUM(
    IFERROR(
            VLOOKUP($A75, INDIRECT("EneR!$A$6:$ZZ$1048576"), MATCH(AV$1, EneR!$6:$6, 0), FALSE),
            0
        ) +
        IFERROR(
            VLOOKUP($A75, INDIRECT("FebR!$A$6:$ZZ$1048576"), MATCH(AV$1, FebR!$6:$6, 0), FALSE),
            0
        ) +
        IFERROR(
            VLOOKUP($A75, INDIRECT("MarR!$A$6:$ZZ$1048576"), MATCH(AV$1, MarR!$6:$6, 0), FALSE),
            0
        ) +
        IFERROR(
            VLOOKUP($A75, INDIRECT("AbrR!$A$6:$ZZ$1048576"), MATCH(AV$1, AbrR!$6:$6, 0), FALSE),
            0
        ) +
        IFERROR(
            VLOOKUP($A75, INDIRECT("MayR!$A$6:$ZZ$1048576"), MATCH(AV$1, MayR!$6:$6, 0), FALSE),
            0
        ) +
        IFERROR(
            VLOOKUP($A75, INDIRECT("JunR!$A$6:$ZZ$1048576"), MATCH(AV$1, JunR!$6:$6, 0), FALSE),
            0
        ) +
        IFERROR(
            VLOOKUP($A75, INDIRECT("JulR!$A$6:$ZZ$1048576"), MATCH(AV$1, JulR!$6:$6, 0), FALSE),
            0
        ) +
        IFERROR(
            VLOOKUP($A75, INDIRECT("AgoR!$A$6:$ZZ$1048576"), MATCH(AV$1, AgoR!$6:$6, 0), FALSE),
            0
        ) +
        IFERROR(
            VLOOKUP($A75, INDIRECT("SepR!$A$6:$ZZ$1048576"), MATCH(AV$1, SepR!$6:$6, 0), FALSE),
            0
        ) +
        IFERROR(
            VLOOKUP($A75, INDIRECT("OctR!$A$6:$ZZ$1048576"), MATCH(AV$1, OctR!$6:$6, 0), FALSE),
            0
        ) +
        IFERROR(
            VLOOKUP($A75, INDIRECT("NovR!$A$6:$ZZ$1048576"), MATCH(AV$1, NovR!$6:$6, 0), FALSE),
            0
        ) +
        IFERROR(
            VLOOKUP($A75, INDIRECT("DicR!$A$6:$ZZ$1048576"), MATCH(AV$1, DicR!$6:$6, 0), FALSE),
            0
        )
)</f>
        <v>0</v>
      </c>
      <c r="AW75" s="35">
        <f t="array" ref="AW75">SUM(
    IFERROR(
            VLOOKUP($A75, INDIRECT("EneR!$A$6:$ZZ$1048576"), MATCH(AW$1, EneR!$6:$6, 0), FALSE),
            0
        ) +
        IFERROR(
            VLOOKUP($A75, INDIRECT("FebR!$A$6:$ZZ$1048576"), MATCH(AW$1, FebR!$6:$6, 0), FALSE),
            0
        ) +
        IFERROR(
            VLOOKUP($A75, INDIRECT("MarR!$A$6:$ZZ$1048576"), MATCH(AW$1, MarR!$6:$6, 0), FALSE),
            0
        ) +
        IFERROR(
            VLOOKUP($A75, INDIRECT("AbrR!$A$6:$ZZ$1048576"), MATCH(AW$1, AbrR!$6:$6, 0), FALSE),
            0
        ) +
        IFERROR(
            VLOOKUP($A75, INDIRECT("MayR!$A$6:$ZZ$1048576"), MATCH(AW$1, MayR!$6:$6, 0), FALSE),
            0
        ) +
        IFERROR(
            VLOOKUP($A75, INDIRECT("JunR!$A$6:$ZZ$1048576"), MATCH(AW$1, JunR!$6:$6, 0), FALSE),
            0
        ) +
        IFERROR(
            VLOOKUP($A75, INDIRECT("JulR!$A$6:$ZZ$1048576"), MATCH(AW$1, JulR!$6:$6, 0), FALSE),
            0
        ) +
        IFERROR(
            VLOOKUP($A75, INDIRECT("AgoR!$A$6:$ZZ$1048576"), MATCH(AW$1, AgoR!$6:$6, 0), FALSE),
            0
        ) +
        IFERROR(
            VLOOKUP($A75, INDIRECT("SepR!$A$6:$ZZ$1048576"), MATCH(AW$1, SepR!$6:$6, 0), FALSE),
            0
        ) +
        IFERROR(
            VLOOKUP($A75, INDIRECT("OctR!$A$6:$ZZ$1048576"), MATCH(AW$1, OctR!$6:$6, 0), FALSE),
            0
        ) +
        IFERROR(
            VLOOKUP($A75, INDIRECT("NovR!$A$6:$ZZ$1048576"), MATCH(AW$1, NovR!$6:$6, 0), FALSE),
            0
        ) +
        IFERROR(
            VLOOKUP($A75, INDIRECT("DicR!$A$6:$ZZ$1048576"), MATCH(AW$1, DicR!$6:$6, 0), FALSE),
            0
        )
)</f>
        <v>0</v>
      </c>
      <c r="AX75" s="36">
        <f t="array" ref="AX75">SUM(
    IFERROR(
            VLOOKUP($A75, INDIRECT("EneR!$A$6:$ZZ$1048576"), MATCH(AX$1, EneR!$6:$6, 0), FALSE),
            0
        ) +
        IFERROR(
            VLOOKUP($A75, INDIRECT("FebR!$A$6:$ZZ$1048576"), MATCH(AX$1, FebR!$6:$6, 0), FALSE),
            0
        ) +
        IFERROR(
            VLOOKUP($A75, INDIRECT("MarR!$A$6:$ZZ$1048576"), MATCH(AX$1, MarR!$6:$6, 0), FALSE),
            0
        ) +
        IFERROR(
            VLOOKUP($A75, INDIRECT("AbrR!$A$6:$ZZ$1048576"), MATCH(AX$1, AbrR!$6:$6, 0), FALSE),
            0
        ) +
        IFERROR(
            VLOOKUP($A75, INDIRECT("MayR!$A$6:$ZZ$1048576"), MATCH(AX$1, MayR!$6:$6, 0), FALSE),
            0
        ) +
        IFERROR(
            VLOOKUP($A75, INDIRECT("JunR!$A$6:$ZZ$1048576"), MATCH(AX$1, JunR!$6:$6, 0), FALSE),
            0
        ) +
        IFERROR(
            VLOOKUP($A75, INDIRECT("JulR!$A$6:$ZZ$1048576"), MATCH(AX$1, JulR!$6:$6, 0), FALSE),
            0
        ) +
        IFERROR(
            VLOOKUP($A75, INDIRECT("AgoR!$A$6:$ZZ$1048576"), MATCH(AX$1, AgoR!$6:$6, 0), FALSE),
            0
        ) +
        IFERROR(
            VLOOKUP($A75, INDIRECT("SepR!$A$6:$ZZ$1048576"), MATCH(AX$1, SepR!$6:$6, 0), FALSE),
            0
        ) +
        IFERROR(
            VLOOKUP($A75, INDIRECT("OctR!$A$6:$ZZ$1048576"), MATCH(AX$1, OctR!$6:$6, 0), FALSE),
            0
        ) +
        IFERROR(
            VLOOKUP($A75, INDIRECT("NovR!$A$6:$ZZ$1048576"), MATCH(AX$1, NovR!$6:$6, 0), FALSE),
            0
        ) +
        IFERROR(
            VLOOKUP($A75, INDIRECT("DicR!$A$6:$ZZ$1048576"), MATCH(AX$1, DicR!$6:$6, 0), FALSE),
            0
        )
)</f>
        <v>0</v>
      </c>
      <c r="AY75" s="35">
        <f t="array" ref="AY75">SUM(
    IFERROR(
            VLOOKUP($A75, INDIRECT("EneR!$A$6:$ZZ$1048576"), MATCH(AY$1, EneR!$6:$6, 0), FALSE),
            0
        ) +
        IFERROR(
            VLOOKUP($A75, INDIRECT("FebR!$A$6:$ZZ$1048576"), MATCH(AY$1, FebR!$6:$6, 0), FALSE),
            0
        ) +
        IFERROR(
            VLOOKUP($A75, INDIRECT("MarR!$A$6:$ZZ$1048576"), MATCH(AY$1, MarR!$6:$6, 0), FALSE),
            0
        ) +
        IFERROR(
            VLOOKUP($A75, INDIRECT("AbrR!$A$6:$ZZ$1048576"), MATCH(AY$1, AbrR!$6:$6, 0), FALSE),
            0
        ) +
        IFERROR(
            VLOOKUP($A75, INDIRECT("MayR!$A$6:$ZZ$1048576"), MATCH(AY$1, MayR!$6:$6, 0), FALSE),
            0
        ) +
        IFERROR(
            VLOOKUP($A75, INDIRECT("JunR!$A$6:$ZZ$1048576"), MATCH(AY$1, JunR!$6:$6, 0), FALSE),
            0
        ) +
        IFERROR(
            VLOOKUP($A75, INDIRECT("JulR!$A$6:$ZZ$1048576"), MATCH(AY$1, JulR!$6:$6, 0), FALSE),
            0
        ) +
        IFERROR(
            VLOOKUP($A75, INDIRECT("AgoR!$A$6:$ZZ$1048576"), MATCH(AY$1, AgoR!$6:$6, 0), FALSE),
            0
        ) +
        IFERROR(
            VLOOKUP($A75, INDIRECT("SepR!$A$6:$ZZ$1048576"), MATCH(AY$1, SepR!$6:$6, 0), FALSE),
            0
        ) +
        IFERROR(
            VLOOKUP($A75, INDIRECT("OctR!$A$6:$ZZ$1048576"), MATCH(AY$1, OctR!$6:$6, 0), FALSE),
            0
        ) +
        IFERROR(
            VLOOKUP($A75, INDIRECT("NovR!$A$6:$ZZ$1048576"), MATCH(AY$1, NovR!$6:$6, 0), FALSE),
            0
        ) +
        IFERROR(
            VLOOKUP($A75, INDIRECT("DicR!$A$6:$ZZ$1048576"), MATCH(AY$1, DicR!$6:$6, 0), FALSE),
            0
        )
)</f>
        <v>0</v>
      </c>
      <c r="AZ75" s="35"/>
    </row>
    <row r="76" ht="15.75" customHeight="1">
      <c r="A76" s="12" t="str">
        <f>Menus!B37</f>
        <v/>
      </c>
      <c r="B76" s="32">
        <f t="shared" si="9"/>
        <v>0</v>
      </c>
      <c r="C76" s="33" t="str">
        <f t="shared" si="10"/>
        <v/>
      </c>
      <c r="D76" s="34">
        <f t="array" ref="D76">SUM(
    IFERROR(
            VLOOKUP($A76, INDIRECT("EneR!$A$6:$ZZ$1048576"), MATCH(D$1, EneR!$6:$6, 0), FALSE),
            0
        ) +
        IFERROR(
            VLOOKUP($A76, INDIRECT("FebR!$A$6:$ZZ$1048576"), MATCH(D$1, FebR!$6:$6, 0), FALSE),
            0
        ) +
        IFERROR(
            VLOOKUP($A76, INDIRECT("MarR!$A$6:$ZZ$1048576"), MATCH(D$1, MarR!$6:$6, 0), FALSE),
            0
        ) +
        IFERROR(
            VLOOKUP($A76, INDIRECT("AbrR!$A$6:$ZZ$1048576"), MATCH(D$1, AbrR!$6:$6, 0), FALSE),
            0
        ) +
        IFERROR(
            VLOOKUP($A76, INDIRECT("MayR!$A$6:$ZZ$1048576"), MATCH(D$1, MayR!$6:$6, 0), FALSE),
            0
        ) +
        IFERROR(
            VLOOKUP($A76, INDIRECT("JunR!$A$6:$ZZ$1048576"), MATCH(D$1, JunR!$6:$6, 0), FALSE),
            0
        ) +
        IFERROR(
            VLOOKUP($A76, INDIRECT("JulR!$A$6:$ZZ$1048576"), MATCH(D$1, JulR!$6:$6, 0), FALSE),
            0
        ) +
        IFERROR(
            VLOOKUP($A76, INDIRECT("AgoR!$A$6:$ZZ$1048576"), MATCH(D$1, AgoR!$6:$6, 0), FALSE),
            0
        ) +
        IFERROR(
            VLOOKUP($A76, INDIRECT("SepR!$A$6:$ZZ$1048576"), MATCH(D$1, SepR!$6:$6, 0), FALSE),
            0
        ) +
        IFERROR(
            VLOOKUP($A76, INDIRECT("OctR!$A$6:$ZZ$1048576"), MATCH(D$1, OctR!$6:$6, 0), FALSE),
            0
        ) +
        IFERROR(
            VLOOKUP($A76, INDIRECT("NovR!$A$6:$ZZ$1048576"), MATCH(D$1, NovR!$6:$6, 0), FALSE),
            0
        ) +
        IFERROR(
            VLOOKUP($A76, INDIRECT("DicR!$A$6:$ZZ$1048576"), MATCH(D$1, DicR!$6:$6, 0), FALSE),
            0
        )
)</f>
        <v>0</v>
      </c>
      <c r="E76" s="35">
        <f t="array" ref="E76">SUM(
    IFERROR(
            VLOOKUP($A76, INDIRECT("EneR!$A$6:$ZZ$1048576"), MATCH(E$1, EneR!$6:$6, 0), FALSE),
            0
        ) +
        IFERROR(
            VLOOKUP($A76, INDIRECT("FebR!$A$6:$ZZ$1048576"), MATCH(E$1, FebR!$6:$6, 0), FALSE),
            0
        ) +
        IFERROR(
            VLOOKUP($A76, INDIRECT("MarR!$A$6:$ZZ$1048576"), MATCH(E$1, MarR!$6:$6, 0), FALSE),
            0
        ) +
        IFERROR(
            VLOOKUP($A76, INDIRECT("AbrR!$A$6:$ZZ$1048576"), MATCH(E$1, AbrR!$6:$6, 0), FALSE),
            0
        ) +
        IFERROR(
            VLOOKUP($A76, INDIRECT("MayR!$A$6:$ZZ$1048576"), MATCH(E$1, MayR!$6:$6, 0), FALSE),
            0
        ) +
        IFERROR(
            VLOOKUP($A76, INDIRECT("JunR!$A$6:$ZZ$1048576"), MATCH(E$1, JunR!$6:$6, 0), FALSE),
            0
        ) +
        IFERROR(
            VLOOKUP($A76, INDIRECT("JulR!$A$6:$ZZ$1048576"), MATCH(E$1, JulR!$6:$6, 0), FALSE),
            0
        ) +
        IFERROR(
            VLOOKUP($A76, INDIRECT("AgoR!$A$6:$ZZ$1048576"), MATCH(E$1, AgoR!$6:$6, 0), FALSE),
            0
        ) +
        IFERROR(
            VLOOKUP($A76, INDIRECT("SepR!$A$6:$ZZ$1048576"), MATCH(E$1, SepR!$6:$6, 0), FALSE),
            0
        ) +
        IFERROR(
            VLOOKUP($A76, INDIRECT("OctR!$A$6:$ZZ$1048576"), MATCH(E$1, OctR!$6:$6, 0), FALSE),
            0
        ) +
        IFERROR(
            VLOOKUP($A76, INDIRECT("NovR!$A$6:$ZZ$1048576"), MATCH(E$1, NovR!$6:$6, 0), FALSE),
            0
        ) +
        IFERROR(
            VLOOKUP($A76, INDIRECT("DicR!$A$6:$ZZ$1048576"), MATCH(E$1, DicR!$6:$6, 0), FALSE),
            0
        )
)</f>
        <v>0</v>
      </c>
      <c r="F76" s="32">
        <f t="array" ref="F76">SUM(
    IFERROR(
            VLOOKUP($A76, INDIRECT("EneR!$A$6:$ZZ$1048576"), MATCH(F$1, EneR!$6:$6, 0), FALSE),
            0
        ) +
        IFERROR(
            VLOOKUP($A76, INDIRECT("FebR!$A$6:$ZZ$1048576"), MATCH(F$1, FebR!$6:$6, 0), FALSE),
            0
        ) +
        IFERROR(
            VLOOKUP($A76, INDIRECT("MarR!$A$6:$ZZ$1048576"), MATCH(F$1, MarR!$6:$6, 0), FALSE),
            0
        ) +
        IFERROR(
            VLOOKUP($A76, INDIRECT("AbrR!$A$6:$ZZ$1048576"), MATCH(F$1, AbrR!$6:$6, 0), FALSE),
            0
        ) +
        IFERROR(
            VLOOKUP($A76, INDIRECT("MayR!$A$6:$ZZ$1048576"), MATCH(F$1, MayR!$6:$6, 0), FALSE),
            0
        ) +
        IFERROR(
            VLOOKUP($A76, INDIRECT("JunR!$A$6:$ZZ$1048576"), MATCH(F$1, JunR!$6:$6, 0), FALSE),
            0
        ) +
        IFERROR(
            VLOOKUP($A76, INDIRECT("JulR!$A$6:$ZZ$1048576"), MATCH(F$1, JulR!$6:$6, 0), FALSE),
            0
        ) +
        IFERROR(
            VLOOKUP($A76, INDIRECT("AgoR!$A$6:$ZZ$1048576"), MATCH(F$1, AgoR!$6:$6, 0), FALSE),
            0
        ) +
        IFERROR(
            VLOOKUP($A76, INDIRECT("SepR!$A$6:$ZZ$1048576"), MATCH(F$1, SepR!$6:$6, 0), FALSE),
            0
        ) +
        IFERROR(
            VLOOKUP($A76, INDIRECT("OctR!$A$6:$ZZ$1048576"), MATCH(F$1, OctR!$6:$6, 0), FALSE),
            0
        ) +
        IFERROR(
            VLOOKUP($A76, INDIRECT("NovR!$A$6:$ZZ$1048576"), MATCH(F$1, NovR!$6:$6, 0), FALSE),
            0
        ) +
        IFERROR(
            VLOOKUP($A76, INDIRECT("DicR!$A$6:$ZZ$1048576"), MATCH(F$1, DicR!$6:$6, 0), FALSE),
            0
        )
)</f>
        <v>0</v>
      </c>
      <c r="G76" s="35">
        <f t="array" ref="G76">SUM(
    IFERROR(
            VLOOKUP($A76, INDIRECT("EneR!$A$6:$ZZ$1048576"), MATCH(G$1, EneR!$6:$6, 0), FALSE),
            0
        ) +
        IFERROR(
            VLOOKUP($A76, INDIRECT("FebR!$A$6:$ZZ$1048576"), MATCH(G$1, FebR!$6:$6, 0), FALSE),
            0
        ) +
        IFERROR(
            VLOOKUP($A76, INDIRECT("MarR!$A$6:$ZZ$1048576"), MATCH(G$1, MarR!$6:$6, 0), FALSE),
            0
        ) +
        IFERROR(
            VLOOKUP($A76, INDIRECT("AbrR!$A$6:$ZZ$1048576"), MATCH(G$1, AbrR!$6:$6, 0), FALSE),
            0
        ) +
        IFERROR(
            VLOOKUP($A76, INDIRECT("MayR!$A$6:$ZZ$1048576"), MATCH(G$1, MayR!$6:$6, 0), FALSE),
            0
        ) +
        IFERROR(
            VLOOKUP($A76, INDIRECT("JunR!$A$6:$ZZ$1048576"), MATCH(G$1, JunR!$6:$6, 0), FALSE),
            0
        ) +
        IFERROR(
            VLOOKUP($A76, INDIRECT("JulR!$A$6:$ZZ$1048576"), MATCH(G$1, JulR!$6:$6, 0), FALSE),
            0
        ) +
        IFERROR(
            VLOOKUP($A76, INDIRECT("AgoR!$A$6:$ZZ$1048576"), MATCH(G$1, AgoR!$6:$6, 0), FALSE),
            0
        ) +
        IFERROR(
            VLOOKUP($A76, INDIRECT("SepR!$A$6:$ZZ$1048576"), MATCH(G$1, SepR!$6:$6, 0), FALSE),
            0
        ) +
        IFERROR(
            VLOOKUP($A76, INDIRECT("OctR!$A$6:$ZZ$1048576"), MATCH(G$1, OctR!$6:$6, 0), FALSE),
            0
        ) +
        IFERROR(
            VLOOKUP($A76, INDIRECT("NovR!$A$6:$ZZ$1048576"), MATCH(G$1, NovR!$6:$6, 0), FALSE),
            0
        ) +
        IFERROR(
            VLOOKUP($A76, INDIRECT("DicR!$A$6:$ZZ$1048576"), MATCH(G$1, DicR!$6:$6, 0), FALSE),
            0
        )
)</f>
        <v>0</v>
      </c>
      <c r="H76" s="32">
        <f t="array" ref="H76">SUM(
    IFERROR(
            VLOOKUP($A76, INDIRECT("EneR!$A$6:$ZZ$1048576"), MATCH(H$1, EneR!$6:$6, 0), FALSE),
            0
        ) +
        IFERROR(
            VLOOKUP($A76, INDIRECT("FebR!$A$6:$ZZ$1048576"), MATCH(H$1, FebR!$6:$6, 0), FALSE),
            0
        ) +
        IFERROR(
            VLOOKUP($A76, INDIRECT("MarR!$A$6:$ZZ$1048576"), MATCH(H$1, MarR!$6:$6, 0), FALSE),
            0
        ) +
        IFERROR(
            VLOOKUP($A76, INDIRECT("AbrR!$A$6:$ZZ$1048576"), MATCH(H$1, AbrR!$6:$6, 0), FALSE),
            0
        ) +
        IFERROR(
            VLOOKUP($A76, INDIRECT("MayR!$A$6:$ZZ$1048576"), MATCH(H$1, MayR!$6:$6, 0), FALSE),
            0
        ) +
        IFERROR(
            VLOOKUP($A76, INDIRECT("JunR!$A$6:$ZZ$1048576"), MATCH(H$1, JunR!$6:$6, 0), FALSE),
            0
        ) +
        IFERROR(
            VLOOKUP($A76, INDIRECT("JulR!$A$6:$ZZ$1048576"), MATCH(H$1, JulR!$6:$6, 0), FALSE),
            0
        ) +
        IFERROR(
            VLOOKUP($A76, INDIRECT("AgoR!$A$6:$ZZ$1048576"), MATCH(H$1, AgoR!$6:$6, 0), FALSE),
            0
        ) +
        IFERROR(
            VLOOKUP($A76, INDIRECT("SepR!$A$6:$ZZ$1048576"), MATCH(H$1, SepR!$6:$6, 0), FALSE),
            0
        ) +
        IFERROR(
            VLOOKUP($A76, INDIRECT("OctR!$A$6:$ZZ$1048576"), MATCH(H$1, OctR!$6:$6, 0), FALSE),
            0
        ) +
        IFERROR(
            VLOOKUP($A76, INDIRECT("NovR!$A$6:$ZZ$1048576"), MATCH(H$1, NovR!$6:$6, 0), FALSE),
            0
        ) +
        IFERROR(
            VLOOKUP($A76, INDIRECT("DicR!$A$6:$ZZ$1048576"), MATCH(H$1, DicR!$6:$6, 0), FALSE),
            0
        )
)</f>
        <v>0</v>
      </c>
      <c r="I76" s="35">
        <f t="array" ref="I76">SUM(
    IFERROR(
            VLOOKUP($A76, INDIRECT("EneR!$A$6:$ZZ$1048576"), MATCH(I$1, EneR!$6:$6, 0), FALSE),
            0
        ) +
        IFERROR(
            VLOOKUP($A76, INDIRECT("FebR!$A$6:$ZZ$1048576"), MATCH(I$1, FebR!$6:$6, 0), FALSE),
            0
        ) +
        IFERROR(
            VLOOKUP($A76, INDIRECT("MarR!$A$6:$ZZ$1048576"), MATCH(I$1, MarR!$6:$6, 0), FALSE),
            0
        ) +
        IFERROR(
            VLOOKUP($A76, INDIRECT("AbrR!$A$6:$ZZ$1048576"), MATCH(I$1, AbrR!$6:$6, 0), FALSE),
            0
        ) +
        IFERROR(
            VLOOKUP($A76, INDIRECT("MayR!$A$6:$ZZ$1048576"), MATCH(I$1, MayR!$6:$6, 0), FALSE),
            0
        ) +
        IFERROR(
            VLOOKUP($A76, INDIRECT("JunR!$A$6:$ZZ$1048576"), MATCH(I$1, JunR!$6:$6, 0), FALSE),
            0
        ) +
        IFERROR(
            VLOOKUP($A76, INDIRECT("JulR!$A$6:$ZZ$1048576"), MATCH(I$1, JulR!$6:$6, 0), FALSE),
            0
        ) +
        IFERROR(
            VLOOKUP($A76, INDIRECT("AgoR!$A$6:$ZZ$1048576"), MATCH(I$1, AgoR!$6:$6, 0), FALSE),
            0
        ) +
        IFERROR(
            VLOOKUP($A76, INDIRECT("SepR!$A$6:$ZZ$1048576"), MATCH(I$1, SepR!$6:$6, 0), FALSE),
            0
        ) +
        IFERROR(
            VLOOKUP($A76, INDIRECT("OctR!$A$6:$ZZ$1048576"), MATCH(I$1, OctR!$6:$6, 0), FALSE),
            0
        ) +
        IFERROR(
            VLOOKUP($A76, INDIRECT("NovR!$A$6:$ZZ$1048576"), MATCH(I$1, NovR!$6:$6, 0), FALSE),
            0
        ) +
        IFERROR(
            VLOOKUP($A76, INDIRECT("DicR!$A$6:$ZZ$1048576"), MATCH(I$1, DicR!$6:$6, 0), FALSE),
            0
        )
)</f>
        <v>0</v>
      </c>
      <c r="J76" s="32">
        <f t="array" ref="J76">SUM(
    IFERROR(
            VLOOKUP($A76, INDIRECT("EneR!$A$6:$ZZ$1048576"), MATCH(J$1, EneR!$6:$6, 0), FALSE),
            0
        ) +
        IFERROR(
            VLOOKUP($A76, INDIRECT("FebR!$A$6:$ZZ$1048576"), MATCH(J$1, FebR!$6:$6, 0), FALSE),
            0
        ) +
        IFERROR(
            VLOOKUP($A76, INDIRECT("MarR!$A$6:$ZZ$1048576"), MATCH(J$1, MarR!$6:$6, 0), FALSE),
            0
        ) +
        IFERROR(
            VLOOKUP($A76, INDIRECT("AbrR!$A$6:$ZZ$1048576"), MATCH(J$1, AbrR!$6:$6, 0), FALSE),
            0
        ) +
        IFERROR(
            VLOOKUP($A76, INDIRECT("MayR!$A$6:$ZZ$1048576"), MATCH(J$1, MayR!$6:$6, 0), FALSE),
            0
        ) +
        IFERROR(
            VLOOKUP($A76, INDIRECT("JunR!$A$6:$ZZ$1048576"), MATCH(J$1, JunR!$6:$6, 0), FALSE),
            0
        ) +
        IFERROR(
            VLOOKUP($A76, INDIRECT("JulR!$A$6:$ZZ$1048576"), MATCH(J$1, JulR!$6:$6, 0), FALSE),
            0
        ) +
        IFERROR(
            VLOOKUP($A76, INDIRECT("AgoR!$A$6:$ZZ$1048576"), MATCH(J$1, AgoR!$6:$6, 0), FALSE),
            0
        ) +
        IFERROR(
            VLOOKUP($A76, INDIRECT("SepR!$A$6:$ZZ$1048576"), MATCH(J$1, SepR!$6:$6, 0), FALSE),
            0
        ) +
        IFERROR(
            VLOOKUP($A76, INDIRECT("OctR!$A$6:$ZZ$1048576"), MATCH(J$1, OctR!$6:$6, 0), FALSE),
            0
        ) +
        IFERROR(
            VLOOKUP($A76, INDIRECT("NovR!$A$6:$ZZ$1048576"), MATCH(J$1, NovR!$6:$6, 0), FALSE),
            0
        ) +
        IFERROR(
            VLOOKUP($A76, INDIRECT("DicR!$A$6:$ZZ$1048576"), MATCH(J$1, DicR!$6:$6, 0), FALSE),
            0
        )
)</f>
        <v>0</v>
      </c>
      <c r="K76" s="35">
        <f t="array" ref="K76">SUM(
    IFERROR(
            VLOOKUP($A76, INDIRECT("EneR!$A$6:$ZZ$1048576"), MATCH(K$1, EneR!$6:$6, 0), FALSE),
            0
        ) +
        IFERROR(
            VLOOKUP($A76, INDIRECT("FebR!$A$6:$ZZ$1048576"), MATCH(K$1, FebR!$6:$6, 0), FALSE),
            0
        ) +
        IFERROR(
            VLOOKUP($A76, INDIRECT("MarR!$A$6:$ZZ$1048576"), MATCH(K$1, MarR!$6:$6, 0), FALSE),
            0
        ) +
        IFERROR(
            VLOOKUP($A76, INDIRECT("AbrR!$A$6:$ZZ$1048576"), MATCH(K$1, AbrR!$6:$6, 0), FALSE),
            0
        ) +
        IFERROR(
            VLOOKUP($A76, INDIRECT("MayR!$A$6:$ZZ$1048576"), MATCH(K$1, MayR!$6:$6, 0), FALSE),
            0
        ) +
        IFERROR(
            VLOOKUP($A76, INDIRECT("JunR!$A$6:$ZZ$1048576"), MATCH(K$1, JunR!$6:$6, 0), FALSE),
            0
        ) +
        IFERROR(
            VLOOKUP($A76, INDIRECT("JulR!$A$6:$ZZ$1048576"), MATCH(K$1, JulR!$6:$6, 0), FALSE),
            0
        ) +
        IFERROR(
            VLOOKUP($A76, INDIRECT("AgoR!$A$6:$ZZ$1048576"), MATCH(K$1, AgoR!$6:$6, 0), FALSE),
            0
        ) +
        IFERROR(
            VLOOKUP($A76, INDIRECT("SepR!$A$6:$ZZ$1048576"), MATCH(K$1, SepR!$6:$6, 0), FALSE),
            0
        ) +
        IFERROR(
            VLOOKUP($A76, INDIRECT("OctR!$A$6:$ZZ$1048576"), MATCH(K$1, OctR!$6:$6, 0), FALSE),
            0
        ) +
        IFERROR(
            VLOOKUP($A76, INDIRECT("NovR!$A$6:$ZZ$1048576"), MATCH(K$1, NovR!$6:$6, 0), FALSE),
            0
        ) +
        IFERROR(
            VLOOKUP($A76, INDIRECT("DicR!$A$6:$ZZ$1048576"), MATCH(K$1, DicR!$6:$6, 0), FALSE),
            0
        )
)</f>
        <v>0</v>
      </c>
      <c r="L76" s="32">
        <f t="array" ref="L76">SUM(
    IFERROR(
            VLOOKUP($A76, INDIRECT("EneR!$A$6:$ZZ$1048576"), MATCH(L$1, EneR!$6:$6, 0), FALSE),
            0
        ) +
        IFERROR(
            VLOOKUP($A76, INDIRECT("FebR!$A$6:$ZZ$1048576"), MATCH(L$1, FebR!$6:$6, 0), FALSE),
            0
        ) +
        IFERROR(
            VLOOKUP($A76, INDIRECT("MarR!$A$6:$ZZ$1048576"), MATCH(L$1, MarR!$6:$6, 0), FALSE),
            0
        ) +
        IFERROR(
            VLOOKUP($A76, INDIRECT("AbrR!$A$6:$ZZ$1048576"), MATCH(L$1, AbrR!$6:$6, 0), FALSE),
            0
        ) +
        IFERROR(
            VLOOKUP($A76, INDIRECT("MayR!$A$6:$ZZ$1048576"), MATCH(L$1, MayR!$6:$6, 0), FALSE),
            0
        ) +
        IFERROR(
            VLOOKUP($A76, INDIRECT("JunR!$A$6:$ZZ$1048576"), MATCH(L$1, JunR!$6:$6, 0), FALSE),
            0
        ) +
        IFERROR(
            VLOOKUP($A76, INDIRECT("JulR!$A$6:$ZZ$1048576"), MATCH(L$1, JulR!$6:$6, 0), FALSE),
            0
        ) +
        IFERROR(
            VLOOKUP($A76, INDIRECT("AgoR!$A$6:$ZZ$1048576"), MATCH(L$1, AgoR!$6:$6, 0), FALSE),
            0
        ) +
        IFERROR(
            VLOOKUP($A76, INDIRECT("SepR!$A$6:$ZZ$1048576"), MATCH(L$1, SepR!$6:$6, 0), FALSE),
            0
        ) +
        IFERROR(
            VLOOKUP($A76, INDIRECT("OctR!$A$6:$ZZ$1048576"), MATCH(L$1, OctR!$6:$6, 0), FALSE),
            0
        ) +
        IFERROR(
            VLOOKUP($A76, INDIRECT("NovR!$A$6:$ZZ$1048576"), MATCH(L$1, NovR!$6:$6, 0), FALSE),
            0
        ) +
        IFERROR(
            VLOOKUP($A76, INDIRECT("DicR!$A$6:$ZZ$1048576"), MATCH(L$1, DicR!$6:$6, 0), FALSE),
            0
        )
)</f>
        <v>0</v>
      </c>
      <c r="M76" s="35">
        <f t="array" ref="M76">SUM(
    IFERROR(
            VLOOKUP($A76, INDIRECT("EneR!$A$6:$ZZ$1048576"), MATCH(M$1, EneR!$6:$6, 0), FALSE),
            0
        ) +
        IFERROR(
            VLOOKUP($A76, INDIRECT("FebR!$A$6:$ZZ$1048576"), MATCH(M$1, FebR!$6:$6, 0), FALSE),
            0
        ) +
        IFERROR(
            VLOOKUP($A76, INDIRECT("MarR!$A$6:$ZZ$1048576"), MATCH(M$1, MarR!$6:$6, 0), FALSE),
            0
        ) +
        IFERROR(
            VLOOKUP($A76, INDIRECT("AbrR!$A$6:$ZZ$1048576"), MATCH(M$1, AbrR!$6:$6, 0), FALSE),
            0
        ) +
        IFERROR(
            VLOOKUP($A76, INDIRECT("MayR!$A$6:$ZZ$1048576"), MATCH(M$1, MayR!$6:$6, 0), FALSE),
            0
        ) +
        IFERROR(
            VLOOKUP($A76, INDIRECT("JunR!$A$6:$ZZ$1048576"), MATCH(M$1, JunR!$6:$6, 0), FALSE),
            0
        ) +
        IFERROR(
            VLOOKUP($A76, INDIRECT("JulR!$A$6:$ZZ$1048576"), MATCH(M$1, JulR!$6:$6, 0), FALSE),
            0
        ) +
        IFERROR(
            VLOOKUP($A76, INDIRECT("AgoR!$A$6:$ZZ$1048576"), MATCH(M$1, AgoR!$6:$6, 0), FALSE),
            0
        ) +
        IFERROR(
            VLOOKUP($A76, INDIRECT("SepR!$A$6:$ZZ$1048576"), MATCH(M$1, SepR!$6:$6, 0), FALSE),
            0
        ) +
        IFERROR(
            VLOOKUP($A76, INDIRECT("OctR!$A$6:$ZZ$1048576"), MATCH(M$1, OctR!$6:$6, 0), FALSE),
            0
        ) +
        IFERROR(
            VLOOKUP($A76, INDIRECT("NovR!$A$6:$ZZ$1048576"), MATCH(M$1, NovR!$6:$6, 0), FALSE),
            0
        ) +
        IFERROR(
            VLOOKUP($A76, INDIRECT("DicR!$A$6:$ZZ$1048576"), MATCH(M$1, DicR!$6:$6, 0), FALSE),
            0
        )
)</f>
        <v>0</v>
      </c>
      <c r="N76" s="32">
        <f t="array" ref="N76">SUM(
    IFERROR(
            VLOOKUP($A76, INDIRECT("EneR!$A$6:$ZZ$1048576"), MATCH(N$1, EneR!$6:$6, 0), FALSE),
            0
        ) +
        IFERROR(
            VLOOKUP($A76, INDIRECT("FebR!$A$6:$ZZ$1048576"), MATCH(N$1, FebR!$6:$6, 0), FALSE),
            0
        ) +
        IFERROR(
            VLOOKUP($A76, INDIRECT("MarR!$A$6:$ZZ$1048576"), MATCH(N$1, MarR!$6:$6, 0), FALSE),
            0
        ) +
        IFERROR(
            VLOOKUP($A76, INDIRECT("AbrR!$A$6:$ZZ$1048576"), MATCH(N$1, AbrR!$6:$6, 0), FALSE),
            0
        ) +
        IFERROR(
            VLOOKUP($A76, INDIRECT("MayR!$A$6:$ZZ$1048576"), MATCH(N$1, MayR!$6:$6, 0), FALSE),
            0
        ) +
        IFERROR(
            VLOOKUP($A76, INDIRECT("JunR!$A$6:$ZZ$1048576"), MATCH(N$1, JunR!$6:$6, 0), FALSE),
            0
        ) +
        IFERROR(
            VLOOKUP($A76, INDIRECT("JulR!$A$6:$ZZ$1048576"), MATCH(N$1, JulR!$6:$6, 0), FALSE),
            0
        ) +
        IFERROR(
            VLOOKUP($A76, INDIRECT("AgoR!$A$6:$ZZ$1048576"), MATCH(N$1, AgoR!$6:$6, 0), FALSE),
            0
        ) +
        IFERROR(
            VLOOKUP($A76, INDIRECT("SepR!$A$6:$ZZ$1048576"), MATCH(N$1, SepR!$6:$6, 0), FALSE),
            0
        ) +
        IFERROR(
            VLOOKUP($A76, INDIRECT("OctR!$A$6:$ZZ$1048576"), MATCH(N$1, OctR!$6:$6, 0), FALSE),
            0
        ) +
        IFERROR(
            VLOOKUP($A76, INDIRECT("NovR!$A$6:$ZZ$1048576"), MATCH(N$1, NovR!$6:$6, 0), FALSE),
            0
        ) +
        IFERROR(
            VLOOKUP($A76, INDIRECT("DicR!$A$6:$ZZ$1048576"), MATCH(N$1, DicR!$6:$6, 0), FALSE),
            0
        )
)</f>
        <v>0</v>
      </c>
      <c r="O76" s="35">
        <f t="array" ref="O76">SUM(
    IFERROR(
            VLOOKUP($A76, INDIRECT("EneR!$A$6:$ZZ$1048576"), MATCH(O$1, EneR!$6:$6, 0), FALSE),
            0
        ) +
        IFERROR(
            VLOOKUP($A76, INDIRECT("FebR!$A$6:$ZZ$1048576"), MATCH(O$1, FebR!$6:$6, 0), FALSE),
            0
        ) +
        IFERROR(
            VLOOKUP($A76, INDIRECT("MarR!$A$6:$ZZ$1048576"), MATCH(O$1, MarR!$6:$6, 0), FALSE),
            0
        ) +
        IFERROR(
            VLOOKUP($A76, INDIRECT("AbrR!$A$6:$ZZ$1048576"), MATCH(O$1, AbrR!$6:$6, 0), FALSE),
            0
        ) +
        IFERROR(
            VLOOKUP($A76, INDIRECT("MayR!$A$6:$ZZ$1048576"), MATCH(O$1, MayR!$6:$6, 0), FALSE),
            0
        ) +
        IFERROR(
            VLOOKUP($A76, INDIRECT("JunR!$A$6:$ZZ$1048576"), MATCH(O$1, JunR!$6:$6, 0), FALSE),
            0
        ) +
        IFERROR(
            VLOOKUP($A76, INDIRECT("JulR!$A$6:$ZZ$1048576"), MATCH(O$1, JulR!$6:$6, 0), FALSE),
            0
        ) +
        IFERROR(
            VLOOKUP($A76, INDIRECT("AgoR!$A$6:$ZZ$1048576"), MATCH(O$1, AgoR!$6:$6, 0), FALSE),
            0
        ) +
        IFERROR(
            VLOOKUP($A76, INDIRECT("SepR!$A$6:$ZZ$1048576"), MATCH(O$1, SepR!$6:$6, 0), FALSE),
            0
        ) +
        IFERROR(
            VLOOKUP($A76, INDIRECT("OctR!$A$6:$ZZ$1048576"), MATCH(O$1, OctR!$6:$6, 0), FALSE),
            0
        ) +
        IFERROR(
            VLOOKUP($A76, INDIRECT("NovR!$A$6:$ZZ$1048576"), MATCH(O$1, NovR!$6:$6, 0), FALSE),
            0
        ) +
        IFERROR(
            VLOOKUP($A76, INDIRECT("DicR!$A$6:$ZZ$1048576"), MATCH(O$1, DicR!$6:$6, 0), FALSE),
            0
        )
)</f>
        <v>0</v>
      </c>
      <c r="P76" s="32">
        <f t="array" ref="P76">SUM(
    IFERROR(
            VLOOKUP($A76, INDIRECT("EneR!$A$6:$ZZ$1048576"), MATCH(P$1, EneR!$6:$6, 0), FALSE),
            0
        ) +
        IFERROR(
            VLOOKUP($A76, INDIRECT("FebR!$A$6:$ZZ$1048576"), MATCH(P$1, FebR!$6:$6, 0), FALSE),
            0
        ) +
        IFERROR(
            VLOOKUP($A76, INDIRECT("MarR!$A$6:$ZZ$1048576"), MATCH(P$1, MarR!$6:$6, 0), FALSE),
            0
        ) +
        IFERROR(
            VLOOKUP($A76, INDIRECT("AbrR!$A$6:$ZZ$1048576"), MATCH(P$1, AbrR!$6:$6, 0), FALSE),
            0
        ) +
        IFERROR(
            VLOOKUP($A76, INDIRECT("MayR!$A$6:$ZZ$1048576"), MATCH(P$1, MayR!$6:$6, 0), FALSE),
            0
        ) +
        IFERROR(
            VLOOKUP($A76, INDIRECT("JunR!$A$6:$ZZ$1048576"), MATCH(P$1, JunR!$6:$6, 0), FALSE),
            0
        ) +
        IFERROR(
            VLOOKUP($A76, INDIRECT("JulR!$A$6:$ZZ$1048576"), MATCH(P$1, JulR!$6:$6, 0), FALSE),
            0
        ) +
        IFERROR(
            VLOOKUP($A76, INDIRECT("AgoR!$A$6:$ZZ$1048576"), MATCH(P$1, AgoR!$6:$6, 0), FALSE),
            0
        ) +
        IFERROR(
            VLOOKUP($A76, INDIRECT("SepR!$A$6:$ZZ$1048576"), MATCH(P$1, SepR!$6:$6, 0), FALSE),
            0
        ) +
        IFERROR(
            VLOOKUP($A76, INDIRECT("OctR!$A$6:$ZZ$1048576"), MATCH(P$1, OctR!$6:$6, 0), FALSE),
            0
        ) +
        IFERROR(
            VLOOKUP($A76, INDIRECT("NovR!$A$6:$ZZ$1048576"), MATCH(P$1, NovR!$6:$6, 0), FALSE),
            0
        ) +
        IFERROR(
            VLOOKUP($A76, INDIRECT("DicR!$A$6:$ZZ$1048576"), MATCH(P$1, DicR!$6:$6, 0), FALSE),
            0
        )
)</f>
        <v>0</v>
      </c>
      <c r="Q76" s="35">
        <f t="array" ref="Q76">SUM(
    IFERROR(
            VLOOKUP($A76, INDIRECT("EneR!$A$6:$ZZ$1048576"), MATCH(Q$1, EneR!$6:$6, 0), FALSE),
            0
        ) +
        IFERROR(
            VLOOKUP($A76, INDIRECT("FebR!$A$6:$ZZ$1048576"), MATCH(Q$1, FebR!$6:$6, 0), FALSE),
            0
        ) +
        IFERROR(
            VLOOKUP($A76, INDIRECT("MarR!$A$6:$ZZ$1048576"), MATCH(Q$1, MarR!$6:$6, 0), FALSE),
            0
        ) +
        IFERROR(
            VLOOKUP($A76, INDIRECT("AbrR!$A$6:$ZZ$1048576"), MATCH(Q$1, AbrR!$6:$6, 0), FALSE),
            0
        ) +
        IFERROR(
            VLOOKUP($A76, INDIRECT("MayR!$A$6:$ZZ$1048576"), MATCH(Q$1, MayR!$6:$6, 0), FALSE),
            0
        ) +
        IFERROR(
            VLOOKUP($A76, INDIRECT("JunR!$A$6:$ZZ$1048576"), MATCH(Q$1, JunR!$6:$6, 0), FALSE),
            0
        ) +
        IFERROR(
            VLOOKUP($A76, INDIRECT("JulR!$A$6:$ZZ$1048576"), MATCH(Q$1, JulR!$6:$6, 0), FALSE),
            0
        ) +
        IFERROR(
            VLOOKUP($A76, INDIRECT("AgoR!$A$6:$ZZ$1048576"), MATCH(Q$1, AgoR!$6:$6, 0), FALSE),
            0
        ) +
        IFERROR(
            VLOOKUP($A76, INDIRECT("SepR!$A$6:$ZZ$1048576"), MATCH(Q$1, SepR!$6:$6, 0), FALSE),
            0
        ) +
        IFERROR(
            VLOOKUP($A76, INDIRECT("OctR!$A$6:$ZZ$1048576"), MATCH(Q$1, OctR!$6:$6, 0), FALSE),
            0
        ) +
        IFERROR(
            VLOOKUP($A76, INDIRECT("NovR!$A$6:$ZZ$1048576"), MATCH(Q$1, NovR!$6:$6, 0), FALSE),
            0
        ) +
        IFERROR(
            VLOOKUP($A76, INDIRECT("DicR!$A$6:$ZZ$1048576"), MATCH(Q$1, DicR!$6:$6, 0), FALSE),
            0
        )
)</f>
        <v>0</v>
      </c>
      <c r="R76" s="36">
        <f t="array" ref="R76">SUM(
    IFERROR(
            VLOOKUP($A76, INDIRECT("EneR!$A$6:$ZZ$1048576"), MATCH(R$1, EneR!$6:$6, 0), FALSE),
            0
        ) +
        IFERROR(
            VLOOKUP($A76, INDIRECT("FebR!$A$6:$ZZ$1048576"), MATCH(R$1, FebR!$6:$6, 0), FALSE),
            0
        ) +
        IFERROR(
            VLOOKUP($A76, INDIRECT("MarR!$A$6:$ZZ$1048576"), MATCH(R$1, MarR!$6:$6, 0), FALSE),
            0
        ) +
        IFERROR(
            VLOOKUP($A76, INDIRECT("AbrR!$A$6:$ZZ$1048576"), MATCH(R$1, AbrR!$6:$6, 0), FALSE),
            0
        ) +
        IFERROR(
            VLOOKUP($A76, INDIRECT("MayR!$A$6:$ZZ$1048576"), MATCH(R$1, MayR!$6:$6, 0), FALSE),
            0
        ) +
        IFERROR(
            VLOOKUP($A76, INDIRECT("JunR!$A$6:$ZZ$1048576"), MATCH(R$1, JunR!$6:$6, 0), FALSE),
            0
        ) +
        IFERROR(
            VLOOKUP($A76, INDIRECT("JulR!$A$6:$ZZ$1048576"), MATCH(R$1, JulR!$6:$6, 0), FALSE),
            0
        ) +
        IFERROR(
            VLOOKUP($A76, INDIRECT("AgoR!$A$6:$ZZ$1048576"), MATCH(R$1, AgoR!$6:$6, 0), FALSE),
            0
        ) +
        IFERROR(
            VLOOKUP($A76, INDIRECT("SepR!$A$6:$ZZ$1048576"), MATCH(R$1, SepR!$6:$6, 0), FALSE),
            0
        ) +
        IFERROR(
            VLOOKUP($A76, INDIRECT("OctR!$A$6:$ZZ$1048576"), MATCH(R$1, OctR!$6:$6, 0), FALSE),
            0
        ) +
        IFERROR(
            VLOOKUP($A76, INDIRECT("NovR!$A$6:$ZZ$1048576"), MATCH(R$1, NovR!$6:$6, 0), FALSE),
            0
        ) +
        IFERROR(
            VLOOKUP($A76, INDIRECT("DicR!$A$6:$ZZ$1048576"), MATCH(R$1, DicR!$6:$6, 0), FALSE),
            0
        )
)</f>
        <v>0</v>
      </c>
      <c r="S76" s="37">
        <f t="array" ref="S76">SUM(
    IFERROR(
            VLOOKUP($A76, INDIRECT("EneR!$A$6:$ZZ$1048576"), MATCH(S$1, EneR!$6:$6, 0), FALSE),
            0
        ) +
        IFERROR(
            VLOOKUP($A76, INDIRECT("FebR!$A$6:$ZZ$1048576"), MATCH(S$1, FebR!$6:$6, 0), FALSE),
            0
        ) +
        IFERROR(
            VLOOKUP($A76, INDIRECT("MarR!$A$6:$ZZ$1048576"), MATCH(S$1, MarR!$6:$6, 0), FALSE),
            0
        ) +
        IFERROR(
            VLOOKUP($A76, INDIRECT("AbrR!$A$6:$ZZ$1048576"), MATCH(S$1, AbrR!$6:$6, 0), FALSE),
            0
        ) +
        IFERROR(
            VLOOKUP($A76, INDIRECT("MayR!$A$6:$ZZ$1048576"), MATCH(S$1, MayR!$6:$6, 0), FALSE),
            0
        ) +
        IFERROR(
            VLOOKUP($A76, INDIRECT("JunR!$A$6:$ZZ$1048576"), MATCH(S$1, JunR!$6:$6, 0), FALSE),
            0
        ) +
        IFERROR(
            VLOOKUP($A76, INDIRECT("JulR!$A$6:$ZZ$1048576"), MATCH(S$1, JulR!$6:$6, 0), FALSE),
            0
        ) +
        IFERROR(
            VLOOKUP($A76, INDIRECT("AgoR!$A$6:$ZZ$1048576"), MATCH(S$1, AgoR!$6:$6, 0), FALSE),
            0
        ) +
        IFERROR(
            VLOOKUP($A76, INDIRECT("SepR!$A$6:$ZZ$1048576"), MATCH(S$1, SepR!$6:$6, 0), FALSE),
            0
        ) +
        IFERROR(
            VLOOKUP($A76, INDIRECT("OctR!$A$6:$ZZ$1048576"), MATCH(S$1, OctR!$6:$6, 0), FALSE),
            0
        ) +
        IFERROR(
            VLOOKUP($A76, INDIRECT("NovR!$A$6:$ZZ$1048576"), MATCH(S$1, NovR!$6:$6, 0), FALSE),
            0
        ) +
        IFERROR(
            VLOOKUP($A76, INDIRECT("DicR!$A$6:$ZZ$1048576"), MATCH(S$1, DicR!$6:$6, 0), FALSE),
            0
        )
)</f>
        <v>0</v>
      </c>
      <c r="T76" s="36">
        <f t="array" ref="T76">SUM(
    IFERROR(
            VLOOKUP($A76, INDIRECT("EneR!$A$6:$ZZ$1048576"), MATCH(T$1, EneR!$6:$6, 0), FALSE),
            0
        ) +
        IFERROR(
            VLOOKUP($A76, INDIRECT("FebR!$A$6:$ZZ$1048576"), MATCH(T$1, FebR!$6:$6, 0), FALSE),
            0
        ) +
        IFERROR(
            VLOOKUP($A76, INDIRECT("MarR!$A$6:$ZZ$1048576"), MATCH(T$1, MarR!$6:$6, 0), FALSE),
            0
        ) +
        IFERROR(
            VLOOKUP($A76, INDIRECT("AbrR!$A$6:$ZZ$1048576"), MATCH(T$1, AbrR!$6:$6, 0), FALSE),
            0
        ) +
        IFERROR(
            VLOOKUP($A76, INDIRECT("MayR!$A$6:$ZZ$1048576"), MATCH(T$1, MayR!$6:$6, 0), FALSE),
            0
        ) +
        IFERROR(
            VLOOKUP($A76, INDIRECT("JunR!$A$6:$ZZ$1048576"), MATCH(T$1, JunR!$6:$6, 0), FALSE),
            0
        ) +
        IFERROR(
            VLOOKUP($A76, INDIRECT("JulR!$A$6:$ZZ$1048576"), MATCH(T$1, JulR!$6:$6, 0), FALSE),
            0
        ) +
        IFERROR(
            VLOOKUP($A76, INDIRECT("AgoR!$A$6:$ZZ$1048576"), MATCH(T$1, AgoR!$6:$6, 0), FALSE),
            0
        ) +
        IFERROR(
            VLOOKUP($A76, INDIRECT("SepR!$A$6:$ZZ$1048576"), MATCH(T$1, SepR!$6:$6, 0), FALSE),
            0
        ) +
        IFERROR(
            VLOOKUP($A76, INDIRECT("OctR!$A$6:$ZZ$1048576"), MATCH(T$1, OctR!$6:$6, 0), FALSE),
            0
        ) +
        IFERROR(
            VLOOKUP($A76, INDIRECT("NovR!$A$6:$ZZ$1048576"), MATCH(T$1, NovR!$6:$6, 0), FALSE),
            0
        ) +
        IFERROR(
            VLOOKUP($A76, INDIRECT("DicR!$A$6:$ZZ$1048576"), MATCH(T$1, DicR!$6:$6, 0), FALSE),
            0
        )
)</f>
        <v>0</v>
      </c>
      <c r="U76" s="37">
        <f t="array" ref="U76">SUM(
    IFERROR(
            VLOOKUP($A76, INDIRECT("EneR!$A$6:$ZZ$1048576"), MATCH(U$1, EneR!$6:$6, 0), FALSE),
            0
        ) +
        IFERROR(
            VLOOKUP($A76, INDIRECT("FebR!$A$6:$ZZ$1048576"), MATCH(U$1, FebR!$6:$6, 0), FALSE),
            0
        ) +
        IFERROR(
            VLOOKUP($A76, INDIRECT("MarR!$A$6:$ZZ$1048576"), MATCH(U$1, MarR!$6:$6, 0), FALSE),
            0
        ) +
        IFERROR(
            VLOOKUP($A76, INDIRECT("AbrR!$A$6:$ZZ$1048576"), MATCH(U$1, AbrR!$6:$6, 0), FALSE),
            0
        ) +
        IFERROR(
            VLOOKUP($A76, INDIRECT("MayR!$A$6:$ZZ$1048576"), MATCH(U$1, MayR!$6:$6, 0), FALSE),
            0
        ) +
        IFERROR(
            VLOOKUP($A76, INDIRECT("JunR!$A$6:$ZZ$1048576"), MATCH(U$1, JunR!$6:$6, 0), FALSE),
            0
        ) +
        IFERROR(
            VLOOKUP($A76, INDIRECT("JulR!$A$6:$ZZ$1048576"), MATCH(U$1, JulR!$6:$6, 0), FALSE),
            0
        ) +
        IFERROR(
            VLOOKUP($A76, INDIRECT("AgoR!$A$6:$ZZ$1048576"), MATCH(U$1, AgoR!$6:$6, 0), FALSE),
            0
        ) +
        IFERROR(
            VLOOKUP($A76, INDIRECT("SepR!$A$6:$ZZ$1048576"), MATCH(U$1, SepR!$6:$6, 0), FALSE),
            0
        ) +
        IFERROR(
            VLOOKUP($A76, INDIRECT("OctR!$A$6:$ZZ$1048576"), MATCH(U$1, OctR!$6:$6, 0), FALSE),
            0
        ) +
        IFERROR(
            VLOOKUP($A76, INDIRECT("NovR!$A$6:$ZZ$1048576"), MATCH(U$1, NovR!$6:$6, 0), FALSE),
            0
        ) +
        IFERROR(
            VLOOKUP($A76, INDIRECT("DicR!$A$6:$ZZ$1048576"), MATCH(U$1, DicR!$6:$6, 0), FALSE),
            0
        )
)</f>
        <v>0</v>
      </c>
      <c r="V76" s="36">
        <f t="array" ref="V76">SUM(
    IFERROR(
            VLOOKUP($A76, INDIRECT("EneR!$A$6:$ZZ$1048576"), MATCH(V$1, EneR!$6:$6, 0), FALSE),
            0
        ) +
        IFERROR(
            VLOOKUP($A76, INDIRECT("FebR!$A$6:$ZZ$1048576"), MATCH(V$1, FebR!$6:$6, 0), FALSE),
            0
        ) +
        IFERROR(
            VLOOKUP($A76, INDIRECT("MarR!$A$6:$ZZ$1048576"), MATCH(V$1, MarR!$6:$6, 0), FALSE),
            0
        ) +
        IFERROR(
            VLOOKUP($A76, INDIRECT("AbrR!$A$6:$ZZ$1048576"), MATCH(V$1, AbrR!$6:$6, 0), FALSE),
            0
        ) +
        IFERROR(
            VLOOKUP($A76, INDIRECT("MayR!$A$6:$ZZ$1048576"), MATCH(V$1, MayR!$6:$6, 0), FALSE),
            0
        ) +
        IFERROR(
            VLOOKUP($A76, INDIRECT("JunR!$A$6:$ZZ$1048576"), MATCH(V$1, JunR!$6:$6, 0), FALSE),
            0
        ) +
        IFERROR(
            VLOOKUP($A76, INDIRECT("JulR!$A$6:$ZZ$1048576"), MATCH(V$1, JulR!$6:$6, 0), FALSE),
            0
        ) +
        IFERROR(
            VLOOKUP($A76, INDIRECT("AgoR!$A$6:$ZZ$1048576"), MATCH(V$1, AgoR!$6:$6, 0), FALSE),
            0
        ) +
        IFERROR(
            VLOOKUP($A76, INDIRECT("SepR!$A$6:$ZZ$1048576"), MATCH(V$1, SepR!$6:$6, 0), FALSE),
            0
        ) +
        IFERROR(
            VLOOKUP($A76, INDIRECT("OctR!$A$6:$ZZ$1048576"), MATCH(V$1, OctR!$6:$6, 0), FALSE),
            0
        ) +
        IFERROR(
            VLOOKUP($A76, INDIRECT("NovR!$A$6:$ZZ$1048576"), MATCH(V$1, NovR!$6:$6, 0), FALSE),
            0
        ) +
        IFERROR(
            VLOOKUP($A76, INDIRECT("DicR!$A$6:$ZZ$1048576"), MATCH(V$1, DicR!$6:$6, 0), FALSE),
            0
        )
)</f>
        <v>0</v>
      </c>
      <c r="W76" s="37">
        <f t="array" ref="W76">SUM(
    IFERROR(
            VLOOKUP($A76, INDIRECT("EneR!$A$6:$ZZ$1048576"), MATCH(W$1, EneR!$6:$6, 0), FALSE),
            0
        ) +
        IFERROR(
            VLOOKUP($A76, INDIRECT("FebR!$A$6:$ZZ$1048576"), MATCH(W$1, FebR!$6:$6, 0), FALSE),
            0
        ) +
        IFERROR(
            VLOOKUP($A76, INDIRECT("MarR!$A$6:$ZZ$1048576"), MATCH(W$1, MarR!$6:$6, 0), FALSE),
            0
        ) +
        IFERROR(
            VLOOKUP($A76, INDIRECT("AbrR!$A$6:$ZZ$1048576"), MATCH(W$1, AbrR!$6:$6, 0), FALSE),
            0
        ) +
        IFERROR(
            VLOOKUP($A76, INDIRECT("MayR!$A$6:$ZZ$1048576"), MATCH(W$1, MayR!$6:$6, 0), FALSE),
            0
        ) +
        IFERROR(
            VLOOKUP($A76, INDIRECT("JunR!$A$6:$ZZ$1048576"), MATCH(W$1, JunR!$6:$6, 0), FALSE),
            0
        ) +
        IFERROR(
            VLOOKUP($A76, INDIRECT("JulR!$A$6:$ZZ$1048576"), MATCH(W$1, JulR!$6:$6, 0), FALSE),
            0
        ) +
        IFERROR(
            VLOOKUP($A76, INDIRECT("AgoR!$A$6:$ZZ$1048576"), MATCH(W$1, AgoR!$6:$6, 0), FALSE),
            0
        ) +
        IFERROR(
            VLOOKUP($A76, INDIRECT("SepR!$A$6:$ZZ$1048576"), MATCH(W$1, SepR!$6:$6, 0), FALSE),
            0
        ) +
        IFERROR(
            VLOOKUP($A76, INDIRECT("OctR!$A$6:$ZZ$1048576"), MATCH(W$1, OctR!$6:$6, 0), FALSE),
            0
        ) +
        IFERROR(
            VLOOKUP($A76, INDIRECT("NovR!$A$6:$ZZ$1048576"), MATCH(W$1, NovR!$6:$6, 0), FALSE),
            0
        ) +
        IFERROR(
            VLOOKUP($A76, INDIRECT("DicR!$A$6:$ZZ$1048576"), MATCH(W$1, DicR!$6:$6, 0), FALSE),
            0
        )
)</f>
        <v>0</v>
      </c>
      <c r="X76" s="36">
        <f t="array" ref="X76">SUM(
    IFERROR(
            VLOOKUP($A76, INDIRECT("EneR!$A$6:$ZZ$1048576"), MATCH(X$1, EneR!$6:$6, 0), FALSE),
            0
        ) +
        IFERROR(
            VLOOKUP($A76, INDIRECT("FebR!$A$6:$ZZ$1048576"), MATCH(X$1, FebR!$6:$6, 0), FALSE),
            0
        ) +
        IFERROR(
            VLOOKUP($A76, INDIRECT("MarR!$A$6:$ZZ$1048576"), MATCH(X$1, MarR!$6:$6, 0), FALSE),
            0
        ) +
        IFERROR(
            VLOOKUP($A76, INDIRECT("AbrR!$A$6:$ZZ$1048576"), MATCH(X$1, AbrR!$6:$6, 0), FALSE),
            0
        ) +
        IFERROR(
            VLOOKUP($A76, INDIRECT("MayR!$A$6:$ZZ$1048576"), MATCH(X$1, MayR!$6:$6, 0), FALSE),
            0
        ) +
        IFERROR(
            VLOOKUP($A76, INDIRECT("JunR!$A$6:$ZZ$1048576"), MATCH(X$1, JunR!$6:$6, 0), FALSE),
            0
        ) +
        IFERROR(
            VLOOKUP($A76, INDIRECT("JulR!$A$6:$ZZ$1048576"), MATCH(X$1, JulR!$6:$6, 0), FALSE),
            0
        ) +
        IFERROR(
            VLOOKUP($A76, INDIRECT("AgoR!$A$6:$ZZ$1048576"), MATCH(X$1, AgoR!$6:$6, 0), FALSE),
            0
        ) +
        IFERROR(
            VLOOKUP($A76, INDIRECT("SepR!$A$6:$ZZ$1048576"), MATCH(X$1, SepR!$6:$6, 0), FALSE),
            0
        ) +
        IFERROR(
            VLOOKUP($A76, INDIRECT("OctR!$A$6:$ZZ$1048576"), MATCH(X$1, OctR!$6:$6, 0), FALSE),
            0
        ) +
        IFERROR(
            VLOOKUP($A76, INDIRECT("NovR!$A$6:$ZZ$1048576"), MATCH(X$1, NovR!$6:$6, 0), FALSE),
            0
        ) +
        IFERROR(
            VLOOKUP($A76, INDIRECT("DicR!$A$6:$ZZ$1048576"), MATCH(X$1, DicR!$6:$6, 0), FALSE),
            0
        )
)</f>
        <v>0</v>
      </c>
      <c r="Y76" s="37">
        <f t="array" ref="Y76">SUM(
    IFERROR(
            VLOOKUP($A76, INDIRECT("EneR!$A$6:$ZZ$1048576"), MATCH(Y$1, EneR!$6:$6, 0), FALSE),
            0
        ) +
        IFERROR(
            VLOOKUP($A76, INDIRECT("FebR!$A$6:$ZZ$1048576"), MATCH(Y$1, FebR!$6:$6, 0), FALSE),
            0
        ) +
        IFERROR(
            VLOOKUP($A76, INDIRECT("MarR!$A$6:$ZZ$1048576"), MATCH(Y$1, MarR!$6:$6, 0), FALSE),
            0
        ) +
        IFERROR(
            VLOOKUP($A76, INDIRECT("AbrR!$A$6:$ZZ$1048576"), MATCH(Y$1, AbrR!$6:$6, 0), FALSE),
            0
        ) +
        IFERROR(
            VLOOKUP($A76, INDIRECT("MayR!$A$6:$ZZ$1048576"), MATCH(Y$1, MayR!$6:$6, 0), FALSE),
            0
        ) +
        IFERROR(
            VLOOKUP($A76, INDIRECT("JunR!$A$6:$ZZ$1048576"), MATCH(Y$1, JunR!$6:$6, 0), FALSE),
            0
        ) +
        IFERROR(
            VLOOKUP($A76, INDIRECT("JulR!$A$6:$ZZ$1048576"), MATCH(Y$1, JulR!$6:$6, 0), FALSE),
            0
        ) +
        IFERROR(
            VLOOKUP($A76, INDIRECT("AgoR!$A$6:$ZZ$1048576"), MATCH(Y$1, AgoR!$6:$6, 0), FALSE),
            0
        ) +
        IFERROR(
            VLOOKUP($A76, INDIRECT("SepR!$A$6:$ZZ$1048576"), MATCH(Y$1, SepR!$6:$6, 0), FALSE),
            0
        ) +
        IFERROR(
            VLOOKUP($A76, INDIRECT("OctR!$A$6:$ZZ$1048576"), MATCH(Y$1, OctR!$6:$6, 0), FALSE),
            0
        ) +
        IFERROR(
            VLOOKUP($A76, INDIRECT("NovR!$A$6:$ZZ$1048576"), MATCH(Y$1, NovR!$6:$6, 0), FALSE),
            0
        ) +
        IFERROR(
            VLOOKUP($A76, INDIRECT("DicR!$A$6:$ZZ$1048576"), MATCH(Y$1, DicR!$6:$6, 0), FALSE),
            0
        )
)</f>
        <v>0</v>
      </c>
      <c r="Z76" s="36">
        <f t="array" ref="Z76">SUM(
    IFERROR(
            VLOOKUP($A76, INDIRECT("EneR!$A$6:$ZZ$1048576"), MATCH(Z$1, EneR!$6:$6, 0), FALSE),
            0
        ) +
        IFERROR(
            VLOOKUP($A76, INDIRECT("FebR!$A$6:$ZZ$1048576"), MATCH(Z$1, FebR!$6:$6, 0), FALSE),
            0
        ) +
        IFERROR(
            VLOOKUP($A76, INDIRECT("MarR!$A$6:$ZZ$1048576"), MATCH(Z$1, MarR!$6:$6, 0), FALSE),
            0
        ) +
        IFERROR(
            VLOOKUP($A76, INDIRECT("AbrR!$A$6:$ZZ$1048576"), MATCH(Z$1, AbrR!$6:$6, 0), FALSE),
            0
        ) +
        IFERROR(
            VLOOKUP($A76, INDIRECT("MayR!$A$6:$ZZ$1048576"), MATCH(Z$1, MayR!$6:$6, 0), FALSE),
            0
        ) +
        IFERROR(
            VLOOKUP($A76, INDIRECT("JunR!$A$6:$ZZ$1048576"), MATCH(Z$1, JunR!$6:$6, 0), FALSE),
            0
        ) +
        IFERROR(
            VLOOKUP($A76, INDIRECT("JulR!$A$6:$ZZ$1048576"), MATCH(Z$1, JulR!$6:$6, 0), FALSE),
            0
        ) +
        IFERROR(
            VLOOKUP($A76, INDIRECT("AgoR!$A$6:$ZZ$1048576"), MATCH(Z$1, AgoR!$6:$6, 0), FALSE),
            0
        ) +
        IFERROR(
            VLOOKUP($A76, INDIRECT("SepR!$A$6:$ZZ$1048576"), MATCH(Z$1, SepR!$6:$6, 0), FALSE),
            0
        ) +
        IFERROR(
            VLOOKUP($A76, INDIRECT("OctR!$A$6:$ZZ$1048576"), MATCH(Z$1, OctR!$6:$6, 0), FALSE),
            0
        ) +
        IFERROR(
            VLOOKUP($A76, INDIRECT("NovR!$A$6:$ZZ$1048576"), MATCH(Z$1, NovR!$6:$6, 0), FALSE),
            0
        ) +
        IFERROR(
            VLOOKUP($A76, INDIRECT("DicR!$A$6:$ZZ$1048576"), MATCH(Z$1, DicR!$6:$6, 0), FALSE),
            0
        )
)</f>
        <v>0</v>
      </c>
      <c r="AA76" s="37">
        <f t="array" ref="AA76">SUM(
    IFERROR(
            VLOOKUP($A76, INDIRECT("EneR!$A$6:$ZZ$1048576"), MATCH(AA$1, EneR!$6:$6, 0), FALSE),
            0
        ) +
        IFERROR(
            VLOOKUP($A76, INDIRECT("FebR!$A$6:$ZZ$1048576"), MATCH(AA$1, FebR!$6:$6, 0), FALSE),
            0
        ) +
        IFERROR(
            VLOOKUP($A76, INDIRECT("MarR!$A$6:$ZZ$1048576"), MATCH(AA$1, MarR!$6:$6, 0), FALSE),
            0
        ) +
        IFERROR(
            VLOOKUP($A76, INDIRECT("AbrR!$A$6:$ZZ$1048576"), MATCH(AA$1, AbrR!$6:$6, 0), FALSE),
            0
        ) +
        IFERROR(
            VLOOKUP($A76, INDIRECT("MayR!$A$6:$ZZ$1048576"), MATCH(AA$1, MayR!$6:$6, 0), FALSE),
            0
        ) +
        IFERROR(
            VLOOKUP($A76, INDIRECT("JunR!$A$6:$ZZ$1048576"), MATCH(AA$1, JunR!$6:$6, 0), FALSE),
            0
        ) +
        IFERROR(
            VLOOKUP($A76, INDIRECT("JulR!$A$6:$ZZ$1048576"), MATCH(AA$1, JulR!$6:$6, 0), FALSE),
            0
        ) +
        IFERROR(
            VLOOKUP($A76, INDIRECT("AgoR!$A$6:$ZZ$1048576"), MATCH(AA$1, AgoR!$6:$6, 0), FALSE),
            0
        ) +
        IFERROR(
            VLOOKUP($A76, INDIRECT("SepR!$A$6:$ZZ$1048576"), MATCH(AA$1, SepR!$6:$6, 0), FALSE),
            0
        ) +
        IFERROR(
            VLOOKUP($A76, INDIRECT("OctR!$A$6:$ZZ$1048576"), MATCH(AA$1, OctR!$6:$6, 0), FALSE),
            0
        ) +
        IFERROR(
            VLOOKUP($A76, INDIRECT("NovR!$A$6:$ZZ$1048576"), MATCH(AA$1, NovR!$6:$6, 0), FALSE),
            0
        ) +
        IFERROR(
            VLOOKUP($A76, INDIRECT("DicR!$A$6:$ZZ$1048576"), MATCH(AA$1, DicR!$6:$6, 0), FALSE),
            0
        )
)</f>
        <v>0</v>
      </c>
      <c r="AB76" s="36">
        <f t="array" ref="AB76">SUM(
    IFERROR(
            VLOOKUP($A76, INDIRECT("EneR!$A$6:$ZZ$1048576"), MATCH(AB$1, EneR!$6:$6, 0), FALSE),
            0
        ) +
        IFERROR(
            VLOOKUP($A76, INDIRECT("FebR!$A$6:$ZZ$1048576"), MATCH(AB$1, FebR!$6:$6, 0), FALSE),
            0
        ) +
        IFERROR(
            VLOOKUP($A76, INDIRECT("MarR!$A$6:$ZZ$1048576"), MATCH(AB$1, MarR!$6:$6, 0), FALSE),
            0
        ) +
        IFERROR(
            VLOOKUP($A76, INDIRECT("AbrR!$A$6:$ZZ$1048576"), MATCH(AB$1, AbrR!$6:$6, 0), FALSE),
            0
        ) +
        IFERROR(
            VLOOKUP($A76, INDIRECT("MayR!$A$6:$ZZ$1048576"), MATCH(AB$1, MayR!$6:$6, 0), FALSE),
            0
        ) +
        IFERROR(
            VLOOKUP($A76, INDIRECT("JunR!$A$6:$ZZ$1048576"), MATCH(AB$1, JunR!$6:$6, 0), FALSE),
            0
        ) +
        IFERROR(
            VLOOKUP($A76, INDIRECT("JulR!$A$6:$ZZ$1048576"), MATCH(AB$1, JulR!$6:$6, 0), FALSE),
            0
        ) +
        IFERROR(
            VLOOKUP($A76, INDIRECT("AgoR!$A$6:$ZZ$1048576"), MATCH(AB$1, AgoR!$6:$6, 0), FALSE),
            0
        ) +
        IFERROR(
            VLOOKUP($A76, INDIRECT("SepR!$A$6:$ZZ$1048576"), MATCH(AB$1, SepR!$6:$6, 0), FALSE),
            0
        ) +
        IFERROR(
            VLOOKUP($A76, INDIRECT("OctR!$A$6:$ZZ$1048576"), MATCH(AB$1, OctR!$6:$6, 0), FALSE),
            0
        ) +
        IFERROR(
            VLOOKUP($A76, INDIRECT("NovR!$A$6:$ZZ$1048576"), MATCH(AB$1, NovR!$6:$6, 0), FALSE),
            0
        ) +
        IFERROR(
            VLOOKUP($A76, INDIRECT("DicR!$A$6:$ZZ$1048576"), MATCH(AB$1, DicR!$6:$6, 0), FALSE),
            0
        )
)</f>
        <v>0</v>
      </c>
      <c r="AC76" s="37">
        <f t="array" ref="AC76">SUM(
    IFERROR(
            VLOOKUP($A76, INDIRECT("EneR!$A$6:$ZZ$1048576"), MATCH(AC$1, EneR!$6:$6, 0), FALSE),
            0
        ) +
        IFERROR(
            VLOOKUP($A76, INDIRECT("FebR!$A$6:$ZZ$1048576"), MATCH(AC$1, FebR!$6:$6, 0), FALSE),
            0
        ) +
        IFERROR(
            VLOOKUP($A76, INDIRECT("MarR!$A$6:$ZZ$1048576"), MATCH(AC$1, MarR!$6:$6, 0), FALSE),
            0
        ) +
        IFERROR(
            VLOOKUP($A76, INDIRECT("AbrR!$A$6:$ZZ$1048576"), MATCH(AC$1, AbrR!$6:$6, 0), FALSE),
            0
        ) +
        IFERROR(
            VLOOKUP($A76, INDIRECT("MayR!$A$6:$ZZ$1048576"), MATCH(AC$1, MayR!$6:$6, 0), FALSE),
            0
        ) +
        IFERROR(
            VLOOKUP($A76, INDIRECT("JunR!$A$6:$ZZ$1048576"), MATCH(AC$1, JunR!$6:$6, 0), FALSE),
            0
        ) +
        IFERROR(
            VLOOKUP($A76, INDIRECT("JulR!$A$6:$ZZ$1048576"), MATCH(AC$1, JulR!$6:$6, 0), FALSE),
            0
        ) +
        IFERROR(
            VLOOKUP($A76, INDIRECT("AgoR!$A$6:$ZZ$1048576"), MATCH(AC$1, AgoR!$6:$6, 0), FALSE),
            0
        ) +
        IFERROR(
            VLOOKUP($A76, INDIRECT("SepR!$A$6:$ZZ$1048576"), MATCH(AC$1, SepR!$6:$6, 0), FALSE),
            0
        ) +
        IFERROR(
            VLOOKUP($A76, INDIRECT("OctR!$A$6:$ZZ$1048576"), MATCH(AC$1, OctR!$6:$6, 0), FALSE),
            0
        ) +
        IFERROR(
            VLOOKUP($A76, INDIRECT("NovR!$A$6:$ZZ$1048576"), MATCH(AC$1, NovR!$6:$6, 0), FALSE),
            0
        ) +
        IFERROR(
            VLOOKUP($A76, INDIRECT("DicR!$A$6:$ZZ$1048576"), MATCH(AC$1, DicR!$6:$6, 0), FALSE),
            0
        )
)</f>
        <v>0</v>
      </c>
      <c r="AD76" s="36">
        <f t="array" ref="AD76">SUM(
    IFERROR(
            VLOOKUP($A76, INDIRECT("EneR!$A$6:$ZZ$1048576"), MATCH(AD$1, EneR!$6:$6, 0), FALSE),
            0
        ) +
        IFERROR(
            VLOOKUP($A76, INDIRECT("FebR!$A$6:$ZZ$1048576"), MATCH(AD$1, FebR!$6:$6, 0), FALSE),
            0
        ) +
        IFERROR(
            VLOOKUP($A76, INDIRECT("MarR!$A$6:$ZZ$1048576"), MATCH(AD$1, MarR!$6:$6, 0), FALSE),
            0
        ) +
        IFERROR(
            VLOOKUP($A76, INDIRECT("AbrR!$A$6:$ZZ$1048576"), MATCH(AD$1, AbrR!$6:$6, 0), FALSE),
            0
        ) +
        IFERROR(
            VLOOKUP($A76, INDIRECT("MayR!$A$6:$ZZ$1048576"), MATCH(AD$1, MayR!$6:$6, 0), FALSE),
            0
        ) +
        IFERROR(
            VLOOKUP($A76, INDIRECT("JunR!$A$6:$ZZ$1048576"), MATCH(AD$1, JunR!$6:$6, 0), FALSE),
            0
        ) +
        IFERROR(
            VLOOKUP($A76, INDIRECT("JulR!$A$6:$ZZ$1048576"), MATCH(AD$1, JulR!$6:$6, 0), FALSE),
            0
        ) +
        IFERROR(
            VLOOKUP($A76, INDIRECT("AgoR!$A$6:$ZZ$1048576"), MATCH(AD$1, AgoR!$6:$6, 0), FALSE),
            0
        ) +
        IFERROR(
            VLOOKUP($A76, INDIRECT("SepR!$A$6:$ZZ$1048576"), MATCH(AD$1, SepR!$6:$6, 0), FALSE),
            0
        ) +
        IFERROR(
            VLOOKUP($A76, INDIRECT("OctR!$A$6:$ZZ$1048576"), MATCH(AD$1, OctR!$6:$6, 0), FALSE),
            0
        ) +
        IFERROR(
            VLOOKUP($A76, INDIRECT("NovR!$A$6:$ZZ$1048576"), MATCH(AD$1, NovR!$6:$6, 0), FALSE),
            0
        ) +
        IFERROR(
            VLOOKUP($A76, INDIRECT("DicR!$A$6:$ZZ$1048576"), MATCH(AD$1, DicR!$6:$6, 0), FALSE),
            0
        )
)</f>
        <v>0</v>
      </c>
      <c r="AE76" s="37">
        <f t="array" ref="AE76">SUM(
    IFERROR(
            VLOOKUP($A76, INDIRECT("EneR!$A$6:$ZZ$1048576"), MATCH(AE$1, EneR!$6:$6, 0), FALSE),
            0
        ) +
        IFERROR(
            VLOOKUP($A76, INDIRECT("FebR!$A$6:$ZZ$1048576"), MATCH(AE$1, FebR!$6:$6, 0), FALSE),
            0
        ) +
        IFERROR(
            VLOOKUP($A76, INDIRECT("MarR!$A$6:$ZZ$1048576"), MATCH(AE$1, MarR!$6:$6, 0), FALSE),
            0
        ) +
        IFERROR(
            VLOOKUP($A76, INDIRECT("AbrR!$A$6:$ZZ$1048576"), MATCH(AE$1, AbrR!$6:$6, 0), FALSE),
            0
        ) +
        IFERROR(
            VLOOKUP($A76, INDIRECT("MayR!$A$6:$ZZ$1048576"), MATCH(AE$1, MayR!$6:$6, 0), FALSE),
            0
        ) +
        IFERROR(
            VLOOKUP($A76, INDIRECT("JunR!$A$6:$ZZ$1048576"), MATCH(AE$1, JunR!$6:$6, 0), FALSE),
            0
        ) +
        IFERROR(
            VLOOKUP($A76, INDIRECT("JulR!$A$6:$ZZ$1048576"), MATCH(AE$1, JulR!$6:$6, 0), FALSE),
            0
        ) +
        IFERROR(
            VLOOKUP($A76, INDIRECT("AgoR!$A$6:$ZZ$1048576"), MATCH(AE$1, AgoR!$6:$6, 0), FALSE),
            0
        ) +
        IFERROR(
            VLOOKUP($A76, INDIRECT("SepR!$A$6:$ZZ$1048576"), MATCH(AE$1, SepR!$6:$6, 0), FALSE),
            0
        ) +
        IFERROR(
            VLOOKUP($A76, INDIRECT("OctR!$A$6:$ZZ$1048576"), MATCH(AE$1, OctR!$6:$6, 0), FALSE),
            0
        ) +
        IFERROR(
            VLOOKUP($A76, INDIRECT("NovR!$A$6:$ZZ$1048576"), MATCH(AE$1, NovR!$6:$6, 0), FALSE),
            0
        ) +
        IFERROR(
            VLOOKUP($A76, INDIRECT("DicR!$A$6:$ZZ$1048576"), MATCH(AE$1, DicR!$6:$6, 0), FALSE),
            0
        )
)</f>
        <v>0</v>
      </c>
      <c r="AF76" s="36">
        <f t="array" ref="AF76">SUM(
    IFERROR(
            VLOOKUP($A76, INDIRECT("EneR!$A$6:$ZZ$1048576"), MATCH(AF$1, EneR!$6:$6, 0), FALSE),
            0
        ) +
        IFERROR(
            VLOOKUP($A76, INDIRECT("FebR!$A$6:$ZZ$1048576"), MATCH(AF$1, FebR!$6:$6, 0), FALSE),
            0
        ) +
        IFERROR(
            VLOOKUP($A76, INDIRECT("MarR!$A$6:$ZZ$1048576"), MATCH(AF$1, MarR!$6:$6, 0), FALSE),
            0
        ) +
        IFERROR(
            VLOOKUP($A76, INDIRECT("AbrR!$A$6:$ZZ$1048576"), MATCH(AF$1, AbrR!$6:$6, 0), FALSE),
            0
        ) +
        IFERROR(
            VLOOKUP($A76, INDIRECT("MayR!$A$6:$ZZ$1048576"), MATCH(AF$1, MayR!$6:$6, 0), FALSE),
            0
        ) +
        IFERROR(
            VLOOKUP($A76, INDIRECT("JunR!$A$6:$ZZ$1048576"), MATCH(AF$1, JunR!$6:$6, 0), FALSE),
            0
        ) +
        IFERROR(
            VLOOKUP($A76, INDIRECT("JulR!$A$6:$ZZ$1048576"), MATCH(AF$1, JulR!$6:$6, 0), FALSE),
            0
        ) +
        IFERROR(
            VLOOKUP($A76, INDIRECT("AgoR!$A$6:$ZZ$1048576"), MATCH(AF$1, AgoR!$6:$6, 0), FALSE),
            0
        ) +
        IFERROR(
            VLOOKUP($A76, INDIRECT("SepR!$A$6:$ZZ$1048576"), MATCH(AF$1, SepR!$6:$6, 0), FALSE),
            0
        ) +
        IFERROR(
            VLOOKUP($A76, INDIRECT("OctR!$A$6:$ZZ$1048576"), MATCH(AF$1, OctR!$6:$6, 0), FALSE),
            0
        ) +
        IFERROR(
            VLOOKUP($A76, INDIRECT("NovR!$A$6:$ZZ$1048576"), MATCH(AF$1, NovR!$6:$6, 0), FALSE),
            0
        ) +
        IFERROR(
            VLOOKUP($A76, INDIRECT("DicR!$A$6:$ZZ$1048576"), MATCH(AF$1, DicR!$6:$6, 0), FALSE),
            0
        )
)</f>
        <v>0</v>
      </c>
      <c r="AG76" s="37">
        <f t="array" ref="AG76">SUM(
    IFERROR(
            VLOOKUP($A76, INDIRECT("EneR!$A$6:$ZZ$1048576"), MATCH(AG$1, EneR!$6:$6, 0), FALSE),
            0
        ) +
        IFERROR(
            VLOOKUP($A76, INDIRECT("FebR!$A$6:$ZZ$1048576"), MATCH(AG$1, FebR!$6:$6, 0), FALSE),
            0
        ) +
        IFERROR(
            VLOOKUP($A76, INDIRECT("MarR!$A$6:$ZZ$1048576"), MATCH(AG$1, MarR!$6:$6, 0), FALSE),
            0
        ) +
        IFERROR(
            VLOOKUP($A76, INDIRECT("AbrR!$A$6:$ZZ$1048576"), MATCH(AG$1, AbrR!$6:$6, 0), FALSE),
            0
        ) +
        IFERROR(
            VLOOKUP($A76, INDIRECT("MayR!$A$6:$ZZ$1048576"), MATCH(AG$1, MayR!$6:$6, 0), FALSE),
            0
        ) +
        IFERROR(
            VLOOKUP($A76, INDIRECT("JunR!$A$6:$ZZ$1048576"), MATCH(AG$1, JunR!$6:$6, 0), FALSE),
            0
        ) +
        IFERROR(
            VLOOKUP($A76, INDIRECT("JulR!$A$6:$ZZ$1048576"), MATCH(AG$1, JulR!$6:$6, 0), FALSE),
            0
        ) +
        IFERROR(
            VLOOKUP($A76, INDIRECT("AgoR!$A$6:$ZZ$1048576"), MATCH(AG$1, AgoR!$6:$6, 0), FALSE),
            0
        ) +
        IFERROR(
            VLOOKUP($A76, INDIRECT("SepR!$A$6:$ZZ$1048576"), MATCH(AG$1, SepR!$6:$6, 0), FALSE),
            0
        ) +
        IFERROR(
            VLOOKUP($A76, INDIRECT("OctR!$A$6:$ZZ$1048576"), MATCH(AG$1, OctR!$6:$6, 0), FALSE),
            0
        ) +
        IFERROR(
            VLOOKUP($A76, INDIRECT("NovR!$A$6:$ZZ$1048576"), MATCH(AG$1, NovR!$6:$6, 0), FALSE),
            0
        ) +
        IFERROR(
            VLOOKUP($A76, INDIRECT("DicR!$A$6:$ZZ$1048576"), MATCH(AG$1, DicR!$6:$6, 0), FALSE),
            0
        )
)</f>
        <v>0</v>
      </c>
      <c r="AH76" s="36">
        <f t="array" ref="AH76">SUM(
    IFERROR(
            VLOOKUP($A76, INDIRECT("EneR!$A$6:$ZZ$1048576"), MATCH(AH$1, EneR!$6:$6, 0), FALSE),
            0
        ) +
        IFERROR(
            VLOOKUP($A76, INDIRECT("FebR!$A$6:$ZZ$1048576"), MATCH(AH$1, FebR!$6:$6, 0), FALSE),
            0
        ) +
        IFERROR(
            VLOOKUP($A76, INDIRECT("MarR!$A$6:$ZZ$1048576"), MATCH(AH$1, MarR!$6:$6, 0), FALSE),
            0
        ) +
        IFERROR(
            VLOOKUP($A76, INDIRECT("AbrR!$A$6:$ZZ$1048576"), MATCH(AH$1, AbrR!$6:$6, 0), FALSE),
            0
        ) +
        IFERROR(
            VLOOKUP($A76, INDIRECT("MayR!$A$6:$ZZ$1048576"), MATCH(AH$1, MayR!$6:$6, 0), FALSE),
            0
        ) +
        IFERROR(
            VLOOKUP($A76, INDIRECT("JunR!$A$6:$ZZ$1048576"), MATCH(AH$1, JunR!$6:$6, 0), FALSE),
            0
        ) +
        IFERROR(
            VLOOKUP($A76, INDIRECT("JulR!$A$6:$ZZ$1048576"), MATCH(AH$1, JulR!$6:$6, 0), FALSE),
            0
        ) +
        IFERROR(
            VLOOKUP($A76, INDIRECT("AgoR!$A$6:$ZZ$1048576"), MATCH(AH$1, AgoR!$6:$6, 0), FALSE),
            0
        ) +
        IFERROR(
            VLOOKUP($A76, INDIRECT("SepR!$A$6:$ZZ$1048576"), MATCH(AH$1, SepR!$6:$6, 0), FALSE),
            0
        ) +
        IFERROR(
            VLOOKUP($A76, INDIRECT("OctR!$A$6:$ZZ$1048576"), MATCH(AH$1, OctR!$6:$6, 0), FALSE),
            0
        ) +
        IFERROR(
            VLOOKUP($A76, INDIRECT("NovR!$A$6:$ZZ$1048576"), MATCH(AH$1, NovR!$6:$6, 0), FALSE),
            0
        ) +
        IFERROR(
            VLOOKUP($A76, INDIRECT("DicR!$A$6:$ZZ$1048576"), MATCH(AH$1, DicR!$6:$6, 0), FALSE),
            0
        )
)</f>
        <v>0</v>
      </c>
      <c r="AI76" s="37">
        <f t="array" ref="AI76">SUM(
    IFERROR(
            VLOOKUP($A76, INDIRECT("EneR!$A$6:$ZZ$1048576"), MATCH(AI$1, EneR!$6:$6, 0), FALSE),
            0
        ) +
        IFERROR(
            VLOOKUP($A76, INDIRECT("FebR!$A$6:$ZZ$1048576"), MATCH(AI$1, FebR!$6:$6, 0), FALSE),
            0
        ) +
        IFERROR(
            VLOOKUP($A76, INDIRECT("MarR!$A$6:$ZZ$1048576"), MATCH(AI$1, MarR!$6:$6, 0), FALSE),
            0
        ) +
        IFERROR(
            VLOOKUP($A76, INDIRECT("AbrR!$A$6:$ZZ$1048576"), MATCH(AI$1, AbrR!$6:$6, 0), FALSE),
            0
        ) +
        IFERROR(
            VLOOKUP($A76, INDIRECT("MayR!$A$6:$ZZ$1048576"), MATCH(AI$1, MayR!$6:$6, 0), FALSE),
            0
        ) +
        IFERROR(
            VLOOKUP($A76, INDIRECT("JunR!$A$6:$ZZ$1048576"), MATCH(AI$1, JunR!$6:$6, 0), FALSE),
            0
        ) +
        IFERROR(
            VLOOKUP($A76, INDIRECT("JulR!$A$6:$ZZ$1048576"), MATCH(AI$1, JulR!$6:$6, 0), FALSE),
            0
        ) +
        IFERROR(
            VLOOKUP($A76, INDIRECT("AgoR!$A$6:$ZZ$1048576"), MATCH(AI$1, AgoR!$6:$6, 0), FALSE),
            0
        ) +
        IFERROR(
            VLOOKUP($A76, INDIRECT("SepR!$A$6:$ZZ$1048576"), MATCH(AI$1, SepR!$6:$6, 0), FALSE),
            0
        ) +
        IFERROR(
            VLOOKUP($A76, INDIRECT("OctR!$A$6:$ZZ$1048576"), MATCH(AI$1, OctR!$6:$6, 0), FALSE),
            0
        ) +
        IFERROR(
            VLOOKUP($A76, INDIRECT("NovR!$A$6:$ZZ$1048576"), MATCH(AI$1, NovR!$6:$6, 0), FALSE),
            0
        ) +
        IFERROR(
            VLOOKUP($A76, INDIRECT("DicR!$A$6:$ZZ$1048576"), MATCH(AI$1, DicR!$6:$6, 0), FALSE),
            0
        )
)</f>
        <v>0</v>
      </c>
      <c r="AJ76" s="36">
        <f t="array" ref="AJ76">SUM(
    IFERROR(
            VLOOKUP($A76, INDIRECT("EneR!$A$6:$ZZ$1048576"), MATCH(AJ$1, EneR!$6:$6, 0), FALSE),
            0
        ) +
        IFERROR(
            VLOOKUP($A76, INDIRECT("FebR!$A$6:$ZZ$1048576"), MATCH(AJ$1, FebR!$6:$6, 0), FALSE),
            0
        ) +
        IFERROR(
            VLOOKUP($A76, INDIRECT("MarR!$A$6:$ZZ$1048576"), MATCH(AJ$1, MarR!$6:$6, 0), FALSE),
            0
        ) +
        IFERROR(
            VLOOKUP($A76, INDIRECT("AbrR!$A$6:$ZZ$1048576"), MATCH(AJ$1, AbrR!$6:$6, 0), FALSE),
            0
        ) +
        IFERROR(
            VLOOKUP($A76, INDIRECT("MayR!$A$6:$ZZ$1048576"), MATCH(AJ$1, MayR!$6:$6, 0), FALSE),
            0
        ) +
        IFERROR(
            VLOOKUP($A76, INDIRECT("JunR!$A$6:$ZZ$1048576"), MATCH(AJ$1, JunR!$6:$6, 0), FALSE),
            0
        ) +
        IFERROR(
            VLOOKUP($A76, INDIRECT("JulR!$A$6:$ZZ$1048576"), MATCH(AJ$1, JulR!$6:$6, 0), FALSE),
            0
        ) +
        IFERROR(
            VLOOKUP($A76, INDIRECT("AgoR!$A$6:$ZZ$1048576"), MATCH(AJ$1, AgoR!$6:$6, 0), FALSE),
            0
        ) +
        IFERROR(
            VLOOKUP($A76, INDIRECT("SepR!$A$6:$ZZ$1048576"), MATCH(AJ$1, SepR!$6:$6, 0), FALSE),
            0
        ) +
        IFERROR(
            VLOOKUP($A76, INDIRECT("OctR!$A$6:$ZZ$1048576"), MATCH(AJ$1, OctR!$6:$6, 0), FALSE),
            0
        ) +
        IFERROR(
            VLOOKUP($A76, INDIRECT("NovR!$A$6:$ZZ$1048576"), MATCH(AJ$1, NovR!$6:$6, 0), FALSE),
            0
        ) +
        IFERROR(
            VLOOKUP($A76, INDIRECT("DicR!$A$6:$ZZ$1048576"), MATCH(AJ$1, DicR!$6:$6, 0), FALSE),
            0
        )
)</f>
        <v>0</v>
      </c>
      <c r="AK76" s="37">
        <f t="array" ref="AK76">SUM(
    IFERROR(
            VLOOKUP($A76, INDIRECT("EneR!$A$6:$ZZ$1048576"), MATCH(AK$1, EneR!$6:$6, 0), FALSE),
            0
        ) +
        IFERROR(
            VLOOKUP($A76, INDIRECT("FebR!$A$6:$ZZ$1048576"), MATCH(AK$1, FebR!$6:$6, 0), FALSE),
            0
        ) +
        IFERROR(
            VLOOKUP($A76, INDIRECT("MarR!$A$6:$ZZ$1048576"), MATCH(AK$1, MarR!$6:$6, 0), FALSE),
            0
        ) +
        IFERROR(
            VLOOKUP($A76, INDIRECT("AbrR!$A$6:$ZZ$1048576"), MATCH(AK$1, AbrR!$6:$6, 0), FALSE),
            0
        ) +
        IFERROR(
            VLOOKUP($A76, INDIRECT("MayR!$A$6:$ZZ$1048576"), MATCH(AK$1, MayR!$6:$6, 0), FALSE),
            0
        ) +
        IFERROR(
            VLOOKUP($A76, INDIRECT("JunR!$A$6:$ZZ$1048576"), MATCH(AK$1, JunR!$6:$6, 0), FALSE),
            0
        ) +
        IFERROR(
            VLOOKUP($A76, INDIRECT("JulR!$A$6:$ZZ$1048576"), MATCH(AK$1, JulR!$6:$6, 0), FALSE),
            0
        ) +
        IFERROR(
            VLOOKUP($A76, INDIRECT("AgoR!$A$6:$ZZ$1048576"), MATCH(AK$1, AgoR!$6:$6, 0), FALSE),
            0
        ) +
        IFERROR(
            VLOOKUP($A76, INDIRECT("SepR!$A$6:$ZZ$1048576"), MATCH(AK$1, SepR!$6:$6, 0), FALSE),
            0
        ) +
        IFERROR(
            VLOOKUP($A76, INDIRECT("OctR!$A$6:$ZZ$1048576"), MATCH(AK$1, OctR!$6:$6, 0), FALSE),
            0
        ) +
        IFERROR(
            VLOOKUP($A76, INDIRECT("NovR!$A$6:$ZZ$1048576"), MATCH(AK$1, NovR!$6:$6, 0), FALSE),
            0
        ) +
        IFERROR(
            VLOOKUP($A76, INDIRECT("DicR!$A$6:$ZZ$1048576"), MATCH(AK$1, DicR!$6:$6, 0), FALSE),
            0
        )
)</f>
        <v>0</v>
      </c>
      <c r="AL76" s="36">
        <f t="array" ref="AL76">SUM(
    IFERROR(
            VLOOKUP($A76, INDIRECT("EneR!$A$6:$ZZ$1048576"), MATCH(AL$1, EneR!$6:$6, 0), FALSE),
            0
        ) +
        IFERROR(
            VLOOKUP($A76, INDIRECT("FebR!$A$6:$ZZ$1048576"), MATCH(AL$1, FebR!$6:$6, 0), FALSE),
            0
        ) +
        IFERROR(
            VLOOKUP($A76, INDIRECT("MarR!$A$6:$ZZ$1048576"), MATCH(AL$1, MarR!$6:$6, 0), FALSE),
            0
        ) +
        IFERROR(
            VLOOKUP($A76, INDIRECT("AbrR!$A$6:$ZZ$1048576"), MATCH(AL$1, AbrR!$6:$6, 0), FALSE),
            0
        ) +
        IFERROR(
            VLOOKUP($A76, INDIRECT("MayR!$A$6:$ZZ$1048576"), MATCH(AL$1, MayR!$6:$6, 0), FALSE),
            0
        ) +
        IFERROR(
            VLOOKUP($A76, INDIRECT("JunR!$A$6:$ZZ$1048576"), MATCH(AL$1, JunR!$6:$6, 0), FALSE),
            0
        ) +
        IFERROR(
            VLOOKUP($A76, INDIRECT("JulR!$A$6:$ZZ$1048576"), MATCH(AL$1, JulR!$6:$6, 0), FALSE),
            0
        ) +
        IFERROR(
            VLOOKUP($A76, INDIRECT("AgoR!$A$6:$ZZ$1048576"), MATCH(AL$1, AgoR!$6:$6, 0), FALSE),
            0
        ) +
        IFERROR(
            VLOOKUP($A76, INDIRECT("SepR!$A$6:$ZZ$1048576"), MATCH(AL$1, SepR!$6:$6, 0), FALSE),
            0
        ) +
        IFERROR(
            VLOOKUP($A76, INDIRECT("OctR!$A$6:$ZZ$1048576"), MATCH(AL$1, OctR!$6:$6, 0), FALSE),
            0
        ) +
        IFERROR(
            VLOOKUP($A76, INDIRECT("NovR!$A$6:$ZZ$1048576"), MATCH(AL$1, NovR!$6:$6, 0), FALSE),
            0
        ) +
        IFERROR(
            VLOOKUP($A76, INDIRECT("DicR!$A$6:$ZZ$1048576"), MATCH(AL$1, DicR!$6:$6, 0), FALSE),
            0
        )
)</f>
        <v>0</v>
      </c>
      <c r="AM76" s="37">
        <f t="array" ref="AM76">SUM(
    IFERROR(
            VLOOKUP($A76, INDIRECT("EneR!$A$6:$ZZ$1048576"), MATCH(AM$1, EneR!$6:$6, 0), FALSE),
            0
        ) +
        IFERROR(
            VLOOKUP($A76, INDIRECT("FebR!$A$6:$ZZ$1048576"), MATCH(AM$1, FebR!$6:$6, 0), FALSE),
            0
        ) +
        IFERROR(
            VLOOKUP($A76, INDIRECT("MarR!$A$6:$ZZ$1048576"), MATCH(AM$1, MarR!$6:$6, 0), FALSE),
            0
        ) +
        IFERROR(
            VLOOKUP($A76, INDIRECT("AbrR!$A$6:$ZZ$1048576"), MATCH(AM$1, AbrR!$6:$6, 0), FALSE),
            0
        ) +
        IFERROR(
            VLOOKUP($A76, INDIRECT("MayR!$A$6:$ZZ$1048576"), MATCH(AM$1, MayR!$6:$6, 0), FALSE),
            0
        ) +
        IFERROR(
            VLOOKUP($A76, INDIRECT("JunR!$A$6:$ZZ$1048576"), MATCH(AM$1, JunR!$6:$6, 0), FALSE),
            0
        ) +
        IFERROR(
            VLOOKUP($A76, INDIRECT("JulR!$A$6:$ZZ$1048576"), MATCH(AM$1, JulR!$6:$6, 0), FALSE),
            0
        ) +
        IFERROR(
            VLOOKUP($A76, INDIRECT("AgoR!$A$6:$ZZ$1048576"), MATCH(AM$1, AgoR!$6:$6, 0), FALSE),
            0
        ) +
        IFERROR(
            VLOOKUP($A76, INDIRECT("SepR!$A$6:$ZZ$1048576"), MATCH(AM$1, SepR!$6:$6, 0), FALSE),
            0
        ) +
        IFERROR(
            VLOOKUP($A76, INDIRECT("OctR!$A$6:$ZZ$1048576"), MATCH(AM$1, OctR!$6:$6, 0), FALSE),
            0
        ) +
        IFERROR(
            VLOOKUP($A76, INDIRECT("NovR!$A$6:$ZZ$1048576"), MATCH(AM$1, NovR!$6:$6, 0), FALSE),
            0
        ) +
        IFERROR(
            VLOOKUP($A76, INDIRECT("DicR!$A$6:$ZZ$1048576"), MATCH(AM$1, DicR!$6:$6, 0), FALSE),
            0
        )
)</f>
        <v>0</v>
      </c>
      <c r="AN76" s="32">
        <f t="array" ref="AN76">SUM(
    IFERROR(
            VLOOKUP($A76, INDIRECT("EneR!$A$6:$ZZ$1048576"), MATCH(AN$1, EneR!$6:$6, 0), FALSE),
            0
        ) +
        IFERROR(
            VLOOKUP($A76, INDIRECT("FebR!$A$6:$ZZ$1048576"), MATCH(AN$1, FebR!$6:$6, 0), FALSE),
            0
        ) +
        IFERROR(
            VLOOKUP($A76, INDIRECT("MarR!$A$6:$ZZ$1048576"), MATCH(AN$1, MarR!$6:$6, 0), FALSE),
            0
        ) +
        IFERROR(
            VLOOKUP($A76, INDIRECT("AbrR!$A$6:$ZZ$1048576"), MATCH(AN$1, AbrR!$6:$6, 0), FALSE),
            0
        ) +
        IFERROR(
            VLOOKUP($A76, INDIRECT("MayR!$A$6:$ZZ$1048576"), MATCH(AN$1, MayR!$6:$6, 0), FALSE),
            0
        ) +
        IFERROR(
            VLOOKUP($A76, INDIRECT("JunR!$A$6:$ZZ$1048576"), MATCH(AN$1, JunR!$6:$6, 0), FALSE),
            0
        ) +
        IFERROR(
            VLOOKUP($A76, INDIRECT("JulR!$A$6:$ZZ$1048576"), MATCH(AN$1, JulR!$6:$6, 0), FALSE),
            0
        ) +
        IFERROR(
            VLOOKUP($A76, INDIRECT("AgoR!$A$6:$ZZ$1048576"), MATCH(AN$1, AgoR!$6:$6, 0), FALSE),
            0
        ) +
        IFERROR(
            VLOOKUP($A76, INDIRECT("SepR!$A$6:$ZZ$1048576"), MATCH(AN$1, SepR!$6:$6, 0), FALSE),
            0
        ) +
        IFERROR(
            VLOOKUP($A76, INDIRECT("OctR!$A$6:$ZZ$1048576"), MATCH(AN$1, OctR!$6:$6, 0), FALSE),
            0
        ) +
        IFERROR(
            VLOOKUP($A76, INDIRECT("NovR!$A$6:$ZZ$1048576"), MATCH(AN$1, NovR!$6:$6, 0), FALSE),
            0
        ) +
        IFERROR(
            VLOOKUP($A76, INDIRECT("DicR!$A$6:$ZZ$1048576"), MATCH(AN$1, DicR!$6:$6, 0), FALSE),
            0
        )
)</f>
        <v>0</v>
      </c>
      <c r="AO76" s="35">
        <f t="array" ref="AO76">SUM(
    IFERROR(
            VLOOKUP($A76, INDIRECT("EneR!$A$6:$ZZ$1048576"), MATCH(AO$1, EneR!$6:$6, 0), FALSE),
            0
        ) +
        IFERROR(
            VLOOKUP($A76, INDIRECT("FebR!$A$6:$ZZ$1048576"), MATCH(AO$1, FebR!$6:$6, 0), FALSE),
            0
        ) +
        IFERROR(
            VLOOKUP($A76, INDIRECT("MarR!$A$6:$ZZ$1048576"), MATCH(AO$1, MarR!$6:$6, 0), FALSE),
            0
        ) +
        IFERROR(
            VLOOKUP($A76, INDIRECT("AbrR!$A$6:$ZZ$1048576"), MATCH(AO$1, AbrR!$6:$6, 0), FALSE),
            0
        ) +
        IFERROR(
            VLOOKUP($A76, INDIRECT("MayR!$A$6:$ZZ$1048576"), MATCH(AO$1, MayR!$6:$6, 0), FALSE),
            0
        ) +
        IFERROR(
            VLOOKUP($A76, INDIRECT("JunR!$A$6:$ZZ$1048576"), MATCH(AO$1, JunR!$6:$6, 0), FALSE),
            0
        ) +
        IFERROR(
            VLOOKUP($A76, INDIRECT("JulR!$A$6:$ZZ$1048576"), MATCH(AO$1, JulR!$6:$6, 0), FALSE),
            0
        ) +
        IFERROR(
            VLOOKUP($A76, INDIRECT("AgoR!$A$6:$ZZ$1048576"), MATCH(AO$1, AgoR!$6:$6, 0), FALSE),
            0
        ) +
        IFERROR(
            VLOOKUP($A76, INDIRECT("SepR!$A$6:$ZZ$1048576"), MATCH(AO$1, SepR!$6:$6, 0), FALSE),
            0
        ) +
        IFERROR(
            VLOOKUP($A76, INDIRECT("OctR!$A$6:$ZZ$1048576"), MATCH(AO$1, OctR!$6:$6, 0), FALSE),
            0
        ) +
        IFERROR(
            VLOOKUP($A76, INDIRECT("NovR!$A$6:$ZZ$1048576"), MATCH(AO$1, NovR!$6:$6, 0), FALSE),
            0
        ) +
        IFERROR(
            VLOOKUP($A76, INDIRECT("DicR!$A$6:$ZZ$1048576"), MATCH(AO$1, DicR!$6:$6, 0), FALSE),
            0
        )
)</f>
        <v>0</v>
      </c>
      <c r="AP76" s="36">
        <f t="array" ref="AP76">SUM(
    IFERROR(
            VLOOKUP($A76, INDIRECT("EneR!$A$6:$ZZ$1048576"), MATCH(AP$1, EneR!$6:$6, 0), FALSE),
            0
        ) +
        IFERROR(
            VLOOKUP($A76, INDIRECT("FebR!$A$6:$ZZ$1048576"), MATCH(AP$1, FebR!$6:$6, 0), FALSE),
            0
        ) +
        IFERROR(
            VLOOKUP($A76, INDIRECT("MarR!$A$6:$ZZ$1048576"), MATCH(AP$1, MarR!$6:$6, 0), FALSE),
            0
        ) +
        IFERROR(
            VLOOKUP($A76, INDIRECT("AbrR!$A$6:$ZZ$1048576"), MATCH(AP$1, AbrR!$6:$6, 0), FALSE),
            0
        ) +
        IFERROR(
            VLOOKUP($A76, INDIRECT("MayR!$A$6:$ZZ$1048576"), MATCH(AP$1, MayR!$6:$6, 0), FALSE),
            0
        ) +
        IFERROR(
            VLOOKUP($A76, INDIRECT("JunR!$A$6:$ZZ$1048576"), MATCH(AP$1, JunR!$6:$6, 0), FALSE),
            0
        ) +
        IFERROR(
            VLOOKUP($A76, INDIRECT("JulR!$A$6:$ZZ$1048576"), MATCH(AP$1, JulR!$6:$6, 0), FALSE),
            0
        ) +
        IFERROR(
            VLOOKUP($A76, INDIRECT("AgoR!$A$6:$ZZ$1048576"), MATCH(AP$1, AgoR!$6:$6, 0), FALSE),
            0
        ) +
        IFERROR(
            VLOOKUP($A76, INDIRECT("SepR!$A$6:$ZZ$1048576"), MATCH(AP$1, SepR!$6:$6, 0), FALSE),
            0
        ) +
        IFERROR(
            VLOOKUP($A76, INDIRECT("OctR!$A$6:$ZZ$1048576"), MATCH(AP$1, OctR!$6:$6, 0), FALSE),
            0
        ) +
        IFERROR(
            VLOOKUP($A76, INDIRECT("NovR!$A$6:$ZZ$1048576"), MATCH(AP$1, NovR!$6:$6, 0), FALSE),
            0
        ) +
        IFERROR(
            VLOOKUP($A76, INDIRECT("DicR!$A$6:$ZZ$1048576"), MATCH(AP$1, DicR!$6:$6, 0), FALSE),
            0
        )
)</f>
        <v>0</v>
      </c>
      <c r="AQ76" s="35">
        <f t="array" ref="AQ76">SUM(
    IFERROR(
            VLOOKUP($A76, INDIRECT("EneR!$A$6:$ZZ$1048576"), MATCH(AQ$1, EneR!$6:$6, 0), FALSE),
            0
        ) +
        IFERROR(
            VLOOKUP($A76, INDIRECT("FebR!$A$6:$ZZ$1048576"), MATCH(AQ$1, FebR!$6:$6, 0), FALSE),
            0
        ) +
        IFERROR(
            VLOOKUP($A76, INDIRECT("MarR!$A$6:$ZZ$1048576"), MATCH(AQ$1, MarR!$6:$6, 0), FALSE),
            0
        ) +
        IFERROR(
            VLOOKUP($A76, INDIRECT("AbrR!$A$6:$ZZ$1048576"), MATCH(AQ$1, AbrR!$6:$6, 0), FALSE),
            0
        ) +
        IFERROR(
            VLOOKUP($A76, INDIRECT("MayR!$A$6:$ZZ$1048576"), MATCH(AQ$1, MayR!$6:$6, 0), FALSE),
            0
        ) +
        IFERROR(
            VLOOKUP($A76, INDIRECT("JunR!$A$6:$ZZ$1048576"), MATCH(AQ$1, JunR!$6:$6, 0), FALSE),
            0
        ) +
        IFERROR(
            VLOOKUP($A76, INDIRECT("JulR!$A$6:$ZZ$1048576"), MATCH(AQ$1, JulR!$6:$6, 0), FALSE),
            0
        ) +
        IFERROR(
            VLOOKUP($A76, INDIRECT("AgoR!$A$6:$ZZ$1048576"), MATCH(AQ$1, AgoR!$6:$6, 0), FALSE),
            0
        ) +
        IFERROR(
            VLOOKUP($A76, INDIRECT("SepR!$A$6:$ZZ$1048576"), MATCH(AQ$1, SepR!$6:$6, 0), FALSE),
            0
        ) +
        IFERROR(
            VLOOKUP($A76, INDIRECT("OctR!$A$6:$ZZ$1048576"), MATCH(AQ$1, OctR!$6:$6, 0), FALSE),
            0
        ) +
        IFERROR(
            VLOOKUP($A76, INDIRECT("NovR!$A$6:$ZZ$1048576"), MATCH(AQ$1, NovR!$6:$6, 0), FALSE),
            0
        ) +
        IFERROR(
            VLOOKUP($A76, INDIRECT("DicR!$A$6:$ZZ$1048576"), MATCH(AQ$1, DicR!$6:$6, 0), FALSE),
            0
        )
)</f>
        <v>0</v>
      </c>
      <c r="AR76" s="36">
        <f t="array" ref="AR76">SUM(
    IFERROR(
            VLOOKUP($A76, INDIRECT("EneR!$A$6:$ZZ$1048576"), MATCH(AR$1, EneR!$6:$6, 0), FALSE),
            0
        ) +
        IFERROR(
            VLOOKUP($A76, INDIRECT("FebR!$A$6:$ZZ$1048576"), MATCH(AR$1, FebR!$6:$6, 0), FALSE),
            0
        ) +
        IFERROR(
            VLOOKUP($A76, INDIRECT("MarR!$A$6:$ZZ$1048576"), MATCH(AR$1, MarR!$6:$6, 0), FALSE),
            0
        ) +
        IFERROR(
            VLOOKUP($A76, INDIRECT("AbrR!$A$6:$ZZ$1048576"), MATCH(AR$1, AbrR!$6:$6, 0), FALSE),
            0
        ) +
        IFERROR(
            VLOOKUP($A76, INDIRECT("MayR!$A$6:$ZZ$1048576"), MATCH(AR$1, MayR!$6:$6, 0), FALSE),
            0
        ) +
        IFERROR(
            VLOOKUP($A76, INDIRECT("JunR!$A$6:$ZZ$1048576"), MATCH(AR$1, JunR!$6:$6, 0), FALSE),
            0
        ) +
        IFERROR(
            VLOOKUP($A76, INDIRECT("JulR!$A$6:$ZZ$1048576"), MATCH(AR$1, JulR!$6:$6, 0), FALSE),
            0
        ) +
        IFERROR(
            VLOOKUP($A76, INDIRECT("AgoR!$A$6:$ZZ$1048576"), MATCH(AR$1, AgoR!$6:$6, 0), FALSE),
            0
        ) +
        IFERROR(
            VLOOKUP($A76, INDIRECT("SepR!$A$6:$ZZ$1048576"), MATCH(AR$1, SepR!$6:$6, 0), FALSE),
            0
        ) +
        IFERROR(
            VLOOKUP($A76, INDIRECT("OctR!$A$6:$ZZ$1048576"), MATCH(AR$1, OctR!$6:$6, 0), FALSE),
            0
        ) +
        IFERROR(
            VLOOKUP($A76, INDIRECT("NovR!$A$6:$ZZ$1048576"), MATCH(AR$1, NovR!$6:$6, 0), FALSE),
            0
        ) +
        IFERROR(
            VLOOKUP($A76, INDIRECT("DicR!$A$6:$ZZ$1048576"), MATCH(AR$1, DicR!$6:$6, 0), FALSE),
            0
        )
)</f>
        <v>0</v>
      </c>
      <c r="AS76" s="35">
        <f t="array" ref="AS76">SUM(
    IFERROR(
            VLOOKUP($A76, INDIRECT("EneR!$A$6:$ZZ$1048576"), MATCH(AS$1, EneR!$6:$6, 0), FALSE),
            0
        ) +
        IFERROR(
            VLOOKUP($A76, INDIRECT("FebR!$A$6:$ZZ$1048576"), MATCH(AS$1, FebR!$6:$6, 0), FALSE),
            0
        ) +
        IFERROR(
            VLOOKUP($A76, INDIRECT("MarR!$A$6:$ZZ$1048576"), MATCH(AS$1, MarR!$6:$6, 0), FALSE),
            0
        ) +
        IFERROR(
            VLOOKUP($A76, INDIRECT("AbrR!$A$6:$ZZ$1048576"), MATCH(AS$1, AbrR!$6:$6, 0), FALSE),
            0
        ) +
        IFERROR(
            VLOOKUP($A76, INDIRECT("MayR!$A$6:$ZZ$1048576"), MATCH(AS$1, MayR!$6:$6, 0), FALSE),
            0
        ) +
        IFERROR(
            VLOOKUP($A76, INDIRECT("JunR!$A$6:$ZZ$1048576"), MATCH(AS$1, JunR!$6:$6, 0), FALSE),
            0
        ) +
        IFERROR(
            VLOOKUP($A76, INDIRECT("JulR!$A$6:$ZZ$1048576"), MATCH(AS$1, JulR!$6:$6, 0), FALSE),
            0
        ) +
        IFERROR(
            VLOOKUP($A76, INDIRECT("AgoR!$A$6:$ZZ$1048576"), MATCH(AS$1, AgoR!$6:$6, 0), FALSE),
            0
        ) +
        IFERROR(
            VLOOKUP($A76, INDIRECT("SepR!$A$6:$ZZ$1048576"), MATCH(AS$1, SepR!$6:$6, 0), FALSE),
            0
        ) +
        IFERROR(
            VLOOKUP($A76, INDIRECT("OctR!$A$6:$ZZ$1048576"), MATCH(AS$1, OctR!$6:$6, 0), FALSE),
            0
        ) +
        IFERROR(
            VLOOKUP($A76, INDIRECT("NovR!$A$6:$ZZ$1048576"), MATCH(AS$1, NovR!$6:$6, 0), FALSE),
            0
        ) +
        IFERROR(
            VLOOKUP($A76, INDIRECT("DicR!$A$6:$ZZ$1048576"), MATCH(AS$1, DicR!$6:$6, 0), FALSE),
            0
        )
)</f>
        <v>0</v>
      </c>
      <c r="AT76" s="36">
        <f t="array" ref="AT76">SUM(
    IFERROR(
            VLOOKUP($A76, INDIRECT("EneR!$A$6:$ZZ$1048576"), MATCH(AT$1, EneR!$6:$6, 0), FALSE),
            0
        ) +
        IFERROR(
            VLOOKUP($A76, INDIRECT("FebR!$A$6:$ZZ$1048576"), MATCH(AT$1, FebR!$6:$6, 0), FALSE),
            0
        ) +
        IFERROR(
            VLOOKUP($A76, INDIRECT("MarR!$A$6:$ZZ$1048576"), MATCH(AT$1, MarR!$6:$6, 0), FALSE),
            0
        ) +
        IFERROR(
            VLOOKUP($A76, INDIRECT("AbrR!$A$6:$ZZ$1048576"), MATCH(AT$1, AbrR!$6:$6, 0), FALSE),
            0
        ) +
        IFERROR(
            VLOOKUP($A76, INDIRECT("MayR!$A$6:$ZZ$1048576"), MATCH(AT$1, MayR!$6:$6, 0), FALSE),
            0
        ) +
        IFERROR(
            VLOOKUP($A76, INDIRECT("JunR!$A$6:$ZZ$1048576"), MATCH(AT$1, JunR!$6:$6, 0), FALSE),
            0
        ) +
        IFERROR(
            VLOOKUP($A76, INDIRECT("JulR!$A$6:$ZZ$1048576"), MATCH(AT$1, JulR!$6:$6, 0), FALSE),
            0
        ) +
        IFERROR(
            VLOOKUP($A76, INDIRECT("AgoR!$A$6:$ZZ$1048576"), MATCH(AT$1, AgoR!$6:$6, 0), FALSE),
            0
        ) +
        IFERROR(
            VLOOKUP($A76, INDIRECT("SepR!$A$6:$ZZ$1048576"), MATCH(AT$1, SepR!$6:$6, 0), FALSE),
            0
        ) +
        IFERROR(
            VLOOKUP($A76, INDIRECT("OctR!$A$6:$ZZ$1048576"), MATCH(AT$1, OctR!$6:$6, 0), FALSE),
            0
        ) +
        IFERROR(
            VLOOKUP($A76, INDIRECT("NovR!$A$6:$ZZ$1048576"), MATCH(AT$1, NovR!$6:$6, 0), FALSE),
            0
        ) +
        IFERROR(
            VLOOKUP($A76, INDIRECT("DicR!$A$6:$ZZ$1048576"), MATCH(AT$1, DicR!$6:$6, 0), FALSE),
            0
        )
)</f>
        <v>0</v>
      </c>
      <c r="AU76" s="35">
        <f t="array" ref="AU76">SUM(
    IFERROR(
            VLOOKUP($A76, INDIRECT("EneR!$A$6:$ZZ$1048576"), MATCH(AU$1, EneR!$6:$6, 0), FALSE),
            0
        ) +
        IFERROR(
            VLOOKUP($A76, INDIRECT("FebR!$A$6:$ZZ$1048576"), MATCH(AU$1, FebR!$6:$6, 0), FALSE),
            0
        ) +
        IFERROR(
            VLOOKUP($A76, INDIRECT("MarR!$A$6:$ZZ$1048576"), MATCH(AU$1, MarR!$6:$6, 0), FALSE),
            0
        ) +
        IFERROR(
            VLOOKUP($A76, INDIRECT("AbrR!$A$6:$ZZ$1048576"), MATCH(AU$1, AbrR!$6:$6, 0), FALSE),
            0
        ) +
        IFERROR(
            VLOOKUP($A76, INDIRECT("MayR!$A$6:$ZZ$1048576"), MATCH(AU$1, MayR!$6:$6, 0), FALSE),
            0
        ) +
        IFERROR(
            VLOOKUP($A76, INDIRECT("JunR!$A$6:$ZZ$1048576"), MATCH(AU$1, JunR!$6:$6, 0), FALSE),
            0
        ) +
        IFERROR(
            VLOOKUP($A76, INDIRECT("JulR!$A$6:$ZZ$1048576"), MATCH(AU$1, JulR!$6:$6, 0), FALSE),
            0
        ) +
        IFERROR(
            VLOOKUP($A76, INDIRECT("AgoR!$A$6:$ZZ$1048576"), MATCH(AU$1, AgoR!$6:$6, 0), FALSE),
            0
        ) +
        IFERROR(
            VLOOKUP($A76, INDIRECT("SepR!$A$6:$ZZ$1048576"), MATCH(AU$1, SepR!$6:$6, 0), FALSE),
            0
        ) +
        IFERROR(
            VLOOKUP($A76, INDIRECT("OctR!$A$6:$ZZ$1048576"), MATCH(AU$1, OctR!$6:$6, 0), FALSE),
            0
        ) +
        IFERROR(
            VLOOKUP($A76, INDIRECT("NovR!$A$6:$ZZ$1048576"), MATCH(AU$1, NovR!$6:$6, 0), FALSE),
            0
        ) +
        IFERROR(
            VLOOKUP($A76, INDIRECT("DicR!$A$6:$ZZ$1048576"), MATCH(AU$1, DicR!$6:$6, 0), FALSE),
            0
        )
)</f>
        <v>0</v>
      </c>
      <c r="AV76" s="36">
        <f t="array" ref="AV76">SUM(
    IFERROR(
            VLOOKUP($A76, INDIRECT("EneR!$A$6:$ZZ$1048576"), MATCH(AV$1, EneR!$6:$6, 0), FALSE),
            0
        ) +
        IFERROR(
            VLOOKUP($A76, INDIRECT("FebR!$A$6:$ZZ$1048576"), MATCH(AV$1, FebR!$6:$6, 0), FALSE),
            0
        ) +
        IFERROR(
            VLOOKUP($A76, INDIRECT("MarR!$A$6:$ZZ$1048576"), MATCH(AV$1, MarR!$6:$6, 0), FALSE),
            0
        ) +
        IFERROR(
            VLOOKUP($A76, INDIRECT("AbrR!$A$6:$ZZ$1048576"), MATCH(AV$1, AbrR!$6:$6, 0), FALSE),
            0
        ) +
        IFERROR(
            VLOOKUP($A76, INDIRECT("MayR!$A$6:$ZZ$1048576"), MATCH(AV$1, MayR!$6:$6, 0), FALSE),
            0
        ) +
        IFERROR(
            VLOOKUP($A76, INDIRECT("JunR!$A$6:$ZZ$1048576"), MATCH(AV$1, JunR!$6:$6, 0), FALSE),
            0
        ) +
        IFERROR(
            VLOOKUP($A76, INDIRECT("JulR!$A$6:$ZZ$1048576"), MATCH(AV$1, JulR!$6:$6, 0), FALSE),
            0
        ) +
        IFERROR(
            VLOOKUP($A76, INDIRECT("AgoR!$A$6:$ZZ$1048576"), MATCH(AV$1, AgoR!$6:$6, 0), FALSE),
            0
        ) +
        IFERROR(
            VLOOKUP($A76, INDIRECT("SepR!$A$6:$ZZ$1048576"), MATCH(AV$1, SepR!$6:$6, 0), FALSE),
            0
        ) +
        IFERROR(
            VLOOKUP($A76, INDIRECT("OctR!$A$6:$ZZ$1048576"), MATCH(AV$1, OctR!$6:$6, 0), FALSE),
            0
        ) +
        IFERROR(
            VLOOKUP($A76, INDIRECT("NovR!$A$6:$ZZ$1048576"), MATCH(AV$1, NovR!$6:$6, 0), FALSE),
            0
        ) +
        IFERROR(
            VLOOKUP($A76, INDIRECT("DicR!$A$6:$ZZ$1048576"), MATCH(AV$1, DicR!$6:$6, 0), FALSE),
            0
        )
)</f>
        <v>0</v>
      </c>
      <c r="AW76" s="35">
        <f t="array" ref="AW76">SUM(
    IFERROR(
            VLOOKUP($A76, INDIRECT("EneR!$A$6:$ZZ$1048576"), MATCH(AW$1, EneR!$6:$6, 0), FALSE),
            0
        ) +
        IFERROR(
            VLOOKUP($A76, INDIRECT("FebR!$A$6:$ZZ$1048576"), MATCH(AW$1, FebR!$6:$6, 0), FALSE),
            0
        ) +
        IFERROR(
            VLOOKUP($A76, INDIRECT("MarR!$A$6:$ZZ$1048576"), MATCH(AW$1, MarR!$6:$6, 0), FALSE),
            0
        ) +
        IFERROR(
            VLOOKUP($A76, INDIRECT("AbrR!$A$6:$ZZ$1048576"), MATCH(AW$1, AbrR!$6:$6, 0), FALSE),
            0
        ) +
        IFERROR(
            VLOOKUP($A76, INDIRECT("MayR!$A$6:$ZZ$1048576"), MATCH(AW$1, MayR!$6:$6, 0), FALSE),
            0
        ) +
        IFERROR(
            VLOOKUP($A76, INDIRECT("JunR!$A$6:$ZZ$1048576"), MATCH(AW$1, JunR!$6:$6, 0), FALSE),
            0
        ) +
        IFERROR(
            VLOOKUP($A76, INDIRECT("JulR!$A$6:$ZZ$1048576"), MATCH(AW$1, JulR!$6:$6, 0), FALSE),
            0
        ) +
        IFERROR(
            VLOOKUP($A76, INDIRECT("AgoR!$A$6:$ZZ$1048576"), MATCH(AW$1, AgoR!$6:$6, 0), FALSE),
            0
        ) +
        IFERROR(
            VLOOKUP($A76, INDIRECT("SepR!$A$6:$ZZ$1048576"), MATCH(AW$1, SepR!$6:$6, 0), FALSE),
            0
        ) +
        IFERROR(
            VLOOKUP($A76, INDIRECT("OctR!$A$6:$ZZ$1048576"), MATCH(AW$1, OctR!$6:$6, 0), FALSE),
            0
        ) +
        IFERROR(
            VLOOKUP($A76, INDIRECT("NovR!$A$6:$ZZ$1048576"), MATCH(AW$1, NovR!$6:$6, 0), FALSE),
            0
        ) +
        IFERROR(
            VLOOKUP($A76, INDIRECT("DicR!$A$6:$ZZ$1048576"), MATCH(AW$1, DicR!$6:$6, 0), FALSE),
            0
        )
)</f>
        <v>0</v>
      </c>
      <c r="AX76" s="36">
        <f t="array" ref="AX76">SUM(
    IFERROR(
            VLOOKUP($A76, INDIRECT("EneR!$A$6:$ZZ$1048576"), MATCH(AX$1, EneR!$6:$6, 0), FALSE),
            0
        ) +
        IFERROR(
            VLOOKUP($A76, INDIRECT("FebR!$A$6:$ZZ$1048576"), MATCH(AX$1, FebR!$6:$6, 0), FALSE),
            0
        ) +
        IFERROR(
            VLOOKUP($A76, INDIRECT("MarR!$A$6:$ZZ$1048576"), MATCH(AX$1, MarR!$6:$6, 0), FALSE),
            0
        ) +
        IFERROR(
            VLOOKUP($A76, INDIRECT("AbrR!$A$6:$ZZ$1048576"), MATCH(AX$1, AbrR!$6:$6, 0), FALSE),
            0
        ) +
        IFERROR(
            VLOOKUP($A76, INDIRECT("MayR!$A$6:$ZZ$1048576"), MATCH(AX$1, MayR!$6:$6, 0), FALSE),
            0
        ) +
        IFERROR(
            VLOOKUP($A76, INDIRECT("JunR!$A$6:$ZZ$1048576"), MATCH(AX$1, JunR!$6:$6, 0), FALSE),
            0
        ) +
        IFERROR(
            VLOOKUP($A76, INDIRECT("JulR!$A$6:$ZZ$1048576"), MATCH(AX$1, JulR!$6:$6, 0), FALSE),
            0
        ) +
        IFERROR(
            VLOOKUP($A76, INDIRECT("AgoR!$A$6:$ZZ$1048576"), MATCH(AX$1, AgoR!$6:$6, 0), FALSE),
            0
        ) +
        IFERROR(
            VLOOKUP($A76, INDIRECT("SepR!$A$6:$ZZ$1048576"), MATCH(AX$1, SepR!$6:$6, 0), FALSE),
            0
        ) +
        IFERROR(
            VLOOKUP($A76, INDIRECT("OctR!$A$6:$ZZ$1048576"), MATCH(AX$1, OctR!$6:$6, 0), FALSE),
            0
        ) +
        IFERROR(
            VLOOKUP($A76, INDIRECT("NovR!$A$6:$ZZ$1048576"), MATCH(AX$1, NovR!$6:$6, 0), FALSE),
            0
        ) +
        IFERROR(
            VLOOKUP($A76, INDIRECT("DicR!$A$6:$ZZ$1048576"), MATCH(AX$1, DicR!$6:$6, 0), FALSE),
            0
        )
)</f>
        <v>0</v>
      </c>
      <c r="AY76" s="35">
        <f t="array" ref="AY76">SUM(
    IFERROR(
            VLOOKUP($A76, INDIRECT("EneR!$A$6:$ZZ$1048576"), MATCH(AY$1, EneR!$6:$6, 0), FALSE),
            0
        ) +
        IFERROR(
            VLOOKUP($A76, INDIRECT("FebR!$A$6:$ZZ$1048576"), MATCH(AY$1, FebR!$6:$6, 0), FALSE),
            0
        ) +
        IFERROR(
            VLOOKUP($A76, INDIRECT("MarR!$A$6:$ZZ$1048576"), MATCH(AY$1, MarR!$6:$6, 0), FALSE),
            0
        ) +
        IFERROR(
            VLOOKUP($A76, INDIRECT("AbrR!$A$6:$ZZ$1048576"), MATCH(AY$1, AbrR!$6:$6, 0), FALSE),
            0
        ) +
        IFERROR(
            VLOOKUP($A76, INDIRECT("MayR!$A$6:$ZZ$1048576"), MATCH(AY$1, MayR!$6:$6, 0), FALSE),
            0
        ) +
        IFERROR(
            VLOOKUP($A76, INDIRECT("JunR!$A$6:$ZZ$1048576"), MATCH(AY$1, JunR!$6:$6, 0), FALSE),
            0
        ) +
        IFERROR(
            VLOOKUP($A76, INDIRECT("JulR!$A$6:$ZZ$1048576"), MATCH(AY$1, JulR!$6:$6, 0), FALSE),
            0
        ) +
        IFERROR(
            VLOOKUP($A76, INDIRECT("AgoR!$A$6:$ZZ$1048576"), MATCH(AY$1, AgoR!$6:$6, 0), FALSE),
            0
        ) +
        IFERROR(
            VLOOKUP($A76, INDIRECT("SepR!$A$6:$ZZ$1048576"), MATCH(AY$1, SepR!$6:$6, 0), FALSE),
            0
        ) +
        IFERROR(
            VLOOKUP($A76, INDIRECT("OctR!$A$6:$ZZ$1048576"), MATCH(AY$1, OctR!$6:$6, 0), FALSE),
            0
        ) +
        IFERROR(
            VLOOKUP($A76, INDIRECT("NovR!$A$6:$ZZ$1048576"), MATCH(AY$1, NovR!$6:$6, 0), FALSE),
            0
        ) +
        IFERROR(
            VLOOKUP($A76, INDIRECT("DicR!$A$6:$ZZ$1048576"), MATCH(AY$1, DicR!$6:$6, 0), FALSE),
            0
        )
)</f>
        <v>0</v>
      </c>
      <c r="AZ76" s="35"/>
    </row>
    <row r="77" ht="15.75" customHeight="1">
      <c r="A77" s="12" t="str">
        <f>Menus!B38</f>
        <v/>
      </c>
      <c r="B77" s="32">
        <f t="shared" si="9"/>
        <v>0</v>
      </c>
      <c r="C77" s="33" t="str">
        <f t="shared" si="10"/>
        <v/>
      </c>
      <c r="D77" s="34">
        <f t="array" ref="D77">SUM(
    IFERROR(
            VLOOKUP($A77, INDIRECT("EneR!$A$6:$ZZ$1048576"), MATCH(D$1, EneR!$6:$6, 0), FALSE),
            0
        ) +
        IFERROR(
            VLOOKUP($A77, INDIRECT("FebR!$A$6:$ZZ$1048576"), MATCH(D$1, FebR!$6:$6, 0), FALSE),
            0
        ) +
        IFERROR(
            VLOOKUP($A77, INDIRECT("MarR!$A$6:$ZZ$1048576"), MATCH(D$1, MarR!$6:$6, 0), FALSE),
            0
        ) +
        IFERROR(
            VLOOKUP($A77, INDIRECT("AbrR!$A$6:$ZZ$1048576"), MATCH(D$1, AbrR!$6:$6, 0), FALSE),
            0
        ) +
        IFERROR(
            VLOOKUP($A77, INDIRECT("MayR!$A$6:$ZZ$1048576"), MATCH(D$1, MayR!$6:$6, 0), FALSE),
            0
        ) +
        IFERROR(
            VLOOKUP($A77, INDIRECT("JunR!$A$6:$ZZ$1048576"), MATCH(D$1, JunR!$6:$6, 0), FALSE),
            0
        ) +
        IFERROR(
            VLOOKUP($A77, INDIRECT("JulR!$A$6:$ZZ$1048576"), MATCH(D$1, JulR!$6:$6, 0), FALSE),
            0
        ) +
        IFERROR(
            VLOOKUP($A77, INDIRECT("AgoR!$A$6:$ZZ$1048576"), MATCH(D$1, AgoR!$6:$6, 0), FALSE),
            0
        ) +
        IFERROR(
            VLOOKUP($A77, INDIRECT("SepR!$A$6:$ZZ$1048576"), MATCH(D$1, SepR!$6:$6, 0), FALSE),
            0
        ) +
        IFERROR(
            VLOOKUP($A77, INDIRECT("OctR!$A$6:$ZZ$1048576"), MATCH(D$1, OctR!$6:$6, 0), FALSE),
            0
        ) +
        IFERROR(
            VLOOKUP($A77, INDIRECT("NovR!$A$6:$ZZ$1048576"), MATCH(D$1, NovR!$6:$6, 0), FALSE),
            0
        ) +
        IFERROR(
            VLOOKUP($A77, INDIRECT("DicR!$A$6:$ZZ$1048576"), MATCH(D$1, DicR!$6:$6, 0), FALSE),
            0
        )
)</f>
        <v>0</v>
      </c>
      <c r="E77" s="35">
        <f t="array" ref="E77">SUM(
    IFERROR(
            VLOOKUP($A77, INDIRECT("EneR!$A$6:$ZZ$1048576"), MATCH(E$1, EneR!$6:$6, 0), FALSE),
            0
        ) +
        IFERROR(
            VLOOKUP($A77, INDIRECT("FebR!$A$6:$ZZ$1048576"), MATCH(E$1, FebR!$6:$6, 0), FALSE),
            0
        ) +
        IFERROR(
            VLOOKUP($A77, INDIRECT("MarR!$A$6:$ZZ$1048576"), MATCH(E$1, MarR!$6:$6, 0), FALSE),
            0
        ) +
        IFERROR(
            VLOOKUP($A77, INDIRECT("AbrR!$A$6:$ZZ$1048576"), MATCH(E$1, AbrR!$6:$6, 0), FALSE),
            0
        ) +
        IFERROR(
            VLOOKUP($A77, INDIRECT("MayR!$A$6:$ZZ$1048576"), MATCH(E$1, MayR!$6:$6, 0), FALSE),
            0
        ) +
        IFERROR(
            VLOOKUP($A77, INDIRECT("JunR!$A$6:$ZZ$1048576"), MATCH(E$1, JunR!$6:$6, 0), FALSE),
            0
        ) +
        IFERROR(
            VLOOKUP($A77, INDIRECT("JulR!$A$6:$ZZ$1048576"), MATCH(E$1, JulR!$6:$6, 0), FALSE),
            0
        ) +
        IFERROR(
            VLOOKUP($A77, INDIRECT("AgoR!$A$6:$ZZ$1048576"), MATCH(E$1, AgoR!$6:$6, 0), FALSE),
            0
        ) +
        IFERROR(
            VLOOKUP($A77, INDIRECT("SepR!$A$6:$ZZ$1048576"), MATCH(E$1, SepR!$6:$6, 0), FALSE),
            0
        ) +
        IFERROR(
            VLOOKUP($A77, INDIRECT("OctR!$A$6:$ZZ$1048576"), MATCH(E$1, OctR!$6:$6, 0), FALSE),
            0
        ) +
        IFERROR(
            VLOOKUP($A77, INDIRECT("NovR!$A$6:$ZZ$1048576"), MATCH(E$1, NovR!$6:$6, 0), FALSE),
            0
        ) +
        IFERROR(
            VLOOKUP($A77, INDIRECT("DicR!$A$6:$ZZ$1048576"), MATCH(E$1, DicR!$6:$6, 0), FALSE),
            0
        )
)</f>
        <v>0</v>
      </c>
      <c r="F77" s="32">
        <f t="array" ref="F77">SUM(
    IFERROR(
            VLOOKUP($A77, INDIRECT("EneR!$A$6:$ZZ$1048576"), MATCH(F$1, EneR!$6:$6, 0), FALSE),
            0
        ) +
        IFERROR(
            VLOOKUP($A77, INDIRECT("FebR!$A$6:$ZZ$1048576"), MATCH(F$1, FebR!$6:$6, 0), FALSE),
            0
        ) +
        IFERROR(
            VLOOKUP($A77, INDIRECT("MarR!$A$6:$ZZ$1048576"), MATCH(F$1, MarR!$6:$6, 0), FALSE),
            0
        ) +
        IFERROR(
            VLOOKUP($A77, INDIRECT("AbrR!$A$6:$ZZ$1048576"), MATCH(F$1, AbrR!$6:$6, 0), FALSE),
            0
        ) +
        IFERROR(
            VLOOKUP($A77, INDIRECT("MayR!$A$6:$ZZ$1048576"), MATCH(F$1, MayR!$6:$6, 0), FALSE),
            0
        ) +
        IFERROR(
            VLOOKUP($A77, INDIRECT("JunR!$A$6:$ZZ$1048576"), MATCH(F$1, JunR!$6:$6, 0), FALSE),
            0
        ) +
        IFERROR(
            VLOOKUP($A77, INDIRECT("JulR!$A$6:$ZZ$1048576"), MATCH(F$1, JulR!$6:$6, 0), FALSE),
            0
        ) +
        IFERROR(
            VLOOKUP($A77, INDIRECT("AgoR!$A$6:$ZZ$1048576"), MATCH(F$1, AgoR!$6:$6, 0), FALSE),
            0
        ) +
        IFERROR(
            VLOOKUP($A77, INDIRECT("SepR!$A$6:$ZZ$1048576"), MATCH(F$1, SepR!$6:$6, 0), FALSE),
            0
        ) +
        IFERROR(
            VLOOKUP($A77, INDIRECT("OctR!$A$6:$ZZ$1048576"), MATCH(F$1, OctR!$6:$6, 0), FALSE),
            0
        ) +
        IFERROR(
            VLOOKUP($A77, INDIRECT("NovR!$A$6:$ZZ$1048576"), MATCH(F$1, NovR!$6:$6, 0), FALSE),
            0
        ) +
        IFERROR(
            VLOOKUP($A77, INDIRECT("DicR!$A$6:$ZZ$1048576"), MATCH(F$1, DicR!$6:$6, 0), FALSE),
            0
        )
)</f>
        <v>0</v>
      </c>
      <c r="G77" s="35">
        <f t="array" ref="G77">SUM(
    IFERROR(
            VLOOKUP($A77, INDIRECT("EneR!$A$6:$ZZ$1048576"), MATCH(G$1, EneR!$6:$6, 0), FALSE),
            0
        ) +
        IFERROR(
            VLOOKUP($A77, INDIRECT("FebR!$A$6:$ZZ$1048576"), MATCH(G$1, FebR!$6:$6, 0), FALSE),
            0
        ) +
        IFERROR(
            VLOOKUP($A77, INDIRECT("MarR!$A$6:$ZZ$1048576"), MATCH(G$1, MarR!$6:$6, 0), FALSE),
            0
        ) +
        IFERROR(
            VLOOKUP($A77, INDIRECT("AbrR!$A$6:$ZZ$1048576"), MATCH(G$1, AbrR!$6:$6, 0), FALSE),
            0
        ) +
        IFERROR(
            VLOOKUP($A77, INDIRECT("MayR!$A$6:$ZZ$1048576"), MATCH(G$1, MayR!$6:$6, 0), FALSE),
            0
        ) +
        IFERROR(
            VLOOKUP($A77, INDIRECT("JunR!$A$6:$ZZ$1048576"), MATCH(G$1, JunR!$6:$6, 0), FALSE),
            0
        ) +
        IFERROR(
            VLOOKUP($A77, INDIRECT("JulR!$A$6:$ZZ$1048576"), MATCH(G$1, JulR!$6:$6, 0), FALSE),
            0
        ) +
        IFERROR(
            VLOOKUP($A77, INDIRECT("AgoR!$A$6:$ZZ$1048576"), MATCH(G$1, AgoR!$6:$6, 0), FALSE),
            0
        ) +
        IFERROR(
            VLOOKUP($A77, INDIRECT("SepR!$A$6:$ZZ$1048576"), MATCH(G$1, SepR!$6:$6, 0), FALSE),
            0
        ) +
        IFERROR(
            VLOOKUP($A77, INDIRECT("OctR!$A$6:$ZZ$1048576"), MATCH(G$1, OctR!$6:$6, 0), FALSE),
            0
        ) +
        IFERROR(
            VLOOKUP($A77, INDIRECT("NovR!$A$6:$ZZ$1048576"), MATCH(G$1, NovR!$6:$6, 0), FALSE),
            0
        ) +
        IFERROR(
            VLOOKUP($A77, INDIRECT("DicR!$A$6:$ZZ$1048576"), MATCH(G$1, DicR!$6:$6, 0), FALSE),
            0
        )
)</f>
        <v>0</v>
      </c>
      <c r="H77" s="32">
        <f t="array" ref="H77">SUM(
    IFERROR(
            VLOOKUP($A77, INDIRECT("EneR!$A$6:$ZZ$1048576"), MATCH(H$1, EneR!$6:$6, 0), FALSE),
            0
        ) +
        IFERROR(
            VLOOKUP($A77, INDIRECT("FebR!$A$6:$ZZ$1048576"), MATCH(H$1, FebR!$6:$6, 0), FALSE),
            0
        ) +
        IFERROR(
            VLOOKUP($A77, INDIRECT("MarR!$A$6:$ZZ$1048576"), MATCH(H$1, MarR!$6:$6, 0), FALSE),
            0
        ) +
        IFERROR(
            VLOOKUP($A77, INDIRECT("AbrR!$A$6:$ZZ$1048576"), MATCH(H$1, AbrR!$6:$6, 0), FALSE),
            0
        ) +
        IFERROR(
            VLOOKUP($A77, INDIRECT("MayR!$A$6:$ZZ$1048576"), MATCH(H$1, MayR!$6:$6, 0), FALSE),
            0
        ) +
        IFERROR(
            VLOOKUP($A77, INDIRECT("JunR!$A$6:$ZZ$1048576"), MATCH(H$1, JunR!$6:$6, 0), FALSE),
            0
        ) +
        IFERROR(
            VLOOKUP($A77, INDIRECT("JulR!$A$6:$ZZ$1048576"), MATCH(H$1, JulR!$6:$6, 0), FALSE),
            0
        ) +
        IFERROR(
            VLOOKUP($A77, INDIRECT("AgoR!$A$6:$ZZ$1048576"), MATCH(H$1, AgoR!$6:$6, 0), FALSE),
            0
        ) +
        IFERROR(
            VLOOKUP($A77, INDIRECT("SepR!$A$6:$ZZ$1048576"), MATCH(H$1, SepR!$6:$6, 0), FALSE),
            0
        ) +
        IFERROR(
            VLOOKUP($A77, INDIRECT("OctR!$A$6:$ZZ$1048576"), MATCH(H$1, OctR!$6:$6, 0), FALSE),
            0
        ) +
        IFERROR(
            VLOOKUP($A77, INDIRECT("NovR!$A$6:$ZZ$1048576"), MATCH(H$1, NovR!$6:$6, 0), FALSE),
            0
        ) +
        IFERROR(
            VLOOKUP($A77, INDIRECT("DicR!$A$6:$ZZ$1048576"), MATCH(H$1, DicR!$6:$6, 0), FALSE),
            0
        )
)</f>
        <v>0</v>
      </c>
      <c r="I77" s="35">
        <f t="array" ref="I77">SUM(
    IFERROR(
            VLOOKUP($A77, INDIRECT("EneR!$A$6:$ZZ$1048576"), MATCH(I$1, EneR!$6:$6, 0), FALSE),
            0
        ) +
        IFERROR(
            VLOOKUP($A77, INDIRECT("FebR!$A$6:$ZZ$1048576"), MATCH(I$1, FebR!$6:$6, 0), FALSE),
            0
        ) +
        IFERROR(
            VLOOKUP($A77, INDIRECT("MarR!$A$6:$ZZ$1048576"), MATCH(I$1, MarR!$6:$6, 0), FALSE),
            0
        ) +
        IFERROR(
            VLOOKUP($A77, INDIRECT("AbrR!$A$6:$ZZ$1048576"), MATCH(I$1, AbrR!$6:$6, 0), FALSE),
            0
        ) +
        IFERROR(
            VLOOKUP($A77, INDIRECT("MayR!$A$6:$ZZ$1048576"), MATCH(I$1, MayR!$6:$6, 0), FALSE),
            0
        ) +
        IFERROR(
            VLOOKUP($A77, INDIRECT("JunR!$A$6:$ZZ$1048576"), MATCH(I$1, JunR!$6:$6, 0), FALSE),
            0
        ) +
        IFERROR(
            VLOOKUP($A77, INDIRECT("JulR!$A$6:$ZZ$1048576"), MATCH(I$1, JulR!$6:$6, 0), FALSE),
            0
        ) +
        IFERROR(
            VLOOKUP($A77, INDIRECT("AgoR!$A$6:$ZZ$1048576"), MATCH(I$1, AgoR!$6:$6, 0), FALSE),
            0
        ) +
        IFERROR(
            VLOOKUP($A77, INDIRECT("SepR!$A$6:$ZZ$1048576"), MATCH(I$1, SepR!$6:$6, 0), FALSE),
            0
        ) +
        IFERROR(
            VLOOKUP($A77, INDIRECT("OctR!$A$6:$ZZ$1048576"), MATCH(I$1, OctR!$6:$6, 0), FALSE),
            0
        ) +
        IFERROR(
            VLOOKUP($A77, INDIRECT("NovR!$A$6:$ZZ$1048576"), MATCH(I$1, NovR!$6:$6, 0), FALSE),
            0
        ) +
        IFERROR(
            VLOOKUP($A77, INDIRECT("DicR!$A$6:$ZZ$1048576"), MATCH(I$1, DicR!$6:$6, 0), FALSE),
            0
        )
)</f>
        <v>0</v>
      </c>
      <c r="J77" s="32">
        <f t="array" ref="J77">SUM(
    IFERROR(
            VLOOKUP($A77, INDIRECT("EneR!$A$6:$ZZ$1048576"), MATCH(J$1, EneR!$6:$6, 0), FALSE),
            0
        ) +
        IFERROR(
            VLOOKUP($A77, INDIRECT("FebR!$A$6:$ZZ$1048576"), MATCH(J$1, FebR!$6:$6, 0), FALSE),
            0
        ) +
        IFERROR(
            VLOOKUP($A77, INDIRECT("MarR!$A$6:$ZZ$1048576"), MATCH(J$1, MarR!$6:$6, 0), FALSE),
            0
        ) +
        IFERROR(
            VLOOKUP($A77, INDIRECT("AbrR!$A$6:$ZZ$1048576"), MATCH(J$1, AbrR!$6:$6, 0), FALSE),
            0
        ) +
        IFERROR(
            VLOOKUP($A77, INDIRECT("MayR!$A$6:$ZZ$1048576"), MATCH(J$1, MayR!$6:$6, 0), FALSE),
            0
        ) +
        IFERROR(
            VLOOKUP($A77, INDIRECT("JunR!$A$6:$ZZ$1048576"), MATCH(J$1, JunR!$6:$6, 0), FALSE),
            0
        ) +
        IFERROR(
            VLOOKUP($A77, INDIRECT("JulR!$A$6:$ZZ$1048576"), MATCH(J$1, JulR!$6:$6, 0), FALSE),
            0
        ) +
        IFERROR(
            VLOOKUP($A77, INDIRECT("AgoR!$A$6:$ZZ$1048576"), MATCH(J$1, AgoR!$6:$6, 0), FALSE),
            0
        ) +
        IFERROR(
            VLOOKUP($A77, INDIRECT("SepR!$A$6:$ZZ$1048576"), MATCH(J$1, SepR!$6:$6, 0), FALSE),
            0
        ) +
        IFERROR(
            VLOOKUP($A77, INDIRECT("OctR!$A$6:$ZZ$1048576"), MATCH(J$1, OctR!$6:$6, 0), FALSE),
            0
        ) +
        IFERROR(
            VLOOKUP($A77, INDIRECT("NovR!$A$6:$ZZ$1048576"), MATCH(J$1, NovR!$6:$6, 0), FALSE),
            0
        ) +
        IFERROR(
            VLOOKUP($A77, INDIRECT("DicR!$A$6:$ZZ$1048576"), MATCH(J$1, DicR!$6:$6, 0), FALSE),
            0
        )
)</f>
        <v>0</v>
      </c>
      <c r="K77" s="35">
        <f t="array" ref="K77">SUM(
    IFERROR(
            VLOOKUP($A77, INDIRECT("EneR!$A$6:$ZZ$1048576"), MATCH(K$1, EneR!$6:$6, 0), FALSE),
            0
        ) +
        IFERROR(
            VLOOKUP($A77, INDIRECT("FebR!$A$6:$ZZ$1048576"), MATCH(K$1, FebR!$6:$6, 0), FALSE),
            0
        ) +
        IFERROR(
            VLOOKUP($A77, INDIRECT("MarR!$A$6:$ZZ$1048576"), MATCH(K$1, MarR!$6:$6, 0), FALSE),
            0
        ) +
        IFERROR(
            VLOOKUP($A77, INDIRECT("AbrR!$A$6:$ZZ$1048576"), MATCH(K$1, AbrR!$6:$6, 0), FALSE),
            0
        ) +
        IFERROR(
            VLOOKUP($A77, INDIRECT("MayR!$A$6:$ZZ$1048576"), MATCH(K$1, MayR!$6:$6, 0), FALSE),
            0
        ) +
        IFERROR(
            VLOOKUP($A77, INDIRECT("JunR!$A$6:$ZZ$1048576"), MATCH(K$1, JunR!$6:$6, 0), FALSE),
            0
        ) +
        IFERROR(
            VLOOKUP($A77, INDIRECT("JulR!$A$6:$ZZ$1048576"), MATCH(K$1, JulR!$6:$6, 0), FALSE),
            0
        ) +
        IFERROR(
            VLOOKUP($A77, INDIRECT("AgoR!$A$6:$ZZ$1048576"), MATCH(K$1, AgoR!$6:$6, 0), FALSE),
            0
        ) +
        IFERROR(
            VLOOKUP($A77, INDIRECT("SepR!$A$6:$ZZ$1048576"), MATCH(K$1, SepR!$6:$6, 0), FALSE),
            0
        ) +
        IFERROR(
            VLOOKUP($A77, INDIRECT("OctR!$A$6:$ZZ$1048576"), MATCH(K$1, OctR!$6:$6, 0), FALSE),
            0
        ) +
        IFERROR(
            VLOOKUP($A77, INDIRECT("NovR!$A$6:$ZZ$1048576"), MATCH(K$1, NovR!$6:$6, 0), FALSE),
            0
        ) +
        IFERROR(
            VLOOKUP($A77, INDIRECT("DicR!$A$6:$ZZ$1048576"), MATCH(K$1, DicR!$6:$6, 0), FALSE),
            0
        )
)</f>
        <v>0</v>
      </c>
      <c r="L77" s="32">
        <f t="array" ref="L77">SUM(
    IFERROR(
            VLOOKUP($A77, INDIRECT("EneR!$A$6:$ZZ$1048576"), MATCH(L$1, EneR!$6:$6, 0), FALSE),
            0
        ) +
        IFERROR(
            VLOOKUP($A77, INDIRECT("FebR!$A$6:$ZZ$1048576"), MATCH(L$1, FebR!$6:$6, 0), FALSE),
            0
        ) +
        IFERROR(
            VLOOKUP($A77, INDIRECT("MarR!$A$6:$ZZ$1048576"), MATCH(L$1, MarR!$6:$6, 0), FALSE),
            0
        ) +
        IFERROR(
            VLOOKUP($A77, INDIRECT("AbrR!$A$6:$ZZ$1048576"), MATCH(L$1, AbrR!$6:$6, 0), FALSE),
            0
        ) +
        IFERROR(
            VLOOKUP($A77, INDIRECT("MayR!$A$6:$ZZ$1048576"), MATCH(L$1, MayR!$6:$6, 0), FALSE),
            0
        ) +
        IFERROR(
            VLOOKUP($A77, INDIRECT("JunR!$A$6:$ZZ$1048576"), MATCH(L$1, JunR!$6:$6, 0), FALSE),
            0
        ) +
        IFERROR(
            VLOOKUP($A77, INDIRECT("JulR!$A$6:$ZZ$1048576"), MATCH(L$1, JulR!$6:$6, 0), FALSE),
            0
        ) +
        IFERROR(
            VLOOKUP($A77, INDIRECT("AgoR!$A$6:$ZZ$1048576"), MATCH(L$1, AgoR!$6:$6, 0), FALSE),
            0
        ) +
        IFERROR(
            VLOOKUP($A77, INDIRECT("SepR!$A$6:$ZZ$1048576"), MATCH(L$1, SepR!$6:$6, 0), FALSE),
            0
        ) +
        IFERROR(
            VLOOKUP($A77, INDIRECT("OctR!$A$6:$ZZ$1048576"), MATCH(L$1, OctR!$6:$6, 0), FALSE),
            0
        ) +
        IFERROR(
            VLOOKUP($A77, INDIRECT("NovR!$A$6:$ZZ$1048576"), MATCH(L$1, NovR!$6:$6, 0), FALSE),
            0
        ) +
        IFERROR(
            VLOOKUP($A77, INDIRECT("DicR!$A$6:$ZZ$1048576"), MATCH(L$1, DicR!$6:$6, 0), FALSE),
            0
        )
)</f>
        <v>0</v>
      </c>
      <c r="M77" s="35">
        <f t="array" ref="M77">SUM(
    IFERROR(
            VLOOKUP($A77, INDIRECT("EneR!$A$6:$ZZ$1048576"), MATCH(M$1, EneR!$6:$6, 0), FALSE),
            0
        ) +
        IFERROR(
            VLOOKUP($A77, INDIRECT("FebR!$A$6:$ZZ$1048576"), MATCH(M$1, FebR!$6:$6, 0), FALSE),
            0
        ) +
        IFERROR(
            VLOOKUP($A77, INDIRECT("MarR!$A$6:$ZZ$1048576"), MATCH(M$1, MarR!$6:$6, 0), FALSE),
            0
        ) +
        IFERROR(
            VLOOKUP($A77, INDIRECT("AbrR!$A$6:$ZZ$1048576"), MATCH(M$1, AbrR!$6:$6, 0), FALSE),
            0
        ) +
        IFERROR(
            VLOOKUP($A77, INDIRECT("MayR!$A$6:$ZZ$1048576"), MATCH(M$1, MayR!$6:$6, 0), FALSE),
            0
        ) +
        IFERROR(
            VLOOKUP($A77, INDIRECT("JunR!$A$6:$ZZ$1048576"), MATCH(M$1, JunR!$6:$6, 0), FALSE),
            0
        ) +
        IFERROR(
            VLOOKUP($A77, INDIRECT("JulR!$A$6:$ZZ$1048576"), MATCH(M$1, JulR!$6:$6, 0), FALSE),
            0
        ) +
        IFERROR(
            VLOOKUP($A77, INDIRECT("AgoR!$A$6:$ZZ$1048576"), MATCH(M$1, AgoR!$6:$6, 0), FALSE),
            0
        ) +
        IFERROR(
            VLOOKUP($A77, INDIRECT("SepR!$A$6:$ZZ$1048576"), MATCH(M$1, SepR!$6:$6, 0), FALSE),
            0
        ) +
        IFERROR(
            VLOOKUP($A77, INDIRECT("OctR!$A$6:$ZZ$1048576"), MATCH(M$1, OctR!$6:$6, 0), FALSE),
            0
        ) +
        IFERROR(
            VLOOKUP($A77, INDIRECT("NovR!$A$6:$ZZ$1048576"), MATCH(M$1, NovR!$6:$6, 0), FALSE),
            0
        ) +
        IFERROR(
            VLOOKUP($A77, INDIRECT("DicR!$A$6:$ZZ$1048576"), MATCH(M$1, DicR!$6:$6, 0), FALSE),
            0
        )
)</f>
        <v>0</v>
      </c>
      <c r="N77" s="32">
        <f t="array" ref="N77">SUM(
    IFERROR(
            VLOOKUP($A77, INDIRECT("EneR!$A$6:$ZZ$1048576"), MATCH(N$1, EneR!$6:$6, 0), FALSE),
            0
        ) +
        IFERROR(
            VLOOKUP($A77, INDIRECT("FebR!$A$6:$ZZ$1048576"), MATCH(N$1, FebR!$6:$6, 0), FALSE),
            0
        ) +
        IFERROR(
            VLOOKUP($A77, INDIRECT("MarR!$A$6:$ZZ$1048576"), MATCH(N$1, MarR!$6:$6, 0), FALSE),
            0
        ) +
        IFERROR(
            VLOOKUP($A77, INDIRECT("AbrR!$A$6:$ZZ$1048576"), MATCH(N$1, AbrR!$6:$6, 0), FALSE),
            0
        ) +
        IFERROR(
            VLOOKUP($A77, INDIRECT("MayR!$A$6:$ZZ$1048576"), MATCH(N$1, MayR!$6:$6, 0), FALSE),
            0
        ) +
        IFERROR(
            VLOOKUP($A77, INDIRECT("JunR!$A$6:$ZZ$1048576"), MATCH(N$1, JunR!$6:$6, 0), FALSE),
            0
        ) +
        IFERROR(
            VLOOKUP($A77, INDIRECT("JulR!$A$6:$ZZ$1048576"), MATCH(N$1, JulR!$6:$6, 0), FALSE),
            0
        ) +
        IFERROR(
            VLOOKUP($A77, INDIRECT("AgoR!$A$6:$ZZ$1048576"), MATCH(N$1, AgoR!$6:$6, 0), FALSE),
            0
        ) +
        IFERROR(
            VLOOKUP($A77, INDIRECT("SepR!$A$6:$ZZ$1048576"), MATCH(N$1, SepR!$6:$6, 0), FALSE),
            0
        ) +
        IFERROR(
            VLOOKUP($A77, INDIRECT("OctR!$A$6:$ZZ$1048576"), MATCH(N$1, OctR!$6:$6, 0), FALSE),
            0
        ) +
        IFERROR(
            VLOOKUP($A77, INDIRECT("NovR!$A$6:$ZZ$1048576"), MATCH(N$1, NovR!$6:$6, 0), FALSE),
            0
        ) +
        IFERROR(
            VLOOKUP($A77, INDIRECT("DicR!$A$6:$ZZ$1048576"), MATCH(N$1, DicR!$6:$6, 0), FALSE),
            0
        )
)</f>
        <v>0</v>
      </c>
      <c r="O77" s="35">
        <f t="array" ref="O77">SUM(
    IFERROR(
            VLOOKUP($A77, INDIRECT("EneR!$A$6:$ZZ$1048576"), MATCH(O$1, EneR!$6:$6, 0), FALSE),
            0
        ) +
        IFERROR(
            VLOOKUP($A77, INDIRECT("FebR!$A$6:$ZZ$1048576"), MATCH(O$1, FebR!$6:$6, 0), FALSE),
            0
        ) +
        IFERROR(
            VLOOKUP($A77, INDIRECT("MarR!$A$6:$ZZ$1048576"), MATCH(O$1, MarR!$6:$6, 0), FALSE),
            0
        ) +
        IFERROR(
            VLOOKUP($A77, INDIRECT("AbrR!$A$6:$ZZ$1048576"), MATCH(O$1, AbrR!$6:$6, 0), FALSE),
            0
        ) +
        IFERROR(
            VLOOKUP($A77, INDIRECT("MayR!$A$6:$ZZ$1048576"), MATCH(O$1, MayR!$6:$6, 0), FALSE),
            0
        ) +
        IFERROR(
            VLOOKUP($A77, INDIRECT("JunR!$A$6:$ZZ$1048576"), MATCH(O$1, JunR!$6:$6, 0), FALSE),
            0
        ) +
        IFERROR(
            VLOOKUP($A77, INDIRECT("JulR!$A$6:$ZZ$1048576"), MATCH(O$1, JulR!$6:$6, 0), FALSE),
            0
        ) +
        IFERROR(
            VLOOKUP($A77, INDIRECT("AgoR!$A$6:$ZZ$1048576"), MATCH(O$1, AgoR!$6:$6, 0), FALSE),
            0
        ) +
        IFERROR(
            VLOOKUP($A77, INDIRECT("SepR!$A$6:$ZZ$1048576"), MATCH(O$1, SepR!$6:$6, 0), FALSE),
            0
        ) +
        IFERROR(
            VLOOKUP($A77, INDIRECT("OctR!$A$6:$ZZ$1048576"), MATCH(O$1, OctR!$6:$6, 0), FALSE),
            0
        ) +
        IFERROR(
            VLOOKUP($A77, INDIRECT("NovR!$A$6:$ZZ$1048576"), MATCH(O$1, NovR!$6:$6, 0), FALSE),
            0
        ) +
        IFERROR(
            VLOOKUP($A77, INDIRECT("DicR!$A$6:$ZZ$1048576"), MATCH(O$1, DicR!$6:$6, 0), FALSE),
            0
        )
)</f>
        <v>0</v>
      </c>
      <c r="P77" s="32">
        <f t="array" ref="P77">SUM(
    IFERROR(
            VLOOKUP($A77, INDIRECT("EneR!$A$6:$ZZ$1048576"), MATCH(P$1, EneR!$6:$6, 0), FALSE),
            0
        ) +
        IFERROR(
            VLOOKUP($A77, INDIRECT("FebR!$A$6:$ZZ$1048576"), MATCH(P$1, FebR!$6:$6, 0), FALSE),
            0
        ) +
        IFERROR(
            VLOOKUP($A77, INDIRECT("MarR!$A$6:$ZZ$1048576"), MATCH(P$1, MarR!$6:$6, 0), FALSE),
            0
        ) +
        IFERROR(
            VLOOKUP($A77, INDIRECT("AbrR!$A$6:$ZZ$1048576"), MATCH(P$1, AbrR!$6:$6, 0), FALSE),
            0
        ) +
        IFERROR(
            VLOOKUP($A77, INDIRECT("MayR!$A$6:$ZZ$1048576"), MATCH(P$1, MayR!$6:$6, 0), FALSE),
            0
        ) +
        IFERROR(
            VLOOKUP($A77, INDIRECT("JunR!$A$6:$ZZ$1048576"), MATCH(P$1, JunR!$6:$6, 0), FALSE),
            0
        ) +
        IFERROR(
            VLOOKUP($A77, INDIRECT("JulR!$A$6:$ZZ$1048576"), MATCH(P$1, JulR!$6:$6, 0), FALSE),
            0
        ) +
        IFERROR(
            VLOOKUP($A77, INDIRECT("AgoR!$A$6:$ZZ$1048576"), MATCH(P$1, AgoR!$6:$6, 0), FALSE),
            0
        ) +
        IFERROR(
            VLOOKUP($A77, INDIRECT("SepR!$A$6:$ZZ$1048576"), MATCH(P$1, SepR!$6:$6, 0), FALSE),
            0
        ) +
        IFERROR(
            VLOOKUP($A77, INDIRECT("OctR!$A$6:$ZZ$1048576"), MATCH(P$1, OctR!$6:$6, 0), FALSE),
            0
        ) +
        IFERROR(
            VLOOKUP($A77, INDIRECT("NovR!$A$6:$ZZ$1048576"), MATCH(P$1, NovR!$6:$6, 0), FALSE),
            0
        ) +
        IFERROR(
            VLOOKUP($A77, INDIRECT("DicR!$A$6:$ZZ$1048576"), MATCH(P$1, DicR!$6:$6, 0), FALSE),
            0
        )
)</f>
        <v>0</v>
      </c>
      <c r="Q77" s="35">
        <f t="array" ref="Q77">SUM(
    IFERROR(
            VLOOKUP($A77, INDIRECT("EneR!$A$6:$ZZ$1048576"), MATCH(Q$1, EneR!$6:$6, 0), FALSE),
            0
        ) +
        IFERROR(
            VLOOKUP($A77, INDIRECT("FebR!$A$6:$ZZ$1048576"), MATCH(Q$1, FebR!$6:$6, 0), FALSE),
            0
        ) +
        IFERROR(
            VLOOKUP($A77, INDIRECT("MarR!$A$6:$ZZ$1048576"), MATCH(Q$1, MarR!$6:$6, 0), FALSE),
            0
        ) +
        IFERROR(
            VLOOKUP($A77, INDIRECT("AbrR!$A$6:$ZZ$1048576"), MATCH(Q$1, AbrR!$6:$6, 0), FALSE),
            0
        ) +
        IFERROR(
            VLOOKUP($A77, INDIRECT("MayR!$A$6:$ZZ$1048576"), MATCH(Q$1, MayR!$6:$6, 0), FALSE),
            0
        ) +
        IFERROR(
            VLOOKUP($A77, INDIRECT("JunR!$A$6:$ZZ$1048576"), MATCH(Q$1, JunR!$6:$6, 0), FALSE),
            0
        ) +
        IFERROR(
            VLOOKUP($A77, INDIRECT("JulR!$A$6:$ZZ$1048576"), MATCH(Q$1, JulR!$6:$6, 0), FALSE),
            0
        ) +
        IFERROR(
            VLOOKUP($A77, INDIRECT("AgoR!$A$6:$ZZ$1048576"), MATCH(Q$1, AgoR!$6:$6, 0), FALSE),
            0
        ) +
        IFERROR(
            VLOOKUP($A77, INDIRECT("SepR!$A$6:$ZZ$1048576"), MATCH(Q$1, SepR!$6:$6, 0), FALSE),
            0
        ) +
        IFERROR(
            VLOOKUP($A77, INDIRECT("OctR!$A$6:$ZZ$1048576"), MATCH(Q$1, OctR!$6:$6, 0), FALSE),
            0
        ) +
        IFERROR(
            VLOOKUP($A77, INDIRECT("NovR!$A$6:$ZZ$1048576"), MATCH(Q$1, NovR!$6:$6, 0), FALSE),
            0
        ) +
        IFERROR(
            VLOOKUP($A77, INDIRECT("DicR!$A$6:$ZZ$1048576"), MATCH(Q$1, DicR!$6:$6, 0), FALSE),
            0
        )
)</f>
        <v>0</v>
      </c>
      <c r="R77" s="36">
        <f t="array" ref="R77">SUM(
    IFERROR(
            VLOOKUP($A77, INDIRECT("EneR!$A$6:$ZZ$1048576"), MATCH(R$1, EneR!$6:$6, 0), FALSE),
            0
        ) +
        IFERROR(
            VLOOKUP($A77, INDIRECT("FebR!$A$6:$ZZ$1048576"), MATCH(R$1, FebR!$6:$6, 0), FALSE),
            0
        ) +
        IFERROR(
            VLOOKUP($A77, INDIRECT("MarR!$A$6:$ZZ$1048576"), MATCH(R$1, MarR!$6:$6, 0), FALSE),
            0
        ) +
        IFERROR(
            VLOOKUP($A77, INDIRECT("AbrR!$A$6:$ZZ$1048576"), MATCH(R$1, AbrR!$6:$6, 0), FALSE),
            0
        ) +
        IFERROR(
            VLOOKUP($A77, INDIRECT("MayR!$A$6:$ZZ$1048576"), MATCH(R$1, MayR!$6:$6, 0), FALSE),
            0
        ) +
        IFERROR(
            VLOOKUP($A77, INDIRECT("JunR!$A$6:$ZZ$1048576"), MATCH(R$1, JunR!$6:$6, 0), FALSE),
            0
        ) +
        IFERROR(
            VLOOKUP($A77, INDIRECT("JulR!$A$6:$ZZ$1048576"), MATCH(R$1, JulR!$6:$6, 0), FALSE),
            0
        ) +
        IFERROR(
            VLOOKUP($A77, INDIRECT("AgoR!$A$6:$ZZ$1048576"), MATCH(R$1, AgoR!$6:$6, 0), FALSE),
            0
        ) +
        IFERROR(
            VLOOKUP($A77, INDIRECT("SepR!$A$6:$ZZ$1048576"), MATCH(R$1, SepR!$6:$6, 0), FALSE),
            0
        ) +
        IFERROR(
            VLOOKUP($A77, INDIRECT("OctR!$A$6:$ZZ$1048576"), MATCH(R$1, OctR!$6:$6, 0), FALSE),
            0
        ) +
        IFERROR(
            VLOOKUP($A77, INDIRECT("NovR!$A$6:$ZZ$1048576"), MATCH(R$1, NovR!$6:$6, 0), FALSE),
            0
        ) +
        IFERROR(
            VLOOKUP($A77, INDIRECT("DicR!$A$6:$ZZ$1048576"), MATCH(R$1, DicR!$6:$6, 0), FALSE),
            0
        )
)</f>
        <v>0</v>
      </c>
      <c r="S77" s="37">
        <f t="array" ref="S77">SUM(
    IFERROR(
            VLOOKUP($A77, INDIRECT("EneR!$A$6:$ZZ$1048576"), MATCH(S$1, EneR!$6:$6, 0), FALSE),
            0
        ) +
        IFERROR(
            VLOOKUP($A77, INDIRECT("FebR!$A$6:$ZZ$1048576"), MATCH(S$1, FebR!$6:$6, 0), FALSE),
            0
        ) +
        IFERROR(
            VLOOKUP($A77, INDIRECT("MarR!$A$6:$ZZ$1048576"), MATCH(S$1, MarR!$6:$6, 0), FALSE),
            0
        ) +
        IFERROR(
            VLOOKUP($A77, INDIRECT("AbrR!$A$6:$ZZ$1048576"), MATCH(S$1, AbrR!$6:$6, 0), FALSE),
            0
        ) +
        IFERROR(
            VLOOKUP($A77, INDIRECT("MayR!$A$6:$ZZ$1048576"), MATCH(S$1, MayR!$6:$6, 0), FALSE),
            0
        ) +
        IFERROR(
            VLOOKUP($A77, INDIRECT("JunR!$A$6:$ZZ$1048576"), MATCH(S$1, JunR!$6:$6, 0), FALSE),
            0
        ) +
        IFERROR(
            VLOOKUP($A77, INDIRECT("JulR!$A$6:$ZZ$1048576"), MATCH(S$1, JulR!$6:$6, 0), FALSE),
            0
        ) +
        IFERROR(
            VLOOKUP($A77, INDIRECT("AgoR!$A$6:$ZZ$1048576"), MATCH(S$1, AgoR!$6:$6, 0), FALSE),
            0
        ) +
        IFERROR(
            VLOOKUP($A77, INDIRECT("SepR!$A$6:$ZZ$1048576"), MATCH(S$1, SepR!$6:$6, 0), FALSE),
            0
        ) +
        IFERROR(
            VLOOKUP($A77, INDIRECT("OctR!$A$6:$ZZ$1048576"), MATCH(S$1, OctR!$6:$6, 0), FALSE),
            0
        ) +
        IFERROR(
            VLOOKUP($A77, INDIRECT("NovR!$A$6:$ZZ$1048576"), MATCH(S$1, NovR!$6:$6, 0), FALSE),
            0
        ) +
        IFERROR(
            VLOOKUP($A77, INDIRECT("DicR!$A$6:$ZZ$1048576"), MATCH(S$1, DicR!$6:$6, 0), FALSE),
            0
        )
)</f>
        <v>0</v>
      </c>
      <c r="T77" s="36">
        <f t="array" ref="T77">SUM(
    IFERROR(
            VLOOKUP($A77, INDIRECT("EneR!$A$6:$ZZ$1048576"), MATCH(T$1, EneR!$6:$6, 0), FALSE),
            0
        ) +
        IFERROR(
            VLOOKUP($A77, INDIRECT("FebR!$A$6:$ZZ$1048576"), MATCH(T$1, FebR!$6:$6, 0), FALSE),
            0
        ) +
        IFERROR(
            VLOOKUP($A77, INDIRECT("MarR!$A$6:$ZZ$1048576"), MATCH(T$1, MarR!$6:$6, 0), FALSE),
            0
        ) +
        IFERROR(
            VLOOKUP($A77, INDIRECT("AbrR!$A$6:$ZZ$1048576"), MATCH(T$1, AbrR!$6:$6, 0), FALSE),
            0
        ) +
        IFERROR(
            VLOOKUP($A77, INDIRECT("MayR!$A$6:$ZZ$1048576"), MATCH(T$1, MayR!$6:$6, 0), FALSE),
            0
        ) +
        IFERROR(
            VLOOKUP($A77, INDIRECT("JunR!$A$6:$ZZ$1048576"), MATCH(T$1, JunR!$6:$6, 0), FALSE),
            0
        ) +
        IFERROR(
            VLOOKUP($A77, INDIRECT("JulR!$A$6:$ZZ$1048576"), MATCH(T$1, JulR!$6:$6, 0), FALSE),
            0
        ) +
        IFERROR(
            VLOOKUP($A77, INDIRECT("AgoR!$A$6:$ZZ$1048576"), MATCH(T$1, AgoR!$6:$6, 0), FALSE),
            0
        ) +
        IFERROR(
            VLOOKUP($A77, INDIRECT("SepR!$A$6:$ZZ$1048576"), MATCH(T$1, SepR!$6:$6, 0), FALSE),
            0
        ) +
        IFERROR(
            VLOOKUP($A77, INDIRECT("OctR!$A$6:$ZZ$1048576"), MATCH(T$1, OctR!$6:$6, 0), FALSE),
            0
        ) +
        IFERROR(
            VLOOKUP($A77, INDIRECT("NovR!$A$6:$ZZ$1048576"), MATCH(T$1, NovR!$6:$6, 0), FALSE),
            0
        ) +
        IFERROR(
            VLOOKUP($A77, INDIRECT("DicR!$A$6:$ZZ$1048576"), MATCH(T$1, DicR!$6:$6, 0), FALSE),
            0
        )
)</f>
        <v>0</v>
      </c>
      <c r="U77" s="37">
        <f t="array" ref="U77">SUM(
    IFERROR(
            VLOOKUP($A77, INDIRECT("EneR!$A$6:$ZZ$1048576"), MATCH(U$1, EneR!$6:$6, 0), FALSE),
            0
        ) +
        IFERROR(
            VLOOKUP($A77, INDIRECT("FebR!$A$6:$ZZ$1048576"), MATCH(U$1, FebR!$6:$6, 0), FALSE),
            0
        ) +
        IFERROR(
            VLOOKUP($A77, INDIRECT("MarR!$A$6:$ZZ$1048576"), MATCH(U$1, MarR!$6:$6, 0), FALSE),
            0
        ) +
        IFERROR(
            VLOOKUP($A77, INDIRECT("AbrR!$A$6:$ZZ$1048576"), MATCH(U$1, AbrR!$6:$6, 0), FALSE),
            0
        ) +
        IFERROR(
            VLOOKUP($A77, INDIRECT("MayR!$A$6:$ZZ$1048576"), MATCH(U$1, MayR!$6:$6, 0), FALSE),
            0
        ) +
        IFERROR(
            VLOOKUP($A77, INDIRECT("JunR!$A$6:$ZZ$1048576"), MATCH(U$1, JunR!$6:$6, 0), FALSE),
            0
        ) +
        IFERROR(
            VLOOKUP($A77, INDIRECT("JulR!$A$6:$ZZ$1048576"), MATCH(U$1, JulR!$6:$6, 0), FALSE),
            0
        ) +
        IFERROR(
            VLOOKUP($A77, INDIRECT("AgoR!$A$6:$ZZ$1048576"), MATCH(U$1, AgoR!$6:$6, 0), FALSE),
            0
        ) +
        IFERROR(
            VLOOKUP($A77, INDIRECT("SepR!$A$6:$ZZ$1048576"), MATCH(U$1, SepR!$6:$6, 0), FALSE),
            0
        ) +
        IFERROR(
            VLOOKUP($A77, INDIRECT("OctR!$A$6:$ZZ$1048576"), MATCH(U$1, OctR!$6:$6, 0), FALSE),
            0
        ) +
        IFERROR(
            VLOOKUP($A77, INDIRECT("NovR!$A$6:$ZZ$1048576"), MATCH(U$1, NovR!$6:$6, 0), FALSE),
            0
        ) +
        IFERROR(
            VLOOKUP($A77, INDIRECT("DicR!$A$6:$ZZ$1048576"), MATCH(U$1, DicR!$6:$6, 0), FALSE),
            0
        )
)</f>
        <v>0</v>
      </c>
      <c r="V77" s="36">
        <f t="array" ref="V77">SUM(
    IFERROR(
            VLOOKUP($A77, INDIRECT("EneR!$A$6:$ZZ$1048576"), MATCH(V$1, EneR!$6:$6, 0), FALSE),
            0
        ) +
        IFERROR(
            VLOOKUP($A77, INDIRECT("FebR!$A$6:$ZZ$1048576"), MATCH(V$1, FebR!$6:$6, 0), FALSE),
            0
        ) +
        IFERROR(
            VLOOKUP($A77, INDIRECT("MarR!$A$6:$ZZ$1048576"), MATCH(V$1, MarR!$6:$6, 0), FALSE),
            0
        ) +
        IFERROR(
            VLOOKUP($A77, INDIRECT("AbrR!$A$6:$ZZ$1048576"), MATCH(V$1, AbrR!$6:$6, 0), FALSE),
            0
        ) +
        IFERROR(
            VLOOKUP($A77, INDIRECT("MayR!$A$6:$ZZ$1048576"), MATCH(V$1, MayR!$6:$6, 0), FALSE),
            0
        ) +
        IFERROR(
            VLOOKUP($A77, INDIRECT("JunR!$A$6:$ZZ$1048576"), MATCH(V$1, JunR!$6:$6, 0), FALSE),
            0
        ) +
        IFERROR(
            VLOOKUP($A77, INDIRECT("JulR!$A$6:$ZZ$1048576"), MATCH(V$1, JulR!$6:$6, 0), FALSE),
            0
        ) +
        IFERROR(
            VLOOKUP($A77, INDIRECT("AgoR!$A$6:$ZZ$1048576"), MATCH(V$1, AgoR!$6:$6, 0), FALSE),
            0
        ) +
        IFERROR(
            VLOOKUP($A77, INDIRECT("SepR!$A$6:$ZZ$1048576"), MATCH(V$1, SepR!$6:$6, 0), FALSE),
            0
        ) +
        IFERROR(
            VLOOKUP($A77, INDIRECT("OctR!$A$6:$ZZ$1048576"), MATCH(V$1, OctR!$6:$6, 0), FALSE),
            0
        ) +
        IFERROR(
            VLOOKUP($A77, INDIRECT("NovR!$A$6:$ZZ$1048576"), MATCH(V$1, NovR!$6:$6, 0), FALSE),
            0
        ) +
        IFERROR(
            VLOOKUP($A77, INDIRECT("DicR!$A$6:$ZZ$1048576"), MATCH(V$1, DicR!$6:$6, 0), FALSE),
            0
        )
)</f>
        <v>0</v>
      </c>
      <c r="W77" s="37">
        <f t="array" ref="W77">SUM(
    IFERROR(
            VLOOKUP($A77, INDIRECT("EneR!$A$6:$ZZ$1048576"), MATCH(W$1, EneR!$6:$6, 0), FALSE),
            0
        ) +
        IFERROR(
            VLOOKUP($A77, INDIRECT("FebR!$A$6:$ZZ$1048576"), MATCH(W$1, FebR!$6:$6, 0), FALSE),
            0
        ) +
        IFERROR(
            VLOOKUP($A77, INDIRECT("MarR!$A$6:$ZZ$1048576"), MATCH(W$1, MarR!$6:$6, 0), FALSE),
            0
        ) +
        IFERROR(
            VLOOKUP($A77, INDIRECT("AbrR!$A$6:$ZZ$1048576"), MATCH(W$1, AbrR!$6:$6, 0), FALSE),
            0
        ) +
        IFERROR(
            VLOOKUP($A77, INDIRECT("MayR!$A$6:$ZZ$1048576"), MATCH(W$1, MayR!$6:$6, 0), FALSE),
            0
        ) +
        IFERROR(
            VLOOKUP($A77, INDIRECT("JunR!$A$6:$ZZ$1048576"), MATCH(W$1, JunR!$6:$6, 0), FALSE),
            0
        ) +
        IFERROR(
            VLOOKUP($A77, INDIRECT("JulR!$A$6:$ZZ$1048576"), MATCH(W$1, JulR!$6:$6, 0), FALSE),
            0
        ) +
        IFERROR(
            VLOOKUP($A77, INDIRECT("AgoR!$A$6:$ZZ$1048576"), MATCH(W$1, AgoR!$6:$6, 0), FALSE),
            0
        ) +
        IFERROR(
            VLOOKUP($A77, INDIRECT("SepR!$A$6:$ZZ$1048576"), MATCH(W$1, SepR!$6:$6, 0), FALSE),
            0
        ) +
        IFERROR(
            VLOOKUP($A77, INDIRECT("OctR!$A$6:$ZZ$1048576"), MATCH(W$1, OctR!$6:$6, 0), FALSE),
            0
        ) +
        IFERROR(
            VLOOKUP($A77, INDIRECT("NovR!$A$6:$ZZ$1048576"), MATCH(W$1, NovR!$6:$6, 0), FALSE),
            0
        ) +
        IFERROR(
            VLOOKUP($A77, INDIRECT("DicR!$A$6:$ZZ$1048576"), MATCH(W$1, DicR!$6:$6, 0), FALSE),
            0
        )
)</f>
        <v>0</v>
      </c>
      <c r="X77" s="36">
        <f t="array" ref="X77">SUM(
    IFERROR(
            VLOOKUP($A77, INDIRECT("EneR!$A$6:$ZZ$1048576"), MATCH(X$1, EneR!$6:$6, 0), FALSE),
            0
        ) +
        IFERROR(
            VLOOKUP($A77, INDIRECT("FebR!$A$6:$ZZ$1048576"), MATCH(X$1, FebR!$6:$6, 0), FALSE),
            0
        ) +
        IFERROR(
            VLOOKUP($A77, INDIRECT("MarR!$A$6:$ZZ$1048576"), MATCH(X$1, MarR!$6:$6, 0), FALSE),
            0
        ) +
        IFERROR(
            VLOOKUP($A77, INDIRECT("AbrR!$A$6:$ZZ$1048576"), MATCH(X$1, AbrR!$6:$6, 0), FALSE),
            0
        ) +
        IFERROR(
            VLOOKUP($A77, INDIRECT("MayR!$A$6:$ZZ$1048576"), MATCH(X$1, MayR!$6:$6, 0), FALSE),
            0
        ) +
        IFERROR(
            VLOOKUP($A77, INDIRECT("JunR!$A$6:$ZZ$1048576"), MATCH(X$1, JunR!$6:$6, 0), FALSE),
            0
        ) +
        IFERROR(
            VLOOKUP($A77, INDIRECT("JulR!$A$6:$ZZ$1048576"), MATCH(X$1, JulR!$6:$6, 0), FALSE),
            0
        ) +
        IFERROR(
            VLOOKUP($A77, INDIRECT("AgoR!$A$6:$ZZ$1048576"), MATCH(X$1, AgoR!$6:$6, 0), FALSE),
            0
        ) +
        IFERROR(
            VLOOKUP($A77, INDIRECT("SepR!$A$6:$ZZ$1048576"), MATCH(X$1, SepR!$6:$6, 0), FALSE),
            0
        ) +
        IFERROR(
            VLOOKUP($A77, INDIRECT("OctR!$A$6:$ZZ$1048576"), MATCH(X$1, OctR!$6:$6, 0), FALSE),
            0
        ) +
        IFERROR(
            VLOOKUP($A77, INDIRECT("NovR!$A$6:$ZZ$1048576"), MATCH(X$1, NovR!$6:$6, 0), FALSE),
            0
        ) +
        IFERROR(
            VLOOKUP($A77, INDIRECT("DicR!$A$6:$ZZ$1048576"), MATCH(X$1, DicR!$6:$6, 0), FALSE),
            0
        )
)</f>
        <v>0</v>
      </c>
      <c r="Y77" s="37">
        <f t="array" ref="Y77">SUM(
    IFERROR(
            VLOOKUP($A77, INDIRECT("EneR!$A$6:$ZZ$1048576"), MATCH(Y$1, EneR!$6:$6, 0), FALSE),
            0
        ) +
        IFERROR(
            VLOOKUP($A77, INDIRECT("FebR!$A$6:$ZZ$1048576"), MATCH(Y$1, FebR!$6:$6, 0), FALSE),
            0
        ) +
        IFERROR(
            VLOOKUP($A77, INDIRECT("MarR!$A$6:$ZZ$1048576"), MATCH(Y$1, MarR!$6:$6, 0), FALSE),
            0
        ) +
        IFERROR(
            VLOOKUP($A77, INDIRECT("AbrR!$A$6:$ZZ$1048576"), MATCH(Y$1, AbrR!$6:$6, 0), FALSE),
            0
        ) +
        IFERROR(
            VLOOKUP($A77, INDIRECT("MayR!$A$6:$ZZ$1048576"), MATCH(Y$1, MayR!$6:$6, 0), FALSE),
            0
        ) +
        IFERROR(
            VLOOKUP($A77, INDIRECT("JunR!$A$6:$ZZ$1048576"), MATCH(Y$1, JunR!$6:$6, 0), FALSE),
            0
        ) +
        IFERROR(
            VLOOKUP($A77, INDIRECT("JulR!$A$6:$ZZ$1048576"), MATCH(Y$1, JulR!$6:$6, 0), FALSE),
            0
        ) +
        IFERROR(
            VLOOKUP($A77, INDIRECT("AgoR!$A$6:$ZZ$1048576"), MATCH(Y$1, AgoR!$6:$6, 0), FALSE),
            0
        ) +
        IFERROR(
            VLOOKUP($A77, INDIRECT("SepR!$A$6:$ZZ$1048576"), MATCH(Y$1, SepR!$6:$6, 0), FALSE),
            0
        ) +
        IFERROR(
            VLOOKUP($A77, INDIRECT("OctR!$A$6:$ZZ$1048576"), MATCH(Y$1, OctR!$6:$6, 0), FALSE),
            0
        ) +
        IFERROR(
            VLOOKUP($A77, INDIRECT("NovR!$A$6:$ZZ$1048576"), MATCH(Y$1, NovR!$6:$6, 0), FALSE),
            0
        ) +
        IFERROR(
            VLOOKUP($A77, INDIRECT("DicR!$A$6:$ZZ$1048576"), MATCH(Y$1, DicR!$6:$6, 0), FALSE),
            0
        )
)</f>
        <v>0</v>
      </c>
      <c r="Z77" s="36">
        <f t="array" ref="Z77">SUM(
    IFERROR(
            VLOOKUP($A77, INDIRECT("EneR!$A$6:$ZZ$1048576"), MATCH(Z$1, EneR!$6:$6, 0), FALSE),
            0
        ) +
        IFERROR(
            VLOOKUP($A77, INDIRECT("FebR!$A$6:$ZZ$1048576"), MATCH(Z$1, FebR!$6:$6, 0), FALSE),
            0
        ) +
        IFERROR(
            VLOOKUP($A77, INDIRECT("MarR!$A$6:$ZZ$1048576"), MATCH(Z$1, MarR!$6:$6, 0), FALSE),
            0
        ) +
        IFERROR(
            VLOOKUP($A77, INDIRECT("AbrR!$A$6:$ZZ$1048576"), MATCH(Z$1, AbrR!$6:$6, 0), FALSE),
            0
        ) +
        IFERROR(
            VLOOKUP($A77, INDIRECT("MayR!$A$6:$ZZ$1048576"), MATCH(Z$1, MayR!$6:$6, 0), FALSE),
            0
        ) +
        IFERROR(
            VLOOKUP($A77, INDIRECT("JunR!$A$6:$ZZ$1048576"), MATCH(Z$1, JunR!$6:$6, 0), FALSE),
            0
        ) +
        IFERROR(
            VLOOKUP($A77, INDIRECT("JulR!$A$6:$ZZ$1048576"), MATCH(Z$1, JulR!$6:$6, 0), FALSE),
            0
        ) +
        IFERROR(
            VLOOKUP($A77, INDIRECT("AgoR!$A$6:$ZZ$1048576"), MATCH(Z$1, AgoR!$6:$6, 0), FALSE),
            0
        ) +
        IFERROR(
            VLOOKUP($A77, INDIRECT("SepR!$A$6:$ZZ$1048576"), MATCH(Z$1, SepR!$6:$6, 0), FALSE),
            0
        ) +
        IFERROR(
            VLOOKUP($A77, INDIRECT("OctR!$A$6:$ZZ$1048576"), MATCH(Z$1, OctR!$6:$6, 0), FALSE),
            0
        ) +
        IFERROR(
            VLOOKUP($A77, INDIRECT("NovR!$A$6:$ZZ$1048576"), MATCH(Z$1, NovR!$6:$6, 0), FALSE),
            0
        ) +
        IFERROR(
            VLOOKUP($A77, INDIRECT("DicR!$A$6:$ZZ$1048576"), MATCH(Z$1, DicR!$6:$6, 0), FALSE),
            0
        )
)</f>
        <v>0</v>
      </c>
      <c r="AA77" s="37">
        <f t="array" ref="AA77">SUM(
    IFERROR(
            VLOOKUP($A77, INDIRECT("EneR!$A$6:$ZZ$1048576"), MATCH(AA$1, EneR!$6:$6, 0), FALSE),
            0
        ) +
        IFERROR(
            VLOOKUP($A77, INDIRECT("FebR!$A$6:$ZZ$1048576"), MATCH(AA$1, FebR!$6:$6, 0), FALSE),
            0
        ) +
        IFERROR(
            VLOOKUP($A77, INDIRECT("MarR!$A$6:$ZZ$1048576"), MATCH(AA$1, MarR!$6:$6, 0), FALSE),
            0
        ) +
        IFERROR(
            VLOOKUP($A77, INDIRECT("AbrR!$A$6:$ZZ$1048576"), MATCH(AA$1, AbrR!$6:$6, 0), FALSE),
            0
        ) +
        IFERROR(
            VLOOKUP($A77, INDIRECT("MayR!$A$6:$ZZ$1048576"), MATCH(AA$1, MayR!$6:$6, 0), FALSE),
            0
        ) +
        IFERROR(
            VLOOKUP($A77, INDIRECT("JunR!$A$6:$ZZ$1048576"), MATCH(AA$1, JunR!$6:$6, 0), FALSE),
            0
        ) +
        IFERROR(
            VLOOKUP($A77, INDIRECT("JulR!$A$6:$ZZ$1048576"), MATCH(AA$1, JulR!$6:$6, 0), FALSE),
            0
        ) +
        IFERROR(
            VLOOKUP($A77, INDIRECT("AgoR!$A$6:$ZZ$1048576"), MATCH(AA$1, AgoR!$6:$6, 0), FALSE),
            0
        ) +
        IFERROR(
            VLOOKUP($A77, INDIRECT("SepR!$A$6:$ZZ$1048576"), MATCH(AA$1, SepR!$6:$6, 0), FALSE),
            0
        ) +
        IFERROR(
            VLOOKUP($A77, INDIRECT("OctR!$A$6:$ZZ$1048576"), MATCH(AA$1, OctR!$6:$6, 0), FALSE),
            0
        ) +
        IFERROR(
            VLOOKUP($A77, INDIRECT("NovR!$A$6:$ZZ$1048576"), MATCH(AA$1, NovR!$6:$6, 0), FALSE),
            0
        ) +
        IFERROR(
            VLOOKUP($A77, INDIRECT("DicR!$A$6:$ZZ$1048576"), MATCH(AA$1, DicR!$6:$6, 0), FALSE),
            0
        )
)</f>
        <v>0</v>
      </c>
      <c r="AB77" s="36">
        <f t="array" ref="AB77">SUM(
    IFERROR(
            VLOOKUP($A77, INDIRECT("EneR!$A$6:$ZZ$1048576"), MATCH(AB$1, EneR!$6:$6, 0), FALSE),
            0
        ) +
        IFERROR(
            VLOOKUP($A77, INDIRECT("FebR!$A$6:$ZZ$1048576"), MATCH(AB$1, FebR!$6:$6, 0), FALSE),
            0
        ) +
        IFERROR(
            VLOOKUP($A77, INDIRECT("MarR!$A$6:$ZZ$1048576"), MATCH(AB$1, MarR!$6:$6, 0), FALSE),
            0
        ) +
        IFERROR(
            VLOOKUP($A77, INDIRECT("AbrR!$A$6:$ZZ$1048576"), MATCH(AB$1, AbrR!$6:$6, 0), FALSE),
            0
        ) +
        IFERROR(
            VLOOKUP($A77, INDIRECT("MayR!$A$6:$ZZ$1048576"), MATCH(AB$1, MayR!$6:$6, 0), FALSE),
            0
        ) +
        IFERROR(
            VLOOKUP($A77, INDIRECT("JunR!$A$6:$ZZ$1048576"), MATCH(AB$1, JunR!$6:$6, 0), FALSE),
            0
        ) +
        IFERROR(
            VLOOKUP($A77, INDIRECT("JulR!$A$6:$ZZ$1048576"), MATCH(AB$1, JulR!$6:$6, 0), FALSE),
            0
        ) +
        IFERROR(
            VLOOKUP($A77, INDIRECT("AgoR!$A$6:$ZZ$1048576"), MATCH(AB$1, AgoR!$6:$6, 0), FALSE),
            0
        ) +
        IFERROR(
            VLOOKUP($A77, INDIRECT("SepR!$A$6:$ZZ$1048576"), MATCH(AB$1, SepR!$6:$6, 0), FALSE),
            0
        ) +
        IFERROR(
            VLOOKUP($A77, INDIRECT("OctR!$A$6:$ZZ$1048576"), MATCH(AB$1, OctR!$6:$6, 0), FALSE),
            0
        ) +
        IFERROR(
            VLOOKUP($A77, INDIRECT("NovR!$A$6:$ZZ$1048576"), MATCH(AB$1, NovR!$6:$6, 0), FALSE),
            0
        ) +
        IFERROR(
            VLOOKUP($A77, INDIRECT("DicR!$A$6:$ZZ$1048576"), MATCH(AB$1, DicR!$6:$6, 0), FALSE),
            0
        )
)</f>
        <v>0</v>
      </c>
      <c r="AC77" s="37">
        <f t="array" ref="AC77">SUM(
    IFERROR(
            VLOOKUP($A77, INDIRECT("EneR!$A$6:$ZZ$1048576"), MATCH(AC$1, EneR!$6:$6, 0), FALSE),
            0
        ) +
        IFERROR(
            VLOOKUP($A77, INDIRECT("FebR!$A$6:$ZZ$1048576"), MATCH(AC$1, FebR!$6:$6, 0), FALSE),
            0
        ) +
        IFERROR(
            VLOOKUP($A77, INDIRECT("MarR!$A$6:$ZZ$1048576"), MATCH(AC$1, MarR!$6:$6, 0), FALSE),
            0
        ) +
        IFERROR(
            VLOOKUP($A77, INDIRECT("AbrR!$A$6:$ZZ$1048576"), MATCH(AC$1, AbrR!$6:$6, 0), FALSE),
            0
        ) +
        IFERROR(
            VLOOKUP($A77, INDIRECT("MayR!$A$6:$ZZ$1048576"), MATCH(AC$1, MayR!$6:$6, 0), FALSE),
            0
        ) +
        IFERROR(
            VLOOKUP($A77, INDIRECT("JunR!$A$6:$ZZ$1048576"), MATCH(AC$1, JunR!$6:$6, 0), FALSE),
            0
        ) +
        IFERROR(
            VLOOKUP($A77, INDIRECT("JulR!$A$6:$ZZ$1048576"), MATCH(AC$1, JulR!$6:$6, 0), FALSE),
            0
        ) +
        IFERROR(
            VLOOKUP($A77, INDIRECT("AgoR!$A$6:$ZZ$1048576"), MATCH(AC$1, AgoR!$6:$6, 0), FALSE),
            0
        ) +
        IFERROR(
            VLOOKUP($A77, INDIRECT("SepR!$A$6:$ZZ$1048576"), MATCH(AC$1, SepR!$6:$6, 0), FALSE),
            0
        ) +
        IFERROR(
            VLOOKUP($A77, INDIRECT("OctR!$A$6:$ZZ$1048576"), MATCH(AC$1, OctR!$6:$6, 0), FALSE),
            0
        ) +
        IFERROR(
            VLOOKUP($A77, INDIRECT("NovR!$A$6:$ZZ$1048576"), MATCH(AC$1, NovR!$6:$6, 0), FALSE),
            0
        ) +
        IFERROR(
            VLOOKUP($A77, INDIRECT("DicR!$A$6:$ZZ$1048576"), MATCH(AC$1, DicR!$6:$6, 0), FALSE),
            0
        )
)</f>
        <v>0</v>
      </c>
      <c r="AD77" s="36">
        <f t="array" ref="AD77">SUM(
    IFERROR(
            VLOOKUP($A77, INDIRECT("EneR!$A$6:$ZZ$1048576"), MATCH(AD$1, EneR!$6:$6, 0), FALSE),
            0
        ) +
        IFERROR(
            VLOOKUP($A77, INDIRECT("FebR!$A$6:$ZZ$1048576"), MATCH(AD$1, FebR!$6:$6, 0), FALSE),
            0
        ) +
        IFERROR(
            VLOOKUP($A77, INDIRECT("MarR!$A$6:$ZZ$1048576"), MATCH(AD$1, MarR!$6:$6, 0), FALSE),
            0
        ) +
        IFERROR(
            VLOOKUP($A77, INDIRECT("AbrR!$A$6:$ZZ$1048576"), MATCH(AD$1, AbrR!$6:$6, 0), FALSE),
            0
        ) +
        IFERROR(
            VLOOKUP($A77, INDIRECT("MayR!$A$6:$ZZ$1048576"), MATCH(AD$1, MayR!$6:$6, 0), FALSE),
            0
        ) +
        IFERROR(
            VLOOKUP($A77, INDIRECT("JunR!$A$6:$ZZ$1048576"), MATCH(AD$1, JunR!$6:$6, 0), FALSE),
            0
        ) +
        IFERROR(
            VLOOKUP($A77, INDIRECT("JulR!$A$6:$ZZ$1048576"), MATCH(AD$1, JulR!$6:$6, 0), FALSE),
            0
        ) +
        IFERROR(
            VLOOKUP($A77, INDIRECT("AgoR!$A$6:$ZZ$1048576"), MATCH(AD$1, AgoR!$6:$6, 0), FALSE),
            0
        ) +
        IFERROR(
            VLOOKUP($A77, INDIRECT("SepR!$A$6:$ZZ$1048576"), MATCH(AD$1, SepR!$6:$6, 0), FALSE),
            0
        ) +
        IFERROR(
            VLOOKUP($A77, INDIRECT("OctR!$A$6:$ZZ$1048576"), MATCH(AD$1, OctR!$6:$6, 0), FALSE),
            0
        ) +
        IFERROR(
            VLOOKUP($A77, INDIRECT("NovR!$A$6:$ZZ$1048576"), MATCH(AD$1, NovR!$6:$6, 0), FALSE),
            0
        ) +
        IFERROR(
            VLOOKUP($A77, INDIRECT("DicR!$A$6:$ZZ$1048576"), MATCH(AD$1, DicR!$6:$6, 0), FALSE),
            0
        )
)</f>
        <v>0</v>
      </c>
      <c r="AE77" s="37">
        <f t="array" ref="AE77">SUM(
    IFERROR(
            VLOOKUP($A77, INDIRECT("EneR!$A$6:$ZZ$1048576"), MATCH(AE$1, EneR!$6:$6, 0), FALSE),
            0
        ) +
        IFERROR(
            VLOOKUP($A77, INDIRECT("FebR!$A$6:$ZZ$1048576"), MATCH(AE$1, FebR!$6:$6, 0), FALSE),
            0
        ) +
        IFERROR(
            VLOOKUP($A77, INDIRECT("MarR!$A$6:$ZZ$1048576"), MATCH(AE$1, MarR!$6:$6, 0), FALSE),
            0
        ) +
        IFERROR(
            VLOOKUP($A77, INDIRECT("AbrR!$A$6:$ZZ$1048576"), MATCH(AE$1, AbrR!$6:$6, 0), FALSE),
            0
        ) +
        IFERROR(
            VLOOKUP($A77, INDIRECT("MayR!$A$6:$ZZ$1048576"), MATCH(AE$1, MayR!$6:$6, 0), FALSE),
            0
        ) +
        IFERROR(
            VLOOKUP($A77, INDIRECT("JunR!$A$6:$ZZ$1048576"), MATCH(AE$1, JunR!$6:$6, 0), FALSE),
            0
        ) +
        IFERROR(
            VLOOKUP($A77, INDIRECT("JulR!$A$6:$ZZ$1048576"), MATCH(AE$1, JulR!$6:$6, 0), FALSE),
            0
        ) +
        IFERROR(
            VLOOKUP($A77, INDIRECT("AgoR!$A$6:$ZZ$1048576"), MATCH(AE$1, AgoR!$6:$6, 0), FALSE),
            0
        ) +
        IFERROR(
            VLOOKUP($A77, INDIRECT("SepR!$A$6:$ZZ$1048576"), MATCH(AE$1, SepR!$6:$6, 0), FALSE),
            0
        ) +
        IFERROR(
            VLOOKUP($A77, INDIRECT("OctR!$A$6:$ZZ$1048576"), MATCH(AE$1, OctR!$6:$6, 0), FALSE),
            0
        ) +
        IFERROR(
            VLOOKUP($A77, INDIRECT("NovR!$A$6:$ZZ$1048576"), MATCH(AE$1, NovR!$6:$6, 0), FALSE),
            0
        ) +
        IFERROR(
            VLOOKUP($A77, INDIRECT("DicR!$A$6:$ZZ$1048576"), MATCH(AE$1, DicR!$6:$6, 0), FALSE),
            0
        )
)</f>
        <v>0</v>
      </c>
      <c r="AF77" s="36">
        <f t="array" ref="AF77">SUM(
    IFERROR(
            VLOOKUP($A77, INDIRECT("EneR!$A$6:$ZZ$1048576"), MATCH(AF$1, EneR!$6:$6, 0), FALSE),
            0
        ) +
        IFERROR(
            VLOOKUP($A77, INDIRECT("FebR!$A$6:$ZZ$1048576"), MATCH(AF$1, FebR!$6:$6, 0), FALSE),
            0
        ) +
        IFERROR(
            VLOOKUP($A77, INDIRECT("MarR!$A$6:$ZZ$1048576"), MATCH(AF$1, MarR!$6:$6, 0), FALSE),
            0
        ) +
        IFERROR(
            VLOOKUP($A77, INDIRECT("AbrR!$A$6:$ZZ$1048576"), MATCH(AF$1, AbrR!$6:$6, 0), FALSE),
            0
        ) +
        IFERROR(
            VLOOKUP($A77, INDIRECT("MayR!$A$6:$ZZ$1048576"), MATCH(AF$1, MayR!$6:$6, 0), FALSE),
            0
        ) +
        IFERROR(
            VLOOKUP($A77, INDIRECT("JunR!$A$6:$ZZ$1048576"), MATCH(AF$1, JunR!$6:$6, 0), FALSE),
            0
        ) +
        IFERROR(
            VLOOKUP($A77, INDIRECT("JulR!$A$6:$ZZ$1048576"), MATCH(AF$1, JulR!$6:$6, 0), FALSE),
            0
        ) +
        IFERROR(
            VLOOKUP($A77, INDIRECT("AgoR!$A$6:$ZZ$1048576"), MATCH(AF$1, AgoR!$6:$6, 0), FALSE),
            0
        ) +
        IFERROR(
            VLOOKUP($A77, INDIRECT("SepR!$A$6:$ZZ$1048576"), MATCH(AF$1, SepR!$6:$6, 0), FALSE),
            0
        ) +
        IFERROR(
            VLOOKUP($A77, INDIRECT("OctR!$A$6:$ZZ$1048576"), MATCH(AF$1, OctR!$6:$6, 0), FALSE),
            0
        ) +
        IFERROR(
            VLOOKUP($A77, INDIRECT("NovR!$A$6:$ZZ$1048576"), MATCH(AF$1, NovR!$6:$6, 0), FALSE),
            0
        ) +
        IFERROR(
            VLOOKUP($A77, INDIRECT("DicR!$A$6:$ZZ$1048576"), MATCH(AF$1, DicR!$6:$6, 0), FALSE),
            0
        )
)</f>
        <v>0</v>
      </c>
      <c r="AG77" s="37">
        <f t="array" ref="AG77">SUM(
    IFERROR(
            VLOOKUP($A77, INDIRECT("EneR!$A$6:$ZZ$1048576"), MATCH(AG$1, EneR!$6:$6, 0), FALSE),
            0
        ) +
        IFERROR(
            VLOOKUP($A77, INDIRECT("FebR!$A$6:$ZZ$1048576"), MATCH(AG$1, FebR!$6:$6, 0), FALSE),
            0
        ) +
        IFERROR(
            VLOOKUP($A77, INDIRECT("MarR!$A$6:$ZZ$1048576"), MATCH(AG$1, MarR!$6:$6, 0), FALSE),
            0
        ) +
        IFERROR(
            VLOOKUP($A77, INDIRECT("AbrR!$A$6:$ZZ$1048576"), MATCH(AG$1, AbrR!$6:$6, 0), FALSE),
            0
        ) +
        IFERROR(
            VLOOKUP($A77, INDIRECT("MayR!$A$6:$ZZ$1048576"), MATCH(AG$1, MayR!$6:$6, 0), FALSE),
            0
        ) +
        IFERROR(
            VLOOKUP($A77, INDIRECT("JunR!$A$6:$ZZ$1048576"), MATCH(AG$1, JunR!$6:$6, 0), FALSE),
            0
        ) +
        IFERROR(
            VLOOKUP($A77, INDIRECT("JulR!$A$6:$ZZ$1048576"), MATCH(AG$1, JulR!$6:$6, 0), FALSE),
            0
        ) +
        IFERROR(
            VLOOKUP($A77, INDIRECT("AgoR!$A$6:$ZZ$1048576"), MATCH(AG$1, AgoR!$6:$6, 0), FALSE),
            0
        ) +
        IFERROR(
            VLOOKUP($A77, INDIRECT("SepR!$A$6:$ZZ$1048576"), MATCH(AG$1, SepR!$6:$6, 0), FALSE),
            0
        ) +
        IFERROR(
            VLOOKUP($A77, INDIRECT("OctR!$A$6:$ZZ$1048576"), MATCH(AG$1, OctR!$6:$6, 0), FALSE),
            0
        ) +
        IFERROR(
            VLOOKUP($A77, INDIRECT("NovR!$A$6:$ZZ$1048576"), MATCH(AG$1, NovR!$6:$6, 0), FALSE),
            0
        ) +
        IFERROR(
            VLOOKUP($A77, INDIRECT("DicR!$A$6:$ZZ$1048576"), MATCH(AG$1, DicR!$6:$6, 0), FALSE),
            0
        )
)</f>
        <v>0</v>
      </c>
      <c r="AH77" s="36">
        <f t="array" ref="AH77">SUM(
    IFERROR(
            VLOOKUP($A77, INDIRECT("EneR!$A$6:$ZZ$1048576"), MATCH(AH$1, EneR!$6:$6, 0), FALSE),
            0
        ) +
        IFERROR(
            VLOOKUP($A77, INDIRECT("FebR!$A$6:$ZZ$1048576"), MATCH(AH$1, FebR!$6:$6, 0), FALSE),
            0
        ) +
        IFERROR(
            VLOOKUP($A77, INDIRECT("MarR!$A$6:$ZZ$1048576"), MATCH(AH$1, MarR!$6:$6, 0), FALSE),
            0
        ) +
        IFERROR(
            VLOOKUP($A77, INDIRECT("AbrR!$A$6:$ZZ$1048576"), MATCH(AH$1, AbrR!$6:$6, 0), FALSE),
            0
        ) +
        IFERROR(
            VLOOKUP($A77, INDIRECT("MayR!$A$6:$ZZ$1048576"), MATCH(AH$1, MayR!$6:$6, 0), FALSE),
            0
        ) +
        IFERROR(
            VLOOKUP($A77, INDIRECT("JunR!$A$6:$ZZ$1048576"), MATCH(AH$1, JunR!$6:$6, 0), FALSE),
            0
        ) +
        IFERROR(
            VLOOKUP($A77, INDIRECT("JulR!$A$6:$ZZ$1048576"), MATCH(AH$1, JulR!$6:$6, 0), FALSE),
            0
        ) +
        IFERROR(
            VLOOKUP($A77, INDIRECT("AgoR!$A$6:$ZZ$1048576"), MATCH(AH$1, AgoR!$6:$6, 0), FALSE),
            0
        ) +
        IFERROR(
            VLOOKUP($A77, INDIRECT("SepR!$A$6:$ZZ$1048576"), MATCH(AH$1, SepR!$6:$6, 0), FALSE),
            0
        ) +
        IFERROR(
            VLOOKUP($A77, INDIRECT("OctR!$A$6:$ZZ$1048576"), MATCH(AH$1, OctR!$6:$6, 0), FALSE),
            0
        ) +
        IFERROR(
            VLOOKUP($A77, INDIRECT("NovR!$A$6:$ZZ$1048576"), MATCH(AH$1, NovR!$6:$6, 0), FALSE),
            0
        ) +
        IFERROR(
            VLOOKUP($A77, INDIRECT("DicR!$A$6:$ZZ$1048576"), MATCH(AH$1, DicR!$6:$6, 0), FALSE),
            0
        )
)</f>
        <v>0</v>
      </c>
      <c r="AI77" s="37">
        <f t="array" ref="AI77">SUM(
    IFERROR(
            VLOOKUP($A77, INDIRECT("EneR!$A$6:$ZZ$1048576"), MATCH(AI$1, EneR!$6:$6, 0), FALSE),
            0
        ) +
        IFERROR(
            VLOOKUP($A77, INDIRECT("FebR!$A$6:$ZZ$1048576"), MATCH(AI$1, FebR!$6:$6, 0), FALSE),
            0
        ) +
        IFERROR(
            VLOOKUP($A77, INDIRECT("MarR!$A$6:$ZZ$1048576"), MATCH(AI$1, MarR!$6:$6, 0), FALSE),
            0
        ) +
        IFERROR(
            VLOOKUP($A77, INDIRECT("AbrR!$A$6:$ZZ$1048576"), MATCH(AI$1, AbrR!$6:$6, 0), FALSE),
            0
        ) +
        IFERROR(
            VLOOKUP($A77, INDIRECT("MayR!$A$6:$ZZ$1048576"), MATCH(AI$1, MayR!$6:$6, 0), FALSE),
            0
        ) +
        IFERROR(
            VLOOKUP($A77, INDIRECT("JunR!$A$6:$ZZ$1048576"), MATCH(AI$1, JunR!$6:$6, 0), FALSE),
            0
        ) +
        IFERROR(
            VLOOKUP($A77, INDIRECT("JulR!$A$6:$ZZ$1048576"), MATCH(AI$1, JulR!$6:$6, 0), FALSE),
            0
        ) +
        IFERROR(
            VLOOKUP($A77, INDIRECT("AgoR!$A$6:$ZZ$1048576"), MATCH(AI$1, AgoR!$6:$6, 0), FALSE),
            0
        ) +
        IFERROR(
            VLOOKUP($A77, INDIRECT("SepR!$A$6:$ZZ$1048576"), MATCH(AI$1, SepR!$6:$6, 0), FALSE),
            0
        ) +
        IFERROR(
            VLOOKUP($A77, INDIRECT("OctR!$A$6:$ZZ$1048576"), MATCH(AI$1, OctR!$6:$6, 0), FALSE),
            0
        ) +
        IFERROR(
            VLOOKUP($A77, INDIRECT("NovR!$A$6:$ZZ$1048576"), MATCH(AI$1, NovR!$6:$6, 0), FALSE),
            0
        ) +
        IFERROR(
            VLOOKUP($A77, INDIRECT("DicR!$A$6:$ZZ$1048576"), MATCH(AI$1, DicR!$6:$6, 0), FALSE),
            0
        )
)</f>
        <v>0</v>
      </c>
      <c r="AJ77" s="36">
        <f t="array" ref="AJ77">SUM(
    IFERROR(
            VLOOKUP($A77, INDIRECT("EneR!$A$6:$ZZ$1048576"), MATCH(AJ$1, EneR!$6:$6, 0), FALSE),
            0
        ) +
        IFERROR(
            VLOOKUP($A77, INDIRECT("FebR!$A$6:$ZZ$1048576"), MATCH(AJ$1, FebR!$6:$6, 0), FALSE),
            0
        ) +
        IFERROR(
            VLOOKUP($A77, INDIRECT("MarR!$A$6:$ZZ$1048576"), MATCH(AJ$1, MarR!$6:$6, 0), FALSE),
            0
        ) +
        IFERROR(
            VLOOKUP($A77, INDIRECT("AbrR!$A$6:$ZZ$1048576"), MATCH(AJ$1, AbrR!$6:$6, 0), FALSE),
            0
        ) +
        IFERROR(
            VLOOKUP($A77, INDIRECT("MayR!$A$6:$ZZ$1048576"), MATCH(AJ$1, MayR!$6:$6, 0), FALSE),
            0
        ) +
        IFERROR(
            VLOOKUP($A77, INDIRECT("JunR!$A$6:$ZZ$1048576"), MATCH(AJ$1, JunR!$6:$6, 0), FALSE),
            0
        ) +
        IFERROR(
            VLOOKUP($A77, INDIRECT("JulR!$A$6:$ZZ$1048576"), MATCH(AJ$1, JulR!$6:$6, 0), FALSE),
            0
        ) +
        IFERROR(
            VLOOKUP($A77, INDIRECT("AgoR!$A$6:$ZZ$1048576"), MATCH(AJ$1, AgoR!$6:$6, 0), FALSE),
            0
        ) +
        IFERROR(
            VLOOKUP($A77, INDIRECT("SepR!$A$6:$ZZ$1048576"), MATCH(AJ$1, SepR!$6:$6, 0), FALSE),
            0
        ) +
        IFERROR(
            VLOOKUP($A77, INDIRECT("OctR!$A$6:$ZZ$1048576"), MATCH(AJ$1, OctR!$6:$6, 0), FALSE),
            0
        ) +
        IFERROR(
            VLOOKUP($A77, INDIRECT("NovR!$A$6:$ZZ$1048576"), MATCH(AJ$1, NovR!$6:$6, 0), FALSE),
            0
        ) +
        IFERROR(
            VLOOKUP($A77, INDIRECT("DicR!$A$6:$ZZ$1048576"), MATCH(AJ$1, DicR!$6:$6, 0), FALSE),
            0
        )
)</f>
        <v>0</v>
      </c>
      <c r="AK77" s="37">
        <f t="array" ref="AK77">SUM(
    IFERROR(
            VLOOKUP($A77, INDIRECT("EneR!$A$6:$ZZ$1048576"), MATCH(AK$1, EneR!$6:$6, 0), FALSE),
            0
        ) +
        IFERROR(
            VLOOKUP($A77, INDIRECT("FebR!$A$6:$ZZ$1048576"), MATCH(AK$1, FebR!$6:$6, 0), FALSE),
            0
        ) +
        IFERROR(
            VLOOKUP($A77, INDIRECT("MarR!$A$6:$ZZ$1048576"), MATCH(AK$1, MarR!$6:$6, 0), FALSE),
            0
        ) +
        IFERROR(
            VLOOKUP($A77, INDIRECT("AbrR!$A$6:$ZZ$1048576"), MATCH(AK$1, AbrR!$6:$6, 0), FALSE),
            0
        ) +
        IFERROR(
            VLOOKUP($A77, INDIRECT("MayR!$A$6:$ZZ$1048576"), MATCH(AK$1, MayR!$6:$6, 0), FALSE),
            0
        ) +
        IFERROR(
            VLOOKUP($A77, INDIRECT("JunR!$A$6:$ZZ$1048576"), MATCH(AK$1, JunR!$6:$6, 0), FALSE),
            0
        ) +
        IFERROR(
            VLOOKUP($A77, INDIRECT("JulR!$A$6:$ZZ$1048576"), MATCH(AK$1, JulR!$6:$6, 0), FALSE),
            0
        ) +
        IFERROR(
            VLOOKUP($A77, INDIRECT("AgoR!$A$6:$ZZ$1048576"), MATCH(AK$1, AgoR!$6:$6, 0), FALSE),
            0
        ) +
        IFERROR(
            VLOOKUP($A77, INDIRECT("SepR!$A$6:$ZZ$1048576"), MATCH(AK$1, SepR!$6:$6, 0), FALSE),
            0
        ) +
        IFERROR(
            VLOOKUP($A77, INDIRECT("OctR!$A$6:$ZZ$1048576"), MATCH(AK$1, OctR!$6:$6, 0), FALSE),
            0
        ) +
        IFERROR(
            VLOOKUP($A77, INDIRECT("NovR!$A$6:$ZZ$1048576"), MATCH(AK$1, NovR!$6:$6, 0), FALSE),
            0
        ) +
        IFERROR(
            VLOOKUP($A77, INDIRECT("DicR!$A$6:$ZZ$1048576"), MATCH(AK$1, DicR!$6:$6, 0), FALSE),
            0
        )
)</f>
        <v>0</v>
      </c>
      <c r="AL77" s="36">
        <f t="array" ref="AL77">SUM(
    IFERROR(
            VLOOKUP($A77, INDIRECT("EneR!$A$6:$ZZ$1048576"), MATCH(AL$1, EneR!$6:$6, 0), FALSE),
            0
        ) +
        IFERROR(
            VLOOKUP($A77, INDIRECT("FebR!$A$6:$ZZ$1048576"), MATCH(AL$1, FebR!$6:$6, 0), FALSE),
            0
        ) +
        IFERROR(
            VLOOKUP($A77, INDIRECT("MarR!$A$6:$ZZ$1048576"), MATCH(AL$1, MarR!$6:$6, 0), FALSE),
            0
        ) +
        IFERROR(
            VLOOKUP($A77, INDIRECT("AbrR!$A$6:$ZZ$1048576"), MATCH(AL$1, AbrR!$6:$6, 0), FALSE),
            0
        ) +
        IFERROR(
            VLOOKUP($A77, INDIRECT("MayR!$A$6:$ZZ$1048576"), MATCH(AL$1, MayR!$6:$6, 0), FALSE),
            0
        ) +
        IFERROR(
            VLOOKUP($A77, INDIRECT("JunR!$A$6:$ZZ$1048576"), MATCH(AL$1, JunR!$6:$6, 0), FALSE),
            0
        ) +
        IFERROR(
            VLOOKUP($A77, INDIRECT("JulR!$A$6:$ZZ$1048576"), MATCH(AL$1, JulR!$6:$6, 0), FALSE),
            0
        ) +
        IFERROR(
            VLOOKUP($A77, INDIRECT("AgoR!$A$6:$ZZ$1048576"), MATCH(AL$1, AgoR!$6:$6, 0), FALSE),
            0
        ) +
        IFERROR(
            VLOOKUP($A77, INDIRECT("SepR!$A$6:$ZZ$1048576"), MATCH(AL$1, SepR!$6:$6, 0), FALSE),
            0
        ) +
        IFERROR(
            VLOOKUP($A77, INDIRECT("OctR!$A$6:$ZZ$1048576"), MATCH(AL$1, OctR!$6:$6, 0), FALSE),
            0
        ) +
        IFERROR(
            VLOOKUP($A77, INDIRECT("NovR!$A$6:$ZZ$1048576"), MATCH(AL$1, NovR!$6:$6, 0), FALSE),
            0
        ) +
        IFERROR(
            VLOOKUP($A77, INDIRECT("DicR!$A$6:$ZZ$1048576"), MATCH(AL$1, DicR!$6:$6, 0), FALSE),
            0
        )
)</f>
        <v>0</v>
      </c>
      <c r="AM77" s="37">
        <f t="array" ref="AM77">SUM(
    IFERROR(
            VLOOKUP($A77, INDIRECT("EneR!$A$6:$ZZ$1048576"), MATCH(AM$1, EneR!$6:$6, 0), FALSE),
            0
        ) +
        IFERROR(
            VLOOKUP($A77, INDIRECT("FebR!$A$6:$ZZ$1048576"), MATCH(AM$1, FebR!$6:$6, 0), FALSE),
            0
        ) +
        IFERROR(
            VLOOKUP($A77, INDIRECT("MarR!$A$6:$ZZ$1048576"), MATCH(AM$1, MarR!$6:$6, 0), FALSE),
            0
        ) +
        IFERROR(
            VLOOKUP($A77, INDIRECT("AbrR!$A$6:$ZZ$1048576"), MATCH(AM$1, AbrR!$6:$6, 0), FALSE),
            0
        ) +
        IFERROR(
            VLOOKUP($A77, INDIRECT("MayR!$A$6:$ZZ$1048576"), MATCH(AM$1, MayR!$6:$6, 0), FALSE),
            0
        ) +
        IFERROR(
            VLOOKUP($A77, INDIRECT("JunR!$A$6:$ZZ$1048576"), MATCH(AM$1, JunR!$6:$6, 0), FALSE),
            0
        ) +
        IFERROR(
            VLOOKUP($A77, INDIRECT("JulR!$A$6:$ZZ$1048576"), MATCH(AM$1, JulR!$6:$6, 0), FALSE),
            0
        ) +
        IFERROR(
            VLOOKUP($A77, INDIRECT("AgoR!$A$6:$ZZ$1048576"), MATCH(AM$1, AgoR!$6:$6, 0), FALSE),
            0
        ) +
        IFERROR(
            VLOOKUP($A77, INDIRECT("SepR!$A$6:$ZZ$1048576"), MATCH(AM$1, SepR!$6:$6, 0), FALSE),
            0
        ) +
        IFERROR(
            VLOOKUP($A77, INDIRECT("OctR!$A$6:$ZZ$1048576"), MATCH(AM$1, OctR!$6:$6, 0), FALSE),
            0
        ) +
        IFERROR(
            VLOOKUP($A77, INDIRECT("NovR!$A$6:$ZZ$1048576"), MATCH(AM$1, NovR!$6:$6, 0), FALSE),
            0
        ) +
        IFERROR(
            VLOOKUP($A77, INDIRECT("DicR!$A$6:$ZZ$1048576"), MATCH(AM$1, DicR!$6:$6, 0), FALSE),
            0
        )
)</f>
        <v>0</v>
      </c>
      <c r="AN77" s="32">
        <f t="array" ref="AN77">SUM(
    IFERROR(
            VLOOKUP($A77, INDIRECT("EneR!$A$6:$ZZ$1048576"), MATCH(AN$1, EneR!$6:$6, 0), FALSE),
            0
        ) +
        IFERROR(
            VLOOKUP($A77, INDIRECT("FebR!$A$6:$ZZ$1048576"), MATCH(AN$1, FebR!$6:$6, 0), FALSE),
            0
        ) +
        IFERROR(
            VLOOKUP($A77, INDIRECT("MarR!$A$6:$ZZ$1048576"), MATCH(AN$1, MarR!$6:$6, 0), FALSE),
            0
        ) +
        IFERROR(
            VLOOKUP($A77, INDIRECT("AbrR!$A$6:$ZZ$1048576"), MATCH(AN$1, AbrR!$6:$6, 0), FALSE),
            0
        ) +
        IFERROR(
            VLOOKUP($A77, INDIRECT("MayR!$A$6:$ZZ$1048576"), MATCH(AN$1, MayR!$6:$6, 0), FALSE),
            0
        ) +
        IFERROR(
            VLOOKUP($A77, INDIRECT("JunR!$A$6:$ZZ$1048576"), MATCH(AN$1, JunR!$6:$6, 0), FALSE),
            0
        ) +
        IFERROR(
            VLOOKUP($A77, INDIRECT("JulR!$A$6:$ZZ$1048576"), MATCH(AN$1, JulR!$6:$6, 0), FALSE),
            0
        ) +
        IFERROR(
            VLOOKUP($A77, INDIRECT("AgoR!$A$6:$ZZ$1048576"), MATCH(AN$1, AgoR!$6:$6, 0), FALSE),
            0
        ) +
        IFERROR(
            VLOOKUP($A77, INDIRECT("SepR!$A$6:$ZZ$1048576"), MATCH(AN$1, SepR!$6:$6, 0), FALSE),
            0
        ) +
        IFERROR(
            VLOOKUP($A77, INDIRECT("OctR!$A$6:$ZZ$1048576"), MATCH(AN$1, OctR!$6:$6, 0), FALSE),
            0
        ) +
        IFERROR(
            VLOOKUP($A77, INDIRECT("NovR!$A$6:$ZZ$1048576"), MATCH(AN$1, NovR!$6:$6, 0), FALSE),
            0
        ) +
        IFERROR(
            VLOOKUP($A77, INDIRECT("DicR!$A$6:$ZZ$1048576"), MATCH(AN$1, DicR!$6:$6, 0), FALSE),
            0
        )
)</f>
        <v>0</v>
      </c>
      <c r="AO77" s="35">
        <f t="array" ref="AO77">SUM(
    IFERROR(
            VLOOKUP($A77, INDIRECT("EneR!$A$6:$ZZ$1048576"), MATCH(AO$1, EneR!$6:$6, 0), FALSE),
            0
        ) +
        IFERROR(
            VLOOKUP($A77, INDIRECT("FebR!$A$6:$ZZ$1048576"), MATCH(AO$1, FebR!$6:$6, 0), FALSE),
            0
        ) +
        IFERROR(
            VLOOKUP($A77, INDIRECT("MarR!$A$6:$ZZ$1048576"), MATCH(AO$1, MarR!$6:$6, 0), FALSE),
            0
        ) +
        IFERROR(
            VLOOKUP($A77, INDIRECT("AbrR!$A$6:$ZZ$1048576"), MATCH(AO$1, AbrR!$6:$6, 0), FALSE),
            0
        ) +
        IFERROR(
            VLOOKUP($A77, INDIRECT("MayR!$A$6:$ZZ$1048576"), MATCH(AO$1, MayR!$6:$6, 0), FALSE),
            0
        ) +
        IFERROR(
            VLOOKUP($A77, INDIRECT("JunR!$A$6:$ZZ$1048576"), MATCH(AO$1, JunR!$6:$6, 0), FALSE),
            0
        ) +
        IFERROR(
            VLOOKUP($A77, INDIRECT("JulR!$A$6:$ZZ$1048576"), MATCH(AO$1, JulR!$6:$6, 0), FALSE),
            0
        ) +
        IFERROR(
            VLOOKUP($A77, INDIRECT("AgoR!$A$6:$ZZ$1048576"), MATCH(AO$1, AgoR!$6:$6, 0), FALSE),
            0
        ) +
        IFERROR(
            VLOOKUP($A77, INDIRECT("SepR!$A$6:$ZZ$1048576"), MATCH(AO$1, SepR!$6:$6, 0), FALSE),
            0
        ) +
        IFERROR(
            VLOOKUP($A77, INDIRECT("OctR!$A$6:$ZZ$1048576"), MATCH(AO$1, OctR!$6:$6, 0), FALSE),
            0
        ) +
        IFERROR(
            VLOOKUP($A77, INDIRECT("NovR!$A$6:$ZZ$1048576"), MATCH(AO$1, NovR!$6:$6, 0), FALSE),
            0
        ) +
        IFERROR(
            VLOOKUP($A77, INDIRECT("DicR!$A$6:$ZZ$1048576"), MATCH(AO$1, DicR!$6:$6, 0), FALSE),
            0
        )
)</f>
        <v>0</v>
      </c>
      <c r="AP77" s="36">
        <f t="array" ref="AP77">SUM(
    IFERROR(
            VLOOKUP($A77, INDIRECT("EneR!$A$6:$ZZ$1048576"), MATCH(AP$1, EneR!$6:$6, 0), FALSE),
            0
        ) +
        IFERROR(
            VLOOKUP($A77, INDIRECT("FebR!$A$6:$ZZ$1048576"), MATCH(AP$1, FebR!$6:$6, 0), FALSE),
            0
        ) +
        IFERROR(
            VLOOKUP($A77, INDIRECT("MarR!$A$6:$ZZ$1048576"), MATCH(AP$1, MarR!$6:$6, 0), FALSE),
            0
        ) +
        IFERROR(
            VLOOKUP($A77, INDIRECT("AbrR!$A$6:$ZZ$1048576"), MATCH(AP$1, AbrR!$6:$6, 0), FALSE),
            0
        ) +
        IFERROR(
            VLOOKUP($A77, INDIRECT("MayR!$A$6:$ZZ$1048576"), MATCH(AP$1, MayR!$6:$6, 0), FALSE),
            0
        ) +
        IFERROR(
            VLOOKUP($A77, INDIRECT("JunR!$A$6:$ZZ$1048576"), MATCH(AP$1, JunR!$6:$6, 0), FALSE),
            0
        ) +
        IFERROR(
            VLOOKUP($A77, INDIRECT("JulR!$A$6:$ZZ$1048576"), MATCH(AP$1, JulR!$6:$6, 0), FALSE),
            0
        ) +
        IFERROR(
            VLOOKUP($A77, INDIRECT("AgoR!$A$6:$ZZ$1048576"), MATCH(AP$1, AgoR!$6:$6, 0), FALSE),
            0
        ) +
        IFERROR(
            VLOOKUP($A77, INDIRECT("SepR!$A$6:$ZZ$1048576"), MATCH(AP$1, SepR!$6:$6, 0), FALSE),
            0
        ) +
        IFERROR(
            VLOOKUP($A77, INDIRECT("OctR!$A$6:$ZZ$1048576"), MATCH(AP$1, OctR!$6:$6, 0), FALSE),
            0
        ) +
        IFERROR(
            VLOOKUP($A77, INDIRECT("NovR!$A$6:$ZZ$1048576"), MATCH(AP$1, NovR!$6:$6, 0), FALSE),
            0
        ) +
        IFERROR(
            VLOOKUP($A77, INDIRECT("DicR!$A$6:$ZZ$1048576"), MATCH(AP$1, DicR!$6:$6, 0), FALSE),
            0
        )
)</f>
        <v>0</v>
      </c>
      <c r="AQ77" s="35">
        <f t="array" ref="AQ77">SUM(
    IFERROR(
            VLOOKUP($A77, INDIRECT("EneR!$A$6:$ZZ$1048576"), MATCH(AQ$1, EneR!$6:$6, 0), FALSE),
            0
        ) +
        IFERROR(
            VLOOKUP($A77, INDIRECT("FebR!$A$6:$ZZ$1048576"), MATCH(AQ$1, FebR!$6:$6, 0), FALSE),
            0
        ) +
        IFERROR(
            VLOOKUP($A77, INDIRECT("MarR!$A$6:$ZZ$1048576"), MATCH(AQ$1, MarR!$6:$6, 0), FALSE),
            0
        ) +
        IFERROR(
            VLOOKUP($A77, INDIRECT("AbrR!$A$6:$ZZ$1048576"), MATCH(AQ$1, AbrR!$6:$6, 0), FALSE),
            0
        ) +
        IFERROR(
            VLOOKUP($A77, INDIRECT("MayR!$A$6:$ZZ$1048576"), MATCH(AQ$1, MayR!$6:$6, 0), FALSE),
            0
        ) +
        IFERROR(
            VLOOKUP($A77, INDIRECT("JunR!$A$6:$ZZ$1048576"), MATCH(AQ$1, JunR!$6:$6, 0), FALSE),
            0
        ) +
        IFERROR(
            VLOOKUP($A77, INDIRECT("JulR!$A$6:$ZZ$1048576"), MATCH(AQ$1, JulR!$6:$6, 0), FALSE),
            0
        ) +
        IFERROR(
            VLOOKUP($A77, INDIRECT("AgoR!$A$6:$ZZ$1048576"), MATCH(AQ$1, AgoR!$6:$6, 0), FALSE),
            0
        ) +
        IFERROR(
            VLOOKUP($A77, INDIRECT("SepR!$A$6:$ZZ$1048576"), MATCH(AQ$1, SepR!$6:$6, 0), FALSE),
            0
        ) +
        IFERROR(
            VLOOKUP($A77, INDIRECT("OctR!$A$6:$ZZ$1048576"), MATCH(AQ$1, OctR!$6:$6, 0), FALSE),
            0
        ) +
        IFERROR(
            VLOOKUP($A77, INDIRECT("NovR!$A$6:$ZZ$1048576"), MATCH(AQ$1, NovR!$6:$6, 0), FALSE),
            0
        ) +
        IFERROR(
            VLOOKUP($A77, INDIRECT("DicR!$A$6:$ZZ$1048576"), MATCH(AQ$1, DicR!$6:$6, 0), FALSE),
            0
        )
)</f>
        <v>0</v>
      </c>
      <c r="AR77" s="36">
        <f t="array" ref="AR77">SUM(
    IFERROR(
            VLOOKUP($A77, INDIRECT("EneR!$A$6:$ZZ$1048576"), MATCH(AR$1, EneR!$6:$6, 0), FALSE),
            0
        ) +
        IFERROR(
            VLOOKUP($A77, INDIRECT("FebR!$A$6:$ZZ$1048576"), MATCH(AR$1, FebR!$6:$6, 0), FALSE),
            0
        ) +
        IFERROR(
            VLOOKUP($A77, INDIRECT("MarR!$A$6:$ZZ$1048576"), MATCH(AR$1, MarR!$6:$6, 0), FALSE),
            0
        ) +
        IFERROR(
            VLOOKUP($A77, INDIRECT("AbrR!$A$6:$ZZ$1048576"), MATCH(AR$1, AbrR!$6:$6, 0), FALSE),
            0
        ) +
        IFERROR(
            VLOOKUP($A77, INDIRECT("MayR!$A$6:$ZZ$1048576"), MATCH(AR$1, MayR!$6:$6, 0), FALSE),
            0
        ) +
        IFERROR(
            VLOOKUP($A77, INDIRECT("JunR!$A$6:$ZZ$1048576"), MATCH(AR$1, JunR!$6:$6, 0), FALSE),
            0
        ) +
        IFERROR(
            VLOOKUP($A77, INDIRECT("JulR!$A$6:$ZZ$1048576"), MATCH(AR$1, JulR!$6:$6, 0), FALSE),
            0
        ) +
        IFERROR(
            VLOOKUP($A77, INDIRECT("AgoR!$A$6:$ZZ$1048576"), MATCH(AR$1, AgoR!$6:$6, 0), FALSE),
            0
        ) +
        IFERROR(
            VLOOKUP($A77, INDIRECT("SepR!$A$6:$ZZ$1048576"), MATCH(AR$1, SepR!$6:$6, 0), FALSE),
            0
        ) +
        IFERROR(
            VLOOKUP($A77, INDIRECT("OctR!$A$6:$ZZ$1048576"), MATCH(AR$1, OctR!$6:$6, 0), FALSE),
            0
        ) +
        IFERROR(
            VLOOKUP($A77, INDIRECT("NovR!$A$6:$ZZ$1048576"), MATCH(AR$1, NovR!$6:$6, 0), FALSE),
            0
        ) +
        IFERROR(
            VLOOKUP($A77, INDIRECT("DicR!$A$6:$ZZ$1048576"), MATCH(AR$1, DicR!$6:$6, 0), FALSE),
            0
        )
)</f>
        <v>0</v>
      </c>
      <c r="AS77" s="35">
        <f t="array" ref="AS77">SUM(
    IFERROR(
            VLOOKUP($A77, INDIRECT("EneR!$A$6:$ZZ$1048576"), MATCH(AS$1, EneR!$6:$6, 0), FALSE),
            0
        ) +
        IFERROR(
            VLOOKUP($A77, INDIRECT("FebR!$A$6:$ZZ$1048576"), MATCH(AS$1, FebR!$6:$6, 0), FALSE),
            0
        ) +
        IFERROR(
            VLOOKUP($A77, INDIRECT("MarR!$A$6:$ZZ$1048576"), MATCH(AS$1, MarR!$6:$6, 0), FALSE),
            0
        ) +
        IFERROR(
            VLOOKUP($A77, INDIRECT("AbrR!$A$6:$ZZ$1048576"), MATCH(AS$1, AbrR!$6:$6, 0), FALSE),
            0
        ) +
        IFERROR(
            VLOOKUP($A77, INDIRECT("MayR!$A$6:$ZZ$1048576"), MATCH(AS$1, MayR!$6:$6, 0), FALSE),
            0
        ) +
        IFERROR(
            VLOOKUP($A77, INDIRECT("JunR!$A$6:$ZZ$1048576"), MATCH(AS$1, JunR!$6:$6, 0), FALSE),
            0
        ) +
        IFERROR(
            VLOOKUP($A77, INDIRECT("JulR!$A$6:$ZZ$1048576"), MATCH(AS$1, JulR!$6:$6, 0), FALSE),
            0
        ) +
        IFERROR(
            VLOOKUP($A77, INDIRECT("AgoR!$A$6:$ZZ$1048576"), MATCH(AS$1, AgoR!$6:$6, 0), FALSE),
            0
        ) +
        IFERROR(
            VLOOKUP($A77, INDIRECT("SepR!$A$6:$ZZ$1048576"), MATCH(AS$1, SepR!$6:$6, 0), FALSE),
            0
        ) +
        IFERROR(
            VLOOKUP($A77, INDIRECT("OctR!$A$6:$ZZ$1048576"), MATCH(AS$1, OctR!$6:$6, 0), FALSE),
            0
        ) +
        IFERROR(
            VLOOKUP($A77, INDIRECT("NovR!$A$6:$ZZ$1048576"), MATCH(AS$1, NovR!$6:$6, 0), FALSE),
            0
        ) +
        IFERROR(
            VLOOKUP($A77, INDIRECT("DicR!$A$6:$ZZ$1048576"), MATCH(AS$1, DicR!$6:$6, 0), FALSE),
            0
        )
)</f>
        <v>0</v>
      </c>
      <c r="AT77" s="36">
        <f t="array" ref="AT77">SUM(
    IFERROR(
            VLOOKUP($A77, INDIRECT("EneR!$A$6:$ZZ$1048576"), MATCH(AT$1, EneR!$6:$6, 0), FALSE),
            0
        ) +
        IFERROR(
            VLOOKUP($A77, INDIRECT("FebR!$A$6:$ZZ$1048576"), MATCH(AT$1, FebR!$6:$6, 0), FALSE),
            0
        ) +
        IFERROR(
            VLOOKUP($A77, INDIRECT("MarR!$A$6:$ZZ$1048576"), MATCH(AT$1, MarR!$6:$6, 0), FALSE),
            0
        ) +
        IFERROR(
            VLOOKUP($A77, INDIRECT("AbrR!$A$6:$ZZ$1048576"), MATCH(AT$1, AbrR!$6:$6, 0), FALSE),
            0
        ) +
        IFERROR(
            VLOOKUP($A77, INDIRECT("MayR!$A$6:$ZZ$1048576"), MATCH(AT$1, MayR!$6:$6, 0), FALSE),
            0
        ) +
        IFERROR(
            VLOOKUP($A77, INDIRECT("JunR!$A$6:$ZZ$1048576"), MATCH(AT$1, JunR!$6:$6, 0), FALSE),
            0
        ) +
        IFERROR(
            VLOOKUP($A77, INDIRECT("JulR!$A$6:$ZZ$1048576"), MATCH(AT$1, JulR!$6:$6, 0), FALSE),
            0
        ) +
        IFERROR(
            VLOOKUP($A77, INDIRECT("AgoR!$A$6:$ZZ$1048576"), MATCH(AT$1, AgoR!$6:$6, 0), FALSE),
            0
        ) +
        IFERROR(
            VLOOKUP($A77, INDIRECT("SepR!$A$6:$ZZ$1048576"), MATCH(AT$1, SepR!$6:$6, 0), FALSE),
            0
        ) +
        IFERROR(
            VLOOKUP($A77, INDIRECT("OctR!$A$6:$ZZ$1048576"), MATCH(AT$1, OctR!$6:$6, 0), FALSE),
            0
        ) +
        IFERROR(
            VLOOKUP($A77, INDIRECT("NovR!$A$6:$ZZ$1048576"), MATCH(AT$1, NovR!$6:$6, 0), FALSE),
            0
        ) +
        IFERROR(
            VLOOKUP($A77, INDIRECT("DicR!$A$6:$ZZ$1048576"), MATCH(AT$1, DicR!$6:$6, 0), FALSE),
            0
        )
)</f>
        <v>0</v>
      </c>
      <c r="AU77" s="35">
        <f t="array" ref="AU77">SUM(
    IFERROR(
            VLOOKUP($A77, INDIRECT("EneR!$A$6:$ZZ$1048576"), MATCH(AU$1, EneR!$6:$6, 0), FALSE),
            0
        ) +
        IFERROR(
            VLOOKUP($A77, INDIRECT("FebR!$A$6:$ZZ$1048576"), MATCH(AU$1, FebR!$6:$6, 0), FALSE),
            0
        ) +
        IFERROR(
            VLOOKUP($A77, INDIRECT("MarR!$A$6:$ZZ$1048576"), MATCH(AU$1, MarR!$6:$6, 0), FALSE),
            0
        ) +
        IFERROR(
            VLOOKUP($A77, INDIRECT("AbrR!$A$6:$ZZ$1048576"), MATCH(AU$1, AbrR!$6:$6, 0), FALSE),
            0
        ) +
        IFERROR(
            VLOOKUP($A77, INDIRECT("MayR!$A$6:$ZZ$1048576"), MATCH(AU$1, MayR!$6:$6, 0), FALSE),
            0
        ) +
        IFERROR(
            VLOOKUP($A77, INDIRECT("JunR!$A$6:$ZZ$1048576"), MATCH(AU$1, JunR!$6:$6, 0), FALSE),
            0
        ) +
        IFERROR(
            VLOOKUP($A77, INDIRECT("JulR!$A$6:$ZZ$1048576"), MATCH(AU$1, JulR!$6:$6, 0), FALSE),
            0
        ) +
        IFERROR(
            VLOOKUP($A77, INDIRECT("AgoR!$A$6:$ZZ$1048576"), MATCH(AU$1, AgoR!$6:$6, 0), FALSE),
            0
        ) +
        IFERROR(
            VLOOKUP($A77, INDIRECT("SepR!$A$6:$ZZ$1048576"), MATCH(AU$1, SepR!$6:$6, 0), FALSE),
            0
        ) +
        IFERROR(
            VLOOKUP($A77, INDIRECT("OctR!$A$6:$ZZ$1048576"), MATCH(AU$1, OctR!$6:$6, 0), FALSE),
            0
        ) +
        IFERROR(
            VLOOKUP($A77, INDIRECT("NovR!$A$6:$ZZ$1048576"), MATCH(AU$1, NovR!$6:$6, 0), FALSE),
            0
        ) +
        IFERROR(
            VLOOKUP($A77, INDIRECT("DicR!$A$6:$ZZ$1048576"), MATCH(AU$1, DicR!$6:$6, 0), FALSE),
            0
        )
)</f>
        <v>0</v>
      </c>
      <c r="AV77" s="36">
        <f t="array" ref="AV77">SUM(
    IFERROR(
            VLOOKUP($A77, INDIRECT("EneR!$A$6:$ZZ$1048576"), MATCH(AV$1, EneR!$6:$6, 0), FALSE),
            0
        ) +
        IFERROR(
            VLOOKUP($A77, INDIRECT("FebR!$A$6:$ZZ$1048576"), MATCH(AV$1, FebR!$6:$6, 0), FALSE),
            0
        ) +
        IFERROR(
            VLOOKUP($A77, INDIRECT("MarR!$A$6:$ZZ$1048576"), MATCH(AV$1, MarR!$6:$6, 0), FALSE),
            0
        ) +
        IFERROR(
            VLOOKUP($A77, INDIRECT("AbrR!$A$6:$ZZ$1048576"), MATCH(AV$1, AbrR!$6:$6, 0), FALSE),
            0
        ) +
        IFERROR(
            VLOOKUP($A77, INDIRECT("MayR!$A$6:$ZZ$1048576"), MATCH(AV$1, MayR!$6:$6, 0), FALSE),
            0
        ) +
        IFERROR(
            VLOOKUP($A77, INDIRECT("JunR!$A$6:$ZZ$1048576"), MATCH(AV$1, JunR!$6:$6, 0), FALSE),
            0
        ) +
        IFERROR(
            VLOOKUP($A77, INDIRECT("JulR!$A$6:$ZZ$1048576"), MATCH(AV$1, JulR!$6:$6, 0), FALSE),
            0
        ) +
        IFERROR(
            VLOOKUP($A77, INDIRECT("AgoR!$A$6:$ZZ$1048576"), MATCH(AV$1, AgoR!$6:$6, 0), FALSE),
            0
        ) +
        IFERROR(
            VLOOKUP($A77, INDIRECT("SepR!$A$6:$ZZ$1048576"), MATCH(AV$1, SepR!$6:$6, 0), FALSE),
            0
        ) +
        IFERROR(
            VLOOKUP($A77, INDIRECT("OctR!$A$6:$ZZ$1048576"), MATCH(AV$1, OctR!$6:$6, 0), FALSE),
            0
        ) +
        IFERROR(
            VLOOKUP($A77, INDIRECT("NovR!$A$6:$ZZ$1048576"), MATCH(AV$1, NovR!$6:$6, 0), FALSE),
            0
        ) +
        IFERROR(
            VLOOKUP($A77, INDIRECT("DicR!$A$6:$ZZ$1048576"), MATCH(AV$1, DicR!$6:$6, 0), FALSE),
            0
        )
)</f>
        <v>0</v>
      </c>
      <c r="AW77" s="35">
        <f t="array" ref="AW77">SUM(
    IFERROR(
            VLOOKUP($A77, INDIRECT("EneR!$A$6:$ZZ$1048576"), MATCH(AW$1, EneR!$6:$6, 0), FALSE),
            0
        ) +
        IFERROR(
            VLOOKUP($A77, INDIRECT("FebR!$A$6:$ZZ$1048576"), MATCH(AW$1, FebR!$6:$6, 0), FALSE),
            0
        ) +
        IFERROR(
            VLOOKUP($A77, INDIRECT("MarR!$A$6:$ZZ$1048576"), MATCH(AW$1, MarR!$6:$6, 0), FALSE),
            0
        ) +
        IFERROR(
            VLOOKUP($A77, INDIRECT("AbrR!$A$6:$ZZ$1048576"), MATCH(AW$1, AbrR!$6:$6, 0), FALSE),
            0
        ) +
        IFERROR(
            VLOOKUP($A77, INDIRECT("MayR!$A$6:$ZZ$1048576"), MATCH(AW$1, MayR!$6:$6, 0), FALSE),
            0
        ) +
        IFERROR(
            VLOOKUP($A77, INDIRECT("JunR!$A$6:$ZZ$1048576"), MATCH(AW$1, JunR!$6:$6, 0), FALSE),
            0
        ) +
        IFERROR(
            VLOOKUP($A77, INDIRECT("JulR!$A$6:$ZZ$1048576"), MATCH(AW$1, JulR!$6:$6, 0), FALSE),
            0
        ) +
        IFERROR(
            VLOOKUP($A77, INDIRECT("AgoR!$A$6:$ZZ$1048576"), MATCH(AW$1, AgoR!$6:$6, 0), FALSE),
            0
        ) +
        IFERROR(
            VLOOKUP($A77, INDIRECT("SepR!$A$6:$ZZ$1048576"), MATCH(AW$1, SepR!$6:$6, 0), FALSE),
            0
        ) +
        IFERROR(
            VLOOKUP($A77, INDIRECT("OctR!$A$6:$ZZ$1048576"), MATCH(AW$1, OctR!$6:$6, 0), FALSE),
            0
        ) +
        IFERROR(
            VLOOKUP($A77, INDIRECT("NovR!$A$6:$ZZ$1048576"), MATCH(AW$1, NovR!$6:$6, 0), FALSE),
            0
        ) +
        IFERROR(
            VLOOKUP($A77, INDIRECT("DicR!$A$6:$ZZ$1048576"), MATCH(AW$1, DicR!$6:$6, 0), FALSE),
            0
        )
)</f>
        <v>0</v>
      </c>
      <c r="AX77" s="36">
        <f t="array" ref="AX77">SUM(
    IFERROR(
            VLOOKUP($A77, INDIRECT("EneR!$A$6:$ZZ$1048576"), MATCH(AX$1, EneR!$6:$6, 0), FALSE),
            0
        ) +
        IFERROR(
            VLOOKUP($A77, INDIRECT("FebR!$A$6:$ZZ$1048576"), MATCH(AX$1, FebR!$6:$6, 0), FALSE),
            0
        ) +
        IFERROR(
            VLOOKUP($A77, INDIRECT("MarR!$A$6:$ZZ$1048576"), MATCH(AX$1, MarR!$6:$6, 0), FALSE),
            0
        ) +
        IFERROR(
            VLOOKUP($A77, INDIRECT("AbrR!$A$6:$ZZ$1048576"), MATCH(AX$1, AbrR!$6:$6, 0), FALSE),
            0
        ) +
        IFERROR(
            VLOOKUP($A77, INDIRECT("MayR!$A$6:$ZZ$1048576"), MATCH(AX$1, MayR!$6:$6, 0), FALSE),
            0
        ) +
        IFERROR(
            VLOOKUP($A77, INDIRECT("JunR!$A$6:$ZZ$1048576"), MATCH(AX$1, JunR!$6:$6, 0), FALSE),
            0
        ) +
        IFERROR(
            VLOOKUP($A77, INDIRECT("JulR!$A$6:$ZZ$1048576"), MATCH(AX$1, JulR!$6:$6, 0), FALSE),
            0
        ) +
        IFERROR(
            VLOOKUP($A77, INDIRECT("AgoR!$A$6:$ZZ$1048576"), MATCH(AX$1, AgoR!$6:$6, 0), FALSE),
            0
        ) +
        IFERROR(
            VLOOKUP($A77, INDIRECT("SepR!$A$6:$ZZ$1048576"), MATCH(AX$1, SepR!$6:$6, 0), FALSE),
            0
        ) +
        IFERROR(
            VLOOKUP($A77, INDIRECT("OctR!$A$6:$ZZ$1048576"), MATCH(AX$1, OctR!$6:$6, 0), FALSE),
            0
        ) +
        IFERROR(
            VLOOKUP($A77, INDIRECT("NovR!$A$6:$ZZ$1048576"), MATCH(AX$1, NovR!$6:$6, 0), FALSE),
            0
        ) +
        IFERROR(
            VLOOKUP($A77, INDIRECT("DicR!$A$6:$ZZ$1048576"), MATCH(AX$1, DicR!$6:$6, 0), FALSE),
            0
        )
)</f>
        <v>0</v>
      </c>
      <c r="AY77" s="35">
        <f t="array" ref="AY77">SUM(
    IFERROR(
            VLOOKUP($A77, INDIRECT("EneR!$A$6:$ZZ$1048576"), MATCH(AY$1, EneR!$6:$6, 0), FALSE),
            0
        ) +
        IFERROR(
            VLOOKUP($A77, INDIRECT("FebR!$A$6:$ZZ$1048576"), MATCH(AY$1, FebR!$6:$6, 0), FALSE),
            0
        ) +
        IFERROR(
            VLOOKUP($A77, INDIRECT("MarR!$A$6:$ZZ$1048576"), MATCH(AY$1, MarR!$6:$6, 0), FALSE),
            0
        ) +
        IFERROR(
            VLOOKUP($A77, INDIRECT("AbrR!$A$6:$ZZ$1048576"), MATCH(AY$1, AbrR!$6:$6, 0), FALSE),
            0
        ) +
        IFERROR(
            VLOOKUP($A77, INDIRECT("MayR!$A$6:$ZZ$1048576"), MATCH(AY$1, MayR!$6:$6, 0), FALSE),
            0
        ) +
        IFERROR(
            VLOOKUP($A77, INDIRECT("JunR!$A$6:$ZZ$1048576"), MATCH(AY$1, JunR!$6:$6, 0), FALSE),
            0
        ) +
        IFERROR(
            VLOOKUP($A77, INDIRECT("JulR!$A$6:$ZZ$1048576"), MATCH(AY$1, JulR!$6:$6, 0), FALSE),
            0
        ) +
        IFERROR(
            VLOOKUP($A77, INDIRECT("AgoR!$A$6:$ZZ$1048576"), MATCH(AY$1, AgoR!$6:$6, 0), FALSE),
            0
        ) +
        IFERROR(
            VLOOKUP($A77, INDIRECT("SepR!$A$6:$ZZ$1048576"), MATCH(AY$1, SepR!$6:$6, 0), FALSE),
            0
        ) +
        IFERROR(
            VLOOKUP($A77, INDIRECT("OctR!$A$6:$ZZ$1048576"), MATCH(AY$1, OctR!$6:$6, 0), FALSE),
            0
        ) +
        IFERROR(
            VLOOKUP($A77, INDIRECT("NovR!$A$6:$ZZ$1048576"), MATCH(AY$1, NovR!$6:$6, 0), FALSE),
            0
        ) +
        IFERROR(
            VLOOKUP($A77, INDIRECT("DicR!$A$6:$ZZ$1048576"), MATCH(AY$1, DicR!$6:$6, 0), FALSE),
            0
        )
)</f>
        <v>0</v>
      </c>
      <c r="AZ77" s="35"/>
    </row>
    <row r="78" ht="15.75" customHeight="1">
      <c r="A78" s="12" t="str">
        <f>Menus!B39</f>
        <v/>
      </c>
      <c r="B78" s="32">
        <f t="shared" si="9"/>
        <v>0</v>
      </c>
      <c r="C78" s="33" t="str">
        <f t="shared" si="10"/>
        <v/>
      </c>
      <c r="D78" s="34">
        <f t="array" ref="D78">SUM(
    IFERROR(
            VLOOKUP($A78, INDIRECT("EneR!$A$6:$ZZ$1048576"), MATCH(D$1, EneR!$6:$6, 0), FALSE),
            0
        ) +
        IFERROR(
            VLOOKUP($A78, INDIRECT("FebR!$A$6:$ZZ$1048576"), MATCH(D$1, FebR!$6:$6, 0), FALSE),
            0
        ) +
        IFERROR(
            VLOOKUP($A78, INDIRECT("MarR!$A$6:$ZZ$1048576"), MATCH(D$1, MarR!$6:$6, 0), FALSE),
            0
        ) +
        IFERROR(
            VLOOKUP($A78, INDIRECT("AbrR!$A$6:$ZZ$1048576"), MATCH(D$1, AbrR!$6:$6, 0), FALSE),
            0
        ) +
        IFERROR(
            VLOOKUP($A78, INDIRECT("MayR!$A$6:$ZZ$1048576"), MATCH(D$1, MayR!$6:$6, 0), FALSE),
            0
        ) +
        IFERROR(
            VLOOKUP($A78, INDIRECT("JunR!$A$6:$ZZ$1048576"), MATCH(D$1, JunR!$6:$6, 0), FALSE),
            0
        ) +
        IFERROR(
            VLOOKUP($A78, INDIRECT("JulR!$A$6:$ZZ$1048576"), MATCH(D$1, JulR!$6:$6, 0), FALSE),
            0
        ) +
        IFERROR(
            VLOOKUP($A78, INDIRECT("AgoR!$A$6:$ZZ$1048576"), MATCH(D$1, AgoR!$6:$6, 0), FALSE),
            0
        ) +
        IFERROR(
            VLOOKUP($A78, INDIRECT("SepR!$A$6:$ZZ$1048576"), MATCH(D$1, SepR!$6:$6, 0), FALSE),
            0
        ) +
        IFERROR(
            VLOOKUP($A78, INDIRECT("OctR!$A$6:$ZZ$1048576"), MATCH(D$1, OctR!$6:$6, 0), FALSE),
            0
        ) +
        IFERROR(
            VLOOKUP($A78, INDIRECT("NovR!$A$6:$ZZ$1048576"), MATCH(D$1, NovR!$6:$6, 0), FALSE),
            0
        ) +
        IFERROR(
            VLOOKUP($A78, INDIRECT("DicR!$A$6:$ZZ$1048576"), MATCH(D$1, DicR!$6:$6, 0), FALSE),
            0
        )
)</f>
        <v>0</v>
      </c>
      <c r="E78" s="35">
        <f t="array" ref="E78">SUM(
    IFERROR(
            VLOOKUP($A78, INDIRECT("EneR!$A$6:$ZZ$1048576"), MATCH(E$1, EneR!$6:$6, 0), FALSE),
            0
        ) +
        IFERROR(
            VLOOKUP($A78, INDIRECT("FebR!$A$6:$ZZ$1048576"), MATCH(E$1, FebR!$6:$6, 0), FALSE),
            0
        ) +
        IFERROR(
            VLOOKUP($A78, INDIRECT("MarR!$A$6:$ZZ$1048576"), MATCH(E$1, MarR!$6:$6, 0), FALSE),
            0
        ) +
        IFERROR(
            VLOOKUP($A78, INDIRECT("AbrR!$A$6:$ZZ$1048576"), MATCH(E$1, AbrR!$6:$6, 0), FALSE),
            0
        ) +
        IFERROR(
            VLOOKUP($A78, INDIRECT("MayR!$A$6:$ZZ$1048576"), MATCH(E$1, MayR!$6:$6, 0), FALSE),
            0
        ) +
        IFERROR(
            VLOOKUP($A78, INDIRECT("JunR!$A$6:$ZZ$1048576"), MATCH(E$1, JunR!$6:$6, 0), FALSE),
            0
        ) +
        IFERROR(
            VLOOKUP($A78, INDIRECT("JulR!$A$6:$ZZ$1048576"), MATCH(E$1, JulR!$6:$6, 0), FALSE),
            0
        ) +
        IFERROR(
            VLOOKUP($A78, INDIRECT("AgoR!$A$6:$ZZ$1048576"), MATCH(E$1, AgoR!$6:$6, 0), FALSE),
            0
        ) +
        IFERROR(
            VLOOKUP($A78, INDIRECT("SepR!$A$6:$ZZ$1048576"), MATCH(E$1, SepR!$6:$6, 0), FALSE),
            0
        ) +
        IFERROR(
            VLOOKUP($A78, INDIRECT("OctR!$A$6:$ZZ$1048576"), MATCH(E$1, OctR!$6:$6, 0), FALSE),
            0
        ) +
        IFERROR(
            VLOOKUP($A78, INDIRECT("NovR!$A$6:$ZZ$1048576"), MATCH(E$1, NovR!$6:$6, 0), FALSE),
            0
        ) +
        IFERROR(
            VLOOKUP($A78, INDIRECT("DicR!$A$6:$ZZ$1048576"), MATCH(E$1, DicR!$6:$6, 0), FALSE),
            0
        )
)</f>
        <v>0</v>
      </c>
      <c r="F78" s="32">
        <f t="array" ref="F78">SUM(
    IFERROR(
            VLOOKUP($A78, INDIRECT("EneR!$A$6:$ZZ$1048576"), MATCH(F$1, EneR!$6:$6, 0), FALSE),
            0
        ) +
        IFERROR(
            VLOOKUP($A78, INDIRECT("FebR!$A$6:$ZZ$1048576"), MATCH(F$1, FebR!$6:$6, 0), FALSE),
            0
        ) +
        IFERROR(
            VLOOKUP($A78, INDIRECT("MarR!$A$6:$ZZ$1048576"), MATCH(F$1, MarR!$6:$6, 0), FALSE),
            0
        ) +
        IFERROR(
            VLOOKUP($A78, INDIRECT("AbrR!$A$6:$ZZ$1048576"), MATCH(F$1, AbrR!$6:$6, 0), FALSE),
            0
        ) +
        IFERROR(
            VLOOKUP($A78, INDIRECT("MayR!$A$6:$ZZ$1048576"), MATCH(F$1, MayR!$6:$6, 0), FALSE),
            0
        ) +
        IFERROR(
            VLOOKUP($A78, INDIRECT("JunR!$A$6:$ZZ$1048576"), MATCH(F$1, JunR!$6:$6, 0), FALSE),
            0
        ) +
        IFERROR(
            VLOOKUP($A78, INDIRECT("JulR!$A$6:$ZZ$1048576"), MATCH(F$1, JulR!$6:$6, 0), FALSE),
            0
        ) +
        IFERROR(
            VLOOKUP($A78, INDIRECT("AgoR!$A$6:$ZZ$1048576"), MATCH(F$1, AgoR!$6:$6, 0), FALSE),
            0
        ) +
        IFERROR(
            VLOOKUP($A78, INDIRECT("SepR!$A$6:$ZZ$1048576"), MATCH(F$1, SepR!$6:$6, 0), FALSE),
            0
        ) +
        IFERROR(
            VLOOKUP($A78, INDIRECT("OctR!$A$6:$ZZ$1048576"), MATCH(F$1, OctR!$6:$6, 0), FALSE),
            0
        ) +
        IFERROR(
            VLOOKUP($A78, INDIRECT("NovR!$A$6:$ZZ$1048576"), MATCH(F$1, NovR!$6:$6, 0), FALSE),
            0
        ) +
        IFERROR(
            VLOOKUP($A78, INDIRECT("DicR!$A$6:$ZZ$1048576"), MATCH(F$1, DicR!$6:$6, 0), FALSE),
            0
        )
)</f>
        <v>0</v>
      </c>
      <c r="G78" s="35">
        <f t="array" ref="G78">SUM(
    IFERROR(
            VLOOKUP($A78, INDIRECT("EneR!$A$6:$ZZ$1048576"), MATCH(G$1, EneR!$6:$6, 0), FALSE),
            0
        ) +
        IFERROR(
            VLOOKUP($A78, INDIRECT("FebR!$A$6:$ZZ$1048576"), MATCH(G$1, FebR!$6:$6, 0), FALSE),
            0
        ) +
        IFERROR(
            VLOOKUP($A78, INDIRECT("MarR!$A$6:$ZZ$1048576"), MATCH(G$1, MarR!$6:$6, 0), FALSE),
            0
        ) +
        IFERROR(
            VLOOKUP($A78, INDIRECT("AbrR!$A$6:$ZZ$1048576"), MATCH(G$1, AbrR!$6:$6, 0), FALSE),
            0
        ) +
        IFERROR(
            VLOOKUP($A78, INDIRECT("MayR!$A$6:$ZZ$1048576"), MATCH(G$1, MayR!$6:$6, 0), FALSE),
            0
        ) +
        IFERROR(
            VLOOKUP($A78, INDIRECT("JunR!$A$6:$ZZ$1048576"), MATCH(G$1, JunR!$6:$6, 0), FALSE),
            0
        ) +
        IFERROR(
            VLOOKUP($A78, INDIRECT("JulR!$A$6:$ZZ$1048576"), MATCH(G$1, JulR!$6:$6, 0), FALSE),
            0
        ) +
        IFERROR(
            VLOOKUP($A78, INDIRECT("AgoR!$A$6:$ZZ$1048576"), MATCH(G$1, AgoR!$6:$6, 0), FALSE),
            0
        ) +
        IFERROR(
            VLOOKUP($A78, INDIRECT("SepR!$A$6:$ZZ$1048576"), MATCH(G$1, SepR!$6:$6, 0), FALSE),
            0
        ) +
        IFERROR(
            VLOOKUP($A78, INDIRECT("OctR!$A$6:$ZZ$1048576"), MATCH(G$1, OctR!$6:$6, 0), FALSE),
            0
        ) +
        IFERROR(
            VLOOKUP($A78, INDIRECT("NovR!$A$6:$ZZ$1048576"), MATCH(G$1, NovR!$6:$6, 0), FALSE),
            0
        ) +
        IFERROR(
            VLOOKUP($A78, INDIRECT("DicR!$A$6:$ZZ$1048576"), MATCH(G$1, DicR!$6:$6, 0), FALSE),
            0
        )
)</f>
        <v>0</v>
      </c>
      <c r="H78" s="32">
        <f t="array" ref="H78">SUM(
    IFERROR(
            VLOOKUP($A78, INDIRECT("EneR!$A$6:$ZZ$1048576"), MATCH(H$1, EneR!$6:$6, 0), FALSE),
            0
        ) +
        IFERROR(
            VLOOKUP($A78, INDIRECT("FebR!$A$6:$ZZ$1048576"), MATCH(H$1, FebR!$6:$6, 0), FALSE),
            0
        ) +
        IFERROR(
            VLOOKUP($A78, INDIRECT("MarR!$A$6:$ZZ$1048576"), MATCH(H$1, MarR!$6:$6, 0), FALSE),
            0
        ) +
        IFERROR(
            VLOOKUP($A78, INDIRECT("AbrR!$A$6:$ZZ$1048576"), MATCH(H$1, AbrR!$6:$6, 0), FALSE),
            0
        ) +
        IFERROR(
            VLOOKUP($A78, INDIRECT("MayR!$A$6:$ZZ$1048576"), MATCH(H$1, MayR!$6:$6, 0), FALSE),
            0
        ) +
        IFERROR(
            VLOOKUP($A78, INDIRECT("JunR!$A$6:$ZZ$1048576"), MATCH(H$1, JunR!$6:$6, 0), FALSE),
            0
        ) +
        IFERROR(
            VLOOKUP($A78, INDIRECT("JulR!$A$6:$ZZ$1048576"), MATCH(H$1, JulR!$6:$6, 0), FALSE),
            0
        ) +
        IFERROR(
            VLOOKUP($A78, INDIRECT("AgoR!$A$6:$ZZ$1048576"), MATCH(H$1, AgoR!$6:$6, 0), FALSE),
            0
        ) +
        IFERROR(
            VLOOKUP($A78, INDIRECT("SepR!$A$6:$ZZ$1048576"), MATCH(H$1, SepR!$6:$6, 0), FALSE),
            0
        ) +
        IFERROR(
            VLOOKUP($A78, INDIRECT("OctR!$A$6:$ZZ$1048576"), MATCH(H$1, OctR!$6:$6, 0), FALSE),
            0
        ) +
        IFERROR(
            VLOOKUP($A78, INDIRECT("NovR!$A$6:$ZZ$1048576"), MATCH(H$1, NovR!$6:$6, 0), FALSE),
            0
        ) +
        IFERROR(
            VLOOKUP($A78, INDIRECT("DicR!$A$6:$ZZ$1048576"), MATCH(H$1, DicR!$6:$6, 0), FALSE),
            0
        )
)</f>
        <v>0</v>
      </c>
      <c r="I78" s="35">
        <f t="array" ref="I78">SUM(
    IFERROR(
            VLOOKUP($A78, INDIRECT("EneR!$A$6:$ZZ$1048576"), MATCH(I$1, EneR!$6:$6, 0), FALSE),
            0
        ) +
        IFERROR(
            VLOOKUP($A78, INDIRECT("FebR!$A$6:$ZZ$1048576"), MATCH(I$1, FebR!$6:$6, 0), FALSE),
            0
        ) +
        IFERROR(
            VLOOKUP($A78, INDIRECT("MarR!$A$6:$ZZ$1048576"), MATCH(I$1, MarR!$6:$6, 0), FALSE),
            0
        ) +
        IFERROR(
            VLOOKUP($A78, INDIRECT("AbrR!$A$6:$ZZ$1048576"), MATCH(I$1, AbrR!$6:$6, 0), FALSE),
            0
        ) +
        IFERROR(
            VLOOKUP($A78, INDIRECT("MayR!$A$6:$ZZ$1048576"), MATCH(I$1, MayR!$6:$6, 0), FALSE),
            0
        ) +
        IFERROR(
            VLOOKUP($A78, INDIRECT("JunR!$A$6:$ZZ$1048576"), MATCH(I$1, JunR!$6:$6, 0), FALSE),
            0
        ) +
        IFERROR(
            VLOOKUP($A78, INDIRECT("JulR!$A$6:$ZZ$1048576"), MATCH(I$1, JulR!$6:$6, 0), FALSE),
            0
        ) +
        IFERROR(
            VLOOKUP($A78, INDIRECT("AgoR!$A$6:$ZZ$1048576"), MATCH(I$1, AgoR!$6:$6, 0), FALSE),
            0
        ) +
        IFERROR(
            VLOOKUP($A78, INDIRECT("SepR!$A$6:$ZZ$1048576"), MATCH(I$1, SepR!$6:$6, 0), FALSE),
            0
        ) +
        IFERROR(
            VLOOKUP($A78, INDIRECT("OctR!$A$6:$ZZ$1048576"), MATCH(I$1, OctR!$6:$6, 0), FALSE),
            0
        ) +
        IFERROR(
            VLOOKUP($A78, INDIRECT("NovR!$A$6:$ZZ$1048576"), MATCH(I$1, NovR!$6:$6, 0), FALSE),
            0
        ) +
        IFERROR(
            VLOOKUP($A78, INDIRECT("DicR!$A$6:$ZZ$1048576"), MATCH(I$1, DicR!$6:$6, 0), FALSE),
            0
        )
)</f>
        <v>0</v>
      </c>
      <c r="J78" s="32">
        <f t="array" ref="J78">SUM(
    IFERROR(
            VLOOKUP($A78, INDIRECT("EneR!$A$6:$ZZ$1048576"), MATCH(J$1, EneR!$6:$6, 0), FALSE),
            0
        ) +
        IFERROR(
            VLOOKUP($A78, INDIRECT("FebR!$A$6:$ZZ$1048576"), MATCH(J$1, FebR!$6:$6, 0), FALSE),
            0
        ) +
        IFERROR(
            VLOOKUP($A78, INDIRECT("MarR!$A$6:$ZZ$1048576"), MATCH(J$1, MarR!$6:$6, 0), FALSE),
            0
        ) +
        IFERROR(
            VLOOKUP($A78, INDIRECT("AbrR!$A$6:$ZZ$1048576"), MATCH(J$1, AbrR!$6:$6, 0), FALSE),
            0
        ) +
        IFERROR(
            VLOOKUP($A78, INDIRECT("MayR!$A$6:$ZZ$1048576"), MATCH(J$1, MayR!$6:$6, 0), FALSE),
            0
        ) +
        IFERROR(
            VLOOKUP($A78, INDIRECT("JunR!$A$6:$ZZ$1048576"), MATCH(J$1, JunR!$6:$6, 0), FALSE),
            0
        ) +
        IFERROR(
            VLOOKUP($A78, INDIRECT("JulR!$A$6:$ZZ$1048576"), MATCH(J$1, JulR!$6:$6, 0), FALSE),
            0
        ) +
        IFERROR(
            VLOOKUP($A78, INDIRECT("AgoR!$A$6:$ZZ$1048576"), MATCH(J$1, AgoR!$6:$6, 0), FALSE),
            0
        ) +
        IFERROR(
            VLOOKUP($A78, INDIRECT("SepR!$A$6:$ZZ$1048576"), MATCH(J$1, SepR!$6:$6, 0), FALSE),
            0
        ) +
        IFERROR(
            VLOOKUP($A78, INDIRECT("OctR!$A$6:$ZZ$1048576"), MATCH(J$1, OctR!$6:$6, 0), FALSE),
            0
        ) +
        IFERROR(
            VLOOKUP($A78, INDIRECT("NovR!$A$6:$ZZ$1048576"), MATCH(J$1, NovR!$6:$6, 0), FALSE),
            0
        ) +
        IFERROR(
            VLOOKUP($A78, INDIRECT("DicR!$A$6:$ZZ$1048576"), MATCH(J$1, DicR!$6:$6, 0), FALSE),
            0
        )
)</f>
        <v>0</v>
      </c>
      <c r="K78" s="35">
        <f t="array" ref="K78">SUM(
    IFERROR(
            VLOOKUP($A78, INDIRECT("EneR!$A$6:$ZZ$1048576"), MATCH(K$1, EneR!$6:$6, 0), FALSE),
            0
        ) +
        IFERROR(
            VLOOKUP($A78, INDIRECT("FebR!$A$6:$ZZ$1048576"), MATCH(K$1, FebR!$6:$6, 0), FALSE),
            0
        ) +
        IFERROR(
            VLOOKUP($A78, INDIRECT("MarR!$A$6:$ZZ$1048576"), MATCH(K$1, MarR!$6:$6, 0), FALSE),
            0
        ) +
        IFERROR(
            VLOOKUP($A78, INDIRECT("AbrR!$A$6:$ZZ$1048576"), MATCH(K$1, AbrR!$6:$6, 0), FALSE),
            0
        ) +
        IFERROR(
            VLOOKUP($A78, INDIRECT("MayR!$A$6:$ZZ$1048576"), MATCH(K$1, MayR!$6:$6, 0), FALSE),
            0
        ) +
        IFERROR(
            VLOOKUP($A78, INDIRECT("JunR!$A$6:$ZZ$1048576"), MATCH(K$1, JunR!$6:$6, 0), FALSE),
            0
        ) +
        IFERROR(
            VLOOKUP($A78, INDIRECT("JulR!$A$6:$ZZ$1048576"), MATCH(K$1, JulR!$6:$6, 0), FALSE),
            0
        ) +
        IFERROR(
            VLOOKUP($A78, INDIRECT("AgoR!$A$6:$ZZ$1048576"), MATCH(K$1, AgoR!$6:$6, 0), FALSE),
            0
        ) +
        IFERROR(
            VLOOKUP($A78, INDIRECT("SepR!$A$6:$ZZ$1048576"), MATCH(K$1, SepR!$6:$6, 0), FALSE),
            0
        ) +
        IFERROR(
            VLOOKUP($A78, INDIRECT("OctR!$A$6:$ZZ$1048576"), MATCH(K$1, OctR!$6:$6, 0), FALSE),
            0
        ) +
        IFERROR(
            VLOOKUP($A78, INDIRECT("NovR!$A$6:$ZZ$1048576"), MATCH(K$1, NovR!$6:$6, 0), FALSE),
            0
        ) +
        IFERROR(
            VLOOKUP($A78, INDIRECT("DicR!$A$6:$ZZ$1048576"), MATCH(K$1, DicR!$6:$6, 0), FALSE),
            0
        )
)</f>
        <v>0</v>
      </c>
      <c r="L78" s="32">
        <f t="array" ref="L78">SUM(
    IFERROR(
            VLOOKUP($A78, INDIRECT("EneR!$A$6:$ZZ$1048576"), MATCH(L$1, EneR!$6:$6, 0), FALSE),
            0
        ) +
        IFERROR(
            VLOOKUP($A78, INDIRECT("FebR!$A$6:$ZZ$1048576"), MATCH(L$1, FebR!$6:$6, 0), FALSE),
            0
        ) +
        IFERROR(
            VLOOKUP($A78, INDIRECT("MarR!$A$6:$ZZ$1048576"), MATCH(L$1, MarR!$6:$6, 0), FALSE),
            0
        ) +
        IFERROR(
            VLOOKUP($A78, INDIRECT("AbrR!$A$6:$ZZ$1048576"), MATCH(L$1, AbrR!$6:$6, 0), FALSE),
            0
        ) +
        IFERROR(
            VLOOKUP($A78, INDIRECT("MayR!$A$6:$ZZ$1048576"), MATCH(L$1, MayR!$6:$6, 0), FALSE),
            0
        ) +
        IFERROR(
            VLOOKUP($A78, INDIRECT("JunR!$A$6:$ZZ$1048576"), MATCH(L$1, JunR!$6:$6, 0), FALSE),
            0
        ) +
        IFERROR(
            VLOOKUP($A78, INDIRECT("JulR!$A$6:$ZZ$1048576"), MATCH(L$1, JulR!$6:$6, 0), FALSE),
            0
        ) +
        IFERROR(
            VLOOKUP($A78, INDIRECT("AgoR!$A$6:$ZZ$1048576"), MATCH(L$1, AgoR!$6:$6, 0), FALSE),
            0
        ) +
        IFERROR(
            VLOOKUP($A78, INDIRECT("SepR!$A$6:$ZZ$1048576"), MATCH(L$1, SepR!$6:$6, 0), FALSE),
            0
        ) +
        IFERROR(
            VLOOKUP($A78, INDIRECT("OctR!$A$6:$ZZ$1048576"), MATCH(L$1, OctR!$6:$6, 0), FALSE),
            0
        ) +
        IFERROR(
            VLOOKUP($A78, INDIRECT("NovR!$A$6:$ZZ$1048576"), MATCH(L$1, NovR!$6:$6, 0), FALSE),
            0
        ) +
        IFERROR(
            VLOOKUP($A78, INDIRECT("DicR!$A$6:$ZZ$1048576"), MATCH(L$1, DicR!$6:$6, 0), FALSE),
            0
        )
)</f>
        <v>0</v>
      </c>
      <c r="M78" s="35">
        <f t="array" ref="M78">SUM(
    IFERROR(
            VLOOKUP($A78, INDIRECT("EneR!$A$6:$ZZ$1048576"), MATCH(M$1, EneR!$6:$6, 0), FALSE),
            0
        ) +
        IFERROR(
            VLOOKUP($A78, INDIRECT("FebR!$A$6:$ZZ$1048576"), MATCH(M$1, FebR!$6:$6, 0), FALSE),
            0
        ) +
        IFERROR(
            VLOOKUP($A78, INDIRECT("MarR!$A$6:$ZZ$1048576"), MATCH(M$1, MarR!$6:$6, 0), FALSE),
            0
        ) +
        IFERROR(
            VLOOKUP($A78, INDIRECT("AbrR!$A$6:$ZZ$1048576"), MATCH(M$1, AbrR!$6:$6, 0), FALSE),
            0
        ) +
        IFERROR(
            VLOOKUP($A78, INDIRECT("MayR!$A$6:$ZZ$1048576"), MATCH(M$1, MayR!$6:$6, 0), FALSE),
            0
        ) +
        IFERROR(
            VLOOKUP($A78, INDIRECT("JunR!$A$6:$ZZ$1048576"), MATCH(M$1, JunR!$6:$6, 0), FALSE),
            0
        ) +
        IFERROR(
            VLOOKUP($A78, INDIRECT("JulR!$A$6:$ZZ$1048576"), MATCH(M$1, JulR!$6:$6, 0), FALSE),
            0
        ) +
        IFERROR(
            VLOOKUP($A78, INDIRECT("AgoR!$A$6:$ZZ$1048576"), MATCH(M$1, AgoR!$6:$6, 0), FALSE),
            0
        ) +
        IFERROR(
            VLOOKUP($A78, INDIRECT("SepR!$A$6:$ZZ$1048576"), MATCH(M$1, SepR!$6:$6, 0), FALSE),
            0
        ) +
        IFERROR(
            VLOOKUP($A78, INDIRECT("OctR!$A$6:$ZZ$1048576"), MATCH(M$1, OctR!$6:$6, 0), FALSE),
            0
        ) +
        IFERROR(
            VLOOKUP($A78, INDIRECT("NovR!$A$6:$ZZ$1048576"), MATCH(M$1, NovR!$6:$6, 0), FALSE),
            0
        ) +
        IFERROR(
            VLOOKUP($A78, INDIRECT("DicR!$A$6:$ZZ$1048576"), MATCH(M$1, DicR!$6:$6, 0), FALSE),
            0
        )
)</f>
        <v>0</v>
      </c>
      <c r="N78" s="32">
        <f t="array" ref="N78">SUM(
    IFERROR(
            VLOOKUP($A78, INDIRECT("EneR!$A$6:$ZZ$1048576"), MATCH(N$1, EneR!$6:$6, 0), FALSE),
            0
        ) +
        IFERROR(
            VLOOKUP($A78, INDIRECT("FebR!$A$6:$ZZ$1048576"), MATCH(N$1, FebR!$6:$6, 0), FALSE),
            0
        ) +
        IFERROR(
            VLOOKUP($A78, INDIRECT("MarR!$A$6:$ZZ$1048576"), MATCH(N$1, MarR!$6:$6, 0), FALSE),
            0
        ) +
        IFERROR(
            VLOOKUP($A78, INDIRECT("AbrR!$A$6:$ZZ$1048576"), MATCH(N$1, AbrR!$6:$6, 0), FALSE),
            0
        ) +
        IFERROR(
            VLOOKUP($A78, INDIRECT("MayR!$A$6:$ZZ$1048576"), MATCH(N$1, MayR!$6:$6, 0), FALSE),
            0
        ) +
        IFERROR(
            VLOOKUP($A78, INDIRECT("JunR!$A$6:$ZZ$1048576"), MATCH(N$1, JunR!$6:$6, 0), FALSE),
            0
        ) +
        IFERROR(
            VLOOKUP($A78, INDIRECT("JulR!$A$6:$ZZ$1048576"), MATCH(N$1, JulR!$6:$6, 0), FALSE),
            0
        ) +
        IFERROR(
            VLOOKUP($A78, INDIRECT("AgoR!$A$6:$ZZ$1048576"), MATCH(N$1, AgoR!$6:$6, 0), FALSE),
            0
        ) +
        IFERROR(
            VLOOKUP($A78, INDIRECT("SepR!$A$6:$ZZ$1048576"), MATCH(N$1, SepR!$6:$6, 0), FALSE),
            0
        ) +
        IFERROR(
            VLOOKUP($A78, INDIRECT("OctR!$A$6:$ZZ$1048576"), MATCH(N$1, OctR!$6:$6, 0), FALSE),
            0
        ) +
        IFERROR(
            VLOOKUP($A78, INDIRECT("NovR!$A$6:$ZZ$1048576"), MATCH(N$1, NovR!$6:$6, 0), FALSE),
            0
        ) +
        IFERROR(
            VLOOKUP($A78, INDIRECT("DicR!$A$6:$ZZ$1048576"), MATCH(N$1, DicR!$6:$6, 0), FALSE),
            0
        )
)</f>
        <v>0</v>
      </c>
      <c r="O78" s="35">
        <f t="array" ref="O78">SUM(
    IFERROR(
            VLOOKUP($A78, INDIRECT("EneR!$A$6:$ZZ$1048576"), MATCH(O$1, EneR!$6:$6, 0), FALSE),
            0
        ) +
        IFERROR(
            VLOOKUP($A78, INDIRECT("FebR!$A$6:$ZZ$1048576"), MATCH(O$1, FebR!$6:$6, 0), FALSE),
            0
        ) +
        IFERROR(
            VLOOKUP($A78, INDIRECT("MarR!$A$6:$ZZ$1048576"), MATCH(O$1, MarR!$6:$6, 0), FALSE),
            0
        ) +
        IFERROR(
            VLOOKUP($A78, INDIRECT("AbrR!$A$6:$ZZ$1048576"), MATCH(O$1, AbrR!$6:$6, 0), FALSE),
            0
        ) +
        IFERROR(
            VLOOKUP($A78, INDIRECT("MayR!$A$6:$ZZ$1048576"), MATCH(O$1, MayR!$6:$6, 0), FALSE),
            0
        ) +
        IFERROR(
            VLOOKUP($A78, INDIRECT("JunR!$A$6:$ZZ$1048576"), MATCH(O$1, JunR!$6:$6, 0), FALSE),
            0
        ) +
        IFERROR(
            VLOOKUP($A78, INDIRECT("JulR!$A$6:$ZZ$1048576"), MATCH(O$1, JulR!$6:$6, 0), FALSE),
            0
        ) +
        IFERROR(
            VLOOKUP($A78, INDIRECT("AgoR!$A$6:$ZZ$1048576"), MATCH(O$1, AgoR!$6:$6, 0), FALSE),
            0
        ) +
        IFERROR(
            VLOOKUP($A78, INDIRECT("SepR!$A$6:$ZZ$1048576"), MATCH(O$1, SepR!$6:$6, 0), FALSE),
            0
        ) +
        IFERROR(
            VLOOKUP($A78, INDIRECT("OctR!$A$6:$ZZ$1048576"), MATCH(O$1, OctR!$6:$6, 0), FALSE),
            0
        ) +
        IFERROR(
            VLOOKUP($A78, INDIRECT("NovR!$A$6:$ZZ$1048576"), MATCH(O$1, NovR!$6:$6, 0), FALSE),
            0
        ) +
        IFERROR(
            VLOOKUP($A78, INDIRECT("DicR!$A$6:$ZZ$1048576"), MATCH(O$1, DicR!$6:$6, 0), FALSE),
            0
        )
)</f>
        <v>0</v>
      </c>
      <c r="P78" s="32">
        <f t="array" ref="P78">SUM(
    IFERROR(
            VLOOKUP($A78, INDIRECT("EneR!$A$6:$ZZ$1048576"), MATCH(P$1, EneR!$6:$6, 0), FALSE),
            0
        ) +
        IFERROR(
            VLOOKUP($A78, INDIRECT("FebR!$A$6:$ZZ$1048576"), MATCH(P$1, FebR!$6:$6, 0), FALSE),
            0
        ) +
        IFERROR(
            VLOOKUP($A78, INDIRECT("MarR!$A$6:$ZZ$1048576"), MATCH(P$1, MarR!$6:$6, 0), FALSE),
            0
        ) +
        IFERROR(
            VLOOKUP($A78, INDIRECT("AbrR!$A$6:$ZZ$1048576"), MATCH(P$1, AbrR!$6:$6, 0), FALSE),
            0
        ) +
        IFERROR(
            VLOOKUP($A78, INDIRECT("MayR!$A$6:$ZZ$1048576"), MATCH(P$1, MayR!$6:$6, 0), FALSE),
            0
        ) +
        IFERROR(
            VLOOKUP($A78, INDIRECT("JunR!$A$6:$ZZ$1048576"), MATCH(P$1, JunR!$6:$6, 0), FALSE),
            0
        ) +
        IFERROR(
            VLOOKUP($A78, INDIRECT("JulR!$A$6:$ZZ$1048576"), MATCH(P$1, JulR!$6:$6, 0), FALSE),
            0
        ) +
        IFERROR(
            VLOOKUP($A78, INDIRECT("AgoR!$A$6:$ZZ$1048576"), MATCH(P$1, AgoR!$6:$6, 0), FALSE),
            0
        ) +
        IFERROR(
            VLOOKUP($A78, INDIRECT("SepR!$A$6:$ZZ$1048576"), MATCH(P$1, SepR!$6:$6, 0), FALSE),
            0
        ) +
        IFERROR(
            VLOOKUP($A78, INDIRECT("OctR!$A$6:$ZZ$1048576"), MATCH(P$1, OctR!$6:$6, 0), FALSE),
            0
        ) +
        IFERROR(
            VLOOKUP($A78, INDIRECT("NovR!$A$6:$ZZ$1048576"), MATCH(P$1, NovR!$6:$6, 0), FALSE),
            0
        ) +
        IFERROR(
            VLOOKUP($A78, INDIRECT("DicR!$A$6:$ZZ$1048576"), MATCH(P$1, DicR!$6:$6, 0), FALSE),
            0
        )
)</f>
        <v>0</v>
      </c>
      <c r="Q78" s="35">
        <f t="array" ref="Q78">SUM(
    IFERROR(
            VLOOKUP($A78, INDIRECT("EneR!$A$6:$ZZ$1048576"), MATCH(Q$1, EneR!$6:$6, 0), FALSE),
            0
        ) +
        IFERROR(
            VLOOKUP($A78, INDIRECT("FebR!$A$6:$ZZ$1048576"), MATCH(Q$1, FebR!$6:$6, 0), FALSE),
            0
        ) +
        IFERROR(
            VLOOKUP($A78, INDIRECT("MarR!$A$6:$ZZ$1048576"), MATCH(Q$1, MarR!$6:$6, 0), FALSE),
            0
        ) +
        IFERROR(
            VLOOKUP($A78, INDIRECT("AbrR!$A$6:$ZZ$1048576"), MATCH(Q$1, AbrR!$6:$6, 0), FALSE),
            0
        ) +
        IFERROR(
            VLOOKUP($A78, INDIRECT("MayR!$A$6:$ZZ$1048576"), MATCH(Q$1, MayR!$6:$6, 0), FALSE),
            0
        ) +
        IFERROR(
            VLOOKUP($A78, INDIRECT("JunR!$A$6:$ZZ$1048576"), MATCH(Q$1, JunR!$6:$6, 0), FALSE),
            0
        ) +
        IFERROR(
            VLOOKUP($A78, INDIRECT("JulR!$A$6:$ZZ$1048576"), MATCH(Q$1, JulR!$6:$6, 0), FALSE),
            0
        ) +
        IFERROR(
            VLOOKUP($A78, INDIRECT("AgoR!$A$6:$ZZ$1048576"), MATCH(Q$1, AgoR!$6:$6, 0), FALSE),
            0
        ) +
        IFERROR(
            VLOOKUP($A78, INDIRECT("SepR!$A$6:$ZZ$1048576"), MATCH(Q$1, SepR!$6:$6, 0), FALSE),
            0
        ) +
        IFERROR(
            VLOOKUP($A78, INDIRECT("OctR!$A$6:$ZZ$1048576"), MATCH(Q$1, OctR!$6:$6, 0), FALSE),
            0
        ) +
        IFERROR(
            VLOOKUP($A78, INDIRECT("NovR!$A$6:$ZZ$1048576"), MATCH(Q$1, NovR!$6:$6, 0), FALSE),
            0
        ) +
        IFERROR(
            VLOOKUP($A78, INDIRECT("DicR!$A$6:$ZZ$1048576"), MATCH(Q$1, DicR!$6:$6, 0), FALSE),
            0
        )
)</f>
        <v>0</v>
      </c>
      <c r="R78" s="36">
        <f t="array" ref="R78">SUM(
    IFERROR(
            VLOOKUP($A78, INDIRECT("EneR!$A$6:$ZZ$1048576"), MATCH(R$1, EneR!$6:$6, 0), FALSE),
            0
        ) +
        IFERROR(
            VLOOKUP($A78, INDIRECT("FebR!$A$6:$ZZ$1048576"), MATCH(R$1, FebR!$6:$6, 0), FALSE),
            0
        ) +
        IFERROR(
            VLOOKUP($A78, INDIRECT("MarR!$A$6:$ZZ$1048576"), MATCH(R$1, MarR!$6:$6, 0), FALSE),
            0
        ) +
        IFERROR(
            VLOOKUP($A78, INDIRECT("AbrR!$A$6:$ZZ$1048576"), MATCH(R$1, AbrR!$6:$6, 0), FALSE),
            0
        ) +
        IFERROR(
            VLOOKUP($A78, INDIRECT("MayR!$A$6:$ZZ$1048576"), MATCH(R$1, MayR!$6:$6, 0), FALSE),
            0
        ) +
        IFERROR(
            VLOOKUP($A78, INDIRECT("JunR!$A$6:$ZZ$1048576"), MATCH(R$1, JunR!$6:$6, 0), FALSE),
            0
        ) +
        IFERROR(
            VLOOKUP($A78, INDIRECT("JulR!$A$6:$ZZ$1048576"), MATCH(R$1, JulR!$6:$6, 0), FALSE),
            0
        ) +
        IFERROR(
            VLOOKUP($A78, INDIRECT("AgoR!$A$6:$ZZ$1048576"), MATCH(R$1, AgoR!$6:$6, 0), FALSE),
            0
        ) +
        IFERROR(
            VLOOKUP($A78, INDIRECT("SepR!$A$6:$ZZ$1048576"), MATCH(R$1, SepR!$6:$6, 0), FALSE),
            0
        ) +
        IFERROR(
            VLOOKUP($A78, INDIRECT("OctR!$A$6:$ZZ$1048576"), MATCH(R$1, OctR!$6:$6, 0), FALSE),
            0
        ) +
        IFERROR(
            VLOOKUP($A78, INDIRECT("NovR!$A$6:$ZZ$1048576"), MATCH(R$1, NovR!$6:$6, 0), FALSE),
            0
        ) +
        IFERROR(
            VLOOKUP($A78, INDIRECT("DicR!$A$6:$ZZ$1048576"), MATCH(R$1, DicR!$6:$6, 0), FALSE),
            0
        )
)</f>
        <v>0</v>
      </c>
      <c r="S78" s="37">
        <f t="array" ref="S78">SUM(
    IFERROR(
            VLOOKUP($A78, INDIRECT("EneR!$A$6:$ZZ$1048576"), MATCH(S$1, EneR!$6:$6, 0), FALSE),
            0
        ) +
        IFERROR(
            VLOOKUP($A78, INDIRECT("FebR!$A$6:$ZZ$1048576"), MATCH(S$1, FebR!$6:$6, 0), FALSE),
            0
        ) +
        IFERROR(
            VLOOKUP($A78, INDIRECT("MarR!$A$6:$ZZ$1048576"), MATCH(S$1, MarR!$6:$6, 0), FALSE),
            0
        ) +
        IFERROR(
            VLOOKUP($A78, INDIRECT("AbrR!$A$6:$ZZ$1048576"), MATCH(S$1, AbrR!$6:$6, 0), FALSE),
            0
        ) +
        IFERROR(
            VLOOKUP($A78, INDIRECT("MayR!$A$6:$ZZ$1048576"), MATCH(S$1, MayR!$6:$6, 0), FALSE),
            0
        ) +
        IFERROR(
            VLOOKUP($A78, INDIRECT("JunR!$A$6:$ZZ$1048576"), MATCH(S$1, JunR!$6:$6, 0), FALSE),
            0
        ) +
        IFERROR(
            VLOOKUP($A78, INDIRECT("JulR!$A$6:$ZZ$1048576"), MATCH(S$1, JulR!$6:$6, 0), FALSE),
            0
        ) +
        IFERROR(
            VLOOKUP($A78, INDIRECT("AgoR!$A$6:$ZZ$1048576"), MATCH(S$1, AgoR!$6:$6, 0), FALSE),
            0
        ) +
        IFERROR(
            VLOOKUP($A78, INDIRECT("SepR!$A$6:$ZZ$1048576"), MATCH(S$1, SepR!$6:$6, 0), FALSE),
            0
        ) +
        IFERROR(
            VLOOKUP($A78, INDIRECT("OctR!$A$6:$ZZ$1048576"), MATCH(S$1, OctR!$6:$6, 0), FALSE),
            0
        ) +
        IFERROR(
            VLOOKUP($A78, INDIRECT("NovR!$A$6:$ZZ$1048576"), MATCH(S$1, NovR!$6:$6, 0), FALSE),
            0
        ) +
        IFERROR(
            VLOOKUP($A78, INDIRECT("DicR!$A$6:$ZZ$1048576"), MATCH(S$1, DicR!$6:$6, 0), FALSE),
            0
        )
)</f>
        <v>0</v>
      </c>
      <c r="T78" s="36">
        <f t="array" ref="T78">SUM(
    IFERROR(
            VLOOKUP($A78, INDIRECT("EneR!$A$6:$ZZ$1048576"), MATCH(T$1, EneR!$6:$6, 0), FALSE),
            0
        ) +
        IFERROR(
            VLOOKUP($A78, INDIRECT("FebR!$A$6:$ZZ$1048576"), MATCH(T$1, FebR!$6:$6, 0), FALSE),
            0
        ) +
        IFERROR(
            VLOOKUP($A78, INDIRECT("MarR!$A$6:$ZZ$1048576"), MATCH(T$1, MarR!$6:$6, 0), FALSE),
            0
        ) +
        IFERROR(
            VLOOKUP($A78, INDIRECT("AbrR!$A$6:$ZZ$1048576"), MATCH(T$1, AbrR!$6:$6, 0), FALSE),
            0
        ) +
        IFERROR(
            VLOOKUP($A78, INDIRECT("MayR!$A$6:$ZZ$1048576"), MATCH(T$1, MayR!$6:$6, 0), FALSE),
            0
        ) +
        IFERROR(
            VLOOKUP($A78, INDIRECT("JunR!$A$6:$ZZ$1048576"), MATCH(T$1, JunR!$6:$6, 0), FALSE),
            0
        ) +
        IFERROR(
            VLOOKUP($A78, INDIRECT("JulR!$A$6:$ZZ$1048576"), MATCH(T$1, JulR!$6:$6, 0), FALSE),
            0
        ) +
        IFERROR(
            VLOOKUP($A78, INDIRECT("AgoR!$A$6:$ZZ$1048576"), MATCH(T$1, AgoR!$6:$6, 0), FALSE),
            0
        ) +
        IFERROR(
            VLOOKUP($A78, INDIRECT("SepR!$A$6:$ZZ$1048576"), MATCH(T$1, SepR!$6:$6, 0), FALSE),
            0
        ) +
        IFERROR(
            VLOOKUP($A78, INDIRECT("OctR!$A$6:$ZZ$1048576"), MATCH(T$1, OctR!$6:$6, 0), FALSE),
            0
        ) +
        IFERROR(
            VLOOKUP($A78, INDIRECT("NovR!$A$6:$ZZ$1048576"), MATCH(T$1, NovR!$6:$6, 0), FALSE),
            0
        ) +
        IFERROR(
            VLOOKUP($A78, INDIRECT("DicR!$A$6:$ZZ$1048576"), MATCH(T$1, DicR!$6:$6, 0), FALSE),
            0
        )
)</f>
        <v>0</v>
      </c>
      <c r="U78" s="37">
        <f t="array" ref="U78">SUM(
    IFERROR(
            VLOOKUP($A78, INDIRECT("EneR!$A$6:$ZZ$1048576"), MATCH(U$1, EneR!$6:$6, 0), FALSE),
            0
        ) +
        IFERROR(
            VLOOKUP($A78, INDIRECT("FebR!$A$6:$ZZ$1048576"), MATCH(U$1, FebR!$6:$6, 0), FALSE),
            0
        ) +
        IFERROR(
            VLOOKUP($A78, INDIRECT("MarR!$A$6:$ZZ$1048576"), MATCH(U$1, MarR!$6:$6, 0), FALSE),
            0
        ) +
        IFERROR(
            VLOOKUP($A78, INDIRECT("AbrR!$A$6:$ZZ$1048576"), MATCH(U$1, AbrR!$6:$6, 0), FALSE),
            0
        ) +
        IFERROR(
            VLOOKUP($A78, INDIRECT("MayR!$A$6:$ZZ$1048576"), MATCH(U$1, MayR!$6:$6, 0), FALSE),
            0
        ) +
        IFERROR(
            VLOOKUP($A78, INDIRECT("JunR!$A$6:$ZZ$1048576"), MATCH(U$1, JunR!$6:$6, 0), FALSE),
            0
        ) +
        IFERROR(
            VLOOKUP($A78, INDIRECT("JulR!$A$6:$ZZ$1048576"), MATCH(U$1, JulR!$6:$6, 0), FALSE),
            0
        ) +
        IFERROR(
            VLOOKUP($A78, INDIRECT("AgoR!$A$6:$ZZ$1048576"), MATCH(U$1, AgoR!$6:$6, 0), FALSE),
            0
        ) +
        IFERROR(
            VLOOKUP($A78, INDIRECT("SepR!$A$6:$ZZ$1048576"), MATCH(U$1, SepR!$6:$6, 0), FALSE),
            0
        ) +
        IFERROR(
            VLOOKUP($A78, INDIRECT("OctR!$A$6:$ZZ$1048576"), MATCH(U$1, OctR!$6:$6, 0), FALSE),
            0
        ) +
        IFERROR(
            VLOOKUP($A78, INDIRECT("NovR!$A$6:$ZZ$1048576"), MATCH(U$1, NovR!$6:$6, 0), FALSE),
            0
        ) +
        IFERROR(
            VLOOKUP($A78, INDIRECT("DicR!$A$6:$ZZ$1048576"), MATCH(U$1, DicR!$6:$6, 0), FALSE),
            0
        )
)</f>
        <v>0</v>
      </c>
      <c r="V78" s="36">
        <f t="array" ref="V78">SUM(
    IFERROR(
            VLOOKUP($A78, INDIRECT("EneR!$A$6:$ZZ$1048576"), MATCH(V$1, EneR!$6:$6, 0), FALSE),
            0
        ) +
        IFERROR(
            VLOOKUP($A78, INDIRECT("FebR!$A$6:$ZZ$1048576"), MATCH(V$1, FebR!$6:$6, 0), FALSE),
            0
        ) +
        IFERROR(
            VLOOKUP($A78, INDIRECT("MarR!$A$6:$ZZ$1048576"), MATCH(V$1, MarR!$6:$6, 0), FALSE),
            0
        ) +
        IFERROR(
            VLOOKUP($A78, INDIRECT("AbrR!$A$6:$ZZ$1048576"), MATCH(V$1, AbrR!$6:$6, 0), FALSE),
            0
        ) +
        IFERROR(
            VLOOKUP($A78, INDIRECT("MayR!$A$6:$ZZ$1048576"), MATCH(V$1, MayR!$6:$6, 0), FALSE),
            0
        ) +
        IFERROR(
            VLOOKUP($A78, INDIRECT("JunR!$A$6:$ZZ$1048576"), MATCH(V$1, JunR!$6:$6, 0), FALSE),
            0
        ) +
        IFERROR(
            VLOOKUP($A78, INDIRECT("JulR!$A$6:$ZZ$1048576"), MATCH(V$1, JulR!$6:$6, 0), FALSE),
            0
        ) +
        IFERROR(
            VLOOKUP($A78, INDIRECT("AgoR!$A$6:$ZZ$1048576"), MATCH(V$1, AgoR!$6:$6, 0), FALSE),
            0
        ) +
        IFERROR(
            VLOOKUP($A78, INDIRECT("SepR!$A$6:$ZZ$1048576"), MATCH(V$1, SepR!$6:$6, 0), FALSE),
            0
        ) +
        IFERROR(
            VLOOKUP($A78, INDIRECT("OctR!$A$6:$ZZ$1048576"), MATCH(V$1, OctR!$6:$6, 0), FALSE),
            0
        ) +
        IFERROR(
            VLOOKUP($A78, INDIRECT("NovR!$A$6:$ZZ$1048576"), MATCH(V$1, NovR!$6:$6, 0), FALSE),
            0
        ) +
        IFERROR(
            VLOOKUP($A78, INDIRECT("DicR!$A$6:$ZZ$1048576"), MATCH(V$1, DicR!$6:$6, 0), FALSE),
            0
        )
)</f>
        <v>0</v>
      </c>
      <c r="W78" s="37">
        <f t="array" ref="W78">SUM(
    IFERROR(
            VLOOKUP($A78, INDIRECT("EneR!$A$6:$ZZ$1048576"), MATCH(W$1, EneR!$6:$6, 0), FALSE),
            0
        ) +
        IFERROR(
            VLOOKUP($A78, INDIRECT("FebR!$A$6:$ZZ$1048576"), MATCH(W$1, FebR!$6:$6, 0), FALSE),
            0
        ) +
        IFERROR(
            VLOOKUP($A78, INDIRECT("MarR!$A$6:$ZZ$1048576"), MATCH(W$1, MarR!$6:$6, 0), FALSE),
            0
        ) +
        IFERROR(
            VLOOKUP($A78, INDIRECT("AbrR!$A$6:$ZZ$1048576"), MATCH(W$1, AbrR!$6:$6, 0), FALSE),
            0
        ) +
        IFERROR(
            VLOOKUP($A78, INDIRECT("MayR!$A$6:$ZZ$1048576"), MATCH(W$1, MayR!$6:$6, 0), FALSE),
            0
        ) +
        IFERROR(
            VLOOKUP($A78, INDIRECT("JunR!$A$6:$ZZ$1048576"), MATCH(W$1, JunR!$6:$6, 0), FALSE),
            0
        ) +
        IFERROR(
            VLOOKUP($A78, INDIRECT("JulR!$A$6:$ZZ$1048576"), MATCH(W$1, JulR!$6:$6, 0), FALSE),
            0
        ) +
        IFERROR(
            VLOOKUP($A78, INDIRECT("AgoR!$A$6:$ZZ$1048576"), MATCH(W$1, AgoR!$6:$6, 0), FALSE),
            0
        ) +
        IFERROR(
            VLOOKUP($A78, INDIRECT("SepR!$A$6:$ZZ$1048576"), MATCH(W$1, SepR!$6:$6, 0), FALSE),
            0
        ) +
        IFERROR(
            VLOOKUP($A78, INDIRECT("OctR!$A$6:$ZZ$1048576"), MATCH(W$1, OctR!$6:$6, 0), FALSE),
            0
        ) +
        IFERROR(
            VLOOKUP($A78, INDIRECT("NovR!$A$6:$ZZ$1048576"), MATCH(W$1, NovR!$6:$6, 0), FALSE),
            0
        ) +
        IFERROR(
            VLOOKUP($A78, INDIRECT("DicR!$A$6:$ZZ$1048576"), MATCH(W$1, DicR!$6:$6, 0), FALSE),
            0
        )
)</f>
        <v>0</v>
      </c>
      <c r="X78" s="36">
        <f t="array" ref="X78">SUM(
    IFERROR(
            VLOOKUP($A78, INDIRECT("EneR!$A$6:$ZZ$1048576"), MATCH(X$1, EneR!$6:$6, 0), FALSE),
            0
        ) +
        IFERROR(
            VLOOKUP($A78, INDIRECT("FebR!$A$6:$ZZ$1048576"), MATCH(X$1, FebR!$6:$6, 0), FALSE),
            0
        ) +
        IFERROR(
            VLOOKUP($A78, INDIRECT("MarR!$A$6:$ZZ$1048576"), MATCH(X$1, MarR!$6:$6, 0), FALSE),
            0
        ) +
        IFERROR(
            VLOOKUP($A78, INDIRECT("AbrR!$A$6:$ZZ$1048576"), MATCH(X$1, AbrR!$6:$6, 0), FALSE),
            0
        ) +
        IFERROR(
            VLOOKUP($A78, INDIRECT("MayR!$A$6:$ZZ$1048576"), MATCH(X$1, MayR!$6:$6, 0), FALSE),
            0
        ) +
        IFERROR(
            VLOOKUP($A78, INDIRECT("JunR!$A$6:$ZZ$1048576"), MATCH(X$1, JunR!$6:$6, 0), FALSE),
            0
        ) +
        IFERROR(
            VLOOKUP($A78, INDIRECT("JulR!$A$6:$ZZ$1048576"), MATCH(X$1, JulR!$6:$6, 0), FALSE),
            0
        ) +
        IFERROR(
            VLOOKUP($A78, INDIRECT("AgoR!$A$6:$ZZ$1048576"), MATCH(X$1, AgoR!$6:$6, 0), FALSE),
            0
        ) +
        IFERROR(
            VLOOKUP($A78, INDIRECT("SepR!$A$6:$ZZ$1048576"), MATCH(X$1, SepR!$6:$6, 0), FALSE),
            0
        ) +
        IFERROR(
            VLOOKUP($A78, INDIRECT("OctR!$A$6:$ZZ$1048576"), MATCH(X$1, OctR!$6:$6, 0), FALSE),
            0
        ) +
        IFERROR(
            VLOOKUP($A78, INDIRECT("NovR!$A$6:$ZZ$1048576"), MATCH(X$1, NovR!$6:$6, 0), FALSE),
            0
        ) +
        IFERROR(
            VLOOKUP($A78, INDIRECT("DicR!$A$6:$ZZ$1048576"), MATCH(X$1, DicR!$6:$6, 0), FALSE),
            0
        )
)</f>
        <v>0</v>
      </c>
      <c r="Y78" s="37">
        <f t="array" ref="Y78">SUM(
    IFERROR(
            VLOOKUP($A78, INDIRECT("EneR!$A$6:$ZZ$1048576"), MATCH(Y$1, EneR!$6:$6, 0), FALSE),
            0
        ) +
        IFERROR(
            VLOOKUP($A78, INDIRECT("FebR!$A$6:$ZZ$1048576"), MATCH(Y$1, FebR!$6:$6, 0), FALSE),
            0
        ) +
        IFERROR(
            VLOOKUP($A78, INDIRECT("MarR!$A$6:$ZZ$1048576"), MATCH(Y$1, MarR!$6:$6, 0), FALSE),
            0
        ) +
        IFERROR(
            VLOOKUP($A78, INDIRECT("AbrR!$A$6:$ZZ$1048576"), MATCH(Y$1, AbrR!$6:$6, 0), FALSE),
            0
        ) +
        IFERROR(
            VLOOKUP($A78, INDIRECT("MayR!$A$6:$ZZ$1048576"), MATCH(Y$1, MayR!$6:$6, 0), FALSE),
            0
        ) +
        IFERROR(
            VLOOKUP($A78, INDIRECT("JunR!$A$6:$ZZ$1048576"), MATCH(Y$1, JunR!$6:$6, 0), FALSE),
            0
        ) +
        IFERROR(
            VLOOKUP($A78, INDIRECT("JulR!$A$6:$ZZ$1048576"), MATCH(Y$1, JulR!$6:$6, 0), FALSE),
            0
        ) +
        IFERROR(
            VLOOKUP($A78, INDIRECT("AgoR!$A$6:$ZZ$1048576"), MATCH(Y$1, AgoR!$6:$6, 0), FALSE),
            0
        ) +
        IFERROR(
            VLOOKUP($A78, INDIRECT("SepR!$A$6:$ZZ$1048576"), MATCH(Y$1, SepR!$6:$6, 0), FALSE),
            0
        ) +
        IFERROR(
            VLOOKUP($A78, INDIRECT("OctR!$A$6:$ZZ$1048576"), MATCH(Y$1, OctR!$6:$6, 0), FALSE),
            0
        ) +
        IFERROR(
            VLOOKUP($A78, INDIRECT("NovR!$A$6:$ZZ$1048576"), MATCH(Y$1, NovR!$6:$6, 0), FALSE),
            0
        ) +
        IFERROR(
            VLOOKUP($A78, INDIRECT("DicR!$A$6:$ZZ$1048576"), MATCH(Y$1, DicR!$6:$6, 0), FALSE),
            0
        )
)</f>
        <v>0</v>
      </c>
      <c r="Z78" s="36">
        <f t="array" ref="Z78">SUM(
    IFERROR(
            VLOOKUP($A78, INDIRECT("EneR!$A$6:$ZZ$1048576"), MATCH(Z$1, EneR!$6:$6, 0), FALSE),
            0
        ) +
        IFERROR(
            VLOOKUP($A78, INDIRECT("FebR!$A$6:$ZZ$1048576"), MATCH(Z$1, FebR!$6:$6, 0), FALSE),
            0
        ) +
        IFERROR(
            VLOOKUP($A78, INDIRECT("MarR!$A$6:$ZZ$1048576"), MATCH(Z$1, MarR!$6:$6, 0), FALSE),
            0
        ) +
        IFERROR(
            VLOOKUP($A78, INDIRECT("AbrR!$A$6:$ZZ$1048576"), MATCH(Z$1, AbrR!$6:$6, 0), FALSE),
            0
        ) +
        IFERROR(
            VLOOKUP($A78, INDIRECT("MayR!$A$6:$ZZ$1048576"), MATCH(Z$1, MayR!$6:$6, 0), FALSE),
            0
        ) +
        IFERROR(
            VLOOKUP($A78, INDIRECT("JunR!$A$6:$ZZ$1048576"), MATCH(Z$1, JunR!$6:$6, 0), FALSE),
            0
        ) +
        IFERROR(
            VLOOKUP($A78, INDIRECT("JulR!$A$6:$ZZ$1048576"), MATCH(Z$1, JulR!$6:$6, 0), FALSE),
            0
        ) +
        IFERROR(
            VLOOKUP($A78, INDIRECT("AgoR!$A$6:$ZZ$1048576"), MATCH(Z$1, AgoR!$6:$6, 0), FALSE),
            0
        ) +
        IFERROR(
            VLOOKUP($A78, INDIRECT("SepR!$A$6:$ZZ$1048576"), MATCH(Z$1, SepR!$6:$6, 0), FALSE),
            0
        ) +
        IFERROR(
            VLOOKUP($A78, INDIRECT("OctR!$A$6:$ZZ$1048576"), MATCH(Z$1, OctR!$6:$6, 0), FALSE),
            0
        ) +
        IFERROR(
            VLOOKUP($A78, INDIRECT("NovR!$A$6:$ZZ$1048576"), MATCH(Z$1, NovR!$6:$6, 0), FALSE),
            0
        ) +
        IFERROR(
            VLOOKUP($A78, INDIRECT("DicR!$A$6:$ZZ$1048576"), MATCH(Z$1, DicR!$6:$6, 0), FALSE),
            0
        )
)</f>
        <v>0</v>
      </c>
      <c r="AA78" s="37">
        <f t="array" ref="AA78">SUM(
    IFERROR(
            VLOOKUP($A78, INDIRECT("EneR!$A$6:$ZZ$1048576"), MATCH(AA$1, EneR!$6:$6, 0), FALSE),
            0
        ) +
        IFERROR(
            VLOOKUP($A78, INDIRECT("FebR!$A$6:$ZZ$1048576"), MATCH(AA$1, FebR!$6:$6, 0), FALSE),
            0
        ) +
        IFERROR(
            VLOOKUP($A78, INDIRECT("MarR!$A$6:$ZZ$1048576"), MATCH(AA$1, MarR!$6:$6, 0), FALSE),
            0
        ) +
        IFERROR(
            VLOOKUP($A78, INDIRECT("AbrR!$A$6:$ZZ$1048576"), MATCH(AA$1, AbrR!$6:$6, 0), FALSE),
            0
        ) +
        IFERROR(
            VLOOKUP($A78, INDIRECT("MayR!$A$6:$ZZ$1048576"), MATCH(AA$1, MayR!$6:$6, 0), FALSE),
            0
        ) +
        IFERROR(
            VLOOKUP($A78, INDIRECT("JunR!$A$6:$ZZ$1048576"), MATCH(AA$1, JunR!$6:$6, 0), FALSE),
            0
        ) +
        IFERROR(
            VLOOKUP($A78, INDIRECT("JulR!$A$6:$ZZ$1048576"), MATCH(AA$1, JulR!$6:$6, 0), FALSE),
            0
        ) +
        IFERROR(
            VLOOKUP($A78, INDIRECT("AgoR!$A$6:$ZZ$1048576"), MATCH(AA$1, AgoR!$6:$6, 0), FALSE),
            0
        ) +
        IFERROR(
            VLOOKUP($A78, INDIRECT("SepR!$A$6:$ZZ$1048576"), MATCH(AA$1, SepR!$6:$6, 0), FALSE),
            0
        ) +
        IFERROR(
            VLOOKUP($A78, INDIRECT("OctR!$A$6:$ZZ$1048576"), MATCH(AA$1, OctR!$6:$6, 0), FALSE),
            0
        ) +
        IFERROR(
            VLOOKUP($A78, INDIRECT("NovR!$A$6:$ZZ$1048576"), MATCH(AA$1, NovR!$6:$6, 0), FALSE),
            0
        ) +
        IFERROR(
            VLOOKUP($A78, INDIRECT("DicR!$A$6:$ZZ$1048576"), MATCH(AA$1, DicR!$6:$6, 0), FALSE),
            0
        )
)</f>
        <v>0</v>
      </c>
      <c r="AB78" s="36">
        <f t="array" ref="AB78">SUM(
    IFERROR(
            VLOOKUP($A78, INDIRECT("EneR!$A$6:$ZZ$1048576"), MATCH(AB$1, EneR!$6:$6, 0), FALSE),
            0
        ) +
        IFERROR(
            VLOOKUP($A78, INDIRECT("FebR!$A$6:$ZZ$1048576"), MATCH(AB$1, FebR!$6:$6, 0), FALSE),
            0
        ) +
        IFERROR(
            VLOOKUP($A78, INDIRECT("MarR!$A$6:$ZZ$1048576"), MATCH(AB$1, MarR!$6:$6, 0), FALSE),
            0
        ) +
        IFERROR(
            VLOOKUP($A78, INDIRECT("AbrR!$A$6:$ZZ$1048576"), MATCH(AB$1, AbrR!$6:$6, 0), FALSE),
            0
        ) +
        IFERROR(
            VLOOKUP($A78, INDIRECT("MayR!$A$6:$ZZ$1048576"), MATCH(AB$1, MayR!$6:$6, 0), FALSE),
            0
        ) +
        IFERROR(
            VLOOKUP($A78, INDIRECT("JunR!$A$6:$ZZ$1048576"), MATCH(AB$1, JunR!$6:$6, 0), FALSE),
            0
        ) +
        IFERROR(
            VLOOKUP($A78, INDIRECT("JulR!$A$6:$ZZ$1048576"), MATCH(AB$1, JulR!$6:$6, 0), FALSE),
            0
        ) +
        IFERROR(
            VLOOKUP($A78, INDIRECT("AgoR!$A$6:$ZZ$1048576"), MATCH(AB$1, AgoR!$6:$6, 0), FALSE),
            0
        ) +
        IFERROR(
            VLOOKUP($A78, INDIRECT("SepR!$A$6:$ZZ$1048576"), MATCH(AB$1, SepR!$6:$6, 0), FALSE),
            0
        ) +
        IFERROR(
            VLOOKUP($A78, INDIRECT("OctR!$A$6:$ZZ$1048576"), MATCH(AB$1, OctR!$6:$6, 0), FALSE),
            0
        ) +
        IFERROR(
            VLOOKUP($A78, INDIRECT("NovR!$A$6:$ZZ$1048576"), MATCH(AB$1, NovR!$6:$6, 0), FALSE),
            0
        ) +
        IFERROR(
            VLOOKUP($A78, INDIRECT("DicR!$A$6:$ZZ$1048576"), MATCH(AB$1, DicR!$6:$6, 0), FALSE),
            0
        )
)</f>
        <v>0</v>
      </c>
      <c r="AC78" s="37">
        <f t="array" ref="AC78">SUM(
    IFERROR(
            VLOOKUP($A78, INDIRECT("EneR!$A$6:$ZZ$1048576"), MATCH(AC$1, EneR!$6:$6, 0), FALSE),
            0
        ) +
        IFERROR(
            VLOOKUP($A78, INDIRECT("FebR!$A$6:$ZZ$1048576"), MATCH(AC$1, FebR!$6:$6, 0), FALSE),
            0
        ) +
        IFERROR(
            VLOOKUP($A78, INDIRECT("MarR!$A$6:$ZZ$1048576"), MATCH(AC$1, MarR!$6:$6, 0), FALSE),
            0
        ) +
        IFERROR(
            VLOOKUP($A78, INDIRECT("AbrR!$A$6:$ZZ$1048576"), MATCH(AC$1, AbrR!$6:$6, 0), FALSE),
            0
        ) +
        IFERROR(
            VLOOKUP($A78, INDIRECT("MayR!$A$6:$ZZ$1048576"), MATCH(AC$1, MayR!$6:$6, 0), FALSE),
            0
        ) +
        IFERROR(
            VLOOKUP($A78, INDIRECT("JunR!$A$6:$ZZ$1048576"), MATCH(AC$1, JunR!$6:$6, 0), FALSE),
            0
        ) +
        IFERROR(
            VLOOKUP($A78, INDIRECT("JulR!$A$6:$ZZ$1048576"), MATCH(AC$1, JulR!$6:$6, 0), FALSE),
            0
        ) +
        IFERROR(
            VLOOKUP($A78, INDIRECT("AgoR!$A$6:$ZZ$1048576"), MATCH(AC$1, AgoR!$6:$6, 0), FALSE),
            0
        ) +
        IFERROR(
            VLOOKUP($A78, INDIRECT("SepR!$A$6:$ZZ$1048576"), MATCH(AC$1, SepR!$6:$6, 0), FALSE),
            0
        ) +
        IFERROR(
            VLOOKUP($A78, INDIRECT("OctR!$A$6:$ZZ$1048576"), MATCH(AC$1, OctR!$6:$6, 0), FALSE),
            0
        ) +
        IFERROR(
            VLOOKUP($A78, INDIRECT("NovR!$A$6:$ZZ$1048576"), MATCH(AC$1, NovR!$6:$6, 0), FALSE),
            0
        ) +
        IFERROR(
            VLOOKUP($A78, INDIRECT("DicR!$A$6:$ZZ$1048576"), MATCH(AC$1, DicR!$6:$6, 0), FALSE),
            0
        )
)</f>
        <v>0</v>
      </c>
      <c r="AD78" s="36">
        <f t="array" ref="AD78">SUM(
    IFERROR(
            VLOOKUP($A78, INDIRECT("EneR!$A$6:$ZZ$1048576"), MATCH(AD$1, EneR!$6:$6, 0), FALSE),
            0
        ) +
        IFERROR(
            VLOOKUP($A78, INDIRECT("FebR!$A$6:$ZZ$1048576"), MATCH(AD$1, FebR!$6:$6, 0), FALSE),
            0
        ) +
        IFERROR(
            VLOOKUP($A78, INDIRECT("MarR!$A$6:$ZZ$1048576"), MATCH(AD$1, MarR!$6:$6, 0), FALSE),
            0
        ) +
        IFERROR(
            VLOOKUP($A78, INDIRECT("AbrR!$A$6:$ZZ$1048576"), MATCH(AD$1, AbrR!$6:$6, 0), FALSE),
            0
        ) +
        IFERROR(
            VLOOKUP($A78, INDIRECT("MayR!$A$6:$ZZ$1048576"), MATCH(AD$1, MayR!$6:$6, 0), FALSE),
            0
        ) +
        IFERROR(
            VLOOKUP($A78, INDIRECT("JunR!$A$6:$ZZ$1048576"), MATCH(AD$1, JunR!$6:$6, 0), FALSE),
            0
        ) +
        IFERROR(
            VLOOKUP($A78, INDIRECT("JulR!$A$6:$ZZ$1048576"), MATCH(AD$1, JulR!$6:$6, 0), FALSE),
            0
        ) +
        IFERROR(
            VLOOKUP($A78, INDIRECT("AgoR!$A$6:$ZZ$1048576"), MATCH(AD$1, AgoR!$6:$6, 0), FALSE),
            0
        ) +
        IFERROR(
            VLOOKUP($A78, INDIRECT("SepR!$A$6:$ZZ$1048576"), MATCH(AD$1, SepR!$6:$6, 0), FALSE),
            0
        ) +
        IFERROR(
            VLOOKUP($A78, INDIRECT("OctR!$A$6:$ZZ$1048576"), MATCH(AD$1, OctR!$6:$6, 0), FALSE),
            0
        ) +
        IFERROR(
            VLOOKUP($A78, INDIRECT("NovR!$A$6:$ZZ$1048576"), MATCH(AD$1, NovR!$6:$6, 0), FALSE),
            0
        ) +
        IFERROR(
            VLOOKUP($A78, INDIRECT("DicR!$A$6:$ZZ$1048576"), MATCH(AD$1, DicR!$6:$6, 0), FALSE),
            0
        )
)</f>
        <v>0</v>
      </c>
      <c r="AE78" s="37">
        <f t="array" ref="AE78">SUM(
    IFERROR(
            VLOOKUP($A78, INDIRECT("EneR!$A$6:$ZZ$1048576"), MATCH(AE$1, EneR!$6:$6, 0), FALSE),
            0
        ) +
        IFERROR(
            VLOOKUP($A78, INDIRECT("FebR!$A$6:$ZZ$1048576"), MATCH(AE$1, FebR!$6:$6, 0), FALSE),
            0
        ) +
        IFERROR(
            VLOOKUP($A78, INDIRECT("MarR!$A$6:$ZZ$1048576"), MATCH(AE$1, MarR!$6:$6, 0), FALSE),
            0
        ) +
        IFERROR(
            VLOOKUP($A78, INDIRECT("AbrR!$A$6:$ZZ$1048576"), MATCH(AE$1, AbrR!$6:$6, 0), FALSE),
            0
        ) +
        IFERROR(
            VLOOKUP($A78, INDIRECT("MayR!$A$6:$ZZ$1048576"), MATCH(AE$1, MayR!$6:$6, 0), FALSE),
            0
        ) +
        IFERROR(
            VLOOKUP($A78, INDIRECT("JunR!$A$6:$ZZ$1048576"), MATCH(AE$1, JunR!$6:$6, 0), FALSE),
            0
        ) +
        IFERROR(
            VLOOKUP($A78, INDIRECT("JulR!$A$6:$ZZ$1048576"), MATCH(AE$1, JulR!$6:$6, 0), FALSE),
            0
        ) +
        IFERROR(
            VLOOKUP($A78, INDIRECT("AgoR!$A$6:$ZZ$1048576"), MATCH(AE$1, AgoR!$6:$6, 0), FALSE),
            0
        ) +
        IFERROR(
            VLOOKUP($A78, INDIRECT("SepR!$A$6:$ZZ$1048576"), MATCH(AE$1, SepR!$6:$6, 0), FALSE),
            0
        ) +
        IFERROR(
            VLOOKUP($A78, INDIRECT("OctR!$A$6:$ZZ$1048576"), MATCH(AE$1, OctR!$6:$6, 0), FALSE),
            0
        ) +
        IFERROR(
            VLOOKUP($A78, INDIRECT("NovR!$A$6:$ZZ$1048576"), MATCH(AE$1, NovR!$6:$6, 0), FALSE),
            0
        ) +
        IFERROR(
            VLOOKUP($A78, INDIRECT("DicR!$A$6:$ZZ$1048576"), MATCH(AE$1, DicR!$6:$6, 0), FALSE),
            0
        )
)</f>
        <v>0</v>
      </c>
      <c r="AF78" s="36">
        <f t="array" ref="AF78">SUM(
    IFERROR(
            VLOOKUP($A78, INDIRECT("EneR!$A$6:$ZZ$1048576"), MATCH(AF$1, EneR!$6:$6, 0), FALSE),
            0
        ) +
        IFERROR(
            VLOOKUP($A78, INDIRECT("FebR!$A$6:$ZZ$1048576"), MATCH(AF$1, FebR!$6:$6, 0), FALSE),
            0
        ) +
        IFERROR(
            VLOOKUP($A78, INDIRECT("MarR!$A$6:$ZZ$1048576"), MATCH(AF$1, MarR!$6:$6, 0), FALSE),
            0
        ) +
        IFERROR(
            VLOOKUP($A78, INDIRECT("AbrR!$A$6:$ZZ$1048576"), MATCH(AF$1, AbrR!$6:$6, 0), FALSE),
            0
        ) +
        IFERROR(
            VLOOKUP($A78, INDIRECT("MayR!$A$6:$ZZ$1048576"), MATCH(AF$1, MayR!$6:$6, 0), FALSE),
            0
        ) +
        IFERROR(
            VLOOKUP($A78, INDIRECT("JunR!$A$6:$ZZ$1048576"), MATCH(AF$1, JunR!$6:$6, 0), FALSE),
            0
        ) +
        IFERROR(
            VLOOKUP($A78, INDIRECT("JulR!$A$6:$ZZ$1048576"), MATCH(AF$1, JulR!$6:$6, 0), FALSE),
            0
        ) +
        IFERROR(
            VLOOKUP($A78, INDIRECT("AgoR!$A$6:$ZZ$1048576"), MATCH(AF$1, AgoR!$6:$6, 0), FALSE),
            0
        ) +
        IFERROR(
            VLOOKUP($A78, INDIRECT("SepR!$A$6:$ZZ$1048576"), MATCH(AF$1, SepR!$6:$6, 0), FALSE),
            0
        ) +
        IFERROR(
            VLOOKUP($A78, INDIRECT("OctR!$A$6:$ZZ$1048576"), MATCH(AF$1, OctR!$6:$6, 0), FALSE),
            0
        ) +
        IFERROR(
            VLOOKUP($A78, INDIRECT("NovR!$A$6:$ZZ$1048576"), MATCH(AF$1, NovR!$6:$6, 0), FALSE),
            0
        ) +
        IFERROR(
            VLOOKUP($A78, INDIRECT("DicR!$A$6:$ZZ$1048576"), MATCH(AF$1, DicR!$6:$6, 0), FALSE),
            0
        )
)</f>
        <v>0</v>
      </c>
      <c r="AG78" s="37">
        <f t="array" ref="AG78">SUM(
    IFERROR(
            VLOOKUP($A78, INDIRECT("EneR!$A$6:$ZZ$1048576"), MATCH(AG$1, EneR!$6:$6, 0), FALSE),
            0
        ) +
        IFERROR(
            VLOOKUP($A78, INDIRECT("FebR!$A$6:$ZZ$1048576"), MATCH(AG$1, FebR!$6:$6, 0), FALSE),
            0
        ) +
        IFERROR(
            VLOOKUP($A78, INDIRECT("MarR!$A$6:$ZZ$1048576"), MATCH(AG$1, MarR!$6:$6, 0), FALSE),
            0
        ) +
        IFERROR(
            VLOOKUP($A78, INDIRECT("AbrR!$A$6:$ZZ$1048576"), MATCH(AG$1, AbrR!$6:$6, 0), FALSE),
            0
        ) +
        IFERROR(
            VLOOKUP($A78, INDIRECT("MayR!$A$6:$ZZ$1048576"), MATCH(AG$1, MayR!$6:$6, 0), FALSE),
            0
        ) +
        IFERROR(
            VLOOKUP($A78, INDIRECT("JunR!$A$6:$ZZ$1048576"), MATCH(AG$1, JunR!$6:$6, 0), FALSE),
            0
        ) +
        IFERROR(
            VLOOKUP($A78, INDIRECT("JulR!$A$6:$ZZ$1048576"), MATCH(AG$1, JulR!$6:$6, 0), FALSE),
            0
        ) +
        IFERROR(
            VLOOKUP($A78, INDIRECT("AgoR!$A$6:$ZZ$1048576"), MATCH(AG$1, AgoR!$6:$6, 0), FALSE),
            0
        ) +
        IFERROR(
            VLOOKUP($A78, INDIRECT("SepR!$A$6:$ZZ$1048576"), MATCH(AG$1, SepR!$6:$6, 0), FALSE),
            0
        ) +
        IFERROR(
            VLOOKUP($A78, INDIRECT("OctR!$A$6:$ZZ$1048576"), MATCH(AG$1, OctR!$6:$6, 0), FALSE),
            0
        ) +
        IFERROR(
            VLOOKUP($A78, INDIRECT("NovR!$A$6:$ZZ$1048576"), MATCH(AG$1, NovR!$6:$6, 0), FALSE),
            0
        ) +
        IFERROR(
            VLOOKUP($A78, INDIRECT("DicR!$A$6:$ZZ$1048576"), MATCH(AG$1, DicR!$6:$6, 0), FALSE),
            0
        )
)</f>
        <v>0</v>
      </c>
      <c r="AH78" s="36">
        <f t="array" ref="AH78">SUM(
    IFERROR(
            VLOOKUP($A78, INDIRECT("EneR!$A$6:$ZZ$1048576"), MATCH(AH$1, EneR!$6:$6, 0), FALSE),
            0
        ) +
        IFERROR(
            VLOOKUP($A78, INDIRECT("FebR!$A$6:$ZZ$1048576"), MATCH(AH$1, FebR!$6:$6, 0), FALSE),
            0
        ) +
        IFERROR(
            VLOOKUP($A78, INDIRECT("MarR!$A$6:$ZZ$1048576"), MATCH(AH$1, MarR!$6:$6, 0), FALSE),
            0
        ) +
        IFERROR(
            VLOOKUP($A78, INDIRECT("AbrR!$A$6:$ZZ$1048576"), MATCH(AH$1, AbrR!$6:$6, 0), FALSE),
            0
        ) +
        IFERROR(
            VLOOKUP($A78, INDIRECT("MayR!$A$6:$ZZ$1048576"), MATCH(AH$1, MayR!$6:$6, 0), FALSE),
            0
        ) +
        IFERROR(
            VLOOKUP($A78, INDIRECT("JunR!$A$6:$ZZ$1048576"), MATCH(AH$1, JunR!$6:$6, 0), FALSE),
            0
        ) +
        IFERROR(
            VLOOKUP($A78, INDIRECT("JulR!$A$6:$ZZ$1048576"), MATCH(AH$1, JulR!$6:$6, 0), FALSE),
            0
        ) +
        IFERROR(
            VLOOKUP($A78, INDIRECT("AgoR!$A$6:$ZZ$1048576"), MATCH(AH$1, AgoR!$6:$6, 0), FALSE),
            0
        ) +
        IFERROR(
            VLOOKUP($A78, INDIRECT("SepR!$A$6:$ZZ$1048576"), MATCH(AH$1, SepR!$6:$6, 0), FALSE),
            0
        ) +
        IFERROR(
            VLOOKUP($A78, INDIRECT("OctR!$A$6:$ZZ$1048576"), MATCH(AH$1, OctR!$6:$6, 0), FALSE),
            0
        ) +
        IFERROR(
            VLOOKUP($A78, INDIRECT("NovR!$A$6:$ZZ$1048576"), MATCH(AH$1, NovR!$6:$6, 0), FALSE),
            0
        ) +
        IFERROR(
            VLOOKUP($A78, INDIRECT("DicR!$A$6:$ZZ$1048576"), MATCH(AH$1, DicR!$6:$6, 0), FALSE),
            0
        )
)</f>
        <v>0</v>
      </c>
      <c r="AI78" s="37">
        <f t="array" ref="AI78">SUM(
    IFERROR(
            VLOOKUP($A78, INDIRECT("EneR!$A$6:$ZZ$1048576"), MATCH(AI$1, EneR!$6:$6, 0), FALSE),
            0
        ) +
        IFERROR(
            VLOOKUP($A78, INDIRECT("FebR!$A$6:$ZZ$1048576"), MATCH(AI$1, FebR!$6:$6, 0), FALSE),
            0
        ) +
        IFERROR(
            VLOOKUP($A78, INDIRECT("MarR!$A$6:$ZZ$1048576"), MATCH(AI$1, MarR!$6:$6, 0), FALSE),
            0
        ) +
        IFERROR(
            VLOOKUP($A78, INDIRECT("AbrR!$A$6:$ZZ$1048576"), MATCH(AI$1, AbrR!$6:$6, 0), FALSE),
            0
        ) +
        IFERROR(
            VLOOKUP($A78, INDIRECT("MayR!$A$6:$ZZ$1048576"), MATCH(AI$1, MayR!$6:$6, 0), FALSE),
            0
        ) +
        IFERROR(
            VLOOKUP($A78, INDIRECT("JunR!$A$6:$ZZ$1048576"), MATCH(AI$1, JunR!$6:$6, 0), FALSE),
            0
        ) +
        IFERROR(
            VLOOKUP($A78, INDIRECT("JulR!$A$6:$ZZ$1048576"), MATCH(AI$1, JulR!$6:$6, 0), FALSE),
            0
        ) +
        IFERROR(
            VLOOKUP($A78, INDIRECT("AgoR!$A$6:$ZZ$1048576"), MATCH(AI$1, AgoR!$6:$6, 0), FALSE),
            0
        ) +
        IFERROR(
            VLOOKUP($A78, INDIRECT("SepR!$A$6:$ZZ$1048576"), MATCH(AI$1, SepR!$6:$6, 0), FALSE),
            0
        ) +
        IFERROR(
            VLOOKUP($A78, INDIRECT("OctR!$A$6:$ZZ$1048576"), MATCH(AI$1, OctR!$6:$6, 0), FALSE),
            0
        ) +
        IFERROR(
            VLOOKUP($A78, INDIRECT("NovR!$A$6:$ZZ$1048576"), MATCH(AI$1, NovR!$6:$6, 0), FALSE),
            0
        ) +
        IFERROR(
            VLOOKUP($A78, INDIRECT("DicR!$A$6:$ZZ$1048576"), MATCH(AI$1, DicR!$6:$6, 0), FALSE),
            0
        )
)</f>
        <v>0</v>
      </c>
      <c r="AJ78" s="36">
        <f t="array" ref="AJ78">SUM(
    IFERROR(
            VLOOKUP($A78, INDIRECT("EneR!$A$6:$ZZ$1048576"), MATCH(AJ$1, EneR!$6:$6, 0), FALSE),
            0
        ) +
        IFERROR(
            VLOOKUP($A78, INDIRECT("FebR!$A$6:$ZZ$1048576"), MATCH(AJ$1, FebR!$6:$6, 0), FALSE),
            0
        ) +
        IFERROR(
            VLOOKUP($A78, INDIRECT("MarR!$A$6:$ZZ$1048576"), MATCH(AJ$1, MarR!$6:$6, 0), FALSE),
            0
        ) +
        IFERROR(
            VLOOKUP($A78, INDIRECT("AbrR!$A$6:$ZZ$1048576"), MATCH(AJ$1, AbrR!$6:$6, 0), FALSE),
            0
        ) +
        IFERROR(
            VLOOKUP($A78, INDIRECT("MayR!$A$6:$ZZ$1048576"), MATCH(AJ$1, MayR!$6:$6, 0), FALSE),
            0
        ) +
        IFERROR(
            VLOOKUP($A78, INDIRECT("JunR!$A$6:$ZZ$1048576"), MATCH(AJ$1, JunR!$6:$6, 0), FALSE),
            0
        ) +
        IFERROR(
            VLOOKUP($A78, INDIRECT("JulR!$A$6:$ZZ$1048576"), MATCH(AJ$1, JulR!$6:$6, 0), FALSE),
            0
        ) +
        IFERROR(
            VLOOKUP($A78, INDIRECT("AgoR!$A$6:$ZZ$1048576"), MATCH(AJ$1, AgoR!$6:$6, 0), FALSE),
            0
        ) +
        IFERROR(
            VLOOKUP($A78, INDIRECT("SepR!$A$6:$ZZ$1048576"), MATCH(AJ$1, SepR!$6:$6, 0), FALSE),
            0
        ) +
        IFERROR(
            VLOOKUP($A78, INDIRECT("OctR!$A$6:$ZZ$1048576"), MATCH(AJ$1, OctR!$6:$6, 0), FALSE),
            0
        ) +
        IFERROR(
            VLOOKUP($A78, INDIRECT("NovR!$A$6:$ZZ$1048576"), MATCH(AJ$1, NovR!$6:$6, 0), FALSE),
            0
        ) +
        IFERROR(
            VLOOKUP($A78, INDIRECT("DicR!$A$6:$ZZ$1048576"), MATCH(AJ$1, DicR!$6:$6, 0), FALSE),
            0
        )
)</f>
        <v>0</v>
      </c>
      <c r="AK78" s="37">
        <f t="array" ref="AK78">SUM(
    IFERROR(
            VLOOKUP($A78, INDIRECT("EneR!$A$6:$ZZ$1048576"), MATCH(AK$1, EneR!$6:$6, 0), FALSE),
            0
        ) +
        IFERROR(
            VLOOKUP($A78, INDIRECT("FebR!$A$6:$ZZ$1048576"), MATCH(AK$1, FebR!$6:$6, 0), FALSE),
            0
        ) +
        IFERROR(
            VLOOKUP($A78, INDIRECT("MarR!$A$6:$ZZ$1048576"), MATCH(AK$1, MarR!$6:$6, 0), FALSE),
            0
        ) +
        IFERROR(
            VLOOKUP($A78, INDIRECT("AbrR!$A$6:$ZZ$1048576"), MATCH(AK$1, AbrR!$6:$6, 0), FALSE),
            0
        ) +
        IFERROR(
            VLOOKUP($A78, INDIRECT("MayR!$A$6:$ZZ$1048576"), MATCH(AK$1, MayR!$6:$6, 0), FALSE),
            0
        ) +
        IFERROR(
            VLOOKUP($A78, INDIRECT("JunR!$A$6:$ZZ$1048576"), MATCH(AK$1, JunR!$6:$6, 0), FALSE),
            0
        ) +
        IFERROR(
            VLOOKUP($A78, INDIRECT("JulR!$A$6:$ZZ$1048576"), MATCH(AK$1, JulR!$6:$6, 0), FALSE),
            0
        ) +
        IFERROR(
            VLOOKUP($A78, INDIRECT("AgoR!$A$6:$ZZ$1048576"), MATCH(AK$1, AgoR!$6:$6, 0), FALSE),
            0
        ) +
        IFERROR(
            VLOOKUP($A78, INDIRECT("SepR!$A$6:$ZZ$1048576"), MATCH(AK$1, SepR!$6:$6, 0), FALSE),
            0
        ) +
        IFERROR(
            VLOOKUP($A78, INDIRECT("OctR!$A$6:$ZZ$1048576"), MATCH(AK$1, OctR!$6:$6, 0), FALSE),
            0
        ) +
        IFERROR(
            VLOOKUP($A78, INDIRECT("NovR!$A$6:$ZZ$1048576"), MATCH(AK$1, NovR!$6:$6, 0), FALSE),
            0
        ) +
        IFERROR(
            VLOOKUP($A78, INDIRECT("DicR!$A$6:$ZZ$1048576"), MATCH(AK$1, DicR!$6:$6, 0), FALSE),
            0
        )
)</f>
        <v>0</v>
      </c>
      <c r="AL78" s="36">
        <f t="array" ref="AL78">SUM(
    IFERROR(
            VLOOKUP($A78, INDIRECT("EneR!$A$6:$ZZ$1048576"), MATCH(AL$1, EneR!$6:$6, 0), FALSE),
            0
        ) +
        IFERROR(
            VLOOKUP($A78, INDIRECT("FebR!$A$6:$ZZ$1048576"), MATCH(AL$1, FebR!$6:$6, 0), FALSE),
            0
        ) +
        IFERROR(
            VLOOKUP($A78, INDIRECT("MarR!$A$6:$ZZ$1048576"), MATCH(AL$1, MarR!$6:$6, 0), FALSE),
            0
        ) +
        IFERROR(
            VLOOKUP($A78, INDIRECT("AbrR!$A$6:$ZZ$1048576"), MATCH(AL$1, AbrR!$6:$6, 0), FALSE),
            0
        ) +
        IFERROR(
            VLOOKUP($A78, INDIRECT("MayR!$A$6:$ZZ$1048576"), MATCH(AL$1, MayR!$6:$6, 0), FALSE),
            0
        ) +
        IFERROR(
            VLOOKUP($A78, INDIRECT("JunR!$A$6:$ZZ$1048576"), MATCH(AL$1, JunR!$6:$6, 0), FALSE),
            0
        ) +
        IFERROR(
            VLOOKUP($A78, INDIRECT("JulR!$A$6:$ZZ$1048576"), MATCH(AL$1, JulR!$6:$6, 0), FALSE),
            0
        ) +
        IFERROR(
            VLOOKUP($A78, INDIRECT("AgoR!$A$6:$ZZ$1048576"), MATCH(AL$1, AgoR!$6:$6, 0), FALSE),
            0
        ) +
        IFERROR(
            VLOOKUP($A78, INDIRECT("SepR!$A$6:$ZZ$1048576"), MATCH(AL$1, SepR!$6:$6, 0), FALSE),
            0
        ) +
        IFERROR(
            VLOOKUP($A78, INDIRECT("OctR!$A$6:$ZZ$1048576"), MATCH(AL$1, OctR!$6:$6, 0), FALSE),
            0
        ) +
        IFERROR(
            VLOOKUP($A78, INDIRECT("NovR!$A$6:$ZZ$1048576"), MATCH(AL$1, NovR!$6:$6, 0), FALSE),
            0
        ) +
        IFERROR(
            VLOOKUP($A78, INDIRECT("DicR!$A$6:$ZZ$1048576"), MATCH(AL$1, DicR!$6:$6, 0), FALSE),
            0
        )
)</f>
        <v>0</v>
      </c>
      <c r="AM78" s="37">
        <f t="array" ref="AM78">SUM(
    IFERROR(
            VLOOKUP($A78, INDIRECT("EneR!$A$6:$ZZ$1048576"), MATCH(AM$1, EneR!$6:$6, 0), FALSE),
            0
        ) +
        IFERROR(
            VLOOKUP($A78, INDIRECT("FebR!$A$6:$ZZ$1048576"), MATCH(AM$1, FebR!$6:$6, 0), FALSE),
            0
        ) +
        IFERROR(
            VLOOKUP($A78, INDIRECT("MarR!$A$6:$ZZ$1048576"), MATCH(AM$1, MarR!$6:$6, 0), FALSE),
            0
        ) +
        IFERROR(
            VLOOKUP($A78, INDIRECT("AbrR!$A$6:$ZZ$1048576"), MATCH(AM$1, AbrR!$6:$6, 0), FALSE),
            0
        ) +
        IFERROR(
            VLOOKUP($A78, INDIRECT("MayR!$A$6:$ZZ$1048576"), MATCH(AM$1, MayR!$6:$6, 0), FALSE),
            0
        ) +
        IFERROR(
            VLOOKUP($A78, INDIRECT("JunR!$A$6:$ZZ$1048576"), MATCH(AM$1, JunR!$6:$6, 0), FALSE),
            0
        ) +
        IFERROR(
            VLOOKUP($A78, INDIRECT("JulR!$A$6:$ZZ$1048576"), MATCH(AM$1, JulR!$6:$6, 0), FALSE),
            0
        ) +
        IFERROR(
            VLOOKUP($A78, INDIRECT("AgoR!$A$6:$ZZ$1048576"), MATCH(AM$1, AgoR!$6:$6, 0), FALSE),
            0
        ) +
        IFERROR(
            VLOOKUP($A78, INDIRECT("SepR!$A$6:$ZZ$1048576"), MATCH(AM$1, SepR!$6:$6, 0), FALSE),
            0
        ) +
        IFERROR(
            VLOOKUP($A78, INDIRECT("OctR!$A$6:$ZZ$1048576"), MATCH(AM$1, OctR!$6:$6, 0), FALSE),
            0
        ) +
        IFERROR(
            VLOOKUP($A78, INDIRECT("NovR!$A$6:$ZZ$1048576"), MATCH(AM$1, NovR!$6:$6, 0), FALSE),
            0
        ) +
        IFERROR(
            VLOOKUP($A78, INDIRECT("DicR!$A$6:$ZZ$1048576"), MATCH(AM$1, DicR!$6:$6, 0), FALSE),
            0
        )
)</f>
        <v>0</v>
      </c>
      <c r="AN78" s="32">
        <f t="array" ref="AN78">SUM(
    IFERROR(
            VLOOKUP($A78, INDIRECT("EneR!$A$6:$ZZ$1048576"), MATCH(AN$1, EneR!$6:$6, 0), FALSE),
            0
        ) +
        IFERROR(
            VLOOKUP($A78, INDIRECT("FebR!$A$6:$ZZ$1048576"), MATCH(AN$1, FebR!$6:$6, 0), FALSE),
            0
        ) +
        IFERROR(
            VLOOKUP($A78, INDIRECT("MarR!$A$6:$ZZ$1048576"), MATCH(AN$1, MarR!$6:$6, 0), FALSE),
            0
        ) +
        IFERROR(
            VLOOKUP($A78, INDIRECT("AbrR!$A$6:$ZZ$1048576"), MATCH(AN$1, AbrR!$6:$6, 0), FALSE),
            0
        ) +
        IFERROR(
            VLOOKUP($A78, INDIRECT("MayR!$A$6:$ZZ$1048576"), MATCH(AN$1, MayR!$6:$6, 0), FALSE),
            0
        ) +
        IFERROR(
            VLOOKUP($A78, INDIRECT("JunR!$A$6:$ZZ$1048576"), MATCH(AN$1, JunR!$6:$6, 0), FALSE),
            0
        ) +
        IFERROR(
            VLOOKUP($A78, INDIRECT("JulR!$A$6:$ZZ$1048576"), MATCH(AN$1, JulR!$6:$6, 0), FALSE),
            0
        ) +
        IFERROR(
            VLOOKUP($A78, INDIRECT("AgoR!$A$6:$ZZ$1048576"), MATCH(AN$1, AgoR!$6:$6, 0), FALSE),
            0
        ) +
        IFERROR(
            VLOOKUP($A78, INDIRECT("SepR!$A$6:$ZZ$1048576"), MATCH(AN$1, SepR!$6:$6, 0), FALSE),
            0
        ) +
        IFERROR(
            VLOOKUP($A78, INDIRECT("OctR!$A$6:$ZZ$1048576"), MATCH(AN$1, OctR!$6:$6, 0), FALSE),
            0
        ) +
        IFERROR(
            VLOOKUP($A78, INDIRECT("NovR!$A$6:$ZZ$1048576"), MATCH(AN$1, NovR!$6:$6, 0), FALSE),
            0
        ) +
        IFERROR(
            VLOOKUP($A78, INDIRECT("DicR!$A$6:$ZZ$1048576"), MATCH(AN$1, DicR!$6:$6, 0), FALSE),
            0
        )
)</f>
        <v>0</v>
      </c>
      <c r="AO78" s="35">
        <f t="array" ref="AO78">SUM(
    IFERROR(
            VLOOKUP($A78, INDIRECT("EneR!$A$6:$ZZ$1048576"), MATCH(AO$1, EneR!$6:$6, 0), FALSE),
            0
        ) +
        IFERROR(
            VLOOKUP($A78, INDIRECT("FebR!$A$6:$ZZ$1048576"), MATCH(AO$1, FebR!$6:$6, 0), FALSE),
            0
        ) +
        IFERROR(
            VLOOKUP($A78, INDIRECT("MarR!$A$6:$ZZ$1048576"), MATCH(AO$1, MarR!$6:$6, 0), FALSE),
            0
        ) +
        IFERROR(
            VLOOKUP($A78, INDIRECT("AbrR!$A$6:$ZZ$1048576"), MATCH(AO$1, AbrR!$6:$6, 0), FALSE),
            0
        ) +
        IFERROR(
            VLOOKUP($A78, INDIRECT("MayR!$A$6:$ZZ$1048576"), MATCH(AO$1, MayR!$6:$6, 0), FALSE),
            0
        ) +
        IFERROR(
            VLOOKUP($A78, INDIRECT("JunR!$A$6:$ZZ$1048576"), MATCH(AO$1, JunR!$6:$6, 0), FALSE),
            0
        ) +
        IFERROR(
            VLOOKUP($A78, INDIRECT("JulR!$A$6:$ZZ$1048576"), MATCH(AO$1, JulR!$6:$6, 0), FALSE),
            0
        ) +
        IFERROR(
            VLOOKUP($A78, INDIRECT("AgoR!$A$6:$ZZ$1048576"), MATCH(AO$1, AgoR!$6:$6, 0), FALSE),
            0
        ) +
        IFERROR(
            VLOOKUP($A78, INDIRECT("SepR!$A$6:$ZZ$1048576"), MATCH(AO$1, SepR!$6:$6, 0), FALSE),
            0
        ) +
        IFERROR(
            VLOOKUP($A78, INDIRECT("OctR!$A$6:$ZZ$1048576"), MATCH(AO$1, OctR!$6:$6, 0), FALSE),
            0
        ) +
        IFERROR(
            VLOOKUP($A78, INDIRECT("NovR!$A$6:$ZZ$1048576"), MATCH(AO$1, NovR!$6:$6, 0), FALSE),
            0
        ) +
        IFERROR(
            VLOOKUP($A78, INDIRECT("DicR!$A$6:$ZZ$1048576"), MATCH(AO$1, DicR!$6:$6, 0), FALSE),
            0
        )
)</f>
        <v>0</v>
      </c>
      <c r="AP78" s="36">
        <f t="array" ref="AP78">SUM(
    IFERROR(
            VLOOKUP($A78, INDIRECT("EneR!$A$6:$ZZ$1048576"), MATCH(AP$1, EneR!$6:$6, 0), FALSE),
            0
        ) +
        IFERROR(
            VLOOKUP($A78, INDIRECT("FebR!$A$6:$ZZ$1048576"), MATCH(AP$1, FebR!$6:$6, 0), FALSE),
            0
        ) +
        IFERROR(
            VLOOKUP($A78, INDIRECT("MarR!$A$6:$ZZ$1048576"), MATCH(AP$1, MarR!$6:$6, 0), FALSE),
            0
        ) +
        IFERROR(
            VLOOKUP($A78, INDIRECT("AbrR!$A$6:$ZZ$1048576"), MATCH(AP$1, AbrR!$6:$6, 0), FALSE),
            0
        ) +
        IFERROR(
            VLOOKUP($A78, INDIRECT("MayR!$A$6:$ZZ$1048576"), MATCH(AP$1, MayR!$6:$6, 0), FALSE),
            0
        ) +
        IFERROR(
            VLOOKUP($A78, INDIRECT("JunR!$A$6:$ZZ$1048576"), MATCH(AP$1, JunR!$6:$6, 0), FALSE),
            0
        ) +
        IFERROR(
            VLOOKUP($A78, INDIRECT("JulR!$A$6:$ZZ$1048576"), MATCH(AP$1, JulR!$6:$6, 0), FALSE),
            0
        ) +
        IFERROR(
            VLOOKUP($A78, INDIRECT("AgoR!$A$6:$ZZ$1048576"), MATCH(AP$1, AgoR!$6:$6, 0), FALSE),
            0
        ) +
        IFERROR(
            VLOOKUP($A78, INDIRECT("SepR!$A$6:$ZZ$1048576"), MATCH(AP$1, SepR!$6:$6, 0), FALSE),
            0
        ) +
        IFERROR(
            VLOOKUP($A78, INDIRECT("OctR!$A$6:$ZZ$1048576"), MATCH(AP$1, OctR!$6:$6, 0), FALSE),
            0
        ) +
        IFERROR(
            VLOOKUP($A78, INDIRECT("NovR!$A$6:$ZZ$1048576"), MATCH(AP$1, NovR!$6:$6, 0), FALSE),
            0
        ) +
        IFERROR(
            VLOOKUP($A78, INDIRECT("DicR!$A$6:$ZZ$1048576"), MATCH(AP$1, DicR!$6:$6, 0), FALSE),
            0
        )
)</f>
        <v>0</v>
      </c>
      <c r="AQ78" s="35">
        <f t="array" ref="AQ78">SUM(
    IFERROR(
            VLOOKUP($A78, INDIRECT("EneR!$A$6:$ZZ$1048576"), MATCH(AQ$1, EneR!$6:$6, 0), FALSE),
            0
        ) +
        IFERROR(
            VLOOKUP($A78, INDIRECT("FebR!$A$6:$ZZ$1048576"), MATCH(AQ$1, FebR!$6:$6, 0), FALSE),
            0
        ) +
        IFERROR(
            VLOOKUP($A78, INDIRECT("MarR!$A$6:$ZZ$1048576"), MATCH(AQ$1, MarR!$6:$6, 0), FALSE),
            0
        ) +
        IFERROR(
            VLOOKUP($A78, INDIRECT("AbrR!$A$6:$ZZ$1048576"), MATCH(AQ$1, AbrR!$6:$6, 0), FALSE),
            0
        ) +
        IFERROR(
            VLOOKUP($A78, INDIRECT("MayR!$A$6:$ZZ$1048576"), MATCH(AQ$1, MayR!$6:$6, 0), FALSE),
            0
        ) +
        IFERROR(
            VLOOKUP($A78, INDIRECT("JunR!$A$6:$ZZ$1048576"), MATCH(AQ$1, JunR!$6:$6, 0), FALSE),
            0
        ) +
        IFERROR(
            VLOOKUP($A78, INDIRECT("JulR!$A$6:$ZZ$1048576"), MATCH(AQ$1, JulR!$6:$6, 0), FALSE),
            0
        ) +
        IFERROR(
            VLOOKUP($A78, INDIRECT("AgoR!$A$6:$ZZ$1048576"), MATCH(AQ$1, AgoR!$6:$6, 0), FALSE),
            0
        ) +
        IFERROR(
            VLOOKUP($A78, INDIRECT("SepR!$A$6:$ZZ$1048576"), MATCH(AQ$1, SepR!$6:$6, 0), FALSE),
            0
        ) +
        IFERROR(
            VLOOKUP($A78, INDIRECT("OctR!$A$6:$ZZ$1048576"), MATCH(AQ$1, OctR!$6:$6, 0), FALSE),
            0
        ) +
        IFERROR(
            VLOOKUP($A78, INDIRECT("NovR!$A$6:$ZZ$1048576"), MATCH(AQ$1, NovR!$6:$6, 0), FALSE),
            0
        ) +
        IFERROR(
            VLOOKUP($A78, INDIRECT("DicR!$A$6:$ZZ$1048576"), MATCH(AQ$1, DicR!$6:$6, 0), FALSE),
            0
        )
)</f>
        <v>0</v>
      </c>
      <c r="AR78" s="36">
        <f t="array" ref="AR78">SUM(
    IFERROR(
            VLOOKUP($A78, INDIRECT("EneR!$A$6:$ZZ$1048576"), MATCH(AR$1, EneR!$6:$6, 0), FALSE),
            0
        ) +
        IFERROR(
            VLOOKUP($A78, INDIRECT("FebR!$A$6:$ZZ$1048576"), MATCH(AR$1, FebR!$6:$6, 0), FALSE),
            0
        ) +
        IFERROR(
            VLOOKUP($A78, INDIRECT("MarR!$A$6:$ZZ$1048576"), MATCH(AR$1, MarR!$6:$6, 0), FALSE),
            0
        ) +
        IFERROR(
            VLOOKUP($A78, INDIRECT("AbrR!$A$6:$ZZ$1048576"), MATCH(AR$1, AbrR!$6:$6, 0), FALSE),
            0
        ) +
        IFERROR(
            VLOOKUP($A78, INDIRECT("MayR!$A$6:$ZZ$1048576"), MATCH(AR$1, MayR!$6:$6, 0), FALSE),
            0
        ) +
        IFERROR(
            VLOOKUP($A78, INDIRECT("JunR!$A$6:$ZZ$1048576"), MATCH(AR$1, JunR!$6:$6, 0), FALSE),
            0
        ) +
        IFERROR(
            VLOOKUP($A78, INDIRECT("JulR!$A$6:$ZZ$1048576"), MATCH(AR$1, JulR!$6:$6, 0), FALSE),
            0
        ) +
        IFERROR(
            VLOOKUP($A78, INDIRECT("AgoR!$A$6:$ZZ$1048576"), MATCH(AR$1, AgoR!$6:$6, 0), FALSE),
            0
        ) +
        IFERROR(
            VLOOKUP($A78, INDIRECT("SepR!$A$6:$ZZ$1048576"), MATCH(AR$1, SepR!$6:$6, 0), FALSE),
            0
        ) +
        IFERROR(
            VLOOKUP($A78, INDIRECT("OctR!$A$6:$ZZ$1048576"), MATCH(AR$1, OctR!$6:$6, 0), FALSE),
            0
        ) +
        IFERROR(
            VLOOKUP($A78, INDIRECT("NovR!$A$6:$ZZ$1048576"), MATCH(AR$1, NovR!$6:$6, 0), FALSE),
            0
        ) +
        IFERROR(
            VLOOKUP($A78, INDIRECT("DicR!$A$6:$ZZ$1048576"), MATCH(AR$1, DicR!$6:$6, 0), FALSE),
            0
        )
)</f>
        <v>0</v>
      </c>
      <c r="AS78" s="35">
        <f t="array" ref="AS78">SUM(
    IFERROR(
            VLOOKUP($A78, INDIRECT("EneR!$A$6:$ZZ$1048576"), MATCH(AS$1, EneR!$6:$6, 0), FALSE),
            0
        ) +
        IFERROR(
            VLOOKUP($A78, INDIRECT("FebR!$A$6:$ZZ$1048576"), MATCH(AS$1, FebR!$6:$6, 0), FALSE),
            0
        ) +
        IFERROR(
            VLOOKUP($A78, INDIRECT("MarR!$A$6:$ZZ$1048576"), MATCH(AS$1, MarR!$6:$6, 0), FALSE),
            0
        ) +
        IFERROR(
            VLOOKUP($A78, INDIRECT("AbrR!$A$6:$ZZ$1048576"), MATCH(AS$1, AbrR!$6:$6, 0), FALSE),
            0
        ) +
        IFERROR(
            VLOOKUP($A78, INDIRECT("MayR!$A$6:$ZZ$1048576"), MATCH(AS$1, MayR!$6:$6, 0), FALSE),
            0
        ) +
        IFERROR(
            VLOOKUP($A78, INDIRECT("JunR!$A$6:$ZZ$1048576"), MATCH(AS$1, JunR!$6:$6, 0), FALSE),
            0
        ) +
        IFERROR(
            VLOOKUP($A78, INDIRECT("JulR!$A$6:$ZZ$1048576"), MATCH(AS$1, JulR!$6:$6, 0), FALSE),
            0
        ) +
        IFERROR(
            VLOOKUP($A78, INDIRECT("AgoR!$A$6:$ZZ$1048576"), MATCH(AS$1, AgoR!$6:$6, 0), FALSE),
            0
        ) +
        IFERROR(
            VLOOKUP($A78, INDIRECT("SepR!$A$6:$ZZ$1048576"), MATCH(AS$1, SepR!$6:$6, 0), FALSE),
            0
        ) +
        IFERROR(
            VLOOKUP($A78, INDIRECT("OctR!$A$6:$ZZ$1048576"), MATCH(AS$1, OctR!$6:$6, 0), FALSE),
            0
        ) +
        IFERROR(
            VLOOKUP($A78, INDIRECT("NovR!$A$6:$ZZ$1048576"), MATCH(AS$1, NovR!$6:$6, 0), FALSE),
            0
        ) +
        IFERROR(
            VLOOKUP($A78, INDIRECT("DicR!$A$6:$ZZ$1048576"), MATCH(AS$1, DicR!$6:$6, 0), FALSE),
            0
        )
)</f>
        <v>0</v>
      </c>
      <c r="AT78" s="36">
        <f t="array" ref="AT78">SUM(
    IFERROR(
            VLOOKUP($A78, INDIRECT("EneR!$A$6:$ZZ$1048576"), MATCH(AT$1, EneR!$6:$6, 0), FALSE),
            0
        ) +
        IFERROR(
            VLOOKUP($A78, INDIRECT("FebR!$A$6:$ZZ$1048576"), MATCH(AT$1, FebR!$6:$6, 0), FALSE),
            0
        ) +
        IFERROR(
            VLOOKUP($A78, INDIRECT("MarR!$A$6:$ZZ$1048576"), MATCH(AT$1, MarR!$6:$6, 0), FALSE),
            0
        ) +
        IFERROR(
            VLOOKUP($A78, INDIRECT("AbrR!$A$6:$ZZ$1048576"), MATCH(AT$1, AbrR!$6:$6, 0), FALSE),
            0
        ) +
        IFERROR(
            VLOOKUP($A78, INDIRECT("MayR!$A$6:$ZZ$1048576"), MATCH(AT$1, MayR!$6:$6, 0), FALSE),
            0
        ) +
        IFERROR(
            VLOOKUP($A78, INDIRECT("JunR!$A$6:$ZZ$1048576"), MATCH(AT$1, JunR!$6:$6, 0), FALSE),
            0
        ) +
        IFERROR(
            VLOOKUP($A78, INDIRECT("JulR!$A$6:$ZZ$1048576"), MATCH(AT$1, JulR!$6:$6, 0), FALSE),
            0
        ) +
        IFERROR(
            VLOOKUP($A78, INDIRECT("AgoR!$A$6:$ZZ$1048576"), MATCH(AT$1, AgoR!$6:$6, 0), FALSE),
            0
        ) +
        IFERROR(
            VLOOKUP($A78, INDIRECT("SepR!$A$6:$ZZ$1048576"), MATCH(AT$1, SepR!$6:$6, 0), FALSE),
            0
        ) +
        IFERROR(
            VLOOKUP($A78, INDIRECT("OctR!$A$6:$ZZ$1048576"), MATCH(AT$1, OctR!$6:$6, 0), FALSE),
            0
        ) +
        IFERROR(
            VLOOKUP($A78, INDIRECT("NovR!$A$6:$ZZ$1048576"), MATCH(AT$1, NovR!$6:$6, 0), FALSE),
            0
        ) +
        IFERROR(
            VLOOKUP($A78, INDIRECT("DicR!$A$6:$ZZ$1048576"), MATCH(AT$1, DicR!$6:$6, 0), FALSE),
            0
        )
)</f>
        <v>0</v>
      </c>
      <c r="AU78" s="35">
        <f t="array" ref="AU78">SUM(
    IFERROR(
            VLOOKUP($A78, INDIRECT("EneR!$A$6:$ZZ$1048576"), MATCH(AU$1, EneR!$6:$6, 0), FALSE),
            0
        ) +
        IFERROR(
            VLOOKUP($A78, INDIRECT("FebR!$A$6:$ZZ$1048576"), MATCH(AU$1, FebR!$6:$6, 0), FALSE),
            0
        ) +
        IFERROR(
            VLOOKUP($A78, INDIRECT("MarR!$A$6:$ZZ$1048576"), MATCH(AU$1, MarR!$6:$6, 0), FALSE),
            0
        ) +
        IFERROR(
            VLOOKUP($A78, INDIRECT("AbrR!$A$6:$ZZ$1048576"), MATCH(AU$1, AbrR!$6:$6, 0), FALSE),
            0
        ) +
        IFERROR(
            VLOOKUP($A78, INDIRECT("MayR!$A$6:$ZZ$1048576"), MATCH(AU$1, MayR!$6:$6, 0), FALSE),
            0
        ) +
        IFERROR(
            VLOOKUP($A78, INDIRECT("JunR!$A$6:$ZZ$1048576"), MATCH(AU$1, JunR!$6:$6, 0), FALSE),
            0
        ) +
        IFERROR(
            VLOOKUP($A78, INDIRECT("JulR!$A$6:$ZZ$1048576"), MATCH(AU$1, JulR!$6:$6, 0), FALSE),
            0
        ) +
        IFERROR(
            VLOOKUP($A78, INDIRECT("AgoR!$A$6:$ZZ$1048576"), MATCH(AU$1, AgoR!$6:$6, 0), FALSE),
            0
        ) +
        IFERROR(
            VLOOKUP($A78, INDIRECT("SepR!$A$6:$ZZ$1048576"), MATCH(AU$1, SepR!$6:$6, 0), FALSE),
            0
        ) +
        IFERROR(
            VLOOKUP($A78, INDIRECT("OctR!$A$6:$ZZ$1048576"), MATCH(AU$1, OctR!$6:$6, 0), FALSE),
            0
        ) +
        IFERROR(
            VLOOKUP($A78, INDIRECT("NovR!$A$6:$ZZ$1048576"), MATCH(AU$1, NovR!$6:$6, 0), FALSE),
            0
        ) +
        IFERROR(
            VLOOKUP($A78, INDIRECT("DicR!$A$6:$ZZ$1048576"), MATCH(AU$1, DicR!$6:$6, 0), FALSE),
            0
        )
)</f>
        <v>0</v>
      </c>
      <c r="AV78" s="36">
        <f t="array" ref="AV78">SUM(
    IFERROR(
            VLOOKUP($A78, INDIRECT("EneR!$A$6:$ZZ$1048576"), MATCH(AV$1, EneR!$6:$6, 0), FALSE),
            0
        ) +
        IFERROR(
            VLOOKUP($A78, INDIRECT("FebR!$A$6:$ZZ$1048576"), MATCH(AV$1, FebR!$6:$6, 0), FALSE),
            0
        ) +
        IFERROR(
            VLOOKUP($A78, INDIRECT("MarR!$A$6:$ZZ$1048576"), MATCH(AV$1, MarR!$6:$6, 0), FALSE),
            0
        ) +
        IFERROR(
            VLOOKUP($A78, INDIRECT("AbrR!$A$6:$ZZ$1048576"), MATCH(AV$1, AbrR!$6:$6, 0), FALSE),
            0
        ) +
        IFERROR(
            VLOOKUP($A78, INDIRECT("MayR!$A$6:$ZZ$1048576"), MATCH(AV$1, MayR!$6:$6, 0), FALSE),
            0
        ) +
        IFERROR(
            VLOOKUP($A78, INDIRECT("JunR!$A$6:$ZZ$1048576"), MATCH(AV$1, JunR!$6:$6, 0), FALSE),
            0
        ) +
        IFERROR(
            VLOOKUP($A78, INDIRECT("JulR!$A$6:$ZZ$1048576"), MATCH(AV$1, JulR!$6:$6, 0), FALSE),
            0
        ) +
        IFERROR(
            VLOOKUP($A78, INDIRECT("AgoR!$A$6:$ZZ$1048576"), MATCH(AV$1, AgoR!$6:$6, 0), FALSE),
            0
        ) +
        IFERROR(
            VLOOKUP($A78, INDIRECT("SepR!$A$6:$ZZ$1048576"), MATCH(AV$1, SepR!$6:$6, 0), FALSE),
            0
        ) +
        IFERROR(
            VLOOKUP($A78, INDIRECT("OctR!$A$6:$ZZ$1048576"), MATCH(AV$1, OctR!$6:$6, 0), FALSE),
            0
        ) +
        IFERROR(
            VLOOKUP($A78, INDIRECT("NovR!$A$6:$ZZ$1048576"), MATCH(AV$1, NovR!$6:$6, 0), FALSE),
            0
        ) +
        IFERROR(
            VLOOKUP($A78, INDIRECT("DicR!$A$6:$ZZ$1048576"), MATCH(AV$1, DicR!$6:$6, 0), FALSE),
            0
        )
)</f>
        <v>0</v>
      </c>
      <c r="AW78" s="35">
        <f t="array" ref="AW78">SUM(
    IFERROR(
            VLOOKUP($A78, INDIRECT("EneR!$A$6:$ZZ$1048576"), MATCH(AW$1, EneR!$6:$6, 0), FALSE),
            0
        ) +
        IFERROR(
            VLOOKUP($A78, INDIRECT("FebR!$A$6:$ZZ$1048576"), MATCH(AW$1, FebR!$6:$6, 0), FALSE),
            0
        ) +
        IFERROR(
            VLOOKUP($A78, INDIRECT("MarR!$A$6:$ZZ$1048576"), MATCH(AW$1, MarR!$6:$6, 0), FALSE),
            0
        ) +
        IFERROR(
            VLOOKUP($A78, INDIRECT("AbrR!$A$6:$ZZ$1048576"), MATCH(AW$1, AbrR!$6:$6, 0), FALSE),
            0
        ) +
        IFERROR(
            VLOOKUP($A78, INDIRECT("MayR!$A$6:$ZZ$1048576"), MATCH(AW$1, MayR!$6:$6, 0), FALSE),
            0
        ) +
        IFERROR(
            VLOOKUP($A78, INDIRECT("JunR!$A$6:$ZZ$1048576"), MATCH(AW$1, JunR!$6:$6, 0), FALSE),
            0
        ) +
        IFERROR(
            VLOOKUP($A78, INDIRECT("JulR!$A$6:$ZZ$1048576"), MATCH(AW$1, JulR!$6:$6, 0), FALSE),
            0
        ) +
        IFERROR(
            VLOOKUP($A78, INDIRECT("AgoR!$A$6:$ZZ$1048576"), MATCH(AW$1, AgoR!$6:$6, 0), FALSE),
            0
        ) +
        IFERROR(
            VLOOKUP($A78, INDIRECT("SepR!$A$6:$ZZ$1048576"), MATCH(AW$1, SepR!$6:$6, 0), FALSE),
            0
        ) +
        IFERROR(
            VLOOKUP($A78, INDIRECT("OctR!$A$6:$ZZ$1048576"), MATCH(AW$1, OctR!$6:$6, 0), FALSE),
            0
        ) +
        IFERROR(
            VLOOKUP($A78, INDIRECT("NovR!$A$6:$ZZ$1048576"), MATCH(AW$1, NovR!$6:$6, 0), FALSE),
            0
        ) +
        IFERROR(
            VLOOKUP($A78, INDIRECT("DicR!$A$6:$ZZ$1048576"), MATCH(AW$1, DicR!$6:$6, 0), FALSE),
            0
        )
)</f>
        <v>0</v>
      </c>
      <c r="AX78" s="36">
        <f t="array" ref="AX78">SUM(
    IFERROR(
            VLOOKUP($A78, INDIRECT("EneR!$A$6:$ZZ$1048576"), MATCH(AX$1, EneR!$6:$6, 0), FALSE),
            0
        ) +
        IFERROR(
            VLOOKUP($A78, INDIRECT("FebR!$A$6:$ZZ$1048576"), MATCH(AX$1, FebR!$6:$6, 0), FALSE),
            0
        ) +
        IFERROR(
            VLOOKUP($A78, INDIRECT("MarR!$A$6:$ZZ$1048576"), MATCH(AX$1, MarR!$6:$6, 0), FALSE),
            0
        ) +
        IFERROR(
            VLOOKUP($A78, INDIRECT("AbrR!$A$6:$ZZ$1048576"), MATCH(AX$1, AbrR!$6:$6, 0), FALSE),
            0
        ) +
        IFERROR(
            VLOOKUP($A78, INDIRECT("MayR!$A$6:$ZZ$1048576"), MATCH(AX$1, MayR!$6:$6, 0), FALSE),
            0
        ) +
        IFERROR(
            VLOOKUP($A78, INDIRECT("JunR!$A$6:$ZZ$1048576"), MATCH(AX$1, JunR!$6:$6, 0), FALSE),
            0
        ) +
        IFERROR(
            VLOOKUP($A78, INDIRECT("JulR!$A$6:$ZZ$1048576"), MATCH(AX$1, JulR!$6:$6, 0), FALSE),
            0
        ) +
        IFERROR(
            VLOOKUP($A78, INDIRECT("AgoR!$A$6:$ZZ$1048576"), MATCH(AX$1, AgoR!$6:$6, 0), FALSE),
            0
        ) +
        IFERROR(
            VLOOKUP($A78, INDIRECT("SepR!$A$6:$ZZ$1048576"), MATCH(AX$1, SepR!$6:$6, 0), FALSE),
            0
        ) +
        IFERROR(
            VLOOKUP($A78, INDIRECT("OctR!$A$6:$ZZ$1048576"), MATCH(AX$1, OctR!$6:$6, 0), FALSE),
            0
        ) +
        IFERROR(
            VLOOKUP($A78, INDIRECT("NovR!$A$6:$ZZ$1048576"), MATCH(AX$1, NovR!$6:$6, 0), FALSE),
            0
        ) +
        IFERROR(
            VLOOKUP($A78, INDIRECT("DicR!$A$6:$ZZ$1048576"), MATCH(AX$1, DicR!$6:$6, 0), FALSE),
            0
        )
)</f>
        <v>0</v>
      </c>
      <c r="AY78" s="35">
        <f t="array" ref="AY78">SUM(
    IFERROR(
            VLOOKUP($A78, INDIRECT("EneR!$A$6:$ZZ$1048576"), MATCH(AY$1, EneR!$6:$6, 0), FALSE),
            0
        ) +
        IFERROR(
            VLOOKUP($A78, INDIRECT("FebR!$A$6:$ZZ$1048576"), MATCH(AY$1, FebR!$6:$6, 0), FALSE),
            0
        ) +
        IFERROR(
            VLOOKUP($A78, INDIRECT("MarR!$A$6:$ZZ$1048576"), MATCH(AY$1, MarR!$6:$6, 0), FALSE),
            0
        ) +
        IFERROR(
            VLOOKUP($A78, INDIRECT("AbrR!$A$6:$ZZ$1048576"), MATCH(AY$1, AbrR!$6:$6, 0), FALSE),
            0
        ) +
        IFERROR(
            VLOOKUP($A78, INDIRECT("MayR!$A$6:$ZZ$1048576"), MATCH(AY$1, MayR!$6:$6, 0), FALSE),
            0
        ) +
        IFERROR(
            VLOOKUP($A78, INDIRECT("JunR!$A$6:$ZZ$1048576"), MATCH(AY$1, JunR!$6:$6, 0), FALSE),
            0
        ) +
        IFERROR(
            VLOOKUP($A78, INDIRECT("JulR!$A$6:$ZZ$1048576"), MATCH(AY$1, JulR!$6:$6, 0), FALSE),
            0
        ) +
        IFERROR(
            VLOOKUP($A78, INDIRECT("AgoR!$A$6:$ZZ$1048576"), MATCH(AY$1, AgoR!$6:$6, 0), FALSE),
            0
        ) +
        IFERROR(
            VLOOKUP($A78, INDIRECT("SepR!$A$6:$ZZ$1048576"), MATCH(AY$1, SepR!$6:$6, 0), FALSE),
            0
        ) +
        IFERROR(
            VLOOKUP($A78, INDIRECT("OctR!$A$6:$ZZ$1048576"), MATCH(AY$1, OctR!$6:$6, 0), FALSE),
            0
        ) +
        IFERROR(
            VLOOKUP($A78, INDIRECT("NovR!$A$6:$ZZ$1048576"), MATCH(AY$1, NovR!$6:$6, 0), FALSE),
            0
        ) +
        IFERROR(
            VLOOKUP($A78, INDIRECT("DicR!$A$6:$ZZ$1048576"), MATCH(AY$1, DicR!$6:$6, 0), FALSE),
            0
        )
)</f>
        <v>0</v>
      </c>
      <c r="AZ78" s="35"/>
    </row>
    <row r="79" ht="15.75" customHeight="1">
      <c r="A79" s="12" t="str">
        <f>Menus!B40</f>
        <v/>
      </c>
      <c r="B79" s="32">
        <f t="shared" si="9"/>
        <v>0</v>
      </c>
      <c r="C79" s="33" t="str">
        <f t="shared" si="10"/>
        <v/>
      </c>
      <c r="D79" s="34">
        <f t="array" ref="D79">SUM(
    IFERROR(
            VLOOKUP($A79, INDIRECT("EneR!$A$6:$ZZ$1048576"), MATCH(D$1, EneR!$6:$6, 0), FALSE),
            0
        ) +
        IFERROR(
            VLOOKUP($A79, INDIRECT("FebR!$A$6:$ZZ$1048576"), MATCH(D$1, FebR!$6:$6, 0), FALSE),
            0
        ) +
        IFERROR(
            VLOOKUP($A79, INDIRECT("MarR!$A$6:$ZZ$1048576"), MATCH(D$1, MarR!$6:$6, 0), FALSE),
            0
        ) +
        IFERROR(
            VLOOKUP($A79, INDIRECT("AbrR!$A$6:$ZZ$1048576"), MATCH(D$1, AbrR!$6:$6, 0), FALSE),
            0
        ) +
        IFERROR(
            VLOOKUP($A79, INDIRECT("MayR!$A$6:$ZZ$1048576"), MATCH(D$1, MayR!$6:$6, 0), FALSE),
            0
        ) +
        IFERROR(
            VLOOKUP($A79, INDIRECT("JunR!$A$6:$ZZ$1048576"), MATCH(D$1, JunR!$6:$6, 0), FALSE),
            0
        ) +
        IFERROR(
            VLOOKUP($A79, INDIRECT("JulR!$A$6:$ZZ$1048576"), MATCH(D$1, JulR!$6:$6, 0), FALSE),
            0
        ) +
        IFERROR(
            VLOOKUP($A79, INDIRECT("AgoR!$A$6:$ZZ$1048576"), MATCH(D$1, AgoR!$6:$6, 0), FALSE),
            0
        ) +
        IFERROR(
            VLOOKUP($A79, INDIRECT("SepR!$A$6:$ZZ$1048576"), MATCH(D$1, SepR!$6:$6, 0), FALSE),
            0
        ) +
        IFERROR(
            VLOOKUP($A79, INDIRECT("OctR!$A$6:$ZZ$1048576"), MATCH(D$1, OctR!$6:$6, 0), FALSE),
            0
        ) +
        IFERROR(
            VLOOKUP($A79, INDIRECT("NovR!$A$6:$ZZ$1048576"), MATCH(D$1, NovR!$6:$6, 0), FALSE),
            0
        ) +
        IFERROR(
            VLOOKUP($A79, INDIRECT("DicR!$A$6:$ZZ$1048576"), MATCH(D$1, DicR!$6:$6, 0), FALSE),
            0
        )
)</f>
        <v>0</v>
      </c>
      <c r="E79" s="35">
        <f t="array" ref="E79">SUM(
    IFERROR(
            VLOOKUP($A79, INDIRECT("EneR!$A$6:$ZZ$1048576"), MATCH(E$1, EneR!$6:$6, 0), FALSE),
            0
        ) +
        IFERROR(
            VLOOKUP($A79, INDIRECT("FebR!$A$6:$ZZ$1048576"), MATCH(E$1, FebR!$6:$6, 0), FALSE),
            0
        ) +
        IFERROR(
            VLOOKUP($A79, INDIRECT("MarR!$A$6:$ZZ$1048576"), MATCH(E$1, MarR!$6:$6, 0), FALSE),
            0
        ) +
        IFERROR(
            VLOOKUP($A79, INDIRECT("AbrR!$A$6:$ZZ$1048576"), MATCH(E$1, AbrR!$6:$6, 0), FALSE),
            0
        ) +
        IFERROR(
            VLOOKUP($A79, INDIRECT("MayR!$A$6:$ZZ$1048576"), MATCH(E$1, MayR!$6:$6, 0), FALSE),
            0
        ) +
        IFERROR(
            VLOOKUP($A79, INDIRECT("JunR!$A$6:$ZZ$1048576"), MATCH(E$1, JunR!$6:$6, 0), FALSE),
            0
        ) +
        IFERROR(
            VLOOKUP($A79, INDIRECT("JulR!$A$6:$ZZ$1048576"), MATCH(E$1, JulR!$6:$6, 0), FALSE),
            0
        ) +
        IFERROR(
            VLOOKUP($A79, INDIRECT("AgoR!$A$6:$ZZ$1048576"), MATCH(E$1, AgoR!$6:$6, 0), FALSE),
            0
        ) +
        IFERROR(
            VLOOKUP($A79, INDIRECT("SepR!$A$6:$ZZ$1048576"), MATCH(E$1, SepR!$6:$6, 0), FALSE),
            0
        ) +
        IFERROR(
            VLOOKUP($A79, INDIRECT("OctR!$A$6:$ZZ$1048576"), MATCH(E$1, OctR!$6:$6, 0), FALSE),
            0
        ) +
        IFERROR(
            VLOOKUP($A79, INDIRECT("NovR!$A$6:$ZZ$1048576"), MATCH(E$1, NovR!$6:$6, 0), FALSE),
            0
        ) +
        IFERROR(
            VLOOKUP($A79, INDIRECT("DicR!$A$6:$ZZ$1048576"), MATCH(E$1, DicR!$6:$6, 0), FALSE),
            0
        )
)</f>
        <v>0</v>
      </c>
      <c r="F79" s="32">
        <f t="array" ref="F79">SUM(
    IFERROR(
            VLOOKUP($A79, INDIRECT("EneR!$A$6:$ZZ$1048576"), MATCH(F$1, EneR!$6:$6, 0), FALSE),
            0
        ) +
        IFERROR(
            VLOOKUP($A79, INDIRECT("FebR!$A$6:$ZZ$1048576"), MATCH(F$1, FebR!$6:$6, 0), FALSE),
            0
        ) +
        IFERROR(
            VLOOKUP($A79, INDIRECT("MarR!$A$6:$ZZ$1048576"), MATCH(F$1, MarR!$6:$6, 0), FALSE),
            0
        ) +
        IFERROR(
            VLOOKUP($A79, INDIRECT("AbrR!$A$6:$ZZ$1048576"), MATCH(F$1, AbrR!$6:$6, 0), FALSE),
            0
        ) +
        IFERROR(
            VLOOKUP($A79, INDIRECT("MayR!$A$6:$ZZ$1048576"), MATCH(F$1, MayR!$6:$6, 0), FALSE),
            0
        ) +
        IFERROR(
            VLOOKUP($A79, INDIRECT("JunR!$A$6:$ZZ$1048576"), MATCH(F$1, JunR!$6:$6, 0), FALSE),
            0
        ) +
        IFERROR(
            VLOOKUP($A79, INDIRECT("JulR!$A$6:$ZZ$1048576"), MATCH(F$1, JulR!$6:$6, 0), FALSE),
            0
        ) +
        IFERROR(
            VLOOKUP($A79, INDIRECT("AgoR!$A$6:$ZZ$1048576"), MATCH(F$1, AgoR!$6:$6, 0), FALSE),
            0
        ) +
        IFERROR(
            VLOOKUP($A79, INDIRECT("SepR!$A$6:$ZZ$1048576"), MATCH(F$1, SepR!$6:$6, 0), FALSE),
            0
        ) +
        IFERROR(
            VLOOKUP($A79, INDIRECT("OctR!$A$6:$ZZ$1048576"), MATCH(F$1, OctR!$6:$6, 0), FALSE),
            0
        ) +
        IFERROR(
            VLOOKUP($A79, INDIRECT("NovR!$A$6:$ZZ$1048576"), MATCH(F$1, NovR!$6:$6, 0), FALSE),
            0
        ) +
        IFERROR(
            VLOOKUP($A79, INDIRECT("DicR!$A$6:$ZZ$1048576"), MATCH(F$1, DicR!$6:$6, 0), FALSE),
            0
        )
)</f>
        <v>0</v>
      </c>
      <c r="G79" s="35">
        <f t="array" ref="G79">SUM(
    IFERROR(
            VLOOKUP($A79, INDIRECT("EneR!$A$6:$ZZ$1048576"), MATCH(G$1, EneR!$6:$6, 0), FALSE),
            0
        ) +
        IFERROR(
            VLOOKUP($A79, INDIRECT("FebR!$A$6:$ZZ$1048576"), MATCH(G$1, FebR!$6:$6, 0), FALSE),
            0
        ) +
        IFERROR(
            VLOOKUP($A79, INDIRECT("MarR!$A$6:$ZZ$1048576"), MATCH(G$1, MarR!$6:$6, 0), FALSE),
            0
        ) +
        IFERROR(
            VLOOKUP($A79, INDIRECT("AbrR!$A$6:$ZZ$1048576"), MATCH(G$1, AbrR!$6:$6, 0), FALSE),
            0
        ) +
        IFERROR(
            VLOOKUP($A79, INDIRECT("MayR!$A$6:$ZZ$1048576"), MATCH(G$1, MayR!$6:$6, 0), FALSE),
            0
        ) +
        IFERROR(
            VLOOKUP($A79, INDIRECT("JunR!$A$6:$ZZ$1048576"), MATCH(G$1, JunR!$6:$6, 0), FALSE),
            0
        ) +
        IFERROR(
            VLOOKUP($A79, INDIRECT("JulR!$A$6:$ZZ$1048576"), MATCH(G$1, JulR!$6:$6, 0), FALSE),
            0
        ) +
        IFERROR(
            VLOOKUP($A79, INDIRECT("AgoR!$A$6:$ZZ$1048576"), MATCH(G$1, AgoR!$6:$6, 0), FALSE),
            0
        ) +
        IFERROR(
            VLOOKUP($A79, INDIRECT("SepR!$A$6:$ZZ$1048576"), MATCH(G$1, SepR!$6:$6, 0), FALSE),
            0
        ) +
        IFERROR(
            VLOOKUP($A79, INDIRECT("OctR!$A$6:$ZZ$1048576"), MATCH(G$1, OctR!$6:$6, 0), FALSE),
            0
        ) +
        IFERROR(
            VLOOKUP($A79, INDIRECT("NovR!$A$6:$ZZ$1048576"), MATCH(G$1, NovR!$6:$6, 0), FALSE),
            0
        ) +
        IFERROR(
            VLOOKUP($A79, INDIRECT("DicR!$A$6:$ZZ$1048576"), MATCH(G$1, DicR!$6:$6, 0), FALSE),
            0
        )
)</f>
        <v>0</v>
      </c>
      <c r="H79" s="32">
        <f t="array" ref="H79">SUM(
    IFERROR(
            VLOOKUP($A79, INDIRECT("EneR!$A$6:$ZZ$1048576"), MATCH(H$1, EneR!$6:$6, 0), FALSE),
            0
        ) +
        IFERROR(
            VLOOKUP($A79, INDIRECT("FebR!$A$6:$ZZ$1048576"), MATCH(H$1, FebR!$6:$6, 0), FALSE),
            0
        ) +
        IFERROR(
            VLOOKUP($A79, INDIRECT("MarR!$A$6:$ZZ$1048576"), MATCH(H$1, MarR!$6:$6, 0), FALSE),
            0
        ) +
        IFERROR(
            VLOOKUP($A79, INDIRECT("AbrR!$A$6:$ZZ$1048576"), MATCH(H$1, AbrR!$6:$6, 0), FALSE),
            0
        ) +
        IFERROR(
            VLOOKUP($A79, INDIRECT("MayR!$A$6:$ZZ$1048576"), MATCH(H$1, MayR!$6:$6, 0), FALSE),
            0
        ) +
        IFERROR(
            VLOOKUP($A79, INDIRECT("JunR!$A$6:$ZZ$1048576"), MATCH(H$1, JunR!$6:$6, 0), FALSE),
            0
        ) +
        IFERROR(
            VLOOKUP($A79, INDIRECT("JulR!$A$6:$ZZ$1048576"), MATCH(H$1, JulR!$6:$6, 0), FALSE),
            0
        ) +
        IFERROR(
            VLOOKUP($A79, INDIRECT("AgoR!$A$6:$ZZ$1048576"), MATCH(H$1, AgoR!$6:$6, 0), FALSE),
            0
        ) +
        IFERROR(
            VLOOKUP($A79, INDIRECT("SepR!$A$6:$ZZ$1048576"), MATCH(H$1, SepR!$6:$6, 0), FALSE),
            0
        ) +
        IFERROR(
            VLOOKUP($A79, INDIRECT("OctR!$A$6:$ZZ$1048576"), MATCH(H$1, OctR!$6:$6, 0), FALSE),
            0
        ) +
        IFERROR(
            VLOOKUP($A79, INDIRECT("NovR!$A$6:$ZZ$1048576"), MATCH(H$1, NovR!$6:$6, 0), FALSE),
            0
        ) +
        IFERROR(
            VLOOKUP($A79, INDIRECT("DicR!$A$6:$ZZ$1048576"), MATCH(H$1, DicR!$6:$6, 0), FALSE),
            0
        )
)</f>
        <v>0</v>
      </c>
      <c r="I79" s="35">
        <f t="array" ref="I79">SUM(
    IFERROR(
            VLOOKUP($A79, INDIRECT("EneR!$A$6:$ZZ$1048576"), MATCH(I$1, EneR!$6:$6, 0), FALSE),
            0
        ) +
        IFERROR(
            VLOOKUP($A79, INDIRECT("FebR!$A$6:$ZZ$1048576"), MATCH(I$1, FebR!$6:$6, 0), FALSE),
            0
        ) +
        IFERROR(
            VLOOKUP($A79, INDIRECT("MarR!$A$6:$ZZ$1048576"), MATCH(I$1, MarR!$6:$6, 0), FALSE),
            0
        ) +
        IFERROR(
            VLOOKUP($A79, INDIRECT("AbrR!$A$6:$ZZ$1048576"), MATCH(I$1, AbrR!$6:$6, 0), FALSE),
            0
        ) +
        IFERROR(
            VLOOKUP($A79, INDIRECT("MayR!$A$6:$ZZ$1048576"), MATCH(I$1, MayR!$6:$6, 0), FALSE),
            0
        ) +
        IFERROR(
            VLOOKUP($A79, INDIRECT("JunR!$A$6:$ZZ$1048576"), MATCH(I$1, JunR!$6:$6, 0), FALSE),
            0
        ) +
        IFERROR(
            VLOOKUP($A79, INDIRECT("JulR!$A$6:$ZZ$1048576"), MATCH(I$1, JulR!$6:$6, 0), FALSE),
            0
        ) +
        IFERROR(
            VLOOKUP($A79, INDIRECT("AgoR!$A$6:$ZZ$1048576"), MATCH(I$1, AgoR!$6:$6, 0), FALSE),
            0
        ) +
        IFERROR(
            VLOOKUP($A79, INDIRECT("SepR!$A$6:$ZZ$1048576"), MATCH(I$1, SepR!$6:$6, 0), FALSE),
            0
        ) +
        IFERROR(
            VLOOKUP($A79, INDIRECT("OctR!$A$6:$ZZ$1048576"), MATCH(I$1, OctR!$6:$6, 0), FALSE),
            0
        ) +
        IFERROR(
            VLOOKUP($A79, INDIRECT("NovR!$A$6:$ZZ$1048576"), MATCH(I$1, NovR!$6:$6, 0), FALSE),
            0
        ) +
        IFERROR(
            VLOOKUP($A79, INDIRECT("DicR!$A$6:$ZZ$1048576"), MATCH(I$1, DicR!$6:$6, 0), FALSE),
            0
        )
)</f>
        <v>0</v>
      </c>
      <c r="J79" s="32">
        <f t="array" ref="J79">SUM(
    IFERROR(
            VLOOKUP($A79, INDIRECT("EneR!$A$6:$ZZ$1048576"), MATCH(J$1, EneR!$6:$6, 0), FALSE),
            0
        ) +
        IFERROR(
            VLOOKUP($A79, INDIRECT("FebR!$A$6:$ZZ$1048576"), MATCH(J$1, FebR!$6:$6, 0), FALSE),
            0
        ) +
        IFERROR(
            VLOOKUP($A79, INDIRECT("MarR!$A$6:$ZZ$1048576"), MATCH(J$1, MarR!$6:$6, 0), FALSE),
            0
        ) +
        IFERROR(
            VLOOKUP($A79, INDIRECT("AbrR!$A$6:$ZZ$1048576"), MATCH(J$1, AbrR!$6:$6, 0), FALSE),
            0
        ) +
        IFERROR(
            VLOOKUP($A79, INDIRECT("MayR!$A$6:$ZZ$1048576"), MATCH(J$1, MayR!$6:$6, 0), FALSE),
            0
        ) +
        IFERROR(
            VLOOKUP($A79, INDIRECT("JunR!$A$6:$ZZ$1048576"), MATCH(J$1, JunR!$6:$6, 0), FALSE),
            0
        ) +
        IFERROR(
            VLOOKUP($A79, INDIRECT("JulR!$A$6:$ZZ$1048576"), MATCH(J$1, JulR!$6:$6, 0), FALSE),
            0
        ) +
        IFERROR(
            VLOOKUP($A79, INDIRECT("AgoR!$A$6:$ZZ$1048576"), MATCH(J$1, AgoR!$6:$6, 0), FALSE),
            0
        ) +
        IFERROR(
            VLOOKUP($A79, INDIRECT("SepR!$A$6:$ZZ$1048576"), MATCH(J$1, SepR!$6:$6, 0), FALSE),
            0
        ) +
        IFERROR(
            VLOOKUP($A79, INDIRECT("OctR!$A$6:$ZZ$1048576"), MATCH(J$1, OctR!$6:$6, 0), FALSE),
            0
        ) +
        IFERROR(
            VLOOKUP($A79, INDIRECT("NovR!$A$6:$ZZ$1048576"), MATCH(J$1, NovR!$6:$6, 0), FALSE),
            0
        ) +
        IFERROR(
            VLOOKUP($A79, INDIRECT("DicR!$A$6:$ZZ$1048576"), MATCH(J$1, DicR!$6:$6, 0), FALSE),
            0
        )
)</f>
        <v>0</v>
      </c>
      <c r="K79" s="35">
        <f t="array" ref="K79">SUM(
    IFERROR(
            VLOOKUP($A79, INDIRECT("EneR!$A$6:$ZZ$1048576"), MATCH(K$1, EneR!$6:$6, 0), FALSE),
            0
        ) +
        IFERROR(
            VLOOKUP($A79, INDIRECT("FebR!$A$6:$ZZ$1048576"), MATCH(K$1, FebR!$6:$6, 0), FALSE),
            0
        ) +
        IFERROR(
            VLOOKUP($A79, INDIRECT("MarR!$A$6:$ZZ$1048576"), MATCH(K$1, MarR!$6:$6, 0), FALSE),
            0
        ) +
        IFERROR(
            VLOOKUP($A79, INDIRECT("AbrR!$A$6:$ZZ$1048576"), MATCH(K$1, AbrR!$6:$6, 0), FALSE),
            0
        ) +
        IFERROR(
            VLOOKUP($A79, INDIRECT("MayR!$A$6:$ZZ$1048576"), MATCH(K$1, MayR!$6:$6, 0), FALSE),
            0
        ) +
        IFERROR(
            VLOOKUP($A79, INDIRECT("JunR!$A$6:$ZZ$1048576"), MATCH(K$1, JunR!$6:$6, 0), FALSE),
            0
        ) +
        IFERROR(
            VLOOKUP($A79, INDIRECT("JulR!$A$6:$ZZ$1048576"), MATCH(K$1, JulR!$6:$6, 0), FALSE),
            0
        ) +
        IFERROR(
            VLOOKUP($A79, INDIRECT("AgoR!$A$6:$ZZ$1048576"), MATCH(K$1, AgoR!$6:$6, 0), FALSE),
            0
        ) +
        IFERROR(
            VLOOKUP($A79, INDIRECT("SepR!$A$6:$ZZ$1048576"), MATCH(K$1, SepR!$6:$6, 0), FALSE),
            0
        ) +
        IFERROR(
            VLOOKUP($A79, INDIRECT("OctR!$A$6:$ZZ$1048576"), MATCH(K$1, OctR!$6:$6, 0), FALSE),
            0
        ) +
        IFERROR(
            VLOOKUP($A79, INDIRECT("NovR!$A$6:$ZZ$1048576"), MATCH(K$1, NovR!$6:$6, 0), FALSE),
            0
        ) +
        IFERROR(
            VLOOKUP($A79, INDIRECT("DicR!$A$6:$ZZ$1048576"), MATCH(K$1, DicR!$6:$6, 0), FALSE),
            0
        )
)</f>
        <v>0</v>
      </c>
      <c r="L79" s="32">
        <f t="array" ref="L79">SUM(
    IFERROR(
            VLOOKUP($A79, INDIRECT("EneR!$A$6:$ZZ$1048576"), MATCH(L$1, EneR!$6:$6, 0), FALSE),
            0
        ) +
        IFERROR(
            VLOOKUP($A79, INDIRECT("FebR!$A$6:$ZZ$1048576"), MATCH(L$1, FebR!$6:$6, 0), FALSE),
            0
        ) +
        IFERROR(
            VLOOKUP($A79, INDIRECT("MarR!$A$6:$ZZ$1048576"), MATCH(L$1, MarR!$6:$6, 0), FALSE),
            0
        ) +
        IFERROR(
            VLOOKUP($A79, INDIRECT("AbrR!$A$6:$ZZ$1048576"), MATCH(L$1, AbrR!$6:$6, 0), FALSE),
            0
        ) +
        IFERROR(
            VLOOKUP($A79, INDIRECT("MayR!$A$6:$ZZ$1048576"), MATCH(L$1, MayR!$6:$6, 0), FALSE),
            0
        ) +
        IFERROR(
            VLOOKUP($A79, INDIRECT("JunR!$A$6:$ZZ$1048576"), MATCH(L$1, JunR!$6:$6, 0), FALSE),
            0
        ) +
        IFERROR(
            VLOOKUP($A79, INDIRECT("JulR!$A$6:$ZZ$1048576"), MATCH(L$1, JulR!$6:$6, 0), FALSE),
            0
        ) +
        IFERROR(
            VLOOKUP($A79, INDIRECT("AgoR!$A$6:$ZZ$1048576"), MATCH(L$1, AgoR!$6:$6, 0), FALSE),
            0
        ) +
        IFERROR(
            VLOOKUP($A79, INDIRECT("SepR!$A$6:$ZZ$1048576"), MATCH(L$1, SepR!$6:$6, 0), FALSE),
            0
        ) +
        IFERROR(
            VLOOKUP($A79, INDIRECT("OctR!$A$6:$ZZ$1048576"), MATCH(L$1, OctR!$6:$6, 0), FALSE),
            0
        ) +
        IFERROR(
            VLOOKUP($A79, INDIRECT("NovR!$A$6:$ZZ$1048576"), MATCH(L$1, NovR!$6:$6, 0), FALSE),
            0
        ) +
        IFERROR(
            VLOOKUP($A79, INDIRECT("DicR!$A$6:$ZZ$1048576"), MATCH(L$1, DicR!$6:$6, 0), FALSE),
            0
        )
)</f>
        <v>0</v>
      </c>
      <c r="M79" s="35">
        <f t="array" ref="M79">SUM(
    IFERROR(
            VLOOKUP($A79, INDIRECT("EneR!$A$6:$ZZ$1048576"), MATCH(M$1, EneR!$6:$6, 0), FALSE),
            0
        ) +
        IFERROR(
            VLOOKUP($A79, INDIRECT("FebR!$A$6:$ZZ$1048576"), MATCH(M$1, FebR!$6:$6, 0), FALSE),
            0
        ) +
        IFERROR(
            VLOOKUP($A79, INDIRECT("MarR!$A$6:$ZZ$1048576"), MATCH(M$1, MarR!$6:$6, 0), FALSE),
            0
        ) +
        IFERROR(
            VLOOKUP($A79, INDIRECT("AbrR!$A$6:$ZZ$1048576"), MATCH(M$1, AbrR!$6:$6, 0), FALSE),
            0
        ) +
        IFERROR(
            VLOOKUP($A79, INDIRECT("MayR!$A$6:$ZZ$1048576"), MATCH(M$1, MayR!$6:$6, 0), FALSE),
            0
        ) +
        IFERROR(
            VLOOKUP($A79, INDIRECT("JunR!$A$6:$ZZ$1048576"), MATCH(M$1, JunR!$6:$6, 0), FALSE),
            0
        ) +
        IFERROR(
            VLOOKUP($A79, INDIRECT("JulR!$A$6:$ZZ$1048576"), MATCH(M$1, JulR!$6:$6, 0), FALSE),
            0
        ) +
        IFERROR(
            VLOOKUP($A79, INDIRECT("AgoR!$A$6:$ZZ$1048576"), MATCH(M$1, AgoR!$6:$6, 0), FALSE),
            0
        ) +
        IFERROR(
            VLOOKUP($A79, INDIRECT("SepR!$A$6:$ZZ$1048576"), MATCH(M$1, SepR!$6:$6, 0), FALSE),
            0
        ) +
        IFERROR(
            VLOOKUP($A79, INDIRECT("OctR!$A$6:$ZZ$1048576"), MATCH(M$1, OctR!$6:$6, 0), FALSE),
            0
        ) +
        IFERROR(
            VLOOKUP($A79, INDIRECT("NovR!$A$6:$ZZ$1048576"), MATCH(M$1, NovR!$6:$6, 0), FALSE),
            0
        ) +
        IFERROR(
            VLOOKUP($A79, INDIRECT("DicR!$A$6:$ZZ$1048576"), MATCH(M$1, DicR!$6:$6, 0), FALSE),
            0
        )
)</f>
        <v>0</v>
      </c>
      <c r="N79" s="32">
        <f t="array" ref="N79">SUM(
    IFERROR(
            VLOOKUP($A79, INDIRECT("EneR!$A$6:$ZZ$1048576"), MATCH(N$1, EneR!$6:$6, 0), FALSE),
            0
        ) +
        IFERROR(
            VLOOKUP($A79, INDIRECT("FebR!$A$6:$ZZ$1048576"), MATCH(N$1, FebR!$6:$6, 0), FALSE),
            0
        ) +
        IFERROR(
            VLOOKUP($A79, INDIRECT("MarR!$A$6:$ZZ$1048576"), MATCH(N$1, MarR!$6:$6, 0), FALSE),
            0
        ) +
        IFERROR(
            VLOOKUP($A79, INDIRECT("AbrR!$A$6:$ZZ$1048576"), MATCH(N$1, AbrR!$6:$6, 0), FALSE),
            0
        ) +
        IFERROR(
            VLOOKUP($A79, INDIRECT("MayR!$A$6:$ZZ$1048576"), MATCH(N$1, MayR!$6:$6, 0), FALSE),
            0
        ) +
        IFERROR(
            VLOOKUP($A79, INDIRECT("JunR!$A$6:$ZZ$1048576"), MATCH(N$1, JunR!$6:$6, 0), FALSE),
            0
        ) +
        IFERROR(
            VLOOKUP($A79, INDIRECT("JulR!$A$6:$ZZ$1048576"), MATCH(N$1, JulR!$6:$6, 0), FALSE),
            0
        ) +
        IFERROR(
            VLOOKUP($A79, INDIRECT("AgoR!$A$6:$ZZ$1048576"), MATCH(N$1, AgoR!$6:$6, 0), FALSE),
            0
        ) +
        IFERROR(
            VLOOKUP($A79, INDIRECT("SepR!$A$6:$ZZ$1048576"), MATCH(N$1, SepR!$6:$6, 0), FALSE),
            0
        ) +
        IFERROR(
            VLOOKUP($A79, INDIRECT("OctR!$A$6:$ZZ$1048576"), MATCH(N$1, OctR!$6:$6, 0), FALSE),
            0
        ) +
        IFERROR(
            VLOOKUP($A79, INDIRECT("NovR!$A$6:$ZZ$1048576"), MATCH(N$1, NovR!$6:$6, 0), FALSE),
            0
        ) +
        IFERROR(
            VLOOKUP($A79, INDIRECT("DicR!$A$6:$ZZ$1048576"), MATCH(N$1, DicR!$6:$6, 0), FALSE),
            0
        )
)</f>
        <v>0</v>
      </c>
      <c r="O79" s="35">
        <f t="array" ref="O79">SUM(
    IFERROR(
            VLOOKUP($A79, INDIRECT("EneR!$A$6:$ZZ$1048576"), MATCH(O$1, EneR!$6:$6, 0), FALSE),
            0
        ) +
        IFERROR(
            VLOOKUP($A79, INDIRECT("FebR!$A$6:$ZZ$1048576"), MATCH(O$1, FebR!$6:$6, 0), FALSE),
            0
        ) +
        IFERROR(
            VLOOKUP($A79, INDIRECT("MarR!$A$6:$ZZ$1048576"), MATCH(O$1, MarR!$6:$6, 0), FALSE),
            0
        ) +
        IFERROR(
            VLOOKUP($A79, INDIRECT("AbrR!$A$6:$ZZ$1048576"), MATCH(O$1, AbrR!$6:$6, 0), FALSE),
            0
        ) +
        IFERROR(
            VLOOKUP($A79, INDIRECT("MayR!$A$6:$ZZ$1048576"), MATCH(O$1, MayR!$6:$6, 0), FALSE),
            0
        ) +
        IFERROR(
            VLOOKUP($A79, INDIRECT("JunR!$A$6:$ZZ$1048576"), MATCH(O$1, JunR!$6:$6, 0), FALSE),
            0
        ) +
        IFERROR(
            VLOOKUP($A79, INDIRECT("JulR!$A$6:$ZZ$1048576"), MATCH(O$1, JulR!$6:$6, 0), FALSE),
            0
        ) +
        IFERROR(
            VLOOKUP($A79, INDIRECT("AgoR!$A$6:$ZZ$1048576"), MATCH(O$1, AgoR!$6:$6, 0), FALSE),
            0
        ) +
        IFERROR(
            VLOOKUP($A79, INDIRECT("SepR!$A$6:$ZZ$1048576"), MATCH(O$1, SepR!$6:$6, 0), FALSE),
            0
        ) +
        IFERROR(
            VLOOKUP($A79, INDIRECT("OctR!$A$6:$ZZ$1048576"), MATCH(O$1, OctR!$6:$6, 0), FALSE),
            0
        ) +
        IFERROR(
            VLOOKUP($A79, INDIRECT("NovR!$A$6:$ZZ$1048576"), MATCH(O$1, NovR!$6:$6, 0), FALSE),
            0
        ) +
        IFERROR(
            VLOOKUP($A79, INDIRECT("DicR!$A$6:$ZZ$1048576"), MATCH(O$1, DicR!$6:$6, 0), FALSE),
            0
        )
)</f>
        <v>0</v>
      </c>
      <c r="P79" s="32">
        <f t="array" ref="P79">SUM(
    IFERROR(
            VLOOKUP($A79, INDIRECT("EneR!$A$6:$ZZ$1048576"), MATCH(P$1, EneR!$6:$6, 0), FALSE),
            0
        ) +
        IFERROR(
            VLOOKUP($A79, INDIRECT("FebR!$A$6:$ZZ$1048576"), MATCH(P$1, FebR!$6:$6, 0), FALSE),
            0
        ) +
        IFERROR(
            VLOOKUP($A79, INDIRECT("MarR!$A$6:$ZZ$1048576"), MATCH(P$1, MarR!$6:$6, 0), FALSE),
            0
        ) +
        IFERROR(
            VLOOKUP($A79, INDIRECT("AbrR!$A$6:$ZZ$1048576"), MATCH(P$1, AbrR!$6:$6, 0), FALSE),
            0
        ) +
        IFERROR(
            VLOOKUP($A79, INDIRECT("MayR!$A$6:$ZZ$1048576"), MATCH(P$1, MayR!$6:$6, 0), FALSE),
            0
        ) +
        IFERROR(
            VLOOKUP($A79, INDIRECT("JunR!$A$6:$ZZ$1048576"), MATCH(P$1, JunR!$6:$6, 0), FALSE),
            0
        ) +
        IFERROR(
            VLOOKUP($A79, INDIRECT("JulR!$A$6:$ZZ$1048576"), MATCH(P$1, JulR!$6:$6, 0), FALSE),
            0
        ) +
        IFERROR(
            VLOOKUP($A79, INDIRECT("AgoR!$A$6:$ZZ$1048576"), MATCH(P$1, AgoR!$6:$6, 0), FALSE),
            0
        ) +
        IFERROR(
            VLOOKUP($A79, INDIRECT("SepR!$A$6:$ZZ$1048576"), MATCH(P$1, SepR!$6:$6, 0), FALSE),
            0
        ) +
        IFERROR(
            VLOOKUP($A79, INDIRECT("OctR!$A$6:$ZZ$1048576"), MATCH(P$1, OctR!$6:$6, 0), FALSE),
            0
        ) +
        IFERROR(
            VLOOKUP($A79, INDIRECT("NovR!$A$6:$ZZ$1048576"), MATCH(P$1, NovR!$6:$6, 0), FALSE),
            0
        ) +
        IFERROR(
            VLOOKUP($A79, INDIRECT("DicR!$A$6:$ZZ$1048576"), MATCH(P$1, DicR!$6:$6, 0), FALSE),
            0
        )
)</f>
        <v>0</v>
      </c>
      <c r="Q79" s="35">
        <f t="array" ref="Q79">SUM(
    IFERROR(
            VLOOKUP($A79, INDIRECT("EneR!$A$6:$ZZ$1048576"), MATCH(Q$1, EneR!$6:$6, 0), FALSE),
            0
        ) +
        IFERROR(
            VLOOKUP($A79, INDIRECT("FebR!$A$6:$ZZ$1048576"), MATCH(Q$1, FebR!$6:$6, 0), FALSE),
            0
        ) +
        IFERROR(
            VLOOKUP($A79, INDIRECT("MarR!$A$6:$ZZ$1048576"), MATCH(Q$1, MarR!$6:$6, 0), FALSE),
            0
        ) +
        IFERROR(
            VLOOKUP($A79, INDIRECT("AbrR!$A$6:$ZZ$1048576"), MATCH(Q$1, AbrR!$6:$6, 0), FALSE),
            0
        ) +
        IFERROR(
            VLOOKUP($A79, INDIRECT("MayR!$A$6:$ZZ$1048576"), MATCH(Q$1, MayR!$6:$6, 0), FALSE),
            0
        ) +
        IFERROR(
            VLOOKUP($A79, INDIRECT("JunR!$A$6:$ZZ$1048576"), MATCH(Q$1, JunR!$6:$6, 0), FALSE),
            0
        ) +
        IFERROR(
            VLOOKUP($A79, INDIRECT("JulR!$A$6:$ZZ$1048576"), MATCH(Q$1, JulR!$6:$6, 0), FALSE),
            0
        ) +
        IFERROR(
            VLOOKUP($A79, INDIRECT("AgoR!$A$6:$ZZ$1048576"), MATCH(Q$1, AgoR!$6:$6, 0), FALSE),
            0
        ) +
        IFERROR(
            VLOOKUP($A79, INDIRECT("SepR!$A$6:$ZZ$1048576"), MATCH(Q$1, SepR!$6:$6, 0), FALSE),
            0
        ) +
        IFERROR(
            VLOOKUP($A79, INDIRECT("OctR!$A$6:$ZZ$1048576"), MATCH(Q$1, OctR!$6:$6, 0), FALSE),
            0
        ) +
        IFERROR(
            VLOOKUP($A79, INDIRECT("NovR!$A$6:$ZZ$1048576"), MATCH(Q$1, NovR!$6:$6, 0), FALSE),
            0
        ) +
        IFERROR(
            VLOOKUP($A79, INDIRECT("DicR!$A$6:$ZZ$1048576"), MATCH(Q$1, DicR!$6:$6, 0), FALSE),
            0
        )
)</f>
        <v>0</v>
      </c>
      <c r="R79" s="36">
        <f t="array" ref="R79">SUM(
    IFERROR(
            VLOOKUP($A79, INDIRECT("EneR!$A$6:$ZZ$1048576"), MATCH(R$1, EneR!$6:$6, 0), FALSE),
            0
        ) +
        IFERROR(
            VLOOKUP($A79, INDIRECT("FebR!$A$6:$ZZ$1048576"), MATCH(R$1, FebR!$6:$6, 0), FALSE),
            0
        ) +
        IFERROR(
            VLOOKUP($A79, INDIRECT("MarR!$A$6:$ZZ$1048576"), MATCH(R$1, MarR!$6:$6, 0), FALSE),
            0
        ) +
        IFERROR(
            VLOOKUP($A79, INDIRECT("AbrR!$A$6:$ZZ$1048576"), MATCH(R$1, AbrR!$6:$6, 0), FALSE),
            0
        ) +
        IFERROR(
            VLOOKUP($A79, INDIRECT("MayR!$A$6:$ZZ$1048576"), MATCH(R$1, MayR!$6:$6, 0), FALSE),
            0
        ) +
        IFERROR(
            VLOOKUP($A79, INDIRECT("JunR!$A$6:$ZZ$1048576"), MATCH(R$1, JunR!$6:$6, 0), FALSE),
            0
        ) +
        IFERROR(
            VLOOKUP($A79, INDIRECT("JulR!$A$6:$ZZ$1048576"), MATCH(R$1, JulR!$6:$6, 0), FALSE),
            0
        ) +
        IFERROR(
            VLOOKUP($A79, INDIRECT("AgoR!$A$6:$ZZ$1048576"), MATCH(R$1, AgoR!$6:$6, 0), FALSE),
            0
        ) +
        IFERROR(
            VLOOKUP($A79, INDIRECT("SepR!$A$6:$ZZ$1048576"), MATCH(R$1, SepR!$6:$6, 0), FALSE),
            0
        ) +
        IFERROR(
            VLOOKUP($A79, INDIRECT("OctR!$A$6:$ZZ$1048576"), MATCH(R$1, OctR!$6:$6, 0), FALSE),
            0
        ) +
        IFERROR(
            VLOOKUP($A79, INDIRECT("NovR!$A$6:$ZZ$1048576"), MATCH(R$1, NovR!$6:$6, 0), FALSE),
            0
        ) +
        IFERROR(
            VLOOKUP($A79, INDIRECT("DicR!$A$6:$ZZ$1048576"), MATCH(R$1, DicR!$6:$6, 0), FALSE),
            0
        )
)</f>
        <v>0</v>
      </c>
      <c r="S79" s="37">
        <f t="array" ref="S79">SUM(
    IFERROR(
            VLOOKUP($A79, INDIRECT("EneR!$A$6:$ZZ$1048576"), MATCH(S$1, EneR!$6:$6, 0), FALSE),
            0
        ) +
        IFERROR(
            VLOOKUP($A79, INDIRECT("FebR!$A$6:$ZZ$1048576"), MATCH(S$1, FebR!$6:$6, 0), FALSE),
            0
        ) +
        IFERROR(
            VLOOKUP($A79, INDIRECT("MarR!$A$6:$ZZ$1048576"), MATCH(S$1, MarR!$6:$6, 0), FALSE),
            0
        ) +
        IFERROR(
            VLOOKUP($A79, INDIRECT("AbrR!$A$6:$ZZ$1048576"), MATCH(S$1, AbrR!$6:$6, 0), FALSE),
            0
        ) +
        IFERROR(
            VLOOKUP($A79, INDIRECT("MayR!$A$6:$ZZ$1048576"), MATCH(S$1, MayR!$6:$6, 0), FALSE),
            0
        ) +
        IFERROR(
            VLOOKUP($A79, INDIRECT("JunR!$A$6:$ZZ$1048576"), MATCH(S$1, JunR!$6:$6, 0), FALSE),
            0
        ) +
        IFERROR(
            VLOOKUP($A79, INDIRECT("JulR!$A$6:$ZZ$1048576"), MATCH(S$1, JulR!$6:$6, 0), FALSE),
            0
        ) +
        IFERROR(
            VLOOKUP($A79, INDIRECT("AgoR!$A$6:$ZZ$1048576"), MATCH(S$1, AgoR!$6:$6, 0), FALSE),
            0
        ) +
        IFERROR(
            VLOOKUP($A79, INDIRECT("SepR!$A$6:$ZZ$1048576"), MATCH(S$1, SepR!$6:$6, 0), FALSE),
            0
        ) +
        IFERROR(
            VLOOKUP($A79, INDIRECT("OctR!$A$6:$ZZ$1048576"), MATCH(S$1, OctR!$6:$6, 0), FALSE),
            0
        ) +
        IFERROR(
            VLOOKUP($A79, INDIRECT("NovR!$A$6:$ZZ$1048576"), MATCH(S$1, NovR!$6:$6, 0), FALSE),
            0
        ) +
        IFERROR(
            VLOOKUP($A79, INDIRECT("DicR!$A$6:$ZZ$1048576"), MATCH(S$1, DicR!$6:$6, 0), FALSE),
            0
        )
)</f>
        <v>0</v>
      </c>
      <c r="T79" s="36">
        <f t="array" ref="T79">SUM(
    IFERROR(
            VLOOKUP($A79, INDIRECT("EneR!$A$6:$ZZ$1048576"), MATCH(T$1, EneR!$6:$6, 0), FALSE),
            0
        ) +
        IFERROR(
            VLOOKUP($A79, INDIRECT("FebR!$A$6:$ZZ$1048576"), MATCH(T$1, FebR!$6:$6, 0), FALSE),
            0
        ) +
        IFERROR(
            VLOOKUP($A79, INDIRECT("MarR!$A$6:$ZZ$1048576"), MATCH(T$1, MarR!$6:$6, 0), FALSE),
            0
        ) +
        IFERROR(
            VLOOKUP($A79, INDIRECT("AbrR!$A$6:$ZZ$1048576"), MATCH(T$1, AbrR!$6:$6, 0), FALSE),
            0
        ) +
        IFERROR(
            VLOOKUP($A79, INDIRECT("MayR!$A$6:$ZZ$1048576"), MATCH(T$1, MayR!$6:$6, 0), FALSE),
            0
        ) +
        IFERROR(
            VLOOKUP($A79, INDIRECT("JunR!$A$6:$ZZ$1048576"), MATCH(T$1, JunR!$6:$6, 0), FALSE),
            0
        ) +
        IFERROR(
            VLOOKUP($A79, INDIRECT("JulR!$A$6:$ZZ$1048576"), MATCH(T$1, JulR!$6:$6, 0), FALSE),
            0
        ) +
        IFERROR(
            VLOOKUP($A79, INDIRECT("AgoR!$A$6:$ZZ$1048576"), MATCH(T$1, AgoR!$6:$6, 0), FALSE),
            0
        ) +
        IFERROR(
            VLOOKUP($A79, INDIRECT("SepR!$A$6:$ZZ$1048576"), MATCH(T$1, SepR!$6:$6, 0), FALSE),
            0
        ) +
        IFERROR(
            VLOOKUP($A79, INDIRECT("OctR!$A$6:$ZZ$1048576"), MATCH(T$1, OctR!$6:$6, 0), FALSE),
            0
        ) +
        IFERROR(
            VLOOKUP($A79, INDIRECT("NovR!$A$6:$ZZ$1048576"), MATCH(T$1, NovR!$6:$6, 0), FALSE),
            0
        ) +
        IFERROR(
            VLOOKUP($A79, INDIRECT("DicR!$A$6:$ZZ$1048576"), MATCH(T$1, DicR!$6:$6, 0), FALSE),
            0
        )
)</f>
        <v>0</v>
      </c>
      <c r="U79" s="37">
        <f t="array" ref="U79">SUM(
    IFERROR(
            VLOOKUP($A79, INDIRECT("EneR!$A$6:$ZZ$1048576"), MATCH(U$1, EneR!$6:$6, 0), FALSE),
            0
        ) +
        IFERROR(
            VLOOKUP($A79, INDIRECT("FebR!$A$6:$ZZ$1048576"), MATCH(U$1, FebR!$6:$6, 0), FALSE),
            0
        ) +
        IFERROR(
            VLOOKUP($A79, INDIRECT("MarR!$A$6:$ZZ$1048576"), MATCH(U$1, MarR!$6:$6, 0), FALSE),
            0
        ) +
        IFERROR(
            VLOOKUP($A79, INDIRECT("AbrR!$A$6:$ZZ$1048576"), MATCH(U$1, AbrR!$6:$6, 0), FALSE),
            0
        ) +
        IFERROR(
            VLOOKUP($A79, INDIRECT("MayR!$A$6:$ZZ$1048576"), MATCH(U$1, MayR!$6:$6, 0), FALSE),
            0
        ) +
        IFERROR(
            VLOOKUP($A79, INDIRECT("JunR!$A$6:$ZZ$1048576"), MATCH(U$1, JunR!$6:$6, 0), FALSE),
            0
        ) +
        IFERROR(
            VLOOKUP($A79, INDIRECT("JulR!$A$6:$ZZ$1048576"), MATCH(U$1, JulR!$6:$6, 0), FALSE),
            0
        ) +
        IFERROR(
            VLOOKUP($A79, INDIRECT("AgoR!$A$6:$ZZ$1048576"), MATCH(U$1, AgoR!$6:$6, 0), FALSE),
            0
        ) +
        IFERROR(
            VLOOKUP($A79, INDIRECT("SepR!$A$6:$ZZ$1048576"), MATCH(U$1, SepR!$6:$6, 0), FALSE),
            0
        ) +
        IFERROR(
            VLOOKUP($A79, INDIRECT("OctR!$A$6:$ZZ$1048576"), MATCH(U$1, OctR!$6:$6, 0), FALSE),
            0
        ) +
        IFERROR(
            VLOOKUP($A79, INDIRECT("NovR!$A$6:$ZZ$1048576"), MATCH(U$1, NovR!$6:$6, 0), FALSE),
            0
        ) +
        IFERROR(
            VLOOKUP($A79, INDIRECT("DicR!$A$6:$ZZ$1048576"), MATCH(U$1, DicR!$6:$6, 0), FALSE),
            0
        )
)</f>
        <v>0</v>
      </c>
      <c r="V79" s="36">
        <f t="array" ref="V79">SUM(
    IFERROR(
            VLOOKUP($A79, INDIRECT("EneR!$A$6:$ZZ$1048576"), MATCH(V$1, EneR!$6:$6, 0), FALSE),
            0
        ) +
        IFERROR(
            VLOOKUP($A79, INDIRECT("FebR!$A$6:$ZZ$1048576"), MATCH(V$1, FebR!$6:$6, 0), FALSE),
            0
        ) +
        IFERROR(
            VLOOKUP($A79, INDIRECT("MarR!$A$6:$ZZ$1048576"), MATCH(V$1, MarR!$6:$6, 0), FALSE),
            0
        ) +
        IFERROR(
            VLOOKUP($A79, INDIRECT("AbrR!$A$6:$ZZ$1048576"), MATCH(V$1, AbrR!$6:$6, 0), FALSE),
            0
        ) +
        IFERROR(
            VLOOKUP($A79, INDIRECT("MayR!$A$6:$ZZ$1048576"), MATCH(V$1, MayR!$6:$6, 0), FALSE),
            0
        ) +
        IFERROR(
            VLOOKUP($A79, INDIRECT("JunR!$A$6:$ZZ$1048576"), MATCH(V$1, JunR!$6:$6, 0), FALSE),
            0
        ) +
        IFERROR(
            VLOOKUP($A79, INDIRECT("JulR!$A$6:$ZZ$1048576"), MATCH(V$1, JulR!$6:$6, 0), FALSE),
            0
        ) +
        IFERROR(
            VLOOKUP($A79, INDIRECT("AgoR!$A$6:$ZZ$1048576"), MATCH(V$1, AgoR!$6:$6, 0), FALSE),
            0
        ) +
        IFERROR(
            VLOOKUP($A79, INDIRECT("SepR!$A$6:$ZZ$1048576"), MATCH(V$1, SepR!$6:$6, 0), FALSE),
            0
        ) +
        IFERROR(
            VLOOKUP($A79, INDIRECT("OctR!$A$6:$ZZ$1048576"), MATCH(V$1, OctR!$6:$6, 0), FALSE),
            0
        ) +
        IFERROR(
            VLOOKUP($A79, INDIRECT("NovR!$A$6:$ZZ$1048576"), MATCH(V$1, NovR!$6:$6, 0), FALSE),
            0
        ) +
        IFERROR(
            VLOOKUP($A79, INDIRECT("DicR!$A$6:$ZZ$1048576"), MATCH(V$1, DicR!$6:$6, 0), FALSE),
            0
        )
)</f>
        <v>0</v>
      </c>
      <c r="W79" s="37">
        <f t="array" ref="W79">SUM(
    IFERROR(
            VLOOKUP($A79, INDIRECT("EneR!$A$6:$ZZ$1048576"), MATCH(W$1, EneR!$6:$6, 0), FALSE),
            0
        ) +
        IFERROR(
            VLOOKUP($A79, INDIRECT("FebR!$A$6:$ZZ$1048576"), MATCH(W$1, FebR!$6:$6, 0), FALSE),
            0
        ) +
        IFERROR(
            VLOOKUP($A79, INDIRECT("MarR!$A$6:$ZZ$1048576"), MATCH(W$1, MarR!$6:$6, 0), FALSE),
            0
        ) +
        IFERROR(
            VLOOKUP($A79, INDIRECT("AbrR!$A$6:$ZZ$1048576"), MATCH(W$1, AbrR!$6:$6, 0), FALSE),
            0
        ) +
        IFERROR(
            VLOOKUP($A79, INDIRECT("MayR!$A$6:$ZZ$1048576"), MATCH(W$1, MayR!$6:$6, 0), FALSE),
            0
        ) +
        IFERROR(
            VLOOKUP($A79, INDIRECT("JunR!$A$6:$ZZ$1048576"), MATCH(W$1, JunR!$6:$6, 0), FALSE),
            0
        ) +
        IFERROR(
            VLOOKUP($A79, INDIRECT("JulR!$A$6:$ZZ$1048576"), MATCH(W$1, JulR!$6:$6, 0), FALSE),
            0
        ) +
        IFERROR(
            VLOOKUP($A79, INDIRECT("AgoR!$A$6:$ZZ$1048576"), MATCH(W$1, AgoR!$6:$6, 0), FALSE),
            0
        ) +
        IFERROR(
            VLOOKUP($A79, INDIRECT("SepR!$A$6:$ZZ$1048576"), MATCH(W$1, SepR!$6:$6, 0), FALSE),
            0
        ) +
        IFERROR(
            VLOOKUP($A79, INDIRECT("OctR!$A$6:$ZZ$1048576"), MATCH(W$1, OctR!$6:$6, 0), FALSE),
            0
        ) +
        IFERROR(
            VLOOKUP($A79, INDIRECT("NovR!$A$6:$ZZ$1048576"), MATCH(W$1, NovR!$6:$6, 0), FALSE),
            0
        ) +
        IFERROR(
            VLOOKUP($A79, INDIRECT("DicR!$A$6:$ZZ$1048576"), MATCH(W$1, DicR!$6:$6, 0), FALSE),
            0
        )
)</f>
        <v>0</v>
      </c>
      <c r="X79" s="36">
        <f t="array" ref="X79">SUM(
    IFERROR(
            VLOOKUP($A79, INDIRECT("EneR!$A$6:$ZZ$1048576"), MATCH(X$1, EneR!$6:$6, 0), FALSE),
            0
        ) +
        IFERROR(
            VLOOKUP($A79, INDIRECT("FebR!$A$6:$ZZ$1048576"), MATCH(X$1, FebR!$6:$6, 0), FALSE),
            0
        ) +
        IFERROR(
            VLOOKUP($A79, INDIRECT("MarR!$A$6:$ZZ$1048576"), MATCH(X$1, MarR!$6:$6, 0), FALSE),
            0
        ) +
        IFERROR(
            VLOOKUP($A79, INDIRECT("AbrR!$A$6:$ZZ$1048576"), MATCH(X$1, AbrR!$6:$6, 0), FALSE),
            0
        ) +
        IFERROR(
            VLOOKUP($A79, INDIRECT("MayR!$A$6:$ZZ$1048576"), MATCH(X$1, MayR!$6:$6, 0), FALSE),
            0
        ) +
        IFERROR(
            VLOOKUP($A79, INDIRECT("JunR!$A$6:$ZZ$1048576"), MATCH(X$1, JunR!$6:$6, 0), FALSE),
            0
        ) +
        IFERROR(
            VLOOKUP($A79, INDIRECT("JulR!$A$6:$ZZ$1048576"), MATCH(X$1, JulR!$6:$6, 0), FALSE),
            0
        ) +
        IFERROR(
            VLOOKUP($A79, INDIRECT("AgoR!$A$6:$ZZ$1048576"), MATCH(X$1, AgoR!$6:$6, 0), FALSE),
            0
        ) +
        IFERROR(
            VLOOKUP($A79, INDIRECT("SepR!$A$6:$ZZ$1048576"), MATCH(X$1, SepR!$6:$6, 0), FALSE),
            0
        ) +
        IFERROR(
            VLOOKUP($A79, INDIRECT("OctR!$A$6:$ZZ$1048576"), MATCH(X$1, OctR!$6:$6, 0), FALSE),
            0
        ) +
        IFERROR(
            VLOOKUP($A79, INDIRECT("NovR!$A$6:$ZZ$1048576"), MATCH(X$1, NovR!$6:$6, 0), FALSE),
            0
        ) +
        IFERROR(
            VLOOKUP($A79, INDIRECT("DicR!$A$6:$ZZ$1048576"), MATCH(X$1, DicR!$6:$6, 0), FALSE),
            0
        )
)</f>
        <v>0</v>
      </c>
      <c r="Y79" s="37">
        <f t="array" ref="Y79">SUM(
    IFERROR(
            VLOOKUP($A79, INDIRECT("EneR!$A$6:$ZZ$1048576"), MATCH(Y$1, EneR!$6:$6, 0), FALSE),
            0
        ) +
        IFERROR(
            VLOOKUP($A79, INDIRECT("FebR!$A$6:$ZZ$1048576"), MATCH(Y$1, FebR!$6:$6, 0), FALSE),
            0
        ) +
        IFERROR(
            VLOOKUP($A79, INDIRECT("MarR!$A$6:$ZZ$1048576"), MATCH(Y$1, MarR!$6:$6, 0), FALSE),
            0
        ) +
        IFERROR(
            VLOOKUP($A79, INDIRECT("AbrR!$A$6:$ZZ$1048576"), MATCH(Y$1, AbrR!$6:$6, 0), FALSE),
            0
        ) +
        IFERROR(
            VLOOKUP($A79, INDIRECT("MayR!$A$6:$ZZ$1048576"), MATCH(Y$1, MayR!$6:$6, 0), FALSE),
            0
        ) +
        IFERROR(
            VLOOKUP($A79, INDIRECT("JunR!$A$6:$ZZ$1048576"), MATCH(Y$1, JunR!$6:$6, 0), FALSE),
            0
        ) +
        IFERROR(
            VLOOKUP($A79, INDIRECT("JulR!$A$6:$ZZ$1048576"), MATCH(Y$1, JulR!$6:$6, 0), FALSE),
            0
        ) +
        IFERROR(
            VLOOKUP($A79, INDIRECT("AgoR!$A$6:$ZZ$1048576"), MATCH(Y$1, AgoR!$6:$6, 0), FALSE),
            0
        ) +
        IFERROR(
            VLOOKUP($A79, INDIRECT("SepR!$A$6:$ZZ$1048576"), MATCH(Y$1, SepR!$6:$6, 0), FALSE),
            0
        ) +
        IFERROR(
            VLOOKUP($A79, INDIRECT("OctR!$A$6:$ZZ$1048576"), MATCH(Y$1, OctR!$6:$6, 0), FALSE),
            0
        ) +
        IFERROR(
            VLOOKUP($A79, INDIRECT("NovR!$A$6:$ZZ$1048576"), MATCH(Y$1, NovR!$6:$6, 0), FALSE),
            0
        ) +
        IFERROR(
            VLOOKUP($A79, INDIRECT("DicR!$A$6:$ZZ$1048576"), MATCH(Y$1, DicR!$6:$6, 0), FALSE),
            0
        )
)</f>
        <v>0</v>
      </c>
      <c r="Z79" s="36">
        <f t="array" ref="Z79">SUM(
    IFERROR(
            VLOOKUP($A79, INDIRECT("EneR!$A$6:$ZZ$1048576"), MATCH(Z$1, EneR!$6:$6, 0), FALSE),
            0
        ) +
        IFERROR(
            VLOOKUP($A79, INDIRECT("FebR!$A$6:$ZZ$1048576"), MATCH(Z$1, FebR!$6:$6, 0), FALSE),
            0
        ) +
        IFERROR(
            VLOOKUP($A79, INDIRECT("MarR!$A$6:$ZZ$1048576"), MATCH(Z$1, MarR!$6:$6, 0), FALSE),
            0
        ) +
        IFERROR(
            VLOOKUP($A79, INDIRECT("AbrR!$A$6:$ZZ$1048576"), MATCH(Z$1, AbrR!$6:$6, 0), FALSE),
            0
        ) +
        IFERROR(
            VLOOKUP($A79, INDIRECT("MayR!$A$6:$ZZ$1048576"), MATCH(Z$1, MayR!$6:$6, 0), FALSE),
            0
        ) +
        IFERROR(
            VLOOKUP($A79, INDIRECT("JunR!$A$6:$ZZ$1048576"), MATCH(Z$1, JunR!$6:$6, 0), FALSE),
            0
        ) +
        IFERROR(
            VLOOKUP($A79, INDIRECT("JulR!$A$6:$ZZ$1048576"), MATCH(Z$1, JulR!$6:$6, 0), FALSE),
            0
        ) +
        IFERROR(
            VLOOKUP($A79, INDIRECT("AgoR!$A$6:$ZZ$1048576"), MATCH(Z$1, AgoR!$6:$6, 0), FALSE),
            0
        ) +
        IFERROR(
            VLOOKUP($A79, INDIRECT("SepR!$A$6:$ZZ$1048576"), MATCH(Z$1, SepR!$6:$6, 0), FALSE),
            0
        ) +
        IFERROR(
            VLOOKUP($A79, INDIRECT("OctR!$A$6:$ZZ$1048576"), MATCH(Z$1, OctR!$6:$6, 0), FALSE),
            0
        ) +
        IFERROR(
            VLOOKUP($A79, INDIRECT("NovR!$A$6:$ZZ$1048576"), MATCH(Z$1, NovR!$6:$6, 0), FALSE),
            0
        ) +
        IFERROR(
            VLOOKUP($A79, INDIRECT("DicR!$A$6:$ZZ$1048576"), MATCH(Z$1, DicR!$6:$6, 0), FALSE),
            0
        )
)</f>
        <v>0</v>
      </c>
      <c r="AA79" s="37">
        <f t="array" ref="AA79">SUM(
    IFERROR(
            VLOOKUP($A79, INDIRECT("EneR!$A$6:$ZZ$1048576"), MATCH(AA$1, EneR!$6:$6, 0), FALSE),
            0
        ) +
        IFERROR(
            VLOOKUP($A79, INDIRECT("FebR!$A$6:$ZZ$1048576"), MATCH(AA$1, FebR!$6:$6, 0), FALSE),
            0
        ) +
        IFERROR(
            VLOOKUP($A79, INDIRECT("MarR!$A$6:$ZZ$1048576"), MATCH(AA$1, MarR!$6:$6, 0), FALSE),
            0
        ) +
        IFERROR(
            VLOOKUP($A79, INDIRECT("AbrR!$A$6:$ZZ$1048576"), MATCH(AA$1, AbrR!$6:$6, 0), FALSE),
            0
        ) +
        IFERROR(
            VLOOKUP($A79, INDIRECT("MayR!$A$6:$ZZ$1048576"), MATCH(AA$1, MayR!$6:$6, 0), FALSE),
            0
        ) +
        IFERROR(
            VLOOKUP($A79, INDIRECT("JunR!$A$6:$ZZ$1048576"), MATCH(AA$1, JunR!$6:$6, 0), FALSE),
            0
        ) +
        IFERROR(
            VLOOKUP($A79, INDIRECT("JulR!$A$6:$ZZ$1048576"), MATCH(AA$1, JulR!$6:$6, 0), FALSE),
            0
        ) +
        IFERROR(
            VLOOKUP($A79, INDIRECT("AgoR!$A$6:$ZZ$1048576"), MATCH(AA$1, AgoR!$6:$6, 0), FALSE),
            0
        ) +
        IFERROR(
            VLOOKUP($A79, INDIRECT("SepR!$A$6:$ZZ$1048576"), MATCH(AA$1, SepR!$6:$6, 0), FALSE),
            0
        ) +
        IFERROR(
            VLOOKUP($A79, INDIRECT("OctR!$A$6:$ZZ$1048576"), MATCH(AA$1, OctR!$6:$6, 0), FALSE),
            0
        ) +
        IFERROR(
            VLOOKUP($A79, INDIRECT("NovR!$A$6:$ZZ$1048576"), MATCH(AA$1, NovR!$6:$6, 0), FALSE),
            0
        ) +
        IFERROR(
            VLOOKUP($A79, INDIRECT("DicR!$A$6:$ZZ$1048576"), MATCH(AA$1, DicR!$6:$6, 0), FALSE),
            0
        )
)</f>
        <v>0</v>
      </c>
      <c r="AB79" s="36">
        <f t="array" ref="AB79">SUM(
    IFERROR(
            VLOOKUP($A79, INDIRECT("EneR!$A$6:$ZZ$1048576"), MATCH(AB$1, EneR!$6:$6, 0), FALSE),
            0
        ) +
        IFERROR(
            VLOOKUP($A79, INDIRECT("FebR!$A$6:$ZZ$1048576"), MATCH(AB$1, FebR!$6:$6, 0), FALSE),
            0
        ) +
        IFERROR(
            VLOOKUP($A79, INDIRECT("MarR!$A$6:$ZZ$1048576"), MATCH(AB$1, MarR!$6:$6, 0), FALSE),
            0
        ) +
        IFERROR(
            VLOOKUP($A79, INDIRECT("AbrR!$A$6:$ZZ$1048576"), MATCH(AB$1, AbrR!$6:$6, 0), FALSE),
            0
        ) +
        IFERROR(
            VLOOKUP($A79, INDIRECT("MayR!$A$6:$ZZ$1048576"), MATCH(AB$1, MayR!$6:$6, 0), FALSE),
            0
        ) +
        IFERROR(
            VLOOKUP($A79, INDIRECT("JunR!$A$6:$ZZ$1048576"), MATCH(AB$1, JunR!$6:$6, 0), FALSE),
            0
        ) +
        IFERROR(
            VLOOKUP($A79, INDIRECT("JulR!$A$6:$ZZ$1048576"), MATCH(AB$1, JulR!$6:$6, 0), FALSE),
            0
        ) +
        IFERROR(
            VLOOKUP($A79, INDIRECT("AgoR!$A$6:$ZZ$1048576"), MATCH(AB$1, AgoR!$6:$6, 0), FALSE),
            0
        ) +
        IFERROR(
            VLOOKUP($A79, INDIRECT("SepR!$A$6:$ZZ$1048576"), MATCH(AB$1, SepR!$6:$6, 0), FALSE),
            0
        ) +
        IFERROR(
            VLOOKUP($A79, INDIRECT("OctR!$A$6:$ZZ$1048576"), MATCH(AB$1, OctR!$6:$6, 0), FALSE),
            0
        ) +
        IFERROR(
            VLOOKUP($A79, INDIRECT("NovR!$A$6:$ZZ$1048576"), MATCH(AB$1, NovR!$6:$6, 0), FALSE),
            0
        ) +
        IFERROR(
            VLOOKUP($A79, INDIRECT("DicR!$A$6:$ZZ$1048576"), MATCH(AB$1, DicR!$6:$6, 0), FALSE),
            0
        )
)</f>
        <v>0</v>
      </c>
      <c r="AC79" s="37">
        <f t="array" ref="AC79">SUM(
    IFERROR(
            VLOOKUP($A79, INDIRECT("EneR!$A$6:$ZZ$1048576"), MATCH(AC$1, EneR!$6:$6, 0), FALSE),
            0
        ) +
        IFERROR(
            VLOOKUP($A79, INDIRECT("FebR!$A$6:$ZZ$1048576"), MATCH(AC$1, FebR!$6:$6, 0), FALSE),
            0
        ) +
        IFERROR(
            VLOOKUP($A79, INDIRECT("MarR!$A$6:$ZZ$1048576"), MATCH(AC$1, MarR!$6:$6, 0), FALSE),
            0
        ) +
        IFERROR(
            VLOOKUP($A79, INDIRECT("AbrR!$A$6:$ZZ$1048576"), MATCH(AC$1, AbrR!$6:$6, 0), FALSE),
            0
        ) +
        IFERROR(
            VLOOKUP($A79, INDIRECT("MayR!$A$6:$ZZ$1048576"), MATCH(AC$1, MayR!$6:$6, 0), FALSE),
            0
        ) +
        IFERROR(
            VLOOKUP($A79, INDIRECT("JunR!$A$6:$ZZ$1048576"), MATCH(AC$1, JunR!$6:$6, 0), FALSE),
            0
        ) +
        IFERROR(
            VLOOKUP($A79, INDIRECT("JulR!$A$6:$ZZ$1048576"), MATCH(AC$1, JulR!$6:$6, 0), FALSE),
            0
        ) +
        IFERROR(
            VLOOKUP($A79, INDIRECT("AgoR!$A$6:$ZZ$1048576"), MATCH(AC$1, AgoR!$6:$6, 0), FALSE),
            0
        ) +
        IFERROR(
            VLOOKUP($A79, INDIRECT("SepR!$A$6:$ZZ$1048576"), MATCH(AC$1, SepR!$6:$6, 0), FALSE),
            0
        ) +
        IFERROR(
            VLOOKUP($A79, INDIRECT("OctR!$A$6:$ZZ$1048576"), MATCH(AC$1, OctR!$6:$6, 0), FALSE),
            0
        ) +
        IFERROR(
            VLOOKUP($A79, INDIRECT("NovR!$A$6:$ZZ$1048576"), MATCH(AC$1, NovR!$6:$6, 0), FALSE),
            0
        ) +
        IFERROR(
            VLOOKUP($A79, INDIRECT("DicR!$A$6:$ZZ$1048576"), MATCH(AC$1, DicR!$6:$6, 0), FALSE),
            0
        )
)</f>
        <v>0</v>
      </c>
      <c r="AD79" s="36">
        <f t="array" ref="AD79">SUM(
    IFERROR(
            VLOOKUP($A79, INDIRECT("EneR!$A$6:$ZZ$1048576"), MATCH(AD$1, EneR!$6:$6, 0), FALSE),
            0
        ) +
        IFERROR(
            VLOOKUP($A79, INDIRECT("FebR!$A$6:$ZZ$1048576"), MATCH(AD$1, FebR!$6:$6, 0), FALSE),
            0
        ) +
        IFERROR(
            VLOOKUP($A79, INDIRECT("MarR!$A$6:$ZZ$1048576"), MATCH(AD$1, MarR!$6:$6, 0), FALSE),
            0
        ) +
        IFERROR(
            VLOOKUP($A79, INDIRECT("AbrR!$A$6:$ZZ$1048576"), MATCH(AD$1, AbrR!$6:$6, 0), FALSE),
            0
        ) +
        IFERROR(
            VLOOKUP($A79, INDIRECT("MayR!$A$6:$ZZ$1048576"), MATCH(AD$1, MayR!$6:$6, 0), FALSE),
            0
        ) +
        IFERROR(
            VLOOKUP($A79, INDIRECT("JunR!$A$6:$ZZ$1048576"), MATCH(AD$1, JunR!$6:$6, 0), FALSE),
            0
        ) +
        IFERROR(
            VLOOKUP($A79, INDIRECT("JulR!$A$6:$ZZ$1048576"), MATCH(AD$1, JulR!$6:$6, 0), FALSE),
            0
        ) +
        IFERROR(
            VLOOKUP($A79, INDIRECT("AgoR!$A$6:$ZZ$1048576"), MATCH(AD$1, AgoR!$6:$6, 0), FALSE),
            0
        ) +
        IFERROR(
            VLOOKUP($A79, INDIRECT("SepR!$A$6:$ZZ$1048576"), MATCH(AD$1, SepR!$6:$6, 0), FALSE),
            0
        ) +
        IFERROR(
            VLOOKUP($A79, INDIRECT("OctR!$A$6:$ZZ$1048576"), MATCH(AD$1, OctR!$6:$6, 0), FALSE),
            0
        ) +
        IFERROR(
            VLOOKUP($A79, INDIRECT("NovR!$A$6:$ZZ$1048576"), MATCH(AD$1, NovR!$6:$6, 0), FALSE),
            0
        ) +
        IFERROR(
            VLOOKUP($A79, INDIRECT("DicR!$A$6:$ZZ$1048576"), MATCH(AD$1, DicR!$6:$6, 0), FALSE),
            0
        )
)</f>
        <v>0</v>
      </c>
      <c r="AE79" s="37">
        <f t="array" ref="AE79">SUM(
    IFERROR(
            VLOOKUP($A79, INDIRECT("EneR!$A$6:$ZZ$1048576"), MATCH(AE$1, EneR!$6:$6, 0), FALSE),
            0
        ) +
        IFERROR(
            VLOOKUP($A79, INDIRECT("FebR!$A$6:$ZZ$1048576"), MATCH(AE$1, FebR!$6:$6, 0), FALSE),
            0
        ) +
        IFERROR(
            VLOOKUP($A79, INDIRECT("MarR!$A$6:$ZZ$1048576"), MATCH(AE$1, MarR!$6:$6, 0), FALSE),
            0
        ) +
        IFERROR(
            VLOOKUP($A79, INDIRECT("AbrR!$A$6:$ZZ$1048576"), MATCH(AE$1, AbrR!$6:$6, 0), FALSE),
            0
        ) +
        IFERROR(
            VLOOKUP($A79, INDIRECT("MayR!$A$6:$ZZ$1048576"), MATCH(AE$1, MayR!$6:$6, 0), FALSE),
            0
        ) +
        IFERROR(
            VLOOKUP($A79, INDIRECT("JunR!$A$6:$ZZ$1048576"), MATCH(AE$1, JunR!$6:$6, 0), FALSE),
            0
        ) +
        IFERROR(
            VLOOKUP($A79, INDIRECT("JulR!$A$6:$ZZ$1048576"), MATCH(AE$1, JulR!$6:$6, 0), FALSE),
            0
        ) +
        IFERROR(
            VLOOKUP($A79, INDIRECT("AgoR!$A$6:$ZZ$1048576"), MATCH(AE$1, AgoR!$6:$6, 0), FALSE),
            0
        ) +
        IFERROR(
            VLOOKUP($A79, INDIRECT("SepR!$A$6:$ZZ$1048576"), MATCH(AE$1, SepR!$6:$6, 0), FALSE),
            0
        ) +
        IFERROR(
            VLOOKUP($A79, INDIRECT("OctR!$A$6:$ZZ$1048576"), MATCH(AE$1, OctR!$6:$6, 0), FALSE),
            0
        ) +
        IFERROR(
            VLOOKUP($A79, INDIRECT("NovR!$A$6:$ZZ$1048576"), MATCH(AE$1, NovR!$6:$6, 0), FALSE),
            0
        ) +
        IFERROR(
            VLOOKUP($A79, INDIRECT("DicR!$A$6:$ZZ$1048576"), MATCH(AE$1, DicR!$6:$6, 0), FALSE),
            0
        )
)</f>
        <v>0</v>
      </c>
      <c r="AF79" s="36">
        <f t="array" ref="AF79">SUM(
    IFERROR(
            VLOOKUP($A79, INDIRECT("EneR!$A$6:$ZZ$1048576"), MATCH(AF$1, EneR!$6:$6, 0), FALSE),
            0
        ) +
        IFERROR(
            VLOOKUP($A79, INDIRECT("FebR!$A$6:$ZZ$1048576"), MATCH(AF$1, FebR!$6:$6, 0), FALSE),
            0
        ) +
        IFERROR(
            VLOOKUP($A79, INDIRECT("MarR!$A$6:$ZZ$1048576"), MATCH(AF$1, MarR!$6:$6, 0), FALSE),
            0
        ) +
        IFERROR(
            VLOOKUP($A79, INDIRECT("AbrR!$A$6:$ZZ$1048576"), MATCH(AF$1, AbrR!$6:$6, 0), FALSE),
            0
        ) +
        IFERROR(
            VLOOKUP($A79, INDIRECT("MayR!$A$6:$ZZ$1048576"), MATCH(AF$1, MayR!$6:$6, 0), FALSE),
            0
        ) +
        IFERROR(
            VLOOKUP($A79, INDIRECT("JunR!$A$6:$ZZ$1048576"), MATCH(AF$1, JunR!$6:$6, 0), FALSE),
            0
        ) +
        IFERROR(
            VLOOKUP($A79, INDIRECT("JulR!$A$6:$ZZ$1048576"), MATCH(AF$1, JulR!$6:$6, 0), FALSE),
            0
        ) +
        IFERROR(
            VLOOKUP($A79, INDIRECT("AgoR!$A$6:$ZZ$1048576"), MATCH(AF$1, AgoR!$6:$6, 0), FALSE),
            0
        ) +
        IFERROR(
            VLOOKUP($A79, INDIRECT("SepR!$A$6:$ZZ$1048576"), MATCH(AF$1, SepR!$6:$6, 0), FALSE),
            0
        ) +
        IFERROR(
            VLOOKUP($A79, INDIRECT("OctR!$A$6:$ZZ$1048576"), MATCH(AF$1, OctR!$6:$6, 0), FALSE),
            0
        ) +
        IFERROR(
            VLOOKUP($A79, INDIRECT("NovR!$A$6:$ZZ$1048576"), MATCH(AF$1, NovR!$6:$6, 0), FALSE),
            0
        ) +
        IFERROR(
            VLOOKUP($A79, INDIRECT("DicR!$A$6:$ZZ$1048576"), MATCH(AF$1, DicR!$6:$6, 0), FALSE),
            0
        )
)</f>
        <v>0</v>
      </c>
      <c r="AG79" s="37">
        <f t="array" ref="AG79">SUM(
    IFERROR(
            VLOOKUP($A79, INDIRECT("EneR!$A$6:$ZZ$1048576"), MATCH(AG$1, EneR!$6:$6, 0), FALSE),
            0
        ) +
        IFERROR(
            VLOOKUP($A79, INDIRECT("FebR!$A$6:$ZZ$1048576"), MATCH(AG$1, FebR!$6:$6, 0), FALSE),
            0
        ) +
        IFERROR(
            VLOOKUP($A79, INDIRECT("MarR!$A$6:$ZZ$1048576"), MATCH(AG$1, MarR!$6:$6, 0), FALSE),
            0
        ) +
        IFERROR(
            VLOOKUP($A79, INDIRECT("AbrR!$A$6:$ZZ$1048576"), MATCH(AG$1, AbrR!$6:$6, 0), FALSE),
            0
        ) +
        IFERROR(
            VLOOKUP($A79, INDIRECT("MayR!$A$6:$ZZ$1048576"), MATCH(AG$1, MayR!$6:$6, 0), FALSE),
            0
        ) +
        IFERROR(
            VLOOKUP($A79, INDIRECT("JunR!$A$6:$ZZ$1048576"), MATCH(AG$1, JunR!$6:$6, 0), FALSE),
            0
        ) +
        IFERROR(
            VLOOKUP($A79, INDIRECT("JulR!$A$6:$ZZ$1048576"), MATCH(AG$1, JulR!$6:$6, 0), FALSE),
            0
        ) +
        IFERROR(
            VLOOKUP($A79, INDIRECT("AgoR!$A$6:$ZZ$1048576"), MATCH(AG$1, AgoR!$6:$6, 0), FALSE),
            0
        ) +
        IFERROR(
            VLOOKUP($A79, INDIRECT("SepR!$A$6:$ZZ$1048576"), MATCH(AG$1, SepR!$6:$6, 0), FALSE),
            0
        ) +
        IFERROR(
            VLOOKUP($A79, INDIRECT("OctR!$A$6:$ZZ$1048576"), MATCH(AG$1, OctR!$6:$6, 0), FALSE),
            0
        ) +
        IFERROR(
            VLOOKUP($A79, INDIRECT("NovR!$A$6:$ZZ$1048576"), MATCH(AG$1, NovR!$6:$6, 0), FALSE),
            0
        ) +
        IFERROR(
            VLOOKUP($A79, INDIRECT("DicR!$A$6:$ZZ$1048576"), MATCH(AG$1, DicR!$6:$6, 0), FALSE),
            0
        )
)</f>
        <v>0</v>
      </c>
      <c r="AH79" s="36">
        <f t="array" ref="AH79">SUM(
    IFERROR(
            VLOOKUP($A79, INDIRECT("EneR!$A$6:$ZZ$1048576"), MATCH(AH$1, EneR!$6:$6, 0), FALSE),
            0
        ) +
        IFERROR(
            VLOOKUP($A79, INDIRECT("FebR!$A$6:$ZZ$1048576"), MATCH(AH$1, FebR!$6:$6, 0), FALSE),
            0
        ) +
        IFERROR(
            VLOOKUP($A79, INDIRECT("MarR!$A$6:$ZZ$1048576"), MATCH(AH$1, MarR!$6:$6, 0), FALSE),
            0
        ) +
        IFERROR(
            VLOOKUP($A79, INDIRECT("AbrR!$A$6:$ZZ$1048576"), MATCH(AH$1, AbrR!$6:$6, 0), FALSE),
            0
        ) +
        IFERROR(
            VLOOKUP($A79, INDIRECT("MayR!$A$6:$ZZ$1048576"), MATCH(AH$1, MayR!$6:$6, 0), FALSE),
            0
        ) +
        IFERROR(
            VLOOKUP($A79, INDIRECT("JunR!$A$6:$ZZ$1048576"), MATCH(AH$1, JunR!$6:$6, 0), FALSE),
            0
        ) +
        IFERROR(
            VLOOKUP($A79, INDIRECT("JulR!$A$6:$ZZ$1048576"), MATCH(AH$1, JulR!$6:$6, 0), FALSE),
            0
        ) +
        IFERROR(
            VLOOKUP($A79, INDIRECT("AgoR!$A$6:$ZZ$1048576"), MATCH(AH$1, AgoR!$6:$6, 0), FALSE),
            0
        ) +
        IFERROR(
            VLOOKUP($A79, INDIRECT("SepR!$A$6:$ZZ$1048576"), MATCH(AH$1, SepR!$6:$6, 0), FALSE),
            0
        ) +
        IFERROR(
            VLOOKUP($A79, INDIRECT("OctR!$A$6:$ZZ$1048576"), MATCH(AH$1, OctR!$6:$6, 0), FALSE),
            0
        ) +
        IFERROR(
            VLOOKUP($A79, INDIRECT("NovR!$A$6:$ZZ$1048576"), MATCH(AH$1, NovR!$6:$6, 0), FALSE),
            0
        ) +
        IFERROR(
            VLOOKUP($A79, INDIRECT("DicR!$A$6:$ZZ$1048576"), MATCH(AH$1, DicR!$6:$6, 0), FALSE),
            0
        )
)</f>
        <v>0</v>
      </c>
      <c r="AI79" s="37">
        <f t="array" ref="AI79">SUM(
    IFERROR(
            VLOOKUP($A79, INDIRECT("EneR!$A$6:$ZZ$1048576"), MATCH(AI$1, EneR!$6:$6, 0), FALSE),
            0
        ) +
        IFERROR(
            VLOOKUP($A79, INDIRECT("FebR!$A$6:$ZZ$1048576"), MATCH(AI$1, FebR!$6:$6, 0), FALSE),
            0
        ) +
        IFERROR(
            VLOOKUP($A79, INDIRECT("MarR!$A$6:$ZZ$1048576"), MATCH(AI$1, MarR!$6:$6, 0), FALSE),
            0
        ) +
        IFERROR(
            VLOOKUP($A79, INDIRECT("AbrR!$A$6:$ZZ$1048576"), MATCH(AI$1, AbrR!$6:$6, 0), FALSE),
            0
        ) +
        IFERROR(
            VLOOKUP($A79, INDIRECT("MayR!$A$6:$ZZ$1048576"), MATCH(AI$1, MayR!$6:$6, 0), FALSE),
            0
        ) +
        IFERROR(
            VLOOKUP($A79, INDIRECT("JunR!$A$6:$ZZ$1048576"), MATCH(AI$1, JunR!$6:$6, 0), FALSE),
            0
        ) +
        IFERROR(
            VLOOKUP($A79, INDIRECT("JulR!$A$6:$ZZ$1048576"), MATCH(AI$1, JulR!$6:$6, 0), FALSE),
            0
        ) +
        IFERROR(
            VLOOKUP($A79, INDIRECT("AgoR!$A$6:$ZZ$1048576"), MATCH(AI$1, AgoR!$6:$6, 0), FALSE),
            0
        ) +
        IFERROR(
            VLOOKUP($A79, INDIRECT("SepR!$A$6:$ZZ$1048576"), MATCH(AI$1, SepR!$6:$6, 0), FALSE),
            0
        ) +
        IFERROR(
            VLOOKUP($A79, INDIRECT("OctR!$A$6:$ZZ$1048576"), MATCH(AI$1, OctR!$6:$6, 0), FALSE),
            0
        ) +
        IFERROR(
            VLOOKUP($A79, INDIRECT("NovR!$A$6:$ZZ$1048576"), MATCH(AI$1, NovR!$6:$6, 0), FALSE),
            0
        ) +
        IFERROR(
            VLOOKUP($A79, INDIRECT("DicR!$A$6:$ZZ$1048576"), MATCH(AI$1, DicR!$6:$6, 0), FALSE),
            0
        )
)</f>
        <v>0</v>
      </c>
      <c r="AJ79" s="36">
        <f t="array" ref="AJ79">SUM(
    IFERROR(
            VLOOKUP($A79, INDIRECT("EneR!$A$6:$ZZ$1048576"), MATCH(AJ$1, EneR!$6:$6, 0), FALSE),
            0
        ) +
        IFERROR(
            VLOOKUP($A79, INDIRECT("FebR!$A$6:$ZZ$1048576"), MATCH(AJ$1, FebR!$6:$6, 0), FALSE),
            0
        ) +
        IFERROR(
            VLOOKUP($A79, INDIRECT("MarR!$A$6:$ZZ$1048576"), MATCH(AJ$1, MarR!$6:$6, 0), FALSE),
            0
        ) +
        IFERROR(
            VLOOKUP($A79, INDIRECT("AbrR!$A$6:$ZZ$1048576"), MATCH(AJ$1, AbrR!$6:$6, 0), FALSE),
            0
        ) +
        IFERROR(
            VLOOKUP($A79, INDIRECT("MayR!$A$6:$ZZ$1048576"), MATCH(AJ$1, MayR!$6:$6, 0), FALSE),
            0
        ) +
        IFERROR(
            VLOOKUP($A79, INDIRECT("JunR!$A$6:$ZZ$1048576"), MATCH(AJ$1, JunR!$6:$6, 0), FALSE),
            0
        ) +
        IFERROR(
            VLOOKUP($A79, INDIRECT("JulR!$A$6:$ZZ$1048576"), MATCH(AJ$1, JulR!$6:$6, 0), FALSE),
            0
        ) +
        IFERROR(
            VLOOKUP($A79, INDIRECT("AgoR!$A$6:$ZZ$1048576"), MATCH(AJ$1, AgoR!$6:$6, 0), FALSE),
            0
        ) +
        IFERROR(
            VLOOKUP($A79, INDIRECT("SepR!$A$6:$ZZ$1048576"), MATCH(AJ$1, SepR!$6:$6, 0), FALSE),
            0
        ) +
        IFERROR(
            VLOOKUP($A79, INDIRECT("OctR!$A$6:$ZZ$1048576"), MATCH(AJ$1, OctR!$6:$6, 0), FALSE),
            0
        ) +
        IFERROR(
            VLOOKUP($A79, INDIRECT("NovR!$A$6:$ZZ$1048576"), MATCH(AJ$1, NovR!$6:$6, 0), FALSE),
            0
        ) +
        IFERROR(
            VLOOKUP($A79, INDIRECT("DicR!$A$6:$ZZ$1048576"), MATCH(AJ$1, DicR!$6:$6, 0), FALSE),
            0
        )
)</f>
        <v>0</v>
      </c>
      <c r="AK79" s="37">
        <f t="array" ref="AK79">SUM(
    IFERROR(
            VLOOKUP($A79, INDIRECT("EneR!$A$6:$ZZ$1048576"), MATCH(AK$1, EneR!$6:$6, 0), FALSE),
            0
        ) +
        IFERROR(
            VLOOKUP($A79, INDIRECT("FebR!$A$6:$ZZ$1048576"), MATCH(AK$1, FebR!$6:$6, 0), FALSE),
            0
        ) +
        IFERROR(
            VLOOKUP($A79, INDIRECT("MarR!$A$6:$ZZ$1048576"), MATCH(AK$1, MarR!$6:$6, 0), FALSE),
            0
        ) +
        IFERROR(
            VLOOKUP($A79, INDIRECT("AbrR!$A$6:$ZZ$1048576"), MATCH(AK$1, AbrR!$6:$6, 0), FALSE),
            0
        ) +
        IFERROR(
            VLOOKUP($A79, INDIRECT("MayR!$A$6:$ZZ$1048576"), MATCH(AK$1, MayR!$6:$6, 0), FALSE),
            0
        ) +
        IFERROR(
            VLOOKUP($A79, INDIRECT("JunR!$A$6:$ZZ$1048576"), MATCH(AK$1, JunR!$6:$6, 0), FALSE),
            0
        ) +
        IFERROR(
            VLOOKUP($A79, INDIRECT("JulR!$A$6:$ZZ$1048576"), MATCH(AK$1, JulR!$6:$6, 0), FALSE),
            0
        ) +
        IFERROR(
            VLOOKUP($A79, INDIRECT("AgoR!$A$6:$ZZ$1048576"), MATCH(AK$1, AgoR!$6:$6, 0), FALSE),
            0
        ) +
        IFERROR(
            VLOOKUP($A79, INDIRECT("SepR!$A$6:$ZZ$1048576"), MATCH(AK$1, SepR!$6:$6, 0), FALSE),
            0
        ) +
        IFERROR(
            VLOOKUP($A79, INDIRECT("OctR!$A$6:$ZZ$1048576"), MATCH(AK$1, OctR!$6:$6, 0), FALSE),
            0
        ) +
        IFERROR(
            VLOOKUP($A79, INDIRECT("NovR!$A$6:$ZZ$1048576"), MATCH(AK$1, NovR!$6:$6, 0), FALSE),
            0
        ) +
        IFERROR(
            VLOOKUP($A79, INDIRECT("DicR!$A$6:$ZZ$1048576"), MATCH(AK$1, DicR!$6:$6, 0), FALSE),
            0
        )
)</f>
        <v>0</v>
      </c>
      <c r="AL79" s="36">
        <f t="array" ref="AL79">SUM(
    IFERROR(
            VLOOKUP($A79, INDIRECT("EneR!$A$6:$ZZ$1048576"), MATCH(AL$1, EneR!$6:$6, 0), FALSE),
            0
        ) +
        IFERROR(
            VLOOKUP($A79, INDIRECT("FebR!$A$6:$ZZ$1048576"), MATCH(AL$1, FebR!$6:$6, 0), FALSE),
            0
        ) +
        IFERROR(
            VLOOKUP($A79, INDIRECT("MarR!$A$6:$ZZ$1048576"), MATCH(AL$1, MarR!$6:$6, 0), FALSE),
            0
        ) +
        IFERROR(
            VLOOKUP($A79, INDIRECT("AbrR!$A$6:$ZZ$1048576"), MATCH(AL$1, AbrR!$6:$6, 0), FALSE),
            0
        ) +
        IFERROR(
            VLOOKUP($A79, INDIRECT("MayR!$A$6:$ZZ$1048576"), MATCH(AL$1, MayR!$6:$6, 0), FALSE),
            0
        ) +
        IFERROR(
            VLOOKUP($A79, INDIRECT("JunR!$A$6:$ZZ$1048576"), MATCH(AL$1, JunR!$6:$6, 0), FALSE),
            0
        ) +
        IFERROR(
            VLOOKUP($A79, INDIRECT("JulR!$A$6:$ZZ$1048576"), MATCH(AL$1, JulR!$6:$6, 0), FALSE),
            0
        ) +
        IFERROR(
            VLOOKUP($A79, INDIRECT("AgoR!$A$6:$ZZ$1048576"), MATCH(AL$1, AgoR!$6:$6, 0), FALSE),
            0
        ) +
        IFERROR(
            VLOOKUP($A79, INDIRECT("SepR!$A$6:$ZZ$1048576"), MATCH(AL$1, SepR!$6:$6, 0), FALSE),
            0
        ) +
        IFERROR(
            VLOOKUP($A79, INDIRECT("OctR!$A$6:$ZZ$1048576"), MATCH(AL$1, OctR!$6:$6, 0), FALSE),
            0
        ) +
        IFERROR(
            VLOOKUP($A79, INDIRECT("NovR!$A$6:$ZZ$1048576"), MATCH(AL$1, NovR!$6:$6, 0), FALSE),
            0
        ) +
        IFERROR(
            VLOOKUP($A79, INDIRECT("DicR!$A$6:$ZZ$1048576"), MATCH(AL$1, DicR!$6:$6, 0), FALSE),
            0
        )
)</f>
        <v>0</v>
      </c>
      <c r="AM79" s="37">
        <f t="array" ref="AM79">SUM(
    IFERROR(
            VLOOKUP($A79, INDIRECT("EneR!$A$6:$ZZ$1048576"), MATCH(AM$1, EneR!$6:$6, 0), FALSE),
            0
        ) +
        IFERROR(
            VLOOKUP($A79, INDIRECT("FebR!$A$6:$ZZ$1048576"), MATCH(AM$1, FebR!$6:$6, 0), FALSE),
            0
        ) +
        IFERROR(
            VLOOKUP($A79, INDIRECT("MarR!$A$6:$ZZ$1048576"), MATCH(AM$1, MarR!$6:$6, 0), FALSE),
            0
        ) +
        IFERROR(
            VLOOKUP($A79, INDIRECT("AbrR!$A$6:$ZZ$1048576"), MATCH(AM$1, AbrR!$6:$6, 0), FALSE),
            0
        ) +
        IFERROR(
            VLOOKUP($A79, INDIRECT("MayR!$A$6:$ZZ$1048576"), MATCH(AM$1, MayR!$6:$6, 0), FALSE),
            0
        ) +
        IFERROR(
            VLOOKUP($A79, INDIRECT("JunR!$A$6:$ZZ$1048576"), MATCH(AM$1, JunR!$6:$6, 0), FALSE),
            0
        ) +
        IFERROR(
            VLOOKUP($A79, INDIRECT("JulR!$A$6:$ZZ$1048576"), MATCH(AM$1, JulR!$6:$6, 0), FALSE),
            0
        ) +
        IFERROR(
            VLOOKUP($A79, INDIRECT("AgoR!$A$6:$ZZ$1048576"), MATCH(AM$1, AgoR!$6:$6, 0), FALSE),
            0
        ) +
        IFERROR(
            VLOOKUP($A79, INDIRECT("SepR!$A$6:$ZZ$1048576"), MATCH(AM$1, SepR!$6:$6, 0), FALSE),
            0
        ) +
        IFERROR(
            VLOOKUP($A79, INDIRECT("OctR!$A$6:$ZZ$1048576"), MATCH(AM$1, OctR!$6:$6, 0), FALSE),
            0
        ) +
        IFERROR(
            VLOOKUP($A79, INDIRECT("NovR!$A$6:$ZZ$1048576"), MATCH(AM$1, NovR!$6:$6, 0), FALSE),
            0
        ) +
        IFERROR(
            VLOOKUP($A79, INDIRECT("DicR!$A$6:$ZZ$1048576"), MATCH(AM$1, DicR!$6:$6, 0), FALSE),
            0
        )
)</f>
        <v>0</v>
      </c>
      <c r="AN79" s="32">
        <f t="array" ref="AN79">SUM(
    IFERROR(
            VLOOKUP($A79, INDIRECT("EneR!$A$6:$ZZ$1048576"), MATCH(AN$1, EneR!$6:$6, 0), FALSE),
            0
        ) +
        IFERROR(
            VLOOKUP($A79, INDIRECT("FebR!$A$6:$ZZ$1048576"), MATCH(AN$1, FebR!$6:$6, 0), FALSE),
            0
        ) +
        IFERROR(
            VLOOKUP($A79, INDIRECT("MarR!$A$6:$ZZ$1048576"), MATCH(AN$1, MarR!$6:$6, 0), FALSE),
            0
        ) +
        IFERROR(
            VLOOKUP($A79, INDIRECT("AbrR!$A$6:$ZZ$1048576"), MATCH(AN$1, AbrR!$6:$6, 0), FALSE),
            0
        ) +
        IFERROR(
            VLOOKUP($A79, INDIRECT("MayR!$A$6:$ZZ$1048576"), MATCH(AN$1, MayR!$6:$6, 0), FALSE),
            0
        ) +
        IFERROR(
            VLOOKUP($A79, INDIRECT("JunR!$A$6:$ZZ$1048576"), MATCH(AN$1, JunR!$6:$6, 0), FALSE),
            0
        ) +
        IFERROR(
            VLOOKUP($A79, INDIRECT("JulR!$A$6:$ZZ$1048576"), MATCH(AN$1, JulR!$6:$6, 0), FALSE),
            0
        ) +
        IFERROR(
            VLOOKUP($A79, INDIRECT("AgoR!$A$6:$ZZ$1048576"), MATCH(AN$1, AgoR!$6:$6, 0), FALSE),
            0
        ) +
        IFERROR(
            VLOOKUP($A79, INDIRECT("SepR!$A$6:$ZZ$1048576"), MATCH(AN$1, SepR!$6:$6, 0), FALSE),
            0
        ) +
        IFERROR(
            VLOOKUP($A79, INDIRECT("OctR!$A$6:$ZZ$1048576"), MATCH(AN$1, OctR!$6:$6, 0), FALSE),
            0
        ) +
        IFERROR(
            VLOOKUP($A79, INDIRECT("NovR!$A$6:$ZZ$1048576"), MATCH(AN$1, NovR!$6:$6, 0), FALSE),
            0
        ) +
        IFERROR(
            VLOOKUP($A79, INDIRECT("DicR!$A$6:$ZZ$1048576"), MATCH(AN$1, DicR!$6:$6, 0), FALSE),
            0
        )
)</f>
        <v>0</v>
      </c>
      <c r="AO79" s="35">
        <f t="array" ref="AO79">SUM(
    IFERROR(
            VLOOKUP($A79, INDIRECT("EneR!$A$6:$ZZ$1048576"), MATCH(AO$1, EneR!$6:$6, 0), FALSE),
            0
        ) +
        IFERROR(
            VLOOKUP($A79, INDIRECT("FebR!$A$6:$ZZ$1048576"), MATCH(AO$1, FebR!$6:$6, 0), FALSE),
            0
        ) +
        IFERROR(
            VLOOKUP($A79, INDIRECT("MarR!$A$6:$ZZ$1048576"), MATCH(AO$1, MarR!$6:$6, 0), FALSE),
            0
        ) +
        IFERROR(
            VLOOKUP($A79, INDIRECT("AbrR!$A$6:$ZZ$1048576"), MATCH(AO$1, AbrR!$6:$6, 0), FALSE),
            0
        ) +
        IFERROR(
            VLOOKUP($A79, INDIRECT("MayR!$A$6:$ZZ$1048576"), MATCH(AO$1, MayR!$6:$6, 0), FALSE),
            0
        ) +
        IFERROR(
            VLOOKUP($A79, INDIRECT("JunR!$A$6:$ZZ$1048576"), MATCH(AO$1, JunR!$6:$6, 0), FALSE),
            0
        ) +
        IFERROR(
            VLOOKUP($A79, INDIRECT("JulR!$A$6:$ZZ$1048576"), MATCH(AO$1, JulR!$6:$6, 0), FALSE),
            0
        ) +
        IFERROR(
            VLOOKUP($A79, INDIRECT("AgoR!$A$6:$ZZ$1048576"), MATCH(AO$1, AgoR!$6:$6, 0), FALSE),
            0
        ) +
        IFERROR(
            VLOOKUP($A79, INDIRECT("SepR!$A$6:$ZZ$1048576"), MATCH(AO$1, SepR!$6:$6, 0), FALSE),
            0
        ) +
        IFERROR(
            VLOOKUP($A79, INDIRECT("OctR!$A$6:$ZZ$1048576"), MATCH(AO$1, OctR!$6:$6, 0), FALSE),
            0
        ) +
        IFERROR(
            VLOOKUP($A79, INDIRECT("NovR!$A$6:$ZZ$1048576"), MATCH(AO$1, NovR!$6:$6, 0), FALSE),
            0
        ) +
        IFERROR(
            VLOOKUP($A79, INDIRECT("DicR!$A$6:$ZZ$1048576"), MATCH(AO$1, DicR!$6:$6, 0), FALSE),
            0
        )
)</f>
        <v>0</v>
      </c>
      <c r="AP79" s="36">
        <f t="array" ref="AP79">SUM(
    IFERROR(
            VLOOKUP($A79, INDIRECT("EneR!$A$6:$ZZ$1048576"), MATCH(AP$1, EneR!$6:$6, 0), FALSE),
            0
        ) +
        IFERROR(
            VLOOKUP($A79, INDIRECT("FebR!$A$6:$ZZ$1048576"), MATCH(AP$1, FebR!$6:$6, 0), FALSE),
            0
        ) +
        IFERROR(
            VLOOKUP($A79, INDIRECT("MarR!$A$6:$ZZ$1048576"), MATCH(AP$1, MarR!$6:$6, 0), FALSE),
            0
        ) +
        IFERROR(
            VLOOKUP($A79, INDIRECT("AbrR!$A$6:$ZZ$1048576"), MATCH(AP$1, AbrR!$6:$6, 0), FALSE),
            0
        ) +
        IFERROR(
            VLOOKUP($A79, INDIRECT("MayR!$A$6:$ZZ$1048576"), MATCH(AP$1, MayR!$6:$6, 0), FALSE),
            0
        ) +
        IFERROR(
            VLOOKUP($A79, INDIRECT("JunR!$A$6:$ZZ$1048576"), MATCH(AP$1, JunR!$6:$6, 0), FALSE),
            0
        ) +
        IFERROR(
            VLOOKUP($A79, INDIRECT("JulR!$A$6:$ZZ$1048576"), MATCH(AP$1, JulR!$6:$6, 0), FALSE),
            0
        ) +
        IFERROR(
            VLOOKUP($A79, INDIRECT("AgoR!$A$6:$ZZ$1048576"), MATCH(AP$1, AgoR!$6:$6, 0), FALSE),
            0
        ) +
        IFERROR(
            VLOOKUP($A79, INDIRECT("SepR!$A$6:$ZZ$1048576"), MATCH(AP$1, SepR!$6:$6, 0), FALSE),
            0
        ) +
        IFERROR(
            VLOOKUP($A79, INDIRECT("OctR!$A$6:$ZZ$1048576"), MATCH(AP$1, OctR!$6:$6, 0), FALSE),
            0
        ) +
        IFERROR(
            VLOOKUP($A79, INDIRECT("NovR!$A$6:$ZZ$1048576"), MATCH(AP$1, NovR!$6:$6, 0), FALSE),
            0
        ) +
        IFERROR(
            VLOOKUP($A79, INDIRECT("DicR!$A$6:$ZZ$1048576"), MATCH(AP$1, DicR!$6:$6, 0), FALSE),
            0
        )
)</f>
        <v>0</v>
      </c>
      <c r="AQ79" s="35">
        <f t="array" ref="AQ79">SUM(
    IFERROR(
            VLOOKUP($A79, INDIRECT("EneR!$A$6:$ZZ$1048576"), MATCH(AQ$1, EneR!$6:$6, 0), FALSE),
            0
        ) +
        IFERROR(
            VLOOKUP($A79, INDIRECT("FebR!$A$6:$ZZ$1048576"), MATCH(AQ$1, FebR!$6:$6, 0), FALSE),
            0
        ) +
        IFERROR(
            VLOOKUP($A79, INDIRECT("MarR!$A$6:$ZZ$1048576"), MATCH(AQ$1, MarR!$6:$6, 0), FALSE),
            0
        ) +
        IFERROR(
            VLOOKUP($A79, INDIRECT("AbrR!$A$6:$ZZ$1048576"), MATCH(AQ$1, AbrR!$6:$6, 0), FALSE),
            0
        ) +
        IFERROR(
            VLOOKUP($A79, INDIRECT("MayR!$A$6:$ZZ$1048576"), MATCH(AQ$1, MayR!$6:$6, 0), FALSE),
            0
        ) +
        IFERROR(
            VLOOKUP($A79, INDIRECT("JunR!$A$6:$ZZ$1048576"), MATCH(AQ$1, JunR!$6:$6, 0), FALSE),
            0
        ) +
        IFERROR(
            VLOOKUP($A79, INDIRECT("JulR!$A$6:$ZZ$1048576"), MATCH(AQ$1, JulR!$6:$6, 0), FALSE),
            0
        ) +
        IFERROR(
            VLOOKUP($A79, INDIRECT("AgoR!$A$6:$ZZ$1048576"), MATCH(AQ$1, AgoR!$6:$6, 0), FALSE),
            0
        ) +
        IFERROR(
            VLOOKUP($A79, INDIRECT("SepR!$A$6:$ZZ$1048576"), MATCH(AQ$1, SepR!$6:$6, 0), FALSE),
            0
        ) +
        IFERROR(
            VLOOKUP($A79, INDIRECT("OctR!$A$6:$ZZ$1048576"), MATCH(AQ$1, OctR!$6:$6, 0), FALSE),
            0
        ) +
        IFERROR(
            VLOOKUP($A79, INDIRECT("NovR!$A$6:$ZZ$1048576"), MATCH(AQ$1, NovR!$6:$6, 0), FALSE),
            0
        ) +
        IFERROR(
            VLOOKUP($A79, INDIRECT("DicR!$A$6:$ZZ$1048576"), MATCH(AQ$1, DicR!$6:$6, 0), FALSE),
            0
        )
)</f>
        <v>0</v>
      </c>
      <c r="AR79" s="36">
        <f t="array" ref="AR79">SUM(
    IFERROR(
            VLOOKUP($A79, INDIRECT("EneR!$A$6:$ZZ$1048576"), MATCH(AR$1, EneR!$6:$6, 0), FALSE),
            0
        ) +
        IFERROR(
            VLOOKUP($A79, INDIRECT("FebR!$A$6:$ZZ$1048576"), MATCH(AR$1, FebR!$6:$6, 0), FALSE),
            0
        ) +
        IFERROR(
            VLOOKUP($A79, INDIRECT("MarR!$A$6:$ZZ$1048576"), MATCH(AR$1, MarR!$6:$6, 0), FALSE),
            0
        ) +
        IFERROR(
            VLOOKUP($A79, INDIRECT("AbrR!$A$6:$ZZ$1048576"), MATCH(AR$1, AbrR!$6:$6, 0), FALSE),
            0
        ) +
        IFERROR(
            VLOOKUP($A79, INDIRECT("MayR!$A$6:$ZZ$1048576"), MATCH(AR$1, MayR!$6:$6, 0), FALSE),
            0
        ) +
        IFERROR(
            VLOOKUP($A79, INDIRECT("JunR!$A$6:$ZZ$1048576"), MATCH(AR$1, JunR!$6:$6, 0), FALSE),
            0
        ) +
        IFERROR(
            VLOOKUP($A79, INDIRECT("JulR!$A$6:$ZZ$1048576"), MATCH(AR$1, JulR!$6:$6, 0), FALSE),
            0
        ) +
        IFERROR(
            VLOOKUP($A79, INDIRECT("AgoR!$A$6:$ZZ$1048576"), MATCH(AR$1, AgoR!$6:$6, 0), FALSE),
            0
        ) +
        IFERROR(
            VLOOKUP($A79, INDIRECT("SepR!$A$6:$ZZ$1048576"), MATCH(AR$1, SepR!$6:$6, 0), FALSE),
            0
        ) +
        IFERROR(
            VLOOKUP($A79, INDIRECT("OctR!$A$6:$ZZ$1048576"), MATCH(AR$1, OctR!$6:$6, 0), FALSE),
            0
        ) +
        IFERROR(
            VLOOKUP($A79, INDIRECT("NovR!$A$6:$ZZ$1048576"), MATCH(AR$1, NovR!$6:$6, 0), FALSE),
            0
        ) +
        IFERROR(
            VLOOKUP($A79, INDIRECT("DicR!$A$6:$ZZ$1048576"), MATCH(AR$1, DicR!$6:$6, 0), FALSE),
            0
        )
)</f>
        <v>0</v>
      </c>
      <c r="AS79" s="35">
        <f t="array" ref="AS79">SUM(
    IFERROR(
            VLOOKUP($A79, INDIRECT("EneR!$A$6:$ZZ$1048576"), MATCH(AS$1, EneR!$6:$6, 0), FALSE),
            0
        ) +
        IFERROR(
            VLOOKUP($A79, INDIRECT("FebR!$A$6:$ZZ$1048576"), MATCH(AS$1, FebR!$6:$6, 0), FALSE),
            0
        ) +
        IFERROR(
            VLOOKUP($A79, INDIRECT("MarR!$A$6:$ZZ$1048576"), MATCH(AS$1, MarR!$6:$6, 0), FALSE),
            0
        ) +
        IFERROR(
            VLOOKUP($A79, INDIRECT("AbrR!$A$6:$ZZ$1048576"), MATCH(AS$1, AbrR!$6:$6, 0), FALSE),
            0
        ) +
        IFERROR(
            VLOOKUP($A79, INDIRECT("MayR!$A$6:$ZZ$1048576"), MATCH(AS$1, MayR!$6:$6, 0), FALSE),
            0
        ) +
        IFERROR(
            VLOOKUP($A79, INDIRECT("JunR!$A$6:$ZZ$1048576"), MATCH(AS$1, JunR!$6:$6, 0), FALSE),
            0
        ) +
        IFERROR(
            VLOOKUP($A79, INDIRECT("JulR!$A$6:$ZZ$1048576"), MATCH(AS$1, JulR!$6:$6, 0), FALSE),
            0
        ) +
        IFERROR(
            VLOOKUP($A79, INDIRECT("AgoR!$A$6:$ZZ$1048576"), MATCH(AS$1, AgoR!$6:$6, 0), FALSE),
            0
        ) +
        IFERROR(
            VLOOKUP($A79, INDIRECT("SepR!$A$6:$ZZ$1048576"), MATCH(AS$1, SepR!$6:$6, 0), FALSE),
            0
        ) +
        IFERROR(
            VLOOKUP($A79, INDIRECT("OctR!$A$6:$ZZ$1048576"), MATCH(AS$1, OctR!$6:$6, 0), FALSE),
            0
        ) +
        IFERROR(
            VLOOKUP($A79, INDIRECT("NovR!$A$6:$ZZ$1048576"), MATCH(AS$1, NovR!$6:$6, 0), FALSE),
            0
        ) +
        IFERROR(
            VLOOKUP($A79, INDIRECT("DicR!$A$6:$ZZ$1048576"), MATCH(AS$1, DicR!$6:$6, 0), FALSE),
            0
        )
)</f>
        <v>0</v>
      </c>
      <c r="AT79" s="36">
        <f t="array" ref="AT79">SUM(
    IFERROR(
            VLOOKUP($A79, INDIRECT("EneR!$A$6:$ZZ$1048576"), MATCH(AT$1, EneR!$6:$6, 0), FALSE),
            0
        ) +
        IFERROR(
            VLOOKUP($A79, INDIRECT("FebR!$A$6:$ZZ$1048576"), MATCH(AT$1, FebR!$6:$6, 0), FALSE),
            0
        ) +
        IFERROR(
            VLOOKUP($A79, INDIRECT("MarR!$A$6:$ZZ$1048576"), MATCH(AT$1, MarR!$6:$6, 0), FALSE),
            0
        ) +
        IFERROR(
            VLOOKUP($A79, INDIRECT("AbrR!$A$6:$ZZ$1048576"), MATCH(AT$1, AbrR!$6:$6, 0), FALSE),
            0
        ) +
        IFERROR(
            VLOOKUP($A79, INDIRECT("MayR!$A$6:$ZZ$1048576"), MATCH(AT$1, MayR!$6:$6, 0), FALSE),
            0
        ) +
        IFERROR(
            VLOOKUP($A79, INDIRECT("JunR!$A$6:$ZZ$1048576"), MATCH(AT$1, JunR!$6:$6, 0), FALSE),
            0
        ) +
        IFERROR(
            VLOOKUP($A79, INDIRECT("JulR!$A$6:$ZZ$1048576"), MATCH(AT$1, JulR!$6:$6, 0), FALSE),
            0
        ) +
        IFERROR(
            VLOOKUP($A79, INDIRECT("AgoR!$A$6:$ZZ$1048576"), MATCH(AT$1, AgoR!$6:$6, 0), FALSE),
            0
        ) +
        IFERROR(
            VLOOKUP($A79, INDIRECT("SepR!$A$6:$ZZ$1048576"), MATCH(AT$1, SepR!$6:$6, 0), FALSE),
            0
        ) +
        IFERROR(
            VLOOKUP($A79, INDIRECT("OctR!$A$6:$ZZ$1048576"), MATCH(AT$1, OctR!$6:$6, 0), FALSE),
            0
        ) +
        IFERROR(
            VLOOKUP($A79, INDIRECT("NovR!$A$6:$ZZ$1048576"), MATCH(AT$1, NovR!$6:$6, 0), FALSE),
            0
        ) +
        IFERROR(
            VLOOKUP($A79, INDIRECT("DicR!$A$6:$ZZ$1048576"), MATCH(AT$1, DicR!$6:$6, 0), FALSE),
            0
        )
)</f>
        <v>0</v>
      </c>
      <c r="AU79" s="35">
        <f t="array" ref="AU79">SUM(
    IFERROR(
            VLOOKUP($A79, INDIRECT("EneR!$A$6:$ZZ$1048576"), MATCH(AU$1, EneR!$6:$6, 0), FALSE),
            0
        ) +
        IFERROR(
            VLOOKUP($A79, INDIRECT("FebR!$A$6:$ZZ$1048576"), MATCH(AU$1, FebR!$6:$6, 0), FALSE),
            0
        ) +
        IFERROR(
            VLOOKUP($A79, INDIRECT("MarR!$A$6:$ZZ$1048576"), MATCH(AU$1, MarR!$6:$6, 0), FALSE),
            0
        ) +
        IFERROR(
            VLOOKUP($A79, INDIRECT("AbrR!$A$6:$ZZ$1048576"), MATCH(AU$1, AbrR!$6:$6, 0), FALSE),
            0
        ) +
        IFERROR(
            VLOOKUP($A79, INDIRECT("MayR!$A$6:$ZZ$1048576"), MATCH(AU$1, MayR!$6:$6, 0), FALSE),
            0
        ) +
        IFERROR(
            VLOOKUP($A79, INDIRECT("JunR!$A$6:$ZZ$1048576"), MATCH(AU$1, JunR!$6:$6, 0), FALSE),
            0
        ) +
        IFERROR(
            VLOOKUP($A79, INDIRECT("JulR!$A$6:$ZZ$1048576"), MATCH(AU$1, JulR!$6:$6, 0), FALSE),
            0
        ) +
        IFERROR(
            VLOOKUP($A79, INDIRECT("AgoR!$A$6:$ZZ$1048576"), MATCH(AU$1, AgoR!$6:$6, 0), FALSE),
            0
        ) +
        IFERROR(
            VLOOKUP($A79, INDIRECT("SepR!$A$6:$ZZ$1048576"), MATCH(AU$1, SepR!$6:$6, 0), FALSE),
            0
        ) +
        IFERROR(
            VLOOKUP($A79, INDIRECT("OctR!$A$6:$ZZ$1048576"), MATCH(AU$1, OctR!$6:$6, 0), FALSE),
            0
        ) +
        IFERROR(
            VLOOKUP($A79, INDIRECT("NovR!$A$6:$ZZ$1048576"), MATCH(AU$1, NovR!$6:$6, 0), FALSE),
            0
        ) +
        IFERROR(
            VLOOKUP($A79, INDIRECT("DicR!$A$6:$ZZ$1048576"), MATCH(AU$1, DicR!$6:$6, 0), FALSE),
            0
        )
)</f>
        <v>0</v>
      </c>
      <c r="AV79" s="36">
        <f t="array" ref="AV79">SUM(
    IFERROR(
            VLOOKUP($A79, INDIRECT("EneR!$A$6:$ZZ$1048576"), MATCH(AV$1, EneR!$6:$6, 0), FALSE),
            0
        ) +
        IFERROR(
            VLOOKUP($A79, INDIRECT("FebR!$A$6:$ZZ$1048576"), MATCH(AV$1, FebR!$6:$6, 0), FALSE),
            0
        ) +
        IFERROR(
            VLOOKUP($A79, INDIRECT("MarR!$A$6:$ZZ$1048576"), MATCH(AV$1, MarR!$6:$6, 0), FALSE),
            0
        ) +
        IFERROR(
            VLOOKUP($A79, INDIRECT("AbrR!$A$6:$ZZ$1048576"), MATCH(AV$1, AbrR!$6:$6, 0), FALSE),
            0
        ) +
        IFERROR(
            VLOOKUP($A79, INDIRECT("MayR!$A$6:$ZZ$1048576"), MATCH(AV$1, MayR!$6:$6, 0), FALSE),
            0
        ) +
        IFERROR(
            VLOOKUP($A79, INDIRECT("JunR!$A$6:$ZZ$1048576"), MATCH(AV$1, JunR!$6:$6, 0), FALSE),
            0
        ) +
        IFERROR(
            VLOOKUP($A79, INDIRECT("JulR!$A$6:$ZZ$1048576"), MATCH(AV$1, JulR!$6:$6, 0), FALSE),
            0
        ) +
        IFERROR(
            VLOOKUP($A79, INDIRECT("AgoR!$A$6:$ZZ$1048576"), MATCH(AV$1, AgoR!$6:$6, 0), FALSE),
            0
        ) +
        IFERROR(
            VLOOKUP($A79, INDIRECT("SepR!$A$6:$ZZ$1048576"), MATCH(AV$1, SepR!$6:$6, 0), FALSE),
            0
        ) +
        IFERROR(
            VLOOKUP($A79, INDIRECT("OctR!$A$6:$ZZ$1048576"), MATCH(AV$1, OctR!$6:$6, 0), FALSE),
            0
        ) +
        IFERROR(
            VLOOKUP($A79, INDIRECT("NovR!$A$6:$ZZ$1048576"), MATCH(AV$1, NovR!$6:$6, 0), FALSE),
            0
        ) +
        IFERROR(
            VLOOKUP($A79, INDIRECT("DicR!$A$6:$ZZ$1048576"), MATCH(AV$1, DicR!$6:$6, 0), FALSE),
            0
        )
)</f>
        <v>0</v>
      </c>
      <c r="AW79" s="35">
        <f t="array" ref="AW79">SUM(
    IFERROR(
            VLOOKUP($A79, INDIRECT("EneR!$A$6:$ZZ$1048576"), MATCH(AW$1, EneR!$6:$6, 0), FALSE),
            0
        ) +
        IFERROR(
            VLOOKUP($A79, INDIRECT("FebR!$A$6:$ZZ$1048576"), MATCH(AW$1, FebR!$6:$6, 0), FALSE),
            0
        ) +
        IFERROR(
            VLOOKUP($A79, INDIRECT("MarR!$A$6:$ZZ$1048576"), MATCH(AW$1, MarR!$6:$6, 0), FALSE),
            0
        ) +
        IFERROR(
            VLOOKUP($A79, INDIRECT("AbrR!$A$6:$ZZ$1048576"), MATCH(AW$1, AbrR!$6:$6, 0), FALSE),
            0
        ) +
        IFERROR(
            VLOOKUP($A79, INDIRECT("MayR!$A$6:$ZZ$1048576"), MATCH(AW$1, MayR!$6:$6, 0), FALSE),
            0
        ) +
        IFERROR(
            VLOOKUP($A79, INDIRECT("JunR!$A$6:$ZZ$1048576"), MATCH(AW$1, JunR!$6:$6, 0), FALSE),
            0
        ) +
        IFERROR(
            VLOOKUP($A79, INDIRECT("JulR!$A$6:$ZZ$1048576"), MATCH(AW$1, JulR!$6:$6, 0), FALSE),
            0
        ) +
        IFERROR(
            VLOOKUP($A79, INDIRECT("AgoR!$A$6:$ZZ$1048576"), MATCH(AW$1, AgoR!$6:$6, 0), FALSE),
            0
        ) +
        IFERROR(
            VLOOKUP($A79, INDIRECT("SepR!$A$6:$ZZ$1048576"), MATCH(AW$1, SepR!$6:$6, 0), FALSE),
            0
        ) +
        IFERROR(
            VLOOKUP($A79, INDIRECT("OctR!$A$6:$ZZ$1048576"), MATCH(AW$1, OctR!$6:$6, 0), FALSE),
            0
        ) +
        IFERROR(
            VLOOKUP($A79, INDIRECT("NovR!$A$6:$ZZ$1048576"), MATCH(AW$1, NovR!$6:$6, 0), FALSE),
            0
        ) +
        IFERROR(
            VLOOKUP($A79, INDIRECT("DicR!$A$6:$ZZ$1048576"), MATCH(AW$1, DicR!$6:$6, 0), FALSE),
            0
        )
)</f>
        <v>0</v>
      </c>
      <c r="AX79" s="36">
        <f t="array" ref="AX79">SUM(
    IFERROR(
            VLOOKUP($A79, INDIRECT("EneR!$A$6:$ZZ$1048576"), MATCH(AX$1, EneR!$6:$6, 0), FALSE),
            0
        ) +
        IFERROR(
            VLOOKUP($A79, INDIRECT("FebR!$A$6:$ZZ$1048576"), MATCH(AX$1, FebR!$6:$6, 0), FALSE),
            0
        ) +
        IFERROR(
            VLOOKUP($A79, INDIRECT("MarR!$A$6:$ZZ$1048576"), MATCH(AX$1, MarR!$6:$6, 0), FALSE),
            0
        ) +
        IFERROR(
            VLOOKUP($A79, INDIRECT("AbrR!$A$6:$ZZ$1048576"), MATCH(AX$1, AbrR!$6:$6, 0), FALSE),
            0
        ) +
        IFERROR(
            VLOOKUP($A79, INDIRECT("MayR!$A$6:$ZZ$1048576"), MATCH(AX$1, MayR!$6:$6, 0), FALSE),
            0
        ) +
        IFERROR(
            VLOOKUP($A79, INDIRECT("JunR!$A$6:$ZZ$1048576"), MATCH(AX$1, JunR!$6:$6, 0), FALSE),
            0
        ) +
        IFERROR(
            VLOOKUP($A79, INDIRECT("JulR!$A$6:$ZZ$1048576"), MATCH(AX$1, JulR!$6:$6, 0), FALSE),
            0
        ) +
        IFERROR(
            VLOOKUP($A79, INDIRECT("AgoR!$A$6:$ZZ$1048576"), MATCH(AX$1, AgoR!$6:$6, 0), FALSE),
            0
        ) +
        IFERROR(
            VLOOKUP($A79, INDIRECT("SepR!$A$6:$ZZ$1048576"), MATCH(AX$1, SepR!$6:$6, 0), FALSE),
            0
        ) +
        IFERROR(
            VLOOKUP($A79, INDIRECT("OctR!$A$6:$ZZ$1048576"), MATCH(AX$1, OctR!$6:$6, 0), FALSE),
            0
        ) +
        IFERROR(
            VLOOKUP($A79, INDIRECT("NovR!$A$6:$ZZ$1048576"), MATCH(AX$1, NovR!$6:$6, 0), FALSE),
            0
        ) +
        IFERROR(
            VLOOKUP($A79, INDIRECT("DicR!$A$6:$ZZ$1048576"), MATCH(AX$1, DicR!$6:$6, 0), FALSE),
            0
        )
)</f>
        <v>0</v>
      </c>
      <c r="AY79" s="35">
        <f t="array" ref="AY79">SUM(
    IFERROR(
            VLOOKUP($A79, INDIRECT("EneR!$A$6:$ZZ$1048576"), MATCH(AY$1, EneR!$6:$6, 0), FALSE),
            0
        ) +
        IFERROR(
            VLOOKUP($A79, INDIRECT("FebR!$A$6:$ZZ$1048576"), MATCH(AY$1, FebR!$6:$6, 0), FALSE),
            0
        ) +
        IFERROR(
            VLOOKUP($A79, INDIRECT("MarR!$A$6:$ZZ$1048576"), MATCH(AY$1, MarR!$6:$6, 0), FALSE),
            0
        ) +
        IFERROR(
            VLOOKUP($A79, INDIRECT("AbrR!$A$6:$ZZ$1048576"), MATCH(AY$1, AbrR!$6:$6, 0), FALSE),
            0
        ) +
        IFERROR(
            VLOOKUP($A79, INDIRECT("MayR!$A$6:$ZZ$1048576"), MATCH(AY$1, MayR!$6:$6, 0), FALSE),
            0
        ) +
        IFERROR(
            VLOOKUP($A79, INDIRECT("JunR!$A$6:$ZZ$1048576"), MATCH(AY$1, JunR!$6:$6, 0), FALSE),
            0
        ) +
        IFERROR(
            VLOOKUP($A79, INDIRECT("JulR!$A$6:$ZZ$1048576"), MATCH(AY$1, JulR!$6:$6, 0), FALSE),
            0
        ) +
        IFERROR(
            VLOOKUP($A79, INDIRECT("AgoR!$A$6:$ZZ$1048576"), MATCH(AY$1, AgoR!$6:$6, 0), FALSE),
            0
        ) +
        IFERROR(
            VLOOKUP($A79, INDIRECT("SepR!$A$6:$ZZ$1048576"), MATCH(AY$1, SepR!$6:$6, 0), FALSE),
            0
        ) +
        IFERROR(
            VLOOKUP($A79, INDIRECT("OctR!$A$6:$ZZ$1048576"), MATCH(AY$1, OctR!$6:$6, 0), FALSE),
            0
        ) +
        IFERROR(
            VLOOKUP($A79, INDIRECT("NovR!$A$6:$ZZ$1048576"), MATCH(AY$1, NovR!$6:$6, 0), FALSE),
            0
        ) +
        IFERROR(
            VLOOKUP($A79, INDIRECT("DicR!$A$6:$ZZ$1048576"), MATCH(AY$1, DicR!$6:$6, 0), FALSE),
            0
        )
)</f>
        <v>0</v>
      </c>
      <c r="AZ79" s="35"/>
    </row>
    <row r="80" ht="15.75" customHeight="1">
      <c r="A80" s="12" t="str">
        <f>Menus!B41</f>
        <v/>
      </c>
      <c r="B80" s="32">
        <f t="shared" si="9"/>
        <v>0</v>
      </c>
      <c r="C80" s="33" t="str">
        <f t="shared" si="10"/>
        <v/>
      </c>
      <c r="D80" s="34">
        <f t="array" ref="D80">SUM(
    IFERROR(
            VLOOKUP($A80, INDIRECT("EneR!$A$6:$ZZ$1048576"), MATCH(D$1, EneR!$6:$6, 0), FALSE),
            0
        ) +
        IFERROR(
            VLOOKUP($A80, INDIRECT("FebR!$A$6:$ZZ$1048576"), MATCH(D$1, FebR!$6:$6, 0), FALSE),
            0
        ) +
        IFERROR(
            VLOOKUP($A80, INDIRECT("MarR!$A$6:$ZZ$1048576"), MATCH(D$1, MarR!$6:$6, 0), FALSE),
            0
        ) +
        IFERROR(
            VLOOKUP($A80, INDIRECT("AbrR!$A$6:$ZZ$1048576"), MATCH(D$1, AbrR!$6:$6, 0), FALSE),
            0
        ) +
        IFERROR(
            VLOOKUP($A80, INDIRECT("MayR!$A$6:$ZZ$1048576"), MATCH(D$1, MayR!$6:$6, 0), FALSE),
            0
        ) +
        IFERROR(
            VLOOKUP($A80, INDIRECT("JunR!$A$6:$ZZ$1048576"), MATCH(D$1, JunR!$6:$6, 0), FALSE),
            0
        ) +
        IFERROR(
            VLOOKUP($A80, INDIRECT("JulR!$A$6:$ZZ$1048576"), MATCH(D$1, JulR!$6:$6, 0), FALSE),
            0
        ) +
        IFERROR(
            VLOOKUP($A80, INDIRECT("AgoR!$A$6:$ZZ$1048576"), MATCH(D$1, AgoR!$6:$6, 0), FALSE),
            0
        ) +
        IFERROR(
            VLOOKUP($A80, INDIRECT("SepR!$A$6:$ZZ$1048576"), MATCH(D$1, SepR!$6:$6, 0), FALSE),
            0
        ) +
        IFERROR(
            VLOOKUP($A80, INDIRECT("OctR!$A$6:$ZZ$1048576"), MATCH(D$1, OctR!$6:$6, 0), FALSE),
            0
        ) +
        IFERROR(
            VLOOKUP($A80, INDIRECT("NovR!$A$6:$ZZ$1048576"), MATCH(D$1, NovR!$6:$6, 0), FALSE),
            0
        ) +
        IFERROR(
            VLOOKUP($A80, INDIRECT("DicR!$A$6:$ZZ$1048576"), MATCH(D$1, DicR!$6:$6, 0), FALSE),
            0
        )
)</f>
        <v>0</v>
      </c>
      <c r="E80" s="35">
        <f t="array" ref="E80">SUM(
    IFERROR(
            VLOOKUP($A80, INDIRECT("EneR!$A$6:$ZZ$1048576"), MATCH(E$1, EneR!$6:$6, 0), FALSE),
            0
        ) +
        IFERROR(
            VLOOKUP($A80, INDIRECT("FebR!$A$6:$ZZ$1048576"), MATCH(E$1, FebR!$6:$6, 0), FALSE),
            0
        ) +
        IFERROR(
            VLOOKUP($A80, INDIRECT("MarR!$A$6:$ZZ$1048576"), MATCH(E$1, MarR!$6:$6, 0), FALSE),
            0
        ) +
        IFERROR(
            VLOOKUP($A80, INDIRECT("AbrR!$A$6:$ZZ$1048576"), MATCH(E$1, AbrR!$6:$6, 0), FALSE),
            0
        ) +
        IFERROR(
            VLOOKUP($A80, INDIRECT("MayR!$A$6:$ZZ$1048576"), MATCH(E$1, MayR!$6:$6, 0), FALSE),
            0
        ) +
        IFERROR(
            VLOOKUP($A80, INDIRECT("JunR!$A$6:$ZZ$1048576"), MATCH(E$1, JunR!$6:$6, 0), FALSE),
            0
        ) +
        IFERROR(
            VLOOKUP($A80, INDIRECT("JulR!$A$6:$ZZ$1048576"), MATCH(E$1, JulR!$6:$6, 0), FALSE),
            0
        ) +
        IFERROR(
            VLOOKUP($A80, INDIRECT("AgoR!$A$6:$ZZ$1048576"), MATCH(E$1, AgoR!$6:$6, 0), FALSE),
            0
        ) +
        IFERROR(
            VLOOKUP($A80, INDIRECT("SepR!$A$6:$ZZ$1048576"), MATCH(E$1, SepR!$6:$6, 0), FALSE),
            0
        ) +
        IFERROR(
            VLOOKUP($A80, INDIRECT("OctR!$A$6:$ZZ$1048576"), MATCH(E$1, OctR!$6:$6, 0), FALSE),
            0
        ) +
        IFERROR(
            VLOOKUP($A80, INDIRECT("NovR!$A$6:$ZZ$1048576"), MATCH(E$1, NovR!$6:$6, 0), FALSE),
            0
        ) +
        IFERROR(
            VLOOKUP($A80, INDIRECT("DicR!$A$6:$ZZ$1048576"), MATCH(E$1, DicR!$6:$6, 0), FALSE),
            0
        )
)</f>
        <v>0</v>
      </c>
      <c r="F80" s="32">
        <f t="array" ref="F80">SUM(
    IFERROR(
            VLOOKUP($A80, INDIRECT("EneR!$A$6:$ZZ$1048576"), MATCH(F$1, EneR!$6:$6, 0), FALSE),
            0
        ) +
        IFERROR(
            VLOOKUP($A80, INDIRECT("FebR!$A$6:$ZZ$1048576"), MATCH(F$1, FebR!$6:$6, 0), FALSE),
            0
        ) +
        IFERROR(
            VLOOKUP($A80, INDIRECT("MarR!$A$6:$ZZ$1048576"), MATCH(F$1, MarR!$6:$6, 0), FALSE),
            0
        ) +
        IFERROR(
            VLOOKUP($A80, INDIRECT("AbrR!$A$6:$ZZ$1048576"), MATCH(F$1, AbrR!$6:$6, 0), FALSE),
            0
        ) +
        IFERROR(
            VLOOKUP($A80, INDIRECT("MayR!$A$6:$ZZ$1048576"), MATCH(F$1, MayR!$6:$6, 0), FALSE),
            0
        ) +
        IFERROR(
            VLOOKUP($A80, INDIRECT("JunR!$A$6:$ZZ$1048576"), MATCH(F$1, JunR!$6:$6, 0), FALSE),
            0
        ) +
        IFERROR(
            VLOOKUP($A80, INDIRECT("JulR!$A$6:$ZZ$1048576"), MATCH(F$1, JulR!$6:$6, 0), FALSE),
            0
        ) +
        IFERROR(
            VLOOKUP($A80, INDIRECT("AgoR!$A$6:$ZZ$1048576"), MATCH(F$1, AgoR!$6:$6, 0), FALSE),
            0
        ) +
        IFERROR(
            VLOOKUP($A80, INDIRECT("SepR!$A$6:$ZZ$1048576"), MATCH(F$1, SepR!$6:$6, 0), FALSE),
            0
        ) +
        IFERROR(
            VLOOKUP($A80, INDIRECT("OctR!$A$6:$ZZ$1048576"), MATCH(F$1, OctR!$6:$6, 0), FALSE),
            0
        ) +
        IFERROR(
            VLOOKUP($A80, INDIRECT("NovR!$A$6:$ZZ$1048576"), MATCH(F$1, NovR!$6:$6, 0), FALSE),
            0
        ) +
        IFERROR(
            VLOOKUP($A80, INDIRECT("DicR!$A$6:$ZZ$1048576"), MATCH(F$1, DicR!$6:$6, 0), FALSE),
            0
        )
)</f>
        <v>0</v>
      </c>
      <c r="G80" s="35">
        <f t="array" ref="G80">SUM(
    IFERROR(
            VLOOKUP($A80, INDIRECT("EneR!$A$6:$ZZ$1048576"), MATCH(G$1, EneR!$6:$6, 0), FALSE),
            0
        ) +
        IFERROR(
            VLOOKUP($A80, INDIRECT("FebR!$A$6:$ZZ$1048576"), MATCH(G$1, FebR!$6:$6, 0), FALSE),
            0
        ) +
        IFERROR(
            VLOOKUP($A80, INDIRECT("MarR!$A$6:$ZZ$1048576"), MATCH(G$1, MarR!$6:$6, 0), FALSE),
            0
        ) +
        IFERROR(
            VLOOKUP($A80, INDIRECT("AbrR!$A$6:$ZZ$1048576"), MATCH(G$1, AbrR!$6:$6, 0), FALSE),
            0
        ) +
        IFERROR(
            VLOOKUP($A80, INDIRECT("MayR!$A$6:$ZZ$1048576"), MATCH(G$1, MayR!$6:$6, 0), FALSE),
            0
        ) +
        IFERROR(
            VLOOKUP($A80, INDIRECT("JunR!$A$6:$ZZ$1048576"), MATCH(G$1, JunR!$6:$6, 0), FALSE),
            0
        ) +
        IFERROR(
            VLOOKUP($A80, INDIRECT("JulR!$A$6:$ZZ$1048576"), MATCH(G$1, JulR!$6:$6, 0), FALSE),
            0
        ) +
        IFERROR(
            VLOOKUP($A80, INDIRECT("AgoR!$A$6:$ZZ$1048576"), MATCH(G$1, AgoR!$6:$6, 0), FALSE),
            0
        ) +
        IFERROR(
            VLOOKUP($A80, INDIRECT("SepR!$A$6:$ZZ$1048576"), MATCH(G$1, SepR!$6:$6, 0), FALSE),
            0
        ) +
        IFERROR(
            VLOOKUP($A80, INDIRECT("OctR!$A$6:$ZZ$1048576"), MATCH(G$1, OctR!$6:$6, 0), FALSE),
            0
        ) +
        IFERROR(
            VLOOKUP($A80, INDIRECT("NovR!$A$6:$ZZ$1048576"), MATCH(G$1, NovR!$6:$6, 0), FALSE),
            0
        ) +
        IFERROR(
            VLOOKUP($A80, INDIRECT("DicR!$A$6:$ZZ$1048576"), MATCH(G$1, DicR!$6:$6, 0), FALSE),
            0
        )
)</f>
        <v>0</v>
      </c>
      <c r="H80" s="32">
        <f t="array" ref="H80">SUM(
    IFERROR(
            VLOOKUP($A80, INDIRECT("EneR!$A$6:$ZZ$1048576"), MATCH(H$1, EneR!$6:$6, 0), FALSE),
            0
        ) +
        IFERROR(
            VLOOKUP($A80, INDIRECT("FebR!$A$6:$ZZ$1048576"), MATCH(H$1, FebR!$6:$6, 0), FALSE),
            0
        ) +
        IFERROR(
            VLOOKUP($A80, INDIRECT("MarR!$A$6:$ZZ$1048576"), MATCH(H$1, MarR!$6:$6, 0), FALSE),
            0
        ) +
        IFERROR(
            VLOOKUP($A80, INDIRECT("AbrR!$A$6:$ZZ$1048576"), MATCH(H$1, AbrR!$6:$6, 0), FALSE),
            0
        ) +
        IFERROR(
            VLOOKUP($A80, INDIRECT("MayR!$A$6:$ZZ$1048576"), MATCH(H$1, MayR!$6:$6, 0), FALSE),
            0
        ) +
        IFERROR(
            VLOOKUP($A80, INDIRECT("JunR!$A$6:$ZZ$1048576"), MATCH(H$1, JunR!$6:$6, 0), FALSE),
            0
        ) +
        IFERROR(
            VLOOKUP($A80, INDIRECT("JulR!$A$6:$ZZ$1048576"), MATCH(H$1, JulR!$6:$6, 0), FALSE),
            0
        ) +
        IFERROR(
            VLOOKUP($A80, INDIRECT("AgoR!$A$6:$ZZ$1048576"), MATCH(H$1, AgoR!$6:$6, 0), FALSE),
            0
        ) +
        IFERROR(
            VLOOKUP($A80, INDIRECT("SepR!$A$6:$ZZ$1048576"), MATCH(H$1, SepR!$6:$6, 0), FALSE),
            0
        ) +
        IFERROR(
            VLOOKUP($A80, INDIRECT("OctR!$A$6:$ZZ$1048576"), MATCH(H$1, OctR!$6:$6, 0), FALSE),
            0
        ) +
        IFERROR(
            VLOOKUP($A80, INDIRECT("NovR!$A$6:$ZZ$1048576"), MATCH(H$1, NovR!$6:$6, 0), FALSE),
            0
        ) +
        IFERROR(
            VLOOKUP($A80, INDIRECT("DicR!$A$6:$ZZ$1048576"), MATCH(H$1, DicR!$6:$6, 0), FALSE),
            0
        )
)</f>
        <v>0</v>
      </c>
      <c r="I80" s="35">
        <f t="array" ref="I80">SUM(
    IFERROR(
            VLOOKUP($A80, INDIRECT("EneR!$A$6:$ZZ$1048576"), MATCH(I$1, EneR!$6:$6, 0), FALSE),
            0
        ) +
        IFERROR(
            VLOOKUP($A80, INDIRECT("FebR!$A$6:$ZZ$1048576"), MATCH(I$1, FebR!$6:$6, 0), FALSE),
            0
        ) +
        IFERROR(
            VLOOKUP($A80, INDIRECT("MarR!$A$6:$ZZ$1048576"), MATCH(I$1, MarR!$6:$6, 0), FALSE),
            0
        ) +
        IFERROR(
            VLOOKUP($A80, INDIRECT("AbrR!$A$6:$ZZ$1048576"), MATCH(I$1, AbrR!$6:$6, 0), FALSE),
            0
        ) +
        IFERROR(
            VLOOKUP($A80, INDIRECT("MayR!$A$6:$ZZ$1048576"), MATCH(I$1, MayR!$6:$6, 0), FALSE),
            0
        ) +
        IFERROR(
            VLOOKUP($A80, INDIRECT("JunR!$A$6:$ZZ$1048576"), MATCH(I$1, JunR!$6:$6, 0), FALSE),
            0
        ) +
        IFERROR(
            VLOOKUP($A80, INDIRECT("JulR!$A$6:$ZZ$1048576"), MATCH(I$1, JulR!$6:$6, 0), FALSE),
            0
        ) +
        IFERROR(
            VLOOKUP($A80, INDIRECT("AgoR!$A$6:$ZZ$1048576"), MATCH(I$1, AgoR!$6:$6, 0), FALSE),
            0
        ) +
        IFERROR(
            VLOOKUP($A80, INDIRECT("SepR!$A$6:$ZZ$1048576"), MATCH(I$1, SepR!$6:$6, 0), FALSE),
            0
        ) +
        IFERROR(
            VLOOKUP($A80, INDIRECT("OctR!$A$6:$ZZ$1048576"), MATCH(I$1, OctR!$6:$6, 0), FALSE),
            0
        ) +
        IFERROR(
            VLOOKUP($A80, INDIRECT("NovR!$A$6:$ZZ$1048576"), MATCH(I$1, NovR!$6:$6, 0), FALSE),
            0
        ) +
        IFERROR(
            VLOOKUP($A80, INDIRECT("DicR!$A$6:$ZZ$1048576"), MATCH(I$1, DicR!$6:$6, 0), FALSE),
            0
        )
)</f>
        <v>0</v>
      </c>
      <c r="J80" s="32">
        <f t="array" ref="J80">SUM(
    IFERROR(
            VLOOKUP($A80, INDIRECT("EneR!$A$6:$ZZ$1048576"), MATCH(J$1, EneR!$6:$6, 0), FALSE),
            0
        ) +
        IFERROR(
            VLOOKUP($A80, INDIRECT("FebR!$A$6:$ZZ$1048576"), MATCH(J$1, FebR!$6:$6, 0), FALSE),
            0
        ) +
        IFERROR(
            VLOOKUP($A80, INDIRECT("MarR!$A$6:$ZZ$1048576"), MATCH(J$1, MarR!$6:$6, 0), FALSE),
            0
        ) +
        IFERROR(
            VLOOKUP($A80, INDIRECT("AbrR!$A$6:$ZZ$1048576"), MATCH(J$1, AbrR!$6:$6, 0), FALSE),
            0
        ) +
        IFERROR(
            VLOOKUP($A80, INDIRECT("MayR!$A$6:$ZZ$1048576"), MATCH(J$1, MayR!$6:$6, 0), FALSE),
            0
        ) +
        IFERROR(
            VLOOKUP($A80, INDIRECT("JunR!$A$6:$ZZ$1048576"), MATCH(J$1, JunR!$6:$6, 0), FALSE),
            0
        ) +
        IFERROR(
            VLOOKUP($A80, INDIRECT("JulR!$A$6:$ZZ$1048576"), MATCH(J$1, JulR!$6:$6, 0), FALSE),
            0
        ) +
        IFERROR(
            VLOOKUP($A80, INDIRECT("AgoR!$A$6:$ZZ$1048576"), MATCH(J$1, AgoR!$6:$6, 0), FALSE),
            0
        ) +
        IFERROR(
            VLOOKUP($A80, INDIRECT("SepR!$A$6:$ZZ$1048576"), MATCH(J$1, SepR!$6:$6, 0), FALSE),
            0
        ) +
        IFERROR(
            VLOOKUP($A80, INDIRECT("OctR!$A$6:$ZZ$1048576"), MATCH(J$1, OctR!$6:$6, 0), FALSE),
            0
        ) +
        IFERROR(
            VLOOKUP($A80, INDIRECT("NovR!$A$6:$ZZ$1048576"), MATCH(J$1, NovR!$6:$6, 0), FALSE),
            0
        ) +
        IFERROR(
            VLOOKUP($A80, INDIRECT("DicR!$A$6:$ZZ$1048576"), MATCH(J$1, DicR!$6:$6, 0), FALSE),
            0
        )
)</f>
        <v>0</v>
      </c>
      <c r="K80" s="35">
        <f t="array" ref="K80">SUM(
    IFERROR(
            VLOOKUP($A80, INDIRECT("EneR!$A$6:$ZZ$1048576"), MATCH(K$1, EneR!$6:$6, 0), FALSE),
            0
        ) +
        IFERROR(
            VLOOKUP($A80, INDIRECT("FebR!$A$6:$ZZ$1048576"), MATCH(K$1, FebR!$6:$6, 0), FALSE),
            0
        ) +
        IFERROR(
            VLOOKUP($A80, INDIRECT("MarR!$A$6:$ZZ$1048576"), MATCH(K$1, MarR!$6:$6, 0), FALSE),
            0
        ) +
        IFERROR(
            VLOOKUP($A80, INDIRECT("AbrR!$A$6:$ZZ$1048576"), MATCH(K$1, AbrR!$6:$6, 0), FALSE),
            0
        ) +
        IFERROR(
            VLOOKUP($A80, INDIRECT("MayR!$A$6:$ZZ$1048576"), MATCH(K$1, MayR!$6:$6, 0), FALSE),
            0
        ) +
        IFERROR(
            VLOOKUP($A80, INDIRECT("JunR!$A$6:$ZZ$1048576"), MATCH(K$1, JunR!$6:$6, 0), FALSE),
            0
        ) +
        IFERROR(
            VLOOKUP($A80, INDIRECT("JulR!$A$6:$ZZ$1048576"), MATCH(K$1, JulR!$6:$6, 0), FALSE),
            0
        ) +
        IFERROR(
            VLOOKUP($A80, INDIRECT("AgoR!$A$6:$ZZ$1048576"), MATCH(K$1, AgoR!$6:$6, 0), FALSE),
            0
        ) +
        IFERROR(
            VLOOKUP($A80, INDIRECT("SepR!$A$6:$ZZ$1048576"), MATCH(K$1, SepR!$6:$6, 0), FALSE),
            0
        ) +
        IFERROR(
            VLOOKUP($A80, INDIRECT("OctR!$A$6:$ZZ$1048576"), MATCH(K$1, OctR!$6:$6, 0), FALSE),
            0
        ) +
        IFERROR(
            VLOOKUP($A80, INDIRECT("NovR!$A$6:$ZZ$1048576"), MATCH(K$1, NovR!$6:$6, 0), FALSE),
            0
        ) +
        IFERROR(
            VLOOKUP($A80, INDIRECT("DicR!$A$6:$ZZ$1048576"), MATCH(K$1, DicR!$6:$6, 0), FALSE),
            0
        )
)</f>
        <v>0</v>
      </c>
      <c r="L80" s="32">
        <f t="array" ref="L80">SUM(
    IFERROR(
            VLOOKUP($A80, INDIRECT("EneR!$A$6:$ZZ$1048576"), MATCH(L$1, EneR!$6:$6, 0), FALSE),
            0
        ) +
        IFERROR(
            VLOOKUP($A80, INDIRECT("FebR!$A$6:$ZZ$1048576"), MATCH(L$1, FebR!$6:$6, 0), FALSE),
            0
        ) +
        IFERROR(
            VLOOKUP($A80, INDIRECT("MarR!$A$6:$ZZ$1048576"), MATCH(L$1, MarR!$6:$6, 0), FALSE),
            0
        ) +
        IFERROR(
            VLOOKUP($A80, INDIRECT("AbrR!$A$6:$ZZ$1048576"), MATCH(L$1, AbrR!$6:$6, 0), FALSE),
            0
        ) +
        IFERROR(
            VLOOKUP($A80, INDIRECT("MayR!$A$6:$ZZ$1048576"), MATCH(L$1, MayR!$6:$6, 0), FALSE),
            0
        ) +
        IFERROR(
            VLOOKUP($A80, INDIRECT("JunR!$A$6:$ZZ$1048576"), MATCH(L$1, JunR!$6:$6, 0), FALSE),
            0
        ) +
        IFERROR(
            VLOOKUP($A80, INDIRECT("JulR!$A$6:$ZZ$1048576"), MATCH(L$1, JulR!$6:$6, 0), FALSE),
            0
        ) +
        IFERROR(
            VLOOKUP($A80, INDIRECT("AgoR!$A$6:$ZZ$1048576"), MATCH(L$1, AgoR!$6:$6, 0), FALSE),
            0
        ) +
        IFERROR(
            VLOOKUP($A80, INDIRECT("SepR!$A$6:$ZZ$1048576"), MATCH(L$1, SepR!$6:$6, 0), FALSE),
            0
        ) +
        IFERROR(
            VLOOKUP($A80, INDIRECT("OctR!$A$6:$ZZ$1048576"), MATCH(L$1, OctR!$6:$6, 0), FALSE),
            0
        ) +
        IFERROR(
            VLOOKUP($A80, INDIRECT("NovR!$A$6:$ZZ$1048576"), MATCH(L$1, NovR!$6:$6, 0), FALSE),
            0
        ) +
        IFERROR(
            VLOOKUP($A80, INDIRECT("DicR!$A$6:$ZZ$1048576"), MATCH(L$1, DicR!$6:$6, 0), FALSE),
            0
        )
)</f>
        <v>0</v>
      </c>
      <c r="M80" s="35">
        <f t="array" ref="M80">SUM(
    IFERROR(
            VLOOKUP($A80, INDIRECT("EneR!$A$6:$ZZ$1048576"), MATCH(M$1, EneR!$6:$6, 0), FALSE),
            0
        ) +
        IFERROR(
            VLOOKUP($A80, INDIRECT("FebR!$A$6:$ZZ$1048576"), MATCH(M$1, FebR!$6:$6, 0), FALSE),
            0
        ) +
        IFERROR(
            VLOOKUP($A80, INDIRECT("MarR!$A$6:$ZZ$1048576"), MATCH(M$1, MarR!$6:$6, 0), FALSE),
            0
        ) +
        IFERROR(
            VLOOKUP($A80, INDIRECT("AbrR!$A$6:$ZZ$1048576"), MATCH(M$1, AbrR!$6:$6, 0), FALSE),
            0
        ) +
        IFERROR(
            VLOOKUP($A80, INDIRECT("MayR!$A$6:$ZZ$1048576"), MATCH(M$1, MayR!$6:$6, 0), FALSE),
            0
        ) +
        IFERROR(
            VLOOKUP($A80, INDIRECT("JunR!$A$6:$ZZ$1048576"), MATCH(M$1, JunR!$6:$6, 0), FALSE),
            0
        ) +
        IFERROR(
            VLOOKUP($A80, INDIRECT("JulR!$A$6:$ZZ$1048576"), MATCH(M$1, JulR!$6:$6, 0), FALSE),
            0
        ) +
        IFERROR(
            VLOOKUP($A80, INDIRECT("AgoR!$A$6:$ZZ$1048576"), MATCH(M$1, AgoR!$6:$6, 0), FALSE),
            0
        ) +
        IFERROR(
            VLOOKUP($A80, INDIRECT("SepR!$A$6:$ZZ$1048576"), MATCH(M$1, SepR!$6:$6, 0), FALSE),
            0
        ) +
        IFERROR(
            VLOOKUP($A80, INDIRECT("OctR!$A$6:$ZZ$1048576"), MATCH(M$1, OctR!$6:$6, 0), FALSE),
            0
        ) +
        IFERROR(
            VLOOKUP($A80, INDIRECT("NovR!$A$6:$ZZ$1048576"), MATCH(M$1, NovR!$6:$6, 0), FALSE),
            0
        ) +
        IFERROR(
            VLOOKUP($A80, INDIRECT("DicR!$A$6:$ZZ$1048576"), MATCH(M$1, DicR!$6:$6, 0), FALSE),
            0
        )
)</f>
        <v>0</v>
      </c>
      <c r="N80" s="32">
        <f t="array" ref="N80">SUM(
    IFERROR(
            VLOOKUP($A80, INDIRECT("EneR!$A$6:$ZZ$1048576"), MATCH(N$1, EneR!$6:$6, 0), FALSE),
            0
        ) +
        IFERROR(
            VLOOKUP($A80, INDIRECT("FebR!$A$6:$ZZ$1048576"), MATCH(N$1, FebR!$6:$6, 0), FALSE),
            0
        ) +
        IFERROR(
            VLOOKUP($A80, INDIRECT("MarR!$A$6:$ZZ$1048576"), MATCH(N$1, MarR!$6:$6, 0), FALSE),
            0
        ) +
        IFERROR(
            VLOOKUP($A80, INDIRECT("AbrR!$A$6:$ZZ$1048576"), MATCH(N$1, AbrR!$6:$6, 0), FALSE),
            0
        ) +
        IFERROR(
            VLOOKUP($A80, INDIRECT("MayR!$A$6:$ZZ$1048576"), MATCH(N$1, MayR!$6:$6, 0), FALSE),
            0
        ) +
        IFERROR(
            VLOOKUP($A80, INDIRECT("JunR!$A$6:$ZZ$1048576"), MATCH(N$1, JunR!$6:$6, 0), FALSE),
            0
        ) +
        IFERROR(
            VLOOKUP($A80, INDIRECT("JulR!$A$6:$ZZ$1048576"), MATCH(N$1, JulR!$6:$6, 0), FALSE),
            0
        ) +
        IFERROR(
            VLOOKUP($A80, INDIRECT("AgoR!$A$6:$ZZ$1048576"), MATCH(N$1, AgoR!$6:$6, 0), FALSE),
            0
        ) +
        IFERROR(
            VLOOKUP($A80, INDIRECT("SepR!$A$6:$ZZ$1048576"), MATCH(N$1, SepR!$6:$6, 0), FALSE),
            0
        ) +
        IFERROR(
            VLOOKUP($A80, INDIRECT("OctR!$A$6:$ZZ$1048576"), MATCH(N$1, OctR!$6:$6, 0), FALSE),
            0
        ) +
        IFERROR(
            VLOOKUP($A80, INDIRECT("NovR!$A$6:$ZZ$1048576"), MATCH(N$1, NovR!$6:$6, 0), FALSE),
            0
        ) +
        IFERROR(
            VLOOKUP($A80, INDIRECT("DicR!$A$6:$ZZ$1048576"), MATCH(N$1, DicR!$6:$6, 0), FALSE),
            0
        )
)</f>
        <v>0</v>
      </c>
      <c r="O80" s="35">
        <f t="array" ref="O80">SUM(
    IFERROR(
            VLOOKUP($A80, INDIRECT("EneR!$A$6:$ZZ$1048576"), MATCH(O$1, EneR!$6:$6, 0), FALSE),
            0
        ) +
        IFERROR(
            VLOOKUP($A80, INDIRECT("FebR!$A$6:$ZZ$1048576"), MATCH(O$1, FebR!$6:$6, 0), FALSE),
            0
        ) +
        IFERROR(
            VLOOKUP($A80, INDIRECT("MarR!$A$6:$ZZ$1048576"), MATCH(O$1, MarR!$6:$6, 0), FALSE),
            0
        ) +
        IFERROR(
            VLOOKUP($A80, INDIRECT("AbrR!$A$6:$ZZ$1048576"), MATCH(O$1, AbrR!$6:$6, 0), FALSE),
            0
        ) +
        IFERROR(
            VLOOKUP($A80, INDIRECT("MayR!$A$6:$ZZ$1048576"), MATCH(O$1, MayR!$6:$6, 0), FALSE),
            0
        ) +
        IFERROR(
            VLOOKUP($A80, INDIRECT("JunR!$A$6:$ZZ$1048576"), MATCH(O$1, JunR!$6:$6, 0), FALSE),
            0
        ) +
        IFERROR(
            VLOOKUP($A80, INDIRECT("JulR!$A$6:$ZZ$1048576"), MATCH(O$1, JulR!$6:$6, 0), FALSE),
            0
        ) +
        IFERROR(
            VLOOKUP($A80, INDIRECT("AgoR!$A$6:$ZZ$1048576"), MATCH(O$1, AgoR!$6:$6, 0), FALSE),
            0
        ) +
        IFERROR(
            VLOOKUP($A80, INDIRECT("SepR!$A$6:$ZZ$1048576"), MATCH(O$1, SepR!$6:$6, 0), FALSE),
            0
        ) +
        IFERROR(
            VLOOKUP($A80, INDIRECT("OctR!$A$6:$ZZ$1048576"), MATCH(O$1, OctR!$6:$6, 0), FALSE),
            0
        ) +
        IFERROR(
            VLOOKUP($A80, INDIRECT("NovR!$A$6:$ZZ$1048576"), MATCH(O$1, NovR!$6:$6, 0), FALSE),
            0
        ) +
        IFERROR(
            VLOOKUP($A80, INDIRECT("DicR!$A$6:$ZZ$1048576"), MATCH(O$1, DicR!$6:$6, 0), FALSE),
            0
        )
)</f>
        <v>0</v>
      </c>
      <c r="P80" s="32">
        <f t="array" ref="P80">SUM(
    IFERROR(
            VLOOKUP($A80, INDIRECT("EneR!$A$6:$ZZ$1048576"), MATCH(P$1, EneR!$6:$6, 0), FALSE),
            0
        ) +
        IFERROR(
            VLOOKUP($A80, INDIRECT("FebR!$A$6:$ZZ$1048576"), MATCH(P$1, FebR!$6:$6, 0), FALSE),
            0
        ) +
        IFERROR(
            VLOOKUP($A80, INDIRECT("MarR!$A$6:$ZZ$1048576"), MATCH(P$1, MarR!$6:$6, 0), FALSE),
            0
        ) +
        IFERROR(
            VLOOKUP($A80, INDIRECT("AbrR!$A$6:$ZZ$1048576"), MATCH(P$1, AbrR!$6:$6, 0), FALSE),
            0
        ) +
        IFERROR(
            VLOOKUP($A80, INDIRECT("MayR!$A$6:$ZZ$1048576"), MATCH(P$1, MayR!$6:$6, 0), FALSE),
            0
        ) +
        IFERROR(
            VLOOKUP($A80, INDIRECT("JunR!$A$6:$ZZ$1048576"), MATCH(P$1, JunR!$6:$6, 0), FALSE),
            0
        ) +
        IFERROR(
            VLOOKUP($A80, INDIRECT("JulR!$A$6:$ZZ$1048576"), MATCH(P$1, JulR!$6:$6, 0), FALSE),
            0
        ) +
        IFERROR(
            VLOOKUP($A80, INDIRECT("AgoR!$A$6:$ZZ$1048576"), MATCH(P$1, AgoR!$6:$6, 0), FALSE),
            0
        ) +
        IFERROR(
            VLOOKUP($A80, INDIRECT("SepR!$A$6:$ZZ$1048576"), MATCH(P$1, SepR!$6:$6, 0), FALSE),
            0
        ) +
        IFERROR(
            VLOOKUP($A80, INDIRECT("OctR!$A$6:$ZZ$1048576"), MATCH(P$1, OctR!$6:$6, 0), FALSE),
            0
        ) +
        IFERROR(
            VLOOKUP($A80, INDIRECT("NovR!$A$6:$ZZ$1048576"), MATCH(P$1, NovR!$6:$6, 0), FALSE),
            0
        ) +
        IFERROR(
            VLOOKUP($A80, INDIRECT("DicR!$A$6:$ZZ$1048576"), MATCH(P$1, DicR!$6:$6, 0), FALSE),
            0
        )
)</f>
        <v>0</v>
      </c>
      <c r="Q80" s="35">
        <f t="array" ref="Q80">SUM(
    IFERROR(
            VLOOKUP($A80, INDIRECT("EneR!$A$6:$ZZ$1048576"), MATCH(Q$1, EneR!$6:$6, 0), FALSE),
            0
        ) +
        IFERROR(
            VLOOKUP($A80, INDIRECT("FebR!$A$6:$ZZ$1048576"), MATCH(Q$1, FebR!$6:$6, 0), FALSE),
            0
        ) +
        IFERROR(
            VLOOKUP($A80, INDIRECT("MarR!$A$6:$ZZ$1048576"), MATCH(Q$1, MarR!$6:$6, 0), FALSE),
            0
        ) +
        IFERROR(
            VLOOKUP($A80, INDIRECT("AbrR!$A$6:$ZZ$1048576"), MATCH(Q$1, AbrR!$6:$6, 0), FALSE),
            0
        ) +
        IFERROR(
            VLOOKUP($A80, INDIRECT("MayR!$A$6:$ZZ$1048576"), MATCH(Q$1, MayR!$6:$6, 0), FALSE),
            0
        ) +
        IFERROR(
            VLOOKUP($A80, INDIRECT("JunR!$A$6:$ZZ$1048576"), MATCH(Q$1, JunR!$6:$6, 0), FALSE),
            0
        ) +
        IFERROR(
            VLOOKUP($A80, INDIRECT("JulR!$A$6:$ZZ$1048576"), MATCH(Q$1, JulR!$6:$6, 0), FALSE),
            0
        ) +
        IFERROR(
            VLOOKUP($A80, INDIRECT("AgoR!$A$6:$ZZ$1048576"), MATCH(Q$1, AgoR!$6:$6, 0), FALSE),
            0
        ) +
        IFERROR(
            VLOOKUP($A80, INDIRECT("SepR!$A$6:$ZZ$1048576"), MATCH(Q$1, SepR!$6:$6, 0), FALSE),
            0
        ) +
        IFERROR(
            VLOOKUP($A80, INDIRECT("OctR!$A$6:$ZZ$1048576"), MATCH(Q$1, OctR!$6:$6, 0), FALSE),
            0
        ) +
        IFERROR(
            VLOOKUP($A80, INDIRECT("NovR!$A$6:$ZZ$1048576"), MATCH(Q$1, NovR!$6:$6, 0), FALSE),
            0
        ) +
        IFERROR(
            VLOOKUP($A80, INDIRECT("DicR!$A$6:$ZZ$1048576"), MATCH(Q$1, DicR!$6:$6, 0), FALSE),
            0
        )
)</f>
        <v>0</v>
      </c>
      <c r="R80" s="36">
        <f t="array" ref="R80">SUM(
    IFERROR(
            VLOOKUP($A80, INDIRECT("EneR!$A$6:$ZZ$1048576"), MATCH(R$1, EneR!$6:$6, 0), FALSE),
            0
        ) +
        IFERROR(
            VLOOKUP($A80, INDIRECT("FebR!$A$6:$ZZ$1048576"), MATCH(R$1, FebR!$6:$6, 0), FALSE),
            0
        ) +
        IFERROR(
            VLOOKUP($A80, INDIRECT("MarR!$A$6:$ZZ$1048576"), MATCH(R$1, MarR!$6:$6, 0), FALSE),
            0
        ) +
        IFERROR(
            VLOOKUP($A80, INDIRECT("AbrR!$A$6:$ZZ$1048576"), MATCH(R$1, AbrR!$6:$6, 0), FALSE),
            0
        ) +
        IFERROR(
            VLOOKUP($A80, INDIRECT("MayR!$A$6:$ZZ$1048576"), MATCH(R$1, MayR!$6:$6, 0), FALSE),
            0
        ) +
        IFERROR(
            VLOOKUP($A80, INDIRECT("JunR!$A$6:$ZZ$1048576"), MATCH(R$1, JunR!$6:$6, 0), FALSE),
            0
        ) +
        IFERROR(
            VLOOKUP($A80, INDIRECT("JulR!$A$6:$ZZ$1048576"), MATCH(R$1, JulR!$6:$6, 0), FALSE),
            0
        ) +
        IFERROR(
            VLOOKUP($A80, INDIRECT("AgoR!$A$6:$ZZ$1048576"), MATCH(R$1, AgoR!$6:$6, 0), FALSE),
            0
        ) +
        IFERROR(
            VLOOKUP($A80, INDIRECT("SepR!$A$6:$ZZ$1048576"), MATCH(R$1, SepR!$6:$6, 0), FALSE),
            0
        ) +
        IFERROR(
            VLOOKUP($A80, INDIRECT("OctR!$A$6:$ZZ$1048576"), MATCH(R$1, OctR!$6:$6, 0), FALSE),
            0
        ) +
        IFERROR(
            VLOOKUP($A80, INDIRECT("NovR!$A$6:$ZZ$1048576"), MATCH(R$1, NovR!$6:$6, 0), FALSE),
            0
        ) +
        IFERROR(
            VLOOKUP($A80, INDIRECT("DicR!$A$6:$ZZ$1048576"), MATCH(R$1, DicR!$6:$6, 0), FALSE),
            0
        )
)</f>
        <v>0</v>
      </c>
      <c r="S80" s="37">
        <f t="array" ref="S80">SUM(
    IFERROR(
            VLOOKUP($A80, INDIRECT("EneR!$A$6:$ZZ$1048576"), MATCH(S$1, EneR!$6:$6, 0), FALSE),
            0
        ) +
        IFERROR(
            VLOOKUP($A80, INDIRECT("FebR!$A$6:$ZZ$1048576"), MATCH(S$1, FebR!$6:$6, 0), FALSE),
            0
        ) +
        IFERROR(
            VLOOKUP($A80, INDIRECT("MarR!$A$6:$ZZ$1048576"), MATCH(S$1, MarR!$6:$6, 0), FALSE),
            0
        ) +
        IFERROR(
            VLOOKUP($A80, INDIRECT("AbrR!$A$6:$ZZ$1048576"), MATCH(S$1, AbrR!$6:$6, 0), FALSE),
            0
        ) +
        IFERROR(
            VLOOKUP($A80, INDIRECT("MayR!$A$6:$ZZ$1048576"), MATCH(S$1, MayR!$6:$6, 0), FALSE),
            0
        ) +
        IFERROR(
            VLOOKUP($A80, INDIRECT("JunR!$A$6:$ZZ$1048576"), MATCH(S$1, JunR!$6:$6, 0), FALSE),
            0
        ) +
        IFERROR(
            VLOOKUP($A80, INDIRECT("JulR!$A$6:$ZZ$1048576"), MATCH(S$1, JulR!$6:$6, 0), FALSE),
            0
        ) +
        IFERROR(
            VLOOKUP($A80, INDIRECT("AgoR!$A$6:$ZZ$1048576"), MATCH(S$1, AgoR!$6:$6, 0), FALSE),
            0
        ) +
        IFERROR(
            VLOOKUP($A80, INDIRECT("SepR!$A$6:$ZZ$1048576"), MATCH(S$1, SepR!$6:$6, 0), FALSE),
            0
        ) +
        IFERROR(
            VLOOKUP($A80, INDIRECT("OctR!$A$6:$ZZ$1048576"), MATCH(S$1, OctR!$6:$6, 0), FALSE),
            0
        ) +
        IFERROR(
            VLOOKUP($A80, INDIRECT("NovR!$A$6:$ZZ$1048576"), MATCH(S$1, NovR!$6:$6, 0), FALSE),
            0
        ) +
        IFERROR(
            VLOOKUP($A80, INDIRECT("DicR!$A$6:$ZZ$1048576"), MATCH(S$1, DicR!$6:$6, 0), FALSE),
            0
        )
)</f>
        <v>0</v>
      </c>
      <c r="T80" s="36">
        <f t="array" ref="T80">SUM(
    IFERROR(
            VLOOKUP($A80, INDIRECT("EneR!$A$6:$ZZ$1048576"), MATCH(T$1, EneR!$6:$6, 0), FALSE),
            0
        ) +
        IFERROR(
            VLOOKUP($A80, INDIRECT("FebR!$A$6:$ZZ$1048576"), MATCH(T$1, FebR!$6:$6, 0), FALSE),
            0
        ) +
        IFERROR(
            VLOOKUP($A80, INDIRECT("MarR!$A$6:$ZZ$1048576"), MATCH(T$1, MarR!$6:$6, 0), FALSE),
            0
        ) +
        IFERROR(
            VLOOKUP($A80, INDIRECT("AbrR!$A$6:$ZZ$1048576"), MATCH(T$1, AbrR!$6:$6, 0), FALSE),
            0
        ) +
        IFERROR(
            VLOOKUP($A80, INDIRECT("MayR!$A$6:$ZZ$1048576"), MATCH(T$1, MayR!$6:$6, 0), FALSE),
            0
        ) +
        IFERROR(
            VLOOKUP($A80, INDIRECT("JunR!$A$6:$ZZ$1048576"), MATCH(T$1, JunR!$6:$6, 0), FALSE),
            0
        ) +
        IFERROR(
            VLOOKUP($A80, INDIRECT("JulR!$A$6:$ZZ$1048576"), MATCH(T$1, JulR!$6:$6, 0), FALSE),
            0
        ) +
        IFERROR(
            VLOOKUP($A80, INDIRECT("AgoR!$A$6:$ZZ$1048576"), MATCH(T$1, AgoR!$6:$6, 0), FALSE),
            0
        ) +
        IFERROR(
            VLOOKUP($A80, INDIRECT("SepR!$A$6:$ZZ$1048576"), MATCH(T$1, SepR!$6:$6, 0), FALSE),
            0
        ) +
        IFERROR(
            VLOOKUP($A80, INDIRECT("OctR!$A$6:$ZZ$1048576"), MATCH(T$1, OctR!$6:$6, 0), FALSE),
            0
        ) +
        IFERROR(
            VLOOKUP($A80, INDIRECT("NovR!$A$6:$ZZ$1048576"), MATCH(T$1, NovR!$6:$6, 0), FALSE),
            0
        ) +
        IFERROR(
            VLOOKUP($A80, INDIRECT("DicR!$A$6:$ZZ$1048576"), MATCH(T$1, DicR!$6:$6, 0), FALSE),
            0
        )
)</f>
        <v>0</v>
      </c>
      <c r="U80" s="37">
        <f t="array" ref="U80">SUM(
    IFERROR(
            VLOOKUP($A80, INDIRECT("EneR!$A$6:$ZZ$1048576"), MATCH(U$1, EneR!$6:$6, 0), FALSE),
            0
        ) +
        IFERROR(
            VLOOKUP($A80, INDIRECT("FebR!$A$6:$ZZ$1048576"), MATCH(U$1, FebR!$6:$6, 0), FALSE),
            0
        ) +
        IFERROR(
            VLOOKUP($A80, INDIRECT("MarR!$A$6:$ZZ$1048576"), MATCH(U$1, MarR!$6:$6, 0), FALSE),
            0
        ) +
        IFERROR(
            VLOOKUP($A80, INDIRECT("AbrR!$A$6:$ZZ$1048576"), MATCH(U$1, AbrR!$6:$6, 0), FALSE),
            0
        ) +
        IFERROR(
            VLOOKUP($A80, INDIRECT("MayR!$A$6:$ZZ$1048576"), MATCH(U$1, MayR!$6:$6, 0), FALSE),
            0
        ) +
        IFERROR(
            VLOOKUP($A80, INDIRECT("JunR!$A$6:$ZZ$1048576"), MATCH(U$1, JunR!$6:$6, 0), FALSE),
            0
        ) +
        IFERROR(
            VLOOKUP($A80, INDIRECT("JulR!$A$6:$ZZ$1048576"), MATCH(U$1, JulR!$6:$6, 0), FALSE),
            0
        ) +
        IFERROR(
            VLOOKUP($A80, INDIRECT("AgoR!$A$6:$ZZ$1048576"), MATCH(U$1, AgoR!$6:$6, 0), FALSE),
            0
        ) +
        IFERROR(
            VLOOKUP($A80, INDIRECT("SepR!$A$6:$ZZ$1048576"), MATCH(U$1, SepR!$6:$6, 0), FALSE),
            0
        ) +
        IFERROR(
            VLOOKUP($A80, INDIRECT("OctR!$A$6:$ZZ$1048576"), MATCH(U$1, OctR!$6:$6, 0), FALSE),
            0
        ) +
        IFERROR(
            VLOOKUP($A80, INDIRECT("NovR!$A$6:$ZZ$1048576"), MATCH(U$1, NovR!$6:$6, 0), FALSE),
            0
        ) +
        IFERROR(
            VLOOKUP($A80, INDIRECT("DicR!$A$6:$ZZ$1048576"), MATCH(U$1, DicR!$6:$6, 0), FALSE),
            0
        )
)</f>
        <v>0</v>
      </c>
      <c r="V80" s="36">
        <f t="array" ref="V80">SUM(
    IFERROR(
            VLOOKUP($A80, INDIRECT("EneR!$A$6:$ZZ$1048576"), MATCH(V$1, EneR!$6:$6, 0), FALSE),
            0
        ) +
        IFERROR(
            VLOOKUP($A80, INDIRECT("FebR!$A$6:$ZZ$1048576"), MATCH(V$1, FebR!$6:$6, 0), FALSE),
            0
        ) +
        IFERROR(
            VLOOKUP($A80, INDIRECT("MarR!$A$6:$ZZ$1048576"), MATCH(V$1, MarR!$6:$6, 0), FALSE),
            0
        ) +
        IFERROR(
            VLOOKUP($A80, INDIRECT("AbrR!$A$6:$ZZ$1048576"), MATCH(V$1, AbrR!$6:$6, 0), FALSE),
            0
        ) +
        IFERROR(
            VLOOKUP($A80, INDIRECT("MayR!$A$6:$ZZ$1048576"), MATCH(V$1, MayR!$6:$6, 0), FALSE),
            0
        ) +
        IFERROR(
            VLOOKUP($A80, INDIRECT("JunR!$A$6:$ZZ$1048576"), MATCH(V$1, JunR!$6:$6, 0), FALSE),
            0
        ) +
        IFERROR(
            VLOOKUP($A80, INDIRECT("JulR!$A$6:$ZZ$1048576"), MATCH(V$1, JulR!$6:$6, 0), FALSE),
            0
        ) +
        IFERROR(
            VLOOKUP($A80, INDIRECT("AgoR!$A$6:$ZZ$1048576"), MATCH(V$1, AgoR!$6:$6, 0), FALSE),
            0
        ) +
        IFERROR(
            VLOOKUP($A80, INDIRECT("SepR!$A$6:$ZZ$1048576"), MATCH(V$1, SepR!$6:$6, 0), FALSE),
            0
        ) +
        IFERROR(
            VLOOKUP($A80, INDIRECT("OctR!$A$6:$ZZ$1048576"), MATCH(V$1, OctR!$6:$6, 0), FALSE),
            0
        ) +
        IFERROR(
            VLOOKUP($A80, INDIRECT("NovR!$A$6:$ZZ$1048576"), MATCH(V$1, NovR!$6:$6, 0), FALSE),
            0
        ) +
        IFERROR(
            VLOOKUP($A80, INDIRECT("DicR!$A$6:$ZZ$1048576"), MATCH(V$1, DicR!$6:$6, 0), FALSE),
            0
        )
)</f>
        <v>0</v>
      </c>
      <c r="W80" s="37">
        <f t="array" ref="W80">SUM(
    IFERROR(
            VLOOKUP($A80, INDIRECT("EneR!$A$6:$ZZ$1048576"), MATCH(W$1, EneR!$6:$6, 0), FALSE),
            0
        ) +
        IFERROR(
            VLOOKUP($A80, INDIRECT("FebR!$A$6:$ZZ$1048576"), MATCH(W$1, FebR!$6:$6, 0), FALSE),
            0
        ) +
        IFERROR(
            VLOOKUP($A80, INDIRECT("MarR!$A$6:$ZZ$1048576"), MATCH(W$1, MarR!$6:$6, 0), FALSE),
            0
        ) +
        IFERROR(
            VLOOKUP($A80, INDIRECT("AbrR!$A$6:$ZZ$1048576"), MATCH(W$1, AbrR!$6:$6, 0), FALSE),
            0
        ) +
        IFERROR(
            VLOOKUP($A80, INDIRECT("MayR!$A$6:$ZZ$1048576"), MATCH(W$1, MayR!$6:$6, 0), FALSE),
            0
        ) +
        IFERROR(
            VLOOKUP($A80, INDIRECT("JunR!$A$6:$ZZ$1048576"), MATCH(W$1, JunR!$6:$6, 0), FALSE),
            0
        ) +
        IFERROR(
            VLOOKUP($A80, INDIRECT("JulR!$A$6:$ZZ$1048576"), MATCH(W$1, JulR!$6:$6, 0), FALSE),
            0
        ) +
        IFERROR(
            VLOOKUP($A80, INDIRECT("AgoR!$A$6:$ZZ$1048576"), MATCH(W$1, AgoR!$6:$6, 0), FALSE),
            0
        ) +
        IFERROR(
            VLOOKUP($A80, INDIRECT("SepR!$A$6:$ZZ$1048576"), MATCH(W$1, SepR!$6:$6, 0), FALSE),
            0
        ) +
        IFERROR(
            VLOOKUP($A80, INDIRECT("OctR!$A$6:$ZZ$1048576"), MATCH(W$1, OctR!$6:$6, 0), FALSE),
            0
        ) +
        IFERROR(
            VLOOKUP($A80, INDIRECT("NovR!$A$6:$ZZ$1048576"), MATCH(W$1, NovR!$6:$6, 0), FALSE),
            0
        ) +
        IFERROR(
            VLOOKUP($A80, INDIRECT("DicR!$A$6:$ZZ$1048576"), MATCH(W$1, DicR!$6:$6, 0), FALSE),
            0
        )
)</f>
        <v>0</v>
      </c>
      <c r="X80" s="36">
        <f t="array" ref="X80">SUM(
    IFERROR(
            VLOOKUP($A80, INDIRECT("EneR!$A$6:$ZZ$1048576"), MATCH(X$1, EneR!$6:$6, 0), FALSE),
            0
        ) +
        IFERROR(
            VLOOKUP($A80, INDIRECT("FebR!$A$6:$ZZ$1048576"), MATCH(X$1, FebR!$6:$6, 0), FALSE),
            0
        ) +
        IFERROR(
            VLOOKUP($A80, INDIRECT("MarR!$A$6:$ZZ$1048576"), MATCH(X$1, MarR!$6:$6, 0), FALSE),
            0
        ) +
        IFERROR(
            VLOOKUP($A80, INDIRECT("AbrR!$A$6:$ZZ$1048576"), MATCH(X$1, AbrR!$6:$6, 0), FALSE),
            0
        ) +
        IFERROR(
            VLOOKUP($A80, INDIRECT("MayR!$A$6:$ZZ$1048576"), MATCH(X$1, MayR!$6:$6, 0), FALSE),
            0
        ) +
        IFERROR(
            VLOOKUP($A80, INDIRECT("JunR!$A$6:$ZZ$1048576"), MATCH(X$1, JunR!$6:$6, 0), FALSE),
            0
        ) +
        IFERROR(
            VLOOKUP($A80, INDIRECT("JulR!$A$6:$ZZ$1048576"), MATCH(X$1, JulR!$6:$6, 0), FALSE),
            0
        ) +
        IFERROR(
            VLOOKUP($A80, INDIRECT("AgoR!$A$6:$ZZ$1048576"), MATCH(X$1, AgoR!$6:$6, 0), FALSE),
            0
        ) +
        IFERROR(
            VLOOKUP($A80, INDIRECT("SepR!$A$6:$ZZ$1048576"), MATCH(X$1, SepR!$6:$6, 0), FALSE),
            0
        ) +
        IFERROR(
            VLOOKUP($A80, INDIRECT("OctR!$A$6:$ZZ$1048576"), MATCH(X$1, OctR!$6:$6, 0), FALSE),
            0
        ) +
        IFERROR(
            VLOOKUP($A80, INDIRECT("NovR!$A$6:$ZZ$1048576"), MATCH(X$1, NovR!$6:$6, 0), FALSE),
            0
        ) +
        IFERROR(
            VLOOKUP($A80, INDIRECT("DicR!$A$6:$ZZ$1048576"), MATCH(X$1, DicR!$6:$6, 0), FALSE),
            0
        )
)</f>
        <v>0</v>
      </c>
      <c r="Y80" s="37">
        <f t="array" ref="Y80">SUM(
    IFERROR(
            VLOOKUP($A80, INDIRECT("EneR!$A$6:$ZZ$1048576"), MATCH(Y$1, EneR!$6:$6, 0), FALSE),
            0
        ) +
        IFERROR(
            VLOOKUP($A80, INDIRECT("FebR!$A$6:$ZZ$1048576"), MATCH(Y$1, FebR!$6:$6, 0), FALSE),
            0
        ) +
        IFERROR(
            VLOOKUP($A80, INDIRECT("MarR!$A$6:$ZZ$1048576"), MATCH(Y$1, MarR!$6:$6, 0), FALSE),
            0
        ) +
        IFERROR(
            VLOOKUP($A80, INDIRECT("AbrR!$A$6:$ZZ$1048576"), MATCH(Y$1, AbrR!$6:$6, 0), FALSE),
            0
        ) +
        IFERROR(
            VLOOKUP($A80, INDIRECT("MayR!$A$6:$ZZ$1048576"), MATCH(Y$1, MayR!$6:$6, 0), FALSE),
            0
        ) +
        IFERROR(
            VLOOKUP($A80, INDIRECT("JunR!$A$6:$ZZ$1048576"), MATCH(Y$1, JunR!$6:$6, 0), FALSE),
            0
        ) +
        IFERROR(
            VLOOKUP($A80, INDIRECT("JulR!$A$6:$ZZ$1048576"), MATCH(Y$1, JulR!$6:$6, 0), FALSE),
            0
        ) +
        IFERROR(
            VLOOKUP($A80, INDIRECT("AgoR!$A$6:$ZZ$1048576"), MATCH(Y$1, AgoR!$6:$6, 0), FALSE),
            0
        ) +
        IFERROR(
            VLOOKUP($A80, INDIRECT("SepR!$A$6:$ZZ$1048576"), MATCH(Y$1, SepR!$6:$6, 0), FALSE),
            0
        ) +
        IFERROR(
            VLOOKUP($A80, INDIRECT("OctR!$A$6:$ZZ$1048576"), MATCH(Y$1, OctR!$6:$6, 0), FALSE),
            0
        ) +
        IFERROR(
            VLOOKUP($A80, INDIRECT("NovR!$A$6:$ZZ$1048576"), MATCH(Y$1, NovR!$6:$6, 0), FALSE),
            0
        ) +
        IFERROR(
            VLOOKUP($A80, INDIRECT("DicR!$A$6:$ZZ$1048576"), MATCH(Y$1, DicR!$6:$6, 0), FALSE),
            0
        )
)</f>
        <v>0</v>
      </c>
      <c r="Z80" s="36">
        <f t="array" ref="Z80">SUM(
    IFERROR(
            VLOOKUP($A80, INDIRECT("EneR!$A$6:$ZZ$1048576"), MATCH(Z$1, EneR!$6:$6, 0), FALSE),
            0
        ) +
        IFERROR(
            VLOOKUP($A80, INDIRECT("FebR!$A$6:$ZZ$1048576"), MATCH(Z$1, FebR!$6:$6, 0), FALSE),
            0
        ) +
        IFERROR(
            VLOOKUP($A80, INDIRECT("MarR!$A$6:$ZZ$1048576"), MATCH(Z$1, MarR!$6:$6, 0), FALSE),
            0
        ) +
        IFERROR(
            VLOOKUP($A80, INDIRECT("AbrR!$A$6:$ZZ$1048576"), MATCH(Z$1, AbrR!$6:$6, 0), FALSE),
            0
        ) +
        IFERROR(
            VLOOKUP($A80, INDIRECT("MayR!$A$6:$ZZ$1048576"), MATCH(Z$1, MayR!$6:$6, 0), FALSE),
            0
        ) +
        IFERROR(
            VLOOKUP($A80, INDIRECT("JunR!$A$6:$ZZ$1048576"), MATCH(Z$1, JunR!$6:$6, 0), FALSE),
            0
        ) +
        IFERROR(
            VLOOKUP($A80, INDIRECT("JulR!$A$6:$ZZ$1048576"), MATCH(Z$1, JulR!$6:$6, 0), FALSE),
            0
        ) +
        IFERROR(
            VLOOKUP($A80, INDIRECT("AgoR!$A$6:$ZZ$1048576"), MATCH(Z$1, AgoR!$6:$6, 0), FALSE),
            0
        ) +
        IFERROR(
            VLOOKUP($A80, INDIRECT("SepR!$A$6:$ZZ$1048576"), MATCH(Z$1, SepR!$6:$6, 0), FALSE),
            0
        ) +
        IFERROR(
            VLOOKUP($A80, INDIRECT("OctR!$A$6:$ZZ$1048576"), MATCH(Z$1, OctR!$6:$6, 0), FALSE),
            0
        ) +
        IFERROR(
            VLOOKUP($A80, INDIRECT("NovR!$A$6:$ZZ$1048576"), MATCH(Z$1, NovR!$6:$6, 0), FALSE),
            0
        ) +
        IFERROR(
            VLOOKUP($A80, INDIRECT("DicR!$A$6:$ZZ$1048576"), MATCH(Z$1, DicR!$6:$6, 0), FALSE),
            0
        )
)</f>
        <v>0</v>
      </c>
      <c r="AA80" s="37">
        <f t="array" ref="AA80">SUM(
    IFERROR(
            VLOOKUP($A80, INDIRECT("EneR!$A$6:$ZZ$1048576"), MATCH(AA$1, EneR!$6:$6, 0), FALSE),
            0
        ) +
        IFERROR(
            VLOOKUP($A80, INDIRECT("FebR!$A$6:$ZZ$1048576"), MATCH(AA$1, FebR!$6:$6, 0), FALSE),
            0
        ) +
        IFERROR(
            VLOOKUP($A80, INDIRECT("MarR!$A$6:$ZZ$1048576"), MATCH(AA$1, MarR!$6:$6, 0), FALSE),
            0
        ) +
        IFERROR(
            VLOOKUP($A80, INDIRECT("AbrR!$A$6:$ZZ$1048576"), MATCH(AA$1, AbrR!$6:$6, 0), FALSE),
            0
        ) +
        IFERROR(
            VLOOKUP($A80, INDIRECT("MayR!$A$6:$ZZ$1048576"), MATCH(AA$1, MayR!$6:$6, 0), FALSE),
            0
        ) +
        IFERROR(
            VLOOKUP($A80, INDIRECT("JunR!$A$6:$ZZ$1048576"), MATCH(AA$1, JunR!$6:$6, 0), FALSE),
            0
        ) +
        IFERROR(
            VLOOKUP($A80, INDIRECT("JulR!$A$6:$ZZ$1048576"), MATCH(AA$1, JulR!$6:$6, 0), FALSE),
            0
        ) +
        IFERROR(
            VLOOKUP($A80, INDIRECT("AgoR!$A$6:$ZZ$1048576"), MATCH(AA$1, AgoR!$6:$6, 0), FALSE),
            0
        ) +
        IFERROR(
            VLOOKUP($A80, INDIRECT("SepR!$A$6:$ZZ$1048576"), MATCH(AA$1, SepR!$6:$6, 0), FALSE),
            0
        ) +
        IFERROR(
            VLOOKUP($A80, INDIRECT("OctR!$A$6:$ZZ$1048576"), MATCH(AA$1, OctR!$6:$6, 0), FALSE),
            0
        ) +
        IFERROR(
            VLOOKUP($A80, INDIRECT("NovR!$A$6:$ZZ$1048576"), MATCH(AA$1, NovR!$6:$6, 0), FALSE),
            0
        ) +
        IFERROR(
            VLOOKUP($A80, INDIRECT("DicR!$A$6:$ZZ$1048576"), MATCH(AA$1, DicR!$6:$6, 0), FALSE),
            0
        )
)</f>
        <v>0</v>
      </c>
      <c r="AB80" s="36">
        <f t="array" ref="AB80">SUM(
    IFERROR(
            VLOOKUP($A80, INDIRECT("EneR!$A$6:$ZZ$1048576"), MATCH(AB$1, EneR!$6:$6, 0), FALSE),
            0
        ) +
        IFERROR(
            VLOOKUP($A80, INDIRECT("FebR!$A$6:$ZZ$1048576"), MATCH(AB$1, FebR!$6:$6, 0), FALSE),
            0
        ) +
        IFERROR(
            VLOOKUP($A80, INDIRECT("MarR!$A$6:$ZZ$1048576"), MATCH(AB$1, MarR!$6:$6, 0), FALSE),
            0
        ) +
        IFERROR(
            VLOOKUP($A80, INDIRECT("AbrR!$A$6:$ZZ$1048576"), MATCH(AB$1, AbrR!$6:$6, 0), FALSE),
            0
        ) +
        IFERROR(
            VLOOKUP($A80, INDIRECT("MayR!$A$6:$ZZ$1048576"), MATCH(AB$1, MayR!$6:$6, 0), FALSE),
            0
        ) +
        IFERROR(
            VLOOKUP($A80, INDIRECT("JunR!$A$6:$ZZ$1048576"), MATCH(AB$1, JunR!$6:$6, 0), FALSE),
            0
        ) +
        IFERROR(
            VLOOKUP($A80, INDIRECT("JulR!$A$6:$ZZ$1048576"), MATCH(AB$1, JulR!$6:$6, 0), FALSE),
            0
        ) +
        IFERROR(
            VLOOKUP($A80, INDIRECT("AgoR!$A$6:$ZZ$1048576"), MATCH(AB$1, AgoR!$6:$6, 0), FALSE),
            0
        ) +
        IFERROR(
            VLOOKUP($A80, INDIRECT("SepR!$A$6:$ZZ$1048576"), MATCH(AB$1, SepR!$6:$6, 0), FALSE),
            0
        ) +
        IFERROR(
            VLOOKUP($A80, INDIRECT("OctR!$A$6:$ZZ$1048576"), MATCH(AB$1, OctR!$6:$6, 0), FALSE),
            0
        ) +
        IFERROR(
            VLOOKUP($A80, INDIRECT("NovR!$A$6:$ZZ$1048576"), MATCH(AB$1, NovR!$6:$6, 0), FALSE),
            0
        ) +
        IFERROR(
            VLOOKUP($A80, INDIRECT("DicR!$A$6:$ZZ$1048576"), MATCH(AB$1, DicR!$6:$6, 0), FALSE),
            0
        )
)</f>
        <v>0</v>
      </c>
      <c r="AC80" s="37">
        <f t="array" ref="AC80">SUM(
    IFERROR(
            VLOOKUP($A80, INDIRECT("EneR!$A$6:$ZZ$1048576"), MATCH(AC$1, EneR!$6:$6, 0), FALSE),
            0
        ) +
        IFERROR(
            VLOOKUP($A80, INDIRECT("FebR!$A$6:$ZZ$1048576"), MATCH(AC$1, FebR!$6:$6, 0), FALSE),
            0
        ) +
        IFERROR(
            VLOOKUP($A80, INDIRECT("MarR!$A$6:$ZZ$1048576"), MATCH(AC$1, MarR!$6:$6, 0), FALSE),
            0
        ) +
        IFERROR(
            VLOOKUP($A80, INDIRECT("AbrR!$A$6:$ZZ$1048576"), MATCH(AC$1, AbrR!$6:$6, 0), FALSE),
            0
        ) +
        IFERROR(
            VLOOKUP($A80, INDIRECT("MayR!$A$6:$ZZ$1048576"), MATCH(AC$1, MayR!$6:$6, 0), FALSE),
            0
        ) +
        IFERROR(
            VLOOKUP($A80, INDIRECT("JunR!$A$6:$ZZ$1048576"), MATCH(AC$1, JunR!$6:$6, 0), FALSE),
            0
        ) +
        IFERROR(
            VLOOKUP($A80, INDIRECT("JulR!$A$6:$ZZ$1048576"), MATCH(AC$1, JulR!$6:$6, 0), FALSE),
            0
        ) +
        IFERROR(
            VLOOKUP($A80, INDIRECT("AgoR!$A$6:$ZZ$1048576"), MATCH(AC$1, AgoR!$6:$6, 0), FALSE),
            0
        ) +
        IFERROR(
            VLOOKUP($A80, INDIRECT("SepR!$A$6:$ZZ$1048576"), MATCH(AC$1, SepR!$6:$6, 0), FALSE),
            0
        ) +
        IFERROR(
            VLOOKUP($A80, INDIRECT("OctR!$A$6:$ZZ$1048576"), MATCH(AC$1, OctR!$6:$6, 0), FALSE),
            0
        ) +
        IFERROR(
            VLOOKUP($A80, INDIRECT("NovR!$A$6:$ZZ$1048576"), MATCH(AC$1, NovR!$6:$6, 0), FALSE),
            0
        ) +
        IFERROR(
            VLOOKUP($A80, INDIRECT("DicR!$A$6:$ZZ$1048576"), MATCH(AC$1, DicR!$6:$6, 0), FALSE),
            0
        )
)</f>
        <v>0</v>
      </c>
      <c r="AD80" s="36">
        <f t="array" ref="AD80">SUM(
    IFERROR(
            VLOOKUP($A80, INDIRECT("EneR!$A$6:$ZZ$1048576"), MATCH(AD$1, EneR!$6:$6, 0), FALSE),
            0
        ) +
        IFERROR(
            VLOOKUP($A80, INDIRECT("FebR!$A$6:$ZZ$1048576"), MATCH(AD$1, FebR!$6:$6, 0), FALSE),
            0
        ) +
        IFERROR(
            VLOOKUP($A80, INDIRECT("MarR!$A$6:$ZZ$1048576"), MATCH(AD$1, MarR!$6:$6, 0), FALSE),
            0
        ) +
        IFERROR(
            VLOOKUP($A80, INDIRECT("AbrR!$A$6:$ZZ$1048576"), MATCH(AD$1, AbrR!$6:$6, 0), FALSE),
            0
        ) +
        IFERROR(
            VLOOKUP($A80, INDIRECT("MayR!$A$6:$ZZ$1048576"), MATCH(AD$1, MayR!$6:$6, 0), FALSE),
            0
        ) +
        IFERROR(
            VLOOKUP($A80, INDIRECT("JunR!$A$6:$ZZ$1048576"), MATCH(AD$1, JunR!$6:$6, 0), FALSE),
            0
        ) +
        IFERROR(
            VLOOKUP($A80, INDIRECT("JulR!$A$6:$ZZ$1048576"), MATCH(AD$1, JulR!$6:$6, 0), FALSE),
            0
        ) +
        IFERROR(
            VLOOKUP($A80, INDIRECT("AgoR!$A$6:$ZZ$1048576"), MATCH(AD$1, AgoR!$6:$6, 0), FALSE),
            0
        ) +
        IFERROR(
            VLOOKUP($A80, INDIRECT("SepR!$A$6:$ZZ$1048576"), MATCH(AD$1, SepR!$6:$6, 0), FALSE),
            0
        ) +
        IFERROR(
            VLOOKUP($A80, INDIRECT("OctR!$A$6:$ZZ$1048576"), MATCH(AD$1, OctR!$6:$6, 0), FALSE),
            0
        ) +
        IFERROR(
            VLOOKUP($A80, INDIRECT("NovR!$A$6:$ZZ$1048576"), MATCH(AD$1, NovR!$6:$6, 0), FALSE),
            0
        ) +
        IFERROR(
            VLOOKUP($A80, INDIRECT("DicR!$A$6:$ZZ$1048576"), MATCH(AD$1, DicR!$6:$6, 0), FALSE),
            0
        )
)</f>
        <v>0</v>
      </c>
      <c r="AE80" s="37">
        <f t="array" ref="AE80">SUM(
    IFERROR(
            VLOOKUP($A80, INDIRECT("EneR!$A$6:$ZZ$1048576"), MATCH(AE$1, EneR!$6:$6, 0), FALSE),
            0
        ) +
        IFERROR(
            VLOOKUP($A80, INDIRECT("FebR!$A$6:$ZZ$1048576"), MATCH(AE$1, FebR!$6:$6, 0), FALSE),
            0
        ) +
        IFERROR(
            VLOOKUP($A80, INDIRECT("MarR!$A$6:$ZZ$1048576"), MATCH(AE$1, MarR!$6:$6, 0), FALSE),
            0
        ) +
        IFERROR(
            VLOOKUP($A80, INDIRECT("AbrR!$A$6:$ZZ$1048576"), MATCH(AE$1, AbrR!$6:$6, 0), FALSE),
            0
        ) +
        IFERROR(
            VLOOKUP($A80, INDIRECT("MayR!$A$6:$ZZ$1048576"), MATCH(AE$1, MayR!$6:$6, 0), FALSE),
            0
        ) +
        IFERROR(
            VLOOKUP($A80, INDIRECT("JunR!$A$6:$ZZ$1048576"), MATCH(AE$1, JunR!$6:$6, 0), FALSE),
            0
        ) +
        IFERROR(
            VLOOKUP($A80, INDIRECT("JulR!$A$6:$ZZ$1048576"), MATCH(AE$1, JulR!$6:$6, 0), FALSE),
            0
        ) +
        IFERROR(
            VLOOKUP($A80, INDIRECT("AgoR!$A$6:$ZZ$1048576"), MATCH(AE$1, AgoR!$6:$6, 0), FALSE),
            0
        ) +
        IFERROR(
            VLOOKUP($A80, INDIRECT("SepR!$A$6:$ZZ$1048576"), MATCH(AE$1, SepR!$6:$6, 0), FALSE),
            0
        ) +
        IFERROR(
            VLOOKUP($A80, INDIRECT("OctR!$A$6:$ZZ$1048576"), MATCH(AE$1, OctR!$6:$6, 0), FALSE),
            0
        ) +
        IFERROR(
            VLOOKUP($A80, INDIRECT("NovR!$A$6:$ZZ$1048576"), MATCH(AE$1, NovR!$6:$6, 0), FALSE),
            0
        ) +
        IFERROR(
            VLOOKUP($A80, INDIRECT("DicR!$A$6:$ZZ$1048576"), MATCH(AE$1, DicR!$6:$6, 0), FALSE),
            0
        )
)</f>
        <v>0</v>
      </c>
      <c r="AF80" s="36">
        <f t="array" ref="AF80">SUM(
    IFERROR(
            VLOOKUP($A80, INDIRECT("EneR!$A$6:$ZZ$1048576"), MATCH(AF$1, EneR!$6:$6, 0), FALSE),
            0
        ) +
        IFERROR(
            VLOOKUP($A80, INDIRECT("FebR!$A$6:$ZZ$1048576"), MATCH(AF$1, FebR!$6:$6, 0), FALSE),
            0
        ) +
        IFERROR(
            VLOOKUP($A80, INDIRECT("MarR!$A$6:$ZZ$1048576"), MATCH(AF$1, MarR!$6:$6, 0), FALSE),
            0
        ) +
        IFERROR(
            VLOOKUP($A80, INDIRECT("AbrR!$A$6:$ZZ$1048576"), MATCH(AF$1, AbrR!$6:$6, 0), FALSE),
            0
        ) +
        IFERROR(
            VLOOKUP($A80, INDIRECT("MayR!$A$6:$ZZ$1048576"), MATCH(AF$1, MayR!$6:$6, 0), FALSE),
            0
        ) +
        IFERROR(
            VLOOKUP($A80, INDIRECT("JunR!$A$6:$ZZ$1048576"), MATCH(AF$1, JunR!$6:$6, 0), FALSE),
            0
        ) +
        IFERROR(
            VLOOKUP($A80, INDIRECT("JulR!$A$6:$ZZ$1048576"), MATCH(AF$1, JulR!$6:$6, 0), FALSE),
            0
        ) +
        IFERROR(
            VLOOKUP($A80, INDIRECT("AgoR!$A$6:$ZZ$1048576"), MATCH(AF$1, AgoR!$6:$6, 0), FALSE),
            0
        ) +
        IFERROR(
            VLOOKUP($A80, INDIRECT("SepR!$A$6:$ZZ$1048576"), MATCH(AF$1, SepR!$6:$6, 0), FALSE),
            0
        ) +
        IFERROR(
            VLOOKUP($A80, INDIRECT("OctR!$A$6:$ZZ$1048576"), MATCH(AF$1, OctR!$6:$6, 0), FALSE),
            0
        ) +
        IFERROR(
            VLOOKUP($A80, INDIRECT("NovR!$A$6:$ZZ$1048576"), MATCH(AF$1, NovR!$6:$6, 0), FALSE),
            0
        ) +
        IFERROR(
            VLOOKUP($A80, INDIRECT("DicR!$A$6:$ZZ$1048576"), MATCH(AF$1, DicR!$6:$6, 0), FALSE),
            0
        )
)</f>
        <v>0</v>
      </c>
      <c r="AG80" s="37">
        <f t="array" ref="AG80">SUM(
    IFERROR(
            VLOOKUP($A80, INDIRECT("EneR!$A$6:$ZZ$1048576"), MATCH(AG$1, EneR!$6:$6, 0), FALSE),
            0
        ) +
        IFERROR(
            VLOOKUP($A80, INDIRECT("FebR!$A$6:$ZZ$1048576"), MATCH(AG$1, FebR!$6:$6, 0), FALSE),
            0
        ) +
        IFERROR(
            VLOOKUP($A80, INDIRECT("MarR!$A$6:$ZZ$1048576"), MATCH(AG$1, MarR!$6:$6, 0), FALSE),
            0
        ) +
        IFERROR(
            VLOOKUP($A80, INDIRECT("AbrR!$A$6:$ZZ$1048576"), MATCH(AG$1, AbrR!$6:$6, 0), FALSE),
            0
        ) +
        IFERROR(
            VLOOKUP($A80, INDIRECT("MayR!$A$6:$ZZ$1048576"), MATCH(AG$1, MayR!$6:$6, 0), FALSE),
            0
        ) +
        IFERROR(
            VLOOKUP($A80, INDIRECT("JunR!$A$6:$ZZ$1048576"), MATCH(AG$1, JunR!$6:$6, 0), FALSE),
            0
        ) +
        IFERROR(
            VLOOKUP($A80, INDIRECT("JulR!$A$6:$ZZ$1048576"), MATCH(AG$1, JulR!$6:$6, 0), FALSE),
            0
        ) +
        IFERROR(
            VLOOKUP($A80, INDIRECT("AgoR!$A$6:$ZZ$1048576"), MATCH(AG$1, AgoR!$6:$6, 0), FALSE),
            0
        ) +
        IFERROR(
            VLOOKUP($A80, INDIRECT("SepR!$A$6:$ZZ$1048576"), MATCH(AG$1, SepR!$6:$6, 0), FALSE),
            0
        ) +
        IFERROR(
            VLOOKUP($A80, INDIRECT("OctR!$A$6:$ZZ$1048576"), MATCH(AG$1, OctR!$6:$6, 0), FALSE),
            0
        ) +
        IFERROR(
            VLOOKUP($A80, INDIRECT("NovR!$A$6:$ZZ$1048576"), MATCH(AG$1, NovR!$6:$6, 0), FALSE),
            0
        ) +
        IFERROR(
            VLOOKUP($A80, INDIRECT("DicR!$A$6:$ZZ$1048576"), MATCH(AG$1, DicR!$6:$6, 0), FALSE),
            0
        )
)</f>
        <v>0</v>
      </c>
      <c r="AH80" s="36">
        <f t="array" ref="AH80">SUM(
    IFERROR(
            VLOOKUP($A80, INDIRECT("EneR!$A$6:$ZZ$1048576"), MATCH(AH$1, EneR!$6:$6, 0), FALSE),
            0
        ) +
        IFERROR(
            VLOOKUP($A80, INDIRECT("FebR!$A$6:$ZZ$1048576"), MATCH(AH$1, FebR!$6:$6, 0), FALSE),
            0
        ) +
        IFERROR(
            VLOOKUP($A80, INDIRECT("MarR!$A$6:$ZZ$1048576"), MATCH(AH$1, MarR!$6:$6, 0), FALSE),
            0
        ) +
        IFERROR(
            VLOOKUP($A80, INDIRECT("AbrR!$A$6:$ZZ$1048576"), MATCH(AH$1, AbrR!$6:$6, 0), FALSE),
            0
        ) +
        IFERROR(
            VLOOKUP($A80, INDIRECT("MayR!$A$6:$ZZ$1048576"), MATCH(AH$1, MayR!$6:$6, 0), FALSE),
            0
        ) +
        IFERROR(
            VLOOKUP($A80, INDIRECT("JunR!$A$6:$ZZ$1048576"), MATCH(AH$1, JunR!$6:$6, 0), FALSE),
            0
        ) +
        IFERROR(
            VLOOKUP($A80, INDIRECT("JulR!$A$6:$ZZ$1048576"), MATCH(AH$1, JulR!$6:$6, 0), FALSE),
            0
        ) +
        IFERROR(
            VLOOKUP($A80, INDIRECT("AgoR!$A$6:$ZZ$1048576"), MATCH(AH$1, AgoR!$6:$6, 0), FALSE),
            0
        ) +
        IFERROR(
            VLOOKUP($A80, INDIRECT("SepR!$A$6:$ZZ$1048576"), MATCH(AH$1, SepR!$6:$6, 0), FALSE),
            0
        ) +
        IFERROR(
            VLOOKUP($A80, INDIRECT("OctR!$A$6:$ZZ$1048576"), MATCH(AH$1, OctR!$6:$6, 0), FALSE),
            0
        ) +
        IFERROR(
            VLOOKUP($A80, INDIRECT("NovR!$A$6:$ZZ$1048576"), MATCH(AH$1, NovR!$6:$6, 0), FALSE),
            0
        ) +
        IFERROR(
            VLOOKUP($A80, INDIRECT("DicR!$A$6:$ZZ$1048576"), MATCH(AH$1, DicR!$6:$6, 0), FALSE),
            0
        )
)</f>
        <v>0</v>
      </c>
      <c r="AI80" s="37">
        <f t="array" ref="AI80">SUM(
    IFERROR(
            VLOOKUP($A80, INDIRECT("EneR!$A$6:$ZZ$1048576"), MATCH(AI$1, EneR!$6:$6, 0), FALSE),
            0
        ) +
        IFERROR(
            VLOOKUP($A80, INDIRECT("FebR!$A$6:$ZZ$1048576"), MATCH(AI$1, FebR!$6:$6, 0), FALSE),
            0
        ) +
        IFERROR(
            VLOOKUP($A80, INDIRECT("MarR!$A$6:$ZZ$1048576"), MATCH(AI$1, MarR!$6:$6, 0), FALSE),
            0
        ) +
        IFERROR(
            VLOOKUP($A80, INDIRECT("AbrR!$A$6:$ZZ$1048576"), MATCH(AI$1, AbrR!$6:$6, 0), FALSE),
            0
        ) +
        IFERROR(
            VLOOKUP($A80, INDIRECT("MayR!$A$6:$ZZ$1048576"), MATCH(AI$1, MayR!$6:$6, 0), FALSE),
            0
        ) +
        IFERROR(
            VLOOKUP($A80, INDIRECT("JunR!$A$6:$ZZ$1048576"), MATCH(AI$1, JunR!$6:$6, 0), FALSE),
            0
        ) +
        IFERROR(
            VLOOKUP($A80, INDIRECT("JulR!$A$6:$ZZ$1048576"), MATCH(AI$1, JulR!$6:$6, 0), FALSE),
            0
        ) +
        IFERROR(
            VLOOKUP($A80, INDIRECT("AgoR!$A$6:$ZZ$1048576"), MATCH(AI$1, AgoR!$6:$6, 0), FALSE),
            0
        ) +
        IFERROR(
            VLOOKUP($A80, INDIRECT("SepR!$A$6:$ZZ$1048576"), MATCH(AI$1, SepR!$6:$6, 0), FALSE),
            0
        ) +
        IFERROR(
            VLOOKUP($A80, INDIRECT("OctR!$A$6:$ZZ$1048576"), MATCH(AI$1, OctR!$6:$6, 0), FALSE),
            0
        ) +
        IFERROR(
            VLOOKUP($A80, INDIRECT("NovR!$A$6:$ZZ$1048576"), MATCH(AI$1, NovR!$6:$6, 0), FALSE),
            0
        ) +
        IFERROR(
            VLOOKUP($A80, INDIRECT("DicR!$A$6:$ZZ$1048576"), MATCH(AI$1, DicR!$6:$6, 0), FALSE),
            0
        )
)</f>
        <v>0</v>
      </c>
      <c r="AJ80" s="36">
        <f t="array" ref="AJ80">SUM(
    IFERROR(
            VLOOKUP($A80, INDIRECT("EneR!$A$6:$ZZ$1048576"), MATCH(AJ$1, EneR!$6:$6, 0), FALSE),
            0
        ) +
        IFERROR(
            VLOOKUP($A80, INDIRECT("FebR!$A$6:$ZZ$1048576"), MATCH(AJ$1, FebR!$6:$6, 0), FALSE),
            0
        ) +
        IFERROR(
            VLOOKUP($A80, INDIRECT("MarR!$A$6:$ZZ$1048576"), MATCH(AJ$1, MarR!$6:$6, 0), FALSE),
            0
        ) +
        IFERROR(
            VLOOKUP($A80, INDIRECT("AbrR!$A$6:$ZZ$1048576"), MATCH(AJ$1, AbrR!$6:$6, 0), FALSE),
            0
        ) +
        IFERROR(
            VLOOKUP($A80, INDIRECT("MayR!$A$6:$ZZ$1048576"), MATCH(AJ$1, MayR!$6:$6, 0), FALSE),
            0
        ) +
        IFERROR(
            VLOOKUP($A80, INDIRECT("JunR!$A$6:$ZZ$1048576"), MATCH(AJ$1, JunR!$6:$6, 0), FALSE),
            0
        ) +
        IFERROR(
            VLOOKUP($A80, INDIRECT("JulR!$A$6:$ZZ$1048576"), MATCH(AJ$1, JulR!$6:$6, 0), FALSE),
            0
        ) +
        IFERROR(
            VLOOKUP($A80, INDIRECT("AgoR!$A$6:$ZZ$1048576"), MATCH(AJ$1, AgoR!$6:$6, 0), FALSE),
            0
        ) +
        IFERROR(
            VLOOKUP($A80, INDIRECT("SepR!$A$6:$ZZ$1048576"), MATCH(AJ$1, SepR!$6:$6, 0), FALSE),
            0
        ) +
        IFERROR(
            VLOOKUP($A80, INDIRECT("OctR!$A$6:$ZZ$1048576"), MATCH(AJ$1, OctR!$6:$6, 0), FALSE),
            0
        ) +
        IFERROR(
            VLOOKUP($A80, INDIRECT("NovR!$A$6:$ZZ$1048576"), MATCH(AJ$1, NovR!$6:$6, 0), FALSE),
            0
        ) +
        IFERROR(
            VLOOKUP($A80, INDIRECT("DicR!$A$6:$ZZ$1048576"), MATCH(AJ$1, DicR!$6:$6, 0), FALSE),
            0
        )
)</f>
        <v>0</v>
      </c>
      <c r="AK80" s="37">
        <f t="array" ref="AK80">SUM(
    IFERROR(
            VLOOKUP($A80, INDIRECT("EneR!$A$6:$ZZ$1048576"), MATCH(AK$1, EneR!$6:$6, 0), FALSE),
            0
        ) +
        IFERROR(
            VLOOKUP($A80, INDIRECT("FebR!$A$6:$ZZ$1048576"), MATCH(AK$1, FebR!$6:$6, 0), FALSE),
            0
        ) +
        IFERROR(
            VLOOKUP($A80, INDIRECT("MarR!$A$6:$ZZ$1048576"), MATCH(AK$1, MarR!$6:$6, 0), FALSE),
            0
        ) +
        IFERROR(
            VLOOKUP($A80, INDIRECT("AbrR!$A$6:$ZZ$1048576"), MATCH(AK$1, AbrR!$6:$6, 0), FALSE),
            0
        ) +
        IFERROR(
            VLOOKUP($A80, INDIRECT("MayR!$A$6:$ZZ$1048576"), MATCH(AK$1, MayR!$6:$6, 0), FALSE),
            0
        ) +
        IFERROR(
            VLOOKUP($A80, INDIRECT("JunR!$A$6:$ZZ$1048576"), MATCH(AK$1, JunR!$6:$6, 0), FALSE),
            0
        ) +
        IFERROR(
            VLOOKUP($A80, INDIRECT("JulR!$A$6:$ZZ$1048576"), MATCH(AK$1, JulR!$6:$6, 0), FALSE),
            0
        ) +
        IFERROR(
            VLOOKUP($A80, INDIRECT("AgoR!$A$6:$ZZ$1048576"), MATCH(AK$1, AgoR!$6:$6, 0), FALSE),
            0
        ) +
        IFERROR(
            VLOOKUP($A80, INDIRECT("SepR!$A$6:$ZZ$1048576"), MATCH(AK$1, SepR!$6:$6, 0), FALSE),
            0
        ) +
        IFERROR(
            VLOOKUP($A80, INDIRECT("OctR!$A$6:$ZZ$1048576"), MATCH(AK$1, OctR!$6:$6, 0), FALSE),
            0
        ) +
        IFERROR(
            VLOOKUP($A80, INDIRECT("NovR!$A$6:$ZZ$1048576"), MATCH(AK$1, NovR!$6:$6, 0), FALSE),
            0
        ) +
        IFERROR(
            VLOOKUP($A80, INDIRECT("DicR!$A$6:$ZZ$1048576"), MATCH(AK$1, DicR!$6:$6, 0), FALSE),
            0
        )
)</f>
        <v>0</v>
      </c>
      <c r="AL80" s="36">
        <f t="array" ref="AL80">SUM(
    IFERROR(
            VLOOKUP($A80, INDIRECT("EneR!$A$6:$ZZ$1048576"), MATCH(AL$1, EneR!$6:$6, 0), FALSE),
            0
        ) +
        IFERROR(
            VLOOKUP($A80, INDIRECT("FebR!$A$6:$ZZ$1048576"), MATCH(AL$1, FebR!$6:$6, 0), FALSE),
            0
        ) +
        IFERROR(
            VLOOKUP($A80, INDIRECT("MarR!$A$6:$ZZ$1048576"), MATCH(AL$1, MarR!$6:$6, 0), FALSE),
            0
        ) +
        IFERROR(
            VLOOKUP($A80, INDIRECT("AbrR!$A$6:$ZZ$1048576"), MATCH(AL$1, AbrR!$6:$6, 0), FALSE),
            0
        ) +
        IFERROR(
            VLOOKUP($A80, INDIRECT("MayR!$A$6:$ZZ$1048576"), MATCH(AL$1, MayR!$6:$6, 0), FALSE),
            0
        ) +
        IFERROR(
            VLOOKUP($A80, INDIRECT("JunR!$A$6:$ZZ$1048576"), MATCH(AL$1, JunR!$6:$6, 0), FALSE),
            0
        ) +
        IFERROR(
            VLOOKUP($A80, INDIRECT("JulR!$A$6:$ZZ$1048576"), MATCH(AL$1, JulR!$6:$6, 0), FALSE),
            0
        ) +
        IFERROR(
            VLOOKUP($A80, INDIRECT("AgoR!$A$6:$ZZ$1048576"), MATCH(AL$1, AgoR!$6:$6, 0), FALSE),
            0
        ) +
        IFERROR(
            VLOOKUP($A80, INDIRECT("SepR!$A$6:$ZZ$1048576"), MATCH(AL$1, SepR!$6:$6, 0), FALSE),
            0
        ) +
        IFERROR(
            VLOOKUP($A80, INDIRECT("OctR!$A$6:$ZZ$1048576"), MATCH(AL$1, OctR!$6:$6, 0), FALSE),
            0
        ) +
        IFERROR(
            VLOOKUP($A80, INDIRECT("NovR!$A$6:$ZZ$1048576"), MATCH(AL$1, NovR!$6:$6, 0), FALSE),
            0
        ) +
        IFERROR(
            VLOOKUP($A80, INDIRECT("DicR!$A$6:$ZZ$1048576"), MATCH(AL$1, DicR!$6:$6, 0), FALSE),
            0
        )
)</f>
        <v>0</v>
      </c>
      <c r="AM80" s="37">
        <f t="array" ref="AM80">SUM(
    IFERROR(
            VLOOKUP($A80, INDIRECT("EneR!$A$6:$ZZ$1048576"), MATCH(AM$1, EneR!$6:$6, 0), FALSE),
            0
        ) +
        IFERROR(
            VLOOKUP($A80, INDIRECT("FebR!$A$6:$ZZ$1048576"), MATCH(AM$1, FebR!$6:$6, 0), FALSE),
            0
        ) +
        IFERROR(
            VLOOKUP($A80, INDIRECT("MarR!$A$6:$ZZ$1048576"), MATCH(AM$1, MarR!$6:$6, 0), FALSE),
            0
        ) +
        IFERROR(
            VLOOKUP($A80, INDIRECT("AbrR!$A$6:$ZZ$1048576"), MATCH(AM$1, AbrR!$6:$6, 0), FALSE),
            0
        ) +
        IFERROR(
            VLOOKUP($A80, INDIRECT("MayR!$A$6:$ZZ$1048576"), MATCH(AM$1, MayR!$6:$6, 0), FALSE),
            0
        ) +
        IFERROR(
            VLOOKUP($A80, INDIRECT("JunR!$A$6:$ZZ$1048576"), MATCH(AM$1, JunR!$6:$6, 0), FALSE),
            0
        ) +
        IFERROR(
            VLOOKUP($A80, INDIRECT("JulR!$A$6:$ZZ$1048576"), MATCH(AM$1, JulR!$6:$6, 0), FALSE),
            0
        ) +
        IFERROR(
            VLOOKUP($A80, INDIRECT("AgoR!$A$6:$ZZ$1048576"), MATCH(AM$1, AgoR!$6:$6, 0), FALSE),
            0
        ) +
        IFERROR(
            VLOOKUP($A80, INDIRECT("SepR!$A$6:$ZZ$1048576"), MATCH(AM$1, SepR!$6:$6, 0), FALSE),
            0
        ) +
        IFERROR(
            VLOOKUP($A80, INDIRECT("OctR!$A$6:$ZZ$1048576"), MATCH(AM$1, OctR!$6:$6, 0), FALSE),
            0
        ) +
        IFERROR(
            VLOOKUP($A80, INDIRECT("NovR!$A$6:$ZZ$1048576"), MATCH(AM$1, NovR!$6:$6, 0), FALSE),
            0
        ) +
        IFERROR(
            VLOOKUP($A80, INDIRECT("DicR!$A$6:$ZZ$1048576"), MATCH(AM$1, DicR!$6:$6, 0), FALSE),
            0
        )
)</f>
        <v>0</v>
      </c>
      <c r="AN80" s="32">
        <f t="array" ref="AN80">SUM(
    IFERROR(
            VLOOKUP($A80, INDIRECT("EneR!$A$6:$ZZ$1048576"), MATCH(AN$1, EneR!$6:$6, 0), FALSE),
            0
        ) +
        IFERROR(
            VLOOKUP($A80, INDIRECT("FebR!$A$6:$ZZ$1048576"), MATCH(AN$1, FebR!$6:$6, 0), FALSE),
            0
        ) +
        IFERROR(
            VLOOKUP($A80, INDIRECT("MarR!$A$6:$ZZ$1048576"), MATCH(AN$1, MarR!$6:$6, 0), FALSE),
            0
        ) +
        IFERROR(
            VLOOKUP($A80, INDIRECT("AbrR!$A$6:$ZZ$1048576"), MATCH(AN$1, AbrR!$6:$6, 0), FALSE),
            0
        ) +
        IFERROR(
            VLOOKUP($A80, INDIRECT("MayR!$A$6:$ZZ$1048576"), MATCH(AN$1, MayR!$6:$6, 0), FALSE),
            0
        ) +
        IFERROR(
            VLOOKUP($A80, INDIRECT("JunR!$A$6:$ZZ$1048576"), MATCH(AN$1, JunR!$6:$6, 0), FALSE),
            0
        ) +
        IFERROR(
            VLOOKUP($A80, INDIRECT("JulR!$A$6:$ZZ$1048576"), MATCH(AN$1, JulR!$6:$6, 0), FALSE),
            0
        ) +
        IFERROR(
            VLOOKUP($A80, INDIRECT("AgoR!$A$6:$ZZ$1048576"), MATCH(AN$1, AgoR!$6:$6, 0), FALSE),
            0
        ) +
        IFERROR(
            VLOOKUP($A80, INDIRECT("SepR!$A$6:$ZZ$1048576"), MATCH(AN$1, SepR!$6:$6, 0), FALSE),
            0
        ) +
        IFERROR(
            VLOOKUP($A80, INDIRECT("OctR!$A$6:$ZZ$1048576"), MATCH(AN$1, OctR!$6:$6, 0), FALSE),
            0
        ) +
        IFERROR(
            VLOOKUP($A80, INDIRECT("NovR!$A$6:$ZZ$1048576"), MATCH(AN$1, NovR!$6:$6, 0), FALSE),
            0
        ) +
        IFERROR(
            VLOOKUP($A80, INDIRECT("DicR!$A$6:$ZZ$1048576"), MATCH(AN$1, DicR!$6:$6, 0), FALSE),
            0
        )
)</f>
        <v>0</v>
      </c>
      <c r="AO80" s="35">
        <f t="array" ref="AO80">SUM(
    IFERROR(
            VLOOKUP($A80, INDIRECT("EneR!$A$6:$ZZ$1048576"), MATCH(AO$1, EneR!$6:$6, 0), FALSE),
            0
        ) +
        IFERROR(
            VLOOKUP($A80, INDIRECT("FebR!$A$6:$ZZ$1048576"), MATCH(AO$1, FebR!$6:$6, 0), FALSE),
            0
        ) +
        IFERROR(
            VLOOKUP($A80, INDIRECT("MarR!$A$6:$ZZ$1048576"), MATCH(AO$1, MarR!$6:$6, 0), FALSE),
            0
        ) +
        IFERROR(
            VLOOKUP($A80, INDIRECT("AbrR!$A$6:$ZZ$1048576"), MATCH(AO$1, AbrR!$6:$6, 0), FALSE),
            0
        ) +
        IFERROR(
            VLOOKUP($A80, INDIRECT("MayR!$A$6:$ZZ$1048576"), MATCH(AO$1, MayR!$6:$6, 0), FALSE),
            0
        ) +
        IFERROR(
            VLOOKUP($A80, INDIRECT("JunR!$A$6:$ZZ$1048576"), MATCH(AO$1, JunR!$6:$6, 0), FALSE),
            0
        ) +
        IFERROR(
            VLOOKUP($A80, INDIRECT("JulR!$A$6:$ZZ$1048576"), MATCH(AO$1, JulR!$6:$6, 0), FALSE),
            0
        ) +
        IFERROR(
            VLOOKUP($A80, INDIRECT("AgoR!$A$6:$ZZ$1048576"), MATCH(AO$1, AgoR!$6:$6, 0), FALSE),
            0
        ) +
        IFERROR(
            VLOOKUP($A80, INDIRECT("SepR!$A$6:$ZZ$1048576"), MATCH(AO$1, SepR!$6:$6, 0), FALSE),
            0
        ) +
        IFERROR(
            VLOOKUP($A80, INDIRECT("OctR!$A$6:$ZZ$1048576"), MATCH(AO$1, OctR!$6:$6, 0), FALSE),
            0
        ) +
        IFERROR(
            VLOOKUP($A80, INDIRECT("NovR!$A$6:$ZZ$1048576"), MATCH(AO$1, NovR!$6:$6, 0), FALSE),
            0
        ) +
        IFERROR(
            VLOOKUP($A80, INDIRECT("DicR!$A$6:$ZZ$1048576"), MATCH(AO$1, DicR!$6:$6, 0), FALSE),
            0
        )
)</f>
        <v>0</v>
      </c>
      <c r="AP80" s="36">
        <f t="array" ref="AP80">SUM(
    IFERROR(
            VLOOKUP($A80, INDIRECT("EneR!$A$6:$ZZ$1048576"), MATCH(AP$1, EneR!$6:$6, 0), FALSE),
            0
        ) +
        IFERROR(
            VLOOKUP($A80, INDIRECT("FebR!$A$6:$ZZ$1048576"), MATCH(AP$1, FebR!$6:$6, 0), FALSE),
            0
        ) +
        IFERROR(
            VLOOKUP($A80, INDIRECT("MarR!$A$6:$ZZ$1048576"), MATCH(AP$1, MarR!$6:$6, 0), FALSE),
            0
        ) +
        IFERROR(
            VLOOKUP($A80, INDIRECT("AbrR!$A$6:$ZZ$1048576"), MATCH(AP$1, AbrR!$6:$6, 0), FALSE),
            0
        ) +
        IFERROR(
            VLOOKUP($A80, INDIRECT("MayR!$A$6:$ZZ$1048576"), MATCH(AP$1, MayR!$6:$6, 0), FALSE),
            0
        ) +
        IFERROR(
            VLOOKUP($A80, INDIRECT("JunR!$A$6:$ZZ$1048576"), MATCH(AP$1, JunR!$6:$6, 0), FALSE),
            0
        ) +
        IFERROR(
            VLOOKUP($A80, INDIRECT("JulR!$A$6:$ZZ$1048576"), MATCH(AP$1, JulR!$6:$6, 0), FALSE),
            0
        ) +
        IFERROR(
            VLOOKUP($A80, INDIRECT("AgoR!$A$6:$ZZ$1048576"), MATCH(AP$1, AgoR!$6:$6, 0), FALSE),
            0
        ) +
        IFERROR(
            VLOOKUP($A80, INDIRECT("SepR!$A$6:$ZZ$1048576"), MATCH(AP$1, SepR!$6:$6, 0), FALSE),
            0
        ) +
        IFERROR(
            VLOOKUP($A80, INDIRECT("OctR!$A$6:$ZZ$1048576"), MATCH(AP$1, OctR!$6:$6, 0), FALSE),
            0
        ) +
        IFERROR(
            VLOOKUP($A80, INDIRECT("NovR!$A$6:$ZZ$1048576"), MATCH(AP$1, NovR!$6:$6, 0), FALSE),
            0
        ) +
        IFERROR(
            VLOOKUP($A80, INDIRECT("DicR!$A$6:$ZZ$1048576"), MATCH(AP$1, DicR!$6:$6, 0), FALSE),
            0
        )
)</f>
        <v>0</v>
      </c>
      <c r="AQ80" s="35">
        <f t="array" ref="AQ80">SUM(
    IFERROR(
            VLOOKUP($A80, INDIRECT("EneR!$A$6:$ZZ$1048576"), MATCH(AQ$1, EneR!$6:$6, 0), FALSE),
            0
        ) +
        IFERROR(
            VLOOKUP($A80, INDIRECT("FebR!$A$6:$ZZ$1048576"), MATCH(AQ$1, FebR!$6:$6, 0), FALSE),
            0
        ) +
        IFERROR(
            VLOOKUP($A80, INDIRECT("MarR!$A$6:$ZZ$1048576"), MATCH(AQ$1, MarR!$6:$6, 0), FALSE),
            0
        ) +
        IFERROR(
            VLOOKUP($A80, INDIRECT("AbrR!$A$6:$ZZ$1048576"), MATCH(AQ$1, AbrR!$6:$6, 0), FALSE),
            0
        ) +
        IFERROR(
            VLOOKUP($A80, INDIRECT("MayR!$A$6:$ZZ$1048576"), MATCH(AQ$1, MayR!$6:$6, 0), FALSE),
            0
        ) +
        IFERROR(
            VLOOKUP($A80, INDIRECT("JunR!$A$6:$ZZ$1048576"), MATCH(AQ$1, JunR!$6:$6, 0), FALSE),
            0
        ) +
        IFERROR(
            VLOOKUP($A80, INDIRECT("JulR!$A$6:$ZZ$1048576"), MATCH(AQ$1, JulR!$6:$6, 0), FALSE),
            0
        ) +
        IFERROR(
            VLOOKUP($A80, INDIRECT("AgoR!$A$6:$ZZ$1048576"), MATCH(AQ$1, AgoR!$6:$6, 0), FALSE),
            0
        ) +
        IFERROR(
            VLOOKUP($A80, INDIRECT("SepR!$A$6:$ZZ$1048576"), MATCH(AQ$1, SepR!$6:$6, 0), FALSE),
            0
        ) +
        IFERROR(
            VLOOKUP($A80, INDIRECT("OctR!$A$6:$ZZ$1048576"), MATCH(AQ$1, OctR!$6:$6, 0), FALSE),
            0
        ) +
        IFERROR(
            VLOOKUP($A80, INDIRECT("NovR!$A$6:$ZZ$1048576"), MATCH(AQ$1, NovR!$6:$6, 0), FALSE),
            0
        ) +
        IFERROR(
            VLOOKUP($A80, INDIRECT("DicR!$A$6:$ZZ$1048576"), MATCH(AQ$1, DicR!$6:$6, 0), FALSE),
            0
        )
)</f>
        <v>0</v>
      </c>
      <c r="AR80" s="36">
        <f t="array" ref="AR80">SUM(
    IFERROR(
            VLOOKUP($A80, INDIRECT("EneR!$A$6:$ZZ$1048576"), MATCH(AR$1, EneR!$6:$6, 0), FALSE),
            0
        ) +
        IFERROR(
            VLOOKUP($A80, INDIRECT("FebR!$A$6:$ZZ$1048576"), MATCH(AR$1, FebR!$6:$6, 0), FALSE),
            0
        ) +
        IFERROR(
            VLOOKUP($A80, INDIRECT("MarR!$A$6:$ZZ$1048576"), MATCH(AR$1, MarR!$6:$6, 0), FALSE),
            0
        ) +
        IFERROR(
            VLOOKUP($A80, INDIRECT("AbrR!$A$6:$ZZ$1048576"), MATCH(AR$1, AbrR!$6:$6, 0), FALSE),
            0
        ) +
        IFERROR(
            VLOOKUP($A80, INDIRECT("MayR!$A$6:$ZZ$1048576"), MATCH(AR$1, MayR!$6:$6, 0), FALSE),
            0
        ) +
        IFERROR(
            VLOOKUP($A80, INDIRECT("JunR!$A$6:$ZZ$1048576"), MATCH(AR$1, JunR!$6:$6, 0), FALSE),
            0
        ) +
        IFERROR(
            VLOOKUP($A80, INDIRECT("JulR!$A$6:$ZZ$1048576"), MATCH(AR$1, JulR!$6:$6, 0), FALSE),
            0
        ) +
        IFERROR(
            VLOOKUP($A80, INDIRECT("AgoR!$A$6:$ZZ$1048576"), MATCH(AR$1, AgoR!$6:$6, 0), FALSE),
            0
        ) +
        IFERROR(
            VLOOKUP($A80, INDIRECT("SepR!$A$6:$ZZ$1048576"), MATCH(AR$1, SepR!$6:$6, 0), FALSE),
            0
        ) +
        IFERROR(
            VLOOKUP($A80, INDIRECT("OctR!$A$6:$ZZ$1048576"), MATCH(AR$1, OctR!$6:$6, 0), FALSE),
            0
        ) +
        IFERROR(
            VLOOKUP($A80, INDIRECT("NovR!$A$6:$ZZ$1048576"), MATCH(AR$1, NovR!$6:$6, 0), FALSE),
            0
        ) +
        IFERROR(
            VLOOKUP($A80, INDIRECT("DicR!$A$6:$ZZ$1048576"), MATCH(AR$1, DicR!$6:$6, 0), FALSE),
            0
        )
)</f>
        <v>0</v>
      </c>
      <c r="AS80" s="35">
        <f t="array" ref="AS80">SUM(
    IFERROR(
            VLOOKUP($A80, INDIRECT("EneR!$A$6:$ZZ$1048576"), MATCH(AS$1, EneR!$6:$6, 0), FALSE),
            0
        ) +
        IFERROR(
            VLOOKUP($A80, INDIRECT("FebR!$A$6:$ZZ$1048576"), MATCH(AS$1, FebR!$6:$6, 0), FALSE),
            0
        ) +
        IFERROR(
            VLOOKUP($A80, INDIRECT("MarR!$A$6:$ZZ$1048576"), MATCH(AS$1, MarR!$6:$6, 0), FALSE),
            0
        ) +
        IFERROR(
            VLOOKUP($A80, INDIRECT("AbrR!$A$6:$ZZ$1048576"), MATCH(AS$1, AbrR!$6:$6, 0), FALSE),
            0
        ) +
        IFERROR(
            VLOOKUP($A80, INDIRECT("MayR!$A$6:$ZZ$1048576"), MATCH(AS$1, MayR!$6:$6, 0), FALSE),
            0
        ) +
        IFERROR(
            VLOOKUP($A80, INDIRECT("JunR!$A$6:$ZZ$1048576"), MATCH(AS$1, JunR!$6:$6, 0), FALSE),
            0
        ) +
        IFERROR(
            VLOOKUP($A80, INDIRECT("JulR!$A$6:$ZZ$1048576"), MATCH(AS$1, JulR!$6:$6, 0), FALSE),
            0
        ) +
        IFERROR(
            VLOOKUP($A80, INDIRECT("AgoR!$A$6:$ZZ$1048576"), MATCH(AS$1, AgoR!$6:$6, 0), FALSE),
            0
        ) +
        IFERROR(
            VLOOKUP($A80, INDIRECT("SepR!$A$6:$ZZ$1048576"), MATCH(AS$1, SepR!$6:$6, 0), FALSE),
            0
        ) +
        IFERROR(
            VLOOKUP($A80, INDIRECT("OctR!$A$6:$ZZ$1048576"), MATCH(AS$1, OctR!$6:$6, 0), FALSE),
            0
        ) +
        IFERROR(
            VLOOKUP($A80, INDIRECT("NovR!$A$6:$ZZ$1048576"), MATCH(AS$1, NovR!$6:$6, 0), FALSE),
            0
        ) +
        IFERROR(
            VLOOKUP($A80, INDIRECT("DicR!$A$6:$ZZ$1048576"), MATCH(AS$1, DicR!$6:$6, 0), FALSE),
            0
        )
)</f>
        <v>0</v>
      </c>
      <c r="AT80" s="36">
        <f t="array" ref="AT80">SUM(
    IFERROR(
            VLOOKUP($A80, INDIRECT("EneR!$A$6:$ZZ$1048576"), MATCH(AT$1, EneR!$6:$6, 0), FALSE),
            0
        ) +
        IFERROR(
            VLOOKUP($A80, INDIRECT("FebR!$A$6:$ZZ$1048576"), MATCH(AT$1, FebR!$6:$6, 0), FALSE),
            0
        ) +
        IFERROR(
            VLOOKUP($A80, INDIRECT("MarR!$A$6:$ZZ$1048576"), MATCH(AT$1, MarR!$6:$6, 0), FALSE),
            0
        ) +
        IFERROR(
            VLOOKUP($A80, INDIRECT("AbrR!$A$6:$ZZ$1048576"), MATCH(AT$1, AbrR!$6:$6, 0), FALSE),
            0
        ) +
        IFERROR(
            VLOOKUP($A80, INDIRECT("MayR!$A$6:$ZZ$1048576"), MATCH(AT$1, MayR!$6:$6, 0), FALSE),
            0
        ) +
        IFERROR(
            VLOOKUP($A80, INDIRECT("JunR!$A$6:$ZZ$1048576"), MATCH(AT$1, JunR!$6:$6, 0), FALSE),
            0
        ) +
        IFERROR(
            VLOOKUP($A80, INDIRECT("JulR!$A$6:$ZZ$1048576"), MATCH(AT$1, JulR!$6:$6, 0), FALSE),
            0
        ) +
        IFERROR(
            VLOOKUP($A80, INDIRECT("AgoR!$A$6:$ZZ$1048576"), MATCH(AT$1, AgoR!$6:$6, 0), FALSE),
            0
        ) +
        IFERROR(
            VLOOKUP($A80, INDIRECT("SepR!$A$6:$ZZ$1048576"), MATCH(AT$1, SepR!$6:$6, 0), FALSE),
            0
        ) +
        IFERROR(
            VLOOKUP($A80, INDIRECT("OctR!$A$6:$ZZ$1048576"), MATCH(AT$1, OctR!$6:$6, 0), FALSE),
            0
        ) +
        IFERROR(
            VLOOKUP($A80, INDIRECT("NovR!$A$6:$ZZ$1048576"), MATCH(AT$1, NovR!$6:$6, 0), FALSE),
            0
        ) +
        IFERROR(
            VLOOKUP($A80, INDIRECT("DicR!$A$6:$ZZ$1048576"), MATCH(AT$1, DicR!$6:$6, 0), FALSE),
            0
        )
)</f>
        <v>0</v>
      </c>
      <c r="AU80" s="35">
        <f t="array" ref="AU80">SUM(
    IFERROR(
            VLOOKUP($A80, INDIRECT("EneR!$A$6:$ZZ$1048576"), MATCH(AU$1, EneR!$6:$6, 0), FALSE),
            0
        ) +
        IFERROR(
            VLOOKUP($A80, INDIRECT("FebR!$A$6:$ZZ$1048576"), MATCH(AU$1, FebR!$6:$6, 0), FALSE),
            0
        ) +
        IFERROR(
            VLOOKUP($A80, INDIRECT("MarR!$A$6:$ZZ$1048576"), MATCH(AU$1, MarR!$6:$6, 0), FALSE),
            0
        ) +
        IFERROR(
            VLOOKUP($A80, INDIRECT("AbrR!$A$6:$ZZ$1048576"), MATCH(AU$1, AbrR!$6:$6, 0), FALSE),
            0
        ) +
        IFERROR(
            VLOOKUP($A80, INDIRECT("MayR!$A$6:$ZZ$1048576"), MATCH(AU$1, MayR!$6:$6, 0), FALSE),
            0
        ) +
        IFERROR(
            VLOOKUP($A80, INDIRECT("JunR!$A$6:$ZZ$1048576"), MATCH(AU$1, JunR!$6:$6, 0), FALSE),
            0
        ) +
        IFERROR(
            VLOOKUP($A80, INDIRECT("JulR!$A$6:$ZZ$1048576"), MATCH(AU$1, JulR!$6:$6, 0), FALSE),
            0
        ) +
        IFERROR(
            VLOOKUP($A80, INDIRECT("AgoR!$A$6:$ZZ$1048576"), MATCH(AU$1, AgoR!$6:$6, 0), FALSE),
            0
        ) +
        IFERROR(
            VLOOKUP($A80, INDIRECT("SepR!$A$6:$ZZ$1048576"), MATCH(AU$1, SepR!$6:$6, 0), FALSE),
            0
        ) +
        IFERROR(
            VLOOKUP($A80, INDIRECT("OctR!$A$6:$ZZ$1048576"), MATCH(AU$1, OctR!$6:$6, 0), FALSE),
            0
        ) +
        IFERROR(
            VLOOKUP($A80, INDIRECT("NovR!$A$6:$ZZ$1048576"), MATCH(AU$1, NovR!$6:$6, 0), FALSE),
            0
        ) +
        IFERROR(
            VLOOKUP($A80, INDIRECT("DicR!$A$6:$ZZ$1048576"), MATCH(AU$1, DicR!$6:$6, 0), FALSE),
            0
        )
)</f>
        <v>0</v>
      </c>
      <c r="AV80" s="36">
        <f t="array" ref="AV80">SUM(
    IFERROR(
            VLOOKUP($A80, INDIRECT("EneR!$A$6:$ZZ$1048576"), MATCH(AV$1, EneR!$6:$6, 0), FALSE),
            0
        ) +
        IFERROR(
            VLOOKUP($A80, INDIRECT("FebR!$A$6:$ZZ$1048576"), MATCH(AV$1, FebR!$6:$6, 0), FALSE),
            0
        ) +
        IFERROR(
            VLOOKUP($A80, INDIRECT("MarR!$A$6:$ZZ$1048576"), MATCH(AV$1, MarR!$6:$6, 0), FALSE),
            0
        ) +
        IFERROR(
            VLOOKUP($A80, INDIRECT("AbrR!$A$6:$ZZ$1048576"), MATCH(AV$1, AbrR!$6:$6, 0), FALSE),
            0
        ) +
        IFERROR(
            VLOOKUP($A80, INDIRECT("MayR!$A$6:$ZZ$1048576"), MATCH(AV$1, MayR!$6:$6, 0), FALSE),
            0
        ) +
        IFERROR(
            VLOOKUP($A80, INDIRECT("JunR!$A$6:$ZZ$1048576"), MATCH(AV$1, JunR!$6:$6, 0), FALSE),
            0
        ) +
        IFERROR(
            VLOOKUP($A80, INDIRECT("JulR!$A$6:$ZZ$1048576"), MATCH(AV$1, JulR!$6:$6, 0), FALSE),
            0
        ) +
        IFERROR(
            VLOOKUP($A80, INDIRECT("AgoR!$A$6:$ZZ$1048576"), MATCH(AV$1, AgoR!$6:$6, 0), FALSE),
            0
        ) +
        IFERROR(
            VLOOKUP($A80, INDIRECT("SepR!$A$6:$ZZ$1048576"), MATCH(AV$1, SepR!$6:$6, 0), FALSE),
            0
        ) +
        IFERROR(
            VLOOKUP($A80, INDIRECT("OctR!$A$6:$ZZ$1048576"), MATCH(AV$1, OctR!$6:$6, 0), FALSE),
            0
        ) +
        IFERROR(
            VLOOKUP($A80, INDIRECT("NovR!$A$6:$ZZ$1048576"), MATCH(AV$1, NovR!$6:$6, 0), FALSE),
            0
        ) +
        IFERROR(
            VLOOKUP($A80, INDIRECT("DicR!$A$6:$ZZ$1048576"), MATCH(AV$1, DicR!$6:$6, 0), FALSE),
            0
        )
)</f>
        <v>0</v>
      </c>
      <c r="AW80" s="35">
        <f t="array" ref="AW80">SUM(
    IFERROR(
            VLOOKUP($A80, INDIRECT("EneR!$A$6:$ZZ$1048576"), MATCH(AW$1, EneR!$6:$6, 0), FALSE),
            0
        ) +
        IFERROR(
            VLOOKUP($A80, INDIRECT("FebR!$A$6:$ZZ$1048576"), MATCH(AW$1, FebR!$6:$6, 0), FALSE),
            0
        ) +
        IFERROR(
            VLOOKUP($A80, INDIRECT("MarR!$A$6:$ZZ$1048576"), MATCH(AW$1, MarR!$6:$6, 0), FALSE),
            0
        ) +
        IFERROR(
            VLOOKUP($A80, INDIRECT("AbrR!$A$6:$ZZ$1048576"), MATCH(AW$1, AbrR!$6:$6, 0), FALSE),
            0
        ) +
        IFERROR(
            VLOOKUP($A80, INDIRECT("MayR!$A$6:$ZZ$1048576"), MATCH(AW$1, MayR!$6:$6, 0), FALSE),
            0
        ) +
        IFERROR(
            VLOOKUP($A80, INDIRECT("JunR!$A$6:$ZZ$1048576"), MATCH(AW$1, JunR!$6:$6, 0), FALSE),
            0
        ) +
        IFERROR(
            VLOOKUP($A80, INDIRECT("JulR!$A$6:$ZZ$1048576"), MATCH(AW$1, JulR!$6:$6, 0), FALSE),
            0
        ) +
        IFERROR(
            VLOOKUP($A80, INDIRECT("AgoR!$A$6:$ZZ$1048576"), MATCH(AW$1, AgoR!$6:$6, 0), FALSE),
            0
        ) +
        IFERROR(
            VLOOKUP($A80, INDIRECT("SepR!$A$6:$ZZ$1048576"), MATCH(AW$1, SepR!$6:$6, 0), FALSE),
            0
        ) +
        IFERROR(
            VLOOKUP($A80, INDIRECT("OctR!$A$6:$ZZ$1048576"), MATCH(AW$1, OctR!$6:$6, 0), FALSE),
            0
        ) +
        IFERROR(
            VLOOKUP($A80, INDIRECT("NovR!$A$6:$ZZ$1048576"), MATCH(AW$1, NovR!$6:$6, 0), FALSE),
            0
        ) +
        IFERROR(
            VLOOKUP($A80, INDIRECT("DicR!$A$6:$ZZ$1048576"), MATCH(AW$1, DicR!$6:$6, 0), FALSE),
            0
        )
)</f>
        <v>0</v>
      </c>
      <c r="AX80" s="36">
        <f t="array" ref="AX80">SUM(
    IFERROR(
            VLOOKUP($A80, INDIRECT("EneR!$A$6:$ZZ$1048576"), MATCH(AX$1, EneR!$6:$6, 0), FALSE),
            0
        ) +
        IFERROR(
            VLOOKUP($A80, INDIRECT("FebR!$A$6:$ZZ$1048576"), MATCH(AX$1, FebR!$6:$6, 0), FALSE),
            0
        ) +
        IFERROR(
            VLOOKUP($A80, INDIRECT("MarR!$A$6:$ZZ$1048576"), MATCH(AX$1, MarR!$6:$6, 0), FALSE),
            0
        ) +
        IFERROR(
            VLOOKUP($A80, INDIRECT("AbrR!$A$6:$ZZ$1048576"), MATCH(AX$1, AbrR!$6:$6, 0), FALSE),
            0
        ) +
        IFERROR(
            VLOOKUP($A80, INDIRECT("MayR!$A$6:$ZZ$1048576"), MATCH(AX$1, MayR!$6:$6, 0), FALSE),
            0
        ) +
        IFERROR(
            VLOOKUP($A80, INDIRECT("JunR!$A$6:$ZZ$1048576"), MATCH(AX$1, JunR!$6:$6, 0), FALSE),
            0
        ) +
        IFERROR(
            VLOOKUP($A80, INDIRECT("JulR!$A$6:$ZZ$1048576"), MATCH(AX$1, JulR!$6:$6, 0), FALSE),
            0
        ) +
        IFERROR(
            VLOOKUP($A80, INDIRECT("AgoR!$A$6:$ZZ$1048576"), MATCH(AX$1, AgoR!$6:$6, 0), FALSE),
            0
        ) +
        IFERROR(
            VLOOKUP($A80, INDIRECT("SepR!$A$6:$ZZ$1048576"), MATCH(AX$1, SepR!$6:$6, 0), FALSE),
            0
        ) +
        IFERROR(
            VLOOKUP($A80, INDIRECT("OctR!$A$6:$ZZ$1048576"), MATCH(AX$1, OctR!$6:$6, 0), FALSE),
            0
        ) +
        IFERROR(
            VLOOKUP($A80, INDIRECT("NovR!$A$6:$ZZ$1048576"), MATCH(AX$1, NovR!$6:$6, 0), FALSE),
            0
        ) +
        IFERROR(
            VLOOKUP($A80, INDIRECT("DicR!$A$6:$ZZ$1048576"), MATCH(AX$1, DicR!$6:$6, 0), FALSE),
            0
        )
)</f>
        <v>0</v>
      </c>
      <c r="AY80" s="35">
        <f t="array" ref="AY80">SUM(
    IFERROR(
            VLOOKUP($A80, INDIRECT("EneR!$A$6:$ZZ$1048576"), MATCH(AY$1, EneR!$6:$6, 0), FALSE),
            0
        ) +
        IFERROR(
            VLOOKUP($A80, INDIRECT("FebR!$A$6:$ZZ$1048576"), MATCH(AY$1, FebR!$6:$6, 0), FALSE),
            0
        ) +
        IFERROR(
            VLOOKUP($A80, INDIRECT("MarR!$A$6:$ZZ$1048576"), MATCH(AY$1, MarR!$6:$6, 0), FALSE),
            0
        ) +
        IFERROR(
            VLOOKUP($A80, INDIRECT("AbrR!$A$6:$ZZ$1048576"), MATCH(AY$1, AbrR!$6:$6, 0), FALSE),
            0
        ) +
        IFERROR(
            VLOOKUP($A80, INDIRECT("MayR!$A$6:$ZZ$1048576"), MATCH(AY$1, MayR!$6:$6, 0), FALSE),
            0
        ) +
        IFERROR(
            VLOOKUP($A80, INDIRECT("JunR!$A$6:$ZZ$1048576"), MATCH(AY$1, JunR!$6:$6, 0), FALSE),
            0
        ) +
        IFERROR(
            VLOOKUP($A80, INDIRECT("JulR!$A$6:$ZZ$1048576"), MATCH(AY$1, JulR!$6:$6, 0), FALSE),
            0
        ) +
        IFERROR(
            VLOOKUP($A80, INDIRECT("AgoR!$A$6:$ZZ$1048576"), MATCH(AY$1, AgoR!$6:$6, 0), FALSE),
            0
        ) +
        IFERROR(
            VLOOKUP($A80, INDIRECT("SepR!$A$6:$ZZ$1048576"), MATCH(AY$1, SepR!$6:$6, 0), FALSE),
            0
        ) +
        IFERROR(
            VLOOKUP($A80, INDIRECT("OctR!$A$6:$ZZ$1048576"), MATCH(AY$1, OctR!$6:$6, 0), FALSE),
            0
        ) +
        IFERROR(
            VLOOKUP($A80, INDIRECT("NovR!$A$6:$ZZ$1048576"), MATCH(AY$1, NovR!$6:$6, 0), FALSE),
            0
        ) +
        IFERROR(
            VLOOKUP($A80, INDIRECT("DicR!$A$6:$ZZ$1048576"), MATCH(AY$1, DicR!$6:$6, 0), FALSE),
            0
        )
)</f>
        <v>0</v>
      </c>
      <c r="AZ80" s="35"/>
    </row>
    <row r="81" ht="15.75" customHeight="1">
      <c r="A81" s="12" t="str">
        <f>Menus!B42</f>
        <v/>
      </c>
      <c r="B81" s="32">
        <f t="shared" si="9"/>
        <v>0</v>
      </c>
      <c r="C81" s="33" t="str">
        <f t="shared" si="10"/>
        <v/>
      </c>
      <c r="D81" s="34">
        <f t="array" ref="D81">SUM(
    IFERROR(
            VLOOKUP($A81, INDIRECT("EneR!$A$6:$ZZ$1048576"), MATCH(D$1, EneR!$6:$6, 0), FALSE),
            0
        ) +
        IFERROR(
            VLOOKUP($A81, INDIRECT("FebR!$A$6:$ZZ$1048576"), MATCH(D$1, FebR!$6:$6, 0), FALSE),
            0
        ) +
        IFERROR(
            VLOOKUP($A81, INDIRECT("MarR!$A$6:$ZZ$1048576"), MATCH(D$1, MarR!$6:$6, 0), FALSE),
            0
        ) +
        IFERROR(
            VLOOKUP($A81, INDIRECT("AbrR!$A$6:$ZZ$1048576"), MATCH(D$1, AbrR!$6:$6, 0), FALSE),
            0
        ) +
        IFERROR(
            VLOOKUP($A81, INDIRECT("MayR!$A$6:$ZZ$1048576"), MATCH(D$1, MayR!$6:$6, 0), FALSE),
            0
        ) +
        IFERROR(
            VLOOKUP($A81, INDIRECT("JunR!$A$6:$ZZ$1048576"), MATCH(D$1, JunR!$6:$6, 0), FALSE),
            0
        ) +
        IFERROR(
            VLOOKUP($A81, INDIRECT("JulR!$A$6:$ZZ$1048576"), MATCH(D$1, JulR!$6:$6, 0), FALSE),
            0
        ) +
        IFERROR(
            VLOOKUP($A81, INDIRECT("AgoR!$A$6:$ZZ$1048576"), MATCH(D$1, AgoR!$6:$6, 0), FALSE),
            0
        ) +
        IFERROR(
            VLOOKUP($A81, INDIRECT("SepR!$A$6:$ZZ$1048576"), MATCH(D$1, SepR!$6:$6, 0), FALSE),
            0
        ) +
        IFERROR(
            VLOOKUP($A81, INDIRECT("OctR!$A$6:$ZZ$1048576"), MATCH(D$1, OctR!$6:$6, 0), FALSE),
            0
        ) +
        IFERROR(
            VLOOKUP($A81, INDIRECT("NovR!$A$6:$ZZ$1048576"), MATCH(D$1, NovR!$6:$6, 0), FALSE),
            0
        ) +
        IFERROR(
            VLOOKUP($A81, INDIRECT("DicR!$A$6:$ZZ$1048576"), MATCH(D$1, DicR!$6:$6, 0), FALSE),
            0
        )
)</f>
        <v>0</v>
      </c>
      <c r="E81" s="35">
        <f t="array" ref="E81">SUM(
    IFERROR(
            VLOOKUP($A81, INDIRECT("EneR!$A$6:$ZZ$1048576"), MATCH(E$1, EneR!$6:$6, 0), FALSE),
            0
        ) +
        IFERROR(
            VLOOKUP($A81, INDIRECT("FebR!$A$6:$ZZ$1048576"), MATCH(E$1, FebR!$6:$6, 0), FALSE),
            0
        ) +
        IFERROR(
            VLOOKUP($A81, INDIRECT("MarR!$A$6:$ZZ$1048576"), MATCH(E$1, MarR!$6:$6, 0), FALSE),
            0
        ) +
        IFERROR(
            VLOOKUP($A81, INDIRECT("AbrR!$A$6:$ZZ$1048576"), MATCH(E$1, AbrR!$6:$6, 0), FALSE),
            0
        ) +
        IFERROR(
            VLOOKUP($A81, INDIRECT("MayR!$A$6:$ZZ$1048576"), MATCH(E$1, MayR!$6:$6, 0), FALSE),
            0
        ) +
        IFERROR(
            VLOOKUP($A81, INDIRECT("JunR!$A$6:$ZZ$1048576"), MATCH(E$1, JunR!$6:$6, 0), FALSE),
            0
        ) +
        IFERROR(
            VLOOKUP($A81, INDIRECT("JulR!$A$6:$ZZ$1048576"), MATCH(E$1, JulR!$6:$6, 0), FALSE),
            0
        ) +
        IFERROR(
            VLOOKUP($A81, INDIRECT("AgoR!$A$6:$ZZ$1048576"), MATCH(E$1, AgoR!$6:$6, 0), FALSE),
            0
        ) +
        IFERROR(
            VLOOKUP($A81, INDIRECT("SepR!$A$6:$ZZ$1048576"), MATCH(E$1, SepR!$6:$6, 0), FALSE),
            0
        ) +
        IFERROR(
            VLOOKUP($A81, INDIRECT("OctR!$A$6:$ZZ$1048576"), MATCH(E$1, OctR!$6:$6, 0), FALSE),
            0
        ) +
        IFERROR(
            VLOOKUP($A81, INDIRECT("NovR!$A$6:$ZZ$1048576"), MATCH(E$1, NovR!$6:$6, 0), FALSE),
            0
        ) +
        IFERROR(
            VLOOKUP($A81, INDIRECT("DicR!$A$6:$ZZ$1048576"), MATCH(E$1, DicR!$6:$6, 0), FALSE),
            0
        )
)</f>
        <v>0</v>
      </c>
      <c r="F81" s="32">
        <f t="array" ref="F81">SUM(
    IFERROR(
            VLOOKUP($A81, INDIRECT("EneR!$A$6:$ZZ$1048576"), MATCH(F$1, EneR!$6:$6, 0), FALSE),
            0
        ) +
        IFERROR(
            VLOOKUP($A81, INDIRECT("FebR!$A$6:$ZZ$1048576"), MATCH(F$1, FebR!$6:$6, 0), FALSE),
            0
        ) +
        IFERROR(
            VLOOKUP($A81, INDIRECT("MarR!$A$6:$ZZ$1048576"), MATCH(F$1, MarR!$6:$6, 0), FALSE),
            0
        ) +
        IFERROR(
            VLOOKUP($A81, INDIRECT("AbrR!$A$6:$ZZ$1048576"), MATCH(F$1, AbrR!$6:$6, 0), FALSE),
            0
        ) +
        IFERROR(
            VLOOKUP($A81, INDIRECT("MayR!$A$6:$ZZ$1048576"), MATCH(F$1, MayR!$6:$6, 0), FALSE),
            0
        ) +
        IFERROR(
            VLOOKUP($A81, INDIRECT("JunR!$A$6:$ZZ$1048576"), MATCH(F$1, JunR!$6:$6, 0), FALSE),
            0
        ) +
        IFERROR(
            VLOOKUP($A81, INDIRECT("JulR!$A$6:$ZZ$1048576"), MATCH(F$1, JulR!$6:$6, 0), FALSE),
            0
        ) +
        IFERROR(
            VLOOKUP($A81, INDIRECT("AgoR!$A$6:$ZZ$1048576"), MATCH(F$1, AgoR!$6:$6, 0), FALSE),
            0
        ) +
        IFERROR(
            VLOOKUP($A81, INDIRECT("SepR!$A$6:$ZZ$1048576"), MATCH(F$1, SepR!$6:$6, 0), FALSE),
            0
        ) +
        IFERROR(
            VLOOKUP($A81, INDIRECT("OctR!$A$6:$ZZ$1048576"), MATCH(F$1, OctR!$6:$6, 0), FALSE),
            0
        ) +
        IFERROR(
            VLOOKUP($A81, INDIRECT("NovR!$A$6:$ZZ$1048576"), MATCH(F$1, NovR!$6:$6, 0), FALSE),
            0
        ) +
        IFERROR(
            VLOOKUP($A81, INDIRECT("DicR!$A$6:$ZZ$1048576"), MATCH(F$1, DicR!$6:$6, 0), FALSE),
            0
        )
)</f>
        <v>0</v>
      </c>
      <c r="G81" s="35">
        <f t="array" ref="G81">SUM(
    IFERROR(
            VLOOKUP($A81, INDIRECT("EneR!$A$6:$ZZ$1048576"), MATCH(G$1, EneR!$6:$6, 0), FALSE),
            0
        ) +
        IFERROR(
            VLOOKUP($A81, INDIRECT("FebR!$A$6:$ZZ$1048576"), MATCH(G$1, FebR!$6:$6, 0), FALSE),
            0
        ) +
        IFERROR(
            VLOOKUP($A81, INDIRECT("MarR!$A$6:$ZZ$1048576"), MATCH(G$1, MarR!$6:$6, 0), FALSE),
            0
        ) +
        IFERROR(
            VLOOKUP($A81, INDIRECT("AbrR!$A$6:$ZZ$1048576"), MATCH(G$1, AbrR!$6:$6, 0), FALSE),
            0
        ) +
        IFERROR(
            VLOOKUP($A81, INDIRECT("MayR!$A$6:$ZZ$1048576"), MATCH(G$1, MayR!$6:$6, 0), FALSE),
            0
        ) +
        IFERROR(
            VLOOKUP($A81, INDIRECT("JunR!$A$6:$ZZ$1048576"), MATCH(G$1, JunR!$6:$6, 0), FALSE),
            0
        ) +
        IFERROR(
            VLOOKUP($A81, INDIRECT("JulR!$A$6:$ZZ$1048576"), MATCH(G$1, JulR!$6:$6, 0), FALSE),
            0
        ) +
        IFERROR(
            VLOOKUP($A81, INDIRECT("AgoR!$A$6:$ZZ$1048576"), MATCH(G$1, AgoR!$6:$6, 0), FALSE),
            0
        ) +
        IFERROR(
            VLOOKUP($A81, INDIRECT("SepR!$A$6:$ZZ$1048576"), MATCH(G$1, SepR!$6:$6, 0), FALSE),
            0
        ) +
        IFERROR(
            VLOOKUP($A81, INDIRECT("OctR!$A$6:$ZZ$1048576"), MATCH(G$1, OctR!$6:$6, 0), FALSE),
            0
        ) +
        IFERROR(
            VLOOKUP($A81, INDIRECT("NovR!$A$6:$ZZ$1048576"), MATCH(G$1, NovR!$6:$6, 0), FALSE),
            0
        ) +
        IFERROR(
            VLOOKUP($A81, INDIRECT("DicR!$A$6:$ZZ$1048576"), MATCH(G$1, DicR!$6:$6, 0), FALSE),
            0
        )
)</f>
        <v>0</v>
      </c>
      <c r="H81" s="32">
        <f t="array" ref="H81">SUM(
    IFERROR(
            VLOOKUP($A81, INDIRECT("EneR!$A$6:$ZZ$1048576"), MATCH(H$1, EneR!$6:$6, 0), FALSE),
            0
        ) +
        IFERROR(
            VLOOKUP($A81, INDIRECT("FebR!$A$6:$ZZ$1048576"), MATCH(H$1, FebR!$6:$6, 0), FALSE),
            0
        ) +
        IFERROR(
            VLOOKUP($A81, INDIRECT("MarR!$A$6:$ZZ$1048576"), MATCH(H$1, MarR!$6:$6, 0), FALSE),
            0
        ) +
        IFERROR(
            VLOOKUP($A81, INDIRECT("AbrR!$A$6:$ZZ$1048576"), MATCH(H$1, AbrR!$6:$6, 0), FALSE),
            0
        ) +
        IFERROR(
            VLOOKUP($A81, INDIRECT("MayR!$A$6:$ZZ$1048576"), MATCH(H$1, MayR!$6:$6, 0), FALSE),
            0
        ) +
        IFERROR(
            VLOOKUP($A81, INDIRECT("JunR!$A$6:$ZZ$1048576"), MATCH(H$1, JunR!$6:$6, 0), FALSE),
            0
        ) +
        IFERROR(
            VLOOKUP($A81, INDIRECT("JulR!$A$6:$ZZ$1048576"), MATCH(H$1, JulR!$6:$6, 0), FALSE),
            0
        ) +
        IFERROR(
            VLOOKUP($A81, INDIRECT("AgoR!$A$6:$ZZ$1048576"), MATCH(H$1, AgoR!$6:$6, 0), FALSE),
            0
        ) +
        IFERROR(
            VLOOKUP($A81, INDIRECT("SepR!$A$6:$ZZ$1048576"), MATCH(H$1, SepR!$6:$6, 0), FALSE),
            0
        ) +
        IFERROR(
            VLOOKUP($A81, INDIRECT("OctR!$A$6:$ZZ$1048576"), MATCH(H$1, OctR!$6:$6, 0), FALSE),
            0
        ) +
        IFERROR(
            VLOOKUP($A81, INDIRECT("NovR!$A$6:$ZZ$1048576"), MATCH(H$1, NovR!$6:$6, 0), FALSE),
            0
        ) +
        IFERROR(
            VLOOKUP($A81, INDIRECT("DicR!$A$6:$ZZ$1048576"), MATCH(H$1, DicR!$6:$6, 0), FALSE),
            0
        )
)</f>
        <v>0</v>
      </c>
      <c r="I81" s="35">
        <f t="array" ref="I81">SUM(
    IFERROR(
            VLOOKUP($A81, INDIRECT("EneR!$A$6:$ZZ$1048576"), MATCH(I$1, EneR!$6:$6, 0), FALSE),
            0
        ) +
        IFERROR(
            VLOOKUP($A81, INDIRECT("FebR!$A$6:$ZZ$1048576"), MATCH(I$1, FebR!$6:$6, 0), FALSE),
            0
        ) +
        IFERROR(
            VLOOKUP($A81, INDIRECT("MarR!$A$6:$ZZ$1048576"), MATCH(I$1, MarR!$6:$6, 0), FALSE),
            0
        ) +
        IFERROR(
            VLOOKUP($A81, INDIRECT("AbrR!$A$6:$ZZ$1048576"), MATCH(I$1, AbrR!$6:$6, 0), FALSE),
            0
        ) +
        IFERROR(
            VLOOKUP($A81, INDIRECT("MayR!$A$6:$ZZ$1048576"), MATCH(I$1, MayR!$6:$6, 0), FALSE),
            0
        ) +
        IFERROR(
            VLOOKUP($A81, INDIRECT("JunR!$A$6:$ZZ$1048576"), MATCH(I$1, JunR!$6:$6, 0), FALSE),
            0
        ) +
        IFERROR(
            VLOOKUP($A81, INDIRECT("JulR!$A$6:$ZZ$1048576"), MATCH(I$1, JulR!$6:$6, 0), FALSE),
            0
        ) +
        IFERROR(
            VLOOKUP($A81, INDIRECT("AgoR!$A$6:$ZZ$1048576"), MATCH(I$1, AgoR!$6:$6, 0), FALSE),
            0
        ) +
        IFERROR(
            VLOOKUP($A81, INDIRECT("SepR!$A$6:$ZZ$1048576"), MATCH(I$1, SepR!$6:$6, 0), FALSE),
            0
        ) +
        IFERROR(
            VLOOKUP($A81, INDIRECT("OctR!$A$6:$ZZ$1048576"), MATCH(I$1, OctR!$6:$6, 0), FALSE),
            0
        ) +
        IFERROR(
            VLOOKUP($A81, INDIRECT("NovR!$A$6:$ZZ$1048576"), MATCH(I$1, NovR!$6:$6, 0), FALSE),
            0
        ) +
        IFERROR(
            VLOOKUP($A81, INDIRECT("DicR!$A$6:$ZZ$1048576"), MATCH(I$1, DicR!$6:$6, 0), FALSE),
            0
        )
)</f>
        <v>0</v>
      </c>
      <c r="J81" s="32">
        <f t="array" ref="J81">SUM(
    IFERROR(
            VLOOKUP($A81, INDIRECT("EneR!$A$6:$ZZ$1048576"), MATCH(J$1, EneR!$6:$6, 0), FALSE),
            0
        ) +
        IFERROR(
            VLOOKUP($A81, INDIRECT("FebR!$A$6:$ZZ$1048576"), MATCH(J$1, FebR!$6:$6, 0), FALSE),
            0
        ) +
        IFERROR(
            VLOOKUP($A81, INDIRECT("MarR!$A$6:$ZZ$1048576"), MATCH(J$1, MarR!$6:$6, 0), FALSE),
            0
        ) +
        IFERROR(
            VLOOKUP($A81, INDIRECT("AbrR!$A$6:$ZZ$1048576"), MATCH(J$1, AbrR!$6:$6, 0), FALSE),
            0
        ) +
        IFERROR(
            VLOOKUP($A81, INDIRECT("MayR!$A$6:$ZZ$1048576"), MATCH(J$1, MayR!$6:$6, 0), FALSE),
            0
        ) +
        IFERROR(
            VLOOKUP($A81, INDIRECT("JunR!$A$6:$ZZ$1048576"), MATCH(J$1, JunR!$6:$6, 0), FALSE),
            0
        ) +
        IFERROR(
            VLOOKUP($A81, INDIRECT("JulR!$A$6:$ZZ$1048576"), MATCH(J$1, JulR!$6:$6, 0), FALSE),
            0
        ) +
        IFERROR(
            VLOOKUP($A81, INDIRECT("AgoR!$A$6:$ZZ$1048576"), MATCH(J$1, AgoR!$6:$6, 0), FALSE),
            0
        ) +
        IFERROR(
            VLOOKUP($A81, INDIRECT("SepR!$A$6:$ZZ$1048576"), MATCH(J$1, SepR!$6:$6, 0), FALSE),
            0
        ) +
        IFERROR(
            VLOOKUP($A81, INDIRECT("OctR!$A$6:$ZZ$1048576"), MATCH(J$1, OctR!$6:$6, 0), FALSE),
            0
        ) +
        IFERROR(
            VLOOKUP($A81, INDIRECT("NovR!$A$6:$ZZ$1048576"), MATCH(J$1, NovR!$6:$6, 0), FALSE),
            0
        ) +
        IFERROR(
            VLOOKUP($A81, INDIRECT("DicR!$A$6:$ZZ$1048576"), MATCH(J$1, DicR!$6:$6, 0), FALSE),
            0
        )
)</f>
        <v>0</v>
      </c>
      <c r="K81" s="35">
        <f t="array" ref="K81">SUM(
    IFERROR(
            VLOOKUP($A81, INDIRECT("EneR!$A$6:$ZZ$1048576"), MATCH(K$1, EneR!$6:$6, 0), FALSE),
            0
        ) +
        IFERROR(
            VLOOKUP($A81, INDIRECT("FebR!$A$6:$ZZ$1048576"), MATCH(K$1, FebR!$6:$6, 0), FALSE),
            0
        ) +
        IFERROR(
            VLOOKUP($A81, INDIRECT("MarR!$A$6:$ZZ$1048576"), MATCH(K$1, MarR!$6:$6, 0), FALSE),
            0
        ) +
        IFERROR(
            VLOOKUP($A81, INDIRECT("AbrR!$A$6:$ZZ$1048576"), MATCH(K$1, AbrR!$6:$6, 0), FALSE),
            0
        ) +
        IFERROR(
            VLOOKUP($A81, INDIRECT("MayR!$A$6:$ZZ$1048576"), MATCH(K$1, MayR!$6:$6, 0), FALSE),
            0
        ) +
        IFERROR(
            VLOOKUP($A81, INDIRECT("JunR!$A$6:$ZZ$1048576"), MATCH(K$1, JunR!$6:$6, 0), FALSE),
            0
        ) +
        IFERROR(
            VLOOKUP($A81, INDIRECT("JulR!$A$6:$ZZ$1048576"), MATCH(K$1, JulR!$6:$6, 0), FALSE),
            0
        ) +
        IFERROR(
            VLOOKUP($A81, INDIRECT("AgoR!$A$6:$ZZ$1048576"), MATCH(K$1, AgoR!$6:$6, 0), FALSE),
            0
        ) +
        IFERROR(
            VLOOKUP($A81, INDIRECT("SepR!$A$6:$ZZ$1048576"), MATCH(K$1, SepR!$6:$6, 0), FALSE),
            0
        ) +
        IFERROR(
            VLOOKUP($A81, INDIRECT("OctR!$A$6:$ZZ$1048576"), MATCH(K$1, OctR!$6:$6, 0), FALSE),
            0
        ) +
        IFERROR(
            VLOOKUP($A81, INDIRECT("NovR!$A$6:$ZZ$1048576"), MATCH(K$1, NovR!$6:$6, 0), FALSE),
            0
        ) +
        IFERROR(
            VLOOKUP($A81, INDIRECT("DicR!$A$6:$ZZ$1048576"), MATCH(K$1, DicR!$6:$6, 0), FALSE),
            0
        )
)</f>
        <v>0</v>
      </c>
      <c r="L81" s="32">
        <f t="array" ref="L81">SUM(
    IFERROR(
            VLOOKUP($A81, INDIRECT("EneR!$A$6:$ZZ$1048576"), MATCH(L$1, EneR!$6:$6, 0), FALSE),
            0
        ) +
        IFERROR(
            VLOOKUP($A81, INDIRECT("FebR!$A$6:$ZZ$1048576"), MATCH(L$1, FebR!$6:$6, 0), FALSE),
            0
        ) +
        IFERROR(
            VLOOKUP($A81, INDIRECT("MarR!$A$6:$ZZ$1048576"), MATCH(L$1, MarR!$6:$6, 0), FALSE),
            0
        ) +
        IFERROR(
            VLOOKUP($A81, INDIRECT("AbrR!$A$6:$ZZ$1048576"), MATCH(L$1, AbrR!$6:$6, 0), FALSE),
            0
        ) +
        IFERROR(
            VLOOKUP($A81, INDIRECT("MayR!$A$6:$ZZ$1048576"), MATCH(L$1, MayR!$6:$6, 0), FALSE),
            0
        ) +
        IFERROR(
            VLOOKUP($A81, INDIRECT("JunR!$A$6:$ZZ$1048576"), MATCH(L$1, JunR!$6:$6, 0), FALSE),
            0
        ) +
        IFERROR(
            VLOOKUP($A81, INDIRECT("JulR!$A$6:$ZZ$1048576"), MATCH(L$1, JulR!$6:$6, 0), FALSE),
            0
        ) +
        IFERROR(
            VLOOKUP($A81, INDIRECT("AgoR!$A$6:$ZZ$1048576"), MATCH(L$1, AgoR!$6:$6, 0), FALSE),
            0
        ) +
        IFERROR(
            VLOOKUP($A81, INDIRECT("SepR!$A$6:$ZZ$1048576"), MATCH(L$1, SepR!$6:$6, 0), FALSE),
            0
        ) +
        IFERROR(
            VLOOKUP($A81, INDIRECT("OctR!$A$6:$ZZ$1048576"), MATCH(L$1, OctR!$6:$6, 0), FALSE),
            0
        ) +
        IFERROR(
            VLOOKUP($A81, INDIRECT("NovR!$A$6:$ZZ$1048576"), MATCH(L$1, NovR!$6:$6, 0), FALSE),
            0
        ) +
        IFERROR(
            VLOOKUP($A81, INDIRECT("DicR!$A$6:$ZZ$1048576"), MATCH(L$1, DicR!$6:$6, 0), FALSE),
            0
        )
)</f>
        <v>0</v>
      </c>
      <c r="M81" s="35">
        <f t="array" ref="M81">SUM(
    IFERROR(
            VLOOKUP($A81, INDIRECT("EneR!$A$6:$ZZ$1048576"), MATCH(M$1, EneR!$6:$6, 0), FALSE),
            0
        ) +
        IFERROR(
            VLOOKUP($A81, INDIRECT("FebR!$A$6:$ZZ$1048576"), MATCH(M$1, FebR!$6:$6, 0), FALSE),
            0
        ) +
        IFERROR(
            VLOOKUP($A81, INDIRECT("MarR!$A$6:$ZZ$1048576"), MATCH(M$1, MarR!$6:$6, 0), FALSE),
            0
        ) +
        IFERROR(
            VLOOKUP($A81, INDIRECT("AbrR!$A$6:$ZZ$1048576"), MATCH(M$1, AbrR!$6:$6, 0), FALSE),
            0
        ) +
        IFERROR(
            VLOOKUP($A81, INDIRECT("MayR!$A$6:$ZZ$1048576"), MATCH(M$1, MayR!$6:$6, 0), FALSE),
            0
        ) +
        IFERROR(
            VLOOKUP($A81, INDIRECT("JunR!$A$6:$ZZ$1048576"), MATCH(M$1, JunR!$6:$6, 0), FALSE),
            0
        ) +
        IFERROR(
            VLOOKUP($A81, INDIRECT("JulR!$A$6:$ZZ$1048576"), MATCH(M$1, JulR!$6:$6, 0), FALSE),
            0
        ) +
        IFERROR(
            VLOOKUP($A81, INDIRECT("AgoR!$A$6:$ZZ$1048576"), MATCH(M$1, AgoR!$6:$6, 0), FALSE),
            0
        ) +
        IFERROR(
            VLOOKUP($A81, INDIRECT("SepR!$A$6:$ZZ$1048576"), MATCH(M$1, SepR!$6:$6, 0), FALSE),
            0
        ) +
        IFERROR(
            VLOOKUP($A81, INDIRECT("OctR!$A$6:$ZZ$1048576"), MATCH(M$1, OctR!$6:$6, 0), FALSE),
            0
        ) +
        IFERROR(
            VLOOKUP($A81, INDIRECT("NovR!$A$6:$ZZ$1048576"), MATCH(M$1, NovR!$6:$6, 0), FALSE),
            0
        ) +
        IFERROR(
            VLOOKUP($A81, INDIRECT("DicR!$A$6:$ZZ$1048576"), MATCH(M$1, DicR!$6:$6, 0), FALSE),
            0
        )
)</f>
        <v>0</v>
      </c>
      <c r="N81" s="32">
        <f t="array" ref="N81">SUM(
    IFERROR(
            VLOOKUP($A81, INDIRECT("EneR!$A$6:$ZZ$1048576"), MATCH(N$1, EneR!$6:$6, 0), FALSE),
            0
        ) +
        IFERROR(
            VLOOKUP($A81, INDIRECT("FebR!$A$6:$ZZ$1048576"), MATCH(N$1, FebR!$6:$6, 0), FALSE),
            0
        ) +
        IFERROR(
            VLOOKUP($A81, INDIRECT("MarR!$A$6:$ZZ$1048576"), MATCH(N$1, MarR!$6:$6, 0), FALSE),
            0
        ) +
        IFERROR(
            VLOOKUP($A81, INDIRECT("AbrR!$A$6:$ZZ$1048576"), MATCH(N$1, AbrR!$6:$6, 0), FALSE),
            0
        ) +
        IFERROR(
            VLOOKUP($A81, INDIRECT("MayR!$A$6:$ZZ$1048576"), MATCH(N$1, MayR!$6:$6, 0), FALSE),
            0
        ) +
        IFERROR(
            VLOOKUP($A81, INDIRECT("JunR!$A$6:$ZZ$1048576"), MATCH(N$1, JunR!$6:$6, 0), FALSE),
            0
        ) +
        IFERROR(
            VLOOKUP($A81, INDIRECT("JulR!$A$6:$ZZ$1048576"), MATCH(N$1, JulR!$6:$6, 0), FALSE),
            0
        ) +
        IFERROR(
            VLOOKUP($A81, INDIRECT("AgoR!$A$6:$ZZ$1048576"), MATCH(N$1, AgoR!$6:$6, 0), FALSE),
            0
        ) +
        IFERROR(
            VLOOKUP($A81, INDIRECT("SepR!$A$6:$ZZ$1048576"), MATCH(N$1, SepR!$6:$6, 0), FALSE),
            0
        ) +
        IFERROR(
            VLOOKUP($A81, INDIRECT("OctR!$A$6:$ZZ$1048576"), MATCH(N$1, OctR!$6:$6, 0), FALSE),
            0
        ) +
        IFERROR(
            VLOOKUP($A81, INDIRECT("NovR!$A$6:$ZZ$1048576"), MATCH(N$1, NovR!$6:$6, 0), FALSE),
            0
        ) +
        IFERROR(
            VLOOKUP($A81, INDIRECT("DicR!$A$6:$ZZ$1048576"), MATCH(N$1, DicR!$6:$6, 0), FALSE),
            0
        )
)</f>
        <v>0</v>
      </c>
      <c r="O81" s="35">
        <f t="array" ref="O81">SUM(
    IFERROR(
            VLOOKUP($A81, INDIRECT("EneR!$A$6:$ZZ$1048576"), MATCH(O$1, EneR!$6:$6, 0), FALSE),
            0
        ) +
        IFERROR(
            VLOOKUP($A81, INDIRECT("FebR!$A$6:$ZZ$1048576"), MATCH(O$1, FebR!$6:$6, 0), FALSE),
            0
        ) +
        IFERROR(
            VLOOKUP($A81, INDIRECT("MarR!$A$6:$ZZ$1048576"), MATCH(O$1, MarR!$6:$6, 0), FALSE),
            0
        ) +
        IFERROR(
            VLOOKUP($A81, INDIRECT("AbrR!$A$6:$ZZ$1048576"), MATCH(O$1, AbrR!$6:$6, 0), FALSE),
            0
        ) +
        IFERROR(
            VLOOKUP($A81, INDIRECT("MayR!$A$6:$ZZ$1048576"), MATCH(O$1, MayR!$6:$6, 0), FALSE),
            0
        ) +
        IFERROR(
            VLOOKUP($A81, INDIRECT("JunR!$A$6:$ZZ$1048576"), MATCH(O$1, JunR!$6:$6, 0), FALSE),
            0
        ) +
        IFERROR(
            VLOOKUP($A81, INDIRECT("JulR!$A$6:$ZZ$1048576"), MATCH(O$1, JulR!$6:$6, 0), FALSE),
            0
        ) +
        IFERROR(
            VLOOKUP($A81, INDIRECT("AgoR!$A$6:$ZZ$1048576"), MATCH(O$1, AgoR!$6:$6, 0), FALSE),
            0
        ) +
        IFERROR(
            VLOOKUP($A81, INDIRECT("SepR!$A$6:$ZZ$1048576"), MATCH(O$1, SepR!$6:$6, 0), FALSE),
            0
        ) +
        IFERROR(
            VLOOKUP($A81, INDIRECT("OctR!$A$6:$ZZ$1048576"), MATCH(O$1, OctR!$6:$6, 0), FALSE),
            0
        ) +
        IFERROR(
            VLOOKUP($A81, INDIRECT("NovR!$A$6:$ZZ$1048576"), MATCH(O$1, NovR!$6:$6, 0), FALSE),
            0
        ) +
        IFERROR(
            VLOOKUP($A81, INDIRECT("DicR!$A$6:$ZZ$1048576"), MATCH(O$1, DicR!$6:$6, 0), FALSE),
            0
        )
)</f>
        <v>0</v>
      </c>
      <c r="P81" s="32">
        <f t="array" ref="P81">SUM(
    IFERROR(
            VLOOKUP($A81, INDIRECT("EneR!$A$6:$ZZ$1048576"), MATCH(P$1, EneR!$6:$6, 0), FALSE),
            0
        ) +
        IFERROR(
            VLOOKUP($A81, INDIRECT("FebR!$A$6:$ZZ$1048576"), MATCH(P$1, FebR!$6:$6, 0), FALSE),
            0
        ) +
        IFERROR(
            VLOOKUP($A81, INDIRECT("MarR!$A$6:$ZZ$1048576"), MATCH(P$1, MarR!$6:$6, 0), FALSE),
            0
        ) +
        IFERROR(
            VLOOKUP($A81, INDIRECT("AbrR!$A$6:$ZZ$1048576"), MATCH(P$1, AbrR!$6:$6, 0), FALSE),
            0
        ) +
        IFERROR(
            VLOOKUP($A81, INDIRECT("MayR!$A$6:$ZZ$1048576"), MATCH(P$1, MayR!$6:$6, 0), FALSE),
            0
        ) +
        IFERROR(
            VLOOKUP($A81, INDIRECT("JunR!$A$6:$ZZ$1048576"), MATCH(P$1, JunR!$6:$6, 0), FALSE),
            0
        ) +
        IFERROR(
            VLOOKUP($A81, INDIRECT("JulR!$A$6:$ZZ$1048576"), MATCH(P$1, JulR!$6:$6, 0), FALSE),
            0
        ) +
        IFERROR(
            VLOOKUP($A81, INDIRECT("AgoR!$A$6:$ZZ$1048576"), MATCH(P$1, AgoR!$6:$6, 0), FALSE),
            0
        ) +
        IFERROR(
            VLOOKUP($A81, INDIRECT("SepR!$A$6:$ZZ$1048576"), MATCH(P$1, SepR!$6:$6, 0), FALSE),
            0
        ) +
        IFERROR(
            VLOOKUP($A81, INDIRECT("OctR!$A$6:$ZZ$1048576"), MATCH(P$1, OctR!$6:$6, 0), FALSE),
            0
        ) +
        IFERROR(
            VLOOKUP($A81, INDIRECT("NovR!$A$6:$ZZ$1048576"), MATCH(P$1, NovR!$6:$6, 0), FALSE),
            0
        ) +
        IFERROR(
            VLOOKUP($A81, INDIRECT("DicR!$A$6:$ZZ$1048576"), MATCH(P$1, DicR!$6:$6, 0), FALSE),
            0
        )
)</f>
        <v>0</v>
      </c>
      <c r="Q81" s="35">
        <f t="array" ref="Q81">SUM(
    IFERROR(
            VLOOKUP($A81, INDIRECT("EneR!$A$6:$ZZ$1048576"), MATCH(Q$1, EneR!$6:$6, 0), FALSE),
            0
        ) +
        IFERROR(
            VLOOKUP($A81, INDIRECT("FebR!$A$6:$ZZ$1048576"), MATCH(Q$1, FebR!$6:$6, 0), FALSE),
            0
        ) +
        IFERROR(
            VLOOKUP($A81, INDIRECT("MarR!$A$6:$ZZ$1048576"), MATCH(Q$1, MarR!$6:$6, 0), FALSE),
            0
        ) +
        IFERROR(
            VLOOKUP($A81, INDIRECT("AbrR!$A$6:$ZZ$1048576"), MATCH(Q$1, AbrR!$6:$6, 0), FALSE),
            0
        ) +
        IFERROR(
            VLOOKUP($A81, INDIRECT("MayR!$A$6:$ZZ$1048576"), MATCH(Q$1, MayR!$6:$6, 0), FALSE),
            0
        ) +
        IFERROR(
            VLOOKUP($A81, INDIRECT("JunR!$A$6:$ZZ$1048576"), MATCH(Q$1, JunR!$6:$6, 0), FALSE),
            0
        ) +
        IFERROR(
            VLOOKUP($A81, INDIRECT("JulR!$A$6:$ZZ$1048576"), MATCH(Q$1, JulR!$6:$6, 0), FALSE),
            0
        ) +
        IFERROR(
            VLOOKUP($A81, INDIRECT("AgoR!$A$6:$ZZ$1048576"), MATCH(Q$1, AgoR!$6:$6, 0), FALSE),
            0
        ) +
        IFERROR(
            VLOOKUP($A81, INDIRECT("SepR!$A$6:$ZZ$1048576"), MATCH(Q$1, SepR!$6:$6, 0), FALSE),
            0
        ) +
        IFERROR(
            VLOOKUP($A81, INDIRECT("OctR!$A$6:$ZZ$1048576"), MATCH(Q$1, OctR!$6:$6, 0), FALSE),
            0
        ) +
        IFERROR(
            VLOOKUP($A81, INDIRECT("NovR!$A$6:$ZZ$1048576"), MATCH(Q$1, NovR!$6:$6, 0), FALSE),
            0
        ) +
        IFERROR(
            VLOOKUP($A81, INDIRECT("DicR!$A$6:$ZZ$1048576"), MATCH(Q$1, DicR!$6:$6, 0), FALSE),
            0
        )
)</f>
        <v>0</v>
      </c>
      <c r="R81" s="36">
        <f t="array" ref="R81">SUM(
    IFERROR(
            VLOOKUP($A81, INDIRECT("EneR!$A$6:$ZZ$1048576"), MATCH(R$1, EneR!$6:$6, 0), FALSE),
            0
        ) +
        IFERROR(
            VLOOKUP($A81, INDIRECT("FebR!$A$6:$ZZ$1048576"), MATCH(R$1, FebR!$6:$6, 0), FALSE),
            0
        ) +
        IFERROR(
            VLOOKUP($A81, INDIRECT("MarR!$A$6:$ZZ$1048576"), MATCH(R$1, MarR!$6:$6, 0), FALSE),
            0
        ) +
        IFERROR(
            VLOOKUP($A81, INDIRECT("AbrR!$A$6:$ZZ$1048576"), MATCH(R$1, AbrR!$6:$6, 0), FALSE),
            0
        ) +
        IFERROR(
            VLOOKUP($A81, INDIRECT("MayR!$A$6:$ZZ$1048576"), MATCH(R$1, MayR!$6:$6, 0), FALSE),
            0
        ) +
        IFERROR(
            VLOOKUP($A81, INDIRECT("JunR!$A$6:$ZZ$1048576"), MATCH(R$1, JunR!$6:$6, 0), FALSE),
            0
        ) +
        IFERROR(
            VLOOKUP($A81, INDIRECT("JulR!$A$6:$ZZ$1048576"), MATCH(R$1, JulR!$6:$6, 0), FALSE),
            0
        ) +
        IFERROR(
            VLOOKUP($A81, INDIRECT("AgoR!$A$6:$ZZ$1048576"), MATCH(R$1, AgoR!$6:$6, 0), FALSE),
            0
        ) +
        IFERROR(
            VLOOKUP($A81, INDIRECT("SepR!$A$6:$ZZ$1048576"), MATCH(R$1, SepR!$6:$6, 0), FALSE),
            0
        ) +
        IFERROR(
            VLOOKUP($A81, INDIRECT("OctR!$A$6:$ZZ$1048576"), MATCH(R$1, OctR!$6:$6, 0), FALSE),
            0
        ) +
        IFERROR(
            VLOOKUP($A81, INDIRECT("NovR!$A$6:$ZZ$1048576"), MATCH(R$1, NovR!$6:$6, 0), FALSE),
            0
        ) +
        IFERROR(
            VLOOKUP($A81, INDIRECT("DicR!$A$6:$ZZ$1048576"), MATCH(R$1, DicR!$6:$6, 0), FALSE),
            0
        )
)</f>
        <v>0</v>
      </c>
      <c r="S81" s="37">
        <f t="array" ref="S81">SUM(
    IFERROR(
            VLOOKUP($A81, INDIRECT("EneR!$A$6:$ZZ$1048576"), MATCH(S$1, EneR!$6:$6, 0), FALSE),
            0
        ) +
        IFERROR(
            VLOOKUP($A81, INDIRECT("FebR!$A$6:$ZZ$1048576"), MATCH(S$1, FebR!$6:$6, 0), FALSE),
            0
        ) +
        IFERROR(
            VLOOKUP($A81, INDIRECT("MarR!$A$6:$ZZ$1048576"), MATCH(S$1, MarR!$6:$6, 0), FALSE),
            0
        ) +
        IFERROR(
            VLOOKUP($A81, INDIRECT("AbrR!$A$6:$ZZ$1048576"), MATCH(S$1, AbrR!$6:$6, 0), FALSE),
            0
        ) +
        IFERROR(
            VLOOKUP($A81, INDIRECT("MayR!$A$6:$ZZ$1048576"), MATCH(S$1, MayR!$6:$6, 0), FALSE),
            0
        ) +
        IFERROR(
            VLOOKUP($A81, INDIRECT("JunR!$A$6:$ZZ$1048576"), MATCH(S$1, JunR!$6:$6, 0), FALSE),
            0
        ) +
        IFERROR(
            VLOOKUP($A81, INDIRECT("JulR!$A$6:$ZZ$1048576"), MATCH(S$1, JulR!$6:$6, 0), FALSE),
            0
        ) +
        IFERROR(
            VLOOKUP($A81, INDIRECT("AgoR!$A$6:$ZZ$1048576"), MATCH(S$1, AgoR!$6:$6, 0), FALSE),
            0
        ) +
        IFERROR(
            VLOOKUP($A81, INDIRECT("SepR!$A$6:$ZZ$1048576"), MATCH(S$1, SepR!$6:$6, 0), FALSE),
            0
        ) +
        IFERROR(
            VLOOKUP($A81, INDIRECT("OctR!$A$6:$ZZ$1048576"), MATCH(S$1, OctR!$6:$6, 0), FALSE),
            0
        ) +
        IFERROR(
            VLOOKUP($A81, INDIRECT("NovR!$A$6:$ZZ$1048576"), MATCH(S$1, NovR!$6:$6, 0), FALSE),
            0
        ) +
        IFERROR(
            VLOOKUP($A81, INDIRECT("DicR!$A$6:$ZZ$1048576"), MATCH(S$1, DicR!$6:$6, 0), FALSE),
            0
        )
)</f>
        <v>0</v>
      </c>
      <c r="T81" s="36">
        <f t="array" ref="T81">SUM(
    IFERROR(
            VLOOKUP($A81, INDIRECT("EneR!$A$6:$ZZ$1048576"), MATCH(T$1, EneR!$6:$6, 0), FALSE),
            0
        ) +
        IFERROR(
            VLOOKUP($A81, INDIRECT("FebR!$A$6:$ZZ$1048576"), MATCH(T$1, FebR!$6:$6, 0), FALSE),
            0
        ) +
        IFERROR(
            VLOOKUP($A81, INDIRECT("MarR!$A$6:$ZZ$1048576"), MATCH(T$1, MarR!$6:$6, 0), FALSE),
            0
        ) +
        IFERROR(
            VLOOKUP($A81, INDIRECT("AbrR!$A$6:$ZZ$1048576"), MATCH(T$1, AbrR!$6:$6, 0), FALSE),
            0
        ) +
        IFERROR(
            VLOOKUP($A81, INDIRECT("MayR!$A$6:$ZZ$1048576"), MATCH(T$1, MayR!$6:$6, 0), FALSE),
            0
        ) +
        IFERROR(
            VLOOKUP($A81, INDIRECT("JunR!$A$6:$ZZ$1048576"), MATCH(T$1, JunR!$6:$6, 0), FALSE),
            0
        ) +
        IFERROR(
            VLOOKUP($A81, INDIRECT("JulR!$A$6:$ZZ$1048576"), MATCH(T$1, JulR!$6:$6, 0), FALSE),
            0
        ) +
        IFERROR(
            VLOOKUP($A81, INDIRECT("AgoR!$A$6:$ZZ$1048576"), MATCH(T$1, AgoR!$6:$6, 0), FALSE),
            0
        ) +
        IFERROR(
            VLOOKUP($A81, INDIRECT("SepR!$A$6:$ZZ$1048576"), MATCH(T$1, SepR!$6:$6, 0), FALSE),
            0
        ) +
        IFERROR(
            VLOOKUP($A81, INDIRECT("OctR!$A$6:$ZZ$1048576"), MATCH(T$1, OctR!$6:$6, 0), FALSE),
            0
        ) +
        IFERROR(
            VLOOKUP($A81, INDIRECT("NovR!$A$6:$ZZ$1048576"), MATCH(T$1, NovR!$6:$6, 0), FALSE),
            0
        ) +
        IFERROR(
            VLOOKUP($A81, INDIRECT("DicR!$A$6:$ZZ$1048576"), MATCH(T$1, DicR!$6:$6, 0), FALSE),
            0
        )
)</f>
        <v>0</v>
      </c>
      <c r="U81" s="37">
        <f t="array" ref="U81">SUM(
    IFERROR(
            VLOOKUP($A81, INDIRECT("EneR!$A$6:$ZZ$1048576"), MATCH(U$1, EneR!$6:$6, 0), FALSE),
            0
        ) +
        IFERROR(
            VLOOKUP($A81, INDIRECT("FebR!$A$6:$ZZ$1048576"), MATCH(U$1, FebR!$6:$6, 0), FALSE),
            0
        ) +
        IFERROR(
            VLOOKUP($A81, INDIRECT("MarR!$A$6:$ZZ$1048576"), MATCH(U$1, MarR!$6:$6, 0), FALSE),
            0
        ) +
        IFERROR(
            VLOOKUP($A81, INDIRECT("AbrR!$A$6:$ZZ$1048576"), MATCH(U$1, AbrR!$6:$6, 0), FALSE),
            0
        ) +
        IFERROR(
            VLOOKUP($A81, INDIRECT("MayR!$A$6:$ZZ$1048576"), MATCH(U$1, MayR!$6:$6, 0), FALSE),
            0
        ) +
        IFERROR(
            VLOOKUP($A81, INDIRECT("JunR!$A$6:$ZZ$1048576"), MATCH(U$1, JunR!$6:$6, 0), FALSE),
            0
        ) +
        IFERROR(
            VLOOKUP($A81, INDIRECT("JulR!$A$6:$ZZ$1048576"), MATCH(U$1, JulR!$6:$6, 0), FALSE),
            0
        ) +
        IFERROR(
            VLOOKUP($A81, INDIRECT("AgoR!$A$6:$ZZ$1048576"), MATCH(U$1, AgoR!$6:$6, 0), FALSE),
            0
        ) +
        IFERROR(
            VLOOKUP($A81, INDIRECT("SepR!$A$6:$ZZ$1048576"), MATCH(U$1, SepR!$6:$6, 0), FALSE),
            0
        ) +
        IFERROR(
            VLOOKUP($A81, INDIRECT("OctR!$A$6:$ZZ$1048576"), MATCH(U$1, OctR!$6:$6, 0), FALSE),
            0
        ) +
        IFERROR(
            VLOOKUP($A81, INDIRECT("NovR!$A$6:$ZZ$1048576"), MATCH(U$1, NovR!$6:$6, 0), FALSE),
            0
        ) +
        IFERROR(
            VLOOKUP($A81, INDIRECT("DicR!$A$6:$ZZ$1048576"), MATCH(U$1, DicR!$6:$6, 0), FALSE),
            0
        )
)</f>
        <v>0</v>
      </c>
      <c r="V81" s="36">
        <f t="array" ref="V81">SUM(
    IFERROR(
            VLOOKUP($A81, INDIRECT("EneR!$A$6:$ZZ$1048576"), MATCH(V$1, EneR!$6:$6, 0), FALSE),
            0
        ) +
        IFERROR(
            VLOOKUP($A81, INDIRECT("FebR!$A$6:$ZZ$1048576"), MATCH(V$1, FebR!$6:$6, 0), FALSE),
            0
        ) +
        IFERROR(
            VLOOKUP($A81, INDIRECT("MarR!$A$6:$ZZ$1048576"), MATCH(V$1, MarR!$6:$6, 0), FALSE),
            0
        ) +
        IFERROR(
            VLOOKUP($A81, INDIRECT("AbrR!$A$6:$ZZ$1048576"), MATCH(V$1, AbrR!$6:$6, 0), FALSE),
            0
        ) +
        IFERROR(
            VLOOKUP($A81, INDIRECT("MayR!$A$6:$ZZ$1048576"), MATCH(V$1, MayR!$6:$6, 0), FALSE),
            0
        ) +
        IFERROR(
            VLOOKUP($A81, INDIRECT("JunR!$A$6:$ZZ$1048576"), MATCH(V$1, JunR!$6:$6, 0), FALSE),
            0
        ) +
        IFERROR(
            VLOOKUP($A81, INDIRECT("JulR!$A$6:$ZZ$1048576"), MATCH(V$1, JulR!$6:$6, 0), FALSE),
            0
        ) +
        IFERROR(
            VLOOKUP($A81, INDIRECT("AgoR!$A$6:$ZZ$1048576"), MATCH(V$1, AgoR!$6:$6, 0), FALSE),
            0
        ) +
        IFERROR(
            VLOOKUP($A81, INDIRECT("SepR!$A$6:$ZZ$1048576"), MATCH(V$1, SepR!$6:$6, 0), FALSE),
            0
        ) +
        IFERROR(
            VLOOKUP($A81, INDIRECT("OctR!$A$6:$ZZ$1048576"), MATCH(V$1, OctR!$6:$6, 0), FALSE),
            0
        ) +
        IFERROR(
            VLOOKUP($A81, INDIRECT("NovR!$A$6:$ZZ$1048576"), MATCH(V$1, NovR!$6:$6, 0), FALSE),
            0
        ) +
        IFERROR(
            VLOOKUP($A81, INDIRECT("DicR!$A$6:$ZZ$1048576"), MATCH(V$1, DicR!$6:$6, 0), FALSE),
            0
        )
)</f>
        <v>0</v>
      </c>
      <c r="W81" s="37">
        <f t="array" ref="W81">SUM(
    IFERROR(
            VLOOKUP($A81, INDIRECT("EneR!$A$6:$ZZ$1048576"), MATCH(W$1, EneR!$6:$6, 0), FALSE),
            0
        ) +
        IFERROR(
            VLOOKUP($A81, INDIRECT("FebR!$A$6:$ZZ$1048576"), MATCH(W$1, FebR!$6:$6, 0), FALSE),
            0
        ) +
        IFERROR(
            VLOOKUP($A81, INDIRECT("MarR!$A$6:$ZZ$1048576"), MATCH(W$1, MarR!$6:$6, 0), FALSE),
            0
        ) +
        IFERROR(
            VLOOKUP($A81, INDIRECT("AbrR!$A$6:$ZZ$1048576"), MATCH(W$1, AbrR!$6:$6, 0), FALSE),
            0
        ) +
        IFERROR(
            VLOOKUP($A81, INDIRECT("MayR!$A$6:$ZZ$1048576"), MATCH(W$1, MayR!$6:$6, 0), FALSE),
            0
        ) +
        IFERROR(
            VLOOKUP($A81, INDIRECT("JunR!$A$6:$ZZ$1048576"), MATCH(W$1, JunR!$6:$6, 0), FALSE),
            0
        ) +
        IFERROR(
            VLOOKUP($A81, INDIRECT("JulR!$A$6:$ZZ$1048576"), MATCH(W$1, JulR!$6:$6, 0), FALSE),
            0
        ) +
        IFERROR(
            VLOOKUP($A81, INDIRECT("AgoR!$A$6:$ZZ$1048576"), MATCH(W$1, AgoR!$6:$6, 0), FALSE),
            0
        ) +
        IFERROR(
            VLOOKUP($A81, INDIRECT("SepR!$A$6:$ZZ$1048576"), MATCH(W$1, SepR!$6:$6, 0), FALSE),
            0
        ) +
        IFERROR(
            VLOOKUP($A81, INDIRECT("OctR!$A$6:$ZZ$1048576"), MATCH(W$1, OctR!$6:$6, 0), FALSE),
            0
        ) +
        IFERROR(
            VLOOKUP($A81, INDIRECT("NovR!$A$6:$ZZ$1048576"), MATCH(W$1, NovR!$6:$6, 0), FALSE),
            0
        ) +
        IFERROR(
            VLOOKUP($A81, INDIRECT("DicR!$A$6:$ZZ$1048576"), MATCH(W$1, DicR!$6:$6, 0), FALSE),
            0
        )
)</f>
        <v>0</v>
      </c>
      <c r="X81" s="36">
        <f t="array" ref="X81">SUM(
    IFERROR(
            VLOOKUP($A81, INDIRECT("EneR!$A$6:$ZZ$1048576"), MATCH(X$1, EneR!$6:$6, 0), FALSE),
            0
        ) +
        IFERROR(
            VLOOKUP($A81, INDIRECT("FebR!$A$6:$ZZ$1048576"), MATCH(X$1, FebR!$6:$6, 0), FALSE),
            0
        ) +
        IFERROR(
            VLOOKUP($A81, INDIRECT("MarR!$A$6:$ZZ$1048576"), MATCH(X$1, MarR!$6:$6, 0), FALSE),
            0
        ) +
        IFERROR(
            VLOOKUP($A81, INDIRECT("AbrR!$A$6:$ZZ$1048576"), MATCH(X$1, AbrR!$6:$6, 0), FALSE),
            0
        ) +
        IFERROR(
            VLOOKUP($A81, INDIRECT("MayR!$A$6:$ZZ$1048576"), MATCH(X$1, MayR!$6:$6, 0), FALSE),
            0
        ) +
        IFERROR(
            VLOOKUP($A81, INDIRECT("JunR!$A$6:$ZZ$1048576"), MATCH(X$1, JunR!$6:$6, 0), FALSE),
            0
        ) +
        IFERROR(
            VLOOKUP($A81, INDIRECT("JulR!$A$6:$ZZ$1048576"), MATCH(X$1, JulR!$6:$6, 0), FALSE),
            0
        ) +
        IFERROR(
            VLOOKUP($A81, INDIRECT("AgoR!$A$6:$ZZ$1048576"), MATCH(X$1, AgoR!$6:$6, 0), FALSE),
            0
        ) +
        IFERROR(
            VLOOKUP($A81, INDIRECT("SepR!$A$6:$ZZ$1048576"), MATCH(X$1, SepR!$6:$6, 0), FALSE),
            0
        ) +
        IFERROR(
            VLOOKUP($A81, INDIRECT("OctR!$A$6:$ZZ$1048576"), MATCH(X$1, OctR!$6:$6, 0), FALSE),
            0
        ) +
        IFERROR(
            VLOOKUP($A81, INDIRECT("NovR!$A$6:$ZZ$1048576"), MATCH(X$1, NovR!$6:$6, 0), FALSE),
            0
        ) +
        IFERROR(
            VLOOKUP($A81, INDIRECT("DicR!$A$6:$ZZ$1048576"), MATCH(X$1, DicR!$6:$6, 0), FALSE),
            0
        )
)</f>
        <v>0</v>
      </c>
      <c r="Y81" s="37">
        <f t="array" ref="Y81">SUM(
    IFERROR(
            VLOOKUP($A81, INDIRECT("EneR!$A$6:$ZZ$1048576"), MATCH(Y$1, EneR!$6:$6, 0), FALSE),
            0
        ) +
        IFERROR(
            VLOOKUP($A81, INDIRECT("FebR!$A$6:$ZZ$1048576"), MATCH(Y$1, FebR!$6:$6, 0), FALSE),
            0
        ) +
        IFERROR(
            VLOOKUP($A81, INDIRECT("MarR!$A$6:$ZZ$1048576"), MATCH(Y$1, MarR!$6:$6, 0), FALSE),
            0
        ) +
        IFERROR(
            VLOOKUP($A81, INDIRECT("AbrR!$A$6:$ZZ$1048576"), MATCH(Y$1, AbrR!$6:$6, 0), FALSE),
            0
        ) +
        IFERROR(
            VLOOKUP($A81, INDIRECT("MayR!$A$6:$ZZ$1048576"), MATCH(Y$1, MayR!$6:$6, 0), FALSE),
            0
        ) +
        IFERROR(
            VLOOKUP($A81, INDIRECT("JunR!$A$6:$ZZ$1048576"), MATCH(Y$1, JunR!$6:$6, 0), FALSE),
            0
        ) +
        IFERROR(
            VLOOKUP($A81, INDIRECT("JulR!$A$6:$ZZ$1048576"), MATCH(Y$1, JulR!$6:$6, 0), FALSE),
            0
        ) +
        IFERROR(
            VLOOKUP($A81, INDIRECT("AgoR!$A$6:$ZZ$1048576"), MATCH(Y$1, AgoR!$6:$6, 0), FALSE),
            0
        ) +
        IFERROR(
            VLOOKUP($A81, INDIRECT("SepR!$A$6:$ZZ$1048576"), MATCH(Y$1, SepR!$6:$6, 0), FALSE),
            0
        ) +
        IFERROR(
            VLOOKUP($A81, INDIRECT("OctR!$A$6:$ZZ$1048576"), MATCH(Y$1, OctR!$6:$6, 0), FALSE),
            0
        ) +
        IFERROR(
            VLOOKUP($A81, INDIRECT("NovR!$A$6:$ZZ$1048576"), MATCH(Y$1, NovR!$6:$6, 0), FALSE),
            0
        ) +
        IFERROR(
            VLOOKUP($A81, INDIRECT("DicR!$A$6:$ZZ$1048576"), MATCH(Y$1, DicR!$6:$6, 0), FALSE),
            0
        )
)</f>
        <v>0</v>
      </c>
      <c r="Z81" s="36">
        <f t="array" ref="Z81">SUM(
    IFERROR(
            VLOOKUP($A81, INDIRECT("EneR!$A$6:$ZZ$1048576"), MATCH(Z$1, EneR!$6:$6, 0), FALSE),
            0
        ) +
        IFERROR(
            VLOOKUP($A81, INDIRECT("FebR!$A$6:$ZZ$1048576"), MATCH(Z$1, FebR!$6:$6, 0), FALSE),
            0
        ) +
        IFERROR(
            VLOOKUP($A81, INDIRECT("MarR!$A$6:$ZZ$1048576"), MATCH(Z$1, MarR!$6:$6, 0), FALSE),
            0
        ) +
        IFERROR(
            VLOOKUP($A81, INDIRECT("AbrR!$A$6:$ZZ$1048576"), MATCH(Z$1, AbrR!$6:$6, 0), FALSE),
            0
        ) +
        IFERROR(
            VLOOKUP($A81, INDIRECT("MayR!$A$6:$ZZ$1048576"), MATCH(Z$1, MayR!$6:$6, 0), FALSE),
            0
        ) +
        IFERROR(
            VLOOKUP($A81, INDIRECT("JunR!$A$6:$ZZ$1048576"), MATCH(Z$1, JunR!$6:$6, 0), FALSE),
            0
        ) +
        IFERROR(
            VLOOKUP($A81, INDIRECT("JulR!$A$6:$ZZ$1048576"), MATCH(Z$1, JulR!$6:$6, 0), FALSE),
            0
        ) +
        IFERROR(
            VLOOKUP($A81, INDIRECT("AgoR!$A$6:$ZZ$1048576"), MATCH(Z$1, AgoR!$6:$6, 0), FALSE),
            0
        ) +
        IFERROR(
            VLOOKUP($A81, INDIRECT("SepR!$A$6:$ZZ$1048576"), MATCH(Z$1, SepR!$6:$6, 0), FALSE),
            0
        ) +
        IFERROR(
            VLOOKUP($A81, INDIRECT("OctR!$A$6:$ZZ$1048576"), MATCH(Z$1, OctR!$6:$6, 0), FALSE),
            0
        ) +
        IFERROR(
            VLOOKUP($A81, INDIRECT("NovR!$A$6:$ZZ$1048576"), MATCH(Z$1, NovR!$6:$6, 0), FALSE),
            0
        ) +
        IFERROR(
            VLOOKUP($A81, INDIRECT("DicR!$A$6:$ZZ$1048576"), MATCH(Z$1, DicR!$6:$6, 0), FALSE),
            0
        )
)</f>
        <v>0</v>
      </c>
      <c r="AA81" s="37">
        <f t="array" ref="AA81">SUM(
    IFERROR(
            VLOOKUP($A81, INDIRECT("EneR!$A$6:$ZZ$1048576"), MATCH(AA$1, EneR!$6:$6, 0), FALSE),
            0
        ) +
        IFERROR(
            VLOOKUP($A81, INDIRECT("FebR!$A$6:$ZZ$1048576"), MATCH(AA$1, FebR!$6:$6, 0), FALSE),
            0
        ) +
        IFERROR(
            VLOOKUP($A81, INDIRECT("MarR!$A$6:$ZZ$1048576"), MATCH(AA$1, MarR!$6:$6, 0), FALSE),
            0
        ) +
        IFERROR(
            VLOOKUP($A81, INDIRECT("AbrR!$A$6:$ZZ$1048576"), MATCH(AA$1, AbrR!$6:$6, 0), FALSE),
            0
        ) +
        IFERROR(
            VLOOKUP($A81, INDIRECT("MayR!$A$6:$ZZ$1048576"), MATCH(AA$1, MayR!$6:$6, 0), FALSE),
            0
        ) +
        IFERROR(
            VLOOKUP($A81, INDIRECT("JunR!$A$6:$ZZ$1048576"), MATCH(AA$1, JunR!$6:$6, 0), FALSE),
            0
        ) +
        IFERROR(
            VLOOKUP($A81, INDIRECT("JulR!$A$6:$ZZ$1048576"), MATCH(AA$1, JulR!$6:$6, 0), FALSE),
            0
        ) +
        IFERROR(
            VLOOKUP($A81, INDIRECT("AgoR!$A$6:$ZZ$1048576"), MATCH(AA$1, AgoR!$6:$6, 0), FALSE),
            0
        ) +
        IFERROR(
            VLOOKUP($A81, INDIRECT("SepR!$A$6:$ZZ$1048576"), MATCH(AA$1, SepR!$6:$6, 0), FALSE),
            0
        ) +
        IFERROR(
            VLOOKUP($A81, INDIRECT("OctR!$A$6:$ZZ$1048576"), MATCH(AA$1, OctR!$6:$6, 0), FALSE),
            0
        ) +
        IFERROR(
            VLOOKUP($A81, INDIRECT("NovR!$A$6:$ZZ$1048576"), MATCH(AA$1, NovR!$6:$6, 0), FALSE),
            0
        ) +
        IFERROR(
            VLOOKUP($A81, INDIRECT("DicR!$A$6:$ZZ$1048576"), MATCH(AA$1, DicR!$6:$6, 0), FALSE),
            0
        )
)</f>
        <v>0</v>
      </c>
      <c r="AB81" s="36">
        <f t="array" ref="AB81">SUM(
    IFERROR(
            VLOOKUP($A81, INDIRECT("EneR!$A$6:$ZZ$1048576"), MATCH(AB$1, EneR!$6:$6, 0), FALSE),
            0
        ) +
        IFERROR(
            VLOOKUP($A81, INDIRECT("FebR!$A$6:$ZZ$1048576"), MATCH(AB$1, FebR!$6:$6, 0), FALSE),
            0
        ) +
        IFERROR(
            VLOOKUP($A81, INDIRECT("MarR!$A$6:$ZZ$1048576"), MATCH(AB$1, MarR!$6:$6, 0), FALSE),
            0
        ) +
        IFERROR(
            VLOOKUP($A81, INDIRECT("AbrR!$A$6:$ZZ$1048576"), MATCH(AB$1, AbrR!$6:$6, 0), FALSE),
            0
        ) +
        IFERROR(
            VLOOKUP($A81, INDIRECT("MayR!$A$6:$ZZ$1048576"), MATCH(AB$1, MayR!$6:$6, 0), FALSE),
            0
        ) +
        IFERROR(
            VLOOKUP($A81, INDIRECT("JunR!$A$6:$ZZ$1048576"), MATCH(AB$1, JunR!$6:$6, 0), FALSE),
            0
        ) +
        IFERROR(
            VLOOKUP($A81, INDIRECT("JulR!$A$6:$ZZ$1048576"), MATCH(AB$1, JulR!$6:$6, 0), FALSE),
            0
        ) +
        IFERROR(
            VLOOKUP($A81, INDIRECT("AgoR!$A$6:$ZZ$1048576"), MATCH(AB$1, AgoR!$6:$6, 0), FALSE),
            0
        ) +
        IFERROR(
            VLOOKUP($A81, INDIRECT("SepR!$A$6:$ZZ$1048576"), MATCH(AB$1, SepR!$6:$6, 0), FALSE),
            0
        ) +
        IFERROR(
            VLOOKUP($A81, INDIRECT("OctR!$A$6:$ZZ$1048576"), MATCH(AB$1, OctR!$6:$6, 0), FALSE),
            0
        ) +
        IFERROR(
            VLOOKUP($A81, INDIRECT("NovR!$A$6:$ZZ$1048576"), MATCH(AB$1, NovR!$6:$6, 0), FALSE),
            0
        ) +
        IFERROR(
            VLOOKUP($A81, INDIRECT("DicR!$A$6:$ZZ$1048576"), MATCH(AB$1, DicR!$6:$6, 0), FALSE),
            0
        )
)</f>
        <v>0</v>
      </c>
      <c r="AC81" s="37">
        <f t="array" ref="AC81">SUM(
    IFERROR(
            VLOOKUP($A81, INDIRECT("EneR!$A$6:$ZZ$1048576"), MATCH(AC$1, EneR!$6:$6, 0), FALSE),
            0
        ) +
        IFERROR(
            VLOOKUP($A81, INDIRECT("FebR!$A$6:$ZZ$1048576"), MATCH(AC$1, FebR!$6:$6, 0), FALSE),
            0
        ) +
        IFERROR(
            VLOOKUP($A81, INDIRECT("MarR!$A$6:$ZZ$1048576"), MATCH(AC$1, MarR!$6:$6, 0), FALSE),
            0
        ) +
        IFERROR(
            VLOOKUP($A81, INDIRECT("AbrR!$A$6:$ZZ$1048576"), MATCH(AC$1, AbrR!$6:$6, 0), FALSE),
            0
        ) +
        IFERROR(
            VLOOKUP($A81, INDIRECT("MayR!$A$6:$ZZ$1048576"), MATCH(AC$1, MayR!$6:$6, 0), FALSE),
            0
        ) +
        IFERROR(
            VLOOKUP($A81, INDIRECT("JunR!$A$6:$ZZ$1048576"), MATCH(AC$1, JunR!$6:$6, 0), FALSE),
            0
        ) +
        IFERROR(
            VLOOKUP($A81, INDIRECT("JulR!$A$6:$ZZ$1048576"), MATCH(AC$1, JulR!$6:$6, 0), FALSE),
            0
        ) +
        IFERROR(
            VLOOKUP($A81, INDIRECT("AgoR!$A$6:$ZZ$1048576"), MATCH(AC$1, AgoR!$6:$6, 0), FALSE),
            0
        ) +
        IFERROR(
            VLOOKUP($A81, INDIRECT("SepR!$A$6:$ZZ$1048576"), MATCH(AC$1, SepR!$6:$6, 0), FALSE),
            0
        ) +
        IFERROR(
            VLOOKUP($A81, INDIRECT("OctR!$A$6:$ZZ$1048576"), MATCH(AC$1, OctR!$6:$6, 0), FALSE),
            0
        ) +
        IFERROR(
            VLOOKUP($A81, INDIRECT("NovR!$A$6:$ZZ$1048576"), MATCH(AC$1, NovR!$6:$6, 0), FALSE),
            0
        ) +
        IFERROR(
            VLOOKUP($A81, INDIRECT("DicR!$A$6:$ZZ$1048576"), MATCH(AC$1, DicR!$6:$6, 0), FALSE),
            0
        )
)</f>
        <v>0</v>
      </c>
      <c r="AD81" s="36">
        <f t="array" ref="AD81">SUM(
    IFERROR(
            VLOOKUP($A81, INDIRECT("EneR!$A$6:$ZZ$1048576"), MATCH(AD$1, EneR!$6:$6, 0), FALSE),
            0
        ) +
        IFERROR(
            VLOOKUP($A81, INDIRECT("FebR!$A$6:$ZZ$1048576"), MATCH(AD$1, FebR!$6:$6, 0), FALSE),
            0
        ) +
        IFERROR(
            VLOOKUP($A81, INDIRECT("MarR!$A$6:$ZZ$1048576"), MATCH(AD$1, MarR!$6:$6, 0), FALSE),
            0
        ) +
        IFERROR(
            VLOOKUP($A81, INDIRECT("AbrR!$A$6:$ZZ$1048576"), MATCH(AD$1, AbrR!$6:$6, 0), FALSE),
            0
        ) +
        IFERROR(
            VLOOKUP($A81, INDIRECT("MayR!$A$6:$ZZ$1048576"), MATCH(AD$1, MayR!$6:$6, 0), FALSE),
            0
        ) +
        IFERROR(
            VLOOKUP($A81, INDIRECT("JunR!$A$6:$ZZ$1048576"), MATCH(AD$1, JunR!$6:$6, 0), FALSE),
            0
        ) +
        IFERROR(
            VLOOKUP($A81, INDIRECT("JulR!$A$6:$ZZ$1048576"), MATCH(AD$1, JulR!$6:$6, 0), FALSE),
            0
        ) +
        IFERROR(
            VLOOKUP($A81, INDIRECT("AgoR!$A$6:$ZZ$1048576"), MATCH(AD$1, AgoR!$6:$6, 0), FALSE),
            0
        ) +
        IFERROR(
            VLOOKUP($A81, INDIRECT("SepR!$A$6:$ZZ$1048576"), MATCH(AD$1, SepR!$6:$6, 0), FALSE),
            0
        ) +
        IFERROR(
            VLOOKUP($A81, INDIRECT("OctR!$A$6:$ZZ$1048576"), MATCH(AD$1, OctR!$6:$6, 0), FALSE),
            0
        ) +
        IFERROR(
            VLOOKUP($A81, INDIRECT("NovR!$A$6:$ZZ$1048576"), MATCH(AD$1, NovR!$6:$6, 0), FALSE),
            0
        ) +
        IFERROR(
            VLOOKUP($A81, INDIRECT("DicR!$A$6:$ZZ$1048576"), MATCH(AD$1, DicR!$6:$6, 0), FALSE),
            0
        )
)</f>
        <v>0</v>
      </c>
      <c r="AE81" s="37">
        <f t="array" ref="AE81">SUM(
    IFERROR(
            VLOOKUP($A81, INDIRECT("EneR!$A$6:$ZZ$1048576"), MATCH(AE$1, EneR!$6:$6, 0), FALSE),
            0
        ) +
        IFERROR(
            VLOOKUP($A81, INDIRECT("FebR!$A$6:$ZZ$1048576"), MATCH(AE$1, FebR!$6:$6, 0), FALSE),
            0
        ) +
        IFERROR(
            VLOOKUP($A81, INDIRECT("MarR!$A$6:$ZZ$1048576"), MATCH(AE$1, MarR!$6:$6, 0), FALSE),
            0
        ) +
        IFERROR(
            VLOOKUP($A81, INDIRECT("AbrR!$A$6:$ZZ$1048576"), MATCH(AE$1, AbrR!$6:$6, 0), FALSE),
            0
        ) +
        IFERROR(
            VLOOKUP($A81, INDIRECT("MayR!$A$6:$ZZ$1048576"), MATCH(AE$1, MayR!$6:$6, 0), FALSE),
            0
        ) +
        IFERROR(
            VLOOKUP($A81, INDIRECT("JunR!$A$6:$ZZ$1048576"), MATCH(AE$1, JunR!$6:$6, 0), FALSE),
            0
        ) +
        IFERROR(
            VLOOKUP($A81, INDIRECT("JulR!$A$6:$ZZ$1048576"), MATCH(AE$1, JulR!$6:$6, 0), FALSE),
            0
        ) +
        IFERROR(
            VLOOKUP($A81, INDIRECT("AgoR!$A$6:$ZZ$1048576"), MATCH(AE$1, AgoR!$6:$6, 0), FALSE),
            0
        ) +
        IFERROR(
            VLOOKUP($A81, INDIRECT("SepR!$A$6:$ZZ$1048576"), MATCH(AE$1, SepR!$6:$6, 0), FALSE),
            0
        ) +
        IFERROR(
            VLOOKUP($A81, INDIRECT("OctR!$A$6:$ZZ$1048576"), MATCH(AE$1, OctR!$6:$6, 0), FALSE),
            0
        ) +
        IFERROR(
            VLOOKUP($A81, INDIRECT("NovR!$A$6:$ZZ$1048576"), MATCH(AE$1, NovR!$6:$6, 0), FALSE),
            0
        ) +
        IFERROR(
            VLOOKUP($A81, INDIRECT("DicR!$A$6:$ZZ$1048576"), MATCH(AE$1, DicR!$6:$6, 0), FALSE),
            0
        )
)</f>
        <v>0</v>
      </c>
      <c r="AF81" s="36">
        <f t="array" ref="AF81">SUM(
    IFERROR(
            VLOOKUP($A81, INDIRECT("EneR!$A$6:$ZZ$1048576"), MATCH(AF$1, EneR!$6:$6, 0), FALSE),
            0
        ) +
        IFERROR(
            VLOOKUP($A81, INDIRECT("FebR!$A$6:$ZZ$1048576"), MATCH(AF$1, FebR!$6:$6, 0), FALSE),
            0
        ) +
        IFERROR(
            VLOOKUP($A81, INDIRECT("MarR!$A$6:$ZZ$1048576"), MATCH(AF$1, MarR!$6:$6, 0), FALSE),
            0
        ) +
        IFERROR(
            VLOOKUP($A81, INDIRECT("AbrR!$A$6:$ZZ$1048576"), MATCH(AF$1, AbrR!$6:$6, 0), FALSE),
            0
        ) +
        IFERROR(
            VLOOKUP($A81, INDIRECT("MayR!$A$6:$ZZ$1048576"), MATCH(AF$1, MayR!$6:$6, 0), FALSE),
            0
        ) +
        IFERROR(
            VLOOKUP($A81, INDIRECT("JunR!$A$6:$ZZ$1048576"), MATCH(AF$1, JunR!$6:$6, 0), FALSE),
            0
        ) +
        IFERROR(
            VLOOKUP($A81, INDIRECT("JulR!$A$6:$ZZ$1048576"), MATCH(AF$1, JulR!$6:$6, 0), FALSE),
            0
        ) +
        IFERROR(
            VLOOKUP($A81, INDIRECT("AgoR!$A$6:$ZZ$1048576"), MATCH(AF$1, AgoR!$6:$6, 0), FALSE),
            0
        ) +
        IFERROR(
            VLOOKUP($A81, INDIRECT("SepR!$A$6:$ZZ$1048576"), MATCH(AF$1, SepR!$6:$6, 0), FALSE),
            0
        ) +
        IFERROR(
            VLOOKUP($A81, INDIRECT("OctR!$A$6:$ZZ$1048576"), MATCH(AF$1, OctR!$6:$6, 0), FALSE),
            0
        ) +
        IFERROR(
            VLOOKUP($A81, INDIRECT("NovR!$A$6:$ZZ$1048576"), MATCH(AF$1, NovR!$6:$6, 0), FALSE),
            0
        ) +
        IFERROR(
            VLOOKUP($A81, INDIRECT("DicR!$A$6:$ZZ$1048576"), MATCH(AF$1, DicR!$6:$6, 0), FALSE),
            0
        )
)</f>
        <v>0</v>
      </c>
      <c r="AG81" s="37">
        <f t="array" ref="AG81">SUM(
    IFERROR(
            VLOOKUP($A81, INDIRECT("EneR!$A$6:$ZZ$1048576"), MATCH(AG$1, EneR!$6:$6, 0), FALSE),
            0
        ) +
        IFERROR(
            VLOOKUP($A81, INDIRECT("FebR!$A$6:$ZZ$1048576"), MATCH(AG$1, FebR!$6:$6, 0), FALSE),
            0
        ) +
        IFERROR(
            VLOOKUP($A81, INDIRECT("MarR!$A$6:$ZZ$1048576"), MATCH(AG$1, MarR!$6:$6, 0), FALSE),
            0
        ) +
        IFERROR(
            VLOOKUP($A81, INDIRECT("AbrR!$A$6:$ZZ$1048576"), MATCH(AG$1, AbrR!$6:$6, 0), FALSE),
            0
        ) +
        IFERROR(
            VLOOKUP($A81, INDIRECT("MayR!$A$6:$ZZ$1048576"), MATCH(AG$1, MayR!$6:$6, 0), FALSE),
            0
        ) +
        IFERROR(
            VLOOKUP($A81, INDIRECT("JunR!$A$6:$ZZ$1048576"), MATCH(AG$1, JunR!$6:$6, 0), FALSE),
            0
        ) +
        IFERROR(
            VLOOKUP($A81, INDIRECT("JulR!$A$6:$ZZ$1048576"), MATCH(AG$1, JulR!$6:$6, 0), FALSE),
            0
        ) +
        IFERROR(
            VLOOKUP($A81, INDIRECT("AgoR!$A$6:$ZZ$1048576"), MATCH(AG$1, AgoR!$6:$6, 0), FALSE),
            0
        ) +
        IFERROR(
            VLOOKUP($A81, INDIRECT("SepR!$A$6:$ZZ$1048576"), MATCH(AG$1, SepR!$6:$6, 0), FALSE),
            0
        ) +
        IFERROR(
            VLOOKUP($A81, INDIRECT("OctR!$A$6:$ZZ$1048576"), MATCH(AG$1, OctR!$6:$6, 0), FALSE),
            0
        ) +
        IFERROR(
            VLOOKUP($A81, INDIRECT("NovR!$A$6:$ZZ$1048576"), MATCH(AG$1, NovR!$6:$6, 0), FALSE),
            0
        ) +
        IFERROR(
            VLOOKUP($A81, INDIRECT("DicR!$A$6:$ZZ$1048576"), MATCH(AG$1, DicR!$6:$6, 0), FALSE),
            0
        )
)</f>
        <v>0</v>
      </c>
      <c r="AH81" s="36">
        <f t="array" ref="AH81">SUM(
    IFERROR(
            VLOOKUP($A81, INDIRECT("EneR!$A$6:$ZZ$1048576"), MATCH(AH$1, EneR!$6:$6, 0), FALSE),
            0
        ) +
        IFERROR(
            VLOOKUP($A81, INDIRECT("FebR!$A$6:$ZZ$1048576"), MATCH(AH$1, FebR!$6:$6, 0), FALSE),
            0
        ) +
        IFERROR(
            VLOOKUP($A81, INDIRECT("MarR!$A$6:$ZZ$1048576"), MATCH(AH$1, MarR!$6:$6, 0), FALSE),
            0
        ) +
        IFERROR(
            VLOOKUP($A81, INDIRECT("AbrR!$A$6:$ZZ$1048576"), MATCH(AH$1, AbrR!$6:$6, 0), FALSE),
            0
        ) +
        IFERROR(
            VLOOKUP($A81, INDIRECT("MayR!$A$6:$ZZ$1048576"), MATCH(AH$1, MayR!$6:$6, 0), FALSE),
            0
        ) +
        IFERROR(
            VLOOKUP($A81, INDIRECT("JunR!$A$6:$ZZ$1048576"), MATCH(AH$1, JunR!$6:$6, 0), FALSE),
            0
        ) +
        IFERROR(
            VLOOKUP($A81, INDIRECT("JulR!$A$6:$ZZ$1048576"), MATCH(AH$1, JulR!$6:$6, 0), FALSE),
            0
        ) +
        IFERROR(
            VLOOKUP($A81, INDIRECT("AgoR!$A$6:$ZZ$1048576"), MATCH(AH$1, AgoR!$6:$6, 0), FALSE),
            0
        ) +
        IFERROR(
            VLOOKUP($A81, INDIRECT("SepR!$A$6:$ZZ$1048576"), MATCH(AH$1, SepR!$6:$6, 0), FALSE),
            0
        ) +
        IFERROR(
            VLOOKUP($A81, INDIRECT("OctR!$A$6:$ZZ$1048576"), MATCH(AH$1, OctR!$6:$6, 0), FALSE),
            0
        ) +
        IFERROR(
            VLOOKUP($A81, INDIRECT("NovR!$A$6:$ZZ$1048576"), MATCH(AH$1, NovR!$6:$6, 0), FALSE),
            0
        ) +
        IFERROR(
            VLOOKUP($A81, INDIRECT("DicR!$A$6:$ZZ$1048576"), MATCH(AH$1, DicR!$6:$6, 0), FALSE),
            0
        )
)</f>
        <v>0</v>
      </c>
      <c r="AI81" s="37">
        <f t="array" ref="AI81">SUM(
    IFERROR(
            VLOOKUP($A81, INDIRECT("EneR!$A$6:$ZZ$1048576"), MATCH(AI$1, EneR!$6:$6, 0), FALSE),
            0
        ) +
        IFERROR(
            VLOOKUP($A81, INDIRECT("FebR!$A$6:$ZZ$1048576"), MATCH(AI$1, FebR!$6:$6, 0), FALSE),
            0
        ) +
        IFERROR(
            VLOOKUP($A81, INDIRECT("MarR!$A$6:$ZZ$1048576"), MATCH(AI$1, MarR!$6:$6, 0), FALSE),
            0
        ) +
        IFERROR(
            VLOOKUP($A81, INDIRECT("AbrR!$A$6:$ZZ$1048576"), MATCH(AI$1, AbrR!$6:$6, 0), FALSE),
            0
        ) +
        IFERROR(
            VLOOKUP($A81, INDIRECT("MayR!$A$6:$ZZ$1048576"), MATCH(AI$1, MayR!$6:$6, 0), FALSE),
            0
        ) +
        IFERROR(
            VLOOKUP($A81, INDIRECT("JunR!$A$6:$ZZ$1048576"), MATCH(AI$1, JunR!$6:$6, 0), FALSE),
            0
        ) +
        IFERROR(
            VLOOKUP($A81, INDIRECT("JulR!$A$6:$ZZ$1048576"), MATCH(AI$1, JulR!$6:$6, 0), FALSE),
            0
        ) +
        IFERROR(
            VLOOKUP($A81, INDIRECT("AgoR!$A$6:$ZZ$1048576"), MATCH(AI$1, AgoR!$6:$6, 0), FALSE),
            0
        ) +
        IFERROR(
            VLOOKUP($A81, INDIRECT("SepR!$A$6:$ZZ$1048576"), MATCH(AI$1, SepR!$6:$6, 0), FALSE),
            0
        ) +
        IFERROR(
            VLOOKUP($A81, INDIRECT("OctR!$A$6:$ZZ$1048576"), MATCH(AI$1, OctR!$6:$6, 0), FALSE),
            0
        ) +
        IFERROR(
            VLOOKUP($A81, INDIRECT("NovR!$A$6:$ZZ$1048576"), MATCH(AI$1, NovR!$6:$6, 0), FALSE),
            0
        ) +
        IFERROR(
            VLOOKUP($A81, INDIRECT("DicR!$A$6:$ZZ$1048576"), MATCH(AI$1, DicR!$6:$6, 0), FALSE),
            0
        )
)</f>
        <v>0</v>
      </c>
      <c r="AJ81" s="36">
        <f t="array" ref="AJ81">SUM(
    IFERROR(
            VLOOKUP($A81, INDIRECT("EneR!$A$6:$ZZ$1048576"), MATCH(AJ$1, EneR!$6:$6, 0), FALSE),
            0
        ) +
        IFERROR(
            VLOOKUP($A81, INDIRECT("FebR!$A$6:$ZZ$1048576"), MATCH(AJ$1, FebR!$6:$6, 0), FALSE),
            0
        ) +
        IFERROR(
            VLOOKUP($A81, INDIRECT("MarR!$A$6:$ZZ$1048576"), MATCH(AJ$1, MarR!$6:$6, 0), FALSE),
            0
        ) +
        IFERROR(
            VLOOKUP($A81, INDIRECT("AbrR!$A$6:$ZZ$1048576"), MATCH(AJ$1, AbrR!$6:$6, 0), FALSE),
            0
        ) +
        IFERROR(
            VLOOKUP($A81, INDIRECT("MayR!$A$6:$ZZ$1048576"), MATCH(AJ$1, MayR!$6:$6, 0), FALSE),
            0
        ) +
        IFERROR(
            VLOOKUP($A81, INDIRECT("JunR!$A$6:$ZZ$1048576"), MATCH(AJ$1, JunR!$6:$6, 0), FALSE),
            0
        ) +
        IFERROR(
            VLOOKUP($A81, INDIRECT("JulR!$A$6:$ZZ$1048576"), MATCH(AJ$1, JulR!$6:$6, 0), FALSE),
            0
        ) +
        IFERROR(
            VLOOKUP($A81, INDIRECT("AgoR!$A$6:$ZZ$1048576"), MATCH(AJ$1, AgoR!$6:$6, 0), FALSE),
            0
        ) +
        IFERROR(
            VLOOKUP($A81, INDIRECT("SepR!$A$6:$ZZ$1048576"), MATCH(AJ$1, SepR!$6:$6, 0), FALSE),
            0
        ) +
        IFERROR(
            VLOOKUP($A81, INDIRECT("OctR!$A$6:$ZZ$1048576"), MATCH(AJ$1, OctR!$6:$6, 0), FALSE),
            0
        ) +
        IFERROR(
            VLOOKUP($A81, INDIRECT("NovR!$A$6:$ZZ$1048576"), MATCH(AJ$1, NovR!$6:$6, 0), FALSE),
            0
        ) +
        IFERROR(
            VLOOKUP($A81, INDIRECT("DicR!$A$6:$ZZ$1048576"), MATCH(AJ$1, DicR!$6:$6, 0), FALSE),
            0
        )
)</f>
        <v>0</v>
      </c>
      <c r="AK81" s="37">
        <f t="array" ref="AK81">SUM(
    IFERROR(
            VLOOKUP($A81, INDIRECT("EneR!$A$6:$ZZ$1048576"), MATCH(AK$1, EneR!$6:$6, 0), FALSE),
            0
        ) +
        IFERROR(
            VLOOKUP($A81, INDIRECT("FebR!$A$6:$ZZ$1048576"), MATCH(AK$1, FebR!$6:$6, 0), FALSE),
            0
        ) +
        IFERROR(
            VLOOKUP($A81, INDIRECT("MarR!$A$6:$ZZ$1048576"), MATCH(AK$1, MarR!$6:$6, 0), FALSE),
            0
        ) +
        IFERROR(
            VLOOKUP($A81, INDIRECT("AbrR!$A$6:$ZZ$1048576"), MATCH(AK$1, AbrR!$6:$6, 0), FALSE),
            0
        ) +
        IFERROR(
            VLOOKUP($A81, INDIRECT("MayR!$A$6:$ZZ$1048576"), MATCH(AK$1, MayR!$6:$6, 0), FALSE),
            0
        ) +
        IFERROR(
            VLOOKUP($A81, INDIRECT("JunR!$A$6:$ZZ$1048576"), MATCH(AK$1, JunR!$6:$6, 0), FALSE),
            0
        ) +
        IFERROR(
            VLOOKUP($A81, INDIRECT("JulR!$A$6:$ZZ$1048576"), MATCH(AK$1, JulR!$6:$6, 0), FALSE),
            0
        ) +
        IFERROR(
            VLOOKUP($A81, INDIRECT("AgoR!$A$6:$ZZ$1048576"), MATCH(AK$1, AgoR!$6:$6, 0), FALSE),
            0
        ) +
        IFERROR(
            VLOOKUP($A81, INDIRECT("SepR!$A$6:$ZZ$1048576"), MATCH(AK$1, SepR!$6:$6, 0), FALSE),
            0
        ) +
        IFERROR(
            VLOOKUP($A81, INDIRECT("OctR!$A$6:$ZZ$1048576"), MATCH(AK$1, OctR!$6:$6, 0), FALSE),
            0
        ) +
        IFERROR(
            VLOOKUP($A81, INDIRECT("NovR!$A$6:$ZZ$1048576"), MATCH(AK$1, NovR!$6:$6, 0), FALSE),
            0
        ) +
        IFERROR(
            VLOOKUP($A81, INDIRECT("DicR!$A$6:$ZZ$1048576"), MATCH(AK$1, DicR!$6:$6, 0), FALSE),
            0
        )
)</f>
        <v>0</v>
      </c>
      <c r="AL81" s="36">
        <f t="array" ref="AL81">SUM(
    IFERROR(
            VLOOKUP($A81, INDIRECT("EneR!$A$6:$ZZ$1048576"), MATCH(AL$1, EneR!$6:$6, 0), FALSE),
            0
        ) +
        IFERROR(
            VLOOKUP($A81, INDIRECT("FebR!$A$6:$ZZ$1048576"), MATCH(AL$1, FebR!$6:$6, 0), FALSE),
            0
        ) +
        IFERROR(
            VLOOKUP($A81, INDIRECT("MarR!$A$6:$ZZ$1048576"), MATCH(AL$1, MarR!$6:$6, 0), FALSE),
            0
        ) +
        IFERROR(
            VLOOKUP($A81, INDIRECT("AbrR!$A$6:$ZZ$1048576"), MATCH(AL$1, AbrR!$6:$6, 0), FALSE),
            0
        ) +
        IFERROR(
            VLOOKUP($A81, INDIRECT("MayR!$A$6:$ZZ$1048576"), MATCH(AL$1, MayR!$6:$6, 0), FALSE),
            0
        ) +
        IFERROR(
            VLOOKUP($A81, INDIRECT("JunR!$A$6:$ZZ$1048576"), MATCH(AL$1, JunR!$6:$6, 0), FALSE),
            0
        ) +
        IFERROR(
            VLOOKUP($A81, INDIRECT("JulR!$A$6:$ZZ$1048576"), MATCH(AL$1, JulR!$6:$6, 0), FALSE),
            0
        ) +
        IFERROR(
            VLOOKUP($A81, INDIRECT("AgoR!$A$6:$ZZ$1048576"), MATCH(AL$1, AgoR!$6:$6, 0), FALSE),
            0
        ) +
        IFERROR(
            VLOOKUP($A81, INDIRECT("SepR!$A$6:$ZZ$1048576"), MATCH(AL$1, SepR!$6:$6, 0), FALSE),
            0
        ) +
        IFERROR(
            VLOOKUP($A81, INDIRECT("OctR!$A$6:$ZZ$1048576"), MATCH(AL$1, OctR!$6:$6, 0), FALSE),
            0
        ) +
        IFERROR(
            VLOOKUP($A81, INDIRECT("NovR!$A$6:$ZZ$1048576"), MATCH(AL$1, NovR!$6:$6, 0), FALSE),
            0
        ) +
        IFERROR(
            VLOOKUP($A81, INDIRECT("DicR!$A$6:$ZZ$1048576"), MATCH(AL$1, DicR!$6:$6, 0), FALSE),
            0
        )
)</f>
        <v>0</v>
      </c>
      <c r="AM81" s="37">
        <f t="array" ref="AM81">SUM(
    IFERROR(
            VLOOKUP($A81, INDIRECT("EneR!$A$6:$ZZ$1048576"), MATCH(AM$1, EneR!$6:$6, 0), FALSE),
            0
        ) +
        IFERROR(
            VLOOKUP($A81, INDIRECT("FebR!$A$6:$ZZ$1048576"), MATCH(AM$1, FebR!$6:$6, 0), FALSE),
            0
        ) +
        IFERROR(
            VLOOKUP($A81, INDIRECT("MarR!$A$6:$ZZ$1048576"), MATCH(AM$1, MarR!$6:$6, 0), FALSE),
            0
        ) +
        IFERROR(
            VLOOKUP($A81, INDIRECT("AbrR!$A$6:$ZZ$1048576"), MATCH(AM$1, AbrR!$6:$6, 0), FALSE),
            0
        ) +
        IFERROR(
            VLOOKUP($A81, INDIRECT("MayR!$A$6:$ZZ$1048576"), MATCH(AM$1, MayR!$6:$6, 0), FALSE),
            0
        ) +
        IFERROR(
            VLOOKUP($A81, INDIRECT("JunR!$A$6:$ZZ$1048576"), MATCH(AM$1, JunR!$6:$6, 0), FALSE),
            0
        ) +
        IFERROR(
            VLOOKUP($A81, INDIRECT("JulR!$A$6:$ZZ$1048576"), MATCH(AM$1, JulR!$6:$6, 0), FALSE),
            0
        ) +
        IFERROR(
            VLOOKUP($A81, INDIRECT("AgoR!$A$6:$ZZ$1048576"), MATCH(AM$1, AgoR!$6:$6, 0), FALSE),
            0
        ) +
        IFERROR(
            VLOOKUP($A81, INDIRECT("SepR!$A$6:$ZZ$1048576"), MATCH(AM$1, SepR!$6:$6, 0), FALSE),
            0
        ) +
        IFERROR(
            VLOOKUP($A81, INDIRECT("OctR!$A$6:$ZZ$1048576"), MATCH(AM$1, OctR!$6:$6, 0), FALSE),
            0
        ) +
        IFERROR(
            VLOOKUP($A81, INDIRECT("NovR!$A$6:$ZZ$1048576"), MATCH(AM$1, NovR!$6:$6, 0), FALSE),
            0
        ) +
        IFERROR(
            VLOOKUP($A81, INDIRECT("DicR!$A$6:$ZZ$1048576"), MATCH(AM$1, DicR!$6:$6, 0), FALSE),
            0
        )
)</f>
        <v>0</v>
      </c>
      <c r="AN81" s="32">
        <f t="array" ref="AN81">SUM(
    IFERROR(
            VLOOKUP($A81, INDIRECT("EneR!$A$6:$ZZ$1048576"), MATCH(AN$1, EneR!$6:$6, 0), FALSE),
            0
        ) +
        IFERROR(
            VLOOKUP($A81, INDIRECT("FebR!$A$6:$ZZ$1048576"), MATCH(AN$1, FebR!$6:$6, 0), FALSE),
            0
        ) +
        IFERROR(
            VLOOKUP($A81, INDIRECT("MarR!$A$6:$ZZ$1048576"), MATCH(AN$1, MarR!$6:$6, 0), FALSE),
            0
        ) +
        IFERROR(
            VLOOKUP($A81, INDIRECT("AbrR!$A$6:$ZZ$1048576"), MATCH(AN$1, AbrR!$6:$6, 0), FALSE),
            0
        ) +
        IFERROR(
            VLOOKUP($A81, INDIRECT("MayR!$A$6:$ZZ$1048576"), MATCH(AN$1, MayR!$6:$6, 0), FALSE),
            0
        ) +
        IFERROR(
            VLOOKUP($A81, INDIRECT("JunR!$A$6:$ZZ$1048576"), MATCH(AN$1, JunR!$6:$6, 0), FALSE),
            0
        ) +
        IFERROR(
            VLOOKUP($A81, INDIRECT("JulR!$A$6:$ZZ$1048576"), MATCH(AN$1, JulR!$6:$6, 0), FALSE),
            0
        ) +
        IFERROR(
            VLOOKUP($A81, INDIRECT("AgoR!$A$6:$ZZ$1048576"), MATCH(AN$1, AgoR!$6:$6, 0), FALSE),
            0
        ) +
        IFERROR(
            VLOOKUP($A81, INDIRECT("SepR!$A$6:$ZZ$1048576"), MATCH(AN$1, SepR!$6:$6, 0), FALSE),
            0
        ) +
        IFERROR(
            VLOOKUP($A81, INDIRECT("OctR!$A$6:$ZZ$1048576"), MATCH(AN$1, OctR!$6:$6, 0), FALSE),
            0
        ) +
        IFERROR(
            VLOOKUP($A81, INDIRECT("NovR!$A$6:$ZZ$1048576"), MATCH(AN$1, NovR!$6:$6, 0), FALSE),
            0
        ) +
        IFERROR(
            VLOOKUP($A81, INDIRECT("DicR!$A$6:$ZZ$1048576"), MATCH(AN$1, DicR!$6:$6, 0), FALSE),
            0
        )
)</f>
        <v>0</v>
      </c>
      <c r="AO81" s="35">
        <f t="array" ref="AO81">SUM(
    IFERROR(
            VLOOKUP($A81, INDIRECT("EneR!$A$6:$ZZ$1048576"), MATCH(AO$1, EneR!$6:$6, 0), FALSE),
            0
        ) +
        IFERROR(
            VLOOKUP($A81, INDIRECT("FebR!$A$6:$ZZ$1048576"), MATCH(AO$1, FebR!$6:$6, 0), FALSE),
            0
        ) +
        IFERROR(
            VLOOKUP($A81, INDIRECT("MarR!$A$6:$ZZ$1048576"), MATCH(AO$1, MarR!$6:$6, 0), FALSE),
            0
        ) +
        IFERROR(
            VLOOKUP($A81, INDIRECT("AbrR!$A$6:$ZZ$1048576"), MATCH(AO$1, AbrR!$6:$6, 0), FALSE),
            0
        ) +
        IFERROR(
            VLOOKUP($A81, INDIRECT("MayR!$A$6:$ZZ$1048576"), MATCH(AO$1, MayR!$6:$6, 0), FALSE),
            0
        ) +
        IFERROR(
            VLOOKUP($A81, INDIRECT("JunR!$A$6:$ZZ$1048576"), MATCH(AO$1, JunR!$6:$6, 0), FALSE),
            0
        ) +
        IFERROR(
            VLOOKUP($A81, INDIRECT("JulR!$A$6:$ZZ$1048576"), MATCH(AO$1, JulR!$6:$6, 0), FALSE),
            0
        ) +
        IFERROR(
            VLOOKUP($A81, INDIRECT("AgoR!$A$6:$ZZ$1048576"), MATCH(AO$1, AgoR!$6:$6, 0), FALSE),
            0
        ) +
        IFERROR(
            VLOOKUP($A81, INDIRECT("SepR!$A$6:$ZZ$1048576"), MATCH(AO$1, SepR!$6:$6, 0), FALSE),
            0
        ) +
        IFERROR(
            VLOOKUP($A81, INDIRECT("OctR!$A$6:$ZZ$1048576"), MATCH(AO$1, OctR!$6:$6, 0), FALSE),
            0
        ) +
        IFERROR(
            VLOOKUP($A81, INDIRECT("NovR!$A$6:$ZZ$1048576"), MATCH(AO$1, NovR!$6:$6, 0), FALSE),
            0
        ) +
        IFERROR(
            VLOOKUP($A81, INDIRECT("DicR!$A$6:$ZZ$1048576"), MATCH(AO$1, DicR!$6:$6, 0), FALSE),
            0
        )
)</f>
        <v>0</v>
      </c>
      <c r="AP81" s="36">
        <f t="array" ref="AP81">SUM(
    IFERROR(
            VLOOKUP($A81, INDIRECT("EneR!$A$6:$ZZ$1048576"), MATCH(AP$1, EneR!$6:$6, 0), FALSE),
            0
        ) +
        IFERROR(
            VLOOKUP($A81, INDIRECT("FebR!$A$6:$ZZ$1048576"), MATCH(AP$1, FebR!$6:$6, 0), FALSE),
            0
        ) +
        IFERROR(
            VLOOKUP($A81, INDIRECT("MarR!$A$6:$ZZ$1048576"), MATCH(AP$1, MarR!$6:$6, 0), FALSE),
            0
        ) +
        IFERROR(
            VLOOKUP($A81, INDIRECT("AbrR!$A$6:$ZZ$1048576"), MATCH(AP$1, AbrR!$6:$6, 0), FALSE),
            0
        ) +
        IFERROR(
            VLOOKUP($A81, INDIRECT("MayR!$A$6:$ZZ$1048576"), MATCH(AP$1, MayR!$6:$6, 0), FALSE),
            0
        ) +
        IFERROR(
            VLOOKUP($A81, INDIRECT("JunR!$A$6:$ZZ$1048576"), MATCH(AP$1, JunR!$6:$6, 0), FALSE),
            0
        ) +
        IFERROR(
            VLOOKUP($A81, INDIRECT("JulR!$A$6:$ZZ$1048576"), MATCH(AP$1, JulR!$6:$6, 0), FALSE),
            0
        ) +
        IFERROR(
            VLOOKUP($A81, INDIRECT("AgoR!$A$6:$ZZ$1048576"), MATCH(AP$1, AgoR!$6:$6, 0), FALSE),
            0
        ) +
        IFERROR(
            VLOOKUP($A81, INDIRECT("SepR!$A$6:$ZZ$1048576"), MATCH(AP$1, SepR!$6:$6, 0), FALSE),
            0
        ) +
        IFERROR(
            VLOOKUP($A81, INDIRECT("OctR!$A$6:$ZZ$1048576"), MATCH(AP$1, OctR!$6:$6, 0), FALSE),
            0
        ) +
        IFERROR(
            VLOOKUP($A81, INDIRECT("NovR!$A$6:$ZZ$1048576"), MATCH(AP$1, NovR!$6:$6, 0), FALSE),
            0
        ) +
        IFERROR(
            VLOOKUP($A81, INDIRECT("DicR!$A$6:$ZZ$1048576"), MATCH(AP$1, DicR!$6:$6, 0), FALSE),
            0
        )
)</f>
        <v>0</v>
      </c>
      <c r="AQ81" s="35">
        <f t="array" ref="AQ81">SUM(
    IFERROR(
            VLOOKUP($A81, INDIRECT("EneR!$A$6:$ZZ$1048576"), MATCH(AQ$1, EneR!$6:$6, 0), FALSE),
            0
        ) +
        IFERROR(
            VLOOKUP($A81, INDIRECT("FebR!$A$6:$ZZ$1048576"), MATCH(AQ$1, FebR!$6:$6, 0), FALSE),
            0
        ) +
        IFERROR(
            VLOOKUP($A81, INDIRECT("MarR!$A$6:$ZZ$1048576"), MATCH(AQ$1, MarR!$6:$6, 0), FALSE),
            0
        ) +
        IFERROR(
            VLOOKUP($A81, INDIRECT("AbrR!$A$6:$ZZ$1048576"), MATCH(AQ$1, AbrR!$6:$6, 0), FALSE),
            0
        ) +
        IFERROR(
            VLOOKUP($A81, INDIRECT("MayR!$A$6:$ZZ$1048576"), MATCH(AQ$1, MayR!$6:$6, 0), FALSE),
            0
        ) +
        IFERROR(
            VLOOKUP($A81, INDIRECT("JunR!$A$6:$ZZ$1048576"), MATCH(AQ$1, JunR!$6:$6, 0), FALSE),
            0
        ) +
        IFERROR(
            VLOOKUP($A81, INDIRECT("JulR!$A$6:$ZZ$1048576"), MATCH(AQ$1, JulR!$6:$6, 0), FALSE),
            0
        ) +
        IFERROR(
            VLOOKUP($A81, INDIRECT("AgoR!$A$6:$ZZ$1048576"), MATCH(AQ$1, AgoR!$6:$6, 0), FALSE),
            0
        ) +
        IFERROR(
            VLOOKUP($A81, INDIRECT("SepR!$A$6:$ZZ$1048576"), MATCH(AQ$1, SepR!$6:$6, 0), FALSE),
            0
        ) +
        IFERROR(
            VLOOKUP($A81, INDIRECT("OctR!$A$6:$ZZ$1048576"), MATCH(AQ$1, OctR!$6:$6, 0), FALSE),
            0
        ) +
        IFERROR(
            VLOOKUP($A81, INDIRECT("NovR!$A$6:$ZZ$1048576"), MATCH(AQ$1, NovR!$6:$6, 0), FALSE),
            0
        ) +
        IFERROR(
            VLOOKUP($A81, INDIRECT("DicR!$A$6:$ZZ$1048576"), MATCH(AQ$1, DicR!$6:$6, 0), FALSE),
            0
        )
)</f>
        <v>0</v>
      </c>
      <c r="AR81" s="36">
        <f t="array" ref="AR81">SUM(
    IFERROR(
            VLOOKUP($A81, INDIRECT("EneR!$A$6:$ZZ$1048576"), MATCH(AR$1, EneR!$6:$6, 0), FALSE),
            0
        ) +
        IFERROR(
            VLOOKUP($A81, INDIRECT("FebR!$A$6:$ZZ$1048576"), MATCH(AR$1, FebR!$6:$6, 0), FALSE),
            0
        ) +
        IFERROR(
            VLOOKUP($A81, INDIRECT("MarR!$A$6:$ZZ$1048576"), MATCH(AR$1, MarR!$6:$6, 0), FALSE),
            0
        ) +
        IFERROR(
            VLOOKUP($A81, INDIRECT("AbrR!$A$6:$ZZ$1048576"), MATCH(AR$1, AbrR!$6:$6, 0), FALSE),
            0
        ) +
        IFERROR(
            VLOOKUP($A81, INDIRECT("MayR!$A$6:$ZZ$1048576"), MATCH(AR$1, MayR!$6:$6, 0), FALSE),
            0
        ) +
        IFERROR(
            VLOOKUP($A81, INDIRECT("JunR!$A$6:$ZZ$1048576"), MATCH(AR$1, JunR!$6:$6, 0), FALSE),
            0
        ) +
        IFERROR(
            VLOOKUP($A81, INDIRECT("JulR!$A$6:$ZZ$1048576"), MATCH(AR$1, JulR!$6:$6, 0), FALSE),
            0
        ) +
        IFERROR(
            VLOOKUP($A81, INDIRECT("AgoR!$A$6:$ZZ$1048576"), MATCH(AR$1, AgoR!$6:$6, 0), FALSE),
            0
        ) +
        IFERROR(
            VLOOKUP($A81, INDIRECT("SepR!$A$6:$ZZ$1048576"), MATCH(AR$1, SepR!$6:$6, 0), FALSE),
            0
        ) +
        IFERROR(
            VLOOKUP($A81, INDIRECT("OctR!$A$6:$ZZ$1048576"), MATCH(AR$1, OctR!$6:$6, 0), FALSE),
            0
        ) +
        IFERROR(
            VLOOKUP($A81, INDIRECT("NovR!$A$6:$ZZ$1048576"), MATCH(AR$1, NovR!$6:$6, 0), FALSE),
            0
        ) +
        IFERROR(
            VLOOKUP($A81, INDIRECT("DicR!$A$6:$ZZ$1048576"), MATCH(AR$1, DicR!$6:$6, 0), FALSE),
            0
        )
)</f>
        <v>0</v>
      </c>
      <c r="AS81" s="35">
        <f t="array" ref="AS81">SUM(
    IFERROR(
            VLOOKUP($A81, INDIRECT("EneR!$A$6:$ZZ$1048576"), MATCH(AS$1, EneR!$6:$6, 0), FALSE),
            0
        ) +
        IFERROR(
            VLOOKUP($A81, INDIRECT("FebR!$A$6:$ZZ$1048576"), MATCH(AS$1, FebR!$6:$6, 0), FALSE),
            0
        ) +
        IFERROR(
            VLOOKUP($A81, INDIRECT("MarR!$A$6:$ZZ$1048576"), MATCH(AS$1, MarR!$6:$6, 0), FALSE),
            0
        ) +
        IFERROR(
            VLOOKUP($A81, INDIRECT("AbrR!$A$6:$ZZ$1048576"), MATCH(AS$1, AbrR!$6:$6, 0), FALSE),
            0
        ) +
        IFERROR(
            VLOOKUP($A81, INDIRECT("MayR!$A$6:$ZZ$1048576"), MATCH(AS$1, MayR!$6:$6, 0), FALSE),
            0
        ) +
        IFERROR(
            VLOOKUP($A81, INDIRECT("JunR!$A$6:$ZZ$1048576"), MATCH(AS$1, JunR!$6:$6, 0), FALSE),
            0
        ) +
        IFERROR(
            VLOOKUP($A81, INDIRECT("JulR!$A$6:$ZZ$1048576"), MATCH(AS$1, JulR!$6:$6, 0), FALSE),
            0
        ) +
        IFERROR(
            VLOOKUP($A81, INDIRECT("AgoR!$A$6:$ZZ$1048576"), MATCH(AS$1, AgoR!$6:$6, 0), FALSE),
            0
        ) +
        IFERROR(
            VLOOKUP($A81, INDIRECT("SepR!$A$6:$ZZ$1048576"), MATCH(AS$1, SepR!$6:$6, 0), FALSE),
            0
        ) +
        IFERROR(
            VLOOKUP($A81, INDIRECT("OctR!$A$6:$ZZ$1048576"), MATCH(AS$1, OctR!$6:$6, 0), FALSE),
            0
        ) +
        IFERROR(
            VLOOKUP($A81, INDIRECT("NovR!$A$6:$ZZ$1048576"), MATCH(AS$1, NovR!$6:$6, 0), FALSE),
            0
        ) +
        IFERROR(
            VLOOKUP($A81, INDIRECT("DicR!$A$6:$ZZ$1048576"), MATCH(AS$1, DicR!$6:$6, 0), FALSE),
            0
        )
)</f>
        <v>0</v>
      </c>
      <c r="AT81" s="36">
        <f t="array" ref="AT81">SUM(
    IFERROR(
            VLOOKUP($A81, INDIRECT("EneR!$A$6:$ZZ$1048576"), MATCH(AT$1, EneR!$6:$6, 0), FALSE),
            0
        ) +
        IFERROR(
            VLOOKUP($A81, INDIRECT("FebR!$A$6:$ZZ$1048576"), MATCH(AT$1, FebR!$6:$6, 0), FALSE),
            0
        ) +
        IFERROR(
            VLOOKUP($A81, INDIRECT("MarR!$A$6:$ZZ$1048576"), MATCH(AT$1, MarR!$6:$6, 0), FALSE),
            0
        ) +
        IFERROR(
            VLOOKUP($A81, INDIRECT("AbrR!$A$6:$ZZ$1048576"), MATCH(AT$1, AbrR!$6:$6, 0), FALSE),
            0
        ) +
        IFERROR(
            VLOOKUP($A81, INDIRECT("MayR!$A$6:$ZZ$1048576"), MATCH(AT$1, MayR!$6:$6, 0), FALSE),
            0
        ) +
        IFERROR(
            VLOOKUP($A81, INDIRECT("JunR!$A$6:$ZZ$1048576"), MATCH(AT$1, JunR!$6:$6, 0), FALSE),
            0
        ) +
        IFERROR(
            VLOOKUP($A81, INDIRECT("JulR!$A$6:$ZZ$1048576"), MATCH(AT$1, JulR!$6:$6, 0), FALSE),
            0
        ) +
        IFERROR(
            VLOOKUP($A81, INDIRECT("AgoR!$A$6:$ZZ$1048576"), MATCH(AT$1, AgoR!$6:$6, 0), FALSE),
            0
        ) +
        IFERROR(
            VLOOKUP($A81, INDIRECT("SepR!$A$6:$ZZ$1048576"), MATCH(AT$1, SepR!$6:$6, 0), FALSE),
            0
        ) +
        IFERROR(
            VLOOKUP($A81, INDIRECT("OctR!$A$6:$ZZ$1048576"), MATCH(AT$1, OctR!$6:$6, 0), FALSE),
            0
        ) +
        IFERROR(
            VLOOKUP($A81, INDIRECT("NovR!$A$6:$ZZ$1048576"), MATCH(AT$1, NovR!$6:$6, 0), FALSE),
            0
        ) +
        IFERROR(
            VLOOKUP($A81, INDIRECT("DicR!$A$6:$ZZ$1048576"), MATCH(AT$1, DicR!$6:$6, 0), FALSE),
            0
        )
)</f>
        <v>0</v>
      </c>
      <c r="AU81" s="35">
        <f t="array" ref="AU81">SUM(
    IFERROR(
            VLOOKUP($A81, INDIRECT("EneR!$A$6:$ZZ$1048576"), MATCH(AU$1, EneR!$6:$6, 0), FALSE),
            0
        ) +
        IFERROR(
            VLOOKUP($A81, INDIRECT("FebR!$A$6:$ZZ$1048576"), MATCH(AU$1, FebR!$6:$6, 0), FALSE),
            0
        ) +
        IFERROR(
            VLOOKUP($A81, INDIRECT("MarR!$A$6:$ZZ$1048576"), MATCH(AU$1, MarR!$6:$6, 0), FALSE),
            0
        ) +
        IFERROR(
            VLOOKUP($A81, INDIRECT("AbrR!$A$6:$ZZ$1048576"), MATCH(AU$1, AbrR!$6:$6, 0), FALSE),
            0
        ) +
        IFERROR(
            VLOOKUP($A81, INDIRECT("MayR!$A$6:$ZZ$1048576"), MATCH(AU$1, MayR!$6:$6, 0), FALSE),
            0
        ) +
        IFERROR(
            VLOOKUP($A81, INDIRECT("JunR!$A$6:$ZZ$1048576"), MATCH(AU$1, JunR!$6:$6, 0), FALSE),
            0
        ) +
        IFERROR(
            VLOOKUP($A81, INDIRECT("JulR!$A$6:$ZZ$1048576"), MATCH(AU$1, JulR!$6:$6, 0), FALSE),
            0
        ) +
        IFERROR(
            VLOOKUP($A81, INDIRECT("AgoR!$A$6:$ZZ$1048576"), MATCH(AU$1, AgoR!$6:$6, 0), FALSE),
            0
        ) +
        IFERROR(
            VLOOKUP($A81, INDIRECT("SepR!$A$6:$ZZ$1048576"), MATCH(AU$1, SepR!$6:$6, 0), FALSE),
            0
        ) +
        IFERROR(
            VLOOKUP($A81, INDIRECT("OctR!$A$6:$ZZ$1048576"), MATCH(AU$1, OctR!$6:$6, 0), FALSE),
            0
        ) +
        IFERROR(
            VLOOKUP($A81, INDIRECT("NovR!$A$6:$ZZ$1048576"), MATCH(AU$1, NovR!$6:$6, 0), FALSE),
            0
        ) +
        IFERROR(
            VLOOKUP($A81, INDIRECT("DicR!$A$6:$ZZ$1048576"), MATCH(AU$1, DicR!$6:$6, 0), FALSE),
            0
        )
)</f>
        <v>0</v>
      </c>
      <c r="AV81" s="36">
        <f t="array" ref="AV81">SUM(
    IFERROR(
            VLOOKUP($A81, INDIRECT("EneR!$A$6:$ZZ$1048576"), MATCH(AV$1, EneR!$6:$6, 0), FALSE),
            0
        ) +
        IFERROR(
            VLOOKUP($A81, INDIRECT("FebR!$A$6:$ZZ$1048576"), MATCH(AV$1, FebR!$6:$6, 0), FALSE),
            0
        ) +
        IFERROR(
            VLOOKUP($A81, INDIRECT("MarR!$A$6:$ZZ$1048576"), MATCH(AV$1, MarR!$6:$6, 0), FALSE),
            0
        ) +
        IFERROR(
            VLOOKUP($A81, INDIRECT("AbrR!$A$6:$ZZ$1048576"), MATCH(AV$1, AbrR!$6:$6, 0), FALSE),
            0
        ) +
        IFERROR(
            VLOOKUP($A81, INDIRECT("MayR!$A$6:$ZZ$1048576"), MATCH(AV$1, MayR!$6:$6, 0), FALSE),
            0
        ) +
        IFERROR(
            VLOOKUP($A81, INDIRECT("JunR!$A$6:$ZZ$1048576"), MATCH(AV$1, JunR!$6:$6, 0), FALSE),
            0
        ) +
        IFERROR(
            VLOOKUP($A81, INDIRECT("JulR!$A$6:$ZZ$1048576"), MATCH(AV$1, JulR!$6:$6, 0), FALSE),
            0
        ) +
        IFERROR(
            VLOOKUP($A81, INDIRECT("AgoR!$A$6:$ZZ$1048576"), MATCH(AV$1, AgoR!$6:$6, 0), FALSE),
            0
        ) +
        IFERROR(
            VLOOKUP($A81, INDIRECT("SepR!$A$6:$ZZ$1048576"), MATCH(AV$1, SepR!$6:$6, 0), FALSE),
            0
        ) +
        IFERROR(
            VLOOKUP($A81, INDIRECT("OctR!$A$6:$ZZ$1048576"), MATCH(AV$1, OctR!$6:$6, 0), FALSE),
            0
        ) +
        IFERROR(
            VLOOKUP($A81, INDIRECT("NovR!$A$6:$ZZ$1048576"), MATCH(AV$1, NovR!$6:$6, 0), FALSE),
            0
        ) +
        IFERROR(
            VLOOKUP($A81, INDIRECT("DicR!$A$6:$ZZ$1048576"), MATCH(AV$1, DicR!$6:$6, 0), FALSE),
            0
        )
)</f>
        <v>0</v>
      </c>
      <c r="AW81" s="35">
        <f t="array" ref="AW81">SUM(
    IFERROR(
            VLOOKUP($A81, INDIRECT("EneR!$A$6:$ZZ$1048576"), MATCH(AW$1, EneR!$6:$6, 0), FALSE),
            0
        ) +
        IFERROR(
            VLOOKUP($A81, INDIRECT("FebR!$A$6:$ZZ$1048576"), MATCH(AW$1, FebR!$6:$6, 0), FALSE),
            0
        ) +
        IFERROR(
            VLOOKUP($A81, INDIRECT("MarR!$A$6:$ZZ$1048576"), MATCH(AW$1, MarR!$6:$6, 0), FALSE),
            0
        ) +
        IFERROR(
            VLOOKUP($A81, INDIRECT("AbrR!$A$6:$ZZ$1048576"), MATCH(AW$1, AbrR!$6:$6, 0), FALSE),
            0
        ) +
        IFERROR(
            VLOOKUP($A81, INDIRECT("MayR!$A$6:$ZZ$1048576"), MATCH(AW$1, MayR!$6:$6, 0), FALSE),
            0
        ) +
        IFERROR(
            VLOOKUP($A81, INDIRECT("JunR!$A$6:$ZZ$1048576"), MATCH(AW$1, JunR!$6:$6, 0), FALSE),
            0
        ) +
        IFERROR(
            VLOOKUP($A81, INDIRECT("JulR!$A$6:$ZZ$1048576"), MATCH(AW$1, JulR!$6:$6, 0), FALSE),
            0
        ) +
        IFERROR(
            VLOOKUP($A81, INDIRECT("AgoR!$A$6:$ZZ$1048576"), MATCH(AW$1, AgoR!$6:$6, 0), FALSE),
            0
        ) +
        IFERROR(
            VLOOKUP($A81, INDIRECT("SepR!$A$6:$ZZ$1048576"), MATCH(AW$1, SepR!$6:$6, 0), FALSE),
            0
        ) +
        IFERROR(
            VLOOKUP($A81, INDIRECT("OctR!$A$6:$ZZ$1048576"), MATCH(AW$1, OctR!$6:$6, 0), FALSE),
            0
        ) +
        IFERROR(
            VLOOKUP($A81, INDIRECT("NovR!$A$6:$ZZ$1048576"), MATCH(AW$1, NovR!$6:$6, 0), FALSE),
            0
        ) +
        IFERROR(
            VLOOKUP($A81, INDIRECT("DicR!$A$6:$ZZ$1048576"), MATCH(AW$1, DicR!$6:$6, 0), FALSE),
            0
        )
)</f>
        <v>0</v>
      </c>
      <c r="AX81" s="36">
        <f t="array" ref="AX81">SUM(
    IFERROR(
            VLOOKUP($A81, INDIRECT("EneR!$A$6:$ZZ$1048576"), MATCH(AX$1, EneR!$6:$6, 0), FALSE),
            0
        ) +
        IFERROR(
            VLOOKUP($A81, INDIRECT("FebR!$A$6:$ZZ$1048576"), MATCH(AX$1, FebR!$6:$6, 0), FALSE),
            0
        ) +
        IFERROR(
            VLOOKUP($A81, INDIRECT("MarR!$A$6:$ZZ$1048576"), MATCH(AX$1, MarR!$6:$6, 0), FALSE),
            0
        ) +
        IFERROR(
            VLOOKUP($A81, INDIRECT("AbrR!$A$6:$ZZ$1048576"), MATCH(AX$1, AbrR!$6:$6, 0), FALSE),
            0
        ) +
        IFERROR(
            VLOOKUP($A81, INDIRECT("MayR!$A$6:$ZZ$1048576"), MATCH(AX$1, MayR!$6:$6, 0), FALSE),
            0
        ) +
        IFERROR(
            VLOOKUP($A81, INDIRECT("JunR!$A$6:$ZZ$1048576"), MATCH(AX$1, JunR!$6:$6, 0), FALSE),
            0
        ) +
        IFERROR(
            VLOOKUP($A81, INDIRECT("JulR!$A$6:$ZZ$1048576"), MATCH(AX$1, JulR!$6:$6, 0), FALSE),
            0
        ) +
        IFERROR(
            VLOOKUP($A81, INDIRECT("AgoR!$A$6:$ZZ$1048576"), MATCH(AX$1, AgoR!$6:$6, 0), FALSE),
            0
        ) +
        IFERROR(
            VLOOKUP($A81, INDIRECT("SepR!$A$6:$ZZ$1048576"), MATCH(AX$1, SepR!$6:$6, 0), FALSE),
            0
        ) +
        IFERROR(
            VLOOKUP($A81, INDIRECT("OctR!$A$6:$ZZ$1048576"), MATCH(AX$1, OctR!$6:$6, 0), FALSE),
            0
        ) +
        IFERROR(
            VLOOKUP($A81, INDIRECT("NovR!$A$6:$ZZ$1048576"), MATCH(AX$1, NovR!$6:$6, 0), FALSE),
            0
        ) +
        IFERROR(
            VLOOKUP($A81, INDIRECT("DicR!$A$6:$ZZ$1048576"), MATCH(AX$1, DicR!$6:$6, 0), FALSE),
            0
        )
)</f>
        <v>0</v>
      </c>
      <c r="AY81" s="35">
        <f t="array" ref="AY81">SUM(
    IFERROR(
            VLOOKUP($A81, INDIRECT("EneR!$A$6:$ZZ$1048576"), MATCH(AY$1, EneR!$6:$6, 0), FALSE),
            0
        ) +
        IFERROR(
            VLOOKUP($A81, INDIRECT("FebR!$A$6:$ZZ$1048576"), MATCH(AY$1, FebR!$6:$6, 0), FALSE),
            0
        ) +
        IFERROR(
            VLOOKUP($A81, INDIRECT("MarR!$A$6:$ZZ$1048576"), MATCH(AY$1, MarR!$6:$6, 0), FALSE),
            0
        ) +
        IFERROR(
            VLOOKUP($A81, INDIRECT("AbrR!$A$6:$ZZ$1048576"), MATCH(AY$1, AbrR!$6:$6, 0), FALSE),
            0
        ) +
        IFERROR(
            VLOOKUP($A81, INDIRECT("MayR!$A$6:$ZZ$1048576"), MATCH(AY$1, MayR!$6:$6, 0), FALSE),
            0
        ) +
        IFERROR(
            VLOOKUP($A81, INDIRECT("JunR!$A$6:$ZZ$1048576"), MATCH(AY$1, JunR!$6:$6, 0), FALSE),
            0
        ) +
        IFERROR(
            VLOOKUP($A81, INDIRECT("JulR!$A$6:$ZZ$1048576"), MATCH(AY$1, JulR!$6:$6, 0), FALSE),
            0
        ) +
        IFERROR(
            VLOOKUP($A81, INDIRECT("AgoR!$A$6:$ZZ$1048576"), MATCH(AY$1, AgoR!$6:$6, 0), FALSE),
            0
        ) +
        IFERROR(
            VLOOKUP($A81, INDIRECT("SepR!$A$6:$ZZ$1048576"), MATCH(AY$1, SepR!$6:$6, 0), FALSE),
            0
        ) +
        IFERROR(
            VLOOKUP($A81, INDIRECT("OctR!$A$6:$ZZ$1048576"), MATCH(AY$1, OctR!$6:$6, 0), FALSE),
            0
        ) +
        IFERROR(
            VLOOKUP($A81, INDIRECT("NovR!$A$6:$ZZ$1048576"), MATCH(AY$1, NovR!$6:$6, 0), FALSE),
            0
        ) +
        IFERROR(
            VLOOKUP($A81, INDIRECT("DicR!$A$6:$ZZ$1048576"), MATCH(AY$1, DicR!$6:$6, 0), FALSE),
            0
        )
)</f>
        <v>0</v>
      </c>
      <c r="AZ81" s="35"/>
    </row>
    <row r="82" ht="15.75" customHeight="1">
      <c r="A82" s="12" t="str">
        <f>Menus!B43</f>
        <v/>
      </c>
      <c r="B82" s="32">
        <f t="shared" si="9"/>
        <v>0</v>
      </c>
      <c r="C82" s="33" t="str">
        <f t="shared" si="10"/>
        <v/>
      </c>
      <c r="D82" s="34">
        <f t="array" ref="D82">SUM(
    IFERROR(
            VLOOKUP($A82, INDIRECT("EneR!$A$6:$ZZ$1048576"), MATCH(D$1, EneR!$6:$6, 0), FALSE),
            0
        ) +
        IFERROR(
            VLOOKUP($A82, INDIRECT("FebR!$A$6:$ZZ$1048576"), MATCH(D$1, FebR!$6:$6, 0), FALSE),
            0
        ) +
        IFERROR(
            VLOOKUP($A82, INDIRECT("MarR!$A$6:$ZZ$1048576"), MATCH(D$1, MarR!$6:$6, 0), FALSE),
            0
        ) +
        IFERROR(
            VLOOKUP($A82, INDIRECT("AbrR!$A$6:$ZZ$1048576"), MATCH(D$1, AbrR!$6:$6, 0), FALSE),
            0
        ) +
        IFERROR(
            VLOOKUP($A82, INDIRECT("MayR!$A$6:$ZZ$1048576"), MATCH(D$1, MayR!$6:$6, 0), FALSE),
            0
        ) +
        IFERROR(
            VLOOKUP($A82, INDIRECT("JunR!$A$6:$ZZ$1048576"), MATCH(D$1, JunR!$6:$6, 0), FALSE),
            0
        ) +
        IFERROR(
            VLOOKUP($A82, INDIRECT("JulR!$A$6:$ZZ$1048576"), MATCH(D$1, JulR!$6:$6, 0), FALSE),
            0
        ) +
        IFERROR(
            VLOOKUP($A82, INDIRECT("AgoR!$A$6:$ZZ$1048576"), MATCH(D$1, AgoR!$6:$6, 0), FALSE),
            0
        ) +
        IFERROR(
            VLOOKUP($A82, INDIRECT("SepR!$A$6:$ZZ$1048576"), MATCH(D$1, SepR!$6:$6, 0), FALSE),
            0
        ) +
        IFERROR(
            VLOOKUP($A82, INDIRECT("OctR!$A$6:$ZZ$1048576"), MATCH(D$1, OctR!$6:$6, 0), FALSE),
            0
        ) +
        IFERROR(
            VLOOKUP($A82, INDIRECT("NovR!$A$6:$ZZ$1048576"), MATCH(D$1, NovR!$6:$6, 0), FALSE),
            0
        ) +
        IFERROR(
            VLOOKUP($A82, INDIRECT("DicR!$A$6:$ZZ$1048576"), MATCH(D$1, DicR!$6:$6, 0), FALSE),
            0
        )
)</f>
        <v>0</v>
      </c>
      <c r="E82" s="35">
        <f t="array" ref="E82">SUM(
    IFERROR(
            VLOOKUP($A82, INDIRECT("EneR!$A$6:$ZZ$1048576"), MATCH(E$1, EneR!$6:$6, 0), FALSE),
            0
        ) +
        IFERROR(
            VLOOKUP($A82, INDIRECT("FebR!$A$6:$ZZ$1048576"), MATCH(E$1, FebR!$6:$6, 0), FALSE),
            0
        ) +
        IFERROR(
            VLOOKUP($A82, INDIRECT("MarR!$A$6:$ZZ$1048576"), MATCH(E$1, MarR!$6:$6, 0), FALSE),
            0
        ) +
        IFERROR(
            VLOOKUP($A82, INDIRECT("AbrR!$A$6:$ZZ$1048576"), MATCH(E$1, AbrR!$6:$6, 0), FALSE),
            0
        ) +
        IFERROR(
            VLOOKUP($A82, INDIRECT("MayR!$A$6:$ZZ$1048576"), MATCH(E$1, MayR!$6:$6, 0), FALSE),
            0
        ) +
        IFERROR(
            VLOOKUP($A82, INDIRECT("JunR!$A$6:$ZZ$1048576"), MATCH(E$1, JunR!$6:$6, 0), FALSE),
            0
        ) +
        IFERROR(
            VLOOKUP($A82, INDIRECT("JulR!$A$6:$ZZ$1048576"), MATCH(E$1, JulR!$6:$6, 0), FALSE),
            0
        ) +
        IFERROR(
            VLOOKUP($A82, INDIRECT("AgoR!$A$6:$ZZ$1048576"), MATCH(E$1, AgoR!$6:$6, 0), FALSE),
            0
        ) +
        IFERROR(
            VLOOKUP($A82, INDIRECT("SepR!$A$6:$ZZ$1048576"), MATCH(E$1, SepR!$6:$6, 0), FALSE),
            0
        ) +
        IFERROR(
            VLOOKUP($A82, INDIRECT("OctR!$A$6:$ZZ$1048576"), MATCH(E$1, OctR!$6:$6, 0), FALSE),
            0
        ) +
        IFERROR(
            VLOOKUP($A82, INDIRECT("NovR!$A$6:$ZZ$1048576"), MATCH(E$1, NovR!$6:$6, 0), FALSE),
            0
        ) +
        IFERROR(
            VLOOKUP($A82, INDIRECT("DicR!$A$6:$ZZ$1048576"), MATCH(E$1, DicR!$6:$6, 0), FALSE),
            0
        )
)</f>
        <v>0</v>
      </c>
      <c r="F82" s="32">
        <f t="array" ref="F82">SUM(
    IFERROR(
            VLOOKUP($A82, INDIRECT("EneR!$A$6:$ZZ$1048576"), MATCH(F$1, EneR!$6:$6, 0), FALSE),
            0
        ) +
        IFERROR(
            VLOOKUP($A82, INDIRECT("FebR!$A$6:$ZZ$1048576"), MATCH(F$1, FebR!$6:$6, 0), FALSE),
            0
        ) +
        IFERROR(
            VLOOKUP($A82, INDIRECT("MarR!$A$6:$ZZ$1048576"), MATCH(F$1, MarR!$6:$6, 0), FALSE),
            0
        ) +
        IFERROR(
            VLOOKUP($A82, INDIRECT("AbrR!$A$6:$ZZ$1048576"), MATCH(F$1, AbrR!$6:$6, 0), FALSE),
            0
        ) +
        IFERROR(
            VLOOKUP($A82, INDIRECT("MayR!$A$6:$ZZ$1048576"), MATCH(F$1, MayR!$6:$6, 0), FALSE),
            0
        ) +
        IFERROR(
            VLOOKUP($A82, INDIRECT("JunR!$A$6:$ZZ$1048576"), MATCH(F$1, JunR!$6:$6, 0), FALSE),
            0
        ) +
        IFERROR(
            VLOOKUP($A82, INDIRECT("JulR!$A$6:$ZZ$1048576"), MATCH(F$1, JulR!$6:$6, 0), FALSE),
            0
        ) +
        IFERROR(
            VLOOKUP($A82, INDIRECT("AgoR!$A$6:$ZZ$1048576"), MATCH(F$1, AgoR!$6:$6, 0), FALSE),
            0
        ) +
        IFERROR(
            VLOOKUP($A82, INDIRECT("SepR!$A$6:$ZZ$1048576"), MATCH(F$1, SepR!$6:$6, 0), FALSE),
            0
        ) +
        IFERROR(
            VLOOKUP($A82, INDIRECT("OctR!$A$6:$ZZ$1048576"), MATCH(F$1, OctR!$6:$6, 0), FALSE),
            0
        ) +
        IFERROR(
            VLOOKUP($A82, INDIRECT("NovR!$A$6:$ZZ$1048576"), MATCH(F$1, NovR!$6:$6, 0), FALSE),
            0
        ) +
        IFERROR(
            VLOOKUP($A82, INDIRECT("DicR!$A$6:$ZZ$1048576"), MATCH(F$1, DicR!$6:$6, 0), FALSE),
            0
        )
)</f>
        <v>0</v>
      </c>
      <c r="G82" s="35">
        <f t="array" ref="G82">SUM(
    IFERROR(
            VLOOKUP($A82, INDIRECT("EneR!$A$6:$ZZ$1048576"), MATCH(G$1, EneR!$6:$6, 0), FALSE),
            0
        ) +
        IFERROR(
            VLOOKUP($A82, INDIRECT("FebR!$A$6:$ZZ$1048576"), MATCH(G$1, FebR!$6:$6, 0), FALSE),
            0
        ) +
        IFERROR(
            VLOOKUP($A82, INDIRECT("MarR!$A$6:$ZZ$1048576"), MATCH(G$1, MarR!$6:$6, 0), FALSE),
            0
        ) +
        IFERROR(
            VLOOKUP($A82, INDIRECT("AbrR!$A$6:$ZZ$1048576"), MATCH(G$1, AbrR!$6:$6, 0), FALSE),
            0
        ) +
        IFERROR(
            VLOOKUP($A82, INDIRECT("MayR!$A$6:$ZZ$1048576"), MATCH(G$1, MayR!$6:$6, 0), FALSE),
            0
        ) +
        IFERROR(
            VLOOKUP($A82, INDIRECT("JunR!$A$6:$ZZ$1048576"), MATCH(G$1, JunR!$6:$6, 0), FALSE),
            0
        ) +
        IFERROR(
            VLOOKUP($A82, INDIRECT("JulR!$A$6:$ZZ$1048576"), MATCH(G$1, JulR!$6:$6, 0), FALSE),
            0
        ) +
        IFERROR(
            VLOOKUP($A82, INDIRECT("AgoR!$A$6:$ZZ$1048576"), MATCH(G$1, AgoR!$6:$6, 0), FALSE),
            0
        ) +
        IFERROR(
            VLOOKUP($A82, INDIRECT("SepR!$A$6:$ZZ$1048576"), MATCH(G$1, SepR!$6:$6, 0), FALSE),
            0
        ) +
        IFERROR(
            VLOOKUP($A82, INDIRECT("OctR!$A$6:$ZZ$1048576"), MATCH(G$1, OctR!$6:$6, 0), FALSE),
            0
        ) +
        IFERROR(
            VLOOKUP($A82, INDIRECT("NovR!$A$6:$ZZ$1048576"), MATCH(G$1, NovR!$6:$6, 0), FALSE),
            0
        ) +
        IFERROR(
            VLOOKUP($A82, INDIRECT("DicR!$A$6:$ZZ$1048576"), MATCH(G$1, DicR!$6:$6, 0), FALSE),
            0
        )
)</f>
        <v>0</v>
      </c>
      <c r="H82" s="32">
        <f t="array" ref="H82">SUM(
    IFERROR(
            VLOOKUP($A82, INDIRECT("EneR!$A$6:$ZZ$1048576"), MATCH(H$1, EneR!$6:$6, 0), FALSE),
            0
        ) +
        IFERROR(
            VLOOKUP($A82, INDIRECT("FebR!$A$6:$ZZ$1048576"), MATCH(H$1, FebR!$6:$6, 0), FALSE),
            0
        ) +
        IFERROR(
            VLOOKUP($A82, INDIRECT("MarR!$A$6:$ZZ$1048576"), MATCH(H$1, MarR!$6:$6, 0), FALSE),
            0
        ) +
        IFERROR(
            VLOOKUP($A82, INDIRECT("AbrR!$A$6:$ZZ$1048576"), MATCH(H$1, AbrR!$6:$6, 0), FALSE),
            0
        ) +
        IFERROR(
            VLOOKUP($A82, INDIRECT("MayR!$A$6:$ZZ$1048576"), MATCH(H$1, MayR!$6:$6, 0), FALSE),
            0
        ) +
        IFERROR(
            VLOOKUP($A82, INDIRECT("JunR!$A$6:$ZZ$1048576"), MATCH(H$1, JunR!$6:$6, 0), FALSE),
            0
        ) +
        IFERROR(
            VLOOKUP($A82, INDIRECT("JulR!$A$6:$ZZ$1048576"), MATCH(H$1, JulR!$6:$6, 0), FALSE),
            0
        ) +
        IFERROR(
            VLOOKUP($A82, INDIRECT("AgoR!$A$6:$ZZ$1048576"), MATCH(H$1, AgoR!$6:$6, 0), FALSE),
            0
        ) +
        IFERROR(
            VLOOKUP($A82, INDIRECT("SepR!$A$6:$ZZ$1048576"), MATCH(H$1, SepR!$6:$6, 0), FALSE),
            0
        ) +
        IFERROR(
            VLOOKUP($A82, INDIRECT("OctR!$A$6:$ZZ$1048576"), MATCH(H$1, OctR!$6:$6, 0), FALSE),
            0
        ) +
        IFERROR(
            VLOOKUP($A82, INDIRECT("NovR!$A$6:$ZZ$1048576"), MATCH(H$1, NovR!$6:$6, 0), FALSE),
            0
        ) +
        IFERROR(
            VLOOKUP($A82, INDIRECT("DicR!$A$6:$ZZ$1048576"), MATCH(H$1, DicR!$6:$6, 0), FALSE),
            0
        )
)</f>
        <v>0</v>
      </c>
      <c r="I82" s="35">
        <f t="array" ref="I82">SUM(
    IFERROR(
            VLOOKUP($A82, INDIRECT("EneR!$A$6:$ZZ$1048576"), MATCH(I$1, EneR!$6:$6, 0), FALSE),
            0
        ) +
        IFERROR(
            VLOOKUP($A82, INDIRECT("FebR!$A$6:$ZZ$1048576"), MATCH(I$1, FebR!$6:$6, 0), FALSE),
            0
        ) +
        IFERROR(
            VLOOKUP($A82, INDIRECT("MarR!$A$6:$ZZ$1048576"), MATCH(I$1, MarR!$6:$6, 0), FALSE),
            0
        ) +
        IFERROR(
            VLOOKUP($A82, INDIRECT("AbrR!$A$6:$ZZ$1048576"), MATCH(I$1, AbrR!$6:$6, 0), FALSE),
            0
        ) +
        IFERROR(
            VLOOKUP($A82, INDIRECT("MayR!$A$6:$ZZ$1048576"), MATCH(I$1, MayR!$6:$6, 0), FALSE),
            0
        ) +
        IFERROR(
            VLOOKUP($A82, INDIRECT("JunR!$A$6:$ZZ$1048576"), MATCH(I$1, JunR!$6:$6, 0), FALSE),
            0
        ) +
        IFERROR(
            VLOOKUP($A82, INDIRECT("JulR!$A$6:$ZZ$1048576"), MATCH(I$1, JulR!$6:$6, 0), FALSE),
            0
        ) +
        IFERROR(
            VLOOKUP($A82, INDIRECT("AgoR!$A$6:$ZZ$1048576"), MATCH(I$1, AgoR!$6:$6, 0), FALSE),
            0
        ) +
        IFERROR(
            VLOOKUP($A82, INDIRECT("SepR!$A$6:$ZZ$1048576"), MATCH(I$1, SepR!$6:$6, 0), FALSE),
            0
        ) +
        IFERROR(
            VLOOKUP($A82, INDIRECT("OctR!$A$6:$ZZ$1048576"), MATCH(I$1, OctR!$6:$6, 0), FALSE),
            0
        ) +
        IFERROR(
            VLOOKUP($A82, INDIRECT("NovR!$A$6:$ZZ$1048576"), MATCH(I$1, NovR!$6:$6, 0), FALSE),
            0
        ) +
        IFERROR(
            VLOOKUP($A82, INDIRECT("DicR!$A$6:$ZZ$1048576"), MATCH(I$1, DicR!$6:$6, 0), FALSE),
            0
        )
)</f>
        <v>0</v>
      </c>
      <c r="J82" s="32">
        <f t="array" ref="J82">SUM(
    IFERROR(
            VLOOKUP($A82, INDIRECT("EneR!$A$6:$ZZ$1048576"), MATCH(J$1, EneR!$6:$6, 0), FALSE),
            0
        ) +
        IFERROR(
            VLOOKUP($A82, INDIRECT("FebR!$A$6:$ZZ$1048576"), MATCH(J$1, FebR!$6:$6, 0), FALSE),
            0
        ) +
        IFERROR(
            VLOOKUP($A82, INDIRECT("MarR!$A$6:$ZZ$1048576"), MATCH(J$1, MarR!$6:$6, 0), FALSE),
            0
        ) +
        IFERROR(
            VLOOKUP($A82, INDIRECT("AbrR!$A$6:$ZZ$1048576"), MATCH(J$1, AbrR!$6:$6, 0), FALSE),
            0
        ) +
        IFERROR(
            VLOOKUP($A82, INDIRECT("MayR!$A$6:$ZZ$1048576"), MATCH(J$1, MayR!$6:$6, 0), FALSE),
            0
        ) +
        IFERROR(
            VLOOKUP($A82, INDIRECT("JunR!$A$6:$ZZ$1048576"), MATCH(J$1, JunR!$6:$6, 0), FALSE),
            0
        ) +
        IFERROR(
            VLOOKUP($A82, INDIRECT("JulR!$A$6:$ZZ$1048576"), MATCH(J$1, JulR!$6:$6, 0), FALSE),
            0
        ) +
        IFERROR(
            VLOOKUP($A82, INDIRECT("AgoR!$A$6:$ZZ$1048576"), MATCH(J$1, AgoR!$6:$6, 0), FALSE),
            0
        ) +
        IFERROR(
            VLOOKUP($A82, INDIRECT("SepR!$A$6:$ZZ$1048576"), MATCH(J$1, SepR!$6:$6, 0), FALSE),
            0
        ) +
        IFERROR(
            VLOOKUP($A82, INDIRECT("OctR!$A$6:$ZZ$1048576"), MATCH(J$1, OctR!$6:$6, 0), FALSE),
            0
        ) +
        IFERROR(
            VLOOKUP($A82, INDIRECT("NovR!$A$6:$ZZ$1048576"), MATCH(J$1, NovR!$6:$6, 0), FALSE),
            0
        ) +
        IFERROR(
            VLOOKUP($A82, INDIRECT("DicR!$A$6:$ZZ$1048576"), MATCH(J$1, DicR!$6:$6, 0), FALSE),
            0
        )
)</f>
        <v>0</v>
      </c>
      <c r="K82" s="35">
        <f t="array" ref="K82">SUM(
    IFERROR(
            VLOOKUP($A82, INDIRECT("EneR!$A$6:$ZZ$1048576"), MATCH(K$1, EneR!$6:$6, 0), FALSE),
            0
        ) +
        IFERROR(
            VLOOKUP($A82, INDIRECT("FebR!$A$6:$ZZ$1048576"), MATCH(K$1, FebR!$6:$6, 0), FALSE),
            0
        ) +
        IFERROR(
            VLOOKUP($A82, INDIRECT("MarR!$A$6:$ZZ$1048576"), MATCH(K$1, MarR!$6:$6, 0), FALSE),
            0
        ) +
        IFERROR(
            VLOOKUP($A82, INDIRECT("AbrR!$A$6:$ZZ$1048576"), MATCH(K$1, AbrR!$6:$6, 0), FALSE),
            0
        ) +
        IFERROR(
            VLOOKUP($A82, INDIRECT("MayR!$A$6:$ZZ$1048576"), MATCH(K$1, MayR!$6:$6, 0), FALSE),
            0
        ) +
        IFERROR(
            VLOOKUP($A82, INDIRECT("JunR!$A$6:$ZZ$1048576"), MATCH(K$1, JunR!$6:$6, 0), FALSE),
            0
        ) +
        IFERROR(
            VLOOKUP($A82, INDIRECT("JulR!$A$6:$ZZ$1048576"), MATCH(K$1, JulR!$6:$6, 0), FALSE),
            0
        ) +
        IFERROR(
            VLOOKUP($A82, INDIRECT("AgoR!$A$6:$ZZ$1048576"), MATCH(K$1, AgoR!$6:$6, 0), FALSE),
            0
        ) +
        IFERROR(
            VLOOKUP($A82, INDIRECT("SepR!$A$6:$ZZ$1048576"), MATCH(K$1, SepR!$6:$6, 0), FALSE),
            0
        ) +
        IFERROR(
            VLOOKUP($A82, INDIRECT("OctR!$A$6:$ZZ$1048576"), MATCH(K$1, OctR!$6:$6, 0), FALSE),
            0
        ) +
        IFERROR(
            VLOOKUP($A82, INDIRECT("NovR!$A$6:$ZZ$1048576"), MATCH(K$1, NovR!$6:$6, 0), FALSE),
            0
        ) +
        IFERROR(
            VLOOKUP($A82, INDIRECT("DicR!$A$6:$ZZ$1048576"), MATCH(K$1, DicR!$6:$6, 0), FALSE),
            0
        )
)</f>
        <v>0</v>
      </c>
      <c r="L82" s="32">
        <f t="array" ref="L82">SUM(
    IFERROR(
            VLOOKUP($A82, INDIRECT("EneR!$A$6:$ZZ$1048576"), MATCH(L$1, EneR!$6:$6, 0), FALSE),
            0
        ) +
        IFERROR(
            VLOOKUP($A82, INDIRECT("FebR!$A$6:$ZZ$1048576"), MATCH(L$1, FebR!$6:$6, 0), FALSE),
            0
        ) +
        IFERROR(
            VLOOKUP($A82, INDIRECT("MarR!$A$6:$ZZ$1048576"), MATCH(L$1, MarR!$6:$6, 0), FALSE),
            0
        ) +
        IFERROR(
            VLOOKUP($A82, INDIRECT("AbrR!$A$6:$ZZ$1048576"), MATCH(L$1, AbrR!$6:$6, 0), FALSE),
            0
        ) +
        IFERROR(
            VLOOKUP($A82, INDIRECT("MayR!$A$6:$ZZ$1048576"), MATCH(L$1, MayR!$6:$6, 0), FALSE),
            0
        ) +
        IFERROR(
            VLOOKUP($A82, INDIRECT("JunR!$A$6:$ZZ$1048576"), MATCH(L$1, JunR!$6:$6, 0), FALSE),
            0
        ) +
        IFERROR(
            VLOOKUP($A82, INDIRECT("JulR!$A$6:$ZZ$1048576"), MATCH(L$1, JulR!$6:$6, 0), FALSE),
            0
        ) +
        IFERROR(
            VLOOKUP($A82, INDIRECT("AgoR!$A$6:$ZZ$1048576"), MATCH(L$1, AgoR!$6:$6, 0), FALSE),
            0
        ) +
        IFERROR(
            VLOOKUP($A82, INDIRECT("SepR!$A$6:$ZZ$1048576"), MATCH(L$1, SepR!$6:$6, 0), FALSE),
            0
        ) +
        IFERROR(
            VLOOKUP($A82, INDIRECT("OctR!$A$6:$ZZ$1048576"), MATCH(L$1, OctR!$6:$6, 0), FALSE),
            0
        ) +
        IFERROR(
            VLOOKUP($A82, INDIRECT("NovR!$A$6:$ZZ$1048576"), MATCH(L$1, NovR!$6:$6, 0), FALSE),
            0
        ) +
        IFERROR(
            VLOOKUP($A82, INDIRECT("DicR!$A$6:$ZZ$1048576"), MATCH(L$1, DicR!$6:$6, 0), FALSE),
            0
        )
)</f>
        <v>0</v>
      </c>
      <c r="M82" s="35">
        <f t="array" ref="M82">SUM(
    IFERROR(
            VLOOKUP($A82, INDIRECT("EneR!$A$6:$ZZ$1048576"), MATCH(M$1, EneR!$6:$6, 0), FALSE),
            0
        ) +
        IFERROR(
            VLOOKUP($A82, INDIRECT("FebR!$A$6:$ZZ$1048576"), MATCH(M$1, FebR!$6:$6, 0), FALSE),
            0
        ) +
        IFERROR(
            VLOOKUP($A82, INDIRECT("MarR!$A$6:$ZZ$1048576"), MATCH(M$1, MarR!$6:$6, 0), FALSE),
            0
        ) +
        IFERROR(
            VLOOKUP($A82, INDIRECT("AbrR!$A$6:$ZZ$1048576"), MATCH(M$1, AbrR!$6:$6, 0), FALSE),
            0
        ) +
        IFERROR(
            VLOOKUP($A82, INDIRECT("MayR!$A$6:$ZZ$1048576"), MATCH(M$1, MayR!$6:$6, 0), FALSE),
            0
        ) +
        IFERROR(
            VLOOKUP($A82, INDIRECT("JunR!$A$6:$ZZ$1048576"), MATCH(M$1, JunR!$6:$6, 0), FALSE),
            0
        ) +
        IFERROR(
            VLOOKUP($A82, INDIRECT("JulR!$A$6:$ZZ$1048576"), MATCH(M$1, JulR!$6:$6, 0), FALSE),
            0
        ) +
        IFERROR(
            VLOOKUP($A82, INDIRECT("AgoR!$A$6:$ZZ$1048576"), MATCH(M$1, AgoR!$6:$6, 0), FALSE),
            0
        ) +
        IFERROR(
            VLOOKUP($A82, INDIRECT("SepR!$A$6:$ZZ$1048576"), MATCH(M$1, SepR!$6:$6, 0), FALSE),
            0
        ) +
        IFERROR(
            VLOOKUP($A82, INDIRECT("OctR!$A$6:$ZZ$1048576"), MATCH(M$1, OctR!$6:$6, 0), FALSE),
            0
        ) +
        IFERROR(
            VLOOKUP($A82, INDIRECT("NovR!$A$6:$ZZ$1048576"), MATCH(M$1, NovR!$6:$6, 0), FALSE),
            0
        ) +
        IFERROR(
            VLOOKUP($A82, INDIRECT("DicR!$A$6:$ZZ$1048576"), MATCH(M$1, DicR!$6:$6, 0), FALSE),
            0
        )
)</f>
        <v>0</v>
      </c>
      <c r="N82" s="32">
        <f t="array" ref="N82">SUM(
    IFERROR(
            VLOOKUP($A82, INDIRECT("EneR!$A$6:$ZZ$1048576"), MATCH(N$1, EneR!$6:$6, 0), FALSE),
            0
        ) +
        IFERROR(
            VLOOKUP($A82, INDIRECT("FebR!$A$6:$ZZ$1048576"), MATCH(N$1, FebR!$6:$6, 0), FALSE),
            0
        ) +
        IFERROR(
            VLOOKUP($A82, INDIRECT("MarR!$A$6:$ZZ$1048576"), MATCH(N$1, MarR!$6:$6, 0), FALSE),
            0
        ) +
        IFERROR(
            VLOOKUP($A82, INDIRECT("AbrR!$A$6:$ZZ$1048576"), MATCH(N$1, AbrR!$6:$6, 0), FALSE),
            0
        ) +
        IFERROR(
            VLOOKUP($A82, INDIRECT("MayR!$A$6:$ZZ$1048576"), MATCH(N$1, MayR!$6:$6, 0), FALSE),
            0
        ) +
        IFERROR(
            VLOOKUP($A82, INDIRECT("JunR!$A$6:$ZZ$1048576"), MATCH(N$1, JunR!$6:$6, 0), FALSE),
            0
        ) +
        IFERROR(
            VLOOKUP($A82, INDIRECT("JulR!$A$6:$ZZ$1048576"), MATCH(N$1, JulR!$6:$6, 0), FALSE),
            0
        ) +
        IFERROR(
            VLOOKUP($A82, INDIRECT("AgoR!$A$6:$ZZ$1048576"), MATCH(N$1, AgoR!$6:$6, 0), FALSE),
            0
        ) +
        IFERROR(
            VLOOKUP($A82, INDIRECT("SepR!$A$6:$ZZ$1048576"), MATCH(N$1, SepR!$6:$6, 0), FALSE),
            0
        ) +
        IFERROR(
            VLOOKUP($A82, INDIRECT("OctR!$A$6:$ZZ$1048576"), MATCH(N$1, OctR!$6:$6, 0), FALSE),
            0
        ) +
        IFERROR(
            VLOOKUP($A82, INDIRECT("NovR!$A$6:$ZZ$1048576"), MATCH(N$1, NovR!$6:$6, 0), FALSE),
            0
        ) +
        IFERROR(
            VLOOKUP($A82, INDIRECT("DicR!$A$6:$ZZ$1048576"), MATCH(N$1, DicR!$6:$6, 0), FALSE),
            0
        )
)</f>
        <v>0</v>
      </c>
      <c r="O82" s="35">
        <f t="array" ref="O82">SUM(
    IFERROR(
            VLOOKUP($A82, INDIRECT("EneR!$A$6:$ZZ$1048576"), MATCH(O$1, EneR!$6:$6, 0), FALSE),
            0
        ) +
        IFERROR(
            VLOOKUP($A82, INDIRECT("FebR!$A$6:$ZZ$1048576"), MATCH(O$1, FebR!$6:$6, 0), FALSE),
            0
        ) +
        IFERROR(
            VLOOKUP($A82, INDIRECT("MarR!$A$6:$ZZ$1048576"), MATCH(O$1, MarR!$6:$6, 0), FALSE),
            0
        ) +
        IFERROR(
            VLOOKUP($A82, INDIRECT("AbrR!$A$6:$ZZ$1048576"), MATCH(O$1, AbrR!$6:$6, 0), FALSE),
            0
        ) +
        IFERROR(
            VLOOKUP($A82, INDIRECT("MayR!$A$6:$ZZ$1048576"), MATCH(O$1, MayR!$6:$6, 0), FALSE),
            0
        ) +
        IFERROR(
            VLOOKUP($A82, INDIRECT("JunR!$A$6:$ZZ$1048576"), MATCH(O$1, JunR!$6:$6, 0), FALSE),
            0
        ) +
        IFERROR(
            VLOOKUP($A82, INDIRECT("JulR!$A$6:$ZZ$1048576"), MATCH(O$1, JulR!$6:$6, 0), FALSE),
            0
        ) +
        IFERROR(
            VLOOKUP($A82, INDIRECT("AgoR!$A$6:$ZZ$1048576"), MATCH(O$1, AgoR!$6:$6, 0), FALSE),
            0
        ) +
        IFERROR(
            VLOOKUP($A82, INDIRECT("SepR!$A$6:$ZZ$1048576"), MATCH(O$1, SepR!$6:$6, 0), FALSE),
            0
        ) +
        IFERROR(
            VLOOKUP($A82, INDIRECT("OctR!$A$6:$ZZ$1048576"), MATCH(O$1, OctR!$6:$6, 0), FALSE),
            0
        ) +
        IFERROR(
            VLOOKUP($A82, INDIRECT("NovR!$A$6:$ZZ$1048576"), MATCH(O$1, NovR!$6:$6, 0), FALSE),
            0
        ) +
        IFERROR(
            VLOOKUP($A82, INDIRECT("DicR!$A$6:$ZZ$1048576"), MATCH(O$1, DicR!$6:$6, 0), FALSE),
            0
        )
)</f>
        <v>0</v>
      </c>
      <c r="P82" s="32">
        <f t="array" ref="P82">SUM(
    IFERROR(
            VLOOKUP($A82, INDIRECT("EneR!$A$6:$ZZ$1048576"), MATCH(P$1, EneR!$6:$6, 0), FALSE),
            0
        ) +
        IFERROR(
            VLOOKUP($A82, INDIRECT("FebR!$A$6:$ZZ$1048576"), MATCH(P$1, FebR!$6:$6, 0), FALSE),
            0
        ) +
        IFERROR(
            VLOOKUP($A82, INDIRECT("MarR!$A$6:$ZZ$1048576"), MATCH(P$1, MarR!$6:$6, 0), FALSE),
            0
        ) +
        IFERROR(
            VLOOKUP($A82, INDIRECT("AbrR!$A$6:$ZZ$1048576"), MATCH(P$1, AbrR!$6:$6, 0), FALSE),
            0
        ) +
        IFERROR(
            VLOOKUP($A82, INDIRECT("MayR!$A$6:$ZZ$1048576"), MATCH(P$1, MayR!$6:$6, 0), FALSE),
            0
        ) +
        IFERROR(
            VLOOKUP($A82, INDIRECT("JunR!$A$6:$ZZ$1048576"), MATCH(P$1, JunR!$6:$6, 0), FALSE),
            0
        ) +
        IFERROR(
            VLOOKUP($A82, INDIRECT("JulR!$A$6:$ZZ$1048576"), MATCH(P$1, JulR!$6:$6, 0), FALSE),
            0
        ) +
        IFERROR(
            VLOOKUP($A82, INDIRECT("AgoR!$A$6:$ZZ$1048576"), MATCH(P$1, AgoR!$6:$6, 0), FALSE),
            0
        ) +
        IFERROR(
            VLOOKUP($A82, INDIRECT("SepR!$A$6:$ZZ$1048576"), MATCH(P$1, SepR!$6:$6, 0), FALSE),
            0
        ) +
        IFERROR(
            VLOOKUP($A82, INDIRECT("OctR!$A$6:$ZZ$1048576"), MATCH(P$1, OctR!$6:$6, 0), FALSE),
            0
        ) +
        IFERROR(
            VLOOKUP($A82, INDIRECT("NovR!$A$6:$ZZ$1048576"), MATCH(P$1, NovR!$6:$6, 0), FALSE),
            0
        ) +
        IFERROR(
            VLOOKUP($A82, INDIRECT("DicR!$A$6:$ZZ$1048576"), MATCH(P$1, DicR!$6:$6, 0), FALSE),
            0
        )
)</f>
        <v>0</v>
      </c>
      <c r="Q82" s="35">
        <f t="array" ref="Q82">SUM(
    IFERROR(
            VLOOKUP($A82, INDIRECT("EneR!$A$6:$ZZ$1048576"), MATCH(Q$1, EneR!$6:$6, 0), FALSE),
            0
        ) +
        IFERROR(
            VLOOKUP($A82, INDIRECT("FebR!$A$6:$ZZ$1048576"), MATCH(Q$1, FebR!$6:$6, 0), FALSE),
            0
        ) +
        IFERROR(
            VLOOKUP($A82, INDIRECT("MarR!$A$6:$ZZ$1048576"), MATCH(Q$1, MarR!$6:$6, 0), FALSE),
            0
        ) +
        IFERROR(
            VLOOKUP($A82, INDIRECT("AbrR!$A$6:$ZZ$1048576"), MATCH(Q$1, AbrR!$6:$6, 0), FALSE),
            0
        ) +
        IFERROR(
            VLOOKUP($A82, INDIRECT("MayR!$A$6:$ZZ$1048576"), MATCH(Q$1, MayR!$6:$6, 0), FALSE),
            0
        ) +
        IFERROR(
            VLOOKUP($A82, INDIRECT("JunR!$A$6:$ZZ$1048576"), MATCH(Q$1, JunR!$6:$6, 0), FALSE),
            0
        ) +
        IFERROR(
            VLOOKUP($A82, INDIRECT("JulR!$A$6:$ZZ$1048576"), MATCH(Q$1, JulR!$6:$6, 0), FALSE),
            0
        ) +
        IFERROR(
            VLOOKUP($A82, INDIRECT("AgoR!$A$6:$ZZ$1048576"), MATCH(Q$1, AgoR!$6:$6, 0), FALSE),
            0
        ) +
        IFERROR(
            VLOOKUP($A82, INDIRECT("SepR!$A$6:$ZZ$1048576"), MATCH(Q$1, SepR!$6:$6, 0), FALSE),
            0
        ) +
        IFERROR(
            VLOOKUP($A82, INDIRECT("OctR!$A$6:$ZZ$1048576"), MATCH(Q$1, OctR!$6:$6, 0), FALSE),
            0
        ) +
        IFERROR(
            VLOOKUP($A82, INDIRECT("NovR!$A$6:$ZZ$1048576"), MATCH(Q$1, NovR!$6:$6, 0), FALSE),
            0
        ) +
        IFERROR(
            VLOOKUP($A82, INDIRECT("DicR!$A$6:$ZZ$1048576"), MATCH(Q$1, DicR!$6:$6, 0), FALSE),
            0
        )
)</f>
        <v>0</v>
      </c>
      <c r="R82" s="36">
        <f t="array" ref="R82">SUM(
    IFERROR(
            VLOOKUP($A82, INDIRECT("EneR!$A$6:$ZZ$1048576"), MATCH(R$1, EneR!$6:$6, 0), FALSE),
            0
        ) +
        IFERROR(
            VLOOKUP($A82, INDIRECT("FebR!$A$6:$ZZ$1048576"), MATCH(R$1, FebR!$6:$6, 0), FALSE),
            0
        ) +
        IFERROR(
            VLOOKUP($A82, INDIRECT("MarR!$A$6:$ZZ$1048576"), MATCH(R$1, MarR!$6:$6, 0), FALSE),
            0
        ) +
        IFERROR(
            VLOOKUP($A82, INDIRECT("AbrR!$A$6:$ZZ$1048576"), MATCH(R$1, AbrR!$6:$6, 0), FALSE),
            0
        ) +
        IFERROR(
            VLOOKUP($A82, INDIRECT("MayR!$A$6:$ZZ$1048576"), MATCH(R$1, MayR!$6:$6, 0), FALSE),
            0
        ) +
        IFERROR(
            VLOOKUP($A82, INDIRECT("JunR!$A$6:$ZZ$1048576"), MATCH(R$1, JunR!$6:$6, 0), FALSE),
            0
        ) +
        IFERROR(
            VLOOKUP($A82, INDIRECT("JulR!$A$6:$ZZ$1048576"), MATCH(R$1, JulR!$6:$6, 0), FALSE),
            0
        ) +
        IFERROR(
            VLOOKUP($A82, INDIRECT("AgoR!$A$6:$ZZ$1048576"), MATCH(R$1, AgoR!$6:$6, 0), FALSE),
            0
        ) +
        IFERROR(
            VLOOKUP($A82, INDIRECT("SepR!$A$6:$ZZ$1048576"), MATCH(R$1, SepR!$6:$6, 0), FALSE),
            0
        ) +
        IFERROR(
            VLOOKUP($A82, INDIRECT("OctR!$A$6:$ZZ$1048576"), MATCH(R$1, OctR!$6:$6, 0), FALSE),
            0
        ) +
        IFERROR(
            VLOOKUP($A82, INDIRECT("NovR!$A$6:$ZZ$1048576"), MATCH(R$1, NovR!$6:$6, 0), FALSE),
            0
        ) +
        IFERROR(
            VLOOKUP($A82, INDIRECT("DicR!$A$6:$ZZ$1048576"), MATCH(R$1, DicR!$6:$6, 0), FALSE),
            0
        )
)</f>
        <v>0</v>
      </c>
      <c r="S82" s="37">
        <f t="array" ref="S82">SUM(
    IFERROR(
            VLOOKUP($A82, INDIRECT("EneR!$A$6:$ZZ$1048576"), MATCH(S$1, EneR!$6:$6, 0), FALSE),
            0
        ) +
        IFERROR(
            VLOOKUP($A82, INDIRECT("FebR!$A$6:$ZZ$1048576"), MATCH(S$1, FebR!$6:$6, 0), FALSE),
            0
        ) +
        IFERROR(
            VLOOKUP($A82, INDIRECT("MarR!$A$6:$ZZ$1048576"), MATCH(S$1, MarR!$6:$6, 0), FALSE),
            0
        ) +
        IFERROR(
            VLOOKUP($A82, INDIRECT("AbrR!$A$6:$ZZ$1048576"), MATCH(S$1, AbrR!$6:$6, 0), FALSE),
            0
        ) +
        IFERROR(
            VLOOKUP($A82, INDIRECT("MayR!$A$6:$ZZ$1048576"), MATCH(S$1, MayR!$6:$6, 0), FALSE),
            0
        ) +
        IFERROR(
            VLOOKUP($A82, INDIRECT("JunR!$A$6:$ZZ$1048576"), MATCH(S$1, JunR!$6:$6, 0), FALSE),
            0
        ) +
        IFERROR(
            VLOOKUP($A82, INDIRECT("JulR!$A$6:$ZZ$1048576"), MATCH(S$1, JulR!$6:$6, 0), FALSE),
            0
        ) +
        IFERROR(
            VLOOKUP($A82, INDIRECT("AgoR!$A$6:$ZZ$1048576"), MATCH(S$1, AgoR!$6:$6, 0), FALSE),
            0
        ) +
        IFERROR(
            VLOOKUP($A82, INDIRECT("SepR!$A$6:$ZZ$1048576"), MATCH(S$1, SepR!$6:$6, 0), FALSE),
            0
        ) +
        IFERROR(
            VLOOKUP($A82, INDIRECT("OctR!$A$6:$ZZ$1048576"), MATCH(S$1, OctR!$6:$6, 0), FALSE),
            0
        ) +
        IFERROR(
            VLOOKUP($A82, INDIRECT("NovR!$A$6:$ZZ$1048576"), MATCH(S$1, NovR!$6:$6, 0), FALSE),
            0
        ) +
        IFERROR(
            VLOOKUP($A82, INDIRECT("DicR!$A$6:$ZZ$1048576"), MATCH(S$1, DicR!$6:$6, 0), FALSE),
            0
        )
)</f>
        <v>0</v>
      </c>
      <c r="T82" s="36">
        <f t="array" ref="T82">SUM(
    IFERROR(
            VLOOKUP($A82, INDIRECT("EneR!$A$6:$ZZ$1048576"), MATCH(T$1, EneR!$6:$6, 0), FALSE),
            0
        ) +
        IFERROR(
            VLOOKUP($A82, INDIRECT("FebR!$A$6:$ZZ$1048576"), MATCH(T$1, FebR!$6:$6, 0), FALSE),
            0
        ) +
        IFERROR(
            VLOOKUP($A82, INDIRECT("MarR!$A$6:$ZZ$1048576"), MATCH(T$1, MarR!$6:$6, 0), FALSE),
            0
        ) +
        IFERROR(
            VLOOKUP($A82, INDIRECT("AbrR!$A$6:$ZZ$1048576"), MATCH(T$1, AbrR!$6:$6, 0), FALSE),
            0
        ) +
        IFERROR(
            VLOOKUP($A82, INDIRECT("MayR!$A$6:$ZZ$1048576"), MATCH(T$1, MayR!$6:$6, 0), FALSE),
            0
        ) +
        IFERROR(
            VLOOKUP($A82, INDIRECT("JunR!$A$6:$ZZ$1048576"), MATCH(T$1, JunR!$6:$6, 0), FALSE),
            0
        ) +
        IFERROR(
            VLOOKUP($A82, INDIRECT("JulR!$A$6:$ZZ$1048576"), MATCH(T$1, JulR!$6:$6, 0), FALSE),
            0
        ) +
        IFERROR(
            VLOOKUP($A82, INDIRECT("AgoR!$A$6:$ZZ$1048576"), MATCH(T$1, AgoR!$6:$6, 0), FALSE),
            0
        ) +
        IFERROR(
            VLOOKUP($A82, INDIRECT("SepR!$A$6:$ZZ$1048576"), MATCH(T$1, SepR!$6:$6, 0), FALSE),
            0
        ) +
        IFERROR(
            VLOOKUP($A82, INDIRECT("OctR!$A$6:$ZZ$1048576"), MATCH(T$1, OctR!$6:$6, 0), FALSE),
            0
        ) +
        IFERROR(
            VLOOKUP($A82, INDIRECT("NovR!$A$6:$ZZ$1048576"), MATCH(T$1, NovR!$6:$6, 0), FALSE),
            0
        ) +
        IFERROR(
            VLOOKUP($A82, INDIRECT("DicR!$A$6:$ZZ$1048576"), MATCH(T$1, DicR!$6:$6, 0), FALSE),
            0
        )
)</f>
        <v>0</v>
      </c>
      <c r="U82" s="37">
        <f t="array" ref="U82">SUM(
    IFERROR(
            VLOOKUP($A82, INDIRECT("EneR!$A$6:$ZZ$1048576"), MATCH(U$1, EneR!$6:$6, 0), FALSE),
            0
        ) +
        IFERROR(
            VLOOKUP($A82, INDIRECT("FebR!$A$6:$ZZ$1048576"), MATCH(U$1, FebR!$6:$6, 0), FALSE),
            0
        ) +
        IFERROR(
            VLOOKUP($A82, INDIRECT("MarR!$A$6:$ZZ$1048576"), MATCH(U$1, MarR!$6:$6, 0), FALSE),
            0
        ) +
        IFERROR(
            VLOOKUP($A82, INDIRECT("AbrR!$A$6:$ZZ$1048576"), MATCH(U$1, AbrR!$6:$6, 0), FALSE),
            0
        ) +
        IFERROR(
            VLOOKUP($A82, INDIRECT("MayR!$A$6:$ZZ$1048576"), MATCH(U$1, MayR!$6:$6, 0), FALSE),
            0
        ) +
        IFERROR(
            VLOOKUP($A82, INDIRECT("JunR!$A$6:$ZZ$1048576"), MATCH(U$1, JunR!$6:$6, 0), FALSE),
            0
        ) +
        IFERROR(
            VLOOKUP($A82, INDIRECT("JulR!$A$6:$ZZ$1048576"), MATCH(U$1, JulR!$6:$6, 0), FALSE),
            0
        ) +
        IFERROR(
            VLOOKUP($A82, INDIRECT("AgoR!$A$6:$ZZ$1048576"), MATCH(U$1, AgoR!$6:$6, 0), FALSE),
            0
        ) +
        IFERROR(
            VLOOKUP($A82, INDIRECT("SepR!$A$6:$ZZ$1048576"), MATCH(U$1, SepR!$6:$6, 0), FALSE),
            0
        ) +
        IFERROR(
            VLOOKUP($A82, INDIRECT("OctR!$A$6:$ZZ$1048576"), MATCH(U$1, OctR!$6:$6, 0), FALSE),
            0
        ) +
        IFERROR(
            VLOOKUP($A82, INDIRECT("NovR!$A$6:$ZZ$1048576"), MATCH(U$1, NovR!$6:$6, 0), FALSE),
            0
        ) +
        IFERROR(
            VLOOKUP($A82, INDIRECT("DicR!$A$6:$ZZ$1048576"), MATCH(U$1, DicR!$6:$6, 0), FALSE),
            0
        )
)</f>
        <v>0</v>
      </c>
      <c r="V82" s="36">
        <f t="array" ref="V82">SUM(
    IFERROR(
            VLOOKUP($A82, INDIRECT("EneR!$A$6:$ZZ$1048576"), MATCH(V$1, EneR!$6:$6, 0), FALSE),
            0
        ) +
        IFERROR(
            VLOOKUP($A82, INDIRECT("FebR!$A$6:$ZZ$1048576"), MATCH(V$1, FebR!$6:$6, 0), FALSE),
            0
        ) +
        IFERROR(
            VLOOKUP($A82, INDIRECT("MarR!$A$6:$ZZ$1048576"), MATCH(V$1, MarR!$6:$6, 0), FALSE),
            0
        ) +
        IFERROR(
            VLOOKUP($A82, INDIRECT("AbrR!$A$6:$ZZ$1048576"), MATCH(V$1, AbrR!$6:$6, 0), FALSE),
            0
        ) +
        IFERROR(
            VLOOKUP($A82, INDIRECT("MayR!$A$6:$ZZ$1048576"), MATCH(V$1, MayR!$6:$6, 0), FALSE),
            0
        ) +
        IFERROR(
            VLOOKUP($A82, INDIRECT("JunR!$A$6:$ZZ$1048576"), MATCH(V$1, JunR!$6:$6, 0), FALSE),
            0
        ) +
        IFERROR(
            VLOOKUP($A82, INDIRECT("JulR!$A$6:$ZZ$1048576"), MATCH(V$1, JulR!$6:$6, 0), FALSE),
            0
        ) +
        IFERROR(
            VLOOKUP($A82, INDIRECT("AgoR!$A$6:$ZZ$1048576"), MATCH(V$1, AgoR!$6:$6, 0), FALSE),
            0
        ) +
        IFERROR(
            VLOOKUP($A82, INDIRECT("SepR!$A$6:$ZZ$1048576"), MATCH(V$1, SepR!$6:$6, 0), FALSE),
            0
        ) +
        IFERROR(
            VLOOKUP($A82, INDIRECT("OctR!$A$6:$ZZ$1048576"), MATCH(V$1, OctR!$6:$6, 0), FALSE),
            0
        ) +
        IFERROR(
            VLOOKUP($A82, INDIRECT("NovR!$A$6:$ZZ$1048576"), MATCH(V$1, NovR!$6:$6, 0), FALSE),
            0
        ) +
        IFERROR(
            VLOOKUP($A82, INDIRECT("DicR!$A$6:$ZZ$1048576"), MATCH(V$1, DicR!$6:$6, 0), FALSE),
            0
        )
)</f>
        <v>0</v>
      </c>
      <c r="W82" s="37">
        <f t="array" ref="W82">SUM(
    IFERROR(
            VLOOKUP($A82, INDIRECT("EneR!$A$6:$ZZ$1048576"), MATCH(W$1, EneR!$6:$6, 0), FALSE),
            0
        ) +
        IFERROR(
            VLOOKUP($A82, INDIRECT("FebR!$A$6:$ZZ$1048576"), MATCH(W$1, FebR!$6:$6, 0), FALSE),
            0
        ) +
        IFERROR(
            VLOOKUP($A82, INDIRECT("MarR!$A$6:$ZZ$1048576"), MATCH(W$1, MarR!$6:$6, 0), FALSE),
            0
        ) +
        IFERROR(
            VLOOKUP($A82, INDIRECT("AbrR!$A$6:$ZZ$1048576"), MATCH(W$1, AbrR!$6:$6, 0), FALSE),
            0
        ) +
        IFERROR(
            VLOOKUP($A82, INDIRECT("MayR!$A$6:$ZZ$1048576"), MATCH(W$1, MayR!$6:$6, 0), FALSE),
            0
        ) +
        IFERROR(
            VLOOKUP($A82, INDIRECT("JunR!$A$6:$ZZ$1048576"), MATCH(W$1, JunR!$6:$6, 0), FALSE),
            0
        ) +
        IFERROR(
            VLOOKUP($A82, INDIRECT("JulR!$A$6:$ZZ$1048576"), MATCH(W$1, JulR!$6:$6, 0), FALSE),
            0
        ) +
        IFERROR(
            VLOOKUP($A82, INDIRECT("AgoR!$A$6:$ZZ$1048576"), MATCH(W$1, AgoR!$6:$6, 0), FALSE),
            0
        ) +
        IFERROR(
            VLOOKUP($A82, INDIRECT("SepR!$A$6:$ZZ$1048576"), MATCH(W$1, SepR!$6:$6, 0), FALSE),
            0
        ) +
        IFERROR(
            VLOOKUP($A82, INDIRECT("OctR!$A$6:$ZZ$1048576"), MATCH(W$1, OctR!$6:$6, 0), FALSE),
            0
        ) +
        IFERROR(
            VLOOKUP($A82, INDIRECT("NovR!$A$6:$ZZ$1048576"), MATCH(W$1, NovR!$6:$6, 0), FALSE),
            0
        ) +
        IFERROR(
            VLOOKUP($A82, INDIRECT("DicR!$A$6:$ZZ$1048576"), MATCH(W$1, DicR!$6:$6, 0), FALSE),
            0
        )
)</f>
        <v>0</v>
      </c>
      <c r="X82" s="36">
        <f t="array" ref="X82">SUM(
    IFERROR(
            VLOOKUP($A82, INDIRECT("EneR!$A$6:$ZZ$1048576"), MATCH(X$1, EneR!$6:$6, 0), FALSE),
            0
        ) +
        IFERROR(
            VLOOKUP($A82, INDIRECT("FebR!$A$6:$ZZ$1048576"), MATCH(X$1, FebR!$6:$6, 0), FALSE),
            0
        ) +
        IFERROR(
            VLOOKUP($A82, INDIRECT("MarR!$A$6:$ZZ$1048576"), MATCH(X$1, MarR!$6:$6, 0), FALSE),
            0
        ) +
        IFERROR(
            VLOOKUP($A82, INDIRECT("AbrR!$A$6:$ZZ$1048576"), MATCH(X$1, AbrR!$6:$6, 0), FALSE),
            0
        ) +
        IFERROR(
            VLOOKUP($A82, INDIRECT("MayR!$A$6:$ZZ$1048576"), MATCH(X$1, MayR!$6:$6, 0), FALSE),
            0
        ) +
        IFERROR(
            VLOOKUP($A82, INDIRECT("JunR!$A$6:$ZZ$1048576"), MATCH(X$1, JunR!$6:$6, 0), FALSE),
            0
        ) +
        IFERROR(
            VLOOKUP($A82, INDIRECT("JulR!$A$6:$ZZ$1048576"), MATCH(X$1, JulR!$6:$6, 0), FALSE),
            0
        ) +
        IFERROR(
            VLOOKUP($A82, INDIRECT("AgoR!$A$6:$ZZ$1048576"), MATCH(X$1, AgoR!$6:$6, 0), FALSE),
            0
        ) +
        IFERROR(
            VLOOKUP($A82, INDIRECT("SepR!$A$6:$ZZ$1048576"), MATCH(X$1, SepR!$6:$6, 0), FALSE),
            0
        ) +
        IFERROR(
            VLOOKUP($A82, INDIRECT("OctR!$A$6:$ZZ$1048576"), MATCH(X$1, OctR!$6:$6, 0), FALSE),
            0
        ) +
        IFERROR(
            VLOOKUP($A82, INDIRECT("NovR!$A$6:$ZZ$1048576"), MATCH(X$1, NovR!$6:$6, 0), FALSE),
            0
        ) +
        IFERROR(
            VLOOKUP($A82, INDIRECT("DicR!$A$6:$ZZ$1048576"), MATCH(X$1, DicR!$6:$6, 0), FALSE),
            0
        )
)</f>
        <v>0</v>
      </c>
      <c r="Y82" s="37">
        <f t="array" ref="Y82">SUM(
    IFERROR(
            VLOOKUP($A82, INDIRECT("EneR!$A$6:$ZZ$1048576"), MATCH(Y$1, EneR!$6:$6, 0), FALSE),
            0
        ) +
        IFERROR(
            VLOOKUP($A82, INDIRECT("FebR!$A$6:$ZZ$1048576"), MATCH(Y$1, FebR!$6:$6, 0), FALSE),
            0
        ) +
        IFERROR(
            VLOOKUP($A82, INDIRECT("MarR!$A$6:$ZZ$1048576"), MATCH(Y$1, MarR!$6:$6, 0), FALSE),
            0
        ) +
        IFERROR(
            VLOOKUP($A82, INDIRECT("AbrR!$A$6:$ZZ$1048576"), MATCH(Y$1, AbrR!$6:$6, 0), FALSE),
            0
        ) +
        IFERROR(
            VLOOKUP($A82, INDIRECT("MayR!$A$6:$ZZ$1048576"), MATCH(Y$1, MayR!$6:$6, 0), FALSE),
            0
        ) +
        IFERROR(
            VLOOKUP($A82, INDIRECT("JunR!$A$6:$ZZ$1048576"), MATCH(Y$1, JunR!$6:$6, 0), FALSE),
            0
        ) +
        IFERROR(
            VLOOKUP($A82, INDIRECT("JulR!$A$6:$ZZ$1048576"), MATCH(Y$1, JulR!$6:$6, 0), FALSE),
            0
        ) +
        IFERROR(
            VLOOKUP($A82, INDIRECT("AgoR!$A$6:$ZZ$1048576"), MATCH(Y$1, AgoR!$6:$6, 0), FALSE),
            0
        ) +
        IFERROR(
            VLOOKUP($A82, INDIRECT("SepR!$A$6:$ZZ$1048576"), MATCH(Y$1, SepR!$6:$6, 0), FALSE),
            0
        ) +
        IFERROR(
            VLOOKUP($A82, INDIRECT("OctR!$A$6:$ZZ$1048576"), MATCH(Y$1, OctR!$6:$6, 0), FALSE),
            0
        ) +
        IFERROR(
            VLOOKUP($A82, INDIRECT("NovR!$A$6:$ZZ$1048576"), MATCH(Y$1, NovR!$6:$6, 0), FALSE),
            0
        ) +
        IFERROR(
            VLOOKUP($A82, INDIRECT("DicR!$A$6:$ZZ$1048576"), MATCH(Y$1, DicR!$6:$6, 0), FALSE),
            0
        )
)</f>
        <v>0</v>
      </c>
      <c r="Z82" s="36">
        <f t="array" ref="Z82">SUM(
    IFERROR(
            VLOOKUP($A82, INDIRECT("EneR!$A$6:$ZZ$1048576"), MATCH(Z$1, EneR!$6:$6, 0), FALSE),
            0
        ) +
        IFERROR(
            VLOOKUP($A82, INDIRECT("FebR!$A$6:$ZZ$1048576"), MATCH(Z$1, FebR!$6:$6, 0), FALSE),
            0
        ) +
        IFERROR(
            VLOOKUP($A82, INDIRECT("MarR!$A$6:$ZZ$1048576"), MATCH(Z$1, MarR!$6:$6, 0), FALSE),
            0
        ) +
        IFERROR(
            VLOOKUP($A82, INDIRECT("AbrR!$A$6:$ZZ$1048576"), MATCH(Z$1, AbrR!$6:$6, 0), FALSE),
            0
        ) +
        IFERROR(
            VLOOKUP($A82, INDIRECT("MayR!$A$6:$ZZ$1048576"), MATCH(Z$1, MayR!$6:$6, 0), FALSE),
            0
        ) +
        IFERROR(
            VLOOKUP($A82, INDIRECT("JunR!$A$6:$ZZ$1048576"), MATCH(Z$1, JunR!$6:$6, 0), FALSE),
            0
        ) +
        IFERROR(
            VLOOKUP($A82, INDIRECT("JulR!$A$6:$ZZ$1048576"), MATCH(Z$1, JulR!$6:$6, 0), FALSE),
            0
        ) +
        IFERROR(
            VLOOKUP($A82, INDIRECT("AgoR!$A$6:$ZZ$1048576"), MATCH(Z$1, AgoR!$6:$6, 0), FALSE),
            0
        ) +
        IFERROR(
            VLOOKUP($A82, INDIRECT("SepR!$A$6:$ZZ$1048576"), MATCH(Z$1, SepR!$6:$6, 0), FALSE),
            0
        ) +
        IFERROR(
            VLOOKUP($A82, INDIRECT("OctR!$A$6:$ZZ$1048576"), MATCH(Z$1, OctR!$6:$6, 0), FALSE),
            0
        ) +
        IFERROR(
            VLOOKUP($A82, INDIRECT("NovR!$A$6:$ZZ$1048576"), MATCH(Z$1, NovR!$6:$6, 0), FALSE),
            0
        ) +
        IFERROR(
            VLOOKUP($A82, INDIRECT("DicR!$A$6:$ZZ$1048576"), MATCH(Z$1, DicR!$6:$6, 0), FALSE),
            0
        )
)</f>
        <v>0</v>
      </c>
      <c r="AA82" s="37">
        <f t="array" ref="AA82">SUM(
    IFERROR(
            VLOOKUP($A82, INDIRECT("EneR!$A$6:$ZZ$1048576"), MATCH(AA$1, EneR!$6:$6, 0), FALSE),
            0
        ) +
        IFERROR(
            VLOOKUP($A82, INDIRECT("FebR!$A$6:$ZZ$1048576"), MATCH(AA$1, FebR!$6:$6, 0), FALSE),
            0
        ) +
        IFERROR(
            VLOOKUP($A82, INDIRECT("MarR!$A$6:$ZZ$1048576"), MATCH(AA$1, MarR!$6:$6, 0), FALSE),
            0
        ) +
        IFERROR(
            VLOOKUP($A82, INDIRECT("AbrR!$A$6:$ZZ$1048576"), MATCH(AA$1, AbrR!$6:$6, 0), FALSE),
            0
        ) +
        IFERROR(
            VLOOKUP($A82, INDIRECT("MayR!$A$6:$ZZ$1048576"), MATCH(AA$1, MayR!$6:$6, 0), FALSE),
            0
        ) +
        IFERROR(
            VLOOKUP($A82, INDIRECT("JunR!$A$6:$ZZ$1048576"), MATCH(AA$1, JunR!$6:$6, 0), FALSE),
            0
        ) +
        IFERROR(
            VLOOKUP($A82, INDIRECT("JulR!$A$6:$ZZ$1048576"), MATCH(AA$1, JulR!$6:$6, 0), FALSE),
            0
        ) +
        IFERROR(
            VLOOKUP($A82, INDIRECT("AgoR!$A$6:$ZZ$1048576"), MATCH(AA$1, AgoR!$6:$6, 0), FALSE),
            0
        ) +
        IFERROR(
            VLOOKUP($A82, INDIRECT("SepR!$A$6:$ZZ$1048576"), MATCH(AA$1, SepR!$6:$6, 0), FALSE),
            0
        ) +
        IFERROR(
            VLOOKUP($A82, INDIRECT("OctR!$A$6:$ZZ$1048576"), MATCH(AA$1, OctR!$6:$6, 0), FALSE),
            0
        ) +
        IFERROR(
            VLOOKUP($A82, INDIRECT("NovR!$A$6:$ZZ$1048576"), MATCH(AA$1, NovR!$6:$6, 0), FALSE),
            0
        ) +
        IFERROR(
            VLOOKUP($A82, INDIRECT("DicR!$A$6:$ZZ$1048576"), MATCH(AA$1, DicR!$6:$6, 0), FALSE),
            0
        )
)</f>
        <v>0</v>
      </c>
      <c r="AB82" s="36">
        <f t="array" ref="AB82">SUM(
    IFERROR(
            VLOOKUP($A82, INDIRECT("EneR!$A$6:$ZZ$1048576"), MATCH(AB$1, EneR!$6:$6, 0), FALSE),
            0
        ) +
        IFERROR(
            VLOOKUP($A82, INDIRECT("FebR!$A$6:$ZZ$1048576"), MATCH(AB$1, FebR!$6:$6, 0), FALSE),
            0
        ) +
        IFERROR(
            VLOOKUP($A82, INDIRECT("MarR!$A$6:$ZZ$1048576"), MATCH(AB$1, MarR!$6:$6, 0), FALSE),
            0
        ) +
        IFERROR(
            VLOOKUP($A82, INDIRECT("AbrR!$A$6:$ZZ$1048576"), MATCH(AB$1, AbrR!$6:$6, 0), FALSE),
            0
        ) +
        IFERROR(
            VLOOKUP($A82, INDIRECT("MayR!$A$6:$ZZ$1048576"), MATCH(AB$1, MayR!$6:$6, 0), FALSE),
            0
        ) +
        IFERROR(
            VLOOKUP($A82, INDIRECT("JunR!$A$6:$ZZ$1048576"), MATCH(AB$1, JunR!$6:$6, 0), FALSE),
            0
        ) +
        IFERROR(
            VLOOKUP($A82, INDIRECT("JulR!$A$6:$ZZ$1048576"), MATCH(AB$1, JulR!$6:$6, 0), FALSE),
            0
        ) +
        IFERROR(
            VLOOKUP($A82, INDIRECT("AgoR!$A$6:$ZZ$1048576"), MATCH(AB$1, AgoR!$6:$6, 0), FALSE),
            0
        ) +
        IFERROR(
            VLOOKUP($A82, INDIRECT("SepR!$A$6:$ZZ$1048576"), MATCH(AB$1, SepR!$6:$6, 0), FALSE),
            0
        ) +
        IFERROR(
            VLOOKUP($A82, INDIRECT("OctR!$A$6:$ZZ$1048576"), MATCH(AB$1, OctR!$6:$6, 0), FALSE),
            0
        ) +
        IFERROR(
            VLOOKUP($A82, INDIRECT("NovR!$A$6:$ZZ$1048576"), MATCH(AB$1, NovR!$6:$6, 0), FALSE),
            0
        ) +
        IFERROR(
            VLOOKUP($A82, INDIRECT("DicR!$A$6:$ZZ$1048576"), MATCH(AB$1, DicR!$6:$6, 0), FALSE),
            0
        )
)</f>
        <v>0</v>
      </c>
      <c r="AC82" s="37">
        <f t="array" ref="AC82">SUM(
    IFERROR(
            VLOOKUP($A82, INDIRECT("EneR!$A$6:$ZZ$1048576"), MATCH(AC$1, EneR!$6:$6, 0), FALSE),
            0
        ) +
        IFERROR(
            VLOOKUP($A82, INDIRECT("FebR!$A$6:$ZZ$1048576"), MATCH(AC$1, FebR!$6:$6, 0), FALSE),
            0
        ) +
        IFERROR(
            VLOOKUP($A82, INDIRECT("MarR!$A$6:$ZZ$1048576"), MATCH(AC$1, MarR!$6:$6, 0), FALSE),
            0
        ) +
        IFERROR(
            VLOOKUP($A82, INDIRECT("AbrR!$A$6:$ZZ$1048576"), MATCH(AC$1, AbrR!$6:$6, 0), FALSE),
            0
        ) +
        IFERROR(
            VLOOKUP($A82, INDIRECT("MayR!$A$6:$ZZ$1048576"), MATCH(AC$1, MayR!$6:$6, 0), FALSE),
            0
        ) +
        IFERROR(
            VLOOKUP($A82, INDIRECT("JunR!$A$6:$ZZ$1048576"), MATCH(AC$1, JunR!$6:$6, 0), FALSE),
            0
        ) +
        IFERROR(
            VLOOKUP($A82, INDIRECT("JulR!$A$6:$ZZ$1048576"), MATCH(AC$1, JulR!$6:$6, 0), FALSE),
            0
        ) +
        IFERROR(
            VLOOKUP($A82, INDIRECT("AgoR!$A$6:$ZZ$1048576"), MATCH(AC$1, AgoR!$6:$6, 0), FALSE),
            0
        ) +
        IFERROR(
            VLOOKUP($A82, INDIRECT("SepR!$A$6:$ZZ$1048576"), MATCH(AC$1, SepR!$6:$6, 0), FALSE),
            0
        ) +
        IFERROR(
            VLOOKUP($A82, INDIRECT("OctR!$A$6:$ZZ$1048576"), MATCH(AC$1, OctR!$6:$6, 0), FALSE),
            0
        ) +
        IFERROR(
            VLOOKUP($A82, INDIRECT("NovR!$A$6:$ZZ$1048576"), MATCH(AC$1, NovR!$6:$6, 0), FALSE),
            0
        ) +
        IFERROR(
            VLOOKUP($A82, INDIRECT("DicR!$A$6:$ZZ$1048576"), MATCH(AC$1, DicR!$6:$6, 0), FALSE),
            0
        )
)</f>
        <v>0</v>
      </c>
      <c r="AD82" s="36">
        <f t="array" ref="AD82">SUM(
    IFERROR(
            VLOOKUP($A82, INDIRECT("EneR!$A$6:$ZZ$1048576"), MATCH(AD$1, EneR!$6:$6, 0), FALSE),
            0
        ) +
        IFERROR(
            VLOOKUP($A82, INDIRECT("FebR!$A$6:$ZZ$1048576"), MATCH(AD$1, FebR!$6:$6, 0), FALSE),
            0
        ) +
        IFERROR(
            VLOOKUP($A82, INDIRECT("MarR!$A$6:$ZZ$1048576"), MATCH(AD$1, MarR!$6:$6, 0), FALSE),
            0
        ) +
        IFERROR(
            VLOOKUP($A82, INDIRECT("AbrR!$A$6:$ZZ$1048576"), MATCH(AD$1, AbrR!$6:$6, 0), FALSE),
            0
        ) +
        IFERROR(
            VLOOKUP($A82, INDIRECT("MayR!$A$6:$ZZ$1048576"), MATCH(AD$1, MayR!$6:$6, 0), FALSE),
            0
        ) +
        IFERROR(
            VLOOKUP($A82, INDIRECT("JunR!$A$6:$ZZ$1048576"), MATCH(AD$1, JunR!$6:$6, 0), FALSE),
            0
        ) +
        IFERROR(
            VLOOKUP($A82, INDIRECT("JulR!$A$6:$ZZ$1048576"), MATCH(AD$1, JulR!$6:$6, 0), FALSE),
            0
        ) +
        IFERROR(
            VLOOKUP($A82, INDIRECT("AgoR!$A$6:$ZZ$1048576"), MATCH(AD$1, AgoR!$6:$6, 0), FALSE),
            0
        ) +
        IFERROR(
            VLOOKUP($A82, INDIRECT("SepR!$A$6:$ZZ$1048576"), MATCH(AD$1, SepR!$6:$6, 0), FALSE),
            0
        ) +
        IFERROR(
            VLOOKUP($A82, INDIRECT("OctR!$A$6:$ZZ$1048576"), MATCH(AD$1, OctR!$6:$6, 0), FALSE),
            0
        ) +
        IFERROR(
            VLOOKUP($A82, INDIRECT("NovR!$A$6:$ZZ$1048576"), MATCH(AD$1, NovR!$6:$6, 0), FALSE),
            0
        ) +
        IFERROR(
            VLOOKUP($A82, INDIRECT("DicR!$A$6:$ZZ$1048576"), MATCH(AD$1, DicR!$6:$6, 0), FALSE),
            0
        )
)</f>
        <v>0</v>
      </c>
      <c r="AE82" s="37">
        <f t="array" ref="AE82">SUM(
    IFERROR(
            VLOOKUP($A82, INDIRECT("EneR!$A$6:$ZZ$1048576"), MATCH(AE$1, EneR!$6:$6, 0), FALSE),
            0
        ) +
        IFERROR(
            VLOOKUP($A82, INDIRECT("FebR!$A$6:$ZZ$1048576"), MATCH(AE$1, FebR!$6:$6, 0), FALSE),
            0
        ) +
        IFERROR(
            VLOOKUP($A82, INDIRECT("MarR!$A$6:$ZZ$1048576"), MATCH(AE$1, MarR!$6:$6, 0), FALSE),
            0
        ) +
        IFERROR(
            VLOOKUP($A82, INDIRECT("AbrR!$A$6:$ZZ$1048576"), MATCH(AE$1, AbrR!$6:$6, 0), FALSE),
            0
        ) +
        IFERROR(
            VLOOKUP($A82, INDIRECT("MayR!$A$6:$ZZ$1048576"), MATCH(AE$1, MayR!$6:$6, 0), FALSE),
            0
        ) +
        IFERROR(
            VLOOKUP($A82, INDIRECT("JunR!$A$6:$ZZ$1048576"), MATCH(AE$1, JunR!$6:$6, 0), FALSE),
            0
        ) +
        IFERROR(
            VLOOKUP($A82, INDIRECT("JulR!$A$6:$ZZ$1048576"), MATCH(AE$1, JulR!$6:$6, 0), FALSE),
            0
        ) +
        IFERROR(
            VLOOKUP($A82, INDIRECT("AgoR!$A$6:$ZZ$1048576"), MATCH(AE$1, AgoR!$6:$6, 0), FALSE),
            0
        ) +
        IFERROR(
            VLOOKUP($A82, INDIRECT("SepR!$A$6:$ZZ$1048576"), MATCH(AE$1, SepR!$6:$6, 0), FALSE),
            0
        ) +
        IFERROR(
            VLOOKUP($A82, INDIRECT("OctR!$A$6:$ZZ$1048576"), MATCH(AE$1, OctR!$6:$6, 0), FALSE),
            0
        ) +
        IFERROR(
            VLOOKUP($A82, INDIRECT("NovR!$A$6:$ZZ$1048576"), MATCH(AE$1, NovR!$6:$6, 0), FALSE),
            0
        ) +
        IFERROR(
            VLOOKUP($A82, INDIRECT("DicR!$A$6:$ZZ$1048576"), MATCH(AE$1, DicR!$6:$6, 0), FALSE),
            0
        )
)</f>
        <v>0</v>
      </c>
      <c r="AF82" s="36">
        <f t="array" ref="AF82">SUM(
    IFERROR(
            VLOOKUP($A82, INDIRECT("EneR!$A$6:$ZZ$1048576"), MATCH(AF$1, EneR!$6:$6, 0), FALSE),
            0
        ) +
        IFERROR(
            VLOOKUP($A82, INDIRECT("FebR!$A$6:$ZZ$1048576"), MATCH(AF$1, FebR!$6:$6, 0), FALSE),
            0
        ) +
        IFERROR(
            VLOOKUP($A82, INDIRECT("MarR!$A$6:$ZZ$1048576"), MATCH(AF$1, MarR!$6:$6, 0), FALSE),
            0
        ) +
        IFERROR(
            VLOOKUP($A82, INDIRECT("AbrR!$A$6:$ZZ$1048576"), MATCH(AF$1, AbrR!$6:$6, 0), FALSE),
            0
        ) +
        IFERROR(
            VLOOKUP($A82, INDIRECT("MayR!$A$6:$ZZ$1048576"), MATCH(AF$1, MayR!$6:$6, 0), FALSE),
            0
        ) +
        IFERROR(
            VLOOKUP($A82, INDIRECT("JunR!$A$6:$ZZ$1048576"), MATCH(AF$1, JunR!$6:$6, 0), FALSE),
            0
        ) +
        IFERROR(
            VLOOKUP($A82, INDIRECT("JulR!$A$6:$ZZ$1048576"), MATCH(AF$1, JulR!$6:$6, 0), FALSE),
            0
        ) +
        IFERROR(
            VLOOKUP($A82, INDIRECT("AgoR!$A$6:$ZZ$1048576"), MATCH(AF$1, AgoR!$6:$6, 0), FALSE),
            0
        ) +
        IFERROR(
            VLOOKUP($A82, INDIRECT("SepR!$A$6:$ZZ$1048576"), MATCH(AF$1, SepR!$6:$6, 0), FALSE),
            0
        ) +
        IFERROR(
            VLOOKUP($A82, INDIRECT("OctR!$A$6:$ZZ$1048576"), MATCH(AF$1, OctR!$6:$6, 0), FALSE),
            0
        ) +
        IFERROR(
            VLOOKUP($A82, INDIRECT("NovR!$A$6:$ZZ$1048576"), MATCH(AF$1, NovR!$6:$6, 0), FALSE),
            0
        ) +
        IFERROR(
            VLOOKUP($A82, INDIRECT("DicR!$A$6:$ZZ$1048576"), MATCH(AF$1, DicR!$6:$6, 0), FALSE),
            0
        )
)</f>
        <v>0</v>
      </c>
      <c r="AG82" s="37">
        <f t="array" ref="AG82">SUM(
    IFERROR(
            VLOOKUP($A82, INDIRECT("EneR!$A$6:$ZZ$1048576"), MATCH(AG$1, EneR!$6:$6, 0), FALSE),
            0
        ) +
        IFERROR(
            VLOOKUP($A82, INDIRECT("FebR!$A$6:$ZZ$1048576"), MATCH(AG$1, FebR!$6:$6, 0), FALSE),
            0
        ) +
        IFERROR(
            VLOOKUP($A82, INDIRECT("MarR!$A$6:$ZZ$1048576"), MATCH(AG$1, MarR!$6:$6, 0), FALSE),
            0
        ) +
        IFERROR(
            VLOOKUP($A82, INDIRECT("AbrR!$A$6:$ZZ$1048576"), MATCH(AG$1, AbrR!$6:$6, 0), FALSE),
            0
        ) +
        IFERROR(
            VLOOKUP($A82, INDIRECT("MayR!$A$6:$ZZ$1048576"), MATCH(AG$1, MayR!$6:$6, 0), FALSE),
            0
        ) +
        IFERROR(
            VLOOKUP($A82, INDIRECT("JunR!$A$6:$ZZ$1048576"), MATCH(AG$1, JunR!$6:$6, 0), FALSE),
            0
        ) +
        IFERROR(
            VLOOKUP($A82, INDIRECT("JulR!$A$6:$ZZ$1048576"), MATCH(AG$1, JulR!$6:$6, 0), FALSE),
            0
        ) +
        IFERROR(
            VLOOKUP($A82, INDIRECT("AgoR!$A$6:$ZZ$1048576"), MATCH(AG$1, AgoR!$6:$6, 0), FALSE),
            0
        ) +
        IFERROR(
            VLOOKUP($A82, INDIRECT("SepR!$A$6:$ZZ$1048576"), MATCH(AG$1, SepR!$6:$6, 0), FALSE),
            0
        ) +
        IFERROR(
            VLOOKUP($A82, INDIRECT("OctR!$A$6:$ZZ$1048576"), MATCH(AG$1, OctR!$6:$6, 0), FALSE),
            0
        ) +
        IFERROR(
            VLOOKUP($A82, INDIRECT("NovR!$A$6:$ZZ$1048576"), MATCH(AG$1, NovR!$6:$6, 0), FALSE),
            0
        ) +
        IFERROR(
            VLOOKUP($A82, INDIRECT("DicR!$A$6:$ZZ$1048576"), MATCH(AG$1, DicR!$6:$6, 0), FALSE),
            0
        )
)</f>
        <v>0</v>
      </c>
      <c r="AH82" s="36">
        <f t="array" ref="AH82">SUM(
    IFERROR(
            VLOOKUP($A82, INDIRECT("EneR!$A$6:$ZZ$1048576"), MATCH(AH$1, EneR!$6:$6, 0), FALSE),
            0
        ) +
        IFERROR(
            VLOOKUP($A82, INDIRECT("FebR!$A$6:$ZZ$1048576"), MATCH(AH$1, FebR!$6:$6, 0), FALSE),
            0
        ) +
        IFERROR(
            VLOOKUP($A82, INDIRECT("MarR!$A$6:$ZZ$1048576"), MATCH(AH$1, MarR!$6:$6, 0), FALSE),
            0
        ) +
        IFERROR(
            VLOOKUP($A82, INDIRECT("AbrR!$A$6:$ZZ$1048576"), MATCH(AH$1, AbrR!$6:$6, 0), FALSE),
            0
        ) +
        IFERROR(
            VLOOKUP($A82, INDIRECT("MayR!$A$6:$ZZ$1048576"), MATCH(AH$1, MayR!$6:$6, 0), FALSE),
            0
        ) +
        IFERROR(
            VLOOKUP($A82, INDIRECT("JunR!$A$6:$ZZ$1048576"), MATCH(AH$1, JunR!$6:$6, 0), FALSE),
            0
        ) +
        IFERROR(
            VLOOKUP($A82, INDIRECT("JulR!$A$6:$ZZ$1048576"), MATCH(AH$1, JulR!$6:$6, 0), FALSE),
            0
        ) +
        IFERROR(
            VLOOKUP($A82, INDIRECT("AgoR!$A$6:$ZZ$1048576"), MATCH(AH$1, AgoR!$6:$6, 0), FALSE),
            0
        ) +
        IFERROR(
            VLOOKUP($A82, INDIRECT("SepR!$A$6:$ZZ$1048576"), MATCH(AH$1, SepR!$6:$6, 0), FALSE),
            0
        ) +
        IFERROR(
            VLOOKUP($A82, INDIRECT("OctR!$A$6:$ZZ$1048576"), MATCH(AH$1, OctR!$6:$6, 0), FALSE),
            0
        ) +
        IFERROR(
            VLOOKUP($A82, INDIRECT("NovR!$A$6:$ZZ$1048576"), MATCH(AH$1, NovR!$6:$6, 0), FALSE),
            0
        ) +
        IFERROR(
            VLOOKUP($A82, INDIRECT("DicR!$A$6:$ZZ$1048576"), MATCH(AH$1, DicR!$6:$6, 0), FALSE),
            0
        )
)</f>
        <v>0</v>
      </c>
      <c r="AI82" s="37">
        <f t="array" ref="AI82">SUM(
    IFERROR(
            VLOOKUP($A82, INDIRECT("EneR!$A$6:$ZZ$1048576"), MATCH(AI$1, EneR!$6:$6, 0), FALSE),
            0
        ) +
        IFERROR(
            VLOOKUP($A82, INDIRECT("FebR!$A$6:$ZZ$1048576"), MATCH(AI$1, FebR!$6:$6, 0), FALSE),
            0
        ) +
        IFERROR(
            VLOOKUP($A82, INDIRECT("MarR!$A$6:$ZZ$1048576"), MATCH(AI$1, MarR!$6:$6, 0), FALSE),
            0
        ) +
        IFERROR(
            VLOOKUP($A82, INDIRECT("AbrR!$A$6:$ZZ$1048576"), MATCH(AI$1, AbrR!$6:$6, 0), FALSE),
            0
        ) +
        IFERROR(
            VLOOKUP($A82, INDIRECT("MayR!$A$6:$ZZ$1048576"), MATCH(AI$1, MayR!$6:$6, 0), FALSE),
            0
        ) +
        IFERROR(
            VLOOKUP($A82, INDIRECT("JunR!$A$6:$ZZ$1048576"), MATCH(AI$1, JunR!$6:$6, 0), FALSE),
            0
        ) +
        IFERROR(
            VLOOKUP($A82, INDIRECT("JulR!$A$6:$ZZ$1048576"), MATCH(AI$1, JulR!$6:$6, 0), FALSE),
            0
        ) +
        IFERROR(
            VLOOKUP($A82, INDIRECT("AgoR!$A$6:$ZZ$1048576"), MATCH(AI$1, AgoR!$6:$6, 0), FALSE),
            0
        ) +
        IFERROR(
            VLOOKUP($A82, INDIRECT("SepR!$A$6:$ZZ$1048576"), MATCH(AI$1, SepR!$6:$6, 0), FALSE),
            0
        ) +
        IFERROR(
            VLOOKUP($A82, INDIRECT("OctR!$A$6:$ZZ$1048576"), MATCH(AI$1, OctR!$6:$6, 0), FALSE),
            0
        ) +
        IFERROR(
            VLOOKUP($A82, INDIRECT("NovR!$A$6:$ZZ$1048576"), MATCH(AI$1, NovR!$6:$6, 0), FALSE),
            0
        ) +
        IFERROR(
            VLOOKUP($A82, INDIRECT("DicR!$A$6:$ZZ$1048576"), MATCH(AI$1, DicR!$6:$6, 0), FALSE),
            0
        )
)</f>
        <v>0</v>
      </c>
      <c r="AJ82" s="36">
        <f t="array" ref="AJ82">SUM(
    IFERROR(
            VLOOKUP($A82, INDIRECT("EneR!$A$6:$ZZ$1048576"), MATCH(AJ$1, EneR!$6:$6, 0), FALSE),
            0
        ) +
        IFERROR(
            VLOOKUP($A82, INDIRECT("FebR!$A$6:$ZZ$1048576"), MATCH(AJ$1, FebR!$6:$6, 0), FALSE),
            0
        ) +
        IFERROR(
            VLOOKUP($A82, INDIRECT("MarR!$A$6:$ZZ$1048576"), MATCH(AJ$1, MarR!$6:$6, 0), FALSE),
            0
        ) +
        IFERROR(
            VLOOKUP($A82, INDIRECT("AbrR!$A$6:$ZZ$1048576"), MATCH(AJ$1, AbrR!$6:$6, 0), FALSE),
            0
        ) +
        IFERROR(
            VLOOKUP($A82, INDIRECT("MayR!$A$6:$ZZ$1048576"), MATCH(AJ$1, MayR!$6:$6, 0), FALSE),
            0
        ) +
        IFERROR(
            VLOOKUP($A82, INDIRECT("JunR!$A$6:$ZZ$1048576"), MATCH(AJ$1, JunR!$6:$6, 0), FALSE),
            0
        ) +
        IFERROR(
            VLOOKUP($A82, INDIRECT("JulR!$A$6:$ZZ$1048576"), MATCH(AJ$1, JulR!$6:$6, 0), FALSE),
            0
        ) +
        IFERROR(
            VLOOKUP($A82, INDIRECT("AgoR!$A$6:$ZZ$1048576"), MATCH(AJ$1, AgoR!$6:$6, 0), FALSE),
            0
        ) +
        IFERROR(
            VLOOKUP($A82, INDIRECT("SepR!$A$6:$ZZ$1048576"), MATCH(AJ$1, SepR!$6:$6, 0), FALSE),
            0
        ) +
        IFERROR(
            VLOOKUP($A82, INDIRECT("OctR!$A$6:$ZZ$1048576"), MATCH(AJ$1, OctR!$6:$6, 0), FALSE),
            0
        ) +
        IFERROR(
            VLOOKUP($A82, INDIRECT("NovR!$A$6:$ZZ$1048576"), MATCH(AJ$1, NovR!$6:$6, 0), FALSE),
            0
        ) +
        IFERROR(
            VLOOKUP($A82, INDIRECT("DicR!$A$6:$ZZ$1048576"), MATCH(AJ$1, DicR!$6:$6, 0), FALSE),
            0
        )
)</f>
        <v>0</v>
      </c>
      <c r="AK82" s="37">
        <f t="array" ref="AK82">SUM(
    IFERROR(
            VLOOKUP($A82, INDIRECT("EneR!$A$6:$ZZ$1048576"), MATCH(AK$1, EneR!$6:$6, 0), FALSE),
            0
        ) +
        IFERROR(
            VLOOKUP($A82, INDIRECT("FebR!$A$6:$ZZ$1048576"), MATCH(AK$1, FebR!$6:$6, 0), FALSE),
            0
        ) +
        IFERROR(
            VLOOKUP($A82, INDIRECT("MarR!$A$6:$ZZ$1048576"), MATCH(AK$1, MarR!$6:$6, 0), FALSE),
            0
        ) +
        IFERROR(
            VLOOKUP($A82, INDIRECT("AbrR!$A$6:$ZZ$1048576"), MATCH(AK$1, AbrR!$6:$6, 0), FALSE),
            0
        ) +
        IFERROR(
            VLOOKUP($A82, INDIRECT("MayR!$A$6:$ZZ$1048576"), MATCH(AK$1, MayR!$6:$6, 0), FALSE),
            0
        ) +
        IFERROR(
            VLOOKUP($A82, INDIRECT("JunR!$A$6:$ZZ$1048576"), MATCH(AK$1, JunR!$6:$6, 0), FALSE),
            0
        ) +
        IFERROR(
            VLOOKUP($A82, INDIRECT("JulR!$A$6:$ZZ$1048576"), MATCH(AK$1, JulR!$6:$6, 0), FALSE),
            0
        ) +
        IFERROR(
            VLOOKUP($A82, INDIRECT("AgoR!$A$6:$ZZ$1048576"), MATCH(AK$1, AgoR!$6:$6, 0), FALSE),
            0
        ) +
        IFERROR(
            VLOOKUP($A82, INDIRECT("SepR!$A$6:$ZZ$1048576"), MATCH(AK$1, SepR!$6:$6, 0), FALSE),
            0
        ) +
        IFERROR(
            VLOOKUP($A82, INDIRECT("OctR!$A$6:$ZZ$1048576"), MATCH(AK$1, OctR!$6:$6, 0), FALSE),
            0
        ) +
        IFERROR(
            VLOOKUP($A82, INDIRECT("NovR!$A$6:$ZZ$1048576"), MATCH(AK$1, NovR!$6:$6, 0), FALSE),
            0
        ) +
        IFERROR(
            VLOOKUP($A82, INDIRECT("DicR!$A$6:$ZZ$1048576"), MATCH(AK$1, DicR!$6:$6, 0), FALSE),
            0
        )
)</f>
        <v>0</v>
      </c>
      <c r="AL82" s="36">
        <f t="array" ref="AL82">SUM(
    IFERROR(
            VLOOKUP($A82, INDIRECT("EneR!$A$6:$ZZ$1048576"), MATCH(AL$1, EneR!$6:$6, 0), FALSE),
            0
        ) +
        IFERROR(
            VLOOKUP($A82, INDIRECT("FebR!$A$6:$ZZ$1048576"), MATCH(AL$1, FebR!$6:$6, 0), FALSE),
            0
        ) +
        IFERROR(
            VLOOKUP($A82, INDIRECT("MarR!$A$6:$ZZ$1048576"), MATCH(AL$1, MarR!$6:$6, 0), FALSE),
            0
        ) +
        IFERROR(
            VLOOKUP($A82, INDIRECT("AbrR!$A$6:$ZZ$1048576"), MATCH(AL$1, AbrR!$6:$6, 0), FALSE),
            0
        ) +
        IFERROR(
            VLOOKUP($A82, INDIRECT("MayR!$A$6:$ZZ$1048576"), MATCH(AL$1, MayR!$6:$6, 0), FALSE),
            0
        ) +
        IFERROR(
            VLOOKUP($A82, INDIRECT("JunR!$A$6:$ZZ$1048576"), MATCH(AL$1, JunR!$6:$6, 0), FALSE),
            0
        ) +
        IFERROR(
            VLOOKUP($A82, INDIRECT("JulR!$A$6:$ZZ$1048576"), MATCH(AL$1, JulR!$6:$6, 0), FALSE),
            0
        ) +
        IFERROR(
            VLOOKUP($A82, INDIRECT("AgoR!$A$6:$ZZ$1048576"), MATCH(AL$1, AgoR!$6:$6, 0), FALSE),
            0
        ) +
        IFERROR(
            VLOOKUP($A82, INDIRECT("SepR!$A$6:$ZZ$1048576"), MATCH(AL$1, SepR!$6:$6, 0), FALSE),
            0
        ) +
        IFERROR(
            VLOOKUP($A82, INDIRECT("OctR!$A$6:$ZZ$1048576"), MATCH(AL$1, OctR!$6:$6, 0), FALSE),
            0
        ) +
        IFERROR(
            VLOOKUP($A82, INDIRECT("NovR!$A$6:$ZZ$1048576"), MATCH(AL$1, NovR!$6:$6, 0), FALSE),
            0
        ) +
        IFERROR(
            VLOOKUP($A82, INDIRECT("DicR!$A$6:$ZZ$1048576"), MATCH(AL$1, DicR!$6:$6, 0), FALSE),
            0
        )
)</f>
        <v>0</v>
      </c>
      <c r="AM82" s="37">
        <f t="array" ref="AM82">SUM(
    IFERROR(
            VLOOKUP($A82, INDIRECT("EneR!$A$6:$ZZ$1048576"), MATCH(AM$1, EneR!$6:$6, 0), FALSE),
            0
        ) +
        IFERROR(
            VLOOKUP($A82, INDIRECT("FebR!$A$6:$ZZ$1048576"), MATCH(AM$1, FebR!$6:$6, 0), FALSE),
            0
        ) +
        IFERROR(
            VLOOKUP($A82, INDIRECT("MarR!$A$6:$ZZ$1048576"), MATCH(AM$1, MarR!$6:$6, 0), FALSE),
            0
        ) +
        IFERROR(
            VLOOKUP($A82, INDIRECT("AbrR!$A$6:$ZZ$1048576"), MATCH(AM$1, AbrR!$6:$6, 0), FALSE),
            0
        ) +
        IFERROR(
            VLOOKUP($A82, INDIRECT("MayR!$A$6:$ZZ$1048576"), MATCH(AM$1, MayR!$6:$6, 0), FALSE),
            0
        ) +
        IFERROR(
            VLOOKUP($A82, INDIRECT("JunR!$A$6:$ZZ$1048576"), MATCH(AM$1, JunR!$6:$6, 0), FALSE),
            0
        ) +
        IFERROR(
            VLOOKUP($A82, INDIRECT("JulR!$A$6:$ZZ$1048576"), MATCH(AM$1, JulR!$6:$6, 0), FALSE),
            0
        ) +
        IFERROR(
            VLOOKUP($A82, INDIRECT("AgoR!$A$6:$ZZ$1048576"), MATCH(AM$1, AgoR!$6:$6, 0), FALSE),
            0
        ) +
        IFERROR(
            VLOOKUP($A82, INDIRECT("SepR!$A$6:$ZZ$1048576"), MATCH(AM$1, SepR!$6:$6, 0), FALSE),
            0
        ) +
        IFERROR(
            VLOOKUP($A82, INDIRECT("OctR!$A$6:$ZZ$1048576"), MATCH(AM$1, OctR!$6:$6, 0), FALSE),
            0
        ) +
        IFERROR(
            VLOOKUP($A82, INDIRECT("NovR!$A$6:$ZZ$1048576"), MATCH(AM$1, NovR!$6:$6, 0), FALSE),
            0
        ) +
        IFERROR(
            VLOOKUP($A82, INDIRECT("DicR!$A$6:$ZZ$1048576"), MATCH(AM$1, DicR!$6:$6, 0), FALSE),
            0
        )
)</f>
        <v>0</v>
      </c>
      <c r="AN82" s="32">
        <f t="array" ref="AN82">SUM(
    IFERROR(
            VLOOKUP($A82, INDIRECT("EneR!$A$6:$ZZ$1048576"), MATCH(AN$1, EneR!$6:$6, 0), FALSE),
            0
        ) +
        IFERROR(
            VLOOKUP($A82, INDIRECT("FebR!$A$6:$ZZ$1048576"), MATCH(AN$1, FebR!$6:$6, 0), FALSE),
            0
        ) +
        IFERROR(
            VLOOKUP($A82, INDIRECT("MarR!$A$6:$ZZ$1048576"), MATCH(AN$1, MarR!$6:$6, 0), FALSE),
            0
        ) +
        IFERROR(
            VLOOKUP($A82, INDIRECT("AbrR!$A$6:$ZZ$1048576"), MATCH(AN$1, AbrR!$6:$6, 0), FALSE),
            0
        ) +
        IFERROR(
            VLOOKUP($A82, INDIRECT("MayR!$A$6:$ZZ$1048576"), MATCH(AN$1, MayR!$6:$6, 0), FALSE),
            0
        ) +
        IFERROR(
            VLOOKUP($A82, INDIRECT("JunR!$A$6:$ZZ$1048576"), MATCH(AN$1, JunR!$6:$6, 0), FALSE),
            0
        ) +
        IFERROR(
            VLOOKUP($A82, INDIRECT("JulR!$A$6:$ZZ$1048576"), MATCH(AN$1, JulR!$6:$6, 0), FALSE),
            0
        ) +
        IFERROR(
            VLOOKUP($A82, INDIRECT("AgoR!$A$6:$ZZ$1048576"), MATCH(AN$1, AgoR!$6:$6, 0), FALSE),
            0
        ) +
        IFERROR(
            VLOOKUP($A82, INDIRECT("SepR!$A$6:$ZZ$1048576"), MATCH(AN$1, SepR!$6:$6, 0), FALSE),
            0
        ) +
        IFERROR(
            VLOOKUP($A82, INDIRECT("OctR!$A$6:$ZZ$1048576"), MATCH(AN$1, OctR!$6:$6, 0), FALSE),
            0
        ) +
        IFERROR(
            VLOOKUP($A82, INDIRECT("NovR!$A$6:$ZZ$1048576"), MATCH(AN$1, NovR!$6:$6, 0), FALSE),
            0
        ) +
        IFERROR(
            VLOOKUP($A82, INDIRECT("DicR!$A$6:$ZZ$1048576"), MATCH(AN$1, DicR!$6:$6, 0), FALSE),
            0
        )
)</f>
        <v>0</v>
      </c>
      <c r="AO82" s="35">
        <f t="array" ref="AO82">SUM(
    IFERROR(
            VLOOKUP($A82, INDIRECT("EneR!$A$6:$ZZ$1048576"), MATCH(AO$1, EneR!$6:$6, 0), FALSE),
            0
        ) +
        IFERROR(
            VLOOKUP($A82, INDIRECT("FebR!$A$6:$ZZ$1048576"), MATCH(AO$1, FebR!$6:$6, 0), FALSE),
            0
        ) +
        IFERROR(
            VLOOKUP($A82, INDIRECT("MarR!$A$6:$ZZ$1048576"), MATCH(AO$1, MarR!$6:$6, 0), FALSE),
            0
        ) +
        IFERROR(
            VLOOKUP($A82, INDIRECT("AbrR!$A$6:$ZZ$1048576"), MATCH(AO$1, AbrR!$6:$6, 0), FALSE),
            0
        ) +
        IFERROR(
            VLOOKUP($A82, INDIRECT("MayR!$A$6:$ZZ$1048576"), MATCH(AO$1, MayR!$6:$6, 0), FALSE),
            0
        ) +
        IFERROR(
            VLOOKUP($A82, INDIRECT("JunR!$A$6:$ZZ$1048576"), MATCH(AO$1, JunR!$6:$6, 0), FALSE),
            0
        ) +
        IFERROR(
            VLOOKUP($A82, INDIRECT("JulR!$A$6:$ZZ$1048576"), MATCH(AO$1, JulR!$6:$6, 0), FALSE),
            0
        ) +
        IFERROR(
            VLOOKUP($A82, INDIRECT("AgoR!$A$6:$ZZ$1048576"), MATCH(AO$1, AgoR!$6:$6, 0), FALSE),
            0
        ) +
        IFERROR(
            VLOOKUP($A82, INDIRECT("SepR!$A$6:$ZZ$1048576"), MATCH(AO$1, SepR!$6:$6, 0), FALSE),
            0
        ) +
        IFERROR(
            VLOOKUP($A82, INDIRECT("OctR!$A$6:$ZZ$1048576"), MATCH(AO$1, OctR!$6:$6, 0), FALSE),
            0
        ) +
        IFERROR(
            VLOOKUP($A82, INDIRECT("NovR!$A$6:$ZZ$1048576"), MATCH(AO$1, NovR!$6:$6, 0), FALSE),
            0
        ) +
        IFERROR(
            VLOOKUP($A82, INDIRECT("DicR!$A$6:$ZZ$1048576"), MATCH(AO$1, DicR!$6:$6, 0), FALSE),
            0
        )
)</f>
        <v>0</v>
      </c>
      <c r="AP82" s="36">
        <f t="array" ref="AP82">SUM(
    IFERROR(
            VLOOKUP($A82, INDIRECT("EneR!$A$6:$ZZ$1048576"), MATCH(AP$1, EneR!$6:$6, 0), FALSE),
            0
        ) +
        IFERROR(
            VLOOKUP($A82, INDIRECT("FebR!$A$6:$ZZ$1048576"), MATCH(AP$1, FebR!$6:$6, 0), FALSE),
            0
        ) +
        IFERROR(
            VLOOKUP($A82, INDIRECT("MarR!$A$6:$ZZ$1048576"), MATCH(AP$1, MarR!$6:$6, 0), FALSE),
            0
        ) +
        IFERROR(
            VLOOKUP($A82, INDIRECT("AbrR!$A$6:$ZZ$1048576"), MATCH(AP$1, AbrR!$6:$6, 0), FALSE),
            0
        ) +
        IFERROR(
            VLOOKUP($A82, INDIRECT("MayR!$A$6:$ZZ$1048576"), MATCH(AP$1, MayR!$6:$6, 0), FALSE),
            0
        ) +
        IFERROR(
            VLOOKUP($A82, INDIRECT("JunR!$A$6:$ZZ$1048576"), MATCH(AP$1, JunR!$6:$6, 0), FALSE),
            0
        ) +
        IFERROR(
            VLOOKUP($A82, INDIRECT("JulR!$A$6:$ZZ$1048576"), MATCH(AP$1, JulR!$6:$6, 0), FALSE),
            0
        ) +
        IFERROR(
            VLOOKUP($A82, INDIRECT("AgoR!$A$6:$ZZ$1048576"), MATCH(AP$1, AgoR!$6:$6, 0), FALSE),
            0
        ) +
        IFERROR(
            VLOOKUP($A82, INDIRECT("SepR!$A$6:$ZZ$1048576"), MATCH(AP$1, SepR!$6:$6, 0), FALSE),
            0
        ) +
        IFERROR(
            VLOOKUP($A82, INDIRECT("OctR!$A$6:$ZZ$1048576"), MATCH(AP$1, OctR!$6:$6, 0), FALSE),
            0
        ) +
        IFERROR(
            VLOOKUP($A82, INDIRECT("NovR!$A$6:$ZZ$1048576"), MATCH(AP$1, NovR!$6:$6, 0), FALSE),
            0
        ) +
        IFERROR(
            VLOOKUP($A82, INDIRECT("DicR!$A$6:$ZZ$1048576"), MATCH(AP$1, DicR!$6:$6, 0), FALSE),
            0
        )
)</f>
        <v>0</v>
      </c>
      <c r="AQ82" s="35">
        <f t="array" ref="AQ82">SUM(
    IFERROR(
            VLOOKUP($A82, INDIRECT("EneR!$A$6:$ZZ$1048576"), MATCH(AQ$1, EneR!$6:$6, 0), FALSE),
            0
        ) +
        IFERROR(
            VLOOKUP($A82, INDIRECT("FebR!$A$6:$ZZ$1048576"), MATCH(AQ$1, FebR!$6:$6, 0), FALSE),
            0
        ) +
        IFERROR(
            VLOOKUP($A82, INDIRECT("MarR!$A$6:$ZZ$1048576"), MATCH(AQ$1, MarR!$6:$6, 0), FALSE),
            0
        ) +
        IFERROR(
            VLOOKUP($A82, INDIRECT("AbrR!$A$6:$ZZ$1048576"), MATCH(AQ$1, AbrR!$6:$6, 0), FALSE),
            0
        ) +
        IFERROR(
            VLOOKUP($A82, INDIRECT("MayR!$A$6:$ZZ$1048576"), MATCH(AQ$1, MayR!$6:$6, 0), FALSE),
            0
        ) +
        IFERROR(
            VLOOKUP($A82, INDIRECT("JunR!$A$6:$ZZ$1048576"), MATCH(AQ$1, JunR!$6:$6, 0), FALSE),
            0
        ) +
        IFERROR(
            VLOOKUP($A82, INDIRECT("JulR!$A$6:$ZZ$1048576"), MATCH(AQ$1, JulR!$6:$6, 0), FALSE),
            0
        ) +
        IFERROR(
            VLOOKUP($A82, INDIRECT("AgoR!$A$6:$ZZ$1048576"), MATCH(AQ$1, AgoR!$6:$6, 0), FALSE),
            0
        ) +
        IFERROR(
            VLOOKUP($A82, INDIRECT("SepR!$A$6:$ZZ$1048576"), MATCH(AQ$1, SepR!$6:$6, 0), FALSE),
            0
        ) +
        IFERROR(
            VLOOKUP($A82, INDIRECT("OctR!$A$6:$ZZ$1048576"), MATCH(AQ$1, OctR!$6:$6, 0), FALSE),
            0
        ) +
        IFERROR(
            VLOOKUP($A82, INDIRECT("NovR!$A$6:$ZZ$1048576"), MATCH(AQ$1, NovR!$6:$6, 0), FALSE),
            0
        ) +
        IFERROR(
            VLOOKUP($A82, INDIRECT("DicR!$A$6:$ZZ$1048576"), MATCH(AQ$1, DicR!$6:$6, 0), FALSE),
            0
        )
)</f>
        <v>0</v>
      </c>
      <c r="AR82" s="36">
        <f t="array" ref="AR82">SUM(
    IFERROR(
            VLOOKUP($A82, INDIRECT("EneR!$A$6:$ZZ$1048576"), MATCH(AR$1, EneR!$6:$6, 0), FALSE),
            0
        ) +
        IFERROR(
            VLOOKUP($A82, INDIRECT("FebR!$A$6:$ZZ$1048576"), MATCH(AR$1, FebR!$6:$6, 0), FALSE),
            0
        ) +
        IFERROR(
            VLOOKUP($A82, INDIRECT("MarR!$A$6:$ZZ$1048576"), MATCH(AR$1, MarR!$6:$6, 0), FALSE),
            0
        ) +
        IFERROR(
            VLOOKUP($A82, INDIRECT("AbrR!$A$6:$ZZ$1048576"), MATCH(AR$1, AbrR!$6:$6, 0), FALSE),
            0
        ) +
        IFERROR(
            VLOOKUP($A82, INDIRECT("MayR!$A$6:$ZZ$1048576"), MATCH(AR$1, MayR!$6:$6, 0), FALSE),
            0
        ) +
        IFERROR(
            VLOOKUP($A82, INDIRECT("JunR!$A$6:$ZZ$1048576"), MATCH(AR$1, JunR!$6:$6, 0), FALSE),
            0
        ) +
        IFERROR(
            VLOOKUP($A82, INDIRECT("JulR!$A$6:$ZZ$1048576"), MATCH(AR$1, JulR!$6:$6, 0), FALSE),
            0
        ) +
        IFERROR(
            VLOOKUP($A82, INDIRECT("AgoR!$A$6:$ZZ$1048576"), MATCH(AR$1, AgoR!$6:$6, 0), FALSE),
            0
        ) +
        IFERROR(
            VLOOKUP($A82, INDIRECT("SepR!$A$6:$ZZ$1048576"), MATCH(AR$1, SepR!$6:$6, 0), FALSE),
            0
        ) +
        IFERROR(
            VLOOKUP($A82, INDIRECT("OctR!$A$6:$ZZ$1048576"), MATCH(AR$1, OctR!$6:$6, 0), FALSE),
            0
        ) +
        IFERROR(
            VLOOKUP($A82, INDIRECT("NovR!$A$6:$ZZ$1048576"), MATCH(AR$1, NovR!$6:$6, 0), FALSE),
            0
        ) +
        IFERROR(
            VLOOKUP($A82, INDIRECT("DicR!$A$6:$ZZ$1048576"), MATCH(AR$1, DicR!$6:$6, 0), FALSE),
            0
        )
)</f>
        <v>0</v>
      </c>
      <c r="AS82" s="35">
        <f t="array" ref="AS82">SUM(
    IFERROR(
            VLOOKUP($A82, INDIRECT("EneR!$A$6:$ZZ$1048576"), MATCH(AS$1, EneR!$6:$6, 0), FALSE),
            0
        ) +
        IFERROR(
            VLOOKUP($A82, INDIRECT("FebR!$A$6:$ZZ$1048576"), MATCH(AS$1, FebR!$6:$6, 0), FALSE),
            0
        ) +
        IFERROR(
            VLOOKUP($A82, INDIRECT("MarR!$A$6:$ZZ$1048576"), MATCH(AS$1, MarR!$6:$6, 0), FALSE),
            0
        ) +
        IFERROR(
            VLOOKUP($A82, INDIRECT("AbrR!$A$6:$ZZ$1048576"), MATCH(AS$1, AbrR!$6:$6, 0), FALSE),
            0
        ) +
        IFERROR(
            VLOOKUP($A82, INDIRECT("MayR!$A$6:$ZZ$1048576"), MATCH(AS$1, MayR!$6:$6, 0), FALSE),
            0
        ) +
        IFERROR(
            VLOOKUP($A82, INDIRECT("JunR!$A$6:$ZZ$1048576"), MATCH(AS$1, JunR!$6:$6, 0), FALSE),
            0
        ) +
        IFERROR(
            VLOOKUP($A82, INDIRECT("JulR!$A$6:$ZZ$1048576"), MATCH(AS$1, JulR!$6:$6, 0), FALSE),
            0
        ) +
        IFERROR(
            VLOOKUP($A82, INDIRECT("AgoR!$A$6:$ZZ$1048576"), MATCH(AS$1, AgoR!$6:$6, 0), FALSE),
            0
        ) +
        IFERROR(
            VLOOKUP($A82, INDIRECT("SepR!$A$6:$ZZ$1048576"), MATCH(AS$1, SepR!$6:$6, 0), FALSE),
            0
        ) +
        IFERROR(
            VLOOKUP($A82, INDIRECT("OctR!$A$6:$ZZ$1048576"), MATCH(AS$1, OctR!$6:$6, 0), FALSE),
            0
        ) +
        IFERROR(
            VLOOKUP($A82, INDIRECT("NovR!$A$6:$ZZ$1048576"), MATCH(AS$1, NovR!$6:$6, 0), FALSE),
            0
        ) +
        IFERROR(
            VLOOKUP($A82, INDIRECT("DicR!$A$6:$ZZ$1048576"), MATCH(AS$1, DicR!$6:$6, 0), FALSE),
            0
        )
)</f>
        <v>0</v>
      </c>
      <c r="AT82" s="36">
        <f t="array" ref="AT82">SUM(
    IFERROR(
            VLOOKUP($A82, INDIRECT("EneR!$A$6:$ZZ$1048576"), MATCH(AT$1, EneR!$6:$6, 0), FALSE),
            0
        ) +
        IFERROR(
            VLOOKUP($A82, INDIRECT("FebR!$A$6:$ZZ$1048576"), MATCH(AT$1, FebR!$6:$6, 0), FALSE),
            0
        ) +
        IFERROR(
            VLOOKUP($A82, INDIRECT("MarR!$A$6:$ZZ$1048576"), MATCH(AT$1, MarR!$6:$6, 0), FALSE),
            0
        ) +
        IFERROR(
            VLOOKUP($A82, INDIRECT("AbrR!$A$6:$ZZ$1048576"), MATCH(AT$1, AbrR!$6:$6, 0), FALSE),
            0
        ) +
        IFERROR(
            VLOOKUP($A82, INDIRECT("MayR!$A$6:$ZZ$1048576"), MATCH(AT$1, MayR!$6:$6, 0), FALSE),
            0
        ) +
        IFERROR(
            VLOOKUP($A82, INDIRECT("JunR!$A$6:$ZZ$1048576"), MATCH(AT$1, JunR!$6:$6, 0), FALSE),
            0
        ) +
        IFERROR(
            VLOOKUP($A82, INDIRECT("JulR!$A$6:$ZZ$1048576"), MATCH(AT$1, JulR!$6:$6, 0), FALSE),
            0
        ) +
        IFERROR(
            VLOOKUP($A82, INDIRECT("AgoR!$A$6:$ZZ$1048576"), MATCH(AT$1, AgoR!$6:$6, 0), FALSE),
            0
        ) +
        IFERROR(
            VLOOKUP($A82, INDIRECT("SepR!$A$6:$ZZ$1048576"), MATCH(AT$1, SepR!$6:$6, 0), FALSE),
            0
        ) +
        IFERROR(
            VLOOKUP($A82, INDIRECT("OctR!$A$6:$ZZ$1048576"), MATCH(AT$1, OctR!$6:$6, 0), FALSE),
            0
        ) +
        IFERROR(
            VLOOKUP($A82, INDIRECT("NovR!$A$6:$ZZ$1048576"), MATCH(AT$1, NovR!$6:$6, 0), FALSE),
            0
        ) +
        IFERROR(
            VLOOKUP($A82, INDIRECT("DicR!$A$6:$ZZ$1048576"), MATCH(AT$1, DicR!$6:$6, 0), FALSE),
            0
        )
)</f>
        <v>0</v>
      </c>
      <c r="AU82" s="35">
        <f t="array" ref="AU82">SUM(
    IFERROR(
            VLOOKUP($A82, INDIRECT("EneR!$A$6:$ZZ$1048576"), MATCH(AU$1, EneR!$6:$6, 0), FALSE),
            0
        ) +
        IFERROR(
            VLOOKUP($A82, INDIRECT("FebR!$A$6:$ZZ$1048576"), MATCH(AU$1, FebR!$6:$6, 0), FALSE),
            0
        ) +
        IFERROR(
            VLOOKUP($A82, INDIRECT("MarR!$A$6:$ZZ$1048576"), MATCH(AU$1, MarR!$6:$6, 0), FALSE),
            0
        ) +
        IFERROR(
            VLOOKUP($A82, INDIRECT("AbrR!$A$6:$ZZ$1048576"), MATCH(AU$1, AbrR!$6:$6, 0), FALSE),
            0
        ) +
        IFERROR(
            VLOOKUP($A82, INDIRECT("MayR!$A$6:$ZZ$1048576"), MATCH(AU$1, MayR!$6:$6, 0), FALSE),
            0
        ) +
        IFERROR(
            VLOOKUP($A82, INDIRECT("JunR!$A$6:$ZZ$1048576"), MATCH(AU$1, JunR!$6:$6, 0), FALSE),
            0
        ) +
        IFERROR(
            VLOOKUP($A82, INDIRECT("JulR!$A$6:$ZZ$1048576"), MATCH(AU$1, JulR!$6:$6, 0), FALSE),
            0
        ) +
        IFERROR(
            VLOOKUP($A82, INDIRECT("AgoR!$A$6:$ZZ$1048576"), MATCH(AU$1, AgoR!$6:$6, 0), FALSE),
            0
        ) +
        IFERROR(
            VLOOKUP($A82, INDIRECT("SepR!$A$6:$ZZ$1048576"), MATCH(AU$1, SepR!$6:$6, 0), FALSE),
            0
        ) +
        IFERROR(
            VLOOKUP($A82, INDIRECT("OctR!$A$6:$ZZ$1048576"), MATCH(AU$1, OctR!$6:$6, 0), FALSE),
            0
        ) +
        IFERROR(
            VLOOKUP($A82, INDIRECT("NovR!$A$6:$ZZ$1048576"), MATCH(AU$1, NovR!$6:$6, 0), FALSE),
            0
        ) +
        IFERROR(
            VLOOKUP($A82, INDIRECT("DicR!$A$6:$ZZ$1048576"), MATCH(AU$1, DicR!$6:$6, 0), FALSE),
            0
        )
)</f>
        <v>0</v>
      </c>
      <c r="AV82" s="36">
        <f t="array" ref="AV82">SUM(
    IFERROR(
            VLOOKUP($A82, INDIRECT("EneR!$A$6:$ZZ$1048576"), MATCH(AV$1, EneR!$6:$6, 0), FALSE),
            0
        ) +
        IFERROR(
            VLOOKUP($A82, INDIRECT("FebR!$A$6:$ZZ$1048576"), MATCH(AV$1, FebR!$6:$6, 0), FALSE),
            0
        ) +
        IFERROR(
            VLOOKUP($A82, INDIRECT("MarR!$A$6:$ZZ$1048576"), MATCH(AV$1, MarR!$6:$6, 0), FALSE),
            0
        ) +
        IFERROR(
            VLOOKUP($A82, INDIRECT("AbrR!$A$6:$ZZ$1048576"), MATCH(AV$1, AbrR!$6:$6, 0), FALSE),
            0
        ) +
        IFERROR(
            VLOOKUP($A82, INDIRECT("MayR!$A$6:$ZZ$1048576"), MATCH(AV$1, MayR!$6:$6, 0), FALSE),
            0
        ) +
        IFERROR(
            VLOOKUP($A82, INDIRECT("JunR!$A$6:$ZZ$1048576"), MATCH(AV$1, JunR!$6:$6, 0), FALSE),
            0
        ) +
        IFERROR(
            VLOOKUP($A82, INDIRECT("JulR!$A$6:$ZZ$1048576"), MATCH(AV$1, JulR!$6:$6, 0), FALSE),
            0
        ) +
        IFERROR(
            VLOOKUP($A82, INDIRECT("AgoR!$A$6:$ZZ$1048576"), MATCH(AV$1, AgoR!$6:$6, 0), FALSE),
            0
        ) +
        IFERROR(
            VLOOKUP($A82, INDIRECT("SepR!$A$6:$ZZ$1048576"), MATCH(AV$1, SepR!$6:$6, 0), FALSE),
            0
        ) +
        IFERROR(
            VLOOKUP($A82, INDIRECT("OctR!$A$6:$ZZ$1048576"), MATCH(AV$1, OctR!$6:$6, 0), FALSE),
            0
        ) +
        IFERROR(
            VLOOKUP($A82, INDIRECT("NovR!$A$6:$ZZ$1048576"), MATCH(AV$1, NovR!$6:$6, 0), FALSE),
            0
        ) +
        IFERROR(
            VLOOKUP($A82, INDIRECT("DicR!$A$6:$ZZ$1048576"), MATCH(AV$1, DicR!$6:$6, 0), FALSE),
            0
        )
)</f>
        <v>0</v>
      </c>
      <c r="AW82" s="35">
        <f t="array" ref="AW82">SUM(
    IFERROR(
            VLOOKUP($A82, INDIRECT("EneR!$A$6:$ZZ$1048576"), MATCH(AW$1, EneR!$6:$6, 0), FALSE),
            0
        ) +
        IFERROR(
            VLOOKUP($A82, INDIRECT("FebR!$A$6:$ZZ$1048576"), MATCH(AW$1, FebR!$6:$6, 0), FALSE),
            0
        ) +
        IFERROR(
            VLOOKUP($A82, INDIRECT("MarR!$A$6:$ZZ$1048576"), MATCH(AW$1, MarR!$6:$6, 0), FALSE),
            0
        ) +
        IFERROR(
            VLOOKUP($A82, INDIRECT("AbrR!$A$6:$ZZ$1048576"), MATCH(AW$1, AbrR!$6:$6, 0), FALSE),
            0
        ) +
        IFERROR(
            VLOOKUP($A82, INDIRECT("MayR!$A$6:$ZZ$1048576"), MATCH(AW$1, MayR!$6:$6, 0), FALSE),
            0
        ) +
        IFERROR(
            VLOOKUP($A82, INDIRECT("JunR!$A$6:$ZZ$1048576"), MATCH(AW$1, JunR!$6:$6, 0), FALSE),
            0
        ) +
        IFERROR(
            VLOOKUP($A82, INDIRECT("JulR!$A$6:$ZZ$1048576"), MATCH(AW$1, JulR!$6:$6, 0), FALSE),
            0
        ) +
        IFERROR(
            VLOOKUP($A82, INDIRECT("AgoR!$A$6:$ZZ$1048576"), MATCH(AW$1, AgoR!$6:$6, 0), FALSE),
            0
        ) +
        IFERROR(
            VLOOKUP($A82, INDIRECT("SepR!$A$6:$ZZ$1048576"), MATCH(AW$1, SepR!$6:$6, 0), FALSE),
            0
        ) +
        IFERROR(
            VLOOKUP($A82, INDIRECT("OctR!$A$6:$ZZ$1048576"), MATCH(AW$1, OctR!$6:$6, 0), FALSE),
            0
        ) +
        IFERROR(
            VLOOKUP($A82, INDIRECT("NovR!$A$6:$ZZ$1048576"), MATCH(AW$1, NovR!$6:$6, 0), FALSE),
            0
        ) +
        IFERROR(
            VLOOKUP($A82, INDIRECT("DicR!$A$6:$ZZ$1048576"), MATCH(AW$1, DicR!$6:$6, 0), FALSE),
            0
        )
)</f>
        <v>0</v>
      </c>
      <c r="AX82" s="36">
        <f t="array" ref="AX82">SUM(
    IFERROR(
            VLOOKUP($A82, INDIRECT("EneR!$A$6:$ZZ$1048576"), MATCH(AX$1, EneR!$6:$6, 0), FALSE),
            0
        ) +
        IFERROR(
            VLOOKUP($A82, INDIRECT("FebR!$A$6:$ZZ$1048576"), MATCH(AX$1, FebR!$6:$6, 0), FALSE),
            0
        ) +
        IFERROR(
            VLOOKUP($A82, INDIRECT("MarR!$A$6:$ZZ$1048576"), MATCH(AX$1, MarR!$6:$6, 0), FALSE),
            0
        ) +
        IFERROR(
            VLOOKUP($A82, INDIRECT("AbrR!$A$6:$ZZ$1048576"), MATCH(AX$1, AbrR!$6:$6, 0), FALSE),
            0
        ) +
        IFERROR(
            VLOOKUP($A82, INDIRECT("MayR!$A$6:$ZZ$1048576"), MATCH(AX$1, MayR!$6:$6, 0), FALSE),
            0
        ) +
        IFERROR(
            VLOOKUP($A82, INDIRECT("JunR!$A$6:$ZZ$1048576"), MATCH(AX$1, JunR!$6:$6, 0), FALSE),
            0
        ) +
        IFERROR(
            VLOOKUP($A82, INDIRECT("JulR!$A$6:$ZZ$1048576"), MATCH(AX$1, JulR!$6:$6, 0), FALSE),
            0
        ) +
        IFERROR(
            VLOOKUP($A82, INDIRECT("AgoR!$A$6:$ZZ$1048576"), MATCH(AX$1, AgoR!$6:$6, 0), FALSE),
            0
        ) +
        IFERROR(
            VLOOKUP($A82, INDIRECT("SepR!$A$6:$ZZ$1048576"), MATCH(AX$1, SepR!$6:$6, 0), FALSE),
            0
        ) +
        IFERROR(
            VLOOKUP($A82, INDIRECT("OctR!$A$6:$ZZ$1048576"), MATCH(AX$1, OctR!$6:$6, 0), FALSE),
            0
        ) +
        IFERROR(
            VLOOKUP($A82, INDIRECT("NovR!$A$6:$ZZ$1048576"), MATCH(AX$1, NovR!$6:$6, 0), FALSE),
            0
        ) +
        IFERROR(
            VLOOKUP($A82, INDIRECT("DicR!$A$6:$ZZ$1048576"), MATCH(AX$1, DicR!$6:$6, 0), FALSE),
            0
        )
)</f>
        <v>0</v>
      </c>
      <c r="AY82" s="35">
        <f t="array" ref="AY82">SUM(
    IFERROR(
            VLOOKUP($A82, INDIRECT("EneR!$A$6:$ZZ$1048576"), MATCH(AY$1, EneR!$6:$6, 0), FALSE),
            0
        ) +
        IFERROR(
            VLOOKUP($A82, INDIRECT("FebR!$A$6:$ZZ$1048576"), MATCH(AY$1, FebR!$6:$6, 0), FALSE),
            0
        ) +
        IFERROR(
            VLOOKUP($A82, INDIRECT("MarR!$A$6:$ZZ$1048576"), MATCH(AY$1, MarR!$6:$6, 0), FALSE),
            0
        ) +
        IFERROR(
            VLOOKUP($A82, INDIRECT("AbrR!$A$6:$ZZ$1048576"), MATCH(AY$1, AbrR!$6:$6, 0), FALSE),
            0
        ) +
        IFERROR(
            VLOOKUP($A82, INDIRECT("MayR!$A$6:$ZZ$1048576"), MATCH(AY$1, MayR!$6:$6, 0), FALSE),
            0
        ) +
        IFERROR(
            VLOOKUP($A82, INDIRECT("JunR!$A$6:$ZZ$1048576"), MATCH(AY$1, JunR!$6:$6, 0), FALSE),
            0
        ) +
        IFERROR(
            VLOOKUP($A82, INDIRECT("JulR!$A$6:$ZZ$1048576"), MATCH(AY$1, JulR!$6:$6, 0), FALSE),
            0
        ) +
        IFERROR(
            VLOOKUP($A82, INDIRECT("AgoR!$A$6:$ZZ$1048576"), MATCH(AY$1, AgoR!$6:$6, 0), FALSE),
            0
        ) +
        IFERROR(
            VLOOKUP($A82, INDIRECT("SepR!$A$6:$ZZ$1048576"), MATCH(AY$1, SepR!$6:$6, 0), FALSE),
            0
        ) +
        IFERROR(
            VLOOKUP($A82, INDIRECT("OctR!$A$6:$ZZ$1048576"), MATCH(AY$1, OctR!$6:$6, 0), FALSE),
            0
        ) +
        IFERROR(
            VLOOKUP($A82, INDIRECT("NovR!$A$6:$ZZ$1048576"), MATCH(AY$1, NovR!$6:$6, 0), FALSE),
            0
        ) +
        IFERROR(
            VLOOKUP($A82, INDIRECT("DicR!$A$6:$ZZ$1048576"), MATCH(AY$1, DicR!$6:$6, 0), FALSE),
            0
        )
)</f>
        <v>0</v>
      </c>
      <c r="AZ82" s="35"/>
    </row>
    <row r="83" ht="15.75" customHeight="1">
      <c r="A83" s="12" t="str">
        <f>Menus!B44</f>
        <v/>
      </c>
      <c r="B83" s="32">
        <f t="shared" si="9"/>
        <v>0</v>
      </c>
      <c r="C83" s="33" t="str">
        <f t="shared" si="10"/>
        <v/>
      </c>
      <c r="D83" s="34">
        <f t="array" ref="D83">SUM(
    IFERROR(
            VLOOKUP($A83, INDIRECT("EneR!$A$6:$ZZ$1048576"), MATCH(D$1, EneR!$6:$6, 0), FALSE),
            0
        ) +
        IFERROR(
            VLOOKUP($A83, INDIRECT("FebR!$A$6:$ZZ$1048576"), MATCH(D$1, FebR!$6:$6, 0), FALSE),
            0
        ) +
        IFERROR(
            VLOOKUP($A83, INDIRECT("MarR!$A$6:$ZZ$1048576"), MATCH(D$1, MarR!$6:$6, 0), FALSE),
            0
        ) +
        IFERROR(
            VLOOKUP($A83, INDIRECT("AbrR!$A$6:$ZZ$1048576"), MATCH(D$1, AbrR!$6:$6, 0), FALSE),
            0
        ) +
        IFERROR(
            VLOOKUP($A83, INDIRECT("MayR!$A$6:$ZZ$1048576"), MATCH(D$1, MayR!$6:$6, 0), FALSE),
            0
        ) +
        IFERROR(
            VLOOKUP($A83, INDIRECT("JunR!$A$6:$ZZ$1048576"), MATCH(D$1, JunR!$6:$6, 0), FALSE),
            0
        ) +
        IFERROR(
            VLOOKUP($A83, INDIRECT("JulR!$A$6:$ZZ$1048576"), MATCH(D$1, JulR!$6:$6, 0), FALSE),
            0
        ) +
        IFERROR(
            VLOOKUP($A83, INDIRECT("AgoR!$A$6:$ZZ$1048576"), MATCH(D$1, AgoR!$6:$6, 0), FALSE),
            0
        ) +
        IFERROR(
            VLOOKUP($A83, INDIRECT("SepR!$A$6:$ZZ$1048576"), MATCH(D$1, SepR!$6:$6, 0), FALSE),
            0
        ) +
        IFERROR(
            VLOOKUP($A83, INDIRECT("OctR!$A$6:$ZZ$1048576"), MATCH(D$1, OctR!$6:$6, 0), FALSE),
            0
        ) +
        IFERROR(
            VLOOKUP($A83, INDIRECT("NovR!$A$6:$ZZ$1048576"), MATCH(D$1, NovR!$6:$6, 0), FALSE),
            0
        ) +
        IFERROR(
            VLOOKUP($A83, INDIRECT("DicR!$A$6:$ZZ$1048576"), MATCH(D$1, DicR!$6:$6, 0), FALSE),
            0
        )
)</f>
        <v>0</v>
      </c>
      <c r="E83" s="35">
        <f t="array" ref="E83">SUM(
    IFERROR(
            VLOOKUP($A83, INDIRECT("EneR!$A$6:$ZZ$1048576"), MATCH(E$1, EneR!$6:$6, 0), FALSE),
            0
        ) +
        IFERROR(
            VLOOKUP($A83, INDIRECT("FebR!$A$6:$ZZ$1048576"), MATCH(E$1, FebR!$6:$6, 0), FALSE),
            0
        ) +
        IFERROR(
            VLOOKUP($A83, INDIRECT("MarR!$A$6:$ZZ$1048576"), MATCH(E$1, MarR!$6:$6, 0), FALSE),
            0
        ) +
        IFERROR(
            VLOOKUP($A83, INDIRECT("AbrR!$A$6:$ZZ$1048576"), MATCH(E$1, AbrR!$6:$6, 0), FALSE),
            0
        ) +
        IFERROR(
            VLOOKUP($A83, INDIRECT("MayR!$A$6:$ZZ$1048576"), MATCH(E$1, MayR!$6:$6, 0), FALSE),
            0
        ) +
        IFERROR(
            VLOOKUP($A83, INDIRECT("JunR!$A$6:$ZZ$1048576"), MATCH(E$1, JunR!$6:$6, 0), FALSE),
            0
        ) +
        IFERROR(
            VLOOKUP($A83, INDIRECT("JulR!$A$6:$ZZ$1048576"), MATCH(E$1, JulR!$6:$6, 0), FALSE),
            0
        ) +
        IFERROR(
            VLOOKUP($A83, INDIRECT("AgoR!$A$6:$ZZ$1048576"), MATCH(E$1, AgoR!$6:$6, 0), FALSE),
            0
        ) +
        IFERROR(
            VLOOKUP($A83, INDIRECT("SepR!$A$6:$ZZ$1048576"), MATCH(E$1, SepR!$6:$6, 0), FALSE),
            0
        ) +
        IFERROR(
            VLOOKUP($A83, INDIRECT("OctR!$A$6:$ZZ$1048576"), MATCH(E$1, OctR!$6:$6, 0), FALSE),
            0
        ) +
        IFERROR(
            VLOOKUP($A83, INDIRECT("NovR!$A$6:$ZZ$1048576"), MATCH(E$1, NovR!$6:$6, 0), FALSE),
            0
        ) +
        IFERROR(
            VLOOKUP($A83, INDIRECT("DicR!$A$6:$ZZ$1048576"), MATCH(E$1, DicR!$6:$6, 0), FALSE),
            0
        )
)</f>
        <v>0</v>
      </c>
      <c r="F83" s="32">
        <f t="array" ref="F83">SUM(
    IFERROR(
            VLOOKUP($A83, INDIRECT("EneR!$A$6:$ZZ$1048576"), MATCH(F$1, EneR!$6:$6, 0), FALSE),
            0
        ) +
        IFERROR(
            VLOOKUP($A83, INDIRECT("FebR!$A$6:$ZZ$1048576"), MATCH(F$1, FebR!$6:$6, 0), FALSE),
            0
        ) +
        IFERROR(
            VLOOKUP($A83, INDIRECT("MarR!$A$6:$ZZ$1048576"), MATCH(F$1, MarR!$6:$6, 0), FALSE),
            0
        ) +
        IFERROR(
            VLOOKUP($A83, INDIRECT("AbrR!$A$6:$ZZ$1048576"), MATCH(F$1, AbrR!$6:$6, 0), FALSE),
            0
        ) +
        IFERROR(
            VLOOKUP($A83, INDIRECT("MayR!$A$6:$ZZ$1048576"), MATCH(F$1, MayR!$6:$6, 0), FALSE),
            0
        ) +
        IFERROR(
            VLOOKUP($A83, INDIRECT("JunR!$A$6:$ZZ$1048576"), MATCH(F$1, JunR!$6:$6, 0), FALSE),
            0
        ) +
        IFERROR(
            VLOOKUP($A83, INDIRECT("JulR!$A$6:$ZZ$1048576"), MATCH(F$1, JulR!$6:$6, 0), FALSE),
            0
        ) +
        IFERROR(
            VLOOKUP($A83, INDIRECT("AgoR!$A$6:$ZZ$1048576"), MATCH(F$1, AgoR!$6:$6, 0), FALSE),
            0
        ) +
        IFERROR(
            VLOOKUP($A83, INDIRECT("SepR!$A$6:$ZZ$1048576"), MATCH(F$1, SepR!$6:$6, 0), FALSE),
            0
        ) +
        IFERROR(
            VLOOKUP($A83, INDIRECT("OctR!$A$6:$ZZ$1048576"), MATCH(F$1, OctR!$6:$6, 0), FALSE),
            0
        ) +
        IFERROR(
            VLOOKUP($A83, INDIRECT("NovR!$A$6:$ZZ$1048576"), MATCH(F$1, NovR!$6:$6, 0), FALSE),
            0
        ) +
        IFERROR(
            VLOOKUP($A83, INDIRECT("DicR!$A$6:$ZZ$1048576"), MATCH(F$1, DicR!$6:$6, 0), FALSE),
            0
        )
)</f>
        <v>0</v>
      </c>
      <c r="G83" s="35">
        <f t="array" ref="G83">SUM(
    IFERROR(
            VLOOKUP($A83, INDIRECT("EneR!$A$6:$ZZ$1048576"), MATCH(G$1, EneR!$6:$6, 0), FALSE),
            0
        ) +
        IFERROR(
            VLOOKUP($A83, INDIRECT("FebR!$A$6:$ZZ$1048576"), MATCH(G$1, FebR!$6:$6, 0), FALSE),
            0
        ) +
        IFERROR(
            VLOOKUP($A83, INDIRECT("MarR!$A$6:$ZZ$1048576"), MATCH(G$1, MarR!$6:$6, 0), FALSE),
            0
        ) +
        IFERROR(
            VLOOKUP($A83, INDIRECT("AbrR!$A$6:$ZZ$1048576"), MATCH(G$1, AbrR!$6:$6, 0), FALSE),
            0
        ) +
        IFERROR(
            VLOOKUP($A83, INDIRECT("MayR!$A$6:$ZZ$1048576"), MATCH(G$1, MayR!$6:$6, 0), FALSE),
            0
        ) +
        IFERROR(
            VLOOKUP($A83, INDIRECT("JunR!$A$6:$ZZ$1048576"), MATCH(G$1, JunR!$6:$6, 0), FALSE),
            0
        ) +
        IFERROR(
            VLOOKUP($A83, INDIRECT("JulR!$A$6:$ZZ$1048576"), MATCH(G$1, JulR!$6:$6, 0), FALSE),
            0
        ) +
        IFERROR(
            VLOOKUP($A83, INDIRECT("AgoR!$A$6:$ZZ$1048576"), MATCH(G$1, AgoR!$6:$6, 0), FALSE),
            0
        ) +
        IFERROR(
            VLOOKUP($A83, INDIRECT("SepR!$A$6:$ZZ$1048576"), MATCH(G$1, SepR!$6:$6, 0), FALSE),
            0
        ) +
        IFERROR(
            VLOOKUP($A83, INDIRECT("OctR!$A$6:$ZZ$1048576"), MATCH(G$1, OctR!$6:$6, 0), FALSE),
            0
        ) +
        IFERROR(
            VLOOKUP($A83, INDIRECT("NovR!$A$6:$ZZ$1048576"), MATCH(G$1, NovR!$6:$6, 0), FALSE),
            0
        ) +
        IFERROR(
            VLOOKUP($A83, INDIRECT("DicR!$A$6:$ZZ$1048576"), MATCH(G$1, DicR!$6:$6, 0), FALSE),
            0
        )
)</f>
        <v>0</v>
      </c>
      <c r="H83" s="32">
        <f t="array" ref="H83">SUM(
    IFERROR(
            VLOOKUP($A83, INDIRECT("EneR!$A$6:$ZZ$1048576"), MATCH(H$1, EneR!$6:$6, 0), FALSE),
            0
        ) +
        IFERROR(
            VLOOKUP($A83, INDIRECT("FebR!$A$6:$ZZ$1048576"), MATCH(H$1, FebR!$6:$6, 0), FALSE),
            0
        ) +
        IFERROR(
            VLOOKUP($A83, INDIRECT("MarR!$A$6:$ZZ$1048576"), MATCH(H$1, MarR!$6:$6, 0), FALSE),
            0
        ) +
        IFERROR(
            VLOOKUP($A83, INDIRECT("AbrR!$A$6:$ZZ$1048576"), MATCH(H$1, AbrR!$6:$6, 0), FALSE),
            0
        ) +
        IFERROR(
            VLOOKUP($A83, INDIRECT("MayR!$A$6:$ZZ$1048576"), MATCH(H$1, MayR!$6:$6, 0), FALSE),
            0
        ) +
        IFERROR(
            VLOOKUP($A83, INDIRECT("JunR!$A$6:$ZZ$1048576"), MATCH(H$1, JunR!$6:$6, 0), FALSE),
            0
        ) +
        IFERROR(
            VLOOKUP($A83, INDIRECT("JulR!$A$6:$ZZ$1048576"), MATCH(H$1, JulR!$6:$6, 0), FALSE),
            0
        ) +
        IFERROR(
            VLOOKUP($A83, INDIRECT("AgoR!$A$6:$ZZ$1048576"), MATCH(H$1, AgoR!$6:$6, 0), FALSE),
            0
        ) +
        IFERROR(
            VLOOKUP($A83, INDIRECT("SepR!$A$6:$ZZ$1048576"), MATCH(H$1, SepR!$6:$6, 0), FALSE),
            0
        ) +
        IFERROR(
            VLOOKUP($A83, INDIRECT("OctR!$A$6:$ZZ$1048576"), MATCH(H$1, OctR!$6:$6, 0), FALSE),
            0
        ) +
        IFERROR(
            VLOOKUP($A83, INDIRECT("NovR!$A$6:$ZZ$1048576"), MATCH(H$1, NovR!$6:$6, 0), FALSE),
            0
        ) +
        IFERROR(
            VLOOKUP($A83, INDIRECT("DicR!$A$6:$ZZ$1048576"), MATCH(H$1, DicR!$6:$6, 0), FALSE),
            0
        )
)</f>
        <v>0</v>
      </c>
      <c r="I83" s="35">
        <f t="array" ref="I83">SUM(
    IFERROR(
            VLOOKUP($A83, INDIRECT("EneR!$A$6:$ZZ$1048576"), MATCH(I$1, EneR!$6:$6, 0), FALSE),
            0
        ) +
        IFERROR(
            VLOOKUP($A83, INDIRECT("FebR!$A$6:$ZZ$1048576"), MATCH(I$1, FebR!$6:$6, 0), FALSE),
            0
        ) +
        IFERROR(
            VLOOKUP($A83, INDIRECT("MarR!$A$6:$ZZ$1048576"), MATCH(I$1, MarR!$6:$6, 0), FALSE),
            0
        ) +
        IFERROR(
            VLOOKUP($A83, INDIRECT("AbrR!$A$6:$ZZ$1048576"), MATCH(I$1, AbrR!$6:$6, 0), FALSE),
            0
        ) +
        IFERROR(
            VLOOKUP($A83, INDIRECT("MayR!$A$6:$ZZ$1048576"), MATCH(I$1, MayR!$6:$6, 0), FALSE),
            0
        ) +
        IFERROR(
            VLOOKUP($A83, INDIRECT("JunR!$A$6:$ZZ$1048576"), MATCH(I$1, JunR!$6:$6, 0), FALSE),
            0
        ) +
        IFERROR(
            VLOOKUP($A83, INDIRECT("JulR!$A$6:$ZZ$1048576"), MATCH(I$1, JulR!$6:$6, 0), FALSE),
            0
        ) +
        IFERROR(
            VLOOKUP($A83, INDIRECT("AgoR!$A$6:$ZZ$1048576"), MATCH(I$1, AgoR!$6:$6, 0), FALSE),
            0
        ) +
        IFERROR(
            VLOOKUP($A83, INDIRECT("SepR!$A$6:$ZZ$1048576"), MATCH(I$1, SepR!$6:$6, 0), FALSE),
            0
        ) +
        IFERROR(
            VLOOKUP($A83, INDIRECT("OctR!$A$6:$ZZ$1048576"), MATCH(I$1, OctR!$6:$6, 0), FALSE),
            0
        ) +
        IFERROR(
            VLOOKUP($A83, INDIRECT("NovR!$A$6:$ZZ$1048576"), MATCH(I$1, NovR!$6:$6, 0), FALSE),
            0
        ) +
        IFERROR(
            VLOOKUP($A83, INDIRECT("DicR!$A$6:$ZZ$1048576"), MATCH(I$1, DicR!$6:$6, 0), FALSE),
            0
        )
)</f>
        <v>0</v>
      </c>
      <c r="J83" s="32">
        <f t="array" ref="J83">SUM(
    IFERROR(
            VLOOKUP($A83, INDIRECT("EneR!$A$6:$ZZ$1048576"), MATCH(J$1, EneR!$6:$6, 0), FALSE),
            0
        ) +
        IFERROR(
            VLOOKUP($A83, INDIRECT("FebR!$A$6:$ZZ$1048576"), MATCH(J$1, FebR!$6:$6, 0), FALSE),
            0
        ) +
        IFERROR(
            VLOOKUP($A83, INDIRECT("MarR!$A$6:$ZZ$1048576"), MATCH(J$1, MarR!$6:$6, 0), FALSE),
            0
        ) +
        IFERROR(
            VLOOKUP($A83, INDIRECT("AbrR!$A$6:$ZZ$1048576"), MATCH(J$1, AbrR!$6:$6, 0), FALSE),
            0
        ) +
        IFERROR(
            VLOOKUP($A83, INDIRECT("MayR!$A$6:$ZZ$1048576"), MATCH(J$1, MayR!$6:$6, 0), FALSE),
            0
        ) +
        IFERROR(
            VLOOKUP($A83, INDIRECT("JunR!$A$6:$ZZ$1048576"), MATCH(J$1, JunR!$6:$6, 0), FALSE),
            0
        ) +
        IFERROR(
            VLOOKUP($A83, INDIRECT("JulR!$A$6:$ZZ$1048576"), MATCH(J$1, JulR!$6:$6, 0), FALSE),
            0
        ) +
        IFERROR(
            VLOOKUP($A83, INDIRECT("AgoR!$A$6:$ZZ$1048576"), MATCH(J$1, AgoR!$6:$6, 0), FALSE),
            0
        ) +
        IFERROR(
            VLOOKUP($A83, INDIRECT("SepR!$A$6:$ZZ$1048576"), MATCH(J$1, SepR!$6:$6, 0), FALSE),
            0
        ) +
        IFERROR(
            VLOOKUP($A83, INDIRECT("OctR!$A$6:$ZZ$1048576"), MATCH(J$1, OctR!$6:$6, 0), FALSE),
            0
        ) +
        IFERROR(
            VLOOKUP($A83, INDIRECT("NovR!$A$6:$ZZ$1048576"), MATCH(J$1, NovR!$6:$6, 0), FALSE),
            0
        ) +
        IFERROR(
            VLOOKUP($A83, INDIRECT("DicR!$A$6:$ZZ$1048576"), MATCH(J$1, DicR!$6:$6, 0), FALSE),
            0
        )
)</f>
        <v>0</v>
      </c>
      <c r="K83" s="35">
        <f t="array" ref="K83">SUM(
    IFERROR(
            VLOOKUP($A83, INDIRECT("EneR!$A$6:$ZZ$1048576"), MATCH(K$1, EneR!$6:$6, 0), FALSE),
            0
        ) +
        IFERROR(
            VLOOKUP($A83, INDIRECT("FebR!$A$6:$ZZ$1048576"), MATCH(K$1, FebR!$6:$6, 0), FALSE),
            0
        ) +
        IFERROR(
            VLOOKUP($A83, INDIRECT("MarR!$A$6:$ZZ$1048576"), MATCH(K$1, MarR!$6:$6, 0), FALSE),
            0
        ) +
        IFERROR(
            VLOOKUP($A83, INDIRECT("AbrR!$A$6:$ZZ$1048576"), MATCH(K$1, AbrR!$6:$6, 0), FALSE),
            0
        ) +
        IFERROR(
            VLOOKUP($A83, INDIRECT("MayR!$A$6:$ZZ$1048576"), MATCH(K$1, MayR!$6:$6, 0), FALSE),
            0
        ) +
        IFERROR(
            VLOOKUP($A83, INDIRECT("JunR!$A$6:$ZZ$1048576"), MATCH(K$1, JunR!$6:$6, 0), FALSE),
            0
        ) +
        IFERROR(
            VLOOKUP($A83, INDIRECT("JulR!$A$6:$ZZ$1048576"), MATCH(K$1, JulR!$6:$6, 0), FALSE),
            0
        ) +
        IFERROR(
            VLOOKUP($A83, INDIRECT("AgoR!$A$6:$ZZ$1048576"), MATCH(K$1, AgoR!$6:$6, 0), FALSE),
            0
        ) +
        IFERROR(
            VLOOKUP($A83, INDIRECT("SepR!$A$6:$ZZ$1048576"), MATCH(K$1, SepR!$6:$6, 0), FALSE),
            0
        ) +
        IFERROR(
            VLOOKUP($A83, INDIRECT("OctR!$A$6:$ZZ$1048576"), MATCH(K$1, OctR!$6:$6, 0), FALSE),
            0
        ) +
        IFERROR(
            VLOOKUP($A83, INDIRECT("NovR!$A$6:$ZZ$1048576"), MATCH(K$1, NovR!$6:$6, 0), FALSE),
            0
        ) +
        IFERROR(
            VLOOKUP($A83, INDIRECT("DicR!$A$6:$ZZ$1048576"), MATCH(K$1, DicR!$6:$6, 0), FALSE),
            0
        )
)</f>
        <v>0</v>
      </c>
      <c r="L83" s="32">
        <f t="array" ref="L83">SUM(
    IFERROR(
            VLOOKUP($A83, INDIRECT("EneR!$A$6:$ZZ$1048576"), MATCH(L$1, EneR!$6:$6, 0), FALSE),
            0
        ) +
        IFERROR(
            VLOOKUP($A83, INDIRECT("FebR!$A$6:$ZZ$1048576"), MATCH(L$1, FebR!$6:$6, 0), FALSE),
            0
        ) +
        IFERROR(
            VLOOKUP($A83, INDIRECT("MarR!$A$6:$ZZ$1048576"), MATCH(L$1, MarR!$6:$6, 0), FALSE),
            0
        ) +
        IFERROR(
            VLOOKUP($A83, INDIRECT("AbrR!$A$6:$ZZ$1048576"), MATCH(L$1, AbrR!$6:$6, 0), FALSE),
            0
        ) +
        IFERROR(
            VLOOKUP($A83, INDIRECT("MayR!$A$6:$ZZ$1048576"), MATCH(L$1, MayR!$6:$6, 0), FALSE),
            0
        ) +
        IFERROR(
            VLOOKUP($A83, INDIRECT("JunR!$A$6:$ZZ$1048576"), MATCH(L$1, JunR!$6:$6, 0), FALSE),
            0
        ) +
        IFERROR(
            VLOOKUP($A83, INDIRECT("JulR!$A$6:$ZZ$1048576"), MATCH(L$1, JulR!$6:$6, 0), FALSE),
            0
        ) +
        IFERROR(
            VLOOKUP($A83, INDIRECT("AgoR!$A$6:$ZZ$1048576"), MATCH(L$1, AgoR!$6:$6, 0), FALSE),
            0
        ) +
        IFERROR(
            VLOOKUP($A83, INDIRECT("SepR!$A$6:$ZZ$1048576"), MATCH(L$1, SepR!$6:$6, 0), FALSE),
            0
        ) +
        IFERROR(
            VLOOKUP($A83, INDIRECT("OctR!$A$6:$ZZ$1048576"), MATCH(L$1, OctR!$6:$6, 0), FALSE),
            0
        ) +
        IFERROR(
            VLOOKUP($A83, INDIRECT("NovR!$A$6:$ZZ$1048576"), MATCH(L$1, NovR!$6:$6, 0), FALSE),
            0
        ) +
        IFERROR(
            VLOOKUP($A83, INDIRECT("DicR!$A$6:$ZZ$1048576"), MATCH(L$1, DicR!$6:$6, 0), FALSE),
            0
        )
)</f>
        <v>0</v>
      </c>
      <c r="M83" s="35">
        <f t="array" ref="M83">SUM(
    IFERROR(
            VLOOKUP($A83, INDIRECT("EneR!$A$6:$ZZ$1048576"), MATCH(M$1, EneR!$6:$6, 0), FALSE),
            0
        ) +
        IFERROR(
            VLOOKUP($A83, INDIRECT("FebR!$A$6:$ZZ$1048576"), MATCH(M$1, FebR!$6:$6, 0), FALSE),
            0
        ) +
        IFERROR(
            VLOOKUP($A83, INDIRECT("MarR!$A$6:$ZZ$1048576"), MATCH(M$1, MarR!$6:$6, 0), FALSE),
            0
        ) +
        IFERROR(
            VLOOKUP($A83, INDIRECT("AbrR!$A$6:$ZZ$1048576"), MATCH(M$1, AbrR!$6:$6, 0), FALSE),
            0
        ) +
        IFERROR(
            VLOOKUP($A83, INDIRECT("MayR!$A$6:$ZZ$1048576"), MATCH(M$1, MayR!$6:$6, 0), FALSE),
            0
        ) +
        IFERROR(
            VLOOKUP($A83, INDIRECT("JunR!$A$6:$ZZ$1048576"), MATCH(M$1, JunR!$6:$6, 0), FALSE),
            0
        ) +
        IFERROR(
            VLOOKUP($A83, INDIRECT("JulR!$A$6:$ZZ$1048576"), MATCH(M$1, JulR!$6:$6, 0), FALSE),
            0
        ) +
        IFERROR(
            VLOOKUP($A83, INDIRECT("AgoR!$A$6:$ZZ$1048576"), MATCH(M$1, AgoR!$6:$6, 0), FALSE),
            0
        ) +
        IFERROR(
            VLOOKUP($A83, INDIRECT("SepR!$A$6:$ZZ$1048576"), MATCH(M$1, SepR!$6:$6, 0), FALSE),
            0
        ) +
        IFERROR(
            VLOOKUP($A83, INDIRECT("OctR!$A$6:$ZZ$1048576"), MATCH(M$1, OctR!$6:$6, 0), FALSE),
            0
        ) +
        IFERROR(
            VLOOKUP($A83, INDIRECT("NovR!$A$6:$ZZ$1048576"), MATCH(M$1, NovR!$6:$6, 0), FALSE),
            0
        ) +
        IFERROR(
            VLOOKUP($A83, INDIRECT("DicR!$A$6:$ZZ$1048576"), MATCH(M$1, DicR!$6:$6, 0), FALSE),
            0
        )
)</f>
        <v>0</v>
      </c>
      <c r="N83" s="32">
        <f t="array" ref="N83">SUM(
    IFERROR(
            VLOOKUP($A83, INDIRECT("EneR!$A$6:$ZZ$1048576"), MATCH(N$1, EneR!$6:$6, 0), FALSE),
            0
        ) +
        IFERROR(
            VLOOKUP($A83, INDIRECT("FebR!$A$6:$ZZ$1048576"), MATCH(N$1, FebR!$6:$6, 0), FALSE),
            0
        ) +
        IFERROR(
            VLOOKUP($A83, INDIRECT("MarR!$A$6:$ZZ$1048576"), MATCH(N$1, MarR!$6:$6, 0), FALSE),
            0
        ) +
        IFERROR(
            VLOOKUP($A83, INDIRECT("AbrR!$A$6:$ZZ$1048576"), MATCH(N$1, AbrR!$6:$6, 0), FALSE),
            0
        ) +
        IFERROR(
            VLOOKUP($A83, INDIRECT("MayR!$A$6:$ZZ$1048576"), MATCH(N$1, MayR!$6:$6, 0), FALSE),
            0
        ) +
        IFERROR(
            VLOOKUP($A83, INDIRECT("JunR!$A$6:$ZZ$1048576"), MATCH(N$1, JunR!$6:$6, 0), FALSE),
            0
        ) +
        IFERROR(
            VLOOKUP($A83, INDIRECT("JulR!$A$6:$ZZ$1048576"), MATCH(N$1, JulR!$6:$6, 0), FALSE),
            0
        ) +
        IFERROR(
            VLOOKUP($A83, INDIRECT("AgoR!$A$6:$ZZ$1048576"), MATCH(N$1, AgoR!$6:$6, 0), FALSE),
            0
        ) +
        IFERROR(
            VLOOKUP($A83, INDIRECT("SepR!$A$6:$ZZ$1048576"), MATCH(N$1, SepR!$6:$6, 0), FALSE),
            0
        ) +
        IFERROR(
            VLOOKUP($A83, INDIRECT("OctR!$A$6:$ZZ$1048576"), MATCH(N$1, OctR!$6:$6, 0), FALSE),
            0
        ) +
        IFERROR(
            VLOOKUP($A83, INDIRECT("NovR!$A$6:$ZZ$1048576"), MATCH(N$1, NovR!$6:$6, 0), FALSE),
            0
        ) +
        IFERROR(
            VLOOKUP($A83, INDIRECT("DicR!$A$6:$ZZ$1048576"), MATCH(N$1, DicR!$6:$6, 0), FALSE),
            0
        )
)</f>
        <v>0</v>
      </c>
      <c r="O83" s="35">
        <f t="array" ref="O83">SUM(
    IFERROR(
            VLOOKUP($A83, INDIRECT("EneR!$A$6:$ZZ$1048576"), MATCH(O$1, EneR!$6:$6, 0), FALSE),
            0
        ) +
        IFERROR(
            VLOOKUP($A83, INDIRECT("FebR!$A$6:$ZZ$1048576"), MATCH(O$1, FebR!$6:$6, 0), FALSE),
            0
        ) +
        IFERROR(
            VLOOKUP($A83, INDIRECT("MarR!$A$6:$ZZ$1048576"), MATCH(O$1, MarR!$6:$6, 0), FALSE),
            0
        ) +
        IFERROR(
            VLOOKUP($A83, INDIRECT("AbrR!$A$6:$ZZ$1048576"), MATCH(O$1, AbrR!$6:$6, 0), FALSE),
            0
        ) +
        IFERROR(
            VLOOKUP($A83, INDIRECT("MayR!$A$6:$ZZ$1048576"), MATCH(O$1, MayR!$6:$6, 0), FALSE),
            0
        ) +
        IFERROR(
            VLOOKUP($A83, INDIRECT("JunR!$A$6:$ZZ$1048576"), MATCH(O$1, JunR!$6:$6, 0), FALSE),
            0
        ) +
        IFERROR(
            VLOOKUP($A83, INDIRECT("JulR!$A$6:$ZZ$1048576"), MATCH(O$1, JulR!$6:$6, 0), FALSE),
            0
        ) +
        IFERROR(
            VLOOKUP($A83, INDIRECT("AgoR!$A$6:$ZZ$1048576"), MATCH(O$1, AgoR!$6:$6, 0), FALSE),
            0
        ) +
        IFERROR(
            VLOOKUP($A83, INDIRECT("SepR!$A$6:$ZZ$1048576"), MATCH(O$1, SepR!$6:$6, 0), FALSE),
            0
        ) +
        IFERROR(
            VLOOKUP($A83, INDIRECT("OctR!$A$6:$ZZ$1048576"), MATCH(O$1, OctR!$6:$6, 0), FALSE),
            0
        ) +
        IFERROR(
            VLOOKUP($A83, INDIRECT("NovR!$A$6:$ZZ$1048576"), MATCH(O$1, NovR!$6:$6, 0), FALSE),
            0
        ) +
        IFERROR(
            VLOOKUP($A83, INDIRECT("DicR!$A$6:$ZZ$1048576"), MATCH(O$1, DicR!$6:$6, 0), FALSE),
            0
        )
)</f>
        <v>0</v>
      </c>
      <c r="P83" s="32">
        <f t="array" ref="P83">SUM(
    IFERROR(
            VLOOKUP($A83, INDIRECT("EneR!$A$6:$ZZ$1048576"), MATCH(P$1, EneR!$6:$6, 0), FALSE),
            0
        ) +
        IFERROR(
            VLOOKUP($A83, INDIRECT("FebR!$A$6:$ZZ$1048576"), MATCH(P$1, FebR!$6:$6, 0), FALSE),
            0
        ) +
        IFERROR(
            VLOOKUP($A83, INDIRECT("MarR!$A$6:$ZZ$1048576"), MATCH(P$1, MarR!$6:$6, 0), FALSE),
            0
        ) +
        IFERROR(
            VLOOKUP($A83, INDIRECT("AbrR!$A$6:$ZZ$1048576"), MATCH(P$1, AbrR!$6:$6, 0), FALSE),
            0
        ) +
        IFERROR(
            VLOOKUP($A83, INDIRECT("MayR!$A$6:$ZZ$1048576"), MATCH(P$1, MayR!$6:$6, 0), FALSE),
            0
        ) +
        IFERROR(
            VLOOKUP($A83, INDIRECT("JunR!$A$6:$ZZ$1048576"), MATCH(P$1, JunR!$6:$6, 0), FALSE),
            0
        ) +
        IFERROR(
            VLOOKUP($A83, INDIRECT("JulR!$A$6:$ZZ$1048576"), MATCH(P$1, JulR!$6:$6, 0), FALSE),
            0
        ) +
        IFERROR(
            VLOOKUP($A83, INDIRECT("AgoR!$A$6:$ZZ$1048576"), MATCH(P$1, AgoR!$6:$6, 0), FALSE),
            0
        ) +
        IFERROR(
            VLOOKUP($A83, INDIRECT("SepR!$A$6:$ZZ$1048576"), MATCH(P$1, SepR!$6:$6, 0), FALSE),
            0
        ) +
        IFERROR(
            VLOOKUP($A83, INDIRECT("OctR!$A$6:$ZZ$1048576"), MATCH(P$1, OctR!$6:$6, 0), FALSE),
            0
        ) +
        IFERROR(
            VLOOKUP($A83, INDIRECT("NovR!$A$6:$ZZ$1048576"), MATCH(P$1, NovR!$6:$6, 0), FALSE),
            0
        ) +
        IFERROR(
            VLOOKUP($A83, INDIRECT("DicR!$A$6:$ZZ$1048576"), MATCH(P$1, DicR!$6:$6, 0), FALSE),
            0
        )
)</f>
        <v>0</v>
      </c>
      <c r="Q83" s="35">
        <f t="array" ref="Q83">SUM(
    IFERROR(
            VLOOKUP($A83, INDIRECT("EneR!$A$6:$ZZ$1048576"), MATCH(Q$1, EneR!$6:$6, 0), FALSE),
            0
        ) +
        IFERROR(
            VLOOKUP($A83, INDIRECT("FebR!$A$6:$ZZ$1048576"), MATCH(Q$1, FebR!$6:$6, 0), FALSE),
            0
        ) +
        IFERROR(
            VLOOKUP($A83, INDIRECT("MarR!$A$6:$ZZ$1048576"), MATCH(Q$1, MarR!$6:$6, 0), FALSE),
            0
        ) +
        IFERROR(
            VLOOKUP($A83, INDIRECT("AbrR!$A$6:$ZZ$1048576"), MATCH(Q$1, AbrR!$6:$6, 0), FALSE),
            0
        ) +
        IFERROR(
            VLOOKUP($A83, INDIRECT("MayR!$A$6:$ZZ$1048576"), MATCH(Q$1, MayR!$6:$6, 0), FALSE),
            0
        ) +
        IFERROR(
            VLOOKUP($A83, INDIRECT("JunR!$A$6:$ZZ$1048576"), MATCH(Q$1, JunR!$6:$6, 0), FALSE),
            0
        ) +
        IFERROR(
            VLOOKUP($A83, INDIRECT("JulR!$A$6:$ZZ$1048576"), MATCH(Q$1, JulR!$6:$6, 0), FALSE),
            0
        ) +
        IFERROR(
            VLOOKUP($A83, INDIRECT("AgoR!$A$6:$ZZ$1048576"), MATCH(Q$1, AgoR!$6:$6, 0), FALSE),
            0
        ) +
        IFERROR(
            VLOOKUP($A83, INDIRECT("SepR!$A$6:$ZZ$1048576"), MATCH(Q$1, SepR!$6:$6, 0), FALSE),
            0
        ) +
        IFERROR(
            VLOOKUP($A83, INDIRECT("OctR!$A$6:$ZZ$1048576"), MATCH(Q$1, OctR!$6:$6, 0), FALSE),
            0
        ) +
        IFERROR(
            VLOOKUP($A83, INDIRECT("NovR!$A$6:$ZZ$1048576"), MATCH(Q$1, NovR!$6:$6, 0), FALSE),
            0
        ) +
        IFERROR(
            VLOOKUP($A83, INDIRECT("DicR!$A$6:$ZZ$1048576"), MATCH(Q$1, DicR!$6:$6, 0), FALSE),
            0
        )
)</f>
        <v>0</v>
      </c>
      <c r="R83" s="36">
        <f t="array" ref="R83">SUM(
    IFERROR(
            VLOOKUP($A83, INDIRECT("EneR!$A$6:$ZZ$1048576"), MATCH(R$1, EneR!$6:$6, 0), FALSE),
            0
        ) +
        IFERROR(
            VLOOKUP($A83, INDIRECT("FebR!$A$6:$ZZ$1048576"), MATCH(R$1, FebR!$6:$6, 0), FALSE),
            0
        ) +
        IFERROR(
            VLOOKUP($A83, INDIRECT("MarR!$A$6:$ZZ$1048576"), MATCH(R$1, MarR!$6:$6, 0), FALSE),
            0
        ) +
        IFERROR(
            VLOOKUP($A83, INDIRECT("AbrR!$A$6:$ZZ$1048576"), MATCH(R$1, AbrR!$6:$6, 0), FALSE),
            0
        ) +
        IFERROR(
            VLOOKUP($A83, INDIRECT("MayR!$A$6:$ZZ$1048576"), MATCH(R$1, MayR!$6:$6, 0), FALSE),
            0
        ) +
        IFERROR(
            VLOOKUP($A83, INDIRECT("JunR!$A$6:$ZZ$1048576"), MATCH(R$1, JunR!$6:$6, 0), FALSE),
            0
        ) +
        IFERROR(
            VLOOKUP($A83, INDIRECT("JulR!$A$6:$ZZ$1048576"), MATCH(R$1, JulR!$6:$6, 0), FALSE),
            0
        ) +
        IFERROR(
            VLOOKUP($A83, INDIRECT("AgoR!$A$6:$ZZ$1048576"), MATCH(R$1, AgoR!$6:$6, 0), FALSE),
            0
        ) +
        IFERROR(
            VLOOKUP($A83, INDIRECT("SepR!$A$6:$ZZ$1048576"), MATCH(R$1, SepR!$6:$6, 0), FALSE),
            0
        ) +
        IFERROR(
            VLOOKUP($A83, INDIRECT("OctR!$A$6:$ZZ$1048576"), MATCH(R$1, OctR!$6:$6, 0), FALSE),
            0
        ) +
        IFERROR(
            VLOOKUP($A83, INDIRECT("NovR!$A$6:$ZZ$1048576"), MATCH(R$1, NovR!$6:$6, 0), FALSE),
            0
        ) +
        IFERROR(
            VLOOKUP($A83, INDIRECT("DicR!$A$6:$ZZ$1048576"), MATCH(R$1, DicR!$6:$6, 0), FALSE),
            0
        )
)</f>
        <v>0</v>
      </c>
      <c r="S83" s="37">
        <f t="array" ref="S83">SUM(
    IFERROR(
            VLOOKUP($A83, INDIRECT("EneR!$A$6:$ZZ$1048576"), MATCH(S$1, EneR!$6:$6, 0), FALSE),
            0
        ) +
        IFERROR(
            VLOOKUP($A83, INDIRECT("FebR!$A$6:$ZZ$1048576"), MATCH(S$1, FebR!$6:$6, 0), FALSE),
            0
        ) +
        IFERROR(
            VLOOKUP($A83, INDIRECT("MarR!$A$6:$ZZ$1048576"), MATCH(S$1, MarR!$6:$6, 0), FALSE),
            0
        ) +
        IFERROR(
            VLOOKUP($A83, INDIRECT("AbrR!$A$6:$ZZ$1048576"), MATCH(S$1, AbrR!$6:$6, 0), FALSE),
            0
        ) +
        IFERROR(
            VLOOKUP($A83, INDIRECT("MayR!$A$6:$ZZ$1048576"), MATCH(S$1, MayR!$6:$6, 0), FALSE),
            0
        ) +
        IFERROR(
            VLOOKUP($A83, INDIRECT("JunR!$A$6:$ZZ$1048576"), MATCH(S$1, JunR!$6:$6, 0), FALSE),
            0
        ) +
        IFERROR(
            VLOOKUP($A83, INDIRECT("JulR!$A$6:$ZZ$1048576"), MATCH(S$1, JulR!$6:$6, 0), FALSE),
            0
        ) +
        IFERROR(
            VLOOKUP($A83, INDIRECT("AgoR!$A$6:$ZZ$1048576"), MATCH(S$1, AgoR!$6:$6, 0), FALSE),
            0
        ) +
        IFERROR(
            VLOOKUP($A83, INDIRECT("SepR!$A$6:$ZZ$1048576"), MATCH(S$1, SepR!$6:$6, 0), FALSE),
            0
        ) +
        IFERROR(
            VLOOKUP($A83, INDIRECT("OctR!$A$6:$ZZ$1048576"), MATCH(S$1, OctR!$6:$6, 0), FALSE),
            0
        ) +
        IFERROR(
            VLOOKUP($A83, INDIRECT("NovR!$A$6:$ZZ$1048576"), MATCH(S$1, NovR!$6:$6, 0), FALSE),
            0
        ) +
        IFERROR(
            VLOOKUP($A83, INDIRECT("DicR!$A$6:$ZZ$1048576"), MATCH(S$1, DicR!$6:$6, 0), FALSE),
            0
        )
)</f>
        <v>0</v>
      </c>
      <c r="T83" s="36">
        <f t="array" ref="T83">SUM(
    IFERROR(
            VLOOKUP($A83, INDIRECT("EneR!$A$6:$ZZ$1048576"), MATCH(T$1, EneR!$6:$6, 0), FALSE),
            0
        ) +
        IFERROR(
            VLOOKUP($A83, INDIRECT("FebR!$A$6:$ZZ$1048576"), MATCH(T$1, FebR!$6:$6, 0), FALSE),
            0
        ) +
        IFERROR(
            VLOOKUP($A83, INDIRECT("MarR!$A$6:$ZZ$1048576"), MATCH(T$1, MarR!$6:$6, 0), FALSE),
            0
        ) +
        IFERROR(
            VLOOKUP($A83, INDIRECT("AbrR!$A$6:$ZZ$1048576"), MATCH(T$1, AbrR!$6:$6, 0), FALSE),
            0
        ) +
        IFERROR(
            VLOOKUP($A83, INDIRECT("MayR!$A$6:$ZZ$1048576"), MATCH(T$1, MayR!$6:$6, 0), FALSE),
            0
        ) +
        IFERROR(
            VLOOKUP($A83, INDIRECT("JunR!$A$6:$ZZ$1048576"), MATCH(T$1, JunR!$6:$6, 0), FALSE),
            0
        ) +
        IFERROR(
            VLOOKUP($A83, INDIRECT("JulR!$A$6:$ZZ$1048576"), MATCH(T$1, JulR!$6:$6, 0), FALSE),
            0
        ) +
        IFERROR(
            VLOOKUP($A83, INDIRECT("AgoR!$A$6:$ZZ$1048576"), MATCH(T$1, AgoR!$6:$6, 0), FALSE),
            0
        ) +
        IFERROR(
            VLOOKUP($A83, INDIRECT("SepR!$A$6:$ZZ$1048576"), MATCH(T$1, SepR!$6:$6, 0), FALSE),
            0
        ) +
        IFERROR(
            VLOOKUP($A83, INDIRECT("OctR!$A$6:$ZZ$1048576"), MATCH(T$1, OctR!$6:$6, 0), FALSE),
            0
        ) +
        IFERROR(
            VLOOKUP($A83, INDIRECT("NovR!$A$6:$ZZ$1048576"), MATCH(T$1, NovR!$6:$6, 0), FALSE),
            0
        ) +
        IFERROR(
            VLOOKUP($A83, INDIRECT("DicR!$A$6:$ZZ$1048576"), MATCH(T$1, DicR!$6:$6, 0), FALSE),
            0
        )
)</f>
        <v>0</v>
      </c>
      <c r="U83" s="37">
        <f t="array" ref="U83">SUM(
    IFERROR(
            VLOOKUP($A83, INDIRECT("EneR!$A$6:$ZZ$1048576"), MATCH(U$1, EneR!$6:$6, 0), FALSE),
            0
        ) +
        IFERROR(
            VLOOKUP($A83, INDIRECT("FebR!$A$6:$ZZ$1048576"), MATCH(U$1, FebR!$6:$6, 0), FALSE),
            0
        ) +
        IFERROR(
            VLOOKUP($A83, INDIRECT("MarR!$A$6:$ZZ$1048576"), MATCH(U$1, MarR!$6:$6, 0), FALSE),
            0
        ) +
        IFERROR(
            VLOOKUP($A83, INDIRECT("AbrR!$A$6:$ZZ$1048576"), MATCH(U$1, AbrR!$6:$6, 0), FALSE),
            0
        ) +
        IFERROR(
            VLOOKUP($A83, INDIRECT("MayR!$A$6:$ZZ$1048576"), MATCH(U$1, MayR!$6:$6, 0), FALSE),
            0
        ) +
        IFERROR(
            VLOOKUP($A83, INDIRECT("JunR!$A$6:$ZZ$1048576"), MATCH(U$1, JunR!$6:$6, 0), FALSE),
            0
        ) +
        IFERROR(
            VLOOKUP($A83, INDIRECT("JulR!$A$6:$ZZ$1048576"), MATCH(U$1, JulR!$6:$6, 0), FALSE),
            0
        ) +
        IFERROR(
            VLOOKUP($A83, INDIRECT("AgoR!$A$6:$ZZ$1048576"), MATCH(U$1, AgoR!$6:$6, 0), FALSE),
            0
        ) +
        IFERROR(
            VLOOKUP($A83, INDIRECT("SepR!$A$6:$ZZ$1048576"), MATCH(U$1, SepR!$6:$6, 0), FALSE),
            0
        ) +
        IFERROR(
            VLOOKUP($A83, INDIRECT("OctR!$A$6:$ZZ$1048576"), MATCH(U$1, OctR!$6:$6, 0), FALSE),
            0
        ) +
        IFERROR(
            VLOOKUP($A83, INDIRECT("NovR!$A$6:$ZZ$1048576"), MATCH(U$1, NovR!$6:$6, 0), FALSE),
            0
        ) +
        IFERROR(
            VLOOKUP($A83, INDIRECT("DicR!$A$6:$ZZ$1048576"), MATCH(U$1, DicR!$6:$6, 0), FALSE),
            0
        )
)</f>
        <v>0</v>
      </c>
      <c r="V83" s="36">
        <f t="array" ref="V83">SUM(
    IFERROR(
            VLOOKUP($A83, INDIRECT("EneR!$A$6:$ZZ$1048576"), MATCH(V$1, EneR!$6:$6, 0), FALSE),
            0
        ) +
        IFERROR(
            VLOOKUP($A83, INDIRECT("FebR!$A$6:$ZZ$1048576"), MATCH(V$1, FebR!$6:$6, 0), FALSE),
            0
        ) +
        IFERROR(
            VLOOKUP($A83, INDIRECT("MarR!$A$6:$ZZ$1048576"), MATCH(V$1, MarR!$6:$6, 0), FALSE),
            0
        ) +
        IFERROR(
            VLOOKUP($A83, INDIRECT("AbrR!$A$6:$ZZ$1048576"), MATCH(V$1, AbrR!$6:$6, 0), FALSE),
            0
        ) +
        IFERROR(
            VLOOKUP($A83, INDIRECT("MayR!$A$6:$ZZ$1048576"), MATCH(V$1, MayR!$6:$6, 0), FALSE),
            0
        ) +
        IFERROR(
            VLOOKUP($A83, INDIRECT("JunR!$A$6:$ZZ$1048576"), MATCH(V$1, JunR!$6:$6, 0), FALSE),
            0
        ) +
        IFERROR(
            VLOOKUP($A83, INDIRECT("JulR!$A$6:$ZZ$1048576"), MATCH(V$1, JulR!$6:$6, 0), FALSE),
            0
        ) +
        IFERROR(
            VLOOKUP($A83, INDIRECT("AgoR!$A$6:$ZZ$1048576"), MATCH(V$1, AgoR!$6:$6, 0), FALSE),
            0
        ) +
        IFERROR(
            VLOOKUP($A83, INDIRECT("SepR!$A$6:$ZZ$1048576"), MATCH(V$1, SepR!$6:$6, 0), FALSE),
            0
        ) +
        IFERROR(
            VLOOKUP($A83, INDIRECT("OctR!$A$6:$ZZ$1048576"), MATCH(V$1, OctR!$6:$6, 0), FALSE),
            0
        ) +
        IFERROR(
            VLOOKUP($A83, INDIRECT("NovR!$A$6:$ZZ$1048576"), MATCH(V$1, NovR!$6:$6, 0), FALSE),
            0
        ) +
        IFERROR(
            VLOOKUP($A83, INDIRECT("DicR!$A$6:$ZZ$1048576"), MATCH(V$1, DicR!$6:$6, 0), FALSE),
            0
        )
)</f>
        <v>0</v>
      </c>
      <c r="W83" s="37">
        <f t="array" ref="W83">SUM(
    IFERROR(
            VLOOKUP($A83, INDIRECT("EneR!$A$6:$ZZ$1048576"), MATCH(W$1, EneR!$6:$6, 0), FALSE),
            0
        ) +
        IFERROR(
            VLOOKUP($A83, INDIRECT("FebR!$A$6:$ZZ$1048576"), MATCH(W$1, FebR!$6:$6, 0), FALSE),
            0
        ) +
        IFERROR(
            VLOOKUP($A83, INDIRECT("MarR!$A$6:$ZZ$1048576"), MATCH(W$1, MarR!$6:$6, 0), FALSE),
            0
        ) +
        IFERROR(
            VLOOKUP($A83, INDIRECT("AbrR!$A$6:$ZZ$1048576"), MATCH(W$1, AbrR!$6:$6, 0), FALSE),
            0
        ) +
        IFERROR(
            VLOOKUP($A83, INDIRECT("MayR!$A$6:$ZZ$1048576"), MATCH(W$1, MayR!$6:$6, 0), FALSE),
            0
        ) +
        IFERROR(
            VLOOKUP($A83, INDIRECT("JunR!$A$6:$ZZ$1048576"), MATCH(W$1, JunR!$6:$6, 0), FALSE),
            0
        ) +
        IFERROR(
            VLOOKUP($A83, INDIRECT("JulR!$A$6:$ZZ$1048576"), MATCH(W$1, JulR!$6:$6, 0), FALSE),
            0
        ) +
        IFERROR(
            VLOOKUP($A83, INDIRECT("AgoR!$A$6:$ZZ$1048576"), MATCH(W$1, AgoR!$6:$6, 0), FALSE),
            0
        ) +
        IFERROR(
            VLOOKUP($A83, INDIRECT("SepR!$A$6:$ZZ$1048576"), MATCH(W$1, SepR!$6:$6, 0), FALSE),
            0
        ) +
        IFERROR(
            VLOOKUP($A83, INDIRECT("OctR!$A$6:$ZZ$1048576"), MATCH(W$1, OctR!$6:$6, 0), FALSE),
            0
        ) +
        IFERROR(
            VLOOKUP($A83, INDIRECT("NovR!$A$6:$ZZ$1048576"), MATCH(W$1, NovR!$6:$6, 0), FALSE),
            0
        ) +
        IFERROR(
            VLOOKUP($A83, INDIRECT("DicR!$A$6:$ZZ$1048576"), MATCH(W$1, DicR!$6:$6, 0), FALSE),
            0
        )
)</f>
        <v>0</v>
      </c>
      <c r="X83" s="36">
        <f t="array" ref="X83">SUM(
    IFERROR(
            VLOOKUP($A83, INDIRECT("EneR!$A$6:$ZZ$1048576"), MATCH(X$1, EneR!$6:$6, 0), FALSE),
            0
        ) +
        IFERROR(
            VLOOKUP($A83, INDIRECT("FebR!$A$6:$ZZ$1048576"), MATCH(X$1, FebR!$6:$6, 0), FALSE),
            0
        ) +
        IFERROR(
            VLOOKUP($A83, INDIRECT("MarR!$A$6:$ZZ$1048576"), MATCH(X$1, MarR!$6:$6, 0), FALSE),
            0
        ) +
        IFERROR(
            VLOOKUP($A83, INDIRECT("AbrR!$A$6:$ZZ$1048576"), MATCH(X$1, AbrR!$6:$6, 0), FALSE),
            0
        ) +
        IFERROR(
            VLOOKUP($A83, INDIRECT("MayR!$A$6:$ZZ$1048576"), MATCH(X$1, MayR!$6:$6, 0), FALSE),
            0
        ) +
        IFERROR(
            VLOOKUP($A83, INDIRECT("JunR!$A$6:$ZZ$1048576"), MATCH(X$1, JunR!$6:$6, 0), FALSE),
            0
        ) +
        IFERROR(
            VLOOKUP($A83, INDIRECT("JulR!$A$6:$ZZ$1048576"), MATCH(X$1, JulR!$6:$6, 0), FALSE),
            0
        ) +
        IFERROR(
            VLOOKUP($A83, INDIRECT("AgoR!$A$6:$ZZ$1048576"), MATCH(X$1, AgoR!$6:$6, 0), FALSE),
            0
        ) +
        IFERROR(
            VLOOKUP($A83, INDIRECT("SepR!$A$6:$ZZ$1048576"), MATCH(X$1, SepR!$6:$6, 0), FALSE),
            0
        ) +
        IFERROR(
            VLOOKUP($A83, INDIRECT("OctR!$A$6:$ZZ$1048576"), MATCH(X$1, OctR!$6:$6, 0), FALSE),
            0
        ) +
        IFERROR(
            VLOOKUP($A83, INDIRECT("NovR!$A$6:$ZZ$1048576"), MATCH(X$1, NovR!$6:$6, 0), FALSE),
            0
        ) +
        IFERROR(
            VLOOKUP($A83, INDIRECT("DicR!$A$6:$ZZ$1048576"), MATCH(X$1, DicR!$6:$6, 0), FALSE),
            0
        )
)</f>
        <v>0</v>
      </c>
      <c r="Y83" s="37">
        <f t="array" ref="Y83">SUM(
    IFERROR(
            VLOOKUP($A83, INDIRECT("EneR!$A$6:$ZZ$1048576"), MATCH(Y$1, EneR!$6:$6, 0), FALSE),
            0
        ) +
        IFERROR(
            VLOOKUP($A83, INDIRECT("FebR!$A$6:$ZZ$1048576"), MATCH(Y$1, FebR!$6:$6, 0), FALSE),
            0
        ) +
        IFERROR(
            VLOOKUP($A83, INDIRECT("MarR!$A$6:$ZZ$1048576"), MATCH(Y$1, MarR!$6:$6, 0), FALSE),
            0
        ) +
        IFERROR(
            VLOOKUP($A83, INDIRECT("AbrR!$A$6:$ZZ$1048576"), MATCH(Y$1, AbrR!$6:$6, 0), FALSE),
            0
        ) +
        IFERROR(
            VLOOKUP($A83, INDIRECT("MayR!$A$6:$ZZ$1048576"), MATCH(Y$1, MayR!$6:$6, 0), FALSE),
            0
        ) +
        IFERROR(
            VLOOKUP($A83, INDIRECT("JunR!$A$6:$ZZ$1048576"), MATCH(Y$1, JunR!$6:$6, 0), FALSE),
            0
        ) +
        IFERROR(
            VLOOKUP($A83, INDIRECT("JulR!$A$6:$ZZ$1048576"), MATCH(Y$1, JulR!$6:$6, 0), FALSE),
            0
        ) +
        IFERROR(
            VLOOKUP($A83, INDIRECT("AgoR!$A$6:$ZZ$1048576"), MATCH(Y$1, AgoR!$6:$6, 0), FALSE),
            0
        ) +
        IFERROR(
            VLOOKUP($A83, INDIRECT("SepR!$A$6:$ZZ$1048576"), MATCH(Y$1, SepR!$6:$6, 0), FALSE),
            0
        ) +
        IFERROR(
            VLOOKUP($A83, INDIRECT("OctR!$A$6:$ZZ$1048576"), MATCH(Y$1, OctR!$6:$6, 0), FALSE),
            0
        ) +
        IFERROR(
            VLOOKUP($A83, INDIRECT("NovR!$A$6:$ZZ$1048576"), MATCH(Y$1, NovR!$6:$6, 0), FALSE),
            0
        ) +
        IFERROR(
            VLOOKUP($A83, INDIRECT("DicR!$A$6:$ZZ$1048576"), MATCH(Y$1, DicR!$6:$6, 0), FALSE),
            0
        )
)</f>
        <v>0</v>
      </c>
      <c r="Z83" s="36">
        <f t="array" ref="Z83">SUM(
    IFERROR(
            VLOOKUP($A83, INDIRECT("EneR!$A$6:$ZZ$1048576"), MATCH(Z$1, EneR!$6:$6, 0), FALSE),
            0
        ) +
        IFERROR(
            VLOOKUP($A83, INDIRECT("FebR!$A$6:$ZZ$1048576"), MATCH(Z$1, FebR!$6:$6, 0), FALSE),
            0
        ) +
        IFERROR(
            VLOOKUP($A83, INDIRECT("MarR!$A$6:$ZZ$1048576"), MATCH(Z$1, MarR!$6:$6, 0), FALSE),
            0
        ) +
        IFERROR(
            VLOOKUP($A83, INDIRECT("AbrR!$A$6:$ZZ$1048576"), MATCH(Z$1, AbrR!$6:$6, 0), FALSE),
            0
        ) +
        IFERROR(
            VLOOKUP($A83, INDIRECT("MayR!$A$6:$ZZ$1048576"), MATCH(Z$1, MayR!$6:$6, 0), FALSE),
            0
        ) +
        IFERROR(
            VLOOKUP($A83, INDIRECT("JunR!$A$6:$ZZ$1048576"), MATCH(Z$1, JunR!$6:$6, 0), FALSE),
            0
        ) +
        IFERROR(
            VLOOKUP($A83, INDIRECT("JulR!$A$6:$ZZ$1048576"), MATCH(Z$1, JulR!$6:$6, 0), FALSE),
            0
        ) +
        IFERROR(
            VLOOKUP($A83, INDIRECT("AgoR!$A$6:$ZZ$1048576"), MATCH(Z$1, AgoR!$6:$6, 0), FALSE),
            0
        ) +
        IFERROR(
            VLOOKUP($A83, INDIRECT("SepR!$A$6:$ZZ$1048576"), MATCH(Z$1, SepR!$6:$6, 0), FALSE),
            0
        ) +
        IFERROR(
            VLOOKUP($A83, INDIRECT("OctR!$A$6:$ZZ$1048576"), MATCH(Z$1, OctR!$6:$6, 0), FALSE),
            0
        ) +
        IFERROR(
            VLOOKUP($A83, INDIRECT("NovR!$A$6:$ZZ$1048576"), MATCH(Z$1, NovR!$6:$6, 0), FALSE),
            0
        ) +
        IFERROR(
            VLOOKUP($A83, INDIRECT("DicR!$A$6:$ZZ$1048576"), MATCH(Z$1, DicR!$6:$6, 0), FALSE),
            0
        )
)</f>
        <v>0</v>
      </c>
      <c r="AA83" s="37">
        <f t="array" ref="AA83">SUM(
    IFERROR(
            VLOOKUP($A83, INDIRECT("EneR!$A$6:$ZZ$1048576"), MATCH(AA$1, EneR!$6:$6, 0), FALSE),
            0
        ) +
        IFERROR(
            VLOOKUP($A83, INDIRECT("FebR!$A$6:$ZZ$1048576"), MATCH(AA$1, FebR!$6:$6, 0), FALSE),
            0
        ) +
        IFERROR(
            VLOOKUP($A83, INDIRECT("MarR!$A$6:$ZZ$1048576"), MATCH(AA$1, MarR!$6:$6, 0), FALSE),
            0
        ) +
        IFERROR(
            VLOOKUP($A83, INDIRECT("AbrR!$A$6:$ZZ$1048576"), MATCH(AA$1, AbrR!$6:$6, 0), FALSE),
            0
        ) +
        IFERROR(
            VLOOKUP($A83, INDIRECT("MayR!$A$6:$ZZ$1048576"), MATCH(AA$1, MayR!$6:$6, 0), FALSE),
            0
        ) +
        IFERROR(
            VLOOKUP($A83, INDIRECT("JunR!$A$6:$ZZ$1048576"), MATCH(AA$1, JunR!$6:$6, 0), FALSE),
            0
        ) +
        IFERROR(
            VLOOKUP($A83, INDIRECT("JulR!$A$6:$ZZ$1048576"), MATCH(AA$1, JulR!$6:$6, 0), FALSE),
            0
        ) +
        IFERROR(
            VLOOKUP($A83, INDIRECT("AgoR!$A$6:$ZZ$1048576"), MATCH(AA$1, AgoR!$6:$6, 0), FALSE),
            0
        ) +
        IFERROR(
            VLOOKUP($A83, INDIRECT("SepR!$A$6:$ZZ$1048576"), MATCH(AA$1, SepR!$6:$6, 0), FALSE),
            0
        ) +
        IFERROR(
            VLOOKUP($A83, INDIRECT("OctR!$A$6:$ZZ$1048576"), MATCH(AA$1, OctR!$6:$6, 0), FALSE),
            0
        ) +
        IFERROR(
            VLOOKUP($A83, INDIRECT("NovR!$A$6:$ZZ$1048576"), MATCH(AA$1, NovR!$6:$6, 0), FALSE),
            0
        ) +
        IFERROR(
            VLOOKUP($A83, INDIRECT("DicR!$A$6:$ZZ$1048576"), MATCH(AA$1, DicR!$6:$6, 0), FALSE),
            0
        )
)</f>
        <v>0</v>
      </c>
      <c r="AB83" s="36">
        <f t="array" ref="AB83">SUM(
    IFERROR(
            VLOOKUP($A83, INDIRECT("EneR!$A$6:$ZZ$1048576"), MATCH(AB$1, EneR!$6:$6, 0), FALSE),
            0
        ) +
        IFERROR(
            VLOOKUP($A83, INDIRECT("FebR!$A$6:$ZZ$1048576"), MATCH(AB$1, FebR!$6:$6, 0), FALSE),
            0
        ) +
        IFERROR(
            VLOOKUP($A83, INDIRECT("MarR!$A$6:$ZZ$1048576"), MATCH(AB$1, MarR!$6:$6, 0), FALSE),
            0
        ) +
        IFERROR(
            VLOOKUP($A83, INDIRECT("AbrR!$A$6:$ZZ$1048576"), MATCH(AB$1, AbrR!$6:$6, 0), FALSE),
            0
        ) +
        IFERROR(
            VLOOKUP($A83, INDIRECT("MayR!$A$6:$ZZ$1048576"), MATCH(AB$1, MayR!$6:$6, 0), FALSE),
            0
        ) +
        IFERROR(
            VLOOKUP($A83, INDIRECT("JunR!$A$6:$ZZ$1048576"), MATCH(AB$1, JunR!$6:$6, 0), FALSE),
            0
        ) +
        IFERROR(
            VLOOKUP($A83, INDIRECT("JulR!$A$6:$ZZ$1048576"), MATCH(AB$1, JulR!$6:$6, 0), FALSE),
            0
        ) +
        IFERROR(
            VLOOKUP($A83, INDIRECT("AgoR!$A$6:$ZZ$1048576"), MATCH(AB$1, AgoR!$6:$6, 0), FALSE),
            0
        ) +
        IFERROR(
            VLOOKUP($A83, INDIRECT("SepR!$A$6:$ZZ$1048576"), MATCH(AB$1, SepR!$6:$6, 0), FALSE),
            0
        ) +
        IFERROR(
            VLOOKUP($A83, INDIRECT("OctR!$A$6:$ZZ$1048576"), MATCH(AB$1, OctR!$6:$6, 0), FALSE),
            0
        ) +
        IFERROR(
            VLOOKUP($A83, INDIRECT("NovR!$A$6:$ZZ$1048576"), MATCH(AB$1, NovR!$6:$6, 0), FALSE),
            0
        ) +
        IFERROR(
            VLOOKUP($A83, INDIRECT("DicR!$A$6:$ZZ$1048576"), MATCH(AB$1, DicR!$6:$6, 0), FALSE),
            0
        )
)</f>
        <v>0</v>
      </c>
      <c r="AC83" s="37">
        <f t="array" ref="AC83">SUM(
    IFERROR(
            VLOOKUP($A83, INDIRECT("EneR!$A$6:$ZZ$1048576"), MATCH(AC$1, EneR!$6:$6, 0), FALSE),
            0
        ) +
        IFERROR(
            VLOOKUP($A83, INDIRECT("FebR!$A$6:$ZZ$1048576"), MATCH(AC$1, FebR!$6:$6, 0), FALSE),
            0
        ) +
        IFERROR(
            VLOOKUP($A83, INDIRECT("MarR!$A$6:$ZZ$1048576"), MATCH(AC$1, MarR!$6:$6, 0), FALSE),
            0
        ) +
        IFERROR(
            VLOOKUP($A83, INDIRECT("AbrR!$A$6:$ZZ$1048576"), MATCH(AC$1, AbrR!$6:$6, 0), FALSE),
            0
        ) +
        IFERROR(
            VLOOKUP($A83, INDIRECT("MayR!$A$6:$ZZ$1048576"), MATCH(AC$1, MayR!$6:$6, 0), FALSE),
            0
        ) +
        IFERROR(
            VLOOKUP($A83, INDIRECT("JunR!$A$6:$ZZ$1048576"), MATCH(AC$1, JunR!$6:$6, 0), FALSE),
            0
        ) +
        IFERROR(
            VLOOKUP($A83, INDIRECT("JulR!$A$6:$ZZ$1048576"), MATCH(AC$1, JulR!$6:$6, 0), FALSE),
            0
        ) +
        IFERROR(
            VLOOKUP($A83, INDIRECT("AgoR!$A$6:$ZZ$1048576"), MATCH(AC$1, AgoR!$6:$6, 0), FALSE),
            0
        ) +
        IFERROR(
            VLOOKUP($A83, INDIRECT("SepR!$A$6:$ZZ$1048576"), MATCH(AC$1, SepR!$6:$6, 0), FALSE),
            0
        ) +
        IFERROR(
            VLOOKUP($A83, INDIRECT("OctR!$A$6:$ZZ$1048576"), MATCH(AC$1, OctR!$6:$6, 0), FALSE),
            0
        ) +
        IFERROR(
            VLOOKUP($A83, INDIRECT("NovR!$A$6:$ZZ$1048576"), MATCH(AC$1, NovR!$6:$6, 0), FALSE),
            0
        ) +
        IFERROR(
            VLOOKUP($A83, INDIRECT("DicR!$A$6:$ZZ$1048576"), MATCH(AC$1, DicR!$6:$6, 0), FALSE),
            0
        )
)</f>
        <v>0</v>
      </c>
      <c r="AD83" s="36">
        <f t="array" ref="AD83">SUM(
    IFERROR(
            VLOOKUP($A83, INDIRECT("EneR!$A$6:$ZZ$1048576"), MATCH(AD$1, EneR!$6:$6, 0), FALSE),
            0
        ) +
        IFERROR(
            VLOOKUP($A83, INDIRECT("FebR!$A$6:$ZZ$1048576"), MATCH(AD$1, FebR!$6:$6, 0), FALSE),
            0
        ) +
        IFERROR(
            VLOOKUP($A83, INDIRECT("MarR!$A$6:$ZZ$1048576"), MATCH(AD$1, MarR!$6:$6, 0), FALSE),
            0
        ) +
        IFERROR(
            VLOOKUP($A83, INDIRECT("AbrR!$A$6:$ZZ$1048576"), MATCH(AD$1, AbrR!$6:$6, 0), FALSE),
            0
        ) +
        IFERROR(
            VLOOKUP($A83, INDIRECT("MayR!$A$6:$ZZ$1048576"), MATCH(AD$1, MayR!$6:$6, 0), FALSE),
            0
        ) +
        IFERROR(
            VLOOKUP($A83, INDIRECT("JunR!$A$6:$ZZ$1048576"), MATCH(AD$1, JunR!$6:$6, 0), FALSE),
            0
        ) +
        IFERROR(
            VLOOKUP($A83, INDIRECT("JulR!$A$6:$ZZ$1048576"), MATCH(AD$1, JulR!$6:$6, 0), FALSE),
            0
        ) +
        IFERROR(
            VLOOKUP($A83, INDIRECT("AgoR!$A$6:$ZZ$1048576"), MATCH(AD$1, AgoR!$6:$6, 0), FALSE),
            0
        ) +
        IFERROR(
            VLOOKUP($A83, INDIRECT("SepR!$A$6:$ZZ$1048576"), MATCH(AD$1, SepR!$6:$6, 0), FALSE),
            0
        ) +
        IFERROR(
            VLOOKUP($A83, INDIRECT("OctR!$A$6:$ZZ$1048576"), MATCH(AD$1, OctR!$6:$6, 0), FALSE),
            0
        ) +
        IFERROR(
            VLOOKUP($A83, INDIRECT("NovR!$A$6:$ZZ$1048576"), MATCH(AD$1, NovR!$6:$6, 0), FALSE),
            0
        ) +
        IFERROR(
            VLOOKUP($A83, INDIRECT("DicR!$A$6:$ZZ$1048576"), MATCH(AD$1, DicR!$6:$6, 0), FALSE),
            0
        )
)</f>
        <v>0</v>
      </c>
      <c r="AE83" s="37">
        <f t="array" ref="AE83">SUM(
    IFERROR(
            VLOOKUP($A83, INDIRECT("EneR!$A$6:$ZZ$1048576"), MATCH(AE$1, EneR!$6:$6, 0), FALSE),
            0
        ) +
        IFERROR(
            VLOOKUP($A83, INDIRECT("FebR!$A$6:$ZZ$1048576"), MATCH(AE$1, FebR!$6:$6, 0), FALSE),
            0
        ) +
        IFERROR(
            VLOOKUP($A83, INDIRECT("MarR!$A$6:$ZZ$1048576"), MATCH(AE$1, MarR!$6:$6, 0), FALSE),
            0
        ) +
        IFERROR(
            VLOOKUP($A83, INDIRECT("AbrR!$A$6:$ZZ$1048576"), MATCH(AE$1, AbrR!$6:$6, 0), FALSE),
            0
        ) +
        IFERROR(
            VLOOKUP($A83, INDIRECT("MayR!$A$6:$ZZ$1048576"), MATCH(AE$1, MayR!$6:$6, 0), FALSE),
            0
        ) +
        IFERROR(
            VLOOKUP($A83, INDIRECT("JunR!$A$6:$ZZ$1048576"), MATCH(AE$1, JunR!$6:$6, 0), FALSE),
            0
        ) +
        IFERROR(
            VLOOKUP($A83, INDIRECT("JulR!$A$6:$ZZ$1048576"), MATCH(AE$1, JulR!$6:$6, 0), FALSE),
            0
        ) +
        IFERROR(
            VLOOKUP($A83, INDIRECT("AgoR!$A$6:$ZZ$1048576"), MATCH(AE$1, AgoR!$6:$6, 0), FALSE),
            0
        ) +
        IFERROR(
            VLOOKUP($A83, INDIRECT("SepR!$A$6:$ZZ$1048576"), MATCH(AE$1, SepR!$6:$6, 0), FALSE),
            0
        ) +
        IFERROR(
            VLOOKUP($A83, INDIRECT("OctR!$A$6:$ZZ$1048576"), MATCH(AE$1, OctR!$6:$6, 0), FALSE),
            0
        ) +
        IFERROR(
            VLOOKUP($A83, INDIRECT("NovR!$A$6:$ZZ$1048576"), MATCH(AE$1, NovR!$6:$6, 0), FALSE),
            0
        ) +
        IFERROR(
            VLOOKUP($A83, INDIRECT("DicR!$A$6:$ZZ$1048576"), MATCH(AE$1, DicR!$6:$6, 0), FALSE),
            0
        )
)</f>
        <v>0</v>
      </c>
      <c r="AF83" s="36">
        <f t="array" ref="AF83">SUM(
    IFERROR(
            VLOOKUP($A83, INDIRECT("EneR!$A$6:$ZZ$1048576"), MATCH(AF$1, EneR!$6:$6, 0), FALSE),
            0
        ) +
        IFERROR(
            VLOOKUP($A83, INDIRECT("FebR!$A$6:$ZZ$1048576"), MATCH(AF$1, FebR!$6:$6, 0), FALSE),
            0
        ) +
        IFERROR(
            VLOOKUP($A83, INDIRECT("MarR!$A$6:$ZZ$1048576"), MATCH(AF$1, MarR!$6:$6, 0), FALSE),
            0
        ) +
        IFERROR(
            VLOOKUP($A83, INDIRECT("AbrR!$A$6:$ZZ$1048576"), MATCH(AF$1, AbrR!$6:$6, 0), FALSE),
            0
        ) +
        IFERROR(
            VLOOKUP($A83, INDIRECT("MayR!$A$6:$ZZ$1048576"), MATCH(AF$1, MayR!$6:$6, 0), FALSE),
            0
        ) +
        IFERROR(
            VLOOKUP($A83, INDIRECT("JunR!$A$6:$ZZ$1048576"), MATCH(AF$1, JunR!$6:$6, 0), FALSE),
            0
        ) +
        IFERROR(
            VLOOKUP($A83, INDIRECT("JulR!$A$6:$ZZ$1048576"), MATCH(AF$1, JulR!$6:$6, 0), FALSE),
            0
        ) +
        IFERROR(
            VLOOKUP($A83, INDIRECT("AgoR!$A$6:$ZZ$1048576"), MATCH(AF$1, AgoR!$6:$6, 0), FALSE),
            0
        ) +
        IFERROR(
            VLOOKUP($A83, INDIRECT("SepR!$A$6:$ZZ$1048576"), MATCH(AF$1, SepR!$6:$6, 0), FALSE),
            0
        ) +
        IFERROR(
            VLOOKUP($A83, INDIRECT("OctR!$A$6:$ZZ$1048576"), MATCH(AF$1, OctR!$6:$6, 0), FALSE),
            0
        ) +
        IFERROR(
            VLOOKUP($A83, INDIRECT("NovR!$A$6:$ZZ$1048576"), MATCH(AF$1, NovR!$6:$6, 0), FALSE),
            0
        ) +
        IFERROR(
            VLOOKUP($A83, INDIRECT("DicR!$A$6:$ZZ$1048576"), MATCH(AF$1, DicR!$6:$6, 0), FALSE),
            0
        )
)</f>
        <v>0</v>
      </c>
      <c r="AG83" s="37">
        <f t="array" ref="AG83">SUM(
    IFERROR(
            VLOOKUP($A83, INDIRECT("EneR!$A$6:$ZZ$1048576"), MATCH(AG$1, EneR!$6:$6, 0), FALSE),
            0
        ) +
        IFERROR(
            VLOOKUP($A83, INDIRECT("FebR!$A$6:$ZZ$1048576"), MATCH(AG$1, FebR!$6:$6, 0), FALSE),
            0
        ) +
        IFERROR(
            VLOOKUP($A83, INDIRECT("MarR!$A$6:$ZZ$1048576"), MATCH(AG$1, MarR!$6:$6, 0), FALSE),
            0
        ) +
        IFERROR(
            VLOOKUP($A83, INDIRECT("AbrR!$A$6:$ZZ$1048576"), MATCH(AG$1, AbrR!$6:$6, 0), FALSE),
            0
        ) +
        IFERROR(
            VLOOKUP($A83, INDIRECT("MayR!$A$6:$ZZ$1048576"), MATCH(AG$1, MayR!$6:$6, 0), FALSE),
            0
        ) +
        IFERROR(
            VLOOKUP($A83, INDIRECT("JunR!$A$6:$ZZ$1048576"), MATCH(AG$1, JunR!$6:$6, 0), FALSE),
            0
        ) +
        IFERROR(
            VLOOKUP($A83, INDIRECT("JulR!$A$6:$ZZ$1048576"), MATCH(AG$1, JulR!$6:$6, 0), FALSE),
            0
        ) +
        IFERROR(
            VLOOKUP($A83, INDIRECT("AgoR!$A$6:$ZZ$1048576"), MATCH(AG$1, AgoR!$6:$6, 0), FALSE),
            0
        ) +
        IFERROR(
            VLOOKUP($A83, INDIRECT("SepR!$A$6:$ZZ$1048576"), MATCH(AG$1, SepR!$6:$6, 0), FALSE),
            0
        ) +
        IFERROR(
            VLOOKUP($A83, INDIRECT("OctR!$A$6:$ZZ$1048576"), MATCH(AG$1, OctR!$6:$6, 0), FALSE),
            0
        ) +
        IFERROR(
            VLOOKUP($A83, INDIRECT("NovR!$A$6:$ZZ$1048576"), MATCH(AG$1, NovR!$6:$6, 0), FALSE),
            0
        ) +
        IFERROR(
            VLOOKUP($A83, INDIRECT("DicR!$A$6:$ZZ$1048576"), MATCH(AG$1, DicR!$6:$6, 0), FALSE),
            0
        )
)</f>
        <v>0</v>
      </c>
      <c r="AH83" s="36">
        <f t="array" ref="AH83">SUM(
    IFERROR(
            VLOOKUP($A83, INDIRECT("EneR!$A$6:$ZZ$1048576"), MATCH(AH$1, EneR!$6:$6, 0), FALSE),
            0
        ) +
        IFERROR(
            VLOOKUP($A83, INDIRECT("FebR!$A$6:$ZZ$1048576"), MATCH(AH$1, FebR!$6:$6, 0), FALSE),
            0
        ) +
        IFERROR(
            VLOOKUP($A83, INDIRECT("MarR!$A$6:$ZZ$1048576"), MATCH(AH$1, MarR!$6:$6, 0), FALSE),
            0
        ) +
        IFERROR(
            VLOOKUP($A83, INDIRECT("AbrR!$A$6:$ZZ$1048576"), MATCH(AH$1, AbrR!$6:$6, 0), FALSE),
            0
        ) +
        IFERROR(
            VLOOKUP($A83, INDIRECT("MayR!$A$6:$ZZ$1048576"), MATCH(AH$1, MayR!$6:$6, 0), FALSE),
            0
        ) +
        IFERROR(
            VLOOKUP($A83, INDIRECT("JunR!$A$6:$ZZ$1048576"), MATCH(AH$1, JunR!$6:$6, 0), FALSE),
            0
        ) +
        IFERROR(
            VLOOKUP($A83, INDIRECT("JulR!$A$6:$ZZ$1048576"), MATCH(AH$1, JulR!$6:$6, 0), FALSE),
            0
        ) +
        IFERROR(
            VLOOKUP($A83, INDIRECT("AgoR!$A$6:$ZZ$1048576"), MATCH(AH$1, AgoR!$6:$6, 0), FALSE),
            0
        ) +
        IFERROR(
            VLOOKUP($A83, INDIRECT("SepR!$A$6:$ZZ$1048576"), MATCH(AH$1, SepR!$6:$6, 0), FALSE),
            0
        ) +
        IFERROR(
            VLOOKUP($A83, INDIRECT("OctR!$A$6:$ZZ$1048576"), MATCH(AH$1, OctR!$6:$6, 0), FALSE),
            0
        ) +
        IFERROR(
            VLOOKUP($A83, INDIRECT("NovR!$A$6:$ZZ$1048576"), MATCH(AH$1, NovR!$6:$6, 0), FALSE),
            0
        ) +
        IFERROR(
            VLOOKUP($A83, INDIRECT("DicR!$A$6:$ZZ$1048576"), MATCH(AH$1, DicR!$6:$6, 0), FALSE),
            0
        )
)</f>
        <v>0</v>
      </c>
      <c r="AI83" s="37">
        <f t="array" ref="AI83">SUM(
    IFERROR(
            VLOOKUP($A83, INDIRECT("EneR!$A$6:$ZZ$1048576"), MATCH(AI$1, EneR!$6:$6, 0), FALSE),
            0
        ) +
        IFERROR(
            VLOOKUP($A83, INDIRECT("FebR!$A$6:$ZZ$1048576"), MATCH(AI$1, FebR!$6:$6, 0), FALSE),
            0
        ) +
        IFERROR(
            VLOOKUP($A83, INDIRECT("MarR!$A$6:$ZZ$1048576"), MATCH(AI$1, MarR!$6:$6, 0), FALSE),
            0
        ) +
        IFERROR(
            VLOOKUP($A83, INDIRECT("AbrR!$A$6:$ZZ$1048576"), MATCH(AI$1, AbrR!$6:$6, 0), FALSE),
            0
        ) +
        IFERROR(
            VLOOKUP($A83, INDIRECT("MayR!$A$6:$ZZ$1048576"), MATCH(AI$1, MayR!$6:$6, 0), FALSE),
            0
        ) +
        IFERROR(
            VLOOKUP($A83, INDIRECT("JunR!$A$6:$ZZ$1048576"), MATCH(AI$1, JunR!$6:$6, 0), FALSE),
            0
        ) +
        IFERROR(
            VLOOKUP($A83, INDIRECT("JulR!$A$6:$ZZ$1048576"), MATCH(AI$1, JulR!$6:$6, 0), FALSE),
            0
        ) +
        IFERROR(
            VLOOKUP($A83, INDIRECT("AgoR!$A$6:$ZZ$1048576"), MATCH(AI$1, AgoR!$6:$6, 0), FALSE),
            0
        ) +
        IFERROR(
            VLOOKUP($A83, INDIRECT("SepR!$A$6:$ZZ$1048576"), MATCH(AI$1, SepR!$6:$6, 0), FALSE),
            0
        ) +
        IFERROR(
            VLOOKUP($A83, INDIRECT("OctR!$A$6:$ZZ$1048576"), MATCH(AI$1, OctR!$6:$6, 0), FALSE),
            0
        ) +
        IFERROR(
            VLOOKUP($A83, INDIRECT("NovR!$A$6:$ZZ$1048576"), MATCH(AI$1, NovR!$6:$6, 0), FALSE),
            0
        ) +
        IFERROR(
            VLOOKUP($A83, INDIRECT("DicR!$A$6:$ZZ$1048576"), MATCH(AI$1, DicR!$6:$6, 0), FALSE),
            0
        )
)</f>
        <v>0</v>
      </c>
      <c r="AJ83" s="36">
        <f t="array" ref="AJ83">SUM(
    IFERROR(
            VLOOKUP($A83, INDIRECT("EneR!$A$6:$ZZ$1048576"), MATCH(AJ$1, EneR!$6:$6, 0), FALSE),
            0
        ) +
        IFERROR(
            VLOOKUP($A83, INDIRECT("FebR!$A$6:$ZZ$1048576"), MATCH(AJ$1, FebR!$6:$6, 0), FALSE),
            0
        ) +
        IFERROR(
            VLOOKUP($A83, INDIRECT("MarR!$A$6:$ZZ$1048576"), MATCH(AJ$1, MarR!$6:$6, 0), FALSE),
            0
        ) +
        IFERROR(
            VLOOKUP($A83, INDIRECT("AbrR!$A$6:$ZZ$1048576"), MATCH(AJ$1, AbrR!$6:$6, 0), FALSE),
            0
        ) +
        IFERROR(
            VLOOKUP($A83, INDIRECT("MayR!$A$6:$ZZ$1048576"), MATCH(AJ$1, MayR!$6:$6, 0), FALSE),
            0
        ) +
        IFERROR(
            VLOOKUP($A83, INDIRECT("JunR!$A$6:$ZZ$1048576"), MATCH(AJ$1, JunR!$6:$6, 0), FALSE),
            0
        ) +
        IFERROR(
            VLOOKUP($A83, INDIRECT("JulR!$A$6:$ZZ$1048576"), MATCH(AJ$1, JulR!$6:$6, 0), FALSE),
            0
        ) +
        IFERROR(
            VLOOKUP($A83, INDIRECT("AgoR!$A$6:$ZZ$1048576"), MATCH(AJ$1, AgoR!$6:$6, 0), FALSE),
            0
        ) +
        IFERROR(
            VLOOKUP($A83, INDIRECT("SepR!$A$6:$ZZ$1048576"), MATCH(AJ$1, SepR!$6:$6, 0), FALSE),
            0
        ) +
        IFERROR(
            VLOOKUP($A83, INDIRECT("OctR!$A$6:$ZZ$1048576"), MATCH(AJ$1, OctR!$6:$6, 0), FALSE),
            0
        ) +
        IFERROR(
            VLOOKUP($A83, INDIRECT("NovR!$A$6:$ZZ$1048576"), MATCH(AJ$1, NovR!$6:$6, 0), FALSE),
            0
        ) +
        IFERROR(
            VLOOKUP($A83, INDIRECT("DicR!$A$6:$ZZ$1048576"), MATCH(AJ$1, DicR!$6:$6, 0), FALSE),
            0
        )
)</f>
        <v>0</v>
      </c>
      <c r="AK83" s="37">
        <f t="array" ref="AK83">SUM(
    IFERROR(
            VLOOKUP($A83, INDIRECT("EneR!$A$6:$ZZ$1048576"), MATCH(AK$1, EneR!$6:$6, 0), FALSE),
            0
        ) +
        IFERROR(
            VLOOKUP($A83, INDIRECT("FebR!$A$6:$ZZ$1048576"), MATCH(AK$1, FebR!$6:$6, 0), FALSE),
            0
        ) +
        IFERROR(
            VLOOKUP($A83, INDIRECT("MarR!$A$6:$ZZ$1048576"), MATCH(AK$1, MarR!$6:$6, 0), FALSE),
            0
        ) +
        IFERROR(
            VLOOKUP($A83, INDIRECT("AbrR!$A$6:$ZZ$1048576"), MATCH(AK$1, AbrR!$6:$6, 0), FALSE),
            0
        ) +
        IFERROR(
            VLOOKUP($A83, INDIRECT("MayR!$A$6:$ZZ$1048576"), MATCH(AK$1, MayR!$6:$6, 0), FALSE),
            0
        ) +
        IFERROR(
            VLOOKUP($A83, INDIRECT("JunR!$A$6:$ZZ$1048576"), MATCH(AK$1, JunR!$6:$6, 0), FALSE),
            0
        ) +
        IFERROR(
            VLOOKUP($A83, INDIRECT("JulR!$A$6:$ZZ$1048576"), MATCH(AK$1, JulR!$6:$6, 0), FALSE),
            0
        ) +
        IFERROR(
            VLOOKUP($A83, INDIRECT("AgoR!$A$6:$ZZ$1048576"), MATCH(AK$1, AgoR!$6:$6, 0), FALSE),
            0
        ) +
        IFERROR(
            VLOOKUP($A83, INDIRECT("SepR!$A$6:$ZZ$1048576"), MATCH(AK$1, SepR!$6:$6, 0), FALSE),
            0
        ) +
        IFERROR(
            VLOOKUP($A83, INDIRECT("OctR!$A$6:$ZZ$1048576"), MATCH(AK$1, OctR!$6:$6, 0), FALSE),
            0
        ) +
        IFERROR(
            VLOOKUP($A83, INDIRECT("NovR!$A$6:$ZZ$1048576"), MATCH(AK$1, NovR!$6:$6, 0), FALSE),
            0
        ) +
        IFERROR(
            VLOOKUP($A83, INDIRECT("DicR!$A$6:$ZZ$1048576"), MATCH(AK$1, DicR!$6:$6, 0), FALSE),
            0
        )
)</f>
        <v>0</v>
      </c>
      <c r="AL83" s="36">
        <f t="array" ref="AL83">SUM(
    IFERROR(
            VLOOKUP($A83, INDIRECT("EneR!$A$6:$ZZ$1048576"), MATCH(AL$1, EneR!$6:$6, 0), FALSE),
            0
        ) +
        IFERROR(
            VLOOKUP($A83, INDIRECT("FebR!$A$6:$ZZ$1048576"), MATCH(AL$1, FebR!$6:$6, 0), FALSE),
            0
        ) +
        IFERROR(
            VLOOKUP($A83, INDIRECT("MarR!$A$6:$ZZ$1048576"), MATCH(AL$1, MarR!$6:$6, 0), FALSE),
            0
        ) +
        IFERROR(
            VLOOKUP($A83, INDIRECT("AbrR!$A$6:$ZZ$1048576"), MATCH(AL$1, AbrR!$6:$6, 0), FALSE),
            0
        ) +
        IFERROR(
            VLOOKUP($A83, INDIRECT("MayR!$A$6:$ZZ$1048576"), MATCH(AL$1, MayR!$6:$6, 0), FALSE),
            0
        ) +
        IFERROR(
            VLOOKUP($A83, INDIRECT("JunR!$A$6:$ZZ$1048576"), MATCH(AL$1, JunR!$6:$6, 0), FALSE),
            0
        ) +
        IFERROR(
            VLOOKUP($A83, INDIRECT("JulR!$A$6:$ZZ$1048576"), MATCH(AL$1, JulR!$6:$6, 0), FALSE),
            0
        ) +
        IFERROR(
            VLOOKUP($A83, INDIRECT("AgoR!$A$6:$ZZ$1048576"), MATCH(AL$1, AgoR!$6:$6, 0), FALSE),
            0
        ) +
        IFERROR(
            VLOOKUP($A83, INDIRECT("SepR!$A$6:$ZZ$1048576"), MATCH(AL$1, SepR!$6:$6, 0), FALSE),
            0
        ) +
        IFERROR(
            VLOOKUP($A83, INDIRECT("OctR!$A$6:$ZZ$1048576"), MATCH(AL$1, OctR!$6:$6, 0), FALSE),
            0
        ) +
        IFERROR(
            VLOOKUP($A83, INDIRECT("NovR!$A$6:$ZZ$1048576"), MATCH(AL$1, NovR!$6:$6, 0), FALSE),
            0
        ) +
        IFERROR(
            VLOOKUP($A83, INDIRECT("DicR!$A$6:$ZZ$1048576"), MATCH(AL$1, DicR!$6:$6, 0), FALSE),
            0
        )
)</f>
        <v>0</v>
      </c>
      <c r="AM83" s="37">
        <f t="array" ref="AM83">SUM(
    IFERROR(
            VLOOKUP($A83, INDIRECT("EneR!$A$6:$ZZ$1048576"), MATCH(AM$1, EneR!$6:$6, 0), FALSE),
            0
        ) +
        IFERROR(
            VLOOKUP($A83, INDIRECT("FebR!$A$6:$ZZ$1048576"), MATCH(AM$1, FebR!$6:$6, 0), FALSE),
            0
        ) +
        IFERROR(
            VLOOKUP($A83, INDIRECT("MarR!$A$6:$ZZ$1048576"), MATCH(AM$1, MarR!$6:$6, 0), FALSE),
            0
        ) +
        IFERROR(
            VLOOKUP($A83, INDIRECT("AbrR!$A$6:$ZZ$1048576"), MATCH(AM$1, AbrR!$6:$6, 0), FALSE),
            0
        ) +
        IFERROR(
            VLOOKUP($A83, INDIRECT("MayR!$A$6:$ZZ$1048576"), MATCH(AM$1, MayR!$6:$6, 0), FALSE),
            0
        ) +
        IFERROR(
            VLOOKUP($A83, INDIRECT("JunR!$A$6:$ZZ$1048576"), MATCH(AM$1, JunR!$6:$6, 0), FALSE),
            0
        ) +
        IFERROR(
            VLOOKUP($A83, INDIRECT("JulR!$A$6:$ZZ$1048576"), MATCH(AM$1, JulR!$6:$6, 0), FALSE),
            0
        ) +
        IFERROR(
            VLOOKUP($A83, INDIRECT("AgoR!$A$6:$ZZ$1048576"), MATCH(AM$1, AgoR!$6:$6, 0), FALSE),
            0
        ) +
        IFERROR(
            VLOOKUP($A83, INDIRECT("SepR!$A$6:$ZZ$1048576"), MATCH(AM$1, SepR!$6:$6, 0), FALSE),
            0
        ) +
        IFERROR(
            VLOOKUP($A83, INDIRECT("OctR!$A$6:$ZZ$1048576"), MATCH(AM$1, OctR!$6:$6, 0), FALSE),
            0
        ) +
        IFERROR(
            VLOOKUP($A83, INDIRECT("NovR!$A$6:$ZZ$1048576"), MATCH(AM$1, NovR!$6:$6, 0), FALSE),
            0
        ) +
        IFERROR(
            VLOOKUP($A83, INDIRECT("DicR!$A$6:$ZZ$1048576"), MATCH(AM$1, DicR!$6:$6, 0), FALSE),
            0
        )
)</f>
        <v>0</v>
      </c>
      <c r="AN83" s="32">
        <f t="array" ref="AN83">SUM(
    IFERROR(
            VLOOKUP($A83, INDIRECT("EneR!$A$6:$ZZ$1048576"), MATCH(AN$1, EneR!$6:$6, 0), FALSE),
            0
        ) +
        IFERROR(
            VLOOKUP($A83, INDIRECT("FebR!$A$6:$ZZ$1048576"), MATCH(AN$1, FebR!$6:$6, 0), FALSE),
            0
        ) +
        IFERROR(
            VLOOKUP($A83, INDIRECT("MarR!$A$6:$ZZ$1048576"), MATCH(AN$1, MarR!$6:$6, 0), FALSE),
            0
        ) +
        IFERROR(
            VLOOKUP($A83, INDIRECT("AbrR!$A$6:$ZZ$1048576"), MATCH(AN$1, AbrR!$6:$6, 0), FALSE),
            0
        ) +
        IFERROR(
            VLOOKUP($A83, INDIRECT("MayR!$A$6:$ZZ$1048576"), MATCH(AN$1, MayR!$6:$6, 0), FALSE),
            0
        ) +
        IFERROR(
            VLOOKUP($A83, INDIRECT("JunR!$A$6:$ZZ$1048576"), MATCH(AN$1, JunR!$6:$6, 0), FALSE),
            0
        ) +
        IFERROR(
            VLOOKUP($A83, INDIRECT("JulR!$A$6:$ZZ$1048576"), MATCH(AN$1, JulR!$6:$6, 0), FALSE),
            0
        ) +
        IFERROR(
            VLOOKUP($A83, INDIRECT("AgoR!$A$6:$ZZ$1048576"), MATCH(AN$1, AgoR!$6:$6, 0), FALSE),
            0
        ) +
        IFERROR(
            VLOOKUP($A83, INDIRECT("SepR!$A$6:$ZZ$1048576"), MATCH(AN$1, SepR!$6:$6, 0), FALSE),
            0
        ) +
        IFERROR(
            VLOOKUP($A83, INDIRECT("OctR!$A$6:$ZZ$1048576"), MATCH(AN$1, OctR!$6:$6, 0), FALSE),
            0
        ) +
        IFERROR(
            VLOOKUP($A83, INDIRECT("NovR!$A$6:$ZZ$1048576"), MATCH(AN$1, NovR!$6:$6, 0), FALSE),
            0
        ) +
        IFERROR(
            VLOOKUP($A83, INDIRECT("DicR!$A$6:$ZZ$1048576"), MATCH(AN$1, DicR!$6:$6, 0), FALSE),
            0
        )
)</f>
        <v>0</v>
      </c>
      <c r="AO83" s="35">
        <f t="array" ref="AO83">SUM(
    IFERROR(
            VLOOKUP($A83, INDIRECT("EneR!$A$6:$ZZ$1048576"), MATCH(AO$1, EneR!$6:$6, 0), FALSE),
            0
        ) +
        IFERROR(
            VLOOKUP($A83, INDIRECT("FebR!$A$6:$ZZ$1048576"), MATCH(AO$1, FebR!$6:$6, 0), FALSE),
            0
        ) +
        IFERROR(
            VLOOKUP($A83, INDIRECT("MarR!$A$6:$ZZ$1048576"), MATCH(AO$1, MarR!$6:$6, 0), FALSE),
            0
        ) +
        IFERROR(
            VLOOKUP($A83, INDIRECT("AbrR!$A$6:$ZZ$1048576"), MATCH(AO$1, AbrR!$6:$6, 0), FALSE),
            0
        ) +
        IFERROR(
            VLOOKUP($A83, INDIRECT("MayR!$A$6:$ZZ$1048576"), MATCH(AO$1, MayR!$6:$6, 0), FALSE),
            0
        ) +
        IFERROR(
            VLOOKUP($A83, INDIRECT("JunR!$A$6:$ZZ$1048576"), MATCH(AO$1, JunR!$6:$6, 0), FALSE),
            0
        ) +
        IFERROR(
            VLOOKUP($A83, INDIRECT("JulR!$A$6:$ZZ$1048576"), MATCH(AO$1, JulR!$6:$6, 0), FALSE),
            0
        ) +
        IFERROR(
            VLOOKUP($A83, INDIRECT("AgoR!$A$6:$ZZ$1048576"), MATCH(AO$1, AgoR!$6:$6, 0), FALSE),
            0
        ) +
        IFERROR(
            VLOOKUP($A83, INDIRECT("SepR!$A$6:$ZZ$1048576"), MATCH(AO$1, SepR!$6:$6, 0), FALSE),
            0
        ) +
        IFERROR(
            VLOOKUP($A83, INDIRECT("OctR!$A$6:$ZZ$1048576"), MATCH(AO$1, OctR!$6:$6, 0), FALSE),
            0
        ) +
        IFERROR(
            VLOOKUP($A83, INDIRECT("NovR!$A$6:$ZZ$1048576"), MATCH(AO$1, NovR!$6:$6, 0), FALSE),
            0
        ) +
        IFERROR(
            VLOOKUP($A83, INDIRECT("DicR!$A$6:$ZZ$1048576"), MATCH(AO$1, DicR!$6:$6, 0), FALSE),
            0
        )
)</f>
        <v>0</v>
      </c>
      <c r="AP83" s="36">
        <f t="array" ref="AP83">SUM(
    IFERROR(
            VLOOKUP($A83, INDIRECT("EneR!$A$6:$ZZ$1048576"), MATCH(AP$1, EneR!$6:$6, 0), FALSE),
            0
        ) +
        IFERROR(
            VLOOKUP($A83, INDIRECT("FebR!$A$6:$ZZ$1048576"), MATCH(AP$1, FebR!$6:$6, 0), FALSE),
            0
        ) +
        IFERROR(
            VLOOKUP($A83, INDIRECT("MarR!$A$6:$ZZ$1048576"), MATCH(AP$1, MarR!$6:$6, 0), FALSE),
            0
        ) +
        IFERROR(
            VLOOKUP($A83, INDIRECT("AbrR!$A$6:$ZZ$1048576"), MATCH(AP$1, AbrR!$6:$6, 0), FALSE),
            0
        ) +
        IFERROR(
            VLOOKUP($A83, INDIRECT("MayR!$A$6:$ZZ$1048576"), MATCH(AP$1, MayR!$6:$6, 0), FALSE),
            0
        ) +
        IFERROR(
            VLOOKUP($A83, INDIRECT("JunR!$A$6:$ZZ$1048576"), MATCH(AP$1, JunR!$6:$6, 0), FALSE),
            0
        ) +
        IFERROR(
            VLOOKUP($A83, INDIRECT("JulR!$A$6:$ZZ$1048576"), MATCH(AP$1, JulR!$6:$6, 0), FALSE),
            0
        ) +
        IFERROR(
            VLOOKUP($A83, INDIRECT("AgoR!$A$6:$ZZ$1048576"), MATCH(AP$1, AgoR!$6:$6, 0), FALSE),
            0
        ) +
        IFERROR(
            VLOOKUP($A83, INDIRECT("SepR!$A$6:$ZZ$1048576"), MATCH(AP$1, SepR!$6:$6, 0), FALSE),
            0
        ) +
        IFERROR(
            VLOOKUP($A83, INDIRECT("OctR!$A$6:$ZZ$1048576"), MATCH(AP$1, OctR!$6:$6, 0), FALSE),
            0
        ) +
        IFERROR(
            VLOOKUP($A83, INDIRECT("NovR!$A$6:$ZZ$1048576"), MATCH(AP$1, NovR!$6:$6, 0), FALSE),
            0
        ) +
        IFERROR(
            VLOOKUP($A83, INDIRECT("DicR!$A$6:$ZZ$1048576"), MATCH(AP$1, DicR!$6:$6, 0), FALSE),
            0
        )
)</f>
        <v>0</v>
      </c>
      <c r="AQ83" s="35">
        <f t="array" ref="AQ83">SUM(
    IFERROR(
            VLOOKUP($A83, INDIRECT("EneR!$A$6:$ZZ$1048576"), MATCH(AQ$1, EneR!$6:$6, 0), FALSE),
            0
        ) +
        IFERROR(
            VLOOKUP($A83, INDIRECT("FebR!$A$6:$ZZ$1048576"), MATCH(AQ$1, FebR!$6:$6, 0), FALSE),
            0
        ) +
        IFERROR(
            VLOOKUP($A83, INDIRECT("MarR!$A$6:$ZZ$1048576"), MATCH(AQ$1, MarR!$6:$6, 0), FALSE),
            0
        ) +
        IFERROR(
            VLOOKUP($A83, INDIRECT("AbrR!$A$6:$ZZ$1048576"), MATCH(AQ$1, AbrR!$6:$6, 0), FALSE),
            0
        ) +
        IFERROR(
            VLOOKUP($A83, INDIRECT("MayR!$A$6:$ZZ$1048576"), MATCH(AQ$1, MayR!$6:$6, 0), FALSE),
            0
        ) +
        IFERROR(
            VLOOKUP($A83, INDIRECT("JunR!$A$6:$ZZ$1048576"), MATCH(AQ$1, JunR!$6:$6, 0), FALSE),
            0
        ) +
        IFERROR(
            VLOOKUP($A83, INDIRECT("JulR!$A$6:$ZZ$1048576"), MATCH(AQ$1, JulR!$6:$6, 0), FALSE),
            0
        ) +
        IFERROR(
            VLOOKUP($A83, INDIRECT("AgoR!$A$6:$ZZ$1048576"), MATCH(AQ$1, AgoR!$6:$6, 0), FALSE),
            0
        ) +
        IFERROR(
            VLOOKUP($A83, INDIRECT("SepR!$A$6:$ZZ$1048576"), MATCH(AQ$1, SepR!$6:$6, 0), FALSE),
            0
        ) +
        IFERROR(
            VLOOKUP($A83, INDIRECT("OctR!$A$6:$ZZ$1048576"), MATCH(AQ$1, OctR!$6:$6, 0), FALSE),
            0
        ) +
        IFERROR(
            VLOOKUP($A83, INDIRECT("NovR!$A$6:$ZZ$1048576"), MATCH(AQ$1, NovR!$6:$6, 0), FALSE),
            0
        ) +
        IFERROR(
            VLOOKUP($A83, INDIRECT("DicR!$A$6:$ZZ$1048576"), MATCH(AQ$1, DicR!$6:$6, 0), FALSE),
            0
        )
)</f>
        <v>0</v>
      </c>
      <c r="AR83" s="36">
        <f t="array" ref="AR83">SUM(
    IFERROR(
            VLOOKUP($A83, INDIRECT("EneR!$A$6:$ZZ$1048576"), MATCH(AR$1, EneR!$6:$6, 0), FALSE),
            0
        ) +
        IFERROR(
            VLOOKUP($A83, INDIRECT("FebR!$A$6:$ZZ$1048576"), MATCH(AR$1, FebR!$6:$6, 0), FALSE),
            0
        ) +
        IFERROR(
            VLOOKUP($A83, INDIRECT("MarR!$A$6:$ZZ$1048576"), MATCH(AR$1, MarR!$6:$6, 0), FALSE),
            0
        ) +
        IFERROR(
            VLOOKUP($A83, INDIRECT("AbrR!$A$6:$ZZ$1048576"), MATCH(AR$1, AbrR!$6:$6, 0), FALSE),
            0
        ) +
        IFERROR(
            VLOOKUP($A83, INDIRECT("MayR!$A$6:$ZZ$1048576"), MATCH(AR$1, MayR!$6:$6, 0), FALSE),
            0
        ) +
        IFERROR(
            VLOOKUP($A83, INDIRECT("JunR!$A$6:$ZZ$1048576"), MATCH(AR$1, JunR!$6:$6, 0), FALSE),
            0
        ) +
        IFERROR(
            VLOOKUP($A83, INDIRECT("JulR!$A$6:$ZZ$1048576"), MATCH(AR$1, JulR!$6:$6, 0), FALSE),
            0
        ) +
        IFERROR(
            VLOOKUP($A83, INDIRECT("AgoR!$A$6:$ZZ$1048576"), MATCH(AR$1, AgoR!$6:$6, 0), FALSE),
            0
        ) +
        IFERROR(
            VLOOKUP($A83, INDIRECT("SepR!$A$6:$ZZ$1048576"), MATCH(AR$1, SepR!$6:$6, 0), FALSE),
            0
        ) +
        IFERROR(
            VLOOKUP($A83, INDIRECT("OctR!$A$6:$ZZ$1048576"), MATCH(AR$1, OctR!$6:$6, 0), FALSE),
            0
        ) +
        IFERROR(
            VLOOKUP($A83, INDIRECT("NovR!$A$6:$ZZ$1048576"), MATCH(AR$1, NovR!$6:$6, 0), FALSE),
            0
        ) +
        IFERROR(
            VLOOKUP($A83, INDIRECT("DicR!$A$6:$ZZ$1048576"), MATCH(AR$1, DicR!$6:$6, 0), FALSE),
            0
        )
)</f>
        <v>0</v>
      </c>
      <c r="AS83" s="35">
        <f t="array" ref="AS83">SUM(
    IFERROR(
            VLOOKUP($A83, INDIRECT("EneR!$A$6:$ZZ$1048576"), MATCH(AS$1, EneR!$6:$6, 0), FALSE),
            0
        ) +
        IFERROR(
            VLOOKUP($A83, INDIRECT("FebR!$A$6:$ZZ$1048576"), MATCH(AS$1, FebR!$6:$6, 0), FALSE),
            0
        ) +
        IFERROR(
            VLOOKUP($A83, INDIRECT("MarR!$A$6:$ZZ$1048576"), MATCH(AS$1, MarR!$6:$6, 0), FALSE),
            0
        ) +
        IFERROR(
            VLOOKUP($A83, INDIRECT("AbrR!$A$6:$ZZ$1048576"), MATCH(AS$1, AbrR!$6:$6, 0), FALSE),
            0
        ) +
        IFERROR(
            VLOOKUP($A83, INDIRECT("MayR!$A$6:$ZZ$1048576"), MATCH(AS$1, MayR!$6:$6, 0), FALSE),
            0
        ) +
        IFERROR(
            VLOOKUP($A83, INDIRECT("JunR!$A$6:$ZZ$1048576"), MATCH(AS$1, JunR!$6:$6, 0), FALSE),
            0
        ) +
        IFERROR(
            VLOOKUP($A83, INDIRECT("JulR!$A$6:$ZZ$1048576"), MATCH(AS$1, JulR!$6:$6, 0), FALSE),
            0
        ) +
        IFERROR(
            VLOOKUP($A83, INDIRECT("AgoR!$A$6:$ZZ$1048576"), MATCH(AS$1, AgoR!$6:$6, 0), FALSE),
            0
        ) +
        IFERROR(
            VLOOKUP($A83, INDIRECT("SepR!$A$6:$ZZ$1048576"), MATCH(AS$1, SepR!$6:$6, 0), FALSE),
            0
        ) +
        IFERROR(
            VLOOKUP($A83, INDIRECT("OctR!$A$6:$ZZ$1048576"), MATCH(AS$1, OctR!$6:$6, 0), FALSE),
            0
        ) +
        IFERROR(
            VLOOKUP($A83, INDIRECT("NovR!$A$6:$ZZ$1048576"), MATCH(AS$1, NovR!$6:$6, 0), FALSE),
            0
        ) +
        IFERROR(
            VLOOKUP($A83, INDIRECT("DicR!$A$6:$ZZ$1048576"), MATCH(AS$1, DicR!$6:$6, 0), FALSE),
            0
        )
)</f>
        <v>0</v>
      </c>
      <c r="AT83" s="36">
        <f t="array" ref="AT83">SUM(
    IFERROR(
            VLOOKUP($A83, INDIRECT("EneR!$A$6:$ZZ$1048576"), MATCH(AT$1, EneR!$6:$6, 0), FALSE),
            0
        ) +
        IFERROR(
            VLOOKUP($A83, INDIRECT("FebR!$A$6:$ZZ$1048576"), MATCH(AT$1, FebR!$6:$6, 0), FALSE),
            0
        ) +
        IFERROR(
            VLOOKUP($A83, INDIRECT("MarR!$A$6:$ZZ$1048576"), MATCH(AT$1, MarR!$6:$6, 0), FALSE),
            0
        ) +
        IFERROR(
            VLOOKUP($A83, INDIRECT("AbrR!$A$6:$ZZ$1048576"), MATCH(AT$1, AbrR!$6:$6, 0), FALSE),
            0
        ) +
        IFERROR(
            VLOOKUP($A83, INDIRECT("MayR!$A$6:$ZZ$1048576"), MATCH(AT$1, MayR!$6:$6, 0), FALSE),
            0
        ) +
        IFERROR(
            VLOOKUP($A83, INDIRECT("JunR!$A$6:$ZZ$1048576"), MATCH(AT$1, JunR!$6:$6, 0), FALSE),
            0
        ) +
        IFERROR(
            VLOOKUP($A83, INDIRECT("JulR!$A$6:$ZZ$1048576"), MATCH(AT$1, JulR!$6:$6, 0), FALSE),
            0
        ) +
        IFERROR(
            VLOOKUP($A83, INDIRECT("AgoR!$A$6:$ZZ$1048576"), MATCH(AT$1, AgoR!$6:$6, 0), FALSE),
            0
        ) +
        IFERROR(
            VLOOKUP($A83, INDIRECT("SepR!$A$6:$ZZ$1048576"), MATCH(AT$1, SepR!$6:$6, 0), FALSE),
            0
        ) +
        IFERROR(
            VLOOKUP($A83, INDIRECT("OctR!$A$6:$ZZ$1048576"), MATCH(AT$1, OctR!$6:$6, 0), FALSE),
            0
        ) +
        IFERROR(
            VLOOKUP($A83, INDIRECT("NovR!$A$6:$ZZ$1048576"), MATCH(AT$1, NovR!$6:$6, 0), FALSE),
            0
        ) +
        IFERROR(
            VLOOKUP($A83, INDIRECT("DicR!$A$6:$ZZ$1048576"), MATCH(AT$1, DicR!$6:$6, 0), FALSE),
            0
        )
)</f>
        <v>0</v>
      </c>
      <c r="AU83" s="35">
        <f t="array" ref="AU83">SUM(
    IFERROR(
            VLOOKUP($A83, INDIRECT("EneR!$A$6:$ZZ$1048576"), MATCH(AU$1, EneR!$6:$6, 0), FALSE),
            0
        ) +
        IFERROR(
            VLOOKUP($A83, INDIRECT("FebR!$A$6:$ZZ$1048576"), MATCH(AU$1, FebR!$6:$6, 0), FALSE),
            0
        ) +
        IFERROR(
            VLOOKUP($A83, INDIRECT("MarR!$A$6:$ZZ$1048576"), MATCH(AU$1, MarR!$6:$6, 0), FALSE),
            0
        ) +
        IFERROR(
            VLOOKUP($A83, INDIRECT("AbrR!$A$6:$ZZ$1048576"), MATCH(AU$1, AbrR!$6:$6, 0), FALSE),
            0
        ) +
        IFERROR(
            VLOOKUP($A83, INDIRECT("MayR!$A$6:$ZZ$1048576"), MATCH(AU$1, MayR!$6:$6, 0), FALSE),
            0
        ) +
        IFERROR(
            VLOOKUP($A83, INDIRECT("JunR!$A$6:$ZZ$1048576"), MATCH(AU$1, JunR!$6:$6, 0), FALSE),
            0
        ) +
        IFERROR(
            VLOOKUP($A83, INDIRECT("JulR!$A$6:$ZZ$1048576"), MATCH(AU$1, JulR!$6:$6, 0), FALSE),
            0
        ) +
        IFERROR(
            VLOOKUP($A83, INDIRECT("AgoR!$A$6:$ZZ$1048576"), MATCH(AU$1, AgoR!$6:$6, 0), FALSE),
            0
        ) +
        IFERROR(
            VLOOKUP($A83, INDIRECT("SepR!$A$6:$ZZ$1048576"), MATCH(AU$1, SepR!$6:$6, 0), FALSE),
            0
        ) +
        IFERROR(
            VLOOKUP($A83, INDIRECT("OctR!$A$6:$ZZ$1048576"), MATCH(AU$1, OctR!$6:$6, 0), FALSE),
            0
        ) +
        IFERROR(
            VLOOKUP($A83, INDIRECT("NovR!$A$6:$ZZ$1048576"), MATCH(AU$1, NovR!$6:$6, 0), FALSE),
            0
        ) +
        IFERROR(
            VLOOKUP($A83, INDIRECT("DicR!$A$6:$ZZ$1048576"), MATCH(AU$1, DicR!$6:$6, 0), FALSE),
            0
        )
)</f>
        <v>0</v>
      </c>
      <c r="AV83" s="36">
        <f t="array" ref="AV83">SUM(
    IFERROR(
            VLOOKUP($A83, INDIRECT("EneR!$A$6:$ZZ$1048576"), MATCH(AV$1, EneR!$6:$6, 0), FALSE),
            0
        ) +
        IFERROR(
            VLOOKUP($A83, INDIRECT("FebR!$A$6:$ZZ$1048576"), MATCH(AV$1, FebR!$6:$6, 0), FALSE),
            0
        ) +
        IFERROR(
            VLOOKUP($A83, INDIRECT("MarR!$A$6:$ZZ$1048576"), MATCH(AV$1, MarR!$6:$6, 0), FALSE),
            0
        ) +
        IFERROR(
            VLOOKUP($A83, INDIRECT("AbrR!$A$6:$ZZ$1048576"), MATCH(AV$1, AbrR!$6:$6, 0), FALSE),
            0
        ) +
        IFERROR(
            VLOOKUP($A83, INDIRECT("MayR!$A$6:$ZZ$1048576"), MATCH(AV$1, MayR!$6:$6, 0), FALSE),
            0
        ) +
        IFERROR(
            VLOOKUP($A83, INDIRECT("JunR!$A$6:$ZZ$1048576"), MATCH(AV$1, JunR!$6:$6, 0), FALSE),
            0
        ) +
        IFERROR(
            VLOOKUP($A83, INDIRECT("JulR!$A$6:$ZZ$1048576"), MATCH(AV$1, JulR!$6:$6, 0), FALSE),
            0
        ) +
        IFERROR(
            VLOOKUP($A83, INDIRECT("AgoR!$A$6:$ZZ$1048576"), MATCH(AV$1, AgoR!$6:$6, 0), FALSE),
            0
        ) +
        IFERROR(
            VLOOKUP($A83, INDIRECT("SepR!$A$6:$ZZ$1048576"), MATCH(AV$1, SepR!$6:$6, 0), FALSE),
            0
        ) +
        IFERROR(
            VLOOKUP($A83, INDIRECT("OctR!$A$6:$ZZ$1048576"), MATCH(AV$1, OctR!$6:$6, 0), FALSE),
            0
        ) +
        IFERROR(
            VLOOKUP($A83, INDIRECT("NovR!$A$6:$ZZ$1048576"), MATCH(AV$1, NovR!$6:$6, 0), FALSE),
            0
        ) +
        IFERROR(
            VLOOKUP($A83, INDIRECT("DicR!$A$6:$ZZ$1048576"), MATCH(AV$1, DicR!$6:$6, 0), FALSE),
            0
        )
)</f>
        <v>0</v>
      </c>
      <c r="AW83" s="35">
        <f t="array" ref="AW83">SUM(
    IFERROR(
            VLOOKUP($A83, INDIRECT("EneR!$A$6:$ZZ$1048576"), MATCH(AW$1, EneR!$6:$6, 0), FALSE),
            0
        ) +
        IFERROR(
            VLOOKUP($A83, INDIRECT("FebR!$A$6:$ZZ$1048576"), MATCH(AW$1, FebR!$6:$6, 0), FALSE),
            0
        ) +
        IFERROR(
            VLOOKUP($A83, INDIRECT("MarR!$A$6:$ZZ$1048576"), MATCH(AW$1, MarR!$6:$6, 0), FALSE),
            0
        ) +
        IFERROR(
            VLOOKUP($A83, INDIRECT("AbrR!$A$6:$ZZ$1048576"), MATCH(AW$1, AbrR!$6:$6, 0), FALSE),
            0
        ) +
        IFERROR(
            VLOOKUP($A83, INDIRECT("MayR!$A$6:$ZZ$1048576"), MATCH(AW$1, MayR!$6:$6, 0), FALSE),
            0
        ) +
        IFERROR(
            VLOOKUP($A83, INDIRECT("JunR!$A$6:$ZZ$1048576"), MATCH(AW$1, JunR!$6:$6, 0), FALSE),
            0
        ) +
        IFERROR(
            VLOOKUP($A83, INDIRECT("JulR!$A$6:$ZZ$1048576"), MATCH(AW$1, JulR!$6:$6, 0), FALSE),
            0
        ) +
        IFERROR(
            VLOOKUP($A83, INDIRECT("AgoR!$A$6:$ZZ$1048576"), MATCH(AW$1, AgoR!$6:$6, 0), FALSE),
            0
        ) +
        IFERROR(
            VLOOKUP($A83, INDIRECT("SepR!$A$6:$ZZ$1048576"), MATCH(AW$1, SepR!$6:$6, 0), FALSE),
            0
        ) +
        IFERROR(
            VLOOKUP($A83, INDIRECT("OctR!$A$6:$ZZ$1048576"), MATCH(AW$1, OctR!$6:$6, 0), FALSE),
            0
        ) +
        IFERROR(
            VLOOKUP($A83, INDIRECT("NovR!$A$6:$ZZ$1048576"), MATCH(AW$1, NovR!$6:$6, 0), FALSE),
            0
        ) +
        IFERROR(
            VLOOKUP($A83, INDIRECT("DicR!$A$6:$ZZ$1048576"), MATCH(AW$1, DicR!$6:$6, 0), FALSE),
            0
        )
)</f>
        <v>0</v>
      </c>
      <c r="AX83" s="36">
        <f t="array" ref="AX83">SUM(
    IFERROR(
            VLOOKUP($A83, INDIRECT("EneR!$A$6:$ZZ$1048576"), MATCH(AX$1, EneR!$6:$6, 0), FALSE),
            0
        ) +
        IFERROR(
            VLOOKUP($A83, INDIRECT("FebR!$A$6:$ZZ$1048576"), MATCH(AX$1, FebR!$6:$6, 0), FALSE),
            0
        ) +
        IFERROR(
            VLOOKUP($A83, INDIRECT("MarR!$A$6:$ZZ$1048576"), MATCH(AX$1, MarR!$6:$6, 0), FALSE),
            0
        ) +
        IFERROR(
            VLOOKUP($A83, INDIRECT("AbrR!$A$6:$ZZ$1048576"), MATCH(AX$1, AbrR!$6:$6, 0), FALSE),
            0
        ) +
        IFERROR(
            VLOOKUP($A83, INDIRECT("MayR!$A$6:$ZZ$1048576"), MATCH(AX$1, MayR!$6:$6, 0), FALSE),
            0
        ) +
        IFERROR(
            VLOOKUP($A83, INDIRECT("JunR!$A$6:$ZZ$1048576"), MATCH(AX$1, JunR!$6:$6, 0), FALSE),
            0
        ) +
        IFERROR(
            VLOOKUP($A83, INDIRECT("JulR!$A$6:$ZZ$1048576"), MATCH(AX$1, JulR!$6:$6, 0), FALSE),
            0
        ) +
        IFERROR(
            VLOOKUP($A83, INDIRECT("AgoR!$A$6:$ZZ$1048576"), MATCH(AX$1, AgoR!$6:$6, 0), FALSE),
            0
        ) +
        IFERROR(
            VLOOKUP($A83, INDIRECT("SepR!$A$6:$ZZ$1048576"), MATCH(AX$1, SepR!$6:$6, 0), FALSE),
            0
        ) +
        IFERROR(
            VLOOKUP($A83, INDIRECT("OctR!$A$6:$ZZ$1048576"), MATCH(AX$1, OctR!$6:$6, 0), FALSE),
            0
        ) +
        IFERROR(
            VLOOKUP($A83, INDIRECT("NovR!$A$6:$ZZ$1048576"), MATCH(AX$1, NovR!$6:$6, 0), FALSE),
            0
        ) +
        IFERROR(
            VLOOKUP($A83, INDIRECT("DicR!$A$6:$ZZ$1048576"), MATCH(AX$1, DicR!$6:$6, 0), FALSE),
            0
        )
)</f>
        <v>0</v>
      </c>
      <c r="AY83" s="35">
        <f t="array" ref="AY83">SUM(
    IFERROR(
            VLOOKUP($A83, INDIRECT("EneR!$A$6:$ZZ$1048576"), MATCH(AY$1, EneR!$6:$6, 0), FALSE),
            0
        ) +
        IFERROR(
            VLOOKUP($A83, INDIRECT("FebR!$A$6:$ZZ$1048576"), MATCH(AY$1, FebR!$6:$6, 0), FALSE),
            0
        ) +
        IFERROR(
            VLOOKUP($A83, INDIRECT("MarR!$A$6:$ZZ$1048576"), MATCH(AY$1, MarR!$6:$6, 0), FALSE),
            0
        ) +
        IFERROR(
            VLOOKUP($A83, INDIRECT("AbrR!$A$6:$ZZ$1048576"), MATCH(AY$1, AbrR!$6:$6, 0), FALSE),
            0
        ) +
        IFERROR(
            VLOOKUP($A83, INDIRECT("MayR!$A$6:$ZZ$1048576"), MATCH(AY$1, MayR!$6:$6, 0), FALSE),
            0
        ) +
        IFERROR(
            VLOOKUP($A83, INDIRECT("JunR!$A$6:$ZZ$1048576"), MATCH(AY$1, JunR!$6:$6, 0), FALSE),
            0
        ) +
        IFERROR(
            VLOOKUP($A83, INDIRECT("JulR!$A$6:$ZZ$1048576"), MATCH(AY$1, JulR!$6:$6, 0), FALSE),
            0
        ) +
        IFERROR(
            VLOOKUP($A83, INDIRECT("AgoR!$A$6:$ZZ$1048576"), MATCH(AY$1, AgoR!$6:$6, 0), FALSE),
            0
        ) +
        IFERROR(
            VLOOKUP($A83, INDIRECT("SepR!$A$6:$ZZ$1048576"), MATCH(AY$1, SepR!$6:$6, 0), FALSE),
            0
        ) +
        IFERROR(
            VLOOKUP($A83, INDIRECT("OctR!$A$6:$ZZ$1048576"), MATCH(AY$1, OctR!$6:$6, 0), FALSE),
            0
        ) +
        IFERROR(
            VLOOKUP($A83, INDIRECT("NovR!$A$6:$ZZ$1048576"), MATCH(AY$1, NovR!$6:$6, 0), FALSE),
            0
        ) +
        IFERROR(
            VLOOKUP($A83, INDIRECT("DicR!$A$6:$ZZ$1048576"), MATCH(AY$1, DicR!$6:$6, 0), FALSE),
            0
        )
)</f>
        <v>0</v>
      </c>
      <c r="AZ83" s="35"/>
    </row>
    <row r="84" ht="15.75" customHeight="1">
      <c r="A84" s="12" t="str">
        <f>Menus!B45</f>
        <v/>
      </c>
      <c r="B84" s="32">
        <f t="shared" ref="B84:B103" si="11">IFERROR(SUM(D84:AR84),"")</f>
        <v>0</v>
      </c>
      <c r="C84" s="33" t="str">
        <f t="shared" si="10"/>
        <v/>
      </c>
      <c r="D84" s="34">
        <f t="array" ref="D84">SUM(
    IFERROR(
            VLOOKUP($A84, INDIRECT("EneR!$A$6:$ZZ$1048576"), MATCH(D$1, EneR!$6:$6, 0), FALSE),
            0
        ) +
        IFERROR(
            VLOOKUP($A84, INDIRECT("FebR!$A$6:$ZZ$1048576"), MATCH(D$1, FebR!$6:$6, 0), FALSE),
            0
        ) +
        IFERROR(
            VLOOKUP($A84, INDIRECT("MarR!$A$6:$ZZ$1048576"), MATCH(D$1, MarR!$6:$6, 0), FALSE),
            0
        ) +
        IFERROR(
            VLOOKUP($A84, INDIRECT("AbrR!$A$6:$ZZ$1048576"), MATCH(D$1, AbrR!$6:$6, 0), FALSE),
            0
        ) +
        IFERROR(
            VLOOKUP($A84, INDIRECT("MayR!$A$6:$ZZ$1048576"), MATCH(D$1, MayR!$6:$6, 0), FALSE),
            0
        ) +
        IFERROR(
            VLOOKUP($A84, INDIRECT("JunR!$A$6:$ZZ$1048576"), MATCH(D$1, JunR!$6:$6, 0), FALSE),
            0
        ) +
        IFERROR(
            VLOOKUP($A84, INDIRECT("JulR!$A$6:$ZZ$1048576"), MATCH(D$1, JulR!$6:$6, 0), FALSE),
            0
        ) +
        IFERROR(
            VLOOKUP($A84, INDIRECT("AgoR!$A$6:$ZZ$1048576"), MATCH(D$1, AgoR!$6:$6, 0), FALSE),
            0
        ) +
        IFERROR(
            VLOOKUP($A84, INDIRECT("SepR!$A$6:$ZZ$1048576"), MATCH(D$1, SepR!$6:$6, 0), FALSE),
            0
        ) +
        IFERROR(
            VLOOKUP($A84, INDIRECT("OctR!$A$6:$ZZ$1048576"), MATCH(D$1, OctR!$6:$6, 0), FALSE),
            0
        ) +
        IFERROR(
            VLOOKUP($A84, INDIRECT("NovR!$A$6:$ZZ$1048576"), MATCH(D$1, NovR!$6:$6, 0), FALSE),
            0
        ) +
        IFERROR(
            VLOOKUP($A84, INDIRECT("DicR!$A$6:$ZZ$1048576"), MATCH(D$1, DicR!$6:$6, 0), FALSE),
            0
        )
)</f>
        <v>0</v>
      </c>
      <c r="E84" s="35">
        <f t="array" ref="E84">SUM(
    IFERROR(
            VLOOKUP($A84, INDIRECT("EneR!$A$6:$ZZ$1048576"), MATCH(E$1, EneR!$6:$6, 0), FALSE),
            0
        ) +
        IFERROR(
            VLOOKUP($A84, INDIRECT("FebR!$A$6:$ZZ$1048576"), MATCH(E$1, FebR!$6:$6, 0), FALSE),
            0
        ) +
        IFERROR(
            VLOOKUP($A84, INDIRECT("MarR!$A$6:$ZZ$1048576"), MATCH(E$1, MarR!$6:$6, 0), FALSE),
            0
        ) +
        IFERROR(
            VLOOKUP($A84, INDIRECT("AbrR!$A$6:$ZZ$1048576"), MATCH(E$1, AbrR!$6:$6, 0), FALSE),
            0
        ) +
        IFERROR(
            VLOOKUP($A84, INDIRECT("MayR!$A$6:$ZZ$1048576"), MATCH(E$1, MayR!$6:$6, 0), FALSE),
            0
        ) +
        IFERROR(
            VLOOKUP($A84, INDIRECT("JunR!$A$6:$ZZ$1048576"), MATCH(E$1, JunR!$6:$6, 0), FALSE),
            0
        ) +
        IFERROR(
            VLOOKUP($A84, INDIRECT("JulR!$A$6:$ZZ$1048576"), MATCH(E$1, JulR!$6:$6, 0), FALSE),
            0
        ) +
        IFERROR(
            VLOOKUP($A84, INDIRECT("AgoR!$A$6:$ZZ$1048576"), MATCH(E$1, AgoR!$6:$6, 0), FALSE),
            0
        ) +
        IFERROR(
            VLOOKUP($A84, INDIRECT("SepR!$A$6:$ZZ$1048576"), MATCH(E$1, SepR!$6:$6, 0), FALSE),
            0
        ) +
        IFERROR(
            VLOOKUP($A84, INDIRECT("OctR!$A$6:$ZZ$1048576"), MATCH(E$1, OctR!$6:$6, 0), FALSE),
            0
        ) +
        IFERROR(
            VLOOKUP($A84, INDIRECT("NovR!$A$6:$ZZ$1048576"), MATCH(E$1, NovR!$6:$6, 0), FALSE),
            0
        ) +
        IFERROR(
            VLOOKUP($A84, INDIRECT("DicR!$A$6:$ZZ$1048576"), MATCH(E$1, DicR!$6:$6, 0), FALSE),
            0
        )
)</f>
        <v>0</v>
      </c>
      <c r="F84" s="32">
        <f t="array" ref="F84">SUM(
    IFERROR(
            VLOOKUP($A84, INDIRECT("EneR!$A$6:$ZZ$1048576"), MATCH(F$1, EneR!$6:$6, 0), FALSE),
            0
        ) +
        IFERROR(
            VLOOKUP($A84, INDIRECT("FebR!$A$6:$ZZ$1048576"), MATCH(F$1, FebR!$6:$6, 0), FALSE),
            0
        ) +
        IFERROR(
            VLOOKUP($A84, INDIRECT("MarR!$A$6:$ZZ$1048576"), MATCH(F$1, MarR!$6:$6, 0), FALSE),
            0
        ) +
        IFERROR(
            VLOOKUP($A84, INDIRECT("AbrR!$A$6:$ZZ$1048576"), MATCH(F$1, AbrR!$6:$6, 0), FALSE),
            0
        ) +
        IFERROR(
            VLOOKUP($A84, INDIRECT("MayR!$A$6:$ZZ$1048576"), MATCH(F$1, MayR!$6:$6, 0), FALSE),
            0
        ) +
        IFERROR(
            VLOOKUP($A84, INDIRECT("JunR!$A$6:$ZZ$1048576"), MATCH(F$1, JunR!$6:$6, 0), FALSE),
            0
        ) +
        IFERROR(
            VLOOKUP($A84, INDIRECT("JulR!$A$6:$ZZ$1048576"), MATCH(F$1, JulR!$6:$6, 0), FALSE),
            0
        ) +
        IFERROR(
            VLOOKUP($A84, INDIRECT("AgoR!$A$6:$ZZ$1048576"), MATCH(F$1, AgoR!$6:$6, 0), FALSE),
            0
        ) +
        IFERROR(
            VLOOKUP($A84, INDIRECT("SepR!$A$6:$ZZ$1048576"), MATCH(F$1, SepR!$6:$6, 0), FALSE),
            0
        ) +
        IFERROR(
            VLOOKUP($A84, INDIRECT("OctR!$A$6:$ZZ$1048576"), MATCH(F$1, OctR!$6:$6, 0), FALSE),
            0
        ) +
        IFERROR(
            VLOOKUP($A84, INDIRECT("NovR!$A$6:$ZZ$1048576"), MATCH(F$1, NovR!$6:$6, 0), FALSE),
            0
        ) +
        IFERROR(
            VLOOKUP($A84, INDIRECT("DicR!$A$6:$ZZ$1048576"), MATCH(F$1, DicR!$6:$6, 0), FALSE),
            0
        )
)</f>
        <v>0</v>
      </c>
      <c r="G84" s="35">
        <f t="array" ref="G84">SUM(
    IFERROR(
            VLOOKUP($A84, INDIRECT("EneR!$A$6:$ZZ$1048576"), MATCH(G$1, EneR!$6:$6, 0), FALSE),
            0
        ) +
        IFERROR(
            VLOOKUP($A84, INDIRECT("FebR!$A$6:$ZZ$1048576"), MATCH(G$1, FebR!$6:$6, 0), FALSE),
            0
        ) +
        IFERROR(
            VLOOKUP($A84, INDIRECT("MarR!$A$6:$ZZ$1048576"), MATCH(G$1, MarR!$6:$6, 0), FALSE),
            0
        ) +
        IFERROR(
            VLOOKUP($A84, INDIRECT("AbrR!$A$6:$ZZ$1048576"), MATCH(G$1, AbrR!$6:$6, 0), FALSE),
            0
        ) +
        IFERROR(
            VLOOKUP($A84, INDIRECT("MayR!$A$6:$ZZ$1048576"), MATCH(G$1, MayR!$6:$6, 0), FALSE),
            0
        ) +
        IFERROR(
            VLOOKUP($A84, INDIRECT("JunR!$A$6:$ZZ$1048576"), MATCH(G$1, JunR!$6:$6, 0), FALSE),
            0
        ) +
        IFERROR(
            VLOOKUP($A84, INDIRECT("JulR!$A$6:$ZZ$1048576"), MATCH(G$1, JulR!$6:$6, 0), FALSE),
            0
        ) +
        IFERROR(
            VLOOKUP($A84, INDIRECT("AgoR!$A$6:$ZZ$1048576"), MATCH(G$1, AgoR!$6:$6, 0), FALSE),
            0
        ) +
        IFERROR(
            VLOOKUP($A84, INDIRECT("SepR!$A$6:$ZZ$1048576"), MATCH(G$1, SepR!$6:$6, 0), FALSE),
            0
        ) +
        IFERROR(
            VLOOKUP($A84, INDIRECT("OctR!$A$6:$ZZ$1048576"), MATCH(G$1, OctR!$6:$6, 0), FALSE),
            0
        ) +
        IFERROR(
            VLOOKUP($A84, INDIRECT("NovR!$A$6:$ZZ$1048576"), MATCH(G$1, NovR!$6:$6, 0), FALSE),
            0
        ) +
        IFERROR(
            VLOOKUP($A84, INDIRECT("DicR!$A$6:$ZZ$1048576"), MATCH(G$1, DicR!$6:$6, 0), FALSE),
            0
        )
)</f>
        <v>0</v>
      </c>
      <c r="H84" s="32">
        <f t="array" ref="H84">SUM(
    IFERROR(
            VLOOKUP($A84, INDIRECT("EneR!$A$6:$ZZ$1048576"), MATCH(H$1, EneR!$6:$6, 0), FALSE),
            0
        ) +
        IFERROR(
            VLOOKUP($A84, INDIRECT("FebR!$A$6:$ZZ$1048576"), MATCH(H$1, FebR!$6:$6, 0), FALSE),
            0
        ) +
        IFERROR(
            VLOOKUP($A84, INDIRECT("MarR!$A$6:$ZZ$1048576"), MATCH(H$1, MarR!$6:$6, 0), FALSE),
            0
        ) +
        IFERROR(
            VLOOKUP($A84, INDIRECT("AbrR!$A$6:$ZZ$1048576"), MATCH(H$1, AbrR!$6:$6, 0), FALSE),
            0
        ) +
        IFERROR(
            VLOOKUP($A84, INDIRECT("MayR!$A$6:$ZZ$1048576"), MATCH(H$1, MayR!$6:$6, 0), FALSE),
            0
        ) +
        IFERROR(
            VLOOKUP($A84, INDIRECT("JunR!$A$6:$ZZ$1048576"), MATCH(H$1, JunR!$6:$6, 0), FALSE),
            0
        ) +
        IFERROR(
            VLOOKUP($A84, INDIRECT("JulR!$A$6:$ZZ$1048576"), MATCH(H$1, JulR!$6:$6, 0), FALSE),
            0
        ) +
        IFERROR(
            VLOOKUP($A84, INDIRECT("AgoR!$A$6:$ZZ$1048576"), MATCH(H$1, AgoR!$6:$6, 0), FALSE),
            0
        ) +
        IFERROR(
            VLOOKUP($A84, INDIRECT("SepR!$A$6:$ZZ$1048576"), MATCH(H$1, SepR!$6:$6, 0), FALSE),
            0
        ) +
        IFERROR(
            VLOOKUP($A84, INDIRECT("OctR!$A$6:$ZZ$1048576"), MATCH(H$1, OctR!$6:$6, 0), FALSE),
            0
        ) +
        IFERROR(
            VLOOKUP($A84, INDIRECT("NovR!$A$6:$ZZ$1048576"), MATCH(H$1, NovR!$6:$6, 0), FALSE),
            0
        ) +
        IFERROR(
            VLOOKUP($A84, INDIRECT("DicR!$A$6:$ZZ$1048576"), MATCH(H$1, DicR!$6:$6, 0), FALSE),
            0
        )
)</f>
        <v>0</v>
      </c>
      <c r="I84" s="35">
        <f t="array" ref="I84">SUM(
    IFERROR(
            VLOOKUP($A84, INDIRECT("EneR!$A$6:$ZZ$1048576"), MATCH(I$1, EneR!$6:$6, 0), FALSE),
            0
        ) +
        IFERROR(
            VLOOKUP($A84, INDIRECT("FebR!$A$6:$ZZ$1048576"), MATCH(I$1, FebR!$6:$6, 0), FALSE),
            0
        ) +
        IFERROR(
            VLOOKUP($A84, INDIRECT("MarR!$A$6:$ZZ$1048576"), MATCH(I$1, MarR!$6:$6, 0), FALSE),
            0
        ) +
        IFERROR(
            VLOOKUP($A84, INDIRECT("AbrR!$A$6:$ZZ$1048576"), MATCH(I$1, AbrR!$6:$6, 0), FALSE),
            0
        ) +
        IFERROR(
            VLOOKUP($A84, INDIRECT("MayR!$A$6:$ZZ$1048576"), MATCH(I$1, MayR!$6:$6, 0), FALSE),
            0
        ) +
        IFERROR(
            VLOOKUP($A84, INDIRECT("JunR!$A$6:$ZZ$1048576"), MATCH(I$1, JunR!$6:$6, 0), FALSE),
            0
        ) +
        IFERROR(
            VLOOKUP($A84, INDIRECT("JulR!$A$6:$ZZ$1048576"), MATCH(I$1, JulR!$6:$6, 0), FALSE),
            0
        ) +
        IFERROR(
            VLOOKUP($A84, INDIRECT("AgoR!$A$6:$ZZ$1048576"), MATCH(I$1, AgoR!$6:$6, 0), FALSE),
            0
        ) +
        IFERROR(
            VLOOKUP($A84, INDIRECT("SepR!$A$6:$ZZ$1048576"), MATCH(I$1, SepR!$6:$6, 0), FALSE),
            0
        ) +
        IFERROR(
            VLOOKUP($A84, INDIRECT("OctR!$A$6:$ZZ$1048576"), MATCH(I$1, OctR!$6:$6, 0), FALSE),
            0
        ) +
        IFERROR(
            VLOOKUP($A84, INDIRECT("NovR!$A$6:$ZZ$1048576"), MATCH(I$1, NovR!$6:$6, 0), FALSE),
            0
        ) +
        IFERROR(
            VLOOKUP($A84, INDIRECT("DicR!$A$6:$ZZ$1048576"), MATCH(I$1, DicR!$6:$6, 0), FALSE),
            0
        )
)</f>
        <v>0</v>
      </c>
      <c r="J84" s="32">
        <f t="array" ref="J84">SUM(
    IFERROR(
            VLOOKUP($A84, INDIRECT("EneR!$A$6:$ZZ$1048576"), MATCH(J$1, EneR!$6:$6, 0), FALSE),
            0
        ) +
        IFERROR(
            VLOOKUP($A84, INDIRECT("FebR!$A$6:$ZZ$1048576"), MATCH(J$1, FebR!$6:$6, 0), FALSE),
            0
        ) +
        IFERROR(
            VLOOKUP($A84, INDIRECT("MarR!$A$6:$ZZ$1048576"), MATCH(J$1, MarR!$6:$6, 0), FALSE),
            0
        ) +
        IFERROR(
            VLOOKUP($A84, INDIRECT("AbrR!$A$6:$ZZ$1048576"), MATCH(J$1, AbrR!$6:$6, 0), FALSE),
            0
        ) +
        IFERROR(
            VLOOKUP($A84, INDIRECT("MayR!$A$6:$ZZ$1048576"), MATCH(J$1, MayR!$6:$6, 0), FALSE),
            0
        ) +
        IFERROR(
            VLOOKUP($A84, INDIRECT("JunR!$A$6:$ZZ$1048576"), MATCH(J$1, JunR!$6:$6, 0), FALSE),
            0
        ) +
        IFERROR(
            VLOOKUP($A84, INDIRECT("JulR!$A$6:$ZZ$1048576"), MATCH(J$1, JulR!$6:$6, 0), FALSE),
            0
        ) +
        IFERROR(
            VLOOKUP($A84, INDIRECT("AgoR!$A$6:$ZZ$1048576"), MATCH(J$1, AgoR!$6:$6, 0), FALSE),
            0
        ) +
        IFERROR(
            VLOOKUP($A84, INDIRECT("SepR!$A$6:$ZZ$1048576"), MATCH(J$1, SepR!$6:$6, 0), FALSE),
            0
        ) +
        IFERROR(
            VLOOKUP($A84, INDIRECT("OctR!$A$6:$ZZ$1048576"), MATCH(J$1, OctR!$6:$6, 0), FALSE),
            0
        ) +
        IFERROR(
            VLOOKUP($A84, INDIRECT("NovR!$A$6:$ZZ$1048576"), MATCH(J$1, NovR!$6:$6, 0), FALSE),
            0
        ) +
        IFERROR(
            VLOOKUP($A84, INDIRECT("DicR!$A$6:$ZZ$1048576"), MATCH(J$1, DicR!$6:$6, 0), FALSE),
            0
        )
)</f>
        <v>0</v>
      </c>
      <c r="K84" s="35">
        <f t="array" ref="K84">SUM(
    IFERROR(
            VLOOKUP($A84, INDIRECT("EneR!$A$6:$ZZ$1048576"), MATCH(K$1, EneR!$6:$6, 0), FALSE),
            0
        ) +
        IFERROR(
            VLOOKUP($A84, INDIRECT("FebR!$A$6:$ZZ$1048576"), MATCH(K$1, FebR!$6:$6, 0), FALSE),
            0
        ) +
        IFERROR(
            VLOOKUP($A84, INDIRECT("MarR!$A$6:$ZZ$1048576"), MATCH(K$1, MarR!$6:$6, 0), FALSE),
            0
        ) +
        IFERROR(
            VLOOKUP($A84, INDIRECT("AbrR!$A$6:$ZZ$1048576"), MATCH(K$1, AbrR!$6:$6, 0), FALSE),
            0
        ) +
        IFERROR(
            VLOOKUP($A84, INDIRECT("MayR!$A$6:$ZZ$1048576"), MATCH(K$1, MayR!$6:$6, 0), FALSE),
            0
        ) +
        IFERROR(
            VLOOKUP($A84, INDIRECT("JunR!$A$6:$ZZ$1048576"), MATCH(K$1, JunR!$6:$6, 0), FALSE),
            0
        ) +
        IFERROR(
            VLOOKUP($A84, INDIRECT("JulR!$A$6:$ZZ$1048576"), MATCH(K$1, JulR!$6:$6, 0), FALSE),
            0
        ) +
        IFERROR(
            VLOOKUP($A84, INDIRECT("AgoR!$A$6:$ZZ$1048576"), MATCH(K$1, AgoR!$6:$6, 0), FALSE),
            0
        ) +
        IFERROR(
            VLOOKUP($A84, INDIRECT("SepR!$A$6:$ZZ$1048576"), MATCH(K$1, SepR!$6:$6, 0), FALSE),
            0
        ) +
        IFERROR(
            VLOOKUP($A84, INDIRECT("OctR!$A$6:$ZZ$1048576"), MATCH(K$1, OctR!$6:$6, 0), FALSE),
            0
        ) +
        IFERROR(
            VLOOKUP($A84, INDIRECT("NovR!$A$6:$ZZ$1048576"), MATCH(K$1, NovR!$6:$6, 0), FALSE),
            0
        ) +
        IFERROR(
            VLOOKUP($A84, INDIRECT("DicR!$A$6:$ZZ$1048576"), MATCH(K$1, DicR!$6:$6, 0), FALSE),
            0
        )
)</f>
        <v>0</v>
      </c>
      <c r="L84" s="32">
        <f t="array" ref="L84">SUM(
    IFERROR(
            VLOOKUP($A84, INDIRECT("EneR!$A$6:$ZZ$1048576"), MATCH(L$1, EneR!$6:$6, 0), FALSE),
            0
        ) +
        IFERROR(
            VLOOKUP($A84, INDIRECT("FebR!$A$6:$ZZ$1048576"), MATCH(L$1, FebR!$6:$6, 0), FALSE),
            0
        ) +
        IFERROR(
            VLOOKUP($A84, INDIRECT("MarR!$A$6:$ZZ$1048576"), MATCH(L$1, MarR!$6:$6, 0), FALSE),
            0
        ) +
        IFERROR(
            VLOOKUP($A84, INDIRECT("AbrR!$A$6:$ZZ$1048576"), MATCH(L$1, AbrR!$6:$6, 0), FALSE),
            0
        ) +
        IFERROR(
            VLOOKUP($A84, INDIRECT("MayR!$A$6:$ZZ$1048576"), MATCH(L$1, MayR!$6:$6, 0), FALSE),
            0
        ) +
        IFERROR(
            VLOOKUP($A84, INDIRECT("JunR!$A$6:$ZZ$1048576"), MATCH(L$1, JunR!$6:$6, 0), FALSE),
            0
        ) +
        IFERROR(
            VLOOKUP($A84, INDIRECT("JulR!$A$6:$ZZ$1048576"), MATCH(L$1, JulR!$6:$6, 0), FALSE),
            0
        ) +
        IFERROR(
            VLOOKUP($A84, INDIRECT("AgoR!$A$6:$ZZ$1048576"), MATCH(L$1, AgoR!$6:$6, 0), FALSE),
            0
        ) +
        IFERROR(
            VLOOKUP($A84, INDIRECT("SepR!$A$6:$ZZ$1048576"), MATCH(L$1, SepR!$6:$6, 0), FALSE),
            0
        ) +
        IFERROR(
            VLOOKUP($A84, INDIRECT("OctR!$A$6:$ZZ$1048576"), MATCH(L$1, OctR!$6:$6, 0), FALSE),
            0
        ) +
        IFERROR(
            VLOOKUP($A84, INDIRECT("NovR!$A$6:$ZZ$1048576"), MATCH(L$1, NovR!$6:$6, 0), FALSE),
            0
        ) +
        IFERROR(
            VLOOKUP($A84, INDIRECT("DicR!$A$6:$ZZ$1048576"), MATCH(L$1, DicR!$6:$6, 0), FALSE),
            0
        )
)</f>
        <v>0</v>
      </c>
      <c r="M84" s="35">
        <f t="array" ref="M84">SUM(
    IFERROR(
            VLOOKUP($A84, INDIRECT("EneR!$A$6:$ZZ$1048576"), MATCH(M$1, EneR!$6:$6, 0), FALSE),
            0
        ) +
        IFERROR(
            VLOOKUP($A84, INDIRECT("FebR!$A$6:$ZZ$1048576"), MATCH(M$1, FebR!$6:$6, 0), FALSE),
            0
        ) +
        IFERROR(
            VLOOKUP($A84, INDIRECT("MarR!$A$6:$ZZ$1048576"), MATCH(M$1, MarR!$6:$6, 0), FALSE),
            0
        ) +
        IFERROR(
            VLOOKUP($A84, INDIRECT("AbrR!$A$6:$ZZ$1048576"), MATCH(M$1, AbrR!$6:$6, 0), FALSE),
            0
        ) +
        IFERROR(
            VLOOKUP($A84, INDIRECT("MayR!$A$6:$ZZ$1048576"), MATCH(M$1, MayR!$6:$6, 0), FALSE),
            0
        ) +
        IFERROR(
            VLOOKUP($A84, INDIRECT("JunR!$A$6:$ZZ$1048576"), MATCH(M$1, JunR!$6:$6, 0), FALSE),
            0
        ) +
        IFERROR(
            VLOOKUP($A84, INDIRECT("JulR!$A$6:$ZZ$1048576"), MATCH(M$1, JulR!$6:$6, 0), FALSE),
            0
        ) +
        IFERROR(
            VLOOKUP($A84, INDIRECT("AgoR!$A$6:$ZZ$1048576"), MATCH(M$1, AgoR!$6:$6, 0), FALSE),
            0
        ) +
        IFERROR(
            VLOOKUP($A84, INDIRECT("SepR!$A$6:$ZZ$1048576"), MATCH(M$1, SepR!$6:$6, 0), FALSE),
            0
        ) +
        IFERROR(
            VLOOKUP($A84, INDIRECT("OctR!$A$6:$ZZ$1048576"), MATCH(M$1, OctR!$6:$6, 0), FALSE),
            0
        ) +
        IFERROR(
            VLOOKUP($A84, INDIRECT("NovR!$A$6:$ZZ$1048576"), MATCH(M$1, NovR!$6:$6, 0), FALSE),
            0
        ) +
        IFERROR(
            VLOOKUP($A84, INDIRECT("DicR!$A$6:$ZZ$1048576"), MATCH(M$1, DicR!$6:$6, 0), FALSE),
            0
        )
)</f>
        <v>0</v>
      </c>
      <c r="N84" s="32">
        <f t="array" ref="N84">SUM(
    IFERROR(
            VLOOKUP($A84, INDIRECT("EneR!$A$6:$ZZ$1048576"), MATCH(N$1, EneR!$6:$6, 0), FALSE),
            0
        ) +
        IFERROR(
            VLOOKUP($A84, INDIRECT("FebR!$A$6:$ZZ$1048576"), MATCH(N$1, FebR!$6:$6, 0), FALSE),
            0
        ) +
        IFERROR(
            VLOOKUP($A84, INDIRECT("MarR!$A$6:$ZZ$1048576"), MATCH(N$1, MarR!$6:$6, 0), FALSE),
            0
        ) +
        IFERROR(
            VLOOKUP($A84, INDIRECT("AbrR!$A$6:$ZZ$1048576"), MATCH(N$1, AbrR!$6:$6, 0), FALSE),
            0
        ) +
        IFERROR(
            VLOOKUP($A84, INDIRECT("MayR!$A$6:$ZZ$1048576"), MATCH(N$1, MayR!$6:$6, 0), FALSE),
            0
        ) +
        IFERROR(
            VLOOKUP($A84, INDIRECT("JunR!$A$6:$ZZ$1048576"), MATCH(N$1, JunR!$6:$6, 0), FALSE),
            0
        ) +
        IFERROR(
            VLOOKUP($A84, INDIRECT("JulR!$A$6:$ZZ$1048576"), MATCH(N$1, JulR!$6:$6, 0), FALSE),
            0
        ) +
        IFERROR(
            VLOOKUP($A84, INDIRECT("AgoR!$A$6:$ZZ$1048576"), MATCH(N$1, AgoR!$6:$6, 0), FALSE),
            0
        ) +
        IFERROR(
            VLOOKUP($A84, INDIRECT("SepR!$A$6:$ZZ$1048576"), MATCH(N$1, SepR!$6:$6, 0), FALSE),
            0
        ) +
        IFERROR(
            VLOOKUP($A84, INDIRECT("OctR!$A$6:$ZZ$1048576"), MATCH(N$1, OctR!$6:$6, 0), FALSE),
            0
        ) +
        IFERROR(
            VLOOKUP($A84, INDIRECT("NovR!$A$6:$ZZ$1048576"), MATCH(N$1, NovR!$6:$6, 0), FALSE),
            0
        ) +
        IFERROR(
            VLOOKUP($A84, INDIRECT("DicR!$A$6:$ZZ$1048576"), MATCH(N$1, DicR!$6:$6, 0), FALSE),
            0
        )
)</f>
        <v>0</v>
      </c>
      <c r="O84" s="35">
        <f t="array" ref="O84">SUM(
    IFERROR(
            VLOOKUP($A84, INDIRECT("EneR!$A$6:$ZZ$1048576"), MATCH(O$1, EneR!$6:$6, 0), FALSE),
            0
        ) +
        IFERROR(
            VLOOKUP($A84, INDIRECT("FebR!$A$6:$ZZ$1048576"), MATCH(O$1, FebR!$6:$6, 0), FALSE),
            0
        ) +
        IFERROR(
            VLOOKUP($A84, INDIRECT("MarR!$A$6:$ZZ$1048576"), MATCH(O$1, MarR!$6:$6, 0), FALSE),
            0
        ) +
        IFERROR(
            VLOOKUP($A84, INDIRECT("AbrR!$A$6:$ZZ$1048576"), MATCH(O$1, AbrR!$6:$6, 0), FALSE),
            0
        ) +
        IFERROR(
            VLOOKUP($A84, INDIRECT("MayR!$A$6:$ZZ$1048576"), MATCH(O$1, MayR!$6:$6, 0), FALSE),
            0
        ) +
        IFERROR(
            VLOOKUP($A84, INDIRECT("JunR!$A$6:$ZZ$1048576"), MATCH(O$1, JunR!$6:$6, 0), FALSE),
            0
        ) +
        IFERROR(
            VLOOKUP($A84, INDIRECT("JulR!$A$6:$ZZ$1048576"), MATCH(O$1, JulR!$6:$6, 0), FALSE),
            0
        ) +
        IFERROR(
            VLOOKUP($A84, INDIRECT("AgoR!$A$6:$ZZ$1048576"), MATCH(O$1, AgoR!$6:$6, 0), FALSE),
            0
        ) +
        IFERROR(
            VLOOKUP($A84, INDIRECT("SepR!$A$6:$ZZ$1048576"), MATCH(O$1, SepR!$6:$6, 0), FALSE),
            0
        ) +
        IFERROR(
            VLOOKUP($A84, INDIRECT("OctR!$A$6:$ZZ$1048576"), MATCH(O$1, OctR!$6:$6, 0), FALSE),
            0
        ) +
        IFERROR(
            VLOOKUP($A84, INDIRECT("NovR!$A$6:$ZZ$1048576"), MATCH(O$1, NovR!$6:$6, 0), FALSE),
            0
        ) +
        IFERROR(
            VLOOKUP($A84, INDIRECT("DicR!$A$6:$ZZ$1048576"), MATCH(O$1, DicR!$6:$6, 0), FALSE),
            0
        )
)</f>
        <v>0</v>
      </c>
      <c r="P84" s="32">
        <f t="array" ref="P84">SUM(
    IFERROR(
            VLOOKUP($A84, INDIRECT("EneR!$A$6:$ZZ$1048576"), MATCH(P$1, EneR!$6:$6, 0), FALSE),
            0
        ) +
        IFERROR(
            VLOOKUP($A84, INDIRECT("FebR!$A$6:$ZZ$1048576"), MATCH(P$1, FebR!$6:$6, 0), FALSE),
            0
        ) +
        IFERROR(
            VLOOKUP($A84, INDIRECT("MarR!$A$6:$ZZ$1048576"), MATCH(P$1, MarR!$6:$6, 0), FALSE),
            0
        ) +
        IFERROR(
            VLOOKUP($A84, INDIRECT("AbrR!$A$6:$ZZ$1048576"), MATCH(P$1, AbrR!$6:$6, 0), FALSE),
            0
        ) +
        IFERROR(
            VLOOKUP($A84, INDIRECT("MayR!$A$6:$ZZ$1048576"), MATCH(P$1, MayR!$6:$6, 0), FALSE),
            0
        ) +
        IFERROR(
            VLOOKUP($A84, INDIRECT("JunR!$A$6:$ZZ$1048576"), MATCH(P$1, JunR!$6:$6, 0), FALSE),
            0
        ) +
        IFERROR(
            VLOOKUP($A84, INDIRECT("JulR!$A$6:$ZZ$1048576"), MATCH(P$1, JulR!$6:$6, 0), FALSE),
            0
        ) +
        IFERROR(
            VLOOKUP($A84, INDIRECT("AgoR!$A$6:$ZZ$1048576"), MATCH(P$1, AgoR!$6:$6, 0), FALSE),
            0
        ) +
        IFERROR(
            VLOOKUP($A84, INDIRECT("SepR!$A$6:$ZZ$1048576"), MATCH(P$1, SepR!$6:$6, 0), FALSE),
            0
        ) +
        IFERROR(
            VLOOKUP($A84, INDIRECT("OctR!$A$6:$ZZ$1048576"), MATCH(P$1, OctR!$6:$6, 0), FALSE),
            0
        ) +
        IFERROR(
            VLOOKUP($A84, INDIRECT("NovR!$A$6:$ZZ$1048576"), MATCH(P$1, NovR!$6:$6, 0), FALSE),
            0
        ) +
        IFERROR(
            VLOOKUP($A84, INDIRECT("DicR!$A$6:$ZZ$1048576"), MATCH(P$1, DicR!$6:$6, 0), FALSE),
            0
        )
)</f>
        <v>0</v>
      </c>
      <c r="Q84" s="35">
        <f t="array" ref="Q84">SUM(
    IFERROR(
            VLOOKUP($A84, INDIRECT("EneR!$A$6:$ZZ$1048576"), MATCH(Q$1, EneR!$6:$6, 0), FALSE),
            0
        ) +
        IFERROR(
            VLOOKUP($A84, INDIRECT("FebR!$A$6:$ZZ$1048576"), MATCH(Q$1, FebR!$6:$6, 0), FALSE),
            0
        ) +
        IFERROR(
            VLOOKUP($A84, INDIRECT("MarR!$A$6:$ZZ$1048576"), MATCH(Q$1, MarR!$6:$6, 0), FALSE),
            0
        ) +
        IFERROR(
            VLOOKUP($A84, INDIRECT("AbrR!$A$6:$ZZ$1048576"), MATCH(Q$1, AbrR!$6:$6, 0), FALSE),
            0
        ) +
        IFERROR(
            VLOOKUP($A84, INDIRECT("MayR!$A$6:$ZZ$1048576"), MATCH(Q$1, MayR!$6:$6, 0), FALSE),
            0
        ) +
        IFERROR(
            VLOOKUP($A84, INDIRECT("JunR!$A$6:$ZZ$1048576"), MATCH(Q$1, JunR!$6:$6, 0), FALSE),
            0
        ) +
        IFERROR(
            VLOOKUP($A84, INDIRECT("JulR!$A$6:$ZZ$1048576"), MATCH(Q$1, JulR!$6:$6, 0), FALSE),
            0
        ) +
        IFERROR(
            VLOOKUP($A84, INDIRECT("AgoR!$A$6:$ZZ$1048576"), MATCH(Q$1, AgoR!$6:$6, 0), FALSE),
            0
        ) +
        IFERROR(
            VLOOKUP($A84, INDIRECT("SepR!$A$6:$ZZ$1048576"), MATCH(Q$1, SepR!$6:$6, 0), FALSE),
            0
        ) +
        IFERROR(
            VLOOKUP($A84, INDIRECT("OctR!$A$6:$ZZ$1048576"), MATCH(Q$1, OctR!$6:$6, 0), FALSE),
            0
        ) +
        IFERROR(
            VLOOKUP($A84, INDIRECT("NovR!$A$6:$ZZ$1048576"), MATCH(Q$1, NovR!$6:$6, 0), FALSE),
            0
        ) +
        IFERROR(
            VLOOKUP($A84, INDIRECT("DicR!$A$6:$ZZ$1048576"), MATCH(Q$1, DicR!$6:$6, 0), FALSE),
            0
        )
)</f>
        <v>0</v>
      </c>
      <c r="R84" s="36">
        <f t="array" ref="R84">SUM(
    IFERROR(
            VLOOKUP($A84, INDIRECT("EneR!$A$6:$ZZ$1048576"), MATCH(R$1, EneR!$6:$6, 0), FALSE),
            0
        ) +
        IFERROR(
            VLOOKUP($A84, INDIRECT("FebR!$A$6:$ZZ$1048576"), MATCH(R$1, FebR!$6:$6, 0), FALSE),
            0
        ) +
        IFERROR(
            VLOOKUP($A84, INDIRECT("MarR!$A$6:$ZZ$1048576"), MATCH(R$1, MarR!$6:$6, 0), FALSE),
            0
        ) +
        IFERROR(
            VLOOKUP($A84, INDIRECT("AbrR!$A$6:$ZZ$1048576"), MATCH(R$1, AbrR!$6:$6, 0), FALSE),
            0
        ) +
        IFERROR(
            VLOOKUP($A84, INDIRECT("MayR!$A$6:$ZZ$1048576"), MATCH(R$1, MayR!$6:$6, 0), FALSE),
            0
        ) +
        IFERROR(
            VLOOKUP($A84, INDIRECT("JunR!$A$6:$ZZ$1048576"), MATCH(R$1, JunR!$6:$6, 0), FALSE),
            0
        ) +
        IFERROR(
            VLOOKUP($A84, INDIRECT("JulR!$A$6:$ZZ$1048576"), MATCH(R$1, JulR!$6:$6, 0), FALSE),
            0
        ) +
        IFERROR(
            VLOOKUP($A84, INDIRECT("AgoR!$A$6:$ZZ$1048576"), MATCH(R$1, AgoR!$6:$6, 0), FALSE),
            0
        ) +
        IFERROR(
            VLOOKUP($A84, INDIRECT("SepR!$A$6:$ZZ$1048576"), MATCH(R$1, SepR!$6:$6, 0), FALSE),
            0
        ) +
        IFERROR(
            VLOOKUP($A84, INDIRECT("OctR!$A$6:$ZZ$1048576"), MATCH(R$1, OctR!$6:$6, 0), FALSE),
            0
        ) +
        IFERROR(
            VLOOKUP($A84, INDIRECT("NovR!$A$6:$ZZ$1048576"), MATCH(R$1, NovR!$6:$6, 0), FALSE),
            0
        ) +
        IFERROR(
            VLOOKUP($A84, INDIRECT("DicR!$A$6:$ZZ$1048576"), MATCH(R$1, DicR!$6:$6, 0), FALSE),
            0
        )
)</f>
        <v>0</v>
      </c>
      <c r="S84" s="37">
        <f t="array" ref="S84">SUM(
    IFERROR(
            VLOOKUP($A84, INDIRECT("EneR!$A$6:$ZZ$1048576"), MATCH(S$1, EneR!$6:$6, 0), FALSE),
            0
        ) +
        IFERROR(
            VLOOKUP($A84, INDIRECT("FebR!$A$6:$ZZ$1048576"), MATCH(S$1, FebR!$6:$6, 0), FALSE),
            0
        ) +
        IFERROR(
            VLOOKUP($A84, INDIRECT("MarR!$A$6:$ZZ$1048576"), MATCH(S$1, MarR!$6:$6, 0), FALSE),
            0
        ) +
        IFERROR(
            VLOOKUP($A84, INDIRECT("AbrR!$A$6:$ZZ$1048576"), MATCH(S$1, AbrR!$6:$6, 0), FALSE),
            0
        ) +
        IFERROR(
            VLOOKUP($A84, INDIRECT("MayR!$A$6:$ZZ$1048576"), MATCH(S$1, MayR!$6:$6, 0), FALSE),
            0
        ) +
        IFERROR(
            VLOOKUP($A84, INDIRECT("JunR!$A$6:$ZZ$1048576"), MATCH(S$1, JunR!$6:$6, 0), FALSE),
            0
        ) +
        IFERROR(
            VLOOKUP($A84, INDIRECT("JulR!$A$6:$ZZ$1048576"), MATCH(S$1, JulR!$6:$6, 0), FALSE),
            0
        ) +
        IFERROR(
            VLOOKUP($A84, INDIRECT("AgoR!$A$6:$ZZ$1048576"), MATCH(S$1, AgoR!$6:$6, 0), FALSE),
            0
        ) +
        IFERROR(
            VLOOKUP($A84, INDIRECT("SepR!$A$6:$ZZ$1048576"), MATCH(S$1, SepR!$6:$6, 0), FALSE),
            0
        ) +
        IFERROR(
            VLOOKUP($A84, INDIRECT("OctR!$A$6:$ZZ$1048576"), MATCH(S$1, OctR!$6:$6, 0), FALSE),
            0
        ) +
        IFERROR(
            VLOOKUP($A84, INDIRECT("NovR!$A$6:$ZZ$1048576"), MATCH(S$1, NovR!$6:$6, 0), FALSE),
            0
        ) +
        IFERROR(
            VLOOKUP($A84, INDIRECT("DicR!$A$6:$ZZ$1048576"), MATCH(S$1, DicR!$6:$6, 0), FALSE),
            0
        )
)</f>
        <v>0</v>
      </c>
      <c r="T84" s="36">
        <f t="array" ref="T84">SUM(
    IFERROR(
            VLOOKUP($A84, INDIRECT("EneR!$A$6:$ZZ$1048576"), MATCH(T$1, EneR!$6:$6, 0), FALSE),
            0
        ) +
        IFERROR(
            VLOOKUP($A84, INDIRECT("FebR!$A$6:$ZZ$1048576"), MATCH(T$1, FebR!$6:$6, 0), FALSE),
            0
        ) +
        IFERROR(
            VLOOKUP($A84, INDIRECT("MarR!$A$6:$ZZ$1048576"), MATCH(T$1, MarR!$6:$6, 0), FALSE),
            0
        ) +
        IFERROR(
            VLOOKUP($A84, INDIRECT("AbrR!$A$6:$ZZ$1048576"), MATCH(T$1, AbrR!$6:$6, 0), FALSE),
            0
        ) +
        IFERROR(
            VLOOKUP($A84, INDIRECT("MayR!$A$6:$ZZ$1048576"), MATCH(T$1, MayR!$6:$6, 0), FALSE),
            0
        ) +
        IFERROR(
            VLOOKUP($A84, INDIRECT("JunR!$A$6:$ZZ$1048576"), MATCH(T$1, JunR!$6:$6, 0), FALSE),
            0
        ) +
        IFERROR(
            VLOOKUP($A84, INDIRECT("JulR!$A$6:$ZZ$1048576"), MATCH(T$1, JulR!$6:$6, 0), FALSE),
            0
        ) +
        IFERROR(
            VLOOKUP($A84, INDIRECT("AgoR!$A$6:$ZZ$1048576"), MATCH(T$1, AgoR!$6:$6, 0), FALSE),
            0
        ) +
        IFERROR(
            VLOOKUP($A84, INDIRECT("SepR!$A$6:$ZZ$1048576"), MATCH(T$1, SepR!$6:$6, 0), FALSE),
            0
        ) +
        IFERROR(
            VLOOKUP($A84, INDIRECT("OctR!$A$6:$ZZ$1048576"), MATCH(T$1, OctR!$6:$6, 0), FALSE),
            0
        ) +
        IFERROR(
            VLOOKUP($A84, INDIRECT("NovR!$A$6:$ZZ$1048576"), MATCH(T$1, NovR!$6:$6, 0), FALSE),
            0
        ) +
        IFERROR(
            VLOOKUP($A84, INDIRECT("DicR!$A$6:$ZZ$1048576"), MATCH(T$1, DicR!$6:$6, 0), FALSE),
            0
        )
)</f>
        <v>0</v>
      </c>
      <c r="U84" s="37">
        <f t="array" ref="U84">SUM(
    IFERROR(
            VLOOKUP($A84, INDIRECT("EneR!$A$6:$ZZ$1048576"), MATCH(U$1, EneR!$6:$6, 0), FALSE),
            0
        ) +
        IFERROR(
            VLOOKUP($A84, INDIRECT("FebR!$A$6:$ZZ$1048576"), MATCH(U$1, FebR!$6:$6, 0), FALSE),
            0
        ) +
        IFERROR(
            VLOOKUP($A84, INDIRECT("MarR!$A$6:$ZZ$1048576"), MATCH(U$1, MarR!$6:$6, 0), FALSE),
            0
        ) +
        IFERROR(
            VLOOKUP($A84, INDIRECT("AbrR!$A$6:$ZZ$1048576"), MATCH(U$1, AbrR!$6:$6, 0), FALSE),
            0
        ) +
        IFERROR(
            VLOOKUP($A84, INDIRECT("MayR!$A$6:$ZZ$1048576"), MATCH(U$1, MayR!$6:$6, 0), FALSE),
            0
        ) +
        IFERROR(
            VLOOKUP($A84, INDIRECT("JunR!$A$6:$ZZ$1048576"), MATCH(U$1, JunR!$6:$6, 0), FALSE),
            0
        ) +
        IFERROR(
            VLOOKUP($A84, INDIRECT("JulR!$A$6:$ZZ$1048576"), MATCH(U$1, JulR!$6:$6, 0), FALSE),
            0
        ) +
        IFERROR(
            VLOOKUP($A84, INDIRECT("AgoR!$A$6:$ZZ$1048576"), MATCH(U$1, AgoR!$6:$6, 0), FALSE),
            0
        ) +
        IFERROR(
            VLOOKUP($A84, INDIRECT("SepR!$A$6:$ZZ$1048576"), MATCH(U$1, SepR!$6:$6, 0), FALSE),
            0
        ) +
        IFERROR(
            VLOOKUP($A84, INDIRECT("OctR!$A$6:$ZZ$1048576"), MATCH(U$1, OctR!$6:$6, 0), FALSE),
            0
        ) +
        IFERROR(
            VLOOKUP($A84, INDIRECT("NovR!$A$6:$ZZ$1048576"), MATCH(U$1, NovR!$6:$6, 0), FALSE),
            0
        ) +
        IFERROR(
            VLOOKUP($A84, INDIRECT("DicR!$A$6:$ZZ$1048576"), MATCH(U$1, DicR!$6:$6, 0), FALSE),
            0
        )
)</f>
        <v>0</v>
      </c>
      <c r="V84" s="36">
        <f t="array" ref="V84">SUM(
    IFERROR(
            VLOOKUP($A84, INDIRECT("EneR!$A$6:$ZZ$1048576"), MATCH(V$1, EneR!$6:$6, 0), FALSE),
            0
        ) +
        IFERROR(
            VLOOKUP($A84, INDIRECT("FebR!$A$6:$ZZ$1048576"), MATCH(V$1, FebR!$6:$6, 0), FALSE),
            0
        ) +
        IFERROR(
            VLOOKUP($A84, INDIRECT("MarR!$A$6:$ZZ$1048576"), MATCH(V$1, MarR!$6:$6, 0), FALSE),
            0
        ) +
        IFERROR(
            VLOOKUP($A84, INDIRECT("AbrR!$A$6:$ZZ$1048576"), MATCH(V$1, AbrR!$6:$6, 0), FALSE),
            0
        ) +
        IFERROR(
            VLOOKUP($A84, INDIRECT("MayR!$A$6:$ZZ$1048576"), MATCH(V$1, MayR!$6:$6, 0), FALSE),
            0
        ) +
        IFERROR(
            VLOOKUP($A84, INDIRECT("JunR!$A$6:$ZZ$1048576"), MATCH(V$1, JunR!$6:$6, 0), FALSE),
            0
        ) +
        IFERROR(
            VLOOKUP($A84, INDIRECT("JulR!$A$6:$ZZ$1048576"), MATCH(V$1, JulR!$6:$6, 0), FALSE),
            0
        ) +
        IFERROR(
            VLOOKUP($A84, INDIRECT("AgoR!$A$6:$ZZ$1048576"), MATCH(V$1, AgoR!$6:$6, 0), FALSE),
            0
        ) +
        IFERROR(
            VLOOKUP($A84, INDIRECT("SepR!$A$6:$ZZ$1048576"), MATCH(V$1, SepR!$6:$6, 0), FALSE),
            0
        ) +
        IFERROR(
            VLOOKUP($A84, INDIRECT("OctR!$A$6:$ZZ$1048576"), MATCH(V$1, OctR!$6:$6, 0), FALSE),
            0
        ) +
        IFERROR(
            VLOOKUP($A84, INDIRECT("NovR!$A$6:$ZZ$1048576"), MATCH(V$1, NovR!$6:$6, 0), FALSE),
            0
        ) +
        IFERROR(
            VLOOKUP($A84, INDIRECT("DicR!$A$6:$ZZ$1048576"), MATCH(V$1, DicR!$6:$6, 0), FALSE),
            0
        )
)</f>
        <v>0</v>
      </c>
      <c r="W84" s="37">
        <f t="array" ref="W84">SUM(
    IFERROR(
            VLOOKUP($A84, INDIRECT("EneR!$A$6:$ZZ$1048576"), MATCH(W$1, EneR!$6:$6, 0), FALSE),
            0
        ) +
        IFERROR(
            VLOOKUP($A84, INDIRECT("FebR!$A$6:$ZZ$1048576"), MATCH(W$1, FebR!$6:$6, 0), FALSE),
            0
        ) +
        IFERROR(
            VLOOKUP($A84, INDIRECT("MarR!$A$6:$ZZ$1048576"), MATCH(W$1, MarR!$6:$6, 0), FALSE),
            0
        ) +
        IFERROR(
            VLOOKUP($A84, INDIRECT("AbrR!$A$6:$ZZ$1048576"), MATCH(W$1, AbrR!$6:$6, 0), FALSE),
            0
        ) +
        IFERROR(
            VLOOKUP($A84, INDIRECT("MayR!$A$6:$ZZ$1048576"), MATCH(W$1, MayR!$6:$6, 0), FALSE),
            0
        ) +
        IFERROR(
            VLOOKUP($A84, INDIRECT("JunR!$A$6:$ZZ$1048576"), MATCH(W$1, JunR!$6:$6, 0), FALSE),
            0
        ) +
        IFERROR(
            VLOOKUP($A84, INDIRECT("JulR!$A$6:$ZZ$1048576"), MATCH(W$1, JulR!$6:$6, 0), FALSE),
            0
        ) +
        IFERROR(
            VLOOKUP($A84, INDIRECT("AgoR!$A$6:$ZZ$1048576"), MATCH(W$1, AgoR!$6:$6, 0), FALSE),
            0
        ) +
        IFERROR(
            VLOOKUP($A84, INDIRECT("SepR!$A$6:$ZZ$1048576"), MATCH(W$1, SepR!$6:$6, 0), FALSE),
            0
        ) +
        IFERROR(
            VLOOKUP($A84, INDIRECT("OctR!$A$6:$ZZ$1048576"), MATCH(W$1, OctR!$6:$6, 0), FALSE),
            0
        ) +
        IFERROR(
            VLOOKUP($A84, INDIRECT("NovR!$A$6:$ZZ$1048576"), MATCH(W$1, NovR!$6:$6, 0), FALSE),
            0
        ) +
        IFERROR(
            VLOOKUP($A84, INDIRECT("DicR!$A$6:$ZZ$1048576"), MATCH(W$1, DicR!$6:$6, 0), FALSE),
            0
        )
)</f>
        <v>0</v>
      </c>
      <c r="X84" s="36">
        <f t="array" ref="X84">SUM(
    IFERROR(
            VLOOKUP($A84, INDIRECT("EneR!$A$6:$ZZ$1048576"), MATCH(X$1, EneR!$6:$6, 0), FALSE),
            0
        ) +
        IFERROR(
            VLOOKUP($A84, INDIRECT("FebR!$A$6:$ZZ$1048576"), MATCH(X$1, FebR!$6:$6, 0), FALSE),
            0
        ) +
        IFERROR(
            VLOOKUP($A84, INDIRECT("MarR!$A$6:$ZZ$1048576"), MATCH(X$1, MarR!$6:$6, 0), FALSE),
            0
        ) +
        IFERROR(
            VLOOKUP($A84, INDIRECT("AbrR!$A$6:$ZZ$1048576"), MATCH(X$1, AbrR!$6:$6, 0), FALSE),
            0
        ) +
        IFERROR(
            VLOOKUP($A84, INDIRECT("MayR!$A$6:$ZZ$1048576"), MATCH(X$1, MayR!$6:$6, 0), FALSE),
            0
        ) +
        IFERROR(
            VLOOKUP($A84, INDIRECT("JunR!$A$6:$ZZ$1048576"), MATCH(X$1, JunR!$6:$6, 0), FALSE),
            0
        ) +
        IFERROR(
            VLOOKUP($A84, INDIRECT("JulR!$A$6:$ZZ$1048576"), MATCH(X$1, JulR!$6:$6, 0), FALSE),
            0
        ) +
        IFERROR(
            VLOOKUP($A84, INDIRECT("AgoR!$A$6:$ZZ$1048576"), MATCH(X$1, AgoR!$6:$6, 0), FALSE),
            0
        ) +
        IFERROR(
            VLOOKUP($A84, INDIRECT("SepR!$A$6:$ZZ$1048576"), MATCH(X$1, SepR!$6:$6, 0), FALSE),
            0
        ) +
        IFERROR(
            VLOOKUP($A84, INDIRECT("OctR!$A$6:$ZZ$1048576"), MATCH(X$1, OctR!$6:$6, 0), FALSE),
            0
        ) +
        IFERROR(
            VLOOKUP($A84, INDIRECT("NovR!$A$6:$ZZ$1048576"), MATCH(X$1, NovR!$6:$6, 0), FALSE),
            0
        ) +
        IFERROR(
            VLOOKUP($A84, INDIRECT("DicR!$A$6:$ZZ$1048576"), MATCH(X$1, DicR!$6:$6, 0), FALSE),
            0
        )
)</f>
        <v>0</v>
      </c>
      <c r="Y84" s="37">
        <f t="array" ref="Y84">SUM(
    IFERROR(
            VLOOKUP($A84, INDIRECT("EneR!$A$6:$ZZ$1048576"), MATCH(Y$1, EneR!$6:$6, 0), FALSE),
            0
        ) +
        IFERROR(
            VLOOKUP($A84, INDIRECT("FebR!$A$6:$ZZ$1048576"), MATCH(Y$1, FebR!$6:$6, 0), FALSE),
            0
        ) +
        IFERROR(
            VLOOKUP($A84, INDIRECT("MarR!$A$6:$ZZ$1048576"), MATCH(Y$1, MarR!$6:$6, 0), FALSE),
            0
        ) +
        IFERROR(
            VLOOKUP($A84, INDIRECT("AbrR!$A$6:$ZZ$1048576"), MATCH(Y$1, AbrR!$6:$6, 0), FALSE),
            0
        ) +
        IFERROR(
            VLOOKUP($A84, INDIRECT("MayR!$A$6:$ZZ$1048576"), MATCH(Y$1, MayR!$6:$6, 0), FALSE),
            0
        ) +
        IFERROR(
            VLOOKUP($A84, INDIRECT("JunR!$A$6:$ZZ$1048576"), MATCH(Y$1, JunR!$6:$6, 0), FALSE),
            0
        ) +
        IFERROR(
            VLOOKUP($A84, INDIRECT("JulR!$A$6:$ZZ$1048576"), MATCH(Y$1, JulR!$6:$6, 0), FALSE),
            0
        ) +
        IFERROR(
            VLOOKUP($A84, INDIRECT("AgoR!$A$6:$ZZ$1048576"), MATCH(Y$1, AgoR!$6:$6, 0), FALSE),
            0
        ) +
        IFERROR(
            VLOOKUP($A84, INDIRECT("SepR!$A$6:$ZZ$1048576"), MATCH(Y$1, SepR!$6:$6, 0), FALSE),
            0
        ) +
        IFERROR(
            VLOOKUP($A84, INDIRECT("OctR!$A$6:$ZZ$1048576"), MATCH(Y$1, OctR!$6:$6, 0), FALSE),
            0
        ) +
        IFERROR(
            VLOOKUP($A84, INDIRECT("NovR!$A$6:$ZZ$1048576"), MATCH(Y$1, NovR!$6:$6, 0), FALSE),
            0
        ) +
        IFERROR(
            VLOOKUP($A84, INDIRECT("DicR!$A$6:$ZZ$1048576"), MATCH(Y$1, DicR!$6:$6, 0), FALSE),
            0
        )
)</f>
        <v>0</v>
      </c>
      <c r="Z84" s="36">
        <f t="array" ref="Z84">SUM(
    IFERROR(
            VLOOKUP($A84, INDIRECT("EneR!$A$6:$ZZ$1048576"), MATCH(Z$1, EneR!$6:$6, 0), FALSE),
            0
        ) +
        IFERROR(
            VLOOKUP($A84, INDIRECT("FebR!$A$6:$ZZ$1048576"), MATCH(Z$1, FebR!$6:$6, 0), FALSE),
            0
        ) +
        IFERROR(
            VLOOKUP($A84, INDIRECT("MarR!$A$6:$ZZ$1048576"), MATCH(Z$1, MarR!$6:$6, 0), FALSE),
            0
        ) +
        IFERROR(
            VLOOKUP($A84, INDIRECT("AbrR!$A$6:$ZZ$1048576"), MATCH(Z$1, AbrR!$6:$6, 0), FALSE),
            0
        ) +
        IFERROR(
            VLOOKUP($A84, INDIRECT("MayR!$A$6:$ZZ$1048576"), MATCH(Z$1, MayR!$6:$6, 0), FALSE),
            0
        ) +
        IFERROR(
            VLOOKUP($A84, INDIRECT("JunR!$A$6:$ZZ$1048576"), MATCH(Z$1, JunR!$6:$6, 0), FALSE),
            0
        ) +
        IFERROR(
            VLOOKUP($A84, INDIRECT("JulR!$A$6:$ZZ$1048576"), MATCH(Z$1, JulR!$6:$6, 0), FALSE),
            0
        ) +
        IFERROR(
            VLOOKUP($A84, INDIRECT("AgoR!$A$6:$ZZ$1048576"), MATCH(Z$1, AgoR!$6:$6, 0), FALSE),
            0
        ) +
        IFERROR(
            VLOOKUP($A84, INDIRECT("SepR!$A$6:$ZZ$1048576"), MATCH(Z$1, SepR!$6:$6, 0), FALSE),
            0
        ) +
        IFERROR(
            VLOOKUP($A84, INDIRECT("OctR!$A$6:$ZZ$1048576"), MATCH(Z$1, OctR!$6:$6, 0), FALSE),
            0
        ) +
        IFERROR(
            VLOOKUP($A84, INDIRECT("NovR!$A$6:$ZZ$1048576"), MATCH(Z$1, NovR!$6:$6, 0), FALSE),
            0
        ) +
        IFERROR(
            VLOOKUP($A84, INDIRECT("DicR!$A$6:$ZZ$1048576"), MATCH(Z$1, DicR!$6:$6, 0), FALSE),
            0
        )
)</f>
        <v>0</v>
      </c>
      <c r="AA84" s="37">
        <f t="array" ref="AA84">SUM(
    IFERROR(
            VLOOKUP($A84, INDIRECT("EneR!$A$6:$ZZ$1048576"), MATCH(AA$1, EneR!$6:$6, 0), FALSE),
            0
        ) +
        IFERROR(
            VLOOKUP($A84, INDIRECT("FebR!$A$6:$ZZ$1048576"), MATCH(AA$1, FebR!$6:$6, 0), FALSE),
            0
        ) +
        IFERROR(
            VLOOKUP($A84, INDIRECT("MarR!$A$6:$ZZ$1048576"), MATCH(AA$1, MarR!$6:$6, 0), FALSE),
            0
        ) +
        IFERROR(
            VLOOKUP($A84, INDIRECT("AbrR!$A$6:$ZZ$1048576"), MATCH(AA$1, AbrR!$6:$6, 0), FALSE),
            0
        ) +
        IFERROR(
            VLOOKUP($A84, INDIRECT("MayR!$A$6:$ZZ$1048576"), MATCH(AA$1, MayR!$6:$6, 0), FALSE),
            0
        ) +
        IFERROR(
            VLOOKUP($A84, INDIRECT("JunR!$A$6:$ZZ$1048576"), MATCH(AA$1, JunR!$6:$6, 0), FALSE),
            0
        ) +
        IFERROR(
            VLOOKUP($A84, INDIRECT("JulR!$A$6:$ZZ$1048576"), MATCH(AA$1, JulR!$6:$6, 0), FALSE),
            0
        ) +
        IFERROR(
            VLOOKUP($A84, INDIRECT("AgoR!$A$6:$ZZ$1048576"), MATCH(AA$1, AgoR!$6:$6, 0), FALSE),
            0
        ) +
        IFERROR(
            VLOOKUP($A84, INDIRECT("SepR!$A$6:$ZZ$1048576"), MATCH(AA$1, SepR!$6:$6, 0), FALSE),
            0
        ) +
        IFERROR(
            VLOOKUP($A84, INDIRECT("OctR!$A$6:$ZZ$1048576"), MATCH(AA$1, OctR!$6:$6, 0), FALSE),
            0
        ) +
        IFERROR(
            VLOOKUP($A84, INDIRECT("NovR!$A$6:$ZZ$1048576"), MATCH(AA$1, NovR!$6:$6, 0), FALSE),
            0
        ) +
        IFERROR(
            VLOOKUP($A84, INDIRECT("DicR!$A$6:$ZZ$1048576"), MATCH(AA$1, DicR!$6:$6, 0), FALSE),
            0
        )
)</f>
        <v>0</v>
      </c>
      <c r="AB84" s="36">
        <f t="array" ref="AB84">SUM(
    IFERROR(
            VLOOKUP($A84, INDIRECT("EneR!$A$6:$ZZ$1048576"), MATCH(AB$1, EneR!$6:$6, 0), FALSE),
            0
        ) +
        IFERROR(
            VLOOKUP($A84, INDIRECT("FebR!$A$6:$ZZ$1048576"), MATCH(AB$1, FebR!$6:$6, 0), FALSE),
            0
        ) +
        IFERROR(
            VLOOKUP($A84, INDIRECT("MarR!$A$6:$ZZ$1048576"), MATCH(AB$1, MarR!$6:$6, 0), FALSE),
            0
        ) +
        IFERROR(
            VLOOKUP($A84, INDIRECT("AbrR!$A$6:$ZZ$1048576"), MATCH(AB$1, AbrR!$6:$6, 0), FALSE),
            0
        ) +
        IFERROR(
            VLOOKUP($A84, INDIRECT("MayR!$A$6:$ZZ$1048576"), MATCH(AB$1, MayR!$6:$6, 0), FALSE),
            0
        ) +
        IFERROR(
            VLOOKUP($A84, INDIRECT("JunR!$A$6:$ZZ$1048576"), MATCH(AB$1, JunR!$6:$6, 0), FALSE),
            0
        ) +
        IFERROR(
            VLOOKUP($A84, INDIRECT("JulR!$A$6:$ZZ$1048576"), MATCH(AB$1, JulR!$6:$6, 0), FALSE),
            0
        ) +
        IFERROR(
            VLOOKUP($A84, INDIRECT("AgoR!$A$6:$ZZ$1048576"), MATCH(AB$1, AgoR!$6:$6, 0), FALSE),
            0
        ) +
        IFERROR(
            VLOOKUP($A84, INDIRECT("SepR!$A$6:$ZZ$1048576"), MATCH(AB$1, SepR!$6:$6, 0), FALSE),
            0
        ) +
        IFERROR(
            VLOOKUP($A84, INDIRECT("OctR!$A$6:$ZZ$1048576"), MATCH(AB$1, OctR!$6:$6, 0), FALSE),
            0
        ) +
        IFERROR(
            VLOOKUP($A84, INDIRECT("NovR!$A$6:$ZZ$1048576"), MATCH(AB$1, NovR!$6:$6, 0), FALSE),
            0
        ) +
        IFERROR(
            VLOOKUP($A84, INDIRECT("DicR!$A$6:$ZZ$1048576"), MATCH(AB$1, DicR!$6:$6, 0), FALSE),
            0
        )
)</f>
        <v>0</v>
      </c>
      <c r="AC84" s="37">
        <f t="array" ref="AC84">SUM(
    IFERROR(
            VLOOKUP($A84, INDIRECT("EneR!$A$6:$ZZ$1048576"), MATCH(AC$1, EneR!$6:$6, 0), FALSE),
            0
        ) +
        IFERROR(
            VLOOKUP($A84, INDIRECT("FebR!$A$6:$ZZ$1048576"), MATCH(AC$1, FebR!$6:$6, 0), FALSE),
            0
        ) +
        IFERROR(
            VLOOKUP($A84, INDIRECT("MarR!$A$6:$ZZ$1048576"), MATCH(AC$1, MarR!$6:$6, 0), FALSE),
            0
        ) +
        IFERROR(
            VLOOKUP($A84, INDIRECT("AbrR!$A$6:$ZZ$1048576"), MATCH(AC$1, AbrR!$6:$6, 0), FALSE),
            0
        ) +
        IFERROR(
            VLOOKUP($A84, INDIRECT("MayR!$A$6:$ZZ$1048576"), MATCH(AC$1, MayR!$6:$6, 0), FALSE),
            0
        ) +
        IFERROR(
            VLOOKUP($A84, INDIRECT("JunR!$A$6:$ZZ$1048576"), MATCH(AC$1, JunR!$6:$6, 0), FALSE),
            0
        ) +
        IFERROR(
            VLOOKUP($A84, INDIRECT("JulR!$A$6:$ZZ$1048576"), MATCH(AC$1, JulR!$6:$6, 0), FALSE),
            0
        ) +
        IFERROR(
            VLOOKUP($A84, INDIRECT("AgoR!$A$6:$ZZ$1048576"), MATCH(AC$1, AgoR!$6:$6, 0), FALSE),
            0
        ) +
        IFERROR(
            VLOOKUP($A84, INDIRECT("SepR!$A$6:$ZZ$1048576"), MATCH(AC$1, SepR!$6:$6, 0), FALSE),
            0
        ) +
        IFERROR(
            VLOOKUP($A84, INDIRECT("OctR!$A$6:$ZZ$1048576"), MATCH(AC$1, OctR!$6:$6, 0), FALSE),
            0
        ) +
        IFERROR(
            VLOOKUP($A84, INDIRECT("NovR!$A$6:$ZZ$1048576"), MATCH(AC$1, NovR!$6:$6, 0), FALSE),
            0
        ) +
        IFERROR(
            VLOOKUP($A84, INDIRECT("DicR!$A$6:$ZZ$1048576"), MATCH(AC$1, DicR!$6:$6, 0), FALSE),
            0
        )
)</f>
        <v>0</v>
      </c>
      <c r="AD84" s="36">
        <f t="array" ref="AD84">SUM(
    IFERROR(
            VLOOKUP($A84, INDIRECT("EneR!$A$6:$ZZ$1048576"), MATCH(AD$1, EneR!$6:$6, 0), FALSE),
            0
        ) +
        IFERROR(
            VLOOKUP($A84, INDIRECT("FebR!$A$6:$ZZ$1048576"), MATCH(AD$1, FebR!$6:$6, 0), FALSE),
            0
        ) +
        IFERROR(
            VLOOKUP($A84, INDIRECT("MarR!$A$6:$ZZ$1048576"), MATCH(AD$1, MarR!$6:$6, 0), FALSE),
            0
        ) +
        IFERROR(
            VLOOKUP($A84, INDIRECT("AbrR!$A$6:$ZZ$1048576"), MATCH(AD$1, AbrR!$6:$6, 0), FALSE),
            0
        ) +
        IFERROR(
            VLOOKUP($A84, INDIRECT("MayR!$A$6:$ZZ$1048576"), MATCH(AD$1, MayR!$6:$6, 0), FALSE),
            0
        ) +
        IFERROR(
            VLOOKUP($A84, INDIRECT("JunR!$A$6:$ZZ$1048576"), MATCH(AD$1, JunR!$6:$6, 0), FALSE),
            0
        ) +
        IFERROR(
            VLOOKUP($A84, INDIRECT("JulR!$A$6:$ZZ$1048576"), MATCH(AD$1, JulR!$6:$6, 0), FALSE),
            0
        ) +
        IFERROR(
            VLOOKUP($A84, INDIRECT("AgoR!$A$6:$ZZ$1048576"), MATCH(AD$1, AgoR!$6:$6, 0), FALSE),
            0
        ) +
        IFERROR(
            VLOOKUP($A84, INDIRECT("SepR!$A$6:$ZZ$1048576"), MATCH(AD$1, SepR!$6:$6, 0), FALSE),
            0
        ) +
        IFERROR(
            VLOOKUP($A84, INDIRECT("OctR!$A$6:$ZZ$1048576"), MATCH(AD$1, OctR!$6:$6, 0), FALSE),
            0
        ) +
        IFERROR(
            VLOOKUP($A84, INDIRECT("NovR!$A$6:$ZZ$1048576"), MATCH(AD$1, NovR!$6:$6, 0), FALSE),
            0
        ) +
        IFERROR(
            VLOOKUP($A84, INDIRECT("DicR!$A$6:$ZZ$1048576"), MATCH(AD$1, DicR!$6:$6, 0), FALSE),
            0
        )
)</f>
        <v>0</v>
      </c>
      <c r="AE84" s="37">
        <f t="array" ref="AE84">SUM(
    IFERROR(
            VLOOKUP($A84, INDIRECT("EneR!$A$6:$ZZ$1048576"), MATCH(AE$1, EneR!$6:$6, 0), FALSE),
            0
        ) +
        IFERROR(
            VLOOKUP($A84, INDIRECT("FebR!$A$6:$ZZ$1048576"), MATCH(AE$1, FebR!$6:$6, 0), FALSE),
            0
        ) +
        IFERROR(
            VLOOKUP($A84, INDIRECT("MarR!$A$6:$ZZ$1048576"), MATCH(AE$1, MarR!$6:$6, 0), FALSE),
            0
        ) +
        IFERROR(
            VLOOKUP($A84, INDIRECT("AbrR!$A$6:$ZZ$1048576"), MATCH(AE$1, AbrR!$6:$6, 0), FALSE),
            0
        ) +
        IFERROR(
            VLOOKUP($A84, INDIRECT("MayR!$A$6:$ZZ$1048576"), MATCH(AE$1, MayR!$6:$6, 0), FALSE),
            0
        ) +
        IFERROR(
            VLOOKUP($A84, INDIRECT("JunR!$A$6:$ZZ$1048576"), MATCH(AE$1, JunR!$6:$6, 0), FALSE),
            0
        ) +
        IFERROR(
            VLOOKUP($A84, INDIRECT("JulR!$A$6:$ZZ$1048576"), MATCH(AE$1, JulR!$6:$6, 0), FALSE),
            0
        ) +
        IFERROR(
            VLOOKUP($A84, INDIRECT("AgoR!$A$6:$ZZ$1048576"), MATCH(AE$1, AgoR!$6:$6, 0), FALSE),
            0
        ) +
        IFERROR(
            VLOOKUP($A84, INDIRECT("SepR!$A$6:$ZZ$1048576"), MATCH(AE$1, SepR!$6:$6, 0), FALSE),
            0
        ) +
        IFERROR(
            VLOOKUP($A84, INDIRECT("OctR!$A$6:$ZZ$1048576"), MATCH(AE$1, OctR!$6:$6, 0), FALSE),
            0
        ) +
        IFERROR(
            VLOOKUP($A84, INDIRECT("NovR!$A$6:$ZZ$1048576"), MATCH(AE$1, NovR!$6:$6, 0), FALSE),
            0
        ) +
        IFERROR(
            VLOOKUP($A84, INDIRECT("DicR!$A$6:$ZZ$1048576"), MATCH(AE$1, DicR!$6:$6, 0), FALSE),
            0
        )
)</f>
        <v>0</v>
      </c>
      <c r="AF84" s="36">
        <f t="array" ref="AF84">SUM(
    IFERROR(
            VLOOKUP($A84, INDIRECT("EneR!$A$6:$ZZ$1048576"), MATCH(AF$1, EneR!$6:$6, 0), FALSE),
            0
        ) +
        IFERROR(
            VLOOKUP($A84, INDIRECT("FebR!$A$6:$ZZ$1048576"), MATCH(AF$1, FebR!$6:$6, 0), FALSE),
            0
        ) +
        IFERROR(
            VLOOKUP($A84, INDIRECT("MarR!$A$6:$ZZ$1048576"), MATCH(AF$1, MarR!$6:$6, 0), FALSE),
            0
        ) +
        IFERROR(
            VLOOKUP($A84, INDIRECT("AbrR!$A$6:$ZZ$1048576"), MATCH(AF$1, AbrR!$6:$6, 0), FALSE),
            0
        ) +
        IFERROR(
            VLOOKUP($A84, INDIRECT("MayR!$A$6:$ZZ$1048576"), MATCH(AF$1, MayR!$6:$6, 0), FALSE),
            0
        ) +
        IFERROR(
            VLOOKUP($A84, INDIRECT("JunR!$A$6:$ZZ$1048576"), MATCH(AF$1, JunR!$6:$6, 0), FALSE),
            0
        ) +
        IFERROR(
            VLOOKUP($A84, INDIRECT("JulR!$A$6:$ZZ$1048576"), MATCH(AF$1, JulR!$6:$6, 0), FALSE),
            0
        ) +
        IFERROR(
            VLOOKUP($A84, INDIRECT("AgoR!$A$6:$ZZ$1048576"), MATCH(AF$1, AgoR!$6:$6, 0), FALSE),
            0
        ) +
        IFERROR(
            VLOOKUP($A84, INDIRECT("SepR!$A$6:$ZZ$1048576"), MATCH(AF$1, SepR!$6:$6, 0), FALSE),
            0
        ) +
        IFERROR(
            VLOOKUP($A84, INDIRECT("OctR!$A$6:$ZZ$1048576"), MATCH(AF$1, OctR!$6:$6, 0), FALSE),
            0
        ) +
        IFERROR(
            VLOOKUP($A84, INDIRECT("NovR!$A$6:$ZZ$1048576"), MATCH(AF$1, NovR!$6:$6, 0), FALSE),
            0
        ) +
        IFERROR(
            VLOOKUP($A84, INDIRECT("DicR!$A$6:$ZZ$1048576"), MATCH(AF$1, DicR!$6:$6, 0), FALSE),
            0
        )
)</f>
        <v>0</v>
      </c>
      <c r="AG84" s="37">
        <f t="array" ref="AG84">SUM(
    IFERROR(
            VLOOKUP($A84, INDIRECT("EneR!$A$6:$ZZ$1048576"), MATCH(AG$1, EneR!$6:$6, 0), FALSE),
            0
        ) +
        IFERROR(
            VLOOKUP($A84, INDIRECT("FebR!$A$6:$ZZ$1048576"), MATCH(AG$1, FebR!$6:$6, 0), FALSE),
            0
        ) +
        IFERROR(
            VLOOKUP($A84, INDIRECT("MarR!$A$6:$ZZ$1048576"), MATCH(AG$1, MarR!$6:$6, 0), FALSE),
            0
        ) +
        IFERROR(
            VLOOKUP($A84, INDIRECT("AbrR!$A$6:$ZZ$1048576"), MATCH(AG$1, AbrR!$6:$6, 0), FALSE),
            0
        ) +
        IFERROR(
            VLOOKUP($A84, INDIRECT("MayR!$A$6:$ZZ$1048576"), MATCH(AG$1, MayR!$6:$6, 0), FALSE),
            0
        ) +
        IFERROR(
            VLOOKUP($A84, INDIRECT("JunR!$A$6:$ZZ$1048576"), MATCH(AG$1, JunR!$6:$6, 0), FALSE),
            0
        ) +
        IFERROR(
            VLOOKUP($A84, INDIRECT("JulR!$A$6:$ZZ$1048576"), MATCH(AG$1, JulR!$6:$6, 0), FALSE),
            0
        ) +
        IFERROR(
            VLOOKUP($A84, INDIRECT("AgoR!$A$6:$ZZ$1048576"), MATCH(AG$1, AgoR!$6:$6, 0), FALSE),
            0
        ) +
        IFERROR(
            VLOOKUP($A84, INDIRECT("SepR!$A$6:$ZZ$1048576"), MATCH(AG$1, SepR!$6:$6, 0), FALSE),
            0
        ) +
        IFERROR(
            VLOOKUP($A84, INDIRECT("OctR!$A$6:$ZZ$1048576"), MATCH(AG$1, OctR!$6:$6, 0), FALSE),
            0
        ) +
        IFERROR(
            VLOOKUP($A84, INDIRECT("NovR!$A$6:$ZZ$1048576"), MATCH(AG$1, NovR!$6:$6, 0), FALSE),
            0
        ) +
        IFERROR(
            VLOOKUP($A84, INDIRECT("DicR!$A$6:$ZZ$1048576"), MATCH(AG$1, DicR!$6:$6, 0), FALSE),
            0
        )
)</f>
        <v>0</v>
      </c>
      <c r="AH84" s="36">
        <f t="array" ref="AH84">SUM(
    IFERROR(
            VLOOKUP($A84, INDIRECT("EneR!$A$6:$ZZ$1048576"), MATCH(AH$1, EneR!$6:$6, 0), FALSE),
            0
        ) +
        IFERROR(
            VLOOKUP($A84, INDIRECT("FebR!$A$6:$ZZ$1048576"), MATCH(AH$1, FebR!$6:$6, 0), FALSE),
            0
        ) +
        IFERROR(
            VLOOKUP($A84, INDIRECT("MarR!$A$6:$ZZ$1048576"), MATCH(AH$1, MarR!$6:$6, 0), FALSE),
            0
        ) +
        IFERROR(
            VLOOKUP($A84, INDIRECT("AbrR!$A$6:$ZZ$1048576"), MATCH(AH$1, AbrR!$6:$6, 0), FALSE),
            0
        ) +
        IFERROR(
            VLOOKUP($A84, INDIRECT("MayR!$A$6:$ZZ$1048576"), MATCH(AH$1, MayR!$6:$6, 0), FALSE),
            0
        ) +
        IFERROR(
            VLOOKUP($A84, INDIRECT("JunR!$A$6:$ZZ$1048576"), MATCH(AH$1, JunR!$6:$6, 0), FALSE),
            0
        ) +
        IFERROR(
            VLOOKUP($A84, INDIRECT("JulR!$A$6:$ZZ$1048576"), MATCH(AH$1, JulR!$6:$6, 0), FALSE),
            0
        ) +
        IFERROR(
            VLOOKUP($A84, INDIRECT("AgoR!$A$6:$ZZ$1048576"), MATCH(AH$1, AgoR!$6:$6, 0), FALSE),
            0
        ) +
        IFERROR(
            VLOOKUP($A84, INDIRECT("SepR!$A$6:$ZZ$1048576"), MATCH(AH$1, SepR!$6:$6, 0), FALSE),
            0
        ) +
        IFERROR(
            VLOOKUP($A84, INDIRECT("OctR!$A$6:$ZZ$1048576"), MATCH(AH$1, OctR!$6:$6, 0), FALSE),
            0
        ) +
        IFERROR(
            VLOOKUP($A84, INDIRECT("NovR!$A$6:$ZZ$1048576"), MATCH(AH$1, NovR!$6:$6, 0), FALSE),
            0
        ) +
        IFERROR(
            VLOOKUP($A84, INDIRECT("DicR!$A$6:$ZZ$1048576"), MATCH(AH$1, DicR!$6:$6, 0), FALSE),
            0
        )
)</f>
        <v>0</v>
      </c>
      <c r="AI84" s="37">
        <f t="array" ref="AI84">SUM(
    IFERROR(
            VLOOKUP($A84, INDIRECT("EneR!$A$6:$ZZ$1048576"), MATCH(AI$1, EneR!$6:$6, 0), FALSE),
            0
        ) +
        IFERROR(
            VLOOKUP($A84, INDIRECT("FebR!$A$6:$ZZ$1048576"), MATCH(AI$1, FebR!$6:$6, 0), FALSE),
            0
        ) +
        IFERROR(
            VLOOKUP($A84, INDIRECT("MarR!$A$6:$ZZ$1048576"), MATCH(AI$1, MarR!$6:$6, 0), FALSE),
            0
        ) +
        IFERROR(
            VLOOKUP($A84, INDIRECT("AbrR!$A$6:$ZZ$1048576"), MATCH(AI$1, AbrR!$6:$6, 0), FALSE),
            0
        ) +
        IFERROR(
            VLOOKUP($A84, INDIRECT("MayR!$A$6:$ZZ$1048576"), MATCH(AI$1, MayR!$6:$6, 0), FALSE),
            0
        ) +
        IFERROR(
            VLOOKUP($A84, INDIRECT("JunR!$A$6:$ZZ$1048576"), MATCH(AI$1, JunR!$6:$6, 0), FALSE),
            0
        ) +
        IFERROR(
            VLOOKUP($A84, INDIRECT("JulR!$A$6:$ZZ$1048576"), MATCH(AI$1, JulR!$6:$6, 0), FALSE),
            0
        ) +
        IFERROR(
            VLOOKUP($A84, INDIRECT("AgoR!$A$6:$ZZ$1048576"), MATCH(AI$1, AgoR!$6:$6, 0), FALSE),
            0
        ) +
        IFERROR(
            VLOOKUP($A84, INDIRECT("SepR!$A$6:$ZZ$1048576"), MATCH(AI$1, SepR!$6:$6, 0), FALSE),
            0
        ) +
        IFERROR(
            VLOOKUP($A84, INDIRECT("OctR!$A$6:$ZZ$1048576"), MATCH(AI$1, OctR!$6:$6, 0), FALSE),
            0
        ) +
        IFERROR(
            VLOOKUP($A84, INDIRECT("NovR!$A$6:$ZZ$1048576"), MATCH(AI$1, NovR!$6:$6, 0), FALSE),
            0
        ) +
        IFERROR(
            VLOOKUP($A84, INDIRECT("DicR!$A$6:$ZZ$1048576"), MATCH(AI$1, DicR!$6:$6, 0), FALSE),
            0
        )
)</f>
        <v>0</v>
      </c>
      <c r="AJ84" s="36">
        <f t="array" ref="AJ84">SUM(
    IFERROR(
            VLOOKUP($A84, INDIRECT("EneR!$A$6:$ZZ$1048576"), MATCH(AJ$1, EneR!$6:$6, 0), FALSE),
            0
        ) +
        IFERROR(
            VLOOKUP($A84, INDIRECT("FebR!$A$6:$ZZ$1048576"), MATCH(AJ$1, FebR!$6:$6, 0), FALSE),
            0
        ) +
        IFERROR(
            VLOOKUP($A84, INDIRECT("MarR!$A$6:$ZZ$1048576"), MATCH(AJ$1, MarR!$6:$6, 0), FALSE),
            0
        ) +
        IFERROR(
            VLOOKUP($A84, INDIRECT("AbrR!$A$6:$ZZ$1048576"), MATCH(AJ$1, AbrR!$6:$6, 0), FALSE),
            0
        ) +
        IFERROR(
            VLOOKUP($A84, INDIRECT("MayR!$A$6:$ZZ$1048576"), MATCH(AJ$1, MayR!$6:$6, 0), FALSE),
            0
        ) +
        IFERROR(
            VLOOKUP($A84, INDIRECT("JunR!$A$6:$ZZ$1048576"), MATCH(AJ$1, JunR!$6:$6, 0), FALSE),
            0
        ) +
        IFERROR(
            VLOOKUP($A84, INDIRECT("JulR!$A$6:$ZZ$1048576"), MATCH(AJ$1, JulR!$6:$6, 0), FALSE),
            0
        ) +
        IFERROR(
            VLOOKUP($A84, INDIRECT("AgoR!$A$6:$ZZ$1048576"), MATCH(AJ$1, AgoR!$6:$6, 0), FALSE),
            0
        ) +
        IFERROR(
            VLOOKUP($A84, INDIRECT("SepR!$A$6:$ZZ$1048576"), MATCH(AJ$1, SepR!$6:$6, 0), FALSE),
            0
        ) +
        IFERROR(
            VLOOKUP($A84, INDIRECT("OctR!$A$6:$ZZ$1048576"), MATCH(AJ$1, OctR!$6:$6, 0), FALSE),
            0
        ) +
        IFERROR(
            VLOOKUP($A84, INDIRECT("NovR!$A$6:$ZZ$1048576"), MATCH(AJ$1, NovR!$6:$6, 0), FALSE),
            0
        ) +
        IFERROR(
            VLOOKUP($A84, INDIRECT("DicR!$A$6:$ZZ$1048576"), MATCH(AJ$1, DicR!$6:$6, 0), FALSE),
            0
        )
)</f>
        <v>0</v>
      </c>
      <c r="AK84" s="37">
        <f t="array" ref="AK84">SUM(
    IFERROR(
            VLOOKUP($A84, INDIRECT("EneR!$A$6:$ZZ$1048576"), MATCH(AK$1, EneR!$6:$6, 0), FALSE),
            0
        ) +
        IFERROR(
            VLOOKUP($A84, INDIRECT("FebR!$A$6:$ZZ$1048576"), MATCH(AK$1, FebR!$6:$6, 0), FALSE),
            0
        ) +
        IFERROR(
            VLOOKUP($A84, INDIRECT("MarR!$A$6:$ZZ$1048576"), MATCH(AK$1, MarR!$6:$6, 0), FALSE),
            0
        ) +
        IFERROR(
            VLOOKUP($A84, INDIRECT("AbrR!$A$6:$ZZ$1048576"), MATCH(AK$1, AbrR!$6:$6, 0), FALSE),
            0
        ) +
        IFERROR(
            VLOOKUP($A84, INDIRECT("MayR!$A$6:$ZZ$1048576"), MATCH(AK$1, MayR!$6:$6, 0), FALSE),
            0
        ) +
        IFERROR(
            VLOOKUP($A84, INDIRECT("JunR!$A$6:$ZZ$1048576"), MATCH(AK$1, JunR!$6:$6, 0), FALSE),
            0
        ) +
        IFERROR(
            VLOOKUP($A84, INDIRECT("JulR!$A$6:$ZZ$1048576"), MATCH(AK$1, JulR!$6:$6, 0), FALSE),
            0
        ) +
        IFERROR(
            VLOOKUP($A84, INDIRECT("AgoR!$A$6:$ZZ$1048576"), MATCH(AK$1, AgoR!$6:$6, 0), FALSE),
            0
        ) +
        IFERROR(
            VLOOKUP($A84, INDIRECT("SepR!$A$6:$ZZ$1048576"), MATCH(AK$1, SepR!$6:$6, 0), FALSE),
            0
        ) +
        IFERROR(
            VLOOKUP($A84, INDIRECT("OctR!$A$6:$ZZ$1048576"), MATCH(AK$1, OctR!$6:$6, 0), FALSE),
            0
        ) +
        IFERROR(
            VLOOKUP($A84, INDIRECT("NovR!$A$6:$ZZ$1048576"), MATCH(AK$1, NovR!$6:$6, 0), FALSE),
            0
        ) +
        IFERROR(
            VLOOKUP($A84, INDIRECT("DicR!$A$6:$ZZ$1048576"), MATCH(AK$1, DicR!$6:$6, 0), FALSE),
            0
        )
)</f>
        <v>0</v>
      </c>
      <c r="AL84" s="36">
        <f t="array" ref="AL84">SUM(
    IFERROR(
            VLOOKUP($A84, INDIRECT("EneR!$A$6:$ZZ$1048576"), MATCH(AL$1, EneR!$6:$6, 0), FALSE),
            0
        ) +
        IFERROR(
            VLOOKUP($A84, INDIRECT("FebR!$A$6:$ZZ$1048576"), MATCH(AL$1, FebR!$6:$6, 0), FALSE),
            0
        ) +
        IFERROR(
            VLOOKUP($A84, INDIRECT("MarR!$A$6:$ZZ$1048576"), MATCH(AL$1, MarR!$6:$6, 0), FALSE),
            0
        ) +
        IFERROR(
            VLOOKUP($A84, INDIRECT("AbrR!$A$6:$ZZ$1048576"), MATCH(AL$1, AbrR!$6:$6, 0), FALSE),
            0
        ) +
        IFERROR(
            VLOOKUP($A84, INDIRECT("MayR!$A$6:$ZZ$1048576"), MATCH(AL$1, MayR!$6:$6, 0), FALSE),
            0
        ) +
        IFERROR(
            VLOOKUP($A84, INDIRECT("JunR!$A$6:$ZZ$1048576"), MATCH(AL$1, JunR!$6:$6, 0), FALSE),
            0
        ) +
        IFERROR(
            VLOOKUP($A84, INDIRECT("JulR!$A$6:$ZZ$1048576"), MATCH(AL$1, JulR!$6:$6, 0), FALSE),
            0
        ) +
        IFERROR(
            VLOOKUP($A84, INDIRECT("AgoR!$A$6:$ZZ$1048576"), MATCH(AL$1, AgoR!$6:$6, 0), FALSE),
            0
        ) +
        IFERROR(
            VLOOKUP($A84, INDIRECT("SepR!$A$6:$ZZ$1048576"), MATCH(AL$1, SepR!$6:$6, 0), FALSE),
            0
        ) +
        IFERROR(
            VLOOKUP($A84, INDIRECT("OctR!$A$6:$ZZ$1048576"), MATCH(AL$1, OctR!$6:$6, 0), FALSE),
            0
        ) +
        IFERROR(
            VLOOKUP($A84, INDIRECT("NovR!$A$6:$ZZ$1048576"), MATCH(AL$1, NovR!$6:$6, 0), FALSE),
            0
        ) +
        IFERROR(
            VLOOKUP($A84, INDIRECT("DicR!$A$6:$ZZ$1048576"), MATCH(AL$1, DicR!$6:$6, 0), FALSE),
            0
        )
)</f>
        <v>0</v>
      </c>
      <c r="AM84" s="37">
        <f t="array" ref="AM84">SUM(
    IFERROR(
            VLOOKUP($A84, INDIRECT("EneR!$A$6:$ZZ$1048576"), MATCH(AM$1, EneR!$6:$6, 0), FALSE),
            0
        ) +
        IFERROR(
            VLOOKUP($A84, INDIRECT("FebR!$A$6:$ZZ$1048576"), MATCH(AM$1, FebR!$6:$6, 0), FALSE),
            0
        ) +
        IFERROR(
            VLOOKUP($A84, INDIRECT("MarR!$A$6:$ZZ$1048576"), MATCH(AM$1, MarR!$6:$6, 0), FALSE),
            0
        ) +
        IFERROR(
            VLOOKUP($A84, INDIRECT("AbrR!$A$6:$ZZ$1048576"), MATCH(AM$1, AbrR!$6:$6, 0), FALSE),
            0
        ) +
        IFERROR(
            VLOOKUP($A84, INDIRECT("MayR!$A$6:$ZZ$1048576"), MATCH(AM$1, MayR!$6:$6, 0), FALSE),
            0
        ) +
        IFERROR(
            VLOOKUP($A84, INDIRECT("JunR!$A$6:$ZZ$1048576"), MATCH(AM$1, JunR!$6:$6, 0), FALSE),
            0
        ) +
        IFERROR(
            VLOOKUP($A84, INDIRECT("JulR!$A$6:$ZZ$1048576"), MATCH(AM$1, JulR!$6:$6, 0), FALSE),
            0
        ) +
        IFERROR(
            VLOOKUP($A84, INDIRECT("AgoR!$A$6:$ZZ$1048576"), MATCH(AM$1, AgoR!$6:$6, 0), FALSE),
            0
        ) +
        IFERROR(
            VLOOKUP($A84, INDIRECT("SepR!$A$6:$ZZ$1048576"), MATCH(AM$1, SepR!$6:$6, 0), FALSE),
            0
        ) +
        IFERROR(
            VLOOKUP($A84, INDIRECT("OctR!$A$6:$ZZ$1048576"), MATCH(AM$1, OctR!$6:$6, 0), FALSE),
            0
        ) +
        IFERROR(
            VLOOKUP($A84, INDIRECT("NovR!$A$6:$ZZ$1048576"), MATCH(AM$1, NovR!$6:$6, 0), FALSE),
            0
        ) +
        IFERROR(
            VLOOKUP($A84, INDIRECT("DicR!$A$6:$ZZ$1048576"), MATCH(AM$1, DicR!$6:$6, 0), FALSE),
            0
        )
)</f>
        <v>0</v>
      </c>
      <c r="AN84" s="32">
        <f t="array" ref="AN84">SUM(
    IFERROR(
            VLOOKUP($A84, INDIRECT("EneR!$A$6:$ZZ$1048576"), MATCH(AN$1, EneR!$6:$6, 0), FALSE),
            0
        ) +
        IFERROR(
            VLOOKUP($A84, INDIRECT("FebR!$A$6:$ZZ$1048576"), MATCH(AN$1, FebR!$6:$6, 0), FALSE),
            0
        ) +
        IFERROR(
            VLOOKUP($A84, INDIRECT("MarR!$A$6:$ZZ$1048576"), MATCH(AN$1, MarR!$6:$6, 0), FALSE),
            0
        ) +
        IFERROR(
            VLOOKUP($A84, INDIRECT("AbrR!$A$6:$ZZ$1048576"), MATCH(AN$1, AbrR!$6:$6, 0), FALSE),
            0
        ) +
        IFERROR(
            VLOOKUP($A84, INDIRECT("MayR!$A$6:$ZZ$1048576"), MATCH(AN$1, MayR!$6:$6, 0), FALSE),
            0
        ) +
        IFERROR(
            VLOOKUP($A84, INDIRECT("JunR!$A$6:$ZZ$1048576"), MATCH(AN$1, JunR!$6:$6, 0), FALSE),
            0
        ) +
        IFERROR(
            VLOOKUP($A84, INDIRECT("JulR!$A$6:$ZZ$1048576"), MATCH(AN$1, JulR!$6:$6, 0), FALSE),
            0
        ) +
        IFERROR(
            VLOOKUP($A84, INDIRECT("AgoR!$A$6:$ZZ$1048576"), MATCH(AN$1, AgoR!$6:$6, 0), FALSE),
            0
        ) +
        IFERROR(
            VLOOKUP($A84, INDIRECT("SepR!$A$6:$ZZ$1048576"), MATCH(AN$1, SepR!$6:$6, 0), FALSE),
            0
        ) +
        IFERROR(
            VLOOKUP($A84, INDIRECT("OctR!$A$6:$ZZ$1048576"), MATCH(AN$1, OctR!$6:$6, 0), FALSE),
            0
        ) +
        IFERROR(
            VLOOKUP($A84, INDIRECT("NovR!$A$6:$ZZ$1048576"), MATCH(AN$1, NovR!$6:$6, 0), FALSE),
            0
        ) +
        IFERROR(
            VLOOKUP($A84, INDIRECT("DicR!$A$6:$ZZ$1048576"), MATCH(AN$1, DicR!$6:$6, 0), FALSE),
            0
        )
)</f>
        <v>0</v>
      </c>
      <c r="AO84" s="35">
        <f t="array" ref="AO84">SUM(
    IFERROR(
            VLOOKUP($A84, INDIRECT("EneR!$A$6:$ZZ$1048576"), MATCH(AO$1, EneR!$6:$6, 0), FALSE),
            0
        ) +
        IFERROR(
            VLOOKUP($A84, INDIRECT("FebR!$A$6:$ZZ$1048576"), MATCH(AO$1, FebR!$6:$6, 0), FALSE),
            0
        ) +
        IFERROR(
            VLOOKUP($A84, INDIRECT("MarR!$A$6:$ZZ$1048576"), MATCH(AO$1, MarR!$6:$6, 0), FALSE),
            0
        ) +
        IFERROR(
            VLOOKUP($A84, INDIRECT("AbrR!$A$6:$ZZ$1048576"), MATCH(AO$1, AbrR!$6:$6, 0), FALSE),
            0
        ) +
        IFERROR(
            VLOOKUP($A84, INDIRECT("MayR!$A$6:$ZZ$1048576"), MATCH(AO$1, MayR!$6:$6, 0), FALSE),
            0
        ) +
        IFERROR(
            VLOOKUP($A84, INDIRECT("JunR!$A$6:$ZZ$1048576"), MATCH(AO$1, JunR!$6:$6, 0), FALSE),
            0
        ) +
        IFERROR(
            VLOOKUP($A84, INDIRECT("JulR!$A$6:$ZZ$1048576"), MATCH(AO$1, JulR!$6:$6, 0), FALSE),
            0
        ) +
        IFERROR(
            VLOOKUP($A84, INDIRECT("AgoR!$A$6:$ZZ$1048576"), MATCH(AO$1, AgoR!$6:$6, 0), FALSE),
            0
        ) +
        IFERROR(
            VLOOKUP($A84, INDIRECT("SepR!$A$6:$ZZ$1048576"), MATCH(AO$1, SepR!$6:$6, 0), FALSE),
            0
        ) +
        IFERROR(
            VLOOKUP($A84, INDIRECT("OctR!$A$6:$ZZ$1048576"), MATCH(AO$1, OctR!$6:$6, 0), FALSE),
            0
        ) +
        IFERROR(
            VLOOKUP($A84, INDIRECT("NovR!$A$6:$ZZ$1048576"), MATCH(AO$1, NovR!$6:$6, 0), FALSE),
            0
        ) +
        IFERROR(
            VLOOKUP($A84, INDIRECT("DicR!$A$6:$ZZ$1048576"), MATCH(AO$1, DicR!$6:$6, 0), FALSE),
            0
        )
)</f>
        <v>0</v>
      </c>
      <c r="AP84" s="36">
        <f t="array" ref="AP84">SUM(
    IFERROR(
            VLOOKUP($A84, INDIRECT("EneR!$A$6:$ZZ$1048576"), MATCH(AP$1, EneR!$6:$6, 0), FALSE),
            0
        ) +
        IFERROR(
            VLOOKUP($A84, INDIRECT("FebR!$A$6:$ZZ$1048576"), MATCH(AP$1, FebR!$6:$6, 0), FALSE),
            0
        ) +
        IFERROR(
            VLOOKUP($A84, INDIRECT("MarR!$A$6:$ZZ$1048576"), MATCH(AP$1, MarR!$6:$6, 0), FALSE),
            0
        ) +
        IFERROR(
            VLOOKUP($A84, INDIRECT("AbrR!$A$6:$ZZ$1048576"), MATCH(AP$1, AbrR!$6:$6, 0), FALSE),
            0
        ) +
        IFERROR(
            VLOOKUP($A84, INDIRECT("MayR!$A$6:$ZZ$1048576"), MATCH(AP$1, MayR!$6:$6, 0), FALSE),
            0
        ) +
        IFERROR(
            VLOOKUP($A84, INDIRECT("JunR!$A$6:$ZZ$1048576"), MATCH(AP$1, JunR!$6:$6, 0), FALSE),
            0
        ) +
        IFERROR(
            VLOOKUP($A84, INDIRECT("JulR!$A$6:$ZZ$1048576"), MATCH(AP$1, JulR!$6:$6, 0), FALSE),
            0
        ) +
        IFERROR(
            VLOOKUP($A84, INDIRECT("AgoR!$A$6:$ZZ$1048576"), MATCH(AP$1, AgoR!$6:$6, 0), FALSE),
            0
        ) +
        IFERROR(
            VLOOKUP($A84, INDIRECT("SepR!$A$6:$ZZ$1048576"), MATCH(AP$1, SepR!$6:$6, 0), FALSE),
            0
        ) +
        IFERROR(
            VLOOKUP($A84, INDIRECT("OctR!$A$6:$ZZ$1048576"), MATCH(AP$1, OctR!$6:$6, 0), FALSE),
            0
        ) +
        IFERROR(
            VLOOKUP($A84, INDIRECT("NovR!$A$6:$ZZ$1048576"), MATCH(AP$1, NovR!$6:$6, 0), FALSE),
            0
        ) +
        IFERROR(
            VLOOKUP($A84, INDIRECT("DicR!$A$6:$ZZ$1048576"), MATCH(AP$1, DicR!$6:$6, 0), FALSE),
            0
        )
)</f>
        <v>0</v>
      </c>
      <c r="AQ84" s="35">
        <f t="array" ref="AQ84">SUM(
    IFERROR(
            VLOOKUP($A84, INDIRECT("EneR!$A$6:$ZZ$1048576"), MATCH(AQ$1, EneR!$6:$6, 0), FALSE),
            0
        ) +
        IFERROR(
            VLOOKUP($A84, INDIRECT("FebR!$A$6:$ZZ$1048576"), MATCH(AQ$1, FebR!$6:$6, 0), FALSE),
            0
        ) +
        IFERROR(
            VLOOKUP($A84, INDIRECT("MarR!$A$6:$ZZ$1048576"), MATCH(AQ$1, MarR!$6:$6, 0), FALSE),
            0
        ) +
        IFERROR(
            VLOOKUP($A84, INDIRECT("AbrR!$A$6:$ZZ$1048576"), MATCH(AQ$1, AbrR!$6:$6, 0), FALSE),
            0
        ) +
        IFERROR(
            VLOOKUP($A84, INDIRECT("MayR!$A$6:$ZZ$1048576"), MATCH(AQ$1, MayR!$6:$6, 0), FALSE),
            0
        ) +
        IFERROR(
            VLOOKUP($A84, INDIRECT("JunR!$A$6:$ZZ$1048576"), MATCH(AQ$1, JunR!$6:$6, 0), FALSE),
            0
        ) +
        IFERROR(
            VLOOKUP($A84, INDIRECT("JulR!$A$6:$ZZ$1048576"), MATCH(AQ$1, JulR!$6:$6, 0), FALSE),
            0
        ) +
        IFERROR(
            VLOOKUP($A84, INDIRECT("AgoR!$A$6:$ZZ$1048576"), MATCH(AQ$1, AgoR!$6:$6, 0), FALSE),
            0
        ) +
        IFERROR(
            VLOOKUP($A84, INDIRECT("SepR!$A$6:$ZZ$1048576"), MATCH(AQ$1, SepR!$6:$6, 0), FALSE),
            0
        ) +
        IFERROR(
            VLOOKUP($A84, INDIRECT("OctR!$A$6:$ZZ$1048576"), MATCH(AQ$1, OctR!$6:$6, 0), FALSE),
            0
        ) +
        IFERROR(
            VLOOKUP($A84, INDIRECT("NovR!$A$6:$ZZ$1048576"), MATCH(AQ$1, NovR!$6:$6, 0), FALSE),
            0
        ) +
        IFERROR(
            VLOOKUP($A84, INDIRECT("DicR!$A$6:$ZZ$1048576"), MATCH(AQ$1, DicR!$6:$6, 0), FALSE),
            0
        )
)</f>
        <v>0</v>
      </c>
      <c r="AR84" s="36">
        <f t="array" ref="AR84">SUM(
    IFERROR(
            VLOOKUP($A84, INDIRECT("EneR!$A$6:$ZZ$1048576"), MATCH(AR$1, EneR!$6:$6, 0), FALSE),
            0
        ) +
        IFERROR(
            VLOOKUP($A84, INDIRECT("FebR!$A$6:$ZZ$1048576"), MATCH(AR$1, FebR!$6:$6, 0), FALSE),
            0
        ) +
        IFERROR(
            VLOOKUP($A84, INDIRECT("MarR!$A$6:$ZZ$1048576"), MATCH(AR$1, MarR!$6:$6, 0), FALSE),
            0
        ) +
        IFERROR(
            VLOOKUP($A84, INDIRECT("AbrR!$A$6:$ZZ$1048576"), MATCH(AR$1, AbrR!$6:$6, 0), FALSE),
            0
        ) +
        IFERROR(
            VLOOKUP($A84, INDIRECT("MayR!$A$6:$ZZ$1048576"), MATCH(AR$1, MayR!$6:$6, 0), FALSE),
            0
        ) +
        IFERROR(
            VLOOKUP($A84, INDIRECT("JunR!$A$6:$ZZ$1048576"), MATCH(AR$1, JunR!$6:$6, 0), FALSE),
            0
        ) +
        IFERROR(
            VLOOKUP($A84, INDIRECT("JulR!$A$6:$ZZ$1048576"), MATCH(AR$1, JulR!$6:$6, 0), FALSE),
            0
        ) +
        IFERROR(
            VLOOKUP($A84, INDIRECT("AgoR!$A$6:$ZZ$1048576"), MATCH(AR$1, AgoR!$6:$6, 0), FALSE),
            0
        ) +
        IFERROR(
            VLOOKUP($A84, INDIRECT("SepR!$A$6:$ZZ$1048576"), MATCH(AR$1, SepR!$6:$6, 0), FALSE),
            0
        ) +
        IFERROR(
            VLOOKUP($A84, INDIRECT("OctR!$A$6:$ZZ$1048576"), MATCH(AR$1, OctR!$6:$6, 0), FALSE),
            0
        ) +
        IFERROR(
            VLOOKUP($A84, INDIRECT("NovR!$A$6:$ZZ$1048576"), MATCH(AR$1, NovR!$6:$6, 0), FALSE),
            0
        ) +
        IFERROR(
            VLOOKUP($A84, INDIRECT("DicR!$A$6:$ZZ$1048576"), MATCH(AR$1, DicR!$6:$6, 0), FALSE),
            0
        )
)</f>
        <v>0</v>
      </c>
      <c r="AS84" s="35">
        <f t="array" ref="AS84">SUM(
    IFERROR(
            VLOOKUP($A84, INDIRECT("EneR!$A$6:$ZZ$1048576"), MATCH(AS$1, EneR!$6:$6, 0), FALSE),
            0
        ) +
        IFERROR(
            VLOOKUP($A84, INDIRECT("FebR!$A$6:$ZZ$1048576"), MATCH(AS$1, FebR!$6:$6, 0), FALSE),
            0
        ) +
        IFERROR(
            VLOOKUP($A84, INDIRECT("MarR!$A$6:$ZZ$1048576"), MATCH(AS$1, MarR!$6:$6, 0), FALSE),
            0
        ) +
        IFERROR(
            VLOOKUP($A84, INDIRECT("AbrR!$A$6:$ZZ$1048576"), MATCH(AS$1, AbrR!$6:$6, 0), FALSE),
            0
        ) +
        IFERROR(
            VLOOKUP($A84, INDIRECT("MayR!$A$6:$ZZ$1048576"), MATCH(AS$1, MayR!$6:$6, 0), FALSE),
            0
        ) +
        IFERROR(
            VLOOKUP($A84, INDIRECT("JunR!$A$6:$ZZ$1048576"), MATCH(AS$1, JunR!$6:$6, 0), FALSE),
            0
        ) +
        IFERROR(
            VLOOKUP($A84, INDIRECT("JulR!$A$6:$ZZ$1048576"), MATCH(AS$1, JulR!$6:$6, 0), FALSE),
            0
        ) +
        IFERROR(
            VLOOKUP($A84, INDIRECT("AgoR!$A$6:$ZZ$1048576"), MATCH(AS$1, AgoR!$6:$6, 0), FALSE),
            0
        ) +
        IFERROR(
            VLOOKUP($A84, INDIRECT("SepR!$A$6:$ZZ$1048576"), MATCH(AS$1, SepR!$6:$6, 0), FALSE),
            0
        ) +
        IFERROR(
            VLOOKUP($A84, INDIRECT("OctR!$A$6:$ZZ$1048576"), MATCH(AS$1, OctR!$6:$6, 0), FALSE),
            0
        ) +
        IFERROR(
            VLOOKUP($A84, INDIRECT("NovR!$A$6:$ZZ$1048576"), MATCH(AS$1, NovR!$6:$6, 0), FALSE),
            0
        ) +
        IFERROR(
            VLOOKUP($A84, INDIRECT("DicR!$A$6:$ZZ$1048576"), MATCH(AS$1, DicR!$6:$6, 0), FALSE),
            0
        )
)</f>
        <v>0</v>
      </c>
      <c r="AT84" s="36">
        <f t="array" ref="AT84">SUM(
    IFERROR(
            VLOOKUP($A84, INDIRECT("EneR!$A$6:$ZZ$1048576"), MATCH(AT$1, EneR!$6:$6, 0), FALSE),
            0
        ) +
        IFERROR(
            VLOOKUP($A84, INDIRECT("FebR!$A$6:$ZZ$1048576"), MATCH(AT$1, FebR!$6:$6, 0), FALSE),
            0
        ) +
        IFERROR(
            VLOOKUP($A84, INDIRECT("MarR!$A$6:$ZZ$1048576"), MATCH(AT$1, MarR!$6:$6, 0), FALSE),
            0
        ) +
        IFERROR(
            VLOOKUP($A84, INDIRECT("AbrR!$A$6:$ZZ$1048576"), MATCH(AT$1, AbrR!$6:$6, 0), FALSE),
            0
        ) +
        IFERROR(
            VLOOKUP($A84, INDIRECT("MayR!$A$6:$ZZ$1048576"), MATCH(AT$1, MayR!$6:$6, 0), FALSE),
            0
        ) +
        IFERROR(
            VLOOKUP($A84, INDIRECT("JunR!$A$6:$ZZ$1048576"), MATCH(AT$1, JunR!$6:$6, 0), FALSE),
            0
        ) +
        IFERROR(
            VLOOKUP($A84, INDIRECT("JulR!$A$6:$ZZ$1048576"), MATCH(AT$1, JulR!$6:$6, 0), FALSE),
            0
        ) +
        IFERROR(
            VLOOKUP($A84, INDIRECT("AgoR!$A$6:$ZZ$1048576"), MATCH(AT$1, AgoR!$6:$6, 0), FALSE),
            0
        ) +
        IFERROR(
            VLOOKUP($A84, INDIRECT("SepR!$A$6:$ZZ$1048576"), MATCH(AT$1, SepR!$6:$6, 0), FALSE),
            0
        ) +
        IFERROR(
            VLOOKUP($A84, INDIRECT("OctR!$A$6:$ZZ$1048576"), MATCH(AT$1, OctR!$6:$6, 0), FALSE),
            0
        ) +
        IFERROR(
            VLOOKUP($A84, INDIRECT("NovR!$A$6:$ZZ$1048576"), MATCH(AT$1, NovR!$6:$6, 0), FALSE),
            0
        ) +
        IFERROR(
            VLOOKUP($A84, INDIRECT("DicR!$A$6:$ZZ$1048576"), MATCH(AT$1, DicR!$6:$6, 0), FALSE),
            0
        )
)</f>
        <v>0</v>
      </c>
      <c r="AU84" s="35">
        <f t="array" ref="AU84">SUM(
    IFERROR(
            VLOOKUP($A84, INDIRECT("EneR!$A$6:$ZZ$1048576"), MATCH(AU$1, EneR!$6:$6, 0), FALSE),
            0
        ) +
        IFERROR(
            VLOOKUP($A84, INDIRECT("FebR!$A$6:$ZZ$1048576"), MATCH(AU$1, FebR!$6:$6, 0), FALSE),
            0
        ) +
        IFERROR(
            VLOOKUP($A84, INDIRECT("MarR!$A$6:$ZZ$1048576"), MATCH(AU$1, MarR!$6:$6, 0), FALSE),
            0
        ) +
        IFERROR(
            VLOOKUP($A84, INDIRECT("AbrR!$A$6:$ZZ$1048576"), MATCH(AU$1, AbrR!$6:$6, 0), FALSE),
            0
        ) +
        IFERROR(
            VLOOKUP($A84, INDIRECT("MayR!$A$6:$ZZ$1048576"), MATCH(AU$1, MayR!$6:$6, 0), FALSE),
            0
        ) +
        IFERROR(
            VLOOKUP($A84, INDIRECT("JunR!$A$6:$ZZ$1048576"), MATCH(AU$1, JunR!$6:$6, 0), FALSE),
            0
        ) +
        IFERROR(
            VLOOKUP($A84, INDIRECT("JulR!$A$6:$ZZ$1048576"), MATCH(AU$1, JulR!$6:$6, 0), FALSE),
            0
        ) +
        IFERROR(
            VLOOKUP($A84, INDIRECT("AgoR!$A$6:$ZZ$1048576"), MATCH(AU$1, AgoR!$6:$6, 0), FALSE),
            0
        ) +
        IFERROR(
            VLOOKUP($A84, INDIRECT("SepR!$A$6:$ZZ$1048576"), MATCH(AU$1, SepR!$6:$6, 0), FALSE),
            0
        ) +
        IFERROR(
            VLOOKUP($A84, INDIRECT("OctR!$A$6:$ZZ$1048576"), MATCH(AU$1, OctR!$6:$6, 0), FALSE),
            0
        ) +
        IFERROR(
            VLOOKUP($A84, INDIRECT("NovR!$A$6:$ZZ$1048576"), MATCH(AU$1, NovR!$6:$6, 0), FALSE),
            0
        ) +
        IFERROR(
            VLOOKUP($A84, INDIRECT("DicR!$A$6:$ZZ$1048576"), MATCH(AU$1, DicR!$6:$6, 0), FALSE),
            0
        )
)</f>
        <v>0</v>
      </c>
      <c r="AV84" s="36">
        <f t="array" ref="AV84">SUM(
    IFERROR(
            VLOOKUP($A84, INDIRECT("EneR!$A$6:$ZZ$1048576"), MATCH(AV$1, EneR!$6:$6, 0), FALSE),
            0
        ) +
        IFERROR(
            VLOOKUP($A84, INDIRECT("FebR!$A$6:$ZZ$1048576"), MATCH(AV$1, FebR!$6:$6, 0), FALSE),
            0
        ) +
        IFERROR(
            VLOOKUP($A84, INDIRECT("MarR!$A$6:$ZZ$1048576"), MATCH(AV$1, MarR!$6:$6, 0), FALSE),
            0
        ) +
        IFERROR(
            VLOOKUP($A84, INDIRECT("AbrR!$A$6:$ZZ$1048576"), MATCH(AV$1, AbrR!$6:$6, 0), FALSE),
            0
        ) +
        IFERROR(
            VLOOKUP($A84, INDIRECT("MayR!$A$6:$ZZ$1048576"), MATCH(AV$1, MayR!$6:$6, 0), FALSE),
            0
        ) +
        IFERROR(
            VLOOKUP($A84, INDIRECT("JunR!$A$6:$ZZ$1048576"), MATCH(AV$1, JunR!$6:$6, 0), FALSE),
            0
        ) +
        IFERROR(
            VLOOKUP($A84, INDIRECT("JulR!$A$6:$ZZ$1048576"), MATCH(AV$1, JulR!$6:$6, 0), FALSE),
            0
        ) +
        IFERROR(
            VLOOKUP($A84, INDIRECT("AgoR!$A$6:$ZZ$1048576"), MATCH(AV$1, AgoR!$6:$6, 0), FALSE),
            0
        ) +
        IFERROR(
            VLOOKUP($A84, INDIRECT("SepR!$A$6:$ZZ$1048576"), MATCH(AV$1, SepR!$6:$6, 0), FALSE),
            0
        ) +
        IFERROR(
            VLOOKUP($A84, INDIRECT("OctR!$A$6:$ZZ$1048576"), MATCH(AV$1, OctR!$6:$6, 0), FALSE),
            0
        ) +
        IFERROR(
            VLOOKUP($A84, INDIRECT("NovR!$A$6:$ZZ$1048576"), MATCH(AV$1, NovR!$6:$6, 0), FALSE),
            0
        ) +
        IFERROR(
            VLOOKUP($A84, INDIRECT("DicR!$A$6:$ZZ$1048576"), MATCH(AV$1, DicR!$6:$6, 0), FALSE),
            0
        )
)</f>
        <v>0</v>
      </c>
      <c r="AW84" s="35">
        <f t="array" ref="AW84">SUM(
    IFERROR(
            VLOOKUP($A84, INDIRECT("EneR!$A$6:$ZZ$1048576"), MATCH(AW$1, EneR!$6:$6, 0), FALSE),
            0
        ) +
        IFERROR(
            VLOOKUP($A84, INDIRECT("FebR!$A$6:$ZZ$1048576"), MATCH(AW$1, FebR!$6:$6, 0), FALSE),
            0
        ) +
        IFERROR(
            VLOOKUP($A84, INDIRECT("MarR!$A$6:$ZZ$1048576"), MATCH(AW$1, MarR!$6:$6, 0), FALSE),
            0
        ) +
        IFERROR(
            VLOOKUP($A84, INDIRECT("AbrR!$A$6:$ZZ$1048576"), MATCH(AW$1, AbrR!$6:$6, 0), FALSE),
            0
        ) +
        IFERROR(
            VLOOKUP($A84, INDIRECT("MayR!$A$6:$ZZ$1048576"), MATCH(AW$1, MayR!$6:$6, 0), FALSE),
            0
        ) +
        IFERROR(
            VLOOKUP($A84, INDIRECT("JunR!$A$6:$ZZ$1048576"), MATCH(AW$1, JunR!$6:$6, 0), FALSE),
            0
        ) +
        IFERROR(
            VLOOKUP($A84, INDIRECT("JulR!$A$6:$ZZ$1048576"), MATCH(AW$1, JulR!$6:$6, 0), FALSE),
            0
        ) +
        IFERROR(
            VLOOKUP($A84, INDIRECT("AgoR!$A$6:$ZZ$1048576"), MATCH(AW$1, AgoR!$6:$6, 0), FALSE),
            0
        ) +
        IFERROR(
            VLOOKUP($A84, INDIRECT("SepR!$A$6:$ZZ$1048576"), MATCH(AW$1, SepR!$6:$6, 0), FALSE),
            0
        ) +
        IFERROR(
            VLOOKUP($A84, INDIRECT("OctR!$A$6:$ZZ$1048576"), MATCH(AW$1, OctR!$6:$6, 0), FALSE),
            0
        ) +
        IFERROR(
            VLOOKUP($A84, INDIRECT("NovR!$A$6:$ZZ$1048576"), MATCH(AW$1, NovR!$6:$6, 0), FALSE),
            0
        ) +
        IFERROR(
            VLOOKUP($A84, INDIRECT("DicR!$A$6:$ZZ$1048576"), MATCH(AW$1, DicR!$6:$6, 0), FALSE),
            0
        )
)</f>
        <v>0</v>
      </c>
      <c r="AX84" s="36">
        <f t="array" ref="AX84">SUM(
    IFERROR(
            VLOOKUP($A84, INDIRECT("EneR!$A$6:$ZZ$1048576"), MATCH(AX$1, EneR!$6:$6, 0), FALSE),
            0
        ) +
        IFERROR(
            VLOOKUP($A84, INDIRECT("FebR!$A$6:$ZZ$1048576"), MATCH(AX$1, FebR!$6:$6, 0), FALSE),
            0
        ) +
        IFERROR(
            VLOOKUP($A84, INDIRECT("MarR!$A$6:$ZZ$1048576"), MATCH(AX$1, MarR!$6:$6, 0), FALSE),
            0
        ) +
        IFERROR(
            VLOOKUP($A84, INDIRECT("AbrR!$A$6:$ZZ$1048576"), MATCH(AX$1, AbrR!$6:$6, 0), FALSE),
            0
        ) +
        IFERROR(
            VLOOKUP($A84, INDIRECT("MayR!$A$6:$ZZ$1048576"), MATCH(AX$1, MayR!$6:$6, 0), FALSE),
            0
        ) +
        IFERROR(
            VLOOKUP($A84, INDIRECT("JunR!$A$6:$ZZ$1048576"), MATCH(AX$1, JunR!$6:$6, 0), FALSE),
            0
        ) +
        IFERROR(
            VLOOKUP($A84, INDIRECT("JulR!$A$6:$ZZ$1048576"), MATCH(AX$1, JulR!$6:$6, 0), FALSE),
            0
        ) +
        IFERROR(
            VLOOKUP($A84, INDIRECT("AgoR!$A$6:$ZZ$1048576"), MATCH(AX$1, AgoR!$6:$6, 0), FALSE),
            0
        ) +
        IFERROR(
            VLOOKUP($A84, INDIRECT("SepR!$A$6:$ZZ$1048576"), MATCH(AX$1, SepR!$6:$6, 0), FALSE),
            0
        ) +
        IFERROR(
            VLOOKUP($A84, INDIRECT("OctR!$A$6:$ZZ$1048576"), MATCH(AX$1, OctR!$6:$6, 0), FALSE),
            0
        ) +
        IFERROR(
            VLOOKUP($A84, INDIRECT("NovR!$A$6:$ZZ$1048576"), MATCH(AX$1, NovR!$6:$6, 0), FALSE),
            0
        ) +
        IFERROR(
            VLOOKUP($A84, INDIRECT("DicR!$A$6:$ZZ$1048576"), MATCH(AX$1, DicR!$6:$6, 0), FALSE),
            0
        )
)</f>
        <v>0</v>
      </c>
      <c r="AY84" s="35">
        <f t="array" ref="AY84">SUM(
    IFERROR(
            VLOOKUP($A84, INDIRECT("EneR!$A$6:$ZZ$1048576"), MATCH(AY$1, EneR!$6:$6, 0), FALSE),
            0
        ) +
        IFERROR(
            VLOOKUP($A84, INDIRECT("FebR!$A$6:$ZZ$1048576"), MATCH(AY$1, FebR!$6:$6, 0), FALSE),
            0
        ) +
        IFERROR(
            VLOOKUP($A84, INDIRECT("MarR!$A$6:$ZZ$1048576"), MATCH(AY$1, MarR!$6:$6, 0), FALSE),
            0
        ) +
        IFERROR(
            VLOOKUP($A84, INDIRECT("AbrR!$A$6:$ZZ$1048576"), MATCH(AY$1, AbrR!$6:$6, 0), FALSE),
            0
        ) +
        IFERROR(
            VLOOKUP($A84, INDIRECT("MayR!$A$6:$ZZ$1048576"), MATCH(AY$1, MayR!$6:$6, 0), FALSE),
            0
        ) +
        IFERROR(
            VLOOKUP($A84, INDIRECT("JunR!$A$6:$ZZ$1048576"), MATCH(AY$1, JunR!$6:$6, 0), FALSE),
            0
        ) +
        IFERROR(
            VLOOKUP($A84, INDIRECT("JulR!$A$6:$ZZ$1048576"), MATCH(AY$1, JulR!$6:$6, 0), FALSE),
            0
        ) +
        IFERROR(
            VLOOKUP($A84, INDIRECT("AgoR!$A$6:$ZZ$1048576"), MATCH(AY$1, AgoR!$6:$6, 0), FALSE),
            0
        ) +
        IFERROR(
            VLOOKUP($A84, INDIRECT("SepR!$A$6:$ZZ$1048576"), MATCH(AY$1, SepR!$6:$6, 0), FALSE),
            0
        ) +
        IFERROR(
            VLOOKUP($A84, INDIRECT("OctR!$A$6:$ZZ$1048576"), MATCH(AY$1, OctR!$6:$6, 0), FALSE),
            0
        ) +
        IFERROR(
            VLOOKUP($A84, INDIRECT("NovR!$A$6:$ZZ$1048576"), MATCH(AY$1, NovR!$6:$6, 0), FALSE),
            0
        ) +
        IFERROR(
            VLOOKUP($A84, INDIRECT("DicR!$A$6:$ZZ$1048576"), MATCH(AY$1, DicR!$6:$6, 0), FALSE),
            0
        )
)</f>
        <v>0</v>
      </c>
      <c r="AZ84" s="35"/>
    </row>
    <row r="85" ht="15.75" customHeight="1">
      <c r="A85" s="12" t="str">
        <f>Menus!B46</f>
        <v/>
      </c>
      <c r="B85" s="32">
        <f t="shared" si="11"/>
        <v>0</v>
      </c>
      <c r="C85" s="33" t="str">
        <f t="shared" si="10"/>
        <v/>
      </c>
      <c r="D85" s="34">
        <f t="array" ref="D85">SUM(
    IFERROR(
            VLOOKUP($A85, INDIRECT("EneR!$A$6:$ZZ$1048576"), MATCH(D$1, EneR!$6:$6, 0), FALSE),
            0
        ) +
        IFERROR(
            VLOOKUP($A85, INDIRECT("FebR!$A$6:$ZZ$1048576"), MATCH(D$1, FebR!$6:$6, 0), FALSE),
            0
        ) +
        IFERROR(
            VLOOKUP($A85, INDIRECT("MarR!$A$6:$ZZ$1048576"), MATCH(D$1, MarR!$6:$6, 0), FALSE),
            0
        ) +
        IFERROR(
            VLOOKUP($A85, INDIRECT("AbrR!$A$6:$ZZ$1048576"), MATCH(D$1, AbrR!$6:$6, 0), FALSE),
            0
        ) +
        IFERROR(
            VLOOKUP($A85, INDIRECT("MayR!$A$6:$ZZ$1048576"), MATCH(D$1, MayR!$6:$6, 0), FALSE),
            0
        ) +
        IFERROR(
            VLOOKUP($A85, INDIRECT("JunR!$A$6:$ZZ$1048576"), MATCH(D$1, JunR!$6:$6, 0), FALSE),
            0
        ) +
        IFERROR(
            VLOOKUP($A85, INDIRECT("JulR!$A$6:$ZZ$1048576"), MATCH(D$1, JulR!$6:$6, 0), FALSE),
            0
        ) +
        IFERROR(
            VLOOKUP($A85, INDIRECT("AgoR!$A$6:$ZZ$1048576"), MATCH(D$1, AgoR!$6:$6, 0), FALSE),
            0
        ) +
        IFERROR(
            VLOOKUP($A85, INDIRECT("SepR!$A$6:$ZZ$1048576"), MATCH(D$1, SepR!$6:$6, 0), FALSE),
            0
        ) +
        IFERROR(
            VLOOKUP($A85, INDIRECT("OctR!$A$6:$ZZ$1048576"), MATCH(D$1, OctR!$6:$6, 0), FALSE),
            0
        ) +
        IFERROR(
            VLOOKUP($A85, INDIRECT("NovR!$A$6:$ZZ$1048576"), MATCH(D$1, NovR!$6:$6, 0), FALSE),
            0
        ) +
        IFERROR(
            VLOOKUP($A85, INDIRECT("DicR!$A$6:$ZZ$1048576"), MATCH(D$1, DicR!$6:$6, 0), FALSE),
            0
        )
)</f>
        <v>0</v>
      </c>
      <c r="E85" s="35">
        <f t="array" ref="E85">SUM(
    IFERROR(
            VLOOKUP($A85, INDIRECT("EneR!$A$6:$ZZ$1048576"), MATCH(E$1, EneR!$6:$6, 0), FALSE),
            0
        ) +
        IFERROR(
            VLOOKUP($A85, INDIRECT("FebR!$A$6:$ZZ$1048576"), MATCH(E$1, FebR!$6:$6, 0), FALSE),
            0
        ) +
        IFERROR(
            VLOOKUP($A85, INDIRECT("MarR!$A$6:$ZZ$1048576"), MATCH(E$1, MarR!$6:$6, 0), FALSE),
            0
        ) +
        IFERROR(
            VLOOKUP($A85, INDIRECT("AbrR!$A$6:$ZZ$1048576"), MATCH(E$1, AbrR!$6:$6, 0), FALSE),
            0
        ) +
        IFERROR(
            VLOOKUP($A85, INDIRECT("MayR!$A$6:$ZZ$1048576"), MATCH(E$1, MayR!$6:$6, 0), FALSE),
            0
        ) +
        IFERROR(
            VLOOKUP($A85, INDIRECT("JunR!$A$6:$ZZ$1048576"), MATCH(E$1, JunR!$6:$6, 0), FALSE),
            0
        ) +
        IFERROR(
            VLOOKUP($A85, INDIRECT("JulR!$A$6:$ZZ$1048576"), MATCH(E$1, JulR!$6:$6, 0), FALSE),
            0
        ) +
        IFERROR(
            VLOOKUP($A85, INDIRECT("AgoR!$A$6:$ZZ$1048576"), MATCH(E$1, AgoR!$6:$6, 0), FALSE),
            0
        ) +
        IFERROR(
            VLOOKUP($A85, INDIRECT("SepR!$A$6:$ZZ$1048576"), MATCH(E$1, SepR!$6:$6, 0), FALSE),
            0
        ) +
        IFERROR(
            VLOOKUP($A85, INDIRECT("OctR!$A$6:$ZZ$1048576"), MATCH(E$1, OctR!$6:$6, 0), FALSE),
            0
        ) +
        IFERROR(
            VLOOKUP($A85, INDIRECT("NovR!$A$6:$ZZ$1048576"), MATCH(E$1, NovR!$6:$6, 0), FALSE),
            0
        ) +
        IFERROR(
            VLOOKUP($A85, INDIRECT("DicR!$A$6:$ZZ$1048576"), MATCH(E$1, DicR!$6:$6, 0), FALSE),
            0
        )
)</f>
        <v>0</v>
      </c>
      <c r="F85" s="32">
        <f t="array" ref="F85">SUM(
    IFERROR(
            VLOOKUP($A85, INDIRECT("EneR!$A$6:$ZZ$1048576"), MATCH(F$1, EneR!$6:$6, 0), FALSE),
            0
        ) +
        IFERROR(
            VLOOKUP($A85, INDIRECT("FebR!$A$6:$ZZ$1048576"), MATCH(F$1, FebR!$6:$6, 0), FALSE),
            0
        ) +
        IFERROR(
            VLOOKUP($A85, INDIRECT("MarR!$A$6:$ZZ$1048576"), MATCH(F$1, MarR!$6:$6, 0), FALSE),
            0
        ) +
        IFERROR(
            VLOOKUP($A85, INDIRECT("AbrR!$A$6:$ZZ$1048576"), MATCH(F$1, AbrR!$6:$6, 0), FALSE),
            0
        ) +
        IFERROR(
            VLOOKUP($A85, INDIRECT("MayR!$A$6:$ZZ$1048576"), MATCH(F$1, MayR!$6:$6, 0), FALSE),
            0
        ) +
        IFERROR(
            VLOOKUP($A85, INDIRECT("JunR!$A$6:$ZZ$1048576"), MATCH(F$1, JunR!$6:$6, 0), FALSE),
            0
        ) +
        IFERROR(
            VLOOKUP($A85, INDIRECT("JulR!$A$6:$ZZ$1048576"), MATCH(F$1, JulR!$6:$6, 0), FALSE),
            0
        ) +
        IFERROR(
            VLOOKUP($A85, INDIRECT("AgoR!$A$6:$ZZ$1048576"), MATCH(F$1, AgoR!$6:$6, 0), FALSE),
            0
        ) +
        IFERROR(
            VLOOKUP($A85, INDIRECT("SepR!$A$6:$ZZ$1048576"), MATCH(F$1, SepR!$6:$6, 0), FALSE),
            0
        ) +
        IFERROR(
            VLOOKUP($A85, INDIRECT("OctR!$A$6:$ZZ$1048576"), MATCH(F$1, OctR!$6:$6, 0), FALSE),
            0
        ) +
        IFERROR(
            VLOOKUP($A85, INDIRECT("NovR!$A$6:$ZZ$1048576"), MATCH(F$1, NovR!$6:$6, 0), FALSE),
            0
        ) +
        IFERROR(
            VLOOKUP($A85, INDIRECT("DicR!$A$6:$ZZ$1048576"), MATCH(F$1, DicR!$6:$6, 0), FALSE),
            0
        )
)</f>
        <v>0</v>
      </c>
      <c r="G85" s="35">
        <f t="array" ref="G85">SUM(
    IFERROR(
            VLOOKUP($A85, INDIRECT("EneR!$A$6:$ZZ$1048576"), MATCH(G$1, EneR!$6:$6, 0), FALSE),
            0
        ) +
        IFERROR(
            VLOOKUP($A85, INDIRECT("FebR!$A$6:$ZZ$1048576"), MATCH(G$1, FebR!$6:$6, 0), FALSE),
            0
        ) +
        IFERROR(
            VLOOKUP($A85, INDIRECT("MarR!$A$6:$ZZ$1048576"), MATCH(G$1, MarR!$6:$6, 0), FALSE),
            0
        ) +
        IFERROR(
            VLOOKUP($A85, INDIRECT("AbrR!$A$6:$ZZ$1048576"), MATCH(G$1, AbrR!$6:$6, 0), FALSE),
            0
        ) +
        IFERROR(
            VLOOKUP($A85, INDIRECT("MayR!$A$6:$ZZ$1048576"), MATCH(G$1, MayR!$6:$6, 0), FALSE),
            0
        ) +
        IFERROR(
            VLOOKUP($A85, INDIRECT("JunR!$A$6:$ZZ$1048576"), MATCH(G$1, JunR!$6:$6, 0), FALSE),
            0
        ) +
        IFERROR(
            VLOOKUP($A85, INDIRECT("JulR!$A$6:$ZZ$1048576"), MATCH(G$1, JulR!$6:$6, 0), FALSE),
            0
        ) +
        IFERROR(
            VLOOKUP($A85, INDIRECT("AgoR!$A$6:$ZZ$1048576"), MATCH(G$1, AgoR!$6:$6, 0), FALSE),
            0
        ) +
        IFERROR(
            VLOOKUP($A85, INDIRECT("SepR!$A$6:$ZZ$1048576"), MATCH(G$1, SepR!$6:$6, 0), FALSE),
            0
        ) +
        IFERROR(
            VLOOKUP($A85, INDIRECT("OctR!$A$6:$ZZ$1048576"), MATCH(G$1, OctR!$6:$6, 0), FALSE),
            0
        ) +
        IFERROR(
            VLOOKUP($A85, INDIRECT("NovR!$A$6:$ZZ$1048576"), MATCH(G$1, NovR!$6:$6, 0), FALSE),
            0
        ) +
        IFERROR(
            VLOOKUP($A85, INDIRECT("DicR!$A$6:$ZZ$1048576"), MATCH(G$1, DicR!$6:$6, 0), FALSE),
            0
        )
)</f>
        <v>0</v>
      </c>
      <c r="H85" s="32">
        <f t="array" ref="H85">SUM(
    IFERROR(
            VLOOKUP($A85, INDIRECT("EneR!$A$6:$ZZ$1048576"), MATCH(H$1, EneR!$6:$6, 0), FALSE),
            0
        ) +
        IFERROR(
            VLOOKUP($A85, INDIRECT("FebR!$A$6:$ZZ$1048576"), MATCH(H$1, FebR!$6:$6, 0), FALSE),
            0
        ) +
        IFERROR(
            VLOOKUP($A85, INDIRECT("MarR!$A$6:$ZZ$1048576"), MATCH(H$1, MarR!$6:$6, 0), FALSE),
            0
        ) +
        IFERROR(
            VLOOKUP($A85, INDIRECT("AbrR!$A$6:$ZZ$1048576"), MATCH(H$1, AbrR!$6:$6, 0), FALSE),
            0
        ) +
        IFERROR(
            VLOOKUP($A85, INDIRECT("MayR!$A$6:$ZZ$1048576"), MATCH(H$1, MayR!$6:$6, 0), FALSE),
            0
        ) +
        IFERROR(
            VLOOKUP($A85, INDIRECT("JunR!$A$6:$ZZ$1048576"), MATCH(H$1, JunR!$6:$6, 0), FALSE),
            0
        ) +
        IFERROR(
            VLOOKUP($A85, INDIRECT("JulR!$A$6:$ZZ$1048576"), MATCH(H$1, JulR!$6:$6, 0), FALSE),
            0
        ) +
        IFERROR(
            VLOOKUP($A85, INDIRECT("AgoR!$A$6:$ZZ$1048576"), MATCH(H$1, AgoR!$6:$6, 0), FALSE),
            0
        ) +
        IFERROR(
            VLOOKUP($A85, INDIRECT("SepR!$A$6:$ZZ$1048576"), MATCH(H$1, SepR!$6:$6, 0), FALSE),
            0
        ) +
        IFERROR(
            VLOOKUP($A85, INDIRECT("OctR!$A$6:$ZZ$1048576"), MATCH(H$1, OctR!$6:$6, 0), FALSE),
            0
        ) +
        IFERROR(
            VLOOKUP($A85, INDIRECT("NovR!$A$6:$ZZ$1048576"), MATCH(H$1, NovR!$6:$6, 0), FALSE),
            0
        ) +
        IFERROR(
            VLOOKUP($A85, INDIRECT("DicR!$A$6:$ZZ$1048576"), MATCH(H$1, DicR!$6:$6, 0), FALSE),
            0
        )
)</f>
        <v>0</v>
      </c>
      <c r="I85" s="35">
        <f t="array" ref="I85">SUM(
    IFERROR(
            VLOOKUP($A85, INDIRECT("EneR!$A$6:$ZZ$1048576"), MATCH(I$1, EneR!$6:$6, 0), FALSE),
            0
        ) +
        IFERROR(
            VLOOKUP($A85, INDIRECT("FebR!$A$6:$ZZ$1048576"), MATCH(I$1, FebR!$6:$6, 0), FALSE),
            0
        ) +
        IFERROR(
            VLOOKUP($A85, INDIRECT("MarR!$A$6:$ZZ$1048576"), MATCH(I$1, MarR!$6:$6, 0), FALSE),
            0
        ) +
        IFERROR(
            VLOOKUP($A85, INDIRECT("AbrR!$A$6:$ZZ$1048576"), MATCH(I$1, AbrR!$6:$6, 0), FALSE),
            0
        ) +
        IFERROR(
            VLOOKUP($A85, INDIRECT("MayR!$A$6:$ZZ$1048576"), MATCH(I$1, MayR!$6:$6, 0), FALSE),
            0
        ) +
        IFERROR(
            VLOOKUP($A85, INDIRECT("JunR!$A$6:$ZZ$1048576"), MATCH(I$1, JunR!$6:$6, 0), FALSE),
            0
        ) +
        IFERROR(
            VLOOKUP($A85, INDIRECT("JulR!$A$6:$ZZ$1048576"), MATCH(I$1, JulR!$6:$6, 0), FALSE),
            0
        ) +
        IFERROR(
            VLOOKUP($A85, INDIRECT("AgoR!$A$6:$ZZ$1048576"), MATCH(I$1, AgoR!$6:$6, 0), FALSE),
            0
        ) +
        IFERROR(
            VLOOKUP($A85, INDIRECT("SepR!$A$6:$ZZ$1048576"), MATCH(I$1, SepR!$6:$6, 0), FALSE),
            0
        ) +
        IFERROR(
            VLOOKUP($A85, INDIRECT("OctR!$A$6:$ZZ$1048576"), MATCH(I$1, OctR!$6:$6, 0), FALSE),
            0
        ) +
        IFERROR(
            VLOOKUP($A85, INDIRECT("NovR!$A$6:$ZZ$1048576"), MATCH(I$1, NovR!$6:$6, 0), FALSE),
            0
        ) +
        IFERROR(
            VLOOKUP($A85, INDIRECT("DicR!$A$6:$ZZ$1048576"), MATCH(I$1, DicR!$6:$6, 0), FALSE),
            0
        )
)</f>
        <v>0</v>
      </c>
      <c r="J85" s="32">
        <f t="array" ref="J85">SUM(
    IFERROR(
            VLOOKUP($A85, INDIRECT("EneR!$A$6:$ZZ$1048576"), MATCH(J$1, EneR!$6:$6, 0), FALSE),
            0
        ) +
        IFERROR(
            VLOOKUP($A85, INDIRECT("FebR!$A$6:$ZZ$1048576"), MATCH(J$1, FebR!$6:$6, 0), FALSE),
            0
        ) +
        IFERROR(
            VLOOKUP($A85, INDIRECT("MarR!$A$6:$ZZ$1048576"), MATCH(J$1, MarR!$6:$6, 0), FALSE),
            0
        ) +
        IFERROR(
            VLOOKUP($A85, INDIRECT("AbrR!$A$6:$ZZ$1048576"), MATCH(J$1, AbrR!$6:$6, 0), FALSE),
            0
        ) +
        IFERROR(
            VLOOKUP($A85, INDIRECT("MayR!$A$6:$ZZ$1048576"), MATCH(J$1, MayR!$6:$6, 0), FALSE),
            0
        ) +
        IFERROR(
            VLOOKUP($A85, INDIRECT("JunR!$A$6:$ZZ$1048576"), MATCH(J$1, JunR!$6:$6, 0), FALSE),
            0
        ) +
        IFERROR(
            VLOOKUP($A85, INDIRECT("JulR!$A$6:$ZZ$1048576"), MATCH(J$1, JulR!$6:$6, 0), FALSE),
            0
        ) +
        IFERROR(
            VLOOKUP($A85, INDIRECT("AgoR!$A$6:$ZZ$1048576"), MATCH(J$1, AgoR!$6:$6, 0), FALSE),
            0
        ) +
        IFERROR(
            VLOOKUP($A85, INDIRECT("SepR!$A$6:$ZZ$1048576"), MATCH(J$1, SepR!$6:$6, 0), FALSE),
            0
        ) +
        IFERROR(
            VLOOKUP($A85, INDIRECT("OctR!$A$6:$ZZ$1048576"), MATCH(J$1, OctR!$6:$6, 0), FALSE),
            0
        ) +
        IFERROR(
            VLOOKUP($A85, INDIRECT("NovR!$A$6:$ZZ$1048576"), MATCH(J$1, NovR!$6:$6, 0), FALSE),
            0
        ) +
        IFERROR(
            VLOOKUP($A85, INDIRECT("DicR!$A$6:$ZZ$1048576"), MATCH(J$1, DicR!$6:$6, 0), FALSE),
            0
        )
)</f>
        <v>0</v>
      </c>
      <c r="K85" s="35">
        <f t="array" ref="K85">SUM(
    IFERROR(
            VLOOKUP($A85, INDIRECT("EneR!$A$6:$ZZ$1048576"), MATCH(K$1, EneR!$6:$6, 0), FALSE),
            0
        ) +
        IFERROR(
            VLOOKUP($A85, INDIRECT("FebR!$A$6:$ZZ$1048576"), MATCH(K$1, FebR!$6:$6, 0), FALSE),
            0
        ) +
        IFERROR(
            VLOOKUP($A85, INDIRECT("MarR!$A$6:$ZZ$1048576"), MATCH(K$1, MarR!$6:$6, 0), FALSE),
            0
        ) +
        IFERROR(
            VLOOKUP($A85, INDIRECT("AbrR!$A$6:$ZZ$1048576"), MATCH(K$1, AbrR!$6:$6, 0), FALSE),
            0
        ) +
        IFERROR(
            VLOOKUP($A85, INDIRECT("MayR!$A$6:$ZZ$1048576"), MATCH(K$1, MayR!$6:$6, 0), FALSE),
            0
        ) +
        IFERROR(
            VLOOKUP($A85, INDIRECT("JunR!$A$6:$ZZ$1048576"), MATCH(K$1, JunR!$6:$6, 0), FALSE),
            0
        ) +
        IFERROR(
            VLOOKUP($A85, INDIRECT("JulR!$A$6:$ZZ$1048576"), MATCH(K$1, JulR!$6:$6, 0), FALSE),
            0
        ) +
        IFERROR(
            VLOOKUP($A85, INDIRECT("AgoR!$A$6:$ZZ$1048576"), MATCH(K$1, AgoR!$6:$6, 0), FALSE),
            0
        ) +
        IFERROR(
            VLOOKUP($A85, INDIRECT("SepR!$A$6:$ZZ$1048576"), MATCH(K$1, SepR!$6:$6, 0), FALSE),
            0
        ) +
        IFERROR(
            VLOOKUP($A85, INDIRECT("OctR!$A$6:$ZZ$1048576"), MATCH(K$1, OctR!$6:$6, 0), FALSE),
            0
        ) +
        IFERROR(
            VLOOKUP($A85, INDIRECT("NovR!$A$6:$ZZ$1048576"), MATCH(K$1, NovR!$6:$6, 0), FALSE),
            0
        ) +
        IFERROR(
            VLOOKUP($A85, INDIRECT("DicR!$A$6:$ZZ$1048576"), MATCH(K$1, DicR!$6:$6, 0), FALSE),
            0
        )
)</f>
        <v>0</v>
      </c>
      <c r="L85" s="32">
        <f t="array" ref="L85">SUM(
    IFERROR(
            VLOOKUP($A85, INDIRECT("EneR!$A$6:$ZZ$1048576"), MATCH(L$1, EneR!$6:$6, 0), FALSE),
            0
        ) +
        IFERROR(
            VLOOKUP($A85, INDIRECT("FebR!$A$6:$ZZ$1048576"), MATCH(L$1, FebR!$6:$6, 0), FALSE),
            0
        ) +
        IFERROR(
            VLOOKUP($A85, INDIRECT("MarR!$A$6:$ZZ$1048576"), MATCH(L$1, MarR!$6:$6, 0), FALSE),
            0
        ) +
        IFERROR(
            VLOOKUP($A85, INDIRECT("AbrR!$A$6:$ZZ$1048576"), MATCH(L$1, AbrR!$6:$6, 0), FALSE),
            0
        ) +
        IFERROR(
            VLOOKUP($A85, INDIRECT("MayR!$A$6:$ZZ$1048576"), MATCH(L$1, MayR!$6:$6, 0), FALSE),
            0
        ) +
        IFERROR(
            VLOOKUP($A85, INDIRECT("JunR!$A$6:$ZZ$1048576"), MATCH(L$1, JunR!$6:$6, 0), FALSE),
            0
        ) +
        IFERROR(
            VLOOKUP($A85, INDIRECT("JulR!$A$6:$ZZ$1048576"), MATCH(L$1, JulR!$6:$6, 0), FALSE),
            0
        ) +
        IFERROR(
            VLOOKUP($A85, INDIRECT("AgoR!$A$6:$ZZ$1048576"), MATCH(L$1, AgoR!$6:$6, 0), FALSE),
            0
        ) +
        IFERROR(
            VLOOKUP($A85, INDIRECT("SepR!$A$6:$ZZ$1048576"), MATCH(L$1, SepR!$6:$6, 0), FALSE),
            0
        ) +
        IFERROR(
            VLOOKUP($A85, INDIRECT("OctR!$A$6:$ZZ$1048576"), MATCH(L$1, OctR!$6:$6, 0), FALSE),
            0
        ) +
        IFERROR(
            VLOOKUP($A85, INDIRECT("NovR!$A$6:$ZZ$1048576"), MATCH(L$1, NovR!$6:$6, 0), FALSE),
            0
        ) +
        IFERROR(
            VLOOKUP($A85, INDIRECT("DicR!$A$6:$ZZ$1048576"), MATCH(L$1, DicR!$6:$6, 0), FALSE),
            0
        )
)</f>
        <v>0</v>
      </c>
      <c r="M85" s="35">
        <f t="array" ref="M85">SUM(
    IFERROR(
            VLOOKUP($A85, INDIRECT("EneR!$A$6:$ZZ$1048576"), MATCH(M$1, EneR!$6:$6, 0), FALSE),
            0
        ) +
        IFERROR(
            VLOOKUP($A85, INDIRECT("FebR!$A$6:$ZZ$1048576"), MATCH(M$1, FebR!$6:$6, 0), FALSE),
            0
        ) +
        IFERROR(
            VLOOKUP($A85, INDIRECT("MarR!$A$6:$ZZ$1048576"), MATCH(M$1, MarR!$6:$6, 0), FALSE),
            0
        ) +
        IFERROR(
            VLOOKUP($A85, INDIRECT("AbrR!$A$6:$ZZ$1048576"), MATCH(M$1, AbrR!$6:$6, 0), FALSE),
            0
        ) +
        IFERROR(
            VLOOKUP($A85, INDIRECT("MayR!$A$6:$ZZ$1048576"), MATCH(M$1, MayR!$6:$6, 0), FALSE),
            0
        ) +
        IFERROR(
            VLOOKUP($A85, INDIRECT("JunR!$A$6:$ZZ$1048576"), MATCH(M$1, JunR!$6:$6, 0), FALSE),
            0
        ) +
        IFERROR(
            VLOOKUP($A85, INDIRECT("JulR!$A$6:$ZZ$1048576"), MATCH(M$1, JulR!$6:$6, 0), FALSE),
            0
        ) +
        IFERROR(
            VLOOKUP($A85, INDIRECT("AgoR!$A$6:$ZZ$1048576"), MATCH(M$1, AgoR!$6:$6, 0), FALSE),
            0
        ) +
        IFERROR(
            VLOOKUP($A85, INDIRECT("SepR!$A$6:$ZZ$1048576"), MATCH(M$1, SepR!$6:$6, 0), FALSE),
            0
        ) +
        IFERROR(
            VLOOKUP($A85, INDIRECT("OctR!$A$6:$ZZ$1048576"), MATCH(M$1, OctR!$6:$6, 0), FALSE),
            0
        ) +
        IFERROR(
            VLOOKUP($A85, INDIRECT("NovR!$A$6:$ZZ$1048576"), MATCH(M$1, NovR!$6:$6, 0), FALSE),
            0
        ) +
        IFERROR(
            VLOOKUP($A85, INDIRECT("DicR!$A$6:$ZZ$1048576"), MATCH(M$1, DicR!$6:$6, 0), FALSE),
            0
        )
)</f>
        <v>0</v>
      </c>
      <c r="N85" s="32">
        <f t="array" ref="N85">SUM(
    IFERROR(
            VLOOKUP($A85, INDIRECT("EneR!$A$6:$ZZ$1048576"), MATCH(N$1, EneR!$6:$6, 0), FALSE),
            0
        ) +
        IFERROR(
            VLOOKUP($A85, INDIRECT("FebR!$A$6:$ZZ$1048576"), MATCH(N$1, FebR!$6:$6, 0), FALSE),
            0
        ) +
        IFERROR(
            VLOOKUP($A85, INDIRECT("MarR!$A$6:$ZZ$1048576"), MATCH(N$1, MarR!$6:$6, 0), FALSE),
            0
        ) +
        IFERROR(
            VLOOKUP($A85, INDIRECT("AbrR!$A$6:$ZZ$1048576"), MATCH(N$1, AbrR!$6:$6, 0), FALSE),
            0
        ) +
        IFERROR(
            VLOOKUP($A85, INDIRECT("MayR!$A$6:$ZZ$1048576"), MATCH(N$1, MayR!$6:$6, 0), FALSE),
            0
        ) +
        IFERROR(
            VLOOKUP($A85, INDIRECT("JunR!$A$6:$ZZ$1048576"), MATCH(N$1, JunR!$6:$6, 0), FALSE),
            0
        ) +
        IFERROR(
            VLOOKUP($A85, INDIRECT("JulR!$A$6:$ZZ$1048576"), MATCH(N$1, JulR!$6:$6, 0), FALSE),
            0
        ) +
        IFERROR(
            VLOOKUP($A85, INDIRECT("AgoR!$A$6:$ZZ$1048576"), MATCH(N$1, AgoR!$6:$6, 0), FALSE),
            0
        ) +
        IFERROR(
            VLOOKUP($A85, INDIRECT("SepR!$A$6:$ZZ$1048576"), MATCH(N$1, SepR!$6:$6, 0), FALSE),
            0
        ) +
        IFERROR(
            VLOOKUP($A85, INDIRECT("OctR!$A$6:$ZZ$1048576"), MATCH(N$1, OctR!$6:$6, 0), FALSE),
            0
        ) +
        IFERROR(
            VLOOKUP($A85, INDIRECT("NovR!$A$6:$ZZ$1048576"), MATCH(N$1, NovR!$6:$6, 0), FALSE),
            0
        ) +
        IFERROR(
            VLOOKUP($A85, INDIRECT("DicR!$A$6:$ZZ$1048576"), MATCH(N$1, DicR!$6:$6, 0), FALSE),
            0
        )
)</f>
        <v>0</v>
      </c>
      <c r="O85" s="35">
        <f t="array" ref="O85">SUM(
    IFERROR(
            VLOOKUP($A85, INDIRECT("EneR!$A$6:$ZZ$1048576"), MATCH(O$1, EneR!$6:$6, 0), FALSE),
            0
        ) +
        IFERROR(
            VLOOKUP($A85, INDIRECT("FebR!$A$6:$ZZ$1048576"), MATCH(O$1, FebR!$6:$6, 0), FALSE),
            0
        ) +
        IFERROR(
            VLOOKUP($A85, INDIRECT("MarR!$A$6:$ZZ$1048576"), MATCH(O$1, MarR!$6:$6, 0), FALSE),
            0
        ) +
        IFERROR(
            VLOOKUP($A85, INDIRECT("AbrR!$A$6:$ZZ$1048576"), MATCH(O$1, AbrR!$6:$6, 0), FALSE),
            0
        ) +
        IFERROR(
            VLOOKUP($A85, INDIRECT("MayR!$A$6:$ZZ$1048576"), MATCH(O$1, MayR!$6:$6, 0), FALSE),
            0
        ) +
        IFERROR(
            VLOOKUP($A85, INDIRECT("JunR!$A$6:$ZZ$1048576"), MATCH(O$1, JunR!$6:$6, 0), FALSE),
            0
        ) +
        IFERROR(
            VLOOKUP($A85, INDIRECT("JulR!$A$6:$ZZ$1048576"), MATCH(O$1, JulR!$6:$6, 0), FALSE),
            0
        ) +
        IFERROR(
            VLOOKUP($A85, INDIRECT("AgoR!$A$6:$ZZ$1048576"), MATCH(O$1, AgoR!$6:$6, 0), FALSE),
            0
        ) +
        IFERROR(
            VLOOKUP($A85, INDIRECT("SepR!$A$6:$ZZ$1048576"), MATCH(O$1, SepR!$6:$6, 0), FALSE),
            0
        ) +
        IFERROR(
            VLOOKUP($A85, INDIRECT("OctR!$A$6:$ZZ$1048576"), MATCH(O$1, OctR!$6:$6, 0), FALSE),
            0
        ) +
        IFERROR(
            VLOOKUP($A85, INDIRECT("NovR!$A$6:$ZZ$1048576"), MATCH(O$1, NovR!$6:$6, 0), FALSE),
            0
        ) +
        IFERROR(
            VLOOKUP($A85, INDIRECT("DicR!$A$6:$ZZ$1048576"), MATCH(O$1, DicR!$6:$6, 0), FALSE),
            0
        )
)</f>
        <v>0</v>
      </c>
      <c r="P85" s="32">
        <f t="array" ref="P85">SUM(
    IFERROR(
            VLOOKUP($A85, INDIRECT("EneR!$A$6:$ZZ$1048576"), MATCH(P$1, EneR!$6:$6, 0), FALSE),
            0
        ) +
        IFERROR(
            VLOOKUP($A85, INDIRECT("FebR!$A$6:$ZZ$1048576"), MATCH(P$1, FebR!$6:$6, 0), FALSE),
            0
        ) +
        IFERROR(
            VLOOKUP($A85, INDIRECT("MarR!$A$6:$ZZ$1048576"), MATCH(P$1, MarR!$6:$6, 0), FALSE),
            0
        ) +
        IFERROR(
            VLOOKUP($A85, INDIRECT("AbrR!$A$6:$ZZ$1048576"), MATCH(P$1, AbrR!$6:$6, 0), FALSE),
            0
        ) +
        IFERROR(
            VLOOKUP($A85, INDIRECT("MayR!$A$6:$ZZ$1048576"), MATCH(P$1, MayR!$6:$6, 0), FALSE),
            0
        ) +
        IFERROR(
            VLOOKUP($A85, INDIRECT("JunR!$A$6:$ZZ$1048576"), MATCH(P$1, JunR!$6:$6, 0), FALSE),
            0
        ) +
        IFERROR(
            VLOOKUP($A85, INDIRECT("JulR!$A$6:$ZZ$1048576"), MATCH(P$1, JulR!$6:$6, 0), FALSE),
            0
        ) +
        IFERROR(
            VLOOKUP($A85, INDIRECT("AgoR!$A$6:$ZZ$1048576"), MATCH(P$1, AgoR!$6:$6, 0), FALSE),
            0
        ) +
        IFERROR(
            VLOOKUP($A85, INDIRECT("SepR!$A$6:$ZZ$1048576"), MATCH(P$1, SepR!$6:$6, 0), FALSE),
            0
        ) +
        IFERROR(
            VLOOKUP($A85, INDIRECT("OctR!$A$6:$ZZ$1048576"), MATCH(P$1, OctR!$6:$6, 0), FALSE),
            0
        ) +
        IFERROR(
            VLOOKUP($A85, INDIRECT("NovR!$A$6:$ZZ$1048576"), MATCH(P$1, NovR!$6:$6, 0), FALSE),
            0
        ) +
        IFERROR(
            VLOOKUP($A85, INDIRECT("DicR!$A$6:$ZZ$1048576"), MATCH(P$1, DicR!$6:$6, 0), FALSE),
            0
        )
)</f>
        <v>0</v>
      </c>
      <c r="Q85" s="35">
        <f t="array" ref="Q85">SUM(
    IFERROR(
            VLOOKUP($A85, INDIRECT("EneR!$A$6:$ZZ$1048576"), MATCH(Q$1, EneR!$6:$6, 0), FALSE),
            0
        ) +
        IFERROR(
            VLOOKUP($A85, INDIRECT("FebR!$A$6:$ZZ$1048576"), MATCH(Q$1, FebR!$6:$6, 0), FALSE),
            0
        ) +
        IFERROR(
            VLOOKUP($A85, INDIRECT("MarR!$A$6:$ZZ$1048576"), MATCH(Q$1, MarR!$6:$6, 0), FALSE),
            0
        ) +
        IFERROR(
            VLOOKUP($A85, INDIRECT("AbrR!$A$6:$ZZ$1048576"), MATCH(Q$1, AbrR!$6:$6, 0), FALSE),
            0
        ) +
        IFERROR(
            VLOOKUP($A85, INDIRECT("MayR!$A$6:$ZZ$1048576"), MATCH(Q$1, MayR!$6:$6, 0), FALSE),
            0
        ) +
        IFERROR(
            VLOOKUP($A85, INDIRECT("JunR!$A$6:$ZZ$1048576"), MATCH(Q$1, JunR!$6:$6, 0), FALSE),
            0
        ) +
        IFERROR(
            VLOOKUP($A85, INDIRECT("JulR!$A$6:$ZZ$1048576"), MATCH(Q$1, JulR!$6:$6, 0), FALSE),
            0
        ) +
        IFERROR(
            VLOOKUP($A85, INDIRECT("AgoR!$A$6:$ZZ$1048576"), MATCH(Q$1, AgoR!$6:$6, 0), FALSE),
            0
        ) +
        IFERROR(
            VLOOKUP($A85, INDIRECT("SepR!$A$6:$ZZ$1048576"), MATCH(Q$1, SepR!$6:$6, 0), FALSE),
            0
        ) +
        IFERROR(
            VLOOKUP($A85, INDIRECT("OctR!$A$6:$ZZ$1048576"), MATCH(Q$1, OctR!$6:$6, 0), FALSE),
            0
        ) +
        IFERROR(
            VLOOKUP($A85, INDIRECT("NovR!$A$6:$ZZ$1048576"), MATCH(Q$1, NovR!$6:$6, 0), FALSE),
            0
        ) +
        IFERROR(
            VLOOKUP($A85, INDIRECT("DicR!$A$6:$ZZ$1048576"), MATCH(Q$1, DicR!$6:$6, 0), FALSE),
            0
        )
)</f>
        <v>0</v>
      </c>
      <c r="R85" s="36">
        <f t="array" ref="R85">SUM(
    IFERROR(
            VLOOKUP($A85, INDIRECT("EneR!$A$6:$ZZ$1048576"), MATCH(R$1, EneR!$6:$6, 0), FALSE),
            0
        ) +
        IFERROR(
            VLOOKUP($A85, INDIRECT("FebR!$A$6:$ZZ$1048576"), MATCH(R$1, FebR!$6:$6, 0), FALSE),
            0
        ) +
        IFERROR(
            VLOOKUP($A85, INDIRECT("MarR!$A$6:$ZZ$1048576"), MATCH(R$1, MarR!$6:$6, 0), FALSE),
            0
        ) +
        IFERROR(
            VLOOKUP($A85, INDIRECT("AbrR!$A$6:$ZZ$1048576"), MATCH(R$1, AbrR!$6:$6, 0), FALSE),
            0
        ) +
        IFERROR(
            VLOOKUP($A85, INDIRECT("MayR!$A$6:$ZZ$1048576"), MATCH(R$1, MayR!$6:$6, 0), FALSE),
            0
        ) +
        IFERROR(
            VLOOKUP($A85, INDIRECT("JunR!$A$6:$ZZ$1048576"), MATCH(R$1, JunR!$6:$6, 0), FALSE),
            0
        ) +
        IFERROR(
            VLOOKUP($A85, INDIRECT("JulR!$A$6:$ZZ$1048576"), MATCH(R$1, JulR!$6:$6, 0), FALSE),
            0
        ) +
        IFERROR(
            VLOOKUP($A85, INDIRECT("AgoR!$A$6:$ZZ$1048576"), MATCH(R$1, AgoR!$6:$6, 0), FALSE),
            0
        ) +
        IFERROR(
            VLOOKUP($A85, INDIRECT("SepR!$A$6:$ZZ$1048576"), MATCH(R$1, SepR!$6:$6, 0), FALSE),
            0
        ) +
        IFERROR(
            VLOOKUP($A85, INDIRECT("OctR!$A$6:$ZZ$1048576"), MATCH(R$1, OctR!$6:$6, 0), FALSE),
            0
        ) +
        IFERROR(
            VLOOKUP($A85, INDIRECT("NovR!$A$6:$ZZ$1048576"), MATCH(R$1, NovR!$6:$6, 0), FALSE),
            0
        ) +
        IFERROR(
            VLOOKUP($A85, INDIRECT("DicR!$A$6:$ZZ$1048576"), MATCH(R$1, DicR!$6:$6, 0), FALSE),
            0
        )
)</f>
        <v>0</v>
      </c>
      <c r="S85" s="37">
        <f t="array" ref="S85">SUM(
    IFERROR(
            VLOOKUP($A85, INDIRECT("EneR!$A$6:$ZZ$1048576"), MATCH(S$1, EneR!$6:$6, 0), FALSE),
            0
        ) +
        IFERROR(
            VLOOKUP($A85, INDIRECT("FebR!$A$6:$ZZ$1048576"), MATCH(S$1, FebR!$6:$6, 0), FALSE),
            0
        ) +
        IFERROR(
            VLOOKUP($A85, INDIRECT("MarR!$A$6:$ZZ$1048576"), MATCH(S$1, MarR!$6:$6, 0), FALSE),
            0
        ) +
        IFERROR(
            VLOOKUP($A85, INDIRECT("AbrR!$A$6:$ZZ$1048576"), MATCH(S$1, AbrR!$6:$6, 0), FALSE),
            0
        ) +
        IFERROR(
            VLOOKUP($A85, INDIRECT("MayR!$A$6:$ZZ$1048576"), MATCH(S$1, MayR!$6:$6, 0), FALSE),
            0
        ) +
        IFERROR(
            VLOOKUP($A85, INDIRECT("JunR!$A$6:$ZZ$1048576"), MATCH(S$1, JunR!$6:$6, 0), FALSE),
            0
        ) +
        IFERROR(
            VLOOKUP($A85, INDIRECT("JulR!$A$6:$ZZ$1048576"), MATCH(S$1, JulR!$6:$6, 0), FALSE),
            0
        ) +
        IFERROR(
            VLOOKUP($A85, INDIRECT("AgoR!$A$6:$ZZ$1048576"), MATCH(S$1, AgoR!$6:$6, 0), FALSE),
            0
        ) +
        IFERROR(
            VLOOKUP($A85, INDIRECT("SepR!$A$6:$ZZ$1048576"), MATCH(S$1, SepR!$6:$6, 0), FALSE),
            0
        ) +
        IFERROR(
            VLOOKUP($A85, INDIRECT("OctR!$A$6:$ZZ$1048576"), MATCH(S$1, OctR!$6:$6, 0), FALSE),
            0
        ) +
        IFERROR(
            VLOOKUP($A85, INDIRECT("NovR!$A$6:$ZZ$1048576"), MATCH(S$1, NovR!$6:$6, 0), FALSE),
            0
        ) +
        IFERROR(
            VLOOKUP($A85, INDIRECT("DicR!$A$6:$ZZ$1048576"), MATCH(S$1, DicR!$6:$6, 0), FALSE),
            0
        )
)</f>
        <v>0</v>
      </c>
      <c r="T85" s="36">
        <f t="array" ref="T85">SUM(
    IFERROR(
            VLOOKUP($A85, INDIRECT("EneR!$A$6:$ZZ$1048576"), MATCH(T$1, EneR!$6:$6, 0), FALSE),
            0
        ) +
        IFERROR(
            VLOOKUP($A85, INDIRECT("FebR!$A$6:$ZZ$1048576"), MATCH(T$1, FebR!$6:$6, 0), FALSE),
            0
        ) +
        IFERROR(
            VLOOKUP($A85, INDIRECT("MarR!$A$6:$ZZ$1048576"), MATCH(T$1, MarR!$6:$6, 0), FALSE),
            0
        ) +
        IFERROR(
            VLOOKUP($A85, INDIRECT("AbrR!$A$6:$ZZ$1048576"), MATCH(T$1, AbrR!$6:$6, 0), FALSE),
            0
        ) +
        IFERROR(
            VLOOKUP($A85, INDIRECT("MayR!$A$6:$ZZ$1048576"), MATCH(T$1, MayR!$6:$6, 0), FALSE),
            0
        ) +
        IFERROR(
            VLOOKUP($A85, INDIRECT("JunR!$A$6:$ZZ$1048576"), MATCH(T$1, JunR!$6:$6, 0), FALSE),
            0
        ) +
        IFERROR(
            VLOOKUP($A85, INDIRECT("JulR!$A$6:$ZZ$1048576"), MATCH(T$1, JulR!$6:$6, 0), FALSE),
            0
        ) +
        IFERROR(
            VLOOKUP($A85, INDIRECT("AgoR!$A$6:$ZZ$1048576"), MATCH(T$1, AgoR!$6:$6, 0), FALSE),
            0
        ) +
        IFERROR(
            VLOOKUP($A85, INDIRECT("SepR!$A$6:$ZZ$1048576"), MATCH(T$1, SepR!$6:$6, 0), FALSE),
            0
        ) +
        IFERROR(
            VLOOKUP($A85, INDIRECT("OctR!$A$6:$ZZ$1048576"), MATCH(T$1, OctR!$6:$6, 0), FALSE),
            0
        ) +
        IFERROR(
            VLOOKUP($A85, INDIRECT("NovR!$A$6:$ZZ$1048576"), MATCH(T$1, NovR!$6:$6, 0), FALSE),
            0
        ) +
        IFERROR(
            VLOOKUP($A85, INDIRECT("DicR!$A$6:$ZZ$1048576"), MATCH(T$1, DicR!$6:$6, 0), FALSE),
            0
        )
)</f>
        <v>0</v>
      </c>
      <c r="U85" s="37">
        <f t="array" ref="U85">SUM(
    IFERROR(
            VLOOKUP($A85, INDIRECT("EneR!$A$6:$ZZ$1048576"), MATCH(U$1, EneR!$6:$6, 0), FALSE),
            0
        ) +
        IFERROR(
            VLOOKUP($A85, INDIRECT("FebR!$A$6:$ZZ$1048576"), MATCH(U$1, FebR!$6:$6, 0), FALSE),
            0
        ) +
        IFERROR(
            VLOOKUP($A85, INDIRECT("MarR!$A$6:$ZZ$1048576"), MATCH(U$1, MarR!$6:$6, 0), FALSE),
            0
        ) +
        IFERROR(
            VLOOKUP($A85, INDIRECT("AbrR!$A$6:$ZZ$1048576"), MATCH(U$1, AbrR!$6:$6, 0), FALSE),
            0
        ) +
        IFERROR(
            VLOOKUP($A85, INDIRECT("MayR!$A$6:$ZZ$1048576"), MATCH(U$1, MayR!$6:$6, 0), FALSE),
            0
        ) +
        IFERROR(
            VLOOKUP($A85, INDIRECT("JunR!$A$6:$ZZ$1048576"), MATCH(U$1, JunR!$6:$6, 0), FALSE),
            0
        ) +
        IFERROR(
            VLOOKUP($A85, INDIRECT("JulR!$A$6:$ZZ$1048576"), MATCH(U$1, JulR!$6:$6, 0), FALSE),
            0
        ) +
        IFERROR(
            VLOOKUP($A85, INDIRECT("AgoR!$A$6:$ZZ$1048576"), MATCH(U$1, AgoR!$6:$6, 0), FALSE),
            0
        ) +
        IFERROR(
            VLOOKUP($A85, INDIRECT("SepR!$A$6:$ZZ$1048576"), MATCH(U$1, SepR!$6:$6, 0), FALSE),
            0
        ) +
        IFERROR(
            VLOOKUP($A85, INDIRECT("OctR!$A$6:$ZZ$1048576"), MATCH(U$1, OctR!$6:$6, 0), FALSE),
            0
        ) +
        IFERROR(
            VLOOKUP($A85, INDIRECT("NovR!$A$6:$ZZ$1048576"), MATCH(U$1, NovR!$6:$6, 0), FALSE),
            0
        ) +
        IFERROR(
            VLOOKUP($A85, INDIRECT("DicR!$A$6:$ZZ$1048576"), MATCH(U$1, DicR!$6:$6, 0), FALSE),
            0
        )
)</f>
        <v>0</v>
      </c>
      <c r="V85" s="36">
        <f t="array" ref="V85">SUM(
    IFERROR(
            VLOOKUP($A85, INDIRECT("EneR!$A$6:$ZZ$1048576"), MATCH(V$1, EneR!$6:$6, 0), FALSE),
            0
        ) +
        IFERROR(
            VLOOKUP($A85, INDIRECT("FebR!$A$6:$ZZ$1048576"), MATCH(V$1, FebR!$6:$6, 0), FALSE),
            0
        ) +
        IFERROR(
            VLOOKUP($A85, INDIRECT("MarR!$A$6:$ZZ$1048576"), MATCH(V$1, MarR!$6:$6, 0), FALSE),
            0
        ) +
        IFERROR(
            VLOOKUP($A85, INDIRECT("AbrR!$A$6:$ZZ$1048576"), MATCH(V$1, AbrR!$6:$6, 0), FALSE),
            0
        ) +
        IFERROR(
            VLOOKUP($A85, INDIRECT("MayR!$A$6:$ZZ$1048576"), MATCH(V$1, MayR!$6:$6, 0), FALSE),
            0
        ) +
        IFERROR(
            VLOOKUP($A85, INDIRECT("JunR!$A$6:$ZZ$1048576"), MATCH(V$1, JunR!$6:$6, 0), FALSE),
            0
        ) +
        IFERROR(
            VLOOKUP($A85, INDIRECT("JulR!$A$6:$ZZ$1048576"), MATCH(V$1, JulR!$6:$6, 0), FALSE),
            0
        ) +
        IFERROR(
            VLOOKUP($A85, INDIRECT("AgoR!$A$6:$ZZ$1048576"), MATCH(V$1, AgoR!$6:$6, 0), FALSE),
            0
        ) +
        IFERROR(
            VLOOKUP($A85, INDIRECT("SepR!$A$6:$ZZ$1048576"), MATCH(V$1, SepR!$6:$6, 0), FALSE),
            0
        ) +
        IFERROR(
            VLOOKUP($A85, INDIRECT("OctR!$A$6:$ZZ$1048576"), MATCH(V$1, OctR!$6:$6, 0), FALSE),
            0
        ) +
        IFERROR(
            VLOOKUP($A85, INDIRECT("NovR!$A$6:$ZZ$1048576"), MATCH(V$1, NovR!$6:$6, 0), FALSE),
            0
        ) +
        IFERROR(
            VLOOKUP($A85, INDIRECT("DicR!$A$6:$ZZ$1048576"), MATCH(V$1, DicR!$6:$6, 0), FALSE),
            0
        )
)</f>
        <v>0</v>
      </c>
      <c r="W85" s="37">
        <f t="array" ref="W85">SUM(
    IFERROR(
            VLOOKUP($A85, INDIRECT("EneR!$A$6:$ZZ$1048576"), MATCH(W$1, EneR!$6:$6, 0), FALSE),
            0
        ) +
        IFERROR(
            VLOOKUP($A85, INDIRECT("FebR!$A$6:$ZZ$1048576"), MATCH(W$1, FebR!$6:$6, 0), FALSE),
            0
        ) +
        IFERROR(
            VLOOKUP($A85, INDIRECT("MarR!$A$6:$ZZ$1048576"), MATCH(W$1, MarR!$6:$6, 0), FALSE),
            0
        ) +
        IFERROR(
            VLOOKUP($A85, INDIRECT("AbrR!$A$6:$ZZ$1048576"), MATCH(W$1, AbrR!$6:$6, 0), FALSE),
            0
        ) +
        IFERROR(
            VLOOKUP($A85, INDIRECT("MayR!$A$6:$ZZ$1048576"), MATCH(W$1, MayR!$6:$6, 0), FALSE),
            0
        ) +
        IFERROR(
            VLOOKUP($A85, INDIRECT("JunR!$A$6:$ZZ$1048576"), MATCH(W$1, JunR!$6:$6, 0), FALSE),
            0
        ) +
        IFERROR(
            VLOOKUP($A85, INDIRECT("JulR!$A$6:$ZZ$1048576"), MATCH(W$1, JulR!$6:$6, 0), FALSE),
            0
        ) +
        IFERROR(
            VLOOKUP($A85, INDIRECT("AgoR!$A$6:$ZZ$1048576"), MATCH(W$1, AgoR!$6:$6, 0), FALSE),
            0
        ) +
        IFERROR(
            VLOOKUP($A85, INDIRECT("SepR!$A$6:$ZZ$1048576"), MATCH(W$1, SepR!$6:$6, 0), FALSE),
            0
        ) +
        IFERROR(
            VLOOKUP($A85, INDIRECT("OctR!$A$6:$ZZ$1048576"), MATCH(W$1, OctR!$6:$6, 0), FALSE),
            0
        ) +
        IFERROR(
            VLOOKUP($A85, INDIRECT("NovR!$A$6:$ZZ$1048576"), MATCH(W$1, NovR!$6:$6, 0), FALSE),
            0
        ) +
        IFERROR(
            VLOOKUP($A85, INDIRECT("DicR!$A$6:$ZZ$1048576"), MATCH(W$1, DicR!$6:$6, 0), FALSE),
            0
        )
)</f>
        <v>0</v>
      </c>
      <c r="X85" s="36">
        <f t="array" ref="X85">SUM(
    IFERROR(
            VLOOKUP($A85, INDIRECT("EneR!$A$6:$ZZ$1048576"), MATCH(X$1, EneR!$6:$6, 0), FALSE),
            0
        ) +
        IFERROR(
            VLOOKUP($A85, INDIRECT("FebR!$A$6:$ZZ$1048576"), MATCH(X$1, FebR!$6:$6, 0), FALSE),
            0
        ) +
        IFERROR(
            VLOOKUP($A85, INDIRECT("MarR!$A$6:$ZZ$1048576"), MATCH(X$1, MarR!$6:$6, 0), FALSE),
            0
        ) +
        IFERROR(
            VLOOKUP($A85, INDIRECT("AbrR!$A$6:$ZZ$1048576"), MATCH(X$1, AbrR!$6:$6, 0), FALSE),
            0
        ) +
        IFERROR(
            VLOOKUP($A85, INDIRECT("MayR!$A$6:$ZZ$1048576"), MATCH(X$1, MayR!$6:$6, 0), FALSE),
            0
        ) +
        IFERROR(
            VLOOKUP($A85, INDIRECT("JunR!$A$6:$ZZ$1048576"), MATCH(X$1, JunR!$6:$6, 0), FALSE),
            0
        ) +
        IFERROR(
            VLOOKUP($A85, INDIRECT("JulR!$A$6:$ZZ$1048576"), MATCH(X$1, JulR!$6:$6, 0), FALSE),
            0
        ) +
        IFERROR(
            VLOOKUP($A85, INDIRECT("AgoR!$A$6:$ZZ$1048576"), MATCH(X$1, AgoR!$6:$6, 0), FALSE),
            0
        ) +
        IFERROR(
            VLOOKUP($A85, INDIRECT("SepR!$A$6:$ZZ$1048576"), MATCH(X$1, SepR!$6:$6, 0), FALSE),
            0
        ) +
        IFERROR(
            VLOOKUP($A85, INDIRECT("OctR!$A$6:$ZZ$1048576"), MATCH(X$1, OctR!$6:$6, 0), FALSE),
            0
        ) +
        IFERROR(
            VLOOKUP($A85, INDIRECT("NovR!$A$6:$ZZ$1048576"), MATCH(X$1, NovR!$6:$6, 0), FALSE),
            0
        ) +
        IFERROR(
            VLOOKUP($A85, INDIRECT("DicR!$A$6:$ZZ$1048576"), MATCH(X$1, DicR!$6:$6, 0), FALSE),
            0
        )
)</f>
        <v>0</v>
      </c>
      <c r="Y85" s="37">
        <f t="array" ref="Y85">SUM(
    IFERROR(
            VLOOKUP($A85, INDIRECT("EneR!$A$6:$ZZ$1048576"), MATCH(Y$1, EneR!$6:$6, 0), FALSE),
            0
        ) +
        IFERROR(
            VLOOKUP($A85, INDIRECT("FebR!$A$6:$ZZ$1048576"), MATCH(Y$1, FebR!$6:$6, 0), FALSE),
            0
        ) +
        IFERROR(
            VLOOKUP($A85, INDIRECT("MarR!$A$6:$ZZ$1048576"), MATCH(Y$1, MarR!$6:$6, 0), FALSE),
            0
        ) +
        IFERROR(
            VLOOKUP($A85, INDIRECT("AbrR!$A$6:$ZZ$1048576"), MATCH(Y$1, AbrR!$6:$6, 0), FALSE),
            0
        ) +
        IFERROR(
            VLOOKUP($A85, INDIRECT("MayR!$A$6:$ZZ$1048576"), MATCH(Y$1, MayR!$6:$6, 0), FALSE),
            0
        ) +
        IFERROR(
            VLOOKUP($A85, INDIRECT("JunR!$A$6:$ZZ$1048576"), MATCH(Y$1, JunR!$6:$6, 0), FALSE),
            0
        ) +
        IFERROR(
            VLOOKUP($A85, INDIRECT("JulR!$A$6:$ZZ$1048576"), MATCH(Y$1, JulR!$6:$6, 0), FALSE),
            0
        ) +
        IFERROR(
            VLOOKUP($A85, INDIRECT("AgoR!$A$6:$ZZ$1048576"), MATCH(Y$1, AgoR!$6:$6, 0), FALSE),
            0
        ) +
        IFERROR(
            VLOOKUP($A85, INDIRECT("SepR!$A$6:$ZZ$1048576"), MATCH(Y$1, SepR!$6:$6, 0), FALSE),
            0
        ) +
        IFERROR(
            VLOOKUP($A85, INDIRECT("OctR!$A$6:$ZZ$1048576"), MATCH(Y$1, OctR!$6:$6, 0), FALSE),
            0
        ) +
        IFERROR(
            VLOOKUP($A85, INDIRECT("NovR!$A$6:$ZZ$1048576"), MATCH(Y$1, NovR!$6:$6, 0), FALSE),
            0
        ) +
        IFERROR(
            VLOOKUP($A85, INDIRECT("DicR!$A$6:$ZZ$1048576"), MATCH(Y$1, DicR!$6:$6, 0), FALSE),
            0
        )
)</f>
        <v>0</v>
      </c>
      <c r="Z85" s="36">
        <f t="array" ref="Z85">SUM(
    IFERROR(
            VLOOKUP($A85, INDIRECT("EneR!$A$6:$ZZ$1048576"), MATCH(Z$1, EneR!$6:$6, 0), FALSE),
            0
        ) +
        IFERROR(
            VLOOKUP($A85, INDIRECT("FebR!$A$6:$ZZ$1048576"), MATCH(Z$1, FebR!$6:$6, 0), FALSE),
            0
        ) +
        IFERROR(
            VLOOKUP($A85, INDIRECT("MarR!$A$6:$ZZ$1048576"), MATCH(Z$1, MarR!$6:$6, 0), FALSE),
            0
        ) +
        IFERROR(
            VLOOKUP($A85, INDIRECT("AbrR!$A$6:$ZZ$1048576"), MATCH(Z$1, AbrR!$6:$6, 0), FALSE),
            0
        ) +
        IFERROR(
            VLOOKUP($A85, INDIRECT("MayR!$A$6:$ZZ$1048576"), MATCH(Z$1, MayR!$6:$6, 0), FALSE),
            0
        ) +
        IFERROR(
            VLOOKUP($A85, INDIRECT("JunR!$A$6:$ZZ$1048576"), MATCH(Z$1, JunR!$6:$6, 0), FALSE),
            0
        ) +
        IFERROR(
            VLOOKUP($A85, INDIRECT("JulR!$A$6:$ZZ$1048576"), MATCH(Z$1, JulR!$6:$6, 0), FALSE),
            0
        ) +
        IFERROR(
            VLOOKUP($A85, INDIRECT("AgoR!$A$6:$ZZ$1048576"), MATCH(Z$1, AgoR!$6:$6, 0), FALSE),
            0
        ) +
        IFERROR(
            VLOOKUP($A85, INDIRECT("SepR!$A$6:$ZZ$1048576"), MATCH(Z$1, SepR!$6:$6, 0), FALSE),
            0
        ) +
        IFERROR(
            VLOOKUP($A85, INDIRECT("OctR!$A$6:$ZZ$1048576"), MATCH(Z$1, OctR!$6:$6, 0), FALSE),
            0
        ) +
        IFERROR(
            VLOOKUP($A85, INDIRECT("NovR!$A$6:$ZZ$1048576"), MATCH(Z$1, NovR!$6:$6, 0), FALSE),
            0
        ) +
        IFERROR(
            VLOOKUP($A85, INDIRECT("DicR!$A$6:$ZZ$1048576"), MATCH(Z$1, DicR!$6:$6, 0), FALSE),
            0
        )
)</f>
        <v>0</v>
      </c>
      <c r="AA85" s="37">
        <f t="array" ref="AA85">SUM(
    IFERROR(
            VLOOKUP($A85, INDIRECT("EneR!$A$6:$ZZ$1048576"), MATCH(AA$1, EneR!$6:$6, 0), FALSE),
            0
        ) +
        IFERROR(
            VLOOKUP($A85, INDIRECT("FebR!$A$6:$ZZ$1048576"), MATCH(AA$1, FebR!$6:$6, 0), FALSE),
            0
        ) +
        IFERROR(
            VLOOKUP($A85, INDIRECT("MarR!$A$6:$ZZ$1048576"), MATCH(AA$1, MarR!$6:$6, 0), FALSE),
            0
        ) +
        IFERROR(
            VLOOKUP($A85, INDIRECT("AbrR!$A$6:$ZZ$1048576"), MATCH(AA$1, AbrR!$6:$6, 0), FALSE),
            0
        ) +
        IFERROR(
            VLOOKUP($A85, INDIRECT("MayR!$A$6:$ZZ$1048576"), MATCH(AA$1, MayR!$6:$6, 0), FALSE),
            0
        ) +
        IFERROR(
            VLOOKUP($A85, INDIRECT("JunR!$A$6:$ZZ$1048576"), MATCH(AA$1, JunR!$6:$6, 0), FALSE),
            0
        ) +
        IFERROR(
            VLOOKUP($A85, INDIRECT("JulR!$A$6:$ZZ$1048576"), MATCH(AA$1, JulR!$6:$6, 0), FALSE),
            0
        ) +
        IFERROR(
            VLOOKUP($A85, INDIRECT("AgoR!$A$6:$ZZ$1048576"), MATCH(AA$1, AgoR!$6:$6, 0), FALSE),
            0
        ) +
        IFERROR(
            VLOOKUP($A85, INDIRECT("SepR!$A$6:$ZZ$1048576"), MATCH(AA$1, SepR!$6:$6, 0), FALSE),
            0
        ) +
        IFERROR(
            VLOOKUP($A85, INDIRECT("OctR!$A$6:$ZZ$1048576"), MATCH(AA$1, OctR!$6:$6, 0), FALSE),
            0
        ) +
        IFERROR(
            VLOOKUP($A85, INDIRECT("NovR!$A$6:$ZZ$1048576"), MATCH(AA$1, NovR!$6:$6, 0), FALSE),
            0
        ) +
        IFERROR(
            VLOOKUP($A85, INDIRECT("DicR!$A$6:$ZZ$1048576"), MATCH(AA$1, DicR!$6:$6, 0), FALSE),
            0
        )
)</f>
        <v>0</v>
      </c>
      <c r="AB85" s="36">
        <f t="array" ref="AB85">SUM(
    IFERROR(
            VLOOKUP($A85, INDIRECT("EneR!$A$6:$ZZ$1048576"), MATCH(AB$1, EneR!$6:$6, 0), FALSE),
            0
        ) +
        IFERROR(
            VLOOKUP($A85, INDIRECT("FebR!$A$6:$ZZ$1048576"), MATCH(AB$1, FebR!$6:$6, 0), FALSE),
            0
        ) +
        IFERROR(
            VLOOKUP($A85, INDIRECT("MarR!$A$6:$ZZ$1048576"), MATCH(AB$1, MarR!$6:$6, 0), FALSE),
            0
        ) +
        IFERROR(
            VLOOKUP($A85, INDIRECT("AbrR!$A$6:$ZZ$1048576"), MATCH(AB$1, AbrR!$6:$6, 0), FALSE),
            0
        ) +
        IFERROR(
            VLOOKUP($A85, INDIRECT("MayR!$A$6:$ZZ$1048576"), MATCH(AB$1, MayR!$6:$6, 0), FALSE),
            0
        ) +
        IFERROR(
            VLOOKUP($A85, INDIRECT("JunR!$A$6:$ZZ$1048576"), MATCH(AB$1, JunR!$6:$6, 0), FALSE),
            0
        ) +
        IFERROR(
            VLOOKUP($A85, INDIRECT("JulR!$A$6:$ZZ$1048576"), MATCH(AB$1, JulR!$6:$6, 0), FALSE),
            0
        ) +
        IFERROR(
            VLOOKUP($A85, INDIRECT("AgoR!$A$6:$ZZ$1048576"), MATCH(AB$1, AgoR!$6:$6, 0), FALSE),
            0
        ) +
        IFERROR(
            VLOOKUP($A85, INDIRECT("SepR!$A$6:$ZZ$1048576"), MATCH(AB$1, SepR!$6:$6, 0), FALSE),
            0
        ) +
        IFERROR(
            VLOOKUP($A85, INDIRECT("OctR!$A$6:$ZZ$1048576"), MATCH(AB$1, OctR!$6:$6, 0), FALSE),
            0
        ) +
        IFERROR(
            VLOOKUP($A85, INDIRECT("NovR!$A$6:$ZZ$1048576"), MATCH(AB$1, NovR!$6:$6, 0), FALSE),
            0
        ) +
        IFERROR(
            VLOOKUP($A85, INDIRECT("DicR!$A$6:$ZZ$1048576"), MATCH(AB$1, DicR!$6:$6, 0), FALSE),
            0
        )
)</f>
        <v>0</v>
      </c>
      <c r="AC85" s="37">
        <f t="array" ref="AC85">SUM(
    IFERROR(
            VLOOKUP($A85, INDIRECT("EneR!$A$6:$ZZ$1048576"), MATCH(AC$1, EneR!$6:$6, 0), FALSE),
            0
        ) +
        IFERROR(
            VLOOKUP($A85, INDIRECT("FebR!$A$6:$ZZ$1048576"), MATCH(AC$1, FebR!$6:$6, 0), FALSE),
            0
        ) +
        IFERROR(
            VLOOKUP($A85, INDIRECT("MarR!$A$6:$ZZ$1048576"), MATCH(AC$1, MarR!$6:$6, 0), FALSE),
            0
        ) +
        IFERROR(
            VLOOKUP($A85, INDIRECT("AbrR!$A$6:$ZZ$1048576"), MATCH(AC$1, AbrR!$6:$6, 0), FALSE),
            0
        ) +
        IFERROR(
            VLOOKUP($A85, INDIRECT("MayR!$A$6:$ZZ$1048576"), MATCH(AC$1, MayR!$6:$6, 0), FALSE),
            0
        ) +
        IFERROR(
            VLOOKUP($A85, INDIRECT("JunR!$A$6:$ZZ$1048576"), MATCH(AC$1, JunR!$6:$6, 0), FALSE),
            0
        ) +
        IFERROR(
            VLOOKUP($A85, INDIRECT("JulR!$A$6:$ZZ$1048576"), MATCH(AC$1, JulR!$6:$6, 0), FALSE),
            0
        ) +
        IFERROR(
            VLOOKUP($A85, INDIRECT("AgoR!$A$6:$ZZ$1048576"), MATCH(AC$1, AgoR!$6:$6, 0), FALSE),
            0
        ) +
        IFERROR(
            VLOOKUP($A85, INDIRECT("SepR!$A$6:$ZZ$1048576"), MATCH(AC$1, SepR!$6:$6, 0), FALSE),
            0
        ) +
        IFERROR(
            VLOOKUP($A85, INDIRECT("OctR!$A$6:$ZZ$1048576"), MATCH(AC$1, OctR!$6:$6, 0), FALSE),
            0
        ) +
        IFERROR(
            VLOOKUP($A85, INDIRECT("NovR!$A$6:$ZZ$1048576"), MATCH(AC$1, NovR!$6:$6, 0), FALSE),
            0
        ) +
        IFERROR(
            VLOOKUP($A85, INDIRECT("DicR!$A$6:$ZZ$1048576"), MATCH(AC$1, DicR!$6:$6, 0), FALSE),
            0
        )
)</f>
        <v>0</v>
      </c>
      <c r="AD85" s="36">
        <f t="array" ref="AD85">SUM(
    IFERROR(
            VLOOKUP($A85, INDIRECT("EneR!$A$6:$ZZ$1048576"), MATCH(AD$1, EneR!$6:$6, 0), FALSE),
            0
        ) +
        IFERROR(
            VLOOKUP($A85, INDIRECT("FebR!$A$6:$ZZ$1048576"), MATCH(AD$1, FebR!$6:$6, 0), FALSE),
            0
        ) +
        IFERROR(
            VLOOKUP($A85, INDIRECT("MarR!$A$6:$ZZ$1048576"), MATCH(AD$1, MarR!$6:$6, 0), FALSE),
            0
        ) +
        IFERROR(
            VLOOKUP($A85, INDIRECT("AbrR!$A$6:$ZZ$1048576"), MATCH(AD$1, AbrR!$6:$6, 0), FALSE),
            0
        ) +
        IFERROR(
            VLOOKUP($A85, INDIRECT("MayR!$A$6:$ZZ$1048576"), MATCH(AD$1, MayR!$6:$6, 0), FALSE),
            0
        ) +
        IFERROR(
            VLOOKUP($A85, INDIRECT("JunR!$A$6:$ZZ$1048576"), MATCH(AD$1, JunR!$6:$6, 0), FALSE),
            0
        ) +
        IFERROR(
            VLOOKUP($A85, INDIRECT("JulR!$A$6:$ZZ$1048576"), MATCH(AD$1, JulR!$6:$6, 0), FALSE),
            0
        ) +
        IFERROR(
            VLOOKUP($A85, INDIRECT("AgoR!$A$6:$ZZ$1048576"), MATCH(AD$1, AgoR!$6:$6, 0), FALSE),
            0
        ) +
        IFERROR(
            VLOOKUP($A85, INDIRECT("SepR!$A$6:$ZZ$1048576"), MATCH(AD$1, SepR!$6:$6, 0), FALSE),
            0
        ) +
        IFERROR(
            VLOOKUP($A85, INDIRECT("OctR!$A$6:$ZZ$1048576"), MATCH(AD$1, OctR!$6:$6, 0), FALSE),
            0
        ) +
        IFERROR(
            VLOOKUP($A85, INDIRECT("NovR!$A$6:$ZZ$1048576"), MATCH(AD$1, NovR!$6:$6, 0), FALSE),
            0
        ) +
        IFERROR(
            VLOOKUP($A85, INDIRECT("DicR!$A$6:$ZZ$1048576"), MATCH(AD$1, DicR!$6:$6, 0), FALSE),
            0
        )
)</f>
        <v>0</v>
      </c>
      <c r="AE85" s="37">
        <f t="array" ref="AE85">SUM(
    IFERROR(
            VLOOKUP($A85, INDIRECT("EneR!$A$6:$ZZ$1048576"), MATCH(AE$1, EneR!$6:$6, 0), FALSE),
            0
        ) +
        IFERROR(
            VLOOKUP($A85, INDIRECT("FebR!$A$6:$ZZ$1048576"), MATCH(AE$1, FebR!$6:$6, 0), FALSE),
            0
        ) +
        IFERROR(
            VLOOKUP($A85, INDIRECT("MarR!$A$6:$ZZ$1048576"), MATCH(AE$1, MarR!$6:$6, 0), FALSE),
            0
        ) +
        IFERROR(
            VLOOKUP($A85, INDIRECT("AbrR!$A$6:$ZZ$1048576"), MATCH(AE$1, AbrR!$6:$6, 0), FALSE),
            0
        ) +
        IFERROR(
            VLOOKUP($A85, INDIRECT("MayR!$A$6:$ZZ$1048576"), MATCH(AE$1, MayR!$6:$6, 0), FALSE),
            0
        ) +
        IFERROR(
            VLOOKUP($A85, INDIRECT("JunR!$A$6:$ZZ$1048576"), MATCH(AE$1, JunR!$6:$6, 0), FALSE),
            0
        ) +
        IFERROR(
            VLOOKUP($A85, INDIRECT("JulR!$A$6:$ZZ$1048576"), MATCH(AE$1, JulR!$6:$6, 0), FALSE),
            0
        ) +
        IFERROR(
            VLOOKUP($A85, INDIRECT("AgoR!$A$6:$ZZ$1048576"), MATCH(AE$1, AgoR!$6:$6, 0), FALSE),
            0
        ) +
        IFERROR(
            VLOOKUP($A85, INDIRECT("SepR!$A$6:$ZZ$1048576"), MATCH(AE$1, SepR!$6:$6, 0), FALSE),
            0
        ) +
        IFERROR(
            VLOOKUP($A85, INDIRECT("OctR!$A$6:$ZZ$1048576"), MATCH(AE$1, OctR!$6:$6, 0), FALSE),
            0
        ) +
        IFERROR(
            VLOOKUP($A85, INDIRECT("NovR!$A$6:$ZZ$1048576"), MATCH(AE$1, NovR!$6:$6, 0), FALSE),
            0
        ) +
        IFERROR(
            VLOOKUP($A85, INDIRECT("DicR!$A$6:$ZZ$1048576"), MATCH(AE$1, DicR!$6:$6, 0), FALSE),
            0
        )
)</f>
        <v>0</v>
      </c>
      <c r="AF85" s="36">
        <f t="array" ref="AF85">SUM(
    IFERROR(
            VLOOKUP($A85, INDIRECT("EneR!$A$6:$ZZ$1048576"), MATCH(AF$1, EneR!$6:$6, 0), FALSE),
            0
        ) +
        IFERROR(
            VLOOKUP($A85, INDIRECT("FebR!$A$6:$ZZ$1048576"), MATCH(AF$1, FebR!$6:$6, 0), FALSE),
            0
        ) +
        IFERROR(
            VLOOKUP($A85, INDIRECT("MarR!$A$6:$ZZ$1048576"), MATCH(AF$1, MarR!$6:$6, 0), FALSE),
            0
        ) +
        IFERROR(
            VLOOKUP($A85, INDIRECT("AbrR!$A$6:$ZZ$1048576"), MATCH(AF$1, AbrR!$6:$6, 0), FALSE),
            0
        ) +
        IFERROR(
            VLOOKUP($A85, INDIRECT("MayR!$A$6:$ZZ$1048576"), MATCH(AF$1, MayR!$6:$6, 0), FALSE),
            0
        ) +
        IFERROR(
            VLOOKUP($A85, INDIRECT("JunR!$A$6:$ZZ$1048576"), MATCH(AF$1, JunR!$6:$6, 0), FALSE),
            0
        ) +
        IFERROR(
            VLOOKUP($A85, INDIRECT("JulR!$A$6:$ZZ$1048576"), MATCH(AF$1, JulR!$6:$6, 0), FALSE),
            0
        ) +
        IFERROR(
            VLOOKUP($A85, INDIRECT("AgoR!$A$6:$ZZ$1048576"), MATCH(AF$1, AgoR!$6:$6, 0), FALSE),
            0
        ) +
        IFERROR(
            VLOOKUP($A85, INDIRECT("SepR!$A$6:$ZZ$1048576"), MATCH(AF$1, SepR!$6:$6, 0), FALSE),
            0
        ) +
        IFERROR(
            VLOOKUP($A85, INDIRECT("OctR!$A$6:$ZZ$1048576"), MATCH(AF$1, OctR!$6:$6, 0), FALSE),
            0
        ) +
        IFERROR(
            VLOOKUP($A85, INDIRECT("NovR!$A$6:$ZZ$1048576"), MATCH(AF$1, NovR!$6:$6, 0), FALSE),
            0
        ) +
        IFERROR(
            VLOOKUP($A85, INDIRECT("DicR!$A$6:$ZZ$1048576"), MATCH(AF$1, DicR!$6:$6, 0), FALSE),
            0
        )
)</f>
        <v>0</v>
      </c>
      <c r="AG85" s="37">
        <f t="array" ref="AG85">SUM(
    IFERROR(
            VLOOKUP($A85, INDIRECT("EneR!$A$6:$ZZ$1048576"), MATCH(AG$1, EneR!$6:$6, 0), FALSE),
            0
        ) +
        IFERROR(
            VLOOKUP($A85, INDIRECT("FebR!$A$6:$ZZ$1048576"), MATCH(AG$1, FebR!$6:$6, 0), FALSE),
            0
        ) +
        IFERROR(
            VLOOKUP($A85, INDIRECT("MarR!$A$6:$ZZ$1048576"), MATCH(AG$1, MarR!$6:$6, 0), FALSE),
            0
        ) +
        IFERROR(
            VLOOKUP($A85, INDIRECT("AbrR!$A$6:$ZZ$1048576"), MATCH(AG$1, AbrR!$6:$6, 0), FALSE),
            0
        ) +
        IFERROR(
            VLOOKUP($A85, INDIRECT("MayR!$A$6:$ZZ$1048576"), MATCH(AG$1, MayR!$6:$6, 0), FALSE),
            0
        ) +
        IFERROR(
            VLOOKUP($A85, INDIRECT("JunR!$A$6:$ZZ$1048576"), MATCH(AG$1, JunR!$6:$6, 0), FALSE),
            0
        ) +
        IFERROR(
            VLOOKUP($A85, INDIRECT("JulR!$A$6:$ZZ$1048576"), MATCH(AG$1, JulR!$6:$6, 0), FALSE),
            0
        ) +
        IFERROR(
            VLOOKUP($A85, INDIRECT("AgoR!$A$6:$ZZ$1048576"), MATCH(AG$1, AgoR!$6:$6, 0), FALSE),
            0
        ) +
        IFERROR(
            VLOOKUP($A85, INDIRECT("SepR!$A$6:$ZZ$1048576"), MATCH(AG$1, SepR!$6:$6, 0), FALSE),
            0
        ) +
        IFERROR(
            VLOOKUP($A85, INDIRECT("OctR!$A$6:$ZZ$1048576"), MATCH(AG$1, OctR!$6:$6, 0), FALSE),
            0
        ) +
        IFERROR(
            VLOOKUP($A85, INDIRECT("NovR!$A$6:$ZZ$1048576"), MATCH(AG$1, NovR!$6:$6, 0), FALSE),
            0
        ) +
        IFERROR(
            VLOOKUP($A85, INDIRECT("DicR!$A$6:$ZZ$1048576"), MATCH(AG$1, DicR!$6:$6, 0), FALSE),
            0
        )
)</f>
        <v>0</v>
      </c>
      <c r="AH85" s="36">
        <f t="array" ref="AH85">SUM(
    IFERROR(
            VLOOKUP($A85, INDIRECT("EneR!$A$6:$ZZ$1048576"), MATCH(AH$1, EneR!$6:$6, 0), FALSE),
            0
        ) +
        IFERROR(
            VLOOKUP($A85, INDIRECT("FebR!$A$6:$ZZ$1048576"), MATCH(AH$1, FebR!$6:$6, 0), FALSE),
            0
        ) +
        IFERROR(
            VLOOKUP($A85, INDIRECT("MarR!$A$6:$ZZ$1048576"), MATCH(AH$1, MarR!$6:$6, 0), FALSE),
            0
        ) +
        IFERROR(
            VLOOKUP($A85, INDIRECT("AbrR!$A$6:$ZZ$1048576"), MATCH(AH$1, AbrR!$6:$6, 0), FALSE),
            0
        ) +
        IFERROR(
            VLOOKUP($A85, INDIRECT("MayR!$A$6:$ZZ$1048576"), MATCH(AH$1, MayR!$6:$6, 0), FALSE),
            0
        ) +
        IFERROR(
            VLOOKUP($A85, INDIRECT("JunR!$A$6:$ZZ$1048576"), MATCH(AH$1, JunR!$6:$6, 0), FALSE),
            0
        ) +
        IFERROR(
            VLOOKUP($A85, INDIRECT("JulR!$A$6:$ZZ$1048576"), MATCH(AH$1, JulR!$6:$6, 0), FALSE),
            0
        ) +
        IFERROR(
            VLOOKUP($A85, INDIRECT("AgoR!$A$6:$ZZ$1048576"), MATCH(AH$1, AgoR!$6:$6, 0), FALSE),
            0
        ) +
        IFERROR(
            VLOOKUP($A85, INDIRECT("SepR!$A$6:$ZZ$1048576"), MATCH(AH$1, SepR!$6:$6, 0), FALSE),
            0
        ) +
        IFERROR(
            VLOOKUP($A85, INDIRECT("OctR!$A$6:$ZZ$1048576"), MATCH(AH$1, OctR!$6:$6, 0), FALSE),
            0
        ) +
        IFERROR(
            VLOOKUP($A85, INDIRECT("NovR!$A$6:$ZZ$1048576"), MATCH(AH$1, NovR!$6:$6, 0), FALSE),
            0
        ) +
        IFERROR(
            VLOOKUP($A85, INDIRECT("DicR!$A$6:$ZZ$1048576"), MATCH(AH$1, DicR!$6:$6, 0), FALSE),
            0
        )
)</f>
        <v>0</v>
      </c>
      <c r="AI85" s="37">
        <f t="array" ref="AI85">SUM(
    IFERROR(
            VLOOKUP($A85, INDIRECT("EneR!$A$6:$ZZ$1048576"), MATCH(AI$1, EneR!$6:$6, 0), FALSE),
            0
        ) +
        IFERROR(
            VLOOKUP($A85, INDIRECT("FebR!$A$6:$ZZ$1048576"), MATCH(AI$1, FebR!$6:$6, 0), FALSE),
            0
        ) +
        IFERROR(
            VLOOKUP($A85, INDIRECT("MarR!$A$6:$ZZ$1048576"), MATCH(AI$1, MarR!$6:$6, 0), FALSE),
            0
        ) +
        IFERROR(
            VLOOKUP($A85, INDIRECT("AbrR!$A$6:$ZZ$1048576"), MATCH(AI$1, AbrR!$6:$6, 0), FALSE),
            0
        ) +
        IFERROR(
            VLOOKUP($A85, INDIRECT("MayR!$A$6:$ZZ$1048576"), MATCH(AI$1, MayR!$6:$6, 0), FALSE),
            0
        ) +
        IFERROR(
            VLOOKUP($A85, INDIRECT("JunR!$A$6:$ZZ$1048576"), MATCH(AI$1, JunR!$6:$6, 0), FALSE),
            0
        ) +
        IFERROR(
            VLOOKUP($A85, INDIRECT("JulR!$A$6:$ZZ$1048576"), MATCH(AI$1, JulR!$6:$6, 0), FALSE),
            0
        ) +
        IFERROR(
            VLOOKUP($A85, INDIRECT("AgoR!$A$6:$ZZ$1048576"), MATCH(AI$1, AgoR!$6:$6, 0), FALSE),
            0
        ) +
        IFERROR(
            VLOOKUP($A85, INDIRECT("SepR!$A$6:$ZZ$1048576"), MATCH(AI$1, SepR!$6:$6, 0), FALSE),
            0
        ) +
        IFERROR(
            VLOOKUP($A85, INDIRECT("OctR!$A$6:$ZZ$1048576"), MATCH(AI$1, OctR!$6:$6, 0), FALSE),
            0
        ) +
        IFERROR(
            VLOOKUP($A85, INDIRECT("NovR!$A$6:$ZZ$1048576"), MATCH(AI$1, NovR!$6:$6, 0), FALSE),
            0
        ) +
        IFERROR(
            VLOOKUP($A85, INDIRECT("DicR!$A$6:$ZZ$1048576"), MATCH(AI$1, DicR!$6:$6, 0), FALSE),
            0
        )
)</f>
        <v>0</v>
      </c>
      <c r="AJ85" s="36">
        <f t="array" ref="AJ85">SUM(
    IFERROR(
            VLOOKUP($A85, INDIRECT("EneR!$A$6:$ZZ$1048576"), MATCH(AJ$1, EneR!$6:$6, 0), FALSE),
            0
        ) +
        IFERROR(
            VLOOKUP($A85, INDIRECT("FebR!$A$6:$ZZ$1048576"), MATCH(AJ$1, FebR!$6:$6, 0), FALSE),
            0
        ) +
        IFERROR(
            VLOOKUP($A85, INDIRECT("MarR!$A$6:$ZZ$1048576"), MATCH(AJ$1, MarR!$6:$6, 0), FALSE),
            0
        ) +
        IFERROR(
            VLOOKUP($A85, INDIRECT("AbrR!$A$6:$ZZ$1048576"), MATCH(AJ$1, AbrR!$6:$6, 0), FALSE),
            0
        ) +
        IFERROR(
            VLOOKUP($A85, INDIRECT("MayR!$A$6:$ZZ$1048576"), MATCH(AJ$1, MayR!$6:$6, 0), FALSE),
            0
        ) +
        IFERROR(
            VLOOKUP($A85, INDIRECT("JunR!$A$6:$ZZ$1048576"), MATCH(AJ$1, JunR!$6:$6, 0), FALSE),
            0
        ) +
        IFERROR(
            VLOOKUP($A85, INDIRECT("JulR!$A$6:$ZZ$1048576"), MATCH(AJ$1, JulR!$6:$6, 0), FALSE),
            0
        ) +
        IFERROR(
            VLOOKUP($A85, INDIRECT("AgoR!$A$6:$ZZ$1048576"), MATCH(AJ$1, AgoR!$6:$6, 0), FALSE),
            0
        ) +
        IFERROR(
            VLOOKUP($A85, INDIRECT("SepR!$A$6:$ZZ$1048576"), MATCH(AJ$1, SepR!$6:$6, 0), FALSE),
            0
        ) +
        IFERROR(
            VLOOKUP($A85, INDIRECT("OctR!$A$6:$ZZ$1048576"), MATCH(AJ$1, OctR!$6:$6, 0), FALSE),
            0
        ) +
        IFERROR(
            VLOOKUP($A85, INDIRECT("NovR!$A$6:$ZZ$1048576"), MATCH(AJ$1, NovR!$6:$6, 0), FALSE),
            0
        ) +
        IFERROR(
            VLOOKUP($A85, INDIRECT("DicR!$A$6:$ZZ$1048576"), MATCH(AJ$1, DicR!$6:$6, 0), FALSE),
            0
        )
)</f>
        <v>0</v>
      </c>
      <c r="AK85" s="37">
        <f t="array" ref="AK85">SUM(
    IFERROR(
            VLOOKUP($A85, INDIRECT("EneR!$A$6:$ZZ$1048576"), MATCH(AK$1, EneR!$6:$6, 0), FALSE),
            0
        ) +
        IFERROR(
            VLOOKUP($A85, INDIRECT("FebR!$A$6:$ZZ$1048576"), MATCH(AK$1, FebR!$6:$6, 0), FALSE),
            0
        ) +
        IFERROR(
            VLOOKUP($A85, INDIRECT("MarR!$A$6:$ZZ$1048576"), MATCH(AK$1, MarR!$6:$6, 0), FALSE),
            0
        ) +
        IFERROR(
            VLOOKUP($A85, INDIRECT("AbrR!$A$6:$ZZ$1048576"), MATCH(AK$1, AbrR!$6:$6, 0), FALSE),
            0
        ) +
        IFERROR(
            VLOOKUP($A85, INDIRECT("MayR!$A$6:$ZZ$1048576"), MATCH(AK$1, MayR!$6:$6, 0), FALSE),
            0
        ) +
        IFERROR(
            VLOOKUP($A85, INDIRECT("JunR!$A$6:$ZZ$1048576"), MATCH(AK$1, JunR!$6:$6, 0), FALSE),
            0
        ) +
        IFERROR(
            VLOOKUP($A85, INDIRECT("JulR!$A$6:$ZZ$1048576"), MATCH(AK$1, JulR!$6:$6, 0), FALSE),
            0
        ) +
        IFERROR(
            VLOOKUP($A85, INDIRECT("AgoR!$A$6:$ZZ$1048576"), MATCH(AK$1, AgoR!$6:$6, 0), FALSE),
            0
        ) +
        IFERROR(
            VLOOKUP($A85, INDIRECT("SepR!$A$6:$ZZ$1048576"), MATCH(AK$1, SepR!$6:$6, 0), FALSE),
            0
        ) +
        IFERROR(
            VLOOKUP($A85, INDIRECT("OctR!$A$6:$ZZ$1048576"), MATCH(AK$1, OctR!$6:$6, 0), FALSE),
            0
        ) +
        IFERROR(
            VLOOKUP($A85, INDIRECT("NovR!$A$6:$ZZ$1048576"), MATCH(AK$1, NovR!$6:$6, 0), FALSE),
            0
        ) +
        IFERROR(
            VLOOKUP($A85, INDIRECT("DicR!$A$6:$ZZ$1048576"), MATCH(AK$1, DicR!$6:$6, 0), FALSE),
            0
        )
)</f>
        <v>0</v>
      </c>
      <c r="AL85" s="36">
        <f t="array" ref="AL85">SUM(
    IFERROR(
            VLOOKUP($A85, INDIRECT("EneR!$A$6:$ZZ$1048576"), MATCH(AL$1, EneR!$6:$6, 0), FALSE),
            0
        ) +
        IFERROR(
            VLOOKUP($A85, INDIRECT("FebR!$A$6:$ZZ$1048576"), MATCH(AL$1, FebR!$6:$6, 0), FALSE),
            0
        ) +
        IFERROR(
            VLOOKUP($A85, INDIRECT("MarR!$A$6:$ZZ$1048576"), MATCH(AL$1, MarR!$6:$6, 0), FALSE),
            0
        ) +
        IFERROR(
            VLOOKUP($A85, INDIRECT("AbrR!$A$6:$ZZ$1048576"), MATCH(AL$1, AbrR!$6:$6, 0), FALSE),
            0
        ) +
        IFERROR(
            VLOOKUP($A85, INDIRECT("MayR!$A$6:$ZZ$1048576"), MATCH(AL$1, MayR!$6:$6, 0), FALSE),
            0
        ) +
        IFERROR(
            VLOOKUP($A85, INDIRECT("JunR!$A$6:$ZZ$1048576"), MATCH(AL$1, JunR!$6:$6, 0), FALSE),
            0
        ) +
        IFERROR(
            VLOOKUP($A85, INDIRECT("JulR!$A$6:$ZZ$1048576"), MATCH(AL$1, JulR!$6:$6, 0), FALSE),
            0
        ) +
        IFERROR(
            VLOOKUP($A85, INDIRECT("AgoR!$A$6:$ZZ$1048576"), MATCH(AL$1, AgoR!$6:$6, 0), FALSE),
            0
        ) +
        IFERROR(
            VLOOKUP($A85, INDIRECT("SepR!$A$6:$ZZ$1048576"), MATCH(AL$1, SepR!$6:$6, 0), FALSE),
            0
        ) +
        IFERROR(
            VLOOKUP($A85, INDIRECT("OctR!$A$6:$ZZ$1048576"), MATCH(AL$1, OctR!$6:$6, 0), FALSE),
            0
        ) +
        IFERROR(
            VLOOKUP($A85, INDIRECT("NovR!$A$6:$ZZ$1048576"), MATCH(AL$1, NovR!$6:$6, 0), FALSE),
            0
        ) +
        IFERROR(
            VLOOKUP($A85, INDIRECT("DicR!$A$6:$ZZ$1048576"), MATCH(AL$1, DicR!$6:$6, 0), FALSE),
            0
        )
)</f>
        <v>0</v>
      </c>
      <c r="AM85" s="37">
        <f t="array" ref="AM85">SUM(
    IFERROR(
            VLOOKUP($A85, INDIRECT("EneR!$A$6:$ZZ$1048576"), MATCH(AM$1, EneR!$6:$6, 0), FALSE),
            0
        ) +
        IFERROR(
            VLOOKUP($A85, INDIRECT("FebR!$A$6:$ZZ$1048576"), MATCH(AM$1, FebR!$6:$6, 0), FALSE),
            0
        ) +
        IFERROR(
            VLOOKUP($A85, INDIRECT("MarR!$A$6:$ZZ$1048576"), MATCH(AM$1, MarR!$6:$6, 0), FALSE),
            0
        ) +
        IFERROR(
            VLOOKUP($A85, INDIRECT("AbrR!$A$6:$ZZ$1048576"), MATCH(AM$1, AbrR!$6:$6, 0), FALSE),
            0
        ) +
        IFERROR(
            VLOOKUP($A85, INDIRECT("MayR!$A$6:$ZZ$1048576"), MATCH(AM$1, MayR!$6:$6, 0), FALSE),
            0
        ) +
        IFERROR(
            VLOOKUP($A85, INDIRECT("JunR!$A$6:$ZZ$1048576"), MATCH(AM$1, JunR!$6:$6, 0), FALSE),
            0
        ) +
        IFERROR(
            VLOOKUP($A85, INDIRECT("JulR!$A$6:$ZZ$1048576"), MATCH(AM$1, JulR!$6:$6, 0), FALSE),
            0
        ) +
        IFERROR(
            VLOOKUP($A85, INDIRECT("AgoR!$A$6:$ZZ$1048576"), MATCH(AM$1, AgoR!$6:$6, 0), FALSE),
            0
        ) +
        IFERROR(
            VLOOKUP($A85, INDIRECT("SepR!$A$6:$ZZ$1048576"), MATCH(AM$1, SepR!$6:$6, 0), FALSE),
            0
        ) +
        IFERROR(
            VLOOKUP($A85, INDIRECT("OctR!$A$6:$ZZ$1048576"), MATCH(AM$1, OctR!$6:$6, 0), FALSE),
            0
        ) +
        IFERROR(
            VLOOKUP($A85, INDIRECT("NovR!$A$6:$ZZ$1048576"), MATCH(AM$1, NovR!$6:$6, 0), FALSE),
            0
        ) +
        IFERROR(
            VLOOKUP($A85, INDIRECT("DicR!$A$6:$ZZ$1048576"), MATCH(AM$1, DicR!$6:$6, 0), FALSE),
            0
        )
)</f>
        <v>0</v>
      </c>
      <c r="AN85" s="32">
        <f t="array" ref="AN85">SUM(
    IFERROR(
            VLOOKUP($A85, INDIRECT("EneR!$A$6:$ZZ$1048576"), MATCH(AN$1, EneR!$6:$6, 0), FALSE),
            0
        ) +
        IFERROR(
            VLOOKUP($A85, INDIRECT("FebR!$A$6:$ZZ$1048576"), MATCH(AN$1, FebR!$6:$6, 0), FALSE),
            0
        ) +
        IFERROR(
            VLOOKUP($A85, INDIRECT("MarR!$A$6:$ZZ$1048576"), MATCH(AN$1, MarR!$6:$6, 0), FALSE),
            0
        ) +
        IFERROR(
            VLOOKUP($A85, INDIRECT("AbrR!$A$6:$ZZ$1048576"), MATCH(AN$1, AbrR!$6:$6, 0), FALSE),
            0
        ) +
        IFERROR(
            VLOOKUP($A85, INDIRECT("MayR!$A$6:$ZZ$1048576"), MATCH(AN$1, MayR!$6:$6, 0), FALSE),
            0
        ) +
        IFERROR(
            VLOOKUP($A85, INDIRECT("JunR!$A$6:$ZZ$1048576"), MATCH(AN$1, JunR!$6:$6, 0), FALSE),
            0
        ) +
        IFERROR(
            VLOOKUP($A85, INDIRECT("JulR!$A$6:$ZZ$1048576"), MATCH(AN$1, JulR!$6:$6, 0), FALSE),
            0
        ) +
        IFERROR(
            VLOOKUP($A85, INDIRECT("AgoR!$A$6:$ZZ$1048576"), MATCH(AN$1, AgoR!$6:$6, 0), FALSE),
            0
        ) +
        IFERROR(
            VLOOKUP($A85, INDIRECT("SepR!$A$6:$ZZ$1048576"), MATCH(AN$1, SepR!$6:$6, 0), FALSE),
            0
        ) +
        IFERROR(
            VLOOKUP($A85, INDIRECT("OctR!$A$6:$ZZ$1048576"), MATCH(AN$1, OctR!$6:$6, 0), FALSE),
            0
        ) +
        IFERROR(
            VLOOKUP($A85, INDIRECT("NovR!$A$6:$ZZ$1048576"), MATCH(AN$1, NovR!$6:$6, 0), FALSE),
            0
        ) +
        IFERROR(
            VLOOKUP($A85, INDIRECT("DicR!$A$6:$ZZ$1048576"), MATCH(AN$1, DicR!$6:$6, 0), FALSE),
            0
        )
)</f>
        <v>0</v>
      </c>
      <c r="AO85" s="35">
        <f t="array" ref="AO85">SUM(
    IFERROR(
            VLOOKUP($A85, INDIRECT("EneR!$A$6:$ZZ$1048576"), MATCH(AO$1, EneR!$6:$6, 0), FALSE),
            0
        ) +
        IFERROR(
            VLOOKUP($A85, INDIRECT("FebR!$A$6:$ZZ$1048576"), MATCH(AO$1, FebR!$6:$6, 0), FALSE),
            0
        ) +
        IFERROR(
            VLOOKUP($A85, INDIRECT("MarR!$A$6:$ZZ$1048576"), MATCH(AO$1, MarR!$6:$6, 0), FALSE),
            0
        ) +
        IFERROR(
            VLOOKUP($A85, INDIRECT("AbrR!$A$6:$ZZ$1048576"), MATCH(AO$1, AbrR!$6:$6, 0), FALSE),
            0
        ) +
        IFERROR(
            VLOOKUP($A85, INDIRECT("MayR!$A$6:$ZZ$1048576"), MATCH(AO$1, MayR!$6:$6, 0), FALSE),
            0
        ) +
        IFERROR(
            VLOOKUP($A85, INDIRECT("JunR!$A$6:$ZZ$1048576"), MATCH(AO$1, JunR!$6:$6, 0), FALSE),
            0
        ) +
        IFERROR(
            VLOOKUP($A85, INDIRECT("JulR!$A$6:$ZZ$1048576"), MATCH(AO$1, JulR!$6:$6, 0), FALSE),
            0
        ) +
        IFERROR(
            VLOOKUP($A85, INDIRECT("AgoR!$A$6:$ZZ$1048576"), MATCH(AO$1, AgoR!$6:$6, 0), FALSE),
            0
        ) +
        IFERROR(
            VLOOKUP($A85, INDIRECT("SepR!$A$6:$ZZ$1048576"), MATCH(AO$1, SepR!$6:$6, 0), FALSE),
            0
        ) +
        IFERROR(
            VLOOKUP($A85, INDIRECT("OctR!$A$6:$ZZ$1048576"), MATCH(AO$1, OctR!$6:$6, 0), FALSE),
            0
        ) +
        IFERROR(
            VLOOKUP($A85, INDIRECT("NovR!$A$6:$ZZ$1048576"), MATCH(AO$1, NovR!$6:$6, 0), FALSE),
            0
        ) +
        IFERROR(
            VLOOKUP($A85, INDIRECT("DicR!$A$6:$ZZ$1048576"), MATCH(AO$1, DicR!$6:$6, 0), FALSE),
            0
        )
)</f>
        <v>0</v>
      </c>
      <c r="AP85" s="36">
        <f t="array" ref="AP85">SUM(
    IFERROR(
            VLOOKUP($A85, INDIRECT("EneR!$A$6:$ZZ$1048576"), MATCH(AP$1, EneR!$6:$6, 0), FALSE),
            0
        ) +
        IFERROR(
            VLOOKUP($A85, INDIRECT("FebR!$A$6:$ZZ$1048576"), MATCH(AP$1, FebR!$6:$6, 0), FALSE),
            0
        ) +
        IFERROR(
            VLOOKUP($A85, INDIRECT("MarR!$A$6:$ZZ$1048576"), MATCH(AP$1, MarR!$6:$6, 0), FALSE),
            0
        ) +
        IFERROR(
            VLOOKUP($A85, INDIRECT("AbrR!$A$6:$ZZ$1048576"), MATCH(AP$1, AbrR!$6:$6, 0), FALSE),
            0
        ) +
        IFERROR(
            VLOOKUP($A85, INDIRECT("MayR!$A$6:$ZZ$1048576"), MATCH(AP$1, MayR!$6:$6, 0), FALSE),
            0
        ) +
        IFERROR(
            VLOOKUP($A85, INDIRECT("JunR!$A$6:$ZZ$1048576"), MATCH(AP$1, JunR!$6:$6, 0), FALSE),
            0
        ) +
        IFERROR(
            VLOOKUP($A85, INDIRECT("JulR!$A$6:$ZZ$1048576"), MATCH(AP$1, JulR!$6:$6, 0), FALSE),
            0
        ) +
        IFERROR(
            VLOOKUP($A85, INDIRECT("AgoR!$A$6:$ZZ$1048576"), MATCH(AP$1, AgoR!$6:$6, 0), FALSE),
            0
        ) +
        IFERROR(
            VLOOKUP($A85, INDIRECT("SepR!$A$6:$ZZ$1048576"), MATCH(AP$1, SepR!$6:$6, 0), FALSE),
            0
        ) +
        IFERROR(
            VLOOKUP($A85, INDIRECT("OctR!$A$6:$ZZ$1048576"), MATCH(AP$1, OctR!$6:$6, 0), FALSE),
            0
        ) +
        IFERROR(
            VLOOKUP($A85, INDIRECT("NovR!$A$6:$ZZ$1048576"), MATCH(AP$1, NovR!$6:$6, 0), FALSE),
            0
        ) +
        IFERROR(
            VLOOKUP($A85, INDIRECT("DicR!$A$6:$ZZ$1048576"), MATCH(AP$1, DicR!$6:$6, 0), FALSE),
            0
        )
)</f>
        <v>0</v>
      </c>
      <c r="AQ85" s="35">
        <f t="array" ref="AQ85">SUM(
    IFERROR(
            VLOOKUP($A85, INDIRECT("EneR!$A$6:$ZZ$1048576"), MATCH(AQ$1, EneR!$6:$6, 0), FALSE),
            0
        ) +
        IFERROR(
            VLOOKUP($A85, INDIRECT("FebR!$A$6:$ZZ$1048576"), MATCH(AQ$1, FebR!$6:$6, 0), FALSE),
            0
        ) +
        IFERROR(
            VLOOKUP($A85, INDIRECT("MarR!$A$6:$ZZ$1048576"), MATCH(AQ$1, MarR!$6:$6, 0), FALSE),
            0
        ) +
        IFERROR(
            VLOOKUP($A85, INDIRECT("AbrR!$A$6:$ZZ$1048576"), MATCH(AQ$1, AbrR!$6:$6, 0), FALSE),
            0
        ) +
        IFERROR(
            VLOOKUP($A85, INDIRECT("MayR!$A$6:$ZZ$1048576"), MATCH(AQ$1, MayR!$6:$6, 0), FALSE),
            0
        ) +
        IFERROR(
            VLOOKUP($A85, INDIRECT("JunR!$A$6:$ZZ$1048576"), MATCH(AQ$1, JunR!$6:$6, 0), FALSE),
            0
        ) +
        IFERROR(
            VLOOKUP($A85, INDIRECT("JulR!$A$6:$ZZ$1048576"), MATCH(AQ$1, JulR!$6:$6, 0), FALSE),
            0
        ) +
        IFERROR(
            VLOOKUP($A85, INDIRECT("AgoR!$A$6:$ZZ$1048576"), MATCH(AQ$1, AgoR!$6:$6, 0), FALSE),
            0
        ) +
        IFERROR(
            VLOOKUP($A85, INDIRECT("SepR!$A$6:$ZZ$1048576"), MATCH(AQ$1, SepR!$6:$6, 0), FALSE),
            0
        ) +
        IFERROR(
            VLOOKUP($A85, INDIRECT("OctR!$A$6:$ZZ$1048576"), MATCH(AQ$1, OctR!$6:$6, 0), FALSE),
            0
        ) +
        IFERROR(
            VLOOKUP($A85, INDIRECT("NovR!$A$6:$ZZ$1048576"), MATCH(AQ$1, NovR!$6:$6, 0), FALSE),
            0
        ) +
        IFERROR(
            VLOOKUP($A85, INDIRECT("DicR!$A$6:$ZZ$1048576"), MATCH(AQ$1, DicR!$6:$6, 0), FALSE),
            0
        )
)</f>
        <v>0</v>
      </c>
      <c r="AR85" s="36">
        <f t="array" ref="AR85">SUM(
    IFERROR(
            VLOOKUP($A85, INDIRECT("EneR!$A$6:$ZZ$1048576"), MATCH(AR$1, EneR!$6:$6, 0), FALSE),
            0
        ) +
        IFERROR(
            VLOOKUP($A85, INDIRECT("FebR!$A$6:$ZZ$1048576"), MATCH(AR$1, FebR!$6:$6, 0), FALSE),
            0
        ) +
        IFERROR(
            VLOOKUP($A85, INDIRECT("MarR!$A$6:$ZZ$1048576"), MATCH(AR$1, MarR!$6:$6, 0), FALSE),
            0
        ) +
        IFERROR(
            VLOOKUP($A85, INDIRECT("AbrR!$A$6:$ZZ$1048576"), MATCH(AR$1, AbrR!$6:$6, 0), FALSE),
            0
        ) +
        IFERROR(
            VLOOKUP($A85, INDIRECT("MayR!$A$6:$ZZ$1048576"), MATCH(AR$1, MayR!$6:$6, 0), FALSE),
            0
        ) +
        IFERROR(
            VLOOKUP($A85, INDIRECT("JunR!$A$6:$ZZ$1048576"), MATCH(AR$1, JunR!$6:$6, 0), FALSE),
            0
        ) +
        IFERROR(
            VLOOKUP($A85, INDIRECT("JulR!$A$6:$ZZ$1048576"), MATCH(AR$1, JulR!$6:$6, 0), FALSE),
            0
        ) +
        IFERROR(
            VLOOKUP($A85, INDIRECT("AgoR!$A$6:$ZZ$1048576"), MATCH(AR$1, AgoR!$6:$6, 0), FALSE),
            0
        ) +
        IFERROR(
            VLOOKUP($A85, INDIRECT("SepR!$A$6:$ZZ$1048576"), MATCH(AR$1, SepR!$6:$6, 0), FALSE),
            0
        ) +
        IFERROR(
            VLOOKUP($A85, INDIRECT("OctR!$A$6:$ZZ$1048576"), MATCH(AR$1, OctR!$6:$6, 0), FALSE),
            0
        ) +
        IFERROR(
            VLOOKUP($A85, INDIRECT("NovR!$A$6:$ZZ$1048576"), MATCH(AR$1, NovR!$6:$6, 0), FALSE),
            0
        ) +
        IFERROR(
            VLOOKUP($A85, INDIRECT("DicR!$A$6:$ZZ$1048576"), MATCH(AR$1, DicR!$6:$6, 0), FALSE),
            0
        )
)</f>
        <v>0</v>
      </c>
      <c r="AS85" s="35">
        <f t="array" ref="AS85">SUM(
    IFERROR(
            VLOOKUP($A85, INDIRECT("EneR!$A$6:$ZZ$1048576"), MATCH(AS$1, EneR!$6:$6, 0), FALSE),
            0
        ) +
        IFERROR(
            VLOOKUP($A85, INDIRECT("FebR!$A$6:$ZZ$1048576"), MATCH(AS$1, FebR!$6:$6, 0), FALSE),
            0
        ) +
        IFERROR(
            VLOOKUP($A85, INDIRECT("MarR!$A$6:$ZZ$1048576"), MATCH(AS$1, MarR!$6:$6, 0), FALSE),
            0
        ) +
        IFERROR(
            VLOOKUP($A85, INDIRECT("AbrR!$A$6:$ZZ$1048576"), MATCH(AS$1, AbrR!$6:$6, 0), FALSE),
            0
        ) +
        IFERROR(
            VLOOKUP($A85, INDIRECT("MayR!$A$6:$ZZ$1048576"), MATCH(AS$1, MayR!$6:$6, 0), FALSE),
            0
        ) +
        IFERROR(
            VLOOKUP($A85, INDIRECT("JunR!$A$6:$ZZ$1048576"), MATCH(AS$1, JunR!$6:$6, 0), FALSE),
            0
        ) +
        IFERROR(
            VLOOKUP($A85, INDIRECT("JulR!$A$6:$ZZ$1048576"), MATCH(AS$1, JulR!$6:$6, 0), FALSE),
            0
        ) +
        IFERROR(
            VLOOKUP($A85, INDIRECT("AgoR!$A$6:$ZZ$1048576"), MATCH(AS$1, AgoR!$6:$6, 0), FALSE),
            0
        ) +
        IFERROR(
            VLOOKUP($A85, INDIRECT("SepR!$A$6:$ZZ$1048576"), MATCH(AS$1, SepR!$6:$6, 0), FALSE),
            0
        ) +
        IFERROR(
            VLOOKUP($A85, INDIRECT("OctR!$A$6:$ZZ$1048576"), MATCH(AS$1, OctR!$6:$6, 0), FALSE),
            0
        ) +
        IFERROR(
            VLOOKUP($A85, INDIRECT("NovR!$A$6:$ZZ$1048576"), MATCH(AS$1, NovR!$6:$6, 0), FALSE),
            0
        ) +
        IFERROR(
            VLOOKUP($A85, INDIRECT("DicR!$A$6:$ZZ$1048576"), MATCH(AS$1, DicR!$6:$6, 0), FALSE),
            0
        )
)</f>
        <v>0</v>
      </c>
      <c r="AT85" s="36">
        <f t="array" ref="AT85">SUM(
    IFERROR(
            VLOOKUP($A85, INDIRECT("EneR!$A$6:$ZZ$1048576"), MATCH(AT$1, EneR!$6:$6, 0), FALSE),
            0
        ) +
        IFERROR(
            VLOOKUP($A85, INDIRECT("FebR!$A$6:$ZZ$1048576"), MATCH(AT$1, FebR!$6:$6, 0), FALSE),
            0
        ) +
        IFERROR(
            VLOOKUP($A85, INDIRECT("MarR!$A$6:$ZZ$1048576"), MATCH(AT$1, MarR!$6:$6, 0), FALSE),
            0
        ) +
        IFERROR(
            VLOOKUP($A85, INDIRECT("AbrR!$A$6:$ZZ$1048576"), MATCH(AT$1, AbrR!$6:$6, 0), FALSE),
            0
        ) +
        IFERROR(
            VLOOKUP($A85, INDIRECT("MayR!$A$6:$ZZ$1048576"), MATCH(AT$1, MayR!$6:$6, 0), FALSE),
            0
        ) +
        IFERROR(
            VLOOKUP($A85, INDIRECT("JunR!$A$6:$ZZ$1048576"), MATCH(AT$1, JunR!$6:$6, 0), FALSE),
            0
        ) +
        IFERROR(
            VLOOKUP($A85, INDIRECT("JulR!$A$6:$ZZ$1048576"), MATCH(AT$1, JulR!$6:$6, 0), FALSE),
            0
        ) +
        IFERROR(
            VLOOKUP($A85, INDIRECT("AgoR!$A$6:$ZZ$1048576"), MATCH(AT$1, AgoR!$6:$6, 0), FALSE),
            0
        ) +
        IFERROR(
            VLOOKUP($A85, INDIRECT("SepR!$A$6:$ZZ$1048576"), MATCH(AT$1, SepR!$6:$6, 0), FALSE),
            0
        ) +
        IFERROR(
            VLOOKUP($A85, INDIRECT("OctR!$A$6:$ZZ$1048576"), MATCH(AT$1, OctR!$6:$6, 0), FALSE),
            0
        ) +
        IFERROR(
            VLOOKUP($A85, INDIRECT("NovR!$A$6:$ZZ$1048576"), MATCH(AT$1, NovR!$6:$6, 0), FALSE),
            0
        ) +
        IFERROR(
            VLOOKUP($A85, INDIRECT("DicR!$A$6:$ZZ$1048576"), MATCH(AT$1, DicR!$6:$6, 0), FALSE),
            0
        )
)</f>
        <v>0</v>
      </c>
      <c r="AU85" s="35">
        <f t="array" ref="AU85">SUM(
    IFERROR(
            VLOOKUP($A85, INDIRECT("EneR!$A$6:$ZZ$1048576"), MATCH(AU$1, EneR!$6:$6, 0), FALSE),
            0
        ) +
        IFERROR(
            VLOOKUP($A85, INDIRECT("FebR!$A$6:$ZZ$1048576"), MATCH(AU$1, FebR!$6:$6, 0), FALSE),
            0
        ) +
        IFERROR(
            VLOOKUP($A85, INDIRECT("MarR!$A$6:$ZZ$1048576"), MATCH(AU$1, MarR!$6:$6, 0), FALSE),
            0
        ) +
        IFERROR(
            VLOOKUP($A85, INDIRECT("AbrR!$A$6:$ZZ$1048576"), MATCH(AU$1, AbrR!$6:$6, 0), FALSE),
            0
        ) +
        IFERROR(
            VLOOKUP($A85, INDIRECT("MayR!$A$6:$ZZ$1048576"), MATCH(AU$1, MayR!$6:$6, 0), FALSE),
            0
        ) +
        IFERROR(
            VLOOKUP($A85, INDIRECT("JunR!$A$6:$ZZ$1048576"), MATCH(AU$1, JunR!$6:$6, 0), FALSE),
            0
        ) +
        IFERROR(
            VLOOKUP($A85, INDIRECT("JulR!$A$6:$ZZ$1048576"), MATCH(AU$1, JulR!$6:$6, 0), FALSE),
            0
        ) +
        IFERROR(
            VLOOKUP($A85, INDIRECT("AgoR!$A$6:$ZZ$1048576"), MATCH(AU$1, AgoR!$6:$6, 0), FALSE),
            0
        ) +
        IFERROR(
            VLOOKUP($A85, INDIRECT("SepR!$A$6:$ZZ$1048576"), MATCH(AU$1, SepR!$6:$6, 0), FALSE),
            0
        ) +
        IFERROR(
            VLOOKUP($A85, INDIRECT("OctR!$A$6:$ZZ$1048576"), MATCH(AU$1, OctR!$6:$6, 0), FALSE),
            0
        ) +
        IFERROR(
            VLOOKUP($A85, INDIRECT("NovR!$A$6:$ZZ$1048576"), MATCH(AU$1, NovR!$6:$6, 0), FALSE),
            0
        ) +
        IFERROR(
            VLOOKUP($A85, INDIRECT("DicR!$A$6:$ZZ$1048576"), MATCH(AU$1, DicR!$6:$6, 0), FALSE),
            0
        )
)</f>
        <v>0</v>
      </c>
      <c r="AV85" s="36">
        <f t="array" ref="AV85">SUM(
    IFERROR(
            VLOOKUP($A85, INDIRECT("EneR!$A$6:$ZZ$1048576"), MATCH(AV$1, EneR!$6:$6, 0), FALSE),
            0
        ) +
        IFERROR(
            VLOOKUP($A85, INDIRECT("FebR!$A$6:$ZZ$1048576"), MATCH(AV$1, FebR!$6:$6, 0), FALSE),
            0
        ) +
        IFERROR(
            VLOOKUP($A85, INDIRECT("MarR!$A$6:$ZZ$1048576"), MATCH(AV$1, MarR!$6:$6, 0), FALSE),
            0
        ) +
        IFERROR(
            VLOOKUP($A85, INDIRECT("AbrR!$A$6:$ZZ$1048576"), MATCH(AV$1, AbrR!$6:$6, 0), FALSE),
            0
        ) +
        IFERROR(
            VLOOKUP($A85, INDIRECT("MayR!$A$6:$ZZ$1048576"), MATCH(AV$1, MayR!$6:$6, 0), FALSE),
            0
        ) +
        IFERROR(
            VLOOKUP($A85, INDIRECT("JunR!$A$6:$ZZ$1048576"), MATCH(AV$1, JunR!$6:$6, 0), FALSE),
            0
        ) +
        IFERROR(
            VLOOKUP($A85, INDIRECT("JulR!$A$6:$ZZ$1048576"), MATCH(AV$1, JulR!$6:$6, 0), FALSE),
            0
        ) +
        IFERROR(
            VLOOKUP($A85, INDIRECT("AgoR!$A$6:$ZZ$1048576"), MATCH(AV$1, AgoR!$6:$6, 0), FALSE),
            0
        ) +
        IFERROR(
            VLOOKUP($A85, INDIRECT("SepR!$A$6:$ZZ$1048576"), MATCH(AV$1, SepR!$6:$6, 0), FALSE),
            0
        ) +
        IFERROR(
            VLOOKUP($A85, INDIRECT("OctR!$A$6:$ZZ$1048576"), MATCH(AV$1, OctR!$6:$6, 0), FALSE),
            0
        ) +
        IFERROR(
            VLOOKUP($A85, INDIRECT("NovR!$A$6:$ZZ$1048576"), MATCH(AV$1, NovR!$6:$6, 0), FALSE),
            0
        ) +
        IFERROR(
            VLOOKUP($A85, INDIRECT("DicR!$A$6:$ZZ$1048576"), MATCH(AV$1, DicR!$6:$6, 0), FALSE),
            0
        )
)</f>
        <v>0</v>
      </c>
      <c r="AW85" s="35">
        <f t="array" ref="AW85">SUM(
    IFERROR(
            VLOOKUP($A85, INDIRECT("EneR!$A$6:$ZZ$1048576"), MATCH(AW$1, EneR!$6:$6, 0), FALSE),
            0
        ) +
        IFERROR(
            VLOOKUP($A85, INDIRECT("FebR!$A$6:$ZZ$1048576"), MATCH(AW$1, FebR!$6:$6, 0), FALSE),
            0
        ) +
        IFERROR(
            VLOOKUP($A85, INDIRECT("MarR!$A$6:$ZZ$1048576"), MATCH(AW$1, MarR!$6:$6, 0), FALSE),
            0
        ) +
        IFERROR(
            VLOOKUP($A85, INDIRECT("AbrR!$A$6:$ZZ$1048576"), MATCH(AW$1, AbrR!$6:$6, 0), FALSE),
            0
        ) +
        IFERROR(
            VLOOKUP($A85, INDIRECT("MayR!$A$6:$ZZ$1048576"), MATCH(AW$1, MayR!$6:$6, 0), FALSE),
            0
        ) +
        IFERROR(
            VLOOKUP($A85, INDIRECT("JunR!$A$6:$ZZ$1048576"), MATCH(AW$1, JunR!$6:$6, 0), FALSE),
            0
        ) +
        IFERROR(
            VLOOKUP($A85, INDIRECT("JulR!$A$6:$ZZ$1048576"), MATCH(AW$1, JulR!$6:$6, 0), FALSE),
            0
        ) +
        IFERROR(
            VLOOKUP($A85, INDIRECT("AgoR!$A$6:$ZZ$1048576"), MATCH(AW$1, AgoR!$6:$6, 0), FALSE),
            0
        ) +
        IFERROR(
            VLOOKUP($A85, INDIRECT("SepR!$A$6:$ZZ$1048576"), MATCH(AW$1, SepR!$6:$6, 0), FALSE),
            0
        ) +
        IFERROR(
            VLOOKUP($A85, INDIRECT("OctR!$A$6:$ZZ$1048576"), MATCH(AW$1, OctR!$6:$6, 0), FALSE),
            0
        ) +
        IFERROR(
            VLOOKUP($A85, INDIRECT("NovR!$A$6:$ZZ$1048576"), MATCH(AW$1, NovR!$6:$6, 0), FALSE),
            0
        ) +
        IFERROR(
            VLOOKUP($A85, INDIRECT("DicR!$A$6:$ZZ$1048576"), MATCH(AW$1, DicR!$6:$6, 0), FALSE),
            0
        )
)</f>
        <v>0</v>
      </c>
      <c r="AX85" s="36">
        <f t="array" ref="AX85">SUM(
    IFERROR(
            VLOOKUP($A85, INDIRECT("EneR!$A$6:$ZZ$1048576"), MATCH(AX$1, EneR!$6:$6, 0), FALSE),
            0
        ) +
        IFERROR(
            VLOOKUP($A85, INDIRECT("FebR!$A$6:$ZZ$1048576"), MATCH(AX$1, FebR!$6:$6, 0), FALSE),
            0
        ) +
        IFERROR(
            VLOOKUP($A85, INDIRECT("MarR!$A$6:$ZZ$1048576"), MATCH(AX$1, MarR!$6:$6, 0), FALSE),
            0
        ) +
        IFERROR(
            VLOOKUP($A85, INDIRECT("AbrR!$A$6:$ZZ$1048576"), MATCH(AX$1, AbrR!$6:$6, 0), FALSE),
            0
        ) +
        IFERROR(
            VLOOKUP($A85, INDIRECT("MayR!$A$6:$ZZ$1048576"), MATCH(AX$1, MayR!$6:$6, 0), FALSE),
            0
        ) +
        IFERROR(
            VLOOKUP($A85, INDIRECT("JunR!$A$6:$ZZ$1048576"), MATCH(AX$1, JunR!$6:$6, 0), FALSE),
            0
        ) +
        IFERROR(
            VLOOKUP($A85, INDIRECT("JulR!$A$6:$ZZ$1048576"), MATCH(AX$1, JulR!$6:$6, 0), FALSE),
            0
        ) +
        IFERROR(
            VLOOKUP($A85, INDIRECT("AgoR!$A$6:$ZZ$1048576"), MATCH(AX$1, AgoR!$6:$6, 0), FALSE),
            0
        ) +
        IFERROR(
            VLOOKUP($A85, INDIRECT("SepR!$A$6:$ZZ$1048576"), MATCH(AX$1, SepR!$6:$6, 0), FALSE),
            0
        ) +
        IFERROR(
            VLOOKUP($A85, INDIRECT("OctR!$A$6:$ZZ$1048576"), MATCH(AX$1, OctR!$6:$6, 0), FALSE),
            0
        ) +
        IFERROR(
            VLOOKUP($A85, INDIRECT("NovR!$A$6:$ZZ$1048576"), MATCH(AX$1, NovR!$6:$6, 0), FALSE),
            0
        ) +
        IFERROR(
            VLOOKUP($A85, INDIRECT("DicR!$A$6:$ZZ$1048576"), MATCH(AX$1, DicR!$6:$6, 0), FALSE),
            0
        )
)</f>
        <v>0</v>
      </c>
      <c r="AY85" s="35">
        <f t="array" ref="AY85">SUM(
    IFERROR(
            VLOOKUP($A85, INDIRECT("EneR!$A$6:$ZZ$1048576"), MATCH(AY$1, EneR!$6:$6, 0), FALSE),
            0
        ) +
        IFERROR(
            VLOOKUP($A85, INDIRECT("FebR!$A$6:$ZZ$1048576"), MATCH(AY$1, FebR!$6:$6, 0), FALSE),
            0
        ) +
        IFERROR(
            VLOOKUP($A85, INDIRECT("MarR!$A$6:$ZZ$1048576"), MATCH(AY$1, MarR!$6:$6, 0), FALSE),
            0
        ) +
        IFERROR(
            VLOOKUP($A85, INDIRECT("AbrR!$A$6:$ZZ$1048576"), MATCH(AY$1, AbrR!$6:$6, 0), FALSE),
            0
        ) +
        IFERROR(
            VLOOKUP($A85, INDIRECT("MayR!$A$6:$ZZ$1048576"), MATCH(AY$1, MayR!$6:$6, 0), FALSE),
            0
        ) +
        IFERROR(
            VLOOKUP($A85, INDIRECT("JunR!$A$6:$ZZ$1048576"), MATCH(AY$1, JunR!$6:$6, 0), FALSE),
            0
        ) +
        IFERROR(
            VLOOKUP($A85, INDIRECT("JulR!$A$6:$ZZ$1048576"), MATCH(AY$1, JulR!$6:$6, 0), FALSE),
            0
        ) +
        IFERROR(
            VLOOKUP($A85, INDIRECT("AgoR!$A$6:$ZZ$1048576"), MATCH(AY$1, AgoR!$6:$6, 0), FALSE),
            0
        ) +
        IFERROR(
            VLOOKUP($A85, INDIRECT("SepR!$A$6:$ZZ$1048576"), MATCH(AY$1, SepR!$6:$6, 0), FALSE),
            0
        ) +
        IFERROR(
            VLOOKUP($A85, INDIRECT("OctR!$A$6:$ZZ$1048576"), MATCH(AY$1, OctR!$6:$6, 0), FALSE),
            0
        ) +
        IFERROR(
            VLOOKUP($A85, INDIRECT("NovR!$A$6:$ZZ$1048576"), MATCH(AY$1, NovR!$6:$6, 0), FALSE),
            0
        ) +
        IFERROR(
            VLOOKUP($A85, INDIRECT("DicR!$A$6:$ZZ$1048576"), MATCH(AY$1, DicR!$6:$6, 0), FALSE),
            0
        )
)</f>
        <v>0</v>
      </c>
      <c r="AZ85" s="35"/>
    </row>
    <row r="86" ht="15.75" customHeight="1">
      <c r="A86" s="12" t="str">
        <f>Menus!B47</f>
        <v/>
      </c>
      <c r="B86" s="32">
        <f t="shared" si="11"/>
        <v>0</v>
      </c>
      <c r="C86" s="33" t="str">
        <f t="shared" si="10"/>
        <v/>
      </c>
      <c r="D86" s="34">
        <f t="array" ref="D86">SUM(
    IFERROR(
            VLOOKUP($A86, INDIRECT("EneR!$A$6:$ZZ$1048576"), MATCH(D$1, EneR!$6:$6, 0), FALSE),
            0
        ) +
        IFERROR(
            VLOOKUP($A86, INDIRECT("FebR!$A$6:$ZZ$1048576"), MATCH(D$1, FebR!$6:$6, 0), FALSE),
            0
        ) +
        IFERROR(
            VLOOKUP($A86, INDIRECT("MarR!$A$6:$ZZ$1048576"), MATCH(D$1, MarR!$6:$6, 0), FALSE),
            0
        ) +
        IFERROR(
            VLOOKUP($A86, INDIRECT("AbrR!$A$6:$ZZ$1048576"), MATCH(D$1, AbrR!$6:$6, 0), FALSE),
            0
        ) +
        IFERROR(
            VLOOKUP($A86, INDIRECT("MayR!$A$6:$ZZ$1048576"), MATCH(D$1, MayR!$6:$6, 0), FALSE),
            0
        ) +
        IFERROR(
            VLOOKUP($A86, INDIRECT("JunR!$A$6:$ZZ$1048576"), MATCH(D$1, JunR!$6:$6, 0), FALSE),
            0
        ) +
        IFERROR(
            VLOOKUP($A86, INDIRECT("JulR!$A$6:$ZZ$1048576"), MATCH(D$1, JulR!$6:$6, 0), FALSE),
            0
        ) +
        IFERROR(
            VLOOKUP($A86, INDIRECT("AgoR!$A$6:$ZZ$1048576"), MATCH(D$1, AgoR!$6:$6, 0), FALSE),
            0
        ) +
        IFERROR(
            VLOOKUP($A86, INDIRECT("SepR!$A$6:$ZZ$1048576"), MATCH(D$1, SepR!$6:$6, 0), FALSE),
            0
        ) +
        IFERROR(
            VLOOKUP($A86, INDIRECT("OctR!$A$6:$ZZ$1048576"), MATCH(D$1, OctR!$6:$6, 0), FALSE),
            0
        ) +
        IFERROR(
            VLOOKUP($A86, INDIRECT("NovR!$A$6:$ZZ$1048576"), MATCH(D$1, NovR!$6:$6, 0), FALSE),
            0
        ) +
        IFERROR(
            VLOOKUP($A86, INDIRECT("DicR!$A$6:$ZZ$1048576"), MATCH(D$1, DicR!$6:$6, 0), FALSE),
            0
        )
)</f>
        <v>0</v>
      </c>
      <c r="E86" s="35">
        <f t="array" ref="E86">SUM(
    IFERROR(
            VLOOKUP($A86, INDIRECT("EneR!$A$6:$ZZ$1048576"), MATCH(E$1, EneR!$6:$6, 0), FALSE),
            0
        ) +
        IFERROR(
            VLOOKUP($A86, INDIRECT("FebR!$A$6:$ZZ$1048576"), MATCH(E$1, FebR!$6:$6, 0), FALSE),
            0
        ) +
        IFERROR(
            VLOOKUP($A86, INDIRECT("MarR!$A$6:$ZZ$1048576"), MATCH(E$1, MarR!$6:$6, 0), FALSE),
            0
        ) +
        IFERROR(
            VLOOKUP($A86, INDIRECT("AbrR!$A$6:$ZZ$1048576"), MATCH(E$1, AbrR!$6:$6, 0), FALSE),
            0
        ) +
        IFERROR(
            VLOOKUP($A86, INDIRECT("MayR!$A$6:$ZZ$1048576"), MATCH(E$1, MayR!$6:$6, 0), FALSE),
            0
        ) +
        IFERROR(
            VLOOKUP($A86, INDIRECT("JunR!$A$6:$ZZ$1048576"), MATCH(E$1, JunR!$6:$6, 0), FALSE),
            0
        ) +
        IFERROR(
            VLOOKUP($A86, INDIRECT("JulR!$A$6:$ZZ$1048576"), MATCH(E$1, JulR!$6:$6, 0), FALSE),
            0
        ) +
        IFERROR(
            VLOOKUP($A86, INDIRECT("AgoR!$A$6:$ZZ$1048576"), MATCH(E$1, AgoR!$6:$6, 0), FALSE),
            0
        ) +
        IFERROR(
            VLOOKUP($A86, INDIRECT("SepR!$A$6:$ZZ$1048576"), MATCH(E$1, SepR!$6:$6, 0), FALSE),
            0
        ) +
        IFERROR(
            VLOOKUP($A86, INDIRECT("OctR!$A$6:$ZZ$1048576"), MATCH(E$1, OctR!$6:$6, 0), FALSE),
            0
        ) +
        IFERROR(
            VLOOKUP($A86, INDIRECT("NovR!$A$6:$ZZ$1048576"), MATCH(E$1, NovR!$6:$6, 0), FALSE),
            0
        ) +
        IFERROR(
            VLOOKUP($A86, INDIRECT("DicR!$A$6:$ZZ$1048576"), MATCH(E$1, DicR!$6:$6, 0), FALSE),
            0
        )
)</f>
        <v>0</v>
      </c>
      <c r="F86" s="32">
        <f t="array" ref="F86">SUM(
    IFERROR(
            VLOOKUP($A86, INDIRECT("EneR!$A$6:$ZZ$1048576"), MATCH(F$1, EneR!$6:$6, 0), FALSE),
            0
        ) +
        IFERROR(
            VLOOKUP($A86, INDIRECT("FebR!$A$6:$ZZ$1048576"), MATCH(F$1, FebR!$6:$6, 0), FALSE),
            0
        ) +
        IFERROR(
            VLOOKUP($A86, INDIRECT("MarR!$A$6:$ZZ$1048576"), MATCH(F$1, MarR!$6:$6, 0), FALSE),
            0
        ) +
        IFERROR(
            VLOOKUP($A86, INDIRECT("AbrR!$A$6:$ZZ$1048576"), MATCH(F$1, AbrR!$6:$6, 0), FALSE),
            0
        ) +
        IFERROR(
            VLOOKUP($A86, INDIRECT("MayR!$A$6:$ZZ$1048576"), MATCH(F$1, MayR!$6:$6, 0), FALSE),
            0
        ) +
        IFERROR(
            VLOOKUP($A86, INDIRECT("JunR!$A$6:$ZZ$1048576"), MATCH(F$1, JunR!$6:$6, 0), FALSE),
            0
        ) +
        IFERROR(
            VLOOKUP($A86, INDIRECT("JulR!$A$6:$ZZ$1048576"), MATCH(F$1, JulR!$6:$6, 0), FALSE),
            0
        ) +
        IFERROR(
            VLOOKUP($A86, INDIRECT("AgoR!$A$6:$ZZ$1048576"), MATCH(F$1, AgoR!$6:$6, 0), FALSE),
            0
        ) +
        IFERROR(
            VLOOKUP($A86, INDIRECT("SepR!$A$6:$ZZ$1048576"), MATCH(F$1, SepR!$6:$6, 0), FALSE),
            0
        ) +
        IFERROR(
            VLOOKUP($A86, INDIRECT("OctR!$A$6:$ZZ$1048576"), MATCH(F$1, OctR!$6:$6, 0), FALSE),
            0
        ) +
        IFERROR(
            VLOOKUP($A86, INDIRECT("NovR!$A$6:$ZZ$1048576"), MATCH(F$1, NovR!$6:$6, 0), FALSE),
            0
        ) +
        IFERROR(
            VLOOKUP($A86, INDIRECT("DicR!$A$6:$ZZ$1048576"), MATCH(F$1, DicR!$6:$6, 0), FALSE),
            0
        )
)</f>
        <v>0</v>
      </c>
      <c r="G86" s="35">
        <f t="array" ref="G86">SUM(
    IFERROR(
            VLOOKUP($A86, INDIRECT("EneR!$A$6:$ZZ$1048576"), MATCH(G$1, EneR!$6:$6, 0), FALSE),
            0
        ) +
        IFERROR(
            VLOOKUP($A86, INDIRECT("FebR!$A$6:$ZZ$1048576"), MATCH(G$1, FebR!$6:$6, 0), FALSE),
            0
        ) +
        IFERROR(
            VLOOKUP($A86, INDIRECT("MarR!$A$6:$ZZ$1048576"), MATCH(G$1, MarR!$6:$6, 0), FALSE),
            0
        ) +
        IFERROR(
            VLOOKUP($A86, INDIRECT("AbrR!$A$6:$ZZ$1048576"), MATCH(G$1, AbrR!$6:$6, 0), FALSE),
            0
        ) +
        IFERROR(
            VLOOKUP($A86, INDIRECT("MayR!$A$6:$ZZ$1048576"), MATCH(G$1, MayR!$6:$6, 0), FALSE),
            0
        ) +
        IFERROR(
            VLOOKUP($A86, INDIRECT("JunR!$A$6:$ZZ$1048576"), MATCH(G$1, JunR!$6:$6, 0), FALSE),
            0
        ) +
        IFERROR(
            VLOOKUP($A86, INDIRECT("JulR!$A$6:$ZZ$1048576"), MATCH(G$1, JulR!$6:$6, 0), FALSE),
            0
        ) +
        IFERROR(
            VLOOKUP($A86, INDIRECT("AgoR!$A$6:$ZZ$1048576"), MATCH(G$1, AgoR!$6:$6, 0), FALSE),
            0
        ) +
        IFERROR(
            VLOOKUP($A86, INDIRECT("SepR!$A$6:$ZZ$1048576"), MATCH(G$1, SepR!$6:$6, 0), FALSE),
            0
        ) +
        IFERROR(
            VLOOKUP($A86, INDIRECT("OctR!$A$6:$ZZ$1048576"), MATCH(G$1, OctR!$6:$6, 0), FALSE),
            0
        ) +
        IFERROR(
            VLOOKUP($A86, INDIRECT("NovR!$A$6:$ZZ$1048576"), MATCH(G$1, NovR!$6:$6, 0), FALSE),
            0
        ) +
        IFERROR(
            VLOOKUP($A86, INDIRECT("DicR!$A$6:$ZZ$1048576"), MATCH(G$1, DicR!$6:$6, 0), FALSE),
            0
        )
)</f>
        <v>0</v>
      </c>
      <c r="H86" s="32">
        <f t="array" ref="H86">SUM(
    IFERROR(
            VLOOKUP($A86, INDIRECT("EneR!$A$6:$ZZ$1048576"), MATCH(H$1, EneR!$6:$6, 0), FALSE),
            0
        ) +
        IFERROR(
            VLOOKUP($A86, INDIRECT("FebR!$A$6:$ZZ$1048576"), MATCH(H$1, FebR!$6:$6, 0), FALSE),
            0
        ) +
        IFERROR(
            VLOOKUP($A86, INDIRECT("MarR!$A$6:$ZZ$1048576"), MATCH(H$1, MarR!$6:$6, 0), FALSE),
            0
        ) +
        IFERROR(
            VLOOKUP($A86, INDIRECT("AbrR!$A$6:$ZZ$1048576"), MATCH(H$1, AbrR!$6:$6, 0), FALSE),
            0
        ) +
        IFERROR(
            VLOOKUP($A86, INDIRECT("MayR!$A$6:$ZZ$1048576"), MATCH(H$1, MayR!$6:$6, 0), FALSE),
            0
        ) +
        IFERROR(
            VLOOKUP($A86, INDIRECT("JunR!$A$6:$ZZ$1048576"), MATCH(H$1, JunR!$6:$6, 0), FALSE),
            0
        ) +
        IFERROR(
            VLOOKUP($A86, INDIRECT("JulR!$A$6:$ZZ$1048576"), MATCH(H$1, JulR!$6:$6, 0), FALSE),
            0
        ) +
        IFERROR(
            VLOOKUP($A86, INDIRECT("AgoR!$A$6:$ZZ$1048576"), MATCH(H$1, AgoR!$6:$6, 0), FALSE),
            0
        ) +
        IFERROR(
            VLOOKUP($A86, INDIRECT("SepR!$A$6:$ZZ$1048576"), MATCH(H$1, SepR!$6:$6, 0), FALSE),
            0
        ) +
        IFERROR(
            VLOOKUP($A86, INDIRECT("OctR!$A$6:$ZZ$1048576"), MATCH(H$1, OctR!$6:$6, 0), FALSE),
            0
        ) +
        IFERROR(
            VLOOKUP($A86, INDIRECT("NovR!$A$6:$ZZ$1048576"), MATCH(H$1, NovR!$6:$6, 0), FALSE),
            0
        ) +
        IFERROR(
            VLOOKUP($A86, INDIRECT("DicR!$A$6:$ZZ$1048576"), MATCH(H$1, DicR!$6:$6, 0), FALSE),
            0
        )
)</f>
        <v>0</v>
      </c>
      <c r="I86" s="35">
        <f t="array" ref="I86">SUM(
    IFERROR(
            VLOOKUP($A86, INDIRECT("EneR!$A$6:$ZZ$1048576"), MATCH(I$1, EneR!$6:$6, 0), FALSE),
            0
        ) +
        IFERROR(
            VLOOKUP($A86, INDIRECT("FebR!$A$6:$ZZ$1048576"), MATCH(I$1, FebR!$6:$6, 0), FALSE),
            0
        ) +
        IFERROR(
            VLOOKUP($A86, INDIRECT("MarR!$A$6:$ZZ$1048576"), MATCH(I$1, MarR!$6:$6, 0), FALSE),
            0
        ) +
        IFERROR(
            VLOOKUP($A86, INDIRECT("AbrR!$A$6:$ZZ$1048576"), MATCH(I$1, AbrR!$6:$6, 0), FALSE),
            0
        ) +
        IFERROR(
            VLOOKUP($A86, INDIRECT("MayR!$A$6:$ZZ$1048576"), MATCH(I$1, MayR!$6:$6, 0), FALSE),
            0
        ) +
        IFERROR(
            VLOOKUP($A86, INDIRECT("JunR!$A$6:$ZZ$1048576"), MATCH(I$1, JunR!$6:$6, 0), FALSE),
            0
        ) +
        IFERROR(
            VLOOKUP($A86, INDIRECT("JulR!$A$6:$ZZ$1048576"), MATCH(I$1, JulR!$6:$6, 0), FALSE),
            0
        ) +
        IFERROR(
            VLOOKUP($A86, INDIRECT("AgoR!$A$6:$ZZ$1048576"), MATCH(I$1, AgoR!$6:$6, 0), FALSE),
            0
        ) +
        IFERROR(
            VLOOKUP($A86, INDIRECT("SepR!$A$6:$ZZ$1048576"), MATCH(I$1, SepR!$6:$6, 0), FALSE),
            0
        ) +
        IFERROR(
            VLOOKUP($A86, INDIRECT("OctR!$A$6:$ZZ$1048576"), MATCH(I$1, OctR!$6:$6, 0), FALSE),
            0
        ) +
        IFERROR(
            VLOOKUP($A86, INDIRECT("NovR!$A$6:$ZZ$1048576"), MATCH(I$1, NovR!$6:$6, 0), FALSE),
            0
        ) +
        IFERROR(
            VLOOKUP($A86, INDIRECT("DicR!$A$6:$ZZ$1048576"), MATCH(I$1, DicR!$6:$6, 0), FALSE),
            0
        )
)</f>
        <v>0</v>
      </c>
      <c r="J86" s="32">
        <f t="array" ref="J86">SUM(
    IFERROR(
            VLOOKUP($A86, INDIRECT("EneR!$A$6:$ZZ$1048576"), MATCH(J$1, EneR!$6:$6, 0), FALSE),
            0
        ) +
        IFERROR(
            VLOOKUP($A86, INDIRECT("FebR!$A$6:$ZZ$1048576"), MATCH(J$1, FebR!$6:$6, 0), FALSE),
            0
        ) +
        IFERROR(
            VLOOKUP($A86, INDIRECT("MarR!$A$6:$ZZ$1048576"), MATCH(J$1, MarR!$6:$6, 0), FALSE),
            0
        ) +
        IFERROR(
            VLOOKUP($A86, INDIRECT("AbrR!$A$6:$ZZ$1048576"), MATCH(J$1, AbrR!$6:$6, 0), FALSE),
            0
        ) +
        IFERROR(
            VLOOKUP($A86, INDIRECT("MayR!$A$6:$ZZ$1048576"), MATCH(J$1, MayR!$6:$6, 0), FALSE),
            0
        ) +
        IFERROR(
            VLOOKUP($A86, INDIRECT("JunR!$A$6:$ZZ$1048576"), MATCH(J$1, JunR!$6:$6, 0), FALSE),
            0
        ) +
        IFERROR(
            VLOOKUP($A86, INDIRECT("JulR!$A$6:$ZZ$1048576"), MATCH(J$1, JulR!$6:$6, 0), FALSE),
            0
        ) +
        IFERROR(
            VLOOKUP($A86, INDIRECT("AgoR!$A$6:$ZZ$1048576"), MATCH(J$1, AgoR!$6:$6, 0), FALSE),
            0
        ) +
        IFERROR(
            VLOOKUP($A86, INDIRECT("SepR!$A$6:$ZZ$1048576"), MATCH(J$1, SepR!$6:$6, 0), FALSE),
            0
        ) +
        IFERROR(
            VLOOKUP($A86, INDIRECT("OctR!$A$6:$ZZ$1048576"), MATCH(J$1, OctR!$6:$6, 0), FALSE),
            0
        ) +
        IFERROR(
            VLOOKUP($A86, INDIRECT("NovR!$A$6:$ZZ$1048576"), MATCH(J$1, NovR!$6:$6, 0), FALSE),
            0
        ) +
        IFERROR(
            VLOOKUP($A86, INDIRECT("DicR!$A$6:$ZZ$1048576"), MATCH(J$1, DicR!$6:$6, 0), FALSE),
            0
        )
)</f>
        <v>0</v>
      </c>
      <c r="K86" s="35">
        <f t="array" ref="K86">SUM(
    IFERROR(
            VLOOKUP($A86, INDIRECT("EneR!$A$6:$ZZ$1048576"), MATCH(K$1, EneR!$6:$6, 0), FALSE),
            0
        ) +
        IFERROR(
            VLOOKUP($A86, INDIRECT("FebR!$A$6:$ZZ$1048576"), MATCH(K$1, FebR!$6:$6, 0), FALSE),
            0
        ) +
        IFERROR(
            VLOOKUP($A86, INDIRECT("MarR!$A$6:$ZZ$1048576"), MATCH(K$1, MarR!$6:$6, 0), FALSE),
            0
        ) +
        IFERROR(
            VLOOKUP($A86, INDIRECT("AbrR!$A$6:$ZZ$1048576"), MATCH(K$1, AbrR!$6:$6, 0), FALSE),
            0
        ) +
        IFERROR(
            VLOOKUP($A86, INDIRECT("MayR!$A$6:$ZZ$1048576"), MATCH(K$1, MayR!$6:$6, 0), FALSE),
            0
        ) +
        IFERROR(
            VLOOKUP($A86, INDIRECT("JunR!$A$6:$ZZ$1048576"), MATCH(K$1, JunR!$6:$6, 0), FALSE),
            0
        ) +
        IFERROR(
            VLOOKUP($A86, INDIRECT("JulR!$A$6:$ZZ$1048576"), MATCH(K$1, JulR!$6:$6, 0), FALSE),
            0
        ) +
        IFERROR(
            VLOOKUP($A86, INDIRECT("AgoR!$A$6:$ZZ$1048576"), MATCH(K$1, AgoR!$6:$6, 0), FALSE),
            0
        ) +
        IFERROR(
            VLOOKUP($A86, INDIRECT("SepR!$A$6:$ZZ$1048576"), MATCH(K$1, SepR!$6:$6, 0), FALSE),
            0
        ) +
        IFERROR(
            VLOOKUP($A86, INDIRECT("OctR!$A$6:$ZZ$1048576"), MATCH(K$1, OctR!$6:$6, 0), FALSE),
            0
        ) +
        IFERROR(
            VLOOKUP($A86, INDIRECT("NovR!$A$6:$ZZ$1048576"), MATCH(K$1, NovR!$6:$6, 0), FALSE),
            0
        ) +
        IFERROR(
            VLOOKUP($A86, INDIRECT("DicR!$A$6:$ZZ$1048576"), MATCH(K$1, DicR!$6:$6, 0), FALSE),
            0
        )
)</f>
        <v>0</v>
      </c>
      <c r="L86" s="32">
        <f t="array" ref="L86">SUM(
    IFERROR(
            VLOOKUP($A86, INDIRECT("EneR!$A$6:$ZZ$1048576"), MATCH(L$1, EneR!$6:$6, 0), FALSE),
            0
        ) +
        IFERROR(
            VLOOKUP($A86, INDIRECT("FebR!$A$6:$ZZ$1048576"), MATCH(L$1, FebR!$6:$6, 0), FALSE),
            0
        ) +
        IFERROR(
            VLOOKUP($A86, INDIRECT("MarR!$A$6:$ZZ$1048576"), MATCH(L$1, MarR!$6:$6, 0), FALSE),
            0
        ) +
        IFERROR(
            VLOOKUP($A86, INDIRECT("AbrR!$A$6:$ZZ$1048576"), MATCH(L$1, AbrR!$6:$6, 0), FALSE),
            0
        ) +
        IFERROR(
            VLOOKUP($A86, INDIRECT("MayR!$A$6:$ZZ$1048576"), MATCH(L$1, MayR!$6:$6, 0), FALSE),
            0
        ) +
        IFERROR(
            VLOOKUP($A86, INDIRECT("JunR!$A$6:$ZZ$1048576"), MATCH(L$1, JunR!$6:$6, 0), FALSE),
            0
        ) +
        IFERROR(
            VLOOKUP($A86, INDIRECT("JulR!$A$6:$ZZ$1048576"), MATCH(L$1, JulR!$6:$6, 0), FALSE),
            0
        ) +
        IFERROR(
            VLOOKUP($A86, INDIRECT("AgoR!$A$6:$ZZ$1048576"), MATCH(L$1, AgoR!$6:$6, 0), FALSE),
            0
        ) +
        IFERROR(
            VLOOKUP($A86, INDIRECT("SepR!$A$6:$ZZ$1048576"), MATCH(L$1, SepR!$6:$6, 0), FALSE),
            0
        ) +
        IFERROR(
            VLOOKUP($A86, INDIRECT("OctR!$A$6:$ZZ$1048576"), MATCH(L$1, OctR!$6:$6, 0), FALSE),
            0
        ) +
        IFERROR(
            VLOOKUP($A86, INDIRECT("NovR!$A$6:$ZZ$1048576"), MATCH(L$1, NovR!$6:$6, 0), FALSE),
            0
        ) +
        IFERROR(
            VLOOKUP($A86, INDIRECT("DicR!$A$6:$ZZ$1048576"), MATCH(L$1, DicR!$6:$6, 0), FALSE),
            0
        )
)</f>
        <v>0</v>
      </c>
      <c r="M86" s="35">
        <f t="array" ref="M86">SUM(
    IFERROR(
            VLOOKUP($A86, INDIRECT("EneR!$A$6:$ZZ$1048576"), MATCH(M$1, EneR!$6:$6, 0), FALSE),
            0
        ) +
        IFERROR(
            VLOOKUP($A86, INDIRECT("FebR!$A$6:$ZZ$1048576"), MATCH(M$1, FebR!$6:$6, 0), FALSE),
            0
        ) +
        IFERROR(
            VLOOKUP($A86, INDIRECT("MarR!$A$6:$ZZ$1048576"), MATCH(M$1, MarR!$6:$6, 0), FALSE),
            0
        ) +
        IFERROR(
            VLOOKUP($A86, INDIRECT("AbrR!$A$6:$ZZ$1048576"), MATCH(M$1, AbrR!$6:$6, 0), FALSE),
            0
        ) +
        IFERROR(
            VLOOKUP($A86, INDIRECT("MayR!$A$6:$ZZ$1048576"), MATCH(M$1, MayR!$6:$6, 0), FALSE),
            0
        ) +
        IFERROR(
            VLOOKUP($A86, INDIRECT("JunR!$A$6:$ZZ$1048576"), MATCH(M$1, JunR!$6:$6, 0), FALSE),
            0
        ) +
        IFERROR(
            VLOOKUP($A86, INDIRECT("JulR!$A$6:$ZZ$1048576"), MATCH(M$1, JulR!$6:$6, 0), FALSE),
            0
        ) +
        IFERROR(
            VLOOKUP($A86, INDIRECT("AgoR!$A$6:$ZZ$1048576"), MATCH(M$1, AgoR!$6:$6, 0), FALSE),
            0
        ) +
        IFERROR(
            VLOOKUP($A86, INDIRECT("SepR!$A$6:$ZZ$1048576"), MATCH(M$1, SepR!$6:$6, 0), FALSE),
            0
        ) +
        IFERROR(
            VLOOKUP($A86, INDIRECT("OctR!$A$6:$ZZ$1048576"), MATCH(M$1, OctR!$6:$6, 0), FALSE),
            0
        ) +
        IFERROR(
            VLOOKUP($A86, INDIRECT("NovR!$A$6:$ZZ$1048576"), MATCH(M$1, NovR!$6:$6, 0), FALSE),
            0
        ) +
        IFERROR(
            VLOOKUP($A86, INDIRECT("DicR!$A$6:$ZZ$1048576"), MATCH(M$1, DicR!$6:$6, 0), FALSE),
            0
        )
)</f>
        <v>0</v>
      </c>
      <c r="N86" s="32">
        <f t="array" ref="N86">SUM(
    IFERROR(
            VLOOKUP($A86, INDIRECT("EneR!$A$6:$ZZ$1048576"), MATCH(N$1, EneR!$6:$6, 0), FALSE),
            0
        ) +
        IFERROR(
            VLOOKUP($A86, INDIRECT("FebR!$A$6:$ZZ$1048576"), MATCH(N$1, FebR!$6:$6, 0), FALSE),
            0
        ) +
        IFERROR(
            VLOOKUP($A86, INDIRECT("MarR!$A$6:$ZZ$1048576"), MATCH(N$1, MarR!$6:$6, 0), FALSE),
            0
        ) +
        IFERROR(
            VLOOKUP($A86, INDIRECT("AbrR!$A$6:$ZZ$1048576"), MATCH(N$1, AbrR!$6:$6, 0), FALSE),
            0
        ) +
        IFERROR(
            VLOOKUP($A86, INDIRECT("MayR!$A$6:$ZZ$1048576"), MATCH(N$1, MayR!$6:$6, 0), FALSE),
            0
        ) +
        IFERROR(
            VLOOKUP($A86, INDIRECT("JunR!$A$6:$ZZ$1048576"), MATCH(N$1, JunR!$6:$6, 0), FALSE),
            0
        ) +
        IFERROR(
            VLOOKUP($A86, INDIRECT("JulR!$A$6:$ZZ$1048576"), MATCH(N$1, JulR!$6:$6, 0), FALSE),
            0
        ) +
        IFERROR(
            VLOOKUP($A86, INDIRECT("AgoR!$A$6:$ZZ$1048576"), MATCH(N$1, AgoR!$6:$6, 0), FALSE),
            0
        ) +
        IFERROR(
            VLOOKUP($A86, INDIRECT("SepR!$A$6:$ZZ$1048576"), MATCH(N$1, SepR!$6:$6, 0), FALSE),
            0
        ) +
        IFERROR(
            VLOOKUP($A86, INDIRECT("OctR!$A$6:$ZZ$1048576"), MATCH(N$1, OctR!$6:$6, 0), FALSE),
            0
        ) +
        IFERROR(
            VLOOKUP($A86, INDIRECT("NovR!$A$6:$ZZ$1048576"), MATCH(N$1, NovR!$6:$6, 0), FALSE),
            0
        ) +
        IFERROR(
            VLOOKUP($A86, INDIRECT("DicR!$A$6:$ZZ$1048576"), MATCH(N$1, DicR!$6:$6, 0), FALSE),
            0
        )
)</f>
        <v>0</v>
      </c>
      <c r="O86" s="35">
        <f t="array" ref="O86">SUM(
    IFERROR(
            VLOOKUP($A86, INDIRECT("EneR!$A$6:$ZZ$1048576"), MATCH(O$1, EneR!$6:$6, 0), FALSE),
            0
        ) +
        IFERROR(
            VLOOKUP($A86, INDIRECT("FebR!$A$6:$ZZ$1048576"), MATCH(O$1, FebR!$6:$6, 0), FALSE),
            0
        ) +
        IFERROR(
            VLOOKUP($A86, INDIRECT("MarR!$A$6:$ZZ$1048576"), MATCH(O$1, MarR!$6:$6, 0), FALSE),
            0
        ) +
        IFERROR(
            VLOOKUP($A86, INDIRECT("AbrR!$A$6:$ZZ$1048576"), MATCH(O$1, AbrR!$6:$6, 0), FALSE),
            0
        ) +
        IFERROR(
            VLOOKUP($A86, INDIRECT("MayR!$A$6:$ZZ$1048576"), MATCH(O$1, MayR!$6:$6, 0), FALSE),
            0
        ) +
        IFERROR(
            VLOOKUP($A86, INDIRECT("JunR!$A$6:$ZZ$1048576"), MATCH(O$1, JunR!$6:$6, 0), FALSE),
            0
        ) +
        IFERROR(
            VLOOKUP($A86, INDIRECT("JulR!$A$6:$ZZ$1048576"), MATCH(O$1, JulR!$6:$6, 0), FALSE),
            0
        ) +
        IFERROR(
            VLOOKUP($A86, INDIRECT("AgoR!$A$6:$ZZ$1048576"), MATCH(O$1, AgoR!$6:$6, 0), FALSE),
            0
        ) +
        IFERROR(
            VLOOKUP($A86, INDIRECT("SepR!$A$6:$ZZ$1048576"), MATCH(O$1, SepR!$6:$6, 0), FALSE),
            0
        ) +
        IFERROR(
            VLOOKUP($A86, INDIRECT("OctR!$A$6:$ZZ$1048576"), MATCH(O$1, OctR!$6:$6, 0), FALSE),
            0
        ) +
        IFERROR(
            VLOOKUP($A86, INDIRECT("NovR!$A$6:$ZZ$1048576"), MATCH(O$1, NovR!$6:$6, 0), FALSE),
            0
        ) +
        IFERROR(
            VLOOKUP($A86, INDIRECT("DicR!$A$6:$ZZ$1048576"), MATCH(O$1, DicR!$6:$6, 0), FALSE),
            0
        )
)</f>
        <v>0</v>
      </c>
      <c r="P86" s="32">
        <f t="array" ref="P86">SUM(
    IFERROR(
            VLOOKUP($A86, INDIRECT("EneR!$A$6:$ZZ$1048576"), MATCH(P$1, EneR!$6:$6, 0), FALSE),
            0
        ) +
        IFERROR(
            VLOOKUP($A86, INDIRECT("FebR!$A$6:$ZZ$1048576"), MATCH(P$1, FebR!$6:$6, 0), FALSE),
            0
        ) +
        IFERROR(
            VLOOKUP($A86, INDIRECT("MarR!$A$6:$ZZ$1048576"), MATCH(P$1, MarR!$6:$6, 0), FALSE),
            0
        ) +
        IFERROR(
            VLOOKUP($A86, INDIRECT("AbrR!$A$6:$ZZ$1048576"), MATCH(P$1, AbrR!$6:$6, 0), FALSE),
            0
        ) +
        IFERROR(
            VLOOKUP($A86, INDIRECT("MayR!$A$6:$ZZ$1048576"), MATCH(P$1, MayR!$6:$6, 0), FALSE),
            0
        ) +
        IFERROR(
            VLOOKUP($A86, INDIRECT("JunR!$A$6:$ZZ$1048576"), MATCH(P$1, JunR!$6:$6, 0), FALSE),
            0
        ) +
        IFERROR(
            VLOOKUP($A86, INDIRECT("JulR!$A$6:$ZZ$1048576"), MATCH(P$1, JulR!$6:$6, 0), FALSE),
            0
        ) +
        IFERROR(
            VLOOKUP($A86, INDIRECT("AgoR!$A$6:$ZZ$1048576"), MATCH(P$1, AgoR!$6:$6, 0), FALSE),
            0
        ) +
        IFERROR(
            VLOOKUP($A86, INDIRECT("SepR!$A$6:$ZZ$1048576"), MATCH(P$1, SepR!$6:$6, 0), FALSE),
            0
        ) +
        IFERROR(
            VLOOKUP($A86, INDIRECT("OctR!$A$6:$ZZ$1048576"), MATCH(P$1, OctR!$6:$6, 0), FALSE),
            0
        ) +
        IFERROR(
            VLOOKUP($A86, INDIRECT("NovR!$A$6:$ZZ$1048576"), MATCH(P$1, NovR!$6:$6, 0), FALSE),
            0
        ) +
        IFERROR(
            VLOOKUP($A86, INDIRECT("DicR!$A$6:$ZZ$1048576"), MATCH(P$1, DicR!$6:$6, 0), FALSE),
            0
        )
)</f>
        <v>0</v>
      </c>
      <c r="Q86" s="35">
        <f t="array" ref="Q86">SUM(
    IFERROR(
            VLOOKUP($A86, INDIRECT("EneR!$A$6:$ZZ$1048576"), MATCH(Q$1, EneR!$6:$6, 0), FALSE),
            0
        ) +
        IFERROR(
            VLOOKUP($A86, INDIRECT("FebR!$A$6:$ZZ$1048576"), MATCH(Q$1, FebR!$6:$6, 0), FALSE),
            0
        ) +
        IFERROR(
            VLOOKUP($A86, INDIRECT("MarR!$A$6:$ZZ$1048576"), MATCH(Q$1, MarR!$6:$6, 0), FALSE),
            0
        ) +
        IFERROR(
            VLOOKUP($A86, INDIRECT("AbrR!$A$6:$ZZ$1048576"), MATCH(Q$1, AbrR!$6:$6, 0), FALSE),
            0
        ) +
        IFERROR(
            VLOOKUP($A86, INDIRECT("MayR!$A$6:$ZZ$1048576"), MATCH(Q$1, MayR!$6:$6, 0), FALSE),
            0
        ) +
        IFERROR(
            VLOOKUP($A86, INDIRECT("JunR!$A$6:$ZZ$1048576"), MATCH(Q$1, JunR!$6:$6, 0), FALSE),
            0
        ) +
        IFERROR(
            VLOOKUP($A86, INDIRECT("JulR!$A$6:$ZZ$1048576"), MATCH(Q$1, JulR!$6:$6, 0), FALSE),
            0
        ) +
        IFERROR(
            VLOOKUP($A86, INDIRECT("AgoR!$A$6:$ZZ$1048576"), MATCH(Q$1, AgoR!$6:$6, 0), FALSE),
            0
        ) +
        IFERROR(
            VLOOKUP($A86, INDIRECT("SepR!$A$6:$ZZ$1048576"), MATCH(Q$1, SepR!$6:$6, 0), FALSE),
            0
        ) +
        IFERROR(
            VLOOKUP($A86, INDIRECT("OctR!$A$6:$ZZ$1048576"), MATCH(Q$1, OctR!$6:$6, 0), FALSE),
            0
        ) +
        IFERROR(
            VLOOKUP($A86, INDIRECT("NovR!$A$6:$ZZ$1048576"), MATCH(Q$1, NovR!$6:$6, 0), FALSE),
            0
        ) +
        IFERROR(
            VLOOKUP($A86, INDIRECT("DicR!$A$6:$ZZ$1048576"), MATCH(Q$1, DicR!$6:$6, 0), FALSE),
            0
        )
)</f>
        <v>0</v>
      </c>
      <c r="R86" s="36">
        <f t="array" ref="R86">SUM(
    IFERROR(
            VLOOKUP($A86, INDIRECT("EneR!$A$6:$ZZ$1048576"), MATCH(R$1, EneR!$6:$6, 0), FALSE),
            0
        ) +
        IFERROR(
            VLOOKUP($A86, INDIRECT("FebR!$A$6:$ZZ$1048576"), MATCH(R$1, FebR!$6:$6, 0), FALSE),
            0
        ) +
        IFERROR(
            VLOOKUP($A86, INDIRECT("MarR!$A$6:$ZZ$1048576"), MATCH(R$1, MarR!$6:$6, 0), FALSE),
            0
        ) +
        IFERROR(
            VLOOKUP($A86, INDIRECT("AbrR!$A$6:$ZZ$1048576"), MATCH(R$1, AbrR!$6:$6, 0), FALSE),
            0
        ) +
        IFERROR(
            VLOOKUP($A86, INDIRECT("MayR!$A$6:$ZZ$1048576"), MATCH(R$1, MayR!$6:$6, 0), FALSE),
            0
        ) +
        IFERROR(
            VLOOKUP($A86, INDIRECT("JunR!$A$6:$ZZ$1048576"), MATCH(R$1, JunR!$6:$6, 0), FALSE),
            0
        ) +
        IFERROR(
            VLOOKUP($A86, INDIRECT("JulR!$A$6:$ZZ$1048576"), MATCH(R$1, JulR!$6:$6, 0), FALSE),
            0
        ) +
        IFERROR(
            VLOOKUP($A86, INDIRECT("AgoR!$A$6:$ZZ$1048576"), MATCH(R$1, AgoR!$6:$6, 0), FALSE),
            0
        ) +
        IFERROR(
            VLOOKUP($A86, INDIRECT("SepR!$A$6:$ZZ$1048576"), MATCH(R$1, SepR!$6:$6, 0), FALSE),
            0
        ) +
        IFERROR(
            VLOOKUP($A86, INDIRECT("OctR!$A$6:$ZZ$1048576"), MATCH(R$1, OctR!$6:$6, 0), FALSE),
            0
        ) +
        IFERROR(
            VLOOKUP($A86, INDIRECT("NovR!$A$6:$ZZ$1048576"), MATCH(R$1, NovR!$6:$6, 0), FALSE),
            0
        ) +
        IFERROR(
            VLOOKUP($A86, INDIRECT("DicR!$A$6:$ZZ$1048576"), MATCH(R$1, DicR!$6:$6, 0), FALSE),
            0
        )
)</f>
        <v>0</v>
      </c>
      <c r="S86" s="37">
        <f t="array" ref="S86">SUM(
    IFERROR(
            VLOOKUP($A86, INDIRECT("EneR!$A$6:$ZZ$1048576"), MATCH(S$1, EneR!$6:$6, 0), FALSE),
            0
        ) +
        IFERROR(
            VLOOKUP($A86, INDIRECT("FebR!$A$6:$ZZ$1048576"), MATCH(S$1, FebR!$6:$6, 0), FALSE),
            0
        ) +
        IFERROR(
            VLOOKUP($A86, INDIRECT("MarR!$A$6:$ZZ$1048576"), MATCH(S$1, MarR!$6:$6, 0), FALSE),
            0
        ) +
        IFERROR(
            VLOOKUP($A86, INDIRECT("AbrR!$A$6:$ZZ$1048576"), MATCH(S$1, AbrR!$6:$6, 0), FALSE),
            0
        ) +
        IFERROR(
            VLOOKUP($A86, INDIRECT("MayR!$A$6:$ZZ$1048576"), MATCH(S$1, MayR!$6:$6, 0), FALSE),
            0
        ) +
        IFERROR(
            VLOOKUP($A86, INDIRECT("JunR!$A$6:$ZZ$1048576"), MATCH(S$1, JunR!$6:$6, 0), FALSE),
            0
        ) +
        IFERROR(
            VLOOKUP($A86, INDIRECT("JulR!$A$6:$ZZ$1048576"), MATCH(S$1, JulR!$6:$6, 0), FALSE),
            0
        ) +
        IFERROR(
            VLOOKUP($A86, INDIRECT("AgoR!$A$6:$ZZ$1048576"), MATCH(S$1, AgoR!$6:$6, 0), FALSE),
            0
        ) +
        IFERROR(
            VLOOKUP($A86, INDIRECT("SepR!$A$6:$ZZ$1048576"), MATCH(S$1, SepR!$6:$6, 0), FALSE),
            0
        ) +
        IFERROR(
            VLOOKUP($A86, INDIRECT("OctR!$A$6:$ZZ$1048576"), MATCH(S$1, OctR!$6:$6, 0), FALSE),
            0
        ) +
        IFERROR(
            VLOOKUP($A86, INDIRECT("NovR!$A$6:$ZZ$1048576"), MATCH(S$1, NovR!$6:$6, 0), FALSE),
            0
        ) +
        IFERROR(
            VLOOKUP($A86, INDIRECT("DicR!$A$6:$ZZ$1048576"), MATCH(S$1, DicR!$6:$6, 0), FALSE),
            0
        )
)</f>
        <v>0</v>
      </c>
      <c r="T86" s="36">
        <f t="array" ref="T86">SUM(
    IFERROR(
            VLOOKUP($A86, INDIRECT("EneR!$A$6:$ZZ$1048576"), MATCH(T$1, EneR!$6:$6, 0), FALSE),
            0
        ) +
        IFERROR(
            VLOOKUP($A86, INDIRECT("FebR!$A$6:$ZZ$1048576"), MATCH(T$1, FebR!$6:$6, 0), FALSE),
            0
        ) +
        IFERROR(
            VLOOKUP($A86, INDIRECT("MarR!$A$6:$ZZ$1048576"), MATCH(T$1, MarR!$6:$6, 0), FALSE),
            0
        ) +
        IFERROR(
            VLOOKUP($A86, INDIRECT("AbrR!$A$6:$ZZ$1048576"), MATCH(T$1, AbrR!$6:$6, 0), FALSE),
            0
        ) +
        IFERROR(
            VLOOKUP($A86, INDIRECT("MayR!$A$6:$ZZ$1048576"), MATCH(T$1, MayR!$6:$6, 0), FALSE),
            0
        ) +
        IFERROR(
            VLOOKUP($A86, INDIRECT("JunR!$A$6:$ZZ$1048576"), MATCH(T$1, JunR!$6:$6, 0), FALSE),
            0
        ) +
        IFERROR(
            VLOOKUP($A86, INDIRECT("JulR!$A$6:$ZZ$1048576"), MATCH(T$1, JulR!$6:$6, 0), FALSE),
            0
        ) +
        IFERROR(
            VLOOKUP($A86, INDIRECT("AgoR!$A$6:$ZZ$1048576"), MATCH(T$1, AgoR!$6:$6, 0), FALSE),
            0
        ) +
        IFERROR(
            VLOOKUP($A86, INDIRECT("SepR!$A$6:$ZZ$1048576"), MATCH(T$1, SepR!$6:$6, 0), FALSE),
            0
        ) +
        IFERROR(
            VLOOKUP($A86, INDIRECT("OctR!$A$6:$ZZ$1048576"), MATCH(T$1, OctR!$6:$6, 0), FALSE),
            0
        ) +
        IFERROR(
            VLOOKUP($A86, INDIRECT("NovR!$A$6:$ZZ$1048576"), MATCH(T$1, NovR!$6:$6, 0), FALSE),
            0
        ) +
        IFERROR(
            VLOOKUP($A86, INDIRECT("DicR!$A$6:$ZZ$1048576"), MATCH(T$1, DicR!$6:$6, 0), FALSE),
            0
        )
)</f>
        <v>0</v>
      </c>
      <c r="U86" s="37">
        <f t="array" ref="U86">SUM(
    IFERROR(
            VLOOKUP($A86, INDIRECT("EneR!$A$6:$ZZ$1048576"), MATCH(U$1, EneR!$6:$6, 0), FALSE),
            0
        ) +
        IFERROR(
            VLOOKUP($A86, INDIRECT("FebR!$A$6:$ZZ$1048576"), MATCH(U$1, FebR!$6:$6, 0), FALSE),
            0
        ) +
        IFERROR(
            VLOOKUP($A86, INDIRECT("MarR!$A$6:$ZZ$1048576"), MATCH(U$1, MarR!$6:$6, 0), FALSE),
            0
        ) +
        IFERROR(
            VLOOKUP($A86, INDIRECT("AbrR!$A$6:$ZZ$1048576"), MATCH(U$1, AbrR!$6:$6, 0), FALSE),
            0
        ) +
        IFERROR(
            VLOOKUP($A86, INDIRECT("MayR!$A$6:$ZZ$1048576"), MATCH(U$1, MayR!$6:$6, 0), FALSE),
            0
        ) +
        IFERROR(
            VLOOKUP($A86, INDIRECT("JunR!$A$6:$ZZ$1048576"), MATCH(U$1, JunR!$6:$6, 0), FALSE),
            0
        ) +
        IFERROR(
            VLOOKUP($A86, INDIRECT("JulR!$A$6:$ZZ$1048576"), MATCH(U$1, JulR!$6:$6, 0), FALSE),
            0
        ) +
        IFERROR(
            VLOOKUP($A86, INDIRECT("AgoR!$A$6:$ZZ$1048576"), MATCH(U$1, AgoR!$6:$6, 0), FALSE),
            0
        ) +
        IFERROR(
            VLOOKUP($A86, INDIRECT("SepR!$A$6:$ZZ$1048576"), MATCH(U$1, SepR!$6:$6, 0), FALSE),
            0
        ) +
        IFERROR(
            VLOOKUP($A86, INDIRECT("OctR!$A$6:$ZZ$1048576"), MATCH(U$1, OctR!$6:$6, 0), FALSE),
            0
        ) +
        IFERROR(
            VLOOKUP($A86, INDIRECT("NovR!$A$6:$ZZ$1048576"), MATCH(U$1, NovR!$6:$6, 0), FALSE),
            0
        ) +
        IFERROR(
            VLOOKUP($A86, INDIRECT("DicR!$A$6:$ZZ$1048576"), MATCH(U$1, DicR!$6:$6, 0), FALSE),
            0
        )
)</f>
        <v>0</v>
      </c>
      <c r="V86" s="36">
        <f t="array" ref="V86">SUM(
    IFERROR(
            VLOOKUP($A86, INDIRECT("EneR!$A$6:$ZZ$1048576"), MATCH(V$1, EneR!$6:$6, 0), FALSE),
            0
        ) +
        IFERROR(
            VLOOKUP($A86, INDIRECT("FebR!$A$6:$ZZ$1048576"), MATCH(V$1, FebR!$6:$6, 0), FALSE),
            0
        ) +
        IFERROR(
            VLOOKUP($A86, INDIRECT("MarR!$A$6:$ZZ$1048576"), MATCH(V$1, MarR!$6:$6, 0), FALSE),
            0
        ) +
        IFERROR(
            VLOOKUP($A86, INDIRECT("AbrR!$A$6:$ZZ$1048576"), MATCH(V$1, AbrR!$6:$6, 0), FALSE),
            0
        ) +
        IFERROR(
            VLOOKUP($A86, INDIRECT("MayR!$A$6:$ZZ$1048576"), MATCH(V$1, MayR!$6:$6, 0), FALSE),
            0
        ) +
        IFERROR(
            VLOOKUP($A86, INDIRECT("JunR!$A$6:$ZZ$1048576"), MATCH(V$1, JunR!$6:$6, 0), FALSE),
            0
        ) +
        IFERROR(
            VLOOKUP($A86, INDIRECT("JulR!$A$6:$ZZ$1048576"), MATCH(V$1, JulR!$6:$6, 0), FALSE),
            0
        ) +
        IFERROR(
            VLOOKUP($A86, INDIRECT("AgoR!$A$6:$ZZ$1048576"), MATCH(V$1, AgoR!$6:$6, 0), FALSE),
            0
        ) +
        IFERROR(
            VLOOKUP($A86, INDIRECT("SepR!$A$6:$ZZ$1048576"), MATCH(V$1, SepR!$6:$6, 0), FALSE),
            0
        ) +
        IFERROR(
            VLOOKUP($A86, INDIRECT("OctR!$A$6:$ZZ$1048576"), MATCH(V$1, OctR!$6:$6, 0), FALSE),
            0
        ) +
        IFERROR(
            VLOOKUP($A86, INDIRECT("NovR!$A$6:$ZZ$1048576"), MATCH(V$1, NovR!$6:$6, 0), FALSE),
            0
        ) +
        IFERROR(
            VLOOKUP($A86, INDIRECT("DicR!$A$6:$ZZ$1048576"), MATCH(V$1, DicR!$6:$6, 0), FALSE),
            0
        )
)</f>
        <v>0</v>
      </c>
      <c r="W86" s="37">
        <f t="array" ref="W86">SUM(
    IFERROR(
            VLOOKUP($A86, INDIRECT("EneR!$A$6:$ZZ$1048576"), MATCH(W$1, EneR!$6:$6, 0), FALSE),
            0
        ) +
        IFERROR(
            VLOOKUP($A86, INDIRECT("FebR!$A$6:$ZZ$1048576"), MATCH(W$1, FebR!$6:$6, 0), FALSE),
            0
        ) +
        IFERROR(
            VLOOKUP($A86, INDIRECT("MarR!$A$6:$ZZ$1048576"), MATCH(W$1, MarR!$6:$6, 0), FALSE),
            0
        ) +
        IFERROR(
            VLOOKUP($A86, INDIRECT("AbrR!$A$6:$ZZ$1048576"), MATCH(W$1, AbrR!$6:$6, 0), FALSE),
            0
        ) +
        IFERROR(
            VLOOKUP($A86, INDIRECT("MayR!$A$6:$ZZ$1048576"), MATCH(W$1, MayR!$6:$6, 0), FALSE),
            0
        ) +
        IFERROR(
            VLOOKUP($A86, INDIRECT("JunR!$A$6:$ZZ$1048576"), MATCH(W$1, JunR!$6:$6, 0), FALSE),
            0
        ) +
        IFERROR(
            VLOOKUP($A86, INDIRECT("JulR!$A$6:$ZZ$1048576"), MATCH(W$1, JulR!$6:$6, 0), FALSE),
            0
        ) +
        IFERROR(
            VLOOKUP($A86, INDIRECT("AgoR!$A$6:$ZZ$1048576"), MATCH(W$1, AgoR!$6:$6, 0), FALSE),
            0
        ) +
        IFERROR(
            VLOOKUP($A86, INDIRECT("SepR!$A$6:$ZZ$1048576"), MATCH(W$1, SepR!$6:$6, 0), FALSE),
            0
        ) +
        IFERROR(
            VLOOKUP($A86, INDIRECT("OctR!$A$6:$ZZ$1048576"), MATCH(W$1, OctR!$6:$6, 0), FALSE),
            0
        ) +
        IFERROR(
            VLOOKUP($A86, INDIRECT("NovR!$A$6:$ZZ$1048576"), MATCH(W$1, NovR!$6:$6, 0), FALSE),
            0
        ) +
        IFERROR(
            VLOOKUP($A86, INDIRECT("DicR!$A$6:$ZZ$1048576"), MATCH(W$1, DicR!$6:$6, 0), FALSE),
            0
        )
)</f>
        <v>0</v>
      </c>
      <c r="X86" s="36">
        <f t="array" ref="X86">SUM(
    IFERROR(
            VLOOKUP($A86, INDIRECT("EneR!$A$6:$ZZ$1048576"), MATCH(X$1, EneR!$6:$6, 0), FALSE),
            0
        ) +
        IFERROR(
            VLOOKUP($A86, INDIRECT("FebR!$A$6:$ZZ$1048576"), MATCH(X$1, FebR!$6:$6, 0), FALSE),
            0
        ) +
        IFERROR(
            VLOOKUP($A86, INDIRECT("MarR!$A$6:$ZZ$1048576"), MATCH(X$1, MarR!$6:$6, 0), FALSE),
            0
        ) +
        IFERROR(
            VLOOKUP($A86, INDIRECT("AbrR!$A$6:$ZZ$1048576"), MATCH(X$1, AbrR!$6:$6, 0), FALSE),
            0
        ) +
        IFERROR(
            VLOOKUP($A86, INDIRECT("MayR!$A$6:$ZZ$1048576"), MATCH(X$1, MayR!$6:$6, 0), FALSE),
            0
        ) +
        IFERROR(
            VLOOKUP($A86, INDIRECT("JunR!$A$6:$ZZ$1048576"), MATCH(X$1, JunR!$6:$6, 0), FALSE),
            0
        ) +
        IFERROR(
            VLOOKUP($A86, INDIRECT("JulR!$A$6:$ZZ$1048576"), MATCH(X$1, JulR!$6:$6, 0), FALSE),
            0
        ) +
        IFERROR(
            VLOOKUP($A86, INDIRECT("AgoR!$A$6:$ZZ$1048576"), MATCH(X$1, AgoR!$6:$6, 0), FALSE),
            0
        ) +
        IFERROR(
            VLOOKUP($A86, INDIRECT("SepR!$A$6:$ZZ$1048576"), MATCH(X$1, SepR!$6:$6, 0), FALSE),
            0
        ) +
        IFERROR(
            VLOOKUP($A86, INDIRECT("OctR!$A$6:$ZZ$1048576"), MATCH(X$1, OctR!$6:$6, 0), FALSE),
            0
        ) +
        IFERROR(
            VLOOKUP($A86, INDIRECT("NovR!$A$6:$ZZ$1048576"), MATCH(X$1, NovR!$6:$6, 0), FALSE),
            0
        ) +
        IFERROR(
            VLOOKUP($A86, INDIRECT("DicR!$A$6:$ZZ$1048576"), MATCH(X$1, DicR!$6:$6, 0), FALSE),
            0
        )
)</f>
        <v>0</v>
      </c>
      <c r="Y86" s="37">
        <f t="array" ref="Y86">SUM(
    IFERROR(
            VLOOKUP($A86, INDIRECT("EneR!$A$6:$ZZ$1048576"), MATCH(Y$1, EneR!$6:$6, 0), FALSE),
            0
        ) +
        IFERROR(
            VLOOKUP($A86, INDIRECT("FebR!$A$6:$ZZ$1048576"), MATCH(Y$1, FebR!$6:$6, 0), FALSE),
            0
        ) +
        IFERROR(
            VLOOKUP($A86, INDIRECT("MarR!$A$6:$ZZ$1048576"), MATCH(Y$1, MarR!$6:$6, 0), FALSE),
            0
        ) +
        IFERROR(
            VLOOKUP($A86, INDIRECT("AbrR!$A$6:$ZZ$1048576"), MATCH(Y$1, AbrR!$6:$6, 0), FALSE),
            0
        ) +
        IFERROR(
            VLOOKUP($A86, INDIRECT("MayR!$A$6:$ZZ$1048576"), MATCH(Y$1, MayR!$6:$6, 0), FALSE),
            0
        ) +
        IFERROR(
            VLOOKUP($A86, INDIRECT("JunR!$A$6:$ZZ$1048576"), MATCH(Y$1, JunR!$6:$6, 0), FALSE),
            0
        ) +
        IFERROR(
            VLOOKUP($A86, INDIRECT("JulR!$A$6:$ZZ$1048576"), MATCH(Y$1, JulR!$6:$6, 0), FALSE),
            0
        ) +
        IFERROR(
            VLOOKUP($A86, INDIRECT("AgoR!$A$6:$ZZ$1048576"), MATCH(Y$1, AgoR!$6:$6, 0), FALSE),
            0
        ) +
        IFERROR(
            VLOOKUP($A86, INDIRECT("SepR!$A$6:$ZZ$1048576"), MATCH(Y$1, SepR!$6:$6, 0), FALSE),
            0
        ) +
        IFERROR(
            VLOOKUP($A86, INDIRECT("OctR!$A$6:$ZZ$1048576"), MATCH(Y$1, OctR!$6:$6, 0), FALSE),
            0
        ) +
        IFERROR(
            VLOOKUP($A86, INDIRECT("NovR!$A$6:$ZZ$1048576"), MATCH(Y$1, NovR!$6:$6, 0), FALSE),
            0
        ) +
        IFERROR(
            VLOOKUP($A86, INDIRECT("DicR!$A$6:$ZZ$1048576"), MATCH(Y$1, DicR!$6:$6, 0), FALSE),
            0
        )
)</f>
        <v>0</v>
      </c>
      <c r="Z86" s="36">
        <f t="array" ref="Z86">SUM(
    IFERROR(
            VLOOKUP($A86, INDIRECT("EneR!$A$6:$ZZ$1048576"), MATCH(Z$1, EneR!$6:$6, 0), FALSE),
            0
        ) +
        IFERROR(
            VLOOKUP($A86, INDIRECT("FebR!$A$6:$ZZ$1048576"), MATCH(Z$1, FebR!$6:$6, 0), FALSE),
            0
        ) +
        IFERROR(
            VLOOKUP($A86, INDIRECT("MarR!$A$6:$ZZ$1048576"), MATCH(Z$1, MarR!$6:$6, 0), FALSE),
            0
        ) +
        IFERROR(
            VLOOKUP($A86, INDIRECT("AbrR!$A$6:$ZZ$1048576"), MATCH(Z$1, AbrR!$6:$6, 0), FALSE),
            0
        ) +
        IFERROR(
            VLOOKUP($A86, INDIRECT("MayR!$A$6:$ZZ$1048576"), MATCH(Z$1, MayR!$6:$6, 0), FALSE),
            0
        ) +
        IFERROR(
            VLOOKUP($A86, INDIRECT("JunR!$A$6:$ZZ$1048576"), MATCH(Z$1, JunR!$6:$6, 0), FALSE),
            0
        ) +
        IFERROR(
            VLOOKUP($A86, INDIRECT("JulR!$A$6:$ZZ$1048576"), MATCH(Z$1, JulR!$6:$6, 0), FALSE),
            0
        ) +
        IFERROR(
            VLOOKUP($A86, INDIRECT("AgoR!$A$6:$ZZ$1048576"), MATCH(Z$1, AgoR!$6:$6, 0), FALSE),
            0
        ) +
        IFERROR(
            VLOOKUP($A86, INDIRECT("SepR!$A$6:$ZZ$1048576"), MATCH(Z$1, SepR!$6:$6, 0), FALSE),
            0
        ) +
        IFERROR(
            VLOOKUP($A86, INDIRECT("OctR!$A$6:$ZZ$1048576"), MATCH(Z$1, OctR!$6:$6, 0), FALSE),
            0
        ) +
        IFERROR(
            VLOOKUP($A86, INDIRECT("NovR!$A$6:$ZZ$1048576"), MATCH(Z$1, NovR!$6:$6, 0), FALSE),
            0
        ) +
        IFERROR(
            VLOOKUP($A86, INDIRECT("DicR!$A$6:$ZZ$1048576"), MATCH(Z$1, DicR!$6:$6, 0), FALSE),
            0
        )
)</f>
        <v>0</v>
      </c>
      <c r="AA86" s="37">
        <f t="array" ref="AA86">SUM(
    IFERROR(
            VLOOKUP($A86, INDIRECT("EneR!$A$6:$ZZ$1048576"), MATCH(AA$1, EneR!$6:$6, 0), FALSE),
            0
        ) +
        IFERROR(
            VLOOKUP($A86, INDIRECT("FebR!$A$6:$ZZ$1048576"), MATCH(AA$1, FebR!$6:$6, 0), FALSE),
            0
        ) +
        IFERROR(
            VLOOKUP($A86, INDIRECT("MarR!$A$6:$ZZ$1048576"), MATCH(AA$1, MarR!$6:$6, 0), FALSE),
            0
        ) +
        IFERROR(
            VLOOKUP($A86, INDIRECT("AbrR!$A$6:$ZZ$1048576"), MATCH(AA$1, AbrR!$6:$6, 0), FALSE),
            0
        ) +
        IFERROR(
            VLOOKUP($A86, INDIRECT("MayR!$A$6:$ZZ$1048576"), MATCH(AA$1, MayR!$6:$6, 0), FALSE),
            0
        ) +
        IFERROR(
            VLOOKUP($A86, INDIRECT("JunR!$A$6:$ZZ$1048576"), MATCH(AA$1, JunR!$6:$6, 0), FALSE),
            0
        ) +
        IFERROR(
            VLOOKUP($A86, INDIRECT("JulR!$A$6:$ZZ$1048576"), MATCH(AA$1, JulR!$6:$6, 0), FALSE),
            0
        ) +
        IFERROR(
            VLOOKUP($A86, INDIRECT("AgoR!$A$6:$ZZ$1048576"), MATCH(AA$1, AgoR!$6:$6, 0), FALSE),
            0
        ) +
        IFERROR(
            VLOOKUP($A86, INDIRECT("SepR!$A$6:$ZZ$1048576"), MATCH(AA$1, SepR!$6:$6, 0), FALSE),
            0
        ) +
        IFERROR(
            VLOOKUP($A86, INDIRECT("OctR!$A$6:$ZZ$1048576"), MATCH(AA$1, OctR!$6:$6, 0), FALSE),
            0
        ) +
        IFERROR(
            VLOOKUP($A86, INDIRECT("NovR!$A$6:$ZZ$1048576"), MATCH(AA$1, NovR!$6:$6, 0), FALSE),
            0
        ) +
        IFERROR(
            VLOOKUP($A86, INDIRECT("DicR!$A$6:$ZZ$1048576"), MATCH(AA$1, DicR!$6:$6, 0), FALSE),
            0
        )
)</f>
        <v>0</v>
      </c>
      <c r="AB86" s="36">
        <f t="array" ref="AB86">SUM(
    IFERROR(
            VLOOKUP($A86, INDIRECT("EneR!$A$6:$ZZ$1048576"), MATCH(AB$1, EneR!$6:$6, 0), FALSE),
            0
        ) +
        IFERROR(
            VLOOKUP($A86, INDIRECT("FebR!$A$6:$ZZ$1048576"), MATCH(AB$1, FebR!$6:$6, 0), FALSE),
            0
        ) +
        IFERROR(
            VLOOKUP($A86, INDIRECT("MarR!$A$6:$ZZ$1048576"), MATCH(AB$1, MarR!$6:$6, 0), FALSE),
            0
        ) +
        IFERROR(
            VLOOKUP($A86, INDIRECT("AbrR!$A$6:$ZZ$1048576"), MATCH(AB$1, AbrR!$6:$6, 0), FALSE),
            0
        ) +
        IFERROR(
            VLOOKUP($A86, INDIRECT("MayR!$A$6:$ZZ$1048576"), MATCH(AB$1, MayR!$6:$6, 0), FALSE),
            0
        ) +
        IFERROR(
            VLOOKUP($A86, INDIRECT("JunR!$A$6:$ZZ$1048576"), MATCH(AB$1, JunR!$6:$6, 0), FALSE),
            0
        ) +
        IFERROR(
            VLOOKUP($A86, INDIRECT("JulR!$A$6:$ZZ$1048576"), MATCH(AB$1, JulR!$6:$6, 0), FALSE),
            0
        ) +
        IFERROR(
            VLOOKUP($A86, INDIRECT("AgoR!$A$6:$ZZ$1048576"), MATCH(AB$1, AgoR!$6:$6, 0), FALSE),
            0
        ) +
        IFERROR(
            VLOOKUP($A86, INDIRECT("SepR!$A$6:$ZZ$1048576"), MATCH(AB$1, SepR!$6:$6, 0), FALSE),
            0
        ) +
        IFERROR(
            VLOOKUP($A86, INDIRECT("OctR!$A$6:$ZZ$1048576"), MATCH(AB$1, OctR!$6:$6, 0), FALSE),
            0
        ) +
        IFERROR(
            VLOOKUP($A86, INDIRECT("NovR!$A$6:$ZZ$1048576"), MATCH(AB$1, NovR!$6:$6, 0), FALSE),
            0
        ) +
        IFERROR(
            VLOOKUP($A86, INDIRECT("DicR!$A$6:$ZZ$1048576"), MATCH(AB$1, DicR!$6:$6, 0), FALSE),
            0
        )
)</f>
        <v>0</v>
      </c>
      <c r="AC86" s="37">
        <f t="array" ref="AC86">SUM(
    IFERROR(
            VLOOKUP($A86, INDIRECT("EneR!$A$6:$ZZ$1048576"), MATCH(AC$1, EneR!$6:$6, 0), FALSE),
            0
        ) +
        IFERROR(
            VLOOKUP($A86, INDIRECT("FebR!$A$6:$ZZ$1048576"), MATCH(AC$1, FebR!$6:$6, 0), FALSE),
            0
        ) +
        IFERROR(
            VLOOKUP($A86, INDIRECT("MarR!$A$6:$ZZ$1048576"), MATCH(AC$1, MarR!$6:$6, 0), FALSE),
            0
        ) +
        IFERROR(
            VLOOKUP($A86, INDIRECT("AbrR!$A$6:$ZZ$1048576"), MATCH(AC$1, AbrR!$6:$6, 0), FALSE),
            0
        ) +
        IFERROR(
            VLOOKUP($A86, INDIRECT("MayR!$A$6:$ZZ$1048576"), MATCH(AC$1, MayR!$6:$6, 0), FALSE),
            0
        ) +
        IFERROR(
            VLOOKUP($A86, INDIRECT("JunR!$A$6:$ZZ$1048576"), MATCH(AC$1, JunR!$6:$6, 0), FALSE),
            0
        ) +
        IFERROR(
            VLOOKUP($A86, INDIRECT("JulR!$A$6:$ZZ$1048576"), MATCH(AC$1, JulR!$6:$6, 0), FALSE),
            0
        ) +
        IFERROR(
            VLOOKUP($A86, INDIRECT("AgoR!$A$6:$ZZ$1048576"), MATCH(AC$1, AgoR!$6:$6, 0), FALSE),
            0
        ) +
        IFERROR(
            VLOOKUP($A86, INDIRECT("SepR!$A$6:$ZZ$1048576"), MATCH(AC$1, SepR!$6:$6, 0), FALSE),
            0
        ) +
        IFERROR(
            VLOOKUP($A86, INDIRECT("OctR!$A$6:$ZZ$1048576"), MATCH(AC$1, OctR!$6:$6, 0), FALSE),
            0
        ) +
        IFERROR(
            VLOOKUP($A86, INDIRECT("NovR!$A$6:$ZZ$1048576"), MATCH(AC$1, NovR!$6:$6, 0), FALSE),
            0
        ) +
        IFERROR(
            VLOOKUP($A86, INDIRECT("DicR!$A$6:$ZZ$1048576"), MATCH(AC$1, DicR!$6:$6, 0), FALSE),
            0
        )
)</f>
        <v>0</v>
      </c>
      <c r="AD86" s="36">
        <f t="array" ref="AD86">SUM(
    IFERROR(
            VLOOKUP($A86, INDIRECT("EneR!$A$6:$ZZ$1048576"), MATCH(AD$1, EneR!$6:$6, 0), FALSE),
            0
        ) +
        IFERROR(
            VLOOKUP($A86, INDIRECT("FebR!$A$6:$ZZ$1048576"), MATCH(AD$1, FebR!$6:$6, 0), FALSE),
            0
        ) +
        IFERROR(
            VLOOKUP($A86, INDIRECT("MarR!$A$6:$ZZ$1048576"), MATCH(AD$1, MarR!$6:$6, 0), FALSE),
            0
        ) +
        IFERROR(
            VLOOKUP($A86, INDIRECT("AbrR!$A$6:$ZZ$1048576"), MATCH(AD$1, AbrR!$6:$6, 0), FALSE),
            0
        ) +
        IFERROR(
            VLOOKUP($A86, INDIRECT("MayR!$A$6:$ZZ$1048576"), MATCH(AD$1, MayR!$6:$6, 0), FALSE),
            0
        ) +
        IFERROR(
            VLOOKUP($A86, INDIRECT("JunR!$A$6:$ZZ$1048576"), MATCH(AD$1, JunR!$6:$6, 0), FALSE),
            0
        ) +
        IFERROR(
            VLOOKUP($A86, INDIRECT("JulR!$A$6:$ZZ$1048576"), MATCH(AD$1, JulR!$6:$6, 0), FALSE),
            0
        ) +
        IFERROR(
            VLOOKUP($A86, INDIRECT("AgoR!$A$6:$ZZ$1048576"), MATCH(AD$1, AgoR!$6:$6, 0), FALSE),
            0
        ) +
        IFERROR(
            VLOOKUP($A86, INDIRECT("SepR!$A$6:$ZZ$1048576"), MATCH(AD$1, SepR!$6:$6, 0), FALSE),
            0
        ) +
        IFERROR(
            VLOOKUP($A86, INDIRECT("OctR!$A$6:$ZZ$1048576"), MATCH(AD$1, OctR!$6:$6, 0), FALSE),
            0
        ) +
        IFERROR(
            VLOOKUP($A86, INDIRECT("NovR!$A$6:$ZZ$1048576"), MATCH(AD$1, NovR!$6:$6, 0), FALSE),
            0
        ) +
        IFERROR(
            VLOOKUP($A86, INDIRECT("DicR!$A$6:$ZZ$1048576"), MATCH(AD$1, DicR!$6:$6, 0), FALSE),
            0
        )
)</f>
        <v>0</v>
      </c>
      <c r="AE86" s="37">
        <f t="array" ref="AE86">SUM(
    IFERROR(
            VLOOKUP($A86, INDIRECT("EneR!$A$6:$ZZ$1048576"), MATCH(AE$1, EneR!$6:$6, 0), FALSE),
            0
        ) +
        IFERROR(
            VLOOKUP($A86, INDIRECT("FebR!$A$6:$ZZ$1048576"), MATCH(AE$1, FebR!$6:$6, 0), FALSE),
            0
        ) +
        IFERROR(
            VLOOKUP($A86, INDIRECT("MarR!$A$6:$ZZ$1048576"), MATCH(AE$1, MarR!$6:$6, 0), FALSE),
            0
        ) +
        IFERROR(
            VLOOKUP($A86, INDIRECT("AbrR!$A$6:$ZZ$1048576"), MATCH(AE$1, AbrR!$6:$6, 0), FALSE),
            0
        ) +
        IFERROR(
            VLOOKUP($A86, INDIRECT("MayR!$A$6:$ZZ$1048576"), MATCH(AE$1, MayR!$6:$6, 0), FALSE),
            0
        ) +
        IFERROR(
            VLOOKUP($A86, INDIRECT("JunR!$A$6:$ZZ$1048576"), MATCH(AE$1, JunR!$6:$6, 0), FALSE),
            0
        ) +
        IFERROR(
            VLOOKUP($A86, INDIRECT("JulR!$A$6:$ZZ$1048576"), MATCH(AE$1, JulR!$6:$6, 0), FALSE),
            0
        ) +
        IFERROR(
            VLOOKUP($A86, INDIRECT("AgoR!$A$6:$ZZ$1048576"), MATCH(AE$1, AgoR!$6:$6, 0), FALSE),
            0
        ) +
        IFERROR(
            VLOOKUP($A86, INDIRECT("SepR!$A$6:$ZZ$1048576"), MATCH(AE$1, SepR!$6:$6, 0), FALSE),
            0
        ) +
        IFERROR(
            VLOOKUP($A86, INDIRECT("OctR!$A$6:$ZZ$1048576"), MATCH(AE$1, OctR!$6:$6, 0), FALSE),
            0
        ) +
        IFERROR(
            VLOOKUP($A86, INDIRECT("NovR!$A$6:$ZZ$1048576"), MATCH(AE$1, NovR!$6:$6, 0), FALSE),
            0
        ) +
        IFERROR(
            VLOOKUP($A86, INDIRECT("DicR!$A$6:$ZZ$1048576"), MATCH(AE$1, DicR!$6:$6, 0), FALSE),
            0
        )
)</f>
        <v>0</v>
      </c>
      <c r="AF86" s="36">
        <f t="array" ref="AF86">SUM(
    IFERROR(
            VLOOKUP($A86, INDIRECT("EneR!$A$6:$ZZ$1048576"), MATCH(AF$1, EneR!$6:$6, 0), FALSE),
            0
        ) +
        IFERROR(
            VLOOKUP($A86, INDIRECT("FebR!$A$6:$ZZ$1048576"), MATCH(AF$1, FebR!$6:$6, 0), FALSE),
            0
        ) +
        IFERROR(
            VLOOKUP($A86, INDIRECT("MarR!$A$6:$ZZ$1048576"), MATCH(AF$1, MarR!$6:$6, 0), FALSE),
            0
        ) +
        IFERROR(
            VLOOKUP($A86, INDIRECT("AbrR!$A$6:$ZZ$1048576"), MATCH(AF$1, AbrR!$6:$6, 0), FALSE),
            0
        ) +
        IFERROR(
            VLOOKUP($A86, INDIRECT("MayR!$A$6:$ZZ$1048576"), MATCH(AF$1, MayR!$6:$6, 0), FALSE),
            0
        ) +
        IFERROR(
            VLOOKUP($A86, INDIRECT("JunR!$A$6:$ZZ$1048576"), MATCH(AF$1, JunR!$6:$6, 0), FALSE),
            0
        ) +
        IFERROR(
            VLOOKUP($A86, INDIRECT("JulR!$A$6:$ZZ$1048576"), MATCH(AF$1, JulR!$6:$6, 0), FALSE),
            0
        ) +
        IFERROR(
            VLOOKUP($A86, INDIRECT("AgoR!$A$6:$ZZ$1048576"), MATCH(AF$1, AgoR!$6:$6, 0), FALSE),
            0
        ) +
        IFERROR(
            VLOOKUP($A86, INDIRECT("SepR!$A$6:$ZZ$1048576"), MATCH(AF$1, SepR!$6:$6, 0), FALSE),
            0
        ) +
        IFERROR(
            VLOOKUP($A86, INDIRECT("OctR!$A$6:$ZZ$1048576"), MATCH(AF$1, OctR!$6:$6, 0), FALSE),
            0
        ) +
        IFERROR(
            VLOOKUP($A86, INDIRECT("NovR!$A$6:$ZZ$1048576"), MATCH(AF$1, NovR!$6:$6, 0), FALSE),
            0
        ) +
        IFERROR(
            VLOOKUP($A86, INDIRECT("DicR!$A$6:$ZZ$1048576"), MATCH(AF$1, DicR!$6:$6, 0), FALSE),
            0
        )
)</f>
        <v>0</v>
      </c>
      <c r="AG86" s="37">
        <f t="array" ref="AG86">SUM(
    IFERROR(
            VLOOKUP($A86, INDIRECT("EneR!$A$6:$ZZ$1048576"), MATCH(AG$1, EneR!$6:$6, 0), FALSE),
            0
        ) +
        IFERROR(
            VLOOKUP($A86, INDIRECT("FebR!$A$6:$ZZ$1048576"), MATCH(AG$1, FebR!$6:$6, 0), FALSE),
            0
        ) +
        IFERROR(
            VLOOKUP($A86, INDIRECT("MarR!$A$6:$ZZ$1048576"), MATCH(AG$1, MarR!$6:$6, 0), FALSE),
            0
        ) +
        IFERROR(
            VLOOKUP($A86, INDIRECT("AbrR!$A$6:$ZZ$1048576"), MATCH(AG$1, AbrR!$6:$6, 0), FALSE),
            0
        ) +
        IFERROR(
            VLOOKUP($A86, INDIRECT("MayR!$A$6:$ZZ$1048576"), MATCH(AG$1, MayR!$6:$6, 0), FALSE),
            0
        ) +
        IFERROR(
            VLOOKUP($A86, INDIRECT("JunR!$A$6:$ZZ$1048576"), MATCH(AG$1, JunR!$6:$6, 0), FALSE),
            0
        ) +
        IFERROR(
            VLOOKUP($A86, INDIRECT("JulR!$A$6:$ZZ$1048576"), MATCH(AG$1, JulR!$6:$6, 0), FALSE),
            0
        ) +
        IFERROR(
            VLOOKUP($A86, INDIRECT("AgoR!$A$6:$ZZ$1048576"), MATCH(AG$1, AgoR!$6:$6, 0), FALSE),
            0
        ) +
        IFERROR(
            VLOOKUP($A86, INDIRECT("SepR!$A$6:$ZZ$1048576"), MATCH(AG$1, SepR!$6:$6, 0), FALSE),
            0
        ) +
        IFERROR(
            VLOOKUP($A86, INDIRECT("OctR!$A$6:$ZZ$1048576"), MATCH(AG$1, OctR!$6:$6, 0), FALSE),
            0
        ) +
        IFERROR(
            VLOOKUP($A86, INDIRECT("NovR!$A$6:$ZZ$1048576"), MATCH(AG$1, NovR!$6:$6, 0), FALSE),
            0
        ) +
        IFERROR(
            VLOOKUP($A86, INDIRECT("DicR!$A$6:$ZZ$1048576"), MATCH(AG$1, DicR!$6:$6, 0), FALSE),
            0
        )
)</f>
        <v>0</v>
      </c>
      <c r="AH86" s="36">
        <f t="array" ref="AH86">SUM(
    IFERROR(
            VLOOKUP($A86, INDIRECT("EneR!$A$6:$ZZ$1048576"), MATCH(AH$1, EneR!$6:$6, 0), FALSE),
            0
        ) +
        IFERROR(
            VLOOKUP($A86, INDIRECT("FebR!$A$6:$ZZ$1048576"), MATCH(AH$1, FebR!$6:$6, 0), FALSE),
            0
        ) +
        IFERROR(
            VLOOKUP($A86, INDIRECT("MarR!$A$6:$ZZ$1048576"), MATCH(AH$1, MarR!$6:$6, 0), FALSE),
            0
        ) +
        IFERROR(
            VLOOKUP($A86, INDIRECT("AbrR!$A$6:$ZZ$1048576"), MATCH(AH$1, AbrR!$6:$6, 0), FALSE),
            0
        ) +
        IFERROR(
            VLOOKUP($A86, INDIRECT("MayR!$A$6:$ZZ$1048576"), MATCH(AH$1, MayR!$6:$6, 0), FALSE),
            0
        ) +
        IFERROR(
            VLOOKUP($A86, INDIRECT("JunR!$A$6:$ZZ$1048576"), MATCH(AH$1, JunR!$6:$6, 0), FALSE),
            0
        ) +
        IFERROR(
            VLOOKUP($A86, INDIRECT("JulR!$A$6:$ZZ$1048576"), MATCH(AH$1, JulR!$6:$6, 0), FALSE),
            0
        ) +
        IFERROR(
            VLOOKUP($A86, INDIRECT("AgoR!$A$6:$ZZ$1048576"), MATCH(AH$1, AgoR!$6:$6, 0), FALSE),
            0
        ) +
        IFERROR(
            VLOOKUP($A86, INDIRECT("SepR!$A$6:$ZZ$1048576"), MATCH(AH$1, SepR!$6:$6, 0), FALSE),
            0
        ) +
        IFERROR(
            VLOOKUP($A86, INDIRECT("OctR!$A$6:$ZZ$1048576"), MATCH(AH$1, OctR!$6:$6, 0), FALSE),
            0
        ) +
        IFERROR(
            VLOOKUP($A86, INDIRECT("NovR!$A$6:$ZZ$1048576"), MATCH(AH$1, NovR!$6:$6, 0), FALSE),
            0
        ) +
        IFERROR(
            VLOOKUP($A86, INDIRECT("DicR!$A$6:$ZZ$1048576"), MATCH(AH$1, DicR!$6:$6, 0), FALSE),
            0
        )
)</f>
        <v>0</v>
      </c>
      <c r="AI86" s="37">
        <f t="array" ref="AI86">SUM(
    IFERROR(
            VLOOKUP($A86, INDIRECT("EneR!$A$6:$ZZ$1048576"), MATCH(AI$1, EneR!$6:$6, 0), FALSE),
            0
        ) +
        IFERROR(
            VLOOKUP($A86, INDIRECT("FebR!$A$6:$ZZ$1048576"), MATCH(AI$1, FebR!$6:$6, 0), FALSE),
            0
        ) +
        IFERROR(
            VLOOKUP($A86, INDIRECT("MarR!$A$6:$ZZ$1048576"), MATCH(AI$1, MarR!$6:$6, 0), FALSE),
            0
        ) +
        IFERROR(
            VLOOKUP($A86, INDIRECT("AbrR!$A$6:$ZZ$1048576"), MATCH(AI$1, AbrR!$6:$6, 0), FALSE),
            0
        ) +
        IFERROR(
            VLOOKUP($A86, INDIRECT("MayR!$A$6:$ZZ$1048576"), MATCH(AI$1, MayR!$6:$6, 0), FALSE),
            0
        ) +
        IFERROR(
            VLOOKUP($A86, INDIRECT("JunR!$A$6:$ZZ$1048576"), MATCH(AI$1, JunR!$6:$6, 0), FALSE),
            0
        ) +
        IFERROR(
            VLOOKUP($A86, INDIRECT("JulR!$A$6:$ZZ$1048576"), MATCH(AI$1, JulR!$6:$6, 0), FALSE),
            0
        ) +
        IFERROR(
            VLOOKUP($A86, INDIRECT("AgoR!$A$6:$ZZ$1048576"), MATCH(AI$1, AgoR!$6:$6, 0), FALSE),
            0
        ) +
        IFERROR(
            VLOOKUP($A86, INDIRECT("SepR!$A$6:$ZZ$1048576"), MATCH(AI$1, SepR!$6:$6, 0), FALSE),
            0
        ) +
        IFERROR(
            VLOOKUP($A86, INDIRECT("OctR!$A$6:$ZZ$1048576"), MATCH(AI$1, OctR!$6:$6, 0), FALSE),
            0
        ) +
        IFERROR(
            VLOOKUP($A86, INDIRECT("NovR!$A$6:$ZZ$1048576"), MATCH(AI$1, NovR!$6:$6, 0), FALSE),
            0
        ) +
        IFERROR(
            VLOOKUP($A86, INDIRECT("DicR!$A$6:$ZZ$1048576"), MATCH(AI$1, DicR!$6:$6, 0), FALSE),
            0
        )
)</f>
        <v>0</v>
      </c>
      <c r="AJ86" s="36">
        <f t="array" ref="AJ86">SUM(
    IFERROR(
            VLOOKUP($A86, INDIRECT("EneR!$A$6:$ZZ$1048576"), MATCH(AJ$1, EneR!$6:$6, 0), FALSE),
            0
        ) +
        IFERROR(
            VLOOKUP($A86, INDIRECT("FebR!$A$6:$ZZ$1048576"), MATCH(AJ$1, FebR!$6:$6, 0), FALSE),
            0
        ) +
        IFERROR(
            VLOOKUP($A86, INDIRECT("MarR!$A$6:$ZZ$1048576"), MATCH(AJ$1, MarR!$6:$6, 0), FALSE),
            0
        ) +
        IFERROR(
            VLOOKUP($A86, INDIRECT("AbrR!$A$6:$ZZ$1048576"), MATCH(AJ$1, AbrR!$6:$6, 0), FALSE),
            0
        ) +
        IFERROR(
            VLOOKUP($A86, INDIRECT("MayR!$A$6:$ZZ$1048576"), MATCH(AJ$1, MayR!$6:$6, 0), FALSE),
            0
        ) +
        IFERROR(
            VLOOKUP($A86, INDIRECT("JunR!$A$6:$ZZ$1048576"), MATCH(AJ$1, JunR!$6:$6, 0), FALSE),
            0
        ) +
        IFERROR(
            VLOOKUP($A86, INDIRECT("JulR!$A$6:$ZZ$1048576"), MATCH(AJ$1, JulR!$6:$6, 0), FALSE),
            0
        ) +
        IFERROR(
            VLOOKUP($A86, INDIRECT("AgoR!$A$6:$ZZ$1048576"), MATCH(AJ$1, AgoR!$6:$6, 0), FALSE),
            0
        ) +
        IFERROR(
            VLOOKUP($A86, INDIRECT("SepR!$A$6:$ZZ$1048576"), MATCH(AJ$1, SepR!$6:$6, 0), FALSE),
            0
        ) +
        IFERROR(
            VLOOKUP($A86, INDIRECT("OctR!$A$6:$ZZ$1048576"), MATCH(AJ$1, OctR!$6:$6, 0), FALSE),
            0
        ) +
        IFERROR(
            VLOOKUP($A86, INDIRECT("NovR!$A$6:$ZZ$1048576"), MATCH(AJ$1, NovR!$6:$6, 0), FALSE),
            0
        ) +
        IFERROR(
            VLOOKUP($A86, INDIRECT("DicR!$A$6:$ZZ$1048576"), MATCH(AJ$1, DicR!$6:$6, 0), FALSE),
            0
        )
)</f>
        <v>0</v>
      </c>
      <c r="AK86" s="37">
        <f t="array" ref="AK86">SUM(
    IFERROR(
            VLOOKUP($A86, INDIRECT("EneR!$A$6:$ZZ$1048576"), MATCH(AK$1, EneR!$6:$6, 0), FALSE),
            0
        ) +
        IFERROR(
            VLOOKUP($A86, INDIRECT("FebR!$A$6:$ZZ$1048576"), MATCH(AK$1, FebR!$6:$6, 0), FALSE),
            0
        ) +
        IFERROR(
            VLOOKUP($A86, INDIRECT("MarR!$A$6:$ZZ$1048576"), MATCH(AK$1, MarR!$6:$6, 0), FALSE),
            0
        ) +
        IFERROR(
            VLOOKUP($A86, INDIRECT("AbrR!$A$6:$ZZ$1048576"), MATCH(AK$1, AbrR!$6:$6, 0), FALSE),
            0
        ) +
        IFERROR(
            VLOOKUP($A86, INDIRECT("MayR!$A$6:$ZZ$1048576"), MATCH(AK$1, MayR!$6:$6, 0), FALSE),
            0
        ) +
        IFERROR(
            VLOOKUP($A86, INDIRECT("JunR!$A$6:$ZZ$1048576"), MATCH(AK$1, JunR!$6:$6, 0), FALSE),
            0
        ) +
        IFERROR(
            VLOOKUP($A86, INDIRECT("JulR!$A$6:$ZZ$1048576"), MATCH(AK$1, JulR!$6:$6, 0), FALSE),
            0
        ) +
        IFERROR(
            VLOOKUP($A86, INDIRECT("AgoR!$A$6:$ZZ$1048576"), MATCH(AK$1, AgoR!$6:$6, 0), FALSE),
            0
        ) +
        IFERROR(
            VLOOKUP($A86, INDIRECT("SepR!$A$6:$ZZ$1048576"), MATCH(AK$1, SepR!$6:$6, 0), FALSE),
            0
        ) +
        IFERROR(
            VLOOKUP($A86, INDIRECT("OctR!$A$6:$ZZ$1048576"), MATCH(AK$1, OctR!$6:$6, 0), FALSE),
            0
        ) +
        IFERROR(
            VLOOKUP($A86, INDIRECT("NovR!$A$6:$ZZ$1048576"), MATCH(AK$1, NovR!$6:$6, 0), FALSE),
            0
        ) +
        IFERROR(
            VLOOKUP($A86, INDIRECT("DicR!$A$6:$ZZ$1048576"), MATCH(AK$1, DicR!$6:$6, 0), FALSE),
            0
        )
)</f>
        <v>0</v>
      </c>
      <c r="AL86" s="36">
        <f t="array" ref="AL86">SUM(
    IFERROR(
            VLOOKUP($A86, INDIRECT("EneR!$A$6:$ZZ$1048576"), MATCH(AL$1, EneR!$6:$6, 0), FALSE),
            0
        ) +
        IFERROR(
            VLOOKUP($A86, INDIRECT("FebR!$A$6:$ZZ$1048576"), MATCH(AL$1, FebR!$6:$6, 0), FALSE),
            0
        ) +
        IFERROR(
            VLOOKUP($A86, INDIRECT("MarR!$A$6:$ZZ$1048576"), MATCH(AL$1, MarR!$6:$6, 0), FALSE),
            0
        ) +
        IFERROR(
            VLOOKUP($A86, INDIRECT("AbrR!$A$6:$ZZ$1048576"), MATCH(AL$1, AbrR!$6:$6, 0), FALSE),
            0
        ) +
        IFERROR(
            VLOOKUP($A86, INDIRECT("MayR!$A$6:$ZZ$1048576"), MATCH(AL$1, MayR!$6:$6, 0), FALSE),
            0
        ) +
        IFERROR(
            VLOOKUP($A86, INDIRECT("JunR!$A$6:$ZZ$1048576"), MATCH(AL$1, JunR!$6:$6, 0), FALSE),
            0
        ) +
        IFERROR(
            VLOOKUP($A86, INDIRECT("JulR!$A$6:$ZZ$1048576"), MATCH(AL$1, JulR!$6:$6, 0), FALSE),
            0
        ) +
        IFERROR(
            VLOOKUP($A86, INDIRECT("AgoR!$A$6:$ZZ$1048576"), MATCH(AL$1, AgoR!$6:$6, 0), FALSE),
            0
        ) +
        IFERROR(
            VLOOKUP($A86, INDIRECT("SepR!$A$6:$ZZ$1048576"), MATCH(AL$1, SepR!$6:$6, 0), FALSE),
            0
        ) +
        IFERROR(
            VLOOKUP($A86, INDIRECT("OctR!$A$6:$ZZ$1048576"), MATCH(AL$1, OctR!$6:$6, 0), FALSE),
            0
        ) +
        IFERROR(
            VLOOKUP($A86, INDIRECT("NovR!$A$6:$ZZ$1048576"), MATCH(AL$1, NovR!$6:$6, 0), FALSE),
            0
        ) +
        IFERROR(
            VLOOKUP($A86, INDIRECT("DicR!$A$6:$ZZ$1048576"), MATCH(AL$1, DicR!$6:$6, 0), FALSE),
            0
        )
)</f>
        <v>0</v>
      </c>
      <c r="AM86" s="37">
        <f t="array" ref="AM86">SUM(
    IFERROR(
            VLOOKUP($A86, INDIRECT("EneR!$A$6:$ZZ$1048576"), MATCH(AM$1, EneR!$6:$6, 0), FALSE),
            0
        ) +
        IFERROR(
            VLOOKUP($A86, INDIRECT("FebR!$A$6:$ZZ$1048576"), MATCH(AM$1, FebR!$6:$6, 0), FALSE),
            0
        ) +
        IFERROR(
            VLOOKUP($A86, INDIRECT("MarR!$A$6:$ZZ$1048576"), MATCH(AM$1, MarR!$6:$6, 0), FALSE),
            0
        ) +
        IFERROR(
            VLOOKUP($A86, INDIRECT("AbrR!$A$6:$ZZ$1048576"), MATCH(AM$1, AbrR!$6:$6, 0), FALSE),
            0
        ) +
        IFERROR(
            VLOOKUP($A86, INDIRECT("MayR!$A$6:$ZZ$1048576"), MATCH(AM$1, MayR!$6:$6, 0), FALSE),
            0
        ) +
        IFERROR(
            VLOOKUP($A86, INDIRECT("JunR!$A$6:$ZZ$1048576"), MATCH(AM$1, JunR!$6:$6, 0), FALSE),
            0
        ) +
        IFERROR(
            VLOOKUP($A86, INDIRECT("JulR!$A$6:$ZZ$1048576"), MATCH(AM$1, JulR!$6:$6, 0), FALSE),
            0
        ) +
        IFERROR(
            VLOOKUP($A86, INDIRECT("AgoR!$A$6:$ZZ$1048576"), MATCH(AM$1, AgoR!$6:$6, 0), FALSE),
            0
        ) +
        IFERROR(
            VLOOKUP($A86, INDIRECT("SepR!$A$6:$ZZ$1048576"), MATCH(AM$1, SepR!$6:$6, 0), FALSE),
            0
        ) +
        IFERROR(
            VLOOKUP($A86, INDIRECT("OctR!$A$6:$ZZ$1048576"), MATCH(AM$1, OctR!$6:$6, 0), FALSE),
            0
        ) +
        IFERROR(
            VLOOKUP($A86, INDIRECT("NovR!$A$6:$ZZ$1048576"), MATCH(AM$1, NovR!$6:$6, 0), FALSE),
            0
        ) +
        IFERROR(
            VLOOKUP($A86, INDIRECT("DicR!$A$6:$ZZ$1048576"), MATCH(AM$1, DicR!$6:$6, 0), FALSE),
            0
        )
)</f>
        <v>0</v>
      </c>
      <c r="AN86" s="32">
        <f t="array" ref="AN86">SUM(
    IFERROR(
            VLOOKUP($A86, INDIRECT("EneR!$A$6:$ZZ$1048576"), MATCH(AN$1, EneR!$6:$6, 0), FALSE),
            0
        ) +
        IFERROR(
            VLOOKUP($A86, INDIRECT("FebR!$A$6:$ZZ$1048576"), MATCH(AN$1, FebR!$6:$6, 0), FALSE),
            0
        ) +
        IFERROR(
            VLOOKUP($A86, INDIRECT("MarR!$A$6:$ZZ$1048576"), MATCH(AN$1, MarR!$6:$6, 0), FALSE),
            0
        ) +
        IFERROR(
            VLOOKUP($A86, INDIRECT("AbrR!$A$6:$ZZ$1048576"), MATCH(AN$1, AbrR!$6:$6, 0), FALSE),
            0
        ) +
        IFERROR(
            VLOOKUP($A86, INDIRECT("MayR!$A$6:$ZZ$1048576"), MATCH(AN$1, MayR!$6:$6, 0), FALSE),
            0
        ) +
        IFERROR(
            VLOOKUP($A86, INDIRECT("JunR!$A$6:$ZZ$1048576"), MATCH(AN$1, JunR!$6:$6, 0), FALSE),
            0
        ) +
        IFERROR(
            VLOOKUP($A86, INDIRECT("JulR!$A$6:$ZZ$1048576"), MATCH(AN$1, JulR!$6:$6, 0), FALSE),
            0
        ) +
        IFERROR(
            VLOOKUP($A86, INDIRECT("AgoR!$A$6:$ZZ$1048576"), MATCH(AN$1, AgoR!$6:$6, 0), FALSE),
            0
        ) +
        IFERROR(
            VLOOKUP($A86, INDIRECT("SepR!$A$6:$ZZ$1048576"), MATCH(AN$1, SepR!$6:$6, 0), FALSE),
            0
        ) +
        IFERROR(
            VLOOKUP($A86, INDIRECT("OctR!$A$6:$ZZ$1048576"), MATCH(AN$1, OctR!$6:$6, 0), FALSE),
            0
        ) +
        IFERROR(
            VLOOKUP($A86, INDIRECT("NovR!$A$6:$ZZ$1048576"), MATCH(AN$1, NovR!$6:$6, 0), FALSE),
            0
        ) +
        IFERROR(
            VLOOKUP($A86, INDIRECT("DicR!$A$6:$ZZ$1048576"), MATCH(AN$1, DicR!$6:$6, 0), FALSE),
            0
        )
)</f>
        <v>0</v>
      </c>
      <c r="AO86" s="35">
        <f t="array" ref="AO86">SUM(
    IFERROR(
            VLOOKUP($A86, INDIRECT("EneR!$A$6:$ZZ$1048576"), MATCH(AO$1, EneR!$6:$6, 0), FALSE),
            0
        ) +
        IFERROR(
            VLOOKUP($A86, INDIRECT("FebR!$A$6:$ZZ$1048576"), MATCH(AO$1, FebR!$6:$6, 0), FALSE),
            0
        ) +
        IFERROR(
            VLOOKUP($A86, INDIRECT("MarR!$A$6:$ZZ$1048576"), MATCH(AO$1, MarR!$6:$6, 0), FALSE),
            0
        ) +
        IFERROR(
            VLOOKUP($A86, INDIRECT("AbrR!$A$6:$ZZ$1048576"), MATCH(AO$1, AbrR!$6:$6, 0), FALSE),
            0
        ) +
        IFERROR(
            VLOOKUP($A86, INDIRECT("MayR!$A$6:$ZZ$1048576"), MATCH(AO$1, MayR!$6:$6, 0), FALSE),
            0
        ) +
        IFERROR(
            VLOOKUP($A86, INDIRECT("JunR!$A$6:$ZZ$1048576"), MATCH(AO$1, JunR!$6:$6, 0), FALSE),
            0
        ) +
        IFERROR(
            VLOOKUP($A86, INDIRECT("JulR!$A$6:$ZZ$1048576"), MATCH(AO$1, JulR!$6:$6, 0), FALSE),
            0
        ) +
        IFERROR(
            VLOOKUP($A86, INDIRECT("AgoR!$A$6:$ZZ$1048576"), MATCH(AO$1, AgoR!$6:$6, 0), FALSE),
            0
        ) +
        IFERROR(
            VLOOKUP($A86, INDIRECT("SepR!$A$6:$ZZ$1048576"), MATCH(AO$1, SepR!$6:$6, 0), FALSE),
            0
        ) +
        IFERROR(
            VLOOKUP($A86, INDIRECT("OctR!$A$6:$ZZ$1048576"), MATCH(AO$1, OctR!$6:$6, 0), FALSE),
            0
        ) +
        IFERROR(
            VLOOKUP($A86, INDIRECT("NovR!$A$6:$ZZ$1048576"), MATCH(AO$1, NovR!$6:$6, 0), FALSE),
            0
        ) +
        IFERROR(
            VLOOKUP($A86, INDIRECT("DicR!$A$6:$ZZ$1048576"), MATCH(AO$1, DicR!$6:$6, 0), FALSE),
            0
        )
)</f>
        <v>0</v>
      </c>
      <c r="AP86" s="36">
        <f t="array" ref="AP86">SUM(
    IFERROR(
            VLOOKUP($A86, INDIRECT("EneR!$A$6:$ZZ$1048576"), MATCH(AP$1, EneR!$6:$6, 0), FALSE),
            0
        ) +
        IFERROR(
            VLOOKUP($A86, INDIRECT("FebR!$A$6:$ZZ$1048576"), MATCH(AP$1, FebR!$6:$6, 0), FALSE),
            0
        ) +
        IFERROR(
            VLOOKUP($A86, INDIRECT("MarR!$A$6:$ZZ$1048576"), MATCH(AP$1, MarR!$6:$6, 0), FALSE),
            0
        ) +
        IFERROR(
            VLOOKUP($A86, INDIRECT("AbrR!$A$6:$ZZ$1048576"), MATCH(AP$1, AbrR!$6:$6, 0), FALSE),
            0
        ) +
        IFERROR(
            VLOOKUP($A86, INDIRECT("MayR!$A$6:$ZZ$1048576"), MATCH(AP$1, MayR!$6:$6, 0), FALSE),
            0
        ) +
        IFERROR(
            VLOOKUP($A86, INDIRECT("JunR!$A$6:$ZZ$1048576"), MATCH(AP$1, JunR!$6:$6, 0), FALSE),
            0
        ) +
        IFERROR(
            VLOOKUP($A86, INDIRECT("JulR!$A$6:$ZZ$1048576"), MATCH(AP$1, JulR!$6:$6, 0), FALSE),
            0
        ) +
        IFERROR(
            VLOOKUP($A86, INDIRECT("AgoR!$A$6:$ZZ$1048576"), MATCH(AP$1, AgoR!$6:$6, 0), FALSE),
            0
        ) +
        IFERROR(
            VLOOKUP($A86, INDIRECT("SepR!$A$6:$ZZ$1048576"), MATCH(AP$1, SepR!$6:$6, 0), FALSE),
            0
        ) +
        IFERROR(
            VLOOKUP($A86, INDIRECT("OctR!$A$6:$ZZ$1048576"), MATCH(AP$1, OctR!$6:$6, 0), FALSE),
            0
        ) +
        IFERROR(
            VLOOKUP($A86, INDIRECT("NovR!$A$6:$ZZ$1048576"), MATCH(AP$1, NovR!$6:$6, 0), FALSE),
            0
        ) +
        IFERROR(
            VLOOKUP($A86, INDIRECT("DicR!$A$6:$ZZ$1048576"), MATCH(AP$1, DicR!$6:$6, 0), FALSE),
            0
        )
)</f>
        <v>0</v>
      </c>
      <c r="AQ86" s="35">
        <f t="array" ref="AQ86">SUM(
    IFERROR(
            VLOOKUP($A86, INDIRECT("EneR!$A$6:$ZZ$1048576"), MATCH(AQ$1, EneR!$6:$6, 0), FALSE),
            0
        ) +
        IFERROR(
            VLOOKUP($A86, INDIRECT("FebR!$A$6:$ZZ$1048576"), MATCH(AQ$1, FebR!$6:$6, 0), FALSE),
            0
        ) +
        IFERROR(
            VLOOKUP($A86, INDIRECT("MarR!$A$6:$ZZ$1048576"), MATCH(AQ$1, MarR!$6:$6, 0), FALSE),
            0
        ) +
        IFERROR(
            VLOOKUP($A86, INDIRECT("AbrR!$A$6:$ZZ$1048576"), MATCH(AQ$1, AbrR!$6:$6, 0), FALSE),
            0
        ) +
        IFERROR(
            VLOOKUP($A86, INDIRECT("MayR!$A$6:$ZZ$1048576"), MATCH(AQ$1, MayR!$6:$6, 0), FALSE),
            0
        ) +
        IFERROR(
            VLOOKUP($A86, INDIRECT("JunR!$A$6:$ZZ$1048576"), MATCH(AQ$1, JunR!$6:$6, 0), FALSE),
            0
        ) +
        IFERROR(
            VLOOKUP($A86, INDIRECT("JulR!$A$6:$ZZ$1048576"), MATCH(AQ$1, JulR!$6:$6, 0), FALSE),
            0
        ) +
        IFERROR(
            VLOOKUP($A86, INDIRECT("AgoR!$A$6:$ZZ$1048576"), MATCH(AQ$1, AgoR!$6:$6, 0), FALSE),
            0
        ) +
        IFERROR(
            VLOOKUP($A86, INDIRECT("SepR!$A$6:$ZZ$1048576"), MATCH(AQ$1, SepR!$6:$6, 0), FALSE),
            0
        ) +
        IFERROR(
            VLOOKUP($A86, INDIRECT("OctR!$A$6:$ZZ$1048576"), MATCH(AQ$1, OctR!$6:$6, 0), FALSE),
            0
        ) +
        IFERROR(
            VLOOKUP($A86, INDIRECT("NovR!$A$6:$ZZ$1048576"), MATCH(AQ$1, NovR!$6:$6, 0), FALSE),
            0
        ) +
        IFERROR(
            VLOOKUP($A86, INDIRECT("DicR!$A$6:$ZZ$1048576"), MATCH(AQ$1, DicR!$6:$6, 0), FALSE),
            0
        )
)</f>
        <v>0</v>
      </c>
      <c r="AR86" s="36">
        <f t="array" ref="AR86">SUM(
    IFERROR(
            VLOOKUP($A86, INDIRECT("EneR!$A$6:$ZZ$1048576"), MATCH(AR$1, EneR!$6:$6, 0), FALSE),
            0
        ) +
        IFERROR(
            VLOOKUP($A86, INDIRECT("FebR!$A$6:$ZZ$1048576"), MATCH(AR$1, FebR!$6:$6, 0), FALSE),
            0
        ) +
        IFERROR(
            VLOOKUP($A86, INDIRECT("MarR!$A$6:$ZZ$1048576"), MATCH(AR$1, MarR!$6:$6, 0), FALSE),
            0
        ) +
        IFERROR(
            VLOOKUP($A86, INDIRECT("AbrR!$A$6:$ZZ$1048576"), MATCH(AR$1, AbrR!$6:$6, 0), FALSE),
            0
        ) +
        IFERROR(
            VLOOKUP($A86, INDIRECT("MayR!$A$6:$ZZ$1048576"), MATCH(AR$1, MayR!$6:$6, 0), FALSE),
            0
        ) +
        IFERROR(
            VLOOKUP($A86, INDIRECT("JunR!$A$6:$ZZ$1048576"), MATCH(AR$1, JunR!$6:$6, 0), FALSE),
            0
        ) +
        IFERROR(
            VLOOKUP($A86, INDIRECT("JulR!$A$6:$ZZ$1048576"), MATCH(AR$1, JulR!$6:$6, 0), FALSE),
            0
        ) +
        IFERROR(
            VLOOKUP($A86, INDIRECT("AgoR!$A$6:$ZZ$1048576"), MATCH(AR$1, AgoR!$6:$6, 0), FALSE),
            0
        ) +
        IFERROR(
            VLOOKUP($A86, INDIRECT("SepR!$A$6:$ZZ$1048576"), MATCH(AR$1, SepR!$6:$6, 0), FALSE),
            0
        ) +
        IFERROR(
            VLOOKUP($A86, INDIRECT("OctR!$A$6:$ZZ$1048576"), MATCH(AR$1, OctR!$6:$6, 0), FALSE),
            0
        ) +
        IFERROR(
            VLOOKUP($A86, INDIRECT("NovR!$A$6:$ZZ$1048576"), MATCH(AR$1, NovR!$6:$6, 0), FALSE),
            0
        ) +
        IFERROR(
            VLOOKUP($A86, INDIRECT("DicR!$A$6:$ZZ$1048576"), MATCH(AR$1, DicR!$6:$6, 0), FALSE),
            0
        )
)</f>
        <v>0</v>
      </c>
      <c r="AS86" s="35">
        <f t="array" ref="AS86">SUM(
    IFERROR(
            VLOOKUP($A86, INDIRECT("EneR!$A$6:$ZZ$1048576"), MATCH(AS$1, EneR!$6:$6, 0), FALSE),
            0
        ) +
        IFERROR(
            VLOOKUP($A86, INDIRECT("FebR!$A$6:$ZZ$1048576"), MATCH(AS$1, FebR!$6:$6, 0), FALSE),
            0
        ) +
        IFERROR(
            VLOOKUP($A86, INDIRECT("MarR!$A$6:$ZZ$1048576"), MATCH(AS$1, MarR!$6:$6, 0), FALSE),
            0
        ) +
        IFERROR(
            VLOOKUP($A86, INDIRECT("AbrR!$A$6:$ZZ$1048576"), MATCH(AS$1, AbrR!$6:$6, 0), FALSE),
            0
        ) +
        IFERROR(
            VLOOKUP($A86, INDIRECT("MayR!$A$6:$ZZ$1048576"), MATCH(AS$1, MayR!$6:$6, 0), FALSE),
            0
        ) +
        IFERROR(
            VLOOKUP($A86, INDIRECT("JunR!$A$6:$ZZ$1048576"), MATCH(AS$1, JunR!$6:$6, 0), FALSE),
            0
        ) +
        IFERROR(
            VLOOKUP($A86, INDIRECT("JulR!$A$6:$ZZ$1048576"), MATCH(AS$1, JulR!$6:$6, 0), FALSE),
            0
        ) +
        IFERROR(
            VLOOKUP($A86, INDIRECT("AgoR!$A$6:$ZZ$1048576"), MATCH(AS$1, AgoR!$6:$6, 0), FALSE),
            0
        ) +
        IFERROR(
            VLOOKUP($A86, INDIRECT("SepR!$A$6:$ZZ$1048576"), MATCH(AS$1, SepR!$6:$6, 0), FALSE),
            0
        ) +
        IFERROR(
            VLOOKUP($A86, INDIRECT("OctR!$A$6:$ZZ$1048576"), MATCH(AS$1, OctR!$6:$6, 0), FALSE),
            0
        ) +
        IFERROR(
            VLOOKUP($A86, INDIRECT("NovR!$A$6:$ZZ$1048576"), MATCH(AS$1, NovR!$6:$6, 0), FALSE),
            0
        ) +
        IFERROR(
            VLOOKUP($A86, INDIRECT("DicR!$A$6:$ZZ$1048576"), MATCH(AS$1, DicR!$6:$6, 0), FALSE),
            0
        )
)</f>
        <v>0</v>
      </c>
      <c r="AT86" s="36">
        <f t="array" ref="AT86">SUM(
    IFERROR(
            VLOOKUP($A86, INDIRECT("EneR!$A$6:$ZZ$1048576"), MATCH(AT$1, EneR!$6:$6, 0), FALSE),
            0
        ) +
        IFERROR(
            VLOOKUP($A86, INDIRECT("FebR!$A$6:$ZZ$1048576"), MATCH(AT$1, FebR!$6:$6, 0), FALSE),
            0
        ) +
        IFERROR(
            VLOOKUP($A86, INDIRECT("MarR!$A$6:$ZZ$1048576"), MATCH(AT$1, MarR!$6:$6, 0), FALSE),
            0
        ) +
        IFERROR(
            VLOOKUP($A86, INDIRECT("AbrR!$A$6:$ZZ$1048576"), MATCH(AT$1, AbrR!$6:$6, 0), FALSE),
            0
        ) +
        IFERROR(
            VLOOKUP($A86, INDIRECT("MayR!$A$6:$ZZ$1048576"), MATCH(AT$1, MayR!$6:$6, 0), FALSE),
            0
        ) +
        IFERROR(
            VLOOKUP($A86, INDIRECT("JunR!$A$6:$ZZ$1048576"), MATCH(AT$1, JunR!$6:$6, 0), FALSE),
            0
        ) +
        IFERROR(
            VLOOKUP($A86, INDIRECT("JulR!$A$6:$ZZ$1048576"), MATCH(AT$1, JulR!$6:$6, 0), FALSE),
            0
        ) +
        IFERROR(
            VLOOKUP($A86, INDIRECT("AgoR!$A$6:$ZZ$1048576"), MATCH(AT$1, AgoR!$6:$6, 0), FALSE),
            0
        ) +
        IFERROR(
            VLOOKUP($A86, INDIRECT("SepR!$A$6:$ZZ$1048576"), MATCH(AT$1, SepR!$6:$6, 0), FALSE),
            0
        ) +
        IFERROR(
            VLOOKUP($A86, INDIRECT("OctR!$A$6:$ZZ$1048576"), MATCH(AT$1, OctR!$6:$6, 0), FALSE),
            0
        ) +
        IFERROR(
            VLOOKUP($A86, INDIRECT("NovR!$A$6:$ZZ$1048576"), MATCH(AT$1, NovR!$6:$6, 0), FALSE),
            0
        ) +
        IFERROR(
            VLOOKUP($A86, INDIRECT("DicR!$A$6:$ZZ$1048576"), MATCH(AT$1, DicR!$6:$6, 0), FALSE),
            0
        )
)</f>
        <v>0</v>
      </c>
      <c r="AU86" s="35">
        <f t="array" ref="AU86">SUM(
    IFERROR(
            VLOOKUP($A86, INDIRECT("EneR!$A$6:$ZZ$1048576"), MATCH(AU$1, EneR!$6:$6, 0), FALSE),
            0
        ) +
        IFERROR(
            VLOOKUP($A86, INDIRECT("FebR!$A$6:$ZZ$1048576"), MATCH(AU$1, FebR!$6:$6, 0), FALSE),
            0
        ) +
        IFERROR(
            VLOOKUP($A86, INDIRECT("MarR!$A$6:$ZZ$1048576"), MATCH(AU$1, MarR!$6:$6, 0), FALSE),
            0
        ) +
        IFERROR(
            VLOOKUP($A86, INDIRECT("AbrR!$A$6:$ZZ$1048576"), MATCH(AU$1, AbrR!$6:$6, 0), FALSE),
            0
        ) +
        IFERROR(
            VLOOKUP($A86, INDIRECT("MayR!$A$6:$ZZ$1048576"), MATCH(AU$1, MayR!$6:$6, 0), FALSE),
            0
        ) +
        IFERROR(
            VLOOKUP($A86, INDIRECT("JunR!$A$6:$ZZ$1048576"), MATCH(AU$1, JunR!$6:$6, 0), FALSE),
            0
        ) +
        IFERROR(
            VLOOKUP($A86, INDIRECT("JulR!$A$6:$ZZ$1048576"), MATCH(AU$1, JulR!$6:$6, 0), FALSE),
            0
        ) +
        IFERROR(
            VLOOKUP($A86, INDIRECT("AgoR!$A$6:$ZZ$1048576"), MATCH(AU$1, AgoR!$6:$6, 0), FALSE),
            0
        ) +
        IFERROR(
            VLOOKUP($A86, INDIRECT("SepR!$A$6:$ZZ$1048576"), MATCH(AU$1, SepR!$6:$6, 0), FALSE),
            0
        ) +
        IFERROR(
            VLOOKUP($A86, INDIRECT("OctR!$A$6:$ZZ$1048576"), MATCH(AU$1, OctR!$6:$6, 0), FALSE),
            0
        ) +
        IFERROR(
            VLOOKUP($A86, INDIRECT("NovR!$A$6:$ZZ$1048576"), MATCH(AU$1, NovR!$6:$6, 0), FALSE),
            0
        ) +
        IFERROR(
            VLOOKUP($A86, INDIRECT("DicR!$A$6:$ZZ$1048576"), MATCH(AU$1, DicR!$6:$6, 0), FALSE),
            0
        )
)</f>
        <v>0</v>
      </c>
      <c r="AV86" s="36">
        <f t="array" ref="AV86">SUM(
    IFERROR(
            VLOOKUP($A86, INDIRECT("EneR!$A$6:$ZZ$1048576"), MATCH(AV$1, EneR!$6:$6, 0), FALSE),
            0
        ) +
        IFERROR(
            VLOOKUP($A86, INDIRECT("FebR!$A$6:$ZZ$1048576"), MATCH(AV$1, FebR!$6:$6, 0), FALSE),
            0
        ) +
        IFERROR(
            VLOOKUP($A86, INDIRECT("MarR!$A$6:$ZZ$1048576"), MATCH(AV$1, MarR!$6:$6, 0), FALSE),
            0
        ) +
        IFERROR(
            VLOOKUP($A86, INDIRECT("AbrR!$A$6:$ZZ$1048576"), MATCH(AV$1, AbrR!$6:$6, 0), FALSE),
            0
        ) +
        IFERROR(
            VLOOKUP($A86, INDIRECT("MayR!$A$6:$ZZ$1048576"), MATCH(AV$1, MayR!$6:$6, 0), FALSE),
            0
        ) +
        IFERROR(
            VLOOKUP($A86, INDIRECT("JunR!$A$6:$ZZ$1048576"), MATCH(AV$1, JunR!$6:$6, 0), FALSE),
            0
        ) +
        IFERROR(
            VLOOKUP($A86, INDIRECT("JulR!$A$6:$ZZ$1048576"), MATCH(AV$1, JulR!$6:$6, 0), FALSE),
            0
        ) +
        IFERROR(
            VLOOKUP($A86, INDIRECT("AgoR!$A$6:$ZZ$1048576"), MATCH(AV$1, AgoR!$6:$6, 0), FALSE),
            0
        ) +
        IFERROR(
            VLOOKUP($A86, INDIRECT("SepR!$A$6:$ZZ$1048576"), MATCH(AV$1, SepR!$6:$6, 0), FALSE),
            0
        ) +
        IFERROR(
            VLOOKUP($A86, INDIRECT("OctR!$A$6:$ZZ$1048576"), MATCH(AV$1, OctR!$6:$6, 0), FALSE),
            0
        ) +
        IFERROR(
            VLOOKUP($A86, INDIRECT("NovR!$A$6:$ZZ$1048576"), MATCH(AV$1, NovR!$6:$6, 0), FALSE),
            0
        ) +
        IFERROR(
            VLOOKUP($A86, INDIRECT("DicR!$A$6:$ZZ$1048576"), MATCH(AV$1, DicR!$6:$6, 0), FALSE),
            0
        )
)</f>
        <v>0</v>
      </c>
      <c r="AW86" s="35">
        <f t="array" ref="AW86">SUM(
    IFERROR(
            VLOOKUP($A86, INDIRECT("EneR!$A$6:$ZZ$1048576"), MATCH(AW$1, EneR!$6:$6, 0), FALSE),
            0
        ) +
        IFERROR(
            VLOOKUP($A86, INDIRECT("FebR!$A$6:$ZZ$1048576"), MATCH(AW$1, FebR!$6:$6, 0), FALSE),
            0
        ) +
        IFERROR(
            VLOOKUP($A86, INDIRECT("MarR!$A$6:$ZZ$1048576"), MATCH(AW$1, MarR!$6:$6, 0), FALSE),
            0
        ) +
        IFERROR(
            VLOOKUP($A86, INDIRECT("AbrR!$A$6:$ZZ$1048576"), MATCH(AW$1, AbrR!$6:$6, 0), FALSE),
            0
        ) +
        IFERROR(
            VLOOKUP($A86, INDIRECT("MayR!$A$6:$ZZ$1048576"), MATCH(AW$1, MayR!$6:$6, 0), FALSE),
            0
        ) +
        IFERROR(
            VLOOKUP($A86, INDIRECT("JunR!$A$6:$ZZ$1048576"), MATCH(AW$1, JunR!$6:$6, 0), FALSE),
            0
        ) +
        IFERROR(
            VLOOKUP($A86, INDIRECT("JulR!$A$6:$ZZ$1048576"), MATCH(AW$1, JulR!$6:$6, 0), FALSE),
            0
        ) +
        IFERROR(
            VLOOKUP($A86, INDIRECT("AgoR!$A$6:$ZZ$1048576"), MATCH(AW$1, AgoR!$6:$6, 0), FALSE),
            0
        ) +
        IFERROR(
            VLOOKUP($A86, INDIRECT("SepR!$A$6:$ZZ$1048576"), MATCH(AW$1, SepR!$6:$6, 0), FALSE),
            0
        ) +
        IFERROR(
            VLOOKUP($A86, INDIRECT("OctR!$A$6:$ZZ$1048576"), MATCH(AW$1, OctR!$6:$6, 0), FALSE),
            0
        ) +
        IFERROR(
            VLOOKUP($A86, INDIRECT("NovR!$A$6:$ZZ$1048576"), MATCH(AW$1, NovR!$6:$6, 0), FALSE),
            0
        ) +
        IFERROR(
            VLOOKUP($A86, INDIRECT("DicR!$A$6:$ZZ$1048576"), MATCH(AW$1, DicR!$6:$6, 0), FALSE),
            0
        )
)</f>
        <v>0</v>
      </c>
      <c r="AX86" s="36">
        <f t="array" ref="AX86">SUM(
    IFERROR(
            VLOOKUP($A86, INDIRECT("EneR!$A$6:$ZZ$1048576"), MATCH(AX$1, EneR!$6:$6, 0), FALSE),
            0
        ) +
        IFERROR(
            VLOOKUP($A86, INDIRECT("FebR!$A$6:$ZZ$1048576"), MATCH(AX$1, FebR!$6:$6, 0), FALSE),
            0
        ) +
        IFERROR(
            VLOOKUP($A86, INDIRECT("MarR!$A$6:$ZZ$1048576"), MATCH(AX$1, MarR!$6:$6, 0), FALSE),
            0
        ) +
        IFERROR(
            VLOOKUP($A86, INDIRECT("AbrR!$A$6:$ZZ$1048576"), MATCH(AX$1, AbrR!$6:$6, 0), FALSE),
            0
        ) +
        IFERROR(
            VLOOKUP($A86, INDIRECT("MayR!$A$6:$ZZ$1048576"), MATCH(AX$1, MayR!$6:$6, 0), FALSE),
            0
        ) +
        IFERROR(
            VLOOKUP($A86, INDIRECT("JunR!$A$6:$ZZ$1048576"), MATCH(AX$1, JunR!$6:$6, 0), FALSE),
            0
        ) +
        IFERROR(
            VLOOKUP($A86, INDIRECT("JulR!$A$6:$ZZ$1048576"), MATCH(AX$1, JulR!$6:$6, 0), FALSE),
            0
        ) +
        IFERROR(
            VLOOKUP($A86, INDIRECT("AgoR!$A$6:$ZZ$1048576"), MATCH(AX$1, AgoR!$6:$6, 0), FALSE),
            0
        ) +
        IFERROR(
            VLOOKUP($A86, INDIRECT("SepR!$A$6:$ZZ$1048576"), MATCH(AX$1, SepR!$6:$6, 0), FALSE),
            0
        ) +
        IFERROR(
            VLOOKUP($A86, INDIRECT("OctR!$A$6:$ZZ$1048576"), MATCH(AX$1, OctR!$6:$6, 0), FALSE),
            0
        ) +
        IFERROR(
            VLOOKUP($A86, INDIRECT("NovR!$A$6:$ZZ$1048576"), MATCH(AX$1, NovR!$6:$6, 0), FALSE),
            0
        ) +
        IFERROR(
            VLOOKUP($A86, INDIRECT("DicR!$A$6:$ZZ$1048576"), MATCH(AX$1, DicR!$6:$6, 0), FALSE),
            0
        )
)</f>
        <v>0</v>
      </c>
      <c r="AY86" s="35">
        <f t="array" ref="AY86">SUM(
    IFERROR(
            VLOOKUP($A86, INDIRECT("EneR!$A$6:$ZZ$1048576"), MATCH(AY$1, EneR!$6:$6, 0), FALSE),
            0
        ) +
        IFERROR(
            VLOOKUP($A86, INDIRECT("FebR!$A$6:$ZZ$1048576"), MATCH(AY$1, FebR!$6:$6, 0), FALSE),
            0
        ) +
        IFERROR(
            VLOOKUP($A86, INDIRECT("MarR!$A$6:$ZZ$1048576"), MATCH(AY$1, MarR!$6:$6, 0), FALSE),
            0
        ) +
        IFERROR(
            VLOOKUP($A86, INDIRECT("AbrR!$A$6:$ZZ$1048576"), MATCH(AY$1, AbrR!$6:$6, 0), FALSE),
            0
        ) +
        IFERROR(
            VLOOKUP($A86, INDIRECT("MayR!$A$6:$ZZ$1048576"), MATCH(AY$1, MayR!$6:$6, 0), FALSE),
            0
        ) +
        IFERROR(
            VLOOKUP($A86, INDIRECT("JunR!$A$6:$ZZ$1048576"), MATCH(AY$1, JunR!$6:$6, 0), FALSE),
            0
        ) +
        IFERROR(
            VLOOKUP($A86, INDIRECT("JulR!$A$6:$ZZ$1048576"), MATCH(AY$1, JulR!$6:$6, 0), FALSE),
            0
        ) +
        IFERROR(
            VLOOKUP($A86, INDIRECT("AgoR!$A$6:$ZZ$1048576"), MATCH(AY$1, AgoR!$6:$6, 0), FALSE),
            0
        ) +
        IFERROR(
            VLOOKUP($A86, INDIRECT("SepR!$A$6:$ZZ$1048576"), MATCH(AY$1, SepR!$6:$6, 0), FALSE),
            0
        ) +
        IFERROR(
            VLOOKUP($A86, INDIRECT("OctR!$A$6:$ZZ$1048576"), MATCH(AY$1, OctR!$6:$6, 0), FALSE),
            0
        ) +
        IFERROR(
            VLOOKUP($A86, INDIRECT("NovR!$A$6:$ZZ$1048576"), MATCH(AY$1, NovR!$6:$6, 0), FALSE),
            0
        ) +
        IFERROR(
            VLOOKUP($A86, INDIRECT("DicR!$A$6:$ZZ$1048576"), MATCH(AY$1, DicR!$6:$6, 0), FALSE),
            0
        )
)</f>
        <v>0</v>
      </c>
      <c r="AZ86" s="35"/>
    </row>
    <row r="87" ht="15.75" hidden="1" customHeight="1">
      <c r="A87" s="12" t="str">
        <f>Menus!B48</f>
        <v/>
      </c>
      <c r="B87" s="32">
        <f t="shared" si="11"/>
        <v>0</v>
      </c>
      <c r="C87" s="33" t="str">
        <f t="shared" si="10"/>
        <v/>
      </c>
      <c r="D87" s="34">
        <f t="array" ref="D87">SUM(
    IFERROR(
            VLOOKUP($A87, INDIRECT("EneR!$A$6:$ZZ$1048576"), MATCH(D$1, EneR!$6:$6, 0), FALSE),
            0
        ) +
        IFERROR(
            VLOOKUP($A87, INDIRECT("FebR!$A$6:$ZZ$1048576"), MATCH(D$1, FebR!$6:$6, 0), FALSE),
            0
        ) +
        IFERROR(
            VLOOKUP($A87, INDIRECT("MarR!$A$6:$ZZ$1048576"), MATCH(D$1, MarR!$6:$6, 0), FALSE),
            0
        ) +
        IFERROR(
            VLOOKUP($A87, INDIRECT("AbrR!$A$6:$ZZ$1048576"), MATCH(D$1, AbrR!$6:$6, 0), FALSE),
            0
        ) +
        IFERROR(
            VLOOKUP($A87, INDIRECT("MayR!$A$6:$ZZ$1048576"), MATCH(D$1, MayR!$6:$6, 0), FALSE),
            0
        ) +
        IFERROR(
            VLOOKUP($A87, INDIRECT("JunR!$A$6:$ZZ$1048576"), MATCH(D$1, JunR!$6:$6, 0), FALSE),
            0
        ) +
        IFERROR(
            VLOOKUP($A87, INDIRECT("JulR!$A$6:$ZZ$1048576"), MATCH(D$1, JulR!$6:$6, 0), FALSE),
            0
        ) +
        IFERROR(
            VLOOKUP($A87, INDIRECT("AgoR!$A$6:$ZZ$1048576"), MATCH(D$1, AgoR!$6:$6, 0), FALSE),
            0
        ) +
        IFERROR(
            VLOOKUP($A87, INDIRECT("SepR!$A$6:$ZZ$1048576"), MATCH(D$1, SepR!$6:$6, 0), FALSE),
            0
        ) +
        IFERROR(
            VLOOKUP($A87, INDIRECT("OctR!$A$6:$ZZ$1048576"), MATCH(D$1, OctR!$6:$6, 0), FALSE),
            0
        ) +
        IFERROR(
            VLOOKUP($A87, INDIRECT("NovR!$A$6:$ZZ$1048576"), MATCH(D$1, NovR!$6:$6, 0), FALSE),
            0
        ) +
        IFERROR(
            VLOOKUP($A87, INDIRECT("DicR!$A$6:$ZZ$1048576"), MATCH(D$1, DicR!$6:$6, 0), FALSE),
            0
        )
)</f>
        <v>0</v>
      </c>
      <c r="E87" s="35">
        <f t="array" ref="E87">SUM(
    IFERROR(
            VLOOKUP($A87, INDIRECT("EneR!$A$6:$ZZ$1048576"), MATCH(E$1, EneR!$6:$6, 0), FALSE),
            0
        ) +
        IFERROR(
            VLOOKUP($A87, INDIRECT("FebR!$A$6:$ZZ$1048576"), MATCH(E$1, FebR!$6:$6, 0), FALSE),
            0
        ) +
        IFERROR(
            VLOOKUP($A87, INDIRECT("MarR!$A$6:$ZZ$1048576"), MATCH(E$1, MarR!$6:$6, 0), FALSE),
            0
        ) +
        IFERROR(
            VLOOKUP($A87, INDIRECT("AbrR!$A$6:$ZZ$1048576"), MATCH(E$1, AbrR!$6:$6, 0), FALSE),
            0
        ) +
        IFERROR(
            VLOOKUP($A87, INDIRECT("MayR!$A$6:$ZZ$1048576"), MATCH(E$1, MayR!$6:$6, 0), FALSE),
            0
        ) +
        IFERROR(
            VLOOKUP($A87, INDIRECT("JunR!$A$6:$ZZ$1048576"), MATCH(E$1, JunR!$6:$6, 0), FALSE),
            0
        ) +
        IFERROR(
            VLOOKUP($A87, INDIRECT("JulR!$A$6:$ZZ$1048576"), MATCH(E$1, JulR!$6:$6, 0), FALSE),
            0
        ) +
        IFERROR(
            VLOOKUP($A87, INDIRECT("AgoR!$A$6:$ZZ$1048576"), MATCH(E$1, AgoR!$6:$6, 0), FALSE),
            0
        ) +
        IFERROR(
            VLOOKUP($A87, INDIRECT("SepR!$A$6:$ZZ$1048576"), MATCH(E$1, SepR!$6:$6, 0), FALSE),
            0
        ) +
        IFERROR(
            VLOOKUP($A87, INDIRECT("OctR!$A$6:$ZZ$1048576"), MATCH(E$1, OctR!$6:$6, 0), FALSE),
            0
        ) +
        IFERROR(
            VLOOKUP($A87, INDIRECT("NovR!$A$6:$ZZ$1048576"), MATCH(E$1, NovR!$6:$6, 0), FALSE),
            0
        ) +
        IFERROR(
            VLOOKUP($A87, INDIRECT("DicR!$A$6:$ZZ$1048576"), MATCH(E$1, DicR!$6:$6, 0), FALSE),
            0
        )
)</f>
        <v>0</v>
      </c>
      <c r="F87" s="32">
        <f t="array" ref="F87">SUM(
    IFERROR(
            VLOOKUP($A87, INDIRECT("EneR!$A$6:$ZZ$1048576"), MATCH(F$1, EneR!$6:$6, 0), FALSE),
            0
        ) +
        IFERROR(
            VLOOKUP($A87, INDIRECT("FebR!$A$6:$ZZ$1048576"), MATCH(F$1, FebR!$6:$6, 0), FALSE),
            0
        ) +
        IFERROR(
            VLOOKUP($A87, INDIRECT("MarR!$A$6:$ZZ$1048576"), MATCH(F$1, MarR!$6:$6, 0), FALSE),
            0
        ) +
        IFERROR(
            VLOOKUP($A87, INDIRECT("AbrR!$A$6:$ZZ$1048576"), MATCH(F$1, AbrR!$6:$6, 0), FALSE),
            0
        ) +
        IFERROR(
            VLOOKUP($A87, INDIRECT("MayR!$A$6:$ZZ$1048576"), MATCH(F$1, MayR!$6:$6, 0), FALSE),
            0
        ) +
        IFERROR(
            VLOOKUP($A87, INDIRECT("JunR!$A$6:$ZZ$1048576"), MATCH(F$1, JunR!$6:$6, 0), FALSE),
            0
        ) +
        IFERROR(
            VLOOKUP($A87, INDIRECT("JulR!$A$6:$ZZ$1048576"), MATCH(F$1, JulR!$6:$6, 0), FALSE),
            0
        ) +
        IFERROR(
            VLOOKUP($A87, INDIRECT("AgoR!$A$6:$ZZ$1048576"), MATCH(F$1, AgoR!$6:$6, 0), FALSE),
            0
        ) +
        IFERROR(
            VLOOKUP($A87, INDIRECT("SepR!$A$6:$ZZ$1048576"), MATCH(F$1, SepR!$6:$6, 0), FALSE),
            0
        ) +
        IFERROR(
            VLOOKUP($A87, INDIRECT("OctR!$A$6:$ZZ$1048576"), MATCH(F$1, OctR!$6:$6, 0), FALSE),
            0
        ) +
        IFERROR(
            VLOOKUP($A87, INDIRECT("NovR!$A$6:$ZZ$1048576"), MATCH(F$1, NovR!$6:$6, 0), FALSE),
            0
        ) +
        IFERROR(
            VLOOKUP($A87, INDIRECT("DicR!$A$6:$ZZ$1048576"), MATCH(F$1, DicR!$6:$6, 0), FALSE),
            0
        )
)</f>
        <v>0</v>
      </c>
      <c r="G87" s="35">
        <f t="array" ref="G87">SUM(
    IFERROR(
            VLOOKUP($A87, INDIRECT("EneR!$A$6:$ZZ$1048576"), MATCH(G$1, EneR!$6:$6, 0), FALSE),
            0
        ) +
        IFERROR(
            VLOOKUP($A87, INDIRECT("FebR!$A$6:$ZZ$1048576"), MATCH(G$1, FebR!$6:$6, 0), FALSE),
            0
        ) +
        IFERROR(
            VLOOKUP($A87, INDIRECT("MarR!$A$6:$ZZ$1048576"), MATCH(G$1, MarR!$6:$6, 0), FALSE),
            0
        ) +
        IFERROR(
            VLOOKUP($A87, INDIRECT("AbrR!$A$6:$ZZ$1048576"), MATCH(G$1, AbrR!$6:$6, 0), FALSE),
            0
        ) +
        IFERROR(
            VLOOKUP($A87, INDIRECT("MayR!$A$6:$ZZ$1048576"), MATCH(G$1, MayR!$6:$6, 0), FALSE),
            0
        ) +
        IFERROR(
            VLOOKUP($A87, INDIRECT("JunR!$A$6:$ZZ$1048576"), MATCH(G$1, JunR!$6:$6, 0), FALSE),
            0
        ) +
        IFERROR(
            VLOOKUP($A87, INDIRECT("JulR!$A$6:$ZZ$1048576"), MATCH(G$1, JulR!$6:$6, 0), FALSE),
            0
        ) +
        IFERROR(
            VLOOKUP($A87, INDIRECT("AgoR!$A$6:$ZZ$1048576"), MATCH(G$1, AgoR!$6:$6, 0), FALSE),
            0
        ) +
        IFERROR(
            VLOOKUP($A87, INDIRECT("SepR!$A$6:$ZZ$1048576"), MATCH(G$1, SepR!$6:$6, 0), FALSE),
            0
        ) +
        IFERROR(
            VLOOKUP($A87, INDIRECT("OctR!$A$6:$ZZ$1048576"), MATCH(G$1, OctR!$6:$6, 0), FALSE),
            0
        ) +
        IFERROR(
            VLOOKUP($A87, INDIRECT("NovR!$A$6:$ZZ$1048576"), MATCH(G$1, NovR!$6:$6, 0), FALSE),
            0
        ) +
        IFERROR(
            VLOOKUP($A87, INDIRECT("DicR!$A$6:$ZZ$1048576"), MATCH(G$1, DicR!$6:$6, 0), FALSE),
            0
        )
)</f>
        <v>0</v>
      </c>
      <c r="H87" s="32">
        <f t="array" ref="H87">SUM(
    IFERROR(
            VLOOKUP($A87, INDIRECT("EneR!$A$6:$ZZ$1048576"), MATCH(H$1, EneR!$6:$6, 0), FALSE),
            0
        ) +
        IFERROR(
            VLOOKUP($A87, INDIRECT("FebR!$A$6:$ZZ$1048576"), MATCH(H$1, FebR!$6:$6, 0), FALSE),
            0
        ) +
        IFERROR(
            VLOOKUP($A87, INDIRECT("MarR!$A$6:$ZZ$1048576"), MATCH(H$1, MarR!$6:$6, 0), FALSE),
            0
        ) +
        IFERROR(
            VLOOKUP($A87, INDIRECT("AbrR!$A$6:$ZZ$1048576"), MATCH(H$1, AbrR!$6:$6, 0), FALSE),
            0
        ) +
        IFERROR(
            VLOOKUP($A87, INDIRECT("MayR!$A$6:$ZZ$1048576"), MATCH(H$1, MayR!$6:$6, 0), FALSE),
            0
        ) +
        IFERROR(
            VLOOKUP($A87, INDIRECT("JunR!$A$6:$ZZ$1048576"), MATCH(H$1, JunR!$6:$6, 0), FALSE),
            0
        ) +
        IFERROR(
            VLOOKUP($A87, INDIRECT("JulR!$A$6:$ZZ$1048576"), MATCH(H$1, JulR!$6:$6, 0), FALSE),
            0
        ) +
        IFERROR(
            VLOOKUP($A87, INDIRECT("AgoR!$A$6:$ZZ$1048576"), MATCH(H$1, AgoR!$6:$6, 0), FALSE),
            0
        ) +
        IFERROR(
            VLOOKUP($A87, INDIRECT("SepR!$A$6:$ZZ$1048576"), MATCH(H$1, SepR!$6:$6, 0), FALSE),
            0
        ) +
        IFERROR(
            VLOOKUP($A87, INDIRECT("OctR!$A$6:$ZZ$1048576"), MATCH(H$1, OctR!$6:$6, 0), FALSE),
            0
        ) +
        IFERROR(
            VLOOKUP($A87, INDIRECT("NovR!$A$6:$ZZ$1048576"), MATCH(H$1, NovR!$6:$6, 0), FALSE),
            0
        ) +
        IFERROR(
            VLOOKUP($A87, INDIRECT("DicR!$A$6:$ZZ$1048576"), MATCH(H$1, DicR!$6:$6, 0), FALSE),
            0
        )
)</f>
        <v>0</v>
      </c>
      <c r="I87" s="35">
        <f t="array" ref="I87">SUM(
    IFERROR(
            VLOOKUP($A87, INDIRECT("EneR!$A$6:$ZZ$1048576"), MATCH(I$1, EneR!$6:$6, 0), FALSE),
            0
        ) +
        IFERROR(
            VLOOKUP($A87, INDIRECT("FebR!$A$6:$ZZ$1048576"), MATCH(I$1, FebR!$6:$6, 0), FALSE),
            0
        ) +
        IFERROR(
            VLOOKUP($A87, INDIRECT("MarR!$A$6:$ZZ$1048576"), MATCH(I$1, MarR!$6:$6, 0), FALSE),
            0
        ) +
        IFERROR(
            VLOOKUP($A87, INDIRECT("AbrR!$A$6:$ZZ$1048576"), MATCH(I$1, AbrR!$6:$6, 0), FALSE),
            0
        ) +
        IFERROR(
            VLOOKUP($A87, INDIRECT("MayR!$A$6:$ZZ$1048576"), MATCH(I$1, MayR!$6:$6, 0), FALSE),
            0
        ) +
        IFERROR(
            VLOOKUP($A87, INDIRECT("JunR!$A$6:$ZZ$1048576"), MATCH(I$1, JunR!$6:$6, 0), FALSE),
            0
        ) +
        IFERROR(
            VLOOKUP($A87, INDIRECT("JulR!$A$6:$ZZ$1048576"), MATCH(I$1, JulR!$6:$6, 0), FALSE),
            0
        ) +
        IFERROR(
            VLOOKUP($A87, INDIRECT("AgoR!$A$6:$ZZ$1048576"), MATCH(I$1, AgoR!$6:$6, 0), FALSE),
            0
        ) +
        IFERROR(
            VLOOKUP($A87, INDIRECT("SepR!$A$6:$ZZ$1048576"), MATCH(I$1, SepR!$6:$6, 0), FALSE),
            0
        ) +
        IFERROR(
            VLOOKUP($A87, INDIRECT("OctR!$A$6:$ZZ$1048576"), MATCH(I$1, OctR!$6:$6, 0), FALSE),
            0
        ) +
        IFERROR(
            VLOOKUP($A87, INDIRECT("NovR!$A$6:$ZZ$1048576"), MATCH(I$1, NovR!$6:$6, 0), FALSE),
            0
        ) +
        IFERROR(
            VLOOKUP($A87, INDIRECT("DicR!$A$6:$ZZ$1048576"), MATCH(I$1, DicR!$6:$6, 0), FALSE),
            0
        )
)</f>
        <v>0</v>
      </c>
      <c r="J87" s="32">
        <f t="array" ref="J87">SUM(
    IFERROR(
            VLOOKUP($A87, INDIRECT("EneR!$A$6:$ZZ$1048576"), MATCH(J$1, EneR!$6:$6, 0), FALSE),
            0
        ) +
        IFERROR(
            VLOOKUP($A87, INDIRECT("FebR!$A$6:$ZZ$1048576"), MATCH(J$1, FebR!$6:$6, 0), FALSE),
            0
        ) +
        IFERROR(
            VLOOKUP($A87, INDIRECT("MarR!$A$6:$ZZ$1048576"), MATCH(J$1, MarR!$6:$6, 0), FALSE),
            0
        ) +
        IFERROR(
            VLOOKUP($A87, INDIRECT("AbrR!$A$6:$ZZ$1048576"), MATCH(J$1, AbrR!$6:$6, 0), FALSE),
            0
        ) +
        IFERROR(
            VLOOKUP($A87, INDIRECT("MayR!$A$6:$ZZ$1048576"), MATCH(J$1, MayR!$6:$6, 0), FALSE),
            0
        ) +
        IFERROR(
            VLOOKUP($A87, INDIRECT("JunR!$A$6:$ZZ$1048576"), MATCH(J$1, JunR!$6:$6, 0), FALSE),
            0
        ) +
        IFERROR(
            VLOOKUP($A87, INDIRECT("JulR!$A$6:$ZZ$1048576"), MATCH(J$1, JulR!$6:$6, 0), FALSE),
            0
        ) +
        IFERROR(
            VLOOKUP($A87, INDIRECT("AgoR!$A$6:$ZZ$1048576"), MATCH(J$1, AgoR!$6:$6, 0), FALSE),
            0
        ) +
        IFERROR(
            VLOOKUP($A87, INDIRECT("SepR!$A$6:$ZZ$1048576"), MATCH(J$1, SepR!$6:$6, 0), FALSE),
            0
        ) +
        IFERROR(
            VLOOKUP($A87, INDIRECT("OctR!$A$6:$ZZ$1048576"), MATCH(J$1, OctR!$6:$6, 0), FALSE),
            0
        ) +
        IFERROR(
            VLOOKUP($A87, INDIRECT("NovR!$A$6:$ZZ$1048576"), MATCH(J$1, NovR!$6:$6, 0), FALSE),
            0
        ) +
        IFERROR(
            VLOOKUP($A87, INDIRECT("DicR!$A$6:$ZZ$1048576"), MATCH(J$1, DicR!$6:$6, 0), FALSE),
            0
        )
)</f>
        <v>0</v>
      </c>
      <c r="K87" s="35">
        <f t="array" ref="K87">SUM(
    IFERROR(
            VLOOKUP($A87, INDIRECT("EneR!$A$6:$ZZ$1048576"), MATCH(K$1, EneR!$6:$6, 0), FALSE),
            0
        ) +
        IFERROR(
            VLOOKUP($A87, INDIRECT("FebR!$A$6:$ZZ$1048576"), MATCH(K$1, FebR!$6:$6, 0), FALSE),
            0
        ) +
        IFERROR(
            VLOOKUP($A87, INDIRECT("MarR!$A$6:$ZZ$1048576"), MATCH(K$1, MarR!$6:$6, 0), FALSE),
            0
        ) +
        IFERROR(
            VLOOKUP($A87, INDIRECT("AbrR!$A$6:$ZZ$1048576"), MATCH(K$1, AbrR!$6:$6, 0), FALSE),
            0
        ) +
        IFERROR(
            VLOOKUP($A87, INDIRECT("MayR!$A$6:$ZZ$1048576"), MATCH(K$1, MayR!$6:$6, 0), FALSE),
            0
        ) +
        IFERROR(
            VLOOKUP($A87, INDIRECT("JunR!$A$6:$ZZ$1048576"), MATCH(K$1, JunR!$6:$6, 0), FALSE),
            0
        ) +
        IFERROR(
            VLOOKUP($A87, INDIRECT("JulR!$A$6:$ZZ$1048576"), MATCH(K$1, JulR!$6:$6, 0), FALSE),
            0
        ) +
        IFERROR(
            VLOOKUP($A87, INDIRECT("AgoR!$A$6:$ZZ$1048576"), MATCH(K$1, AgoR!$6:$6, 0), FALSE),
            0
        ) +
        IFERROR(
            VLOOKUP($A87, INDIRECT("SepR!$A$6:$ZZ$1048576"), MATCH(K$1, SepR!$6:$6, 0), FALSE),
            0
        ) +
        IFERROR(
            VLOOKUP($A87, INDIRECT("OctR!$A$6:$ZZ$1048576"), MATCH(K$1, OctR!$6:$6, 0), FALSE),
            0
        ) +
        IFERROR(
            VLOOKUP($A87, INDIRECT("NovR!$A$6:$ZZ$1048576"), MATCH(K$1, NovR!$6:$6, 0), FALSE),
            0
        ) +
        IFERROR(
            VLOOKUP($A87, INDIRECT("DicR!$A$6:$ZZ$1048576"), MATCH(K$1, DicR!$6:$6, 0), FALSE),
            0
        )
)</f>
        <v>0</v>
      </c>
      <c r="L87" s="32">
        <f t="array" ref="L87">SUM(
    IFERROR(
            VLOOKUP($A87, INDIRECT("EneR!$A$6:$ZZ$1048576"), MATCH(L$1, EneR!$6:$6, 0), FALSE),
            0
        ) +
        IFERROR(
            VLOOKUP($A87, INDIRECT("FebR!$A$6:$ZZ$1048576"), MATCH(L$1, FebR!$6:$6, 0), FALSE),
            0
        ) +
        IFERROR(
            VLOOKUP($A87, INDIRECT("MarR!$A$6:$ZZ$1048576"), MATCH(L$1, MarR!$6:$6, 0), FALSE),
            0
        ) +
        IFERROR(
            VLOOKUP($A87, INDIRECT("AbrR!$A$6:$ZZ$1048576"), MATCH(L$1, AbrR!$6:$6, 0), FALSE),
            0
        ) +
        IFERROR(
            VLOOKUP($A87, INDIRECT("MayR!$A$6:$ZZ$1048576"), MATCH(L$1, MayR!$6:$6, 0), FALSE),
            0
        ) +
        IFERROR(
            VLOOKUP($A87, INDIRECT("JunR!$A$6:$ZZ$1048576"), MATCH(L$1, JunR!$6:$6, 0), FALSE),
            0
        ) +
        IFERROR(
            VLOOKUP($A87, INDIRECT("JulR!$A$6:$ZZ$1048576"), MATCH(L$1, JulR!$6:$6, 0), FALSE),
            0
        ) +
        IFERROR(
            VLOOKUP($A87, INDIRECT("AgoR!$A$6:$ZZ$1048576"), MATCH(L$1, AgoR!$6:$6, 0), FALSE),
            0
        ) +
        IFERROR(
            VLOOKUP($A87, INDIRECT("SepR!$A$6:$ZZ$1048576"), MATCH(L$1, SepR!$6:$6, 0), FALSE),
            0
        ) +
        IFERROR(
            VLOOKUP($A87, INDIRECT("OctR!$A$6:$ZZ$1048576"), MATCH(L$1, OctR!$6:$6, 0), FALSE),
            0
        ) +
        IFERROR(
            VLOOKUP($A87, INDIRECT("NovR!$A$6:$ZZ$1048576"), MATCH(L$1, NovR!$6:$6, 0), FALSE),
            0
        ) +
        IFERROR(
            VLOOKUP($A87, INDIRECT("DicR!$A$6:$ZZ$1048576"), MATCH(L$1, DicR!$6:$6, 0), FALSE),
            0
        )
)</f>
        <v>0</v>
      </c>
      <c r="M87" s="35">
        <f t="array" ref="M87">SUM(
    IFERROR(
            VLOOKUP($A87, INDIRECT("EneR!$A$6:$ZZ$1048576"), MATCH(M$1, EneR!$6:$6, 0), FALSE),
            0
        ) +
        IFERROR(
            VLOOKUP($A87, INDIRECT("FebR!$A$6:$ZZ$1048576"), MATCH(M$1, FebR!$6:$6, 0), FALSE),
            0
        ) +
        IFERROR(
            VLOOKUP($A87, INDIRECT("MarR!$A$6:$ZZ$1048576"), MATCH(M$1, MarR!$6:$6, 0), FALSE),
            0
        ) +
        IFERROR(
            VLOOKUP($A87, INDIRECT("AbrR!$A$6:$ZZ$1048576"), MATCH(M$1, AbrR!$6:$6, 0), FALSE),
            0
        ) +
        IFERROR(
            VLOOKUP($A87, INDIRECT("MayR!$A$6:$ZZ$1048576"), MATCH(M$1, MayR!$6:$6, 0), FALSE),
            0
        ) +
        IFERROR(
            VLOOKUP($A87, INDIRECT("JunR!$A$6:$ZZ$1048576"), MATCH(M$1, JunR!$6:$6, 0), FALSE),
            0
        ) +
        IFERROR(
            VLOOKUP($A87, INDIRECT("JulR!$A$6:$ZZ$1048576"), MATCH(M$1, JulR!$6:$6, 0), FALSE),
            0
        ) +
        IFERROR(
            VLOOKUP($A87, INDIRECT("AgoR!$A$6:$ZZ$1048576"), MATCH(M$1, AgoR!$6:$6, 0), FALSE),
            0
        ) +
        IFERROR(
            VLOOKUP($A87, INDIRECT("SepR!$A$6:$ZZ$1048576"), MATCH(M$1, SepR!$6:$6, 0), FALSE),
            0
        ) +
        IFERROR(
            VLOOKUP($A87, INDIRECT("OctR!$A$6:$ZZ$1048576"), MATCH(M$1, OctR!$6:$6, 0), FALSE),
            0
        ) +
        IFERROR(
            VLOOKUP($A87, INDIRECT("NovR!$A$6:$ZZ$1048576"), MATCH(M$1, NovR!$6:$6, 0), FALSE),
            0
        ) +
        IFERROR(
            VLOOKUP($A87, INDIRECT("DicR!$A$6:$ZZ$1048576"), MATCH(M$1, DicR!$6:$6, 0), FALSE),
            0
        )
)</f>
        <v>0</v>
      </c>
      <c r="N87" s="32">
        <f t="array" ref="N87">SUM(
    IFERROR(
            VLOOKUP($A87, INDIRECT("EneR!$A$6:$ZZ$1048576"), MATCH(N$1, EneR!$6:$6, 0), FALSE),
            0
        ) +
        IFERROR(
            VLOOKUP($A87, INDIRECT("FebR!$A$6:$ZZ$1048576"), MATCH(N$1, FebR!$6:$6, 0), FALSE),
            0
        ) +
        IFERROR(
            VLOOKUP($A87, INDIRECT("MarR!$A$6:$ZZ$1048576"), MATCH(N$1, MarR!$6:$6, 0), FALSE),
            0
        ) +
        IFERROR(
            VLOOKUP($A87, INDIRECT("AbrR!$A$6:$ZZ$1048576"), MATCH(N$1, AbrR!$6:$6, 0), FALSE),
            0
        ) +
        IFERROR(
            VLOOKUP($A87, INDIRECT("MayR!$A$6:$ZZ$1048576"), MATCH(N$1, MayR!$6:$6, 0), FALSE),
            0
        ) +
        IFERROR(
            VLOOKUP($A87, INDIRECT("JunR!$A$6:$ZZ$1048576"), MATCH(N$1, JunR!$6:$6, 0), FALSE),
            0
        ) +
        IFERROR(
            VLOOKUP($A87, INDIRECT("JulR!$A$6:$ZZ$1048576"), MATCH(N$1, JulR!$6:$6, 0), FALSE),
            0
        ) +
        IFERROR(
            VLOOKUP($A87, INDIRECT("AgoR!$A$6:$ZZ$1048576"), MATCH(N$1, AgoR!$6:$6, 0), FALSE),
            0
        ) +
        IFERROR(
            VLOOKUP($A87, INDIRECT("SepR!$A$6:$ZZ$1048576"), MATCH(N$1, SepR!$6:$6, 0), FALSE),
            0
        ) +
        IFERROR(
            VLOOKUP($A87, INDIRECT("OctR!$A$6:$ZZ$1048576"), MATCH(N$1, OctR!$6:$6, 0), FALSE),
            0
        ) +
        IFERROR(
            VLOOKUP($A87, INDIRECT("NovR!$A$6:$ZZ$1048576"), MATCH(N$1, NovR!$6:$6, 0), FALSE),
            0
        ) +
        IFERROR(
            VLOOKUP($A87, INDIRECT("DicR!$A$6:$ZZ$1048576"), MATCH(N$1, DicR!$6:$6, 0), FALSE),
            0
        )
)</f>
        <v>0</v>
      </c>
      <c r="O87" s="35">
        <f t="array" ref="O87">SUM(
    IFERROR(
            VLOOKUP($A87, INDIRECT("EneR!$A$6:$ZZ$1048576"), MATCH(O$1, EneR!$6:$6, 0), FALSE),
            0
        ) +
        IFERROR(
            VLOOKUP($A87, INDIRECT("FebR!$A$6:$ZZ$1048576"), MATCH(O$1, FebR!$6:$6, 0), FALSE),
            0
        ) +
        IFERROR(
            VLOOKUP($A87, INDIRECT("MarR!$A$6:$ZZ$1048576"), MATCH(O$1, MarR!$6:$6, 0), FALSE),
            0
        ) +
        IFERROR(
            VLOOKUP($A87, INDIRECT("AbrR!$A$6:$ZZ$1048576"), MATCH(O$1, AbrR!$6:$6, 0), FALSE),
            0
        ) +
        IFERROR(
            VLOOKUP($A87, INDIRECT("MayR!$A$6:$ZZ$1048576"), MATCH(O$1, MayR!$6:$6, 0), FALSE),
            0
        ) +
        IFERROR(
            VLOOKUP($A87, INDIRECT("JunR!$A$6:$ZZ$1048576"), MATCH(O$1, JunR!$6:$6, 0), FALSE),
            0
        ) +
        IFERROR(
            VLOOKUP($A87, INDIRECT("JulR!$A$6:$ZZ$1048576"), MATCH(O$1, JulR!$6:$6, 0), FALSE),
            0
        ) +
        IFERROR(
            VLOOKUP($A87, INDIRECT("AgoR!$A$6:$ZZ$1048576"), MATCH(O$1, AgoR!$6:$6, 0), FALSE),
            0
        ) +
        IFERROR(
            VLOOKUP($A87, INDIRECT("SepR!$A$6:$ZZ$1048576"), MATCH(O$1, SepR!$6:$6, 0), FALSE),
            0
        ) +
        IFERROR(
            VLOOKUP($A87, INDIRECT("OctR!$A$6:$ZZ$1048576"), MATCH(O$1, OctR!$6:$6, 0), FALSE),
            0
        ) +
        IFERROR(
            VLOOKUP($A87, INDIRECT("NovR!$A$6:$ZZ$1048576"), MATCH(O$1, NovR!$6:$6, 0), FALSE),
            0
        ) +
        IFERROR(
            VLOOKUP($A87, INDIRECT("DicR!$A$6:$ZZ$1048576"), MATCH(O$1, DicR!$6:$6, 0), FALSE),
            0
        )
)</f>
        <v>0</v>
      </c>
      <c r="P87" s="32">
        <f t="array" ref="P87">SUM(
    IFERROR(
            VLOOKUP($A87, INDIRECT("EneR!$A$6:$ZZ$1048576"), MATCH(P$1, EneR!$6:$6, 0), FALSE),
            0
        ) +
        IFERROR(
            VLOOKUP($A87, INDIRECT("FebR!$A$6:$ZZ$1048576"), MATCH(P$1, FebR!$6:$6, 0), FALSE),
            0
        ) +
        IFERROR(
            VLOOKUP($A87, INDIRECT("MarR!$A$6:$ZZ$1048576"), MATCH(P$1, MarR!$6:$6, 0), FALSE),
            0
        ) +
        IFERROR(
            VLOOKUP($A87, INDIRECT("AbrR!$A$6:$ZZ$1048576"), MATCH(P$1, AbrR!$6:$6, 0), FALSE),
            0
        ) +
        IFERROR(
            VLOOKUP($A87, INDIRECT("MayR!$A$6:$ZZ$1048576"), MATCH(P$1, MayR!$6:$6, 0), FALSE),
            0
        ) +
        IFERROR(
            VLOOKUP($A87, INDIRECT("JunR!$A$6:$ZZ$1048576"), MATCH(P$1, JunR!$6:$6, 0), FALSE),
            0
        ) +
        IFERROR(
            VLOOKUP($A87, INDIRECT("JulR!$A$6:$ZZ$1048576"), MATCH(P$1, JulR!$6:$6, 0), FALSE),
            0
        ) +
        IFERROR(
            VLOOKUP($A87, INDIRECT("AgoR!$A$6:$ZZ$1048576"), MATCH(P$1, AgoR!$6:$6, 0), FALSE),
            0
        ) +
        IFERROR(
            VLOOKUP($A87, INDIRECT("SepR!$A$6:$ZZ$1048576"), MATCH(P$1, SepR!$6:$6, 0), FALSE),
            0
        ) +
        IFERROR(
            VLOOKUP($A87, INDIRECT("OctR!$A$6:$ZZ$1048576"), MATCH(P$1, OctR!$6:$6, 0), FALSE),
            0
        ) +
        IFERROR(
            VLOOKUP($A87, INDIRECT("NovR!$A$6:$ZZ$1048576"), MATCH(P$1, NovR!$6:$6, 0), FALSE),
            0
        ) +
        IFERROR(
            VLOOKUP($A87, INDIRECT("DicR!$A$6:$ZZ$1048576"), MATCH(P$1, DicR!$6:$6, 0), FALSE),
            0
        )
)</f>
        <v>0</v>
      </c>
      <c r="Q87" s="35">
        <f t="array" ref="Q87">SUM(
    IFERROR(
            VLOOKUP($A87, INDIRECT("EneR!$A$6:$ZZ$1048576"), MATCH(Q$1, EneR!$6:$6, 0), FALSE),
            0
        ) +
        IFERROR(
            VLOOKUP($A87, INDIRECT("FebR!$A$6:$ZZ$1048576"), MATCH(Q$1, FebR!$6:$6, 0), FALSE),
            0
        ) +
        IFERROR(
            VLOOKUP($A87, INDIRECT("MarR!$A$6:$ZZ$1048576"), MATCH(Q$1, MarR!$6:$6, 0), FALSE),
            0
        ) +
        IFERROR(
            VLOOKUP($A87, INDIRECT("AbrR!$A$6:$ZZ$1048576"), MATCH(Q$1, AbrR!$6:$6, 0), FALSE),
            0
        ) +
        IFERROR(
            VLOOKUP($A87, INDIRECT("MayR!$A$6:$ZZ$1048576"), MATCH(Q$1, MayR!$6:$6, 0), FALSE),
            0
        ) +
        IFERROR(
            VLOOKUP($A87, INDIRECT("JunR!$A$6:$ZZ$1048576"), MATCH(Q$1, JunR!$6:$6, 0), FALSE),
            0
        ) +
        IFERROR(
            VLOOKUP($A87, INDIRECT("JulR!$A$6:$ZZ$1048576"), MATCH(Q$1, JulR!$6:$6, 0), FALSE),
            0
        ) +
        IFERROR(
            VLOOKUP($A87, INDIRECT("AgoR!$A$6:$ZZ$1048576"), MATCH(Q$1, AgoR!$6:$6, 0), FALSE),
            0
        ) +
        IFERROR(
            VLOOKUP($A87, INDIRECT("SepR!$A$6:$ZZ$1048576"), MATCH(Q$1, SepR!$6:$6, 0), FALSE),
            0
        ) +
        IFERROR(
            VLOOKUP($A87, INDIRECT("OctR!$A$6:$ZZ$1048576"), MATCH(Q$1, OctR!$6:$6, 0), FALSE),
            0
        ) +
        IFERROR(
            VLOOKUP($A87, INDIRECT("NovR!$A$6:$ZZ$1048576"), MATCH(Q$1, NovR!$6:$6, 0), FALSE),
            0
        ) +
        IFERROR(
            VLOOKUP($A87, INDIRECT("DicR!$A$6:$ZZ$1048576"), MATCH(Q$1, DicR!$6:$6, 0), FALSE),
            0
        )
)</f>
        <v>0</v>
      </c>
      <c r="R87" s="36">
        <f t="array" ref="R87">SUM(
    IFERROR(
            VLOOKUP($A87, INDIRECT("EneR!$A$6:$ZZ$1048576"), MATCH(R$1, EneR!$6:$6, 0), FALSE),
            0
        ) +
        IFERROR(
            VLOOKUP($A87, INDIRECT("FebR!$A$6:$ZZ$1048576"), MATCH(R$1, FebR!$6:$6, 0), FALSE),
            0
        ) +
        IFERROR(
            VLOOKUP($A87, INDIRECT("MarR!$A$6:$ZZ$1048576"), MATCH(R$1, MarR!$6:$6, 0), FALSE),
            0
        ) +
        IFERROR(
            VLOOKUP($A87, INDIRECT("AbrR!$A$6:$ZZ$1048576"), MATCH(R$1, AbrR!$6:$6, 0), FALSE),
            0
        ) +
        IFERROR(
            VLOOKUP($A87, INDIRECT("MayR!$A$6:$ZZ$1048576"), MATCH(R$1, MayR!$6:$6, 0), FALSE),
            0
        ) +
        IFERROR(
            VLOOKUP($A87, INDIRECT("JunR!$A$6:$ZZ$1048576"), MATCH(R$1, JunR!$6:$6, 0), FALSE),
            0
        ) +
        IFERROR(
            VLOOKUP($A87, INDIRECT("JulR!$A$6:$ZZ$1048576"), MATCH(R$1, JulR!$6:$6, 0), FALSE),
            0
        ) +
        IFERROR(
            VLOOKUP($A87, INDIRECT("AgoR!$A$6:$ZZ$1048576"), MATCH(R$1, AgoR!$6:$6, 0), FALSE),
            0
        ) +
        IFERROR(
            VLOOKUP($A87, INDIRECT("SepR!$A$6:$ZZ$1048576"), MATCH(R$1, SepR!$6:$6, 0), FALSE),
            0
        ) +
        IFERROR(
            VLOOKUP($A87, INDIRECT("OctR!$A$6:$ZZ$1048576"), MATCH(R$1, OctR!$6:$6, 0), FALSE),
            0
        ) +
        IFERROR(
            VLOOKUP($A87, INDIRECT("NovR!$A$6:$ZZ$1048576"), MATCH(R$1, NovR!$6:$6, 0), FALSE),
            0
        ) +
        IFERROR(
            VLOOKUP($A87, INDIRECT("DicR!$A$6:$ZZ$1048576"), MATCH(R$1, DicR!$6:$6, 0), FALSE),
            0
        )
)</f>
        <v>0</v>
      </c>
      <c r="S87" s="37">
        <f t="array" ref="S87">SUM(
    IFERROR(
            VLOOKUP($A87, INDIRECT("EneR!$A$6:$ZZ$1048576"), MATCH(S$1, EneR!$6:$6, 0), FALSE),
            0
        ) +
        IFERROR(
            VLOOKUP($A87, INDIRECT("FebR!$A$6:$ZZ$1048576"), MATCH(S$1, FebR!$6:$6, 0), FALSE),
            0
        ) +
        IFERROR(
            VLOOKUP($A87, INDIRECT("MarR!$A$6:$ZZ$1048576"), MATCH(S$1, MarR!$6:$6, 0), FALSE),
            0
        ) +
        IFERROR(
            VLOOKUP($A87, INDIRECT("AbrR!$A$6:$ZZ$1048576"), MATCH(S$1, AbrR!$6:$6, 0), FALSE),
            0
        ) +
        IFERROR(
            VLOOKUP($A87, INDIRECT("MayR!$A$6:$ZZ$1048576"), MATCH(S$1, MayR!$6:$6, 0), FALSE),
            0
        ) +
        IFERROR(
            VLOOKUP($A87, INDIRECT("JunR!$A$6:$ZZ$1048576"), MATCH(S$1, JunR!$6:$6, 0), FALSE),
            0
        ) +
        IFERROR(
            VLOOKUP($A87, INDIRECT("JulR!$A$6:$ZZ$1048576"), MATCH(S$1, JulR!$6:$6, 0), FALSE),
            0
        ) +
        IFERROR(
            VLOOKUP($A87, INDIRECT("AgoR!$A$6:$ZZ$1048576"), MATCH(S$1, AgoR!$6:$6, 0), FALSE),
            0
        ) +
        IFERROR(
            VLOOKUP($A87, INDIRECT("SepR!$A$6:$ZZ$1048576"), MATCH(S$1, SepR!$6:$6, 0), FALSE),
            0
        ) +
        IFERROR(
            VLOOKUP($A87, INDIRECT("OctR!$A$6:$ZZ$1048576"), MATCH(S$1, OctR!$6:$6, 0), FALSE),
            0
        ) +
        IFERROR(
            VLOOKUP($A87, INDIRECT("NovR!$A$6:$ZZ$1048576"), MATCH(S$1, NovR!$6:$6, 0), FALSE),
            0
        ) +
        IFERROR(
            VLOOKUP($A87, INDIRECT("DicR!$A$6:$ZZ$1048576"), MATCH(S$1, DicR!$6:$6, 0), FALSE),
            0
        )
)</f>
        <v>0</v>
      </c>
      <c r="T87" s="36">
        <f t="array" ref="T87">SUM(
    IFERROR(
            VLOOKUP($A87, INDIRECT("EneR!$A$6:$ZZ$1048576"), MATCH(T$1, EneR!$6:$6, 0), FALSE),
            0
        ) +
        IFERROR(
            VLOOKUP($A87, INDIRECT("FebR!$A$6:$ZZ$1048576"), MATCH(T$1, FebR!$6:$6, 0), FALSE),
            0
        ) +
        IFERROR(
            VLOOKUP($A87, INDIRECT("MarR!$A$6:$ZZ$1048576"), MATCH(T$1, MarR!$6:$6, 0), FALSE),
            0
        ) +
        IFERROR(
            VLOOKUP($A87, INDIRECT("AbrR!$A$6:$ZZ$1048576"), MATCH(T$1, AbrR!$6:$6, 0), FALSE),
            0
        ) +
        IFERROR(
            VLOOKUP($A87, INDIRECT("MayR!$A$6:$ZZ$1048576"), MATCH(T$1, MayR!$6:$6, 0), FALSE),
            0
        ) +
        IFERROR(
            VLOOKUP($A87, INDIRECT("JunR!$A$6:$ZZ$1048576"), MATCH(T$1, JunR!$6:$6, 0), FALSE),
            0
        ) +
        IFERROR(
            VLOOKUP($A87, INDIRECT("JulR!$A$6:$ZZ$1048576"), MATCH(T$1, JulR!$6:$6, 0), FALSE),
            0
        ) +
        IFERROR(
            VLOOKUP($A87, INDIRECT("AgoR!$A$6:$ZZ$1048576"), MATCH(T$1, AgoR!$6:$6, 0), FALSE),
            0
        ) +
        IFERROR(
            VLOOKUP($A87, INDIRECT("SepR!$A$6:$ZZ$1048576"), MATCH(T$1, SepR!$6:$6, 0), FALSE),
            0
        ) +
        IFERROR(
            VLOOKUP($A87, INDIRECT("OctR!$A$6:$ZZ$1048576"), MATCH(T$1, OctR!$6:$6, 0), FALSE),
            0
        ) +
        IFERROR(
            VLOOKUP($A87, INDIRECT("NovR!$A$6:$ZZ$1048576"), MATCH(T$1, NovR!$6:$6, 0), FALSE),
            0
        ) +
        IFERROR(
            VLOOKUP($A87, INDIRECT("DicR!$A$6:$ZZ$1048576"), MATCH(T$1, DicR!$6:$6, 0), FALSE),
            0
        )
)</f>
        <v>0</v>
      </c>
      <c r="U87" s="37">
        <f t="array" ref="U87">SUM(
    IFERROR(
            VLOOKUP($A87, INDIRECT("EneR!$A$6:$ZZ$1048576"), MATCH(U$1, EneR!$6:$6, 0), FALSE),
            0
        ) +
        IFERROR(
            VLOOKUP($A87, INDIRECT("FebR!$A$6:$ZZ$1048576"), MATCH(U$1, FebR!$6:$6, 0), FALSE),
            0
        ) +
        IFERROR(
            VLOOKUP($A87, INDIRECT("MarR!$A$6:$ZZ$1048576"), MATCH(U$1, MarR!$6:$6, 0), FALSE),
            0
        ) +
        IFERROR(
            VLOOKUP($A87, INDIRECT("AbrR!$A$6:$ZZ$1048576"), MATCH(U$1, AbrR!$6:$6, 0), FALSE),
            0
        ) +
        IFERROR(
            VLOOKUP($A87, INDIRECT("MayR!$A$6:$ZZ$1048576"), MATCH(U$1, MayR!$6:$6, 0), FALSE),
            0
        ) +
        IFERROR(
            VLOOKUP($A87, INDIRECT("JunR!$A$6:$ZZ$1048576"), MATCH(U$1, JunR!$6:$6, 0), FALSE),
            0
        ) +
        IFERROR(
            VLOOKUP($A87, INDIRECT("JulR!$A$6:$ZZ$1048576"), MATCH(U$1, JulR!$6:$6, 0), FALSE),
            0
        ) +
        IFERROR(
            VLOOKUP($A87, INDIRECT("AgoR!$A$6:$ZZ$1048576"), MATCH(U$1, AgoR!$6:$6, 0), FALSE),
            0
        ) +
        IFERROR(
            VLOOKUP($A87, INDIRECT("SepR!$A$6:$ZZ$1048576"), MATCH(U$1, SepR!$6:$6, 0), FALSE),
            0
        ) +
        IFERROR(
            VLOOKUP($A87, INDIRECT("OctR!$A$6:$ZZ$1048576"), MATCH(U$1, OctR!$6:$6, 0), FALSE),
            0
        ) +
        IFERROR(
            VLOOKUP($A87, INDIRECT("NovR!$A$6:$ZZ$1048576"), MATCH(U$1, NovR!$6:$6, 0), FALSE),
            0
        ) +
        IFERROR(
            VLOOKUP($A87, INDIRECT("DicR!$A$6:$ZZ$1048576"), MATCH(U$1, DicR!$6:$6, 0), FALSE),
            0
        )
)</f>
        <v>0</v>
      </c>
      <c r="V87" s="36">
        <f t="array" ref="V87">SUM(
    IFERROR(
            VLOOKUP($A87, INDIRECT("EneR!$A$6:$ZZ$1048576"), MATCH(V$1, EneR!$6:$6, 0), FALSE),
            0
        ) +
        IFERROR(
            VLOOKUP($A87, INDIRECT("FebR!$A$6:$ZZ$1048576"), MATCH(V$1, FebR!$6:$6, 0), FALSE),
            0
        ) +
        IFERROR(
            VLOOKUP($A87, INDIRECT("MarR!$A$6:$ZZ$1048576"), MATCH(V$1, MarR!$6:$6, 0), FALSE),
            0
        ) +
        IFERROR(
            VLOOKUP($A87, INDIRECT("AbrR!$A$6:$ZZ$1048576"), MATCH(V$1, AbrR!$6:$6, 0), FALSE),
            0
        ) +
        IFERROR(
            VLOOKUP($A87, INDIRECT("MayR!$A$6:$ZZ$1048576"), MATCH(V$1, MayR!$6:$6, 0), FALSE),
            0
        ) +
        IFERROR(
            VLOOKUP($A87, INDIRECT("JunR!$A$6:$ZZ$1048576"), MATCH(V$1, JunR!$6:$6, 0), FALSE),
            0
        ) +
        IFERROR(
            VLOOKUP($A87, INDIRECT("JulR!$A$6:$ZZ$1048576"), MATCH(V$1, JulR!$6:$6, 0), FALSE),
            0
        ) +
        IFERROR(
            VLOOKUP($A87, INDIRECT("AgoR!$A$6:$ZZ$1048576"), MATCH(V$1, AgoR!$6:$6, 0), FALSE),
            0
        ) +
        IFERROR(
            VLOOKUP($A87, INDIRECT("SepR!$A$6:$ZZ$1048576"), MATCH(V$1, SepR!$6:$6, 0), FALSE),
            0
        ) +
        IFERROR(
            VLOOKUP($A87, INDIRECT("OctR!$A$6:$ZZ$1048576"), MATCH(V$1, OctR!$6:$6, 0), FALSE),
            0
        ) +
        IFERROR(
            VLOOKUP($A87, INDIRECT("NovR!$A$6:$ZZ$1048576"), MATCH(V$1, NovR!$6:$6, 0), FALSE),
            0
        ) +
        IFERROR(
            VLOOKUP($A87, INDIRECT("DicR!$A$6:$ZZ$1048576"), MATCH(V$1, DicR!$6:$6, 0), FALSE),
            0
        )
)</f>
        <v>0</v>
      </c>
      <c r="W87" s="37">
        <f t="array" ref="W87">SUM(
    IFERROR(
            VLOOKUP($A87, INDIRECT("EneR!$A$6:$ZZ$1048576"), MATCH(W$1, EneR!$6:$6, 0), FALSE),
            0
        ) +
        IFERROR(
            VLOOKUP($A87, INDIRECT("FebR!$A$6:$ZZ$1048576"), MATCH(W$1, FebR!$6:$6, 0), FALSE),
            0
        ) +
        IFERROR(
            VLOOKUP($A87, INDIRECT("MarR!$A$6:$ZZ$1048576"), MATCH(W$1, MarR!$6:$6, 0), FALSE),
            0
        ) +
        IFERROR(
            VLOOKUP($A87, INDIRECT("AbrR!$A$6:$ZZ$1048576"), MATCH(W$1, AbrR!$6:$6, 0), FALSE),
            0
        ) +
        IFERROR(
            VLOOKUP($A87, INDIRECT("MayR!$A$6:$ZZ$1048576"), MATCH(W$1, MayR!$6:$6, 0), FALSE),
            0
        ) +
        IFERROR(
            VLOOKUP($A87, INDIRECT("JunR!$A$6:$ZZ$1048576"), MATCH(W$1, JunR!$6:$6, 0), FALSE),
            0
        ) +
        IFERROR(
            VLOOKUP($A87, INDIRECT("JulR!$A$6:$ZZ$1048576"), MATCH(W$1, JulR!$6:$6, 0), FALSE),
            0
        ) +
        IFERROR(
            VLOOKUP($A87, INDIRECT("AgoR!$A$6:$ZZ$1048576"), MATCH(W$1, AgoR!$6:$6, 0), FALSE),
            0
        ) +
        IFERROR(
            VLOOKUP($A87, INDIRECT("SepR!$A$6:$ZZ$1048576"), MATCH(W$1, SepR!$6:$6, 0), FALSE),
            0
        ) +
        IFERROR(
            VLOOKUP($A87, INDIRECT("OctR!$A$6:$ZZ$1048576"), MATCH(W$1, OctR!$6:$6, 0), FALSE),
            0
        ) +
        IFERROR(
            VLOOKUP($A87, INDIRECT("NovR!$A$6:$ZZ$1048576"), MATCH(W$1, NovR!$6:$6, 0), FALSE),
            0
        ) +
        IFERROR(
            VLOOKUP($A87, INDIRECT("DicR!$A$6:$ZZ$1048576"), MATCH(W$1, DicR!$6:$6, 0), FALSE),
            0
        )
)</f>
        <v>0</v>
      </c>
      <c r="X87" s="36">
        <f t="array" ref="X87">SUM(
    IFERROR(
            VLOOKUP($A87, INDIRECT("EneR!$A$6:$ZZ$1048576"), MATCH(X$1, EneR!$6:$6, 0), FALSE),
            0
        ) +
        IFERROR(
            VLOOKUP($A87, INDIRECT("FebR!$A$6:$ZZ$1048576"), MATCH(X$1, FebR!$6:$6, 0), FALSE),
            0
        ) +
        IFERROR(
            VLOOKUP($A87, INDIRECT("MarR!$A$6:$ZZ$1048576"), MATCH(X$1, MarR!$6:$6, 0), FALSE),
            0
        ) +
        IFERROR(
            VLOOKUP($A87, INDIRECT("AbrR!$A$6:$ZZ$1048576"), MATCH(X$1, AbrR!$6:$6, 0), FALSE),
            0
        ) +
        IFERROR(
            VLOOKUP($A87, INDIRECT("MayR!$A$6:$ZZ$1048576"), MATCH(X$1, MayR!$6:$6, 0), FALSE),
            0
        ) +
        IFERROR(
            VLOOKUP($A87, INDIRECT("JunR!$A$6:$ZZ$1048576"), MATCH(X$1, JunR!$6:$6, 0), FALSE),
            0
        ) +
        IFERROR(
            VLOOKUP($A87, INDIRECT("JulR!$A$6:$ZZ$1048576"), MATCH(X$1, JulR!$6:$6, 0), FALSE),
            0
        ) +
        IFERROR(
            VLOOKUP($A87, INDIRECT("AgoR!$A$6:$ZZ$1048576"), MATCH(X$1, AgoR!$6:$6, 0), FALSE),
            0
        ) +
        IFERROR(
            VLOOKUP($A87, INDIRECT("SepR!$A$6:$ZZ$1048576"), MATCH(X$1, SepR!$6:$6, 0), FALSE),
            0
        ) +
        IFERROR(
            VLOOKUP($A87, INDIRECT("OctR!$A$6:$ZZ$1048576"), MATCH(X$1, OctR!$6:$6, 0), FALSE),
            0
        ) +
        IFERROR(
            VLOOKUP($A87, INDIRECT("NovR!$A$6:$ZZ$1048576"), MATCH(X$1, NovR!$6:$6, 0), FALSE),
            0
        ) +
        IFERROR(
            VLOOKUP($A87, INDIRECT("DicR!$A$6:$ZZ$1048576"), MATCH(X$1, DicR!$6:$6, 0), FALSE),
            0
        )
)</f>
        <v>0</v>
      </c>
      <c r="Y87" s="37">
        <f t="array" ref="Y87">SUM(
    IFERROR(
            VLOOKUP($A87, INDIRECT("EneR!$A$6:$ZZ$1048576"), MATCH(Y$1, EneR!$6:$6, 0), FALSE),
            0
        ) +
        IFERROR(
            VLOOKUP($A87, INDIRECT("FebR!$A$6:$ZZ$1048576"), MATCH(Y$1, FebR!$6:$6, 0), FALSE),
            0
        ) +
        IFERROR(
            VLOOKUP($A87, INDIRECT("MarR!$A$6:$ZZ$1048576"), MATCH(Y$1, MarR!$6:$6, 0), FALSE),
            0
        ) +
        IFERROR(
            VLOOKUP($A87, INDIRECT("AbrR!$A$6:$ZZ$1048576"), MATCH(Y$1, AbrR!$6:$6, 0), FALSE),
            0
        ) +
        IFERROR(
            VLOOKUP($A87, INDIRECT("MayR!$A$6:$ZZ$1048576"), MATCH(Y$1, MayR!$6:$6, 0), FALSE),
            0
        ) +
        IFERROR(
            VLOOKUP($A87, INDIRECT("JunR!$A$6:$ZZ$1048576"), MATCH(Y$1, JunR!$6:$6, 0), FALSE),
            0
        ) +
        IFERROR(
            VLOOKUP($A87, INDIRECT("JulR!$A$6:$ZZ$1048576"), MATCH(Y$1, JulR!$6:$6, 0), FALSE),
            0
        ) +
        IFERROR(
            VLOOKUP($A87, INDIRECT("AgoR!$A$6:$ZZ$1048576"), MATCH(Y$1, AgoR!$6:$6, 0), FALSE),
            0
        ) +
        IFERROR(
            VLOOKUP($A87, INDIRECT("SepR!$A$6:$ZZ$1048576"), MATCH(Y$1, SepR!$6:$6, 0), FALSE),
            0
        ) +
        IFERROR(
            VLOOKUP($A87, INDIRECT("OctR!$A$6:$ZZ$1048576"), MATCH(Y$1, OctR!$6:$6, 0), FALSE),
            0
        ) +
        IFERROR(
            VLOOKUP($A87, INDIRECT("NovR!$A$6:$ZZ$1048576"), MATCH(Y$1, NovR!$6:$6, 0), FALSE),
            0
        ) +
        IFERROR(
            VLOOKUP($A87, INDIRECT("DicR!$A$6:$ZZ$1048576"), MATCH(Y$1, DicR!$6:$6, 0), FALSE),
            0
        )
)</f>
        <v>0</v>
      </c>
      <c r="Z87" s="36">
        <f t="array" ref="Z87">SUM(
    IFERROR(
            VLOOKUP($A87, INDIRECT("EneR!$A$6:$ZZ$1048576"), MATCH(Z$1, EneR!$6:$6, 0), FALSE),
            0
        ) +
        IFERROR(
            VLOOKUP($A87, INDIRECT("FebR!$A$6:$ZZ$1048576"), MATCH(Z$1, FebR!$6:$6, 0), FALSE),
            0
        ) +
        IFERROR(
            VLOOKUP($A87, INDIRECT("MarR!$A$6:$ZZ$1048576"), MATCH(Z$1, MarR!$6:$6, 0), FALSE),
            0
        ) +
        IFERROR(
            VLOOKUP($A87, INDIRECT("AbrR!$A$6:$ZZ$1048576"), MATCH(Z$1, AbrR!$6:$6, 0), FALSE),
            0
        ) +
        IFERROR(
            VLOOKUP($A87, INDIRECT("MayR!$A$6:$ZZ$1048576"), MATCH(Z$1, MayR!$6:$6, 0), FALSE),
            0
        ) +
        IFERROR(
            VLOOKUP($A87, INDIRECT("JunR!$A$6:$ZZ$1048576"), MATCH(Z$1, JunR!$6:$6, 0), FALSE),
            0
        ) +
        IFERROR(
            VLOOKUP($A87, INDIRECT("JulR!$A$6:$ZZ$1048576"), MATCH(Z$1, JulR!$6:$6, 0), FALSE),
            0
        ) +
        IFERROR(
            VLOOKUP($A87, INDIRECT("AgoR!$A$6:$ZZ$1048576"), MATCH(Z$1, AgoR!$6:$6, 0), FALSE),
            0
        ) +
        IFERROR(
            VLOOKUP($A87, INDIRECT("SepR!$A$6:$ZZ$1048576"), MATCH(Z$1, SepR!$6:$6, 0), FALSE),
            0
        ) +
        IFERROR(
            VLOOKUP($A87, INDIRECT("OctR!$A$6:$ZZ$1048576"), MATCH(Z$1, OctR!$6:$6, 0), FALSE),
            0
        ) +
        IFERROR(
            VLOOKUP($A87, INDIRECT("NovR!$A$6:$ZZ$1048576"), MATCH(Z$1, NovR!$6:$6, 0), FALSE),
            0
        ) +
        IFERROR(
            VLOOKUP($A87, INDIRECT("DicR!$A$6:$ZZ$1048576"), MATCH(Z$1, DicR!$6:$6, 0), FALSE),
            0
        )
)</f>
        <v>0</v>
      </c>
      <c r="AA87" s="37">
        <f t="array" ref="AA87">SUM(
    IFERROR(
            VLOOKUP($A87, INDIRECT("EneR!$A$6:$ZZ$1048576"), MATCH(AA$1, EneR!$6:$6, 0), FALSE),
            0
        ) +
        IFERROR(
            VLOOKUP($A87, INDIRECT("FebR!$A$6:$ZZ$1048576"), MATCH(AA$1, FebR!$6:$6, 0), FALSE),
            0
        ) +
        IFERROR(
            VLOOKUP($A87, INDIRECT("MarR!$A$6:$ZZ$1048576"), MATCH(AA$1, MarR!$6:$6, 0), FALSE),
            0
        ) +
        IFERROR(
            VLOOKUP($A87, INDIRECT("AbrR!$A$6:$ZZ$1048576"), MATCH(AA$1, AbrR!$6:$6, 0), FALSE),
            0
        ) +
        IFERROR(
            VLOOKUP($A87, INDIRECT("MayR!$A$6:$ZZ$1048576"), MATCH(AA$1, MayR!$6:$6, 0), FALSE),
            0
        ) +
        IFERROR(
            VLOOKUP($A87, INDIRECT("JunR!$A$6:$ZZ$1048576"), MATCH(AA$1, JunR!$6:$6, 0), FALSE),
            0
        ) +
        IFERROR(
            VLOOKUP($A87, INDIRECT("JulR!$A$6:$ZZ$1048576"), MATCH(AA$1, JulR!$6:$6, 0), FALSE),
            0
        ) +
        IFERROR(
            VLOOKUP($A87, INDIRECT("AgoR!$A$6:$ZZ$1048576"), MATCH(AA$1, AgoR!$6:$6, 0), FALSE),
            0
        ) +
        IFERROR(
            VLOOKUP($A87, INDIRECT("SepR!$A$6:$ZZ$1048576"), MATCH(AA$1, SepR!$6:$6, 0), FALSE),
            0
        ) +
        IFERROR(
            VLOOKUP($A87, INDIRECT("OctR!$A$6:$ZZ$1048576"), MATCH(AA$1, OctR!$6:$6, 0), FALSE),
            0
        ) +
        IFERROR(
            VLOOKUP($A87, INDIRECT("NovR!$A$6:$ZZ$1048576"), MATCH(AA$1, NovR!$6:$6, 0), FALSE),
            0
        ) +
        IFERROR(
            VLOOKUP($A87, INDIRECT("DicR!$A$6:$ZZ$1048576"), MATCH(AA$1, DicR!$6:$6, 0), FALSE),
            0
        )
)</f>
        <v>0</v>
      </c>
      <c r="AB87" s="36">
        <f t="array" ref="AB87">SUM(
    IFERROR(
            VLOOKUP($A87, INDIRECT("EneR!$A$6:$ZZ$1048576"), MATCH(AB$1, EneR!$6:$6, 0), FALSE),
            0
        ) +
        IFERROR(
            VLOOKUP($A87, INDIRECT("FebR!$A$6:$ZZ$1048576"), MATCH(AB$1, FebR!$6:$6, 0), FALSE),
            0
        ) +
        IFERROR(
            VLOOKUP($A87, INDIRECT("MarR!$A$6:$ZZ$1048576"), MATCH(AB$1, MarR!$6:$6, 0), FALSE),
            0
        ) +
        IFERROR(
            VLOOKUP($A87, INDIRECT("AbrR!$A$6:$ZZ$1048576"), MATCH(AB$1, AbrR!$6:$6, 0), FALSE),
            0
        ) +
        IFERROR(
            VLOOKUP($A87, INDIRECT("MayR!$A$6:$ZZ$1048576"), MATCH(AB$1, MayR!$6:$6, 0), FALSE),
            0
        ) +
        IFERROR(
            VLOOKUP($A87, INDIRECT("JunR!$A$6:$ZZ$1048576"), MATCH(AB$1, JunR!$6:$6, 0), FALSE),
            0
        ) +
        IFERROR(
            VLOOKUP($A87, INDIRECT("JulR!$A$6:$ZZ$1048576"), MATCH(AB$1, JulR!$6:$6, 0), FALSE),
            0
        ) +
        IFERROR(
            VLOOKUP($A87, INDIRECT("AgoR!$A$6:$ZZ$1048576"), MATCH(AB$1, AgoR!$6:$6, 0), FALSE),
            0
        ) +
        IFERROR(
            VLOOKUP($A87, INDIRECT("SepR!$A$6:$ZZ$1048576"), MATCH(AB$1, SepR!$6:$6, 0), FALSE),
            0
        ) +
        IFERROR(
            VLOOKUP($A87, INDIRECT("OctR!$A$6:$ZZ$1048576"), MATCH(AB$1, OctR!$6:$6, 0), FALSE),
            0
        ) +
        IFERROR(
            VLOOKUP($A87, INDIRECT("NovR!$A$6:$ZZ$1048576"), MATCH(AB$1, NovR!$6:$6, 0), FALSE),
            0
        ) +
        IFERROR(
            VLOOKUP($A87, INDIRECT("DicR!$A$6:$ZZ$1048576"), MATCH(AB$1, DicR!$6:$6, 0), FALSE),
            0
        )
)</f>
        <v>0</v>
      </c>
      <c r="AC87" s="37">
        <f t="array" ref="AC87">SUM(
    IFERROR(
            VLOOKUP($A87, INDIRECT("EneR!$A$6:$ZZ$1048576"), MATCH(AC$1, EneR!$6:$6, 0), FALSE),
            0
        ) +
        IFERROR(
            VLOOKUP($A87, INDIRECT("FebR!$A$6:$ZZ$1048576"), MATCH(AC$1, FebR!$6:$6, 0), FALSE),
            0
        ) +
        IFERROR(
            VLOOKUP($A87, INDIRECT("MarR!$A$6:$ZZ$1048576"), MATCH(AC$1, MarR!$6:$6, 0), FALSE),
            0
        ) +
        IFERROR(
            VLOOKUP($A87, INDIRECT("AbrR!$A$6:$ZZ$1048576"), MATCH(AC$1, AbrR!$6:$6, 0), FALSE),
            0
        ) +
        IFERROR(
            VLOOKUP($A87, INDIRECT("MayR!$A$6:$ZZ$1048576"), MATCH(AC$1, MayR!$6:$6, 0), FALSE),
            0
        ) +
        IFERROR(
            VLOOKUP($A87, INDIRECT("JunR!$A$6:$ZZ$1048576"), MATCH(AC$1, JunR!$6:$6, 0), FALSE),
            0
        ) +
        IFERROR(
            VLOOKUP($A87, INDIRECT("JulR!$A$6:$ZZ$1048576"), MATCH(AC$1, JulR!$6:$6, 0), FALSE),
            0
        ) +
        IFERROR(
            VLOOKUP($A87, INDIRECT("AgoR!$A$6:$ZZ$1048576"), MATCH(AC$1, AgoR!$6:$6, 0), FALSE),
            0
        ) +
        IFERROR(
            VLOOKUP($A87, INDIRECT("SepR!$A$6:$ZZ$1048576"), MATCH(AC$1, SepR!$6:$6, 0), FALSE),
            0
        ) +
        IFERROR(
            VLOOKUP($A87, INDIRECT("OctR!$A$6:$ZZ$1048576"), MATCH(AC$1, OctR!$6:$6, 0), FALSE),
            0
        ) +
        IFERROR(
            VLOOKUP($A87, INDIRECT("NovR!$A$6:$ZZ$1048576"), MATCH(AC$1, NovR!$6:$6, 0), FALSE),
            0
        ) +
        IFERROR(
            VLOOKUP($A87, INDIRECT("DicR!$A$6:$ZZ$1048576"), MATCH(AC$1, DicR!$6:$6, 0), FALSE),
            0
        )
)</f>
        <v>0</v>
      </c>
      <c r="AD87" s="36">
        <f t="array" ref="AD87">SUM(
    IFERROR(
            VLOOKUP($A87, INDIRECT("EneR!$A$6:$ZZ$1048576"), MATCH(AD$1, EneR!$6:$6, 0), FALSE),
            0
        ) +
        IFERROR(
            VLOOKUP($A87, INDIRECT("FebR!$A$6:$ZZ$1048576"), MATCH(AD$1, FebR!$6:$6, 0), FALSE),
            0
        ) +
        IFERROR(
            VLOOKUP($A87, INDIRECT("MarR!$A$6:$ZZ$1048576"), MATCH(AD$1, MarR!$6:$6, 0), FALSE),
            0
        ) +
        IFERROR(
            VLOOKUP($A87, INDIRECT("AbrR!$A$6:$ZZ$1048576"), MATCH(AD$1, AbrR!$6:$6, 0), FALSE),
            0
        ) +
        IFERROR(
            VLOOKUP($A87, INDIRECT("MayR!$A$6:$ZZ$1048576"), MATCH(AD$1, MayR!$6:$6, 0), FALSE),
            0
        ) +
        IFERROR(
            VLOOKUP($A87, INDIRECT("JunR!$A$6:$ZZ$1048576"), MATCH(AD$1, JunR!$6:$6, 0), FALSE),
            0
        ) +
        IFERROR(
            VLOOKUP($A87, INDIRECT("JulR!$A$6:$ZZ$1048576"), MATCH(AD$1, JulR!$6:$6, 0), FALSE),
            0
        ) +
        IFERROR(
            VLOOKUP($A87, INDIRECT("AgoR!$A$6:$ZZ$1048576"), MATCH(AD$1, AgoR!$6:$6, 0), FALSE),
            0
        ) +
        IFERROR(
            VLOOKUP($A87, INDIRECT("SepR!$A$6:$ZZ$1048576"), MATCH(AD$1, SepR!$6:$6, 0), FALSE),
            0
        ) +
        IFERROR(
            VLOOKUP($A87, INDIRECT("OctR!$A$6:$ZZ$1048576"), MATCH(AD$1, OctR!$6:$6, 0), FALSE),
            0
        ) +
        IFERROR(
            VLOOKUP($A87, INDIRECT("NovR!$A$6:$ZZ$1048576"), MATCH(AD$1, NovR!$6:$6, 0), FALSE),
            0
        ) +
        IFERROR(
            VLOOKUP($A87, INDIRECT("DicR!$A$6:$ZZ$1048576"), MATCH(AD$1, DicR!$6:$6, 0), FALSE),
            0
        )
)</f>
        <v>0</v>
      </c>
      <c r="AE87" s="37">
        <f t="array" ref="AE87">SUM(
    IFERROR(
            VLOOKUP($A87, INDIRECT("EneR!$A$6:$ZZ$1048576"), MATCH(AE$1, EneR!$6:$6, 0), FALSE),
            0
        ) +
        IFERROR(
            VLOOKUP($A87, INDIRECT("FebR!$A$6:$ZZ$1048576"), MATCH(AE$1, FebR!$6:$6, 0), FALSE),
            0
        ) +
        IFERROR(
            VLOOKUP($A87, INDIRECT("MarR!$A$6:$ZZ$1048576"), MATCH(AE$1, MarR!$6:$6, 0), FALSE),
            0
        ) +
        IFERROR(
            VLOOKUP($A87, INDIRECT("AbrR!$A$6:$ZZ$1048576"), MATCH(AE$1, AbrR!$6:$6, 0), FALSE),
            0
        ) +
        IFERROR(
            VLOOKUP($A87, INDIRECT("MayR!$A$6:$ZZ$1048576"), MATCH(AE$1, MayR!$6:$6, 0), FALSE),
            0
        ) +
        IFERROR(
            VLOOKUP($A87, INDIRECT("JunR!$A$6:$ZZ$1048576"), MATCH(AE$1, JunR!$6:$6, 0), FALSE),
            0
        ) +
        IFERROR(
            VLOOKUP($A87, INDIRECT("JulR!$A$6:$ZZ$1048576"), MATCH(AE$1, JulR!$6:$6, 0), FALSE),
            0
        ) +
        IFERROR(
            VLOOKUP($A87, INDIRECT("AgoR!$A$6:$ZZ$1048576"), MATCH(AE$1, AgoR!$6:$6, 0), FALSE),
            0
        ) +
        IFERROR(
            VLOOKUP($A87, INDIRECT("SepR!$A$6:$ZZ$1048576"), MATCH(AE$1, SepR!$6:$6, 0), FALSE),
            0
        ) +
        IFERROR(
            VLOOKUP($A87, INDIRECT("OctR!$A$6:$ZZ$1048576"), MATCH(AE$1, OctR!$6:$6, 0), FALSE),
            0
        ) +
        IFERROR(
            VLOOKUP($A87, INDIRECT("NovR!$A$6:$ZZ$1048576"), MATCH(AE$1, NovR!$6:$6, 0), FALSE),
            0
        ) +
        IFERROR(
            VLOOKUP($A87, INDIRECT("DicR!$A$6:$ZZ$1048576"), MATCH(AE$1, DicR!$6:$6, 0), FALSE),
            0
        )
)</f>
        <v>0</v>
      </c>
      <c r="AF87" s="36">
        <f t="array" ref="AF87">SUM(
    IFERROR(
            VLOOKUP($A87, INDIRECT("EneR!$A$6:$ZZ$1048576"), MATCH(AF$1, EneR!$6:$6, 0), FALSE),
            0
        ) +
        IFERROR(
            VLOOKUP($A87, INDIRECT("FebR!$A$6:$ZZ$1048576"), MATCH(AF$1, FebR!$6:$6, 0), FALSE),
            0
        ) +
        IFERROR(
            VLOOKUP($A87, INDIRECT("MarR!$A$6:$ZZ$1048576"), MATCH(AF$1, MarR!$6:$6, 0), FALSE),
            0
        ) +
        IFERROR(
            VLOOKUP($A87, INDIRECT("AbrR!$A$6:$ZZ$1048576"), MATCH(AF$1, AbrR!$6:$6, 0), FALSE),
            0
        ) +
        IFERROR(
            VLOOKUP($A87, INDIRECT("MayR!$A$6:$ZZ$1048576"), MATCH(AF$1, MayR!$6:$6, 0), FALSE),
            0
        ) +
        IFERROR(
            VLOOKUP($A87, INDIRECT("JunR!$A$6:$ZZ$1048576"), MATCH(AF$1, JunR!$6:$6, 0), FALSE),
            0
        ) +
        IFERROR(
            VLOOKUP($A87, INDIRECT("JulR!$A$6:$ZZ$1048576"), MATCH(AF$1, JulR!$6:$6, 0), FALSE),
            0
        ) +
        IFERROR(
            VLOOKUP($A87, INDIRECT("AgoR!$A$6:$ZZ$1048576"), MATCH(AF$1, AgoR!$6:$6, 0), FALSE),
            0
        ) +
        IFERROR(
            VLOOKUP($A87, INDIRECT("SepR!$A$6:$ZZ$1048576"), MATCH(AF$1, SepR!$6:$6, 0), FALSE),
            0
        ) +
        IFERROR(
            VLOOKUP($A87, INDIRECT("OctR!$A$6:$ZZ$1048576"), MATCH(AF$1, OctR!$6:$6, 0), FALSE),
            0
        ) +
        IFERROR(
            VLOOKUP($A87, INDIRECT("NovR!$A$6:$ZZ$1048576"), MATCH(AF$1, NovR!$6:$6, 0), FALSE),
            0
        ) +
        IFERROR(
            VLOOKUP($A87, INDIRECT("DicR!$A$6:$ZZ$1048576"), MATCH(AF$1, DicR!$6:$6, 0), FALSE),
            0
        )
)</f>
        <v>0</v>
      </c>
      <c r="AG87" s="37">
        <f t="array" ref="AG87">SUM(
    IFERROR(
            VLOOKUP($A87, INDIRECT("EneR!$A$6:$ZZ$1048576"), MATCH(AG$1, EneR!$6:$6, 0), FALSE),
            0
        ) +
        IFERROR(
            VLOOKUP($A87, INDIRECT("FebR!$A$6:$ZZ$1048576"), MATCH(AG$1, FebR!$6:$6, 0), FALSE),
            0
        ) +
        IFERROR(
            VLOOKUP($A87, INDIRECT("MarR!$A$6:$ZZ$1048576"), MATCH(AG$1, MarR!$6:$6, 0), FALSE),
            0
        ) +
        IFERROR(
            VLOOKUP($A87, INDIRECT("AbrR!$A$6:$ZZ$1048576"), MATCH(AG$1, AbrR!$6:$6, 0), FALSE),
            0
        ) +
        IFERROR(
            VLOOKUP($A87, INDIRECT("MayR!$A$6:$ZZ$1048576"), MATCH(AG$1, MayR!$6:$6, 0), FALSE),
            0
        ) +
        IFERROR(
            VLOOKUP($A87, INDIRECT("JunR!$A$6:$ZZ$1048576"), MATCH(AG$1, JunR!$6:$6, 0), FALSE),
            0
        ) +
        IFERROR(
            VLOOKUP($A87, INDIRECT("JulR!$A$6:$ZZ$1048576"), MATCH(AG$1, JulR!$6:$6, 0), FALSE),
            0
        ) +
        IFERROR(
            VLOOKUP($A87, INDIRECT("AgoR!$A$6:$ZZ$1048576"), MATCH(AG$1, AgoR!$6:$6, 0), FALSE),
            0
        ) +
        IFERROR(
            VLOOKUP($A87, INDIRECT("SepR!$A$6:$ZZ$1048576"), MATCH(AG$1, SepR!$6:$6, 0), FALSE),
            0
        ) +
        IFERROR(
            VLOOKUP($A87, INDIRECT("OctR!$A$6:$ZZ$1048576"), MATCH(AG$1, OctR!$6:$6, 0), FALSE),
            0
        ) +
        IFERROR(
            VLOOKUP($A87, INDIRECT("NovR!$A$6:$ZZ$1048576"), MATCH(AG$1, NovR!$6:$6, 0), FALSE),
            0
        ) +
        IFERROR(
            VLOOKUP($A87, INDIRECT("DicR!$A$6:$ZZ$1048576"), MATCH(AG$1, DicR!$6:$6, 0), FALSE),
            0
        )
)</f>
        <v>0</v>
      </c>
      <c r="AH87" s="36">
        <f t="array" ref="AH87">SUM(
    IFERROR(
            VLOOKUP($A87, INDIRECT("EneR!$A$6:$ZZ$1048576"), MATCH(AH$1, EneR!$6:$6, 0), FALSE),
            0
        ) +
        IFERROR(
            VLOOKUP($A87, INDIRECT("FebR!$A$6:$ZZ$1048576"), MATCH(AH$1, FebR!$6:$6, 0), FALSE),
            0
        ) +
        IFERROR(
            VLOOKUP($A87, INDIRECT("MarR!$A$6:$ZZ$1048576"), MATCH(AH$1, MarR!$6:$6, 0), FALSE),
            0
        ) +
        IFERROR(
            VLOOKUP($A87, INDIRECT("AbrR!$A$6:$ZZ$1048576"), MATCH(AH$1, AbrR!$6:$6, 0), FALSE),
            0
        ) +
        IFERROR(
            VLOOKUP($A87, INDIRECT("MayR!$A$6:$ZZ$1048576"), MATCH(AH$1, MayR!$6:$6, 0), FALSE),
            0
        ) +
        IFERROR(
            VLOOKUP($A87, INDIRECT("JunR!$A$6:$ZZ$1048576"), MATCH(AH$1, JunR!$6:$6, 0), FALSE),
            0
        ) +
        IFERROR(
            VLOOKUP($A87, INDIRECT("JulR!$A$6:$ZZ$1048576"), MATCH(AH$1, JulR!$6:$6, 0), FALSE),
            0
        ) +
        IFERROR(
            VLOOKUP($A87, INDIRECT("AgoR!$A$6:$ZZ$1048576"), MATCH(AH$1, AgoR!$6:$6, 0), FALSE),
            0
        ) +
        IFERROR(
            VLOOKUP($A87, INDIRECT("SepR!$A$6:$ZZ$1048576"), MATCH(AH$1, SepR!$6:$6, 0), FALSE),
            0
        ) +
        IFERROR(
            VLOOKUP($A87, INDIRECT("OctR!$A$6:$ZZ$1048576"), MATCH(AH$1, OctR!$6:$6, 0), FALSE),
            0
        ) +
        IFERROR(
            VLOOKUP($A87, INDIRECT("NovR!$A$6:$ZZ$1048576"), MATCH(AH$1, NovR!$6:$6, 0), FALSE),
            0
        ) +
        IFERROR(
            VLOOKUP($A87, INDIRECT("DicR!$A$6:$ZZ$1048576"), MATCH(AH$1, DicR!$6:$6, 0), FALSE),
            0
        )
)</f>
        <v>0</v>
      </c>
      <c r="AI87" s="37">
        <f t="array" ref="AI87">SUM(
    IFERROR(
            VLOOKUP($A87, INDIRECT("EneR!$A$6:$ZZ$1048576"), MATCH(AI$1, EneR!$6:$6, 0), FALSE),
            0
        ) +
        IFERROR(
            VLOOKUP($A87, INDIRECT("FebR!$A$6:$ZZ$1048576"), MATCH(AI$1, FebR!$6:$6, 0), FALSE),
            0
        ) +
        IFERROR(
            VLOOKUP($A87, INDIRECT("MarR!$A$6:$ZZ$1048576"), MATCH(AI$1, MarR!$6:$6, 0), FALSE),
            0
        ) +
        IFERROR(
            VLOOKUP($A87, INDIRECT("AbrR!$A$6:$ZZ$1048576"), MATCH(AI$1, AbrR!$6:$6, 0), FALSE),
            0
        ) +
        IFERROR(
            VLOOKUP($A87, INDIRECT("MayR!$A$6:$ZZ$1048576"), MATCH(AI$1, MayR!$6:$6, 0), FALSE),
            0
        ) +
        IFERROR(
            VLOOKUP($A87, INDIRECT("JunR!$A$6:$ZZ$1048576"), MATCH(AI$1, JunR!$6:$6, 0), FALSE),
            0
        ) +
        IFERROR(
            VLOOKUP($A87, INDIRECT("JulR!$A$6:$ZZ$1048576"), MATCH(AI$1, JulR!$6:$6, 0), FALSE),
            0
        ) +
        IFERROR(
            VLOOKUP($A87, INDIRECT("AgoR!$A$6:$ZZ$1048576"), MATCH(AI$1, AgoR!$6:$6, 0), FALSE),
            0
        ) +
        IFERROR(
            VLOOKUP($A87, INDIRECT("SepR!$A$6:$ZZ$1048576"), MATCH(AI$1, SepR!$6:$6, 0), FALSE),
            0
        ) +
        IFERROR(
            VLOOKUP($A87, INDIRECT("OctR!$A$6:$ZZ$1048576"), MATCH(AI$1, OctR!$6:$6, 0), FALSE),
            0
        ) +
        IFERROR(
            VLOOKUP($A87, INDIRECT("NovR!$A$6:$ZZ$1048576"), MATCH(AI$1, NovR!$6:$6, 0), FALSE),
            0
        ) +
        IFERROR(
            VLOOKUP($A87, INDIRECT("DicR!$A$6:$ZZ$1048576"), MATCH(AI$1, DicR!$6:$6, 0), FALSE),
            0
        )
)</f>
        <v>0</v>
      </c>
      <c r="AJ87" s="36">
        <f t="array" ref="AJ87">SUM(
    IFERROR(
            VLOOKUP($A87, INDIRECT("EneR!$A$6:$ZZ$1048576"), MATCH(AJ$1, EneR!$6:$6, 0), FALSE),
            0
        ) +
        IFERROR(
            VLOOKUP($A87, INDIRECT("FebR!$A$6:$ZZ$1048576"), MATCH(AJ$1, FebR!$6:$6, 0), FALSE),
            0
        ) +
        IFERROR(
            VLOOKUP($A87, INDIRECT("MarR!$A$6:$ZZ$1048576"), MATCH(AJ$1, MarR!$6:$6, 0), FALSE),
            0
        ) +
        IFERROR(
            VLOOKUP($A87, INDIRECT("AbrR!$A$6:$ZZ$1048576"), MATCH(AJ$1, AbrR!$6:$6, 0), FALSE),
            0
        ) +
        IFERROR(
            VLOOKUP($A87, INDIRECT("MayR!$A$6:$ZZ$1048576"), MATCH(AJ$1, MayR!$6:$6, 0), FALSE),
            0
        ) +
        IFERROR(
            VLOOKUP($A87, INDIRECT("JunR!$A$6:$ZZ$1048576"), MATCH(AJ$1, JunR!$6:$6, 0), FALSE),
            0
        ) +
        IFERROR(
            VLOOKUP($A87, INDIRECT("JulR!$A$6:$ZZ$1048576"), MATCH(AJ$1, JulR!$6:$6, 0), FALSE),
            0
        ) +
        IFERROR(
            VLOOKUP($A87, INDIRECT("AgoR!$A$6:$ZZ$1048576"), MATCH(AJ$1, AgoR!$6:$6, 0), FALSE),
            0
        ) +
        IFERROR(
            VLOOKUP($A87, INDIRECT("SepR!$A$6:$ZZ$1048576"), MATCH(AJ$1, SepR!$6:$6, 0), FALSE),
            0
        ) +
        IFERROR(
            VLOOKUP($A87, INDIRECT("OctR!$A$6:$ZZ$1048576"), MATCH(AJ$1, OctR!$6:$6, 0), FALSE),
            0
        ) +
        IFERROR(
            VLOOKUP($A87, INDIRECT("NovR!$A$6:$ZZ$1048576"), MATCH(AJ$1, NovR!$6:$6, 0), FALSE),
            0
        ) +
        IFERROR(
            VLOOKUP($A87, INDIRECT("DicR!$A$6:$ZZ$1048576"), MATCH(AJ$1, DicR!$6:$6, 0), FALSE),
            0
        )
)</f>
        <v>0</v>
      </c>
      <c r="AK87" s="37">
        <f t="array" ref="AK87">SUM(
    IFERROR(
            VLOOKUP($A87, INDIRECT("EneR!$A$6:$ZZ$1048576"), MATCH(AK$1, EneR!$6:$6, 0), FALSE),
            0
        ) +
        IFERROR(
            VLOOKUP($A87, INDIRECT("FebR!$A$6:$ZZ$1048576"), MATCH(AK$1, FebR!$6:$6, 0), FALSE),
            0
        ) +
        IFERROR(
            VLOOKUP($A87, INDIRECT("MarR!$A$6:$ZZ$1048576"), MATCH(AK$1, MarR!$6:$6, 0), FALSE),
            0
        ) +
        IFERROR(
            VLOOKUP($A87, INDIRECT("AbrR!$A$6:$ZZ$1048576"), MATCH(AK$1, AbrR!$6:$6, 0), FALSE),
            0
        ) +
        IFERROR(
            VLOOKUP($A87, INDIRECT("MayR!$A$6:$ZZ$1048576"), MATCH(AK$1, MayR!$6:$6, 0), FALSE),
            0
        ) +
        IFERROR(
            VLOOKUP($A87, INDIRECT("JunR!$A$6:$ZZ$1048576"), MATCH(AK$1, JunR!$6:$6, 0), FALSE),
            0
        ) +
        IFERROR(
            VLOOKUP($A87, INDIRECT("JulR!$A$6:$ZZ$1048576"), MATCH(AK$1, JulR!$6:$6, 0), FALSE),
            0
        ) +
        IFERROR(
            VLOOKUP($A87, INDIRECT("AgoR!$A$6:$ZZ$1048576"), MATCH(AK$1, AgoR!$6:$6, 0), FALSE),
            0
        ) +
        IFERROR(
            VLOOKUP($A87, INDIRECT("SepR!$A$6:$ZZ$1048576"), MATCH(AK$1, SepR!$6:$6, 0), FALSE),
            0
        ) +
        IFERROR(
            VLOOKUP($A87, INDIRECT("OctR!$A$6:$ZZ$1048576"), MATCH(AK$1, OctR!$6:$6, 0), FALSE),
            0
        ) +
        IFERROR(
            VLOOKUP($A87, INDIRECT("NovR!$A$6:$ZZ$1048576"), MATCH(AK$1, NovR!$6:$6, 0), FALSE),
            0
        ) +
        IFERROR(
            VLOOKUP($A87, INDIRECT("DicR!$A$6:$ZZ$1048576"), MATCH(AK$1, DicR!$6:$6, 0), FALSE),
            0
        )
)</f>
        <v>0</v>
      </c>
      <c r="AL87" s="36">
        <f t="array" ref="AL87">SUM(
    IFERROR(
            VLOOKUP($A87, INDIRECT("EneR!$A$6:$ZZ$1048576"), MATCH(AL$1, EneR!$6:$6, 0), FALSE),
            0
        ) +
        IFERROR(
            VLOOKUP($A87, INDIRECT("FebR!$A$6:$ZZ$1048576"), MATCH(AL$1, FebR!$6:$6, 0), FALSE),
            0
        ) +
        IFERROR(
            VLOOKUP($A87, INDIRECT("MarR!$A$6:$ZZ$1048576"), MATCH(AL$1, MarR!$6:$6, 0), FALSE),
            0
        ) +
        IFERROR(
            VLOOKUP($A87, INDIRECT("AbrR!$A$6:$ZZ$1048576"), MATCH(AL$1, AbrR!$6:$6, 0), FALSE),
            0
        ) +
        IFERROR(
            VLOOKUP($A87, INDIRECT("MayR!$A$6:$ZZ$1048576"), MATCH(AL$1, MayR!$6:$6, 0), FALSE),
            0
        ) +
        IFERROR(
            VLOOKUP($A87, INDIRECT("JunR!$A$6:$ZZ$1048576"), MATCH(AL$1, JunR!$6:$6, 0), FALSE),
            0
        ) +
        IFERROR(
            VLOOKUP($A87, INDIRECT("JulR!$A$6:$ZZ$1048576"), MATCH(AL$1, JulR!$6:$6, 0), FALSE),
            0
        ) +
        IFERROR(
            VLOOKUP($A87, INDIRECT("AgoR!$A$6:$ZZ$1048576"), MATCH(AL$1, AgoR!$6:$6, 0), FALSE),
            0
        ) +
        IFERROR(
            VLOOKUP($A87, INDIRECT("SepR!$A$6:$ZZ$1048576"), MATCH(AL$1, SepR!$6:$6, 0), FALSE),
            0
        ) +
        IFERROR(
            VLOOKUP($A87, INDIRECT("OctR!$A$6:$ZZ$1048576"), MATCH(AL$1, OctR!$6:$6, 0), FALSE),
            0
        ) +
        IFERROR(
            VLOOKUP($A87, INDIRECT("NovR!$A$6:$ZZ$1048576"), MATCH(AL$1, NovR!$6:$6, 0), FALSE),
            0
        ) +
        IFERROR(
            VLOOKUP($A87, INDIRECT("DicR!$A$6:$ZZ$1048576"), MATCH(AL$1, DicR!$6:$6, 0), FALSE),
            0
        )
)</f>
        <v>0</v>
      </c>
      <c r="AM87" s="37">
        <f t="array" ref="AM87">SUM(
    IFERROR(
            VLOOKUP($A87, INDIRECT("EneR!$A$6:$ZZ$1048576"), MATCH(AM$1, EneR!$6:$6, 0), FALSE),
            0
        ) +
        IFERROR(
            VLOOKUP($A87, INDIRECT("FebR!$A$6:$ZZ$1048576"), MATCH(AM$1, FebR!$6:$6, 0), FALSE),
            0
        ) +
        IFERROR(
            VLOOKUP($A87, INDIRECT("MarR!$A$6:$ZZ$1048576"), MATCH(AM$1, MarR!$6:$6, 0), FALSE),
            0
        ) +
        IFERROR(
            VLOOKUP($A87, INDIRECT("AbrR!$A$6:$ZZ$1048576"), MATCH(AM$1, AbrR!$6:$6, 0), FALSE),
            0
        ) +
        IFERROR(
            VLOOKUP($A87, INDIRECT("MayR!$A$6:$ZZ$1048576"), MATCH(AM$1, MayR!$6:$6, 0), FALSE),
            0
        ) +
        IFERROR(
            VLOOKUP($A87, INDIRECT("JunR!$A$6:$ZZ$1048576"), MATCH(AM$1, JunR!$6:$6, 0), FALSE),
            0
        ) +
        IFERROR(
            VLOOKUP($A87, INDIRECT("JulR!$A$6:$ZZ$1048576"), MATCH(AM$1, JulR!$6:$6, 0), FALSE),
            0
        ) +
        IFERROR(
            VLOOKUP($A87, INDIRECT("AgoR!$A$6:$ZZ$1048576"), MATCH(AM$1, AgoR!$6:$6, 0), FALSE),
            0
        ) +
        IFERROR(
            VLOOKUP($A87, INDIRECT("SepR!$A$6:$ZZ$1048576"), MATCH(AM$1, SepR!$6:$6, 0), FALSE),
            0
        ) +
        IFERROR(
            VLOOKUP($A87, INDIRECT("OctR!$A$6:$ZZ$1048576"), MATCH(AM$1, OctR!$6:$6, 0), FALSE),
            0
        ) +
        IFERROR(
            VLOOKUP($A87, INDIRECT("NovR!$A$6:$ZZ$1048576"), MATCH(AM$1, NovR!$6:$6, 0), FALSE),
            0
        ) +
        IFERROR(
            VLOOKUP($A87, INDIRECT("DicR!$A$6:$ZZ$1048576"), MATCH(AM$1, DicR!$6:$6, 0), FALSE),
            0
        )
)</f>
        <v>0</v>
      </c>
      <c r="AN87" s="32">
        <f t="array" ref="AN87">SUM(
    IFERROR(
            VLOOKUP($A87, INDIRECT("EneR!$A$6:$ZZ$1048576"), MATCH(AN$1, EneR!$6:$6, 0), FALSE),
            0
        ) +
        IFERROR(
            VLOOKUP($A87, INDIRECT("FebR!$A$6:$ZZ$1048576"), MATCH(AN$1, FebR!$6:$6, 0), FALSE),
            0
        ) +
        IFERROR(
            VLOOKUP($A87, INDIRECT("MarR!$A$6:$ZZ$1048576"), MATCH(AN$1, MarR!$6:$6, 0), FALSE),
            0
        ) +
        IFERROR(
            VLOOKUP($A87, INDIRECT("AbrR!$A$6:$ZZ$1048576"), MATCH(AN$1, AbrR!$6:$6, 0), FALSE),
            0
        ) +
        IFERROR(
            VLOOKUP($A87, INDIRECT("MayR!$A$6:$ZZ$1048576"), MATCH(AN$1, MayR!$6:$6, 0), FALSE),
            0
        ) +
        IFERROR(
            VLOOKUP($A87, INDIRECT("JunR!$A$6:$ZZ$1048576"), MATCH(AN$1, JunR!$6:$6, 0), FALSE),
            0
        ) +
        IFERROR(
            VLOOKUP($A87, INDIRECT("JulR!$A$6:$ZZ$1048576"), MATCH(AN$1, JulR!$6:$6, 0), FALSE),
            0
        ) +
        IFERROR(
            VLOOKUP($A87, INDIRECT("AgoR!$A$6:$ZZ$1048576"), MATCH(AN$1, AgoR!$6:$6, 0), FALSE),
            0
        ) +
        IFERROR(
            VLOOKUP($A87, INDIRECT("SepR!$A$6:$ZZ$1048576"), MATCH(AN$1, SepR!$6:$6, 0), FALSE),
            0
        ) +
        IFERROR(
            VLOOKUP($A87, INDIRECT("OctR!$A$6:$ZZ$1048576"), MATCH(AN$1, OctR!$6:$6, 0), FALSE),
            0
        ) +
        IFERROR(
            VLOOKUP($A87, INDIRECT("NovR!$A$6:$ZZ$1048576"), MATCH(AN$1, NovR!$6:$6, 0), FALSE),
            0
        ) +
        IFERROR(
            VLOOKUP($A87, INDIRECT("DicR!$A$6:$ZZ$1048576"), MATCH(AN$1, DicR!$6:$6, 0), FALSE),
            0
        )
)</f>
        <v>0</v>
      </c>
      <c r="AO87" s="35">
        <f t="array" ref="AO87">SUM(
    IFERROR(
            VLOOKUP($A87, INDIRECT("EneR!$A$6:$ZZ$1048576"), MATCH(AO$1, EneR!$6:$6, 0), FALSE),
            0
        ) +
        IFERROR(
            VLOOKUP($A87, INDIRECT("FebR!$A$6:$ZZ$1048576"), MATCH(AO$1, FebR!$6:$6, 0), FALSE),
            0
        ) +
        IFERROR(
            VLOOKUP($A87, INDIRECT("MarR!$A$6:$ZZ$1048576"), MATCH(AO$1, MarR!$6:$6, 0), FALSE),
            0
        ) +
        IFERROR(
            VLOOKUP($A87, INDIRECT("AbrR!$A$6:$ZZ$1048576"), MATCH(AO$1, AbrR!$6:$6, 0), FALSE),
            0
        ) +
        IFERROR(
            VLOOKUP($A87, INDIRECT("MayR!$A$6:$ZZ$1048576"), MATCH(AO$1, MayR!$6:$6, 0), FALSE),
            0
        ) +
        IFERROR(
            VLOOKUP($A87, INDIRECT("JunR!$A$6:$ZZ$1048576"), MATCH(AO$1, JunR!$6:$6, 0), FALSE),
            0
        ) +
        IFERROR(
            VLOOKUP($A87, INDIRECT("JulR!$A$6:$ZZ$1048576"), MATCH(AO$1, JulR!$6:$6, 0), FALSE),
            0
        ) +
        IFERROR(
            VLOOKUP($A87, INDIRECT("AgoR!$A$6:$ZZ$1048576"), MATCH(AO$1, AgoR!$6:$6, 0), FALSE),
            0
        ) +
        IFERROR(
            VLOOKUP($A87, INDIRECT("SepR!$A$6:$ZZ$1048576"), MATCH(AO$1, SepR!$6:$6, 0), FALSE),
            0
        ) +
        IFERROR(
            VLOOKUP($A87, INDIRECT("OctR!$A$6:$ZZ$1048576"), MATCH(AO$1, OctR!$6:$6, 0), FALSE),
            0
        ) +
        IFERROR(
            VLOOKUP($A87, INDIRECT("NovR!$A$6:$ZZ$1048576"), MATCH(AO$1, NovR!$6:$6, 0), FALSE),
            0
        ) +
        IFERROR(
            VLOOKUP($A87, INDIRECT("DicR!$A$6:$ZZ$1048576"), MATCH(AO$1, DicR!$6:$6, 0), FALSE),
            0
        )
)</f>
        <v>0</v>
      </c>
      <c r="AP87" s="36">
        <f t="array" ref="AP87">SUM(
    IFERROR(
            VLOOKUP($A87, INDIRECT("EneR!$A$6:$ZZ$1048576"), MATCH(AP$1, EneR!$6:$6, 0), FALSE),
            0
        ) +
        IFERROR(
            VLOOKUP($A87, INDIRECT("FebR!$A$6:$ZZ$1048576"), MATCH(AP$1, FebR!$6:$6, 0), FALSE),
            0
        ) +
        IFERROR(
            VLOOKUP($A87, INDIRECT("MarR!$A$6:$ZZ$1048576"), MATCH(AP$1, MarR!$6:$6, 0), FALSE),
            0
        ) +
        IFERROR(
            VLOOKUP($A87, INDIRECT("AbrR!$A$6:$ZZ$1048576"), MATCH(AP$1, AbrR!$6:$6, 0), FALSE),
            0
        ) +
        IFERROR(
            VLOOKUP($A87, INDIRECT("MayR!$A$6:$ZZ$1048576"), MATCH(AP$1, MayR!$6:$6, 0), FALSE),
            0
        ) +
        IFERROR(
            VLOOKUP($A87, INDIRECT("JunR!$A$6:$ZZ$1048576"), MATCH(AP$1, JunR!$6:$6, 0), FALSE),
            0
        ) +
        IFERROR(
            VLOOKUP($A87, INDIRECT("JulR!$A$6:$ZZ$1048576"), MATCH(AP$1, JulR!$6:$6, 0), FALSE),
            0
        ) +
        IFERROR(
            VLOOKUP($A87, INDIRECT("AgoR!$A$6:$ZZ$1048576"), MATCH(AP$1, AgoR!$6:$6, 0), FALSE),
            0
        ) +
        IFERROR(
            VLOOKUP($A87, INDIRECT("SepR!$A$6:$ZZ$1048576"), MATCH(AP$1, SepR!$6:$6, 0), FALSE),
            0
        ) +
        IFERROR(
            VLOOKUP($A87, INDIRECT("OctR!$A$6:$ZZ$1048576"), MATCH(AP$1, OctR!$6:$6, 0), FALSE),
            0
        ) +
        IFERROR(
            VLOOKUP($A87, INDIRECT("NovR!$A$6:$ZZ$1048576"), MATCH(AP$1, NovR!$6:$6, 0), FALSE),
            0
        ) +
        IFERROR(
            VLOOKUP($A87, INDIRECT("DicR!$A$6:$ZZ$1048576"), MATCH(AP$1, DicR!$6:$6, 0), FALSE),
            0
        )
)</f>
        <v>0</v>
      </c>
      <c r="AQ87" s="35">
        <f t="array" ref="AQ87">SUM(
    IFERROR(
            VLOOKUP($A87, INDIRECT("EneR!$A$6:$ZZ$1048576"), MATCH(AQ$1, EneR!$6:$6, 0), FALSE),
            0
        ) +
        IFERROR(
            VLOOKUP($A87, INDIRECT("FebR!$A$6:$ZZ$1048576"), MATCH(AQ$1, FebR!$6:$6, 0), FALSE),
            0
        ) +
        IFERROR(
            VLOOKUP($A87, INDIRECT("MarR!$A$6:$ZZ$1048576"), MATCH(AQ$1, MarR!$6:$6, 0), FALSE),
            0
        ) +
        IFERROR(
            VLOOKUP($A87, INDIRECT("AbrR!$A$6:$ZZ$1048576"), MATCH(AQ$1, AbrR!$6:$6, 0), FALSE),
            0
        ) +
        IFERROR(
            VLOOKUP($A87, INDIRECT("MayR!$A$6:$ZZ$1048576"), MATCH(AQ$1, MayR!$6:$6, 0), FALSE),
            0
        ) +
        IFERROR(
            VLOOKUP($A87, INDIRECT("JunR!$A$6:$ZZ$1048576"), MATCH(AQ$1, JunR!$6:$6, 0), FALSE),
            0
        ) +
        IFERROR(
            VLOOKUP($A87, INDIRECT("JulR!$A$6:$ZZ$1048576"), MATCH(AQ$1, JulR!$6:$6, 0), FALSE),
            0
        ) +
        IFERROR(
            VLOOKUP($A87, INDIRECT("AgoR!$A$6:$ZZ$1048576"), MATCH(AQ$1, AgoR!$6:$6, 0), FALSE),
            0
        ) +
        IFERROR(
            VLOOKUP($A87, INDIRECT("SepR!$A$6:$ZZ$1048576"), MATCH(AQ$1, SepR!$6:$6, 0), FALSE),
            0
        ) +
        IFERROR(
            VLOOKUP($A87, INDIRECT("OctR!$A$6:$ZZ$1048576"), MATCH(AQ$1, OctR!$6:$6, 0), FALSE),
            0
        ) +
        IFERROR(
            VLOOKUP($A87, INDIRECT("NovR!$A$6:$ZZ$1048576"), MATCH(AQ$1, NovR!$6:$6, 0), FALSE),
            0
        ) +
        IFERROR(
            VLOOKUP($A87, INDIRECT("DicR!$A$6:$ZZ$1048576"), MATCH(AQ$1, DicR!$6:$6, 0), FALSE),
            0
        )
)</f>
        <v>0</v>
      </c>
      <c r="AR87" s="36">
        <f t="array" ref="AR87">SUM(
    IFERROR(
            VLOOKUP($A87, INDIRECT("EneR!$A$6:$ZZ$1048576"), MATCH(AR$1, EneR!$6:$6, 0), FALSE),
            0
        ) +
        IFERROR(
            VLOOKUP($A87, INDIRECT("FebR!$A$6:$ZZ$1048576"), MATCH(AR$1, FebR!$6:$6, 0), FALSE),
            0
        ) +
        IFERROR(
            VLOOKUP($A87, INDIRECT("MarR!$A$6:$ZZ$1048576"), MATCH(AR$1, MarR!$6:$6, 0), FALSE),
            0
        ) +
        IFERROR(
            VLOOKUP($A87, INDIRECT("AbrR!$A$6:$ZZ$1048576"), MATCH(AR$1, AbrR!$6:$6, 0), FALSE),
            0
        ) +
        IFERROR(
            VLOOKUP($A87, INDIRECT("MayR!$A$6:$ZZ$1048576"), MATCH(AR$1, MayR!$6:$6, 0), FALSE),
            0
        ) +
        IFERROR(
            VLOOKUP($A87, INDIRECT("JunR!$A$6:$ZZ$1048576"), MATCH(AR$1, JunR!$6:$6, 0), FALSE),
            0
        ) +
        IFERROR(
            VLOOKUP($A87, INDIRECT("JulR!$A$6:$ZZ$1048576"), MATCH(AR$1, JulR!$6:$6, 0), FALSE),
            0
        ) +
        IFERROR(
            VLOOKUP($A87, INDIRECT("AgoR!$A$6:$ZZ$1048576"), MATCH(AR$1, AgoR!$6:$6, 0), FALSE),
            0
        ) +
        IFERROR(
            VLOOKUP($A87, INDIRECT("SepR!$A$6:$ZZ$1048576"), MATCH(AR$1, SepR!$6:$6, 0), FALSE),
            0
        ) +
        IFERROR(
            VLOOKUP($A87, INDIRECT("OctR!$A$6:$ZZ$1048576"), MATCH(AR$1, OctR!$6:$6, 0), FALSE),
            0
        ) +
        IFERROR(
            VLOOKUP($A87, INDIRECT("NovR!$A$6:$ZZ$1048576"), MATCH(AR$1, NovR!$6:$6, 0), FALSE),
            0
        ) +
        IFERROR(
            VLOOKUP($A87, INDIRECT("DicR!$A$6:$ZZ$1048576"), MATCH(AR$1, DicR!$6:$6, 0), FALSE),
            0
        )
)</f>
        <v>0</v>
      </c>
      <c r="AS87" s="35">
        <f t="array" ref="AS87">SUM(
    IFERROR(
            VLOOKUP($A87, INDIRECT("EneR!$A$6:$ZZ$1048576"), MATCH(AS$1, EneR!$6:$6, 0), FALSE),
            0
        ) +
        IFERROR(
            VLOOKUP($A87, INDIRECT("FebR!$A$6:$ZZ$1048576"), MATCH(AS$1, FebR!$6:$6, 0), FALSE),
            0
        ) +
        IFERROR(
            VLOOKUP($A87, INDIRECT("MarR!$A$6:$ZZ$1048576"), MATCH(AS$1, MarR!$6:$6, 0), FALSE),
            0
        ) +
        IFERROR(
            VLOOKUP($A87, INDIRECT("AbrR!$A$6:$ZZ$1048576"), MATCH(AS$1, AbrR!$6:$6, 0), FALSE),
            0
        ) +
        IFERROR(
            VLOOKUP($A87, INDIRECT("MayR!$A$6:$ZZ$1048576"), MATCH(AS$1, MayR!$6:$6, 0), FALSE),
            0
        ) +
        IFERROR(
            VLOOKUP($A87, INDIRECT("JunR!$A$6:$ZZ$1048576"), MATCH(AS$1, JunR!$6:$6, 0), FALSE),
            0
        ) +
        IFERROR(
            VLOOKUP($A87, INDIRECT("JulR!$A$6:$ZZ$1048576"), MATCH(AS$1, JulR!$6:$6, 0), FALSE),
            0
        ) +
        IFERROR(
            VLOOKUP($A87, INDIRECT("AgoR!$A$6:$ZZ$1048576"), MATCH(AS$1, AgoR!$6:$6, 0), FALSE),
            0
        ) +
        IFERROR(
            VLOOKUP($A87, INDIRECT("SepR!$A$6:$ZZ$1048576"), MATCH(AS$1, SepR!$6:$6, 0), FALSE),
            0
        ) +
        IFERROR(
            VLOOKUP($A87, INDIRECT("OctR!$A$6:$ZZ$1048576"), MATCH(AS$1, OctR!$6:$6, 0), FALSE),
            0
        ) +
        IFERROR(
            VLOOKUP($A87, INDIRECT("NovR!$A$6:$ZZ$1048576"), MATCH(AS$1, NovR!$6:$6, 0), FALSE),
            0
        ) +
        IFERROR(
            VLOOKUP($A87, INDIRECT("DicR!$A$6:$ZZ$1048576"), MATCH(AS$1, DicR!$6:$6, 0), FALSE),
            0
        )
)</f>
        <v>0</v>
      </c>
      <c r="AT87" s="36">
        <f t="array" ref="AT87">SUM(
    IFERROR(
            VLOOKUP($A87, INDIRECT("EneR!$A$6:$ZZ$1048576"), MATCH(AT$1, EneR!$6:$6, 0), FALSE),
            0
        ) +
        IFERROR(
            VLOOKUP($A87, INDIRECT("FebR!$A$6:$ZZ$1048576"), MATCH(AT$1, FebR!$6:$6, 0), FALSE),
            0
        ) +
        IFERROR(
            VLOOKUP($A87, INDIRECT("MarR!$A$6:$ZZ$1048576"), MATCH(AT$1, MarR!$6:$6, 0), FALSE),
            0
        ) +
        IFERROR(
            VLOOKUP($A87, INDIRECT("AbrR!$A$6:$ZZ$1048576"), MATCH(AT$1, AbrR!$6:$6, 0), FALSE),
            0
        ) +
        IFERROR(
            VLOOKUP($A87, INDIRECT("MayR!$A$6:$ZZ$1048576"), MATCH(AT$1, MayR!$6:$6, 0), FALSE),
            0
        ) +
        IFERROR(
            VLOOKUP($A87, INDIRECT("JunR!$A$6:$ZZ$1048576"), MATCH(AT$1, JunR!$6:$6, 0), FALSE),
            0
        ) +
        IFERROR(
            VLOOKUP($A87, INDIRECT("JulR!$A$6:$ZZ$1048576"), MATCH(AT$1, JulR!$6:$6, 0), FALSE),
            0
        ) +
        IFERROR(
            VLOOKUP($A87, INDIRECT("AgoR!$A$6:$ZZ$1048576"), MATCH(AT$1, AgoR!$6:$6, 0), FALSE),
            0
        ) +
        IFERROR(
            VLOOKUP($A87, INDIRECT("SepR!$A$6:$ZZ$1048576"), MATCH(AT$1, SepR!$6:$6, 0), FALSE),
            0
        ) +
        IFERROR(
            VLOOKUP($A87, INDIRECT("OctR!$A$6:$ZZ$1048576"), MATCH(AT$1, OctR!$6:$6, 0), FALSE),
            0
        ) +
        IFERROR(
            VLOOKUP($A87, INDIRECT("NovR!$A$6:$ZZ$1048576"), MATCH(AT$1, NovR!$6:$6, 0), FALSE),
            0
        ) +
        IFERROR(
            VLOOKUP($A87, INDIRECT("DicR!$A$6:$ZZ$1048576"), MATCH(AT$1, DicR!$6:$6, 0), FALSE),
            0
        )
)</f>
        <v>0</v>
      </c>
      <c r="AU87" s="35">
        <f t="array" ref="AU87">SUM(
    IFERROR(
            VLOOKUP($A87, INDIRECT("EneR!$A$6:$ZZ$1048576"), MATCH(AU$1, EneR!$6:$6, 0), FALSE),
            0
        ) +
        IFERROR(
            VLOOKUP($A87, INDIRECT("FebR!$A$6:$ZZ$1048576"), MATCH(AU$1, FebR!$6:$6, 0), FALSE),
            0
        ) +
        IFERROR(
            VLOOKUP($A87, INDIRECT("MarR!$A$6:$ZZ$1048576"), MATCH(AU$1, MarR!$6:$6, 0), FALSE),
            0
        ) +
        IFERROR(
            VLOOKUP($A87, INDIRECT("AbrR!$A$6:$ZZ$1048576"), MATCH(AU$1, AbrR!$6:$6, 0), FALSE),
            0
        ) +
        IFERROR(
            VLOOKUP($A87, INDIRECT("MayR!$A$6:$ZZ$1048576"), MATCH(AU$1, MayR!$6:$6, 0), FALSE),
            0
        ) +
        IFERROR(
            VLOOKUP($A87, INDIRECT("JunR!$A$6:$ZZ$1048576"), MATCH(AU$1, JunR!$6:$6, 0), FALSE),
            0
        ) +
        IFERROR(
            VLOOKUP($A87, INDIRECT("JulR!$A$6:$ZZ$1048576"), MATCH(AU$1, JulR!$6:$6, 0), FALSE),
            0
        ) +
        IFERROR(
            VLOOKUP($A87, INDIRECT("AgoR!$A$6:$ZZ$1048576"), MATCH(AU$1, AgoR!$6:$6, 0), FALSE),
            0
        ) +
        IFERROR(
            VLOOKUP($A87, INDIRECT("SepR!$A$6:$ZZ$1048576"), MATCH(AU$1, SepR!$6:$6, 0), FALSE),
            0
        ) +
        IFERROR(
            VLOOKUP($A87, INDIRECT("OctR!$A$6:$ZZ$1048576"), MATCH(AU$1, OctR!$6:$6, 0), FALSE),
            0
        ) +
        IFERROR(
            VLOOKUP($A87, INDIRECT("NovR!$A$6:$ZZ$1048576"), MATCH(AU$1, NovR!$6:$6, 0), FALSE),
            0
        ) +
        IFERROR(
            VLOOKUP($A87, INDIRECT("DicR!$A$6:$ZZ$1048576"), MATCH(AU$1, DicR!$6:$6, 0), FALSE),
            0
        )
)</f>
        <v>0</v>
      </c>
      <c r="AV87" s="36">
        <f t="array" ref="AV87">SUM(
    IFERROR(
            VLOOKUP($A87, INDIRECT("EneR!$A$6:$ZZ$1048576"), MATCH(AV$1, EneR!$6:$6, 0), FALSE),
            0
        ) +
        IFERROR(
            VLOOKUP($A87, INDIRECT("FebR!$A$6:$ZZ$1048576"), MATCH(AV$1, FebR!$6:$6, 0), FALSE),
            0
        ) +
        IFERROR(
            VLOOKUP($A87, INDIRECT("MarR!$A$6:$ZZ$1048576"), MATCH(AV$1, MarR!$6:$6, 0), FALSE),
            0
        ) +
        IFERROR(
            VLOOKUP($A87, INDIRECT("AbrR!$A$6:$ZZ$1048576"), MATCH(AV$1, AbrR!$6:$6, 0), FALSE),
            0
        ) +
        IFERROR(
            VLOOKUP($A87, INDIRECT("MayR!$A$6:$ZZ$1048576"), MATCH(AV$1, MayR!$6:$6, 0), FALSE),
            0
        ) +
        IFERROR(
            VLOOKUP($A87, INDIRECT("JunR!$A$6:$ZZ$1048576"), MATCH(AV$1, JunR!$6:$6, 0), FALSE),
            0
        ) +
        IFERROR(
            VLOOKUP($A87, INDIRECT("JulR!$A$6:$ZZ$1048576"), MATCH(AV$1, JulR!$6:$6, 0), FALSE),
            0
        ) +
        IFERROR(
            VLOOKUP($A87, INDIRECT("AgoR!$A$6:$ZZ$1048576"), MATCH(AV$1, AgoR!$6:$6, 0), FALSE),
            0
        ) +
        IFERROR(
            VLOOKUP($A87, INDIRECT("SepR!$A$6:$ZZ$1048576"), MATCH(AV$1, SepR!$6:$6, 0), FALSE),
            0
        ) +
        IFERROR(
            VLOOKUP($A87, INDIRECT("OctR!$A$6:$ZZ$1048576"), MATCH(AV$1, OctR!$6:$6, 0), FALSE),
            0
        ) +
        IFERROR(
            VLOOKUP($A87, INDIRECT("NovR!$A$6:$ZZ$1048576"), MATCH(AV$1, NovR!$6:$6, 0), FALSE),
            0
        ) +
        IFERROR(
            VLOOKUP($A87, INDIRECT("DicR!$A$6:$ZZ$1048576"), MATCH(AV$1, DicR!$6:$6, 0), FALSE),
            0
        )
)</f>
        <v>0</v>
      </c>
      <c r="AW87" s="35">
        <f t="array" ref="AW87">SUM(
    IFERROR(
            VLOOKUP($A87, INDIRECT("EneR!$A$6:$ZZ$1048576"), MATCH(AW$1, EneR!$6:$6, 0), FALSE),
            0
        ) +
        IFERROR(
            VLOOKUP($A87, INDIRECT("FebR!$A$6:$ZZ$1048576"), MATCH(AW$1, FebR!$6:$6, 0), FALSE),
            0
        ) +
        IFERROR(
            VLOOKUP($A87, INDIRECT("MarR!$A$6:$ZZ$1048576"), MATCH(AW$1, MarR!$6:$6, 0), FALSE),
            0
        ) +
        IFERROR(
            VLOOKUP($A87, INDIRECT("AbrR!$A$6:$ZZ$1048576"), MATCH(AW$1, AbrR!$6:$6, 0), FALSE),
            0
        ) +
        IFERROR(
            VLOOKUP($A87, INDIRECT("MayR!$A$6:$ZZ$1048576"), MATCH(AW$1, MayR!$6:$6, 0), FALSE),
            0
        ) +
        IFERROR(
            VLOOKUP($A87, INDIRECT("JunR!$A$6:$ZZ$1048576"), MATCH(AW$1, JunR!$6:$6, 0), FALSE),
            0
        ) +
        IFERROR(
            VLOOKUP($A87, INDIRECT("JulR!$A$6:$ZZ$1048576"), MATCH(AW$1, JulR!$6:$6, 0), FALSE),
            0
        ) +
        IFERROR(
            VLOOKUP($A87, INDIRECT("AgoR!$A$6:$ZZ$1048576"), MATCH(AW$1, AgoR!$6:$6, 0), FALSE),
            0
        ) +
        IFERROR(
            VLOOKUP($A87, INDIRECT("SepR!$A$6:$ZZ$1048576"), MATCH(AW$1, SepR!$6:$6, 0), FALSE),
            0
        ) +
        IFERROR(
            VLOOKUP($A87, INDIRECT("OctR!$A$6:$ZZ$1048576"), MATCH(AW$1, OctR!$6:$6, 0), FALSE),
            0
        ) +
        IFERROR(
            VLOOKUP($A87, INDIRECT("NovR!$A$6:$ZZ$1048576"), MATCH(AW$1, NovR!$6:$6, 0), FALSE),
            0
        ) +
        IFERROR(
            VLOOKUP($A87, INDIRECT("DicR!$A$6:$ZZ$1048576"), MATCH(AW$1, DicR!$6:$6, 0), FALSE),
            0
        )
)</f>
        <v>0</v>
      </c>
      <c r="AX87" s="36">
        <f t="array" ref="AX87">SUM(
    IFERROR(
            VLOOKUP($A87, INDIRECT("EneR!$A$6:$ZZ$1048576"), MATCH(AX$1, EneR!$6:$6, 0), FALSE),
            0
        ) +
        IFERROR(
            VLOOKUP($A87, INDIRECT("FebR!$A$6:$ZZ$1048576"), MATCH(AX$1, FebR!$6:$6, 0), FALSE),
            0
        ) +
        IFERROR(
            VLOOKUP($A87, INDIRECT("MarR!$A$6:$ZZ$1048576"), MATCH(AX$1, MarR!$6:$6, 0), FALSE),
            0
        ) +
        IFERROR(
            VLOOKUP($A87, INDIRECT("AbrR!$A$6:$ZZ$1048576"), MATCH(AX$1, AbrR!$6:$6, 0), FALSE),
            0
        ) +
        IFERROR(
            VLOOKUP($A87, INDIRECT("MayR!$A$6:$ZZ$1048576"), MATCH(AX$1, MayR!$6:$6, 0), FALSE),
            0
        ) +
        IFERROR(
            VLOOKUP($A87, INDIRECT("JunR!$A$6:$ZZ$1048576"), MATCH(AX$1, JunR!$6:$6, 0), FALSE),
            0
        ) +
        IFERROR(
            VLOOKUP($A87, INDIRECT("JulR!$A$6:$ZZ$1048576"), MATCH(AX$1, JulR!$6:$6, 0), FALSE),
            0
        ) +
        IFERROR(
            VLOOKUP($A87, INDIRECT("AgoR!$A$6:$ZZ$1048576"), MATCH(AX$1, AgoR!$6:$6, 0), FALSE),
            0
        ) +
        IFERROR(
            VLOOKUP($A87, INDIRECT("SepR!$A$6:$ZZ$1048576"), MATCH(AX$1, SepR!$6:$6, 0), FALSE),
            0
        ) +
        IFERROR(
            VLOOKUP($A87, INDIRECT("OctR!$A$6:$ZZ$1048576"), MATCH(AX$1, OctR!$6:$6, 0), FALSE),
            0
        ) +
        IFERROR(
            VLOOKUP($A87, INDIRECT("NovR!$A$6:$ZZ$1048576"), MATCH(AX$1, NovR!$6:$6, 0), FALSE),
            0
        ) +
        IFERROR(
            VLOOKUP($A87, INDIRECT("DicR!$A$6:$ZZ$1048576"), MATCH(AX$1, DicR!$6:$6, 0), FALSE),
            0
        )
)</f>
        <v>0</v>
      </c>
      <c r="AY87" s="35">
        <f t="array" ref="AY87">SUM(
    IFERROR(
            VLOOKUP($A87, INDIRECT("EneR!$A$6:$ZZ$1048576"), MATCH(AY$1, EneR!$6:$6, 0), FALSE),
            0
        ) +
        IFERROR(
            VLOOKUP($A87, INDIRECT("FebR!$A$6:$ZZ$1048576"), MATCH(AY$1, FebR!$6:$6, 0), FALSE),
            0
        ) +
        IFERROR(
            VLOOKUP($A87, INDIRECT("MarR!$A$6:$ZZ$1048576"), MATCH(AY$1, MarR!$6:$6, 0), FALSE),
            0
        ) +
        IFERROR(
            VLOOKUP($A87, INDIRECT("AbrR!$A$6:$ZZ$1048576"), MATCH(AY$1, AbrR!$6:$6, 0), FALSE),
            0
        ) +
        IFERROR(
            VLOOKUP($A87, INDIRECT("MayR!$A$6:$ZZ$1048576"), MATCH(AY$1, MayR!$6:$6, 0), FALSE),
            0
        ) +
        IFERROR(
            VLOOKUP($A87, INDIRECT("JunR!$A$6:$ZZ$1048576"), MATCH(AY$1, JunR!$6:$6, 0), FALSE),
            0
        ) +
        IFERROR(
            VLOOKUP($A87, INDIRECT("JulR!$A$6:$ZZ$1048576"), MATCH(AY$1, JulR!$6:$6, 0), FALSE),
            0
        ) +
        IFERROR(
            VLOOKUP($A87, INDIRECT("AgoR!$A$6:$ZZ$1048576"), MATCH(AY$1, AgoR!$6:$6, 0), FALSE),
            0
        ) +
        IFERROR(
            VLOOKUP($A87, INDIRECT("SepR!$A$6:$ZZ$1048576"), MATCH(AY$1, SepR!$6:$6, 0), FALSE),
            0
        ) +
        IFERROR(
            VLOOKUP($A87, INDIRECT("OctR!$A$6:$ZZ$1048576"), MATCH(AY$1, OctR!$6:$6, 0), FALSE),
            0
        ) +
        IFERROR(
            VLOOKUP($A87, INDIRECT("NovR!$A$6:$ZZ$1048576"), MATCH(AY$1, NovR!$6:$6, 0), FALSE),
            0
        ) +
        IFERROR(
            VLOOKUP($A87, INDIRECT("DicR!$A$6:$ZZ$1048576"), MATCH(AY$1, DicR!$6:$6, 0), FALSE),
            0
        )
)</f>
        <v>0</v>
      </c>
      <c r="AZ87" s="35"/>
    </row>
    <row r="88" ht="15.75" hidden="1" customHeight="1">
      <c r="A88" s="12" t="str">
        <f>Menus!B49</f>
        <v/>
      </c>
      <c r="B88" s="32">
        <f t="shared" si="11"/>
        <v>0</v>
      </c>
      <c r="C88" s="33" t="str">
        <f t="shared" si="10"/>
        <v/>
      </c>
      <c r="D88" s="34">
        <f t="array" ref="D88">SUM(
    IFERROR(
            VLOOKUP($A88, INDIRECT("EneR!$A$6:$ZZ$1048576"), MATCH(D$1, EneR!$6:$6, 0), FALSE),
            0
        ) +
        IFERROR(
            VLOOKUP($A88, INDIRECT("FebR!$A$6:$ZZ$1048576"), MATCH(D$1, FebR!$6:$6, 0), FALSE),
            0
        ) +
        IFERROR(
            VLOOKUP($A88, INDIRECT("MarR!$A$6:$ZZ$1048576"), MATCH(D$1, MarR!$6:$6, 0), FALSE),
            0
        ) +
        IFERROR(
            VLOOKUP($A88, INDIRECT("AbrR!$A$6:$ZZ$1048576"), MATCH(D$1, AbrR!$6:$6, 0), FALSE),
            0
        ) +
        IFERROR(
            VLOOKUP($A88, INDIRECT("MayR!$A$6:$ZZ$1048576"), MATCH(D$1, MayR!$6:$6, 0), FALSE),
            0
        ) +
        IFERROR(
            VLOOKUP($A88, INDIRECT("JunR!$A$6:$ZZ$1048576"), MATCH(D$1, JunR!$6:$6, 0), FALSE),
            0
        ) +
        IFERROR(
            VLOOKUP($A88, INDIRECT("JulR!$A$6:$ZZ$1048576"), MATCH(D$1, JulR!$6:$6, 0), FALSE),
            0
        ) +
        IFERROR(
            VLOOKUP($A88, INDIRECT("AgoR!$A$6:$ZZ$1048576"), MATCH(D$1, AgoR!$6:$6, 0), FALSE),
            0
        ) +
        IFERROR(
            VLOOKUP($A88, INDIRECT("SepR!$A$6:$ZZ$1048576"), MATCH(D$1, SepR!$6:$6, 0), FALSE),
            0
        ) +
        IFERROR(
            VLOOKUP($A88, INDIRECT("OctR!$A$6:$ZZ$1048576"), MATCH(D$1, OctR!$6:$6, 0), FALSE),
            0
        ) +
        IFERROR(
            VLOOKUP($A88, INDIRECT("NovR!$A$6:$ZZ$1048576"), MATCH(D$1, NovR!$6:$6, 0), FALSE),
            0
        ) +
        IFERROR(
            VLOOKUP($A88, INDIRECT("DicR!$A$6:$ZZ$1048576"), MATCH(D$1, DicR!$6:$6, 0), FALSE),
            0
        )
)</f>
        <v>0</v>
      </c>
      <c r="E88" s="35">
        <f t="array" ref="E88">SUM(
    IFERROR(
            VLOOKUP($A88, INDIRECT("EneR!$A$6:$ZZ$1048576"), MATCH(E$1, EneR!$6:$6, 0), FALSE),
            0
        ) +
        IFERROR(
            VLOOKUP($A88, INDIRECT("FebR!$A$6:$ZZ$1048576"), MATCH(E$1, FebR!$6:$6, 0), FALSE),
            0
        ) +
        IFERROR(
            VLOOKUP($A88, INDIRECT("MarR!$A$6:$ZZ$1048576"), MATCH(E$1, MarR!$6:$6, 0), FALSE),
            0
        ) +
        IFERROR(
            VLOOKUP($A88, INDIRECT("AbrR!$A$6:$ZZ$1048576"), MATCH(E$1, AbrR!$6:$6, 0), FALSE),
            0
        ) +
        IFERROR(
            VLOOKUP($A88, INDIRECT("MayR!$A$6:$ZZ$1048576"), MATCH(E$1, MayR!$6:$6, 0), FALSE),
            0
        ) +
        IFERROR(
            VLOOKUP($A88, INDIRECT("JunR!$A$6:$ZZ$1048576"), MATCH(E$1, JunR!$6:$6, 0), FALSE),
            0
        ) +
        IFERROR(
            VLOOKUP($A88, INDIRECT("JulR!$A$6:$ZZ$1048576"), MATCH(E$1, JulR!$6:$6, 0), FALSE),
            0
        ) +
        IFERROR(
            VLOOKUP($A88, INDIRECT("AgoR!$A$6:$ZZ$1048576"), MATCH(E$1, AgoR!$6:$6, 0), FALSE),
            0
        ) +
        IFERROR(
            VLOOKUP($A88, INDIRECT("SepR!$A$6:$ZZ$1048576"), MATCH(E$1, SepR!$6:$6, 0), FALSE),
            0
        ) +
        IFERROR(
            VLOOKUP($A88, INDIRECT("OctR!$A$6:$ZZ$1048576"), MATCH(E$1, OctR!$6:$6, 0), FALSE),
            0
        ) +
        IFERROR(
            VLOOKUP($A88, INDIRECT("NovR!$A$6:$ZZ$1048576"), MATCH(E$1, NovR!$6:$6, 0), FALSE),
            0
        ) +
        IFERROR(
            VLOOKUP($A88, INDIRECT("DicR!$A$6:$ZZ$1048576"), MATCH(E$1, DicR!$6:$6, 0), FALSE),
            0
        )
)</f>
        <v>0</v>
      </c>
      <c r="F88" s="32">
        <f t="array" ref="F88">SUM(
    IFERROR(
            VLOOKUP($A88, INDIRECT("EneR!$A$6:$ZZ$1048576"), MATCH(F$1, EneR!$6:$6, 0), FALSE),
            0
        ) +
        IFERROR(
            VLOOKUP($A88, INDIRECT("FebR!$A$6:$ZZ$1048576"), MATCH(F$1, FebR!$6:$6, 0), FALSE),
            0
        ) +
        IFERROR(
            VLOOKUP($A88, INDIRECT("MarR!$A$6:$ZZ$1048576"), MATCH(F$1, MarR!$6:$6, 0), FALSE),
            0
        ) +
        IFERROR(
            VLOOKUP($A88, INDIRECT("AbrR!$A$6:$ZZ$1048576"), MATCH(F$1, AbrR!$6:$6, 0), FALSE),
            0
        ) +
        IFERROR(
            VLOOKUP($A88, INDIRECT("MayR!$A$6:$ZZ$1048576"), MATCH(F$1, MayR!$6:$6, 0), FALSE),
            0
        ) +
        IFERROR(
            VLOOKUP($A88, INDIRECT("JunR!$A$6:$ZZ$1048576"), MATCH(F$1, JunR!$6:$6, 0), FALSE),
            0
        ) +
        IFERROR(
            VLOOKUP($A88, INDIRECT("JulR!$A$6:$ZZ$1048576"), MATCH(F$1, JulR!$6:$6, 0), FALSE),
            0
        ) +
        IFERROR(
            VLOOKUP($A88, INDIRECT("AgoR!$A$6:$ZZ$1048576"), MATCH(F$1, AgoR!$6:$6, 0), FALSE),
            0
        ) +
        IFERROR(
            VLOOKUP($A88, INDIRECT("SepR!$A$6:$ZZ$1048576"), MATCH(F$1, SepR!$6:$6, 0), FALSE),
            0
        ) +
        IFERROR(
            VLOOKUP($A88, INDIRECT("OctR!$A$6:$ZZ$1048576"), MATCH(F$1, OctR!$6:$6, 0), FALSE),
            0
        ) +
        IFERROR(
            VLOOKUP($A88, INDIRECT("NovR!$A$6:$ZZ$1048576"), MATCH(F$1, NovR!$6:$6, 0), FALSE),
            0
        ) +
        IFERROR(
            VLOOKUP($A88, INDIRECT("DicR!$A$6:$ZZ$1048576"), MATCH(F$1, DicR!$6:$6, 0), FALSE),
            0
        )
)</f>
        <v>0</v>
      </c>
      <c r="G88" s="35">
        <f t="array" ref="G88">SUM(
    IFERROR(
            VLOOKUP($A88, INDIRECT("EneR!$A$6:$ZZ$1048576"), MATCH(G$1, EneR!$6:$6, 0), FALSE),
            0
        ) +
        IFERROR(
            VLOOKUP($A88, INDIRECT("FebR!$A$6:$ZZ$1048576"), MATCH(G$1, FebR!$6:$6, 0), FALSE),
            0
        ) +
        IFERROR(
            VLOOKUP($A88, INDIRECT("MarR!$A$6:$ZZ$1048576"), MATCH(G$1, MarR!$6:$6, 0), FALSE),
            0
        ) +
        IFERROR(
            VLOOKUP($A88, INDIRECT("AbrR!$A$6:$ZZ$1048576"), MATCH(G$1, AbrR!$6:$6, 0), FALSE),
            0
        ) +
        IFERROR(
            VLOOKUP($A88, INDIRECT("MayR!$A$6:$ZZ$1048576"), MATCH(G$1, MayR!$6:$6, 0), FALSE),
            0
        ) +
        IFERROR(
            VLOOKUP($A88, INDIRECT("JunR!$A$6:$ZZ$1048576"), MATCH(G$1, JunR!$6:$6, 0), FALSE),
            0
        ) +
        IFERROR(
            VLOOKUP($A88, INDIRECT("JulR!$A$6:$ZZ$1048576"), MATCH(G$1, JulR!$6:$6, 0), FALSE),
            0
        ) +
        IFERROR(
            VLOOKUP($A88, INDIRECT("AgoR!$A$6:$ZZ$1048576"), MATCH(G$1, AgoR!$6:$6, 0), FALSE),
            0
        ) +
        IFERROR(
            VLOOKUP($A88, INDIRECT("SepR!$A$6:$ZZ$1048576"), MATCH(G$1, SepR!$6:$6, 0), FALSE),
            0
        ) +
        IFERROR(
            VLOOKUP($A88, INDIRECT("OctR!$A$6:$ZZ$1048576"), MATCH(G$1, OctR!$6:$6, 0), FALSE),
            0
        ) +
        IFERROR(
            VLOOKUP($A88, INDIRECT("NovR!$A$6:$ZZ$1048576"), MATCH(G$1, NovR!$6:$6, 0), FALSE),
            0
        ) +
        IFERROR(
            VLOOKUP($A88, INDIRECT("DicR!$A$6:$ZZ$1048576"), MATCH(G$1, DicR!$6:$6, 0), FALSE),
            0
        )
)</f>
        <v>0</v>
      </c>
      <c r="H88" s="32">
        <f t="array" ref="H88">SUM(
    IFERROR(
            VLOOKUP($A88, INDIRECT("EneR!$A$6:$ZZ$1048576"), MATCH(H$1, EneR!$6:$6, 0), FALSE),
            0
        ) +
        IFERROR(
            VLOOKUP($A88, INDIRECT("FebR!$A$6:$ZZ$1048576"), MATCH(H$1, FebR!$6:$6, 0), FALSE),
            0
        ) +
        IFERROR(
            VLOOKUP($A88, INDIRECT("MarR!$A$6:$ZZ$1048576"), MATCH(H$1, MarR!$6:$6, 0), FALSE),
            0
        ) +
        IFERROR(
            VLOOKUP($A88, INDIRECT("AbrR!$A$6:$ZZ$1048576"), MATCH(H$1, AbrR!$6:$6, 0), FALSE),
            0
        ) +
        IFERROR(
            VLOOKUP($A88, INDIRECT("MayR!$A$6:$ZZ$1048576"), MATCH(H$1, MayR!$6:$6, 0), FALSE),
            0
        ) +
        IFERROR(
            VLOOKUP($A88, INDIRECT("JunR!$A$6:$ZZ$1048576"), MATCH(H$1, JunR!$6:$6, 0), FALSE),
            0
        ) +
        IFERROR(
            VLOOKUP($A88, INDIRECT("JulR!$A$6:$ZZ$1048576"), MATCH(H$1, JulR!$6:$6, 0), FALSE),
            0
        ) +
        IFERROR(
            VLOOKUP($A88, INDIRECT("AgoR!$A$6:$ZZ$1048576"), MATCH(H$1, AgoR!$6:$6, 0), FALSE),
            0
        ) +
        IFERROR(
            VLOOKUP($A88, INDIRECT("SepR!$A$6:$ZZ$1048576"), MATCH(H$1, SepR!$6:$6, 0), FALSE),
            0
        ) +
        IFERROR(
            VLOOKUP($A88, INDIRECT("OctR!$A$6:$ZZ$1048576"), MATCH(H$1, OctR!$6:$6, 0), FALSE),
            0
        ) +
        IFERROR(
            VLOOKUP($A88, INDIRECT("NovR!$A$6:$ZZ$1048576"), MATCH(H$1, NovR!$6:$6, 0), FALSE),
            0
        ) +
        IFERROR(
            VLOOKUP($A88, INDIRECT("DicR!$A$6:$ZZ$1048576"), MATCH(H$1, DicR!$6:$6, 0), FALSE),
            0
        )
)</f>
        <v>0</v>
      </c>
      <c r="I88" s="35">
        <f t="array" ref="I88">SUM(
    IFERROR(
            VLOOKUP($A88, INDIRECT("EneR!$A$6:$ZZ$1048576"), MATCH(I$1, EneR!$6:$6, 0), FALSE),
            0
        ) +
        IFERROR(
            VLOOKUP($A88, INDIRECT("FebR!$A$6:$ZZ$1048576"), MATCH(I$1, FebR!$6:$6, 0), FALSE),
            0
        ) +
        IFERROR(
            VLOOKUP($A88, INDIRECT("MarR!$A$6:$ZZ$1048576"), MATCH(I$1, MarR!$6:$6, 0), FALSE),
            0
        ) +
        IFERROR(
            VLOOKUP($A88, INDIRECT("AbrR!$A$6:$ZZ$1048576"), MATCH(I$1, AbrR!$6:$6, 0), FALSE),
            0
        ) +
        IFERROR(
            VLOOKUP($A88, INDIRECT("MayR!$A$6:$ZZ$1048576"), MATCH(I$1, MayR!$6:$6, 0), FALSE),
            0
        ) +
        IFERROR(
            VLOOKUP($A88, INDIRECT("JunR!$A$6:$ZZ$1048576"), MATCH(I$1, JunR!$6:$6, 0), FALSE),
            0
        ) +
        IFERROR(
            VLOOKUP($A88, INDIRECT("JulR!$A$6:$ZZ$1048576"), MATCH(I$1, JulR!$6:$6, 0), FALSE),
            0
        ) +
        IFERROR(
            VLOOKUP($A88, INDIRECT("AgoR!$A$6:$ZZ$1048576"), MATCH(I$1, AgoR!$6:$6, 0), FALSE),
            0
        ) +
        IFERROR(
            VLOOKUP($A88, INDIRECT("SepR!$A$6:$ZZ$1048576"), MATCH(I$1, SepR!$6:$6, 0), FALSE),
            0
        ) +
        IFERROR(
            VLOOKUP($A88, INDIRECT("OctR!$A$6:$ZZ$1048576"), MATCH(I$1, OctR!$6:$6, 0), FALSE),
            0
        ) +
        IFERROR(
            VLOOKUP($A88, INDIRECT("NovR!$A$6:$ZZ$1048576"), MATCH(I$1, NovR!$6:$6, 0), FALSE),
            0
        ) +
        IFERROR(
            VLOOKUP($A88, INDIRECT("DicR!$A$6:$ZZ$1048576"), MATCH(I$1, DicR!$6:$6, 0), FALSE),
            0
        )
)</f>
        <v>0</v>
      </c>
      <c r="J88" s="32">
        <f t="array" ref="J88">SUM(
    IFERROR(
            VLOOKUP($A88, INDIRECT("EneR!$A$6:$ZZ$1048576"), MATCH(J$1, EneR!$6:$6, 0), FALSE),
            0
        ) +
        IFERROR(
            VLOOKUP($A88, INDIRECT("FebR!$A$6:$ZZ$1048576"), MATCH(J$1, FebR!$6:$6, 0), FALSE),
            0
        ) +
        IFERROR(
            VLOOKUP($A88, INDIRECT("MarR!$A$6:$ZZ$1048576"), MATCH(J$1, MarR!$6:$6, 0), FALSE),
            0
        ) +
        IFERROR(
            VLOOKUP($A88, INDIRECT("AbrR!$A$6:$ZZ$1048576"), MATCH(J$1, AbrR!$6:$6, 0), FALSE),
            0
        ) +
        IFERROR(
            VLOOKUP($A88, INDIRECT("MayR!$A$6:$ZZ$1048576"), MATCH(J$1, MayR!$6:$6, 0), FALSE),
            0
        ) +
        IFERROR(
            VLOOKUP($A88, INDIRECT("JunR!$A$6:$ZZ$1048576"), MATCH(J$1, JunR!$6:$6, 0), FALSE),
            0
        ) +
        IFERROR(
            VLOOKUP($A88, INDIRECT("JulR!$A$6:$ZZ$1048576"), MATCH(J$1, JulR!$6:$6, 0), FALSE),
            0
        ) +
        IFERROR(
            VLOOKUP($A88, INDIRECT("AgoR!$A$6:$ZZ$1048576"), MATCH(J$1, AgoR!$6:$6, 0), FALSE),
            0
        ) +
        IFERROR(
            VLOOKUP($A88, INDIRECT("SepR!$A$6:$ZZ$1048576"), MATCH(J$1, SepR!$6:$6, 0), FALSE),
            0
        ) +
        IFERROR(
            VLOOKUP($A88, INDIRECT("OctR!$A$6:$ZZ$1048576"), MATCH(J$1, OctR!$6:$6, 0), FALSE),
            0
        ) +
        IFERROR(
            VLOOKUP($A88, INDIRECT("NovR!$A$6:$ZZ$1048576"), MATCH(J$1, NovR!$6:$6, 0), FALSE),
            0
        ) +
        IFERROR(
            VLOOKUP($A88, INDIRECT("DicR!$A$6:$ZZ$1048576"), MATCH(J$1, DicR!$6:$6, 0), FALSE),
            0
        )
)</f>
        <v>0</v>
      </c>
      <c r="K88" s="35">
        <f t="array" ref="K88">SUM(
    IFERROR(
            VLOOKUP($A88, INDIRECT("EneR!$A$6:$ZZ$1048576"), MATCH(K$1, EneR!$6:$6, 0), FALSE),
            0
        ) +
        IFERROR(
            VLOOKUP($A88, INDIRECT("FebR!$A$6:$ZZ$1048576"), MATCH(K$1, FebR!$6:$6, 0), FALSE),
            0
        ) +
        IFERROR(
            VLOOKUP($A88, INDIRECT("MarR!$A$6:$ZZ$1048576"), MATCH(K$1, MarR!$6:$6, 0), FALSE),
            0
        ) +
        IFERROR(
            VLOOKUP($A88, INDIRECT("AbrR!$A$6:$ZZ$1048576"), MATCH(K$1, AbrR!$6:$6, 0), FALSE),
            0
        ) +
        IFERROR(
            VLOOKUP($A88, INDIRECT("MayR!$A$6:$ZZ$1048576"), MATCH(K$1, MayR!$6:$6, 0), FALSE),
            0
        ) +
        IFERROR(
            VLOOKUP($A88, INDIRECT("JunR!$A$6:$ZZ$1048576"), MATCH(K$1, JunR!$6:$6, 0), FALSE),
            0
        ) +
        IFERROR(
            VLOOKUP($A88, INDIRECT("JulR!$A$6:$ZZ$1048576"), MATCH(K$1, JulR!$6:$6, 0), FALSE),
            0
        ) +
        IFERROR(
            VLOOKUP($A88, INDIRECT("AgoR!$A$6:$ZZ$1048576"), MATCH(K$1, AgoR!$6:$6, 0), FALSE),
            0
        ) +
        IFERROR(
            VLOOKUP($A88, INDIRECT("SepR!$A$6:$ZZ$1048576"), MATCH(K$1, SepR!$6:$6, 0), FALSE),
            0
        ) +
        IFERROR(
            VLOOKUP($A88, INDIRECT("OctR!$A$6:$ZZ$1048576"), MATCH(K$1, OctR!$6:$6, 0), FALSE),
            0
        ) +
        IFERROR(
            VLOOKUP($A88, INDIRECT("NovR!$A$6:$ZZ$1048576"), MATCH(K$1, NovR!$6:$6, 0), FALSE),
            0
        ) +
        IFERROR(
            VLOOKUP($A88, INDIRECT("DicR!$A$6:$ZZ$1048576"), MATCH(K$1, DicR!$6:$6, 0), FALSE),
            0
        )
)</f>
        <v>0</v>
      </c>
      <c r="L88" s="32">
        <f t="array" ref="L88">SUM(
    IFERROR(
            VLOOKUP($A88, INDIRECT("EneR!$A$6:$ZZ$1048576"), MATCH(L$1, EneR!$6:$6, 0), FALSE),
            0
        ) +
        IFERROR(
            VLOOKUP($A88, INDIRECT("FebR!$A$6:$ZZ$1048576"), MATCH(L$1, FebR!$6:$6, 0), FALSE),
            0
        ) +
        IFERROR(
            VLOOKUP($A88, INDIRECT("MarR!$A$6:$ZZ$1048576"), MATCH(L$1, MarR!$6:$6, 0), FALSE),
            0
        ) +
        IFERROR(
            VLOOKUP($A88, INDIRECT("AbrR!$A$6:$ZZ$1048576"), MATCH(L$1, AbrR!$6:$6, 0), FALSE),
            0
        ) +
        IFERROR(
            VLOOKUP($A88, INDIRECT("MayR!$A$6:$ZZ$1048576"), MATCH(L$1, MayR!$6:$6, 0), FALSE),
            0
        ) +
        IFERROR(
            VLOOKUP($A88, INDIRECT("JunR!$A$6:$ZZ$1048576"), MATCH(L$1, JunR!$6:$6, 0), FALSE),
            0
        ) +
        IFERROR(
            VLOOKUP($A88, INDIRECT("JulR!$A$6:$ZZ$1048576"), MATCH(L$1, JulR!$6:$6, 0), FALSE),
            0
        ) +
        IFERROR(
            VLOOKUP($A88, INDIRECT("AgoR!$A$6:$ZZ$1048576"), MATCH(L$1, AgoR!$6:$6, 0), FALSE),
            0
        ) +
        IFERROR(
            VLOOKUP($A88, INDIRECT("SepR!$A$6:$ZZ$1048576"), MATCH(L$1, SepR!$6:$6, 0), FALSE),
            0
        ) +
        IFERROR(
            VLOOKUP($A88, INDIRECT("OctR!$A$6:$ZZ$1048576"), MATCH(L$1, OctR!$6:$6, 0), FALSE),
            0
        ) +
        IFERROR(
            VLOOKUP($A88, INDIRECT("NovR!$A$6:$ZZ$1048576"), MATCH(L$1, NovR!$6:$6, 0), FALSE),
            0
        ) +
        IFERROR(
            VLOOKUP($A88, INDIRECT("DicR!$A$6:$ZZ$1048576"), MATCH(L$1, DicR!$6:$6, 0), FALSE),
            0
        )
)</f>
        <v>0</v>
      </c>
      <c r="M88" s="35">
        <f t="array" ref="M88">SUM(
    IFERROR(
            VLOOKUP($A88, INDIRECT("EneR!$A$6:$ZZ$1048576"), MATCH(M$1, EneR!$6:$6, 0), FALSE),
            0
        ) +
        IFERROR(
            VLOOKUP($A88, INDIRECT("FebR!$A$6:$ZZ$1048576"), MATCH(M$1, FebR!$6:$6, 0), FALSE),
            0
        ) +
        IFERROR(
            VLOOKUP($A88, INDIRECT("MarR!$A$6:$ZZ$1048576"), MATCH(M$1, MarR!$6:$6, 0), FALSE),
            0
        ) +
        IFERROR(
            VLOOKUP($A88, INDIRECT("AbrR!$A$6:$ZZ$1048576"), MATCH(M$1, AbrR!$6:$6, 0), FALSE),
            0
        ) +
        IFERROR(
            VLOOKUP($A88, INDIRECT("MayR!$A$6:$ZZ$1048576"), MATCH(M$1, MayR!$6:$6, 0), FALSE),
            0
        ) +
        IFERROR(
            VLOOKUP($A88, INDIRECT("JunR!$A$6:$ZZ$1048576"), MATCH(M$1, JunR!$6:$6, 0), FALSE),
            0
        ) +
        IFERROR(
            VLOOKUP($A88, INDIRECT("JulR!$A$6:$ZZ$1048576"), MATCH(M$1, JulR!$6:$6, 0), FALSE),
            0
        ) +
        IFERROR(
            VLOOKUP($A88, INDIRECT("AgoR!$A$6:$ZZ$1048576"), MATCH(M$1, AgoR!$6:$6, 0), FALSE),
            0
        ) +
        IFERROR(
            VLOOKUP($A88, INDIRECT("SepR!$A$6:$ZZ$1048576"), MATCH(M$1, SepR!$6:$6, 0), FALSE),
            0
        ) +
        IFERROR(
            VLOOKUP($A88, INDIRECT("OctR!$A$6:$ZZ$1048576"), MATCH(M$1, OctR!$6:$6, 0), FALSE),
            0
        ) +
        IFERROR(
            VLOOKUP($A88, INDIRECT("NovR!$A$6:$ZZ$1048576"), MATCH(M$1, NovR!$6:$6, 0), FALSE),
            0
        ) +
        IFERROR(
            VLOOKUP($A88, INDIRECT("DicR!$A$6:$ZZ$1048576"), MATCH(M$1, DicR!$6:$6, 0), FALSE),
            0
        )
)</f>
        <v>0</v>
      </c>
      <c r="N88" s="32">
        <f t="array" ref="N88">SUM(
    IFERROR(
            VLOOKUP($A88, INDIRECT("EneR!$A$6:$ZZ$1048576"), MATCH(N$1, EneR!$6:$6, 0), FALSE),
            0
        ) +
        IFERROR(
            VLOOKUP($A88, INDIRECT("FebR!$A$6:$ZZ$1048576"), MATCH(N$1, FebR!$6:$6, 0), FALSE),
            0
        ) +
        IFERROR(
            VLOOKUP($A88, INDIRECT("MarR!$A$6:$ZZ$1048576"), MATCH(N$1, MarR!$6:$6, 0), FALSE),
            0
        ) +
        IFERROR(
            VLOOKUP($A88, INDIRECT("AbrR!$A$6:$ZZ$1048576"), MATCH(N$1, AbrR!$6:$6, 0), FALSE),
            0
        ) +
        IFERROR(
            VLOOKUP($A88, INDIRECT("MayR!$A$6:$ZZ$1048576"), MATCH(N$1, MayR!$6:$6, 0), FALSE),
            0
        ) +
        IFERROR(
            VLOOKUP($A88, INDIRECT("JunR!$A$6:$ZZ$1048576"), MATCH(N$1, JunR!$6:$6, 0), FALSE),
            0
        ) +
        IFERROR(
            VLOOKUP($A88, INDIRECT("JulR!$A$6:$ZZ$1048576"), MATCH(N$1, JulR!$6:$6, 0), FALSE),
            0
        ) +
        IFERROR(
            VLOOKUP($A88, INDIRECT("AgoR!$A$6:$ZZ$1048576"), MATCH(N$1, AgoR!$6:$6, 0), FALSE),
            0
        ) +
        IFERROR(
            VLOOKUP($A88, INDIRECT("SepR!$A$6:$ZZ$1048576"), MATCH(N$1, SepR!$6:$6, 0), FALSE),
            0
        ) +
        IFERROR(
            VLOOKUP($A88, INDIRECT("OctR!$A$6:$ZZ$1048576"), MATCH(N$1, OctR!$6:$6, 0), FALSE),
            0
        ) +
        IFERROR(
            VLOOKUP($A88, INDIRECT("NovR!$A$6:$ZZ$1048576"), MATCH(N$1, NovR!$6:$6, 0), FALSE),
            0
        ) +
        IFERROR(
            VLOOKUP($A88, INDIRECT("DicR!$A$6:$ZZ$1048576"), MATCH(N$1, DicR!$6:$6, 0), FALSE),
            0
        )
)</f>
        <v>0</v>
      </c>
      <c r="O88" s="35">
        <f t="array" ref="O88">SUM(
    IFERROR(
            VLOOKUP($A88, INDIRECT("EneR!$A$6:$ZZ$1048576"), MATCH(O$1, EneR!$6:$6, 0), FALSE),
            0
        ) +
        IFERROR(
            VLOOKUP($A88, INDIRECT("FebR!$A$6:$ZZ$1048576"), MATCH(O$1, FebR!$6:$6, 0), FALSE),
            0
        ) +
        IFERROR(
            VLOOKUP($A88, INDIRECT("MarR!$A$6:$ZZ$1048576"), MATCH(O$1, MarR!$6:$6, 0), FALSE),
            0
        ) +
        IFERROR(
            VLOOKUP($A88, INDIRECT("AbrR!$A$6:$ZZ$1048576"), MATCH(O$1, AbrR!$6:$6, 0), FALSE),
            0
        ) +
        IFERROR(
            VLOOKUP($A88, INDIRECT("MayR!$A$6:$ZZ$1048576"), MATCH(O$1, MayR!$6:$6, 0), FALSE),
            0
        ) +
        IFERROR(
            VLOOKUP($A88, INDIRECT("JunR!$A$6:$ZZ$1048576"), MATCH(O$1, JunR!$6:$6, 0), FALSE),
            0
        ) +
        IFERROR(
            VLOOKUP($A88, INDIRECT("JulR!$A$6:$ZZ$1048576"), MATCH(O$1, JulR!$6:$6, 0), FALSE),
            0
        ) +
        IFERROR(
            VLOOKUP($A88, INDIRECT("AgoR!$A$6:$ZZ$1048576"), MATCH(O$1, AgoR!$6:$6, 0), FALSE),
            0
        ) +
        IFERROR(
            VLOOKUP($A88, INDIRECT("SepR!$A$6:$ZZ$1048576"), MATCH(O$1, SepR!$6:$6, 0), FALSE),
            0
        ) +
        IFERROR(
            VLOOKUP($A88, INDIRECT("OctR!$A$6:$ZZ$1048576"), MATCH(O$1, OctR!$6:$6, 0), FALSE),
            0
        ) +
        IFERROR(
            VLOOKUP($A88, INDIRECT("NovR!$A$6:$ZZ$1048576"), MATCH(O$1, NovR!$6:$6, 0), FALSE),
            0
        ) +
        IFERROR(
            VLOOKUP($A88, INDIRECT("DicR!$A$6:$ZZ$1048576"), MATCH(O$1, DicR!$6:$6, 0), FALSE),
            0
        )
)</f>
        <v>0</v>
      </c>
      <c r="P88" s="32">
        <f t="array" ref="P88">SUM(
    IFERROR(
            VLOOKUP($A88, INDIRECT("EneR!$A$6:$ZZ$1048576"), MATCH(P$1, EneR!$6:$6, 0), FALSE),
            0
        ) +
        IFERROR(
            VLOOKUP($A88, INDIRECT("FebR!$A$6:$ZZ$1048576"), MATCH(P$1, FebR!$6:$6, 0), FALSE),
            0
        ) +
        IFERROR(
            VLOOKUP($A88, INDIRECT("MarR!$A$6:$ZZ$1048576"), MATCH(P$1, MarR!$6:$6, 0), FALSE),
            0
        ) +
        IFERROR(
            VLOOKUP($A88, INDIRECT("AbrR!$A$6:$ZZ$1048576"), MATCH(P$1, AbrR!$6:$6, 0), FALSE),
            0
        ) +
        IFERROR(
            VLOOKUP($A88, INDIRECT("MayR!$A$6:$ZZ$1048576"), MATCH(P$1, MayR!$6:$6, 0), FALSE),
            0
        ) +
        IFERROR(
            VLOOKUP($A88, INDIRECT("JunR!$A$6:$ZZ$1048576"), MATCH(P$1, JunR!$6:$6, 0), FALSE),
            0
        ) +
        IFERROR(
            VLOOKUP($A88, INDIRECT("JulR!$A$6:$ZZ$1048576"), MATCH(P$1, JulR!$6:$6, 0), FALSE),
            0
        ) +
        IFERROR(
            VLOOKUP($A88, INDIRECT("AgoR!$A$6:$ZZ$1048576"), MATCH(P$1, AgoR!$6:$6, 0), FALSE),
            0
        ) +
        IFERROR(
            VLOOKUP($A88, INDIRECT("SepR!$A$6:$ZZ$1048576"), MATCH(P$1, SepR!$6:$6, 0), FALSE),
            0
        ) +
        IFERROR(
            VLOOKUP($A88, INDIRECT("OctR!$A$6:$ZZ$1048576"), MATCH(P$1, OctR!$6:$6, 0), FALSE),
            0
        ) +
        IFERROR(
            VLOOKUP($A88, INDIRECT("NovR!$A$6:$ZZ$1048576"), MATCH(P$1, NovR!$6:$6, 0), FALSE),
            0
        ) +
        IFERROR(
            VLOOKUP($A88, INDIRECT("DicR!$A$6:$ZZ$1048576"), MATCH(P$1, DicR!$6:$6, 0), FALSE),
            0
        )
)</f>
        <v>0</v>
      </c>
      <c r="Q88" s="35">
        <f t="array" ref="Q88">SUM(
    IFERROR(
            VLOOKUP($A88, INDIRECT("EneR!$A$6:$ZZ$1048576"), MATCH(Q$1, EneR!$6:$6, 0), FALSE),
            0
        ) +
        IFERROR(
            VLOOKUP($A88, INDIRECT("FebR!$A$6:$ZZ$1048576"), MATCH(Q$1, FebR!$6:$6, 0), FALSE),
            0
        ) +
        IFERROR(
            VLOOKUP($A88, INDIRECT("MarR!$A$6:$ZZ$1048576"), MATCH(Q$1, MarR!$6:$6, 0), FALSE),
            0
        ) +
        IFERROR(
            VLOOKUP($A88, INDIRECT("AbrR!$A$6:$ZZ$1048576"), MATCH(Q$1, AbrR!$6:$6, 0), FALSE),
            0
        ) +
        IFERROR(
            VLOOKUP($A88, INDIRECT("MayR!$A$6:$ZZ$1048576"), MATCH(Q$1, MayR!$6:$6, 0), FALSE),
            0
        ) +
        IFERROR(
            VLOOKUP($A88, INDIRECT("JunR!$A$6:$ZZ$1048576"), MATCH(Q$1, JunR!$6:$6, 0), FALSE),
            0
        ) +
        IFERROR(
            VLOOKUP($A88, INDIRECT("JulR!$A$6:$ZZ$1048576"), MATCH(Q$1, JulR!$6:$6, 0), FALSE),
            0
        ) +
        IFERROR(
            VLOOKUP($A88, INDIRECT("AgoR!$A$6:$ZZ$1048576"), MATCH(Q$1, AgoR!$6:$6, 0), FALSE),
            0
        ) +
        IFERROR(
            VLOOKUP($A88, INDIRECT("SepR!$A$6:$ZZ$1048576"), MATCH(Q$1, SepR!$6:$6, 0), FALSE),
            0
        ) +
        IFERROR(
            VLOOKUP($A88, INDIRECT("OctR!$A$6:$ZZ$1048576"), MATCH(Q$1, OctR!$6:$6, 0), FALSE),
            0
        ) +
        IFERROR(
            VLOOKUP($A88, INDIRECT("NovR!$A$6:$ZZ$1048576"), MATCH(Q$1, NovR!$6:$6, 0), FALSE),
            0
        ) +
        IFERROR(
            VLOOKUP($A88, INDIRECT("DicR!$A$6:$ZZ$1048576"), MATCH(Q$1, DicR!$6:$6, 0), FALSE),
            0
        )
)</f>
        <v>0</v>
      </c>
      <c r="R88" s="36">
        <f t="array" ref="R88">SUM(
    IFERROR(
            VLOOKUP($A88, INDIRECT("EneR!$A$6:$ZZ$1048576"), MATCH(R$1, EneR!$6:$6, 0), FALSE),
            0
        ) +
        IFERROR(
            VLOOKUP($A88, INDIRECT("FebR!$A$6:$ZZ$1048576"), MATCH(R$1, FebR!$6:$6, 0), FALSE),
            0
        ) +
        IFERROR(
            VLOOKUP($A88, INDIRECT("MarR!$A$6:$ZZ$1048576"), MATCH(R$1, MarR!$6:$6, 0), FALSE),
            0
        ) +
        IFERROR(
            VLOOKUP($A88, INDIRECT("AbrR!$A$6:$ZZ$1048576"), MATCH(R$1, AbrR!$6:$6, 0), FALSE),
            0
        ) +
        IFERROR(
            VLOOKUP($A88, INDIRECT("MayR!$A$6:$ZZ$1048576"), MATCH(R$1, MayR!$6:$6, 0), FALSE),
            0
        ) +
        IFERROR(
            VLOOKUP($A88, INDIRECT("JunR!$A$6:$ZZ$1048576"), MATCH(R$1, JunR!$6:$6, 0), FALSE),
            0
        ) +
        IFERROR(
            VLOOKUP($A88, INDIRECT("JulR!$A$6:$ZZ$1048576"), MATCH(R$1, JulR!$6:$6, 0), FALSE),
            0
        ) +
        IFERROR(
            VLOOKUP($A88, INDIRECT("AgoR!$A$6:$ZZ$1048576"), MATCH(R$1, AgoR!$6:$6, 0), FALSE),
            0
        ) +
        IFERROR(
            VLOOKUP($A88, INDIRECT("SepR!$A$6:$ZZ$1048576"), MATCH(R$1, SepR!$6:$6, 0), FALSE),
            0
        ) +
        IFERROR(
            VLOOKUP($A88, INDIRECT("OctR!$A$6:$ZZ$1048576"), MATCH(R$1, OctR!$6:$6, 0), FALSE),
            0
        ) +
        IFERROR(
            VLOOKUP($A88, INDIRECT("NovR!$A$6:$ZZ$1048576"), MATCH(R$1, NovR!$6:$6, 0), FALSE),
            0
        ) +
        IFERROR(
            VLOOKUP($A88, INDIRECT("DicR!$A$6:$ZZ$1048576"), MATCH(R$1, DicR!$6:$6, 0), FALSE),
            0
        )
)</f>
        <v>0</v>
      </c>
      <c r="S88" s="37">
        <f t="array" ref="S88">SUM(
    IFERROR(
            VLOOKUP($A88, INDIRECT("EneR!$A$6:$ZZ$1048576"), MATCH(S$1, EneR!$6:$6, 0), FALSE),
            0
        ) +
        IFERROR(
            VLOOKUP($A88, INDIRECT("FebR!$A$6:$ZZ$1048576"), MATCH(S$1, FebR!$6:$6, 0), FALSE),
            0
        ) +
        IFERROR(
            VLOOKUP($A88, INDIRECT("MarR!$A$6:$ZZ$1048576"), MATCH(S$1, MarR!$6:$6, 0), FALSE),
            0
        ) +
        IFERROR(
            VLOOKUP($A88, INDIRECT("AbrR!$A$6:$ZZ$1048576"), MATCH(S$1, AbrR!$6:$6, 0), FALSE),
            0
        ) +
        IFERROR(
            VLOOKUP($A88, INDIRECT("MayR!$A$6:$ZZ$1048576"), MATCH(S$1, MayR!$6:$6, 0), FALSE),
            0
        ) +
        IFERROR(
            VLOOKUP($A88, INDIRECT("JunR!$A$6:$ZZ$1048576"), MATCH(S$1, JunR!$6:$6, 0), FALSE),
            0
        ) +
        IFERROR(
            VLOOKUP($A88, INDIRECT("JulR!$A$6:$ZZ$1048576"), MATCH(S$1, JulR!$6:$6, 0), FALSE),
            0
        ) +
        IFERROR(
            VLOOKUP($A88, INDIRECT("AgoR!$A$6:$ZZ$1048576"), MATCH(S$1, AgoR!$6:$6, 0), FALSE),
            0
        ) +
        IFERROR(
            VLOOKUP($A88, INDIRECT("SepR!$A$6:$ZZ$1048576"), MATCH(S$1, SepR!$6:$6, 0), FALSE),
            0
        ) +
        IFERROR(
            VLOOKUP($A88, INDIRECT("OctR!$A$6:$ZZ$1048576"), MATCH(S$1, OctR!$6:$6, 0), FALSE),
            0
        ) +
        IFERROR(
            VLOOKUP($A88, INDIRECT("NovR!$A$6:$ZZ$1048576"), MATCH(S$1, NovR!$6:$6, 0), FALSE),
            0
        ) +
        IFERROR(
            VLOOKUP($A88, INDIRECT("DicR!$A$6:$ZZ$1048576"), MATCH(S$1, DicR!$6:$6, 0), FALSE),
            0
        )
)</f>
        <v>0</v>
      </c>
      <c r="T88" s="36">
        <f t="array" ref="T88">SUM(
    IFERROR(
            VLOOKUP($A88, INDIRECT("EneR!$A$6:$ZZ$1048576"), MATCH(T$1, EneR!$6:$6, 0), FALSE),
            0
        ) +
        IFERROR(
            VLOOKUP($A88, INDIRECT("FebR!$A$6:$ZZ$1048576"), MATCH(T$1, FebR!$6:$6, 0), FALSE),
            0
        ) +
        IFERROR(
            VLOOKUP($A88, INDIRECT("MarR!$A$6:$ZZ$1048576"), MATCH(T$1, MarR!$6:$6, 0), FALSE),
            0
        ) +
        IFERROR(
            VLOOKUP($A88, INDIRECT("AbrR!$A$6:$ZZ$1048576"), MATCH(T$1, AbrR!$6:$6, 0), FALSE),
            0
        ) +
        IFERROR(
            VLOOKUP($A88, INDIRECT("MayR!$A$6:$ZZ$1048576"), MATCH(T$1, MayR!$6:$6, 0), FALSE),
            0
        ) +
        IFERROR(
            VLOOKUP($A88, INDIRECT("JunR!$A$6:$ZZ$1048576"), MATCH(T$1, JunR!$6:$6, 0), FALSE),
            0
        ) +
        IFERROR(
            VLOOKUP($A88, INDIRECT("JulR!$A$6:$ZZ$1048576"), MATCH(T$1, JulR!$6:$6, 0), FALSE),
            0
        ) +
        IFERROR(
            VLOOKUP($A88, INDIRECT("AgoR!$A$6:$ZZ$1048576"), MATCH(T$1, AgoR!$6:$6, 0), FALSE),
            0
        ) +
        IFERROR(
            VLOOKUP($A88, INDIRECT("SepR!$A$6:$ZZ$1048576"), MATCH(T$1, SepR!$6:$6, 0), FALSE),
            0
        ) +
        IFERROR(
            VLOOKUP($A88, INDIRECT("OctR!$A$6:$ZZ$1048576"), MATCH(T$1, OctR!$6:$6, 0), FALSE),
            0
        ) +
        IFERROR(
            VLOOKUP($A88, INDIRECT("NovR!$A$6:$ZZ$1048576"), MATCH(T$1, NovR!$6:$6, 0), FALSE),
            0
        ) +
        IFERROR(
            VLOOKUP($A88, INDIRECT("DicR!$A$6:$ZZ$1048576"), MATCH(T$1, DicR!$6:$6, 0), FALSE),
            0
        )
)</f>
        <v>0</v>
      </c>
      <c r="U88" s="37">
        <f t="array" ref="U88">SUM(
    IFERROR(
            VLOOKUP($A88, INDIRECT("EneR!$A$6:$ZZ$1048576"), MATCH(U$1, EneR!$6:$6, 0), FALSE),
            0
        ) +
        IFERROR(
            VLOOKUP($A88, INDIRECT("FebR!$A$6:$ZZ$1048576"), MATCH(U$1, FebR!$6:$6, 0), FALSE),
            0
        ) +
        IFERROR(
            VLOOKUP($A88, INDIRECT("MarR!$A$6:$ZZ$1048576"), MATCH(U$1, MarR!$6:$6, 0), FALSE),
            0
        ) +
        IFERROR(
            VLOOKUP($A88, INDIRECT("AbrR!$A$6:$ZZ$1048576"), MATCH(U$1, AbrR!$6:$6, 0), FALSE),
            0
        ) +
        IFERROR(
            VLOOKUP($A88, INDIRECT("MayR!$A$6:$ZZ$1048576"), MATCH(U$1, MayR!$6:$6, 0), FALSE),
            0
        ) +
        IFERROR(
            VLOOKUP($A88, INDIRECT("JunR!$A$6:$ZZ$1048576"), MATCH(U$1, JunR!$6:$6, 0), FALSE),
            0
        ) +
        IFERROR(
            VLOOKUP($A88, INDIRECT("JulR!$A$6:$ZZ$1048576"), MATCH(U$1, JulR!$6:$6, 0), FALSE),
            0
        ) +
        IFERROR(
            VLOOKUP($A88, INDIRECT("AgoR!$A$6:$ZZ$1048576"), MATCH(U$1, AgoR!$6:$6, 0), FALSE),
            0
        ) +
        IFERROR(
            VLOOKUP($A88, INDIRECT("SepR!$A$6:$ZZ$1048576"), MATCH(U$1, SepR!$6:$6, 0), FALSE),
            0
        ) +
        IFERROR(
            VLOOKUP($A88, INDIRECT("OctR!$A$6:$ZZ$1048576"), MATCH(U$1, OctR!$6:$6, 0), FALSE),
            0
        ) +
        IFERROR(
            VLOOKUP($A88, INDIRECT("NovR!$A$6:$ZZ$1048576"), MATCH(U$1, NovR!$6:$6, 0), FALSE),
            0
        ) +
        IFERROR(
            VLOOKUP($A88, INDIRECT("DicR!$A$6:$ZZ$1048576"), MATCH(U$1, DicR!$6:$6, 0), FALSE),
            0
        )
)</f>
        <v>0</v>
      </c>
      <c r="V88" s="36">
        <f t="array" ref="V88">SUM(
    IFERROR(
            VLOOKUP($A88, INDIRECT("EneR!$A$6:$ZZ$1048576"), MATCH(V$1, EneR!$6:$6, 0), FALSE),
            0
        ) +
        IFERROR(
            VLOOKUP($A88, INDIRECT("FebR!$A$6:$ZZ$1048576"), MATCH(V$1, FebR!$6:$6, 0), FALSE),
            0
        ) +
        IFERROR(
            VLOOKUP($A88, INDIRECT("MarR!$A$6:$ZZ$1048576"), MATCH(V$1, MarR!$6:$6, 0), FALSE),
            0
        ) +
        IFERROR(
            VLOOKUP($A88, INDIRECT("AbrR!$A$6:$ZZ$1048576"), MATCH(V$1, AbrR!$6:$6, 0), FALSE),
            0
        ) +
        IFERROR(
            VLOOKUP($A88, INDIRECT("MayR!$A$6:$ZZ$1048576"), MATCH(V$1, MayR!$6:$6, 0), FALSE),
            0
        ) +
        IFERROR(
            VLOOKUP($A88, INDIRECT("JunR!$A$6:$ZZ$1048576"), MATCH(V$1, JunR!$6:$6, 0), FALSE),
            0
        ) +
        IFERROR(
            VLOOKUP($A88, INDIRECT("JulR!$A$6:$ZZ$1048576"), MATCH(V$1, JulR!$6:$6, 0), FALSE),
            0
        ) +
        IFERROR(
            VLOOKUP($A88, INDIRECT("AgoR!$A$6:$ZZ$1048576"), MATCH(V$1, AgoR!$6:$6, 0), FALSE),
            0
        ) +
        IFERROR(
            VLOOKUP($A88, INDIRECT("SepR!$A$6:$ZZ$1048576"), MATCH(V$1, SepR!$6:$6, 0), FALSE),
            0
        ) +
        IFERROR(
            VLOOKUP($A88, INDIRECT("OctR!$A$6:$ZZ$1048576"), MATCH(V$1, OctR!$6:$6, 0), FALSE),
            0
        ) +
        IFERROR(
            VLOOKUP($A88, INDIRECT("NovR!$A$6:$ZZ$1048576"), MATCH(V$1, NovR!$6:$6, 0), FALSE),
            0
        ) +
        IFERROR(
            VLOOKUP($A88, INDIRECT("DicR!$A$6:$ZZ$1048576"), MATCH(V$1, DicR!$6:$6, 0), FALSE),
            0
        )
)</f>
        <v>0</v>
      </c>
      <c r="W88" s="37">
        <f t="array" ref="W88">SUM(
    IFERROR(
            VLOOKUP($A88, INDIRECT("EneR!$A$6:$ZZ$1048576"), MATCH(W$1, EneR!$6:$6, 0), FALSE),
            0
        ) +
        IFERROR(
            VLOOKUP($A88, INDIRECT("FebR!$A$6:$ZZ$1048576"), MATCH(W$1, FebR!$6:$6, 0), FALSE),
            0
        ) +
        IFERROR(
            VLOOKUP($A88, INDIRECT("MarR!$A$6:$ZZ$1048576"), MATCH(W$1, MarR!$6:$6, 0), FALSE),
            0
        ) +
        IFERROR(
            VLOOKUP($A88, INDIRECT("AbrR!$A$6:$ZZ$1048576"), MATCH(W$1, AbrR!$6:$6, 0), FALSE),
            0
        ) +
        IFERROR(
            VLOOKUP($A88, INDIRECT("MayR!$A$6:$ZZ$1048576"), MATCH(W$1, MayR!$6:$6, 0), FALSE),
            0
        ) +
        IFERROR(
            VLOOKUP($A88, INDIRECT("JunR!$A$6:$ZZ$1048576"), MATCH(W$1, JunR!$6:$6, 0), FALSE),
            0
        ) +
        IFERROR(
            VLOOKUP($A88, INDIRECT("JulR!$A$6:$ZZ$1048576"), MATCH(W$1, JulR!$6:$6, 0), FALSE),
            0
        ) +
        IFERROR(
            VLOOKUP($A88, INDIRECT("AgoR!$A$6:$ZZ$1048576"), MATCH(W$1, AgoR!$6:$6, 0), FALSE),
            0
        ) +
        IFERROR(
            VLOOKUP($A88, INDIRECT("SepR!$A$6:$ZZ$1048576"), MATCH(W$1, SepR!$6:$6, 0), FALSE),
            0
        ) +
        IFERROR(
            VLOOKUP($A88, INDIRECT("OctR!$A$6:$ZZ$1048576"), MATCH(W$1, OctR!$6:$6, 0), FALSE),
            0
        ) +
        IFERROR(
            VLOOKUP($A88, INDIRECT("NovR!$A$6:$ZZ$1048576"), MATCH(W$1, NovR!$6:$6, 0), FALSE),
            0
        ) +
        IFERROR(
            VLOOKUP($A88, INDIRECT("DicR!$A$6:$ZZ$1048576"), MATCH(W$1, DicR!$6:$6, 0), FALSE),
            0
        )
)</f>
        <v>0</v>
      </c>
      <c r="X88" s="36">
        <f t="array" ref="X88">SUM(
    IFERROR(
            VLOOKUP($A88, INDIRECT("EneR!$A$6:$ZZ$1048576"), MATCH(X$1, EneR!$6:$6, 0), FALSE),
            0
        ) +
        IFERROR(
            VLOOKUP($A88, INDIRECT("FebR!$A$6:$ZZ$1048576"), MATCH(X$1, FebR!$6:$6, 0), FALSE),
            0
        ) +
        IFERROR(
            VLOOKUP($A88, INDIRECT("MarR!$A$6:$ZZ$1048576"), MATCH(X$1, MarR!$6:$6, 0), FALSE),
            0
        ) +
        IFERROR(
            VLOOKUP($A88, INDIRECT("AbrR!$A$6:$ZZ$1048576"), MATCH(X$1, AbrR!$6:$6, 0), FALSE),
            0
        ) +
        IFERROR(
            VLOOKUP($A88, INDIRECT("MayR!$A$6:$ZZ$1048576"), MATCH(X$1, MayR!$6:$6, 0), FALSE),
            0
        ) +
        IFERROR(
            VLOOKUP($A88, INDIRECT("JunR!$A$6:$ZZ$1048576"), MATCH(X$1, JunR!$6:$6, 0), FALSE),
            0
        ) +
        IFERROR(
            VLOOKUP($A88, INDIRECT("JulR!$A$6:$ZZ$1048576"), MATCH(X$1, JulR!$6:$6, 0), FALSE),
            0
        ) +
        IFERROR(
            VLOOKUP($A88, INDIRECT("AgoR!$A$6:$ZZ$1048576"), MATCH(X$1, AgoR!$6:$6, 0), FALSE),
            0
        ) +
        IFERROR(
            VLOOKUP($A88, INDIRECT("SepR!$A$6:$ZZ$1048576"), MATCH(X$1, SepR!$6:$6, 0), FALSE),
            0
        ) +
        IFERROR(
            VLOOKUP($A88, INDIRECT("OctR!$A$6:$ZZ$1048576"), MATCH(X$1, OctR!$6:$6, 0), FALSE),
            0
        ) +
        IFERROR(
            VLOOKUP($A88, INDIRECT("NovR!$A$6:$ZZ$1048576"), MATCH(X$1, NovR!$6:$6, 0), FALSE),
            0
        ) +
        IFERROR(
            VLOOKUP($A88, INDIRECT("DicR!$A$6:$ZZ$1048576"), MATCH(X$1, DicR!$6:$6, 0), FALSE),
            0
        )
)</f>
        <v>0</v>
      </c>
      <c r="Y88" s="37">
        <f t="array" ref="Y88">SUM(
    IFERROR(
            VLOOKUP($A88, INDIRECT("EneR!$A$6:$ZZ$1048576"), MATCH(Y$1, EneR!$6:$6, 0), FALSE),
            0
        ) +
        IFERROR(
            VLOOKUP($A88, INDIRECT("FebR!$A$6:$ZZ$1048576"), MATCH(Y$1, FebR!$6:$6, 0), FALSE),
            0
        ) +
        IFERROR(
            VLOOKUP($A88, INDIRECT("MarR!$A$6:$ZZ$1048576"), MATCH(Y$1, MarR!$6:$6, 0), FALSE),
            0
        ) +
        IFERROR(
            VLOOKUP($A88, INDIRECT("AbrR!$A$6:$ZZ$1048576"), MATCH(Y$1, AbrR!$6:$6, 0), FALSE),
            0
        ) +
        IFERROR(
            VLOOKUP($A88, INDIRECT("MayR!$A$6:$ZZ$1048576"), MATCH(Y$1, MayR!$6:$6, 0), FALSE),
            0
        ) +
        IFERROR(
            VLOOKUP($A88, INDIRECT("JunR!$A$6:$ZZ$1048576"), MATCH(Y$1, JunR!$6:$6, 0), FALSE),
            0
        ) +
        IFERROR(
            VLOOKUP($A88, INDIRECT("JulR!$A$6:$ZZ$1048576"), MATCH(Y$1, JulR!$6:$6, 0), FALSE),
            0
        ) +
        IFERROR(
            VLOOKUP($A88, INDIRECT("AgoR!$A$6:$ZZ$1048576"), MATCH(Y$1, AgoR!$6:$6, 0), FALSE),
            0
        ) +
        IFERROR(
            VLOOKUP($A88, INDIRECT("SepR!$A$6:$ZZ$1048576"), MATCH(Y$1, SepR!$6:$6, 0), FALSE),
            0
        ) +
        IFERROR(
            VLOOKUP($A88, INDIRECT("OctR!$A$6:$ZZ$1048576"), MATCH(Y$1, OctR!$6:$6, 0), FALSE),
            0
        ) +
        IFERROR(
            VLOOKUP($A88, INDIRECT("NovR!$A$6:$ZZ$1048576"), MATCH(Y$1, NovR!$6:$6, 0), FALSE),
            0
        ) +
        IFERROR(
            VLOOKUP($A88, INDIRECT("DicR!$A$6:$ZZ$1048576"), MATCH(Y$1, DicR!$6:$6, 0), FALSE),
            0
        )
)</f>
        <v>0</v>
      </c>
      <c r="Z88" s="36">
        <f t="array" ref="Z88">SUM(
    IFERROR(
            VLOOKUP($A88, INDIRECT("EneR!$A$6:$ZZ$1048576"), MATCH(Z$1, EneR!$6:$6, 0), FALSE),
            0
        ) +
        IFERROR(
            VLOOKUP($A88, INDIRECT("FebR!$A$6:$ZZ$1048576"), MATCH(Z$1, FebR!$6:$6, 0), FALSE),
            0
        ) +
        IFERROR(
            VLOOKUP($A88, INDIRECT("MarR!$A$6:$ZZ$1048576"), MATCH(Z$1, MarR!$6:$6, 0), FALSE),
            0
        ) +
        IFERROR(
            VLOOKUP($A88, INDIRECT("AbrR!$A$6:$ZZ$1048576"), MATCH(Z$1, AbrR!$6:$6, 0), FALSE),
            0
        ) +
        IFERROR(
            VLOOKUP($A88, INDIRECT("MayR!$A$6:$ZZ$1048576"), MATCH(Z$1, MayR!$6:$6, 0), FALSE),
            0
        ) +
        IFERROR(
            VLOOKUP($A88, INDIRECT("JunR!$A$6:$ZZ$1048576"), MATCH(Z$1, JunR!$6:$6, 0), FALSE),
            0
        ) +
        IFERROR(
            VLOOKUP($A88, INDIRECT("JulR!$A$6:$ZZ$1048576"), MATCH(Z$1, JulR!$6:$6, 0), FALSE),
            0
        ) +
        IFERROR(
            VLOOKUP($A88, INDIRECT("AgoR!$A$6:$ZZ$1048576"), MATCH(Z$1, AgoR!$6:$6, 0), FALSE),
            0
        ) +
        IFERROR(
            VLOOKUP($A88, INDIRECT("SepR!$A$6:$ZZ$1048576"), MATCH(Z$1, SepR!$6:$6, 0), FALSE),
            0
        ) +
        IFERROR(
            VLOOKUP($A88, INDIRECT("OctR!$A$6:$ZZ$1048576"), MATCH(Z$1, OctR!$6:$6, 0), FALSE),
            0
        ) +
        IFERROR(
            VLOOKUP($A88, INDIRECT("NovR!$A$6:$ZZ$1048576"), MATCH(Z$1, NovR!$6:$6, 0), FALSE),
            0
        ) +
        IFERROR(
            VLOOKUP($A88, INDIRECT("DicR!$A$6:$ZZ$1048576"), MATCH(Z$1, DicR!$6:$6, 0), FALSE),
            0
        )
)</f>
        <v>0</v>
      </c>
      <c r="AA88" s="37">
        <f t="array" ref="AA88">SUM(
    IFERROR(
            VLOOKUP($A88, INDIRECT("EneR!$A$6:$ZZ$1048576"), MATCH(AA$1, EneR!$6:$6, 0), FALSE),
            0
        ) +
        IFERROR(
            VLOOKUP($A88, INDIRECT("FebR!$A$6:$ZZ$1048576"), MATCH(AA$1, FebR!$6:$6, 0), FALSE),
            0
        ) +
        IFERROR(
            VLOOKUP($A88, INDIRECT("MarR!$A$6:$ZZ$1048576"), MATCH(AA$1, MarR!$6:$6, 0), FALSE),
            0
        ) +
        IFERROR(
            VLOOKUP($A88, INDIRECT("AbrR!$A$6:$ZZ$1048576"), MATCH(AA$1, AbrR!$6:$6, 0), FALSE),
            0
        ) +
        IFERROR(
            VLOOKUP($A88, INDIRECT("MayR!$A$6:$ZZ$1048576"), MATCH(AA$1, MayR!$6:$6, 0), FALSE),
            0
        ) +
        IFERROR(
            VLOOKUP($A88, INDIRECT("JunR!$A$6:$ZZ$1048576"), MATCH(AA$1, JunR!$6:$6, 0), FALSE),
            0
        ) +
        IFERROR(
            VLOOKUP($A88, INDIRECT("JulR!$A$6:$ZZ$1048576"), MATCH(AA$1, JulR!$6:$6, 0), FALSE),
            0
        ) +
        IFERROR(
            VLOOKUP($A88, INDIRECT("AgoR!$A$6:$ZZ$1048576"), MATCH(AA$1, AgoR!$6:$6, 0), FALSE),
            0
        ) +
        IFERROR(
            VLOOKUP($A88, INDIRECT("SepR!$A$6:$ZZ$1048576"), MATCH(AA$1, SepR!$6:$6, 0), FALSE),
            0
        ) +
        IFERROR(
            VLOOKUP($A88, INDIRECT("OctR!$A$6:$ZZ$1048576"), MATCH(AA$1, OctR!$6:$6, 0), FALSE),
            0
        ) +
        IFERROR(
            VLOOKUP($A88, INDIRECT("NovR!$A$6:$ZZ$1048576"), MATCH(AA$1, NovR!$6:$6, 0), FALSE),
            0
        ) +
        IFERROR(
            VLOOKUP($A88, INDIRECT("DicR!$A$6:$ZZ$1048576"), MATCH(AA$1, DicR!$6:$6, 0), FALSE),
            0
        )
)</f>
        <v>0</v>
      </c>
      <c r="AB88" s="36">
        <f t="array" ref="AB88">SUM(
    IFERROR(
            VLOOKUP($A88, INDIRECT("EneR!$A$6:$ZZ$1048576"), MATCH(AB$1, EneR!$6:$6, 0), FALSE),
            0
        ) +
        IFERROR(
            VLOOKUP($A88, INDIRECT("FebR!$A$6:$ZZ$1048576"), MATCH(AB$1, FebR!$6:$6, 0), FALSE),
            0
        ) +
        IFERROR(
            VLOOKUP($A88, INDIRECT("MarR!$A$6:$ZZ$1048576"), MATCH(AB$1, MarR!$6:$6, 0), FALSE),
            0
        ) +
        IFERROR(
            VLOOKUP($A88, INDIRECT("AbrR!$A$6:$ZZ$1048576"), MATCH(AB$1, AbrR!$6:$6, 0), FALSE),
            0
        ) +
        IFERROR(
            VLOOKUP($A88, INDIRECT("MayR!$A$6:$ZZ$1048576"), MATCH(AB$1, MayR!$6:$6, 0), FALSE),
            0
        ) +
        IFERROR(
            VLOOKUP($A88, INDIRECT("JunR!$A$6:$ZZ$1048576"), MATCH(AB$1, JunR!$6:$6, 0), FALSE),
            0
        ) +
        IFERROR(
            VLOOKUP($A88, INDIRECT("JulR!$A$6:$ZZ$1048576"), MATCH(AB$1, JulR!$6:$6, 0), FALSE),
            0
        ) +
        IFERROR(
            VLOOKUP($A88, INDIRECT("AgoR!$A$6:$ZZ$1048576"), MATCH(AB$1, AgoR!$6:$6, 0), FALSE),
            0
        ) +
        IFERROR(
            VLOOKUP($A88, INDIRECT("SepR!$A$6:$ZZ$1048576"), MATCH(AB$1, SepR!$6:$6, 0), FALSE),
            0
        ) +
        IFERROR(
            VLOOKUP($A88, INDIRECT("OctR!$A$6:$ZZ$1048576"), MATCH(AB$1, OctR!$6:$6, 0), FALSE),
            0
        ) +
        IFERROR(
            VLOOKUP($A88, INDIRECT("NovR!$A$6:$ZZ$1048576"), MATCH(AB$1, NovR!$6:$6, 0), FALSE),
            0
        ) +
        IFERROR(
            VLOOKUP($A88, INDIRECT("DicR!$A$6:$ZZ$1048576"), MATCH(AB$1, DicR!$6:$6, 0), FALSE),
            0
        )
)</f>
        <v>0</v>
      </c>
      <c r="AC88" s="37">
        <f t="array" ref="AC88">SUM(
    IFERROR(
            VLOOKUP($A88, INDIRECT("EneR!$A$6:$ZZ$1048576"), MATCH(AC$1, EneR!$6:$6, 0), FALSE),
            0
        ) +
        IFERROR(
            VLOOKUP($A88, INDIRECT("FebR!$A$6:$ZZ$1048576"), MATCH(AC$1, FebR!$6:$6, 0), FALSE),
            0
        ) +
        IFERROR(
            VLOOKUP($A88, INDIRECT("MarR!$A$6:$ZZ$1048576"), MATCH(AC$1, MarR!$6:$6, 0), FALSE),
            0
        ) +
        IFERROR(
            VLOOKUP($A88, INDIRECT("AbrR!$A$6:$ZZ$1048576"), MATCH(AC$1, AbrR!$6:$6, 0), FALSE),
            0
        ) +
        IFERROR(
            VLOOKUP($A88, INDIRECT("MayR!$A$6:$ZZ$1048576"), MATCH(AC$1, MayR!$6:$6, 0), FALSE),
            0
        ) +
        IFERROR(
            VLOOKUP($A88, INDIRECT("JunR!$A$6:$ZZ$1048576"), MATCH(AC$1, JunR!$6:$6, 0), FALSE),
            0
        ) +
        IFERROR(
            VLOOKUP($A88, INDIRECT("JulR!$A$6:$ZZ$1048576"), MATCH(AC$1, JulR!$6:$6, 0), FALSE),
            0
        ) +
        IFERROR(
            VLOOKUP($A88, INDIRECT("AgoR!$A$6:$ZZ$1048576"), MATCH(AC$1, AgoR!$6:$6, 0), FALSE),
            0
        ) +
        IFERROR(
            VLOOKUP($A88, INDIRECT("SepR!$A$6:$ZZ$1048576"), MATCH(AC$1, SepR!$6:$6, 0), FALSE),
            0
        ) +
        IFERROR(
            VLOOKUP($A88, INDIRECT("OctR!$A$6:$ZZ$1048576"), MATCH(AC$1, OctR!$6:$6, 0), FALSE),
            0
        ) +
        IFERROR(
            VLOOKUP($A88, INDIRECT("NovR!$A$6:$ZZ$1048576"), MATCH(AC$1, NovR!$6:$6, 0), FALSE),
            0
        ) +
        IFERROR(
            VLOOKUP($A88, INDIRECT("DicR!$A$6:$ZZ$1048576"), MATCH(AC$1, DicR!$6:$6, 0), FALSE),
            0
        )
)</f>
        <v>0</v>
      </c>
      <c r="AD88" s="36">
        <f t="array" ref="AD88">SUM(
    IFERROR(
            VLOOKUP($A88, INDIRECT("EneR!$A$6:$ZZ$1048576"), MATCH(AD$1, EneR!$6:$6, 0), FALSE),
            0
        ) +
        IFERROR(
            VLOOKUP($A88, INDIRECT("FebR!$A$6:$ZZ$1048576"), MATCH(AD$1, FebR!$6:$6, 0), FALSE),
            0
        ) +
        IFERROR(
            VLOOKUP($A88, INDIRECT("MarR!$A$6:$ZZ$1048576"), MATCH(AD$1, MarR!$6:$6, 0), FALSE),
            0
        ) +
        IFERROR(
            VLOOKUP($A88, INDIRECT("AbrR!$A$6:$ZZ$1048576"), MATCH(AD$1, AbrR!$6:$6, 0), FALSE),
            0
        ) +
        IFERROR(
            VLOOKUP($A88, INDIRECT("MayR!$A$6:$ZZ$1048576"), MATCH(AD$1, MayR!$6:$6, 0), FALSE),
            0
        ) +
        IFERROR(
            VLOOKUP($A88, INDIRECT("JunR!$A$6:$ZZ$1048576"), MATCH(AD$1, JunR!$6:$6, 0), FALSE),
            0
        ) +
        IFERROR(
            VLOOKUP($A88, INDIRECT("JulR!$A$6:$ZZ$1048576"), MATCH(AD$1, JulR!$6:$6, 0), FALSE),
            0
        ) +
        IFERROR(
            VLOOKUP($A88, INDIRECT("AgoR!$A$6:$ZZ$1048576"), MATCH(AD$1, AgoR!$6:$6, 0), FALSE),
            0
        ) +
        IFERROR(
            VLOOKUP($A88, INDIRECT("SepR!$A$6:$ZZ$1048576"), MATCH(AD$1, SepR!$6:$6, 0), FALSE),
            0
        ) +
        IFERROR(
            VLOOKUP($A88, INDIRECT("OctR!$A$6:$ZZ$1048576"), MATCH(AD$1, OctR!$6:$6, 0), FALSE),
            0
        ) +
        IFERROR(
            VLOOKUP($A88, INDIRECT("NovR!$A$6:$ZZ$1048576"), MATCH(AD$1, NovR!$6:$6, 0), FALSE),
            0
        ) +
        IFERROR(
            VLOOKUP($A88, INDIRECT("DicR!$A$6:$ZZ$1048576"), MATCH(AD$1, DicR!$6:$6, 0), FALSE),
            0
        )
)</f>
        <v>0</v>
      </c>
      <c r="AE88" s="37">
        <f t="array" ref="AE88">SUM(
    IFERROR(
            VLOOKUP($A88, INDIRECT("EneR!$A$6:$ZZ$1048576"), MATCH(AE$1, EneR!$6:$6, 0), FALSE),
            0
        ) +
        IFERROR(
            VLOOKUP($A88, INDIRECT("FebR!$A$6:$ZZ$1048576"), MATCH(AE$1, FebR!$6:$6, 0), FALSE),
            0
        ) +
        IFERROR(
            VLOOKUP($A88, INDIRECT("MarR!$A$6:$ZZ$1048576"), MATCH(AE$1, MarR!$6:$6, 0), FALSE),
            0
        ) +
        IFERROR(
            VLOOKUP($A88, INDIRECT("AbrR!$A$6:$ZZ$1048576"), MATCH(AE$1, AbrR!$6:$6, 0), FALSE),
            0
        ) +
        IFERROR(
            VLOOKUP($A88, INDIRECT("MayR!$A$6:$ZZ$1048576"), MATCH(AE$1, MayR!$6:$6, 0), FALSE),
            0
        ) +
        IFERROR(
            VLOOKUP($A88, INDIRECT("JunR!$A$6:$ZZ$1048576"), MATCH(AE$1, JunR!$6:$6, 0), FALSE),
            0
        ) +
        IFERROR(
            VLOOKUP($A88, INDIRECT("JulR!$A$6:$ZZ$1048576"), MATCH(AE$1, JulR!$6:$6, 0), FALSE),
            0
        ) +
        IFERROR(
            VLOOKUP($A88, INDIRECT("AgoR!$A$6:$ZZ$1048576"), MATCH(AE$1, AgoR!$6:$6, 0), FALSE),
            0
        ) +
        IFERROR(
            VLOOKUP($A88, INDIRECT("SepR!$A$6:$ZZ$1048576"), MATCH(AE$1, SepR!$6:$6, 0), FALSE),
            0
        ) +
        IFERROR(
            VLOOKUP($A88, INDIRECT("OctR!$A$6:$ZZ$1048576"), MATCH(AE$1, OctR!$6:$6, 0), FALSE),
            0
        ) +
        IFERROR(
            VLOOKUP($A88, INDIRECT("NovR!$A$6:$ZZ$1048576"), MATCH(AE$1, NovR!$6:$6, 0), FALSE),
            0
        ) +
        IFERROR(
            VLOOKUP($A88, INDIRECT("DicR!$A$6:$ZZ$1048576"), MATCH(AE$1, DicR!$6:$6, 0), FALSE),
            0
        )
)</f>
        <v>0</v>
      </c>
      <c r="AF88" s="36">
        <f t="array" ref="AF88">SUM(
    IFERROR(
            VLOOKUP($A88, INDIRECT("EneR!$A$6:$ZZ$1048576"), MATCH(AF$1, EneR!$6:$6, 0), FALSE),
            0
        ) +
        IFERROR(
            VLOOKUP($A88, INDIRECT("FebR!$A$6:$ZZ$1048576"), MATCH(AF$1, FebR!$6:$6, 0), FALSE),
            0
        ) +
        IFERROR(
            VLOOKUP($A88, INDIRECT("MarR!$A$6:$ZZ$1048576"), MATCH(AF$1, MarR!$6:$6, 0), FALSE),
            0
        ) +
        IFERROR(
            VLOOKUP($A88, INDIRECT("AbrR!$A$6:$ZZ$1048576"), MATCH(AF$1, AbrR!$6:$6, 0), FALSE),
            0
        ) +
        IFERROR(
            VLOOKUP($A88, INDIRECT("MayR!$A$6:$ZZ$1048576"), MATCH(AF$1, MayR!$6:$6, 0), FALSE),
            0
        ) +
        IFERROR(
            VLOOKUP($A88, INDIRECT("JunR!$A$6:$ZZ$1048576"), MATCH(AF$1, JunR!$6:$6, 0), FALSE),
            0
        ) +
        IFERROR(
            VLOOKUP($A88, INDIRECT("JulR!$A$6:$ZZ$1048576"), MATCH(AF$1, JulR!$6:$6, 0), FALSE),
            0
        ) +
        IFERROR(
            VLOOKUP($A88, INDIRECT("AgoR!$A$6:$ZZ$1048576"), MATCH(AF$1, AgoR!$6:$6, 0), FALSE),
            0
        ) +
        IFERROR(
            VLOOKUP($A88, INDIRECT("SepR!$A$6:$ZZ$1048576"), MATCH(AF$1, SepR!$6:$6, 0), FALSE),
            0
        ) +
        IFERROR(
            VLOOKUP($A88, INDIRECT("OctR!$A$6:$ZZ$1048576"), MATCH(AF$1, OctR!$6:$6, 0), FALSE),
            0
        ) +
        IFERROR(
            VLOOKUP($A88, INDIRECT("NovR!$A$6:$ZZ$1048576"), MATCH(AF$1, NovR!$6:$6, 0), FALSE),
            0
        ) +
        IFERROR(
            VLOOKUP($A88, INDIRECT("DicR!$A$6:$ZZ$1048576"), MATCH(AF$1, DicR!$6:$6, 0), FALSE),
            0
        )
)</f>
        <v>0</v>
      </c>
      <c r="AG88" s="37">
        <f t="array" ref="AG88">SUM(
    IFERROR(
            VLOOKUP($A88, INDIRECT("EneR!$A$6:$ZZ$1048576"), MATCH(AG$1, EneR!$6:$6, 0), FALSE),
            0
        ) +
        IFERROR(
            VLOOKUP($A88, INDIRECT("FebR!$A$6:$ZZ$1048576"), MATCH(AG$1, FebR!$6:$6, 0), FALSE),
            0
        ) +
        IFERROR(
            VLOOKUP($A88, INDIRECT("MarR!$A$6:$ZZ$1048576"), MATCH(AG$1, MarR!$6:$6, 0), FALSE),
            0
        ) +
        IFERROR(
            VLOOKUP($A88, INDIRECT("AbrR!$A$6:$ZZ$1048576"), MATCH(AG$1, AbrR!$6:$6, 0), FALSE),
            0
        ) +
        IFERROR(
            VLOOKUP($A88, INDIRECT("MayR!$A$6:$ZZ$1048576"), MATCH(AG$1, MayR!$6:$6, 0), FALSE),
            0
        ) +
        IFERROR(
            VLOOKUP($A88, INDIRECT("JunR!$A$6:$ZZ$1048576"), MATCH(AG$1, JunR!$6:$6, 0), FALSE),
            0
        ) +
        IFERROR(
            VLOOKUP($A88, INDIRECT("JulR!$A$6:$ZZ$1048576"), MATCH(AG$1, JulR!$6:$6, 0), FALSE),
            0
        ) +
        IFERROR(
            VLOOKUP($A88, INDIRECT("AgoR!$A$6:$ZZ$1048576"), MATCH(AG$1, AgoR!$6:$6, 0), FALSE),
            0
        ) +
        IFERROR(
            VLOOKUP($A88, INDIRECT("SepR!$A$6:$ZZ$1048576"), MATCH(AG$1, SepR!$6:$6, 0), FALSE),
            0
        ) +
        IFERROR(
            VLOOKUP($A88, INDIRECT("OctR!$A$6:$ZZ$1048576"), MATCH(AG$1, OctR!$6:$6, 0), FALSE),
            0
        ) +
        IFERROR(
            VLOOKUP($A88, INDIRECT("NovR!$A$6:$ZZ$1048576"), MATCH(AG$1, NovR!$6:$6, 0), FALSE),
            0
        ) +
        IFERROR(
            VLOOKUP($A88, INDIRECT("DicR!$A$6:$ZZ$1048576"), MATCH(AG$1, DicR!$6:$6, 0), FALSE),
            0
        )
)</f>
        <v>0</v>
      </c>
      <c r="AH88" s="36">
        <f t="array" ref="AH88">SUM(
    IFERROR(
            VLOOKUP($A88, INDIRECT("EneR!$A$6:$ZZ$1048576"), MATCH(AH$1, EneR!$6:$6, 0), FALSE),
            0
        ) +
        IFERROR(
            VLOOKUP($A88, INDIRECT("FebR!$A$6:$ZZ$1048576"), MATCH(AH$1, FebR!$6:$6, 0), FALSE),
            0
        ) +
        IFERROR(
            VLOOKUP($A88, INDIRECT("MarR!$A$6:$ZZ$1048576"), MATCH(AH$1, MarR!$6:$6, 0), FALSE),
            0
        ) +
        IFERROR(
            VLOOKUP($A88, INDIRECT("AbrR!$A$6:$ZZ$1048576"), MATCH(AH$1, AbrR!$6:$6, 0), FALSE),
            0
        ) +
        IFERROR(
            VLOOKUP($A88, INDIRECT("MayR!$A$6:$ZZ$1048576"), MATCH(AH$1, MayR!$6:$6, 0), FALSE),
            0
        ) +
        IFERROR(
            VLOOKUP($A88, INDIRECT("JunR!$A$6:$ZZ$1048576"), MATCH(AH$1, JunR!$6:$6, 0), FALSE),
            0
        ) +
        IFERROR(
            VLOOKUP($A88, INDIRECT("JulR!$A$6:$ZZ$1048576"), MATCH(AH$1, JulR!$6:$6, 0), FALSE),
            0
        ) +
        IFERROR(
            VLOOKUP($A88, INDIRECT("AgoR!$A$6:$ZZ$1048576"), MATCH(AH$1, AgoR!$6:$6, 0), FALSE),
            0
        ) +
        IFERROR(
            VLOOKUP($A88, INDIRECT("SepR!$A$6:$ZZ$1048576"), MATCH(AH$1, SepR!$6:$6, 0), FALSE),
            0
        ) +
        IFERROR(
            VLOOKUP($A88, INDIRECT("OctR!$A$6:$ZZ$1048576"), MATCH(AH$1, OctR!$6:$6, 0), FALSE),
            0
        ) +
        IFERROR(
            VLOOKUP($A88, INDIRECT("NovR!$A$6:$ZZ$1048576"), MATCH(AH$1, NovR!$6:$6, 0), FALSE),
            0
        ) +
        IFERROR(
            VLOOKUP($A88, INDIRECT("DicR!$A$6:$ZZ$1048576"), MATCH(AH$1, DicR!$6:$6, 0), FALSE),
            0
        )
)</f>
        <v>0</v>
      </c>
      <c r="AI88" s="37">
        <f t="array" ref="AI88">SUM(
    IFERROR(
            VLOOKUP($A88, INDIRECT("EneR!$A$6:$ZZ$1048576"), MATCH(AI$1, EneR!$6:$6, 0), FALSE),
            0
        ) +
        IFERROR(
            VLOOKUP($A88, INDIRECT("FebR!$A$6:$ZZ$1048576"), MATCH(AI$1, FebR!$6:$6, 0), FALSE),
            0
        ) +
        IFERROR(
            VLOOKUP($A88, INDIRECT("MarR!$A$6:$ZZ$1048576"), MATCH(AI$1, MarR!$6:$6, 0), FALSE),
            0
        ) +
        IFERROR(
            VLOOKUP($A88, INDIRECT("AbrR!$A$6:$ZZ$1048576"), MATCH(AI$1, AbrR!$6:$6, 0), FALSE),
            0
        ) +
        IFERROR(
            VLOOKUP($A88, INDIRECT("MayR!$A$6:$ZZ$1048576"), MATCH(AI$1, MayR!$6:$6, 0), FALSE),
            0
        ) +
        IFERROR(
            VLOOKUP($A88, INDIRECT("JunR!$A$6:$ZZ$1048576"), MATCH(AI$1, JunR!$6:$6, 0), FALSE),
            0
        ) +
        IFERROR(
            VLOOKUP($A88, INDIRECT("JulR!$A$6:$ZZ$1048576"), MATCH(AI$1, JulR!$6:$6, 0), FALSE),
            0
        ) +
        IFERROR(
            VLOOKUP($A88, INDIRECT("AgoR!$A$6:$ZZ$1048576"), MATCH(AI$1, AgoR!$6:$6, 0), FALSE),
            0
        ) +
        IFERROR(
            VLOOKUP($A88, INDIRECT("SepR!$A$6:$ZZ$1048576"), MATCH(AI$1, SepR!$6:$6, 0), FALSE),
            0
        ) +
        IFERROR(
            VLOOKUP($A88, INDIRECT("OctR!$A$6:$ZZ$1048576"), MATCH(AI$1, OctR!$6:$6, 0), FALSE),
            0
        ) +
        IFERROR(
            VLOOKUP($A88, INDIRECT("NovR!$A$6:$ZZ$1048576"), MATCH(AI$1, NovR!$6:$6, 0), FALSE),
            0
        ) +
        IFERROR(
            VLOOKUP($A88, INDIRECT("DicR!$A$6:$ZZ$1048576"), MATCH(AI$1, DicR!$6:$6, 0), FALSE),
            0
        )
)</f>
        <v>0</v>
      </c>
      <c r="AJ88" s="36">
        <f t="array" ref="AJ88">SUM(
    IFERROR(
            VLOOKUP($A88, INDIRECT("EneR!$A$6:$ZZ$1048576"), MATCH(AJ$1, EneR!$6:$6, 0), FALSE),
            0
        ) +
        IFERROR(
            VLOOKUP($A88, INDIRECT("FebR!$A$6:$ZZ$1048576"), MATCH(AJ$1, FebR!$6:$6, 0), FALSE),
            0
        ) +
        IFERROR(
            VLOOKUP($A88, INDIRECT("MarR!$A$6:$ZZ$1048576"), MATCH(AJ$1, MarR!$6:$6, 0), FALSE),
            0
        ) +
        IFERROR(
            VLOOKUP($A88, INDIRECT("AbrR!$A$6:$ZZ$1048576"), MATCH(AJ$1, AbrR!$6:$6, 0), FALSE),
            0
        ) +
        IFERROR(
            VLOOKUP($A88, INDIRECT("MayR!$A$6:$ZZ$1048576"), MATCH(AJ$1, MayR!$6:$6, 0), FALSE),
            0
        ) +
        IFERROR(
            VLOOKUP($A88, INDIRECT("JunR!$A$6:$ZZ$1048576"), MATCH(AJ$1, JunR!$6:$6, 0), FALSE),
            0
        ) +
        IFERROR(
            VLOOKUP($A88, INDIRECT("JulR!$A$6:$ZZ$1048576"), MATCH(AJ$1, JulR!$6:$6, 0), FALSE),
            0
        ) +
        IFERROR(
            VLOOKUP($A88, INDIRECT("AgoR!$A$6:$ZZ$1048576"), MATCH(AJ$1, AgoR!$6:$6, 0), FALSE),
            0
        ) +
        IFERROR(
            VLOOKUP($A88, INDIRECT("SepR!$A$6:$ZZ$1048576"), MATCH(AJ$1, SepR!$6:$6, 0), FALSE),
            0
        ) +
        IFERROR(
            VLOOKUP($A88, INDIRECT("OctR!$A$6:$ZZ$1048576"), MATCH(AJ$1, OctR!$6:$6, 0), FALSE),
            0
        ) +
        IFERROR(
            VLOOKUP($A88, INDIRECT("NovR!$A$6:$ZZ$1048576"), MATCH(AJ$1, NovR!$6:$6, 0), FALSE),
            0
        ) +
        IFERROR(
            VLOOKUP($A88, INDIRECT("DicR!$A$6:$ZZ$1048576"), MATCH(AJ$1, DicR!$6:$6, 0), FALSE),
            0
        )
)</f>
        <v>0</v>
      </c>
      <c r="AK88" s="37">
        <f t="array" ref="AK88">SUM(
    IFERROR(
            VLOOKUP($A88, INDIRECT("EneR!$A$6:$ZZ$1048576"), MATCH(AK$1, EneR!$6:$6, 0), FALSE),
            0
        ) +
        IFERROR(
            VLOOKUP($A88, INDIRECT("FebR!$A$6:$ZZ$1048576"), MATCH(AK$1, FebR!$6:$6, 0), FALSE),
            0
        ) +
        IFERROR(
            VLOOKUP($A88, INDIRECT("MarR!$A$6:$ZZ$1048576"), MATCH(AK$1, MarR!$6:$6, 0), FALSE),
            0
        ) +
        IFERROR(
            VLOOKUP($A88, INDIRECT("AbrR!$A$6:$ZZ$1048576"), MATCH(AK$1, AbrR!$6:$6, 0), FALSE),
            0
        ) +
        IFERROR(
            VLOOKUP($A88, INDIRECT("MayR!$A$6:$ZZ$1048576"), MATCH(AK$1, MayR!$6:$6, 0), FALSE),
            0
        ) +
        IFERROR(
            VLOOKUP($A88, INDIRECT("JunR!$A$6:$ZZ$1048576"), MATCH(AK$1, JunR!$6:$6, 0), FALSE),
            0
        ) +
        IFERROR(
            VLOOKUP($A88, INDIRECT("JulR!$A$6:$ZZ$1048576"), MATCH(AK$1, JulR!$6:$6, 0), FALSE),
            0
        ) +
        IFERROR(
            VLOOKUP($A88, INDIRECT("AgoR!$A$6:$ZZ$1048576"), MATCH(AK$1, AgoR!$6:$6, 0), FALSE),
            0
        ) +
        IFERROR(
            VLOOKUP($A88, INDIRECT("SepR!$A$6:$ZZ$1048576"), MATCH(AK$1, SepR!$6:$6, 0), FALSE),
            0
        ) +
        IFERROR(
            VLOOKUP($A88, INDIRECT("OctR!$A$6:$ZZ$1048576"), MATCH(AK$1, OctR!$6:$6, 0), FALSE),
            0
        ) +
        IFERROR(
            VLOOKUP($A88, INDIRECT("NovR!$A$6:$ZZ$1048576"), MATCH(AK$1, NovR!$6:$6, 0), FALSE),
            0
        ) +
        IFERROR(
            VLOOKUP($A88, INDIRECT("DicR!$A$6:$ZZ$1048576"), MATCH(AK$1, DicR!$6:$6, 0), FALSE),
            0
        )
)</f>
        <v>0</v>
      </c>
      <c r="AL88" s="36">
        <f t="array" ref="AL88">SUM(
    IFERROR(
            VLOOKUP($A88, INDIRECT("EneR!$A$6:$ZZ$1048576"), MATCH(AL$1, EneR!$6:$6, 0), FALSE),
            0
        ) +
        IFERROR(
            VLOOKUP($A88, INDIRECT("FebR!$A$6:$ZZ$1048576"), MATCH(AL$1, FebR!$6:$6, 0), FALSE),
            0
        ) +
        IFERROR(
            VLOOKUP($A88, INDIRECT("MarR!$A$6:$ZZ$1048576"), MATCH(AL$1, MarR!$6:$6, 0), FALSE),
            0
        ) +
        IFERROR(
            VLOOKUP($A88, INDIRECT("AbrR!$A$6:$ZZ$1048576"), MATCH(AL$1, AbrR!$6:$6, 0), FALSE),
            0
        ) +
        IFERROR(
            VLOOKUP($A88, INDIRECT("MayR!$A$6:$ZZ$1048576"), MATCH(AL$1, MayR!$6:$6, 0), FALSE),
            0
        ) +
        IFERROR(
            VLOOKUP($A88, INDIRECT("JunR!$A$6:$ZZ$1048576"), MATCH(AL$1, JunR!$6:$6, 0), FALSE),
            0
        ) +
        IFERROR(
            VLOOKUP($A88, INDIRECT("JulR!$A$6:$ZZ$1048576"), MATCH(AL$1, JulR!$6:$6, 0), FALSE),
            0
        ) +
        IFERROR(
            VLOOKUP($A88, INDIRECT("AgoR!$A$6:$ZZ$1048576"), MATCH(AL$1, AgoR!$6:$6, 0), FALSE),
            0
        ) +
        IFERROR(
            VLOOKUP($A88, INDIRECT("SepR!$A$6:$ZZ$1048576"), MATCH(AL$1, SepR!$6:$6, 0), FALSE),
            0
        ) +
        IFERROR(
            VLOOKUP($A88, INDIRECT("OctR!$A$6:$ZZ$1048576"), MATCH(AL$1, OctR!$6:$6, 0), FALSE),
            0
        ) +
        IFERROR(
            VLOOKUP($A88, INDIRECT("NovR!$A$6:$ZZ$1048576"), MATCH(AL$1, NovR!$6:$6, 0), FALSE),
            0
        ) +
        IFERROR(
            VLOOKUP($A88, INDIRECT("DicR!$A$6:$ZZ$1048576"), MATCH(AL$1, DicR!$6:$6, 0), FALSE),
            0
        )
)</f>
        <v>0</v>
      </c>
      <c r="AM88" s="37">
        <f t="array" ref="AM88">SUM(
    IFERROR(
            VLOOKUP($A88, INDIRECT("EneR!$A$6:$ZZ$1048576"), MATCH(AM$1, EneR!$6:$6, 0), FALSE),
            0
        ) +
        IFERROR(
            VLOOKUP($A88, INDIRECT("FebR!$A$6:$ZZ$1048576"), MATCH(AM$1, FebR!$6:$6, 0), FALSE),
            0
        ) +
        IFERROR(
            VLOOKUP($A88, INDIRECT("MarR!$A$6:$ZZ$1048576"), MATCH(AM$1, MarR!$6:$6, 0), FALSE),
            0
        ) +
        IFERROR(
            VLOOKUP($A88, INDIRECT("AbrR!$A$6:$ZZ$1048576"), MATCH(AM$1, AbrR!$6:$6, 0), FALSE),
            0
        ) +
        IFERROR(
            VLOOKUP($A88, INDIRECT("MayR!$A$6:$ZZ$1048576"), MATCH(AM$1, MayR!$6:$6, 0), FALSE),
            0
        ) +
        IFERROR(
            VLOOKUP($A88, INDIRECT("JunR!$A$6:$ZZ$1048576"), MATCH(AM$1, JunR!$6:$6, 0), FALSE),
            0
        ) +
        IFERROR(
            VLOOKUP($A88, INDIRECT("JulR!$A$6:$ZZ$1048576"), MATCH(AM$1, JulR!$6:$6, 0), FALSE),
            0
        ) +
        IFERROR(
            VLOOKUP($A88, INDIRECT("AgoR!$A$6:$ZZ$1048576"), MATCH(AM$1, AgoR!$6:$6, 0), FALSE),
            0
        ) +
        IFERROR(
            VLOOKUP($A88, INDIRECT("SepR!$A$6:$ZZ$1048576"), MATCH(AM$1, SepR!$6:$6, 0), FALSE),
            0
        ) +
        IFERROR(
            VLOOKUP($A88, INDIRECT("OctR!$A$6:$ZZ$1048576"), MATCH(AM$1, OctR!$6:$6, 0), FALSE),
            0
        ) +
        IFERROR(
            VLOOKUP($A88, INDIRECT("NovR!$A$6:$ZZ$1048576"), MATCH(AM$1, NovR!$6:$6, 0), FALSE),
            0
        ) +
        IFERROR(
            VLOOKUP($A88, INDIRECT("DicR!$A$6:$ZZ$1048576"), MATCH(AM$1, DicR!$6:$6, 0), FALSE),
            0
        )
)</f>
        <v>0</v>
      </c>
      <c r="AN88" s="32">
        <f t="array" ref="AN88">SUM(
    IFERROR(
            VLOOKUP($A88, INDIRECT("EneR!$A$6:$ZZ$1048576"), MATCH(AN$1, EneR!$6:$6, 0), FALSE),
            0
        ) +
        IFERROR(
            VLOOKUP($A88, INDIRECT("FebR!$A$6:$ZZ$1048576"), MATCH(AN$1, FebR!$6:$6, 0), FALSE),
            0
        ) +
        IFERROR(
            VLOOKUP($A88, INDIRECT("MarR!$A$6:$ZZ$1048576"), MATCH(AN$1, MarR!$6:$6, 0), FALSE),
            0
        ) +
        IFERROR(
            VLOOKUP($A88, INDIRECT("AbrR!$A$6:$ZZ$1048576"), MATCH(AN$1, AbrR!$6:$6, 0), FALSE),
            0
        ) +
        IFERROR(
            VLOOKUP($A88, INDIRECT("MayR!$A$6:$ZZ$1048576"), MATCH(AN$1, MayR!$6:$6, 0), FALSE),
            0
        ) +
        IFERROR(
            VLOOKUP($A88, INDIRECT("JunR!$A$6:$ZZ$1048576"), MATCH(AN$1, JunR!$6:$6, 0), FALSE),
            0
        ) +
        IFERROR(
            VLOOKUP($A88, INDIRECT("JulR!$A$6:$ZZ$1048576"), MATCH(AN$1, JulR!$6:$6, 0), FALSE),
            0
        ) +
        IFERROR(
            VLOOKUP($A88, INDIRECT("AgoR!$A$6:$ZZ$1048576"), MATCH(AN$1, AgoR!$6:$6, 0), FALSE),
            0
        ) +
        IFERROR(
            VLOOKUP($A88, INDIRECT("SepR!$A$6:$ZZ$1048576"), MATCH(AN$1, SepR!$6:$6, 0), FALSE),
            0
        ) +
        IFERROR(
            VLOOKUP($A88, INDIRECT("OctR!$A$6:$ZZ$1048576"), MATCH(AN$1, OctR!$6:$6, 0), FALSE),
            0
        ) +
        IFERROR(
            VLOOKUP($A88, INDIRECT("NovR!$A$6:$ZZ$1048576"), MATCH(AN$1, NovR!$6:$6, 0), FALSE),
            0
        ) +
        IFERROR(
            VLOOKUP($A88, INDIRECT("DicR!$A$6:$ZZ$1048576"), MATCH(AN$1, DicR!$6:$6, 0), FALSE),
            0
        )
)</f>
        <v>0</v>
      </c>
      <c r="AO88" s="35">
        <f t="array" ref="AO88">SUM(
    IFERROR(
            VLOOKUP($A88, INDIRECT("EneR!$A$6:$ZZ$1048576"), MATCH(AO$1, EneR!$6:$6, 0), FALSE),
            0
        ) +
        IFERROR(
            VLOOKUP($A88, INDIRECT("FebR!$A$6:$ZZ$1048576"), MATCH(AO$1, FebR!$6:$6, 0), FALSE),
            0
        ) +
        IFERROR(
            VLOOKUP($A88, INDIRECT("MarR!$A$6:$ZZ$1048576"), MATCH(AO$1, MarR!$6:$6, 0), FALSE),
            0
        ) +
        IFERROR(
            VLOOKUP($A88, INDIRECT("AbrR!$A$6:$ZZ$1048576"), MATCH(AO$1, AbrR!$6:$6, 0), FALSE),
            0
        ) +
        IFERROR(
            VLOOKUP($A88, INDIRECT("MayR!$A$6:$ZZ$1048576"), MATCH(AO$1, MayR!$6:$6, 0), FALSE),
            0
        ) +
        IFERROR(
            VLOOKUP($A88, INDIRECT("JunR!$A$6:$ZZ$1048576"), MATCH(AO$1, JunR!$6:$6, 0), FALSE),
            0
        ) +
        IFERROR(
            VLOOKUP($A88, INDIRECT("JulR!$A$6:$ZZ$1048576"), MATCH(AO$1, JulR!$6:$6, 0), FALSE),
            0
        ) +
        IFERROR(
            VLOOKUP($A88, INDIRECT("AgoR!$A$6:$ZZ$1048576"), MATCH(AO$1, AgoR!$6:$6, 0), FALSE),
            0
        ) +
        IFERROR(
            VLOOKUP($A88, INDIRECT("SepR!$A$6:$ZZ$1048576"), MATCH(AO$1, SepR!$6:$6, 0), FALSE),
            0
        ) +
        IFERROR(
            VLOOKUP($A88, INDIRECT("OctR!$A$6:$ZZ$1048576"), MATCH(AO$1, OctR!$6:$6, 0), FALSE),
            0
        ) +
        IFERROR(
            VLOOKUP($A88, INDIRECT("NovR!$A$6:$ZZ$1048576"), MATCH(AO$1, NovR!$6:$6, 0), FALSE),
            0
        ) +
        IFERROR(
            VLOOKUP($A88, INDIRECT("DicR!$A$6:$ZZ$1048576"), MATCH(AO$1, DicR!$6:$6, 0), FALSE),
            0
        )
)</f>
        <v>0</v>
      </c>
      <c r="AP88" s="36">
        <f t="array" ref="AP88">SUM(
    IFERROR(
            VLOOKUP($A88, INDIRECT("EneR!$A$6:$ZZ$1048576"), MATCH(AP$1, EneR!$6:$6, 0), FALSE),
            0
        ) +
        IFERROR(
            VLOOKUP($A88, INDIRECT("FebR!$A$6:$ZZ$1048576"), MATCH(AP$1, FebR!$6:$6, 0), FALSE),
            0
        ) +
        IFERROR(
            VLOOKUP($A88, INDIRECT("MarR!$A$6:$ZZ$1048576"), MATCH(AP$1, MarR!$6:$6, 0), FALSE),
            0
        ) +
        IFERROR(
            VLOOKUP($A88, INDIRECT("AbrR!$A$6:$ZZ$1048576"), MATCH(AP$1, AbrR!$6:$6, 0), FALSE),
            0
        ) +
        IFERROR(
            VLOOKUP($A88, INDIRECT("MayR!$A$6:$ZZ$1048576"), MATCH(AP$1, MayR!$6:$6, 0), FALSE),
            0
        ) +
        IFERROR(
            VLOOKUP($A88, INDIRECT("JunR!$A$6:$ZZ$1048576"), MATCH(AP$1, JunR!$6:$6, 0), FALSE),
            0
        ) +
        IFERROR(
            VLOOKUP($A88, INDIRECT("JulR!$A$6:$ZZ$1048576"), MATCH(AP$1, JulR!$6:$6, 0), FALSE),
            0
        ) +
        IFERROR(
            VLOOKUP($A88, INDIRECT("AgoR!$A$6:$ZZ$1048576"), MATCH(AP$1, AgoR!$6:$6, 0), FALSE),
            0
        ) +
        IFERROR(
            VLOOKUP($A88, INDIRECT("SepR!$A$6:$ZZ$1048576"), MATCH(AP$1, SepR!$6:$6, 0), FALSE),
            0
        ) +
        IFERROR(
            VLOOKUP($A88, INDIRECT("OctR!$A$6:$ZZ$1048576"), MATCH(AP$1, OctR!$6:$6, 0), FALSE),
            0
        ) +
        IFERROR(
            VLOOKUP($A88, INDIRECT("NovR!$A$6:$ZZ$1048576"), MATCH(AP$1, NovR!$6:$6, 0), FALSE),
            0
        ) +
        IFERROR(
            VLOOKUP($A88, INDIRECT("DicR!$A$6:$ZZ$1048576"), MATCH(AP$1, DicR!$6:$6, 0), FALSE),
            0
        )
)</f>
        <v>0</v>
      </c>
      <c r="AQ88" s="35">
        <f t="array" ref="AQ88">SUM(
    IFERROR(
            VLOOKUP($A88, INDIRECT("EneR!$A$6:$ZZ$1048576"), MATCH(AQ$1, EneR!$6:$6, 0), FALSE),
            0
        ) +
        IFERROR(
            VLOOKUP($A88, INDIRECT("FebR!$A$6:$ZZ$1048576"), MATCH(AQ$1, FebR!$6:$6, 0), FALSE),
            0
        ) +
        IFERROR(
            VLOOKUP($A88, INDIRECT("MarR!$A$6:$ZZ$1048576"), MATCH(AQ$1, MarR!$6:$6, 0), FALSE),
            0
        ) +
        IFERROR(
            VLOOKUP($A88, INDIRECT("AbrR!$A$6:$ZZ$1048576"), MATCH(AQ$1, AbrR!$6:$6, 0), FALSE),
            0
        ) +
        IFERROR(
            VLOOKUP($A88, INDIRECT("MayR!$A$6:$ZZ$1048576"), MATCH(AQ$1, MayR!$6:$6, 0), FALSE),
            0
        ) +
        IFERROR(
            VLOOKUP($A88, INDIRECT("JunR!$A$6:$ZZ$1048576"), MATCH(AQ$1, JunR!$6:$6, 0), FALSE),
            0
        ) +
        IFERROR(
            VLOOKUP($A88, INDIRECT("JulR!$A$6:$ZZ$1048576"), MATCH(AQ$1, JulR!$6:$6, 0), FALSE),
            0
        ) +
        IFERROR(
            VLOOKUP($A88, INDIRECT("AgoR!$A$6:$ZZ$1048576"), MATCH(AQ$1, AgoR!$6:$6, 0), FALSE),
            0
        ) +
        IFERROR(
            VLOOKUP($A88, INDIRECT("SepR!$A$6:$ZZ$1048576"), MATCH(AQ$1, SepR!$6:$6, 0), FALSE),
            0
        ) +
        IFERROR(
            VLOOKUP($A88, INDIRECT("OctR!$A$6:$ZZ$1048576"), MATCH(AQ$1, OctR!$6:$6, 0), FALSE),
            0
        ) +
        IFERROR(
            VLOOKUP($A88, INDIRECT("NovR!$A$6:$ZZ$1048576"), MATCH(AQ$1, NovR!$6:$6, 0), FALSE),
            0
        ) +
        IFERROR(
            VLOOKUP($A88, INDIRECT("DicR!$A$6:$ZZ$1048576"), MATCH(AQ$1, DicR!$6:$6, 0), FALSE),
            0
        )
)</f>
        <v>0</v>
      </c>
      <c r="AR88" s="36">
        <f t="array" ref="AR88">SUM(
    IFERROR(
            VLOOKUP($A88, INDIRECT("EneR!$A$6:$ZZ$1048576"), MATCH(AR$1, EneR!$6:$6, 0), FALSE),
            0
        ) +
        IFERROR(
            VLOOKUP($A88, INDIRECT("FebR!$A$6:$ZZ$1048576"), MATCH(AR$1, FebR!$6:$6, 0), FALSE),
            0
        ) +
        IFERROR(
            VLOOKUP($A88, INDIRECT("MarR!$A$6:$ZZ$1048576"), MATCH(AR$1, MarR!$6:$6, 0), FALSE),
            0
        ) +
        IFERROR(
            VLOOKUP($A88, INDIRECT("AbrR!$A$6:$ZZ$1048576"), MATCH(AR$1, AbrR!$6:$6, 0), FALSE),
            0
        ) +
        IFERROR(
            VLOOKUP($A88, INDIRECT("MayR!$A$6:$ZZ$1048576"), MATCH(AR$1, MayR!$6:$6, 0), FALSE),
            0
        ) +
        IFERROR(
            VLOOKUP($A88, INDIRECT("JunR!$A$6:$ZZ$1048576"), MATCH(AR$1, JunR!$6:$6, 0), FALSE),
            0
        ) +
        IFERROR(
            VLOOKUP($A88, INDIRECT("JulR!$A$6:$ZZ$1048576"), MATCH(AR$1, JulR!$6:$6, 0), FALSE),
            0
        ) +
        IFERROR(
            VLOOKUP($A88, INDIRECT("AgoR!$A$6:$ZZ$1048576"), MATCH(AR$1, AgoR!$6:$6, 0), FALSE),
            0
        ) +
        IFERROR(
            VLOOKUP($A88, INDIRECT("SepR!$A$6:$ZZ$1048576"), MATCH(AR$1, SepR!$6:$6, 0), FALSE),
            0
        ) +
        IFERROR(
            VLOOKUP($A88, INDIRECT("OctR!$A$6:$ZZ$1048576"), MATCH(AR$1, OctR!$6:$6, 0), FALSE),
            0
        ) +
        IFERROR(
            VLOOKUP($A88, INDIRECT("NovR!$A$6:$ZZ$1048576"), MATCH(AR$1, NovR!$6:$6, 0), FALSE),
            0
        ) +
        IFERROR(
            VLOOKUP($A88, INDIRECT("DicR!$A$6:$ZZ$1048576"), MATCH(AR$1, DicR!$6:$6, 0), FALSE),
            0
        )
)</f>
        <v>0</v>
      </c>
      <c r="AS88" s="35">
        <f t="array" ref="AS88">SUM(
    IFERROR(
            VLOOKUP($A88, INDIRECT("EneR!$A$6:$ZZ$1048576"), MATCH(AS$1, EneR!$6:$6, 0), FALSE),
            0
        ) +
        IFERROR(
            VLOOKUP($A88, INDIRECT("FebR!$A$6:$ZZ$1048576"), MATCH(AS$1, FebR!$6:$6, 0), FALSE),
            0
        ) +
        IFERROR(
            VLOOKUP($A88, INDIRECT("MarR!$A$6:$ZZ$1048576"), MATCH(AS$1, MarR!$6:$6, 0), FALSE),
            0
        ) +
        IFERROR(
            VLOOKUP($A88, INDIRECT("AbrR!$A$6:$ZZ$1048576"), MATCH(AS$1, AbrR!$6:$6, 0), FALSE),
            0
        ) +
        IFERROR(
            VLOOKUP($A88, INDIRECT("MayR!$A$6:$ZZ$1048576"), MATCH(AS$1, MayR!$6:$6, 0), FALSE),
            0
        ) +
        IFERROR(
            VLOOKUP($A88, INDIRECT("JunR!$A$6:$ZZ$1048576"), MATCH(AS$1, JunR!$6:$6, 0), FALSE),
            0
        ) +
        IFERROR(
            VLOOKUP($A88, INDIRECT("JulR!$A$6:$ZZ$1048576"), MATCH(AS$1, JulR!$6:$6, 0), FALSE),
            0
        ) +
        IFERROR(
            VLOOKUP($A88, INDIRECT("AgoR!$A$6:$ZZ$1048576"), MATCH(AS$1, AgoR!$6:$6, 0), FALSE),
            0
        ) +
        IFERROR(
            VLOOKUP($A88, INDIRECT("SepR!$A$6:$ZZ$1048576"), MATCH(AS$1, SepR!$6:$6, 0), FALSE),
            0
        ) +
        IFERROR(
            VLOOKUP($A88, INDIRECT("OctR!$A$6:$ZZ$1048576"), MATCH(AS$1, OctR!$6:$6, 0), FALSE),
            0
        ) +
        IFERROR(
            VLOOKUP($A88, INDIRECT("NovR!$A$6:$ZZ$1048576"), MATCH(AS$1, NovR!$6:$6, 0), FALSE),
            0
        ) +
        IFERROR(
            VLOOKUP($A88, INDIRECT("DicR!$A$6:$ZZ$1048576"), MATCH(AS$1, DicR!$6:$6, 0), FALSE),
            0
        )
)</f>
        <v>0</v>
      </c>
      <c r="AT88" s="36">
        <f t="array" ref="AT88">SUM(
    IFERROR(
            VLOOKUP($A88, INDIRECT("EneR!$A$6:$ZZ$1048576"), MATCH(AT$1, EneR!$6:$6, 0), FALSE),
            0
        ) +
        IFERROR(
            VLOOKUP($A88, INDIRECT("FebR!$A$6:$ZZ$1048576"), MATCH(AT$1, FebR!$6:$6, 0), FALSE),
            0
        ) +
        IFERROR(
            VLOOKUP($A88, INDIRECT("MarR!$A$6:$ZZ$1048576"), MATCH(AT$1, MarR!$6:$6, 0), FALSE),
            0
        ) +
        IFERROR(
            VLOOKUP($A88, INDIRECT("AbrR!$A$6:$ZZ$1048576"), MATCH(AT$1, AbrR!$6:$6, 0), FALSE),
            0
        ) +
        IFERROR(
            VLOOKUP($A88, INDIRECT("MayR!$A$6:$ZZ$1048576"), MATCH(AT$1, MayR!$6:$6, 0), FALSE),
            0
        ) +
        IFERROR(
            VLOOKUP($A88, INDIRECT("JunR!$A$6:$ZZ$1048576"), MATCH(AT$1, JunR!$6:$6, 0), FALSE),
            0
        ) +
        IFERROR(
            VLOOKUP($A88, INDIRECT("JulR!$A$6:$ZZ$1048576"), MATCH(AT$1, JulR!$6:$6, 0), FALSE),
            0
        ) +
        IFERROR(
            VLOOKUP($A88, INDIRECT("AgoR!$A$6:$ZZ$1048576"), MATCH(AT$1, AgoR!$6:$6, 0), FALSE),
            0
        ) +
        IFERROR(
            VLOOKUP($A88, INDIRECT("SepR!$A$6:$ZZ$1048576"), MATCH(AT$1, SepR!$6:$6, 0), FALSE),
            0
        ) +
        IFERROR(
            VLOOKUP($A88, INDIRECT("OctR!$A$6:$ZZ$1048576"), MATCH(AT$1, OctR!$6:$6, 0), FALSE),
            0
        ) +
        IFERROR(
            VLOOKUP($A88, INDIRECT("NovR!$A$6:$ZZ$1048576"), MATCH(AT$1, NovR!$6:$6, 0), FALSE),
            0
        ) +
        IFERROR(
            VLOOKUP($A88, INDIRECT("DicR!$A$6:$ZZ$1048576"), MATCH(AT$1, DicR!$6:$6, 0), FALSE),
            0
        )
)</f>
        <v>0</v>
      </c>
      <c r="AU88" s="35">
        <f t="array" ref="AU88">SUM(
    IFERROR(
            VLOOKUP($A88, INDIRECT("EneR!$A$6:$ZZ$1048576"), MATCH(AU$1, EneR!$6:$6, 0), FALSE),
            0
        ) +
        IFERROR(
            VLOOKUP($A88, INDIRECT("FebR!$A$6:$ZZ$1048576"), MATCH(AU$1, FebR!$6:$6, 0), FALSE),
            0
        ) +
        IFERROR(
            VLOOKUP($A88, INDIRECT("MarR!$A$6:$ZZ$1048576"), MATCH(AU$1, MarR!$6:$6, 0), FALSE),
            0
        ) +
        IFERROR(
            VLOOKUP($A88, INDIRECT("AbrR!$A$6:$ZZ$1048576"), MATCH(AU$1, AbrR!$6:$6, 0), FALSE),
            0
        ) +
        IFERROR(
            VLOOKUP($A88, INDIRECT("MayR!$A$6:$ZZ$1048576"), MATCH(AU$1, MayR!$6:$6, 0), FALSE),
            0
        ) +
        IFERROR(
            VLOOKUP($A88, INDIRECT("JunR!$A$6:$ZZ$1048576"), MATCH(AU$1, JunR!$6:$6, 0), FALSE),
            0
        ) +
        IFERROR(
            VLOOKUP($A88, INDIRECT("JulR!$A$6:$ZZ$1048576"), MATCH(AU$1, JulR!$6:$6, 0), FALSE),
            0
        ) +
        IFERROR(
            VLOOKUP($A88, INDIRECT("AgoR!$A$6:$ZZ$1048576"), MATCH(AU$1, AgoR!$6:$6, 0), FALSE),
            0
        ) +
        IFERROR(
            VLOOKUP($A88, INDIRECT("SepR!$A$6:$ZZ$1048576"), MATCH(AU$1, SepR!$6:$6, 0), FALSE),
            0
        ) +
        IFERROR(
            VLOOKUP($A88, INDIRECT("OctR!$A$6:$ZZ$1048576"), MATCH(AU$1, OctR!$6:$6, 0), FALSE),
            0
        ) +
        IFERROR(
            VLOOKUP($A88, INDIRECT("NovR!$A$6:$ZZ$1048576"), MATCH(AU$1, NovR!$6:$6, 0), FALSE),
            0
        ) +
        IFERROR(
            VLOOKUP($A88, INDIRECT("DicR!$A$6:$ZZ$1048576"), MATCH(AU$1, DicR!$6:$6, 0), FALSE),
            0
        )
)</f>
        <v>0</v>
      </c>
      <c r="AV88" s="36">
        <f t="array" ref="AV88">SUM(
    IFERROR(
            VLOOKUP($A88, INDIRECT("EneR!$A$6:$ZZ$1048576"), MATCH(AV$1, EneR!$6:$6, 0), FALSE),
            0
        ) +
        IFERROR(
            VLOOKUP($A88, INDIRECT("FebR!$A$6:$ZZ$1048576"), MATCH(AV$1, FebR!$6:$6, 0), FALSE),
            0
        ) +
        IFERROR(
            VLOOKUP($A88, INDIRECT("MarR!$A$6:$ZZ$1048576"), MATCH(AV$1, MarR!$6:$6, 0), FALSE),
            0
        ) +
        IFERROR(
            VLOOKUP($A88, INDIRECT("AbrR!$A$6:$ZZ$1048576"), MATCH(AV$1, AbrR!$6:$6, 0), FALSE),
            0
        ) +
        IFERROR(
            VLOOKUP($A88, INDIRECT("MayR!$A$6:$ZZ$1048576"), MATCH(AV$1, MayR!$6:$6, 0), FALSE),
            0
        ) +
        IFERROR(
            VLOOKUP($A88, INDIRECT("JunR!$A$6:$ZZ$1048576"), MATCH(AV$1, JunR!$6:$6, 0), FALSE),
            0
        ) +
        IFERROR(
            VLOOKUP($A88, INDIRECT("JulR!$A$6:$ZZ$1048576"), MATCH(AV$1, JulR!$6:$6, 0), FALSE),
            0
        ) +
        IFERROR(
            VLOOKUP($A88, INDIRECT("AgoR!$A$6:$ZZ$1048576"), MATCH(AV$1, AgoR!$6:$6, 0), FALSE),
            0
        ) +
        IFERROR(
            VLOOKUP($A88, INDIRECT("SepR!$A$6:$ZZ$1048576"), MATCH(AV$1, SepR!$6:$6, 0), FALSE),
            0
        ) +
        IFERROR(
            VLOOKUP($A88, INDIRECT("OctR!$A$6:$ZZ$1048576"), MATCH(AV$1, OctR!$6:$6, 0), FALSE),
            0
        ) +
        IFERROR(
            VLOOKUP($A88, INDIRECT("NovR!$A$6:$ZZ$1048576"), MATCH(AV$1, NovR!$6:$6, 0), FALSE),
            0
        ) +
        IFERROR(
            VLOOKUP($A88, INDIRECT("DicR!$A$6:$ZZ$1048576"), MATCH(AV$1, DicR!$6:$6, 0), FALSE),
            0
        )
)</f>
        <v>0</v>
      </c>
      <c r="AW88" s="35">
        <f t="array" ref="AW88">SUM(
    IFERROR(
            VLOOKUP($A88, INDIRECT("EneR!$A$6:$ZZ$1048576"), MATCH(AW$1, EneR!$6:$6, 0), FALSE),
            0
        ) +
        IFERROR(
            VLOOKUP($A88, INDIRECT("FebR!$A$6:$ZZ$1048576"), MATCH(AW$1, FebR!$6:$6, 0), FALSE),
            0
        ) +
        IFERROR(
            VLOOKUP($A88, INDIRECT("MarR!$A$6:$ZZ$1048576"), MATCH(AW$1, MarR!$6:$6, 0), FALSE),
            0
        ) +
        IFERROR(
            VLOOKUP($A88, INDIRECT("AbrR!$A$6:$ZZ$1048576"), MATCH(AW$1, AbrR!$6:$6, 0), FALSE),
            0
        ) +
        IFERROR(
            VLOOKUP($A88, INDIRECT("MayR!$A$6:$ZZ$1048576"), MATCH(AW$1, MayR!$6:$6, 0), FALSE),
            0
        ) +
        IFERROR(
            VLOOKUP($A88, INDIRECT("JunR!$A$6:$ZZ$1048576"), MATCH(AW$1, JunR!$6:$6, 0), FALSE),
            0
        ) +
        IFERROR(
            VLOOKUP($A88, INDIRECT("JulR!$A$6:$ZZ$1048576"), MATCH(AW$1, JulR!$6:$6, 0), FALSE),
            0
        ) +
        IFERROR(
            VLOOKUP($A88, INDIRECT("AgoR!$A$6:$ZZ$1048576"), MATCH(AW$1, AgoR!$6:$6, 0), FALSE),
            0
        ) +
        IFERROR(
            VLOOKUP($A88, INDIRECT("SepR!$A$6:$ZZ$1048576"), MATCH(AW$1, SepR!$6:$6, 0), FALSE),
            0
        ) +
        IFERROR(
            VLOOKUP($A88, INDIRECT("OctR!$A$6:$ZZ$1048576"), MATCH(AW$1, OctR!$6:$6, 0), FALSE),
            0
        ) +
        IFERROR(
            VLOOKUP($A88, INDIRECT("NovR!$A$6:$ZZ$1048576"), MATCH(AW$1, NovR!$6:$6, 0), FALSE),
            0
        ) +
        IFERROR(
            VLOOKUP($A88, INDIRECT("DicR!$A$6:$ZZ$1048576"), MATCH(AW$1, DicR!$6:$6, 0), FALSE),
            0
        )
)</f>
        <v>0</v>
      </c>
      <c r="AX88" s="36">
        <f t="array" ref="AX88">SUM(
    IFERROR(
            VLOOKUP($A88, INDIRECT("EneR!$A$6:$ZZ$1048576"), MATCH(AX$1, EneR!$6:$6, 0), FALSE),
            0
        ) +
        IFERROR(
            VLOOKUP($A88, INDIRECT("FebR!$A$6:$ZZ$1048576"), MATCH(AX$1, FebR!$6:$6, 0), FALSE),
            0
        ) +
        IFERROR(
            VLOOKUP($A88, INDIRECT("MarR!$A$6:$ZZ$1048576"), MATCH(AX$1, MarR!$6:$6, 0), FALSE),
            0
        ) +
        IFERROR(
            VLOOKUP($A88, INDIRECT("AbrR!$A$6:$ZZ$1048576"), MATCH(AX$1, AbrR!$6:$6, 0), FALSE),
            0
        ) +
        IFERROR(
            VLOOKUP($A88, INDIRECT("MayR!$A$6:$ZZ$1048576"), MATCH(AX$1, MayR!$6:$6, 0), FALSE),
            0
        ) +
        IFERROR(
            VLOOKUP($A88, INDIRECT("JunR!$A$6:$ZZ$1048576"), MATCH(AX$1, JunR!$6:$6, 0), FALSE),
            0
        ) +
        IFERROR(
            VLOOKUP($A88, INDIRECT("JulR!$A$6:$ZZ$1048576"), MATCH(AX$1, JulR!$6:$6, 0), FALSE),
            0
        ) +
        IFERROR(
            VLOOKUP($A88, INDIRECT("AgoR!$A$6:$ZZ$1048576"), MATCH(AX$1, AgoR!$6:$6, 0), FALSE),
            0
        ) +
        IFERROR(
            VLOOKUP($A88, INDIRECT("SepR!$A$6:$ZZ$1048576"), MATCH(AX$1, SepR!$6:$6, 0), FALSE),
            0
        ) +
        IFERROR(
            VLOOKUP($A88, INDIRECT("OctR!$A$6:$ZZ$1048576"), MATCH(AX$1, OctR!$6:$6, 0), FALSE),
            0
        ) +
        IFERROR(
            VLOOKUP($A88, INDIRECT("NovR!$A$6:$ZZ$1048576"), MATCH(AX$1, NovR!$6:$6, 0), FALSE),
            0
        ) +
        IFERROR(
            VLOOKUP($A88, INDIRECT("DicR!$A$6:$ZZ$1048576"), MATCH(AX$1, DicR!$6:$6, 0), FALSE),
            0
        )
)</f>
        <v>0</v>
      </c>
      <c r="AY88" s="35">
        <f t="array" ref="AY88">SUM(
    IFERROR(
            VLOOKUP($A88, INDIRECT("EneR!$A$6:$ZZ$1048576"), MATCH(AY$1, EneR!$6:$6, 0), FALSE),
            0
        ) +
        IFERROR(
            VLOOKUP($A88, INDIRECT("FebR!$A$6:$ZZ$1048576"), MATCH(AY$1, FebR!$6:$6, 0), FALSE),
            0
        ) +
        IFERROR(
            VLOOKUP($A88, INDIRECT("MarR!$A$6:$ZZ$1048576"), MATCH(AY$1, MarR!$6:$6, 0), FALSE),
            0
        ) +
        IFERROR(
            VLOOKUP($A88, INDIRECT("AbrR!$A$6:$ZZ$1048576"), MATCH(AY$1, AbrR!$6:$6, 0), FALSE),
            0
        ) +
        IFERROR(
            VLOOKUP($A88, INDIRECT("MayR!$A$6:$ZZ$1048576"), MATCH(AY$1, MayR!$6:$6, 0), FALSE),
            0
        ) +
        IFERROR(
            VLOOKUP($A88, INDIRECT("JunR!$A$6:$ZZ$1048576"), MATCH(AY$1, JunR!$6:$6, 0), FALSE),
            0
        ) +
        IFERROR(
            VLOOKUP($A88, INDIRECT("JulR!$A$6:$ZZ$1048576"), MATCH(AY$1, JulR!$6:$6, 0), FALSE),
            0
        ) +
        IFERROR(
            VLOOKUP($A88, INDIRECT("AgoR!$A$6:$ZZ$1048576"), MATCH(AY$1, AgoR!$6:$6, 0), FALSE),
            0
        ) +
        IFERROR(
            VLOOKUP($A88, INDIRECT("SepR!$A$6:$ZZ$1048576"), MATCH(AY$1, SepR!$6:$6, 0), FALSE),
            0
        ) +
        IFERROR(
            VLOOKUP($A88, INDIRECT("OctR!$A$6:$ZZ$1048576"), MATCH(AY$1, OctR!$6:$6, 0), FALSE),
            0
        ) +
        IFERROR(
            VLOOKUP($A88, INDIRECT("NovR!$A$6:$ZZ$1048576"), MATCH(AY$1, NovR!$6:$6, 0), FALSE),
            0
        ) +
        IFERROR(
            VLOOKUP($A88, INDIRECT("DicR!$A$6:$ZZ$1048576"), MATCH(AY$1, DicR!$6:$6, 0), FALSE),
            0
        )
)</f>
        <v>0</v>
      </c>
      <c r="AZ88" s="35"/>
    </row>
    <row r="89" ht="15.75" hidden="1" customHeight="1">
      <c r="A89" s="12" t="str">
        <f>Menus!B50</f>
        <v/>
      </c>
      <c r="B89" s="32">
        <f t="shared" si="11"/>
        <v>0</v>
      </c>
      <c r="C89" s="33" t="str">
        <f t="shared" si="10"/>
        <v/>
      </c>
      <c r="D89" s="34">
        <f t="array" ref="D89">SUM(
    IFERROR(
            VLOOKUP($A89, INDIRECT("EneR!$A$6:$ZZ$1048576"), MATCH(D$1, EneR!$6:$6, 0), FALSE),
            0
        ) +
        IFERROR(
            VLOOKUP($A89, INDIRECT("FebR!$A$6:$ZZ$1048576"), MATCH(D$1, FebR!$6:$6, 0), FALSE),
            0
        ) +
        IFERROR(
            VLOOKUP($A89, INDIRECT("MarR!$A$6:$ZZ$1048576"), MATCH(D$1, MarR!$6:$6, 0), FALSE),
            0
        ) +
        IFERROR(
            VLOOKUP($A89, INDIRECT("AbrR!$A$6:$ZZ$1048576"), MATCH(D$1, AbrR!$6:$6, 0), FALSE),
            0
        ) +
        IFERROR(
            VLOOKUP($A89, INDIRECT("MayR!$A$6:$ZZ$1048576"), MATCH(D$1, MayR!$6:$6, 0), FALSE),
            0
        ) +
        IFERROR(
            VLOOKUP($A89, INDIRECT("JunR!$A$6:$ZZ$1048576"), MATCH(D$1, JunR!$6:$6, 0), FALSE),
            0
        ) +
        IFERROR(
            VLOOKUP($A89, INDIRECT("JulR!$A$6:$ZZ$1048576"), MATCH(D$1, JulR!$6:$6, 0), FALSE),
            0
        ) +
        IFERROR(
            VLOOKUP($A89, INDIRECT("AgoR!$A$6:$ZZ$1048576"), MATCH(D$1, AgoR!$6:$6, 0), FALSE),
            0
        ) +
        IFERROR(
            VLOOKUP($A89, INDIRECT("SepR!$A$6:$ZZ$1048576"), MATCH(D$1, SepR!$6:$6, 0), FALSE),
            0
        ) +
        IFERROR(
            VLOOKUP($A89, INDIRECT("OctR!$A$6:$ZZ$1048576"), MATCH(D$1, OctR!$6:$6, 0), FALSE),
            0
        ) +
        IFERROR(
            VLOOKUP($A89, INDIRECT("NovR!$A$6:$ZZ$1048576"), MATCH(D$1, NovR!$6:$6, 0), FALSE),
            0
        ) +
        IFERROR(
            VLOOKUP($A89, INDIRECT("DicR!$A$6:$ZZ$1048576"), MATCH(D$1, DicR!$6:$6, 0), FALSE),
            0
        )
)</f>
        <v>0</v>
      </c>
      <c r="E89" s="35">
        <f t="array" ref="E89">SUM(
    IFERROR(
            VLOOKUP($A89, INDIRECT("EneR!$A$6:$ZZ$1048576"), MATCH(E$1, EneR!$6:$6, 0), FALSE),
            0
        ) +
        IFERROR(
            VLOOKUP($A89, INDIRECT("FebR!$A$6:$ZZ$1048576"), MATCH(E$1, FebR!$6:$6, 0), FALSE),
            0
        ) +
        IFERROR(
            VLOOKUP($A89, INDIRECT("MarR!$A$6:$ZZ$1048576"), MATCH(E$1, MarR!$6:$6, 0), FALSE),
            0
        ) +
        IFERROR(
            VLOOKUP($A89, INDIRECT("AbrR!$A$6:$ZZ$1048576"), MATCH(E$1, AbrR!$6:$6, 0), FALSE),
            0
        ) +
        IFERROR(
            VLOOKUP($A89, INDIRECT("MayR!$A$6:$ZZ$1048576"), MATCH(E$1, MayR!$6:$6, 0), FALSE),
            0
        ) +
        IFERROR(
            VLOOKUP($A89, INDIRECT("JunR!$A$6:$ZZ$1048576"), MATCH(E$1, JunR!$6:$6, 0), FALSE),
            0
        ) +
        IFERROR(
            VLOOKUP($A89, INDIRECT("JulR!$A$6:$ZZ$1048576"), MATCH(E$1, JulR!$6:$6, 0), FALSE),
            0
        ) +
        IFERROR(
            VLOOKUP($A89, INDIRECT("AgoR!$A$6:$ZZ$1048576"), MATCH(E$1, AgoR!$6:$6, 0), FALSE),
            0
        ) +
        IFERROR(
            VLOOKUP($A89, INDIRECT("SepR!$A$6:$ZZ$1048576"), MATCH(E$1, SepR!$6:$6, 0), FALSE),
            0
        ) +
        IFERROR(
            VLOOKUP($A89, INDIRECT("OctR!$A$6:$ZZ$1048576"), MATCH(E$1, OctR!$6:$6, 0), FALSE),
            0
        ) +
        IFERROR(
            VLOOKUP($A89, INDIRECT("NovR!$A$6:$ZZ$1048576"), MATCH(E$1, NovR!$6:$6, 0), FALSE),
            0
        ) +
        IFERROR(
            VLOOKUP($A89, INDIRECT("DicR!$A$6:$ZZ$1048576"), MATCH(E$1, DicR!$6:$6, 0), FALSE),
            0
        )
)</f>
        <v>0</v>
      </c>
      <c r="F89" s="32">
        <f t="array" ref="F89">SUM(
    IFERROR(
            VLOOKUP($A89, INDIRECT("EneR!$A$6:$ZZ$1048576"), MATCH(F$1, EneR!$6:$6, 0), FALSE),
            0
        ) +
        IFERROR(
            VLOOKUP($A89, INDIRECT("FebR!$A$6:$ZZ$1048576"), MATCH(F$1, FebR!$6:$6, 0), FALSE),
            0
        ) +
        IFERROR(
            VLOOKUP($A89, INDIRECT("MarR!$A$6:$ZZ$1048576"), MATCH(F$1, MarR!$6:$6, 0), FALSE),
            0
        ) +
        IFERROR(
            VLOOKUP($A89, INDIRECT("AbrR!$A$6:$ZZ$1048576"), MATCH(F$1, AbrR!$6:$6, 0), FALSE),
            0
        ) +
        IFERROR(
            VLOOKUP($A89, INDIRECT("MayR!$A$6:$ZZ$1048576"), MATCH(F$1, MayR!$6:$6, 0), FALSE),
            0
        ) +
        IFERROR(
            VLOOKUP($A89, INDIRECT("JunR!$A$6:$ZZ$1048576"), MATCH(F$1, JunR!$6:$6, 0), FALSE),
            0
        ) +
        IFERROR(
            VLOOKUP($A89, INDIRECT("JulR!$A$6:$ZZ$1048576"), MATCH(F$1, JulR!$6:$6, 0), FALSE),
            0
        ) +
        IFERROR(
            VLOOKUP($A89, INDIRECT("AgoR!$A$6:$ZZ$1048576"), MATCH(F$1, AgoR!$6:$6, 0), FALSE),
            0
        ) +
        IFERROR(
            VLOOKUP($A89, INDIRECT("SepR!$A$6:$ZZ$1048576"), MATCH(F$1, SepR!$6:$6, 0), FALSE),
            0
        ) +
        IFERROR(
            VLOOKUP($A89, INDIRECT("OctR!$A$6:$ZZ$1048576"), MATCH(F$1, OctR!$6:$6, 0), FALSE),
            0
        ) +
        IFERROR(
            VLOOKUP($A89, INDIRECT("NovR!$A$6:$ZZ$1048576"), MATCH(F$1, NovR!$6:$6, 0), FALSE),
            0
        ) +
        IFERROR(
            VLOOKUP($A89, INDIRECT("DicR!$A$6:$ZZ$1048576"), MATCH(F$1, DicR!$6:$6, 0), FALSE),
            0
        )
)</f>
        <v>0</v>
      </c>
      <c r="G89" s="35">
        <f t="array" ref="G89">SUM(
    IFERROR(
            VLOOKUP($A89, INDIRECT("EneR!$A$6:$ZZ$1048576"), MATCH(G$1, EneR!$6:$6, 0), FALSE),
            0
        ) +
        IFERROR(
            VLOOKUP($A89, INDIRECT("FebR!$A$6:$ZZ$1048576"), MATCH(G$1, FebR!$6:$6, 0), FALSE),
            0
        ) +
        IFERROR(
            VLOOKUP($A89, INDIRECT("MarR!$A$6:$ZZ$1048576"), MATCH(G$1, MarR!$6:$6, 0), FALSE),
            0
        ) +
        IFERROR(
            VLOOKUP($A89, INDIRECT("AbrR!$A$6:$ZZ$1048576"), MATCH(G$1, AbrR!$6:$6, 0), FALSE),
            0
        ) +
        IFERROR(
            VLOOKUP($A89, INDIRECT("MayR!$A$6:$ZZ$1048576"), MATCH(G$1, MayR!$6:$6, 0), FALSE),
            0
        ) +
        IFERROR(
            VLOOKUP($A89, INDIRECT("JunR!$A$6:$ZZ$1048576"), MATCH(G$1, JunR!$6:$6, 0), FALSE),
            0
        ) +
        IFERROR(
            VLOOKUP($A89, INDIRECT("JulR!$A$6:$ZZ$1048576"), MATCH(G$1, JulR!$6:$6, 0), FALSE),
            0
        ) +
        IFERROR(
            VLOOKUP($A89, INDIRECT("AgoR!$A$6:$ZZ$1048576"), MATCH(G$1, AgoR!$6:$6, 0), FALSE),
            0
        ) +
        IFERROR(
            VLOOKUP($A89, INDIRECT("SepR!$A$6:$ZZ$1048576"), MATCH(G$1, SepR!$6:$6, 0), FALSE),
            0
        ) +
        IFERROR(
            VLOOKUP($A89, INDIRECT("OctR!$A$6:$ZZ$1048576"), MATCH(G$1, OctR!$6:$6, 0), FALSE),
            0
        ) +
        IFERROR(
            VLOOKUP($A89, INDIRECT("NovR!$A$6:$ZZ$1048576"), MATCH(G$1, NovR!$6:$6, 0), FALSE),
            0
        ) +
        IFERROR(
            VLOOKUP($A89, INDIRECT("DicR!$A$6:$ZZ$1048576"), MATCH(G$1, DicR!$6:$6, 0), FALSE),
            0
        )
)</f>
        <v>0</v>
      </c>
      <c r="H89" s="32">
        <f t="array" ref="H89">SUM(
    IFERROR(
            VLOOKUP($A89, INDIRECT("EneR!$A$6:$ZZ$1048576"), MATCH(H$1, EneR!$6:$6, 0), FALSE),
            0
        ) +
        IFERROR(
            VLOOKUP($A89, INDIRECT("FebR!$A$6:$ZZ$1048576"), MATCH(H$1, FebR!$6:$6, 0), FALSE),
            0
        ) +
        IFERROR(
            VLOOKUP($A89, INDIRECT("MarR!$A$6:$ZZ$1048576"), MATCH(H$1, MarR!$6:$6, 0), FALSE),
            0
        ) +
        IFERROR(
            VLOOKUP($A89, INDIRECT("AbrR!$A$6:$ZZ$1048576"), MATCH(H$1, AbrR!$6:$6, 0), FALSE),
            0
        ) +
        IFERROR(
            VLOOKUP($A89, INDIRECT("MayR!$A$6:$ZZ$1048576"), MATCH(H$1, MayR!$6:$6, 0), FALSE),
            0
        ) +
        IFERROR(
            VLOOKUP($A89, INDIRECT("JunR!$A$6:$ZZ$1048576"), MATCH(H$1, JunR!$6:$6, 0), FALSE),
            0
        ) +
        IFERROR(
            VLOOKUP($A89, INDIRECT("JulR!$A$6:$ZZ$1048576"), MATCH(H$1, JulR!$6:$6, 0), FALSE),
            0
        ) +
        IFERROR(
            VLOOKUP($A89, INDIRECT("AgoR!$A$6:$ZZ$1048576"), MATCH(H$1, AgoR!$6:$6, 0), FALSE),
            0
        ) +
        IFERROR(
            VLOOKUP($A89, INDIRECT("SepR!$A$6:$ZZ$1048576"), MATCH(H$1, SepR!$6:$6, 0), FALSE),
            0
        ) +
        IFERROR(
            VLOOKUP($A89, INDIRECT("OctR!$A$6:$ZZ$1048576"), MATCH(H$1, OctR!$6:$6, 0), FALSE),
            0
        ) +
        IFERROR(
            VLOOKUP($A89, INDIRECT("NovR!$A$6:$ZZ$1048576"), MATCH(H$1, NovR!$6:$6, 0), FALSE),
            0
        ) +
        IFERROR(
            VLOOKUP($A89, INDIRECT("DicR!$A$6:$ZZ$1048576"), MATCH(H$1, DicR!$6:$6, 0), FALSE),
            0
        )
)</f>
        <v>0</v>
      </c>
      <c r="I89" s="35">
        <f t="array" ref="I89">SUM(
    IFERROR(
            VLOOKUP($A89, INDIRECT("EneR!$A$6:$ZZ$1048576"), MATCH(I$1, EneR!$6:$6, 0), FALSE),
            0
        ) +
        IFERROR(
            VLOOKUP($A89, INDIRECT("FebR!$A$6:$ZZ$1048576"), MATCH(I$1, FebR!$6:$6, 0), FALSE),
            0
        ) +
        IFERROR(
            VLOOKUP($A89, INDIRECT("MarR!$A$6:$ZZ$1048576"), MATCH(I$1, MarR!$6:$6, 0), FALSE),
            0
        ) +
        IFERROR(
            VLOOKUP($A89, INDIRECT("AbrR!$A$6:$ZZ$1048576"), MATCH(I$1, AbrR!$6:$6, 0), FALSE),
            0
        ) +
        IFERROR(
            VLOOKUP($A89, INDIRECT("MayR!$A$6:$ZZ$1048576"), MATCH(I$1, MayR!$6:$6, 0), FALSE),
            0
        ) +
        IFERROR(
            VLOOKUP($A89, INDIRECT("JunR!$A$6:$ZZ$1048576"), MATCH(I$1, JunR!$6:$6, 0), FALSE),
            0
        ) +
        IFERROR(
            VLOOKUP($A89, INDIRECT("JulR!$A$6:$ZZ$1048576"), MATCH(I$1, JulR!$6:$6, 0), FALSE),
            0
        ) +
        IFERROR(
            VLOOKUP($A89, INDIRECT("AgoR!$A$6:$ZZ$1048576"), MATCH(I$1, AgoR!$6:$6, 0), FALSE),
            0
        ) +
        IFERROR(
            VLOOKUP($A89, INDIRECT("SepR!$A$6:$ZZ$1048576"), MATCH(I$1, SepR!$6:$6, 0), FALSE),
            0
        ) +
        IFERROR(
            VLOOKUP($A89, INDIRECT("OctR!$A$6:$ZZ$1048576"), MATCH(I$1, OctR!$6:$6, 0), FALSE),
            0
        ) +
        IFERROR(
            VLOOKUP($A89, INDIRECT("NovR!$A$6:$ZZ$1048576"), MATCH(I$1, NovR!$6:$6, 0), FALSE),
            0
        ) +
        IFERROR(
            VLOOKUP($A89, INDIRECT("DicR!$A$6:$ZZ$1048576"), MATCH(I$1, DicR!$6:$6, 0), FALSE),
            0
        )
)</f>
        <v>0</v>
      </c>
      <c r="J89" s="32">
        <f t="array" ref="J89">SUM(
    IFERROR(
            VLOOKUP($A89, INDIRECT("EneR!$A$6:$ZZ$1048576"), MATCH(J$1, EneR!$6:$6, 0), FALSE),
            0
        ) +
        IFERROR(
            VLOOKUP($A89, INDIRECT("FebR!$A$6:$ZZ$1048576"), MATCH(J$1, FebR!$6:$6, 0), FALSE),
            0
        ) +
        IFERROR(
            VLOOKUP($A89, INDIRECT("MarR!$A$6:$ZZ$1048576"), MATCH(J$1, MarR!$6:$6, 0), FALSE),
            0
        ) +
        IFERROR(
            VLOOKUP($A89, INDIRECT("AbrR!$A$6:$ZZ$1048576"), MATCH(J$1, AbrR!$6:$6, 0), FALSE),
            0
        ) +
        IFERROR(
            VLOOKUP($A89, INDIRECT("MayR!$A$6:$ZZ$1048576"), MATCH(J$1, MayR!$6:$6, 0), FALSE),
            0
        ) +
        IFERROR(
            VLOOKUP($A89, INDIRECT("JunR!$A$6:$ZZ$1048576"), MATCH(J$1, JunR!$6:$6, 0), FALSE),
            0
        ) +
        IFERROR(
            VLOOKUP($A89, INDIRECT("JulR!$A$6:$ZZ$1048576"), MATCH(J$1, JulR!$6:$6, 0), FALSE),
            0
        ) +
        IFERROR(
            VLOOKUP($A89, INDIRECT("AgoR!$A$6:$ZZ$1048576"), MATCH(J$1, AgoR!$6:$6, 0), FALSE),
            0
        ) +
        IFERROR(
            VLOOKUP($A89, INDIRECT("SepR!$A$6:$ZZ$1048576"), MATCH(J$1, SepR!$6:$6, 0), FALSE),
            0
        ) +
        IFERROR(
            VLOOKUP($A89, INDIRECT("OctR!$A$6:$ZZ$1048576"), MATCH(J$1, OctR!$6:$6, 0), FALSE),
            0
        ) +
        IFERROR(
            VLOOKUP($A89, INDIRECT("NovR!$A$6:$ZZ$1048576"), MATCH(J$1, NovR!$6:$6, 0), FALSE),
            0
        ) +
        IFERROR(
            VLOOKUP($A89, INDIRECT("DicR!$A$6:$ZZ$1048576"), MATCH(J$1, DicR!$6:$6, 0), FALSE),
            0
        )
)</f>
        <v>0</v>
      </c>
      <c r="K89" s="35">
        <f t="array" ref="K89">SUM(
    IFERROR(
            VLOOKUP($A89, INDIRECT("EneR!$A$6:$ZZ$1048576"), MATCH(K$1, EneR!$6:$6, 0), FALSE),
            0
        ) +
        IFERROR(
            VLOOKUP($A89, INDIRECT("FebR!$A$6:$ZZ$1048576"), MATCH(K$1, FebR!$6:$6, 0), FALSE),
            0
        ) +
        IFERROR(
            VLOOKUP($A89, INDIRECT("MarR!$A$6:$ZZ$1048576"), MATCH(K$1, MarR!$6:$6, 0), FALSE),
            0
        ) +
        IFERROR(
            VLOOKUP($A89, INDIRECT("AbrR!$A$6:$ZZ$1048576"), MATCH(K$1, AbrR!$6:$6, 0), FALSE),
            0
        ) +
        IFERROR(
            VLOOKUP($A89, INDIRECT("MayR!$A$6:$ZZ$1048576"), MATCH(K$1, MayR!$6:$6, 0), FALSE),
            0
        ) +
        IFERROR(
            VLOOKUP($A89, INDIRECT("JunR!$A$6:$ZZ$1048576"), MATCH(K$1, JunR!$6:$6, 0), FALSE),
            0
        ) +
        IFERROR(
            VLOOKUP($A89, INDIRECT("JulR!$A$6:$ZZ$1048576"), MATCH(K$1, JulR!$6:$6, 0), FALSE),
            0
        ) +
        IFERROR(
            VLOOKUP($A89, INDIRECT("AgoR!$A$6:$ZZ$1048576"), MATCH(K$1, AgoR!$6:$6, 0), FALSE),
            0
        ) +
        IFERROR(
            VLOOKUP($A89, INDIRECT("SepR!$A$6:$ZZ$1048576"), MATCH(K$1, SepR!$6:$6, 0), FALSE),
            0
        ) +
        IFERROR(
            VLOOKUP($A89, INDIRECT("OctR!$A$6:$ZZ$1048576"), MATCH(K$1, OctR!$6:$6, 0), FALSE),
            0
        ) +
        IFERROR(
            VLOOKUP($A89, INDIRECT("NovR!$A$6:$ZZ$1048576"), MATCH(K$1, NovR!$6:$6, 0), FALSE),
            0
        ) +
        IFERROR(
            VLOOKUP($A89, INDIRECT("DicR!$A$6:$ZZ$1048576"), MATCH(K$1, DicR!$6:$6, 0), FALSE),
            0
        )
)</f>
        <v>0</v>
      </c>
      <c r="L89" s="32">
        <f t="array" ref="L89">SUM(
    IFERROR(
            VLOOKUP($A89, INDIRECT("EneR!$A$6:$ZZ$1048576"), MATCH(L$1, EneR!$6:$6, 0), FALSE),
            0
        ) +
        IFERROR(
            VLOOKUP($A89, INDIRECT("FebR!$A$6:$ZZ$1048576"), MATCH(L$1, FebR!$6:$6, 0), FALSE),
            0
        ) +
        IFERROR(
            VLOOKUP($A89, INDIRECT("MarR!$A$6:$ZZ$1048576"), MATCH(L$1, MarR!$6:$6, 0), FALSE),
            0
        ) +
        IFERROR(
            VLOOKUP($A89, INDIRECT("AbrR!$A$6:$ZZ$1048576"), MATCH(L$1, AbrR!$6:$6, 0), FALSE),
            0
        ) +
        IFERROR(
            VLOOKUP($A89, INDIRECT("MayR!$A$6:$ZZ$1048576"), MATCH(L$1, MayR!$6:$6, 0), FALSE),
            0
        ) +
        IFERROR(
            VLOOKUP($A89, INDIRECT("JunR!$A$6:$ZZ$1048576"), MATCH(L$1, JunR!$6:$6, 0), FALSE),
            0
        ) +
        IFERROR(
            VLOOKUP($A89, INDIRECT("JulR!$A$6:$ZZ$1048576"), MATCH(L$1, JulR!$6:$6, 0), FALSE),
            0
        ) +
        IFERROR(
            VLOOKUP($A89, INDIRECT("AgoR!$A$6:$ZZ$1048576"), MATCH(L$1, AgoR!$6:$6, 0), FALSE),
            0
        ) +
        IFERROR(
            VLOOKUP($A89, INDIRECT("SepR!$A$6:$ZZ$1048576"), MATCH(L$1, SepR!$6:$6, 0), FALSE),
            0
        ) +
        IFERROR(
            VLOOKUP($A89, INDIRECT("OctR!$A$6:$ZZ$1048576"), MATCH(L$1, OctR!$6:$6, 0), FALSE),
            0
        ) +
        IFERROR(
            VLOOKUP($A89, INDIRECT("NovR!$A$6:$ZZ$1048576"), MATCH(L$1, NovR!$6:$6, 0), FALSE),
            0
        ) +
        IFERROR(
            VLOOKUP($A89, INDIRECT("DicR!$A$6:$ZZ$1048576"), MATCH(L$1, DicR!$6:$6, 0), FALSE),
            0
        )
)</f>
        <v>0</v>
      </c>
      <c r="M89" s="35">
        <f t="array" ref="M89">SUM(
    IFERROR(
            VLOOKUP($A89, INDIRECT("EneR!$A$6:$ZZ$1048576"), MATCH(M$1, EneR!$6:$6, 0), FALSE),
            0
        ) +
        IFERROR(
            VLOOKUP($A89, INDIRECT("FebR!$A$6:$ZZ$1048576"), MATCH(M$1, FebR!$6:$6, 0), FALSE),
            0
        ) +
        IFERROR(
            VLOOKUP($A89, INDIRECT("MarR!$A$6:$ZZ$1048576"), MATCH(M$1, MarR!$6:$6, 0), FALSE),
            0
        ) +
        IFERROR(
            VLOOKUP($A89, INDIRECT("AbrR!$A$6:$ZZ$1048576"), MATCH(M$1, AbrR!$6:$6, 0), FALSE),
            0
        ) +
        IFERROR(
            VLOOKUP($A89, INDIRECT("MayR!$A$6:$ZZ$1048576"), MATCH(M$1, MayR!$6:$6, 0), FALSE),
            0
        ) +
        IFERROR(
            VLOOKUP($A89, INDIRECT("JunR!$A$6:$ZZ$1048576"), MATCH(M$1, JunR!$6:$6, 0), FALSE),
            0
        ) +
        IFERROR(
            VLOOKUP($A89, INDIRECT("JulR!$A$6:$ZZ$1048576"), MATCH(M$1, JulR!$6:$6, 0), FALSE),
            0
        ) +
        IFERROR(
            VLOOKUP($A89, INDIRECT("AgoR!$A$6:$ZZ$1048576"), MATCH(M$1, AgoR!$6:$6, 0), FALSE),
            0
        ) +
        IFERROR(
            VLOOKUP($A89, INDIRECT("SepR!$A$6:$ZZ$1048576"), MATCH(M$1, SepR!$6:$6, 0), FALSE),
            0
        ) +
        IFERROR(
            VLOOKUP($A89, INDIRECT("OctR!$A$6:$ZZ$1048576"), MATCH(M$1, OctR!$6:$6, 0), FALSE),
            0
        ) +
        IFERROR(
            VLOOKUP($A89, INDIRECT("NovR!$A$6:$ZZ$1048576"), MATCH(M$1, NovR!$6:$6, 0), FALSE),
            0
        ) +
        IFERROR(
            VLOOKUP($A89, INDIRECT("DicR!$A$6:$ZZ$1048576"), MATCH(M$1, DicR!$6:$6, 0), FALSE),
            0
        )
)</f>
        <v>0</v>
      </c>
      <c r="N89" s="32">
        <f t="array" ref="N89">SUM(
    IFERROR(
            VLOOKUP($A89, INDIRECT("EneR!$A$6:$ZZ$1048576"), MATCH(N$1, EneR!$6:$6, 0), FALSE),
            0
        ) +
        IFERROR(
            VLOOKUP($A89, INDIRECT("FebR!$A$6:$ZZ$1048576"), MATCH(N$1, FebR!$6:$6, 0), FALSE),
            0
        ) +
        IFERROR(
            VLOOKUP($A89, INDIRECT("MarR!$A$6:$ZZ$1048576"), MATCH(N$1, MarR!$6:$6, 0), FALSE),
            0
        ) +
        IFERROR(
            VLOOKUP($A89, INDIRECT("AbrR!$A$6:$ZZ$1048576"), MATCH(N$1, AbrR!$6:$6, 0), FALSE),
            0
        ) +
        IFERROR(
            VLOOKUP($A89, INDIRECT("MayR!$A$6:$ZZ$1048576"), MATCH(N$1, MayR!$6:$6, 0), FALSE),
            0
        ) +
        IFERROR(
            VLOOKUP($A89, INDIRECT("JunR!$A$6:$ZZ$1048576"), MATCH(N$1, JunR!$6:$6, 0), FALSE),
            0
        ) +
        IFERROR(
            VLOOKUP($A89, INDIRECT("JulR!$A$6:$ZZ$1048576"), MATCH(N$1, JulR!$6:$6, 0), FALSE),
            0
        ) +
        IFERROR(
            VLOOKUP($A89, INDIRECT("AgoR!$A$6:$ZZ$1048576"), MATCH(N$1, AgoR!$6:$6, 0), FALSE),
            0
        ) +
        IFERROR(
            VLOOKUP($A89, INDIRECT("SepR!$A$6:$ZZ$1048576"), MATCH(N$1, SepR!$6:$6, 0), FALSE),
            0
        ) +
        IFERROR(
            VLOOKUP($A89, INDIRECT("OctR!$A$6:$ZZ$1048576"), MATCH(N$1, OctR!$6:$6, 0), FALSE),
            0
        ) +
        IFERROR(
            VLOOKUP($A89, INDIRECT("NovR!$A$6:$ZZ$1048576"), MATCH(N$1, NovR!$6:$6, 0), FALSE),
            0
        ) +
        IFERROR(
            VLOOKUP($A89, INDIRECT("DicR!$A$6:$ZZ$1048576"), MATCH(N$1, DicR!$6:$6, 0), FALSE),
            0
        )
)</f>
        <v>0</v>
      </c>
      <c r="O89" s="35">
        <f t="array" ref="O89">SUM(
    IFERROR(
            VLOOKUP($A89, INDIRECT("EneR!$A$6:$ZZ$1048576"), MATCH(O$1, EneR!$6:$6, 0), FALSE),
            0
        ) +
        IFERROR(
            VLOOKUP($A89, INDIRECT("FebR!$A$6:$ZZ$1048576"), MATCH(O$1, FebR!$6:$6, 0), FALSE),
            0
        ) +
        IFERROR(
            VLOOKUP($A89, INDIRECT("MarR!$A$6:$ZZ$1048576"), MATCH(O$1, MarR!$6:$6, 0), FALSE),
            0
        ) +
        IFERROR(
            VLOOKUP($A89, INDIRECT("AbrR!$A$6:$ZZ$1048576"), MATCH(O$1, AbrR!$6:$6, 0), FALSE),
            0
        ) +
        IFERROR(
            VLOOKUP($A89, INDIRECT("MayR!$A$6:$ZZ$1048576"), MATCH(O$1, MayR!$6:$6, 0), FALSE),
            0
        ) +
        IFERROR(
            VLOOKUP($A89, INDIRECT("JunR!$A$6:$ZZ$1048576"), MATCH(O$1, JunR!$6:$6, 0), FALSE),
            0
        ) +
        IFERROR(
            VLOOKUP($A89, INDIRECT("JulR!$A$6:$ZZ$1048576"), MATCH(O$1, JulR!$6:$6, 0), FALSE),
            0
        ) +
        IFERROR(
            VLOOKUP($A89, INDIRECT("AgoR!$A$6:$ZZ$1048576"), MATCH(O$1, AgoR!$6:$6, 0), FALSE),
            0
        ) +
        IFERROR(
            VLOOKUP($A89, INDIRECT("SepR!$A$6:$ZZ$1048576"), MATCH(O$1, SepR!$6:$6, 0), FALSE),
            0
        ) +
        IFERROR(
            VLOOKUP($A89, INDIRECT("OctR!$A$6:$ZZ$1048576"), MATCH(O$1, OctR!$6:$6, 0), FALSE),
            0
        ) +
        IFERROR(
            VLOOKUP($A89, INDIRECT("NovR!$A$6:$ZZ$1048576"), MATCH(O$1, NovR!$6:$6, 0), FALSE),
            0
        ) +
        IFERROR(
            VLOOKUP($A89, INDIRECT("DicR!$A$6:$ZZ$1048576"), MATCH(O$1, DicR!$6:$6, 0), FALSE),
            0
        )
)</f>
        <v>0</v>
      </c>
      <c r="P89" s="32">
        <f t="array" ref="P89">SUM(
    IFERROR(
            VLOOKUP($A89, INDIRECT("EneR!$A$6:$ZZ$1048576"), MATCH(P$1, EneR!$6:$6, 0), FALSE),
            0
        ) +
        IFERROR(
            VLOOKUP($A89, INDIRECT("FebR!$A$6:$ZZ$1048576"), MATCH(P$1, FebR!$6:$6, 0), FALSE),
            0
        ) +
        IFERROR(
            VLOOKUP($A89, INDIRECT("MarR!$A$6:$ZZ$1048576"), MATCH(P$1, MarR!$6:$6, 0), FALSE),
            0
        ) +
        IFERROR(
            VLOOKUP($A89, INDIRECT("AbrR!$A$6:$ZZ$1048576"), MATCH(P$1, AbrR!$6:$6, 0), FALSE),
            0
        ) +
        IFERROR(
            VLOOKUP($A89, INDIRECT("MayR!$A$6:$ZZ$1048576"), MATCH(P$1, MayR!$6:$6, 0), FALSE),
            0
        ) +
        IFERROR(
            VLOOKUP($A89, INDIRECT("JunR!$A$6:$ZZ$1048576"), MATCH(P$1, JunR!$6:$6, 0), FALSE),
            0
        ) +
        IFERROR(
            VLOOKUP($A89, INDIRECT("JulR!$A$6:$ZZ$1048576"), MATCH(P$1, JulR!$6:$6, 0), FALSE),
            0
        ) +
        IFERROR(
            VLOOKUP($A89, INDIRECT("AgoR!$A$6:$ZZ$1048576"), MATCH(P$1, AgoR!$6:$6, 0), FALSE),
            0
        ) +
        IFERROR(
            VLOOKUP($A89, INDIRECT("SepR!$A$6:$ZZ$1048576"), MATCH(P$1, SepR!$6:$6, 0), FALSE),
            0
        ) +
        IFERROR(
            VLOOKUP($A89, INDIRECT("OctR!$A$6:$ZZ$1048576"), MATCH(P$1, OctR!$6:$6, 0), FALSE),
            0
        ) +
        IFERROR(
            VLOOKUP($A89, INDIRECT("NovR!$A$6:$ZZ$1048576"), MATCH(P$1, NovR!$6:$6, 0), FALSE),
            0
        ) +
        IFERROR(
            VLOOKUP($A89, INDIRECT("DicR!$A$6:$ZZ$1048576"), MATCH(P$1, DicR!$6:$6, 0), FALSE),
            0
        )
)</f>
        <v>0</v>
      </c>
      <c r="Q89" s="35">
        <f t="array" ref="Q89">SUM(
    IFERROR(
            VLOOKUP($A89, INDIRECT("EneR!$A$6:$ZZ$1048576"), MATCH(Q$1, EneR!$6:$6, 0), FALSE),
            0
        ) +
        IFERROR(
            VLOOKUP($A89, INDIRECT("FebR!$A$6:$ZZ$1048576"), MATCH(Q$1, FebR!$6:$6, 0), FALSE),
            0
        ) +
        IFERROR(
            VLOOKUP($A89, INDIRECT("MarR!$A$6:$ZZ$1048576"), MATCH(Q$1, MarR!$6:$6, 0), FALSE),
            0
        ) +
        IFERROR(
            VLOOKUP($A89, INDIRECT("AbrR!$A$6:$ZZ$1048576"), MATCH(Q$1, AbrR!$6:$6, 0), FALSE),
            0
        ) +
        IFERROR(
            VLOOKUP($A89, INDIRECT("MayR!$A$6:$ZZ$1048576"), MATCH(Q$1, MayR!$6:$6, 0), FALSE),
            0
        ) +
        IFERROR(
            VLOOKUP($A89, INDIRECT("JunR!$A$6:$ZZ$1048576"), MATCH(Q$1, JunR!$6:$6, 0), FALSE),
            0
        ) +
        IFERROR(
            VLOOKUP($A89, INDIRECT("JulR!$A$6:$ZZ$1048576"), MATCH(Q$1, JulR!$6:$6, 0), FALSE),
            0
        ) +
        IFERROR(
            VLOOKUP($A89, INDIRECT("AgoR!$A$6:$ZZ$1048576"), MATCH(Q$1, AgoR!$6:$6, 0), FALSE),
            0
        ) +
        IFERROR(
            VLOOKUP($A89, INDIRECT("SepR!$A$6:$ZZ$1048576"), MATCH(Q$1, SepR!$6:$6, 0), FALSE),
            0
        ) +
        IFERROR(
            VLOOKUP($A89, INDIRECT("OctR!$A$6:$ZZ$1048576"), MATCH(Q$1, OctR!$6:$6, 0), FALSE),
            0
        ) +
        IFERROR(
            VLOOKUP($A89, INDIRECT("NovR!$A$6:$ZZ$1048576"), MATCH(Q$1, NovR!$6:$6, 0), FALSE),
            0
        ) +
        IFERROR(
            VLOOKUP($A89, INDIRECT("DicR!$A$6:$ZZ$1048576"), MATCH(Q$1, DicR!$6:$6, 0), FALSE),
            0
        )
)</f>
        <v>0</v>
      </c>
      <c r="R89" s="36">
        <f t="array" ref="R89">SUM(
    IFERROR(
            VLOOKUP($A89, INDIRECT("EneR!$A$6:$ZZ$1048576"), MATCH(R$1, EneR!$6:$6, 0), FALSE),
            0
        ) +
        IFERROR(
            VLOOKUP($A89, INDIRECT("FebR!$A$6:$ZZ$1048576"), MATCH(R$1, FebR!$6:$6, 0), FALSE),
            0
        ) +
        IFERROR(
            VLOOKUP($A89, INDIRECT("MarR!$A$6:$ZZ$1048576"), MATCH(R$1, MarR!$6:$6, 0), FALSE),
            0
        ) +
        IFERROR(
            VLOOKUP($A89, INDIRECT("AbrR!$A$6:$ZZ$1048576"), MATCH(R$1, AbrR!$6:$6, 0), FALSE),
            0
        ) +
        IFERROR(
            VLOOKUP($A89, INDIRECT("MayR!$A$6:$ZZ$1048576"), MATCH(R$1, MayR!$6:$6, 0), FALSE),
            0
        ) +
        IFERROR(
            VLOOKUP($A89, INDIRECT("JunR!$A$6:$ZZ$1048576"), MATCH(R$1, JunR!$6:$6, 0), FALSE),
            0
        ) +
        IFERROR(
            VLOOKUP($A89, INDIRECT("JulR!$A$6:$ZZ$1048576"), MATCH(R$1, JulR!$6:$6, 0), FALSE),
            0
        ) +
        IFERROR(
            VLOOKUP($A89, INDIRECT("AgoR!$A$6:$ZZ$1048576"), MATCH(R$1, AgoR!$6:$6, 0), FALSE),
            0
        ) +
        IFERROR(
            VLOOKUP($A89, INDIRECT("SepR!$A$6:$ZZ$1048576"), MATCH(R$1, SepR!$6:$6, 0), FALSE),
            0
        ) +
        IFERROR(
            VLOOKUP($A89, INDIRECT("OctR!$A$6:$ZZ$1048576"), MATCH(R$1, OctR!$6:$6, 0), FALSE),
            0
        ) +
        IFERROR(
            VLOOKUP($A89, INDIRECT("NovR!$A$6:$ZZ$1048576"), MATCH(R$1, NovR!$6:$6, 0), FALSE),
            0
        ) +
        IFERROR(
            VLOOKUP($A89, INDIRECT("DicR!$A$6:$ZZ$1048576"), MATCH(R$1, DicR!$6:$6, 0), FALSE),
            0
        )
)</f>
        <v>0</v>
      </c>
      <c r="S89" s="37">
        <f t="array" ref="S89">SUM(
    IFERROR(
            VLOOKUP($A89, INDIRECT("EneR!$A$6:$ZZ$1048576"), MATCH(S$1, EneR!$6:$6, 0), FALSE),
            0
        ) +
        IFERROR(
            VLOOKUP($A89, INDIRECT("FebR!$A$6:$ZZ$1048576"), MATCH(S$1, FebR!$6:$6, 0), FALSE),
            0
        ) +
        IFERROR(
            VLOOKUP($A89, INDIRECT("MarR!$A$6:$ZZ$1048576"), MATCH(S$1, MarR!$6:$6, 0), FALSE),
            0
        ) +
        IFERROR(
            VLOOKUP($A89, INDIRECT("AbrR!$A$6:$ZZ$1048576"), MATCH(S$1, AbrR!$6:$6, 0), FALSE),
            0
        ) +
        IFERROR(
            VLOOKUP($A89, INDIRECT("MayR!$A$6:$ZZ$1048576"), MATCH(S$1, MayR!$6:$6, 0), FALSE),
            0
        ) +
        IFERROR(
            VLOOKUP($A89, INDIRECT("JunR!$A$6:$ZZ$1048576"), MATCH(S$1, JunR!$6:$6, 0), FALSE),
            0
        ) +
        IFERROR(
            VLOOKUP($A89, INDIRECT("JulR!$A$6:$ZZ$1048576"), MATCH(S$1, JulR!$6:$6, 0), FALSE),
            0
        ) +
        IFERROR(
            VLOOKUP($A89, INDIRECT("AgoR!$A$6:$ZZ$1048576"), MATCH(S$1, AgoR!$6:$6, 0), FALSE),
            0
        ) +
        IFERROR(
            VLOOKUP($A89, INDIRECT("SepR!$A$6:$ZZ$1048576"), MATCH(S$1, SepR!$6:$6, 0), FALSE),
            0
        ) +
        IFERROR(
            VLOOKUP($A89, INDIRECT("OctR!$A$6:$ZZ$1048576"), MATCH(S$1, OctR!$6:$6, 0), FALSE),
            0
        ) +
        IFERROR(
            VLOOKUP($A89, INDIRECT("NovR!$A$6:$ZZ$1048576"), MATCH(S$1, NovR!$6:$6, 0), FALSE),
            0
        ) +
        IFERROR(
            VLOOKUP($A89, INDIRECT("DicR!$A$6:$ZZ$1048576"), MATCH(S$1, DicR!$6:$6, 0), FALSE),
            0
        )
)</f>
        <v>0</v>
      </c>
      <c r="T89" s="36">
        <f t="array" ref="T89">SUM(
    IFERROR(
            VLOOKUP($A89, INDIRECT("EneR!$A$6:$ZZ$1048576"), MATCH(T$1, EneR!$6:$6, 0), FALSE),
            0
        ) +
        IFERROR(
            VLOOKUP($A89, INDIRECT("FebR!$A$6:$ZZ$1048576"), MATCH(T$1, FebR!$6:$6, 0), FALSE),
            0
        ) +
        IFERROR(
            VLOOKUP($A89, INDIRECT("MarR!$A$6:$ZZ$1048576"), MATCH(T$1, MarR!$6:$6, 0), FALSE),
            0
        ) +
        IFERROR(
            VLOOKUP($A89, INDIRECT("AbrR!$A$6:$ZZ$1048576"), MATCH(T$1, AbrR!$6:$6, 0), FALSE),
            0
        ) +
        IFERROR(
            VLOOKUP($A89, INDIRECT("MayR!$A$6:$ZZ$1048576"), MATCH(T$1, MayR!$6:$6, 0), FALSE),
            0
        ) +
        IFERROR(
            VLOOKUP($A89, INDIRECT("JunR!$A$6:$ZZ$1048576"), MATCH(T$1, JunR!$6:$6, 0), FALSE),
            0
        ) +
        IFERROR(
            VLOOKUP($A89, INDIRECT("JulR!$A$6:$ZZ$1048576"), MATCH(T$1, JulR!$6:$6, 0), FALSE),
            0
        ) +
        IFERROR(
            VLOOKUP($A89, INDIRECT("AgoR!$A$6:$ZZ$1048576"), MATCH(T$1, AgoR!$6:$6, 0), FALSE),
            0
        ) +
        IFERROR(
            VLOOKUP($A89, INDIRECT("SepR!$A$6:$ZZ$1048576"), MATCH(T$1, SepR!$6:$6, 0), FALSE),
            0
        ) +
        IFERROR(
            VLOOKUP($A89, INDIRECT("OctR!$A$6:$ZZ$1048576"), MATCH(T$1, OctR!$6:$6, 0), FALSE),
            0
        ) +
        IFERROR(
            VLOOKUP($A89, INDIRECT("NovR!$A$6:$ZZ$1048576"), MATCH(T$1, NovR!$6:$6, 0), FALSE),
            0
        ) +
        IFERROR(
            VLOOKUP($A89, INDIRECT("DicR!$A$6:$ZZ$1048576"), MATCH(T$1, DicR!$6:$6, 0), FALSE),
            0
        )
)</f>
        <v>0</v>
      </c>
      <c r="U89" s="37">
        <f t="array" ref="U89">SUM(
    IFERROR(
            VLOOKUP($A89, INDIRECT("EneR!$A$6:$ZZ$1048576"), MATCH(U$1, EneR!$6:$6, 0), FALSE),
            0
        ) +
        IFERROR(
            VLOOKUP($A89, INDIRECT("FebR!$A$6:$ZZ$1048576"), MATCH(U$1, FebR!$6:$6, 0), FALSE),
            0
        ) +
        IFERROR(
            VLOOKUP($A89, INDIRECT("MarR!$A$6:$ZZ$1048576"), MATCH(U$1, MarR!$6:$6, 0), FALSE),
            0
        ) +
        IFERROR(
            VLOOKUP($A89, INDIRECT("AbrR!$A$6:$ZZ$1048576"), MATCH(U$1, AbrR!$6:$6, 0), FALSE),
            0
        ) +
        IFERROR(
            VLOOKUP($A89, INDIRECT("MayR!$A$6:$ZZ$1048576"), MATCH(U$1, MayR!$6:$6, 0), FALSE),
            0
        ) +
        IFERROR(
            VLOOKUP($A89, INDIRECT("JunR!$A$6:$ZZ$1048576"), MATCH(U$1, JunR!$6:$6, 0), FALSE),
            0
        ) +
        IFERROR(
            VLOOKUP($A89, INDIRECT("JulR!$A$6:$ZZ$1048576"), MATCH(U$1, JulR!$6:$6, 0), FALSE),
            0
        ) +
        IFERROR(
            VLOOKUP($A89, INDIRECT("AgoR!$A$6:$ZZ$1048576"), MATCH(U$1, AgoR!$6:$6, 0), FALSE),
            0
        ) +
        IFERROR(
            VLOOKUP($A89, INDIRECT("SepR!$A$6:$ZZ$1048576"), MATCH(U$1, SepR!$6:$6, 0), FALSE),
            0
        ) +
        IFERROR(
            VLOOKUP($A89, INDIRECT("OctR!$A$6:$ZZ$1048576"), MATCH(U$1, OctR!$6:$6, 0), FALSE),
            0
        ) +
        IFERROR(
            VLOOKUP($A89, INDIRECT("NovR!$A$6:$ZZ$1048576"), MATCH(U$1, NovR!$6:$6, 0), FALSE),
            0
        ) +
        IFERROR(
            VLOOKUP($A89, INDIRECT("DicR!$A$6:$ZZ$1048576"), MATCH(U$1, DicR!$6:$6, 0), FALSE),
            0
        )
)</f>
        <v>0</v>
      </c>
      <c r="V89" s="36">
        <f t="array" ref="V89">SUM(
    IFERROR(
            VLOOKUP($A89, INDIRECT("EneR!$A$6:$ZZ$1048576"), MATCH(V$1, EneR!$6:$6, 0), FALSE),
            0
        ) +
        IFERROR(
            VLOOKUP($A89, INDIRECT("FebR!$A$6:$ZZ$1048576"), MATCH(V$1, FebR!$6:$6, 0), FALSE),
            0
        ) +
        IFERROR(
            VLOOKUP($A89, INDIRECT("MarR!$A$6:$ZZ$1048576"), MATCH(V$1, MarR!$6:$6, 0), FALSE),
            0
        ) +
        IFERROR(
            VLOOKUP($A89, INDIRECT("AbrR!$A$6:$ZZ$1048576"), MATCH(V$1, AbrR!$6:$6, 0), FALSE),
            0
        ) +
        IFERROR(
            VLOOKUP($A89, INDIRECT("MayR!$A$6:$ZZ$1048576"), MATCH(V$1, MayR!$6:$6, 0), FALSE),
            0
        ) +
        IFERROR(
            VLOOKUP($A89, INDIRECT("JunR!$A$6:$ZZ$1048576"), MATCH(V$1, JunR!$6:$6, 0), FALSE),
            0
        ) +
        IFERROR(
            VLOOKUP($A89, INDIRECT("JulR!$A$6:$ZZ$1048576"), MATCH(V$1, JulR!$6:$6, 0), FALSE),
            0
        ) +
        IFERROR(
            VLOOKUP($A89, INDIRECT("AgoR!$A$6:$ZZ$1048576"), MATCH(V$1, AgoR!$6:$6, 0), FALSE),
            0
        ) +
        IFERROR(
            VLOOKUP($A89, INDIRECT("SepR!$A$6:$ZZ$1048576"), MATCH(V$1, SepR!$6:$6, 0), FALSE),
            0
        ) +
        IFERROR(
            VLOOKUP($A89, INDIRECT("OctR!$A$6:$ZZ$1048576"), MATCH(V$1, OctR!$6:$6, 0), FALSE),
            0
        ) +
        IFERROR(
            VLOOKUP($A89, INDIRECT("NovR!$A$6:$ZZ$1048576"), MATCH(V$1, NovR!$6:$6, 0), FALSE),
            0
        ) +
        IFERROR(
            VLOOKUP($A89, INDIRECT("DicR!$A$6:$ZZ$1048576"), MATCH(V$1, DicR!$6:$6, 0), FALSE),
            0
        )
)</f>
        <v>0</v>
      </c>
      <c r="W89" s="37">
        <f t="array" ref="W89">SUM(
    IFERROR(
            VLOOKUP($A89, INDIRECT("EneR!$A$6:$ZZ$1048576"), MATCH(W$1, EneR!$6:$6, 0), FALSE),
            0
        ) +
        IFERROR(
            VLOOKUP($A89, INDIRECT("FebR!$A$6:$ZZ$1048576"), MATCH(W$1, FebR!$6:$6, 0), FALSE),
            0
        ) +
        IFERROR(
            VLOOKUP($A89, INDIRECT("MarR!$A$6:$ZZ$1048576"), MATCH(W$1, MarR!$6:$6, 0), FALSE),
            0
        ) +
        IFERROR(
            VLOOKUP($A89, INDIRECT("AbrR!$A$6:$ZZ$1048576"), MATCH(W$1, AbrR!$6:$6, 0), FALSE),
            0
        ) +
        IFERROR(
            VLOOKUP($A89, INDIRECT("MayR!$A$6:$ZZ$1048576"), MATCH(W$1, MayR!$6:$6, 0), FALSE),
            0
        ) +
        IFERROR(
            VLOOKUP($A89, INDIRECT("JunR!$A$6:$ZZ$1048576"), MATCH(W$1, JunR!$6:$6, 0), FALSE),
            0
        ) +
        IFERROR(
            VLOOKUP($A89, INDIRECT("JulR!$A$6:$ZZ$1048576"), MATCH(W$1, JulR!$6:$6, 0), FALSE),
            0
        ) +
        IFERROR(
            VLOOKUP($A89, INDIRECT("AgoR!$A$6:$ZZ$1048576"), MATCH(W$1, AgoR!$6:$6, 0), FALSE),
            0
        ) +
        IFERROR(
            VLOOKUP($A89, INDIRECT("SepR!$A$6:$ZZ$1048576"), MATCH(W$1, SepR!$6:$6, 0), FALSE),
            0
        ) +
        IFERROR(
            VLOOKUP($A89, INDIRECT("OctR!$A$6:$ZZ$1048576"), MATCH(W$1, OctR!$6:$6, 0), FALSE),
            0
        ) +
        IFERROR(
            VLOOKUP($A89, INDIRECT("NovR!$A$6:$ZZ$1048576"), MATCH(W$1, NovR!$6:$6, 0), FALSE),
            0
        ) +
        IFERROR(
            VLOOKUP($A89, INDIRECT("DicR!$A$6:$ZZ$1048576"), MATCH(W$1, DicR!$6:$6, 0), FALSE),
            0
        )
)</f>
        <v>0</v>
      </c>
      <c r="X89" s="36">
        <f t="array" ref="X89">SUM(
    IFERROR(
            VLOOKUP($A89, INDIRECT("EneR!$A$6:$ZZ$1048576"), MATCH(X$1, EneR!$6:$6, 0), FALSE),
            0
        ) +
        IFERROR(
            VLOOKUP($A89, INDIRECT("FebR!$A$6:$ZZ$1048576"), MATCH(X$1, FebR!$6:$6, 0), FALSE),
            0
        ) +
        IFERROR(
            VLOOKUP($A89, INDIRECT("MarR!$A$6:$ZZ$1048576"), MATCH(X$1, MarR!$6:$6, 0), FALSE),
            0
        ) +
        IFERROR(
            VLOOKUP($A89, INDIRECT("AbrR!$A$6:$ZZ$1048576"), MATCH(X$1, AbrR!$6:$6, 0), FALSE),
            0
        ) +
        IFERROR(
            VLOOKUP($A89, INDIRECT("MayR!$A$6:$ZZ$1048576"), MATCH(X$1, MayR!$6:$6, 0), FALSE),
            0
        ) +
        IFERROR(
            VLOOKUP($A89, INDIRECT("JunR!$A$6:$ZZ$1048576"), MATCH(X$1, JunR!$6:$6, 0), FALSE),
            0
        ) +
        IFERROR(
            VLOOKUP($A89, INDIRECT("JulR!$A$6:$ZZ$1048576"), MATCH(X$1, JulR!$6:$6, 0), FALSE),
            0
        ) +
        IFERROR(
            VLOOKUP($A89, INDIRECT("AgoR!$A$6:$ZZ$1048576"), MATCH(X$1, AgoR!$6:$6, 0), FALSE),
            0
        ) +
        IFERROR(
            VLOOKUP($A89, INDIRECT("SepR!$A$6:$ZZ$1048576"), MATCH(X$1, SepR!$6:$6, 0), FALSE),
            0
        ) +
        IFERROR(
            VLOOKUP($A89, INDIRECT("OctR!$A$6:$ZZ$1048576"), MATCH(X$1, OctR!$6:$6, 0), FALSE),
            0
        ) +
        IFERROR(
            VLOOKUP($A89, INDIRECT("NovR!$A$6:$ZZ$1048576"), MATCH(X$1, NovR!$6:$6, 0), FALSE),
            0
        ) +
        IFERROR(
            VLOOKUP($A89, INDIRECT("DicR!$A$6:$ZZ$1048576"), MATCH(X$1, DicR!$6:$6, 0), FALSE),
            0
        )
)</f>
        <v>0</v>
      </c>
      <c r="Y89" s="37">
        <f t="array" ref="Y89">SUM(
    IFERROR(
            VLOOKUP($A89, INDIRECT("EneR!$A$6:$ZZ$1048576"), MATCH(Y$1, EneR!$6:$6, 0), FALSE),
            0
        ) +
        IFERROR(
            VLOOKUP($A89, INDIRECT("FebR!$A$6:$ZZ$1048576"), MATCH(Y$1, FebR!$6:$6, 0), FALSE),
            0
        ) +
        IFERROR(
            VLOOKUP($A89, INDIRECT("MarR!$A$6:$ZZ$1048576"), MATCH(Y$1, MarR!$6:$6, 0), FALSE),
            0
        ) +
        IFERROR(
            VLOOKUP($A89, INDIRECT("AbrR!$A$6:$ZZ$1048576"), MATCH(Y$1, AbrR!$6:$6, 0), FALSE),
            0
        ) +
        IFERROR(
            VLOOKUP($A89, INDIRECT("MayR!$A$6:$ZZ$1048576"), MATCH(Y$1, MayR!$6:$6, 0), FALSE),
            0
        ) +
        IFERROR(
            VLOOKUP($A89, INDIRECT("JunR!$A$6:$ZZ$1048576"), MATCH(Y$1, JunR!$6:$6, 0), FALSE),
            0
        ) +
        IFERROR(
            VLOOKUP($A89, INDIRECT("JulR!$A$6:$ZZ$1048576"), MATCH(Y$1, JulR!$6:$6, 0), FALSE),
            0
        ) +
        IFERROR(
            VLOOKUP($A89, INDIRECT("AgoR!$A$6:$ZZ$1048576"), MATCH(Y$1, AgoR!$6:$6, 0), FALSE),
            0
        ) +
        IFERROR(
            VLOOKUP($A89, INDIRECT("SepR!$A$6:$ZZ$1048576"), MATCH(Y$1, SepR!$6:$6, 0), FALSE),
            0
        ) +
        IFERROR(
            VLOOKUP($A89, INDIRECT("OctR!$A$6:$ZZ$1048576"), MATCH(Y$1, OctR!$6:$6, 0), FALSE),
            0
        ) +
        IFERROR(
            VLOOKUP($A89, INDIRECT("NovR!$A$6:$ZZ$1048576"), MATCH(Y$1, NovR!$6:$6, 0), FALSE),
            0
        ) +
        IFERROR(
            VLOOKUP($A89, INDIRECT("DicR!$A$6:$ZZ$1048576"), MATCH(Y$1, DicR!$6:$6, 0), FALSE),
            0
        )
)</f>
        <v>0</v>
      </c>
      <c r="Z89" s="36">
        <f t="array" ref="Z89">SUM(
    IFERROR(
            VLOOKUP($A89, INDIRECT("EneR!$A$6:$ZZ$1048576"), MATCH(Z$1, EneR!$6:$6, 0), FALSE),
            0
        ) +
        IFERROR(
            VLOOKUP($A89, INDIRECT("FebR!$A$6:$ZZ$1048576"), MATCH(Z$1, FebR!$6:$6, 0), FALSE),
            0
        ) +
        IFERROR(
            VLOOKUP($A89, INDIRECT("MarR!$A$6:$ZZ$1048576"), MATCH(Z$1, MarR!$6:$6, 0), FALSE),
            0
        ) +
        IFERROR(
            VLOOKUP($A89, INDIRECT("AbrR!$A$6:$ZZ$1048576"), MATCH(Z$1, AbrR!$6:$6, 0), FALSE),
            0
        ) +
        IFERROR(
            VLOOKUP($A89, INDIRECT("MayR!$A$6:$ZZ$1048576"), MATCH(Z$1, MayR!$6:$6, 0), FALSE),
            0
        ) +
        IFERROR(
            VLOOKUP($A89, INDIRECT("JunR!$A$6:$ZZ$1048576"), MATCH(Z$1, JunR!$6:$6, 0), FALSE),
            0
        ) +
        IFERROR(
            VLOOKUP($A89, INDIRECT("JulR!$A$6:$ZZ$1048576"), MATCH(Z$1, JulR!$6:$6, 0), FALSE),
            0
        ) +
        IFERROR(
            VLOOKUP($A89, INDIRECT("AgoR!$A$6:$ZZ$1048576"), MATCH(Z$1, AgoR!$6:$6, 0), FALSE),
            0
        ) +
        IFERROR(
            VLOOKUP($A89, INDIRECT("SepR!$A$6:$ZZ$1048576"), MATCH(Z$1, SepR!$6:$6, 0), FALSE),
            0
        ) +
        IFERROR(
            VLOOKUP($A89, INDIRECT("OctR!$A$6:$ZZ$1048576"), MATCH(Z$1, OctR!$6:$6, 0), FALSE),
            0
        ) +
        IFERROR(
            VLOOKUP($A89, INDIRECT("NovR!$A$6:$ZZ$1048576"), MATCH(Z$1, NovR!$6:$6, 0), FALSE),
            0
        ) +
        IFERROR(
            VLOOKUP($A89, INDIRECT("DicR!$A$6:$ZZ$1048576"), MATCH(Z$1, DicR!$6:$6, 0), FALSE),
            0
        )
)</f>
        <v>0</v>
      </c>
      <c r="AA89" s="37">
        <f t="array" ref="AA89">SUM(
    IFERROR(
            VLOOKUP($A89, INDIRECT("EneR!$A$6:$ZZ$1048576"), MATCH(AA$1, EneR!$6:$6, 0), FALSE),
            0
        ) +
        IFERROR(
            VLOOKUP($A89, INDIRECT("FebR!$A$6:$ZZ$1048576"), MATCH(AA$1, FebR!$6:$6, 0), FALSE),
            0
        ) +
        IFERROR(
            VLOOKUP($A89, INDIRECT("MarR!$A$6:$ZZ$1048576"), MATCH(AA$1, MarR!$6:$6, 0), FALSE),
            0
        ) +
        IFERROR(
            VLOOKUP($A89, INDIRECT("AbrR!$A$6:$ZZ$1048576"), MATCH(AA$1, AbrR!$6:$6, 0), FALSE),
            0
        ) +
        IFERROR(
            VLOOKUP($A89, INDIRECT("MayR!$A$6:$ZZ$1048576"), MATCH(AA$1, MayR!$6:$6, 0), FALSE),
            0
        ) +
        IFERROR(
            VLOOKUP($A89, INDIRECT("JunR!$A$6:$ZZ$1048576"), MATCH(AA$1, JunR!$6:$6, 0), FALSE),
            0
        ) +
        IFERROR(
            VLOOKUP($A89, INDIRECT("JulR!$A$6:$ZZ$1048576"), MATCH(AA$1, JulR!$6:$6, 0), FALSE),
            0
        ) +
        IFERROR(
            VLOOKUP($A89, INDIRECT("AgoR!$A$6:$ZZ$1048576"), MATCH(AA$1, AgoR!$6:$6, 0), FALSE),
            0
        ) +
        IFERROR(
            VLOOKUP($A89, INDIRECT("SepR!$A$6:$ZZ$1048576"), MATCH(AA$1, SepR!$6:$6, 0), FALSE),
            0
        ) +
        IFERROR(
            VLOOKUP($A89, INDIRECT("OctR!$A$6:$ZZ$1048576"), MATCH(AA$1, OctR!$6:$6, 0), FALSE),
            0
        ) +
        IFERROR(
            VLOOKUP($A89, INDIRECT("NovR!$A$6:$ZZ$1048576"), MATCH(AA$1, NovR!$6:$6, 0), FALSE),
            0
        ) +
        IFERROR(
            VLOOKUP($A89, INDIRECT("DicR!$A$6:$ZZ$1048576"), MATCH(AA$1, DicR!$6:$6, 0), FALSE),
            0
        )
)</f>
        <v>0</v>
      </c>
      <c r="AB89" s="36">
        <f t="array" ref="AB89">SUM(
    IFERROR(
            VLOOKUP($A89, INDIRECT("EneR!$A$6:$ZZ$1048576"), MATCH(AB$1, EneR!$6:$6, 0), FALSE),
            0
        ) +
        IFERROR(
            VLOOKUP($A89, INDIRECT("FebR!$A$6:$ZZ$1048576"), MATCH(AB$1, FebR!$6:$6, 0), FALSE),
            0
        ) +
        IFERROR(
            VLOOKUP($A89, INDIRECT("MarR!$A$6:$ZZ$1048576"), MATCH(AB$1, MarR!$6:$6, 0), FALSE),
            0
        ) +
        IFERROR(
            VLOOKUP($A89, INDIRECT("AbrR!$A$6:$ZZ$1048576"), MATCH(AB$1, AbrR!$6:$6, 0), FALSE),
            0
        ) +
        IFERROR(
            VLOOKUP($A89, INDIRECT("MayR!$A$6:$ZZ$1048576"), MATCH(AB$1, MayR!$6:$6, 0), FALSE),
            0
        ) +
        IFERROR(
            VLOOKUP($A89, INDIRECT("JunR!$A$6:$ZZ$1048576"), MATCH(AB$1, JunR!$6:$6, 0), FALSE),
            0
        ) +
        IFERROR(
            VLOOKUP($A89, INDIRECT("JulR!$A$6:$ZZ$1048576"), MATCH(AB$1, JulR!$6:$6, 0), FALSE),
            0
        ) +
        IFERROR(
            VLOOKUP($A89, INDIRECT("AgoR!$A$6:$ZZ$1048576"), MATCH(AB$1, AgoR!$6:$6, 0), FALSE),
            0
        ) +
        IFERROR(
            VLOOKUP($A89, INDIRECT("SepR!$A$6:$ZZ$1048576"), MATCH(AB$1, SepR!$6:$6, 0), FALSE),
            0
        ) +
        IFERROR(
            VLOOKUP($A89, INDIRECT("OctR!$A$6:$ZZ$1048576"), MATCH(AB$1, OctR!$6:$6, 0), FALSE),
            0
        ) +
        IFERROR(
            VLOOKUP($A89, INDIRECT("NovR!$A$6:$ZZ$1048576"), MATCH(AB$1, NovR!$6:$6, 0), FALSE),
            0
        ) +
        IFERROR(
            VLOOKUP($A89, INDIRECT("DicR!$A$6:$ZZ$1048576"), MATCH(AB$1, DicR!$6:$6, 0), FALSE),
            0
        )
)</f>
        <v>0</v>
      </c>
      <c r="AC89" s="37">
        <f t="array" ref="AC89">SUM(
    IFERROR(
            VLOOKUP($A89, INDIRECT("EneR!$A$6:$ZZ$1048576"), MATCH(AC$1, EneR!$6:$6, 0), FALSE),
            0
        ) +
        IFERROR(
            VLOOKUP($A89, INDIRECT("FebR!$A$6:$ZZ$1048576"), MATCH(AC$1, FebR!$6:$6, 0), FALSE),
            0
        ) +
        IFERROR(
            VLOOKUP($A89, INDIRECT("MarR!$A$6:$ZZ$1048576"), MATCH(AC$1, MarR!$6:$6, 0), FALSE),
            0
        ) +
        IFERROR(
            VLOOKUP($A89, INDIRECT("AbrR!$A$6:$ZZ$1048576"), MATCH(AC$1, AbrR!$6:$6, 0), FALSE),
            0
        ) +
        IFERROR(
            VLOOKUP($A89, INDIRECT("MayR!$A$6:$ZZ$1048576"), MATCH(AC$1, MayR!$6:$6, 0), FALSE),
            0
        ) +
        IFERROR(
            VLOOKUP($A89, INDIRECT("JunR!$A$6:$ZZ$1048576"), MATCH(AC$1, JunR!$6:$6, 0), FALSE),
            0
        ) +
        IFERROR(
            VLOOKUP($A89, INDIRECT("JulR!$A$6:$ZZ$1048576"), MATCH(AC$1, JulR!$6:$6, 0), FALSE),
            0
        ) +
        IFERROR(
            VLOOKUP($A89, INDIRECT("AgoR!$A$6:$ZZ$1048576"), MATCH(AC$1, AgoR!$6:$6, 0), FALSE),
            0
        ) +
        IFERROR(
            VLOOKUP($A89, INDIRECT("SepR!$A$6:$ZZ$1048576"), MATCH(AC$1, SepR!$6:$6, 0), FALSE),
            0
        ) +
        IFERROR(
            VLOOKUP($A89, INDIRECT("OctR!$A$6:$ZZ$1048576"), MATCH(AC$1, OctR!$6:$6, 0), FALSE),
            0
        ) +
        IFERROR(
            VLOOKUP($A89, INDIRECT("NovR!$A$6:$ZZ$1048576"), MATCH(AC$1, NovR!$6:$6, 0), FALSE),
            0
        ) +
        IFERROR(
            VLOOKUP($A89, INDIRECT("DicR!$A$6:$ZZ$1048576"), MATCH(AC$1, DicR!$6:$6, 0), FALSE),
            0
        )
)</f>
        <v>0</v>
      </c>
      <c r="AD89" s="36">
        <f t="array" ref="AD89">SUM(
    IFERROR(
            VLOOKUP($A89, INDIRECT("EneR!$A$6:$ZZ$1048576"), MATCH(AD$1, EneR!$6:$6, 0), FALSE),
            0
        ) +
        IFERROR(
            VLOOKUP($A89, INDIRECT("FebR!$A$6:$ZZ$1048576"), MATCH(AD$1, FebR!$6:$6, 0), FALSE),
            0
        ) +
        IFERROR(
            VLOOKUP($A89, INDIRECT("MarR!$A$6:$ZZ$1048576"), MATCH(AD$1, MarR!$6:$6, 0), FALSE),
            0
        ) +
        IFERROR(
            VLOOKUP($A89, INDIRECT("AbrR!$A$6:$ZZ$1048576"), MATCH(AD$1, AbrR!$6:$6, 0), FALSE),
            0
        ) +
        IFERROR(
            VLOOKUP($A89, INDIRECT("MayR!$A$6:$ZZ$1048576"), MATCH(AD$1, MayR!$6:$6, 0), FALSE),
            0
        ) +
        IFERROR(
            VLOOKUP($A89, INDIRECT("JunR!$A$6:$ZZ$1048576"), MATCH(AD$1, JunR!$6:$6, 0), FALSE),
            0
        ) +
        IFERROR(
            VLOOKUP($A89, INDIRECT("JulR!$A$6:$ZZ$1048576"), MATCH(AD$1, JulR!$6:$6, 0), FALSE),
            0
        ) +
        IFERROR(
            VLOOKUP($A89, INDIRECT("AgoR!$A$6:$ZZ$1048576"), MATCH(AD$1, AgoR!$6:$6, 0), FALSE),
            0
        ) +
        IFERROR(
            VLOOKUP($A89, INDIRECT("SepR!$A$6:$ZZ$1048576"), MATCH(AD$1, SepR!$6:$6, 0), FALSE),
            0
        ) +
        IFERROR(
            VLOOKUP($A89, INDIRECT("OctR!$A$6:$ZZ$1048576"), MATCH(AD$1, OctR!$6:$6, 0), FALSE),
            0
        ) +
        IFERROR(
            VLOOKUP($A89, INDIRECT("NovR!$A$6:$ZZ$1048576"), MATCH(AD$1, NovR!$6:$6, 0), FALSE),
            0
        ) +
        IFERROR(
            VLOOKUP($A89, INDIRECT("DicR!$A$6:$ZZ$1048576"), MATCH(AD$1, DicR!$6:$6, 0), FALSE),
            0
        )
)</f>
        <v>0</v>
      </c>
      <c r="AE89" s="37">
        <f t="array" ref="AE89">SUM(
    IFERROR(
            VLOOKUP($A89, INDIRECT("EneR!$A$6:$ZZ$1048576"), MATCH(AE$1, EneR!$6:$6, 0), FALSE),
            0
        ) +
        IFERROR(
            VLOOKUP($A89, INDIRECT("FebR!$A$6:$ZZ$1048576"), MATCH(AE$1, FebR!$6:$6, 0), FALSE),
            0
        ) +
        IFERROR(
            VLOOKUP($A89, INDIRECT("MarR!$A$6:$ZZ$1048576"), MATCH(AE$1, MarR!$6:$6, 0), FALSE),
            0
        ) +
        IFERROR(
            VLOOKUP($A89, INDIRECT("AbrR!$A$6:$ZZ$1048576"), MATCH(AE$1, AbrR!$6:$6, 0), FALSE),
            0
        ) +
        IFERROR(
            VLOOKUP($A89, INDIRECT("MayR!$A$6:$ZZ$1048576"), MATCH(AE$1, MayR!$6:$6, 0), FALSE),
            0
        ) +
        IFERROR(
            VLOOKUP($A89, INDIRECT("JunR!$A$6:$ZZ$1048576"), MATCH(AE$1, JunR!$6:$6, 0), FALSE),
            0
        ) +
        IFERROR(
            VLOOKUP($A89, INDIRECT("JulR!$A$6:$ZZ$1048576"), MATCH(AE$1, JulR!$6:$6, 0), FALSE),
            0
        ) +
        IFERROR(
            VLOOKUP($A89, INDIRECT("AgoR!$A$6:$ZZ$1048576"), MATCH(AE$1, AgoR!$6:$6, 0), FALSE),
            0
        ) +
        IFERROR(
            VLOOKUP($A89, INDIRECT("SepR!$A$6:$ZZ$1048576"), MATCH(AE$1, SepR!$6:$6, 0), FALSE),
            0
        ) +
        IFERROR(
            VLOOKUP($A89, INDIRECT("OctR!$A$6:$ZZ$1048576"), MATCH(AE$1, OctR!$6:$6, 0), FALSE),
            0
        ) +
        IFERROR(
            VLOOKUP($A89, INDIRECT("NovR!$A$6:$ZZ$1048576"), MATCH(AE$1, NovR!$6:$6, 0), FALSE),
            0
        ) +
        IFERROR(
            VLOOKUP($A89, INDIRECT("DicR!$A$6:$ZZ$1048576"), MATCH(AE$1, DicR!$6:$6, 0), FALSE),
            0
        )
)</f>
        <v>0</v>
      </c>
      <c r="AF89" s="36">
        <f t="array" ref="AF89">SUM(
    IFERROR(
            VLOOKUP($A89, INDIRECT("EneR!$A$6:$ZZ$1048576"), MATCH(AF$1, EneR!$6:$6, 0), FALSE),
            0
        ) +
        IFERROR(
            VLOOKUP($A89, INDIRECT("FebR!$A$6:$ZZ$1048576"), MATCH(AF$1, FebR!$6:$6, 0), FALSE),
            0
        ) +
        IFERROR(
            VLOOKUP($A89, INDIRECT("MarR!$A$6:$ZZ$1048576"), MATCH(AF$1, MarR!$6:$6, 0), FALSE),
            0
        ) +
        IFERROR(
            VLOOKUP($A89, INDIRECT("AbrR!$A$6:$ZZ$1048576"), MATCH(AF$1, AbrR!$6:$6, 0), FALSE),
            0
        ) +
        IFERROR(
            VLOOKUP($A89, INDIRECT("MayR!$A$6:$ZZ$1048576"), MATCH(AF$1, MayR!$6:$6, 0), FALSE),
            0
        ) +
        IFERROR(
            VLOOKUP($A89, INDIRECT("JunR!$A$6:$ZZ$1048576"), MATCH(AF$1, JunR!$6:$6, 0), FALSE),
            0
        ) +
        IFERROR(
            VLOOKUP($A89, INDIRECT("JulR!$A$6:$ZZ$1048576"), MATCH(AF$1, JulR!$6:$6, 0), FALSE),
            0
        ) +
        IFERROR(
            VLOOKUP($A89, INDIRECT("AgoR!$A$6:$ZZ$1048576"), MATCH(AF$1, AgoR!$6:$6, 0), FALSE),
            0
        ) +
        IFERROR(
            VLOOKUP($A89, INDIRECT("SepR!$A$6:$ZZ$1048576"), MATCH(AF$1, SepR!$6:$6, 0), FALSE),
            0
        ) +
        IFERROR(
            VLOOKUP($A89, INDIRECT("OctR!$A$6:$ZZ$1048576"), MATCH(AF$1, OctR!$6:$6, 0), FALSE),
            0
        ) +
        IFERROR(
            VLOOKUP($A89, INDIRECT("NovR!$A$6:$ZZ$1048576"), MATCH(AF$1, NovR!$6:$6, 0), FALSE),
            0
        ) +
        IFERROR(
            VLOOKUP($A89, INDIRECT("DicR!$A$6:$ZZ$1048576"), MATCH(AF$1, DicR!$6:$6, 0), FALSE),
            0
        )
)</f>
        <v>0</v>
      </c>
      <c r="AG89" s="37">
        <f t="array" ref="AG89">SUM(
    IFERROR(
            VLOOKUP($A89, INDIRECT("EneR!$A$6:$ZZ$1048576"), MATCH(AG$1, EneR!$6:$6, 0), FALSE),
            0
        ) +
        IFERROR(
            VLOOKUP($A89, INDIRECT("FebR!$A$6:$ZZ$1048576"), MATCH(AG$1, FebR!$6:$6, 0), FALSE),
            0
        ) +
        IFERROR(
            VLOOKUP($A89, INDIRECT("MarR!$A$6:$ZZ$1048576"), MATCH(AG$1, MarR!$6:$6, 0), FALSE),
            0
        ) +
        IFERROR(
            VLOOKUP($A89, INDIRECT("AbrR!$A$6:$ZZ$1048576"), MATCH(AG$1, AbrR!$6:$6, 0), FALSE),
            0
        ) +
        IFERROR(
            VLOOKUP($A89, INDIRECT("MayR!$A$6:$ZZ$1048576"), MATCH(AG$1, MayR!$6:$6, 0), FALSE),
            0
        ) +
        IFERROR(
            VLOOKUP($A89, INDIRECT("JunR!$A$6:$ZZ$1048576"), MATCH(AG$1, JunR!$6:$6, 0), FALSE),
            0
        ) +
        IFERROR(
            VLOOKUP($A89, INDIRECT("JulR!$A$6:$ZZ$1048576"), MATCH(AG$1, JulR!$6:$6, 0), FALSE),
            0
        ) +
        IFERROR(
            VLOOKUP($A89, INDIRECT("AgoR!$A$6:$ZZ$1048576"), MATCH(AG$1, AgoR!$6:$6, 0), FALSE),
            0
        ) +
        IFERROR(
            VLOOKUP($A89, INDIRECT("SepR!$A$6:$ZZ$1048576"), MATCH(AG$1, SepR!$6:$6, 0), FALSE),
            0
        ) +
        IFERROR(
            VLOOKUP($A89, INDIRECT("OctR!$A$6:$ZZ$1048576"), MATCH(AG$1, OctR!$6:$6, 0), FALSE),
            0
        ) +
        IFERROR(
            VLOOKUP($A89, INDIRECT("NovR!$A$6:$ZZ$1048576"), MATCH(AG$1, NovR!$6:$6, 0), FALSE),
            0
        ) +
        IFERROR(
            VLOOKUP($A89, INDIRECT("DicR!$A$6:$ZZ$1048576"), MATCH(AG$1, DicR!$6:$6, 0), FALSE),
            0
        )
)</f>
        <v>0</v>
      </c>
      <c r="AH89" s="36">
        <f t="array" ref="AH89">SUM(
    IFERROR(
            VLOOKUP($A89, INDIRECT("EneR!$A$6:$ZZ$1048576"), MATCH(AH$1, EneR!$6:$6, 0), FALSE),
            0
        ) +
        IFERROR(
            VLOOKUP($A89, INDIRECT("FebR!$A$6:$ZZ$1048576"), MATCH(AH$1, FebR!$6:$6, 0), FALSE),
            0
        ) +
        IFERROR(
            VLOOKUP($A89, INDIRECT("MarR!$A$6:$ZZ$1048576"), MATCH(AH$1, MarR!$6:$6, 0), FALSE),
            0
        ) +
        IFERROR(
            VLOOKUP($A89, INDIRECT("AbrR!$A$6:$ZZ$1048576"), MATCH(AH$1, AbrR!$6:$6, 0), FALSE),
            0
        ) +
        IFERROR(
            VLOOKUP($A89, INDIRECT("MayR!$A$6:$ZZ$1048576"), MATCH(AH$1, MayR!$6:$6, 0), FALSE),
            0
        ) +
        IFERROR(
            VLOOKUP($A89, INDIRECT("JunR!$A$6:$ZZ$1048576"), MATCH(AH$1, JunR!$6:$6, 0), FALSE),
            0
        ) +
        IFERROR(
            VLOOKUP($A89, INDIRECT("JulR!$A$6:$ZZ$1048576"), MATCH(AH$1, JulR!$6:$6, 0), FALSE),
            0
        ) +
        IFERROR(
            VLOOKUP($A89, INDIRECT("AgoR!$A$6:$ZZ$1048576"), MATCH(AH$1, AgoR!$6:$6, 0), FALSE),
            0
        ) +
        IFERROR(
            VLOOKUP($A89, INDIRECT("SepR!$A$6:$ZZ$1048576"), MATCH(AH$1, SepR!$6:$6, 0), FALSE),
            0
        ) +
        IFERROR(
            VLOOKUP($A89, INDIRECT("OctR!$A$6:$ZZ$1048576"), MATCH(AH$1, OctR!$6:$6, 0), FALSE),
            0
        ) +
        IFERROR(
            VLOOKUP($A89, INDIRECT("NovR!$A$6:$ZZ$1048576"), MATCH(AH$1, NovR!$6:$6, 0), FALSE),
            0
        ) +
        IFERROR(
            VLOOKUP($A89, INDIRECT("DicR!$A$6:$ZZ$1048576"), MATCH(AH$1, DicR!$6:$6, 0), FALSE),
            0
        )
)</f>
        <v>0</v>
      </c>
      <c r="AI89" s="37">
        <f t="array" ref="AI89">SUM(
    IFERROR(
            VLOOKUP($A89, INDIRECT("EneR!$A$6:$ZZ$1048576"), MATCH(AI$1, EneR!$6:$6, 0), FALSE),
            0
        ) +
        IFERROR(
            VLOOKUP($A89, INDIRECT("FebR!$A$6:$ZZ$1048576"), MATCH(AI$1, FebR!$6:$6, 0), FALSE),
            0
        ) +
        IFERROR(
            VLOOKUP($A89, INDIRECT("MarR!$A$6:$ZZ$1048576"), MATCH(AI$1, MarR!$6:$6, 0), FALSE),
            0
        ) +
        IFERROR(
            VLOOKUP($A89, INDIRECT("AbrR!$A$6:$ZZ$1048576"), MATCH(AI$1, AbrR!$6:$6, 0), FALSE),
            0
        ) +
        IFERROR(
            VLOOKUP($A89, INDIRECT("MayR!$A$6:$ZZ$1048576"), MATCH(AI$1, MayR!$6:$6, 0), FALSE),
            0
        ) +
        IFERROR(
            VLOOKUP($A89, INDIRECT("JunR!$A$6:$ZZ$1048576"), MATCH(AI$1, JunR!$6:$6, 0), FALSE),
            0
        ) +
        IFERROR(
            VLOOKUP($A89, INDIRECT("JulR!$A$6:$ZZ$1048576"), MATCH(AI$1, JulR!$6:$6, 0), FALSE),
            0
        ) +
        IFERROR(
            VLOOKUP($A89, INDIRECT("AgoR!$A$6:$ZZ$1048576"), MATCH(AI$1, AgoR!$6:$6, 0), FALSE),
            0
        ) +
        IFERROR(
            VLOOKUP($A89, INDIRECT("SepR!$A$6:$ZZ$1048576"), MATCH(AI$1, SepR!$6:$6, 0), FALSE),
            0
        ) +
        IFERROR(
            VLOOKUP($A89, INDIRECT("OctR!$A$6:$ZZ$1048576"), MATCH(AI$1, OctR!$6:$6, 0), FALSE),
            0
        ) +
        IFERROR(
            VLOOKUP($A89, INDIRECT("NovR!$A$6:$ZZ$1048576"), MATCH(AI$1, NovR!$6:$6, 0), FALSE),
            0
        ) +
        IFERROR(
            VLOOKUP($A89, INDIRECT("DicR!$A$6:$ZZ$1048576"), MATCH(AI$1, DicR!$6:$6, 0), FALSE),
            0
        )
)</f>
        <v>0</v>
      </c>
      <c r="AJ89" s="36">
        <f t="array" ref="AJ89">SUM(
    IFERROR(
            VLOOKUP($A89, INDIRECT("EneR!$A$6:$ZZ$1048576"), MATCH(AJ$1, EneR!$6:$6, 0), FALSE),
            0
        ) +
        IFERROR(
            VLOOKUP($A89, INDIRECT("FebR!$A$6:$ZZ$1048576"), MATCH(AJ$1, FebR!$6:$6, 0), FALSE),
            0
        ) +
        IFERROR(
            VLOOKUP($A89, INDIRECT("MarR!$A$6:$ZZ$1048576"), MATCH(AJ$1, MarR!$6:$6, 0), FALSE),
            0
        ) +
        IFERROR(
            VLOOKUP($A89, INDIRECT("AbrR!$A$6:$ZZ$1048576"), MATCH(AJ$1, AbrR!$6:$6, 0), FALSE),
            0
        ) +
        IFERROR(
            VLOOKUP($A89, INDIRECT("MayR!$A$6:$ZZ$1048576"), MATCH(AJ$1, MayR!$6:$6, 0), FALSE),
            0
        ) +
        IFERROR(
            VLOOKUP($A89, INDIRECT("JunR!$A$6:$ZZ$1048576"), MATCH(AJ$1, JunR!$6:$6, 0), FALSE),
            0
        ) +
        IFERROR(
            VLOOKUP($A89, INDIRECT("JulR!$A$6:$ZZ$1048576"), MATCH(AJ$1, JulR!$6:$6, 0), FALSE),
            0
        ) +
        IFERROR(
            VLOOKUP($A89, INDIRECT("AgoR!$A$6:$ZZ$1048576"), MATCH(AJ$1, AgoR!$6:$6, 0), FALSE),
            0
        ) +
        IFERROR(
            VLOOKUP($A89, INDIRECT("SepR!$A$6:$ZZ$1048576"), MATCH(AJ$1, SepR!$6:$6, 0), FALSE),
            0
        ) +
        IFERROR(
            VLOOKUP($A89, INDIRECT("OctR!$A$6:$ZZ$1048576"), MATCH(AJ$1, OctR!$6:$6, 0), FALSE),
            0
        ) +
        IFERROR(
            VLOOKUP($A89, INDIRECT("NovR!$A$6:$ZZ$1048576"), MATCH(AJ$1, NovR!$6:$6, 0), FALSE),
            0
        ) +
        IFERROR(
            VLOOKUP($A89, INDIRECT("DicR!$A$6:$ZZ$1048576"), MATCH(AJ$1, DicR!$6:$6, 0), FALSE),
            0
        )
)</f>
        <v>0</v>
      </c>
      <c r="AK89" s="37">
        <f t="array" ref="AK89">SUM(
    IFERROR(
            VLOOKUP($A89, INDIRECT("EneR!$A$6:$ZZ$1048576"), MATCH(AK$1, EneR!$6:$6, 0), FALSE),
            0
        ) +
        IFERROR(
            VLOOKUP($A89, INDIRECT("FebR!$A$6:$ZZ$1048576"), MATCH(AK$1, FebR!$6:$6, 0), FALSE),
            0
        ) +
        IFERROR(
            VLOOKUP($A89, INDIRECT("MarR!$A$6:$ZZ$1048576"), MATCH(AK$1, MarR!$6:$6, 0), FALSE),
            0
        ) +
        IFERROR(
            VLOOKUP($A89, INDIRECT("AbrR!$A$6:$ZZ$1048576"), MATCH(AK$1, AbrR!$6:$6, 0), FALSE),
            0
        ) +
        IFERROR(
            VLOOKUP($A89, INDIRECT("MayR!$A$6:$ZZ$1048576"), MATCH(AK$1, MayR!$6:$6, 0), FALSE),
            0
        ) +
        IFERROR(
            VLOOKUP($A89, INDIRECT("JunR!$A$6:$ZZ$1048576"), MATCH(AK$1, JunR!$6:$6, 0), FALSE),
            0
        ) +
        IFERROR(
            VLOOKUP($A89, INDIRECT("JulR!$A$6:$ZZ$1048576"), MATCH(AK$1, JulR!$6:$6, 0), FALSE),
            0
        ) +
        IFERROR(
            VLOOKUP($A89, INDIRECT("AgoR!$A$6:$ZZ$1048576"), MATCH(AK$1, AgoR!$6:$6, 0), FALSE),
            0
        ) +
        IFERROR(
            VLOOKUP($A89, INDIRECT("SepR!$A$6:$ZZ$1048576"), MATCH(AK$1, SepR!$6:$6, 0), FALSE),
            0
        ) +
        IFERROR(
            VLOOKUP($A89, INDIRECT("OctR!$A$6:$ZZ$1048576"), MATCH(AK$1, OctR!$6:$6, 0), FALSE),
            0
        ) +
        IFERROR(
            VLOOKUP($A89, INDIRECT("NovR!$A$6:$ZZ$1048576"), MATCH(AK$1, NovR!$6:$6, 0), FALSE),
            0
        ) +
        IFERROR(
            VLOOKUP($A89, INDIRECT("DicR!$A$6:$ZZ$1048576"), MATCH(AK$1, DicR!$6:$6, 0), FALSE),
            0
        )
)</f>
        <v>0</v>
      </c>
      <c r="AL89" s="36">
        <f t="array" ref="AL89">SUM(
    IFERROR(
            VLOOKUP($A89, INDIRECT("EneR!$A$6:$ZZ$1048576"), MATCH(AL$1, EneR!$6:$6, 0), FALSE),
            0
        ) +
        IFERROR(
            VLOOKUP($A89, INDIRECT("FebR!$A$6:$ZZ$1048576"), MATCH(AL$1, FebR!$6:$6, 0), FALSE),
            0
        ) +
        IFERROR(
            VLOOKUP($A89, INDIRECT("MarR!$A$6:$ZZ$1048576"), MATCH(AL$1, MarR!$6:$6, 0), FALSE),
            0
        ) +
        IFERROR(
            VLOOKUP($A89, INDIRECT("AbrR!$A$6:$ZZ$1048576"), MATCH(AL$1, AbrR!$6:$6, 0), FALSE),
            0
        ) +
        IFERROR(
            VLOOKUP($A89, INDIRECT("MayR!$A$6:$ZZ$1048576"), MATCH(AL$1, MayR!$6:$6, 0), FALSE),
            0
        ) +
        IFERROR(
            VLOOKUP($A89, INDIRECT("JunR!$A$6:$ZZ$1048576"), MATCH(AL$1, JunR!$6:$6, 0), FALSE),
            0
        ) +
        IFERROR(
            VLOOKUP($A89, INDIRECT("JulR!$A$6:$ZZ$1048576"), MATCH(AL$1, JulR!$6:$6, 0), FALSE),
            0
        ) +
        IFERROR(
            VLOOKUP($A89, INDIRECT("AgoR!$A$6:$ZZ$1048576"), MATCH(AL$1, AgoR!$6:$6, 0), FALSE),
            0
        ) +
        IFERROR(
            VLOOKUP($A89, INDIRECT("SepR!$A$6:$ZZ$1048576"), MATCH(AL$1, SepR!$6:$6, 0), FALSE),
            0
        ) +
        IFERROR(
            VLOOKUP($A89, INDIRECT("OctR!$A$6:$ZZ$1048576"), MATCH(AL$1, OctR!$6:$6, 0), FALSE),
            0
        ) +
        IFERROR(
            VLOOKUP($A89, INDIRECT("NovR!$A$6:$ZZ$1048576"), MATCH(AL$1, NovR!$6:$6, 0), FALSE),
            0
        ) +
        IFERROR(
            VLOOKUP($A89, INDIRECT("DicR!$A$6:$ZZ$1048576"), MATCH(AL$1, DicR!$6:$6, 0), FALSE),
            0
        )
)</f>
        <v>0</v>
      </c>
      <c r="AM89" s="37">
        <f t="array" ref="AM89">SUM(
    IFERROR(
            VLOOKUP($A89, INDIRECT("EneR!$A$6:$ZZ$1048576"), MATCH(AM$1, EneR!$6:$6, 0), FALSE),
            0
        ) +
        IFERROR(
            VLOOKUP($A89, INDIRECT("FebR!$A$6:$ZZ$1048576"), MATCH(AM$1, FebR!$6:$6, 0), FALSE),
            0
        ) +
        IFERROR(
            VLOOKUP($A89, INDIRECT("MarR!$A$6:$ZZ$1048576"), MATCH(AM$1, MarR!$6:$6, 0), FALSE),
            0
        ) +
        IFERROR(
            VLOOKUP($A89, INDIRECT("AbrR!$A$6:$ZZ$1048576"), MATCH(AM$1, AbrR!$6:$6, 0), FALSE),
            0
        ) +
        IFERROR(
            VLOOKUP($A89, INDIRECT("MayR!$A$6:$ZZ$1048576"), MATCH(AM$1, MayR!$6:$6, 0), FALSE),
            0
        ) +
        IFERROR(
            VLOOKUP($A89, INDIRECT("JunR!$A$6:$ZZ$1048576"), MATCH(AM$1, JunR!$6:$6, 0), FALSE),
            0
        ) +
        IFERROR(
            VLOOKUP($A89, INDIRECT("JulR!$A$6:$ZZ$1048576"), MATCH(AM$1, JulR!$6:$6, 0), FALSE),
            0
        ) +
        IFERROR(
            VLOOKUP($A89, INDIRECT("AgoR!$A$6:$ZZ$1048576"), MATCH(AM$1, AgoR!$6:$6, 0), FALSE),
            0
        ) +
        IFERROR(
            VLOOKUP($A89, INDIRECT("SepR!$A$6:$ZZ$1048576"), MATCH(AM$1, SepR!$6:$6, 0), FALSE),
            0
        ) +
        IFERROR(
            VLOOKUP($A89, INDIRECT("OctR!$A$6:$ZZ$1048576"), MATCH(AM$1, OctR!$6:$6, 0), FALSE),
            0
        ) +
        IFERROR(
            VLOOKUP($A89, INDIRECT("NovR!$A$6:$ZZ$1048576"), MATCH(AM$1, NovR!$6:$6, 0), FALSE),
            0
        ) +
        IFERROR(
            VLOOKUP($A89, INDIRECT("DicR!$A$6:$ZZ$1048576"), MATCH(AM$1, DicR!$6:$6, 0), FALSE),
            0
        )
)</f>
        <v>0</v>
      </c>
      <c r="AN89" s="32">
        <f t="array" ref="AN89">SUM(
    IFERROR(
            VLOOKUP($A89, INDIRECT("EneR!$A$6:$ZZ$1048576"), MATCH(AN$1, EneR!$6:$6, 0), FALSE),
            0
        ) +
        IFERROR(
            VLOOKUP($A89, INDIRECT("FebR!$A$6:$ZZ$1048576"), MATCH(AN$1, FebR!$6:$6, 0), FALSE),
            0
        ) +
        IFERROR(
            VLOOKUP($A89, INDIRECT("MarR!$A$6:$ZZ$1048576"), MATCH(AN$1, MarR!$6:$6, 0), FALSE),
            0
        ) +
        IFERROR(
            VLOOKUP($A89, INDIRECT("AbrR!$A$6:$ZZ$1048576"), MATCH(AN$1, AbrR!$6:$6, 0), FALSE),
            0
        ) +
        IFERROR(
            VLOOKUP($A89, INDIRECT("MayR!$A$6:$ZZ$1048576"), MATCH(AN$1, MayR!$6:$6, 0), FALSE),
            0
        ) +
        IFERROR(
            VLOOKUP($A89, INDIRECT("JunR!$A$6:$ZZ$1048576"), MATCH(AN$1, JunR!$6:$6, 0), FALSE),
            0
        ) +
        IFERROR(
            VLOOKUP($A89, INDIRECT("JulR!$A$6:$ZZ$1048576"), MATCH(AN$1, JulR!$6:$6, 0), FALSE),
            0
        ) +
        IFERROR(
            VLOOKUP($A89, INDIRECT("AgoR!$A$6:$ZZ$1048576"), MATCH(AN$1, AgoR!$6:$6, 0), FALSE),
            0
        ) +
        IFERROR(
            VLOOKUP($A89, INDIRECT("SepR!$A$6:$ZZ$1048576"), MATCH(AN$1, SepR!$6:$6, 0), FALSE),
            0
        ) +
        IFERROR(
            VLOOKUP($A89, INDIRECT("OctR!$A$6:$ZZ$1048576"), MATCH(AN$1, OctR!$6:$6, 0), FALSE),
            0
        ) +
        IFERROR(
            VLOOKUP($A89, INDIRECT("NovR!$A$6:$ZZ$1048576"), MATCH(AN$1, NovR!$6:$6, 0), FALSE),
            0
        ) +
        IFERROR(
            VLOOKUP($A89, INDIRECT("DicR!$A$6:$ZZ$1048576"), MATCH(AN$1, DicR!$6:$6, 0), FALSE),
            0
        )
)</f>
        <v>0</v>
      </c>
      <c r="AO89" s="35">
        <f t="array" ref="AO89">SUM(
    IFERROR(
            VLOOKUP($A89, INDIRECT("EneR!$A$6:$ZZ$1048576"), MATCH(AO$1, EneR!$6:$6, 0), FALSE),
            0
        ) +
        IFERROR(
            VLOOKUP($A89, INDIRECT("FebR!$A$6:$ZZ$1048576"), MATCH(AO$1, FebR!$6:$6, 0), FALSE),
            0
        ) +
        IFERROR(
            VLOOKUP($A89, INDIRECT("MarR!$A$6:$ZZ$1048576"), MATCH(AO$1, MarR!$6:$6, 0), FALSE),
            0
        ) +
        IFERROR(
            VLOOKUP($A89, INDIRECT("AbrR!$A$6:$ZZ$1048576"), MATCH(AO$1, AbrR!$6:$6, 0), FALSE),
            0
        ) +
        IFERROR(
            VLOOKUP($A89, INDIRECT("MayR!$A$6:$ZZ$1048576"), MATCH(AO$1, MayR!$6:$6, 0), FALSE),
            0
        ) +
        IFERROR(
            VLOOKUP($A89, INDIRECT("JunR!$A$6:$ZZ$1048576"), MATCH(AO$1, JunR!$6:$6, 0), FALSE),
            0
        ) +
        IFERROR(
            VLOOKUP($A89, INDIRECT("JulR!$A$6:$ZZ$1048576"), MATCH(AO$1, JulR!$6:$6, 0), FALSE),
            0
        ) +
        IFERROR(
            VLOOKUP($A89, INDIRECT("AgoR!$A$6:$ZZ$1048576"), MATCH(AO$1, AgoR!$6:$6, 0), FALSE),
            0
        ) +
        IFERROR(
            VLOOKUP($A89, INDIRECT("SepR!$A$6:$ZZ$1048576"), MATCH(AO$1, SepR!$6:$6, 0), FALSE),
            0
        ) +
        IFERROR(
            VLOOKUP($A89, INDIRECT("OctR!$A$6:$ZZ$1048576"), MATCH(AO$1, OctR!$6:$6, 0), FALSE),
            0
        ) +
        IFERROR(
            VLOOKUP($A89, INDIRECT("NovR!$A$6:$ZZ$1048576"), MATCH(AO$1, NovR!$6:$6, 0), FALSE),
            0
        ) +
        IFERROR(
            VLOOKUP($A89, INDIRECT("DicR!$A$6:$ZZ$1048576"), MATCH(AO$1, DicR!$6:$6, 0), FALSE),
            0
        )
)</f>
        <v>0</v>
      </c>
      <c r="AP89" s="36">
        <f t="array" ref="AP89">SUM(
    IFERROR(
            VLOOKUP($A89, INDIRECT("EneR!$A$6:$ZZ$1048576"), MATCH(AP$1, EneR!$6:$6, 0), FALSE),
            0
        ) +
        IFERROR(
            VLOOKUP($A89, INDIRECT("FebR!$A$6:$ZZ$1048576"), MATCH(AP$1, FebR!$6:$6, 0), FALSE),
            0
        ) +
        IFERROR(
            VLOOKUP($A89, INDIRECT("MarR!$A$6:$ZZ$1048576"), MATCH(AP$1, MarR!$6:$6, 0), FALSE),
            0
        ) +
        IFERROR(
            VLOOKUP($A89, INDIRECT("AbrR!$A$6:$ZZ$1048576"), MATCH(AP$1, AbrR!$6:$6, 0), FALSE),
            0
        ) +
        IFERROR(
            VLOOKUP($A89, INDIRECT("MayR!$A$6:$ZZ$1048576"), MATCH(AP$1, MayR!$6:$6, 0), FALSE),
            0
        ) +
        IFERROR(
            VLOOKUP($A89, INDIRECT("JunR!$A$6:$ZZ$1048576"), MATCH(AP$1, JunR!$6:$6, 0), FALSE),
            0
        ) +
        IFERROR(
            VLOOKUP($A89, INDIRECT("JulR!$A$6:$ZZ$1048576"), MATCH(AP$1, JulR!$6:$6, 0), FALSE),
            0
        ) +
        IFERROR(
            VLOOKUP($A89, INDIRECT("AgoR!$A$6:$ZZ$1048576"), MATCH(AP$1, AgoR!$6:$6, 0), FALSE),
            0
        ) +
        IFERROR(
            VLOOKUP($A89, INDIRECT("SepR!$A$6:$ZZ$1048576"), MATCH(AP$1, SepR!$6:$6, 0), FALSE),
            0
        ) +
        IFERROR(
            VLOOKUP($A89, INDIRECT("OctR!$A$6:$ZZ$1048576"), MATCH(AP$1, OctR!$6:$6, 0), FALSE),
            0
        ) +
        IFERROR(
            VLOOKUP($A89, INDIRECT("NovR!$A$6:$ZZ$1048576"), MATCH(AP$1, NovR!$6:$6, 0), FALSE),
            0
        ) +
        IFERROR(
            VLOOKUP($A89, INDIRECT("DicR!$A$6:$ZZ$1048576"), MATCH(AP$1, DicR!$6:$6, 0), FALSE),
            0
        )
)</f>
        <v>0</v>
      </c>
      <c r="AQ89" s="35">
        <f t="array" ref="AQ89">SUM(
    IFERROR(
            VLOOKUP($A89, INDIRECT("EneR!$A$6:$ZZ$1048576"), MATCH(AQ$1, EneR!$6:$6, 0), FALSE),
            0
        ) +
        IFERROR(
            VLOOKUP($A89, INDIRECT("FebR!$A$6:$ZZ$1048576"), MATCH(AQ$1, FebR!$6:$6, 0), FALSE),
            0
        ) +
        IFERROR(
            VLOOKUP($A89, INDIRECT("MarR!$A$6:$ZZ$1048576"), MATCH(AQ$1, MarR!$6:$6, 0), FALSE),
            0
        ) +
        IFERROR(
            VLOOKUP($A89, INDIRECT("AbrR!$A$6:$ZZ$1048576"), MATCH(AQ$1, AbrR!$6:$6, 0), FALSE),
            0
        ) +
        IFERROR(
            VLOOKUP($A89, INDIRECT("MayR!$A$6:$ZZ$1048576"), MATCH(AQ$1, MayR!$6:$6, 0), FALSE),
            0
        ) +
        IFERROR(
            VLOOKUP($A89, INDIRECT("JunR!$A$6:$ZZ$1048576"), MATCH(AQ$1, JunR!$6:$6, 0), FALSE),
            0
        ) +
        IFERROR(
            VLOOKUP($A89, INDIRECT("JulR!$A$6:$ZZ$1048576"), MATCH(AQ$1, JulR!$6:$6, 0), FALSE),
            0
        ) +
        IFERROR(
            VLOOKUP($A89, INDIRECT("AgoR!$A$6:$ZZ$1048576"), MATCH(AQ$1, AgoR!$6:$6, 0), FALSE),
            0
        ) +
        IFERROR(
            VLOOKUP($A89, INDIRECT("SepR!$A$6:$ZZ$1048576"), MATCH(AQ$1, SepR!$6:$6, 0), FALSE),
            0
        ) +
        IFERROR(
            VLOOKUP($A89, INDIRECT("OctR!$A$6:$ZZ$1048576"), MATCH(AQ$1, OctR!$6:$6, 0), FALSE),
            0
        ) +
        IFERROR(
            VLOOKUP($A89, INDIRECT("NovR!$A$6:$ZZ$1048576"), MATCH(AQ$1, NovR!$6:$6, 0), FALSE),
            0
        ) +
        IFERROR(
            VLOOKUP($A89, INDIRECT("DicR!$A$6:$ZZ$1048576"), MATCH(AQ$1, DicR!$6:$6, 0), FALSE),
            0
        )
)</f>
        <v>0</v>
      </c>
      <c r="AR89" s="36">
        <f t="array" ref="AR89">SUM(
    IFERROR(
            VLOOKUP($A89, INDIRECT("EneR!$A$6:$ZZ$1048576"), MATCH(AR$1, EneR!$6:$6, 0), FALSE),
            0
        ) +
        IFERROR(
            VLOOKUP($A89, INDIRECT("FebR!$A$6:$ZZ$1048576"), MATCH(AR$1, FebR!$6:$6, 0), FALSE),
            0
        ) +
        IFERROR(
            VLOOKUP($A89, INDIRECT("MarR!$A$6:$ZZ$1048576"), MATCH(AR$1, MarR!$6:$6, 0), FALSE),
            0
        ) +
        IFERROR(
            VLOOKUP($A89, INDIRECT("AbrR!$A$6:$ZZ$1048576"), MATCH(AR$1, AbrR!$6:$6, 0), FALSE),
            0
        ) +
        IFERROR(
            VLOOKUP($A89, INDIRECT("MayR!$A$6:$ZZ$1048576"), MATCH(AR$1, MayR!$6:$6, 0), FALSE),
            0
        ) +
        IFERROR(
            VLOOKUP($A89, INDIRECT("JunR!$A$6:$ZZ$1048576"), MATCH(AR$1, JunR!$6:$6, 0), FALSE),
            0
        ) +
        IFERROR(
            VLOOKUP($A89, INDIRECT("JulR!$A$6:$ZZ$1048576"), MATCH(AR$1, JulR!$6:$6, 0), FALSE),
            0
        ) +
        IFERROR(
            VLOOKUP($A89, INDIRECT("AgoR!$A$6:$ZZ$1048576"), MATCH(AR$1, AgoR!$6:$6, 0), FALSE),
            0
        ) +
        IFERROR(
            VLOOKUP($A89, INDIRECT("SepR!$A$6:$ZZ$1048576"), MATCH(AR$1, SepR!$6:$6, 0), FALSE),
            0
        ) +
        IFERROR(
            VLOOKUP($A89, INDIRECT("OctR!$A$6:$ZZ$1048576"), MATCH(AR$1, OctR!$6:$6, 0), FALSE),
            0
        ) +
        IFERROR(
            VLOOKUP($A89, INDIRECT("NovR!$A$6:$ZZ$1048576"), MATCH(AR$1, NovR!$6:$6, 0), FALSE),
            0
        ) +
        IFERROR(
            VLOOKUP($A89, INDIRECT("DicR!$A$6:$ZZ$1048576"), MATCH(AR$1, DicR!$6:$6, 0), FALSE),
            0
        )
)</f>
        <v>0</v>
      </c>
      <c r="AS89" s="35">
        <f t="array" ref="AS89">SUM(
    IFERROR(
            VLOOKUP($A89, INDIRECT("EneR!$A$6:$ZZ$1048576"), MATCH(AS$1, EneR!$6:$6, 0), FALSE),
            0
        ) +
        IFERROR(
            VLOOKUP($A89, INDIRECT("FebR!$A$6:$ZZ$1048576"), MATCH(AS$1, FebR!$6:$6, 0), FALSE),
            0
        ) +
        IFERROR(
            VLOOKUP($A89, INDIRECT("MarR!$A$6:$ZZ$1048576"), MATCH(AS$1, MarR!$6:$6, 0), FALSE),
            0
        ) +
        IFERROR(
            VLOOKUP($A89, INDIRECT("AbrR!$A$6:$ZZ$1048576"), MATCH(AS$1, AbrR!$6:$6, 0), FALSE),
            0
        ) +
        IFERROR(
            VLOOKUP($A89, INDIRECT("MayR!$A$6:$ZZ$1048576"), MATCH(AS$1, MayR!$6:$6, 0), FALSE),
            0
        ) +
        IFERROR(
            VLOOKUP($A89, INDIRECT("JunR!$A$6:$ZZ$1048576"), MATCH(AS$1, JunR!$6:$6, 0), FALSE),
            0
        ) +
        IFERROR(
            VLOOKUP($A89, INDIRECT("JulR!$A$6:$ZZ$1048576"), MATCH(AS$1, JulR!$6:$6, 0), FALSE),
            0
        ) +
        IFERROR(
            VLOOKUP($A89, INDIRECT("AgoR!$A$6:$ZZ$1048576"), MATCH(AS$1, AgoR!$6:$6, 0), FALSE),
            0
        ) +
        IFERROR(
            VLOOKUP($A89, INDIRECT("SepR!$A$6:$ZZ$1048576"), MATCH(AS$1, SepR!$6:$6, 0), FALSE),
            0
        ) +
        IFERROR(
            VLOOKUP($A89, INDIRECT("OctR!$A$6:$ZZ$1048576"), MATCH(AS$1, OctR!$6:$6, 0), FALSE),
            0
        ) +
        IFERROR(
            VLOOKUP($A89, INDIRECT("NovR!$A$6:$ZZ$1048576"), MATCH(AS$1, NovR!$6:$6, 0), FALSE),
            0
        ) +
        IFERROR(
            VLOOKUP($A89, INDIRECT("DicR!$A$6:$ZZ$1048576"), MATCH(AS$1, DicR!$6:$6, 0), FALSE),
            0
        )
)</f>
        <v>0</v>
      </c>
      <c r="AT89" s="36">
        <f t="array" ref="AT89">SUM(
    IFERROR(
            VLOOKUP($A89, INDIRECT("EneR!$A$6:$ZZ$1048576"), MATCH(AT$1, EneR!$6:$6, 0), FALSE),
            0
        ) +
        IFERROR(
            VLOOKUP($A89, INDIRECT("FebR!$A$6:$ZZ$1048576"), MATCH(AT$1, FebR!$6:$6, 0), FALSE),
            0
        ) +
        IFERROR(
            VLOOKUP($A89, INDIRECT("MarR!$A$6:$ZZ$1048576"), MATCH(AT$1, MarR!$6:$6, 0), FALSE),
            0
        ) +
        IFERROR(
            VLOOKUP($A89, INDIRECT("AbrR!$A$6:$ZZ$1048576"), MATCH(AT$1, AbrR!$6:$6, 0), FALSE),
            0
        ) +
        IFERROR(
            VLOOKUP($A89, INDIRECT("MayR!$A$6:$ZZ$1048576"), MATCH(AT$1, MayR!$6:$6, 0), FALSE),
            0
        ) +
        IFERROR(
            VLOOKUP($A89, INDIRECT("JunR!$A$6:$ZZ$1048576"), MATCH(AT$1, JunR!$6:$6, 0), FALSE),
            0
        ) +
        IFERROR(
            VLOOKUP($A89, INDIRECT("JulR!$A$6:$ZZ$1048576"), MATCH(AT$1, JulR!$6:$6, 0), FALSE),
            0
        ) +
        IFERROR(
            VLOOKUP($A89, INDIRECT("AgoR!$A$6:$ZZ$1048576"), MATCH(AT$1, AgoR!$6:$6, 0), FALSE),
            0
        ) +
        IFERROR(
            VLOOKUP($A89, INDIRECT("SepR!$A$6:$ZZ$1048576"), MATCH(AT$1, SepR!$6:$6, 0), FALSE),
            0
        ) +
        IFERROR(
            VLOOKUP($A89, INDIRECT("OctR!$A$6:$ZZ$1048576"), MATCH(AT$1, OctR!$6:$6, 0), FALSE),
            0
        ) +
        IFERROR(
            VLOOKUP($A89, INDIRECT("NovR!$A$6:$ZZ$1048576"), MATCH(AT$1, NovR!$6:$6, 0), FALSE),
            0
        ) +
        IFERROR(
            VLOOKUP($A89, INDIRECT("DicR!$A$6:$ZZ$1048576"), MATCH(AT$1, DicR!$6:$6, 0), FALSE),
            0
        )
)</f>
        <v>0</v>
      </c>
      <c r="AU89" s="35">
        <f t="array" ref="AU89">SUM(
    IFERROR(
            VLOOKUP($A89, INDIRECT("EneR!$A$6:$ZZ$1048576"), MATCH(AU$1, EneR!$6:$6, 0), FALSE),
            0
        ) +
        IFERROR(
            VLOOKUP($A89, INDIRECT("FebR!$A$6:$ZZ$1048576"), MATCH(AU$1, FebR!$6:$6, 0), FALSE),
            0
        ) +
        IFERROR(
            VLOOKUP($A89, INDIRECT("MarR!$A$6:$ZZ$1048576"), MATCH(AU$1, MarR!$6:$6, 0), FALSE),
            0
        ) +
        IFERROR(
            VLOOKUP($A89, INDIRECT("AbrR!$A$6:$ZZ$1048576"), MATCH(AU$1, AbrR!$6:$6, 0), FALSE),
            0
        ) +
        IFERROR(
            VLOOKUP($A89, INDIRECT("MayR!$A$6:$ZZ$1048576"), MATCH(AU$1, MayR!$6:$6, 0), FALSE),
            0
        ) +
        IFERROR(
            VLOOKUP($A89, INDIRECT("JunR!$A$6:$ZZ$1048576"), MATCH(AU$1, JunR!$6:$6, 0), FALSE),
            0
        ) +
        IFERROR(
            VLOOKUP($A89, INDIRECT("JulR!$A$6:$ZZ$1048576"), MATCH(AU$1, JulR!$6:$6, 0), FALSE),
            0
        ) +
        IFERROR(
            VLOOKUP($A89, INDIRECT("AgoR!$A$6:$ZZ$1048576"), MATCH(AU$1, AgoR!$6:$6, 0), FALSE),
            0
        ) +
        IFERROR(
            VLOOKUP($A89, INDIRECT("SepR!$A$6:$ZZ$1048576"), MATCH(AU$1, SepR!$6:$6, 0), FALSE),
            0
        ) +
        IFERROR(
            VLOOKUP($A89, INDIRECT("OctR!$A$6:$ZZ$1048576"), MATCH(AU$1, OctR!$6:$6, 0), FALSE),
            0
        ) +
        IFERROR(
            VLOOKUP($A89, INDIRECT("NovR!$A$6:$ZZ$1048576"), MATCH(AU$1, NovR!$6:$6, 0), FALSE),
            0
        ) +
        IFERROR(
            VLOOKUP($A89, INDIRECT("DicR!$A$6:$ZZ$1048576"), MATCH(AU$1, DicR!$6:$6, 0), FALSE),
            0
        )
)</f>
        <v>0</v>
      </c>
      <c r="AV89" s="36">
        <f t="array" ref="AV89">SUM(
    IFERROR(
            VLOOKUP($A89, INDIRECT("EneR!$A$6:$ZZ$1048576"), MATCH(AV$1, EneR!$6:$6, 0), FALSE),
            0
        ) +
        IFERROR(
            VLOOKUP($A89, INDIRECT("FebR!$A$6:$ZZ$1048576"), MATCH(AV$1, FebR!$6:$6, 0), FALSE),
            0
        ) +
        IFERROR(
            VLOOKUP($A89, INDIRECT("MarR!$A$6:$ZZ$1048576"), MATCH(AV$1, MarR!$6:$6, 0), FALSE),
            0
        ) +
        IFERROR(
            VLOOKUP($A89, INDIRECT("AbrR!$A$6:$ZZ$1048576"), MATCH(AV$1, AbrR!$6:$6, 0), FALSE),
            0
        ) +
        IFERROR(
            VLOOKUP($A89, INDIRECT("MayR!$A$6:$ZZ$1048576"), MATCH(AV$1, MayR!$6:$6, 0), FALSE),
            0
        ) +
        IFERROR(
            VLOOKUP($A89, INDIRECT("JunR!$A$6:$ZZ$1048576"), MATCH(AV$1, JunR!$6:$6, 0), FALSE),
            0
        ) +
        IFERROR(
            VLOOKUP($A89, INDIRECT("JulR!$A$6:$ZZ$1048576"), MATCH(AV$1, JulR!$6:$6, 0), FALSE),
            0
        ) +
        IFERROR(
            VLOOKUP($A89, INDIRECT("AgoR!$A$6:$ZZ$1048576"), MATCH(AV$1, AgoR!$6:$6, 0), FALSE),
            0
        ) +
        IFERROR(
            VLOOKUP($A89, INDIRECT("SepR!$A$6:$ZZ$1048576"), MATCH(AV$1, SepR!$6:$6, 0), FALSE),
            0
        ) +
        IFERROR(
            VLOOKUP($A89, INDIRECT("OctR!$A$6:$ZZ$1048576"), MATCH(AV$1, OctR!$6:$6, 0), FALSE),
            0
        ) +
        IFERROR(
            VLOOKUP($A89, INDIRECT("NovR!$A$6:$ZZ$1048576"), MATCH(AV$1, NovR!$6:$6, 0), FALSE),
            0
        ) +
        IFERROR(
            VLOOKUP($A89, INDIRECT("DicR!$A$6:$ZZ$1048576"), MATCH(AV$1, DicR!$6:$6, 0), FALSE),
            0
        )
)</f>
        <v>0</v>
      </c>
      <c r="AW89" s="35">
        <f t="array" ref="AW89">SUM(
    IFERROR(
            VLOOKUP($A89, INDIRECT("EneR!$A$6:$ZZ$1048576"), MATCH(AW$1, EneR!$6:$6, 0), FALSE),
            0
        ) +
        IFERROR(
            VLOOKUP($A89, INDIRECT("FebR!$A$6:$ZZ$1048576"), MATCH(AW$1, FebR!$6:$6, 0), FALSE),
            0
        ) +
        IFERROR(
            VLOOKUP($A89, INDIRECT("MarR!$A$6:$ZZ$1048576"), MATCH(AW$1, MarR!$6:$6, 0), FALSE),
            0
        ) +
        IFERROR(
            VLOOKUP($A89, INDIRECT("AbrR!$A$6:$ZZ$1048576"), MATCH(AW$1, AbrR!$6:$6, 0), FALSE),
            0
        ) +
        IFERROR(
            VLOOKUP($A89, INDIRECT("MayR!$A$6:$ZZ$1048576"), MATCH(AW$1, MayR!$6:$6, 0), FALSE),
            0
        ) +
        IFERROR(
            VLOOKUP($A89, INDIRECT("JunR!$A$6:$ZZ$1048576"), MATCH(AW$1, JunR!$6:$6, 0), FALSE),
            0
        ) +
        IFERROR(
            VLOOKUP($A89, INDIRECT("JulR!$A$6:$ZZ$1048576"), MATCH(AW$1, JulR!$6:$6, 0), FALSE),
            0
        ) +
        IFERROR(
            VLOOKUP($A89, INDIRECT("AgoR!$A$6:$ZZ$1048576"), MATCH(AW$1, AgoR!$6:$6, 0), FALSE),
            0
        ) +
        IFERROR(
            VLOOKUP($A89, INDIRECT("SepR!$A$6:$ZZ$1048576"), MATCH(AW$1, SepR!$6:$6, 0), FALSE),
            0
        ) +
        IFERROR(
            VLOOKUP($A89, INDIRECT("OctR!$A$6:$ZZ$1048576"), MATCH(AW$1, OctR!$6:$6, 0), FALSE),
            0
        ) +
        IFERROR(
            VLOOKUP($A89, INDIRECT("NovR!$A$6:$ZZ$1048576"), MATCH(AW$1, NovR!$6:$6, 0), FALSE),
            0
        ) +
        IFERROR(
            VLOOKUP($A89, INDIRECT("DicR!$A$6:$ZZ$1048576"), MATCH(AW$1, DicR!$6:$6, 0), FALSE),
            0
        )
)</f>
        <v>0</v>
      </c>
      <c r="AX89" s="36">
        <f t="array" ref="AX89">SUM(
    IFERROR(
            VLOOKUP($A89, INDIRECT("EneR!$A$6:$ZZ$1048576"), MATCH(AX$1, EneR!$6:$6, 0), FALSE),
            0
        ) +
        IFERROR(
            VLOOKUP($A89, INDIRECT("FebR!$A$6:$ZZ$1048576"), MATCH(AX$1, FebR!$6:$6, 0), FALSE),
            0
        ) +
        IFERROR(
            VLOOKUP($A89, INDIRECT("MarR!$A$6:$ZZ$1048576"), MATCH(AX$1, MarR!$6:$6, 0), FALSE),
            0
        ) +
        IFERROR(
            VLOOKUP($A89, INDIRECT("AbrR!$A$6:$ZZ$1048576"), MATCH(AX$1, AbrR!$6:$6, 0), FALSE),
            0
        ) +
        IFERROR(
            VLOOKUP($A89, INDIRECT("MayR!$A$6:$ZZ$1048576"), MATCH(AX$1, MayR!$6:$6, 0), FALSE),
            0
        ) +
        IFERROR(
            VLOOKUP($A89, INDIRECT("JunR!$A$6:$ZZ$1048576"), MATCH(AX$1, JunR!$6:$6, 0), FALSE),
            0
        ) +
        IFERROR(
            VLOOKUP($A89, INDIRECT("JulR!$A$6:$ZZ$1048576"), MATCH(AX$1, JulR!$6:$6, 0), FALSE),
            0
        ) +
        IFERROR(
            VLOOKUP($A89, INDIRECT("AgoR!$A$6:$ZZ$1048576"), MATCH(AX$1, AgoR!$6:$6, 0), FALSE),
            0
        ) +
        IFERROR(
            VLOOKUP($A89, INDIRECT("SepR!$A$6:$ZZ$1048576"), MATCH(AX$1, SepR!$6:$6, 0), FALSE),
            0
        ) +
        IFERROR(
            VLOOKUP($A89, INDIRECT("OctR!$A$6:$ZZ$1048576"), MATCH(AX$1, OctR!$6:$6, 0), FALSE),
            0
        ) +
        IFERROR(
            VLOOKUP($A89, INDIRECT("NovR!$A$6:$ZZ$1048576"), MATCH(AX$1, NovR!$6:$6, 0), FALSE),
            0
        ) +
        IFERROR(
            VLOOKUP($A89, INDIRECT("DicR!$A$6:$ZZ$1048576"), MATCH(AX$1, DicR!$6:$6, 0), FALSE),
            0
        )
)</f>
        <v>0</v>
      </c>
      <c r="AY89" s="35">
        <f t="array" ref="AY89">SUM(
    IFERROR(
            VLOOKUP($A89, INDIRECT("EneR!$A$6:$ZZ$1048576"), MATCH(AY$1, EneR!$6:$6, 0), FALSE),
            0
        ) +
        IFERROR(
            VLOOKUP($A89, INDIRECT("FebR!$A$6:$ZZ$1048576"), MATCH(AY$1, FebR!$6:$6, 0), FALSE),
            0
        ) +
        IFERROR(
            VLOOKUP($A89, INDIRECT("MarR!$A$6:$ZZ$1048576"), MATCH(AY$1, MarR!$6:$6, 0), FALSE),
            0
        ) +
        IFERROR(
            VLOOKUP($A89, INDIRECT("AbrR!$A$6:$ZZ$1048576"), MATCH(AY$1, AbrR!$6:$6, 0), FALSE),
            0
        ) +
        IFERROR(
            VLOOKUP($A89, INDIRECT("MayR!$A$6:$ZZ$1048576"), MATCH(AY$1, MayR!$6:$6, 0), FALSE),
            0
        ) +
        IFERROR(
            VLOOKUP($A89, INDIRECT("JunR!$A$6:$ZZ$1048576"), MATCH(AY$1, JunR!$6:$6, 0), FALSE),
            0
        ) +
        IFERROR(
            VLOOKUP($A89, INDIRECT("JulR!$A$6:$ZZ$1048576"), MATCH(AY$1, JulR!$6:$6, 0), FALSE),
            0
        ) +
        IFERROR(
            VLOOKUP($A89, INDIRECT("AgoR!$A$6:$ZZ$1048576"), MATCH(AY$1, AgoR!$6:$6, 0), FALSE),
            0
        ) +
        IFERROR(
            VLOOKUP($A89, INDIRECT("SepR!$A$6:$ZZ$1048576"), MATCH(AY$1, SepR!$6:$6, 0), FALSE),
            0
        ) +
        IFERROR(
            VLOOKUP($A89, INDIRECT("OctR!$A$6:$ZZ$1048576"), MATCH(AY$1, OctR!$6:$6, 0), FALSE),
            0
        ) +
        IFERROR(
            VLOOKUP($A89, INDIRECT("NovR!$A$6:$ZZ$1048576"), MATCH(AY$1, NovR!$6:$6, 0), FALSE),
            0
        ) +
        IFERROR(
            VLOOKUP($A89, INDIRECT("DicR!$A$6:$ZZ$1048576"), MATCH(AY$1, DicR!$6:$6, 0), FALSE),
            0
        )
)</f>
        <v>0</v>
      </c>
      <c r="AZ89" s="35"/>
    </row>
    <row r="90" ht="15.75" hidden="1" customHeight="1">
      <c r="A90" s="12" t="str">
        <f>Menus!B51</f>
        <v/>
      </c>
      <c r="B90" s="32">
        <f t="shared" si="11"/>
        <v>0</v>
      </c>
      <c r="C90" s="33" t="str">
        <f t="shared" si="10"/>
        <v/>
      </c>
      <c r="D90" s="34">
        <f t="array" ref="D90">SUM(
    IFERROR(
            VLOOKUP($A90, INDIRECT("EneR!$A$6:$ZZ$1048576"), MATCH(D$1, EneR!$6:$6, 0), FALSE),
            0
        ) +
        IFERROR(
            VLOOKUP($A90, INDIRECT("FebR!$A$6:$ZZ$1048576"), MATCH(D$1, FebR!$6:$6, 0), FALSE),
            0
        ) +
        IFERROR(
            VLOOKUP($A90, INDIRECT("MarR!$A$6:$ZZ$1048576"), MATCH(D$1, MarR!$6:$6, 0), FALSE),
            0
        ) +
        IFERROR(
            VLOOKUP($A90, INDIRECT("AbrR!$A$6:$ZZ$1048576"), MATCH(D$1, AbrR!$6:$6, 0), FALSE),
            0
        ) +
        IFERROR(
            VLOOKUP($A90, INDIRECT("MayR!$A$6:$ZZ$1048576"), MATCH(D$1, MayR!$6:$6, 0), FALSE),
            0
        ) +
        IFERROR(
            VLOOKUP($A90, INDIRECT("JunR!$A$6:$ZZ$1048576"), MATCH(D$1, JunR!$6:$6, 0), FALSE),
            0
        ) +
        IFERROR(
            VLOOKUP($A90, INDIRECT("JulR!$A$6:$ZZ$1048576"), MATCH(D$1, JulR!$6:$6, 0), FALSE),
            0
        ) +
        IFERROR(
            VLOOKUP($A90, INDIRECT("AgoR!$A$6:$ZZ$1048576"), MATCH(D$1, AgoR!$6:$6, 0), FALSE),
            0
        ) +
        IFERROR(
            VLOOKUP($A90, INDIRECT("SepR!$A$6:$ZZ$1048576"), MATCH(D$1, SepR!$6:$6, 0), FALSE),
            0
        ) +
        IFERROR(
            VLOOKUP($A90, INDIRECT("OctR!$A$6:$ZZ$1048576"), MATCH(D$1, OctR!$6:$6, 0), FALSE),
            0
        ) +
        IFERROR(
            VLOOKUP($A90, INDIRECT("NovR!$A$6:$ZZ$1048576"), MATCH(D$1, NovR!$6:$6, 0), FALSE),
            0
        ) +
        IFERROR(
            VLOOKUP($A90, INDIRECT("DicR!$A$6:$ZZ$1048576"), MATCH(D$1, DicR!$6:$6, 0), FALSE),
            0
        )
)</f>
        <v>0</v>
      </c>
      <c r="E90" s="35">
        <f t="array" ref="E90">SUM(
    IFERROR(
            VLOOKUP($A90, INDIRECT("EneR!$A$6:$ZZ$1048576"), MATCH(E$1, EneR!$6:$6, 0), FALSE),
            0
        ) +
        IFERROR(
            VLOOKUP($A90, INDIRECT("FebR!$A$6:$ZZ$1048576"), MATCH(E$1, FebR!$6:$6, 0), FALSE),
            0
        ) +
        IFERROR(
            VLOOKUP($A90, INDIRECT("MarR!$A$6:$ZZ$1048576"), MATCH(E$1, MarR!$6:$6, 0), FALSE),
            0
        ) +
        IFERROR(
            VLOOKUP($A90, INDIRECT("AbrR!$A$6:$ZZ$1048576"), MATCH(E$1, AbrR!$6:$6, 0), FALSE),
            0
        ) +
        IFERROR(
            VLOOKUP($A90, INDIRECT("MayR!$A$6:$ZZ$1048576"), MATCH(E$1, MayR!$6:$6, 0), FALSE),
            0
        ) +
        IFERROR(
            VLOOKUP($A90, INDIRECT("JunR!$A$6:$ZZ$1048576"), MATCH(E$1, JunR!$6:$6, 0), FALSE),
            0
        ) +
        IFERROR(
            VLOOKUP($A90, INDIRECT("JulR!$A$6:$ZZ$1048576"), MATCH(E$1, JulR!$6:$6, 0), FALSE),
            0
        ) +
        IFERROR(
            VLOOKUP($A90, INDIRECT("AgoR!$A$6:$ZZ$1048576"), MATCH(E$1, AgoR!$6:$6, 0), FALSE),
            0
        ) +
        IFERROR(
            VLOOKUP($A90, INDIRECT("SepR!$A$6:$ZZ$1048576"), MATCH(E$1, SepR!$6:$6, 0), FALSE),
            0
        ) +
        IFERROR(
            VLOOKUP($A90, INDIRECT("OctR!$A$6:$ZZ$1048576"), MATCH(E$1, OctR!$6:$6, 0), FALSE),
            0
        ) +
        IFERROR(
            VLOOKUP($A90, INDIRECT("NovR!$A$6:$ZZ$1048576"), MATCH(E$1, NovR!$6:$6, 0), FALSE),
            0
        ) +
        IFERROR(
            VLOOKUP($A90, INDIRECT("DicR!$A$6:$ZZ$1048576"), MATCH(E$1, DicR!$6:$6, 0), FALSE),
            0
        )
)</f>
        <v>0</v>
      </c>
      <c r="F90" s="32">
        <f t="array" ref="F90">SUM(
    IFERROR(
            VLOOKUP($A90, INDIRECT("EneR!$A$6:$ZZ$1048576"), MATCH(F$1, EneR!$6:$6, 0), FALSE),
            0
        ) +
        IFERROR(
            VLOOKUP($A90, INDIRECT("FebR!$A$6:$ZZ$1048576"), MATCH(F$1, FebR!$6:$6, 0), FALSE),
            0
        ) +
        IFERROR(
            VLOOKUP($A90, INDIRECT("MarR!$A$6:$ZZ$1048576"), MATCH(F$1, MarR!$6:$6, 0), FALSE),
            0
        ) +
        IFERROR(
            VLOOKUP($A90, INDIRECT("AbrR!$A$6:$ZZ$1048576"), MATCH(F$1, AbrR!$6:$6, 0), FALSE),
            0
        ) +
        IFERROR(
            VLOOKUP($A90, INDIRECT("MayR!$A$6:$ZZ$1048576"), MATCH(F$1, MayR!$6:$6, 0), FALSE),
            0
        ) +
        IFERROR(
            VLOOKUP($A90, INDIRECT("JunR!$A$6:$ZZ$1048576"), MATCH(F$1, JunR!$6:$6, 0), FALSE),
            0
        ) +
        IFERROR(
            VLOOKUP($A90, INDIRECT("JulR!$A$6:$ZZ$1048576"), MATCH(F$1, JulR!$6:$6, 0), FALSE),
            0
        ) +
        IFERROR(
            VLOOKUP($A90, INDIRECT("AgoR!$A$6:$ZZ$1048576"), MATCH(F$1, AgoR!$6:$6, 0), FALSE),
            0
        ) +
        IFERROR(
            VLOOKUP($A90, INDIRECT("SepR!$A$6:$ZZ$1048576"), MATCH(F$1, SepR!$6:$6, 0), FALSE),
            0
        ) +
        IFERROR(
            VLOOKUP($A90, INDIRECT("OctR!$A$6:$ZZ$1048576"), MATCH(F$1, OctR!$6:$6, 0), FALSE),
            0
        ) +
        IFERROR(
            VLOOKUP($A90, INDIRECT("NovR!$A$6:$ZZ$1048576"), MATCH(F$1, NovR!$6:$6, 0), FALSE),
            0
        ) +
        IFERROR(
            VLOOKUP($A90, INDIRECT("DicR!$A$6:$ZZ$1048576"), MATCH(F$1, DicR!$6:$6, 0), FALSE),
            0
        )
)</f>
        <v>0</v>
      </c>
      <c r="G90" s="35">
        <f t="array" ref="G90">SUM(
    IFERROR(
            VLOOKUP($A90, INDIRECT("EneR!$A$6:$ZZ$1048576"), MATCH(G$1, EneR!$6:$6, 0), FALSE),
            0
        ) +
        IFERROR(
            VLOOKUP($A90, INDIRECT("FebR!$A$6:$ZZ$1048576"), MATCH(G$1, FebR!$6:$6, 0), FALSE),
            0
        ) +
        IFERROR(
            VLOOKUP($A90, INDIRECT("MarR!$A$6:$ZZ$1048576"), MATCH(G$1, MarR!$6:$6, 0), FALSE),
            0
        ) +
        IFERROR(
            VLOOKUP($A90, INDIRECT("AbrR!$A$6:$ZZ$1048576"), MATCH(G$1, AbrR!$6:$6, 0), FALSE),
            0
        ) +
        IFERROR(
            VLOOKUP($A90, INDIRECT("MayR!$A$6:$ZZ$1048576"), MATCH(G$1, MayR!$6:$6, 0), FALSE),
            0
        ) +
        IFERROR(
            VLOOKUP($A90, INDIRECT("JunR!$A$6:$ZZ$1048576"), MATCH(G$1, JunR!$6:$6, 0), FALSE),
            0
        ) +
        IFERROR(
            VLOOKUP($A90, INDIRECT("JulR!$A$6:$ZZ$1048576"), MATCH(G$1, JulR!$6:$6, 0), FALSE),
            0
        ) +
        IFERROR(
            VLOOKUP($A90, INDIRECT("AgoR!$A$6:$ZZ$1048576"), MATCH(G$1, AgoR!$6:$6, 0), FALSE),
            0
        ) +
        IFERROR(
            VLOOKUP($A90, INDIRECT("SepR!$A$6:$ZZ$1048576"), MATCH(G$1, SepR!$6:$6, 0), FALSE),
            0
        ) +
        IFERROR(
            VLOOKUP($A90, INDIRECT("OctR!$A$6:$ZZ$1048576"), MATCH(G$1, OctR!$6:$6, 0), FALSE),
            0
        ) +
        IFERROR(
            VLOOKUP($A90, INDIRECT("NovR!$A$6:$ZZ$1048576"), MATCH(G$1, NovR!$6:$6, 0), FALSE),
            0
        ) +
        IFERROR(
            VLOOKUP($A90, INDIRECT("DicR!$A$6:$ZZ$1048576"), MATCH(G$1, DicR!$6:$6, 0), FALSE),
            0
        )
)</f>
        <v>0</v>
      </c>
      <c r="H90" s="32">
        <f t="array" ref="H90">SUM(
    IFERROR(
            VLOOKUP($A90, INDIRECT("EneR!$A$6:$ZZ$1048576"), MATCH(H$1, EneR!$6:$6, 0), FALSE),
            0
        ) +
        IFERROR(
            VLOOKUP($A90, INDIRECT("FebR!$A$6:$ZZ$1048576"), MATCH(H$1, FebR!$6:$6, 0), FALSE),
            0
        ) +
        IFERROR(
            VLOOKUP($A90, INDIRECT("MarR!$A$6:$ZZ$1048576"), MATCH(H$1, MarR!$6:$6, 0), FALSE),
            0
        ) +
        IFERROR(
            VLOOKUP($A90, INDIRECT("AbrR!$A$6:$ZZ$1048576"), MATCH(H$1, AbrR!$6:$6, 0), FALSE),
            0
        ) +
        IFERROR(
            VLOOKUP($A90, INDIRECT("MayR!$A$6:$ZZ$1048576"), MATCH(H$1, MayR!$6:$6, 0), FALSE),
            0
        ) +
        IFERROR(
            VLOOKUP($A90, INDIRECT("JunR!$A$6:$ZZ$1048576"), MATCH(H$1, JunR!$6:$6, 0), FALSE),
            0
        ) +
        IFERROR(
            VLOOKUP($A90, INDIRECT("JulR!$A$6:$ZZ$1048576"), MATCH(H$1, JulR!$6:$6, 0), FALSE),
            0
        ) +
        IFERROR(
            VLOOKUP($A90, INDIRECT("AgoR!$A$6:$ZZ$1048576"), MATCH(H$1, AgoR!$6:$6, 0), FALSE),
            0
        ) +
        IFERROR(
            VLOOKUP($A90, INDIRECT("SepR!$A$6:$ZZ$1048576"), MATCH(H$1, SepR!$6:$6, 0), FALSE),
            0
        ) +
        IFERROR(
            VLOOKUP($A90, INDIRECT("OctR!$A$6:$ZZ$1048576"), MATCH(H$1, OctR!$6:$6, 0), FALSE),
            0
        ) +
        IFERROR(
            VLOOKUP($A90, INDIRECT("NovR!$A$6:$ZZ$1048576"), MATCH(H$1, NovR!$6:$6, 0), FALSE),
            0
        ) +
        IFERROR(
            VLOOKUP($A90, INDIRECT("DicR!$A$6:$ZZ$1048576"), MATCH(H$1, DicR!$6:$6, 0), FALSE),
            0
        )
)</f>
        <v>0</v>
      </c>
      <c r="I90" s="35">
        <f t="array" ref="I90">SUM(
    IFERROR(
            VLOOKUP($A90, INDIRECT("EneR!$A$6:$ZZ$1048576"), MATCH(I$1, EneR!$6:$6, 0), FALSE),
            0
        ) +
        IFERROR(
            VLOOKUP($A90, INDIRECT("FebR!$A$6:$ZZ$1048576"), MATCH(I$1, FebR!$6:$6, 0), FALSE),
            0
        ) +
        IFERROR(
            VLOOKUP($A90, INDIRECT("MarR!$A$6:$ZZ$1048576"), MATCH(I$1, MarR!$6:$6, 0), FALSE),
            0
        ) +
        IFERROR(
            VLOOKUP($A90, INDIRECT("AbrR!$A$6:$ZZ$1048576"), MATCH(I$1, AbrR!$6:$6, 0), FALSE),
            0
        ) +
        IFERROR(
            VLOOKUP($A90, INDIRECT("MayR!$A$6:$ZZ$1048576"), MATCH(I$1, MayR!$6:$6, 0), FALSE),
            0
        ) +
        IFERROR(
            VLOOKUP($A90, INDIRECT("JunR!$A$6:$ZZ$1048576"), MATCH(I$1, JunR!$6:$6, 0), FALSE),
            0
        ) +
        IFERROR(
            VLOOKUP($A90, INDIRECT("JulR!$A$6:$ZZ$1048576"), MATCH(I$1, JulR!$6:$6, 0), FALSE),
            0
        ) +
        IFERROR(
            VLOOKUP($A90, INDIRECT("AgoR!$A$6:$ZZ$1048576"), MATCH(I$1, AgoR!$6:$6, 0), FALSE),
            0
        ) +
        IFERROR(
            VLOOKUP($A90, INDIRECT("SepR!$A$6:$ZZ$1048576"), MATCH(I$1, SepR!$6:$6, 0), FALSE),
            0
        ) +
        IFERROR(
            VLOOKUP($A90, INDIRECT("OctR!$A$6:$ZZ$1048576"), MATCH(I$1, OctR!$6:$6, 0), FALSE),
            0
        ) +
        IFERROR(
            VLOOKUP($A90, INDIRECT("NovR!$A$6:$ZZ$1048576"), MATCH(I$1, NovR!$6:$6, 0), FALSE),
            0
        ) +
        IFERROR(
            VLOOKUP($A90, INDIRECT("DicR!$A$6:$ZZ$1048576"), MATCH(I$1, DicR!$6:$6, 0), FALSE),
            0
        )
)</f>
        <v>0</v>
      </c>
      <c r="J90" s="32">
        <f t="array" ref="J90">SUM(
    IFERROR(
            VLOOKUP($A90, INDIRECT("EneR!$A$6:$ZZ$1048576"), MATCH(J$1, EneR!$6:$6, 0), FALSE),
            0
        ) +
        IFERROR(
            VLOOKUP($A90, INDIRECT("FebR!$A$6:$ZZ$1048576"), MATCH(J$1, FebR!$6:$6, 0), FALSE),
            0
        ) +
        IFERROR(
            VLOOKUP($A90, INDIRECT("MarR!$A$6:$ZZ$1048576"), MATCH(J$1, MarR!$6:$6, 0), FALSE),
            0
        ) +
        IFERROR(
            VLOOKUP($A90, INDIRECT("AbrR!$A$6:$ZZ$1048576"), MATCH(J$1, AbrR!$6:$6, 0), FALSE),
            0
        ) +
        IFERROR(
            VLOOKUP($A90, INDIRECT("MayR!$A$6:$ZZ$1048576"), MATCH(J$1, MayR!$6:$6, 0), FALSE),
            0
        ) +
        IFERROR(
            VLOOKUP($A90, INDIRECT("JunR!$A$6:$ZZ$1048576"), MATCH(J$1, JunR!$6:$6, 0), FALSE),
            0
        ) +
        IFERROR(
            VLOOKUP($A90, INDIRECT("JulR!$A$6:$ZZ$1048576"), MATCH(J$1, JulR!$6:$6, 0), FALSE),
            0
        ) +
        IFERROR(
            VLOOKUP($A90, INDIRECT("AgoR!$A$6:$ZZ$1048576"), MATCH(J$1, AgoR!$6:$6, 0), FALSE),
            0
        ) +
        IFERROR(
            VLOOKUP($A90, INDIRECT("SepR!$A$6:$ZZ$1048576"), MATCH(J$1, SepR!$6:$6, 0), FALSE),
            0
        ) +
        IFERROR(
            VLOOKUP($A90, INDIRECT("OctR!$A$6:$ZZ$1048576"), MATCH(J$1, OctR!$6:$6, 0), FALSE),
            0
        ) +
        IFERROR(
            VLOOKUP($A90, INDIRECT("NovR!$A$6:$ZZ$1048576"), MATCH(J$1, NovR!$6:$6, 0), FALSE),
            0
        ) +
        IFERROR(
            VLOOKUP($A90, INDIRECT("DicR!$A$6:$ZZ$1048576"), MATCH(J$1, DicR!$6:$6, 0), FALSE),
            0
        )
)</f>
        <v>0</v>
      </c>
      <c r="K90" s="35">
        <f t="array" ref="K90">SUM(
    IFERROR(
            VLOOKUP($A90, INDIRECT("EneR!$A$6:$ZZ$1048576"), MATCH(K$1, EneR!$6:$6, 0), FALSE),
            0
        ) +
        IFERROR(
            VLOOKUP($A90, INDIRECT("FebR!$A$6:$ZZ$1048576"), MATCH(K$1, FebR!$6:$6, 0), FALSE),
            0
        ) +
        IFERROR(
            VLOOKUP($A90, INDIRECT("MarR!$A$6:$ZZ$1048576"), MATCH(K$1, MarR!$6:$6, 0), FALSE),
            0
        ) +
        IFERROR(
            VLOOKUP($A90, INDIRECT("AbrR!$A$6:$ZZ$1048576"), MATCH(K$1, AbrR!$6:$6, 0), FALSE),
            0
        ) +
        IFERROR(
            VLOOKUP($A90, INDIRECT("MayR!$A$6:$ZZ$1048576"), MATCH(K$1, MayR!$6:$6, 0), FALSE),
            0
        ) +
        IFERROR(
            VLOOKUP($A90, INDIRECT("JunR!$A$6:$ZZ$1048576"), MATCH(K$1, JunR!$6:$6, 0), FALSE),
            0
        ) +
        IFERROR(
            VLOOKUP($A90, INDIRECT("JulR!$A$6:$ZZ$1048576"), MATCH(K$1, JulR!$6:$6, 0), FALSE),
            0
        ) +
        IFERROR(
            VLOOKUP($A90, INDIRECT("AgoR!$A$6:$ZZ$1048576"), MATCH(K$1, AgoR!$6:$6, 0), FALSE),
            0
        ) +
        IFERROR(
            VLOOKUP($A90, INDIRECT("SepR!$A$6:$ZZ$1048576"), MATCH(K$1, SepR!$6:$6, 0), FALSE),
            0
        ) +
        IFERROR(
            VLOOKUP($A90, INDIRECT("OctR!$A$6:$ZZ$1048576"), MATCH(K$1, OctR!$6:$6, 0), FALSE),
            0
        ) +
        IFERROR(
            VLOOKUP($A90, INDIRECT("NovR!$A$6:$ZZ$1048576"), MATCH(K$1, NovR!$6:$6, 0), FALSE),
            0
        ) +
        IFERROR(
            VLOOKUP($A90, INDIRECT("DicR!$A$6:$ZZ$1048576"), MATCH(K$1, DicR!$6:$6, 0), FALSE),
            0
        )
)</f>
        <v>0</v>
      </c>
      <c r="L90" s="32">
        <f t="array" ref="L90">SUM(
    IFERROR(
            VLOOKUP($A90, INDIRECT("EneR!$A$6:$ZZ$1048576"), MATCH(L$1, EneR!$6:$6, 0), FALSE),
            0
        ) +
        IFERROR(
            VLOOKUP($A90, INDIRECT("FebR!$A$6:$ZZ$1048576"), MATCH(L$1, FebR!$6:$6, 0), FALSE),
            0
        ) +
        IFERROR(
            VLOOKUP($A90, INDIRECT("MarR!$A$6:$ZZ$1048576"), MATCH(L$1, MarR!$6:$6, 0), FALSE),
            0
        ) +
        IFERROR(
            VLOOKUP($A90, INDIRECT("AbrR!$A$6:$ZZ$1048576"), MATCH(L$1, AbrR!$6:$6, 0), FALSE),
            0
        ) +
        IFERROR(
            VLOOKUP($A90, INDIRECT("MayR!$A$6:$ZZ$1048576"), MATCH(L$1, MayR!$6:$6, 0), FALSE),
            0
        ) +
        IFERROR(
            VLOOKUP($A90, INDIRECT("JunR!$A$6:$ZZ$1048576"), MATCH(L$1, JunR!$6:$6, 0), FALSE),
            0
        ) +
        IFERROR(
            VLOOKUP($A90, INDIRECT("JulR!$A$6:$ZZ$1048576"), MATCH(L$1, JulR!$6:$6, 0), FALSE),
            0
        ) +
        IFERROR(
            VLOOKUP($A90, INDIRECT("AgoR!$A$6:$ZZ$1048576"), MATCH(L$1, AgoR!$6:$6, 0), FALSE),
            0
        ) +
        IFERROR(
            VLOOKUP($A90, INDIRECT("SepR!$A$6:$ZZ$1048576"), MATCH(L$1, SepR!$6:$6, 0), FALSE),
            0
        ) +
        IFERROR(
            VLOOKUP($A90, INDIRECT("OctR!$A$6:$ZZ$1048576"), MATCH(L$1, OctR!$6:$6, 0), FALSE),
            0
        ) +
        IFERROR(
            VLOOKUP($A90, INDIRECT("NovR!$A$6:$ZZ$1048576"), MATCH(L$1, NovR!$6:$6, 0), FALSE),
            0
        ) +
        IFERROR(
            VLOOKUP($A90, INDIRECT("DicR!$A$6:$ZZ$1048576"), MATCH(L$1, DicR!$6:$6, 0), FALSE),
            0
        )
)</f>
        <v>0</v>
      </c>
      <c r="M90" s="35">
        <f t="array" ref="M90">SUM(
    IFERROR(
            VLOOKUP($A90, INDIRECT("EneR!$A$6:$ZZ$1048576"), MATCH(M$1, EneR!$6:$6, 0), FALSE),
            0
        ) +
        IFERROR(
            VLOOKUP($A90, INDIRECT("FebR!$A$6:$ZZ$1048576"), MATCH(M$1, FebR!$6:$6, 0), FALSE),
            0
        ) +
        IFERROR(
            VLOOKUP($A90, INDIRECT("MarR!$A$6:$ZZ$1048576"), MATCH(M$1, MarR!$6:$6, 0), FALSE),
            0
        ) +
        IFERROR(
            VLOOKUP($A90, INDIRECT("AbrR!$A$6:$ZZ$1048576"), MATCH(M$1, AbrR!$6:$6, 0), FALSE),
            0
        ) +
        IFERROR(
            VLOOKUP($A90, INDIRECT("MayR!$A$6:$ZZ$1048576"), MATCH(M$1, MayR!$6:$6, 0), FALSE),
            0
        ) +
        IFERROR(
            VLOOKUP($A90, INDIRECT("JunR!$A$6:$ZZ$1048576"), MATCH(M$1, JunR!$6:$6, 0), FALSE),
            0
        ) +
        IFERROR(
            VLOOKUP($A90, INDIRECT("JulR!$A$6:$ZZ$1048576"), MATCH(M$1, JulR!$6:$6, 0), FALSE),
            0
        ) +
        IFERROR(
            VLOOKUP($A90, INDIRECT("AgoR!$A$6:$ZZ$1048576"), MATCH(M$1, AgoR!$6:$6, 0), FALSE),
            0
        ) +
        IFERROR(
            VLOOKUP($A90, INDIRECT("SepR!$A$6:$ZZ$1048576"), MATCH(M$1, SepR!$6:$6, 0), FALSE),
            0
        ) +
        IFERROR(
            VLOOKUP($A90, INDIRECT("OctR!$A$6:$ZZ$1048576"), MATCH(M$1, OctR!$6:$6, 0), FALSE),
            0
        ) +
        IFERROR(
            VLOOKUP($A90, INDIRECT("NovR!$A$6:$ZZ$1048576"), MATCH(M$1, NovR!$6:$6, 0), FALSE),
            0
        ) +
        IFERROR(
            VLOOKUP($A90, INDIRECT("DicR!$A$6:$ZZ$1048576"), MATCH(M$1, DicR!$6:$6, 0), FALSE),
            0
        )
)</f>
        <v>0</v>
      </c>
      <c r="N90" s="32">
        <f t="array" ref="N90">SUM(
    IFERROR(
            VLOOKUP($A90, INDIRECT("EneR!$A$6:$ZZ$1048576"), MATCH(N$1, EneR!$6:$6, 0), FALSE),
            0
        ) +
        IFERROR(
            VLOOKUP($A90, INDIRECT("FebR!$A$6:$ZZ$1048576"), MATCH(N$1, FebR!$6:$6, 0), FALSE),
            0
        ) +
        IFERROR(
            VLOOKUP($A90, INDIRECT("MarR!$A$6:$ZZ$1048576"), MATCH(N$1, MarR!$6:$6, 0), FALSE),
            0
        ) +
        IFERROR(
            VLOOKUP($A90, INDIRECT("AbrR!$A$6:$ZZ$1048576"), MATCH(N$1, AbrR!$6:$6, 0), FALSE),
            0
        ) +
        IFERROR(
            VLOOKUP($A90, INDIRECT("MayR!$A$6:$ZZ$1048576"), MATCH(N$1, MayR!$6:$6, 0), FALSE),
            0
        ) +
        IFERROR(
            VLOOKUP($A90, INDIRECT("JunR!$A$6:$ZZ$1048576"), MATCH(N$1, JunR!$6:$6, 0), FALSE),
            0
        ) +
        IFERROR(
            VLOOKUP($A90, INDIRECT("JulR!$A$6:$ZZ$1048576"), MATCH(N$1, JulR!$6:$6, 0), FALSE),
            0
        ) +
        IFERROR(
            VLOOKUP($A90, INDIRECT("AgoR!$A$6:$ZZ$1048576"), MATCH(N$1, AgoR!$6:$6, 0), FALSE),
            0
        ) +
        IFERROR(
            VLOOKUP($A90, INDIRECT("SepR!$A$6:$ZZ$1048576"), MATCH(N$1, SepR!$6:$6, 0), FALSE),
            0
        ) +
        IFERROR(
            VLOOKUP($A90, INDIRECT("OctR!$A$6:$ZZ$1048576"), MATCH(N$1, OctR!$6:$6, 0), FALSE),
            0
        ) +
        IFERROR(
            VLOOKUP($A90, INDIRECT("NovR!$A$6:$ZZ$1048576"), MATCH(N$1, NovR!$6:$6, 0), FALSE),
            0
        ) +
        IFERROR(
            VLOOKUP($A90, INDIRECT("DicR!$A$6:$ZZ$1048576"), MATCH(N$1, DicR!$6:$6, 0), FALSE),
            0
        )
)</f>
        <v>0</v>
      </c>
      <c r="O90" s="35">
        <f t="array" ref="O90">SUM(
    IFERROR(
            VLOOKUP($A90, INDIRECT("EneR!$A$6:$ZZ$1048576"), MATCH(O$1, EneR!$6:$6, 0), FALSE),
            0
        ) +
        IFERROR(
            VLOOKUP($A90, INDIRECT("FebR!$A$6:$ZZ$1048576"), MATCH(O$1, FebR!$6:$6, 0), FALSE),
            0
        ) +
        IFERROR(
            VLOOKUP($A90, INDIRECT("MarR!$A$6:$ZZ$1048576"), MATCH(O$1, MarR!$6:$6, 0), FALSE),
            0
        ) +
        IFERROR(
            VLOOKUP($A90, INDIRECT("AbrR!$A$6:$ZZ$1048576"), MATCH(O$1, AbrR!$6:$6, 0), FALSE),
            0
        ) +
        IFERROR(
            VLOOKUP($A90, INDIRECT("MayR!$A$6:$ZZ$1048576"), MATCH(O$1, MayR!$6:$6, 0), FALSE),
            0
        ) +
        IFERROR(
            VLOOKUP($A90, INDIRECT("JunR!$A$6:$ZZ$1048576"), MATCH(O$1, JunR!$6:$6, 0), FALSE),
            0
        ) +
        IFERROR(
            VLOOKUP($A90, INDIRECT("JulR!$A$6:$ZZ$1048576"), MATCH(O$1, JulR!$6:$6, 0), FALSE),
            0
        ) +
        IFERROR(
            VLOOKUP($A90, INDIRECT("AgoR!$A$6:$ZZ$1048576"), MATCH(O$1, AgoR!$6:$6, 0), FALSE),
            0
        ) +
        IFERROR(
            VLOOKUP($A90, INDIRECT("SepR!$A$6:$ZZ$1048576"), MATCH(O$1, SepR!$6:$6, 0), FALSE),
            0
        ) +
        IFERROR(
            VLOOKUP($A90, INDIRECT("OctR!$A$6:$ZZ$1048576"), MATCH(O$1, OctR!$6:$6, 0), FALSE),
            0
        ) +
        IFERROR(
            VLOOKUP($A90, INDIRECT("NovR!$A$6:$ZZ$1048576"), MATCH(O$1, NovR!$6:$6, 0), FALSE),
            0
        ) +
        IFERROR(
            VLOOKUP($A90, INDIRECT("DicR!$A$6:$ZZ$1048576"), MATCH(O$1, DicR!$6:$6, 0), FALSE),
            0
        )
)</f>
        <v>0</v>
      </c>
      <c r="P90" s="32">
        <f t="array" ref="P90">SUM(
    IFERROR(
            VLOOKUP($A90, INDIRECT("EneR!$A$6:$ZZ$1048576"), MATCH(P$1, EneR!$6:$6, 0), FALSE),
            0
        ) +
        IFERROR(
            VLOOKUP($A90, INDIRECT("FebR!$A$6:$ZZ$1048576"), MATCH(P$1, FebR!$6:$6, 0), FALSE),
            0
        ) +
        IFERROR(
            VLOOKUP($A90, INDIRECT("MarR!$A$6:$ZZ$1048576"), MATCH(P$1, MarR!$6:$6, 0), FALSE),
            0
        ) +
        IFERROR(
            VLOOKUP($A90, INDIRECT("AbrR!$A$6:$ZZ$1048576"), MATCH(P$1, AbrR!$6:$6, 0), FALSE),
            0
        ) +
        IFERROR(
            VLOOKUP($A90, INDIRECT("MayR!$A$6:$ZZ$1048576"), MATCH(P$1, MayR!$6:$6, 0), FALSE),
            0
        ) +
        IFERROR(
            VLOOKUP($A90, INDIRECT("JunR!$A$6:$ZZ$1048576"), MATCH(P$1, JunR!$6:$6, 0), FALSE),
            0
        ) +
        IFERROR(
            VLOOKUP($A90, INDIRECT("JulR!$A$6:$ZZ$1048576"), MATCH(P$1, JulR!$6:$6, 0), FALSE),
            0
        ) +
        IFERROR(
            VLOOKUP($A90, INDIRECT("AgoR!$A$6:$ZZ$1048576"), MATCH(P$1, AgoR!$6:$6, 0), FALSE),
            0
        ) +
        IFERROR(
            VLOOKUP($A90, INDIRECT("SepR!$A$6:$ZZ$1048576"), MATCH(P$1, SepR!$6:$6, 0), FALSE),
            0
        ) +
        IFERROR(
            VLOOKUP($A90, INDIRECT("OctR!$A$6:$ZZ$1048576"), MATCH(P$1, OctR!$6:$6, 0), FALSE),
            0
        ) +
        IFERROR(
            VLOOKUP($A90, INDIRECT("NovR!$A$6:$ZZ$1048576"), MATCH(P$1, NovR!$6:$6, 0), FALSE),
            0
        ) +
        IFERROR(
            VLOOKUP($A90, INDIRECT("DicR!$A$6:$ZZ$1048576"), MATCH(P$1, DicR!$6:$6, 0), FALSE),
            0
        )
)</f>
        <v>0</v>
      </c>
      <c r="Q90" s="35">
        <f t="array" ref="Q90">SUM(
    IFERROR(
            VLOOKUP($A90, INDIRECT("EneR!$A$6:$ZZ$1048576"), MATCH(Q$1, EneR!$6:$6, 0), FALSE),
            0
        ) +
        IFERROR(
            VLOOKUP($A90, INDIRECT("FebR!$A$6:$ZZ$1048576"), MATCH(Q$1, FebR!$6:$6, 0), FALSE),
            0
        ) +
        IFERROR(
            VLOOKUP($A90, INDIRECT("MarR!$A$6:$ZZ$1048576"), MATCH(Q$1, MarR!$6:$6, 0), FALSE),
            0
        ) +
        IFERROR(
            VLOOKUP($A90, INDIRECT("AbrR!$A$6:$ZZ$1048576"), MATCH(Q$1, AbrR!$6:$6, 0), FALSE),
            0
        ) +
        IFERROR(
            VLOOKUP($A90, INDIRECT("MayR!$A$6:$ZZ$1048576"), MATCH(Q$1, MayR!$6:$6, 0), FALSE),
            0
        ) +
        IFERROR(
            VLOOKUP($A90, INDIRECT("JunR!$A$6:$ZZ$1048576"), MATCH(Q$1, JunR!$6:$6, 0), FALSE),
            0
        ) +
        IFERROR(
            VLOOKUP($A90, INDIRECT("JulR!$A$6:$ZZ$1048576"), MATCH(Q$1, JulR!$6:$6, 0), FALSE),
            0
        ) +
        IFERROR(
            VLOOKUP($A90, INDIRECT("AgoR!$A$6:$ZZ$1048576"), MATCH(Q$1, AgoR!$6:$6, 0), FALSE),
            0
        ) +
        IFERROR(
            VLOOKUP($A90, INDIRECT("SepR!$A$6:$ZZ$1048576"), MATCH(Q$1, SepR!$6:$6, 0), FALSE),
            0
        ) +
        IFERROR(
            VLOOKUP($A90, INDIRECT("OctR!$A$6:$ZZ$1048576"), MATCH(Q$1, OctR!$6:$6, 0), FALSE),
            0
        ) +
        IFERROR(
            VLOOKUP($A90, INDIRECT("NovR!$A$6:$ZZ$1048576"), MATCH(Q$1, NovR!$6:$6, 0), FALSE),
            0
        ) +
        IFERROR(
            VLOOKUP($A90, INDIRECT("DicR!$A$6:$ZZ$1048576"), MATCH(Q$1, DicR!$6:$6, 0), FALSE),
            0
        )
)</f>
        <v>0</v>
      </c>
      <c r="R90" s="36">
        <f t="array" ref="R90">SUM(
    IFERROR(
            VLOOKUP($A90, INDIRECT("EneR!$A$6:$ZZ$1048576"), MATCH(R$1, EneR!$6:$6, 0), FALSE),
            0
        ) +
        IFERROR(
            VLOOKUP($A90, INDIRECT("FebR!$A$6:$ZZ$1048576"), MATCH(R$1, FebR!$6:$6, 0), FALSE),
            0
        ) +
        IFERROR(
            VLOOKUP($A90, INDIRECT("MarR!$A$6:$ZZ$1048576"), MATCH(R$1, MarR!$6:$6, 0), FALSE),
            0
        ) +
        IFERROR(
            VLOOKUP($A90, INDIRECT("AbrR!$A$6:$ZZ$1048576"), MATCH(R$1, AbrR!$6:$6, 0), FALSE),
            0
        ) +
        IFERROR(
            VLOOKUP($A90, INDIRECT("MayR!$A$6:$ZZ$1048576"), MATCH(R$1, MayR!$6:$6, 0), FALSE),
            0
        ) +
        IFERROR(
            VLOOKUP($A90, INDIRECT("JunR!$A$6:$ZZ$1048576"), MATCH(R$1, JunR!$6:$6, 0), FALSE),
            0
        ) +
        IFERROR(
            VLOOKUP($A90, INDIRECT("JulR!$A$6:$ZZ$1048576"), MATCH(R$1, JulR!$6:$6, 0), FALSE),
            0
        ) +
        IFERROR(
            VLOOKUP($A90, INDIRECT("AgoR!$A$6:$ZZ$1048576"), MATCH(R$1, AgoR!$6:$6, 0), FALSE),
            0
        ) +
        IFERROR(
            VLOOKUP($A90, INDIRECT("SepR!$A$6:$ZZ$1048576"), MATCH(R$1, SepR!$6:$6, 0), FALSE),
            0
        ) +
        IFERROR(
            VLOOKUP($A90, INDIRECT("OctR!$A$6:$ZZ$1048576"), MATCH(R$1, OctR!$6:$6, 0), FALSE),
            0
        ) +
        IFERROR(
            VLOOKUP($A90, INDIRECT("NovR!$A$6:$ZZ$1048576"), MATCH(R$1, NovR!$6:$6, 0), FALSE),
            0
        ) +
        IFERROR(
            VLOOKUP($A90, INDIRECT("DicR!$A$6:$ZZ$1048576"), MATCH(R$1, DicR!$6:$6, 0), FALSE),
            0
        )
)</f>
        <v>0</v>
      </c>
      <c r="S90" s="37">
        <f t="array" ref="S90">SUM(
    IFERROR(
            VLOOKUP($A90, INDIRECT("EneR!$A$6:$ZZ$1048576"), MATCH(S$1, EneR!$6:$6, 0), FALSE),
            0
        ) +
        IFERROR(
            VLOOKUP($A90, INDIRECT("FebR!$A$6:$ZZ$1048576"), MATCH(S$1, FebR!$6:$6, 0), FALSE),
            0
        ) +
        IFERROR(
            VLOOKUP($A90, INDIRECT("MarR!$A$6:$ZZ$1048576"), MATCH(S$1, MarR!$6:$6, 0), FALSE),
            0
        ) +
        IFERROR(
            VLOOKUP($A90, INDIRECT("AbrR!$A$6:$ZZ$1048576"), MATCH(S$1, AbrR!$6:$6, 0), FALSE),
            0
        ) +
        IFERROR(
            VLOOKUP($A90, INDIRECT("MayR!$A$6:$ZZ$1048576"), MATCH(S$1, MayR!$6:$6, 0), FALSE),
            0
        ) +
        IFERROR(
            VLOOKUP($A90, INDIRECT("JunR!$A$6:$ZZ$1048576"), MATCH(S$1, JunR!$6:$6, 0), FALSE),
            0
        ) +
        IFERROR(
            VLOOKUP($A90, INDIRECT("JulR!$A$6:$ZZ$1048576"), MATCH(S$1, JulR!$6:$6, 0), FALSE),
            0
        ) +
        IFERROR(
            VLOOKUP($A90, INDIRECT("AgoR!$A$6:$ZZ$1048576"), MATCH(S$1, AgoR!$6:$6, 0), FALSE),
            0
        ) +
        IFERROR(
            VLOOKUP($A90, INDIRECT("SepR!$A$6:$ZZ$1048576"), MATCH(S$1, SepR!$6:$6, 0), FALSE),
            0
        ) +
        IFERROR(
            VLOOKUP($A90, INDIRECT("OctR!$A$6:$ZZ$1048576"), MATCH(S$1, OctR!$6:$6, 0), FALSE),
            0
        ) +
        IFERROR(
            VLOOKUP($A90, INDIRECT("NovR!$A$6:$ZZ$1048576"), MATCH(S$1, NovR!$6:$6, 0), FALSE),
            0
        ) +
        IFERROR(
            VLOOKUP($A90, INDIRECT("DicR!$A$6:$ZZ$1048576"), MATCH(S$1, DicR!$6:$6, 0), FALSE),
            0
        )
)</f>
        <v>0</v>
      </c>
      <c r="T90" s="36">
        <f t="array" ref="T90">SUM(
    IFERROR(
            VLOOKUP($A90, INDIRECT("EneR!$A$6:$ZZ$1048576"), MATCH(T$1, EneR!$6:$6, 0), FALSE),
            0
        ) +
        IFERROR(
            VLOOKUP($A90, INDIRECT("FebR!$A$6:$ZZ$1048576"), MATCH(T$1, FebR!$6:$6, 0), FALSE),
            0
        ) +
        IFERROR(
            VLOOKUP($A90, INDIRECT("MarR!$A$6:$ZZ$1048576"), MATCH(T$1, MarR!$6:$6, 0), FALSE),
            0
        ) +
        IFERROR(
            VLOOKUP($A90, INDIRECT("AbrR!$A$6:$ZZ$1048576"), MATCH(T$1, AbrR!$6:$6, 0), FALSE),
            0
        ) +
        IFERROR(
            VLOOKUP($A90, INDIRECT("MayR!$A$6:$ZZ$1048576"), MATCH(T$1, MayR!$6:$6, 0), FALSE),
            0
        ) +
        IFERROR(
            VLOOKUP($A90, INDIRECT("JunR!$A$6:$ZZ$1048576"), MATCH(T$1, JunR!$6:$6, 0), FALSE),
            0
        ) +
        IFERROR(
            VLOOKUP($A90, INDIRECT("JulR!$A$6:$ZZ$1048576"), MATCH(T$1, JulR!$6:$6, 0), FALSE),
            0
        ) +
        IFERROR(
            VLOOKUP($A90, INDIRECT("AgoR!$A$6:$ZZ$1048576"), MATCH(T$1, AgoR!$6:$6, 0), FALSE),
            0
        ) +
        IFERROR(
            VLOOKUP($A90, INDIRECT("SepR!$A$6:$ZZ$1048576"), MATCH(T$1, SepR!$6:$6, 0), FALSE),
            0
        ) +
        IFERROR(
            VLOOKUP($A90, INDIRECT("OctR!$A$6:$ZZ$1048576"), MATCH(T$1, OctR!$6:$6, 0), FALSE),
            0
        ) +
        IFERROR(
            VLOOKUP($A90, INDIRECT("NovR!$A$6:$ZZ$1048576"), MATCH(T$1, NovR!$6:$6, 0), FALSE),
            0
        ) +
        IFERROR(
            VLOOKUP($A90, INDIRECT("DicR!$A$6:$ZZ$1048576"), MATCH(T$1, DicR!$6:$6, 0), FALSE),
            0
        )
)</f>
        <v>0</v>
      </c>
      <c r="U90" s="37">
        <f t="array" ref="U90">SUM(
    IFERROR(
            VLOOKUP($A90, INDIRECT("EneR!$A$6:$ZZ$1048576"), MATCH(U$1, EneR!$6:$6, 0), FALSE),
            0
        ) +
        IFERROR(
            VLOOKUP($A90, INDIRECT("FebR!$A$6:$ZZ$1048576"), MATCH(U$1, FebR!$6:$6, 0), FALSE),
            0
        ) +
        IFERROR(
            VLOOKUP($A90, INDIRECT("MarR!$A$6:$ZZ$1048576"), MATCH(U$1, MarR!$6:$6, 0), FALSE),
            0
        ) +
        IFERROR(
            VLOOKUP($A90, INDIRECT("AbrR!$A$6:$ZZ$1048576"), MATCH(U$1, AbrR!$6:$6, 0), FALSE),
            0
        ) +
        IFERROR(
            VLOOKUP($A90, INDIRECT("MayR!$A$6:$ZZ$1048576"), MATCH(U$1, MayR!$6:$6, 0), FALSE),
            0
        ) +
        IFERROR(
            VLOOKUP($A90, INDIRECT("JunR!$A$6:$ZZ$1048576"), MATCH(U$1, JunR!$6:$6, 0), FALSE),
            0
        ) +
        IFERROR(
            VLOOKUP($A90, INDIRECT("JulR!$A$6:$ZZ$1048576"), MATCH(U$1, JulR!$6:$6, 0), FALSE),
            0
        ) +
        IFERROR(
            VLOOKUP($A90, INDIRECT("AgoR!$A$6:$ZZ$1048576"), MATCH(U$1, AgoR!$6:$6, 0), FALSE),
            0
        ) +
        IFERROR(
            VLOOKUP($A90, INDIRECT("SepR!$A$6:$ZZ$1048576"), MATCH(U$1, SepR!$6:$6, 0), FALSE),
            0
        ) +
        IFERROR(
            VLOOKUP($A90, INDIRECT("OctR!$A$6:$ZZ$1048576"), MATCH(U$1, OctR!$6:$6, 0), FALSE),
            0
        ) +
        IFERROR(
            VLOOKUP($A90, INDIRECT("NovR!$A$6:$ZZ$1048576"), MATCH(U$1, NovR!$6:$6, 0), FALSE),
            0
        ) +
        IFERROR(
            VLOOKUP($A90, INDIRECT("DicR!$A$6:$ZZ$1048576"), MATCH(U$1, DicR!$6:$6, 0), FALSE),
            0
        )
)</f>
        <v>0</v>
      </c>
      <c r="V90" s="36">
        <f t="array" ref="V90">SUM(
    IFERROR(
            VLOOKUP($A90, INDIRECT("EneR!$A$6:$ZZ$1048576"), MATCH(V$1, EneR!$6:$6, 0), FALSE),
            0
        ) +
        IFERROR(
            VLOOKUP($A90, INDIRECT("FebR!$A$6:$ZZ$1048576"), MATCH(V$1, FebR!$6:$6, 0), FALSE),
            0
        ) +
        IFERROR(
            VLOOKUP($A90, INDIRECT("MarR!$A$6:$ZZ$1048576"), MATCH(V$1, MarR!$6:$6, 0), FALSE),
            0
        ) +
        IFERROR(
            VLOOKUP($A90, INDIRECT("AbrR!$A$6:$ZZ$1048576"), MATCH(V$1, AbrR!$6:$6, 0), FALSE),
            0
        ) +
        IFERROR(
            VLOOKUP($A90, INDIRECT("MayR!$A$6:$ZZ$1048576"), MATCH(V$1, MayR!$6:$6, 0), FALSE),
            0
        ) +
        IFERROR(
            VLOOKUP($A90, INDIRECT("JunR!$A$6:$ZZ$1048576"), MATCH(V$1, JunR!$6:$6, 0), FALSE),
            0
        ) +
        IFERROR(
            VLOOKUP($A90, INDIRECT("JulR!$A$6:$ZZ$1048576"), MATCH(V$1, JulR!$6:$6, 0), FALSE),
            0
        ) +
        IFERROR(
            VLOOKUP($A90, INDIRECT("AgoR!$A$6:$ZZ$1048576"), MATCH(V$1, AgoR!$6:$6, 0), FALSE),
            0
        ) +
        IFERROR(
            VLOOKUP($A90, INDIRECT("SepR!$A$6:$ZZ$1048576"), MATCH(V$1, SepR!$6:$6, 0), FALSE),
            0
        ) +
        IFERROR(
            VLOOKUP($A90, INDIRECT("OctR!$A$6:$ZZ$1048576"), MATCH(V$1, OctR!$6:$6, 0), FALSE),
            0
        ) +
        IFERROR(
            VLOOKUP($A90, INDIRECT("NovR!$A$6:$ZZ$1048576"), MATCH(V$1, NovR!$6:$6, 0), FALSE),
            0
        ) +
        IFERROR(
            VLOOKUP($A90, INDIRECT("DicR!$A$6:$ZZ$1048576"), MATCH(V$1, DicR!$6:$6, 0), FALSE),
            0
        )
)</f>
        <v>0</v>
      </c>
      <c r="W90" s="37">
        <f t="array" ref="W90">SUM(
    IFERROR(
            VLOOKUP($A90, INDIRECT("EneR!$A$6:$ZZ$1048576"), MATCH(W$1, EneR!$6:$6, 0), FALSE),
            0
        ) +
        IFERROR(
            VLOOKUP($A90, INDIRECT("FebR!$A$6:$ZZ$1048576"), MATCH(W$1, FebR!$6:$6, 0), FALSE),
            0
        ) +
        IFERROR(
            VLOOKUP($A90, INDIRECT("MarR!$A$6:$ZZ$1048576"), MATCH(W$1, MarR!$6:$6, 0), FALSE),
            0
        ) +
        IFERROR(
            VLOOKUP($A90, INDIRECT("AbrR!$A$6:$ZZ$1048576"), MATCH(W$1, AbrR!$6:$6, 0), FALSE),
            0
        ) +
        IFERROR(
            VLOOKUP($A90, INDIRECT("MayR!$A$6:$ZZ$1048576"), MATCH(W$1, MayR!$6:$6, 0), FALSE),
            0
        ) +
        IFERROR(
            VLOOKUP($A90, INDIRECT("JunR!$A$6:$ZZ$1048576"), MATCH(W$1, JunR!$6:$6, 0), FALSE),
            0
        ) +
        IFERROR(
            VLOOKUP($A90, INDIRECT("JulR!$A$6:$ZZ$1048576"), MATCH(W$1, JulR!$6:$6, 0), FALSE),
            0
        ) +
        IFERROR(
            VLOOKUP($A90, INDIRECT("AgoR!$A$6:$ZZ$1048576"), MATCH(W$1, AgoR!$6:$6, 0), FALSE),
            0
        ) +
        IFERROR(
            VLOOKUP($A90, INDIRECT("SepR!$A$6:$ZZ$1048576"), MATCH(W$1, SepR!$6:$6, 0), FALSE),
            0
        ) +
        IFERROR(
            VLOOKUP($A90, INDIRECT("OctR!$A$6:$ZZ$1048576"), MATCH(W$1, OctR!$6:$6, 0), FALSE),
            0
        ) +
        IFERROR(
            VLOOKUP($A90, INDIRECT("NovR!$A$6:$ZZ$1048576"), MATCH(W$1, NovR!$6:$6, 0), FALSE),
            0
        ) +
        IFERROR(
            VLOOKUP($A90, INDIRECT("DicR!$A$6:$ZZ$1048576"), MATCH(W$1, DicR!$6:$6, 0), FALSE),
            0
        )
)</f>
        <v>0</v>
      </c>
      <c r="X90" s="36">
        <f t="array" ref="X90">SUM(
    IFERROR(
            VLOOKUP($A90, INDIRECT("EneR!$A$6:$ZZ$1048576"), MATCH(X$1, EneR!$6:$6, 0), FALSE),
            0
        ) +
        IFERROR(
            VLOOKUP($A90, INDIRECT("FebR!$A$6:$ZZ$1048576"), MATCH(X$1, FebR!$6:$6, 0), FALSE),
            0
        ) +
        IFERROR(
            VLOOKUP($A90, INDIRECT("MarR!$A$6:$ZZ$1048576"), MATCH(X$1, MarR!$6:$6, 0), FALSE),
            0
        ) +
        IFERROR(
            VLOOKUP($A90, INDIRECT("AbrR!$A$6:$ZZ$1048576"), MATCH(X$1, AbrR!$6:$6, 0), FALSE),
            0
        ) +
        IFERROR(
            VLOOKUP($A90, INDIRECT("MayR!$A$6:$ZZ$1048576"), MATCH(X$1, MayR!$6:$6, 0), FALSE),
            0
        ) +
        IFERROR(
            VLOOKUP($A90, INDIRECT("JunR!$A$6:$ZZ$1048576"), MATCH(X$1, JunR!$6:$6, 0), FALSE),
            0
        ) +
        IFERROR(
            VLOOKUP($A90, INDIRECT("JulR!$A$6:$ZZ$1048576"), MATCH(X$1, JulR!$6:$6, 0), FALSE),
            0
        ) +
        IFERROR(
            VLOOKUP($A90, INDIRECT("AgoR!$A$6:$ZZ$1048576"), MATCH(X$1, AgoR!$6:$6, 0), FALSE),
            0
        ) +
        IFERROR(
            VLOOKUP($A90, INDIRECT("SepR!$A$6:$ZZ$1048576"), MATCH(X$1, SepR!$6:$6, 0), FALSE),
            0
        ) +
        IFERROR(
            VLOOKUP($A90, INDIRECT("OctR!$A$6:$ZZ$1048576"), MATCH(X$1, OctR!$6:$6, 0), FALSE),
            0
        ) +
        IFERROR(
            VLOOKUP($A90, INDIRECT("NovR!$A$6:$ZZ$1048576"), MATCH(X$1, NovR!$6:$6, 0), FALSE),
            0
        ) +
        IFERROR(
            VLOOKUP($A90, INDIRECT("DicR!$A$6:$ZZ$1048576"), MATCH(X$1, DicR!$6:$6, 0), FALSE),
            0
        )
)</f>
        <v>0</v>
      </c>
      <c r="Y90" s="37">
        <f t="array" ref="Y90">SUM(
    IFERROR(
            VLOOKUP($A90, INDIRECT("EneR!$A$6:$ZZ$1048576"), MATCH(Y$1, EneR!$6:$6, 0), FALSE),
            0
        ) +
        IFERROR(
            VLOOKUP($A90, INDIRECT("FebR!$A$6:$ZZ$1048576"), MATCH(Y$1, FebR!$6:$6, 0), FALSE),
            0
        ) +
        IFERROR(
            VLOOKUP($A90, INDIRECT("MarR!$A$6:$ZZ$1048576"), MATCH(Y$1, MarR!$6:$6, 0), FALSE),
            0
        ) +
        IFERROR(
            VLOOKUP($A90, INDIRECT("AbrR!$A$6:$ZZ$1048576"), MATCH(Y$1, AbrR!$6:$6, 0), FALSE),
            0
        ) +
        IFERROR(
            VLOOKUP($A90, INDIRECT("MayR!$A$6:$ZZ$1048576"), MATCH(Y$1, MayR!$6:$6, 0), FALSE),
            0
        ) +
        IFERROR(
            VLOOKUP($A90, INDIRECT("JunR!$A$6:$ZZ$1048576"), MATCH(Y$1, JunR!$6:$6, 0), FALSE),
            0
        ) +
        IFERROR(
            VLOOKUP($A90, INDIRECT("JulR!$A$6:$ZZ$1048576"), MATCH(Y$1, JulR!$6:$6, 0), FALSE),
            0
        ) +
        IFERROR(
            VLOOKUP($A90, INDIRECT("AgoR!$A$6:$ZZ$1048576"), MATCH(Y$1, AgoR!$6:$6, 0), FALSE),
            0
        ) +
        IFERROR(
            VLOOKUP($A90, INDIRECT("SepR!$A$6:$ZZ$1048576"), MATCH(Y$1, SepR!$6:$6, 0), FALSE),
            0
        ) +
        IFERROR(
            VLOOKUP($A90, INDIRECT("OctR!$A$6:$ZZ$1048576"), MATCH(Y$1, OctR!$6:$6, 0), FALSE),
            0
        ) +
        IFERROR(
            VLOOKUP($A90, INDIRECT("NovR!$A$6:$ZZ$1048576"), MATCH(Y$1, NovR!$6:$6, 0), FALSE),
            0
        ) +
        IFERROR(
            VLOOKUP($A90, INDIRECT("DicR!$A$6:$ZZ$1048576"), MATCH(Y$1, DicR!$6:$6, 0), FALSE),
            0
        )
)</f>
        <v>0</v>
      </c>
      <c r="Z90" s="36">
        <f t="array" ref="Z90">SUM(
    IFERROR(
            VLOOKUP($A90, INDIRECT("EneR!$A$6:$ZZ$1048576"), MATCH(Z$1, EneR!$6:$6, 0), FALSE),
            0
        ) +
        IFERROR(
            VLOOKUP($A90, INDIRECT("FebR!$A$6:$ZZ$1048576"), MATCH(Z$1, FebR!$6:$6, 0), FALSE),
            0
        ) +
        IFERROR(
            VLOOKUP($A90, INDIRECT("MarR!$A$6:$ZZ$1048576"), MATCH(Z$1, MarR!$6:$6, 0), FALSE),
            0
        ) +
        IFERROR(
            VLOOKUP($A90, INDIRECT("AbrR!$A$6:$ZZ$1048576"), MATCH(Z$1, AbrR!$6:$6, 0), FALSE),
            0
        ) +
        IFERROR(
            VLOOKUP($A90, INDIRECT("MayR!$A$6:$ZZ$1048576"), MATCH(Z$1, MayR!$6:$6, 0), FALSE),
            0
        ) +
        IFERROR(
            VLOOKUP($A90, INDIRECT("JunR!$A$6:$ZZ$1048576"), MATCH(Z$1, JunR!$6:$6, 0), FALSE),
            0
        ) +
        IFERROR(
            VLOOKUP($A90, INDIRECT("JulR!$A$6:$ZZ$1048576"), MATCH(Z$1, JulR!$6:$6, 0), FALSE),
            0
        ) +
        IFERROR(
            VLOOKUP($A90, INDIRECT("AgoR!$A$6:$ZZ$1048576"), MATCH(Z$1, AgoR!$6:$6, 0), FALSE),
            0
        ) +
        IFERROR(
            VLOOKUP($A90, INDIRECT("SepR!$A$6:$ZZ$1048576"), MATCH(Z$1, SepR!$6:$6, 0), FALSE),
            0
        ) +
        IFERROR(
            VLOOKUP($A90, INDIRECT("OctR!$A$6:$ZZ$1048576"), MATCH(Z$1, OctR!$6:$6, 0), FALSE),
            0
        ) +
        IFERROR(
            VLOOKUP($A90, INDIRECT("NovR!$A$6:$ZZ$1048576"), MATCH(Z$1, NovR!$6:$6, 0), FALSE),
            0
        ) +
        IFERROR(
            VLOOKUP($A90, INDIRECT("DicR!$A$6:$ZZ$1048576"), MATCH(Z$1, DicR!$6:$6, 0), FALSE),
            0
        )
)</f>
        <v>0</v>
      </c>
      <c r="AA90" s="37">
        <f t="array" ref="AA90">SUM(
    IFERROR(
            VLOOKUP($A90, INDIRECT("EneR!$A$6:$ZZ$1048576"), MATCH(AA$1, EneR!$6:$6, 0), FALSE),
            0
        ) +
        IFERROR(
            VLOOKUP($A90, INDIRECT("FebR!$A$6:$ZZ$1048576"), MATCH(AA$1, FebR!$6:$6, 0), FALSE),
            0
        ) +
        IFERROR(
            VLOOKUP($A90, INDIRECT("MarR!$A$6:$ZZ$1048576"), MATCH(AA$1, MarR!$6:$6, 0), FALSE),
            0
        ) +
        IFERROR(
            VLOOKUP($A90, INDIRECT("AbrR!$A$6:$ZZ$1048576"), MATCH(AA$1, AbrR!$6:$6, 0), FALSE),
            0
        ) +
        IFERROR(
            VLOOKUP($A90, INDIRECT("MayR!$A$6:$ZZ$1048576"), MATCH(AA$1, MayR!$6:$6, 0), FALSE),
            0
        ) +
        IFERROR(
            VLOOKUP($A90, INDIRECT("JunR!$A$6:$ZZ$1048576"), MATCH(AA$1, JunR!$6:$6, 0), FALSE),
            0
        ) +
        IFERROR(
            VLOOKUP($A90, INDIRECT("JulR!$A$6:$ZZ$1048576"), MATCH(AA$1, JulR!$6:$6, 0), FALSE),
            0
        ) +
        IFERROR(
            VLOOKUP($A90, INDIRECT("AgoR!$A$6:$ZZ$1048576"), MATCH(AA$1, AgoR!$6:$6, 0), FALSE),
            0
        ) +
        IFERROR(
            VLOOKUP($A90, INDIRECT("SepR!$A$6:$ZZ$1048576"), MATCH(AA$1, SepR!$6:$6, 0), FALSE),
            0
        ) +
        IFERROR(
            VLOOKUP($A90, INDIRECT("OctR!$A$6:$ZZ$1048576"), MATCH(AA$1, OctR!$6:$6, 0), FALSE),
            0
        ) +
        IFERROR(
            VLOOKUP($A90, INDIRECT("NovR!$A$6:$ZZ$1048576"), MATCH(AA$1, NovR!$6:$6, 0), FALSE),
            0
        ) +
        IFERROR(
            VLOOKUP($A90, INDIRECT("DicR!$A$6:$ZZ$1048576"), MATCH(AA$1, DicR!$6:$6, 0), FALSE),
            0
        )
)</f>
        <v>0</v>
      </c>
      <c r="AB90" s="36">
        <f t="array" ref="AB90">SUM(
    IFERROR(
            VLOOKUP($A90, INDIRECT("EneR!$A$6:$ZZ$1048576"), MATCH(AB$1, EneR!$6:$6, 0), FALSE),
            0
        ) +
        IFERROR(
            VLOOKUP($A90, INDIRECT("FebR!$A$6:$ZZ$1048576"), MATCH(AB$1, FebR!$6:$6, 0), FALSE),
            0
        ) +
        IFERROR(
            VLOOKUP($A90, INDIRECT("MarR!$A$6:$ZZ$1048576"), MATCH(AB$1, MarR!$6:$6, 0), FALSE),
            0
        ) +
        IFERROR(
            VLOOKUP($A90, INDIRECT("AbrR!$A$6:$ZZ$1048576"), MATCH(AB$1, AbrR!$6:$6, 0), FALSE),
            0
        ) +
        IFERROR(
            VLOOKUP($A90, INDIRECT("MayR!$A$6:$ZZ$1048576"), MATCH(AB$1, MayR!$6:$6, 0), FALSE),
            0
        ) +
        IFERROR(
            VLOOKUP($A90, INDIRECT("JunR!$A$6:$ZZ$1048576"), MATCH(AB$1, JunR!$6:$6, 0), FALSE),
            0
        ) +
        IFERROR(
            VLOOKUP($A90, INDIRECT("JulR!$A$6:$ZZ$1048576"), MATCH(AB$1, JulR!$6:$6, 0), FALSE),
            0
        ) +
        IFERROR(
            VLOOKUP($A90, INDIRECT("AgoR!$A$6:$ZZ$1048576"), MATCH(AB$1, AgoR!$6:$6, 0), FALSE),
            0
        ) +
        IFERROR(
            VLOOKUP($A90, INDIRECT("SepR!$A$6:$ZZ$1048576"), MATCH(AB$1, SepR!$6:$6, 0), FALSE),
            0
        ) +
        IFERROR(
            VLOOKUP($A90, INDIRECT("OctR!$A$6:$ZZ$1048576"), MATCH(AB$1, OctR!$6:$6, 0), FALSE),
            0
        ) +
        IFERROR(
            VLOOKUP($A90, INDIRECT("NovR!$A$6:$ZZ$1048576"), MATCH(AB$1, NovR!$6:$6, 0), FALSE),
            0
        ) +
        IFERROR(
            VLOOKUP($A90, INDIRECT("DicR!$A$6:$ZZ$1048576"), MATCH(AB$1, DicR!$6:$6, 0), FALSE),
            0
        )
)</f>
        <v>0</v>
      </c>
      <c r="AC90" s="37">
        <f t="array" ref="AC90">SUM(
    IFERROR(
            VLOOKUP($A90, INDIRECT("EneR!$A$6:$ZZ$1048576"), MATCH(AC$1, EneR!$6:$6, 0), FALSE),
            0
        ) +
        IFERROR(
            VLOOKUP($A90, INDIRECT("FebR!$A$6:$ZZ$1048576"), MATCH(AC$1, FebR!$6:$6, 0), FALSE),
            0
        ) +
        IFERROR(
            VLOOKUP($A90, INDIRECT("MarR!$A$6:$ZZ$1048576"), MATCH(AC$1, MarR!$6:$6, 0), FALSE),
            0
        ) +
        IFERROR(
            VLOOKUP($A90, INDIRECT("AbrR!$A$6:$ZZ$1048576"), MATCH(AC$1, AbrR!$6:$6, 0), FALSE),
            0
        ) +
        IFERROR(
            VLOOKUP($A90, INDIRECT("MayR!$A$6:$ZZ$1048576"), MATCH(AC$1, MayR!$6:$6, 0), FALSE),
            0
        ) +
        IFERROR(
            VLOOKUP($A90, INDIRECT("JunR!$A$6:$ZZ$1048576"), MATCH(AC$1, JunR!$6:$6, 0), FALSE),
            0
        ) +
        IFERROR(
            VLOOKUP($A90, INDIRECT("JulR!$A$6:$ZZ$1048576"), MATCH(AC$1, JulR!$6:$6, 0), FALSE),
            0
        ) +
        IFERROR(
            VLOOKUP($A90, INDIRECT("AgoR!$A$6:$ZZ$1048576"), MATCH(AC$1, AgoR!$6:$6, 0), FALSE),
            0
        ) +
        IFERROR(
            VLOOKUP($A90, INDIRECT("SepR!$A$6:$ZZ$1048576"), MATCH(AC$1, SepR!$6:$6, 0), FALSE),
            0
        ) +
        IFERROR(
            VLOOKUP($A90, INDIRECT("OctR!$A$6:$ZZ$1048576"), MATCH(AC$1, OctR!$6:$6, 0), FALSE),
            0
        ) +
        IFERROR(
            VLOOKUP($A90, INDIRECT("NovR!$A$6:$ZZ$1048576"), MATCH(AC$1, NovR!$6:$6, 0), FALSE),
            0
        ) +
        IFERROR(
            VLOOKUP($A90, INDIRECT("DicR!$A$6:$ZZ$1048576"), MATCH(AC$1, DicR!$6:$6, 0), FALSE),
            0
        )
)</f>
        <v>0</v>
      </c>
      <c r="AD90" s="36">
        <f t="array" ref="AD90">SUM(
    IFERROR(
            VLOOKUP($A90, INDIRECT("EneR!$A$6:$ZZ$1048576"), MATCH(AD$1, EneR!$6:$6, 0), FALSE),
            0
        ) +
        IFERROR(
            VLOOKUP($A90, INDIRECT("FebR!$A$6:$ZZ$1048576"), MATCH(AD$1, FebR!$6:$6, 0), FALSE),
            0
        ) +
        IFERROR(
            VLOOKUP($A90, INDIRECT("MarR!$A$6:$ZZ$1048576"), MATCH(AD$1, MarR!$6:$6, 0), FALSE),
            0
        ) +
        IFERROR(
            VLOOKUP($A90, INDIRECT("AbrR!$A$6:$ZZ$1048576"), MATCH(AD$1, AbrR!$6:$6, 0), FALSE),
            0
        ) +
        IFERROR(
            VLOOKUP($A90, INDIRECT("MayR!$A$6:$ZZ$1048576"), MATCH(AD$1, MayR!$6:$6, 0), FALSE),
            0
        ) +
        IFERROR(
            VLOOKUP($A90, INDIRECT("JunR!$A$6:$ZZ$1048576"), MATCH(AD$1, JunR!$6:$6, 0), FALSE),
            0
        ) +
        IFERROR(
            VLOOKUP($A90, INDIRECT("JulR!$A$6:$ZZ$1048576"), MATCH(AD$1, JulR!$6:$6, 0), FALSE),
            0
        ) +
        IFERROR(
            VLOOKUP($A90, INDIRECT("AgoR!$A$6:$ZZ$1048576"), MATCH(AD$1, AgoR!$6:$6, 0), FALSE),
            0
        ) +
        IFERROR(
            VLOOKUP($A90, INDIRECT("SepR!$A$6:$ZZ$1048576"), MATCH(AD$1, SepR!$6:$6, 0), FALSE),
            0
        ) +
        IFERROR(
            VLOOKUP($A90, INDIRECT("OctR!$A$6:$ZZ$1048576"), MATCH(AD$1, OctR!$6:$6, 0), FALSE),
            0
        ) +
        IFERROR(
            VLOOKUP($A90, INDIRECT("NovR!$A$6:$ZZ$1048576"), MATCH(AD$1, NovR!$6:$6, 0), FALSE),
            0
        ) +
        IFERROR(
            VLOOKUP($A90, INDIRECT("DicR!$A$6:$ZZ$1048576"), MATCH(AD$1, DicR!$6:$6, 0), FALSE),
            0
        )
)</f>
        <v>0</v>
      </c>
      <c r="AE90" s="37">
        <f t="array" ref="AE90">SUM(
    IFERROR(
            VLOOKUP($A90, INDIRECT("EneR!$A$6:$ZZ$1048576"), MATCH(AE$1, EneR!$6:$6, 0), FALSE),
            0
        ) +
        IFERROR(
            VLOOKUP($A90, INDIRECT("FebR!$A$6:$ZZ$1048576"), MATCH(AE$1, FebR!$6:$6, 0), FALSE),
            0
        ) +
        IFERROR(
            VLOOKUP($A90, INDIRECT("MarR!$A$6:$ZZ$1048576"), MATCH(AE$1, MarR!$6:$6, 0), FALSE),
            0
        ) +
        IFERROR(
            VLOOKUP($A90, INDIRECT("AbrR!$A$6:$ZZ$1048576"), MATCH(AE$1, AbrR!$6:$6, 0), FALSE),
            0
        ) +
        IFERROR(
            VLOOKUP($A90, INDIRECT("MayR!$A$6:$ZZ$1048576"), MATCH(AE$1, MayR!$6:$6, 0), FALSE),
            0
        ) +
        IFERROR(
            VLOOKUP($A90, INDIRECT("JunR!$A$6:$ZZ$1048576"), MATCH(AE$1, JunR!$6:$6, 0), FALSE),
            0
        ) +
        IFERROR(
            VLOOKUP($A90, INDIRECT("JulR!$A$6:$ZZ$1048576"), MATCH(AE$1, JulR!$6:$6, 0), FALSE),
            0
        ) +
        IFERROR(
            VLOOKUP($A90, INDIRECT("AgoR!$A$6:$ZZ$1048576"), MATCH(AE$1, AgoR!$6:$6, 0), FALSE),
            0
        ) +
        IFERROR(
            VLOOKUP($A90, INDIRECT("SepR!$A$6:$ZZ$1048576"), MATCH(AE$1, SepR!$6:$6, 0), FALSE),
            0
        ) +
        IFERROR(
            VLOOKUP($A90, INDIRECT("OctR!$A$6:$ZZ$1048576"), MATCH(AE$1, OctR!$6:$6, 0), FALSE),
            0
        ) +
        IFERROR(
            VLOOKUP($A90, INDIRECT("NovR!$A$6:$ZZ$1048576"), MATCH(AE$1, NovR!$6:$6, 0), FALSE),
            0
        ) +
        IFERROR(
            VLOOKUP($A90, INDIRECT("DicR!$A$6:$ZZ$1048576"), MATCH(AE$1, DicR!$6:$6, 0), FALSE),
            0
        )
)</f>
        <v>0</v>
      </c>
      <c r="AF90" s="36">
        <f t="array" ref="AF90">SUM(
    IFERROR(
            VLOOKUP($A90, INDIRECT("EneR!$A$6:$ZZ$1048576"), MATCH(AF$1, EneR!$6:$6, 0), FALSE),
            0
        ) +
        IFERROR(
            VLOOKUP($A90, INDIRECT("FebR!$A$6:$ZZ$1048576"), MATCH(AF$1, FebR!$6:$6, 0), FALSE),
            0
        ) +
        IFERROR(
            VLOOKUP($A90, INDIRECT("MarR!$A$6:$ZZ$1048576"), MATCH(AF$1, MarR!$6:$6, 0), FALSE),
            0
        ) +
        IFERROR(
            VLOOKUP($A90, INDIRECT("AbrR!$A$6:$ZZ$1048576"), MATCH(AF$1, AbrR!$6:$6, 0), FALSE),
            0
        ) +
        IFERROR(
            VLOOKUP($A90, INDIRECT("MayR!$A$6:$ZZ$1048576"), MATCH(AF$1, MayR!$6:$6, 0), FALSE),
            0
        ) +
        IFERROR(
            VLOOKUP($A90, INDIRECT("JunR!$A$6:$ZZ$1048576"), MATCH(AF$1, JunR!$6:$6, 0), FALSE),
            0
        ) +
        IFERROR(
            VLOOKUP($A90, INDIRECT("JulR!$A$6:$ZZ$1048576"), MATCH(AF$1, JulR!$6:$6, 0), FALSE),
            0
        ) +
        IFERROR(
            VLOOKUP($A90, INDIRECT("AgoR!$A$6:$ZZ$1048576"), MATCH(AF$1, AgoR!$6:$6, 0), FALSE),
            0
        ) +
        IFERROR(
            VLOOKUP($A90, INDIRECT("SepR!$A$6:$ZZ$1048576"), MATCH(AF$1, SepR!$6:$6, 0), FALSE),
            0
        ) +
        IFERROR(
            VLOOKUP($A90, INDIRECT("OctR!$A$6:$ZZ$1048576"), MATCH(AF$1, OctR!$6:$6, 0), FALSE),
            0
        ) +
        IFERROR(
            VLOOKUP($A90, INDIRECT("NovR!$A$6:$ZZ$1048576"), MATCH(AF$1, NovR!$6:$6, 0), FALSE),
            0
        ) +
        IFERROR(
            VLOOKUP($A90, INDIRECT("DicR!$A$6:$ZZ$1048576"), MATCH(AF$1, DicR!$6:$6, 0), FALSE),
            0
        )
)</f>
        <v>0</v>
      </c>
      <c r="AG90" s="37">
        <f t="array" ref="AG90">SUM(
    IFERROR(
            VLOOKUP($A90, INDIRECT("EneR!$A$6:$ZZ$1048576"), MATCH(AG$1, EneR!$6:$6, 0), FALSE),
            0
        ) +
        IFERROR(
            VLOOKUP($A90, INDIRECT("FebR!$A$6:$ZZ$1048576"), MATCH(AG$1, FebR!$6:$6, 0), FALSE),
            0
        ) +
        IFERROR(
            VLOOKUP($A90, INDIRECT("MarR!$A$6:$ZZ$1048576"), MATCH(AG$1, MarR!$6:$6, 0), FALSE),
            0
        ) +
        IFERROR(
            VLOOKUP($A90, INDIRECT("AbrR!$A$6:$ZZ$1048576"), MATCH(AG$1, AbrR!$6:$6, 0), FALSE),
            0
        ) +
        IFERROR(
            VLOOKUP($A90, INDIRECT("MayR!$A$6:$ZZ$1048576"), MATCH(AG$1, MayR!$6:$6, 0), FALSE),
            0
        ) +
        IFERROR(
            VLOOKUP($A90, INDIRECT("JunR!$A$6:$ZZ$1048576"), MATCH(AG$1, JunR!$6:$6, 0), FALSE),
            0
        ) +
        IFERROR(
            VLOOKUP($A90, INDIRECT("JulR!$A$6:$ZZ$1048576"), MATCH(AG$1, JulR!$6:$6, 0), FALSE),
            0
        ) +
        IFERROR(
            VLOOKUP($A90, INDIRECT("AgoR!$A$6:$ZZ$1048576"), MATCH(AG$1, AgoR!$6:$6, 0), FALSE),
            0
        ) +
        IFERROR(
            VLOOKUP($A90, INDIRECT("SepR!$A$6:$ZZ$1048576"), MATCH(AG$1, SepR!$6:$6, 0), FALSE),
            0
        ) +
        IFERROR(
            VLOOKUP($A90, INDIRECT("OctR!$A$6:$ZZ$1048576"), MATCH(AG$1, OctR!$6:$6, 0), FALSE),
            0
        ) +
        IFERROR(
            VLOOKUP($A90, INDIRECT("NovR!$A$6:$ZZ$1048576"), MATCH(AG$1, NovR!$6:$6, 0), FALSE),
            0
        ) +
        IFERROR(
            VLOOKUP($A90, INDIRECT("DicR!$A$6:$ZZ$1048576"), MATCH(AG$1, DicR!$6:$6, 0), FALSE),
            0
        )
)</f>
        <v>0</v>
      </c>
      <c r="AH90" s="36">
        <f t="array" ref="AH90">SUM(
    IFERROR(
            VLOOKUP($A90, INDIRECT("EneR!$A$6:$ZZ$1048576"), MATCH(AH$1, EneR!$6:$6, 0), FALSE),
            0
        ) +
        IFERROR(
            VLOOKUP($A90, INDIRECT("FebR!$A$6:$ZZ$1048576"), MATCH(AH$1, FebR!$6:$6, 0), FALSE),
            0
        ) +
        IFERROR(
            VLOOKUP($A90, INDIRECT("MarR!$A$6:$ZZ$1048576"), MATCH(AH$1, MarR!$6:$6, 0), FALSE),
            0
        ) +
        IFERROR(
            VLOOKUP($A90, INDIRECT("AbrR!$A$6:$ZZ$1048576"), MATCH(AH$1, AbrR!$6:$6, 0), FALSE),
            0
        ) +
        IFERROR(
            VLOOKUP($A90, INDIRECT("MayR!$A$6:$ZZ$1048576"), MATCH(AH$1, MayR!$6:$6, 0), FALSE),
            0
        ) +
        IFERROR(
            VLOOKUP($A90, INDIRECT("JunR!$A$6:$ZZ$1048576"), MATCH(AH$1, JunR!$6:$6, 0), FALSE),
            0
        ) +
        IFERROR(
            VLOOKUP($A90, INDIRECT("JulR!$A$6:$ZZ$1048576"), MATCH(AH$1, JulR!$6:$6, 0), FALSE),
            0
        ) +
        IFERROR(
            VLOOKUP($A90, INDIRECT("AgoR!$A$6:$ZZ$1048576"), MATCH(AH$1, AgoR!$6:$6, 0), FALSE),
            0
        ) +
        IFERROR(
            VLOOKUP($A90, INDIRECT("SepR!$A$6:$ZZ$1048576"), MATCH(AH$1, SepR!$6:$6, 0), FALSE),
            0
        ) +
        IFERROR(
            VLOOKUP($A90, INDIRECT("OctR!$A$6:$ZZ$1048576"), MATCH(AH$1, OctR!$6:$6, 0), FALSE),
            0
        ) +
        IFERROR(
            VLOOKUP($A90, INDIRECT("NovR!$A$6:$ZZ$1048576"), MATCH(AH$1, NovR!$6:$6, 0), FALSE),
            0
        ) +
        IFERROR(
            VLOOKUP($A90, INDIRECT("DicR!$A$6:$ZZ$1048576"), MATCH(AH$1, DicR!$6:$6, 0), FALSE),
            0
        )
)</f>
        <v>0</v>
      </c>
      <c r="AI90" s="37">
        <f t="array" ref="AI90">SUM(
    IFERROR(
            VLOOKUP($A90, INDIRECT("EneR!$A$6:$ZZ$1048576"), MATCH(AI$1, EneR!$6:$6, 0), FALSE),
            0
        ) +
        IFERROR(
            VLOOKUP($A90, INDIRECT("FebR!$A$6:$ZZ$1048576"), MATCH(AI$1, FebR!$6:$6, 0), FALSE),
            0
        ) +
        IFERROR(
            VLOOKUP($A90, INDIRECT("MarR!$A$6:$ZZ$1048576"), MATCH(AI$1, MarR!$6:$6, 0), FALSE),
            0
        ) +
        IFERROR(
            VLOOKUP($A90, INDIRECT("AbrR!$A$6:$ZZ$1048576"), MATCH(AI$1, AbrR!$6:$6, 0), FALSE),
            0
        ) +
        IFERROR(
            VLOOKUP($A90, INDIRECT("MayR!$A$6:$ZZ$1048576"), MATCH(AI$1, MayR!$6:$6, 0), FALSE),
            0
        ) +
        IFERROR(
            VLOOKUP($A90, INDIRECT("JunR!$A$6:$ZZ$1048576"), MATCH(AI$1, JunR!$6:$6, 0), FALSE),
            0
        ) +
        IFERROR(
            VLOOKUP($A90, INDIRECT("JulR!$A$6:$ZZ$1048576"), MATCH(AI$1, JulR!$6:$6, 0), FALSE),
            0
        ) +
        IFERROR(
            VLOOKUP($A90, INDIRECT("AgoR!$A$6:$ZZ$1048576"), MATCH(AI$1, AgoR!$6:$6, 0), FALSE),
            0
        ) +
        IFERROR(
            VLOOKUP($A90, INDIRECT("SepR!$A$6:$ZZ$1048576"), MATCH(AI$1, SepR!$6:$6, 0), FALSE),
            0
        ) +
        IFERROR(
            VLOOKUP($A90, INDIRECT("OctR!$A$6:$ZZ$1048576"), MATCH(AI$1, OctR!$6:$6, 0), FALSE),
            0
        ) +
        IFERROR(
            VLOOKUP($A90, INDIRECT("NovR!$A$6:$ZZ$1048576"), MATCH(AI$1, NovR!$6:$6, 0), FALSE),
            0
        ) +
        IFERROR(
            VLOOKUP($A90, INDIRECT("DicR!$A$6:$ZZ$1048576"), MATCH(AI$1, DicR!$6:$6, 0), FALSE),
            0
        )
)</f>
        <v>0</v>
      </c>
      <c r="AJ90" s="36">
        <f t="array" ref="AJ90">SUM(
    IFERROR(
            VLOOKUP($A90, INDIRECT("EneR!$A$6:$ZZ$1048576"), MATCH(AJ$1, EneR!$6:$6, 0), FALSE),
            0
        ) +
        IFERROR(
            VLOOKUP($A90, INDIRECT("FebR!$A$6:$ZZ$1048576"), MATCH(AJ$1, FebR!$6:$6, 0), FALSE),
            0
        ) +
        IFERROR(
            VLOOKUP($A90, INDIRECT("MarR!$A$6:$ZZ$1048576"), MATCH(AJ$1, MarR!$6:$6, 0), FALSE),
            0
        ) +
        IFERROR(
            VLOOKUP($A90, INDIRECT("AbrR!$A$6:$ZZ$1048576"), MATCH(AJ$1, AbrR!$6:$6, 0), FALSE),
            0
        ) +
        IFERROR(
            VLOOKUP($A90, INDIRECT("MayR!$A$6:$ZZ$1048576"), MATCH(AJ$1, MayR!$6:$6, 0), FALSE),
            0
        ) +
        IFERROR(
            VLOOKUP($A90, INDIRECT("JunR!$A$6:$ZZ$1048576"), MATCH(AJ$1, JunR!$6:$6, 0), FALSE),
            0
        ) +
        IFERROR(
            VLOOKUP($A90, INDIRECT("JulR!$A$6:$ZZ$1048576"), MATCH(AJ$1, JulR!$6:$6, 0), FALSE),
            0
        ) +
        IFERROR(
            VLOOKUP($A90, INDIRECT("AgoR!$A$6:$ZZ$1048576"), MATCH(AJ$1, AgoR!$6:$6, 0), FALSE),
            0
        ) +
        IFERROR(
            VLOOKUP($A90, INDIRECT("SepR!$A$6:$ZZ$1048576"), MATCH(AJ$1, SepR!$6:$6, 0), FALSE),
            0
        ) +
        IFERROR(
            VLOOKUP($A90, INDIRECT("OctR!$A$6:$ZZ$1048576"), MATCH(AJ$1, OctR!$6:$6, 0), FALSE),
            0
        ) +
        IFERROR(
            VLOOKUP($A90, INDIRECT("NovR!$A$6:$ZZ$1048576"), MATCH(AJ$1, NovR!$6:$6, 0), FALSE),
            0
        ) +
        IFERROR(
            VLOOKUP($A90, INDIRECT("DicR!$A$6:$ZZ$1048576"), MATCH(AJ$1, DicR!$6:$6, 0), FALSE),
            0
        )
)</f>
        <v>0</v>
      </c>
      <c r="AK90" s="37">
        <f t="array" ref="AK90">SUM(
    IFERROR(
            VLOOKUP($A90, INDIRECT("EneR!$A$6:$ZZ$1048576"), MATCH(AK$1, EneR!$6:$6, 0), FALSE),
            0
        ) +
        IFERROR(
            VLOOKUP($A90, INDIRECT("FebR!$A$6:$ZZ$1048576"), MATCH(AK$1, FebR!$6:$6, 0), FALSE),
            0
        ) +
        IFERROR(
            VLOOKUP($A90, INDIRECT("MarR!$A$6:$ZZ$1048576"), MATCH(AK$1, MarR!$6:$6, 0), FALSE),
            0
        ) +
        IFERROR(
            VLOOKUP($A90, INDIRECT("AbrR!$A$6:$ZZ$1048576"), MATCH(AK$1, AbrR!$6:$6, 0), FALSE),
            0
        ) +
        IFERROR(
            VLOOKUP($A90, INDIRECT("MayR!$A$6:$ZZ$1048576"), MATCH(AK$1, MayR!$6:$6, 0), FALSE),
            0
        ) +
        IFERROR(
            VLOOKUP($A90, INDIRECT("JunR!$A$6:$ZZ$1048576"), MATCH(AK$1, JunR!$6:$6, 0), FALSE),
            0
        ) +
        IFERROR(
            VLOOKUP($A90, INDIRECT("JulR!$A$6:$ZZ$1048576"), MATCH(AK$1, JulR!$6:$6, 0), FALSE),
            0
        ) +
        IFERROR(
            VLOOKUP($A90, INDIRECT("AgoR!$A$6:$ZZ$1048576"), MATCH(AK$1, AgoR!$6:$6, 0), FALSE),
            0
        ) +
        IFERROR(
            VLOOKUP($A90, INDIRECT("SepR!$A$6:$ZZ$1048576"), MATCH(AK$1, SepR!$6:$6, 0), FALSE),
            0
        ) +
        IFERROR(
            VLOOKUP($A90, INDIRECT("OctR!$A$6:$ZZ$1048576"), MATCH(AK$1, OctR!$6:$6, 0), FALSE),
            0
        ) +
        IFERROR(
            VLOOKUP($A90, INDIRECT("NovR!$A$6:$ZZ$1048576"), MATCH(AK$1, NovR!$6:$6, 0), FALSE),
            0
        ) +
        IFERROR(
            VLOOKUP($A90, INDIRECT("DicR!$A$6:$ZZ$1048576"), MATCH(AK$1, DicR!$6:$6, 0), FALSE),
            0
        )
)</f>
        <v>0</v>
      </c>
      <c r="AL90" s="36">
        <f t="array" ref="AL90">SUM(
    IFERROR(
            VLOOKUP($A90, INDIRECT("EneR!$A$6:$ZZ$1048576"), MATCH(AL$1, EneR!$6:$6, 0), FALSE),
            0
        ) +
        IFERROR(
            VLOOKUP($A90, INDIRECT("FebR!$A$6:$ZZ$1048576"), MATCH(AL$1, FebR!$6:$6, 0), FALSE),
            0
        ) +
        IFERROR(
            VLOOKUP($A90, INDIRECT("MarR!$A$6:$ZZ$1048576"), MATCH(AL$1, MarR!$6:$6, 0), FALSE),
            0
        ) +
        IFERROR(
            VLOOKUP($A90, INDIRECT("AbrR!$A$6:$ZZ$1048576"), MATCH(AL$1, AbrR!$6:$6, 0), FALSE),
            0
        ) +
        IFERROR(
            VLOOKUP($A90, INDIRECT("MayR!$A$6:$ZZ$1048576"), MATCH(AL$1, MayR!$6:$6, 0), FALSE),
            0
        ) +
        IFERROR(
            VLOOKUP($A90, INDIRECT("JunR!$A$6:$ZZ$1048576"), MATCH(AL$1, JunR!$6:$6, 0), FALSE),
            0
        ) +
        IFERROR(
            VLOOKUP($A90, INDIRECT("JulR!$A$6:$ZZ$1048576"), MATCH(AL$1, JulR!$6:$6, 0), FALSE),
            0
        ) +
        IFERROR(
            VLOOKUP($A90, INDIRECT("AgoR!$A$6:$ZZ$1048576"), MATCH(AL$1, AgoR!$6:$6, 0), FALSE),
            0
        ) +
        IFERROR(
            VLOOKUP($A90, INDIRECT("SepR!$A$6:$ZZ$1048576"), MATCH(AL$1, SepR!$6:$6, 0), FALSE),
            0
        ) +
        IFERROR(
            VLOOKUP($A90, INDIRECT("OctR!$A$6:$ZZ$1048576"), MATCH(AL$1, OctR!$6:$6, 0), FALSE),
            0
        ) +
        IFERROR(
            VLOOKUP($A90, INDIRECT("NovR!$A$6:$ZZ$1048576"), MATCH(AL$1, NovR!$6:$6, 0), FALSE),
            0
        ) +
        IFERROR(
            VLOOKUP($A90, INDIRECT("DicR!$A$6:$ZZ$1048576"), MATCH(AL$1, DicR!$6:$6, 0), FALSE),
            0
        )
)</f>
        <v>0</v>
      </c>
      <c r="AM90" s="37">
        <f t="array" ref="AM90">SUM(
    IFERROR(
            VLOOKUP($A90, INDIRECT("EneR!$A$6:$ZZ$1048576"), MATCH(AM$1, EneR!$6:$6, 0), FALSE),
            0
        ) +
        IFERROR(
            VLOOKUP($A90, INDIRECT("FebR!$A$6:$ZZ$1048576"), MATCH(AM$1, FebR!$6:$6, 0), FALSE),
            0
        ) +
        IFERROR(
            VLOOKUP($A90, INDIRECT("MarR!$A$6:$ZZ$1048576"), MATCH(AM$1, MarR!$6:$6, 0), FALSE),
            0
        ) +
        IFERROR(
            VLOOKUP($A90, INDIRECT("AbrR!$A$6:$ZZ$1048576"), MATCH(AM$1, AbrR!$6:$6, 0), FALSE),
            0
        ) +
        IFERROR(
            VLOOKUP($A90, INDIRECT("MayR!$A$6:$ZZ$1048576"), MATCH(AM$1, MayR!$6:$6, 0), FALSE),
            0
        ) +
        IFERROR(
            VLOOKUP($A90, INDIRECT("JunR!$A$6:$ZZ$1048576"), MATCH(AM$1, JunR!$6:$6, 0), FALSE),
            0
        ) +
        IFERROR(
            VLOOKUP($A90, INDIRECT("JulR!$A$6:$ZZ$1048576"), MATCH(AM$1, JulR!$6:$6, 0), FALSE),
            0
        ) +
        IFERROR(
            VLOOKUP($A90, INDIRECT("AgoR!$A$6:$ZZ$1048576"), MATCH(AM$1, AgoR!$6:$6, 0), FALSE),
            0
        ) +
        IFERROR(
            VLOOKUP($A90, INDIRECT("SepR!$A$6:$ZZ$1048576"), MATCH(AM$1, SepR!$6:$6, 0), FALSE),
            0
        ) +
        IFERROR(
            VLOOKUP($A90, INDIRECT("OctR!$A$6:$ZZ$1048576"), MATCH(AM$1, OctR!$6:$6, 0), FALSE),
            0
        ) +
        IFERROR(
            VLOOKUP($A90, INDIRECT("NovR!$A$6:$ZZ$1048576"), MATCH(AM$1, NovR!$6:$6, 0), FALSE),
            0
        ) +
        IFERROR(
            VLOOKUP($A90, INDIRECT("DicR!$A$6:$ZZ$1048576"), MATCH(AM$1, DicR!$6:$6, 0), FALSE),
            0
        )
)</f>
        <v>0</v>
      </c>
      <c r="AN90" s="32">
        <f t="array" ref="AN90">SUM(
    IFERROR(
            VLOOKUP($A90, INDIRECT("EneR!$A$6:$ZZ$1048576"), MATCH(AN$1, EneR!$6:$6, 0), FALSE),
            0
        ) +
        IFERROR(
            VLOOKUP($A90, INDIRECT("FebR!$A$6:$ZZ$1048576"), MATCH(AN$1, FebR!$6:$6, 0), FALSE),
            0
        ) +
        IFERROR(
            VLOOKUP($A90, INDIRECT("MarR!$A$6:$ZZ$1048576"), MATCH(AN$1, MarR!$6:$6, 0), FALSE),
            0
        ) +
        IFERROR(
            VLOOKUP($A90, INDIRECT("AbrR!$A$6:$ZZ$1048576"), MATCH(AN$1, AbrR!$6:$6, 0), FALSE),
            0
        ) +
        IFERROR(
            VLOOKUP($A90, INDIRECT("MayR!$A$6:$ZZ$1048576"), MATCH(AN$1, MayR!$6:$6, 0), FALSE),
            0
        ) +
        IFERROR(
            VLOOKUP($A90, INDIRECT("JunR!$A$6:$ZZ$1048576"), MATCH(AN$1, JunR!$6:$6, 0), FALSE),
            0
        ) +
        IFERROR(
            VLOOKUP($A90, INDIRECT("JulR!$A$6:$ZZ$1048576"), MATCH(AN$1, JulR!$6:$6, 0), FALSE),
            0
        ) +
        IFERROR(
            VLOOKUP($A90, INDIRECT("AgoR!$A$6:$ZZ$1048576"), MATCH(AN$1, AgoR!$6:$6, 0), FALSE),
            0
        ) +
        IFERROR(
            VLOOKUP($A90, INDIRECT("SepR!$A$6:$ZZ$1048576"), MATCH(AN$1, SepR!$6:$6, 0), FALSE),
            0
        ) +
        IFERROR(
            VLOOKUP($A90, INDIRECT("OctR!$A$6:$ZZ$1048576"), MATCH(AN$1, OctR!$6:$6, 0), FALSE),
            0
        ) +
        IFERROR(
            VLOOKUP($A90, INDIRECT("NovR!$A$6:$ZZ$1048576"), MATCH(AN$1, NovR!$6:$6, 0), FALSE),
            0
        ) +
        IFERROR(
            VLOOKUP($A90, INDIRECT("DicR!$A$6:$ZZ$1048576"), MATCH(AN$1, DicR!$6:$6, 0), FALSE),
            0
        )
)</f>
        <v>0</v>
      </c>
      <c r="AO90" s="35">
        <f t="array" ref="AO90">SUM(
    IFERROR(
            VLOOKUP($A90, INDIRECT("EneR!$A$6:$ZZ$1048576"), MATCH(AO$1, EneR!$6:$6, 0), FALSE),
            0
        ) +
        IFERROR(
            VLOOKUP($A90, INDIRECT("FebR!$A$6:$ZZ$1048576"), MATCH(AO$1, FebR!$6:$6, 0), FALSE),
            0
        ) +
        IFERROR(
            VLOOKUP($A90, INDIRECT("MarR!$A$6:$ZZ$1048576"), MATCH(AO$1, MarR!$6:$6, 0), FALSE),
            0
        ) +
        IFERROR(
            VLOOKUP($A90, INDIRECT("AbrR!$A$6:$ZZ$1048576"), MATCH(AO$1, AbrR!$6:$6, 0), FALSE),
            0
        ) +
        IFERROR(
            VLOOKUP($A90, INDIRECT("MayR!$A$6:$ZZ$1048576"), MATCH(AO$1, MayR!$6:$6, 0), FALSE),
            0
        ) +
        IFERROR(
            VLOOKUP($A90, INDIRECT("JunR!$A$6:$ZZ$1048576"), MATCH(AO$1, JunR!$6:$6, 0), FALSE),
            0
        ) +
        IFERROR(
            VLOOKUP($A90, INDIRECT("JulR!$A$6:$ZZ$1048576"), MATCH(AO$1, JulR!$6:$6, 0), FALSE),
            0
        ) +
        IFERROR(
            VLOOKUP($A90, INDIRECT("AgoR!$A$6:$ZZ$1048576"), MATCH(AO$1, AgoR!$6:$6, 0), FALSE),
            0
        ) +
        IFERROR(
            VLOOKUP($A90, INDIRECT("SepR!$A$6:$ZZ$1048576"), MATCH(AO$1, SepR!$6:$6, 0), FALSE),
            0
        ) +
        IFERROR(
            VLOOKUP($A90, INDIRECT("OctR!$A$6:$ZZ$1048576"), MATCH(AO$1, OctR!$6:$6, 0), FALSE),
            0
        ) +
        IFERROR(
            VLOOKUP($A90, INDIRECT("NovR!$A$6:$ZZ$1048576"), MATCH(AO$1, NovR!$6:$6, 0), FALSE),
            0
        ) +
        IFERROR(
            VLOOKUP($A90, INDIRECT("DicR!$A$6:$ZZ$1048576"), MATCH(AO$1, DicR!$6:$6, 0), FALSE),
            0
        )
)</f>
        <v>0</v>
      </c>
      <c r="AP90" s="36">
        <f t="array" ref="AP90">SUM(
    IFERROR(
            VLOOKUP($A90, INDIRECT("EneR!$A$6:$ZZ$1048576"), MATCH(AP$1, EneR!$6:$6, 0), FALSE),
            0
        ) +
        IFERROR(
            VLOOKUP($A90, INDIRECT("FebR!$A$6:$ZZ$1048576"), MATCH(AP$1, FebR!$6:$6, 0), FALSE),
            0
        ) +
        IFERROR(
            VLOOKUP($A90, INDIRECT("MarR!$A$6:$ZZ$1048576"), MATCH(AP$1, MarR!$6:$6, 0), FALSE),
            0
        ) +
        IFERROR(
            VLOOKUP($A90, INDIRECT("AbrR!$A$6:$ZZ$1048576"), MATCH(AP$1, AbrR!$6:$6, 0), FALSE),
            0
        ) +
        IFERROR(
            VLOOKUP($A90, INDIRECT("MayR!$A$6:$ZZ$1048576"), MATCH(AP$1, MayR!$6:$6, 0), FALSE),
            0
        ) +
        IFERROR(
            VLOOKUP($A90, INDIRECT("JunR!$A$6:$ZZ$1048576"), MATCH(AP$1, JunR!$6:$6, 0), FALSE),
            0
        ) +
        IFERROR(
            VLOOKUP($A90, INDIRECT("JulR!$A$6:$ZZ$1048576"), MATCH(AP$1, JulR!$6:$6, 0), FALSE),
            0
        ) +
        IFERROR(
            VLOOKUP($A90, INDIRECT("AgoR!$A$6:$ZZ$1048576"), MATCH(AP$1, AgoR!$6:$6, 0), FALSE),
            0
        ) +
        IFERROR(
            VLOOKUP($A90, INDIRECT("SepR!$A$6:$ZZ$1048576"), MATCH(AP$1, SepR!$6:$6, 0), FALSE),
            0
        ) +
        IFERROR(
            VLOOKUP($A90, INDIRECT("OctR!$A$6:$ZZ$1048576"), MATCH(AP$1, OctR!$6:$6, 0), FALSE),
            0
        ) +
        IFERROR(
            VLOOKUP($A90, INDIRECT("NovR!$A$6:$ZZ$1048576"), MATCH(AP$1, NovR!$6:$6, 0), FALSE),
            0
        ) +
        IFERROR(
            VLOOKUP($A90, INDIRECT("DicR!$A$6:$ZZ$1048576"), MATCH(AP$1, DicR!$6:$6, 0), FALSE),
            0
        )
)</f>
        <v>0</v>
      </c>
      <c r="AQ90" s="35">
        <f t="array" ref="AQ90">SUM(
    IFERROR(
            VLOOKUP($A90, INDIRECT("EneR!$A$6:$ZZ$1048576"), MATCH(AQ$1, EneR!$6:$6, 0), FALSE),
            0
        ) +
        IFERROR(
            VLOOKUP($A90, INDIRECT("FebR!$A$6:$ZZ$1048576"), MATCH(AQ$1, FebR!$6:$6, 0), FALSE),
            0
        ) +
        IFERROR(
            VLOOKUP($A90, INDIRECT("MarR!$A$6:$ZZ$1048576"), MATCH(AQ$1, MarR!$6:$6, 0), FALSE),
            0
        ) +
        IFERROR(
            VLOOKUP($A90, INDIRECT("AbrR!$A$6:$ZZ$1048576"), MATCH(AQ$1, AbrR!$6:$6, 0), FALSE),
            0
        ) +
        IFERROR(
            VLOOKUP($A90, INDIRECT("MayR!$A$6:$ZZ$1048576"), MATCH(AQ$1, MayR!$6:$6, 0), FALSE),
            0
        ) +
        IFERROR(
            VLOOKUP($A90, INDIRECT("JunR!$A$6:$ZZ$1048576"), MATCH(AQ$1, JunR!$6:$6, 0), FALSE),
            0
        ) +
        IFERROR(
            VLOOKUP($A90, INDIRECT("JulR!$A$6:$ZZ$1048576"), MATCH(AQ$1, JulR!$6:$6, 0), FALSE),
            0
        ) +
        IFERROR(
            VLOOKUP($A90, INDIRECT("AgoR!$A$6:$ZZ$1048576"), MATCH(AQ$1, AgoR!$6:$6, 0), FALSE),
            0
        ) +
        IFERROR(
            VLOOKUP($A90, INDIRECT("SepR!$A$6:$ZZ$1048576"), MATCH(AQ$1, SepR!$6:$6, 0), FALSE),
            0
        ) +
        IFERROR(
            VLOOKUP($A90, INDIRECT("OctR!$A$6:$ZZ$1048576"), MATCH(AQ$1, OctR!$6:$6, 0), FALSE),
            0
        ) +
        IFERROR(
            VLOOKUP($A90, INDIRECT("NovR!$A$6:$ZZ$1048576"), MATCH(AQ$1, NovR!$6:$6, 0), FALSE),
            0
        ) +
        IFERROR(
            VLOOKUP($A90, INDIRECT("DicR!$A$6:$ZZ$1048576"), MATCH(AQ$1, DicR!$6:$6, 0), FALSE),
            0
        )
)</f>
        <v>0</v>
      </c>
      <c r="AR90" s="36">
        <f t="array" ref="AR90">SUM(
    IFERROR(
            VLOOKUP($A90, INDIRECT("EneR!$A$6:$ZZ$1048576"), MATCH(AR$1, EneR!$6:$6, 0), FALSE),
            0
        ) +
        IFERROR(
            VLOOKUP($A90, INDIRECT("FebR!$A$6:$ZZ$1048576"), MATCH(AR$1, FebR!$6:$6, 0), FALSE),
            0
        ) +
        IFERROR(
            VLOOKUP($A90, INDIRECT("MarR!$A$6:$ZZ$1048576"), MATCH(AR$1, MarR!$6:$6, 0), FALSE),
            0
        ) +
        IFERROR(
            VLOOKUP($A90, INDIRECT("AbrR!$A$6:$ZZ$1048576"), MATCH(AR$1, AbrR!$6:$6, 0), FALSE),
            0
        ) +
        IFERROR(
            VLOOKUP($A90, INDIRECT("MayR!$A$6:$ZZ$1048576"), MATCH(AR$1, MayR!$6:$6, 0), FALSE),
            0
        ) +
        IFERROR(
            VLOOKUP($A90, INDIRECT("JunR!$A$6:$ZZ$1048576"), MATCH(AR$1, JunR!$6:$6, 0), FALSE),
            0
        ) +
        IFERROR(
            VLOOKUP($A90, INDIRECT("JulR!$A$6:$ZZ$1048576"), MATCH(AR$1, JulR!$6:$6, 0), FALSE),
            0
        ) +
        IFERROR(
            VLOOKUP($A90, INDIRECT("AgoR!$A$6:$ZZ$1048576"), MATCH(AR$1, AgoR!$6:$6, 0), FALSE),
            0
        ) +
        IFERROR(
            VLOOKUP($A90, INDIRECT("SepR!$A$6:$ZZ$1048576"), MATCH(AR$1, SepR!$6:$6, 0), FALSE),
            0
        ) +
        IFERROR(
            VLOOKUP($A90, INDIRECT("OctR!$A$6:$ZZ$1048576"), MATCH(AR$1, OctR!$6:$6, 0), FALSE),
            0
        ) +
        IFERROR(
            VLOOKUP($A90, INDIRECT("NovR!$A$6:$ZZ$1048576"), MATCH(AR$1, NovR!$6:$6, 0), FALSE),
            0
        ) +
        IFERROR(
            VLOOKUP($A90, INDIRECT("DicR!$A$6:$ZZ$1048576"), MATCH(AR$1, DicR!$6:$6, 0), FALSE),
            0
        )
)</f>
        <v>0</v>
      </c>
      <c r="AS90" s="35">
        <f t="array" ref="AS90">SUM(
    IFERROR(
            VLOOKUP($A90, INDIRECT("EneR!$A$6:$ZZ$1048576"), MATCH(AS$1, EneR!$6:$6, 0), FALSE),
            0
        ) +
        IFERROR(
            VLOOKUP($A90, INDIRECT("FebR!$A$6:$ZZ$1048576"), MATCH(AS$1, FebR!$6:$6, 0), FALSE),
            0
        ) +
        IFERROR(
            VLOOKUP($A90, INDIRECT("MarR!$A$6:$ZZ$1048576"), MATCH(AS$1, MarR!$6:$6, 0), FALSE),
            0
        ) +
        IFERROR(
            VLOOKUP($A90, INDIRECT("AbrR!$A$6:$ZZ$1048576"), MATCH(AS$1, AbrR!$6:$6, 0), FALSE),
            0
        ) +
        IFERROR(
            VLOOKUP($A90, INDIRECT("MayR!$A$6:$ZZ$1048576"), MATCH(AS$1, MayR!$6:$6, 0), FALSE),
            0
        ) +
        IFERROR(
            VLOOKUP($A90, INDIRECT("JunR!$A$6:$ZZ$1048576"), MATCH(AS$1, JunR!$6:$6, 0), FALSE),
            0
        ) +
        IFERROR(
            VLOOKUP($A90, INDIRECT("JulR!$A$6:$ZZ$1048576"), MATCH(AS$1, JulR!$6:$6, 0), FALSE),
            0
        ) +
        IFERROR(
            VLOOKUP($A90, INDIRECT("AgoR!$A$6:$ZZ$1048576"), MATCH(AS$1, AgoR!$6:$6, 0), FALSE),
            0
        ) +
        IFERROR(
            VLOOKUP($A90, INDIRECT("SepR!$A$6:$ZZ$1048576"), MATCH(AS$1, SepR!$6:$6, 0), FALSE),
            0
        ) +
        IFERROR(
            VLOOKUP($A90, INDIRECT("OctR!$A$6:$ZZ$1048576"), MATCH(AS$1, OctR!$6:$6, 0), FALSE),
            0
        ) +
        IFERROR(
            VLOOKUP($A90, INDIRECT("NovR!$A$6:$ZZ$1048576"), MATCH(AS$1, NovR!$6:$6, 0), FALSE),
            0
        ) +
        IFERROR(
            VLOOKUP($A90, INDIRECT("DicR!$A$6:$ZZ$1048576"), MATCH(AS$1, DicR!$6:$6, 0), FALSE),
            0
        )
)</f>
        <v>0</v>
      </c>
      <c r="AT90" s="36">
        <f t="array" ref="AT90">SUM(
    IFERROR(
            VLOOKUP($A90, INDIRECT("EneR!$A$6:$ZZ$1048576"), MATCH(AT$1, EneR!$6:$6, 0), FALSE),
            0
        ) +
        IFERROR(
            VLOOKUP($A90, INDIRECT("FebR!$A$6:$ZZ$1048576"), MATCH(AT$1, FebR!$6:$6, 0), FALSE),
            0
        ) +
        IFERROR(
            VLOOKUP($A90, INDIRECT("MarR!$A$6:$ZZ$1048576"), MATCH(AT$1, MarR!$6:$6, 0), FALSE),
            0
        ) +
        IFERROR(
            VLOOKUP($A90, INDIRECT("AbrR!$A$6:$ZZ$1048576"), MATCH(AT$1, AbrR!$6:$6, 0), FALSE),
            0
        ) +
        IFERROR(
            VLOOKUP($A90, INDIRECT("MayR!$A$6:$ZZ$1048576"), MATCH(AT$1, MayR!$6:$6, 0), FALSE),
            0
        ) +
        IFERROR(
            VLOOKUP($A90, INDIRECT("JunR!$A$6:$ZZ$1048576"), MATCH(AT$1, JunR!$6:$6, 0), FALSE),
            0
        ) +
        IFERROR(
            VLOOKUP($A90, INDIRECT("JulR!$A$6:$ZZ$1048576"), MATCH(AT$1, JulR!$6:$6, 0), FALSE),
            0
        ) +
        IFERROR(
            VLOOKUP($A90, INDIRECT("AgoR!$A$6:$ZZ$1048576"), MATCH(AT$1, AgoR!$6:$6, 0), FALSE),
            0
        ) +
        IFERROR(
            VLOOKUP($A90, INDIRECT("SepR!$A$6:$ZZ$1048576"), MATCH(AT$1, SepR!$6:$6, 0), FALSE),
            0
        ) +
        IFERROR(
            VLOOKUP($A90, INDIRECT("OctR!$A$6:$ZZ$1048576"), MATCH(AT$1, OctR!$6:$6, 0), FALSE),
            0
        ) +
        IFERROR(
            VLOOKUP($A90, INDIRECT("NovR!$A$6:$ZZ$1048576"), MATCH(AT$1, NovR!$6:$6, 0), FALSE),
            0
        ) +
        IFERROR(
            VLOOKUP($A90, INDIRECT("DicR!$A$6:$ZZ$1048576"), MATCH(AT$1, DicR!$6:$6, 0), FALSE),
            0
        )
)</f>
        <v>0</v>
      </c>
      <c r="AU90" s="35">
        <f t="array" ref="AU90">SUM(
    IFERROR(
            VLOOKUP($A90, INDIRECT("EneR!$A$6:$ZZ$1048576"), MATCH(AU$1, EneR!$6:$6, 0), FALSE),
            0
        ) +
        IFERROR(
            VLOOKUP($A90, INDIRECT("FebR!$A$6:$ZZ$1048576"), MATCH(AU$1, FebR!$6:$6, 0), FALSE),
            0
        ) +
        IFERROR(
            VLOOKUP($A90, INDIRECT("MarR!$A$6:$ZZ$1048576"), MATCH(AU$1, MarR!$6:$6, 0), FALSE),
            0
        ) +
        IFERROR(
            VLOOKUP($A90, INDIRECT("AbrR!$A$6:$ZZ$1048576"), MATCH(AU$1, AbrR!$6:$6, 0), FALSE),
            0
        ) +
        IFERROR(
            VLOOKUP($A90, INDIRECT("MayR!$A$6:$ZZ$1048576"), MATCH(AU$1, MayR!$6:$6, 0), FALSE),
            0
        ) +
        IFERROR(
            VLOOKUP($A90, INDIRECT("JunR!$A$6:$ZZ$1048576"), MATCH(AU$1, JunR!$6:$6, 0), FALSE),
            0
        ) +
        IFERROR(
            VLOOKUP($A90, INDIRECT("JulR!$A$6:$ZZ$1048576"), MATCH(AU$1, JulR!$6:$6, 0), FALSE),
            0
        ) +
        IFERROR(
            VLOOKUP($A90, INDIRECT("AgoR!$A$6:$ZZ$1048576"), MATCH(AU$1, AgoR!$6:$6, 0), FALSE),
            0
        ) +
        IFERROR(
            VLOOKUP($A90, INDIRECT("SepR!$A$6:$ZZ$1048576"), MATCH(AU$1, SepR!$6:$6, 0), FALSE),
            0
        ) +
        IFERROR(
            VLOOKUP($A90, INDIRECT("OctR!$A$6:$ZZ$1048576"), MATCH(AU$1, OctR!$6:$6, 0), FALSE),
            0
        ) +
        IFERROR(
            VLOOKUP($A90, INDIRECT("NovR!$A$6:$ZZ$1048576"), MATCH(AU$1, NovR!$6:$6, 0), FALSE),
            0
        ) +
        IFERROR(
            VLOOKUP($A90, INDIRECT("DicR!$A$6:$ZZ$1048576"), MATCH(AU$1, DicR!$6:$6, 0), FALSE),
            0
        )
)</f>
        <v>0</v>
      </c>
      <c r="AV90" s="36">
        <f t="array" ref="AV90">SUM(
    IFERROR(
            VLOOKUP($A90, INDIRECT("EneR!$A$6:$ZZ$1048576"), MATCH(AV$1, EneR!$6:$6, 0), FALSE),
            0
        ) +
        IFERROR(
            VLOOKUP($A90, INDIRECT("FebR!$A$6:$ZZ$1048576"), MATCH(AV$1, FebR!$6:$6, 0), FALSE),
            0
        ) +
        IFERROR(
            VLOOKUP($A90, INDIRECT("MarR!$A$6:$ZZ$1048576"), MATCH(AV$1, MarR!$6:$6, 0), FALSE),
            0
        ) +
        IFERROR(
            VLOOKUP($A90, INDIRECT("AbrR!$A$6:$ZZ$1048576"), MATCH(AV$1, AbrR!$6:$6, 0), FALSE),
            0
        ) +
        IFERROR(
            VLOOKUP($A90, INDIRECT("MayR!$A$6:$ZZ$1048576"), MATCH(AV$1, MayR!$6:$6, 0), FALSE),
            0
        ) +
        IFERROR(
            VLOOKUP($A90, INDIRECT("JunR!$A$6:$ZZ$1048576"), MATCH(AV$1, JunR!$6:$6, 0), FALSE),
            0
        ) +
        IFERROR(
            VLOOKUP($A90, INDIRECT("JulR!$A$6:$ZZ$1048576"), MATCH(AV$1, JulR!$6:$6, 0), FALSE),
            0
        ) +
        IFERROR(
            VLOOKUP($A90, INDIRECT("AgoR!$A$6:$ZZ$1048576"), MATCH(AV$1, AgoR!$6:$6, 0), FALSE),
            0
        ) +
        IFERROR(
            VLOOKUP($A90, INDIRECT("SepR!$A$6:$ZZ$1048576"), MATCH(AV$1, SepR!$6:$6, 0), FALSE),
            0
        ) +
        IFERROR(
            VLOOKUP($A90, INDIRECT("OctR!$A$6:$ZZ$1048576"), MATCH(AV$1, OctR!$6:$6, 0), FALSE),
            0
        ) +
        IFERROR(
            VLOOKUP($A90, INDIRECT("NovR!$A$6:$ZZ$1048576"), MATCH(AV$1, NovR!$6:$6, 0), FALSE),
            0
        ) +
        IFERROR(
            VLOOKUP($A90, INDIRECT("DicR!$A$6:$ZZ$1048576"), MATCH(AV$1, DicR!$6:$6, 0), FALSE),
            0
        )
)</f>
        <v>0</v>
      </c>
      <c r="AW90" s="35">
        <f t="array" ref="AW90">SUM(
    IFERROR(
            VLOOKUP($A90, INDIRECT("EneR!$A$6:$ZZ$1048576"), MATCH(AW$1, EneR!$6:$6, 0), FALSE),
            0
        ) +
        IFERROR(
            VLOOKUP($A90, INDIRECT("FebR!$A$6:$ZZ$1048576"), MATCH(AW$1, FebR!$6:$6, 0), FALSE),
            0
        ) +
        IFERROR(
            VLOOKUP($A90, INDIRECT("MarR!$A$6:$ZZ$1048576"), MATCH(AW$1, MarR!$6:$6, 0), FALSE),
            0
        ) +
        IFERROR(
            VLOOKUP($A90, INDIRECT("AbrR!$A$6:$ZZ$1048576"), MATCH(AW$1, AbrR!$6:$6, 0), FALSE),
            0
        ) +
        IFERROR(
            VLOOKUP($A90, INDIRECT("MayR!$A$6:$ZZ$1048576"), MATCH(AW$1, MayR!$6:$6, 0), FALSE),
            0
        ) +
        IFERROR(
            VLOOKUP($A90, INDIRECT("JunR!$A$6:$ZZ$1048576"), MATCH(AW$1, JunR!$6:$6, 0), FALSE),
            0
        ) +
        IFERROR(
            VLOOKUP($A90, INDIRECT("JulR!$A$6:$ZZ$1048576"), MATCH(AW$1, JulR!$6:$6, 0), FALSE),
            0
        ) +
        IFERROR(
            VLOOKUP($A90, INDIRECT("AgoR!$A$6:$ZZ$1048576"), MATCH(AW$1, AgoR!$6:$6, 0), FALSE),
            0
        ) +
        IFERROR(
            VLOOKUP($A90, INDIRECT("SepR!$A$6:$ZZ$1048576"), MATCH(AW$1, SepR!$6:$6, 0), FALSE),
            0
        ) +
        IFERROR(
            VLOOKUP($A90, INDIRECT("OctR!$A$6:$ZZ$1048576"), MATCH(AW$1, OctR!$6:$6, 0), FALSE),
            0
        ) +
        IFERROR(
            VLOOKUP($A90, INDIRECT("NovR!$A$6:$ZZ$1048576"), MATCH(AW$1, NovR!$6:$6, 0), FALSE),
            0
        ) +
        IFERROR(
            VLOOKUP($A90, INDIRECT("DicR!$A$6:$ZZ$1048576"), MATCH(AW$1, DicR!$6:$6, 0), FALSE),
            0
        )
)</f>
        <v>0</v>
      </c>
      <c r="AX90" s="36">
        <f t="array" ref="AX90">SUM(
    IFERROR(
            VLOOKUP($A90, INDIRECT("EneR!$A$6:$ZZ$1048576"), MATCH(AX$1, EneR!$6:$6, 0), FALSE),
            0
        ) +
        IFERROR(
            VLOOKUP($A90, INDIRECT("FebR!$A$6:$ZZ$1048576"), MATCH(AX$1, FebR!$6:$6, 0), FALSE),
            0
        ) +
        IFERROR(
            VLOOKUP($A90, INDIRECT("MarR!$A$6:$ZZ$1048576"), MATCH(AX$1, MarR!$6:$6, 0), FALSE),
            0
        ) +
        IFERROR(
            VLOOKUP($A90, INDIRECT("AbrR!$A$6:$ZZ$1048576"), MATCH(AX$1, AbrR!$6:$6, 0), FALSE),
            0
        ) +
        IFERROR(
            VLOOKUP($A90, INDIRECT("MayR!$A$6:$ZZ$1048576"), MATCH(AX$1, MayR!$6:$6, 0), FALSE),
            0
        ) +
        IFERROR(
            VLOOKUP($A90, INDIRECT("JunR!$A$6:$ZZ$1048576"), MATCH(AX$1, JunR!$6:$6, 0), FALSE),
            0
        ) +
        IFERROR(
            VLOOKUP($A90, INDIRECT("JulR!$A$6:$ZZ$1048576"), MATCH(AX$1, JulR!$6:$6, 0), FALSE),
            0
        ) +
        IFERROR(
            VLOOKUP($A90, INDIRECT("AgoR!$A$6:$ZZ$1048576"), MATCH(AX$1, AgoR!$6:$6, 0), FALSE),
            0
        ) +
        IFERROR(
            VLOOKUP($A90, INDIRECT("SepR!$A$6:$ZZ$1048576"), MATCH(AX$1, SepR!$6:$6, 0), FALSE),
            0
        ) +
        IFERROR(
            VLOOKUP($A90, INDIRECT("OctR!$A$6:$ZZ$1048576"), MATCH(AX$1, OctR!$6:$6, 0), FALSE),
            0
        ) +
        IFERROR(
            VLOOKUP($A90, INDIRECT("NovR!$A$6:$ZZ$1048576"), MATCH(AX$1, NovR!$6:$6, 0), FALSE),
            0
        ) +
        IFERROR(
            VLOOKUP($A90, INDIRECT("DicR!$A$6:$ZZ$1048576"), MATCH(AX$1, DicR!$6:$6, 0), FALSE),
            0
        )
)</f>
        <v>0</v>
      </c>
      <c r="AY90" s="35">
        <f t="array" ref="AY90">SUM(
    IFERROR(
            VLOOKUP($A90, INDIRECT("EneR!$A$6:$ZZ$1048576"), MATCH(AY$1, EneR!$6:$6, 0), FALSE),
            0
        ) +
        IFERROR(
            VLOOKUP($A90, INDIRECT("FebR!$A$6:$ZZ$1048576"), MATCH(AY$1, FebR!$6:$6, 0), FALSE),
            0
        ) +
        IFERROR(
            VLOOKUP($A90, INDIRECT("MarR!$A$6:$ZZ$1048576"), MATCH(AY$1, MarR!$6:$6, 0), FALSE),
            0
        ) +
        IFERROR(
            VLOOKUP($A90, INDIRECT("AbrR!$A$6:$ZZ$1048576"), MATCH(AY$1, AbrR!$6:$6, 0), FALSE),
            0
        ) +
        IFERROR(
            VLOOKUP($A90, INDIRECT("MayR!$A$6:$ZZ$1048576"), MATCH(AY$1, MayR!$6:$6, 0), FALSE),
            0
        ) +
        IFERROR(
            VLOOKUP($A90, INDIRECT("JunR!$A$6:$ZZ$1048576"), MATCH(AY$1, JunR!$6:$6, 0), FALSE),
            0
        ) +
        IFERROR(
            VLOOKUP($A90, INDIRECT("JulR!$A$6:$ZZ$1048576"), MATCH(AY$1, JulR!$6:$6, 0), FALSE),
            0
        ) +
        IFERROR(
            VLOOKUP($A90, INDIRECT("AgoR!$A$6:$ZZ$1048576"), MATCH(AY$1, AgoR!$6:$6, 0), FALSE),
            0
        ) +
        IFERROR(
            VLOOKUP($A90, INDIRECT("SepR!$A$6:$ZZ$1048576"), MATCH(AY$1, SepR!$6:$6, 0), FALSE),
            0
        ) +
        IFERROR(
            VLOOKUP($A90, INDIRECT("OctR!$A$6:$ZZ$1048576"), MATCH(AY$1, OctR!$6:$6, 0), FALSE),
            0
        ) +
        IFERROR(
            VLOOKUP($A90, INDIRECT("NovR!$A$6:$ZZ$1048576"), MATCH(AY$1, NovR!$6:$6, 0), FALSE),
            0
        ) +
        IFERROR(
            VLOOKUP($A90, INDIRECT("DicR!$A$6:$ZZ$1048576"), MATCH(AY$1, DicR!$6:$6, 0), FALSE),
            0
        )
)</f>
        <v>0</v>
      </c>
      <c r="AZ90" s="35"/>
    </row>
    <row r="91" ht="15.75" hidden="1" customHeight="1">
      <c r="A91" s="12" t="str">
        <f>Menus!B52</f>
        <v/>
      </c>
      <c r="B91" s="32">
        <f t="shared" si="11"/>
        <v>0</v>
      </c>
      <c r="C91" s="33" t="str">
        <f t="shared" si="10"/>
        <v/>
      </c>
      <c r="D91" s="34">
        <f t="array" ref="D91">SUM(
    IFERROR(
            VLOOKUP($A91, INDIRECT("EneR!$A$6:$ZZ$1048576"), MATCH(D$1, EneR!$6:$6, 0), FALSE),
            0
        ) +
        IFERROR(
            VLOOKUP($A91, INDIRECT("FebR!$A$6:$ZZ$1048576"), MATCH(D$1, FebR!$6:$6, 0), FALSE),
            0
        ) +
        IFERROR(
            VLOOKUP($A91, INDIRECT("MarR!$A$6:$ZZ$1048576"), MATCH(D$1, MarR!$6:$6, 0), FALSE),
            0
        ) +
        IFERROR(
            VLOOKUP($A91, INDIRECT("AbrR!$A$6:$ZZ$1048576"), MATCH(D$1, AbrR!$6:$6, 0), FALSE),
            0
        ) +
        IFERROR(
            VLOOKUP($A91, INDIRECT("MayR!$A$6:$ZZ$1048576"), MATCH(D$1, MayR!$6:$6, 0), FALSE),
            0
        ) +
        IFERROR(
            VLOOKUP($A91, INDIRECT("JunR!$A$6:$ZZ$1048576"), MATCH(D$1, JunR!$6:$6, 0), FALSE),
            0
        ) +
        IFERROR(
            VLOOKUP($A91, INDIRECT("JulR!$A$6:$ZZ$1048576"), MATCH(D$1, JulR!$6:$6, 0), FALSE),
            0
        ) +
        IFERROR(
            VLOOKUP($A91, INDIRECT("AgoR!$A$6:$ZZ$1048576"), MATCH(D$1, AgoR!$6:$6, 0), FALSE),
            0
        ) +
        IFERROR(
            VLOOKUP($A91, INDIRECT("SepR!$A$6:$ZZ$1048576"), MATCH(D$1, SepR!$6:$6, 0), FALSE),
            0
        ) +
        IFERROR(
            VLOOKUP($A91, INDIRECT("OctR!$A$6:$ZZ$1048576"), MATCH(D$1, OctR!$6:$6, 0), FALSE),
            0
        ) +
        IFERROR(
            VLOOKUP($A91, INDIRECT("NovR!$A$6:$ZZ$1048576"), MATCH(D$1, NovR!$6:$6, 0), FALSE),
            0
        ) +
        IFERROR(
            VLOOKUP($A91, INDIRECT("DicR!$A$6:$ZZ$1048576"), MATCH(D$1, DicR!$6:$6, 0), FALSE),
            0
        )
)</f>
        <v>0</v>
      </c>
      <c r="E91" s="35">
        <f t="array" ref="E91">SUM(
    IFERROR(
            VLOOKUP($A91, INDIRECT("EneR!$A$6:$ZZ$1048576"), MATCH(E$1, EneR!$6:$6, 0), FALSE),
            0
        ) +
        IFERROR(
            VLOOKUP($A91, INDIRECT("FebR!$A$6:$ZZ$1048576"), MATCH(E$1, FebR!$6:$6, 0), FALSE),
            0
        ) +
        IFERROR(
            VLOOKUP($A91, INDIRECT("MarR!$A$6:$ZZ$1048576"), MATCH(E$1, MarR!$6:$6, 0), FALSE),
            0
        ) +
        IFERROR(
            VLOOKUP($A91, INDIRECT("AbrR!$A$6:$ZZ$1048576"), MATCH(E$1, AbrR!$6:$6, 0), FALSE),
            0
        ) +
        IFERROR(
            VLOOKUP($A91, INDIRECT("MayR!$A$6:$ZZ$1048576"), MATCH(E$1, MayR!$6:$6, 0), FALSE),
            0
        ) +
        IFERROR(
            VLOOKUP($A91, INDIRECT("JunR!$A$6:$ZZ$1048576"), MATCH(E$1, JunR!$6:$6, 0), FALSE),
            0
        ) +
        IFERROR(
            VLOOKUP($A91, INDIRECT("JulR!$A$6:$ZZ$1048576"), MATCH(E$1, JulR!$6:$6, 0), FALSE),
            0
        ) +
        IFERROR(
            VLOOKUP($A91, INDIRECT("AgoR!$A$6:$ZZ$1048576"), MATCH(E$1, AgoR!$6:$6, 0), FALSE),
            0
        ) +
        IFERROR(
            VLOOKUP($A91, INDIRECT("SepR!$A$6:$ZZ$1048576"), MATCH(E$1, SepR!$6:$6, 0), FALSE),
            0
        ) +
        IFERROR(
            VLOOKUP($A91, INDIRECT("OctR!$A$6:$ZZ$1048576"), MATCH(E$1, OctR!$6:$6, 0), FALSE),
            0
        ) +
        IFERROR(
            VLOOKUP($A91, INDIRECT("NovR!$A$6:$ZZ$1048576"), MATCH(E$1, NovR!$6:$6, 0), FALSE),
            0
        ) +
        IFERROR(
            VLOOKUP($A91, INDIRECT("DicR!$A$6:$ZZ$1048576"), MATCH(E$1, DicR!$6:$6, 0), FALSE),
            0
        )
)</f>
        <v>0</v>
      </c>
      <c r="F91" s="32">
        <f t="array" ref="F91">SUM(
    IFERROR(
            VLOOKUP($A91, INDIRECT("EneR!$A$6:$ZZ$1048576"), MATCH(F$1, EneR!$6:$6, 0), FALSE),
            0
        ) +
        IFERROR(
            VLOOKUP($A91, INDIRECT("FebR!$A$6:$ZZ$1048576"), MATCH(F$1, FebR!$6:$6, 0), FALSE),
            0
        ) +
        IFERROR(
            VLOOKUP($A91, INDIRECT("MarR!$A$6:$ZZ$1048576"), MATCH(F$1, MarR!$6:$6, 0), FALSE),
            0
        ) +
        IFERROR(
            VLOOKUP($A91, INDIRECT("AbrR!$A$6:$ZZ$1048576"), MATCH(F$1, AbrR!$6:$6, 0), FALSE),
            0
        ) +
        IFERROR(
            VLOOKUP($A91, INDIRECT("MayR!$A$6:$ZZ$1048576"), MATCH(F$1, MayR!$6:$6, 0), FALSE),
            0
        ) +
        IFERROR(
            VLOOKUP($A91, INDIRECT("JunR!$A$6:$ZZ$1048576"), MATCH(F$1, JunR!$6:$6, 0), FALSE),
            0
        ) +
        IFERROR(
            VLOOKUP($A91, INDIRECT("JulR!$A$6:$ZZ$1048576"), MATCH(F$1, JulR!$6:$6, 0), FALSE),
            0
        ) +
        IFERROR(
            VLOOKUP($A91, INDIRECT("AgoR!$A$6:$ZZ$1048576"), MATCH(F$1, AgoR!$6:$6, 0), FALSE),
            0
        ) +
        IFERROR(
            VLOOKUP($A91, INDIRECT("SepR!$A$6:$ZZ$1048576"), MATCH(F$1, SepR!$6:$6, 0), FALSE),
            0
        ) +
        IFERROR(
            VLOOKUP($A91, INDIRECT("OctR!$A$6:$ZZ$1048576"), MATCH(F$1, OctR!$6:$6, 0), FALSE),
            0
        ) +
        IFERROR(
            VLOOKUP($A91, INDIRECT("NovR!$A$6:$ZZ$1048576"), MATCH(F$1, NovR!$6:$6, 0), FALSE),
            0
        ) +
        IFERROR(
            VLOOKUP($A91, INDIRECT("DicR!$A$6:$ZZ$1048576"), MATCH(F$1, DicR!$6:$6, 0), FALSE),
            0
        )
)</f>
        <v>0</v>
      </c>
      <c r="G91" s="35">
        <f t="array" ref="G91">SUM(
    IFERROR(
            VLOOKUP($A91, INDIRECT("EneR!$A$6:$ZZ$1048576"), MATCH(G$1, EneR!$6:$6, 0), FALSE),
            0
        ) +
        IFERROR(
            VLOOKUP($A91, INDIRECT("FebR!$A$6:$ZZ$1048576"), MATCH(G$1, FebR!$6:$6, 0), FALSE),
            0
        ) +
        IFERROR(
            VLOOKUP($A91, INDIRECT("MarR!$A$6:$ZZ$1048576"), MATCH(G$1, MarR!$6:$6, 0), FALSE),
            0
        ) +
        IFERROR(
            VLOOKUP($A91, INDIRECT("AbrR!$A$6:$ZZ$1048576"), MATCH(G$1, AbrR!$6:$6, 0), FALSE),
            0
        ) +
        IFERROR(
            VLOOKUP($A91, INDIRECT("MayR!$A$6:$ZZ$1048576"), MATCH(G$1, MayR!$6:$6, 0), FALSE),
            0
        ) +
        IFERROR(
            VLOOKUP($A91, INDIRECT("JunR!$A$6:$ZZ$1048576"), MATCH(G$1, JunR!$6:$6, 0), FALSE),
            0
        ) +
        IFERROR(
            VLOOKUP($A91, INDIRECT("JulR!$A$6:$ZZ$1048576"), MATCH(G$1, JulR!$6:$6, 0), FALSE),
            0
        ) +
        IFERROR(
            VLOOKUP($A91, INDIRECT("AgoR!$A$6:$ZZ$1048576"), MATCH(G$1, AgoR!$6:$6, 0), FALSE),
            0
        ) +
        IFERROR(
            VLOOKUP($A91, INDIRECT("SepR!$A$6:$ZZ$1048576"), MATCH(G$1, SepR!$6:$6, 0), FALSE),
            0
        ) +
        IFERROR(
            VLOOKUP($A91, INDIRECT("OctR!$A$6:$ZZ$1048576"), MATCH(G$1, OctR!$6:$6, 0), FALSE),
            0
        ) +
        IFERROR(
            VLOOKUP($A91, INDIRECT("NovR!$A$6:$ZZ$1048576"), MATCH(G$1, NovR!$6:$6, 0), FALSE),
            0
        ) +
        IFERROR(
            VLOOKUP($A91, INDIRECT("DicR!$A$6:$ZZ$1048576"), MATCH(G$1, DicR!$6:$6, 0), FALSE),
            0
        )
)</f>
        <v>0</v>
      </c>
      <c r="H91" s="32">
        <f t="array" ref="H91">SUM(
    IFERROR(
            VLOOKUP($A91, INDIRECT("EneR!$A$6:$ZZ$1048576"), MATCH(H$1, EneR!$6:$6, 0), FALSE),
            0
        ) +
        IFERROR(
            VLOOKUP($A91, INDIRECT("FebR!$A$6:$ZZ$1048576"), MATCH(H$1, FebR!$6:$6, 0), FALSE),
            0
        ) +
        IFERROR(
            VLOOKUP($A91, INDIRECT("MarR!$A$6:$ZZ$1048576"), MATCH(H$1, MarR!$6:$6, 0), FALSE),
            0
        ) +
        IFERROR(
            VLOOKUP($A91, INDIRECT("AbrR!$A$6:$ZZ$1048576"), MATCH(H$1, AbrR!$6:$6, 0), FALSE),
            0
        ) +
        IFERROR(
            VLOOKUP($A91, INDIRECT("MayR!$A$6:$ZZ$1048576"), MATCH(H$1, MayR!$6:$6, 0), FALSE),
            0
        ) +
        IFERROR(
            VLOOKUP($A91, INDIRECT("JunR!$A$6:$ZZ$1048576"), MATCH(H$1, JunR!$6:$6, 0), FALSE),
            0
        ) +
        IFERROR(
            VLOOKUP($A91, INDIRECT("JulR!$A$6:$ZZ$1048576"), MATCH(H$1, JulR!$6:$6, 0), FALSE),
            0
        ) +
        IFERROR(
            VLOOKUP($A91, INDIRECT("AgoR!$A$6:$ZZ$1048576"), MATCH(H$1, AgoR!$6:$6, 0), FALSE),
            0
        ) +
        IFERROR(
            VLOOKUP($A91, INDIRECT("SepR!$A$6:$ZZ$1048576"), MATCH(H$1, SepR!$6:$6, 0), FALSE),
            0
        ) +
        IFERROR(
            VLOOKUP($A91, INDIRECT("OctR!$A$6:$ZZ$1048576"), MATCH(H$1, OctR!$6:$6, 0), FALSE),
            0
        ) +
        IFERROR(
            VLOOKUP($A91, INDIRECT("NovR!$A$6:$ZZ$1048576"), MATCH(H$1, NovR!$6:$6, 0), FALSE),
            0
        ) +
        IFERROR(
            VLOOKUP($A91, INDIRECT("DicR!$A$6:$ZZ$1048576"), MATCH(H$1, DicR!$6:$6, 0), FALSE),
            0
        )
)</f>
        <v>0</v>
      </c>
      <c r="I91" s="35">
        <f t="array" ref="I91">SUM(
    IFERROR(
            VLOOKUP($A91, INDIRECT("EneR!$A$6:$ZZ$1048576"), MATCH(I$1, EneR!$6:$6, 0), FALSE),
            0
        ) +
        IFERROR(
            VLOOKUP($A91, INDIRECT("FebR!$A$6:$ZZ$1048576"), MATCH(I$1, FebR!$6:$6, 0), FALSE),
            0
        ) +
        IFERROR(
            VLOOKUP($A91, INDIRECT("MarR!$A$6:$ZZ$1048576"), MATCH(I$1, MarR!$6:$6, 0), FALSE),
            0
        ) +
        IFERROR(
            VLOOKUP($A91, INDIRECT("AbrR!$A$6:$ZZ$1048576"), MATCH(I$1, AbrR!$6:$6, 0), FALSE),
            0
        ) +
        IFERROR(
            VLOOKUP($A91, INDIRECT("MayR!$A$6:$ZZ$1048576"), MATCH(I$1, MayR!$6:$6, 0), FALSE),
            0
        ) +
        IFERROR(
            VLOOKUP($A91, INDIRECT("JunR!$A$6:$ZZ$1048576"), MATCH(I$1, JunR!$6:$6, 0), FALSE),
            0
        ) +
        IFERROR(
            VLOOKUP($A91, INDIRECT("JulR!$A$6:$ZZ$1048576"), MATCH(I$1, JulR!$6:$6, 0), FALSE),
            0
        ) +
        IFERROR(
            VLOOKUP($A91, INDIRECT("AgoR!$A$6:$ZZ$1048576"), MATCH(I$1, AgoR!$6:$6, 0), FALSE),
            0
        ) +
        IFERROR(
            VLOOKUP($A91, INDIRECT("SepR!$A$6:$ZZ$1048576"), MATCH(I$1, SepR!$6:$6, 0), FALSE),
            0
        ) +
        IFERROR(
            VLOOKUP($A91, INDIRECT("OctR!$A$6:$ZZ$1048576"), MATCH(I$1, OctR!$6:$6, 0), FALSE),
            0
        ) +
        IFERROR(
            VLOOKUP($A91, INDIRECT("NovR!$A$6:$ZZ$1048576"), MATCH(I$1, NovR!$6:$6, 0), FALSE),
            0
        ) +
        IFERROR(
            VLOOKUP($A91, INDIRECT("DicR!$A$6:$ZZ$1048576"), MATCH(I$1, DicR!$6:$6, 0), FALSE),
            0
        )
)</f>
        <v>0</v>
      </c>
      <c r="J91" s="32">
        <f t="array" ref="J91">SUM(
    IFERROR(
            VLOOKUP($A91, INDIRECT("EneR!$A$6:$ZZ$1048576"), MATCH(J$1, EneR!$6:$6, 0), FALSE),
            0
        ) +
        IFERROR(
            VLOOKUP($A91, INDIRECT("FebR!$A$6:$ZZ$1048576"), MATCH(J$1, FebR!$6:$6, 0), FALSE),
            0
        ) +
        IFERROR(
            VLOOKUP($A91, INDIRECT("MarR!$A$6:$ZZ$1048576"), MATCH(J$1, MarR!$6:$6, 0), FALSE),
            0
        ) +
        IFERROR(
            VLOOKUP($A91, INDIRECT("AbrR!$A$6:$ZZ$1048576"), MATCH(J$1, AbrR!$6:$6, 0), FALSE),
            0
        ) +
        IFERROR(
            VLOOKUP($A91, INDIRECT("MayR!$A$6:$ZZ$1048576"), MATCH(J$1, MayR!$6:$6, 0), FALSE),
            0
        ) +
        IFERROR(
            VLOOKUP($A91, INDIRECT("JunR!$A$6:$ZZ$1048576"), MATCH(J$1, JunR!$6:$6, 0), FALSE),
            0
        ) +
        IFERROR(
            VLOOKUP($A91, INDIRECT("JulR!$A$6:$ZZ$1048576"), MATCH(J$1, JulR!$6:$6, 0), FALSE),
            0
        ) +
        IFERROR(
            VLOOKUP($A91, INDIRECT("AgoR!$A$6:$ZZ$1048576"), MATCH(J$1, AgoR!$6:$6, 0), FALSE),
            0
        ) +
        IFERROR(
            VLOOKUP($A91, INDIRECT("SepR!$A$6:$ZZ$1048576"), MATCH(J$1, SepR!$6:$6, 0), FALSE),
            0
        ) +
        IFERROR(
            VLOOKUP($A91, INDIRECT("OctR!$A$6:$ZZ$1048576"), MATCH(J$1, OctR!$6:$6, 0), FALSE),
            0
        ) +
        IFERROR(
            VLOOKUP($A91, INDIRECT("NovR!$A$6:$ZZ$1048576"), MATCH(J$1, NovR!$6:$6, 0), FALSE),
            0
        ) +
        IFERROR(
            VLOOKUP($A91, INDIRECT("DicR!$A$6:$ZZ$1048576"), MATCH(J$1, DicR!$6:$6, 0), FALSE),
            0
        )
)</f>
        <v>0</v>
      </c>
      <c r="K91" s="35">
        <f t="array" ref="K91">SUM(
    IFERROR(
            VLOOKUP($A91, INDIRECT("EneR!$A$6:$ZZ$1048576"), MATCH(K$1, EneR!$6:$6, 0), FALSE),
            0
        ) +
        IFERROR(
            VLOOKUP($A91, INDIRECT("FebR!$A$6:$ZZ$1048576"), MATCH(K$1, FebR!$6:$6, 0), FALSE),
            0
        ) +
        IFERROR(
            VLOOKUP($A91, INDIRECT("MarR!$A$6:$ZZ$1048576"), MATCH(K$1, MarR!$6:$6, 0), FALSE),
            0
        ) +
        IFERROR(
            VLOOKUP($A91, INDIRECT("AbrR!$A$6:$ZZ$1048576"), MATCH(K$1, AbrR!$6:$6, 0), FALSE),
            0
        ) +
        IFERROR(
            VLOOKUP($A91, INDIRECT("MayR!$A$6:$ZZ$1048576"), MATCH(K$1, MayR!$6:$6, 0), FALSE),
            0
        ) +
        IFERROR(
            VLOOKUP($A91, INDIRECT("JunR!$A$6:$ZZ$1048576"), MATCH(K$1, JunR!$6:$6, 0), FALSE),
            0
        ) +
        IFERROR(
            VLOOKUP($A91, INDIRECT("JulR!$A$6:$ZZ$1048576"), MATCH(K$1, JulR!$6:$6, 0), FALSE),
            0
        ) +
        IFERROR(
            VLOOKUP($A91, INDIRECT("AgoR!$A$6:$ZZ$1048576"), MATCH(K$1, AgoR!$6:$6, 0), FALSE),
            0
        ) +
        IFERROR(
            VLOOKUP($A91, INDIRECT("SepR!$A$6:$ZZ$1048576"), MATCH(K$1, SepR!$6:$6, 0), FALSE),
            0
        ) +
        IFERROR(
            VLOOKUP($A91, INDIRECT("OctR!$A$6:$ZZ$1048576"), MATCH(K$1, OctR!$6:$6, 0), FALSE),
            0
        ) +
        IFERROR(
            VLOOKUP($A91, INDIRECT("NovR!$A$6:$ZZ$1048576"), MATCH(K$1, NovR!$6:$6, 0), FALSE),
            0
        ) +
        IFERROR(
            VLOOKUP($A91, INDIRECT("DicR!$A$6:$ZZ$1048576"), MATCH(K$1, DicR!$6:$6, 0), FALSE),
            0
        )
)</f>
        <v>0</v>
      </c>
      <c r="L91" s="32">
        <f t="array" ref="L91">SUM(
    IFERROR(
            VLOOKUP($A91, INDIRECT("EneR!$A$6:$ZZ$1048576"), MATCH(L$1, EneR!$6:$6, 0), FALSE),
            0
        ) +
        IFERROR(
            VLOOKUP($A91, INDIRECT("FebR!$A$6:$ZZ$1048576"), MATCH(L$1, FebR!$6:$6, 0), FALSE),
            0
        ) +
        IFERROR(
            VLOOKUP($A91, INDIRECT("MarR!$A$6:$ZZ$1048576"), MATCH(L$1, MarR!$6:$6, 0), FALSE),
            0
        ) +
        IFERROR(
            VLOOKUP($A91, INDIRECT("AbrR!$A$6:$ZZ$1048576"), MATCH(L$1, AbrR!$6:$6, 0), FALSE),
            0
        ) +
        IFERROR(
            VLOOKUP($A91, INDIRECT("MayR!$A$6:$ZZ$1048576"), MATCH(L$1, MayR!$6:$6, 0), FALSE),
            0
        ) +
        IFERROR(
            VLOOKUP($A91, INDIRECT("JunR!$A$6:$ZZ$1048576"), MATCH(L$1, JunR!$6:$6, 0), FALSE),
            0
        ) +
        IFERROR(
            VLOOKUP($A91, INDIRECT("JulR!$A$6:$ZZ$1048576"), MATCH(L$1, JulR!$6:$6, 0), FALSE),
            0
        ) +
        IFERROR(
            VLOOKUP($A91, INDIRECT("AgoR!$A$6:$ZZ$1048576"), MATCH(L$1, AgoR!$6:$6, 0), FALSE),
            0
        ) +
        IFERROR(
            VLOOKUP($A91, INDIRECT("SepR!$A$6:$ZZ$1048576"), MATCH(L$1, SepR!$6:$6, 0), FALSE),
            0
        ) +
        IFERROR(
            VLOOKUP($A91, INDIRECT("OctR!$A$6:$ZZ$1048576"), MATCH(L$1, OctR!$6:$6, 0), FALSE),
            0
        ) +
        IFERROR(
            VLOOKUP($A91, INDIRECT("NovR!$A$6:$ZZ$1048576"), MATCH(L$1, NovR!$6:$6, 0), FALSE),
            0
        ) +
        IFERROR(
            VLOOKUP($A91, INDIRECT("DicR!$A$6:$ZZ$1048576"), MATCH(L$1, DicR!$6:$6, 0), FALSE),
            0
        )
)</f>
        <v>0</v>
      </c>
      <c r="M91" s="35">
        <f t="array" ref="M91">SUM(
    IFERROR(
            VLOOKUP($A91, INDIRECT("EneR!$A$6:$ZZ$1048576"), MATCH(M$1, EneR!$6:$6, 0), FALSE),
            0
        ) +
        IFERROR(
            VLOOKUP($A91, INDIRECT("FebR!$A$6:$ZZ$1048576"), MATCH(M$1, FebR!$6:$6, 0), FALSE),
            0
        ) +
        IFERROR(
            VLOOKUP($A91, INDIRECT("MarR!$A$6:$ZZ$1048576"), MATCH(M$1, MarR!$6:$6, 0), FALSE),
            0
        ) +
        IFERROR(
            VLOOKUP($A91, INDIRECT("AbrR!$A$6:$ZZ$1048576"), MATCH(M$1, AbrR!$6:$6, 0), FALSE),
            0
        ) +
        IFERROR(
            VLOOKUP($A91, INDIRECT("MayR!$A$6:$ZZ$1048576"), MATCH(M$1, MayR!$6:$6, 0), FALSE),
            0
        ) +
        IFERROR(
            VLOOKUP($A91, INDIRECT("JunR!$A$6:$ZZ$1048576"), MATCH(M$1, JunR!$6:$6, 0), FALSE),
            0
        ) +
        IFERROR(
            VLOOKUP($A91, INDIRECT("JulR!$A$6:$ZZ$1048576"), MATCH(M$1, JulR!$6:$6, 0), FALSE),
            0
        ) +
        IFERROR(
            VLOOKUP($A91, INDIRECT("AgoR!$A$6:$ZZ$1048576"), MATCH(M$1, AgoR!$6:$6, 0), FALSE),
            0
        ) +
        IFERROR(
            VLOOKUP($A91, INDIRECT("SepR!$A$6:$ZZ$1048576"), MATCH(M$1, SepR!$6:$6, 0), FALSE),
            0
        ) +
        IFERROR(
            VLOOKUP($A91, INDIRECT("OctR!$A$6:$ZZ$1048576"), MATCH(M$1, OctR!$6:$6, 0), FALSE),
            0
        ) +
        IFERROR(
            VLOOKUP($A91, INDIRECT("NovR!$A$6:$ZZ$1048576"), MATCH(M$1, NovR!$6:$6, 0), FALSE),
            0
        ) +
        IFERROR(
            VLOOKUP($A91, INDIRECT("DicR!$A$6:$ZZ$1048576"), MATCH(M$1, DicR!$6:$6, 0), FALSE),
            0
        )
)</f>
        <v>0</v>
      </c>
      <c r="N91" s="32">
        <f t="array" ref="N91">SUM(
    IFERROR(
            VLOOKUP($A91, INDIRECT("EneR!$A$6:$ZZ$1048576"), MATCH(N$1, EneR!$6:$6, 0), FALSE),
            0
        ) +
        IFERROR(
            VLOOKUP($A91, INDIRECT("FebR!$A$6:$ZZ$1048576"), MATCH(N$1, FebR!$6:$6, 0), FALSE),
            0
        ) +
        IFERROR(
            VLOOKUP($A91, INDIRECT("MarR!$A$6:$ZZ$1048576"), MATCH(N$1, MarR!$6:$6, 0), FALSE),
            0
        ) +
        IFERROR(
            VLOOKUP($A91, INDIRECT("AbrR!$A$6:$ZZ$1048576"), MATCH(N$1, AbrR!$6:$6, 0), FALSE),
            0
        ) +
        IFERROR(
            VLOOKUP($A91, INDIRECT("MayR!$A$6:$ZZ$1048576"), MATCH(N$1, MayR!$6:$6, 0), FALSE),
            0
        ) +
        IFERROR(
            VLOOKUP($A91, INDIRECT("JunR!$A$6:$ZZ$1048576"), MATCH(N$1, JunR!$6:$6, 0), FALSE),
            0
        ) +
        IFERROR(
            VLOOKUP($A91, INDIRECT("JulR!$A$6:$ZZ$1048576"), MATCH(N$1, JulR!$6:$6, 0), FALSE),
            0
        ) +
        IFERROR(
            VLOOKUP($A91, INDIRECT("AgoR!$A$6:$ZZ$1048576"), MATCH(N$1, AgoR!$6:$6, 0), FALSE),
            0
        ) +
        IFERROR(
            VLOOKUP($A91, INDIRECT("SepR!$A$6:$ZZ$1048576"), MATCH(N$1, SepR!$6:$6, 0), FALSE),
            0
        ) +
        IFERROR(
            VLOOKUP($A91, INDIRECT("OctR!$A$6:$ZZ$1048576"), MATCH(N$1, OctR!$6:$6, 0), FALSE),
            0
        ) +
        IFERROR(
            VLOOKUP($A91, INDIRECT("NovR!$A$6:$ZZ$1048576"), MATCH(N$1, NovR!$6:$6, 0), FALSE),
            0
        ) +
        IFERROR(
            VLOOKUP($A91, INDIRECT("DicR!$A$6:$ZZ$1048576"), MATCH(N$1, DicR!$6:$6, 0), FALSE),
            0
        )
)</f>
        <v>0</v>
      </c>
      <c r="O91" s="35">
        <f t="array" ref="O91">SUM(
    IFERROR(
            VLOOKUP($A91, INDIRECT("EneR!$A$6:$ZZ$1048576"), MATCH(O$1, EneR!$6:$6, 0), FALSE),
            0
        ) +
        IFERROR(
            VLOOKUP($A91, INDIRECT("FebR!$A$6:$ZZ$1048576"), MATCH(O$1, FebR!$6:$6, 0), FALSE),
            0
        ) +
        IFERROR(
            VLOOKUP($A91, INDIRECT("MarR!$A$6:$ZZ$1048576"), MATCH(O$1, MarR!$6:$6, 0), FALSE),
            0
        ) +
        IFERROR(
            VLOOKUP($A91, INDIRECT("AbrR!$A$6:$ZZ$1048576"), MATCH(O$1, AbrR!$6:$6, 0), FALSE),
            0
        ) +
        IFERROR(
            VLOOKUP($A91, INDIRECT("MayR!$A$6:$ZZ$1048576"), MATCH(O$1, MayR!$6:$6, 0), FALSE),
            0
        ) +
        IFERROR(
            VLOOKUP($A91, INDIRECT("JunR!$A$6:$ZZ$1048576"), MATCH(O$1, JunR!$6:$6, 0), FALSE),
            0
        ) +
        IFERROR(
            VLOOKUP($A91, INDIRECT("JulR!$A$6:$ZZ$1048576"), MATCH(O$1, JulR!$6:$6, 0), FALSE),
            0
        ) +
        IFERROR(
            VLOOKUP($A91, INDIRECT("AgoR!$A$6:$ZZ$1048576"), MATCH(O$1, AgoR!$6:$6, 0), FALSE),
            0
        ) +
        IFERROR(
            VLOOKUP($A91, INDIRECT("SepR!$A$6:$ZZ$1048576"), MATCH(O$1, SepR!$6:$6, 0), FALSE),
            0
        ) +
        IFERROR(
            VLOOKUP($A91, INDIRECT("OctR!$A$6:$ZZ$1048576"), MATCH(O$1, OctR!$6:$6, 0), FALSE),
            0
        ) +
        IFERROR(
            VLOOKUP($A91, INDIRECT("NovR!$A$6:$ZZ$1048576"), MATCH(O$1, NovR!$6:$6, 0), FALSE),
            0
        ) +
        IFERROR(
            VLOOKUP($A91, INDIRECT("DicR!$A$6:$ZZ$1048576"), MATCH(O$1, DicR!$6:$6, 0), FALSE),
            0
        )
)</f>
        <v>0</v>
      </c>
      <c r="P91" s="32">
        <f t="array" ref="P91">SUM(
    IFERROR(
            VLOOKUP($A91, INDIRECT("EneR!$A$6:$ZZ$1048576"), MATCH(P$1, EneR!$6:$6, 0), FALSE),
            0
        ) +
        IFERROR(
            VLOOKUP($A91, INDIRECT("FebR!$A$6:$ZZ$1048576"), MATCH(P$1, FebR!$6:$6, 0), FALSE),
            0
        ) +
        IFERROR(
            VLOOKUP($A91, INDIRECT("MarR!$A$6:$ZZ$1048576"), MATCH(P$1, MarR!$6:$6, 0), FALSE),
            0
        ) +
        IFERROR(
            VLOOKUP($A91, INDIRECT("AbrR!$A$6:$ZZ$1048576"), MATCH(P$1, AbrR!$6:$6, 0), FALSE),
            0
        ) +
        IFERROR(
            VLOOKUP($A91, INDIRECT("MayR!$A$6:$ZZ$1048576"), MATCH(P$1, MayR!$6:$6, 0), FALSE),
            0
        ) +
        IFERROR(
            VLOOKUP($A91, INDIRECT("JunR!$A$6:$ZZ$1048576"), MATCH(P$1, JunR!$6:$6, 0), FALSE),
            0
        ) +
        IFERROR(
            VLOOKUP($A91, INDIRECT("JulR!$A$6:$ZZ$1048576"), MATCH(P$1, JulR!$6:$6, 0), FALSE),
            0
        ) +
        IFERROR(
            VLOOKUP($A91, INDIRECT("AgoR!$A$6:$ZZ$1048576"), MATCH(P$1, AgoR!$6:$6, 0), FALSE),
            0
        ) +
        IFERROR(
            VLOOKUP($A91, INDIRECT("SepR!$A$6:$ZZ$1048576"), MATCH(P$1, SepR!$6:$6, 0), FALSE),
            0
        ) +
        IFERROR(
            VLOOKUP($A91, INDIRECT("OctR!$A$6:$ZZ$1048576"), MATCH(P$1, OctR!$6:$6, 0), FALSE),
            0
        ) +
        IFERROR(
            VLOOKUP($A91, INDIRECT("NovR!$A$6:$ZZ$1048576"), MATCH(P$1, NovR!$6:$6, 0), FALSE),
            0
        ) +
        IFERROR(
            VLOOKUP($A91, INDIRECT("DicR!$A$6:$ZZ$1048576"), MATCH(P$1, DicR!$6:$6, 0), FALSE),
            0
        )
)</f>
        <v>0</v>
      </c>
      <c r="Q91" s="35">
        <f t="array" ref="Q91">SUM(
    IFERROR(
            VLOOKUP($A91, INDIRECT("EneR!$A$6:$ZZ$1048576"), MATCH(Q$1, EneR!$6:$6, 0), FALSE),
            0
        ) +
        IFERROR(
            VLOOKUP($A91, INDIRECT("FebR!$A$6:$ZZ$1048576"), MATCH(Q$1, FebR!$6:$6, 0), FALSE),
            0
        ) +
        IFERROR(
            VLOOKUP($A91, INDIRECT("MarR!$A$6:$ZZ$1048576"), MATCH(Q$1, MarR!$6:$6, 0), FALSE),
            0
        ) +
        IFERROR(
            VLOOKUP($A91, INDIRECT("AbrR!$A$6:$ZZ$1048576"), MATCH(Q$1, AbrR!$6:$6, 0), FALSE),
            0
        ) +
        IFERROR(
            VLOOKUP($A91, INDIRECT("MayR!$A$6:$ZZ$1048576"), MATCH(Q$1, MayR!$6:$6, 0), FALSE),
            0
        ) +
        IFERROR(
            VLOOKUP($A91, INDIRECT("JunR!$A$6:$ZZ$1048576"), MATCH(Q$1, JunR!$6:$6, 0), FALSE),
            0
        ) +
        IFERROR(
            VLOOKUP($A91, INDIRECT("JulR!$A$6:$ZZ$1048576"), MATCH(Q$1, JulR!$6:$6, 0), FALSE),
            0
        ) +
        IFERROR(
            VLOOKUP($A91, INDIRECT("AgoR!$A$6:$ZZ$1048576"), MATCH(Q$1, AgoR!$6:$6, 0), FALSE),
            0
        ) +
        IFERROR(
            VLOOKUP($A91, INDIRECT("SepR!$A$6:$ZZ$1048576"), MATCH(Q$1, SepR!$6:$6, 0), FALSE),
            0
        ) +
        IFERROR(
            VLOOKUP($A91, INDIRECT("OctR!$A$6:$ZZ$1048576"), MATCH(Q$1, OctR!$6:$6, 0), FALSE),
            0
        ) +
        IFERROR(
            VLOOKUP($A91, INDIRECT("NovR!$A$6:$ZZ$1048576"), MATCH(Q$1, NovR!$6:$6, 0), FALSE),
            0
        ) +
        IFERROR(
            VLOOKUP($A91, INDIRECT("DicR!$A$6:$ZZ$1048576"), MATCH(Q$1, DicR!$6:$6, 0), FALSE),
            0
        )
)</f>
        <v>0</v>
      </c>
      <c r="R91" s="36">
        <f t="array" ref="R91">SUM(
    IFERROR(
            VLOOKUP($A91, INDIRECT("EneR!$A$6:$ZZ$1048576"), MATCH(R$1, EneR!$6:$6, 0), FALSE),
            0
        ) +
        IFERROR(
            VLOOKUP($A91, INDIRECT("FebR!$A$6:$ZZ$1048576"), MATCH(R$1, FebR!$6:$6, 0), FALSE),
            0
        ) +
        IFERROR(
            VLOOKUP($A91, INDIRECT("MarR!$A$6:$ZZ$1048576"), MATCH(R$1, MarR!$6:$6, 0), FALSE),
            0
        ) +
        IFERROR(
            VLOOKUP($A91, INDIRECT("AbrR!$A$6:$ZZ$1048576"), MATCH(R$1, AbrR!$6:$6, 0), FALSE),
            0
        ) +
        IFERROR(
            VLOOKUP($A91, INDIRECT("MayR!$A$6:$ZZ$1048576"), MATCH(R$1, MayR!$6:$6, 0), FALSE),
            0
        ) +
        IFERROR(
            VLOOKUP($A91, INDIRECT("JunR!$A$6:$ZZ$1048576"), MATCH(R$1, JunR!$6:$6, 0), FALSE),
            0
        ) +
        IFERROR(
            VLOOKUP($A91, INDIRECT("JulR!$A$6:$ZZ$1048576"), MATCH(R$1, JulR!$6:$6, 0), FALSE),
            0
        ) +
        IFERROR(
            VLOOKUP($A91, INDIRECT("AgoR!$A$6:$ZZ$1048576"), MATCH(R$1, AgoR!$6:$6, 0), FALSE),
            0
        ) +
        IFERROR(
            VLOOKUP($A91, INDIRECT("SepR!$A$6:$ZZ$1048576"), MATCH(R$1, SepR!$6:$6, 0), FALSE),
            0
        ) +
        IFERROR(
            VLOOKUP($A91, INDIRECT("OctR!$A$6:$ZZ$1048576"), MATCH(R$1, OctR!$6:$6, 0), FALSE),
            0
        ) +
        IFERROR(
            VLOOKUP($A91, INDIRECT("NovR!$A$6:$ZZ$1048576"), MATCH(R$1, NovR!$6:$6, 0), FALSE),
            0
        ) +
        IFERROR(
            VLOOKUP($A91, INDIRECT("DicR!$A$6:$ZZ$1048576"), MATCH(R$1, DicR!$6:$6, 0), FALSE),
            0
        )
)</f>
        <v>0</v>
      </c>
      <c r="S91" s="37">
        <f t="array" ref="S91">SUM(
    IFERROR(
            VLOOKUP($A91, INDIRECT("EneR!$A$6:$ZZ$1048576"), MATCH(S$1, EneR!$6:$6, 0), FALSE),
            0
        ) +
        IFERROR(
            VLOOKUP($A91, INDIRECT("FebR!$A$6:$ZZ$1048576"), MATCH(S$1, FebR!$6:$6, 0), FALSE),
            0
        ) +
        IFERROR(
            VLOOKUP($A91, INDIRECT("MarR!$A$6:$ZZ$1048576"), MATCH(S$1, MarR!$6:$6, 0), FALSE),
            0
        ) +
        IFERROR(
            VLOOKUP($A91, INDIRECT("AbrR!$A$6:$ZZ$1048576"), MATCH(S$1, AbrR!$6:$6, 0), FALSE),
            0
        ) +
        IFERROR(
            VLOOKUP($A91, INDIRECT("MayR!$A$6:$ZZ$1048576"), MATCH(S$1, MayR!$6:$6, 0), FALSE),
            0
        ) +
        IFERROR(
            VLOOKUP($A91, INDIRECT("JunR!$A$6:$ZZ$1048576"), MATCH(S$1, JunR!$6:$6, 0), FALSE),
            0
        ) +
        IFERROR(
            VLOOKUP($A91, INDIRECT("JulR!$A$6:$ZZ$1048576"), MATCH(S$1, JulR!$6:$6, 0), FALSE),
            0
        ) +
        IFERROR(
            VLOOKUP($A91, INDIRECT("AgoR!$A$6:$ZZ$1048576"), MATCH(S$1, AgoR!$6:$6, 0), FALSE),
            0
        ) +
        IFERROR(
            VLOOKUP($A91, INDIRECT("SepR!$A$6:$ZZ$1048576"), MATCH(S$1, SepR!$6:$6, 0), FALSE),
            0
        ) +
        IFERROR(
            VLOOKUP($A91, INDIRECT("OctR!$A$6:$ZZ$1048576"), MATCH(S$1, OctR!$6:$6, 0), FALSE),
            0
        ) +
        IFERROR(
            VLOOKUP($A91, INDIRECT("NovR!$A$6:$ZZ$1048576"), MATCH(S$1, NovR!$6:$6, 0), FALSE),
            0
        ) +
        IFERROR(
            VLOOKUP($A91, INDIRECT("DicR!$A$6:$ZZ$1048576"), MATCH(S$1, DicR!$6:$6, 0), FALSE),
            0
        )
)</f>
        <v>0</v>
      </c>
      <c r="T91" s="36">
        <f t="array" ref="T91">SUM(
    IFERROR(
            VLOOKUP($A91, INDIRECT("EneR!$A$6:$ZZ$1048576"), MATCH(T$1, EneR!$6:$6, 0), FALSE),
            0
        ) +
        IFERROR(
            VLOOKUP($A91, INDIRECT("FebR!$A$6:$ZZ$1048576"), MATCH(T$1, FebR!$6:$6, 0), FALSE),
            0
        ) +
        IFERROR(
            VLOOKUP($A91, INDIRECT("MarR!$A$6:$ZZ$1048576"), MATCH(T$1, MarR!$6:$6, 0), FALSE),
            0
        ) +
        IFERROR(
            VLOOKUP($A91, INDIRECT("AbrR!$A$6:$ZZ$1048576"), MATCH(T$1, AbrR!$6:$6, 0), FALSE),
            0
        ) +
        IFERROR(
            VLOOKUP($A91, INDIRECT("MayR!$A$6:$ZZ$1048576"), MATCH(T$1, MayR!$6:$6, 0), FALSE),
            0
        ) +
        IFERROR(
            VLOOKUP($A91, INDIRECT("JunR!$A$6:$ZZ$1048576"), MATCH(T$1, JunR!$6:$6, 0), FALSE),
            0
        ) +
        IFERROR(
            VLOOKUP($A91, INDIRECT("JulR!$A$6:$ZZ$1048576"), MATCH(T$1, JulR!$6:$6, 0), FALSE),
            0
        ) +
        IFERROR(
            VLOOKUP($A91, INDIRECT("AgoR!$A$6:$ZZ$1048576"), MATCH(T$1, AgoR!$6:$6, 0), FALSE),
            0
        ) +
        IFERROR(
            VLOOKUP($A91, INDIRECT("SepR!$A$6:$ZZ$1048576"), MATCH(T$1, SepR!$6:$6, 0), FALSE),
            0
        ) +
        IFERROR(
            VLOOKUP($A91, INDIRECT("OctR!$A$6:$ZZ$1048576"), MATCH(T$1, OctR!$6:$6, 0), FALSE),
            0
        ) +
        IFERROR(
            VLOOKUP($A91, INDIRECT("NovR!$A$6:$ZZ$1048576"), MATCH(T$1, NovR!$6:$6, 0), FALSE),
            0
        ) +
        IFERROR(
            VLOOKUP($A91, INDIRECT("DicR!$A$6:$ZZ$1048576"), MATCH(T$1, DicR!$6:$6, 0), FALSE),
            0
        )
)</f>
        <v>0</v>
      </c>
      <c r="U91" s="37">
        <f t="array" ref="U91">SUM(
    IFERROR(
            VLOOKUP($A91, INDIRECT("EneR!$A$6:$ZZ$1048576"), MATCH(U$1, EneR!$6:$6, 0), FALSE),
            0
        ) +
        IFERROR(
            VLOOKUP($A91, INDIRECT("FebR!$A$6:$ZZ$1048576"), MATCH(U$1, FebR!$6:$6, 0), FALSE),
            0
        ) +
        IFERROR(
            VLOOKUP($A91, INDIRECT("MarR!$A$6:$ZZ$1048576"), MATCH(U$1, MarR!$6:$6, 0), FALSE),
            0
        ) +
        IFERROR(
            VLOOKUP($A91, INDIRECT("AbrR!$A$6:$ZZ$1048576"), MATCH(U$1, AbrR!$6:$6, 0), FALSE),
            0
        ) +
        IFERROR(
            VLOOKUP($A91, INDIRECT("MayR!$A$6:$ZZ$1048576"), MATCH(U$1, MayR!$6:$6, 0), FALSE),
            0
        ) +
        IFERROR(
            VLOOKUP($A91, INDIRECT("JunR!$A$6:$ZZ$1048576"), MATCH(U$1, JunR!$6:$6, 0), FALSE),
            0
        ) +
        IFERROR(
            VLOOKUP($A91, INDIRECT("JulR!$A$6:$ZZ$1048576"), MATCH(U$1, JulR!$6:$6, 0), FALSE),
            0
        ) +
        IFERROR(
            VLOOKUP($A91, INDIRECT("AgoR!$A$6:$ZZ$1048576"), MATCH(U$1, AgoR!$6:$6, 0), FALSE),
            0
        ) +
        IFERROR(
            VLOOKUP($A91, INDIRECT("SepR!$A$6:$ZZ$1048576"), MATCH(U$1, SepR!$6:$6, 0), FALSE),
            0
        ) +
        IFERROR(
            VLOOKUP($A91, INDIRECT("OctR!$A$6:$ZZ$1048576"), MATCH(U$1, OctR!$6:$6, 0), FALSE),
            0
        ) +
        IFERROR(
            VLOOKUP($A91, INDIRECT("NovR!$A$6:$ZZ$1048576"), MATCH(U$1, NovR!$6:$6, 0), FALSE),
            0
        ) +
        IFERROR(
            VLOOKUP($A91, INDIRECT("DicR!$A$6:$ZZ$1048576"), MATCH(U$1, DicR!$6:$6, 0), FALSE),
            0
        )
)</f>
        <v>0</v>
      </c>
      <c r="V91" s="36">
        <f t="array" ref="V91">SUM(
    IFERROR(
            VLOOKUP($A91, INDIRECT("EneR!$A$6:$ZZ$1048576"), MATCH(V$1, EneR!$6:$6, 0), FALSE),
            0
        ) +
        IFERROR(
            VLOOKUP($A91, INDIRECT("FebR!$A$6:$ZZ$1048576"), MATCH(V$1, FebR!$6:$6, 0), FALSE),
            0
        ) +
        IFERROR(
            VLOOKUP($A91, INDIRECT("MarR!$A$6:$ZZ$1048576"), MATCH(V$1, MarR!$6:$6, 0), FALSE),
            0
        ) +
        IFERROR(
            VLOOKUP($A91, INDIRECT("AbrR!$A$6:$ZZ$1048576"), MATCH(V$1, AbrR!$6:$6, 0), FALSE),
            0
        ) +
        IFERROR(
            VLOOKUP($A91, INDIRECT("MayR!$A$6:$ZZ$1048576"), MATCH(V$1, MayR!$6:$6, 0), FALSE),
            0
        ) +
        IFERROR(
            VLOOKUP($A91, INDIRECT("JunR!$A$6:$ZZ$1048576"), MATCH(V$1, JunR!$6:$6, 0), FALSE),
            0
        ) +
        IFERROR(
            VLOOKUP($A91, INDIRECT("JulR!$A$6:$ZZ$1048576"), MATCH(V$1, JulR!$6:$6, 0), FALSE),
            0
        ) +
        IFERROR(
            VLOOKUP($A91, INDIRECT("AgoR!$A$6:$ZZ$1048576"), MATCH(V$1, AgoR!$6:$6, 0), FALSE),
            0
        ) +
        IFERROR(
            VLOOKUP($A91, INDIRECT("SepR!$A$6:$ZZ$1048576"), MATCH(V$1, SepR!$6:$6, 0), FALSE),
            0
        ) +
        IFERROR(
            VLOOKUP($A91, INDIRECT("OctR!$A$6:$ZZ$1048576"), MATCH(V$1, OctR!$6:$6, 0), FALSE),
            0
        ) +
        IFERROR(
            VLOOKUP($A91, INDIRECT("NovR!$A$6:$ZZ$1048576"), MATCH(V$1, NovR!$6:$6, 0), FALSE),
            0
        ) +
        IFERROR(
            VLOOKUP($A91, INDIRECT("DicR!$A$6:$ZZ$1048576"), MATCH(V$1, DicR!$6:$6, 0), FALSE),
            0
        )
)</f>
        <v>0</v>
      </c>
      <c r="W91" s="37">
        <f t="array" ref="W91">SUM(
    IFERROR(
            VLOOKUP($A91, INDIRECT("EneR!$A$6:$ZZ$1048576"), MATCH(W$1, EneR!$6:$6, 0), FALSE),
            0
        ) +
        IFERROR(
            VLOOKUP($A91, INDIRECT("FebR!$A$6:$ZZ$1048576"), MATCH(W$1, FebR!$6:$6, 0), FALSE),
            0
        ) +
        IFERROR(
            VLOOKUP($A91, INDIRECT("MarR!$A$6:$ZZ$1048576"), MATCH(W$1, MarR!$6:$6, 0), FALSE),
            0
        ) +
        IFERROR(
            VLOOKUP($A91, INDIRECT("AbrR!$A$6:$ZZ$1048576"), MATCH(W$1, AbrR!$6:$6, 0), FALSE),
            0
        ) +
        IFERROR(
            VLOOKUP($A91, INDIRECT("MayR!$A$6:$ZZ$1048576"), MATCH(W$1, MayR!$6:$6, 0), FALSE),
            0
        ) +
        IFERROR(
            VLOOKUP($A91, INDIRECT("JunR!$A$6:$ZZ$1048576"), MATCH(W$1, JunR!$6:$6, 0), FALSE),
            0
        ) +
        IFERROR(
            VLOOKUP($A91, INDIRECT("JulR!$A$6:$ZZ$1048576"), MATCH(W$1, JulR!$6:$6, 0), FALSE),
            0
        ) +
        IFERROR(
            VLOOKUP($A91, INDIRECT("AgoR!$A$6:$ZZ$1048576"), MATCH(W$1, AgoR!$6:$6, 0), FALSE),
            0
        ) +
        IFERROR(
            VLOOKUP($A91, INDIRECT("SepR!$A$6:$ZZ$1048576"), MATCH(W$1, SepR!$6:$6, 0), FALSE),
            0
        ) +
        IFERROR(
            VLOOKUP($A91, INDIRECT("OctR!$A$6:$ZZ$1048576"), MATCH(W$1, OctR!$6:$6, 0), FALSE),
            0
        ) +
        IFERROR(
            VLOOKUP($A91, INDIRECT("NovR!$A$6:$ZZ$1048576"), MATCH(W$1, NovR!$6:$6, 0), FALSE),
            0
        ) +
        IFERROR(
            VLOOKUP($A91, INDIRECT("DicR!$A$6:$ZZ$1048576"), MATCH(W$1, DicR!$6:$6, 0), FALSE),
            0
        )
)</f>
        <v>0</v>
      </c>
      <c r="X91" s="36">
        <f t="array" ref="X91">SUM(
    IFERROR(
            VLOOKUP($A91, INDIRECT("EneR!$A$6:$ZZ$1048576"), MATCH(X$1, EneR!$6:$6, 0), FALSE),
            0
        ) +
        IFERROR(
            VLOOKUP($A91, INDIRECT("FebR!$A$6:$ZZ$1048576"), MATCH(X$1, FebR!$6:$6, 0), FALSE),
            0
        ) +
        IFERROR(
            VLOOKUP($A91, INDIRECT("MarR!$A$6:$ZZ$1048576"), MATCH(X$1, MarR!$6:$6, 0), FALSE),
            0
        ) +
        IFERROR(
            VLOOKUP($A91, INDIRECT("AbrR!$A$6:$ZZ$1048576"), MATCH(X$1, AbrR!$6:$6, 0), FALSE),
            0
        ) +
        IFERROR(
            VLOOKUP($A91, INDIRECT("MayR!$A$6:$ZZ$1048576"), MATCH(X$1, MayR!$6:$6, 0), FALSE),
            0
        ) +
        IFERROR(
            VLOOKUP($A91, INDIRECT("JunR!$A$6:$ZZ$1048576"), MATCH(X$1, JunR!$6:$6, 0), FALSE),
            0
        ) +
        IFERROR(
            VLOOKUP($A91, INDIRECT("JulR!$A$6:$ZZ$1048576"), MATCH(X$1, JulR!$6:$6, 0), FALSE),
            0
        ) +
        IFERROR(
            VLOOKUP($A91, INDIRECT("AgoR!$A$6:$ZZ$1048576"), MATCH(X$1, AgoR!$6:$6, 0), FALSE),
            0
        ) +
        IFERROR(
            VLOOKUP($A91, INDIRECT("SepR!$A$6:$ZZ$1048576"), MATCH(X$1, SepR!$6:$6, 0), FALSE),
            0
        ) +
        IFERROR(
            VLOOKUP($A91, INDIRECT("OctR!$A$6:$ZZ$1048576"), MATCH(X$1, OctR!$6:$6, 0), FALSE),
            0
        ) +
        IFERROR(
            VLOOKUP($A91, INDIRECT("NovR!$A$6:$ZZ$1048576"), MATCH(X$1, NovR!$6:$6, 0), FALSE),
            0
        ) +
        IFERROR(
            VLOOKUP($A91, INDIRECT("DicR!$A$6:$ZZ$1048576"), MATCH(X$1, DicR!$6:$6, 0), FALSE),
            0
        )
)</f>
        <v>0</v>
      </c>
      <c r="Y91" s="37">
        <f t="array" ref="Y91">SUM(
    IFERROR(
            VLOOKUP($A91, INDIRECT("EneR!$A$6:$ZZ$1048576"), MATCH(Y$1, EneR!$6:$6, 0), FALSE),
            0
        ) +
        IFERROR(
            VLOOKUP($A91, INDIRECT("FebR!$A$6:$ZZ$1048576"), MATCH(Y$1, FebR!$6:$6, 0), FALSE),
            0
        ) +
        IFERROR(
            VLOOKUP($A91, INDIRECT("MarR!$A$6:$ZZ$1048576"), MATCH(Y$1, MarR!$6:$6, 0), FALSE),
            0
        ) +
        IFERROR(
            VLOOKUP($A91, INDIRECT("AbrR!$A$6:$ZZ$1048576"), MATCH(Y$1, AbrR!$6:$6, 0), FALSE),
            0
        ) +
        IFERROR(
            VLOOKUP($A91, INDIRECT("MayR!$A$6:$ZZ$1048576"), MATCH(Y$1, MayR!$6:$6, 0), FALSE),
            0
        ) +
        IFERROR(
            VLOOKUP($A91, INDIRECT("JunR!$A$6:$ZZ$1048576"), MATCH(Y$1, JunR!$6:$6, 0), FALSE),
            0
        ) +
        IFERROR(
            VLOOKUP($A91, INDIRECT("JulR!$A$6:$ZZ$1048576"), MATCH(Y$1, JulR!$6:$6, 0), FALSE),
            0
        ) +
        IFERROR(
            VLOOKUP($A91, INDIRECT("AgoR!$A$6:$ZZ$1048576"), MATCH(Y$1, AgoR!$6:$6, 0), FALSE),
            0
        ) +
        IFERROR(
            VLOOKUP($A91, INDIRECT("SepR!$A$6:$ZZ$1048576"), MATCH(Y$1, SepR!$6:$6, 0), FALSE),
            0
        ) +
        IFERROR(
            VLOOKUP($A91, INDIRECT("OctR!$A$6:$ZZ$1048576"), MATCH(Y$1, OctR!$6:$6, 0), FALSE),
            0
        ) +
        IFERROR(
            VLOOKUP($A91, INDIRECT("NovR!$A$6:$ZZ$1048576"), MATCH(Y$1, NovR!$6:$6, 0), FALSE),
            0
        ) +
        IFERROR(
            VLOOKUP($A91, INDIRECT("DicR!$A$6:$ZZ$1048576"), MATCH(Y$1, DicR!$6:$6, 0), FALSE),
            0
        )
)</f>
        <v>0</v>
      </c>
      <c r="Z91" s="36">
        <f t="array" ref="Z91">SUM(
    IFERROR(
            VLOOKUP($A91, INDIRECT("EneR!$A$6:$ZZ$1048576"), MATCH(Z$1, EneR!$6:$6, 0), FALSE),
            0
        ) +
        IFERROR(
            VLOOKUP($A91, INDIRECT("FebR!$A$6:$ZZ$1048576"), MATCH(Z$1, FebR!$6:$6, 0), FALSE),
            0
        ) +
        IFERROR(
            VLOOKUP($A91, INDIRECT("MarR!$A$6:$ZZ$1048576"), MATCH(Z$1, MarR!$6:$6, 0), FALSE),
            0
        ) +
        IFERROR(
            VLOOKUP($A91, INDIRECT("AbrR!$A$6:$ZZ$1048576"), MATCH(Z$1, AbrR!$6:$6, 0), FALSE),
            0
        ) +
        IFERROR(
            VLOOKUP($A91, INDIRECT("MayR!$A$6:$ZZ$1048576"), MATCH(Z$1, MayR!$6:$6, 0), FALSE),
            0
        ) +
        IFERROR(
            VLOOKUP($A91, INDIRECT("JunR!$A$6:$ZZ$1048576"), MATCH(Z$1, JunR!$6:$6, 0), FALSE),
            0
        ) +
        IFERROR(
            VLOOKUP($A91, INDIRECT("JulR!$A$6:$ZZ$1048576"), MATCH(Z$1, JulR!$6:$6, 0), FALSE),
            0
        ) +
        IFERROR(
            VLOOKUP($A91, INDIRECT("AgoR!$A$6:$ZZ$1048576"), MATCH(Z$1, AgoR!$6:$6, 0), FALSE),
            0
        ) +
        IFERROR(
            VLOOKUP($A91, INDIRECT("SepR!$A$6:$ZZ$1048576"), MATCH(Z$1, SepR!$6:$6, 0), FALSE),
            0
        ) +
        IFERROR(
            VLOOKUP($A91, INDIRECT("OctR!$A$6:$ZZ$1048576"), MATCH(Z$1, OctR!$6:$6, 0), FALSE),
            0
        ) +
        IFERROR(
            VLOOKUP($A91, INDIRECT("NovR!$A$6:$ZZ$1048576"), MATCH(Z$1, NovR!$6:$6, 0), FALSE),
            0
        ) +
        IFERROR(
            VLOOKUP($A91, INDIRECT("DicR!$A$6:$ZZ$1048576"), MATCH(Z$1, DicR!$6:$6, 0), FALSE),
            0
        )
)</f>
        <v>0</v>
      </c>
      <c r="AA91" s="37">
        <f t="array" ref="AA91">SUM(
    IFERROR(
            VLOOKUP($A91, INDIRECT("EneR!$A$6:$ZZ$1048576"), MATCH(AA$1, EneR!$6:$6, 0), FALSE),
            0
        ) +
        IFERROR(
            VLOOKUP($A91, INDIRECT("FebR!$A$6:$ZZ$1048576"), MATCH(AA$1, FebR!$6:$6, 0), FALSE),
            0
        ) +
        IFERROR(
            VLOOKUP($A91, INDIRECT("MarR!$A$6:$ZZ$1048576"), MATCH(AA$1, MarR!$6:$6, 0), FALSE),
            0
        ) +
        IFERROR(
            VLOOKUP($A91, INDIRECT("AbrR!$A$6:$ZZ$1048576"), MATCH(AA$1, AbrR!$6:$6, 0), FALSE),
            0
        ) +
        IFERROR(
            VLOOKUP($A91, INDIRECT("MayR!$A$6:$ZZ$1048576"), MATCH(AA$1, MayR!$6:$6, 0), FALSE),
            0
        ) +
        IFERROR(
            VLOOKUP($A91, INDIRECT("JunR!$A$6:$ZZ$1048576"), MATCH(AA$1, JunR!$6:$6, 0), FALSE),
            0
        ) +
        IFERROR(
            VLOOKUP($A91, INDIRECT("JulR!$A$6:$ZZ$1048576"), MATCH(AA$1, JulR!$6:$6, 0), FALSE),
            0
        ) +
        IFERROR(
            VLOOKUP($A91, INDIRECT("AgoR!$A$6:$ZZ$1048576"), MATCH(AA$1, AgoR!$6:$6, 0), FALSE),
            0
        ) +
        IFERROR(
            VLOOKUP($A91, INDIRECT("SepR!$A$6:$ZZ$1048576"), MATCH(AA$1, SepR!$6:$6, 0), FALSE),
            0
        ) +
        IFERROR(
            VLOOKUP($A91, INDIRECT("OctR!$A$6:$ZZ$1048576"), MATCH(AA$1, OctR!$6:$6, 0), FALSE),
            0
        ) +
        IFERROR(
            VLOOKUP($A91, INDIRECT("NovR!$A$6:$ZZ$1048576"), MATCH(AA$1, NovR!$6:$6, 0), FALSE),
            0
        ) +
        IFERROR(
            VLOOKUP($A91, INDIRECT("DicR!$A$6:$ZZ$1048576"), MATCH(AA$1, DicR!$6:$6, 0), FALSE),
            0
        )
)</f>
        <v>0</v>
      </c>
      <c r="AB91" s="36">
        <f t="array" ref="AB91">SUM(
    IFERROR(
            VLOOKUP($A91, INDIRECT("EneR!$A$6:$ZZ$1048576"), MATCH(AB$1, EneR!$6:$6, 0), FALSE),
            0
        ) +
        IFERROR(
            VLOOKUP($A91, INDIRECT("FebR!$A$6:$ZZ$1048576"), MATCH(AB$1, FebR!$6:$6, 0), FALSE),
            0
        ) +
        IFERROR(
            VLOOKUP($A91, INDIRECT("MarR!$A$6:$ZZ$1048576"), MATCH(AB$1, MarR!$6:$6, 0), FALSE),
            0
        ) +
        IFERROR(
            VLOOKUP($A91, INDIRECT("AbrR!$A$6:$ZZ$1048576"), MATCH(AB$1, AbrR!$6:$6, 0), FALSE),
            0
        ) +
        IFERROR(
            VLOOKUP($A91, INDIRECT("MayR!$A$6:$ZZ$1048576"), MATCH(AB$1, MayR!$6:$6, 0), FALSE),
            0
        ) +
        IFERROR(
            VLOOKUP($A91, INDIRECT("JunR!$A$6:$ZZ$1048576"), MATCH(AB$1, JunR!$6:$6, 0), FALSE),
            0
        ) +
        IFERROR(
            VLOOKUP($A91, INDIRECT("JulR!$A$6:$ZZ$1048576"), MATCH(AB$1, JulR!$6:$6, 0), FALSE),
            0
        ) +
        IFERROR(
            VLOOKUP($A91, INDIRECT("AgoR!$A$6:$ZZ$1048576"), MATCH(AB$1, AgoR!$6:$6, 0), FALSE),
            0
        ) +
        IFERROR(
            VLOOKUP($A91, INDIRECT("SepR!$A$6:$ZZ$1048576"), MATCH(AB$1, SepR!$6:$6, 0), FALSE),
            0
        ) +
        IFERROR(
            VLOOKUP($A91, INDIRECT("OctR!$A$6:$ZZ$1048576"), MATCH(AB$1, OctR!$6:$6, 0), FALSE),
            0
        ) +
        IFERROR(
            VLOOKUP($A91, INDIRECT("NovR!$A$6:$ZZ$1048576"), MATCH(AB$1, NovR!$6:$6, 0), FALSE),
            0
        ) +
        IFERROR(
            VLOOKUP($A91, INDIRECT("DicR!$A$6:$ZZ$1048576"), MATCH(AB$1, DicR!$6:$6, 0), FALSE),
            0
        )
)</f>
        <v>0</v>
      </c>
      <c r="AC91" s="37">
        <f t="array" ref="AC91">SUM(
    IFERROR(
            VLOOKUP($A91, INDIRECT("EneR!$A$6:$ZZ$1048576"), MATCH(AC$1, EneR!$6:$6, 0), FALSE),
            0
        ) +
        IFERROR(
            VLOOKUP($A91, INDIRECT("FebR!$A$6:$ZZ$1048576"), MATCH(AC$1, FebR!$6:$6, 0), FALSE),
            0
        ) +
        IFERROR(
            VLOOKUP($A91, INDIRECT("MarR!$A$6:$ZZ$1048576"), MATCH(AC$1, MarR!$6:$6, 0), FALSE),
            0
        ) +
        IFERROR(
            VLOOKUP($A91, INDIRECT("AbrR!$A$6:$ZZ$1048576"), MATCH(AC$1, AbrR!$6:$6, 0), FALSE),
            0
        ) +
        IFERROR(
            VLOOKUP($A91, INDIRECT("MayR!$A$6:$ZZ$1048576"), MATCH(AC$1, MayR!$6:$6, 0), FALSE),
            0
        ) +
        IFERROR(
            VLOOKUP($A91, INDIRECT("JunR!$A$6:$ZZ$1048576"), MATCH(AC$1, JunR!$6:$6, 0), FALSE),
            0
        ) +
        IFERROR(
            VLOOKUP($A91, INDIRECT("JulR!$A$6:$ZZ$1048576"), MATCH(AC$1, JulR!$6:$6, 0), FALSE),
            0
        ) +
        IFERROR(
            VLOOKUP($A91, INDIRECT("AgoR!$A$6:$ZZ$1048576"), MATCH(AC$1, AgoR!$6:$6, 0), FALSE),
            0
        ) +
        IFERROR(
            VLOOKUP($A91, INDIRECT("SepR!$A$6:$ZZ$1048576"), MATCH(AC$1, SepR!$6:$6, 0), FALSE),
            0
        ) +
        IFERROR(
            VLOOKUP($A91, INDIRECT("OctR!$A$6:$ZZ$1048576"), MATCH(AC$1, OctR!$6:$6, 0), FALSE),
            0
        ) +
        IFERROR(
            VLOOKUP($A91, INDIRECT("NovR!$A$6:$ZZ$1048576"), MATCH(AC$1, NovR!$6:$6, 0), FALSE),
            0
        ) +
        IFERROR(
            VLOOKUP($A91, INDIRECT("DicR!$A$6:$ZZ$1048576"), MATCH(AC$1, DicR!$6:$6, 0), FALSE),
            0
        )
)</f>
        <v>0</v>
      </c>
      <c r="AD91" s="36">
        <f t="array" ref="AD91">SUM(
    IFERROR(
            VLOOKUP($A91, INDIRECT("EneR!$A$6:$ZZ$1048576"), MATCH(AD$1, EneR!$6:$6, 0), FALSE),
            0
        ) +
        IFERROR(
            VLOOKUP($A91, INDIRECT("FebR!$A$6:$ZZ$1048576"), MATCH(AD$1, FebR!$6:$6, 0), FALSE),
            0
        ) +
        IFERROR(
            VLOOKUP($A91, INDIRECT("MarR!$A$6:$ZZ$1048576"), MATCH(AD$1, MarR!$6:$6, 0), FALSE),
            0
        ) +
        IFERROR(
            VLOOKUP($A91, INDIRECT("AbrR!$A$6:$ZZ$1048576"), MATCH(AD$1, AbrR!$6:$6, 0), FALSE),
            0
        ) +
        IFERROR(
            VLOOKUP($A91, INDIRECT("MayR!$A$6:$ZZ$1048576"), MATCH(AD$1, MayR!$6:$6, 0), FALSE),
            0
        ) +
        IFERROR(
            VLOOKUP($A91, INDIRECT("JunR!$A$6:$ZZ$1048576"), MATCH(AD$1, JunR!$6:$6, 0), FALSE),
            0
        ) +
        IFERROR(
            VLOOKUP($A91, INDIRECT("JulR!$A$6:$ZZ$1048576"), MATCH(AD$1, JulR!$6:$6, 0), FALSE),
            0
        ) +
        IFERROR(
            VLOOKUP($A91, INDIRECT("AgoR!$A$6:$ZZ$1048576"), MATCH(AD$1, AgoR!$6:$6, 0), FALSE),
            0
        ) +
        IFERROR(
            VLOOKUP($A91, INDIRECT("SepR!$A$6:$ZZ$1048576"), MATCH(AD$1, SepR!$6:$6, 0), FALSE),
            0
        ) +
        IFERROR(
            VLOOKUP($A91, INDIRECT("OctR!$A$6:$ZZ$1048576"), MATCH(AD$1, OctR!$6:$6, 0), FALSE),
            0
        ) +
        IFERROR(
            VLOOKUP($A91, INDIRECT("NovR!$A$6:$ZZ$1048576"), MATCH(AD$1, NovR!$6:$6, 0), FALSE),
            0
        ) +
        IFERROR(
            VLOOKUP($A91, INDIRECT("DicR!$A$6:$ZZ$1048576"), MATCH(AD$1, DicR!$6:$6, 0), FALSE),
            0
        )
)</f>
        <v>0</v>
      </c>
      <c r="AE91" s="37">
        <f t="array" ref="AE91">SUM(
    IFERROR(
            VLOOKUP($A91, INDIRECT("EneR!$A$6:$ZZ$1048576"), MATCH(AE$1, EneR!$6:$6, 0), FALSE),
            0
        ) +
        IFERROR(
            VLOOKUP($A91, INDIRECT("FebR!$A$6:$ZZ$1048576"), MATCH(AE$1, FebR!$6:$6, 0), FALSE),
            0
        ) +
        IFERROR(
            VLOOKUP($A91, INDIRECT("MarR!$A$6:$ZZ$1048576"), MATCH(AE$1, MarR!$6:$6, 0), FALSE),
            0
        ) +
        IFERROR(
            VLOOKUP($A91, INDIRECT("AbrR!$A$6:$ZZ$1048576"), MATCH(AE$1, AbrR!$6:$6, 0), FALSE),
            0
        ) +
        IFERROR(
            VLOOKUP($A91, INDIRECT("MayR!$A$6:$ZZ$1048576"), MATCH(AE$1, MayR!$6:$6, 0), FALSE),
            0
        ) +
        IFERROR(
            VLOOKUP($A91, INDIRECT("JunR!$A$6:$ZZ$1048576"), MATCH(AE$1, JunR!$6:$6, 0), FALSE),
            0
        ) +
        IFERROR(
            VLOOKUP($A91, INDIRECT("JulR!$A$6:$ZZ$1048576"), MATCH(AE$1, JulR!$6:$6, 0), FALSE),
            0
        ) +
        IFERROR(
            VLOOKUP($A91, INDIRECT("AgoR!$A$6:$ZZ$1048576"), MATCH(AE$1, AgoR!$6:$6, 0), FALSE),
            0
        ) +
        IFERROR(
            VLOOKUP($A91, INDIRECT("SepR!$A$6:$ZZ$1048576"), MATCH(AE$1, SepR!$6:$6, 0), FALSE),
            0
        ) +
        IFERROR(
            VLOOKUP($A91, INDIRECT("OctR!$A$6:$ZZ$1048576"), MATCH(AE$1, OctR!$6:$6, 0), FALSE),
            0
        ) +
        IFERROR(
            VLOOKUP($A91, INDIRECT("NovR!$A$6:$ZZ$1048576"), MATCH(AE$1, NovR!$6:$6, 0), FALSE),
            0
        ) +
        IFERROR(
            VLOOKUP($A91, INDIRECT("DicR!$A$6:$ZZ$1048576"), MATCH(AE$1, DicR!$6:$6, 0), FALSE),
            0
        )
)</f>
        <v>0</v>
      </c>
      <c r="AF91" s="36">
        <f t="array" ref="AF91">SUM(
    IFERROR(
            VLOOKUP($A91, INDIRECT("EneR!$A$6:$ZZ$1048576"), MATCH(AF$1, EneR!$6:$6, 0), FALSE),
            0
        ) +
        IFERROR(
            VLOOKUP($A91, INDIRECT("FebR!$A$6:$ZZ$1048576"), MATCH(AF$1, FebR!$6:$6, 0), FALSE),
            0
        ) +
        IFERROR(
            VLOOKUP($A91, INDIRECT("MarR!$A$6:$ZZ$1048576"), MATCH(AF$1, MarR!$6:$6, 0), FALSE),
            0
        ) +
        IFERROR(
            VLOOKUP($A91, INDIRECT("AbrR!$A$6:$ZZ$1048576"), MATCH(AF$1, AbrR!$6:$6, 0), FALSE),
            0
        ) +
        IFERROR(
            VLOOKUP($A91, INDIRECT("MayR!$A$6:$ZZ$1048576"), MATCH(AF$1, MayR!$6:$6, 0), FALSE),
            0
        ) +
        IFERROR(
            VLOOKUP($A91, INDIRECT("JunR!$A$6:$ZZ$1048576"), MATCH(AF$1, JunR!$6:$6, 0), FALSE),
            0
        ) +
        IFERROR(
            VLOOKUP($A91, INDIRECT("JulR!$A$6:$ZZ$1048576"), MATCH(AF$1, JulR!$6:$6, 0), FALSE),
            0
        ) +
        IFERROR(
            VLOOKUP($A91, INDIRECT("AgoR!$A$6:$ZZ$1048576"), MATCH(AF$1, AgoR!$6:$6, 0), FALSE),
            0
        ) +
        IFERROR(
            VLOOKUP($A91, INDIRECT("SepR!$A$6:$ZZ$1048576"), MATCH(AF$1, SepR!$6:$6, 0), FALSE),
            0
        ) +
        IFERROR(
            VLOOKUP($A91, INDIRECT("OctR!$A$6:$ZZ$1048576"), MATCH(AF$1, OctR!$6:$6, 0), FALSE),
            0
        ) +
        IFERROR(
            VLOOKUP($A91, INDIRECT("NovR!$A$6:$ZZ$1048576"), MATCH(AF$1, NovR!$6:$6, 0), FALSE),
            0
        ) +
        IFERROR(
            VLOOKUP($A91, INDIRECT("DicR!$A$6:$ZZ$1048576"), MATCH(AF$1, DicR!$6:$6, 0), FALSE),
            0
        )
)</f>
        <v>0</v>
      </c>
      <c r="AG91" s="37">
        <f t="array" ref="AG91">SUM(
    IFERROR(
            VLOOKUP($A91, INDIRECT("EneR!$A$6:$ZZ$1048576"), MATCH(AG$1, EneR!$6:$6, 0), FALSE),
            0
        ) +
        IFERROR(
            VLOOKUP($A91, INDIRECT("FebR!$A$6:$ZZ$1048576"), MATCH(AG$1, FebR!$6:$6, 0), FALSE),
            0
        ) +
        IFERROR(
            VLOOKUP($A91, INDIRECT("MarR!$A$6:$ZZ$1048576"), MATCH(AG$1, MarR!$6:$6, 0), FALSE),
            0
        ) +
        IFERROR(
            VLOOKUP($A91, INDIRECT("AbrR!$A$6:$ZZ$1048576"), MATCH(AG$1, AbrR!$6:$6, 0), FALSE),
            0
        ) +
        IFERROR(
            VLOOKUP($A91, INDIRECT("MayR!$A$6:$ZZ$1048576"), MATCH(AG$1, MayR!$6:$6, 0), FALSE),
            0
        ) +
        IFERROR(
            VLOOKUP($A91, INDIRECT("JunR!$A$6:$ZZ$1048576"), MATCH(AG$1, JunR!$6:$6, 0), FALSE),
            0
        ) +
        IFERROR(
            VLOOKUP($A91, INDIRECT("JulR!$A$6:$ZZ$1048576"), MATCH(AG$1, JulR!$6:$6, 0), FALSE),
            0
        ) +
        IFERROR(
            VLOOKUP($A91, INDIRECT("AgoR!$A$6:$ZZ$1048576"), MATCH(AG$1, AgoR!$6:$6, 0), FALSE),
            0
        ) +
        IFERROR(
            VLOOKUP($A91, INDIRECT("SepR!$A$6:$ZZ$1048576"), MATCH(AG$1, SepR!$6:$6, 0), FALSE),
            0
        ) +
        IFERROR(
            VLOOKUP($A91, INDIRECT("OctR!$A$6:$ZZ$1048576"), MATCH(AG$1, OctR!$6:$6, 0), FALSE),
            0
        ) +
        IFERROR(
            VLOOKUP($A91, INDIRECT("NovR!$A$6:$ZZ$1048576"), MATCH(AG$1, NovR!$6:$6, 0), FALSE),
            0
        ) +
        IFERROR(
            VLOOKUP($A91, INDIRECT("DicR!$A$6:$ZZ$1048576"), MATCH(AG$1, DicR!$6:$6, 0), FALSE),
            0
        )
)</f>
        <v>0</v>
      </c>
      <c r="AH91" s="36">
        <f t="array" ref="AH91">SUM(
    IFERROR(
            VLOOKUP($A91, INDIRECT("EneR!$A$6:$ZZ$1048576"), MATCH(AH$1, EneR!$6:$6, 0), FALSE),
            0
        ) +
        IFERROR(
            VLOOKUP($A91, INDIRECT("FebR!$A$6:$ZZ$1048576"), MATCH(AH$1, FebR!$6:$6, 0), FALSE),
            0
        ) +
        IFERROR(
            VLOOKUP($A91, INDIRECT("MarR!$A$6:$ZZ$1048576"), MATCH(AH$1, MarR!$6:$6, 0), FALSE),
            0
        ) +
        IFERROR(
            VLOOKUP($A91, INDIRECT("AbrR!$A$6:$ZZ$1048576"), MATCH(AH$1, AbrR!$6:$6, 0), FALSE),
            0
        ) +
        IFERROR(
            VLOOKUP($A91, INDIRECT("MayR!$A$6:$ZZ$1048576"), MATCH(AH$1, MayR!$6:$6, 0), FALSE),
            0
        ) +
        IFERROR(
            VLOOKUP($A91, INDIRECT("JunR!$A$6:$ZZ$1048576"), MATCH(AH$1, JunR!$6:$6, 0), FALSE),
            0
        ) +
        IFERROR(
            VLOOKUP($A91, INDIRECT("JulR!$A$6:$ZZ$1048576"), MATCH(AH$1, JulR!$6:$6, 0), FALSE),
            0
        ) +
        IFERROR(
            VLOOKUP($A91, INDIRECT("AgoR!$A$6:$ZZ$1048576"), MATCH(AH$1, AgoR!$6:$6, 0), FALSE),
            0
        ) +
        IFERROR(
            VLOOKUP($A91, INDIRECT("SepR!$A$6:$ZZ$1048576"), MATCH(AH$1, SepR!$6:$6, 0), FALSE),
            0
        ) +
        IFERROR(
            VLOOKUP($A91, INDIRECT("OctR!$A$6:$ZZ$1048576"), MATCH(AH$1, OctR!$6:$6, 0), FALSE),
            0
        ) +
        IFERROR(
            VLOOKUP($A91, INDIRECT("NovR!$A$6:$ZZ$1048576"), MATCH(AH$1, NovR!$6:$6, 0), FALSE),
            0
        ) +
        IFERROR(
            VLOOKUP($A91, INDIRECT("DicR!$A$6:$ZZ$1048576"), MATCH(AH$1, DicR!$6:$6, 0), FALSE),
            0
        )
)</f>
        <v>0</v>
      </c>
      <c r="AI91" s="37">
        <f t="array" ref="AI91">SUM(
    IFERROR(
            VLOOKUP($A91, INDIRECT("EneR!$A$6:$ZZ$1048576"), MATCH(AI$1, EneR!$6:$6, 0), FALSE),
            0
        ) +
        IFERROR(
            VLOOKUP($A91, INDIRECT("FebR!$A$6:$ZZ$1048576"), MATCH(AI$1, FebR!$6:$6, 0), FALSE),
            0
        ) +
        IFERROR(
            VLOOKUP($A91, INDIRECT("MarR!$A$6:$ZZ$1048576"), MATCH(AI$1, MarR!$6:$6, 0), FALSE),
            0
        ) +
        IFERROR(
            VLOOKUP($A91, INDIRECT("AbrR!$A$6:$ZZ$1048576"), MATCH(AI$1, AbrR!$6:$6, 0), FALSE),
            0
        ) +
        IFERROR(
            VLOOKUP($A91, INDIRECT("MayR!$A$6:$ZZ$1048576"), MATCH(AI$1, MayR!$6:$6, 0), FALSE),
            0
        ) +
        IFERROR(
            VLOOKUP($A91, INDIRECT("JunR!$A$6:$ZZ$1048576"), MATCH(AI$1, JunR!$6:$6, 0), FALSE),
            0
        ) +
        IFERROR(
            VLOOKUP($A91, INDIRECT("JulR!$A$6:$ZZ$1048576"), MATCH(AI$1, JulR!$6:$6, 0), FALSE),
            0
        ) +
        IFERROR(
            VLOOKUP($A91, INDIRECT("AgoR!$A$6:$ZZ$1048576"), MATCH(AI$1, AgoR!$6:$6, 0), FALSE),
            0
        ) +
        IFERROR(
            VLOOKUP($A91, INDIRECT("SepR!$A$6:$ZZ$1048576"), MATCH(AI$1, SepR!$6:$6, 0), FALSE),
            0
        ) +
        IFERROR(
            VLOOKUP($A91, INDIRECT("OctR!$A$6:$ZZ$1048576"), MATCH(AI$1, OctR!$6:$6, 0), FALSE),
            0
        ) +
        IFERROR(
            VLOOKUP($A91, INDIRECT("NovR!$A$6:$ZZ$1048576"), MATCH(AI$1, NovR!$6:$6, 0), FALSE),
            0
        ) +
        IFERROR(
            VLOOKUP($A91, INDIRECT("DicR!$A$6:$ZZ$1048576"), MATCH(AI$1, DicR!$6:$6, 0), FALSE),
            0
        )
)</f>
        <v>0</v>
      </c>
      <c r="AJ91" s="36">
        <f t="array" ref="AJ91">SUM(
    IFERROR(
            VLOOKUP($A91, INDIRECT("EneR!$A$6:$ZZ$1048576"), MATCH(AJ$1, EneR!$6:$6, 0), FALSE),
            0
        ) +
        IFERROR(
            VLOOKUP($A91, INDIRECT("FebR!$A$6:$ZZ$1048576"), MATCH(AJ$1, FebR!$6:$6, 0), FALSE),
            0
        ) +
        IFERROR(
            VLOOKUP($A91, INDIRECT("MarR!$A$6:$ZZ$1048576"), MATCH(AJ$1, MarR!$6:$6, 0), FALSE),
            0
        ) +
        IFERROR(
            VLOOKUP($A91, INDIRECT("AbrR!$A$6:$ZZ$1048576"), MATCH(AJ$1, AbrR!$6:$6, 0), FALSE),
            0
        ) +
        IFERROR(
            VLOOKUP($A91, INDIRECT("MayR!$A$6:$ZZ$1048576"), MATCH(AJ$1, MayR!$6:$6, 0), FALSE),
            0
        ) +
        IFERROR(
            VLOOKUP($A91, INDIRECT("JunR!$A$6:$ZZ$1048576"), MATCH(AJ$1, JunR!$6:$6, 0), FALSE),
            0
        ) +
        IFERROR(
            VLOOKUP($A91, INDIRECT("JulR!$A$6:$ZZ$1048576"), MATCH(AJ$1, JulR!$6:$6, 0), FALSE),
            0
        ) +
        IFERROR(
            VLOOKUP($A91, INDIRECT("AgoR!$A$6:$ZZ$1048576"), MATCH(AJ$1, AgoR!$6:$6, 0), FALSE),
            0
        ) +
        IFERROR(
            VLOOKUP($A91, INDIRECT("SepR!$A$6:$ZZ$1048576"), MATCH(AJ$1, SepR!$6:$6, 0), FALSE),
            0
        ) +
        IFERROR(
            VLOOKUP($A91, INDIRECT("OctR!$A$6:$ZZ$1048576"), MATCH(AJ$1, OctR!$6:$6, 0), FALSE),
            0
        ) +
        IFERROR(
            VLOOKUP($A91, INDIRECT("NovR!$A$6:$ZZ$1048576"), MATCH(AJ$1, NovR!$6:$6, 0), FALSE),
            0
        ) +
        IFERROR(
            VLOOKUP($A91, INDIRECT("DicR!$A$6:$ZZ$1048576"), MATCH(AJ$1, DicR!$6:$6, 0), FALSE),
            0
        )
)</f>
        <v>0</v>
      </c>
      <c r="AK91" s="37">
        <f t="array" ref="AK91">SUM(
    IFERROR(
            VLOOKUP($A91, INDIRECT("EneR!$A$6:$ZZ$1048576"), MATCH(AK$1, EneR!$6:$6, 0), FALSE),
            0
        ) +
        IFERROR(
            VLOOKUP($A91, INDIRECT("FebR!$A$6:$ZZ$1048576"), MATCH(AK$1, FebR!$6:$6, 0), FALSE),
            0
        ) +
        IFERROR(
            VLOOKUP($A91, INDIRECT("MarR!$A$6:$ZZ$1048576"), MATCH(AK$1, MarR!$6:$6, 0), FALSE),
            0
        ) +
        IFERROR(
            VLOOKUP($A91, INDIRECT("AbrR!$A$6:$ZZ$1048576"), MATCH(AK$1, AbrR!$6:$6, 0), FALSE),
            0
        ) +
        IFERROR(
            VLOOKUP($A91, INDIRECT("MayR!$A$6:$ZZ$1048576"), MATCH(AK$1, MayR!$6:$6, 0), FALSE),
            0
        ) +
        IFERROR(
            VLOOKUP($A91, INDIRECT("JunR!$A$6:$ZZ$1048576"), MATCH(AK$1, JunR!$6:$6, 0), FALSE),
            0
        ) +
        IFERROR(
            VLOOKUP($A91, INDIRECT("JulR!$A$6:$ZZ$1048576"), MATCH(AK$1, JulR!$6:$6, 0), FALSE),
            0
        ) +
        IFERROR(
            VLOOKUP($A91, INDIRECT("AgoR!$A$6:$ZZ$1048576"), MATCH(AK$1, AgoR!$6:$6, 0), FALSE),
            0
        ) +
        IFERROR(
            VLOOKUP($A91, INDIRECT("SepR!$A$6:$ZZ$1048576"), MATCH(AK$1, SepR!$6:$6, 0), FALSE),
            0
        ) +
        IFERROR(
            VLOOKUP($A91, INDIRECT("OctR!$A$6:$ZZ$1048576"), MATCH(AK$1, OctR!$6:$6, 0), FALSE),
            0
        ) +
        IFERROR(
            VLOOKUP($A91, INDIRECT("NovR!$A$6:$ZZ$1048576"), MATCH(AK$1, NovR!$6:$6, 0), FALSE),
            0
        ) +
        IFERROR(
            VLOOKUP($A91, INDIRECT("DicR!$A$6:$ZZ$1048576"), MATCH(AK$1, DicR!$6:$6, 0), FALSE),
            0
        )
)</f>
        <v>0</v>
      </c>
      <c r="AL91" s="36">
        <f t="array" ref="AL91">SUM(
    IFERROR(
            VLOOKUP($A91, INDIRECT("EneR!$A$6:$ZZ$1048576"), MATCH(AL$1, EneR!$6:$6, 0), FALSE),
            0
        ) +
        IFERROR(
            VLOOKUP($A91, INDIRECT("FebR!$A$6:$ZZ$1048576"), MATCH(AL$1, FebR!$6:$6, 0), FALSE),
            0
        ) +
        IFERROR(
            VLOOKUP($A91, INDIRECT("MarR!$A$6:$ZZ$1048576"), MATCH(AL$1, MarR!$6:$6, 0), FALSE),
            0
        ) +
        IFERROR(
            VLOOKUP($A91, INDIRECT("AbrR!$A$6:$ZZ$1048576"), MATCH(AL$1, AbrR!$6:$6, 0), FALSE),
            0
        ) +
        IFERROR(
            VLOOKUP($A91, INDIRECT("MayR!$A$6:$ZZ$1048576"), MATCH(AL$1, MayR!$6:$6, 0), FALSE),
            0
        ) +
        IFERROR(
            VLOOKUP($A91, INDIRECT("JunR!$A$6:$ZZ$1048576"), MATCH(AL$1, JunR!$6:$6, 0), FALSE),
            0
        ) +
        IFERROR(
            VLOOKUP($A91, INDIRECT("JulR!$A$6:$ZZ$1048576"), MATCH(AL$1, JulR!$6:$6, 0), FALSE),
            0
        ) +
        IFERROR(
            VLOOKUP($A91, INDIRECT("AgoR!$A$6:$ZZ$1048576"), MATCH(AL$1, AgoR!$6:$6, 0), FALSE),
            0
        ) +
        IFERROR(
            VLOOKUP($A91, INDIRECT("SepR!$A$6:$ZZ$1048576"), MATCH(AL$1, SepR!$6:$6, 0), FALSE),
            0
        ) +
        IFERROR(
            VLOOKUP($A91, INDIRECT("OctR!$A$6:$ZZ$1048576"), MATCH(AL$1, OctR!$6:$6, 0), FALSE),
            0
        ) +
        IFERROR(
            VLOOKUP($A91, INDIRECT("NovR!$A$6:$ZZ$1048576"), MATCH(AL$1, NovR!$6:$6, 0), FALSE),
            0
        ) +
        IFERROR(
            VLOOKUP($A91, INDIRECT("DicR!$A$6:$ZZ$1048576"), MATCH(AL$1, DicR!$6:$6, 0), FALSE),
            0
        )
)</f>
        <v>0</v>
      </c>
      <c r="AM91" s="37">
        <f t="array" ref="AM91">SUM(
    IFERROR(
            VLOOKUP($A91, INDIRECT("EneR!$A$6:$ZZ$1048576"), MATCH(AM$1, EneR!$6:$6, 0), FALSE),
            0
        ) +
        IFERROR(
            VLOOKUP($A91, INDIRECT("FebR!$A$6:$ZZ$1048576"), MATCH(AM$1, FebR!$6:$6, 0), FALSE),
            0
        ) +
        IFERROR(
            VLOOKUP($A91, INDIRECT("MarR!$A$6:$ZZ$1048576"), MATCH(AM$1, MarR!$6:$6, 0), FALSE),
            0
        ) +
        IFERROR(
            VLOOKUP($A91, INDIRECT("AbrR!$A$6:$ZZ$1048576"), MATCH(AM$1, AbrR!$6:$6, 0), FALSE),
            0
        ) +
        IFERROR(
            VLOOKUP($A91, INDIRECT("MayR!$A$6:$ZZ$1048576"), MATCH(AM$1, MayR!$6:$6, 0), FALSE),
            0
        ) +
        IFERROR(
            VLOOKUP($A91, INDIRECT("JunR!$A$6:$ZZ$1048576"), MATCH(AM$1, JunR!$6:$6, 0), FALSE),
            0
        ) +
        IFERROR(
            VLOOKUP($A91, INDIRECT("JulR!$A$6:$ZZ$1048576"), MATCH(AM$1, JulR!$6:$6, 0), FALSE),
            0
        ) +
        IFERROR(
            VLOOKUP($A91, INDIRECT("AgoR!$A$6:$ZZ$1048576"), MATCH(AM$1, AgoR!$6:$6, 0), FALSE),
            0
        ) +
        IFERROR(
            VLOOKUP($A91, INDIRECT("SepR!$A$6:$ZZ$1048576"), MATCH(AM$1, SepR!$6:$6, 0), FALSE),
            0
        ) +
        IFERROR(
            VLOOKUP($A91, INDIRECT("OctR!$A$6:$ZZ$1048576"), MATCH(AM$1, OctR!$6:$6, 0), FALSE),
            0
        ) +
        IFERROR(
            VLOOKUP($A91, INDIRECT("NovR!$A$6:$ZZ$1048576"), MATCH(AM$1, NovR!$6:$6, 0), FALSE),
            0
        ) +
        IFERROR(
            VLOOKUP($A91, INDIRECT("DicR!$A$6:$ZZ$1048576"), MATCH(AM$1, DicR!$6:$6, 0), FALSE),
            0
        )
)</f>
        <v>0</v>
      </c>
      <c r="AN91" s="32">
        <f t="array" ref="AN91">SUM(
    IFERROR(
            VLOOKUP($A91, INDIRECT("EneR!$A$6:$ZZ$1048576"), MATCH(AN$1, EneR!$6:$6, 0), FALSE),
            0
        ) +
        IFERROR(
            VLOOKUP($A91, INDIRECT("FebR!$A$6:$ZZ$1048576"), MATCH(AN$1, FebR!$6:$6, 0), FALSE),
            0
        ) +
        IFERROR(
            VLOOKUP($A91, INDIRECT("MarR!$A$6:$ZZ$1048576"), MATCH(AN$1, MarR!$6:$6, 0), FALSE),
            0
        ) +
        IFERROR(
            VLOOKUP($A91, INDIRECT("AbrR!$A$6:$ZZ$1048576"), MATCH(AN$1, AbrR!$6:$6, 0), FALSE),
            0
        ) +
        IFERROR(
            VLOOKUP($A91, INDIRECT("MayR!$A$6:$ZZ$1048576"), MATCH(AN$1, MayR!$6:$6, 0), FALSE),
            0
        ) +
        IFERROR(
            VLOOKUP($A91, INDIRECT("JunR!$A$6:$ZZ$1048576"), MATCH(AN$1, JunR!$6:$6, 0), FALSE),
            0
        ) +
        IFERROR(
            VLOOKUP($A91, INDIRECT("JulR!$A$6:$ZZ$1048576"), MATCH(AN$1, JulR!$6:$6, 0), FALSE),
            0
        ) +
        IFERROR(
            VLOOKUP($A91, INDIRECT("AgoR!$A$6:$ZZ$1048576"), MATCH(AN$1, AgoR!$6:$6, 0), FALSE),
            0
        ) +
        IFERROR(
            VLOOKUP($A91, INDIRECT("SepR!$A$6:$ZZ$1048576"), MATCH(AN$1, SepR!$6:$6, 0), FALSE),
            0
        ) +
        IFERROR(
            VLOOKUP($A91, INDIRECT("OctR!$A$6:$ZZ$1048576"), MATCH(AN$1, OctR!$6:$6, 0), FALSE),
            0
        ) +
        IFERROR(
            VLOOKUP($A91, INDIRECT("NovR!$A$6:$ZZ$1048576"), MATCH(AN$1, NovR!$6:$6, 0), FALSE),
            0
        ) +
        IFERROR(
            VLOOKUP($A91, INDIRECT("DicR!$A$6:$ZZ$1048576"), MATCH(AN$1, DicR!$6:$6, 0), FALSE),
            0
        )
)</f>
        <v>0</v>
      </c>
      <c r="AO91" s="35">
        <f t="array" ref="AO91">SUM(
    IFERROR(
            VLOOKUP($A91, INDIRECT("EneR!$A$6:$ZZ$1048576"), MATCH(AO$1, EneR!$6:$6, 0), FALSE),
            0
        ) +
        IFERROR(
            VLOOKUP($A91, INDIRECT("FebR!$A$6:$ZZ$1048576"), MATCH(AO$1, FebR!$6:$6, 0), FALSE),
            0
        ) +
        IFERROR(
            VLOOKUP($A91, INDIRECT("MarR!$A$6:$ZZ$1048576"), MATCH(AO$1, MarR!$6:$6, 0), FALSE),
            0
        ) +
        IFERROR(
            VLOOKUP($A91, INDIRECT("AbrR!$A$6:$ZZ$1048576"), MATCH(AO$1, AbrR!$6:$6, 0), FALSE),
            0
        ) +
        IFERROR(
            VLOOKUP($A91, INDIRECT("MayR!$A$6:$ZZ$1048576"), MATCH(AO$1, MayR!$6:$6, 0), FALSE),
            0
        ) +
        IFERROR(
            VLOOKUP($A91, INDIRECT("JunR!$A$6:$ZZ$1048576"), MATCH(AO$1, JunR!$6:$6, 0), FALSE),
            0
        ) +
        IFERROR(
            VLOOKUP($A91, INDIRECT("JulR!$A$6:$ZZ$1048576"), MATCH(AO$1, JulR!$6:$6, 0), FALSE),
            0
        ) +
        IFERROR(
            VLOOKUP($A91, INDIRECT("AgoR!$A$6:$ZZ$1048576"), MATCH(AO$1, AgoR!$6:$6, 0), FALSE),
            0
        ) +
        IFERROR(
            VLOOKUP($A91, INDIRECT("SepR!$A$6:$ZZ$1048576"), MATCH(AO$1, SepR!$6:$6, 0), FALSE),
            0
        ) +
        IFERROR(
            VLOOKUP($A91, INDIRECT("OctR!$A$6:$ZZ$1048576"), MATCH(AO$1, OctR!$6:$6, 0), FALSE),
            0
        ) +
        IFERROR(
            VLOOKUP($A91, INDIRECT("NovR!$A$6:$ZZ$1048576"), MATCH(AO$1, NovR!$6:$6, 0), FALSE),
            0
        ) +
        IFERROR(
            VLOOKUP($A91, INDIRECT("DicR!$A$6:$ZZ$1048576"), MATCH(AO$1, DicR!$6:$6, 0), FALSE),
            0
        )
)</f>
        <v>0</v>
      </c>
      <c r="AP91" s="36">
        <f t="array" ref="AP91">SUM(
    IFERROR(
            VLOOKUP($A91, INDIRECT("EneR!$A$6:$ZZ$1048576"), MATCH(AP$1, EneR!$6:$6, 0), FALSE),
            0
        ) +
        IFERROR(
            VLOOKUP($A91, INDIRECT("FebR!$A$6:$ZZ$1048576"), MATCH(AP$1, FebR!$6:$6, 0), FALSE),
            0
        ) +
        IFERROR(
            VLOOKUP($A91, INDIRECT("MarR!$A$6:$ZZ$1048576"), MATCH(AP$1, MarR!$6:$6, 0), FALSE),
            0
        ) +
        IFERROR(
            VLOOKUP($A91, INDIRECT("AbrR!$A$6:$ZZ$1048576"), MATCH(AP$1, AbrR!$6:$6, 0), FALSE),
            0
        ) +
        IFERROR(
            VLOOKUP($A91, INDIRECT("MayR!$A$6:$ZZ$1048576"), MATCH(AP$1, MayR!$6:$6, 0), FALSE),
            0
        ) +
        IFERROR(
            VLOOKUP($A91, INDIRECT("JunR!$A$6:$ZZ$1048576"), MATCH(AP$1, JunR!$6:$6, 0), FALSE),
            0
        ) +
        IFERROR(
            VLOOKUP($A91, INDIRECT("JulR!$A$6:$ZZ$1048576"), MATCH(AP$1, JulR!$6:$6, 0), FALSE),
            0
        ) +
        IFERROR(
            VLOOKUP($A91, INDIRECT("AgoR!$A$6:$ZZ$1048576"), MATCH(AP$1, AgoR!$6:$6, 0), FALSE),
            0
        ) +
        IFERROR(
            VLOOKUP($A91, INDIRECT("SepR!$A$6:$ZZ$1048576"), MATCH(AP$1, SepR!$6:$6, 0), FALSE),
            0
        ) +
        IFERROR(
            VLOOKUP($A91, INDIRECT("OctR!$A$6:$ZZ$1048576"), MATCH(AP$1, OctR!$6:$6, 0), FALSE),
            0
        ) +
        IFERROR(
            VLOOKUP($A91, INDIRECT("NovR!$A$6:$ZZ$1048576"), MATCH(AP$1, NovR!$6:$6, 0), FALSE),
            0
        ) +
        IFERROR(
            VLOOKUP($A91, INDIRECT("DicR!$A$6:$ZZ$1048576"), MATCH(AP$1, DicR!$6:$6, 0), FALSE),
            0
        )
)</f>
        <v>0</v>
      </c>
      <c r="AQ91" s="35">
        <f t="array" ref="AQ91">SUM(
    IFERROR(
            VLOOKUP($A91, INDIRECT("EneR!$A$6:$ZZ$1048576"), MATCH(AQ$1, EneR!$6:$6, 0), FALSE),
            0
        ) +
        IFERROR(
            VLOOKUP($A91, INDIRECT("FebR!$A$6:$ZZ$1048576"), MATCH(AQ$1, FebR!$6:$6, 0), FALSE),
            0
        ) +
        IFERROR(
            VLOOKUP($A91, INDIRECT("MarR!$A$6:$ZZ$1048576"), MATCH(AQ$1, MarR!$6:$6, 0), FALSE),
            0
        ) +
        IFERROR(
            VLOOKUP($A91, INDIRECT("AbrR!$A$6:$ZZ$1048576"), MATCH(AQ$1, AbrR!$6:$6, 0), FALSE),
            0
        ) +
        IFERROR(
            VLOOKUP($A91, INDIRECT("MayR!$A$6:$ZZ$1048576"), MATCH(AQ$1, MayR!$6:$6, 0), FALSE),
            0
        ) +
        IFERROR(
            VLOOKUP($A91, INDIRECT("JunR!$A$6:$ZZ$1048576"), MATCH(AQ$1, JunR!$6:$6, 0), FALSE),
            0
        ) +
        IFERROR(
            VLOOKUP($A91, INDIRECT("JulR!$A$6:$ZZ$1048576"), MATCH(AQ$1, JulR!$6:$6, 0), FALSE),
            0
        ) +
        IFERROR(
            VLOOKUP($A91, INDIRECT("AgoR!$A$6:$ZZ$1048576"), MATCH(AQ$1, AgoR!$6:$6, 0), FALSE),
            0
        ) +
        IFERROR(
            VLOOKUP($A91, INDIRECT("SepR!$A$6:$ZZ$1048576"), MATCH(AQ$1, SepR!$6:$6, 0), FALSE),
            0
        ) +
        IFERROR(
            VLOOKUP($A91, INDIRECT("OctR!$A$6:$ZZ$1048576"), MATCH(AQ$1, OctR!$6:$6, 0), FALSE),
            0
        ) +
        IFERROR(
            VLOOKUP($A91, INDIRECT("NovR!$A$6:$ZZ$1048576"), MATCH(AQ$1, NovR!$6:$6, 0), FALSE),
            0
        ) +
        IFERROR(
            VLOOKUP($A91, INDIRECT("DicR!$A$6:$ZZ$1048576"), MATCH(AQ$1, DicR!$6:$6, 0), FALSE),
            0
        )
)</f>
        <v>0</v>
      </c>
      <c r="AR91" s="36">
        <f t="array" ref="AR91">SUM(
    IFERROR(
            VLOOKUP($A91, INDIRECT("EneR!$A$6:$ZZ$1048576"), MATCH(AR$1, EneR!$6:$6, 0), FALSE),
            0
        ) +
        IFERROR(
            VLOOKUP($A91, INDIRECT("FebR!$A$6:$ZZ$1048576"), MATCH(AR$1, FebR!$6:$6, 0), FALSE),
            0
        ) +
        IFERROR(
            VLOOKUP($A91, INDIRECT("MarR!$A$6:$ZZ$1048576"), MATCH(AR$1, MarR!$6:$6, 0), FALSE),
            0
        ) +
        IFERROR(
            VLOOKUP($A91, INDIRECT("AbrR!$A$6:$ZZ$1048576"), MATCH(AR$1, AbrR!$6:$6, 0), FALSE),
            0
        ) +
        IFERROR(
            VLOOKUP($A91, INDIRECT("MayR!$A$6:$ZZ$1048576"), MATCH(AR$1, MayR!$6:$6, 0), FALSE),
            0
        ) +
        IFERROR(
            VLOOKUP($A91, INDIRECT("JunR!$A$6:$ZZ$1048576"), MATCH(AR$1, JunR!$6:$6, 0), FALSE),
            0
        ) +
        IFERROR(
            VLOOKUP($A91, INDIRECT("JulR!$A$6:$ZZ$1048576"), MATCH(AR$1, JulR!$6:$6, 0), FALSE),
            0
        ) +
        IFERROR(
            VLOOKUP($A91, INDIRECT("AgoR!$A$6:$ZZ$1048576"), MATCH(AR$1, AgoR!$6:$6, 0), FALSE),
            0
        ) +
        IFERROR(
            VLOOKUP($A91, INDIRECT("SepR!$A$6:$ZZ$1048576"), MATCH(AR$1, SepR!$6:$6, 0), FALSE),
            0
        ) +
        IFERROR(
            VLOOKUP($A91, INDIRECT("OctR!$A$6:$ZZ$1048576"), MATCH(AR$1, OctR!$6:$6, 0), FALSE),
            0
        ) +
        IFERROR(
            VLOOKUP($A91, INDIRECT("NovR!$A$6:$ZZ$1048576"), MATCH(AR$1, NovR!$6:$6, 0), FALSE),
            0
        ) +
        IFERROR(
            VLOOKUP($A91, INDIRECT("DicR!$A$6:$ZZ$1048576"), MATCH(AR$1, DicR!$6:$6, 0), FALSE),
            0
        )
)</f>
        <v>0</v>
      </c>
      <c r="AS91" s="35">
        <f t="array" ref="AS91">SUM(
    IFERROR(
            VLOOKUP($A91, INDIRECT("EneR!$A$6:$ZZ$1048576"), MATCH(AS$1, EneR!$6:$6, 0), FALSE),
            0
        ) +
        IFERROR(
            VLOOKUP($A91, INDIRECT("FebR!$A$6:$ZZ$1048576"), MATCH(AS$1, FebR!$6:$6, 0), FALSE),
            0
        ) +
        IFERROR(
            VLOOKUP($A91, INDIRECT("MarR!$A$6:$ZZ$1048576"), MATCH(AS$1, MarR!$6:$6, 0), FALSE),
            0
        ) +
        IFERROR(
            VLOOKUP($A91, INDIRECT("AbrR!$A$6:$ZZ$1048576"), MATCH(AS$1, AbrR!$6:$6, 0), FALSE),
            0
        ) +
        IFERROR(
            VLOOKUP($A91, INDIRECT("MayR!$A$6:$ZZ$1048576"), MATCH(AS$1, MayR!$6:$6, 0), FALSE),
            0
        ) +
        IFERROR(
            VLOOKUP($A91, INDIRECT("JunR!$A$6:$ZZ$1048576"), MATCH(AS$1, JunR!$6:$6, 0), FALSE),
            0
        ) +
        IFERROR(
            VLOOKUP($A91, INDIRECT("JulR!$A$6:$ZZ$1048576"), MATCH(AS$1, JulR!$6:$6, 0), FALSE),
            0
        ) +
        IFERROR(
            VLOOKUP($A91, INDIRECT("AgoR!$A$6:$ZZ$1048576"), MATCH(AS$1, AgoR!$6:$6, 0), FALSE),
            0
        ) +
        IFERROR(
            VLOOKUP($A91, INDIRECT("SepR!$A$6:$ZZ$1048576"), MATCH(AS$1, SepR!$6:$6, 0), FALSE),
            0
        ) +
        IFERROR(
            VLOOKUP($A91, INDIRECT("OctR!$A$6:$ZZ$1048576"), MATCH(AS$1, OctR!$6:$6, 0), FALSE),
            0
        ) +
        IFERROR(
            VLOOKUP($A91, INDIRECT("NovR!$A$6:$ZZ$1048576"), MATCH(AS$1, NovR!$6:$6, 0), FALSE),
            0
        ) +
        IFERROR(
            VLOOKUP($A91, INDIRECT("DicR!$A$6:$ZZ$1048576"), MATCH(AS$1, DicR!$6:$6, 0), FALSE),
            0
        )
)</f>
        <v>0</v>
      </c>
      <c r="AT91" s="36">
        <f t="array" ref="AT91">SUM(
    IFERROR(
            VLOOKUP($A91, INDIRECT("EneR!$A$6:$ZZ$1048576"), MATCH(AT$1, EneR!$6:$6, 0), FALSE),
            0
        ) +
        IFERROR(
            VLOOKUP($A91, INDIRECT("FebR!$A$6:$ZZ$1048576"), MATCH(AT$1, FebR!$6:$6, 0), FALSE),
            0
        ) +
        IFERROR(
            VLOOKUP($A91, INDIRECT("MarR!$A$6:$ZZ$1048576"), MATCH(AT$1, MarR!$6:$6, 0), FALSE),
            0
        ) +
        IFERROR(
            VLOOKUP($A91, INDIRECT("AbrR!$A$6:$ZZ$1048576"), MATCH(AT$1, AbrR!$6:$6, 0), FALSE),
            0
        ) +
        IFERROR(
            VLOOKUP($A91, INDIRECT("MayR!$A$6:$ZZ$1048576"), MATCH(AT$1, MayR!$6:$6, 0), FALSE),
            0
        ) +
        IFERROR(
            VLOOKUP($A91, INDIRECT("JunR!$A$6:$ZZ$1048576"), MATCH(AT$1, JunR!$6:$6, 0), FALSE),
            0
        ) +
        IFERROR(
            VLOOKUP($A91, INDIRECT("JulR!$A$6:$ZZ$1048576"), MATCH(AT$1, JulR!$6:$6, 0), FALSE),
            0
        ) +
        IFERROR(
            VLOOKUP($A91, INDIRECT("AgoR!$A$6:$ZZ$1048576"), MATCH(AT$1, AgoR!$6:$6, 0), FALSE),
            0
        ) +
        IFERROR(
            VLOOKUP($A91, INDIRECT("SepR!$A$6:$ZZ$1048576"), MATCH(AT$1, SepR!$6:$6, 0), FALSE),
            0
        ) +
        IFERROR(
            VLOOKUP($A91, INDIRECT("OctR!$A$6:$ZZ$1048576"), MATCH(AT$1, OctR!$6:$6, 0), FALSE),
            0
        ) +
        IFERROR(
            VLOOKUP($A91, INDIRECT("NovR!$A$6:$ZZ$1048576"), MATCH(AT$1, NovR!$6:$6, 0), FALSE),
            0
        ) +
        IFERROR(
            VLOOKUP($A91, INDIRECT("DicR!$A$6:$ZZ$1048576"), MATCH(AT$1, DicR!$6:$6, 0), FALSE),
            0
        )
)</f>
        <v>0</v>
      </c>
      <c r="AU91" s="35">
        <f t="array" ref="AU91">SUM(
    IFERROR(
            VLOOKUP($A91, INDIRECT("EneR!$A$6:$ZZ$1048576"), MATCH(AU$1, EneR!$6:$6, 0), FALSE),
            0
        ) +
        IFERROR(
            VLOOKUP($A91, INDIRECT("FebR!$A$6:$ZZ$1048576"), MATCH(AU$1, FebR!$6:$6, 0), FALSE),
            0
        ) +
        IFERROR(
            VLOOKUP($A91, INDIRECT("MarR!$A$6:$ZZ$1048576"), MATCH(AU$1, MarR!$6:$6, 0), FALSE),
            0
        ) +
        IFERROR(
            VLOOKUP($A91, INDIRECT("AbrR!$A$6:$ZZ$1048576"), MATCH(AU$1, AbrR!$6:$6, 0), FALSE),
            0
        ) +
        IFERROR(
            VLOOKUP($A91, INDIRECT("MayR!$A$6:$ZZ$1048576"), MATCH(AU$1, MayR!$6:$6, 0), FALSE),
            0
        ) +
        IFERROR(
            VLOOKUP($A91, INDIRECT("JunR!$A$6:$ZZ$1048576"), MATCH(AU$1, JunR!$6:$6, 0), FALSE),
            0
        ) +
        IFERROR(
            VLOOKUP($A91, INDIRECT("JulR!$A$6:$ZZ$1048576"), MATCH(AU$1, JulR!$6:$6, 0), FALSE),
            0
        ) +
        IFERROR(
            VLOOKUP($A91, INDIRECT("AgoR!$A$6:$ZZ$1048576"), MATCH(AU$1, AgoR!$6:$6, 0), FALSE),
            0
        ) +
        IFERROR(
            VLOOKUP($A91, INDIRECT("SepR!$A$6:$ZZ$1048576"), MATCH(AU$1, SepR!$6:$6, 0), FALSE),
            0
        ) +
        IFERROR(
            VLOOKUP($A91, INDIRECT("OctR!$A$6:$ZZ$1048576"), MATCH(AU$1, OctR!$6:$6, 0), FALSE),
            0
        ) +
        IFERROR(
            VLOOKUP($A91, INDIRECT("NovR!$A$6:$ZZ$1048576"), MATCH(AU$1, NovR!$6:$6, 0), FALSE),
            0
        ) +
        IFERROR(
            VLOOKUP($A91, INDIRECT("DicR!$A$6:$ZZ$1048576"), MATCH(AU$1, DicR!$6:$6, 0), FALSE),
            0
        )
)</f>
        <v>0</v>
      </c>
      <c r="AV91" s="36">
        <f t="array" ref="AV91">SUM(
    IFERROR(
            VLOOKUP($A91, INDIRECT("EneR!$A$6:$ZZ$1048576"), MATCH(AV$1, EneR!$6:$6, 0), FALSE),
            0
        ) +
        IFERROR(
            VLOOKUP($A91, INDIRECT("FebR!$A$6:$ZZ$1048576"), MATCH(AV$1, FebR!$6:$6, 0), FALSE),
            0
        ) +
        IFERROR(
            VLOOKUP($A91, INDIRECT("MarR!$A$6:$ZZ$1048576"), MATCH(AV$1, MarR!$6:$6, 0), FALSE),
            0
        ) +
        IFERROR(
            VLOOKUP($A91, INDIRECT("AbrR!$A$6:$ZZ$1048576"), MATCH(AV$1, AbrR!$6:$6, 0), FALSE),
            0
        ) +
        IFERROR(
            VLOOKUP($A91, INDIRECT("MayR!$A$6:$ZZ$1048576"), MATCH(AV$1, MayR!$6:$6, 0), FALSE),
            0
        ) +
        IFERROR(
            VLOOKUP($A91, INDIRECT("JunR!$A$6:$ZZ$1048576"), MATCH(AV$1, JunR!$6:$6, 0), FALSE),
            0
        ) +
        IFERROR(
            VLOOKUP($A91, INDIRECT("JulR!$A$6:$ZZ$1048576"), MATCH(AV$1, JulR!$6:$6, 0), FALSE),
            0
        ) +
        IFERROR(
            VLOOKUP($A91, INDIRECT("AgoR!$A$6:$ZZ$1048576"), MATCH(AV$1, AgoR!$6:$6, 0), FALSE),
            0
        ) +
        IFERROR(
            VLOOKUP($A91, INDIRECT("SepR!$A$6:$ZZ$1048576"), MATCH(AV$1, SepR!$6:$6, 0), FALSE),
            0
        ) +
        IFERROR(
            VLOOKUP($A91, INDIRECT("OctR!$A$6:$ZZ$1048576"), MATCH(AV$1, OctR!$6:$6, 0), FALSE),
            0
        ) +
        IFERROR(
            VLOOKUP($A91, INDIRECT("NovR!$A$6:$ZZ$1048576"), MATCH(AV$1, NovR!$6:$6, 0), FALSE),
            0
        ) +
        IFERROR(
            VLOOKUP($A91, INDIRECT("DicR!$A$6:$ZZ$1048576"), MATCH(AV$1, DicR!$6:$6, 0), FALSE),
            0
        )
)</f>
        <v>0</v>
      </c>
      <c r="AW91" s="35">
        <f t="array" ref="AW91">SUM(
    IFERROR(
            VLOOKUP($A91, INDIRECT("EneR!$A$6:$ZZ$1048576"), MATCH(AW$1, EneR!$6:$6, 0), FALSE),
            0
        ) +
        IFERROR(
            VLOOKUP($A91, INDIRECT("FebR!$A$6:$ZZ$1048576"), MATCH(AW$1, FebR!$6:$6, 0), FALSE),
            0
        ) +
        IFERROR(
            VLOOKUP($A91, INDIRECT("MarR!$A$6:$ZZ$1048576"), MATCH(AW$1, MarR!$6:$6, 0), FALSE),
            0
        ) +
        IFERROR(
            VLOOKUP($A91, INDIRECT("AbrR!$A$6:$ZZ$1048576"), MATCH(AW$1, AbrR!$6:$6, 0), FALSE),
            0
        ) +
        IFERROR(
            VLOOKUP($A91, INDIRECT("MayR!$A$6:$ZZ$1048576"), MATCH(AW$1, MayR!$6:$6, 0), FALSE),
            0
        ) +
        IFERROR(
            VLOOKUP($A91, INDIRECT("JunR!$A$6:$ZZ$1048576"), MATCH(AW$1, JunR!$6:$6, 0), FALSE),
            0
        ) +
        IFERROR(
            VLOOKUP($A91, INDIRECT("JulR!$A$6:$ZZ$1048576"), MATCH(AW$1, JulR!$6:$6, 0), FALSE),
            0
        ) +
        IFERROR(
            VLOOKUP($A91, INDIRECT("AgoR!$A$6:$ZZ$1048576"), MATCH(AW$1, AgoR!$6:$6, 0), FALSE),
            0
        ) +
        IFERROR(
            VLOOKUP($A91, INDIRECT("SepR!$A$6:$ZZ$1048576"), MATCH(AW$1, SepR!$6:$6, 0), FALSE),
            0
        ) +
        IFERROR(
            VLOOKUP($A91, INDIRECT("OctR!$A$6:$ZZ$1048576"), MATCH(AW$1, OctR!$6:$6, 0), FALSE),
            0
        ) +
        IFERROR(
            VLOOKUP($A91, INDIRECT("NovR!$A$6:$ZZ$1048576"), MATCH(AW$1, NovR!$6:$6, 0), FALSE),
            0
        ) +
        IFERROR(
            VLOOKUP($A91, INDIRECT("DicR!$A$6:$ZZ$1048576"), MATCH(AW$1, DicR!$6:$6, 0), FALSE),
            0
        )
)</f>
        <v>0</v>
      </c>
      <c r="AX91" s="36">
        <f t="array" ref="AX91">SUM(
    IFERROR(
            VLOOKUP($A91, INDIRECT("EneR!$A$6:$ZZ$1048576"), MATCH(AX$1, EneR!$6:$6, 0), FALSE),
            0
        ) +
        IFERROR(
            VLOOKUP($A91, INDIRECT("FebR!$A$6:$ZZ$1048576"), MATCH(AX$1, FebR!$6:$6, 0), FALSE),
            0
        ) +
        IFERROR(
            VLOOKUP($A91, INDIRECT("MarR!$A$6:$ZZ$1048576"), MATCH(AX$1, MarR!$6:$6, 0), FALSE),
            0
        ) +
        IFERROR(
            VLOOKUP($A91, INDIRECT("AbrR!$A$6:$ZZ$1048576"), MATCH(AX$1, AbrR!$6:$6, 0), FALSE),
            0
        ) +
        IFERROR(
            VLOOKUP($A91, INDIRECT("MayR!$A$6:$ZZ$1048576"), MATCH(AX$1, MayR!$6:$6, 0), FALSE),
            0
        ) +
        IFERROR(
            VLOOKUP($A91, INDIRECT("JunR!$A$6:$ZZ$1048576"), MATCH(AX$1, JunR!$6:$6, 0), FALSE),
            0
        ) +
        IFERROR(
            VLOOKUP($A91, INDIRECT("JulR!$A$6:$ZZ$1048576"), MATCH(AX$1, JulR!$6:$6, 0), FALSE),
            0
        ) +
        IFERROR(
            VLOOKUP($A91, INDIRECT("AgoR!$A$6:$ZZ$1048576"), MATCH(AX$1, AgoR!$6:$6, 0), FALSE),
            0
        ) +
        IFERROR(
            VLOOKUP($A91, INDIRECT("SepR!$A$6:$ZZ$1048576"), MATCH(AX$1, SepR!$6:$6, 0), FALSE),
            0
        ) +
        IFERROR(
            VLOOKUP($A91, INDIRECT("OctR!$A$6:$ZZ$1048576"), MATCH(AX$1, OctR!$6:$6, 0), FALSE),
            0
        ) +
        IFERROR(
            VLOOKUP($A91, INDIRECT("NovR!$A$6:$ZZ$1048576"), MATCH(AX$1, NovR!$6:$6, 0), FALSE),
            0
        ) +
        IFERROR(
            VLOOKUP($A91, INDIRECT("DicR!$A$6:$ZZ$1048576"), MATCH(AX$1, DicR!$6:$6, 0), FALSE),
            0
        )
)</f>
        <v>0</v>
      </c>
      <c r="AY91" s="35">
        <f t="array" ref="AY91">SUM(
    IFERROR(
            VLOOKUP($A91, INDIRECT("EneR!$A$6:$ZZ$1048576"), MATCH(AY$1, EneR!$6:$6, 0), FALSE),
            0
        ) +
        IFERROR(
            VLOOKUP($A91, INDIRECT("FebR!$A$6:$ZZ$1048576"), MATCH(AY$1, FebR!$6:$6, 0), FALSE),
            0
        ) +
        IFERROR(
            VLOOKUP($A91, INDIRECT("MarR!$A$6:$ZZ$1048576"), MATCH(AY$1, MarR!$6:$6, 0), FALSE),
            0
        ) +
        IFERROR(
            VLOOKUP($A91, INDIRECT("AbrR!$A$6:$ZZ$1048576"), MATCH(AY$1, AbrR!$6:$6, 0), FALSE),
            0
        ) +
        IFERROR(
            VLOOKUP($A91, INDIRECT("MayR!$A$6:$ZZ$1048576"), MATCH(AY$1, MayR!$6:$6, 0), FALSE),
            0
        ) +
        IFERROR(
            VLOOKUP($A91, INDIRECT("JunR!$A$6:$ZZ$1048576"), MATCH(AY$1, JunR!$6:$6, 0), FALSE),
            0
        ) +
        IFERROR(
            VLOOKUP($A91, INDIRECT("JulR!$A$6:$ZZ$1048576"), MATCH(AY$1, JulR!$6:$6, 0), FALSE),
            0
        ) +
        IFERROR(
            VLOOKUP($A91, INDIRECT("AgoR!$A$6:$ZZ$1048576"), MATCH(AY$1, AgoR!$6:$6, 0), FALSE),
            0
        ) +
        IFERROR(
            VLOOKUP($A91, INDIRECT("SepR!$A$6:$ZZ$1048576"), MATCH(AY$1, SepR!$6:$6, 0), FALSE),
            0
        ) +
        IFERROR(
            VLOOKUP($A91, INDIRECT("OctR!$A$6:$ZZ$1048576"), MATCH(AY$1, OctR!$6:$6, 0), FALSE),
            0
        ) +
        IFERROR(
            VLOOKUP($A91, INDIRECT("NovR!$A$6:$ZZ$1048576"), MATCH(AY$1, NovR!$6:$6, 0), FALSE),
            0
        ) +
        IFERROR(
            VLOOKUP($A91, INDIRECT("DicR!$A$6:$ZZ$1048576"), MATCH(AY$1, DicR!$6:$6, 0), FALSE),
            0
        )
)</f>
        <v>0</v>
      </c>
      <c r="AZ91" s="35"/>
    </row>
    <row r="92" ht="15.75" hidden="1" customHeight="1">
      <c r="A92" s="12" t="str">
        <f>Menus!B53</f>
        <v/>
      </c>
      <c r="B92" s="32">
        <f t="shared" si="11"/>
        <v>0</v>
      </c>
      <c r="C92" s="33" t="str">
        <f t="shared" si="10"/>
        <v/>
      </c>
      <c r="D92" s="34">
        <f t="array" ref="D92">SUM(
    IFERROR(
            VLOOKUP($A92, INDIRECT("EneR!$A$6:$ZZ$1048576"), MATCH(D$1, EneR!$6:$6, 0), FALSE),
            0
        ) +
        IFERROR(
            VLOOKUP($A92, INDIRECT("FebR!$A$6:$ZZ$1048576"), MATCH(D$1, FebR!$6:$6, 0), FALSE),
            0
        ) +
        IFERROR(
            VLOOKUP($A92, INDIRECT("MarR!$A$6:$ZZ$1048576"), MATCH(D$1, MarR!$6:$6, 0), FALSE),
            0
        ) +
        IFERROR(
            VLOOKUP($A92, INDIRECT("AbrR!$A$6:$ZZ$1048576"), MATCH(D$1, AbrR!$6:$6, 0), FALSE),
            0
        ) +
        IFERROR(
            VLOOKUP($A92, INDIRECT("MayR!$A$6:$ZZ$1048576"), MATCH(D$1, MayR!$6:$6, 0), FALSE),
            0
        ) +
        IFERROR(
            VLOOKUP($A92, INDIRECT("JunR!$A$6:$ZZ$1048576"), MATCH(D$1, JunR!$6:$6, 0), FALSE),
            0
        ) +
        IFERROR(
            VLOOKUP($A92, INDIRECT("JulR!$A$6:$ZZ$1048576"), MATCH(D$1, JulR!$6:$6, 0), FALSE),
            0
        ) +
        IFERROR(
            VLOOKUP($A92, INDIRECT("AgoR!$A$6:$ZZ$1048576"), MATCH(D$1, AgoR!$6:$6, 0), FALSE),
            0
        ) +
        IFERROR(
            VLOOKUP($A92, INDIRECT("SepR!$A$6:$ZZ$1048576"), MATCH(D$1, SepR!$6:$6, 0), FALSE),
            0
        ) +
        IFERROR(
            VLOOKUP($A92, INDIRECT("OctR!$A$6:$ZZ$1048576"), MATCH(D$1, OctR!$6:$6, 0), FALSE),
            0
        ) +
        IFERROR(
            VLOOKUP($A92, INDIRECT("NovR!$A$6:$ZZ$1048576"), MATCH(D$1, NovR!$6:$6, 0), FALSE),
            0
        ) +
        IFERROR(
            VLOOKUP($A92, INDIRECT("DicR!$A$6:$ZZ$1048576"), MATCH(D$1, DicR!$6:$6, 0), FALSE),
            0
        )
)</f>
        <v>0</v>
      </c>
      <c r="E92" s="35">
        <f t="array" ref="E92">SUM(
    IFERROR(
            VLOOKUP($A92, INDIRECT("EneR!$A$6:$ZZ$1048576"), MATCH(E$1, EneR!$6:$6, 0), FALSE),
            0
        ) +
        IFERROR(
            VLOOKUP($A92, INDIRECT("FebR!$A$6:$ZZ$1048576"), MATCH(E$1, FebR!$6:$6, 0), FALSE),
            0
        ) +
        IFERROR(
            VLOOKUP($A92, INDIRECT("MarR!$A$6:$ZZ$1048576"), MATCH(E$1, MarR!$6:$6, 0), FALSE),
            0
        ) +
        IFERROR(
            VLOOKUP($A92, INDIRECT("AbrR!$A$6:$ZZ$1048576"), MATCH(E$1, AbrR!$6:$6, 0), FALSE),
            0
        ) +
        IFERROR(
            VLOOKUP($A92, INDIRECT("MayR!$A$6:$ZZ$1048576"), MATCH(E$1, MayR!$6:$6, 0), FALSE),
            0
        ) +
        IFERROR(
            VLOOKUP($A92, INDIRECT("JunR!$A$6:$ZZ$1048576"), MATCH(E$1, JunR!$6:$6, 0), FALSE),
            0
        ) +
        IFERROR(
            VLOOKUP($A92, INDIRECT("JulR!$A$6:$ZZ$1048576"), MATCH(E$1, JulR!$6:$6, 0), FALSE),
            0
        ) +
        IFERROR(
            VLOOKUP($A92, INDIRECT("AgoR!$A$6:$ZZ$1048576"), MATCH(E$1, AgoR!$6:$6, 0), FALSE),
            0
        ) +
        IFERROR(
            VLOOKUP($A92, INDIRECT("SepR!$A$6:$ZZ$1048576"), MATCH(E$1, SepR!$6:$6, 0), FALSE),
            0
        ) +
        IFERROR(
            VLOOKUP($A92, INDIRECT("OctR!$A$6:$ZZ$1048576"), MATCH(E$1, OctR!$6:$6, 0), FALSE),
            0
        ) +
        IFERROR(
            VLOOKUP($A92, INDIRECT("NovR!$A$6:$ZZ$1048576"), MATCH(E$1, NovR!$6:$6, 0), FALSE),
            0
        ) +
        IFERROR(
            VLOOKUP($A92, INDIRECT("DicR!$A$6:$ZZ$1048576"), MATCH(E$1, DicR!$6:$6, 0), FALSE),
            0
        )
)</f>
        <v>0</v>
      </c>
      <c r="F92" s="32">
        <f t="array" ref="F92">SUM(
    IFERROR(
            VLOOKUP($A92, INDIRECT("EneR!$A$6:$ZZ$1048576"), MATCH(F$1, EneR!$6:$6, 0), FALSE),
            0
        ) +
        IFERROR(
            VLOOKUP($A92, INDIRECT("FebR!$A$6:$ZZ$1048576"), MATCH(F$1, FebR!$6:$6, 0), FALSE),
            0
        ) +
        IFERROR(
            VLOOKUP($A92, INDIRECT("MarR!$A$6:$ZZ$1048576"), MATCH(F$1, MarR!$6:$6, 0), FALSE),
            0
        ) +
        IFERROR(
            VLOOKUP($A92, INDIRECT("AbrR!$A$6:$ZZ$1048576"), MATCH(F$1, AbrR!$6:$6, 0), FALSE),
            0
        ) +
        IFERROR(
            VLOOKUP($A92, INDIRECT("MayR!$A$6:$ZZ$1048576"), MATCH(F$1, MayR!$6:$6, 0), FALSE),
            0
        ) +
        IFERROR(
            VLOOKUP($A92, INDIRECT("JunR!$A$6:$ZZ$1048576"), MATCH(F$1, JunR!$6:$6, 0), FALSE),
            0
        ) +
        IFERROR(
            VLOOKUP($A92, INDIRECT("JulR!$A$6:$ZZ$1048576"), MATCH(F$1, JulR!$6:$6, 0), FALSE),
            0
        ) +
        IFERROR(
            VLOOKUP($A92, INDIRECT("AgoR!$A$6:$ZZ$1048576"), MATCH(F$1, AgoR!$6:$6, 0), FALSE),
            0
        ) +
        IFERROR(
            VLOOKUP($A92, INDIRECT("SepR!$A$6:$ZZ$1048576"), MATCH(F$1, SepR!$6:$6, 0), FALSE),
            0
        ) +
        IFERROR(
            VLOOKUP($A92, INDIRECT("OctR!$A$6:$ZZ$1048576"), MATCH(F$1, OctR!$6:$6, 0), FALSE),
            0
        ) +
        IFERROR(
            VLOOKUP($A92, INDIRECT("NovR!$A$6:$ZZ$1048576"), MATCH(F$1, NovR!$6:$6, 0), FALSE),
            0
        ) +
        IFERROR(
            VLOOKUP($A92, INDIRECT("DicR!$A$6:$ZZ$1048576"), MATCH(F$1, DicR!$6:$6, 0), FALSE),
            0
        )
)</f>
        <v>0</v>
      </c>
      <c r="G92" s="35">
        <f t="array" ref="G92">SUM(
    IFERROR(
            VLOOKUP($A92, INDIRECT("EneR!$A$6:$ZZ$1048576"), MATCH(G$1, EneR!$6:$6, 0), FALSE),
            0
        ) +
        IFERROR(
            VLOOKUP($A92, INDIRECT("FebR!$A$6:$ZZ$1048576"), MATCH(G$1, FebR!$6:$6, 0), FALSE),
            0
        ) +
        IFERROR(
            VLOOKUP($A92, INDIRECT("MarR!$A$6:$ZZ$1048576"), MATCH(G$1, MarR!$6:$6, 0), FALSE),
            0
        ) +
        IFERROR(
            VLOOKUP($A92, INDIRECT("AbrR!$A$6:$ZZ$1048576"), MATCH(G$1, AbrR!$6:$6, 0), FALSE),
            0
        ) +
        IFERROR(
            VLOOKUP($A92, INDIRECT("MayR!$A$6:$ZZ$1048576"), MATCH(G$1, MayR!$6:$6, 0), FALSE),
            0
        ) +
        IFERROR(
            VLOOKUP($A92, INDIRECT("JunR!$A$6:$ZZ$1048576"), MATCH(G$1, JunR!$6:$6, 0), FALSE),
            0
        ) +
        IFERROR(
            VLOOKUP($A92, INDIRECT("JulR!$A$6:$ZZ$1048576"), MATCH(G$1, JulR!$6:$6, 0), FALSE),
            0
        ) +
        IFERROR(
            VLOOKUP($A92, INDIRECT("AgoR!$A$6:$ZZ$1048576"), MATCH(G$1, AgoR!$6:$6, 0), FALSE),
            0
        ) +
        IFERROR(
            VLOOKUP($A92, INDIRECT("SepR!$A$6:$ZZ$1048576"), MATCH(G$1, SepR!$6:$6, 0), FALSE),
            0
        ) +
        IFERROR(
            VLOOKUP($A92, INDIRECT("OctR!$A$6:$ZZ$1048576"), MATCH(G$1, OctR!$6:$6, 0), FALSE),
            0
        ) +
        IFERROR(
            VLOOKUP($A92, INDIRECT("NovR!$A$6:$ZZ$1048576"), MATCH(G$1, NovR!$6:$6, 0), FALSE),
            0
        ) +
        IFERROR(
            VLOOKUP($A92, INDIRECT("DicR!$A$6:$ZZ$1048576"), MATCH(G$1, DicR!$6:$6, 0), FALSE),
            0
        )
)</f>
        <v>0</v>
      </c>
      <c r="H92" s="32">
        <f t="array" ref="H92">SUM(
    IFERROR(
            VLOOKUP($A92, INDIRECT("EneR!$A$6:$ZZ$1048576"), MATCH(H$1, EneR!$6:$6, 0), FALSE),
            0
        ) +
        IFERROR(
            VLOOKUP($A92, INDIRECT("FebR!$A$6:$ZZ$1048576"), MATCH(H$1, FebR!$6:$6, 0), FALSE),
            0
        ) +
        IFERROR(
            VLOOKUP($A92, INDIRECT("MarR!$A$6:$ZZ$1048576"), MATCH(H$1, MarR!$6:$6, 0), FALSE),
            0
        ) +
        IFERROR(
            VLOOKUP($A92, INDIRECT("AbrR!$A$6:$ZZ$1048576"), MATCH(H$1, AbrR!$6:$6, 0), FALSE),
            0
        ) +
        IFERROR(
            VLOOKUP($A92, INDIRECT("MayR!$A$6:$ZZ$1048576"), MATCH(H$1, MayR!$6:$6, 0), FALSE),
            0
        ) +
        IFERROR(
            VLOOKUP($A92, INDIRECT("JunR!$A$6:$ZZ$1048576"), MATCH(H$1, JunR!$6:$6, 0), FALSE),
            0
        ) +
        IFERROR(
            VLOOKUP($A92, INDIRECT("JulR!$A$6:$ZZ$1048576"), MATCH(H$1, JulR!$6:$6, 0), FALSE),
            0
        ) +
        IFERROR(
            VLOOKUP($A92, INDIRECT("AgoR!$A$6:$ZZ$1048576"), MATCH(H$1, AgoR!$6:$6, 0), FALSE),
            0
        ) +
        IFERROR(
            VLOOKUP($A92, INDIRECT("SepR!$A$6:$ZZ$1048576"), MATCH(H$1, SepR!$6:$6, 0), FALSE),
            0
        ) +
        IFERROR(
            VLOOKUP($A92, INDIRECT("OctR!$A$6:$ZZ$1048576"), MATCH(H$1, OctR!$6:$6, 0), FALSE),
            0
        ) +
        IFERROR(
            VLOOKUP($A92, INDIRECT("NovR!$A$6:$ZZ$1048576"), MATCH(H$1, NovR!$6:$6, 0), FALSE),
            0
        ) +
        IFERROR(
            VLOOKUP($A92, INDIRECT("DicR!$A$6:$ZZ$1048576"), MATCH(H$1, DicR!$6:$6, 0), FALSE),
            0
        )
)</f>
        <v>0</v>
      </c>
      <c r="I92" s="35">
        <f t="array" ref="I92">SUM(
    IFERROR(
            VLOOKUP($A92, INDIRECT("EneR!$A$6:$ZZ$1048576"), MATCH(I$1, EneR!$6:$6, 0), FALSE),
            0
        ) +
        IFERROR(
            VLOOKUP($A92, INDIRECT("FebR!$A$6:$ZZ$1048576"), MATCH(I$1, FebR!$6:$6, 0), FALSE),
            0
        ) +
        IFERROR(
            VLOOKUP($A92, INDIRECT("MarR!$A$6:$ZZ$1048576"), MATCH(I$1, MarR!$6:$6, 0), FALSE),
            0
        ) +
        IFERROR(
            VLOOKUP($A92, INDIRECT("AbrR!$A$6:$ZZ$1048576"), MATCH(I$1, AbrR!$6:$6, 0), FALSE),
            0
        ) +
        IFERROR(
            VLOOKUP($A92, INDIRECT("MayR!$A$6:$ZZ$1048576"), MATCH(I$1, MayR!$6:$6, 0), FALSE),
            0
        ) +
        IFERROR(
            VLOOKUP($A92, INDIRECT("JunR!$A$6:$ZZ$1048576"), MATCH(I$1, JunR!$6:$6, 0), FALSE),
            0
        ) +
        IFERROR(
            VLOOKUP($A92, INDIRECT("JulR!$A$6:$ZZ$1048576"), MATCH(I$1, JulR!$6:$6, 0), FALSE),
            0
        ) +
        IFERROR(
            VLOOKUP($A92, INDIRECT("AgoR!$A$6:$ZZ$1048576"), MATCH(I$1, AgoR!$6:$6, 0), FALSE),
            0
        ) +
        IFERROR(
            VLOOKUP($A92, INDIRECT("SepR!$A$6:$ZZ$1048576"), MATCH(I$1, SepR!$6:$6, 0), FALSE),
            0
        ) +
        IFERROR(
            VLOOKUP($A92, INDIRECT("OctR!$A$6:$ZZ$1048576"), MATCH(I$1, OctR!$6:$6, 0), FALSE),
            0
        ) +
        IFERROR(
            VLOOKUP($A92, INDIRECT("NovR!$A$6:$ZZ$1048576"), MATCH(I$1, NovR!$6:$6, 0), FALSE),
            0
        ) +
        IFERROR(
            VLOOKUP($A92, INDIRECT("DicR!$A$6:$ZZ$1048576"), MATCH(I$1, DicR!$6:$6, 0), FALSE),
            0
        )
)</f>
        <v>0</v>
      </c>
      <c r="J92" s="32">
        <f t="array" ref="J92">SUM(
    IFERROR(
            VLOOKUP($A92, INDIRECT("EneR!$A$6:$ZZ$1048576"), MATCH(J$1, EneR!$6:$6, 0), FALSE),
            0
        ) +
        IFERROR(
            VLOOKUP($A92, INDIRECT("FebR!$A$6:$ZZ$1048576"), MATCH(J$1, FebR!$6:$6, 0), FALSE),
            0
        ) +
        IFERROR(
            VLOOKUP($A92, INDIRECT("MarR!$A$6:$ZZ$1048576"), MATCH(J$1, MarR!$6:$6, 0), FALSE),
            0
        ) +
        IFERROR(
            VLOOKUP($A92, INDIRECT("AbrR!$A$6:$ZZ$1048576"), MATCH(J$1, AbrR!$6:$6, 0), FALSE),
            0
        ) +
        IFERROR(
            VLOOKUP($A92, INDIRECT("MayR!$A$6:$ZZ$1048576"), MATCH(J$1, MayR!$6:$6, 0), FALSE),
            0
        ) +
        IFERROR(
            VLOOKUP($A92, INDIRECT("JunR!$A$6:$ZZ$1048576"), MATCH(J$1, JunR!$6:$6, 0), FALSE),
            0
        ) +
        IFERROR(
            VLOOKUP($A92, INDIRECT("JulR!$A$6:$ZZ$1048576"), MATCH(J$1, JulR!$6:$6, 0), FALSE),
            0
        ) +
        IFERROR(
            VLOOKUP($A92, INDIRECT("AgoR!$A$6:$ZZ$1048576"), MATCH(J$1, AgoR!$6:$6, 0), FALSE),
            0
        ) +
        IFERROR(
            VLOOKUP($A92, INDIRECT("SepR!$A$6:$ZZ$1048576"), MATCH(J$1, SepR!$6:$6, 0), FALSE),
            0
        ) +
        IFERROR(
            VLOOKUP($A92, INDIRECT("OctR!$A$6:$ZZ$1048576"), MATCH(J$1, OctR!$6:$6, 0), FALSE),
            0
        ) +
        IFERROR(
            VLOOKUP($A92, INDIRECT("NovR!$A$6:$ZZ$1048576"), MATCH(J$1, NovR!$6:$6, 0), FALSE),
            0
        ) +
        IFERROR(
            VLOOKUP($A92, INDIRECT("DicR!$A$6:$ZZ$1048576"), MATCH(J$1, DicR!$6:$6, 0), FALSE),
            0
        )
)</f>
        <v>0</v>
      </c>
      <c r="K92" s="35">
        <f t="array" ref="K92">SUM(
    IFERROR(
            VLOOKUP($A92, INDIRECT("EneR!$A$6:$ZZ$1048576"), MATCH(K$1, EneR!$6:$6, 0), FALSE),
            0
        ) +
        IFERROR(
            VLOOKUP($A92, INDIRECT("FebR!$A$6:$ZZ$1048576"), MATCH(K$1, FebR!$6:$6, 0), FALSE),
            0
        ) +
        IFERROR(
            VLOOKUP($A92, INDIRECT("MarR!$A$6:$ZZ$1048576"), MATCH(K$1, MarR!$6:$6, 0), FALSE),
            0
        ) +
        IFERROR(
            VLOOKUP($A92, INDIRECT("AbrR!$A$6:$ZZ$1048576"), MATCH(K$1, AbrR!$6:$6, 0), FALSE),
            0
        ) +
        IFERROR(
            VLOOKUP($A92, INDIRECT("MayR!$A$6:$ZZ$1048576"), MATCH(K$1, MayR!$6:$6, 0), FALSE),
            0
        ) +
        IFERROR(
            VLOOKUP($A92, INDIRECT("JunR!$A$6:$ZZ$1048576"), MATCH(K$1, JunR!$6:$6, 0), FALSE),
            0
        ) +
        IFERROR(
            VLOOKUP($A92, INDIRECT("JulR!$A$6:$ZZ$1048576"), MATCH(K$1, JulR!$6:$6, 0), FALSE),
            0
        ) +
        IFERROR(
            VLOOKUP($A92, INDIRECT("AgoR!$A$6:$ZZ$1048576"), MATCH(K$1, AgoR!$6:$6, 0), FALSE),
            0
        ) +
        IFERROR(
            VLOOKUP($A92, INDIRECT("SepR!$A$6:$ZZ$1048576"), MATCH(K$1, SepR!$6:$6, 0), FALSE),
            0
        ) +
        IFERROR(
            VLOOKUP($A92, INDIRECT("OctR!$A$6:$ZZ$1048576"), MATCH(K$1, OctR!$6:$6, 0), FALSE),
            0
        ) +
        IFERROR(
            VLOOKUP($A92, INDIRECT("NovR!$A$6:$ZZ$1048576"), MATCH(K$1, NovR!$6:$6, 0), FALSE),
            0
        ) +
        IFERROR(
            VLOOKUP($A92, INDIRECT("DicR!$A$6:$ZZ$1048576"), MATCH(K$1, DicR!$6:$6, 0), FALSE),
            0
        )
)</f>
        <v>0</v>
      </c>
      <c r="L92" s="32">
        <f t="array" ref="L92">SUM(
    IFERROR(
            VLOOKUP($A92, INDIRECT("EneR!$A$6:$ZZ$1048576"), MATCH(L$1, EneR!$6:$6, 0), FALSE),
            0
        ) +
        IFERROR(
            VLOOKUP($A92, INDIRECT("FebR!$A$6:$ZZ$1048576"), MATCH(L$1, FebR!$6:$6, 0), FALSE),
            0
        ) +
        IFERROR(
            VLOOKUP($A92, INDIRECT("MarR!$A$6:$ZZ$1048576"), MATCH(L$1, MarR!$6:$6, 0), FALSE),
            0
        ) +
        IFERROR(
            VLOOKUP($A92, INDIRECT("AbrR!$A$6:$ZZ$1048576"), MATCH(L$1, AbrR!$6:$6, 0), FALSE),
            0
        ) +
        IFERROR(
            VLOOKUP($A92, INDIRECT("MayR!$A$6:$ZZ$1048576"), MATCH(L$1, MayR!$6:$6, 0), FALSE),
            0
        ) +
        IFERROR(
            VLOOKUP($A92, INDIRECT("JunR!$A$6:$ZZ$1048576"), MATCH(L$1, JunR!$6:$6, 0), FALSE),
            0
        ) +
        IFERROR(
            VLOOKUP($A92, INDIRECT("JulR!$A$6:$ZZ$1048576"), MATCH(L$1, JulR!$6:$6, 0), FALSE),
            0
        ) +
        IFERROR(
            VLOOKUP($A92, INDIRECT("AgoR!$A$6:$ZZ$1048576"), MATCH(L$1, AgoR!$6:$6, 0), FALSE),
            0
        ) +
        IFERROR(
            VLOOKUP($A92, INDIRECT("SepR!$A$6:$ZZ$1048576"), MATCH(L$1, SepR!$6:$6, 0), FALSE),
            0
        ) +
        IFERROR(
            VLOOKUP($A92, INDIRECT("OctR!$A$6:$ZZ$1048576"), MATCH(L$1, OctR!$6:$6, 0), FALSE),
            0
        ) +
        IFERROR(
            VLOOKUP($A92, INDIRECT("NovR!$A$6:$ZZ$1048576"), MATCH(L$1, NovR!$6:$6, 0), FALSE),
            0
        ) +
        IFERROR(
            VLOOKUP($A92, INDIRECT("DicR!$A$6:$ZZ$1048576"), MATCH(L$1, DicR!$6:$6, 0), FALSE),
            0
        )
)</f>
        <v>0</v>
      </c>
      <c r="M92" s="35">
        <f t="array" ref="M92">SUM(
    IFERROR(
            VLOOKUP($A92, INDIRECT("EneR!$A$6:$ZZ$1048576"), MATCH(M$1, EneR!$6:$6, 0), FALSE),
            0
        ) +
        IFERROR(
            VLOOKUP($A92, INDIRECT("FebR!$A$6:$ZZ$1048576"), MATCH(M$1, FebR!$6:$6, 0), FALSE),
            0
        ) +
        IFERROR(
            VLOOKUP($A92, INDIRECT("MarR!$A$6:$ZZ$1048576"), MATCH(M$1, MarR!$6:$6, 0), FALSE),
            0
        ) +
        IFERROR(
            VLOOKUP($A92, INDIRECT("AbrR!$A$6:$ZZ$1048576"), MATCH(M$1, AbrR!$6:$6, 0), FALSE),
            0
        ) +
        IFERROR(
            VLOOKUP($A92, INDIRECT("MayR!$A$6:$ZZ$1048576"), MATCH(M$1, MayR!$6:$6, 0), FALSE),
            0
        ) +
        IFERROR(
            VLOOKUP($A92, INDIRECT("JunR!$A$6:$ZZ$1048576"), MATCH(M$1, JunR!$6:$6, 0), FALSE),
            0
        ) +
        IFERROR(
            VLOOKUP($A92, INDIRECT("JulR!$A$6:$ZZ$1048576"), MATCH(M$1, JulR!$6:$6, 0), FALSE),
            0
        ) +
        IFERROR(
            VLOOKUP($A92, INDIRECT("AgoR!$A$6:$ZZ$1048576"), MATCH(M$1, AgoR!$6:$6, 0), FALSE),
            0
        ) +
        IFERROR(
            VLOOKUP($A92, INDIRECT("SepR!$A$6:$ZZ$1048576"), MATCH(M$1, SepR!$6:$6, 0), FALSE),
            0
        ) +
        IFERROR(
            VLOOKUP($A92, INDIRECT("OctR!$A$6:$ZZ$1048576"), MATCH(M$1, OctR!$6:$6, 0), FALSE),
            0
        ) +
        IFERROR(
            VLOOKUP($A92, INDIRECT("NovR!$A$6:$ZZ$1048576"), MATCH(M$1, NovR!$6:$6, 0), FALSE),
            0
        ) +
        IFERROR(
            VLOOKUP($A92, INDIRECT("DicR!$A$6:$ZZ$1048576"), MATCH(M$1, DicR!$6:$6, 0), FALSE),
            0
        )
)</f>
        <v>0</v>
      </c>
      <c r="N92" s="32">
        <f t="array" ref="N92">SUM(
    IFERROR(
            VLOOKUP($A92, INDIRECT("EneR!$A$6:$ZZ$1048576"), MATCH(N$1, EneR!$6:$6, 0), FALSE),
            0
        ) +
        IFERROR(
            VLOOKUP($A92, INDIRECT("FebR!$A$6:$ZZ$1048576"), MATCH(N$1, FebR!$6:$6, 0), FALSE),
            0
        ) +
        IFERROR(
            VLOOKUP($A92, INDIRECT("MarR!$A$6:$ZZ$1048576"), MATCH(N$1, MarR!$6:$6, 0), FALSE),
            0
        ) +
        IFERROR(
            VLOOKUP($A92, INDIRECT("AbrR!$A$6:$ZZ$1048576"), MATCH(N$1, AbrR!$6:$6, 0), FALSE),
            0
        ) +
        IFERROR(
            VLOOKUP($A92, INDIRECT("MayR!$A$6:$ZZ$1048576"), MATCH(N$1, MayR!$6:$6, 0), FALSE),
            0
        ) +
        IFERROR(
            VLOOKUP($A92, INDIRECT("JunR!$A$6:$ZZ$1048576"), MATCH(N$1, JunR!$6:$6, 0), FALSE),
            0
        ) +
        IFERROR(
            VLOOKUP($A92, INDIRECT("JulR!$A$6:$ZZ$1048576"), MATCH(N$1, JulR!$6:$6, 0), FALSE),
            0
        ) +
        IFERROR(
            VLOOKUP($A92, INDIRECT("AgoR!$A$6:$ZZ$1048576"), MATCH(N$1, AgoR!$6:$6, 0), FALSE),
            0
        ) +
        IFERROR(
            VLOOKUP($A92, INDIRECT("SepR!$A$6:$ZZ$1048576"), MATCH(N$1, SepR!$6:$6, 0), FALSE),
            0
        ) +
        IFERROR(
            VLOOKUP($A92, INDIRECT("OctR!$A$6:$ZZ$1048576"), MATCH(N$1, OctR!$6:$6, 0), FALSE),
            0
        ) +
        IFERROR(
            VLOOKUP($A92, INDIRECT("NovR!$A$6:$ZZ$1048576"), MATCH(N$1, NovR!$6:$6, 0), FALSE),
            0
        ) +
        IFERROR(
            VLOOKUP($A92, INDIRECT("DicR!$A$6:$ZZ$1048576"), MATCH(N$1, DicR!$6:$6, 0), FALSE),
            0
        )
)</f>
        <v>0</v>
      </c>
      <c r="O92" s="35">
        <f t="array" ref="O92">SUM(
    IFERROR(
            VLOOKUP($A92, INDIRECT("EneR!$A$6:$ZZ$1048576"), MATCH(O$1, EneR!$6:$6, 0), FALSE),
            0
        ) +
        IFERROR(
            VLOOKUP($A92, INDIRECT("FebR!$A$6:$ZZ$1048576"), MATCH(O$1, FebR!$6:$6, 0), FALSE),
            0
        ) +
        IFERROR(
            VLOOKUP($A92, INDIRECT("MarR!$A$6:$ZZ$1048576"), MATCH(O$1, MarR!$6:$6, 0), FALSE),
            0
        ) +
        IFERROR(
            VLOOKUP($A92, INDIRECT("AbrR!$A$6:$ZZ$1048576"), MATCH(O$1, AbrR!$6:$6, 0), FALSE),
            0
        ) +
        IFERROR(
            VLOOKUP($A92, INDIRECT("MayR!$A$6:$ZZ$1048576"), MATCH(O$1, MayR!$6:$6, 0), FALSE),
            0
        ) +
        IFERROR(
            VLOOKUP($A92, INDIRECT("JunR!$A$6:$ZZ$1048576"), MATCH(O$1, JunR!$6:$6, 0), FALSE),
            0
        ) +
        IFERROR(
            VLOOKUP($A92, INDIRECT("JulR!$A$6:$ZZ$1048576"), MATCH(O$1, JulR!$6:$6, 0), FALSE),
            0
        ) +
        IFERROR(
            VLOOKUP($A92, INDIRECT("AgoR!$A$6:$ZZ$1048576"), MATCH(O$1, AgoR!$6:$6, 0), FALSE),
            0
        ) +
        IFERROR(
            VLOOKUP($A92, INDIRECT("SepR!$A$6:$ZZ$1048576"), MATCH(O$1, SepR!$6:$6, 0), FALSE),
            0
        ) +
        IFERROR(
            VLOOKUP($A92, INDIRECT("OctR!$A$6:$ZZ$1048576"), MATCH(O$1, OctR!$6:$6, 0), FALSE),
            0
        ) +
        IFERROR(
            VLOOKUP($A92, INDIRECT("NovR!$A$6:$ZZ$1048576"), MATCH(O$1, NovR!$6:$6, 0), FALSE),
            0
        ) +
        IFERROR(
            VLOOKUP($A92, INDIRECT("DicR!$A$6:$ZZ$1048576"), MATCH(O$1, DicR!$6:$6, 0), FALSE),
            0
        )
)</f>
        <v>0</v>
      </c>
      <c r="P92" s="32">
        <f t="array" ref="P92">SUM(
    IFERROR(
            VLOOKUP($A92, INDIRECT("EneR!$A$6:$ZZ$1048576"), MATCH(P$1, EneR!$6:$6, 0), FALSE),
            0
        ) +
        IFERROR(
            VLOOKUP($A92, INDIRECT("FebR!$A$6:$ZZ$1048576"), MATCH(P$1, FebR!$6:$6, 0), FALSE),
            0
        ) +
        IFERROR(
            VLOOKUP($A92, INDIRECT("MarR!$A$6:$ZZ$1048576"), MATCH(P$1, MarR!$6:$6, 0), FALSE),
            0
        ) +
        IFERROR(
            VLOOKUP($A92, INDIRECT("AbrR!$A$6:$ZZ$1048576"), MATCH(P$1, AbrR!$6:$6, 0), FALSE),
            0
        ) +
        IFERROR(
            VLOOKUP($A92, INDIRECT("MayR!$A$6:$ZZ$1048576"), MATCH(P$1, MayR!$6:$6, 0), FALSE),
            0
        ) +
        IFERROR(
            VLOOKUP($A92, INDIRECT("JunR!$A$6:$ZZ$1048576"), MATCH(P$1, JunR!$6:$6, 0), FALSE),
            0
        ) +
        IFERROR(
            VLOOKUP($A92, INDIRECT("JulR!$A$6:$ZZ$1048576"), MATCH(P$1, JulR!$6:$6, 0), FALSE),
            0
        ) +
        IFERROR(
            VLOOKUP($A92, INDIRECT("AgoR!$A$6:$ZZ$1048576"), MATCH(P$1, AgoR!$6:$6, 0), FALSE),
            0
        ) +
        IFERROR(
            VLOOKUP($A92, INDIRECT("SepR!$A$6:$ZZ$1048576"), MATCH(P$1, SepR!$6:$6, 0), FALSE),
            0
        ) +
        IFERROR(
            VLOOKUP($A92, INDIRECT("OctR!$A$6:$ZZ$1048576"), MATCH(P$1, OctR!$6:$6, 0), FALSE),
            0
        ) +
        IFERROR(
            VLOOKUP($A92, INDIRECT("NovR!$A$6:$ZZ$1048576"), MATCH(P$1, NovR!$6:$6, 0), FALSE),
            0
        ) +
        IFERROR(
            VLOOKUP($A92, INDIRECT("DicR!$A$6:$ZZ$1048576"), MATCH(P$1, DicR!$6:$6, 0), FALSE),
            0
        )
)</f>
        <v>0</v>
      </c>
      <c r="Q92" s="35">
        <f t="array" ref="Q92">SUM(
    IFERROR(
            VLOOKUP($A92, INDIRECT("EneR!$A$6:$ZZ$1048576"), MATCH(Q$1, EneR!$6:$6, 0), FALSE),
            0
        ) +
        IFERROR(
            VLOOKUP($A92, INDIRECT("FebR!$A$6:$ZZ$1048576"), MATCH(Q$1, FebR!$6:$6, 0), FALSE),
            0
        ) +
        IFERROR(
            VLOOKUP($A92, INDIRECT("MarR!$A$6:$ZZ$1048576"), MATCH(Q$1, MarR!$6:$6, 0), FALSE),
            0
        ) +
        IFERROR(
            VLOOKUP($A92, INDIRECT("AbrR!$A$6:$ZZ$1048576"), MATCH(Q$1, AbrR!$6:$6, 0), FALSE),
            0
        ) +
        IFERROR(
            VLOOKUP($A92, INDIRECT("MayR!$A$6:$ZZ$1048576"), MATCH(Q$1, MayR!$6:$6, 0), FALSE),
            0
        ) +
        IFERROR(
            VLOOKUP($A92, INDIRECT("JunR!$A$6:$ZZ$1048576"), MATCH(Q$1, JunR!$6:$6, 0), FALSE),
            0
        ) +
        IFERROR(
            VLOOKUP($A92, INDIRECT("JulR!$A$6:$ZZ$1048576"), MATCH(Q$1, JulR!$6:$6, 0), FALSE),
            0
        ) +
        IFERROR(
            VLOOKUP($A92, INDIRECT("AgoR!$A$6:$ZZ$1048576"), MATCH(Q$1, AgoR!$6:$6, 0), FALSE),
            0
        ) +
        IFERROR(
            VLOOKUP($A92, INDIRECT("SepR!$A$6:$ZZ$1048576"), MATCH(Q$1, SepR!$6:$6, 0), FALSE),
            0
        ) +
        IFERROR(
            VLOOKUP($A92, INDIRECT("OctR!$A$6:$ZZ$1048576"), MATCH(Q$1, OctR!$6:$6, 0), FALSE),
            0
        ) +
        IFERROR(
            VLOOKUP($A92, INDIRECT("NovR!$A$6:$ZZ$1048576"), MATCH(Q$1, NovR!$6:$6, 0), FALSE),
            0
        ) +
        IFERROR(
            VLOOKUP($A92, INDIRECT("DicR!$A$6:$ZZ$1048576"), MATCH(Q$1, DicR!$6:$6, 0), FALSE),
            0
        )
)</f>
        <v>0</v>
      </c>
      <c r="R92" s="36">
        <f t="array" ref="R92">SUM(
    IFERROR(
            VLOOKUP($A92, INDIRECT("EneR!$A$6:$ZZ$1048576"), MATCH(R$1, EneR!$6:$6, 0), FALSE),
            0
        ) +
        IFERROR(
            VLOOKUP($A92, INDIRECT("FebR!$A$6:$ZZ$1048576"), MATCH(R$1, FebR!$6:$6, 0), FALSE),
            0
        ) +
        IFERROR(
            VLOOKUP($A92, INDIRECT("MarR!$A$6:$ZZ$1048576"), MATCH(R$1, MarR!$6:$6, 0), FALSE),
            0
        ) +
        IFERROR(
            VLOOKUP($A92, INDIRECT("AbrR!$A$6:$ZZ$1048576"), MATCH(R$1, AbrR!$6:$6, 0), FALSE),
            0
        ) +
        IFERROR(
            VLOOKUP($A92, INDIRECT("MayR!$A$6:$ZZ$1048576"), MATCH(R$1, MayR!$6:$6, 0), FALSE),
            0
        ) +
        IFERROR(
            VLOOKUP($A92, INDIRECT("JunR!$A$6:$ZZ$1048576"), MATCH(R$1, JunR!$6:$6, 0), FALSE),
            0
        ) +
        IFERROR(
            VLOOKUP($A92, INDIRECT("JulR!$A$6:$ZZ$1048576"), MATCH(R$1, JulR!$6:$6, 0), FALSE),
            0
        ) +
        IFERROR(
            VLOOKUP($A92, INDIRECT("AgoR!$A$6:$ZZ$1048576"), MATCH(R$1, AgoR!$6:$6, 0), FALSE),
            0
        ) +
        IFERROR(
            VLOOKUP($A92, INDIRECT("SepR!$A$6:$ZZ$1048576"), MATCH(R$1, SepR!$6:$6, 0), FALSE),
            0
        ) +
        IFERROR(
            VLOOKUP($A92, INDIRECT("OctR!$A$6:$ZZ$1048576"), MATCH(R$1, OctR!$6:$6, 0), FALSE),
            0
        ) +
        IFERROR(
            VLOOKUP($A92, INDIRECT("NovR!$A$6:$ZZ$1048576"), MATCH(R$1, NovR!$6:$6, 0), FALSE),
            0
        ) +
        IFERROR(
            VLOOKUP($A92, INDIRECT("DicR!$A$6:$ZZ$1048576"), MATCH(R$1, DicR!$6:$6, 0), FALSE),
            0
        )
)</f>
        <v>0</v>
      </c>
      <c r="S92" s="37">
        <f t="array" ref="S92">SUM(
    IFERROR(
            VLOOKUP($A92, INDIRECT("EneR!$A$6:$ZZ$1048576"), MATCH(S$1, EneR!$6:$6, 0), FALSE),
            0
        ) +
        IFERROR(
            VLOOKUP($A92, INDIRECT("FebR!$A$6:$ZZ$1048576"), MATCH(S$1, FebR!$6:$6, 0), FALSE),
            0
        ) +
        IFERROR(
            VLOOKUP($A92, INDIRECT("MarR!$A$6:$ZZ$1048576"), MATCH(S$1, MarR!$6:$6, 0), FALSE),
            0
        ) +
        IFERROR(
            VLOOKUP($A92, INDIRECT("AbrR!$A$6:$ZZ$1048576"), MATCH(S$1, AbrR!$6:$6, 0), FALSE),
            0
        ) +
        IFERROR(
            VLOOKUP($A92, INDIRECT("MayR!$A$6:$ZZ$1048576"), MATCH(S$1, MayR!$6:$6, 0), FALSE),
            0
        ) +
        IFERROR(
            VLOOKUP($A92, INDIRECT("JunR!$A$6:$ZZ$1048576"), MATCH(S$1, JunR!$6:$6, 0), FALSE),
            0
        ) +
        IFERROR(
            VLOOKUP($A92, INDIRECT("JulR!$A$6:$ZZ$1048576"), MATCH(S$1, JulR!$6:$6, 0), FALSE),
            0
        ) +
        IFERROR(
            VLOOKUP($A92, INDIRECT("AgoR!$A$6:$ZZ$1048576"), MATCH(S$1, AgoR!$6:$6, 0), FALSE),
            0
        ) +
        IFERROR(
            VLOOKUP($A92, INDIRECT("SepR!$A$6:$ZZ$1048576"), MATCH(S$1, SepR!$6:$6, 0), FALSE),
            0
        ) +
        IFERROR(
            VLOOKUP($A92, INDIRECT("OctR!$A$6:$ZZ$1048576"), MATCH(S$1, OctR!$6:$6, 0), FALSE),
            0
        ) +
        IFERROR(
            VLOOKUP($A92, INDIRECT("NovR!$A$6:$ZZ$1048576"), MATCH(S$1, NovR!$6:$6, 0), FALSE),
            0
        ) +
        IFERROR(
            VLOOKUP($A92, INDIRECT("DicR!$A$6:$ZZ$1048576"), MATCH(S$1, DicR!$6:$6, 0), FALSE),
            0
        )
)</f>
        <v>0</v>
      </c>
      <c r="T92" s="36">
        <f t="array" ref="T92">SUM(
    IFERROR(
            VLOOKUP($A92, INDIRECT("EneR!$A$6:$ZZ$1048576"), MATCH(T$1, EneR!$6:$6, 0), FALSE),
            0
        ) +
        IFERROR(
            VLOOKUP($A92, INDIRECT("FebR!$A$6:$ZZ$1048576"), MATCH(T$1, FebR!$6:$6, 0), FALSE),
            0
        ) +
        IFERROR(
            VLOOKUP($A92, INDIRECT("MarR!$A$6:$ZZ$1048576"), MATCH(T$1, MarR!$6:$6, 0), FALSE),
            0
        ) +
        IFERROR(
            VLOOKUP($A92, INDIRECT("AbrR!$A$6:$ZZ$1048576"), MATCH(T$1, AbrR!$6:$6, 0), FALSE),
            0
        ) +
        IFERROR(
            VLOOKUP($A92, INDIRECT("MayR!$A$6:$ZZ$1048576"), MATCH(T$1, MayR!$6:$6, 0), FALSE),
            0
        ) +
        IFERROR(
            VLOOKUP($A92, INDIRECT("JunR!$A$6:$ZZ$1048576"), MATCH(T$1, JunR!$6:$6, 0), FALSE),
            0
        ) +
        IFERROR(
            VLOOKUP($A92, INDIRECT("JulR!$A$6:$ZZ$1048576"), MATCH(T$1, JulR!$6:$6, 0), FALSE),
            0
        ) +
        IFERROR(
            VLOOKUP($A92, INDIRECT("AgoR!$A$6:$ZZ$1048576"), MATCH(T$1, AgoR!$6:$6, 0), FALSE),
            0
        ) +
        IFERROR(
            VLOOKUP($A92, INDIRECT("SepR!$A$6:$ZZ$1048576"), MATCH(T$1, SepR!$6:$6, 0), FALSE),
            0
        ) +
        IFERROR(
            VLOOKUP($A92, INDIRECT("OctR!$A$6:$ZZ$1048576"), MATCH(T$1, OctR!$6:$6, 0), FALSE),
            0
        ) +
        IFERROR(
            VLOOKUP($A92, INDIRECT("NovR!$A$6:$ZZ$1048576"), MATCH(T$1, NovR!$6:$6, 0), FALSE),
            0
        ) +
        IFERROR(
            VLOOKUP($A92, INDIRECT("DicR!$A$6:$ZZ$1048576"), MATCH(T$1, DicR!$6:$6, 0), FALSE),
            0
        )
)</f>
        <v>0</v>
      </c>
      <c r="U92" s="37">
        <f t="array" ref="U92">SUM(
    IFERROR(
            VLOOKUP($A92, INDIRECT("EneR!$A$6:$ZZ$1048576"), MATCH(U$1, EneR!$6:$6, 0), FALSE),
            0
        ) +
        IFERROR(
            VLOOKUP($A92, INDIRECT("FebR!$A$6:$ZZ$1048576"), MATCH(U$1, FebR!$6:$6, 0), FALSE),
            0
        ) +
        IFERROR(
            VLOOKUP($A92, INDIRECT("MarR!$A$6:$ZZ$1048576"), MATCH(U$1, MarR!$6:$6, 0), FALSE),
            0
        ) +
        IFERROR(
            VLOOKUP($A92, INDIRECT("AbrR!$A$6:$ZZ$1048576"), MATCH(U$1, AbrR!$6:$6, 0), FALSE),
            0
        ) +
        IFERROR(
            VLOOKUP($A92, INDIRECT("MayR!$A$6:$ZZ$1048576"), MATCH(U$1, MayR!$6:$6, 0), FALSE),
            0
        ) +
        IFERROR(
            VLOOKUP($A92, INDIRECT("JunR!$A$6:$ZZ$1048576"), MATCH(U$1, JunR!$6:$6, 0), FALSE),
            0
        ) +
        IFERROR(
            VLOOKUP($A92, INDIRECT("JulR!$A$6:$ZZ$1048576"), MATCH(U$1, JulR!$6:$6, 0), FALSE),
            0
        ) +
        IFERROR(
            VLOOKUP($A92, INDIRECT("AgoR!$A$6:$ZZ$1048576"), MATCH(U$1, AgoR!$6:$6, 0), FALSE),
            0
        ) +
        IFERROR(
            VLOOKUP($A92, INDIRECT("SepR!$A$6:$ZZ$1048576"), MATCH(U$1, SepR!$6:$6, 0), FALSE),
            0
        ) +
        IFERROR(
            VLOOKUP($A92, INDIRECT("OctR!$A$6:$ZZ$1048576"), MATCH(U$1, OctR!$6:$6, 0), FALSE),
            0
        ) +
        IFERROR(
            VLOOKUP($A92, INDIRECT("NovR!$A$6:$ZZ$1048576"), MATCH(U$1, NovR!$6:$6, 0), FALSE),
            0
        ) +
        IFERROR(
            VLOOKUP($A92, INDIRECT("DicR!$A$6:$ZZ$1048576"), MATCH(U$1, DicR!$6:$6, 0), FALSE),
            0
        )
)</f>
        <v>0</v>
      </c>
      <c r="V92" s="36">
        <f t="array" ref="V92">SUM(
    IFERROR(
            VLOOKUP($A92, INDIRECT("EneR!$A$6:$ZZ$1048576"), MATCH(V$1, EneR!$6:$6, 0), FALSE),
            0
        ) +
        IFERROR(
            VLOOKUP($A92, INDIRECT("FebR!$A$6:$ZZ$1048576"), MATCH(V$1, FebR!$6:$6, 0), FALSE),
            0
        ) +
        IFERROR(
            VLOOKUP($A92, INDIRECT("MarR!$A$6:$ZZ$1048576"), MATCH(V$1, MarR!$6:$6, 0), FALSE),
            0
        ) +
        IFERROR(
            VLOOKUP($A92, INDIRECT("AbrR!$A$6:$ZZ$1048576"), MATCH(V$1, AbrR!$6:$6, 0), FALSE),
            0
        ) +
        IFERROR(
            VLOOKUP($A92, INDIRECT("MayR!$A$6:$ZZ$1048576"), MATCH(V$1, MayR!$6:$6, 0), FALSE),
            0
        ) +
        IFERROR(
            VLOOKUP($A92, INDIRECT("JunR!$A$6:$ZZ$1048576"), MATCH(V$1, JunR!$6:$6, 0), FALSE),
            0
        ) +
        IFERROR(
            VLOOKUP($A92, INDIRECT("JulR!$A$6:$ZZ$1048576"), MATCH(V$1, JulR!$6:$6, 0), FALSE),
            0
        ) +
        IFERROR(
            VLOOKUP($A92, INDIRECT("AgoR!$A$6:$ZZ$1048576"), MATCH(V$1, AgoR!$6:$6, 0), FALSE),
            0
        ) +
        IFERROR(
            VLOOKUP($A92, INDIRECT("SepR!$A$6:$ZZ$1048576"), MATCH(V$1, SepR!$6:$6, 0), FALSE),
            0
        ) +
        IFERROR(
            VLOOKUP($A92, INDIRECT("OctR!$A$6:$ZZ$1048576"), MATCH(V$1, OctR!$6:$6, 0), FALSE),
            0
        ) +
        IFERROR(
            VLOOKUP($A92, INDIRECT("NovR!$A$6:$ZZ$1048576"), MATCH(V$1, NovR!$6:$6, 0), FALSE),
            0
        ) +
        IFERROR(
            VLOOKUP($A92, INDIRECT("DicR!$A$6:$ZZ$1048576"), MATCH(V$1, DicR!$6:$6, 0), FALSE),
            0
        )
)</f>
        <v>0</v>
      </c>
      <c r="W92" s="37">
        <f t="array" ref="W92">SUM(
    IFERROR(
            VLOOKUP($A92, INDIRECT("EneR!$A$6:$ZZ$1048576"), MATCH(W$1, EneR!$6:$6, 0), FALSE),
            0
        ) +
        IFERROR(
            VLOOKUP($A92, INDIRECT("FebR!$A$6:$ZZ$1048576"), MATCH(W$1, FebR!$6:$6, 0), FALSE),
            0
        ) +
        IFERROR(
            VLOOKUP($A92, INDIRECT("MarR!$A$6:$ZZ$1048576"), MATCH(W$1, MarR!$6:$6, 0), FALSE),
            0
        ) +
        IFERROR(
            VLOOKUP($A92, INDIRECT("AbrR!$A$6:$ZZ$1048576"), MATCH(W$1, AbrR!$6:$6, 0), FALSE),
            0
        ) +
        IFERROR(
            VLOOKUP($A92, INDIRECT("MayR!$A$6:$ZZ$1048576"), MATCH(W$1, MayR!$6:$6, 0), FALSE),
            0
        ) +
        IFERROR(
            VLOOKUP($A92, INDIRECT("JunR!$A$6:$ZZ$1048576"), MATCH(W$1, JunR!$6:$6, 0), FALSE),
            0
        ) +
        IFERROR(
            VLOOKUP($A92, INDIRECT("JulR!$A$6:$ZZ$1048576"), MATCH(W$1, JulR!$6:$6, 0), FALSE),
            0
        ) +
        IFERROR(
            VLOOKUP($A92, INDIRECT("AgoR!$A$6:$ZZ$1048576"), MATCH(W$1, AgoR!$6:$6, 0), FALSE),
            0
        ) +
        IFERROR(
            VLOOKUP($A92, INDIRECT("SepR!$A$6:$ZZ$1048576"), MATCH(W$1, SepR!$6:$6, 0), FALSE),
            0
        ) +
        IFERROR(
            VLOOKUP($A92, INDIRECT("OctR!$A$6:$ZZ$1048576"), MATCH(W$1, OctR!$6:$6, 0), FALSE),
            0
        ) +
        IFERROR(
            VLOOKUP($A92, INDIRECT("NovR!$A$6:$ZZ$1048576"), MATCH(W$1, NovR!$6:$6, 0), FALSE),
            0
        ) +
        IFERROR(
            VLOOKUP($A92, INDIRECT("DicR!$A$6:$ZZ$1048576"), MATCH(W$1, DicR!$6:$6, 0), FALSE),
            0
        )
)</f>
        <v>0</v>
      </c>
      <c r="X92" s="36">
        <f t="array" ref="X92">SUM(
    IFERROR(
            VLOOKUP($A92, INDIRECT("EneR!$A$6:$ZZ$1048576"), MATCH(X$1, EneR!$6:$6, 0), FALSE),
            0
        ) +
        IFERROR(
            VLOOKUP($A92, INDIRECT("FebR!$A$6:$ZZ$1048576"), MATCH(X$1, FebR!$6:$6, 0), FALSE),
            0
        ) +
        IFERROR(
            VLOOKUP($A92, INDIRECT("MarR!$A$6:$ZZ$1048576"), MATCH(X$1, MarR!$6:$6, 0), FALSE),
            0
        ) +
        IFERROR(
            VLOOKUP($A92, INDIRECT("AbrR!$A$6:$ZZ$1048576"), MATCH(X$1, AbrR!$6:$6, 0), FALSE),
            0
        ) +
        IFERROR(
            VLOOKUP($A92, INDIRECT("MayR!$A$6:$ZZ$1048576"), MATCH(X$1, MayR!$6:$6, 0), FALSE),
            0
        ) +
        IFERROR(
            VLOOKUP($A92, INDIRECT("JunR!$A$6:$ZZ$1048576"), MATCH(X$1, JunR!$6:$6, 0), FALSE),
            0
        ) +
        IFERROR(
            VLOOKUP($A92, INDIRECT("JulR!$A$6:$ZZ$1048576"), MATCH(X$1, JulR!$6:$6, 0), FALSE),
            0
        ) +
        IFERROR(
            VLOOKUP($A92, INDIRECT("AgoR!$A$6:$ZZ$1048576"), MATCH(X$1, AgoR!$6:$6, 0), FALSE),
            0
        ) +
        IFERROR(
            VLOOKUP($A92, INDIRECT("SepR!$A$6:$ZZ$1048576"), MATCH(X$1, SepR!$6:$6, 0), FALSE),
            0
        ) +
        IFERROR(
            VLOOKUP($A92, INDIRECT("OctR!$A$6:$ZZ$1048576"), MATCH(X$1, OctR!$6:$6, 0), FALSE),
            0
        ) +
        IFERROR(
            VLOOKUP($A92, INDIRECT("NovR!$A$6:$ZZ$1048576"), MATCH(X$1, NovR!$6:$6, 0), FALSE),
            0
        ) +
        IFERROR(
            VLOOKUP($A92, INDIRECT("DicR!$A$6:$ZZ$1048576"), MATCH(X$1, DicR!$6:$6, 0), FALSE),
            0
        )
)</f>
        <v>0</v>
      </c>
      <c r="Y92" s="37">
        <f t="array" ref="Y92">SUM(
    IFERROR(
            VLOOKUP($A92, INDIRECT("EneR!$A$6:$ZZ$1048576"), MATCH(Y$1, EneR!$6:$6, 0), FALSE),
            0
        ) +
        IFERROR(
            VLOOKUP($A92, INDIRECT("FebR!$A$6:$ZZ$1048576"), MATCH(Y$1, FebR!$6:$6, 0), FALSE),
            0
        ) +
        IFERROR(
            VLOOKUP($A92, INDIRECT("MarR!$A$6:$ZZ$1048576"), MATCH(Y$1, MarR!$6:$6, 0), FALSE),
            0
        ) +
        IFERROR(
            VLOOKUP($A92, INDIRECT("AbrR!$A$6:$ZZ$1048576"), MATCH(Y$1, AbrR!$6:$6, 0), FALSE),
            0
        ) +
        IFERROR(
            VLOOKUP($A92, INDIRECT("MayR!$A$6:$ZZ$1048576"), MATCH(Y$1, MayR!$6:$6, 0), FALSE),
            0
        ) +
        IFERROR(
            VLOOKUP($A92, INDIRECT("JunR!$A$6:$ZZ$1048576"), MATCH(Y$1, JunR!$6:$6, 0), FALSE),
            0
        ) +
        IFERROR(
            VLOOKUP($A92, INDIRECT("JulR!$A$6:$ZZ$1048576"), MATCH(Y$1, JulR!$6:$6, 0), FALSE),
            0
        ) +
        IFERROR(
            VLOOKUP($A92, INDIRECT("AgoR!$A$6:$ZZ$1048576"), MATCH(Y$1, AgoR!$6:$6, 0), FALSE),
            0
        ) +
        IFERROR(
            VLOOKUP($A92, INDIRECT("SepR!$A$6:$ZZ$1048576"), MATCH(Y$1, SepR!$6:$6, 0), FALSE),
            0
        ) +
        IFERROR(
            VLOOKUP($A92, INDIRECT("OctR!$A$6:$ZZ$1048576"), MATCH(Y$1, OctR!$6:$6, 0), FALSE),
            0
        ) +
        IFERROR(
            VLOOKUP($A92, INDIRECT("NovR!$A$6:$ZZ$1048576"), MATCH(Y$1, NovR!$6:$6, 0), FALSE),
            0
        ) +
        IFERROR(
            VLOOKUP($A92, INDIRECT("DicR!$A$6:$ZZ$1048576"), MATCH(Y$1, DicR!$6:$6, 0), FALSE),
            0
        )
)</f>
        <v>0</v>
      </c>
      <c r="Z92" s="36">
        <f t="array" ref="Z92">SUM(
    IFERROR(
            VLOOKUP($A92, INDIRECT("EneR!$A$6:$ZZ$1048576"), MATCH(Z$1, EneR!$6:$6, 0), FALSE),
            0
        ) +
        IFERROR(
            VLOOKUP($A92, INDIRECT("FebR!$A$6:$ZZ$1048576"), MATCH(Z$1, FebR!$6:$6, 0), FALSE),
            0
        ) +
        IFERROR(
            VLOOKUP($A92, INDIRECT("MarR!$A$6:$ZZ$1048576"), MATCH(Z$1, MarR!$6:$6, 0), FALSE),
            0
        ) +
        IFERROR(
            VLOOKUP($A92, INDIRECT("AbrR!$A$6:$ZZ$1048576"), MATCH(Z$1, AbrR!$6:$6, 0), FALSE),
            0
        ) +
        IFERROR(
            VLOOKUP($A92, INDIRECT("MayR!$A$6:$ZZ$1048576"), MATCH(Z$1, MayR!$6:$6, 0), FALSE),
            0
        ) +
        IFERROR(
            VLOOKUP($A92, INDIRECT("JunR!$A$6:$ZZ$1048576"), MATCH(Z$1, JunR!$6:$6, 0), FALSE),
            0
        ) +
        IFERROR(
            VLOOKUP($A92, INDIRECT("JulR!$A$6:$ZZ$1048576"), MATCH(Z$1, JulR!$6:$6, 0), FALSE),
            0
        ) +
        IFERROR(
            VLOOKUP($A92, INDIRECT("AgoR!$A$6:$ZZ$1048576"), MATCH(Z$1, AgoR!$6:$6, 0), FALSE),
            0
        ) +
        IFERROR(
            VLOOKUP($A92, INDIRECT("SepR!$A$6:$ZZ$1048576"), MATCH(Z$1, SepR!$6:$6, 0), FALSE),
            0
        ) +
        IFERROR(
            VLOOKUP($A92, INDIRECT("OctR!$A$6:$ZZ$1048576"), MATCH(Z$1, OctR!$6:$6, 0), FALSE),
            0
        ) +
        IFERROR(
            VLOOKUP($A92, INDIRECT("NovR!$A$6:$ZZ$1048576"), MATCH(Z$1, NovR!$6:$6, 0), FALSE),
            0
        ) +
        IFERROR(
            VLOOKUP($A92, INDIRECT("DicR!$A$6:$ZZ$1048576"), MATCH(Z$1, DicR!$6:$6, 0), FALSE),
            0
        )
)</f>
        <v>0</v>
      </c>
      <c r="AA92" s="37">
        <f t="array" ref="AA92">SUM(
    IFERROR(
            VLOOKUP($A92, INDIRECT("EneR!$A$6:$ZZ$1048576"), MATCH(AA$1, EneR!$6:$6, 0), FALSE),
            0
        ) +
        IFERROR(
            VLOOKUP($A92, INDIRECT("FebR!$A$6:$ZZ$1048576"), MATCH(AA$1, FebR!$6:$6, 0), FALSE),
            0
        ) +
        IFERROR(
            VLOOKUP($A92, INDIRECT("MarR!$A$6:$ZZ$1048576"), MATCH(AA$1, MarR!$6:$6, 0), FALSE),
            0
        ) +
        IFERROR(
            VLOOKUP($A92, INDIRECT("AbrR!$A$6:$ZZ$1048576"), MATCH(AA$1, AbrR!$6:$6, 0), FALSE),
            0
        ) +
        IFERROR(
            VLOOKUP($A92, INDIRECT("MayR!$A$6:$ZZ$1048576"), MATCH(AA$1, MayR!$6:$6, 0), FALSE),
            0
        ) +
        IFERROR(
            VLOOKUP($A92, INDIRECT("JunR!$A$6:$ZZ$1048576"), MATCH(AA$1, JunR!$6:$6, 0), FALSE),
            0
        ) +
        IFERROR(
            VLOOKUP($A92, INDIRECT("JulR!$A$6:$ZZ$1048576"), MATCH(AA$1, JulR!$6:$6, 0), FALSE),
            0
        ) +
        IFERROR(
            VLOOKUP($A92, INDIRECT("AgoR!$A$6:$ZZ$1048576"), MATCH(AA$1, AgoR!$6:$6, 0), FALSE),
            0
        ) +
        IFERROR(
            VLOOKUP($A92, INDIRECT("SepR!$A$6:$ZZ$1048576"), MATCH(AA$1, SepR!$6:$6, 0), FALSE),
            0
        ) +
        IFERROR(
            VLOOKUP($A92, INDIRECT("OctR!$A$6:$ZZ$1048576"), MATCH(AA$1, OctR!$6:$6, 0), FALSE),
            0
        ) +
        IFERROR(
            VLOOKUP($A92, INDIRECT("NovR!$A$6:$ZZ$1048576"), MATCH(AA$1, NovR!$6:$6, 0), FALSE),
            0
        ) +
        IFERROR(
            VLOOKUP($A92, INDIRECT("DicR!$A$6:$ZZ$1048576"), MATCH(AA$1, DicR!$6:$6, 0), FALSE),
            0
        )
)</f>
        <v>0</v>
      </c>
      <c r="AB92" s="36">
        <f t="array" ref="AB92">SUM(
    IFERROR(
            VLOOKUP($A92, INDIRECT("EneR!$A$6:$ZZ$1048576"), MATCH(AB$1, EneR!$6:$6, 0), FALSE),
            0
        ) +
        IFERROR(
            VLOOKUP($A92, INDIRECT("FebR!$A$6:$ZZ$1048576"), MATCH(AB$1, FebR!$6:$6, 0), FALSE),
            0
        ) +
        IFERROR(
            VLOOKUP($A92, INDIRECT("MarR!$A$6:$ZZ$1048576"), MATCH(AB$1, MarR!$6:$6, 0), FALSE),
            0
        ) +
        IFERROR(
            VLOOKUP($A92, INDIRECT("AbrR!$A$6:$ZZ$1048576"), MATCH(AB$1, AbrR!$6:$6, 0), FALSE),
            0
        ) +
        IFERROR(
            VLOOKUP($A92, INDIRECT("MayR!$A$6:$ZZ$1048576"), MATCH(AB$1, MayR!$6:$6, 0), FALSE),
            0
        ) +
        IFERROR(
            VLOOKUP($A92, INDIRECT("JunR!$A$6:$ZZ$1048576"), MATCH(AB$1, JunR!$6:$6, 0), FALSE),
            0
        ) +
        IFERROR(
            VLOOKUP($A92, INDIRECT("JulR!$A$6:$ZZ$1048576"), MATCH(AB$1, JulR!$6:$6, 0), FALSE),
            0
        ) +
        IFERROR(
            VLOOKUP($A92, INDIRECT("AgoR!$A$6:$ZZ$1048576"), MATCH(AB$1, AgoR!$6:$6, 0), FALSE),
            0
        ) +
        IFERROR(
            VLOOKUP($A92, INDIRECT("SepR!$A$6:$ZZ$1048576"), MATCH(AB$1, SepR!$6:$6, 0), FALSE),
            0
        ) +
        IFERROR(
            VLOOKUP($A92, INDIRECT("OctR!$A$6:$ZZ$1048576"), MATCH(AB$1, OctR!$6:$6, 0), FALSE),
            0
        ) +
        IFERROR(
            VLOOKUP($A92, INDIRECT("NovR!$A$6:$ZZ$1048576"), MATCH(AB$1, NovR!$6:$6, 0), FALSE),
            0
        ) +
        IFERROR(
            VLOOKUP($A92, INDIRECT("DicR!$A$6:$ZZ$1048576"), MATCH(AB$1, DicR!$6:$6, 0), FALSE),
            0
        )
)</f>
        <v>0</v>
      </c>
      <c r="AC92" s="37">
        <f t="array" ref="AC92">SUM(
    IFERROR(
            VLOOKUP($A92, INDIRECT("EneR!$A$6:$ZZ$1048576"), MATCH(AC$1, EneR!$6:$6, 0), FALSE),
            0
        ) +
        IFERROR(
            VLOOKUP($A92, INDIRECT("FebR!$A$6:$ZZ$1048576"), MATCH(AC$1, FebR!$6:$6, 0), FALSE),
            0
        ) +
        IFERROR(
            VLOOKUP($A92, INDIRECT("MarR!$A$6:$ZZ$1048576"), MATCH(AC$1, MarR!$6:$6, 0), FALSE),
            0
        ) +
        IFERROR(
            VLOOKUP($A92, INDIRECT("AbrR!$A$6:$ZZ$1048576"), MATCH(AC$1, AbrR!$6:$6, 0), FALSE),
            0
        ) +
        IFERROR(
            VLOOKUP($A92, INDIRECT("MayR!$A$6:$ZZ$1048576"), MATCH(AC$1, MayR!$6:$6, 0), FALSE),
            0
        ) +
        IFERROR(
            VLOOKUP($A92, INDIRECT("JunR!$A$6:$ZZ$1048576"), MATCH(AC$1, JunR!$6:$6, 0), FALSE),
            0
        ) +
        IFERROR(
            VLOOKUP($A92, INDIRECT("JulR!$A$6:$ZZ$1048576"), MATCH(AC$1, JulR!$6:$6, 0), FALSE),
            0
        ) +
        IFERROR(
            VLOOKUP($A92, INDIRECT("AgoR!$A$6:$ZZ$1048576"), MATCH(AC$1, AgoR!$6:$6, 0), FALSE),
            0
        ) +
        IFERROR(
            VLOOKUP($A92, INDIRECT("SepR!$A$6:$ZZ$1048576"), MATCH(AC$1, SepR!$6:$6, 0), FALSE),
            0
        ) +
        IFERROR(
            VLOOKUP($A92, INDIRECT("OctR!$A$6:$ZZ$1048576"), MATCH(AC$1, OctR!$6:$6, 0), FALSE),
            0
        ) +
        IFERROR(
            VLOOKUP($A92, INDIRECT("NovR!$A$6:$ZZ$1048576"), MATCH(AC$1, NovR!$6:$6, 0), FALSE),
            0
        ) +
        IFERROR(
            VLOOKUP($A92, INDIRECT("DicR!$A$6:$ZZ$1048576"), MATCH(AC$1, DicR!$6:$6, 0), FALSE),
            0
        )
)</f>
        <v>0</v>
      </c>
      <c r="AD92" s="36">
        <f t="array" ref="AD92">SUM(
    IFERROR(
            VLOOKUP($A92, INDIRECT("EneR!$A$6:$ZZ$1048576"), MATCH(AD$1, EneR!$6:$6, 0), FALSE),
            0
        ) +
        IFERROR(
            VLOOKUP($A92, INDIRECT("FebR!$A$6:$ZZ$1048576"), MATCH(AD$1, FebR!$6:$6, 0), FALSE),
            0
        ) +
        IFERROR(
            VLOOKUP($A92, INDIRECT("MarR!$A$6:$ZZ$1048576"), MATCH(AD$1, MarR!$6:$6, 0), FALSE),
            0
        ) +
        IFERROR(
            VLOOKUP($A92, INDIRECT("AbrR!$A$6:$ZZ$1048576"), MATCH(AD$1, AbrR!$6:$6, 0), FALSE),
            0
        ) +
        IFERROR(
            VLOOKUP($A92, INDIRECT("MayR!$A$6:$ZZ$1048576"), MATCH(AD$1, MayR!$6:$6, 0), FALSE),
            0
        ) +
        IFERROR(
            VLOOKUP($A92, INDIRECT("JunR!$A$6:$ZZ$1048576"), MATCH(AD$1, JunR!$6:$6, 0), FALSE),
            0
        ) +
        IFERROR(
            VLOOKUP($A92, INDIRECT("JulR!$A$6:$ZZ$1048576"), MATCH(AD$1, JulR!$6:$6, 0), FALSE),
            0
        ) +
        IFERROR(
            VLOOKUP($A92, INDIRECT("AgoR!$A$6:$ZZ$1048576"), MATCH(AD$1, AgoR!$6:$6, 0), FALSE),
            0
        ) +
        IFERROR(
            VLOOKUP($A92, INDIRECT("SepR!$A$6:$ZZ$1048576"), MATCH(AD$1, SepR!$6:$6, 0), FALSE),
            0
        ) +
        IFERROR(
            VLOOKUP($A92, INDIRECT("OctR!$A$6:$ZZ$1048576"), MATCH(AD$1, OctR!$6:$6, 0), FALSE),
            0
        ) +
        IFERROR(
            VLOOKUP($A92, INDIRECT("NovR!$A$6:$ZZ$1048576"), MATCH(AD$1, NovR!$6:$6, 0), FALSE),
            0
        ) +
        IFERROR(
            VLOOKUP($A92, INDIRECT("DicR!$A$6:$ZZ$1048576"), MATCH(AD$1, DicR!$6:$6, 0), FALSE),
            0
        )
)</f>
        <v>0</v>
      </c>
      <c r="AE92" s="37">
        <f t="array" ref="AE92">SUM(
    IFERROR(
            VLOOKUP($A92, INDIRECT("EneR!$A$6:$ZZ$1048576"), MATCH(AE$1, EneR!$6:$6, 0), FALSE),
            0
        ) +
        IFERROR(
            VLOOKUP($A92, INDIRECT("FebR!$A$6:$ZZ$1048576"), MATCH(AE$1, FebR!$6:$6, 0), FALSE),
            0
        ) +
        IFERROR(
            VLOOKUP($A92, INDIRECT("MarR!$A$6:$ZZ$1048576"), MATCH(AE$1, MarR!$6:$6, 0), FALSE),
            0
        ) +
        IFERROR(
            VLOOKUP($A92, INDIRECT("AbrR!$A$6:$ZZ$1048576"), MATCH(AE$1, AbrR!$6:$6, 0), FALSE),
            0
        ) +
        IFERROR(
            VLOOKUP($A92, INDIRECT("MayR!$A$6:$ZZ$1048576"), MATCH(AE$1, MayR!$6:$6, 0), FALSE),
            0
        ) +
        IFERROR(
            VLOOKUP($A92, INDIRECT("JunR!$A$6:$ZZ$1048576"), MATCH(AE$1, JunR!$6:$6, 0), FALSE),
            0
        ) +
        IFERROR(
            VLOOKUP($A92, INDIRECT("JulR!$A$6:$ZZ$1048576"), MATCH(AE$1, JulR!$6:$6, 0), FALSE),
            0
        ) +
        IFERROR(
            VLOOKUP($A92, INDIRECT("AgoR!$A$6:$ZZ$1048576"), MATCH(AE$1, AgoR!$6:$6, 0), FALSE),
            0
        ) +
        IFERROR(
            VLOOKUP($A92, INDIRECT("SepR!$A$6:$ZZ$1048576"), MATCH(AE$1, SepR!$6:$6, 0), FALSE),
            0
        ) +
        IFERROR(
            VLOOKUP($A92, INDIRECT("OctR!$A$6:$ZZ$1048576"), MATCH(AE$1, OctR!$6:$6, 0), FALSE),
            0
        ) +
        IFERROR(
            VLOOKUP($A92, INDIRECT("NovR!$A$6:$ZZ$1048576"), MATCH(AE$1, NovR!$6:$6, 0), FALSE),
            0
        ) +
        IFERROR(
            VLOOKUP($A92, INDIRECT("DicR!$A$6:$ZZ$1048576"), MATCH(AE$1, DicR!$6:$6, 0), FALSE),
            0
        )
)</f>
        <v>0</v>
      </c>
      <c r="AF92" s="36">
        <f t="array" ref="AF92">SUM(
    IFERROR(
            VLOOKUP($A92, INDIRECT("EneR!$A$6:$ZZ$1048576"), MATCH(AF$1, EneR!$6:$6, 0), FALSE),
            0
        ) +
        IFERROR(
            VLOOKUP($A92, INDIRECT("FebR!$A$6:$ZZ$1048576"), MATCH(AF$1, FebR!$6:$6, 0), FALSE),
            0
        ) +
        IFERROR(
            VLOOKUP($A92, INDIRECT("MarR!$A$6:$ZZ$1048576"), MATCH(AF$1, MarR!$6:$6, 0), FALSE),
            0
        ) +
        IFERROR(
            VLOOKUP($A92, INDIRECT("AbrR!$A$6:$ZZ$1048576"), MATCH(AF$1, AbrR!$6:$6, 0), FALSE),
            0
        ) +
        IFERROR(
            VLOOKUP($A92, INDIRECT("MayR!$A$6:$ZZ$1048576"), MATCH(AF$1, MayR!$6:$6, 0), FALSE),
            0
        ) +
        IFERROR(
            VLOOKUP($A92, INDIRECT("JunR!$A$6:$ZZ$1048576"), MATCH(AF$1, JunR!$6:$6, 0), FALSE),
            0
        ) +
        IFERROR(
            VLOOKUP($A92, INDIRECT("JulR!$A$6:$ZZ$1048576"), MATCH(AF$1, JulR!$6:$6, 0), FALSE),
            0
        ) +
        IFERROR(
            VLOOKUP($A92, INDIRECT("AgoR!$A$6:$ZZ$1048576"), MATCH(AF$1, AgoR!$6:$6, 0), FALSE),
            0
        ) +
        IFERROR(
            VLOOKUP($A92, INDIRECT("SepR!$A$6:$ZZ$1048576"), MATCH(AF$1, SepR!$6:$6, 0), FALSE),
            0
        ) +
        IFERROR(
            VLOOKUP($A92, INDIRECT("OctR!$A$6:$ZZ$1048576"), MATCH(AF$1, OctR!$6:$6, 0), FALSE),
            0
        ) +
        IFERROR(
            VLOOKUP($A92, INDIRECT("NovR!$A$6:$ZZ$1048576"), MATCH(AF$1, NovR!$6:$6, 0), FALSE),
            0
        ) +
        IFERROR(
            VLOOKUP($A92, INDIRECT("DicR!$A$6:$ZZ$1048576"), MATCH(AF$1, DicR!$6:$6, 0), FALSE),
            0
        )
)</f>
        <v>0</v>
      </c>
      <c r="AG92" s="37">
        <f t="array" ref="AG92">SUM(
    IFERROR(
            VLOOKUP($A92, INDIRECT("EneR!$A$6:$ZZ$1048576"), MATCH(AG$1, EneR!$6:$6, 0), FALSE),
            0
        ) +
        IFERROR(
            VLOOKUP($A92, INDIRECT("FebR!$A$6:$ZZ$1048576"), MATCH(AG$1, FebR!$6:$6, 0), FALSE),
            0
        ) +
        IFERROR(
            VLOOKUP($A92, INDIRECT("MarR!$A$6:$ZZ$1048576"), MATCH(AG$1, MarR!$6:$6, 0), FALSE),
            0
        ) +
        IFERROR(
            VLOOKUP($A92, INDIRECT("AbrR!$A$6:$ZZ$1048576"), MATCH(AG$1, AbrR!$6:$6, 0), FALSE),
            0
        ) +
        IFERROR(
            VLOOKUP($A92, INDIRECT("MayR!$A$6:$ZZ$1048576"), MATCH(AG$1, MayR!$6:$6, 0), FALSE),
            0
        ) +
        IFERROR(
            VLOOKUP($A92, INDIRECT("JunR!$A$6:$ZZ$1048576"), MATCH(AG$1, JunR!$6:$6, 0), FALSE),
            0
        ) +
        IFERROR(
            VLOOKUP($A92, INDIRECT("JulR!$A$6:$ZZ$1048576"), MATCH(AG$1, JulR!$6:$6, 0), FALSE),
            0
        ) +
        IFERROR(
            VLOOKUP($A92, INDIRECT("AgoR!$A$6:$ZZ$1048576"), MATCH(AG$1, AgoR!$6:$6, 0), FALSE),
            0
        ) +
        IFERROR(
            VLOOKUP($A92, INDIRECT("SepR!$A$6:$ZZ$1048576"), MATCH(AG$1, SepR!$6:$6, 0), FALSE),
            0
        ) +
        IFERROR(
            VLOOKUP($A92, INDIRECT("OctR!$A$6:$ZZ$1048576"), MATCH(AG$1, OctR!$6:$6, 0), FALSE),
            0
        ) +
        IFERROR(
            VLOOKUP($A92, INDIRECT("NovR!$A$6:$ZZ$1048576"), MATCH(AG$1, NovR!$6:$6, 0), FALSE),
            0
        ) +
        IFERROR(
            VLOOKUP($A92, INDIRECT("DicR!$A$6:$ZZ$1048576"), MATCH(AG$1, DicR!$6:$6, 0), FALSE),
            0
        )
)</f>
        <v>0</v>
      </c>
      <c r="AH92" s="36">
        <f t="array" ref="AH92">SUM(
    IFERROR(
            VLOOKUP($A92, INDIRECT("EneR!$A$6:$ZZ$1048576"), MATCH(AH$1, EneR!$6:$6, 0), FALSE),
            0
        ) +
        IFERROR(
            VLOOKUP($A92, INDIRECT("FebR!$A$6:$ZZ$1048576"), MATCH(AH$1, FebR!$6:$6, 0), FALSE),
            0
        ) +
        IFERROR(
            VLOOKUP($A92, INDIRECT("MarR!$A$6:$ZZ$1048576"), MATCH(AH$1, MarR!$6:$6, 0), FALSE),
            0
        ) +
        IFERROR(
            VLOOKUP($A92, INDIRECT("AbrR!$A$6:$ZZ$1048576"), MATCH(AH$1, AbrR!$6:$6, 0), FALSE),
            0
        ) +
        IFERROR(
            VLOOKUP($A92, INDIRECT("MayR!$A$6:$ZZ$1048576"), MATCH(AH$1, MayR!$6:$6, 0), FALSE),
            0
        ) +
        IFERROR(
            VLOOKUP($A92, INDIRECT("JunR!$A$6:$ZZ$1048576"), MATCH(AH$1, JunR!$6:$6, 0), FALSE),
            0
        ) +
        IFERROR(
            VLOOKUP($A92, INDIRECT("JulR!$A$6:$ZZ$1048576"), MATCH(AH$1, JulR!$6:$6, 0), FALSE),
            0
        ) +
        IFERROR(
            VLOOKUP($A92, INDIRECT("AgoR!$A$6:$ZZ$1048576"), MATCH(AH$1, AgoR!$6:$6, 0), FALSE),
            0
        ) +
        IFERROR(
            VLOOKUP($A92, INDIRECT("SepR!$A$6:$ZZ$1048576"), MATCH(AH$1, SepR!$6:$6, 0), FALSE),
            0
        ) +
        IFERROR(
            VLOOKUP($A92, INDIRECT("OctR!$A$6:$ZZ$1048576"), MATCH(AH$1, OctR!$6:$6, 0), FALSE),
            0
        ) +
        IFERROR(
            VLOOKUP($A92, INDIRECT("NovR!$A$6:$ZZ$1048576"), MATCH(AH$1, NovR!$6:$6, 0), FALSE),
            0
        ) +
        IFERROR(
            VLOOKUP($A92, INDIRECT("DicR!$A$6:$ZZ$1048576"), MATCH(AH$1, DicR!$6:$6, 0), FALSE),
            0
        )
)</f>
        <v>0</v>
      </c>
      <c r="AI92" s="37">
        <f t="array" ref="AI92">SUM(
    IFERROR(
            VLOOKUP($A92, INDIRECT("EneR!$A$6:$ZZ$1048576"), MATCH(AI$1, EneR!$6:$6, 0), FALSE),
            0
        ) +
        IFERROR(
            VLOOKUP($A92, INDIRECT("FebR!$A$6:$ZZ$1048576"), MATCH(AI$1, FebR!$6:$6, 0), FALSE),
            0
        ) +
        IFERROR(
            VLOOKUP($A92, INDIRECT("MarR!$A$6:$ZZ$1048576"), MATCH(AI$1, MarR!$6:$6, 0), FALSE),
            0
        ) +
        IFERROR(
            VLOOKUP($A92, INDIRECT("AbrR!$A$6:$ZZ$1048576"), MATCH(AI$1, AbrR!$6:$6, 0), FALSE),
            0
        ) +
        IFERROR(
            VLOOKUP($A92, INDIRECT("MayR!$A$6:$ZZ$1048576"), MATCH(AI$1, MayR!$6:$6, 0), FALSE),
            0
        ) +
        IFERROR(
            VLOOKUP($A92, INDIRECT("JunR!$A$6:$ZZ$1048576"), MATCH(AI$1, JunR!$6:$6, 0), FALSE),
            0
        ) +
        IFERROR(
            VLOOKUP($A92, INDIRECT("JulR!$A$6:$ZZ$1048576"), MATCH(AI$1, JulR!$6:$6, 0), FALSE),
            0
        ) +
        IFERROR(
            VLOOKUP($A92, INDIRECT("AgoR!$A$6:$ZZ$1048576"), MATCH(AI$1, AgoR!$6:$6, 0), FALSE),
            0
        ) +
        IFERROR(
            VLOOKUP($A92, INDIRECT("SepR!$A$6:$ZZ$1048576"), MATCH(AI$1, SepR!$6:$6, 0), FALSE),
            0
        ) +
        IFERROR(
            VLOOKUP($A92, INDIRECT("OctR!$A$6:$ZZ$1048576"), MATCH(AI$1, OctR!$6:$6, 0), FALSE),
            0
        ) +
        IFERROR(
            VLOOKUP($A92, INDIRECT("NovR!$A$6:$ZZ$1048576"), MATCH(AI$1, NovR!$6:$6, 0), FALSE),
            0
        ) +
        IFERROR(
            VLOOKUP($A92, INDIRECT("DicR!$A$6:$ZZ$1048576"), MATCH(AI$1, DicR!$6:$6, 0), FALSE),
            0
        )
)</f>
        <v>0</v>
      </c>
      <c r="AJ92" s="36">
        <f t="array" ref="AJ92">SUM(
    IFERROR(
            VLOOKUP($A92, INDIRECT("EneR!$A$6:$ZZ$1048576"), MATCH(AJ$1, EneR!$6:$6, 0), FALSE),
            0
        ) +
        IFERROR(
            VLOOKUP($A92, INDIRECT("FebR!$A$6:$ZZ$1048576"), MATCH(AJ$1, FebR!$6:$6, 0), FALSE),
            0
        ) +
        IFERROR(
            VLOOKUP($A92, INDIRECT("MarR!$A$6:$ZZ$1048576"), MATCH(AJ$1, MarR!$6:$6, 0), FALSE),
            0
        ) +
        IFERROR(
            VLOOKUP($A92, INDIRECT("AbrR!$A$6:$ZZ$1048576"), MATCH(AJ$1, AbrR!$6:$6, 0), FALSE),
            0
        ) +
        IFERROR(
            VLOOKUP($A92, INDIRECT("MayR!$A$6:$ZZ$1048576"), MATCH(AJ$1, MayR!$6:$6, 0), FALSE),
            0
        ) +
        IFERROR(
            VLOOKUP($A92, INDIRECT("JunR!$A$6:$ZZ$1048576"), MATCH(AJ$1, JunR!$6:$6, 0), FALSE),
            0
        ) +
        IFERROR(
            VLOOKUP($A92, INDIRECT("JulR!$A$6:$ZZ$1048576"), MATCH(AJ$1, JulR!$6:$6, 0), FALSE),
            0
        ) +
        IFERROR(
            VLOOKUP($A92, INDIRECT("AgoR!$A$6:$ZZ$1048576"), MATCH(AJ$1, AgoR!$6:$6, 0), FALSE),
            0
        ) +
        IFERROR(
            VLOOKUP($A92, INDIRECT("SepR!$A$6:$ZZ$1048576"), MATCH(AJ$1, SepR!$6:$6, 0), FALSE),
            0
        ) +
        IFERROR(
            VLOOKUP($A92, INDIRECT("OctR!$A$6:$ZZ$1048576"), MATCH(AJ$1, OctR!$6:$6, 0), FALSE),
            0
        ) +
        IFERROR(
            VLOOKUP($A92, INDIRECT("NovR!$A$6:$ZZ$1048576"), MATCH(AJ$1, NovR!$6:$6, 0), FALSE),
            0
        ) +
        IFERROR(
            VLOOKUP($A92, INDIRECT("DicR!$A$6:$ZZ$1048576"), MATCH(AJ$1, DicR!$6:$6, 0), FALSE),
            0
        )
)</f>
        <v>0</v>
      </c>
      <c r="AK92" s="37">
        <f t="array" ref="AK92">SUM(
    IFERROR(
            VLOOKUP($A92, INDIRECT("EneR!$A$6:$ZZ$1048576"), MATCH(AK$1, EneR!$6:$6, 0), FALSE),
            0
        ) +
        IFERROR(
            VLOOKUP($A92, INDIRECT("FebR!$A$6:$ZZ$1048576"), MATCH(AK$1, FebR!$6:$6, 0), FALSE),
            0
        ) +
        IFERROR(
            VLOOKUP($A92, INDIRECT("MarR!$A$6:$ZZ$1048576"), MATCH(AK$1, MarR!$6:$6, 0), FALSE),
            0
        ) +
        IFERROR(
            VLOOKUP($A92, INDIRECT("AbrR!$A$6:$ZZ$1048576"), MATCH(AK$1, AbrR!$6:$6, 0), FALSE),
            0
        ) +
        IFERROR(
            VLOOKUP($A92, INDIRECT("MayR!$A$6:$ZZ$1048576"), MATCH(AK$1, MayR!$6:$6, 0), FALSE),
            0
        ) +
        IFERROR(
            VLOOKUP($A92, INDIRECT("JunR!$A$6:$ZZ$1048576"), MATCH(AK$1, JunR!$6:$6, 0), FALSE),
            0
        ) +
        IFERROR(
            VLOOKUP($A92, INDIRECT("JulR!$A$6:$ZZ$1048576"), MATCH(AK$1, JulR!$6:$6, 0), FALSE),
            0
        ) +
        IFERROR(
            VLOOKUP($A92, INDIRECT("AgoR!$A$6:$ZZ$1048576"), MATCH(AK$1, AgoR!$6:$6, 0), FALSE),
            0
        ) +
        IFERROR(
            VLOOKUP($A92, INDIRECT("SepR!$A$6:$ZZ$1048576"), MATCH(AK$1, SepR!$6:$6, 0), FALSE),
            0
        ) +
        IFERROR(
            VLOOKUP($A92, INDIRECT("OctR!$A$6:$ZZ$1048576"), MATCH(AK$1, OctR!$6:$6, 0), FALSE),
            0
        ) +
        IFERROR(
            VLOOKUP($A92, INDIRECT("NovR!$A$6:$ZZ$1048576"), MATCH(AK$1, NovR!$6:$6, 0), FALSE),
            0
        ) +
        IFERROR(
            VLOOKUP($A92, INDIRECT("DicR!$A$6:$ZZ$1048576"), MATCH(AK$1, DicR!$6:$6, 0), FALSE),
            0
        )
)</f>
        <v>0</v>
      </c>
      <c r="AL92" s="36">
        <f t="array" ref="AL92">SUM(
    IFERROR(
            VLOOKUP($A92, INDIRECT("EneR!$A$6:$ZZ$1048576"), MATCH(AL$1, EneR!$6:$6, 0), FALSE),
            0
        ) +
        IFERROR(
            VLOOKUP($A92, INDIRECT("FebR!$A$6:$ZZ$1048576"), MATCH(AL$1, FebR!$6:$6, 0), FALSE),
            0
        ) +
        IFERROR(
            VLOOKUP($A92, INDIRECT("MarR!$A$6:$ZZ$1048576"), MATCH(AL$1, MarR!$6:$6, 0), FALSE),
            0
        ) +
        IFERROR(
            VLOOKUP($A92, INDIRECT("AbrR!$A$6:$ZZ$1048576"), MATCH(AL$1, AbrR!$6:$6, 0), FALSE),
            0
        ) +
        IFERROR(
            VLOOKUP($A92, INDIRECT("MayR!$A$6:$ZZ$1048576"), MATCH(AL$1, MayR!$6:$6, 0), FALSE),
            0
        ) +
        IFERROR(
            VLOOKUP($A92, INDIRECT("JunR!$A$6:$ZZ$1048576"), MATCH(AL$1, JunR!$6:$6, 0), FALSE),
            0
        ) +
        IFERROR(
            VLOOKUP($A92, INDIRECT("JulR!$A$6:$ZZ$1048576"), MATCH(AL$1, JulR!$6:$6, 0), FALSE),
            0
        ) +
        IFERROR(
            VLOOKUP($A92, INDIRECT("AgoR!$A$6:$ZZ$1048576"), MATCH(AL$1, AgoR!$6:$6, 0), FALSE),
            0
        ) +
        IFERROR(
            VLOOKUP($A92, INDIRECT("SepR!$A$6:$ZZ$1048576"), MATCH(AL$1, SepR!$6:$6, 0), FALSE),
            0
        ) +
        IFERROR(
            VLOOKUP($A92, INDIRECT("OctR!$A$6:$ZZ$1048576"), MATCH(AL$1, OctR!$6:$6, 0), FALSE),
            0
        ) +
        IFERROR(
            VLOOKUP($A92, INDIRECT("NovR!$A$6:$ZZ$1048576"), MATCH(AL$1, NovR!$6:$6, 0), FALSE),
            0
        ) +
        IFERROR(
            VLOOKUP($A92, INDIRECT("DicR!$A$6:$ZZ$1048576"), MATCH(AL$1, DicR!$6:$6, 0), FALSE),
            0
        )
)</f>
        <v>0</v>
      </c>
      <c r="AM92" s="37">
        <f t="array" ref="AM92">SUM(
    IFERROR(
            VLOOKUP($A92, INDIRECT("EneR!$A$6:$ZZ$1048576"), MATCH(AM$1, EneR!$6:$6, 0), FALSE),
            0
        ) +
        IFERROR(
            VLOOKUP($A92, INDIRECT("FebR!$A$6:$ZZ$1048576"), MATCH(AM$1, FebR!$6:$6, 0), FALSE),
            0
        ) +
        IFERROR(
            VLOOKUP($A92, INDIRECT("MarR!$A$6:$ZZ$1048576"), MATCH(AM$1, MarR!$6:$6, 0), FALSE),
            0
        ) +
        IFERROR(
            VLOOKUP($A92, INDIRECT("AbrR!$A$6:$ZZ$1048576"), MATCH(AM$1, AbrR!$6:$6, 0), FALSE),
            0
        ) +
        IFERROR(
            VLOOKUP($A92, INDIRECT("MayR!$A$6:$ZZ$1048576"), MATCH(AM$1, MayR!$6:$6, 0), FALSE),
            0
        ) +
        IFERROR(
            VLOOKUP($A92, INDIRECT("JunR!$A$6:$ZZ$1048576"), MATCH(AM$1, JunR!$6:$6, 0), FALSE),
            0
        ) +
        IFERROR(
            VLOOKUP($A92, INDIRECT("JulR!$A$6:$ZZ$1048576"), MATCH(AM$1, JulR!$6:$6, 0), FALSE),
            0
        ) +
        IFERROR(
            VLOOKUP($A92, INDIRECT("AgoR!$A$6:$ZZ$1048576"), MATCH(AM$1, AgoR!$6:$6, 0), FALSE),
            0
        ) +
        IFERROR(
            VLOOKUP($A92, INDIRECT("SepR!$A$6:$ZZ$1048576"), MATCH(AM$1, SepR!$6:$6, 0), FALSE),
            0
        ) +
        IFERROR(
            VLOOKUP($A92, INDIRECT("OctR!$A$6:$ZZ$1048576"), MATCH(AM$1, OctR!$6:$6, 0), FALSE),
            0
        ) +
        IFERROR(
            VLOOKUP($A92, INDIRECT("NovR!$A$6:$ZZ$1048576"), MATCH(AM$1, NovR!$6:$6, 0), FALSE),
            0
        ) +
        IFERROR(
            VLOOKUP($A92, INDIRECT("DicR!$A$6:$ZZ$1048576"), MATCH(AM$1, DicR!$6:$6, 0), FALSE),
            0
        )
)</f>
        <v>0</v>
      </c>
      <c r="AN92" s="32">
        <f t="array" ref="AN92">SUM(
    IFERROR(
            VLOOKUP($A92, INDIRECT("EneR!$A$6:$ZZ$1048576"), MATCH(AN$1, EneR!$6:$6, 0), FALSE),
            0
        ) +
        IFERROR(
            VLOOKUP($A92, INDIRECT("FebR!$A$6:$ZZ$1048576"), MATCH(AN$1, FebR!$6:$6, 0), FALSE),
            0
        ) +
        IFERROR(
            VLOOKUP($A92, INDIRECT("MarR!$A$6:$ZZ$1048576"), MATCH(AN$1, MarR!$6:$6, 0), FALSE),
            0
        ) +
        IFERROR(
            VLOOKUP($A92, INDIRECT("AbrR!$A$6:$ZZ$1048576"), MATCH(AN$1, AbrR!$6:$6, 0), FALSE),
            0
        ) +
        IFERROR(
            VLOOKUP($A92, INDIRECT("MayR!$A$6:$ZZ$1048576"), MATCH(AN$1, MayR!$6:$6, 0), FALSE),
            0
        ) +
        IFERROR(
            VLOOKUP($A92, INDIRECT("JunR!$A$6:$ZZ$1048576"), MATCH(AN$1, JunR!$6:$6, 0), FALSE),
            0
        ) +
        IFERROR(
            VLOOKUP($A92, INDIRECT("JulR!$A$6:$ZZ$1048576"), MATCH(AN$1, JulR!$6:$6, 0), FALSE),
            0
        ) +
        IFERROR(
            VLOOKUP($A92, INDIRECT("AgoR!$A$6:$ZZ$1048576"), MATCH(AN$1, AgoR!$6:$6, 0), FALSE),
            0
        ) +
        IFERROR(
            VLOOKUP($A92, INDIRECT("SepR!$A$6:$ZZ$1048576"), MATCH(AN$1, SepR!$6:$6, 0), FALSE),
            0
        ) +
        IFERROR(
            VLOOKUP($A92, INDIRECT("OctR!$A$6:$ZZ$1048576"), MATCH(AN$1, OctR!$6:$6, 0), FALSE),
            0
        ) +
        IFERROR(
            VLOOKUP($A92, INDIRECT("NovR!$A$6:$ZZ$1048576"), MATCH(AN$1, NovR!$6:$6, 0), FALSE),
            0
        ) +
        IFERROR(
            VLOOKUP($A92, INDIRECT("DicR!$A$6:$ZZ$1048576"), MATCH(AN$1, DicR!$6:$6, 0), FALSE),
            0
        )
)</f>
        <v>0</v>
      </c>
      <c r="AO92" s="35">
        <f t="array" ref="AO92">SUM(
    IFERROR(
            VLOOKUP($A92, INDIRECT("EneR!$A$6:$ZZ$1048576"), MATCH(AO$1, EneR!$6:$6, 0), FALSE),
            0
        ) +
        IFERROR(
            VLOOKUP($A92, INDIRECT("FebR!$A$6:$ZZ$1048576"), MATCH(AO$1, FebR!$6:$6, 0), FALSE),
            0
        ) +
        IFERROR(
            VLOOKUP($A92, INDIRECT("MarR!$A$6:$ZZ$1048576"), MATCH(AO$1, MarR!$6:$6, 0), FALSE),
            0
        ) +
        IFERROR(
            VLOOKUP($A92, INDIRECT("AbrR!$A$6:$ZZ$1048576"), MATCH(AO$1, AbrR!$6:$6, 0), FALSE),
            0
        ) +
        IFERROR(
            VLOOKUP($A92, INDIRECT("MayR!$A$6:$ZZ$1048576"), MATCH(AO$1, MayR!$6:$6, 0), FALSE),
            0
        ) +
        IFERROR(
            VLOOKUP($A92, INDIRECT("JunR!$A$6:$ZZ$1048576"), MATCH(AO$1, JunR!$6:$6, 0), FALSE),
            0
        ) +
        IFERROR(
            VLOOKUP($A92, INDIRECT("JulR!$A$6:$ZZ$1048576"), MATCH(AO$1, JulR!$6:$6, 0), FALSE),
            0
        ) +
        IFERROR(
            VLOOKUP($A92, INDIRECT("AgoR!$A$6:$ZZ$1048576"), MATCH(AO$1, AgoR!$6:$6, 0), FALSE),
            0
        ) +
        IFERROR(
            VLOOKUP($A92, INDIRECT("SepR!$A$6:$ZZ$1048576"), MATCH(AO$1, SepR!$6:$6, 0), FALSE),
            0
        ) +
        IFERROR(
            VLOOKUP($A92, INDIRECT("OctR!$A$6:$ZZ$1048576"), MATCH(AO$1, OctR!$6:$6, 0), FALSE),
            0
        ) +
        IFERROR(
            VLOOKUP($A92, INDIRECT("NovR!$A$6:$ZZ$1048576"), MATCH(AO$1, NovR!$6:$6, 0), FALSE),
            0
        ) +
        IFERROR(
            VLOOKUP($A92, INDIRECT("DicR!$A$6:$ZZ$1048576"), MATCH(AO$1, DicR!$6:$6, 0), FALSE),
            0
        )
)</f>
        <v>0</v>
      </c>
      <c r="AP92" s="36">
        <f t="array" ref="AP92">SUM(
    IFERROR(
            VLOOKUP($A92, INDIRECT("EneR!$A$6:$ZZ$1048576"), MATCH(AP$1, EneR!$6:$6, 0), FALSE),
            0
        ) +
        IFERROR(
            VLOOKUP($A92, INDIRECT("FebR!$A$6:$ZZ$1048576"), MATCH(AP$1, FebR!$6:$6, 0), FALSE),
            0
        ) +
        IFERROR(
            VLOOKUP($A92, INDIRECT("MarR!$A$6:$ZZ$1048576"), MATCH(AP$1, MarR!$6:$6, 0), FALSE),
            0
        ) +
        IFERROR(
            VLOOKUP($A92, INDIRECT("AbrR!$A$6:$ZZ$1048576"), MATCH(AP$1, AbrR!$6:$6, 0), FALSE),
            0
        ) +
        IFERROR(
            VLOOKUP($A92, INDIRECT("MayR!$A$6:$ZZ$1048576"), MATCH(AP$1, MayR!$6:$6, 0), FALSE),
            0
        ) +
        IFERROR(
            VLOOKUP($A92, INDIRECT("JunR!$A$6:$ZZ$1048576"), MATCH(AP$1, JunR!$6:$6, 0), FALSE),
            0
        ) +
        IFERROR(
            VLOOKUP($A92, INDIRECT("JulR!$A$6:$ZZ$1048576"), MATCH(AP$1, JulR!$6:$6, 0), FALSE),
            0
        ) +
        IFERROR(
            VLOOKUP($A92, INDIRECT("AgoR!$A$6:$ZZ$1048576"), MATCH(AP$1, AgoR!$6:$6, 0), FALSE),
            0
        ) +
        IFERROR(
            VLOOKUP($A92, INDIRECT("SepR!$A$6:$ZZ$1048576"), MATCH(AP$1, SepR!$6:$6, 0), FALSE),
            0
        ) +
        IFERROR(
            VLOOKUP($A92, INDIRECT("OctR!$A$6:$ZZ$1048576"), MATCH(AP$1, OctR!$6:$6, 0), FALSE),
            0
        ) +
        IFERROR(
            VLOOKUP($A92, INDIRECT("NovR!$A$6:$ZZ$1048576"), MATCH(AP$1, NovR!$6:$6, 0), FALSE),
            0
        ) +
        IFERROR(
            VLOOKUP($A92, INDIRECT("DicR!$A$6:$ZZ$1048576"), MATCH(AP$1, DicR!$6:$6, 0), FALSE),
            0
        )
)</f>
        <v>0</v>
      </c>
      <c r="AQ92" s="35">
        <f t="array" ref="AQ92">SUM(
    IFERROR(
            VLOOKUP($A92, INDIRECT("EneR!$A$6:$ZZ$1048576"), MATCH(AQ$1, EneR!$6:$6, 0), FALSE),
            0
        ) +
        IFERROR(
            VLOOKUP($A92, INDIRECT("FebR!$A$6:$ZZ$1048576"), MATCH(AQ$1, FebR!$6:$6, 0), FALSE),
            0
        ) +
        IFERROR(
            VLOOKUP($A92, INDIRECT("MarR!$A$6:$ZZ$1048576"), MATCH(AQ$1, MarR!$6:$6, 0), FALSE),
            0
        ) +
        IFERROR(
            VLOOKUP($A92, INDIRECT("AbrR!$A$6:$ZZ$1048576"), MATCH(AQ$1, AbrR!$6:$6, 0), FALSE),
            0
        ) +
        IFERROR(
            VLOOKUP($A92, INDIRECT("MayR!$A$6:$ZZ$1048576"), MATCH(AQ$1, MayR!$6:$6, 0), FALSE),
            0
        ) +
        IFERROR(
            VLOOKUP($A92, INDIRECT("JunR!$A$6:$ZZ$1048576"), MATCH(AQ$1, JunR!$6:$6, 0), FALSE),
            0
        ) +
        IFERROR(
            VLOOKUP($A92, INDIRECT("JulR!$A$6:$ZZ$1048576"), MATCH(AQ$1, JulR!$6:$6, 0), FALSE),
            0
        ) +
        IFERROR(
            VLOOKUP($A92, INDIRECT("AgoR!$A$6:$ZZ$1048576"), MATCH(AQ$1, AgoR!$6:$6, 0), FALSE),
            0
        ) +
        IFERROR(
            VLOOKUP($A92, INDIRECT("SepR!$A$6:$ZZ$1048576"), MATCH(AQ$1, SepR!$6:$6, 0), FALSE),
            0
        ) +
        IFERROR(
            VLOOKUP($A92, INDIRECT("OctR!$A$6:$ZZ$1048576"), MATCH(AQ$1, OctR!$6:$6, 0), FALSE),
            0
        ) +
        IFERROR(
            VLOOKUP($A92, INDIRECT("NovR!$A$6:$ZZ$1048576"), MATCH(AQ$1, NovR!$6:$6, 0), FALSE),
            0
        ) +
        IFERROR(
            VLOOKUP($A92, INDIRECT("DicR!$A$6:$ZZ$1048576"), MATCH(AQ$1, DicR!$6:$6, 0), FALSE),
            0
        )
)</f>
        <v>0</v>
      </c>
      <c r="AR92" s="36">
        <f t="array" ref="AR92">SUM(
    IFERROR(
            VLOOKUP($A92, INDIRECT("EneR!$A$6:$ZZ$1048576"), MATCH(AR$1, EneR!$6:$6, 0), FALSE),
            0
        ) +
        IFERROR(
            VLOOKUP($A92, INDIRECT("FebR!$A$6:$ZZ$1048576"), MATCH(AR$1, FebR!$6:$6, 0), FALSE),
            0
        ) +
        IFERROR(
            VLOOKUP($A92, INDIRECT("MarR!$A$6:$ZZ$1048576"), MATCH(AR$1, MarR!$6:$6, 0), FALSE),
            0
        ) +
        IFERROR(
            VLOOKUP($A92, INDIRECT("AbrR!$A$6:$ZZ$1048576"), MATCH(AR$1, AbrR!$6:$6, 0), FALSE),
            0
        ) +
        IFERROR(
            VLOOKUP($A92, INDIRECT("MayR!$A$6:$ZZ$1048576"), MATCH(AR$1, MayR!$6:$6, 0), FALSE),
            0
        ) +
        IFERROR(
            VLOOKUP($A92, INDIRECT("JunR!$A$6:$ZZ$1048576"), MATCH(AR$1, JunR!$6:$6, 0), FALSE),
            0
        ) +
        IFERROR(
            VLOOKUP($A92, INDIRECT("JulR!$A$6:$ZZ$1048576"), MATCH(AR$1, JulR!$6:$6, 0), FALSE),
            0
        ) +
        IFERROR(
            VLOOKUP($A92, INDIRECT("AgoR!$A$6:$ZZ$1048576"), MATCH(AR$1, AgoR!$6:$6, 0), FALSE),
            0
        ) +
        IFERROR(
            VLOOKUP($A92, INDIRECT("SepR!$A$6:$ZZ$1048576"), MATCH(AR$1, SepR!$6:$6, 0), FALSE),
            0
        ) +
        IFERROR(
            VLOOKUP($A92, INDIRECT("OctR!$A$6:$ZZ$1048576"), MATCH(AR$1, OctR!$6:$6, 0), FALSE),
            0
        ) +
        IFERROR(
            VLOOKUP($A92, INDIRECT("NovR!$A$6:$ZZ$1048576"), MATCH(AR$1, NovR!$6:$6, 0), FALSE),
            0
        ) +
        IFERROR(
            VLOOKUP($A92, INDIRECT("DicR!$A$6:$ZZ$1048576"), MATCH(AR$1, DicR!$6:$6, 0), FALSE),
            0
        )
)</f>
        <v>0</v>
      </c>
      <c r="AS92" s="35">
        <f t="array" ref="AS92">SUM(
    IFERROR(
            VLOOKUP($A92, INDIRECT("EneR!$A$6:$ZZ$1048576"), MATCH(AS$1, EneR!$6:$6, 0), FALSE),
            0
        ) +
        IFERROR(
            VLOOKUP($A92, INDIRECT("FebR!$A$6:$ZZ$1048576"), MATCH(AS$1, FebR!$6:$6, 0), FALSE),
            0
        ) +
        IFERROR(
            VLOOKUP($A92, INDIRECT("MarR!$A$6:$ZZ$1048576"), MATCH(AS$1, MarR!$6:$6, 0), FALSE),
            0
        ) +
        IFERROR(
            VLOOKUP($A92, INDIRECT("AbrR!$A$6:$ZZ$1048576"), MATCH(AS$1, AbrR!$6:$6, 0), FALSE),
            0
        ) +
        IFERROR(
            VLOOKUP($A92, INDIRECT("MayR!$A$6:$ZZ$1048576"), MATCH(AS$1, MayR!$6:$6, 0), FALSE),
            0
        ) +
        IFERROR(
            VLOOKUP($A92, INDIRECT("JunR!$A$6:$ZZ$1048576"), MATCH(AS$1, JunR!$6:$6, 0), FALSE),
            0
        ) +
        IFERROR(
            VLOOKUP($A92, INDIRECT("JulR!$A$6:$ZZ$1048576"), MATCH(AS$1, JulR!$6:$6, 0), FALSE),
            0
        ) +
        IFERROR(
            VLOOKUP($A92, INDIRECT("AgoR!$A$6:$ZZ$1048576"), MATCH(AS$1, AgoR!$6:$6, 0), FALSE),
            0
        ) +
        IFERROR(
            VLOOKUP($A92, INDIRECT("SepR!$A$6:$ZZ$1048576"), MATCH(AS$1, SepR!$6:$6, 0), FALSE),
            0
        ) +
        IFERROR(
            VLOOKUP($A92, INDIRECT("OctR!$A$6:$ZZ$1048576"), MATCH(AS$1, OctR!$6:$6, 0), FALSE),
            0
        ) +
        IFERROR(
            VLOOKUP($A92, INDIRECT("NovR!$A$6:$ZZ$1048576"), MATCH(AS$1, NovR!$6:$6, 0), FALSE),
            0
        ) +
        IFERROR(
            VLOOKUP($A92, INDIRECT("DicR!$A$6:$ZZ$1048576"), MATCH(AS$1, DicR!$6:$6, 0), FALSE),
            0
        )
)</f>
        <v>0</v>
      </c>
      <c r="AT92" s="36">
        <f t="array" ref="AT92">SUM(
    IFERROR(
            VLOOKUP($A92, INDIRECT("EneR!$A$6:$ZZ$1048576"), MATCH(AT$1, EneR!$6:$6, 0), FALSE),
            0
        ) +
        IFERROR(
            VLOOKUP($A92, INDIRECT("FebR!$A$6:$ZZ$1048576"), MATCH(AT$1, FebR!$6:$6, 0), FALSE),
            0
        ) +
        IFERROR(
            VLOOKUP($A92, INDIRECT("MarR!$A$6:$ZZ$1048576"), MATCH(AT$1, MarR!$6:$6, 0), FALSE),
            0
        ) +
        IFERROR(
            VLOOKUP($A92, INDIRECT("AbrR!$A$6:$ZZ$1048576"), MATCH(AT$1, AbrR!$6:$6, 0), FALSE),
            0
        ) +
        IFERROR(
            VLOOKUP($A92, INDIRECT("MayR!$A$6:$ZZ$1048576"), MATCH(AT$1, MayR!$6:$6, 0), FALSE),
            0
        ) +
        IFERROR(
            VLOOKUP($A92, INDIRECT("JunR!$A$6:$ZZ$1048576"), MATCH(AT$1, JunR!$6:$6, 0), FALSE),
            0
        ) +
        IFERROR(
            VLOOKUP($A92, INDIRECT("JulR!$A$6:$ZZ$1048576"), MATCH(AT$1, JulR!$6:$6, 0), FALSE),
            0
        ) +
        IFERROR(
            VLOOKUP($A92, INDIRECT("AgoR!$A$6:$ZZ$1048576"), MATCH(AT$1, AgoR!$6:$6, 0), FALSE),
            0
        ) +
        IFERROR(
            VLOOKUP($A92, INDIRECT("SepR!$A$6:$ZZ$1048576"), MATCH(AT$1, SepR!$6:$6, 0), FALSE),
            0
        ) +
        IFERROR(
            VLOOKUP($A92, INDIRECT("OctR!$A$6:$ZZ$1048576"), MATCH(AT$1, OctR!$6:$6, 0), FALSE),
            0
        ) +
        IFERROR(
            VLOOKUP($A92, INDIRECT("NovR!$A$6:$ZZ$1048576"), MATCH(AT$1, NovR!$6:$6, 0), FALSE),
            0
        ) +
        IFERROR(
            VLOOKUP($A92, INDIRECT("DicR!$A$6:$ZZ$1048576"), MATCH(AT$1, DicR!$6:$6, 0), FALSE),
            0
        )
)</f>
        <v>0</v>
      </c>
      <c r="AU92" s="35">
        <f t="array" ref="AU92">SUM(
    IFERROR(
            VLOOKUP($A92, INDIRECT("EneR!$A$6:$ZZ$1048576"), MATCH(AU$1, EneR!$6:$6, 0), FALSE),
            0
        ) +
        IFERROR(
            VLOOKUP($A92, INDIRECT("FebR!$A$6:$ZZ$1048576"), MATCH(AU$1, FebR!$6:$6, 0), FALSE),
            0
        ) +
        IFERROR(
            VLOOKUP($A92, INDIRECT("MarR!$A$6:$ZZ$1048576"), MATCH(AU$1, MarR!$6:$6, 0), FALSE),
            0
        ) +
        IFERROR(
            VLOOKUP($A92, INDIRECT("AbrR!$A$6:$ZZ$1048576"), MATCH(AU$1, AbrR!$6:$6, 0), FALSE),
            0
        ) +
        IFERROR(
            VLOOKUP($A92, INDIRECT("MayR!$A$6:$ZZ$1048576"), MATCH(AU$1, MayR!$6:$6, 0), FALSE),
            0
        ) +
        IFERROR(
            VLOOKUP($A92, INDIRECT("JunR!$A$6:$ZZ$1048576"), MATCH(AU$1, JunR!$6:$6, 0), FALSE),
            0
        ) +
        IFERROR(
            VLOOKUP($A92, INDIRECT("JulR!$A$6:$ZZ$1048576"), MATCH(AU$1, JulR!$6:$6, 0), FALSE),
            0
        ) +
        IFERROR(
            VLOOKUP($A92, INDIRECT("AgoR!$A$6:$ZZ$1048576"), MATCH(AU$1, AgoR!$6:$6, 0), FALSE),
            0
        ) +
        IFERROR(
            VLOOKUP($A92, INDIRECT("SepR!$A$6:$ZZ$1048576"), MATCH(AU$1, SepR!$6:$6, 0), FALSE),
            0
        ) +
        IFERROR(
            VLOOKUP($A92, INDIRECT("OctR!$A$6:$ZZ$1048576"), MATCH(AU$1, OctR!$6:$6, 0), FALSE),
            0
        ) +
        IFERROR(
            VLOOKUP($A92, INDIRECT("NovR!$A$6:$ZZ$1048576"), MATCH(AU$1, NovR!$6:$6, 0), FALSE),
            0
        ) +
        IFERROR(
            VLOOKUP($A92, INDIRECT("DicR!$A$6:$ZZ$1048576"), MATCH(AU$1, DicR!$6:$6, 0), FALSE),
            0
        )
)</f>
        <v>0</v>
      </c>
      <c r="AV92" s="36">
        <f t="array" ref="AV92">SUM(
    IFERROR(
            VLOOKUP($A92, INDIRECT("EneR!$A$6:$ZZ$1048576"), MATCH(AV$1, EneR!$6:$6, 0), FALSE),
            0
        ) +
        IFERROR(
            VLOOKUP($A92, INDIRECT("FebR!$A$6:$ZZ$1048576"), MATCH(AV$1, FebR!$6:$6, 0), FALSE),
            0
        ) +
        IFERROR(
            VLOOKUP($A92, INDIRECT("MarR!$A$6:$ZZ$1048576"), MATCH(AV$1, MarR!$6:$6, 0), FALSE),
            0
        ) +
        IFERROR(
            VLOOKUP($A92, INDIRECT("AbrR!$A$6:$ZZ$1048576"), MATCH(AV$1, AbrR!$6:$6, 0), FALSE),
            0
        ) +
        IFERROR(
            VLOOKUP($A92, INDIRECT("MayR!$A$6:$ZZ$1048576"), MATCH(AV$1, MayR!$6:$6, 0), FALSE),
            0
        ) +
        IFERROR(
            VLOOKUP($A92, INDIRECT("JunR!$A$6:$ZZ$1048576"), MATCH(AV$1, JunR!$6:$6, 0), FALSE),
            0
        ) +
        IFERROR(
            VLOOKUP($A92, INDIRECT("JulR!$A$6:$ZZ$1048576"), MATCH(AV$1, JulR!$6:$6, 0), FALSE),
            0
        ) +
        IFERROR(
            VLOOKUP($A92, INDIRECT("AgoR!$A$6:$ZZ$1048576"), MATCH(AV$1, AgoR!$6:$6, 0), FALSE),
            0
        ) +
        IFERROR(
            VLOOKUP($A92, INDIRECT("SepR!$A$6:$ZZ$1048576"), MATCH(AV$1, SepR!$6:$6, 0), FALSE),
            0
        ) +
        IFERROR(
            VLOOKUP($A92, INDIRECT("OctR!$A$6:$ZZ$1048576"), MATCH(AV$1, OctR!$6:$6, 0), FALSE),
            0
        ) +
        IFERROR(
            VLOOKUP($A92, INDIRECT("NovR!$A$6:$ZZ$1048576"), MATCH(AV$1, NovR!$6:$6, 0), FALSE),
            0
        ) +
        IFERROR(
            VLOOKUP($A92, INDIRECT("DicR!$A$6:$ZZ$1048576"), MATCH(AV$1, DicR!$6:$6, 0), FALSE),
            0
        )
)</f>
        <v>0</v>
      </c>
      <c r="AW92" s="35">
        <f t="array" ref="AW92">SUM(
    IFERROR(
            VLOOKUP($A92, INDIRECT("EneR!$A$6:$ZZ$1048576"), MATCH(AW$1, EneR!$6:$6, 0), FALSE),
            0
        ) +
        IFERROR(
            VLOOKUP($A92, INDIRECT("FebR!$A$6:$ZZ$1048576"), MATCH(AW$1, FebR!$6:$6, 0), FALSE),
            0
        ) +
        IFERROR(
            VLOOKUP($A92, INDIRECT("MarR!$A$6:$ZZ$1048576"), MATCH(AW$1, MarR!$6:$6, 0), FALSE),
            0
        ) +
        IFERROR(
            VLOOKUP($A92, INDIRECT("AbrR!$A$6:$ZZ$1048576"), MATCH(AW$1, AbrR!$6:$6, 0), FALSE),
            0
        ) +
        IFERROR(
            VLOOKUP($A92, INDIRECT("MayR!$A$6:$ZZ$1048576"), MATCH(AW$1, MayR!$6:$6, 0), FALSE),
            0
        ) +
        IFERROR(
            VLOOKUP($A92, INDIRECT("JunR!$A$6:$ZZ$1048576"), MATCH(AW$1, JunR!$6:$6, 0), FALSE),
            0
        ) +
        IFERROR(
            VLOOKUP($A92, INDIRECT("JulR!$A$6:$ZZ$1048576"), MATCH(AW$1, JulR!$6:$6, 0), FALSE),
            0
        ) +
        IFERROR(
            VLOOKUP($A92, INDIRECT("AgoR!$A$6:$ZZ$1048576"), MATCH(AW$1, AgoR!$6:$6, 0), FALSE),
            0
        ) +
        IFERROR(
            VLOOKUP($A92, INDIRECT("SepR!$A$6:$ZZ$1048576"), MATCH(AW$1, SepR!$6:$6, 0), FALSE),
            0
        ) +
        IFERROR(
            VLOOKUP($A92, INDIRECT("OctR!$A$6:$ZZ$1048576"), MATCH(AW$1, OctR!$6:$6, 0), FALSE),
            0
        ) +
        IFERROR(
            VLOOKUP($A92, INDIRECT("NovR!$A$6:$ZZ$1048576"), MATCH(AW$1, NovR!$6:$6, 0), FALSE),
            0
        ) +
        IFERROR(
            VLOOKUP($A92, INDIRECT("DicR!$A$6:$ZZ$1048576"), MATCH(AW$1, DicR!$6:$6, 0), FALSE),
            0
        )
)</f>
        <v>0</v>
      </c>
      <c r="AX92" s="36">
        <f t="array" ref="AX92">SUM(
    IFERROR(
            VLOOKUP($A92, INDIRECT("EneR!$A$6:$ZZ$1048576"), MATCH(AX$1, EneR!$6:$6, 0), FALSE),
            0
        ) +
        IFERROR(
            VLOOKUP($A92, INDIRECT("FebR!$A$6:$ZZ$1048576"), MATCH(AX$1, FebR!$6:$6, 0), FALSE),
            0
        ) +
        IFERROR(
            VLOOKUP($A92, INDIRECT("MarR!$A$6:$ZZ$1048576"), MATCH(AX$1, MarR!$6:$6, 0), FALSE),
            0
        ) +
        IFERROR(
            VLOOKUP($A92, INDIRECT("AbrR!$A$6:$ZZ$1048576"), MATCH(AX$1, AbrR!$6:$6, 0), FALSE),
            0
        ) +
        IFERROR(
            VLOOKUP($A92, INDIRECT("MayR!$A$6:$ZZ$1048576"), MATCH(AX$1, MayR!$6:$6, 0), FALSE),
            0
        ) +
        IFERROR(
            VLOOKUP($A92, INDIRECT("JunR!$A$6:$ZZ$1048576"), MATCH(AX$1, JunR!$6:$6, 0), FALSE),
            0
        ) +
        IFERROR(
            VLOOKUP($A92, INDIRECT("JulR!$A$6:$ZZ$1048576"), MATCH(AX$1, JulR!$6:$6, 0), FALSE),
            0
        ) +
        IFERROR(
            VLOOKUP($A92, INDIRECT("AgoR!$A$6:$ZZ$1048576"), MATCH(AX$1, AgoR!$6:$6, 0), FALSE),
            0
        ) +
        IFERROR(
            VLOOKUP($A92, INDIRECT("SepR!$A$6:$ZZ$1048576"), MATCH(AX$1, SepR!$6:$6, 0), FALSE),
            0
        ) +
        IFERROR(
            VLOOKUP($A92, INDIRECT("OctR!$A$6:$ZZ$1048576"), MATCH(AX$1, OctR!$6:$6, 0), FALSE),
            0
        ) +
        IFERROR(
            VLOOKUP($A92, INDIRECT("NovR!$A$6:$ZZ$1048576"), MATCH(AX$1, NovR!$6:$6, 0), FALSE),
            0
        ) +
        IFERROR(
            VLOOKUP($A92, INDIRECT("DicR!$A$6:$ZZ$1048576"), MATCH(AX$1, DicR!$6:$6, 0), FALSE),
            0
        )
)</f>
        <v>0</v>
      </c>
      <c r="AY92" s="35">
        <f t="array" ref="AY92">SUM(
    IFERROR(
            VLOOKUP($A92, INDIRECT("EneR!$A$6:$ZZ$1048576"), MATCH(AY$1, EneR!$6:$6, 0), FALSE),
            0
        ) +
        IFERROR(
            VLOOKUP($A92, INDIRECT("FebR!$A$6:$ZZ$1048576"), MATCH(AY$1, FebR!$6:$6, 0), FALSE),
            0
        ) +
        IFERROR(
            VLOOKUP($A92, INDIRECT("MarR!$A$6:$ZZ$1048576"), MATCH(AY$1, MarR!$6:$6, 0), FALSE),
            0
        ) +
        IFERROR(
            VLOOKUP($A92, INDIRECT("AbrR!$A$6:$ZZ$1048576"), MATCH(AY$1, AbrR!$6:$6, 0), FALSE),
            0
        ) +
        IFERROR(
            VLOOKUP($A92, INDIRECT("MayR!$A$6:$ZZ$1048576"), MATCH(AY$1, MayR!$6:$6, 0), FALSE),
            0
        ) +
        IFERROR(
            VLOOKUP($A92, INDIRECT("JunR!$A$6:$ZZ$1048576"), MATCH(AY$1, JunR!$6:$6, 0), FALSE),
            0
        ) +
        IFERROR(
            VLOOKUP($A92, INDIRECT("JulR!$A$6:$ZZ$1048576"), MATCH(AY$1, JulR!$6:$6, 0), FALSE),
            0
        ) +
        IFERROR(
            VLOOKUP($A92, INDIRECT("AgoR!$A$6:$ZZ$1048576"), MATCH(AY$1, AgoR!$6:$6, 0), FALSE),
            0
        ) +
        IFERROR(
            VLOOKUP($A92, INDIRECT("SepR!$A$6:$ZZ$1048576"), MATCH(AY$1, SepR!$6:$6, 0), FALSE),
            0
        ) +
        IFERROR(
            VLOOKUP($A92, INDIRECT("OctR!$A$6:$ZZ$1048576"), MATCH(AY$1, OctR!$6:$6, 0), FALSE),
            0
        ) +
        IFERROR(
            VLOOKUP($A92, INDIRECT("NovR!$A$6:$ZZ$1048576"), MATCH(AY$1, NovR!$6:$6, 0), FALSE),
            0
        ) +
        IFERROR(
            VLOOKUP($A92, INDIRECT("DicR!$A$6:$ZZ$1048576"), MATCH(AY$1, DicR!$6:$6, 0), FALSE),
            0
        )
)</f>
        <v>0</v>
      </c>
      <c r="AZ92" s="35"/>
    </row>
    <row r="93" ht="15.75" hidden="1" customHeight="1">
      <c r="A93" s="12" t="str">
        <f>Menus!B54</f>
        <v/>
      </c>
      <c r="B93" s="32">
        <f t="shared" si="11"/>
        <v>0</v>
      </c>
      <c r="C93" s="33" t="str">
        <f t="shared" si="10"/>
        <v/>
      </c>
      <c r="D93" s="34">
        <f t="array" ref="D93">SUM(
    IFERROR(
            VLOOKUP($A93, INDIRECT("EneR!$A$6:$ZZ$1048576"), MATCH(D$1, EneR!$6:$6, 0), FALSE),
            0
        ) +
        IFERROR(
            VLOOKUP($A93, INDIRECT("FebR!$A$6:$ZZ$1048576"), MATCH(D$1, FebR!$6:$6, 0), FALSE),
            0
        ) +
        IFERROR(
            VLOOKUP($A93, INDIRECT("MarR!$A$6:$ZZ$1048576"), MATCH(D$1, MarR!$6:$6, 0), FALSE),
            0
        ) +
        IFERROR(
            VLOOKUP($A93, INDIRECT("AbrR!$A$6:$ZZ$1048576"), MATCH(D$1, AbrR!$6:$6, 0), FALSE),
            0
        ) +
        IFERROR(
            VLOOKUP($A93, INDIRECT("MayR!$A$6:$ZZ$1048576"), MATCH(D$1, MayR!$6:$6, 0), FALSE),
            0
        ) +
        IFERROR(
            VLOOKUP($A93, INDIRECT("JunR!$A$6:$ZZ$1048576"), MATCH(D$1, JunR!$6:$6, 0), FALSE),
            0
        ) +
        IFERROR(
            VLOOKUP($A93, INDIRECT("JulR!$A$6:$ZZ$1048576"), MATCH(D$1, JulR!$6:$6, 0), FALSE),
            0
        ) +
        IFERROR(
            VLOOKUP($A93, INDIRECT("AgoR!$A$6:$ZZ$1048576"), MATCH(D$1, AgoR!$6:$6, 0), FALSE),
            0
        ) +
        IFERROR(
            VLOOKUP($A93, INDIRECT("SepR!$A$6:$ZZ$1048576"), MATCH(D$1, SepR!$6:$6, 0), FALSE),
            0
        ) +
        IFERROR(
            VLOOKUP($A93, INDIRECT("OctR!$A$6:$ZZ$1048576"), MATCH(D$1, OctR!$6:$6, 0), FALSE),
            0
        ) +
        IFERROR(
            VLOOKUP($A93, INDIRECT("NovR!$A$6:$ZZ$1048576"), MATCH(D$1, NovR!$6:$6, 0), FALSE),
            0
        ) +
        IFERROR(
            VLOOKUP($A93, INDIRECT("DicR!$A$6:$ZZ$1048576"), MATCH(D$1, DicR!$6:$6, 0), FALSE),
            0
        )
)</f>
        <v>0</v>
      </c>
      <c r="E93" s="35">
        <f t="array" ref="E93">SUM(
    IFERROR(
            VLOOKUP($A93, INDIRECT("EneR!$A$6:$ZZ$1048576"), MATCH(E$1, EneR!$6:$6, 0), FALSE),
            0
        ) +
        IFERROR(
            VLOOKUP($A93, INDIRECT("FebR!$A$6:$ZZ$1048576"), MATCH(E$1, FebR!$6:$6, 0), FALSE),
            0
        ) +
        IFERROR(
            VLOOKUP($A93, INDIRECT("MarR!$A$6:$ZZ$1048576"), MATCH(E$1, MarR!$6:$6, 0), FALSE),
            0
        ) +
        IFERROR(
            VLOOKUP($A93, INDIRECT("AbrR!$A$6:$ZZ$1048576"), MATCH(E$1, AbrR!$6:$6, 0), FALSE),
            0
        ) +
        IFERROR(
            VLOOKUP($A93, INDIRECT("MayR!$A$6:$ZZ$1048576"), MATCH(E$1, MayR!$6:$6, 0), FALSE),
            0
        ) +
        IFERROR(
            VLOOKUP($A93, INDIRECT("JunR!$A$6:$ZZ$1048576"), MATCH(E$1, JunR!$6:$6, 0), FALSE),
            0
        ) +
        IFERROR(
            VLOOKUP($A93, INDIRECT("JulR!$A$6:$ZZ$1048576"), MATCH(E$1, JulR!$6:$6, 0), FALSE),
            0
        ) +
        IFERROR(
            VLOOKUP($A93, INDIRECT("AgoR!$A$6:$ZZ$1048576"), MATCH(E$1, AgoR!$6:$6, 0), FALSE),
            0
        ) +
        IFERROR(
            VLOOKUP($A93, INDIRECT("SepR!$A$6:$ZZ$1048576"), MATCH(E$1, SepR!$6:$6, 0), FALSE),
            0
        ) +
        IFERROR(
            VLOOKUP($A93, INDIRECT("OctR!$A$6:$ZZ$1048576"), MATCH(E$1, OctR!$6:$6, 0), FALSE),
            0
        ) +
        IFERROR(
            VLOOKUP($A93, INDIRECT("NovR!$A$6:$ZZ$1048576"), MATCH(E$1, NovR!$6:$6, 0), FALSE),
            0
        ) +
        IFERROR(
            VLOOKUP($A93, INDIRECT("DicR!$A$6:$ZZ$1048576"), MATCH(E$1, DicR!$6:$6, 0), FALSE),
            0
        )
)</f>
        <v>0</v>
      </c>
      <c r="F93" s="32">
        <f t="array" ref="F93">SUM(
    IFERROR(
            VLOOKUP($A93, INDIRECT("EneR!$A$6:$ZZ$1048576"), MATCH(F$1, EneR!$6:$6, 0), FALSE),
            0
        ) +
        IFERROR(
            VLOOKUP($A93, INDIRECT("FebR!$A$6:$ZZ$1048576"), MATCH(F$1, FebR!$6:$6, 0), FALSE),
            0
        ) +
        IFERROR(
            VLOOKUP($A93, INDIRECT("MarR!$A$6:$ZZ$1048576"), MATCH(F$1, MarR!$6:$6, 0), FALSE),
            0
        ) +
        IFERROR(
            VLOOKUP($A93, INDIRECT("AbrR!$A$6:$ZZ$1048576"), MATCH(F$1, AbrR!$6:$6, 0), FALSE),
            0
        ) +
        IFERROR(
            VLOOKUP($A93, INDIRECT("MayR!$A$6:$ZZ$1048576"), MATCH(F$1, MayR!$6:$6, 0), FALSE),
            0
        ) +
        IFERROR(
            VLOOKUP($A93, INDIRECT("JunR!$A$6:$ZZ$1048576"), MATCH(F$1, JunR!$6:$6, 0), FALSE),
            0
        ) +
        IFERROR(
            VLOOKUP($A93, INDIRECT("JulR!$A$6:$ZZ$1048576"), MATCH(F$1, JulR!$6:$6, 0), FALSE),
            0
        ) +
        IFERROR(
            VLOOKUP($A93, INDIRECT("AgoR!$A$6:$ZZ$1048576"), MATCH(F$1, AgoR!$6:$6, 0), FALSE),
            0
        ) +
        IFERROR(
            VLOOKUP($A93, INDIRECT("SepR!$A$6:$ZZ$1048576"), MATCH(F$1, SepR!$6:$6, 0), FALSE),
            0
        ) +
        IFERROR(
            VLOOKUP($A93, INDIRECT("OctR!$A$6:$ZZ$1048576"), MATCH(F$1, OctR!$6:$6, 0), FALSE),
            0
        ) +
        IFERROR(
            VLOOKUP($A93, INDIRECT("NovR!$A$6:$ZZ$1048576"), MATCH(F$1, NovR!$6:$6, 0), FALSE),
            0
        ) +
        IFERROR(
            VLOOKUP($A93, INDIRECT("DicR!$A$6:$ZZ$1048576"), MATCH(F$1, DicR!$6:$6, 0), FALSE),
            0
        )
)</f>
        <v>0</v>
      </c>
      <c r="G93" s="35">
        <f t="array" ref="G93">SUM(
    IFERROR(
            VLOOKUP($A93, INDIRECT("EneR!$A$6:$ZZ$1048576"), MATCH(G$1, EneR!$6:$6, 0), FALSE),
            0
        ) +
        IFERROR(
            VLOOKUP($A93, INDIRECT("FebR!$A$6:$ZZ$1048576"), MATCH(G$1, FebR!$6:$6, 0), FALSE),
            0
        ) +
        IFERROR(
            VLOOKUP($A93, INDIRECT("MarR!$A$6:$ZZ$1048576"), MATCH(G$1, MarR!$6:$6, 0), FALSE),
            0
        ) +
        IFERROR(
            VLOOKUP($A93, INDIRECT("AbrR!$A$6:$ZZ$1048576"), MATCH(G$1, AbrR!$6:$6, 0), FALSE),
            0
        ) +
        IFERROR(
            VLOOKUP($A93, INDIRECT("MayR!$A$6:$ZZ$1048576"), MATCH(G$1, MayR!$6:$6, 0), FALSE),
            0
        ) +
        IFERROR(
            VLOOKUP($A93, INDIRECT("JunR!$A$6:$ZZ$1048576"), MATCH(G$1, JunR!$6:$6, 0), FALSE),
            0
        ) +
        IFERROR(
            VLOOKUP($A93, INDIRECT("JulR!$A$6:$ZZ$1048576"), MATCH(G$1, JulR!$6:$6, 0), FALSE),
            0
        ) +
        IFERROR(
            VLOOKUP($A93, INDIRECT("AgoR!$A$6:$ZZ$1048576"), MATCH(G$1, AgoR!$6:$6, 0), FALSE),
            0
        ) +
        IFERROR(
            VLOOKUP($A93, INDIRECT("SepR!$A$6:$ZZ$1048576"), MATCH(G$1, SepR!$6:$6, 0), FALSE),
            0
        ) +
        IFERROR(
            VLOOKUP($A93, INDIRECT("OctR!$A$6:$ZZ$1048576"), MATCH(G$1, OctR!$6:$6, 0), FALSE),
            0
        ) +
        IFERROR(
            VLOOKUP($A93, INDIRECT("NovR!$A$6:$ZZ$1048576"), MATCH(G$1, NovR!$6:$6, 0), FALSE),
            0
        ) +
        IFERROR(
            VLOOKUP($A93, INDIRECT("DicR!$A$6:$ZZ$1048576"), MATCH(G$1, DicR!$6:$6, 0), FALSE),
            0
        )
)</f>
        <v>0</v>
      </c>
      <c r="H93" s="32">
        <f t="array" ref="H93">SUM(
    IFERROR(
            VLOOKUP($A93, INDIRECT("EneR!$A$6:$ZZ$1048576"), MATCH(H$1, EneR!$6:$6, 0), FALSE),
            0
        ) +
        IFERROR(
            VLOOKUP($A93, INDIRECT("FebR!$A$6:$ZZ$1048576"), MATCH(H$1, FebR!$6:$6, 0), FALSE),
            0
        ) +
        IFERROR(
            VLOOKUP($A93, INDIRECT("MarR!$A$6:$ZZ$1048576"), MATCH(H$1, MarR!$6:$6, 0), FALSE),
            0
        ) +
        IFERROR(
            VLOOKUP($A93, INDIRECT("AbrR!$A$6:$ZZ$1048576"), MATCH(H$1, AbrR!$6:$6, 0), FALSE),
            0
        ) +
        IFERROR(
            VLOOKUP($A93, INDIRECT("MayR!$A$6:$ZZ$1048576"), MATCH(H$1, MayR!$6:$6, 0), FALSE),
            0
        ) +
        IFERROR(
            VLOOKUP($A93, INDIRECT("JunR!$A$6:$ZZ$1048576"), MATCH(H$1, JunR!$6:$6, 0), FALSE),
            0
        ) +
        IFERROR(
            VLOOKUP($A93, INDIRECT("JulR!$A$6:$ZZ$1048576"), MATCH(H$1, JulR!$6:$6, 0), FALSE),
            0
        ) +
        IFERROR(
            VLOOKUP($A93, INDIRECT("AgoR!$A$6:$ZZ$1048576"), MATCH(H$1, AgoR!$6:$6, 0), FALSE),
            0
        ) +
        IFERROR(
            VLOOKUP($A93, INDIRECT("SepR!$A$6:$ZZ$1048576"), MATCH(H$1, SepR!$6:$6, 0), FALSE),
            0
        ) +
        IFERROR(
            VLOOKUP($A93, INDIRECT("OctR!$A$6:$ZZ$1048576"), MATCH(H$1, OctR!$6:$6, 0), FALSE),
            0
        ) +
        IFERROR(
            VLOOKUP($A93, INDIRECT("NovR!$A$6:$ZZ$1048576"), MATCH(H$1, NovR!$6:$6, 0), FALSE),
            0
        ) +
        IFERROR(
            VLOOKUP($A93, INDIRECT("DicR!$A$6:$ZZ$1048576"), MATCH(H$1, DicR!$6:$6, 0), FALSE),
            0
        )
)</f>
        <v>0</v>
      </c>
      <c r="I93" s="35">
        <f t="array" ref="I93">SUM(
    IFERROR(
            VLOOKUP($A93, INDIRECT("EneR!$A$6:$ZZ$1048576"), MATCH(I$1, EneR!$6:$6, 0), FALSE),
            0
        ) +
        IFERROR(
            VLOOKUP($A93, INDIRECT("FebR!$A$6:$ZZ$1048576"), MATCH(I$1, FebR!$6:$6, 0), FALSE),
            0
        ) +
        IFERROR(
            VLOOKUP($A93, INDIRECT("MarR!$A$6:$ZZ$1048576"), MATCH(I$1, MarR!$6:$6, 0), FALSE),
            0
        ) +
        IFERROR(
            VLOOKUP($A93, INDIRECT("AbrR!$A$6:$ZZ$1048576"), MATCH(I$1, AbrR!$6:$6, 0), FALSE),
            0
        ) +
        IFERROR(
            VLOOKUP($A93, INDIRECT("MayR!$A$6:$ZZ$1048576"), MATCH(I$1, MayR!$6:$6, 0), FALSE),
            0
        ) +
        IFERROR(
            VLOOKUP($A93, INDIRECT("JunR!$A$6:$ZZ$1048576"), MATCH(I$1, JunR!$6:$6, 0), FALSE),
            0
        ) +
        IFERROR(
            VLOOKUP($A93, INDIRECT("JulR!$A$6:$ZZ$1048576"), MATCH(I$1, JulR!$6:$6, 0), FALSE),
            0
        ) +
        IFERROR(
            VLOOKUP($A93, INDIRECT("AgoR!$A$6:$ZZ$1048576"), MATCH(I$1, AgoR!$6:$6, 0), FALSE),
            0
        ) +
        IFERROR(
            VLOOKUP($A93, INDIRECT("SepR!$A$6:$ZZ$1048576"), MATCH(I$1, SepR!$6:$6, 0), FALSE),
            0
        ) +
        IFERROR(
            VLOOKUP($A93, INDIRECT("OctR!$A$6:$ZZ$1048576"), MATCH(I$1, OctR!$6:$6, 0), FALSE),
            0
        ) +
        IFERROR(
            VLOOKUP($A93, INDIRECT("NovR!$A$6:$ZZ$1048576"), MATCH(I$1, NovR!$6:$6, 0), FALSE),
            0
        ) +
        IFERROR(
            VLOOKUP($A93, INDIRECT("DicR!$A$6:$ZZ$1048576"), MATCH(I$1, DicR!$6:$6, 0), FALSE),
            0
        )
)</f>
        <v>0</v>
      </c>
      <c r="J93" s="32">
        <f t="array" ref="J93">SUM(
    IFERROR(
            VLOOKUP($A93, INDIRECT("EneR!$A$6:$ZZ$1048576"), MATCH(J$1, EneR!$6:$6, 0), FALSE),
            0
        ) +
        IFERROR(
            VLOOKUP($A93, INDIRECT("FebR!$A$6:$ZZ$1048576"), MATCH(J$1, FebR!$6:$6, 0), FALSE),
            0
        ) +
        IFERROR(
            VLOOKUP($A93, INDIRECT("MarR!$A$6:$ZZ$1048576"), MATCH(J$1, MarR!$6:$6, 0), FALSE),
            0
        ) +
        IFERROR(
            VLOOKUP($A93, INDIRECT("AbrR!$A$6:$ZZ$1048576"), MATCH(J$1, AbrR!$6:$6, 0), FALSE),
            0
        ) +
        IFERROR(
            VLOOKUP($A93, INDIRECT("MayR!$A$6:$ZZ$1048576"), MATCH(J$1, MayR!$6:$6, 0), FALSE),
            0
        ) +
        IFERROR(
            VLOOKUP($A93, INDIRECT("JunR!$A$6:$ZZ$1048576"), MATCH(J$1, JunR!$6:$6, 0), FALSE),
            0
        ) +
        IFERROR(
            VLOOKUP($A93, INDIRECT("JulR!$A$6:$ZZ$1048576"), MATCH(J$1, JulR!$6:$6, 0), FALSE),
            0
        ) +
        IFERROR(
            VLOOKUP($A93, INDIRECT("AgoR!$A$6:$ZZ$1048576"), MATCH(J$1, AgoR!$6:$6, 0), FALSE),
            0
        ) +
        IFERROR(
            VLOOKUP($A93, INDIRECT("SepR!$A$6:$ZZ$1048576"), MATCH(J$1, SepR!$6:$6, 0), FALSE),
            0
        ) +
        IFERROR(
            VLOOKUP($A93, INDIRECT("OctR!$A$6:$ZZ$1048576"), MATCH(J$1, OctR!$6:$6, 0), FALSE),
            0
        ) +
        IFERROR(
            VLOOKUP($A93, INDIRECT("NovR!$A$6:$ZZ$1048576"), MATCH(J$1, NovR!$6:$6, 0), FALSE),
            0
        ) +
        IFERROR(
            VLOOKUP($A93, INDIRECT("DicR!$A$6:$ZZ$1048576"), MATCH(J$1, DicR!$6:$6, 0), FALSE),
            0
        )
)</f>
        <v>0</v>
      </c>
      <c r="K93" s="35">
        <f t="array" ref="K93">SUM(
    IFERROR(
            VLOOKUP($A93, INDIRECT("EneR!$A$6:$ZZ$1048576"), MATCH(K$1, EneR!$6:$6, 0), FALSE),
            0
        ) +
        IFERROR(
            VLOOKUP($A93, INDIRECT("FebR!$A$6:$ZZ$1048576"), MATCH(K$1, FebR!$6:$6, 0), FALSE),
            0
        ) +
        IFERROR(
            VLOOKUP($A93, INDIRECT("MarR!$A$6:$ZZ$1048576"), MATCH(K$1, MarR!$6:$6, 0), FALSE),
            0
        ) +
        IFERROR(
            VLOOKUP($A93, INDIRECT("AbrR!$A$6:$ZZ$1048576"), MATCH(K$1, AbrR!$6:$6, 0), FALSE),
            0
        ) +
        IFERROR(
            VLOOKUP($A93, INDIRECT("MayR!$A$6:$ZZ$1048576"), MATCH(K$1, MayR!$6:$6, 0), FALSE),
            0
        ) +
        IFERROR(
            VLOOKUP($A93, INDIRECT("JunR!$A$6:$ZZ$1048576"), MATCH(K$1, JunR!$6:$6, 0), FALSE),
            0
        ) +
        IFERROR(
            VLOOKUP($A93, INDIRECT("JulR!$A$6:$ZZ$1048576"), MATCH(K$1, JulR!$6:$6, 0), FALSE),
            0
        ) +
        IFERROR(
            VLOOKUP($A93, INDIRECT("AgoR!$A$6:$ZZ$1048576"), MATCH(K$1, AgoR!$6:$6, 0), FALSE),
            0
        ) +
        IFERROR(
            VLOOKUP($A93, INDIRECT("SepR!$A$6:$ZZ$1048576"), MATCH(K$1, SepR!$6:$6, 0), FALSE),
            0
        ) +
        IFERROR(
            VLOOKUP($A93, INDIRECT("OctR!$A$6:$ZZ$1048576"), MATCH(K$1, OctR!$6:$6, 0), FALSE),
            0
        ) +
        IFERROR(
            VLOOKUP($A93, INDIRECT("NovR!$A$6:$ZZ$1048576"), MATCH(K$1, NovR!$6:$6, 0), FALSE),
            0
        ) +
        IFERROR(
            VLOOKUP($A93, INDIRECT("DicR!$A$6:$ZZ$1048576"), MATCH(K$1, DicR!$6:$6, 0), FALSE),
            0
        )
)</f>
        <v>0</v>
      </c>
      <c r="L93" s="32">
        <f t="array" ref="L93">SUM(
    IFERROR(
            VLOOKUP($A93, INDIRECT("EneR!$A$6:$ZZ$1048576"), MATCH(L$1, EneR!$6:$6, 0), FALSE),
            0
        ) +
        IFERROR(
            VLOOKUP($A93, INDIRECT("FebR!$A$6:$ZZ$1048576"), MATCH(L$1, FebR!$6:$6, 0), FALSE),
            0
        ) +
        IFERROR(
            VLOOKUP($A93, INDIRECT("MarR!$A$6:$ZZ$1048576"), MATCH(L$1, MarR!$6:$6, 0), FALSE),
            0
        ) +
        IFERROR(
            VLOOKUP($A93, INDIRECT("AbrR!$A$6:$ZZ$1048576"), MATCH(L$1, AbrR!$6:$6, 0), FALSE),
            0
        ) +
        IFERROR(
            VLOOKUP($A93, INDIRECT("MayR!$A$6:$ZZ$1048576"), MATCH(L$1, MayR!$6:$6, 0), FALSE),
            0
        ) +
        IFERROR(
            VLOOKUP($A93, INDIRECT("JunR!$A$6:$ZZ$1048576"), MATCH(L$1, JunR!$6:$6, 0), FALSE),
            0
        ) +
        IFERROR(
            VLOOKUP($A93, INDIRECT("JulR!$A$6:$ZZ$1048576"), MATCH(L$1, JulR!$6:$6, 0), FALSE),
            0
        ) +
        IFERROR(
            VLOOKUP($A93, INDIRECT("AgoR!$A$6:$ZZ$1048576"), MATCH(L$1, AgoR!$6:$6, 0), FALSE),
            0
        ) +
        IFERROR(
            VLOOKUP($A93, INDIRECT("SepR!$A$6:$ZZ$1048576"), MATCH(L$1, SepR!$6:$6, 0), FALSE),
            0
        ) +
        IFERROR(
            VLOOKUP($A93, INDIRECT("OctR!$A$6:$ZZ$1048576"), MATCH(L$1, OctR!$6:$6, 0), FALSE),
            0
        ) +
        IFERROR(
            VLOOKUP($A93, INDIRECT("NovR!$A$6:$ZZ$1048576"), MATCH(L$1, NovR!$6:$6, 0), FALSE),
            0
        ) +
        IFERROR(
            VLOOKUP($A93, INDIRECT("DicR!$A$6:$ZZ$1048576"), MATCH(L$1, DicR!$6:$6, 0), FALSE),
            0
        )
)</f>
        <v>0</v>
      </c>
      <c r="M93" s="35">
        <f t="array" ref="M93">SUM(
    IFERROR(
            VLOOKUP($A93, INDIRECT("EneR!$A$6:$ZZ$1048576"), MATCH(M$1, EneR!$6:$6, 0), FALSE),
            0
        ) +
        IFERROR(
            VLOOKUP($A93, INDIRECT("FebR!$A$6:$ZZ$1048576"), MATCH(M$1, FebR!$6:$6, 0), FALSE),
            0
        ) +
        IFERROR(
            VLOOKUP($A93, INDIRECT("MarR!$A$6:$ZZ$1048576"), MATCH(M$1, MarR!$6:$6, 0), FALSE),
            0
        ) +
        IFERROR(
            VLOOKUP($A93, INDIRECT("AbrR!$A$6:$ZZ$1048576"), MATCH(M$1, AbrR!$6:$6, 0), FALSE),
            0
        ) +
        IFERROR(
            VLOOKUP($A93, INDIRECT("MayR!$A$6:$ZZ$1048576"), MATCH(M$1, MayR!$6:$6, 0), FALSE),
            0
        ) +
        IFERROR(
            VLOOKUP($A93, INDIRECT("JunR!$A$6:$ZZ$1048576"), MATCH(M$1, JunR!$6:$6, 0), FALSE),
            0
        ) +
        IFERROR(
            VLOOKUP($A93, INDIRECT("JulR!$A$6:$ZZ$1048576"), MATCH(M$1, JulR!$6:$6, 0), FALSE),
            0
        ) +
        IFERROR(
            VLOOKUP($A93, INDIRECT("AgoR!$A$6:$ZZ$1048576"), MATCH(M$1, AgoR!$6:$6, 0), FALSE),
            0
        ) +
        IFERROR(
            VLOOKUP($A93, INDIRECT("SepR!$A$6:$ZZ$1048576"), MATCH(M$1, SepR!$6:$6, 0), FALSE),
            0
        ) +
        IFERROR(
            VLOOKUP($A93, INDIRECT("OctR!$A$6:$ZZ$1048576"), MATCH(M$1, OctR!$6:$6, 0), FALSE),
            0
        ) +
        IFERROR(
            VLOOKUP($A93, INDIRECT("NovR!$A$6:$ZZ$1048576"), MATCH(M$1, NovR!$6:$6, 0), FALSE),
            0
        ) +
        IFERROR(
            VLOOKUP($A93, INDIRECT("DicR!$A$6:$ZZ$1048576"), MATCH(M$1, DicR!$6:$6, 0), FALSE),
            0
        )
)</f>
        <v>0</v>
      </c>
      <c r="N93" s="32">
        <f t="array" ref="N93">SUM(
    IFERROR(
            VLOOKUP($A93, INDIRECT("EneR!$A$6:$ZZ$1048576"), MATCH(N$1, EneR!$6:$6, 0), FALSE),
            0
        ) +
        IFERROR(
            VLOOKUP($A93, INDIRECT("FebR!$A$6:$ZZ$1048576"), MATCH(N$1, FebR!$6:$6, 0), FALSE),
            0
        ) +
        IFERROR(
            VLOOKUP($A93, INDIRECT("MarR!$A$6:$ZZ$1048576"), MATCH(N$1, MarR!$6:$6, 0), FALSE),
            0
        ) +
        IFERROR(
            VLOOKUP($A93, INDIRECT("AbrR!$A$6:$ZZ$1048576"), MATCH(N$1, AbrR!$6:$6, 0), FALSE),
            0
        ) +
        IFERROR(
            VLOOKUP($A93, INDIRECT("MayR!$A$6:$ZZ$1048576"), MATCH(N$1, MayR!$6:$6, 0), FALSE),
            0
        ) +
        IFERROR(
            VLOOKUP($A93, INDIRECT("JunR!$A$6:$ZZ$1048576"), MATCH(N$1, JunR!$6:$6, 0), FALSE),
            0
        ) +
        IFERROR(
            VLOOKUP($A93, INDIRECT("JulR!$A$6:$ZZ$1048576"), MATCH(N$1, JulR!$6:$6, 0), FALSE),
            0
        ) +
        IFERROR(
            VLOOKUP($A93, INDIRECT("AgoR!$A$6:$ZZ$1048576"), MATCH(N$1, AgoR!$6:$6, 0), FALSE),
            0
        ) +
        IFERROR(
            VLOOKUP($A93, INDIRECT("SepR!$A$6:$ZZ$1048576"), MATCH(N$1, SepR!$6:$6, 0), FALSE),
            0
        ) +
        IFERROR(
            VLOOKUP($A93, INDIRECT("OctR!$A$6:$ZZ$1048576"), MATCH(N$1, OctR!$6:$6, 0), FALSE),
            0
        ) +
        IFERROR(
            VLOOKUP($A93, INDIRECT("NovR!$A$6:$ZZ$1048576"), MATCH(N$1, NovR!$6:$6, 0), FALSE),
            0
        ) +
        IFERROR(
            VLOOKUP($A93, INDIRECT("DicR!$A$6:$ZZ$1048576"), MATCH(N$1, DicR!$6:$6, 0), FALSE),
            0
        )
)</f>
        <v>0</v>
      </c>
      <c r="O93" s="35">
        <f t="array" ref="O93">SUM(
    IFERROR(
            VLOOKUP($A93, INDIRECT("EneR!$A$6:$ZZ$1048576"), MATCH(O$1, EneR!$6:$6, 0), FALSE),
            0
        ) +
        IFERROR(
            VLOOKUP($A93, INDIRECT("FebR!$A$6:$ZZ$1048576"), MATCH(O$1, FebR!$6:$6, 0), FALSE),
            0
        ) +
        IFERROR(
            VLOOKUP($A93, INDIRECT("MarR!$A$6:$ZZ$1048576"), MATCH(O$1, MarR!$6:$6, 0), FALSE),
            0
        ) +
        IFERROR(
            VLOOKUP($A93, INDIRECT("AbrR!$A$6:$ZZ$1048576"), MATCH(O$1, AbrR!$6:$6, 0), FALSE),
            0
        ) +
        IFERROR(
            VLOOKUP($A93, INDIRECT("MayR!$A$6:$ZZ$1048576"), MATCH(O$1, MayR!$6:$6, 0), FALSE),
            0
        ) +
        IFERROR(
            VLOOKUP($A93, INDIRECT("JunR!$A$6:$ZZ$1048576"), MATCH(O$1, JunR!$6:$6, 0), FALSE),
            0
        ) +
        IFERROR(
            VLOOKUP($A93, INDIRECT("JulR!$A$6:$ZZ$1048576"), MATCH(O$1, JulR!$6:$6, 0), FALSE),
            0
        ) +
        IFERROR(
            VLOOKUP($A93, INDIRECT("AgoR!$A$6:$ZZ$1048576"), MATCH(O$1, AgoR!$6:$6, 0), FALSE),
            0
        ) +
        IFERROR(
            VLOOKUP($A93, INDIRECT("SepR!$A$6:$ZZ$1048576"), MATCH(O$1, SepR!$6:$6, 0), FALSE),
            0
        ) +
        IFERROR(
            VLOOKUP($A93, INDIRECT("OctR!$A$6:$ZZ$1048576"), MATCH(O$1, OctR!$6:$6, 0), FALSE),
            0
        ) +
        IFERROR(
            VLOOKUP($A93, INDIRECT("NovR!$A$6:$ZZ$1048576"), MATCH(O$1, NovR!$6:$6, 0), FALSE),
            0
        ) +
        IFERROR(
            VLOOKUP($A93, INDIRECT("DicR!$A$6:$ZZ$1048576"), MATCH(O$1, DicR!$6:$6, 0), FALSE),
            0
        )
)</f>
        <v>0</v>
      </c>
      <c r="P93" s="32">
        <f t="array" ref="P93">SUM(
    IFERROR(
            VLOOKUP($A93, INDIRECT("EneR!$A$6:$ZZ$1048576"), MATCH(P$1, EneR!$6:$6, 0), FALSE),
            0
        ) +
        IFERROR(
            VLOOKUP($A93, INDIRECT("FebR!$A$6:$ZZ$1048576"), MATCH(P$1, FebR!$6:$6, 0), FALSE),
            0
        ) +
        IFERROR(
            VLOOKUP($A93, INDIRECT("MarR!$A$6:$ZZ$1048576"), MATCH(P$1, MarR!$6:$6, 0), FALSE),
            0
        ) +
        IFERROR(
            VLOOKUP($A93, INDIRECT("AbrR!$A$6:$ZZ$1048576"), MATCH(P$1, AbrR!$6:$6, 0), FALSE),
            0
        ) +
        IFERROR(
            VLOOKUP($A93, INDIRECT("MayR!$A$6:$ZZ$1048576"), MATCH(P$1, MayR!$6:$6, 0), FALSE),
            0
        ) +
        IFERROR(
            VLOOKUP($A93, INDIRECT("JunR!$A$6:$ZZ$1048576"), MATCH(P$1, JunR!$6:$6, 0), FALSE),
            0
        ) +
        IFERROR(
            VLOOKUP($A93, INDIRECT("JulR!$A$6:$ZZ$1048576"), MATCH(P$1, JulR!$6:$6, 0), FALSE),
            0
        ) +
        IFERROR(
            VLOOKUP($A93, INDIRECT("AgoR!$A$6:$ZZ$1048576"), MATCH(P$1, AgoR!$6:$6, 0), FALSE),
            0
        ) +
        IFERROR(
            VLOOKUP($A93, INDIRECT("SepR!$A$6:$ZZ$1048576"), MATCH(P$1, SepR!$6:$6, 0), FALSE),
            0
        ) +
        IFERROR(
            VLOOKUP($A93, INDIRECT("OctR!$A$6:$ZZ$1048576"), MATCH(P$1, OctR!$6:$6, 0), FALSE),
            0
        ) +
        IFERROR(
            VLOOKUP($A93, INDIRECT("NovR!$A$6:$ZZ$1048576"), MATCH(P$1, NovR!$6:$6, 0), FALSE),
            0
        ) +
        IFERROR(
            VLOOKUP($A93, INDIRECT("DicR!$A$6:$ZZ$1048576"), MATCH(P$1, DicR!$6:$6, 0), FALSE),
            0
        )
)</f>
        <v>0</v>
      </c>
      <c r="Q93" s="35">
        <f t="array" ref="Q93">SUM(
    IFERROR(
            VLOOKUP($A93, INDIRECT("EneR!$A$6:$ZZ$1048576"), MATCH(Q$1, EneR!$6:$6, 0), FALSE),
            0
        ) +
        IFERROR(
            VLOOKUP($A93, INDIRECT("FebR!$A$6:$ZZ$1048576"), MATCH(Q$1, FebR!$6:$6, 0), FALSE),
            0
        ) +
        IFERROR(
            VLOOKUP($A93, INDIRECT("MarR!$A$6:$ZZ$1048576"), MATCH(Q$1, MarR!$6:$6, 0), FALSE),
            0
        ) +
        IFERROR(
            VLOOKUP($A93, INDIRECT("AbrR!$A$6:$ZZ$1048576"), MATCH(Q$1, AbrR!$6:$6, 0), FALSE),
            0
        ) +
        IFERROR(
            VLOOKUP($A93, INDIRECT("MayR!$A$6:$ZZ$1048576"), MATCH(Q$1, MayR!$6:$6, 0), FALSE),
            0
        ) +
        IFERROR(
            VLOOKUP($A93, INDIRECT("JunR!$A$6:$ZZ$1048576"), MATCH(Q$1, JunR!$6:$6, 0), FALSE),
            0
        ) +
        IFERROR(
            VLOOKUP($A93, INDIRECT("JulR!$A$6:$ZZ$1048576"), MATCH(Q$1, JulR!$6:$6, 0), FALSE),
            0
        ) +
        IFERROR(
            VLOOKUP($A93, INDIRECT("AgoR!$A$6:$ZZ$1048576"), MATCH(Q$1, AgoR!$6:$6, 0), FALSE),
            0
        ) +
        IFERROR(
            VLOOKUP($A93, INDIRECT("SepR!$A$6:$ZZ$1048576"), MATCH(Q$1, SepR!$6:$6, 0), FALSE),
            0
        ) +
        IFERROR(
            VLOOKUP($A93, INDIRECT("OctR!$A$6:$ZZ$1048576"), MATCH(Q$1, OctR!$6:$6, 0), FALSE),
            0
        ) +
        IFERROR(
            VLOOKUP($A93, INDIRECT("NovR!$A$6:$ZZ$1048576"), MATCH(Q$1, NovR!$6:$6, 0), FALSE),
            0
        ) +
        IFERROR(
            VLOOKUP($A93, INDIRECT("DicR!$A$6:$ZZ$1048576"), MATCH(Q$1, DicR!$6:$6, 0), FALSE),
            0
        )
)</f>
        <v>0</v>
      </c>
      <c r="R93" s="36">
        <f t="array" ref="R93">SUM(
    IFERROR(
            VLOOKUP($A93, INDIRECT("EneR!$A$6:$ZZ$1048576"), MATCH(R$1, EneR!$6:$6, 0), FALSE),
            0
        ) +
        IFERROR(
            VLOOKUP($A93, INDIRECT("FebR!$A$6:$ZZ$1048576"), MATCH(R$1, FebR!$6:$6, 0), FALSE),
            0
        ) +
        IFERROR(
            VLOOKUP($A93, INDIRECT("MarR!$A$6:$ZZ$1048576"), MATCH(R$1, MarR!$6:$6, 0), FALSE),
            0
        ) +
        IFERROR(
            VLOOKUP($A93, INDIRECT("AbrR!$A$6:$ZZ$1048576"), MATCH(R$1, AbrR!$6:$6, 0), FALSE),
            0
        ) +
        IFERROR(
            VLOOKUP($A93, INDIRECT("MayR!$A$6:$ZZ$1048576"), MATCH(R$1, MayR!$6:$6, 0), FALSE),
            0
        ) +
        IFERROR(
            VLOOKUP($A93, INDIRECT("JunR!$A$6:$ZZ$1048576"), MATCH(R$1, JunR!$6:$6, 0), FALSE),
            0
        ) +
        IFERROR(
            VLOOKUP($A93, INDIRECT("JulR!$A$6:$ZZ$1048576"), MATCH(R$1, JulR!$6:$6, 0), FALSE),
            0
        ) +
        IFERROR(
            VLOOKUP($A93, INDIRECT("AgoR!$A$6:$ZZ$1048576"), MATCH(R$1, AgoR!$6:$6, 0), FALSE),
            0
        ) +
        IFERROR(
            VLOOKUP($A93, INDIRECT("SepR!$A$6:$ZZ$1048576"), MATCH(R$1, SepR!$6:$6, 0), FALSE),
            0
        ) +
        IFERROR(
            VLOOKUP($A93, INDIRECT("OctR!$A$6:$ZZ$1048576"), MATCH(R$1, OctR!$6:$6, 0), FALSE),
            0
        ) +
        IFERROR(
            VLOOKUP($A93, INDIRECT("NovR!$A$6:$ZZ$1048576"), MATCH(R$1, NovR!$6:$6, 0), FALSE),
            0
        ) +
        IFERROR(
            VLOOKUP($A93, INDIRECT("DicR!$A$6:$ZZ$1048576"), MATCH(R$1, DicR!$6:$6, 0), FALSE),
            0
        )
)</f>
        <v>0</v>
      </c>
      <c r="S93" s="37">
        <f t="array" ref="S93">SUM(
    IFERROR(
            VLOOKUP($A93, INDIRECT("EneR!$A$6:$ZZ$1048576"), MATCH(S$1, EneR!$6:$6, 0), FALSE),
            0
        ) +
        IFERROR(
            VLOOKUP($A93, INDIRECT("FebR!$A$6:$ZZ$1048576"), MATCH(S$1, FebR!$6:$6, 0), FALSE),
            0
        ) +
        IFERROR(
            VLOOKUP($A93, INDIRECT("MarR!$A$6:$ZZ$1048576"), MATCH(S$1, MarR!$6:$6, 0), FALSE),
            0
        ) +
        IFERROR(
            VLOOKUP($A93, INDIRECT("AbrR!$A$6:$ZZ$1048576"), MATCH(S$1, AbrR!$6:$6, 0), FALSE),
            0
        ) +
        IFERROR(
            VLOOKUP($A93, INDIRECT("MayR!$A$6:$ZZ$1048576"), MATCH(S$1, MayR!$6:$6, 0), FALSE),
            0
        ) +
        IFERROR(
            VLOOKUP($A93, INDIRECT("JunR!$A$6:$ZZ$1048576"), MATCH(S$1, JunR!$6:$6, 0), FALSE),
            0
        ) +
        IFERROR(
            VLOOKUP($A93, INDIRECT("JulR!$A$6:$ZZ$1048576"), MATCH(S$1, JulR!$6:$6, 0), FALSE),
            0
        ) +
        IFERROR(
            VLOOKUP($A93, INDIRECT("AgoR!$A$6:$ZZ$1048576"), MATCH(S$1, AgoR!$6:$6, 0), FALSE),
            0
        ) +
        IFERROR(
            VLOOKUP($A93, INDIRECT("SepR!$A$6:$ZZ$1048576"), MATCH(S$1, SepR!$6:$6, 0), FALSE),
            0
        ) +
        IFERROR(
            VLOOKUP($A93, INDIRECT("OctR!$A$6:$ZZ$1048576"), MATCH(S$1, OctR!$6:$6, 0), FALSE),
            0
        ) +
        IFERROR(
            VLOOKUP($A93, INDIRECT("NovR!$A$6:$ZZ$1048576"), MATCH(S$1, NovR!$6:$6, 0), FALSE),
            0
        ) +
        IFERROR(
            VLOOKUP($A93, INDIRECT("DicR!$A$6:$ZZ$1048576"), MATCH(S$1, DicR!$6:$6, 0), FALSE),
            0
        )
)</f>
        <v>0</v>
      </c>
      <c r="T93" s="36">
        <f t="array" ref="T93">SUM(
    IFERROR(
            VLOOKUP($A93, INDIRECT("EneR!$A$6:$ZZ$1048576"), MATCH(T$1, EneR!$6:$6, 0), FALSE),
            0
        ) +
        IFERROR(
            VLOOKUP($A93, INDIRECT("FebR!$A$6:$ZZ$1048576"), MATCH(T$1, FebR!$6:$6, 0), FALSE),
            0
        ) +
        IFERROR(
            VLOOKUP($A93, INDIRECT("MarR!$A$6:$ZZ$1048576"), MATCH(T$1, MarR!$6:$6, 0), FALSE),
            0
        ) +
        IFERROR(
            VLOOKUP($A93, INDIRECT("AbrR!$A$6:$ZZ$1048576"), MATCH(T$1, AbrR!$6:$6, 0), FALSE),
            0
        ) +
        IFERROR(
            VLOOKUP($A93, INDIRECT("MayR!$A$6:$ZZ$1048576"), MATCH(T$1, MayR!$6:$6, 0), FALSE),
            0
        ) +
        IFERROR(
            VLOOKUP($A93, INDIRECT("JunR!$A$6:$ZZ$1048576"), MATCH(T$1, JunR!$6:$6, 0), FALSE),
            0
        ) +
        IFERROR(
            VLOOKUP($A93, INDIRECT("JulR!$A$6:$ZZ$1048576"), MATCH(T$1, JulR!$6:$6, 0), FALSE),
            0
        ) +
        IFERROR(
            VLOOKUP($A93, INDIRECT("AgoR!$A$6:$ZZ$1048576"), MATCH(T$1, AgoR!$6:$6, 0), FALSE),
            0
        ) +
        IFERROR(
            VLOOKUP($A93, INDIRECT("SepR!$A$6:$ZZ$1048576"), MATCH(T$1, SepR!$6:$6, 0), FALSE),
            0
        ) +
        IFERROR(
            VLOOKUP($A93, INDIRECT("OctR!$A$6:$ZZ$1048576"), MATCH(T$1, OctR!$6:$6, 0), FALSE),
            0
        ) +
        IFERROR(
            VLOOKUP($A93, INDIRECT("NovR!$A$6:$ZZ$1048576"), MATCH(T$1, NovR!$6:$6, 0), FALSE),
            0
        ) +
        IFERROR(
            VLOOKUP($A93, INDIRECT("DicR!$A$6:$ZZ$1048576"), MATCH(T$1, DicR!$6:$6, 0), FALSE),
            0
        )
)</f>
        <v>0</v>
      </c>
      <c r="U93" s="37">
        <f t="array" ref="U93">SUM(
    IFERROR(
            VLOOKUP($A93, INDIRECT("EneR!$A$6:$ZZ$1048576"), MATCH(U$1, EneR!$6:$6, 0), FALSE),
            0
        ) +
        IFERROR(
            VLOOKUP($A93, INDIRECT("FebR!$A$6:$ZZ$1048576"), MATCH(U$1, FebR!$6:$6, 0), FALSE),
            0
        ) +
        IFERROR(
            VLOOKUP($A93, INDIRECT("MarR!$A$6:$ZZ$1048576"), MATCH(U$1, MarR!$6:$6, 0), FALSE),
            0
        ) +
        IFERROR(
            VLOOKUP($A93, INDIRECT("AbrR!$A$6:$ZZ$1048576"), MATCH(U$1, AbrR!$6:$6, 0), FALSE),
            0
        ) +
        IFERROR(
            VLOOKUP($A93, INDIRECT("MayR!$A$6:$ZZ$1048576"), MATCH(U$1, MayR!$6:$6, 0), FALSE),
            0
        ) +
        IFERROR(
            VLOOKUP($A93, INDIRECT("JunR!$A$6:$ZZ$1048576"), MATCH(U$1, JunR!$6:$6, 0), FALSE),
            0
        ) +
        IFERROR(
            VLOOKUP($A93, INDIRECT("JulR!$A$6:$ZZ$1048576"), MATCH(U$1, JulR!$6:$6, 0), FALSE),
            0
        ) +
        IFERROR(
            VLOOKUP($A93, INDIRECT("AgoR!$A$6:$ZZ$1048576"), MATCH(U$1, AgoR!$6:$6, 0), FALSE),
            0
        ) +
        IFERROR(
            VLOOKUP($A93, INDIRECT("SepR!$A$6:$ZZ$1048576"), MATCH(U$1, SepR!$6:$6, 0), FALSE),
            0
        ) +
        IFERROR(
            VLOOKUP($A93, INDIRECT("OctR!$A$6:$ZZ$1048576"), MATCH(U$1, OctR!$6:$6, 0), FALSE),
            0
        ) +
        IFERROR(
            VLOOKUP($A93, INDIRECT("NovR!$A$6:$ZZ$1048576"), MATCH(U$1, NovR!$6:$6, 0), FALSE),
            0
        ) +
        IFERROR(
            VLOOKUP($A93, INDIRECT("DicR!$A$6:$ZZ$1048576"), MATCH(U$1, DicR!$6:$6, 0), FALSE),
            0
        )
)</f>
        <v>0</v>
      </c>
      <c r="V93" s="36">
        <f t="array" ref="V93">SUM(
    IFERROR(
            VLOOKUP($A93, INDIRECT("EneR!$A$6:$ZZ$1048576"), MATCH(V$1, EneR!$6:$6, 0), FALSE),
            0
        ) +
        IFERROR(
            VLOOKUP($A93, INDIRECT("FebR!$A$6:$ZZ$1048576"), MATCH(V$1, FebR!$6:$6, 0), FALSE),
            0
        ) +
        IFERROR(
            VLOOKUP($A93, INDIRECT("MarR!$A$6:$ZZ$1048576"), MATCH(V$1, MarR!$6:$6, 0), FALSE),
            0
        ) +
        IFERROR(
            VLOOKUP($A93, INDIRECT("AbrR!$A$6:$ZZ$1048576"), MATCH(V$1, AbrR!$6:$6, 0), FALSE),
            0
        ) +
        IFERROR(
            VLOOKUP($A93, INDIRECT("MayR!$A$6:$ZZ$1048576"), MATCH(V$1, MayR!$6:$6, 0), FALSE),
            0
        ) +
        IFERROR(
            VLOOKUP($A93, INDIRECT("JunR!$A$6:$ZZ$1048576"), MATCH(V$1, JunR!$6:$6, 0), FALSE),
            0
        ) +
        IFERROR(
            VLOOKUP($A93, INDIRECT("JulR!$A$6:$ZZ$1048576"), MATCH(V$1, JulR!$6:$6, 0), FALSE),
            0
        ) +
        IFERROR(
            VLOOKUP($A93, INDIRECT("AgoR!$A$6:$ZZ$1048576"), MATCH(V$1, AgoR!$6:$6, 0), FALSE),
            0
        ) +
        IFERROR(
            VLOOKUP($A93, INDIRECT("SepR!$A$6:$ZZ$1048576"), MATCH(V$1, SepR!$6:$6, 0), FALSE),
            0
        ) +
        IFERROR(
            VLOOKUP($A93, INDIRECT("OctR!$A$6:$ZZ$1048576"), MATCH(V$1, OctR!$6:$6, 0), FALSE),
            0
        ) +
        IFERROR(
            VLOOKUP($A93, INDIRECT("NovR!$A$6:$ZZ$1048576"), MATCH(V$1, NovR!$6:$6, 0), FALSE),
            0
        ) +
        IFERROR(
            VLOOKUP($A93, INDIRECT("DicR!$A$6:$ZZ$1048576"), MATCH(V$1, DicR!$6:$6, 0), FALSE),
            0
        )
)</f>
        <v>0</v>
      </c>
      <c r="W93" s="37">
        <f t="array" ref="W93">SUM(
    IFERROR(
            VLOOKUP($A93, INDIRECT("EneR!$A$6:$ZZ$1048576"), MATCH(W$1, EneR!$6:$6, 0), FALSE),
            0
        ) +
        IFERROR(
            VLOOKUP($A93, INDIRECT("FebR!$A$6:$ZZ$1048576"), MATCH(W$1, FebR!$6:$6, 0), FALSE),
            0
        ) +
        IFERROR(
            VLOOKUP($A93, INDIRECT("MarR!$A$6:$ZZ$1048576"), MATCH(W$1, MarR!$6:$6, 0), FALSE),
            0
        ) +
        IFERROR(
            VLOOKUP($A93, INDIRECT("AbrR!$A$6:$ZZ$1048576"), MATCH(W$1, AbrR!$6:$6, 0), FALSE),
            0
        ) +
        IFERROR(
            VLOOKUP($A93, INDIRECT("MayR!$A$6:$ZZ$1048576"), MATCH(W$1, MayR!$6:$6, 0), FALSE),
            0
        ) +
        IFERROR(
            VLOOKUP($A93, INDIRECT("JunR!$A$6:$ZZ$1048576"), MATCH(W$1, JunR!$6:$6, 0), FALSE),
            0
        ) +
        IFERROR(
            VLOOKUP($A93, INDIRECT("JulR!$A$6:$ZZ$1048576"), MATCH(W$1, JulR!$6:$6, 0), FALSE),
            0
        ) +
        IFERROR(
            VLOOKUP($A93, INDIRECT("AgoR!$A$6:$ZZ$1048576"), MATCH(W$1, AgoR!$6:$6, 0), FALSE),
            0
        ) +
        IFERROR(
            VLOOKUP($A93, INDIRECT("SepR!$A$6:$ZZ$1048576"), MATCH(W$1, SepR!$6:$6, 0), FALSE),
            0
        ) +
        IFERROR(
            VLOOKUP($A93, INDIRECT("OctR!$A$6:$ZZ$1048576"), MATCH(W$1, OctR!$6:$6, 0), FALSE),
            0
        ) +
        IFERROR(
            VLOOKUP($A93, INDIRECT("NovR!$A$6:$ZZ$1048576"), MATCH(W$1, NovR!$6:$6, 0), FALSE),
            0
        ) +
        IFERROR(
            VLOOKUP($A93, INDIRECT("DicR!$A$6:$ZZ$1048576"), MATCH(W$1, DicR!$6:$6, 0), FALSE),
            0
        )
)</f>
        <v>0</v>
      </c>
      <c r="X93" s="36">
        <f t="array" ref="X93">SUM(
    IFERROR(
            VLOOKUP($A93, INDIRECT("EneR!$A$6:$ZZ$1048576"), MATCH(X$1, EneR!$6:$6, 0), FALSE),
            0
        ) +
        IFERROR(
            VLOOKUP($A93, INDIRECT("FebR!$A$6:$ZZ$1048576"), MATCH(X$1, FebR!$6:$6, 0), FALSE),
            0
        ) +
        IFERROR(
            VLOOKUP($A93, INDIRECT("MarR!$A$6:$ZZ$1048576"), MATCH(X$1, MarR!$6:$6, 0), FALSE),
            0
        ) +
        IFERROR(
            VLOOKUP($A93, INDIRECT("AbrR!$A$6:$ZZ$1048576"), MATCH(X$1, AbrR!$6:$6, 0), FALSE),
            0
        ) +
        IFERROR(
            VLOOKUP($A93, INDIRECT("MayR!$A$6:$ZZ$1048576"), MATCH(X$1, MayR!$6:$6, 0), FALSE),
            0
        ) +
        IFERROR(
            VLOOKUP($A93, INDIRECT("JunR!$A$6:$ZZ$1048576"), MATCH(X$1, JunR!$6:$6, 0), FALSE),
            0
        ) +
        IFERROR(
            VLOOKUP($A93, INDIRECT("JulR!$A$6:$ZZ$1048576"), MATCH(X$1, JulR!$6:$6, 0), FALSE),
            0
        ) +
        IFERROR(
            VLOOKUP($A93, INDIRECT("AgoR!$A$6:$ZZ$1048576"), MATCH(X$1, AgoR!$6:$6, 0), FALSE),
            0
        ) +
        IFERROR(
            VLOOKUP($A93, INDIRECT("SepR!$A$6:$ZZ$1048576"), MATCH(X$1, SepR!$6:$6, 0), FALSE),
            0
        ) +
        IFERROR(
            VLOOKUP($A93, INDIRECT("OctR!$A$6:$ZZ$1048576"), MATCH(X$1, OctR!$6:$6, 0), FALSE),
            0
        ) +
        IFERROR(
            VLOOKUP($A93, INDIRECT("NovR!$A$6:$ZZ$1048576"), MATCH(X$1, NovR!$6:$6, 0), FALSE),
            0
        ) +
        IFERROR(
            VLOOKUP($A93, INDIRECT("DicR!$A$6:$ZZ$1048576"), MATCH(X$1, DicR!$6:$6, 0), FALSE),
            0
        )
)</f>
        <v>0</v>
      </c>
      <c r="Y93" s="37">
        <f t="array" ref="Y93">SUM(
    IFERROR(
            VLOOKUP($A93, INDIRECT("EneR!$A$6:$ZZ$1048576"), MATCH(Y$1, EneR!$6:$6, 0), FALSE),
            0
        ) +
        IFERROR(
            VLOOKUP($A93, INDIRECT("FebR!$A$6:$ZZ$1048576"), MATCH(Y$1, FebR!$6:$6, 0), FALSE),
            0
        ) +
        IFERROR(
            VLOOKUP($A93, INDIRECT("MarR!$A$6:$ZZ$1048576"), MATCH(Y$1, MarR!$6:$6, 0), FALSE),
            0
        ) +
        IFERROR(
            VLOOKUP($A93, INDIRECT("AbrR!$A$6:$ZZ$1048576"), MATCH(Y$1, AbrR!$6:$6, 0), FALSE),
            0
        ) +
        IFERROR(
            VLOOKUP($A93, INDIRECT("MayR!$A$6:$ZZ$1048576"), MATCH(Y$1, MayR!$6:$6, 0), FALSE),
            0
        ) +
        IFERROR(
            VLOOKUP($A93, INDIRECT("JunR!$A$6:$ZZ$1048576"), MATCH(Y$1, JunR!$6:$6, 0), FALSE),
            0
        ) +
        IFERROR(
            VLOOKUP($A93, INDIRECT("JulR!$A$6:$ZZ$1048576"), MATCH(Y$1, JulR!$6:$6, 0), FALSE),
            0
        ) +
        IFERROR(
            VLOOKUP($A93, INDIRECT("AgoR!$A$6:$ZZ$1048576"), MATCH(Y$1, AgoR!$6:$6, 0), FALSE),
            0
        ) +
        IFERROR(
            VLOOKUP($A93, INDIRECT("SepR!$A$6:$ZZ$1048576"), MATCH(Y$1, SepR!$6:$6, 0), FALSE),
            0
        ) +
        IFERROR(
            VLOOKUP($A93, INDIRECT("OctR!$A$6:$ZZ$1048576"), MATCH(Y$1, OctR!$6:$6, 0), FALSE),
            0
        ) +
        IFERROR(
            VLOOKUP($A93, INDIRECT("NovR!$A$6:$ZZ$1048576"), MATCH(Y$1, NovR!$6:$6, 0), FALSE),
            0
        ) +
        IFERROR(
            VLOOKUP($A93, INDIRECT("DicR!$A$6:$ZZ$1048576"), MATCH(Y$1, DicR!$6:$6, 0), FALSE),
            0
        )
)</f>
        <v>0</v>
      </c>
      <c r="Z93" s="36">
        <f t="array" ref="Z93">SUM(
    IFERROR(
            VLOOKUP($A93, INDIRECT("EneR!$A$6:$ZZ$1048576"), MATCH(Z$1, EneR!$6:$6, 0), FALSE),
            0
        ) +
        IFERROR(
            VLOOKUP($A93, INDIRECT("FebR!$A$6:$ZZ$1048576"), MATCH(Z$1, FebR!$6:$6, 0), FALSE),
            0
        ) +
        IFERROR(
            VLOOKUP($A93, INDIRECT("MarR!$A$6:$ZZ$1048576"), MATCH(Z$1, MarR!$6:$6, 0), FALSE),
            0
        ) +
        IFERROR(
            VLOOKUP($A93, INDIRECT("AbrR!$A$6:$ZZ$1048576"), MATCH(Z$1, AbrR!$6:$6, 0), FALSE),
            0
        ) +
        IFERROR(
            VLOOKUP($A93, INDIRECT("MayR!$A$6:$ZZ$1048576"), MATCH(Z$1, MayR!$6:$6, 0), FALSE),
            0
        ) +
        IFERROR(
            VLOOKUP($A93, INDIRECT("JunR!$A$6:$ZZ$1048576"), MATCH(Z$1, JunR!$6:$6, 0), FALSE),
            0
        ) +
        IFERROR(
            VLOOKUP($A93, INDIRECT("JulR!$A$6:$ZZ$1048576"), MATCH(Z$1, JulR!$6:$6, 0), FALSE),
            0
        ) +
        IFERROR(
            VLOOKUP($A93, INDIRECT("AgoR!$A$6:$ZZ$1048576"), MATCH(Z$1, AgoR!$6:$6, 0), FALSE),
            0
        ) +
        IFERROR(
            VLOOKUP($A93, INDIRECT("SepR!$A$6:$ZZ$1048576"), MATCH(Z$1, SepR!$6:$6, 0), FALSE),
            0
        ) +
        IFERROR(
            VLOOKUP($A93, INDIRECT("OctR!$A$6:$ZZ$1048576"), MATCH(Z$1, OctR!$6:$6, 0), FALSE),
            0
        ) +
        IFERROR(
            VLOOKUP($A93, INDIRECT("NovR!$A$6:$ZZ$1048576"), MATCH(Z$1, NovR!$6:$6, 0), FALSE),
            0
        ) +
        IFERROR(
            VLOOKUP($A93, INDIRECT("DicR!$A$6:$ZZ$1048576"), MATCH(Z$1, DicR!$6:$6, 0), FALSE),
            0
        )
)</f>
        <v>0</v>
      </c>
      <c r="AA93" s="37">
        <f t="array" ref="AA93">SUM(
    IFERROR(
            VLOOKUP($A93, INDIRECT("EneR!$A$6:$ZZ$1048576"), MATCH(AA$1, EneR!$6:$6, 0), FALSE),
            0
        ) +
        IFERROR(
            VLOOKUP($A93, INDIRECT("FebR!$A$6:$ZZ$1048576"), MATCH(AA$1, FebR!$6:$6, 0), FALSE),
            0
        ) +
        IFERROR(
            VLOOKUP($A93, INDIRECT("MarR!$A$6:$ZZ$1048576"), MATCH(AA$1, MarR!$6:$6, 0), FALSE),
            0
        ) +
        IFERROR(
            VLOOKUP($A93, INDIRECT("AbrR!$A$6:$ZZ$1048576"), MATCH(AA$1, AbrR!$6:$6, 0), FALSE),
            0
        ) +
        IFERROR(
            VLOOKUP($A93, INDIRECT("MayR!$A$6:$ZZ$1048576"), MATCH(AA$1, MayR!$6:$6, 0), FALSE),
            0
        ) +
        IFERROR(
            VLOOKUP($A93, INDIRECT("JunR!$A$6:$ZZ$1048576"), MATCH(AA$1, JunR!$6:$6, 0), FALSE),
            0
        ) +
        IFERROR(
            VLOOKUP($A93, INDIRECT("JulR!$A$6:$ZZ$1048576"), MATCH(AA$1, JulR!$6:$6, 0), FALSE),
            0
        ) +
        IFERROR(
            VLOOKUP($A93, INDIRECT("AgoR!$A$6:$ZZ$1048576"), MATCH(AA$1, AgoR!$6:$6, 0), FALSE),
            0
        ) +
        IFERROR(
            VLOOKUP($A93, INDIRECT("SepR!$A$6:$ZZ$1048576"), MATCH(AA$1, SepR!$6:$6, 0), FALSE),
            0
        ) +
        IFERROR(
            VLOOKUP($A93, INDIRECT("OctR!$A$6:$ZZ$1048576"), MATCH(AA$1, OctR!$6:$6, 0), FALSE),
            0
        ) +
        IFERROR(
            VLOOKUP($A93, INDIRECT("NovR!$A$6:$ZZ$1048576"), MATCH(AA$1, NovR!$6:$6, 0), FALSE),
            0
        ) +
        IFERROR(
            VLOOKUP($A93, INDIRECT("DicR!$A$6:$ZZ$1048576"), MATCH(AA$1, DicR!$6:$6, 0), FALSE),
            0
        )
)</f>
        <v>0</v>
      </c>
      <c r="AB93" s="36">
        <f t="array" ref="AB93">SUM(
    IFERROR(
            VLOOKUP($A93, INDIRECT("EneR!$A$6:$ZZ$1048576"), MATCH(AB$1, EneR!$6:$6, 0), FALSE),
            0
        ) +
        IFERROR(
            VLOOKUP($A93, INDIRECT("FebR!$A$6:$ZZ$1048576"), MATCH(AB$1, FebR!$6:$6, 0), FALSE),
            0
        ) +
        IFERROR(
            VLOOKUP($A93, INDIRECT("MarR!$A$6:$ZZ$1048576"), MATCH(AB$1, MarR!$6:$6, 0), FALSE),
            0
        ) +
        IFERROR(
            VLOOKUP($A93, INDIRECT("AbrR!$A$6:$ZZ$1048576"), MATCH(AB$1, AbrR!$6:$6, 0), FALSE),
            0
        ) +
        IFERROR(
            VLOOKUP($A93, INDIRECT("MayR!$A$6:$ZZ$1048576"), MATCH(AB$1, MayR!$6:$6, 0), FALSE),
            0
        ) +
        IFERROR(
            VLOOKUP($A93, INDIRECT("JunR!$A$6:$ZZ$1048576"), MATCH(AB$1, JunR!$6:$6, 0), FALSE),
            0
        ) +
        IFERROR(
            VLOOKUP($A93, INDIRECT("JulR!$A$6:$ZZ$1048576"), MATCH(AB$1, JulR!$6:$6, 0), FALSE),
            0
        ) +
        IFERROR(
            VLOOKUP($A93, INDIRECT("AgoR!$A$6:$ZZ$1048576"), MATCH(AB$1, AgoR!$6:$6, 0), FALSE),
            0
        ) +
        IFERROR(
            VLOOKUP($A93, INDIRECT("SepR!$A$6:$ZZ$1048576"), MATCH(AB$1, SepR!$6:$6, 0), FALSE),
            0
        ) +
        IFERROR(
            VLOOKUP($A93, INDIRECT("OctR!$A$6:$ZZ$1048576"), MATCH(AB$1, OctR!$6:$6, 0), FALSE),
            0
        ) +
        IFERROR(
            VLOOKUP($A93, INDIRECT("NovR!$A$6:$ZZ$1048576"), MATCH(AB$1, NovR!$6:$6, 0), FALSE),
            0
        ) +
        IFERROR(
            VLOOKUP($A93, INDIRECT("DicR!$A$6:$ZZ$1048576"), MATCH(AB$1, DicR!$6:$6, 0), FALSE),
            0
        )
)</f>
        <v>0</v>
      </c>
      <c r="AC93" s="37">
        <f t="array" ref="AC93">SUM(
    IFERROR(
            VLOOKUP($A93, INDIRECT("EneR!$A$6:$ZZ$1048576"), MATCH(AC$1, EneR!$6:$6, 0), FALSE),
            0
        ) +
        IFERROR(
            VLOOKUP($A93, INDIRECT("FebR!$A$6:$ZZ$1048576"), MATCH(AC$1, FebR!$6:$6, 0), FALSE),
            0
        ) +
        IFERROR(
            VLOOKUP($A93, INDIRECT("MarR!$A$6:$ZZ$1048576"), MATCH(AC$1, MarR!$6:$6, 0), FALSE),
            0
        ) +
        IFERROR(
            VLOOKUP($A93, INDIRECT("AbrR!$A$6:$ZZ$1048576"), MATCH(AC$1, AbrR!$6:$6, 0), FALSE),
            0
        ) +
        IFERROR(
            VLOOKUP($A93, INDIRECT("MayR!$A$6:$ZZ$1048576"), MATCH(AC$1, MayR!$6:$6, 0), FALSE),
            0
        ) +
        IFERROR(
            VLOOKUP($A93, INDIRECT("JunR!$A$6:$ZZ$1048576"), MATCH(AC$1, JunR!$6:$6, 0), FALSE),
            0
        ) +
        IFERROR(
            VLOOKUP($A93, INDIRECT("JulR!$A$6:$ZZ$1048576"), MATCH(AC$1, JulR!$6:$6, 0), FALSE),
            0
        ) +
        IFERROR(
            VLOOKUP($A93, INDIRECT("AgoR!$A$6:$ZZ$1048576"), MATCH(AC$1, AgoR!$6:$6, 0), FALSE),
            0
        ) +
        IFERROR(
            VLOOKUP($A93, INDIRECT("SepR!$A$6:$ZZ$1048576"), MATCH(AC$1, SepR!$6:$6, 0), FALSE),
            0
        ) +
        IFERROR(
            VLOOKUP($A93, INDIRECT("OctR!$A$6:$ZZ$1048576"), MATCH(AC$1, OctR!$6:$6, 0), FALSE),
            0
        ) +
        IFERROR(
            VLOOKUP($A93, INDIRECT("NovR!$A$6:$ZZ$1048576"), MATCH(AC$1, NovR!$6:$6, 0), FALSE),
            0
        ) +
        IFERROR(
            VLOOKUP($A93, INDIRECT("DicR!$A$6:$ZZ$1048576"), MATCH(AC$1, DicR!$6:$6, 0), FALSE),
            0
        )
)</f>
        <v>0</v>
      </c>
      <c r="AD93" s="36">
        <f t="array" ref="AD93">SUM(
    IFERROR(
            VLOOKUP($A93, INDIRECT("EneR!$A$6:$ZZ$1048576"), MATCH(AD$1, EneR!$6:$6, 0), FALSE),
            0
        ) +
        IFERROR(
            VLOOKUP($A93, INDIRECT("FebR!$A$6:$ZZ$1048576"), MATCH(AD$1, FebR!$6:$6, 0), FALSE),
            0
        ) +
        IFERROR(
            VLOOKUP($A93, INDIRECT("MarR!$A$6:$ZZ$1048576"), MATCH(AD$1, MarR!$6:$6, 0), FALSE),
            0
        ) +
        IFERROR(
            VLOOKUP($A93, INDIRECT("AbrR!$A$6:$ZZ$1048576"), MATCH(AD$1, AbrR!$6:$6, 0), FALSE),
            0
        ) +
        IFERROR(
            VLOOKUP($A93, INDIRECT("MayR!$A$6:$ZZ$1048576"), MATCH(AD$1, MayR!$6:$6, 0), FALSE),
            0
        ) +
        IFERROR(
            VLOOKUP($A93, INDIRECT("JunR!$A$6:$ZZ$1048576"), MATCH(AD$1, JunR!$6:$6, 0), FALSE),
            0
        ) +
        IFERROR(
            VLOOKUP($A93, INDIRECT("JulR!$A$6:$ZZ$1048576"), MATCH(AD$1, JulR!$6:$6, 0), FALSE),
            0
        ) +
        IFERROR(
            VLOOKUP($A93, INDIRECT("AgoR!$A$6:$ZZ$1048576"), MATCH(AD$1, AgoR!$6:$6, 0), FALSE),
            0
        ) +
        IFERROR(
            VLOOKUP($A93, INDIRECT("SepR!$A$6:$ZZ$1048576"), MATCH(AD$1, SepR!$6:$6, 0), FALSE),
            0
        ) +
        IFERROR(
            VLOOKUP($A93, INDIRECT("OctR!$A$6:$ZZ$1048576"), MATCH(AD$1, OctR!$6:$6, 0), FALSE),
            0
        ) +
        IFERROR(
            VLOOKUP($A93, INDIRECT("NovR!$A$6:$ZZ$1048576"), MATCH(AD$1, NovR!$6:$6, 0), FALSE),
            0
        ) +
        IFERROR(
            VLOOKUP($A93, INDIRECT("DicR!$A$6:$ZZ$1048576"), MATCH(AD$1, DicR!$6:$6, 0), FALSE),
            0
        )
)</f>
        <v>0</v>
      </c>
      <c r="AE93" s="37">
        <f t="array" ref="AE93">SUM(
    IFERROR(
            VLOOKUP($A93, INDIRECT("EneR!$A$6:$ZZ$1048576"), MATCH(AE$1, EneR!$6:$6, 0), FALSE),
            0
        ) +
        IFERROR(
            VLOOKUP($A93, INDIRECT("FebR!$A$6:$ZZ$1048576"), MATCH(AE$1, FebR!$6:$6, 0), FALSE),
            0
        ) +
        IFERROR(
            VLOOKUP($A93, INDIRECT("MarR!$A$6:$ZZ$1048576"), MATCH(AE$1, MarR!$6:$6, 0), FALSE),
            0
        ) +
        IFERROR(
            VLOOKUP($A93, INDIRECT("AbrR!$A$6:$ZZ$1048576"), MATCH(AE$1, AbrR!$6:$6, 0), FALSE),
            0
        ) +
        IFERROR(
            VLOOKUP($A93, INDIRECT("MayR!$A$6:$ZZ$1048576"), MATCH(AE$1, MayR!$6:$6, 0), FALSE),
            0
        ) +
        IFERROR(
            VLOOKUP($A93, INDIRECT("JunR!$A$6:$ZZ$1048576"), MATCH(AE$1, JunR!$6:$6, 0), FALSE),
            0
        ) +
        IFERROR(
            VLOOKUP($A93, INDIRECT("JulR!$A$6:$ZZ$1048576"), MATCH(AE$1, JulR!$6:$6, 0), FALSE),
            0
        ) +
        IFERROR(
            VLOOKUP($A93, INDIRECT("AgoR!$A$6:$ZZ$1048576"), MATCH(AE$1, AgoR!$6:$6, 0), FALSE),
            0
        ) +
        IFERROR(
            VLOOKUP($A93, INDIRECT("SepR!$A$6:$ZZ$1048576"), MATCH(AE$1, SepR!$6:$6, 0), FALSE),
            0
        ) +
        IFERROR(
            VLOOKUP($A93, INDIRECT("OctR!$A$6:$ZZ$1048576"), MATCH(AE$1, OctR!$6:$6, 0), FALSE),
            0
        ) +
        IFERROR(
            VLOOKUP($A93, INDIRECT("NovR!$A$6:$ZZ$1048576"), MATCH(AE$1, NovR!$6:$6, 0), FALSE),
            0
        ) +
        IFERROR(
            VLOOKUP($A93, INDIRECT("DicR!$A$6:$ZZ$1048576"), MATCH(AE$1, DicR!$6:$6, 0), FALSE),
            0
        )
)</f>
        <v>0</v>
      </c>
      <c r="AF93" s="36">
        <f t="array" ref="AF93">SUM(
    IFERROR(
            VLOOKUP($A93, INDIRECT("EneR!$A$6:$ZZ$1048576"), MATCH(AF$1, EneR!$6:$6, 0), FALSE),
            0
        ) +
        IFERROR(
            VLOOKUP($A93, INDIRECT("FebR!$A$6:$ZZ$1048576"), MATCH(AF$1, FebR!$6:$6, 0), FALSE),
            0
        ) +
        IFERROR(
            VLOOKUP($A93, INDIRECT("MarR!$A$6:$ZZ$1048576"), MATCH(AF$1, MarR!$6:$6, 0), FALSE),
            0
        ) +
        IFERROR(
            VLOOKUP($A93, INDIRECT("AbrR!$A$6:$ZZ$1048576"), MATCH(AF$1, AbrR!$6:$6, 0), FALSE),
            0
        ) +
        IFERROR(
            VLOOKUP($A93, INDIRECT("MayR!$A$6:$ZZ$1048576"), MATCH(AF$1, MayR!$6:$6, 0), FALSE),
            0
        ) +
        IFERROR(
            VLOOKUP($A93, INDIRECT("JunR!$A$6:$ZZ$1048576"), MATCH(AF$1, JunR!$6:$6, 0), FALSE),
            0
        ) +
        IFERROR(
            VLOOKUP($A93, INDIRECT("JulR!$A$6:$ZZ$1048576"), MATCH(AF$1, JulR!$6:$6, 0), FALSE),
            0
        ) +
        IFERROR(
            VLOOKUP($A93, INDIRECT("AgoR!$A$6:$ZZ$1048576"), MATCH(AF$1, AgoR!$6:$6, 0), FALSE),
            0
        ) +
        IFERROR(
            VLOOKUP($A93, INDIRECT("SepR!$A$6:$ZZ$1048576"), MATCH(AF$1, SepR!$6:$6, 0), FALSE),
            0
        ) +
        IFERROR(
            VLOOKUP($A93, INDIRECT("OctR!$A$6:$ZZ$1048576"), MATCH(AF$1, OctR!$6:$6, 0), FALSE),
            0
        ) +
        IFERROR(
            VLOOKUP($A93, INDIRECT("NovR!$A$6:$ZZ$1048576"), MATCH(AF$1, NovR!$6:$6, 0), FALSE),
            0
        ) +
        IFERROR(
            VLOOKUP($A93, INDIRECT("DicR!$A$6:$ZZ$1048576"), MATCH(AF$1, DicR!$6:$6, 0), FALSE),
            0
        )
)</f>
        <v>0</v>
      </c>
      <c r="AG93" s="37">
        <f t="array" ref="AG93">SUM(
    IFERROR(
            VLOOKUP($A93, INDIRECT("EneR!$A$6:$ZZ$1048576"), MATCH(AG$1, EneR!$6:$6, 0), FALSE),
            0
        ) +
        IFERROR(
            VLOOKUP($A93, INDIRECT("FebR!$A$6:$ZZ$1048576"), MATCH(AG$1, FebR!$6:$6, 0), FALSE),
            0
        ) +
        IFERROR(
            VLOOKUP($A93, INDIRECT("MarR!$A$6:$ZZ$1048576"), MATCH(AG$1, MarR!$6:$6, 0), FALSE),
            0
        ) +
        IFERROR(
            VLOOKUP($A93, INDIRECT("AbrR!$A$6:$ZZ$1048576"), MATCH(AG$1, AbrR!$6:$6, 0), FALSE),
            0
        ) +
        IFERROR(
            VLOOKUP($A93, INDIRECT("MayR!$A$6:$ZZ$1048576"), MATCH(AG$1, MayR!$6:$6, 0), FALSE),
            0
        ) +
        IFERROR(
            VLOOKUP($A93, INDIRECT("JunR!$A$6:$ZZ$1048576"), MATCH(AG$1, JunR!$6:$6, 0), FALSE),
            0
        ) +
        IFERROR(
            VLOOKUP($A93, INDIRECT("JulR!$A$6:$ZZ$1048576"), MATCH(AG$1, JulR!$6:$6, 0), FALSE),
            0
        ) +
        IFERROR(
            VLOOKUP($A93, INDIRECT("AgoR!$A$6:$ZZ$1048576"), MATCH(AG$1, AgoR!$6:$6, 0), FALSE),
            0
        ) +
        IFERROR(
            VLOOKUP($A93, INDIRECT("SepR!$A$6:$ZZ$1048576"), MATCH(AG$1, SepR!$6:$6, 0), FALSE),
            0
        ) +
        IFERROR(
            VLOOKUP($A93, INDIRECT("OctR!$A$6:$ZZ$1048576"), MATCH(AG$1, OctR!$6:$6, 0), FALSE),
            0
        ) +
        IFERROR(
            VLOOKUP($A93, INDIRECT("NovR!$A$6:$ZZ$1048576"), MATCH(AG$1, NovR!$6:$6, 0), FALSE),
            0
        ) +
        IFERROR(
            VLOOKUP($A93, INDIRECT("DicR!$A$6:$ZZ$1048576"), MATCH(AG$1, DicR!$6:$6, 0), FALSE),
            0
        )
)</f>
        <v>0</v>
      </c>
      <c r="AH93" s="36">
        <f t="array" ref="AH93">SUM(
    IFERROR(
            VLOOKUP($A93, INDIRECT("EneR!$A$6:$ZZ$1048576"), MATCH(AH$1, EneR!$6:$6, 0), FALSE),
            0
        ) +
        IFERROR(
            VLOOKUP($A93, INDIRECT("FebR!$A$6:$ZZ$1048576"), MATCH(AH$1, FebR!$6:$6, 0), FALSE),
            0
        ) +
        IFERROR(
            VLOOKUP($A93, INDIRECT("MarR!$A$6:$ZZ$1048576"), MATCH(AH$1, MarR!$6:$6, 0), FALSE),
            0
        ) +
        IFERROR(
            VLOOKUP($A93, INDIRECT("AbrR!$A$6:$ZZ$1048576"), MATCH(AH$1, AbrR!$6:$6, 0), FALSE),
            0
        ) +
        IFERROR(
            VLOOKUP($A93, INDIRECT("MayR!$A$6:$ZZ$1048576"), MATCH(AH$1, MayR!$6:$6, 0), FALSE),
            0
        ) +
        IFERROR(
            VLOOKUP($A93, INDIRECT("JunR!$A$6:$ZZ$1048576"), MATCH(AH$1, JunR!$6:$6, 0), FALSE),
            0
        ) +
        IFERROR(
            VLOOKUP($A93, INDIRECT("JulR!$A$6:$ZZ$1048576"), MATCH(AH$1, JulR!$6:$6, 0), FALSE),
            0
        ) +
        IFERROR(
            VLOOKUP($A93, INDIRECT("AgoR!$A$6:$ZZ$1048576"), MATCH(AH$1, AgoR!$6:$6, 0), FALSE),
            0
        ) +
        IFERROR(
            VLOOKUP($A93, INDIRECT("SepR!$A$6:$ZZ$1048576"), MATCH(AH$1, SepR!$6:$6, 0), FALSE),
            0
        ) +
        IFERROR(
            VLOOKUP($A93, INDIRECT("OctR!$A$6:$ZZ$1048576"), MATCH(AH$1, OctR!$6:$6, 0), FALSE),
            0
        ) +
        IFERROR(
            VLOOKUP($A93, INDIRECT("NovR!$A$6:$ZZ$1048576"), MATCH(AH$1, NovR!$6:$6, 0), FALSE),
            0
        ) +
        IFERROR(
            VLOOKUP($A93, INDIRECT("DicR!$A$6:$ZZ$1048576"), MATCH(AH$1, DicR!$6:$6, 0), FALSE),
            0
        )
)</f>
        <v>0</v>
      </c>
      <c r="AI93" s="37">
        <f t="array" ref="AI93">SUM(
    IFERROR(
            VLOOKUP($A93, INDIRECT("EneR!$A$6:$ZZ$1048576"), MATCH(AI$1, EneR!$6:$6, 0), FALSE),
            0
        ) +
        IFERROR(
            VLOOKUP($A93, INDIRECT("FebR!$A$6:$ZZ$1048576"), MATCH(AI$1, FebR!$6:$6, 0), FALSE),
            0
        ) +
        IFERROR(
            VLOOKUP($A93, INDIRECT("MarR!$A$6:$ZZ$1048576"), MATCH(AI$1, MarR!$6:$6, 0), FALSE),
            0
        ) +
        IFERROR(
            VLOOKUP($A93, INDIRECT("AbrR!$A$6:$ZZ$1048576"), MATCH(AI$1, AbrR!$6:$6, 0), FALSE),
            0
        ) +
        IFERROR(
            VLOOKUP($A93, INDIRECT("MayR!$A$6:$ZZ$1048576"), MATCH(AI$1, MayR!$6:$6, 0), FALSE),
            0
        ) +
        IFERROR(
            VLOOKUP($A93, INDIRECT("JunR!$A$6:$ZZ$1048576"), MATCH(AI$1, JunR!$6:$6, 0), FALSE),
            0
        ) +
        IFERROR(
            VLOOKUP($A93, INDIRECT("JulR!$A$6:$ZZ$1048576"), MATCH(AI$1, JulR!$6:$6, 0), FALSE),
            0
        ) +
        IFERROR(
            VLOOKUP($A93, INDIRECT("AgoR!$A$6:$ZZ$1048576"), MATCH(AI$1, AgoR!$6:$6, 0), FALSE),
            0
        ) +
        IFERROR(
            VLOOKUP($A93, INDIRECT("SepR!$A$6:$ZZ$1048576"), MATCH(AI$1, SepR!$6:$6, 0), FALSE),
            0
        ) +
        IFERROR(
            VLOOKUP($A93, INDIRECT("OctR!$A$6:$ZZ$1048576"), MATCH(AI$1, OctR!$6:$6, 0), FALSE),
            0
        ) +
        IFERROR(
            VLOOKUP($A93, INDIRECT("NovR!$A$6:$ZZ$1048576"), MATCH(AI$1, NovR!$6:$6, 0), FALSE),
            0
        ) +
        IFERROR(
            VLOOKUP($A93, INDIRECT("DicR!$A$6:$ZZ$1048576"), MATCH(AI$1, DicR!$6:$6, 0), FALSE),
            0
        )
)</f>
        <v>0</v>
      </c>
      <c r="AJ93" s="36">
        <f t="array" ref="AJ93">SUM(
    IFERROR(
            VLOOKUP($A93, INDIRECT("EneR!$A$6:$ZZ$1048576"), MATCH(AJ$1, EneR!$6:$6, 0), FALSE),
            0
        ) +
        IFERROR(
            VLOOKUP($A93, INDIRECT("FebR!$A$6:$ZZ$1048576"), MATCH(AJ$1, FebR!$6:$6, 0), FALSE),
            0
        ) +
        IFERROR(
            VLOOKUP($A93, INDIRECT("MarR!$A$6:$ZZ$1048576"), MATCH(AJ$1, MarR!$6:$6, 0), FALSE),
            0
        ) +
        IFERROR(
            VLOOKUP($A93, INDIRECT("AbrR!$A$6:$ZZ$1048576"), MATCH(AJ$1, AbrR!$6:$6, 0), FALSE),
            0
        ) +
        IFERROR(
            VLOOKUP($A93, INDIRECT("MayR!$A$6:$ZZ$1048576"), MATCH(AJ$1, MayR!$6:$6, 0), FALSE),
            0
        ) +
        IFERROR(
            VLOOKUP($A93, INDIRECT("JunR!$A$6:$ZZ$1048576"), MATCH(AJ$1, JunR!$6:$6, 0), FALSE),
            0
        ) +
        IFERROR(
            VLOOKUP($A93, INDIRECT("JulR!$A$6:$ZZ$1048576"), MATCH(AJ$1, JulR!$6:$6, 0), FALSE),
            0
        ) +
        IFERROR(
            VLOOKUP($A93, INDIRECT("AgoR!$A$6:$ZZ$1048576"), MATCH(AJ$1, AgoR!$6:$6, 0), FALSE),
            0
        ) +
        IFERROR(
            VLOOKUP($A93, INDIRECT("SepR!$A$6:$ZZ$1048576"), MATCH(AJ$1, SepR!$6:$6, 0), FALSE),
            0
        ) +
        IFERROR(
            VLOOKUP($A93, INDIRECT("OctR!$A$6:$ZZ$1048576"), MATCH(AJ$1, OctR!$6:$6, 0), FALSE),
            0
        ) +
        IFERROR(
            VLOOKUP($A93, INDIRECT("NovR!$A$6:$ZZ$1048576"), MATCH(AJ$1, NovR!$6:$6, 0), FALSE),
            0
        ) +
        IFERROR(
            VLOOKUP($A93, INDIRECT("DicR!$A$6:$ZZ$1048576"), MATCH(AJ$1, DicR!$6:$6, 0), FALSE),
            0
        )
)</f>
        <v>0</v>
      </c>
      <c r="AK93" s="37">
        <f t="array" ref="AK93">SUM(
    IFERROR(
            VLOOKUP($A93, INDIRECT("EneR!$A$6:$ZZ$1048576"), MATCH(AK$1, EneR!$6:$6, 0), FALSE),
            0
        ) +
        IFERROR(
            VLOOKUP($A93, INDIRECT("FebR!$A$6:$ZZ$1048576"), MATCH(AK$1, FebR!$6:$6, 0), FALSE),
            0
        ) +
        IFERROR(
            VLOOKUP($A93, INDIRECT("MarR!$A$6:$ZZ$1048576"), MATCH(AK$1, MarR!$6:$6, 0), FALSE),
            0
        ) +
        IFERROR(
            VLOOKUP($A93, INDIRECT("AbrR!$A$6:$ZZ$1048576"), MATCH(AK$1, AbrR!$6:$6, 0), FALSE),
            0
        ) +
        IFERROR(
            VLOOKUP($A93, INDIRECT("MayR!$A$6:$ZZ$1048576"), MATCH(AK$1, MayR!$6:$6, 0), FALSE),
            0
        ) +
        IFERROR(
            VLOOKUP($A93, INDIRECT("JunR!$A$6:$ZZ$1048576"), MATCH(AK$1, JunR!$6:$6, 0), FALSE),
            0
        ) +
        IFERROR(
            VLOOKUP($A93, INDIRECT("JulR!$A$6:$ZZ$1048576"), MATCH(AK$1, JulR!$6:$6, 0), FALSE),
            0
        ) +
        IFERROR(
            VLOOKUP($A93, INDIRECT("AgoR!$A$6:$ZZ$1048576"), MATCH(AK$1, AgoR!$6:$6, 0), FALSE),
            0
        ) +
        IFERROR(
            VLOOKUP($A93, INDIRECT("SepR!$A$6:$ZZ$1048576"), MATCH(AK$1, SepR!$6:$6, 0), FALSE),
            0
        ) +
        IFERROR(
            VLOOKUP($A93, INDIRECT("OctR!$A$6:$ZZ$1048576"), MATCH(AK$1, OctR!$6:$6, 0), FALSE),
            0
        ) +
        IFERROR(
            VLOOKUP($A93, INDIRECT("NovR!$A$6:$ZZ$1048576"), MATCH(AK$1, NovR!$6:$6, 0), FALSE),
            0
        ) +
        IFERROR(
            VLOOKUP($A93, INDIRECT("DicR!$A$6:$ZZ$1048576"), MATCH(AK$1, DicR!$6:$6, 0), FALSE),
            0
        )
)</f>
        <v>0</v>
      </c>
      <c r="AL93" s="36">
        <f t="array" ref="AL93">SUM(
    IFERROR(
            VLOOKUP($A93, INDIRECT("EneR!$A$6:$ZZ$1048576"), MATCH(AL$1, EneR!$6:$6, 0), FALSE),
            0
        ) +
        IFERROR(
            VLOOKUP($A93, INDIRECT("FebR!$A$6:$ZZ$1048576"), MATCH(AL$1, FebR!$6:$6, 0), FALSE),
            0
        ) +
        IFERROR(
            VLOOKUP($A93, INDIRECT("MarR!$A$6:$ZZ$1048576"), MATCH(AL$1, MarR!$6:$6, 0), FALSE),
            0
        ) +
        IFERROR(
            VLOOKUP($A93, INDIRECT("AbrR!$A$6:$ZZ$1048576"), MATCH(AL$1, AbrR!$6:$6, 0), FALSE),
            0
        ) +
        IFERROR(
            VLOOKUP($A93, INDIRECT("MayR!$A$6:$ZZ$1048576"), MATCH(AL$1, MayR!$6:$6, 0), FALSE),
            0
        ) +
        IFERROR(
            VLOOKUP($A93, INDIRECT("JunR!$A$6:$ZZ$1048576"), MATCH(AL$1, JunR!$6:$6, 0), FALSE),
            0
        ) +
        IFERROR(
            VLOOKUP($A93, INDIRECT("JulR!$A$6:$ZZ$1048576"), MATCH(AL$1, JulR!$6:$6, 0), FALSE),
            0
        ) +
        IFERROR(
            VLOOKUP($A93, INDIRECT("AgoR!$A$6:$ZZ$1048576"), MATCH(AL$1, AgoR!$6:$6, 0), FALSE),
            0
        ) +
        IFERROR(
            VLOOKUP($A93, INDIRECT("SepR!$A$6:$ZZ$1048576"), MATCH(AL$1, SepR!$6:$6, 0), FALSE),
            0
        ) +
        IFERROR(
            VLOOKUP($A93, INDIRECT("OctR!$A$6:$ZZ$1048576"), MATCH(AL$1, OctR!$6:$6, 0), FALSE),
            0
        ) +
        IFERROR(
            VLOOKUP($A93, INDIRECT("NovR!$A$6:$ZZ$1048576"), MATCH(AL$1, NovR!$6:$6, 0), FALSE),
            0
        ) +
        IFERROR(
            VLOOKUP($A93, INDIRECT("DicR!$A$6:$ZZ$1048576"), MATCH(AL$1, DicR!$6:$6, 0), FALSE),
            0
        )
)</f>
        <v>0</v>
      </c>
      <c r="AM93" s="37">
        <f t="array" ref="AM93">SUM(
    IFERROR(
            VLOOKUP($A93, INDIRECT("EneR!$A$6:$ZZ$1048576"), MATCH(AM$1, EneR!$6:$6, 0), FALSE),
            0
        ) +
        IFERROR(
            VLOOKUP($A93, INDIRECT("FebR!$A$6:$ZZ$1048576"), MATCH(AM$1, FebR!$6:$6, 0), FALSE),
            0
        ) +
        IFERROR(
            VLOOKUP($A93, INDIRECT("MarR!$A$6:$ZZ$1048576"), MATCH(AM$1, MarR!$6:$6, 0), FALSE),
            0
        ) +
        IFERROR(
            VLOOKUP($A93, INDIRECT("AbrR!$A$6:$ZZ$1048576"), MATCH(AM$1, AbrR!$6:$6, 0), FALSE),
            0
        ) +
        IFERROR(
            VLOOKUP($A93, INDIRECT("MayR!$A$6:$ZZ$1048576"), MATCH(AM$1, MayR!$6:$6, 0), FALSE),
            0
        ) +
        IFERROR(
            VLOOKUP($A93, INDIRECT("JunR!$A$6:$ZZ$1048576"), MATCH(AM$1, JunR!$6:$6, 0), FALSE),
            0
        ) +
        IFERROR(
            VLOOKUP($A93, INDIRECT("JulR!$A$6:$ZZ$1048576"), MATCH(AM$1, JulR!$6:$6, 0), FALSE),
            0
        ) +
        IFERROR(
            VLOOKUP($A93, INDIRECT("AgoR!$A$6:$ZZ$1048576"), MATCH(AM$1, AgoR!$6:$6, 0), FALSE),
            0
        ) +
        IFERROR(
            VLOOKUP($A93, INDIRECT("SepR!$A$6:$ZZ$1048576"), MATCH(AM$1, SepR!$6:$6, 0), FALSE),
            0
        ) +
        IFERROR(
            VLOOKUP($A93, INDIRECT("OctR!$A$6:$ZZ$1048576"), MATCH(AM$1, OctR!$6:$6, 0), FALSE),
            0
        ) +
        IFERROR(
            VLOOKUP($A93, INDIRECT("NovR!$A$6:$ZZ$1048576"), MATCH(AM$1, NovR!$6:$6, 0), FALSE),
            0
        ) +
        IFERROR(
            VLOOKUP($A93, INDIRECT("DicR!$A$6:$ZZ$1048576"), MATCH(AM$1, DicR!$6:$6, 0), FALSE),
            0
        )
)</f>
        <v>0</v>
      </c>
      <c r="AN93" s="32">
        <f t="array" ref="AN93">SUM(
    IFERROR(
            VLOOKUP($A93, INDIRECT("EneR!$A$6:$ZZ$1048576"), MATCH(AN$1, EneR!$6:$6, 0), FALSE),
            0
        ) +
        IFERROR(
            VLOOKUP($A93, INDIRECT("FebR!$A$6:$ZZ$1048576"), MATCH(AN$1, FebR!$6:$6, 0), FALSE),
            0
        ) +
        IFERROR(
            VLOOKUP($A93, INDIRECT("MarR!$A$6:$ZZ$1048576"), MATCH(AN$1, MarR!$6:$6, 0), FALSE),
            0
        ) +
        IFERROR(
            VLOOKUP($A93, INDIRECT("AbrR!$A$6:$ZZ$1048576"), MATCH(AN$1, AbrR!$6:$6, 0), FALSE),
            0
        ) +
        IFERROR(
            VLOOKUP($A93, INDIRECT("MayR!$A$6:$ZZ$1048576"), MATCH(AN$1, MayR!$6:$6, 0), FALSE),
            0
        ) +
        IFERROR(
            VLOOKUP($A93, INDIRECT("JunR!$A$6:$ZZ$1048576"), MATCH(AN$1, JunR!$6:$6, 0), FALSE),
            0
        ) +
        IFERROR(
            VLOOKUP($A93, INDIRECT("JulR!$A$6:$ZZ$1048576"), MATCH(AN$1, JulR!$6:$6, 0), FALSE),
            0
        ) +
        IFERROR(
            VLOOKUP($A93, INDIRECT("AgoR!$A$6:$ZZ$1048576"), MATCH(AN$1, AgoR!$6:$6, 0), FALSE),
            0
        ) +
        IFERROR(
            VLOOKUP($A93, INDIRECT("SepR!$A$6:$ZZ$1048576"), MATCH(AN$1, SepR!$6:$6, 0), FALSE),
            0
        ) +
        IFERROR(
            VLOOKUP($A93, INDIRECT("OctR!$A$6:$ZZ$1048576"), MATCH(AN$1, OctR!$6:$6, 0), FALSE),
            0
        ) +
        IFERROR(
            VLOOKUP($A93, INDIRECT("NovR!$A$6:$ZZ$1048576"), MATCH(AN$1, NovR!$6:$6, 0), FALSE),
            0
        ) +
        IFERROR(
            VLOOKUP($A93, INDIRECT("DicR!$A$6:$ZZ$1048576"), MATCH(AN$1, DicR!$6:$6, 0), FALSE),
            0
        )
)</f>
        <v>0</v>
      </c>
      <c r="AO93" s="35">
        <f t="array" ref="AO93">SUM(
    IFERROR(
            VLOOKUP($A93, INDIRECT("EneR!$A$6:$ZZ$1048576"), MATCH(AO$1, EneR!$6:$6, 0), FALSE),
            0
        ) +
        IFERROR(
            VLOOKUP($A93, INDIRECT("FebR!$A$6:$ZZ$1048576"), MATCH(AO$1, FebR!$6:$6, 0), FALSE),
            0
        ) +
        IFERROR(
            VLOOKUP($A93, INDIRECT("MarR!$A$6:$ZZ$1048576"), MATCH(AO$1, MarR!$6:$6, 0), FALSE),
            0
        ) +
        IFERROR(
            VLOOKUP($A93, INDIRECT("AbrR!$A$6:$ZZ$1048576"), MATCH(AO$1, AbrR!$6:$6, 0), FALSE),
            0
        ) +
        IFERROR(
            VLOOKUP($A93, INDIRECT("MayR!$A$6:$ZZ$1048576"), MATCH(AO$1, MayR!$6:$6, 0), FALSE),
            0
        ) +
        IFERROR(
            VLOOKUP($A93, INDIRECT("JunR!$A$6:$ZZ$1048576"), MATCH(AO$1, JunR!$6:$6, 0), FALSE),
            0
        ) +
        IFERROR(
            VLOOKUP($A93, INDIRECT("JulR!$A$6:$ZZ$1048576"), MATCH(AO$1, JulR!$6:$6, 0), FALSE),
            0
        ) +
        IFERROR(
            VLOOKUP($A93, INDIRECT("AgoR!$A$6:$ZZ$1048576"), MATCH(AO$1, AgoR!$6:$6, 0), FALSE),
            0
        ) +
        IFERROR(
            VLOOKUP($A93, INDIRECT("SepR!$A$6:$ZZ$1048576"), MATCH(AO$1, SepR!$6:$6, 0), FALSE),
            0
        ) +
        IFERROR(
            VLOOKUP($A93, INDIRECT("OctR!$A$6:$ZZ$1048576"), MATCH(AO$1, OctR!$6:$6, 0), FALSE),
            0
        ) +
        IFERROR(
            VLOOKUP($A93, INDIRECT("NovR!$A$6:$ZZ$1048576"), MATCH(AO$1, NovR!$6:$6, 0), FALSE),
            0
        ) +
        IFERROR(
            VLOOKUP($A93, INDIRECT("DicR!$A$6:$ZZ$1048576"), MATCH(AO$1, DicR!$6:$6, 0), FALSE),
            0
        )
)</f>
        <v>0</v>
      </c>
      <c r="AP93" s="36">
        <f t="array" ref="AP93">SUM(
    IFERROR(
            VLOOKUP($A93, INDIRECT("EneR!$A$6:$ZZ$1048576"), MATCH(AP$1, EneR!$6:$6, 0), FALSE),
            0
        ) +
        IFERROR(
            VLOOKUP($A93, INDIRECT("FebR!$A$6:$ZZ$1048576"), MATCH(AP$1, FebR!$6:$6, 0), FALSE),
            0
        ) +
        IFERROR(
            VLOOKUP($A93, INDIRECT("MarR!$A$6:$ZZ$1048576"), MATCH(AP$1, MarR!$6:$6, 0), FALSE),
            0
        ) +
        IFERROR(
            VLOOKUP($A93, INDIRECT("AbrR!$A$6:$ZZ$1048576"), MATCH(AP$1, AbrR!$6:$6, 0), FALSE),
            0
        ) +
        IFERROR(
            VLOOKUP($A93, INDIRECT("MayR!$A$6:$ZZ$1048576"), MATCH(AP$1, MayR!$6:$6, 0), FALSE),
            0
        ) +
        IFERROR(
            VLOOKUP($A93, INDIRECT("JunR!$A$6:$ZZ$1048576"), MATCH(AP$1, JunR!$6:$6, 0), FALSE),
            0
        ) +
        IFERROR(
            VLOOKUP($A93, INDIRECT("JulR!$A$6:$ZZ$1048576"), MATCH(AP$1, JulR!$6:$6, 0), FALSE),
            0
        ) +
        IFERROR(
            VLOOKUP($A93, INDIRECT("AgoR!$A$6:$ZZ$1048576"), MATCH(AP$1, AgoR!$6:$6, 0), FALSE),
            0
        ) +
        IFERROR(
            VLOOKUP($A93, INDIRECT("SepR!$A$6:$ZZ$1048576"), MATCH(AP$1, SepR!$6:$6, 0), FALSE),
            0
        ) +
        IFERROR(
            VLOOKUP($A93, INDIRECT("OctR!$A$6:$ZZ$1048576"), MATCH(AP$1, OctR!$6:$6, 0), FALSE),
            0
        ) +
        IFERROR(
            VLOOKUP($A93, INDIRECT("NovR!$A$6:$ZZ$1048576"), MATCH(AP$1, NovR!$6:$6, 0), FALSE),
            0
        ) +
        IFERROR(
            VLOOKUP($A93, INDIRECT("DicR!$A$6:$ZZ$1048576"), MATCH(AP$1, DicR!$6:$6, 0), FALSE),
            0
        )
)</f>
        <v>0</v>
      </c>
      <c r="AQ93" s="35">
        <f t="array" ref="AQ93">SUM(
    IFERROR(
            VLOOKUP($A93, INDIRECT("EneR!$A$6:$ZZ$1048576"), MATCH(AQ$1, EneR!$6:$6, 0), FALSE),
            0
        ) +
        IFERROR(
            VLOOKUP($A93, INDIRECT("FebR!$A$6:$ZZ$1048576"), MATCH(AQ$1, FebR!$6:$6, 0), FALSE),
            0
        ) +
        IFERROR(
            VLOOKUP($A93, INDIRECT("MarR!$A$6:$ZZ$1048576"), MATCH(AQ$1, MarR!$6:$6, 0), FALSE),
            0
        ) +
        IFERROR(
            VLOOKUP($A93, INDIRECT("AbrR!$A$6:$ZZ$1048576"), MATCH(AQ$1, AbrR!$6:$6, 0), FALSE),
            0
        ) +
        IFERROR(
            VLOOKUP($A93, INDIRECT("MayR!$A$6:$ZZ$1048576"), MATCH(AQ$1, MayR!$6:$6, 0), FALSE),
            0
        ) +
        IFERROR(
            VLOOKUP($A93, INDIRECT("JunR!$A$6:$ZZ$1048576"), MATCH(AQ$1, JunR!$6:$6, 0), FALSE),
            0
        ) +
        IFERROR(
            VLOOKUP($A93, INDIRECT("JulR!$A$6:$ZZ$1048576"), MATCH(AQ$1, JulR!$6:$6, 0), FALSE),
            0
        ) +
        IFERROR(
            VLOOKUP($A93, INDIRECT("AgoR!$A$6:$ZZ$1048576"), MATCH(AQ$1, AgoR!$6:$6, 0), FALSE),
            0
        ) +
        IFERROR(
            VLOOKUP($A93, INDIRECT("SepR!$A$6:$ZZ$1048576"), MATCH(AQ$1, SepR!$6:$6, 0), FALSE),
            0
        ) +
        IFERROR(
            VLOOKUP($A93, INDIRECT("OctR!$A$6:$ZZ$1048576"), MATCH(AQ$1, OctR!$6:$6, 0), FALSE),
            0
        ) +
        IFERROR(
            VLOOKUP($A93, INDIRECT("NovR!$A$6:$ZZ$1048576"), MATCH(AQ$1, NovR!$6:$6, 0), FALSE),
            0
        ) +
        IFERROR(
            VLOOKUP($A93, INDIRECT("DicR!$A$6:$ZZ$1048576"), MATCH(AQ$1, DicR!$6:$6, 0), FALSE),
            0
        )
)</f>
        <v>0</v>
      </c>
      <c r="AR93" s="36">
        <f t="array" ref="AR93">SUM(
    IFERROR(
            VLOOKUP($A93, INDIRECT("EneR!$A$6:$ZZ$1048576"), MATCH(AR$1, EneR!$6:$6, 0), FALSE),
            0
        ) +
        IFERROR(
            VLOOKUP($A93, INDIRECT("FebR!$A$6:$ZZ$1048576"), MATCH(AR$1, FebR!$6:$6, 0), FALSE),
            0
        ) +
        IFERROR(
            VLOOKUP($A93, INDIRECT("MarR!$A$6:$ZZ$1048576"), MATCH(AR$1, MarR!$6:$6, 0), FALSE),
            0
        ) +
        IFERROR(
            VLOOKUP($A93, INDIRECT("AbrR!$A$6:$ZZ$1048576"), MATCH(AR$1, AbrR!$6:$6, 0), FALSE),
            0
        ) +
        IFERROR(
            VLOOKUP($A93, INDIRECT("MayR!$A$6:$ZZ$1048576"), MATCH(AR$1, MayR!$6:$6, 0), FALSE),
            0
        ) +
        IFERROR(
            VLOOKUP($A93, INDIRECT("JunR!$A$6:$ZZ$1048576"), MATCH(AR$1, JunR!$6:$6, 0), FALSE),
            0
        ) +
        IFERROR(
            VLOOKUP($A93, INDIRECT("JulR!$A$6:$ZZ$1048576"), MATCH(AR$1, JulR!$6:$6, 0), FALSE),
            0
        ) +
        IFERROR(
            VLOOKUP($A93, INDIRECT("AgoR!$A$6:$ZZ$1048576"), MATCH(AR$1, AgoR!$6:$6, 0), FALSE),
            0
        ) +
        IFERROR(
            VLOOKUP($A93, INDIRECT("SepR!$A$6:$ZZ$1048576"), MATCH(AR$1, SepR!$6:$6, 0), FALSE),
            0
        ) +
        IFERROR(
            VLOOKUP($A93, INDIRECT("OctR!$A$6:$ZZ$1048576"), MATCH(AR$1, OctR!$6:$6, 0), FALSE),
            0
        ) +
        IFERROR(
            VLOOKUP($A93, INDIRECT("NovR!$A$6:$ZZ$1048576"), MATCH(AR$1, NovR!$6:$6, 0), FALSE),
            0
        ) +
        IFERROR(
            VLOOKUP($A93, INDIRECT("DicR!$A$6:$ZZ$1048576"), MATCH(AR$1, DicR!$6:$6, 0), FALSE),
            0
        )
)</f>
        <v>0</v>
      </c>
      <c r="AS93" s="35">
        <f t="array" ref="AS93">SUM(
    IFERROR(
            VLOOKUP($A93, INDIRECT("EneR!$A$6:$ZZ$1048576"), MATCH(AS$1, EneR!$6:$6, 0), FALSE),
            0
        ) +
        IFERROR(
            VLOOKUP($A93, INDIRECT("FebR!$A$6:$ZZ$1048576"), MATCH(AS$1, FebR!$6:$6, 0), FALSE),
            0
        ) +
        IFERROR(
            VLOOKUP($A93, INDIRECT("MarR!$A$6:$ZZ$1048576"), MATCH(AS$1, MarR!$6:$6, 0), FALSE),
            0
        ) +
        IFERROR(
            VLOOKUP($A93, INDIRECT("AbrR!$A$6:$ZZ$1048576"), MATCH(AS$1, AbrR!$6:$6, 0), FALSE),
            0
        ) +
        IFERROR(
            VLOOKUP($A93, INDIRECT("MayR!$A$6:$ZZ$1048576"), MATCH(AS$1, MayR!$6:$6, 0), FALSE),
            0
        ) +
        IFERROR(
            VLOOKUP($A93, INDIRECT("JunR!$A$6:$ZZ$1048576"), MATCH(AS$1, JunR!$6:$6, 0), FALSE),
            0
        ) +
        IFERROR(
            VLOOKUP($A93, INDIRECT("JulR!$A$6:$ZZ$1048576"), MATCH(AS$1, JulR!$6:$6, 0), FALSE),
            0
        ) +
        IFERROR(
            VLOOKUP($A93, INDIRECT("AgoR!$A$6:$ZZ$1048576"), MATCH(AS$1, AgoR!$6:$6, 0), FALSE),
            0
        ) +
        IFERROR(
            VLOOKUP($A93, INDIRECT("SepR!$A$6:$ZZ$1048576"), MATCH(AS$1, SepR!$6:$6, 0), FALSE),
            0
        ) +
        IFERROR(
            VLOOKUP($A93, INDIRECT("OctR!$A$6:$ZZ$1048576"), MATCH(AS$1, OctR!$6:$6, 0), FALSE),
            0
        ) +
        IFERROR(
            VLOOKUP($A93, INDIRECT("NovR!$A$6:$ZZ$1048576"), MATCH(AS$1, NovR!$6:$6, 0), FALSE),
            0
        ) +
        IFERROR(
            VLOOKUP($A93, INDIRECT("DicR!$A$6:$ZZ$1048576"), MATCH(AS$1, DicR!$6:$6, 0), FALSE),
            0
        )
)</f>
        <v>0</v>
      </c>
      <c r="AT93" s="36">
        <f t="array" ref="AT93">SUM(
    IFERROR(
            VLOOKUP($A93, INDIRECT("EneR!$A$6:$ZZ$1048576"), MATCH(AT$1, EneR!$6:$6, 0), FALSE),
            0
        ) +
        IFERROR(
            VLOOKUP($A93, INDIRECT("FebR!$A$6:$ZZ$1048576"), MATCH(AT$1, FebR!$6:$6, 0), FALSE),
            0
        ) +
        IFERROR(
            VLOOKUP($A93, INDIRECT("MarR!$A$6:$ZZ$1048576"), MATCH(AT$1, MarR!$6:$6, 0), FALSE),
            0
        ) +
        IFERROR(
            VLOOKUP($A93, INDIRECT("AbrR!$A$6:$ZZ$1048576"), MATCH(AT$1, AbrR!$6:$6, 0), FALSE),
            0
        ) +
        IFERROR(
            VLOOKUP($A93, INDIRECT("MayR!$A$6:$ZZ$1048576"), MATCH(AT$1, MayR!$6:$6, 0), FALSE),
            0
        ) +
        IFERROR(
            VLOOKUP($A93, INDIRECT("JunR!$A$6:$ZZ$1048576"), MATCH(AT$1, JunR!$6:$6, 0), FALSE),
            0
        ) +
        IFERROR(
            VLOOKUP($A93, INDIRECT("JulR!$A$6:$ZZ$1048576"), MATCH(AT$1, JulR!$6:$6, 0), FALSE),
            0
        ) +
        IFERROR(
            VLOOKUP($A93, INDIRECT("AgoR!$A$6:$ZZ$1048576"), MATCH(AT$1, AgoR!$6:$6, 0), FALSE),
            0
        ) +
        IFERROR(
            VLOOKUP($A93, INDIRECT("SepR!$A$6:$ZZ$1048576"), MATCH(AT$1, SepR!$6:$6, 0), FALSE),
            0
        ) +
        IFERROR(
            VLOOKUP($A93, INDIRECT("OctR!$A$6:$ZZ$1048576"), MATCH(AT$1, OctR!$6:$6, 0), FALSE),
            0
        ) +
        IFERROR(
            VLOOKUP($A93, INDIRECT("NovR!$A$6:$ZZ$1048576"), MATCH(AT$1, NovR!$6:$6, 0), FALSE),
            0
        ) +
        IFERROR(
            VLOOKUP($A93, INDIRECT("DicR!$A$6:$ZZ$1048576"), MATCH(AT$1, DicR!$6:$6, 0), FALSE),
            0
        )
)</f>
        <v>0</v>
      </c>
      <c r="AU93" s="35">
        <f t="array" ref="AU93">SUM(
    IFERROR(
            VLOOKUP($A93, INDIRECT("EneR!$A$6:$ZZ$1048576"), MATCH(AU$1, EneR!$6:$6, 0), FALSE),
            0
        ) +
        IFERROR(
            VLOOKUP($A93, INDIRECT("FebR!$A$6:$ZZ$1048576"), MATCH(AU$1, FebR!$6:$6, 0), FALSE),
            0
        ) +
        IFERROR(
            VLOOKUP($A93, INDIRECT("MarR!$A$6:$ZZ$1048576"), MATCH(AU$1, MarR!$6:$6, 0), FALSE),
            0
        ) +
        IFERROR(
            VLOOKUP($A93, INDIRECT("AbrR!$A$6:$ZZ$1048576"), MATCH(AU$1, AbrR!$6:$6, 0), FALSE),
            0
        ) +
        IFERROR(
            VLOOKUP($A93, INDIRECT("MayR!$A$6:$ZZ$1048576"), MATCH(AU$1, MayR!$6:$6, 0), FALSE),
            0
        ) +
        IFERROR(
            VLOOKUP($A93, INDIRECT("JunR!$A$6:$ZZ$1048576"), MATCH(AU$1, JunR!$6:$6, 0), FALSE),
            0
        ) +
        IFERROR(
            VLOOKUP($A93, INDIRECT("JulR!$A$6:$ZZ$1048576"), MATCH(AU$1, JulR!$6:$6, 0), FALSE),
            0
        ) +
        IFERROR(
            VLOOKUP($A93, INDIRECT("AgoR!$A$6:$ZZ$1048576"), MATCH(AU$1, AgoR!$6:$6, 0), FALSE),
            0
        ) +
        IFERROR(
            VLOOKUP($A93, INDIRECT("SepR!$A$6:$ZZ$1048576"), MATCH(AU$1, SepR!$6:$6, 0), FALSE),
            0
        ) +
        IFERROR(
            VLOOKUP($A93, INDIRECT("OctR!$A$6:$ZZ$1048576"), MATCH(AU$1, OctR!$6:$6, 0), FALSE),
            0
        ) +
        IFERROR(
            VLOOKUP($A93, INDIRECT("NovR!$A$6:$ZZ$1048576"), MATCH(AU$1, NovR!$6:$6, 0), FALSE),
            0
        ) +
        IFERROR(
            VLOOKUP($A93, INDIRECT("DicR!$A$6:$ZZ$1048576"), MATCH(AU$1, DicR!$6:$6, 0), FALSE),
            0
        )
)</f>
        <v>0</v>
      </c>
      <c r="AV93" s="36">
        <f t="array" ref="AV93">SUM(
    IFERROR(
            VLOOKUP($A93, INDIRECT("EneR!$A$6:$ZZ$1048576"), MATCH(AV$1, EneR!$6:$6, 0), FALSE),
            0
        ) +
        IFERROR(
            VLOOKUP($A93, INDIRECT("FebR!$A$6:$ZZ$1048576"), MATCH(AV$1, FebR!$6:$6, 0), FALSE),
            0
        ) +
        IFERROR(
            VLOOKUP($A93, INDIRECT("MarR!$A$6:$ZZ$1048576"), MATCH(AV$1, MarR!$6:$6, 0), FALSE),
            0
        ) +
        IFERROR(
            VLOOKUP($A93, INDIRECT("AbrR!$A$6:$ZZ$1048576"), MATCH(AV$1, AbrR!$6:$6, 0), FALSE),
            0
        ) +
        IFERROR(
            VLOOKUP($A93, INDIRECT("MayR!$A$6:$ZZ$1048576"), MATCH(AV$1, MayR!$6:$6, 0), FALSE),
            0
        ) +
        IFERROR(
            VLOOKUP($A93, INDIRECT("JunR!$A$6:$ZZ$1048576"), MATCH(AV$1, JunR!$6:$6, 0), FALSE),
            0
        ) +
        IFERROR(
            VLOOKUP($A93, INDIRECT("JulR!$A$6:$ZZ$1048576"), MATCH(AV$1, JulR!$6:$6, 0), FALSE),
            0
        ) +
        IFERROR(
            VLOOKUP($A93, INDIRECT("AgoR!$A$6:$ZZ$1048576"), MATCH(AV$1, AgoR!$6:$6, 0), FALSE),
            0
        ) +
        IFERROR(
            VLOOKUP($A93, INDIRECT("SepR!$A$6:$ZZ$1048576"), MATCH(AV$1, SepR!$6:$6, 0), FALSE),
            0
        ) +
        IFERROR(
            VLOOKUP($A93, INDIRECT("OctR!$A$6:$ZZ$1048576"), MATCH(AV$1, OctR!$6:$6, 0), FALSE),
            0
        ) +
        IFERROR(
            VLOOKUP($A93, INDIRECT("NovR!$A$6:$ZZ$1048576"), MATCH(AV$1, NovR!$6:$6, 0), FALSE),
            0
        ) +
        IFERROR(
            VLOOKUP($A93, INDIRECT("DicR!$A$6:$ZZ$1048576"), MATCH(AV$1, DicR!$6:$6, 0), FALSE),
            0
        )
)</f>
        <v>0</v>
      </c>
      <c r="AW93" s="35">
        <f t="array" ref="AW93">SUM(
    IFERROR(
            VLOOKUP($A93, INDIRECT("EneR!$A$6:$ZZ$1048576"), MATCH(AW$1, EneR!$6:$6, 0), FALSE),
            0
        ) +
        IFERROR(
            VLOOKUP($A93, INDIRECT("FebR!$A$6:$ZZ$1048576"), MATCH(AW$1, FebR!$6:$6, 0), FALSE),
            0
        ) +
        IFERROR(
            VLOOKUP($A93, INDIRECT("MarR!$A$6:$ZZ$1048576"), MATCH(AW$1, MarR!$6:$6, 0), FALSE),
            0
        ) +
        IFERROR(
            VLOOKUP($A93, INDIRECT("AbrR!$A$6:$ZZ$1048576"), MATCH(AW$1, AbrR!$6:$6, 0), FALSE),
            0
        ) +
        IFERROR(
            VLOOKUP($A93, INDIRECT("MayR!$A$6:$ZZ$1048576"), MATCH(AW$1, MayR!$6:$6, 0), FALSE),
            0
        ) +
        IFERROR(
            VLOOKUP($A93, INDIRECT("JunR!$A$6:$ZZ$1048576"), MATCH(AW$1, JunR!$6:$6, 0), FALSE),
            0
        ) +
        IFERROR(
            VLOOKUP($A93, INDIRECT("JulR!$A$6:$ZZ$1048576"), MATCH(AW$1, JulR!$6:$6, 0), FALSE),
            0
        ) +
        IFERROR(
            VLOOKUP($A93, INDIRECT("AgoR!$A$6:$ZZ$1048576"), MATCH(AW$1, AgoR!$6:$6, 0), FALSE),
            0
        ) +
        IFERROR(
            VLOOKUP($A93, INDIRECT("SepR!$A$6:$ZZ$1048576"), MATCH(AW$1, SepR!$6:$6, 0), FALSE),
            0
        ) +
        IFERROR(
            VLOOKUP($A93, INDIRECT("OctR!$A$6:$ZZ$1048576"), MATCH(AW$1, OctR!$6:$6, 0), FALSE),
            0
        ) +
        IFERROR(
            VLOOKUP($A93, INDIRECT("NovR!$A$6:$ZZ$1048576"), MATCH(AW$1, NovR!$6:$6, 0), FALSE),
            0
        ) +
        IFERROR(
            VLOOKUP($A93, INDIRECT("DicR!$A$6:$ZZ$1048576"), MATCH(AW$1, DicR!$6:$6, 0), FALSE),
            0
        )
)</f>
        <v>0</v>
      </c>
      <c r="AX93" s="36">
        <f t="array" ref="AX93">SUM(
    IFERROR(
            VLOOKUP($A93, INDIRECT("EneR!$A$6:$ZZ$1048576"), MATCH(AX$1, EneR!$6:$6, 0), FALSE),
            0
        ) +
        IFERROR(
            VLOOKUP($A93, INDIRECT("FebR!$A$6:$ZZ$1048576"), MATCH(AX$1, FebR!$6:$6, 0), FALSE),
            0
        ) +
        IFERROR(
            VLOOKUP($A93, INDIRECT("MarR!$A$6:$ZZ$1048576"), MATCH(AX$1, MarR!$6:$6, 0), FALSE),
            0
        ) +
        IFERROR(
            VLOOKUP($A93, INDIRECT("AbrR!$A$6:$ZZ$1048576"), MATCH(AX$1, AbrR!$6:$6, 0), FALSE),
            0
        ) +
        IFERROR(
            VLOOKUP($A93, INDIRECT("MayR!$A$6:$ZZ$1048576"), MATCH(AX$1, MayR!$6:$6, 0), FALSE),
            0
        ) +
        IFERROR(
            VLOOKUP($A93, INDIRECT("JunR!$A$6:$ZZ$1048576"), MATCH(AX$1, JunR!$6:$6, 0), FALSE),
            0
        ) +
        IFERROR(
            VLOOKUP($A93, INDIRECT("JulR!$A$6:$ZZ$1048576"), MATCH(AX$1, JulR!$6:$6, 0), FALSE),
            0
        ) +
        IFERROR(
            VLOOKUP($A93, INDIRECT("AgoR!$A$6:$ZZ$1048576"), MATCH(AX$1, AgoR!$6:$6, 0), FALSE),
            0
        ) +
        IFERROR(
            VLOOKUP($A93, INDIRECT("SepR!$A$6:$ZZ$1048576"), MATCH(AX$1, SepR!$6:$6, 0), FALSE),
            0
        ) +
        IFERROR(
            VLOOKUP($A93, INDIRECT("OctR!$A$6:$ZZ$1048576"), MATCH(AX$1, OctR!$6:$6, 0), FALSE),
            0
        ) +
        IFERROR(
            VLOOKUP($A93, INDIRECT("NovR!$A$6:$ZZ$1048576"), MATCH(AX$1, NovR!$6:$6, 0), FALSE),
            0
        ) +
        IFERROR(
            VLOOKUP($A93, INDIRECT("DicR!$A$6:$ZZ$1048576"), MATCH(AX$1, DicR!$6:$6, 0), FALSE),
            0
        )
)</f>
        <v>0</v>
      </c>
      <c r="AY93" s="35">
        <f t="array" ref="AY93">SUM(
    IFERROR(
            VLOOKUP($A93, INDIRECT("EneR!$A$6:$ZZ$1048576"), MATCH(AY$1, EneR!$6:$6, 0), FALSE),
            0
        ) +
        IFERROR(
            VLOOKUP($A93, INDIRECT("FebR!$A$6:$ZZ$1048576"), MATCH(AY$1, FebR!$6:$6, 0), FALSE),
            0
        ) +
        IFERROR(
            VLOOKUP($A93, INDIRECT("MarR!$A$6:$ZZ$1048576"), MATCH(AY$1, MarR!$6:$6, 0), FALSE),
            0
        ) +
        IFERROR(
            VLOOKUP($A93, INDIRECT("AbrR!$A$6:$ZZ$1048576"), MATCH(AY$1, AbrR!$6:$6, 0), FALSE),
            0
        ) +
        IFERROR(
            VLOOKUP($A93, INDIRECT("MayR!$A$6:$ZZ$1048576"), MATCH(AY$1, MayR!$6:$6, 0), FALSE),
            0
        ) +
        IFERROR(
            VLOOKUP($A93, INDIRECT("JunR!$A$6:$ZZ$1048576"), MATCH(AY$1, JunR!$6:$6, 0), FALSE),
            0
        ) +
        IFERROR(
            VLOOKUP($A93, INDIRECT("JulR!$A$6:$ZZ$1048576"), MATCH(AY$1, JulR!$6:$6, 0), FALSE),
            0
        ) +
        IFERROR(
            VLOOKUP($A93, INDIRECT("AgoR!$A$6:$ZZ$1048576"), MATCH(AY$1, AgoR!$6:$6, 0), FALSE),
            0
        ) +
        IFERROR(
            VLOOKUP($A93, INDIRECT("SepR!$A$6:$ZZ$1048576"), MATCH(AY$1, SepR!$6:$6, 0), FALSE),
            0
        ) +
        IFERROR(
            VLOOKUP($A93, INDIRECT("OctR!$A$6:$ZZ$1048576"), MATCH(AY$1, OctR!$6:$6, 0), FALSE),
            0
        ) +
        IFERROR(
            VLOOKUP($A93, INDIRECT("NovR!$A$6:$ZZ$1048576"), MATCH(AY$1, NovR!$6:$6, 0), FALSE),
            0
        ) +
        IFERROR(
            VLOOKUP($A93, INDIRECT("DicR!$A$6:$ZZ$1048576"), MATCH(AY$1, DicR!$6:$6, 0), FALSE),
            0
        )
)</f>
        <v>0</v>
      </c>
      <c r="AZ93" s="35"/>
    </row>
    <row r="94" ht="15.75" hidden="1" customHeight="1">
      <c r="A94" s="12" t="str">
        <f>Menus!B55</f>
        <v/>
      </c>
      <c r="B94" s="32">
        <f t="shared" si="11"/>
        <v>0</v>
      </c>
      <c r="C94" s="33" t="str">
        <f t="shared" si="10"/>
        <v/>
      </c>
      <c r="D94" s="34">
        <f t="array" ref="D94">SUM(
    IFERROR(
            VLOOKUP($A94, INDIRECT("EneR!$A$6:$ZZ$1048576"), MATCH(D$1, EneR!$6:$6, 0), FALSE),
            0
        ) +
        IFERROR(
            VLOOKUP($A94, INDIRECT("FebR!$A$6:$ZZ$1048576"), MATCH(D$1, FebR!$6:$6, 0), FALSE),
            0
        ) +
        IFERROR(
            VLOOKUP($A94, INDIRECT("MarR!$A$6:$ZZ$1048576"), MATCH(D$1, MarR!$6:$6, 0), FALSE),
            0
        ) +
        IFERROR(
            VLOOKUP($A94, INDIRECT("AbrR!$A$6:$ZZ$1048576"), MATCH(D$1, AbrR!$6:$6, 0), FALSE),
            0
        ) +
        IFERROR(
            VLOOKUP($A94, INDIRECT("MayR!$A$6:$ZZ$1048576"), MATCH(D$1, MayR!$6:$6, 0), FALSE),
            0
        ) +
        IFERROR(
            VLOOKUP($A94, INDIRECT("JunR!$A$6:$ZZ$1048576"), MATCH(D$1, JunR!$6:$6, 0), FALSE),
            0
        ) +
        IFERROR(
            VLOOKUP($A94, INDIRECT("JulR!$A$6:$ZZ$1048576"), MATCH(D$1, JulR!$6:$6, 0), FALSE),
            0
        ) +
        IFERROR(
            VLOOKUP($A94, INDIRECT("AgoR!$A$6:$ZZ$1048576"), MATCH(D$1, AgoR!$6:$6, 0), FALSE),
            0
        ) +
        IFERROR(
            VLOOKUP($A94, INDIRECT("SepR!$A$6:$ZZ$1048576"), MATCH(D$1, SepR!$6:$6, 0), FALSE),
            0
        ) +
        IFERROR(
            VLOOKUP($A94, INDIRECT("OctR!$A$6:$ZZ$1048576"), MATCH(D$1, OctR!$6:$6, 0), FALSE),
            0
        ) +
        IFERROR(
            VLOOKUP($A94, INDIRECT("NovR!$A$6:$ZZ$1048576"), MATCH(D$1, NovR!$6:$6, 0), FALSE),
            0
        ) +
        IFERROR(
            VLOOKUP($A94, INDIRECT("DicR!$A$6:$ZZ$1048576"), MATCH(D$1, DicR!$6:$6, 0), FALSE),
            0
        )
)</f>
        <v>0</v>
      </c>
      <c r="E94" s="35">
        <f t="array" ref="E94">SUM(
    IFERROR(
            VLOOKUP($A94, INDIRECT("EneR!$A$6:$ZZ$1048576"), MATCH(E$1, EneR!$6:$6, 0), FALSE),
            0
        ) +
        IFERROR(
            VLOOKUP($A94, INDIRECT("FebR!$A$6:$ZZ$1048576"), MATCH(E$1, FebR!$6:$6, 0), FALSE),
            0
        ) +
        IFERROR(
            VLOOKUP($A94, INDIRECT("MarR!$A$6:$ZZ$1048576"), MATCH(E$1, MarR!$6:$6, 0), FALSE),
            0
        ) +
        IFERROR(
            VLOOKUP($A94, INDIRECT("AbrR!$A$6:$ZZ$1048576"), MATCH(E$1, AbrR!$6:$6, 0), FALSE),
            0
        ) +
        IFERROR(
            VLOOKUP($A94, INDIRECT("MayR!$A$6:$ZZ$1048576"), MATCH(E$1, MayR!$6:$6, 0), FALSE),
            0
        ) +
        IFERROR(
            VLOOKUP($A94, INDIRECT("JunR!$A$6:$ZZ$1048576"), MATCH(E$1, JunR!$6:$6, 0), FALSE),
            0
        ) +
        IFERROR(
            VLOOKUP($A94, INDIRECT("JulR!$A$6:$ZZ$1048576"), MATCH(E$1, JulR!$6:$6, 0), FALSE),
            0
        ) +
        IFERROR(
            VLOOKUP($A94, INDIRECT("AgoR!$A$6:$ZZ$1048576"), MATCH(E$1, AgoR!$6:$6, 0), FALSE),
            0
        ) +
        IFERROR(
            VLOOKUP($A94, INDIRECT("SepR!$A$6:$ZZ$1048576"), MATCH(E$1, SepR!$6:$6, 0), FALSE),
            0
        ) +
        IFERROR(
            VLOOKUP($A94, INDIRECT("OctR!$A$6:$ZZ$1048576"), MATCH(E$1, OctR!$6:$6, 0), FALSE),
            0
        ) +
        IFERROR(
            VLOOKUP($A94, INDIRECT("NovR!$A$6:$ZZ$1048576"), MATCH(E$1, NovR!$6:$6, 0), FALSE),
            0
        ) +
        IFERROR(
            VLOOKUP($A94, INDIRECT("DicR!$A$6:$ZZ$1048576"), MATCH(E$1, DicR!$6:$6, 0), FALSE),
            0
        )
)</f>
        <v>0</v>
      </c>
      <c r="F94" s="32">
        <f t="array" ref="F94">SUM(
    IFERROR(
            VLOOKUP($A94, INDIRECT("EneR!$A$6:$ZZ$1048576"), MATCH(F$1, EneR!$6:$6, 0), FALSE),
            0
        ) +
        IFERROR(
            VLOOKUP($A94, INDIRECT("FebR!$A$6:$ZZ$1048576"), MATCH(F$1, FebR!$6:$6, 0), FALSE),
            0
        ) +
        IFERROR(
            VLOOKUP($A94, INDIRECT("MarR!$A$6:$ZZ$1048576"), MATCH(F$1, MarR!$6:$6, 0), FALSE),
            0
        ) +
        IFERROR(
            VLOOKUP($A94, INDIRECT("AbrR!$A$6:$ZZ$1048576"), MATCH(F$1, AbrR!$6:$6, 0), FALSE),
            0
        ) +
        IFERROR(
            VLOOKUP($A94, INDIRECT("MayR!$A$6:$ZZ$1048576"), MATCH(F$1, MayR!$6:$6, 0), FALSE),
            0
        ) +
        IFERROR(
            VLOOKUP($A94, INDIRECT("JunR!$A$6:$ZZ$1048576"), MATCH(F$1, JunR!$6:$6, 0), FALSE),
            0
        ) +
        IFERROR(
            VLOOKUP($A94, INDIRECT("JulR!$A$6:$ZZ$1048576"), MATCH(F$1, JulR!$6:$6, 0), FALSE),
            0
        ) +
        IFERROR(
            VLOOKUP($A94, INDIRECT("AgoR!$A$6:$ZZ$1048576"), MATCH(F$1, AgoR!$6:$6, 0), FALSE),
            0
        ) +
        IFERROR(
            VLOOKUP($A94, INDIRECT("SepR!$A$6:$ZZ$1048576"), MATCH(F$1, SepR!$6:$6, 0), FALSE),
            0
        ) +
        IFERROR(
            VLOOKUP($A94, INDIRECT("OctR!$A$6:$ZZ$1048576"), MATCH(F$1, OctR!$6:$6, 0), FALSE),
            0
        ) +
        IFERROR(
            VLOOKUP($A94, INDIRECT("NovR!$A$6:$ZZ$1048576"), MATCH(F$1, NovR!$6:$6, 0), FALSE),
            0
        ) +
        IFERROR(
            VLOOKUP($A94, INDIRECT("DicR!$A$6:$ZZ$1048576"), MATCH(F$1, DicR!$6:$6, 0), FALSE),
            0
        )
)</f>
        <v>0</v>
      </c>
      <c r="G94" s="35">
        <f t="array" ref="G94">SUM(
    IFERROR(
            VLOOKUP($A94, INDIRECT("EneR!$A$6:$ZZ$1048576"), MATCH(G$1, EneR!$6:$6, 0), FALSE),
            0
        ) +
        IFERROR(
            VLOOKUP($A94, INDIRECT("FebR!$A$6:$ZZ$1048576"), MATCH(G$1, FebR!$6:$6, 0), FALSE),
            0
        ) +
        IFERROR(
            VLOOKUP($A94, INDIRECT("MarR!$A$6:$ZZ$1048576"), MATCH(G$1, MarR!$6:$6, 0), FALSE),
            0
        ) +
        IFERROR(
            VLOOKUP($A94, INDIRECT("AbrR!$A$6:$ZZ$1048576"), MATCH(G$1, AbrR!$6:$6, 0), FALSE),
            0
        ) +
        IFERROR(
            VLOOKUP($A94, INDIRECT("MayR!$A$6:$ZZ$1048576"), MATCH(G$1, MayR!$6:$6, 0), FALSE),
            0
        ) +
        IFERROR(
            VLOOKUP($A94, INDIRECT("JunR!$A$6:$ZZ$1048576"), MATCH(G$1, JunR!$6:$6, 0), FALSE),
            0
        ) +
        IFERROR(
            VLOOKUP($A94, INDIRECT("JulR!$A$6:$ZZ$1048576"), MATCH(G$1, JulR!$6:$6, 0), FALSE),
            0
        ) +
        IFERROR(
            VLOOKUP($A94, INDIRECT("AgoR!$A$6:$ZZ$1048576"), MATCH(G$1, AgoR!$6:$6, 0), FALSE),
            0
        ) +
        IFERROR(
            VLOOKUP($A94, INDIRECT("SepR!$A$6:$ZZ$1048576"), MATCH(G$1, SepR!$6:$6, 0), FALSE),
            0
        ) +
        IFERROR(
            VLOOKUP($A94, INDIRECT("OctR!$A$6:$ZZ$1048576"), MATCH(G$1, OctR!$6:$6, 0), FALSE),
            0
        ) +
        IFERROR(
            VLOOKUP($A94, INDIRECT("NovR!$A$6:$ZZ$1048576"), MATCH(G$1, NovR!$6:$6, 0), FALSE),
            0
        ) +
        IFERROR(
            VLOOKUP($A94, INDIRECT("DicR!$A$6:$ZZ$1048576"), MATCH(G$1, DicR!$6:$6, 0), FALSE),
            0
        )
)</f>
        <v>0</v>
      </c>
      <c r="H94" s="32">
        <f t="array" ref="H94">SUM(
    IFERROR(
            VLOOKUP($A94, INDIRECT("EneR!$A$6:$ZZ$1048576"), MATCH(H$1, EneR!$6:$6, 0), FALSE),
            0
        ) +
        IFERROR(
            VLOOKUP($A94, INDIRECT("FebR!$A$6:$ZZ$1048576"), MATCH(H$1, FebR!$6:$6, 0), FALSE),
            0
        ) +
        IFERROR(
            VLOOKUP($A94, INDIRECT("MarR!$A$6:$ZZ$1048576"), MATCH(H$1, MarR!$6:$6, 0), FALSE),
            0
        ) +
        IFERROR(
            VLOOKUP($A94, INDIRECT("AbrR!$A$6:$ZZ$1048576"), MATCH(H$1, AbrR!$6:$6, 0), FALSE),
            0
        ) +
        IFERROR(
            VLOOKUP($A94, INDIRECT("MayR!$A$6:$ZZ$1048576"), MATCH(H$1, MayR!$6:$6, 0), FALSE),
            0
        ) +
        IFERROR(
            VLOOKUP($A94, INDIRECT("JunR!$A$6:$ZZ$1048576"), MATCH(H$1, JunR!$6:$6, 0), FALSE),
            0
        ) +
        IFERROR(
            VLOOKUP($A94, INDIRECT("JulR!$A$6:$ZZ$1048576"), MATCH(H$1, JulR!$6:$6, 0), FALSE),
            0
        ) +
        IFERROR(
            VLOOKUP($A94, INDIRECT("AgoR!$A$6:$ZZ$1048576"), MATCH(H$1, AgoR!$6:$6, 0), FALSE),
            0
        ) +
        IFERROR(
            VLOOKUP($A94, INDIRECT("SepR!$A$6:$ZZ$1048576"), MATCH(H$1, SepR!$6:$6, 0), FALSE),
            0
        ) +
        IFERROR(
            VLOOKUP($A94, INDIRECT("OctR!$A$6:$ZZ$1048576"), MATCH(H$1, OctR!$6:$6, 0), FALSE),
            0
        ) +
        IFERROR(
            VLOOKUP($A94, INDIRECT("NovR!$A$6:$ZZ$1048576"), MATCH(H$1, NovR!$6:$6, 0), FALSE),
            0
        ) +
        IFERROR(
            VLOOKUP($A94, INDIRECT("DicR!$A$6:$ZZ$1048576"), MATCH(H$1, DicR!$6:$6, 0), FALSE),
            0
        )
)</f>
        <v>0</v>
      </c>
      <c r="I94" s="35">
        <f t="array" ref="I94">SUM(
    IFERROR(
            VLOOKUP($A94, INDIRECT("EneR!$A$6:$ZZ$1048576"), MATCH(I$1, EneR!$6:$6, 0), FALSE),
            0
        ) +
        IFERROR(
            VLOOKUP($A94, INDIRECT("FebR!$A$6:$ZZ$1048576"), MATCH(I$1, FebR!$6:$6, 0), FALSE),
            0
        ) +
        IFERROR(
            VLOOKUP($A94, INDIRECT("MarR!$A$6:$ZZ$1048576"), MATCH(I$1, MarR!$6:$6, 0), FALSE),
            0
        ) +
        IFERROR(
            VLOOKUP($A94, INDIRECT("AbrR!$A$6:$ZZ$1048576"), MATCH(I$1, AbrR!$6:$6, 0), FALSE),
            0
        ) +
        IFERROR(
            VLOOKUP($A94, INDIRECT("MayR!$A$6:$ZZ$1048576"), MATCH(I$1, MayR!$6:$6, 0), FALSE),
            0
        ) +
        IFERROR(
            VLOOKUP($A94, INDIRECT("JunR!$A$6:$ZZ$1048576"), MATCH(I$1, JunR!$6:$6, 0), FALSE),
            0
        ) +
        IFERROR(
            VLOOKUP($A94, INDIRECT("JulR!$A$6:$ZZ$1048576"), MATCH(I$1, JulR!$6:$6, 0), FALSE),
            0
        ) +
        IFERROR(
            VLOOKUP($A94, INDIRECT("AgoR!$A$6:$ZZ$1048576"), MATCH(I$1, AgoR!$6:$6, 0), FALSE),
            0
        ) +
        IFERROR(
            VLOOKUP($A94, INDIRECT("SepR!$A$6:$ZZ$1048576"), MATCH(I$1, SepR!$6:$6, 0), FALSE),
            0
        ) +
        IFERROR(
            VLOOKUP($A94, INDIRECT("OctR!$A$6:$ZZ$1048576"), MATCH(I$1, OctR!$6:$6, 0), FALSE),
            0
        ) +
        IFERROR(
            VLOOKUP($A94, INDIRECT("NovR!$A$6:$ZZ$1048576"), MATCH(I$1, NovR!$6:$6, 0), FALSE),
            0
        ) +
        IFERROR(
            VLOOKUP($A94, INDIRECT("DicR!$A$6:$ZZ$1048576"), MATCH(I$1, DicR!$6:$6, 0), FALSE),
            0
        )
)</f>
        <v>0</v>
      </c>
      <c r="J94" s="32">
        <f t="array" ref="J94">SUM(
    IFERROR(
            VLOOKUP($A94, INDIRECT("EneR!$A$6:$ZZ$1048576"), MATCH(J$1, EneR!$6:$6, 0), FALSE),
            0
        ) +
        IFERROR(
            VLOOKUP($A94, INDIRECT("FebR!$A$6:$ZZ$1048576"), MATCH(J$1, FebR!$6:$6, 0), FALSE),
            0
        ) +
        IFERROR(
            VLOOKUP($A94, INDIRECT("MarR!$A$6:$ZZ$1048576"), MATCH(J$1, MarR!$6:$6, 0), FALSE),
            0
        ) +
        IFERROR(
            VLOOKUP($A94, INDIRECT("AbrR!$A$6:$ZZ$1048576"), MATCH(J$1, AbrR!$6:$6, 0), FALSE),
            0
        ) +
        IFERROR(
            VLOOKUP($A94, INDIRECT("MayR!$A$6:$ZZ$1048576"), MATCH(J$1, MayR!$6:$6, 0), FALSE),
            0
        ) +
        IFERROR(
            VLOOKUP($A94, INDIRECT("JunR!$A$6:$ZZ$1048576"), MATCH(J$1, JunR!$6:$6, 0), FALSE),
            0
        ) +
        IFERROR(
            VLOOKUP($A94, INDIRECT("JulR!$A$6:$ZZ$1048576"), MATCH(J$1, JulR!$6:$6, 0), FALSE),
            0
        ) +
        IFERROR(
            VLOOKUP($A94, INDIRECT("AgoR!$A$6:$ZZ$1048576"), MATCH(J$1, AgoR!$6:$6, 0), FALSE),
            0
        ) +
        IFERROR(
            VLOOKUP($A94, INDIRECT("SepR!$A$6:$ZZ$1048576"), MATCH(J$1, SepR!$6:$6, 0), FALSE),
            0
        ) +
        IFERROR(
            VLOOKUP($A94, INDIRECT("OctR!$A$6:$ZZ$1048576"), MATCH(J$1, OctR!$6:$6, 0), FALSE),
            0
        ) +
        IFERROR(
            VLOOKUP($A94, INDIRECT("NovR!$A$6:$ZZ$1048576"), MATCH(J$1, NovR!$6:$6, 0), FALSE),
            0
        ) +
        IFERROR(
            VLOOKUP($A94, INDIRECT("DicR!$A$6:$ZZ$1048576"), MATCH(J$1, DicR!$6:$6, 0), FALSE),
            0
        )
)</f>
        <v>0</v>
      </c>
      <c r="K94" s="35">
        <f t="array" ref="K94">SUM(
    IFERROR(
            VLOOKUP($A94, INDIRECT("EneR!$A$6:$ZZ$1048576"), MATCH(K$1, EneR!$6:$6, 0), FALSE),
            0
        ) +
        IFERROR(
            VLOOKUP($A94, INDIRECT("FebR!$A$6:$ZZ$1048576"), MATCH(K$1, FebR!$6:$6, 0), FALSE),
            0
        ) +
        IFERROR(
            VLOOKUP($A94, INDIRECT("MarR!$A$6:$ZZ$1048576"), MATCH(K$1, MarR!$6:$6, 0), FALSE),
            0
        ) +
        IFERROR(
            VLOOKUP($A94, INDIRECT("AbrR!$A$6:$ZZ$1048576"), MATCH(K$1, AbrR!$6:$6, 0), FALSE),
            0
        ) +
        IFERROR(
            VLOOKUP($A94, INDIRECT("MayR!$A$6:$ZZ$1048576"), MATCH(K$1, MayR!$6:$6, 0), FALSE),
            0
        ) +
        IFERROR(
            VLOOKUP($A94, INDIRECT("JunR!$A$6:$ZZ$1048576"), MATCH(K$1, JunR!$6:$6, 0), FALSE),
            0
        ) +
        IFERROR(
            VLOOKUP($A94, INDIRECT("JulR!$A$6:$ZZ$1048576"), MATCH(K$1, JulR!$6:$6, 0), FALSE),
            0
        ) +
        IFERROR(
            VLOOKUP($A94, INDIRECT("AgoR!$A$6:$ZZ$1048576"), MATCH(K$1, AgoR!$6:$6, 0), FALSE),
            0
        ) +
        IFERROR(
            VLOOKUP($A94, INDIRECT("SepR!$A$6:$ZZ$1048576"), MATCH(K$1, SepR!$6:$6, 0), FALSE),
            0
        ) +
        IFERROR(
            VLOOKUP($A94, INDIRECT("OctR!$A$6:$ZZ$1048576"), MATCH(K$1, OctR!$6:$6, 0), FALSE),
            0
        ) +
        IFERROR(
            VLOOKUP($A94, INDIRECT("NovR!$A$6:$ZZ$1048576"), MATCH(K$1, NovR!$6:$6, 0), FALSE),
            0
        ) +
        IFERROR(
            VLOOKUP($A94, INDIRECT("DicR!$A$6:$ZZ$1048576"), MATCH(K$1, DicR!$6:$6, 0), FALSE),
            0
        )
)</f>
        <v>0</v>
      </c>
      <c r="L94" s="32">
        <f t="array" ref="L94">SUM(
    IFERROR(
            VLOOKUP($A94, INDIRECT("EneR!$A$6:$ZZ$1048576"), MATCH(L$1, EneR!$6:$6, 0), FALSE),
            0
        ) +
        IFERROR(
            VLOOKUP($A94, INDIRECT("FebR!$A$6:$ZZ$1048576"), MATCH(L$1, FebR!$6:$6, 0), FALSE),
            0
        ) +
        IFERROR(
            VLOOKUP($A94, INDIRECT("MarR!$A$6:$ZZ$1048576"), MATCH(L$1, MarR!$6:$6, 0), FALSE),
            0
        ) +
        IFERROR(
            VLOOKUP($A94, INDIRECT("AbrR!$A$6:$ZZ$1048576"), MATCH(L$1, AbrR!$6:$6, 0), FALSE),
            0
        ) +
        IFERROR(
            VLOOKUP($A94, INDIRECT("MayR!$A$6:$ZZ$1048576"), MATCH(L$1, MayR!$6:$6, 0), FALSE),
            0
        ) +
        IFERROR(
            VLOOKUP($A94, INDIRECT("JunR!$A$6:$ZZ$1048576"), MATCH(L$1, JunR!$6:$6, 0), FALSE),
            0
        ) +
        IFERROR(
            VLOOKUP($A94, INDIRECT("JulR!$A$6:$ZZ$1048576"), MATCH(L$1, JulR!$6:$6, 0), FALSE),
            0
        ) +
        IFERROR(
            VLOOKUP($A94, INDIRECT("AgoR!$A$6:$ZZ$1048576"), MATCH(L$1, AgoR!$6:$6, 0), FALSE),
            0
        ) +
        IFERROR(
            VLOOKUP($A94, INDIRECT("SepR!$A$6:$ZZ$1048576"), MATCH(L$1, SepR!$6:$6, 0), FALSE),
            0
        ) +
        IFERROR(
            VLOOKUP($A94, INDIRECT("OctR!$A$6:$ZZ$1048576"), MATCH(L$1, OctR!$6:$6, 0), FALSE),
            0
        ) +
        IFERROR(
            VLOOKUP($A94, INDIRECT("NovR!$A$6:$ZZ$1048576"), MATCH(L$1, NovR!$6:$6, 0), FALSE),
            0
        ) +
        IFERROR(
            VLOOKUP($A94, INDIRECT("DicR!$A$6:$ZZ$1048576"), MATCH(L$1, DicR!$6:$6, 0), FALSE),
            0
        )
)</f>
        <v>0</v>
      </c>
      <c r="M94" s="35">
        <f t="array" ref="M94">SUM(
    IFERROR(
            VLOOKUP($A94, INDIRECT("EneR!$A$6:$ZZ$1048576"), MATCH(M$1, EneR!$6:$6, 0), FALSE),
            0
        ) +
        IFERROR(
            VLOOKUP($A94, INDIRECT("FebR!$A$6:$ZZ$1048576"), MATCH(M$1, FebR!$6:$6, 0), FALSE),
            0
        ) +
        IFERROR(
            VLOOKUP($A94, INDIRECT("MarR!$A$6:$ZZ$1048576"), MATCH(M$1, MarR!$6:$6, 0), FALSE),
            0
        ) +
        IFERROR(
            VLOOKUP($A94, INDIRECT("AbrR!$A$6:$ZZ$1048576"), MATCH(M$1, AbrR!$6:$6, 0), FALSE),
            0
        ) +
        IFERROR(
            VLOOKUP($A94, INDIRECT("MayR!$A$6:$ZZ$1048576"), MATCH(M$1, MayR!$6:$6, 0), FALSE),
            0
        ) +
        IFERROR(
            VLOOKUP($A94, INDIRECT("JunR!$A$6:$ZZ$1048576"), MATCH(M$1, JunR!$6:$6, 0), FALSE),
            0
        ) +
        IFERROR(
            VLOOKUP($A94, INDIRECT("JulR!$A$6:$ZZ$1048576"), MATCH(M$1, JulR!$6:$6, 0), FALSE),
            0
        ) +
        IFERROR(
            VLOOKUP($A94, INDIRECT("AgoR!$A$6:$ZZ$1048576"), MATCH(M$1, AgoR!$6:$6, 0), FALSE),
            0
        ) +
        IFERROR(
            VLOOKUP($A94, INDIRECT("SepR!$A$6:$ZZ$1048576"), MATCH(M$1, SepR!$6:$6, 0), FALSE),
            0
        ) +
        IFERROR(
            VLOOKUP($A94, INDIRECT("OctR!$A$6:$ZZ$1048576"), MATCH(M$1, OctR!$6:$6, 0), FALSE),
            0
        ) +
        IFERROR(
            VLOOKUP($A94, INDIRECT("NovR!$A$6:$ZZ$1048576"), MATCH(M$1, NovR!$6:$6, 0), FALSE),
            0
        ) +
        IFERROR(
            VLOOKUP($A94, INDIRECT("DicR!$A$6:$ZZ$1048576"), MATCH(M$1, DicR!$6:$6, 0), FALSE),
            0
        )
)</f>
        <v>0</v>
      </c>
      <c r="N94" s="32">
        <f t="array" ref="N94">SUM(
    IFERROR(
            VLOOKUP($A94, INDIRECT("EneR!$A$6:$ZZ$1048576"), MATCH(N$1, EneR!$6:$6, 0), FALSE),
            0
        ) +
        IFERROR(
            VLOOKUP($A94, INDIRECT("FebR!$A$6:$ZZ$1048576"), MATCH(N$1, FebR!$6:$6, 0), FALSE),
            0
        ) +
        IFERROR(
            VLOOKUP($A94, INDIRECT("MarR!$A$6:$ZZ$1048576"), MATCH(N$1, MarR!$6:$6, 0), FALSE),
            0
        ) +
        IFERROR(
            VLOOKUP($A94, INDIRECT("AbrR!$A$6:$ZZ$1048576"), MATCH(N$1, AbrR!$6:$6, 0), FALSE),
            0
        ) +
        IFERROR(
            VLOOKUP($A94, INDIRECT("MayR!$A$6:$ZZ$1048576"), MATCH(N$1, MayR!$6:$6, 0), FALSE),
            0
        ) +
        IFERROR(
            VLOOKUP($A94, INDIRECT("JunR!$A$6:$ZZ$1048576"), MATCH(N$1, JunR!$6:$6, 0), FALSE),
            0
        ) +
        IFERROR(
            VLOOKUP($A94, INDIRECT("JulR!$A$6:$ZZ$1048576"), MATCH(N$1, JulR!$6:$6, 0), FALSE),
            0
        ) +
        IFERROR(
            VLOOKUP($A94, INDIRECT("AgoR!$A$6:$ZZ$1048576"), MATCH(N$1, AgoR!$6:$6, 0), FALSE),
            0
        ) +
        IFERROR(
            VLOOKUP($A94, INDIRECT("SepR!$A$6:$ZZ$1048576"), MATCH(N$1, SepR!$6:$6, 0), FALSE),
            0
        ) +
        IFERROR(
            VLOOKUP($A94, INDIRECT("OctR!$A$6:$ZZ$1048576"), MATCH(N$1, OctR!$6:$6, 0), FALSE),
            0
        ) +
        IFERROR(
            VLOOKUP($A94, INDIRECT("NovR!$A$6:$ZZ$1048576"), MATCH(N$1, NovR!$6:$6, 0), FALSE),
            0
        ) +
        IFERROR(
            VLOOKUP($A94, INDIRECT("DicR!$A$6:$ZZ$1048576"), MATCH(N$1, DicR!$6:$6, 0), FALSE),
            0
        )
)</f>
        <v>0</v>
      </c>
      <c r="O94" s="35">
        <f t="array" ref="O94">SUM(
    IFERROR(
            VLOOKUP($A94, INDIRECT("EneR!$A$6:$ZZ$1048576"), MATCH(O$1, EneR!$6:$6, 0), FALSE),
            0
        ) +
        IFERROR(
            VLOOKUP($A94, INDIRECT("FebR!$A$6:$ZZ$1048576"), MATCH(O$1, FebR!$6:$6, 0), FALSE),
            0
        ) +
        IFERROR(
            VLOOKUP($A94, INDIRECT("MarR!$A$6:$ZZ$1048576"), MATCH(O$1, MarR!$6:$6, 0), FALSE),
            0
        ) +
        IFERROR(
            VLOOKUP($A94, INDIRECT("AbrR!$A$6:$ZZ$1048576"), MATCH(O$1, AbrR!$6:$6, 0), FALSE),
            0
        ) +
        IFERROR(
            VLOOKUP($A94, INDIRECT("MayR!$A$6:$ZZ$1048576"), MATCH(O$1, MayR!$6:$6, 0), FALSE),
            0
        ) +
        IFERROR(
            VLOOKUP($A94, INDIRECT("JunR!$A$6:$ZZ$1048576"), MATCH(O$1, JunR!$6:$6, 0), FALSE),
            0
        ) +
        IFERROR(
            VLOOKUP($A94, INDIRECT("JulR!$A$6:$ZZ$1048576"), MATCH(O$1, JulR!$6:$6, 0), FALSE),
            0
        ) +
        IFERROR(
            VLOOKUP($A94, INDIRECT("AgoR!$A$6:$ZZ$1048576"), MATCH(O$1, AgoR!$6:$6, 0), FALSE),
            0
        ) +
        IFERROR(
            VLOOKUP($A94, INDIRECT("SepR!$A$6:$ZZ$1048576"), MATCH(O$1, SepR!$6:$6, 0), FALSE),
            0
        ) +
        IFERROR(
            VLOOKUP($A94, INDIRECT("OctR!$A$6:$ZZ$1048576"), MATCH(O$1, OctR!$6:$6, 0), FALSE),
            0
        ) +
        IFERROR(
            VLOOKUP($A94, INDIRECT("NovR!$A$6:$ZZ$1048576"), MATCH(O$1, NovR!$6:$6, 0), FALSE),
            0
        ) +
        IFERROR(
            VLOOKUP($A94, INDIRECT("DicR!$A$6:$ZZ$1048576"), MATCH(O$1, DicR!$6:$6, 0), FALSE),
            0
        )
)</f>
        <v>0</v>
      </c>
      <c r="P94" s="32">
        <f t="array" ref="P94">SUM(
    IFERROR(
            VLOOKUP($A94, INDIRECT("EneR!$A$6:$ZZ$1048576"), MATCH(P$1, EneR!$6:$6, 0), FALSE),
            0
        ) +
        IFERROR(
            VLOOKUP($A94, INDIRECT("FebR!$A$6:$ZZ$1048576"), MATCH(P$1, FebR!$6:$6, 0), FALSE),
            0
        ) +
        IFERROR(
            VLOOKUP($A94, INDIRECT("MarR!$A$6:$ZZ$1048576"), MATCH(P$1, MarR!$6:$6, 0), FALSE),
            0
        ) +
        IFERROR(
            VLOOKUP($A94, INDIRECT("AbrR!$A$6:$ZZ$1048576"), MATCH(P$1, AbrR!$6:$6, 0), FALSE),
            0
        ) +
        IFERROR(
            VLOOKUP($A94, INDIRECT("MayR!$A$6:$ZZ$1048576"), MATCH(P$1, MayR!$6:$6, 0), FALSE),
            0
        ) +
        IFERROR(
            VLOOKUP($A94, INDIRECT("JunR!$A$6:$ZZ$1048576"), MATCH(P$1, JunR!$6:$6, 0), FALSE),
            0
        ) +
        IFERROR(
            VLOOKUP($A94, INDIRECT("JulR!$A$6:$ZZ$1048576"), MATCH(P$1, JulR!$6:$6, 0), FALSE),
            0
        ) +
        IFERROR(
            VLOOKUP($A94, INDIRECT("AgoR!$A$6:$ZZ$1048576"), MATCH(P$1, AgoR!$6:$6, 0), FALSE),
            0
        ) +
        IFERROR(
            VLOOKUP($A94, INDIRECT("SepR!$A$6:$ZZ$1048576"), MATCH(P$1, SepR!$6:$6, 0), FALSE),
            0
        ) +
        IFERROR(
            VLOOKUP($A94, INDIRECT("OctR!$A$6:$ZZ$1048576"), MATCH(P$1, OctR!$6:$6, 0), FALSE),
            0
        ) +
        IFERROR(
            VLOOKUP($A94, INDIRECT("NovR!$A$6:$ZZ$1048576"), MATCH(P$1, NovR!$6:$6, 0), FALSE),
            0
        ) +
        IFERROR(
            VLOOKUP($A94, INDIRECT("DicR!$A$6:$ZZ$1048576"), MATCH(P$1, DicR!$6:$6, 0), FALSE),
            0
        )
)</f>
        <v>0</v>
      </c>
      <c r="Q94" s="35">
        <f t="array" ref="Q94">SUM(
    IFERROR(
            VLOOKUP($A94, INDIRECT("EneR!$A$6:$ZZ$1048576"), MATCH(Q$1, EneR!$6:$6, 0), FALSE),
            0
        ) +
        IFERROR(
            VLOOKUP($A94, INDIRECT("FebR!$A$6:$ZZ$1048576"), MATCH(Q$1, FebR!$6:$6, 0), FALSE),
            0
        ) +
        IFERROR(
            VLOOKUP($A94, INDIRECT("MarR!$A$6:$ZZ$1048576"), MATCH(Q$1, MarR!$6:$6, 0), FALSE),
            0
        ) +
        IFERROR(
            VLOOKUP($A94, INDIRECT("AbrR!$A$6:$ZZ$1048576"), MATCH(Q$1, AbrR!$6:$6, 0), FALSE),
            0
        ) +
        IFERROR(
            VLOOKUP($A94, INDIRECT("MayR!$A$6:$ZZ$1048576"), MATCH(Q$1, MayR!$6:$6, 0), FALSE),
            0
        ) +
        IFERROR(
            VLOOKUP($A94, INDIRECT("JunR!$A$6:$ZZ$1048576"), MATCH(Q$1, JunR!$6:$6, 0), FALSE),
            0
        ) +
        IFERROR(
            VLOOKUP($A94, INDIRECT("JulR!$A$6:$ZZ$1048576"), MATCH(Q$1, JulR!$6:$6, 0), FALSE),
            0
        ) +
        IFERROR(
            VLOOKUP($A94, INDIRECT("AgoR!$A$6:$ZZ$1048576"), MATCH(Q$1, AgoR!$6:$6, 0), FALSE),
            0
        ) +
        IFERROR(
            VLOOKUP($A94, INDIRECT("SepR!$A$6:$ZZ$1048576"), MATCH(Q$1, SepR!$6:$6, 0), FALSE),
            0
        ) +
        IFERROR(
            VLOOKUP($A94, INDIRECT("OctR!$A$6:$ZZ$1048576"), MATCH(Q$1, OctR!$6:$6, 0), FALSE),
            0
        ) +
        IFERROR(
            VLOOKUP($A94, INDIRECT("NovR!$A$6:$ZZ$1048576"), MATCH(Q$1, NovR!$6:$6, 0), FALSE),
            0
        ) +
        IFERROR(
            VLOOKUP($A94, INDIRECT("DicR!$A$6:$ZZ$1048576"), MATCH(Q$1, DicR!$6:$6, 0), FALSE),
            0
        )
)</f>
        <v>0</v>
      </c>
      <c r="R94" s="36">
        <f t="array" ref="R94">SUM(
    IFERROR(
            VLOOKUP($A94, INDIRECT("EneR!$A$6:$ZZ$1048576"), MATCH(R$1, EneR!$6:$6, 0), FALSE),
            0
        ) +
        IFERROR(
            VLOOKUP($A94, INDIRECT("FebR!$A$6:$ZZ$1048576"), MATCH(R$1, FebR!$6:$6, 0), FALSE),
            0
        ) +
        IFERROR(
            VLOOKUP($A94, INDIRECT("MarR!$A$6:$ZZ$1048576"), MATCH(R$1, MarR!$6:$6, 0), FALSE),
            0
        ) +
        IFERROR(
            VLOOKUP($A94, INDIRECT("AbrR!$A$6:$ZZ$1048576"), MATCH(R$1, AbrR!$6:$6, 0), FALSE),
            0
        ) +
        IFERROR(
            VLOOKUP($A94, INDIRECT("MayR!$A$6:$ZZ$1048576"), MATCH(R$1, MayR!$6:$6, 0), FALSE),
            0
        ) +
        IFERROR(
            VLOOKUP($A94, INDIRECT("JunR!$A$6:$ZZ$1048576"), MATCH(R$1, JunR!$6:$6, 0), FALSE),
            0
        ) +
        IFERROR(
            VLOOKUP($A94, INDIRECT("JulR!$A$6:$ZZ$1048576"), MATCH(R$1, JulR!$6:$6, 0), FALSE),
            0
        ) +
        IFERROR(
            VLOOKUP($A94, INDIRECT("AgoR!$A$6:$ZZ$1048576"), MATCH(R$1, AgoR!$6:$6, 0), FALSE),
            0
        ) +
        IFERROR(
            VLOOKUP($A94, INDIRECT("SepR!$A$6:$ZZ$1048576"), MATCH(R$1, SepR!$6:$6, 0), FALSE),
            0
        ) +
        IFERROR(
            VLOOKUP($A94, INDIRECT("OctR!$A$6:$ZZ$1048576"), MATCH(R$1, OctR!$6:$6, 0), FALSE),
            0
        ) +
        IFERROR(
            VLOOKUP($A94, INDIRECT("NovR!$A$6:$ZZ$1048576"), MATCH(R$1, NovR!$6:$6, 0), FALSE),
            0
        ) +
        IFERROR(
            VLOOKUP($A94, INDIRECT("DicR!$A$6:$ZZ$1048576"), MATCH(R$1, DicR!$6:$6, 0), FALSE),
            0
        )
)</f>
        <v>0</v>
      </c>
      <c r="S94" s="37">
        <f t="array" ref="S94">SUM(
    IFERROR(
            VLOOKUP($A94, INDIRECT("EneR!$A$6:$ZZ$1048576"), MATCH(S$1, EneR!$6:$6, 0), FALSE),
            0
        ) +
        IFERROR(
            VLOOKUP($A94, INDIRECT("FebR!$A$6:$ZZ$1048576"), MATCH(S$1, FebR!$6:$6, 0), FALSE),
            0
        ) +
        IFERROR(
            VLOOKUP($A94, INDIRECT("MarR!$A$6:$ZZ$1048576"), MATCH(S$1, MarR!$6:$6, 0), FALSE),
            0
        ) +
        IFERROR(
            VLOOKUP($A94, INDIRECT("AbrR!$A$6:$ZZ$1048576"), MATCH(S$1, AbrR!$6:$6, 0), FALSE),
            0
        ) +
        IFERROR(
            VLOOKUP($A94, INDIRECT("MayR!$A$6:$ZZ$1048576"), MATCH(S$1, MayR!$6:$6, 0), FALSE),
            0
        ) +
        IFERROR(
            VLOOKUP($A94, INDIRECT("JunR!$A$6:$ZZ$1048576"), MATCH(S$1, JunR!$6:$6, 0), FALSE),
            0
        ) +
        IFERROR(
            VLOOKUP($A94, INDIRECT("JulR!$A$6:$ZZ$1048576"), MATCH(S$1, JulR!$6:$6, 0), FALSE),
            0
        ) +
        IFERROR(
            VLOOKUP($A94, INDIRECT("AgoR!$A$6:$ZZ$1048576"), MATCH(S$1, AgoR!$6:$6, 0), FALSE),
            0
        ) +
        IFERROR(
            VLOOKUP($A94, INDIRECT("SepR!$A$6:$ZZ$1048576"), MATCH(S$1, SepR!$6:$6, 0), FALSE),
            0
        ) +
        IFERROR(
            VLOOKUP($A94, INDIRECT("OctR!$A$6:$ZZ$1048576"), MATCH(S$1, OctR!$6:$6, 0), FALSE),
            0
        ) +
        IFERROR(
            VLOOKUP($A94, INDIRECT("NovR!$A$6:$ZZ$1048576"), MATCH(S$1, NovR!$6:$6, 0), FALSE),
            0
        ) +
        IFERROR(
            VLOOKUP($A94, INDIRECT("DicR!$A$6:$ZZ$1048576"), MATCH(S$1, DicR!$6:$6, 0), FALSE),
            0
        )
)</f>
        <v>0</v>
      </c>
      <c r="T94" s="36">
        <f t="array" ref="T94">SUM(
    IFERROR(
            VLOOKUP($A94, INDIRECT("EneR!$A$6:$ZZ$1048576"), MATCH(T$1, EneR!$6:$6, 0), FALSE),
            0
        ) +
        IFERROR(
            VLOOKUP($A94, INDIRECT("FebR!$A$6:$ZZ$1048576"), MATCH(T$1, FebR!$6:$6, 0), FALSE),
            0
        ) +
        IFERROR(
            VLOOKUP($A94, INDIRECT("MarR!$A$6:$ZZ$1048576"), MATCH(T$1, MarR!$6:$6, 0), FALSE),
            0
        ) +
        IFERROR(
            VLOOKUP($A94, INDIRECT("AbrR!$A$6:$ZZ$1048576"), MATCH(T$1, AbrR!$6:$6, 0), FALSE),
            0
        ) +
        IFERROR(
            VLOOKUP($A94, INDIRECT("MayR!$A$6:$ZZ$1048576"), MATCH(T$1, MayR!$6:$6, 0), FALSE),
            0
        ) +
        IFERROR(
            VLOOKUP($A94, INDIRECT("JunR!$A$6:$ZZ$1048576"), MATCH(T$1, JunR!$6:$6, 0), FALSE),
            0
        ) +
        IFERROR(
            VLOOKUP($A94, INDIRECT("JulR!$A$6:$ZZ$1048576"), MATCH(T$1, JulR!$6:$6, 0), FALSE),
            0
        ) +
        IFERROR(
            VLOOKUP($A94, INDIRECT("AgoR!$A$6:$ZZ$1048576"), MATCH(T$1, AgoR!$6:$6, 0), FALSE),
            0
        ) +
        IFERROR(
            VLOOKUP($A94, INDIRECT("SepR!$A$6:$ZZ$1048576"), MATCH(T$1, SepR!$6:$6, 0), FALSE),
            0
        ) +
        IFERROR(
            VLOOKUP($A94, INDIRECT("OctR!$A$6:$ZZ$1048576"), MATCH(T$1, OctR!$6:$6, 0), FALSE),
            0
        ) +
        IFERROR(
            VLOOKUP($A94, INDIRECT("NovR!$A$6:$ZZ$1048576"), MATCH(T$1, NovR!$6:$6, 0), FALSE),
            0
        ) +
        IFERROR(
            VLOOKUP($A94, INDIRECT("DicR!$A$6:$ZZ$1048576"), MATCH(T$1, DicR!$6:$6, 0), FALSE),
            0
        )
)</f>
        <v>0</v>
      </c>
      <c r="U94" s="37">
        <f t="array" ref="U94">SUM(
    IFERROR(
            VLOOKUP($A94, INDIRECT("EneR!$A$6:$ZZ$1048576"), MATCH(U$1, EneR!$6:$6, 0), FALSE),
            0
        ) +
        IFERROR(
            VLOOKUP($A94, INDIRECT("FebR!$A$6:$ZZ$1048576"), MATCH(U$1, FebR!$6:$6, 0), FALSE),
            0
        ) +
        IFERROR(
            VLOOKUP($A94, INDIRECT("MarR!$A$6:$ZZ$1048576"), MATCH(U$1, MarR!$6:$6, 0), FALSE),
            0
        ) +
        IFERROR(
            VLOOKUP($A94, INDIRECT("AbrR!$A$6:$ZZ$1048576"), MATCH(U$1, AbrR!$6:$6, 0), FALSE),
            0
        ) +
        IFERROR(
            VLOOKUP($A94, INDIRECT("MayR!$A$6:$ZZ$1048576"), MATCH(U$1, MayR!$6:$6, 0), FALSE),
            0
        ) +
        IFERROR(
            VLOOKUP($A94, INDIRECT("JunR!$A$6:$ZZ$1048576"), MATCH(U$1, JunR!$6:$6, 0), FALSE),
            0
        ) +
        IFERROR(
            VLOOKUP($A94, INDIRECT("JulR!$A$6:$ZZ$1048576"), MATCH(U$1, JulR!$6:$6, 0), FALSE),
            0
        ) +
        IFERROR(
            VLOOKUP($A94, INDIRECT("AgoR!$A$6:$ZZ$1048576"), MATCH(U$1, AgoR!$6:$6, 0), FALSE),
            0
        ) +
        IFERROR(
            VLOOKUP($A94, INDIRECT("SepR!$A$6:$ZZ$1048576"), MATCH(U$1, SepR!$6:$6, 0), FALSE),
            0
        ) +
        IFERROR(
            VLOOKUP($A94, INDIRECT("OctR!$A$6:$ZZ$1048576"), MATCH(U$1, OctR!$6:$6, 0), FALSE),
            0
        ) +
        IFERROR(
            VLOOKUP($A94, INDIRECT("NovR!$A$6:$ZZ$1048576"), MATCH(U$1, NovR!$6:$6, 0), FALSE),
            0
        ) +
        IFERROR(
            VLOOKUP($A94, INDIRECT("DicR!$A$6:$ZZ$1048576"), MATCH(U$1, DicR!$6:$6, 0), FALSE),
            0
        )
)</f>
        <v>0</v>
      </c>
      <c r="V94" s="36">
        <f t="array" ref="V94">SUM(
    IFERROR(
            VLOOKUP($A94, INDIRECT("EneR!$A$6:$ZZ$1048576"), MATCH(V$1, EneR!$6:$6, 0), FALSE),
            0
        ) +
        IFERROR(
            VLOOKUP($A94, INDIRECT("FebR!$A$6:$ZZ$1048576"), MATCH(V$1, FebR!$6:$6, 0), FALSE),
            0
        ) +
        IFERROR(
            VLOOKUP($A94, INDIRECT("MarR!$A$6:$ZZ$1048576"), MATCH(V$1, MarR!$6:$6, 0), FALSE),
            0
        ) +
        IFERROR(
            VLOOKUP($A94, INDIRECT("AbrR!$A$6:$ZZ$1048576"), MATCH(V$1, AbrR!$6:$6, 0), FALSE),
            0
        ) +
        IFERROR(
            VLOOKUP($A94, INDIRECT("MayR!$A$6:$ZZ$1048576"), MATCH(V$1, MayR!$6:$6, 0), FALSE),
            0
        ) +
        IFERROR(
            VLOOKUP($A94, INDIRECT("JunR!$A$6:$ZZ$1048576"), MATCH(V$1, JunR!$6:$6, 0), FALSE),
            0
        ) +
        IFERROR(
            VLOOKUP($A94, INDIRECT("JulR!$A$6:$ZZ$1048576"), MATCH(V$1, JulR!$6:$6, 0), FALSE),
            0
        ) +
        IFERROR(
            VLOOKUP($A94, INDIRECT("AgoR!$A$6:$ZZ$1048576"), MATCH(V$1, AgoR!$6:$6, 0), FALSE),
            0
        ) +
        IFERROR(
            VLOOKUP($A94, INDIRECT("SepR!$A$6:$ZZ$1048576"), MATCH(V$1, SepR!$6:$6, 0), FALSE),
            0
        ) +
        IFERROR(
            VLOOKUP($A94, INDIRECT("OctR!$A$6:$ZZ$1048576"), MATCH(V$1, OctR!$6:$6, 0), FALSE),
            0
        ) +
        IFERROR(
            VLOOKUP($A94, INDIRECT("NovR!$A$6:$ZZ$1048576"), MATCH(V$1, NovR!$6:$6, 0), FALSE),
            0
        ) +
        IFERROR(
            VLOOKUP($A94, INDIRECT("DicR!$A$6:$ZZ$1048576"), MATCH(V$1, DicR!$6:$6, 0), FALSE),
            0
        )
)</f>
        <v>0</v>
      </c>
      <c r="W94" s="37">
        <f t="array" ref="W94">SUM(
    IFERROR(
            VLOOKUP($A94, INDIRECT("EneR!$A$6:$ZZ$1048576"), MATCH(W$1, EneR!$6:$6, 0), FALSE),
            0
        ) +
        IFERROR(
            VLOOKUP($A94, INDIRECT("FebR!$A$6:$ZZ$1048576"), MATCH(W$1, FebR!$6:$6, 0), FALSE),
            0
        ) +
        IFERROR(
            VLOOKUP($A94, INDIRECT("MarR!$A$6:$ZZ$1048576"), MATCH(W$1, MarR!$6:$6, 0), FALSE),
            0
        ) +
        IFERROR(
            VLOOKUP($A94, INDIRECT("AbrR!$A$6:$ZZ$1048576"), MATCH(W$1, AbrR!$6:$6, 0), FALSE),
            0
        ) +
        IFERROR(
            VLOOKUP($A94, INDIRECT("MayR!$A$6:$ZZ$1048576"), MATCH(W$1, MayR!$6:$6, 0), FALSE),
            0
        ) +
        IFERROR(
            VLOOKUP($A94, INDIRECT("JunR!$A$6:$ZZ$1048576"), MATCH(W$1, JunR!$6:$6, 0), FALSE),
            0
        ) +
        IFERROR(
            VLOOKUP($A94, INDIRECT("JulR!$A$6:$ZZ$1048576"), MATCH(W$1, JulR!$6:$6, 0), FALSE),
            0
        ) +
        IFERROR(
            VLOOKUP($A94, INDIRECT("AgoR!$A$6:$ZZ$1048576"), MATCH(W$1, AgoR!$6:$6, 0), FALSE),
            0
        ) +
        IFERROR(
            VLOOKUP($A94, INDIRECT("SepR!$A$6:$ZZ$1048576"), MATCH(W$1, SepR!$6:$6, 0), FALSE),
            0
        ) +
        IFERROR(
            VLOOKUP($A94, INDIRECT("OctR!$A$6:$ZZ$1048576"), MATCH(W$1, OctR!$6:$6, 0), FALSE),
            0
        ) +
        IFERROR(
            VLOOKUP($A94, INDIRECT("NovR!$A$6:$ZZ$1048576"), MATCH(W$1, NovR!$6:$6, 0), FALSE),
            0
        ) +
        IFERROR(
            VLOOKUP($A94, INDIRECT("DicR!$A$6:$ZZ$1048576"), MATCH(W$1, DicR!$6:$6, 0), FALSE),
            0
        )
)</f>
        <v>0</v>
      </c>
      <c r="X94" s="36">
        <f t="array" ref="X94">SUM(
    IFERROR(
            VLOOKUP($A94, INDIRECT("EneR!$A$6:$ZZ$1048576"), MATCH(X$1, EneR!$6:$6, 0), FALSE),
            0
        ) +
        IFERROR(
            VLOOKUP($A94, INDIRECT("FebR!$A$6:$ZZ$1048576"), MATCH(X$1, FebR!$6:$6, 0), FALSE),
            0
        ) +
        IFERROR(
            VLOOKUP($A94, INDIRECT("MarR!$A$6:$ZZ$1048576"), MATCH(X$1, MarR!$6:$6, 0), FALSE),
            0
        ) +
        IFERROR(
            VLOOKUP($A94, INDIRECT("AbrR!$A$6:$ZZ$1048576"), MATCH(X$1, AbrR!$6:$6, 0), FALSE),
            0
        ) +
        IFERROR(
            VLOOKUP($A94, INDIRECT("MayR!$A$6:$ZZ$1048576"), MATCH(X$1, MayR!$6:$6, 0), FALSE),
            0
        ) +
        IFERROR(
            VLOOKUP($A94, INDIRECT("JunR!$A$6:$ZZ$1048576"), MATCH(X$1, JunR!$6:$6, 0), FALSE),
            0
        ) +
        IFERROR(
            VLOOKUP($A94, INDIRECT("JulR!$A$6:$ZZ$1048576"), MATCH(X$1, JulR!$6:$6, 0), FALSE),
            0
        ) +
        IFERROR(
            VLOOKUP($A94, INDIRECT("AgoR!$A$6:$ZZ$1048576"), MATCH(X$1, AgoR!$6:$6, 0), FALSE),
            0
        ) +
        IFERROR(
            VLOOKUP($A94, INDIRECT("SepR!$A$6:$ZZ$1048576"), MATCH(X$1, SepR!$6:$6, 0), FALSE),
            0
        ) +
        IFERROR(
            VLOOKUP($A94, INDIRECT("OctR!$A$6:$ZZ$1048576"), MATCH(X$1, OctR!$6:$6, 0), FALSE),
            0
        ) +
        IFERROR(
            VLOOKUP($A94, INDIRECT("NovR!$A$6:$ZZ$1048576"), MATCH(X$1, NovR!$6:$6, 0), FALSE),
            0
        ) +
        IFERROR(
            VLOOKUP($A94, INDIRECT("DicR!$A$6:$ZZ$1048576"), MATCH(X$1, DicR!$6:$6, 0), FALSE),
            0
        )
)</f>
        <v>0</v>
      </c>
      <c r="Y94" s="37">
        <f t="array" ref="Y94">SUM(
    IFERROR(
            VLOOKUP($A94, INDIRECT("EneR!$A$6:$ZZ$1048576"), MATCH(Y$1, EneR!$6:$6, 0), FALSE),
            0
        ) +
        IFERROR(
            VLOOKUP($A94, INDIRECT("FebR!$A$6:$ZZ$1048576"), MATCH(Y$1, FebR!$6:$6, 0), FALSE),
            0
        ) +
        IFERROR(
            VLOOKUP($A94, INDIRECT("MarR!$A$6:$ZZ$1048576"), MATCH(Y$1, MarR!$6:$6, 0), FALSE),
            0
        ) +
        IFERROR(
            VLOOKUP($A94, INDIRECT("AbrR!$A$6:$ZZ$1048576"), MATCH(Y$1, AbrR!$6:$6, 0), FALSE),
            0
        ) +
        IFERROR(
            VLOOKUP($A94, INDIRECT("MayR!$A$6:$ZZ$1048576"), MATCH(Y$1, MayR!$6:$6, 0), FALSE),
            0
        ) +
        IFERROR(
            VLOOKUP($A94, INDIRECT("JunR!$A$6:$ZZ$1048576"), MATCH(Y$1, JunR!$6:$6, 0), FALSE),
            0
        ) +
        IFERROR(
            VLOOKUP($A94, INDIRECT("JulR!$A$6:$ZZ$1048576"), MATCH(Y$1, JulR!$6:$6, 0), FALSE),
            0
        ) +
        IFERROR(
            VLOOKUP($A94, INDIRECT("AgoR!$A$6:$ZZ$1048576"), MATCH(Y$1, AgoR!$6:$6, 0), FALSE),
            0
        ) +
        IFERROR(
            VLOOKUP($A94, INDIRECT("SepR!$A$6:$ZZ$1048576"), MATCH(Y$1, SepR!$6:$6, 0), FALSE),
            0
        ) +
        IFERROR(
            VLOOKUP($A94, INDIRECT("OctR!$A$6:$ZZ$1048576"), MATCH(Y$1, OctR!$6:$6, 0), FALSE),
            0
        ) +
        IFERROR(
            VLOOKUP($A94, INDIRECT("NovR!$A$6:$ZZ$1048576"), MATCH(Y$1, NovR!$6:$6, 0), FALSE),
            0
        ) +
        IFERROR(
            VLOOKUP($A94, INDIRECT("DicR!$A$6:$ZZ$1048576"), MATCH(Y$1, DicR!$6:$6, 0), FALSE),
            0
        )
)</f>
        <v>0</v>
      </c>
      <c r="Z94" s="36">
        <f t="array" ref="Z94">SUM(
    IFERROR(
            VLOOKUP($A94, INDIRECT("EneR!$A$6:$ZZ$1048576"), MATCH(Z$1, EneR!$6:$6, 0), FALSE),
            0
        ) +
        IFERROR(
            VLOOKUP($A94, INDIRECT("FebR!$A$6:$ZZ$1048576"), MATCH(Z$1, FebR!$6:$6, 0), FALSE),
            0
        ) +
        IFERROR(
            VLOOKUP($A94, INDIRECT("MarR!$A$6:$ZZ$1048576"), MATCH(Z$1, MarR!$6:$6, 0), FALSE),
            0
        ) +
        IFERROR(
            VLOOKUP($A94, INDIRECT("AbrR!$A$6:$ZZ$1048576"), MATCH(Z$1, AbrR!$6:$6, 0), FALSE),
            0
        ) +
        IFERROR(
            VLOOKUP($A94, INDIRECT("MayR!$A$6:$ZZ$1048576"), MATCH(Z$1, MayR!$6:$6, 0), FALSE),
            0
        ) +
        IFERROR(
            VLOOKUP($A94, INDIRECT("JunR!$A$6:$ZZ$1048576"), MATCH(Z$1, JunR!$6:$6, 0), FALSE),
            0
        ) +
        IFERROR(
            VLOOKUP($A94, INDIRECT("JulR!$A$6:$ZZ$1048576"), MATCH(Z$1, JulR!$6:$6, 0), FALSE),
            0
        ) +
        IFERROR(
            VLOOKUP($A94, INDIRECT("AgoR!$A$6:$ZZ$1048576"), MATCH(Z$1, AgoR!$6:$6, 0), FALSE),
            0
        ) +
        IFERROR(
            VLOOKUP($A94, INDIRECT("SepR!$A$6:$ZZ$1048576"), MATCH(Z$1, SepR!$6:$6, 0), FALSE),
            0
        ) +
        IFERROR(
            VLOOKUP($A94, INDIRECT("OctR!$A$6:$ZZ$1048576"), MATCH(Z$1, OctR!$6:$6, 0), FALSE),
            0
        ) +
        IFERROR(
            VLOOKUP($A94, INDIRECT("NovR!$A$6:$ZZ$1048576"), MATCH(Z$1, NovR!$6:$6, 0), FALSE),
            0
        ) +
        IFERROR(
            VLOOKUP($A94, INDIRECT("DicR!$A$6:$ZZ$1048576"), MATCH(Z$1, DicR!$6:$6, 0), FALSE),
            0
        )
)</f>
        <v>0</v>
      </c>
      <c r="AA94" s="37">
        <f t="array" ref="AA94">SUM(
    IFERROR(
            VLOOKUP($A94, INDIRECT("EneR!$A$6:$ZZ$1048576"), MATCH(AA$1, EneR!$6:$6, 0), FALSE),
            0
        ) +
        IFERROR(
            VLOOKUP($A94, INDIRECT("FebR!$A$6:$ZZ$1048576"), MATCH(AA$1, FebR!$6:$6, 0), FALSE),
            0
        ) +
        IFERROR(
            VLOOKUP($A94, INDIRECT("MarR!$A$6:$ZZ$1048576"), MATCH(AA$1, MarR!$6:$6, 0), FALSE),
            0
        ) +
        IFERROR(
            VLOOKUP($A94, INDIRECT("AbrR!$A$6:$ZZ$1048576"), MATCH(AA$1, AbrR!$6:$6, 0), FALSE),
            0
        ) +
        IFERROR(
            VLOOKUP($A94, INDIRECT("MayR!$A$6:$ZZ$1048576"), MATCH(AA$1, MayR!$6:$6, 0), FALSE),
            0
        ) +
        IFERROR(
            VLOOKUP($A94, INDIRECT("JunR!$A$6:$ZZ$1048576"), MATCH(AA$1, JunR!$6:$6, 0), FALSE),
            0
        ) +
        IFERROR(
            VLOOKUP($A94, INDIRECT("JulR!$A$6:$ZZ$1048576"), MATCH(AA$1, JulR!$6:$6, 0), FALSE),
            0
        ) +
        IFERROR(
            VLOOKUP($A94, INDIRECT("AgoR!$A$6:$ZZ$1048576"), MATCH(AA$1, AgoR!$6:$6, 0), FALSE),
            0
        ) +
        IFERROR(
            VLOOKUP($A94, INDIRECT("SepR!$A$6:$ZZ$1048576"), MATCH(AA$1, SepR!$6:$6, 0), FALSE),
            0
        ) +
        IFERROR(
            VLOOKUP($A94, INDIRECT("OctR!$A$6:$ZZ$1048576"), MATCH(AA$1, OctR!$6:$6, 0), FALSE),
            0
        ) +
        IFERROR(
            VLOOKUP($A94, INDIRECT("NovR!$A$6:$ZZ$1048576"), MATCH(AA$1, NovR!$6:$6, 0), FALSE),
            0
        ) +
        IFERROR(
            VLOOKUP($A94, INDIRECT("DicR!$A$6:$ZZ$1048576"), MATCH(AA$1, DicR!$6:$6, 0), FALSE),
            0
        )
)</f>
        <v>0</v>
      </c>
      <c r="AB94" s="36">
        <f t="array" ref="AB94">SUM(
    IFERROR(
            VLOOKUP($A94, INDIRECT("EneR!$A$6:$ZZ$1048576"), MATCH(AB$1, EneR!$6:$6, 0), FALSE),
            0
        ) +
        IFERROR(
            VLOOKUP($A94, INDIRECT("FebR!$A$6:$ZZ$1048576"), MATCH(AB$1, FebR!$6:$6, 0), FALSE),
            0
        ) +
        IFERROR(
            VLOOKUP($A94, INDIRECT("MarR!$A$6:$ZZ$1048576"), MATCH(AB$1, MarR!$6:$6, 0), FALSE),
            0
        ) +
        IFERROR(
            VLOOKUP($A94, INDIRECT("AbrR!$A$6:$ZZ$1048576"), MATCH(AB$1, AbrR!$6:$6, 0), FALSE),
            0
        ) +
        IFERROR(
            VLOOKUP($A94, INDIRECT("MayR!$A$6:$ZZ$1048576"), MATCH(AB$1, MayR!$6:$6, 0), FALSE),
            0
        ) +
        IFERROR(
            VLOOKUP($A94, INDIRECT("JunR!$A$6:$ZZ$1048576"), MATCH(AB$1, JunR!$6:$6, 0), FALSE),
            0
        ) +
        IFERROR(
            VLOOKUP($A94, INDIRECT("JulR!$A$6:$ZZ$1048576"), MATCH(AB$1, JulR!$6:$6, 0), FALSE),
            0
        ) +
        IFERROR(
            VLOOKUP($A94, INDIRECT("AgoR!$A$6:$ZZ$1048576"), MATCH(AB$1, AgoR!$6:$6, 0), FALSE),
            0
        ) +
        IFERROR(
            VLOOKUP($A94, INDIRECT("SepR!$A$6:$ZZ$1048576"), MATCH(AB$1, SepR!$6:$6, 0), FALSE),
            0
        ) +
        IFERROR(
            VLOOKUP($A94, INDIRECT("OctR!$A$6:$ZZ$1048576"), MATCH(AB$1, OctR!$6:$6, 0), FALSE),
            0
        ) +
        IFERROR(
            VLOOKUP($A94, INDIRECT("NovR!$A$6:$ZZ$1048576"), MATCH(AB$1, NovR!$6:$6, 0), FALSE),
            0
        ) +
        IFERROR(
            VLOOKUP($A94, INDIRECT("DicR!$A$6:$ZZ$1048576"), MATCH(AB$1, DicR!$6:$6, 0), FALSE),
            0
        )
)</f>
        <v>0</v>
      </c>
      <c r="AC94" s="37">
        <f t="array" ref="AC94">SUM(
    IFERROR(
            VLOOKUP($A94, INDIRECT("EneR!$A$6:$ZZ$1048576"), MATCH(AC$1, EneR!$6:$6, 0), FALSE),
            0
        ) +
        IFERROR(
            VLOOKUP($A94, INDIRECT("FebR!$A$6:$ZZ$1048576"), MATCH(AC$1, FebR!$6:$6, 0), FALSE),
            0
        ) +
        IFERROR(
            VLOOKUP($A94, INDIRECT("MarR!$A$6:$ZZ$1048576"), MATCH(AC$1, MarR!$6:$6, 0), FALSE),
            0
        ) +
        IFERROR(
            VLOOKUP($A94, INDIRECT("AbrR!$A$6:$ZZ$1048576"), MATCH(AC$1, AbrR!$6:$6, 0), FALSE),
            0
        ) +
        IFERROR(
            VLOOKUP($A94, INDIRECT("MayR!$A$6:$ZZ$1048576"), MATCH(AC$1, MayR!$6:$6, 0), FALSE),
            0
        ) +
        IFERROR(
            VLOOKUP($A94, INDIRECT("JunR!$A$6:$ZZ$1048576"), MATCH(AC$1, JunR!$6:$6, 0), FALSE),
            0
        ) +
        IFERROR(
            VLOOKUP($A94, INDIRECT("JulR!$A$6:$ZZ$1048576"), MATCH(AC$1, JulR!$6:$6, 0), FALSE),
            0
        ) +
        IFERROR(
            VLOOKUP($A94, INDIRECT("AgoR!$A$6:$ZZ$1048576"), MATCH(AC$1, AgoR!$6:$6, 0), FALSE),
            0
        ) +
        IFERROR(
            VLOOKUP($A94, INDIRECT("SepR!$A$6:$ZZ$1048576"), MATCH(AC$1, SepR!$6:$6, 0), FALSE),
            0
        ) +
        IFERROR(
            VLOOKUP($A94, INDIRECT("OctR!$A$6:$ZZ$1048576"), MATCH(AC$1, OctR!$6:$6, 0), FALSE),
            0
        ) +
        IFERROR(
            VLOOKUP($A94, INDIRECT("NovR!$A$6:$ZZ$1048576"), MATCH(AC$1, NovR!$6:$6, 0), FALSE),
            0
        ) +
        IFERROR(
            VLOOKUP($A94, INDIRECT("DicR!$A$6:$ZZ$1048576"), MATCH(AC$1, DicR!$6:$6, 0), FALSE),
            0
        )
)</f>
        <v>0</v>
      </c>
      <c r="AD94" s="36">
        <f t="array" ref="AD94">SUM(
    IFERROR(
            VLOOKUP($A94, INDIRECT("EneR!$A$6:$ZZ$1048576"), MATCH(AD$1, EneR!$6:$6, 0), FALSE),
            0
        ) +
        IFERROR(
            VLOOKUP($A94, INDIRECT("FebR!$A$6:$ZZ$1048576"), MATCH(AD$1, FebR!$6:$6, 0), FALSE),
            0
        ) +
        IFERROR(
            VLOOKUP($A94, INDIRECT("MarR!$A$6:$ZZ$1048576"), MATCH(AD$1, MarR!$6:$6, 0), FALSE),
            0
        ) +
        IFERROR(
            VLOOKUP($A94, INDIRECT("AbrR!$A$6:$ZZ$1048576"), MATCH(AD$1, AbrR!$6:$6, 0), FALSE),
            0
        ) +
        IFERROR(
            VLOOKUP($A94, INDIRECT("MayR!$A$6:$ZZ$1048576"), MATCH(AD$1, MayR!$6:$6, 0), FALSE),
            0
        ) +
        IFERROR(
            VLOOKUP($A94, INDIRECT("JunR!$A$6:$ZZ$1048576"), MATCH(AD$1, JunR!$6:$6, 0), FALSE),
            0
        ) +
        IFERROR(
            VLOOKUP($A94, INDIRECT("JulR!$A$6:$ZZ$1048576"), MATCH(AD$1, JulR!$6:$6, 0), FALSE),
            0
        ) +
        IFERROR(
            VLOOKUP($A94, INDIRECT("AgoR!$A$6:$ZZ$1048576"), MATCH(AD$1, AgoR!$6:$6, 0), FALSE),
            0
        ) +
        IFERROR(
            VLOOKUP($A94, INDIRECT("SepR!$A$6:$ZZ$1048576"), MATCH(AD$1, SepR!$6:$6, 0), FALSE),
            0
        ) +
        IFERROR(
            VLOOKUP($A94, INDIRECT("OctR!$A$6:$ZZ$1048576"), MATCH(AD$1, OctR!$6:$6, 0), FALSE),
            0
        ) +
        IFERROR(
            VLOOKUP($A94, INDIRECT("NovR!$A$6:$ZZ$1048576"), MATCH(AD$1, NovR!$6:$6, 0), FALSE),
            0
        ) +
        IFERROR(
            VLOOKUP($A94, INDIRECT("DicR!$A$6:$ZZ$1048576"), MATCH(AD$1, DicR!$6:$6, 0), FALSE),
            0
        )
)</f>
        <v>0</v>
      </c>
      <c r="AE94" s="37">
        <f t="array" ref="AE94">SUM(
    IFERROR(
            VLOOKUP($A94, INDIRECT("EneR!$A$6:$ZZ$1048576"), MATCH(AE$1, EneR!$6:$6, 0), FALSE),
            0
        ) +
        IFERROR(
            VLOOKUP($A94, INDIRECT("FebR!$A$6:$ZZ$1048576"), MATCH(AE$1, FebR!$6:$6, 0), FALSE),
            0
        ) +
        IFERROR(
            VLOOKUP($A94, INDIRECT("MarR!$A$6:$ZZ$1048576"), MATCH(AE$1, MarR!$6:$6, 0), FALSE),
            0
        ) +
        IFERROR(
            VLOOKUP($A94, INDIRECT("AbrR!$A$6:$ZZ$1048576"), MATCH(AE$1, AbrR!$6:$6, 0), FALSE),
            0
        ) +
        IFERROR(
            VLOOKUP($A94, INDIRECT("MayR!$A$6:$ZZ$1048576"), MATCH(AE$1, MayR!$6:$6, 0), FALSE),
            0
        ) +
        IFERROR(
            VLOOKUP($A94, INDIRECT("JunR!$A$6:$ZZ$1048576"), MATCH(AE$1, JunR!$6:$6, 0), FALSE),
            0
        ) +
        IFERROR(
            VLOOKUP($A94, INDIRECT("JulR!$A$6:$ZZ$1048576"), MATCH(AE$1, JulR!$6:$6, 0), FALSE),
            0
        ) +
        IFERROR(
            VLOOKUP($A94, INDIRECT("AgoR!$A$6:$ZZ$1048576"), MATCH(AE$1, AgoR!$6:$6, 0), FALSE),
            0
        ) +
        IFERROR(
            VLOOKUP($A94, INDIRECT("SepR!$A$6:$ZZ$1048576"), MATCH(AE$1, SepR!$6:$6, 0), FALSE),
            0
        ) +
        IFERROR(
            VLOOKUP($A94, INDIRECT("OctR!$A$6:$ZZ$1048576"), MATCH(AE$1, OctR!$6:$6, 0), FALSE),
            0
        ) +
        IFERROR(
            VLOOKUP($A94, INDIRECT("NovR!$A$6:$ZZ$1048576"), MATCH(AE$1, NovR!$6:$6, 0), FALSE),
            0
        ) +
        IFERROR(
            VLOOKUP($A94, INDIRECT("DicR!$A$6:$ZZ$1048576"), MATCH(AE$1, DicR!$6:$6, 0), FALSE),
            0
        )
)</f>
        <v>0</v>
      </c>
      <c r="AF94" s="36">
        <f t="array" ref="AF94">SUM(
    IFERROR(
            VLOOKUP($A94, INDIRECT("EneR!$A$6:$ZZ$1048576"), MATCH(AF$1, EneR!$6:$6, 0), FALSE),
            0
        ) +
        IFERROR(
            VLOOKUP($A94, INDIRECT("FebR!$A$6:$ZZ$1048576"), MATCH(AF$1, FebR!$6:$6, 0), FALSE),
            0
        ) +
        IFERROR(
            VLOOKUP($A94, INDIRECT("MarR!$A$6:$ZZ$1048576"), MATCH(AF$1, MarR!$6:$6, 0), FALSE),
            0
        ) +
        IFERROR(
            VLOOKUP($A94, INDIRECT("AbrR!$A$6:$ZZ$1048576"), MATCH(AF$1, AbrR!$6:$6, 0), FALSE),
            0
        ) +
        IFERROR(
            VLOOKUP($A94, INDIRECT("MayR!$A$6:$ZZ$1048576"), MATCH(AF$1, MayR!$6:$6, 0), FALSE),
            0
        ) +
        IFERROR(
            VLOOKUP($A94, INDIRECT("JunR!$A$6:$ZZ$1048576"), MATCH(AF$1, JunR!$6:$6, 0), FALSE),
            0
        ) +
        IFERROR(
            VLOOKUP($A94, INDIRECT("JulR!$A$6:$ZZ$1048576"), MATCH(AF$1, JulR!$6:$6, 0), FALSE),
            0
        ) +
        IFERROR(
            VLOOKUP($A94, INDIRECT("AgoR!$A$6:$ZZ$1048576"), MATCH(AF$1, AgoR!$6:$6, 0), FALSE),
            0
        ) +
        IFERROR(
            VLOOKUP($A94, INDIRECT("SepR!$A$6:$ZZ$1048576"), MATCH(AF$1, SepR!$6:$6, 0), FALSE),
            0
        ) +
        IFERROR(
            VLOOKUP($A94, INDIRECT("OctR!$A$6:$ZZ$1048576"), MATCH(AF$1, OctR!$6:$6, 0), FALSE),
            0
        ) +
        IFERROR(
            VLOOKUP($A94, INDIRECT("NovR!$A$6:$ZZ$1048576"), MATCH(AF$1, NovR!$6:$6, 0), FALSE),
            0
        ) +
        IFERROR(
            VLOOKUP($A94, INDIRECT("DicR!$A$6:$ZZ$1048576"), MATCH(AF$1, DicR!$6:$6, 0), FALSE),
            0
        )
)</f>
        <v>0</v>
      </c>
      <c r="AG94" s="37">
        <f t="array" ref="AG94">SUM(
    IFERROR(
            VLOOKUP($A94, INDIRECT("EneR!$A$6:$ZZ$1048576"), MATCH(AG$1, EneR!$6:$6, 0), FALSE),
            0
        ) +
        IFERROR(
            VLOOKUP($A94, INDIRECT("FebR!$A$6:$ZZ$1048576"), MATCH(AG$1, FebR!$6:$6, 0), FALSE),
            0
        ) +
        IFERROR(
            VLOOKUP($A94, INDIRECT("MarR!$A$6:$ZZ$1048576"), MATCH(AG$1, MarR!$6:$6, 0), FALSE),
            0
        ) +
        IFERROR(
            VLOOKUP($A94, INDIRECT("AbrR!$A$6:$ZZ$1048576"), MATCH(AG$1, AbrR!$6:$6, 0), FALSE),
            0
        ) +
        IFERROR(
            VLOOKUP($A94, INDIRECT("MayR!$A$6:$ZZ$1048576"), MATCH(AG$1, MayR!$6:$6, 0), FALSE),
            0
        ) +
        IFERROR(
            VLOOKUP($A94, INDIRECT("JunR!$A$6:$ZZ$1048576"), MATCH(AG$1, JunR!$6:$6, 0), FALSE),
            0
        ) +
        IFERROR(
            VLOOKUP($A94, INDIRECT("JulR!$A$6:$ZZ$1048576"), MATCH(AG$1, JulR!$6:$6, 0), FALSE),
            0
        ) +
        IFERROR(
            VLOOKUP($A94, INDIRECT("AgoR!$A$6:$ZZ$1048576"), MATCH(AG$1, AgoR!$6:$6, 0), FALSE),
            0
        ) +
        IFERROR(
            VLOOKUP($A94, INDIRECT("SepR!$A$6:$ZZ$1048576"), MATCH(AG$1, SepR!$6:$6, 0), FALSE),
            0
        ) +
        IFERROR(
            VLOOKUP($A94, INDIRECT("OctR!$A$6:$ZZ$1048576"), MATCH(AG$1, OctR!$6:$6, 0), FALSE),
            0
        ) +
        IFERROR(
            VLOOKUP($A94, INDIRECT("NovR!$A$6:$ZZ$1048576"), MATCH(AG$1, NovR!$6:$6, 0), FALSE),
            0
        ) +
        IFERROR(
            VLOOKUP($A94, INDIRECT("DicR!$A$6:$ZZ$1048576"), MATCH(AG$1, DicR!$6:$6, 0), FALSE),
            0
        )
)</f>
        <v>0</v>
      </c>
      <c r="AH94" s="36">
        <f t="array" ref="AH94">SUM(
    IFERROR(
            VLOOKUP($A94, INDIRECT("EneR!$A$6:$ZZ$1048576"), MATCH(AH$1, EneR!$6:$6, 0), FALSE),
            0
        ) +
        IFERROR(
            VLOOKUP($A94, INDIRECT("FebR!$A$6:$ZZ$1048576"), MATCH(AH$1, FebR!$6:$6, 0), FALSE),
            0
        ) +
        IFERROR(
            VLOOKUP($A94, INDIRECT("MarR!$A$6:$ZZ$1048576"), MATCH(AH$1, MarR!$6:$6, 0), FALSE),
            0
        ) +
        IFERROR(
            VLOOKUP($A94, INDIRECT("AbrR!$A$6:$ZZ$1048576"), MATCH(AH$1, AbrR!$6:$6, 0), FALSE),
            0
        ) +
        IFERROR(
            VLOOKUP($A94, INDIRECT("MayR!$A$6:$ZZ$1048576"), MATCH(AH$1, MayR!$6:$6, 0), FALSE),
            0
        ) +
        IFERROR(
            VLOOKUP($A94, INDIRECT("JunR!$A$6:$ZZ$1048576"), MATCH(AH$1, JunR!$6:$6, 0), FALSE),
            0
        ) +
        IFERROR(
            VLOOKUP($A94, INDIRECT("JulR!$A$6:$ZZ$1048576"), MATCH(AH$1, JulR!$6:$6, 0), FALSE),
            0
        ) +
        IFERROR(
            VLOOKUP($A94, INDIRECT("AgoR!$A$6:$ZZ$1048576"), MATCH(AH$1, AgoR!$6:$6, 0), FALSE),
            0
        ) +
        IFERROR(
            VLOOKUP($A94, INDIRECT("SepR!$A$6:$ZZ$1048576"), MATCH(AH$1, SepR!$6:$6, 0), FALSE),
            0
        ) +
        IFERROR(
            VLOOKUP($A94, INDIRECT("OctR!$A$6:$ZZ$1048576"), MATCH(AH$1, OctR!$6:$6, 0), FALSE),
            0
        ) +
        IFERROR(
            VLOOKUP($A94, INDIRECT("NovR!$A$6:$ZZ$1048576"), MATCH(AH$1, NovR!$6:$6, 0), FALSE),
            0
        ) +
        IFERROR(
            VLOOKUP($A94, INDIRECT("DicR!$A$6:$ZZ$1048576"), MATCH(AH$1, DicR!$6:$6, 0), FALSE),
            0
        )
)</f>
        <v>0</v>
      </c>
      <c r="AI94" s="37">
        <f t="array" ref="AI94">SUM(
    IFERROR(
            VLOOKUP($A94, INDIRECT("EneR!$A$6:$ZZ$1048576"), MATCH(AI$1, EneR!$6:$6, 0), FALSE),
            0
        ) +
        IFERROR(
            VLOOKUP($A94, INDIRECT("FebR!$A$6:$ZZ$1048576"), MATCH(AI$1, FebR!$6:$6, 0), FALSE),
            0
        ) +
        IFERROR(
            VLOOKUP($A94, INDIRECT("MarR!$A$6:$ZZ$1048576"), MATCH(AI$1, MarR!$6:$6, 0), FALSE),
            0
        ) +
        IFERROR(
            VLOOKUP($A94, INDIRECT("AbrR!$A$6:$ZZ$1048576"), MATCH(AI$1, AbrR!$6:$6, 0), FALSE),
            0
        ) +
        IFERROR(
            VLOOKUP($A94, INDIRECT("MayR!$A$6:$ZZ$1048576"), MATCH(AI$1, MayR!$6:$6, 0), FALSE),
            0
        ) +
        IFERROR(
            VLOOKUP($A94, INDIRECT("JunR!$A$6:$ZZ$1048576"), MATCH(AI$1, JunR!$6:$6, 0), FALSE),
            0
        ) +
        IFERROR(
            VLOOKUP($A94, INDIRECT("JulR!$A$6:$ZZ$1048576"), MATCH(AI$1, JulR!$6:$6, 0), FALSE),
            0
        ) +
        IFERROR(
            VLOOKUP($A94, INDIRECT("AgoR!$A$6:$ZZ$1048576"), MATCH(AI$1, AgoR!$6:$6, 0), FALSE),
            0
        ) +
        IFERROR(
            VLOOKUP($A94, INDIRECT("SepR!$A$6:$ZZ$1048576"), MATCH(AI$1, SepR!$6:$6, 0), FALSE),
            0
        ) +
        IFERROR(
            VLOOKUP($A94, INDIRECT("OctR!$A$6:$ZZ$1048576"), MATCH(AI$1, OctR!$6:$6, 0), FALSE),
            0
        ) +
        IFERROR(
            VLOOKUP($A94, INDIRECT("NovR!$A$6:$ZZ$1048576"), MATCH(AI$1, NovR!$6:$6, 0), FALSE),
            0
        ) +
        IFERROR(
            VLOOKUP($A94, INDIRECT("DicR!$A$6:$ZZ$1048576"), MATCH(AI$1, DicR!$6:$6, 0), FALSE),
            0
        )
)</f>
        <v>0</v>
      </c>
      <c r="AJ94" s="36">
        <f t="array" ref="AJ94">SUM(
    IFERROR(
            VLOOKUP($A94, INDIRECT("EneR!$A$6:$ZZ$1048576"), MATCH(AJ$1, EneR!$6:$6, 0), FALSE),
            0
        ) +
        IFERROR(
            VLOOKUP($A94, INDIRECT("FebR!$A$6:$ZZ$1048576"), MATCH(AJ$1, FebR!$6:$6, 0), FALSE),
            0
        ) +
        IFERROR(
            VLOOKUP($A94, INDIRECT("MarR!$A$6:$ZZ$1048576"), MATCH(AJ$1, MarR!$6:$6, 0), FALSE),
            0
        ) +
        IFERROR(
            VLOOKUP($A94, INDIRECT("AbrR!$A$6:$ZZ$1048576"), MATCH(AJ$1, AbrR!$6:$6, 0), FALSE),
            0
        ) +
        IFERROR(
            VLOOKUP($A94, INDIRECT("MayR!$A$6:$ZZ$1048576"), MATCH(AJ$1, MayR!$6:$6, 0), FALSE),
            0
        ) +
        IFERROR(
            VLOOKUP($A94, INDIRECT("JunR!$A$6:$ZZ$1048576"), MATCH(AJ$1, JunR!$6:$6, 0), FALSE),
            0
        ) +
        IFERROR(
            VLOOKUP($A94, INDIRECT("JulR!$A$6:$ZZ$1048576"), MATCH(AJ$1, JulR!$6:$6, 0), FALSE),
            0
        ) +
        IFERROR(
            VLOOKUP($A94, INDIRECT("AgoR!$A$6:$ZZ$1048576"), MATCH(AJ$1, AgoR!$6:$6, 0), FALSE),
            0
        ) +
        IFERROR(
            VLOOKUP($A94, INDIRECT("SepR!$A$6:$ZZ$1048576"), MATCH(AJ$1, SepR!$6:$6, 0), FALSE),
            0
        ) +
        IFERROR(
            VLOOKUP($A94, INDIRECT("OctR!$A$6:$ZZ$1048576"), MATCH(AJ$1, OctR!$6:$6, 0), FALSE),
            0
        ) +
        IFERROR(
            VLOOKUP($A94, INDIRECT("NovR!$A$6:$ZZ$1048576"), MATCH(AJ$1, NovR!$6:$6, 0), FALSE),
            0
        ) +
        IFERROR(
            VLOOKUP($A94, INDIRECT("DicR!$A$6:$ZZ$1048576"), MATCH(AJ$1, DicR!$6:$6, 0), FALSE),
            0
        )
)</f>
        <v>0</v>
      </c>
      <c r="AK94" s="37">
        <f t="array" ref="AK94">SUM(
    IFERROR(
            VLOOKUP($A94, INDIRECT("EneR!$A$6:$ZZ$1048576"), MATCH(AK$1, EneR!$6:$6, 0), FALSE),
            0
        ) +
        IFERROR(
            VLOOKUP($A94, INDIRECT("FebR!$A$6:$ZZ$1048576"), MATCH(AK$1, FebR!$6:$6, 0), FALSE),
            0
        ) +
        IFERROR(
            VLOOKUP($A94, INDIRECT("MarR!$A$6:$ZZ$1048576"), MATCH(AK$1, MarR!$6:$6, 0), FALSE),
            0
        ) +
        IFERROR(
            VLOOKUP($A94, INDIRECT("AbrR!$A$6:$ZZ$1048576"), MATCH(AK$1, AbrR!$6:$6, 0), FALSE),
            0
        ) +
        IFERROR(
            VLOOKUP($A94, INDIRECT("MayR!$A$6:$ZZ$1048576"), MATCH(AK$1, MayR!$6:$6, 0), FALSE),
            0
        ) +
        IFERROR(
            VLOOKUP($A94, INDIRECT("JunR!$A$6:$ZZ$1048576"), MATCH(AK$1, JunR!$6:$6, 0), FALSE),
            0
        ) +
        IFERROR(
            VLOOKUP($A94, INDIRECT("JulR!$A$6:$ZZ$1048576"), MATCH(AK$1, JulR!$6:$6, 0), FALSE),
            0
        ) +
        IFERROR(
            VLOOKUP($A94, INDIRECT("AgoR!$A$6:$ZZ$1048576"), MATCH(AK$1, AgoR!$6:$6, 0), FALSE),
            0
        ) +
        IFERROR(
            VLOOKUP($A94, INDIRECT("SepR!$A$6:$ZZ$1048576"), MATCH(AK$1, SepR!$6:$6, 0), FALSE),
            0
        ) +
        IFERROR(
            VLOOKUP($A94, INDIRECT("OctR!$A$6:$ZZ$1048576"), MATCH(AK$1, OctR!$6:$6, 0), FALSE),
            0
        ) +
        IFERROR(
            VLOOKUP($A94, INDIRECT("NovR!$A$6:$ZZ$1048576"), MATCH(AK$1, NovR!$6:$6, 0), FALSE),
            0
        ) +
        IFERROR(
            VLOOKUP($A94, INDIRECT("DicR!$A$6:$ZZ$1048576"), MATCH(AK$1, DicR!$6:$6, 0), FALSE),
            0
        )
)</f>
        <v>0</v>
      </c>
      <c r="AL94" s="36">
        <f t="array" ref="AL94">SUM(
    IFERROR(
            VLOOKUP($A94, INDIRECT("EneR!$A$6:$ZZ$1048576"), MATCH(AL$1, EneR!$6:$6, 0), FALSE),
            0
        ) +
        IFERROR(
            VLOOKUP($A94, INDIRECT("FebR!$A$6:$ZZ$1048576"), MATCH(AL$1, FebR!$6:$6, 0), FALSE),
            0
        ) +
        IFERROR(
            VLOOKUP($A94, INDIRECT("MarR!$A$6:$ZZ$1048576"), MATCH(AL$1, MarR!$6:$6, 0), FALSE),
            0
        ) +
        IFERROR(
            VLOOKUP($A94, INDIRECT("AbrR!$A$6:$ZZ$1048576"), MATCH(AL$1, AbrR!$6:$6, 0), FALSE),
            0
        ) +
        IFERROR(
            VLOOKUP($A94, INDIRECT("MayR!$A$6:$ZZ$1048576"), MATCH(AL$1, MayR!$6:$6, 0), FALSE),
            0
        ) +
        IFERROR(
            VLOOKUP($A94, INDIRECT("JunR!$A$6:$ZZ$1048576"), MATCH(AL$1, JunR!$6:$6, 0), FALSE),
            0
        ) +
        IFERROR(
            VLOOKUP($A94, INDIRECT("JulR!$A$6:$ZZ$1048576"), MATCH(AL$1, JulR!$6:$6, 0), FALSE),
            0
        ) +
        IFERROR(
            VLOOKUP($A94, INDIRECT("AgoR!$A$6:$ZZ$1048576"), MATCH(AL$1, AgoR!$6:$6, 0), FALSE),
            0
        ) +
        IFERROR(
            VLOOKUP($A94, INDIRECT("SepR!$A$6:$ZZ$1048576"), MATCH(AL$1, SepR!$6:$6, 0), FALSE),
            0
        ) +
        IFERROR(
            VLOOKUP($A94, INDIRECT("OctR!$A$6:$ZZ$1048576"), MATCH(AL$1, OctR!$6:$6, 0), FALSE),
            0
        ) +
        IFERROR(
            VLOOKUP($A94, INDIRECT("NovR!$A$6:$ZZ$1048576"), MATCH(AL$1, NovR!$6:$6, 0), FALSE),
            0
        ) +
        IFERROR(
            VLOOKUP($A94, INDIRECT("DicR!$A$6:$ZZ$1048576"), MATCH(AL$1, DicR!$6:$6, 0), FALSE),
            0
        )
)</f>
        <v>0</v>
      </c>
      <c r="AM94" s="37">
        <f t="array" ref="AM94">SUM(
    IFERROR(
            VLOOKUP($A94, INDIRECT("EneR!$A$6:$ZZ$1048576"), MATCH(AM$1, EneR!$6:$6, 0), FALSE),
            0
        ) +
        IFERROR(
            VLOOKUP($A94, INDIRECT("FebR!$A$6:$ZZ$1048576"), MATCH(AM$1, FebR!$6:$6, 0), FALSE),
            0
        ) +
        IFERROR(
            VLOOKUP($A94, INDIRECT("MarR!$A$6:$ZZ$1048576"), MATCH(AM$1, MarR!$6:$6, 0), FALSE),
            0
        ) +
        IFERROR(
            VLOOKUP($A94, INDIRECT("AbrR!$A$6:$ZZ$1048576"), MATCH(AM$1, AbrR!$6:$6, 0), FALSE),
            0
        ) +
        IFERROR(
            VLOOKUP($A94, INDIRECT("MayR!$A$6:$ZZ$1048576"), MATCH(AM$1, MayR!$6:$6, 0), FALSE),
            0
        ) +
        IFERROR(
            VLOOKUP($A94, INDIRECT("JunR!$A$6:$ZZ$1048576"), MATCH(AM$1, JunR!$6:$6, 0), FALSE),
            0
        ) +
        IFERROR(
            VLOOKUP($A94, INDIRECT("JulR!$A$6:$ZZ$1048576"), MATCH(AM$1, JulR!$6:$6, 0), FALSE),
            0
        ) +
        IFERROR(
            VLOOKUP($A94, INDIRECT("AgoR!$A$6:$ZZ$1048576"), MATCH(AM$1, AgoR!$6:$6, 0), FALSE),
            0
        ) +
        IFERROR(
            VLOOKUP($A94, INDIRECT("SepR!$A$6:$ZZ$1048576"), MATCH(AM$1, SepR!$6:$6, 0), FALSE),
            0
        ) +
        IFERROR(
            VLOOKUP($A94, INDIRECT("OctR!$A$6:$ZZ$1048576"), MATCH(AM$1, OctR!$6:$6, 0), FALSE),
            0
        ) +
        IFERROR(
            VLOOKUP($A94, INDIRECT("NovR!$A$6:$ZZ$1048576"), MATCH(AM$1, NovR!$6:$6, 0), FALSE),
            0
        ) +
        IFERROR(
            VLOOKUP($A94, INDIRECT("DicR!$A$6:$ZZ$1048576"), MATCH(AM$1, DicR!$6:$6, 0), FALSE),
            0
        )
)</f>
        <v>0</v>
      </c>
      <c r="AN94" s="32">
        <f t="array" ref="AN94">SUM(
    IFERROR(
            VLOOKUP($A94, INDIRECT("EneR!$A$6:$ZZ$1048576"), MATCH(AN$1, EneR!$6:$6, 0), FALSE),
            0
        ) +
        IFERROR(
            VLOOKUP($A94, INDIRECT("FebR!$A$6:$ZZ$1048576"), MATCH(AN$1, FebR!$6:$6, 0), FALSE),
            0
        ) +
        IFERROR(
            VLOOKUP($A94, INDIRECT("MarR!$A$6:$ZZ$1048576"), MATCH(AN$1, MarR!$6:$6, 0), FALSE),
            0
        ) +
        IFERROR(
            VLOOKUP($A94, INDIRECT("AbrR!$A$6:$ZZ$1048576"), MATCH(AN$1, AbrR!$6:$6, 0), FALSE),
            0
        ) +
        IFERROR(
            VLOOKUP($A94, INDIRECT("MayR!$A$6:$ZZ$1048576"), MATCH(AN$1, MayR!$6:$6, 0), FALSE),
            0
        ) +
        IFERROR(
            VLOOKUP($A94, INDIRECT("JunR!$A$6:$ZZ$1048576"), MATCH(AN$1, JunR!$6:$6, 0), FALSE),
            0
        ) +
        IFERROR(
            VLOOKUP($A94, INDIRECT("JulR!$A$6:$ZZ$1048576"), MATCH(AN$1, JulR!$6:$6, 0), FALSE),
            0
        ) +
        IFERROR(
            VLOOKUP($A94, INDIRECT("AgoR!$A$6:$ZZ$1048576"), MATCH(AN$1, AgoR!$6:$6, 0), FALSE),
            0
        ) +
        IFERROR(
            VLOOKUP($A94, INDIRECT("SepR!$A$6:$ZZ$1048576"), MATCH(AN$1, SepR!$6:$6, 0), FALSE),
            0
        ) +
        IFERROR(
            VLOOKUP($A94, INDIRECT("OctR!$A$6:$ZZ$1048576"), MATCH(AN$1, OctR!$6:$6, 0), FALSE),
            0
        ) +
        IFERROR(
            VLOOKUP($A94, INDIRECT("NovR!$A$6:$ZZ$1048576"), MATCH(AN$1, NovR!$6:$6, 0), FALSE),
            0
        ) +
        IFERROR(
            VLOOKUP($A94, INDIRECT("DicR!$A$6:$ZZ$1048576"), MATCH(AN$1, DicR!$6:$6, 0), FALSE),
            0
        )
)</f>
        <v>0</v>
      </c>
      <c r="AO94" s="35">
        <f t="array" ref="AO94">SUM(
    IFERROR(
            VLOOKUP($A94, INDIRECT("EneR!$A$6:$ZZ$1048576"), MATCH(AO$1, EneR!$6:$6, 0), FALSE),
            0
        ) +
        IFERROR(
            VLOOKUP($A94, INDIRECT("FebR!$A$6:$ZZ$1048576"), MATCH(AO$1, FebR!$6:$6, 0), FALSE),
            0
        ) +
        IFERROR(
            VLOOKUP($A94, INDIRECT("MarR!$A$6:$ZZ$1048576"), MATCH(AO$1, MarR!$6:$6, 0), FALSE),
            0
        ) +
        IFERROR(
            VLOOKUP($A94, INDIRECT("AbrR!$A$6:$ZZ$1048576"), MATCH(AO$1, AbrR!$6:$6, 0), FALSE),
            0
        ) +
        IFERROR(
            VLOOKUP($A94, INDIRECT("MayR!$A$6:$ZZ$1048576"), MATCH(AO$1, MayR!$6:$6, 0), FALSE),
            0
        ) +
        IFERROR(
            VLOOKUP($A94, INDIRECT("JunR!$A$6:$ZZ$1048576"), MATCH(AO$1, JunR!$6:$6, 0), FALSE),
            0
        ) +
        IFERROR(
            VLOOKUP($A94, INDIRECT("JulR!$A$6:$ZZ$1048576"), MATCH(AO$1, JulR!$6:$6, 0), FALSE),
            0
        ) +
        IFERROR(
            VLOOKUP($A94, INDIRECT("AgoR!$A$6:$ZZ$1048576"), MATCH(AO$1, AgoR!$6:$6, 0), FALSE),
            0
        ) +
        IFERROR(
            VLOOKUP($A94, INDIRECT("SepR!$A$6:$ZZ$1048576"), MATCH(AO$1, SepR!$6:$6, 0), FALSE),
            0
        ) +
        IFERROR(
            VLOOKUP($A94, INDIRECT("OctR!$A$6:$ZZ$1048576"), MATCH(AO$1, OctR!$6:$6, 0), FALSE),
            0
        ) +
        IFERROR(
            VLOOKUP($A94, INDIRECT("NovR!$A$6:$ZZ$1048576"), MATCH(AO$1, NovR!$6:$6, 0), FALSE),
            0
        ) +
        IFERROR(
            VLOOKUP($A94, INDIRECT("DicR!$A$6:$ZZ$1048576"), MATCH(AO$1, DicR!$6:$6, 0), FALSE),
            0
        )
)</f>
        <v>0</v>
      </c>
      <c r="AP94" s="36">
        <f t="array" ref="AP94">SUM(
    IFERROR(
            VLOOKUP($A94, INDIRECT("EneR!$A$6:$ZZ$1048576"), MATCH(AP$1, EneR!$6:$6, 0), FALSE),
            0
        ) +
        IFERROR(
            VLOOKUP($A94, INDIRECT("FebR!$A$6:$ZZ$1048576"), MATCH(AP$1, FebR!$6:$6, 0), FALSE),
            0
        ) +
        IFERROR(
            VLOOKUP($A94, INDIRECT("MarR!$A$6:$ZZ$1048576"), MATCH(AP$1, MarR!$6:$6, 0), FALSE),
            0
        ) +
        IFERROR(
            VLOOKUP($A94, INDIRECT("AbrR!$A$6:$ZZ$1048576"), MATCH(AP$1, AbrR!$6:$6, 0), FALSE),
            0
        ) +
        IFERROR(
            VLOOKUP($A94, INDIRECT("MayR!$A$6:$ZZ$1048576"), MATCH(AP$1, MayR!$6:$6, 0), FALSE),
            0
        ) +
        IFERROR(
            VLOOKUP($A94, INDIRECT("JunR!$A$6:$ZZ$1048576"), MATCH(AP$1, JunR!$6:$6, 0), FALSE),
            0
        ) +
        IFERROR(
            VLOOKUP($A94, INDIRECT("JulR!$A$6:$ZZ$1048576"), MATCH(AP$1, JulR!$6:$6, 0), FALSE),
            0
        ) +
        IFERROR(
            VLOOKUP($A94, INDIRECT("AgoR!$A$6:$ZZ$1048576"), MATCH(AP$1, AgoR!$6:$6, 0), FALSE),
            0
        ) +
        IFERROR(
            VLOOKUP($A94, INDIRECT("SepR!$A$6:$ZZ$1048576"), MATCH(AP$1, SepR!$6:$6, 0), FALSE),
            0
        ) +
        IFERROR(
            VLOOKUP($A94, INDIRECT("OctR!$A$6:$ZZ$1048576"), MATCH(AP$1, OctR!$6:$6, 0), FALSE),
            0
        ) +
        IFERROR(
            VLOOKUP($A94, INDIRECT("NovR!$A$6:$ZZ$1048576"), MATCH(AP$1, NovR!$6:$6, 0), FALSE),
            0
        ) +
        IFERROR(
            VLOOKUP($A94, INDIRECT("DicR!$A$6:$ZZ$1048576"), MATCH(AP$1, DicR!$6:$6, 0), FALSE),
            0
        )
)</f>
        <v>0</v>
      </c>
      <c r="AQ94" s="35">
        <f t="array" ref="AQ94">SUM(
    IFERROR(
            VLOOKUP($A94, INDIRECT("EneR!$A$6:$ZZ$1048576"), MATCH(AQ$1, EneR!$6:$6, 0), FALSE),
            0
        ) +
        IFERROR(
            VLOOKUP($A94, INDIRECT("FebR!$A$6:$ZZ$1048576"), MATCH(AQ$1, FebR!$6:$6, 0), FALSE),
            0
        ) +
        IFERROR(
            VLOOKUP($A94, INDIRECT("MarR!$A$6:$ZZ$1048576"), MATCH(AQ$1, MarR!$6:$6, 0), FALSE),
            0
        ) +
        IFERROR(
            VLOOKUP($A94, INDIRECT("AbrR!$A$6:$ZZ$1048576"), MATCH(AQ$1, AbrR!$6:$6, 0), FALSE),
            0
        ) +
        IFERROR(
            VLOOKUP($A94, INDIRECT("MayR!$A$6:$ZZ$1048576"), MATCH(AQ$1, MayR!$6:$6, 0), FALSE),
            0
        ) +
        IFERROR(
            VLOOKUP($A94, INDIRECT("JunR!$A$6:$ZZ$1048576"), MATCH(AQ$1, JunR!$6:$6, 0), FALSE),
            0
        ) +
        IFERROR(
            VLOOKUP($A94, INDIRECT("JulR!$A$6:$ZZ$1048576"), MATCH(AQ$1, JulR!$6:$6, 0), FALSE),
            0
        ) +
        IFERROR(
            VLOOKUP($A94, INDIRECT("AgoR!$A$6:$ZZ$1048576"), MATCH(AQ$1, AgoR!$6:$6, 0), FALSE),
            0
        ) +
        IFERROR(
            VLOOKUP($A94, INDIRECT("SepR!$A$6:$ZZ$1048576"), MATCH(AQ$1, SepR!$6:$6, 0), FALSE),
            0
        ) +
        IFERROR(
            VLOOKUP($A94, INDIRECT("OctR!$A$6:$ZZ$1048576"), MATCH(AQ$1, OctR!$6:$6, 0), FALSE),
            0
        ) +
        IFERROR(
            VLOOKUP($A94, INDIRECT("NovR!$A$6:$ZZ$1048576"), MATCH(AQ$1, NovR!$6:$6, 0), FALSE),
            0
        ) +
        IFERROR(
            VLOOKUP($A94, INDIRECT("DicR!$A$6:$ZZ$1048576"), MATCH(AQ$1, DicR!$6:$6, 0), FALSE),
            0
        )
)</f>
        <v>0</v>
      </c>
      <c r="AR94" s="36">
        <f t="array" ref="AR94">SUM(
    IFERROR(
            VLOOKUP($A94, INDIRECT("EneR!$A$6:$ZZ$1048576"), MATCH(AR$1, EneR!$6:$6, 0), FALSE),
            0
        ) +
        IFERROR(
            VLOOKUP($A94, INDIRECT("FebR!$A$6:$ZZ$1048576"), MATCH(AR$1, FebR!$6:$6, 0), FALSE),
            0
        ) +
        IFERROR(
            VLOOKUP($A94, INDIRECT("MarR!$A$6:$ZZ$1048576"), MATCH(AR$1, MarR!$6:$6, 0), FALSE),
            0
        ) +
        IFERROR(
            VLOOKUP($A94, INDIRECT("AbrR!$A$6:$ZZ$1048576"), MATCH(AR$1, AbrR!$6:$6, 0), FALSE),
            0
        ) +
        IFERROR(
            VLOOKUP($A94, INDIRECT("MayR!$A$6:$ZZ$1048576"), MATCH(AR$1, MayR!$6:$6, 0), FALSE),
            0
        ) +
        IFERROR(
            VLOOKUP($A94, INDIRECT("JunR!$A$6:$ZZ$1048576"), MATCH(AR$1, JunR!$6:$6, 0), FALSE),
            0
        ) +
        IFERROR(
            VLOOKUP($A94, INDIRECT("JulR!$A$6:$ZZ$1048576"), MATCH(AR$1, JulR!$6:$6, 0), FALSE),
            0
        ) +
        IFERROR(
            VLOOKUP($A94, INDIRECT("AgoR!$A$6:$ZZ$1048576"), MATCH(AR$1, AgoR!$6:$6, 0), FALSE),
            0
        ) +
        IFERROR(
            VLOOKUP($A94, INDIRECT("SepR!$A$6:$ZZ$1048576"), MATCH(AR$1, SepR!$6:$6, 0), FALSE),
            0
        ) +
        IFERROR(
            VLOOKUP($A94, INDIRECT("OctR!$A$6:$ZZ$1048576"), MATCH(AR$1, OctR!$6:$6, 0), FALSE),
            0
        ) +
        IFERROR(
            VLOOKUP($A94, INDIRECT("NovR!$A$6:$ZZ$1048576"), MATCH(AR$1, NovR!$6:$6, 0), FALSE),
            0
        ) +
        IFERROR(
            VLOOKUP($A94, INDIRECT("DicR!$A$6:$ZZ$1048576"), MATCH(AR$1, DicR!$6:$6, 0), FALSE),
            0
        )
)</f>
        <v>0</v>
      </c>
      <c r="AS94" s="35">
        <f t="array" ref="AS94">SUM(
    IFERROR(
            VLOOKUP($A94, INDIRECT("EneR!$A$6:$ZZ$1048576"), MATCH(AS$1, EneR!$6:$6, 0), FALSE),
            0
        ) +
        IFERROR(
            VLOOKUP($A94, INDIRECT("FebR!$A$6:$ZZ$1048576"), MATCH(AS$1, FebR!$6:$6, 0), FALSE),
            0
        ) +
        IFERROR(
            VLOOKUP($A94, INDIRECT("MarR!$A$6:$ZZ$1048576"), MATCH(AS$1, MarR!$6:$6, 0), FALSE),
            0
        ) +
        IFERROR(
            VLOOKUP($A94, INDIRECT("AbrR!$A$6:$ZZ$1048576"), MATCH(AS$1, AbrR!$6:$6, 0), FALSE),
            0
        ) +
        IFERROR(
            VLOOKUP($A94, INDIRECT("MayR!$A$6:$ZZ$1048576"), MATCH(AS$1, MayR!$6:$6, 0), FALSE),
            0
        ) +
        IFERROR(
            VLOOKUP($A94, INDIRECT("JunR!$A$6:$ZZ$1048576"), MATCH(AS$1, JunR!$6:$6, 0), FALSE),
            0
        ) +
        IFERROR(
            VLOOKUP($A94, INDIRECT("JulR!$A$6:$ZZ$1048576"), MATCH(AS$1, JulR!$6:$6, 0), FALSE),
            0
        ) +
        IFERROR(
            VLOOKUP($A94, INDIRECT("AgoR!$A$6:$ZZ$1048576"), MATCH(AS$1, AgoR!$6:$6, 0), FALSE),
            0
        ) +
        IFERROR(
            VLOOKUP($A94, INDIRECT("SepR!$A$6:$ZZ$1048576"), MATCH(AS$1, SepR!$6:$6, 0), FALSE),
            0
        ) +
        IFERROR(
            VLOOKUP($A94, INDIRECT("OctR!$A$6:$ZZ$1048576"), MATCH(AS$1, OctR!$6:$6, 0), FALSE),
            0
        ) +
        IFERROR(
            VLOOKUP($A94, INDIRECT("NovR!$A$6:$ZZ$1048576"), MATCH(AS$1, NovR!$6:$6, 0), FALSE),
            0
        ) +
        IFERROR(
            VLOOKUP($A94, INDIRECT("DicR!$A$6:$ZZ$1048576"), MATCH(AS$1, DicR!$6:$6, 0), FALSE),
            0
        )
)</f>
        <v>0</v>
      </c>
      <c r="AT94" s="36">
        <f t="array" ref="AT94">SUM(
    IFERROR(
            VLOOKUP($A94, INDIRECT("EneR!$A$6:$ZZ$1048576"), MATCH(AT$1, EneR!$6:$6, 0), FALSE),
            0
        ) +
        IFERROR(
            VLOOKUP($A94, INDIRECT("FebR!$A$6:$ZZ$1048576"), MATCH(AT$1, FebR!$6:$6, 0), FALSE),
            0
        ) +
        IFERROR(
            VLOOKUP($A94, INDIRECT("MarR!$A$6:$ZZ$1048576"), MATCH(AT$1, MarR!$6:$6, 0), FALSE),
            0
        ) +
        IFERROR(
            VLOOKUP($A94, INDIRECT("AbrR!$A$6:$ZZ$1048576"), MATCH(AT$1, AbrR!$6:$6, 0), FALSE),
            0
        ) +
        IFERROR(
            VLOOKUP($A94, INDIRECT("MayR!$A$6:$ZZ$1048576"), MATCH(AT$1, MayR!$6:$6, 0), FALSE),
            0
        ) +
        IFERROR(
            VLOOKUP($A94, INDIRECT("JunR!$A$6:$ZZ$1048576"), MATCH(AT$1, JunR!$6:$6, 0), FALSE),
            0
        ) +
        IFERROR(
            VLOOKUP($A94, INDIRECT("JulR!$A$6:$ZZ$1048576"), MATCH(AT$1, JulR!$6:$6, 0), FALSE),
            0
        ) +
        IFERROR(
            VLOOKUP($A94, INDIRECT("AgoR!$A$6:$ZZ$1048576"), MATCH(AT$1, AgoR!$6:$6, 0), FALSE),
            0
        ) +
        IFERROR(
            VLOOKUP($A94, INDIRECT("SepR!$A$6:$ZZ$1048576"), MATCH(AT$1, SepR!$6:$6, 0), FALSE),
            0
        ) +
        IFERROR(
            VLOOKUP($A94, INDIRECT("OctR!$A$6:$ZZ$1048576"), MATCH(AT$1, OctR!$6:$6, 0), FALSE),
            0
        ) +
        IFERROR(
            VLOOKUP($A94, INDIRECT("NovR!$A$6:$ZZ$1048576"), MATCH(AT$1, NovR!$6:$6, 0), FALSE),
            0
        ) +
        IFERROR(
            VLOOKUP($A94, INDIRECT("DicR!$A$6:$ZZ$1048576"), MATCH(AT$1, DicR!$6:$6, 0), FALSE),
            0
        )
)</f>
        <v>0</v>
      </c>
      <c r="AU94" s="35">
        <f t="array" ref="AU94">SUM(
    IFERROR(
            VLOOKUP($A94, INDIRECT("EneR!$A$6:$ZZ$1048576"), MATCH(AU$1, EneR!$6:$6, 0), FALSE),
            0
        ) +
        IFERROR(
            VLOOKUP($A94, INDIRECT("FebR!$A$6:$ZZ$1048576"), MATCH(AU$1, FebR!$6:$6, 0), FALSE),
            0
        ) +
        IFERROR(
            VLOOKUP($A94, INDIRECT("MarR!$A$6:$ZZ$1048576"), MATCH(AU$1, MarR!$6:$6, 0), FALSE),
            0
        ) +
        IFERROR(
            VLOOKUP($A94, INDIRECT("AbrR!$A$6:$ZZ$1048576"), MATCH(AU$1, AbrR!$6:$6, 0), FALSE),
            0
        ) +
        IFERROR(
            VLOOKUP($A94, INDIRECT("MayR!$A$6:$ZZ$1048576"), MATCH(AU$1, MayR!$6:$6, 0), FALSE),
            0
        ) +
        IFERROR(
            VLOOKUP($A94, INDIRECT("JunR!$A$6:$ZZ$1048576"), MATCH(AU$1, JunR!$6:$6, 0), FALSE),
            0
        ) +
        IFERROR(
            VLOOKUP($A94, INDIRECT("JulR!$A$6:$ZZ$1048576"), MATCH(AU$1, JulR!$6:$6, 0), FALSE),
            0
        ) +
        IFERROR(
            VLOOKUP($A94, INDIRECT("AgoR!$A$6:$ZZ$1048576"), MATCH(AU$1, AgoR!$6:$6, 0), FALSE),
            0
        ) +
        IFERROR(
            VLOOKUP($A94, INDIRECT("SepR!$A$6:$ZZ$1048576"), MATCH(AU$1, SepR!$6:$6, 0), FALSE),
            0
        ) +
        IFERROR(
            VLOOKUP($A94, INDIRECT("OctR!$A$6:$ZZ$1048576"), MATCH(AU$1, OctR!$6:$6, 0), FALSE),
            0
        ) +
        IFERROR(
            VLOOKUP($A94, INDIRECT("NovR!$A$6:$ZZ$1048576"), MATCH(AU$1, NovR!$6:$6, 0), FALSE),
            0
        ) +
        IFERROR(
            VLOOKUP($A94, INDIRECT("DicR!$A$6:$ZZ$1048576"), MATCH(AU$1, DicR!$6:$6, 0), FALSE),
            0
        )
)</f>
        <v>0</v>
      </c>
      <c r="AV94" s="36">
        <f t="array" ref="AV94">SUM(
    IFERROR(
            VLOOKUP($A94, INDIRECT("EneR!$A$6:$ZZ$1048576"), MATCH(AV$1, EneR!$6:$6, 0), FALSE),
            0
        ) +
        IFERROR(
            VLOOKUP($A94, INDIRECT("FebR!$A$6:$ZZ$1048576"), MATCH(AV$1, FebR!$6:$6, 0), FALSE),
            0
        ) +
        IFERROR(
            VLOOKUP($A94, INDIRECT("MarR!$A$6:$ZZ$1048576"), MATCH(AV$1, MarR!$6:$6, 0), FALSE),
            0
        ) +
        IFERROR(
            VLOOKUP($A94, INDIRECT("AbrR!$A$6:$ZZ$1048576"), MATCH(AV$1, AbrR!$6:$6, 0), FALSE),
            0
        ) +
        IFERROR(
            VLOOKUP($A94, INDIRECT("MayR!$A$6:$ZZ$1048576"), MATCH(AV$1, MayR!$6:$6, 0), FALSE),
            0
        ) +
        IFERROR(
            VLOOKUP($A94, INDIRECT("JunR!$A$6:$ZZ$1048576"), MATCH(AV$1, JunR!$6:$6, 0), FALSE),
            0
        ) +
        IFERROR(
            VLOOKUP($A94, INDIRECT("JulR!$A$6:$ZZ$1048576"), MATCH(AV$1, JulR!$6:$6, 0), FALSE),
            0
        ) +
        IFERROR(
            VLOOKUP($A94, INDIRECT("AgoR!$A$6:$ZZ$1048576"), MATCH(AV$1, AgoR!$6:$6, 0), FALSE),
            0
        ) +
        IFERROR(
            VLOOKUP($A94, INDIRECT("SepR!$A$6:$ZZ$1048576"), MATCH(AV$1, SepR!$6:$6, 0), FALSE),
            0
        ) +
        IFERROR(
            VLOOKUP($A94, INDIRECT("OctR!$A$6:$ZZ$1048576"), MATCH(AV$1, OctR!$6:$6, 0), FALSE),
            0
        ) +
        IFERROR(
            VLOOKUP($A94, INDIRECT("NovR!$A$6:$ZZ$1048576"), MATCH(AV$1, NovR!$6:$6, 0), FALSE),
            0
        ) +
        IFERROR(
            VLOOKUP($A94, INDIRECT("DicR!$A$6:$ZZ$1048576"), MATCH(AV$1, DicR!$6:$6, 0), FALSE),
            0
        )
)</f>
        <v>0</v>
      </c>
      <c r="AW94" s="35">
        <f t="array" ref="AW94">SUM(
    IFERROR(
            VLOOKUP($A94, INDIRECT("EneR!$A$6:$ZZ$1048576"), MATCH(AW$1, EneR!$6:$6, 0), FALSE),
            0
        ) +
        IFERROR(
            VLOOKUP($A94, INDIRECT("FebR!$A$6:$ZZ$1048576"), MATCH(AW$1, FebR!$6:$6, 0), FALSE),
            0
        ) +
        IFERROR(
            VLOOKUP($A94, INDIRECT("MarR!$A$6:$ZZ$1048576"), MATCH(AW$1, MarR!$6:$6, 0), FALSE),
            0
        ) +
        IFERROR(
            VLOOKUP($A94, INDIRECT("AbrR!$A$6:$ZZ$1048576"), MATCH(AW$1, AbrR!$6:$6, 0), FALSE),
            0
        ) +
        IFERROR(
            VLOOKUP($A94, INDIRECT("MayR!$A$6:$ZZ$1048576"), MATCH(AW$1, MayR!$6:$6, 0), FALSE),
            0
        ) +
        IFERROR(
            VLOOKUP($A94, INDIRECT("JunR!$A$6:$ZZ$1048576"), MATCH(AW$1, JunR!$6:$6, 0), FALSE),
            0
        ) +
        IFERROR(
            VLOOKUP($A94, INDIRECT("JulR!$A$6:$ZZ$1048576"), MATCH(AW$1, JulR!$6:$6, 0), FALSE),
            0
        ) +
        IFERROR(
            VLOOKUP($A94, INDIRECT("AgoR!$A$6:$ZZ$1048576"), MATCH(AW$1, AgoR!$6:$6, 0), FALSE),
            0
        ) +
        IFERROR(
            VLOOKUP($A94, INDIRECT("SepR!$A$6:$ZZ$1048576"), MATCH(AW$1, SepR!$6:$6, 0), FALSE),
            0
        ) +
        IFERROR(
            VLOOKUP($A94, INDIRECT("OctR!$A$6:$ZZ$1048576"), MATCH(AW$1, OctR!$6:$6, 0), FALSE),
            0
        ) +
        IFERROR(
            VLOOKUP($A94, INDIRECT("NovR!$A$6:$ZZ$1048576"), MATCH(AW$1, NovR!$6:$6, 0), FALSE),
            0
        ) +
        IFERROR(
            VLOOKUP($A94, INDIRECT("DicR!$A$6:$ZZ$1048576"), MATCH(AW$1, DicR!$6:$6, 0), FALSE),
            0
        )
)</f>
        <v>0</v>
      </c>
      <c r="AX94" s="36">
        <f t="array" ref="AX94">SUM(
    IFERROR(
            VLOOKUP($A94, INDIRECT("EneR!$A$6:$ZZ$1048576"), MATCH(AX$1, EneR!$6:$6, 0), FALSE),
            0
        ) +
        IFERROR(
            VLOOKUP($A94, INDIRECT("FebR!$A$6:$ZZ$1048576"), MATCH(AX$1, FebR!$6:$6, 0), FALSE),
            0
        ) +
        IFERROR(
            VLOOKUP($A94, INDIRECT("MarR!$A$6:$ZZ$1048576"), MATCH(AX$1, MarR!$6:$6, 0), FALSE),
            0
        ) +
        IFERROR(
            VLOOKUP($A94, INDIRECT("AbrR!$A$6:$ZZ$1048576"), MATCH(AX$1, AbrR!$6:$6, 0), FALSE),
            0
        ) +
        IFERROR(
            VLOOKUP($A94, INDIRECT("MayR!$A$6:$ZZ$1048576"), MATCH(AX$1, MayR!$6:$6, 0), FALSE),
            0
        ) +
        IFERROR(
            VLOOKUP($A94, INDIRECT("JunR!$A$6:$ZZ$1048576"), MATCH(AX$1, JunR!$6:$6, 0), FALSE),
            0
        ) +
        IFERROR(
            VLOOKUP($A94, INDIRECT("JulR!$A$6:$ZZ$1048576"), MATCH(AX$1, JulR!$6:$6, 0), FALSE),
            0
        ) +
        IFERROR(
            VLOOKUP($A94, INDIRECT("AgoR!$A$6:$ZZ$1048576"), MATCH(AX$1, AgoR!$6:$6, 0), FALSE),
            0
        ) +
        IFERROR(
            VLOOKUP($A94, INDIRECT("SepR!$A$6:$ZZ$1048576"), MATCH(AX$1, SepR!$6:$6, 0), FALSE),
            0
        ) +
        IFERROR(
            VLOOKUP($A94, INDIRECT("OctR!$A$6:$ZZ$1048576"), MATCH(AX$1, OctR!$6:$6, 0), FALSE),
            0
        ) +
        IFERROR(
            VLOOKUP($A94, INDIRECT("NovR!$A$6:$ZZ$1048576"), MATCH(AX$1, NovR!$6:$6, 0), FALSE),
            0
        ) +
        IFERROR(
            VLOOKUP($A94, INDIRECT("DicR!$A$6:$ZZ$1048576"), MATCH(AX$1, DicR!$6:$6, 0), FALSE),
            0
        )
)</f>
        <v>0</v>
      </c>
      <c r="AY94" s="35">
        <f t="array" ref="AY94">SUM(
    IFERROR(
            VLOOKUP($A94, INDIRECT("EneR!$A$6:$ZZ$1048576"), MATCH(AY$1, EneR!$6:$6, 0), FALSE),
            0
        ) +
        IFERROR(
            VLOOKUP($A94, INDIRECT("FebR!$A$6:$ZZ$1048576"), MATCH(AY$1, FebR!$6:$6, 0), FALSE),
            0
        ) +
        IFERROR(
            VLOOKUP($A94, INDIRECT("MarR!$A$6:$ZZ$1048576"), MATCH(AY$1, MarR!$6:$6, 0), FALSE),
            0
        ) +
        IFERROR(
            VLOOKUP($A94, INDIRECT("AbrR!$A$6:$ZZ$1048576"), MATCH(AY$1, AbrR!$6:$6, 0), FALSE),
            0
        ) +
        IFERROR(
            VLOOKUP($A94, INDIRECT("MayR!$A$6:$ZZ$1048576"), MATCH(AY$1, MayR!$6:$6, 0), FALSE),
            0
        ) +
        IFERROR(
            VLOOKUP($A94, INDIRECT("JunR!$A$6:$ZZ$1048576"), MATCH(AY$1, JunR!$6:$6, 0), FALSE),
            0
        ) +
        IFERROR(
            VLOOKUP($A94, INDIRECT("JulR!$A$6:$ZZ$1048576"), MATCH(AY$1, JulR!$6:$6, 0), FALSE),
            0
        ) +
        IFERROR(
            VLOOKUP($A94, INDIRECT("AgoR!$A$6:$ZZ$1048576"), MATCH(AY$1, AgoR!$6:$6, 0), FALSE),
            0
        ) +
        IFERROR(
            VLOOKUP($A94, INDIRECT("SepR!$A$6:$ZZ$1048576"), MATCH(AY$1, SepR!$6:$6, 0), FALSE),
            0
        ) +
        IFERROR(
            VLOOKUP($A94, INDIRECT("OctR!$A$6:$ZZ$1048576"), MATCH(AY$1, OctR!$6:$6, 0), FALSE),
            0
        ) +
        IFERROR(
            VLOOKUP($A94, INDIRECT("NovR!$A$6:$ZZ$1048576"), MATCH(AY$1, NovR!$6:$6, 0), FALSE),
            0
        ) +
        IFERROR(
            VLOOKUP($A94, INDIRECT("DicR!$A$6:$ZZ$1048576"), MATCH(AY$1, DicR!$6:$6, 0), FALSE),
            0
        )
)</f>
        <v>0</v>
      </c>
      <c r="AZ94" s="35"/>
    </row>
    <row r="95" ht="15.75" hidden="1" customHeight="1">
      <c r="A95" s="12" t="str">
        <f>Menus!B56</f>
        <v/>
      </c>
      <c r="B95" s="32">
        <f t="shared" si="11"/>
        <v>0</v>
      </c>
      <c r="C95" s="33" t="str">
        <f t="shared" si="10"/>
        <v/>
      </c>
      <c r="D95" s="34">
        <f t="array" ref="D95">SUM(
    IFERROR(
            VLOOKUP($A95, INDIRECT("EneR!$A$6:$ZZ$1048576"), MATCH(D$1, EneR!$6:$6, 0), FALSE),
            0
        ) +
        IFERROR(
            VLOOKUP($A95, INDIRECT("FebR!$A$6:$ZZ$1048576"), MATCH(D$1, FebR!$6:$6, 0), FALSE),
            0
        ) +
        IFERROR(
            VLOOKUP($A95, INDIRECT("MarR!$A$6:$ZZ$1048576"), MATCH(D$1, MarR!$6:$6, 0), FALSE),
            0
        ) +
        IFERROR(
            VLOOKUP($A95, INDIRECT("AbrR!$A$6:$ZZ$1048576"), MATCH(D$1, AbrR!$6:$6, 0), FALSE),
            0
        ) +
        IFERROR(
            VLOOKUP($A95, INDIRECT("MayR!$A$6:$ZZ$1048576"), MATCH(D$1, MayR!$6:$6, 0), FALSE),
            0
        ) +
        IFERROR(
            VLOOKUP($A95, INDIRECT("JunR!$A$6:$ZZ$1048576"), MATCH(D$1, JunR!$6:$6, 0), FALSE),
            0
        ) +
        IFERROR(
            VLOOKUP($A95, INDIRECT("JulR!$A$6:$ZZ$1048576"), MATCH(D$1, JulR!$6:$6, 0), FALSE),
            0
        ) +
        IFERROR(
            VLOOKUP($A95, INDIRECT("AgoR!$A$6:$ZZ$1048576"), MATCH(D$1, AgoR!$6:$6, 0), FALSE),
            0
        ) +
        IFERROR(
            VLOOKUP($A95, INDIRECT("SepR!$A$6:$ZZ$1048576"), MATCH(D$1, SepR!$6:$6, 0), FALSE),
            0
        ) +
        IFERROR(
            VLOOKUP($A95, INDIRECT("OctR!$A$6:$ZZ$1048576"), MATCH(D$1, OctR!$6:$6, 0), FALSE),
            0
        ) +
        IFERROR(
            VLOOKUP($A95, INDIRECT("NovR!$A$6:$ZZ$1048576"), MATCH(D$1, NovR!$6:$6, 0), FALSE),
            0
        ) +
        IFERROR(
            VLOOKUP($A95, INDIRECT("DicR!$A$6:$ZZ$1048576"), MATCH(D$1, DicR!$6:$6, 0), FALSE),
            0
        )
)</f>
        <v>0</v>
      </c>
      <c r="E95" s="35">
        <f t="array" ref="E95">SUM(
    IFERROR(
            VLOOKUP($A95, INDIRECT("EneR!$A$6:$ZZ$1048576"), MATCH(E$1, EneR!$6:$6, 0), FALSE),
            0
        ) +
        IFERROR(
            VLOOKUP($A95, INDIRECT("FebR!$A$6:$ZZ$1048576"), MATCH(E$1, FebR!$6:$6, 0), FALSE),
            0
        ) +
        IFERROR(
            VLOOKUP($A95, INDIRECT("MarR!$A$6:$ZZ$1048576"), MATCH(E$1, MarR!$6:$6, 0), FALSE),
            0
        ) +
        IFERROR(
            VLOOKUP($A95, INDIRECT("AbrR!$A$6:$ZZ$1048576"), MATCH(E$1, AbrR!$6:$6, 0), FALSE),
            0
        ) +
        IFERROR(
            VLOOKUP($A95, INDIRECT("MayR!$A$6:$ZZ$1048576"), MATCH(E$1, MayR!$6:$6, 0), FALSE),
            0
        ) +
        IFERROR(
            VLOOKUP($A95, INDIRECT("JunR!$A$6:$ZZ$1048576"), MATCH(E$1, JunR!$6:$6, 0), FALSE),
            0
        ) +
        IFERROR(
            VLOOKUP($A95, INDIRECT("JulR!$A$6:$ZZ$1048576"), MATCH(E$1, JulR!$6:$6, 0), FALSE),
            0
        ) +
        IFERROR(
            VLOOKUP($A95, INDIRECT("AgoR!$A$6:$ZZ$1048576"), MATCH(E$1, AgoR!$6:$6, 0), FALSE),
            0
        ) +
        IFERROR(
            VLOOKUP($A95, INDIRECT("SepR!$A$6:$ZZ$1048576"), MATCH(E$1, SepR!$6:$6, 0), FALSE),
            0
        ) +
        IFERROR(
            VLOOKUP($A95, INDIRECT("OctR!$A$6:$ZZ$1048576"), MATCH(E$1, OctR!$6:$6, 0), FALSE),
            0
        ) +
        IFERROR(
            VLOOKUP($A95, INDIRECT("NovR!$A$6:$ZZ$1048576"), MATCH(E$1, NovR!$6:$6, 0), FALSE),
            0
        ) +
        IFERROR(
            VLOOKUP($A95, INDIRECT("DicR!$A$6:$ZZ$1048576"), MATCH(E$1, DicR!$6:$6, 0), FALSE),
            0
        )
)</f>
        <v>0</v>
      </c>
      <c r="F95" s="32">
        <f t="array" ref="F95">SUM(
    IFERROR(
            VLOOKUP($A95, INDIRECT("EneR!$A$6:$ZZ$1048576"), MATCH(F$1, EneR!$6:$6, 0), FALSE),
            0
        ) +
        IFERROR(
            VLOOKUP($A95, INDIRECT("FebR!$A$6:$ZZ$1048576"), MATCH(F$1, FebR!$6:$6, 0), FALSE),
            0
        ) +
        IFERROR(
            VLOOKUP($A95, INDIRECT("MarR!$A$6:$ZZ$1048576"), MATCH(F$1, MarR!$6:$6, 0), FALSE),
            0
        ) +
        IFERROR(
            VLOOKUP($A95, INDIRECT("AbrR!$A$6:$ZZ$1048576"), MATCH(F$1, AbrR!$6:$6, 0), FALSE),
            0
        ) +
        IFERROR(
            VLOOKUP($A95, INDIRECT("MayR!$A$6:$ZZ$1048576"), MATCH(F$1, MayR!$6:$6, 0), FALSE),
            0
        ) +
        IFERROR(
            VLOOKUP($A95, INDIRECT("JunR!$A$6:$ZZ$1048576"), MATCH(F$1, JunR!$6:$6, 0), FALSE),
            0
        ) +
        IFERROR(
            VLOOKUP($A95, INDIRECT("JulR!$A$6:$ZZ$1048576"), MATCH(F$1, JulR!$6:$6, 0), FALSE),
            0
        ) +
        IFERROR(
            VLOOKUP($A95, INDIRECT("AgoR!$A$6:$ZZ$1048576"), MATCH(F$1, AgoR!$6:$6, 0), FALSE),
            0
        ) +
        IFERROR(
            VLOOKUP($A95, INDIRECT("SepR!$A$6:$ZZ$1048576"), MATCH(F$1, SepR!$6:$6, 0), FALSE),
            0
        ) +
        IFERROR(
            VLOOKUP($A95, INDIRECT("OctR!$A$6:$ZZ$1048576"), MATCH(F$1, OctR!$6:$6, 0), FALSE),
            0
        ) +
        IFERROR(
            VLOOKUP($A95, INDIRECT("NovR!$A$6:$ZZ$1048576"), MATCH(F$1, NovR!$6:$6, 0), FALSE),
            0
        ) +
        IFERROR(
            VLOOKUP($A95, INDIRECT("DicR!$A$6:$ZZ$1048576"), MATCH(F$1, DicR!$6:$6, 0), FALSE),
            0
        )
)</f>
        <v>0</v>
      </c>
      <c r="G95" s="35">
        <f t="array" ref="G95">SUM(
    IFERROR(
            VLOOKUP($A95, INDIRECT("EneR!$A$6:$ZZ$1048576"), MATCH(G$1, EneR!$6:$6, 0), FALSE),
            0
        ) +
        IFERROR(
            VLOOKUP($A95, INDIRECT("FebR!$A$6:$ZZ$1048576"), MATCH(G$1, FebR!$6:$6, 0), FALSE),
            0
        ) +
        IFERROR(
            VLOOKUP($A95, INDIRECT("MarR!$A$6:$ZZ$1048576"), MATCH(G$1, MarR!$6:$6, 0), FALSE),
            0
        ) +
        IFERROR(
            VLOOKUP($A95, INDIRECT("AbrR!$A$6:$ZZ$1048576"), MATCH(G$1, AbrR!$6:$6, 0), FALSE),
            0
        ) +
        IFERROR(
            VLOOKUP($A95, INDIRECT("MayR!$A$6:$ZZ$1048576"), MATCH(G$1, MayR!$6:$6, 0), FALSE),
            0
        ) +
        IFERROR(
            VLOOKUP($A95, INDIRECT("JunR!$A$6:$ZZ$1048576"), MATCH(G$1, JunR!$6:$6, 0), FALSE),
            0
        ) +
        IFERROR(
            VLOOKUP($A95, INDIRECT("JulR!$A$6:$ZZ$1048576"), MATCH(G$1, JulR!$6:$6, 0), FALSE),
            0
        ) +
        IFERROR(
            VLOOKUP($A95, INDIRECT("AgoR!$A$6:$ZZ$1048576"), MATCH(G$1, AgoR!$6:$6, 0), FALSE),
            0
        ) +
        IFERROR(
            VLOOKUP($A95, INDIRECT("SepR!$A$6:$ZZ$1048576"), MATCH(G$1, SepR!$6:$6, 0), FALSE),
            0
        ) +
        IFERROR(
            VLOOKUP($A95, INDIRECT("OctR!$A$6:$ZZ$1048576"), MATCH(G$1, OctR!$6:$6, 0), FALSE),
            0
        ) +
        IFERROR(
            VLOOKUP($A95, INDIRECT("NovR!$A$6:$ZZ$1048576"), MATCH(G$1, NovR!$6:$6, 0), FALSE),
            0
        ) +
        IFERROR(
            VLOOKUP($A95, INDIRECT("DicR!$A$6:$ZZ$1048576"), MATCH(G$1, DicR!$6:$6, 0), FALSE),
            0
        )
)</f>
        <v>0</v>
      </c>
      <c r="H95" s="32">
        <f t="array" ref="H95">SUM(
    IFERROR(
            VLOOKUP($A95, INDIRECT("EneR!$A$6:$ZZ$1048576"), MATCH(H$1, EneR!$6:$6, 0), FALSE),
            0
        ) +
        IFERROR(
            VLOOKUP($A95, INDIRECT("FebR!$A$6:$ZZ$1048576"), MATCH(H$1, FebR!$6:$6, 0), FALSE),
            0
        ) +
        IFERROR(
            VLOOKUP($A95, INDIRECT("MarR!$A$6:$ZZ$1048576"), MATCH(H$1, MarR!$6:$6, 0), FALSE),
            0
        ) +
        IFERROR(
            VLOOKUP($A95, INDIRECT("AbrR!$A$6:$ZZ$1048576"), MATCH(H$1, AbrR!$6:$6, 0), FALSE),
            0
        ) +
        IFERROR(
            VLOOKUP($A95, INDIRECT("MayR!$A$6:$ZZ$1048576"), MATCH(H$1, MayR!$6:$6, 0), FALSE),
            0
        ) +
        IFERROR(
            VLOOKUP($A95, INDIRECT("JunR!$A$6:$ZZ$1048576"), MATCH(H$1, JunR!$6:$6, 0), FALSE),
            0
        ) +
        IFERROR(
            VLOOKUP($A95, INDIRECT("JulR!$A$6:$ZZ$1048576"), MATCH(H$1, JulR!$6:$6, 0), FALSE),
            0
        ) +
        IFERROR(
            VLOOKUP($A95, INDIRECT("AgoR!$A$6:$ZZ$1048576"), MATCH(H$1, AgoR!$6:$6, 0), FALSE),
            0
        ) +
        IFERROR(
            VLOOKUP($A95, INDIRECT("SepR!$A$6:$ZZ$1048576"), MATCH(H$1, SepR!$6:$6, 0), FALSE),
            0
        ) +
        IFERROR(
            VLOOKUP($A95, INDIRECT("OctR!$A$6:$ZZ$1048576"), MATCH(H$1, OctR!$6:$6, 0), FALSE),
            0
        ) +
        IFERROR(
            VLOOKUP($A95, INDIRECT("NovR!$A$6:$ZZ$1048576"), MATCH(H$1, NovR!$6:$6, 0), FALSE),
            0
        ) +
        IFERROR(
            VLOOKUP($A95, INDIRECT("DicR!$A$6:$ZZ$1048576"), MATCH(H$1, DicR!$6:$6, 0), FALSE),
            0
        )
)</f>
        <v>0</v>
      </c>
      <c r="I95" s="35">
        <f t="array" ref="I95">SUM(
    IFERROR(
            VLOOKUP($A95, INDIRECT("EneR!$A$6:$ZZ$1048576"), MATCH(I$1, EneR!$6:$6, 0), FALSE),
            0
        ) +
        IFERROR(
            VLOOKUP($A95, INDIRECT("FebR!$A$6:$ZZ$1048576"), MATCH(I$1, FebR!$6:$6, 0), FALSE),
            0
        ) +
        IFERROR(
            VLOOKUP($A95, INDIRECT("MarR!$A$6:$ZZ$1048576"), MATCH(I$1, MarR!$6:$6, 0), FALSE),
            0
        ) +
        IFERROR(
            VLOOKUP($A95, INDIRECT("AbrR!$A$6:$ZZ$1048576"), MATCH(I$1, AbrR!$6:$6, 0), FALSE),
            0
        ) +
        IFERROR(
            VLOOKUP($A95, INDIRECT("MayR!$A$6:$ZZ$1048576"), MATCH(I$1, MayR!$6:$6, 0), FALSE),
            0
        ) +
        IFERROR(
            VLOOKUP($A95, INDIRECT("JunR!$A$6:$ZZ$1048576"), MATCH(I$1, JunR!$6:$6, 0), FALSE),
            0
        ) +
        IFERROR(
            VLOOKUP($A95, INDIRECT("JulR!$A$6:$ZZ$1048576"), MATCH(I$1, JulR!$6:$6, 0), FALSE),
            0
        ) +
        IFERROR(
            VLOOKUP($A95, INDIRECT("AgoR!$A$6:$ZZ$1048576"), MATCH(I$1, AgoR!$6:$6, 0), FALSE),
            0
        ) +
        IFERROR(
            VLOOKUP($A95, INDIRECT("SepR!$A$6:$ZZ$1048576"), MATCH(I$1, SepR!$6:$6, 0), FALSE),
            0
        ) +
        IFERROR(
            VLOOKUP($A95, INDIRECT("OctR!$A$6:$ZZ$1048576"), MATCH(I$1, OctR!$6:$6, 0), FALSE),
            0
        ) +
        IFERROR(
            VLOOKUP($A95, INDIRECT("NovR!$A$6:$ZZ$1048576"), MATCH(I$1, NovR!$6:$6, 0), FALSE),
            0
        ) +
        IFERROR(
            VLOOKUP($A95, INDIRECT("DicR!$A$6:$ZZ$1048576"), MATCH(I$1, DicR!$6:$6, 0), FALSE),
            0
        )
)</f>
        <v>0</v>
      </c>
      <c r="J95" s="32">
        <f t="array" ref="J95">SUM(
    IFERROR(
            VLOOKUP($A95, INDIRECT("EneR!$A$6:$ZZ$1048576"), MATCH(J$1, EneR!$6:$6, 0), FALSE),
            0
        ) +
        IFERROR(
            VLOOKUP($A95, INDIRECT("FebR!$A$6:$ZZ$1048576"), MATCH(J$1, FebR!$6:$6, 0), FALSE),
            0
        ) +
        IFERROR(
            VLOOKUP($A95, INDIRECT("MarR!$A$6:$ZZ$1048576"), MATCH(J$1, MarR!$6:$6, 0), FALSE),
            0
        ) +
        IFERROR(
            VLOOKUP($A95, INDIRECT("AbrR!$A$6:$ZZ$1048576"), MATCH(J$1, AbrR!$6:$6, 0), FALSE),
            0
        ) +
        IFERROR(
            VLOOKUP($A95, INDIRECT("MayR!$A$6:$ZZ$1048576"), MATCH(J$1, MayR!$6:$6, 0), FALSE),
            0
        ) +
        IFERROR(
            VLOOKUP($A95, INDIRECT("JunR!$A$6:$ZZ$1048576"), MATCH(J$1, JunR!$6:$6, 0), FALSE),
            0
        ) +
        IFERROR(
            VLOOKUP($A95, INDIRECT("JulR!$A$6:$ZZ$1048576"), MATCH(J$1, JulR!$6:$6, 0), FALSE),
            0
        ) +
        IFERROR(
            VLOOKUP($A95, INDIRECT("AgoR!$A$6:$ZZ$1048576"), MATCH(J$1, AgoR!$6:$6, 0), FALSE),
            0
        ) +
        IFERROR(
            VLOOKUP($A95, INDIRECT("SepR!$A$6:$ZZ$1048576"), MATCH(J$1, SepR!$6:$6, 0), FALSE),
            0
        ) +
        IFERROR(
            VLOOKUP($A95, INDIRECT("OctR!$A$6:$ZZ$1048576"), MATCH(J$1, OctR!$6:$6, 0), FALSE),
            0
        ) +
        IFERROR(
            VLOOKUP($A95, INDIRECT("NovR!$A$6:$ZZ$1048576"), MATCH(J$1, NovR!$6:$6, 0), FALSE),
            0
        ) +
        IFERROR(
            VLOOKUP($A95, INDIRECT("DicR!$A$6:$ZZ$1048576"), MATCH(J$1, DicR!$6:$6, 0), FALSE),
            0
        )
)</f>
        <v>0</v>
      </c>
      <c r="K95" s="35">
        <f t="array" ref="K95">SUM(
    IFERROR(
            VLOOKUP($A95, INDIRECT("EneR!$A$6:$ZZ$1048576"), MATCH(K$1, EneR!$6:$6, 0), FALSE),
            0
        ) +
        IFERROR(
            VLOOKUP($A95, INDIRECT("FebR!$A$6:$ZZ$1048576"), MATCH(K$1, FebR!$6:$6, 0), FALSE),
            0
        ) +
        IFERROR(
            VLOOKUP($A95, INDIRECT("MarR!$A$6:$ZZ$1048576"), MATCH(K$1, MarR!$6:$6, 0), FALSE),
            0
        ) +
        IFERROR(
            VLOOKUP($A95, INDIRECT("AbrR!$A$6:$ZZ$1048576"), MATCH(K$1, AbrR!$6:$6, 0), FALSE),
            0
        ) +
        IFERROR(
            VLOOKUP($A95, INDIRECT("MayR!$A$6:$ZZ$1048576"), MATCH(K$1, MayR!$6:$6, 0), FALSE),
            0
        ) +
        IFERROR(
            VLOOKUP($A95, INDIRECT("JunR!$A$6:$ZZ$1048576"), MATCH(K$1, JunR!$6:$6, 0), FALSE),
            0
        ) +
        IFERROR(
            VLOOKUP($A95, INDIRECT("JulR!$A$6:$ZZ$1048576"), MATCH(K$1, JulR!$6:$6, 0), FALSE),
            0
        ) +
        IFERROR(
            VLOOKUP($A95, INDIRECT("AgoR!$A$6:$ZZ$1048576"), MATCH(K$1, AgoR!$6:$6, 0), FALSE),
            0
        ) +
        IFERROR(
            VLOOKUP($A95, INDIRECT("SepR!$A$6:$ZZ$1048576"), MATCH(K$1, SepR!$6:$6, 0), FALSE),
            0
        ) +
        IFERROR(
            VLOOKUP($A95, INDIRECT("OctR!$A$6:$ZZ$1048576"), MATCH(K$1, OctR!$6:$6, 0), FALSE),
            0
        ) +
        IFERROR(
            VLOOKUP($A95, INDIRECT("NovR!$A$6:$ZZ$1048576"), MATCH(K$1, NovR!$6:$6, 0), FALSE),
            0
        ) +
        IFERROR(
            VLOOKUP($A95, INDIRECT("DicR!$A$6:$ZZ$1048576"), MATCH(K$1, DicR!$6:$6, 0), FALSE),
            0
        )
)</f>
        <v>0</v>
      </c>
      <c r="L95" s="32">
        <f t="array" ref="L95">SUM(
    IFERROR(
            VLOOKUP($A95, INDIRECT("EneR!$A$6:$ZZ$1048576"), MATCH(L$1, EneR!$6:$6, 0), FALSE),
            0
        ) +
        IFERROR(
            VLOOKUP($A95, INDIRECT("FebR!$A$6:$ZZ$1048576"), MATCH(L$1, FebR!$6:$6, 0), FALSE),
            0
        ) +
        IFERROR(
            VLOOKUP($A95, INDIRECT("MarR!$A$6:$ZZ$1048576"), MATCH(L$1, MarR!$6:$6, 0), FALSE),
            0
        ) +
        IFERROR(
            VLOOKUP($A95, INDIRECT("AbrR!$A$6:$ZZ$1048576"), MATCH(L$1, AbrR!$6:$6, 0), FALSE),
            0
        ) +
        IFERROR(
            VLOOKUP($A95, INDIRECT("MayR!$A$6:$ZZ$1048576"), MATCH(L$1, MayR!$6:$6, 0), FALSE),
            0
        ) +
        IFERROR(
            VLOOKUP($A95, INDIRECT("JunR!$A$6:$ZZ$1048576"), MATCH(L$1, JunR!$6:$6, 0), FALSE),
            0
        ) +
        IFERROR(
            VLOOKUP($A95, INDIRECT("JulR!$A$6:$ZZ$1048576"), MATCH(L$1, JulR!$6:$6, 0), FALSE),
            0
        ) +
        IFERROR(
            VLOOKUP($A95, INDIRECT("AgoR!$A$6:$ZZ$1048576"), MATCH(L$1, AgoR!$6:$6, 0), FALSE),
            0
        ) +
        IFERROR(
            VLOOKUP($A95, INDIRECT("SepR!$A$6:$ZZ$1048576"), MATCH(L$1, SepR!$6:$6, 0), FALSE),
            0
        ) +
        IFERROR(
            VLOOKUP($A95, INDIRECT("OctR!$A$6:$ZZ$1048576"), MATCH(L$1, OctR!$6:$6, 0), FALSE),
            0
        ) +
        IFERROR(
            VLOOKUP($A95, INDIRECT("NovR!$A$6:$ZZ$1048576"), MATCH(L$1, NovR!$6:$6, 0), FALSE),
            0
        ) +
        IFERROR(
            VLOOKUP($A95, INDIRECT("DicR!$A$6:$ZZ$1048576"), MATCH(L$1, DicR!$6:$6, 0), FALSE),
            0
        )
)</f>
        <v>0</v>
      </c>
      <c r="M95" s="35">
        <f t="array" ref="M95">SUM(
    IFERROR(
            VLOOKUP($A95, INDIRECT("EneR!$A$6:$ZZ$1048576"), MATCH(M$1, EneR!$6:$6, 0), FALSE),
            0
        ) +
        IFERROR(
            VLOOKUP($A95, INDIRECT("FebR!$A$6:$ZZ$1048576"), MATCH(M$1, FebR!$6:$6, 0), FALSE),
            0
        ) +
        IFERROR(
            VLOOKUP($A95, INDIRECT("MarR!$A$6:$ZZ$1048576"), MATCH(M$1, MarR!$6:$6, 0), FALSE),
            0
        ) +
        IFERROR(
            VLOOKUP($A95, INDIRECT("AbrR!$A$6:$ZZ$1048576"), MATCH(M$1, AbrR!$6:$6, 0), FALSE),
            0
        ) +
        IFERROR(
            VLOOKUP($A95, INDIRECT("MayR!$A$6:$ZZ$1048576"), MATCH(M$1, MayR!$6:$6, 0), FALSE),
            0
        ) +
        IFERROR(
            VLOOKUP($A95, INDIRECT("JunR!$A$6:$ZZ$1048576"), MATCH(M$1, JunR!$6:$6, 0), FALSE),
            0
        ) +
        IFERROR(
            VLOOKUP($A95, INDIRECT("JulR!$A$6:$ZZ$1048576"), MATCH(M$1, JulR!$6:$6, 0), FALSE),
            0
        ) +
        IFERROR(
            VLOOKUP($A95, INDIRECT("AgoR!$A$6:$ZZ$1048576"), MATCH(M$1, AgoR!$6:$6, 0), FALSE),
            0
        ) +
        IFERROR(
            VLOOKUP($A95, INDIRECT("SepR!$A$6:$ZZ$1048576"), MATCH(M$1, SepR!$6:$6, 0), FALSE),
            0
        ) +
        IFERROR(
            VLOOKUP($A95, INDIRECT("OctR!$A$6:$ZZ$1048576"), MATCH(M$1, OctR!$6:$6, 0), FALSE),
            0
        ) +
        IFERROR(
            VLOOKUP($A95, INDIRECT("NovR!$A$6:$ZZ$1048576"), MATCH(M$1, NovR!$6:$6, 0), FALSE),
            0
        ) +
        IFERROR(
            VLOOKUP($A95, INDIRECT("DicR!$A$6:$ZZ$1048576"), MATCH(M$1, DicR!$6:$6, 0), FALSE),
            0
        )
)</f>
        <v>0</v>
      </c>
      <c r="N95" s="32">
        <f t="array" ref="N95">SUM(
    IFERROR(
            VLOOKUP($A95, INDIRECT("EneR!$A$6:$ZZ$1048576"), MATCH(N$1, EneR!$6:$6, 0), FALSE),
            0
        ) +
        IFERROR(
            VLOOKUP($A95, INDIRECT("FebR!$A$6:$ZZ$1048576"), MATCH(N$1, FebR!$6:$6, 0), FALSE),
            0
        ) +
        IFERROR(
            VLOOKUP($A95, INDIRECT("MarR!$A$6:$ZZ$1048576"), MATCH(N$1, MarR!$6:$6, 0), FALSE),
            0
        ) +
        IFERROR(
            VLOOKUP($A95, INDIRECT("AbrR!$A$6:$ZZ$1048576"), MATCH(N$1, AbrR!$6:$6, 0), FALSE),
            0
        ) +
        IFERROR(
            VLOOKUP($A95, INDIRECT("MayR!$A$6:$ZZ$1048576"), MATCH(N$1, MayR!$6:$6, 0), FALSE),
            0
        ) +
        IFERROR(
            VLOOKUP($A95, INDIRECT("JunR!$A$6:$ZZ$1048576"), MATCH(N$1, JunR!$6:$6, 0), FALSE),
            0
        ) +
        IFERROR(
            VLOOKUP($A95, INDIRECT("JulR!$A$6:$ZZ$1048576"), MATCH(N$1, JulR!$6:$6, 0), FALSE),
            0
        ) +
        IFERROR(
            VLOOKUP($A95, INDIRECT("AgoR!$A$6:$ZZ$1048576"), MATCH(N$1, AgoR!$6:$6, 0), FALSE),
            0
        ) +
        IFERROR(
            VLOOKUP($A95, INDIRECT("SepR!$A$6:$ZZ$1048576"), MATCH(N$1, SepR!$6:$6, 0), FALSE),
            0
        ) +
        IFERROR(
            VLOOKUP($A95, INDIRECT("OctR!$A$6:$ZZ$1048576"), MATCH(N$1, OctR!$6:$6, 0), FALSE),
            0
        ) +
        IFERROR(
            VLOOKUP($A95, INDIRECT("NovR!$A$6:$ZZ$1048576"), MATCH(N$1, NovR!$6:$6, 0), FALSE),
            0
        ) +
        IFERROR(
            VLOOKUP($A95, INDIRECT("DicR!$A$6:$ZZ$1048576"), MATCH(N$1, DicR!$6:$6, 0), FALSE),
            0
        )
)</f>
        <v>0</v>
      </c>
      <c r="O95" s="35">
        <f t="array" ref="O95">SUM(
    IFERROR(
            VLOOKUP($A95, INDIRECT("EneR!$A$6:$ZZ$1048576"), MATCH(O$1, EneR!$6:$6, 0), FALSE),
            0
        ) +
        IFERROR(
            VLOOKUP($A95, INDIRECT("FebR!$A$6:$ZZ$1048576"), MATCH(O$1, FebR!$6:$6, 0), FALSE),
            0
        ) +
        IFERROR(
            VLOOKUP($A95, INDIRECT("MarR!$A$6:$ZZ$1048576"), MATCH(O$1, MarR!$6:$6, 0), FALSE),
            0
        ) +
        IFERROR(
            VLOOKUP($A95, INDIRECT("AbrR!$A$6:$ZZ$1048576"), MATCH(O$1, AbrR!$6:$6, 0), FALSE),
            0
        ) +
        IFERROR(
            VLOOKUP($A95, INDIRECT("MayR!$A$6:$ZZ$1048576"), MATCH(O$1, MayR!$6:$6, 0), FALSE),
            0
        ) +
        IFERROR(
            VLOOKUP($A95, INDIRECT("JunR!$A$6:$ZZ$1048576"), MATCH(O$1, JunR!$6:$6, 0), FALSE),
            0
        ) +
        IFERROR(
            VLOOKUP($A95, INDIRECT("JulR!$A$6:$ZZ$1048576"), MATCH(O$1, JulR!$6:$6, 0), FALSE),
            0
        ) +
        IFERROR(
            VLOOKUP($A95, INDIRECT("AgoR!$A$6:$ZZ$1048576"), MATCH(O$1, AgoR!$6:$6, 0), FALSE),
            0
        ) +
        IFERROR(
            VLOOKUP($A95, INDIRECT("SepR!$A$6:$ZZ$1048576"), MATCH(O$1, SepR!$6:$6, 0), FALSE),
            0
        ) +
        IFERROR(
            VLOOKUP($A95, INDIRECT("OctR!$A$6:$ZZ$1048576"), MATCH(O$1, OctR!$6:$6, 0), FALSE),
            0
        ) +
        IFERROR(
            VLOOKUP($A95, INDIRECT("NovR!$A$6:$ZZ$1048576"), MATCH(O$1, NovR!$6:$6, 0), FALSE),
            0
        ) +
        IFERROR(
            VLOOKUP($A95, INDIRECT("DicR!$A$6:$ZZ$1048576"), MATCH(O$1, DicR!$6:$6, 0), FALSE),
            0
        )
)</f>
        <v>0</v>
      </c>
      <c r="P95" s="32">
        <f t="array" ref="P95">SUM(
    IFERROR(
            VLOOKUP($A95, INDIRECT("EneR!$A$6:$ZZ$1048576"), MATCH(P$1, EneR!$6:$6, 0), FALSE),
            0
        ) +
        IFERROR(
            VLOOKUP($A95, INDIRECT("FebR!$A$6:$ZZ$1048576"), MATCH(P$1, FebR!$6:$6, 0), FALSE),
            0
        ) +
        IFERROR(
            VLOOKUP($A95, INDIRECT("MarR!$A$6:$ZZ$1048576"), MATCH(P$1, MarR!$6:$6, 0), FALSE),
            0
        ) +
        IFERROR(
            VLOOKUP($A95, INDIRECT("AbrR!$A$6:$ZZ$1048576"), MATCH(P$1, AbrR!$6:$6, 0), FALSE),
            0
        ) +
        IFERROR(
            VLOOKUP($A95, INDIRECT("MayR!$A$6:$ZZ$1048576"), MATCH(P$1, MayR!$6:$6, 0), FALSE),
            0
        ) +
        IFERROR(
            VLOOKUP($A95, INDIRECT("JunR!$A$6:$ZZ$1048576"), MATCH(P$1, JunR!$6:$6, 0), FALSE),
            0
        ) +
        IFERROR(
            VLOOKUP($A95, INDIRECT("JulR!$A$6:$ZZ$1048576"), MATCH(P$1, JulR!$6:$6, 0), FALSE),
            0
        ) +
        IFERROR(
            VLOOKUP($A95, INDIRECT("AgoR!$A$6:$ZZ$1048576"), MATCH(P$1, AgoR!$6:$6, 0), FALSE),
            0
        ) +
        IFERROR(
            VLOOKUP($A95, INDIRECT("SepR!$A$6:$ZZ$1048576"), MATCH(P$1, SepR!$6:$6, 0), FALSE),
            0
        ) +
        IFERROR(
            VLOOKUP($A95, INDIRECT("OctR!$A$6:$ZZ$1048576"), MATCH(P$1, OctR!$6:$6, 0), FALSE),
            0
        ) +
        IFERROR(
            VLOOKUP($A95, INDIRECT("NovR!$A$6:$ZZ$1048576"), MATCH(P$1, NovR!$6:$6, 0), FALSE),
            0
        ) +
        IFERROR(
            VLOOKUP($A95, INDIRECT("DicR!$A$6:$ZZ$1048576"), MATCH(P$1, DicR!$6:$6, 0), FALSE),
            0
        )
)</f>
        <v>0</v>
      </c>
      <c r="Q95" s="35">
        <f t="array" ref="Q95">SUM(
    IFERROR(
            VLOOKUP($A95, INDIRECT("EneR!$A$6:$ZZ$1048576"), MATCH(Q$1, EneR!$6:$6, 0), FALSE),
            0
        ) +
        IFERROR(
            VLOOKUP($A95, INDIRECT("FebR!$A$6:$ZZ$1048576"), MATCH(Q$1, FebR!$6:$6, 0), FALSE),
            0
        ) +
        IFERROR(
            VLOOKUP($A95, INDIRECT("MarR!$A$6:$ZZ$1048576"), MATCH(Q$1, MarR!$6:$6, 0), FALSE),
            0
        ) +
        IFERROR(
            VLOOKUP($A95, INDIRECT("AbrR!$A$6:$ZZ$1048576"), MATCH(Q$1, AbrR!$6:$6, 0), FALSE),
            0
        ) +
        IFERROR(
            VLOOKUP($A95, INDIRECT("MayR!$A$6:$ZZ$1048576"), MATCH(Q$1, MayR!$6:$6, 0), FALSE),
            0
        ) +
        IFERROR(
            VLOOKUP($A95, INDIRECT("JunR!$A$6:$ZZ$1048576"), MATCH(Q$1, JunR!$6:$6, 0), FALSE),
            0
        ) +
        IFERROR(
            VLOOKUP($A95, INDIRECT("JulR!$A$6:$ZZ$1048576"), MATCH(Q$1, JulR!$6:$6, 0), FALSE),
            0
        ) +
        IFERROR(
            VLOOKUP($A95, INDIRECT("AgoR!$A$6:$ZZ$1048576"), MATCH(Q$1, AgoR!$6:$6, 0), FALSE),
            0
        ) +
        IFERROR(
            VLOOKUP($A95, INDIRECT("SepR!$A$6:$ZZ$1048576"), MATCH(Q$1, SepR!$6:$6, 0), FALSE),
            0
        ) +
        IFERROR(
            VLOOKUP($A95, INDIRECT("OctR!$A$6:$ZZ$1048576"), MATCH(Q$1, OctR!$6:$6, 0), FALSE),
            0
        ) +
        IFERROR(
            VLOOKUP($A95, INDIRECT("NovR!$A$6:$ZZ$1048576"), MATCH(Q$1, NovR!$6:$6, 0), FALSE),
            0
        ) +
        IFERROR(
            VLOOKUP($A95, INDIRECT("DicR!$A$6:$ZZ$1048576"), MATCH(Q$1, DicR!$6:$6, 0), FALSE),
            0
        )
)</f>
        <v>0</v>
      </c>
      <c r="R95" s="36">
        <f t="array" ref="R95">SUM(
    IFERROR(
            VLOOKUP($A95, INDIRECT("EneR!$A$6:$ZZ$1048576"), MATCH(R$1, EneR!$6:$6, 0), FALSE),
            0
        ) +
        IFERROR(
            VLOOKUP($A95, INDIRECT("FebR!$A$6:$ZZ$1048576"), MATCH(R$1, FebR!$6:$6, 0), FALSE),
            0
        ) +
        IFERROR(
            VLOOKUP($A95, INDIRECT("MarR!$A$6:$ZZ$1048576"), MATCH(R$1, MarR!$6:$6, 0), FALSE),
            0
        ) +
        IFERROR(
            VLOOKUP($A95, INDIRECT("AbrR!$A$6:$ZZ$1048576"), MATCH(R$1, AbrR!$6:$6, 0), FALSE),
            0
        ) +
        IFERROR(
            VLOOKUP($A95, INDIRECT("MayR!$A$6:$ZZ$1048576"), MATCH(R$1, MayR!$6:$6, 0), FALSE),
            0
        ) +
        IFERROR(
            VLOOKUP($A95, INDIRECT("JunR!$A$6:$ZZ$1048576"), MATCH(R$1, JunR!$6:$6, 0), FALSE),
            0
        ) +
        IFERROR(
            VLOOKUP($A95, INDIRECT("JulR!$A$6:$ZZ$1048576"), MATCH(R$1, JulR!$6:$6, 0), FALSE),
            0
        ) +
        IFERROR(
            VLOOKUP($A95, INDIRECT("AgoR!$A$6:$ZZ$1048576"), MATCH(R$1, AgoR!$6:$6, 0), FALSE),
            0
        ) +
        IFERROR(
            VLOOKUP($A95, INDIRECT("SepR!$A$6:$ZZ$1048576"), MATCH(R$1, SepR!$6:$6, 0), FALSE),
            0
        ) +
        IFERROR(
            VLOOKUP($A95, INDIRECT("OctR!$A$6:$ZZ$1048576"), MATCH(R$1, OctR!$6:$6, 0), FALSE),
            0
        ) +
        IFERROR(
            VLOOKUP($A95, INDIRECT("NovR!$A$6:$ZZ$1048576"), MATCH(R$1, NovR!$6:$6, 0), FALSE),
            0
        ) +
        IFERROR(
            VLOOKUP($A95, INDIRECT("DicR!$A$6:$ZZ$1048576"), MATCH(R$1, DicR!$6:$6, 0), FALSE),
            0
        )
)</f>
        <v>0</v>
      </c>
      <c r="S95" s="37">
        <f t="array" ref="S95">SUM(
    IFERROR(
            VLOOKUP($A95, INDIRECT("EneR!$A$6:$ZZ$1048576"), MATCH(S$1, EneR!$6:$6, 0), FALSE),
            0
        ) +
        IFERROR(
            VLOOKUP($A95, INDIRECT("FebR!$A$6:$ZZ$1048576"), MATCH(S$1, FebR!$6:$6, 0), FALSE),
            0
        ) +
        IFERROR(
            VLOOKUP($A95, INDIRECT("MarR!$A$6:$ZZ$1048576"), MATCH(S$1, MarR!$6:$6, 0), FALSE),
            0
        ) +
        IFERROR(
            VLOOKUP($A95, INDIRECT("AbrR!$A$6:$ZZ$1048576"), MATCH(S$1, AbrR!$6:$6, 0), FALSE),
            0
        ) +
        IFERROR(
            VLOOKUP($A95, INDIRECT("MayR!$A$6:$ZZ$1048576"), MATCH(S$1, MayR!$6:$6, 0), FALSE),
            0
        ) +
        IFERROR(
            VLOOKUP($A95, INDIRECT("JunR!$A$6:$ZZ$1048576"), MATCH(S$1, JunR!$6:$6, 0), FALSE),
            0
        ) +
        IFERROR(
            VLOOKUP($A95, INDIRECT("JulR!$A$6:$ZZ$1048576"), MATCH(S$1, JulR!$6:$6, 0), FALSE),
            0
        ) +
        IFERROR(
            VLOOKUP($A95, INDIRECT("AgoR!$A$6:$ZZ$1048576"), MATCH(S$1, AgoR!$6:$6, 0), FALSE),
            0
        ) +
        IFERROR(
            VLOOKUP($A95, INDIRECT("SepR!$A$6:$ZZ$1048576"), MATCH(S$1, SepR!$6:$6, 0), FALSE),
            0
        ) +
        IFERROR(
            VLOOKUP($A95, INDIRECT("OctR!$A$6:$ZZ$1048576"), MATCH(S$1, OctR!$6:$6, 0), FALSE),
            0
        ) +
        IFERROR(
            VLOOKUP($A95, INDIRECT("NovR!$A$6:$ZZ$1048576"), MATCH(S$1, NovR!$6:$6, 0), FALSE),
            0
        ) +
        IFERROR(
            VLOOKUP($A95, INDIRECT("DicR!$A$6:$ZZ$1048576"), MATCH(S$1, DicR!$6:$6, 0), FALSE),
            0
        )
)</f>
        <v>0</v>
      </c>
      <c r="T95" s="36">
        <f t="array" ref="T95">SUM(
    IFERROR(
            VLOOKUP($A95, INDIRECT("EneR!$A$6:$ZZ$1048576"), MATCH(T$1, EneR!$6:$6, 0), FALSE),
            0
        ) +
        IFERROR(
            VLOOKUP($A95, INDIRECT("FebR!$A$6:$ZZ$1048576"), MATCH(T$1, FebR!$6:$6, 0), FALSE),
            0
        ) +
        IFERROR(
            VLOOKUP($A95, INDIRECT("MarR!$A$6:$ZZ$1048576"), MATCH(T$1, MarR!$6:$6, 0), FALSE),
            0
        ) +
        IFERROR(
            VLOOKUP($A95, INDIRECT("AbrR!$A$6:$ZZ$1048576"), MATCH(T$1, AbrR!$6:$6, 0), FALSE),
            0
        ) +
        IFERROR(
            VLOOKUP($A95, INDIRECT("MayR!$A$6:$ZZ$1048576"), MATCH(T$1, MayR!$6:$6, 0), FALSE),
            0
        ) +
        IFERROR(
            VLOOKUP($A95, INDIRECT("JunR!$A$6:$ZZ$1048576"), MATCH(T$1, JunR!$6:$6, 0), FALSE),
            0
        ) +
        IFERROR(
            VLOOKUP($A95, INDIRECT("JulR!$A$6:$ZZ$1048576"), MATCH(T$1, JulR!$6:$6, 0), FALSE),
            0
        ) +
        IFERROR(
            VLOOKUP($A95, INDIRECT("AgoR!$A$6:$ZZ$1048576"), MATCH(T$1, AgoR!$6:$6, 0), FALSE),
            0
        ) +
        IFERROR(
            VLOOKUP($A95, INDIRECT("SepR!$A$6:$ZZ$1048576"), MATCH(T$1, SepR!$6:$6, 0), FALSE),
            0
        ) +
        IFERROR(
            VLOOKUP($A95, INDIRECT("OctR!$A$6:$ZZ$1048576"), MATCH(T$1, OctR!$6:$6, 0), FALSE),
            0
        ) +
        IFERROR(
            VLOOKUP($A95, INDIRECT("NovR!$A$6:$ZZ$1048576"), MATCH(T$1, NovR!$6:$6, 0), FALSE),
            0
        ) +
        IFERROR(
            VLOOKUP($A95, INDIRECT("DicR!$A$6:$ZZ$1048576"), MATCH(T$1, DicR!$6:$6, 0), FALSE),
            0
        )
)</f>
        <v>0</v>
      </c>
      <c r="U95" s="37">
        <f t="array" ref="U95">SUM(
    IFERROR(
            VLOOKUP($A95, INDIRECT("EneR!$A$6:$ZZ$1048576"), MATCH(U$1, EneR!$6:$6, 0), FALSE),
            0
        ) +
        IFERROR(
            VLOOKUP($A95, INDIRECT("FebR!$A$6:$ZZ$1048576"), MATCH(U$1, FebR!$6:$6, 0), FALSE),
            0
        ) +
        IFERROR(
            VLOOKUP($A95, INDIRECT("MarR!$A$6:$ZZ$1048576"), MATCH(U$1, MarR!$6:$6, 0), FALSE),
            0
        ) +
        IFERROR(
            VLOOKUP($A95, INDIRECT("AbrR!$A$6:$ZZ$1048576"), MATCH(U$1, AbrR!$6:$6, 0), FALSE),
            0
        ) +
        IFERROR(
            VLOOKUP($A95, INDIRECT("MayR!$A$6:$ZZ$1048576"), MATCH(U$1, MayR!$6:$6, 0), FALSE),
            0
        ) +
        IFERROR(
            VLOOKUP($A95, INDIRECT("JunR!$A$6:$ZZ$1048576"), MATCH(U$1, JunR!$6:$6, 0), FALSE),
            0
        ) +
        IFERROR(
            VLOOKUP($A95, INDIRECT("JulR!$A$6:$ZZ$1048576"), MATCH(U$1, JulR!$6:$6, 0), FALSE),
            0
        ) +
        IFERROR(
            VLOOKUP($A95, INDIRECT("AgoR!$A$6:$ZZ$1048576"), MATCH(U$1, AgoR!$6:$6, 0), FALSE),
            0
        ) +
        IFERROR(
            VLOOKUP($A95, INDIRECT("SepR!$A$6:$ZZ$1048576"), MATCH(U$1, SepR!$6:$6, 0), FALSE),
            0
        ) +
        IFERROR(
            VLOOKUP($A95, INDIRECT("OctR!$A$6:$ZZ$1048576"), MATCH(U$1, OctR!$6:$6, 0), FALSE),
            0
        ) +
        IFERROR(
            VLOOKUP($A95, INDIRECT("NovR!$A$6:$ZZ$1048576"), MATCH(U$1, NovR!$6:$6, 0), FALSE),
            0
        ) +
        IFERROR(
            VLOOKUP($A95, INDIRECT("DicR!$A$6:$ZZ$1048576"), MATCH(U$1, DicR!$6:$6, 0), FALSE),
            0
        )
)</f>
        <v>0</v>
      </c>
      <c r="V95" s="36">
        <f t="array" ref="V95">SUM(
    IFERROR(
            VLOOKUP($A95, INDIRECT("EneR!$A$6:$ZZ$1048576"), MATCH(V$1, EneR!$6:$6, 0), FALSE),
            0
        ) +
        IFERROR(
            VLOOKUP($A95, INDIRECT("FebR!$A$6:$ZZ$1048576"), MATCH(V$1, FebR!$6:$6, 0), FALSE),
            0
        ) +
        IFERROR(
            VLOOKUP($A95, INDIRECT("MarR!$A$6:$ZZ$1048576"), MATCH(V$1, MarR!$6:$6, 0), FALSE),
            0
        ) +
        IFERROR(
            VLOOKUP($A95, INDIRECT("AbrR!$A$6:$ZZ$1048576"), MATCH(V$1, AbrR!$6:$6, 0), FALSE),
            0
        ) +
        IFERROR(
            VLOOKUP($A95, INDIRECT("MayR!$A$6:$ZZ$1048576"), MATCH(V$1, MayR!$6:$6, 0), FALSE),
            0
        ) +
        IFERROR(
            VLOOKUP($A95, INDIRECT("JunR!$A$6:$ZZ$1048576"), MATCH(V$1, JunR!$6:$6, 0), FALSE),
            0
        ) +
        IFERROR(
            VLOOKUP($A95, INDIRECT("JulR!$A$6:$ZZ$1048576"), MATCH(V$1, JulR!$6:$6, 0), FALSE),
            0
        ) +
        IFERROR(
            VLOOKUP($A95, INDIRECT("AgoR!$A$6:$ZZ$1048576"), MATCH(V$1, AgoR!$6:$6, 0), FALSE),
            0
        ) +
        IFERROR(
            VLOOKUP($A95, INDIRECT("SepR!$A$6:$ZZ$1048576"), MATCH(V$1, SepR!$6:$6, 0), FALSE),
            0
        ) +
        IFERROR(
            VLOOKUP($A95, INDIRECT("OctR!$A$6:$ZZ$1048576"), MATCH(V$1, OctR!$6:$6, 0), FALSE),
            0
        ) +
        IFERROR(
            VLOOKUP($A95, INDIRECT("NovR!$A$6:$ZZ$1048576"), MATCH(V$1, NovR!$6:$6, 0), FALSE),
            0
        ) +
        IFERROR(
            VLOOKUP($A95, INDIRECT("DicR!$A$6:$ZZ$1048576"), MATCH(V$1, DicR!$6:$6, 0), FALSE),
            0
        )
)</f>
        <v>0</v>
      </c>
      <c r="W95" s="37">
        <f t="array" ref="W95">SUM(
    IFERROR(
            VLOOKUP($A95, INDIRECT("EneR!$A$6:$ZZ$1048576"), MATCH(W$1, EneR!$6:$6, 0), FALSE),
            0
        ) +
        IFERROR(
            VLOOKUP($A95, INDIRECT("FebR!$A$6:$ZZ$1048576"), MATCH(W$1, FebR!$6:$6, 0), FALSE),
            0
        ) +
        IFERROR(
            VLOOKUP($A95, INDIRECT("MarR!$A$6:$ZZ$1048576"), MATCH(W$1, MarR!$6:$6, 0), FALSE),
            0
        ) +
        IFERROR(
            VLOOKUP($A95, INDIRECT("AbrR!$A$6:$ZZ$1048576"), MATCH(W$1, AbrR!$6:$6, 0), FALSE),
            0
        ) +
        IFERROR(
            VLOOKUP($A95, INDIRECT("MayR!$A$6:$ZZ$1048576"), MATCH(W$1, MayR!$6:$6, 0), FALSE),
            0
        ) +
        IFERROR(
            VLOOKUP($A95, INDIRECT("JunR!$A$6:$ZZ$1048576"), MATCH(W$1, JunR!$6:$6, 0), FALSE),
            0
        ) +
        IFERROR(
            VLOOKUP($A95, INDIRECT("JulR!$A$6:$ZZ$1048576"), MATCH(W$1, JulR!$6:$6, 0), FALSE),
            0
        ) +
        IFERROR(
            VLOOKUP($A95, INDIRECT("AgoR!$A$6:$ZZ$1048576"), MATCH(W$1, AgoR!$6:$6, 0), FALSE),
            0
        ) +
        IFERROR(
            VLOOKUP($A95, INDIRECT("SepR!$A$6:$ZZ$1048576"), MATCH(W$1, SepR!$6:$6, 0), FALSE),
            0
        ) +
        IFERROR(
            VLOOKUP($A95, INDIRECT("OctR!$A$6:$ZZ$1048576"), MATCH(W$1, OctR!$6:$6, 0), FALSE),
            0
        ) +
        IFERROR(
            VLOOKUP($A95, INDIRECT("NovR!$A$6:$ZZ$1048576"), MATCH(W$1, NovR!$6:$6, 0), FALSE),
            0
        ) +
        IFERROR(
            VLOOKUP($A95, INDIRECT("DicR!$A$6:$ZZ$1048576"), MATCH(W$1, DicR!$6:$6, 0), FALSE),
            0
        )
)</f>
        <v>0</v>
      </c>
      <c r="X95" s="36">
        <f t="array" ref="X95">SUM(
    IFERROR(
            VLOOKUP($A95, INDIRECT("EneR!$A$6:$ZZ$1048576"), MATCH(X$1, EneR!$6:$6, 0), FALSE),
            0
        ) +
        IFERROR(
            VLOOKUP($A95, INDIRECT("FebR!$A$6:$ZZ$1048576"), MATCH(X$1, FebR!$6:$6, 0), FALSE),
            0
        ) +
        IFERROR(
            VLOOKUP($A95, INDIRECT("MarR!$A$6:$ZZ$1048576"), MATCH(X$1, MarR!$6:$6, 0), FALSE),
            0
        ) +
        IFERROR(
            VLOOKUP($A95, INDIRECT("AbrR!$A$6:$ZZ$1048576"), MATCH(X$1, AbrR!$6:$6, 0), FALSE),
            0
        ) +
        IFERROR(
            VLOOKUP($A95, INDIRECT("MayR!$A$6:$ZZ$1048576"), MATCH(X$1, MayR!$6:$6, 0), FALSE),
            0
        ) +
        IFERROR(
            VLOOKUP($A95, INDIRECT("JunR!$A$6:$ZZ$1048576"), MATCH(X$1, JunR!$6:$6, 0), FALSE),
            0
        ) +
        IFERROR(
            VLOOKUP($A95, INDIRECT("JulR!$A$6:$ZZ$1048576"), MATCH(X$1, JulR!$6:$6, 0), FALSE),
            0
        ) +
        IFERROR(
            VLOOKUP($A95, INDIRECT("AgoR!$A$6:$ZZ$1048576"), MATCH(X$1, AgoR!$6:$6, 0), FALSE),
            0
        ) +
        IFERROR(
            VLOOKUP($A95, INDIRECT("SepR!$A$6:$ZZ$1048576"), MATCH(X$1, SepR!$6:$6, 0), FALSE),
            0
        ) +
        IFERROR(
            VLOOKUP($A95, INDIRECT("OctR!$A$6:$ZZ$1048576"), MATCH(X$1, OctR!$6:$6, 0), FALSE),
            0
        ) +
        IFERROR(
            VLOOKUP($A95, INDIRECT("NovR!$A$6:$ZZ$1048576"), MATCH(X$1, NovR!$6:$6, 0), FALSE),
            0
        ) +
        IFERROR(
            VLOOKUP($A95, INDIRECT("DicR!$A$6:$ZZ$1048576"), MATCH(X$1, DicR!$6:$6, 0), FALSE),
            0
        )
)</f>
        <v>0</v>
      </c>
      <c r="Y95" s="37">
        <f t="array" ref="Y95">SUM(
    IFERROR(
            VLOOKUP($A95, INDIRECT("EneR!$A$6:$ZZ$1048576"), MATCH(Y$1, EneR!$6:$6, 0), FALSE),
            0
        ) +
        IFERROR(
            VLOOKUP($A95, INDIRECT("FebR!$A$6:$ZZ$1048576"), MATCH(Y$1, FebR!$6:$6, 0), FALSE),
            0
        ) +
        IFERROR(
            VLOOKUP($A95, INDIRECT("MarR!$A$6:$ZZ$1048576"), MATCH(Y$1, MarR!$6:$6, 0), FALSE),
            0
        ) +
        IFERROR(
            VLOOKUP($A95, INDIRECT("AbrR!$A$6:$ZZ$1048576"), MATCH(Y$1, AbrR!$6:$6, 0), FALSE),
            0
        ) +
        IFERROR(
            VLOOKUP($A95, INDIRECT("MayR!$A$6:$ZZ$1048576"), MATCH(Y$1, MayR!$6:$6, 0), FALSE),
            0
        ) +
        IFERROR(
            VLOOKUP($A95, INDIRECT("JunR!$A$6:$ZZ$1048576"), MATCH(Y$1, JunR!$6:$6, 0), FALSE),
            0
        ) +
        IFERROR(
            VLOOKUP($A95, INDIRECT("JulR!$A$6:$ZZ$1048576"), MATCH(Y$1, JulR!$6:$6, 0), FALSE),
            0
        ) +
        IFERROR(
            VLOOKUP($A95, INDIRECT("AgoR!$A$6:$ZZ$1048576"), MATCH(Y$1, AgoR!$6:$6, 0), FALSE),
            0
        ) +
        IFERROR(
            VLOOKUP($A95, INDIRECT("SepR!$A$6:$ZZ$1048576"), MATCH(Y$1, SepR!$6:$6, 0), FALSE),
            0
        ) +
        IFERROR(
            VLOOKUP($A95, INDIRECT("OctR!$A$6:$ZZ$1048576"), MATCH(Y$1, OctR!$6:$6, 0), FALSE),
            0
        ) +
        IFERROR(
            VLOOKUP($A95, INDIRECT("NovR!$A$6:$ZZ$1048576"), MATCH(Y$1, NovR!$6:$6, 0), FALSE),
            0
        ) +
        IFERROR(
            VLOOKUP($A95, INDIRECT("DicR!$A$6:$ZZ$1048576"), MATCH(Y$1, DicR!$6:$6, 0), FALSE),
            0
        )
)</f>
        <v>0</v>
      </c>
      <c r="Z95" s="36">
        <f t="array" ref="Z95">SUM(
    IFERROR(
            VLOOKUP($A95, INDIRECT("EneR!$A$6:$ZZ$1048576"), MATCH(Z$1, EneR!$6:$6, 0), FALSE),
            0
        ) +
        IFERROR(
            VLOOKUP($A95, INDIRECT("FebR!$A$6:$ZZ$1048576"), MATCH(Z$1, FebR!$6:$6, 0), FALSE),
            0
        ) +
        IFERROR(
            VLOOKUP($A95, INDIRECT("MarR!$A$6:$ZZ$1048576"), MATCH(Z$1, MarR!$6:$6, 0), FALSE),
            0
        ) +
        IFERROR(
            VLOOKUP($A95, INDIRECT("AbrR!$A$6:$ZZ$1048576"), MATCH(Z$1, AbrR!$6:$6, 0), FALSE),
            0
        ) +
        IFERROR(
            VLOOKUP($A95, INDIRECT("MayR!$A$6:$ZZ$1048576"), MATCH(Z$1, MayR!$6:$6, 0), FALSE),
            0
        ) +
        IFERROR(
            VLOOKUP($A95, INDIRECT("JunR!$A$6:$ZZ$1048576"), MATCH(Z$1, JunR!$6:$6, 0), FALSE),
            0
        ) +
        IFERROR(
            VLOOKUP($A95, INDIRECT("JulR!$A$6:$ZZ$1048576"), MATCH(Z$1, JulR!$6:$6, 0), FALSE),
            0
        ) +
        IFERROR(
            VLOOKUP($A95, INDIRECT("AgoR!$A$6:$ZZ$1048576"), MATCH(Z$1, AgoR!$6:$6, 0), FALSE),
            0
        ) +
        IFERROR(
            VLOOKUP($A95, INDIRECT("SepR!$A$6:$ZZ$1048576"), MATCH(Z$1, SepR!$6:$6, 0), FALSE),
            0
        ) +
        IFERROR(
            VLOOKUP($A95, INDIRECT("OctR!$A$6:$ZZ$1048576"), MATCH(Z$1, OctR!$6:$6, 0), FALSE),
            0
        ) +
        IFERROR(
            VLOOKUP($A95, INDIRECT("NovR!$A$6:$ZZ$1048576"), MATCH(Z$1, NovR!$6:$6, 0), FALSE),
            0
        ) +
        IFERROR(
            VLOOKUP($A95, INDIRECT("DicR!$A$6:$ZZ$1048576"), MATCH(Z$1, DicR!$6:$6, 0), FALSE),
            0
        )
)</f>
        <v>0</v>
      </c>
      <c r="AA95" s="37">
        <f t="array" ref="AA95">SUM(
    IFERROR(
            VLOOKUP($A95, INDIRECT("EneR!$A$6:$ZZ$1048576"), MATCH(AA$1, EneR!$6:$6, 0), FALSE),
            0
        ) +
        IFERROR(
            VLOOKUP($A95, INDIRECT("FebR!$A$6:$ZZ$1048576"), MATCH(AA$1, FebR!$6:$6, 0), FALSE),
            0
        ) +
        IFERROR(
            VLOOKUP($A95, INDIRECT("MarR!$A$6:$ZZ$1048576"), MATCH(AA$1, MarR!$6:$6, 0), FALSE),
            0
        ) +
        IFERROR(
            VLOOKUP($A95, INDIRECT("AbrR!$A$6:$ZZ$1048576"), MATCH(AA$1, AbrR!$6:$6, 0), FALSE),
            0
        ) +
        IFERROR(
            VLOOKUP($A95, INDIRECT("MayR!$A$6:$ZZ$1048576"), MATCH(AA$1, MayR!$6:$6, 0), FALSE),
            0
        ) +
        IFERROR(
            VLOOKUP($A95, INDIRECT("JunR!$A$6:$ZZ$1048576"), MATCH(AA$1, JunR!$6:$6, 0), FALSE),
            0
        ) +
        IFERROR(
            VLOOKUP($A95, INDIRECT("JulR!$A$6:$ZZ$1048576"), MATCH(AA$1, JulR!$6:$6, 0), FALSE),
            0
        ) +
        IFERROR(
            VLOOKUP($A95, INDIRECT("AgoR!$A$6:$ZZ$1048576"), MATCH(AA$1, AgoR!$6:$6, 0), FALSE),
            0
        ) +
        IFERROR(
            VLOOKUP($A95, INDIRECT("SepR!$A$6:$ZZ$1048576"), MATCH(AA$1, SepR!$6:$6, 0), FALSE),
            0
        ) +
        IFERROR(
            VLOOKUP($A95, INDIRECT("OctR!$A$6:$ZZ$1048576"), MATCH(AA$1, OctR!$6:$6, 0), FALSE),
            0
        ) +
        IFERROR(
            VLOOKUP($A95, INDIRECT("NovR!$A$6:$ZZ$1048576"), MATCH(AA$1, NovR!$6:$6, 0), FALSE),
            0
        ) +
        IFERROR(
            VLOOKUP($A95, INDIRECT("DicR!$A$6:$ZZ$1048576"), MATCH(AA$1, DicR!$6:$6, 0), FALSE),
            0
        )
)</f>
        <v>0</v>
      </c>
      <c r="AB95" s="36">
        <f t="array" ref="AB95">SUM(
    IFERROR(
            VLOOKUP($A95, INDIRECT("EneR!$A$6:$ZZ$1048576"), MATCH(AB$1, EneR!$6:$6, 0), FALSE),
            0
        ) +
        IFERROR(
            VLOOKUP($A95, INDIRECT("FebR!$A$6:$ZZ$1048576"), MATCH(AB$1, FebR!$6:$6, 0), FALSE),
            0
        ) +
        IFERROR(
            VLOOKUP($A95, INDIRECT("MarR!$A$6:$ZZ$1048576"), MATCH(AB$1, MarR!$6:$6, 0), FALSE),
            0
        ) +
        IFERROR(
            VLOOKUP($A95, INDIRECT("AbrR!$A$6:$ZZ$1048576"), MATCH(AB$1, AbrR!$6:$6, 0), FALSE),
            0
        ) +
        IFERROR(
            VLOOKUP($A95, INDIRECT("MayR!$A$6:$ZZ$1048576"), MATCH(AB$1, MayR!$6:$6, 0), FALSE),
            0
        ) +
        IFERROR(
            VLOOKUP($A95, INDIRECT("JunR!$A$6:$ZZ$1048576"), MATCH(AB$1, JunR!$6:$6, 0), FALSE),
            0
        ) +
        IFERROR(
            VLOOKUP($A95, INDIRECT("JulR!$A$6:$ZZ$1048576"), MATCH(AB$1, JulR!$6:$6, 0), FALSE),
            0
        ) +
        IFERROR(
            VLOOKUP($A95, INDIRECT("AgoR!$A$6:$ZZ$1048576"), MATCH(AB$1, AgoR!$6:$6, 0), FALSE),
            0
        ) +
        IFERROR(
            VLOOKUP($A95, INDIRECT("SepR!$A$6:$ZZ$1048576"), MATCH(AB$1, SepR!$6:$6, 0), FALSE),
            0
        ) +
        IFERROR(
            VLOOKUP($A95, INDIRECT("OctR!$A$6:$ZZ$1048576"), MATCH(AB$1, OctR!$6:$6, 0), FALSE),
            0
        ) +
        IFERROR(
            VLOOKUP($A95, INDIRECT("NovR!$A$6:$ZZ$1048576"), MATCH(AB$1, NovR!$6:$6, 0), FALSE),
            0
        ) +
        IFERROR(
            VLOOKUP($A95, INDIRECT("DicR!$A$6:$ZZ$1048576"), MATCH(AB$1, DicR!$6:$6, 0), FALSE),
            0
        )
)</f>
        <v>0</v>
      </c>
      <c r="AC95" s="37">
        <f t="array" ref="AC95">SUM(
    IFERROR(
            VLOOKUP($A95, INDIRECT("EneR!$A$6:$ZZ$1048576"), MATCH(AC$1, EneR!$6:$6, 0), FALSE),
            0
        ) +
        IFERROR(
            VLOOKUP($A95, INDIRECT("FebR!$A$6:$ZZ$1048576"), MATCH(AC$1, FebR!$6:$6, 0), FALSE),
            0
        ) +
        IFERROR(
            VLOOKUP($A95, INDIRECT("MarR!$A$6:$ZZ$1048576"), MATCH(AC$1, MarR!$6:$6, 0), FALSE),
            0
        ) +
        IFERROR(
            VLOOKUP($A95, INDIRECT("AbrR!$A$6:$ZZ$1048576"), MATCH(AC$1, AbrR!$6:$6, 0), FALSE),
            0
        ) +
        IFERROR(
            VLOOKUP($A95, INDIRECT("MayR!$A$6:$ZZ$1048576"), MATCH(AC$1, MayR!$6:$6, 0), FALSE),
            0
        ) +
        IFERROR(
            VLOOKUP($A95, INDIRECT("JunR!$A$6:$ZZ$1048576"), MATCH(AC$1, JunR!$6:$6, 0), FALSE),
            0
        ) +
        IFERROR(
            VLOOKUP($A95, INDIRECT("JulR!$A$6:$ZZ$1048576"), MATCH(AC$1, JulR!$6:$6, 0), FALSE),
            0
        ) +
        IFERROR(
            VLOOKUP($A95, INDIRECT("AgoR!$A$6:$ZZ$1048576"), MATCH(AC$1, AgoR!$6:$6, 0), FALSE),
            0
        ) +
        IFERROR(
            VLOOKUP($A95, INDIRECT("SepR!$A$6:$ZZ$1048576"), MATCH(AC$1, SepR!$6:$6, 0), FALSE),
            0
        ) +
        IFERROR(
            VLOOKUP($A95, INDIRECT("OctR!$A$6:$ZZ$1048576"), MATCH(AC$1, OctR!$6:$6, 0), FALSE),
            0
        ) +
        IFERROR(
            VLOOKUP($A95, INDIRECT("NovR!$A$6:$ZZ$1048576"), MATCH(AC$1, NovR!$6:$6, 0), FALSE),
            0
        ) +
        IFERROR(
            VLOOKUP($A95, INDIRECT("DicR!$A$6:$ZZ$1048576"), MATCH(AC$1, DicR!$6:$6, 0), FALSE),
            0
        )
)</f>
        <v>0</v>
      </c>
      <c r="AD95" s="36">
        <f t="array" ref="AD95">SUM(
    IFERROR(
            VLOOKUP($A95, INDIRECT("EneR!$A$6:$ZZ$1048576"), MATCH(AD$1, EneR!$6:$6, 0), FALSE),
            0
        ) +
        IFERROR(
            VLOOKUP($A95, INDIRECT("FebR!$A$6:$ZZ$1048576"), MATCH(AD$1, FebR!$6:$6, 0), FALSE),
            0
        ) +
        IFERROR(
            VLOOKUP($A95, INDIRECT("MarR!$A$6:$ZZ$1048576"), MATCH(AD$1, MarR!$6:$6, 0), FALSE),
            0
        ) +
        IFERROR(
            VLOOKUP($A95, INDIRECT("AbrR!$A$6:$ZZ$1048576"), MATCH(AD$1, AbrR!$6:$6, 0), FALSE),
            0
        ) +
        IFERROR(
            VLOOKUP($A95, INDIRECT("MayR!$A$6:$ZZ$1048576"), MATCH(AD$1, MayR!$6:$6, 0), FALSE),
            0
        ) +
        IFERROR(
            VLOOKUP($A95, INDIRECT("JunR!$A$6:$ZZ$1048576"), MATCH(AD$1, JunR!$6:$6, 0), FALSE),
            0
        ) +
        IFERROR(
            VLOOKUP($A95, INDIRECT("JulR!$A$6:$ZZ$1048576"), MATCH(AD$1, JulR!$6:$6, 0), FALSE),
            0
        ) +
        IFERROR(
            VLOOKUP($A95, INDIRECT("AgoR!$A$6:$ZZ$1048576"), MATCH(AD$1, AgoR!$6:$6, 0), FALSE),
            0
        ) +
        IFERROR(
            VLOOKUP($A95, INDIRECT("SepR!$A$6:$ZZ$1048576"), MATCH(AD$1, SepR!$6:$6, 0), FALSE),
            0
        ) +
        IFERROR(
            VLOOKUP($A95, INDIRECT("OctR!$A$6:$ZZ$1048576"), MATCH(AD$1, OctR!$6:$6, 0), FALSE),
            0
        ) +
        IFERROR(
            VLOOKUP($A95, INDIRECT("NovR!$A$6:$ZZ$1048576"), MATCH(AD$1, NovR!$6:$6, 0), FALSE),
            0
        ) +
        IFERROR(
            VLOOKUP($A95, INDIRECT("DicR!$A$6:$ZZ$1048576"), MATCH(AD$1, DicR!$6:$6, 0), FALSE),
            0
        )
)</f>
        <v>0</v>
      </c>
      <c r="AE95" s="37">
        <f t="array" ref="AE95">SUM(
    IFERROR(
            VLOOKUP($A95, INDIRECT("EneR!$A$6:$ZZ$1048576"), MATCH(AE$1, EneR!$6:$6, 0), FALSE),
            0
        ) +
        IFERROR(
            VLOOKUP($A95, INDIRECT("FebR!$A$6:$ZZ$1048576"), MATCH(AE$1, FebR!$6:$6, 0), FALSE),
            0
        ) +
        IFERROR(
            VLOOKUP($A95, INDIRECT("MarR!$A$6:$ZZ$1048576"), MATCH(AE$1, MarR!$6:$6, 0), FALSE),
            0
        ) +
        IFERROR(
            VLOOKUP($A95, INDIRECT("AbrR!$A$6:$ZZ$1048576"), MATCH(AE$1, AbrR!$6:$6, 0), FALSE),
            0
        ) +
        IFERROR(
            VLOOKUP($A95, INDIRECT("MayR!$A$6:$ZZ$1048576"), MATCH(AE$1, MayR!$6:$6, 0), FALSE),
            0
        ) +
        IFERROR(
            VLOOKUP($A95, INDIRECT("JunR!$A$6:$ZZ$1048576"), MATCH(AE$1, JunR!$6:$6, 0), FALSE),
            0
        ) +
        IFERROR(
            VLOOKUP($A95, INDIRECT("JulR!$A$6:$ZZ$1048576"), MATCH(AE$1, JulR!$6:$6, 0), FALSE),
            0
        ) +
        IFERROR(
            VLOOKUP($A95, INDIRECT("AgoR!$A$6:$ZZ$1048576"), MATCH(AE$1, AgoR!$6:$6, 0), FALSE),
            0
        ) +
        IFERROR(
            VLOOKUP($A95, INDIRECT("SepR!$A$6:$ZZ$1048576"), MATCH(AE$1, SepR!$6:$6, 0), FALSE),
            0
        ) +
        IFERROR(
            VLOOKUP($A95, INDIRECT("OctR!$A$6:$ZZ$1048576"), MATCH(AE$1, OctR!$6:$6, 0), FALSE),
            0
        ) +
        IFERROR(
            VLOOKUP($A95, INDIRECT("NovR!$A$6:$ZZ$1048576"), MATCH(AE$1, NovR!$6:$6, 0), FALSE),
            0
        ) +
        IFERROR(
            VLOOKUP($A95, INDIRECT("DicR!$A$6:$ZZ$1048576"), MATCH(AE$1, DicR!$6:$6, 0), FALSE),
            0
        )
)</f>
        <v>0</v>
      </c>
      <c r="AF95" s="36">
        <f t="array" ref="AF95">SUM(
    IFERROR(
            VLOOKUP($A95, INDIRECT("EneR!$A$6:$ZZ$1048576"), MATCH(AF$1, EneR!$6:$6, 0), FALSE),
            0
        ) +
        IFERROR(
            VLOOKUP($A95, INDIRECT("FebR!$A$6:$ZZ$1048576"), MATCH(AF$1, FebR!$6:$6, 0), FALSE),
            0
        ) +
        IFERROR(
            VLOOKUP($A95, INDIRECT("MarR!$A$6:$ZZ$1048576"), MATCH(AF$1, MarR!$6:$6, 0), FALSE),
            0
        ) +
        IFERROR(
            VLOOKUP($A95, INDIRECT("AbrR!$A$6:$ZZ$1048576"), MATCH(AF$1, AbrR!$6:$6, 0), FALSE),
            0
        ) +
        IFERROR(
            VLOOKUP($A95, INDIRECT("MayR!$A$6:$ZZ$1048576"), MATCH(AF$1, MayR!$6:$6, 0), FALSE),
            0
        ) +
        IFERROR(
            VLOOKUP($A95, INDIRECT("JunR!$A$6:$ZZ$1048576"), MATCH(AF$1, JunR!$6:$6, 0), FALSE),
            0
        ) +
        IFERROR(
            VLOOKUP($A95, INDIRECT("JulR!$A$6:$ZZ$1048576"), MATCH(AF$1, JulR!$6:$6, 0), FALSE),
            0
        ) +
        IFERROR(
            VLOOKUP($A95, INDIRECT("AgoR!$A$6:$ZZ$1048576"), MATCH(AF$1, AgoR!$6:$6, 0), FALSE),
            0
        ) +
        IFERROR(
            VLOOKUP($A95, INDIRECT("SepR!$A$6:$ZZ$1048576"), MATCH(AF$1, SepR!$6:$6, 0), FALSE),
            0
        ) +
        IFERROR(
            VLOOKUP($A95, INDIRECT("OctR!$A$6:$ZZ$1048576"), MATCH(AF$1, OctR!$6:$6, 0), FALSE),
            0
        ) +
        IFERROR(
            VLOOKUP($A95, INDIRECT("NovR!$A$6:$ZZ$1048576"), MATCH(AF$1, NovR!$6:$6, 0), FALSE),
            0
        ) +
        IFERROR(
            VLOOKUP($A95, INDIRECT("DicR!$A$6:$ZZ$1048576"), MATCH(AF$1, DicR!$6:$6, 0), FALSE),
            0
        )
)</f>
        <v>0</v>
      </c>
      <c r="AG95" s="37">
        <f t="array" ref="AG95">SUM(
    IFERROR(
            VLOOKUP($A95, INDIRECT("EneR!$A$6:$ZZ$1048576"), MATCH(AG$1, EneR!$6:$6, 0), FALSE),
            0
        ) +
        IFERROR(
            VLOOKUP($A95, INDIRECT("FebR!$A$6:$ZZ$1048576"), MATCH(AG$1, FebR!$6:$6, 0), FALSE),
            0
        ) +
        IFERROR(
            VLOOKUP($A95, INDIRECT("MarR!$A$6:$ZZ$1048576"), MATCH(AG$1, MarR!$6:$6, 0), FALSE),
            0
        ) +
        IFERROR(
            VLOOKUP($A95, INDIRECT("AbrR!$A$6:$ZZ$1048576"), MATCH(AG$1, AbrR!$6:$6, 0), FALSE),
            0
        ) +
        IFERROR(
            VLOOKUP($A95, INDIRECT("MayR!$A$6:$ZZ$1048576"), MATCH(AG$1, MayR!$6:$6, 0), FALSE),
            0
        ) +
        IFERROR(
            VLOOKUP($A95, INDIRECT("JunR!$A$6:$ZZ$1048576"), MATCH(AG$1, JunR!$6:$6, 0), FALSE),
            0
        ) +
        IFERROR(
            VLOOKUP($A95, INDIRECT("JulR!$A$6:$ZZ$1048576"), MATCH(AG$1, JulR!$6:$6, 0), FALSE),
            0
        ) +
        IFERROR(
            VLOOKUP($A95, INDIRECT("AgoR!$A$6:$ZZ$1048576"), MATCH(AG$1, AgoR!$6:$6, 0), FALSE),
            0
        ) +
        IFERROR(
            VLOOKUP($A95, INDIRECT("SepR!$A$6:$ZZ$1048576"), MATCH(AG$1, SepR!$6:$6, 0), FALSE),
            0
        ) +
        IFERROR(
            VLOOKUP($A95, INDIRECT("OctR!$A$6:$ZZ$1048576"), MATCH(AG$1, OctR!$6:$6, 0), FALSE),
            0
        ) +
        IFERROR(
            VLOOKUP($A95, INDIRECT("NovR!$A$6:$ZZ$1048576"), MATCH(AG$1, NovR!$6:$6, 0), FALSE),
            0
        ) +
        IFERROR(
            VLOOKUP($A95, INDIRECT("DicR!$A$6:$ZZ$1048576"), MATCH(AG$1, DicR!$6:$6, 0), FALSE),
            0
        )
)</f>
        <v>0</v>
      </c>
      <c r="AH95" s="36">
        <f t="array" ref="AH95">SUM(
    IFERROR(
            VLOOKUP($A95, INDIRECT("EneR!$A$6:$ZZ$1048576"), MATCH(AH$1, EneR!$6:$6, 0), FALSE),
            0
        ) +
        IFERROR(
            VLOOKUP($A95, INDIRECT("FebR!$A$6:$ZZ$1048576"), MATCH(AH$1, FebR!$6:$6, 0), FALSE),
            0
        ) +
        IFERROR(
            VLOOKUP($A95, INDIRECT("MarR!$A$6:$ZZ$1048576"), MATCH(AH$1, MarR!$6:$6, 0), FALSE),
            0
        ) +
        IFERROR(
            VLOOKUP($A95, INDIRECT("AbrR!$A$6:$ZZ$1048576"), MATCH(AH$1, AbrR!$6:$6, 0), FALSE),
            0
        ) +
        IFERROR(
            VLOOKUP($A95, INDIRECT("MayR!$A$6:$ZZ$1048576"), MATCH(AH$1, MayR!$6:$6, 0), FALSE),
            0
        ) +
        IFERROR(
            VLOOKUP($A95, INDIRECT("JunR!$A$6:$ZZ$1048576"), MATCH(AH$1, JunR!$6:$6, 0), FALSE),
            0
        ) +
        IFERROR(
            VLOOKUP($A95, INDIRECT("JulR!$A$6:$ZZ$1048576"), MATCH(AH$1, JulR!$6:$6, 0), FALSE),
            0
        ) +
        IFERROR(
            VLOOKUP($A95, INDIRECT("AgoR!$A$6:$ZZ$1048576"), MATCH(AH$1, AgoR!$6:$6, 0), FALSE),
            0
        ) +
        IFERROR(
            VLOOKUP($A95, INDIRECT("SepR!$A$6:$ZZ$1048576"), MATCH(AH$1, SepR!$6:$6, 0), FALSE),
            0
        ) +
        IFERROR(
            VLOOKUP($A95, INDIRECT("OctR!$A$6:$ZZ$1048576"), MATCH(AH$1, OctR!$6:$6, 0), FALSE),
            0
        ) +
        IFERROR(
            VLOOKUP($A95, INDIRECT("NovR!$A$6:$ZZ$1048576"), MATCH(AH$1, NovR!$6:$6, 0), FALSE),
            0
        ) +
        IFERROR(
            VLOOKUP($A95, INDIRECT("DicR!$A$6:$ZZ$1048576"), MATCH(AH$1, DicR!$6:$6, 0), FALSE),
            0
        )
)</f>
        <v>0</v>
      </c>
      <c r="AI95" s="37">
        <f t="array" ref="AI95">SUM(
    IFERROR(
            VLOOKUP($A95, INDIRECT("EneR!$A$6:$ZZ$1048576"), MATCH(AI$1, EneR!$6:$6, 0), FALSE),
            0
        ) +
        IFERROR(
            VLOOKUP($A95, INDIRECT("FebR!$A$6:$ZZ$1048576"), MATCH(AI$1, FebR!$6:$6, 0), FALSE),
            0
        ) +
        IFERROR(
            VLOOKUP($A95, INDIRECT("MarR!$A$6:$ZZ$1048576"), MATCH(AI$1, MarR!$6:$6, 0), FALSE),
            0
        ) +
        IFERROR(
            VLOOKUP($A95, INDIRECT("AbrR!$A$6:$ZZ$1048576"), MATCH(AI$1, AbrR!$6:$6, 0), FALSE),
            0
        ) +
        IFERROR(
            VLOOKUP($A95, INDIRECT("MayR!$A$6:$ZZ$1048576"), MATCH(AI$1, MayR!$6:$6, 0), FALSE),
            0
        ) +
        IFERROR(
            VLOOKUP($A95, INDIRECT("JunR!$A$6:$ZZ$1048576"), MATCH(AI$1, JunR!$6:$6, 0), FALSE),
            0
        ) +
        IFERROR(
            VLOOKUP($A95, INDIRECT("JulR!$A$6:$ZZ$1048576"), MATCH(AI$1, JulR!$6:$6, 0), FALSE),
            0
        ) +
        IFERROR(
            VLOOKUP($A95, INDIRECT("AgoR!$A$6:$ZZ$1048576"), MATCH(AI$1, AgoR!$6:$6, 0), FALSE),
            0
        ) +
        IFERROR(
            VLOOKUP($A95, INDIRECT("SepR!$A$6:$ZZ$1048576"), MATCH(AI$1, SepR!$6:$6, 0), FALSE),
            0
        ) +
        IFERROR(
            VLOOKUP($A95, INDIRECT("OctR!$A$6:$ZZ$1048576"), MATCH(AI$1, OctR!$6:$6, 0), FALSE),
            0
        ) +
        IFERROR(
            VLOOKUP($A95, INDIRECT("NovR!$A$6:$ZZ$1048576"), MATCH(AI$1, NovR!$6:$6, 0), FALSE),
            0
        ) +
        IFERROR(
            VLOOKUP($A95, INDIRECT("DicR!$A$6:$ZZ$1048576"), MATCH(AI$1, DicR!$6:$6, 0), FALSE),
            0
        )
)</f>
        <v>0</v>
      </c>
      <c r="AJ95" s="36">
        <f t="array" ref="AJ95">SUM(
    IFERROR(
            VLOOKUP($A95, INDIRECT("EneR!$A$6:$ZZ$1048576"), MATCH(AJ$1, EneR!$6:$6, 0), FALSE),
            0
        ) +
        IFERROR(
            VLOOKUP($A95, INDIRECT("FebR!$A$6:$ZZ$1048576"), MATCH(AJ$1, FebR!$6:$6, 0), FALSE),
            0
        ) +
        IFERROR(
            VLOOKUP($A95, INDIRECT("MarR!$A$6:$ZZ$1048576"), MATCH(AJ$1, MarR!$6:$6, 0), FALSE),
            0
        ) +
        IFERROR(
            VLOOKUP($A95, INDIRECT("AbrR!$A$6:$ZZ$1048576"), MATCH(AJ$1, AbrR!$6:$6, 0), FALSE),
            0
        ) +
        IFERROR(
            VLOOKUP($A95, INDIRECT("MayR!$A$6:$ZZ$1048576"), MATCH(AJ$1, MayR!$6:$6, 0), FALSE),
            0
        ) +
        IFERROR(
            VLOOKUP($A95, INDIRECT("JunR!$A$6:$ZZ$1048576"), MATCH(AJ$1, JunR!$6:$6, 0), FALSE),
            0
        ) +
        IFERROR(
            VLOOKUP($A95, INDIRECT("JulR!$A$6:$ZZ$1048576"), MATCH(AJ$1, JulR!$6:$6, 0), FALSE),
            0
        ) +
        IFERROR(
            VLOOKUP($A95, INDIRECT("AgoR!$A$6:$ZZ$1048576"), MATCH(AJ$1, AgoR!$6:$6, 0), FALSE),
            0
        ) +
        IFERROR(
            VLOOKUP($A95, INDIRECT("SepR!$A$6:$ZZ$1048576"), MATCH(AJ$1, SepR!$6:$6, 0), FALSE),
            0
        ) +
        IFERROR(
            VLOOKUP($A95, INDIRECT("OctR!$A$6:$ZZ$1048576"), MATCH(AJ$1, OctR!$6:$6, 0), FALSE),
            0
        ) +
        IFERROR(
            VLOOKUP($A95, INDIRECT("NovR!$A$6:$ZZ$1048576"), MATCH(AJ$1, NovR!$6:$6, 0), FALSE),
            0
        ) +
        IFERROR(
            VLOOKUP($A95, INDIRECT("DicR!$A$6:$ZZ$1048576"), MATCH(AJ$1, DicR!$6:$6, 0), FALSE),
            0
        )
)</f>
        <v>0</v>
      </c>
      <c r="AK95" s="37">
        <f t="array" ref="AK95">SUM(
    IFERROR(
            VLOOKUP($A95, INDIRECT("EneR!$A$6:$ZZ$1048576"), MATCH(AK$1, EneR!$6:$6, 0), FALSE),
            0
        ) +
        IFERROR(
            VLOOKUP($A95, INDIRECT("FebR!$A$6:$ZZ$1048576"), MATCH(AK$1, FebR!$6:$6, 0), FALSE),
            0
        ) +
        IFERROR(
            VLOOKUP($A95, INDIRECT("MarR!$A$6:$ZZ$1048576"), MATCH(AK$1, MarR!$6:$6, 0), FALSE),
            0
        ) +
        IFERROR(
            VLOOKUP($A95, INDIRECT("AbrR!$A$6:$ZZ$1048576"), MATCH(AK$1, AbrR!$6:$6, 0), FALSE),
            0
        ) +
        IFERROR(
            VLOOKUP($A95, INDIRECT("MayR!$A$6:$ZZ$1048576"), MATCH(AK$1, MayR!$6:$6, 0), FALSE),
            0
        ) +
        IFERROR(
            VLOOKUP($A95, INDIRECT("JunR!$A$6:$ZZ$1048576"), MATCH(AK$1, JunR!$6:$6, 0), FALSE),
            0
        ) +
        IFERROR(
            VLOOKUP($A95, INDIRECT("JulR!$A$6:$ZZ$1048576"), MATCH(AK$1, JulR!$6:$6, 0), FALSE),
            0
        ) +
        IFERROR(
            VLOOKUP($A95, INDIRECT("AgoR!$A$6:$ZZ$1048576"), MATCH(AK$1, AgoR!$6:$6, 0), FALSE),
            0
        ) +
        IFERROR(
            VLOOKUP($A95, INDIRECT("SepR!$A$6:$ZZ$1048576"), MATCH(AK$1, SepR!$6:$6, 0), FALSE),
            0
        ) +
        IFERROR(
            VLOOKUP($A95, INDIRECT("OctR!$A$6:$ZZ$1048576"), MATCH(AK$1, OctR!$6:$6, 0), FALSE),
            0
        ) +
        IFERROR(
            VLOOKUP($A95, INDIRECT("NovR!$A$6:$ZZ$1048576"), MATCH(AK$1, NovR!$6:$6, 0), FALSE),
            0
        ) +
        IFERROR(
            VLOOKUP($A95, INDIRECT("DicR!$A$6:$ZZ$1048576"), MATCH(AK$1, DicR!$6:$6, 0), FALSE),
            0
        )
)</f>
        <v>0</v>
      </c>
      <c r="AL95" s="36">
        <f t="array" ref="AL95">SUM(
    IFERROR(
            VLOOKUP($A95, INDIRECT("EneR!$A$6:$ZZ$1048576"), MATCH(AL$1, EneR!$6:$6, 0), FALSE),
            0
        ) +
        IFERROR(
            VLOOKUP($A95, INDIRECT("FebR!$A$6:$ZZ$1048576"), MATCH(AL$1, FebR!$6:$6, 0), FALSE),
            0
        ) +
        IFERROR(
            VLOOKUP($A95, INDIRECT("MarR!$A$6:$ZZ$1048576"), MATCH(AL$1, MarR!$6:$6, 0), FALSE),
            0
        ) +
        IFERROR(
            VLOOKUP($A95, INDIRECT("AbrR!$A$6:$ZZ$1048576"), MATCH(AL$1, AbrR!$6:$6, 0), FALSE),
            0
        ) +
        IFERROR(
            VLOOKUP($A95, INDIRECT("MayR!$A$6:$ZZ$1048576"), MATCH(AL$1, MayR!$6:$6, 0), FALSE),
            0
        ) +
        IFERROR(
            VLOOKUP($A95, INDIRECT("JunR!$A$6:$ZZ$1048576"), MATCH(AL$1, JunR!$6:$6, 0), FALSE),
            0
        ) +
        IFERROR(
            VLOOKUP($A95, INDIRECT("JulR!$A$6:$ZZ$1048576"), MATCH(AL$1, JulR!$6:$6, 0), FALSE),
            0
        ) +
        IFERROR(
            VLOOKUP($A95, INDIRECT("AgoR!$A$6:$ZZ$1048576"), MATCH(AL$1, AgoR!$6:$6, 0), FALSE),
            0
        ) +
        IFERROR(
            VLOOKUP($A95, INDIRECT("SepR!$A$6:$ZZ$1048576"), MATCH(AL$1, SepR!$6:$6, 0), FALSE),
            0
        ) +
        IFERROR(
            VLOOKUP($A95, INDIRECT("OctR!$A$6:$ZZ$1048576"), MATCH(AL$1, OctR!$6:$6, 0), FALSE),
            0
        ) +
        IFERROR(
            VLOOKUP($A95, INDIRECT("NovR!$A$6:$ZZ$1048576"), MATCH(AL$1, NovR!$6:$6, 0), FALSE),
            0
        ) +
        IFERROR(
            VLOOKUP($A95, INDIRECT("DicR!$A$6:$ZZ$1048576"), MATCH(AL$1, DicR!$6:$6, 0), FALSE),
            0
        )
)</f>
        <v>0</v>
      </c>
      <c r="AM95" s="37">
        <f t="array" ref="AM95">SUM(
    IFERROR(
            VLOOKUP($A95, INDIRECT("EneR!$A$6:$ZZ$1048576"), MATCH(AM$1, EneR!$6:$6, 0), FALSE),
            0
        ) +
        IFERROR(
            VLOOKUP($A95, INDIRECT("FebR!$A$6:$ZZ$1048576"), MATCH(AM$1, FebR!$6:$6, 0), FALSE),
            0
        ) +
        IFERROR(
            VLOOKUP($A95, INDIRECT("MarR!$A$6:$ZZ$1048576"), MATCH(AM$1, MarR!$6:$6, 0), FALSE),
            0
        ) +
        IFERROR(
            VLOOKUP($A95, INDIRECT("AbrR!$A$6:$ZZ$1048576"), MATCH(AM$1, AbrR!$6:$6, 0), FALSE),
            0
        ) +
        IFERROR(
            VLOOKUP($A95, INDIRECT("MayR!$A$6:$ZZ$1048576"), MATCH(AM$1, MayR!$6:$6, 0), FALSE),
            0
        ) +
        IFERROR(
            VLOOKUP($A95, INDIRECT("JunR!$A$6:$ZZ$1048576"), MATCH(AM$1, JunR!$6:$6, 0), FALSE),
            0
        ) +
        IFERROR(
            VLOOKUP($A95, INDIRECT("JulR!$A$6:$ZZ$1048576"), MATCH(AM$1, JulR!$6:$6, 0), FALSE),
            0
        ) +
        IFERROR(
            VLOOKUP($A95, INDIRECT("AgoR!$A$6:$ZZ$1048576"), MATCH(AM$1, AgoR!$6:$6, 0), FALSE),
            0
        ) +
        IFERROR(
            VLOOKUP($A95, INDIRECT("SepR!$A$6:$ZZ$1048576"), MATCH(AM$1, SepR!$6:$6, 0), FALSE),
            0
        ) +
        IFERROR(
            VLOOKUP($A95, INDIRECT("OctR!$A$6:$ZZ$1048576"), MATCH(AM$1, OctR!$6:$6, 0), FALSE),
            0
        ) +
        IFERROR(
            VLOOKUP($A95, INDIRECT("NovR!$A$6:$ZZ$1048576"), MATCH(AM$1, NovR!$6:$6, 0), FALSE),
            0
        ) +
        IFERROR(
            VLOOKUP($A95, INDIRECT("DicR!$A$6:$ZZ$1048576"), MATCH(AM$1, DicR!$6:$6, 0), FALSE),
            0
        )
)</f>
        <v>0</v>
      </c>
      <c r="AN95" s="32">
        <f t="array" ref="AN95">SUM(
    IFERROR(
            VLOOKUP($A95, INDIRECT("EneR!$A$6:$ZZ$1048576"), MATCH(AN$1, EneR!$6:$6, 0), FALSE),
            0
        ) +
        IFERROR(
            VLOOKUP($A95, INDIRECT("FebR!$A$6:$ZZ$1048576"), MATCH(AN$1, FebR!$6:$6, 0), FALSE),
            0
        ) +
        IFERROR(
            VLOOKUP($A95, INDIRECT("MarR!$A$6:$ZZ$1048576"), MATCH(AN$1, MarR!$6:$6, 0), FALSE),
            0
        ) +
        IFERROR(
            VLOOKUP($A95, INDIRECT("AbrR!$A$6:$ZZ$1048576"), MATCH(AN$1, AbrR!$6:$6, 0), FALSE),
            0
        ) +
        IFERROR(
            VLOOKUP($A95, INDIRECT("MayR!$A$6:$ZZ$1048576"), MATCH(AN$1, MayR!$6:$6, 0), FALSE),
            0
        ) +
        IFERROR(
            VLOOKUP($A95, INDIRECT("JunR!$A$6:$ZZ$1048576"), MATCH(AN$1, JunR!$6:$6, 0), FALSE),
            0
        ) +
        IFERROR(
            VLOOKUP($A95, INDIRECT("JulR!$A$6:$ZZ$1048576"), MATCH(AN$1, JulR!$6:$6, 0), FALSE),
            0
        ) +
        IFERROR(
            VLOOKUP($A95, INDIRECT("AgoR!$A$6:$ZZ$1048576"), MATCH(AN$1, AgoR!$6:$6, 0), FALSE),
            0
        ) +
        IFERROR(
            VLOOKUP($A95, INDIRECT("SepR!$A$6:$ZZ$1048576"), MATCH(AN$1, SepR!$6:$6, 0), FALSE),
            0
        ) +
        IFERROR(
            VLOOKUP($A95, INDIRECT("OctR!$A$6:$ZZ$1048576"), MATCH(AN$1, OctR!$6:$6, 0), FALSE),
            0
        ) +
        IFERROR(
            VLOOKUP($A95, INDIRECT("NovR!$A$6:$ZZ$1048576"), MATCH(AN$1, NovR!$6:$6, 0), FALSE),
            0
        ) +
        IFERROR(
            VLOOKUP($A95, INDIRECT("DicR!$A$6:$ZZ$1048576"), MATCH(AN$1, DicR!$6:$6, 0), FALSE),
            0
        )
)</f>
        <v>0</v>
      </c>
      <c r="AO95" s="35">
        <f t="array" ref="AO95">SUM(
    IFERROR(
            VLOOKUP($A95, INDIRECT("EneR!$A$6:$ZZ$1048576"), MATCH(AO$1, EneR!$6:$6, 0), FALSE),
            0
        ) +
        IFERROR(
            VLOOKUP($A95, INDIRECT("FebR!$A$6:$ZZ$1048576"), MATCH(AO$1, FebR!$6:$6, 0), FALSE),
            0
        ) +
        IFERROR(
            VLOOKUP($A95, INDIRECT("MarR!$A$6:$ZZ$1048576"), MATCH(AO$1, MarR!$6:$6, 0), FALSE),
            0
        ) +
        IFERROR(
            VLOOKUP($A95, INDIRECT("AbrR!$A$6:$ZZ$1048576"), MATCH(AO$1, AbrR!$6:$6, 0), FALSE),
            0
        ) +
        IFERROR(
            VLOOKUP($A95, INDIRECT("MayR!$A$6:$ZZ$1048576"), MATCH(AO$1, MayR!$6:$6, 0), FALSE),
            0
        ) +
        IFERROR(
            VLOOKUP($A95, INDIRECT("JunR!$A$6:$ZZ$1048576"), MATCH(AO$1, JunR!$6:$6, 0), FALSE),
            0
        ) +
        IFERROR(
            VLOOKUP($A95, INDIRECT("JulR!$A$6:$ZZ$1048576"), MATCH(AO$1, JulR!$6:$6, 0), FALSE),
            0
        ) +
        IFERROR(
            VLOOKUP($A95, INDIRECT("AgoR!$A$6:$ZZ$1048576"), MATCH(AO$1, AgoR!$6:$6, 0), FALSE),
            0
        ) +
        IFERROR(
            VLOOKUP($A95, INDIRECT("SepR!$A$6:$ZZ$1048576"), MATCH(AO$1, SepR!$6:$6, 0), FALSE),
            0
        ) +
        IFERROR(
            VLOOKUP($A95, INDIRECT("OctR!$A$6:$ZZ$1048576"), MATCH(AO$1, OctR!$6:$6, 0), FALSE),
            0
        ) +
        IFERROR(
            VLOOKUP($A95, INDIRECT("NovR!$A$6:$ZZ$1048576"), MATCH(AO$1, NovR!$6:$6, 0), FALSE),
            0
        ) +
        IFERROR(
            VLOOKUP($A95, INDIRECT("DicR!$A$6:$ZZ$1048576"), MATCH(AO$1, DicR!$6:$6, 0), FALSE),
            0
        )
)</f>
        <v>0</v>
      </c>
      <c r="AP95" s="36">
        <f t="array" ref="AP95">SUM(
    IFERROR(
            VLOOKUP($A95, INDIRECT("EneR!$A$6:$ZZ$1048576"), MATCH(AP$1, EneR!$6:$6, 0), FALSE),
            0
        ) +
        IFERROR(
            VLOOKUP($A95, INDIRECT("FebR!$A$6:$ZZ$1048576"), MATCH(AP$1, FebR!$6:$6, 0), FALSE),
            0
        ) +
        IFERROR(
            VLOOKUP($A95, INDIRECT("MarR!$A$6:$ZZ$1048576"), MATCH(AP$1, MarR!$6:$6, 0), FALSE),
            0
        ) +
        IFERROR(
            VLOOKUP($A95, INDIRECT("AbrR!$A$6:$ZZ$1048576"), MATCH(AP$1, AbrR!$6:$6, 0), FALSE),
            0
        ) +
        IFERROR(
            VLOOKUP($A95, INDIRECT("MayR!$A$6:$ZZ$1048576"), MATCH(AP$1, MayR!$6:$6, 0), FALSE),
            0
        ) +
        IFERROR(
            VLOOKUP($A95, INDIRECT("JunR!$A$6:$ZZ$1048576"), MATCH(AP$1, JunR!$6:$6, 0), FALSE),
            0
        ) +
        IFERROR(
            VLOOKUP($A95, INDIRECT("JulR!$A$6:$ZZ$1048576"), MATCH(AP$1, JulR!$6:$6, 0), FALSE),
            0
        ) +
        IFERROR(
            VLOOKUP($A95, INDIRECT("AgoR!$A$6:$ZZ$1048576"), MATCH(AP$1, AgoR!$6:$6, 0), FALSE),
            0
        ) +
        IFERROR(
            VLOOKUP($A95, INDIRECT("SepR!$A$6:$ZZ$1048576"), MATCH(AP$1, SepR!$6:$6, 0), FALSE),
            0
        ) +
        IFERROR(
            VLOOKUP($A95, INDIRECT("OctR!$A$6:$ZZ$1048576"), MATCH(AP$1, OctR!$6:$6, 0), FALSE),
            0
        ) +
        IFERROR(
            VLOOKUP($A95, INDIRECT("NovR!$A$6:$ZZ$1048576"), MATCH(AP$1, NovR!$6:$6, 0), FALSE),
            0
        ) +
        IFERROR(
            VLOOKUP($A95, INDIRECT("DicR!$A$6:$ZZ$1048576"), MATCH(AP$1, DicR!$6:$6, 0), FALSE),
            0
        )
)</f>
        <v>0</v>
      </c>
      <c r="AQ95" s="35">
        <f t="array" ref="AQ95">SUM(
    IFERROR(
            VLOOKUP($A95, INDIRECT("EneR!$A$6:$ZZ$1048576"), MATCH(AQ$1, EneR!$6:$6, 0), FALSE),
            0
        ) +
        IFERROR(
            VLOOKUP($A95, INDIRECT("FebR!$A$6:$ZZ$1048576"), MATCH(AQ$1, FebR!$6:$6, 0), FALSE),
            0
        ) +
        IFERROR(
            VLOOKUP($A95, INDIRECT("MarR!$A$6:$ZZ$1048576"), MATCH(AQ$1, MarR!$6:$6, 0), FALSE),
            0
        ) +
        IFERROR(
            VLOOKUP($A95, INDIRECT("AbrR!$A$6:$ZZ$1048576"), MATCH(AQ$1, AbrR!$6:$6, 0), FALSE),
            0
        ) +
        IFERROR(
            VLOOKUP($A95, INDIRECT("MayR!$A$6:$ZZ$1048576"), MATCH(AQ$1, MayR!$6:$6, 0), FALSE),
            0
        ) +
        IFERROR(
            VLOOKUP($A95, INDIRECT("JunR!$A$6:$ZZ$1048576"), MATCH(AQ$1, JunR!$6:$6, 0), FALSE),
            0
        ) +
        IFERROR(
            VLOOKUP($A95, INDIRECT("JulR!$A$6:$ZZ$1048576"), MATCH(AQ$1, JulR!$6:$6, 0), FALSE),
            0
        ) +
        IFERROR(
            VLOOKUP($A95, INDIRECT("AgoR!$A$6:$ZZ$1048576"), MATCH(AQ$1, AgoR!$6:$6, 0), FALSE),
            0
        ) +
        IFERROR(
            VLOOKUP($A95, INDIRECT("SepR!$A$6:$ZZ$1048576"), MATCH(AQ$1, SepR!$6:$6, 0), FALSE),
            0
        ) +
        IFERROR(
            VLOOKUP($A95, INDIRECT("OctR!$A$6:$ZZ$1048576"), MATCH(AQ$1, OctR!$6:$6, 0), FALSE),
            0
        ) +
        IFERROR(
            VLOOKUP($A95, INDIRECT("NovR!$A$6:$ZZ$1048576"), MATCH(AQ$1, NovR!$6:$6, 0), FALSE),
            0
        ) +
        IFERROR(
            VLOOKUP($A95, INDIRECT("DicR!$A$6:$ZZ$1048576"), MATCH(AQ$1, DicR!$6:$6, 0), FALSE),
            0
        )
)</f>
        <v>0</v>
      </c>
      <c r="AR95" s="36">
        <f t="array" ref="AR95">SUM(
    IFERROR(
            VLOOKUP($A95, INDIRECT("EneR!$A$6:$ZZ$1048576"), MATCH(AR$1, EneR!$6:$6, 0), FALSE),
            0
        ) +
        IFERROR(
            VLOOKUP($A95, INDIRECT("FebR!$A$6:$ZZ$1048576"), MATCH(AR$1, FebR!$6:$6, 0), FALSE),
            0
        ) +
        IFERROR(
            VLOOKUP($A95, INDIRECT("MarR!$A$6:$ZZ$1048576"), MATCH(AR$1, MarR!$6:$6, 0), FALSE),
            0
        ) +
        IFERROR(
            VLOOKUP($A95, INDIRECT("AbrR!$A$6:$ZZ$1048576"), MATCH(AR$1, AbrR!$6:$6, 0), FALSE),
            0
        ) +
        IFERROR(
            VLOOKUP($A95, INDIRECT("MayR!$A$6:$ZZ$1048576"), MATCH(AR$1, MayR!$6:$6, 0), FALSE),
            0
        ) +
        IFERROR(
            VLOOKUP($A95, INDIRECT("JunR!$A$6:$ZZ$1048576"), MATCH(AR$1, JunR!$6:$6, 0), FALSE),
            0
        ) +
        IFERROR(
            VLOOKUP($A95, INDIRECT("JulR!$A$6:$ZZ$1048576"), MATCH(AR$1, JulR!$6:$6, 0), FALSE),
            0
        ) +
        IFERROR(
            VLOOKUP($A95, INDIRECT("AgoR!$A$6:$ZZ$1048576"), MATCH(AR$1, AgoR!$6:$6, 0), FALSE),
            0
        ) +
        IFERROR(
            VLOOKUP($A95, INDIRECT("SepR!$A$6:$ZZ$1048576"), MATCH(AR$1, SepR!$6:$6, 0), FALSE),
            0
        ) +
        IFERROR(
            VLOOKUP($A95, INDIRECT("OctR!$A$6:$ZZ$1048576"), MATCH(AR$1, OctR!$6:$6, 0), FALSE),
            0
        ) +
        IFERROR(
            VLOOKUP($A95, INDIRECT("NovR!$A$6:$ZZ$1048576"), MATCH(AR$1, NovR!$6:$6, 0), FALSE),
            0
        ) +
        IFERROR(
            VLOOKUP($A95, INDIRECT("DicR!$A$6:$ZZ$1048576"), MATCH(AR$1, DicR!$6:$6, 0), FALSE),
            0
        )
)</f>
        <v>0</v>
      </c>
      <c r="AS95" s="35">
        <f t="array" ref="AS95">SUM(
    IFERROR(
            VLOOKUP($A95, INDIRECT("EneR!$A$6:$ZZ$1048576"), MATCH(AS$1, EneR!$6:$6, 0), FALSE),
            0
        ) +
        IFERROR(
            VLOOKUP($A95, INDIRECT("FebR!$A$6:$ZZ$1048576"), MATCH(AS$1, FebR!$6:$6, 0), FALSE),
            0
        ) +
        IFERROR(
            VLOOKUP($A95, INDIRECT("MarR!$A$6:$ZZ$1048576"), MATCH(AS$1, MarR!$6:$6, 0), FALSE),
            0
        ) +
        IFERROR(
            VLOOKUP($A95, INDIRECT("AbrR!$A$6:$ZZ$1048576"), MATCH(AS$1, AbrR!$6:$6, 0), FALSE),
            0
        ) +
        IFERROR(
            VLOOKUP($A95, INDIRECT("MayR!$A$6:$ZZ$1048576"), MATCH(AS$1, MayR!$6:$6, 0), FALSE),
            0
        ) +
        IFERROR(
            VLOOKUP($A95, INDIRECT("JunR!$A$6:$ZZ$1048576"), MATCH(AS$1, JunR!$6:$6, 0), FALSE),
            0
        ) +
        IFERROR(
            VLOOKUP($A95, INDIRECT("JulR!$A$6:$ZZ$1048576"), MATCH(AS$1, JulR!$6:$6, 0), FALSE),
            0
        ) +
        IFERROR(
            VLOOKUP($A95, INDIRECT("AgoR!$A$6:$ZZ$1048576"), MATCH(AS$1, AgoR!$6:$6, 0), FALSE),
            0
        ) +
        IFERROR(
            VLOOKUP($A95, INDIRECT("SepR!$A$6:$ZZ$1048576"), MATCH(AS$1, SepR!$6:$6, 0), FALSE),
            0
        ) +
        IFERROR(
            VLOOKUP($A95, INDIRECT("OctR!$A$6:$ZZ$1048576"), MATCH(AS$1, OctR!$6:$6, 0), FALSE),
            0
        ) +
        IFERROR(
            VLOOKUP($A95, INDIRECT("NovR!$A$6:$ZZ$1048576"), MATCH(AS$1, NovR!$6:$6, 0), FALSE),
            0
        ) +
        IFERROR(
            VLOOKUP($A95, INDIRECT("DicR!$A$6:$ZZ$1048576"), MATCH(AS$1, DicR!$6:$6, 0), FALSE),
            0
        )
)</f>
        <v>0</v>
      </c>
      <c r="AT95" s="36">
        <f t="array" ref="AT95">SUM(
    IFERROR(
            VLOOKUP($A95, INDIRECT("EneR!$A$6:$ZZ$1048576"), MATCH(AT$1, EneR!$6:$6, 0), FALSE),
            0
        ) +
        IFERROR(
            VLOOKUP($A95, INDIRECT("FebR!$A$6:$ZZ$1048576"), MATCH(AT$1, FebR!$6:$6, 0), FALSE),
            0
        ) +
        IFERROR(
            VLOOKUP($A95, INDIRECT("MarR!$A$6:$ZZ$1048576"), MATCH(AT$1, MarR!$6:$6, 0), FALSE),
            0
        ) +
        IFERROR(
            VLOOKUP($A95, INDIRECT("AbrR!$A$6:$ZZ$1048576"), MATCH(AT$1, AbrR!$6:$6, 0), FALSE),
            0
        ) +
        IFERROR(
            VLOOKUP($A95, INDIRECT("MayR!$A$6:$ZZ$1048576"), MATCH(AT$1, MayR!$6:$6, 0), FALSE),
            0
        ) +
        IFERROR(
            VLOOKUP($A95, INDIRECT("JunR!$A$6:$ZZ$1048576"), MATCH(AT$1, JunR!$6:$6, 0), FALSE),
            0
        ) +
        IFERROR(
            VLOOKUP($A95, INDIRECT("JulR!$A$6:$ZZ$1048576"), MATCH(AT$1, JulR!$6:$6, 0), FALSE),
            0
        ) +
        IFERROR(
            VLOOKUP($A95, INDIRECT("AgoR!$A$6:$ZZ$1048576"), MATCH(AT$1, AgoR!$6:$6, 0), FALSE),
            0
        ) +
        IFERROR(
            VLOOKUP($A95, INDIRECT("SepR!$A$6:$ZZ$1048576"), MATCH(AT$1, SepR!$6:$6, 0), FALSE),
            0
        ) +
        IFERROR(
            VLOOKUP($A95, INDIRECT("OctR!$A$6:$ZZ$1048576"), MATCH(AT$1, OctR!$6:$6, 0), FALSE),
            0
        ) +
        IFERROR(
            VLOOKUP($A95, INDIRECT("NovR!$A$6:$ZZ$1048576"), MATCH(AT$1, NovR!$6:$6, 0), FALSE),
            0
        ) +
        IFERROR(
            VLOOKUP($A95, INDIRECT("DicR!$A$6:$ZZ$1048576"), MATCH(AT$1, DicR!$6:$6, 0), FALSE),
            0
        )
)</f>
        <v>0</v>
      </c>
      <c r="AU95" s="35">
        <f t="array" ref="AU95">SUM(
    IFERROR(
            VLOOKUP($A95, INDIRECT("EneR!$A$6:$ZZ$1048576"), MATCH(AU$1, EneR!$6:$6, 0), FALSE),
            0
        ) +
        IFERROR(
            VLOOKUP($A95, INDIRECT("FebR!$A$6:$ZZ$1048576"), MATCH(AU$1, FebR!$6:$6, 0), FALSE),
            0
        ) +
        IFERROR(
            VLOOKUP($A95, INDIRECT("MarR!$A$6:$ZZ$1048576"), MATCH(AU$1, MarR!$6:$6, 0), FALSE),
            0
        ) +
        IFERROR(
            VLOOKUP($A95, INDIRECT("AbrR!$A$6:$ZZ$1048576"), MATCH(AU$1, AbrR!$6:$6, 0), FALSE),
            0
        ) +
        IFERROR(
            VLOOKUP($A95, INDIRECT("MayR!$A$6:$ZZ$1048576"), MATCH(AU$1, MayR!$6:$6, 0), FALSE),
            0
        ) +
        IFERROR(
            VLOOKUP($A95, INDIRECT("JunR!$A$6:$ZZ$1048576"), MATCH(AU$1, JunR!$6:$6, 0), FALSE),
            0
        ) +
        IFERROR(
            VLOOKUP($A95, INDIRECT("JulR!$A$6:$ZZ$1048576"), MATCH(AU$1, JulR!$6:$6, 0), FALSE),
            0
        ) +
        IFERROR(
            VLOOKUP($A95, INDIRECT("AgoR!$A$6:$ZZ$1048576"), MATCH(AU$1, AgoR!$6:$6, 0), FALSE),
            0
        ) +
        IFERROR(
            VLOOKUP($A95, INDIRECT("SepR!$A$6:$ZZ$1048576"), MATCH(AU$1, SepR!$6:$6, 0), FALSE),
            0
        ) +
        IFERROR(
            VLOOKUP($A95, INDIRECT("OctR!$A$6:$ZZ$1048576"), MATCH(AU$1, OctR!$6:$6, 0), FALSE),
            0
        ) +
        IFERROR(
            VLOOKUP($A95, INDIRECT("NovR!$A$6:$ZZ$1048576"), MATCH(AU$1, NovR!$6:$6, 0), FALSE),
            0
        ) +
        IFERROR(
            VLOOKUP($A95, INDIRECT("DicR!$A$6:$ZZ$1048576"), MATCH(AU$1, DicR!$6:$6, 0), FALSE),
            0
        )
)</f>
        <v>0</v>
      </c>
      <c r="AV95" s="36">
        <f t="array" ref="AV95">SUM(
    IFERROR(
            VLOOKUP($A95, INDIRECT("EneR!$A$6:$ZZ$1048576"), MATCH(AV$1, EneR!$6:$6, 0), FALSE),
            0
        ) +
        IFERROR(
            VLOOKUP($A95, INDIRECT("FebR!$A$6:$ZZ$1048576"), MATCH(AV$1, FebR!$6:$6, 0), FALSE),
            0
        ) +
        IFERROR(
            VLOOKUP($A95, INDIRECT("MarR!$A$6:$ZZ$1048576"), MATCH(AV$1, MarR!$6:$6, 0), FALSE),
            0
        ) +
        IFERROR(
            VLOOKUP($A95, INDIRECT("AbrR!$A$6:$ZZ$1048576"), MATCH(AV$1, AbrR!$6:$6, 0), FALSE),
            0
        ) +
        IFERROR(
            VLOOKUP($A95, INDIRECT("MayR!$A$6:$ZZ$1048576"), MATCH(AV$1, MayR!$6:$6, 0), FALSE),
            0
        ) +
        IFERROR(
            VLOOKUP($A95, INDIRECT("JunR!$A$6:$ZZ$1048576"), MATCH(AV$1, JunR!$6:$6, 0), FALSE),
            0
        ) +
        IFERROR(
            VLOOKUP($A95, INDIRECT("JulR!$A$6:$ZZ$1048576"), MATCH(AV$1, JulR!$6:$6, 0), FALSE),
            0
        ) +
        IFERROR(
            VLOOKUP($A95, INDIRECT("AgoR!$A$6:$ZZ$1048576"), MATCH(AV$1, AgoR!$6:$6, 0), FALSE),
            0
        ) +
        IFERROR(
            VLOOKUP($A95, INDIRECT("SepR!$A$6:$ZZ$1048576"), MATCH(AV$1, SepR!$6:$6, 0), FALSE),
            0
        ) +
        IFERROR(
            VLOOKUP($A95, INDIRECT("OctR!$A$6:$ZZ$1048576"), MATCH(AV$1, OctR!$6:$6, 0), FALSE),
            0
        ) +
        IFERROR(
            VLOOKUP($A95, INDIRECT("NovR!$A$6:$ZZ$1048576"), MATCH(AV$1, NovR!$6:$6, 0), FALSE),
            0
        ) +
        IFERROR(
            VLOOKUP($A95, INDIRECT("DicR!$A$6:$ZZ$1048576"), MATCH(AV$1, DicR!$6:$6, 0), FALSE),
            0
        )
)</f>
        <v>0</v>
      </c>
      <c r="AW95" s="35">
        <f t="array" ref="AW95">SUM(
    IFERROR(
            VLOOKUP($A95, INDIRECT("EneR!$A$6:$ZZ$1048576"), MATCH(AW$1, EneR!$6:$6, 0), FALSE),
            0
        ) +
        IFERROR(
            VLOOKUP($A95, INDIRECT("FebR!$A$6:$ZZ$1048576"), MATCH(AW$1, FebR!$6:$6, 0), FALSE),
            0
        ) +
        IFERROR(
            VLOOKUP($A95, INDIRECT("MarR!$A$6:$ZZ$1048576"), MATCH(AW$1, MarR!$6:$6, 0), FALSE),
            0
        ) +
        IFERROR(
            VLOOKUP($A95, INDIRECT("AbrR!$A$6:$ZZ$1048576"), MATCH(AW$1, AbrR!$6:$6, 0), FALSE),
            0
        ) +
        IFERROR(
            VLOOKUP($A95, INDIRECT("MayR!$A$6:$ZZ$1048576"), MATCH(AW$1, MayR!$6:$6, 0), FALSE),
            0
        ) +
        IFERROR(
            VLOOKUP($A95, INDIRECT("JunR!$A$6:$ZZ$1048576"), MATCH(AW$1, JunR!$6:$6, 0), FALSE),
            0
        ) +
        IFERROR(
            VLOOKUP($A95, INDIRECT("JulR!$A$6:$ZZ$1048576"), MATCH(AW$1, JulR!$6:$6, 0), FALSE),
            0
        ) +
        IFERROR(
            VLOOKUP($A95, INDIRECT("AgoR!$A$6:$ZZ$1048576"), MATCH(AW$1, AgoR!$6:$6, 0), FALSE),
            0
        ) +
        IFERROR(
            VLOOKUP($A95, INDIRECT("SepR!$A$6:$ZZ$1048576"), MATCH(AW$1, SepR!$6:$6, 0), FALSE),
            0
        ) +
        IFERROR(
            VLOOKUP($A95, INDIRECT("OctR!$A$6:$ZZ$1048576"), MATCH(AW$1, OctR!$6:$6, 0), FALSE),
            0
        ) +
        IFERROR(
            VLOOKUP($A95, INDIRECT("NovR!$A$6:$ZZ$1048576"), MATCH(AW$1, NovR!$6:$6, 0), FALSE),
            0
        ) +
        IFERROR(
            VLOOKUP($A95, INDIRECT("DicR!$A$6:$ZZ$1048576"), MATCH(AW$1, DicR!$6:$6, 0), FALSE),
            0
        )
)</f>
        <v>0</v>
      </c>
      <c r="AX95" s="36">
        <f t="array" ref="AX95">SUM(
    IFERROR(
            VLOOKUP($A95, INDIRECT("EneR!$A$6:$ZZ$1048576"), MATCH(AX$1, EneR!$6:$6, 0), FALSE),
            0
        ) +
        IFERROR(
            VLOOKUP($A95, INDIRECT("FebR!$A$6:$ZZ$1048576"), MATCH(AX$1, FebR!$6:$6, 0), FALSE),
            0
        ) +
        IFERROR(
            VLOOKUP($A95, INDIRECT("MarR!$A$6:$ZZ$1048576"), MATCH(AX$1, MarR!$6:$6, 0), FALSE),
            0
        ) +
        IFERROR(
            VLOOKUP($A95, INDIRECT("AbrR!$A$6:$ZZ$1048576"), MATCH(AX$1, AbrR!$6:$6, 0), FALSE),
            0
        ) +
        IFERROR(
            VLOOKUP($A95, INDIRECT("MayR!$A$6:$ZZ$1048576"), MATCH(AX$1, MayR!$6:$6, 0), FALSE),
            0
        ) +
        IFERROR(
            VLOOKUP($A95, INDIRECT("JunR!$A$6:$ZZ$1048576"), MATCH(AX$1, JunR!$6:$6, 0), FALSE),
            0
        ) +
        IFERROR(
            VLOOKUP($A95, INDIRECT("JulR!$A$6:$ZZ$1048576"), MATCH(AX$1, JulR!$6:$6, 0), FALSE),
            0
        ) +
        IFERROR(
            VLOOKUP($A95, INDIRECT("AgoR!$A$6:$ZZ$1048576"), MATCH(AX$1, AgoR!$6:$6, 0), FALSE),
            0
        ) +
        IFERROR(
            VLOOKUP($A95, INDIRECT("SepR!$A$6:$ZZ$1048576"), MATCH(AX$1, SepR!$6:$6, 0), FALSE),
            0
        ) +
        IFERROR(
            VLOOKUP($A95, INDIRECT("OctR!$A$6:$ZZ$1048576"), MATCH(AX$1, OctR!$6:$6, 0), FALSE),
            0
        ) +
        IFERROR(
            VLOOKUP($A95, INDIRECT("NovR!$A$6:$ZZ$1048576"), MATCH(AX$1, NovR!$6:$6, 0), FALSE),
            0
        ) +
        IFERROR(
            VLOOKUP($A95, INDIRECT("DicR!$A$6:$ZZ$1048576"), MATCH(AX$1, DicR!$6:$6, 0), FALSE),
            0
        )
)</f>
        <v>0</v>
      </c>
      <c r="AY95" s="35">
        <f t="array" ref="AY95">SUM(
    IFERROR(
            VLOOKUP($A95, INDIRECT("EneR!$A$6:$ZZ$1048576"), MATCH(AY$1, EneR!$6:$6, 0), FALSE),
            0
        ) +
        IFERROR(
            VLOOKUP($A95, INDIRECT("FebR!$A$6:$ZZ$1048576"), MATCH(AY$1, FebR!$6:$6, 0), FALSE),
            0
        ) +
        IFERROR(
            VLOOKUP($A95, INDIRECT("MarR!$A$6:$ZZ$1048576"), MATCH(AY$1, MarR!$6:$6, 0), FALSE),
            0
        ) +
        IFERROR(
            VLOOKUP($A95, INDIRECT("AbrR!$A$6:$ZZ$1048576"), MATCH(AY$1, AbrR!$6:$6, 0), FALSE),
            0
        ) +
        IFERROR(
            VLOOKUP($A95, INDIRECT("MayR!$A$6:$ZZ$1048576"), MATCH(AY$1, MayR!$6:$6, 0), FALSE),
            0
        ) +
        IFERROR(
            VLOOKUP($A95, INDIRECT("JunR!$A$6:$ZZ$1048576"), MATCH(AY$1, JunR!$6:$6, 0), FALSE),
            0
        ) +
        IFERROR(
            VLOOKUP($A95, INDIRECT("JulR!$A$6:$ZZ$1048576"), MATCH(AY$1, JulR!$6:$6, 0), FALSE),
            0
        ) +
        IFERROR(
            VLOOKUP($A95, INDIRECT("AgoR!$A$6:$ZZ$1048576"), MATCH(AY$1, AgoR!$6:$6, 0), FALSE),
            0
        ) +
        IFERROR(
            VLOOKUP($A95, INDIRECT("SepR!$A$6:$ZZ$1048576"), MATCH(AY$1, SepR!$6:$6, 0), FALSE),
            0
        ) +
        IFERROR(
            VLOOKUP($A95, INDIRECT("OctR!$A$6:$ZZ$1048576"), MATCH(AY$1, OctR!$6:$6, 0), FALSE),
            0
        ) +
        IFERROR(
            VLOOKUP($A95, INDIRECT("NovR!$A$6:$ZZ$1048576"), MATCH(AY$1, NovR!$6:$6, 0), FALSE),
            0
        ) +
        IFERROR(
            VLOOKUP($A95, INDIRECT("DicR!$A$6:$ZZ$1048576"), MATCH(AY$1, DicR!$6:$6, 0), FALSE),
            0
        )
)</f>
        <v>0</v>
      </c>
      <c r="AZ95" s="35"/>
    </row>
    <row r="96" ht="15.75" hidden="1" customHeight="1">
      <c r="A96" s="12" t="str">
        <f>Menus!B57</f>
        <v/>
      </c>
      <c r="B96" s="32">
        <f t="shared" si="11"/>
        <v>0</v>
      </c>
      <c r="C96" s="33" t="str">
        <f t="shared" si="10"/>
        <v/>
      </c>
      <c r="D96" s="34">
        <f t="array" ref="D96">SUM(
    IFERROR(
            VLOOKUP($A96, INDIRECT("EneR!$A$6:$ZZ$1048576"), MATCH(D$1, EneR!$6:$6, 0), FALSE),
            0
        ) +
        IFERROR(
            VLOOKUP($A96, INDIRECT("FebR!$A$6:$ZZ$1048576"), MATCH(D$1, FebR!$6:$6, 0), FALSE),
            0
        ) +
        IFERROR(
            VLOOKUP($A96, INDIRECT("MarR!$A$6:$ZZ$1048576"), MATCH(D$1, MarR!$6:$6, 0), FALSE),
            0
        ) +
        IFERROR(
            VLOOKUP($A96, INDIRECT("AbrR!$A$6:$ZZ$1048576"), MATCH(D$1, AbrR!$6:$6, 0), FALSE),
            0
        ) +
        IFERROR(
            VLOOKUP($A96, INDIRECT("MayR!$A$6:$ZZ$1048576"), MATCH(D$1, MayR!$6:$6, 0), FALSE),
            0
        ) +
        IFERROR(
            VLOOKUP($A96, INDIRECT("JunR!$A$6:$ZZ$1048576"), MATCH(D$1, JunR!$6:$6, 0), FALSE),
            0
        ) +
        IFERROR(
            VLOOKUP($A96, INDIRECT("JulR!$A$6:$ZZ$1048576"), MATCH(D$1, JulR!$6:$6, 0), FALSE),
            0
        ) +
        IFERROR(
            VLOOKUP($A96, INDIRECT("AgoR!$A$6:$ZZ$1048576"), MATCH(D$1, AgoR!$6:$6, 0), FALSE),
            0
        ) +
        IFERROR(
            VLOOKUP($A96, INDIRECT("SepR!$A$6:$ZZ$1048576"), MATCH(D$1, SepR!$6:$6, 0), FALSE),
            0
        ) +
        IFERROR(
            VLOOKUP($A96, INDIRECT("OctR!$A$6:$ZZ$1048576"), MATCH(D$1, OctR!$6:$6, 0), FALSE),
            0
        ) +
        IFERROR(
            VLOOKUP($A96, INDIRECT("NovR!$A$6:$ZZ$1048576"), MATCH(D$1, NovR!$6:$6, 0), FALSE),
            0
        ) +
        IFERROR(
            VLOOKUP($A96, INDIRECT("DicR!$A$6:$ZZ$1048576"), MATCH(D$1, DicR!$6:$6, 0), FALSE),
            0
        )
)</f>
        <v>0</v>
      </c>
      <c r="E96" s="35">
        <f t="array" ref="E96">SUM(
    IFERROR(
            VLOOKUP($A96, INDIRECT("EneR!$A$6:$ZZ$1048576"), MATCH(E$1, EneR!$6:$6, 0), FALSE),
            0
        ) +
        IFERROR(
            VLOOKUP($A96, INDIRECT("FebR!$A$6:$ZZ$1048576"), MATCH(E$1, FebR!$6:$6, 0), FALSE),
            0
        ) +
        IFERROR(
            VLOOKUP($A96, INDIRECT("MarR!$A$6:$ZZ$1048576"), MATCH(E$1, MarR!$6:$6, 0), FALSE),
            0
        ) +
        IFERROR(
            VLOOKUP($A96, INDIRECT("AbrR!$A$6:$ZZ$1048576"), MATCH(E$1, AbrR!$6:$6, 0), FALSE),
            0
        ) +
        IFERROR(
            VLOOKUP($A96, INDIRECT("MayR!$A$6:$ZZ$1048576"), MATCH(E$1, MayR!$6:$6, 0), FALSE),
            0
        ) +
        IFERROR(
            VLOOKUP($A96, INDIRECT("JunR!$A$6:$ZZ$1048576"), MATCH(E$1, JunR!$6:$6, 0), FALSE),
            0
        ) +
        IFERROR(
            VLOOKUP($A96, INDIRECT("JulR!$A$6:$ZZ$1048576"), MATCH(E$1, JulR!$6:$6, 0), FALSE),
            0
        ) +
        IFERROR(
            VLOOKUP($A96, INDIRECT("AgoR!$A$6:$ZZ$1048576"), MATCH(E$1, AgoR!$6:$6, 0), FALSE),
            0
        ) +
        IFERROR(
            VLOOKUP($A96, INDIRECT("SepR!$A$6:$ZZ$1048576"), MATCH(E$1, SepR!$6:$6, 0), FALSE),
            0
        ) +
        IFERROR(
            VLOOKUP($A96, INDIRECT("OctR!$A$6:$ZZ$1048576"), MATCH(E$1, OctR!$6:$6, 0), FALSE),
            0
        ) +
        IFERROR(
            VLOOKUP($A96, INDIRECT("NovR!$A$6:$ZZ$1048576"), MATCH(E$1, NovR!$6:$6, 0), FALSE),
            0
        ) +
        IFERROR(
            VLOOKUP($A96, INDIRECT("DicR!$A$6:$ZZ$1048576"), MATCH(E$1, DicR!$6:$6, 0), FALSE),
            0
        )
)</f>
        <v>0</v>
      </c>
      <c r="F96" s="32">
        <f t="array" ref="F96">SUM(
    IFERROR(
            VLOOKUP($A96, INDIRECT("EneR!$A$6:$ZZ$1048576"), MATCH(F$1, EneR!$6:$6, 0), FALSE),
            0
        ) +
        IFERROR(
            VLOOKUP($A96, INDIRECT("FebR!$A$6:$ZZ$1048576"), MATCH(F$1, FebR!$6:$6, 0), FALSE),
            0
        ) +
        IFERROR(
            VLOOKUP($A96, INDIRECT("MarR!$A$6:$ZZ$1048576"), MATCH(F$1, MarR!$6:$6, 0), FALSE),
            0
        ) +
        IFERROR(
            VLOOKUP($A96, INDIRECT("AbrR!$A$6:$ZZ$1048576"), MATCH(F$1, AbrR!$6:$6, 0), FALSE),
            0
        ) +
        IFERROR(
            VLOOKUP($A96, INDIRECT("MayR!$A$6:$ZZ$1048576"), MATCH(F$1, MayR!$6:$6, 0), FALSE),
            0
        ) +
        IFERROR(
            VLOOKUP($A96, INDIRECT("JunR!$A$6:$ZZ$1048576"), MATCH(F$1, JunR!$6:$6, 0), FALSE),
            0
        ) +
        IFERROR(
            VLOOKUP($A96, INDIRECT("JulR!$A$6:$ZZ$1048576"), MATCH(F$1, JulR!$6:$6, 0), FALSE),
            0
        ) +
        IFERROR(
            VLOOKUP($A96, INDIRECT("AgoR!$A$6:$ZZ$1048576"), MATCH(F$1, AgoR!$6:$6, 0), FALSE),
            0
        ) +
        IFERROR(
            VLOOKUP($A96, INDIRECT("SepR!$A$6:$ZZ$1048576"), MATCH(F$1, SepR!$6:$6, 0), FALSE),
            0
        ) +
        IFERROR(
            VLOOKUP($A96, INDIRECT("OctR!$A$6:$ZZ$1048576"), MATCH(F$1, OctR!$6:$6, 0), FALSE),
            0
        ) +
        IFERROR(
            VLOOKUP($A96, INDIRECT("NovR!$A$6:$ZZ$1048576"), MATCH(F$1, NovR!$6:$6, 0), FALSE),
            0
        ) +
        IFERROR(
            VLOOKUP($A96, INDIRECT("DicR!$A$6:$ZZ$1048576"), MATCH(F$1, DicR!$6:$6, 0), FALSE),
            0
        )
)</f>
        <v>0</v>
      </c>
      <c r="G96" s="35">
        <f t="array" ref="G96">SUM(
    IFERROR(
            VLOOKUP($A96, INDIRECT("EneR!$A$6:$ZZ$1048576"), MATCH(G$1, EneR!$6:$6, 0), FALSE),
            0
        ) +
        IFERROR(
            VLOOKUP($A96, INDIRECT("FebR!$A$6:$ZZ$1048576"), MATCH(G$1, FebR!$6:$6, 0), FALSE),
            0
        ) +
        IFERROR(
            VLOOKUP($A96, INDIRECT("MarR!$A$6:$ZZ$1048576"), MATCH(G$1, MarR!$6:$6, 0), FALSE),
            0
        ) +
        IFERROR(
            VLOOKUP($A96, INDIRECT("AbrR!$A$6:$ZZ$1048576"), MATCH(G$1, AbrR!$6:$6, 0), FALSE),
            0
        ) +
        IFERROR(
            VLOOKUP($A96, INDIRECT("MayR!$A$6:$ZZ$1048576"), MATCH(G$1, MayR!$6:$6, 0), FALSE),
            0
        ) +
        IFERROR(
            VLOOKUP($A96, INDIRECT("JunR!$A$6:$ZZ$1048576"), MATCH(G$1, JunR!$6:$6, 0), FALSE),
            0
        ) +
        IFERROR(
            VLOOKUP($A96, INDIRECT("JulR!$A$6:$ZZ$1048576"), MATCH(G$1, JulR!$6:$6, 0), FALSE),
            0
        ) +
        IFERROR(
            VLOOKUP($A96, INDIRECT("AgoR!$A$6:$ZZ$1048576"), MATCH(G$1, AgoR!$6:$6, 0), FALSE),
            0
        ) +
        IFERROR(
            VLOOKUP($A96, INDIRECT("SepR!$A$6:$ZZ$1048576"), MATCH(G$1, SepR!$6:$6, 0), FALSE),
            0
        ) +
        IFERROR(
            VLOOKUP($A96, INDIRECT("OctR!$A$6:$ZZ$1048576"), MATCH(G$1, OctR!$6:$6, 0), FALSE),
            0
        ) +
        IFERROR(
            VLOOKUP($A96, INDIRECT("NovR!$A$6:$ZZ$1048576"), MATCH(G$1, NovR!$6:$6, 0), FALSE),
            0
        ) +
        IFERROR(
            VLOOKUP($A96, INDIRECT("DicR!$A$6:$ZZ$1048576"), MATCH(G$1, DicR!$6:$6, 0), FALSE),
            0
        )
)</f>
        <v>0</v>
      </c>
      <c r="H96" s="32">
        <f t="array" ref="H96">SUM(
    IFERROR(
            VLOOKUP($A96, INDIRECT("EneR!$A$6:$ZZ$1048576"), MATCH(H$1, EneR!$6:$6, 0), FALSE),
            0
        ) +
        IFERROR(
            VLOOKUP($A96, INDIRECT("FebR!$A$6:$ZZ$1048576"), MATCH(H$1, FebR!$6:$6, 0), FALSE),
            0
        ) +
        IFERROR(
            VLOOKUP($A96, INDIRECT("MarR!$A$6:$ZZ$1048576"), MATCH(H$1, MarR!$6:$6, 0), FALSE),
            0
        ) +
        IFERROR(
            VLOOKUP($A96, INDIRECT("AbrR!$A$6:$ZZ$1048576"), MATCH(H$1, AbrR!$6:$6, 0), FALSE),
            0
        ) +
        IFERROR(
            VLOOKUP($A96, INDIRECT("MayR!$A$6:$ZZ$1048576"), MATCH(H$1, MayR!$6:$6, 0), FALSE),
            0
        ) +
        IFERROR(
            VLOOKUP($A96, INDIRECT("JunR!$A$6:$ZZ$1048576"), MATCH(H$1, JunR!$6:$6, 0), FALSE),
            0
        ) +
        IFERROR(
            VLOOKUP($A96, INDIRECT("JulR!$A$6:$ZZ$1048576"), MATCH(H$1, JulR!$6:$6, 0), FALSE),
            0
        ) +
        IFERROR(
            VLOOKUP($A96, INDIRECT("AgoR!$A$6:$ZZ$1048576"), MATCH(H$1, AgoR!$6:$6, 0), FALSE),
            0
        ) +
        IFERROR(
            VLOOKUP($A96, INDIRECT("SepR!$A$6:$ZZ$1048576"), MATCH(H$1, SepR!$6:$6, 0), FALSE),
            0
        ) +
        IFERROR(
            VLOOKUP($A96, INDIRECT("OctR!$A$6:$ZZ$1048576"), MATCH(H$1, OctR!$6:$6, 0), FALSE),
            0
        ) +
        IFERROR(
            VLOOKUP($A96, INDIRECT("NovR!$A$6:$ZZ$1048576"), MATCH(H$1, NovR!$6:$6, 0), FALSE),
            0
        ) +
        IFERROR(
            VLOOKUP($A96, INDIRECT("DicR!$A$6:$ZZ$1048576"), MATCH(H$1, DicR!$6:$6, 0), FALSE),
            0
        )
)</f>
        <v>0</v>
      </c>
      <c r="I96" s="35">
        <f t="array" ref="I96">SUM(
    IFERROR(
            VLOOKUP($A96, INDIRECT("EneR!$A$6:$ZZ$1048576"), MATCH(I$1, EneR!$6:$6, 0), FALSE),
            0
        ) +
        IFERROR(
            VLOOKUP($A96, INDIRECT("FebR!$A$6:$ZZ$1048576"), MATCH(I$1, FebR!$6:$6, 0), FALSE),
            0
        ) +
        IFERROR(
            VLOOKUP($A96, INDIRECT("MarR!$A$6:$ZZ$1048576"), MATCH(I$1, MarR!$6:$6, 0), FALSE),
            0
        ) +
        IFERROR(
            VLOOKUP($A96, INDIRECT("AbrR!$A$6:$ZZ$1048576"), MATCH(I$1, AbrR!$6:$6, 0), FALSE),
            0
        ) +
        IFERROR(
            VLOOKUP($A96, INDIRECT("MayR!$A$6:$ZZ$1048576"), MATCH(I$1, MayR!$6:$6, 0), FALSE),
            0
        ) +
        IFERROR(
            VLOOKUP($A96, INDIRECT("JunR!$A$6:$ZZ$1048576"), MATCH(I$1, JunR!$6:$6, 0), FALSE),
            0
        ) +
        IFERROR(
            VLOOKUP($A96, INDIRECT("JulR!$A$6:$ZZ$1048576"), MATCH(I$1, JulR!$6:$6, 0), FALSE),
            0
        ) +
        IFERROR(
            VLOOKUP($A96, INDIRECT("AgoR!$A$6:$ZZ$1048576"), MATCH(I$1, AgoR!$6:$6, 0), FALSE),
            0
        ) +
        IFERROR(
            VLOOKUP($A96, INDIRECT("SepR!$A$6:$ZZ$1048576"), MATCH(I$1, SepR!$6:$6, 0), FALSE),
            0
        ) +
        IFERROR(
            VLOOKUP($A96, INDIRECT("OctR!$A$6:$ZZ$1048576"), MATCH(I$1, OctR!$6:$6, 0), FALSE),
            0
        ) +
        IFERROR(
            VLOOKUP($A96, INDIRECT("NovR!$A$6:$ZZ$1048576"), MATCH(I$1, NovR!$6:$6, 0), FALSE),
            0
        ) +
        IFERROR(
            VLOOKUP($A96, INDIRECT("DicR!$A$6:$ZZ$1048576"), MATCH(I$1, DicR!$6:$6, 0), FALSE),
            0
        )
)</f>
        <v>0</v>
      </c>
      <c r="J96" s="32">
        <f t="array" ref="J96">SUM(
    IFERROR(
            VLOOKUP($A96, INDIRECT("EneR!$A$6:$ZZ$1048576"), MATCH(J$1, EneR!$6:$6, 0), FALSE),
            0
        ) +
        IFERROR(
            VLOOKUP($A96, INDIRECT("FebR!$A$6:$ZZ$1048576"), MATCH(J$1, FebR!$6:$6, 0), FALSE),
            0
        ) +
        IFERROR(
            VLOOKUP($A96, INDIRECT("MarR!$A$6:$ZZ$1048576"), MATCH(J$1, MarR!$6:$6, 0), FALSE),
            0
        ) +
        IFERROR(
            VLOOKUP($A96, INDIRECT("AbrR!$A$6:$ZZ$1048576"), MATCH(J$1, AbrR!$6:$6, 0), FALSE),
            0
        ) +
        IFERROR(
            VLOOKUP($A96, INDIRECT("MayR!$A$6:$ZZ$1048576"), MATCH(J$1, MayR!$6:$6, 0), FALSE),
            0
        ) +
        IFERROR(
            VLOOKUP($A96, INDIRECT("JunR!$A$6:$ZZ$1048576"), MATCH(J$1, JunR!$6:$6, 0), FALSE),
            0
        ) +
        IFERROR(
            VLOOKUP($A96, INDIRECT("JulR!$A$6:$ZZ$1048576"), MATCH(J$1, JulR!$6:$6, 0), FALSE),
            0
        ) +
        IFERROR(
            VLOOKUP($A96, INDIRECT("AgoR!$A$6:$ZZ$1048576"), MATCH(J$1, AgoR!$6:$6, 0), FALSE),
            0
        ) +
        IFERROR(
            VLOOKUP($A96, INDIRECT("SepR!$A$6:$ZZ$1048576"), MATCH(J$1, SepR!$6:$6, 0), FALSE),
            0
        ) +
        IFERROR(
            VLOOKUP($A96, INDIRECT("OctR!$A$6:$ZZ$1048576"), MATCH(J$1, OctR!$6:$6, 0), FALSE),
            0
        ) +
        IFERROR(
            VLOOKUP($A96, INDIRECT("NovR!$A$6:$ZZ$1048576"), MATCH(J$1, NovR!$6:$6, 0), FALSE),
            0
        ) +
        IFERROR(
            VLOOKUP($A96, INDIRECT("DicR!$A$6:$ZZ$1048576"), MATCH(J$1, DicR!$6:$6, 0), FALSE),
            0
        )
)</f>
        <v>0</v>
      </c>
      <c r="K96" s="35">
        <f t="array" ref="K96">SUM(
    IFERROR(
            VLOOKUP($A96, INDIRECT("EneR!$A$6:$ZZ$1048576"), MATCH(K$1, EneR!$6:$6, 0), FALSE),
            0
        ) +
        IFERROR(
            VLOOKUP($A96, INDIRECT("FebR!$A$6:$ZZ$1048576"), MATCH(K$1, FebR!$6:$6, 0), FALSE),
            0
        ) +
        IFERROR(
            VLOOKUP($A96, INDIRECT("MarR!$A$6:$ZZ$1048576"), MATCH(K$1, MarR!$6:$6, 0), FALSE),
            0
        ) +
        IFERROR(
            VLOOKUP($A96, INDIRECT("AbrR!$A$6:$ZZ$1048576"), MATCH(K$1, AbrR!$6:$6, 0), FALSE),
            0
        ) +
        IFERROR(
            VLOOKUP($A96, INDIRECT("MayR!$A$6:$ZZ$1048576"), MATCH(K$1, MayR!$6:$6, 0), FALSE),
            0
        ) +
        IFERROR(
            VLOOKUP($A96, INDIRECT("JunR!$A$6:$ZZ$1048576"), MATCH(K$1, JunR!$6:$6, 0), FALSE),
            0
        ) +
        IFERROR(
            VLOOKUP($A96, INDIRECT("JulR!$A$6:$ZZ$1048576"), MATCH(K$1, JulR!$6:$6, 0), FALSE),
            0
        ) +
        IFERROR(
            VLOOKUP($A96, INDIRECT("AgoR!$A$6:$ZZ$1048576"), MATCH(K$1, AgoR!$6:$6, 0), FALSE),
            0
        ) +
        IFERROR(
            VLOOKUP($A96, INDIRECT("SepR!$A$6:$ZZ$1048576"), MATCH(K$1, SepR!$6:$6, 0), FALSE),
            0
        ) +
        IFERROR(
            VLOOKUP($A96, INDIRECT("OctR!$A$6:$ZZ$1048576"), MATCH(K$1, OctR!$6:$6, 0), FALSE),
            0
        ) +
        IFERROR(
            VLOOKUP($A96, INDIRECT("NovR!$A$6:$ZZ$1048576"), MATCH(K$1, NovR!$6:$6, 0), FALSE),
            0
        ) +
        IFERROR(
            VLOOKUP($A96, INDIRECT("DicR!$A$6:$ZZ$1048576"), MATCH(K$1, DicR!$6:$6, 0), FALSE),
            0
        )
)</f>
        <v>0</v>
      </c>
      <c r="L96" s="32">
        <f t="array" ref="L96">SUM(
    IFERROR(
            VLOOKUP($A96, INDIRECT("EneR!$A$6:$ZZ$1048576"), MATCH(L$1, EneR!$6:$6, 0), FALSE),
            0
        ) +
        IFERROR(
            VLOOKUP($A96, INDIRECT("FebR!$A$6:$ZZ$1048576"), MATCH(L$1, FebR!$6:$6, 0), FALSE),
            0
        ) +
        IFERROR(
            VLOOKUP($A96, INDIRECT("MarR!$A$6:$ZZ$1048576"), MATCH(L$1, MarR!$6:$6, 0), FALSE),
            0
        ) +
        IFERROR(
            VLOOKUP($A96, INDIRECT("AbrR!$A$6:$ZZ$1048576"), MATCH(L$1, AbrR!$6:$6, 0), FALSE),
            0
        ) +
        IFERROR(
            VLOOKUP($A96, INDIRECT("MayR!$A$6:$ZZ$1048576"), MATCH(L$1, MayR!$6:$6, 0), FALSE),
            0
        ) +
        IFERROR(
            VLOOKUP($A96, INDIRECT("JunR!$A$6:$ZZ$1048576"), MATCH(L$1, JunR!$6:$6, 0), FALSE),
            0
        ) +
        IFERROR(
            VLOOKUP($A96, INDIRECT("JulR!$A$6:$ZZ$1048576"), MATCH(L$1, JulR!$6:$6, 0), FALSE),
            0
        ) +
        IFERROR(
            VLOOKUP($A96, INDIRECT("AgoR!$A$6:$ZZ$1048576"), MATCH(L$1, AgoR!$6:$6, 0), FALSE),
            0
        ) +
        IFERROR(
            VLOOKUP($A96, INDIRECT("SepR!$A$6:$ZZ$1048576"), MATCH(L$1, SepR!$6:$6, 0), FALSE),
            0
        ) +
        IFERROR(
            VLOOKUP($A96, INDIRECT("OctR!$A$6:$ZZ$1048576"), MATCH(L$1, OctR!$6:$6, 0), FALSE),
            0
        ) +
        IFERROR(
            VLOOKUP($A96, INDIRECT("NovR!$A$6:$ZZ$1048576"), MATCH(L$1, NovR!$6:$6, 0), FALSE),
            0
        ) +
        IFERROR(
            VLOOKUP($A96, INDIRECT("DicR!$A$6:$ZZ$1048576"), MATCH(L$1, DicR!$6:$6, 0), FALSE),
            0
        )
)</f>
        <v>0</v>
      </c>
      <c r="M96" s="35">
        <f t="array" ref="M96">SUM(
    IFERROR(
            VLOOKUP($A96, INDIRECT("EneR!$A$6:$ZZ$1048576"), MATCH(M$1, EneR!$6:$6, 0), FALSE),
            0
        ) +
        IFERROR(
            VLOOKUP($A96, INDIRECT("FebR!$A$6:$ZZ$1048576"), MATCH(M$1, FebR!$6:$6, 0), FALSE),
            0
        ) +
        IFERROR(
            VLOOKUP($A96, INDIRECT("MarR!$A$6:$ZZ$1048576"), MATCH(M$1, MarR!$6:$6, 0), FALSE),
            0
        ) +
        IFERROR(
            VLOOKUP($A96, INDIRECT("AbrR!$A$6:$ZZ$1048576"), MATCH(M$1, AbrR!$6:$6, 0), FALSE),
            0
        ) +
        IFERROR(
            VLOOKUP($A96, INDIRECT("MayR!$A$6:$ZZ$1048576"), MATCH(M$1, MayR!$6:$6, 0), FALSE),
            0
        ) +
        IFERROR(
            VLOOKUP($A96, INDIRECT("JunR!$A$6:$ZZ$1048576"), MATCH(M$1, JunR!$6:$6, 0), FALSE),
            0
        ) +
        IFERROR(
            VLOOKUP($A96, INDIRECT("JulR!$A$6:$ZZ$1048576"), MATCH(M$1, JulR!$6:$6, 0), FALSE),
            0
        ) +
        IFERROR(
            VLOOKUP($A96, INDIRECT("AgoR!$A$6:$ZZ$1048576"), MATCH(M$1, AgoR!$6:$6, 0), FALSE),
            0
        ) +
        IFERROR(
            VLOOKUP($A96, INDIRECT("SepR!$A$6:$ZZ$1048576"), MATCH(M$1, SepR!$6:$6, 0), FALSE),
            0
        ) +
        IFERROR(
            VLOOKUP($A96, INDIRECT("OctR!$A$6:$ZZ$1048576"), MATCH(M$1, OctR!$6:$6, 0), FALSE),
            0
        ) +
        IFERROR(
            VLOOKUP($A96, INDIRECT("NovR!$A$6:$ZZ$1048576"), MATCH(M$1, NovR!$6:$6, 0), FALSE),
            0
        ) +
        IFERROR(
            VLOOKUP($A96, INDIRECT("DicR!$A$6:$ZZ$1048576"), MATCH(M$1, DicR!$6:$6, 0), FALSE),
            0
        )
)</f>
        <v>0</v>
      </c>
      <c r="N96" s="32">
        <f t="array" ref="N96">SUM(
    IFERROR(
            VLOOKUP($A96, INDIRECT("EneR!$A$6:$ZZ$1048576"), MATCH(N$1, EneR!$6:$6, 0), FALSE),
            0
        ) +
        IFERROR(
            VLOOKUP($A96, INDIRECT("FebR!$A$6:$ZZ$1048576"), MATCH(N$1, FebR!$6:$6, 0), FALSE),
            0
        ) +
        IFERROR(
            VLOOKUP($A96, INDIRECT("MarR!$A$6:$ZZ$1048576"), MATCH(N$1, MarR!$6:$6, 0), FALSE),
            0
        ) +
        IFERROR(
            VLOOKUP($A96, INDIRECT("AbrR!$A$6:$ZZ$1048576"), MATCH(N$1, AbrR!$6:$6, 0), FALSE),
            0
        ) +
        IFERROR(
            VLOOKUP($A96, INDIRECT("MayR!$A$6:$ZZ$1048576"), MATCH(N$1, MayR!$6:$6, 0), FALSE),
            0
        ) +
        IFERROR(
            VLOOKUP($A96, INDIRECT("JunR!$A$6:$ZZ$1048576"), MATCH(N$1, JunR!$6:$6, 0), FALSE),
            0
        ) +
        IFERROR(
            VLOOKUP($A96, INDIRECT("JulR!$A$6:$ZZ$1048576"), MATCH(N$1, JulR!$6:$6, 0), FALSE),
            0
        ) +
        IFERROR(
            VLOOKUP($A96, INDIRECT("AgoR!$A$6:$ZZ$1048576"), MATCH(N$1, AgoR!$6:$6, 0), FALSE),
            0
        ) +
        IFERROR(
            VLOOKUP($A96, INDIRECT("SepR!$A$6:$ZZ$1048576"), MATCH(N$1, SepR!$6:$6, 0), FALSE),
            0
        ) +
        IFERROR(
            VLOOKUP($A96, INDIRECT("OctR!$A$6:$ZZ$1048576"), MATCH(N$1, OctR!$6:$6, 0), FALSE),
            0
        ) +
        IFERROR(
            VLOOKUP($A96, INDIRECT("NovR!$A$6:$ZZ$1048576"), MATCH(N$1, NovR!$6:$6, 0), FALSE),
            0
        ) +
        IFERROR(
            VLOOKUP($A96, INDIRECT("DicR!$A$6:$ZZ$1048576"), MATCH(N$1, DicR!$6:$6, 0), FALSE),
            0
        )
)</f>
        <v>0</v>
      </c>
      <c r="O96" s="35">
        <f t="array" ref="O96">SUM(
    IFERROR(
            VLOOKUP($A96, INDIRECT("EneR!$A$6:$ZZ$1048576"), MATCH(O$1, EneR!$6:$6, 0), FALSE),
            0
        ) +
        IFERROR(
            VLOOKUP($A96, INDIRECT("FebR!$A$6:$ZZ$1048576"), MATCH(O$1, FebR!$6:$6, 0), FALSE),
            0
        ) +
        IFERROR(
            VLOOKUP($A96, INDIRECT("MarR!$A$6:$ZZ$1048576"), MATCH(O$1, MarR!$6:$6, 0), FALSE),
            0
        ) +
        IFERROR(
            VLOOKUP($A96, INDIRECT("AbrR!$A$6:$ZZ$1048576"), MATCH(O$1, AbrR!$6:$6, 0), FALSE),
            0
        ) +
        IFERROR(
            VLOOKUP($A96, INDIRECT("MayR!$A$6:$ZZ$1048576"), MATCH(O$1, MayR!$6:$6, 0), FALSE),
            0
        ) +
        IFERROR(
            VLOOKUP($A96, INDIRECT("JunR!$A$6:$ZZ$1048576"), MATCH(O$1, JunR!$6:$6, 0), FALSE),
            0
        ) +
        IFERROR(
            VLOOKUP($A96, INDIRECT("JulR!$A$6:$ZZ$1048576"), MATCH(O$1, JulR!$6:$6, 0), FALSE),
            0
        ) +
        IFERROR(
            VLOOKUP($A96, INDIRECT("AgoR!$A$6:$ZZ$1048576"), MATCH(O$1, AgoR!$6:$6, 0), FALSE),
            0
        ) +
        IFERROR(
            VLOOKUP($A96, INDIRECT("SepR!$A$6:$ZZ$1048576"), MATCH(O$1, SepR!$6:$6, 0), FALSE),
            0
        ) +
        IFERROR(
            VLOOKUP($A96, INDIRECT("OctR!$A$6:$ZZ$1048576"), MATCH(O$1, OctR!$6:$6, 0), FALSE),
            0
        ) +
        IFERROR(
            VLOOKUP($A96, INDIRECT("NovR!$A$6:$ZZ$1048576"), MATCH(O$1, NovR!$6:$6, 0), FALSE),
            0
        ) +
        IFERROR(
            VLOOKUP($A96, INDIRECT("DicR!$A$6:$ZZ$1048576"), MATCH(O$1, DicR!$6:$6, 0), FALSE),
            0
        )
)</f>
        <v>0</v>
      </c>
      <c r="P96" s="32">
        <f t="array" ref="P96">SUM(
    IFERROR(
            VLOOKUP($A96, INDIRECT("EneR!$A$6:$ZZ$1048576"), MATCH(P$1, EneR!$6:$6, 0), FALSE),
            0
        ) +
        IFERROR(
            VLOOKUP($A96, INDIRECT("FebR!$A$6:$ZZ$1048576"), MATCH(P$1, FebR!$6:$6, 0), FALSE),
            0
        ) +
        IFERROR(
            VLOOKUP($A96, INDIRECT("MarR!$A$6:$ZZ$1048576"), MATCH(P$1, MarR!$6:$6, 0), FALSE),
            0
        ) +
        IFERROR(
            VLOOKUP($A96, INDIRECT("AbrR!$A$6:$ZZ$1048576"), MATCH(P$1, AbrR!$6:$6, 0), FALSE),
            0
        ) +
        IFERROR(
            VLOOKUP($A96, INDIRECT("MayR!$A$6:$ZZ$1048576"), MATCH(P$1, MayR!$6:$6, 0), FALSE),
            0
        ) +
        IFERROR(
            VLOOKUP($A96, INDIRECT("JunR!$A$6:$ZZ$1048576"), MATCH(P$1, JunR!$6:$6, 0), FALSE),
            0
        ) +
        IFERROR(
            VLOOKUP($A96, INDIRECT("JulR!$A$6:$ZZ$1048576"), MATCH(P$1, JulR!$6:$6, 0), FALSE),
            0
        ) +
        IFERROR(
            VLOOKUP($A96, INDIRECT("AgoR!$A$6:$ZZ$1048576"), MATCH(P$1, AgoR!$6:$6, 0), FALSE),
            0
        ) +
        IFERROR(
            VLOOKUP($A96, INDIRECT("SepR!$A$6:$ZZ$1048576"), MATCH(P$1, SepR!$6:$6, 0), FALSE),
            0
        ) +
        IFERROR(
            VLOOKUP($A96, INDIRECT("OctR!$A$6:$ZZ$1048576"), MATCH(P$1, OctR!$6:$6, 0), FALSE),
            0
        ) +
        IFERROR(
            VLOOKUP($A96, INDIRECT("NovR!$A$6:$ZZ$1048576"), MATCH(P$1, NovR!$6:$6, 0), FALSE),
            0
        ) +
        IFERROR(
            VLOOKUP($A96, INDIRECT("DicR!$A$6:$ZZ$1048576"), MATCH(P$1, DicR!$6:$6, 0), FALSE),
            0
        )
)</f>
        <v>0</v>
      </c>
      <c r="Q96" s="35">
        <f t="array" ref="Q96">SUM(
    IFERROR(
            VLOOKUP($A96, INDIRECT("EneR!$A$6:$ZZ$1048576"), MATCH(Q$1, EneR!$6:$6, 0), FALSE),
            0
        ) +
        IFERROR(
            VLOOKUP($A96, INDIRECT("FebR!$A$6:$ZZ$1048576"), MATCH(Q$1, FebR!$6:$6, 0), FALSE),
            0
        ) +
        IFERROR(
            VLOOKUP($A96, INDIRECT("MarR!$A$6:$ZZ$1048576"), MATCH(Q$1, MarR!$6:$6, 0), FALSE),
            0
        ) +
        IFERROR(
            VLOOKUP($A96, INDIRECT("AbrR!$A$6:$ZZ$1048576"), MATCH(Q$1, AbrR!$6:$6, 0), FALSE),
            0
        ) +
        IFERROR(
            VLOOKUP($A96, INDIRECT("MayR!$A$6:$ZZ$1048576"), MATCH(Q$1, MayR!$6:$6, 0), FALSE),
            0
        ) +
        IFERROR(
            VLOOKUP($A96, INDIRECT("JunR!$A$6:$ZZ$1048576"), MATCH(Q$1, JunR!$6:$6, 0), FALSE),
            0
        ) +
        IFERROR(
            VLOOKUP($A96, INDIRECT("JulR!$A$6:$ZZ$1048576"), MATCH(Q$1, JulR!$6:$6, 0), FALSE),
            0
        ) +
        IFERROR(
            VLOOKUP($A96, INDIRECT("AgoR!$A$6:$ZZ$1048576"), MATCH(Q$1, AgoR!$6:$6, 0), FALSE),
            0
        ) +
        IFERROR(
            VLOOKUP($A96, INDIRECT("SepR!$A$6:$ZZ$1048576"), MATCH(Q$1, SepR!$6:$6, 0), FALSE),
            0
        ) +
        IFERROR(
            VLOOKUP($A96, INDIRECT("OctR!$A$6:$ZZ$1048576"), MATCH(Q$1, OctR!$6:$6, 0), FALSE),
            0
        ) +
        IFERROR(
            VLOOKUP($A96, INDIRECT("NovR!$A$6:$ZZ$1048576"), MATCH(Q$1, NovR!$6:$6, 0), FALSE),
            0
        ) +
        IFERROR(
            VLOOKUP($A96, INDIRECT("DicR!$A$6:$ZZ$1048576"), MATCH(Q$1, DicR!$6:$6, 0), FALSE),
            0
        )
)</f>
        <v>0</v>
      </c>
      <c r="R96" s="36">
        <f t="array" ref="R96">SUM(
    IFERROR(
            VLOOKUP($A96, INDIRECT("EneR!$A$6:$ZZ$1048576"), MATCH(R$1, EneR!$6:$6, 0), FALSE),
            0
        ) +
        IFERROR(
            VLOOKUP($A96, INDIRECT("FebR!$A$6:$ZZ$1048576"), MATCH(R$1, FebR!$6:$6, 0), FALSE),
            0
        ) +
        IFERROR(
            VLOOKUP($A96, INDIRECT("MarR!$A$6:$ZZ$1048576"), MATCH(R$1, MarR!$6:$6, 0), FALSE),
            0
        ) +
        IFERROR(
            VLOOKUP($A96, INDIRECT("AbrR!$A$6:$ZZ$1048576"), MATCH(R$1, AbrR!$6:$6, 0), FALSE),
            0
        ) +
        IFERROR(
            VLOOKUP($A96, INDIRECT("MayR!$A$6:$ZZ$1048576"), MATCH(R$1, MayR!$6:$6, 0), FALSE),
            0
        ) +
        IFERROR(
            VLOOKUP($A96, INDIRECT("JunR!$A$6:$ZZ$1048576"), MATCH(R$1, JunR!$6:$6, 0), FALSE),
            0
        ) +
        IFERROR(
            VLOOKUP($A96, INDIRECT("JulR!$A$6:$ZZ$1048576"), MATCH(R$1, JulR!$6:$6, 0), FALSE),
            0
        ) +
        IFERROR(
            VLOOKUP($A96, INDIRECT("AgoR!$A$6:$ZZ$1048576"), MATCH(R$1, AgoR!$6:$6, 0), FALSE),
            0
        ) +
        IFERROR(
            VLOOKUP($A96, INDIRECT("SepR!$A$6:$ZZ$1048576"), MATCH(R$1, SepR!$6:$6, 0), FALSE),
            0
        ) +
        IFERROR(
            VLOOKUP($A96, INDIRECT("OctR!$A$6:$ZZ$1048576"), MATCH(R$1, OctR!$6:$6, 0), FALSE),
            0
        ) +
        IFERROR(
            VLOOKUP($A96, INDIRECT("NovR!$A$6:$ZZ$1048576"), MATCH(R$1, NovR!$6:$6, 0), FALSE),
            0
        ) +
        IFERROR(
            VLOOKUP($A96, INDIRECT("DicR!$A$6:$ZZ$1048576"), MATCH(R$1, DicR!$6:$6, 0), FALSE),
            0
        )
)</f>
        <v>0</v>
      </c>
      <c r="S96" s="37">
        <f t="array" ref="S96">SUM(
    IFERROR(
            VLOOKUP($A96, INDIRECT("EneR!$A$6:$ZZ$1048576"), MATCH(S$1, EneR!$6:$6, 0), FALSE),
            0
        ) +
        IFERROR(
            VLOOKUP($A96, INDIRECT("FebR!$A$6:$ZZ$1048576"), MATCH(S$1, FebR!$6:$6, 0), FALSE),
            0
        ) +
        IFERROR(
            VLOOKUP($A96, INDIRECT("MarR!$A$6:$ZZ$1048576"), MATCH(S$1, MarR!$6:$6, 0), FALSE),
            0
        ) +
        IFERROR(
            VLOOKUP($A96, INDIRECT("AbrR!$A$6:$ZZ$1048576"), MATCH(S$1, AbrR!$6:$6, 0), FALSE),
            0
        ) +
        IFERROR(
            VLOOKUP($A96, INDIRECT("MayR!$A$6:$ZZ$1048576"), MATCH(S$1, MayR!$6:$6, 0), FALSE),
            0
        ) +
        IFERROR(
            VLOOKUP($A96, INDIRECT("JunR!$A$6:$ZZ$1048576"), MATCH(S$1, JunR!$6:$6, 0), FALSE),
            0
        ) +
        IFERROR(
            VLOOKUP($A96, INDIRECT("JulR!$A$6:$ZZ$1048576"), MATCH(S$1, JulR!$6:$6, 0), FALSE),
            0
        ) +
        IFERROR(
            VLOOKUP($A96, INDIRECT("AgoR!$A$6:$ZZ$1048576"), MATCH(S$1, AgoR!$6:$6, 0), FALSE),
            0
        ) +
        IFERROR(
            VLOOKUP($A96, INDIRECT("SepR!$A$6:$ZZ$1048576"), MATCH(S$1, SepR!$6:$6, 0), FALSE),
            0
        ) +
        IFERROR(
            VLOOKUP($A96, INDIRECT("OctR!$A$6:$ZZ$1048576"), MATCH(S$1, OctR!$6:$6, 0), FALSE),
            0
        ) +
        IFERROR(
            VLOOKUP($A96, INDIRECT("NovR!$A$6:$ZZ$1048576"), MATCH(S$1, NovR!$6:$6, 0), FALSE),
            0
        ) +
        IFERROR(
            VLOOKUP($A96, INDIRECT("DicR!$A$6:$ZZ$1048576"), MATCH(S$1, DicR!$6:$6, 0), FALSE),
            0
        )
)</f>
        <v>0</v>
      </c>
      <c r="T96" s="36">
        <f t="array" ref="T96">SUM(
    IFERROR(
            VLOOKUP($A96, INDIRECT("EneR!$A$6:$ZZ$1048576"), MATCH(T$1, EneR!$6:$6, 0), FALSE),
            0
        ) +
        IFERROR(
            VLOOKUP($A96, INDIRECT("FebR!$A$6:$ZZ$1048576"), MATCH(T$1, FebR!$6:$6, 0), FALSE),
            0
        ) +
        IFERROR(
            VLOOKUP($A96, INDIRECT("MarR!$A$6:$ZZ$1048576"), MATCH(T$1, MarR!$6:$6, 0), FALSE),
            0
        ) +
        IFERROR(
            VLOOKUP($A96, INDIRECT("AbrR!$A$6:$ZZ$1048576"), MATCH(T$1, AbrR!$6:$6, 0), FALSE),
            0
        ) +
        IFERROR(
            VLOOKUP($A96, INDIRECT("MayR!$A$6:$ZZ$1048576"), MATCH(T$1, MayR!$6:$6, 0), FALSE),
            0
        ) +
        IFERROR(
            VLOOKUP($A96, INDIRECT("JunR!$A$6:$ZZ$1048576"), MATCH(T$1, JunR!$6:$6, 0), FALSE),
            0
        ) +
        IFERROR(
            VLOOKUP($A96, INDIRECT("JulR!$A$6:$ZZ$1048576"), MATCH(T$1, JulR!$6:$6, 0), FALSE),
            0
        ) +
        IFERROR(
            VLOOKUP($A96, INDIRECT("AgoR!$A$6:$ZZ$1048576"), MATCH(T$1, AgoR!$6:$6, 0), FALSE),
            0
        ) +
        IFERROR(
            VLOOKUP($A96, INDIRECT("SepR!$A$6:$ZZ$1048576"), MATCH(T$1, SepR!$6:$6, 0), FALSE),
            0
        ) +
        IFERROR(
            VLOOKUP($A96, INDIRECT("OctR!$A$6:$ZZ$1048576"), MATCH(T$1, OctR!$6:$6, 0), FALSE),
            0
        ) +
        IFERROR(
            VLOOKUP($A96, INDIRECT("NovR!$A$6:$ZZ$1048576"), MATCH(T$1, NovR!$6:$6, 0), FALSE),
            0
        ) +
        IFERROR(
            VLOOKUP($A96, INDIRECT("DicR!$A$6:$ZZ$1048576"), MATCH(T$1, DicR!$6:$6, 0), FALSE),
            0
        )
)</f>
        <v>0</v>
      </c>
      <c r="U96" s="37">
        <f t="array" ref="U96">SUM(
    IFERROR(
            VLOOKUP($A96, INDIRECT("EneR!$A$6:$ZZ$1048576"), MATCH(U$1, EneR!$6:$6, 0), FALSE),
            0
        ) +
        IFERROR(
            VLOOKUP($A96, INDIRECT("FebR!$A$6:$ZZ$1048576"), MATCH(U$1, FebR!$6:$6, 0), FALSE),
            0
        ) +
        IFERROR(
            VLOOKUP($A96, INDIRECT("MarR!$A$6:$ZZ$1048576"), MATCH(U$1, MarR!$6:$6, 0), FALSE),
            0
        ) +
        IFERROR(
            VLOOKUP($A96, INDIRECT("AbrR!$A$6:$ZZ$1048576"), MATCH(U$1, AbrR!$6:$6, 0), FALSE),
            0
        ) +
        IFERROR(
            VLOOKUP($A96, INDIRECT("MayR!$A$6:$ZZ$1048576"), MATCH(U$1, MayR!$6:$6, 0), FALSE),
            0
        ) +
        IFERROR(
            VLOOKUP($A96, INDIRECT("JunR!$A$6:$ZZ$1048576"), MATCH(U$1, JunR!$6:$6, 0), FALSE),
            0
        ) +
        IFERROR(
            VLOOKUP($A96, INDIRECT("JulR!$A$6:$ZZ$1048576"), MATCH(U$1, JulR!$6:$6, 0), FALSE),
            0
        ) +
        IFERROR(
            VLOOKUP($A96, INDIRECT("AgoR!$A$6:$ZZ$1048576"), MATCH(U$1, AgoR!$6:$6, 0), FALSE),
            0
        ) +
        IFERROR(
            VLOOKUP($A96, INDIRECT("SepR!$A$6:$ZZ$1048576"), MATCH(U$1, SepR!$6:$6, 0), FALSE),
            0
        ) +
        IFERROR(
            VLOOKUP($A96, INDIRECT("OctR!$A$6:$ZZ$1048576"), MATCH(U$1, OctR!$6:$6, 0), FALSE),
            0
        ) +
        IFERROR(
            VLOOKUP($A96, INDIRECT("NovR!$A$6:$ZZ$1048576"), MATCH(U$1, NovR!$6:$6, 0), FALSE),
            0
        ) +
        IFERROR(
            VLOOKUP($A96, INDIRECT("DicR!$A$6:$ZZ$1048576"), MATCH(U$1, DicR!$6:$6, 0), FALSE),
            0
        )
)</f>
        <v>0</v>
      </c>
      <c r="V96" s="36">
        <f t="array" ref="V96">SUM(
    IFERROR(
            VLOOKUP($A96, INDIRECT("EneR!$A$6:$ZZ$1048576"), MATCH(V$1, EneR!$6:$6, 0), FALSE),
            0
        ) +
        IFERROR(
            VLOOKUP($A96, INDIRECT("FebR!$A$6:$ZZ$1048576"), MATCH(V$1, FebR!$6:$6, 0), FALSE),
            0
        ) +
        IFERROR(
            VLOOKUP($A96, INDIRECT("MarR!$A$6:$ZZ$1048576"), MATCH(V$1, MarR!$6:$6, 0), FALSE),
            0
        ) +
        IFERROR(
            VLOOKUP($A96, INDIRECT("AbrR!$A$6:$ZZ$1048576"), MATCH(V$1, AbrR!$6:$6, 0), FALSE),
            0
        ) +
        IFERROR(
            VLOOKUP($A96, INDIRECT("MayR!$A$6:$ZZ$1048576"), MATCH(V$1, MayR!$6:$6, 0), FALSE),
            0
        ) +
        IFERROR(
            VLOOKUP($A96, INDIRECT("JunR!$A$6:$ZZ$1048576"), MATCH(V$1, JunR!$6:$6, 0), FALSE),
            0
        ) +
        IFERROR(
            VLOOKUP($A96, INDIRECT("JulR!$A$6:$ZZ$1048576"), MATCH(V$1, JulR!$6:$6, 0), FALSE),
            0
        ) +
        IFERROR(
            VLOOKUP($A96, INDIRECT("AgoR!$A$6:$ZZ$1048576"), MATCH(V$1, AgoR!$6:$6, 0), FALSE),
            0
        ) +
        IFERROR(
            VLOOKUP($A96, INDIRECT("SepR!$A$6:$ZZ$1048576"), MATCH(V$1, SepR!$6:$6, 0), FALSE),
            0
        ) +
        IFERROR(
            VLOOKUP($A96, INDIRECT("OctR!$A$6:$ZZ$1048576"), MATCH(V$1, OctR!$6:$6, 0), FALSE),
            0
        ) +
        IFERROR(
            VLOOKUP($A96, INDIRECT("NovR!$A$6:$ZZ$1048576"), MATCH(V$1, NovR!$6:$6, 0), FALSE),
            0
        ) +
        IFERROR(
            VLOOKUP($A96, INDIRECT("DicR!$A$6:$ZZ$1048576"), MATCH(V$1, DicR!$6:$6, 0), FALSE),
            0
        )
)</f>
        <v>0</v>
      </c>
      <c r="W96" s="37">
        <f t="array" ref="W96">SUM(
    IFERROR(
            VLOOKUP($A96, INDIRECT("EneR!$A$6:$ZZ$1048576"), MATCH(W$1, EneR!$6:$6, 0), FALSE),
            0
        ) +
        IFERROR(
            VLOOKUP($A96, INDIRECT("FebR!$A$6:$ZZ$1048576"), MATCH(W$1, FebR!$6:$6, 0), FALSE),
            0
        ) +
        IFERROR(
            VLOOKUP($A96, INDIRECT("MarR!$A$6:$ZZ$1048576"), MATCH(W$1, MarR!$6:$6, 0), FALSE),
            0
        ) +
        IFERROR(
            VLOOKUP($A96, INDIRECT("AbrR!$A$6:$ZZ$1048576"), MATCH(W$1, AbrR!$6:$6, 0), FALSE),
            0
        ) +
        IFERROR(
            VLOOKUP($A96, INDIRECT("MayR!$A$6:$ZZ$1048576"), MATCH(W$1, MayR!$6:$6, 0), FALSE),
            0
        ) +
        IFERROR(
            VLOOKUP($A96, INDIRECT("JunR!$A$6:$ZZ$1048576"), MATCH(W$1, JunR!$6:$6, 0), FALSE),
            0
        ) +
        IFERROR(
            VLOOKUP($A96, INDIRECT("JulR!$A$6:$ZZ$1048576"), MATCH(W$1, JulR!$6:$6, 0), FALSE),
            0
        ) +
        IFERROR(
            VLOOKUP($A96, INDIRECT("AgoR!$A$6:$ZZ$1048576"), MATCH(W$1, AgoR!$6:$6, 0), FALSE),
            0
        ) +
        IFERROR(
            VLOOKUP($A96, INDIRECT("SepR!$A$6:$ZZ$1048576"), MATCH(W$1, SepR!$6:$6, 0), FALSE),
            0
        ) +
        IFERROR(
            VLOOKUP($A96, INDIRECT("OctR!$A$6:$ZZ$1048576"), MATCH(W$1, OctR!$6:$6, 0), FALSE),
            0
        ) +
        IFERROR(
            VLOOKUP($A96, INDIRECT("NovR!$A$6:$ZZ$1048576"), MATCH(W$1, NovR!$6:$6, 0), FALSE),
            0
        ) +
        IFERROR(
            VLOOKUP($A96, INDIRECT("DicR!$A$6:$ZZ$1048576"), MATCH(W$1, DicR!$6:$6, 0), FALSE),
            0
        )
)</f>
        <v>0</v>
      </c>
      <c r="X96" s="36">
        <f t="array" ref="X96">SUM(
    IFERROR(
            VLOOKUP($A96, INDIRECT("EneR!$A$6:$ZZ$1048576"), MATCH(X$1, EneR!$6:$6, 0), FALSE),
            0
        ) +
        IFERROR(
            VLOOKUP($A96, INDIRECT("FebR!$A$6:$ZZ$1048576"), MATCH(X$1, FebR!$6:$6, 0), FALSE),
            0
        ) +
        IFERROR(
            VLOOKUP($A96, INDIRECT("MarR!$A$6:$ZZ$1048576"), MATCH(X$1, MarR!$6:$6, 0), FALSE),
            0
        ) +
        IFERROR(
            VLOOKUP($A96, INDIRECT("AbrR!$A$6:$ZZ$1048576"), MATCH(X$1, AbrR!$6:$6, 0), FALSE),
            0
        ) +
        IFERROR(
            VLOOKUP($A96, INDIRECT("MayR!$A$6:$ZZ$1048576"), MATCH(X$1, MayR!$6:$6, 0), FALSE),
            0
        ) +
        IFERROR(
            VLOOKUP($A96, INDIRECT("JunR!$A$6:$ZZ$1048576"), MATCH(X$1, JunR!$6:$6, 0), FALSE),
            0
        ) +
        IFERROR(
            VLOOKUP($A96, INDIRECT("JulR!$A$6:$ZZ$1048576"), MATCH(X$1, JulR!$6:$6, 0), FALSE),
            0
        ) +
        IFERROR(
            VLOOKUP($A96, INDIRECT("AgoR!$A$6:$ZZ$1048576"), MATCH(X$1, AgoR!$6:$6, 0), FALSE),
            0
        ) +
        IFERROR(
            VLOOKUP($A96, INDIRECT("SepR!$A$6:$ZZ$1048576"), MATCH(X$1, SepR!$6:$6, 0), FALSE),
            0
        ) +
        IFERROR(
            VLOOKUP($A96, INDIRECT("OctR!$A$6:$ZZ$1048576"), MATCH(X$1, OctR!$6:$6, 0), FALSE),
            0
        ) +
        IFERROR(
            VLOOKUP($A96, INDIRECT("NovR!$A$6:$ZZ$1048576"), MATCH(X$1, NovR!$6:$6, 0), FALSE),
            0
        ) +
        IFERROR(
            VLOOKUP($A96, INDIRECT("DicR!$A$6:$ZZ$1048576"), MATCH(X$1, DicR!$6:$6, 0), FALSE),
            0
        )
)</f>
        <v>0</v>
      </c>
      <c r="Y96" s="37">
        <f t="array" ref="Y96">SUM(
    IFERROR(
            VLOOKUP($A96, INDIRECT("EneR!$A$6:$ZZ$1048576"), MATCH(Y$1, EneR!$6:$6, 0), FALSE),
            0
        ) +
        IFERROR(
            VLOOKUP($A96, INDIRECT("FebR!$A$6:$ZZ$1048576"), MATCH(Y$1, FebR!$6:$6, 0), FALSE),
            0
        ) +
        IFERROR(
            VLOOKUP($A96, INDIRECT("MarR!$A$6:$ZZ$1048576"), MATCH(Y$1, MarR!$6:$6, 0), FALSE),
            0
        ) +
        IFERROR(
            VLOOKUP($A96, INDIRECT("AbrR!$A$6:$ZZ$1048576"), MATCH(Y$1, AbrR!$6:$6, 0), FALSE),
            0
        ) +
        IFERROR(
            VLOOKUP($A96, INDIRECT("MayR!$A$6:$ZZ$1048576"), MATCH(Y$1, MayR!$6:$6, 0), FALSE),
            0
        ) +
        IFERROR(
            VLOOKUP($A96, INDIRECT("JunR!$A$6:$ZZ$1048576"), MATCH(Y$1, JunR!$6:$6, 0), FALSE),
            0
        ) +
        IFERROR(
            VLOOKUP($A96, INDIRECT("JulR!$A$6:$ZZ$1048576"), MATCH(Y$1, JulR!$6:$6, 0), FALSE),
            0
        ) +
        IFERROR(
            VLOOKUP($A96, INDIRECT("AgoR!$A$6:$ZZ$1048576"), MATCH(Y$1, AgoR!$6:$6, 0), FALSE),
            0
        ) +
        IFERROR(
            VLOOKUP($A96, INDIRECT("SepR!$A$6:$ZZ$1048576"), MATCH(Y$1, SepR!$6:$6, 0), FALSE),
            0
        ) +
        IFERROR(
            VLOOKUP($A96, INDIRECT("OctR!$A$6:$ZZ$1048576"), MATCH(Y$1, OctR!$6:$6, 0), FALSE),
            0
        ) +
        IFERROR(
            VLOOKUP($A96, INDIRECT("NovR!$A$6:$ZZ$1048576"), MATCH(Y$1, NovR!$6:$6, 0), FALSE),
            0
        ) +
        IFERROR(
            VLOOKUP($A96, INDIRECT("DicR!$A$6:$ZZ$1048576"), MATCH(Y$1, DicR!$6:$6, 0), FALSE),
            0
        )
)</f>
        <v>0</v>
      </c>
      <c r="Z96" s="36">
        <f t="array" ref="Z96">SUM(
    IFERROR(
            VLOOKUP($A96, INDIRECT("EneR!$A$6:$ZZ$1048576"), MATCH(Z$1, EneR!$6:$6, 0), FALSE),
            0
        ) +
        IFERROR(
            VLOOKUP($A96, INDIRECT("FebR!$A$6:$ZZ$1048576"), MATCH(Z$1, FebR!$6:$6, 0), FALSE),
            0
        ) +
        IFERROR(
            VLOOKUP($A96, INDIRECT("MarR!$A$6:$ZZ$1048576"), MATCH(Z$1, MarR!$6:$6, 0), FALSE),
            0
        ) +
        IFERROR(
            VLOOKUP($A96, INDIRECT("AbrR!$A$6:$ZZ$1048576"), MATCH(Z$1, AbrR!$6:$6, 0), FALSE),
            0
        ) +
        IFERROR(
            VLOOKUP($A96, INDIRECT("MayR!$A$6:$ZZ$1048576"), MATCH(Z$1, MayR!$6:$6, 0), FALSE),
            0
        ) +
        IFERROR(
            VLOOKUP($A96, INDIRECT("JunR!$A$6:$ZZ$1048576"), MATCH(Z$1, JunR!$6:$6, 0), FALSE),
            0
        ) +
        IFERROR(
            VLOOKUP($A96, INDIRECT("JulR!$A$6:$ZZ$1048576"), MATCH(Z$1, JulR!$6:$6, 0), FALSE),
            0
        ) +
        IFERROR(
            VLOOKUP($A96, INDIRECT("AgoR!$A$6:$ZZ$1048576"), MATCH(Z$1, AgoR!$6:$6, 0), FALSE),
            0
        ) +
        IFERROR(
            VLOOKUP($A96, INDIRECT("SepR!$A$6:$ZZ$1048576"), MATCH(Z$1, SepR!$6:$6, 0), FALSE),
            0
        ) +
        IFERROR(
            VLOOKUP($A96, INDIRECT("OctR!$A$6:$ZZ$1048576"), MATCH(Z$1, OctR!$6:$6, 0), FALSE),
            0
        ) +
        IFERROR(
            VLOOKUP($A96, INDIRECT("NovR!$A$6:$ZZ$1048576"), MATCH(Z$1, NovR!$6:$6, 0), FALSE),
            0
        ) +
        IFERROR(
            VLOOKUP($A96, INDIRECT("DicR!$A$6:$ZZ$1048576"), MATCH(Z$1, DicR!$6:$6, 0), FALSE),
            0
        )
)</f>
        <v>0</v>
      </c>
      <c r="AA96" s="37">
        <f t="array" ref="AA96">SUM(
    IFERROR(
            VLOOKUP($A96, INDIRECT("EneR!$A$6:$ZZ$1048576"), MATCH(AA$1, EneR!$6:$6, 0), FALSE),
            0
        ) +
        IFERROR(
            VLOOKUP($A96, INDIRECT("FebR!$A$6:$ZZ$1048576"), MATCH(AA$1, FebR!$6:$6, 0), FALSE),
            0
        ) +
        IFERROR(
            VLOOKUP($A96, INDIRECT("MarR!$A$6:$ZZ$1048576"), MATCH(AA$1, MarR!$6:$6, 0), FALSE),
            0
        ) +
        IFERROR(
            VLOOKUP($A96, INDIRECT("AbrR!$A$6:$ZZ$1048576"), MATCH(AA$1, AbrR!$6:$6, 0), FALSE),
            0
        ) +
        IFERROR(
            VLOOKUP($A96, INDIRECT("MayR!$A$6:$ZZ$1048576"), MATCH(AA$1, MayR!$6:$6, 0), FALSE),
            0
        ) +
        IFERROR(
            VLOOKUP($A96, INDIRECT("JunR!$A$6:$ZZ$1048576"), MATCH(AA$1, JunR!$6:$6, 0), FALSE),
            0
        ) +
        IFERROR(
            VLOOKUP($A96, INDIRECT("JulR!$A$6:$ZZ$1048576"), MATCH(AA$1, JulR!$6:$6, 0), FALSE),
            0
        ) +
        IFERROR(
            VLOOKUP($A96, INDIRECT("AgoR!$A$6:$ZZ$1048576"), MATCH(AA$1, AgoR!$6:$6, 0), FALSE),
            0
        ) +
        IFERROR(
            VLOOKUP($A96, INDIRECT("SepR!$A$6:$ZZ$1048576"), MATCH(AA$1, SepR!$6:$6, 0), FALSE),
            0
        ) +
        IFERROR(
            VLOOKUP($A96, INDIRECT("OctR!$A$6:$ZZ$1048576"), MATCH(AA$1, OctR!$6:$6, 0), FALSE),
            0
        ) +
        IFERROR(
            VLOOKUP($A96, INDIRECT("NovR!$A$6:$ZZ$1048576"), MATCH(AA$1, NovR!$6:$6, 0), FALSE),
            0
        ) +
        IFERROR(
            VLOOKUP($A96, INDIRECT("DicR!$A$6:$ZZ$1048576"), MATCH(AA$1, DicR!$6:$6, 0), FALSE),
            0
        )
)</f>
        <v>0</v>
      </c>
      <c r="AB96" s="36">
        <f t="array" ref="AB96">SUM(
    IFERROR(
            VLOOKUP($A96, INDIRECT("EneR!$A$6:$ZZ$1048576"), MATCH(AB$1, EneR!$6:$6, 0), FALSE),
            0
        ) +
        IFERROR(
            VLOOKUP($A96, INDIRECT("FebR!$A$6:$ZZ$1048576"), MATCH(AB$1, FebR!$6:$6, 0), FALSE),
            0
        ) +
        IFERROR(
            VLOOKUP($A96, INDIRECT("MarR!$A$6:$ZZ$1048576"), MATCH(AB$1, MarR!$6:$6, 0), FALSE),
            0
        ) +
        IFERROR(
            VLOOKUP($A96, INDIRECT("AbrR!$A$6:$ZZ$1048576"), MATCH(AB$1, AbrR!$6:$6, 0), FALSE),
            0
        ) +
        IFERROR(
            VLOOKUP($A96, INDIRECT("MayR!$A$6:$ZZ$1048576"), MATCH(AB$1, MayR!$6:$6, 0), FALSE),
            0
        ) +
        IFERROR(
            VLOOKUP($A96, INDIRECT("JunR!$A$6:$ZZ$1048576"), MATCH(AB$1, JunR!$6:$6, 0), FALSE),
            0
        ) +
        IFERROR(
            VLOOKUP($A96, INDIRECT("JulR!$A$6:$ZZ$1048576"), MATCH(AB$1, JulR!$6:$6, 0), FALSE),
            0
        ) +
        IFERROR(
            VLOOKUP($A96, INDIRECT("AgoR!$A$6:$ZZ$1048576"), MATCH(AB$1, AgoR!$6:$6, 0), FALSE),
            0
        ) +
        IFERROR(
            VLOOKUP($A96, INDIRECT("SepR!$A$6:$ZZ$1048576"), MATCH(AB$1, SepR!$6:$6, 0), FALSE),
            0
        ) +
        IFERROR(
            VLOOKUP($A96, INDIRECT("OctR!$A$6:$ZZ$1048576"), MATCH(AB$1, OctR!$6:$6, 0), FALSE),
            0
        ) +
        IFERROR(
            VLOOKUP($A96, INDIRECT("NovR!$A$6:$ZZ$1048576"), MATCH(AB$1, NovR!$6:$6, 0), FALSE),
            0
        ) +
        IFERROR(
            VLOOKUP($A96, INDIRECT("DicR!$A$6:$ZZ$1048576"), MATCH(AB$1, DicR!$6:$6, 0), FALSE),
            0
        )
)</f>
        <v>0</v>
      </c>
      <c r="AC96" s="37">
        <f t="array" ref="AC96">SUM(
    IFERROR(
            VLOOKUP($A96, INDIRECT("EneR!$A$6:$ZZ$1048576"), MATCH(AC$1, EneR!$6:$6, 0), FALSE),
            0
        ) +
        IFERROR(
            VLOOKUP($A96, INDIRECT("FebR!$A$6:$ZZ$1048576"), MATCH(AC$1, FebR!$6:$6, 0), FALSE),
            0
        ) +
        IFERROR(
            VLOOKUP($A96, INDIRECT("MarR!$A$6:$ZZ$1048576"), MATCH(AC$1, MarR!$6:$6, 0), FALSE),
            0
        ) +
        IFERROR(
            VLOOKUP($A96, INDIRECT("AbrR!$A$6:$ZZ$1048576"), MATCH(AC$1, AbrR!$6:$6, 0), FALSE),
            0
        ) +
        IFERROR(
            VLOOKUP($A96, INDIRECT("MayR!$A$6:$ZZ$1048576"), MATCH(AC$1, MayR!$6:$6, 0), FALSE),
            0
        ) +
        IFERROR(
            VLOOKUP($A96, INDIRECT("JunR!$A$6:$ZZ$1048576"), MATCH(AC$1, JunR!$6:$6, 0), FALSE),
            0
        ) +
        IFERROR(
            VLOOKUP($A96, INDIRECT("JulR!$A$6:$ZZ$1048576"), MATCH(AC$1, JulR!$6:$6, 0), FALSE),
            0
        ) +
        IFERROR(
            VLOOKUP($A96, INDIRECT("AgoR!$A$6:$ZZ$1048576"), MATCH(AC$1, AgoR!$6:$6, 0), FALSE),
            0
        ) +
        IFERROR(
            VLOOKUP($A96, INDIRECT("SepR!$A$6:$ZZ$1048576"), MATCH(AC$1, SepR!$6:$6, 0), FALSE),
            0
        ) +
        IFERROR(
            VLOOKUP($A96, INDIRECT("OctR!$A$6:$ZZ$1048576"), MATCH(AC$1, OctR!$6:$6, 0), FALSE),
            0
        ) +
        IFERROR(
            VLOOKUP($A96, INDIRECT("NovR!$A$6:$ZZ$1048576"), MATCH(AC$1, NovR!$6:$6, 0), FALSE),
            0
        ) +
        IFERROR(
            VLOOKUP($A96, INDIRECT("DicR!$A$6:$ZZ$1048576"), MATCH(AC$1, DicR!$6:$6, 0), FALSE),
            0
        )
)</f>
        <v>0</v>
      </c>
      <c r="AD96" s="36">
        <f t="array" ref="AD96">SUM(
    IFERROR(
            VLOOKUP($A96, INDIRECT("EneR!$A$6:$ZZ$1048576"), MATCH(AD$1, EneR!$6:$6, 0), FALSE),
            0
        ) +
        IFERROR(
            VLOOKUP($A96, INDIRECT("FebR!$A$6:$ZZ$1048576"), MATCH(AD$1, FebR!$6:$6, 0), FALSE),
            0
        ) +
        IFERROR(
            VLOOKUP($A96, INDIRECT("MarR!$A$6:$ZZ$1048576"), MATCH(AD$1, MarR!$6:$6, 0), FALSE),
            0
        ) +
        IFERROR(
            VLOOKUP($A96, INDIRECT("AbrR!$A$6:$ZZ$1048576"), MATCH(AD$1, AbrR!$6:$6, 0), FALSE),
            0
        ) +
        IFERROR(
            VLOOKUP($A96, INDIRECT("MayR!$A$6:$ZZ$1048576"), MATCH(AD$1, MayR!$6:$6, 0), FALSE),
            0
        ) +
        IFERROR(
            VLOOKUP($A96, INDIRECT("JunR!$A$6:$ZZ$1048576"), MATCH(AD$1, JunR!$6:$6, 0), FALSE),
            0
        ) +
        IFERROR(
            VLOOKUP($A96, INDIRECT("JulR!$A$6:$ZZ$1048576"), MATCH(AD$1, JulR!$6:$6, 0), FALSE),
            0
        ) +
        IFERROR(
            VLOOKUP($A96, INDIRECT("AgoR!$A$6:$ZZ$1048576"), MATCH(AD$1, AgoR!$6:$6, 0), FALSE),
            0
        ) +
        IFERROR(
            VLOOKUP($A96, INDIRECT("SepR!$A$6:$ZZ$1048576"), MATCH(AD$1, SepR!$6:$6, 0), FALSE),
            0
        ) +
        IFERROR(
            VLOOKUP($A96, INDIRECT("OctR!$A$6:$ZZ$1048576"), MATCH(AD$1, OctR!$6:$6, 0), FALSE),
            0
        ) +
        IFERROR(
            VLOOKUP($A96, INDIRECT("NovR!$A$6:$ZZ$1048576"), MATCH(AD$1, NovR!$6:$6, 0), FALSE),
            0
        ) +
        IFERROR(
            VLOOKUP($A96, INDIRECT("DicR!$A$6:$ZZ$1048576"), MATCH(AD$1, DicR!$6:$6, 0), FALSE),
            0
        )
)</f>
        <v>0</v>
      </c>
      <c r="AE96" s="37">
        <f t="array" ref="AE96">SUM(
    IFERROR(
            VLOOKUP($A96, INDIRECT("EneR!$A$6:$ZZ$1048576"), MATCH(AE$1, EneR!$6:$6, 0), FALSE),
            0
        ) +
        IFERROR(
            VLOOKUP($A96, INDIRECT("FebR!$A$6:$ZZ$1048576"), MATCH(AE$1, FebR!$6:$6, 0), FALSE),
            0
        ) +
        IFERROR(
            VLOOKUP($A96, INDIRECT("MarR!$A$6:$ZZ$1048576"), MATCH(AE$1, MarR!$6:$6, 0), FALSE),
            0
        ) +
        IFERROR(
            VLOOKUP($A96, INDIRECT("AbrR!$A$6:$ZZ$1048576"), MATCH(AE$1, AbrR!$6:$6, 0), FALSE),
            0
        ) +
        IFERROR(
            VLOOKUP($A96, INDIRECT("MayR!$A$6:$ZZ$1048576"), MATCH(AE$1, MayR!$6:$6, 0), FALSE),
            0
        ) +
        IFERROR(
            VLOOKUP($A96, INDIRECT("JunR!$A$6:$ZZ$1048576"), MATCH(AE$1, JunR!$6:$6, 0), FALSE),
            0
        ) +
        IFERROR(
            VLOOKUP($A96, INDIRECT("JulR!$A$6:$ZZ$1048576"), MATCH(AE$1, JulR!$6:$6, 0), FALSE),
            0
        ) +
        IFERROR(
            VLOOKUP($A96, INDIRECT("AgoR!$A$6:$ZZ$1048576"), MATCH(AE$1, AgoR!$6:$6, 0), FALSE),
            0
        ) +
        IFERROR(
            VLOOKUP($A96, INDIRECT("SepR!$A$6:$ZZ$1048576"), MATCH(AE$1, SepR!$6:$6, 0), FALSE),
            0
        ) +
        IFERROR(
            VLOOKUP($A96, INDIRECT("OctR!$A$6:$ZZ$1048576"), MATCH(AE$1, OctR!$6:$6, 0), FALSE),
            0
        ) +
        IFERROR(
            VLOOKUP($A96, INDIRECT("NovR!$A$6:$ZZ$1048576"), MATCH(AE$1, NovR!$6:$6, 0), FALSE),
            0
        ) +
        IFERROR(
            VLOOKUP($A96, INDIRECT("DicR!$A$6:$ZZ$1048576"), MATCH(AE$1, DicR!$6:$6, 0), FALSE),
            0
        )
)</f>
        <v>0</v>
      </c>
      <c r="AF96" s="36">
        <f t="array" ref="AF96">SUM(
    IFERROR(
            VLOOKUP($A96, INDIRECT("EneR!$A$6:$ZZ$1048576"), MATCH(AF$1, EneR!$6:$6, 0), FALSE),
            0
        ) +
        IFERROR(
            VLOOKUP($A96, INDIRECT("FebR!$A$6:$ZZ$1048576"), MATCH(AF$1, FebR!$6:$6, 0), FALSE),
            0
        ) +
        IFERROR(
            VLOOKUP($A96, INDIRECT("MarR!$A$6:$ZZ$1048576"), MATCH(AF$1, MarR!$6:$6, 0), FALSE),
            0
        ) +
        IFERROR(
            VLOOKUP($A96, INDIRECT("AbrR!$A$6:$ZZ$1048576"), MATCH(AF$1, AbrR!$6:$6, 0), FALSE),
            0
        ) +
        IFERROR(
            VLOOKUP($A96, INDIRECT("MayR!$A$6:$ZZ$1048576"), MATCH(AF$1, MayR!$6:$6, 0), FALSE),
            0
        ) +
        IFERROR(
            VLOOKUP($A96, INDIRECT("JunR!$A$6:$ZZ$1048576"), MATCH(AF$1, JunR!$6:$6, 0), FALSE),
            0
        ) +
        IFERROR(
            VLOOKUP($A96, INDIRECT("JulR!$A$6:$ZZ$1048576"), MATCH(AF$1, JulR!$6:$6, 0), FALSE),
            0
        ) +
        IFERROR(
            VLOOKUP($A96, INDIRECT("AgoR!$A$6:$ZZ$1048576"), MATCH(AF$1, AgoR!$6:$6, 0), FALSE),
            0
        ) +
        IFERROR(
            VLOOKUP($A96, INDIRECT("SepR!$A$6:$ZZ$1048576"), MATCH(AF$1, SepR!$6:$6, 0), FALSE),
            0
        ) +
        IFERROR(
            VLOOKUP($A96, INDIRECT("OctR!$A$6:$ZZ$1048576"), MATCH(AF$1, OctR!$6:$6, 0), FALSE),
            0
        ) +
        IFERROR(
            VLOOKUP($A96, INDIRECT("NovR!$A$6:$ZZ$1048576"), MATCH(AF$1, NovR!$6:$6, 0), FALSE),
            0
        ) +
        IFERROR(
            VLOOKUP($A96, INDIRECT("DicR!$A$6:$ZZ$1048576"), MATCH(AF$1, DicR!$6:$6, 0), FALSE),
            0
        )
)</f>
        <v>0</v>
      </c>
      <c r="AG96" s="37">
        <f t="array" ref="AG96">SUM(
    IFERROR(
            VLOOKUP($A96, INDIRECT("EneR!$A$6:$ZZ$1048576"), MATCH(AG$1, EneR!$6:$6, 0), FALSE),
            0
        ) +
        IFERROR(
            VLOOKUP($A96, INDIRECT("FebR!$A$6:$ZZ$1048576"), MATCH(AG$1, FebR!$6:$6, 0), FALSE),
            0
        ) +
        IFERROR(
            VLOOKUP($A96, INDIRECT("MarR!$A$6:$ZZ$1048576"), MATCH(AG$1, MarR!$6:$6, 0), FALSE),
            0
        ) +
        IFERROR(
            VLOOKUP($A96, INDIRECT("AbrR!$A$6:$ZZ$1048576"), MATCH(AG$1, AbrR!$6:$6, 0), FALSE),
            0
        ) +
        IFERROR(
            VLOOKUP($A96, INDIRECT("MayR!$A$6:$ZZ$1048576"), MATCH(AG$1, MayR!$6:$6, 0), FALSE),
            0
        ) +
        IFERROR(
            VLOOKUP($A96, INDIRECT("JunR!$A$6:$ZZ$1048576"), MATCH(AG$1, JunR!$6:$6, 0), FALSE),
            0
        ) +
        IFERROR(
            VLOOKUP($A96, INDIRECT("JulR!$A$6:$ZZ$1048576"), MATCH(AG$1, JulR!$6:$6, 0), FALSE),
            0
        ) +
        IFERROR(
            VLOOKUP($A96, INDIRECT("AgoR!$A$6:$ZZ$1048576"), MATCH(AG$1, AgoR!$6:$6, 0), FALSE),
            0
        ) +
        IFERROR(
            VLOOKUP($A96, INDIRECT("SepR!$A$6:$ZZ$1048576"), MATCH(AG$1, SepR!$6:$6, 0), FALSE),
            0
        ) +
        IFERROR(
            VLOOKUP($A96, INDIRECT("OctR!$A$6:$ZZ$1048576"), MATCH(AG$1, OctR!$6:$6, 0), FALSE),
            0
        ) +
        IFERROR(
            VLOOKUP($A96, INDIRECT("NovR!$A$6:$ZZ$1048576"), MATCH(AG$1, NovR!$6:$6, 0), FALSE),
            0
        ) +
        IFERROR(
            VLOOKUP($A96, INDIRECT("DicR!$A$6:$ZZ$1048576"), MATCH(AG$1, DicR!$6:$6, 0), FALSE),
            0
        )
)</f>
        <v>0</v>
      </c>
      <c r="AH96" s="36">
        <f t="array" ref="AH96">SUM(
    IFERROR(
            VLOOKUP($A96, INDIRECT("EneR!$A$6:$ZZ$1048576"), MATCH(AH$1, EneR!$6:$6, 0), FALSE),
            0
        ) +
        IFERROR(
            VLOOKUP($A96, INDIRECT("FebR!$A$6:$ZZ$1048576"), MATCH(AH$1, FebR!$6:$6, 0), FALSE),
            0
        ) +
        IFERROR(
            VLOOKUP($A96, INDIRECT("MarR!$A$6:$ZZ$1048576"), MATCH(AH$1, MarR!$6:$6, 0), FALSE),
            0
        ) +
        IFERROR(
            VLOOKUP($A96, INDIRECT("AbrR!$A$6:$ZZ$1048576"), MATCH(AH$1, AbrR!$6:$6, 0), FALSE),
            0
        ) +
        IFERROR(
            VLOOKUP($A96, INDIRECT("MayR!$A$6:$ZZ$1048576"), MATCH(AH$1, MayR!$6:$6, 0), FALSE),
            0
        ) +
        IFERROR(
            VLOOKUP($A96, INDIRECT("JunR!$A$6:$ZZ$1048576"), MATCH(AH$1, JunR!$6:$6, 0), FALSE),
            0
        ) +
        IFERROR(
            VLOOKUP($A96, INDIRECT("JulR!$A$6:$ZZ$1048576"), MATCH(AH$1, JulR!$6:$6, 0), FALSE),
            0
        ) +
        IFERROR(
            VLOOKUP($A96, INDIRECT("AgoR!$A$6:$ZZ$1048576"), MATCH(AH$1, AgoR!$6:$6, 0), FALSE),
            0
        ) +
        IFERROR(
            VLOOKUP($A96, INDIRECT("SepR!$A$6:$ZZ$1048576"), MATCH(AH$1, SepR!$6:$6, 0), FALSE),
            0
        ) +
        IFERROR(
            VLOOKUP($A96, INDIRECT("OctR!$A$6:$ZZ$1048576"), MATCH(AH$1, OctR!$6:$6, 0), FALSE),
            0
        ) +
        IFERROR(
            VLOOKUP($A96, INDIRECT("NovR!$A$6:$ZZ$1048576"), MATCH(AH$1, NovR!$6:$6, 0), FALSE),
            0
        ) +
        IFERROR(
            VLOOKUP($A96, INDIRECT("DicR!$A$6:$ZZ$1048576"), MATCH(AH$1, DicR!$6:$6, 0), FALSE),
            0
        )
)</f>
        <v>0</v>
      </c>
      <c r="AI96" s="37">
        <f t="array" ref="AI96">SUM(
    IFERROR(
            VLOOKUP($A96, INDIRECT("EneR!$A$6:$ZZ$1048576"), MATCH(AI$1, EneR!$6:$6, 0), FALSE),
            0
        ) +
        IFERROR(
            VLOOKUP($A96, INDIRECT("FebR!$A$6:$ZZ$1048576"), MATCH(AI$1, FebR!$6:$6, 0), FALSE),
            0
        ) +
        IFERROR(
            VLOOKUP($A96, INDIRECT("MarR!$A$6:$ZZ$1048576"), MATCH(AI$1, MarR!$6:$6, 0), FALSE),
            0
        ) +
        IFERROR(
            VLOOKUP($A96, INDIRECT("AbrR!$A$6:$ZZ$1048576"), MATCH(AI$1, AbrR!$6:$6, 0), FALSE),
            0
        ) +
        IFERROR(
            VLOOKUP($A96, INDIRECT("MayR!$A$6:$ZZ$1048576"), MATCH(AI$1, MayR!$6:$6, 0), FALSE),
            0
        ) +
        IFERROR(
            VLOOKUP($A96, INDIRECT("JunR!$A$6:$ZZ$1048576"), MATCH(AI$1, JunR!$6:$6, 0), FALSE),
            0
        ) +
        IFERROR(
            VLOOKUP($A96, INDIRECT("JulR!$A$6:$ZZ$1048576"), MATCH(AI$1, JulR!$6:$6, 0), FALSE),
            0
        ) +
        IFERROR(
            VLOOKUP($A96, INDIRECT("AgoR!$A$6:$ZZ$1048576"), MATCH(AI$1, AgoR!$6:$6, 0), FALSE),
            0
        ) +
        IFERROR(
            VLOOKUP($A96, INDIRECT("SepR!$A$6:$ZZ$1048576"), MATCH(AI$1, SepR!$6:$6, 0), FALSE),
            0
        ) +
        IFERROR(
            VLOOKUP($A96, INDIRECT("OctR!$A$6:$ZZ$1048576"), MATCH(AI$1, OctR!$6:$6, 0), FALSE),
            0
        ) +
        IFERROR(
            VLOOKUP($A96, INDIRECT("NovR!$A$6:$ZZ$1048576"), MATCH(AI$1, NovR!$6:$6, 0), FALSE),
            0
        ) +
        IFERROR(
            VLOOKUP($A96, INDIRECT("DicR!$A$6:$ZZ$1048576"), MATCH(AI$1, DicR!$6:$6, 0), FALSE),
            0
        )
)</f>
        <v>0</v>
      </c>
      <c r="AJ96" s="36">
        <f t="array" ref="AJ96">SUM(
    IFERROR(
            VLOOKUP($A96, INDIRECT("EneR!$A$6:$ZZ$1048576"), MATCH(AJ$1, EneR!$6:$6, 0), FALSE),
            0
        ) +
        IFERROR(
            VLOOKUP($A96, INDIRECT("FebR!$A$6:$ZZ$1048576"), MATCH(AJ$1, FebR!$6:$6, 0), FALSE),
            0
        ) +
        IFERROR(
            VLOOKUP($A96, INDIRECT("MarR!$A$6:$ZZ$1048576"), MATCH(AJ$1, MarR!$6:$6, 0), FALSE),
            0
        ) +
        IFERROR(
            VLOOKUP($A96, INDIRECT("AbrR!$A$6:$ZZ$1048576"), MATCH(AJ$1, AbrR!$6:$6, 0), FALSE),
            0
        ) +
        IFERROR(
            VLOOKUP($A96, INDIRECT("MayR!$A$6:$ZZ$1048576"), MATCH(AJ$1, MayR!$6:$6, 0), FALSE),
            0
        ) +
        IFERROR(
            VLOOKUP($A96, INDIRECT("JunR!$A$6:$ZZ$1048576"), MATCH(AJ$1, JunR!$6:$6, 0), FALSE),
            0
        ) +
        IFERROR(
            VLOOKUP($A96, INDIRECT("JulR!$A$6:$ZZ$1048576"), MATCH(AJ$1, JulR!$6:$6, 0), FALSE),
            0
        ) +
        IFERROR(
            VLOOKUP($A96, INDIRECT("AgoR!$A$6:$ZZ$1048576"), MATCH(AJ$1, AgoR!$6:$6, 0), FALSE),
            0
        ) +
        IFERROR(
            VLOOKUP($A96, INDIRECT("SepR!$A$6:$ZZ$1048576"), MATCH(AJ$1, SepR!$6:$6, 0), FALSE),
            0
        ) +
        IFERROR(
            VLOOKUP($A96, INDIRECT("OctR!$A$6:$ZZ$1048576"), MATCH(AJ$1, OctR!$6:$6, 0), FALSE),
            0
        ) +
        IFERROR(
            VLOOKUP($A96, INDIRECT("NovR!$A$6:$ZZ$1048576"), MATCH(AJ$1, NovR!$6:$6, 0), FALSE),
            0
        ) +
        IFERROR(
            VLOOKUP($A96, INDIRECT("DicR!$A$6:$ZZ$1048576"), MATCH(AJ$1, DicR!$6:$6, 0), FALSE),
            0
        )
)</f>
        <v>0</v>
      </c>
      <c r="AK96" s="37">
        <f t="array" ref="AK96">SUM(
    IFERROR(
            VLOOKUP($A96, INDIRECT("EneR!$A$6:$ZZ$1048576"), MATCH(AK$1, EneR!$6:$6, 0), FALSE),
            0
        ) +
        IFERROR(
            VLOOKUP($A96, INDIRECT("FebR!$A$6:$ZZ$1048576"), MATCH(AK$1, FebR!$6:$6, 0), FALSE),
            0
        ) +
        IFERROR(
            VLOOKUP($A96, INDIRECT("MarR!$A$6:$ZZ$1048576"), MATCH(AK$1, MarR!$6:$6, 0), FALSE),
            0
        ) +
        IFERROR(
            VLOOKUP($A96, INDIRECT("AbrR!$A$6:$ZZ$1048576"), MATCH(AK$1, AbrR!$6:$6, 0), FALSE),
            0
        ) +
        IFERROR(
            VLOOKUP($A96, INDIRECT("MayR!$A$6:$ZZ$1048576"), MATCH(AK$1, MayR!$6:$6, 0), FALSE),
            0
        ) +
        IFERROR(
            VLOOKUP($A96, INDIRECT("JunR!$A$6:$ZZ$1048576"), MATCH(AK$1, JunR!$6:$6, 0), FALSE),
            0
        ) +
        IFERROR(
            VLOOKUP($A96, INDIRECT("JulR!$A$6:$ZZ$1048576"), MATCH(AK$1, JulR!$6:$6, 0), FALSE),
            0
        ) +
        IFERROR(
            VLOOKUP($A96, INDIRECT("AgoR!$A$6:$ZZ$1048576"), MATCH(AK$1, AgoR!$6:$6, 0), FALSE),
            0
        ) +
        IFERROR(
            VLOOKUP($A96, INDIRECT("SepR!$A$6:$ZZ$1048576"), MATCH(AK$1, SepR!$6:$6, 0), FALSE),
            0
        ) +
        IFERROR(
            VLOOKUP($A96, INDIRECT("OctR!$A$6:$ZZ$1048576"), MATCH(AK$1, OctR!$6:$6, 0), FALSE),
            0
        ) +
        IFERROR(
            VLOOKUP($A96, INDIRECT("NovR!$A$6:$ZZ$1048576"), MATCH(AK$1, NovR!$6:$6, 0), FALSE),
            0
        ) +
        IFERROR(
            VLOOKUP($A96, INDIRECT("DicR!$A$6:$ZZ$1048576"), MATCH(AK$1, DicR!$6:$6, 0), FALSE),
            0
        )
)</f>
        <v>0</v>
      </c>
      <c r="AL96" s="36">
        <f t="array" ref="AL96">SUM(
    IFERROR(
            VLOOKUP($A96, INDIRECT("EneR!$A$6:$ZZ$1048576"), MATCH(AL$1, EneR!$6:$6, 0), FALSE),
            0
        ) +
        IFERROR(
            VLOOKUP($A96, INDIRECT("FebR!$A$6:$ZZ$1048576"), MATCH(AL$1, FebR!$6:$6, 0), FALSE),
            0
        ) +
        IFERROR(
            VLOOKUP($A96, INDIRECT("MarR!$A$6:$ZZ$1048576"), MATCH(AL$1, MarR!$6:$6, 0), FALSE),
            0
        ) +
        IFERROR(
            VLOOKUP($A96, INDIRECT("AbrR!$A$6:$ZZ$1048576"), MATCH(AL$1, AbrR!$6:$6, 0), FALSE),
            0
        ) +
        IFERROR(
            VLOOKUP($A96, INDIRECT("MayR!$A$6:$ZZ$1048576"), MATCH(AL$1, MayR!$6:$6, 0), FALSE),
            0
        ) +
        IFERROR(
            VLOOKUP($A96, INDIRECT("JunR!$A$6:$ZZ$1048576"), MATCH(AL$1, JunR!$6:$6, 0), FALSE),
            0
        ) +
        IFERROR(
            VLOOKUP($A96, INDIRECT("JulR!$A$6:$ZZ$1048576"), MATCH(AL$1, JulR!$6:$6, 0), FALSE),
            0
        ) +
        IFERROR(
            VLOOKUP($A96, INDIRECT("AgoR!$A$6:$ZZ$1048576"), MATCH(AL$1, AgoR!$6:$6, 0), FALSE),
            0
        ) +
        IFERROR(
            VLOOKUP($A96, INDIRECT("SepR!$A$6:$ZZ$1048576"), MATCH(AL$1, SepR!$6:$6, 0), FALSE),
            0
        ) +
        IFERROR(
            VLOOKUP($A96, INDIRECT("OctR!$A$6:$ZZ$1048576"), MATCH(AL$1, OctR!$6:$6, 0), FALSE),
            0
        ) +
        IFERROR(
            VLOOKUP($A96, INDIRECT("NovR!$A$6:$ZZ$1048576"), MATCH(AL$1, NovR!$6:$6, 0), FALSE),
            0
        ) +
        IFERROR(
            VLOOKUP($A96, INDIRECT("DicR!$A$6:$ZZ$1048576"), MATCH(AL$1, DicR!$6:$6, 0), FALSE),
            0
        )
)</f>
        <v>0</v>
      </c>
      <c r="AM96" s="37">
        <f t="array" ref="AM96">SUM(
    IFERROR(
            VLOOKUP($A96, INDIRECT("EneR!$A$6:$ZZ$1048576"), MATCH(AM$1, EneR!$6:$6, 0), FALSE),
            0
        ) +
        IFERROR(
            VLOOKUP($A96, INDIRECT("FebR!$A$6:$ZZ$1048576"), MATCH(AM$1, FebR!$6:$6, 0), FALSE),
            0
        ) +
        IFERROR(
            VLOOKUP($A96, INDIRECT("MarR!$A$6:$ZZ$1048576"), MATCH(AM$1, MarR!$6:$6, 0), FALSE),
            0
        ) +
        IFERROR(
            VLOOKUP($A96, INDIRECT("AbrR!$A$6:$ZZ$1048576"), MATCH(AM$1, AbrR!$6:$6, 0), FALSE),
            0
        ) +
        IFERROR(
            VLOOKUP($A96, INDIRECT("MayR!$A$6:$ZZ$1048576"), MATCH(AM$1, MayR!$6:$6, 0), FALSE),
            0
        ) +
        IFERROR(
            VLOOKUP($A96, INDIRECT("JunR!$A$6:$ZZ$1048576"), MATCH(AM$1, JunR!$6:$6, 0), FALSE),
            0
        ) +
        IFERROR(
            VLOOKUP($A96, INDIRECT("JulR!$A$6:$ZZ$1048576"), MATCH(AM$1, JulR!$6:$6, 0), FALSE),
            0
        ) +
        IFERROR(
            VLOOKUP($A96, INDIRECT("AgoR!$A$6:$ZZ$1048576"), MATCH(AM$1, AgoR!$6:$6, 0), FALSE),
            0
        ) +
        IFERROR(
            VLOOKUP($A96, INDIRECT("SepR!$A$6:$ZZ$1048576"), MATCH(AM$1, SepR!$6:$6, 0), FALSE),
            0
        ) +
        IFERROR(
            VLOOKUP($A96, INDIRECT("OctR!$A$6:$ZZ$1048576"), MATCH(AM$1, OctR!$6:$6, 0), FALSE),
            0
        ) +
        IFERROR(
            VLOOKUP($A96, INDIRECT("NovR!$A$6:$ZZ$1048576"), MATCH(AM$1, NovR!$6:$6, 0), FALSE),
            0
        ) +
        IFERROR(
            VLOOKUP($A96, INDIRECT("DicR!$A$6:$ZZ$1048576"), MATCH(AM$1, DicR!$6:$6, 0), FALSE),
            0
        )
)</f>
        <v>0</v>
      </c>
      <c r="AN96" s="32">
        <f t="array" ref="AN96">SUM(
    IFERROR(
            VLOOKUP($A96, INDIRECT("EneR!$A$6:$ZZ$1048576"), MATCH(AN$1, EneR!$6:$6, 0), FALSE),
            0
        ) +
        IFERROR(
            VLOOKUP($A96, INDIRECT("FebR!$A$6:$ZZ$1048576"), MATCH(AN$1, FebR!$6:$6, 0), FALSE),
            0
        ) +
        IFERROR(
            VLOOKUP($A96, INDIRECT("MarR!$A$6:$ZZ$1048576"), MATCH(AN$1, MarR!$6:$6, 0), FALSE),
            0
        ) +
        IFERROR(
            VLOOKUP($A96, INDIRECT("AbrR!$A$6:$ZZ$1048576"), MATCH(AN$1, AbrR!$6:$6, 0), FALSE),
            0
        ) +
        IFERROR(
            VLOOKUP($A96, INDIRECT("MayR!$A$6:$ZZ$1048576"), MATCH(AN$1, MayR!$6:$6, 0), FALSE),
            0
        ) +
        IFERROR(
            VLOOKUP($A96, INDIRECT("JunR!$A$6:$ZZ$1048576"), MATCH(AN$1, JunR!$6:$6, 0), FALSE),
            0
        ) +
        IFERROR(
            VLOOKUP($A96, INDIRECT("JulR!$A$6:$ZZ$1048576"), MATCH(AN$1, JulR!$6:$6, 0), FALSE),
            0
        ) +
        IFERROR(
            VLOOKUP($A96, INDIRECT("AgoR!$A$6:$ZZ$1048576"), MATCH(AN$1, AgoR!$6:$6, 0), FALSE),
            0
        ) +
        IFERROR(
            VLOOKUP($A96, INDIRECT("SepR!$A$6:$ZZ$1048576"), MATCH(AN$1, SepR!$6:$6, 0), FALSE),
            0
        ) +
        IFERROR(
            VLOOKUP($A96, INDIRECT("OctR!$A$6:$ZZ$1048576"), MATCH(AN$1, OctR!$6:$6, 0), FALSE),
            0
        ) +
        IFERROR(
            VLOOKUP($A96, INDIRECT("NovR!$A$6:$ZZ$1048576"), MATCH(AN$1, NovR!$6:$6, 0), FALSE),
            0
        ) +
        IFERROR(
            VLOOKUP($A96, INDIRECT("DicR!$A$6:$ZZ$1048576"), MATCH(AN$1, DicR!$6:$6, 0), FALSE),
            0
        )
)</f>
        <v>0</v>
      </c>
      <c r="AO96" s="35">
        <f t="array" ref="AO96">SUM(
    IFERROR(
            VLOOKUP($A96, INDIRECT("EneR!$A$6:$ZZ$1048576"), MATCH(AO$1, EneR!$6:$6, 0), FALSE),
            0
        ) +
        IFERROR(
            VLOOKUP($A96, INDIRECT("FebR!$A$6:$ZZ$1048576"), MATCH(AO$1, FebR!$6:$6, 0), FALSE),
            0
        ) +
        IFERROR(
            VLOOKUP($A96, INDIRECT("MarR!$A$6:$ZZ$1048576"), MATCH(AO$1, MarR!$6:$6, 0), FALSE),
            0
        ) +
        IFERROR(
            VLOOKUP($A96, INDIRECT("AbrR!$A$6:$ZZ$1048576"), MATCH(AO$1, AbrR!$6:$6, 0), FALSE),
            0
        ) +
        IFERROR(
            VLOOKUP($A96, INDIRECT("MayR!$A$6:$ZZ$1048576"), MATCH(AO$1, MayR!$6:$6, 0), FALSE),
            0
        ) +
        IFERROR(
            VLOOKUP($A96, INDIRECT("JunR!$A$6:$ZZ$1048576"), MATCH(AO$1, JunR!$6:$6, 0), FALSE),
            0
        ) +
        IFERROR(
            VLOOKUP($A96, INDIRECT("JulR!$A$6:$ZZ$1048576"), MATCH(AO$1, JulR!$6:$6, 0), FALSE),
            0
        ) +
        IFERROR(
            VLOOKUP($A96, INDIRECT("AgoR!$A$6:$ZZ$1048576"), MATCH(AO$1, AgoR!$6:$6, 0), FALSE),
            0
        ) +
        IFERROR(
            VLOOKUP($A96, INDIRECT("SepR!$A$6:$ZZ$1048576"), MATCH(AO$1, SepR!$6:$6, 0), FALSE),
            0
        ) +
        IFERROR(
            VLOOKUP($A96, INDIRECT("OctR!$A$6:$ZZ$1048576"), MATCH(AO$1, OctR!$6:$6, 0), FALSE),
            0
        ) +
        IFERROR(
            VLOOKUP($A96, INDIRECT("NovR!$A$6:$ZZ$1048576"), MATCH(AO$1, NovR!$6:$6, 0), FALSE),
            0
        ) +
        IFERROR(
            VLOOKUP($A96, INDIRECT("DicR!$A$6:$ZZ$1048576"), MATCH(AO$1, DicR!$6:$6, 0), FALSE),
            0
        )
)</f>
        <v>0</v>
      </c>
      <c r="AP96" s="36">
        <f t="array" ref="AP96">SUM(
    IFERROR(
            VLOOKUP($A96, INDIRECT("EneR!$A$6:$ZZ$1048576"), MATCH(AP$1, EneR!$6:$6, 0), FALSE),
            0
        ) +
        IFERROR(
            VLOOKUP($A96, INDIRECT("FebR!$A$6:$ZZ$1048576"), MATCH(AP$1, FebR!$6:$6, 0), FALSE),
            0
        ) +
        IFERROR(
            VLOOKUP($A96, INDIRECT("MarR!$A$6:$ZZ$1048576"), MATCH(AP$1, MarR!$6:$6, 0), FALSE),
            0
        ) +
        IFERROR(
            VLOOKUP($A96, INDIRECT("AbrR!$A$6:$ZZ$1048576"), MATCH(AP$1, AbrR!$6:$6, 0), FALSE),
            0
        ) +
        IFERROR(
            VLOOKUP($A96, INDIRECT("MayR!$A$6:$ZZ$1048576"), MATCH(AP$1, MayR!$6:$6, 0), FALSE),
            0
        ) +
        IFERROR(
            VLOOKUP($A96, INDIRECT("JunR!$A$6:$ZZ$1048576"), MATCH(AP$1, JunR!$6:$6, 0), FALSE),
            0
        ) +
        IFERROR(
            VLOOKUP($A96, INDIRECT("JulR!$A$6:$ZZ$1048576"), MATCH(AP$1, JulR!$6:$6, 0), FALSE),
            0
        ) +
        IFERROR(
            VLOOKUP($A96, INDIRECT("AgoR!$A$6:$ZZ$1048576"), MATCH(AP$1, AgoR!$6:$6, 0), FALSE),
            0
        ) +
        IFERROR(
            VLOOKUP($A96, INDIRECT("SepR!$A$6:$ZZ$1048576"), MATCH(AP$1, SepR!$6:$6, 0), FALSE),
            0
        ) +
        IFERROR(
            VLOOKUP($A96, INDIRECT("OctR!$A$6:$ZZ$1048576"), MATCH(AP$1, OctR!$6:$6, 0), FALSE),
            0
        ) +
        IFERROR(
            VLOOKUP($A96, INDIRECT("NovR!$A$6:$ZZ$1048576"), MATCH(AP$1, NovR!$6:$6, 0), FALSE),
            0
        ) +
        IFERROR(
            VLOOKUP($A96, INDIRECT("DicR!$A$6:$ZZ$1048576"), MATCH(AP$1, DicR!$6:$6, 0), FALSE),
            0
        )
)</f>
        <v>0</v>
      </c>
      <c r="AQ96" s="35">
        <f t="array" ref="AQ96">SUM(
    IFERROR(
            VLOOKUP($A96, INDIRECT("EneR!$A$6:$ZZ$1048576"), MATCH(AQ$1, EneR!$6:$6, 0), FALSE),
            0
        ) +
        IFERROR(
            VLOOKUP($A96, INDIRECT("FebR!$A$6:$ZZ$1048576"), MATCH(AQ$1, FebR!$6:$6, 0), FALSE),
            0
        ) +
        IFERROR(
            VLOOKUP($A96, INDIRECT("MarR!$A$6:$ZZ$1048576"), MATCH(AQ$1, MarR!$6:$6, 0), FALSE),
            0
        ) +
        IFERROR(
            VLOOKUP($A96, INDIRECT("AbrR!$A$6:$ZZ$1048576"), MATCH(AQ$1, AbrR!$6:$6, 0), FALSE),
            0
        ) +
        IFERROR(
            VLOOKUP($A96, INDIRECT("MayR!$A$6:$ZZ$1048576"), MATCH(AQ$1, MayR!$6:$6, 0), FALSE),
            0
        ) +
        IFERROR(
            VLOOKUP($A96, INDIRECT("JunR!$A$6:$ZZ$1048576"), MATCH(AQ$1, JunR!$6:$6, 0), FALSE),
            0
        ) +
        IFERROR(
            VLOOKUP($A96, INDIRECT("JulR!$A$6:$ZZ$1048576"), MATCH(AQ$1, JulR!$6:$6, 0), FALSE),
            0
        ) +
        IFERROR(
            VLOOKUP($A96, INDIRECT("AgoR!$A$6:$ZZ$1048576"), MATCH(AQ$1, AgoR!$6:$6, 0), FALSE),
            0
        ) +
        IFERROR(
            VLOOKUP($A96, INDIRECT("SepR!$A$6:$ZZ$1048576"), MATCH(AQ$1, SepR!$6:$6, 0), FALSE),
            0
        ) +
        IFERROR(
            VLOOKUP($A96, INDIRECT("OctR!$A$6:$ZZ$1048576"), MATCH(AQ$1, OctR!$6:$6, 0), FALSE),
            0
        ) +
        IFERROR(
            VLOOKUP($A96, INDIRECT("NovR!$A$6:$ZZ$1048576"), MATCH(AQ$1, NovR!$6:$6, 0), FALSE),
            0
        ) +
        IFERROR(
            VLOOKUP($A96, INDIRECT("DicR!$A$6:$ZZ$1048576"), MATCH(AQ$1, DicR!$6:$6, 0), FALSE),
            0
        )
)</f>
        <v>0</v>
      </c>
      <c r="AR96" s="36">
        <f t="array" ref="AR96">SUM(
    IFERROR(
            VLOOKUP($A96, INDIRECT("EneR!$A$6:$ZZ$1048576"), MATCH(AR$1, EneR!$6:$6, 0), FALSE),
            0
        ) +
        IFERROR(
            VLOOKUP($A96, INDIRECT("FebR!$A$6:$ZZ$1048576"), MATCH(AR$1, FebR!$6:$6, 0), FALSE),
            0
        ) +
        IFERROR(
            VLOOKUP($A96, INDIRECT("MarR!$A$6:$ZZ$1048576"), MATCH(AR$1, MarR!$6:$6, 0), FALSE),
            0
        ) +
        IFERROR(
            VLOOKUP($A96, INDIRECT("AbrR!$A$6:$ZZ$1048576"), MATCH(AR$1, AbrR!$6:$6, 0), FALSE),
            0
        ) +
        IFERROR(
            VLOOKUP($A96, INDIRECT("MayR!$A$6:$ZZ$1048576"), MATCH(AR$1, MayR!$6:$6, 0), FALSE),
            0
        ) +
        IFERROR(
            VLOOKUP($A96, INDIRECT("JunR!$A$6:$ZZ$1048576"), MATCH(AR$1, JunR!$6:$6, 0), FALSE),
            0
        ) +
        IFERROR(
            VLOOKUP($A96, INDIRECT("JulR!$A$6:$ZZ$1048576"), MATCH(AR$1, JulR!$6:$6, 0), FALSE),
            0
        ) +
        IFERROR(
            VLOOKUP($A96, INDIRECT("AgoR!$A$6:$ZZ$1048576"), MATCH(AR$1, AgoR!$6:$6, 0), FALSE),
            0
        ) +
        IFERROR(
            VLOOKUP($A96, INDIRECT("SepR!$A$6:$ZZ$1048576"), MATCH(AR$1, SepR!$6:$6, 0), FALSE),
            0
        ) +
        IFERROR(
            VLOOKUP($A96, INDIRECT("OctR!$A$6:$ZZ$1048576"), MATCH(AR$1, OctR!$6:$6, 0), FALSE),
            0
        ) +
        IFERROR(
            VLOOKUP($A96, INDIRECT("NovR!$A$6:$ZZ$1048576"), MATCH(AR$1, NovR!$6:$6, 0), FALSE),
            0
        ) +
        IFERROR(
            VLOOKUP($A96, INDIRECT("DicR!$A$6:$ZZ$1048576"), MATCH(AR$1, DicR!$6:$6, 0), FALSE),
            0
        )
)</f>
        <v>0</v>
      </c>
      <c r="AS96" s="35">
        <f t="array" ref="AS96">SUM(
    IFERROR(
            VLOOKUP($A96, INDIRECT("EneR!$A$6:$ZZ$1048576"), MATCH(AS$1, EneR!$6:$6, 0), FALSE),
            0
        ) +
        IFERROR(
            VLOOKUP($A96, INDIRECT("FebR!$A$6:$ZZ$1048576"), MATCH(AS$1, FebR!$6:$6, 0), FALSE),
            0
        ) +
        IFERROR(
            VLOOKUP($A96, INDIRECT("MarR!$A$6:$ZZ$1048576"), MATCH(AS$1, MarR!$6:$6, 0), FALSE),
            0
        ) +
        IFERROR(
            VLOOKUP($A96, INDIRECT("AbrR!$A$6:$ZZ$1048576"), MATCH(AS$1, AbrR!$6:$6, 0), FALSE),
            0
        ) +
        IFERROR(
            VLOOKUP($A96, INDIRECT("MayR!$A$6:$ZZ$1048576"), MATCH(AS$1, MayR!$6:$6, 0), FALSE),
            0
        ) +
        IFERROR(
            VLOOKUP($A96, INDIRECT("JunR!$A$6:$ZZ$1048576"), MATCH(AS$1, JunR!$6:$6, 0), FALSE),
            0
        ) +
        IFERROR(
            VLOOKUP($A96, INDIRECT("JulR!$A$6:$ZZ$1048576"), MATCH(AS$1, JulR!$6:$6, 0), FALSE),
            0
        ) +
        IFERROR(
            VLOOKUP($A96, INDIRECT("AgoR!$A$6:$ZZ$1048576"), MATCH(AS$1, AgoR!$6:$6, 0), FALSE),
            0
        ) +
        IFERROR(
            VLOOKUP($A96, INDIRECT("SepR!$A$6:$ZZ$1048576"), MATCH(AS$1, SepR!$6:$6, 0), FALSE),
            0
        ) +
        IFERROR(
            VLOOKUP($A96, INDIRECT("OctR!$A$6:$ZZ$1048576"), MATCH(AS$1, OctR!$6:$6, 0), FALSE),
            0
        ) +
        IFERROR(
            VLOOKUP($A96, INDIRECT("NovR!$A$6:$ZZ$1048576"), MATCH(AS$1, NovR!$6:$6, 0), FALSE),
            0
        ) +
        IFERROR(
            VLOOKUP($A96, INDIRECT("DicR!$A$6:$ZZ$1048576"), MATCH(AS$1, DicR!$6:$6, 0), FALSE),
            0
        )
)</f>
        <v>0</v>
      </c>
      <c r="AT96" s="36">
        <f t="array" ref="AT96">SUM(
    IFERROR(
            VLOOKUP($A96, INDIRECT("EneR!$A$6:$ZZ$1048576"), MATCH(AT$1, EneR!$6:$6, 0), FALSE),
            0
        ) +
        IFERROR(
            VLOOKUP($A96, INDIRECT("FebR!$A$6:$ZZ$1048576"), MATCH(AT$1, FebR!$6:$6, 0), FALSE),
            0
        ) +
        IFERROR(
            VLOOKUP($A96, INDIRECT("MarR!$A$6:$ZZ$1048576"), MATCH(AT$1, MarR!$6:$6, 0), FALSE),
            0
        ) +
        IFERROR(
            VLOOKUP($A96, INDIRECT("AbrR!$A$6:$ZZ$1048576"), MATCH(AT$1, AbrR!$6:$6, 0), FALSE),
            0
        ) +
        IFERROR(
            VLOOKUP($A96, INDIRECT("MayR!$A$6:$ZZ$1048576"), MATCH(AT$1, MayR!$6:$6, 0), FALSE),
            0
        ) +
        IFERROR(
            VLOOKUP($A96, INDIRECT("JunR!$A$6:$ZZ$1048576"), MATCH(AT$1, JunR!$6:$6, 0), FALSE),
            0
        ) +
        IFERROR(
            VLOOKUP($A96, INDIRECT("JulR!$A$6:$ZZ$1048576"), MATCH(AT$1, JulR!$6:$6, 0), FALSE),
            0
        ) +
        IFERROR(
            VLOOKUP($A96, INDIRECT("AgoR!$A$6:$ZZ$1048576"), MATCH(AT$1, AgoR!$6:$6, 0), FALSE),
            0
        ) +
        IFERROR(
            VLOOKUP($A96, INDIRECT("SepR!$A$6:$ZZ$1048576"), MATCH(AT$1, SepR!$6:$6, 0), FALSE),
            0
        ) +
        IFERROR(
            VLOOKUP($A96, INDIRECT("OctR!$A$6:$ZZ$1048576"), MATCH(AT$1, OctR!$6:$6, 0), FALSE),
            0
        ) +
        IFERROR(
            VLOOKUP($A96, INDIRECT("NovR!$A$6:$ZZ$1048576"), MATCH(AT$1, NovR!$6:$6, 0), FALSE),
            0
        ) +
        IFERROR(
            VLOOKUP($A96, INDIRECT("DicR!$A$6:$ZZ$1048576"), MATCH(AT$1, DicR!$6:$6, 0), FALSE),
            0
        )
)</f>
        <v>0</v>
      </c>
      <c r="AU96" s="35">
        <f t="array" ref="AU96">SUM(
    IFERROR(
            VLOOKUP($A96, INDIRECT("EneR!$A$6:$ZZ$1048576"), MATCH(AU$1, EneR!$6:$6, 0), FALSE),
            0
        ) +
        IFERROR(
            VLOOKUP($A96, INDIRECT("FebR!$A$6:$ZZ$1048576"), MATCH(AU$1, FebR!$6:$6, 0), FALSE),
            0
        ) +
        IFERROR(
            VLOOKUP($A96, INDIRECT("MarR!$A$6:$ZZ$1048576"), MATCH(AU$1, MarR!$6:$6, 0), FALSE),
            0
        ) +
        IFERROR(
            VLOOKUP($A96, INDIRECT("AbrR!$A$6:$ZZ$1048576"), MATCH(AU$1, AbrR!$6:$6, 0), FALSE),
            0
        ) +
        IFERROR(
            VLOOKUP($A96, INDIRECT("MayR!$A$6:$ZZ$1048576"), MATCH(AU$1, MayR!$6:$6, 0), FALSE),
            0
        ) +
        IFERROR(
            VLOOKUP($A96, INDIRECT("JunR!$A$6:$ZZ$1048576"), MATCH(AU$1, JunR!$6:$6, 0), FALSE),
            0
        ) +
        IFERROR(
            VLOOKUP($A96, INDIRECT("JulR!$A$6:$ZZ$1048576"), MATCH(AU$1, JulR!$6:$6, 0), FALSE),
            0
        ) +
        IFERROR(
            VLOOKUP($A96, INDIRECT("AgoR!$A$6:$ZZ$1048576"), MATCH(AU$1, AgoR!$6:$6, 0), FALSE),
            0
        ) +
        IFERROR(
            VLOOKUP($A96, INDIRECT("SepR!$A$6:$ZZ$1048576"), MATCH(AU$1, SepR!$6:$6, 0), FALSE),
            0
        ) +
        IFERROR(
            VLOOKUP($A96, INDIRECT("OctR!$A$6:$ZZ$1048576"), MATCH(AU$1, OctR!$6:$6, 0), FALSE),
            0
        ) +
        IFERROR(
            VLOOKUP($A96, INDIRECT("NovR!$A$6:$ZZ$1048576"), MATCH(AU$1, NovR!$6:$6, 0), FALSE),
            0
        ) +
        IFERROR(
            VLOOKUP($A96, INDIRECT("DicR!$A$6:$ZZ$1048576"), MATCH(AU$1, DicR!$6:$6, 0), FALSE),
            0
        )
)</f>
        <v>0</v>
      </c>
      <c r="AV96" s="36">
        <f t="array" ref="AV96">SUM(
    IFERROR(
            VLOOKUP($A96, INDIRECT("EneR!$A$6:$ZZ$1048576"), MATCH(AV$1, EneR!$6:$6, 0), FALSE),
            0
        ) +
        IFERROR(
            VLOOKUP($A96, INDIRECT("FebR!$A$6:$ZZ$1048576"), MATCH(AV$1, FebR!$6:$6, 0), FALSE),
            0
        ) +
        IFERROR(
            VLOOKUP($A96, INDIRECT("MarR!$A$6:$ZZ$1048576"), MATCH(AV$1, MarR!$6:$6, 0), FALSE),
            0
        ) +
        IFERROR(
            VLOOKUP($A96, INDIRECT("AbrR!$A$6:$ZZ$1048576"), MATCH(AV$1, AbrR!$6:$6, 0), FALSE),
            0
        ) +
        IFERROR(
            VLOOKUP($A96, INDIRECT("MayR!$A$6:$ZZ$1048576"), MATCH(AV$1, MayR!$6:$6, 0), FALSE),
            0
        ) +
        IFERROR(
            VLOOKUP($A96, INDIRECT("JunR!$A$6:$ZZ$1048576"), MATCH(AV$1, JunR!$6:$6, 0), FALSE),
            0
        ) +
        IFERROR(
            VLOOKUP($A96, INDIRECT("JulR!$A$6:$ZZ$1048576"), MATCH(AV$1, JulR!$6:$6, 0), FALSE),
            0
        ) +
        IFERROR(
            VLOOKUP($A96, INDIRECT("AgoR!$A$6:$ZZ$1048576"), MATCH(AV$1, AgoR!$6:$6, 0), FALSE),
            0
        ) +
        IFERROR(
            VLOOKUP($A96, INDIRECT("SepR!$A$6:$ZZ$1048576"), MATCH(AV$1, SepR!$6:$6, 0), FALSE),
            0
        ) +
        IFERROR(
            VLOOKUP($A96, INDIRECT("OctR!$A$6:$ZZ$1048576"), MATCH(AV$1, OctR!$6:$6, 0), FALSE),
            0
        ) +
        IFERROR(
            VLOOKUP($A96, INDIRECT("NovR!$A$6:$ZZ$1048576"), MATCH(AV$1, NovR!$6:$6, 0), FALSE),
            0
        ) +
        IFERROR(
            VLOOKUP($A96, INDIRECT("DicR!$A$6:$ZZ$1048576"), MATCH(AV$1, DicR!$6:$6, 0), FALSE),
            0
        )
)</f>
        <v>0</v>
      </c>
      <c r="AW96" s="35">
        <f t="array" ref="AW96">SUM(
    IFERROR(
            VLOOKUP($A96, INDIRECT("EneR!$A$6:$ZZ$1048576"), MATCH(AW$1, EneR!$6:$6, 0), FALSE),
            0
        ) +
        IFERROR(
            VLOOKUP($A96, INDIRECT("FebR!$A$6:$ZZ$1048576"), MATCH(AW$1, FebR!$6:$6, 0), FALSE),
            0
        ) +
        IFERROR(
            VLOOKUP($A96, INDIRECT("MarR!$A$6:$ZZ$1048576"), MATCH(AW$1, MarR!$6:$6, 0), FALSE),
            0
        ) +
        IFERROR(
            VLOOKUP($A96, INDIRECT("AbrR!$A$6:$ZZ$1048576"), MATCH(AW$1, AbrR!$6:$6, 0), FALSE),
            0
        ) +
        IFERROR(
            VLOOKUP($A96, INDIRECT("MayR!$A$6:$ZZ$1048576"), MATCH(AW$1, MayR!$6:$6, 0), FALSE),
            0
        ) +
        IFERROR(
            VLOOKUP($A96, INDIRECT("JunR!$A$6:$ZZ$1048576"), MATCH(AW$1, JunR!$6:$6, 0), FALSE),
            0
        ) +
        IFERROR(
            VLOOKUP($A96, INDIRECT("JulR!$A$6:$ZZ$1048576"), MATCH(AW$1, JulR!$6:$6, 0), FALSE),
            0
        ) +
        IFERROR(
            VLOOKUP($A96, INDIRECT("AgoR!$A$6:$ZZ$1048576"), MATCH(AW$1, AgoR!$6:$6, 0), FALSE),
            0
        ) +
        IFERROR(
            VLOOKUP($A96, INDIRECT("SepR!$A$6:$ZZ$1048576"), MATCH(AW$1, SepR!$6:$6, 0), FALSE),
            0
        ) +
        IFERROR(
            VLOOKUP($A96, INDIRECT("OctR!$A$6:$ZZ$1048576"), MATCH(AW$1, OctR!$6:$6, 0), FALSE),
            0
        ) +
        IFERROR(
            VLOOKUP($A96, INDIRECT("NovR!$A$6:$ZZ$1048576"), MATCH(AW$1, NovR!$6:$6, 0), FALSE),
            0
        ) +
        IFERROR(
            VLOOKUP($A96, INDIRECT("DicR!$A$6:$ZZ$1048576"), MATCH(AW$1, DicR!$6:$6, 0), FALSE),
            0
        )
)</f>
        <v>0</v>
      </c>
      <c r="AX96" s="36">
        <f t="array" ref="AX96">SUM(
    IFERROR(
            VLOOKUP($A96, INDIRECT("EneR!$A$6:$ZZ$1048576"), MATCH(AX$1, EneR!$6:$6, 0), FALSE),
            0
        ) +
        IFERROR(
            VLOOKUP($A96, INDIRECT("FebR!$A$6:$ZZ$1048576"), MATCH(AX$1, FebR!$6:$6, 0), FALSE),
            0
        ) +
        IFERROR(
            VLOOKUP($A96, INDIRECT("MarR!$A$6:$ZZ$1048576"), MATCH(AX$1, MarR!$6:$6, 0), FALSE),
            0
        ) +
        IFERROR(
            VLOOKUP($A96, INDIRECT("AbrR!$A$6:$ZZ$1048576"), MATCH(AX$1, AbrR!$6:$6, 0), FALSE),
            0
        ) +
        IFERROR(
            VLOOKUP($A96, INDIRECT("MayR!$A$6:$ZZ$1048576"), MATCH(AX$1, MayR!$6:$6, 0), FALSE),
            0
        ) +
        IFERROR(
            VLOOKUP($A96, INDIRECT("JunR!$A$6:$ZZ$1048576"), MATCH(AX$1, JunR!$6:$6, 0), FALSE),
            0
        ) +
        IFERROR(
            VLOOKUP($A96, INDIRECT("JulR!$A$6:$ZZ$1048576"), MATCH(AX$1, JulR!$6:$6, 0), FALSE),
            0
        ) +
        IFERROR(
            VLOOKUP($A96, INDIRECT("AgoR!$A$6:$ZZ$1048576"), MATCH(AX$1, AgoR!$6:$6, 0), FALSE),
            0
        ) +
        IFERROR(
            VLOOKUP($A96, INDIRECT("SepR!$A$6:$ZZ$1048576"), MATCH(AX$1, SepR!$6:$6, 0), FALSE),
            0
        ) +
        IFERROR(
            VLOOKUP($A96, INDIRECT("OctR!$A$6:$ZZ$1048576"), MATCH(AX$1, OctR!$6:$6, 0), FALSE),
            0
        ) +
        IFERROR(
            VLOOKUP($A96, INDIRECT("NovR!$A$6:$ZZ$1048576"), MATCH(AX$1, NovR!$6:$6, 0), FALSE),
            0
        ) +
        IFERROR(
            VLOOKUP($A96, INDIRECT("DicR!$A$6:$ZZ$1048576"), MATCH(AX$1, DicR!$6:$6, 0), FALSE),
            0
        )
)</f>
        <v>0</v>
      </c>
      <c r="AY96" s="35">
        <f t="array" ref="AY96">SUM(
    IFERROR(
            VLOOKUP($A96, INDIRECT("EneR!$A$6:$ZZ$1048576"), MATCH(AY$1, EneR!$6:$6, 0), FALSE),
            0
        ) +
        IFERROR(
            VLOOKUP($A96, INDIRECT("FebR!$A$6:$ZZ$1048576"), MATCH(AY$1, FebR!$6:$6, 0), FALSE),
            0
        ) +
        IFERROR(
            VLOOKUP($A96, INDIRECT("MarR!$A$6:$ZZ$1048576"), MATCH(AY$1, MarR!$6:$6, 0), FALSE),
            0
        ) +
        IFERROR(
            VLOOKUP($A96, INDIRECT("AbrR!$A$6:$ZZ$1048576"), MATCH(AY$1, AbrR!$6:$6, 0), FALSE),
            0
        ) +
        IFERROR(
            VLOOKUP($A96, INDIRECT("MayR!$A$6:$ZZ$1048576"), MATCH(AY$1, MayR!$6:$6, 0), FALSE),
            0
        ) +
        IFERROR(
            VLOOKUP($A96, INDIRECT("JunR!$A$6:$ZZ$1048576"), MATCH(AY$1, JunR!$6:$6, 0), FALSE),
            0
        ) +
        IFERROR(
            VLOOKUP($A96, INDIRECT("JulR!$A$6:$ZZ$1048576"), MATCH(AY$1, JulR!$6:$6, 0), FALSE),
            0
        ) +
        IFERROR(
            VLOOKUP($A96, INDIRECT("AgoR!$A$6:$ZZ$1048576"), MATCH(AY$1, AgoR!$6:$6, 0), FALSE),
            0
        ) +
        IFERROR(
            VLOOKUP($A96, INDIRECT("SepR!$A$6:$ZZ$1048576"), MATCH(AY$1, SepR!$6:$6, 0), FALSE),
            0
        ) +
        IFERROR(
            VLOOKUP($A96, INDIRECT("OctR!$A$6:$ZZ$1048576"), MATCH(AY$1, OctR!$6:$6, 0), FALSE),
            0
        ) +
        IFERROR(
            VLOOKUP($A96, INDIRECT("NovR!$A$6:$ZZ$1048576"), MATCH(AY$1, NovR!$6:$6, 0), FALSE),
            0
        ) +
        IFERROR(
            VLOOKUP($A96, INDIRECT("DicR!$A$6:$ZZ$1048576"), MATCH(AY$1, DicR!$6:$6, 0), FALSE),
            0
        )
)</f>
        <v>0</v>
      </c>
      <c r="AZ96" s="35"/>
    </row>
    <row r="97" ht="15.75" hidden="1" customHeight="1">
      <c r="A97" s="12" t="str">
        <f>Menus!B58</f>
        <v/>
      </c>
      <c r="B97" s="32">
        <f t="shared" si="11"/>
        <v>0</v>
      </c>
      <c r="C97" s="33" t="str">
        <f t="shared" si="10"/>
        <v/>
      </c>
      <c r="D97" s="34">
        <f t="array" ref="D97">SUM(
    IFERROR(
            VLOOKUP($A97, INDIRECT("EneR!$A$6:$ZZ$1048576"), MATCH(D$1, EneR!$6:$6, 0), FALSE),
            0
        ) +
        IFERROR(
            VLOOKUP($A97, INDIRECT("FebR!$A$6:$ZZ$1048576"), MATCH(D$1, FebR!$6:$6, 0), FALSE),
            0
        ) +
        IFERROR(
            VLOOKUP($A97, INDIRECT("MarR!$A$6:$ZZ$1048576"), MATCH(D$1, MarR!$6:$6, 0), FALSE),
            0
        ) +
        IFERROR(
            VLOOKUP($A97, INDIRECT("AbrR!$A$6:$ZZ$1048576"), MATCH(D$1, AbrR!$6:$6, 0), FALSE),
            0
        ) +
        IFERROR(
            VLOOKUP($A97, INDIRECT("MayR!$A$6:$ZZ$1048576"), MATCH(D$1, MayR!$6:$6, 0), FALSE),
            0
        ) +
        IFERROR(
            VLOOKUP($A97, INDIRECT("JunR!$A$6:$ZZ$1048576"), MATCH(D$1, JunR!$6:$6, 0), FALSE),
            0
        ) +
        IFERROR(
            VLOOKUP($A97, INDIRECT("JulR!$A$6:$ZZ$1048576"), MATCH(D$1, JulR!$6:$6, 0), FALSE),
            0
        ) +
        IFERROR(
            VLOOKUP($A97, INDIRECT("AgoR!$A$6:$ZZ$1048576"), MATCH(D$1, AgoR!$6:$6, 0), FALSE),
            0
        ) +
        IFERROR(
            VLOOKUP($A97, INDIRECT("SepR!$A$6:$ZZ$1048576"), MATCH(D$1, SepR!$6:$6, 0), FALSE),
            0
        ) +
        IFERROR(
            VLOOKUP($A97, INDIRECT("OctR!$A$6:$ZZ$1048576"), MATCH(D$1, OctR!$6:$6, 0), FALSE),
            0
        ) +
        IFERROR(
            VLOOKUP($A97, INDIRECT("NovR!$A$6:$ZZ$1048576"), MATCH(D$1, NovR!$6:$6, 0), FALSE),
            0
        ) +
        IFERROR(
            VLOOKUP($A97, INDIRECT("DicR!$A$6:$ZZ$1048576"), MATCH(D$1, DicR!$6:$6, 0), FALSE),
            0
        )
)</f>
        <v>0</v>
      </c>
      <c r="E97" s="35">
        <f t="array" ref="E97">SUM(
    IFERROR(
            VLOOKUP($A97, INDIRECT("EneR!$A$6:$ZZ$1048576"), MATCH(E$1, EneR!$6:$6, 0), FALSE),
            0
        ) +
        IFERROR(
            VLOOKUP($A97, INDIRECT("FebR!$A$6:$ZZ$1048576"), MATCH(E$1, FebR!$6:$6, 0), FALSE),
            0
        ) +
        IFERROR(
            VLOOKUP($A97, INDIRECT("MarR!$A$6:$ZZ$1048576"), MATCH(E$1, MarR!$6:$6, 0), FALSE),
            0
        ) +
        IFERROR(
            VLOOKUP($A97, INDIRECT("AbrR!$A$6:$ZZ$1048576"), MATCH(E$1, AbrR!$6:$6, 0), FALSE),
            0
        ) +
        IFERROR(
            VLOOKUP($A97, INDIRECT("MayR!$A$6:$ZZ$1048576"), MATCH(E$1, MayR!$6:$6, 0), FALSE),
            0
        ) +
        IFERROR(
            VLOOKUP($A97, INDIRECT("JunR!$A$6:$ZZ$1048576"), MATCH(E$1, JunR!$6:$6, 0), FALSE),
            0
        ) +
        IFERROR(
            VLOOKUP($A97, INDIRECT("JulR!$A$6:$ZZ$1048576"), MATCH(E$1, JulR!$6:$6, 0), FALSE),
            0
        ) +
        IFERROR(
            VLOOKUP($A97, INDIRECT("AgoR!$A$6:$ZZ$1048576"), MATCH(E$1, AgoR!$6:$6, 0), FALSE),
            0
        ) +
        IFERROR(
            VLOOKUP($A97, INDIRECT("SepR!$A$6:$ZZ$1048576"), MATCH(E$1, SepR!$6:$6, 0), FALSE),
            0
        ) +
        IFERROR(
            VLOOKUP($A97, INDIRECT("OctR!$A$6:$ZZ$1048576"), MATCH(E$1, OctR!$6:$6, 0), FALSE),
            0
        ) +
        IFERROR(
            VLOOKUP($A97, INDIRECT("NovR!$A$6:$ZZ$1048576"), MATCH(E$1, NovR!$6:$6, 0), FALSE),
            0
        ) +
        IFERROR(
            VLOOKUP($A97, INDIRECT("DicR!$A$6:$ZZ$1048576"), MATCH(E$1, DicR!$6:$6, 0), FALSE),
            0
        )
)</f>
        <v>0</v>
      </c>
      <c r="F97" s="32">
        <f t="array" ref="F97">SUM(
    IFERROR(
            VLOOKUP($A97, INDIRECT("EneR!$A$6:$ZZ$1048576"), MATCH(F$1, EneR!$6:$6, 0), FALSE),
            0
        ) +
        IFERROR(
            VLOOKUP($A97, INDIRECT("FebR!$A$6:$ZZ$1048576"), MATCH(F$1, FebR!$6:$6, 0), FALSE),
            0
        ) +
        IFERROR(
            VLOOKUP($A97, INDIRECT("MarR!$A$6:$ZZ$1048576"), MATCH(F$1, MarR!$6:$6, 0), FALSE),
            0
        ) +
        IFERROR(
            VLOOKUP($A97, INDIRECT("AbrR!$A$6:$ZZ$1048576"), MATCH(F$1, AbrR!$6:$6, 0), FALSE),
            0
        ) +
        IFERROR(
            VLOOKUP($A97, INDIRECT("MayR!$A$6:$ZZ$1048576"), MATCH(F$1, MayR!$6:$6, 0), FALSE),
            0
        ) +
        IFERROR(
            VLOOKUP($A97, INDIRECT("JunR!$A$6:$ZZ$1048576"), MATCH(F$1, JunR!$6:$6, 0), FALSE),
            0
        ) +
        IFERROR(
            VLOOKUP($A97, INDIRECT("JulR!$A$6:$ZZ$1048576"), MATCH(F$1, JulR!$6:$6, 0), FALSE),
            0
        ) +
        IFERROR(
            VLOOKUP($A97, INDIRECT("AgoR!$A$6:$ZZ$1048576"), MATCH(F$1, AgoR!$6:$6, 0), FALSE),
            0
        ) +
        IFERROR(
            VLOOKUP($A97, INDIRECT("SepR!$A$6:$ZZ$1048576"), MATCH(F$1, SepR!$6:$6, 0), FALSE),
            0
        ) +
        IFERROR(
            VLOOKUP($A97, INDIRECT("OctR!$A$6:$ZZ$1048576"), MATCH(F$1, OctR!$6:$6, 0), FALSE),
            0
        ) +
        IFERROR(
            VLOOKUP($A97, INDIRECT("NovR!$A$6:$ZZ$1048576"), MATCH(F$1, NovR!$6:$6, 0), FALSE),
            0
        ) +
        IFERROR(
            VLOOKUP($A97, INDIRECT("DicR!$A$6:$ZZ$1048576"), MATCH(F$1, DicR!$6:$6, 0), FALSE),
            0
        )
)</f>
        <v>0</v>
      </c>
      <c r="G97" s="35">
        <f t="array" ref="G97">SUM(
    IFERROR(
            VLOOKUP($A97, INDIRECT("EneR!$A$6:$ZZ$1048576"), MATCH(G$1, EneR!$6:$6, 0), FALSE),
            0
        ) +
        IFERROR(
            VLOOKUP($A97, INDIRECT("FebR!$A$6:$ZZ$1048576"), MATCH(G$1, FebR!$6:$6, 0), FALSE),
            0
        ) +
        IFERROR(
            VLOOKUP($A97, INDIRECT("MarR!$A$6:$ZZ$1048576"), MATCH(G$1, MarR!$6:$6, 0), FALSE),
            0
        ) +
        IFERROR(
            VLOOKUP($A97, INDIRECT("AbrR!$A$6:$ZZ$1048576"), MATCH(G$1, AbrR!$6:$6, 0), FALSE),
            0
        ) +
        IFERROR(
            VLOOKUP($A97, INDIRECT("MayR!$A$6:$ZZ$1048576"), MATCH(G$1, MayR!$6:$6, 0), FALSE),
            0
        ) +
        IFERROR(
            VLOOKUP($A97, INDIRECT("JunR!$A$6:$ZZ$1048576"), MATCH(G$1, JunR!$6:$6, 0), FALSE),
            0
        ) +
        IFERROR(
            VLOOKUP($A97, INDIRECT("JulR!$A$6:$ZZ$1048576"), MATCH(G$1, JulR!$6:$6, 0), FALSE),
            0
        ) +
        IFERROR(
            VLOOKUP($A97, INDIRECT("AgoR!$A$6:$ZZ$1048576"), MATCH(G$1, AgoR!$6:$6, 0), FALSE),
            0
        ) +
        IFERROR(
            VLOOKUP($A97, INDIRECT("SepR!$A$6:$ZZ$1048576"), MATCH(G$1, SepR!$6:$6, 0), FALSE),
            0
        ) +
        IFERROR(
            VLOOKUP($A97, INDIRECT("OctR!$A$6:$ZZ$1048576"), MATCH(G$1, OctR!$6:$6, 0), FALSE),
            0
        ) +
        IFERROR(
            VLOOKUP($A97, INDIRECT("NovR!$A$6:$ZZ$1048576"), MATCH(G$1, NovR!$6:$6, 0), FALSE),
            0
        ) +
        IFERROR(
            VLOOKUP($A97, INDIRECT("DicR!$A$6:$ZZ$1048576"), MATCH(G$1, DicR!$6:$6, 0), FALSE),
            0
        )
)</f>
        <v>0</v>
      </c>
      <c r="H97" s="32">
        <f t="array" ref="H97">SUM(
    IFERROR(
            VLOOKUP($A97, INDIRECT("EneR!$A$6:$ZZ$1048576"), MATCH(H$1, EneR!$6:$6, 0), FALSE),
            0
        ) +
        IFERROR(
            VLOOKUP($A97, INDIRECT("FebR!$A$6:$ZZ$1048576"), MATCH(H$1, FebR!$6:$6, 0), FALSE),
            0
        ) +
        IFERROR(
            VLOOKUP($A97, INDIRECT("MarR!$A$6:$ZZ$1048576"), MATCH(H$1, MarR!$6:$6, 0), FALSE),
            0
        ) +
        IFERROR(
            VLOOKUP($A97, INDIRECT("AbrR!$A$6:$ZZ$1048576"), MATCH(H$1, AbrR!$6:$6, 0), FALSE),
            0
        ) +
        IFERROR(
            VLOOKUP($A97, INDIRECT("MayR!$A$6:$ZZ$1048576"), MATCH(H$1, MayR!$6:$6, 0), FALSE),
            0
        ) +
        IFERROR(
            VLOOKUP($A97, INDIRECT("JunR!$A$6:$ZZ$1048576"), MATCH(H$1, JunR!$6:$6, 0), FALSE),
            0
        ) +
        IFERROR(
            VLOOKUP($A97, INDIRECT("JulR!$A$6:$ZZ$1048576"), MATCH(H$1, JulR!$6:$6, 0), FALSE),
            0
        ) +
        IFERROR(
            VLOOKUP($A97, INDIRECT("AgoR!$A$6:$ZZ$1048576"), MATCH(H$1, AgoR!$6:$6, 0), FALSE),
            0
        ) +
        IFERROR(
            VLOOKUP($A97, INDIRECT("SepR!$A$6:$ZZ$1048576"), MATCH(H$1, SepR!$6:$6, 0), FALSE),
            0
        ) +
        IFERROR(
            VLOOKUP($A97, INDIRECT("OctR!$A$6:$ZZ$1048576"), MATCH(H$1, OctR!$6:$6, 0), FALSE),
            0
        ) +
        IFERROR(
            VLOOKUP($A97, INDIRECT("NovR!$A$6:$ZZ$1048576"), MATCH(H$1, NovR!$6:$6, 0), FALSE),
            0
        ) +
        IFERROR(
            VLOOKUP($A97, INDIRECT("DicR!$A$6:$ZZ$1048576"), MATCH(H$1, DicR!$6:$6, 0), FALSE),
            0
        )
)</f>
        <v>0</v>
      </c>
      <c r="I97" s="35">
        <f t="array" ref="I97">SUM(
    IFERROR(
            VLOOKUP($A97, INDIRECT("EneR!$A$6:$ZZ$1048576"), MATCH(I$1, EneR!$6:$6, 0), FALSE),
            0
        ) +
        IFERROR(
            VLOOKUP($A97, INDIRECT("FebR!$A$6:$ZZ$1048576"), MATCH(I$1, FebR!$6:$6, 0), FALSE),
            0
        ) +
        IFERROR(
            VLOOKUP($A97, INDIRECT("MarR!$A$6:$ZZ$1048576"), MATCH(I$1, MarR!$6:$6, 0), FALSE),
            0
        ) +
        IFERROR(
            VLOOKUP($A97, INDIRECT("AbrR!$A$6:$ZZ$1048576"), MATCH(I$1, AbrR!$6:$6, 0), FALSE),
            0
        ) +
        IFERROR(
            VLOOKUP($A97, INDIRECT("MayR!$A$6:$ZZ$1048576"), MATCH(I$1, MayR!$6:$6, 0), FALSE),
            0
        ) +
        IFERROR(
            VLOOKUP($A97, INDIRECT("JunR!$A$6:$ZZ$1048576"), MATCH(I$1, JunR!$6:$6, 0), FALSE),
            0
        ) +
        IFERROR(
            VLOOKUP($A97, INDIRECT("JulR!$A$6:$ZZ$1048576"), MATCH(I$1, JulR!$6:$6, 0), FALSE),
            0
        ) +
        IFERROR(
            VLOOKUP($A97, INDIRECT("AgoR!$A$6:$ZZ$1048576"), MATCH(I$1, AgoR!$6:$6, 0), FALSE),
            0
        ) +
        IFERROR(
            VLOOKUP($A97, INDIRECT("SepR!$A$6:$ZZ$1048576"), MATCH(I$1, SepR!$6:$6, 0), FALSE),
            0
        ) +
        IFERROR(
            VLOOKUP($A97, INDIRECT("OctR!$A$6:$ZZ$1048576"), MATCH(I$1, OctR!$6:$6, 0), FALSE),
            0
        ) +
        IFERROR(
            VLOOKUP($A97, INDIRECT("NovR!$A$6:$ZZ$1048576"), MATCH(I$1, NovR!$6:$6, 0), FALSE),
            0
        ) +
        IFERROR(
            VLOOKUP($A97, INDIRECT("DicR!$A$6:$ZZ$1048576"), MATCH(I$1, DicR!$6:$6, 0), FALSE),
            0
        )
)</f>
        <v>0</v>
      </c>
      <c r="J97" s="32">
        <f t="array" ref="J97">SUM(
    IFERROR(
            VLOOKUP($A97, INDIRECT("EneR!$A$6:$ZZ$1048576"), MATCH(J$1, EneR!$6:$6, 0), FALSE),
            0
        ) +
        IFERROR(
            VLOOKUP($A97, INDIRECT("FebR!$A$6:$ZZ$1048576"), MATCH(J$1, FebR!$6:$6, 0), FALSE),
            0
        ) +
        IFERROR(
            VLOOKUP($A97, INDIRECT("MarR!$A$6:$ZZ$1048576"), MATCH(J$1, MarR!$6:$6, 0), FALSE),
            0
        ) +
        IFERROR(
            VLOOKUP($A97, INDIRECT("AbrR!$A$6:$ZZ$1048576"), MATCH(J$1, AbrR!$6:$6, 0), FALSE),
            0
        ) +
        IFERROR(
            VLOOKUP($A97, INDIRECT("MayR!$A$6:$ZZ$1048576"), MATCH(J$1, MayR!$6:$6, 0), FALSE),
            0
        ) +
        IFERROR(
            VLOOKUP($A97, INDIRECT("JunR!$A$6:$ZZ$1048576"), MATCH(J$1, JunR!$6:$6, 0), FALSE),
            0
        ) +
        IFERROR(
            VLOOKUP($A97, INDIRECT("JulR!$A$6:$ZZ$1048576"), MATCH(J$1, JulR!$6:$6, 0), FALSE),
            0
        ) +
        IFERROR(
            VLOOKUP($A97, INDIRECT("AgoR!$A$6:$ZZ$1048576"), MATCH(J$1, AgoR!$6:$6, 0), FALSE),
            0
        ) +
        IFERROR(
            VLOOKUP($A97, INDIRECT("SepR!$A$6:$ZZ$1048576"), MATCH(J$1, SepR!$6:$6, 0), FALSE),
            0
        ) +
        IFERROR(
            VLOOKUP($A97, INDIRECT("OctR!$A$6:$ZZ$1048576"), MATCH(J$1, OctR!$6:$6, 0), FALSE),
            0
        ) +
        IFERROR(
            VLOOKUP($A97, INDIRECT("NovR!$A$6:$ZZ$1048576"), MATCH(J$1, NovR!$6:$6, 0), FALSE),
            0
        ) +
        IFERROR(
            VLOOKUP($A97, INDIRECT("DicR!$A$6:$ZZ$1048576"), MATCH(J$1, DicR!$6:$6, 0), FALSE),
            0
        )
)</f>
        <v>0</v>
      </c>
      <c r="K97" s="35">
        <f t="array" ref="K97">SUM(
    IFERROR(
            VLOOKUP($A97, INDIRECT("EneR!$A$6:$ZZ$1048576"), MATCH(K$1, EneR!$6:$6, 0), FALSE),
            0
        ) +
        IFERROR(
            VLOOKUP($A97, INDIRECT("FebR!$A$6:$ZZ$1048576"), MATCH(K$1, FebR!$6:$6, 0), FALSE),
            0
        ) +
        IFERROR(
            VLOOKUP($A97, INDIRECT("MarR!$A$6:$ZZ$1048576"), MATCH(K$1, MarR!$6:$6, 0), FALSE),
            0
        ) +
        IFERROR(
            VLOOKUP($A97, INDIRECT("AbrR!$A$6:$ZZ$1048576"), MATCH(K$1, AbrR!$6:$6, 0), FALSE),
            0
        ) +
        IFERROR(
            VLOOKUP($A97, INDIRECT("MayR!$A$6:$ZZ$1048576"), MATCH(K$1, MayR!$6:$6, 0), FALSE),
            0
        ) +
        IFERROR(
            VLOOKUP($A97, INDIRECT("JunR!$A$6:$ZZ$1048576"), MATCH(K$1, JunR!$6:$6, 0), FALSE),
            0
        ) +
        IFERROR(
            VLOOKUP($A97, INDIRECT("JulR!$A$6:$ZZ$1048576"), MATCH(K$1, JulR!$6:$6, 0), FALSE),
            0
        ) +
        IFERROR(
            VLOOKUP($A97, INDIRECT("AgoR!$A$6:$ZZ$1048576"), MATCH(K$1, AgoR!$6:$6, 0), FALSE),
            0
        ) +
        IFERROR(
            VLOOKUP($A97, INDIRECT("SepR!$A$6:$ZZ$1048576"), MATCH(K$1, SepR!$6:$6, 0), FALSE),
            0
        ) +
        IFERROR(
            VLOOKUP($A97, INDIRECT("OctR!$A$6:$ZZ$1048576"), MATCH(K$1, OctR!$6:$6, 0), FALSE),
            0
        ) +
        IFERROR(
            VLOOKUP($A97, INDIRECT("NovR!$A$6:$ZZ$1048576"), MATCH(K$1, NovR!$6:$6, 0), FALSE),
            0
        ) +
        IFERROR(
            VLOOKUP($A97, INDIRECT("DicR!$A$6:$ZZ$1048576"), MATCH(K$1, DicR!$6:$6, 0), FALSE),
            0
        )
)</f>
        <v>0</v>
      </c>
      <c r="L97" s="32">
        <f t="array" ref="L97">SUM(
    IFERROR(
            VLOOKUP($A97, INDIRECT("EneR!$A$6:$ZZ$1048576"), MATCH(L$1, EneR!$6:$6, 0), FALSE),
            0
        ) +
        IFERROR(
            VLOOKUP($A97, INDIRECT("FebR!$A$6:$ZZ$1048576"), MATCH(L$1, FebR!$6:$6, 0), FALSE),
            0
        ) +
        IFERROR(
            VLOOKUP($A97, INDIRECT("MarR!$A$6:$ZZ$1048576"), MATCH(L$1, MarR!$6:$6, 0), FALSE),
            0
        ) +
        IFERROR(
            VLOOKUP($A97, INDIRECT("AbrR!$A$6:$ZZ$1048576"), MATCH(L$1, AbrR!$6:$6, 0), FALSE),
            0
        ) +
        IFERROR(
            VLOOKUP($A97, INDIRECT("MayR!$A$6:$ZZ$1048576"), MATCH(L$1, MayR!$6:$6, 0), FALSE),
            0
        ) +
        IFERROR(
            VLOOKUP($A97, INDIRECT("JunR!$A$6:$ZZ$1048576"), MATCH(L$1, JunR!$6:$6, 0), FALSE),
            0
        ) +
        IFERROR(
            VLOOKUP($A97, INDIRECT("JulR!$A$6:$ZZ$1048576"), MATCH(L$1, JulR!$6:$6, 0), FALSE),
            0
        ) +
        IFERROR(
            VLOOKUP($A97, INDIRECT("AgoR!$A$6:$ZZ$1048576"), MATCH(L$1, AgoR!$6:$6, 0), FALSE),
            0
        ) +
        IFERROR(
            VLOOKUP($A97, INDIRECT("SepR!$A$6:$ZZ$1048576"), MATCH(L$1, SepR!$6:$6, 0), FALSE),
            0
        ) +
        IFERROR(
            VLOOKUP($A97, INDIRECT("OctR!$A$6:$ZZ$1048576"), MATCH(L$1, OctR!$6:$6, 0), FALSE),
            0
        ) +
        IFERROR(
            VLOOKUP($A97, INDIRECT("NovR!$A$6:$ZZ$1048576"), MATCH(L$1, NovR!$6:$6, 0), FALSE),
            0
        ) +
        IFERROR(
            VLOOKUP($A97, INDIRECT("DicR!$A$6:$ZZ$1048576"), MATCH(L$1, DicR!$6:$6, 0), FALSE),
            0
        )
)</f>
        <v>0</v>
      </c>
      <c r="M97" s="35">
        <f t="array" ref="M97">SUM(
    IFERROR(
            VLOOKUP($A97, INDIRECT("EneR!$A$6:$ZZ$1048576"), MATCH(M$1, EneR!$6:$6, 0), FALSE),
            0
        ) +
        IFERROR(
            VLOOKUP($A97, INDIRECT("FebR!$A$6:$ZZ$1048576"), MATCH(M$1, FebR!$6:$6, 0), FALSE),
            0
        ) +
        IFERROR(
            VLOOKUP($A97, INDIRECT("MarR!$A$6:$ZZ$1048576"), MATCH(M$1, MarR!$6:$6, 0), FALSE),
            0
        ) +
        IFERROR(
            VLOOKUP($A97, INDIRECT("AbrR!$A$6:$ZZ$1048576"), MATCH(M$1, AbrR!$6:$6, 0), FALSE),
            0
        ) +
        IFERROR(
            VLOOKUP($A97, INDIRECT("MayR!$A$6:$ZZ$1048576"), MATCH(M$1, MayR!$6:$6, 0), FALSE),
            0
        ) +
        IFERROR(
            VLOOKUP($A97, INDIRECT("JunR!$A$6:$ZZ$1048576"), MATCH(M$1, JunR!$6:$6, 0), FALSE),
            0
        ) +
        IFERROR(
            VLOOKUP($A97, INDIRECT("JulR!$A$6:$ZZ$1048576"), MATCH(M$1, JulR!$6:$6, 0), FALSE),
            0
        ) +
        IFERROR(
            VLOOKUP($A97, INDIRECT("AgoR!$A$6:$ZZ$1048576"), MATCH(M$1, AgoR!$6:$6, 0), FALSE),
            0
        ) +
        IFERROR(
            VLOOKUP($A97, INDIRECT("SepR!$A$6:$ZZ$1048576"), MATCH(M$1, SepR!$6:$6, 0), FALSE),
            0
        ) +
        IFERROR(
            VLOOKUP($A97, INDIRECT("OctR!$A$6:$ZZ$1048576"), MATCH(M$1, OctR!$6:$6, 0), FALSE),
            0
        ) +
        IFERROR(
            VLOOKUP($A97, INDIRECT("NovR!$A$6:$ZZ$1048576"), MATCH(M$1, NovR!$6:$6, 0), FALSE),
            0
        ) +
        IFERROR(
            VLOOKUP($A97, INDIRECT("DicR!$A$6:$ZZ$1048576"), MATCH(M$1, DicR!$6:$6, 0), FALSE),
            0
        )
)</f>
        <v>0</v>
      </c>
      <c r="N97" s="32">
        <f t="array" ref="N97">SUM(
    IFERROR(
            VLOOKUP($A97, INDIRECT("EneR!$A$6:$ZZ$1048576"), MATCH(N$1, EneR!$6:$6, 0), FALSE),
            0
        ) +
        IFERROR(
            VLOOKUP($A97, INDIRECT("FebR!$A$6:$ZZ$1048576"), MATCH(N$1, FebR!$6:$6, 0), FALSE),
            0
        ) +
        IFERROR(
            VLOOKUP($A97, INDIRECT("MarR!$A$6:$ZZ$1048576"), MATCH(N$1, MarR!$6:$6, 0), FALSE),
            0
        ) +
        IFERROR(
            VLOOKUP($A97, INDIRECT("AbrR!$A$6:$ZZ$1048576"), MATCH(N$1, AbrR!$6:$6, 0), FALSE),
            0
        ) +
        IFERROR(
            VLOOKUP($A97, INDIRECT("MayR!$A$6:$ZZ$1048576"), MATCH(N$1, MayR!$6:$6, 0), FALSE),
            0
        ) +
        IFERROR(
            VLOOKUP($A97, INDIRECT("JunR!$A$6:$ZZ$1048576"), MATCH(N$1, JunR!$6:$6, 0), FALSE),
            0
        ) +
        IFERROR(
            VLOOKUP($A97, INDIRECT("JulR!$A$6:$ZZ$1048576"), MATCH(N$1, JulR!$6:$6, 0), FALSE),
            0
        ) +
        IFERROR(
            VLOOKUP($A97, INDIRECT("AgoR!$A$6:$ZZ$1048576"), MATCH(N$1, AgoR!$6:$6, 0), FALSE),
            0
        ) +
        IFERROR(
            VLOOKUP($A97, INDIRECT("SepR!$A$6:$ZZ$1048576"), MATCH(N$1, SepR!$6:$6, 0), FALSE),
            0
        ) +
        IFERROR(
            VLOOKUP($A97, INDIRECT("OctR!$A$6:$ZZ$1048576"), MATCH(N$1, OctR!$6:$6, 0), FALSE),
            0
        ) +
        IFERROR(
            VLOOKUP($A97, INDIRECT("NovR!$A$6:$ZZ$1048576"), MATCH(N$1, NovR!$6:$6, 0), FALSE),
            0
        ) +
        IFERROR(
            VLOOKUP($A97, INDIRECT("DicR!$A$6:$ZZ$1048576"), MATCH(N$1, DicR!$6:$6, 0), FALSE),
            0
        )
)</f>
        <v>0</v>
      </c>
      <c r="O97" s="35">
        <f t="array" ref="O97">SUM(
    IFERROR(
            VLOOKUP($A97, INDIRECT("EneR!$A$6:$ZZ$1048576"), MATCH(O$1, EneR!$6:$6, 0), FALSE),
            0
        ) +
        IFERROR(
            VLOOKUP($A97, INDIRECT("FebR!$A$6:$ZZ$1048576"), MATCH(O$1, FebR!$6:$6, 0), FALSE),
            0
        ) +
        IFERROR(
            VLOOKUP($A97, INDIRECT("MarR!$A$6:$ZZ$1048576"), MATCH(O$1, MarR!$6:$6, 0), FALSE),
            0
        ) +
        IFERROR(
            VLOOKUP($A97, INDIRECT("AbrR!$A$6:$ZZ$1048576"), MATCH(O$1, AbrR!$6:$6, 0), FALSE),
            0
        ) +
        IFERROR(
            VLOOKUP($A97, INDIRECT("MayR!$A$6:$ZZ$1048576"), MATCH(O$1, MayR!$6:$6, 0), FALSE),
            0
        ) +
        IFERROR(
            VLOOKUP($A97, INDIRECT("JunR!$A$6:$ZZ$1048576"), MATCH(O$1, JunR!$6:$6, 0), FALSE),
            0
        ) +
        IFERROR(
            VLOOKUP($A97, INDIRECT("JulR!$A$6:$ZZ$1048576"), MATCH(O$1, JulR!$6:$6, 0), FALSE),
            0
        ) +
        IFERROR(
            VLOOKUP($A97, INDIRECT("AgoR!$A$6:$ZZ$1048576"), MATCH(O$1, AgoR!$6:$6, 0), FALSE),
            0
        ) +
        IFERROR(
            VLOOKUP($A97, INDIRECT("SepR!$A$6:$ZZ$1048576"), MATCH(O$1, SepR!$6:$6, 0), FALSE),
            0
        ) +
        IFERROR(
            VLOOKUP($A97, INDIRECT("OctR!$A$6:$ZZ$1048576"), MATCH(O$1, OctR!$6:$6, 0), FALSE),
            0
        ) +
        IFERROR(
            VLOOKUP($A97, INDIRECT("NovR!$A$6:$ZZ$1048576"), MATCH(O$1, NovR!$6:$6, 0), FALSE),
            0
        ) +
        IFERROR(
            VLOOKUP($A97, INDIRECT("DicR!$A$6:$ZZ$1048576"), MATCH(O$1, DicR!$6:$6, 0), FALSE),
            0
        )
)</f>
        <v>0</v>
      </c>
      <c r="P97" s="32">
        <f t="array" ref="P97">SUM(
    IFERROR(
            VLOOKUP($A97, INDIRECT("EneR!$A$6:$ZZ$1048576"), MATCH(P$1, EneR!$6:$6, 0), FALSE),
            0
        ) +
        IFERROR(
            VLOOKUP($A97, INDIRECT("FebR!$A$6:$ZZ$1048576"), MATCH(P$1, FebR!$6:$6, 0), FALSE),
            0
        ) +
        IFERROR(
            VLOOKUP($A97, INDIRECT("MarR!$A$6:$ZZ$1048576"), MATCH(P$1, MarR!$6:$6, 0), FALSE),
            0
        ) +
        IFERROR(
            VLOOKUP($A97, INDIRECT("AbrR!$A$6:$ZZ$1048576"), MATCH(P$1, AbrR!$6:$6, 0), FALSE),
            0
        ) +
        IFERROR(
            VLOOKUP($A97, INDIRECT("MayR!$A$6:$ZZ$1048576"), MATCH(P$1, MayR!$6:$6, 0), FALSE),
            0
        ) +
        IFERROR(
            VLOOKUP($A97, INDIRECT("JunR!$A$6:$ZZ$1048576"), MATCH(P$1, JunR!$6:$6, 0), FALSE),
            0
        ) +
        IFERROR(
            VLOOKUP($A97, INDIRECT("JulR!$A$6:$ZZ$1048576"), MATCH(P$1, JulR!$6:$6, 0), FALSE),
            0
        ) +
        IFERROR(
            VLOOKUP($A97, INDIRECT("AgoR!$A$6:$ZZ$1048576"), MATCH(P$1, AgoR!$6:$6, 0), FALSE),
            0
        ) +
        IFERROR(
            VLOOKUP($A97, INDIRECT("SepR!$A$6:$ZZ$1048576"), MATCH(P$1, SepR!$6:$6, 0), FALSE),
            0
        ) +
        IFERROR(
            VLOOKUP($A97, INDIRECT("OctR!$A$6:$ZZ$1048576"), MATCH(P$1, OctR!$6:$6, 0), FALSE),
            0
        ) +
        IFERROR(
            VLOOKUP($A97, INDIRECT("NovR!$A$6:$ZZ$1048576"), MATCH(P$1, NovR!$6:$6, 0), FALSE),
            0
        ) +
        IFERROR(
            VLOOKUP($A97, INDIRECT("DicR!$A$6:$ZZ$1048576"), MATCH(P$1, DicR!$6:$6, 0), FALSE),
            0
        )
)</f>
        <v>0</v>
      </c>
      <c r="Q97" s="35">
        <f t="array" ref="Q97">SUM(
    IFERROR(
            VLOOKUP($A97, INDIRECT("EneR!$A$6:$ZZ$1048576"), MATCH(Q$1, EneR!$6:$6, 0), FALSE),
            0
        ) +
        IFERROR(
            VLOOKUP($A97, INDIRECT("FebR!$A$6:$ZZ$1048576"), MATCH(Q$1, FebR!$6:$6, 0), FALSE),
            0
        ) +
        IFERROR(
            VLOOKUP($A97, INDIRECT("MarR!$A$6:$ZZ$1048576"), MATCH(Q$1, MarR!$6:$6, 0), FALSE),
            0
        ) +
        IFERROR(
            VLOOKUP($A97, INDIRECT("AbrR!$A$6:$ZZ$1048576"), MATCH(Q$1, AbrR!$6:$6, 0), FALSE),
            0
        ) +
        IFERROR(
            VLOOKUP($A97, INDIRECT("MayR!$A$6:$ZZ$1048576"), MATCH(Q$1, MayR!$6:$6, 0), FALSE),
            0
        ) +
        IFERROR(
            VLOOKUP($A97, INDIRECT("JunR!$A$6:$ZZ$1048576"), MATCH(Q$1, JunR!$6:$6, 0), FALSE),
            0
        ) +
        IFERROR(
            VLOOKUP($A97, INDIRECT("JulR!$A$6:$ZZ$1048576"), MATCH(Q$1, JulR!$6:$6, 0), FALSE),
            0
        ) +
        IFERROR(
            VLOOKUP($A97, INDIRECT("AgoR!$A$6:$ZZ$1048576"), MATCH(Q$1, AgoR!$6:$6, 0), FALSE),
            0
        ) +
        IFERROR(
            VLOOKUP($A97, INDIRECT("SepR!$A$6:$ZZ$1048576"), MATCH(Q$1, SepR!$6:$6, 0), FALSE),
            0
        ) +
        IFERROR(
            VLOOKUP($A97, INDIRECT("OctR!$A$6:$ZZ$1048576"), MATCH(Q$1, OctR!$6:$6, 0), FALSE),
            0
        ) +
        IFERROR(
            VLOOKUP($A97, INDIRECT("NovR!$A$6:$ZZ$1048576"), MATCH(Q$1, NovR!$6:$6, 0), FALSE),
            0
        ) +
        IFERROR(
            VLOOKUP($A97, INDIRECT("DicR!$A$6:$ZZ$1048576"), MATCH(Q$1, DicR!$6:$6, 0), FALSE),
            0
        )
)</f>
        <v>0</v>
      </c>
      <c r="R97" s="36">
        <f t="array" ref="R97">SUM(
    IFERROR(
            VLOOKUP($A97, INDIRECT("EneR!$A$6:$ZZ$1048576"), MATCH(R$1, EneR!$6:$6, 0), FALSE),
            0
        ) +
        IFERROR(
            VLOOKUP($A97, INDIRECT("FebR!$A$6:$ZZ$1048576"), MATCH(R$1, FebR!$6:$6, 0), FALSE),
            0
        ) +
        IFERROR(
            VLOOKUP($A97, INDIRECT("MarR!$A$6:$ZZ$1048576"), MATCH(R$1, MarR!$6:$6, 0), FALSE),
            0
        ) +
        IFERROR(
            VLOOKUP($A97, INDIRECT("AbrR!$A$6:$ZZ$1048576"), MATCH(R$1, AbrR!$6:$6, 0), FALSE),
            0
        ) +
        IFERROR(
            VLOOKUP($A97, INDIRECT("MayR!$A$6:$ZZ$1048576"), MATCH(R$1, MayR!$6:$6, 0), FALSE),
            0
        ) +
        IFERROR(
            VLOOKUP($A97, INDIRECT("JunR!$A$6:$ZZ$1048576"), MATCH(R$1, JunR!$6:$6, 0), FALSE),
            0
        ) +
        IFERROR(
            VLOOKUP($A97, INDIRECT("JulR!$A$6:$ZZ$1048576"), MATCH(R$1, JulR!$6:$6, 0), FALSE),
            0
        ) +
        IFERROR(
            VLOOKUP($A97, INDIRECT("AgoR!$A$6:$ZZ$1048576"), MATCH(R$1, AgoR!$6:$6, 0), FALSE),
            0
        ) +
        IFERROR(
            VLOOKUP($A97, INDIRECT("SepR!$A$6:$ZZ$1048576"), MATCH(R$1, SepR!$6:$6, 0), FALSE),
            0
        ) +
        IFERROR(
            VLOOKUP($A97, INDIRECT("OctR!$A$6:$ZZ$1048576"), MATCH(R$1, OctR!$6:$6, 0), FALSE),
            0
        ) +
        IFERROR(
            VLOOKUP($A97, INDIRECT("NovR!$A$6:$ZZ$1048576"), MATCH(R$1, NovR!$6:$6, 0), FALSE),
            0
        ) +
        IFERROR(
            VLOOKUP($A97, INDIRECT("DicR!$A$6:$ZZ$1048576"), MATCH(R$1, DicR!$6:$6, 0), FALSE),
            0
        )
)</f>
        <v>0</v>
      </c>
      <c r="S97" s="37">
        <f t="array" ref="S97">SUM(
    IFERROR(
            VLOOKUP($A97, INDIRECT("EneR!$A$6:$ZZ$1048576"), MATCH(S$1, EneR!$6:$6, 0), FALSE),
            0
        ) +
        IFERROR(
            VLOOKUP($A97, INDIRECT("FebR!$A$6:$ZZ$1048576"), MATCH(S$1, FebR!$6:$6, 0), FALSE),
            0
        ) +
        IFERROR(
            VLOOKUP($A97, INDIRECT("MarR!$A$6:$ZZ$1048576"), MATCH(S$1, MarR!$6:$6, 0), FALSE),
            0
        ) +
        IFERROR(
            VLOOKUP($A97, INDIRECT("AbrR!$A$6:$ZZ$1048576"), MATCH(S$1, AbrR!$6:$6, 0), FALSE),
            0
        ) +
        IFERROR(
            VLOOKUP($A97, INDIRECT("MayR!$A$6:$ZZ$1048576"), MATCH(S$1, MayR!$6:$6, 0), FALSE),
            0
        ) +
        IFERROR(
            VLOOKUP($A97, INDIRECT("JunR!$A$6:$ZZ$1048576"), MATCH(S$1, JunR!$6:$6, 0), FALSE),
            0
        ) +
        IFERROR(
            VLOOKUP($A97, INDIRECT("JulR!$A$6:$ZZ$1048576"), MATCH(S$1, JulR!$6:$6, 0), FALSE),
            0
        ) +
        IFERROR(
            VLOOKUP($A97, INDIRECT("AgoR!$A$6:$ZZ$1048576"), MATCH(S$1, AgoR!$6:$6, 0), FALSE),
            0
        ) +
        IFERROR(
            VLOOKUP($A97, INDIRECT("SepR!$A$6:$ZZ$1048576"), MATCH(S$1, SepR!$6:$6, 0), FALSE),
            0
        ) +
        IFERROR(
            VLOOKUP($A97, INDIRECT("OctR!$A$6:$ZZ$1048576"), MATCH(S$1, OctR!$6:$6, 0), FALSE),
            0
        ) +
        IFERROR(
            VLOOKUP($A97, INDIRECT("NovR!$A$6:$ZZ$1048576"), MATCH(S$1, NovR!$6:$6, 0), FALSE),
            0
        ) +
        IFERROR(
            VLOOKUP($A97, INDIRECT("DicR!$A$6:$ZZ$1048576"), MATCH(S$1, DicR!$6:$6, 0), FALSE),
            0
        )
)</f>
        <v>0</v>
      </c>
      <c r="T97" s="36">
        <f t="array" ref="T97">SUM(
    IFERROR(
            VLOOKUP($A97, INDIRECT("EneR!$A$6:$ZZ$1048576"), MATCH(T$1, EneR!$6:$6, 0), FALSE),
            0
        ) +
        IFERROR(
            VLOOKUP($A97, INDIRECT("FebR!$A$6:$ZZ$1048576"), MATCH(T$1, FebR!$6:$6, 0), FALSE),
            0
        ) +
        IFERROR(
            VLOOKUP($A97, INDIRECT("MarR!$A$6:$ZZ$1048576"), MATCH(T$1, MarR!$6:$6, 0), FALSE),
            0
        ) +
        IFERROR(
            VLOOKUP($A97, INDIRECT("AbrR!$A$6:$ZZ$1048576"), MATCH(T$1, AbrR!$6:$6, 0), FALSE),
            0
        ) +
        IFERROR(
            VLOOKUP($A97, INDIRECT("MayR!$A$6:$ZZ$1048576"), MATCH(T$1, MayR!$6:$6, 0), FALSE),
            0
        ) +
        IFERROR(
            VLOOKUP($A97, INDIRECT("JunR!$A$6:$ZZ$1048576"), MATCH(T$1, JunR!$6:$6, 0), FALSE),
            0
        ) +
        IFERROR(
            VLOOKUP($A97, INDIRECT("JulR!$A$6:$ZZ$1048576"), MATCH(T$1, JulR!$6:$6, 0), FALSE),
            0
        ) +
        IFERROR(
            VLOOKUP($A97, INDIRECT("AgoR!$A$6:$ZZ$1048576"), MATCH(T$1, AgoR!$6:$6, 0), FALSE),
            0
        ) +
        IFERROR(
            VLOOKUP($A97, INDIRECT("SepR!$A$6:$ZZ$1048576"), MATCH(T$1, SepR!$6:$6, 0), FALSE),
            0
        ) +
        IFERROR(
            VLOOKUP($A97, INDIRECT("OctR!$A$6:$ZZ$1048576"), MATCH(T$1, OctR!$6:$6, 0), FALSE),
            0
        ) +
        IFERROR(
            VLOOKUP($A97, INDIRECT("NovR!$A$6:$ZZ$1048576"), MATCH(T$1, NovR!$6:$6, 0), FALSE),
            0
        ) +
        IFERROR(
            VLOOKUP($A97, INDIRECT("DicR!$A$6:$ZZ$1048576"), MATCH(T$1, DicR!$6:$6, 0), FALSE),
            0
        )
)</f>
        <v>0</v>
      </c>
      <c r="U97" s="37">
        <f t="array" ref="U97">SUM(
    IFERROR(
            VLOOKUP($A97, INDIRECT("EneR!$A$6:$ZZ$1048576"), MATCH(U$1, EneR!$6:$6, 0), FALSE),
            0
        ) +
        IFERROR(
            VLOOKUP($A97, INDIRECT("FebR!$A$6:$ZZ$1048576"), MATCH(U$1, FebR!$6:$6, 0), FALSE),
            0
        ) +
        IFERROR(
            VLOOKUP($A97, INDIRECT("MarR!$A$6:$ZZ$1048576"), MATCH(U$1, MarR!$6:$6, 0), FALSE),
            0
        ) +
        IFERROR(
            VLOOKUP($A97, INDIRECT("AbrR!$A$6:$ZZ$1048576"), MATCH(U$1, AbrR!$6:$6, 0), FALSE),
            0
        ) +
        IFERROR(
            VLOOKUP($A97, INDIRECT("MayR!$A$6:$ZZ$1048576"), MATCH(U$1, MayR!$6:$6, 0), FALSE),
            0
        ) +
        IFERROR(
            VLOOKUP($A97, INDIRECT("JunR!$A$6:$ZZ$1048576"), MATCH(U$1, JunR!$6:$6, 0), FALSE),
            0
        ) +
        IFERROR(
            VLOOKUP($A97, INDIRECT("JulR!$A$6:$ZZ$1048576"), MATCH(U$1, JulR!$6:$6, 0), FALSE),
            0
        ) +
        IFERROR(
            VLOOKUP($A97, INDIRECT("AgoR!$A$6:$ZZ$1048576"), MATCH(U$1, AgoR!$6:$6, 0), FALSE),
            0
        ) +
        IFERROR(
            VLOOKUP($A97, INDIRECT("SepR!$A$6:$ZZ$1048576"), MATCH(U$1, SepR!$6:$6, 0), FALSE),
            0
        ) +
        IFERROR(
            VLOOKUP($A97, INDIRECT("OctR!$A$6:$ZZ$1048576"), MATCH(U$1, OctR!$6:$6, 0), FALSE),
            0
        ) +
        IFERROR(
            VLOOKUP($A97, INDIRECT("NovR!$A$6:$ZZ$1048576"), MATCH(U$1, NovR!$6:$6, 0), FALSE),
            0
        ) +
        IFERROR(
            VLOOKUP($A97, INDIRECT("DicR!$A$6:$ZZ$1048576"), MATCH(U$1, DicR!$6:$6, 0), FALSE),
            0
        )
)</f>
        <v>0</v>
      </c>
      <c r="V97" s="36">
        <f t="array" ref="V97">SUM(
    IFERROR(
            VLOOKUP($A97, INDIRECT("EneR!$A$6:$ZZ$1048576"), MATCH(V$1, EneR!$6:$6, 0), FALSE),
            0
        ) +
        IFERROR(
            VLOOKUP($A97, INDIRECT("FebR!$A$6:$ZZ$1048576"), MATCH(V$1, FebR!$6:$6, 0), FALSE),
            0
        ) +
        IFERROR(
            VLOOKUP($A97, INDIRECT("MarR!$A$6:$ZZ$1048576"), MATCH(V$1, MarR!$6:$6, 0), FALSE),
            0
        ) +
        IFERROR(
            VLOOKUP($A97, INDIRECT("AbrR!$A$6:$ZZ$1048576"), MATCH(V$1, AbrR!$6:$6, 0), FALSE),
            0
        ) +
        IFERROR(
            VLOOKUP($A97, INDIRECT("MayR!$A$6:$ZZ$1048576"), MATCH(V$1, MayR!$6:$6, 0), FALSE),
            0
        ) +
        IFERROR(
            VLOOKUP($A97, INDIRECT("JunR!$A$6:$ZZ$1048576"), MATCH(V$1, JunR!$6:$6, 0), FALSE),
            0
        ) +
        IFERROR(
            VLOOKUP($A97, INDIRECT("JulR!$A$6:$ZZ$1048576"), MATCH(V$1, JulR!$6:$6, 0), FALSE),
            0
        ) +
        IFERROR(
            VLOOKUP($A97, INDIRECT("AgoR!$A$6:$ZZ$1048576"), MATCH(V$1, AgoR!$6:$6, 0), FALSE),
            0
        ) +
        IFERROR(
            VLOOKUP($A97, INDIRECT("SepR!$A$6:$ZZ$1048576"), MATCH(V$1, SepR!$6:$6, 0), FALSE),
            0
        ) +
        IFERROR(
            VLOOKUP($A97, INDIRECT("OctR!$A$6:$ZZ$1048576"), MATCH(V$1, OctR!$6:$6, 0), FALSE),
            0
        ) +
        IFERROR(
            VLOOKUP($A97, INDIRECT("NovR!$A$6:$ZZ$1048576"), MATCH(V$1, NovR!$6:$6, 0), FALSE),
            0
        ) +
        IFERROR(
            VLOOKUP($A97, INDIRECT("DicR!$A$6:$ZZ$1048576"), MATCH(V$1, DicR!$6:$6, 0), FALSE),
            0
        )
)</f>
        <v>0</v>
      </c>
      <c r="W97" s="37">
        <f t="array" ref="W97">SUM(
    IFERROR(
            VLOOKUP($A97, INDIRECT("EneR!$A$6:$ZZ$1048576"), MATCH(W$1, EneR!$6:$6, 0), FALSE),
            0
        ) +
        IFERROR(
            VLOOKUP($A97, INDIRECT("FebR!$A$6:$ZZ$1048576"), MATCH(W$1, FebR!$6:$6, 0), FALSE),
            0
        ) +
        IFERROR(
            VLOOKUP($A97, INDIRECT("MarR!$A$6:$ZZ$1048576"), MATCH(W$1, MarR!$6:$6, 0), FALSE),
            0
        ) +
        IFERROR(
            VLOOKUP($A97, INDIRECT("AbrR!$A$6:$ZZ$1048576"), MATCH(W$1, AbrR!$6:$6, 0), FALSE),
            0
        ) +
        IFERROR(
            VLOOKUP($A97, INDIRECT("MayR!$A$6:$ZZ$1048576"), MATCH(W$1, MayR!$6:$6, 0), FALSE),
            0
        ) +
        IFERROR(
            VLOOKUP($A97, INDIRECT("JunR!$A$6:$ZZ$1048576"), MATCH(W$1, JunR!$6:$6, 0), FALSE),
            0
        ) +
        IFERROR(
            VLOOKUP($A97, INDIRECT("JulR!$A$6:$ZZ$1048576"), MATCH(W$1, JulR!$6:$6, 0), FALSE),
            0
        ) +
        IFERROR(
            VLOOKUP($A97, INDIRECT("AgoR!$A$6:$ZZ$1048576"), MATCH(W$1, AgoR!$6:$6, 0), FALSE),
            0
        ) +
        IFERROR(
            VLOOKUP($A97, INDIRECT("SepR!$A$6:$ZZ$1048576"), MATCH(W$1, SepR!$6:$6, 0), FALSE),
            0
        ) +
        IFERROR(
            VLOOKUP($A97, INDIRECT("OctR!$A$6:$ZZ$1048576"), MATCH(W$1, OctR!$6:$6, 0), FALSE),
            0
        ) +
        IFERROR(
            VLOOKUP($A97, INDIRECT("NovR!$A$6:$ZZ$1048576"), MATCH(W$1, NovR!$6:$6, 0), FALSE),
            0
        ) +
        IFERROR(
            VLOOKUP($A97, INDIRECT("DicR!$A$6:$ZZ$1048576"), MATCH(W$1, DicR!$6:$6, 0), FALSE),
            0
        )
)</f>
        <v>0</v>
      </c>
      <c r="X97" s="36">
        <f t="array" ref="X97">SUM(
    IFERROR(
            VLOOKUP($A97, INDIRECT("EneR!$A$6:$ZZ$1048576"), MATCH(X$1, EneR!$6:$6, 0), FALSE),
            0
        ) +
        IFERROR(
            VLOOKUP($A97, INDIRECT("FebR!$A$6:$ZZ$1048576"), MATCH(X$1, FebR!$6:$6, 0), FALSE),
            0
        ) +
        IFERROR(
            VLOOKUP($A97, INDIRECT("MarR!$A$6:$ZZ$1048576"), MATCH(X$1, MarR!$6:$6, 0), FALSE),
            0
        ) +
        IFERROR(
            VLOOKUP($A97, INDIRECT("AbrR!$A$6:$ZZ$1048576"), MATCH(X$1, AbrR!$6:$6, 0), FALSE),
            0
        ) +
        IFERROR(
            VLOOKUP($A97, INDIRECT("MayR!$A$6:$ZZ$1048576"), MATCH(X$1, MayR!$6:$6, 0), FALSE),
            0
        ) +
        IFERROR(
            VLOOKUP($A97, INDIRECT("JunR!$A$6:$ZZ$1048576"), MATCH(X$1, JunR!$6:$6, 0), FALSE),
            0
        ) +
        IFERROR(
            VLOOKUP($A97, INDIRECT("JulR!$A$6:$ZZ$1048576"), MATCH(X$1, JulR!$6:$6, 0), FALSE),
            0
        ) +
        IFERROR(
            VLOOKUP($A97, INDIRECT("AgoR!$A$6:$ZZ$1048576"), MATCH(X$1, AgoR!$6:$6, 0), FALSE),
            0
        ) +
        IFERROR(
            VLOOKUP($A97, INDIRECT("SepR!$A$6:$ZZ$1048576"), MATCH(X$1, SepR!$6:$6, 0), FALSE),
            0
        ) +
        IFERROR(
            VLOOKUP($A97, INDIRECT("OctR!$A$6:$ZZ$1048576"), MATCH(X$1, OctR!$6:$6, 0), FALSE),
            0
        ) +
        IFERROR(
            VLOOKUP($A97, INDIRECT("NovR!$A$6:$ZZ$1048576"), MATCH(X$1, NovR!$6:$6, 0), FALSE),
            0
        ) +
        IFERROR(
            VLOOKUP($A97, INDIRECT("DicR!$A$6:$ZZ$1048576"), MATCH(X$1, DicR!$6:$6, 0), FALSE),
            0
        )
)</f>
        <v>0</v>
      </c>
      <c r="Y97" s="37">
        <f t="array" ref="Y97">SUM(
    IFERROR(
            VLOOKUP($A97, INDIRECT("EneR!$A$6:$ZZ$1048576"), MATCH(Y$1, EneR!$6:$6, 0), FALSE),
            0
        ) +
        IFERROR(
            VLOOKUP($A97, INDIRECT("FebR!$A$6:$ZZ$1048576"), MATCH(Y$1, FebR!$6:$6, 0), FALSE),
            0
        ) +
        IFERROR(
            VLOOKUP($A97, INDIRECT("MarR!$A$6:$ZZ$1048576"), MATCH(Y$1, MarR!$6:$6, 0), FALSE),
            0
        ) +
        IFERROR(
            VLOOKUP($A97, INDIRECT("AbrR!$A$6:$ZZ$1048576"), MATCH(Y$1, AbrR!$6:$6, 0), FALSE),
            0
        ) +
        IFERROR(
            VLOOKUP($A97, INDIRECT("MayR!$A$6:$ZZ$1048576"), MATCH(Y$1, MayR!$6:$6, 0), FALSE),
            0
        ) +
        IFERROR(
            VLOOKUP($A97, INDIRECT("JunR!$A$6:$ZZ$1048576"), MATCH(Y$1, JunR!$6:$6, 0), FALSE),
            0
        ) +
        IFERROR(
            VLOOKUP($A97, INDIRECT("JulR!$A$6:$ZZ$1048576"), MATCH(Y$1, JulR!$6:$6, 0), FALSE),
            0
        ) +
        IFERROR(
            VLOOKUP($A97, INDIRECT("AgoR!$A$6:$ZZ$1048576"), MATCH(Y$1, AgoR!$6:$6, 0), FALSE),
            0
        ) +
        IFERROR(
            VLOOKUP($A97, INDIRECT("SepR!$A$6:$ZZ$1048576"), MATCH(Y$1, SepR!$6:$6, 0), FALSE),
            0
        ) +
        IFERROR(
            VLOOKUP($A97, INDIRECT("OctR!$A$6:$ZZ$1048576"), MATCH(Y$1, OctR!$6:$6, 0), FALSE),
            0
        ) +
        IFERROR(
            VLOOKUP($A97, INDIRECT("NovR!$A$6:$ZZ$1048576"), MATCH(Y$1, NovR!$6:$6, 0), FALSE),
            0
        ) +
        IFERROR(
            VLOOKUP($A97, INDIRECT("DicR!$A$6:$ZZ$1048576"), MATCH(Y$1, DicR!$6:$6, 0), FALSE),
            0
        )
)</f>
        <v>0</v>
      </c>
      <c r="Z97" s="36">
        <f t="array" ref="Z97">SUM(
    IFERROR(
            VLOOKUP($A97, INDIRECT("EneR!$A$6:$ZZ$1048576"), MATCH(Z$1, EneR!$6:$6, 0), FALSE),
            0
        ) +
        IFERROR(
            VLOOKUP($A97, INDIRECT("FebR!$A$6:$ZZ$1048576"), MATCH(Z$1, FebR!$6:$6, 0), FALSE),
            0
        ) +
        IFERROR(
            VLOOKUP($A97, INDIRECT("MarR!$A$6:$ZZ$1048576"), MATCH(Z$1, MarR!$6:$6, 0), FALSE),
            0
        ) +
        IFERROR(
            VLOOKUP($A97, INDIRECT("AbrR!$A$6:$ZZ$1048576"), MATCH(Z$1, AbrR!$6:$6, 0), FALSE),
            0
        ) +
        IFERROR(
            VLOOKUP($A97, INDIRECT("MayR!$A$6:$ZZ$1048576"), MATCH(Z$1, MayR!$6:$6, 0), FALSE),
            0
        ) +
        IFERROR(
            VLOOKUP($A97, INDIRECT("JunR!$A$6:$ZZ$1048576"), MATCH(Z$1, JunR!$6:$6, 0), FALSE),
            0
        ) +
        IFERROR(
            VLOOKUP($A97, INDIRECT("JulR!$A$6:$ZZ$1048576"), MATCH(Z$1, JulR!$6:$6, 0), FALSE),
            0
        ) +
        IFERROR(
            VLOOKUP($A97, INDIRECT("AgoR!$A$6:$ZZ$1048576"), MATCH(Z$1, AgoR!$6:$6, 0), FALSE),
            0
        ) +
        IFERROR(
            VLOOKUP($A97, INDIRECT("SepR!$A$6:$ZZ$1048576"), MATCH(Z$1, SepR!$6:$6, 0), FALSE),
            0
        ) +
        IFERROR(
            VLOOKUP($A97, INDIRECT("OctR!$A$6:$ZZ$1048576"), MATCH(Z$1, OctR!$6:$6, 0), FALSE),
            0
        ) +
        IFERROR(
            VLOOKUP($A97, INDIRECT("NovR!$A$6:$ZZ$1048576"), MATCH(Z$1, NovR!$6:$6, 0), FALSE),
            0
        ) +
        IFERROR(
            VLOOKUP($A97, INDIRECT("DicR!$A$6:$ZZ$1048576"), MATCH(Z$1, DicR!$6:$6, 0), FALSE),
            0
        )
)</f>
        <v>0</v>
      </c>
      <c r="AA97" s="37">
        <f t="array" ref="AA97">SUM(
    IFERROR(
            VLOOKUP($A97, INDIRECT("EneR!$A$6:$ZZ$1048576"), MATCH(AA$1, EneR!$6:$6, 0), FALSE),
            0
        ) +
        IFERROR(
            VLOOKUP($A97, INDIRECT("FebR!$A$6:$ZZ$1048576"), MATCH(AA$1, FebR!$6:$6, 0), FALSE),
            0
        ) +
        IFERROR(
            VLOOKUP($A97, INDIRECT("MarR!$A$6:$ZZ$1048576"), MATCH(AA$1, MarR!$6:$6, 0), FALSE),
            0
        ) +
        IFERROR(
            VLOOKUP($A97, INDIRECT("AbrR!$A$6:$ZZ$1048576"), MATCH(AA$1, AbrR!$6:$6, 0), FALSE),
            0
        ) +
        IFERROR(
            VLOOKUP($A97, INDIRECT("MayR!$A$6:$ZZ$1048576"), MATCH(AA$1, MayR!$6:$6, 0), FALSE),
            0
        ) +
        IFERROR(
            VLOOKUP($A97, INDIRECT("JunR!$A$6:$ZZ$1048576"), MATCH(AA$1, JunR!$6:$6, 0), FALSE),
            0
        ) +
        IFERROR(
            VLOOKUP($A97, INDIRECT("JulR!$A$6:$ZZ$1048576"), MATCH(AA$1, JulR!$6:$6, 0), FALSE),
            0
        ) +
        IFERROR(
            VLOOKUP($A97, INDIRECT("AgoR!$A$6:$ZZ$1048576"), MATCH(AA$1, AgoR!$6:$6, 0), FALSE),
            0
        ) +
        IFERROR(
            VLOOKUP($A97, INDIRECT("SepR!$A$6:$ZZ$1048576"), MATCH(AA$1, SepR!$6:$6, 0), FALSE),
            0
        ) +
        IFERROR(
            VLOOKUP($A97, INDIRECT("OctR!$A$6:$ZZ$1048576"), MATCH(AA$1, OctR!$6:$6, 0), FALSE),
            0
        ) +
        IFERROR(
            VLOOKUP($A97, INDIRECT("NovR!$A$6:$ZZ$1048576"), MATCH(AA$1, NovR!$6:$6, 0), FALSE),
            0
        ) +
        IFERROR(
            VLOOKUP($A97, INDIRECT("DicR!$A$6:$ZZ$1048576"), MATCH(AA$1, DicR!$6:$6, 0), FALSE),
            0
        )
)</f>
        <v>0</v>
      </c>
      <c r="AB97" s="36">
        <f t="array" ref="AB97">SUM(
    IFERROR(
            VLOOKUP($A97, INDIRECT("EneR!$A$6:$ZZ$1048576"), MATCH(AB$1, EneR!$6:$6, 0), FALSE),
            0
        ) +
        IFERROR(
            VLOOKUP($A97, INDIRECT("FebR!$A$6:$ZZ$1048576"), MATCH(AB$1, FebR!$6:$6, 0), FALSE),
            0
        ) +
        IFERROR(
            VLOOKUP($A97, INDIRECT("MarR!$A$6:$ZZ$1048576"), MATCH(AB$1, MarR!$6:$6, 0), FALSE),
            0
        ) +
        IFERROR(
            VLOOKUP($A97, INDIRECT("AbrR!$A$6:$ZZ$1048576"), MATCH(AB$1, AbrR!$6:$6, 0), FALSE),
            0
        ) +
        IFERROR(
            VLOOKUP($A97, INDIRECT("MayR!$A$6:$ZZ$1048576"), MATCH(AB$1, MayR!$6:$6, 0), FALSE),
            0
        ) +
        IFERROR(
            VLOOKUP($A97, INDIRECT("JunR!$A$6:$ZZ$1048576"), MATCH(AB$1, JunR!$6:$6, 0), FALSE),
            0
        ) +
        IFERROR(
            VLOOKUP($A97, INDIRECT("JulR!$A$6:$ZZ$1048576"), MATCH(AB$1, JulR!$6:$6, 0), FALSE),
            0
        ) +
        IFERROR(
            VLOOKUP($A97, INDIRECT("AgoR!$A$6:$ZZ$1048576"), MATCH(AB$1, AgoR!$6:$6, 0), FALSE),
            0
        ) +
        IFERROR(
            VLOOKUP($A97, INDIRECT("SepR!$A$6:$ZZ$1048576"), MATCH(AB$1, SepR!$6:$6, 0), FALSE),
            0
        ) +
        IFERROR(
            VLOOKUP($A97, INDIRECT("OctR!$A$6:$ZZ$1048576"), MATCH(AB$1, OctR!$6:$6, 0), FALSE),
            0
        ) +
        IFERROR(
            VLOOKUP($A97, INDIRECT("NovR!$A$6:$ZZ$1048576"), MATCH(AB$1, NovR!$6:$6, 0), FALSE),
            0
        ) +
        IFERROR(
            VLOOKUP($A97, INDIRECT("DicR!$A$6:$ZZ$1048576"), MATCH(AB$1, DicR!$6:$6, 0), FALSE),
            0
        )
)</f>
        <v>0</v>
      </c>
      <c r="AC97" s="37">
        <f t="array" ref="AC97">SUM(
    IFERROR(
            VLOOKUP($A97, INDIRECT("EneR!$A$6:$ZZ$1048576"), MATCH(AC$1, EneR!$6:$6, 0), FALSE),
            0
        ) +
        IFERROR(
            VLOOKUP($A97, INDIRECT("FebR!$A$6:$ZZ$1048576"), MATCH(AC$1, FebR!$6:$6, 0), FALSE),
            0
        ) +
        IFERROR(
            VLOOKUP($A97, INDIRECT("MarR!$A$6:$ZZ$1048576"), MATCH(AC$1, MarR!$6:$6, 0), FALSE),
            0
        ) +
        IFERROR(
            VLOOKUP($A97, INDIRECT("AbrR!$A$6:$ZZ$1048576"), MATCH(AC$1, AbrR!$6:$6, 0), FALSE),
            0
        ) +
        IFERROR(
            VLOOKUP($A97, INDIRECT("MayR!$A$6:$ZZ$1048576"), MATCH(AC$1, MayR!$6:$6, 0), FALSE),
            0
        ) +
        IFERROR(
            VLOOKUP($A97, INDIRECT("JunR!$A$6:$ZZ$1048576"), MATCH(AC$1, JunR!$6:$6, 0), FALSE),
            0
        ) +
        IFERROR(
            VLOOKUP($A97, INDIRECT("JulR!$A$6:$ZZ$1048576"), MATCH(AC$1, JulR!$6:$6, 0), FALSE),
            0
        ) +
        IFERROR(
            VLOOKUP($A97, INDIRECT("AgoR!$A$6:$ZZ$1048576"), MATCH(AC$1, AgoR!$6:$6, 0), FALSE),
            0
        ) +
        IFERROR(
            VLOOKUP($A97, INDIRECT("SepR!$A$6:$ZZ$1048576"), MATCH(AC$1, SepR!$6:$6, 0), FALSE),
            0
        ) +
        IFERROR(
            VLOOKUP($A97, INDIRECT("OctR!$A$6:$ZZ$1048576"), MATCH(AC$1, OctR!$6:$6, 0), FALSE),
            0
        ) +
        IFERROR(
            VLOOKUP($A97, INDIRECT("NovR!$A$6:$ZZ$1048576"), MATCH(AC$1, NovR!$6:$6, 0), FALSE),
            0
        ) +
        IFERROR(
            VLOOKUP($A97, INDIRECT("DicR!$A$6:$ZZ$1048576"), MATCH(AC$1, DicR!$6:$6, 0), FALSE),
            0
        )
)</f>
        <v>0</v>
      </c>
      <c r="AD97" s="36">
        <f t="array" ref="AD97">SUM(
    IFERROR(
            VLOOKUP($A97, INDIRECT("EneR!$A$6:$ZZ$1048576"), MATCH(AD$1, EneR!$6:$6, 0), FALSE),
            0
        ) +
        IFERROR(
            VLOOKUP($A97, INDIRECT("FebR!$A$6:$ZZ$1048576"), MATCH(AD$1, FebR!$6:$6, 0), FALSE),
            0
        ) +
        IFERROR(
            VLOOKUP($A97, INDIRECT("MarR!$A$6:$ZZ$1048576"), MATCH(AD$1, MarR!$6:$6, 0), FALSE),
            0
        ) +
        IFERROR(
            VLOOKUP($A97, INDIRECT("AbrR!$A$6:$ZZ$1048576"), MATCH(AD$1, AbrR!$6:$6, 0), FALSE),
            0
        ) +
        IFERROR(
            VLOOKUP($A97, INDIRECT("MayR!$A$6:$ZZ$1048576"), MATCH(AD$1, MayR!$6:$6, 0), FALSE),
            0
        ) +
        IFERROR(
            VLOOKUP($A97, INDIRECT("JunR!$A$6:$ZZ$1048576"), MATCH(AD$1, JunR!$6:$6, 0), FALSE),
            0
        ) +
        IFERROR(
            VLOOKUP($A97, INDIRECT("JulR!$A$6:$ZZ$1048576"), MATCH(AD$1, JulR!$6:$6, 0), FALSE),
            0
        ) +
        IFERROR(
            VLOOKUP($A97, INDIRECT("AgoR!$A$6:$ZZ$1048576"), MATCH(AD$1, AgoR!$6:$6, 0), FALSE),
            0
        ) +
        IFERROR(
            VLOOKUP($A97, INDIRECT("SepR!$A$6:$ZZ$1048576"), MATCH(AD$1, SepR!$6:$6, 0), FALSE),
            0
        ) +
        IFERROR(
            VLOOKUP($A97, INDIRECT("OctR!$A$6:$ZZ$1048576"), MATCH(AD$1, OctR!$6:$6, 0), FALSE),
            0
        ) +
        IFERROR(
            VLOOKUP($A97, INDIRECT("NovR!$A$6:$ZZ$1048576"), MATCH(AD$1, NovR!$6:$6, 0), FALSE),
            0
        ) +
        IFERROR(
            VLOOKUP($A97, INDIRECT("DicR!$A$6:$ZZ$1048576"), MATCH(AD$1, DicR!$6:$6, 0), FALSE),
            0
        )
)</f>
        <v>0</v>
      </c>
      <c r="AE97" s="37">
        <f t="array" ref="AE97">SUM(
    IFERROR(
            VLOOKUP($A97, INDIRECT("EneR!$A$6:$ZZ$1048576"), MATCH(AE$1, EneR!$6:$6, 0), FALSE),
            0
        ) +
        IFERROR(
            VLOOKUP($A97, INDIRECT("FebR!$A$6:$ZZ$1048576"), MATCH(AE$1, FebR!$6:$6, 0), FALSE),
            0
        ) +
        IFERROR(
            VLOOKUP($A97, INDIRECT("MarR!$A$6:$ZZ$1048576"), MATCH(AE$1, MarR!$6:$6, 0), FALSE),
            0
        ) +
        IFERROR(
            VLOOKUP($A97, INDIRECT("AbrR!$A$6:$ZZ$1048576"), MATCH(AE$1, AbrR!$6:$6, 0), FALSE),
            0
        ) +
        IFERROR(
            VLOOKUP($A97, INDIRECT("MayR!$A$6:$ZZ$1048576"), MATCH(AE$1, MayR!$6:$6, 0), FALSE),
            0
        ) +
        IFERROR(
            VLOOKUP($A97, INDIRECT("JunR!$A$6:$ZZ$1048576"), MATCH(AE$1, JunR!$6:$6, 0), FALSE),
            0
        ) +
        IFERROR(
            VLOOKUP($A97, INDIRECT("JulR!$A$6:$ZZ$1048576"), MATCH(AE$1, JulR!$6:$6, 0), FALSE),
            0
        ) +
        IFERROR(
            VLOOKUP($A97, INDIRECT("AgoR!$A$6:$ZZ$1048576"), MATCH(AE$1, AgoR!$6:$6, 0), FALSE),
            0
        ) +
        IFERROR(
            VLOOKUP($A97, INDIRECT("SepR!$A$6:$ZZ$1048576"), MATCH(AE$1, SepR!$6:$6, 0), FALSE),
            0
        ) +
        IFERROR(
            VLOOKUP($A97, INDIRECT("OctR!$A$6:$ZZ$1048576"), MATCH(AE$1, OctR!$6:$6, 0), FALSE),
            0
        ) +
        IFERROR(
            VLOOKUP($A97, INDIRECT("NovR!$A$6:$ZZ$1048576"), MATCH(AE$1, NovR!$6:$6, 0), FALSE),
            0
        ) +
        IFERROR(
            VLOOKUP($A97, INDIRECT("DicR!$A$6:$ZZ$1048576"), MATCH(AE$1, DicR!$6:$6, 0), FALSE),
            0
        )
)</f>
        <v>0</v>
      </c>
      <c r="AF97" s="36">
        <f t="array" ref="AF97">SUM(
    IFERROR(
            VLOOKUP($A97, INDIRECT("EneR!$A$6:$ZZ$1048576"), MATCH(AF$1, EneR!$6:$6, 0), FALSE),
            0
        ) +
        IFERROR(
            VLOOKUP($A97, INDIRECT("FebR!$A$6:$ZZ$1048576"), MATCH(AF$1, FebR!$6:$6, 0), FALSE),
            0
        ) +
        IFERROR(
            VLOOKUP($A97, INDIRECT("MarR!$A$6:$ZZ$1048576"), MATCH(AF$1, MarR!$6:$6, 0), FALSE),
            0
        ) +
        IFERROR(
            VLOOKUP($A97, INDIRECT("AbrR!$A$6:$ZZ$1048576"), MATCH(AF$1, AbrR!$6:$6, 0), FALSE),
            0
        ) +
        IFERROR(
            VLOOKUP($A97, INDIRECT("MayR!$A$6:$ZZ$1048576"), MATCH(AF$1, MayR!$6:$6, 0), FALSE),
            0
        ) +
        IFERROR(
            VLOOKUP($A97, INDIRECT("JunR!$A$6:$ZZ$1048576"), MATCH(AF$1, JunR!$6:$6, 0), FALSE),
            0
        ) +
        IFERROR(
            VLOOKUP($A97, INDIRECT("JulR!$A$6:$ZZ$1048576"), MATCH(AF$1, JulR!$6:$6, 0), FALSE),
            0
        ) +
        IFERROR(
            VLOOKUP($A97, INDIRECT("AgoR!$A$6:$ZZ$1048576"), MATCH(AF$1, AgoR!$6:$6, 0), FALSE),
            0
        ) +
        IFERROR(
            VLOOKUP($A97, INDIRECT("SepR!$A$6:$ZZ$1048576"), MATCH(AF$1, SepR!$6:$6, 0), FALSE),
            0
        ) +
        IFERROR(
            VLOOKUP($A97, INDIRECT("OctR!$A$6:$ZZ$1048576"), MATCH(AF$1, OctR!$6:$6, 0), FALSE),
            0
        ) +
        IFERROR(
            VLOOKUP($A97, INDIRECT("NovR!$A$6:$ZZ$1048576"), MATCH(AF$1, NovR!$6:$6, 0), FALSE),
            0
        ) +
        IFERROR(
            VLOOKUP($A97, INDIRECT("DicR!$A$6:$ZZ$1048576"), MATCH(AF$1, DicR!$6:$6, 0), FALSE),
            0
        )
)</f>
        <v>0</v>
      </c>
      <c r="AG97" s="37">
        <f t="array" ref="AG97">SUM(
    IFERROR(
            VLOOKUP($A97, INDIRECT("EneR!$A$6:$ZZ$1048576"), MATCH(AG$1, EneR!$6:$6, 0), FALSE),
            0
        ) +
        IFERROR(
            VLOOKUP($A97, INDIRECT("FebR!$A$6:$ZZ$1048576"), MATCH(AG$1, FebR!$6:$6, 0), FALSE),
            0
        ) +
        IFERROR(
            VLOOKUP($A97, INDIRECT("MarR!$A$6:$ZZ$1048576"), MATCH(AG$1, MarR!$6:$6, 0), FALSE),
            0
        ) +
        IFERROR(
            VLOOKUP($A97, INDIRECT("AbrR!$A$6:$ZZ$1048576"), MATCH(AG$1, AbrR!$6:$6, 0), FALSE),
            0
        ) +
        IFERROR(
            VLOOKUP($A97, INDIRECT("MayR!$A$6:$ZZ$1048576"), MATCH(AG$1, MayR!$6:$6, 0), FALSE),
            0
        ) +
        IFERROR(
            VLOOKUP($A97, INDIRECT("JunR!$A$6:$ZZ$1048576"), MATCH(AG$1, JunR!$6:$6, 0), FALSE),
            0
        ) +
        IFERROR(
            VLOOKUP($A97, INDIRECT("JulR!$A$6:$ZZ$1048576"), MATCH(AG$1, JulR!$6:$6, 0), FALSE),
            0
        ) +
        IFERROR(
            VLOOKUP($A97, INDIRECT("AgoR!$A$6:$ZZ$1048576"), MATCH(AG$1, AgoR!$6:$6, 0), FALSE),
            0
        ) +
        IFERROR(
            VLOOKUP($A97, INDIRECT("SepR!$A$6:$ZZ$1048576"), MATCH(AG$1, SepR!$6:$6, 0), FALSE),
            0
        ) +
        IFERROR(
            VLOOKUP($A97, INDIRECT("OctR!$A$6:$ZZ$1048576"), MATCH(AG$1, OctR!$6:$6, 0), FALSE),
            0
        ) +
        IFERROR(
            VLOOKUP($A97, INDIRECT("NovR!$A$6:$ZZ$1048576"), MATCH(AG$1, NovR!$6:$6, 0), FALSE),
            0
        ) +
        IFERROR(
            VLOOKUP($A97, INDIRECT("DicR!$A$6:$ZZ$1048576"), MATCH(AG$1, DicR!$6:$6, 0), FALSE),
            0
        )
)</f>
        <v>0</v>
      </c>
      <c r="AH97" s="36">
        <f t="array" ref="AH97">SUM(
    IFERROR(
            VLOOKUP($A97, INDIRECT("EneR!$A$6:$ZZ$1048576"), MATCH(AH$1, EneR!$6:$6, 0), FALSE),
            0
        ) +
        IFERROR(
            VLOOKUP($A97, INDIRECT("FebR!$A$6:$ZZ$1048576"), MATCH(AH$1, FebR!$6:$6, 0), FALSE),
            0
        ) +
        IFERROR(
            VLOOKUP($A97, INDIRECT("MarR!$A$6:$ZZ$1048576"), MATCH(AH$1, MarR!$6:$6, 0), FALSE),
            0
        ) +
        IFERROR(
            VLOOKUP($A97, INDIRECT("AbrR!$A$6:$ZZ$1048576"), MATCH(AH$1, AbrR!$6:$6, 0), FALSE),
            0
        ) +
        IFERROR(
            VLOOKUP($A97, INDIRECT("MayR!$A$6:$ZZ$1048576"), MATCH(AH$1, MayR!$6:$6, 0), FALSE),
            0
        ) +
        IFERROR(
            VLOOKUP($A97, INDIRECT("JunR!$A$6:$ZZ$1048576"), MATCH(AH$1, JunR!$6:$6, 0), FALSE),
            0
        ) +
        IFERROR(
            VLOOKUP($A97, INDIRECT("JulR!$A$6:$ZZ$1048576"), MATCH(AH$1, JulR!$6:$6, 0), FALSE),
            0
        ) +
        IFERROR(
            VLOOKUP($A97, INDIRECT("AgoR!$A$6:$ZZ$1048576"), MATCH(AH$1, AgoR!$6:$6, 0), FALSE),
            0
        ) +
        IFERROR(
            VLOOKUP($A97, INDIRECT("SepR!$A$6:$ZZ$1048576"), MATCH(AH$1, SepR!$6:$6, 0), FALSE),
            0
        ) +
        IFERROR(
            VLOOKUP($A97, INDIRECT("OctR!$A$6:$ZZ$1048576"), MATCH(AH$1, OctR!$6:$6, 0), FALSE),
            0
        ) +
        IFERROR(
            VLOOKUP($A97, INDIRECT("NovR!$A$6:$ZZ$1048576"), MATCH(AH$1, NovR!$6:$6, 0), FALSE),
            0
        ) +
        IFERROR(
            VLOOKUP($A97, INDIRECT("DicR!$A$6:$ZZ$1048576"), MATCH(AH$1, DicR!$6:$6, 0), FALSE),
            0
        )
)</f>
        <v>0</v>
      </c>
      <c r="AI97" s="37">
        <f t="array" ref="AI97">SUM(
    IFERROR(
            VLOOKUP($A97, INDIRECT("EneR!$A$6:$ZZ$1048576"), MATCH(AI$1, EneR!$6:$6, 0), FALSE),
            0
        ) +
        IFERROR(
            VLOOKUP($A97, INDIRECT("FebR!$A$6:$ZZ$1048576"), MATCH(AI$1, FebR!$6:$6, 0), FALSE),
            0
        ) +
        IFERROR(
            VLOOKUP($A97, INDIRECT("MarR!$A$6:$ZZ$1048576"), MATCH(AI$1, MarR!$6:$6, 0), FALSE),
            0
        ) +
        IFERROR(
            VLOOKUP($A97, INDIRECT("AbrR!$A$6:$ZZ$1048576"), MATCH(AI$1, AbrR!$6:$6, 0), FALSE),
            0
        ) +
        IFERROR(
            VLOOKUP($A97, INDIRECT("MayR!$A$6:$ZZ$1048576"), MATCH(AI$1, MayR!$6:$6, 0), FALSE),
            0
        ) +
        IFERROR(
            VLOOKUP($A97, INDIRECT("JunR!$A$6:$ZZ$1048576"), MATCH(AI$1, JunR!$6:$6, 0), FALSE),
            0
        ) +
        IFERROR(
            VLOOKUP($A97, INDIRECT("JulR!$A$6:$ZZ$1048576"), MATCH(AI$1, JulR!$6:$6, 0), FALSE),
            0
        ) +
        IFERROR(
            VLOOKUP($A97, INDIRECT("AgoR!$A$6:$ZZ$1048576"), MATCH(AI$1, AgoR!$6:$6, 0), FALSE),
            0
        ) +
        IFERROR(
            VLOOKUP($A97, INDIRECT("SepR!$A$6:$ZZ$1048576"), MATCH(AI$1, SepR!$6:$6, 0), FALSE),
            0
        ) +
        IFERROR(
            VLOOKUP($A97, INDIRECT("OctR!$A$6:$ZZ$1048576"), MATCH(AI$1, OctR!$6:$6, 0), FALSE),
            0
        ) +
        IFERROR(
            VLOOKUP($A97, INDIRECT("NovR!$A$6:$ZZ$1048576"), MATCH(AI$1, NovR!$6:$6, 0), FALSE),
            0
        ) +
        IFERROR(
            VLOOKUP($A97, INDIRECT("DicR!$A$6:$ZZ$1048576"), MATCH(AI$1, DicR!$6:$6, 0), FALSE),
            0
        )
)</f>
        <v>0</v>
      </c>
      <c r="AJ97" s="36">
        <f t="array" ref="AJ97">SUM(
    IFERROR(
            VLOOKUP($A97, INDIRECT("EneR!$A$6:$ZZ$1048576"), MATCH(AJ$1, EneR!$6:$6, 0), FALSE),
            0
        ) +
        IFERROR(
            VLOOKUP($A97, INDIRECT("FebR!$A$6:$ZZ$1048576"), MATCH(AJ$1, FebR!$6:$6, 0), FALSE),
            0
        ) +
        IFERROR(
            VLOOKUP($A97, INDIRECT("MarR!$A$6:$ZZ$1048576"), MATCH(AJ$1, MarR!$6:$6, 0), FALSE),
            0
        ) +
        IFERROR(
            VLOOKUP($A97, INDIRECT("AbrR!$A$6:$ZZ$1048576"), MATCH(AJ$1, AbrR!$6:$6, 0), FALSE),
            0
        ) +
        IFERROR(
            VLOOKUP($A97, INDIRECT("MayR!$A$6:$ZZ$1048576"), MATCH(AJ$1, MayR!$6:$6, 0), FALSE),
            0
        ) +
        IFERROR(
            VLOOKUP($A97, INDIRECT("JunR!$A$6:$ZZ$1048576"), MATCH(AJ$1, JunR!$6:$6, 0), FALSE),
            0
        ) +
        IFERROR(
            VLOOKUP($A97, INDIRECT("JulR!$A$6:$ZZ$1048576"), MATCH(AJ$1, JulR!$6:$6, 0), FALSE),
            0
        ) +
        IFERROR(
            VLOOKUP($A97, INDIRECT("AgoR!$A$6:$ZZ$1048576"), MATCH(AJ$1, AgoR!$6:$6, 0), FALSE),
            0
        ) +
        IFERROR(
            VLOOKUP($A97, INDIRECT("SepR!$A$6:$ZZ$1048576"), MATCH(AJ$1, SepR!$6:$6, 0), FALSE),
            0
        ) +
        IFERROR(
            VLOOKUP($A97, INDIRECT("OctR!$A$6:$ZZ$1048576"), MATCH(AJ$1, OctR!$6:$6, 0), FALSE),
            0
        ) +
        IFERROR(
            VLOOKUP($A97, INDIRECT("NovR!$A$6:$ZZ$1048576"), MATCH(AJ$1, NovR!$6:$6, 0), FALSE),
            0
        ) +
        IFERROR(
            VLOOKUP($A97, INDIRECT("DicR!$A$6:$ZZ$1048576"), MATCH(AJ$1, DicR!$6:$6, 0), FALSE),
            0
        )
)</f>
        <v>0</v>
      </c>
      <c r="AK97" s="37">
        <f t="array" ref="AK97">SUM(
    IFERROR(
            VLOOKUP($A97, INDIRECT("EneR!$A$6:$ZZ$1048576"), MATCH(AK$1, EneR!$6:$6, 0), FALSE),
            0
        ) +
        IFERROR(
            VLOOKUP($A97, INDIRECT("FebR!$A$6:$ZZ$1048576"), MATCH(AK$1, FebR!$6:$6, 0), FALSE),
            0
        ) +
        IFERROR(
            VLOOKUP($A97, INDIRECT("MarR!$A$6:$ZZ$1048576"), MATCH(AK$1, MarR!$6:$6, 0), FALSE),
            0
        ) +
        IFERROR(
            VLOOKUP($A97, INDIRECT("AbrR!$A$6:$ZZ$1048576"), MATCH(AK$1, AbrR!$6:$6, 0), FALSE),
            0
        ) +
        IFERROR(
            VLOOKUP($A97, INDIRECT("MayR!$A$6:$ZZ$1048576"), MATCH(AK$1, MayR!$6:$6, 0), FALSE),
            0
        ) +
        IFERROR(
            VLOOKUP($A97, INDIRECT("JunR!$A$6:$ZZ$1048576"), MATCH(AK$1, JunR!$6:$6, 0), FALSE),
            0
        ) +
        IFERROR(
            VLOOKUP($A97, INDIRECT("JulR!$A$6:$ZZ$1048576"), MATCH(AK$1, JulR!$6:$6, 0), FALSE),
            0
        ) +
        IFERROR(
            VLOOKUP($A97, INDIRECT("AgoR!$A$6:$ZZ$1048576"), MATCH(AK$1, AgoR!$6:$6, 0), FALSE),
            0
        ) +
        IFERROR(
            VLOOKUP($A97, INDIRECT("SepR!$A$6:$ZZ$1048576"), MATCH(AK$1, SepR!$6:$6, 0), FALSE),
            0
        ) +
        IFERROR(
            VLOOKUP($A97, INDIRECT("OctR!$A$6:$ZZ$1048576"), MATCH(AK$1, OctR!$6:$6, 0), FALSE),
            0
        ) +
        IFERROR(
            VLOOKUP($A97, INDIRECT("NovR!$A$6:$ZZ$1048576"), MATCH(AK$1, NovR!$6:$6, 0), FALSE),
            0
        ) +
        IFERROR(
            VLOOKUP($A97, INDIRECT("DicR!$A$6:$ZZ$1048576"), MATCH(AK$1, DicR!$6:$6, 0), FALSE),
            0
        )
)</f>
        <v>0</v>
      </c>
      <c r="AL97" s="36">
        <f t="array" ref="AL97">SUM(
    IFERROR(
            VLOOKUP($A97, INDIRECT("EneR!$A$6:$ZZ$1048576"), MATCH(AL$1, EneR!$6:$6, 0), FALSE),
            0
        ) +
        IFERROR(
            VLOOKUP($A97, INDIRECT("FebR!$A$6:$ZZ$1048576"), MATCH(AL$1, FebR!$6:$6, 0), FALSE),
            0
        ) +
        IFERROR(
            VLOOKUP($A97, INDIRECT("MarR!$A$6:$ZZ$1048576"), MATCH(AL$1, MarR!$6:$6, 0), FALSE),
            0
        ) +
        IFERROR(
            VLOOKUP($A97, INDIRECT("AbrR!$A$6:$ZZ$1048576"), MATCH(AL$1, AbrR!$6:$6, 0), FALSE),
            0
        ) +
        IFERROR(
            VLOOKUP($A97, INDIRECT("MayR!$A$6:$ZZ$1048576"), MATCH(AL$1, MayR!$6:$6, 0), FALSE),
            0
        ) +
        IFERROR(
            VLOOKUP($A97, INDIRECT("JunR!$A$6:$ZZ$1048576"), MATCH(AL$1, JunR!$6:$6, 0), FALSE),
            0
        ) +
        IFERROR(
            VLOOKUP($A97, INDIRECT("JulR!$A$6:$ZZ$1048576"), MATCH(AL$1, JulR!$6:$6, 0), FALSE),
            0
        ) +
        IFERROR(
            VLOOKUP($A97, INDIRECT("AgoR!$A$6:$ZZ$1048576"), MATCH(AL$1, AgoR!$6:$6, 0), FALSE),
            0
        ) +
        IFERROR(
            VLOOKUP($A97, INDIRECT("SepR!$A$6:$ZZ$1048576"), MATCH(AL$1, SepR!$6:$6, 0), FALSE),
            0
        ) +
        IFERROR(
            VLOOKUP($A97, INDIRECT("OctR!$A$6:$ZZ$1048576"), MATCH(AL$1, OctR!$6:$6, 0), FALSE),
            0
        ) +
        IFERROR(
            VLOOKUP($A97, INDIRECT("NovR!$A$6:$ZZ$1048576"), MATCH(AL$1, NovR!$6:$6, 0), FALSE),
            0
        ) +
        IFERROR(
            VLOOKUP($A97, INDIRECT("DicR!$A$6:$ZZ$1048576"), MATCH(AL$1, DicR!$6:$6, 0), FALSE),
            0
        )
)</f>
        <v>0</v>
      </c>
      <c r="AM97" s="37">
        <f t="array" ref="AM97">SUM(
    IFERROR(
            VLOOKUP($A97, INDIRECT("EneR!$A$6:$ZZ$1048576"), MATCH(AM$1, EneR!$6:$6, 0), FALSE),
            0
        ) +
        IFERROR(
            VLOOKUP($A97, INDIRECT("FebR!$A$6:$ZZ$1048576"), MATCH(AM$1, FebR!$6:$6, 0), FALSE),
            0
        ) +
        IFERROR(
            VLOOKUP($A97, INDIRECT("MarR!$A$6:$ZZ$1048576"), MATCH(AM$1, MarR!$6:$6, 0), FALSE),
            0
        ) +
        IFERROR(
            VLOOKUP($A97, INDIRECT("AbrR!$A$6:$ZZ$1048576"), MATCH(AM$1, AbrR!$6:$6, 0), FALSE),
            0
        ) +
        IFERROR(
            VLOOKUP($A97, INDIRECT("MayR!$A$6:$ZZ$1048576"), MATCH(AM$1, MayR!$6:$6, 0), FALSE),
            0
        ) +
        IFERROR(
            VLOOKUP($A97, INDIRECT("JunR!$A$6:$ZZ$1048576"), MATCH(AM$1, JunR!$6:$6, 0), FALSE),
            0
        ) +
        IFERROR(
            VLOOKUP($A97, INDIRECT("JulR!$A$6:$ZZ$1048576"), MATCH(AM$1, JulR!$6:$6, 0), FALSE),
            0
        ) +
        IFERROR(
            VLOOKUP($A97, INDIRECT("AgoR!$A$6:$ZZ$1048576"), MATCH(AM$1, AgoR!$6:$6, 0), FALSE),
            0
        ) +
        IFERROR(
            VLOOKUP($A97, INDIRECT("SepR!$A$6:$ZZ$1048576"), MATCH(AM$1, SepR!$6:$6, 0), FALSE),
            0
        ) +
        IFERROR(
            VLOOKUP($A97, INDIRECT("OctR!$A$6:$ZZ$1048576"), MATCH(AM$1, OctR!$6:$6, 0), FALSE),
            0
        ) +
        IFERROR(
            VLOOKUP($A97, INDIRECT("NovR!$A$6:$ZZ$1048576"), MATCH(AM$1, NovR!$6:$6, 0), FALSE),
            0
        ) +
        IFERROR(
            VLOOKUP($A97, INDIRECT("DicR!$A$6:$ZZ$1048576"), MATCH(AM$1, DicR!$6:$6, 0), FALSE),
            0
        )
)</f>
        <v>0</v>
      </c>
      <c r="AN97" s="32">
        <f t="array" ref="AN97">SUM(
    IFERROR(
            VLOOKUP($A97, INDIRECT("EneR!$A$6:$ZZ$1048576"), MATCH(AN$1, EneR!$6:$6, 0), FALSE),
            0
        ) +
        IFERROR(
            VLOOKUP($A97, INDIRECT("FebR!$A$6:$ZZ$1048576"), MATCH(AN$1, FebR!$6:$6, 0), FALSE),
            0
        ) +
        IFERROR(
            VLOOKUP($A97, INDIRECT("MarR!$A$6:$ZZ$1048576"), MATCH(AN$1, MarR!$6:$6, 0), FALSE),
            0
        ) +
        IFERROR(
            VLOOKUP($A97, INDIRECT("AbrR!$A$6:$ZZ$1048576"), MATCH(AN$1, AbrR!$6:$6, 0), FALSE),
            0
        ) +
        IFERROR(
            VLOOKUP($A97, INDIRECT("MayR!$A$6:$ZZ$1048576"), MATCH(AN$1, MayR!$6:$6, 0), FALSE),
            0
        ) +
        IFERROR(
            VLOOKUP($A97, INDIRECT("JunR!$A$6:$ZZ$1048576"), MATCH(AN$1, JunR!$6:$6, 0), FALSE),
            0
        ) +
        IFERROR(
            VLOOKUP($A97, INDIRECT("JulR!$A$6:$ZZ$1048576"), MATCH(AN$1, JulR!$6:$6, 0), FALSE),
            0
        ) +
        IFERROR(
            VLOOKUP($A97, INDIRECT("AgoR!$A$6:$ZZ$1048576"), MATCH(AN$1, AgoR!$6:$6, 0), FALSE),
            0
        ) +
        IFERROR(
            VLOOKUP($A97, INDIRECT("SepR!$A$6:$ZZ$1048576"), MATCH(AN$1, SepR!$6:$6, 0), FALSE),
            0
        ) +
        IFERROR(
            VLOOKUP($A97, INDIRECT("OctR!$A$6:$ZZ$1048576"), MATCH(AN$1, OctR!$6:$6, 0), FALSE),
            0
        ) +
        IFERROR(
            VLOOKUP($A97, INDIRECT("NovR!$A$6:$ZZ$1048576"), MATCH(AN$1, NovR!$6:$6, 0), FALSE),
            0
        ) +
        IFERROR(
            VLOOKUP($A97, INDIRECT("DicR!$A$6:$ZZ$1048576"), MATCH(AN$1, DicR!$6:$6, 0), FALSE),
            0
        )
)</f>
        <v>0</v>
      </c>
      <c r="AO97" s="35">
        <f t="array" ref="AO97">SUM(
    IFERROR(
            VLOOKUP($A97, INDIRECT("EneR!$A$6:$ZZ$1048576"), MATCH(AO$1, EneR!$6:$6, 0), FALSE),
            0
        ) +
        IFERROR(
            VLOOKUP($A97, INDIRECT("FebR!$A$6:$ZZ$1048576"), MATCH(AO$1, FebR!$6:$6, 0), FALSE),
            0
        ) +
        IFERROR(
            VLOOKUP($A97, INDIRECT("MarR!$A$6:$ZZ$1048576"), MATCH(AO$1, MarR!$6:$6, 0), FALSE),
            0
        ) +
        IFERROR(
            VLOOKUP($A97, INDIRECT("AbrR!$A$6:$ZZ$1048576"), MATCH(AO$1, AbrR!$6:$6, 0), FALSE),
            0
        ) +
        IFERROR(
            VLOOKUP($A97, INDIRECT("MayR!$A$6:$ZZ$1048576"), MATCH(AO$1, MayR!$6:$6, 0), FALSE),
            0
        ) +
        IFERROR(
            VLOOKUP($A97, INDIRECT("JunR!$A$6:$ZZ$1048576"), MATCH(AO$1, JunR!$6:$6, 0), FALSE),
            0
        ) +
        IFERROR(
            VLOOKUP($A97, INDIRECT("JulR!$A$6:$ZZ$1048576"), MATCH(AO$1, JulR!$6:$6, 0), FALSE),
            0
        ) +
        IFERROR(
            VLOOKUP($A97, INDIRECT("AgoR!$A$6:$ZZ$1048576"), MATCH(AO$1, AgoR!$6:$6, 0), FALSE),
            0
        ) +
        IFERROR(
            VLOOKUP($A97, INDIRECT("SepR!$A$6:$ZZ$1048576"), MATCH(AO$1, SepR!$6:$6, 0), FALSE),
            0
        ) +
        IFERROR(
            VLOOKUP($A97, INDIRECT("OctR!$A$6:$ZZ$1048576"), MATCH(AO$1, OctR!$6:$6, 0), FALSE),
            0
        ) +
        IFERROR(
            VLOOKUP($A97, INDIRECT("NovR!$A$6:$ZZ$1048576"), MATCH(AO$1, NovR!$6:$6, 0), FALSE),
            0
        ) +
        IFERROR(
            VLOOKUP($A97, INDIRECT("DicR!$A$6:$ZZ$1048576"), MATCH(AO$1, DicR!$6:$6, 0), FALSE),
            0
        )
)</f>
        <v>0</v>
      </c>
      <c r="AP97" s="36">
        <f t="array" ref="AP97">SUM(
    IFERROR(
            VLOOKUP($A97, INDIRECT("EneR!$A$6:$ZZ$1048576"), MATCH(AP$1, EneR!$6:$6, 0), FALSE),
            0
        ) +
        IFERROR(
            VLOOKUP($A97, INDIRECT("FebR!$A$6:$ZZ$1048576"), MATCH(AP$1, FebR!$6:$6, 0), FALSE),
            0
        ) +
        IFERROR(
            VLOOKUP($A97, INDIRECT("MarR!$A$6:$ZZ$1048576"), MATCH(AP$1, MarR!$6:$6, 0), FALSE),
            0
        ) +
        IFERROR(
            VLOOKUP($A97, INDIRECT("AbrR!$A$6:$ZZ$1048576"), MATCH(AP$1, AbrR!$6:$6, 0), FALSE),
            0
        ) +
        IFERROR(
            VLOOKUP($A97, INDIRECT("MayR!$A$6:$ZZ$1048576"), MATCH(AP$1, MayR!$6:$6, 0), FALSE),
            0
        ) +
        IFERROR(
            VLOOKUP($A97, INDIRECT("JunR!$A$6:$ZZ$1048576"), MATCH(AP$1, JunR!$6:$6, 0), FALSE),
            0
        ) +
        IFERROR(
            VLOOKUP($A97, INDIRECT("JulR!$A$6:$ZZ$1048576"), MATCH(AP$1, JulR!$6:$6, 0), FALSE),
            0
        ) +
        IFERROR(
            VLOOKUP($A97, INDIRECT("AgoR!$A$6:$ZZ$1048576"), MATCH(AP$1, AgoR!$6:$6, 0), FALSE),
            0
        ) +
        IFERROR(
            VLOOKUP($A97, INDIRECT("SepR!$A$6:$ZZ$1048576"), MATCH(AP$1, SepR!$6:$6, 0), FALSE),
            0
        ) +
        IFERROR(
            VLOOKUP($A97, INDIRECT("OctR!$A$6:$ZZ$1048576"), MATCH(AP$1, OctR!$6:$6, 0), FALSE),
            0
        ) +
        IFERROR(
            VLOOKUP($A97, INDIRECT("NovR!$A$6:$ZZ$1048576"), MATCH(AP$1, NovR!$6:$6, 0), FALSE),
            0
        ) +
        IFERROR(
            VLOOKUP($A97, INDIRECT("DicR!$A$6:$ZZ$1048576"), MATCH(AP$1, DicR!$6:$6, 0), FALSE),
            0
        )
)</f>
        <v>0</v>
      </c>
      <c r="AQ97" s="35">
        <f t="array" ref="AQ97">SUM(
    IFERROR(
            VLOOKUP($A97, INDIRECT("EneR!$A$6:$ZZ$1048576"), MATCH(AQ$1, EneR!$6:$6, 0), FALSE),
            0
        ) +
        IFERROR(
            VLOOKUP($A97, INDIRECT("FebR!$A$6:$ZZ$1048576"), MATCH(AQ$1, FebR!$6:$6, 0), FALSE),
            0
        ) +
        IFERROR(
            VLOOKUP($A97, INDIRECT("MarR!$A$6:$ZZ$1048576"), MATCH(AQ$1, MarR!$6:$6, 0), FALSE),
            0
        ) +
        IFERROR(
            VLOOKUP($A97, INDIRECT("AbrR!$A$6:$ZZ$1048576"), MATCH(AQ$1, AbrR!$6:$6, 0), FALSE),
            0
        ) +
        IFERROR(
            VLOOKUP($A97, INDIRECT("MayR!$A$6:$ZZ$1048576"), MATCH(AQ$1, MayR!$6:$6, 0), FALSE),
            0
        ) +
        IFERROR(
            VLOOKUP($A97, INDIRECT("JunR!$A$6:$ZZ$1048576"), MATCH(AQ$1, JunR!$6:$6, 0), FALSE),
            0
        ) +
        IFERROR(
            VLOOKUP($A97, INDIRECT("JulR!$A$6:$ZZ$1048576"), MATCH(AQ$1, JulR!$6:$6, 0), FALSE),
            0
        ) +
        IFERROR(
            VLOOKUP($A97, INDIRECT("AgoR!$A$6:$ZZ$1048576"), MATCH(AQ$1, AgoR!$6:$6, 0), FALSE),
            0
        ) +
        IFERROR(
            VLOOKUP($A97, INDIRECT("SepR!$A$6:$ZZ$1048576"), MATCH(AQ$1, SepR!$6:$6, 0), FALSE),
            0
        ) +
        IFERROR(
            VLOOKUP($A97, INDIRECT("OctR!$A$6:$ZZ$1048576"), MATCH(AQ$1, OctR!$6:$6, 0), FALSE),
            0
        ) +
        IFERROR(
            VLOOKUP($A97, INDIRECT("NovR!$A$6:$ZZ$1048576"), MATCH(AQ$1, NovR!$6:$6, 0), FALSE),
            0
        ) +
        IFERROR(
            VLOOKUP($A97, INDIRECT("DicR!$A$6:$ZZ$1048576"), MATCH(AQ$1, DicR!$6:$6, 0), FALSE),
            0
        )
)</f>
        <v>0</v>
      </c>
      <c r="AR97" s="36">
        <f t="array" ref="AR97">SUM(
    IFERROR(
            VLOOKUP($A97, INDIRECT("EneR!$A$6:$ZZ$1048576"), MATCH(AR$1, EneR!$6:$6, 0), FALSE),
            0
        ) +
        IFERROR(
            VLOOKUP($A97, INDIRECT("FebR!$A$6:$ZZ$1048576"), MATCH(AR$1, FebR!$6:$6, 0), FALSE),
            0
        ) +
        IFERROR(
            VLOOKUP($A97, INDIRECT("MarR!$A$6:$ZZ$1048576"), MATCH(AR$1, MarR!$6:$6, 0), FALSE),
            0
        ) +
        IFERROR(
            VLOOKUP($A97, INDIRECT("AbrR!$A$6:$ZZ$1048576"), MATCH(AR$1, AbrR!$6:$6, 0), FALSE),
            0
        ) +
        IFERROR(
            VLOOKUP($A97, INDIRECT("MayR!$A$6:$ZZ$1048576"), MATCH(AR$1, MayR!$6:$6, 0), FALSE),
            0
        ) +
        IFERROR(
            VLOOKUP($A97, INDIRECT("JunR!$A$6:$ZZ$1048576"), MATCH(AR$1, JunR!$6:$6, 0), FALSE),
            0
        ) +
        IFERROR(
            VLOOKUP($A97, INDIRECT("JulR!$A$6:$ZZ$1048576"), MATCH(AR$1, JulR!$6:$6, 0), FALSE),
            0
        ) +
        IFERROR(
            VLOOKUP($A97, INDIRECT("AgoR!$A$6:$ZZ$1048576"), MATCH(AR$1, AgoR!$6:$6, 0), FALSE),
            0
        ) +
        IFERROR(
            VLOOKUP($A97, INDIRECT("SepR!$A$6:$ZZ$1048576"), MATCH(AR$1, SepR!$6:$6, 0), FALSE),
            0
        ) +
        IFERROR(
            VLOOKUP($A97, INDIRECT("OctR!$A$6:$ZZ$1048576"), MATCH(AR$1, OctR!$6:$6, 0), FALSE),
            0
        ) +
        IFERROR(
            VLOOKUP($A97, INDIRECT("NovR!$A$6:$ZZ$1048576"), MATCH(AR$1, NovR!$6:$6, 0), FALSE),
            0
        ) +
        IFERROR(
            VLOOKUP($A97, INDIRECT("DicR!$A$6:$ZZ$1048576"), MATCH(AR$1, DicR!$6:$6, 0), FALSE),
            0
        )
)</f>
        <v>0</v>
      </c>
      <c r="AS97" s="35">
        <f t="array" ref="AS97">SUM(
    IFERROR(
            VLOOKUP($A97, INDIRECT("EneR!$A$6:$ZZ$1048576"), MATCH(AS$1, EneR!$6:$6, 0), FALSE),
            0
        ) +
        IFERROR(
            VLOOKUP($A97, INDIRECT("FebR!$A$6:$ZZ$1048576"), MATCH(AS$1, FebR!$6:$6, 0), FALSE),
            0
        ) +
        IFERROR(
            VLOOKUP($A97, INDIRECT("MarR!$A$6:$ZZ$1048576"), MATCH(AS$1, MarR!$6:$6, 0), FALSE),
            0
        ) +
        IFERROR(
            VLOOKUP($A97, INDIRECT("AbrR!$A$6:$ZZ$1048576"), MATCH(AS$1, AbrR!$6:$6, 0), FALSE),
            0
        ) +
        IFERROR(
            VLOOKUP($A97, INDIRECT("MayR!$A$6:$ZZ$1048576"), MATCH(AS$1, MayR!$6:$6, 0), FALSE),
            0
        ) +
        IFERROR(
            VLOOKUP($A97, INDIRECT("JunR!$A$6:$ZZ$1048576"), MATCH(AS$1, JunR!$6:$6, 0), FALSE),
            0
        ) +
        IFERROR(
            VLOOKUP($A97, INDIRECT("JulR!$A$6:$ZZ$1048576"), MATCH(AS$1, JulR!$6:$6, 0), FALSE),
            0
        ) +
        IFERROR(
            VLOOKUP($A97, INDIRECT("AgoR!$A$6:$ZZ$1048576"), MATCH(AS$1, AgoR!$6:$6, 0), FALSE),
            0
        ) +
        IFERROR(
            VLOOKUP($A97, INDIRECT("SepR!$A$6:$ZZ$1048576"), MATCH(AS$1, SepR!$6:$6, 0), FALSE),
            0
        ) +
        IFERROR(
            VLOOKUP($A97, INDIRECT("OctR!$A$6:$ZZ$1048576"), MATCH(AS$1, OctR!$6:$6, 0), FALSE),
            0
        ) +
        IFERROR(
            VLOOKUP($A97, INDIRECT("NovR!$A$6:$ZZ$1048576"), MATCH(AS$1, NovR!$6:$6, 0), FALSE),
            0
        ) +
        IFERROR(
            VLOOKUP($A97, INDIRECT("DicR!$A$6:$ZZ$1048576"), MATCH(AS$1, DicR!$6:$6, 0), FALSE),
            0
        )
)</f>
        <v>0</v>
      </c>
      <c r="AT97" s="36">
        <f t="array" ref="AT97">SUM(
    IFERROR(
            VLOOKUP($A97, INDIRECT("EneR!$A$6:$ZZ$1048576"), MATCH(AT$1, EneR!$6:$6, 0), FALSE),
            0
        ) +
        IFERROR(
            VLOOKUP($A97, INDIRECT("FebR!$A$6:$ZZ$1048576"), MATCH(AT$1, FebR!$6:$6, 0), FALSE),
            0
        ) +
        IFERROR(
            VLOOKUP($A97, INDIRECT("MarR!$A$6:$ZZ$1048576"), MATCH(AT$1, MarR!$6:$6, 0), FALSE),
            0
        ) +
        IFERROR(
            VLOOKUP($A97, INDIRECT("AbrR!$A$6:$ZZ$1048576"), MATCH(AT$1, AbrR!$6:$6, 0), FALSE),
            0
        ) +
        IFERROR(
            VLOOKUP($A97, INDIRECT("MayR!$A$6:$ZZ$1048576"), MATCH(AT$1, MayR!$6:$6, 0), FALSE),
            0
        ) +
        IFERROR(
            VLOOKUP($A97, INDIRECT("JunR!$A$6:$ZZ$1048576"), MATCH(AT$1, JunR!$6:$6, 0), FALSE),
            0
        ) +
        IFERROR(
            VLOOKUP($A97, INDIRECT("JulR!$A$6:$ZZ$1048576"), MATCH(AT$1, JulR!$6:$6, 0), FALSE),
            0
        ) +
        IFERROR(
            VLOOKUP($A97, INDIRECT("AgoR!$A$6:$ZZ$1048576"), MATCH(AT$1, AgoR!$6:$6, 0), FALSE),
            0
        ) +
        IFERROR(
            VLOOKUP($A97, INDIRECT("SepR!$A$6:$ZZ$1048576"), MATCH(AT$1, SepR!$6:$6, 0), FALSE),
            0
        ) +
        IFERROR(
            VLOOKUP($A97, INDIRECT("OctR!$A$6:$ZZ$1048576"), MATCH(AT$1, OctR!$6:$6, 0), FALSE),
            0
        ) +
        IFERROR(
            VLOOKUP($A97, INDIRECT("NovR!$A$6:$ZZ$1048576"), MATCH(AT$1, NovR!$6:$6, 0), FALSE),
            0
        ) +
        IFERROR(
            VLOOKUP($A97, INDIRECT("DicR!$A$6:$ZZ$1048576"), MATCH(AT$1, DicR!$6:$6, 0), FALSE),
            0
        )
)</f>
        <v>0</v>
      </c>
      <c r="AU97" s="35">
        <f t="array" ref="AU97">SUM(
    IFERROR(
            VLOOKUP($A97, INDIRECT("EneR!$A$6:$ZZ$1048576"), MATCH(AU$1, EneR!$6:$6, 0), FALSE),
            0
        ) +
        IFERROR(
            VLOOKUP($A97, INDIRECT("FebR!$A$6:$ZZ$1048576"), MATCH(AU$1, FebR!$6:$6, 0), FALSE),
            0
        ) +
        IFERROR(
            VLOOKUP($A97, INDIRECT("MarR!$A$6:$ZZ$1048576"), MATCH(AU$1, MarR!$6:$6, 0), FALSE),
            0
        ) +
        IFERROR(
            VLOOKUP($A97, INDIRECT("AbrR!$A$6:$ZZ$1048576"), MATCH(AU$1, AbrR!$6:$6, 0), FALSE),
            0
        ) +
        IFERROR(
            VLOOKUP($A97, INDIRECT("MayR!$A$6:$ZZ$1048576"), MATCH(AU$1, MayR!$6:$6, 0), FALSE),
            0
        ) +
        IFERROR(
            VLOOKUP($A97, INDIRECT("JunR!$A$6:$ZZ$1048576"), MATCH(AU$1, JunR!$6:$6, 0), FALSE),
            0
        ) +
        IFERROR(
            VLOOKUP($A97, INDIRECT("JulR!$A$6:$ZZ$1048576"), MATCH(AU$1, JulR!$6:$6, 0), FALSE),
            0
        ) +
        IFERROR(
            VLOOKUP($A97, INDIRECT("AgoR!$A$6:$ZZ$1048576"), MATCH(AU$1, AgoR!$6:$6, 0), FALSE),
            0
        ) +
        IFERROR(
            VLOOKUP($A97, INDIRECT("SepR!$A$6:$ZZ$1048576"), MATCH(AU$1, SepR!$6:$6, 0), FALSE),
            0
        ) +
        IFERROR(
            VLOOKUP($A97, INDIRECT("OctR!$A$6:$ZZ$1048576"), MATCH(AU$1, OctR!$6:$6, 0), FALSE),
            0
        ) +
        IFERROR(
            VLOOKUP($A97, INDIRECT("NovR!$A$6:$ZZ$1048576"), MATCH(AU$1, NovR!$6:$6, 0), FALSE),
            0
        ) +
        IFERROR(
            VLOOKUP($A97, INDIRECT("DicR!$A$6:$ZZ$1048576"), MATCH(AU$1, DicR!$6:$6, 0), FALSE),
            0
        )
)</f>
        <v>0</v>
      </c>
      <c r="AV97" s="36">
        <f t="array" ref="AV97">SUM(
    IFERROR(
            VLOOKUP($A97, INDIRECT("EneR!$A$6:$ZZ$1048576"), MATCH(AV$1, EneR!$6:$6, 0), FALSE),
            0
        ) +
        IFERROR(
            VLOOKUP($A97, INDIRECT("FebR!$A$6:$ZZ$1048576"), MATCH(AV$1, FebR!$6:$6, 0), FALSE),
            0
        ) +
        IFERROR(
            VLOOKUP($A97, INDIRECT("MarR!$A$6:$ZZ$1048576"), MATCH(AV$1, MarR!$6:$6, 0), FALSE),
            0
        ) +
        IFERROR(
            VLOOKUP($A97, INDIRECT("AbrR!$A$6:$ZZ$1048576"), MATCH(AV$1, AbrR!$6:$6, 0), FALSE),
            0
        ) +
        IFERROR(
            VLOOKUP($A97, INDIRECT("MayR!$A$6:$ZZ$1048576"), MATCH(AV$1, MayR!$6:$6, 0), FALSE),
            0
        ) +
        IFERROR(
            VLOOKUP($A97, INDIRECT("JunR!$A$6:$ZZ$1048576"), MATCH(AV$1, JunR!$6:$6, 0), FALSE),
            0
        ) +
        IFERROR(
            VLOOKUP($A97, INDIRECT("JulR!$A$6:$ZZ$1048576"), MATCH(AV$1, JulR!$6:$6, 0), FALSE),
            0
        ) +
        IFERROR(
            VLOOKUP($A97, INDIRECT("AgoR!$A$6:$ZZ$1048576"), MATCH(AV$1, AgoR!$6:$6, 0), FALSE),
            0
        ) +
        IFERROR(
            VLOOKUP($A97, INDIRECT("SepR!$A$6:$ZZ$1048576"), MATCH(AV$1, SepR!$6:$6, 0), FALSE),
            0
        ) +
        IFERROR(
            VLOOKUP($A97, INDIRECT("OctR!$A$6:$ZZ$1048576"), MATCH(AV$1, OctR!$6:$6, 0), FALSE),
            0
        ) +
        IFERROR(
            VLOOKUP($A97, INDIRECT("NovR!$A$6:$ZZ$1048576"), MATCH(AV$1, NovR!$6:$6, 0), FALSE),
            0
        ) +
        IFERROR(
            VLOOKUP($A97, INDIRECT("DicR!$A$6:$ZZ$1048576"), MATCH(AV$1, DicR!$6:$6, 0), FALSE),
            0
        )
)</f>
        <v>0</v>
      </c>
      <c r="AW97" s="35">
        <f t="array" ref="AW97">SUM(
    IFERROR(
            VLOOKUP($A97, INDIRECT("EneR!$A$6:$ZZ$1048576"), MATCH(AW$1, EneR!$6:$6, 0), FALSE),
            0
        ) +
        IFERROR(
            VLOOKUP($A97, INDIRECT("FebR!$A$6:$ZZ$1048576"), MATCH(AW$1, FebR!$6:$6, 0), FALSE),
            0
        ) +
        IFERROR(
            VLOOKUP($A97, INDIRECT("MarR!$A$6:$ZZ$1048576"), MATCH(AW$1, MarR!$6:$6, 0), FALSE),
            0
        ) +
        IFERROR(
            VLOOKUP($A97, INDIRECT("AbrR!$A$6:$ZZ$1048576"), MATCH(AW$1, AbrR!$6:$6, 0), FALSE),
            0
        ) +
        IFERROR(
            VLOOKUP($A97, INDIRECT("MayR!$A$6:$ZZ$1048576"), MATCH(AW$1, MayR!$6:$6, 0), FALSE),
            0
        ) +
        IFERROR(
            VLOOKUP($A97, INDIRECT("JunR!$A$6:$ZZ$1048576"), MATCH(AW$1, JunR!$6:$6, 0), FALSE),
            0
        ) +
        IFERROR(
            VLOOKUP($A97, INDIRECT("JulR!$A$6:$ZZ$1048576"), MATCH(AW$1, JulR!$6:$6, 0), FALSE),
            0
        ) +
        IFERROR(
            VLOOKUP($A97, INDIRECT("AgoR!$A$6:$ZZ$1048576"), MATCH(AW$1, AgoR!$6:$6, 0), FALSE),
            0
        ) +
        IFERROR(
            VLOOKUP($A97, INDIRECT("SepR!$A$6:$ZZ$1048576"), MATCH(AW$1, SepR!$6:$6, 0), FALSE),
            0
        ) +
        IFERROR(
            VLOOKUP($A97, INDIRECT("OctR!$A$6:$ZZ$1048576"), MATCH(AW$1, OctR!$6:$6, 0), FALSE),
            0
        ) +
        IFERROR(
            VLOOKUP($A97, INDIRECT("NovR!$A$6:$ZZ$1048576"), MATCH(AW$1, NovR!$6:$6, 0), FALSE),
            0
        ) +
        IFERROR(
            VLOOKUP($A97, INDIRECT("DicR!$A$6:$ZZ$1048576"), MATCH(AW$1, DicR!$6:$6, 0), FALSE),
            0
        )
)</f>
        <v>0</v>
      </c>
      <c r="AX97" s="36">
        <f t="array" ref="AX97">SUM(
    IFERROR(
            VLOOKUP($A97, INDIRECT("EneR!$A$6:$ZZ$1048576"), MATCH(AX$1, EneR!$6:$6, 0), FALSE),
            0
        ) +
        IFERROR(
            VLOOKUP($A97, INDIRECT("FebR!$A$6:$ZZ$1048576"), MATCH(AX$1, FebR!$6:$6, 0), FALSE),
            0
        ) +
        IFERROR(
            VLOOKUP($A97, INDIRECT("MarR!$A$6:$ZZ$1048576"), MATCH(AX$1, MarR!$6:$6, 0), FALSE),
            0
        ) +
        IFERROR(
            VLOOKUP($A97, INDIRECT("AbrR!$A$6:$ZZ$1048576"), MATCH(AX$1, AbrR!$6:$6, 0), FALSE),
            0
        ) +
        IFERROR(
            VLOOKUP($A97, INDIRECT("MayR!$A$6:$ZZ$1048576"), MATCH(AX$1, MayR!$6:$6, 0), FALSE),
            0
        ) +
        IFERROR(
            VLOOKUP($A97, INDIRECT("JunR!$A$6:$ZZ$1048576"), MATCH(AX$1, JunR!$6:$6, 0), FALSE),
            0
        ) +
        IFERROR(
            VLOOKUP($A97, INDIRECT("JulR!$A$6:$ZZ$1048576"), MATCH(AX$1, JulR!$6:$6, 0), FALSE),
            0
        ) +
        IFERROR(
            VLOOKUP($A97, INDIRECT("AgoR!$A$6:$ZZ$1048576"), MATCH(AX$1, AgoR!$6:$6, 0), FALSE),
            0
        ) +
        IFERROR(
            VLOOKUP($A97, INDIRECT("SepR!$A$6:$ZZ$1048576"), MATCH(AX$1, SepR!$6:$6, 0), FALSE),
            0
        ) +
        IFERROR(
            VLOOKUP($A97, INDIRECT("OctR!$A$6:$ZZ$1048576"), MATCH(AX$1, OctR!$6:$6, 0), FALSE),
            0
        ) +
        IFERROR(
            VLOOKUP($A97, INDIRECT("NovR!$A$6:$ZZ$1048576"), MATCH(AX$1, NovR!$6:$6, 0), FALSE),
            0
        ) +
        IFERROR(
            VLOOKUP($A97, INDIRECT("DicR!$A$6:$ZZ$1048576"), MATCH(AX$1, DicR!$6:$6, 0), FALSE),
            0
        )
)</f>
        <v>0</v>
      </c>
      <c r="AY97" s="35">
        <f t="array" ref="AY97">SUM(
    IFERROR(
            VLOOKUP($A97, INDIRECT("EneR!$A$6:$ZZ$1048576"), MATCH(AY$1, EneR!$6:$6, 0), FALSE),
            0
        ) +
        IFERROR(
            VLOOKUP($A97, INDIRECT("FebR!$A$6:$ZZ$1048576"), MATCH(AY$1, FebR!$6:$6, 0), FALSE),
            0
        ) +
        IFERROR(
            VLOOKUP($A97, INDIRECT("MarR!$A$6:$ZZ$1048576"), MATCH(AY$1, MarR!$6:$6, 0), FALSE),
            0
        ) +
        IFERROR(
            VLOOKUP($A97, INDIRECT("AbrR!$A$6:$ZZ$1048576"), MATCH(AY$1, AbrR!$6:$6, 0), FALSE),
            0
        ) +
        IFERROR(
            VLOOKUP($A97, INDIRECT("MayR!$A$6:$ZZ$1048576"), MATCH(AY$1, MayR!$6:$6, 0), FALSE),
            0
        ) +
        IFERROR(
            VLOOKUP($A97, INDIRECT("JunR!$A$6:$ZZ$1048576"), MATCH(AY$1, JunR!$6:$6, 0), FALSE),
            0
        ) +
        IFERROR(
            VLOOKUP($A97, INDIRECT("JulR!$A$6:$ZZ$1048576"), MATCH(AY$1, JulR!$6:$6, 0), FALSE),
            0
        ) +
        IFERROR(
            VLOOKUP($A97, INDIRECT("AgoR!$A$6:$ZZ$1048576"), MATCH(AY$1, AgoR!$6:$6, 0), FALSE),
            0
        ) +
        IFERROR(
            VLOOKUP($A97, INDIRECT("SepR!$A$6:$ZZ$1048576"), MATCH(AY$1, SepR!$6:$6, 0), FALSE),
            0
        ) +
        IFERROR(
            VLOOKUP($A97, INDIRECT("OctR!$A$6:$ZZ$1048576"), MATCH(AY$1, OctR!$6:$6, 0), FALSE),
            0
        ) +
        IFERROR(
            VLOOKUP($A97, INDIRECT("NovR!$A$6:$ZZ$1048576"), MATCH(AY$1, NovR!$6:$6, 0), FALSE),
            0
        ) +
        IFERROR(
            VLOOKUP($A97, INDIRECT("DicR!$A$6:$ZZ$1048576"), MATCH(AY$1, DicR!$6:$6, 0), FALSE),
            0
        )
)</f>
        <v>0</v>
      </c>
      <c r="AZ97" s="35"/>
    </row>
    <row r="98" ht="15.75" hidden="1" customHeight="1">
      <c r="A98" s="12" t="str">
        <f>Menus!B59</f>
        <v/>
      </c>
      <c r="B98" s="32">
        <f t="shared" si="11"/>
        <v>0</v>
      </c>
      <c r="C98" s="33" t="str">
        <f t="shared" si="10"/>
        <v/>
      </c>
      <c r="D98" s="34">
        <f t="array" ref="D98">SUM(
    IFERROR(
            VLOOKUP($A98, INDIRECT("EneR!$A$6:$ZZ$1048576"), MATCH(D$1, EneR!$6:$6, 0), FALSE),
            0
        ) +
        IFERROR(
            VLOOKUP($A98, INDIRECT("FebR!$A$6:$ZZ$1048576"), MATCH(D$1, FebR!$6:$6, 0), FALSE),
            0
        ) +
        IFERROR(
            VLOOKUP($A98, INDIRECT("MarR!$A$6:$ZZ$1048576"), MATCH(D$1, MarR!$6:$6, 0), FALSE),
            0
        ) +
        IFERROR(
            VLOOKUP($A98, INDIRECT("AbrR!$A$6:$ZZ$1048576"), MATCH(D$1, AbrR!$6:$6, 0), FALSE),
            0
        ) +
        IFERROR(
            VLOOKUP($A98, INDIRECT("MayR!$A$6:$ZZ$1048576"), MATCH(D$1, MayR!$6:$6, 0), FALSE),
            0
        ) +
        IFERROR(
            VLOOKUP($A98, INDIRECT("JunR!$A$6:$ZZ$1048576"), MATCH(D$1, JunR!$6:$6, 0), FALSE),
            0
        ) +
        IFERROR(
            VLOOKUP($A98, INDIRECT("JulR!$A$6:$ZZ$1048576"), MATCH(D$1, JulR!$6:$6, 0), FALSE),
            0
        ) +
        IFERROR(
            VLOOKUP($A98, INDIRECT("AgoR!$A$6:$ZZ$1048576"), MATCH(D$1, AgoR!$6:$6, 0), FALSE),
            0
        ) +
        IFERROR(
            VLOOKUP($A98, INDIRECT("SepR!$A$6:$ZZ$1048576"), MATCH(D$1, SepR!$6:$6, 0), FALSE),
            0
        ) +
        IFERROR(
            VLOOKUP($A98, INDIRECT("OctR!$A$6:$ZZ$1048576"), MATCH(D$1, OctR!$6:$6, 0), FALSE),
            0
        ) +
        IFERROR(
            VLOOKUP($A98, INDIRECT("NovR!$A$6:$ZZ$1048576"), MATCH(D$1, NovR!$6:$6, 0), FALSE),
            0
        ) +
        IFERROR(
            VLOOKUP($A98, INDIRECT("DicR!$A$6:$ZZ$1048576"), MATCH(D$1, DicR!$6:$6, 0), FALSE),
            0
        )
)</f>
        <v>0</v>
      </c>
      <c r="E98" s="35">
        <f t="array" ref="E98">SUM(
    IFERROR(
            VLOOKUP($A98, INDIRECT("EneR!$A$6:$ZZ$1048576"), MATCH(E$1, EneR!$6:$6, 0), FALSE),
            0
        ) +
        IFERROR(
            VLOOKUP($A98, INDIRECT("FebR!$A$6:$ZZ$1048576"), MATCH(E$1, FebR!$6:$6, 0), FALSE),
            0
        ) +
        IFERROR(
            VLOOKUP($A98, INDIRECT("MarR!$A$6:$ZZ$1048576"), MATCH(E$1, MarR!$6:$6, 0), FALSE),
            0
        ) +
        IFERROR(
            VLOOKUP($A98, INDIRECT("AbrR!$A$6:$ZZ$1048576"), MATCH(E$1, AbrR!$6:$6, 0), FALSE),
            0
        ) +
        IFERROR(
            VLOOKUP($A98, INDIRECT("MayR!$A$6:$ZZ$1048576"), MATCH(E$1, MayR!$6:$6, 0), FALSE),
            0
        ) +
        IFERROR(
            VLOOKUP($A98, INDIRECT("JunR!$A$6:$ZZ$1048576"), MATCH(E$1, JunR!$6:$6, 0), FALSE),
            0
        ) +
        IFERROR(
            VLOOKUP($A98, INDIRECT("JulR!$A$6:$ZZ$1048576"), MATCH(E$1, JulR!$6:$6, 0), FALSE),
            0
        ) +
        IFERROR(
            VLOOKUP($A98, INDIRECT("AgoR!$A$6:$ZZ$1048576"), MATCH(E$1, AgoR!$6:$6, 0), FALSE),
            0
        ) +
        IFERROR(
            VLOOKUP($A98, INDIRECT("SepR!$A$6:$ZZ$1048576"), MATCH(E$1, SepR!$6:$6, 0), FALSE),
            0
        ) +
        IFERROR(
            VLOOKUP($A98, INDIRECT("OctR!$A$6:$ZZ$1048576"), MATCH(E$1, OctR!$6:$6, 0), FALSE),
            0
        ) +
        IFERROR(
            VLOOKUP($A98, INDIRECT("NovR!$A$6:$ZZ$1048576"), MATCH(E$1, NovR!$6:$6, 0), FALSE),
            0
        ) +
        IFERROR(
            VLOOKUP($A98, INDIRECT("DicR!$A$6:$ZZ$1048576"), MATCH(E$1, DicR!$6:$6, 0), FALSE),
            0
        )
)</f>
        <v>0</v>
      </c>
      <c r="F98" s="32">
        <f t="array" ref="F98">SUM(
    IFERROR(
            VLOOKUP($A98, INDIRECT("EneR!$A$6:$ZZ$1048576"), MATCH(F$1, EneR!$6:$6, 0), FALSE),
            0
        ) +
        IFERROR(
            VLOOKUP($A98, INDIRECT("FebR!$A$6:$ZZ$1048576"), MATCH(F$1, FebR!$6:$6, 0), FALSE),
            0
        ) +
        IFERROR(
            VLOOKUP($A98, INDIRECT("MarR!$A$6:$ZZ$1048576"), MATCH(F$1, MarR!$6:$6, 0), FALSE),
            0
        ) +
        IFERROR(
            VLOOKUP($A98, INDIRECT("AbrR!$A$6:$ZZ$1048576"), MATCH(F$1, AbrR!$6:$6, 0), FALSE),
            0
        ) +
        IFERROR(
            VLOOKUP($A98, INDIRECT("MayR!$A$6:$ZZ$1048576"), MATCH(F$1, MayR!$6:$6, 0), FALSE),
            0
        ) +
        IFERROR(
            VLOOKUP($A98, INDIRECT("JunR!$A$6:$ZZ$1048576"), MATCH(F$1, JunR!$6:$6, 0), FALSE),
            0
        ) +
        IFERROR(
            VLOOKUP($A98, INDIRECT("JulR!$A$6:$ZZ$1048576"), MATCH(F$1, JulR!$6:$6, 0), FALSE),
            0
        ) +
        IFERROR(
            VLOOKUP($A98, INDIRECT("AgoR!$A$6:$ZZ$1048576"), MATCH(F$1, AgoR!$6:$6, 0), FALSE),
            0
        ) +
        IFERROR(
            VLOOKUP($A98, INDIRECT("SepR!$A$6:$ZZ$1048576"), MATCH(F$1, SepR!$6:$6, 0), FALSE),
            0
        ) +
        IFERROR(
            VLOOKUP($A98, INDIRECT("OctR!$A$6:$ZZ$1048576"), MATCH(F$1, OctR!$6:$6, 0), FALSE),
            0
        ) +
        IFERROR(
            VLOOKUP($A98, INDIRECT("NovR!$A$6:$ZZ$1048576"), MATCH(F$1, NovR!$6:$6, 0), FALSE),
            0
        ) +
        IFERROR(
            VLOOKUP($A98, INDIRECT("DicR!$A$6:$ZZ$1048576"), MATCH(F$1, DicR!$6:$6, 0), FALSE),
            0
        )
)</f>
        <v>0</v>
      </c>
      <c r="G98" s="35">
        <f t="array" ref="G98">SUM(
    IFERROR(
            VLOOKUP($A98, INDIRECT("EneR!$A$6:$ZZ$1048576"), MATCH(G$1, EneR!$6:$6, 0), FALSE),
            0
        ) +
        IFERROR(
            VLOOKUP($A98, INDIRECT("FebR!$A$6:$ZZ$1048576"), MATCH(G$1, FebR!$6:$6, 0), FALSE),
            0
        ) +
        IFERROR(
            VLOOKUP($A98, INDIRECT("MarR!$A$6:$ZZ$1048576"), MATCH(G$1, MarR!$6:$6, 0), FALSE),
            0
        ) +
        IFERROR(
            VLOOKUP($A98, INDIRECT("AbrR!$A$6:$ZZ$1048576"), MATCH(G$1, AbrR!$6:$6, 0), FALSE),
            0
        ) +
        IFERROR(
            VLOOKUP($A98, INDIRECT("MayR!$A$6:$ZZ$1048576"), MATCH(G$1, MayR!$6:$6, 0), FALSE),
            0
        ) +
        IFERROR(
            VLOOKUP($A98, INDIRECT("JunR!$A$6:$ZZ$1048576"), MATCH(G$1, JunR!$6:$6, 0), FALSE),
            0
        ) +
        IFERROR(
            VLOOKUP($A98, INDIRECT("JulR!$A$6:$ZZ$1048576"), MATCH(G$1, JulR!$6:$6, 0), FALSE),
            0
        ) +
        IFERROR(
            VLOOKUP($A98, INDIRECT("AgoR!$A$6:$ZZ$1048576"), MATCH(G$1, AgoR!$6:$6, 0), FALSE),
            0
        ) +
        IFERROR(
            VLOOKUP($A98, INDIRECT("SepR!$A$6:$ZZ$1048576"), MATCH(G$1, SepR!$6:$6, 0), FALSE),
            0
        ) +
        IFERROR(
            VLOOKUP($A98, INDIRECT("OctR!$A$6:$ZZ$1048576"), MATCH(G$1, OctR!$6:$6, 0), FALSE),
            0
        ) +
        IFERROR(
            VLOOKUP($A98, INDIRECT("NovR!$A$6:$ZZ$1048576"), MATCH(G$1, NovR!$6:$6, 0), FALSE),
            0
        ) +
        IFERROR(
            VLOOKUP($A98, INDIRECT("DicR!$A$6:$ZZ$1048576"), MATCH(G$1, DicR!$6:$6, 0), FALSE),
            0
        )
)</f>
        <v>0</v>
      </c>
      <c r="H98" s="32">
        <f t="array" ref="H98">SUM(
    IFERROR(
            VLOOKUP($A98, INDIRECT("EneR!$A$6:$ZZ$1048576"), MATCH(H$1, EneR!$6:$6, 0), FALSE),
            0
        ) +
        IFERROR(
            VLOOKUP($A98, INDIRECT("FebR!$A$6:$ZZ$1048576"), MATCH(H$1, FebR!$6:$6, 0), FALSE),
            0
        ) +
        IFERROR(
            VLOOKUP($A98, INDIRECT("MarR!$A$6:$ZZ$1048576"), MATCH(H$1, MarR!$6:$6, 0), FALSE),
            0
        ) +
        IFERROR(
            VLOOKUP($A98, INDIRECT("AbrR!$A$6:$ZZ$1048576"), MATCH(H$1, AbrR!$6:$6, 0), FALSE),
            0
        ) +
        IFERROR(
            VLOOKUP($A98, INDIRECT("MayR!$A$6:$ZZ$1048576"), MATCH(H$1, MayR!$6:$6, 0), FALSE),
            0
        ) +
        IFERROR(
            VLOOKUP($A98, INDIRECT("JunR!$A$6:$ZZ$1048576"), MATCH(H$1, JunR!$6:$6, 0), FALSE),
            0
        ) +
        IFERROR(
            VLOOKUP($A98, INDIRECT("JulR!$A$6:$ZZ$1048576"), MATCH(H$1, JulR!$6:$6, 0), FALSE),
            0
        ) +
        IFERROR(
            VLOOKUP($A98, INDIRECT("AgoR!$A$6:$ZZ$1048576"), MATCH(H$1, AgoR!$6:$6, 0), FALSE),
            0
        ) +
        IFERROR(
            VLOOKUP($A98, INDIRECT("SepR!$A$6:$ZZ$1048576"), MATCH(H$1, SepR!$6:$6, 0), FALSE),
            0
        ) +
        IFERROR(
            VLOOKUP($A98, INDIRECT("OctR!$A$6:$ZZ$1048576"), MATCH(H$1, OctR!$6:$6, 0), FALSE),
            0
        ) +
        IFERROR(
            VLOOKUP($A98, INDIRECT("NovR!$A$6:$ZZ$1048576"), MATCH(H$1, NovR!$6:$6, 0), FALSE),
            0
        ) +
        IFERROR(
            VLOOKUP($A98, INDIRECT("DicR!$A$6:$ZZ$1048576"), MATCH(H$1, DicR!$6:$6, 0), FALSE),
            0
        )
)</f>
        <v>0</v>
      </c>
      <c r="I98" s="35">
        <f t="array" ref="I98">SUM(
    IFERROR(
            VLOOKUP($A98, INDIRECT("EneR!$A$6:$ZZ$1048576"), MATCH(I$1, EneR!$6:$6, 0), FALSE),
            0
        ) +
        IFERROR(
            VLOOKUP($A98, INDIRECT("FebR!$A$6:$ZZ$1048576"), MATCH(I$1, FebR!$6:$6, 0), FALSE),
            0
        ) +
        IFERROR(
            VLOOKUP($A98, INDIRECT("MarR!$A$6:$ZZ$1048576"), MATCH(I$1, MarR!$6:$6, 0), FALSE),
            0
        ) +
        IFERROR(
            VLOOKUP($A98, INDIRECT("AbrR!$A$6:$ZZ$1048576"), MATCH(I$1, AbrR!$6:$6, 0), FALSE),
            0
        ) +
        IFERROR(
            VLOOKUP($A98, INDIRECT("MayR!$A$6:$ZZ$1048576"), MATCH(I$1, MayR!$6:$6, 0), FALSE),
            0
        ) +
        IFERROR(
            VLOOKUP($A98, INDIRECT("JunR!$A$6:$ZZ$1048576"), MATCH(I$1, JunR!$6:$6, 0), FALSE),
            0
        ) +
        IFERROR(
            VLOOKUP($A98, INDIRECT("JulR!$A$6:$ZZ$1048576"), MATCH(I$1, JulR!$6:$6, 0), FALSE),
            0
        ) +
        IFERROR(
            VLOOKUP($A98, INDIRECT("AgoR!$A$6:$ZZ$1048576"), MATCH(I$1, AgoR!$6:$6, 0), FALSE),
            0
        ) +
        IFERROR(
            VLOOKUP($A98, INDIRECT("SepR!$A$6:$ZZ$1048576"), MATCH(I$1, SepR!$6:$6, 0), FALSE),
            0
        ) +
        IFERROR(
            VLOOKUP($A98, INDIRECT("OctR!$A$6:$ZZ$1048576"), MATCH(I$1, OctR!$6:$6, 0), FALSE),
            0
        ) +
        IFERROR(
            VLOOKUP($A98, INDIRECT("NovR!$A$6:$ZZ$1048576"), MATCH(I$1, NovR!$6:$6, 0), FALSE),
            0
        ) +
        IFERROR(
            VLOOKUP($A98, INDIRECT("DicR!$A$6:$ZZ$1048576"), MATCH(I$1, DicR!$6:$6, 0), FALSE),
            0
        )
)</f>
        <v>0</v>
      </c>
      <c r="J98" s="32">
        <f t="array" ref="J98">SUM(
    IFERROR(
            VLOOKUP($A98, INDIRECT("EneR!$A$6:$ZZ$1048576"), MATCH(J$1, EneR!$6:$6, 0), FALSE),
            0
        ) +
        IFERROR(
            VLOOKUP($A98, INDIRECT("FebR!$A$6:$ZZ$1048576"), MATCH(J$1, FebR!$6:$6, 0), FALSE),
            0
        ) +
        IFERROR(
            VLOOKUP($A98, INDIRECT("MarR!$A$6:$ZZ$1048576"), MATCH(J$1, MarR!$6:$6, 0), FALSE),
            0
        ) +
        IFERROR(
            VLOOKUP($A98, INDIRECT("AbrR!$A$6:$ZZ$1048576"), MATCH(J$1, AbrR!$6:$6, 0), FALSE),
            0
        ) +
        IFERROR(
            VLOOKUP($A98, INDIRECT("MayR!$A$6:$ZZ$1048576"), MATCH(J$1, MayR!$6:$6, 0), FALSE),
            0
        ) +
        IFERROR(
            VLOOKUP($A98, INDIRECT("JunR!$A$6:$ZZ$1048576"), MATCH(J$1, JunR!$6:$6, 0), FALSE),
            0
        ) +
        IFERROR(
            VLOOKUP($A98, INDIRECT("JulR!$A$6:$ZZ$1048576"), MATCH(J$1, JulR!$6:$6, 0), FALSE),
            0
        ) +
        IFERROR(
            VLOOKUP($A98, INDIRECT("AgoR!$A$6:$ZZ$1048576"), MATCH(J$1, AgoR!$6:$6, 0), FALSE),
            0
        ) +
        IFERROR(
            VLOOKUP($A98, INDIRECT("SepR!$A$6:$ZZ$1048576"), MATCH(J$1, SepR!$6:$6, 0), FALSE),
            0
        ) +
        IFERROR(
            VLOOKUP($A98, INDIRECT("OctR!$A$6:$ZZ$1048576"), MATCH(J$1, OctR!$6:$6, 0), FALSE),
            0
        ) +
        IFERROR(
            VLOOKUP($A98, INDIRECT("NovR!$A$6:$ZZ$1048576"), MATCH(J$1, NovR!$6:$6, 0), FALSE),
            0
        ) +
        IFERROR(
            VLOOKUP($A98, INDIRECT("DicR!$A$6:$ZZ$1048576"), MATCH(J$1, DicR!$6:$6, 0), FALSE),
            0
        )
)</f>
        <v>0</v>
      </c>
      <c r="K98" s="35">
        <f t="array" ref="K98">SUM(
    IFERROR(
            VLOOKUP($A98, INDIRECT("EneR!$A$6:$ZZ$1048576"), MATCH(K$1, EneR!$6:$6, 0), FALSE),
            0
        ) +
        IFERROR(
            VLOOKUP($A98, INDIRECT("FebR!$A$6:$ZZ$1048576"), MATCH(K$1, FebR!$6:$6, 0), FALSE),
            0
        ) +
        IFERROR(
            VLOOKUP($A98, INDIRECT("MarR!$A$6:$ZZ$1048576"), MATCH(K$1, MarR!$6:$6, 0), FALSE),
            0
        ) +
        IFERROR(
            VLOOKUP($A98, INDIRECT("AbrR!$A$6:$ZZ$1048576"), MATCH(K$1, AbrR!$6:$6, 0), FALSE),
            0
        ) +
        IFERROR(
            VLOOKUP($A98, INDIRECT("MayR!$A$6:$ZZ$1048576"), MATCH(K$1, MayR!$6:$6, 0), FALSE),
            0
        ) +
        IFERROR(
            VLOOKUP($A98, INDIRECT("JunR!$A$6:$ZZ$1048576"), MATCH(K$1, JunR!$6:$6, 0), FALSE),
            0
        ) +
        IFERROR(
            VLOOKUP($A98, INDIRECT("JulR!$A$6:$ZZ$1048576"), MATCH(K$1, JulR!$6:$6, 0), FALSE),
            0
        ) +
        IFERROR(
            VLOOKUP($A98, INDIRECT("AgoR!$A$6:$ZZ$1048576"), MATCH(K$1, AgoR!$6:$6, 0), FALSE),
            0
        ) +
        IFERROR(
            VLOOKUP($A98, INDIRECT("SepR!$A$6:$ZZ$1048576"), MATCH(K$1, SepR!$6:$6, 0), FALSE),
            0
        ) +
        IFERROR(
            VLOOKUP($A98, INDIRECT("OctR!$A$6:$ZZ$1048576"), MATCH(K$1, OctR!$6:$6, 0), FALSE),
            0
        ) +
        IFERROR(
            VLOOKUP($A98, INDIRECT("NovR!$A$6:$ZZ$1048576"), MATCH(K$1, NovR!$6:$6, 0), FALSE),
            0
        ) +
        IFERROR(
            VLOOKUP($A98, INDIRECT("DicR!$A$6:$ZZ$1048576"), MATCH(K$1, DicR!$6:$6, 0), FALSE),
            0
        )
)</f>
        <v>0</v>
      </c>
      <c r="L98" s="32">
        <f t="array" ref="L98">SUM(
    IFERROR(
            VLOOKUP($A98, INDIRECT("EneR!$A$6:$ZZ$1048576"), MATCH(L$1, EneR!$6:$6, 0), FALSE),
            0
        ) +
        IFERROR(
            VLOOKUP($A98, INDIRECT("FebR!$A$6:$ZZ$1048576"), MATCH(L$1, FebR!$6:$6, 0), FALSE),
            0
        ) +
        IFERROR(
            VLOOKUP($A98, INDIRECT("MarR!$A$6:$ZZ$1048576"), MATCH(L$1, MarR!$6:$6, 0), FALSE),
            0
        ) +
        IFERROR(
            VLOOKUP($A98, INDIRECT("AbrR!$A$6:$ZZ$1048576"), MATCH(L$1, AbrR!$6:$6, 0), FALSE),
            0
        ) +
        IFERROR(
            VLOOKUP($A98, INDIRECT("MayR!$A$6:$ZZ$1048576"), MATCH(L$1, MayR!$6:$6, 0), FALSE),
            0
        ) +
        IFERROR(
            VLOOKUP($A98, INDIRECT("JunR!$A$6:$ZZ$1048576"), MATCH(L$1, JunR!$6:$6, 0), FALSE),
            0
        ) +
        IFERROR(
            VLOOKUP($A98, INDIRECT("JulR!$A$6:$ZZ$1048576"), MATCH(L$1, JulR!$6:$6, 0), FALSE),
            0
        ) +
        IFERROR(
            VLOOKUP($A98, INDIRECT("AgoR!$A$6:$ZZ$1048576"), MATCH(L$1, AgoR!$6:$6, 0), FALSE),
            0
        ) +
        IFERROR(
            VLOOKUP($A98, INDIRECT("SepR!$A$6:$ZZ$1048576"), MATCH(L$1, SepR!$6:$6, 0), FALSE),
            0
        ) +
        IFERROR(
            VLOOKUP($A98, INDIRECT("OctR!$A$6:$ZZ$1048576"), MATCH(L$1, OctR!$6:$6, 0), FALSE),
            0
        ) +
        IFERROR(
            VLOOKUP($A98, INDIRECT("NovR!$A$6:$ZZ$1048576"), MATCH(L$1, NovR!$6:$6, 0), FALSE),
            0
        ) +
        IFERROR(
            VLOOKUP($A98, INDIRECT("DicR!$A$6:$ZZ$1048576"), MATCH(L$1, DicR!$6:$6, 0), FALSE),
            0
        )
)</f>
        <v>0</v>
      </c>
      <c r="M98" s="35">
        <f t="array" ref="M98">SUM(
    IFERROR(
            VLOOKUP($A98, INDIRECT("EneR!$A$6:$ZZ$1048576"), MATCH(M$1, EneR!$6:$6, 0), FALSE),
            0
        ) +
        IFERROR(
            VLOOKUP($A98, INDIRECT("FebR!$A$6:$ZZ$1048576"), MATCH(M$1, FebR!$6:$6, 0), FALSE),
            0
        ) +
        IFERROR(
            VLOOKUP($A98, INDIRECT("MarR!$A$6:$ZZ$1048576"), MATCH(M$1, MarR!$6:$6, 0), FALSE),
            0
        ) +
        IFERROR(
            VLOOKUP($A98, INDIRECT("AbrR!$A$6:$ZZ$1048576"), MATCH(M$1, AbrR!$6:$6, 0), FALSE),
            0
        ) +
        IFERROR(
            VLOOKUP($A98, INDIRECT("MayR!$A$6:$ZZ$1048576"), MATCH(M$1, MayR!$6:$6, 0), FALSE),
            0
        ) +
        IFERROR(
            VLOOKUP($A98, INDIRECT("JunR!$A$6:$ZZ$1048576"), MATCH(M$1, JunR!$6:$6, 0), FALSE),
            0
        ) +
        IFERROR(
            VLOOKUP($A98, INDIRECT("JulR!$A$6:$ZZ$1048576"), MATCH(M$1, JulR!$6:$6, 0), FALSE),
            0
        ) +
        IFERROR(
            VLOOKUP($A98, INDIRECT("AgoR!$A$6:$ZZ$1048576"), MATCH(M$1, AgoR!$6:$6, 0), FALSE),
            0
        ) +
        IFERROR(
            VLOOKUP($A98, INDIRECT("SepR!$A$6:$ZZ$1048576"), MATCH(M$1, SepR!$6:$6, 0), FALSE),
            0
        ) +
        IFERROR(
            VLOOKUP($A98, INDIRECT("OctR!$A$6:$ZZ$1048576"), MATCH(M$1, OctR!$6:$6, 0), FALSE),
            0
        ) +
        IFERROR(
            VLOOKUP($A98, INDIRECT("NovR!$A$6:$ZZ$1048576"), MATCH(M$1, NovR!$6:$6, 0), FALSE),
            0
        ) +
        IFERROR(
            VLOOKUP($A98, INDIRECT("DicR!$A$6:$ZZ$1048576"), MATCH(M$1, DicR!$6:$6, 0), FALSE),
            0
        )
)</f>
        <v>0</v>
      </c>
      <c r="N98" s="32">
        <f t="array" ref="N98">SUM(
    IFERROR(
            VLOOKUP($A98, INDIRECT("EneR!$A$6:$ZZ$1048576"), MATCH(N$1, EneR!$6:$6, 0), FALSE),
            0
        ) +
        IFERROR(
            VLOOKUP($A98, INDIRECT("FebR!$A$6:$ZZ$1048576"), MATCH(N$1, FebR!$6:$6, 0), FALSE),
            0
        ) +
        IFERROR(
            VLOOKUP($A98, INDIRECT("MarR!$A$6:$ZZ$1048576"), MATCH(N$1, MarR!$6:$6, 0), FALSE),
            0
        ) +
        IFERROR(
            VLOOKUP($A98, INDIRECT("AbrR!$A$6:$ZZ$1048576"), MATCH(N$1, AbrR!$6:$6, 0), FALSE),
            0
        ) +
        IFERROR(
            VLOOKUP($A98, INDIRECT("MayR!$A$6:$ZZ$1048576"), MATCH(N$1, MayR!$6:$6, 0), FALSE),
            0
        ) +
        IFERROR(
            VLOOKUP($A98, INDIRECT("JunR!$A$6:$ZZ$1048576"), MATCH(N$1, JunR!$6:$6, 0), FALSE),
            0
        ) +
        IFERROR(
            VLOOKUP($A98, INDIRECT("JulR!$A$6:$ZZ$1048576"), MATCH(N$1, JulR!$6:$6, 0), FALSE),
            0
        ) +
        IFERROR(
            VLOOKUP($A98, INDIRECT("AgoR!$A$6:$ZZ$1048576"), MATCH(N$1, AgoR!$6:$6, 0), FALSE),
            0
        ) +
        IFERROR(
            VLOOKUP($A98, INDIRECT("SepR!$A$6:$ZZ$1048576"), MATCH(N$1, SepR!$6:$6, 0), FALSE),
            0
        ) +
        IFERROR(
            VLOOKUP($A98, INDIRECT("OctR!$A$6:$ZZ$1048576"), MATCH(N$1, OctR!$6:$6, 0), FALSE),
            0
        ) +
        IFERROR(
            VLOOKUP($A98, INDIRECT("NovR!$A$6:$ZZ$1048576"), MATCH(N$1, NovR!$6:$6, 0), FALSE),
            0
        ) +
        IFERROR(
            VLOOKUP($A98, INDIRECT("DicR!$A$6:$ZZ$1048576"), MATCH(N$1, DicR!$6:$6, 0), FALSE),
            0
        )
)</f>
        <v>0</v>
      </c>
      <c r="O98" s="35">
        <f t="array" ref="O98">SUM(
    IFERROR(
            VLOOKUP($A98, INDIRECT("EneR!$A$6:$ZZ$1048576"), MATCH(O$1, EneR!$6:$6, 0), FALSE),
            0
        ) +
        IFERROR(
            VLOOKUP($A98, INDIRECT("FebR!$A$6:$ZZ$1048576"), MATCH(O$1, FebR!$6:$6, 0), FALSE),
            0
        ) +
        IFERROR(
            VLOOKUP($A98, INDIRECT("MarR!$A$6:$ZZ$1048576"), MATCH(O$1, MarR!$6:$6, 0), FALSE),
            0
        ) +
        IFERROR(
            VLOOKUP($A98, INDIRECT("AbrR!$A$6:$ZZ$1048576"), MATCH(O$1, AbrR!$6:$6, 0), FALSE),
            0
        ) +
        IFERROR(
            VLOOKUP($A98, INDIRECT("MayR!$A$6:$ZZ$1048576"), MATCH(O$1, MayR!$6:$6, 0), FALSE),
            0
        ) +
        IFERROR(
            VLOOKUP($A98, INDIRECT("JunR!$A$6:$ZZ$1048576"), MATCH(O$1, JunR!$6:$6, 0), FALSE),
            0
        ) +
        IFERROR(
            VLOOKUP($A98, INDIRECT("JulR!$A$6:$ZZ$1048576"), MATCH(O$1, JulR!$6:$6, 0), FALSE),
            0
        ) +
        IFERROR(
            VLOOKUP($A98, INDIRECT("AgoR!$A$6:$ZZ$1048576"), MATCH(O$1, AgoR!$6:$6, 0), FALSE),
            0
        ) +
        IFERROR(
            VLOOKUP($A98, INDIRECT("SepR!$A$6:$ZZ$1048576"), MATCH(O$1, SepR!$6:$6, 0), FALSE),
            0
        ) +
        IFERROR(
            VLOOKUP($A98, INDIRECT("OctR!$A$6:$ZZ$1048576"), MATCH(O$1, OctR!$6:$6, 0), FALSE),
            0
        ) +
        IFERROR(
            VLOOKUP($A98, INDIRECT("NovR!$A$6:$ZZ$1048576"), MATCH(O$1, NovR!$6:$6, 0), FALSE),
            0
        ) +
        IFERROR(
            VLOOKUP($A98, INDIRECT("DicR!$A$6:$ZZ$1048576"), MATCH(O$1, DicR!$6:$6, 0), FALSE),
            0
        )
)</f>
        <v>0</v>
      </c>
      <c r="P98" s="32">
        <f t="array" ref="P98">SUM(
    IFERROR(
            VLOOKUP($A98, INDIRECT("EneR!$A$6:$ZZ$1048576"), MATCH(P$1, EneR!$6:$6, 0), FALSE),
            0
        ) +
        IFERROR(
            VLOOKUP($A98, INDIRECT("FebR!$A$6:$ZZ$1048576"), MATCH(P$1, FebR!$6:$6, 0), FALSE),
            0
        ) +
        IFERROR(
            VLOOKUP($A98, INDIRECT("MarR!$A$6:$ZZ$1048576"), MATCH(P$1, MarR!$6:$6, 0), FALSE),
            0
        ) +
        IFERROR(
            VLOOKUP($A98, INDIRECT("AbrR!$A$6:$ZZ$1048576"), MATCH(P$1, AbrR!$6:$6, 0), FALSE),
            0
        ) +
        IFERROR(
            VLOOKUP($A98, INDIRECT("MayR!$A$6:$ZZ$1048576"), MATCH(P$1, MayR!$6:$6, 0), FALSE),
            0
        ) +
        IFERROR(
            VLOOKUP($A98, INDIRECT("JunR!$A$6:$ZZ$1048576"), MATCH(P$1, JunR!$6:$6, 0), FALSE),
            0
        ) +
        IFERROR(
            VLOOKUP($A98, INDIRECT("JulR!$A$6:$ZZ$1048576"), MATCH(P$1, JulR!$6:$6, 0), FALSE),
            0
        ) +
        IFERROR(
            VLOOKUP($A98, INDIRECT("AgoR!$A$6:$ZZ$1048576"), MATCH(P$1, AgoR!$6:$6, 0), FALSE),
            0
        ) +
        IFERROR(
            VLOOKUP($A98, INDIRECT("SepR!$A$6:$ZZ$1048576"), MATCH(P$1, SepR!$6:$6, 0), FALSE),
            0
        ) +
        IFERROR(
            VLOOKUP($A98, INDIRECT("OctR!$A$6:$ZZ$1048576"), MATCH(P$1, OctR!$6:$6, 0), FALSE),
            0
        ) +
        IFERROR(
            VLOOKUP($A98, INDIRECT("NovR!$A$6:$ZZ$1048576"), MATCH(P$1, NovR!$6:$6, 0), FALSE),
            0
        ) +
        IFERROR(
            VLOOKUP($A98, INDIRECT("DicR!$A$6:$ZZ$1048576"), MATCH(P$1, DicR!$6:$6, 0), FALSE),
            0
        )
)</f>
        <v>0</v>
      </c>
      <c r="Q98" s="35">
        <f t="array" ref="Q98">SUM(
    IFERROR(
            VLOOKUP($A98, INDIRECT("EneR!$A$6:$ZZ$1048576"), MATCH(Q$1, EneR!$6:$6, 0), FALSE),
            0
        ) +
        IFERROR(
            VLOOKUP($A98, INDIRECT("FebR!$A$6:$ZZ$1048576"), MATCH(Q$1, FebR!$6:$6, 0), FALSE),
            0
        ) +
        IFERROR(
            VLOOKUP($A98, INDIRECT("MarR!$A$6:$ZZ$1048576"), MATCH(Q$1, MarR!$6:$6, 0), FALSE),
            0
        ) +
        IFERROR(
            VLOOKUP($A98, INDIRECT("AbrR!$A$6:$ZZ$1048576"), MATCH(Q$1, AbrR!$6:$6, 0), FALSE),
            0
        ) +
        IFERROR(
            VLOOKUP($A98, INDIRECT("MayR!$A$6:$ZZ$1048576"), MATCH(Q$1, MayR!$6:$6, 0), FALSE),
            0
        ) +
        IFERROR(
            VLOOKUP($A98, INDIRECT("JunR!$A$6:$ZZ$1048576"), MATCH(Q$1, JunR!$6:$6, 0), FALSE),
            0
        ) +
        IFERROR(
            VLOOKUP($A98, INDIRECT("JulR!$A$6:$ZZ$1048576"), MATCH(Q$1, JulR!$6:$6, 0), FALSE),
            0
        ) +
        IFERROR(
            VLOOKUP($A98, INDIRECT("AgoR!$A$6:$ZZ$1048576"), MATCH(Q$1, AgoR!$6:$6, 0), FALSE),
            0
        ) +
        IFERROR(
            VLOOKUP($A98, INDIRECT("SepR!$A$6:$ZZ$1048576"), MATCH(Q$1, SepR!$6:$6, 0), FALSE),
            0
        ) +
        IFERROR(
            VLOOKUP($A98, INDIRECT("OctR!$A$6:$ZZ$1048576"), MATCH(Q$1, OctR!$6:$6, 0), FALSE),
            0
        ) +
        IFERROR(
            VLOOKUP($A98, INDIRECT("NovR!$A$6:$ZZ$1048576"), MATCH(Q$1, NovR!$6:$6, 0), FALSE),
            0
        ) +
        IFERROR(
            VLOOKUP($A98, INDIRECT("DicR!$A$6:$ZZ$1048576"), MATCH(Q$1, DicR!$6:$6, 0), FALSE),
            0
        )
)</f>
        <v>0</v>
      </c>
      <c r="R98" s="36">
        <f t="array" ref="R98">SUM(
    IFERROR(
            VLOOKUP($A98, INDIRECT("EneR!$A$6:$ZZ$1048576"), MATCH(R$1, EneR!$6:$6, 0), FALSE),
            0
        ) +
        IFERROR(
            VLOOKUP($A98, INDIRECT("FebR!$A$6:$ZZ$1048576"), MATCH(R$1, FebR!$6:$6, 0), FALSE),
            0
        ) +
        IFERROR(
            VLOOKUP($A98, INDIRECT("MarR!$A$6:$ZZ$1048576"), MATCH(R$1, MarR!$6:$6, 0), FALSE),
            0
        ) +
        IFERROR(
            VLOOKUP($A98, INDIRECT("AbrR!$A$6:$ZZ$1048576"), MATCH(R$1, AbrR!$6:$6, 0), FALSE),
            0
        ) +
        IFERROR(
            VLOOKUP($A98, INDIRECT("MayR!$A$6:$ZZ$1048576"), MATCH(R$1, MayR!$6:$6, 0), FALSE),
            0
        ) +
        IFERROR(
            VLOOKUP($A98, INDIRECT("JunR!$A$6:$ZZ$1048576"), MATCH(R$1, JunR!$6:$6, 0), FALSE),
            0
        ) +
        IFERROR(
            VLOOKUP($A98, INDIRECT("JulR!$A$6:$ZZ$1048576"), MATCH(R$1, JulR!$6:$6, 0), FALSE),
            0
        ) +
        IFERROR(
            VLOOKUP($A98, INDIRECT("AgoR!$A$6:$ZZ$1048576"), MATCH(R$1, AgoR!$6:$6, 0), FALSE),
            0
        ) +
        IFERROR(
            VLOOKUP($A98, INDIRECT("SepR!$A$6:$ZZ$1048576"), MATCH(R$1, SepR!$6:$6, 0), FALSE),
            0
        ) +
        IFERROR(
            VLOOKUP($A98, INDIRECT("OctR!$A$6:$ZZ$1048576"), MATCH(R$1, OctR!$6:$6, 0), FALSE),
            0
        ) +
        IFERROR(
            VLOOKUP($A98, INDIRECT("NovR!$A$6:$ZZ$1048576"), MATCH(R$1, NovR!$6:$6, 0), FALSE),
            0
        ) +
        IFERROR(
            VLOOKUP($A98, INDIRECT("DicR!$A$6:$ZZ$1048576"), MATCH(R$1, DicR!$6:$6, 0), FALSE),
            0
        )
)</f>
        <v>0</v>
      </c>
      <c r="S98" s="37">
        <f t="array" ref="S98">SUM(
    IFERROR(
            VLOOKUP($A98, INDIRECT("EneR!$A$6:$ZZ$1048576"), MATCH(S$1, EneR!$6:$6, 0), FALSE),
            0
        ) +
        IFERROR(
            VLOOKUP($A98, INDIRECT("FebR!$A$6:$ZZ$1048576"), MATCH(S$1, FebR!$6:$6, 0), FALSE),
            0
        ) +
        IFERROR(
            VLOOKUP($A98, INDIRECT("MarR!$A$6:$ZZ$1048576"), MATCH(S$1, MarR!$6:$6, 0), FALSE),
            0
        ) +
        IFERROR(
            VLOOKUP($A98, INDIRECT("AbrR!$A$6:$ZZ$1048576"), MATCH(S$1, AbrR!$6:$6, 0), FALSE),
            0
        ) +
        IFERROR(
            VLOOKUP($A98, INDIRECT("MayR!$A$6:$ZZ$1048576"), MATCH(S$1, MayR!$6:$6, 0), FALSE),
            0
        ) +
        IFERROR(
            VLOOKUP($A98, INDIRECT("JunR!$A$6:$ZZ$1048576"), MATCH(S$1, JunR!$6:$6, 0), FALSE),
            0
        ) +
        IFERROR(
            VLOOKUP($A98, INDIRECT("JulR!$A$6:$ZZ$1048576"), MATCH(S$1, JulR!$6:$6, 0), FALSE),
            0
        ) +
        IFERROR(
            VLOOKUP($A98, INDIRECT("AgoR!$A$6:$ZZ$1048576"), MATCH(S$1, AgoR!$6:$6, 0), FALSE),
            0
        ) +
        IFERROR(
            VLOOKUP($A98, INDIRECT("SepR!$A$6:$ZZ$1048576"), MATCH(S$1, SepR!$6:$6, 0), FALSE),
            0
        ) +
        IFERROR(
            VLOOKUP($A98, INDIRECT("OctR!$A$6:$ZZ$1048576"), MATCH(S$1, OctR!$6:$6, 0), FALSE),
            0
        ) +
        IFERROR(
            VLOOKUP($A98, INDIRECT("NovR!$A$6:$ZZ$1048576"), MATCH(S$1, NovR!$6:$6, 0), FALSE),
            0
        ) +
        IFERROR(
            VLOOKUP($A98, INDIRECT("DicR!$A$6:$ZZ$1048576"), MATCH(S$1, DicR!$6:$6, 0), FALSE),
            0
        )
)</f>
        <v>0</v>
      </c>
      <c r="T98" s="36">
        <f t="array" ref="T98">SUM(
    IFERROR(
            VLOOKUP($A98, INDIRECT("EneR!$A$6:$ZZ$1048576"), MATCH(T$1, EneR!$6:$6, 0), FALSE),
            0
        ) +
        IFERROR(
            VLOOKUP($A98, INDIRECT("FebR!$A$6:$ZZ$1048576"), MATCH(T$1, FebR!$6:$6, 0), FALSE),
            0
        ) +
        IFERROR(
            VLOOKUP($A98, INDIRECT("MarR!$A$6:$ZZ$1048576"), MATCH(T$1, MarR!$6:$6, 0), FALSE),
            0
        ) +
        IFERROR(
            VLOOKUP($A98, INDIRECT("AbrR!$A$6:$ZZ$1048576"), MATCH(T$1, AbrR!$6:$6, 0), FALSE),
            0
        ) +
        IFERROR(
            VLOOKUP($A98, INDIRECT("MayR!$A$6:$ZZ$1048576"), MATCH(T$1, MayR!$6:$6, 0), FALSE),
            0
        ) +
        IFERROR(
            VLOOKUP($A98, INDIRECT("JunR!$A$6:$ZZ$1048576"), MATCH(T$1, JunR!$6:$6, 0), FALSE),
            0
        ) +
        IFERROR(
            VLOOKUP($A98, INDIRECT("JulR!$A$6:$ZZ$1048576"), MATCH(T$1, JulR!$6:$6, 0), FALSE),
            0
        ) +
        IFERROR(
            VLOOKUP($A98, INDIRECT("AgoR!$A$6:$ZZ$1048576"), MATCH(T$1, AgoR!$6:$6, 0), FALSE),
            0
        ) +
        IFERROR(
            VLOOKUP($A98, INDIRECT("SepR!$A$6:$ZZ$1048576"), MATCH(T$1, SepR!$6:$6, 0), FALSE),
            0
        ) +
        IFERROR(
            VLOOKUP($A98, INDIRECT("OctR!$A$6:$ZZ$1048576"), MATCH(T$1, OctR!$6:$6, 0), FALSE),
            0
        ) +
        IFERROR(
            VLOOKUP($A98, INDIRECT("NovR!$A$6:$ZZ$1048576"), MATCH(T$1, NovR!$6:$6, 0), FALSE),
            0
        ) +
        IFERROR(
            VLOOKUP($A98, INDIRECT("DicR!$A$6:$ZZ$1048576"), MATCH(T$1, DicR!$6:$6, 0), FALSE),
            0
        )
)</f>
        <v>0</v>
      </c>
      <c r="U98" s="37">
        <f t="array" ref="U98">SUM(
    IFERROR(
            VLOOKUP($A98, INDIRECT("EneR!$A$6:$ZZ$1048576"), MATCH(U$1, EneR!$6:$6, 0), FALSE),
            0
        ) +
        IFERROR(
            VLOOKUP($A98, INDIRECT("FebR!$A$6:$ZZ$1048576"), MATCH(U$1, FebR!$6:$6, 0), FALSE),
            0
        ) +
        IFERROR(
            VLOOKUP($A98, INDIRECT("MarR!$A$6:$ZZ$1048576"), MATCH(U$1, MarR!$6:$6, 0), FALSE),
            0
        ) +
        IFERROR(
            VLOOKUP($A98, INDIRECT("AbrR!$A$6:$ZZ$1048576"), MATCH(U$1, AbrR!$6:$6, 0), FALSE),
            0
        ) +
        IFERROR(
            VLOOKUP($A98, INDIRECT("MayR!$A$6:$ZZ$1048576"), MATCH(U$1, MayR!$6:$6, 0), FALSE),
            0
        ) +
        IFERROR(
            VLOOKUP($A98, INDIRECT("JunR!$A$6:$ZZ$1048576"), MATCH(U$1, JunR!$6:$6, 0), FALSE),
            0
        ) +
        IFERROR(
            VLOOKUP($A98, INDIRECT("JulR!$A$6:$ZZ$1048576"), MATCH(U$1, JulR!$6:$6, 0), FALSE),
            0
        ) +
        IFERROR(
            VLOOKUP($A98, INDIRECT("AgoR!$A$6:$ZZ$1048576"), MATCH(U$1, AgoR!$6:$6, 0), FALSE),
            0
        ) +
        IFERROR(
            VLOOKUP($A98, INDIRECT("SepR!$A$6:$ZZ$1048576"), MATCH(U$1, SepR!$6:$6, 0), FALSE),
            0
        ) +
        IFERROR(
            VLOOKUP($A98, INDIRECT("OctR!$A$6:$ZZ$1048576"), MATCH(U$1, OctR!$6:$6, 0), FALSE),
            0
        ) +
        IFERROR(
            VLOOKUP($A98, INDIRECT("NovR!$A$6:$ZZ$1048576"), MATCH(U$1, NovR!$6:$6, 0), FALSE),
            0
        ) +
        IFERROR(
            VLOOKUP($A98, INDIRECT("DicR!$A$6:$ZZ$1048576"), MATCH(U$1, DicR!$6:$6, 0), FALSE),
            0
        )
)</f>
        <v>0</v>
      </c>
      <c r="V98" s="36">
        <f t="array" ref="V98">SUM(
    IFERROR(
            VLOOKUP($A98, INDIRECT("EneR!$A$6:$ZZ$1048576"), MATCH(V$1, EneR!$6:$6, 0), FALSE),
            0
        ) +
        IFERROR(
            VLOOKUP($A98, INDIRECT("FebR!$A$6:$ZZ$1048576"), MATCH(V$1, FebR!$6:$6, 0), FALSE),
            0
        ) +
        IFERROR(
            VLOOKUP($A98, INDIRECT("MarR!$A$6:$ZZ$1048576"), MATCH(V$1, MarR!$6:$6, 0), FALSE),
            0
        ) +
        IFERROR(
            VLOOKUP($A98, INDIRECT("AbrR!$A$6:$ZZ$1048576"), MATCH(V$1, AbrR!$6:$6, 0), FALSE),
            0
        ) +
        IFERROR(
            VLOOKUP($A98, INDIRECT("MayR!$A$6:$ZZ$1048576"), MATCH(V$1, MayR!$6:$6, 0), FALSE),
            0
        ) +
        IFERROR(
            VLOOKUP($A98, INDIRECT("JunR!$A$6:$ZZ$1048576"), MATCH(V$1, JunR!$6:$6, 0), FALSE),
            0
        ) +
        IFERROR(
            VLOOKUP($A98, INDIRECT("JulR!$A$6:$ZZ$1048576"), MATCH(V$1, JulR!$6:$6, 0), FALSE),
            0
        ) +
        IFERROR(
            VLOOKUP($A98, INDIRECT("AgoR!$A$6:$ZZ$1048576"), MATCH(V$1, AgoR!$6:$6, 0), FALSE),
            0
        ) +
        IFERROR(
            VLOOKUP($A98, INDIRECT("SepR!$A$6:$ZZ$1048576"), MATCH(V$1, SepR!$6:$6, 0), FALSE),
            0
        ) +
        IFERROR(
            VLOOKUP($A98, INDIRECT("OctR!$A$6:$ZZ$1048576"), MATCH(V$1, OctR!$6:$6, 0), FALSE),
            0
        ) +
        IFERROR(
            VLOOKUP($A98, INDIRECT("NovR!$A$6:$ZZ$1048576"), MATCH(V$1, NovR!$6:$6, 0), FALSE),
            0
        ) +
        IFERROR(
            VLOOKUP($A98, INDIRECT("DicR!$A$6:$ZZ$1048576"), MATCH(V$1, DicR!$6:$6, 0), FALSE),
            0
        )
)</f>
        <v>0</v>
      </c>
      <c r="W98" s="37">
        <f t="array" ref="W98">SUM(
    IFERROR(
            VLOOKUP($A98, INDIRECT("EneR!$A$6:$ZZ$1048576"), MATCH(W$1, EneR!$6:$6, 0), FALSE),
            0
        ) +
        IFERROR(
            VLOOKUP($A98, INDIRECT("FebR!$A$6:$ZZ$1048576"), MATCH(W$1, FebR!$6:$6, 0), FALSE),
            0
        ) +
        IFERROR(
            VLOOKUP($A98, INDIRECT("MarR!$A$6:$ZZ$1048576"), MATCH(W$1, MarR!$6:$6, 0), FALSE),
            0
        ) +
        IFERROR(
            VLOOKUP($A98, INDIRECT("AbrR!$A$6:$ZZ$1048576"), MATCH(W$1, AbrR!$6:$6, 0), FALSE),
            0
        ) +
        IFERROR(
            VLOOKUP($A98, INDIRECT("MayR!$A$6:$ZZ$1048576"), MATCH(W$1, MayR!$6:$6, 0), FALSE),
            0
        ) +
        IFERROR(
            VLOOKUP($A98, INDIRECT("JunR!$A$6:$ZZ$1048576"), MATCH(W$1, JunR!$6:$6, 0), FALSE),
            0
        ) +
        IFERROR(
            VLOOKUP($A98, INDIRECT("JulR!$A$6:$ZZ$1048576"), MATCH(W$1, JulR!$6:$6, 0), FALSE),
            0
        ) +
        IFERROR(
            VLOOKUP($A98, INDIRECT("AgoR!$A$6:$ZZ$1048576"), MATCH(W$1, AgoR!$6:$6, 0), FALSE),
            0
        ) +
        IFERROR(
            VLOOKUP($A98, INDIRECT("SepR!$A$6:$ZZ$1048576"), MATCH(W$1, SepR!$6:$6, 0), FALSE),
            0
        ) +
        IFERROR(
            VLOOKUP($A98, INDIRECT("OctR!$A$6:$ZZ$1048576"), MATCH(W$1, OctR!$6:$6, 0), FALSE),
            0
        ) +
        IFERROR(
            VLOOKUP($A98, INDIRECT("NovR!$A$6:$ZZ$1048576"), MATCH(W$1, NovR!$6:$6, 0), FALSE),
            0
        ) +
        IFERROR(
            VLOOKUP($A98, INDIRECT("DicR!$A$6:$ZZ$1048576"), MATCH(W$1, DicR!$6:$6, 0), FALSE),
            0
        )
)</f>
        <v>0</v>
      </c>
      <c r="X98" s="36">
        <f t="array" ref="X98">SUM(
    IFERROR(
            VLOOKUP($A98, INDIRECT("EneR!$A$6:$ZZ$1048576"), MATCH(X$1, EneR!$6:$6, 0), FALSE),
            0
        ) +
        IFERROR(
            VLOOKUP($A98, INDIRECT("FebR!$A$6:$ZZ$1048576"), MATCH(X$1, FebR!$6:$6, 0), FALSE),
            0
        ) +
        IFERROR(
            VLOOKUP($A98, INDIRECT("MarR!$A$6:$ZZ$1048576"), MATCH(X$1, MarR!$6:$6, 0), FALSE),
            0
        ) +
        IFERROR(
            VLOOKUP($A98, INDIRECT("AbrR!$A$6:$ZZ$1048576"), MATCH(X$1, AbrR!$6:$6, 0), FALSE),
            0
        ) +
        IFERROR(
            VLOOKUP($A98, INDIRECT("MayR!$A$6:$ZZ$1048576"), MATCH(X$1, MayR!$6:$6, 0), FALSE),
            0
        ) +
        IFERROR(
            VLOOKUP($A98, INDIRECT("JunR!$A$6:$ZZ$1048576"), MATCH(X$1, JunR!$6:$6, 0), FALSE),
            0
        ) +
        IFERROR(
            VLOOKUP($A98, INDIRECT("JulR!$A$6:$ZZ$1048576"), MATCH(X$1, JulR!$6:$6, 0), FALSE),
            0
        ) +
        IFERROR(
            VLOOKUP($A98, INDIRECT("AgoR!$A$6:$ZZ$1048576"), MATCH(X$1, AgoR!$6:$6, 0), FALSE),
            0
        ) +
        IFERROR(
            VLOOKUP($A98, INDIRECT("SepR!$A$6:$ZZ$1048576"), MATCH(X$1, SepR!$6:$6, 0), FALSE),
            0
        ) +
        IFERROR(
            VLOOKUP($A98, INDIRECT("OctR!$A$6:$ZZ$1048576"), MATCH(X$1, OctR!$6:$6, 0), FALSE),
            0
        ) +
        IFERROR(
            VLOOKUP($A98, INDIRECT("NovR!$A$6:$ZZ$1048576"), MATCH(X$1, NovR!$6:$6, 0), FALSE),
            0
        ) +
        IFERROR(
            VLOOKUP($A98, INDIRECT("DicR!$A$6:$ZZ$1048576"), MATCH(X$1, DicR!$6:$6, 0), FALSE),
            0
        )
)</f>
        <v>0</v>
      </c>
      <c r="Y98" s="37">
        <f t="array" ref="Y98">SUM(
    IFERROR(
            VLOOKUP($A98, INDIRECT("EneR!$A$6:$ZZ$1048576"), MATCH(Y$1, EneR!$6:$6, 0), FALSE),
            0
        ) +
        IFERROR(
            VLOOKUP($A98, INDIRECT("FebR!$A$6:$ZZ$1048576"), MATCH(Y$1, FebR!$6:$6, 0), FALSE),
            0
        ) +
        IFERROR(
            VLOOKUP($A98, INDIRECT("MarR!$A$6:$ZZ$1048576"), MATCH(Y$1, MarR!$6:$6, 0), FALSE),
            0
        ) +
        IFERROR(
            VLOOKUP($A98, INDIRECT("AbrR!$A$6:$ZZ$1048576"), MATCH(Y$1, AbrR!$6:$6, 0), FALSE),
            0
        ) +
        IFERROR(
            VLOOKUP($A98, INDIRECT("MayR!$A$6:$ZZ$1048576"), MATCH(Y$1, MayR!$6:$6, 0), FALSE),
            0
        ) +
        IFERROR(
            VLOOKUP($A98, INDIRECT("JunR!$A$6:$ZZ$1048576"), MATCH(Y$1, JunR!$6:$6, 0), FALSE),
            0
        ) +
        IFERROR(
            VLOOKUP($A98, INDIRECT("JulR!$A$6:$ZZ$1048576"), MATCH(Y$1, JulR!$6:$6, 0), FALSE),
            0
        ) +
        IFERROR(
            VLOOKUP($A98, INDIRECT("AgoR!$A$6:$ZZ$1048576"), MATCH(Y$1, AgoR!$6:$6, 0), FALSE),
            0
        ) +
        IFERROR(
            VLOOKUP($A98, INDIRECT("SepR!$A$6:$ZZ$1048576"), MATCH(Y$1, SepR!$6:$6, 0), FALSE),
            0
        ) +
        IFERROR(
            VLOOKUP($A98, INDIRECT("OctR!$A$6:$ZZ$1048576"), MATCH(Y$1, OctR!$6:$6, 0), FALSE),
            0
        ) +
        IFERROR(
            VLOOKUP($A98, INDIRECT("NovR!$A$6:$ZZ$1048576"), MATCH(Y$1, NovR!$6:$6, 0), FALSE),
            0
        ) +
        IFERROR(
            VLOOKUP($A98, INDIRECT("DicR!$A$6:$ZZ$1048576"), MATCH(Y$1, DicR!$6:$6, 0), FALSE),
            0
        )
)</f>
        <v>0</v>
      </c>
      <c r="Z98" s="36">
        <f t="array" ref="Z98">SUM(
    IFERROR(
            VLOOKUP($A98, INDIRECT("EneR!$A$6:$ZZ$1048576"), MATCH(Z$1, EneR!$6:$6, 0), FALSE),
            0
        ) +
        IFERROR(
            VLOOKUP($A98, INDIRECT("FebR!$A$6:$ZZ$1048576"), MATCH(Z$1, FebR!$6:$6, 0), FALSE),
            0
        ) +
        IFERROR(
            VLOOKUP($A98, INDIRECT("MarR!$A$6:$ZZ$1048576"), MATCH(Z$1, MarR!$6:$6, 0), FALSE),
            0
        ) +
        IFERROR(
            VLOOKUP($A98, INDIRECT("AbrR!$A$6:$ZZ$1048576"), MATCH(Z$1, AbrR!$6:$6, 0), FALSE),
            0
        ) +
        IFERROR(
            VLOOKUP($A98, INDIRECT("MayR!$A$6:$ZZ$1048576"), MATCH(Z$1, MayR!$6:$6, 0), FALSE),
            0
        ) +
        IFERROR(
            VLOOKUP($A98, INDIRECT("JunR!$A$6:$ZZ$1048576"), MATCH(Z$1, JunR!$6:$6, 0), FALSE),
            0
        ) +
        IFERROR(
            VLOOKUP($A98, INDIRECT("JulR!$A$6:$ZZ$1048576"), MATCH(Z$1, JulR!$6:$6, 0), FALSE),
            0
        ) +
        IFERROR(
            VLOOKUP($A98, INDIRECT("AgoR!$A$6:$ZZ$1048576"), MATCH(Z$1, AgoR!$6:$6, 0), FALSE),
            0
        ) +
        IFERROR(
            VLOOKUP($A98, INDIRECT("SepR!$A$6:$ZZ$1048576"), MATCH(Z$1, SepR!$6:$6, 0), FALSE),
            0
        ) +
        IFERROR(
            VLOOKUP($A98, INDIRECT("OctR!$A$6:$ZZ$1048576"), MATCH(Z$1, OctR!$6:$6, 0), FALSE),
            0
        ) +
        IFERROR(
            VLOOKUP($A98, INDIRECT("NovR!$A$6:$ZZ$1048576"), MATCH(Z$1, NovR!$6:$6, 0), FALSE),
            0
        ) +
        IFERROR(
            VLOOKUP($A98, INDIRECT("DicR!$A$6:$ZZ$1048576"), MATCH(Z$1, DicR!$6:$6, 0), FALSE),
            0
        )
)</f>
        <v>0</v>
      </c>
      <c r="AA98" s="37">
        <f t="array" ref="AA98">SUM(
    IFERROR(
            VLOOKUP($A98, INDIRECT("EneR!$A$6:$ZZ$1048576"), MATCH(AA$1, EneR!$6:$6, 0), FALSE),
            0
        ) +
        IFERROR(
            VLOOKUP($A98, INDIRECT("FebR!$A$6:$ZZ$1048576"), MATCH(AA$1, FebR!$6:$6, 0), FALSE),
            0
        ) +
        IFERROR(
            VLOOKUP($A98, INDIRECT("MarR!$A$6:$ZZ$1048576"), MATCH(AA$1, MarR!$6:$6, 0), FALSE),
            0
        ) +
        IFERROR(
            VLOOKUP($A98, INDIRECT("AbrR!$A$6:$ZZ$1048576"), MATCH(AA$1, AbrR!$6:$6, 0), FALSE),
            0
        ) +
        IFERROR(
            VLOOKUP($A98, INDIRECT("MayR!$A$6:$ZZ$1048576"), MATCH(AA$1, MayR!$6:$6, 0), FALSE),
            0
        ) +
        IFERROR(
            VLOOKUP($A98, INDIRECT("JunR!$A$6:$ZZ$1048576"), MATCH(AA$1, JunR!$6:$6, 0), FALSE),
            0
        ) +
        IFERROR(
            VLOOKUP($A98, INDIRECT("JulR!$A$6:$ZZ$1048576"), MATCH(AA$1, JulR!$6:$6, 0), FALSE),
            0
        ) +
        IFERROR(
            VLOOKUP($A98, INDIRECT("AgoR!$A$6:$ZZ$1048576"), MATCH(AA$1, AgoR!$6:$6, 0), FALSE),
            0
        ) +
        IFERROR(
            VLOOKUP($A98, INDIRECT("SepR!$A$6:$ZZ$1048576"), MATCH(AA$1, SepR!$6:$6, 0), FALSE),
            0
        ) +
        IFERROR(
            VLOOKUP($A98, INDIRECT("OctR!$A$6:$ZZ$1048576"), MATCH(AA$1, OctR!$6:$6, 0), FALSE),
            0
        ) +
        IFERROR(
            VLOOKUP($A98, INDIRECT("NovR!$A$6:$ZZ$1048576"), MATCH(AA$1, NovR!$6:$6, 0), FALSE),
            0
        ) +
        IFERROR(
            VLOOKUP($A98, INDIRECT("DicR!$A$6:$ZZ$1048576"), MATCH(AA$1, DicR!$6:$6, 0), FALSE),
            0
        )
)</f>
        <v>0</v>
      </c>
      <c r="AB98" s="36">
        <f t="array" ref="AB98">SUM(
    IFERROR(
            VLOOKUP($A98, INDIRECT("EneR!$A$6:$ZZ$1048576"), MATCH(AB$1, EneR!$6:$6, 0), FALSE),
            0
        ) +
        IFERROR(
            VLOOKUP($A98, INDIRECT("FebR!$A$6:$ZZ$1048576"), MATCH(AB$1, FebR!$6:$6, 0), FALSE),
            0
        ) +
        IFERROR(
            VLOOKUP($A98, INDIRECT("MarR!$A$6:$ZZ$1048576"), MATCH(AB$1, MarR!$6:$6, 0), FALSE),
            0
        ) +
        IFERROR(
            VLOOKUP($A98, INDIRECT("AbrR!$A$6:$ZZ$1048576"), MATCH(AB$1, AbrR!$6:$6, 0), FALSE),
            0
        ) +
        IFERROR(
            VLOOKUP($A98, INDIRECT("MayR!$A$6:$ZZ$1048576"), MATCH(AB$1, MayR!$6:$6, 0), FALSE),
            0
        ) +
        IFERROR(
            VLOOKUP($A98, INDIRECT("JunR!$A$6:$ZZ$1048576"), MATCH(AB$1, JunR!$6:$6, 0), FALSE),
            0
        ) +
        IFERROR(
            VLOOKUP($A98, INDIRECT("JulR!$A$6:$ZZ$1048576"), MATCH(AB$1, JulR!$6:$6, 0), FALSE),
            0
        ) +
        IFERROR(
            VLOOKUP($A98, INDIRECT("AgoR!$A$6:$ZZ$1048576"), MATCH(AB$1, AgoR!$6:$6, 0), FALSE),
            0
        ) +
        IFERROR(
            VLOOKUP($A98, INDIRECT("SepR!$A$6:$ZZ$1048576"), MATCH(AB$1, SepR!$6:$6, 0), FALSE),
            0
        ) +
        IFERROR(
            VLOOKUP($A98, INDIRECT("OctR!$A$6:$ZZ$1048576"), MATCH(AB$1, OctR!$6:$6, 0), FALSE),
            0
        ) +
        IFERROR(
            VLOOKUP($A98, INDIRECT("NovR!$A$6:$ZZ$1048576"), MATCH(AB$1, NovR!$6:$6, 0), FALSE),
            0
        ) +
        IFERROR(
            VLOOKUP($A98, INDIRECT("DicR!$A$6:$ZZ$1048576"), MATCH(AB$1, DicR!$6:$6, 0), FALSE),
            0
        )
)</f>
        <v>0</v>
      </c>
      <c r="AC98" s="37">
        <f t="array" ref="AC98">SUM(
    IFERROR(
            VLOOKUP($A98, INDIRECT("EneR!$A$6:$ZZ$1048576"), MATCH(AC$1, EneR!$6:$6, 0), FALSE),
            0
        ) +
        IFERROR(
            VLOOKUP($A98, INDIRECT("FebR!$A$6:$ZZ$1048576"), MATCH(AC$1, FebR!$6:$6, 0), FALSE),
            0
        ) +
        IFERROR(
            VLOOKUP($A98, INDIRECT("MarR!$A$6:$ZZ$1048576"), MATCH(AC$1, MarR!$6:$6, 0), FALSE),
            0
        ) +
        IFERROR(
            VLOOKUP($A98, INDIRECT("AbrR!$A$6:$ZZ$1048576"), MATCH(AC$1, AbrR!$6:$6, 0), FALSE),
            0
        ) +
        IFERROR(
            VLOOKUP($A98, INDIRECT("MayR!$A$6:$ZZ$1048576"), MATCH(AC$1, MayR!$6:$6, 0), FALSE),
            0
        ) +
        IFERROR(
            VLOOKUP($A98, INDIRECT("JunR!$A$6:$ZZ$1048576"), MATCH(AC$1, JunR!$6:$6, 0), FALSE),
            0
        ) +
        IFERROR(
            VLOOKUP($A98, INDIRECT("JulR!$A$6:$ZZ$1048576"), MATCH(AC$1, JulR!$6:$6, 0), FALSE),
            0
        ) +
        IFERROR(
            VLOOKUP($A98, INDIRECT("AgoR!$A$6:$ZZ$1048576"), MATCH(AC$1, AgoR!$6:$6, 0), FALSE),
            0
        ) +
        IFERROR(
            VLOOKUP($A98, INDIRECT("SepR!$A$6:$ZZ$1048576"), MATCH(AC$1, SepR!$6:$6, 0), FALSE),
            0
        ) +
        IFERROR(
            VLOOKUP($A98, INDIRECT("OctR!$A$6:$ZZ$1048576"), MATCH(AC$1, OctR!$6:$6, 0), FALSE),
            0
        ) +
        IFERROR(
            VLOOKUP($A98, INDIRECT("NovR!$A$6:$ZZ$1048576"), MATCH(AC$1, NovR!$6:$6, 0), FALSE),
            0
        ) +
        IFERROR(
            VLOOKUP($A98, INDIRECT("DicR!$A$6:$ZZ$1048576"), MATCH(AC$1, DicR!$6:$6, 0), FALSE),
            0
        )
)</f>
        <v>0</v>
      </c>
      <c r="AD98" s="36">
        <f t="array" ref="AD98">SUM(
    IFERROR(
            VLOOKUP($A98, INDIRECT("EneR!$A$6:$ZZ$1048576"), MATCH(AD$1, EneR!$6:$6, 0), FALSE),
            0
        ) +
        IFERROR(
            VLOOKUP($A98, INDIRECT("FebR!$A$6:$ZZ$1048576"), MATCH(AD$1, FebR!$6:$6, 0), FALSE),
            0
        ) +
        IFERROR(
            VLOOKUP($A98, INDIRECT("MarR!$A$6:$ZZ$1048576"), MATCH(AD$1, MarR!$6:$6, 0), FALSE),
            0
        ) +
        IFERROR(
            VLOOKUP($A98, INDIRECT("AbrR!$A$6:$ZZ$1048576"), MATCH(AD$1, AbrR!$6:$6, 0), FALSE),
            0
        ) +
        IFERROR(
            VLOOKUP($A98, INDIRECT("MayR!$A$6:$ZZ$1048576"), MATCH(AD$1, MayR!$6:$6, 0), FALSE),
            0
        ) +
        IFERROR(
            VLOOKUP($A98, INDIRECT("JunR!$A$6:$ZZ$1048576"), MATCH(AD$1, JunR!$6:$6, 0), FALSE),
            0
        ) +
        IFERROR(
            VLOOKUP($A98, INDIRECT("JulR!$A$6:$ZZ$1048576"), MATCH(AD$1, JulR!$6:$6, 0), FALSE),
            0
        ) +
        IFERROR(
            VLOOKUP($A98, INDIRECT("AgoR!$A$6:$ZZ$1048576"), MATCH(AD$1, AgoR!$6:$6, 0), FALSE),
            0
        ) +
        IFERROR(
            VLOOKUP($A98, INDIRECT("SepR!$A$6:$ZZ$1048576"), MATCH(AD$1, SepR!$6:$6, 0), FALSE),
            0
        ) +
        IFERROR(
            VLOOKUP($A98, INDIRECT("OctR!$A$6:$ZZ$1048576"), MATCH(AD$1, OctR!$6:$6, 0), FALSE),
            0
        ) +
        IFERROR(
            VLOOKUP($A98, INDIRECT("NovR!$A$6:$ZZ$1048576"), MATCH(AD$1, NovR!$6:$6, 0), FALSE),
            0
        ) +
        IFERROR(
            VLOOKUP($A98, INDIRECT("DicR!$A$6:$ZZ$1048576"), MATCH(AD$1, DicR!$6:$6, 0), FALSE),
            0
        )
)</f>
        <v>0</v>
      </c>
      <c r="AE98" s="37">
        <f t="array" ref="AE98">SUM(
    IFERROR(
            VLOOKUP($A98, INDIRECT("EneR!$A$6:$ZZ$1048576"), MATCH(AE$1, EneR!$6:$6, 0), FALSE),
            0
        ) +
        IFERROR(
            VLOOKUP($A98, INDIRECT("FebR!$A$6:$ZZ$1048576"), MATCH(AE$1, FebR!$6:$6, 0), FALSE),
            0
        ) +
        IFERROR(
            VLOOKUP($A98, INDIRECT("MarR!$A$6:$ZZ$1048576"), MATCH(AE$1, MarR!$6:$6, 0), FALSE),
            0
        ) +
        IFERROR(
            VLOOKUP($A98, INDIRECT("AbrR!$A$6:$ZZ$1048576"), MATCH(AE$1, AbrR!$6:$6, 0), FALSE),
            0
        ) +
        IFERROR(
            VLOOKUP($A98, INDIRECT("MayR!$A$6:$ZZ$1048576"), MATCH(AE$1, MayR!$6:$6, 0), FALSE),
            0
        ) +
        IFERROR(
            VLOOKUP($A98, INDIRECT("JunR!$A$6:$ZZ$1048576"), MATCH(AE$1, JunR!$6:$6, 0), FALSE),
            0
        ) +
        IFERROR(
            VLOOKUP($A98, INDIRECT("JulR!$A$6:$ZZ$1048576"), MATCH(AE$1, JulR!$6:$6, 0), FALSE),
            0
        ) +
        IFERROR(
            VLOOKUP($A98, INDIRECT("AgoR!$A$6:$ZZ$1048576"), MATCH(AE$1, AgoR!$6:$6, 0), FALSE),
            0
        ) +
        IFERROR(
            VLOOKUP($A98, INDIRECT("SepR!$A$6:$ZZ$1048576"), MATCH(AE$1, SepR!$6:$6, 0), FALSE),
            0
        ) +
        IFERROR(
            VLOOKUP($A98, INDIRECT("OctR!$A$6:$ZZ$1048576"), MATCH(AE$1, OctR!$6:$6, 0), FALSE),
            0
        ) +
        IFERROR(
            VLOOKUP($A98, INDIRECT("NovR!$A$6:$ZZ$1048576"), MATCH(AE$1, NovR!$6:$6, 0), FALSE),
            0
        ) +
        IFERROR(
            VLOOKUP($A98, INDIRECT("DicR!$A$6:$ZZ$1048576"), MATCH(AE$1, DicR!$6:$6, 0), FALSE),
            0
        )
)</f>
        <v>0</v>
      </c>
      <c r="AF98" s="36">
        <f t="array" ref="AF98">SUM(
    IFERROR(
            VLOOKUP($A98, INDIRECT("EneR!$A$6:$ZZ$1048576"), MATCH(AF$1, EneR!$6:$6, 0), FALSE),
            0
        ) +
        IFERROR(
            VLOOKUP($A98, INDIRECT("FebR!$A$6:$ZZ$1048576"), MATCH(AF$1, FebR!$6:$6, 0), FALSE),
            0
        ) +
        IFERROR(
            VLOOKUP($A98, INDIRECT("MarR!$A$6:$ZZ$1048576"), MATCH(AF$1, MarR!$6:$6, 0), FALSE),
            0
        ) +
        IFERROR(
            VLOOKUP($A98, INDIRECT("AbrR!$A$6:$ZZ$1048576"), MATCH(AF$1, AbrR!$6:$6, 0), FALSE),
            0
        ) +
        IFERROR(
            VLOOKUP($A98, INDIRECT("MayR!$A$6:$ZZ$1048576"), MATCH(AF$1, MayR!$6:$6, 0), FALSE),
            0
        ) +
        IFERROR(
            VLOOKUP($A98, INDIRECT("JunR!$A$6:$ZZ$1048576"), MATCH(AF$1, JunR!$6:$6, 0), FALSE),
            0
        ) +
        IFERROR(
            VLOOKUP($A98, INDIRECT("JulR!$A$6:$ZZ$1048576"), MATCH(AF$1, JulR!$6:$6, 0), FALSE),
            0
        ) +
        IFERROR(
            VLOOKUP($A98, INDIRECT("AgoR!$A$6:$ZZ$1048576"), MATCH(AF$1, AgoR!$6:$6, 0), FALSE),
            0
        ) +
        IFERROR(
            VLOOKUP($A98, INDIRECT("SepR!$A$6:$ZZ$1048576"), MATCH(AF$1, SepR!$6:$6, 0), FALSE),
            0
        ) +
        IFERROR(
            VLOOKUP($A98, INDIRECT("OctR!$A$6:$ZZ$1048576"), MATCH(AF$1, OctR!$6:$6, 0), FALSE),
            0
        ) +
        IFERROR(
            VLOOKUP($A98, INDIRECT("NovR!$A$6:$ZZ$1048576"), MATCH(AF$1, NovR!$6:$6, 0), FALSE),
            0
        ) +
        IFERROR(
            VLOOKUP($A98, INDIRECT("DicR!$A$6:$ZZ$1048576"), MATCH(AF$1, DicR!$6:$6, 0), FALSE),
            0
        )
)</f>
        <v>0</v>
      </c>
      <c r="AG98" s="37">
        <f t="array" ref="AG98">SUM(
    IFERROR(
            VLOOKUP($A98, INDIRECT("EneR!$A$6:$ZZ$1048576"), MATCH(AG$1, EneR!$6:$6, 0), FALSE),
            0
        ) +
        IFERROR(
            VLOOKUP($A98, INDIRECT("FebR!$A$6:$ZZ$1048576"), MATCH(AG$1, FebR!$6:$6, 0), FALSE),
            0
        ) +
        IFERROR(
            VLOOKUP($A98, INDIRECT("MarR!$A$6:$ZZ$1048576"), MATCH(AG$1, MarR!$6:$6, 0), FALSE),
            0
        ) +
        IFERROR(
            VLOOKUP($A98, INDIRECT("AbrR!$A$6:$ZZ$1048576"), MATCH(AG$1, AbrR!$6:$6, 0), FALSE),
            0
        ) +
        IFERROR(
            VLOOKUP($A98, INDIRECT("MayR!$A$6:$ZZ$1048576"), MATCH(AG$1, MayR!$6:$6, 0), FALSE),
            0
        ) +
        IFERROR(
            VLOOKUP($A98, INDIRECT("JunR!$A$6:$ZZ$1048576"), MATCH(AG$1, JunR!$6:$6, 0), FALSE),
            0
        ) +
        IFERROR(
            VLOOKUP($A98, INDIRECT("JulR!$A$6:$ZZ$1048576"), MATCH(AG$1, JulR!$6:$6, 0), FALSE),
            0
        ) +
        IFERROR(
            VLOOKUP($A98, INDIRECT("AgoR!$A$6:$ZZ$1048576"), MATCH(AG$1, AgoR!$6:$6, 0), FALSE),
            0
        ) +
        IFERROR(
            VLOOKUP($A98, INDIRECT("SepR!$A$6:$ZZ$1048576"), MATCH(AG$1, SepR!$6:$6, 0), FALSE),
            0
        ) +
        IFERROR(
            VLOOKUP($A98, INDIRECT("OctR!$A$6:$ZZ$1048576"), MATCH(AG$1, OctR!$6:$6, 0), FALSE),
            0
        ) +
        IFERROR(
            VLOOKUP($A98, INDIRECT("NovR!$A$6:$ZZ$1048576"), MATCH(AG$1, NovR!$6:$6, 0), FALSE),
            0
        ) +
        IFERROR(
            VLOOKUP($A98, INDIRECT("DicR!$A$6:$ZZ$1048576"), MATCH(AG$1, DicR!$6:$6, 0), FALSE),
            0
        )
)</f>
        <v>0</v>
      </c>
      <c r="AH98" s="36">
        <f t="array" ref="AH98">SUM(
    IFERROR(
            VLOOKUP($A98, INDIRECT("EneR!$A$6:$ZZ$1048576"), MATCH(AH$1, EneR!$6:$6, 0), FALSE),
            0
        ) +
        IFERROR(
            VLOOKUP($A98, INDIRECT("FebR!$A$6:$ZZ$1048576"), MATCH(AH$1, FebR!$6:$6, 0), FALSE),
            0
        ) +
        IFERROR(
            VLOOKUP($A98, INDIRECT("MarR!$A$6:$ZZ$1048576"), MATCH(AH$1, MarR!$6:$6, 0), FALSE),
            0
        ) +
        IFERROR(
            VLOOKUP($A98, INDIRECT("AbrR!$A$6:$ZZ$1048576"), MATCH(AH$1, AbrR!$6:$6, 0), FALSE),
            0
        ) +
        IFERROR(
            VLOOKUP($A98, INDIRECT("MayR!$A$6:$ZZ$1048576"), MATCH(AH$1, MayR!$6:$6, 0), FALSE),
            0
        ) +
        IFERROR(
            VLOOKUP($A98, INDIRECT("JunR!$A$6:$ZZ$1048576"), MATCH(AH$1, JunR!$6:$6, 0), FALSE),
            0
        ) +
        IFERROR(
            VLOOKUP($A98, INDIRECT("JulR!$A$6:$ZZ$1048576"), MATCH(AH$1, JulR!$6:$6, 0), FALSE),
            0
        ) +
        IFERROR(
            VLOOKUP($A98, INDIRECT("AgoR!$A$6:$ZZ$1048576"), MATCH(AH$1, AgoR!$6:$6, 0), FALSE),
            0
        ) +
        IFERROR(
            VLOOKUP($A98, INDIRECT("SepR!$A$6:$ZZ$1048576"), MATCH(AH$1, SepR!$6:$6, 0), FALSE),
            0
        ) +
        IFERROR(
            VLOOKUP($A98, INDIRECT("OctR!$A$6:$ZZ$1048576"), MATCH(AH$1, OctR!$6:$6, 0), FALSE),
            0
        ) +
        IFERROR(
            VLOOKUP($A98, INDIRECT("NovR!$A$6:$ZZ$1048576"), MATCH(AH$1, NovR!$6:$6, 0), FALSE),
            0
        ) +
        IFERROR(
            VLOOKUP($A98, INDIRECT("DicR!$A$6:$ZZ$1048576"), MATCH(AH$1, DicR!$6:$6, 0), FALSE),
            0
        )
)</f>
        <v>0</v>
      </c>
      <c r="AI98" s="37">
        <f t="array" ref="AI98">SUM(
    IFERROR(
            VLOOKUP($A98, INDIRECT("EneR!$A$6:$ZZ$1048576"), MATCH(AI$1, EneR!$6:$6, 0), FALSE),
            0
        ) +
        IFERROR(
            VLOOKUP($A98, INDIRECT("FebR!$A$6:$ZZ$1048576"), MATCH(AI$1, FebR!$6:$6, 0), FALSE),
            0
        ) +
        IFERROR(
            VLOOKUP($A98, INDIRECT("MarR!$A$6:$ZZ$1048576"), MATCH(AI$1, MarR!$6:$6, 0), FALSE),
            0
        ) +
        IFERROR(
            VLOOKUP($A98, INDIRECT("AbrR!$A$6:$ZZ$1048576"), MATCH(AI$1, AbrR!$6:$6, 0), FALSE),
            0
        ) +
        IFERROR(
            VLOOKUP($A98, INDIRECT("MayR!$A$6:$ZZ$1048576"), MATCH(AI$1, MayR!$6:$6, 0), FALSE),
            0
        ) +
        IFERROR(
            VLOOKUP($A98, INDIRECT("JunR!$A$6:$ZZ$1048576"), MATCH(AI$1, JunR!$6:$6, 0), FALSE),
            0
        ) +
        IFERROR(
            VLOOKUP($A98, INDIRECT("JulR!$A$6:$ZZ$1048576"), MATCH(AI$1, JulR!$6:$6, 0), FALSE),
            0
        ) +
        IFERROR(
            VLOOKUP($A98, INDIRECT("AgoR!$A$6:$ZZ$1048576"), MATCH(AI$1, AgoR!$6:$6, 0), FALSE),
            0
        ) +
        IFERROR(
            VLOOKUP($A98, INDIRECT("SepR!$A$6:$ZZ$1048576"), MATCH(AI$1, SepR!$6:$6, 0), FALSE),
            0
        ) +
        IFERROR(
            VLOOKUP($A98, INDIRECT("OctR!$A$6:$ZZ$1048576"), MATCH(AI$1, OctR!$6:$6, 0), FALSE),
            0
        ) +
        IFERROR(
            VLOOKUP($A98, INDIRECT("NovR!$A$6:$ZZ$1048576"), MATCH(AI$1, NovR!$6:$6, 0), FALSE),
            0
        ) +
        IFERROR(
            VLOOKUP($A98, INDIRECT("DicR!$A$6:$ZZ$1048576"), MATCH(AI$1, DicR!$6:$6, 0), FALSE),
            0
        )
)</f>
        <v>0</v>
      </c>
      <c r="AJ98" s="36">
        <f t="array" ref="AJ98">SUM(
    IFERROR(
            VLOOKUP($A98, INDIRECT("EneR!$A$6:$ZZ$1048576"), MATCH(AJ$1, EneR!$6:$6, 0), FALSE),
            0
        ) +
        IFERROR(
            VLOOKUP($A98, INDIRECT("FebR!$A$6:$ZZ$1048576"), MATCH(AJ$1, FebR!$6:$6, 0), FALSE),
            0
        ) +
        IFERROR(
            VLOOKUP($A98, INDIRECT("MarR!$A$6:$ZZ$1048576"), MATCH(AJ$1, MarR!$6:$6, 0), FALSE),
            0
        ) +
        IFERROR(
            VLOOKUP($A98, INDIRECT("AbrR!$A$6:$ZZ$1048576"), MATCH(AJ$1, AbrR!$6:$6, 0), FALSE),
            0
        ) +
        IFERROR(
            VLOOKUP($A98, INDIRECT("MayR!$A$6:$ZZ$1048576"), MATCH(AJ$1, MayR!$6:$6, 0), FALSE),
            0
        ) +
        IFERROR(
            VLOOKUP($A98, INDIRECT("JunR!$A$6:$ZZ$1048576"), MATCH(AJ$1, JunR!$6:$6, 0), FALSE),
            0
        ) +
        IFERROR(
            VLOOKUP($A98, INDIRECT("JulR!$A$6:$ZZ$1048576"), MATCH(AJ$1, JulR!$6:$6, 0), FALSE),
            0
        ) +
        IFERROR(
            VLOOKUP($A98, INDIRECT("AgoR!$A$6:$ZZ$1048576"), MATCH(AJ$1, AgoR!$6:$6, 0), FALSE),
            0
        ) +
        IFERROR(
            VLOOKUP($A98, INDIRECT("SepR!$A$6:$ZZ$1048576"), MATCH(AJ$1, SepR!$6:$6, 0), FALSE),
            0
        ) +
        IFERROR(
            VLOOKUP($A98, INDIRECT("OctR!$A$6:$ZZ$1048576"), MATCH(AJ$1, OctR!$6:$6, 0), FALSE),
            0
        ) +
        IFERROR(
            VLOOKUP($A98, INDIRECT("NovR!$A$6:$ZZ$1048576"), MATCH(AJ$1, NovR!$6:$6, 0), FALSE),
            0
        ) +
        IFERROR(
            VLOOKUP($A98, INDIRECT("DicR!$A$6:$ZZ$1048576"), MATCH(AJ$1, DicR!$6:$6, 0), FALSE),
            0
        )
)</f>
        <v>0</v>
      </c>
      <c r="AK98" s="37">
        <f t="array" ref="AK98">SUM(
    IFERROR(
            VLOOKUP($A98, INDIRECT("EneR!$A$6:$ZZ$1048576"), MATCH(AK$1, EneR!$6:$6, 0), FALSE),
            0
        ) +
        IFERROR(
            VLOOKUP($A98, INDIRECT("FebR!$A$6:$ZZ$1048576"), MATCH(AK$1, FebR!$6:$6, 0), FALSE),
            0
        ) +
        IFERROR(
            VLOOKUP($A98, INDIRECT("MarR!$A$6:$ZZ$1048576"), MATCH(AK$1, MarR!$6:$6, 0), FALSE),
            0
        ) +
        IFERROR(
            VLOOKUP($A98, INDIRECT("AbrR!$A$6:$ZZ$1048576"), MATCH(AK$1, AbrR!$6:$6, 0), FALSE),
            0
        ) +
        IFERROR(
            VLOOKUP($A98, INDIRECT("MayR!$A$6:$ZZ$1048576"), MATCH(AK$1, MayR!$6:$6, 0), FALSE),
            0
        ) +
        IFERROR(
            VLOOKUP($A98, INDIRECT("JunR!$A$6:$ZZ$1048576"), MATCH(AK$1, JunR!$6:$6, 0), FALSE),
            0
        ) +
        IFERROR(
            VLOOKUP($A98, INDIRECT("JulR!$A$6:$ZZ$1048576"), MATCH(AK$1, JulR!$6:$6, 0), FALSE),
            0
        ) +
        IFERROR(
            VLOOKUP($A98, INDIRECT("AgoR!$A$6:$ZZ$1048576"), MATCH(AK$1, AgoR!$6:$6, 0), FALSE),
            0
        ) +
        IFERROR(
            VLOOKUP($A98, INDIRECT("SepR!$A$6:$ZZ$1048576"), MATCH(AK$1, SepR!$6:$6, 0), FALSE),
            0
        ) +
        IFERROR(
            VLOOKUP($A98, INDIRECT("OctR!$A$6:$ZZ$1048576"), MATCH(AK$1, OctR!$6:$6, 0), FALSE),
            0
        ) +
        IFERROR(
            VLOOKUP($A98, INDIRECT("NovR!$A$6:$ZZ$1048576"), MATCH(AK$1, NovR!$6:$6, 0), FALSE),
            0
        ) +
        IFERROR(
            VLOOKUP($A98, INDIRECT("DicR!$A$6:$ZZ$1048576"), MATCH(AK$1, DicR!$6:$6, 0), FALSE),
            0
        )
)</f>
        <v>0</v>
      </c>
      <c r="AL98" s="36">
        <f t="array" ref="AL98">SUM(
    IFERROR(
            VLOOKUP($A98, INDIRECT("EneR!$A$6:$ZZ$1048576"), MATCH(AL$1, EneR!$6:$6, 0), FALSE),
            0
        ) +
        IFERROR(
            VLOOKUP($A98, INDIRECT("FebR!$A$6:$ZZ$1048576"), MATCH(AL$1, FebR!$6:$6, 0), FALSE),
            0
        ) +
        IFERROR(
            VLOOKUP($A98, INDIRECT("MarR!$A$6:$ZZ$1048576"), MATCH(AL$1, MarR!$6:$6, 0), FALSE),
            0
        ) +
        IFERROR(
            VLOOKUP($A98, INDIRECT("AbrR!$A$6:$ZZ$1048576"), MATCH(AL$1, AbrR!$6:$6, 0), FALSE),
            0
        ) +
        IFERROR(
            VLOOKUP($A98, INDIRECT("MayR!$A$6:$ZZ$1048576"), MATCH(AL$1, MayR!$6:$6, 0), FALSE),
            0
        ) +
        IFERROR(
            VLOOKUP($A98, INDIRECT("JunR!$A$6:$ZZ$1048576"), MATCH(AL$1, JunR!$6:$6, 0), FALSE),
            0
        ) +
        IFERROR(
            VLOOKUP($A98, INDIRECT("JulR!$A$6:$ZZ$1048576"), MATCH(AL$1, JulR!$6:$6, 0), FALSE),
            0
        ) +
        IFERROR(
            VLOOKUP($A98, INDIRECT("AgoR!$A$6:$ZZ$1048576"), MATCH(AL$1, AgoR!$6:$6, 0), FALSE),
            0
        ) +
        IFERROR(
            VLOOKUP($A98, INDIRECT("SepR!$A$6:$ZZ$1048576"), MATCH(AL$1, SepR!$6:$6, 0), FALSE),
            0
        ) +
        IFERROR(
            VLOOKUP($A98, INDIRECT("OctR!$A$6:$ZZ$1048576"), MATCH(AL$1, OctR!$6:$6, 0), FALSE),
            0
        ) +
        IFERROR(
            VLOOKUP($A98, INDIRECT("NovR!$A$6:$ZZ$1048576"), MATCH(AL$1, NovR!$6:$6, 0), FALSE),
            0
        ) +
        IFERROR(
            VLOOKUP($A98, INDIRECT("DicR!$A$6:$ZZ$1048576"), MATCH(AL$1, DicR!$6:$6, 0), FALSE),
            0
        )
)</f>
        <v>0</v>
      </c>
      <c r="AM98" s="37">
        <f t="array" ref="AM98">SUM(
    IFERROR(
            VLOOKUP($A98, INDIRECT("EneR!$A$6:$ZZ$1048576"), MATCH(AM$1, EneR!$6:$6, 0), FALSE),
            0
        ) +
        IFERROR(
            VLOOKUP($A98, INDIRECT("FebR!$A$6:$ZZ$1048576"), MATCH(AM$1, FebR!$6:$6, 0), FALSE),
            0
        ) +
        IFERROR(
            VLOOKUP($A98, INDIRECT("MarR!$A$6:$ZZ$1048576"), MATCH(AM$1, MarR!$6:$6, 0), FALSE),
            0
        ) +
        IFERROR(
            VLOOKUP($A98, INDIRECT("AbrR!$A$6:$ZZ$1048576"), MATCH(AM$1, AbrR!$6:$6, 0), FALSE),
            0
        ) +
        IFERROR(
            VLOOKUP($A98, INDIRECT("MayR!$A$6:$ZZ$1048576"), MATCH(AM$1, MayR!$6:$6, 0), FALSE),
            0
        ) +
        IFERROR(
            VLOOKUP($A98, INDIRECT("JunR!$A$6:$ZZ$1048576"), MATCH(AM$1, JunR!$6:$6, 0), FALSE),
            0
        ) +
        IFERROR(
            VLOOKUP($A98, INDIRECT("JulR!$A$6:$ZZ$1048576"), MATCH(AM$1, JulR!$6:$6, 0), FALSE),
            0
        ) +
        IFERROR(
            VLOOKUP($A98, INDIRECT("AgoR!$A$6:$ZZ$1048576"), MATCH(AM$1, AgoR!$6:$6, 0), FALSE),
            0
        ) +
        IFERROR(
            VLOOKUP($A98, INDIRECT("SepR!$A$6:$ZZ$1048576"), MATCH(AM$1, SepR!$6:$6, 0), FALSE),
            0
        ) +
        IFERROR(
            VLOOKUP($A98, INDIRECT("OctR!$A$6:$ZZ$1048576"), MATCH(AM$1, OctR!$6:$6, 0), FALSE),
            0
        ) +
        IFERROR(
            VLOOKUP($A98, INDIRECT("NovR!$A$6:$ZZ$1048576"), MATCH(AM$1, NovR!$6:$6, 0), FALSE),
            0
        ) +
        IFERROR(
            VLOOKUP($A98, INDIRECT("DicR!$A$6:$ZZ$1048576"), MATCH(AM$1, DicR!$6:$6, 0), FALSE),
            0
        )
)</f>
        <v>0</v>
      </c>
      <c r="AN98" s="32">
        <f t="array" ref="AN98">SUM(
    IFERROR(
            VLOOKUP($A98, INDIRECT("EneR!$A$6:$ZZ$1048576"), MATCH(AN$1, EneR!$6:$6, 0), FALSE),
            0
        ) +
        IFERROR(
            VLOOKUP($A98, INDIRECT("FebR!$A$6:$ZZ$1048576"), MATCH(AN$1, FebR!$6:$6, 0), FALSE),
            0
        ) +
        IFERROR(
            VLOOKUP($A98, INDIRECT("MarR!$A$6:$ZZ$1048576"), MATCH(AN$1, MarR!$6:$6, 0), FALSE),
            0
        ) +
        IFERROR(
            VLOOKUP($A98, INDIRECT("AbrR!$A$6:$ZZ$1048576"), MATCH(AN$1, AbrR!$6:$6, 0), FALSE),
            0
        ) +
        IFERROR(
            VLOOKUP($A98, INDIRECT("MayR!$A$6:$ZZ$1048576"), MATCH(AN$1, MayR!$6:$6, 0), FALSE),
            0
        ) +
        IFERROR(
            VLOOKUP($A98, INDIRECT("JunR!$A$6:$ZZ$1048576"), MATCH(AN$1, JunR!$6:$6, 0), FALSE),
            0
        ) +
        IFERROR(
            VLOOKUP($A98, INDIRECT("JulR!$A$6:$ZZ$1048576"), MATCH(AN$1, JulR!$6:$6, 0), FALSE),
            0
        ) +
        IFERROR(
            VLOOKUP($A98, INDIRECT("AgoR!$A$6:$ZZ$1048576"), MATCH(AN$1, AgoR!$6:$6, 0), FALSE),
            0
        ) +
        IFERROR(
            VLOOKUP($A98, INDIRECT("SepR!$A$6:$ZZ$1048576"), MATCH(AN$1, SepR!$6:$6, 0), FALSE),
            0
        ) +
        IFERROR(
            VLOOKUP($A98, INDIRECT("OctR!$A$6:$ZZ$1048576"), MATCH(AN$1, OctR!$6:$6, 0), FALSE),
            0
        ) +
        IFERROR(
            VLOOKUP($A98, INDIRECT("NovR!$A$6:$ZZ$1048576"), MATCH(AN$1, NovR!$6:$6, 0), FALSE),
            0
        ) +
        IFERROR(
            VLOOKUP($A98, INDIRECT("DicR!$A$6:$ZZ$1048576"), MATCH(AN$1, DicR!$6:$6, 0), FALSE),
            0
        )
)</f>
        <v>0</v>
      </c>
      <c r="AO98" s="35">
        <f t="array" ref="AO98">SUM(
    IFERROR(
            VLOOKUP($A98, INDIRECT("EneR!$A$6:$ZZ$1048576"), MATCH(AO$1, EneR!$6:$6, 0), FALSE),
            0
        ) +
        IFERROR(
            VLOOKUP($A98, INDIRECT("FebR!$A$6:$ZZ$1048576"), MATCH(AO$1, FebR!$6:$6, 0), FALSE),
            0
        ) +
        IFERROR(
            VLOOKUP($A98, INDIRECT("MarR!$A$6:$ZZ$1048576"), MATCH(AO$1, MarR!$6:$6, 0), FALSE),
            0
        ) +
        IFERROR(
            VLOOKUP($A98, INDIRECT("AbrR!$A$6:$ZZ$1048576"), MATCH(AO$1, AbrR!$6:$6, 0), FALSE),
            0
        ) +
        IFERROR(
            VLOOKUP($A98, INDIRECT("MayR!$A$6:$ZZ$1048576"), MATCH(AO$1, MayR!$6:$6, 0), FALSE),
            0
        ) +
        IFERROR(
            VLOOKUP($A98, INDIRECT("JunR!$A$6:$ZZ$1048576"), MATCH(AO$1, JunR!$6:$6, 0), FALSE),
            0
        ) +
        IFERROR(
            VLOOKUP($A98, INDIRECT("JulR!$A$6:$ZZ$1048576"), MATCH(AO$1, JulR!$6:$6, 0), FALSE),
            0
        ) +
        IFERROR(
            VLOOKUP($A98, INDIRECT("AgoR!$A$6:$ZZ$1048576"), MATCH(AO$1, AgoR!$6:$6, 0), FALSE),
            0
        ) +
        IFERROR(
            VLOOKUP($A98, INDIRECT("SepR!$A$6:$ZZ$1048576"), MATCH(AO$1, SepR!$6:$6, 0), FALSE),
            0
        ) +
        IFERROR(
            VLOOKUP($A98, INDIRECT("OctR!$A$6:$ZZ$1048576"), MATCH(AO$1, OctR!$6:$6, 0), FALSE),
            0
        ) +
        IFERROR(
            VLOOKUP($A98, INDIRECT("NovR!$A$6:$ZZ$1048576"), MATCH(AO$1, NovR!$6:$6, 0), FALSE),
            0
        ) +
        IFERROR(
            VLOOKUP($A98, INDIRECT("DicR!$A$6:$ZZ$1048576"), MATCH(AO$1, DicR!$6:$6, 0), FALSE),
            0
        )
)</f>
        <v>0</v>
      </c>
      <c r="AP98" s="36">
        <f t="array" ref="AP98">SUM(
    IFERROR(
            VLOOKUP($A98, INDIRECT("EneR!$A$6:$ZZ$1048576"), MATCH(AP$1, EneR!$6:$6, 0), FALSE),
            0
        ) +
        IFERROR(
            VLOOKUP($A98, INDIRECT("FebR!$A$6:$ZZ$1048576"), MATCH(AP$1, FebR!$6:$6, 0), FALSE),
            0
        ) +
        IFERROR(
            VLOOKUP($A98, INDIRECT("MarR!$A$6:$ZZ$1048576"), MATCH(AP$1, MarR!$6:$6, 0), FALSE),
            0
        ) +
        IFERROR(
            VLOOKUP($A98, INDIRECT("AbrR!$A$6:$ZZ$1048576"), MATCH(AP$1, AbrR!$6:$6, 0), FALSE),
            0
        ) +
        IFERROR(
            VLOOKUP($A98, INDIRECT("MayR!$A$6:$ZZ$1048576"), MATCH(AP$1, MayR!$6:$6, 0), FALSE),
            0
        ) +
        IFERROR(
            VLOOKUP($A98, INDIRECT("JunR!$A$6:$ZZ$1048576"), MATCH(AP$1, JunR!$6:$6, 0), FALSE),
            0
        ) +
        IFERROR(
            VLOOKUP($A98, INDIRECT("JulR!$A$6:$ZZ$1048576"), MATCH(AP$1, JulR!$6:$6, 0), FALSE),
            0
        ) +
        IFERROR(
            VLOOKUP($A98, INDIRECT("AgoR!$A$6:$ZZ$1048576"), MATCH(AP$1, AgoR!$6:$6, 0), FALSE),
            0
        ) +
        IFERROR(
            VLOOKUP($A98, INDIRECT("SepR!$A$6:$ZZ$1048576"), MATCH(AP$1, SepR!$6:$6, 0), FALSE),
            0
        ) +
        IFERROR(
            VLOOKUP($A98, INDIRECT("OctR!$A$6:$ZZ$1048576"), MATCH(AP$1, OctR!$6:$6, 0), FALSE),
            0
        ) +
        IFERROR(
            VLOOKUP($A98, INDIRECT("NovR!$A$6:$ZZ$1048576"), MATCH(AP$1, NovR!$6:$6, 0), FALSE),
            0
        ) +
        IFERROR(
            VLOOKUP($A98, INDIRECT("DicR!$A$6:$ZZ$1048576"), MATCH(AP$1, DicR!$6:$6, 0), FALSE),
            0
        )
)</f>
        <v>0</v>
      </c>
      <c r="AQ98" s="35">
        <f t="array" ref="AQ98">SUM(
    IFERROR(
            VLOOKUP($A98, INDIRECT("EneR!$A$6:$ZZ$1048576"), MATCH(AQ$1, EneR!$6:$6, 0), FALSE),
            0
        ) +
        IFERROR(
            VLOOKUP($A98, INDIRECT("FebR!$A$6:$ZZ$1048576"), MATCH(AQ$1, FebR!$6:$6, 0), FALSE),
            0
        ) +
        IFERROR(
            VLOOKUP($A98, INDIRECT("MarR!$A$6:$ZZ$1048576"), MATCH(AQ$1, MarR!$6:$6, 0), FALSE),
            0
        ) +
        IFERROR(
            VLOOKUP($A98, INDIRECT("AbrR!$A$6:$ZZ$1048576"), MATCH(AQ$1, AbrR!$6:$6, 0), FALSE),
            0
        ) +
        IFERROR(
            VLOOKUP($A98, INDIRECT("MayR!$A$6:$ZZ$1048576"), MATCH(AQ$1, MayR!$6:$6, 0), FALSE),
            0
        ) +
        IFERROR(
            VLOOKUP($A98, INDIRECT("JunR!$A$6:$ZZ$1048576"), MATCH(AQ$1, JunR!$6:$6, 0), FALSE),
            0
        ) +
        IFERROR(
            VLOOKUP($A98, INDIRECT("JulR!$A$6:$ZZ$1048576"), MATCH(AQ$1, JulR!$6:$6, 0), FALSE),
            0
        ) +
        IFERROR(
            VLOOKUP($A98, INDIRECT("AgoR!$A$6:$ZZ$1048576"), MATCH(AQ$1, AgoR!$6:$6, 0), FALSE),
            0
        ) +
        IFERROR(
            VLOOKUP($A98, INDIRECT("SepR!$A$6:$ZZ$1048576"), MATCH(AQ$1, SepR!$6:$6, 0), FALSE),
            0
        ) +
        IFERROR(
            VLOOKUP($A98, INDIRECT("OctR!$A$6:$ZZ$1048576"), MATCH(AQ$1, OctR!$6:$6, 0), FALSE),
            0
        ) +
        IFERROR(
            VLOOKUP($A98, INDIRECT("NovR!$A$6:$ZZ$1048576"), MATCH(AQ$1, NovR!$6:$6, 0), FALSE),
            0
        ) +
        IFERROR(
            VLOOKUP($A98, INDIRECT("DicR!$A$6:$ZZ$1048576"), MATCH(AQ$1, DicR!$6:$6, 0), FALSE),
            0
        )
)</f>
        <v>0</v>
      </c>
      <c r="AR98" s="36">
        <f t="array" ref="AR98">SUM(
    IFERROR(
            VLOOKUP($A98, INDIRECT("EneR!$A$6:$ZZ$1048576"), MATCH(AR$1, EneR!$6:$6, 0), FALSE),
            0
        ) +
        IFERROR(
            VLOOKUP($A98, INDIRECT("FebR!$A$6:$ZZ$1048576"), MATCH(AR$1, FebR!$6:$6, 0), FALSE),
            0
        ) +
        IFERROR(
            VLOOKUP($A98, INDIRECT("MarR!$A$6:$ZZ$1048576"), MATCH(AR$1, MarR!$6:$6, 0), FALSE),
            0
        ) +
        IFERROR(
            VLOOKUP($A98, INDIRECT("AbrR!$A$6:$ZZ$1048576"), MATCH(AR$1, AbrR!$6:$6, 0), FALSE),
            0
        ) +
        IFERROR(
            VLOOKUP($A98, INDIRECT("MayR!$A$6:$ZZ$1048576"), MATCH(AR$1, MayR!$6:$6, 0), FALSE),
            0
        ) +
        IFERROR(
            VLOOKUP($A98, INDIRECT("JunR!$A$6:$ZZ$1048576"), MATCH(AR$1, JunR!$6:$6, 0), FALSE),
            0
        ) +
        IFERROR(
            VLOOKUP($A98, INDIRECT("JulR!$A$6:$ZZ$1048576"), MATCH(AR$1, JulR!$6:$6, 0), FALSE),
            0
        ) +
        IFERROR(
            VLOOKUP($A98, INDIRECT("AgoR!$A$6:$ZZ$1048576"), MATCH(AR$1, AgoR!$6:$6, 0), FALSE),
            0
        ) +
        IFERROR(
            VLOOKUP($A98, INDIRECT("SepR!$A$6:$ZZ$1048576"), MATCH(AR$1, SepR!$6:$6, 0), FALSE),
            0
        ) +
        IFERROR(
            VLOOKUP($A98, INDIRECT("OctR!$A$6:$ZZ$1048576"), MATCH(AR$1, OctR!$6:$6, 0), FALSE),
            0
        ) +
        IFERROR(
            VLOOKUP($A98, INDIRECT("NovR!$A$6:$ZZ$1048576"), MATCH(AR$1, NovR!$6:$6, 0), FALSE),
            0
        ) +
        IFERROR(
            VLOOKUP($A98, INDIRECT("DicR!$A$6:$ZZ$1048576"), MATCH(AR$1, DicR!$6:$6, 0), FALSE),
            0
        )
)</f>
        <v>0</v>
      </c>
      <c r="AS98" s="35">
        <f t="array" ref="AS98">SUM(
    IFERROR(
            VLOOKUP($A98, INDIRECT("EneR!$A$6:$ZZ$1048576"), MATCH(AS$1, EneR!$6:$6, 0), FALSE),
            0
        ) +
        IFERROR(
            VLOOKUP($A98, INDIRECT("FebR!$A$6:$ZZ$1048576"), MATCH(AS$1, FebR!$6:$6, 0), FALSE),
            0
        ) +
        IFERROR(
            VLOOKUP($A98, INDIRECT("MarR!$A$6:$ZZ$1048576"), MATCH(AS$1, MarR!$6:$6, 0), FALSE),
            0
        ) +
        IFERROR(
            VLOOKUP($A98, INDIRECT("AbrR!$A$6:$ZZ$1048576"), MATCH(AS$1, AbrR!$6:$6, 0), FALSE),
            0
        ) +
        IFERROR(
            VLOOKUP($A98, INDIRECT("MayR!$A$6:$ZZ$1048576"), MATCH(AS$1, MayR!$6:$6, 0), FALSE),
            0
        ) +
        IFERROR(
            VLOOKUP($A98, INDIRECT("JunR!$A$6:$ZZ$1048576"), MATCH(AS$1, JunR!$6:$6, 0), FALSE),
            0
        ) +
        IFERROR(
            VLOOKUP($A98, INDIRECT("JulR!$A$6:$ZZ$1048576"), MATCH(AS$1, JulR!$6:$6, 0), FALSE),
            0
        ) +
        IFERROR(
            VLOOKUP($A98, INDIRECT("AgoR!$A$6:$ZZ$1048576"), MATCH(AS$1, AgoR!$6:$6, 0), FALSE),
            0
        ) +
        IFERROR(
            VLOOKUP($A98, INDIRECT("SepR!$A$6:$ZZ$1048576"), MATCH(AS$1, SepR!$6:$6, 0), FALSE),
            0
        ) +
        IFERROR(
            VLOOKUP($A98, INDIRECT("OctR!$A$6:$ZZ$1048576"), MATCH(AS$1, OctR!$6:$6, 0), FALSE),
            0
        ) +
        IFERROR(
            VLOOKUP($A98, INDIRECT("NovR!$A$6:$ZZ$1048576"), MATCH(AS$1, NovR!$6:$6, 0), FALSE),
            0
        ) +
        IFERROR(
            VLOOKUP($A98, INDIRECT("DicR!$A$6:$ZZ$1048576"), MATCH(AS$1, DicR!$6:$6, 0), FALSE),
            0
        )
)</f>
        <v>0</v>
      </c>
      <c r="AT98" s="36">
        <f t="array" ref="AT98">SUM(
    IFERROR(
            VLOOKUP($A98, INDIRECT("EneR!$A$6:$ZZ$1048576"), MATCH(AT$1, EneR!$6:$6, 0), FALSE),
            0
        ) +
        IFERROR(
            VLOOKUP($A98, INDIRECT("FebR!$A$6:$ZZ$1048576"), MATCH(AT$1, FebR!$6:$6, 0), FALSE),
            0
        ) +
        IFERROR(
            VLOOKUP($A98, INDIRECT("MarR!$A$6:$ZZ$1048576"), MATCH(AT$1, MarR!$6:$6, 0), FALSE),
            0
        ) +
        IFERROR(
            VLOOKUP($A98, INDIRECT("AbrR!$A$6:$ZZ$1048576"), MATCH(AT$1, AbrR!$6:$6, 0), FALSE),
            0
        ) +
        IFERROR(
            VLOOKUP($A98, INDIRECT("MayR!$A$6:$ZZ$1048576"), MATCH(AT$1, MayR!$6:$6, 0), FALSE),
            0
        ) +
        IFERROR(
            VLOOKUP($A98, INDIRECT("JunR!$A$6:$ZZ$1048576"), MATCH(AT$1, JunR!$6:$6, 0), FALSE),
            0
        ) +
        IFERROR(
            VLOOKUP($A98, INDIRECT("JulR!$A$6:$ZZ$1048576"), MATCH(AT$1, JulR!$6:$6, 0), FALSE),
            0
        ) +
        IFERROR(
            VLOOKUP($A98, INDIRECT("AgoR!$A$6:$ZZ$1048576"), MATCH(AT$1, AgoR!$6:$6, 0), FALSE),
            0
        ) +
        IFERROR(
            VLOOKUP($A98, INDIRECT("SepR!$A$6:$ZZ$1048576"), MATCH(AT$1, SepR!$6:$6, 0), FALSE),
            0
        ) +
        IFERROR(
            VLOOKUP($A98, INDIRECT("OctR!$A$6:$ZZ$1048576"), MATCH(AT$1, OctR!$6:$6, 0), FALSE),
            0
        ) +
        IFERROR(
            VLOOKUP($A98, INDIRECT("NovR!$A$6:$ZZ$1048576"), MATCH(AT$1, NovR!$6:$6, 0), FALSE),
            0
        ) +
        IFERROR(
            VLOOKUP($A98, INDIRECT("DicR!$A$6:$ZZ$1048576"), MATCH(AT$1, DicR!$6:$6, 0), FALSE),
            0
        )
)</f>
        <v>0</v>
      </c>
      <c r="AU98" s="35">
        <f t="array" ref="AU98">SUM(
    IFERROR(
            VLOOKUP($A98, INDIRECT("EneR!$A$6:$ZZ$1048576"), MATCH(AU$1, EneR!$6:$6, 0), FALSE),
            0
        ) +
        IFERROR(
            VLOOKUP($A98, INDIRECT("FebR!$A$6:$ZZ$1048576"), MATCH(AU$1, FebR!$6:$6, 0), FALSE),
            0
        ) +
        IFERROR(
            VLOOKUP($A98, INDIRECT("MarR!$A$6:$ZZ$1048576"), MATCH(AU$1, MarR!$6:$6, 0), FALSE),
            0
        ) +
        IFERROR(
            VLOOKUP($A98, INDIRECT("AbrR!$A$6:$ZZ$1048576"), MATCH(AU$1, AbrR!$6:$6, 0), FALSE),
            0
        ) +
        IFERROR(
            VLOOKUP($A98, INDIRECT("MayR!$A$6:$ZZ$1048576"), MATCH(AU$1, MayR!$6:$6, 0), FALSE),
            0
        ) +
        IFERROR(
            VLOOKUP($A98, INDIRECT("JunR!$A$6:$ZZ$1048576"), MATCH(AU$1, JunR!$6:$6, 0), FALSE),
            0
        ) +
        IFERROR(
            VLOOKUP($A98, INDIRECT("JulR!$A$6:$ZZ$1048576"), MATCH(AU$1, JulR!$6:$6, 0), FALSE),
            0
        ) +
        IFERROR(
            VLOOKUP($A98, INDIRECT("AgoR!$A$6:$ZZ$1048576"), MATCH(AU$1, AgoR!$6:$6, 0), FALSE),
            0
        ) +
        IFERROR(
            VLOOKUP($A98, INDIRECT("SepR!$A$6:$ZZ$1048576"), MATCH(AU$1, SepR!$6:$6, 0), FALSE),
            0
        ) +
        IFERROR(
            VLOOKUP($A98, INDIRECT("OctR!$A$6:$ZZ$1048576"), MATCH(AU$1, OctR!$6:$6, 0), FALSE),
            0
        ) +
        IFERROR(
            VLOOKUP($A98, INDIRECT("NovR!$A$6:$ZZ$1048576"), MATCH(AU$1, NovR!$6:$6, 0), FALSE),
            0
        ) +
        IFERROR(
            VLOOKUP($A98, INDIRECT("DicR!$A$6:$ZZ$1048576"), MATCH(AU$1, DicR!$6:$6, 0), FALSE),
            0
        )
)</f>
        <v>0</v>
      </c>
      <c r="AV98" s="36">
        <f t="array" ref="AV98">SUM(
    IFERROR(
            VLOOKUP($A98, INDIRECT("EneR!$A$6:$ZZ$1048576"), MATCH(AV$1, EneR!$6:$6, 0), FALSE),
            0
        ) +
        IFERROR(
            VLOOKUP($A98, INDIRECT("FebR!$A$6:$ZZ$1048576"), MATCH(AV$1, FebR!$6:$6, 0), FALSE),
            0
        ) +
        IFERROR(
            VLOOKUP($A98, INDIRECT("MarR!$A$6:$ZZ$1048576"), MATCH(AV$1, MarR!$6:$6, 0), FALSE),
            0
        ) +
        IFERROR(
            VLOOKUP($A98, INDIRECT("AbrR!$A$6:$ZZ$1048576"), MATCH(AV$1, AbrR!$6:$6, 0), FALSE),
            0
        ) +
        IFERROR(
            VLOOKUP($A98, INDIRECT("MayR!$A$6:$ZZ$1048576"), MATCH(AV$1, MayR!$6:$6, 0), FALSE),
            0
        ) +
        IFERROR(
            VLOOKUP($A98, INDIRECT("JunR!$A$6:$ZZ$1048576"), MATCH(AV$1, JunR!$6:$6, 0), FALSE),
            0
        ) +
        IFERROR(
            VLOOKUP($A98, INDIRECT("JulR!$A$6:$ZZ$1048576"), MATCH(AV$1, JulR!$6:$6, 0), FALSE),
            0
        ) +
        IFERROR(
            VLOOKUP($A98, INDIRECT("AgoR!$A$6:$ZZ$1048576"), MATCH(AV$1, AgoR!$6:$6, 0), FALSE),
            0
        ) +
        IFERROR(
            VLOOKUP($A98, INDIRECT("SepR!$A$6:$ZZ$1048576"), MATCH(AV$1, SepR!$6:$6, 0), FALSE),
            0
        ) +
        IFERROR(
            VLOOKUP($A98, INDIRECT("OctR!$A$6:$ZZ$1048576"), MATCH(AV$1, OctR!$6:$6, 0), FALSE),
            0
        ) +
        IFERROR(
            VLOOKUP($A98, INDIRECT("NovR!$A$6:$ZZ$1048576"), MATCH(AV$1, NovR!$6:$6, 0), FALSE),
            0
        ) +
        IFERROR(
            VLOOKUP($A98, INDIRECT("DicR!$A$6:$ZZ$1048576"), MATCH(AV$1, DicR!$6:$6, 0), FALSE),
            0
        )
)</f>
        <v>0</v>
      </c>
      <c r="AW98" s="35">
        <f t="array" ref="AW98">SUM(
    IFERROR(
            VLOOKUP($A98, INDIRECT("EneR!$A$6:$ZZ$1048576"), MATCH(AW$1, EneR!$6:$6, 0), FALSE),
            0
        ) +
        IFERROR(
            VLOOKUP($A98, INDIRECT("FebR!$A$6:$ZZ$1048576"), MATCH(AW$1, FebR!$6:$6, 0), FALSE),
            0
        ) +
        IFERROR(
            VLOOKUP($A98, INDIRECT("MarR!$A$6:$ZZ$1048576"), MATCH(AW$1, MarR!$6:$6, 0), FALSE),
            0
        ) +
        IFERROR(
            VLOOKUP($A98, INDIRECT("AbrR!$A$6:$ZZ$1048576"), MATCH(AW$1, AbrR!$6:$6, 0), FALSE),
            0
        ) +
        IFERROR(
            VLOOKUP($A98, INDIRECT("MayR!$A$6:$ZZ$1048576"), MATCH(AW$1, MayR!$6:$6, 0), FALSE),
            0
        ) +
        IFERROR(
            VLOOKUP($A98, INDIRECT("JunR!$A$6:$ZZ$1048576"), MATCH(AW$1, JunR!$6:$6, 0), FALSE),
            0
        ) +
        IFERROR(
            VLOOKUP($A98, INDIRECT("JulR!$A$6:$ZZ$1048576"), MATCH(AW$1, JulR!$6:$6, 0), FALSE),
            0
        ) +
        IFERROR(
            VLOOKUP($A98, INDIRECT("AgoR!$A$6:$ZZ$1048576"), MATCH(AW$1, AgoR!$6:$6, 0), FALSE),
            0
        ) +
        IFERROR(
            VLOOKUP($A98, INDIRECT("SepR!$A$6:$ZZ$1048576"), MATCH(AW$1, SepR!$6:$6, 0), FALSE),
            0
        ) +
        IFERROR(
            VLOOKUP($A98, INDIRECT("OctR!$A$6:$ZZ$1048576"), MATCH(AW$1, OctR!$6:$6, 0), FALSE),
            0
        ) +
        IFERROR(
            VLOOKUP($A98, INDIRECT("NovR!$A$6:$ZZ$1048576"), MATCH(AW$1, NovR!$6:$6, 0), FALSE),
            0
        ) +
        IFERROR(
            VLOOKUP($A98, INDIRECT("DicR!$A$6:$ZZ$1048576"), MATCH(AW$1, DicR!$6:$6, 0), FALSE),
            0
        )
)</f>
        <v>0</v>
      </c>
      <c r="AX98" s="36">
        <f t="array" ref="AX98">SUM(
    IFERROR(
            VLOOKUP($A98, INDIRECT("EneR!$A$6:$ZZ$1048576"), MATCH(AX$1, EneR!$6:$6, 0), FALSE),
            0
        ) +
        IFERROR(
            VLOOKUP($A98, INDIRECT("FebR!$A$6:$ZZ$1048576"), MATCH(AX$1, FebR!$6:$6, 0), FALSE),
            0
        ) +
        IFERROR(
            VLOOKUP($A98, INDIRECT("MarR!$A$6:$ZZ$1048576"), MATCH(AX$1, MarR!$6:$6, 0), FALSE),
            0
        ) +
        IFERROR(
            VLOOKUP($A98, INDIRECT("AbrR!$A$6:$ZZ$1048576"), MATCH(AX$1, AbrR!$6:$6, 0), FALSE),
            0
        ) +
        IFERROR(
            VLOOKUP($A98, INDIRECT("MayR!$A$6:$ZZ$1048576"), MATCH(AX$1, MayR!$6:$6, 0), FALSE),
            0
        ) +
        IFERROR(
            VLOOKUP($A98, INDIRECT("JunR!$A$6:$ZZ$1048576"), MATCH(AX$1, JunR!$6:$6, 0), FALSE),
            0
        ) +
        IFERROR(
            VLOOKUP($A98, INDIRECT("JulR!$A$6:$ZZ$1048576"), MATCH(AX$1, JulR!$6:$6, 0), FALSE),
            0
        ) +
        IFERROR(
            VLOOKUP($A98, INDIRECT("AgoR!$A$6:$ZZ$1048576"), MATCH(AX$1, AgoR!$6:$6, 0), FALSE),
            0
        ) +
        IFERROR(
            VLOOKUP($A98, INDIRECT("SepR!$A$6:$ZZ$1048576"), MATCH(AX$1, SepR!$6:$6, 0), FALSE),
            0
        ) +
        IFERROR(
            VLOOKUP($A98, INDIRECT("OctR!$A$6:$ZZ$1048576"), MATCH(AX$1, OctR!$6:$6, 0), FALSE),
            0
        ) +
        IFERROR(
            VLOOKUP($A98, INDIRECT("NovR!$A$6:$ZZ$1048576"), MATCH(AX$1, NovR!$6:$6, 0), FALSE),
            0
        ) +
        IFERROR(
            VLOOKUP($A98, INDIRECT("DicR!$A$6:$ZZ$1048576"), MATCH(AX$1, DicR!$6:$6, 0), FALSE),
            0
        )
)</f>
        <v>0</v>
      </c>
      <c r="AY98" s="35">
        <f t="array" ref="AY98">SUM(
    IFERROR(
            VLOOKUP($A98, INDIRECT("EneR!$A$6:$ZZ$1048576"), MATCH(AY$1, EneR!$6:$6, 0), FALSE),
            0
        ) +
        IFERROR(
            VLOOKUP($A98, INDIRECT("FebR!$A$6:$ZZ$1048576"), MATCH(AY$1, FebR!$6:$6, 0), FALSE),
            0
        ) +
        IFERROR(
            VLOOKUP($A98, INDIRECT("MarR!$A$6:$ZZ$1048576"), MATCH(AY$1, MarR!$6:$6, 0), FALSE),
            0
        ) +
        IFERROR(
            VLOOKUP($A98, INDIRECT("AbrR!$A$6:$ZZ$1048576"), MATCH(AY$1, AbrR!$6:$6, 0), FALSE),
            0
        ) +
        IFERROR(
            VLOOKUP($A98, INDIRECT("MayR!$A$6:$ZZ$1048576"), MATCH(AY$1, MayR!$6:$6, 0), FALSE),
            0
        ) +
        IFERROR(
            VLOOKUP($A98, INDIRECT("JunR!$A$6:$ZZ$1048576"), MATCH(AY$1, JunR!$6:$6, 0), FALSE),
            0
        ) +
        IFERROR(
            VLOOKUP($A98, INDIRECT("JulR!$A$6:$ZZ$1048576"), MATCH(AY$1, JulR!$6:$6, 0), FALSE),
            0
        ) +
        IFERROR(
            VLOOKUP($A98, INDIRECT("AgoR!$A$6:$ZZ$1048576"), MATCH(AY$1, AgoR!$6:$6, 0), FALSE),
            0
        ) +
        IFERROR(
            VLOOKUP($A98, INDIRECT("SepR!$A$6:$ZZ$1048576"), MATCH(AY$1, SepR!$6:$6, 0), FALSE),
            0
        ) +
        IFERROR(
            VLOOKUP($A98, INDIRECT("OctR!$A$6:$ZZ$1048576"), MATCH(AY$1, OctR!$6:$6, 0), FALSE),
            0
        ) +
        IFERROR(
            VLOOKUP($A98, INDIRECT("NovR!$A$6:$ZZ$1048576"), MATCH(AY$1, NovR!$6:$6, 0), FALSE),
            0
        ) +
        IFERROR(
            VLOOKUP($A98, INDIRECT("DicR!$A$6:$ZZ$1048576"), MATCH(AY$1, DicR!$6:$6, 0), FALSE),
            0
        )
)</f>
        <v>0</v>
      </c>
      <c r="AZ98" s="35"/>
    </row>
    <row r="99" ht="15.75" hidden="1" customHeight="1">
      <c r="A99" s="12" t="str">
        <f>Menus!B60</f>
        <v/>
      </c>
      <c r="B99" s="32">
        <f t="shared" si="11"/>
        <v>0</v>
      </c>
      <c r="C99" s="33" t="str">
        <f t="shared" si="10"/>
        <v/>
      </c>
      <c r="D99" s="34">
        <f t="array" ref="D99">SUM(
    IFERROR(
            VLOOKUP($A99, INDIRECT("EneR!$A$6:$ZZ$1048576"), MATCH(D$1, EneR!$6:$6, 0), FALSE),
            0
        ) +
        IFERROR(
            VLOOKUP($A99, INDIRECT("FebR!$A$6:$ZZ$1048576"), MATCH(D$1, FebR!$6:$6, 0), FALSE),
            0
        ) +
        IFERROR(
            VLOOKUP($A99, INDIRECT("MarR!$A$6:$ZZ$1048576"), MATCH(D$1, MarR!$6:$6, 0), FALSE),
            0
        ) +
        IFERROR(
            VLOOKUP($A99, INDIRECT("AbrR!$A$6:$ZZ$1048576"), MATCH(D$1, AbrR!$6:$6, 0), FALSE),
            0
        ) +
        IFERROR(
            VLOOKUP($A99, INDIRECT("MayR!$A$6:$ZZ$1048576"), MATCH(D$1, MayR!$6:$6, 0), FALSE),
            0
        ) +
        IFERROR(
            VLOOKUP($A99, INDIRECT("JunR!$A$6:$ZZ$1048576"), MATCH(D$1, JunR!$6:$6, 0), FALSE),
            0
        ) +
        IFERROR(
            VLOOKUP($A99, INDIRECT("JulR!$A$6:$ZZ$1048576"), MATCH(D$1, JulR!$6:$6, 0), FALSE),
            0
        ) +
        IFERROR(
            VLOOKUP($A99, INDIRECT("AgoR!$A$6:$ZZ$1048576"), MATCH(D$1, AgoR!$6:$6, 0), FALSE),
            0
        ) +
        IFERROR(
            VLOOKUP($A99, INDIRECT("SepR!$A$6:$ZZ$1048576"), MATCH(D$1, SepR!$6:$6, 0), FALSE),
            0
        ) +
        IFERROR(
            VLOOKUP($A99, INDIRECT("OctR!$A$6:$ZZ$1048576"), MATCH(D$1, OctR!$6:$6, 0), FALSE),
            0
        ) +
        IFERROR(
            VLOOKUP($A99, INDIRECT("NovR!$A$6:$ZZ$1048576"), MATCH(D$1, NovR!$6:$6, 0), FALSE),
            0
        ) +
        IFERROR(
            VLOOKUP($A99, INDIRECT("DicR!$A$6:$ZZ$1048576"), MATCH(D$1, DicR!$6:$6, 0), FALSE),
            0
        )
)</f>
        <v>0</v>
      </c>
      <c r="E99" s="35">
        <f t="array" ref="E99">SUM(
    IFERROR(
            VLOOKUP($A99, INDIRECT("EneR!$A$6:$ZZ$1048576"), MATCH(E$1, EneR!$6:$6, 0), FALSE),
            0
        ) +
        IFERROR(
            VLOOKUP($A99, INDIRECT("FebR!$A$6:$ZZ$1048576"), MATCH(E$1, FebR!$6:$6, 0), FALSE),
            0
        ) +
        IFERROR(
            VLOOKUP($A99, INDIRECT("MarR!$A$6:$ZZ$1048576"), MATCH(E$1, MarR!$6:$6, 0), FALSE),
            0
        ) +
        IFERROR(
            VLOOKUP($A99, INDIRECT("AbrR!$A$6:$ZZ$1048576"), MATCH(E$1, AbrR!$6:$6, 0), FALSE),
            0
        ) +
        IFERROR(
            VLOOKUP($A99, INDIRECT("MayR!$A$6:$ZZ$1048576"), MATCH(E$1, MayR!$6:$6, 0), FALSE),
            0
        ) +
        IFERROR(
            VLOOKUP($A99, INDIRECT("JunR!$A$6:$ZZ$1048576"), MATCH(E$1, JunR!$6:$6, 0), FALSE),
            0
        ) +
        IFERROR(
            VLOOKUP($A99, INDIRECT("JulR!$A$6:$ZZ$1048576"), MATCH(E$1, JulR!$6:$6, 0), FALSE),
            0
        ) +
        IFERROR(
            VLOOKUP($A99, INDIRECT("AgoR!$A$6:$ZZ$1048576"), MATCH(E$1, AgoR!$6:$6, 0), FALSE),
            0
        ) +
        IFERROR(
            VLOOKUP($A99, INDIRECT("SepR!$A$6:$ZZ$1048576"), MATCH(E$1, SepR!$6:$6, 0), FALSE),
            0
        ) +
        IFERROR(
            VLOOKUP($A99, INDIRECT("OctR!$A$6:$ZZ$1048576"), MATCH(E$1, OctR!$6:$6, 0), FALSE),
            0
        ) +
        IFERROR(
            VLOOKUP($A99, INDIRECT("NovR!$A$6:$ZZ$1048576"), MATCH(E$1, NovR!$6:$6, 0), FALSE),
            0
        ) +
        IFERROR(
            VLOOKUP($A99, INDIRECT("DicR!$A$6:$ZZ$1048576"), MATCH(E$1, DicR!$6:$6, 0), FALSE),
            0
        )
)</f>
        <v>0</v>
      </c>
      <c r="F99" s="32">
        <f t="array" ref="F99">SUM(
    IFERROR(
            VLOOKUP($A99, INDIRECT("EneR!$A$6:$ZZ$1048576"), MATCH(F$1, EneR!$6:$6, 0), FALSE),
            0
        ) +
        IFERROR(
            VLOOKUP($A99, INDIRECT("FebR!$A$6:$ZZ$1048576"), MATCH(F$1, FebR!$6:$6, 0), FALSE),
            0
        ) +
        IFERROR(
            VLOOKUP($A99, INDIRECT("MarR!$A$6:$ZZ$1048576"), MATCH(F$1, MarR!$6:$6, 0), FALSE),
            0
        ) +
        IFERROR(
            VLOOKUP($A99, INDIRECT("AbrR!$A$6:$ZZ$1048576"), MATCH(F$1, AbrR!$6:$6, 0), FALSE),
            0
        ) +
        IFERROR(
            VLOOKUP($A99, INDIRECT("MayR!$A$6:$ZZ$1048576"), MATCH(F$1, MayR!$6:$6, 0), FALSE),
            0
        ) +
        IFERROR(
            VLOOKUP($A99, INDIRECT("JunR!$A$6:$ZZ$1048576"), MATCH(F$1, JunR!$6:$6, 0), FALSE),
            0
        ) +
        IFERROR(
            VLOOKUP($A99, INDIRECT("JulR!$A$6:$ZZ$1048576"), MATCH(F$1, JulR!$6:$6, 0), FALSE),
            0
        ) +
        IFERROR(
            VLOOKUP($A99, INDIRECT("AgoR!$A$6:$ZZ$1048576"), MATCH(F$1, AgoR!$6:$6, 0), FALSE),
            0
        ) +
        IFERROR(
            VLOOKUP($A99, INDIRECT("SepR!$A$6:$ZZ$1048576"), MATCH(F$1, SepR!$6:$6, 0), FALSE),
            0
        ) +
        IFERROR(
            VLOOKUP($A99, INDIRECT("OctR!$A$6:$ZZ$1048576"), MATCH(F$1, OctR!$6:$6, 0), FALSE),
            0
        ) +
        IFERROR(
            VLOOKUP($A99, INDIRECT("NovR!$A$6:$ZZ$1048576"), MATCH(F$1, NovR!$6:$6, 0), FALSE),
            0
        ) +
        IFERROR(
            VLOOKUP($A99, INDIRECT("DicR!$A$6:$ZZ$1048576"), MATCH(F$1, DicR!$6:$6, 0), FALSE),
            0
        )
)</f>
        <v>0</v>
      </c>
      <c r="G99" s="35">
        <f t="array" ref="G99">SUM(
    IFERROR(
            VLOOKUP($A99, INDIRECT("EneR!$A$6:$ZZ$1048576"), MATCH(G$1, EneR!$6:$6, 0), FALSE),
            0
        ) +
        IFERROR(
            VLOOKUP($A99, INDIRECT("FebR!$A$6:$ZZ$1048576"), MATCH(G$1, FebR!$6:$6, 0), FALSE),
            0
        ) +
        IFERROR(
            VLOOKUP($A99, INDIRECT("MarR!$A$6:$ZZ$1048576"), MATCH(G$1, MarR!$6:$6, 0), FALSE),
            0
        ) +
        IFERROR(
            VLOOKUP($A99, INDIRECT("AbrR!$A$6:$ZZ$1048576"), MATCH(G$1, AbrR!$6:$6, 0), FALSE),
            0
        ) +
        IFERROR(
            VLOOKUP($A99, INDIRECT("MayR!$A$6:$ZZ$1048576"), MATCH(G$1, MayR!$6:$6, 0), FALSE),
            0
        ) +
        IFERROR(
            VLOOKUP($A99, INDIRECT("JunR!$A$6:$ZZ$1048576"), MATCH(G$1, JunR!$6:$6, 0), FALSE),
            0
        ) +
        IFERROR(
            VLOOKUP($A99, INDIRECT("JulR!$A$6:$ZZ$1048576"), MATCH(G$1, JulR!$6:$6, 0), FALSE),
            0
        ) +
        IFERROR(
            VLOOKUP($A99, INDIRECT("AgoR!$A$6:$ZZ$1048576"), MATCH(G$1, AgoR!$6:$6, 0), FALSE),
            0
        ) +
        IFERROR(
            VLOOKUP($A99, INDIRECT("SepR!$A$6:$ZZ$1048576"), MATCH(G$1, SepR!$6:$6, 0), FALSE),
            0
        ) +
        IFERROR(
            VLOOKUP($A99, INDIRECT("OctR!$A$6:$ZZ$1048576"), MATCH(G$1, OctR!$6:$6, 0), FALSE),
            0
        ) +
        IFERROR(
            VLOOKUP($A99, INDIRECT("NovR!$A$6:$ZZ$1048576"), MATCH(G$1, NovR!$6:$6, 0), FALSE),
            0
        ) +
        IFERROR(
            VLOOKUP($A99, INDIRECT("DicR!$A$6:$ZZ$1048576"), MATCH(G$1, DicR!$6:$6, 0), FALSE),
            0
        )
)</f>
        <v>0</v>
      </c>
      <c r="H99" s="32">
        <f t="array" ref="H99">SUM(
    IFERROR(
            VLOOKUP($A99, INDIRECT("EneR!$A$6:$ZZ$1048576"), MATCH(H$1, EneR!$6:$6, 0), FALSE),
            0
        ) +
        IFERROR(
            VLOOKUP($A99, INDIRECT("FebR!$A$6:$ZZ$1048576"), MATCH(H$1, FebR!$6:$6, 0), FALSE),
            0
        ) +
        IFERROR(
            VLOOKUP($A99, INDIRECT("MarR!$A$6:$ZZ$1048576"), MATCH(H$1, MarR!$6:$6, 0), FALSE),
            0
        ) +
        IFERROR(
            VLOOKUP($A99, INDIRECT("AbrR!$A$6:$ZZ$1048576"), MATCH(H$1, AbrR!$6:$6, 0), FALSE),
            0
        ) +
        IFERROR(
            VLOOKUP($A99, INDIRECT("MayR!$A$6:$ZZ$1048576"), MATCH(H$1, MayR!$6:$6, 0), FALSE),
            0
        ) +
        IFERROR(
            VLOOKUP($A99, INDIRECT("JunR!$A$6:$ZZ$1048576"), MATCH(H$1, JunR!$6:$6, 0), FALSE),
            0
        ) +
        IFERROR(
            VLOOKUP($A99, INDIRECT("JulR!$A$6:$ZZ$1048576"), MATCH(H$1, JulR!$6:$6, 0), FALSE),
            0
        ) +
        IFERROR(
            VLOOKUP($A99, INDIRECT("AgoR!$A$6:$ZZ$1048576"), MATCH(H$1, AgoR!$6:$6, 0), FALSE),
            0
        ) +
        IFERROR(
            VLOOKUP($A99, INDIRECT("SepR!$A$6:$ZZ$1048576"), MATCH(H$1, SepR!$6:$6, 0), FALSE),
            0
        ) +
        IFERROR(
            VLOOKUP($A99, INDIRECT("OctR!$A$6:$ZZ$1048576"), MATCH(H$1, OctR!$6:$6, 0), FALSE),
            0
        ) +
        IFERROR(
            VLOOKUP($A99, INDIRECT("NovR!$A$6:$ZZ$1048576"), MATCH(H$1, NovR!$6:$6, 0), FALSE),
            0
        ) +
        IFERROR(
            VLOOKUP($A99, INDIRECT("DicR!$A$6:$ZZ$1048576"), MATCH(H$1, DicR!$6:$6, 0), FALSE),
            0
        )
)</f>
        <v>0</v>
      </c>
      <c r="I99" s="35">
        <f t="array" ref="I99">SUM(
    IFERROR(
            VLOOKUP($A99, INDIRECT("EneR!$A$6:$ZZ$1048576"), MATCH(I$1, EneR!$6:$6, 0), FALSE),
            0
        ) +
        IFERROR(
            VLOOKUP($A99, INDIRECT("FebR!$A$6:$ZZ$1048576"), MATCH(I$1, FebR!$6:$6, 0), FALSE),
            0
        ) +
        IFERROR(
            VLOOKUP($A99, INDIRECT("MarR!$A$6:$ZZ$1048576"), MATCH(I$1, MarR!$6:$6, 0), FALSE),
            0
        ) +
        IFERROR(
            VLOOKUP($A99, INDIRECT("AbrR!$A$6:$ZZ$1048576"), MATCH(I$1, AbrR!$6:$6, 0), FALSE),
            0
        ) +
        IFERROR(
            VLOOKUP($A99, INDIRECT("MayR!$A$6:$ZZ$1048576"), MATCH(I$1, MayR!$6:$6, 0), FALSE),
            0
        ) +
        IFERROR(
            VLOOKUP($A99, INDIRECT("JunR!$A$6:$ZZ$1048576"), MATCH(I$1, JunR!$6:$6, 0), FALSE),
            0
        ) +
        IFERROR(
            VLOOKUP($A99, INDIRECT("JulR!$A$6:$ZZ$1048576"), MATCH(I$1, JulR!$6:$6, 0), FALSE),
            0
        ) +
        IFERROR(
            VLOOKUP($A99, INDIRECT("AgoR!$A$6:$ZZ$1048576"), MATCH(I$1, AgoR!$6:$6, 0), FALSE),
            0
        ) +
        IFERROR(
            VLOOKUP($A99, INDIRECT("SepR!$A$6:$ZZ$1048576"), MATCH(I$1, SepR!$6:$6, 0), FALSE),
            0
        ) +
        IFERROR(
            VLOOKUP($A99, INDIRECT("OctR!$A$6:$ZZ$1048576"), MATCH(I$1, OctR!$6:$6, 0), FALSE),
            0
        ) +
        IFERROR(
            VLOOKUP($A99, INDIRECT("NovR!$A$6:$ZZ$1048576"), MATCH(I$1, NovR!$6:$6, 0), FALSE),
            0
        ) +
        IFERROR(
            VLOOKUP($A99, INDIRECT("DicR!$A$6:$ZZ$1048576"), MATCH(I$1, DicR!$6:$6, 0), FALSE),
            0
        )
)</f>
        <v>0</v>
      </c>
      <c r="J99" s="32">
        <f t="array" ref="J99">SUM(
    IFERROR(
            VLOOKUP($A99, INDIRECT("EneR!$A$6:$ZZ$1048576"), MATCH(J$1, EneR!$6:$6, 0), FALSE),
            0
        ) +
        IFERROR(
            VLOOKUP($A99, INDIRECT("FebR!$A$6:$ZZ$1048576"), MATCH(J$1, FebR!$6:$6, 0), FALSE),
            0
        ) +
        IFERROR(
            VLOOKUP($A99, INDIRECT("MarR!$A$6:$ZZ$1048576"), MATCH(J$1, MarR!$6:$6, 0), FALSE),
            0
        ) +
        IFERROR(
            VLOOKUP($A99, INDIRECT("AbrR!$A$6:$ZZ$1048576"), MATCH(J$1, AbrR!$6:$6, 0), FALSE),
            0
        ) +
        IFERROR(
            VLOOKUP($A99, INDIRECT("MayR!$A$6:$ZZ$1048576"), MATCH(J$1, MayR!$6:$6, 0), FALSE),
            0
        ) +
        IFERROR(
            VLOOKUP($A99, INDIRECT("JunR!$A$6:$ZZ$1048576"), MATCH(J$1, JunR!$6:$6, 0), FALSE),
            0
        ) +
        IFERROR(
            VLOOKUP($A99, INDIRECT("JulR!$A$6:$ZZ$1048576"), MATCH(J$1, JulR!$6:$6, 0), FALSE),
            0
        ) +
        IFERROR(
            VLOOKUP($A99, INDIRECT("AgoR!$A$6:$ZZ$1048576"), MATCH(J$1, AgoR!$6:$6, 0), FALSE),
            0
        ) +
        IFERROR(
            VLOOKUP($A99, INDIRECT("SepR!$A$6:$ZZ$1048576"), MATCH(J$1, SepR!$6:$6, 0), FALSE),
            0
        ) +
        IFERROR(
            VLOOKUP($A99, INDIRECT("OctR!$A$6:$ZZ$1048576"), MATCH(J$1, OctR!$6:$6, 0), FALSE),
            0
        ) +
        IFERROR(
            VLOOKUP($A99, INDIRECT("NovR!$A$6:$ZZ$1048576"), MATCH(J$1, NovR!$6:$6, 0), FALSE),
            0
        ) +
        IFERROR(
            VLOOKUP($A99, INDIRECT("DicR!$A$6:$ZZ$1048576"), MATCH(J$1, DicR!$6:$6, 0), FALSE),
            0
        )
)</f>
        <v>0</v>
      </c>
      <c r="K99" s="35">
        <f t="array" ref="K99">SUM(
    IFERROR(
            VLOOKUP($A99, INDIRECT("EneR!$A$6:$ZZ$1048576"), MATCH(K$1, EneR!$6:$6, 0), FALSE),
            0
        ) +
        IFERROR(
            VLOOKUP($A99, INDIRECT("FebR!$A$6:$ZZ$1048576"), MATCH(K$1, FebR!$6:$6, 0), FALSE),
            0
        ) +
        IFERROR(
            VLOOKUP($A99, INDIRECT("MarR!$A$6:$ZZ$1048576"), MATCH(K$1, MarR!$6:$6, 0), FALSE),
            0
        ) +
        IFERROR(
            VLOOKUP($A99, INDIRECT("AbrR!$A$6:$ZZ$1048576"), MATCH(K$1, AbrR!$6:$6, 0), FALSE),
            0
        ) +
        IFERROR(
            VLOOKUP($A99, INDIRECT("MayR!$A$6:$ZZ$1048576"), MATCH(K$1, MayR!$6:$6, 0), FALSE),
            0
        ) +
        IFERROR(
            VLOOKUP($A99, INDIRECT("JunR!$A$6:$ZZ$1048576"), MATCH(K$1, JunR!$6:$6, 0), FALSE),
            0
        ) +
        IFERROR(
            VLOOKUP($A99, INDIRECT("JulR!$A$6:$ZZ$1048576"), MATCH(K$1, JulR!$6:$6, 0), FALSE),
            0
        ) +
        IFERROR(
            VLOOKUP($A99, INDIRECT("AgoR!$A$6:$ZZ$1048576"), MATCH(K$1, AgoR!$6:$6, 0), FALSE),
            0
        ) +
        IFERROR(
            VLOOKUP($A99, INDIRECT("SepR!$A$6:$ZZ$1048576"), MATCH(K$1, SepR!$6:$6, 0), FALSE),
            0
        ) +
        IFERROR(
            VLOOKUP($A99, INDIRECT("OctR!$A$6:$ZZ$1048576"), MATCH(K$1, OctR!$6:$6, 0), FALSE),
            0
        ) +
        IFERROR(
            VLOOKUP($A99, INDIRECT("NovR!$A$6:$ZZ$1048576"), MATCH(K$1, NovR!$6:$6, 0), FALSE),
            0
        ) +
        IFERROR(
            VLOOKUP($A99, INDIRECT("DicR!$A$6:$ZZ$1048576"), MATCH(K$1, DicR!$6:$6, 0), FALSE),
            0
        )
)</f>
        <v>0</v>
      </c>
      <c r="L99" s="32">
        <f t="array" ref="L99">SUM(
    IFERROR(
            VLOOKUP($A99, INDIRECT("EneR!$A$6:$ZZ$1048576"), MATCH(L$1, EneR!$6:$6, 0), FALSE),
            0
        ) +
        IFERROR(
            VLOOKUP($A99, INDIRECT("FebR!$A$6:$ZZ$1048576"), MATCH(L$1, FebR!$6:$6, 0), FALSE),
            0
        ) +
        IFERROR(
            VLOOKUP($A99, INDIRECT("MarR!$A$6:$ZZ$1048576"), MATCH(L$1, MarR!$6:$6, 0), FALSE),
            0
        ) +
        IFERROR(
            VLOOKUP($A99, INDIRECT("AbrR!$A$6:$ZZ$1048576"), MATCH(L$1, AbrR!$6:$6, 0), FALSE),
            0
        ) +
        IFERROR(
            VLOOKUP($A99, INDIRECT("MayR!$A$6:$ZZ$1048576"), MATCH(L$1, MayR!$6:$6, 0), FALSE),
            0
        ) +
        IFERROR(
            VLOOKUP($A99, INDIRECT("JunR!$A$6:$ZZ$1048576"), MATCH(L$1, JunR!$6:$6, 0), FALSE),
            0
        ) +
        IFERROR(
            VLOOKUP($A99, INDIRECT("JulR!$A$6:$ZZ$1048576"), MATCH(L$1, JulR!$6:$6, 0), FALSE),
            0
        ) +
        IFERROR(
            VLOOKUP($A99, INDIRECT("AgoR!$A$6:$ZZ$1048576"), MATCH(L$1, AgoR!$6:$6, 0), FALSE),
            0
        ) +
        IFERROR(
            VLOOKUP($A99, INDIRECT("SepR!$A$6:$ZZ$1048576"), MATCH(L$1, SepR!$6:$6, 0), FALSE),
            0
        ) +
        IFERROR(
            VLOOKUP($A99, INDIRECT("OctR!$A$6:$ZZ$1048576"), MATCH(L$1, OctR!$6:$6, 0), FALSE),
            0
        ) +
        IFERROR(
            VLOOKUP($A99, INDIRECT("NovR!$A$6:$ZZ$1048576"), MATCH(L$1, NovR!$6:$6, 0), FALSE),
            0
        ) +
        IFERROR(
            VLOOKUP($A99, INDIRECT("DicR!$A$6:$ZZ$1048576"), MATCH(L$1, DicR!$6:$6, 0), FALSE),
            0
        )
)</f>
        <v>0</v>
      </c>
      <c r="M99" s="35">
        <f t="array" ref="M99">SUM(
    IFERROR(
            VLOOKUP($A99, INDIRECT("EneR!$A$6:$ZZ$1048576"), MATCH(M$1, EneR!$6:$6, 0), FALSE),
            0
        ) +
        IFERROR(
            VLOOKUP($A99, INDIRECT("FebR!$A$6:$ZZ$1048576"), MATCH(M$1, FebR!$6:$6, 0), FALSE),
            0
        ) +
        IFERROR(
            VLOOKUP($A99, INDIRECT("MarR!$A$6:$ZZ$1048576"), MATCH(M$1, MarR!$6:$6, 0), FALSE),
            0
        ) +
        IFERROR(
            VLOOKUP($A99, INDIRECT("AbrR!$A$6:$ZZ$1048576"), MATCH(M$1, AbrR!$6:$6, 0), FALSE),
            0
        ) +
        IFERROR(
            VLOOKUP($A99, INDIRECT("MayR!$A$6:$ZZ$1048576"), MATCH(M$1, MayR!$6:$6, 0), FALSE),
            0
        ) +
        IFERROR(
            VLOOKUP($A99, INDIRECT("JunR!$A$6:$ZZ$1048576"), MATCH(M$1, JunR!$6:$6, 0), FALSE),
            0
        ) +
        IFERROR(
            VLOOKUP($A99, INDIRECT("JulR!$A$6:$ZZ$1048576"), MATCH(M$1, JulR!$6:$6, 0), FALSE),
            0
        ) +
        IFERROR(
            VLOOKUP($A99, INDIRECT("AgoR!$A$6:$ZZ$1048576"), MATCH(M$1, AgoR!$6:$6, 0), FALSE),
            0
        ) +
        IFERROR(
            VLOOKUP($A99, INDIRECT("SepR!$A$6:$ZZ$1048576"), MATCH(M$1, SepR!$6:$6, 0), FALSE),
            0
        ) +
        IFERROR(
            VLOOKUP($A99, INDIRECT("OctR!$A$6:$ZZ$1048576"), MATCH(M$1, OctR!$6:$6, 0), FALSE),
            0
        ) +
        IFERROR(
            VLOOKUP($A99, INDIRECT("NovR!$A$6:$ZZ$1048576"), MATCH(M$1, NovR!$6:$6, 0), FALSE),
            0
        ) +
        IFERROR(
            VLOOKUP($A99, INDIRECT("DicR!$A$6:$ZZ$1048576"), MATCH(M$1, DicR!$6:$6, 0), FALSE),
            0
        )
)</f>
        <v>0</v>
      </c>
      <c r="N99" s="32">
        <f t="array" ref="N99">SUM(
    IFERROR(
            VLOOKUP($A99, INDIRECT("EneR!$A$6:$ZZ$1048576"), MATCH(N$1, EneR!$6:$6, 0), FALSE),
            0
        ) +
        IFERROR(
            VLOOKUP($A99, INDIRECT("FebR!$A$6:$ZZ$1048576"), MATCH(N$1, FebR!$6:$6, 0), FALSE),
            0
        ) +
        IFERROR(
            VLOOKUP($A99, INDIRECT("MarR!$A$6:$ZZ$1048576"), MATCH(N$1, MarR!$6:$6, 0), FALSE),
            0
        ) +
        IFERROR(
            VLOOKUP($A99, INDIRECT("AbrR!$A$6:$ZZ$1048576"), MATCH(N$1, AbrR!$6:$6, 0), FALSE),
            0
        ) +
        IFERROR(
            VLOOKUP($A99, INDIRECT("MayR!$A$6:$ZZ$1048576"), MATCH(N$1, MayR!$6:$6, 0), FALSE),
            0
        ) +
        IFERROR(
            VLOOKUP($A99, INDIRECT("JunR!$A$6:$ZZ$1048576"), MATCH(N$1, JunR!$6:$6, 0), FALSE),
            0
        ) +
        IFERROR(
            VLOOKUP($A99, INDIRECT("JulR!$A$6:$ZZ$1048576"), MATCH(N$1, JulR!$6:$6, 0), FALSE),
            0
        ) +
        IFERROR(
            VLOOKUP($A99, INDIRECT("AgoR!$A$6:$ZZ$1048576"), MATCH(N$1, AgoR!$6:$6, 0), FALSE),
            0
        ) +
        IFERROR(
            VLOOKUP($A99, INDIRECT("SepR!$A$6:$ZZ$1048576"), MATCH(N$1, SepR!$6:$6, 0), FALSE),
            0
        ) +
        IFERROR(
            VLOOKUP($A99, INDIRECT("OctR!$A$6:$ZZ$1048576"), MATCH(N$1, OctR!$6:$6, 0), FALSE),
            0
        ) +
        IFERROR(
            VLOOKUP($A99, INDIRECT("NovR!$A$6:$ZZ$1048576"), MATCH(N$1, NovR!$6:$6, 0), FALSE),
            0
        ) +
        IFERROR(
            VLOOKUP($A99, INDIRECT("DicR!$A$6:$ZZ$1048576"), MATCH(N$1, DicR!$6:$6, 0), FALSE),
            0
        )
)</f>
        <v>0</v>
      </c>
      <c r="O99" s="35">
        <f t="array" ref="O99">SUM(
    IFERROR(
            VLOOKUP($A99, INDIRECT("EneR!$A$6:$ZZ$1048576"), MATCH(O$1, EneR!$6:$6, 0), FALSE),
            0
        ) +
        IFERROR(
            VLOOKUP($A99, INDIRECT("FebR!$A$6:$ZZ$1048576"), MATCH(O$1, FebR!$6:$6, 0), FALSE),
            0
        ) +
        IFERROR(
            VLOOKUP($A99, INDIRECT("MarR!$A$6:$ZZ$1048576"), MATCH(O$1, MarR!$6:$6, 0), FALSE),
            0
        ) +
        IFERROR(
            VLOOKUP($A99, INDIRECT("AbrR!$A$6:$ZZ$1048576"), MATCH(O$1, AbrR!$6:$6, 0), FALSE),
            0
        ) +
        IFERROR(
            VLOOKUP($A99, INDIRECT("MayR!$A$6:$ZZ$1048576"), MATCH(O$1, MayR!$6:$6, 0), FALSE),
            0
        ) +
        IFERROR(
            VLOOKUP($A99, INDIRECT("JunR!$A$6:$ZZ$1048576"), MATCH(O$1, JunR!$6:$6, 0), FALSE),
            0
        ) +
        IFERROR(
            VLOOKUP($A99, INDIRECT("JulR!$A$6:$ZZ$1048576"), MATCH(O$1, JulR!$6:$6, 0), FALSE),
            0
        ) +
        IFERROR(
            VLOOKUP($A99, INDIRECT("AgoR!$A$6:$ZZ$1048576"), MATCH(O$1, AgoR!$6:$6, 0), FALSE),
            0
        ) +
        IFERROR(
            VLOOKUP($A99, INDIRECT("SepR!$A$6:$ZZ$1048576"), MATCH(O$1, SepR!$6:$6, 0), FALSE),
            0
        ) +
        IFERROR(
            VLOOKUP($A99, INDIRECT("OctR!$A$6:$ZZ$1048576"), MATCH(O$1, OctR!$6:$6, 0), FALSE),
            0
        ) +
        IFERROR(
            VLOOKUP($A99, INDIRECT("NovR!$A$6:$ZZ$1048576"), MATCH(O$1, NovR!$6:$6, 0), FALSE),
            0
        ) +
        IFERROR(
            VLOOKUP($A99, INDIRECT("DicR!$A$6:$ZZ$1048576"), MATCH(O$1, DicR!$6:$6, 0), FALSE),
            0
        )
)</f>
        <v>0</v>
      </c>
      <c r="P99" s="32">
        <f t="array" ref="P99">SUM(
    IFERROR(
            VLOOKUP($A99, INDIRECT("EneR!$A$6:$ZZ$1048576"), MATCH(P$1, EneR!$6:$6, 0), FALSE),
            0
        ) +
        IFERROR(
            VLOOKUP($A99, INDIRECT("FebR!$A$6:$ZZ$1048576"), MATCH(P$1, FebR!$6:$6, 0), FALSE),
            0
        ) +
        IFERROR(
            VLOOKUP($A99, INDIRECT("MarR!$A$6:$ZZ$1048576"), MATCH(P$1, MarR!$6:$6, 0), FALSE),
            0
        ) +
        IFERROR(
            VLOOKUP($A99, INDIRECT("AbrR!$A$6:$ZZ$1048576"), MATCH(P$1, AbrR!$6:$6, 0), FALSE),
            0
        ) +
        IFERROR(
            VLOOKUP($A99, INDIRECT("MayR!$A$6:$ZZ$1048576"), MATCH(P$1, MayR!$6:$6, 0), FALSE),
            0
        ) +
        IFERROR(
            VLOOKUP($A99, INDIRECT("JunR!$A$6:$ZZ$1048576"), MATCH(P$1, JunR!$6:$6, 0), FALSE),
            0
        ) +
        IFERROR(
            VLOOKUP($A99, INDIRECT("JulR!$A$6:$ZZ$1048576"), MATCH(P$1, JulR!$6:$6, 0), FALSE),
            0
        ) +
        IFERROR(
            VLOOKUP($A99, INDIRECT("AgoR!$A$6:$ZZ$1048576"), MATCH(P$1, AgoR!$6:$6, 0), FALSE),
            0
        ) +
        IFERROR(
            VLOOKUP($A99, INDIRECT("SepR!$A$6:$ZZ$1048576"), MATCH(P$1, SepR!$6:$6, 0), FALSE),
            0
        ) +
        IFERROR(
            VLOOKUP($A99, INDIRECT("OctR!$A$6:$ZZ$1048576"), MATCH(P$1, OctR!$6:$6, 0), FALSE),
            0
        ) +
        IFERROR(
            VLOOKUP($A99, INDIRECT("NovR!$A$6:$ZZ$1048576"), MATCH(P$1, NovR!$6:$6, 0), FALSE),
            0
        ) +
        IFERROR(
            VLOOKUP($A99, INDIRECT("DicR!$A$6:$ZZ$1048576"), MATCH(P$1, DicR!$6:$6, 0), FALSE),
            0
        )
)</f>
        <v>0</v>
      </c>
      <c r="Q99" s="35">
        <f t="array" ref="Q99">SUM(
    IFERROR(
            VLOOKUP($A99, INDIRECT("EneR!$A$6:$ZZ$1048576"), MATCH(Q$1, EneR!$6:$6, 0), FALSE),
            0
        ) +
        IFERROR(
            VLOOKUP($A99, INDIRECT("FebR!$A$6:$ZZ$1048576"), MATCH(Q$1, FebR!$6:$6, 0), FALSE),
            0
        ) +
        IFERROR(
            VLOOKUP($A99, INDIRECT("MarR!$A$6:$ZZ$1048576"), MATCH(Q$1, MarR!$6:$6, 0), FALSE),
            0
        ) +
        IFERROR(
            VLOOKUP($A99, INDIRECT("AbrR!$A$6:$ZZ$1048576"), MATCH(Q$1, AbrR!$6:$6, 0), FALSE),
            0
        ) +
        IFERROR(
            VLOOKUP($A99, INDIRECT("MayR!$A$6:$ZZ$1048576"), MATCH(Q$1, MayR!$6:$6, 0), FALSE),
            0
        ) +
        IFERROR(
            VLOOKUP($A99, INDIRECT("JunR!$A$6:$ZZ$1048576"), MATCH(Q$1, JunR!$6:$6, 0), FALSE),
            0
        ) +
        IFERROR(
            VLOOKUP($A99, INDIRECT("JulR!$A$6:$ZZ$1048576"), MATCH(Q$1, JulR!$6:$6, 0), FALSE),
            0
        ) +
        IFERROR(
            VLOOKUP($A99, INDIRECT("AgoR!$A$6:$ZZ$1048576"), MATCH(Q$1, AgoR!$6:$6, 0), FALSE),
            0
        ) +
        IFERROR(
            VLOOKUP($A99, INDIRECT("SepR!$A$6:$ZZ$1048576"), MATCH(Q$1, SepR!$6:$6, 0), FALSE),
            0
        ) +
        IFERROR(
            VLOOKUP($A99, INDIRECT("OctR!$A$6:$ZZ$1048576"), MATCH(Q$1, OctR!$6:$6, 0), FALSE),
            0
        ) +
        IFERROR(
            VLOOKUP($A99, INDIRECT("NovR!$A$6:$ZZ$1048576"), MATCH(Q$1, NovR!$6:$6, 0), FALSE),
            0
        ) +
        IFERROR(
            VLOOKUP($A99, INDIRECT("DicR!$A$6:$ZZ$1048576"), MATCH(Q$1, DicR!$6:$6, 0), FALSE),
            0
        )
)</f>
        <v>0</v>
      </c>
      <c r="R99" s="36">
        <f t="array" ref="R99">SUM(
    IFERROR(
            VLOOKUP($A99, INDIRECT("EneR!$A$6:$ZZ$1048576"), MATCH(R$1, EneR!$6:$6, 0), FALSE),
            0
        ) +
        IFERROR(
            VLOOKUP($A99, INDIRECT("FebR!$A$6:$ZZ$1048576"), MATCH(R$1, FebR!$6:$6, 0), FALSE),
            0
        ) +
        IFERROR(
            VLOOKUP($A99, INDIRECT("MarR!$A$6:$ZZ$1048576"), MATCH(R$1, MarR!$6:$6, 0), FALSE),
            0
        ) +
        IFERROR(
            VLOOKUP($A99, INDIRECT("AbrR!$A$6:$ZZ$1048576"), MATCH(R$1, AbrR!$6:$6, 0), FALSE),
            0
        ) +
        IFERROR(
            VLOOKUP($A99, INDIRECT("MayR!$A$6:$ZZ$1048576"), MATCH(R$1, MayR!$6:$6, 0), FALSE),
            0
        ) +
        IFERROR(
            VLOOKUP($A99, INDIRECT("JunR!$A$6:$ZZ$1048576"), MATCH(R$1, JunR!$6:$6, 0), FALSE),
            0
        ) +
        IFERROR(
            VLOOKUP($A99, INDIRECT("JulR!$A$6:$ZZ$1048576"), MATCH(R$1, JulR!$6:$6, 0), FALSE),
            0
        ) +
        IFERROR(
            VLOOKUP($A99, INDIRECT("AgoR!$A$6:$ZZ$1048576"), MATCH(R$1, AgoR!$6:$6, 0), FALSE),
            0
        ) +
        IFERROR(
            VLOOKUP($A99, INDIRECT("SepR!$A$6:$ZZ$1048576"), MATCH(R$1, SepR!$6:$6, 0), FALSE),
            0
        ) +
        IFERROR(
            VLOOKUP($A99, INDIRECT("OctR!$A$6:$ZZ$1048576"), MATCH(R$1, OctR!$6:$6, 0), FALSE),
            0
        ) +
        IFERROR(
            VLOOKUP($A99, INDIRECT("NovR!$A$6:$ZZ$1048576"), MATCH(R$1, NovR!$6:$6, 0), FALSE),
            0
        ) +
        IFERROR(
            VLOOKUP($A99, INDIRECT("DicR!$A$6:$ZZ$1048576"), MATCH(R$1, DicR!$6:$6, 0), FALSE),
            0
        )
)</f>
        <v>0</v>
      </c>
      <c r="S99" s="37">
        <f t="array" ref="S99">SUM(
    IFERROR(
            VLOOKUP($A99, INDIRECT("EneR!$A$6:$ZZ$1048576"), MATCH(S$1, EneR!$6:$6, 0), FALSE),
            0
        ) +
        IFERROR(
            VLOOKUP($A99, INDIRECT("FebR!$A$6:$ZZ$1048576"), MATCH(S$1, FebR!$6:$6, 0), FALSE),
            0
        ) +
        IFERROR(
            VLOOKUP($A99, INDIRECT("MarR!$A$6:$ZZ$1048576"), MATCH(S$1, MarR!$6:$6, 0), FALSE),
            0
        ) +
        IFERROR(
            VLOOKUP($A99, INDIRECT("AbrR!$A$6:$ZZ$1048576"), MATCH(S$1, AbrR!$6:$6, 0), FALSE),
            0
        ) +
        IFERROR(
            VLOOKUP($A99, INDIRECT("MayR!$A$6:$ZZ$1048576"), MATCH(S$1, MayR!$6:$6, 0), FALSE),
            0
        ) +
        IFERROR(
            VLOOKUP($A99, INDIRECT("JunR!$A$6:$ZZ$1048576"), MATCH(S$1, JunR!$6:$6, 0), FALSE),
            0
        ) +
        IFERROR(
            VLOOKUP($A99, INDIRECT("JulR!$A$6:$ZZ$1048576"), MATCH(S$1, JulR!$6:$6, 0), FALSE),
            0
        ) +
        IFERROR(
            VLOOKUP($A99, INDIRECT("AgoR!$A$6:$ZZ$1048576"), MATCH(S$1, AgoR!$6:$6, 0), FALSE),
            0
        ) +
        IFERROR(
            VLOOKUP($A99, INDIRECT("SepR!$A$6:$ZZ$1048576"), MATCH(S$1, SepR!$6:$6, 0), FALSE),
            0
        ) +
        IFERROR(
            VLOOKUP($A99, INDIRECT("OctR!$A$6:$ZZ$1048576"), MATCH(S$1, OctR!$6:$6, 0), FALSE),
            0
        ) +
        IFERROR(
            VLOOKUP($A99, INDIRECT("NovR!$A$6:$ZZ$1048576"), MATCH(S$1, NovR!$6:$6, 0), FALSE),
            0
        ) +
        IFERROR(
            VLOOKUP($A99, INDIRECT("DicR!$A$6:$ZZ$1048576"), MATCH(S$1, DicR!$6:$6, 0), FALSE),
            0
        )
)</f>
        <v>0</v>
      </c>
      <c r="T99" s="36">
        <f t="array" ref="T99">SUM(
    IFERROR(
            VLOOKUP($A99, INDIRECT("EneR!$A$6:$ZZ$1048576"), MATCH(T$1, EneR!$6:$6, 0), FALSE),
            0
        ) +
        IFERROR(
            VLOOKUP($A99, INDIRECT("FebR!$A$6:$ZZ$1048576"), MATCH(T$1, FebR!$6:$6, 0), FALSE),
            0
        ) +
        IFERROR(
            VLOOKUP($A99, INDIRECT("MarR!$A$6:$ZZ$1048576"), MATCH(T$1, MarR!$6:$6, 0), FALSE),
            0
        ) +
        IFERROR(
            VLOOKUP($A99, INDIRECT("AbrR!$A$6:$ZZ$1048576"), MATCH(T$1, AbrR!$6:$6, 0), FALSE),
            0
        ) +
        IFERROR(
            VLOOKUP($A99, INDIRECT("MayR!$A$6:$ZZ$1048576"), MATCH(T$1, MayR!$6:$6, 0), FALSE),
            0
        ) +
        IFERROR(
            VLOOKUP($A99, INDIRECT("JunR!$A$6:$ZZ$1048576"), MATCH(T$1, JunR!$6:$6, 0), FALSE),
            0
        ) +
        IFERROR(
            VLOOKUP($A99, INDIRECT("JulR!$A$6:$ZZ$1048576"), MATCH(T$1, JulR!$6:$6, 0), FALSE),
            0
        ) +
        IFERROR(
            VLOOKUP($A99, INDIRECT("AgoR!$A$6:$ZZ$1048576"), MATCH(T$1, AgoR!$6:$6, 0), FALSE),
            0
        ) +
        IFERROR(
            VLOOKUP($A99, INDIRECT("SepR!$A$6:$ZZ$1048576"), MATCH(T$1, SepR!$6:$6, 0), FALSE),
            0
        ) +
        IFERROR(
            VLOOKUP($A99, INDIRECT("OctR!$A$6:$ZZ$1048576"), MATCH(T$1, OctR!$6:$6, 0), FALSE),
            0
        ) +
        IFERROR(
            VLOOKUP($A99, INDIRECT("NovR!$A$6:$ZZ$1048576"), MATCH(T$1, NovR!$6:$6, 0), FALSE),
            0
        ) +
        IFERROR(
            VLOOKUP($A99, INDIRECT("DicR!$A$6:$ZZ$1048576"), MATCH(T$1, DicR!$6:$6, 0), FALSE),
            0
        )
)</f>
        <v>0</v>
      </c>
      <c r="U99" s="37">
        <f t="array" ref="U99">SUM(
    IFERROR(
            VLOOKUP($A99, INDIRECT("EneR!$A$6:$ZZ$1048576"), MATCH(U$1, EneR!$6:$6, 0), FALSE),
            0
        ) +
        IFERROR(
            VLOOKUP($A99, INDIRECT("FebR!$A$6:$ZZ$1048576"), MATCH(U$1, FebR!$6:$6, 0), FALSE),
            0
        ) +
        IFERROR(
            VLOOKUP($A99, INDIRECT("MarR!$A$6:$ZZ$1048576"), MATCH(U$1, MarR!$6:$6, 0), FALSE),
            0
        ) +
        IFERROR(
            VLOOKUP($A99, INDIRECT("AbrR!$A$6:$ZZ$1048576"), MATCH(U$1, AbrR!$6:$6, 0), FALSE),
            0
        ) +
        IFERROR(
            VLOOKUP($A99, INDIRECT("MayR!$A$6:$ZZ$1048576"), MATCH(U$1, MayR!$6:$6, 0), FALSE),
            0
        ) +
        IFERROR(
            VLOOKUP($A99, INDIRECT("JunR!$A$6:$ZZ$1048576"), MATCH(U$1, JunR!$6:$6, 0), FALSE),
            0
        ) +
        IFERROR(
            VLOOKUP($A99, INDIRECT("JulR!$A$6:$ZZ$1048576"), MATCH(U$1, JulR!$6:$6, 0), FALSE),
            0
        ) +
        IFERROR(
            VLOOKUP($A99, INDIRECT("AgoR!$A$6:$ZZ$1048576"), MATCH(U$1, AgoR!$6:$6, 0), FALSE),
            0
        ) +
        IFERROR(
            VLOOKUP($A99, INDIRECT("SepR!$A$6:$ZZ$1048576"), MATCH(U$1, SepR!$6:$6, 0), FALSE),
            0
        ) +
        IFERROR(
            VLOOKUP($A99, INDIRECT("OctR!$A$6:$ZZ$1048576"), MATCH(U$1, OctR!$6:$6, 0), FALSE),
            0
        ) +
        IFERROR(
            VLOOKUP($A99, INDIRECT("NovR!$A$6:$ZZ$1048576"), MATCH(U$1, NovR!$6:$6, 0), FALSE),
            0
        ) +
        IFERROR(
            VLOOKUP($A99, INDIRECT("DicR!$A$6:$ZZ$1048576"), MATCH(U$1, DicR!$6:$6, 0), FALSE),
            0
        )
)</f>
        <v>0</v>
      </c>
      <c r="V99" s="36">
        <f t="array" ref="V99">SUM(
    IFERROR(
            VLOOKUP($A99, INDIRECT("EneR!$A$6:$ZZ$1048576"), MATCH(V$1, EneR!$6:$6, 0), FALSE),
            0
        ) +
        IFERROR(
            VLOOKUP($A99, INDIRECT("FebR!$A$6:$ZZ$1048576"), MATCH(V$1, FebR!$6:$6, 0), FALSE),
            0
        ) +
        IFERROR(
            VLOOKUP($A99, INDIRECT("MarR!$A$6:$ZZ$1048576"), MATCH(V$1, MarR!$6:$6, 0), FALSE),
            0
        ) +
        IFERROR(
            VLOOKUP($A99, INDIRECT("AbrR!$A$6:$ZZ$1048576"), MATCH(V$1, AbrR!$6:$6, 0), FALSE),
            0
        ) +
        IFERROR(
            VLOOKUP($A99, INDIRECT("MayR!$A$6:$ZZ$1048576"), MATCH(V$1, MayR!$6:$6, 0), FALSE),
            0
        ) +
        IFERROR(
            VLOOKUP($A99, INDIRECT("JunR!$A$6:$ZZ$1048576"), MATCH(V$1, JunR!$6:$6, 0), FALSE),
            0
        ) +
        IFERROR(
            VLOOKUP($A99, INDIRECT("JulR!$A$6:$ZZ$1048576"), MATCH(V$1, JulR!$6:$6, 0), FALSE),
            0
        ) +
        IFERROR(
            VLOOKUP($A99, INDIRECT("AgoR!$A$6:$ZZ$1048576"), MATCH(V$1, AgoR!$6:$6, 0), FALSE),
            0
        ) +
        IFERROR(
            VLOOKUP($A99, INDIRECT("SepR!$A$6:$ZZ$1048576"), MATCH(V$1, SepR!$6:$6, 0), FALSE),
            0
        ) +
        IFERROR(
            VLOOKUP($A99, INDIRECT("OctR!$A$6:$ZZ$1048576"), MATCH(V$1, OctR!$6:$6, 0), FALSE),
            0
        ) +
        IFERROR(
            VLOOKUP($A99, INDIRECT("NovR!$A$6:$ZZ$1048576"), MATCH(V$1, NovR!$6:$6, 0), FALSE),
            0
        ) +
        IFERROR(
            VLOOKUP($A99, INDIRECT("DicR!$A$6:$ZZ$1048576"), MATCH(V$1, DicR!$6:$6, 0), FALSE),
            0
        )
)</f>
        <v>0</v>
      </c>
      <c r="W99" s="37">
        <f t="array" ref="W99">SUM(
    IFERROR(
            VLOOKUP($A99, INDIRECT("EneR!$A$6:$ZZ$1048576"), MATCH(W$1, EneR!$6:$6, 0), FALSE),
            0
        ) +
        IFERROR(
            VLOOKUP($A99, INDIRECT("FebR!$A$6:$ZZ$1048576"), MATCH(W$1, FebR!$6:$6, 0), FALSE),
            0
        ) +
        IFERROR(
            VLOOKUP($A99, INDIRECT("MarR!$A$6:$ZZ$1048576"), MATCH(W$1, MarR!$6:$6, 0), FALSE),
            0
        ) +
        IFERROR(
            VLOOKUP($A99, INDIRECT("AbrR!$A$6:$ZZ$1048576"), MATCH(W$1, AbrR!$6:$6, 0), FALSE),
            0
        ) +
        IFERROR(
            VLOOKUP($A99, INDIRECT("MayR!$A$6:$ZZ$1048576"), MATCH(W$1, MayR!$6:$6, 0), FALSE),
            0
        ) +
        IFERROR(
            VLOOKUP($A99, INDIRECT("JunR!$A$6:$ZZ$1048576"), MATCH(W$1, JunR!$6:$6, 0), FALSE),
            0
        ) +
        IFERROR(
            VLOOKUP($A99, INDIRECT("JulR!$A$6:$ZZ$1048576"), MATCH(W$1, JulR!$6:$6, 0), FALSE),
            0
        ) +
        IFERROR(
            VLOOKUP($A99, INDIRECT("AgoR!$A$6:$ZZ$1048576"), MATCH(W$1, AgoR!$6:$6, 0), FALSE),
            0
        ) +
        IFERROR(
            VLOOKUP($A99, INDIRECT("SepR!$A$6:$ZZ$1048576"), MATCH(W$1, SepR!$6:$6, 0), FALSE),
            0
        ) +
        IFERROR(
            VLOOKUP($A99, INDIRECT("OctR!$A$6:$ZZ$1048576"), MATCH(W$1, OctR!$6:$6, 0), FALSE),
            0
        ) +
        IFERROR(
            VLOOKUP($A99, INDIRECT("NovR!$A$6:$ZZ$1048576"), MATCH(W$1, NovR!$6:$6, 0), FALSE),
            0
        ) +
        IFERROR(
            VLOOKUP($A99, INDIRECT("DicR!$A$6:$ZZ$1048576"), MATCH(W$1, DicR!$6:$6, 0), FALSE),
            0
        )
)</f>
        <v>0</v>
      </c>
      <c r="X99" s="36">
        <f t="array" ref="X99">SUM(
    IFERROR(
            VLOOKUP($A99, INDIRECT("EneR!$A$6:$ZZ$1048576"), MATCH(X$1, EneR!$6:$6, 0), FALSE),
            0
        ) +
        IFERROR(
            VLOOKUP($A99, INDIRECT("FebR!$A$6:$ZZ$1048576"), MATCH(X$1, FebR!$6:$6, 0), FALSE),
            0
        ) +
        IFERROR(
            VLOOKUP($A99, INDIRECT("MarR!$A$6:$ZZ$1048576"), MATCH(X$1, MarR!$6:$6, 0), FALSE),
            0
        ) +
        IFERROR(
            VLOOKUP($A99, INDIRECT("AbrR!$A$6:$ZZ$1048576"), MATCH(X$1, AbrR!$6:$6, 0), FALSE),
            0
        ) +
        IFERROR(
            VLOOKUP($A99, INDIRECT("MayR!$A$6:$ZZ$1048576"), MATCH(X$1, MayR!$6:$6, 0), FALSE),
            0
        ) +
        IFERROR(
            VLOOKUP($A99, INDIRECT("JunR!$A$6:$ZZ$1048576"), MATCH(X$1, JunR!$6:$6, 0), FALSE),
            0
        ) +
        IFERROR(
            VLOOKUP($A99, INDIRECT("JulR!$A$6:$ZZ$1048576"), MATCH(X$1, JulR!$6:$6, 0), FALSE),
            0
        ) +
        IFERROR(
            VLOOKUP($A99, INDIRECT("AgoR!$A$6:$ZZ$1048576"), MATCH(X$1, AgoR!$6:$6, 0), FALSE),
            0
        ) +
        IFERROR(
            VLOOKUP($A99, INDIRECT("SepR!$A$6:$ZZ$1048576"), MATCH(X$1, SepR!$6:$6, 0), FALSE),
            0
        ) +
        IFERROR(
            VLOOKUP($A99, INDIRECT("OctR!$A$6:$ZZ$1048576"), MATCH(X$1, OctR!$6:$6, 0), FALSE),
            0
        ) +
        IFERROR(
            VLOOKUP($A99, INDIRECT("NovR!$A$6:$ZZ$1048576"), MATCH(X$1, NovR!$6:$6, 0), FALSE),
            0
        ) +
        IFERROR(
            VLOOKUP($A99, INDIRECT("DicR!$A$6:$ZZ$1048576"), MATCH(X$1, DicR!$6:$6, 0), FALSE),
            0
        )
)</f>
        <v>0</v>
      </c>
      <c r="Y99" s="37">
        <f t="array" ref="Y99">SUM(
    IFERROR(
            VLOOKUP($A99, INDIRECT("EneR!$A$6:$ZZ$1048576"), MATCH(Y$1, EneR!$6:$6, 0), FALSE),
            0
        ) +
        IFERROR(
            VLOOKUP($A99, INDIRECT("FebR!$A$6:$ZZ$1048576"), MATCH(Y$1, FebR!$6:$6, 0), FALSE),
            0
        ) +
        IFERROR(
            VLOOKUP($A99, INDIRECT("MarR!$A$6:$ZZ$1048576"), MATCH(Y$1, MarR!$6:$6, 0), FALSE),
            0
        ) +
        IFERROR(
            VLOOKUP($A99, INDIRECT("AbrR!$A$6:$ZZ$1048576"), MATCH(Y$1, AbrR!$6:$6, 0), FALSE),
            0
        ) +
        IFERROR(
            VLOOKUP($A99, INDIRECT("MayR!$A$6:$ZZ$1048576"), MATCH(Y$1, MayR!$6:$6, 0), FALSE),
            0
        ) +
        IFERROR(
            VLOOKUP($A99, INDIRECT("JunR!$A$6:$ZZ$1048576"), MATCH(Y$1, JunR!$6:$6, 0), FALSE),
            0
        ) +
        IFERROR(
            VLOOKUP($A99, INDIRECT("JulR!$A$6:$ZZ$1048576"), MATCH(Y$1, JulR!$6:$6, 0), FALSE),
            0
        ) +
        IFERROR(
            VLOOKUP($A99, INDIRECT("AgoR!$A$6:$ZZ$1048576"), MATCH(Y$1, AgoR!$6:$6, 0), FALSE),
            0
        ) +
        IFERROR(
            VLOOKUP($A99, INDIRECT("SepR!$A$6:$ZZ$1048576"), MATCH(Y$1, SepR!$6:$6, 0), FALSE),
            0
        ) +
        IFERROR(
            VLOOKUP($A99, INDIRECT("OctR!$A$6:$ZZ$1048576"), MATCH(Y$1, OctR!$6:$6, 0), FALSE),
            0
        ) +
        IFERROR(
            VLOOKUP($A99, INDIRECT("NovR!$A$6:$ZZ$1048576"), MATCH(Y$1, NovR!$6:$6, 0), FALSE),
            0
        ) +
        IFERROR(
            VLOOKUP($A99, INDIRECT("DicR!$A$6:$ZZ$1048576"), MATCH(Y$1, DicR!$6:$6, 0), FALSE),
            0
        )
)</f>
        <v>0</v>
      </c>
      <c r="Z99" s="36">
        <f t="array" ref="Z99">SUM(
    IFERROR(
            VLOOKUP($A99, INDIRECT("EneR!$A$6:$ZZ$1048576"), MATCH(Z$1, EneR!$6:$6, 0), FALSE),
            0
        ) +
        IFERROR(
            VLOOKUP($A99, INDIRECT("FebR!$A$6:$ZZ$1048576"), MATCH(Z$1, FebR!$6:$6, 0), FALSE),
            0
        ) +
        IFERROR(
            VLOOKUP($A99, INDIRECT("MarR!$A$6:$ZZ$1048576"), MATCH(Z$1, MarR!$6:$6, 0), FALSE),
            0
        ) +
        IFERROR(
            VLOOKUP($A99, INDIRECT("AbrR!$A$6:$ZZ$1048576"), MATCH(Z$1, AbrR!$6:$6, 0), FALSE),
            0
        ) +
        IFERROR(
            VLOOKUP($A99, INDIRECT("MayR!$A$6:$ZZ$1048576"), MATCH(Z$1, MayR!$6:$6, 0), FALSE),
            0
        ) +
        IFERROR(
            VLOOKUP($A99, INDIRECT("JunR!$A$6:$ZZ$1048576"), MATCH(Z$1, JunR!$6:$6, 0), FALSE),
            0
        ) +
        IFERROR(
            VLOOKUP($A99, INDIRECT("JulR!$A$6:$ZZ$1048576"), MATCH(Z$1, JulR!$6:$6, 0), FALSE),
            0
        ) +
        IFERROR(
            VLOOKUP($A99, INDIRECT("AgoR!$A$6:$ZZ$1048576"), MATCH(Z$1, AgoR!$6:$6, 0), FALSE),
            0
        ) +
        IFERROR(
            VLOOKUP($A99, INDIRECT("SepR!$A$6:$ZZ$1048576"), MATCH(Z$1, SepR!$6:$6, 0), FALSE),
            0
        ) +
        IFERROR(
            VLOOKUP($A99, INDIRECT("OctR!$A$6:$ZZ$1048576"), MATCH(Z$1, OctR!$6:$6, 0), FALSE),
            0
        ) +
        IFERROR(
            VLOOKUP($A99, INDIRECT("NovR!$A$6:$ZZ$1048576"), MATCH(Z$1, NovR!$6:$6, 0), FALSE),
            0
        ) +
        IFERROR(
            VLOOKUP($A99, INDIRECT("DicR!$A$6:$ZZ$1048576"), MATCH(Z$1, DicR!$6:$6, 0), FALSE),
            0
        )
)</f>
        <v>0</v>
      </c>
      <c r="AA99" s="37">
        <f t="array" ref="AA99">SUM(
    IFERROR(
            VLOOKUP($A99, INDIRECT("EneR!$A$6:$ZZ$1048576"), MATCH(AA$1, EneR!$6:$6, 0), FALSE),
            0
        ) +
        IFERROR(
            VLOOKUP($A99, INDIRECT("FebR!$A$6:$ZZ$1048576"), MATCH(AA$1, FebR!$6:$6, 0), FALSE),
            0
        ) +
        IFERROR(
            VLOOKUP($A99, INDIRECT("MarR!$A$6:$ZZ$1048576"), MATCH(AA$1, MarR!$6:$6, 0), FALSE),
            0
        ) +
        IFERROR(
            VLOOKUP($A99, INDIRECT("AbrR!$A$6:$ZZ$1048576"), MATCH(AA$1, AbrR!$6:$6, 0), FALSE),
            0
        ) +
        IFERROR(
            VLOOKUP($A99, INDIRECT("MayR!$A$6:$ZZ$1048576"), MATCH(AA$1, MayR!$6:$6, 0), FALSE),
            0
        ) +
        IFERROR(
            VLOOKUP($A99, INDIRECT("JunR!$A$6:$ZZ$1048576"), MATCH(AA$1, JunR!$6:$6, 0), FALSE),
            0
        ) +
        IFERROR(
            VLOOKUP($A99, INDIRECT("JulR!$A$6:$ZZ$1048576"), MATCH(AA$1, JulR!$6:$6, 0), FALSE),
            0
        ) +
        IFERROR(
            VLOOKUP($A99, INDIRECT("AgoR!$A$6:$ZZ$1048576"), MATCH(AA$1, AgoR!$6:$6, 0), FALSE),
            0
        ) +
        IFERROR(
            VLOOKUP($A99, INDIRECT("SepR!$A$6:$ZZ$1048576"), MATCH(AA$1, SepR!$6:$6, 0), FALSE),
            0
        ) +
        IFERROR(
            VLOOKUP($A99, INDIRECT("OctR!$A$6:$ZZ$1048576"), MATCH(AA$1, OctR!$6:$6, 0), FALSE),
            0
        ) +
        IFERROR(
            VLOOKUP($A99, INDIRECT("NovR!$A$6:$ZZ$1048576"), MATCH(AA$1, NovR!$6:$6, 0), FALSE),
            0
        ) +
        IFERROR(
            VLOOKUP($A99, INDIRECT("DicR!$A$6:$ZZ$1048576"), MATCH(AA$1, DicR!$6:$6, 0), FALSE),
            0
        )
)</f>
        <v>0</v>
      </c>
      <c r="AB99" s="36">
        <f t="array" ref="AB99">SUM(
    IFERROR(
            VLOOKUP($A99, INDIRECT("EneR!$A$6:$ZZ$1048576"), MATCH(AB$1, EneR!$6:$6, 0), FALSE),
            0
        ) +
        IFERROR(
            VLOOKUP($A99, INDIRECT("FebR!$A$6:$ZZ$1048576"), MATCH(AB$1, FebR!$6:$6, 0), FALSE),
            0
        ) +
        IFERROR(
            VLOOKUP($A99, INDIRECT("MarR!$A$6:$ZZ$1048576"), MATCH(AB$1, MarR!$6:$6, 0), FALSE),
            0
        ) +
        IFERROR(
            VLOOKUP($A99, INDIRECT("AbrR!$A$6:$ZZ$1048576"), MATCH(AB$1, AbrR!$6:$6, 0), FALSE),
            0
        ) +
        IFERROR(
            VLOOKUP($A99, INDIRECT("MayR!$A$6:$ZZ$1048576"), MATCH(AB$1, MayR!$6:$6, 0), FALSE),
            0
        ) +
        IFERROR(
            VLOOKUP($A99, INDIRECT("JunR!$A$6:$ZZ$1048576"), MATCH(AB$1, JunR!$6:$6, 0), FALSE),
            0
        ) +
        IFERROR(
            VLOOKUP($A99, INDIRECT("JulR!$A$6:$ZZ$1048576"), MATCH(AB$1, JulR!$6:$6, 0), FALSE),
            0
        ) +
        IFERROR(
            VLOOKUP($A99, INDIRECT("AgoR!$A$6:$ZZ$1048576"), MATCH(AB$1, AgoR!$6:$6, 0), FALSE),
            0
        ) +
        IFERROR(
            VLOOKUP($A99, INDIRECT("SepR!$A$6:$ZZ$1048576"), MATCH(AB$1, SepR!$6:$6, 0), FALSE),
            0
        ) +
        IFERROR(
            VLOOKUP($A99, INDIRECT("OctR!$A$6:$ZZ$1048576"), MATCH(AB$1, OctR!$6:$6, 0), FALSE),
            0
        ) +
        IFERROR(
            VLOOKUP($A99, INDIRECT("NovR!$A$6:$ZZ$1048576"), MATCH(AB$1, NovR!$6:$6, 0), FALSE),
            0
        ) +
        IFERROR(
            VLOOKUP($A99, INDIRECT("DicR!$A$6:$ZZ$1048576"), MATCH(AB$1, DicR!$6:$6, 0), FALSE),
            0
        )
)</f>
        <v>0</v>
      </c>
      <c r="AC99" s="37">
        <f t="array" ref="AC99">SUM(
    IFERROR(
            VLOOKUP($A99, INDIRECT("EneR!$A$6:$ZZ$1048576"), MATCH(AC$1, EneR!$6:$6, 0), FALSE),
            0
        ) +
        IFERROR(
            VLOOKUP($A99, INDIRECT("FebR!$A$6:$ZZ$1048576"), MATCH(AC$1, FebR!$6:$6, 0), FALSE),
            0
        ) +
        IFERROR(
            VLOOKUP($A99, INDIRECT("MarR!$A$6:$ZZ$1048576"), MATCH(AC$1, MarR!$6:$6, 0), FALSE),
            0
        ) +
        IFERROR(
            VLOOKUP($A99, INDIRECT("AbrR!$A$6:$ZZ$1048576"), MATCH(AC$1, AbrR!$6:$6, 0), FALSE),
            0
        ) +
        IFERROR(
            VLOOKUP($A99, INDIRECT("MayR!$A$6:$ZZ$1048576"), MATCH(AC$1, MayR!$6:$6, 0), FALSE),
            0
        ) +
        IFERROR(
            VLOOKUP($A99, INDIRECT("JunR!$A$6:$ZZ$1048576"), MATCH(AC$1, JunR!$6:$6, 0), FALSE),
            0
        ) +
        IFERROR(
            VLOOKUP($A99, INDIRECT("JulR!$A$6:$ZZ$1048576"), MATCH(AC$1, JulR!$6:$6, 0), FALSE),
            0
        ) +
        IFERROR(
            VLOOKUP($A99, INDIRECT("AgoR!$A$6:$ZZ$1048576"), MATCH(AC$1, AgoR!$6:$6, 0), FALSE),
            0
        ) +
        IFERROR(
            VLOOKUP($A99, INDIRECT("SepR!$A$6:$ZZ$1048576"), MATCH(AC$1, SepR!$6:$6, 0), FALSE),
            0
        ) +
        IFERROR(
            VLOOKUP($A99, INDIRECT("OctR!$A$6:$ZZ$1048576"), MATCH(AC$1, OctR!$6:$6, 0), FALSE),
            0
        ) +
        IFERROR(
            VLOOKUP($A99, INDIRECT("NovR!$A$6:$ZZ$1048576"), MATCH(AC$1, NovR!$6:$6, 0), FALSE),
            0
        ) +
        IFERROR(
            VLOOKUP($A99, INDIRECT("DicR!$A$6:$ZZ$1048576"), MATCH(AC$1, DicR!$6:$6, 0), FALSE),
            0
        )
)</f>
        <v>0</v>
      </c>
      <c r="AD99" s="36">
        <f t="array" ref="AD99">SUM(
    IFERROR(
            VLOOKUP($A99, INDIRECT("EneR!$A$6:$ZZ$1048576"), MATCH(AD$1, EneR!$6:$6, 0), FALSE),
            0
        ) +
        IFERROR(
            VLOOKUP($A99, INDIRECT("FebR!$A$6:$ZZ$1048576"), MATCH(AD$1, FebR!$6:$6, 0), FALSE),
            0
        ) +
        IFERROR(
            VLOOKUP($A99, INDIRECT("MarR!$A$6:$ZZ$1048576"), MATCH(AD$1, MarR!$6:$6, 0), FALSE),
            0
        ) +
        IFERROR(
            VLOOKUP($A99, INDIRECT("AbrR!$A$6:$ZZ$1048576"), MATCH(AD$1, AbrR!$6:$6, 0), FALSE),
            0
        ) +
        IFERROR(
            VLOOKUP($A99, INDIRECT("MayR!$A$6:$ZZ$1048576"), MATCH(AD$1, MayR!$6:$6, 0), FALSE),
            0
        ) +
        IFERROR(
            VLOOKUP($A99, INDIRECT("JunR!$A$6:$ZZ$1048576"), MATCH(AD$1, JunR!$6:$6, 0), FALSE),
            0
        ) +
        IFERROR(
            VLOOKUP($A99, INDIRECT("JulR!$A$6:$ZZ$1048576"), MATCH(AD$1, JulR!$6:$6, 0), FALSE),
            0
        ) +
        IFERROR(
            VLOOKUP($A99, INDIRECT("AgoR!$A$6:$ZZ$1048576"), MATCH(AD$1, AgoR!$6:$6, 0), FALSE),
            0
        ) +
        IFERROR(
            VLOOKUP($A99, INDIRECT("SepR!$A$6:$ZZ$1048576"), MATCH(AD$1, SepR!$6:$6, 0), FALSE),
            0
        ) +
        IFERROR(
            VLOOKUP($A99, INDIRECT("OctR!$A$6:$ZZ$1048576"), MATCH(AD$1, OctR!$6:$6, 0), FALSE),
            0
        ) +
        IFERROR(
            VLOOKUP($A99, INDIRECT("NovR!$A$6:$ZZ$1048576"), MATCH(AD$1, NovR!$6:$6, 0), FALSE),
            0
        ) +
        IFERROR(
            VLOOKUP($A99, INDIRECT("DicR!$A$6:$ZZ$1048576"), MATCH(AD$1, DicR!$6:$6, 0), FALSE),
            0
        )
)</f>
        <v>0</v>
      </c>
      <c r="AE99" s="37">
        <f t="array" ref="AE99">SUM(
    IFERROR(
            VLOOKUP($A99, INDIRECT("EneR!$A$6:$ZZ$1048576"), MATCH(AE$1, EneR!$6:$6, 0), FALSE),
            0
        ) +
        IFERROR(
            VLOOKUP($A99, INDIRECT("FebR!$A$6:$ZZ$1048576"), MATCH(AE$1, FebR!$6:$6, 0), FALSE),
            0
        ) +
        IFERROR(
            VLOOKUP($A99, INDIRECT("MarR!$A$6:$ZZ$1048576"), MATCH(AE$1, MarR!$6:$6, 0), FALSE),
            0
        ) +
        IFERROR(
            VLOOKUP($A99, INDIRECT("AbrR!$A$6:$ZZ$1048576"), MATCH(AE$1, AbrR!$6:$6, 0), FALSE),
            0
        ) +
        IFERROR(
            VLOOKUP($A99, INDIRECT("MayR!$A$6:$ZZ$1048576"), MATCH(AE$1, MayR!$6:$6, 0), FALSE),
            0
        ) +
        IFERROR(
            VLOOKUP($A99, INDIRECT("JunR!$A$6:$ZZ$1048576"), MATCH(AE$1, JunR!$6:$6, 0), FALSE),
            0
        ) +
        IFERROR(
            VLOOKUP($A99, INDIRECT("JulR!$A$6:$ZZ$1048576"), MATCH(AE$1, JulR!$6:$6, 0), FALSE),
            0
        ) +
        IFERROR(
            VLOOKUP($A99, INDIRECT("AgoR!$A$6:$ZZ$1048576"), MATCH(AE$1, AgoR!$6:$6, 0), FALSE),
            0
        ) +
        IFERROR(
            VLOOKUP($A99, INDIRECT("SepR!$A$6:$ZZ$1048576"), MATCH(AE$1, SepR!$6:$6, 0), FALSE),
            0
        ) +
        IFERROR(
            VLOOKUP($A99, INDIRECT("OctR!$A$6:$ZZ$1048576"), MATCH(AE$1, OctR!$6:$6, 0), FALSE),
            0
        ) +
        IFERROR(
            VLOOKUP($A99, INDIRECT("NovR!$A$6:$ZZ$1048576"), MATCH(AE$1, NovR!$6:$6, 0), FALSE),
            0
        ) +
        IFERROR(
            VLOOKUP($A99, INDIRECT("DicR!$A$6:$ZZ$1048576"), MATCH(AE$1, DicR!$6:$6, 0), FALSE),
            0
        )
)</f>
        <v>0</v>
      </c>
      <c r="AF99" s="36">
        <f t="array" ref="AF99">SUM(
    IFERROR(
            VLOOKUP($A99, INDIRECT("EneR!$A$6:$ZZ$1048576"), MATCH(AF$1, EneR!$6:$6, 0), FALSE),
            0
        ) +
        IFERROR(
            VLOOKUP($A99, INDIRECT("FebR!$A$6:$ZZ$1048576"), MATCH(AF$1, FebR!$6:$6, 0), FALSE),
            0
        ) +
        IFERROR(
            VLOOKUP($A99, INDIRECT("MarR!$A$6:$ZZ$1048576"), MATCH(AF$1, MarR!$6:$6, 0), FALSE),
            0
        ) +
        IFERROR(
            VLOOKUP($A99, INDIRECT("AbrR!$A$6:$ZZ$1048576"), MATCH(AF$1, AbrR!$6:$6, 0), FALSE),
            0
        ) +
        IFERROR(
            VLOOKUP($A99, INDIRECT("MayR!$A$6:$ZZ$1048576"), MATCH(AF$1, MayR!$6:$6, 0), FALSE),
            0
        ) +
        IFERROR(
            VLOOKUP($A99, INDIRECT("JunR!$A$6:$ZZ$1048576"), MATCH(AF$1, JunR!$6:$6, 0), FALSE),
            0
        ) +
        IFERROR(
            VLOOKUP($A99, INDIRECT("JulR!$A$6:$ZZ$1048576"), MATCH(AF$1, JulR!$6:$6, 0), FALSE),
            0
        ) +
        IFERROR(
            VLOOKUP($A99, INDIRECT("AgoR!$A$6:$ZZ$1048576"), MATCH(AF$1, AgoR!$6:$6, 0), FALSE),
            0
        ) +
        IFERROR(
            VLOOKUP($A99, INDIRECT("SepR!$A$6:$ZZ$1048576"), MATCH(AF$1, SepR!$6:$6, 0), FALSE),
            0
        ) +
        IFERROR(
            VLOOKUP($A99, INDIRECT("OctR!$A$6:$ZZ$1048576"), MATCH(AF$1, OctR!$6:$6, 0), FALSE),
            0
        ) +
        IFERROR(
            VLOOKUP($A99, INDIRECT("NovR!$A$6:$ZZ$1048576"), MATCH(AF$1, NovR!$6:$6, 0), FALSE),
            0
        ) +
        IFERROR(
            VLOOKUP($A99, INDIRECT("DicR!$A$6:$ZZ$1048576"), MATCH(AF$1, DicR!$6:$6, 0), FALSE),
            0
        )
)</f>
        <v>0</v>
      </c>
      <c r="AG99" s="37">
        <f t="array" ref="AG99">SUM(
    IFERROR(
            VLOOKUP($A99, INDIRECT("EneR!$A$6:$ZZ$1048576"), MATCH(AG$1, EneR!$6:$6, 0), FALSE),
            0
        ) +
        IFERROR(
            VLOOKUP($A99, INDIRECT("FebR!$A$6:$ZZ$1048576"), MATCH(AG$1, FebR!$6:$6, 0), FALSE),
            0
        ) +
        IFERROR(
            VLOOKUP($A99, INDIRECT("MarR!$A$6:$ZZ$1048576"), MATCH(AG$1, MarR!$6:$6, 0), FALSE),
            0
        ) +
        IFERROR(
            VLOOKUP($A99, INDIRECT("AbrR!$A$6:$ZZ$1048576"), MATCH(AG$1, AbrR!$6:$6, 0), FALSE),
            0
        ) +
        IFERROR(
            VLOOKUP($A99, INDIRECT("MayR!$A$6:$ZZ$1048576"), MATCH(AG$1, MayR!$6:$6, 0), FALSE),
            0
        ) +
        IFERROR(
            VLOOKUP($A99, INDIRECT("JunR!$A$6:$ZZ$1048576"), MATCH(AG$1, JunR!$6:$6, 0), FALSE),
            0
        ) +
        IFERROR(
            VLOOKUP($A99, INDIRECT("JulR!$A$6:$ZZ$1048576"), MATCH(AG$1, JulR!$6:$6, 0), FALSE),
            0
        ) +
        IFERROR(
            VLOOKUP($A99, INDIRECT("AgoR!$A$6:$ZZ$1048576"), MATCH(AG$1, AgoR!$6:$6, 0), FALSE),
            0
        ) +
        IFERROR(
            VLOOKUP($A99, INDIRECT("SepR!$A$6:$ZZ$1048576"), MATCH(AG$1, SepR!$6:$6, 0), FALSE),
            0
        ) +
        IFERROR(
            VLOOKUP($A99, INDIRECT("OctR!$A$6:$ZZ$1048576"), MATCH(AG$1, OctR!$6:$6, 0), FALSE),
            0
        ) +
        IFERROR(
            VLOOKUP($A99, INDIRECT("NovR!$A$6:$ZZ$1048576"), MATCH(AG$1, NovR!$6:$6, 0), FALSE),
            0
        ) +
        IFERROR(
            VLOOKUP($A99, INDIRECT("DicR!$A$6:$ZZ$1048576"), MATCH(AG$1, DicR!$6:$6, 0), FALSE),
            0
        )
)</f>
        <v>0</v>
      </c>
      <c r="AH99" s="36">
        <f t="array" ref="AH99">SUM(
    IFERROR(
            VLOOKUP($A99, INDIRECT("EneR!$A$6:$ZZ$1048576"), MATCH(AH$1, EneR!$6:$6, 0), FALSE),
            0
        ) +
        IFERROR(
            VLOOKUP($A99, INDIRECT("FebR!$A$6:$ZZ$1048576"), MATCH(AH$1, FebR!$6:$6, 0), FALSE),
            0
        ) +
        IFERROR(
            VLOOKUP($A99, INDIRECT("MarR!$A$6:$ZZ$1048576"), MATCH(AH$1, MarR!$6:$6, 0), FALSE),
            0
        ) +
        IFERROR(
            VLOOKUP($A99, INDIRECT("AbrR!$A$6:$ZZ$1048576"), MATCH(AH$1, AbrR!$6:$6, 0), FALSE),
            0
        ) +
        IFERROR(
            VLOOKUP($A99, INDIRECT("MayR!$A$6:$ZZ$1048576"), MATCH(AH$1, MayR!$6:$6, 0), FALSE),
            0
        ) +
        IFERROR(
            VLOOKUP($A99, INDIRECT("JunR!$A$6:$ZZ$1048576"), MATCH(AH$1, JunR!$6:$6, 0), FALSE),
            0
        ) +
        IFERROR(
            VLOOKUP($A99, INDIRECT("JulR!$A$6:$ZZ$1048576"), MATCH(AH$1, JulR!$6:$6, 0), FALSE),
            0
        ) +
        IFERROR(
            VLOOKUP($A99, INDIRECT("AgoR!$A$6:$ZZ$1048576"), MATCH(AH$1, AgoR!$6:$6, 0), FALSE),
            0
        ) +
        IFERROR(
            VLOOKUP($A99, INDIRECT("SepR!$A$6:$ZZ$1048576"), MATCH(AH$1, SepR!$6:$6, 0), FALSE),
            0
        ) +
        IFERROR(
            VLOOKUP($A99, INDIRECT("OctR!$A$6:$ZZ$1048576"), MATCH(AH$1, OctR!$6:$6, 0), FALSE),
            0
        ) +
        IFERROR(
            VLOOKUP($A99, INDIRECT("NovR!$A$6:$ZZ$1048576"), MATCH(AH$1, NovR!$6:$6, 0), FALSE),
            0
        ) +
        IFERROR(
            VLOOKUP($A99, INDIRECT("DicR!$A$6:$ZZ$1048576"), MATCH(AH$1, DicR!$6:$6, 0), FALSE),
            0
        )
)</f>
        <v>0</v>
      </c>
      <c r="AI99" s="37">
        <f t="array" ref="AI99">SUM(
    IFERROR(
            VLOOKUP($A99, INDIRECT("EneR!$A$6:$ZZ$1048576"), MATCH(AI$1, EneR!$6:$6, 0), FALSE),
            0
        ) +
        IFERROR(
            VLOOKUP($A99, INDIRECT("FebR!$A$6:$ZZ$1048576"), MATCH(AI$1, FebR!$6:$6, 0), FALSE),
            0
        ) +
        IFERROR(
            VLOOKUP($A99, INDIRECT("MarR!$A$6:$ZZ$1048576"), MATCH(AI$1, MarR!$6:$6, 0), FALSE),
            0
        ) +
        IFERROR(
            VLOOKUP($A99, INDIRECT("AbrR!$A$6:$ZZ$1048576"), MATCH(AI$1, AbrR!$6:$6, 0), FALSE),
            0
        ) +
        IFERROR(
            VLOOKUP($A99, INDIRECT("MayR!$A$6:$ZZ$1048576"), MATCH(AI$1, MayR!$6:$6, 0), FALSE),
            0
        ) +
        IFERROR(
            VLOOKUP($A99, INDIRECT("JunR!$A$6:$ZZ$1048576"), MATCH(AI$1, JunR!$6:$6, 0), FALSE),
            0
        ) +
        IFERROR(
            VLOOKUP($A99, INDIRECT("JulR!$A$6:$ZZ$1048576"), MATCH(AI$1, JulR!$6:$6, 0), FALSE),
            0
        ) +
        IFERROR(
            VLOOKUP($A99, INDIRECT("AgoR!$A$6:$ZZ$1048576"), MATCH(AI$1, AgoR!$6:$6, 0), FALSE),
            0
        ) +
        IFERROR(
            VLOOKUP($A99, INDIRECT("SepR!$A$6:$ZZ$1048576"), MATCH(AI$1, SepR!$6:$6, 0), FALSE),
            0
        ) +
        IFERROR(
            VLOOKUP($A99, INDIRECT("OctR!$A$6:$ZZ$1048576"), MATCH(AI$1, OctR!$6:$6, 0), FALSE),
            0
        ) +
        IFERROR(
            VLOOKUP($A99, INDIRECT("NovR!$A$6:$ZZ$1048576"), MATCH(AI$1, NovR!$6:$6, 0), FALSE),
            0
        ) +
        IFERROR(
            VLOOKUP($A99, INDIRECT("DicR!$A$6:$ZZ$1048576"), MATCH(AI$1, DicR!$6:$6, 0), FALSE),
            0
        )
)</f>
        <v>0</v>
      </c>
      <c r="AJ99" s="36">
        <f t="array" ref="AJ99">SUM(
    IFERROR(
            VLOOKUP($A99, INDIRECT("EneR!$A$6:$ZZ$1048576"), MATCH(AJ$1, EneR!$6:$6, 0), FALSE),
            0
        ) +
        IFERROR(
            VLOOKUP($A99, INDIRECT("FebR!$A$6:$ZZ$1048576"), MATCH(AJ$1, FebR!$6:$6, 0), FALSE),
            0
        ) +
        IFERROR(
            VLOOKUP($A99, INDIRECT("MarR!$A$6:$ZZ$1048576"), MATCH(AJ$1, MarR!$6:$6, 0), FALSE),
            0
        ) +
        IFERROR(
            VLOOKUP($A99, INDIRECT("AbrR!$A$6:$ZZ$1048576"), MATCH(AJ$1, AbrR!$6:$6, 0), FALSE),
            0
        ) +
        IFERROR(
            VLOOKUP($A99, INDIRECT("MayR!$A$6:$ZZ$1048576"), MATCH(AJ$1, MayR!$6:$6, 0), FALSE),
            0
        ) +
        IFERROR(
            VLOOKUP($A99, INDIRECT("JunR!$A$6:$ZZ$1048576"), MATCH(AJ$1, JunR!$6:$6, 0), FALSE),
            0
        ) +
        IFERROR(
            VLOOKUP($A99, INDIRECT("JulR!$A$6:$ZZ$1048576"), MATCH(AJ$1, JulR!$6:$6, 0), FALSE),
            0
        ) +
        IFERROR(
            VLOOKUP($A99, INDIRECT("AgoR!$A$6:$ZZ$1048576"), MATCH(AJ$1, AgoR!$6:$6, 0), FALSE),
            0
        ) +
        IFERROR(
            VLOOKUP($A99, INDIRECT("SepR!$A$6:$ZZ$1048576"), MATCH(AJ$1, SepR!$6:$6, 0), FALSE),
            0
        ) +
        IFERROR(
            VLOOKUP($A99, INDIRECT("OctR!$A$6:$ZZ$1048576"), MATCH(AJ$1, OctR!$6:$6, 0), FALSE),
            0
        ) +
        IFERROR(
            VLOOKUP($A99, INDIRECT("NovR!$A$6:$ZZ$1048576"), MATCH(AJ$1, NovR!$6:$6, 0), FALSE),
            0
        ) +
        IFERROR(
            VLOOKUP($A99, INDIRECT("DicR!$A$6:$ZZ$1048576"), MATCH(AJ$1, DicR!$6:$6, 0), FALSE),
            0
        )
)</f>
        <v>0</v>
      </c>
      <c r="AK99" s="37">
        <f t="array" ref="AK99">SUM(
    IFERROR(
            VLOOKUP($A99, INDIRECT("EneR!$A$6:$ZZ$1048576"), MATCH(AK$1, EneR!$6:$6, 0), FALSE),
            0
        ) +
        IFERROR(
            VLOOKUP($A99, INDIRECT("FebR!$A$6:$ZZ$1048576"), MATCH(AK$1, FebR!$6:$6, 0), FALSE),
            0
        ) +
        IFERROR(
            VLOOKUP($A99, INDIRECT("MarR!$A$6:$ZZ$1048576"), MATCH(AK$1, MarR!$6:$6, 0), FALSE),
            0
        ) +
        IFERROR(
            VLOOKUP($A99, INDIRECT("AbrR!$A$6:$ZZ$1048576"), MATCH(AK$1, AbrR!$6:$6, 0), FALSE),
            0
        ) +
        IFERROR(
            VLOOKUP($A99, INDIRECT("MayR!$A$6:$ZZ$1048576"), MATCH(AK$1, MayR!$6:$6, 0), FALSE),
            0
        ) +
        IFERROR(
            VLOOKUP($A99, INDIRECT("JunR!$A$6:$ZZ$1048576"), MATCH(AK$1, JunR!$6:$6, 0), FALSE),
            0
        ) +
        IFERROR(
            VLOOKUP($A99, INDIRECT("JulR!$A$6:$ZZ$1048576"), MATCH(AK$1, JulR!$6:$6, 0), FALSE),
            0
        ) +
        IFERROR(
            VLOOKUP($A99, INDIRECT("AgoR!$A$6:$ZZ$1048576"), MATCH(AK$1, AgoR!$6:$6, 0), FALSE),
            0
        ) +
        IFERROR(
            VLOOKUP($A99, INDIRECT("SepR!$A$6:$ZZ$1048576"), MATCH(AK$1, SepR!$6:$6, 0), FALSE),
            0
        ) +
        IFERROR(
            VLOOKUP($A99, INDIRECT("OctR!$A$6:$ZZ$1048576"), MATCH(AK$1, OctR!$6:$6, 0), FALSE),
            0
        ) +
        IFERROR(
            VLOOKUP($A99, INDIRECT("NovR!$A$6:$ZZ$1048576"), MATCH(AK$1, NovR!$6:$6, 0), FALSE),
            0
        ) +
        IFERROR(
            VLOOKUP($A99, INDIRECT("DicR!$A$6:$ZZ$1048576"), MATCH(AK$1, DicR!$6:$6, 0), FALSE),
            0
        )
)</f>
        <v>0</v>
      </c>
      <c r="AL99" s="36">
        <f t="array" ref="AL99">SUM(
    IFERROR(
            VLOOKUP($A99, INDIRECT("EneR!$A$6:$ZZ$1048576"), MATCH(AL$1, EneR!$6:$6, 0), FALSE),
            0
        ) +
        IFERROR(
            VLOOKUP($A99, INDIRECT("FebR!$A$6:$ZZ$1048576"), MATCH(AL$1, FebR!$6:$6, 0), FALSE),
            0
        ) +
        IFERROR(
            VLOOKUP($A99, INDIRECT("MarR!$A$6:$ZZ$1048576"), MATCH(AL$1, MarR!$6:$6, 0), FALSE),
            0
        ) +
        IFERROR(
            VLOOKUP($A99, INDIRECT("AbrR!$A$6:$ZZ$1048576"), MATCH(AL$1, AbrR!$6:$6, 0), FALSE),
            0
        ) +
        IFERROR(
            VLOOKUP($A99, INDIRECT("MayR!$A$6:$ZZ$1048576"), MATCH(AL$1, MayR!$6:$6, 0), FALSE),
            0
        ) +
        IFERROR(
            VLOOKUP($A99, INDIRECT("JunR!$A$6:$ZZ$1048576"), MATCH(AL$1, JunR!$6:$6, 0), FALSE),
            0
        ) +
        IFERROR(
            VLOOKUP($A99, INDIRECT("JulR!$A$6:$ZZ$1048576"), MATCH(AL$1, JulR!$6:$6, 0), FALSE),
            0
        ) +
        IFERROR(
            VLOOKUP($A99, INDIRECT("AgoR!$A$6:$ZZ$1048576"), MATCH(AL$1, AgoR!$6:$6, 0), FALSE),
            0
        ) +
        IFERROR(
            VLOOKUP($A99, INDIRECT("SepR!$A$6:$ZZ$1048576"), MATCH(AL$1, SepR!$6:$6, 0), FALSE),
            0
        ) +
        IFERROR(
            VLOOKUP($A99, INDIRECT("OctR!$A$6:$ZZ$1048576"), MATCH(AL$1, OctR!$6:$6, 0), FALSE),
            0
        ) +
        IFERROR(
            VLOOKUP($A99, INDIRECT("NovR!$A$6:$ZZ$1048576"), MATCH(AL$1, NovR!$6:$6, 0), FALSE),
            0
        ) +
        IFERROR(
            VLOOKUP($A99, INDIRECT("DicR!$A$6:$ZZ$1048576"), MATCH(AL$1, DicR!$6:$6, 0), FALSE),
            0
        )
)</f>
        <v>0</v>
      </c>
      <c r="AM99" s="37">
        <f t="array" ref="AM99">SUM(
    IFERROR(
            VLOOKUP($A99, INDIRECT("EneR!$A$6:$ZZ$1048576"), MATCH(AM$1, EneR!$6:$6, 0), FALSE),
            0
        ) +
        IFERROR(
            VLOOKUP($A99, INDIRECT("FebR!$A$6:$ZZ$1048576"), MATCH(AM$1, FebR!$6:$6, 0), FALSE),
            0
        ) +
        IFERROR(
            VLOOKUP($A99, INDIRECT("MarR!$A$6:$ZZ$1048576"), MATCH(AM$1, MarR!$6:$6, 0), FALSE),
            0
        ) +
        IFERROR(
            VLOOKUP($A99, INDIRECT("AbrR!$A$6:$ZZ$1048576"), MATCH(AM$1, AbrR!$6:$6, 0), FALSE),
            0
        ) +
        IFERROR(
            VLOOKUP($A99, INDIRECT("MayR!$A$6:$ZZ$1048576"), MATCH(AM$1, MayR!$6:$6, 0), FALSE),
            0
        ) +
        IFERROR(
            VLOOKUP($A99, INDIRECT("JunR!$A$6:$ZZ$1048576"), MATCH(AM$1, JunR!$6:$6, 0), FALSE),
            0
        ) +
        IFERROR(
            VLOOKUP($A99, INDIRECT("JulR!$A$6:$ZZ$1048576"), MATCH(AM$1, JulR!$6:$6, 0), FALSE),
            0
        ) +
        IFERROR(
            VLOOKUP($A99, INDIRECT("AgoR!$A$6:$ZZ$1048576"), MATCH(AM$1, AgoR!$6:$6, 0), FALSE),
            0
        ) +
        IFERROR(
            VLOOKUP($A99, INDIRECT("SepR!$A$6:$ZZ$1048576"), MATCH(AM$1, SepR!$6:$6, 0), FALSE),
            0
        ) +
        IFERROR(
            VLOOKUP($A99, INDIRECT("OctR!$A$6:$ZZ$1048576"), MATCH(AM$1, OctR!$6:$6, 0), FALSE),
            0
        ) +
        IFERROR(
            VLOOKUP($A99, INDIRECT("NovR!$A$6:$ZZ$1048576"), MATCH(AM$1, NovR!$6:$6, 0), FALSE),
            0
        ) +
        IFERROR(
            VLOOKUP($A99, INDIRECT("DicR!$A$6:$ZZ$1048576"), MATCH(AM$1, DicR!$6:$6, 0), FALSE),
            0
        )
)</f>
        <v>0</v>
      </c>
      <c r="AN99" s="32">
        <f t="array" ref="AN99">SUM(
    IFERROR(
            VLOOKUP($A99, INDIRECT("EneR!$A$6:$ZZ$1048576"), MATCH(AN$1, EneR!$6:$6, 0), FALSE),
            0
        ) +
        IFERROR(
            VLOOKUP($A99, INDIRECT("FebR!$A$6:$ZZ$1048576"), MATCH(AN$1, FebR!$6:$6, 0), FALSE),
            0
        ) +
        IFERROR(
            VLOOKUP($A99, INDIRECT("MarR!$A$6:$ZZ$1048576"), MATCH(AN$1, MarR!$6:$6, 0), FALSE),
            0
        ) +
        IFERROR(
            VLOOKUP($A99, INDIRECT("AbrR!$A$6:$ZZ$1048576"), MATCH(AN$1, AbrR!$6:$6, 0), FALSE),
            0
        ) +
        IFERROR(
            VLOOKUP($A99, INDIRECT("MayR!$A$6:$ZZ$1048576"), MATCH(AN$1, MayR!$6:$6, 0), FALSE),
            0
        ) +
        IFERROR(
            VLOOKUP($A99, INDIRECT("JunR!$A$6:$ZZ$1048576"), MATCH(AN$1, JunR!$6:$6, 0), FALSE),
            0
        ) +
        IFERROR(
            VLOOKUP($A99, INDIRECT("JulR!$A$6:$ZZ$1048576"), MATCH(AN$1, JulR!$6:$6, 0), FALSE),
            0
        ) +
        IFERROR(
            VLOOKUP($A99, INDIRECT("AgoR!$A$6:$ZZ$1048576"), MATCH(AN$1, AgoR!$6:$6, 0), FALSE),
            0
        ) +
        IFERROR(
            VLOOKUP($A99, INDIRECT("SepR!$A$6:$ZZ$1048576"), MATCH(AN$1, SepR!$6:$6, 0), FALSE),
            0
        ) +
        IFERROR(
            VLOOKUP($A99, INDIRECT("OctR!$A$6:$ZZ$1048576"), MATCH(AN$1, OctR!$6:$6, 0), FALSE),
            0
        ) +
        IFERROR(
            VLOOKUP($A99, INDIRECT("NovR!$A$6:$ZZ$1048576"), MATCH(AN$1, NovR!$6:$6, 0), FALSE),
            0
        ) +
        IFERROR(
            VLOOKUP($A99, INDIRECT("DicR!$A$6:$ZZ$1048576"), MATCH(AN$1, DicR!$6:$6, 0), FALSE),
            0
        )
)</f>
        <v>0</v>
      </c>
      <c r="AO99" s="35">
        <f t="array" ref="AO99">SUM(
    IFERROR(
            VLOOKUP($A99, INDIRECT("EneR!$A$6:$ZZ$1048576"), MATCH(AO$1, EneR!$6:$6, 0), FALSE),
            0
        ) +
        IFERROR(
            VLOOKUP($A99, INDIRECT("FebR!$A$6:$ZZ$1048576"), MATCH(AO$1, FebR!$6:$6, 0), FALSE),
            0
        ) +
        IFERROR(
            VLOOKUP($A99, INDIRECT("MarR!$A$6:$ZZ$1048576"), MATCH(AO$1, MarR!$6:$6, 0), FALSE),
            0
        ) +
        IFERROR(
            VLOOKUP($A99, INDIRECT("AbrR!$A$6:$ZZ$1048576"), MATCH(AO$1, AbrR!$6:$6, 0), FALSE),
            0
        ) +
        IFERROR(
            VLOOKUP($A99, INDIRECT("MayR!$A$6:$ZZ$1048576"), MATCH(AO$1, MayR!$6:$6, 0), FALSE),
            0
        ) +
        IFERROR(
            VLOOKUP($A99, INDIRECT("JunR!$A$6:$ZZ$1048576"), MATCH(AO$1, JunR!$6:$6, 0), FALSE),
            0
        ) +
        IFERROR(
            VLOOKUP($A99, INDIRECT("JulR!$A$6:$ZZ$1048576"), MATCH(AO$1, JulR!$6:$6, 0), FALSE),
            0
        ) +
        IFERROR(
            VLOOKUP($A99, INDIRECT("AgoR!$A$6:$ZZ$1048576"), MATCH(AO$1, AgoR!$6:$6, 0), FALSE),
            0
        ) +
        IFERROR(
            VLOOKUP($A99, INDIRECT("SepR!$A$6:$ZZ$1048576"), MATCH(AO$1, SepR!$6:$6, 0), FALSE),
            0
        ) +
        IFERROR(
            VLOOKUP($A99, INDIRECT("OctR!$A$6:$ZZ$1048576"), MATCH(AO$1, OctR!$6:$6, 0), FALSE),
            0
        ) +
        IFERROR(
            VLOOKUP($A99, INDIRECT("NovR!$A$6:$ZZ$1048576"), MATCH(AO$1, NovR!$6:$6, 0), FALSE),
            0
        ) +
        IFERROR(
            VLOOKUP($A99, INDIRECT("DicR!$A$6:$ZZ$1048576"), MATCH(AO$1, DicR!$6:$6, 0), FALSE),
            0
        )
)</f>
        <v>0</v>
      </c>
      <c r="AP99" s="36">
        <f t="array" ref="AP99">SUM(
    IFERROR(
            VLOOKUP($A99, INDIRECT("EneR!$A$6:$ZZ$1048576"), MATCH(AP$1, EneR!$6:$6, 0), FALSE),
            0
        ) +
        IFERROR(
            VLOOKUP($A99, INDIRECT("FebR!$A$6:$ZZ$1048576"), MATCH(AP$1, FebR!$6:$6, 0), FALSE),
            0
        ) +
        IFERROR(
            VLOOKUP($A99, INDIRECT("MarR!$A$6:$ZZ$1048576"), MATCH(AP$1, MarR!$6:$6, 0), FALSE),
            0
        ) +
        IFERROR(
            VLOOKUP($A99, INDIRECT("AbrR!$A$6:$ZZ$1048576"), MATCH(AP$1, AbrR!$6:$6, 0), FALSE),
            0
        ) +
        IFERROR(
            VLOOKUP($A99, INDIRECT("MayR!$A$6:$ZZ$1048576"), MATCH(AP$1, MayR!$6:$6, 0), FALSE),
            0
        ) +
        IFERROR(
            VLOOKUP($A99, INDIRECT("JunR!$A$6:$ZZ$1048576"), MATCH(AP$1, JunR!$6:$6, 0), FALSE),
            0
        ) +
        IFERROR(
            VLOOKUP($A99, INDIRECT("JulR!$A$6:$ZZ$1048576"), MATCH(AP$1, JulR!$6:$6, 0), FALSE),
            0
        ) +
        IFERROR(
            VLOOKUP($A99, INDIRECT("AgoR!$A$6:$ZZ$1048576"), MATCH(AP$1, AgoR!$6:$6, 0), FALSE),
            0
        ) +
        IFERROR(
            VLOOKUP($A99, INDIRECT("SepR!$A$6:$ZZ$1048576"), MATCH(AP$1, SepR!$6:$6, 0), FALSE),
            0
        ) +
        IFERROR(
            VLOOKUP($A99, INDIRECT("OctR!$A$6:$ZZ$1048576"), MATCH(AP$1, OctR!$6:$6, 0), FALSE),
            0
        ) +
        IFERROR(
            VLOOKUP($A99, INDIRECT("NovR!$A$6:$ZZ$1048576"), MATCH(AP$1, NovR!$6:$6, 0), FALSE),
            0
        ) +
        IFERROR(
            VLOOKUP($A99, INDIRECT("DicR!$A$6:$ZZ$1048576"), MATCH(AP$1, DicR!$6:$6, 0), FALSE),
            0
        )
)</f>
        <v>0</v>
      </c>
      <c r="AQ99" s="35">
        <f t="array" ref="AQ99">SUM(
    IFERROR(
            VLOOKUP($A99, INDIRECT("EneR!$A$6:$ZZ$1048576"), MATCH(AQ$1, EneR!$6:$6, 0), FALSE),
            0
        ) +
        IFERROR(
            VLOOKUP($A99, INDIRECT("FebR!$A$6:$ZZ$1048576"), MATCH(AQ$1, FebR!$6:$6, 0), FALSE),
            0
        ) +
        IFERROR(
            VLOOKUP($A99, INDIRECT("MarR!$A$6:$ZZ$1048576"), MATCH(AQ$1, MarR!$6:$6, 0), FALSE),
            0
        ) +
        IFERROR(
            VLOOKUP($A99, INDIRECT("AbrR!$A$6:$ZZ$1048576"), MATCH(AQ$1, AbrR!$6:$6, 0), FALSE),
            0
        ) +
        IFERROR(
            VLOOKUP($A99, INDIRECT("MayR!$A$6:$ZZ$1048576"), MATCH(AQ$1, MayR!$6:$6, 0), FALSE),
            0
        ) +
        IFERROR(
            VLOOKUP($A99, INDIRECT("JunR!$A$6:$ZZ$1048576"), MATCH(AQ$1, JunR!$6:$6, 0), FALSE),
            0
        ) +
        IFERROR(
            VLOOKUP($A99, INDIRECT("JulR!$A$6:$ZZ$1048576"), MATCH(AQ$1, JulR!$6:$6, 0), FALSE),
            0
        ) +
        IFERROR(
            VLOOKUP($A99, INDIRECT("AgoR!$A$6:$ZZ$1048576"), MATCH(AQ$1, AgoR!$6:$6, 0), FALSE),
            0
        ) +
        IFERROR(
            VLOOKUP($A99, INDIRECT("SepR!$A$6:$ZZ$1048576"), MATCH(AQ$1, SepR!$6:$6, 0), FALSE),
            0
        ) +
        IFERROR(
            VLOOKUP($A99, INDIRECT("OctR!$A$6:$ZZ$1048576"), MATCH(AQ$1, OctR!$6:$6, 0), FALSE),
            0
        ) +
        IFERROR(
            VLOOKUP($A99, INDIRECT("NovR!$A$6:$ZZ$1048576"), MATCH(AQ$1, NovR!$6:$6, 0), FALSE),
            0
        ) +
        IFERROR(
            VLOOKUP($A99, INDIRECT("DicR!$A$6:$ZZ$1048576"), MATCH(AQ$1, DicR!$6:$6, 0), FALSE),
            0
        )
)</f>
        <v>0</v>
      </c>
      <c r="AR99" s="36">
        <f t="array" ref="AR99">SUM(
    IFERROR(
            VLOOKUP($A99, INDIRECT("EneR!$A$6:$ZZ$1048576"), MATCH(AR$1, EneR!$6:$6, 0), FALSE),
            0
        ) +
        IFERROR(
            VLOOKUP($A99, INDIRECT("FebR!$A$6:$ZZ$1048576"), MATCH(AR$1, FebR!$6:$6, 0), FALSE),
            0
        ) +
        IFERROR(
            VLOOKUP($A99, INDIRECT("MarR!$A$6:$ZZ$1048576"), MATCH(AR$1, MarR!$6:$6, 0), FALSE),
            0
        ) +
        IFERROR(
            VLOOKUP($A99, INDIRECT("AbrR!$A$6:$ZZ$1048576"), MATCH(AR$1, AbrR!$6:$6, 0), FALSE),
            0
        ) +
        IFERROR(
            VLOOKUP($A99, INDIRECT("MayR!$A$6:$ZZ$1048576"), MATCH(AR$1, MayR!$6:$6, 0), FALSE),
            0
        ) +
        IFERROR(
            VLOOKUP($A99, INDIRECT("JunR!$A$6:$ZZ$1048576"), MATCH(AR$1, JunR!$6:$6, 0), FALSE),
            0
        ) +
        IFERROR(
            VLOOKUP($A99, INDIRECT("JulR!$A$6:$ZZ$1048576"), MATCH(AR$1, JulR!$6:$6, 0), FALSE),
            0
        ) +
        IFERROR(
            VLOOKUP($A99, INDIRECT("AgoR!$A$6:$ZZ$1048576"), MATCH(AR$1, AgoR!$6:$6, 0), FALSE),
            0
        ) +
        IFERROR(
            VLOOKUP($A99, INDIRECT("SepR!$A$6:$ZZ$1048576"), MATCH(AR$1, SepR!$6:$6, 0), FALSE),
            0
        ) +
        IFERROR(
            VLOOKUP($A99, INDIRECT("OctR!$A$6:$ZZ$1048576"), MATCH(AR$1, OctR!$6:$6, 0), FALSE),
            0
        ) +
        IFERROR(
            VLOOKUP($A99, INDIRECT("NovR!$A$6:$ZZ$1048576"), MATCH(AR$1, NovR!$6:$6, 0), FALSE),
            0
        ) +
        IFERROR(
            VLOOKUP($A99, INDIRECT("DicR!$A$6:$ZZ$1048576"), MATCH(AR$1, DicR!$6:$6, 0), FALSE),
            0
        )
)</f>
        <v>0</v>
      </c>
      <c r="AS99" s="35">
        <f t="array" ref="AS99">SUM(
    IFERROR(
            VLOOKUP($A99, INDIRECT("EneR!$A$6:$ZZ$1048576"), MATCH(AS$1, EneR!$6:$6, 0), FALSE),
            0
        ) +
        IFERROR(
            VLOOKUP($A99, INDIRECT("FebR!$A$6:$ZZ$1048576"), MATCH(AS$1, FebR!$6:$6, 0), FALSE),
            0
        ) +
        IFERROR(
            VLOOKUP($A99, INDIRECT("MarR!$A$6:$ZZ$1048576"), MATCH(AS$1, MarR!$6:$6, 0), FALSE),
            0
        ) +
        IFERROR(
            VLOOKUP($A99, INDIRECT("AbrR!$A$6:$ZZ$1048576"), MATCH(AS$1, AbrR!$6:$6, 0), FALSE),
            0
        ) +
        IFERROR(
            VLOOKUP($A99, INDIRECT("MayR!$A$6:$ZZ$1048576"), MATCH(AS$1, MayR!$6:$6, 0), FALSE),
            0
        ) +
        IFERROR(
            VLOOKUP($A99, INDIRECT("JunR!$A$6:$ZZ$1048576"), MATCH(AS$1, JunR!$6:$6, 0), FALSE),
            0
        ) +
        IFERROR(
            VLOOKUP($A99, INDIRECT("JulR!$A$6:$ZZ$1048576"), MATCH(AS$1, JulR!$6:$6, 0), FALSE),
            0
        ) +
        IFERROR(
            VLOOKUP($A99, INDIRECT("AgoR!$A$6:$ZZ$1048576"), MATCH(AS$1, AgoR!$6:$6, 0), FALSE),
            0
        ) +
        IFERROR(
            VLOOKUP($A99, INDIRECT("SepR!$A$6:$ZZ$1048576"), MATCH(AS$1, SepR!$6:$6, 0), FALSE),
            0
        ) +
        IFERROR(
            VLOOKUP($A99, INDIRECT("OctR!$A$6:$ZZ$1048576"), MATCH(AS$1, OctR!$6:$6, 0), FALSE),
            0
        ) +
        IFERROR(
            VLOOKUP($A99, INDIRECT("NovR!$A$6:$ZZ$1048576"), MATCH(AS$1, NovR!$6:$6, 0), FALSE),
            0
        ) +
        IFERROR(
            VLOOKUP($A99, INDIRECT("DicR!$A$6:$ZZ$1048576"), MATCH(AS$1, DicR!$6:$6, 0), FALSE),
            0
        )
)</f>
        <v>0</v>
      </c>
      <c r="AT99" s="36">
        <f t="array" ref="AT99">SUM(
    IFERROR(
            VLOOKUP($A99, INDIRECT("EneR!$A$6:$ZZ$1048576"), MATCH(AT$1, EneR!$6:$6, 0), FALSE),
            0
        ) +
        IFERROR(
            VLOOKUP($A99, INDIRECT("FebR!$A$6:$ZZ$1048576"), MATCH(AT$1, FebR!$6:$6, 0), FALSE),
            0
        ) +
        IFERROR(
            VLOOKUP($A99, INDIRECT("MarR!$A$6:$ZZ$1048576"), MATCH(AT$1, MarR!$6:$6, 0), FALSE),
            0
        ) +
        IFERROR(
            VLOOKUP($A99, INDIRECT("AbrR!$A$6:$ZZ$1048576"), MATCH(AT$1, AbrR!$6:$6, 0), FALSE),
            0
        ) +
        IFERROR(
            VLOOKUP($A99, INDIRECT("MayR!$A$6:$ZZ$1048576"), MATCH(AT$1, MayR!$6:$6, 0), FALSE),
            0
        ) +
        IFERROR(
            VLOOKUP($A99, INDIRECT("JunR!$A$6:$ZZ$1048576"), MATCH(AT$1, JunR!$6:$6, 0), FALSE),
            0
        ) +
        IFERROR(
            VLOOKUP($A99, INDIRECT("JulR!$A$6:$ZZ$1048576"), MATCH(AT$1, JulR!$6:$6, 0), FALSE),
            0
        ) +
        IFERROR(
            VLOOKUP($A99, INDIRECT("AgoR!$A$6:$ZZ$1048576"), MATCH(AT$1, AgoR!$6:$6, 0), FALSE),
            0
        ) +
        IFERROR(
            VLOOKUP($A99, INDIRECT("SepR!$A$6:$ZZ$1048576"), MATCH(AT$1, SepR!$6:$6, 0), FALSE),
            0
        ) +
        IFERROR(
            VLOOKUP($A99, INDIRECT("OctR!$A$6:$ZZ$1048576"), MATCH(AT$1, OctR!$6:$6, 0), FALSE),
            0
        ) +
        IFERROR(
            VLOOKUP($A99, INDIRECT("NovR!$A$6:$ZZ$1048576"), MATCH(AT$1, NovR!$6:$6, 0), FALSE),
            0
        ) +
        IFERROR(
            VLOOKUP($A99, INDIRECT("DicR!$A$6:$ZZ$1048576"), MATCH(AT$1, DicR!$6:$6, 0), FALSE),
            0
        )
)</f>
        <v>0</v>
      </c>
      <c r="AU99" s="35">
        <f t="array" ref="AU99">SUM(
    IFERROR(
            VLOOKUP($A99, INDIRECT("EneR!$A$6:$ZZ$1048576"), MATCH(AU$1, EneR!$6:$6, 0), FALSE),
            0
        ) +
        IFERROR(
            VLOOKUP($A99, INDIRECT("FebR!$A$6:$ZZ$1048576"), MATCH(AU$1, FebR!$6:$6, 0), FALSE),
            0
        ) +
        IFERROR(
            VLOOKUP($A99, INDIRECT("MarR!$A$6:$ZZ$1048576"), MATCH(AU$1, MarR!$6:$6, 0), FALSE),
            0
        ) +
        IFERROR(
            VLOOKUP($A99, INDIRECT("AbrR!$A$6:$ZZ$1048576"), MATCH(AU$1, AbrR!$6:$6, 0), FALSE),
            0
        ) +
        IFERROR(
            VLOOKUP($A99, INDIRECT("MayR!$A$6:$ZZ$1048576"), MATCH(AU$1, MayR!$6:$6, 0), FALSE),
            0
        ) +
        IFERROR(
            VLOOKUP($A99, INDIRECT("JunR!$A$6:$ZZ$1048576"), MATCH(AU$1, JunR!$6:$6, 0), FALSE),
            0
        ) +
        IFERROR(
            VLOOKUP($A99, INDIRECT("JulR!$A$6:$ZZ$1048576"), MATCH(AU$1, JulR!$6:$6, 0), FALSE),
            0
        ) +
        IFERROR(
            VLOOKUP($A99, INDIRECT("AgoR!$A$6:$ZZ$1048576"), MATCH(AU$1, AgoR!$6:$6, 0), FALSE),
            0
        ) +
        IFERROR(
            VLOOKUP($A99, INDIRECT("SepR!$A$6:$ZZ$1048576"), MATCH(AU$1, SepR!$6:$6, 0), FALSE),
            0
        ) +
        IFERROR(
            VLOOKUP($A99, INDIRECT("OctR!$A$6:$ZZ$1048576"), MATCH(AU$1, OctR!$6:$6, 0), FALSE),
            0
        ) +
        IFERROR(
            VLOOKUP($A99, INDIRECT("NovR!$A$6:$ZZ$1048576"), MATCH(AU$1, NovR!$6:$6, 0), FALSE),
            0
        ) +
        IFERROR(
            VLOOKUP($A99, INDIRECT("DicR!$A$6:$ZZ$1048576"), MATCH(AU$1, DicR!$6:$6, 0), FALSE),
            0
        )
)</f>
        <v>0</v>
      </c>
      <c r="AV99" s="36">
        <f t="array" ref="AV99">SUM(
    IFERROR(
            VLOOKUP($A99, INDIRECT("EneR!$A$6:$ZZ$1048576"), MATCH(AV$1, EneR!$6:$6, 0), FALSE),
            0
        ) +
        IFERROR(
            VLOOKUP($A99, INDIRECT("FebR!$A$6:$ZZ$1048576"), MATCH(AV$1, FebR!$6:$6, 0), FALSE),
            0
        ) +
        IFERROR(
            VLOOKUP($A99, INDIRECT("MarR!$A$6:$ZZ$1048576"), MATCH(AV$1, MarR!$6:$6, 0), FALSE),
            0
        ) +
        IFERROR(
            VLOOKUP($A99, INDIRECT("AbrR!$A$6:$ZZ$1048576"), MATCH(AV$1, AbrR!$6:$6, 0), FALSE),
            0
        ) +
        IFERROR(
            VLOOKUP($A99, INDIRECT("MayR!$A$6:$ZZ$1048576"), MATCH(AV$1, MayR!$6:$6, 0), FALSE),
            0
        ) +
        IFERROR(
            VLOOKUP($A99, INDIRECT("JunR!$A$6:$ZZ$1048576"), MATCH(AV$1, JunR!$6:$6, 0), FALSE),
            0
        ) +
        IFERROR(
            VLOOKUP($A99, INDIRECT("JulR!$A$6:$ZZ$1048576"), MATCH(AV$1, JulR!$6:$6, 0), FALSE),
            0
        ) +
        IFERROR(
            VLOOKUP($A99, INDIRECT("AgoR!$A$6:$ZZ$1048576"), MATCH(AV$1, AgoR!$6:$6, 0), FALSE),
            0
        ) +
        IFERROR(
            VLOOKUP($A99, INDIRECT("SepR!$A$6:$ZZ$1048576"), MATCH(AV$1, SepR!$6:$6, 0), FALSE),
            0
        ) +
        IFERROR(
            VLOOKUP($A99, INDIRECT("OctR!$A$6:$ZZ$1048576"), MATCH(AV$1, OctR!$6:$6, 0), FALSE),
            0
        ) +
        IFERROR(
            VLOOKUP($A99, INDIRECT("NovR!$A$6:$ZZ$1048576"), MATCH(AV$1, NovR!$6:$6, 0), FALSE),
            0
        ) +
        IFERROR(
            VLOOKUP($A99, INDIRECT("DicR!$A$6:$ZZ$1048576"), MATCH(AV$1, DicR!$6:$6, 0), FALSE),
            0
        )
)</f>
        <v>0</v>
      </c>
      <c r="AW99" s="35">
        <f t="array" ref="AW99">SUM(
    IFERROR(
            VLOOKUP($A99, INDIRECT("EneR!$A$6:$ZZ$1048576"), MATCH(AW$1, EneR!$6:$6, 0), FALSE),
            0
        ) +
        IFERROR(
            VLOOKUP($A99, INDIRECT("FebR!$A$6:$ZZ$1048576"), MATCH(AW$1, FebR!$6:$6, 0), FALSE),
            0
        ) +
        IFERROR(
            VLOOKUP($A99, INDIRECT("MarR!$A$6:$ZZ$1048576"), MATCH(AW$1, MarR!$6:$6, 0), FALSE),
            0
        ) +
        IFERROR(
            VLOOKUP($A99, INDIRECT("AbrR!$A$6:$ZZ$1048576"), MATCH(AW$1, AbrR!$6:$6, 0), FALSE),
            0
        ) +
        IFERROR(
            VLOOKUP($A99, INDIRECT("MayR!$A$6:$ZZ$1048576"), MATCH(AW$1, MayR!$6:$6, 0), FALSE),
            0
        ) +
        IFERROR(
            VLOOKUP($A99, INDIRECT("JunR!$A$6:$ZZ$1048576"), MATCH(AW$1, JunR!$6:$6, 0), FALSE),
            0
        ) +
        IFERROR(
            VLOOKUP($A99, INDIRECT("JulR!$A$6:$ZZ$1048576"), MATCH(AW$1, JulR!$6:$6, 0), FALSE),
            0
        ) +
        IFERROR(
            VLOOKUP($A99, INDIRECT("AgoR!$A$6:$ZZ$1048576"), MATCH(AW$1, AgoR!$6:$6, 0), FALSE),
            0
        ) +
        IFERROR(
            VLOOKUP($A99, INDIRECT("SepR!$A$6:$ZZ$1048576"), MATCH(AW$1, SepR!$6:$6, 0), FALSE),
            0
        ) +
        IFERROR(
            VLOOKUP($A99, INDIRECT("OctR!$A$6:$ZZ$1048576"), MATCH(AW$1, OctR!$6:$6, 0), FALSE),
            0
        ) +
        IFERROR(
            VLOOKUP($A99, INDIRECT("NovR!$A$6:$ZZ$1048576"), MATCH(AW$1, NovR!$6:$6, 0), FALSE),
            0
        ) +
        IFERROR(
            VLOOKUP($A99, INDIRECT("DicR!$A$6:$ZZ$1048576"), MATCH(AW$1, DicR!$6:$6, 0), FALSE),
            0
        )
)</f>
        <v>0</v>
      </c>
      <c r="AX99" s="36">
        <f t="array" ref="AX99">SUM(
    IFERROR(
            VLOOKUP($A99, INDIRECT("EneR!$A$6:$ZZ$1048576"), MATCH(AX$1, EneR!$6:$6, 0), FALSE),
            0
        ) +
        IFERROR(
            VLOOKUP($A99, INDIRECT("FebR!$A$6:$ZZ$1048576"), MATCH(AX$1, FebR!$6:$6, 0), FALSE),
            0
        ) +
        IFERROR(
            VLOOKUP($A99, INDIRECT("MarR!$A$6:$ZZ$1048576"), MATCH(AX$1, MarR!$6:$6, 0), FALSE),
            0
        ) +
        IFERROR(
            VLOOKUP($A99, INDIRECT("AbrR!$A$6:$ZZ$1048576"), MATCH(AX$1, AbrR!$6:$6, 0), FALSE),
            0
        ) +
        IFERROR(
            VLOOKUP($A99, INDIRECT("MayR!$A$6:$ZZ$1048576"), MATCH(AX$1, MayR!$6:$6, 0), FALSE),
            0
        ) +
        IFERROR(
            VLOOKUP($A99, INDIRECT("JunR!$A$6:$ZZ$1048576"), MATCH(AX$1, JunR!$6:$6, 0), FALSE),
            0
        ) +
        IFERROR(
            VLOOKUP($A99, INDIRECT("JulR!$A$6:$ZZ$1048576"), MATCH(AX$1, JulR!$6:$6, 0), FALSE),
            0
        ) +
        IFERROR(
            VLOOKUP($A99, INDIRECT("AgoR!$A$6:$ZZ$1048576"), MATCH(AX$1, AgoR!$6:$6, 0), FALSE),
            0
        ) +
        IFERROR(
            VLOOKUP($A99, INDIRECT("SepR!$A$6:$ZZ$1048576"), MATCH(AX$1, SepR!$6:$6, 0), FALSE),
            0
        ) +
        IFERROR(
            VLOOKUP($A99, INDIRECT("OctR!$A$6:$ZZ$1048576"), MATCH(AX$1, OctR!$6:$6, 0), FALSE),
            0
        ) +
        IFERROR(
            VLOOKUP($A99, INDIRECT("NovR!$A$6:$ZZ$1048576"), MATCH(AX$1, NovR!$6:$6, 0), FALSE),
            0
        ) +
        IFERROR(
            VLOOKUP($A99, INDIRECT("DicR!$A$6:$ZZ$1048576"), MATCH(AX$1, DicR!$6:$6, 0), FALSE),
            0
        )
)</f>
        <v>0</v>
      </c>
      <c r="AY99" s="35">
        <f t="array" ref="AY99">SUM(
    IFERROR(
            VLOOKUP($A99, INDIRECT("EneR!$A$6:$ZZ$1048576"), MATCH(AY$1, EneR!$6:$6, 0), FALSE),
            0
        ) +
        IFERROR(
            VLOOKUP($A99, INDIRECT("FebR!$A$6:$ZZ$1048576"), MATCH(AY$1, FebR!$6:$6, 0), FALSE),
            0
        ) +
        IFERROR(
            VLOOKUP($A99, INDIRECT("MarR!$A$6:$ZZ$1048576"), MATCH(AY$1, MarR!$6:$6, 0), FALSE),
            0
        ) +
        IFERROR(
            VLOOKUP($A99, INDIRECT("AbrR!$A$6:$ZZ$1048576"), MATCH(AY$1, AbrR!$6:$6, 0), FALSE),
            0
        ) +
        IFERROR(
            VLOOKUP($A99, INDIRECT("MayR!$A$6:$ZZ$1048576"), MATCH(AY$1, MayR!$6:$6, 0), FALSE),
            0
        ) +
        IFERROR(
            VLOOKUP($A99, INDIRECT("JunR!$A$6:$ZZ$1048576"), MATCH(AY$1, JunR!$6:$6, 0), FALSE),
            0
        ) +
        IFERROR(
            VLOOKUP($A99, INDIRECT("JulR!$A$6:$ZZ$1048576"), MATCH(AY$1, JulR!$6:$6, 0), FALSE),
            0
        ) +
        IFERROR(
            VLOOKUP($A99, INDIRECT("AgoR!$A$6:$ZZ$1048576"), MATCH(AY$1, AgoR!$6:$6, 0), FALSE),
            0
        ) +
        IFERROR(
            VLOOKUP($A99, INDIRECT("SepR!$A$6:$ZZ$1048576"), MATCH(AY$1, SepR!$6:$6, 0), FALSE),
            0
        ) +
        IFERROR(
            VLOOKUP($A99, INDIRECT("OctR!$A$6:$ZZ$1048576"), MATCH(AY$1, OctR!$6:$6, 0), FALSE),
            0
        ) +
        IFERROR(
            VLOOKUP($A99, INDIRECT("NovR!$A$6:$ZZ$1048576"), MATCH(AY$1, NovR!$6:$6, 0), FALSE),
            0
        ) +
        IFERROR(
            VLOOKUP($A99, INDIRECT("DicR!$A$6:$ZZ$1048576"), MATCH(AY$1, DicR!$6:$6, 0), FALSE),
            0
        )
)</f>
        <v>0</v>
      </c>
      <c r="AZ99" s="35"/>
    </row>
    <row r="100" ht="15.75" hidden="1" customHeight="1">
      <c r="A100" s="12" t="str">
        <f>Menus!B61</f>
        <v/>
      </c>
      <c r="B100" s="32">
        <f t="shared" si="11"/>
        <v>0</v>
      </c>
      <c r="C100" s="33" t="str">
        <f t="shared" si="10"/>
        <v/>
      </c>
      <c r="D100" s="34">
        <f t="array" ref="D100">SUM(
    IFERROR(
            VLOOKUP($A100, INDIRECT("EneR!$A$6:$ZZ$1048576"), MATCH(D$1, EneR!$6:$6, 0), FALSE),
            0
        ) +
        IFERROR(
            VLOOKUP($A100, INDIRECT("FebR!$A$6:$ZZ$1048576"), MATCH(D$1, FebR!$6:$6, 0), FALSE),
            0
        ) +
        IFERROR(
            VLOOKUP($A100, INDIRECT("MarR!$A$6:$ZZ$1048576"), MATCH(D$1, MarR!$6:$6, 0), FALSE),
            0
        ) +
        IFERROR(
            VLOOKUP($A100, INDIRECT("AbrR!$A$6:$ZZ$1048576"), MATCH(D$1, AbrR!$6:$6, 0), FALSE),
            0
        ) +
        IFERROR(
            VLOOKUP($A100, INDIRECT("MayR!$A$6:$ZZ$1048576"), MATCH(D$1, MayR!$6:$6, 0), FALSE),
            0
        ) +
        IFERROR(
            VLOOKUP($A100, INDIRECT("JunR!$A$6:$ZZ$1048576"), MATCH(D$1, JunR!$6:$6, 0), FALSE),
            0
        ) +
        IFERROR(
            VLOOKUP($A100, INDIRECT("JulR!$A$6:$ZZ$1048576"), MATCH(D$1, JulR!$6:$6, 0), FALSE),
            0
        ) +
        IFERROR(
            VLOOKUP($A100, INDIRECT("AgoR!$A$6:$ZZ$1048576"), MATCH(D$1, AgoR!$6:$6, 0), FALSE),
            0
        ) +
        IFERROR(
            VLOOKUP($A100, INDIRECT("SepR!$A$6:$ZZ$1048576"), MATCH(D$1, SepR!$6:$6, 0), FALSE),
            0
        ) +
        IFERROR(
            VLOOKUP($A100, INDIRECT("OctR!$A$6:$ZZ$1048576"), MATCH(D$1, OctR!$6:$6, 0), FALSE),
            0
        ) +
        IFERROR(
            VLOOKUP($A100, INDIRECT("NovR!$A$6:$ZZ$1048576"), MATCH(D$1, NovR!$6:$6, 0), FALSE),
            0
        ) +
        IFERROR(
            VLOOKUP($A100, INDIRECT("DicR!$A$6:$ZZ$1048576"), MATCH(D$1, DicR!$6:$6, 0), FALSE),
            0
        )
)</f>
        <v>0</v>
      </c>
      <c r="E100" s="35">
        <f t="array" ref="E100">SUM(
    IFERROR(
            VLOOKUP($A100, INDIRECT("EneR!$A$6:$ZZ$1048576"), MATCH(E$1, EneR!$6:$6, 0), FALSE),
            0
        ) +
        IFERROR(
            VLOOKUP($A100, INDIRECT("FebR!$A$6:$ZZ$1048576"), MATCH(E$1, FebR!$6:$6, 0), FALSE),
            0
        ) +
        IFERROR(
            VLOOKUP($A100, INDIRECT("MarR!$A$6:$ZZ$1048576"), MATCH(E$1, MarR!$6:$6, 0), FALSE),
            0
        ) +
        IFERROR(
            VLOOKUP($A100, INDIRECT("AbrR!$A$6:$ZZ$1048576"), MATCH(E$1, AbrR!$6:$6, 0), FALSE),
            0
        ) +
        IFERROR(
            VLOOKUP($A100, INDIRECT("MayR!$A$6:$ZZ$1048576"), MATCH(E$1, MayR!$6:$6, 0), FALSE),
            0
        ) +
        IFERROR(
            VLOOKUP($A100, INDIRECT("JunR!$A$6:$ZZ$1048576"), MATCH(E$1, JunR!$6:$6, 0), FALSE),
            0
        ) +
        IFERROR(
            VLOOKUP($A100, INDIRECT("JulR!$A$6:$ZZ$1048576"), MATCH(E$1, JulR!$6:$6, 0), FALSE),
            0
        ) +
        IFERROR(
            VLOOKUP($A100, INDIRECT("AgoR!$A$6:$ZZ$1048576"), MATCH(E$1, AgoR!$6:$6, 0), FALSE),
            0
        ) +
        IFERROR(
            VLOOKUP($A100, INDIRECT("SepR!$A$6:$ZZ$1048576"), MATCH(E$1, SepR!$6:$6, 0), FALSE),
            0
        ) +
        IFERROR(
            VLOOKUP($A100, INDIRECT("OctR!$A$6:$ZZ$1048576"), MATCH(E$1, OctR!$6:$6, 0), FALSE),
            0
        ) +
        IFERROR(
            VLOOKUP($A100, INDIRECT("NovR!$A$6:$ZZ$1048576"), MATCH(E$1, NovR!$6:$6, 0), FALSE),
            0
        ) +
        IFERROR(
            VLOOKUP($A100, INDIRECT("DicR!$A$6:$ZZ$1048576"), MATCH(E$1, DicR!$6:$6, 0), FALSE),
            0
        )
)</f>
        <v>0</v>
      </c>
      <c r="F100" s="32">
        <f t="array" ref="F100">SUM(
    IFERROR(
            VLOOKUP($A100, INDIRECT("EneR!$A$6:$ZZ$1048576"), MATCH(F$1, EneR!$6:$6, 0), FALSE),
            0
        ) +
        IFERROR(
            VLOOKUP($A100, INDIRECT("FebR!$A$6:$ZZ$1048576"), MATCH(F$1, FebR!$6:$6, 0), FALSE),
            0
        ) +
        IFERROR(
            VLOOKUP($A100, INDIRECT("MarR!$A$6:$ZZ$1048576"), MATCH(F$1, MarR!$6:$6, 0), FALSE),
            0
        ) +
        IFERROR(
            VLOOKUP($A100, INDIRECT("AbrR!$A$6:$ZZ$1048576"), MATCH(F$1, AbrR!$6:$6, 0), FALSE),
            0
        ) +
        IFERROR(
            VLOOKUP($A100, INDIRECT("MayR!$A$6:$ZZ$1048576"), MATCH(F$1, MayR!$6:$6, 0), FALSE),
            0
        ) +
        IFERROR(
            VLOOKUP($A100, INDIRECT("JunR!$A$6:$ZZ$1048576"), MATCH(F$1, JunR!$6:$6, 0), FALSE),
            0
        ) +
        IFERROR(
            VLOOKUP($A100, INDIRECT("JulR!$A$6:$ZZ$1048576"), MATCH(F$1, JulR!$6:$6, 0), FALSE),
            0
        ) +
        IFERROR(
            VLOOKUP($A100, INDIRECT("AgoR!$A$6:$ZZ$1048576"), MATCH(F$1, AgoR!$6:$6, 0), FALSE),
            0
        ) +
        IFERROR(
            VLOOKUP($A100, INDIRECT("SepR!$A$6:$ZZ$1048576"), MATCH(F$1, SepR!$6:$6, 0), FALSE),
            0
        ) +
        IFERROR(
            VLOOKUP($A100, INDIRECT("OctR!$A$6:$ZZ$1048576"), MATCH(F$1, OctR!$6:$6, 0), FALSE),
            0
        ) +
        IFERROR(
            VLOOKUP($A100, INDIRECT("NovR!$A$6:$ZZ$1048576"), MATCH(F$1, NovR!$6:$6, 0), FALSE),
            0
        ) +
        IFERROR(
            VLOOKUP($A100, INDIRECT("DicR!$A$6:$ZZ$1048576"), MATCH(F$1, DicR!$6:$6, 0), FALSE),
            0
        )
)</f>
        <v>0</v>
      </c>
      <c r="G100" s="35">
        <f t="array" ref="G100">SUM(
    IFERROR(
            VLOOKUP($A100, INDIRECT("EneR!$A$6:$ZZ$1048576"), MATCH(G$1, EneR!$6:$6, 0), FALSE),
            0
        ) +
        IFERROR(
            VLOOKUP($A100, INDIRECT("FebR!$A$6:$ZZ$1048576"), MATCH(G$1, FebR!$6:$6, 0), FALSE),
            0
        ) +
        IFERROR(
            VLOOKUP($A100, INDIRECT("MarR!$A$6:$ZZ$1048576"), MATCH(G$1, MarR!$6:$6, 0), FALSE),
            0
        ) +
        IFERROR(
            VLOOKUP($A100, INDIRECT("AbrR!$A$6:$ZZ$1048576"), MATCH(G$1, AbrR!$6:$6, 0), FALSE),
            0
        ) +
        IFERROR(
            VLOOKUP($A100, INDIRECT("MayR!$A$6:$ZZ$1048576"), MATCH(G$1, MayR!$6:$6, 0), FALSE),
            0
        ) +
        IFERROR(
            VLOOKUP($A100, INDIRECT("JunR!$A$6:$ZZ$1048576"), MATCH(G$1, JunR!$6:$6, 0), FALSE),
            0
        ) +
        IFERROR(
            VLOOKUP($A100, INDIRECT("JulR!$A$6:$ZZ$1048576"), MATCH(G$1, JulR!$6:$6, 0), FALSE),
            0
        ) +
        IFERROR(
            VLOOKUP($A100, INDIRECT("AgoR!$A$6:$ZZ$1048576"), MATCH(G$1, AgoR!$6:$6, 0), FALSE),
            0
        ) +
        IFERROR(
            VLOOKUP($A100, INDIRECT("SepR!$A$6:$ZZ$1048576"), MATCH(G$1, SepR!$6:$6, 0), FALSE),
            0
        ) +
        IFERROR(
            VLOOKUP($A100, INDIRECT("OctR!$A$6:$ZZ$1048576"), MATCH(G$1, OctR!$6:$6, 0), FALSE),
            0
        ) +
        IFERROR(
            VLOOKUP($A100, INDIRECT("NovR!$A$6:$ZZ$1048576"), MATCH(G$1, NovR!$6:$6, 0), FALSE),
            0
        ) +
        IFERROR(
            VLOOKUP($A100, INDIRECT("DicR!$A$6:$ZZ$1048576"), MATCH(G$1, DicR!$6:$6, 0), FALSE),
            0
        )
)</f>
        <v>0</v>
      </c>
      <c r="H100" s="32">
        <f t="array" ref="H100">SUM(
    IFERROR(
            VLOOKUP($A100, INDIRECT("EneR!$A$6:$ZZ$1048576"), MATCH(H$1, EneR!$6:$6, 0), FALSE),
            0
        ) +
        IFERROR(
            VLOOKUP($A100, INDIRECT("FebR!$A$6:$ZZ$1048576"), MATCH(H$1, FebR!$6:$6, 0), FALSE),
            0
        ) +
        IFERROR(
            VLOOKUP($A100, INDIRECT("MarR!$A$6:$ZZ$1048576"), MATCH(H$1, MarR!$6:$6, 0), FALSE),
            0
        ) +
        IFERROR(
            VLOOKUP($A100, INDIRECT("AbrR!$A$6:$ZZ$1048576"), MATCH(H$1, AbrR!$6:$6, 0), FALSE),
            0
        ) +
        IFERROR(
            VLOOKUP($A100, INDIRECT("MayR!$A$6:$ZZ$1048576"), MATCH(H$1, MayR!$6:$6, 0), FALSE),
            0
        ) +
        IFERROR(
            VLOOKUP($A100, INDIRECT("JunR!$A$6:$ZZ$1048576"), MATCH(H$1, JunR!$6:$6, 0), FALSE),
            0
        ) +
        IFERROR(
            VLOOKUP($A100, INDIRECT("JulR!$A$6:$ZZ$1048576"), MATCH(H$1, JulR!$6:$6, 0), FALSE),
            0
        ) +
        IFERROR(
            VLOOKUP($A100, INDIRECT("AgoR!$A$6:$ZZ$1048576"), MATCH(H$1, AgoR!$6:$6, 0), FALSE),
            0
        ) +
        IFERROR(
            VLOOKUP($A100, INDIRECT("SepR!$A$6:$ZZ$1048576"), MATCH(H$1, SepR!$6:$6, 0), FALSE),
            0
        ) +
        IFERROR(
            VLOOKUP($A100, INDIRECT("OctR!$A$6:$ZZ$1048576"), MATCH(H$1, OctR!$6:$6, 0), FALSE),
            0
        ) +
        IFERROR(
            VLOOKUP($A100, INDIRECT("NovR!$A$6:$ZZ$1048576"), MATCH(H$1, NovR!$6:$6, 0), FALSE),
            0
        ) +
        IFERROR(
            VLOOKUP($A100, INDIRECT("DicR!$A$6:$ZZ$1048576"), MATCH(H$1, DicR!$6:$6, 0), FALSE),
            0
        )
)</f>
        <v>0</v>
      </c>
      <c r="I100" s="35">
        <f t="array" ref="I100">SUM(
    IFERROR(
            VLOOKUP($A100, INDIRECT("EneR!$A$6:$ZZ$1048576"), MATCH(I$1, EneR!$6:$6, 0), FALSE),
            0
        ) +
        IFERROR(
            VLOOKUP($A100, INDIRECT("FebR!$A$6:$ZZ$1048576"), MATCH(I$1, FebR!$6:$6, 0), FALSE),
            0
        ) +
        IFERROR(
            VLOOKUP($A100, INDIRECT("MarR!$A$6:$ZZ$1048576"), MATCH(I$1, MarR!$6:$6, 0), FALSE),
            0
        ) +
        IFERROR(
            VLOOKUP($A100, INDIRECT("AbrR!$A$6:$ZZ$1048576"), MATCH(I$1, AbrR!$6:$6, 0), FALSE),
            0
        ) +
        IFERROR(
            VLOOKUP($A100, INDIRECT("MayR!$A$6:$ZZ$1048576"), MATCH(I$1, MayR!$6:$6, 0), FALSE),
            0
        ) +
        IFERROR(
            VLOOKUP($A100, INDIRECT("JunR!$A$6:$ZZ$1048576"), MATCH(I$1, JunR!$6:$6, 0), FALSE),
            0
        ) +
        IFERROR(
            VLOOKUP($A100, INDIRECT("JulR!$A$6:$ZZ$1048576"), MATCH(I$1, JulR!$6:$6, 0), FALSE),
            0
        ) +
        IFERROR(
            VLOOKUP($A100, INDIRECT("AgoR!$A$6:$ZZ$1048576"), MATCH(I$1, AgoR!$6:$6, 0), FALSE),
            0
        ) +
        IFERROR(
            VLOOKUP($A100, INDIRECT("SepR!$A$6:$ZZ$1048576"), MATCH(I$1, SepR!$6:$6, 0), FALSE),
            0
        ) +
        IFERROR(
            VLOOKUP($A100, INDIRECT("OctR!$A$6:$ZZ$1048576"), MATCH(I$1, OctR!$6:$6, 0), FALSE),
            0
        ) +
        IFERROR(
            VLOOKUP($A100, INDIRECT("NovR!$A$6:$ZZ$1048576"), MATCH(I$1, NovR!$6:$6, 0), FALSE),
            0
        ) +
        IFERROR(
            VLOOKUP($A100, INDIRECT("DicR!$A$6:$ZZ$1048576"), MATCH(I$1, DicR!$6:$6, 0), FALSE),
            0
        )
)</f>
        <v>0</v>
      </c>
      <c r="J100" s="32">
        <f t="array" ref="J100">SUM(
    IFERROR(
            VLOOKUP($A100, INDIRECT("EneR!$A$6:$ZZ$1048576"), MATCH(J$1, EneR!$6:$6, 0), FALSE),
            0
        ) +
        IFERROR(
            VLOOKUP($A100, INDIRECT("FebR!$A$6:$ZZ$1048576"), MATCH(J$1, FebR!$6:$6, 0), FALSE),
            0
        ) +
        IFERROR(
            VLOOKUP($A100, INDIRECT("MarR!$A$6:$ZZ$1048576"), MATCH(J$1, MarR!$6:$6, 0), FALSE),
            0
        ) +
        IFERROR(
            VLOOKUP($A100, INDIRECT("AbrR!$A$6:$ZZ$1048576"), MATCH(J$1, AbrR!$6:$6, 0), FALSE),
            0
        ) +
        IFERROR(
            VLOOKUP($A100, INDIRECT("MayR!$A$6:$ZZ$1048576"), MATCH(J$1, MayR!$6:$6, 0), FALSE),
            0
        ) +
        IFERROR(
            VLOOKUP($A100, INDIRECT("JunR!$A$6:$ZZ$1048576"), MATCH(J$1, JunR!$6:$6, 0), FALSE),
            0
        ) +
        IFERROR(
            VLOOKUP($A100, INDIRECT("JulR!$A$6:$ZZ$1048576"), MATCH(J$1, JulR!$6:$6, 0), FALSE),
            0
        ) +
        IFERROR(
            VLOOKUP($A100, INDIRECT("AgoR!$A$6:$ZZ$1048576"), MATCH(J$1, AgoR!$6:$6, 0), FALSE),
            0
        ) +
        IFERROR(
            VLOOKUP($A100, INDIRECT("SepR!$A$6:$ZZ$1048576"), MATCH(J$1, SepR!$6:$6, 0), FALSE),
            0
        ) +
        IFERROR(
            VLOOKUP($A100, INDIRECT("OctR!$A$6:$ZZ$1048576"), MATCH(J$1, OctR!$6:$6, 0), FALSE),
            0
        ) +
        IFERROR(
            VLOOKUP($A100, INDIRECT("NovR!$A$6:$ZZ$1048576"), MATCH(J$1, NovR!$6:$6, 0), FALSE),
            0
        ) +
        IFERROR(
            VLOOKUP($A100, INDIRECT("DicR!$A$6:$ZZ$1048576"), MATCH(J$1, DicR!$6:$6, 0), FALSE),
            0
        )
)</f>
        <v>0</v>
      </c>
      <c r="K100" s="35">
        <f t="array" ref="K100">SUM(
    IFERROR(
            VLOOKUP($A100, INDIRECT("EneR!$A$6:$ZZ$1048576"), MATCH(K$1, EneR!$6:$6, 0), FALSE),
            0
        ) +
        IFERROR(
            VLOOKUP($A100, INDIRECT("FebR!$A$6:$ZZ$1048576"), MATCH(K$1, FebR!$6:$6, 0), FALSE),
            0
        ) +
        IFERROR(
            VLOOKUP($A100, INDIRECT("MarR!$A$6:$ZZ$1048576"), MATCH(K$1, MarR!$6:$6, 0), FALSE),
            0
        ) +
        IFERROR(
            VLOOKUP($A100, INDIRECT("AbrR!$A$6:$ZZ$1048576"), MATCH(K$1, AbrR!$6:$6, 0), FALSE),
            0
        ) +
        IFERROR(
            VLOOKUP($A100, INDIRECT("MayR!$A$6:$ZZ$1048576"), MATCH(K$1, MayR!$6:$6, 0), FALSE),
            0
        ) +
        IFERROR(
            VLOOKUP($A100, INDIRECT("JunR!$A$6:$ZZ$1048576"), MATCH(K$1, JunR!$6:$6, 0), FALSE),
            0
        ) +
        IFERROR(
            VLOOKUP($A100, INDIRECT("JulR!$A$6:$ZZ$1048576"), MATCH(K$1, JulR!$6:$6, 0), FALSE),
            0
        ) +
        IFERROR(
            VLOOKUP($A100, INDIRECT("AgoR!$A$6:$ZZ$1048576"), MATCH(K$1, AgoR!$6:$6, 0), FALSE),
            0
        ) +
        IFERROR(
            VLOOKUP($A100, INDIRECT("SepR!$A$6:$ZZ$1048576"), MATCH(K$1, SepR!$6:$6, 0), FALSE),
            0
        ) +
        IFERROR(
            VLOOKUP($A100, INDIRECT("OctR!$A$6:$ZZ$1048576"), MATCH(K$1, OctR!$6:$6, 0), FALSE),
            0
        ) +
        IFERROR(
            VLOOKUP($A100, INDIRECT("NovR!$A$6:$ZZ$1048576"), MATCH(K$1, NovR!$6:$6, 0), FALSE),
            0
        ) +
        IFERROR(
            VLOOKUP($A100, INDIRECT("DicR!$A$6:$ZZ$1048576"), MATCH(K$1, DicR!$6:$6, 0), FALSE),
            0
        )
)</f>
        <v>0</v>
      </c>
      <c r="L100" s="32">
        <f t="array" ref="L100">SUM(
    IFERROR(
            VLOOKUP($A100, INDIRECT("EneR!$A$6:$ZZ$1048576"), MATCH(L$1, EneR!$6:$6, 0), FALSE),
            0
        ) +
        IFERROR(
            VLOOKUP($A100, INDIRECT("FebR!$A$6:$ZZ$1048576"), MATCH(L$1, FebR!$6:$6, 0), FALSE),
            0
        ) +
        IFERROR(
            VLOOKUP($A100, INDIRECT("MarR!$A$6:$ZZ$1048576"), MATCH(L$1, MarR!$6:$6, 0), FALSE),
            0
        ) +
        IFERROR(
            VLOOKUP($A100, INDIRECT("AbrR!$A$6:$ZZ$1048576"), MATCH(L$1, AbrR!$6:$6, 0), FALSE),
            0
        ) +
        IFERROR(
            VLOOKUP($A100, INDIRECT("MayR!$A$6:$ZZ$1048576"), MATCH(L$1, MayR!$6:$6, 0), FALSE),
            0
        ) +
        IFERROR(
            VLOOKUP($A100, INDIRECT("JunR!$A$6:$ZZ$1048576"), MATCH(L$1, JunR!$6:$6, 0), FALSE),
            0
        ) +
        IFERROR(
            VLOOKUP($A100, INDIRECT("JulR!$A$6:$ZZ$1048576"), MATCH(L$1, JulR!$6:$6, 0), FALSE),
            0
        ) +
        IFERROR(
            VLOOKUP($A100, INDIRECT("AgoR!$A$6:$ZZ$1048576"), MATCH(L$1, AgoR!$6:$6, 0), FALSE),
            0
        ) +
        IFERROR(
            VLOOKUP($A100, INDIRECT("SepR!$A$6:$ZZ$1048576"), MATCH(L$1, SepR!$6:$6, 0), FALSE),
            0
        ) +
        IFERROR(
            VLOOKUP($A100, INDIRECT("OctR!$A$6:$ZZ$1048576"), MATCH(L$1, OctR!$6:$6, 0), FALSE),
            0
        ) +
        IFERROR(
            VLOOKUP($A100, INDIRECT("NovR!$A$6:$ZZ$1048576"), MATCH(L$1, NovR!$6:$6, 0), FALSE),
            0
        ) +
        IFERROR(
            VLOOKUP($A100, INDIRECT("DicR!$A$6:$ZZ$1048576"), MATCH(L$1, DicR!$6:$6, 0), FALSE),
            0
        )
)</f>
        <v>0</v>
      </c>
      <c r="M100" s="35">
        <f t="array" ref="M100">SUM(
    IFERROR(
            VLOOKUP($A100, INDIRECT("EneR!$A$6:$ZZ$1048576"), MATCH(M$1, EneR!$6:$6, 0), FALSE),
            0
        ) +
        IFERROR(
            VLOOKUP($A100, INDIRECT("FebR!$A$6:$ZZ$1048576"), MATCH(M$1, FebR!$6:$6, 0), FALSE),
            0
        ) +
        IFERROR(
            VLOOKUP($A100, INDIRECT("MarR!$A$6:$ZZ$1048576"), MATCH(M$1, MarR!$6:$6, 0), FALSE),
            0
        ) +
        IFERROR(
            VLOOKUP($A100, INDIRECT("AbrR!$A$6:$ZZ$1048576"), MATCH(M$1, AbrR!$6:$6, 0), FALSE),
            0
        ) +
        IFERROR(
            VLOOKUP($A100, INDIRECT("MayR!$A$6:$ZZ$1048576"), MATCH(M$1, MayR!$6:$6, 0), FALSE),
            0
        ) +
        IFERROR(
            VLOOKUP($A100, INDIRECT("JunR!$A$6:$ZZ$1048576"), MATCH(M$1, JunR!$6:$6, 0), FALSE),
            0
        ) +
        IFERROR(
            VLOOKUP($A100, INDIRECT("JulR!$A$6:$ZZ$1048576"), MATCH(M$1, JulR!$6:$6, 0), FALSE),
            0
        ) +
        IFERROR(
            VLOOKUP($A100, INDIRECT("AgoR!$A$6:$ZZ$1048576"), MATCH(M$1, AgoR!$6:$6, 0), FALSE),
            0
        ) +
        IFERROR(
            VLOOKUP($A100, INDIRECT("SepR!$A$6:$ZZ$1048576"), MATCH(M$1, SepR!$6:$6, 0), FALSE),
            0
        ) +
        IFERROR(
            VLOOKUP($A100, INDIRECT("OctR!$A$6:$ZZ$1048576"), MATCH(M$1, OctR!$6:$6, 0), FALSE),
            0
        ) +
        IFERROR(
            VLOOKUP($A100, INDIRECT("NovR!$A$6:$ZZ$1048576"), MATCH(M$1, NovR!$6:$6, 0), FALSE),
            0
        ) +
        IFERROR(
            VLOOKUP($A100, INDIRECT("DicR!$A$6:$ZZ$1048576"), MATCH(M$1, DicR!$6:$6, 0), FALSE),
            0
        )
)</f>
        <v>0</v>
      </c>
      <c r="N100" s="32">
        <f t="array" ref="N100">SUM(
    IFERROR(
            VLOOKUP($A100, INDIRECT("EneR!$A$6:$ZZ$1048576"), MATCH(N$1, EneR!$6:$6, 0), FALSE),
            0
        ) +
        IFERROR(
            VLOOKUP($A100, INDIRECT("FebR!$A$6:$ZZ$1048576"), MATCH(N$1, FebR!$6:$6, 0), FALSE),
            0
        ) +
        IFERROR(
            VLOOKUP($A100, INDIRECT("MarR!$A$6:$ZZ$1048576"), MATCH(N$1, MarR!$6:$6, 0), FALSE),
            0
        ) +
        IFERROR(
            VLOOKUP($A100, INDIRECT("AbrR!$A$6:$ZZ$1048576"), MATCH(N$1, AbrR!$6:$6, 0), FALSE),
            0
        ) +
        IFERROR(
            VLOOKUP($A100, INDIRECT("MayR!$A$6:$ZZ$1048576"), MATCH(N$1, MayR!$6:$6, 0), FALSE),
            0
        ) +
        IFERROR(
            VLOOKUP($A100, INDIRECT("JunR!$A$6:$ZZ$1048576"), MATCH(N$1, JunR!$6:$6, 0), FALSE),
            0
        ) +
        IFERROR(
            VLOOKUP($A100, INDIRECT("JulR!$A$6:$ZZ$1048576"), MATCH(N$1, JulR!$6:$6, 0), FALSE),
            0
        ) +
        IFERROR(
            VLOOKUP($A100, INDIRECT("AgoR!$A$6:$ZZ$1048576"), MATCH(N$1, AgoR!$6:$6, 0), FALSE),
            0
        ) +
        IFERROR(
            VLOOKUP($A100, INDIRECT("SepR!$A$6:$ZZ$1048576"), MATCH(N$1, SepR!$6:$6, 0), FALSE),
            0
        ) +
        IFERROR(
            VLOOKUP($A100, INDIRECT("OctR!$A$6:$ZZ$1048576"), MATCH(N$1, OctR!$6:$6, 0), FALSE),
            0
        ) +
        IFERROR(
            VLOOKUP($A100, INDIRECT("NovR!$A$6:$ZZ$1048576"), MATCH(N$1, NovR!$6:$6, 0), FALSE),
            0
        ) +
        IFERROR(
            VLOOKUP($A100, INDIRECT("DicR!$A$6:$ZZ$1048576"), MATCH(N$1, DicR!$6:$6, 0), FALSE),
            0
        )
)</f>
        <v>0</v>
      </c>
      <c r="O100" s="35">
        <f t="array" ref="O100">SUM(
    IFERROR(
            VLOOKUP($A100, INDIRECT("EneR!$A$6:$ZZ$1048576"), MATCH(O$1, EneR!$6:$6, 0), FALSE),
            0
        ) +
        IFERROR(
            VLOOKUP($A100, INDIRECT("FebR!$A$6:$ZZ$1048576"), MATCH(O$1, FebR!$6:$6, 0), FALSE),
            0
        ) +
        IFERROR(
            VLOOKUP($A100, INDIRECT("MarR!$A$6:$ZZ$1048576"), MATCH(O$1, MarR!$6:$6, 0), FALSE),
            0
        ) +
        IFERROR(
            VLOOKUP($A100, INDIRECT("AbrR!$A$6:$ZZ$1048576"), MATCH(O$1, AbrR!$6:$6, 0), FALSE),
            0
        ) +
        IFERROR(
            VLOOKUP($A100, INDIRECT("MayR!$A$6:$ZZ$1048576"), MATCH(O$1, MayR!$6:$6, 0), FALSE),
            0
        ) +
        IFERROR(
            VLOOKUP($A100, INDIRECT("JunR!$A$6:$ZZ$1048576"), MATCH(O$1, JunR!$6:$6, 0), FALSE),
            0
        ) +
        IFERROR(
            VLOOKUP($A100, INDIRECT("JulR!$A$6:$ZZ$1048576"), MATCH(O$1, JulR!$6:$6, 0), FALSE),
            0
        ) +
        IFERROR(
            VLOOKUP($A100, INDIRECT("AgoR!$A$6:$ZZ$1048576"), MATCH(O$1, AgoR!$6:$6, 0), FALSE),
            0
        ) +
        IFERROR(
            VLOOKUP($A100, INDIRECT("SepR!$A$6:$ZZ$1048576"), MATCH(O$1, SepR!$6:$6, 0), FALSE),
            0
        ) +
        IFERROR(
            VLOOKUP($A100, INDIRECT("OctR!$A$6:$ZZ$1048576"), MATCH(O$1, OctR!$6:$6, 0), FALSE),
            0
        ) +
        IFERROR(
            VLOOKUP($A100, INDIRECT("NovR!$A$6:$ZZ$1048576"), MATCH(O$1, NovR!$6:$6, 0), FALSE),
            0
        ) +
        IFERROR(
            VLOOKUP($A100, INDIRECT("DicR!$A$6:$ZZ$1048576"), MATCH(O$1, DicR!$6:$6, 0), FALSE),
            0
        )
)</f>
        <v>0</v>
      </c>
      <c r="P100" s="32">
        <f t="array" ref="P100">SUM(
    IFERROR(
            VLOOKUP($A100, INDIRECT("EneR!$A$6:$ZZ$1048576"), MATCH(P$1, EneR!$6:$6, 0), FALSE),
            0
        ) +
        IFERROR(
            VLOOKUP($A100, INDIRECT("FebR!$A$6:$ZZ$1048576"), MATCH(P$1, FebR!$6:$6, 0), FALSE),
            0
        ) +
        IFERROR(
            VLOOKUP($A100, INDIRECT("MarR!$A$6:$ZZ$1048576"), MATCH(P$1, MarR!$6:$6, 0), FALSE),
            0
        ) +
        IFERROR(
            VLOOKUP($A100, INDIRECT("AbrR!$A$6:$ZZ$1048576"), MATCH(P$1, AbrR!$6:$6, 0), FALSE),
            0
        ) +
        IFERROR(
            VLOOKUP($A100, INDIRECT("MayR!$A$6:$ZZ$1048576"), MATCH(P$1, MayR!$6:$6, 0), FALSE),
            0
        ) +
        IFERROR(
            VLOOKUP($A100, INDIRECT("JunR!$A$6:$ZZ$1048576"), MATCH(P$1, JunR!$6:$6, 0), FALSE),
            0
        ) +
        IFERROR(
            VLOOKUP($A100, INDIRECT("JulR!$A$6:$ZZ$1048576"), MATCH(P$1, JulR!$6:$6, 0), FALSE),
            0
        ) +
        IFERROR(
            VLOOKUP($A100, INDIRECT("AgoR!$A$6:$ZZ$1048576"), MATCH(P$1, AgoR!$6:$6, 0), FALSE),
            0
        ) +
        IFERROR(
            VLOOKUP($A100, INDIRECT("SepR!$A$6:$ZZ$1048576"), MATCH(P$1, SepR!$6:$6, 0), FALSE),
            0
        ) +
        IFERROR(
            VLOOKUP($A100, INDIRECT("OctR!$A$6:$ZZ$1048576"), MATCH(P$1, OctR!$6:$6, 0), FALSE),
            0
        ) +
        IFERROR(
            VLOOKUP($A100, INDIRECT("NovR!$A$6:$ZZ$1048576"), MATCH(P$1, NovR!$6:$6, 0), FALSE),
            0
        ) +
        IFERROR(
            VLOOKUP($A100, INDIRECT("DicR!$A$6:$ZZ$1048576"), MATCH(P$1, DicR!$6:$6, 0), FALSE),
            0
        )
)</f>
        <v>0</v>
      </c>
      <c r="Q100" s="35">
        <f t="array" ref="Q100">SUM(
    IFERROR(
            VLOOKUP($A100, INDIRECT("EneR!$A$6:$ZZ$1048576"), MATCH(Q$1, EneR!$6:$6, 0), FALSE),
            0
        ) +
        IFERROR(
            VLOOKUP($A100, INDIRECT("FebR!$A$6:$ZZ$1048576"), MATCH(Q$1, FebR!$6:$6, 0), FALSE),
            0
        ) +
        IFERROR(
            VLOOKUP($A100, INDIRECT("MarR!$A$6:$ZZ$1048576"), MATCH(Q$1, MarR!$6:$6, 0), FALSE),
            0
        ) +
        IFERROR(
            VLOOKUP($A100, INDIRECT("AbrR!$A$6:$ZZ$1048576"), MATCH(Q$1, AbrR!$6:$6, 0), FALSE),
            0
        ) +
        IFERROR(
            VLOOKUP($A100, INDIRECT("MayR!$A$6:$ZZ$1048576"), MATCH(Q$1, MayR!$6:$6, 0), FALSE),
            0
        ) +
        IFERROR(
            VLOOKUP($A100, INDIRECT("JunR!$A$6:$ZZ$1048576"), MATCH(Q$1, JunR!$6:$6, 0), FALSE),
            0
        ) +
        IFERROR(
            VLOOKUP($A100, INDIRECT("JulR!$A$6:$ZZ$1048576"), MATCH(Q$1, JulR!$6:$6, 0), FALSE),
            0
        ) +
        IFERROR(
            VLOOKUP($A100, INDIRECT("AgoR!$A$6:$ZZ$1048576"), MATCH(Q$1, AgoR!$6:$6, 0), FALSE),
            0
        ) +
        IFERROR(
            VLOOKUP($A100, INDIRECT("SepR!$A$6:$ZZ$1048576"), MATCH(Q$1, SepR!$6:$6, 0), FALSE),
            0
        ) +
        IFERROR(
            VLOOKUP($A100, INDIRECT("OctR!$A$6:$ZZ$1048576"), MATCH(Q$1, OctR!$6:$6, 0), FALSE),
            0
        ) +
        IFERROR(
            VLOOKUP($A100, INDIRECT("NovR!$A$6:$ZZ$1048576"), MATCH(Q$1, NovR!$6:$6, 0), FALSE),
            0
        ) +
        IFERROR(
            VLOOKUP($A100, INDIRECT("DicR!$A$6:$ZZ$1048576"), MATCH(Q$1, DicR!$6:$6, 0), FALSE),
            0
        )
)</f>
        <v>0</v>
      </c>
      <c r="R100" s="36">
        <f t="array" ref="R100">SUM(
    IFERROR(
            VLOOKUP($A100, INDIRECT("EneR!$A$6:$ZZ$1048576"), MATCH(R$1, EneR!$6:$6, 0), FALSE),
            0
        ) +
        IFERROR(
            VLOOKUP($A100, INDIRECT("FebR!$A$6:$ZZ$1048576"), MATCH(R$1, FebR!$6:$6, 0), FALSE),
            0
        ) +
        IFERROR(
            VLOOKUP($A100, INDIRECT("MarR!$A$6:$ZZ$1048576"), MATCH(R$1, MarR!$6:$6, 0), FALSE),
            0
        ) +
        IFERROR(
            VLOOKUP($A100, INDIRECT("AbrR!$A$6:$ZZ$1048576"), MATCH(R$1, AbrR!$6:$6, 0), FALSE),
            0
        ) +
        IFERROR(
            VLOOKUP($A100, INDIRECT("MayR!$A$6:$ZZ$1048576"), MATCH(R$1, MayR!$6:$6, 0), FALSE),
            0
        ) +
        IFERROR(
            VLOOKUP($A100, INDIRECT("JunR!$A$6:$ZZ$1048576"), MATCH(R$1, JunR!$6:$6, 0), FALSE),
            0
        ) +
        IFERROR(
            VLOOKUP($A100, INDIRECT("JulR!$A$6:$ZZ$1048576"), MATCH(R$1, JulR!$6:$6, 0), FALSE),
            0
        ) +
        IFERROR(
            VLOOKUP($A100, INDIRECT("AgoR!$A$6:$ZZ$1048576"), MATCH(R$1, AgoR!$6:$6, 0), FALSE),
            0
        ) +
        IFERROR(
            VLOOKUP($A100, INDIRECT("SepR!$A$6:$ZZ$1048576"), MATCH(R$1, SepR!$6:$6, 0), FALSE),
            0
        ) +
        IFERROR(
            VLOOKUP($A100, INDIRECT("OctR!$A$6:$ZZ$1048576"), MATCH(R$1, OctR!$6:$6, 0), FALSE),
            0
        ) +
        IFERROR(
            VLOOKUP($A100, INDIRECT("NovR!$A$6:$ZZ$1048576"), MATCH(R$1, NovR!$6:$6, 0), FALSE),
            0
        ) +
        IFERROR(
            VLOOKUP($A100, INDIRECT("DicR!$A$6:$ZZ$1048576"), MATCH(R$1, DicR!$6:$6, 0), FALSE),
            0
        )
)</f>
        <v>0</v>
      </c>
      <c r="S100" s="37">
        <f t="array" ref="S100">SUM(
    IFERROR(
            VLOOKUP($A100, INDIRECT("EneR!$A$6:$ZZ$1048576"), MATCH(S$1, EneR!$6:$6, 0), FALSE),
            0
        ) +
        IFERROR(
            VLOOKUP($A100, INDIRECT("FebR!$A$6:$ZZ$1048576"), MATCH(S$1, FebR!$6:$6, 0), FALSE),
            0
        ) +
        IFERROR(
            VLOOKUP($A100, INDIRECT("MarR!$A$6:$ZZ$1048576"), MATCH(S$1, MarR!$6:$6, 0), FALSE),
            0
        ) +
        IFERROR(
            VLOOKUP($A100, INDIRECT("AbrR!$A$6:$ZZ$1048576"), MATCH(S$1, AbrR!$6:$6, 0), FALSE),
            0
        ) +
        IFERROR(
            VLOOKUP($A100, INDIRECT("MayR!$A$6:$ZZ$1048576"), MATCH(S$1, MayR!$6:$6, 0), FALSE),
            0
        ) +
        IFERROR(
            VLOOKUP($A100, INDIRECT("JunR!$A$6:$ZZ$1048576"), MATCH(S$1, JunR!$6:$6, 0), FALSE),
            0
        ) +
        IFERROR(
            VLOOKUP($A100, INDIRECT("JulR!$A$6:$ZZ$1048576"), MATCH(S$1, JulR!$6:$6, 0), FALSE),
            0
        ) +
        IFERROR(
            VLOOKUP($A100, INDIRECT("AgoR!$A$6:$ZZ$1048576"), MATCH(S$1, AgoR!$6:$6, 0), FALSE),
            0
        ) +
        IFERROR(
            VLOOKUP($A100, INDIRECT("SepR!$A$6:$ZZ$1048576"), MATCH(S$1, SepR!$6:$6, 0), FALSE),
            0
        ) +
        IFERROR(
            VLOOKUP($A100, INDIRECT("OctR!$A$6:$ZZ$1048576"), MATCH(S$1, OctR!$6:$6, 0), FALSE),
            0
        ) +
        IFERROR(
            VLOOKUP($A100, INDIRECT("NovR!$A$6:$ZZ$1048576"), MATCH(S$1, NovR!$6:$6, 0), FALSE),
            0
        ) +
        IFERROR(
            VLOOKUP($A100, INDIRECT("DicR!$A$6:$ZZ$1048576"), MATCH(S$1, DicR!$6:$6, 0), FALSE),
            0
        )
)</f>
        <v>0</v>
      </c>
      <c r="T100" s="36">
        <f t="array" ref="T100">SUM(
    IFERROR(
            VLOOKUP($A100, INDIRECT("EneR!$A$6:$ZZ$1048576"), MATCH(T$1, EneR!$6:$6, 0), FALSE),
            0
        ) +
        IFERROR(
            VLOOKUP($A100, INDIRECT("FebR!$A$6:$ZZ$1048576"), MATCH(T$1, FebR!$6:$6, 0), FALSE),
            0
        ) +
        IFERROR(
            VLOOKUP($A100, INDIRECT("MarR!$A$6:$ZZ$1048576"), MATCH(T$1, MarR!$6:$6, 0), FALSE),
            0
        ) +
        IFERROR(
            VLOOKUP($A100, INDIRECT("AbrR!$A$6:$ZZ$1048576"), MATCH(T$1, AbrR!$6:$6, 0), FALSE),
            0
        ) +
        IFERROR(
            VLOOKUP($A100, INDIRECT("MayR!$A$6:$ZZ$1048576"), MATCH(T$1, MayR!$6:$6, 0), FALSE),
            0
        ) +
        IFERROR(
            VLOOKUP($A100, INDIRECT("JunR!$A$6:$ZZ$1048576"), MATCH(T$1, JunR!$6:$6, 0), FALSE),
            0
        ) +
        IFERROR(
            VLOOKUP($A100, INDIRECT("JulR!$A$6:$ZZ$1048576"), MATCH(T$1, JulR!$6:$6, 0), FALSE),
            0
        ) +
        IFERROR(
            VLOOKUP($A100, INDIRECT("AgoR!$A$6:$ZZ$1048576"), MATCH(T$1, AgoR!$6:$6, 0), FALSE),
            0
        ) +
        IFERROR(
            VLOOKUP($A100, INDIRECT("SepR!$A$6:$ZZ$1048576"), MATCH(T$1, SepR!$6:$6, 0), FALSE),
            0
        ) +
        IFERROR(
            VLOOKUP($A100, INDIRECT("OctR!$A$6:$ZZ$1048576"), MATCH(T$1, OctR!$6:$6, 0), FALSE),
            0
        ) +
        IFERROR(
            VLOOKUP($A100, INDIRECT("NovR!$A$6:$ZZ$1048576"), MATCH(T$1, NovR!$6:$6, 0), FALSE),
            0
        ) +
        IFERROR(
            VLOOKUP($A100, INDIRECT("DicR!$A$6:$ZZ$1048576"), MATCH(T$1, DicR!$6:$6, 0), FALSE),
            0
        )
)</f>
        <v>0</v>
      </c>
      <c r="U100" s="37">
        <f t="array" ref="U100">SUM(
    IFERROR(
            VLOOKUP($A100, INDIRECT("EneR!$A$6:$ZZ$1048576"), MATCH(U$1, EneR!$6:$6, 0), FALSE),
            0
        ) +
        IFERROR(
            VLOOKUP($A100, INDIRECT("FebR!$A$6:$ZZ$1048576"), MATCH(U$1, FebR!$6:$6, 0), FALSE),
            0
        ) +
        IFERROR(
            VLOOKUP($A100, INDIRECT("MarR!$A$6:$ZZ$1048576"), MATCH(U$1, MarR!$6:$6, 0), FALSE),
            0
        ) +
        IFERROR(
            VLOOKUP($A100, INDIRECT("AbrR!$A$6:$ZZ$1048576"), MATCH(U$1, AbrR!$6:$6, 0), FALSE),
            0
        ) +
        IFERROR(
            VLOOKUP($A100, INDIRECT("MayR!$A$6:$ZZ$1048576"), MATCH(U$1, MayR!$6:$6, 0), FALSE),
            0
        ) +
        IFERROR(
            VLOOKUP($A100, INDIRECT("JunR!$A$6:$ZZ$1048576"), MATCH(U$1, JunR!$6:$6, 0), FALSE),
            0
        ) +
        IFERROR(
            VLOOKUP($A100, INDIRECT("JulR!$A$6:$ZZ$1048576"), MATCH(U$1, JulR!$6:$6, 0), FALSE),
            0
        ) +
        IFERROR(
            VLOOKUP($A100, INDIRECT("AgoR!$A$6:$ZZ$1048576"), MATCH(U$1, AgoR!$6:$6, 0), FALSE),
            0
        ) +
        IFERROR(
            VLOOKUP($A100, INDIRECT("SepR!$A$6:$ZZ$1048576"), MATCH(U$1, SepR!$6:$6, 0), FALSE),
            0
        ) +
        IFERROR(
            VLOOKUP($A100, INDIRECT("OctR!$A$6:$ZZ$1048576"), MATCH(U$1, OctR!$6:$6, 0), FALSE),
            0
        ) +
        IFERROR(
            VLOOKUP($A100, INDIRECT("NovR!$A$6:$ZZ$1048576"), MATCH(U$1, NovR!$6:$6, 0), FALSE),
            0
        ) +
        IFERROR(
            VLOOKUP($A100, INDIRECT("DicR!$A$6:$ZZ$1048576"), MATCH(U$1, DicR!$6:$6, 0), FALSE),
            0
        )
)</f>
        <v>0</v>
      </c>
      <c r="V100" s="36">
        <f t="array" ref="V100">SUM(
    IFERROR(
            VLOOKUP($A100, INDIRECT("EneR!$A$6:$ZZ$1048576"), MATCH(V$1, EneR!$6:$6, 0), FALSE),
            0
        ) +
        IFERROR(
            VLOOKUP($A100, INDIRECT("FebR!$A$6:$ZZ$1048576"), MATCH(V$1, FebR!$6:$6, 0), FALSE),
            0
        ) +
        IFERROR(
            VLOOKUP($A100, INDIRECT("MarR!$A$6:$ZZ$1048576"), MATCH(V$1, MarR!$6:$6, 0), FALSE),
            0
        ) +
        IFERROR(
            VLOOKUP($A100, INDIRECT("AbrR!$A$6:$ZZ$1048576"), MATCH(V$1, AbrR!$6:$6, 0), FALSE),
            0
        ) +
        IFERROR(
            VLOOKUP($A100, INDIRECT("MayR!$A$6:$ZZ$1048576"), MATCH(V$1, MayR!$6:$6, 0), FALSE),
            0
        ) +
        IFERROR(
            VLOOKUP($A100, INDIRECT("JunR!$A$6:$ZZ$1048576"), MATCH(V$1, JunR!$6:$6, 0), FALSE),
            0
        ) +
        IFERROR(
            VLOOKUP($A100, INDIRECT("JulR!$A$6:$ZZ$1048576"), MATCH(V$1, JulR!$6:$6, 0), FALSE),
            0
        ) +
        IFERROR(
            VLOOKUP($A100, INDIRECT("AgoR!$A$6:$ZZ$1048576"), MATCH(V$1, AgoR!$6:$6, 0), FALSE),
            0
        ) +
        IFERROR(
            VLOOKUP($A100, INDIRECT("SepR!$A$6:$ZZ$1048576"), MATCH(V$1, SepR!$6:$6, 0), FALSE),
            0
        ) +
        IFERROR(
            VLOOKUP($A100, INDIRECT("OctR!$A$6:$ZZ$1048576"), MATCH(V$1, OctR!$6:$6, 0), FALSE),
            0
        ) +
        IFERROR(
            VLOOKUP($A100, INDIRECT("NovR!$A$6:$ZZ$1048576"), MATCH(V$1, NovR!$6:$6, 0), FALSE),
            0
        ) +
        IFERROR(
            VLOOKUP($A100, INDIRECT("DicR!$A$6:$ZZ$1048576"), MATCH(V$1, DicR!$6:$6, 0), FALSE),
            0
        )
)</f>
        <v>0</v>
      </c>
      <c r="W100" s="37">
        <f t="array" ref="W100">SUM(
    IFERROR(
            VLOOKUP($A100, INDIRECT("EneR!$A$6:$ZZ$1048576"), MATCH(W$1, EneR!$6:$6, 0), FALSE),
            0
        ) +
        IFERROR(
            VLOOKUP($A100, INDIRECT("FebR!$A$6:$ZZ$1048576"), MATCH(W$1, FebR!$6:$6, 0), FALSE),
            0
        ) +
        IFERROR(
            VLOOKUP($A100, INDIRECT("MarR!$A$6:$ZZ$1048576"), MATCH(W$1, MarR!$6:$6, 0), FALSE),
            0
        ) +
        IFERROR(
            VLOOKUP($A100, INDIRECT("AbrR!$A$6:$ZZ$1048576"), MATCH(W$1, AbrR!$6:$6, 0), FALSE),
            0
        ) +
        IFERROR(
            VLOOKUP($A100, INDIRECT("MayR!$A$6:$ZZ$1048576"), MATCH(W$1, MayR!$6:$6, 0), FALSE),
            0
        ) +
        IFERROR(
            VLOOKUP($A100, INDIRECT("JunR!$A$6:$ZZ$1048576"), MATCH(W$1, JunR!$6:$6, 0), FALSE),
            0
        ) +
        IFERROR(
            VLOOKUP($A100, INDIRECT("JulR!$A$6:$ZZ$1048576"), MATCH(W$1, JulR!$6:$6, 0), FALSE),
            0
        ) +
        IFERROR(
            VLOOKUP($A100, INDIRECT("AgoR!$A$6:$ZZ$1048576"), MATCH(W$1, AgoR!$6:$6, 0), FALSE),
            0
        ) +
        IFERROR(
            VLOOKUP($A100, INDIRECT("SepR!$A$6:$ZZ$1048576"), MATCH(W$1, SepR!$6:$6, 0), FALSE),
            0
        ) +
        IFERROR(
            VLOOKUP($A100, INDIRECT("OctR!$A$6:$ZZ$1048576"), MATCH(W$1, OctR!$6:$6, 0), FALSE),
            0
        ) +
        IFERROR(
            VLOOKUP($A100, INDIRECT("NovR!$A$6:$ZZ$1048576"), MATCH(W$1, NovR!$6:$6, 0), FALSE),
            0
        ) +
        IFERROR(
            VLOOKUP($A100, INDIRECT("DicR!$A$6:$ZZ$1048576"), MATCH(W$1, DicR!$6:$6, 0), FALSE),
            0
        )
)</f>
        <v>0</v>
      </c>
      <c r="X100" s="36">
        <f t="array" ref="X100">SUM(
    IFERROR(
            VLOOKUP($A100, INDIRECT("EneR!$A$6:$ZZ$1048576"), MATCH(X$1, EneR!$6:$6, 0), FALSE),
            0
        ) +
        IFERROR(
            VLOOKUP($A100, INDIRECT("FebR!$A$6:$ZZ$1048576"), MATCH(X$1, FebR!$6:$6, 0), FALSE),
            0
        ) +
        IFERROR(
            VLOOKUP($A100, INDIRECT("MarR!$A$6:$ZZ$1048576"), MATCH(X$1, MarR!$6:$6, 0), FALSE),
            0
        ) +
        IFERROR(
            VLOOKUP($A100, INDIRECT("AbrR!$A$6:$ZZ$1048576"), MATCH(X$1, AbrR!$6:$6, 0), FALSE),
            0
        ) +
        IFERROR(
            VLOOKUP($A100, INDIRECT("MayR!$A$6:$ZZ$1048576"), MATCH(X$1, MayR!$6:$6, 0), FALSE),
            0
        ) +
        IFERROR(
            VLOOKUP($A100, INDIRECT("JunR!$A$6:$ZZ$1048576"), MATCH(X$1, JunR!$6:$6, 0), FALSE),
            0
        ) +
        IFERROR(
            VLOOKUP($A100, INDIRECT("JulR!$A$6:$ZZ$1048576"), MATCH(X$1, JulR!$6:$6, 0), FALSE),
            0
        ) +
        IFERROR(
            VLOOKUP($A100, INDIRECT("AgoR!$A$6:$ZZ$1048576"), MATCH(X$1, AgoR!$6:$6, 0), FALSE),
            0
        ) +
        IFERROR(
            VLOOKUP($A100, INDIRECT("SepR!$A$6:$ZZ$1048576"), MATCH(X$1, SepR!$6:$6, 0), FALSE),
            0
        ) +
        IFERROR(
            VLOOKUP($A100, INDIRECT("OctR!$A$6:$ZZ$1048576"), MATCH(X$1, OctR!$6:$6, 0), FALSE),
            0
        ) +
        IFERROR(
            VLOOKUP($A100, INDIRECT("NovR!$A$6:$ZZ$1048576"), MATCH(X$1, NovR!$6:$6, 0), FALSE),
            0
        ) +
        IFERROR(
            VLOOKUP($A100, INDIRECT("DicR!$A$6:$ZZ$1048576"), MATCH(X$1, DicR!$6:$6, 0), FALSE),
            0
        )
)</f>
        <v>0</v>
      </c>
      <c r="Y100" s="37">
        <f t="array" ref="Y100">SUM(
    IFERROR(
            VLOOKUP($A100, INDIRECT("EneR!$A$6:$ZZ$1048576"), MATCH(Y$1, EneR!$6:$6, 0), FALSE),
            0
        ) +
        IFERROR(
            VLOOKUP($A100, INDIRECT("FebR!$A$6:$ZZ$1048576"), MATCH(Y$1, FebR!$6:$6, 0), FALSE),
            0
        ) +
        IFERROR(
            VLOOKUP($A100, INDIRECT("MarR!$A$6:$ZZ$1048576"), MATCH(Y$1, MarR!$6:$6, 0), FALSE),
            0
        ) +
        IFERROR(
            VLOOKUP($A100, INDIRECT("AbrR!$A$6:$ZZ$1048576"), MATCH(Y$1, AbrR!$6:$6, 0), FALSE),
            0
        ) +
        IFERROR(
            VLOOKUP($A100, INDIRECT("MayR!$A$6:$ZZ$1048576"), MATCH(Y$1, MayR!$6:$6, 0), FALSE),
            0
        ) +
        IFERROR(
            VLOOKUP($A100, INDIRECT("JunR!$A$6:$ZZ$1048576"), MATCH(Y$1, JunR!$6:$6, 0), FALSE),
            0
        ) +
        IFERROR(
            VLOOKUP($A100, INDIRECT("JulR!$A$6:$ZZ$1048576"), MATCH(Y$1, JulR!$6:$6, 0), FALSE),
            0
        ) +
        IFERROR(
            VLOOKUP($A100, INDIRECT("AgoR!$A$6:$ZZ$1048576"), MATCH(Y$1, AgoR!$6:$6, 0), FALSE),
            0
        ) +
        IFERROR(
            VLOOKUP($A100, INDIRECT("SepR!$A$6:$ZZ$1048576"), MATCH(Y$1, SepR!$6:$6, 0), FALSE),
            0
        ) +
        IFERROR(
            VLOOKUP($A100, INDIRECT("OctR!$A$6:$ZZ$1048576"), MATCH(Y$1, OctR!$6:$6, 0), FALSE),
            0
        ) +
        IFERROR(
            VLOOKUP($A100, INDIRECT("NovR!$A$6:$ZZ$1048576"), MATCH(Y$1, NovR!$6:$6, 0), FALSE),
            0
        ) +
        IFERROR(
            VLOOKUP($A100, INDIRECT("DicR!$A$6:$ZZ$1048576"), MATCH(Y$1, DicR!$6:$6, 0), FALSE),
            0
        )
)</f>
        <v>0</v>
      </c>
      <c r="Z100" s="36">
        <f t="array" ref="Z100">SUM(
    IFERROR(
            VLOOKUP($A100, INDIRECT("EneR!$A$6:$ZZ$1048576"), MATCH(Z$1, EneR!$6:$6, 0), FALSE),
            0
        ) +
        IFERROR(
            VLOOKUP($A100, INDIRECT("FebR!$A$6:$ZZ$1048576"), MATCH(Z$1, FebR!$6:$6, 0), FALSE),
            0
        ) +
        IFERROR(
            VLOOKUP($A100, INDIRECT("MarR!$A$6:$ZZ$1048576"), MATCH(Z$1, MarR!$6:$6, 0), FALSE),
            0
        ) +
        IFERROR(
            VLOOKUP($A100, INDIRECT("AbrR!$A$6:$ZZ$1048576"), MATCH(Z$1, AbrR!$6:$6, 0), FALSE),
            0
        ) +
        IFERROR(
            VLOOKUP($A100, INDIRECT("MayR!$A$6:$ZZ$1048576"), MATCH(Z$1, MayR!$6:$6, 0), FALSE),
            0
        ) +
        IFERROR(
            VLOOKUP($A100, INDIRECT("JunR!$A$6:$ZZ$1048576"), MATCH(Z$1, JunR!$6:$6, 0), FALSE),
            0
        ) +
        IFERROR(
            VLOOKUP($A100, INDIRECT("JulR!$A$6:$ZZ$1048576"), MATCH(Z$1, JulR!$6:$6, 0), FALSE),
            0
        ) +
        IFERROR(
            VLOOKUP($A100, INDIRECT("AgoR!$A$6:$ZZ$1048576"), MATCH(Z$1, AgoR!$6:$6, 0), FALSE),
            0
        ) +
        IFERROR(
            VLOOKUP($A100, INDIRECT("SepR!$A$6:$ZZ$1048576"), MATCH(Z$1, SepR!$6:$6, 0), FALSE),
            0
        ) +
        IFERROR(
            VLOOKUP($A100, INDIRECT("OctR!$A$6:$ZZ$1048576"), MATCH(Z$1, OctR!$6:$6, 0), FALSE),
            0
        ) +
        IFERROR(
            VLOOKUP($A100, INDIRECT("NovR!$A$6:$ZZ$1048576"), MATCH(Z$1, NovR!$6:$6, 0), FALSE),
            0
        ) +
        IFERROR(
            VLOOKUP($A100, INDIRECT("DicR!$A$6:$ZZ$1048576"), MATCH(Z$1, DicR!$6:$6, 0), FALSE),
            0
        )
)</f>
        <v>0</v>
      </c>
      <c r="AA100" s="37">
        <f t="array" ref="AA100">SUM(
    IFERROR(
            VLOOKUP($A100, INDIRECT("EneR!$A$6:$ZZ$1048576"), MATCH(AA$1, EneR!$6:$6, 0), FALSE),
            0
        ) +
        IFERROR(
            VLOOKUP($A100, INDIRECT("FebR!$A$6:$ZZ$1048576"), MATCH(AA$1, FebR!$6:$6, 0), FALSE),
            0
        ) +
        IFERROR(
            VLOOKUP($A100, INDIRECT("MarR!$A$6:$ZZ$1048576"), MATCH(AA$1, MarR!$6:$6, 0), FALSE),
            0
        ) +
        IFERROR(
            VLOOKUP($A100, INDIRECT("AbrR!$A$6:$ZZ$1048576"), MATCH(AA$1, AbrR!$6:$6, 0), FALSE),
            0
        ) +
        IFERROR(
            VLOOKUP($A100, INDIRECT("MayR!$A$6:$ZZ$1048576"), MATCH(AA$1, MayR!$6:$6, 0), FALSE),
            0
        ) +
        IFERROR(
            VLOOKUP($A100, INDIRECT("JunR!$A$6:$ZZ$1048576"), MATCH(AA$1, JunR!$6:$6, 0), FALSE),
            0
        ) +
        IFERROR(
            VLOOKUP($A100, INDIRECT("JulR!$A$6:$ZZ$1048576"), MATCH(AA$1, JulR!$6:$6, 0), FALSE),
            0
        ) +
        IFERROR(
            VLOOKUP($A100, INDIRECT("AgoR!$A$6:$ZZ$1048576"), MATCH(AA$1, AgoR!$6:$6, 0), FALSE),
            0
        ) +
        IFERROR(
            VLOOKUP($A100, INDIRECT("SepR!$A$6:$ZZ$1048576"), MATCH(AA$1, SepR!$6:$6, 0), FALSE),
            0
        ) +
        IFERROR(
            VLOOKUP($A100, INDIRECT("OctR!$A$6:$ZZ$1048576"), MATCH(AA$1, OctR!$6:$6, 0), FALSE),
            0
        ) +
        IFERROR(
            VLOOKUP($A100, INDIRECT("NovR!$A$6:$ZZ$1048576"), MATCH(AA$1, NovR!$6:$6, 0), FALSE),
            0
        ) +
        IFERROR(
            VLOOKUP($A100, INDIRECT("DicR!$A$6:$ZZ$1048576"), MATCH(AA$1, DicR!$6:$6, 0), FALSE),
            0
        )
)</f>
        <v>0</v>
      </c>
      <c r="AB100" s="36">
        <f t="array" ref="AB100">SUM(
    IFERROR(
            VLOOKUP($A100, INDIRECT("EneR!$A$6:$ZZ$1048576"), MATCH(AB$1, EneR!$6:$6, 0), FALSE),
            0
        ) +
        IFERROR(
            VLOOKUP($A100, INDIRECT("FebR!$A$6:$ZZ$1048576"), MATCH(AB$1, FebR!$6:$6, 0), FALSE),
            0
        ) +
        IFERROR(
            VLOOKUP($A100, INDIRECT("MarR!$A$6:$ZZ$1048576"), MATCH(AB$1, MarR!$6:$6, 0), FALSE),
            0
        ) +
        IFERROR(
            VLOOKUP($A100, INDIRECT("AbrR!$A$6:$ZZ$1048576"), MATCH(AB$1, AbrR!$6:$6, 0), FALSE),
            0
        ) +
        IFERROR(
            VLOOKUP($A100, INDIRECT("MayR!$A$6:$ZZ$1048576"), MATCH(AB$1, MayR!$6:$6, 0), FALSE),
            0
        ) +
        IFERROR(
            VLOOKUP($A100, INDIRECT("JunR!$A$6:$ZZ$1048576"), MATCH(AB$1, JunR!$6:$6, 0), FALSE),
            0
        ) +
        IFERROR(
            VLOOKUP($A100, INDIRECT("JulR!$A$6:$ZZ$1048576"), MATCH(AB$1, JulR!$6:$6, 0), FALSE),
            0
        ) +
        IFERROR(
            VLOOKUP($A100, INDIRECT("AgoR!$A$6:$ZZ$1048576"), MATCH(AB$1, AgoR!$6:$6, 0), FALSE),
            0
        ) +
        IFERROR(
            VLOOKUP($A100, INDIRECT("SepR!$A$6:$ZZ$1048576"), MATCH(AB$1, SepR!$6:$6, 0), FALSE),
            0
        ) +
        IFERROR(
            VLOOKUP($A100, INDIRECT("OctR!$A$6:$ZZ$1048576"), MATCH(AB$1, OctR!$6:$6, 0), FALSE),
            0
        ) +
        IFERROR(
            VLOOKUP($A100, INDIRECT("NovR!$A$6:$ZZ$1048576"), MATCH(AB$1, NovR!$6:$6, 0), FALSE),
            0
        ) +
        IFERROR(
            VLOOKUP($A100, INDIRECT("DicR!$A$6:$ZZ$1048576"), MATCH(AB$1, DicR!$6:$6, 0), FALSE),
            0
        )
)</f>
        <v>0</v>
      </c>
      <c r="AC100" s="37">
        <f t="array" ref="AC100">SUM(
    IFERROR(
            VLOOKUP($A100, INDIRECT("EneR!$A$6:$ZZ$1048576"), MATCH(AC$1, EneR!$6:$6, 0), FALSE),
            0
        ) +
        IFERROR(
            VLOOKUP($A100, INDIRECT("FebR!$A$6:$ZZ$1048576"), MATCH(AC$1, FebR!$6:$6, 0), FALSE),
            0
        ) +
        IFERROR(
            VLOOKUP($A100, INDIRECT("MarR!$A$6:$ZZ$1048576"), MATCH(AC$1, MarR!$6:$6, 0), FALSE),
            0
        ) +
        IFERROR(
            VLOOKUP($A100, INDIRECT("AbrR!$A$6:$ZZ$1048576"), MATCH(AC$1, AbrR!$6:$6, 0), FALSE),
            0
        ) +
        IFERROR(
            VLOOKUP($A100, INDIRECT("MayR!$A$6:$ZZ$1048576"), MATCH(AC$1, MayR!$6:$6, 0), FALSE),
            0
        ) +
        IFERROR(
            VLOOKUP($A100, INDIRECT("JunR!$A$6:$ZZ$1048576"), MATCH(AC$1, JunR!$6:$6, 0), FALSE),
            0
        ) +
        IFERROR(
            VLOOKUP($A100, INDIRECT("JulR!$A$6:$ZZ$1048576"), MATCH(AC$1, JulR!$6:$6, 0), FALSE),
            0
        ) +
        IFERROR(
            VLOOKUP($A100, INDIRECT("AgoR!$A$6:$ZZ$1048576"), MATCH(AC$1, AgoR!$6:$6, 0), FALSE),
            0
        ) +
        IFERROR(
            VLOOKUP($A100, INDIRECT("SepR!$A$6:$ZZ$1048576"), MATCH(AC$1, SepR!$6:$6, 0), FALSE),
            0
        ) +
        IFERROR(
            VLOOKUP($A100, INDIRECT("OctR!$A$6:$ZZ$1048576"), MATCH(AC$1, OctR!$6:$6, 0), FALSE),
            0
        ) +
        IFERROR(
            VLOOKUP($A100, INDIRECT("NovR!$A$6:$ZZ$1048576"), MATCH(AC$1, NovR!$6:$6, 0), FALSE),
            0
        ) +
        IFERROR(
            VLOOKUP($A100, INDIRECT("DicR!$A$6:$ZZ$1048576"), MATCH(AC$1, DicR!$6:$6, 0), FALSE),
            0
        )
)</f>
        <v>0</v>
      </c>
      <c r="AD100" s="36">
        <f t="array" ref="AD100">SUM(
    IFERROR(
            VLOOKUP($A100, INDIRECT("EneR!$A$6:$ZZ$1048576"), MATCH(AD$1, EneR!$6:$6, 0), FALSE),
            0
        ) +
        IFERROR(
            VLOOKUP($A100, INDIRECT("FebR!$A$6:$ZZ$1048576"), MATCH(AD$1, FebR!$6:$6, 0), FALSE),
            0
        ) +
        IFERROR(
            VLOOKUP($A100, INDIRECT("MarR!$A$6:$ZZ$1048576"), MATCH(AD$1, MarR!$6:$6, 0), FALSE),
            0
        ) +
        IFERROR(
            VLOOKUP($A100, INDIRECT("AbrR!$A$6:$ZZ$1048576"), MATCH(AD$1, AbrR!$6:$6, 0), FALSE),
            0
        ) +
        IFERROR(
            VLOOKUP($A100, INDIRECT("MayR!$A$6:$ZZ$1048576"), MATCH(AD$1, MayR!$6:$6, 0), FALSE),
            0
        ) +
        IFERROR(
            VLOOKUP($A100, INDIRECT("JunR!$A$6:$ZZ$1048576"), MATCH(AD$1, JunR!$6:$6, 0), FALSE),
            0
        ) +
        IFERROR(
            VLOOKUP($A100, INDIRECT("JulR!$A$6:$ZZ$1048576"), MATCH(AD$1, JulR!$6:$6, 0), FALSE),
            0
        ) +
        IFERROR(
            VLOOKUP($A100, INDIRECT("AgoR!$A$6:$ZZ$1048576"), MATCH(AD$1, AgoR!$6:$6, 0), FALSE),
            0
        ) +
        IFERROR(
            VLOOKUP($A100, INDIRECT("SepR!$A$6:$ZZ$1048576"), MATCH(AD$1, SepR!$6:$6, 0), FALSE),
            0
        ) +
        IFERROR(
            VLOOKUP($A100, INDIRECT("OctR!$A$6:$ZZ$1048576"), MATCH(AD$1, OctR!$6:$6, 0), FALSE),
            0
        ) +
        IFERROR(
            VLOOKUP($A100, INDIRECT("NovR!$A$6:$ZZ$1048576"), MATCH(AD$1, NovR!$6:$6, 0), FALSE),
            0
        ) +
        IFERROR(
            VLOOKUP($A100, INDIRECT("DicR!$A$6:$ZZ$1048576"), MATCH(AD$1, DicR!$6:$6, 0), FALSE),
            0
        )
)</f>
        <v>0</v>
      </c>
      <c r="AE100" s="37">
        <f t="array" ref="AE100">SUM(
    IFERROR(
            VLOOKUP($A100, INDIRECT("EneR!$A$6:$ZZ$1048576"), MATCH(AE$1, EneR!$6:$6, 0), FALSE),
            0
        ) +
        IFERROR(
            VLOOKUP($A100, INDIRECT("FebR!$A$6:$ZZ$1048576"), MATCH(AE$1, FebR!$6:$6, 0), FALSE),
            0
        ) +
        IFERROR(
            VLOOKUP($A100, INDIRECT("MarR!$A$6:$ZZ$1048576"), MATCH(AE$1, MarR!$6:$6, 0), FALSE),
            0
        ) +
        IFERROR(
            VLOOKUP($A100, INDIRECT("AbrR!$A$6:$ZZ$1048576"), MATCH(AE$1, AbrR!$6:$6, 0), FALSE),
            0
        ) +
        IFERROR(
            VLOOKUP($A100, INDIRECT("MayR!$A$6:$ZZ$1048576"), MATCH(AE$1, MayR!$6:$6, 0), FALSE),
            0
        ) +
        IFERROR(
            VLOOKUP($A100, INDIRECT("JunR!$A$6:$ZZ$1048576"), MATCH(AE$1, JunR!$6:$6, 0), FALSE),
            0
        ) +
        IFERROR(
            VLOOKUP($A100, INDIRECT("JulR!$A$6:$ZZ$1048576"), MATCH(AE$1, JulR!$6:$6, 0), FALSE),
            0
        ) +
        IFERROR(
            VLOOKUP($A100, INDIRECT("AgoR!$A$6:$ZZ$1048576"), MATCH(AE$1, AgoR!$6:$6, 0), FALSE),
            0
        ) +
        IFERROR(
            VLOOKUP($A100, INDIRECT("SepR!$A$6:$ZZ$1048576"), MATCH(AE$1, SepR!$6:$6, 0), FALSE),
            0
        ) +
        IFERROR(
            VLOOKUP($A100, INDIRECT("OctR!$A$6:$ZZ$1048576"), MATCH(AE$1, OctR!$6:$6, 0), FALSE),
            0
        ) +
        IFERROR(
            VLOOKUP($A100, INDIRECT("NovR!$A$6:$ZZ$1048576"), MATCH(AE$1, NovR!$6:$6, 0), FALSE),
            0
        ) +
        IFERROR(
            VLOOKUP($A100, INDIRECT("DicR!$A$6:$ZZ$1048576"), MATCH(AE$1, DicR!$6:$6, 0), FALSE),
            0
        )
)</f>
        <v>0</v>
      </c>
      <c r="AF100" s="36">
        <f t="array" ref="AF100">SUM(
    IFERROR(
            VLOOKUP($A100, INDIRECT("EneR!$A$6:$ZZ$1048576"), MATCH(AF$1, EneR!$6:$6, 0), FALSE),
            0
        ) +
        IFERROR(
            VLOOKUP($A100, INDIRECT("FebR!$A$6:$ZZ$1048576"), MATCH(AF$1, FebR!$6:$6, 0), FALSE),
            0
        ) +
        IFERROR(
            VLOOKUP($A100, INDIRECT("MarR!$A$6:$ZZ$1048576"), MATCH(AF$1, MarR!$6:$6, 0), FALSE),
            0
        ) +
        IFERROR(
            VLOOKUP($A100, INDIRECT("AbrR!$A$6:$ZZ$1048576"), MATCH(AF$1, AbrR!$6:$6, 0), FALSE),
            0
        ) +
        IFERROR(
            VLOOKUP($A100, INDIRECT("MayR!$A$6:$ZZ$1048576"), MATCH(AF$1, MayR!$6:$6, 0), FALSE),
            0
        ) +
        IFERROR(
            VLOOKUP($A100, INDIRECT("JunR!$A$6:$ZZ$1048576"), MATCH(AF$1, JunR!$6:$6, 0), FALSE),
            0
        ) +
        IFERROR(
            VLOOKUP($A100, INDIRECT("JulR!$A$6:$ZZ$1048576"), MATCH(AF$1, JulR!$6:$6, 0), FALSE),
            0
        ) +
        IFERROR(
            VLOOKUP($A100, INDIRECT("AgoR!$A$6:$ZZ$1048576"), MATCH(AF$1, AgoR!$6:$6, 0), FALSE),
            0
        ) +
        IFERROR(
            VLOOKUP($A100, INDIRECT("SepR!$A$6:$ZZ$1048576"), MATCH(AF$1, SepR!$6:$6, 0), FALSE),
            0
        ) +
        IFERROR(
            VLOOKUP($A100, INDIRECT("OctR!$A$6:$ZZ$1048576"), MATCH(AF$1, OctR!$6:$6, 0), FALSE),
            0
        ) +
        IFERROR(
            VLOOKUP($A100, INDIRECT("NovR!$A$6:$ZZ$1048576"), MATCH(AF$1, NovR!$6:$6, 0), FALSE),
            0
        ) +
        IFERROR(
            VLOOKUP($A100, INDIRECT("DicR!$A$6:$ZZ$1048576"), MATCH(AF$1, DicR!$6:$6, 0), FALSE),
            0
        )
)</f>
        <v>0</v>
      </c>
      <c r="AG100" s="37">
        <f t="array" ref="AG100">SUM(
    IFERROR(
            VLOOKUP($A100, INDIRECT("EneR!$A$6:$ZZ$1048576"), MATCH(AG$1, EneR!$6:$6, 0), FALSE),
            0
        ) +
        IFERROR(
            VLOOKUP($A100, INDIRECT("FebR!$A$6:$ZZ$1048576"), MATCH(AG$1, FebR!$6:$6, 0), FALSE),
            0
        ) +
        IFERROR(
            VLOOKUP($A100, INDIRECT("MarR!$A$6:$ZZ$1048576"), MATCH(AG$1, MarR!$6:$6, 0), FALSE),
            0
        ) +
        IFERROR(
            VLOOKUP($A100, INDIRECT("AbrR!$A$6:$ZZ$1048576"), MATCH(AG$1, AbrR!$6:$6, 0), FALSE),
            0
        ) +
        IFERROR(
            VLOOKUP($A100, INDIRECT("MayR!$A$6:$ZZ$1048576"), MATCH(AG$1, MayR!$6:$6, 0), FALSE),
            0
        ) +
        IFERROR(
            VLOOKUP($A100, INDIRECT("JunR!$A$6:$ZZ$1048576"), MATCH(AG$1, JunR!$6:$6, 0), FALSE),
            0
        ) +
        IFERROR(
            VLOOKUP($A100, INDIRECT("JulR!$A$6:$ZZ$1048576"), MATCH(AG$1, JulR!$6:$6, 0), FALSE),
            0
        ) +
        IFERROR(
            VLOOKUP($A100, INDIRECT("AgoR!$A$6:$ZZ$1048576"), MATCH(AG$1, AgoR!$6:$6, 0), FALSE),
            0
        ) +
        IFERROR(
            VLOOKUP($A100, INDIRECT("SepR!$A$6:$ZZ$1048576"), MATCH(AG$1, SepR!$6:$6, 0), FALSE),
            0
        ) +
        IFERROR(
            VLOOKUP($A100, INDIRECT("OctR!$A$6:$ZZ$1048576"), MATCH(AG$1, OctR!$6:$6, 0), FALSE),
            0
        ) +
        IFERROR(
            VLOOKUP($A100, INDIRECT("NovR!$A$6:$ZZ$1048576"), MATCH(AG$1, NovR!$6:$6, 0), FALSE),
            0
        ) +
        IFERROR(
            VLOOKUP($A100, INDIRECT("DicR!$A$6:$ZZ$1048576"), MATCH(AG$1, DicR!$6:$6, 0), FALSE),
            0
        )
)</f>
        <v>0</v>
      </c>
      <c r="AH100" s="36">
        <f t="array" ref="AH100">SUM(
    IFERROR(
            VLOOKUP($A100, INDIRECT("EneR!$A$6:$ZZ$1048576"), MATCH(AH$1, EneR!$6:$6, 0), FALSE),
            0
        ) +
        IFERROR(
            VLOOKUP($A100, INDIRECT("FebR!$A$6:$ZZ$1048576"), MATCH(AH$1, FebR!$6:$6, 0), FALSE),
            0
        ) +
        IFERROR(
            VLOOKUP($A100, INDIRECT("MarR!$A$6:$ZZ$1048576"), MATCH(AH$1, MarR!$6:$6, 0), FALSE),
            0
        ) +
        IFERROR(
            VLOOKUP($A100, INDIRECT("AbrR!$A$6:$ZZ$1048576"), MATCH(AH$1, AbrR!$6:$6, 0), FALSE),
            0
        ) +
        IFERROR(
            VLOOKUP($A100, INDIRECT("MayR!$A$6:$ZZ$1048576"), MATCH(AH$1, MayR!$6:$6, 0), FALSE),
            0
        ) +
        IFERROR(
            VLOOKUP($A100, INDIRECT("JunR!$A$6:$ZZ$1048576"), MATCH(AH$1, JunR!$6:$6, 0), FALSE),
            0
        ) +
        IFERROR(
            VLOOKUP($A100, INDIRECT("JulR!$A$6:$ZZ$1048576"), MATCH(AH$1, JulR!$6:$6, 0), FALSE),
            0
        ) +
        IFERROR(
            VLOOKUP($A100, INDIRECT("AgoR!$A$6:$ZZ$1048576"), MATCH(AH$1, AgoR!$6:$6, 0), FALSE),
            0
        ) +
        IFERROR(
            VLOOKUP($A100, INDIRECT("SepR!$A$6:$ZZ$1048576"), MATCH(AH$1, SepR!$6:$6, 0), FALSE),
            0
        ) +
        IFERROR(
            VLOOKUP($A100, INDIRECT("OctR!$A$6:$ZZ$1048576"), MATCH(AH$1, OctR!$6:$6, 0), FALSE),
            0
        ) +
        IFERROR(
            VLOOKUP($A100, INDIRECT("NovR!$A$6:$ZZ$1048576"), MATCH(AH$1, NovR!$6:$6, 0), FALSE),
            0
        ) +
        IFERROR(
            VLOOKUP($A100, INDIRECT("DicR!$A$6:$ZZ$1048576"), MATCH(AH$1, DicR!$6:$6, 0), FALSE),
            0
        )
)</f>
        <v>0</v>
      </c>
      <c r="AI100" s="37">
        <f t="array" ref="AI100">SUM(
    IFERROR(
            VLOOKUP($A100, INDIRECT("EneR!$A$6:$ZZ$1048576"), MATCH(AI$1, EneR!$6:$6, 0), FALSE),
            0
        ) +
        IFERROR(
            VLOOKUP($A100, INDIRECT("FebR!$A$6:$ZZ$1048576"), MATCH(AI$1, FebR!$6:$6, 0), FALSE),
            0
        ) +
        IFERROR(
            VLOOKUP($A100, INDIRECT("MarR!$A$6:$ZZ$1048576"), MATCH(AI$1, MarR!$6:$6, 0), FALSE),
            0
        ) +
        IFERROR(
            VLOOKUP($A100, INDIRECT("AbrR!$A$6:$ZZ$1048576"), MATCH(AI$1, AbrR!$6:$6, 0), FALSE),
            0
        ) +
        IFERROR(
            VLOOKUP($A100, INDIRECT("MayR!$A$6:$ZZ$1048576"), MATCH(AI$1, MayR!$6:$6, 0), FALSE),
            0
        ) +
        IFERROR(
            VLOOKUP($A100, INDIRECT("JunR!$A$6:$ZZ$1048576"), MATCH(AI$1, JunR!$6:$6, 0), FALSE),
            0
        ) +
        IFERROR(
            VLOOKUP($A100, INDIRECT("JulR!$A$6:$ZZ$1048576"), MATCH(AI$1, JulR!$6:$6, 0), FALSE),
            0
        ) +
        IFERROR(
            VLOOKUP($A100, INDIRECT("AgoR!$A$6:$ZZ$1048576"), MATCH(AI$1, AgoR!$6:$6, 0), FALSE),
            0
        ) +
        IFERROR(
            VLOOKUP($A100, INDIRECT("SepR!$A$6:$ZZ$1048576"), MATCH(AI$1, SepR!$6:$6, 0), FALSE),
            0
        ) +
        IFERROR(
            VLOOKUP($A100, INDIRECT("OctR!$A$6:$ZZ$1048576"), MATCH(AI$1, OctR!$6:$6, 0), FALSE),
            0
        ) +
        IFERROR(
            VLOOKUP($A100, INDIRECT("NovR!$A$6:$ZZ$1048576"), MATCH(AI$1, NovR!$6:$6, 0), FALSE),
            0
        ) +
        IFERROR(
            VLOOKUP($A100, INDIRECT("DicR!$A$6:$ZZ$1048576"), MATCH(AI$1, DicR!$6:$6, 0), FALSE),
            0
        )
)</f>
        <v>0</v>
      </c>
      <c r="AJ100" s="36">
        <f t="array" ref="AJ100">SUM(
    IFERROR(
            VLOOKUP($A100, INDIRECT("EneR!$A$6:$ZZ$1048576"), MATCH(AJ$1, EneR!$6:$6, 0), FALSE),
            0
        ) +
        IFERROR(
            VLOOKUP($A100, INDIRECT("FebR!$A$6:$ZZ$1048576"), MATCH(AJ$1, FebR!$6:$6, 0), FALSE),
            0
        ) +
        IFERROR(
            VLOOKUP($A100, INDIRECT("MarR!$A$6:$ZZ$1048576"), MATCH(AJ$1, MarR!$6:$6, 0), FALSE),
            0
        ) +
        IFERROR(
            VLOOKUP($A100, INDIRECT("AbrR!$A$6:$ZZ$1048576"), MATCH(AJ$1, AbrR!$6:$6, 0), FALSE),
            0
        ) +
        IFERROR(
            VLOOKUP($A100, INDIRECT("MayR!$A$6:$ZZ$1048576"), MATCH(AJ$1, MayR!$6:$6, 0), FALSE),
            0
        ) +
        IFERROR(
            VLOOKUP($A100, INDIRECT("JunR!$A$6:$ZZ$1048576"), MATCH(AJ$1, JunR!$6:$6, 0), FALSE),
            0
        ) +
        IFERROR(
            VLOOKUP($A100, INDIRECT("JulR!$A$6:$ZZ$1048576"), MATCH(AJ$1, JulR!$6:$6, 0), FALSE),
            0
        ) +
        IFERROR(
            VLOOKUP($A100, INDIRECT("AgoR!$A$6:$ZZ$1048576"), MATCH(AJ$1, AgoR!$6:$6, 0), FALSE),
            0
        ) +
        IFERROR(
            VLOOKUP($A100, INDIRECT("SepR!$A$6:$ZZ$1048576"), MATCH(AJ$1, SepR!$6:$6, 0), FALSE),
            0
        ) +
        IFERROR(
            VLOOKUP($A100, INDIRECT("OctR!$A$6:$ZZ$1048576"), MATCH(AJ$1, OctR!$6:$6, 0), FALSE),
            0
        ) +
        IFERROR(
            VLOOKUP($A100, INDIRECT("NovR!$A$6:$ZZ$1048576"), MATCH(AJ$1, NovR!$6:$6, 0), FALSE),
            0
        ) +
        IFERROR(
            VLOOKUP($A100, INDIRECT("DicR!$A$6:$ZZ$1048576"), MATCH(AJ$1, DicR!$6:$6, 0), FALSE),
            0
        )
)</f>
        <v>0</v>
      </c>
      <c r="AK100" s="37">
        <f t="array" ref="AK100">SUM(
    IFERROR(
            VLOOKUP($A100, INDIRECT("EneR!$A$6:$ZZ$1048576"), MATCH(AK$1, EneR!$6:$6, 0), FALSE),
            0
        ) +
        IFERROR(
            VLOOKUP($A100, INDIRECT("FebR!$A$6:$ZZ$1048576"), MATCH(AK$1, FebR!$6:$6, 0), FALSE),
            0
        ) +
        IFERROR(
            VLOOKUP($A100, INDIRECT("MarR!$A$6:$ZZ$1048576"), MATCH(AK$1, MarR!$6:$6, 0), FALSE),
            0
        ) +
        IFERROR(
            VLOOKUP($A100, INDIRECT("AbrR!$A$6:$ZZ$1048576"), MATCH(AK$1, AbrR!$6:$6, 0), FALSE),
            0
        ) +
        IFERROR(
            VLOOKUP($A100, INDIRECT("MayR!$A$6:$ZZ$1048576"), MATCH(AK$1, MayR!$6:$6, 0), FALSE),
            0
        ) +
        IFERROR(
            VLOOKUP($A100, INDIRECT("JunR!$A$6:$ZZ$1048576"), MATCH(AK$1, JunR!$6:$6, 0), FALSE),
            0
        ) +
        IFERROR(
            VLOOKUP($A100, INDIRECT("JulR!$A$6:$ZZ$1048576"), MATCH(AK$1, JulR!$6:$6, 0), FALSE),
            0
        ) +
        IFERROR(
            VLOOKUP($A100, INDIRECT("AgoR!$A$6:$ZZ$1048576"), MATCH(AK$1, AgoR!$6:$6, 0), FALSE),
            0
        ) +
        IFERROR(
            VLOOKUP($A100, INDIRECT("SepR!$A$6:$ZZ$1048576"), MATCH(AK$1, SepR!$6:$6, 0), FALSE),
            0
        ) +
        IFERROR(
            VLOOKUP($A100, INDIRECT("OctR!$A$6:$ZZ$1048576"), MATCH(AK$1, OctR!$6:$6, 0), FALSE),
            0
        ) +
        IFERROR(
            VLOOKUP($A100, INDIRECT("NovR!$A$6:$ZZ$1048576"), MATCH(AK$1, NovR!$6:$6, 0), FALSE),
            0
        ) +
        IFERROR(
            VLOOKUP($A100, INDIRECT("DicR!$A$6:$ZZ$1048576"), MATCH(AK$1, DicR!$6:$6, 0), FALSE),
            0
        )
)</f>
        <v>0</v>
      </c>
      <c r="AL100" s="36">
        <f t="array" ref="AL100">SUM(
    IFERROR(
            VLOOKUP($A100, INDIRECT("EneR!$A$6:$ZZ$1048576"), MATCH(AL$1, EneR!$6:$6, 0), FALSE),
            0
        ) +
        IFERROR(
            VLOOKUP($A100, INDIRECT("FebR!$A$6:$ZZ$1048576"), MATCH(AL$1, FebR!$6:$6, 0), FALSE),
            0
        ) +
        IFERROR(
            VLOOKUP($A100, INDIRECT("MarR!$A$6:$ZZ$1048576"), MATCH(AL$1, MarR!$6:$6, 0), FALSE),
            0
        ) +
        IFERROR(
            VLOOKUP($A100, INDIRECT("AbrR!$A$6:$ZZ$1048576"), MATCH(AL$1, AbrR!$6:$6, 0), FALSE),
            0
        ) +
        IFERROR(
            VLOOKUP($A100, INDIRECT("MayR!$A$6:$ZZ$1048576"), MATCH(AL$1, MayR!$6:$6, 0), FALSE),
            0
        ) +
        IFERROR(
            VLOOKUP($A100, INDIRECT("JunR!$A$6:$ZZ$1048576"), MATCH(AL$1, JunR!$6:$6, 0), FALSE),
            0
        ) +
        IFERROR(
            VLOOKUP($A100, INDIRECT("JulR!$A$6:$ZZ$1048576"), MATCH(AL$1, JulR!$6:$6, 0), FALSE),
            0
        ) +
        IFERROR(
            VLOOKUP($A100, INDIRECT("AgoR!$A$6:$ZZ$1048576"), MATCH(AL$1, AgoR!$6:$6, 0), FALSE),
            0
        ) +
        IFERROR(
            VLOOKUP($A100, INDIRECT("SepR!$A$6:$ZZ$1048576"), MATCH(AL$1, SepR!$6:$6, 0), FALSE),
            0
        ) +
        IFERROR(
            VLOOKUP($A100, INDIRECT("OctR!$A$6:$ZZ$1048576"), MATCH(AL$1, OctR!$6:$6, 0), FALSE),
            0
        ) +
        IFERROR(
            VLOOKUP($A100, INDIRECT("NovR!$A$6:$ZZ$1048576"), MATCH(AL$1, NovR!$6:$6, 0), FALSE),
            0
        ) +
        IFERROR(
            VLOOKUP($A100, INDIRECT("DicR!$A$6:$ZZ$1048576"), MATCH(AL$1, DicR!$6:$6, 0), FALSE),
            0
        )
)</f>
        <v>0</v>
      </c>
      <c r="AM100" s="37">
        <f t="array" ref="AM100">SUM(
    IFERROR(
            VLOOKUP($A100, INDIRECT("EneR!$A$6:$ZZ$1048576"), MATCH(AM$1, EneR!$6:$6, 0), FALSE),
            0
        ) +
        IFERROR(
            VLOOKUP($A100, INDIRECT("FebR!$A$6:$ZZ$1048576"), MATCH(AM$1, FebR!$6:$6, 0), FALSE),
            0
        ) +
        IFERROR(
            VLOOKUP($A100, INDIRECT("MarR!$A$6:$ZZ$1048576"), MATCH(AM$1, MarR!$6:$6, 0), FALSE),
            0
        ) +
        IFERROR(
            VLOOKUP($A100, INDIRECT("AbrR!$A$6:$ZZ$1048576"), MATCH(AM$1, AbrR!$6:$6, 0), FALSE),
            0
        ) +
        IFERROR(
            VLOOKUP($A100, INDIRECT("MayR!$A$6:$ZZ$1048576"), MATCH(AM$1, MayR!$6:$6, 0), FALSE),
            0
        ) +
        IFERROR(
            VLOOKUP($A100, INDIRECT("JunR!$A$6:$ZZ$1048576"), MATCH(AM$1, JunR!$6:$6, 0), FALSE),
            0
        ) +
        IFERROR(
            VLOOKUP($A100, INDIRECT("JulR!$A$6:$ZZ$1048576"), MATCH(AM$1, JulR!$6:$6, 0), FALSE),
            0
        ) +
        IFERROR(
            VLOOKUP($A100, INDIRECT("AgoR!$A$6:$ZZ$1048576"), MATCH(AM$1, AgoR!$6:$6, 0), FALSE),
            0
        ) +
        IFERROR(
            VLOOKUP($A100, INDIRECT("SepR!$A$6:$ZZ$1048576"), MATCH(AM$1, SepR!$6:$6, 0), FALSE),
            0
        ) +
        IFERROR(
            VLOOKUP($A100, INDIRECT("OctR!$A$6:$ZZ$1048576"), MATCH(AM$1, OctR!$6:$6, 0), FALSE),
            0
        ) +
        IFERROR(
            VLOOKUP($A100, INDIRECT("NovR!$A$6:$ZZ$1048576"), MATCH(AM$1, NovR!$6:$6, 0), FALSE),
            0
        ) +
        IFERROR(
            VLOOKUP($A100, INDIRECT("DicR!$A$6:$ZZ$1048576"), MATCH(AM$1, DicR!$6:$6, 0), FALSE),
            0
        )
)</f>
        <v>0</v>
      </c>
      <c r="AN100" s="32">
        <f t="array" ref="AN100">SUM(
    IFERROR(
            VLOOKUP($A100, INDIRECT("EneR!$A$6:$ZZ$1048576"), MATCH(AN$1, EneR!$6:$6, 0), FALSE),
            0
        ) +
        IFERROR(
            VLOOKUP($A100, INDIRECT("FebR!$A$6:$ZZ$1048576"), MATCH(AN$1, FebR!$6:$6, 0), FALSE),
            0
        ) +
        IFERROR(
            VLOOKUP($A100, INDIRECT("MarR!$A$6:$ZZ$1048576"), MATCH(AN$1, MarR!$6:$6, 0), FALSE),
            0
        ) +
        IFERROR(
            VLOOKUP($A100, INDIRECT("AbrR!$A$6:$ZZ$1048576"), MATCH(AN$1, AbrR!$6:$6, 0), FALSE),
            0
        ) +
        IFERROR(
            VLOOKUP($A100, INDIRECT("MayR!$A$6:$ZZ$1048576"), MATCH(AN$1, MayR!$6:$6, 0), FALSE),
            0
        ) +
        IFERROR(
            VLOOKUP($A100, INDIRECT("JunR!$A$6:$ZZ$1048576"), MATCH(AN$1, JunR!$6:$6, 0), FALSE),
            0
        ) +
        IFERROR(
            VLOOKUP($A100, INDIRECT("JulR!$A$6:$ZZ$1048576"), MATCH(AN$1, JulR!$6:$6, 0), FALSE),
            0
        ) +
        IFERROR(
            VLOOKUP($A100, INDIRECT("AgoR!$A$6:$ZZ$1048576"), MATCH(AN$1, AgoR!$6:$6, 0), FALSE),
            0
        ) +
        IFERROR(
            VLOOKUP($A100, INDIRECT("SepR!$A$6:$ZZ$1048576"), MATCH(AN$1, SepR!$6:$6, 0), FALSE),
            0
        ) +
        IFERROR(
            VLOOKUP($A100, INDIRECT("OctR!$A$6:$ZZ$1048576"), MATCH(AN$1, OctR!$6:$6, 0), FALSE),
            0
        ) +
        IFERROR(
            VLOOKUP($A100, INDIRECT("NovR!$A$6:$ZZ$1048576"), MATCH(AN$1, NovR!$6:$6, 0), FALSE),
            0
        ) +
        IFERROR(
            VLOOKUP($A100, INDIRECT("DicR!$A$6:$ZZ$1048576"), MATCH(AN$1, DicR!$6:$6, 0), FALSE),
            0
        )
)</f>
        <v>0</v>
      </c>
      <c r="AO100" s="35">
        <f t="array" ref="AO100">SUM(
    IFERROR(
            VLOOKUP($A100, INDIRECT("EneR!$A$6:$ZZ$1048576"), MATCH(AO$1, EneR!$6:$6, 0), FALSE),
            0
        ) +
        IFERROR(
            VLOOKUP($A100, INDIRECT("FebR!$A$6:$ZZ$1048576"), MATCH(AO$1, FebR!$6:$6, 0), FALSE),
            0
        ) +
        IFERROR(
            VLOOKUP($A100, INDIRECT("MarR!$A$6:$ZZ$1048576"), MATCH(AO$1, MarR!$6:$6, 0), FALSE),
            0
        ) +
        IFERROR(
            VLOOKUP($A100, INDIRECT("AbrR!$A$6:$ZZ$1048576"), MATCH(AO$1, AbrR!$6:$6, 0), FALSE),
            0
        ) +
        IFERROR(
            VLOOKUP($A100, INDIRECT("MayR!$A$6:$ZZ$1048576"), MATCH(AO$1, MayR!$6:$6, 0), FALSE),
            0
        ) +
        IFERROR(
            VLOOKUP($A100, INDIRECT("JunR!$A$6:$ZZ$1048576"), MATCH(AO$1, JunR!$6:$6, 0), FALSE),
            0
        ) +
        IFERROR(
            VLOOKUP($A100, INDIRECT("JulR!$A$6:$ZZ$1048576"), MATCH(AO$1, JulR!$6:$6, 0), FALSE),
            0
        ) +
        IFERROR(
            VLOOKUP($A100, INDIRECT("AgoR!$A$6:$ZZ$1048576"), MATCH(AO$1, AgoR!$6:$6, 0), FALSE),
            0
        ) +
        IFERROR(
            VLOOKUP($A100, INDIRECT("SepR!$A$6:$ZZ$1048576"), MATCH(AO$1, SepR!$6:$6, 0), FALSE),
            0
        ) +
        IFERROR(
            VLOOKUP($A100, INDIRECT("OctR!$A$6:$ZZ$1048576"), MATCH(AO$1, OctR!$6:$6, 0), FALSE),
            0
        ) +
        IFERROR(
            VLOOKUP($A100, INDIRECT("NovR!$A$6:$ZZ$1048576"), MATCH(AO$1, NovR!$6:$6, 0), FALSE),
            0
        ) +
        IFERROR(
            VLOOKUP($A100, INDIRECT("DicR!$A$6:$ZZ$1048576"), MATCH(AO$1, DicR!$6:$6, 0), FALSE),
            0
        )
)</f>
        <v>0</v>
      </c>
      <c r="AP100" s="36">
        <f t="array" ref="AP100">SUM(
    IFERROR(
            VLOOKUP($A100, INDIRECT("EneR!$A$6:$ZZ$1048576"), MATCH(AP$1, EneR!$6:$6, 0), FALSE),
            0
        ) +
        IFERROR(
            VLOOKUP($A100, INDIRECT("FebR!$A$6:$ZZ$1048576"), MATCH(AP$1, FebR!$6:$6, 0), FALSE),
            0
        ) +
        IFERROR(
            VLOOKUP($A100, INDIRECT("MarR!$A$6:$ZZ$1048576"), MATCH(AP$1, MarR!$6:$6, 0), FALSE),
            0
        ) +
        IFERROR(
            VLOOKUP($A100, INDIRECT("AbrR!$A$6:$ZZ$1048576"), MATCH(AP$1, AbrR!$6:$6, 0), FALSE),
            0
        ) +
        IFERROR(
            VLOOKUP($A100, INDIRECT("MayR!$A$6:$ZZ$1048576"), MATCH(AP$1, MayR!$6:$6, 0), FALSE),
            0
        ) +
        IFERROR(
            VLOOKUP($A100, INDIRECT("JunR!$A$6:$ZZ$1048576"), MATCH(AP$1, JunR!$6:$6, 0), FALSE),
            0
        ) +
        IFERROR(
            VLOOKUP($A100, INDIRECT("JulR!$A$6:$ZZ$1048576"), MATCH(AP$1, JulR!$6:$6, 0), FALSE),
            0
        ) +
        IFERROR(
            VLOOKUP($A100, INDIRECT("AgoR!$A$6:$ZZ$1048576"), MATCH(AP$1, AgoR!$6:$6, 0), FALSE),
            0
        ) +
        IFERROR(
            VLOOKUP($A100, INDIRECT("SepR!$A$6:$ZZ$1048576"), MATCH(AP$1, SepR!$6:$6, 0), FALSE),
            0
        ) +
        IFERROR(
            VLOOKUP($A100, INDIRECT("OctR!$A$6:$ZZ$1048576"), MATCH(AP$1, OctR!$6:$6, 0), FALSE),
            0
        ) +
        IFERROR(
            VLOOKUP($A100, INDIRECT("NovR!$A$6:$ZZ$1048576"), MATCH(AP$1, NovR!$6:$6, 0), FALSE),
            0
        ) +
        IFERROR(
            VLOOKUP($A100, INDIRECT("DicR!$A$6:$ZZ$1048576"), MATCH(AP$1, DicR!$6:$6, 0), FALSE),
            0
        )
)</f>
        <v>0</v>
      </c>
      <c r="AQ100" s="35">
        <f t="array" ref="AQ100">SUM(
    IFERROR(
            VLOOKUP($A100, INDIRECT("EneR!$A$6:$ZZ$1048576"), MATCH(AQ$1, EneR!$6:$6, 0), FALSE),
            0
        ) +
        IFERROR(
            VLOOKUP($A100, INDIRECT("FebR!$A$6:$ZZ$1048576"), MATCH(AQ$1, FebR!$6:$6, 0), FALSE),
            0
        ) +
        IFERROR(
            VLOOKUP($A100, INDIRECT("MarR!$A$6:$ZZ$1048576"), MATCH(AQ$1, MarR!$6:$6, 0), FALSE),
            0
        ) +
        IFERROR(
            VLOOKUP($A100, INDIRECT("AbrR!$A$6:$ZZ$1048576"), MATCH(AQ$1, AbrR!$6:$6, 0), FALSE),
            0
        ) +
        IFERROR(
            VLOOKUP($A100, INDIRECT("MayR!$A$6:$ZZ$1048576"), MATCH(AQ$1, MayR!$6:$6, 0), FALSE),
            0
        ) +
        IFERROR(
            VLOOKUP($A100, INDIRECT("JunR!$A$6:$ZZ$1048576"), MATCH(AQ$1, JunR!$6:$6, 0), FALSE),
            0
        ) +
        IFERROR(
            VLOOKUP($A100, INDIRECT("JulR!$A$6:$ZZ$1048576"), MATCH(AQ$1, JulR!$6:$6, 0), FALSE),
            0
        ) +
        IFERROR(
            VLOOKUP($A100, INDIRECT("AgoR!$A$6:$ZZ$1048576"), MATCH(AQ$1, AgoR!$6:$6, 0), FALSE),
            0
        ) +
        IFERROR(
            VLOOKUP($A100, INDIRECT("SepR!$A$6:$ZZ$1048576"), MATCH(AQ$1, SepR!$6:$6, 0), FALSE),
            0
        ) +
        IFERROR(
            VLOOKUP($A100, INDIRECT("OctR!$A$6:$ZZ$1048576"), MATCH(AQ$1, OctR!$6:$6, 0), FALSE),
            0
        ) +
        IFERROR(
            VLOOKUP($A100, INDIRECT("NovR!$A$6:$ZZ$1048576"), MATCH(AQ$1, NovR!$6:$6, 0), FALSE),
            0
        ) +
        IFERROR(
            VLOOKUP($A100, INDIRECT("DicR!$A$6:$ZZ$1048576"), MATCH(AQ$1, DicR!$6:$6, 0), FALSE),
            0
        )
)</f>
        <v>0</v>
      </c>
      <c r="AR100" s="36">
        <f t="array" ref="AR100">SUM(
    IFERROR(
            VLOOKUP($A100, INDIRECT("EneR!$A$6:$ZZ$1048576"), MATCH(AR$1, EneR!$6:$6, 0), FALSE),
            0
        ) +
        IFERROR(
            VLOOKUP($A100, INDIRECT("FebR!$A$6:$ZZ$1048576"), MATCH(AR$1, FebR!$6:$6, 0), FALSE),
            0
        ) +
        IFERROR(
            VLOOKUP($A100, INDIRECT("MarR!$A$6:$ZZ$1048576"), MATCH(AR$1, MarR!$6:$6, 0), FALSE),
            0
        ) +
        IFERROR(
            VLOOKUP($A100, INDIRECT("AbrR!$A$6:$ZZ$1048576"), MATCH(AR$1, AbrR!$6:$6, 0), FALSE),
            0
        ) +
        IFERROR(
            VLOOKUP($A100, INDIRECT("MayR!$A$6:$ZZ$1048576"), MATCH(AR$1, MayR!$6:$6, 0), FALSE),
            0
        ) +
        IFERROR(
            VLOOKUP($A100, INDIRECT("JunR!$A$6:$ZZ$1048576"), MATCH(AR$1, JunR!$6:$6, 0), FALSE),
            0
        ) +
        IFERROR(
            VLOOKUP($A100, INDIRECT("JulR!$A$6:$ZZ$1048576"), MATCH(AR$1, JulR!$6:$6, 0), FALSE),
            0
        ) +
        IFERROR(
            VLOOKUP($A100, INDIRECT("AgoR!$A$6:$ZZ$1048576"), MATCH(AR$1, AgoR!$6:$6, 0), FALSE),
            0
        ) +
        IFERROR(
            VLOOKUP($A100, INDIRECT("SepR!$A$6:$ZZ$1048576"), MATCH(AR$1, SepR!$6:$6, 0), FALSE),
            0
        ) +
        IFERROR(
            VLOOKUP($A100, INDIRECT("OctR!$A$6:$ZZ$1048576"), MATCH(AR$1, OctR!$6:$6, 0), FALSE),
            0
        ) +
        IFERROR(
            VLOOKUP($A100, INDIRECT("NovR!$A$6:$ZZ$1048576"), MATCH(AR$1, NovR!$6:$6, 0), FALSE),
            0
        ) +
        IFERROR(
            VLOOKUP($A100, INDIRECT("DicR!$A$6:$ZZ$1048576"), MATCH(AR$1, DicR!$6:$6, 0), FALSE),
            0
        )
)</f>
        <v>0</v>
      </c>
      <c r="AS100" s="35">
        <f t="array" ref="AS100">SUM(
    IFERROR(
            VLOOKUP($A100, INDIRECT("EneR!$A$6:$ZZ$1048576"), MATCH(AS$1, EneR!$6:$6, 0), FALSE),
            0
        ) +
        IFERROR(
            VLOOKUP($A100, INDIRECT("FebR!$A$6:$ZZ$1048576"), MATCH(AS$1, FebR!$6:$6, 0), FALSE),
            0
        ) +
        IFERROR(
            VLOOKUP($A100, INDIRECT("MarR!$A$6:$ZZ$1048576"), MATCH(AS$1, MarR!$6:$6, 0), FALSE),
            0
        ) +
        IFERROR(
            VLOOKUP($A100, INDIRECT("AbrR!$A$6:$ZZ$1048576"), MATCH(AS$1, AbrR!$6:$6, 0), FALSE),
            0
        ) +
        IFERROR(
            VLOOKUP($A100, INDIRECT("MayR!$A$6:$ZZ$1048576"), MATCH(AS$1, MayR!$6:$6, 0), FALSE),
            0
        ) +
        IFERROR(
            VLOOKUP($A100, INDIRECT("JunR!$A$6:$ZZ$1048576"), MATCH(AS$1, JunR!$6:$6, 0), FALSE),
            0
        ) +
        IFERROR(
            VLOOKUP($A100, INDIRECT("JulR!$A$6:$ZZ$1048576"), MATCH(AS$1, JulR!$6:$6, 0), FALSE),
            0
        ) +
        IFERROR(
            VLOOKUP($A100, INDIRECT("AgoR!$A$6:$ZZ$1048576"), MATCH(AS$1, AgoR!$6:$6, 0), FALSE),
            0
        ) +
        IFERROR(
            VLOOKUP($A100, INDIRECT("SepR!$A$6:$ZZ$1048576"), MATCH(AS$1, SepR!$6:$6, 0), FALSE),
            0
        ) +
        IFERROR(
            VLOOKUP($A100, INDIRECT("OctR!$A$6:$ZZ$1048576"), MATCH(AS$1, OctR!$6:$6, 0), FALSE),
            0
        ) +
        IFERROR(
            VLOOKUP($A100, INDIRECT("NovR!$A$6:$ZZ$1048576"), MATCH(AS$1, NovR!$6:$6, 0), FALSE),
            0
        ) +
        IFERROR(
            VLOOKUP($A100, INDIRECT("DicR!$A$6:$ZZ$1048576"), MATCH(AS$1, DicR!$6:$6, 0), FALSE),
            0
        )
)</f>
        <v>0</v>
      </c>
      <c r="AT100" s="36">
        <f t="array" ref="AT100">SUM(
    IFERROR(
            VLOOKUP($A100, INDIRECT("EneR!$A$6:$ZZ$1048576"), MATCH(AT$1, EneR!$6:$6, 0), FALSE),
            0
        ) +
        IFERROR(
            VLOOKUP($A100, INDIRECT("FebR!$A$6:$ZZ$1048576"), MATCH(AT$1, FebR!$6:$6, 0), FALSE),
            0
        ) +
        IFERROR(
            VLOOKUP($A100, INDIRECT("MarR!$A$6:$ZZ$1048576"), MATCH(AT$1, MarR!$6:$6, 0), FALSE),
            0
        ) +
        IFERROR(
            VLOOKUP($A100, INDIRECT("AbrR!$A$6:$ZZ$1048576"), MATCH(AT$1, AbrR!$6:$6, 0), FALSE),
            0
        ) +
        IFERROR(
            VLOOKUP($A100, INDIRECT("MayR!$A$6:$ZZ$1048576"), MATCH(AT$1, MayR!$6:$6, 0), FALSE),
            0
        ) +
        IFERROR(
            VLOOKUP($A100, INDIRECT("JunR!$A$6:$ZZ$1048576"), MATCH(AT$1, JunR!$6:$6, 0), FALSE),
            0
        ) +
        IFERROR(
            VLOOKUP($A100, INDIRECT("JulR!$A$6:$ZZ$1048576"), MATCH(AT$1, JulR!$6:$6, 0), FALSE),
            0
        ) +
        IFERROR(
            VLOOKUP($A100, INDIRECT("AgoR!$A$6:$ZZ$1048576"), MATCH(AT$1, AgoR!$6:$6, 0), FALSE),
            0
        ) +
        IFERROR(
            VLOOKUP($A100, INDIRECT("SepR!$A$6:$ZZ$1048576"), MATCH(AT$1, SepR!$6:$6, 0), FALSE),
            0
        ) +
        IFERROR(
            VLOOKUP($A100, INDIRECT("OctR!$A$6:$ZZ$1048576"), MATCH(AT$1, OctR!$6:$6, 0), FALSE),
            0
        ) +
        IFERROR(
            VLOOKUP($A100, INDIRECT("NovR!$A$6:$ZZ$1048576"), MATCH(AT$1, NovR!$6:$6, 0), FALSE),
            0
        ) +
        IFERROR(
            VLOOKUP($A100, INDIRECT("DicR!$A$6:$ZZ$1048576"), MATCH(AT$1, DicR!$6:$6, 0), FALSE),
            0
        )
)</f>
        <v>0</v>
      </c>
      <c r="AU100" s="35">
        <f t="array" ref="AU100">SUM(
    IFERROR(
            VLOOKUP($A100, INDIRECT("EneR!$A$6:$ZZ$1048576"), MATCH(AU$1, EneR!$6:$6, 0), FALSE),
            0
        ) +
        IFERROR(
            VLOOKUP($A100, INDIRECT("FebR!$A$6:$ZZ$1048576"), MATCH(AU$1, FebR!$6:$6, 0), FALSE),
            0
        ) +
        IFERROR(
            VLOOKUP($A100, INDIRECT("MarR!$A$6:$ZZ$1048576"), MATCH(AU$1, MarR!$6:$6, 0), FALSE),
            0
        ) +
        IFERROR(
            VLOOKUP($A100, INDIRECT("AbrR!$A$6:$ZZ$1048576"), MATCH(AU$1, AbrR!$6:$6, 0), FALSE),
            0
        ) +
        IFERROR(
            VLOOKUP($A100, INDIRECT("MayR!$A$6:$ZZ$1048576"), MATCH(AU$1, MayR!$6:$6, 0), FALSE),
            0
        ) +
        IFERROR(
            VLOOKUP($A100, INDIRECT("JunR!$A$6:$ZZ$1048576"), MATCH(AU$1, JunR!$6:$6, 0), FALSE),
            0
        ) +
        IFERROR(
            VLOOKUP($A100, INDIRECT("JulR!$A$6:$ZZ$1048576"), MATCH(AU$1, JulR!$6:$6, 0), FALSE),
            0
        ) +
        IFERROR(
            VLOOKUP($A100, INDIRECT("AgoR!$A$6:$ZZ$1048576"), MATCH(AU$1, AgoR!$6:$6, 0), FALSE),
            0
        ) +
        IFERROR(
            VLOOKUP($A100, INDIRECT("SepR!$A$6:$ZZ$1048576"), MATCH(AU$1, SepR!$6:$6, 0), FALSE),
            0
        ) +
        IFERROR(
            VLOOKUP($A100, INDIRECT("OctR!$A$6:$ZZ$1048576"), MATCH(AU$1, OctR!$6:$6, 0), FALSE),
            0
        ) +
        IFERROR(
            VLOOKUP($A100, INDIRECT("NovR!$A$6:$ZZ$1048576"), MATCH(AU$1, NovR!$6:$6, 0), FALSE),
            0
        ) +
        IFERROR(
            VLOOKUP($A100, INDIRECT("DicR!$A$6:$ZZ$1048576"), MATCH(AU$1, DicR!$6:$6, 0), FALSE),
            0
        )
)</f>
        <v>0</v>
      </c>
      <c r="AV100" s="36">
        <f t="array" ref="AV100">SUM(
    IFERROR(
            VLOOKUP($A100, INDIRECT("EneR!$A$6:$ZZ$1048576"), MATCH(AV$1, EneR!$6:$6, 0), FALSE),
            0
        ) +
        IFERROR(
            VLOOKUP($A100, INDIRECT("FebR!$A$6:$ZZ$1048576"), MATCH(AV$1, FebR!$6:$6, 0), FALSE),
            0
        ) +
        IFERROR(
            VLOOKUP($A100, INDIRECT("MarR!$A$6:$ZZ$1048576"), MATCH(AV$1, MarR!$6:$6, 0), FALSE),
            0
        ) +
        IFERROR(
            VLOOKUP($A100, INDIRECT("AbrR!$A$6:$ZZ$1048576"), MATCH(AV$1, AbrR!$6:$6, 0), FALSE),
            0
        ) +
        IFERROR(
            VLOOKUP($A100, INDIRECT("MayR!$A$6:$ZZ$1048576"), MATCH(AV$1, MayR!$6:$6, 0), FALSE),
            0
        ) +
        IFERROR(
            VLOOKUP($A100, INDIRECT("JunR!$A$6:$ZZ$1048576"), MATCH(AV$1, JunR!$6:$6, 0), FALSE),
            0
        ) +
        IFERROR(
            VLOOKUP($A100, INDIRECT("JulR!$A$6:$ZZ$1048576"), MATCH(AV$1, JulR!$6:$6, 0), FALSE),
            0
        ) +
        IFERROR(
            VLOOKUP($A100, INDIRECT("AgoR!$A$6:$ZZ$1048576"), MATCH(AV$1, AgoR!$6:$6, 0), FALSE),
            0
        ) +
        IFERROR(
            VLOOKUP($A100, INDIRECT("SepR!$A$6:$ZZ$1048576"), MATCH(AV$1, SepR!$6:$6, 0), FALSE),
            0
        ) +
        IFERROR(
            VLOOKUP($A100, INDIRECT("OctR!$A$6:$ZZ$1048576"), MATCH(AV$1, OctR!$6:$6, 0), FALSE),
            0
        ) +
        IFERROR(
            VLOOKUP($A100, INDIRECT("NovR!$A$6:$ZZ$1048576"), MATCH(AV$1, NovR!$6:$6, 0), FALSE),
            0
        ) +
        IFERROR(
            VLOOKUP($A100, INDIRECT("DicR!$A$6:$ZZ$1048576"), MATCH(AV$1, DicR!$6:$6, 0), FALSE),
            0
        )
)</f>
        <v>0</v>
      </c>
      <c r="AW100" s="35">
        <f t="array" ref="AW100">SUM(
    IFERROR(
            VLOOKUP($A100, INDIRECT("EneR!$A$6:$ZZ$1048576"), MATCH(AW$1, EneR!$6:$6, 0), FALSE),
            0
        ) +
        IFERROR(
            VLOOKUP($A100, INDIRECT("FebR!$A$6:$ZZ$1048576"), MATCH(AW$1, FebR!$6:$6, 0), FALSE),
            0
        ) +
        IFERROR(
            VLOOKUP($A100, INDIRECT("MarR!$A$6:$ZZ$1048576"), MATCH(AW$1, MarR!$6:$6, 0), FALSE),
            0
        ) +
        IFERROR(
            VLOOKUP($A100, INDIRECT("AbrR!$A$6:$ZZ$1048576"), MATCH(AW$1, AbrR!$6:$6, 0), FALSE),
            0
        ) +
        IFERROR(
            VLOOKUP($A100, INDIRECT("MayR!$A$6:$ZZ$1048576"), MATCH(AW$1, MayR!$6:$6, 0), FALSE),
            0
        ) +
        IFERROR(
            VLOOKUP($A100, INDIRECT("JunR!$A$6:$ZZ$1048576"), MATCH(AW$1, JunR!$6:$6, 0), FALSE),
            0
        ) +
        IFERROR(
            VLOOKUP($A100, INDIRECT("JulR!$A$6:$ZZ$1048576"), MATCH(AW$1, JulR!$6:$6, 0), FALSE),
            0
        ) +
        IFERROR(
            VLOOKUP($A100, INDIRECT("AgoR!$A$6:$ZZ$1048576"), MATCH(AW$1, AgoR!$6:$6, 0), FALSE),
            0
        ) +
        IFERROR(
            VLOOKUP($A100, INDIRECT("SepR!$A$6:$ZZ$1048576"), MATCH(AW$1, SepR!$6:$6, 0), FALSE),
            0
        ) +
        IFERROR(
            VLOOKUP($A100, INDIRECT("OctR!$A$6:$ZZ$1048576"), MATCH(AW$1, OctR!$6:$6, 0), FALSE),
            0
        ) +
        IFERROR(
            VLOOKUP($A100, INDIRECT("NovR!$A$6:$ZZ$1048576"), MATCH(AW$1, NovR!$6:$6, 0), FALSE),
            0
        ) +
        IFERROR(
            VLOOKUP($A100, INDIRECT("DicR!$A$6:$ZZ$1048576"), MATCH(AW$1, DicR!$6:$6, 0), FALSE),
            0
        )
)</f>
        <v>0</v>
      </c>
      <c r="AX100" s="36">
        <f t="array" ref="AX100">SUM(
    IFERROR(
            VLOOKUP($A100, INDIRECT("EneR!$A$6:$ZZ$1048576"), MATCH(AX$1, EneR!$6:$6, 0), FALSE),
            0
        ) +
        IFERROR(
            VLOOKUP($A100, INDIRECT("FebR!$A$6:$ZZ$1048576"), MATCH(AX$1, FebR!$6:$6, 0), FALSE),
            0
        ) +
        IFERROR(
            VLOOKUP($A100, INDIRECT("MarR!$A$6:$ZZ$1048576"), MATCH(AX$1, MarR!$6:$6, 0), FALSE),
            0
        ) +
        IFERROR(
            VLOOKUP($A100, INDIRECT("AbrR!$A$6:$ZZ$1048576"), MATCH(AX$1, AbrR!$6:$6, 0), FALSE),
            0
        ) +
        IFERROR(
            VLOOKUP($A100, INDIRECT("MayR!$A$6:$ZZ$1048576"), MATCH(AX$1, MayR!$6:$6, 0), FALSE),
            0
        ) +
        IFERROR(
            VLOOKUP($A100, INDIRECT("JunR!$A$6:$ZZ$1048576"), MATCH(AX$1, JunR!$6:$6, 0), FALSE),
            0
        ) +
        IFERROR(
            VLOOKUP($A100, INDIRECT("JulR!$A$6:$ZZ$1048576"), MATCH(AX$1, JulR!$6:$6, 0), FALSE),
            0
        ) +
        IFERROR(
            VLOOKUP($A100, INDIRECT("AgoR!$A$6:$ZZ$1048576"), MATCH(AX$1, AgoR!$6:$6, 0), FALSE),
            0
        ) +
        IFERROR(
            VLOOKUP($A100, INDIRECT("SepR!$A$6:$ZZ$1048576"), MATCH(AX$1, SepR!$6:$6, 0), FALSE),
            0
        ) +
        IFERROR(
            VLOOKUP($A100, INDIRECT("OctR!$A$6:$ZZ$1048576"), MATCH(AX$1, OctR!$6:$6, 0), FALSE),
            0
        ) +
        IFERROR(
            VLOOKUP($A100, INDIRECT("NovR!$A$6:$ZZ$1048576"), MATCH(AX$1, NovR!$6:$6, 0), FALSE),
            0
        ) +
        IFERROR(
            VLOOKUP($A100, INDIRECT("DicR!$A$6:$ZZ$1048576"), MATCH(AX$1, DicR!$6:$6, 0), FALSE),
            0
        )
)</f>
        <v>0</v>
      </c>
      <c r="AY100" s="35">
        <f t="array" ref="AY100">SUM(
    IFERROR(
            VLOOKUP($A100, INDIRECT("EneR!$A$6:$ZZ$1048576"), MATCH(AY$1, EneR!$6:$6, 0), FALSE),
            0
        ) +
        IFERROR(
            VLOOKUP($A100, INDIRECT("FebR!$A$6:$ZZ$1048576"), MATCH(AY$1, FebR!$6:$6, 0), FALSE),
            0
        ) +
        IFERROR(
            VLOOKUP($A100, INDIRECT("MarR!$A$6:$ZZ$1048576"), MATCH(AY$1, MarR!$6:$6, 0), FALSE),
            0
        ) +
        IFERROR(
            VLOOKUP($A100, INDIRECT("AbrR!$A$6:$ZZ$1048576"), MATCH(AY$1, AbrR!$6:$6, 0), FALSE),
            0
        ) +
        IFERROR(
            VLOOKUP($A100, INDIRECT("MayR!$A$6:$ZZ$1048576"), MATCH(AY$1, MayR!$6:$6, 0), FALSE),
            0
        ) +
        IFERROR(
            VLOOKUP($A100, INDIRECT("JunR!$A$6:$ZZ$1048576"), MATCH(AY$1, JunR!$6:$6, 0), FALSE),
            0
        ) +
        IFERROR(
            VLOOKUP($A100, INDIRECT("JulR!$A$6:$ZZ$1048576"), MATCH(AY$1, JulR!$6:$6, 0), FALSE),
            0
        ) +
        IFERROR(
            VLOOKUP($A100, INDIRECT("AgoR!$A$6:$ZZ$1048576"), MATCH(AY$1, AgoR!$6:$6, 0), FALSE),
            0
        ) +
        IFERROR(
            VLOOKUP($A100, INDIRECT("SepR!$A$6:$ZZ$1048576"), MATCH(AY$1, SepR!$6:$6, 0), FALSE),
            0
        ) +
        IFERROR(
            VLOOKUP($A100, INDIRECT("OctR!$A$6:$ZZ$1048576"), MATCH(AY$1, OctR!$6:$6, 0), FALSE),
            0
        ) +
        IFERROR(
            VLOOKUP($A100, INDIRECT("NovR!$A$6:$ZZ$1048576"), MATCH(AY$1, NovR!$6:$6, 0), FALSE),
            0
        ) +
        IFERROR(
            VLOOKUP($A100, INDIRECT("DicR!$A$6:$ZZ$1048576"), MATCH(AY$1, DicR!$6:$6, 0), FALSE),
            0
        )
)</f>
        <v>0</v>
      </c>
      <c r="AZ100" s="35"/>
    </row>
    <row r="101" ht="15.75" hidden="1" customHeight="1">
      <c r="A101" s="12" t="str">
        <f>Menus!B64</f>
        <v/>
      </c>
      <c r="B101" s="32">
        <f t="shared" si="11"/>
        <v>0</v>
      </c>
      <c r="C101" s="33" t="str">
        <f t="shared" si="10"/>
        <v/>
      </c>
      <c r="D101" s="34">
        <f t="array" ref="D101">SUM(
    IFERROR(
            VLOOKUP($A101, INDIRECT("EneR!$A$6:$ZZ$1048576"), MATCH(D$1, EneR!$6:$6, 0), FALSE),
            0
        ) +
        IFERROR(
            VLOOKUP($A101, INDIRECT("FebR!$A$6:$ZZ$1048576"), MATCH(D$1, FebR!$6:$6, 0), FALSE),
            0
        ) +
        IFERROR(
            VLOOKUP($A101, INDIRECT("MarR!$A$6:$ZZ$1048576"), MATCH(D$1, MarR!$6:$6, 0), FALSE),
            0
        ) +
        IFERROR(
            VLOOKUP($A101, INDIRECT("AbrR!$A$6:$ZZ$1048576"), MATCH(D$1, AbrR!$6:$6, 0), FALSE),
            0
        ) +
        IFERROR(
            VLOOKUP($A101, INDIRECT("MayR!$A$6:$ZZ$1048576"), MATCH(D$1, MayR!$6:$6, 0), FALSE),
            0
        ) +
        IFERROR(
            VLOOKUP($A101, INDIRECT("JunR!$A$6:$ZZ$1048576"), MATCH(D$1, JunR!$6:$6, 0), FALSE),
            0
        ) +
        IFERROR(
            VLOOKUP($A101, INDIRECT("JulR!$A$6:$ZZ$1048576"), MATCH(D$1, JulR!$6:$6, 0), FALSE),
            0
        ) +
        IFERROR(
            VLOOKUP($A101, INDIRECT("AgoR!$A$6:$ZZ$1048576"), MATCH(D$1, AgoR!$6:$6, 0), FALSE),
            0
        ) +
        IFERROR(
            VLOOKUP($A101, INDIRECT("SepR!$A$6:$ZZ$1048576"), MATCH(D$1, SepR!$6:$6, 0), FALSE),
            0
        ) +
        IFERROR(
            VLOOKUP($A101, INDIRECT("OctR!$A$6:$ZZ$1048576"), MATCH(D$1, OctR!$6:$6, 0), FALSE),
            0
        ) +
        IFERROR(
            VLOOKUP($A101, INDIRECT("NovR!$A$6:$ZZ$1048576"), MATCH(D$1, NovR!$6:$6, 0), FALSE),
            0
        ) +
        IFERROR(
            VLOOKUP($A101, INDIRECT("DicR!$A$6:$ZZ$1048576"), MATCH(D$1, DicR!$6:$6, 0), FALSE),
            0
        )
)</f>
        <v>0</v>
      </c>
      <c r="E101" s="35">
        <f t="array" ref="E101">SUM(
    IFERROR(
            VLOOKUP($A101, INDIRECT("EneR!$A$6:$ZZ$1048576"), MATCH(E$1, EneR!$6:$6, 0), FALSE),
            0
        ) +
        IFERROR(
            VLOOKUP($A101, INDIRECT("FebR!$A$6:$ZZ$1048576"), MATCH(E$1, FebR!$6:$6, 0), FALSE),
            0
        ) +
        IFERROR(
            VLOOKUP($A101, INDIRECT("MarR!$A$6:$ZZ$1048576"), MATCH(E$1, MarR!$6:$6, 0), FALSE),
            0
        ) +
        IFERROR(
            VLOOKUP($A101, INDIRECT("AbrR!$A$6:$ZZ$1048576"), MATCH(E$1, AbrR!$6:$6, 0), FALSE),
            0
        ) +
        IFERROR(
            VLOOKUP($A101, INDIRECT("MayR!$A$6:$ZZ$1048576"), MATCH(E$1, MayR!$6:$6, 0), FALSE),
            0
        ) +
        IFERROR(
            VLOOKUP($A101, INDIRECT("JunR!$A$6:$ZZ$1048576"), MATCH(E$1, JunR!$6:$6, 0), FALSE),
            0
        ) +
        IFERROR(
            VLOOKUP($A101, INDIRECT("JulR!$A$6:$ZZ$1048576"), MATCH(E$1, JulR!$6:$6, 0), FALSE),
            0
        ) +
        IFERROR(
            VLOOKUP($A101, INDIRECT("AgoR!$A$6:$ZZ$1048576"), MATCH(E$1, AgoR!$6:$6, 0), FALSE),
            0
        ) +
        IFERROR(
            VLOOKUP($A101, INDIRECT("SepR!$A$6:$ZZ$1048576"), MATCH(E$1, SepR!$6:$6, 0), FALSE),
            0
        ) +
        IFERROR(
            VLOOKUP($A101, INDIRECT("OctR!$A$6:$ZZ$1048576"), MATCH(E$1, OctR!$6:$6, 0), FALSE),
            0
        ) +
        IFERROR(
            VLOOKUP($A101, INDIRECT("NovR!$A$6:$ZZ$1048576"), MATCH(E$1, NovR!$6:$6, 0), FALSE),
            0
        ) +
        IFERROR(
            VLOOKUP($A101, INDIRECT("DicR!$A$6:$ZZ$1048576"), MATCH(E$1, DicR!$6:$6, 0), FALSE),
            0
        )
)</f>
        <v>0</v>
      </c>
      <c r="F101" s="32">
        <f t="array" ref="F101">SUM(
    IFERROR(
            VLOOKUP($A101, INDIRECT("EneR!$A$6:$ZZ$1048576"), MATCH(F$1, EneR!$6:$6, 0), FALSE),
            0
        ) +
        IFERROR(
            VLOOKUP($A101, INDIRECT("FebR!$A$6:$ZZ$1048576"), MATCH(F$1, FebR!$6:$6, 0), FALSE),
            0
        ) +
        IFERROR(
            VLOOKUP($A101, INDIRECT("MarR!$A$6:$ZZ$1048576"), MATCH(F$1, MarR!$6:$6, 0), FALSE),
            0
        ) +
        IFERROR(
            VLOOKUP($A101, INDIRECT("AbrR!$A$6:$ZZ$1048576"), MATCH(F$1, AbrR!$6:$6, 0), FALSE),
            0
        ) +
        IFERROR(
            VLOOKUP($A101, INDIRECT("MayR!$A$6:$ZZ$1048576"), MATCH(F$1, MayR!$6:$6, 0), FALSE),
            0
        ) +
        IFERROR(
            VLOOKUP($A101, INDIRECT("JunR!$A$6:$ZZ$1048576"), MATCH(F$1, JunR!$6:$6, 0), FALSE),
            0
        ) +
        IFERROR(
            VLOOKUP($A101, INDIRECT("JulR!$A$6:$ZZ$1048576"), MATCH(F$1, JulR!$6:$6, 0), FALSE),
            0
        ) +
        IFERROR(
            VLOOKUP($A101, INDIRECT("AgoR!$A$6:$ZZ$1048576"), MATCH(F$1, AgoR!$6:$6, 0), FALSE),
            0
        ) +
        IFERROR(
            VLOOKUP($A101, INDIRECT("SepR!$A$6:$ZZ$1048576"), MATCH(F$1, SepR!$6:$6, 0), FALSE),
            0
        ) +
        IFERROR(
            VLOOKUP($A101, INDIRECT("OctR!$A$6:$ZZ$1048576"), MATCH(F$1, OctR!$6:$6, 0), FALSE),
            0
        ) +
        IFERROR(
            VLOOKUP($A101, INDIRECT("NovR!$A$6:$ZZ$1048576"), MATCH(F$1, NovR!$6:$6, 0), FALSE),
            0
        ) +
        IFERROR(
            VLOOKUP($A101, INDIRECT("DicR!$A$6:$ZZ$1048576"), MATCH(F$1, DicR!$6:$6, 0), FALSE),
            0
        )
)</f>
        <v>0</v>
      </c>
      <c r="G101" s="35">
        <f t="array" ref="G101">SUM(
    IFERROR(
            VLOOKUP($A101, INDIRECT("EneR!$A$6:$ZZ$1048576"), MATCH(G$1, EneR!$6:$6, 0), FALSE),
            0
        ) +
        IFERROR(
            VLOOKUP($A101, INDIRECT("FebR!$A$6:$ZZ$1048576"), MATCH(G$1, FebR!$6:$6, 0), FALSE),
            0
        ) +
        IFERROR(
            VLOOKUP($A101, INDIRECT("MarR!$A$6:$ZZ$1048576"), MATCH(G$1, MarR!$6:$6, 0), FALSE),
            0
        ) +
        IFERROR(
            VLOOKUP($A101, INDIRECT("AbrR!$A$6:$ZZ$1048576"), MATCH(G$1, AbrR!$6:$6, 0), FALSE),
            0
        ) +
        IFERROR(
            VLOOKUP($A101, INDIRECT("MayR!$A$6:$ZZ$1048576"), MATCH(G$1, MayR!$6:$6, 0), FALSE),
            0
        ) +
        IFERROR(
            VLOOKUP($A101, INDIRECT("JunR!$A$6:$ZZ$1048576"), MATCH(G$1, JunR!$6:$6, 0), FALSE),
            0
        ) +
        IFERROR(
            VLOOKUP($A101, INDIRECT("JulR!$A$6:$ZZ$1048576"), MATCH(G$1, JulR!$6:$6, 0), FALSE),
            0
        ) +
        IFERROR(
            VLOOKUP($A101, INDIRECT("AgoR!$A$6:$ZZ$1048576"), MATCH(G$1, AgoR!$6:$6, 0), FALSE),
            0
        ) +
        IFERROR(
            VLOOKUP($A101, INDIRECT("SepR!$A$6:$ZZ$1048576"), MATCH(G$1, SepR!$6:$6, 0), FALSE),
            0
        ) +
        IFERROR(
            VLOOKUP($A101, INDIRECT("OctR!$A$6:$ZZ$1048576"), MATCH(G$1, OctR!$6:$6, 0), FALSE),
            0
        ) +
        IFERROR(
            VLOOKUP($A101, INDIRECT("NovR!$A$6:$ZZ$1048576"), MATCH(G$1, NovR!$6:$6, 0), FALSE),
            0
        ) +
        IFERROR(
            VLOOKUP($A101, INDIRECT("DicR!$A$6:$ZZ$1048576"), MATCH(G$1, DicR!$6:$6, 0), FALSE),
            0
        )
)</f>
        <v>0</v>
      </c>
      <c r="H101" s="32">
        <f t="array" ref="H101">SUM(
    IFERROR(
            VLOOKUP($A101, INDIRECT("EneR!$A$6:$ZZ$1048576"), MATCH(H$1, EneR!$6:$6, 0), FALSE),
            0
        ) +
        IFERROR(
            VLOOKUP($A101, INDIRECT("FebR!$A$6:$ZZ$1048576"), MATCH(H$1, FebR!$6:$6, 0), FALSE),
            0
        ) +
        IFERROR(
            VLOOKUP($A101, INDIRECT("MarR!$A$6:$ZZ$1048576"), MATCH(H$1, MarR!$6:$6, 0), FALSE),
            0
        ) +
        IFERROR(
            VLOOKUP($A101, INDIRECT("AbrR!$A$6:$ZZ$1048576"), MATCH(H$1, AbrR!$6:$6, 0), FALSE),
            0
        ) +
        IFERROR(
            VLOOKUP($A101, INDIRECT("MayR!$A$6:$ZZ$1048576"), MATCH(H$1, MayR!$6:$6, 0), FALSE),
            0
        ) +
        IFERROR(
            VLOOKUP($A101, INDIRECT("JunR!$A$6:$ZZ$1048576"), MATCH(H$1, JunR!$6:$6, 0), FALSE),
            0
        ) +
        IFERROR(
            VLOOKUP($A101, INDIRECT("JulR!$A$6:$ZZ$1048576"), MATCH(H$1, JulR!$6:$6, 0), FALSE),
            0
        ) +
        IFERROR(
            VLOOKUP($A101, INDIRECT("AgoR!$A$6:$ZZ$1048576"), MATCH(H$1, AgoR!$6:$6, 0), FALSE),
            0
        ) +
        IFERROR(
            VLOOKUP($A101, INDIRECT("SepR!$A$6:$ZZ$1048576"), MATCH(H$1, SepR!$6:$6, 0), FALSE),
            0
        ) +
        IFERROR(
            VLOOKUP($A101, INDIRECT("OctR!$A$6:$ZZ$1048576"), MATCH(H$1, OctR!$6:$6, 0), FALSE),
            0
        ) +
        IFERROR(
            VLOOKUP($A101, INDIRECT("NovR!$A$6:$ZZ$1048576"), MATCH(H$1, NovR!$6:$6, 0), FALSE),
            0
        ) +
        IFERROR(
            VLOOKUP($A101, INDIRECT("DicR!$A$6:$ZZ$1048576"), MATCH(H$1, DicR!$6:$6, 0), FALSE),
            0
        )
)</f>
        <v>0</v>
      </c>
      <c r="I101" s="35">
        <f t="array" ref="I101">SUM(
    IFERROR(
            VLOOKUP($A101, INDIRECT("EneR!$A$6:$ZZ$1048576"), MATCH(I$1, EneR!$6:$6, 0), FALSE),
            0
        ) +
        IFERROR(
            VLOOKUP($A101, INDIRECT("FebR!$A$6:$ZZ$1048576"), MATCH(I$1, FebR!$6:$6, 0), FALSE),
            0
        ) +
        IFERROR(
            VLOOKUP($A101, INDIRECT("MarR!$A$6:$ZZ$1048576"), MATCH(I$1, MarR!$6:$6, 0), FALSE),
            0
        ) +
        IFERROR(
            VLOOKUP($A101, INDIRECT("AbrR!$A$6:$ZZ$1048576"), MATCH(I$1, AbrR!$6:$6, 0), FALSE),
            0
        ) +
        IFERROR(
            VLOOKUP($A101, INDIRECT("MayR!$A$6:$ZZ$1048576"), MATCH(I$1, MayR!$6:$6, 0), FALSE),
            0
        ) +
        IFERROR(
            VLOOKUP($A101, INDIRECT("JunR!$A$6:$ZZ$1048576"), MATCH(I$1, JunR!$6:$6, 0), FALSE),
            0
        ) +
        IFERROR(
            VLOOKUP($A101, INDIRECT("JulR!$A$6:$ZZ$1048576"), MATCH(I$1, JulR!$6:$6, 0), FALSE),
            0
        ) +
        IFERROR(
            VLOOKUP($A101, INDIRECT("AgoR!$A$6:$ZZ$1048576"), MATCH(I$1, AgoR!$6:$6, 0), FALSE),
            0
        ) +
        IFERROR(
            VLOOKUP($A101, INDIRECT("SepR!$A$6:$ZZ$1048576"), MATCH(I$1, SepR!$6:$6, 0), FALSE),
            0
        ) +
        IFERROR(
            VLOOKUP($A101, INDIRECT("OctR!$A$6:$ZZ$1048576"), MATCH(I$1, OctR!$6:$6, 0), FALSE),
            0
        ) +
        IFERROR(
            VLOOKUP($A101, INDIRECT("NovR!$A$6:$ZZ$1048576"), MATCH(I$1, NovR!$6:$6, 0), FALSE),
            0
        ) +
        IFERROR(
            VLOOKUP($A101, INDIRECT("DicR!$A$6:$ZZ$1048576"), MATCH(I$1, DicR!$6:$6, 0), FALSE),
            0
        )
)</f>
        <v>0</v>
      </c>
      <c r="J101" s="32">
        <f t="array" ref="J101">SUM(
    IFERROR(
            VLOOKUP($A101, INDIRECT("EneR!$A$6:$ZZ$1048576"), MATCH(J$1, EneR!$6:$6, 0), FALSE),
            0
        ) +
        IFERROR(
            VLOOKUP($A101, INDIRECT("FebR!$A$6:$ZZ$1048576"), MATCH(J$1, FebR!$6:$6, 0), FALSE),
            0
        ) +
        IFERROR(
            VLOOKUP($A101, INDIRECT("MarR!$A$6:$ZZ$1048576"), MATCH(J$1, MarR!$6:$6, 0), FALSE),
            0
        ) +
        IFERROR(
            VLOOKUP($A101, INDIRECT("AbrR!$A$6:$ZZ$1048576"), MATCH(J$1, AbrR!$6:$6, 0), FALSE),
            0
        ) +
        IFERROR(
            VLOOKUP($A101, INDIRECT("MayR!$A$6:$ZZ$1048576"), MATCH(J$1, MayR!$6:$6, 0), FALSE),
            0
        ) +
        IFERROR(
            VLOOKUP($A101, INDIRECT("JunR!$A$6:$ZZ$1048576"), MATCH(J$1, JunR!$6:$6, 0), FALSE),
            0
        ) +
        IFERROR(
            VLOOKUP($A101, INDIRECT("JulR!$A$6:$ZZ$1048576"), MATCH(J$1, JulR!$6:$6, 0), FALSE),
            0
        ) +
        IFERROR(
            VLOOKUP($A101, INDIRECT("AgoR!$A$6:$ZZ$1048576"), MATCH(J$1, AgoR!$6:$6, 0), FALSE),
            0
        ) +
        IFERROR(
            VLOOKUP($A101, INDIRECT("SepR!$A$6:$ZZ$1048576"), MATCH(J$1, SepR!$6:$6, 0), FALSE),
            0
        ) +
        IFERROR(
            VLOOKUP($A101, INDIRECT("OctR!$A$6:$ZZ$1048576"), MATCH(J$1, OctR!$6:$6, 0), FALSE),
            0
        ) +
        IFERROR(
            VLOOKUP($A101, INDIRECT("NovR!$A$6:$ZZ$1048576"), MATCH(J$1, NovR!$6:$6, 0), FALSE),
            0
        ) +
        IFERROR(
            VLOOKUP($A101, INDIRECT("DicR!$A$6:$ZZ$1048576"), MATCH(J$1, DicR!$6:$6, 0), FALSE),
            0
        )
)</f>
        <v>0</v>
      </c>
      <c r="K101" s="35">
        <f t="array" ref="K101">SUM(
    IFERROR(
            VLOOKUP($A101, INDIRECT("EneR!$A$6:$ZZ$1048576"), MATCH(K$1, EneR!$6:$6, 0), FALSE),
            0
        ) +
        IFERROR(
            VLOOKUP($A101, INDIRECT("FebR!$A$6:$ZZ$1048576"), MATCH(K$1, FebR!$6:$6, 0), FALSE),
            0
        ) +
        IFERROR(
            VLOOKUP($A101, INDIRECT("MarR!$A$6:$ZZ$1048576"), MATCH(K$1, MarR!$6:$6, 0), FALSE),
            0
        ) +
        IFERROR(
            VLOOKUP($A101, INDIRECT("AbrR!$A$6:$ZZ$1048576"), MATCH(K$1, AbrR!$6:$6, 0), FALSE),
            0
        ) +
        IFERROR(
            VLOOKUP($A101, INDIRECT("MayR!$A$6:$ZZ$1048576"), MATCH(K$1, MayR!$6:$6, 0), FALSE),
            0
        ) +
        IFERROR(
            VLOOKUP($A101, INDIRECT("JunR!$A$6:$ZZ$1048576"), MATCH(K$1, JunR!$6:$6, 0), FALSE),
            0
        ) +
        IFERROR(
            VLOOKUP($A101, INDIRECT("JulR!$A$6:$ZZ$1048576"), MATCH(K$1, JulR!$6:$6, 0), FALSE),
            0
        ) +
        IFERROR(
            VLOOKUP($A101, INDIRECT("AgoR!$A$6:$ZZ$1048576"), MATCH(K$1, AgoR!$6:$6, 0), FALSE),
            0
        ) +
        IFERROR(
            VLOOKUP($A101, INDIRECT("SepR!$A$6:$ZZ$1048576"), MATCH(K$1, SepR!$6:$6, 0), FALSE),
            0
        ) +
        IFERROR(
            VLOOKUP($A101, INDIRECT("OctR!$A$6:$ZZ$1048576"), MATCH(K$1, OctR!$6:$6, 0), FALSE),
            0
        ) +
        IFERROR(
            VLOOKUP($A101, INDIRECT("NovR!$A$6:$ZZ$1048576"), MATCH(K$1, NovR!$6:$6, 0), FALSE),
            0
        ) +
        IFERROR(
            VLOOKUP($A101, INDIRECT("DicR!$A$6:$ZZ$1048576"), MATCH(K$1, DicR!$6:$6, 0), FALSE),
            0
        )
)</f>
        <v>0</v>
      </c>
      <c r="L101" s="32">
        <f t="array" ref="L101">SUM(
    IFERROR(
            VLOOKUP($A101, INDIRECT("EneR!$A$6:$ZZ$1048576"), MATCH(L$1, EneR!$6:$6, 0), FALSE),
            0
        ) +
        IFERROR(
            VLOOKUP($A101, INDIRECT("FebR!$A$6:$ZZ$1048576"), MATCH(L$1, FebR!$6:$6, 0), FALSE),
            0
        ) +
        IFERROR(
            VLOOKUP($A101, INDIRECT("MarR!$A$6:$ZZ$1048576"), MATCH(L$1, MarR!$6:$6, 0), FALSE),
            0
        ) +
        IFERROR(
            VLOOKUP($A101, INDIRECT("AbrR!$A$6:$ZZ$1048576"), MATCH(L$1, AbrR!$6:$6, 0), FALSE),
            0
        ) +
        IFERROR(
            VLOOKUP($A101, INDIRECT("MayR!$A$6:$ZZ$1048576"), MATCH(L$1, MayR!$6:$6, 0), FALSE),
            0
        ) +
        IFERROR(
            VLOOKUP($A101, INDIRECT("JunR!$A$6:$ZZ$1048576"), MATCH(L$1, JunR!$6:$6, 0), FALSE),
            0
        ) +
        IFERROR(
            VLOOKUP($A101, INDIRECT("JulR!$A$6:$ZZ$1048576"), MATCH(L$1, JulR!$6:$6, 0), FALSE),
            0
        ) +
        IFERROR(
            VLOOKUP($A101, INDIRECT("AgoR!$A$6:$ZZ$1048576"), MATCH(L$1, AgoR!$6:$6, 0), FALSE),
            0
        ) +
        IFERROR(
            VLOOKUP($A101, INDIRECT("SepR!$A$6:$ZZ$1048576"), MATCH(L$1, SepR!$6:$6, 0), FALSE),
            0
        ) +
        IFERROR(
            VLOOKUP($A101, INDIRECT("OctR!$A$6:$ZZ$1048576"), MATCH(L$1, OctR!$6:$6, 0), FALSE),
            0
        ) +
        IFERROR(
            VLOOKUP($A101, INDIRECT("NovR!$A$6:$ZZ$1048576"), MATCH(L$1, NovR!$6:$6, 0), FALSE),
            0
        ) +
        IFERROR(
            VLOOKUP($A101, INDIRECT("DicR!$A$6:$ZZ$1048576"), MATCH(L$1, DicR!$6:$6, 0), FALSE),
            0
        )
)</f>
        <v>0</v>
      </c>
      <c r="M101" s="35">
        <f t="array" ref="M101">SUM(
    IFERROR(
            VLOOKUP($A101, INDIRECT("EneR!$A$6:$ZZ$1048576"), MATCH(M$1, EneR!$6:$6, 0), FALSE),
            0
        ) +
        IFERROR(
            VLOOKUP($A101, INDIRECT("FebR!$A$6:$ZZ$1048576"), MATCH(M$1, FebR!$6:$6, 0), FALSE),
            0
        ) +
        IFERROR(
            VLOOKUP($A101, INDIRECT("MarR!$A$6:$ZZ$1048576"), MATCH(M$1, MarR!$6:$6, 0), FALSE),
            0
        ) +
        IFERROR(
            VLOOKUP($A101, INDIRECT("AbrR!$A$6:$ZZ$1048576"), MATCH(M$1, AbrR!$6:$6, 0), FALSE),
            0
        ) +
        IFERROR(
            VLOOKUP($A101, INDIRECT("MayR!$A$6:$ZZ$1048576"), MATCH(M$1, MayR!$6:$6, 0), FALSE),
            0
        ) +
        IFERROR(
            VLOOKUP($A101, INDIRECT("JunR!$A$6:$ZZ$1048576"), MATCH(M$1, JunR!$6:$6, 0), FALSE),
            0
        ) +
        IFERROR(
            VLOOKUP($A101, INDIRECT("JulR!$A$6:$ZZ$1048576"), MATCH(M$1, JulR!$6:$6, 0), FALSE),
            0
        ) +
        IFERROR(
            VLOOKUP($A101, INDIRECT("AgoR!$A$6:$ZZ$1048576"), MATCH(M$1, AgoR!$6:$6, 0), FALSE),
            0
        ) +
        IFERROR(
            VLOOKUP($A101, INDIRECT("SepR!$A$6:$ZZ$1048576"), MATCH(M$1, SepR!$6:$6, 0), FALSE),
            0
        ) +
        IFERROR(
            VLOOKUP($A101, INDIRECT("OctR!$A$6:$ZZ$1048576"), MATCH(M$1, OctR!$6:$6, 0), FALSE),
            0
        ) +
        IFERROR(
            VLOOKUP($A101, INDIRECT("NovR!$A$6:$ZZ$1048576"), MATCH(M$1, NovR!$6:$6, 0), FALSE),
            0
        ) +
        IFERROR(
            VLOOKUP($A101, INDIRECT("DicR!$A$6:$ZZ$1048576"), MATCH(M$1, DicR!$6:$6, 0), FALSE),
            0
        )
)</f>
        <v>0</v>
      </c>
      <c r="N101" s="32">
        <f t="array" ref="N101">SUM(
    IFERROR(
            VLOOKUP($A101, INDIRECT("EneR!$A$6:$ZZ$1048576"), MATCH(N$1, EneR!$6:$6, 0), FALSE),
            0
        ) +
        IFERROR(
            VLOOKUP($A101, INDIRECT("FebR!$A$6:$ZZ$1048576"), MATCH(N$1, FebR!$6:$6, 0), FALSE),
            0
        ) +
        IFERROR(
            VLOOKUP($A101, INDIRECT("MarR!$A$6:$ZZ$1048576"), MATCH(N$1, MarR!$6:$6, 0), FALSE),
            0
        ) +
        IFERROR(
            VLOOKUP($A101, INDIRECT("AbrR!$A$6:$ZZ$1048576"), MATCH(N$1, AbrR!$6:$6, 0), FALSE),
            0
        ) +
        IFERROR(
            VLOOKUP($A101, INDIRECT("MayR!$A$6:$ZZ$1048576"), MATCH(N$1, MayR!$6:$6, 0), FALSE),
            0
        ) +
        IFERROR(
            VLOOKUP($A101, INDIRECT("JunR!$A$6:$ZZ$1048576"), MATCH(N$1, JunR!$6:$6, 0), FALSE),
            0
        ) +
        IFERROR(
            VLOOKUP($A101, INDIRECT("JulR!$A$6:$ZZ$1048576"), MATCH(N$1, JulR!$6:$6, 0), FALSE),
            0
        ) +
        IFERROR(
            VLOOKUP($A101, INDIRECT("AgoR!$A$6:$ZZ$1048576"), MATCH(N$1, AgoR!$6:$6, 0), FALSE),
            0
        ) +
        IFERROR(
            VLOOKUP($A101, INDIRECT("SepR!$A$6:$ZZ$1048576"), MATCH(N$1, SepR!$6:$6, 0), FALSE),
            0
        ) +
        IFERROR(
            VLOOKUP($A101, INDIRECT("OctR!$A$6:$ZZ$1048576"), MATCH(N$1, OctR!$6:$6, 0), FALSE),
            0
        ) +
        IFERROR(
            VLOOKUP($A101, INDIRECT("NovR!$A$6:$ZZ$1048576"), MATCH(N$1, NovR!$6:$6, 0), FALSE),
            0
        ) +
        IFERROR(
            VLOOKUP($A101, INDIRECT("DicR!$A$6:$ZZ$1048576"), MATCH(N$1, DicR!$6:$6, 0), FALSE),
            0
        )
)</f>
        <v>0</v>
      </c>
      <c r="O101" s="35">
        <f t="array" ref="O101">SUM(
    IFERROR(
            VLOOKUP($A101, INDIRECT("EneR!$A$6:$ZZ$1048576"), MATCH(O$1, EneR!$6:$6, 0), FALSE),
            0
        ) +
        IFERROR(
            VLOOKUP($A101, INDIRECT("FebR!$A$6:$ZZ$1048576"), MATCH(O$1, FebR!$6:$6, 0), FALSE),
            0
        ) +
        IFERROR(
            VLOOKUP($A101, INDIRECT("MarR!$A$6:$ZZ$1048576"), MATCH(O$1, MarR!$6:$6, 0), FALSE),
            0
        ) +
        IFERROR(
            VLOOKUP($A101, INDIRECT("AbrR!$A$6:$ZZ$1048576"), MATCH(O$1, AbrR!$6:$6, 0), FALSE),
            0
        ) +
        IFERROR(
            VLOOKUP($A101, INDIRECT("MayR!$A$6:$ZZ$1048576"), MATCH(O$1, MayR!$6:$6, 0), FALSE),
            0
        ) +
        IFERROR(
            VLOOKUP($A101, INDIRECT("JunR!$A$6:$ZZ$1048576"), MATCH(O$1, JunR!$6:$6, 0), FALSE),
            0
        ) +
        IFERROR(
            VLOOKUP($A101, INDIRECT("JulR!$A$6:$ZZ$1048576"), MATCH(O$1, JulR!$6:$6, 0), FALSE),
            0
        ) +
        IFERROR(
            VLOOKUP($A101, INDIRECT("AgoR!$A$6:$ZZ$1048576"), MATCH(O$1, AgoR!$6:$6, 0), FALSE),
            0
        ) +
        IFERROR(
            VLOOKUP($A101, INDIRECT("SepR!$A$6:$ZZ$1048576"), MATCH(O$1, SepR!$6:$6, 0), FALSE),
            0
        ) +
        IFERROR(
            VLOOKUP($A101, INDIRECT("OctR!$A$6:$ZZ$1048576"), MATCH(O$1, OctR!$6:$6, 0), FALSE),
            0
        ) +
        IFERROR(
            VLOOKUP($A101, INDIRECT("NovR!$A$6:$ZZ$1048576"), MATCH(O$1, NovR!$6:$6, 0), FALSE),
            0
        ) +
        IFERROR(
            VLOOKUP($A101, INDIRECT("DicR!$A$6:$ZZ$1048576"), MATCH(O$1, DicR!$6:$6, 0), FALSE),
            0
        )
)</f>
        <v>0</v>
      </c>
      <c r="P101" s="32">
        <f t="array" ref="P101">SUM(
    IFERROR(
            VLOOKUP($A101, INDIRECT("EneR!$A$6:$ZZ$1048576"), MATCH(P$1, EneR!$6:$6, 0), FALSE),
            0
        ) +
        IFERROR(
            VLOOKUP($A101, INDIRECT("FebR!$A$6:$ZZ$1048576"), MATCH(P$1, FebR!$6:$6, 0), FALSE),
            0
        ) +
        IFERROR(
            VLOOKUP($A101, INDIRECT("MarR!$A$6:$ZZ$1048576"), MATCH(P$1, MarR!$6:$6, 0), FALSE),
            0
        ) +
        IFERROR(
            VLOOKUP($A101, INDIRECT("AbrR!$A$6:$ZZ$1048576"), MATCH(P$1, AbrR!$6:$6, 0), FALSE),
            0
        ) +
        IFERROR(
            VLOOKUP($A101, INDIRECT("MayR!$A$6:$ZZ$1048576"), MATCH(P$1, MayR!$6:$6, 0), FALSE),
            0
        ) +
        IFERROR(
            VLOOKUP($A101, INDIRECT("JunR!$A$6:$ZZ$1048576"), MATCH(P$1, JunR!$6:$6, 0), FALSE),
            0
        ) +
        IFERROR(
            VLOOKUP($A101, INDIRECT("JulR!$A$6:$ZZ$1048576"), MATCH(P$1, JulR!$6:$6, 0), FALSE),
            0
        ) +
        IFERROR(
            VLOOKUP($A101, INDIRECT("AgoR!$A$6:$ZZ$1048576"), MATCH(P$1, AgoR!$6:$6, 0), FALSE),
            0
        ) +
        IFERROR(
            VLOOKUP($A101, INDIRECT("SepR!$A$6:$ZZ$1048576"), MATCH(P$1, SepR!$6:$6, 0), FALSE),
            0
        ) +
        IFERROR(
            VLOOKUP($A101, INDIRECT("OctR!$A$6:$ZZ$1048576"), MATCH(P$1, OctR!$6:$6, 0), FALSE),
            0
        ) +
        IFERROR(
            VLOOKUP($A101, INDIRECT("NovR!$A$6:$ZZ$1048576"), MATCH(P$1, NovR!$6:$6, 0), FALSE),
            0
        ) +
        IFERROR(
            VLOOKUP($A101, INDIRECT("DicR!$A$6:$ZZ$1048576"), MATCH(P$1, DicR!$6:$6, 0), FALSE),
            0
        )
)</f>
        <v>0</v>
      </c>
      <c r="Q101" s="35">
        <f t="array" ref="Q101">SUM(
    IFERROR(
            VLOOKUP($A101, INDIRECT("EneR!$A$6:$ZZ$1048576"), MATCH(Q$1, EneR!$6:$6, 0), FALSE),
            0
        ) +
        IFERROR(
            VLOOKUP($A101, INDIRECT("FebR!$A$6:$ZZ$1048576"), MATCH(Q$1, FebR!$6:$6, 0), FALSE),
            0
        ) +
        IFERROR(
            VLOOKUP($A101, INDIRECT("MarR!$A$6:$ZZ$1048576"), MATCH(Q$1, MarR!$6:$6, 0), FALSE),
            0
        ) +
        IFERROR(
            VLOOKUP($A101, INDIRECT("AbrR!$A$6:$ZZ$1048576"), MATCH(Q$1, AbrR!$6:$6, 0), FALSE),
            0
        ) +
        IFERROR(
            VLOOKUP($A101, INDIRECT("MayR!$A$6:$ZZ$1048576"), MATCH(Q$1, MayR!$6:$6, 0), FALSE),
            0
        ) +
        IFERROR(
            VLOOKUP($A101, INDIRECT("JunR!$A$6:$ZZ$1048576"), MATCH(Q$1, JunR!$6:$6, 0), FALSE),
            0
        ) +
        IFERROR(
            VLOOKUP($A101, INDIRECT("JulR!$A$6:$ZZ$1048576"), MATCH(Q$1, JulR!$6:$6, 0), FALSE),
            0
        ) +
        IFERROR(
            VLOOKUP($A101, INDIRECT("AgoR!$A$6:$ZZ$1048576"), MATCH(Q$1, AgoR!$6:$6, 0), FALSE),
            0
        ) +
        IFERROR(
            VLOOKUP($A101, INDIRECT("SepR!$A$6:$ZZ$1048576"), MATCH(Q$1, SepR!$6:$6, 0), FALSE),
            0
        ) +
        IFERROR(
            VLOOKUP($A101, INDIRECT("OctR!$A$6:$ZZ$1048576"), MATCH(Q$1, OctR!$6:$6, 0), FALSE),
            0
        ) +
        IFERROR(
            VLOOKUP($A101, INDIRECT("NovR!$A$6:$ZZ$1048576"), MATCH(Q$1, NovR!$6:$6, 0), FALSE),
            0
        ) +
        IFERROR(
            VLOOKUP($A101, INDIRECT("DicR!$A$6:$ZZ$1048576"), MATCH(Q$1, DicR!$6:$6, 0), FALSE),
            0
        )
)</f>
        <v>0</v>
      </c>
      <c r="R101" s="36">
        <f t="array" ref="R101">SUM(
    IFERROR(
            VLOOKUP($A101, INDIRECT("EneR!$A$6:$ZZ$1048576"), MATCH(R$1, EneR!$6:$6, 0), FALSE),
            0
        ) +
        IFERROR(
            VLOOKUP($A101, INDIRECT("FebR!$A$6:$ZZ$1048576"), MATCH(R$1, FebR!$6:$6, 0), FALSE),
            0
        ) +
        IFERROR(
            VLOOKUP($A101, INDIRECT("MarR!$A$6:$ZZ$1048576"), MATCH(R$1, MarR!$6:$6, 0), FALSE),
            0
        ) +
        IFERROR(
            VLOOKUP($A101, INDIRECT("AbrR!$A$6:$ZZ$1048576"), MATCH(R$1, AbrR!$6:$6, 0), FALSE),
            0
        ) +
        IFERROR(
            VLOOKUP($A101, INDIRECT("MayR!$A$6:$ZZ$1048576"), MATCH(R$1, MayR!$6:$6, 0), FALSE),
            0
        ) +
        IFERROR(
            VLOOKUP($A101, INDIRECT("JunR!$A$6:$ZZ$1048576"), MATCH(R$1, JunR!$6:$6, 0), FALSE),
            0
        ) +
        IFERROR(
            VLOOKUP($A101, INDIRECT("JulR!$A$6:$ZZ$1048576"), MATCH(R$1, JulR!$6:$6, 0), FALSE),
            0
        ) +
        IFERROR(
            VLOOKUP($A101, INDIRECT("AgoR!$A$6:$ZZ$1048576"), MATCH(R$1, AgoR!$6:$6, 0), FALSE),
            0
        ) +
        IFERROR(
            VLOOKUP($A101, INDIRECT("SepR!$A$6:$ZZ$1048576"), MATCH(R$1, SepR!$6:$6, 0), FALSE),
            0
        ) +
        IFERROR(
            VLOOKUP($A101, INDIRECT("OctR!$A$6:$ZZ$1048576"), MATCH(R$1, OctR!$6:$6, 0), FALSE),
            0
        ) +
        IFERROR(
            VLOOKUP($A101, INDIRECT("NovR!$A$6:$ZZ$1048576"), MATCH(R$1, NovR!$6:$6, 0), FALSE),
            0
        ) +
        IFERROR(
            VLOOKUP($A101, INDIRECT("DicR!$A$6:$ZZ$1048576"), MATCH(R$1, DicR!$6:$6, 0), FALSE),
            0
        )
)</f>
        <v>0</v>
      </c>
      <c r="S101" s="37">
        <f t="array" ref="S101">SUM(
    IFERROR(
            VLOOKUP($A101, INDIRECT("EneR!$A$6:$ZZ$1048576"), MATCH(S$1, EneR!$6:$6, 0), FALSE),
            0
        ) +
        IFERROR(
            VLOOKUP($A101, INDIRECT("FebR!$A$6:$ZZ$1048576"), MATCH(S$1, FebR!$6:$6, 0), FALSE),
            0
        ) +
        IFERROR(
            VLOOKUP($A101, INDIRECT("MarR!$A$6:$ZZ$1048576"), MATCH(S$1, MarR!$6:$6, 0), FALSE),
            0
        ) +
        IFERROR(
            VLOOKUP($A101, INDIRECT("AbrR!$A$6:$ZZ$1048576"), MATCH(S$1, AbrR!$6:$6, 0), FALSE),
            0
        ) +
        IFERROR(
            VLOOKUP($A101, INDIRECT("MayR!$A$6:$ZZ$1048576"), MATCH(S$1, MayR!$6:$6, 0), FALSE),
            0
        ) +
        IFERROR(
            VLOOKUP($A101, INDIRECT("JunR!$A$6:$ZZ$1048576"), MATCH(S$1, JunR!$6:$6, 0), FALSE),
            0
        ) +
        IFERROR(
            VLOOKUP($A101, INDIRECT("JulR!$A$6:$ZZ$1048576"), MATCH(S$1, JulR!$6:$6, 0), FALSE),
            0
        ) +
        IFERROR(
            VLOOKUP($A101, INDIRECT("AgoR!$A$6:$ZZ$1048576"), MATCH(S$1, AgoR!$6:$6, 0), FALSE),
            0
        ) +
        IFERROR(
            VLOOKUP($A101, INDIRECT("SepR!$A$6:$ZZ$1048576"), MATCH(S$1, SepR!$6:$6, 0), FALSE),
            0
        ) +
        IFERROR(
            VLOOKUP($A101, INDIRECT("OctR!$A$6:$ZZ$1048576"), MATCH(S$1, OctR!$6:$6, 0), FALSE),
            0
        ) +
        IFERROR(
            VLOOKUP($A101, INDIRECT("NovR!$A$6:$ZZ$1048576"), MATCH(S$1, NovR!$6:$6, 0), FALSE),
            0
        ) +
        IFERROR(
            VLOOKUP($A101, INDIRECT("DicR!$A$6:$ZZ$1048576"), MATCH(S$1, DicR!$6:$6, 0), FALSE),
            0
        )
)</f>
        <v>0</v>
      </c>
      <c r="T101" s="36">
        <f t="array" ref="T101">SUM(
    IFERROR(
            VLOOKUP($A101, INDIRECT("EneR!$A$6:$ZZ$1048576"), MATCH(T$1, EneR!$6:$6, 0), FALSE),
            0
        ) +
        IFERROR(
            VLOOKUP($A101, INDIRECT("FebR!$A$6:$ZZ$1048576"), MATCH(T$1, FebR!$6:$6, 0), FALSE),
            0
        ) +
        IFERROR(
            VLOOKUP($A101, INDIRECT("MarR!$A$6:$ZZ$1048576"), MATCH(T$1, MarR!$6:$6, 0), FALSE),
            0
        ) +
        IFERROR(
            VLOOKUP($A101, INDIRECT("AbrR!$A$6:$ZZ$1048576"), MATCH(T$1, AbrR!$6:$6, 0), FALSE),
            0
        ) +
        IFERROR(
            VLOOKUP($A101, INDIRECT("MayR!$A$6:$ZZ$1048576"), MATCH(T$1, MayR!$6:$6, 0), FALSE),
            0
        ) +
        IFERROR(
            VLOOKUP($A101, INDIRECT("JunR!$A$6:$ZZ$1048576"), MATCH(T$1, JunR!$6:$6, 0), FALSE),
            0
        ) +
        IFERROR(
            VLOOKUP($A101, INDIRECT("JulR!$A$6:$ZZ$1048576"), MATCH(T$1, JulR!$6:$6, 0), FALSE),
            0
        ) +
        IFERROR(
            VLOOKUP($A101, INDIRECT("AgoR!$A$6:$ZZ$1048576"), MATCH(T$1, AgoR!$6:$6, 0), FALSE),
            0
        ) +
        IFERROR(
            VLOOKUP($A101, INDIRECT("SepR!$A$6:$ZZ$1048576"), MATCH(T$1, SepR!$6:$6, 0), FALSE),
            0
        ) +
        IFERROR(
            VLOOKUP($A101, INDIRECT("OctR!$A$6:$ZZ$1048576"), MATCH(T$1, OctR!$6:$6, 0), FALSE),
            0
        ) +
        IFERROR(
            VLOOKUP($A101, INDIRECT("NovR!$A$6:$ZZ$1048576"), MATCH(T$1, NovR!$6:$6, 0), FALSE),
            0
        ) +
        IFERROR(
            VLOOKUP($A101, INDIRECT("DicR!$A$6:$ZZ$1048576"), MATCH(T$1, DicR!$6:$6, 0), FALSE),
            0
        )
)</f>
        <v>0</v>
      </c>
      <c r="U101" s="37">
        <f t="array" ref="U101">SUM(
    IFERROR(
            VLOOKUP($A101, INDIRECT("EneR!$A$6:$ZZ$1048576"), MATCH(U$1, EneR!$6:$6, 0), FALSE),
            0
        ) +
        IFERROR(
            VLOOKUP($A101, INDIRECT("FebR!$A$6:$ZZ$1048576"), MATCH(U$1, FebR!$6:$6, 0), FALSE),
            0
        ) +
        IFERROR(
            VLOOKUP($A101, INDIRECT("MarR!$A$6:$ZZ$1048576"), MATCH(U$1, MarR!$6:$6, 0), FALSE),
            0
        ) +
        IFERROR(
            VLOOKUP($A101, INDIRECT("AbrR!$A$6:$ZZ$1048576"), MATCH(U$1, AbrR!$6:$6, 0), FALSE),
            0
        ) +
        IFERROR(
            VLOOKUP($A101, INDIRECT("MayR!$A$6:$ZZ$1048576"), MATCH(U$1, MayR!$6:$6, 0), FALSE),
            0
        ) +
        IFERROR(
            VLOOKUP($A101, INDIRECT("JunR!$A$6:$ZZ$1048576"), MATCH(U$1, JunR!$6:$6, 0), FALSE),
            0
        ) +
        IFERROR(
            VLOOKUP($A101, INDIRECT("JulR!$A$6:$ZZ$1048576"), MATCH(U$1, JulR!$6:$6, 0), FALSE),
            0
        ) +
        IFERROR(
            VLOOKUP($A101, INDIRECT("AgoR!$A$6:$ZZ$1048576"), MATCH(U$1, AgoR!$6:$6, 0), FALSE),
            0
        ) +
        IFERROR(
            VLOOKUP($A101, INDIRECT("SepR!$A$6:$ZZ$1048576"), MATCH(U$1, SepR!$6:$6, 0), FALSE),
            0
        ) +
        IFERROR(
            VLOOKUP($A101, INDIRECT("OctR!$A$6:$ZZ$1048576"), MATCH(U$1, OctR!$6:$6, 0), FALSE),
            0
        ) +
        IFERROR(
            VLOOKUP($A101, INDIRECT("NovR!$A$6:$ZZ$1048576"), MATCH(U$1, NovR!$6:$6, 0), FALSE),
            0
        ) +
        IFERROR(
            VLOOKUP($A101, INDIRECT("DicR!$A$6:$ZZ$1048576"), MATCH(U$1, DicR!$6:$6, 0), FALSE),
            0
        )
)</f>
        <v>0</v>
      </c>
      <c r="V101" s="36">
        <f t="array" ref="V101">SUM(
    IFERROR(
            VLOOKUP($A101, INDIRECT("EneR!$A$6:$ZZ$1048576"), MATCH(V$1, EneR!$6:$6, 0), FALSE),
            0
        ) +
        IFERROR(
            VLOOKUP($A101, INDIRECT("FebR!$A$6:$ZZ$1048576"), MATCH(V$1, FebR!$6:$6, 0), FALSE),
            0
        ) +
        IFERROR(
            VLOOKUP($A101, INDIRECT("MarR!$A$6:$ZZ$1048576"), MATCH(V$1, MarR!$6:$6, 0), FALSE),
            0
        ) +
        IFERROR(
            VLOOKUP($A101, INDIRECT("AbrR!$A$6:$ZZ$1048576"), MATCH(V$1, AbrR!$6:$6, 0), FALSE),
            0
        ) +
        IFERROR(
            VLOOKUP($A101, INDIRECT("MayR!$A$6:$ZZ$1048576"), MATCH(V$1, MayR!$6:$6, 0), FALSE),
            0
        ) +
        IFERROR(
            VLOOKUP($A101, INDIRECT("JunR!$A$6:$ZZ$1048576"), MATCH(V$1, JunR!$6:$6, 0), FALSE),
            0
        ) +
        IFERROR(
            VLOOKUP($A101, INDIRECT("JulR!$A$6:$ZZ$1048576"), MATCH(V$1, JulR!$6:$6, 0), FALSE),
            0
        ) +
        IFERROR(
            VLOOKUP($A101, INDIRECT("AgoR!$A$6:$ZZ$1048576"), MATCH(V$1, AgoR!$6:$6, 0), FALSE),
            0
        ) +
        IFERROR(
            VLOOKUP($A101, INDIRECT("SepR!$A$6:$ZZ$1048576"), MATCH(V$1, SepR!$6:$6, 0), FALSE),
            0
        ) +
        IFERROR(
            VLOOKUP($A101, INDIRECT("OctR!$A$6:$ZZ$1048576"), MATCH(V$1, OctR!$6:$6, 0), FALSE),
            0
        ) +
        IFERROR(
            VLOOKUP($A101, INDIRECT("NovR!$A$6:$ZZ$1048576"), MATCH(V$1, NovR!$6:$6, 0), FALSE),
            0
        ) +
        IFERROR(
            VLOOKUP($A101, INDIRECT("DicR!$A$6:$ZZ$1048576"), MATCH(V$1, DicR!$6:$6, 0), FALSE),
            0
        )
)</f>
        <v>0</v>
      </c>
      <c r="W101" s="37">
        <f t="array" ref="W101">SUM(
    IFERROR(
            VLOOKUP($A101, INDIRECT("EneR!$A$6:$ZZ$1048576"), MATCH(W$1, EneR!$6:$6, 0), FALSE),
            0
        ) +
        IFERROR(
            VLOOKUP($A101, INDIRECT("FebR!$A$6:$ZZ$1048576"), MATCH(W$1, FebR!$6:$6, 0), FALSE),
            0
        ) +
        IFERROR(
            VLOOKUP($A101, INDIRECT("MarR!$A$6:$ZZ$1048576"), MATCH(W$1, MarR!$6:$6, 0), FALSE),
            0
        ) +
        IFERROR(
            VLOOKUP($A101, INDIRECT("AbrR!$A$6:$ZZ$1048576"), MATCH(W$1, AbrR!$6:$6, 0), FALSE),
            0
        ) +
        IFERROR(
            VLOOKUP($A101, INDIRECT("MayR!$A$6:$ZZ$1048576"), MATCH(W$1, MayR!$6:$6, 0), FALSE),
            0
        ) +
        IFERROR(
            VLOOKUP($A101, INDIRECT("JunR!$A$6:$ZZ$1048576"), MATCH(W$1, JunR!$6:$6, 0), FALSE),
            0
        ) +
        IFERROR(
            VLOOKUP($A101, INDIRECT("JulR!$A$6:$ZZ$1048576"), MATCH(W$1, JulR!$6:$6, 0), FALSE),
            0
        ) +
        IFERROR(
            VLOOKUP($A101, INDIRECT("AgoR!$A$6:$ZZ$1048576"), MATCH(W$1, AgoR!$6:$6, 0), FALSE),
            0
        ) +
        IFERROR(
            VLOOKUP($A101, INDIRECT("SepR!$A$6:$ZZ$1048576"), MATCH(W$1, SepR!$6:$6, 0), FALSE),
            0
        ) +
        IFERROR(
            VLOOKUP($A101, INDIRECT("OctR!$A$6:$ZZ$1048576"), MATCH(W$1, OctR!$6:$6, 0), FALSE),
            0
        ) +
        IFERROR(
            VLOOKUP($A101, INDIRECT("NovR!$A$6:$ZZ$1048576"), MATCH(W$1, NovR!$6:$6, 0), FALSE),
            0
        ) +
        IFERROR(
            VLOOKUP($A101, INDIRECT("DicR!$A$6:$ZZ$1048576"), MATCH(W$1, DicR!$6:$6, 0), FALSE),
            0
        )
)</f>
        <v>0</v>
      </c>
      <c r="X101" s="36">
        <f t="array" ref="X101">SUM(
    IFERROR(
            VLOOKUP($A101, INDIRECT("EneR!$A$6:$ZZ$1048576"), MATCH(X$1, EneR!$6:$6, 0), FALSE),
            0
        ) +
        IFERROR(
            VLOOKUP($A101, INDIRECT("FebR!$A$6:$ZZ$1048576"), MATCH(X$1, FebR!$6:$6, 0), FALSE),
            0
        ) +
        IFERROR(
            VLOOKUP($A101, INDIRECT("MarR!$A$6:$ZZ$1048576"), MATCH(X$1, MarR!$6:$6, 0), FALSE),
            0
        ) +
        IFERROR(
            VLOOKUP($A101, INDIRECT("AbrR!$A$6:$ZZ$1048576"), MATCH(X$1, AbrR!$6:$6, 0), FALSE),
            0
        ) +
        IFERROR(
            VLOOKUP($A101, INDIRECT("MayR!$A$6:$ZZ$1048576"), MATCH(X$1, MayR!$6:$6, 0), FALSE),
            0
        ) +
        IFERROR(
            VLOOKUP($A101, INDIRECT("JunR!$A$6:$ZZ$1048576"), MATCH(X$1, JunR!$6:$6, 0), FALSE),
            0
        ) +
        IFERROR(
            VLOOKUP($A101, INDIRECT("JulR!$A$6:$ZZ$1048576"), MATCH(X$1, JulR!$6:$6, 0), FALSE),
            0
        ) +
        IFERROR(
            VLOOKUP($A101, INDIRECT("AgoR!$A$6:$ZZ$1048576"), MATCH(X$1, AgoR!$6:$6, 0), FALSE),
            0
        ) +
        IFERROR(
            VLOOKUP($A101, INDIRECT("SepR!$A$6:$ZZ$1048576"), MATCH(X$1, SepR!$6:$6, 0), FALSE),
            0
        ) +
        IFERROR(
            VLOOKUP($A101, INDIRECT("OctR!$A$6:$ZZ$1048576"), MATCH(X$1, OctR!$6:$6, 0), FALSE),
            0
        ) +
        IFERROR(
            VLOOKUP($A101, INDIRECT("NovR!$A$6:$ZZ$1048576"), MATCH(X$1, NovR!$6:$6, 0), FALSE),
            0
        ) +
        IFERROR(
            VLOOKUP($A101, INDIRECT("DicR!$A$6:$ZZ$1048576"), MATCH(X$1, DicR!$6:$6, 0), FALSE),
            0
        )
)</f>
        <v>0</v>
      </c>
      <c r="Y101" s="37">
        <f t="array" ref="Y101">SUM(
    IFERROR(
            VLOOKUP($A101, INDIRECT("EneR!$A$6:$ZZ$1048576"), MATCH(Y$1, EneR!$6:$6, 0), FALSE),
            0
        ) +
        IFERROR(
            VLOOKUP($A101, INDIRECT("FebR!$A$6:$ZZ$1048576"), MATCH(Y$1, FebR!$6:$6, 0), FALSE),
            0
        ) +
        IFERROR(
            VLOOKUP($A101, INDIRECT("MarR!$A$6:$ZZ$1048576"), MATCH(Y$1, MarR!$6:$6, 0), FALSE),
            0
        ) +
        IFERROR(
            VLOOKUP($A101, INDIRECT("AbrR!$A$6:$ZZ$1048576"), MATCH(Y$1, AbrR!$6:$6, 0), FALSE),
            0
        ) +
        IFERROR(
            VLOOKUP($A101, INDIRECT("MayR!$A$6:$ZZ$1048576"), MATCH(Y$1, MayR!$6:$6, 0), FALSE),
            0
        ) +
        IFERROR(
            VLOOKUP($A101, INDIRECT("JunR!$A$6:$ZZ$1048576"), MATCH(Y$1, JunR!$6:$6, 0), FALSE),
            0
        ) +
        IFERROR(
            VLOOKUP($A101, INDIRECT("JulR!$A$6:$ZZ$1048576"), MATCH(Y$1, JulR!$6:$6, 0), FALSE),
            0
        ) +
        IFERROR(
            VLOOKUP($A101, INDIRECT("AgoR!$A$6:$ZZ$1048576"), MATCH(Y$1, AgoR!$6:$6, 0), FALSE),
            0
        ) +
        IFERROR(
            VLOOKUP($A101, INDIRECT("SepR!$A$6:$ZZ$1048576"), MATCH(Y$1, SepR!$6:$6, 0), FALSE),
            0
        ) +
        IFERROR(
            VLOOKUP($A101, INDIRECT("OctR!$A$6:$ZZ$1048576"), MATCH(Y$1, OctR!$6:$6, 0), FALSE),
            0
        ) +
        IFERROR(
            VLOOKUP($A101, INDIRECT("NovR!$A$6:$ZZ$1048576"), MATCH(Y$1, NovR!$6:$6, 0), FALSE),
            0
        ) +
        IFERROR(
            VLOOKUP($A101, INDIRECT("DicR!$A$6:$ZZ$1048576"), MATCH(Y$1, DicR!$6:$6, 0), FALSE),
            0
        )
)</f>
        <v>0</v>
      </c>
      <c r="Z101" s="36">
        <f t="array" ref="Z101">SUM(
    IFERROR(
            VLOOKUP($A101, INDIRECT("EneR!$A$6:$ZZ$1048576"), MATCH(Z$1, EneR!$6:$6, 0), FALSE),
            0
        ) +
        IFERROR(
            VLOOKUP($A101, INDIRECT("FebR!$A$6:$ZZ$1048576"), MATCH(Z$1, FebR!$6:$6, 0), FALSE),
            0
        ) +
        IFERROR(
            VLOOKUP($A101, INDIRECT("MarR!$A$6:$ZZ$1048576"), MATCH(Z$1, MarR!$6:$6, 0), FALSE),
            0
        ) +
        IFERROR(
            VLOOKUP($A101, INDIRECT("AbrR!$A$6:$ZZ$1048576"), MATCH(Z$1, AbrR!$6:$6, 0), FALSE),
            0
        ) +
        IFERROR(
            VLOOKUP($A101, INDIRECT("MayR!$A$6:$ZZ$1048576"), MATCH(Z$1, MayR!$6:$6, 0), FALSE),
            0
        ) +
        IFERROR(
            VLOOKUP($A101, INDIRECT("JunR!$A$6:$ZZ$1048576"), MATCH(Z$1, JunR!$6:$6, 0), FALSE),
            0
        ) +
        IFERROR(
            VLOOKUP($A101, INDIRECT("JulR!$A$6:$ZZ$1048576"), MATCH(Z$1, JulR!$6:$6, 0), FALSE),
            0
        ) +
        IFERROR(
            VLOOKUP($A101, INDIRECT("AgoR!$A$6:$ZZ$1048576"), MATCH(Z$1, AgoR!$6:$6, 0), FALSE),
            0
        ) +
        IFERROR(
            VLOOKUP($A101, INDIRECT("SepR!$A$6:$ZZ$1048576"), MATCH(Z$1, SepR!$6:$6, 0), FALSE),
            0
        ) +
        IFERROR(
            VLOOKUP($A101, INDIRECT("OctR!$A$6:$ZZ$1048576"), MATCH(Z$1, OctR!$6:$6, 0), FALSE),
            0
        ) +
        IFERROR(
            VLOOKUP($A101, INDIRECT("NovR!$A$6:$ZZ$1048576"), MATCH(Z$1, NovR!$6:$6, 0), FALSE),
            0
        ) +
        IFERROR(
            VLOOKUP($A101, INDIRECT("DicR!$A$6:$ZZ$1048576"), MATCH(Z$1, DicR!$6:$6, 0), FALSE),
            0
        )
)</f>
        <v>0</v>
      </c>
      <c r="AA101" s="37">
        <f t="array" ref="AA101">SUM(
    IFERROR(
            VLOOKUP($A101, INDIRECT("EneR!$A$6:$ZZ$1048576"), MATCH(AA$1, EneR!$6:$6, 0), FALSE),
            0
        ) +
        IFERROR(
            VLOOKUP($A101, INDIRECT("FebR!$A$6:$ZZ$1048576"), MATCH(AA$1, FebR!$6:$6, 0), FALSE),
            0
        ) +
        IFERROR(
            VLOOKUP($A101, INDIRECT("MarR!$A$6:$ZZ$1048576"), MATCH(AA$1, MarR!$6:$6, 0), FALSE),
            0
        ) +
        IFERROR(
            VLOOKUP($A101, INDIRECT("AbrR!$A$6:$ZZ$1048576"), MATCH(AA$1, AbrR!$6:$6, 0), FALSE),
            0
        ) +
        IFERROR(
            VLOOKUP($A101, INDIRECT("MayR!$A$6:$ZZ$1048576"), MATCH(AA$1, MayR!$6:$6, 0), FALSE),
            0
        ) +
        IFERROR(
            VLOOKUP($A101, INDIRECT("JunR!$A$6:$ZZ$1048576"), MATCH(AA$1, JunR!$6:$6, 0), FALSE),
            0
        ) +
        IFERROR(
            VLOOKUP($A101, INDIRECT("JulR!$A$6:$ZZ$1048576"), MATCH(AA$1, JulR!$6:$6, 0), FALSE),
            0
        ) +
        IFERROR(
            VLOOKUP($A101, INDIRECT("AgoR!$A$6:$ZZ$1048576"), MATCH(AA$1, AgoR!$6:$6, 0), FALSE),
            0
        ) +
        IFERROR(
            VLOOKUP($A101, INDIRECT("SepR!$A$6:$ZZ$1048576"), MATCH(AA$1, SepR!$6:$6, 0), FALSE),
            0
        ) +
        IFERROR(
            VLOOKUP($A101, INDIRECT("OctR!$A$6:$ZZ$1048576"), MATCH(AA$1, OctR!$6:$6, 0), FALSE),
            0
        ) +
        IFERROR(
            VLOOKUP($A101, INDIRECT("NovR!$A$6:$ZZ$1048576"), MATCH(AA$1, NovR!$6:$6, 0), FALSE),
            0
        ) +
        IFERROR(
            VLOOKUP($A101, INDIRECT("DicR!$A$6:$ZZ$1048576"), MATCH(AA$1, DicR!$6:$6, 0), FALSE),
            0
        )
)</f>
        <v>0</v>
      </c>
      <c r="AB101" s="36">
        <f t="array" ref="AB101">SUM(
    IFERROR(
            VLOOKUP($A101, INDIRECT("EneR!$A$6:$ZZ$1048576"), MATCH(AB$1, EneR!$6:$6, 0), FALSE),
            0
        ) +
        IFERROR(
            VLOOKUP($A101, INDIRECT("FebR!$A$6:$ZZ$1048576"), MATCH(AB$1, FebR!$6:$6, 0), FALSE),
            0
        ) +
        IFERROR(
            VLOOKUP($A101, INDIRECT("MarR!$A$6:$ZZ$1048576"), MATCH(AB$1, MarR!$6:$6, 0), FALSE),
            0
        ) +
        IFERROR(
            VLOOKUP($A101, INDIRECT("AbrR!$A$6:$ZZ$1048576"), MATCH(AB$1, AbrR!$6:$6, 0), FALSE),
            0
        ) +
        IFERROR(
            VLOOKUP($A101, INDIRECT("MayR!$A$6:$ZZ$1048576"), MATCH(AB$1, MayR!$6:$6, 0), FALSE),
            0
        ) +
        IFERROR(
            VLOOKUP($A101, INDIRECT("JunR!$A$6:$ZZ$1048576"), MATCH(AB$1, JunR!$6:$6, 0), FALSE),
            0
        ) +
        IFERROR(
            VLOOKUP($A101, INDIRECT("JulR!$A$6:$ZZ$1048576"), MATCH(AB$1, JulR!$6:$6, 0), FALSE),
            0
        ) +
        IFERROR(
            VLOOKUP($A101, INDIRECT("AgoR!$A$6:$ZZ$1048576"), MATCH(AB$1, AgoR!$6:$6, 0), FALSE),
            0
        ) +
        IFERROR(
            VLOOKUP($A101, INDIRECT("SepR!$A$6:$ZZ$1048576"), MATCH(AB$1, SepR!$6:$6, 0), FALSE),
            0
        ) +
        IFERROR(
            VLOOKUP($A101, INDIRECT("OctR!$A$6:$ZZ$1048576"), MATCH(AB$1, OctR!$6:$6, 0), FALSE),
            0
        ) +
        IFERROR(
            VLOOKUP($A101, INDIRECT("NovR!$A$6:$ZZ$1048576"), MATCH(AB$1, NovR!$6:$6, 0), FALSE),
            0
        ) +
        IFERROR(
            VLOOKUP($A101, INDIRECT("DicR!$A$6:$ZZ$1048576"), MATCH(AB$1, DicR!$6:$6, 0), FALSE),
            0
        )
)</f>
        <v>0</v>
      </c>
      <c r="AC101" s="37">
        <f t="array" ref="AC101">SUM(
    IFERROR(
            VLOOKUP($A101, INDIRECT("EneR!$A$6:$ZZ$1048576"), MATCH(AC$1, EneR!$6:$6, 0), FALSE),
            0
        ) +
        IFERROR(
            VLOOKUP($A101, INDIRECT("FebR!$A$6:$ZZ$1048576"), MATCH(AC$1, FebR!$6:$6, 0), FALSE),
            0
        ) +
        IFERROR(
            VLOOKUP($A101, INDIRECT("MarR!$A$6:$ZZ$1048576"), MATCH(AC$1, MarR!$6:$6, 0), FALSE),
            0
        ) +
        IFERROR(
            VLOOKUP($A101, INDIRECT("AbrR!$A$6:$ZZ$1048576"), MATCH(AC$1, AbrR!$6:$6, 0), FALSE),
            0
        ) +
        IFERROR(
            VLOOKUP($A101, INDIRECT("MayR!$A$6:$ZZ$1048576"), MATCH(AC$1, MayR!$6:$6, 0), FALSE),
            0
        ) +
        IFERROR(
            VLOOKUP($A101, INDIRECT("JunR!$A$6:$ZZ$1048576"), MATCH(AC$1, JunR!$6:$6, 0), FALSE),
            0
        ) +
        IFERROR(
            VLOOKUP($A101, INDIRECT("JulR!$A$6:$ZZ$1048576"), MATCH(AC$1, JulR!$6:$6, 0), FALSE),
            0
        ) +
        IFERROR(
            VLOOKUP($A101, INDIRECT("AgoR!$A$6:$ZZ$1048576"), MATCH(AC$1, AgoR!$6:$6, 0), FALSE),
            0
        ) +
        IFERROR(
            VLOOKUP($A101, INDIRECT("SepR!$A$6:$ZZ$1048576"), MATCH(AC$1, SepR!$6:$6, 0), FALSE),
            0
        ) +
        IFERROR(
            VLOOKUP($A101, INDIRECT("OctR!$A$6:$ZZ$1048576"), MATCH(AC$1, OctR!$6:$6, 0), FALSE),
            0
        ) +
        IFERROR(
            VLOOKUP($A101, INDIRECT("NovR!$A$6:$ZZ$1048576"), MATCH(AC$1, NovR!$6:$6, 0), FALSE),
            0
        ) +
        IFERROR(
            VLOOKUP($A101, INDIRECT("DicR!$A$6:$ZZ$1048576"), MATCH(AC$1, DicR!$6:$6, 0), FALSE),
            0
        )
)</f>
        <v>0</v>
      </c>
      <c r="AD101" s="36">
        <f t="array" ref="AD101">SUM(
    IFERROR(
            VLOOKUP($A101, INDIRECT("EneR!$A$6:$ZZ$1048576"), MATCH(AD$1, EneR!$6:$6, 0), FALSE),
            0
        ) +
        IFERROR(
            VLOOKUP($A101, INDIRECT("FebR!$A$6:$ZZ$1048576"), MATCH(AD$1, FebR!$6:$6, 0), FALSE),
            0
        ) +
        IFERROR(
            VLOOKUP($A101, INDIRECT("MarR!$A$6:$ZZ$1048576"), MATCH(AD$1, MarR!$6:$6, 0), FALSE),
            0
        ) +
        IFERROR(
            VLOOKUP($A101, INDIRECT("AbrR!$A$6:$ZZ$1048576"), MATCH(AD$1, AbrR!$6:$6, 0), FALSE),
            0
        ) +
        IFERROR(
            VLOOKUP($A101, INDIRECT("MayR!$A$6:$ZZ$1048576"), MATCH(AD$1, MayR!$6:$6, 0), FALSE),
            0
        ) +
        IFERROR(
            VLOOKUP($A101, INDIRECT("JunR!$A$6:$ZZ$1048576"), MATCH(AD$1, JunR!$6:$6, 0), FALSE),
            0
        ) +
        IFERROR(
            VLOOKUP($A101, INDIRECT("JulR!$A$6:$ZZ$1048576"), MATCH(AD$1, JulR!$6:$6, 0), FALSE),
            0
        ) +
        IFERROR(
            VLOOKUP($A101, INDIRECT("AgoR!$A$6:$ZZ$1048576"), MATCH(AD$1, AgoR!$6:$6, 0), FALSE),
            0
        ) +
        IFERROR(
            VLOOKUP($A101, INDIRECT("SepR!$A$6:$ZZ$1048576"), MATCH(AD$1, SepR!$6:$6, 0), FALSE),
            0
        ) +
        IFERROR(
            VLOOKUP($A101, INDIRECT("OctR!$A$6:$ZZ$1048576"), MATCH(AD$1, OctR!$6:$6, 0), FALSE),
            0
        ) +
        IFERROR(
            VLOOKUP($A101, INDIRECT("NovR!$A$6:$ZZ$1048576"), MATCH(AD$1, NovR!$6:$6, 0), FALSE),
            0
        ) +
        IFERROR(
            VLOOKUP($A101, INDIRECT("DicR!$A$6:$ZZ$1048576"), MATCH(AD$1, DicR!$6:$6, 0), FALSE),
            0
        )
)</f>
        <v>0</v>
      </c>
      <c r="AE101" s="37">
        <f t="array" ref="AE101">SUM(
    IFERROR(
            VLOOKUP($A101, INDIRECT("EneR!$A$6:$ZZ$1048576"), MATCH(AE$1, EneR!$6:$6, 0), FALSE),
            0
        ) +
        IFERROR(
            VLOOKUP($A101, INDIRECT("FebR!$A$6:$ZZ$1048576"), MATCH(AE$1, FebR!$6:$6, 0), FALSE),
            0
        ) +
        IFERROR(
            VLOOKUP($A101, INDIRECT("MarR!$A$6:$ZZ$1048576"), MATCH(AE$1, MarR!$6:$6, 0), FALSE),
            0
        ) +
        IFERROR(
            VLOOKUP($A101, INDIRECT("AbrR!$A$6:$ZZ$1048576"), MATCH(AE$1, AbrR!$6:$6, 0), FALSE),
            0
        ) +
        IFERROR(
            VLOOKUP($A101, INDIRECT("MayR!$A$6:$ZZ$1048576"), MATCH(AE$1, MayR!$6:$6, 0), FALSE),
            0
        ) +
        IFERROR(
            VLOOKUP($A101, INDIRECT("JunR!$A$6:$ZZ$1048576"), MATCH(AE$1, JunR!$6:$6, 0), FALSE),
            0
        ) +
        IFERROR(
            VLOOKUP($A101, INDIRECT("JulR!$A$6:$ZZ$1048576"), MATCH(AE$1, JulR!$6:$6, 0), FALSE),
            0
        ) +
        IFERROR(
            VLOOKUP($A101, INDIRECT("AgoR!$A$6:$ZZ$1048576"), MATCH(AE$1, AgoR!$6:$6, 0), FALSE),
            0
        ) +
        IFERROR(
            VLOOKUP($A101, INDIRECT("SepR!$A$6:$ZZ$1048576"), MATCH(AE$1, SepR!$6:$6, 0), FALSE),
            0
        ) +
        IFERROR(
            VLOOKUP($A101, INDIRECT("OctR!$A$6:$ZZ$1048576"), MATCH(AE$1, OctR!$6:$6, 0), FALSE),
            0
        ) +
        IFERROR(
            VLOOKUP($A101, INDIRECT("NovR!$A$6:$ZZ$1048576"), MATCH(AE$1, NovR!$6:$6, 0), FALSE),
            0
        ) +
        IFERROR(
            VLOOKUP($A101, INDIRECT("DicR!$A$6:$ZZ$1048576"), MATCH(AE$1, DicR!$6:$6, 0), FALSE),
            0
        )
)</f>
        <v>0</v>
      </c>
      <c r="AF101" s="36">
        <f t="array" ref="AF101">SUM(
    IFERROR(
            VLOOKUP($A101, INDIRECT("EneR!$A$6:$ZZ$1048576"), MATCH(AF$1, EneR!$6:$6, 0), FALSE),
            0
        ) +
        IFERROR(
            VLOOKUP($A101, INDIRECT("FebR!$A$6:$ZZ$1048576"), MATCH(AF$1, FebR!$6:$6, 0), FALSE),
            0
        ) +
        IFERROR(
            VLOOKUP($A101, INDIRECT("MarR!$A$6:$ZZ$1048576"), MATCH(AF$1, MarR!$6:$6, 0), FALSE),
            0
        ) +
        IFERROR(
            VLOOKUP($A101, INDIRECT("AbrR!$A$6:$ZZ$1048576"), MATCH(AF$1, AbrR!$6:$6, 0), FALSE),
            0
        ) +
        IFERROR(
            VLOOKUP($A101, INDIRECT("MayR!$A$6:$ZZ$1048576"), MATCH(AF$1, MayR!$6:$6, 0), FALSE),
            0
        ) +
        IFERROR(
            VLOOKUP($A101, INDIRECT("JunR!$A$6:$ZZ$1048576"), MATCH(AF$1, JunR!$6:$6, 0), FALSE),
            0
        ) +
        IFERROR(
            VLOOKUP($A101, INDIRECT("JulR!$A$6:$ZZ$1048576"), MATCH(AF$1, JulR!$6:$6, 0), FALSE),
            0
        ) +
        IFERROR(
            VLOOKUP($A101, INDIRECT("AgoR!$A$6:$ZZ$1048576"), MATCH(AF$1, AgoR!$6:$6, 0), FALSE),
            0
        ) +
        IFERROR(
            VLOOKUP($A101, INDIRECT("SepR!$A$6:$ZZ$1048576"), MATCH(AF$1, SepR!$6:$6, 0), FALSE),
            0
        ) +
        IFERROR(
            VLOOKUP($A101, INDIRECT("OctR!$A$6:$ZZ$1048576"), MATCH(AF$1, OctR!$6:$6, 0), FALSE),
            0
        ) +
        IFERROR(
            VLOOKUP($A101, INDIRECT("NovR!$A$6:$ZZ$1048576"), MATCH(AF$1, NovR!$6:$6, 0), FALSE),
            0
        ) +
        IFERROR(
            VLOOKUP($A101, INDIRECT("DicR!$A$6:$ZZ$1048576"), MATCH(AF$1, DicR!$6:$6, 0), FALSE),
            0
        )
)</f>
        <v>0</v>
      </c>
      <c r="AG101" s="37">
        <f t="array" ref="AG101">SUM(
    IFERROR(
            VLOOKUP($A101, INDIRECT("EneR!$A$6:$ZZ$1048576"), MATCH(AG$1, EneR!$6:$6, 0), FALSE),
            0
        ) +
        IFERROR(
            VLOOKUP($A101, INDIRECT("FebR!$A$6:$ZZ$1048576"), MATCH(AG$1, FebR!$6:$6, 0), FALSE),
            0
        ) +
        IFERROR(
            VLOOKUP($A101, INDIRECT("MarR!$A$6:$ZZ$1048576"), MATCH(AG$1, MarR!$6:$6, 0), FALSE),
            0
        ) +
        IFERROR(
            VLOOKUP($A101, INDIRECT("AbrR!$A$6:$ZZ$1048576"), MATCH(AG$1, AbrR!$6:$6, 0), FALSE),
            0
        ) +
        IFERROR(
            VLOOKUP($A101, INDIRECT("MayR!$A$6:$ZZ$1048576"), MATCH(AG$1, MayR!$6:$6, 0), FALSE),
            0
        ) +
        IFERROR(
            VLOOKUP($A101, INDIRECT("JunR!$A$6:$ZZ$1048576"), MATCH(AG$1, JunR!$6:$6, 0), FALSE),
            0
        ) +
        IFERROR(
            VLOOKUP($A101, INDIRECT("JulR!$A$6:$ZZ$1048576"), MATCH(AG$1, JulR!$6:$6, 0), FALSE),
            0
        ) +
        IFERROR(
            VLOOKUP($A101, INDIRECT("AgoR!$A$6:$ZZ$1048576"), MATCH(AG$1, AgoR!$6:$6, 0), FALSE),
            0
        ) +
        IFERROR(
            VLOOKUP($A101, INDIRECT("SepR!$A$6:$ZZ$1048576"), MATCH(AG$1, SepR!$6:$6, 0), FALSE),
            0
        ) +
        IFERROR(
            VLOOKUP($A101, INDIRECT("OctR!$A$6:$ZZ$1048576"), MATCH(AG$1, OctR!$6:$6, 0), FALSE),
            0
        ) +
        IFERROR(
            VLOOKUP($A101, INDIRECT("NovR!$A$6:$ZZ$1048576"), MATCH(AG$1, NovR!$6:$6, 0), FALSE),
            0
        ) +
        IFERROR(
            VLOOKUP($A101, INDIRECT("DicR!$A$6:$ZZ$1048576"), MATCH(AG$1, DicR!$6:$6, 0), FALSE),
            0
        )
)</f>
        <v>0</v>
      </c>
      <c r="AH101" s="36">
        <f t="array" ref="AH101">SUM(
    IFERROR(
            VLOOKUP($A101, INDIRECT("EneR!$A$6:$ZZ$1048576"), MATCH(AH$1, EneR!$6:$6, 0), FALSE),
            0
        ) +
        IFERROR(
            VLOOKUP($A101, INDIRECT("FebR!$A$6:$ZZ$1048576"), MATCH(AH$1, FebR!$6:$6, 0), FALSE),
            0
        ) +
        IFERROR(
            VLOOKUP($A101, INDIRECT("MarR!$A$6:$ZZ$1048576"), MATCH(AH$1, MarR!$6:$6, 0), FALSE),
            0
        ) +
        IFERROR(
            VLOOKUP($A101, INDIRECT("AbrR!$A$6:$ZZ$1048576"), MATCH(AH$1, AbrR!$6:$6, 0), FALSE),
            0
        ) +
        IFERROR(
            VLOOKUP($A101, INDIRECT("MayR!$A$6:$ZZ$1048576"), MATCH(AH$1, MayR!$6:$6, 0), FALSE),
            0
        ) +
        IFERROR(
            VLOOKUP($A101, INDIRECT("JunR!$A$6:$ZZ$1048576"), MATCH(AH$1, JunR!$6:$6, 0), FALSE),
            0
        ) +
        IFERROR(
            VLOOKUP($A101, INDIRECT("JulR!$A$6:$ZZ$1048576"), MATCH(AH$1, JulR!$6:$6, 0), FALSE),
            0
        ) +
        IFERROR(
            VLOOKUP($A101, INDIRECT("AgoR!$A$6:$ZZ$1048576"), MATCH(AH$1, AgoR!$6:$6, 0), FALSE),
            0
        ) +
        IFERROR(
            VLOOKUP($A101, INDIRECT("SepR!$A$6:$ZZ$1048576"), MATCH(AH$1, SepR!$6:$6, 0), FALSE),
            0
        ) +
        IFERROR(
            VLOOKUP($A101, INDIRECT("OctR!$A$6:$ZZ$1048576"), MATCH(AH$1, OctR!$6:$6, 0), FALSE),
            0
        ) +
        IFERROR(
            VLOOKUP($A101, INDIRECT("NovR!$A$6:$ZZ$1048576"), MATCH(AH$1, NovR!$6:$6, 0), FALSE),
            0
        ) +
        IFERROR(
            VLOOKUP($A101, INDIRECT("DicR!$A$6:$ZZ$1048576"), MATCH(AH$1, DicR!$6:$6, 0), FALSE),
            0
        )
)</f>
        <v>0</v>
      </c>
      <c r="AI101" s="37">
        <f t="array" ref="AI101">SUM(
    IFERROR(
            VLOOKUP($A101, INDIRECT("EneR!$A$6:$ZZ$1048576"), MATCH(AI$1, EneR!$6:$6, 0), FALSE),
            0
        ) +
        IFERROR(
            VLOOKUP($A101, INDIRECT("FebR!$A$6:$ZZ$1048576"), MATCH(AI$1, FebR!$6:$6, 0), FALSE),
            0
        ) +
        IFERROR(
            VLOOKUP($A101, INDIRECT("MarR!$A$6:$ZZ$1048576"), MATCH(AI$1, MarR!$6:$6, 0), FALSE),
            0
        ) +
        IFERROR(
            VLOOKUP($A101, INDIRECT("AbrR!$A$6:$ZZ$1048576"), MATCH(AI$1, AbrR!$6:$6, 0), FALSE),
            0
        ) +
        IFERROR(
            VLOOKUP($A101, INDIRECT("MayR!$A$6:$ZZ$1048576"), MATCH(AI$1, MayR!$6:$6, 0), FALSE),
            0
        ) +
        IFERROR(
            VLOOKUP($A101, INDIRECT("JunR!$A$6:$ZZ$1048576"), MATCH(AI$1, JunR!$6:$6, 0), FALSE),
            0
        ) +
        IFERROR(
            VLOOKUP($A101, INDIRECT("JulR!$A$6:$ZZ$1048576"), MATCH(AI$1, JulR!$6:$6, 0), FALSE),
            0
        ) +
        IFERROR(
            VLOOKUP($A101, INDIRECT("AgoR!$A$6:$ZZ$1048576"), MATCH(AI$1, AgoR!$6:$6, 0), FALSE),
            0
        ) +
        IFERROR(
            VLOOKUP($A101, INDIRECT("SepR!$A$6:$ZZ$1048576"), MATCH(AI$1, SepR!$6:$6, 0), FALSE),
            0
        ) +
        IFERROR(
            VLOOKUP($A101, INDIRECT("OctR!$A$6:$ZZ$1048576"), MATCH(AI$1, OctR!$6:$6, 0), FALSE),
            0
        ) +
        IFERROR(
            VLOOKUP($A101, INDIRECT("NovR!$A$6:$ZZ$1048576"), MATCH(AI$1, NovR!$6:$6, 0), FALSE),
            0
        ) +
        IFERROR(
            VLOOKUP($A101, INDIRECT("DicR!$A$6:$ZZ$1048576"), MATCH(AI$1, DicR!$6:$6, 0), FALSE),
            0
        )
)</f>
        <v>0</v>
      </c>
      <c r="AJ101" s="36">
        <f t="array" ref="AJ101">SUM(
    IFERROR(
            VLOOKUP($A101, INDIRECT("EneR!$A$6:$ZZ$1048576"), MATCH(AJ$1, EneR!$6:$6, 0), FALSE),
            0
        ) +
        IFERROR(
            VLOOKUP($A101, INDIRECT("FebR!$A$6:$ZZ$1048576"), MATCH(AJ$1, FebR!$6:$6, 0), FALSE),
            0
        ) +
        IFERROR(
            VLOOKUP($A101, INDIRECT("MarR!$A$6:$ZZ$1048576"), MATCH(AJ$1, MarR!$6:$6, 0), FALSE),
            0
        ) +
        IFERROR(
            VLOOKUP($A101, INDIRECT("AbrR!$A$6:$ZZ$1048576"), MATCH(AJ$1, AbrR!$6:$6, 0), FALSE),
            0
        ) +
        IFERROR(
            VLOOKUP($A101, INDIRECT("MayR!$A$6:$ZZ$1048576"), MATCH(AJ$1, MayR!$6:$6, 0), FALSE),
            0
        ) +
        IFERROR(
            VLOOKUP($A101, INDIRECT("JunR!$A$6:$ZZ$1048576"), MATCH(AJ$1, JunR!$6:$6, 0), FALSE),
            0
        ) +
        IFERROR(
            VLOOKUP($A101, INDIRECT("JulR!$A$6:$ZZ$1048576"), MATCH(AJ$1, JulR!$6:$6, 0), FALSE),
            0
        ) +
        IFERROR(
            VLOOKUP($A101, INDIRECT("AgoR!$A$6:$ZZ$1048576"), MATCH(AJ$1, AgoR!$6:$6, 0), FALSE),
            0
        ) +
        IFERROR(
            VLOOKUP($A101, INDIRECT("SepR!$A$6:$ZZ$1048576"), MATCH(AJ$1, SepR!$6:$6, 0), FALSE),
            0
        ) +
        IFERROR(
            VLOOKUP($A101, INDIRECT("OctR!$A$6:$ZZ$1048576"), MATCH(AJ$1, OctR!$6:$6, 0), FALSE),
            0
        ) +
        IFERROR(
            VLOOKUP($A101, INDIRECT("NovR!$A$6:$ZZ$1048576"), MATCH(AJ$1, NovR!$6:$6, 0), FALSE),
            0
        ) +
        IFERROR(
            VLOOKUP($A101, INDIRECT("DicR!$A$6:$ZZ$1048576"), MATCH(AJ$1, DicR!$6:$6, 0), FALSE),
            0
        )
)</f>
        <v>0</v>
      </c>
      <c r="AK101" s="37">
        <f t="array" ref="AK101">SUM(
    IFERROR(
            VLOOKUP($A101, INDIRECT("EneR!$A$6:$ZZ$1048576"), MATCH(AK$1, EneR!$6:$6, 0), FALSE),
            0
        ) +
        IFERROR(
            VLOOKUP($A101, INDIRECT("FebR!$A$6:$ZZ$1048576"), MATCH(AK$1, FebR!$6:$6, 0), FALSE),
            0
        ) +
        IFERROR(
            VLOOKUP($A101, INDIRECT("MarR!$A$6:$ZZ$1048576"), MATCH(AK$1, MarR!$6:$6, 0), FALSE),
            0
        ) +
        IFERROR(
            VLOOKUP($A101, INDIRECT("AbrR!$A$6:$ZZ$1048576"), MATCH(AK$1, AbrR!$6:$6, 0), FALSE),
            0
        ) +
        IFERROR(
            VLOOKUP($A101, INDIRECT("MayR!$A$6:$ZZ$1048576"), MATCH(AK$1, MayR!$6:$6, 0), FALSE),
            0
        ) +
        IFERROR(
            VLOOKUP($A101, INDIRECT("JunR!$A$6:$ZZ$1048576"), MATCH(AK$1, JunR!$6:$6, 0), FALSE),
            0
        ) +
        IFERROR(
            VLOOKUP($A101, INDIRECT("JulR!$A$6:$ZZ$1048576"), MATCH(AK$1, JulR!$6:$6, 0), FALSE),
            0
        ) +
        IFERROR(
            VLOOKUP($A101, INDIRECT("AgoR!$A$6:$ZZ$1048576"), MATCH(AK$1, AgoR!$6:$6, 0), FALSE),
            0
        ) +
        IFERROR(
            VLOOKUP($A101, INDIRECT("SepR!$A$6:$ZZ$1048576"), MATCH(AK$1, SepR!$6:$6, 0), FALSE),
            0
        ) +
        IFERROR(
            VLOOKUP($A101, INDIRECT("OctR!$A$6:$ZZ$1048576"), MATCH(AK$1, OctR!$6:$6, 0), FALSE),
            0
        ) +
        IFERROR(
            VLOOKUP($A101, INDIRECT("NovR!$A$6:$ZZ$1048576"), MATCH(AK$1, NovR!$6:$6, 0), FALSE),
            0
        ) +
        IFERROR(
            VLOOKUP($A101, INDIRECT("DicR!$A$6:$ZZ$1048576"), MATCH(AK$1, DicR!$6:$6, 0), FALSE),
            0
        )
)</f>
        <v>0</v>
      </c>
      <c r="AL101" s="36">
        <f t="array" ref="AL101">SUM(
    IFERROR(
            VLOOKUP($A101, INDIRECT("EneR!$A$6:$ZZ$1048576"), MATCH(AL$1, EneR!$6:$6, 0), FALSE),
            0
        ) +
        IFERROR(
            VLOOKUP($A101, INDIRECT("FebR!$A$6:$ZZ$1048576"), MATCH(AL$1, FebR!$6:$6, 0), FALSE),
            0
        ) +
        IFERROR(
            VLOOKUP($A101, INDIRECT("MarR!$A$6:$ZZ$1048576"), MATCH(AL$1, MarR!$6:$6, 0), FALSE),
            0
        ) +
        IFERROR(
            VLOOKUP($A101, INDIRECT("AbrR!$A$6:$ZZ$1048576"), MATCH(AL$1, AbrR!$6:$6, 0), FALSE),
            0
        ) +
        IFERROR(
            VLOOKUP($A101, INDIRECT("MayR!$A$6:$ZZ$1048576"), MATCH(AL$1, MayR!$6:$6, 0), FALSE),
            0
        ) +
        IFERROR(
            VLOOKUP($A101, INDIRECT("JunR!$A$6:$ZZ$1048576"), MATCH(AL$1, JunR!$6:$6, 0), FALSE),
            0
        ) +
        IFERROR(
            VLOOKUP($A101, INDIRECT("JulR!$A$6:$ZZ$1048576"), MATCH(AL$1, JulR!$6:$6, 0), FALSE),
            0
        ) +
        IFERROR(
            VLOOKUP($A101, INDIRECT("AgoR!$A$6:$ZZ$1048576"), MATCH(AL$1, AgoR!$6:$6, 0), FALSE),
            0
        ) +
        IFERROR(
            VLOOKUP($A101, INDIRECT("SepR!$A$6:$ZZ$1048576"), MATCH(AL$1, SepR!$6:$6, 0), FALSE),
            0
        ) +
        IFERROR(
            VLOOKUP($A101, INDIRECT("OctR!$A$6:$ZZ$1048576"), MATCH(AL$1, OctR!$6:$6, 0), FALSE),
            0
        ) +
        IFERROR(
            VLOOKUP($A101, INDIRECT("NovR!$A$6:$ZZ$1048576"), MATCH(AL$1, NovR!$6:$6, 0), FALSE),
            0
        ) +
        IFERROR(
            VLOOKUP($A101, INDIRECT("DicR!$A$6:$ZZ$1048576"), MATCH(AL$1, DicR!$6:$6, 0), FALSE),
            0
        )
)</f>
        <v>0</v>
      </c>
      <c r="AM101" s="37">
        <f t="array" ref="AM101">SUM(
    IFERROR(
            VLOOKUP($A101, INDIRECT("EneR!$A$6:$ZZ$1048576"), MATCH(AM$1, EneR!$6:$6, 0), FALSE),
            0
        ) +
        IFERROR(
            VLOOKUP($A101, INDIRECT("FebR!$A$6:$ZZ$1048576"), MATCH(AM$1, FebR!$6:$6, 0), FALSE),
            0
        ) +
        IFERROR(
            VLOOKUP($A101, INDIRECT("MarR!$A$6:$ZZ$1048576"), MATCH(AM$1, MarR!$6:$6, 0), FALSE),
            0
        ) +
        IFERROR(
            VLOOKUP($A101, INDIRECT("AbrR!$A$6:$ZZ$1048576"), MATCH(AM$1, AbrR!$6:$6, 0), FALSE),
            0
        ) +
        IFERROR(
            VLOOKUP($A101, INDIRECT("MayR!$A$6:$ZZ$1048576"), MATCH(AM$1, MayR!$6:$6, 0), FALSE),
            0
        ) +
        IFERROR(
            VLOOKUP($A101, INDIRECT("JunR!$A$6:$ZZ$1048576"), MATCH(AM$1, JunR!$6:$6, 0), FALSE),
            0
        ) +
        IFERROR(
            VLOOKUP($A101, INDIRECT("JulR!$A$6:$ZZ$1048576"), MATCH(AM$1, JulR!$6:$6, 0), FALSE),
            0
        ) +
        IFERROR(
            VLOOKUP($A101, INDIRECT("AgoR!$A$6:$ZZ$1048576"), MATCH(AM$1, AgoR!$6:$6, 0), FALSE),
            0
        ) +
        IFERROR(
            VLOOKUP($A101, INDIRECT("SepR!$A$6:$ZZ$1048576"), MATCH(AM$1, SepR!$6:$6, 0), FALSE),
            0
        ) +
        IFERROR(
            VLOOKUP($A101, INDIRECT("OctR!$A$6:$ZZ$1048576"), MATCH(AM$1, OctR!$6:$6, 0), FALSE),
            0
        ) +
        IFERROR(
            VLOOKUP($A101, INDIRECT("NovR!$A$6:$ZZ$1048576"), MATCH(AM$1, NovR!$6:$6, 0), FALSE),
            0
        ) +
        IFERROR(
            VLOOKUP($A101, INDIRECT("DicR!$A$6:$ZZ$1048576"), MATCH(AM$1, DicR!$6:$6, 0), FALSE),
            0
        )
)</f>
        <v>0</v>
      </c>
      <c r="AN101" s="32">
        <f t="array" ref="AN101">SUM(
    IFERROR(
            VLOOKUP($A101, INDIRECT("EneR!$A$6:$ZZ$1048576"), MATCH(AN$1, EneR!$6:$6, 0), FALSE),
            0
        ) +
        IFERROR(
            VLOOKUP($A101, INDIRECT("FebR!$A$6:$ZZ$1048576"), MATCH(AN$1, FebR!$6:$6, 0), FALSE),
            0
        ) +
        IFERROR(
            VLOOKUP($A101, INDIRECT("MarR!$A$6:$ZZ$1048576"), MATCH(AN$1, MarR!$6:$6, 0), FALSE),
            0
        ) +
        IFERROR(
            VLOOKUP($A101, INDIRECT("AbrR!$A$6:$ZZ$1048576"), MATCH(AN$1, AbrR!$6:$6, 0), FALSE),
            0
        ) +
        IFERROR(
            VLOOKUP($A101, INDIRECT("MayR!$A$6:$ZZ$1048576"), MATCH(AN$1, MayR!$6:$6, 0), FALSE),
            0
        ) +
        IFERROR(
            VLOOKUP($A101, INDIRECT("JunR!$A$6:$ZZ$1048576"), MATCH(AN$1, JunR!$6:$6, 0), FALSE),
            0
        ) +
        IFERROR(
            VLOOKUP($A101, INDIRECT("JulR!$A$6:$ZZ$1048576"), MATCH(AN$1, JulR!$6:$6, 0), FALSE),
            0
        ) +
        IFERROR(
            VLOOKUP($A101, INDIRECT("AgoR!$A$6:$ZZ$1048576"), MATCH(AN$1, AgoR!$6:$6, 0), FALSE),
            0
        ) +
        IFERROR(
            VLOOKUP($A101, INDIRECT("SepR!$A$6:$ZZ$1048576"), MATCH(AN$1, SepR!$6:$6, 0), FALSE),
            0
        ) +
        IFERROR(
            VLOOKUP($A101, INDIRECT("OctR!$A$6:$ZZ$1048576"), MATCH(AN$1, OctR!$6:$6, 0), FALSE),
            0
        ) +
        IFERROR(
            VLOOKUP($A101, INDIRECT("NovR!$A$6:$ZZ$1048576"), MATCH(AN$1, NovR!$6:$6, 0), FALSE),
            0
        ) +
        IFERROR(
            VLOOKUP($A101, INDIRECT("DicR!$A$6:$ZZ$1048576"), MATCH(AN$1, DicR!$6:$6, 0), FALSE),
            0
        )
)</f>
        <v>0</v>
      </c>
      <c r="AO101" s="35">
        <f t="array" ref="AO101">SUM(
    IFERROR(
            VLOOKUP($A101, INDIRECT("EneR!$A$6:$ZZ$1048576"), MATCH(AO$1, EneR!$6:$6, 0), FALSE),
            0
        ) +
        IFERROR(
            VLOOKUP($A101, INDIRECT("FebR!$A$6:$ZZ$1048576"), MATCH(AO$1, FebR!$6:$6, 0), FALSE),
            0
        ) +
        IFERROR(
            VLOOKUP($A101, INDIRECT("MarR!$A$6:$ZZ$1048576"), MATCH(AO$1, MarR!$6:$6, 0), FALSE),
            0
        ) +
        IFERROR(
            VLOOKUP($A101, INDIRECT("AbrR!$A$6:$ZZ$1048576"), MATCH(AO$1, AbrR!$6:$6, 0), FALSE),
            0
        ) +
        IFERROR(
            VLOOKUP($A101, INDIRECT("MayR!$A$6:$ZZ$1048576"), MATCH(AO$1, MayR!$6:$6, 0), FALSE),
            0
        ) +
        IFERROR(
            VLOOKUP($A101, INDIRECT("JunR!$A$6:$ZZ$1048576"), MATCH(AO$1, JunR!$6:$6, 0), FALSE),
            0
        ) +
        IFERROR(
            VLOOKUP($A101, INDIRECT("JulR!$A$6:$ZZ$1048576"), MATCH(AO$1, JulR!$6:$6, 0), FALSE),
            0
        ) +
        IFERROR(
            VLOOKUP($A101, INDIRECT("AgoR!$A$6:$ZZ$1048576"), MATCH(AO$1, AgoR!$6:$6, 0), FALSE),
            0
        ) +
        IFERROR(
            VLOOKUP($A101, INDIRECT("SepR!$A$6:$ZZ$1048576"), MATCH(AO$1, SepR!$6:$6, 0), FALSE),
            0
        ) +
        IFERROR(
            VLOOKUP($A101, INDIRECT("OctR!$A$6:$ZZ$1048576"), MATCH(AO$1, OctR!$6:$6, 0), FALSE),
            0
        ) +
        IFERROR(
            VLOOKUP($A101, INDIRECT("NovR!$A$6:$ZZ$1048576"), MATCH(AO$1, NovR!$6:$6, 0), FALSE),
            0
        ) +
        IFERROR(
            VLOOKUP($A101, INDIRECT("DicR!$A$6:$ZZ$1048576"), MATCH(AO$1, DicR!$6:$6, 0), FALSE),
            0
        )
)</f>
        <v>0</v>
      </c>
      <c r="AP101" s="36">
        <f t="array" ref="AP101">SUM(
    IFERROR(
            VLOOKUP($A101, INDIRECT("EneR!$A$6:$ZZ$1048576"), MATCH(AP$1, EneR!$6:$6, 0), FALSE),
            0
        ) +
        IFERROR(
            VLOOKUP($A101, INDIRECT("FebR!$A$6:$ZZ$1048576"), MATCH(AP$1, FebR!$6:$6, 0), FALSE),
            0
        ) +
        IFERROR(
            VLOOKUP($A101, INDIRECT("MarR!$A$6:$ZZ$1048576"), MATCH(AP$1, MarR!$6:$6, 0), FALSE),
            0
        ) +
        IFERROR(
            VLOOKUP($A101, INDIRECT("AbrR!$A$6:$ZZ$1048576"), MATCH(AP$1, AbrR!$6:$6, 0), FALSE),
            0
        ) +
        IFERROR(
            VLOOKUP($A101, INDIRECT("MayR!$A$6:$ZZ$1048576"), MATCH(AP$1, MayR!$6:$6, 0), FALSE),
            0
        ) +
        IFERROR(
            VLOOKUP($A101, INDIRECT("JunR!$A$6:$ZZ$1048576"), MATCH(AP$1, JunR!$6:$6, 0), FALSE),
            0
        ) +
        IFERROR(
            VLOOKUP($A101, INDIRECT("JulR!$A$6:$ZZ$1048576"), MATCH(AP$1, JulR!$6:$6, 0), FALSE),
            0
        ) +
        IFERROR(
            VLOOKUP($A101, INDIRECT("AgoR!$A$6:$ZZ$1048576"), MATCH(AP$1, AgoR!$6:$6, 0), FALSE),
            0
        ) +
        IFERROR(
            VLOOKUP($A101, INDIRECT("SepR!$A$6:$ZZ$1048576"), MATCH(AP$1, SepR!$6:$6, 0), FALSE),
            0
        ) +
        IFERROR(
            VLOOKUP($A101, INDIRECT("OctR!$A$6:$ZZ$1048576"), MATCH(AP$1, OctR!$6:$6, 0), FALSE),
            0
        ) +
        IFERROR(
            VLOOKUP($A101, INDIRECT("NovR!$A$6:$ZZ$1048576"), MATCH(AP$1, NovR!$6:$6, 0), FALSE),
            0
        ) +
        IFERROR(
            VLOOKUP($A101, INDIRECT("DicR!$A$6:$ZZ$1048576"), MATCH(AP$1, DicR!$6:$6, 0), FALSE),
            0
        )
)</f>
        <v>0</v>
      </c>
      <c r="AQ101" s="35">
        <f t="array" ref="AQ101">SUM(
    IFERROR(
            VLOOKUP($A101, INDIRECT("EneR!$A$6:$ZZ$1048576"), MATCH(AQ$1, EneR!$6:$6, 0), FALSE),
            0
        ) +
        IFERROR(
            VLOOKUP($A101, INDIRECT("FebR!$A$6:$ZZ$1048576"), MATCH(AQ$1, FebR!$6:$6, 0), FALSE),
            0
        ) +
        IFERROR(
            VLOOKUP($A101, INDIRECT("MarR!$A$6:$ZZ$1048576"), MATCH(AQ$1, MarR!$6:$6, 0), FALSE),
            0
        ) +
        IFERROR(
            VLOOKUP($A101, INDIRECT("AbrR!$A$6:$ZZ$1048576"), MATCH(AQ$1, AbrR!$6:$6, 0), FALSE),
            0
        ) +
        IFERROR(
            VLOOKUP($A101, INDIRECT("MayR!$A$6:$ZZ$1048576"), MATCH(AQ$1, MayR!$6:$6, 0), FALSE),
            0
        ) +
        IFERROR(
            VLOOKUP($A101, INDIRECT("JunR!$A$6:$ZZ$1048576"), MATCH(AQ$1, JunR!$6:$6, 0), FALSE),
            0
        ) +
        IFERROR(
            VLOOKUP($A101, INDIRECT("JulR!$A$6:$ZZ$1048576"), MATCH(AQ$1, JulR!$6:$6, 0), FALSE),
            0
        ) +
        IFERROR(
            VLOOKUP($A101, INDIRECT("AgoR!$A$6:$ZZ$1048576"), MATCH(AQ$1, AgoR!$6:$6, 0), FALSE),
            0
        ) +
        IFERROR(
            VLOOKUP($A101, INDIRECT("SepR!$A$6:$ZZ$1048576"), MATCH(AQ$1, SepR!$6:$6, 0), FALSE),
            0
        ) +
        IFERROR(
            VLOOKUP($A101, INDIRECT("OctR!$A$6:$ZZ$1048576"), MATCH(AQ$1, OctR!$6:$6, 0), FALSE),
            0
        ) +
        IFERROR(
            VLOOKUP($A101, INDIRECT("NovR!$A$6:$ZZ$1048576"), MATCH(AQ$1, NovR!$6:$6, 0), FALSE),
            0
        ) +
        IFERROR(
            VLOOKUP($A101, INDIRECT("DicR!$A$6:$ZZ$1048576"), MATCH(AQ$1, DicR!$6:$6, 0), FALSE),
            0
        )
)</f>
        <v>0</v>
      </c>
      <c r="AR101" s="36">
        <f t="array" ref="AR101">SUM(
    IFERROR(
            VLOOKUP($A101, INDIRECT("EneR!$A$6:$ZZ$1048576"), MATCH(AR$1, EneR!$6:$6, 0), FALSE),
            0
        ) +
        IFERROR(
            VLOOKUP($A101, INDIRECT("FebR!$A$6:$ZZ$1048576"), MATCH(AR$1, FebR!$6:$6, 0), FALSE),
            0
        ) +
        IFERROR(
            VLOOKUP($A101, INDIRECT("MarR!$A$6:$ZZ$1048576"), MATCH(AR$1, MarR!$6:$6, 0), FALSE),
            0
        ) +
        IFERROR(
            VLOOKUP($A101, INDIRECT("AbrR!$A$6:$ZZ$1048576"), MATCH(AR$1, AbrR!$6:$6, 0), FALSE),
            0
        ) +
        IFERROR(
            VLOOKUP($A101, INDIRECT("MayR!$A$6:$ZZ$1048576"), MATCH(AR$1, MayR!$6:$6, 0), FALSE),
            0
        ) +
        IFERROR(
            VLOOKUP($A101, INDIRECT("JunR!$A$6:$ZZ$1048576"), MATCH(AR$1, JunR!$6:$6, 0), FALSE),
            0
        ) +
        IFERROR(
            VLOOKUP($A101, INDIRECT("JulR!$A$6:$ZZ$1048576"), MATCH(AR$1, JulR!$6:$6, 0), FALSE),
            0
        ) +
        IFERROR(
            VLOOKUP($A101, INDIRECT("AgoR!$A$6:$ZZ$1048576"), MATCH(AR$1, AgoR!$6:$6, 0), FALSE),
            0
        ) +
        IFERROR(
            VLOOKUP($A101, INDIRECT("SepR!$A$6:$ZZ$1048576"), MATCH(AR$1, SepR!$6:$6, 0), FALSE),
            0
        ) +
        IFERROR(
            VLOOKUP($A101, INDIRECT("OctR!$A$6:$ZZ$1048576"), MATCH(AR$1, OctR!$6:$6, 0), FALSE),
            0
        ) +
        IFERROR(
            VLOOKUP($A101, INDIRECT("NovR!$A$6:$ZZ$1048576"), MATCH(AR$1, NovR!$6:$6, 0), FALSE),
            0
        ) +
        IFERROR(
            VLOOKUP($A101, INDIRECT("DicR!$A$6:$ZZ$1048576"), MATCH(AR$1, DicR!$6:$6, 0), FALSE),
            0
        )
)</f>
        <v>0</v>
      </c>
      <c r="AS101" s="35">
        <f t="array" ref="AS101">SUM(
    IFERROR(
            VLOOKUP($A101, INDIRECT("EneR!$A$6:$ZZ$1048576"), MATCH(AS$1, EneR!$6:$6, 0), FALSE),
            0
        ) +
        IFERROR(
            VLOOKUP($A101, INDIRECT("FebR!$A$6:$ZZ$1048576"), MATCH(AS$1, FebR!$6:$6, 0), FALSE),
            0
        ) +
        IFERROR(
            VLOOKUP($A101, INDIRECT("MarR!$A$6:$ZZ$1048576"), MATCH(AS$1, MarR!$6:$6, 0), FALSE),
            0
        ) +
        IFERROR(
            VLOOKUP($A101, INDIRECT("AbrR!$A$6:$ZZ$1048576"), MATCH(AS$1, AbrR!$6:$6, 0), FALSE),
            0
        ) +
        IFERROR(
            VLOOKUP($A101, INDIRECT("MayR!$A$6:$ZZ$1048576"), MATCH(AS$1, MayR!$6:$6, 0), FALSE),
            0
        ) +
        IFERROR(
            VLOOKUP($A101, INDIRECT("JunR!$A$6:$ZZ$1048576"), MATCH(AS$1, JunR!$6:$6, 0), FALSE),
            0
        ) +
        IFERROR(
            VLOOKUP($A101, INDIRECT("JulR!$A$6:$ZZ$1048576"), MATCH(AS$1, JulR!$6:$6, 0), FALSE),
            0
        ) +
        IFERROR(
            VLOOKUP($A101, INDIRECT("AgoR!$A$6:$ZZ$1048576"), MATCH(AS$1, AgoR!$6:$6, 0), FALSE),
            0
        ) +
        IFERROR(
            VLOOKUP($A101, INDIRECT("SepR!$A$6:$ZZ$1048576"), MATCH(AS$1, SepR!$6:$6, 0), FALSE),
            0
        ) +
        IFERROR(
            VLOOKUP($A101, INDIRECT("OctR!$A$6:$ZZ$1048576"), MATCH(AS$1, OctR!$6:$6, 0), FALSE),
            0
        ) +
        IFERROR(
            VLOOKUP($A101, INDIRECT("NovR!$A$6:$ZZ$1048576"), MATCH(AS$1, NovR!$6:$6, 0), FALSE),
            0
        ) +
        IFERROR(
            VLOOKUP($A101, INDIRECT("DicR!$A$6:$ZZ$1048576"), MATCH(AS$1, DicR!$6:$6, 0), FALSE),
            0
        )
)</f>
        <v>0</v>
      </c>
      <c r="AT101" s="36">
        <f t="array" ref="AT101">SUM(
    IFERROR(
            VLOOKUP($A101, INDIRECT("EneR!$A$6:$ZZ$1048576"), MATCH(AT$1, EneR!$6:$6, 0), FALSE),
            0
        ) +
        IFERROR(
            VLOOKUP($A101, INDIRECT("FebR!$A$6:$ZZ$1048576"), MATCH(AT$1, FebR!$6:$6, 0), FALSE),
            0
        ) +
        IFERROR(
            VLOOKUP($A101, INDIRECT("MarR!$A$6:$ZZ$1048576"), MATCH(AT$1, MarR!$6:$6, 0), FALSE),
            0
        ) +
        IFERROR(
            VLOOKUP($A101, INDIRECT("AbrR!$A$6:$ZZ$1048576"), MATCH(AT$1, AbrR!$6:$6, 0), FALSE),
            0
        ) +
        IFERROR(
            VLOOKUP($A101, INDIRECT("MayR!$A$6:$ZZ$1048576"), MATCH(AT$1, MayR!$6:$6, 0), FALSE),
            0
        ) +
        IFERROR(
            VLOOKUP($A101, INDIRECT("JunR!$A$6:$ZZ$1048576"), MATCH(AT$1, JunR!$6:$6, 0), FALSE),
            0
        ) +
        IFERROR(
            VLOOKUP($A101, INDIRECT("JulR!$A$6:$ZZ$1048576"), MATCH(AT$1, JulR!$6:$6, 0), FALSE),
            0
        ) +
        IFERROR(
            VLOOKUP($A101, INDIRECT("AgoR!$A$6:$ZZ$1048576"), MATCH(AT$1, AgoR!$6:$6, 0), FALSE),
            0
        ) +
        IFERROR(
            VLOOKUP($A101, INDIRECT("SepR!$A$6:$ZZ$1048576"), MATCH(AT$1, SepR!$6:$6, 0), FALSE),
            0
        ) +
        IFERROR(
            VLOOKUP($A101, INDIRECT("OctR!$A$6:$ZZ$1048576"), MATCH(AT$1, OctR!$6:$6, 0), FALSE),
            0
        ) +
        IFERROR(
            VLOOKUP($A101, INDIRECT("NovR!$A$6:$ZZ$1048576"), MATCH(AT$1, NovR!$6:$6, 0), FALSE),
            0
        ) +
        IFERROR(
            VLOOKUP($A101, INDIRECT("DicR!$A$6:$ZZ$1048576"), MATCH(AT$1, DicR!$6:$6, 0), FALSE),
            0
        )
)</f>
        <v>0</v>
      </c>
      <c r="AU101" s="35">
        <f t="array" ref="AU101">SUM(
    IFERROR(
            VLOOKUP($A101, INDIRECT("EneR!$A$6:$ZZ$1048576"), MATCH(AU$1, EneR!$6:$6, 0), FALSE),
            0
        ) +
        IFERROR(
            VLOOKUP($A101, INDIRECT("FebR!$A$6:$ZZ$1048576"), MATCH(AU$1, FebR!$6:$6, 0), FALSE),
            0
        ) +
        IFERROR(
            VLOOKUP($A101, INDIRECT("MarR!$A$6:$ZZ$1048576"), MATCH(AU$1, MarR!$6:$6, 0), FALSE),
            0
        ) +
        IFERROR(
            VLOOKUP($A101, INDIRECT("AbrR!$A$6:$ZZ$1048576"), MATCH(AU$1, AbrR!$6:$6, 0), FALSE),
            0
        ) +
        IFERROR(
            VLOOKUP($A101, INDIRECT("MayR!$A$6:$ZZ$1048576"), MATCH(AU$1, MayR!$6:$6, 0), FALSE),
            0
        ) +
        IFERROR(
            VLOOKUP($A101, INDIRECT("JunR!$A$6:$ZZ$1048576"), MATCH(AU$1, JunR!$6:$6, 0), FALSE),
            0
        ) +
        IFERROR(
            VLOOKUP($A101, INDIRECT("JulR!$A$6:$ZZ$1048576"), MATCH(AU$1, JulR!$6:$6, 0), FALSE),
            0
        ) +
        IFERROR(
            VLOOKUP($A101, INDIRECT("AgoR!$A$6:$ZZ$1048576"), MATCH(AU$1, AgoR!$6:$6, 0), FALSE),
            0
        ) +
        IFERROR(
            VLOOKUP($A101, INDIRECT("SepR!$A$6:$ZZ$1048576"), MATCH(AU$1, SepR!$6:$6, 0), FALSE),
            0
        ) +
        IFERROR(
            VLOOKUP($A101, INDIRECT("OctR!$A$6:$ZZ$1048576"), MATCH(AU$1, OctR!$6:$6, 0), FALSE),
            0
        ) +
        IFERROR(
            VLOOKUP($A101, INDIRECT("NovR!$A$6:$ZZ$1048576"), MATCH(AU$1, NovR!$6:$6, 0), FALSE),
            0
        ) +
        IFERROR(
            VLOOKUP($A101, INDIRECT("DicR!$A$6:$ZZ$1048576"), MATCH(AU$1, DicR!$6:$6, 0), FALSE),
            0
        )
)</f>
        <v>0</v>
      </c>
      <c r="AV101" s="36">
        <f t="array" ref="AV101">SUM(
    IFERROR(
            VLOOKUP($A101, INDIRECT("EneR!$A$6:$ZZ$1048576"), MATCH(AV$1, EneR!$6:$6, 0), FALSE),
            0
        ) +
        IFERROR(
            VLOOKUP($A101, INDIRECT("FebR!$A$6:$ZZ$1048576"), MATCH(AV$1, FebR!$6:$6, 0), FALSE),
            0
        ) +
        IFERROR(
            VLOOKUP($A101, INDIRECT("MarR!$A$6:$ZZ$1048576"), MATCH(AV$1, MarR!$6:$6, 0), FALSE),
            0
        ) +
        IFERROR(
            VLOOKUP($A101, INDIRECT("AbrR!$A$6:$ZZ$1048576"), MATCH(AV$1, AbrR!$6:$6, 0), FALSE),
            0
        ) +
        IFERROR(
            VLOOKUP($A101, INDIRECT("MayR!$A$6:$ZZ$1048576"), MATCH(AV$1, MayR!$6:$6, 0), FALSE),
            0
        ) +
        IFERROR(
            VLOOKUP($A101, INDIRECT("JunR!$A$6:$ZZ$1048576"), MATCH(AV$1, JunR!$6:$6, 0), FALSE),
            0
        ) +
        IFERROR(
            VLOOKUP($A101, INDIRECT("JulR!$A$6:$ZZ$1048576"), MATCH(AV$1, JulR!$6:$6, 0), FALSE),
            0
        ) +
        IFERROR(
            VLOOKUP($A101, INDIRECT("AgoR!$A$6:$ZZ$1048576"), MATCH(AV$1, AgoR!$6:$6, 0), FALSE),
            0
        ) +
        IFERROR(
            VLOOKUP($A101, INDIRECT("SepR!$A$6:$ZZ$1048576"), MATCH(AV$1, SepR!$6:$6, 0), FALSE),
            0
        ) +
        IFERROR(
            VLOOKUP($A101, INDIRECT("OctR!$A$6:$ZZ$1048576"), MATCH(AV$1, OctR!$6:$6, 0), FALSE),
            0
        ) +
        IFERROR(
            VLOOKUP($A101, INDIRECT("NovR!$A$6:$ZZ$1048576"), MATCH(AV$1, NovR!$6:$6, 0), FALSE),
            0
        ) +
        IFERROR(
            VLOOKUP($A101, INDIRECT("DicR!$A$6:$ZZ$1048576"), MATCH(AV$1, DicR!$6:$6, 0), FALSE),
            0
        )
)</f>
        <v>0</v>
      </c>
      <c r="AW101" s="35">
        <f t="array" ref="AW101">SUM(
    IFERROR(
            VLOOKUP($A101, INDIRECT("EneR!$A$6:$ZZ$1048576"), MATCH(AW$1, EneR!$6:$6, 0), FALSE),
            0
        ) +
        IFERROR(
            VLOOKUP($A101, INDIRECT("FebR!$A$6:$ZZ$1048576"), MATCH(AW$1, FebR!$6:$6, 0), FALSE),
            0
        ) +
        IFERROR(
            VLOOKUP($A101, INDIRECT("MarR!$A$6:$ZZ$1048576"), MATCH(AW$1, MarR!$6:$6, 0), FALSE),
            0
        ) +
        IFERROR(
            VLOOKUP($A101, INDIRECT("AbrR!$A$6:$ZZ$1048576"), MATCH(AW$1, AbrR!$6:$6, 0), FALSE),
            0
        ) +
        IFERROR(
            VLOOKUP($A101, INDIRECT("MayR!$A$6:$ZZ$1048576"), MATCH(AW$1, MayR!$6:$6, 0), FALSE),
            0
        ) +
        IFERROR(
            VLOOKUP($A101, INDIRECT("JunR!$A$6:$ZZ$1048576"), MATCH(AW$1, JunR!$6:$6, 0), FALSE),
            0
        ) +
        IFERROR(
            VLOOKUP($A101, INDIRECT("JulR!$A$6:$ZZ$1048576"), MATCH(AW$1, JulR!$6:$6, 0), FALSE),
            0
        ) +
        IFERROR(
            VLOOKUP($A101, INDIRECT("AgoR!$A$6:$ZZ$1048576"), MATCH(AW$1, AgoR!$6:$6, 0), FALSE),
            0
        ) +
        IFERROR(
            VLOOKUP($A101, INDIRECT("SepR!$A$6:$ZZ$1048576"), MATCH(AW$1, SepR!$6:$6, 0), FALSE),
            0
        ) +
        IFERROR(
            VLOOKUP($A101, INDIRECT("OctR!$A$6:$ZZ$1048576"), MATCH(AW$1, OctR!$6:$6, 0), FALSE),
            0
        ) +
        IFERROR(
            VLOOKUP($A101, INDIRECT("NovR!$A$6:$ZZ$1048576"), MATCH(AW$1, NovR!$6:$6, 0), FALSE),
            0
        ) +
        IFERROR(
            VLOOKUP($A101, INDIRECT("DicR!$A$6:$ZZ$1048576"), MATCH(AW$1, DicR!$6:$6, 0), FALSE),
            0
        )
)</f>
        <v>0</v>
      </c>
      <c r="AX101" s="36">
        <f t="array" ref="AX101">SUM(
    IFERROR(
            VLOOKUP($A101, INDIRECT("EneR!$A$6:$ZZ$1048576"), MATCH(AX$1, EneR!$6:$6, 0), FALSE),
            0
        ) +
        IFERROR(
            VLOOKUP($A101, INDIRECT("FebR!$A$6:$ZZ$1048576"), MATCH(AX$1, FebR!$6:$6, 0), FALSE),
            0
        ) +
        IFERROR(
            VLOOKUP($A101, INDIRECT("MarR!$A$6:$ZZ$1048576"), MATCH(AX$1, MarR!$6:$6, 0), FALSE),
            0
        ) +
        IFERROR(
            VLOOKUP($A101, INDIRECT("AbrR!$A$6:$ZZ$1048576"), MATCH(AX$1, AbrR!$6:$6, 0), FALSE),
            0
        ) +
        IFERROR(
            VLOOKUP($A101, INDIRECT("MayR!$A$6:$ZZ$1048576"), MATCH(AX$1, MayR!$6:$6, 0), FALSE),
            0
        ) +
        IFERROR(
            VLOOKUP($A101, INDIRECT("JunR!$A$6:$ZZ$1048576"), MATCH(AX$1, JunR!$6:$6, 0), FALSE),
            0
        ) +
        IFERROR(
            VLOOKUP($A101, INDIRECT("JulR!$A$6:$ZZ$1048576"), MATCH(AX$1, JulR!$6:$6, 0), FALSE),
            0
        ) +
        IFERROR(
            VLOOKUP($A101, INDIRECT("AgoR!$A$6:$ZZ$1048576"), MATCH(AX$1, AgoR!$6:$6, 0), FALSE),
            0
        ) +
        IFERROR(
            VLOOKUP($A101, INDIRECT("SepR!$A$6:$ZZ$1048576"), MATCH(AX$1, SepR!$6:$6, 0), FALSE),
            0
        ) +
        IFERROR(
            VLOOKUP($A101, INDIRECT("OctR!$A$6:$ZZ$1048576"), MATCH(AX$1, OctR!$6:$6, 0), FALSE),
            0
        ) +
        IFERROR(
            VLOOKUP($A101, INDIRECT("NovR!$A$6:$ZZ$1048576"), MATCH(AX$1, NovR!$6:$6, 0), FALSE),
            0
        ) +
        IFERROR(
            VLOOKUP($A101, INDIRECT("DicR!$A$6:$ZZ$1048576"), MATCH(AX$1, DicR!$6:$6, 0), FALSE),
            0
        )
)</f>
        <v>0</v>
      </c>
      <c r="AY101" s="35">
        <f t="array" ref="AY101">SUM(
    IFERROR(
            VLOOKUP($A101, INDIRECT("EneR!$A$6:$ZZ$1048576"), MATCH(AY$1, EneR!$6:$6, 0), FALSE),
            0
        ) +
        IFERROR(
            VLOOKUP($A101, INDIRECT("FebR!$A$6:$ZZ$1048576"), MATCH(AY$1, FebR!$6:$6, 0), FALSE),
            0
        ) +
        IFERROR(
            VLOOKUP($A101, INDIRECT("MarR!$A$6:$ZZ$1048576"), MATCH(AY$1, MarR!$6:$6, 0), FALSE),
            0
        ) +
        IFERROR(
            VLOOKUP($A101, INDIRECT("AbrR!$A$6:$ZZ$1048576"), MATCH(AY$1, AbrR!$6:$6, 0), FALSE),
            0
        ) +
        IFERROR(
            VLOOKUP($A101, INDIRECT("MayR!$A$6:$ZZ$1048576"), MATCH(AY$1, MayR!$6:$6, 0), FALSE),
            0
        ) +
        IFERROR(
            VLOOKUP($A101, INDIRECT("JunR!$A$6:$ZZ$1048576"), MATCH(AY$1, JunR!$6:$6, 0), FALSE),
            0
        ) +
        IFERROR(
            VLOOKUP($A101, INDIRECT("JulR!$A$6:$ZZ$1048576"), MATCH(AY$1, JulR!$6:$6, 0), FALSE),
            0
        ) +
        IFERROR(
            VLOOKUP($A101, INDIRECT("AgoR!$A$6:$ZZ$1048576"), MATCH(AY$1, AgoR!$6:$6, 0), FALSE),
            0
        ) +
        IFERROR(
            VLOOKUP($A101, INDIRECT("SepR!$A$6:$ZZ$1048576"), MATCH(AY$1, SepR!$6:$6, 0), FALSE),
            0
        ) +
        IFERROR(
            VLOOKUP($A101, INDIRECT("OctR!$A$6:$ZZ$1048576"), MATCH(AY$1, OctR!$6:$6, 0), FALSE),
            0
        ) +
        IFERROR(
            VLOOKUP($A101, INDIRECT("NovR!$A$6:$ZZ$1048576"), MATCH(AY$1, NovR!$6:$6, 0), FALSE),
            0
        ) +
        IFERROR(
            VLOOKUP($A101, INDIRECT("DicR!$A$6:$ZZ$1048576"), MATCH(AY$1, DicR!$6:$6, 0), FALSE),
            0
        )
)</f>
        <v>0</v>
      </c>
      <c r="AZ101" s="35"/>
    </row>
    <row r="102" ht="15.75" hidden="1" customHeight="1">
      <c r="A102" s="12" t="str">
        <f>Menus!B65</f>
        <v/>
      </c>
      <c r="B102" s="32">
        <f t="shared" si="11"/>
        <v>0</v>
      </c>
      <c r="C102" s="33" t="str">
        <f t="shared" si="10"/>
        <v/>
      </c>
      <c r="D102" s="34">
        <f t="array" ref="D102">SUM(
    IFERROR(
            VLOOKUP($A102, INDIRECT("EneR!$A$6:$ZZ$1048576"), MATCH(D$1, EneR!$6:$6, 0), FALSE),
            0
        ) +
        IFERROR(
            VLOOKUP($A102, INDIRECT("FebR!$A$6:$ZZ$1048576"), MATCH(D$1, FebR!$6:$6, 0), FALSE),
            0
        ) +
        IFERROR(
            VLOOKUP($A102, INDIRECT("MarR!$A$6:$ZZ$1048576"), MATCH(D$1, MarR!$6:$6, 0), FALSE),
            0
        ) +
        IFERROR(
            VLOOKUP($A102, INDIRECT("AbrR!$A$6:$ZZ$1048576"), MATCH(D$1, AbrR!$6:$6, 0), FALSE),
            0
        ) +
        IFERROR(
            VLOOKUP($A102, INDIRECT("MayR!$A$6:$ZZ$1048576"), MATCH(D$1, MayR!$6:$6, 0), FALSE),
            0
        ) +
        IFERROR(
            VLOOKUP($A102, INDIRECT("JunR!$A$6:$ZZ$1048576"), MATCH(D$1, JunR!$6:$6, 0), FALSE),
            0
        ) +
        IFERROR(
            VLOOKUP($A102, INDIRECT("JulR!$A$6:$ZZ$1048576"), MATCH(D$1, JulR!$6:$6, 0), FALSE),
            0
        ) +
        IFERROR(
            VLOOKUP($A102, INDIRECT("AgoR!$A$6:$ZZ$1048576"), MATCH(D$1, AgoR!$6:$6, 0), FALSE),
            0
        ) +
        IFERROR(
            VLOOKUP($A102, INDIRECT("SepR!$A$6:$ZZ$1048576"), MATCH(D$1, SepR!$6:$6, 0), FALSE),
            0
        ) +
        IFERROR(
            VLOOKUP($A102, INDIRECT("OctR!$A$6:$ZZ$1048576"), MATCH(D$1, OctR!$6:$6, 0), FALSE),
            0
        ) +
        IFERROR(
            VLOOKUP($A102, INDIRECT("NovR!$A$6:$ZZ$1048576"), MATCH(D$1, NovR!$6:$6, 0), FALSE),
            0
        ) +
        IFERROR(
            VLOOKUP($A102, INDIRECT("DicR!$A$6:$ZZ$1048576"), MATCH(D$1, DicR!$6:$6, 0), FALSE),
            0
        )
)</f>
        <v>0</v>
      </c>
      <c r="E102" s="35">
        <f t="array" ref="E102">SUM(
    IFERROR(
            VLOOKUP($A102, INDIRECT("EneR!$A$6:$ZZ$1048576"), MATCH(E$1, EneR!$6:$6, 0), FALSE),
            0
        ) +
        IFERROR(
            VLOOKUP($A102, INDIRECT("FebR!$A$6:$ZZ$1048576"), MATCH(E$1, FebR!$6:$6, 0), FALSE),
            0
        ) +
        IFERROR(
            VLOOKUP($A102, INDIRECT("MarR!$A$6:$ZZ$1048576"), MATCH(E$1, MarR!$6:$6, 0), FALSE),
            0
        ) +
        IFERROR(
            VLOOKUP($A102, INDIRECT("AbrR!$A$6:$ZZ$1048576"), MATCH(E$1, AbrR!$6:$6, 0), FALSE),
            0
        ) +
        IFERROR(
            VLOOKUP($A102, INDIRECT("MayR!$A$6:$ZZ$1048576"), MATCH(E$1, MayR!$6:$6, 0), FALSE),
            0
        ) +
        IFERROR(
            VLOOKUP($A102, INDIRECT("JunR!$A$6:$ZZ$1048576"), MATCH(E$1, JunR!$6:$6, 0), FALSE),
            0
        ) +
        IFERROR(
            VLOOKUP($A102, INDIRECT("JulR!$A$6:$ZZ$1048576"), MATCH(E$1, JulR!$6:$6, 0), FALSE),
            0
        ) +
        IFERROR(
            VLOOKUP($A102, INDIRECT("AgoR!$A$6:$ZZ$1048576"), MATCH(E$1, AgoR!$6:$6, 0), FALSE),
            0
        ) +
        IFERROR(
            VLOOKUP($A102, INDIRECT("SepR!$A$6:$ZZ$1048576"), MATCH(E$1, SepR!$6:$6, 0), FALSE),
            0
        ) +
        IFERROR(
            VLOOKUP($A102, INDIRECT("OctR!$A$6:$ZZ$1048576"), MATCH(E$1, OctR!$6:$6, 0), FALSE),
            0
        ) +
        IFERROR(
            VLOOKUP($A102, INDIRECT("NovR!$A$6:$ZZ$1048576"), MATCH(E$1, NovR!$6:$6, 0), FALSE),
            0
        ) +
        IFERROR(
            VLOOKUP($A102, INDIRECT("DicR!$A$6:$ZZ$1048576"), MATCH(E$1, DicR!$6:$6, 0), FALSE),
            0
        )
)</f>
        <v>0</v>
      </c>
      <c r="F102" s="32">
        <f t="array" ref="F102">SUM(
    IFERROR(
            VLOOKUP($A102, INDIRECT("EneR!$A$6:$ZZ$1048576"), MATCH(F$1, EneR!$6:$6, 0), FALSE),
            0
        ) +
        IFERROR(
            VLOOKUP($A102, INDIRECT("FebR!$A$6:$ZZ$1048576"), MATCH(F$1, FebR!$6:$6, 0), FALSE),
            0
        ) +
        IFERROR(
            VLOOKUP($A102, INDIRECT("MarR!$A$6:$ZZ$1048576"), MATCH(F$1, MarR!$6:$6, 0), FALSE),
            0
        ) +
        IFERROR(
            VLOOKUP($A102, INDIRECT("AbrR!$A$6:$ZZ$1048576"), MATCH(F$1, AbrR!$6:$6, 0), FALSE),
            0
        ) +
        IFERROR(
            VLOOKUP($A102, INDIRECT("MayR!$A$6:$ZZ$1048576"), MATCH(F$1, MayR!$6:$6, 0), FALSE),
            0
        ) +
        IFERROR(
            VLOOKUP($A102, INDIRECT("JunR!$A$6:$ZZ$1048576"), MATCH(F$1, JunR!$6:$6, 0), FALSE),
            0
        ) +
        IFERROR(
            VLOOKUP($A102, INDIRECT("JulR!$A$6:$ZZ$1048576"), MATCH(F$1, JulR!$6:$6, 0), FALSE),
            0
        ) +
        IFERROR(
            VLOOKUP($A102, INDIRECT("AgoR!$A$6:$ZZ$1048576"), MATCH(F$1, AgoR!$6:$6, 0), FALSE),
            0
        ) +
        IFERROR(
            VLOOKUP($A102, INDIRECT("SepR!$A$6:$ZZ$1048576"), MATCH(F$1, SepR!$6:$6, 0), FALSE),
            0
        ) +
        IFERROR(
            VLOOKUP($A102, INDIRECT("OctR!$A$6:$ZZ$1048576"), MATCH(F$1, OctR!$6:$6, 0), FALSE),
            0
        ) +
        IFERROR(
            VLOOKUP($A102, INDIRECT("NovR!$A$6:$ZZ$1048576"), MATCH(F$1, NovR!$6:$6, 0), FALSE),
            0
        ) +
        IFERROR(
            VLOOKUP($A102, INDIRECT("DicR!$A$6:$ZZ$1048576"), MATCH(F$1, DicR!$6:$6, 0), FALSE),
            0
        )
)</f>
        <v>0</v>
      </c>
      <c r="G102" s="35">
        <f t="array" ref="G102">SUM(
    IFERROR(
            VLOOKUP($A102, INDIRECT("EneR!$A$6:$ZZ$1048576"), MATCH(G$1, EneR!$6:$6, 0), FALSE),
            0
        ) +
        IFERROR(
            VLOOKUP($A102, INDIRECT("FebR!$A$6:$ZZ$1048576"), MATCH(G$1, FebR!$6:$6, 0), FALSE),
            0
        ) +
        IFERROR(
            VLOOKUP($A102, INDIRECT("MarR!$A$6:$ZZ$1048576"), MATCH(G$1, MarR!$6:$6, 0), FALSE),
            0
        ) +
        IFERROR(
            VLOOKUP($A102, INDIRECT("AbrR!$A$6:$ZZ$1048576"), MATCH(G$1, AbrR!$6:$6, 0), FALSE),
            0
        ) +
        IFERROR(
            VLOOKUP($A102, INDIRECT("MayR!$A$6:$ZZ$1048576"), MATCH(G$1, MayR!$6:$6, 0), FALSE),
            0
        ) +
        IFERROR(
            VLOOKUP($A102, INDIRECT("JunR!$A$6:$ZZ$1048576"), MATCH(G$1, JunR!$6:$6, 0), FALSE),
            0
        ) +
        IFERROR(
            VLOOKUP($A102, INDIRECT("JulR!$A$6:$ZZ$1048576"), MATCH(G$1, JulR!$6:$6, 0), FALSE),
            0
        ) +
        IFERROR(
            VLOOKUP($A102, INDIRECT("AgoR!$A$6:$ZZ$1048576"), MATCH(G$1, AgoR!$6:$6, 0), FALSE),
            0
        ) +
        IFERROR(
            VLOOKUP($A102, INDIRECT("SepR!$A$6:$ZZ$1048576"), MATCH(G$1, SepR!$6:$6, 0), FALSE),
            0
        ) +
        IFERROR(
            VLOOKUP($A102, INDIRECT("OctR!$A$6:$ZZ$1048576"), MATCH(G$1, OctR!$6:$6, 0), FALSE),
            0
        ) +
        IFERROR(
            VLOOKUP($A102, INDIRECT("NovR!$A$6:$ZZ$1048576"), MATCH(G$1, NovR!$6:$6, 0), FALSE),
            0
        ) +
        IFERROR(
            VLOOKUP($A102, INDIRECT("DicR!$A$6:$ZZ$1048576"), MATCH(G$1, DicR!$6:$6, 0), FALSE),
            0
        )
)</f>
        <v>0</v>
      </c>
      <c r="H102" s="32">
        <f t="array" ref="H102">SUM(
    IFERROR(
            VLOOKUP($A102, INDIRECT("EneR!$A$6:$ZZ$1048576"), MATCH(H$1, EneR!$6:$6, 0), FALSE),
            0
        ) +
        IFERROR(
            VLOOKUP($A102, INDIRECT("FebR!$A$6:$ZZ$1048576"), MATCH(H$1, FebR!$6:$6, 0), FALSE),
            0
        ) +
        IFERROR(
            VLOOKUP($A102, INDIRECT("MarR!$A$6:$ZZ$1048576"), MATCH(H$1, MarR!$6:$6, 0), FALSE),
            0
        ) +
        IFERROR(
            VLOOKUP($A102, INDIRECT("AbrR!$A$6:$ZZ$1048576"), MATCH(H$1, AbrR!$6:$6, 0), FALSE),
            0
        ) +
        IFERROR(
            VLOOKUP($A102, INDIRECT("MayR!$A$6:$ZZ$1048576"), MATCH(H$1, MayR!$6:$6, 0), FALSE),
            0
        ) +
        IFERROR(
            VLOOKUP($A102, INDIRECT("JunR!$A$6:$ZZ$1048576"), MATCH(H$1, JunR!$6:$6, 0), FALSE),
            0
        ) +
        IFERROR(
            VLOOKUP($A102, INDIRECT("JulR!$A$6:$ZZ$1048576"), MATCH(H$1, JulR!$6:$6, 0), FALSE),
            0
        ) +
        IFERROR(
            VLOOKUP($A102, INDIRECT("AgoR!$A$6:$ZZ$1048576"), MATCH(H$1, AgoR!$6:$6, 0), FALSE),
            0
        ) +
        IFERROR(
            VLOOKUP($A102, INDIRECT("SepR!$A$6:$ZZ$1048576"), MATCH(H$1, SepR!$6:$6, 0), FALSE),
            0
        ) +
        IFERROR(
            VLOOKUP($A102, INDIRECT("OctR!$A$6:$ZZ$1048576"), MATCH(H$1, OctR!$6:$6, 0), FALSE),
            0
        ) +
        IFERROR(
            VLOOKUP($A102, INDIRECT("NovR!$A$6:$ZZ$1048576"), MATCH(H$1, NovR!$6:$6, 0), FALSE),
            0
        ) +
        IFERROR(
            VLOOKUP($A102, INDIRECT("DicR!$A$6:$ZZ$1048576"), MATCH(H$1, DicR!$6:$6, 0), FALSE),
            0
        )
)</f>
        <v>0</v>
      </c>
      <c r="I102" s="35">
        <f t="array" ref="I102">SUM(
    IFERROR(
            VLOOKUP($A102, INDIRECT("EneR!$A$6:$ZZ$1048576"), MATCH(I$1, EneR!$6:$6, 0), FALSE),
            0
        ) +
        IFERROR(
            VLOOKUP($A102, INDIRECT("FebR!$A$6:$ZZ$1048576"), MATCH(I$1, FebR!$6:$6, 0), FALSE),
            0
        ) +
        IFERROR(
            VLOOKUP($A102, INDIRECT("MarR!$A$6:$ZZ$1048576"), MATCH(I$1, MarR!$6:$6, 0), FALSE),
            0
        ) +
        IFERROR(
            VLOOKUP($A102, INDIRECT("AbrR!$A$6:$ZZ$1048576"), MATCH(I$1, AbrR!$6:$6, 0), FALSE),
            0
        ) +
        IFERROR(
            VLOOKUP($A102, INDIRECT("MayR!$A$6:$ZZ$1048576"), MATCH(I$1, MayR!$6:$6, 0), FALSE),
            0
        ) +
        IFERROR(
            VLOOKUP($A102, INDIRECT("JunR!$A$6:$ZZ$1048576"), MATCH(I$1, JunR!$6:$6, 0), FALSE),
            0
        ) +
        IFERROR(
            VLOOKUP($A102, INDIRECT("JulR!$A$6:$ZZ$1048576"), MATCH(I$1, JulR!$6:$6, 0), FALSE),
            0
        ) +
        IFERROR(
            VLOOKUP($A102, INDIRECT("AgoR!$A$6:$ZZ$1048576"), MATCH(I$1, AgoR!$6:$6, 0), FALSE),
            0
        ) +
        IFERROR(
            VLOOKUP($A102, INDIRECT("SepR!$A$6:$ZZ$1048576"), MATCH(I$1, SepR!$6:$6, 0), FALSE),
            0
        ) +
        IFERROR(
            VLOOKUP($A102, INDIRECT("OctR!$A$6:$ZZ$1048576"), MATCH(I$1, OctR!$6:$6, 0), FALSE),
            0
        ) +
        IFERROR(
            VLOOKUP($A102, INDIRECT("NovR!$A$6:$ZZ$1048576"), MATCH(I$1, NovR!$6:$6, 0), FALSE),
            0
        ) +
        IFERROR(
            VLOOKUP($A102, INDIRECT("DicR!$A$6:$ZZ$1048576"), MATCH(I$1, DicR!$6:$6, 0), FALSE),
            0
        )
)</f>
        <v>0</v>
      </c>
      <c r="J102" s="32">
        <f t="array" ref="J102">SUM(
    IFERROR(
            VLOOKUP($A102, INDIRECT("EneR!$A$6:$ZZ$1048576"), MATCH(J$1, EneR!$6:$6, 0), FALSE),
            0
        ) +
        IFERROR(
            VLOOKUP($A102, INDIRECT("FebR!$A$6:$ZZ$1048576"), MATCH(J$1, FebR!$6:$6, 0), FALSE),
            0
        ) +
        IFERROR(
            VLOOKUP($A102, INDIRECT("MarR!$A$6:$ZZ$1048576"), MATCH(J$1, MarR!$6:$6, 0), FALSE),
            0
        ) +
        IFERROR(
            VLOOKUP($A102, INDIRECT("AbrR!$A$6:$ZZ$1048576"), MATCH(J$1, AbrR!$6:$6, 0), FALSE),
            0
        ) +
        IFERROR(
            VLOOKUP($A102, INDIRECT("MayR!$A$6:$ZZ$1048576"), MATCH(J$1, MayR!$6:$6, 0), FALSE),
            0
        ) +
        IFERROR(
            VLOOKUP($A102, INDIRECT("JunR!$A$6:$ZZ$1048576"), MATCH(J$1, JunR!$6:$6, 0), FALSE),
            0
        ) +
        IFERROR(
            VLOOKUP($A102, INDIRECT("JulR!$A$6:$ZZ$1048576"), MATCH(J$1, JulR!$6:$6, 0), FALSE),
            0
        ) +
        IFERROR(
            VLOOKUP($A102, INDIRECT("AgoR!$A$6:$ZZ$1048576"), MATCH(J$1, AgoR!$6:$6, 0), FALSE),
            0
        ) +
        IFERROR(
            VLOOKUP($A102, INDIRECT("SepR!$A$6:$ZZ$1048576"), MATCH(J$1, SepR!$6:$6, 0), FALSE),
            0
        ) +
        IFERROR(
            VLOOKUP($A102, INDIRECT("OctR!$A$6:$ZZ$1048576"), MATCH(J$1, OctR!$6:$6, 0), FALSE),
            0
        ) +
        IFERROR(
            VLOOKUP($A102, INDIRECT("NovR!$A$6:$ZZ$1048576"), MATCH(J$1, NovR!$6:$6, 0), FALSE),
            0
        ) +
        IFERROR(
            VLOOKUP($A102, INDIRECT("DicR!$A$6:$ZZ$1048576"), MATCH(J$1, DicR!$6:$6, 0), FALSE),
            0
        )
)</f>
        <v>0</v>
      </c>
      <c r="K102" s="35">
        <f t="array" ref="K102">SUM(
    IFERROR(
            VLOOKUP($A102, INDIRECT("EneR!$A$6:$ZZ$1048576"), MATCH(K$1, EneR!$6:$6, 0), FALSE),
            0
        ) +
        IFERROR(
            VLOOKUP($A102, INDIRECT("FebR!$A$6:$ZZ$1048576"), MATCH(K$1, FebR!$6:$6, 0), FALSE),
            0
        ) +
        IFERROR(
            VLOOKUP($A102, INDIRECT("MarR!$A$6:$ZZ$1048576"), MATCH(K$1, MarR!$6:$6, 0), FALSE),
            0
        ) +
        IFERROR(
            VLOOKUP($A102, INDIRECT("AbrR!$A$6:$ZZ$1048576"), MATCH(K$1, AbrR!$6:$6, 0), FALSE),
            0
        ) +
        IFERROR(
            VLOOKUP($A102, INDIRECT("MayR!$A$6:$ZZ$1048576"), MATCH(K$1, MayR!$6:$6, 0), FALSE),
            0
        ) +
        IFERROR(
            VLOOKUP($A102, INDIRECT("JunR!$A$6:$ZZ$1048576"), MATCH(K$1, JunR!$6:$6, 0), FALSE),
            0
        ) +
        IFERROR(
            VLOOKUP($A102, INDIRECT("JulR!$A$6:$ZZ$1048576"), MATCH(K$1, JulR!$6:$6, 0), FALSE),
            0
        ) +
        IFERROR(
            VLOOKUP($A102, INDIRECT("AgoR!$A$6:$ZZ$1048576"), MATCH(K$1, AgoR!$6:$6, 0), FALSE),
            0
        ) +
        IFERROR(
            VLOOKUP($A102, INDIRECT("SepR!$A$6:$ZZ$1048576"), MATCH(K$1, SepR!$6:$6, 0), FALSE),
            0
        ) +
        IFERROR(
            VLOOKUP($A102, INDIRECT("OctR!$A$6:$ZZ$1048576"), MATCH(K$1, OctR!$6:$6, 0), FALSE),
            0
        ) +
        IFERROR(
            VLOOKUP($A102, INDIRECT("NovR!$A$6:$ZZ$1048576"), MATCH(K$1, NovR!$6:$6, 0), FALSE),
            0
        ) +
        IFERROR(
            VLOOKUP($A102, INDIRECT("DicR!$A$6:$ZZ$1048576"), MATCH(K$1, DicR!$6:$6, 0), FALSE),
            0
        )
)</f>
        <v>0</v>
      </c>
      <c r="L102" s="32">
        <f t="array" ref="L102">SUM(
    IFERROR(
            VLOOKUP($A102, INDIRECT("EneR!$A$6:$ZZ$1048576"), MATCH(L$1, EneR!$6:$6, 0), FALSE),
            0
        ) +
        IFERROR(
            VLOOKUP($A102, INDIRECT("FebR!$A$6:$ZZ$1048576"), MATCH(L$1, FebR!$6:$6, 0), FALSE),
            0
        ) +
        IFERROR(
            VLOOKUP($A102, INDIRECT("MarR!$A$6:$ZZ$1048576"), MATCH(L$1, MarR!$6:$6, 0), FALSE),
            0
        ) +
        IFERROR(
            VLOOKUP($A102, INDIRECT("AbrR!$A$6:$ZZ$1048576"), MATCH(L$1, AbrR!$6:$6, 0), FALSE),
            0
        ) +
        IFERROR(
            VLOOKUP($A102, INDIRECT("MayR!$A$6:$ZZ$1048576"), MATCH(L$1, MayR!$6:$6, 0), FALSE),
            0
        ) +
        IFERROR(
            VLOOKUP($A102, INDIRECT("JunR!$A$6:$ZZ$1048576"), MATCH(L$1, JunR!$6:$6, 0), FALSE),
            0
        ) +
        IFERROR(
            VLOOKUP($A102, INDIRECT("JulR!$A$6:$ZZ$1048576"), MATCH(L$1, JulR!$6:$6, 0), FALSE),
            0
        ) +
        IFERROR(
            VLOOKUP($A102, INDIRECT("AgoR!$A$6:$ZZ$1048576"), MATCH(L$1, AgoR!$6:$6, 0), FALSE),
            0
        ) +
        IFERROR(
            VLOOKUP($A102, INDIRECT("SepR!$A$6:$ZZ$1048576"), MATCH(L$1, SepR!$6:$6, 0), FALSE),
            0
        ) +
        IFERROR(
            VLOOKUP($A102, INDIRECT("OctR!$A$6:$ZZ$1048576"), MATCH(L$1, OctR!$6:$6, 0), FALSE),
            0
        ) +
        IFERROR(
            VLOOKUP($A102, INDIRECT("NovR!$A$6:$ZZ$1048576"), MATCH(L$1, NovR!$6:$6, 0), FALSE),
            0
        ) +
        IFERROR(
            VLOOKUP($A102, INDIRECT("DicR!$A$6:$ZZ$1048576"), MATCH(L$1, DicR!$6:$6, 0), FALSE),
            0
        )
)</f>
        <v>0</v>
      </c>
      <c r="M102" s="35">
        <f t="array" ref="M102">SUM(
    IFERROR(
            VLOOKUP($A102, INDIRECT("EneR!$A$6:$ZZ$1048576"), MATCH(M$1, EneR!$6:$6, 0), FALSE),
            0
        ) +
        IFERROR(
            VLOOKUP($A102, INDIRECT("FebR!$A$6:$ZZ$1048576"), MATCH(M$1, FebR!$6:$6, 0), FALSE),
            0
        ) +
        IFERROR(
            VLOOKUP($A102, INDIRECT("MarR!$A$6:$ZZ$1048576"), MATCH(M$1, MarR!$6:$6, 0), FALSE),
            0
        ) +
        IFERROR(
            VLOOKUP($A102, INDIRECT("AbrR!$A$6:$ZZ$1048576"), MATCH(M$1, AbrR!$6:$6, 0), FALSE),
            0
        ) +
        IFERROR(
            VLOOKUP($A102, INDIRECT("MayR!$A$6:$ZZ$1048576"), MATCH(M$1, MayR!$6:$6, 0), FALSE),
            0
        ) +
        IFERROR(
            VLOOKUP($A102, INDIRECT("JunR!$A$6:$ZZ$1048576"), MATCH(M$1, JunR!$6:$6, 0), FALSE),
            0
        ) +
        IFERROR(
            VLOOKUP($A102, INDIRECT("JulR!$A$6:$ZZ$1048576"), MATCH(M$1, JulR!$6:$6, 0), FALSE),
            0
        ) +
        IFERROR(
            VLOOKUP($A102, INDIRECT("AgoR!$A$6:$ZZ$1048576"), MATCH(M$1, AgoR!$6:$6, 0), FALSE),
            0
        ) +
        IFERROR(
            VLOOKUP($A102, INDIRECT("SepR!$A$6:$ZZ$1048576"), MATCH(M$1, SepR!$6:$6, 0), FALSE),
            0
        ) +
        IFERROR(
            VLOOKUP($A102, INDIRECT("OctR!$A$6:$ZZ$1048576"), MATCH(M$1, OctR!$6:$6, 0), FALSE),
            0
        ) +
        IFERROR(
            VLOOKUP($A102, INDIRECT("NovR!$A$6:$ZZ$1048576"), MATCH(M$1, NovR!$6:$6, 0), FALSE),
            0
        ) +
        IFERROR(
            VLOOKUP($A102, INDIRECT("DicR!$A$6:$ZZ$1048576"), MATCH(M$1, DicR!$6:$6, 0), FALSE),
            0
        )
)</f>
        <v>0</v>
      </c>
      <c r="N102" s="32">
        <f t="array" ref="N102">SUM(
    IFERROR(
            VLOOKUP($A102, INDIRECT("EneR!$A$6:$ZZ$1048576"), MATCH(N$1, EneR!$6:$6, 0), FALSE),
            0
        ) +
        IFERROR(
            VLOOKUP($A102, INDIRECT("FebR!$A$6:$ZZ$1048576"), MATCH(N$1, FebR!$6:$6, 0), FALSE),
            0
        ) +
        IFERROR(
            VLOOKUP($A102, INDIRECT("MarR!$A$6:$ZZ$1048576"), MATCH(N$1, MarR!$6:$6, 0), FALSE),
            0
        ) +
        IFERROR(
            VLOOKUP($A102, INDIRECT("AbrR!$A$6:$ZZ$1048576"), MATCH(N$1, AbrR!$6:$6, 0), FALSE),
            0
        ) +
        IFERROR(
            VLOOKUP($A102, INDIRECT("MayR!$A$6:$ZZ$1048576"), MATCH(N$1, MayR!$6:$6, 0), FALSE),
            0
        ) +
        IFERROR(
            VLOOKUP($A102, INDIRECT("JunR!$A$6:$ZZ$1048576"), MATCH(N$1, JunR!$6:$6, 0), FALSE),
            0
        ) +
        IFERROR(
            VLOOKUP($A102, INDIRECT("JulR!$A$6:$ZZ$1048576"), MATCH(N$1, JulR!$6:$6, 0), FALSE),
            0
        ) +
        IFERROR(
            VLOOKUP($A102, INDIRECT("AgoR!$A$6:$ZZ$1048576"), MATCH(N$1, AgoR!$6:$6, 0), FALSE),
            0
        ) +
        IFERROR(
            VLOOKUP($A102, INDIRECT("SepR!$A$6:$ZZ$1048576"), MATCH(N$1, SepR!$6:$6, 0), FALSE),
            0
        ) +
        IFERROR(
            VLOOKUP($A102, INDIRECT("OctR!$A$6:$ZZ$1048576"), MATCH(N$1, OctR!$6:$6, 0), FALSE),
            0
        ) +
        IFERROR(
            VLOOKUP($A102, INDIRECT("NovR!$A$6:$ZZ$1048576"), MATCH(N$1, NovR!$6:$6, 0), FALSE),
            0
        ) +
        IFERROR(
            VLOOKUP($A102, INDIRECT("DicR!$A$6:$ZZ$1048576"), MATCH(N$1, DicR!$6:$6, 0), FALSE),
            0
        )
)</f>
        <v>0</v>
      </c>
      <c r="O102" s="35">
        <f t="array" ref="O102">SUM(
    IFERROR(
            VLOOKUP($A102, INDIRECT("EneR!$A$6:$ZZ$1048576"), MATCH(O$1, EneR!$6:$6, 0), FALSE),
            0
        ) +
        IFERROR(
            VLOOKUP($A102, INDIRECT("FebR!$A$6:$ZZ$1048576"), MATCH(O$1, FebR!$6:$6, 0), FALSE),
            0
        ) +
        IFERROR(
            VLOOKUP($A102, INDIRECT("MarR!$A$6:$ZZ$1048576"), MATCH(O$1, MarR!$6:$6, 0), FALSE),
            0
        ) +
        IFERROR(
            VLOOKUP($A102, INDIRECT("AbrR!$A$6:$ZZ$1048576"), MATCH(O$1, AbrR!$6:$6, 0), FALSE),
            0
        ) +
        IFERROR(
            VLOOKUP($A102, INDIRECT("MayR!$A$6:$ZZ$1048576"), MATCH(O$1, MayR!$6:$6, 0), FALSE),
            0
        ) +
        IFERROR(
            VLOOKUP($A102, INDIRECT("JunR!$A$6:$ZZ$1048576"), MATCH(O$1, JunR!$6:$6, 0), FALSE),
            0
        ) +
        IFERROR(
            VLOOKUP($A102, INDIRECT("JulR!$A$6:$ZZ$1048576"), MATCH(O$1, JulR!$6:$6, 0), FALSE),
            0
        ) +
        IFERROR(
            VLOOKUP($A102, INDIRECT("AgoR!$A$6:$ZZ$1048576"), MATCH(O$1, AgoR!$6:$6, 0), FALSE),
            0
        ) +
        IFERROR(
            VLOOKUP($A102, INDIRECT("SepR!$A$6:$ZZ$1048576"), MATCH(O$1, SepR!$6:$6, 0), FALSE),
            0
        ) +
        IFERROR(
            VLOOKUP($A102, INDIRECT("OctR!$A$6:$ZZ$1048576"), MATCH(O$1, OctR!$6:$6, 0), FALSE),
            0
        ) +
        IFERROR(
            VLOOKUP($A102, INDIRECT("NovR!$A$6:$ZZ$1048576"), MATCH(O$1, NovR!$6:$6, 0), FALSE),
            0
        ) +
        IFERROR(
            VLOOKUP($A102, INDIRECT("DicR!$A$6:$ZZ$1048576"), MATCH(O$1, DicR!$6:$6, 0), FALSE),
            0
        )
)</f>
        <v>0</v>
      </c>
      <c r="P102" s="32">
        <f t="array" ref="P102">SUM(
    IFERROR(
            VLOOKUP($A102, INDIRECT("EneR!$A$6:$ZZ$1048576"), MATCH(P$1, EneR!$6:$6, 0), FALSE),
            0
        ) +
        IFERROR(
            VLOOKUP($A102, INDIRECT("FebR!$A$6:$ZZ$1048576"), MATCH(P$1, FebR!$6:$6, 0), FALSE),
            0
        ) +
        IFERROR(
            VLOOKUP($A102, INDIRECT("MarR!$A$6:$ZZ$1048576"), MATCH(P$1, MarR!$6:$6, 0), FALSE),
            0
        ) +
        IFERROR(
            VLOOKUP($A102, INDIRECT("AbrR!$A$6:$ZZ$1048576"), MATCH(P$1, AbrR!$6:$6, 0), FALSE),
            0
        ) +
        IFERROR(
            VLOOKUP($A102, INDIRECT("MayR!$A$6:$ZZ$1048576"), MATCH(P$1, MayR!$6:$6, 0), FALSE),
            0
        ) +
        IFERROR(
            VLOOKUP($A102, INDIRECT("JunR!$A$6:$ZZ$1048576"), MATCH(P$1, JunR!$6:$6, 0), FALSE),
            0
        ) +
        IFERROR(
            VLOOKUP($A102, INDIRECT("JulR!$A$6:$ZZ$1048576"), MATCH(P$1, JulR!$6:$6, 0), FALSE),
            0
        ) +
        IFERROR(
            VLOOKUP($A102, INDIRECT("AgoR!$A$6:$ZZ$1048576"), MATCH(P$1, AgoR!$6:$6, 0), FALSE),
            0
        ) +
        IFERROR(
            VLOOKUP($A102, INDIRECT("SepR!$A$6:$ZZ$1048576"), MATCH(P$1, SepR!$6:$6, 0), FALSE),
            0
        ) +
        IFERROR(
            VLOOKUP($A102, INDIRECT("OctR!$A$6:$ZZ$1048576"), MATCH(P$1, OctR!$6:$6, 0), FALSE),
            0
        ) +
        IFERROR(
            VLOOKUP($A102, INDIRECT("NovR!$A$6:$ZZ$1048576"), MATCH(P$1, NovR!$6:$6, 0), FALSE),
            0
        ) +
        IFERROR(
            VLOOKUP($A102, INDIRECT("DicR!$A$6:$ZZ$1048576"), MATCH(P$1, DicR!$6:$6, 0), FALSE),
            0
        )
)</f>
        <v>0</v>
      </c>
      <c r="Q102" s="35">
        <f t="array" ref="Q102">SUM(
    IFERROR(
            VLOOKUP($A102, INDIRECT("EneR!$A$6:$ZZ$1048576"), MATCH(Q$1, EneR!$6:$6, 0), FALSE),
            0
        ) +
        IFERROR(
            VLOOKUP($A102, INDIRECT("FebR!$A$6:$ZZ$1048576"), MATCH(Q$1, FebR!$6:$6, 0), FALSE),
            0
        ) +
        IFERROR(
            VLOOKUP($A102, INDIRECT("MarR!$A$6:$ZZ$1048576"), MATCH(Q$1, MarR!$6:$6, 0), FALSE),
            0
        ) +
        IFERROR(
            VLOOKUP($A102, INDIRECT("AbrR!$A$6:$ZZ$1048576"), MATCH(Q$1, AbrR!$6:$6, 0), FALSE),
            0
        ) +
        IFERROR(
            VLOOKUP($A102, INDIRECT("MayR!$A$6:$ZZ$1048576"), MATCH(Q$1, MayR!$6:$6, 0), FALSE),
            0
        ) +
        IFERROR(
            VLOOKUP($A102, INDIRECT("JunR!$A$6:$ZZ$1048576"), MATCH(Q$1, JunR!$6:$6, 0), FALSE),
            0
        ) +
        IFERROR(
            VLOOKUP($A102, INDIRECT("JulR!$A$6:$ZZ$1048576"), MATCH(Q$1, JulR!$6:$6, 0), FALSE),
            0
        ) +
        IFERROR(
            VLOOKUP($A102, INDIRECT("AgoR!$A$6:$ZZ$1048576"), MATCH(Q$1, AgoR!$6:$6, 0), FALSE),
            0
        ) +
        IFERROR(
            VLOOKUP($A102, INDIRECT("SepR!$A$6:$ZZ$1048576"), MATCH(Q$1, SepR!$6:$6, 0), FALSE),
            0
        ) +
        IFERROR(
            VLOOKUP($A102, INDIRECT("OctR!$A$6:$ZZ$1048576"), MATCH(Q$1, OctR!$6:$6, 0), FALSE),
            0
        ) +
        IFERROR(
            VLOOKUP($A102, INDIRECT("NovR!$A$6:$ZZ$1048576"), MATCH(Q$1, NovR!$6:$6, 0), FALSE),
            0
        ) +
        IFERROR(
            VLOOKUP($A102, INDIRECT("DicR!$A$6:$ZZ$1048576"), MATCH(Q$1, DicR!$6:$6, 0), FALSE),
            0
        )
)</f>
        <v>0</v>
      </c>
      <c r="R102" s="36">
        <f t="array" ref="R102">SUM(
    IFERROR(
            VLOOKUP($A102, INDIRECT("EneR!$A$6:$ZZ$1048576"), MATCH(R$1, EneR!$6:$6, 0), FALSE),
            0
        ) +
        IFERROR(
            VLOOKUP($A102, INDIRECT("FebR!$A$6:$ZZ$1048576"), MATCH(R$1, FebR!$6:$6, 0), FALSE),
            0
        ) +
        IFERROR(
            VLOOKUP($A102, INDIRECT("MarR!$A$6:$ZZ$1048576"), MATCH(R$1, MarR!$6:$6, 0), FALSE),
            0
        ) +
        IFERROR(
            VLOOKUP($A102, INDIRECT("AbrR!$A$6:$ZZ$1048576"), MATCH(R$1, AbrR!$6:$6, 0), FALSE),
            0
        ) +
        IFERROR(
            VLOOKUP($A102, INDIRECT("MayR!$A$6:$ZZ$1048576"), MATCH(R$1, MayR!$6:$6, 0), FALSE),
            0
        ) +
        IFERROR(
            VLOOKUP($A102, INDIRECT("JunR!$A$6:$ZZ$1048576"), MATCH(R$1, JunR!$6:$6, 0), FALSE),
            0
        ) +
        IFERROR(
            VLOOKUP($A102, INDIRECT("JulR!$A$6:$ZZ$1048576"), MATCH(R$1, JulR!$6:$6, 0), FALSE),
            0
        ) +
        IFERROR(
            VLOOKUP($A102, INDIRECT("AgoR!$A$6:$ZZ$1048576"), MATCH(R$1, AgoR!$6:$6, 0), FALSE),
            0
        ) +
        IFERROR(
            VLOOKUP($A102, INDIRECT("SepR!$A$6:$ZZ$1048576"), MATCH(R$1, SepR!$6:$6, 0), FALSE),
            0
        ) +
        IFERROR(
            VLOOKUP($A102, INDIRECT("OctR!$A$6:$ZZ$1048576"), MATCH(R$1, OctR!$6:$6, 0), FALSE),
            0
        ) +
        IFERROR(
            VLOOKUP($A102, INDIRECT("NovR!$A$6:$ZZ$1048576"), MATCH(R$1, NovR!$6:$6, 0), FALSE),
            0
        ) +
        IFERROR(
            VLOOKUP($A102, INDIRECT("DicR!$A$6:$ZZ$1048576"), MATCH(R$1, DicR!$6:$6, 0), FALSE),
            0
        )
)</f>
        <v>0</v>
      </c>
      <c r="S102" s="37">
        <f t="array" ref="S102">SUM(
    IFERROR(
            VLOOKUP($A102, INDIRECT("EneR!$A$6:$ZZ$1048576"), MATCH(S$1, EneR!$6:$6, 0), FALSE),
            0
        ) +
        IFERROR(
            VLOOKUP($A102, INDIRECT("FebR!$A$6:$ZZ$1048576"), MATCH(S$1, FebR!$6:$6, 0), FALSE),
            0
        ) +
        IFERROR(
            VLOOKUP($A102, INDIRECT("MarR!$A$6:$ZZ$1048576"), MATCH(S$1, MarR!$6:$6, 0), FALSE),
            0
        ) +
        IFERROR(
            VLOOKUP($A102, INDIRECT("AbrR!$A$6:$ZZ$1048576"), MATCH(S$1, AbrR!$6:$6, 0), FALSE),
            0
        ) +
        IFERROR(
            VLOOKUP($A102, INDIRECT("MayR!$A$6:$ZZ$1048576"), MATCH(S$1, MayR!$6:$6, 0), FALSE),
            0
        ) +
        IFERROR(
            VLOOKUP($A102, INDIRECT("JunR!$A$6:$ZZ$1048576"), MATCH(S$1, JunR!$6:$6, 0), FALSE),
            0
        ) +
        IFERROR(
            VLOOKUP($A102, INDIRECT("JulR!$A$6:$ZZ$1048576"), MATCH(S$1, JulR!$6:$6, 0), FALSE),
            0
        ) +
        IFERROR(
            VLOOKUP($A102, INDIRECT("AgoR!$A$6:$ZZ$1048576"), MATCH(S$1, AgoR!$6:$6, 0), FALSE),
            0
        ) +
        IFERROR(
            VLOOKUP($A102, INDIRECT("SepR!$A$6:$ZZ$1048576"), MATCH(S$1, SepR!$6:$6, 0), FALSE),
            0
        ) +
        IFERROR(
            VLOOKUP($A102, INDIRECT("OctR!$A$6:$ZZ$1048576"), MATCH(S$1, OctR!$6:$6, 0), FALSE),
            0
        ) +
        IFERROR(
            VLOOKUP($A102, INDIRECT("NovR!$A$6:$ZZ$1048576"), MATCH(S$1, NovR!$6:$6, 0), FALSE),
            0
        ) +
        IFERROR(
            VLOOKUP($A102, INDIRECT("DicR!$A$6:$ZZ$1048576"), MATCH(S$1, DicR!$6:$6, 0), FALSE),
            0
        )
)</f>
        <v>0</v>
      </c>
      <c r="T102" s="36">
        <f t="array" ref="T102">SUM(
    IFERROR(
            VLOOKUP($A102, INDIRECT("EneR!$A$6:$ZZ$1048576"), MATCH(T$1, EneR!$6:$6, 0), FALSE),
            0
        ) +
        IFERROR(
            VLOOKUP($A102, INDIRECT("FebR!$A$6:$ZZ$1048576"), MATCH(T$1, FebR!$6:$6, 0), FALSE),
            0
        ) +
        IFERROR(
            VLOOKUP($A102, INDIRECT("MarR!$A$6:$ZZ$1048576"), MATCH(T$1, MarR!$6:$6, 0), FALSE),
            0
        ) +
        IFERROR(
            VLOOKUP($A102, INDIRECT("AbrR!$A$6:$ZZ$1048576"), MATCH(T$1, AbrR!$6:$6, 0), FALSE),
            0
        ) +
        IFERROR(
            VLOOKUP($A102, INDIRECT("MayR!$A$6:$ZZ$1048576"), MATCH(T$1, MayR!$6:$6, 0), FALSE),
            0
        ) +
        IFERROR(
            VLOOKUP($A102, INDIRECT("JunR!$A$6:$ZZ$1048576"), MATCH(T$1, JunR!$6:$6, 0), FALSE),
            0
        ) +
        IFERROR(
            VLOOKUP($A102, INDIRECT("JulR!$A$6:$ZZ$1048576"), MATCH(T$1, JulR!$6:$6, 0), FALSE),
            0
        ) +
        IFERROR(
            VLOOKUP($A102, INDIRECT("AgoR!$A$6:$ZZ$1048576"), MATCH(T$1, AgoR!$6:$6, 0), FALSE),
            0
        ) +
        IFERROR(
            VLOOKUP($A102, INDIRECT("SepR!$A$6:$ZZ$1048576"), MATCH(T$1, SepR!$6:$6, 0), FALSE),
            0
        ) +
        IFERROR(
            VLOOKUP($A102, INDIRECT("OctR!$A$6:$ZZ$1048576"), MATCH(T$1, OctR!$6:$6, 0), FALSE),
            0
        ) +
        IFERROR(
            VLOOKUP($A102, INDIRECT("NovR!$A$6:$ZZ$1048576"), MATCH(T$1, NovR!$6:$6, 0), FALSE),
            0
        ) +
        IFERROR(
            VLOOKUP($A102, INDIRECT("DicR!$A$6:$ZZ$1048576"), MATCH(T$1, DicR!$6:$6, 0), FALSE),
            0
        )
)</f>
        <v>0</v>
      </c>
      <c r="U102" s="37">
        <f t="array" ref="U102">SUM(
    IFERROR(
            VLOOKUP($A102, INDIRECT("EneR!$A$6:$ZZ$1048576"), MATCH(U$1, EneR!$6:$6, 0), FALSE),
            0
        ) +
        IFERROR(
            VLOOKUP($A102, INDIRECT("FebR!$A$6:$ZZ$1048576"), MATCH(U$1, FebR!$6:$6, 0), FALSE),
            0
        ) +
        IFERROR(
            VLOOKUP($A102, INDIRECT("MarR!$A$6:$ZZ$1048576"), MATCH(U$1, MarR!$6:$6, 0), FALSE),
            0
        ) +
        IFERROR(
            VLOOKUP($A102, INDIRECT("AbrR!$A$6:$ZZ$1048576"), MATCH(U$1, AbrR!$6:$6, 0), FALSE),
            0
        ) +
        IFERROR(
            VLOOKUP($A102, INDIRECT("MayR!$A$6:$ZZ$1048576"), MATCH(U$1, MayR!$6:$6, 0), FALSE),
            0
        ) +
        IFERROR(
            VLOOKUP($A102, INDIRECT("JunR!$A$6:$ZZ$1048576"), MATCH(U$1, JunR!$6:$6, 0), FALSE),
            0
        ) +
        IFERROR(
            VLOOKUP($A102, INDIRECT("JulR!$A$6:$ZZ$1048576"), MATCH(U$1, JulR!$6:$6, 0), FALSE),
            0
        ) +
        IFERROR(
            VLOOKUP($A102, INDIRECT("AgoR!$A$6:$ZZ$1048576"), MATCH(U$1, AgoR!$6:$6, 0), FALSE),
            0
        ) +
        IFERROR(
            VLOOKUP($A102, INDIRECT("SepR!$A$6:$ZZ$1048576"), MATCH(U$1, SepR!$6:$6, 0), FALSE),
            0
        ) +
        IFERROR(
            VLOOKUP($A102, INDIRECT("OctR!$A$6:$ZZ$1048576"), MATCH(U$1, OctR!$6:$6, 0), FALSE),
            0
        ) +
        IFERROR(
            VLOOKUP($A102, INDIRECT("NovR!$A$6:$ZZ$1048576"), MATCH(U$1, NovR!$6:$6, 0), FALSE),
            0
        ) +
        IFERROR(
            VLOOKUP($A102, INDIRECT("DicR!$A$6:$ZZ$1048576"), MATCH(U$1, DicR!$6:$6, 0), FALSE),
            0
        )
)</f>
        <v>0</v>
      </c>
      <c r="V102" s="36">
        <f t="array" ref="V102">SUM(
    IFERROR(
            VLOOKUP($A102, INDIRECT("EneR!$A$6:$ZZ$1048576"), MATCH(V$1, EneR!$6:$6, 0), FALSE),
            0
        ) +
        IFERROR(
            VLOOKUP($A102, INDIRECT("FebR!$A$6:$ZZ$1048576"), MATCH(V$1, FebR!$6:$6, 0), FALSE),
            0
        ) +
        IFERROR(
            VLOOKUP($A102, INDIRECT("MarR!$A$6:$ZZ$1048576"), MATCH(V$1, MarR!$6:$6, 0), FALSE),
            0
        ) +
        IFERROR(
            VLOOKUP($A102, INDIRECT("AbrR!$A$6:$ZZ$1048576"), MATCH(V$1, AbrR!$6:$6, 0), FALSE),
            0
        ) +
        IFERROR(
            VLOOKUP($A102, INDIRECT("MayR!$A$6:$ZZ$1048576"), MATCH(V$1, MayR!$6:$6, 0), FALSE),
            0
        ) +
        IFERROR(
            VLOOKUP($A102, INDIRECT("JunR!$A$6:$ZZ$1048576"), MATCH(V$1, JunR!$6:$6, 0), FALSE),
            0
        ) +
        IFERROR(
            VLOOKUP($A102, INDIRECT("JulR!$A$6:$ZZ$1048576"), MATCH(V$1, JulR!$6:$6, 0), FALSE),
            0
        ) +
        IFERROR(
            VLOOKUP($A102, INDIRECT("AgoR!$A$6:$ZZ$1048576"), MATCH(V$1, AgoR!$6:$6, 0), FALSE),
            0
        ) +
        IFERROR(
            VLOOKUP($A102, INDIRECT("SepR!$A$6:$ZZ$1048576"), MATCH(V$1, SepR!$6:$6, 0), FALSE),
            0
        ) +
        IFERROR(
            VLOOKUP($A102, INDIRECT("OctR!$A$6:$ZZ$1048576"), MATCH(V$1, OctR!$6:$6, 0), FALSE),
            0
        ) +
        IFERROR(
            VLOOKUP($A102, INDIRECT("NovR!$A$6:$ZZ$1048576"), MATCH(V$1, NovR!$6:$6, 0), FALSE),
            0
        ) +
        IFERROR(
            VLOOKUP($A102, INDIRECT("DicR!$A$6:$ZZ$1048576"), MATCH(V$1, DicR!$6:$6, 0), FALSE),
            0
        )
)</f>
        <v>0</v>
      </c>
      <c r="W102" s="37">
        <f t="array" ref="W102">SUM(
    IFERROR(
            VLOOKUP($A102, INDIRECT("EneR!$A$6:$ZZ$1048576"), MATCH(W$1, EneR!$6:$6, 0), FALSE),
            0
        ) +
        IFERROR(
            VLOOKUP($A102, INDIRECT("FebR!$A$6:$ZZ$1048576"), MATCH(W$1, FebR!$6:$6, 0), FALSE),
            0
        ) +
        IFERROR(
            VLOOKUP($A102, INDIRECT("MarR!$A$6:$ZZ$1048576"), MATCH(W$1, MarR!$6:$6, 0), FALSE),
            0
        ) +
        IFERROR(
            VLOOKUP($A102, INDIRECT("AbrR!$A$6:$ZZ$1048576"), MATCH(W$1, AbrR!$6:$6, 0), FALSE),
            0
        ) +
        IFERROR(
            VLOOKUP($A102, INDIRECT("MayR!$A$6:$ZZ$1048576"), MATCH(W$1, MayR!$6:$6, 0), FALSE),
            0
        ) +
        IFERROR(
            VLOOKUP($A102, INDIRECT("JunR!$A$6:$ZZ$1048576"), MATCH(W$1, JunR!$6:$6, 0), FALSE),
            0
        ) +
        IFERROR(
            VLOOKUP($A102, INDIRECT("JulR!$A$6:$ZZ$1048576"), MATCH(W$1, JulR!$6:$6, 0), FALSE),
            0
        ) +
        IFERROR(
            VLOOKUP($A102, INDIRECT("AgoR!$A$6:$ZZ$1048576"), MATCH(W$1, AgoR!$6:$6, 0), FALSE),
            0
        ) +
        IFERROR(
            VLOOKUP($A102, INDIRECT("SepR!$A$6:$ZZ$1048576"), MATCH(W$1, SepR!$6:$6, 0), FALSE),
            0
        ) +
        IFERROR(
            VLOOKUP($A102, INDIRECT("OctR!$A$6:$ZZ$1048576"), MATCH(W$1, OctR!$6:$6, 0), FALSE),
            0
        ) +
        IFERROR(
            VLOOKUP($A102, INDIRECT("NovR!$A$6:$ZZ$1048576"), MATCH(W$1, NovR!$6:$6, 0), FALSE),
            0
        ) +
        IFERROR(
            VLOOKUP($A102, INDIRECT("DicR!$A$6:$ZZ$1048576"), MATCH(W$1, DicR!$6:$6, 0), FALSE),
            0
        )
)</f>
        <v>0</v>
      </c>
      <c r="X102" s="36">
        <f t="array" ref="X102">SUM(
    IFERROR(
            VLOOKUP($A102, INDIRECT("EneR!$A$6:$ZZ$1048576"), MATCH(X$1, EneR!$6:$6, 0), FALSE),
            0
        ) +
        IFERROR(
            VLOOKUP($A102, INDIRECT("FebR!$A$6:$ZZ$1048576"), MATCH(X$1, FebR!$6:$6, 0), FALSE),
            0
        ) +
        IFERROR(
            VLOOKUP($A102, INDIRECT("MarR!$A$6:$ZZ$1048576"), MATCH(X$1, MarR!$6:$6, 0), FALSE),
            0
        ) +
        IFERROR(
            VLOOKUP($A102, INDIRECT("AbrR!$A$6:$ZZ$1048576"), MATCH(X$1, AbrR!$6:$6, 0), FALSE),
            0
        ) +
        IFERROR(
            VLOOKUP($A102, INDIRECT("MayR!$A$6:$ZZ$1048576"), MATCH(X$1, MayR!$6:$6, 0), FALSE),
            0
        ) +
        IFERROR(
            VLOOKUP($A102, INDIRECT("JunR!$A$6:$ZZ$1048576"), MATCH(X$1, JunR!$6:$6, 0), FALSE),
            0
        ) +
        IFERROR(
            VLOOKUP($A102, INDIRECT("JulR!$A$6:$ZZ$1048576"), MATCH(X$1, JulR!$6:$6, 0), FALSE),
            0
        ) +
        IFERROR(
            VLOOKUP($A102, INDIRECT("AgoR!$A$6:$ZZ$1048576"), MATCH(X$1, AgoR!$6:$6, 0), FALSE),
            0
        ) +
        IFERROR(
            VLOOKUP($A102, INDIRECT("SepR!$A$6:$ZZ$1048576"), MATCH(X$1, SepR!$6:$6, 0), FALSE),
            0
        ) +
        IFERROR(
            VLOOKUP($A102, INDIRECT("OctR!$A$6:$ZZ$1048576"), MATCH(X$1, OctR!$6:$6, 0), FALSE),
            0
        ) +
        IFERROR(
            VLOOKUP($A102, INDIRECT("NovR!$A$6:$ZZ$1048576"), MATCH(X$1, NovR!$6:$6, 0), FALSE),
            0
        ) +
        IFERROR(
            VLOOKUP($A102, INDIRECT("DicR!$A$6:$ZZ$1048576"), MATCH(X$1, DicR!$6:$6, 0), FALSE),
            0
        )
)</f>
        <v>0</v>
      </c>
      <c r="Y102" s="37">
        <f t="array" ref="Y102">SUM(
    IFERROR(
            VLOOKUP($A102, INDIRECT("EneR!$A$6:$ZZ$1048576"), MATCH(Y$1, EneR!$6:$6, 0), FALSE),
            0
        ) +
        IFERROR(
            VLOOKUP($A102, INDIRECT("FebR!$A$6:$ZZ$1048576"), MATCH(Y$1, FebR!$6:$6, 0), FALSE),
            0
        ) +
        IFERROR(
            VLOOKUP($A102, INDIRECT("MarR!$A$6:$ZZ$1048576"), MATCH(Y$1, MarR!$6:$6, 0), FALSE),
            0
        ) +
        IFERROR(
            VLOOKUP($A102, INDIRECT("AbrR!$A$6:$ZZ$1048576"), MATCH(Y$1, AbrR!$6:$6, 0), FALSE),
            0
        ) +
        IFERROR(
            VLOOKUP($A102, INDIRECT("MayR!$A$6:$ZZ$1048576"), MATCH(Y$1, MayR!$6:$6, 0), FALSE),
            0
        ) +
        IFERROR(
            VLOOKUP($A102, INDIRECT("JunR!$A$6:$ZZ$1048576"), MATCH(Y$1, JunR!$6:$6, 0), FALSE),
            0
        ) +
        IFERROR(
            VLOOKUP($A102, INDIRECT("JulR!$A$6:$ZZ$1048576"), MATCH(Y$1, JulR!$6:$6, 0), FALSE),
            0
        ) +
        IFERROR(
            VLOOKUP($A102, INDIRECT("AgoR!$A$6:$ZZ$1048576"), MATCH(Y$1, AgoR!$6:$6, 0), FALSE),
            0
        ) +
        IFERROR(
            VLOOKUP($A102, INDIRECT("SepR!$A$6:$ZZ$1048576"), MATCH(Y$1, SepR!$6:$6, 0), FALSE),
            0
        ) +
        IFERROR(
            VLOOKUP($A102, INDIRECT("OctR!$A$6:$ZZ$1048576"), MATCH(Y$1, OctR!$6:$6, 0), FALSE),
            0
        ) +
        IFERROR(
            VLOOKUP($A102, INDIRECT("NovR!$A$6:$ZZ$1048576"), MATCH(Y$1, NovR!$6:$6, 0), FALSE),
            0
        ) +
        IFERROR(
            VLOOKUP($A102, INDIRECT("DicR!$A$6:$ZZ$1048576"), MATCH(Y$1, DicR!$6:$6, 0), FALSE),
            0
        )
)</f>
        <v>0</v>
      </c>
      <c r="Z102" s="36">
        <f t="array" ref="Z102">SUM(
    IFERROR(
            VLOOKUP($A102, INDIRECT("EneR!$A$6:$ZZ$1048576"), MATCH(Z$1, EneR!$6:$6, 0), FALSE),
            0
        ) +
        IFERROR(
            VLOOKUP($A102, INDIRECT("FebR!$A$6:$ZZ$1048576"), MATCH(Z$1, FebR!$6:$6, 0), FALSE),
            0
        ) +
        IFERROR(
            VLOOKUP($A102, INDIRECT("MarR!$A$6:$ZZ$1048576"), MATCH(Z$1, MarR!$6:$6, 0), FALSE),
            0
        ) +
        IFERROR(
            VLOOKUP($A102, INDIRECT("AbrR!$A$6:$ZZ$1048576"), MATCH(Z$1, AbrR!$6:$6, 0), FALSE),
            0
        ) +
        IFERROR(
            VLOOKUP($A102, INDIRECT("MayR!$A$6:$ZZ$1048576"), MATCH(Z$1, MayR!$6:$6, 0), FALSE),
            0
        ) +
        IFERROR(
            VLOOKUP($A102, INDIRECT("JunR!$A$6:$ZZ$1048576"), MATCH(Z$1, JunR!$6:$6, 0), FALSE),
            0
        ) +
        IFERROR(
            VLOOKUP($A102, INDIRECT("JulR!$A$6:$ZZ$1048576"), MATCH(Z$1, JulR!$6:$6, 0), FALSE),
            0
        ) +
        IFERROR(
            VLOOKUP($A102, INDIRECT("AgoR!$A$6:$ZZ$1048576"), MATCH(Z$1, AgoR!$6:$6, 0), FALSE),
            0
        ) +
        IFERROR(
            VLOOKUP($A102, INDIRECT("SepR!$A$6:$ZZ$1048576"), MATCH(Z$1, SepR!$6:$6, 0), FALSE),
            0
        ) +
        IFERROR(
            VLOOKUP($A102, INDIRECT("OctR!$A$6:$ZZ$1048576"), MATCH(Z$1, OctR!$6:$6, 0), FALSE),
            0
        ) +
        IFERROR(
            VLOOKUP($A102, INDIRECT("NovR!$A$6:$ZZ$1048576"), MATCH(Z$1, NovR!$6:$6, 0), FALSE),
            0
        ) +
        IFERROR(
            VLOOKUP($A102, INDIRECT("DicR!$A$6:$ZZ$1048576"), MATCH(Z$1, DicR!$6:$6, 0), FALSE),
            0
        )
)</f>
        <v>0</v>
      </c>
      <c r="AA102" s="37">
        <f t="array" ref="AA102">SUM(
    IFERROR(
            VLOOKUP($A102, INDIRECT("EneR!$A$6:$ZZ$1048576"), MATCH(AA$1, EneR!$6:$6, 0), FALSE),
            0
        ) +
        IFERROR(
            VLOOKUP($A102, INDIRECT("FebR!$A$6:$ZZ$1048576"), MATCH(AA$1, FebR!$6:$6, 0), FALSE),
            0
        ) +
        IFERROR(
            VLOOKUP($A102, INDIRECT("MarR!$A$6:$ZZ$1048576"), MATCH(AA$1, MarR!$6:$6, 0), FALSE),
            0
        ) +
        IFERROR(
            VLOOKUP($A102, INDIRECT("AbrR!$A$6:$ZZ$1048576"), MATCH(AA$1, AbrR!$6:$6, 0), FALSE),
            0
        ) +
        IFERROR(
            VLOOKUP($A102, INDIRECT("MayR!$A$6:$ZZ$1048576"), MATCH(AA$1, MayR!$6:$6, 0), FALSE),
            0
        ) +
        IFERROR(
            VLOOKUP($A102, INDIRECT("JunR!$A$6:$ZZ$1048576"), MATCH(AA$1, JunR!$6:$6, 0), FALSE),
            0
        ) +
        IFERROR(
            VLOOKUP($A102, INDIRECT("JulR!$A$6:$ZZ$1048576"), MATCH(AA$1, JulR!$6:$6, 0), FALSE),
            0
        ) +
        IFERROR(
            VLOOKUP($A102, INDIRECT("AgoR!$A$6:$ZZ$1048576"), MATCH(AA$1, AgoR!$6:$6, 0), FALSE),
            0
        ) +
        IFERROR(
            VLOOKUP($A102, INDIRECT("SepR!$A$6:$ZZ$1048576"), MATCH(AA$1, SepR!$6:$6, 0), FALSE),
            0
        ) +
        IFERROR(
            VLOOKUP($A102, INDIRECT("OctR!$A$6:$ZZ$1048576"), MATCH(AA$1, OctR!$6:$6, 0), FALSE),
            0
        ) +
        IFERROR(
            VLOOKUP($A102, INDIRECT("NovR!$A$6:$ZZ$1048576"), MATCH(AA$1, NovR!$6:$6, 0), FALSE),
            0
        ) +
        IFERROR(
            VLOOKUP($A102, INDIRECT("DicR!$A$6:$ZZ$1048576"), MATCH(AA$1, DicR!$6:$6, 0), FALSE),
            0
        )
)</f>
        <v>0</v>
      </c>
      <c r="AB102" s="36">
        <f t="array" ref="AB102">SUM(
    IFERROR(
            VLOOKUP($A102, INDIRECT("EneR!$A$6:$ZZ$1048576"), MATCH(AB$1, EneR!$6:$6, 0), FALSE),
            0
        ) +
        IFERROR(
            VLOOKUP($A102, INDIRECT("FebR!$A$6:$ZZ$1048576"), MATCH(AB$1, FebR!$6:$6, 0), FALSE),
            0
        ) +
        IFERROR(
            VLOOKUP($A102, INDIRECT("MarR!$A$6:$ZZ$1048576"), MATCH(AB$1, MarR!$6:$6, 0), FALSE),
            0
        ) +
        IFERROR(
            VLOOKUP($A102, INDIRECT("AbrR!$A$6:$ZZ$1048576"), MATCH(AB$1, AbrR!$6:$6, 0), FALSE),
            0
        ) +
        IFERROR(
            VLOOKUP($A102, INDIRECT("MayR!$A$6:$ZZ$1048576"), MATCH(AB$1, MayR!$6:$6, 0), FALSE),
            0
        ) +
        IFERROR(
            VLOOKUP($A102, INDIRECT("JunR!$A$6:$ZZ$1048576"), MATCH(AB$1, JunR!$6:$6, 0), FALSE),
            0
        ) +
        IFERROR(
            VLOOKUP($A102, INDIRECT("JulR!$A$6:$ZZ$1048576"), MATCH(AB$1, JulR!$6:$6, 0), FALSE),
            0
        ) +
        IFERROR(
            VLOOKUP($A102, INDIRECT("AgoR!$A$6:$ZZ$1048576"), MATCH(AB$1, AgoR!$6:$6, 0), FALSE),
            0
        ) +
        IFERROR(
            VLOOKUP($A102, INDIRECT("SepR!$A$6:$ZZ$1048576"), MATCH(AB$1, SepR!$6:$6, 0), FALSE),
            0
        ) +
        IFERROR(
            VLOOKUP($A102, INDIRECT("OctR!$A$6:$ZZ$1048576"), MATCH(AB$1, OctR!$6:$6, 0), FALSE),
            0
        ) +
        IFERROR(
            VLOOKUP($A102, INDIRECT("NovR!$A$6:$ZZ$1048576"), MATCH(AB$1, NovR!$6:$6, 0), FALSE),
            0
        ) +
        IFERROR(
            VLOOKUP($A102, INDIRECT("DicR!$A$6:$ZZ$1048576"), MATCH(AB$1, DicR!$6:$6, 0), FALSE),
            0
        )
)</f>
        <v>0</v>
      </c>
      <c r="AC102" s="37">
        <f t="array" ref="AC102">SUM(
    IFERROR(
            VLOOKUP($A102, INDIRECT("EneR!$A$6:$ZZ$1048576"), MATCH(AC$1, EneR!$6:$6, 0), FALSE),
            0
        ) +
        IFERROR(
            VLOOKUP($A102, INDIRECT("FebR!$A$6:$ZZ$1048576"), MATCH(AC$1, FebR!$6:$6, 0), FALSE),
            0
        ) +
        IFERROR(
            VLOOKUP($A102, INDIRECT("MarR!$A$6:$ZZ$1048576"), MATCH(AC$1, MarR!$6:$6, 0), FALSE),
            0
        ) +
        IFERROR(
            VLOOKUP($A102, INDIRECT("AbrR!$A$6:$ZZ$1048576"), MATCH(AC$1, AbrR!$6:$6, 0), FALSE),
            0
        ) +
        IFERROR(
            VLOOKUP($A102, INDIRECT("MayR!$A$6:$ZZ$1048576"), MATCH(AC$1, MayR!$6:$6, 0), FALSE),
            0
        ) +
        IFERROR(
            VLOOKUP($A102, INDIRECT("JunR!$A$6:$ZZ$1048576"), MATCH(AC$1, JunR!$6:$6, 0), FALSE),
            0
        ) +
        IFERROR(
            VLOOKUP($A102, INDIRECT("JulR!$A$6:$ZZ$1048576"), MATCH(AC$1, JulR!$6:$6, 0), FALSE),
            0
        ) +
        IFERROR(
            VLOOKUP($A102, INDIRECT("AgoR!$A$6:$ZZ$1048576"), MATCH(AC$1, AgoR!$6:$6, 0), FALSE),
            0
        ) +
        IFERROR(
            VLOOKUP($A102, INDIRECT("SepR!$A$6:$ZZ$1048576"), MATCH(AC$1, SepR!$6:$6, 0), FALSE),
            0
        ) +
        IFERROR(
            VLOOKUP($A102, INDIRECT("OctR!$A$6:$ZZ$1048576"), MATCH(AC$1, OctR!$6:$6, 0), FALSE),
            0
        ) +
        IFERROR(
            VLOOKUP($A102, INDIRECT("NovR!$A$6:$ZZ$1048576"), MATCH(AC$1, NovR!$6:$6, 0), FALSE),
            0
        ) +
        IFERROR(
            VLOOKUP($A102, INDIRECT("DicR!$A$6:$ZZ$1048576"), MATCH(AC$1, DicR!$6:$6, 0), FALSE),
            0
        )
)</f>
        <v>0</v>
      </c>
      <c r="AD102" s="36">
        <f t="array" ref="AD102">SUM(
    IFERROR(
            VLOOKUP($A102, INDIRECT("EneR!$A$6:$ZZ$1048576"), MATCH(AD$1, EneR!$6:$6, 0), FALSE),
            0
        ) +
        IFERROR(
            VLOOKUP($A102, INDIRECT("FebR!$A$6:$ZZ$1048576"), MATCH(AD$1, FebR!$6:$6, 0), FALSE),
            0
        ) +
        IFERROR(
            VLOOKUP($A102, INDIRECT("MarR!$A$6:$ZZ$1048576"), MATCH(AD$1, MarR!$6:$6, 0), FALSE),
            0
        ) +
        IFERROR(
            VLOOKUP($A102, INDIRECT("AbrR!$A$6:$ZZ$1048576"), MATCH(AD$1, AbrR!$6:$6, 0), FALSE),
            0
        ) +
        IFERROR(
            VLOOKUP($A102, INDIRECT("MayR!$A$6:$ZZ$1048576"), MATCH(AD$1, MayR!$6:$6, 0), FALSE),
            0
        ) +
        IFERROR(
            VLOOKUP($A102, INDIRECT("JunR!$A$6:$ZZ$1048576"), MATCH(AD$1, JunR!$6:$6, 0), FALSE),
            0
        ) +
        IFERROR(
            VLOOKUP($A102, INDIRECT("JulR!$A$6:$ZZ$1048576"), MATCH(AD$1, JulR!$6:$6, 0), FALSE),
            0
        ) +
        IFERROR(
            VLOOKUP($A102, INDIRECT("AgoR!$A$6:$ZZ$1048576"), MATCH(AD$1, AgoR!$6:$6, 0), FALSE),
            0
        ) +
        IFERROR(
            VLOOKUP($A102, INDIRECT("SepR!$A$6:$ZZ$1048576"), MATCH(AD$1, SepR!$6:$6, 0), FALSE),
            0
        ) +
        IFERROR(
            VLOOKUP($A102, INDIRECT("OctR!$A$6:$ZZ$1048576"), MATCH(AD$1, OctR!$6:$6, 0), FALSE),
            0
        ) +
        IFERROR(
            VLOOKUP($A102, INDIRECT("NovR!$A$6:$ZZ$1048576"), MATCH(AD$1, NovR!$6:$6, 0), FALSE),
            0
        ) +
        IFERROR(
            VLOOKUP($A102, INDIRECT("DicR!$A$6:$ZZ$1048576"), MATCH(AD$1, DicR!$6:$6, 0), FALSE),
            0
        )
)</f>
        <v>0</v>
      </c>
      <c r="AE102" s="37">
        <f t="array" ref="AE102">SUM(
    IFERROR(
            VLOOKUP($A102, INDIRECT("EneR!$A$6:$ZZ$1048576"), MATCH(AE$1, EneR!$6:$6, 0), FALSE),
            0
        ) +
        IFERROR(
            VLOOKUP($A102, INDIRECT("FebR!$A$6:$ZZ$1048576"), MATCH(AE$1, FebR!$6:$6, 0), FALSE),
            0
        ) +
        IFERROR(
            VLOOKUP($A102, INDIRECT("MarR!$A$6:$ZZ$1048576"), MATCH(AE$1, MarR!$6:$6, 0), FALSE),
            0
        ) +
        IFERROR(
            VLOOKUP($A102, INDIRECT("AbrR!$A$6:$ZZ$1048576"), MATCH(AE$1, AbrR!$6:$6, 0), FALSE),
            0
        ) +
        IFERROR(
            VLOOKUP($A102, INDIRECT("MayR!$A$6:$ZZ$1048576"), MATCH(AE$1, MayR!$6:$6, 0), FALSE),
            0
        ) +
        IFERROR(
            VLOOKUP($A102, INDIRECT("JunR!$A$6:$ZZ$1048576"), MATCH(AE$1, JunR!$6:$6, 0), FALSE),
            0
        ) +
        IFERROR(
            VLOOKUP($A102, INDIRECT("JulR!$A$6:$ZZ$1048576"), MATCH(AE$1, JulR!$6:$6, 0), FALSE),
            0
        ) +
        IFERROR(
            VLOOKUP($A102, INDIRECT("AgoR!$A$6:$ZZ$1048576"), MATCH(AE$1, AgoR!$6:$6, 0), FALSE),
            0
        ) +
        IFERROR(
            VLOOKUP($A102, INDIRECT("SepR!$A$6:$ZZ$1048576"), MATCH(AE$1, SepR!$6:$6, 0), FALSE),
            0
        ) +
        IFERROR(
            VLOOKUP($A102, INDIRECT("OctR!$A$6:$ZZ$1048576"), MATCH(AE$1, OctR!$6:$6, 0), FALSE),
            0
        ) +
        IFERROR(
            VLOOKUP($A102, INDIRECT("NovR!$A$6:$ZZ$1048576"), MATCH(AE$1, NovR!$6:$6, 0), FALSE),
            0
        ) +
        IFERROR(
            VLOOKUP($A102, INDIRECT("DicR!$A$6:$ZZ$1048576"), MATCH(AE$1, DicR!$6:$6, 0), FALSE),
            0
        )
)</f>
        <v>0</v>
      </c>
      <c r="AF102" s="36">
        <f t="array" ref="AF102">SUM(
    IFERROR(
            VLOOKUP($A102, INDIRECT("EneR!$A$6:$ZZ$1048576"), MATCH(AF$1, EneR!$6:$6, 0), FALSE),
            0
        ) +
        IFERROR(
            VLOOKUP($A102, INDIRECT("FebR!$A$6:$ZZ$1048576"), MATCH(AF$1, FebR!$6:$6, 0), FALSE),
            0
        ) +
        IFERROR(
            VLOOKUP($A102, INDIRECT("MarR!$A$6:$ZZ$1048576"), MATCH(AF$1, MarR!$6:$6, 0), FALSE),
            0
        ) +
        IFERROR(
            VLOOKUP($A102, INDIRECT("AbrR!$A$6:$ZZ$1048576"), MATCH(AF$1, AbrR!$6:$6, 0), FALSE),
            0
        ) +
        IFERROR(
            VLOOKUP($A102, INDIRECT("MayR!$A$6:$ZZ$1048576"), MATCH(AF$1, MayR!$6:$6, 0), FALSE),
            0
        ) +
        IFERROR(
            VLOOKUP($A102, INDIRECT("JunR!$A$6:$ZZ$1048576"), MATCH(AF$1, JunR!$6:$6, 0), FALSE),
            0
        ) +
        IFERROR(
            VLOOKUP($A102, INDIRECT("JulR!$A$6:$ZZ$1048576"), MATCH(AF$1, JulR!$6:$6, 0), FALSE),
            0
        ) +
        IFERROR(
            VLOOKUP($A102, INDIRECT("AgoR!$A$6:$ZZ$1048576"), MATCH(AF$1, AgoR!$6:$6, 0), FALSE),
            0
        ) +
        IFERROR(
            VLOOKUP($A102, INDIRECT("SepR!$A$6:$ZZ$1048576"), MATCH(AF$1, SepR!$6:$6, 0), FALSE),
            0
        ) +
        IFERROR(
            VLOOKUP($A102, INDIRECT("OctR!$A$6:$ZZ$1048576"), MATCH(AF$1, OctR!$6:$6, 0), FALSE),
            0
        ) +
        IFERROR(
            VLOOKUP($A102, INDIRECT("NovR!$A$6:$ZZ$1048576"), MATCH(AF$1, NovR!$6:$6, 0), FALSE),
            0
        ) +
        IFERROR(
            VLOOKUP($A102, INDIRECT("DicR!$A$6:$ZZ$1048576"), MATCH(AF$1, DicR!$6:$6, 0), FALSE),
            0
        )
)</f>
        <v>0</v>
      </c>
      <c r="AG102" s="37">
        <f t="array" ref="AG102">SUM(
    IFERROR(
            VLOOKUP($A102, INDIRECT("EneR!$A$6:$ZZ$1048576"), MATCH(AG$1, EneR!$6:$6, 0), FALSE),
            0
        ) +
        IFERROR(
            VLOOKUP($A102, INDIRECT("FebR!$A$6:$ZZ$1048576"), MATCH(AG$1, FebR!$6:$6, 0), FALSE),
            0
        ) +
        IFERROR(
            VLOOKUP($A102, INDIRECT("MarR!$A$6:$ZZ$1048576"), MATCH(AG$1, MarR!$6:$6, 0), FALSE),
            0
        ) +
        IFERROR(
            VLOOKUP($A102, INDIRECT("AbrR!$A$6:$ZZ$1048576"), MATCH(AG$1, AbrR!$6:$6, 0), FALSE),
            0
        ) +
        IFERROR(
            VLOOKUP($A102, INDIRECT("MayR!$A$6:$ZZ$1048576"), MATCH(AG$1, MayR!$6:$6, 0), FALSE),
            0
        ) +
        IFERROR(
            VLOOKUP($A102, INDIRECT("JunR!$A$6:$ZZ$1048576"), MATCH(AG$1, JunR!$6:$6, 0), FALSE),
            0
        ) +
        IFERROR(
            VLOOKUP($A102, INDIRECT("JulR!$A$6:$ZZ$1048576"), MATCH(AG$1, JulR!$6:$6, 0), FALSE),
            0
        ) +
        IFERROR(
            VLOOKUP($A102, INDIRECT("AgoR!$A$6:$ZZ$1048576"), MATCH(AG$1, AgoR!$6:$6, 0), FALSE),
            0
        ) +
        IFERROR(
            VLOOKUP($A102, INDIRECT("SepR!$A$6:$ZZ$1048576"), MATCH(AG$1, SepR!$6:$6, 0), FALSE),
            0
        ) +
        IFERROR(
            VLOOKUP($A102, INDIRECT("OctR!$A$6:$ZZ$1048576"), MATCH(AG$1, OctR!$6:$6, 0), FALSE),
            0
        ) +
        IFERROR(
            VLOOKUP($A102, INDIRECT("NovR!$A$6:$ZZ$1048576"), MATCH(AG$1, NovR!$6:$6, 0), FALSE),
            0
        ) +
        IFERROR(
            VLOOKUP($A102, INDIRECT("DicR!$A$6:$ZZ$1048576"), MATCH(AG$1, DicR!$6:$6, 0), FALSE),
            0
        )
)</f>
        <v>0</v>
      </c>
      <c r="AH102" s="36">
        <f t="array" ref="AH102">SUM(
    IFERROR(
            VLOOKUP($A102, INDIRECT("EneR!$A$6:$ZZ$1048576"), MATCH(AH$1, EneR!$6:$6, 0), FALSE),
            0
        ) +
        IFERROR(
            VLOOKUP($A102, INDIRECT("FebR!$A$6:$ZZ$1048576"), MATCH(AH$1, FebR!$6:$6, 0), FALSE),
            0
        ) +
        IFERROR(
            VLOOKUP($A102, INDIRECT("MarR!$A$6:$ZZ$1048576"), MATCH(AH$1, MarR!$6:$6, 0), FALSE),
            0
        ) +
        IFERROR(
            VLOOKUP($A102, INDIRECT("AbrR!$A$6:$ZZ$1048576"), MATCH(AH$1, AbrR!$6:$6, 0), FALSE),
            0
        ) +
        IFERROR(
            VLOOKUP($A102, INDIRECT("MayR!$A$6:$ZZ$1048576"), MATCH(AH$1, MayR!$6:$6, 0), FALSE),
            0
        ) +
        IFERROR(
            VLOOKUP($A102, INDIRECT("JunR!$A$6:$ZZ$1048576"), MATCH(AH$1, JunR!$6:$6, 0), FALSE),
            0
        ) +
        IFERROR(
            VLOOKUP($A102, INDIRECT("JulR!$A$6:$ZZ$1048576"), MATCH(AH$1, JulR!$6:$6, 0), FALSE),
            0
        ) +
        IFERROR(
            VLOOKUP($A102, INDIRECT("AgoR!$A$6:$ZZ$1048576"), MATCH(AH$1, AgoR!$6:$6, 0), FALSE),
            0
        ) +
        IFERROR(
            VLOOKUP($A102, INDIRECT("SepR!$A$6:$ZZ$1048576"), MATCH(AH$1, SepR!$6:$6, 0), FALSE),
            0
        ) +
        IFERROR(
            VLOOKUP($A102, INDIRECT("OctR!$A$6:$ZZ$1048576"), MATCH(AH$1, OctR!$6:$6, 0), FALSE),
            0
        ) +
        IFERROR(
            VLOOKUP($A102, INDIRECT("NovR!$A$6:$ZZ$1048576"), MATCH(AH$1, NovR!$6:$6, 0), FALSE),
            0
        ) +
        IFERROR(
            VLOOKUP($A102, INDIRECT("DicR!$A$6:$ZZ$1048576"), MATCH(AH$1, DicR!$6:$6, 0), FALSE),
            0
        )
)</f>
        <v>0</v>
      </c>
      <c r="AI102" s="37">
        <f t="array" ref="AI102">SUM(
    IFERROR(
            VLOOKUP($A102, INDIRECT("EneR!$A$6:$ZZ$1048576"), MATCH(AI$1, EneR!$6:$6, 0), FALSE),
            0
        ) +
        IFERROR(
            VLOOKUP($A102, INDIRECT("FebR!$A$6:$ZZ$1048576"), MATCH(AI$1, FebR!$6:$6, 0), FALSE),
            0
        ) +
        IFERROR(
            VLOOKUP($A102, INDIRECT("MarR!$A$6:$ZZ$1048576"), MATCH(AI$1, MarR!$6:$6, 0), FALSE),
            0
        ) +
        IFERROR(
            VLOOKUP($A102, INDIRECT("AbrR!$A$6:$ZZ$1048576"), MATCH(AI$1, AbrR!$6:$6, 0), FALSE),
            0
        ) +
        IFERROR(
            VLOOKUP($A102, INDIRECT("MayR!$A$6:$ZZ$1048576"), MATCH(AI$1, MayR!$6:$6, 0), FALSE),
            0
        ) +
        IFERROR(
            VLOOKUP($A102, INDIRECT("JunR!$A$6:$ZZ$1048576"), MATCH(AI$1, JunR!$6:$6, 0), FALSE),
            0
        ) +
        IFERROR(
            VLOOKUP($A102, INDIRECT("JulR!$A$6:$ZZ$1048576"), MATCH(AI$1, JulR!$6:$6, 0), FALSE),
            0
        ) +
        IFERROR(
            VLOOKUP($A102, INDIRECT("AgoR!$A$6:$ZZ$1048576"), MATCH(AI$1, AgoR!$6:$6, 0), FALSE),
            0
        ) +
        IFERROR(
            VLOOKUP($A102, INDIRECT("SepR!$A$6:$ZZ$1048576"), MATCH(AI$1, SepR!$6:$6, 0), FALSE),
            0
        ) +
        IFERROR(
            VLOOKUP($A102, INDIRECT("OctR!$A$6:$ZZ$1048576"), MATCH(AI$1, OctR!$6:$6, 0), FALSE),
            0
        ) +
        IFERROR(
            VLOOKUP($A102, INDIRECT("NovR!$A$6:$ZZ$1048576"), MATCH(AI$1, NovR!$6:$6, 0), FALSE),
            0
        ) +
        IFERROR(
            VLOOKUP($A102, INDIRECT("DicR!$A$6:$ZZ$1048576"), MATCH(AI$1, DicR!$6:$6, 0), FALSE),
            0
        )
)</f>
        <v>0</v>
      </c>
      <c r="AJ102" s="36">
        <f t="array" ref="AJ102">SUM(
    IFERROR(
            VLOOKUP($A102, INDIRECT("EneR!$A$6:$ZZ$1048576"), MATCH(AJ$1, EneR!$6:$6, 0), FALSE),
            0
        ) +
        IFERROR(
            VLOOKUP($A102, INDIRECT("FebR!$A$6:$ZZ$1048576"), MATCH(AJ$1, FebR!$6:$6, 0), FALSE),
            0
        ) +
        IFERROR(
            VLOOKUP($A102, INDIRECT("MarR!$A$6:$ZZ$1048576"), MATCH(AJ$1, MarR!$6:$6, 0), FALSE),
            0
        ) +
        IFERROR(
            VLOOKUP($A102, INDIRECT("AbrR!$A$6:$ZZ$1048576"), MATCH(AJ$1, AbrR!$6:$6, 0), FALSE),
            0
        ) +
        IFERROR(
            VLOOKUP($A102, INDIRECT("MayR!$A$6:$ZZ$1048576"), MATCH(AJ$1, MayR!$6:$6, 0), FALSE),
            0
        ) +
        IFERROR(
            VLOOKUP($A102, INDIRECT("JunR!$A$6:$ZZ$1048576"), MATCH(AJ$1, JunR!$6:$6, 0), FALSE),
            0
        ) +
        IFERROR(
            VLOOKUP($A102, INDIRECT("JulR!$A$6:$ZZ$1048576"), MATCH(AJ$1, JulR!$6:$6, 0), FALSE),
            0
        ) +
        IFERROR(
            VLOOKUP($A102, INDIRECT("AgoR!$A$6:$ZZ$1048576"), MATCH(AJ$1, AgoR!$6:$6, 0), FALSE),
            0
        ) +
        IFERROR(
            VLOOKUP($A102, INDIRECT("SepR!$A$6:$ZZ$1048576"), MATCH(AJ$1, SepR!$6:$6, 0), FALSE),
            0
        ) +
        IFERROR(
            VLOOKUP($A102, INDIRECT("OctR!$A$6:$ZZ$1048576"), MATCH(AJ$1, OctR!$6:$6, 0), FALSE),
            0
        ) +
        IFERROR(
            VLOOKUP($A102, INDIRECT("NovR!$A$6:$ZZ$1048576"), MATCH(AJ$1, NovR!$6:$6, 0), FALSE),
            0
        ) +
        IFERROR(
            VLOOKUP($A102, INDIRECT("DicR!$A$6:$ZZ$1048576"), MATCH(AJ$1, DicR!$6:$6, 0), FALSE),
            0
        )
)</f>
        <v>0</v>
      </c>
      <c r="AK102" s="37">
        <f t="array" ref="AK102">SUM(
    IFERROR(
            VLOOKUP($A102, INDIRECT("EneR!$A$6:$ZZ$1048576"), MATCH(AK$1, EneR!$6:$6, 0), FALSE),
            0
        ) +
        IFERROR(
            VLOOKUP($A102, INDIRECT("FebR!$A$6:$ZZ$1048576"), MATCH(AK$1, FebR!$6:$6, 0), FALSE),
            0
        ) +
        IFERROR(
            VLOOKUP($A102, INDIRECT("MarR!$A$6:$ZZ$1048576"), MATCH(AK$1, MarR!$6:$6, 0), FALSE),
            0
        ) +
        IFERROR(
            VLOOKUP($A102, INDIRECT("AbrR!$A$6:$ZZ$1048576"), MATCH(AK$1, AbrR!$6:$6, 0), FALSE),
            0
        ) +
        IFERROR(
            VLOOKUP($A102, INDIRECT("MayR!$A$6:$ZZ$1048576"), MATCH(AK$1, MayR!$6:$6, 0), FALSE),
            0
        ) +
        IFERROR(
            VLOOKUP($A102, INDIRECT("JunR!$A$6:$ZZ$1048576"), MATCH(AK$1, JunR!$6:$6, 0), FALSE),
            0
        ) +
        IFERROR(
            VLOOKUP($A102, INDIRECT("JulR!$A$6:$ZZ$1048576"), MATCH(AK$1, JulR!$6:$6, 0), FALSE),
            0
        ) +
        IFERROR(
            VLOOKUP($A102, INDIRECT("AgoR!$A$6:$ZZ$1048576"), MATCH(AK$1, AgoR!$6:$6, 0), FALSE),
            0
        ) +
        IFERROR(
            VLOOKUP($A102, INDIRECT("SepR!$A$6:$ZZ$1048576"), MATCH(AK$1, SepR!$6:$6, 0), FALSE),
            0
        ) +
        IFERROR(
            VLOOKUP($A102, INDIRECT("OctR!$A$6:$ZZ$1048576"), MATCH(AK$1, OctR!$6:$6, 0), FALSE),
            0
        ) +
        IFERROR(
            VLOOKUP($A102, INDIRECT("NovR!$A$6:$ZZ$1048576"), MATCH(AK$1, NovR!$6:$6, 0), FALSE),
            0
        ) +
        IFERROR(
            VLOOKUP($A102, INDIRECT("DicR!$A$6:$ZZ$1048576"), MATCH(AK$1, DicR!$6:$6, 0), FALSE),
            0
        )
)</f>
        <v>0</v>
      </c>
      <c r="AL102" s="36">
        <f t="array" ref="AL102">SUM(
    IFERROR(
            VLOOKUP($A102, INDIRECT("EneR!$A$6:$ZZ$1048576"), MATCH(AL$1, EneR!$6:$6, 0), FALSE),
            0
        ) +
        IFERROR(
            VLOOKUP($A102, INDIRECT("FebR!$A$6:$ZZ$1048576"), MATCH(AL$1, FebR!$6:$6, 0), FALSE),
            0
        ) +
        IFERROR(
            VLOOKUP($A102, INDIRECT("MarR!$A$6:$ZZ$1048576"), MATCH(AL$1, MarR!$6:$6, 0), FALSE),
            0
        ) +
        IFERROR(
            VLOOKUP($A102, INDIRECT("AbrR!$A$6:$ZZ$1048576"), MATCH(AL$1, AbrR!$6:$6, 0), FALSE),
            0
        ) +
        IFERROR(
            VLOOKUP($A102, INDIRECT("MayR!$A$6:$ZZ$1048576"), MATCH(AL$1, MayR!$6:$6, 0), FALSE),
            0
        ) +
        IFERROR(
            VLOOKUP($A102, INDIRECT("JunR!$A$6:$ZZ$1048576"), MATCH(AL$1, JunR!$6:$6, 0), FALSE),
            0
        ) +
        IFERROR(
            VLOOKUP($A102, INDIRECT("JulR!$A$6:$ZZ$1048576"), MATCH(AL$1, JulR!$6:$6, 0), FALSE),
            0
        ) +
        IFERROR(
            VLOOKUP($A102, INDIRECT("AgoR!$A$6:$ZZ$1048576"), MATCH(AL$1, AgoR!$6:$6, 0), FALSE),
            0
        ) +
        IFERROR(
            VLOOKUP($A102, INDIRECT("SepR!$A$6:$ZZ$1048576"), MATCH(AL$1, SepR!$6:$6, 0), FALSE),
            0
        ) +
        IFERROR(
            VLOOKUP($A102, INDIRECT("OctR!$A$6:$ZZ$1048576"), MATCH(AL$1, OctR!$6:$6, 0), FALSE),
            0
        ) +
        IFERROR(
            VLOOKUP($A102, INDIRECT("NovR!$A$6:$ZZ$1048576"), MATCH(AL$1, NovR!$6:$6, 0), FALSE),
            0
        ) +
        IFERROR(
            VLOOKUP($A102, INDIRECT("DicR!$A$6:$ZZ$1048576"), MATCH(AL$1, DicR!$6:$6, 0), FALSE),
            0
        )
)</f>
        <v>0</v>
      </c>
      <c r="AM102" s="37">
        <f t="array" ref="AM102">SUM(
    IFERROR(
            VLOOKUP($A102, INDIRECT("EneR!$A$6:$ZZ$1048576"), MATCH(AM$1, EneR!$6:$6, 0), FALSE),
            0
        ) +
        IFERROR(
            VLOOKUP($A102, INDIRECT("FebR!$A$6:$ZZ$1048576"), MATCH(AM$1, FebR!$6:$6, 0), FALSE),
            0
        ) +
        IFERROR(
            VLOOKUP($A102, INDIRECT("MarR!$A$6:$ZZ$1048576"), MATCH(AM$1, MarR!$6:$6, 0), FALSE),
            0
        ) +
        IFERROR(
            VLOOKUP($A102, INDIRECT("AbrR!$A$6:$ZZ$1048576"), MATCH(AM$1, AbrR!$6:$6, 0), FALSE),
            0
        ) +
        IFERROR(
            VLOOKUP($A102, INDIRECT("MayR!$A$6:$ZZ$1048576"), MATCH(AM$1, MayR!$6:$6, 0), FALSE),
            0
        ) +
        IFERROR(
            VLOOKUP($A102, INDIRECT("JunR!$A$6:$ZZ$1048576"), MATCH(AM$1, JunR!$6:$6, 0), FALSE),
            0
        ) +
        IFERROR(
            VLOOKUP($A102, INDIRECT("JulR!$A$6:$ZZ$1048576"), MATCH(AM$1, JulR!$6:$6, 0), FALSE),
            0
        ) +
        IFERROR(
            VLOOKUP($A102, INDIRECT("AgoR!$A$6:$ZZ$1048576"), MATCH(AM$1, AgoR!$6:$6, 0), FALSE),
            0
        ) +
        IFERROR(
            VLOOKUP($A102, INDIRECT("SepR!$A$6:$ZZ$1048576"), MATCH(AM$1, SepR!$6:$6, 0), FALSE),
            0
        ) +
        IFERROR(
            VLOOKUP($A102, INDIRECT("OctR!$A$6:$ZZ$1048576"), MATCH(AM$1, OctR!$6:$6, 0), FALSE),
            0
        ) +
        IFERROR(
            VLOOKUP($A102, INDIRECT("NovR!$A$6:$ZZ$1048576"), MATCH(AM$1, NovR!$6:$6, 0), FALSE),
            0
        ) +
        IFERROR(
            VLOOKUP($A102, INDIRECT("DicR!$A$6:$ZZ$1048576"), MATCH(AM$1, DicR!$6:$6, 0), FALSE),
            0
        )
)</f>
        <v>0</v>
      </c>
      <c r="AN102" s="32">
        <f t="array" ref="AN102">SUM(
    IFERROR(
            VLOOKUP($A102, INDIRECT("EneR!$A$6:$ZZ$1048576"), MATCH(AN$1, EneR!$6:$6, 0), FALSE),
            0
        ) +
        IFERROR(
            VLOOKUP($A102, INDIRECT("FebR!$A$6:$ZZ$1048576"), MATCH(AN$1, FebR!$6:$6, 0), FALSE),
            0
        ) +
        IFERROR(
            VLOOKUP($A102, INDIRECT("MarR!$A$6:$ZZ$1048576"), MATCH(AN$1, MarR!$6:$6, 0), FALSE),
            0
        ) +
        IFERROR(
            VLOOKUP($A102, INDIRECT("AbrR!$A$6:$ZZ$1048576"), MATCH(AN$1, AbrR!$6:$6, 0), FALSE),
            0
        ) +
        IFERROR(
            VLOOKUP($A102, INDIRECT("MayR!$A$6:$ZZ$1048576"), MATCH(AN$1, MayR!$6:$6, 0), FALSE),
            0
        ) +
        IFERROR(
            VLOOKUP($A102, INDIRECT("JunR!$A$6:$ZZ$1048576"), MATCH(AN$1, JunR!$6:$6, 0), FALSE),
            0
        ) +
        IFERROR(
            VLOOKUP($A102, INDIRECT("JulR!$A$6:$ZZ$1048576"), MATCH(AN$1, JulR!$6:$6, 0), FALSE),
            0
        ) +
        IFERROR(
            VLOOKUP($A102, INDIRECT("AgoR!$A$6:$ZZ$1048576"), MATCH(AN$1, AgoR!$6:$6, 0), FALSE),
            0
        ) +
        IFERROR(
            VLOOKUP($A102, INDIRECT("SepR!$A$6:$ZZ$1048576"), MATCH(AN$1, SepR!$6:$6, 0), FALSE),
            0
        ) +
        IFERROR(
            VLOOKUP($A102, INDIRECT("OctR!$A$6:$ZZ$1048576"), MATCH(AN$1, OctR!$6:$6, 0), FALSE),
            0
        ) +
        IFERROR(
            VLOOKUP($A102, INDIRECT("NovR!$A$6:$ZZ$1048576"), MATCH(AN$1, NovR!$6:$6, 0), FALSE),
            0
        ) +
        IFERROR(
            VLOOKUP($A102, INDIRECT("DicR!$A$6:$ZZ$1048576"), MATCH(AN$1, DicR!$6:$6, 0), FALSE),
            0
        )
)</f>
        <v>0</v>
      </c>
      <c r="AO102" s="35">
        <f t="array" ref="AO102">SUM(
    IFERROR(
            VLOOKUP($A102, INDIRECT("EneR!$A$6:$ZZ$1048576"), MATCH(AO$1, EneR!$6:$6, 0), FALSE),
            0
        ) +
        IFERROR(
            VLOOKUP($A102, INDIRECT("FebR!$A$6:$ZZ$1048576"), MATCH(AO$1, FebR!$6:$6, 0), FALSE),
            0
        ) +
        IFERROR(
            VLOOKUP($A102, INDIRECT("MarR!$A$6:$ZZ$1048576"), MATCH(AO$1, MarR!$6:$6, 0), FALSE),
            0
        ) +
        IFERROR(
            VLOOKUP($A102, INDIRECT("AbrR!$A$6:$ZZ$1048576"), MATCH(AO$1, AbrR!$6:$6, 0), FALSE),
            0
        ) +
        IFERROR(
            VLOOKUP($A102, INDIRECT("MayR!$A$6:$ZZ$1048576"), MATCH(AO$1, MayR!$6:$6, 0), FALSE),
            0
        ) +
        IFERROR(
            VLOOKUP($A102, INDIRECT("JunR!$A$6:$ZZ$1048576"), MATCH(AO$1, JunR!$6:$6, 0), FALSE),
            0
        ) +
        IFERROR(
            VLOOKUP($A102, INDIRECT("JulR!$A$6:$ZZ$1048576"), MATCH(AO$1, JulR!$6:$6, 0), FALSE),
            0
        ) +
        IFERROR(
            VLOOKUP($A102, INDIRECT("AgoR!$A$6:$ZZ$1048576"), MATCH(AO$1, AgoR!$6:$6, 0), FALSE),
            0
        ) +
        IFERROR(
            VLOOKUP($A102, INDIRECT("SepR!$A$6:$ZZ$1048576"), MATCH(AO$1, SepR!$6:$6, 0), FALSE),
            0
        ) +
        IFERROR(
            VLOOKUP($A102, INDIRECT("OctR!$A$6:$ZZ$1048576"), MATCH(AO$1, OctR!$6:$6, 0), FALSE),
            0
        ) +
        IFERROR(
            VLOOKUP($A102, INDIRECT("NovR!$A$6:$ZZ$1048576"), MATCH(AO$1, NovR!$6:$6, 0), FALSE),
            0
        ) +
        IFERROR(
            VLOOKUP($A102, INDIRECT("DicR!$A$6:$ZZ$1048576"), MATCH(AO$1, DicR!$6:$6, 0), FALSE),
            0
        )
)</f>
        <v>0</v>
      </c>
      <c r="AP102" s="36">
        <f t="array" ref="AP102">SUM(
    IFERROR(
            VLOOKUP($A102, INDIRECT("EneR!$A$6:$ZZ$1048576"), MATCH(AP$1, EneR!$6:$6, 0), FALSE),
            0
        ) +
        IFERROR(
            VLOOKUP($A102, INDIRECT("FebR!$A$6:$ZZ$1048576"), MATCH(AP$1, FebR!$6:$6, 0), FALSE),
            0
        ) +
        IFERROR(
            VLOOKUP($A102, INDIRECT("MarR!$A$6:$ZZ$1048576"), MATCH(AP$1, MarR!$6:$6, 0), FALSE),
            0
        ) +
        IFERROR(
            VLOOKUP($A102, INDIRECT("AbrR!$A$6:$ZZ$1048576"), MATCH(AP$1, AbrR!$6:$6, 0), FALSE),
            0
        ) +
        IFERROR(
            VLOOKUP($A102, INDIRECT("MayR!$A$6:$ZZ$1048576"), MATCH(AP$1, MayR!$6:$6, 0), FALSE),
            0
        ) +
        IFERROR(
            VLOOKUP($A102, INDIRECT("JunR!$A$6:$ZZ$1048576"), MATCH(AP$1, JunR!$6:$6, 0), FALSE),
            0
        ) +
        IFERROR(
            VLOOKUP($A102, INDIRECT("JulR!$A$6:$ZZ$1048576"), MATCH(AP$1, JulR!$6:$6, 0), FALSE),
            0
        ) +
        IFERROR(
            VLOOKUP($A102, INDIRECT("AgoR!$A$6:$ZZ$1048576"), MATCH(AP$1, AgoR!$6:$6, 0), FALSE),
            0
        ) +
        IFERROR(
            VLOOKUP($A102, INDIRECT("SepR!$A$6:$ZZ$1048576"), MATCH(AP$1, SepR!$6:$6, 0), FALSE),
            0
        ) +
        IFERROR(
            VLOOKUP($A102, INDIRECT("OctR!$A$6:$ZZ$1048576"), MATCH(AP$1, OctR!$6:$6, 0), FALSE),
            0
        ) +
        IFERROR(
            VLOOKUP($A102, INDIRECT("NovR!$A$6:$ZZ$1048576"), MATCH(AP$1, NovR!$6:$6, 0), FALSE),
            0
        ) +
        IFERROR(
            VLOOKUP($A102, INDIRECT("DicR!$A$6:$ZZ$1048576"), MATCH(AP$1, DicR!$6:$6, 0), FALSE),
            0
        )
)</f>
        <v>0</v>
      </c>
      <c r="AQ102" s="35">
        <f t="array" ref="AQ102">SUM(
    IFERROR(
            VLOOKUP($A102, INDIRECT("EneR!$A$6:$ZZ$1048576"), MATCH(AQ$1, EneR!$6:$6, 0), FALSE),
            0
        ) +
        IFERROR(
            VLOOKUP($A102, INDIRECT("FebR!$A$6:$ZZ$1048576"), MATCH(AQ$1, FebR!$6:$6, 0), FALSE),
            0
        ) +
        IFERROR(
            VLOOKUP($A102, INDIRECT("MarR!$A$6:$ZZ$1048576"), MATCH(AQ$1, MarR!$6:$6, 0), FALSE),
            0
        ) +
        IFERROR(
            VLOOKUP($A102, INDIRECT("AbrR!$A$6:$ZZ$1048576"), MATCH(AQ$1, AbrR!$6:$6, 0), FALSE),
            0
        ) +
        IFERROR(
            VLOOKUP($A102, INDIRECT("MayR!$A$6:$ZZ$1048576"), MATCH(AQ$1, MayR!$6:$6, 0), FALSE),
            0
        ) +
        IFERROR(
            VLOOKUP($A102, INDIRECT("JunR!$A$6:$ZZ$1048576"), MATCH(AQ$1, JunR!$6:$6, 0), FALSE),
            0
        ) +
        IFERROR(
            VLOOKUP($A102, INDIRECT("JulR!$A$6:$ZZ$1048576"), MATCH(AQ$1, JulR!$6:$6, 0), FALSE),
            0
        ) +
        IFERROR(
            VLOOKUP($A102, INDIRECT("AgoR!$A$6:$ZZ$1048576"), MATCH(AQ$1, AgoR!$6:$6, 0), FALSE),
            0
        ) +
        IFERROR(
            VLOOKUP($A102, INDIRECT("SepR!$A$6:$ZZ$1048576"), MATCH(AQ$1, SepR!$6:$6, 0), FALSE),
            0
        ) +
        IFERROR(
            VLOOKUP($A102, INDIRECT("OctR!$A$6:$ZZ$1048576"), MATCH(AQ$1, OctR!$6:$6, 0), FALSE),
            0
        ) +
        IFERROR(
            VLOOKUP($A102, INDIRECT("NovR!$A$6:$ZZ$1048576"), MATCH(AQ$1, NovR!$6:$6, 0), FALSE),
            0
        ) +
        IFERROR(
            VLOOKUP($A102, INDIRECT("DicR!$A$6:$ZZ$1048576"), MATCH(AQ$1, DicR!$6:$6, 0), FALSE),
            0
        )
)</f>
        <v>0</v>
      </c>
      <c r="AR102" s="36">
        <f t="array" ref="AR102">SUM(
    IFERROR(
            VLOOKUP($A102, INDIRECT("EneR!$A$6:$ZZ$1048576"), MATCH(AR$1, EneR!$6:$6, 0), FALSE),
            0
        ) +
        IFERROR(
            VLOOKUP($A102, INDIRECT("FebR!$A$6:$ZZ$1048576"), MATCH(AR$1, FebR!$6:$6, 0), FALSE),
            0
        ) +
        IFERROR(
            VLOOKUP($A102, INDIRECT("MarR!$A$6:$ZZ$1048576"), MATCH(AR$1, MarR!$6:$6, 0), FALSE),
            0
        ) +
        IFERROR(
            VLOOKUP($A102, INDIRECT("AbrR!$A$6:$ZZ$1048576"), MATCH(AR$1, AbrR!$6:$6, 0), FALSE),
            0
        ) +
        IFERROR(
            VLOOKUP($A102, INDIRECT("MayR!$A$6:$ZZ$1048576"), MATCH(AR$1, MayR!$6:$6, 0), FALSE),
            0
        ) +
        IFERROR(
            VLOOKUP($A102, INDIRECT("JunR!$A$6:$ZZ$1048576"), MATCH(AR$1, JunR!$6:$6, 0), FALSE),
            0
        ) +
        IFERROR(
            VLOOKUP($A102, INDIRECT("JulR!$A$6:$ZZ$1048576"), MATCH(AR$1, JulR!$6:$6, 0), FALSE),
            0
        ) +
        IFERROR(
            VLOOKUP($A102, INDIRECT("AgoR!$A$6:$ZZ$1048576"), MATCH(AR$1, AgoR!$6:$6, 0), FALSE),
            0
        ) +
        IFERROR(
            VLOOKUP($A102, INDIRECT("SepR!$A$6:$ZZ$1048576"), MATCH(AR$1, SepR!$6:$6, 0), FALSE),
            0
        ) +
        IFERROR(
            VLOOKUP($A102, INDIRECT("OctR!$A$6:$ZZ$1048576"), MATCH(AR$1, OctR!$6:$6, 0), FALSE),
            0
        ) +
        IFERROR(
            VLOOKUP($A102, INDIRECT("NovR!$A$6:$ZZ$1048576"), MATCH(AR$1, NovR!$6:$6, 0), FALSE),
            0
        ) +
        IFERROR(
            VLOOKUP($A102, INDIRECT("DicR!$A$6:$ZZ$1048576"), MATCH(AR$1, DicR!$6:$6, 0), FALSE),
            0
        )
)</f>
        <v>0</v>
      </c>
      <c r="AS102" s="35">
        <f t="array" ref="AS102">SUM(
    IFERROR(
            VLOOKUP($A102, INDIRECT("EneR!$A$6:$ZZ$1048576"), MATCH(AS$1, EneR!$6:$6, 0), FALSE),
            0
        ) +
        IFERROR(
            VLOOKUP($A102, INDIRECT("FebR!$A$6:$ZZ$1048576"), MATCH(AS$1, FebR!$6:$6, 0), FALSE),
            0
        ) +
        IFERROR(
            VLOOKUP($A102, INDIRECT("MarR!$A$6:$ZZ$1048576"), MATCH(AS$1, MarR!$6:$6, 0), FALSE),
            0
        ) +
        IFERROR(
            VLOOKUP($A102, INDIRECT("AbrR!$A$6:$ZZ$1048576"), MATCH(AS$1, AbrR!$6:$6, 0), FALSE),
            0
        ) +
        IFERROR(
            VLOOKUP($A102, INDIRECT("MayR!$A$6:$ZZ$1048576"), MATCH(AS$1, MayR!$6:$6, 0), FALSE),
            0
        ) +
        IFERROR(
            VLOOKUP($A102, INDIRECT("JunR!$A$6:$ZZ$1048576"), MATCH(AS$1, JunR!$6:$6, 0), FALSE),
            0
        ) +
        IFERROR(
            VLOOKUP($A102, INDIRECT("JulR!$A$6:$ZZ$1048576"), MATCH(AS$1, JulR!$6:$6, 0), FALSE),
            0
        ) +
        IFERROR(
            VLOOKUP($A102, INDIRECT("AgoR!$A$6:$ZZ$1048576"), MATCH(AS$1, AgoR!$6:$6, 0), FALSE),
            0
        ) +
        IFERROR(
            VLOOKUP($A102, INDIRECT("SepR!$A$6:$ZZ$1048576"), MATCH(AS$1, SepR!$6:$6, 0), FALSE),
            0
        ) +
        IFERROR(
            VLOOKUP($A102, INDIRECT("OctR!$A$6:$ZZ$1048576"), MATCH(AS$1, OctR!$6:$6, 0), FALSE),
            0
        ) +
        IFERROR(
            VLOOKUP($A102, INDIRECT("NovR!$A$6:$ZZ$1048576"), MATCH(AS$1, NovR!$6:$6, 0), FALSE),
            0
        ) +
        IFERROR(
            VLOOKUP($A102, INDIRECT("DicR!$A$6:$ZZ$1048576"), MATCH(AS$1, DicR!$6:$6, 0), FALSE),
            0
        )
)</f>
        <v>0</v>
      </c>
      <c r="AT102" s="36">
        <f t="array" ref="AT102">SUM(
    IFERROR(
            VLOOKUP($A102, INDIRECT("EneR!$A$6:$ZZ$1048576"), MATCH(AT$1, EneR!$6:$6, 0), FALSE),
            0
        ) +
        IFERROR(
            VLOOKUP($A102, INDIRECT("FebR!$A$6:$ZZ$1048576"), MATCH(AT$1, FebR!$6:$6, 0), FALSE),
            0
        ) +
        IFERROR(
            VLOOKUP($A102, INDIRECT("MarR!$A$6:$ZZ$1048576"), MATCH(AT$1, MarR!$6:$6, 0), FALSE),
            0
        ) +
        IFERROR(
            VLOOKUP($A102, INDIRECT("AbrR!$A$6:$ZZ$1048576"), MATCH(AT$1, AbrR!$6:$6, 0), FALSE),
            0
        ) +
        IFERROR(
            VLOOKUP($A102, INDIRECT("MayR!$A$6:$ZZ$1048576"), MATCH(AT$1, MayR!$6:$6, 0), FALSE),
            0
        ) +
        IFERROR(
            VLOOKUP($A102, INDIRECT("JunR!$A$6:$ZZ$1048576"), MATCH(AT$1, JunR!$6:$6, 0), FALSE),
            0
        ) +
        IFERROR(
            VLOOKUP($A102, INDIRECT("JulR!$A$6:$ZZ$1048576"), MATCH(AT$1, JulR!$6:$6, 0), FALSE),
            0
        ) +
        IFERROR(
            VLOOKUP($A102, INDIRECT("AgoR!$A$6:$ZZ$1048576"), MATCH(AT$1, AgoR!$6:$6, 0), FALSE),
            0
        ) +
        IFERROR(
            VLOOKUP($A102, INDIRECT("SepR!$A$6:$ZZ$1048576"), MATCH(AT$1, SepR!$6:$6, 0), FALSE),
            0
        ) +
        IFERROR(
            VLOOKUP($A102, INDIRECT("OctR!$A$6:$ZZ$1048576"), MATCH(AT$1, OctR!$6:$6, 0), FALSE),
            0
        ) +
        IFERROR(
            VLOOKUP($A102, INDIRECT("NovR!$A$6:$ZZ$1048576"), MATCH(AT$1, NovR!$6:$6, 0), FALSE),
            0
        ) +
        IFERROR(
            VLOOKUP($A102, INDIRECT("DicR!$A$6:$ZZ$1048576"), MATCH(AT$1, DicR!$6:$6, 0), FALSE),
            0
        )
)</f>
        <v>0</v>
      </c>
      <c r="AU102" s="35">
        <f t="array" ref="AU102">SUM(
    IFERROR(
            VLOOKUP($A102, INDIRECT("EneR!$A$6:$ZZ$1048576"), MATCH(AU$1, EneR!$6:$6, 0), FALSE),
            0
        ) +
        IFERROR(
            VLOOKUP($A102, INDIRECT("FebR!$A$6:$ZZ$1048576"), MATCH(AU$1, FebR!$6:$6, 0), FALSE),
            0
        ) +
        IFERROR(
            VLOOKUP($A102, INDIRECT("MarR!$A$6:$ZZ$1048576"), MATCH(AU$1, MarR!$6:$6, 0), FALSE),
            0
        ) +
        IFERROR(
            VLOOKUP($A102, INDIRECT("AbrR!$A$6:$ZZ$1048576"), MATCH(AU$1, AbrR!$6:$6, 0), FALSE),
            0
        ) +
        IFERROR(
            VLOOKUP($A102, INDIRECT("MayR!$A$6:$ZZ$1048576"), MATCH(AU$1, MayR!$6:$6, 0), FALSE),
            0
        ) +
        IFERROR(
            VLOOKUP($A102, INDIRECT("JunR!$A$6:$ZZ$1048576"), MATCH(AU$1, JunR!$6:$6, 0), FALSE),
            0
        ) +
        IFERROR(
            VLOOKUP($A102, INDIRECT("JulR!$A$6:$ZZ$1048576"), MATCH(AU$1, JulR!$6:$6, 0), FALSE),
            0
        ) +
        IFERROR(
            VLOOKUP($A102, INDIRECT("AgoR!$A$6:$ZZ$1048576"), MATCH(AU$1, AgoR!$6:$6, 0), FALSE),
            0
        ) +
        IFERROR(
            VLOOKUP($A102, INDIRECT("SepR!$A$6:$ZZ$1048576"), MATCH(AU$1, SepR!$6:$6, 0), FALSE),
            0
        ) +
        IFERROR(
            VLOOKUP($A102, INDIRECT("OctR!$A$6:$ZZ$1048576"), MATCH(AU$1, OctR!$6:$6, 0), FALSE),
            0
        ) +
        IFERROR(
            VLOOKUP($A102, INDIRECT("NovR!$A$6:$ZZ$1048576"), MATCH(AU$1, NovR!$6:$6, 0), FALSE),
            0
        ) +
        IFERROR(
            VLOOKUP($A102, INDIRECT("DicR!$A$6:$ZZ$1048576"), MATCH(AU$1, DicR!$6:$6, 0), FALSE),
            0
        )
)</f>
        <v>0</v>
      </c>
      <c r="AV102" s="36">
        <f t="array" ref="AV102">SUM(
    IFERROR(
            VLOOKUP($A102, INDIRECT("EneR!$A$6:$ZZ$1048576"), MATCH(AV$1, EneR!$6:$6, 0), FALSE),
            0
        ) +
        IFERROR(
            VLOOKUP($A102, INDIRECT("FebR!$A$6:$ZZ$1048576"), MATCH(AV$1, FebR!$6:$6, 0), FALSE),
            0
        ) +
        IFERROR(
            VLOOKUP($A102, INDIRECT("MarR!$A$6:$ZZ$1048576"), MATCH(AV$1, MarR!$6:$6, 0), FALSE),
            0
        ) +
        IFERROR(
            VLOOKUP($A102, INDIRECT("AbrR!$A$6:$ZZ$1048576"), MATCH(AV$1, AbrR!$6:$6, 0), FALSE),
            0
        ) +
        IFERROR(
            VLOOKUP($A102, INDIRECT("MayR!$A$6:$ZZ$1048576"), MATCH(AV$1, MayR!$6:$6, 0), FALSE),
            0
        ) +
        IFERROR(
            VLOOKUP($A102, INDIRECT("JunR!$A$6:$ZZ$1048576"), MATCH(AV$1, JunR!$6:$6, 0), FALSE),
            0
        ) +
        IFERROR(
            VLOOKUP($A102, INDIRECT("JulR!$A$6:$ZZ$1048576"), MATCH(AV$1, JulR!$6:$6, 0), FALSE),
            0
        ) +
        IFERROR(
            VLOOKUP($A102, INDIRECT("AgoR!$A$6:$ZZ$1048576"), MATCH(AV$1, AgoR!$6:$6, 0), FALSE),
            0
        ) +
        IFERROR(
            VLOOKUP($A102, INDIRECT("SepR!$A$6:$ZZ$1048576"), MATCH(AV$1, SepR!$6:$6, 0), FALSE),
            0
        ) +
        IFERROR(
            VLOOKUP($A102, INDIRECT("OctR!$A$6:$ZZ$1048576"), MATCH(AV$1, OctR!$6:$6, 0), FALSE),
            0
        ) +
        IFERROR(
            VLOOKUP($A102, INDIRECT("NovR!$A$6:$ZZ$1048576"), MATCH(AV$1, NovR!$6:$6, 0), FALSE),
            0
        ) +
        IFERROR(
            VLOOKUP($A102, INDIRECT("DicR!$A$6:$ZZ$1048576"), MATCH(AV$1, DicR!$6:$6, 0), FALSE),
            0
        )
)</f>
        <v>0</v>
      </c>
      <c r="AW102" s="35">
        <f t="array" ref="AW102">SUM(
    IFERROR(
            VLOOKUP($A102, INDIRECT("EneR!$A$6:$ZZ$1048576"), MATCH(AW$1, EneR!$6:$6, 0), FALSE),
            0
        ) +
        IFERROR(
            VLOOKUP($A102, INDIRECT("FebR!$A$6:$ZZ$1048576"), MATCH(AW$1, FebR!$6:$6, 0), FALSE),
            0
        ) +
        IFERROR(
            VLOOKUP($A102, INDIRECT("MarR!$A$6:$ZZ$1048576"), MATCH(AW$1, MarR!$6:$6, 0), FALSE),
            0
        ) +
        IFERROR(
            VLOOKUP($A102, INDIRECT("AbrR!$A$6:$ZZ$1048576"), MATCH(AW$1, AbrR!$6:$6, 0), FALSE),
            0
        ) +
        IFERROR(
            VLOOKUP($A102, INDIRECT("MayR!$A$6:$ZZ$1048576"), MATCH(AW$1, MayR!$6:$6, 0), FALSE),
            0
        ) +
        IFERROR(
            VLOOKUP($A102, INDIRECT("JunR!$A$6:$ZZ$1048576"), MATCH(AW$1, JunR!$6:$6, 0), FALSE),
            0
        ) +
        IFERROR(
            VLOOKUP($A102, INDIRECT("JulR!$A$6:$ZZ$1048576"), MATCH(AW$1, JulR!$6:$6, 0), FALSE),
            0
        ) +
        IFERROR(
            VLOOKUP($A102, INDIRECT("AgoR!$A$6:$ZZ$1048576"), MATCH(AW$1, AgoR!$6:$6, 0), FALSE),
            0
        ) +
        IFERROR(
            VLOOKUP($A102, INDIRECT("SepR!$A$6:$ZZ$1048576"), MATCH(AW$1, SepR!$6:$6, 0), FALSE),
            0
        ) +
        IFERROR(
            VLOOKUP($A102, INDIRECT("OctR!$A$6:$ZZ$1048576"), MATCH(AW$1, OctR!$6:$6, 0), FALSE),
            0
        ) +
        IFERROR(
            VLOOKUP($A102, INDIRECT("NovR!$A$6:$ZZ$1048576"), MATCH(AW$1, NovR!$6:$6, 0), FALSE),
            0
        ) +
        IFERROR(
            VLOOKUP($A102, INDIRECT("DicR!$A$6:$ZZ$1048576"), MATCH(AW$1, DicR!$6:$6, 0), FALSE),
            0
        )
)</f>
        <v>0</v>
      </c>
      <c r="AX102" s="36">
        <f t="array" ref="AX102">SUM(
    IFERROR(
            VLOOKUP($A102, INDIRECT("EneR!$A$6:$ZZ$1048576"), MATCH(AX$1, EneR!$6:$6, 0), FALSE),
            0
        ) +
        IFERROR(
            VLOOKUP($A102, INDIRECT("FebR!$A$6:$ZZ$1048576"), MATCH(AX$1, FebR!$6:$6, 0), FALSE),
            0
        ) +
        IFERROR(
            VLOOKUP($A102, INDIRECT("MarR!$A$6:$ZZ$1048576"), MATCH(AX$1, MarR!$6:$6, 0), FALSE),
            0
        ) +
        IFERROR(
            VLOOKUP($A102, INDIRECT("AbrR!$A$6:$ZZ$1048576"), MATCH(AX$1, AbrR!$6:$6, 0), FALSE),
            0
        ) +
        IFERROR(
            VLOOKUP($A102, INDIRECT("MayR!$A$6:$ZZ$1048576"), MATCH(AX$1, MayR!$6:$6, 0), FALSE),
            0
        ) +
        IFERROR(
            VLOOKUP($A102, INDIRECT("JunR!$A$6:$ZZ$1048576"), MATCH(AX$1, JunR!$6:$6, 0), FALSE),
            0
        ) +
        IFERROR(
            VLOOKUP($A102, INDIRECT("JulR!$A$6:$ZZ$1048576"), MATCH(AX$1, JulR!$6:$6, 0), FALSE),
            0
        ) +
        IFERROR(
            VLOOKUP($A102, INDIRECT("AgoR!$A$6:$ZZ$1048576"), MATCH(AX$1, AgoR!$6:$6, 0), FALSE),
            0
        ) +
        IFERROR(
            VLOOKUP($A102, INDIRECT("SepR!$A$6:$ZZ$1048576"), MATCH(AX$1, SepR!$6:$6, 0), FALSE),
            0
        ) +
        IFERROR(
            VLOOKUP($A102, INDIRECT("OctR!$A$6:$ZZ$1048576"), MATCH(AX$1, OctR!$6:$6, 0), FALSE),
            0
        ) +
        IFERROR(
            VLOOKUP($A102, INDIRECT("NovR!$A$6:$ZZ$1048576"), MATCH(AX$1, NovR!$6:$6, 0), FALSE),
            0
        ) +
        IFERROR(
            VLOOKUP($A102, INDIRECT("DicR!$A$6:$ZZ$1048576"), MATCH(AX$1, DicR!$6:$6, 0), FALSE),
            0
        )
)</f>
        <v>0</v>
      </c>
      <c r="AY102" s="35">
        <f t="array" ref="AY102">SUM(
    IFERROR(
            VLOOKUP($A102, INDIRECT("EneR!$A$6:$ZZ$1048576"), MATCH(AY$1, EneR!$6:$6, 0), FALSE),
            0
        ) +
        IFERROR(
            VLOOKUP($A102, INDIRECT("FebR!$A$6:$ZZ$1048576"), MATCH(AY$1, FebR!$6:$6, 0), FALSE),
            0
        ) +
        IFERROR(
            VLOOKUP($A102, INDIRECT("MarR!$A$6:$ZZ$1048576"), MATCH(AY$1, MarR!$6:$6, 0), FALSE),
            0
        ) +
        IFERROR(
            VLOOKUP($A102, INDIRECT("AbrR!$A$6:$ZZ$1048576"), MATCH(AY$1, AbrR!$6:$6, 0), FALSE),
            0
        ) +
        IFERROR(
            VLOOKUP($A102, INDIRECT("MayR!$A$6:$ZZ$1048576"), MATCH(AY$1, MayR!$6:$6, 0), FALSE),
            0
        ) +
        IFERROR(
            VLOOKUP($A102, INDIRECT("JunR!$A$6:$ZZ$1048576"), MATCH(AY$1, JunR!$6:$6, 0), FALSE),
            0
        ) +
        IFERROR(
            VLOOKUP($A102, INDIRECT("JulR!$A$6:$ZZ$1048576"), MATCH(AY$1, JulR!$6:$6, 0), FALSE),
            0
        ) +
        IFERROR(
            VLOOKUP($A102, INDIRECT("AgoR!$A$6:$ZZ$1048576"), MATCH(AY$1, AgoR!$6:$6, 0), FALSE),
            0
        ) +
        IFERROR(
            VLOOKUP($A102, INDIRECT("SepR!$A$6:$ZZ$1048576"), MATCH(AY$1, SepR!$6:$6, 0), FALSE),
            0
        ) +
        IFERROR(
            VLOOKUP($A102, INDIRECT("OctR!$A$6:$ZZ$1048576"), MATCH(AY$1, OctR!$6:$6, 0), FALSE),
            0
        ) +
        IFERROR(
            VLOOKUP($A102, INDIRECT("NovR!$A$6:$ZZ$1048576"), MATCH(AY$1, NovR!$6:$6, 0), FALSE),
            0
        ) +
        IFERROR(
            VLOOKUP($A102, INDIRECT("DicR!$A$6:$ZZ$1048576"), MATCH(AY$1, DicR!$6:$6, 0), FALSE),
            0
        )
)</f>
        <v>0</v>
      </c>
      <c r="AZ102" s="35"/>
    </row>
    <row r="103" ht="15.75" hidden="1" customHeight="1">
      <c r="A103" s="12" t="str">
        <f>Menus!B66</f>
        <v/>
      </c>
      <c r="B103" s="32">
        <f t="shared" si="11"/>
        <v>0</v>
      </c>
      <c r="C103" s="33" t="str">
        <f t="shared" si="10"/>
        <v/>
      </c>
      <c r="D103" s="34">
        <f t="array" ref="D103">SUM(
    IFERROR(
            VLOOKUP($A103, INDIRECT("EneR!$A$6:$ZZ$1048576"), MATCH(D$1, EneR!$6:$6, 0), FALSE),
            0
        ) +
        IFERROR(
            VLOOKUP($A103, INDIRECT("FebR!$A$6:$ZZ$1048576"), MATCH(D$1, FebR!$6:$6, 0), FALSE),
            0
        ) +
        IFERROR(
            VLOOKUP($A103, INDIRECT("MarR!$A$6:$ZZ$1048576"), MATCH(D$1, MarR!$6:$6, 0), FALSE),
            0
        ) +
        IFERROR(
            VLOOKUP($A103, INDIRECT("AbrR!$A$6:$ZZ$1048576"), MATCH(D$1, AbrR!$6:$6, 0), FALSE),
            0
        ) +
        IFERROR(
            VLOOKUP($A103, INDIRECT("MayR!$A$6:$ZZ$1048576"), MATCH(D$1, MayR!$6:$6, 0), FALSE),
            0
        ) +
        IFERROR(
            VLOOKUP($A103, INDIRECT("JunR!$A$6:$ZZ$1048576"), MATCH(D$1, JunR!$6:$6, 0), FALSE),
            0
        ) +
        IFERROR(
            VLOOKUP($A103, INDIRECT("JulR!$A$6:$ZZ$1048576"), MATCH(D$1, JulR!$6:$6, 0), FALSE),
            0
        ) +
        IFERROR(
            VLOOKUP($A103, INDIRECT("AgoR!$A$6:$ZZ$1048576"), MATCH(D$1, AgoR!$6:$6, 0), FALSE),
            0
        ) +
        IFERROR(
            VLOOKUP($A103, INDIRECT("SepR!$A$6:$ZZ$1048576"), MATCH(D$1, SepR!$6:$6, 0), FALSE),
            0
        ) +
        IFERROR(
            VLOOKUP($A103, INDIRECT("OctR!$A$6:$ZZ$1048576"), MATCH(D$1, OctR!$6:$6, 0), FALSE),
            0
        ) +
        IFERROR(
            VLOOKUP($A103, INDIRECT("NovR!$A$6:$ZZ$1048576"), MATCH(D$1, NovR!$6:$6, 0), FALSE),
            0
        ) +
        IFERROR(
            VLOOKUP($A103, INDIRECT("DicR!$A$6:$ZZ$1048576"), MATCH(D$1, DicR!$6:$6, 0), FALSE),
            0
        )
)</f>
        <v>0</v>
      </c>
      <c r="E103" s="35">
        <f t="array" ref="E103">SUM(
    IFERROR(
            VLOOKUP($A103, INDIRECT("EneR!$A$6:$ZZ$1048576"), MATCH(E$1, EneR!$6:$6, 0), FALSE),
            0
        ) +
        IFERROR(
            VLOOKUP($A103, INDIRECT("FebR!$A$6:$ZZ$1048576"), MATCH(E$1, FebR!$6:$6, 0), FALSE),
            0
        ) +
        IFERROR(
            VLOOKUP($A103, INDIRECT("MarR!$A$6:$ZZ$1048576"), MATCH(E$1, MarR!$6:$6, 0), FALSE),
            0
        ) +
        IFERROR(
            VLOOKUP($A103, INDIRECT("AbrR!$A$6:$ZZ$1048576"), MATCH(E$1, AbrR!$6:$6, 0), FALSE),
            0
        ) +
        IFERROR(
            VLOOKUP($A103, INDIRECT("MayR!$A$6:$ZZ$1048576"), MATCH(E$1, MayR!$6:$6, 0), FALSE),
            0
        ) +
        IFERROR(
            VLOOKUP($A103, INDIRECT("JunR!$A$6:$ZZ$1048576"), MATCH(E$1, JunR!$6:$6, 0), FALSE),
            0
        ) +
        IFERROR(
            VLOOKUP($A103, INDIRECT("JulR!$A$6:$ZZ$1048576"), MATCH(E$1, JulR!$6:$6, 0), FALSE),
            0
        ) +
        IFERROR(
            VLOOKUP($A103, INDIRECT("AgoR!$A$6:$ZZ$1048576"), MATCH(E$1, AgoR!$6:$6, 0), FALSE),
            0
        ) +
        IFERROR(
            VLOOKUP($A103, INDIRECT("SepR!$A$6:$ZZ$1048576"), MATCH(E$1, SepR!$6:$6, 0), FALSE),
            0
        ) +
        IFERROR(
            VLOOKUP($A103, INDIRECT("OctR!$A$6:$ZZ$1048576"), MATCH(E$1, OctR!$6:$6, 0), FALSE),
            0
        ) +
        IFERROR(
            VLOOKUP($A103, INDIRECT("NovR!$A$6:$ZZ$1048576"), MATCH(E$1, NovR!$6:$6, 0), FALSE),
            0
        ) +
        IFERROR(
            VLOOKUP($A103, INDIRECT("DicR!$A$6:$ZZ$1048576"), MATCH(E$1, DicR!$6:$6, 0), FALSE),
            0
        )
)</f>
        <v>0</v>
      </c>
      <c r="F103" s="32">
        <f t="array" ref="F103">SUM(
    IFERROR(
            VLOOKUP($A103, INDIRECT("EneR!$A$6:$ZZ$1048576"), MATCH(F$1, EneR!$6:$6, 0), FALSE),
            0
        ) +
        IFERROR(
            VLOOKUP($A103, INDIRECT("FebR!$A$6:$ZZ$1048576"), MATCH(F$1, FebR!$6:$6, 0), FALSE),
            0
        ) +
        IFERROR(
            VLOOKUP($A103, INDIRECT("MarR!$A$6:$ZZ$1048576"), MATCH(F$1, MarR!$6:$6, 0), FALSE),
            0
        ) +
        IFERROR(
            VLOOKUP($A103, INDIRECT("AbrR!$A$6:$ZZ$1048576"), MATCH(F$1, AbrR!$6:$6, 0), FALSE),
            0
        ) +
        IFERROR(
            VLOOKUP($A103, INDIRECT("MayR!$A$6:$ZZ$1048576"), MATCH(F$1, MayR!$6:$6, 0), FALSE),
            0
        ) +
        IFERROR(
            VLOOKUP($A103, INDIRECT("JunR!$A$6:$ZZ$1048576"), MATCH(F$1, JunR!$6:$6, 0), FALSE),
            0
        ) +
        IFERROR(
            VLOOKUP($A103, INDIRECT("JulR!$A$6:$ZZ$1048576"), MATCH(F$1, JulR!$6:$6, 0), FALSE),
            0
        ) +
        IFERROR(
            VLOOKUP($A103, INDIRECT("AgoR!$A$6:$ZZ$1048576"), MATCH(F$1, AgoR!$6:$6, 0), FALSE),
            0
        ) +
        IFERROR(
            VLOOKUP($A103, INDIRECT("SepR!$A$6:$ZZ$1048576"), MATCH(F$1, SepR!$6:$6, 0), FALSE),
            0
        ) +
        IFERROR(
            VLOOKUP($A103, INDIRECT("OctR!$A$6:$ZZ$1048576"), MATCH(F$1, OctR!$6:$6, 0), FALSE),
            0
        ) +
        IFERROR(
            VLOOKUP($A103, INDIRECT("NovR!$A$6:$ZZ$1048576"), MATCH(F$1, NovR!$6:$6, 0), FALSE),
            0
        ) +
        IFERROR(
            VLOOKUP($A103, INDIRECT("DicR!$A$6:$ZZ$1048576"), MATCH(F$1, DicR!$6:$6, 0), FALSE),
            0
        )
)</f>
        <v>0</v>
      </c>
      <c r="G103" s="35">
        <f t="array" ref="G103">SUM(
    IFERROR(
            VLOOKUP($A103, INDIRECT("EneR!$A$6:$ZZ$1048576"), MATCH(G$1, EneR!$6:$6, 0), FALSE),
            0
        ) +
        IFERROR(
            VLOOKUP($A103, INDIRECT("FebR!$A$6:$ZZ$1048576"), MATCH(G$1, FebR!$6:$6, 0), FALSE),
            0
        ) +
        IFERROR(
            VLOOKUP($A103, INDIRECT("MarR!$A$6:$ZZ$1048576"), MATCH(G$1, MarR!$6:$6, 0), FALSE),
            0
        ) +
        IFERROR(
            VLOOKUP($A103, INDIRECT("AbrR!$A$6:$ZZ$1048576"), MATCH(G$1, AbrR!$6:$6, 0), FALSE),
            0
        ) +
        IFERROR(
            VLOOKUP($A103, INDIRECT("MayR!$A$6:$ZZ$1048576"), MATCH(G$1, MayR!$6:$6, 0), FALSE),
            0
        ) +
        IFERROR(
            VLOOKUP($A103, INDIRECT("JunR!$A$6:$ZZ$1048576"), MATCH(G$1, JunR!$6:$6, 0), FALSE),
            0
        ) +
        IFERROR(
            VLOOKUP($A103, INDIRECT("JulR!$A$6:$ZZ$1048576"), MATCH(G$1, JulR!$6:$6, 0), FALSE),
            0
        ) +
        IFERROR(
            VLOOKUP($A103, INDIRECT("AgoR!$A$6:$ZZ$1048576"), MATCH(G$1, AgoR!$6:$6, 0), FALSE),
            0
        ) +
        IFERROR(
            VLOOKUP($A103, INDIRECT("SepR!$A$6:$ZZ$1048576"), MATCH(G$1, SepR!$6:$6, 0), FALSE),
            0
        ) +
        IFERROR(
            VLOOKUP($A103, INDIRECT("OctR!$A$6:$ZZ$1048576"), MATCH(G$1, OctR!$6:$6, 0), FALSE),
            0
        ) +
        IFERROR(
            VLOOKUP($A103, INDIRECT("NovR!$A$6:$ZZ$1048576"), MATCH(G$1, NovR!$6:$6, 0), FALSE),
            0
        ) +
        IFERROR(
            VLOOKUP($A103, INDIRECT("DicR!$A$6:$ZZ$1048576"), MATCH(G$1, DicR!$6:$6, 0), FALSE),
            0
        )
)</f>
        <v>0</v>
      </c>
      <c r="H103" s="32">
        <f t="array" ref="H103">SUM(
    IFERROR(
            VLOOKUP($A103, INDIRECT("EneR!$A$6:$ZZ$1048576"), MATCH(H$1, EneR!$6:$6, 0), FALSE),
            0
        ) +
        IFERROR(
            VLOOKUP($A103, INDIRECT("FebR!$A$6:$ZZ$1048576"), MATCH(H$1, FebR!$6:$6, 0), FALSE),
            0
        ) +
        IFERROR(
            VLOOKUP($A103, INDIRECT("MarR!$A$6:$ZZ$1048576"), MATCH(H$1, MarR!$6:$6, 0), FALSE),
            0
        ) +
        IFERROR(
            VLOOKUP($A103, INDIRECT("AbrR!$A$6:$ZZ$1048576"), MATCH(H$1, AbrR!$6:$6, 0), FALSE),
            0
        ) +
        IFERROR(
            VLOOKUP($A103, INDIRECT("MayR!$A$6:$ZZ$1048576"), MATCH(H$1, MayR!$6:$6, 0), FALSE),
            0
        ) +
        IFERROR(
            VLOOKUP($A103, INDIRECT("JunR!$A$6:$ZZ$1048576"), MATCH(H$1, JunR!$6:$6, 0), FALSE),
            0
        ) +
        IFERROR(
            VLOOKUP($A103, INDIRECT("JulR!$A$6:$ZZ$1048576"), MATCH(H$1, JulR!$6:$6, 0), FALSE),
            0
        ) +
        IFERROR(
            VLOOKUP($A103, INDIRECT("AgoR!$A$6:$ZZ$1048576"), MATCH(H$1, AgoR!$6:$6, 0), FALSE),
            0
        ) +
        IFERROR(
            VLOOKUP($A103, INDIRECT("SepR!$A$6:$ZZ$1048576"), MATCH(H$1, SepR!$6:$6, 0), FALSE),
            0
        ) +
        IFERROR(
            VLOOKUP($A103, INDIRECT("OctR!$A$6:$ZZ$1048576"), MATCH(H$1, OctR!$6:$6, 0), FALSE),
            0
        ) +
        IFERROR(
            VLOOKUP($A103, INDIRECT("NovR!$A$6:$ZZ$1048576"), MATCH(H$1, NovR!$6:$6, 0), FALSE),
            0
        ) +
        IFERROR(
            VLOOKUP($A103, INDIRECT("DicR!$A$6:$ZZ$1048576"), MATCH(H$1, DicR!$6:$6, 0), FALSE),
            0
        )
)</f>
        <v>0</v>
      </c>
      <c r="I103" s="35">
        <f t="array" ref="I103">SUM(
    IFERROR(
            VLOOKUP($A103, INDIRECT("EneR!$A$6:$ZZ$1048576"), MATCH(I$1, EneR!$6:$6, 0), FALSE),
            0
        ) +
        IFERROR(
            VLOOKUP($A103, INDIRECT("FebR!$A$6:$ZZ$1048576"), MATCH(I$1, FebR!$6:$6, 0), FALSE),
            0
        ) +
        IFERROR(
            VLOOKUP($A103, INDIRECT("MarR!$A$6:$ZZ$1048576"), MATCH(I$1, MarR!$6:$6, 0), FALSE),
            0
        ) +
        IFERROR(
            VLOOKUP($A103, INDIRECT("AbrR!$A$6:$ZZ$1048576"), MATCH(I$1, AbrR!$6:$6, 0), FALSE),
            0
        ) +
        IFERROR(
            VLOOKUP($A103, INDIRECT("MayR!$A$6:$ZZ$1048576"), MATCH(I$1, MayR!$6:$6, 0), FALSE),
            0
        ) +
        IFERROR(
            VLOOKUP($A103, INDIRECT("JunR!$A$6:$ZZ$1048576"), MATCH(I$1, JunR!$6:$6, 0), FALSE),
            0
        ) +
        IFERROR(
            VLOOKUP($A103, INDIRECT("JulR!$A$6:$ZZ$1048576"), MATCH(I$1, JulR!$6:$6, 0), FALSE),
            0
        ) +
        IFERROR(
            VLOOKUP($A103, INDIRECT("AgoR!$A$6:$ZZ$1048576"), MATCH(I$1, AgoR!$6:$6, 0), FALSE),
            0
        ) +
        IFERROR(
            VLOOKUP($A103, INDIRECT("SepR!$A$6:$ZZ$1048576"), MATCH(I$1, SepR!$6:$6, 0), FALSE),
            0
        ) +
        IFERROR(
            VLOOKUP($A103, INDIRECT("OctR!$A$6:$ZZ$1048576"), MATCH(I$1, OctR!$6:$6, 0), FALSE),
            0
        ) +
        IFERROR(
            VLOOKUP($A103, INDIRECT("NovR!$A$6:$ZZ$1048576"), MATCH(I$1, NovR!$6:$6, 0), FALSE),
            0
        ) +
        IFERROR(
            VLOOKUP($A103, INDIRECT("DicR!$A$6:$ZZ$1048576"), MATCH(I$1, DicR!$6:$6, 0), FALSE),
            0
        )
)</f>
        <v>0</v>
      </c>
      <c r="J103" s="32">
        <f t="array" ref="J103">SUM(
    IFERROR(
            VLOOKUP($A103, INDIRECT("EneR!$A$6:$ZZ$1048576"), MATCH(J$1, EneR!$6:$6, 0), FALSE),
            0
        ) +
        IFERROR(
            VLOOKUP($A103, INDIRECT("FebR!$A$6:$ZZ$1048576"), MATCH(J$1, FebR!$6:$6, 0), FALSE),
            0
        ) +
        IFERROR(
            VLOOKUP($A103, INDIRECT("MarR!$A$6:$ZZ$1048576"), MATCH(J$1, MarR!$6:$6, 0), FALSE),
            0
        ) +
        IFERROR(
            VLOOKUP($A103, INDIRECT("AbrR!$A$6:$ZZ$1048576"), MATCH(J$1, AbrR!$6:$6, 0), FALSE),
            0
        ) +
        IFERROR(
            VLOOKUP($A103, INDIRECT("MayR!$A$6:$ZZ$1048576"), MATCH(J$1, MayR!$6:$6, 0), FALSE),
            0
        ) +
        IFERROR(
            VLOOKUP($A103, INDIRECT("JunR!$A$6:$ZZ$1048576"), MATCH(J$1, JunR!$6:$6, 0), FALSE),
            0
        ) +
        IFERROR(
            VLOOKUP($A103, INDIRECT("JulR!$A$6:$ZZ$1048576"), MATCH(J$1, JulR!$6:$6, 0), FALSE),
            0
        ) +
        IFERROR(
            VLOOKUP($A103, INDIRECT("AgoR!$A$6:$ZZ$1048576"), MATCH(J$1, AgoR!$6:$6, 0), FALSE),
            0
        ) +
        IFERROR(
            VLOOKUP($A103, INDIRECT("SepR!$A$6:$ZZ$1048576"), MATCH(J$1, SepR!$6:$6, 0), FALSE),
            0
        ) +
        IFERROR(
            VLOOKUP($A103, INDIRECT("OctR!$A$6:$ZZ$1048576"), MATCH(J$1, OctR!$6:$6, 0), FALSE),
            0
        ) +
        IFERROR(
            VLOOKUP($A103, INDIRECT("NovR!$A$6:$ZZ$1048576"), MATCH(J$1, NovR!$6:$6, 0), FALSE),
            0
        ) +
        IFERROR(
            VLOOKUP($A103, INDIRECT("DicR!$A$6:$ZZ$1048576"), MATCH(J$1, DicR!$6:$6, 0), FALSE),
            0
        )
)</f>
        <v>0</v>
      </c>
      <c r="K103" s="35">
        <f t="array" ref="K103">SUM(
    IFERROR(
            VLOOKUP($A103, INDIRECT("EneR!$A$6:$ZZ$1048576"), MATCH(K$1, EneR!$6:$6, 0), FALSE),
            0
        ) +
        IFERROR(
            VLOOKUP($A103, INDIRECT("FebR!$A$6:$ZZ$1048576"), MATCH(K$1, FebR!$6:$6, 0), FALSE),
            0
        ) +
        IFERROR(
            VLOOKUP($A103, INDIRECT("MarR!$A$6:$ZZ$1048576"), MATCH(K$1, MarR!$6:$6, 0), FALSE),
            0
        ) +
        IFERROR(
            VLOOKUP($A103, INDIRECT("AbrR!$A$6:$ZZ$1048576"), MATCH(K$1, AbrR!$6:$6, 0), FALSE),
            0
        ) +
        IFERROR(
            VLOOKUP($A103, INDIRECT("MayR!$A$6:$ZZ$1048576"), MATCH(K$1, MayR!$6:$6, 0), FALSE),
            0
        ) +
        IFERROR(
            VLOOKUP($A103, INDIRECT("JunR!$A$6:$ZZ$1048576"), MATCH(K$1, JunR!$6:$6, 0), FALSE),
            0
        ) +
        IFERROR(
            VLOOKUP($A103, INDIRECT("JulR!$A$6:$ZZ$1048576"), MATCH(K$1, JulR!$6:$6, 0), FALSE),
            0
        ) +
        IFERROR(
            VLOOKUP($A103, INDIRECT("AgoR!$A$6:$ZZ$1048576"), MATCH(K$1, AgoR!$6:$6, 0), FALSE),
            0
        ) +
        IFERROR(
            VLOOKUP($A103, INDIRECT("SepR!$A$6:$ZZ$1048576"), MATCH(K$1, SepR!$6:$6, 0), FALSE),
            0
        ) +
        IFERROR(
            VLOOKUP($A103, INDIRECT("OctR!$A$6:$ZZ$1048576"), MATCH(K$1, OctR!$6:$6, 0), FALSE),
            0
        ) +
        IFERROR(
            VLOOKUP($A103, INDIRECT("NovR!$A$6:$ZZ$1048576"), MATCH(K$1, NovR!$6:$6, 0), FALSE),
            0
        ) +
        IFERROR(
            VLOOKUP($A103, INDIRECT("DicR!$A$6:$ZZ$1048576"), MATCH(K$1, DicR!$6:$6, 0), FALSE),
            0
        )
)</f>
        <v>0</v>
      </c>
      <c r="L103" s="32">
        <f t="array" ref="L103">SUM(
    IFERROR(
            VLOOKUP($A103, INDIRECT("EneR!$A$6:$ZZ$1048576"), MATCH(L$1, EneR!$6:$6, 0), FALSE),
            0
        ) +
        IFERROR(
            VLOOKUP($A103, INDIRECT("FebR!$A$6:$ZZ$1048576"), MATCH(L$1, FebR!$6:$6, 0), FALSE),
            0
        ) +
        IFERROR(
            VLOOKUP($A103, INDIRECT("MarR!$A$6:$ZZ$1048576"), MATCH(L$1, MarR!$6:$6, 0), FALSE),
            0
        ) +
        IFERROR(
            VLOOKUP($A103, INDIRECT("AbrR!$A$6:$ZZ$1048576"), MATCH(L$1, AbrR!$6:$6, 0), FALSE),
            0
        ) +
        IFERROR(
            VLOOKUP($A103, INDIRECT("MayR!$A$6:$ZZ$1048576"), MATCH(L$1, MayR!$6:$6, 0), FALSE),
            0
        ) +
        IFERROR(
            VLOOKUP($A103, INDIRECT("JunR!$A$6:$ZZ$1048576"), MATCH(L$1, JunR!$6:$6, 0), FALSE),
            0
        ) +
        IFERROR(
            VLOOKUP($A103, INDIRECT("JulR!$A$6:$ZZ$1048576"), MATCH(L$1, JulR!$6:$6, 0), FALSE),
            0
        ) +
        IFERROR(
            VLOOKUP($A103, INDIRECT("AgoR!$A$6:$ZZ$1048576"), MATCH(L$1, AgoR!$6:$6, 0), FALSE),
            0
        ) +
        IFERROR(
            VLOOKUP($A103, INDIRECT("SepR!$A$6:$ZZ$1048576"), MATCH(L$1, SepR!$6:$6, 0), FALSE),
            0
        ) +
        IFERROR(
            VLOOKUP($A103, INDIRECT("OctR!$A$6:$ZZ$1048576"), MATCH(L$1, OctR!$6:$6, 0), FALSE),
            0
        ) +
        IFERROR(
            VLOOKUP($A103, INDIRECT("NovR!$A$6:$ZZ$1048576"), MATCH(L$1, NovR!$6:$6, 0), FALSE),
            0
        ) +
        IFERROR(
            VLOOKUP($A103, INDIRECT("DicR!$A$6:$ZZ$1048576"), MATCH(L$1, DicR!$6:$6, 0), FALSE),
            0
        )
)</f>
        <v>0</v>
      </c>
      <c r="M103" s="35">
        <f t="array" ref="M103">SUM(
    IFERROR(
            VLOOKUP($A103, INDIRECT("EneR!$A$6:$ZZ$1048576"), MATCH(M$1, EneR!$6:$6, 0), FALSE),
            0
        ) +
        IFERROR(
            VLOOKUP($A103, INDIRECT("FebR!$A$6:$ZZ$1048576"), MATCH(M$1, FebR!$6:$6, 0), FALSE),
            0
        ) +
        IFERROR(
            VLOOKUP($A103, INDIRECT("MarR!$A$6:$ZZ$1048576"), MATCH(M$1, MarR!$6:$6, 0), FALSE),
            0
        ) +
        IFERROR(
            VLOOKUP($A103, INDIRECT("AbrR!$A$6:$ZZ$1048576"), MATCH(M$1, AbrR!$6:$6, 0), FALSE),
            0
        ) +
        IFERROR(
            VLOOKUP($A103, INDIRECT("MayR!$A$6:$ZZ$1048576"), MATCH(M$1, MayR!$6:$6, 0), FALSE),
            0
        ) +
        IFERROR(
            VLOOKUP($A103, INDIRECT("JunR!$A$6:$ZZ$1048576"), MATCH(M$1, JunR!$6:$6, 0), FALSE),
            0
        ) +
        IFERROR(
            VLOOKUP($A103, INDIRECT("JulR!$A$6:$ZZ$1048576"), MATCH(M$1, JulR!$6:$6, 0), FALSE),
            0
        ) +
        IFERROR(
            VLOOKUP($A103, INDIRECT("AgoR!$A$6:$ZZ$1048576"), MATCH(M$1, AgoR!$6:$6, 0), FALSE),
            0
        ) +
        IFERROR(
            VLOOKUP($A103, INDIRECT("SepR!$A$6:$ZZ$1048576"), MATCH(M$1, SepR!$6:$6, 0), FALSE),
            0
        ) +
        IFERROR(
            VLOOKUP($A103, INDIRECT("OctR!$A$6:$ZZ$1048576"), MATCH(M$1, OctR!$6:$6, 0), FALSE),
            0
        ) +
        IFERROR(
            VLOOKUP($A103, INDIRECT("NovR!$A$6:$ZZ$1048576"), MATCH(M$1, NovR!$6:$6, 0), FALSE),
            0
        ) +
        IFERROR(
            VLOOKUP($A103, INDIRECT("DicR!$A$6:$ZZ$1048576"), MATCH(M$1, DicR!$6:$6, 0), FALSE),
            0
        )
)</f>
        <v>0</v>
      </c>
      <c r="N103" s="32">
        <f t="array" ref="N103">SUM(
    IFERROR(
            VLOOKUP($A103, INDIRECT("EneR!$A$6:$ZZ$1048576"), MATCH(N$1, EneR!$6:$6, 0), FALSE),
            0
        ) +
        IFERROR(
            VLOOKUP($A103, INDIRECT("FebR!$A$6:$ZZ$1048576"), MATCH(N$1, FebR!$6:$6, 0), FALSE),
            0
        ) +
        IFERROR(
            VLOOKUP($A103, INDIRECT("MarR!$A$6:$ZZ$1048576"), MATCH(N$1, MarR!$6:$6, 0), FALSE),
            0
        ) +
        IFERROR(
            VLOOKUP($A103, INDIRECT("AbrR!$A$6:$ZZ$1048576"), MATCH(N$1, AbrR!$6:$6, 0), FALSE),
            0
        ) +
        IFERROR(
            VLOOKUP($A103, INDIRECT("MayR!$A$6:$ZZ$1048576"), MATCH(N$1, MayR!$6:$6, 0), FALSE),
            0
        ) +
        IFERROR(
            VLOOKUP($A103, INDIRECT("JunR!$A$6:$ZZ$1048576"), MATCH(N$1, JunR!$6:$6, 0), FALSE),
            0
        ) +
        IFERROR(
            VLOOKUP($A103, INDIRECT("JulR!$A$6:$ZZ$1048576"), MATCH(N$1, JulR!$6:$6, 0), FALSE),
            0
        ) +
        IFERROR(
            VLOOKUP($A103, INDIRECT("AgoR!$A$6:$ZZ$1048576"), MATCH(N$1, AgoR!$6:$6, 0), FALSE),
            0
        ) +
        IFERROR(
            VLOOKUP($A103, INDIRECT("SepR!$A$6:$ZZ$1048576"), MATCH(N$1, SepR!$6:$6, 0), FALSE),
            0
        ) +
        IFERROR(
            VLOOKUP($A103, INDIRECT("OctR!$A$6:$ZZ$1048576"), MATCH(N$1, OctR!$6:$6, 0), FALSE),
            0
        ) +
        IFERROR(
            VLOOKUP($A103, INDIRECT("NovR!$A$6:$ZZ$1048576"), MATCH(N$1, NovR!$6:$6, 0), FALSE),
            0
        ) +
        IFERROR(
            VLOOKUP($A103, INDIRECT("DicR!$A$6:$ZZ$1048576"), MATCH(N$1, DicR!$6:$6, 0), FALSE),
            0
        )
)</f>
        <v>0</v>
      </c>
      <c r="O103" s="35">
        <f t="array" ref="O103">SUM(
    IFERROR(
            VLOOKUP($A103, INDIRECT("EneR!$A$6:$ZZ$1048576"), MATCH(O$1, EneR!$6:$6, 0), FALSE),
            0
        ) +
        IFERROR(
            VLOOKUP($A103, INDIRECT("FebR!$A$6:$ZZ$1048576"), MATCH(O$1, FebR!$6:$6, 0), FALSE),
            0
        ) +
        IFERROR(
            VLOOKUP($A103, INDIRECT("MarR!$A$6:$ZZ$1048576"), MATCH(O$1, MarR!$6:$6, 0), FALSE),
            0
        ) +
        IFERROR(
            VLOOKUP($A103, INDIRECT("AbrR!$A$6:$ZZ$1048576"), MATCH(O$1, AbrR!$6:$6, 0), FALSE),
            0
        ) +
        IFERROR(
            VLOOKUP($A103, INDIRECT("MayR!$A$6:$ZZ$1048576"), MATCH(O$1, MayR!$6:$6, 0), FALSE),
            0
        ) +
        IFERROR(
            VLOOKUP($A103, INDIRECT("JunR!$A$6:$ZZ$1048576"), MATCH(O$1, JunR!$6:$6, 0), FALSE),
            0
        ) +
        IFERROR(
            VLOOKUP($A103, INDIRECT("JulR!$A$6:$ZZ$1048576"), MATCH(O$1, JulR!$6:$6, 0), FALSE),
            0
        ) +
        IFERROR(
            VLOOKUP($A103, INDIRECT("AgoR!$A$6:$ZZ$1048576"), MATCH(O$1, AgoR!$6:$6, 0), FALSE),
            0
        ) +
        IFERROR(
            VLOOKUP($A103, INDIRECT("SepR!$A$6:$ZZ$1048576"), MATCH(O$1, SepR!$6:$6, 0), FALSE),
            0
        ) +
        IFERROR(
            VLOOKUP($A103, INDIRECT("OctR!$A$6:$ZZ$1048576"), MATCH(O$1, OctR!$6:$6, 0), FALSE),
            0
        ) +
        IFERROR(
            VLOOKUP($A103, INDIRECT("NovR!$A$6:$ZZ$1048576"), MATCH(O$1, NovR!$6:$6, 0), FALSE),
            0
        ) +
        IFERROR(
            VLOOKUP($A103, INDIRECT("DicR!$A$6:$ZZ$1048576"), MATCH(O$1, DicR!$6:$6, 0), FALSE),
            0
        )
)</f>
        <v>0</v>
      </c>
      <c r="P103" s="32">
        <f t="array" ref="P103">SUM(
    IFERROR(
            VLOOKUP($A103, INDIRECT("EneR!$A$6:$ZZ$1048576"), MATCH(P$1, EneR!$6:$6, 0), FALSE),
            0
        ) +
        IFERROR(
            VLOOKUP($A103, INDIRECT("FebR!$A$6:$ZZ$1048576"), MATCH(P$1, FebR!$6:$6, 0), FALSE),
            0
        ) +
        IFERROR(
            VLOOKUP($A103, INDIRECT("MarR!$A$6:$ZZ$1048576"), MATCH(P$1, MarR!$6:$6, 0), FALSE),
            0
        ) +
        IFERROR(
            VLOOKUP($A103, INDIRECT("AbrR!$A$6:$ZZ$1048576"), MATCH(P$1, AbrR!$6:$6, 0), FALSE),
            0
        ) +
        IFERROR(
            VLOOKUP($A103, INDIRECT("MayR!$A$6:$ZZ$1048576"), MATCH(P$1, MayR!$6:$6, 0), FALSE),
            0
        ) +
        IFERROR(
            VLOOKUP($A103, INDIRECT("JunR!$A$6:$ZZ$1048576"), MATCH(P$1, JunR!$6:$6, 0), FALSE),
            0
        ) +
        IFERROR(
            VLOOKUP($A103, INDIRECT("JulR!$A$6:$ZZ$1048576"), MATCH(P$1, JulR!$6:$6, 0), FALSE),
            0
        ) +
        IFERROR(
            VLOOKUP($A103, INDIRECT("AgoR!$A$6:$ZZ$1048576"), MATCH(P$1, AgoR!$6:$6, 0), FALSE),
            0
        ) +
        IFERROR(
            VLOOKUP($A103, INDIRECT("SepR!$A$6:$ZZ$1048576"), MATCH(P$1, SepR!$6:$6, 0), FALSE),
            0
        ) +
        IFERROR(
            VLOOKUP($A103, INDIRECT("OctR!$A$6:$ZZ$1048576"), MATCH(P$1, OctR!$6:$6, 0), FALSE),
            0
        ) +
        IFERROR(
            VLOOKUP($A103, INDIRECT("NovR!$A$6:$ZZ$1048576"), MATCH(P$1, NovR!$6:$6, 0), FALSE),
            0
        ) +
        IFERROR(
            VLOOKUP($A103, INDIRECT("DicR!$A$6:$ZZ$1048576"), MATCH(P$1, DicR!$6:$6, 0), FALSE),
            0
        )
)</f>
        <v>0</v>
      </c>
      <c r="Q103" s="35">
        <f t="array" ref="Q103">SUM(
    IFERROR(
            VLOOKUP($A103, INDIRECT("EneR!$A$6:$ZZ$1048576"), MATCH(Q$1, EneR!$6:$6, 0), FALSE),
            0
        ) +
        IFERROR(
            VLOOKUP($A103, INDIRECT("FebR!$A$6:$ZZ$1048576"), MATCH(Q$1, FebR!$6:$6, 0), FALSE),
            0
        ) +
        IFERROR(
            VLOOKUP($A103, INDIRECT("MarR!$A$6:$ZZ$1048576"), MATCH(Q$1, MarR!$6:$6, 0), FALSE),
            0
        ) +
        IFERROR(
            VLOOKUP($A103, INDIRECT("AbrR!$A$6:$ZZ$1048576"), MATCH(Q$1, AbrR!$6:$6, 0), FALSE),
            0
        ) +
        IFERROR(
            VLOOKUP($A103, INDIRECT("MayR!$A$6:$ZZ$1048576"), MATCH(Q$1, MayR!$6:$6, 0), FALSE),
            0
        ) +
        IFERROR(
            VLOOKUP($A103, INDIRECT("JunR!$A$6:$ZZ$1048576"), MATCH(Q$1, JunR!$6:$6, 0), FALSE),
            0
        ) +
        IFERROR(
            VLOOKUP($A103, INDIRECT("JulR!$A$6:$ZZ$1048576"), MATCH(Q$1, JulR!$6:$6, 0), FALSE),
            0
        ) +
        IFERROR(
            VLOOKUP($A103, INDIRECT("AgoR!$A$6:$ZZ$1048576"), MATCH(Q$1, AgoR!$6:$6, 0), FALSE),
            0
        ) +
        IFERROR(
            VLOOKUP($A103, INDIRECT("SepR!$A$6:$ZZ$1048576"), MATCH(Q$1, SepR!$6:$6, 0), FALSE),
            0
        ) +
        IFERROR(
            VLOOKUP($A103, INDIRECT("OctR!$A$6:$ZZ$1048576"), MATCH(Q$1, OctR!$6:$6, 0), FALSE),
            0
        ) +
        IFERROR(
            VLOOKUP($A103, INDIRECT("NovR!$A$6:$ZZ$1048576"), MATCH(Q$1, NovR!$6:$6, 0), FALSE),
            0
        ) +
        IFERROR(
            VLOOKUP($A103, INDIRECT("DicR!$A$6:$ZZ$1048576"), MATCH(Q$1, DicR!$6:$6, 0), FALSE),
            0
        )
)</f>
        <v>0</v>
      </c>
      <c r="R103" s="36">
        <f t="array" ref="R103">SUM(
    IFERROR(
            VLOOKUP($A103, INDIRECT("EneR!$A$6:$ZZ$1048576"), MATCH(R$1, EneR!$6:$6, 0), FALSE),
            0
        ) +
        IFERROR(
            VLOOKUP($A103, INDIRECT("FebR!$A$6:$ZZ$1048576"), MATCH(R$1, FebR!$6:$6, 0), FALSE),
            0
        ) +
        IFERROR(
            VLOOKUP($A103, INDIRECT("MarR!$A$6:$ZZ$1048576"), MATCH(R$1, MarR!$6:$6, 0), FALSE),
            0
        ) +
        IFERROR(
            VLOOKUP($A103, INDIRECT("AbrR!$A$6:$ZZ$1048576"), MATCH(R$1, AbrR!$6:$6, 0), FALSE),
            0
        ) +
        IFERROR(
            VLOOKUP($A103, INDIRECT("MayR!$A$6:$ZZ$1048576"), MATCH(R$1, MayR!$6:$6, 0), FALSE),
            0
        ) +
        IFERROR(
            VLOOKUP($A103, INDIRECT("JunR!$A$6:$ZZ$1048576"), MATCH(R$1, JunR!$6:$6, 0), FALSE),
            0
        ) +
        IFERROR(
            VLOOKUP($A103, INDIRECT("JulR!$A$6:$ZZ$1048576"), MATCH(R$1, JulR!$6:$6, 0), FALSE),
            0
        ) +
        IFERROR(
            VLOOKUP($A103, INDIRECT("AgoR!$A$6:$ZZ$1048576"), MATCH(R$1, AgoR!$6:$6, 0), FALSE),
            0
        ) +
        IFERROR(
            VLOOKUP($A103, INDIRECT("SepR!$A$6:$ZZ$1048576"), MATCH(R$1, SepR!$6:$6, 0), FALSE),
            0
        ) +
        IFERROR(
            VLOOKUP($A103, INDIRECT("OctR!$A$6:$ZZ$1048576"), MATCH(R$1, OctR!$6:$6, 0), FALSE),
            0
        ) +
        IFERROR(
            VLOOKUP($A103, INDIRECT("NovR!$A$6:$ZZ$1048576"), MATCH(R$1, NovR!$6:$6, 0), FALSE),
            0
        ) +
        IFERROR(
            VLOOKUP($A103, INDIRECT("DicR!$A$6:$ZZ$1048576"), MATCH(R$1, DicR!$6:$6, 0), FALSE),
            0
        )
)</f>
        <v>0</v>
      </c>
      <c r="S103" s="37">
        <f t="array" ref="S103">SUM(
    IFERROR(
            VLOOKUP($A103, INDIRECT("EneR!$A$6:$ZZ$1048576"), MATCH(S$1, EneR!$6:$6, 0), FALSE),
            0
        ) +
        IFERROR(
            VLOOKUP($A103, INDIRECT("FebR!$A$6:$ZZ$1048576"), MATCH(S$1, FebR!$6:$6, 0), FALSE),
            0
        ) +
        IFERROR(
            VLOOKUP($A103, INDIRECT("MarR!$A$6:$ZZ$1048576"), MATCH(S$1, MarR!$6:$6, 0), FALSE),
            0
        ) +
        IFERROR(
            VLOOKUP($A103, INDIRECT("AbrR!$A$6:$ZZ$1048576"), MATCH(S$1, AbrR!$6:$6, 0), FALSE),
            0
        ) +
        IFERROR(
            VLOOKUP($A103, INDIRECT("MayR!$A$6:$ZZ$1048576"), MATCH(S$1, MayR!$6:$6, 0), FALSE),
            0
        ) +
        IFERROR(
            VLOOKUP($A103, INDIRECT("JunR!$A$6:$ZZ$1048576"), MATCH(S$1, JunR!$6:$6, 0), FALSE),
            0
        ) +
        IFERROR(
            VLOOKUP($A103, INDIRECT("JulR!$A$6:$ZZ$1048576"), MATCH(S$1, JulR!$6:$6, 0), FALSE),
            0
        ) +
        IFERROR(
            VLOOKUP($A103, INDIRECT("AgoR!$A$6:$ZZ$1048576"), MATCH(S$1, AgoR!$6:$6, 0), FALSE),
            0
        ) +
        IFERROR(
            VLOOKUP($A103, INDIRECT("SepR!$A$6:$ZZ$1048576"), MATCH(S$1, SepR!$6:$6, 0), FALSE),
            0
        ) +
        IFERROR(
            VLOOKUP($A103, INDIRECT("OctR!$A$6:$ZZ$1048576"), MATCH(S$1, OctR!$6:$6, 0), FALSE),
            0
        ) +
        IFERROR(
            VLOOKUP($A103, INDIRECT("NovR!$A$6:$ZZ$1048576"), MATCH(S$1, NovR!$6:$6, 0), FALSE),
            0
        ) +
        IFERROR(
            VLOOKUP($A103, INDIRECT("DicR!$A$6:$ZZ$1048576"), MATCH(S$1, DicR!$6:$6, 0), FALSE),
            0
        )
)</f>
        <v>0</v>
      </c>
      <c r="T103" s="36">
        <f t="array" ref="T103">SUM(
    IFERROR(
            VLOOKUP($A103, INDIRECT("EneR!$A$6:$ZZ$1048576"), MATCH(T$1, EneR!$6:$6, 0), FALSE),
            0
        ) +
        IFERROR(
            VLOOKUP($A103, INDIRECT("FebR!$A$6:$ZZ$1048576"), MATCH(T$1, FebR!$6:$6, 0), FALSE),
            0
        ) +
        IFERROR(
            VLOOKUP($A103, INDIRECT("MarR!$A$6:$ZZ$1048576"), MATCH(T$1, MarR!$6:$6, 0), FALSE),
            0
        ) +
        IFERROR(
            VLOOKUP($A103, INDIRECT("AbrR!$A$6:$ZZ$1048576"), MATCH(T$1, AbrR!$6:$6, 0), FALSE),
            0
        ) +
        IFERROR(
            VLOOKUP($A103, INDIRECT("MayR!$A$6:$ZZ$1048576"), MATCH(T$1, MayR!$6:$6, 0), FALSE),
            0
        ) +
        IFERROR(
            VLOOKUP($A103, INDIRECT("JunR!$A$6:$ZZ$1048576"), MATCH(T$1, JunR!$6:$6, 0), FALSE),
            0
        ) +
        IFERROR(
            VLOOKUP($A103, INDIRECT("JulR!$A$6:$ZZ$1048576"), MATCH(T$1, JulR!$6:$6, 0), FALSE),
            0
        ) +
        IFERROR(
            VLOOKUP($A103, INDIRECT("AgoR!$A$6:$ZZ$1048576"), MATCH(T$1, AgoR!$6:$6, 0), FALSE),
            0
        ) +
        IFERROR(
            VLOOKUP($A103, INDIRECT("SepR!$A$6:$ZZ$1048576"), MATCH(T$1, SepR!$6:$6, 0), FALSE),
            0
        ) +
        IFERROR(
            VLOOKUP($A103, INDIRECT("OctR!$A$6:$ZZ$1048576"), MATCH(T$1, OctR!$6:$6, 0), FALSE),
            0
        ) +
        IFERROR(
            VLOOKUP($A103, INDIRECT("NovR!$A$6:$ZZ$1048576"), MATCH(T$1, NovR!$6:$6, 0), FALSE),
            0
        ) +
        IFERROR(
            VLOOKUP($A103, INDIRECT("DicR!$A$6:$ZZ$1048576"), MATCH(T$1, DicR!$6:$6, 0), FALSE),
            0
        )
)</f>
        <v>0</v>
      </c>
      <c r="U103" s="37">
        <f t="array" ref="U103">SUM(
    IFERROR(
            VLOOKUP($A103, INDIRECT("EneR!$A$6:$ZZ$1048576"), MATCH(U$1, EneR!$6:$6, 0), FALSE),
            0
        ) +
        IFERROR(
            VLOOKUP($A103, INDIRECT("FebR!$A$6:$ZZ$1048576"), MATCH(U$1, FebR!$6:$6, 0), FALSE),
            0
        ) +
        IFERROR(
            VLOOKUP($A103, INDIRECT("MarR!$A$6:$ZZ$1048576"), MATCH(U$1, MarR!$6:$6, 0), FALSE),
            0
        ) +
        IFERROR(
            VLOOKUP($A103, INDIRECT("AbrR!$A$6:$ZZ$1048576"), MATCH(U$1, AbrR!$6:$6, 0), FALSE),
            0
        ) +
        IFERROR(
            VLOOKUP($A103, INDIRECT("MayR!$A$6:$ZZ$1048576"), MATCH(U$1, MayR!$6:$6, 0), FALSE),
            0
        ) +
        IFERROR(
            VLOOKUP($A103, INDIRECT("JunR!$A$6:$ZZ$1048576"), MATCH(U$1, JunR!$6:$6, 0), FALSE),
            0
        ) +
        IFERROR(
            VLOOKUP($A103, INDIRECT("JulR!$A$6:$ZZ$1048576"), MATCH(U$1, JulR!$6:$6, 0), FALSE),
            0
        ) +
        IFERROR(
            VLOOKUP($A103, INDIRECT("AgoR!$A$6:$ZZ$1048576"), MATCH(U$1, AgoR!$6:$6, 0), FALSE),
            0
        ) +
        IFERROR(
            VLOOKUP($A103, INDIRECT("SepR!$A$6:$ZZ$1048576"), MATCH(U$1, SepR!$6:$6, 0), FALSE),
            0
        ) +
        IFERROR(
            VLOOKUP($A103, INDIRECT("OctR!$A$6:$ZZ$1048576"), MATCH(U$1, OctR!$6:$6, 0), FALSE),
            0
        ) +
        IFERROR(
            VLOOKUP($A103, INDIRECT("NovR!$A$6:$ZZ$1048576"), MATCH(U$1, NovR!$6:$6, 0), FALSE),
            0
        ) +
        IFERROR(
            VLOOKUP($A103, INDIRECT("DicR!$A$6:$ZZ$1048576"), MATCH(U$1, DicR!$6:$6, 0), FALSE),
            0
        )
)</f>
        <v>0</v>
      </c>
      <c r="V103" s="36">
        <f t="array" ref="V103">SUM(
    IFERROR(
            VLOOKUP($A103, INDIRECT("EneR!$A$6:$ZZ$1048576"), MATCH(V$1, EneR!$6:$6, 0), FALSE),
            0
        ) +
        IFERROR(
            VLOOKUP($A103, INDIRECT("FebR!$A$6:$ZZ$1048576"), MATCH(V$1, FebR!$6:$6, 0), FALSE),
            0
        ) +
        IFERROR(
            VLOOKUP($A103, INDIRECT("MarR!$A$6:$ZZ$1048576"), MATCH(V$1, MarR!$6:$6, 0), FALSE),
            0
        ) +
        IFERROR(
            VLOOKUP($A103, INDIRECT("AbrR!$A$6:$ZZ$1048576"), MATCH(V$1, AbrR!$6:$6, 0), FALSE),
            0
        ) +
        IFERROR(
            VLOOKUP($A103, INDIRECT("MayR!$A$6:$ZZ$1048576"), MATCH(V$1, MayR!$6:$6, 0), FALSE),
            0
        ) +
        IFERROR(
            VLOOKUP($A103, INDIRECT("JunR!$A$6:$ZZ$1048576"), MATCH(V$1, JunR!$6:$6, 0), FALSE),
            0
        ) +
        IFERROR(
            VLOOKUP($A103, INDIRECT("JulR!$A$6:$ZZ$1048576"), MATCH(V$1, JulR!$6:$6, 0), FALSE),
            0
        ) +
        IFERROR(
            VLOOKUP($A103, INDIRECT("AgoR!$A$6:$ZZ$1048576"), MATCH(V$1, AgoR!$6:$6, 0), FALSE),
            0
        ) +
        IFERROR(
            VLOOKUP($A103, INDIRECT("SepR!$A$6:$ZZ$1048576"), MATCH(V$1, SepR!$6:$6, 0), FALSE),
            0
        ) +
        IFERROR(
            VLOOKUP($A103, INDIRECT("OctR!$A$6:$ZZ$1048576"), MATCH(V$1, OctR!$6:$6, 0), FALSE),
            0
        ) +
        IFERROR(
            VLOOKUP($A103, INDIRECT("NovR!$A$6:$ZZ$1048576"), MATCH(V$1, NovR!$6:$6, 0), FALSE),
            0
        ) +
        IFERROR(
            VLOOKUP($A103, INDIRECT("DicR!$A$6:$ZZ$1048576"), MATCH(V$1, DicR!$6:$6, 0), FALSE),
            0
        )
)</f>
        <v>0</v>
      </c>
      <c r="W103" s="37">
        <f t="array" ref="W103">SUM(
    IFERROR(
            VLOOKUP($A103, INDIRECT("EneR!$A$6:$ZZ$1048576"), MATCH(W$1, EneR!$6:$6, 0), FALSE),
            0
        ) +
        IFERROR(
            VLOOKUP($A103, INDIRECT("FebR!$A$6:$ZZ$1048576"), MATCH(W$1, FebR!$6:$6, 0), FALSE),
            0
        ) +
        IFERROR(
            VLOOKUP($A103, INDIRECT("MarR!$A$6:$ZZ$1048576"), MATCH(W$1, MarR!$6:$6, 0), FALSE),
            0
        ) +
        IFERROR(
            VLOOKUP($A103, INDIRECT("AbrR!$A$6:$ZZ$1048576"), MATCH(W$1, AbrR!$6:$6, 0), FALSE),
            0
        ) +
        IFERROR(
            VLOOKUP($A103, INDIRECT("MayR!$A$6:$ZZ$1048576"), MATCH(W$1, MayR!$6:$6, 0), FALSE),
            0
        ) +
        IFERROR(
            VLOOKUP($A103, INDIRECT("JunR!$A$6:$ZZ$1048576"), MATCH(W$1, JunR!$6:$6, 0), FALSE),
            0
        ) +
        IFERROR(
            VLOOKUP($A103, INDIRECT("JulR!$A$6:$ZZ$1048576"), MATCH(W$1, JulR!$6:$6, 0), FALSE),
            0
        ) +
        IFERROR(
            VLOOKUP($A103, INDIRECT("AgoR!$A$6:$ZZ$1048576"), MATCH(W$1, AgoR!$6:$6, 0), FALSE),
            0
        ) +
        IFERROR(
            VLOOKUP($A103, INDIRECT("SepR!$A$6:$ZZ$1048576"), MATCH(W$1, SepR!$6:$6, 0), FALSE),
            0
        ) +
        IFERROR(
            VLOOKUP($A103, INDIRECT("OctR!$A$6:$ZZ$1048576"), MATCH(W$1, OctR!$6:$6, 0), FALSE),
            0
        ) +
        IFERROR(
            VLOOKUP($A103, INDIRECT("NovR!$A$6:$ZZ$1048576"), MATCH(W$1, NovR!$6:$6, 0), FALSE),
            0
        ) +
        IFERROR(
            VLOOKUP($A103, INDIRECT("DicR!$A$6:$ZZ$1048576"), MATCH(W$1, DicR!$6:$6, 0), FALSE),
            0
        )
)</f>
        <v>0</v>
      </c>
      <c r="X103" s="36">
        <f t="array" ref="X103">SUM(
    IFERROR(
            VLOOKUP($A103, INDIRECT("EneR!$A$6:$ZZ$1048576"), MATCH(X$1, EneR!$6:$6, 0), FALSE),
            0
        ) +
        IFERROR(
            VLOOKUP($A103, INDIRECT("FebR!$A$6:$ZZ$1048576"), MATCH(X$1, FebR!$6:$6, 0), FALSE),
            0
        ) +
        IFERROR(
            VLOOKUP($A103, INDIRECT("MarR!$A$6:$ZZ$1048576"), MATCH(X$1, MarR!$6:$6, 0), FALSE),
            0
        ) +
        IFERROR(
            VLOOKUP($A103, INDIRECT("AbrR!$A$6:$ZZ$1048576"), MATCH(X$1, AbrR!$6:$6, 0), FALSE),
            0
        ) +
        IFERROR(
            VLOOKUP($A103, INDIRECT("MayR!$A$6:$ZZ$1048576"), MATCH(X$1, MayR!$6:$6, 0), FALSE),
            0
        ) +
        IFERROR(
            VLOOKUP($A103, INDIRECT("JunR!$A$6:$ZZ$1048576"), MATCH(X$1, JunR!$6:$6, 0), FALSE),
            0
        ) +
        IFERROR(
            VLOOKUP($A103, INDIRECT("JulR!$A$6:$ZZ$1048576"), MATCH(X$1, JulR!$6:$6, 0), FALSE),
            0
        ) +
        IFERROR(
            VLOOKUP($A103, INDIRECT("AgoR!$A$6:$ZZ$1048576"), MATCH(X$1, AgoR!$6:$6, 0), FALSE),
            0
        ) +
        IFERROR(
            VLOOKUP($A103, INDIRECT("SepR!$A$6:$ZZ$1048576"), MATCH(X$1, SepR!$6:$6, 0), FALSE),
            0
        ) +
        IFERROR(
            VLOOKUP($A103, INDIRECT("OctR!$A$6:$ZZ$1048576"), MATCH(X$1, OctR!$6:$6, 0), FALSE),
            0
        ) +
        IFERROR(
            VLOOKUP($A103, INDIRECT("NovR!$A$6:$ZZ$1048576"), MATCH(X$1, NovR!$6:$6, 0), FALSE),
            0
        ) +
        IFERROR(
            VLOOKUP($A103, INDIRECT("DicR!$A$6:$ZZ$1048576"), MATCH(X$1, DicR!$6:$6, 0), FALSE),
            0
        )
)</f>
        <v>0</v>
      </c>
      <c r="Y103" s="37">
        <f t="array" ref="Y103">SUM(
    IFERROR(
            VLOOKUP($A103, INDIRECT("EneR!$A$6:$ZZ$1048576"), MATCH(Y$1, EneR!$6:$6, 0), FALSE),
            0
        ) +
        IFERROR(
            VLOOKUP($A103, INDIRECT("FebR!$A$6:$ZZ$1048576"), MATCH(Y$1, FebR!$6:$6, 0), FALSE),
            0
        ) +
        IFERROR(
            VLOOKUP($A103, INDIRECT("MarR!$A$6:$ZZ$1048576"), MATCH(Y$1, MarR!$6:$6, 0), FALSE),
            0
        ) +
        IFERROR(
            VLOOKUP($A103, INDIRECT("AbrR!$A$6:$ZZ$1048576"), MATCH(Y$1, AbrR!$6:$6, 0), FALSE),
            0
        ) +
        IFERROR(
            VLOOKUP($A103, INDIRECT("MayR!$A$6:$ZZ$1048576"), MATCH(Y$1, MayR!$6:$6, 0), FALSE),
            0
        ) +
        IFERROR(
            VLOOKUP($A103, INDIRECT("JunR!$A$6:$ZZ$1048576"), MATCH(Y$1, JunR!$6:$6, 0), FALSE),
            0
        ) +
        IFERROR(
            VLOOKUP($A103, INDIRECT("JulR!$A$6:$ZZ$1048576"), MATCH(Y$1, JulR!$6:$6, 0), FALSE),
            0
        ) +
        IFERROR(
            VLOOKUP($A103, INDIRECT("AgoR!$A$6:$ZZ$1048576"), MATCH(Y$1, AgoR!$6:$6, 0), FALSE),
            0
        ) +
        IFERROR(
            VLOOKUP($A103, INDIRECT("SepR!$A$6:$ZZ$1048576"), MATCH(Y$1, SepR!$6:$6, 0), FALSE),
            0
        ) +
        IFERROR(
            VLOOKUP($A103, INDIRECT("OctR!$A$6:$ZZ$1048576"), MATCH(Y$1, OctR!$6:$6, 0), FALSE),
            0
        ) +
        IFERROR(
            VLOOKUP($A103, INDIRECT("NovR!$A$6:$ZZ$1048576"), MATCH(Y$1, NovR!$6:$6, 0), FALSE),
            0
        ) +
        IFERROR(
            VLOOKUP($A103, INDIRECT("DicR!$A$6:$ZZ$1048576"), MATCH(Y$1, DicR!$6:$6, 0), FALSE),
            0
        )
)</f>
        <v>0</v>
      </c>
      <c r="Z103" s="36">
        <f t="array" ref="Z103">SUM(
    IFERROR(
            VLOOKUP($A103, INDIRECT("EneR!$A$6:$ZZ$1048576"), MATCH(Z$1, EneR!$6:$6, 0), FALSE),
            0
        ) +
        IFERROR(
            VLOOKUP($A103, INDIRECT("FebR!$A$6:$ZZ$1048576"), MATCH(Z$1, FebR!$6:$6, 0), FALSE),
            0
        ) +
        IFERROR(
            VLOOKUP($A103, INDIRECT("MarR!$A$6:$ZZ$1048576"), MATCH(Z$1, MarR!$6:$6, 0), FALSE),
            0
        ) +
        IFERROR(
            VLOOKUP($A103, INDIRECT("AbrR!$A$6:$ZZ$1048576"), MATCH(Z$1, AbrR!$6:$6, 0), FALSE),
            0
        ) +
        IFERROR(
            VLOOKUP($A103, INDIRECT("MayR!$A$6:$ZZ$1048576"), MATCH(Z$1, MayR!$6:$6, 0), FALSE),
            0
        ) +
        IFERROR(
            VLOOKUP($A103, INDIRECT("JunR!$A$6:$ZZ$1048576"), MATCH(Z$1, JunR!$6:$6, 0), FALSE),
            0
        ) +
        IFERROR(
            VLOOKUP($A103, INDIRECT("JulR!$A$6:$ZZ$1048576"), MATCH(Z$1, JulR!$6:$6, 0), FALSE),
            0
        ) +
        IFERROR(
            VLOOKUP($A103, INDIRECT("AgoR!$A$6:$ZZ$1048576"), MATCH(Z$1, AgoR!$6:$6, 0), FALSE),
            0
        ) +
        IFERROR(
            VLOOKUP($A103, INDIRECT("SepR!$A$6:$ZZ$1048576"), MATCH(Z$1, SepR!$6:$6, 0), FALSE),
            0
        ) +
        IFERROR(
            VLOOKUP($A103, INDIRECT("OctR!$A$6:$ZZ$1048576"), MATCH(Z$1, OctR!$6:$6, 0), FALSE),
            0
        ) +
        IFERROR(
            VLOOKUP($A103, INDIRECT("NovR!$A$6:$ZZ$1048576"), MATCH(Z$1, NovR!$6:$6, 0), FALSE),
            0
        ) +
        IFERROR(
            VLOOKUP($A103, INDIRECT("DicR!$A$6:$ZZ$1048576"), MATCH(Z$1, DicR!$6:$6, 0), FALSE),
            0
        )
)</f>
        <v>0</v>
      </c>
      <c r="AA103" s="37">
        <f t="array" ref="AA103">SUM(
    IFERROR(
            VLOOKUP($A103, INDIRECT("EneR!$A$6:$ZZ$1048576"), MATCH(AA$1, EneR!$6:$6, 0), FALSE),
            0
        ) +
        IFERROR(
            VLOOKUP($A103, INDIRECT("FebR!$A$6:$ZZ$1048576"), MATCH(AA$1, FebR!$6:$6, 0), FALSE),
            0
        ) +
        IFERROR(
            VLOOKUP($A103, INDIRECT("MarR!$A$6:$ZZ$1048576"), MATCH(AA$1, MarR!$6:$6, 0), FALSE),
            0
        ) +
        IFERROR(
            VLOOKUP($A103, INDIRECT("AbrR!$A$6:$ZZ$1048576"), MATCH(AA$1, AbrR!$6:$6, 0), FALSE),
            0
        ) +
        IFERROR(
            VLOOKUP($A103, INDIRECT("MayR!$A$6:$ZZ$1048576"), MATCH(AA$1, MayR!$6:$6, 0), FALSE),
            0
        ) +
        IFERROR(
            VLOOKUP($A103, INDIRECT("JunR!$A$6:$ZZ$1048576"), MATCH(AA$1, JunR!$6:$6, 0), FALSE),
            0
        ) +
        IFERROR(
            VLOOKUP($A103, INDIRECT("JulR!$A$6:$ZZ$1048576"), MATCH(AA$1, JulR!$6:$6, 0), FALSE),
            0
        ) +
        IFERROR(
            VLOOKUP($A103, INDIRECT("AgoR!$A$6:$ZZ$1048576"), MATCH(AA$1, AgoR!$6:$6, 0), FALSE),
            0
        ) +
        IFERROR(
            VLOOKUP($A103, INDIRECT("SepR!$A$6:$ZZ$1048576"), MATCH(AA$1, SepR!$6:$6, 0), FALSE),
            0
        ) +
        IFERROR(
            VLOOKUP($A103, INDIRECT("OctR!$A$6:$ZZ$1048576"), MATCH(AA$1, OctR!$6:$6, 0), FALSE),
            0
        ) +
        IFERROR(
            VLOOKUP($A103, INDIRECT("NovR!$A$6:$ZZ$1048576"), MATCH(AA$1, NovR!$6:$6, 0), FALSE),
            0
        ) +
        IFERROR(
            VLOOKUP($A103, INDIRECT("DicR!$A$6:$ZZ$1048576"), MATCH(AA$1, DicR!$6:$6, 0), FALSE),
            0
        )
)</f>
        <v>0</v>
      </c>
      <c r="AB103" s="36">
        <f t="array" ref="AB103">SUM(
    IFERROR(
            VLOOKUP($A103, INDIRECT("EneR!$A$6:$ZZ$1048576"), MATCH(AB$1, EneR!$6:$6, 0), FALSE),
            0
        ) +
        IFERROR(
            VLOOKUP($A103, INDIRECT("FebR!$A$6:$ZZ$1048576"), MATCH(AB$1, FebR!$6:$6, 0), FALSE),
            0
        ) +
        IFERROR(
            VLOOKUP($A103, INDIRECT("MarR!$A$6:$ZZ$1048576"), MATCH(AB$1, MarR!$6:$6, 0), FALSE),
            0
        ) +
        IFERROR(
            VLOOKUP($A103, INDIRECT("AbrR!$A$6:$ZZ$1048576"), MATCH(AB$1, AbrR!$6:$6, 0), FALSE),
            0
        ) +
        IFERROR(
            VLOOKUP($A103, INDIRECT("MayR!$A$6:$ZZ$1048576"), MATCH(AB$1, MayR!$6:$6, 0), FALSE),
            0
        ) +
        IFERROR(
            VLOOKUP($A103, INDIRECT("JunR!$A$6:$ZZ$1048576"), MATCH(AB$1, JunR!$6:$6, 0), FALSE),
            0
        ) +
        IFERROR(
            VLOOKUP($A103, INDIRECT("JulR!$A$6:$ZZ$1048576"), MATCH(AB$1, JulR!$6:$6, 0), FALSE),
            0
        ) +
        IFERROR(
            VLOOKUP($A103, INDIRECT("AgoR!$A$6:$ZZ$1048576"), MATCH(AB$1, AgoR!$6:$6, 0), FALSE),
            0
        ) +
        IFERROR(
            VLOOKUP($A103, INDIRECT("SepR!$A$6:$ZZ$1048576"), MATCH(AB$1, SepR!$6:$6, 0), FALSE),
            0
        ) +
        IFERROR(
            VLOOKUP($A103, INDIRECT("OctR!$A$6:$ZZ$1048576"), MATCH(AB$1, OctR!$6:$6, 0), FALSE),
            0
        ) +
        IFERROR(
            VLOOKUP($A103, INDIRECT("NovR!$A$6:$ZZ$1048576"), MATCH(AB$1, NovR!$6:$6, 0), FALSE),
            0
        ) +
        IFERROR(
            VLOOKUP($A103, INDIRECT("DicR!$A$6:$ZZ$1048576"), MATCH(AB$1, DicR!$6:$6, 0), FALSE),
            0
        )
)</f>
        <v>0</v>
      </c>
      <c r="AC103" s="37">
        <f t="array" ref="AC103">SUM(
    IFERROR(
            VLOOKUP($A103, INDIRECT("EneR!$A$6:$ZZ$1048576"), MATCH(AC$1, EneR!$6:$6, 0), FALSE),
            0
        ) +
        IFERROR(
            VLOOKUP($A103, INDIRECT("FebR!$A$6:$ZZ$1048576"), MATCH(AC$1, FebR!$6:$6, 0), FALSE),
            0
        ) +
        IFERROR(
            VLOOKUP($A103, INDIRECT("MarR!$A$6:$ZZ$1048576"), MATCH(AC$1, MarR!$6:$6, 0), FALSE),
            0
        ) +
        IFERROR(
            VLOOKUP($A103, INDIRECT("AbrR!$A$6:$ZZ$1048576"), MATCH(AC$1, AbrR!$6:$6, 0), FALSE),
            0
        ) +
        IFERROR(
            VLOOKUP($A103, INDIRECT("MayR!$A$6:$ZZ$1048576"), MATCH(AC$1, MayR!$6:$6, 0), FALSE),
            0
        ) +
        IFERROR(
            VLOOKUP($A103, INDIRECT("JunR!$A$6:$ZZ$1048576"), MATCH(AC$1, JunR!$6:$6, 0), FALSE),
            0
        ) +
        IFERROR(
            VLOOKUP($A103, INDIRECT("JulR!$A$6:$ZZ$1048576"), MATCH(AC$1, JulR!$6:$6, 0), FALSE),
            0
        ) +
        IFERROR(
            VLOOKUP($A103, INDIRECT("AgoR!$A$6:$ZZ$1048576"), MATCH(AC$1, AgoR!$6:$6, 0), FALSE),
            0
        ) +
        IFERROR(
            VLOOKUP($A103, INDIRECT("SepR!$A$6:$ZZ$1048576"), MATCH(AC$1, SepR!$6:$6, 0), FALSE),
            0
        ) +
        IFERROR(
            VLOOKUP($A103, INDIRECT("OctR!$A$6:$ZZ$1048576"), MATCH(AC$1, OctR!$6:$6, 0), FALSE),
            0
        ) +
        IFERROR(
            VLOOKUP($A103, INDIRECT("NovR!$A$6:$ZZ$1048576"), MATCH(AC$1, NovR!$6:$6, 0), FALSE),
            0
        ) +
        IFERROR(
            VLOOKUP($A103, INDIRECT("DicR!$A$6:$ZZ$1048576"), MATCH(AC$1, DicR!$6:$6, 0), FALSE),
            0
        )
)</f>
        <v>0</v>
      </c>
      <c r="AD103" s="36">
        <f t="array" ref="AD103">SUM(
    IFERROR(
            VLOOKUP($A103, INDIRECT("EneR!$A$6:$ZZ$1048576"), MATCH(AD$1, EneR!$6:$6, 0), FALSE),
            0
        ) +
        IFERROR(
            VLOOKUP($A103, INDIRECT("FebR!$A$6:$ZZ$1048576"), MATCH(AD$1, FebR!$6:$6, 0), FALSE),
            0
        ) +
        IFERROR(
            VLOOKUP($A103, INDIRECT("MarR!$A$6:$ZZ$1048576"), MATCH(AD$1, MarR!$6:$6, 0), FALSE),
            0
        ) +
        IFERROR(
            VLOOKUP($A103, INDIRECT("AbrR!$A$6:$ZZ$1048576"), MATCH(AD$1, AbrR!$6:$6, 0), FALSE),
            0
        ) +
        IFERROR(
            VLOOKUP($A103, INDIRECT("MayR!$A$6:$ZZ$1048576"), MATCH(AD$1, MayR!$6:$6, 0), FALSE),
            0
        ) +
        IFERROR(
            VLOOKUP($A103, INDIRECT("JunR!$A$6:$ZZ$1048576"), MATCH(AD$1, JunR!$6:$6, 0), FALSE),
            0
        ) +
        IFERROR(
            VLOOKUP($A103, INDIRECT("JulR!$A$6:$ZZ$1048576"), MATCH(AD$1, JulR!$6:$6, 0), FALSE),
            0
        ) +
        IFERROR(
            VLOOKUP($A103, INDIRECT("AgoR!$A$6:$ZZ$1048576"), MATCH(AD$1, AgoR!$6:$6, 0), FALSE),
            0
        ) +
        IFERROR(
            VLOOKUP($A103, INDIRECT("SepR!$A$6:$ZZ$1048576"), MATCH(AD$1, SepR!$6:$6, 0), FALSE),
            0
        ) +
        IFERROR(
            VLOOKUP($A103, INDIRECT("OctR!$A$6:$ZZ$1048576"), MATCH(AD$1, OctR!$6:$6, 0), FALSE),
            0
        ) +
        IFERROR(
            VLOOKUP($A103, INDIRECT("NovR!$A$6:$ZZ$1048576"), MATCH(AD$1, NovR!$6:$6, 0), FALSE),
            0
        ) +
        IFERROR(
            VLOOKUP($A103, INDIRECT("DicR!$A$6:$ZZ$1048576"), MATCH(AD$1, DicR!$6:$6, 0), FALSE),
            0
        )
)</f>
        <v>0</v>
      </c>
      <c r="AE103" s="37">
        <f t="array" ref="AE103">SUM(
    IFERROR(
            VLOOKUP($A103, INDIRECT("EneR!$A$6:$ZZ$1048576"), MATCH(AE$1, EneR!$6:$6, 0), FALSE),
            0
        ) +
        IFERROR(
            VLOOKUP($A103, INDIRECT("FebR!$A$6:$ZZ$1048576"), MATCH(AE$1, FebR!$6:$6, 0), FALSE),
            0
        ) +
        IFERROR(
            VLOOKUP($A103, INDIRECT("MarR!$A$6:$ZZ$1048576"), MATCH(AE$1, MarR!$6:$6, 0), FALSE),
            0
        ) +
        IFERROR(
            VLOOKUP($A103, INDIRECT("AbrR!$A$6:$ZZ$1048576"), MATCH(AE$1, AbrR!$6:$6, 0), FALSE),
            0
        ) +
        IFERROR(
            VLOOKUP($A103, INDIRECT("MayR!$A$6:$ZZ$1048576"), MATCH(AE$1, MayR!$6:$6, 0), FALSE),
            0
        ) +
        IFERROR(
            VLOOKUP($A103, INDIRECT("JunR!$A$6:$ZZ$1048576"), MATCH(AE$1, JunR!$6:$6, 0), FALSE),
            0
        ) +
        IFERROR(
            VLOOKUP($A103, INDIRECT("JulR!$A$6:$ZZ$1048576"), MATCH(AE$1, JulR!$6:$6, 0), FALSE),
            0
        ) +
        IFERROR(
            VLOOKUP($A103, INDIRECT("AgoR!$A$6:$ZZ$1048576"), MATCH(AE$1, AgoR!$6:$6, 0), FALSE),
            0
        ) +
        IFERROR(
            VLOOKUP($A103, INDIRECT("SepR!$A$6:$ZZ$1048576"), MATCH(AE$1, SepR!$6:$6, 0), FALSE),
            0
        ) +
        IFERROR(
            VLOOKUP($A103, INDIRECT("OctR!$A$6:$ZZ$1048576"), MATCH(AE$1, OctR!$6:$6, 0), FALSE),
            0
        ) +
        IFERROR(
            VLOOKUP($A103, INDIRECT("NovR!$A$6:$ZZ$1048576"), MATCH(AE$1, NovR!$6:$6, 0), FALSE),
            0
        ) +
        IFERROR(
            VLOOKUP($A103, INDIRECT("DicR!$A$6:$ZZ$1048576"), MATCH(AE$1, DicR!$6:$6, 0), FALSE),
            0
        )
)</f>
        <v>0</v>
      </c>
      <c r="AF103" s="36">
        <f t="array" ref="AF103">SUM(
    IFERROR(
            VLOOKUP($A103, INDIRECT("EneR!$A$6:$ZZ$1048576"), MATCH(AF$1, EneR!$6:$6, 0), FALSE),
            0
        ) +
        IFERROR(
            VLOOKUP($A103, INDIRECT("FebR!$A$6:$ZZ$1048576"), MATCH(AF$1, FebR!$6:$6, 0), FALSE),
            0
        ) +
        IFERROR(
            VLOOKUP($A103, INDIRECT("MarR!$A$6:$ZZ$1048576"), MATCH(AF$1, MarR!$6:$6, 0), FALSE),
            0
        ) +
        IFERROR(
            VLOOKUP($A103, INDIRECT("AbrR!$A$6:$ZZ$1048576"), MATCH(AF$1, AbrR!$6:$6, 0), FALSE),
            0
        ) +
        IFERROR(
            VLOOKUP($A103, INDIRECT("MayR!$A$6:$ZZ$1048576"), MATCH(AF$1, MayR!$6:$6, 0), FALSE),
            0
        ) +
        IFERROR(
            VLOOKUP($A103, INDIRECT("JunR!$A$6:$ZZ$1048576"), MATCH(AF$1, JunR!$6:$6, 0), FALSE),
            0
        ) +
        IFERROR(
            VLOOKUP($A103, INDIRECT("JulR!$A$6:$ZZ$1048576"), MATCH(AF$1, JulR!$6:$6, 0), FALSE),
            0
        ) +
        IFERROR(
            VLOOKUP($A103, INDIRECT("AgoR!$A$6:$ZZ$1048576"), MATCH(AF$1, AgoR!$6:$6, 0), FALSE),
            0
        ) +
        IFERROR(
            VLOOKUP($A103, INDIRECT("SepR!$A$6:$ZZ$1048576"), MATCH(AF$1, SepR!$6:$6, 0), FALSE),
            0
        ) +
        IFERROR(
            VLOOKUP($A103, INDIRECT("OctR!$A$6:$ZZ$1048576"), MATCH(AF$1, OctR!$6:$6, 0), FALSE),
            0
        ) +
        IFERROR(
            VLOOKUP($A103, INDIRECT("NovR!$A$6:$ZZ$1048576"), MATCH(AF$1, NovR!$6:$6, 0), FALSE),
            0
        ) +
        IFERROR(
            VLOOKUP($A103, INDIRECT("DicR!$A$6:$ZZ$1048576"), MATCH(AF$1, DicR!$6:$6, 0), FALSE),
            0
        )
)</f>
        <v>0</v>
      </c>
      <c r="AG103" s="37">
        <f t="array" ref="AG103">SUM(
    IFERROR(
            VLOOKUP($A103, INDIRECT("EneR!$A$6:$ZZ$1048576"), MATCH(AG$1, EneR!$6:$6, 0), FALSE),
            0
        ) +
        IFERROR(
            VLOOKUP($A103, INDIRECT("FebR!$A$6:$ZZ$1048576"), MATCH(AG$1, FebR!$6:$6, 0), FALSE),
            0
        ) +
        IFERROR(
            VLOOKUP($A103, INDIRECT("MarR!$A$6:$ZZ$1048576"), MATCH(AG$1, MarR!$6:$6, 0), FALSE),
            0
        ) +
        IFERROR(
            VLOOKUP($A103, INDIRECT("AbrR!$A$6:$ZZ$1048576"), MATCH(AG$1, AbrR!$6:$6, 0), FALSE),
            0
        ) +
        IFERROR(
            VLOOKUP($A103, INDIRECT("MayR!$A$6:$ZZ$1048576"), MATCH(AG$1, MayR!$6:$6, 0), FALSE),
            0
        ) +
        IFERROR(
            VLOOKUP($A103, INDIRECT("JunR!$A$6:$ZZ$1048576"), MATCH(AG$1, JunR!$6:$6, 0), FALSE),
            0
        ) +
        IFERROR(
            VLOOKUP($A103, INDIRECT("JulR!$A$6:$ZZ$1048576"), MATCH(AG$1, JulR!$6:$6, 0), FALSE),
            0
        ) +
        IFERROR(
            VLOOKUP($A103, INDIRECT("AgoR!$A$6:$ZZ$1048576"), MATCH(AG$1, AgoR!$6:$6, 0), FALSE),
            0
        ) +
        IFERROR(
            VLOOKUP($A103, INDIRECT("SepR!$A$6:$ZZ$1048576"), MATCH(AG$1, SepR!$6:$6, 0), FALSE),
            0
        ) +
        IFERROR(
            VLOOKUP($A103, INDIRECT("OctR!$A$6:$ZZ$1048576"), MATCH(AG$1, OctR!$6:$6, 0), FALSE),
            0
        ) +
        IFERROR(
            VLOOKUP($A103, INDIRECT("NovR!$A$6:$ZZ$1048576"), MATCH(AG$1, NovR!$6:$6, 0), FALSE),
            0
        ) +
        IFERROR(
            VLOOKUP($A103, INDIRECT("DicR!$A$6:$ZZ$1048576"), MATCH(AG$1, DicR!$6:$6, 0), FALSE),
            0
        )
)</f>
        <v>0</v>
      </c>
      <c r="AH103" s="36">
        <f t="array" ref="AH103">SUM(
    IFERROR(
            VLOOKUP($A103, INDIRECT("EneR!$A$6:$ZZ$1048576"), MATCH(AH$1, EneR!$6:$6, 0), FALSE),
            0
        ) +
        IFERROR(
            VLOOKUP($A103, INDIRECT("FebR!$A$6:$ZZ$1048576"), MATCH(AH$1, FebR!$6:$6, 0), FALSE),
            0
        ) +
        IFERROR(
            VLOOKUP($A103, INDIRECT("MarR!$A$6:$ZZ$1048576"), MATCH(AH$1, MarR!$6:$6, 0), FALSE),
            0
        ) +
        IFERROR(
            VLOOKUP($A103, INDIRECT("AbrR!$A$6:$ZZ$1048576"), MATCH(AH$1, AbrR!$6:$6, 0), FALSE),
            0
        ) +
        IFERROR(
            VLOOKUP($A103, INDIRECT("MayR!$A$6:$ZZ$1048576"), MATCH(AH$1, MayR!$6:$6, 0), FALSE),
            0
        ) +
        IFERROR(
            VLOOKUP($A103, INDIRECT("JunR!$A$6:$ZZ$1048576"), MATCH(AH$1, JunR!$6:$6, 0), FALSE),
            0
        ) +
        IFERROR(
            VLOOKUP($A103, INDIRECT("JulR!$A$6:$ZZ$1048576"), MATCH(AH$1, JulR!$6:$6, 0), FALSE),
            0
        ) +
        IFERROR(
            VLOOKUP($A103, INDIRECT("AgoR!$A$6:$ZZ$1048576"), MATCH(AH$1, AgoR!$6:$6, 0), FALSE),
            0
        ) +
        IFERROR(
            VLOOKUP($A103, INDIRECT("SepR!$A$6:$ZZ$1048576"), MATCH(AH$1, SepR!$6:$6, 0), FALSE),
            0
        ) +
        IFERROR(
            VLOOKUP($A103, INDIRECT("OctR!$A$6:$ZZ$1048576"), MATCH(AH$1, OctR!$6:$6, 0), FALSE),
            0
        ) +
        IFERROR(
            VLOOKUP($A103, INDIRECT("NovR!$A$6:$ZZ$1048576"), MATCH(AH$1, NovR!$6:$6, 0), FALSE),
            0
        ) +
        IFERROR(
            VLOOKUP($A103, INDIRECT("DicR!$A$6:$ZZ$1048576"), MATCH(AH$1, DicR!$6:$6, 0), FALSE),
            0
        )
)</f>
        <v>0</v>
      </c>
      <c r="AI103" s="37">
        <f t="array" ref="AI103">SUM(
    IFERROR(
            VLOOKUP($A103, INDIRECT("EneR!$A$6:$ZZ$1048576"), MATCH(AI$1, EneR!$6:$6, 0), FALSE),
            0
        ) +
        IFERROR(
            VLOOKUP($A103, INDIRECT("FebR!$A$6:$ZZ$1048576"), MATCH(AI$1, FebR!$6:$6, 0), FALSE),
            0
        ) +
        IFERROR(
            VLOOKUP($A103, INDIRECT("MarR!$A$6:$ZZ$1048576"), MATCH(AI$1, MarR!$6:$6, 0), FALSE),
            0
        ) +
        IFERROR(
            VLOOKUP($A103, INDIRECT("AbrR!$A$6:$ZZ$1048576"), MATCH(AI$1, AbrR!$6:$6, 0), FALSE),
            0
        ) +
        IFERROR(
            VLOOKUP($A103, INDIRECT("MayR!$A$6:$ZZ$1048576"), MATCH(AI$1, MayR!$6:$6, 0), FALSE),
            0
        ) +
        IFERROR(
            VLOOKUP($A103, INDIRECT("JunR!$A$6:$ZZ$1048576"), MATCH(AI$1, JunR!$6:$6, 0), FALSE),
            0
        ) +
        IFERROR(
            VLOOKUP($A103, INDIRECT("JulR!$A$6:$ZZ$1048576"), MATCH(AI$1, JulR!$6:$6, 0), FALSE),
            0
        ) +
        IFERROR(
            VLOOKUP($A103, INDIRECT("AgoR!$A$6:$ZZ$1048576"), MATCH(AI$1, AgoR!$6:$6, 0), FALSE),
            0
        ) +
        IFERROR(
            VLOOKUP($A103, INDIRECT("SepR!$A$6:$ZZ$1048576"), MATCH(AI$1, SepR!$6:$6, 0), FALSE),
            0
        ) +
        IFERROR(
            VLOOKUP($A103, INDIRECT("OctR!$A$6:$ZZ$1048576"), MATCH(AI$1, OctR!$6:$6, 0), FALSE),
            0
        ) +
        IFERROR(
            VLOOKUP($A103, INDIRECT("NovR!$A$6:$ZZ$1048576"), MATCH(AI$1, NovR!$6:$6, 0), FALSE),
            0
        ) +
        IFERROR(
            VLOOKUP($A103, INDIRECT("DicR!$A$6:$ZZ$1048576"), MATCH(AI$1, DicR!$6:$6, 0), FALSE),
            0
        )
)</f>
        <v>0</v>
      </c>
      <c r="AJ103" s="36">
        <f t="array" ref="AJ103">SUM(
    IFERROR(
            VLOOKUP($A103, INDIRECT("EneR!$A$6:$ZZ$1048576"), MATCH(AJ$1, EneR!$6:$6, 0), FALSE),
            0
        ) +
        IFERROR(
            VLOOKUP($A103, INDIRECT("FebR!$A$6:$ZZ$1048576"), MATCH(AJ$1, FebR!$6:$6, 0), FALSE),
            0
        ) +
        IFERROR(
            VLOOKUP($A103, INDIRECT("MarR!$A$6:$ZZ$1048576"), MATCH(AJ$1, MarR!$6:$6, 0), FALSE),
            0
        ) +
        IFERROR(
            VLOOKUP($A103, INDIRECT("AbrR!$A$6:$ZZ$1048576"), MATCH(AJ$1, AbrR!$6:$6, 0), FALSE),
            0
        ) +
        IFERROR(
            VLOOKUP($A103, INDIRECT("MayR!$A$6:$ZZ$1048576"), MATCH(AJ$1, MayR!$6:$6, 0), FALSE),
            0
        ) +
        IFERROR(
            VLOOKUP($A103, INDIRECT("JunR!$A$6:$ZZ$1048576"), MATCH(AJ$1, JunR!$6:$6, 0), FALSE),
            0
        ) +
        IFERROR(
            VLOOKUP($A103, INDIRECT("JulR!$A$6:$ZZ$1048576"), MATCH(AJ$1, JulR!$6:$6, 0), FALSE),
            0
        ) +
        IFERROR(
            VLOOKUP($A103, INDIRECT("AgoR!$A$6:$ZZ$1048576"), MATCH(AJ$1, AgoR!$6:$6, 0), FALSE),
            0
        ) +
        IFERROR(
            VLOOKUP($A103, INDIRECT("SepR!$A$6:$ZZ$1048576"), MATCH(AJ$1, SepR!$6:$6, 0), FALSE),
            0
        ) +
        IFERROR(
            VLOOKUP($A103, INDIRECT("OctR!$A$6:$ZZ$1048576"), MATCH(AJ$1, OctR!$6:$6, 0), FALSE),
            0
        ) +
        IFERROR(
            VLOOKUP($A103, INDIRECT("NovR!$A$6:$ZZ$1048576"), MATCH(AJ$1, NovR!$6:$6, 0), FALSE),
            0
        ) +
        IFERROR(
            VLOOKUP($A103, INDIRECT("DicR!$A$6:$ZZ$1048576"), MATCH(AJ$1, DicR!$6:$6, 0), FALSE),
            0
        )
)</f>
        <v>0</v>
      </c>
      <c r="AK103" s="37">
        <f t="array" ref="AK103">SUM(
    IFERROR(
            VLOOKUP($A103, INDIRECT("EneR!$A$6:$ZZ$1048576"), MATCH(AK$1, EneR!$6:$6, 0), FALSE),
            0
        ) +
        IFERROR(
            VLOOKUP($A103, INDIRECT("FebR!$A$6:$ZZ$1048576"), MATCH(AK$1, FebR!$6:$6, 0), FALSE),
            0
        ) +
        IFERROR(
            VLOOKUP($A103, INDIRECT("MarR!$A$6:$ZZ$1048576"), MATCH(AK$1, MarR!$6:$6, 0), FALSE),
            0
        ) +
        IFERROR(
            VLOOKUP($A103, INDIRECT("AbrR!$A$6:$ZZ$1048576"), MATCH(AK$1, AbrR!$6:$6, 0), FALSE),
            0
        ) +
        IFERROR(
            VLOOKUP($A103, INDIRECT("MayR!$A$6:$ZZ$1048576"), MATCH(AK$1, MayR!$6:$6, 0), FALSE),
            0
        ) +
        IFERROR(
            VLOOKUP($A103, INDIRECT("JunR!$A$6:$ZZ$1048576"), MATCH(AK$1, JunR!$6:$6, 0), FALSE),
            0
        ) +
        IFERROR(
            VLOOKUP($A103, INDIRECT("JulR!$A$6:$ZZ$1048576"), MATCH(AK$1, JulR!$6:$6, 0), FALSE),
            0
        ) +
        IFERROR(
            VLOOKUP($A103, INDIRECT("AgoR!$A$6:$ZZ$1048576"), MATCH(AK$1, AgoR!$6:$6, 0), FALSE),
            0
        ) +
        IFERROR(
            VLOOKUP($A103, INDIRECT("SepR!$A$6:$ZZ$1048576"), MATCH(AK$1, SepR!$6:$6, 0), FALSE),
            0
        ) +
        IFERROR(
            VLOOKUP($A103, INDIRECT("OctR!$A$6:$ZZ$1048576"), MATCH(AK$1, OctR!$6:$6, 0), FALSE),
            0
        ) +
        IFERROR(
            VLOOKUP($A103, INDIRECT("NovR!$A$6:$ZZ$1048576"), MATCH(AK$1, NovR!$6:$6, 0), FALSE),
            0
        ) +
        IFERROR(
            VLOOKUP($A103, INDIRECT("DicR!$A$6:$ZZ$1048576"), MATCH(AK$1, DicR!$6:$6, 0), FALSE),
            0
        )
)</f>
        <v>0</v>
      </c>
      <c r="AL103" s="36">
        <f t="array" ref="AL103">SUM(
    IFERROR(
            VLOOKUP($A103, INDIRECT("EneR!$A$6:$ZZ$1048576"), MATCH(AL$1, EneR!$6:$6, 0), FALSE),
            0
        ) +
        IFERROR(
            VLOOKUP($A103, INDIRECT("FebR!$A$6:$ZZ$1048576"), MATCH(AL$1, FebR!$6:$6, 0), FALSE),
            0
        ) +
        IFERROR(
            VLOOKUP($A103, INDIRECT("MarR!$A$6:$ZZ$1048576"), MATCH(AL$1, MarR!$6:$6, 0), FALSE),
            0
        ) +
        IFERROR(
            VLOOKUP($A103, INDIRECT("AbrR!$A$6:$ZZ$1048576"), MATCH(AL$1, AbrR!$6:$6, 0), FALSE),
            0
        ) +
        IFERROR(
            VLOOKUP($A103, INDIRECT("MayR!$A$6:$ZZ$1048576"), MATCH(AL$1, MayR!$6:$6, 0), FALSE),
            0
        ) +
        IFERROR(
            VLOOKUP($A103, INDIRECT("JunR!$A$6:$ZZ$1048576"), MATCH(AL$1, JunR!$6:$6, 0), FALSE),
            0
        ) +
        IFERROR(
            VLOOKUP($A103, INDIRECT("JulR!$A$6:$ZZ$1048576"), MATCH(AL$1, JulR!$6:$6, 0), FALSE),
            0
        ) +
        IFERROR(
            VLOOKUP($A103, INDIRECT("AgoR!$A$6:$ZZ$1048576"), MATCH(AL$1, AgoR!$6:$6, 0), FALSE),
            0
        ) +
        IFERROR(
            VLOOKUP($A103, INDIRECT("SepR!$A$6:$ZZ$1048576"), MATCH(AL$1, SepR!$6:$6, 0), FALSE),
            0
        ) +
        IFERROR(
            VLOOKUP($A103, INDIRECT("OctR!$A$6:$ZZ$1048576"), MATCH(AL$1, OctR!$6:$6, 0), FALSE),
            0
        ) +
        IFERROR(
            VLOOKUP($A103, INDIRECT("NovR!$A$6:$ZZ$1048576"), MATCH(AL$1, NovR!$6:$6, 0), FALSE),
            0
        ) +
        IFERROR(
            VLOOKUP($A103, INDIRECT("DicR!$A$6:$ZZ$1048576"), MATCH(AL$1, DicR!$6:$6, 0), FALSE),
            0
        )
)</f>
        <v>0</v>
      </c>
      <c r="AM103" s="37">
        <f t="array" ref="AM103">SUM(
    IFERROR(
            VLOOKUP($A103, INDIRECT("EneR!$A$6:$ZZ$1048576"), MATCH(AM$1, EneR!$6:$6, 0), FALSE),
            0
        ) +
        IFERROR(
            VLOOKUP($A103, INDIRECT("FebR!$A$6:$ZZ$1048576"), MATCH(AM$1, FebR!$6:$6, 0), FALSE),
            0
        ) +
        IFERROR(
            VLOOKUP($A103, INDIRECT("MarR!$A$6:$ZZ$1048576"), MATCH(AM$1, MarR!$6:$6, 0), FALSE),
            0
        ) +
        IFERROR(
            VLOOKUP($A103, INDIRECT("AbrR!$A$6:$ZZ$1048576"), MATCH(AM$1, AbrR!$6:$6, 0), FALSE),
            0
        ) +
        IFERROR(
            VLOOKUP($A103, INDIRECT("MayR!$A$6:$ZZ$1048576"), MATCH(AM$1, MayR!$6:$6, 0), FALSE),
            0
        ) +
        IFERROR(
            VLOOKUP($A103, INDIRECT("JunR!$A$6:$ZZ$1048576"), MATCH(AM$1, JunR!$6:$6, 0), FALSE),
            0
        ) +
        IFERROR(
            VLOOKUP($A103, INDIRECT("JulR!$A$6:$ZZ$1048576"), MATCH(AM$1, JulR!$6:$6, 0), FALSE),
            0
        ) +
        IFERROR(
            VLOOKUP($A103, INDIRECT("AgoR!$A$6:$ZZ$1048576"), MATCH(AM$1, AgoR!$6:$6, 0), FALSE),
            0
        ) +
        IFERROR(
            VLOOKUP($A103, INDIRECT("SepR!$A$6:$ZZ$1048576"), MATCH(AM$1, SepR!$6:$6, 0), FALSE),
            0
        ) +
        IFERROR(
            VLOOKUP($A103, INDIRECT("OctR!$A$6:$ZZ$1048576"), MATCH(AM$1, OctR!$6:$6, 0), FALSE),
            0
        ) +
        IFERROR(
            VLOOKUP($A103, INDIRECT("NovR!$A$6:$ZZ$1048576"), MATCH(AM$1, NovR!$6:$6, 0), FALSE),
            0
        ) +
        IFERROR(
            VLOOKUP($A103, INDIRECT("DicR!$A$6:$ZZ$1048576"), MATCH(AM$1, DicR!$6:$6, 0), FALSE),
            0
        )
)</f>
        <v>0</v>
      </c>
      <c r="AN103" s="32">
        <f t="array" ref="AN103">SUM(
    IFERROR(
            VLOOKUP($A103, INDIRECT("EneR!$A$6:$ZZ$1048576"), MATCH(AN$1, EneR!$6:$6, 0), FALSE),
            0
        ) +
        IFERROR(
            VLOOKUP($A103, INDIRECT("FebR!$A$6:$ZZ$1048576"), MATCH(AN$1, FebR!$6:$6, 0), FALSE),
            0
        ) +
        IFERROR(
            VLOOKUP($A103, INDIRECT("MarR!$A$6:$ZZ$1048576"), MATCH(AN$1, MarR!$6:$6, 0), FALSE),
            0
        ) +
        IFERROR(
            VLOOKUP($A103, INDIRECT("AbrR!$A$6:$ZZ$1048576"), MATCH(AN$1, AbrR!$6:$6, 0), FALSE),
            0
        ) +
        IFERROR(
            VLOOKUP($A103, INDIRECT("MayR!$A$6:$ZZ$1048576"), MATCH(AN$1, MayR!$6:$6, 0), FALSE),
            0
        ) +
        IFERROR(
            VLOOKUP($A103, INDIRECT("JunR!$A$6:$ZZ$1048576"), MATCH(AN$1, JunR!$6:$6, 0), FALSE),
            0
        ) +
        IFERROR(
            VLOOKUP($A103, INDIRECT("JulR!$A$6:$ZZ$1048576"), MATCH(AN$1, JulR!$6:$6, 0), FALSE),
            0
        ) +
        IFERROR(
            VLOOKUP($A103, INDIRECT("AgoR!$A$6:$ZZ$1048576"), MATCH(AN$1, AgoR!$6:$6, 0), FALSE),
            0
        ) +
        IFERROR(
            VLOOKUP($A103, INDIRECT("SepR!$A$6:$ZZ$1048576"), MATCH(AN$1, SepR!$6:$6, 0), FALSE),
            0
        ) +
        IFERROR(
            VLOOKUP($A103, INDIRECT("OctR!$A$6:$ZZ$1048576"), MATCH(AN$1, OctR!$6:$6, 0), FALSE),
            0
        ) +
        IFERROR(
            VLOOKUP($A103, INDIRECT("NovR!$A$6:$ZZ$1048576"), MATCH(AN$1, NovR!$6:$6, 0), FALSE),
            0
        ) +
        IFERROR(
            VLOOKUP($A103, INDIRECT("DicR!$A$6:$ZZ$1048576"), MATCH(AN$1, DicR!$6:$6, 0), FALSE),
            0
        )
)</f>
        <v>0</v>
      </c>
      <c r="AO103" s="35">
        <f t="array" ref="AO103">SUM(
    IFERROR(
            VLOOKUP($A103, INDIRECT("EneR!$A$6:$ZZ$1048576"), MATCH(AO$1, EneR!$6:$6, 0), FALSE),
            0
        ) +
        IFERROR(
            VLOOKUP($A103, INDIRECT("FebR!$A$6:$ZZ$1048576"), MATCH(AO$1, FebR!$6:$6, 0), FALSE),
            0
        ) +
        IFERROR(
            VLOOKUP($A103, INDIRECT("MarR!$A$6:$ZZ$1048576"), MATCH(AO$1, MarR!$6:$6, 0), FALSE),
            0
        ) +
        IFERROR(
            VLOOKUP($A103, INDIRECT("AbrR!$A$6:$ZZ$1048576"), MATCH(AO$1, AbrR!$6:$6, 0), FALSE),
            0
        ) +
        IFERROR(
            VLOOKUP($A103, INDIRECT("MayR!$A$6:$ZZ$1048576"), MATCH(AO$1, MayR!$6:$6, 0), FALSE),
            0
        ) +
        IFERROR(
            VLOOKUP($A103, INDIRECT("JunR!$A$6:$ZZ$1048576"), MATCH(AO$1, JunR!$6:$6, 0), FALSE),
            0
        ) +
        IFERROR(
            VLOOKUP($A103, INDIRECT("JulR!$A$6:$ZZ$1048576"), MATCH(AO$1, JulR!$6:$6, 0), FALSE),
            0
        ) +
        IFERROR(
            VLOOKUP($A103, INDIRECT("AgoR!$A$6:$ZZ$1048576"), MATCH(AO$1, AgoR!$6:$6, 0), FALSE),
            0
        ) +
        IFERROR(
            VLOOKUP($A103, INDIRECT("SepR!$A$6:$ZZ$1048576"), MATCH(AO$1, SepR!$6:$6, 0), FALSE),
            0
        ) +
        IFERROR(
            VLOOKUP($A103, INDIRECT("OctR!$A$6:$ZZ$1048576"), MATCH(AO$1, OctR!$6:$6, 0), FALSE),
            0
        ) +
        IFERROR(
            VLOOKUP($A103, INDIRECT("NovR!$A$6:$ZZ$1048576"), MATCH(AO$1, NovR!$6:$6, 0), FALSE),
            0
        ) +
        IFERROR(
            VLOOKUP($A103, INDIRECT("DicR!$A$6:$ZZ$1048576"), MATCH(AO$1, DicR!$6:$6, 0), FALSE),
            0
        )
)</f>
        <v>0</v>
      </c>
      <c r="AP103" s="36">
        <f t="array" ref="AP103">SUM(
    IFERROR(
            VLOOKUP($A103, INDIRECT("EneR!$A$6:$ZZ$1048576"), MATCH(AP$1, EneR!$6:$6, 0), FALSE),
            0
        ) +
        IFERROR(
            VLOOKUP($A103, INDIRECT("FebR!$A$6:$ZZ$1048576"), MATCH(AP$1, FebR!$6:$6, 0), FALSE),
            0
        ) +
        IFERROR(
            VLOOKUP($A103, INDIRECT("MarR!$A$6:$ZZ$1048576"), MATCH(AP$1, MarR!$6:$6, 0), FALSE),
            0
        ) +
        IFERROR(
            VLOOKUP($A103, INDIRECT("AbrR!$A$6:$ZZ$1048576"), MATCH(AP$1, AbrR!$6:$6, 0), FALSE),
            0
        ) +
        IFERROR(
            VLOOKUP($A103, INDIRECT("MayR!$A$6:$ZZ$1048576"), MATCH(AP$1, MayR!$6:$6, 0), FALSE),
            0
        ) +
        IFERROR(
            VLOOKUP($A103, INDIRECT("JunR!$A$6:$ZZ$1048576"), MATCH(AP$1, JunR!$6:$6, 0), FALSE),
            0
        ) +
        IFERROR(
            VLOOKUP($A103, INDIRECT("JulR!$A$6:$ZZ$1048576"), MATCH(AP$1, JulR!$6:$6, 0), FALSE),
            0
        ) +
        IFERROR(
            VLOOKUP($A103, INDIRECT("AgoR!$A$6:$ZZ$1048576"), MATCH(AP$1, AgoR!$6:$6, 0), FALSE),
            0
        ) +
        IFERROR(
            VLOOKUP($A103, INDIRECT("SepR!$A$6:$ZZ$1048576"), MATCH(AP$1, SepR!$6:$6, 0), FALSE),
            0
        ) +
        IFERROR(
            VLOOKUP($A103, INDIRECT("OctR!$A$6:$ZZ$1048576"), MATCH(AP$1, OctR!$6:$6, 0), FALSE),
            0
        ) +
        IFERROR(
            VLOOKUP($A103, INDIRECT("NovR!$A$6:$ZZ$1048576"), MATCH(AP$1, NovR!$6:$6, 0), FALSE),
            0
        ) +
        IFERROR(
            VLOOKUP($A103, INDIRECT("DicR!$A$6:$ZZ$1048576"), MATCH(AP$1, DicR!$6:$6, 0), FALSE),
            0
        )
)</f>
        <v>0</v>
      </c>
      <c r="AQ103" s="35">
        <f t="array" ref="AQ103">SUM(
    IFERROR(
            VLOOKUP($A103, INDIRECT("EneR!$A$6:$ZZ$1048576"), MATCH(AQ$1, EneR!$6:$6, 0), FALSE),
            0
        ) +
        IFERROR(
            VLOOKUP($A103, INDIRECT("FebR!$A$6:$ZZ$1048576"), MATCH(AQ$1, FebR!$6:$6, 0), FALSE),
            0
        ) +
        IFERROR(
            VLOOKUP($A103, INDIRECT("MarR!$A$6:$ZZ$1048576"), MATCH(AQ$1, MarR!$6:$6, 0), FALSE),
            0
        ) +
        IFERROR(
            VLOOKUP($A103, INDIRECT("AbrR!$A$6:$ZZ$1048576"), MATCH(AQ$1, AbrR!$6:$6, 0), FALSE),
            0
        ) +
        IFERROR(
            VLOOKUP($A103, INDIRECT("MayR!$A$6:$ZZ$1048576"), MATCH(AQ$1, MayR!$6:$6, 0), FALSE),
            0
        ) +
        IFERROR(
            VLOOKUP($A103, INDIRECT("JunR!$A$6:$ZZ$1048576"), MATCH(AQ$1, JunR!$6:$6, 0), FALSE),
            0
        ) +
        IFERROR(
            VLOOKUP($A103, INDIRECT("JulR!$A$6:$ZZ$1048576"), MATCH(AQ$1, JulR!$6:$6, 0), FALSE),
            0
        ) +
        IFERROR(
            VLOOKUP($A103, INDIRECT("AgoR!$A$6:$ZZ$1048576"), MATCH(AQ$1, AgoR!$6:$6, 0), FALSE),
            0
        ) +
        IFERROR(
            VLOOKUP($A103, INDIRECT("SepR!$A$6:$ZZ$1048576"), MATCH(AQ$1, SepR!$6:$6, 0), FALSE),
            0
        ) +
        IFERROR(
            VLOOKUP($A103, INDIRECT("OctR!$A$6:$ZZ$1048576"), MATCH(AQ$1, OctR!$6:$6, 0), FALSE),
            0
        ) +
        IFERROR(
            VLOOKUP($A103, INDIRECT("NovR!$A$6:$ZZ$1048576"), MATCH(AQ$1, NovR!$6:$6, 0), FALSE),
            0
        ) +
        IFERROR(
            VLOOKUP($A103, INDIRECT("DicR!$A$6:$ZZ$1048576"), MATCH(AQ$1, DicR!$6:$6, 0), FALSE),
            0
        )
)</f>
        <v>0</v>
      </c>
      <c r="AR103" s="36">
        <f t="array" ref="AR103">SUM(
    IFERROR(
            VLOOKUP($A103, INDIRECT("EneR!$A$6:$ZZ$1048576"), MATCH(AR$1, EneR!$6:$6, 0), FALSE),
            0
        ) +
        IFERROR(
            VLOOKUP($A103, INDIRECT("FebR!$A$6:$ZZ$1048576"), MATCH(AR$1, FebR!$6:$6, 0), FALSE),
            0
        ) +
        IFERROR(
            VLOOKUP($A103, INDIRECT("MarR!$A$6:$ZZ$1048576"), MATCH(AR$1, MarR!$6:$6, 0), FALSE),
            0
        ) +
        IFERROR(
            VLOOKUP($A103, INDIRECT("AbrR!$A$6:$ZZ$1048576"), MATCH(AR$1, AbrR!$6:$6, 0), FALSE),
            0
        ) +
        IFERROR(
            VLOOKUP($A103, INDIRECT("MayR!$A$6:$ZZ$1048576"), MATCH(AR$1, MayR!$6:$6, 0), FALSE),
            0
        ) +
        IFERROR(
            VLOOKUP($A103, INDIRECT("JunR!$A$6:$ZZ$1048576"), MATCH(AR$1, JunR!$6:$6, 0), FALSE),
            0
        ) +
        IFERROR(
            VLOOKUP($A103, INDIRECT("JulR!$A$6:$ZZ$1048576"), MATCH(AR$1, JulR!$6:$6, 0), FALSE),
            0
        ) +
        IFERROR(
            VLOOKUP($A103, INDIRECT("AgoR!$A$6:$ZZ$1048576"), MATCH(AR$1, AgoR!$6:$6, 0), FALSE),
            0
        ) +
        IFERROR(
            VLOOKUP($A103, INDIRECT("SepR!$A$6:$ZZ$1048576"), MATCH(AR$1, SepR!$6:$6, 0), FALSE),
            0
        ) +
        IFERROR(
            VLOOKUP($A103, INDIRECT("OctR!$A$6:$ZZ$1048576"), MATCH(AR$1, OctR!$6:$6, 0), FALSE),
            0
        ) +
        IFERROR(
            VLOOKUP($A103, INDIRECT("NovR!$A$6:$ZZ$1048576"), MATCH(AR$1, NovR!$6:$6, 0), FALSE),
            0
        ) +
        IFERROR(
            VLOOKUP($A103, INDIRECT("DicR!$A$6:$ZZ$1048576"), MATCH(AR$1, DicR!$6:$6, 0), FALSE),
            0
        )
)</f>
        <v>0</v>
      </c>
      <c r="AS103" s="35">
        <f t="array" ref="AS103">SUM(
    IFERROR(
            VLOOKUP($A103, INDIRECT("EneR!$A$6:$ZZ$1048576"), MATCH(AS$1, EneR!$6:$6, 0), FALSE),
            0
        ) +
        IFERROR(
            VLOOKUP($A103, INDIRECT("FebR!$A$6:$ZZ$1048576"), MATCH(AS$1, FebR!$6:$6, 0), FALSE),
            0
        ) +
        IFERROR(
            VLOOKUP($A103, INDIRECT("MarR!$A$6:$ZZ$1048576"), MATCH(AS$1, MarR!$6:$6, 0), FALSE),
            0
        ) +
        IFERROR(
            VLOOKUP($A103, INDIRECT("AbrR!$A$6:$ZZ$1048576"), MATCH(AS$1, AbrR!$6:$6, 0), FALSE),
            0
        ) +
        IFERROR(
            VLOOKUP($A103, INDIRECT("MayR!$A$6:$ZZ$1048576"), MATCH(AS$1, MayR!$6:$6, 0), FALSE),
            0
        ) +
        IFERROR(
            VLOOKUP($A103, INDIRECT("JunR!$A$6:$ZZ$1048576"), MATCH(AS$1, JunR!$6:$6, 0), FALSE),
            0
        ) +
        IFERROR(
            VLOOKUP($A103, INDIRECT("JulR!$A$6:$ZZ$1048576"), MATCH(AS$1, JulR!$6:$6, 0), FALSE),
            0
        ) +
        IFERROR(
            VLOOKUP($A103, INDIRECT("AgoR!$A$6:$ZZ$1048576"), MATCH(AS$1, AgoR!$6:$6, 0), FALSE),
            0
        ) +
        IFERROR(
            VLOOKUP($A103, INDIRECT("SepR!$A$6:$ZZ$1048576"), MATCH(AS$1, SepR!$6:$6, 0), FALSE),
            0
        ) +
        IFERROR(
            VLOOKUP($A103, INDIRECT("OctR!$A$6:$ZZ$1048576"), MATCH(AS$1, OctR!$6:$6, 0), FALSE),
            0
        ) +
        IFERROR(
            VLOOKUP($A103, INDIRECT("NovR!$A$6:$ZZ$1048576"), MATCH(AS$1, NovR!$6:$6, 0), FALSE),
            0
        ) +
        IFERROR(
            VLOOKUP($A103, INDIRECT("DicR!$A$6:$ZZ$1048576"), MATCH(AS$1, DicR!$6:$6, 0), FALSE),
            0
        )
)</f>
        <v>0</v>
      </c>
      <c r="AT103" s="36">
        <f t="array" ref="AT103">SUM(
    IFERROR(
            VLOOKUP($A103, INDIRECT("EneR!$A$6:$ZZ$1048576"), MATCH(AT$1, EneR!$6:$6, 0), FALSE),
            0
        ) +
        IFERROR(
            VLOOKUP($A103, INDIRECT("FebR!$A$6:$ZZ$1048576"), MATCH(AT$1, FebR!$6:$6, 0), FALSE),
            0
        ) +
        IFERROR(
            VLOOKUP($A103, INDIRECT("MarR!$A$6:$ZZ$1048576"), MATCH(AT$1, MarR!$6:$6, 0), FALSE),
            0
        ) +
        IFERROR(
            VLOOKUP($A103, INDIRECT("AbrR!$A$6:$ZZ$1048576"), MATCH(AT$1, AbrR!$6:$6, 0), FALSE),
            0
        ) +
        IFERROR(
            VLOOKUP($A103, INDIRECT("MayR!$A$6:$ZZ$1048576"), MATCH(AT$1, MayR!$6:$6, 0), FALSE),
            0
        ) +
        IFERROR(
            VLOOKUP($A103, INDIRECT("JunR!$A$6:$ZZ$1048576"), MATCH(AT$1, JunR!$6:$6, 0), FALSE),
            0
        ) +
        IFERROR(
            VLOOKUP($A103, INDIRECT("JulR!$A$6:$ZZ$1048576"), MATCH(AT$1, JulR!$6:$6, 0), FALSE),
            0
        ) +
        IFERROR(
            VLOOKUP($A103, INDIRECT("AgoR!$A$6:$ZZ$1048576"), MATCH(AT$1, AgoR!$6:$6, 0), FALSE),
            0
        ) +
        IFERROR(
            VLOOKUP($A103, INDIRECT("SepR!$A$6:$ZZ$1048576"), MATCH(AT$1, SepR!$6:$6, 0), FALSE),
            0
        ) +
        IFERROR(
            VLOOKUP($A103, INDIRECT("OctR!$A$6:$ZZ$1048576"), MATCH(AT$1, OctR!$6:$6, 0), FALSE),
            0
        ) +
        IFERROR(
            VLOOKUP($A103, INDIRECT("NovR!$A$6:$ZZ$1048576"), MATCH(AT$1, NovR!$6:$6, 0), FALSE),
            0
        ) +
        IFERROR(
            VLOOKUP($A103, INDIRECT("DicR!$A$6:$ZZ$1048576"), MATCH(AT$1, DicR!$6:$6, 0), FALSE),
            0
        )
)</f>
        <v>0</v>
      </c>
      <c r="AU103" s="35">
        <f t="array" ref="AU103">SUM(
    IFERROR(
            VLOOKUP($A103, INDIRECT("EneR!$A$6:$ZZ$1048576"), MATCH(AU$1, EneR!$6:$6, 0), FALSE),
            0
        ) +
        IFERROR(
            VLOOKUP($A103, INDIRECT("FebR!$A$6:$ZZ$1048576"), MATCH(AU$1, FebR!$6:$6, 0), FALSE),
            0
        ) +
        IFERROR(
            VLOOKUP($A103, INDIRECT("MarR!$A$6:$ZZ$1048576"), MATCH(AU$1, MarR!$6:$6, 0), FALSE),
            0
        ) +
        IFERROR(
            VLOOKUP($A103, INDIRECT("AbrR!$A$6:$ZZ$1048576"), MATCH(AU$1, AbrR!$6:$6, 0), FALSE),
            0
        ) +
        IFERROR(
            VLOOKUP($A103, INDIRECT("MayR!$A$6:$ZZ$1048576"), MATCH(AU$1, MayR!$6:$6, 0), FALSE),
            0
        ) +
        IFERROR(
            VLOOKUP($A103, INDIRECT("JunR!$A$6:$ZZ$1048576"), MATCH(AU$1, JunR!$6:$6, 0), FALSE),
            0
        ) +
        IFERROR(
            VLOOKUP($A103, INDIRECT("JulR!$A$6:$ZZ$1048576"), MATCH(AU$1, JulR!$6:$6, 0), FALSE),
            0
        ) +
        IFERROR(
            VLOOKUP($A103, INDIRECT("AgoR!$A$6:$ZZ$1048576"), MATCH(AU$1, AgoR!$6:$6, 0), FALSE),
            0
        ) +
        IFERROR(
            VLOOKUP($A103, INDIRECT("SepR!$A$6:$ZZ$1048576"), MATCH(AU$1, SepR!$6:$6, 0), FALSE),
            0
        ) +
        IFERROR(
            VLOOKUP($A103, INDIRECT("OctR!$A$6:$ZZ$1048576"), MATCH(AU$1, OctR!$6:$6, 0), FALSE),
            0
        ) +
        IFERROR(
            VLOOKUP($A103, INDIRECT("NovR!$A$6:$ZZ$1048576"), MATCH(AU$1, NovR!$6:$6, 0), FALSE),
            0
        ) +
        IFERROR(
            VLOOKUP($A103, INDIRECT("DicR!$A$6:$ZZ$1048576"), MATCH(AU$1, DicR!$6:$6, 0), FALSE),
            0
        )
)</f>
        <v>0</v>
      </c>
      <c r="AV103" s="36">
        <f t="array" ref="AV103">SUM(
    IFERROR(
            VLOOKUP($A103, INDIRECT("EneR!$A$6:$ZZ$1048576"), MATCH(AV$1, EneR!$6:$6, 0), FALSE),
            0
        ) +
        IFERROR(
            VLOOKUP($A103, INDIRECT("FebR!$A$6:$ZZ$1048576"), MATCH(AV$1, FebR!$6:$6, 0), FALSE),
            0
        ) +
        IFERROR(
            VLOOKUP($A103, INDIRECT("MarR!$A$6:$ZZ$1048576"), MATCH(AV$1, MarR!$6:$6, 0), FALSE),
            0
        ) +
        IFERROR(
            VLOOKUP($A103, INDIRECT("AbrR!$A$6:$ZZ$1048576"), MATCH(AV$1, AbrR!$6:$6, 0), FALSE),
            0
        ) +
        IFERROR(
            VLOOKUP($A103, INDIRECT("MayR!$A$6:$ZZ$1048576"), MATCH(AV$1, MayR!$6:$6, 0), FALSE),
            0
        ) +
        IFERROR(
            VLOOKUP($A103, INDIRECT("JunR!$A$6:$ZZ$1048576"), MATCH(AV$1, JunR!$6:$6, 0), FALSE),
            0
        ) +
        IFERROR(
            VLOOKUP($A103, INDIRECT("JulR!$A$6:$ZZ$1048576"), MATCH(AV$1, JulR!$6:$6, 0), FALSE),
            0
        ) +
        IFERROR(
            VLOOKUP($A103, INDIRECT("AgoR!$A$6:$ZZ$1048576"), MATCH(AV$1, AgoR!$6:$6, 0), FALSE),
            0
        ) +
        IFERROR(
            VLOOKUP($A103, INDIRECT("SepR!$A$6:$ZZ$1048576"), MATCH(AV$1, SepR!$6:$6, 0), FALSE),
            0
        ) +
        IFERROR(
            VLOOKUP($A103, INDIRECT("OctR!$A$6:$ZZ$1048576"), MATCH(AV$1, OctR!$6:$6, 0), FALSE),
            0
        ) +
        IFERROR(
            VLOOKUP($A103, INDIRECT("NovR!$A$6:$ZZ$1048576"), MATCH(AV$1, NovR!$6:$6, 0), FALSE),
            0
        ) +
        IFERROR(
            VLOOKUP($A103, INDIRECT("DicR!$A$6:$ZZ$1048576"), MATCH(AV$1, DicR!$6:$6, 0), FALSE),
            0
        )
)</f>
        <v>0</v>
      </c>
      <c r="AW103" s="35">
        <f t="array" ref="AW103">SUM(
    IFERROR(
            VLOOKUP($A103, INDIRECT("EneR!$A$6:$ZZ$1048576"), MATCH(AW$1, EneR!$6:$6, 0), FALSE),
            0
        ) +
        IFERROR(
            VLOOKUP($A103, INDIRECT("FebR!$A$6:$ZZ$1048576"), MATCH(AW$1, FebR!$6:$6, 0), FALSE),
            0
        ) +
        IFERROR(
            VLOOKUP($A103, INDIRECT("MarR!$A$6:$ZZ$1048576"), MATCH(AW$1, MarR!$6:$6, 0), FALSE),
            0
        ) +
        IFERROR(
            VLOOKUP($A103, INDIRECT("AbrR!$A$6:$ZZ$1048576"), MATCH(AW$1, AbrR!$6:$6, 0), FALSE),
            0
        ) +
        IFERROR(
            VLOOKUP($A103, INDIRECT("MayR!$A$6:$ZZ$1048576"), MATCH(AW$1, MayR!$6:$6, 0), FALSE),
            0
        ) +
        IFERROR(
            VLOOKUP($A103, INDIRECT("JunR!$A$6:$ZZ$1048576"), MATCH(AW$1, JunR!$6:$6, 0), FALSE),
            0
        ) +
        IFERROR(
            VLOOKUP($A103, INDIRECT("JulR!$A$6:$ZZ$1048576"), MATCH(AW$1, JulR!$6:$6, 0), FALSE),
            0
        ) +
        IFERROR(
            VLOOKUP($A103, INDIRECT("AgoR!$A$6:$ZZ$1048576"), MATCH(AW$1, AgoR!$6:$6, 0), FALSE),
            0
        ) +
        IFERROR(
            VLOOKUP($A103, INDIRECT("SepR!$A$6:$ZZ$1048576"), MATCH(AW$1, SepR!$6:$6, 0), FALSE),
            0
        ) +
        IFERROR(
            VLOOKUP($A103, INDIRECT("OctR!$A$6:$ZZ$1048576"), MATCH(AW$1, OctR!$6:$6, 0), FALSE),
            0
        ) +
        IFERROR(
            VLOOKUP($A103, INDIRECT("NovR!$A$6:$ZZ$1048576"), MATCH(AW$1, NovR!$6:$6, 0), FALSE),
            0
        ) +
        IFERROR(
            VLOOKUP($A103, INDIRECT("DicR!$A$6:$ZZ$1048576"), MATCH(AW$1, DicR!$6:$6, 0), FALSE),
            0
        )
)</f>
        <v>0</v>
      </c>
      <c r="AX103" s="36">
        <f t="array" ref="AX103">SUM(
    IFERROR(
            VLOOKUP($A103, INDIRECT("EneR!$A$6:$ZZ$1048576"), MATCH(AX$1, EneR!$6:$6, 0), FALSE),
            0
        ) +
        IFERROR(
            VLOOKUP($A103, INDIRECT("FebR!$A$6:$ZZ$1048576"), MATCH(AX$1, FebR!$6:$6, 0), FALSE),
            0
        ) +
        IFERROR(
            VLOOKUP($A103, INDIRECT("MarR!$A$6:$ZZ$1048576"), MATCH(AX$1, MarR!$6:$6, 0), FALSE),
            0
        ) +
        IFERROR(
            VLOOKUP($A103, INDIRECT("AbrR!$A$6:$ZZ$1048576"), MATCH(AX$1, AbrR!$6:$6, 0), FALSE),
            0
        ) +
        IFERROR(
            VLOOKUP($A103, INDIRECT("MayR!$A$6:$ZZ$1048576"), MATCH(AX$1, MayR!$6:$6, 0), FALSE),
            0
        ) +
        IFERROR(
            VLOOKUP($A103, INDIRECT("JunR!$A$6:$ZZ$1048576"), MATCH(AX$1, JunR!$6:$6, 0), FALSE),
            0
        ) +
        IFERROR(
            VLOOKUP($A103, INDIRECT("JulR!$A$6:$ZZ$1048576"), MATCH(AX$1, JulR!$6:$6, 0), FALSE),
            0
        ) +
        IFERROR(
            VLOOKUP($A103, INDIRECT("AgoR!$A$6:$ZZ$1048576"), MATCH(AX$1, AgoR!$6:$6, 0), FALSE),
            0
        ) +
        IFERROR(
            VLOOKUP($A103, INDIRECT("SepR!$A$6:$ZZ$1048576"), MATCH(AX$1, SepR!$6:$6, 0), FALSE),
            0
        ) +
        IFERROR(
            VLOOKUP($A103, INDIRECT("OctR!$A$6:$ZZ$1048576"), MATCH(AX$1, OctR!$6:$6, 0), FALSE),
            0
        ) +
        IFERROR(
            VLOOKUP($A103, INDIRECT("NovR!$A$6:$ZZ$1048576"), MATCH(AX$1, NovR!$6:$6, 0), FALSE),
            0
        ) +
        IFERROR(
            VLOOKUP($A103, INDIRECT("DicR!$A$6:$ZZ$1048576"), MATCH(AX$1, DicR!$6:$6, 0), FALSE),
            0
        )
)</f>
        <v>0</v>
      </c>
      <c r="AY103" s="35">
        <f t="array" ref="AY103">SUM(
    IFERROR(
            VLOOKUP($A103, INDIRECT("EneR!$A$6:$ZZ$1048576"), MATCH(AY$1, EneR!$6:$6, 0), FALSE),
            0
        ) +
        IFERROR(
            VLOOKUP($A103, INDIRECT("FebR!$A$6:$ZZ$1048576"), MATCH(AY$1, FebR!$6:$6, 0), FALSE),
            0
        ) +
        IFERROR(
            VLOOKUP($A103, INDIRECT("MarR!$A$6:$ZZ$1048576"), MATCH(AY$1, MarR!$6:$6, 0), FALSE),
            0
        ) +
        IFERROR(
            VLOOKUP($A103, INDIRECT("AbrR!$A$6:$ZZ$1048576"), MATCH(AY$1, AbrR!$6:$6, 0), FALSE),
            0
        ) +
        IFERROR(
            VLOOKUP($A103, INDIRECT("MayR!$A$6:$ZZ$1048576"), MATCH(AY$1, MayR!$6:$6, 0), FALSE),
            0
        ) +
        IFERROR(
            VLOOKUP($A103, INDIRECT("JunR!$A$6:$ZZ$1048576"), MATCH(AY$1, JunR!$6:$6, 0), FALSE),
            0
        ) +
        IFERROR(
            VLOOKUP($A103, INDIRECT("JulR!$A$6:$ZZ$1048576"), MATCH(AY$1, JulR!$6:$6, 0), FALSE),
            0
        ) +
        IFERROR(
            VLOOKUP($A103, INDIRECT("AgoR!$A$6:$ZZ$1048576"), MATCH(AY$1, AgoR!$6:$6, 0), FALSE),
            0
        ) +
        IFERROR(
            VLOOKUP($A103, INDIRECT("SepR!$A$6:$ZZ$1048576"), MATCH(AY$1, SepR!$6:$6, 0), FALSE),
            0
        ) +
        IFERROR(
            VLOOKUP($A103, INDIRECT("OctR!$A$6:$ZZ$1048576"), MATCH(AY$1, OctR!$6:$6, 0), FALSE),
            0
        ) +
        IFERROR(
            VLOOKUP($A103, INDIRECT("NovR!$A$6:$ZZ$1048576"), MATCH(AY$1, NovR!$6:$6, 0), FALSE),
            0
        ) +
        IFERROR(
            VLOOKUP($A103, INDIRECT("DicR!$A$6:$ZZ$1048576"), MATCH(AY$1, DicR!$6:$6, 0), FALSE),
            0
        )
)</f>
        <v>0</v>
      </c>
      <c r="AZ103" s="35"/>
    </row>
    <row r="104" ht="9.0" customHeight="1">
      <c r="A104" s="11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2"/>
      <c r="AO104" s="12"/>
      <c r="AP104" s="14"/>
      <c r="AQ104" s="12"/>
      <c r="AR104" s="14"/>
      <c r="AS104" s="12"/>
      <c r="AT104" s="14"/>
      <c r="AU104" s="12"/>
      <c r="AV104" s="14"/>
      <c r="AW104" s="12"/>
      <c r="AX104" s="14"/>
      <c r="AY104" s="12"/>
      <c r="AZ104" s="12"/>
    </row>
    <row r="105" ht="15.75" customHeight="1">
      <c r="A105" s="11" t="s">
        <v>8</v>
      </c>
      <c r="B105" s="26">
        <f t="shared" ref="B105:AY105" si="12">SUM(B106:B115)</f>
        <v>0</v>
      </c>
      <c r="C105" s="38">
        <f t="shared" si="12"/>
        <v>0</v>
      </c>
      <c r="D105" s="28">
        <f t="shared" si="12"/>
        <v>0</v>
      </c>
      <c r="E105" s="29">
        <f t="shared" si="12"/>
        <v>0</v>
      </c>
      <c r="F105" s="26">
        <f t="shared" si="12"/>
        <v>0</v>
      </c>
      <c r="G105" s="29">
        <f t="shared" si="12"/>
        <v>0</v>
      </c>
      <c r="H105" s="26">
        <f t="shared" si="12"/>
        <v>0</v>
      </c>
      <c r="I105" s="29">
        <f t="shared" si="12"/>
        <v>0</v>
      </c>
      <c r="J105" s="26">
        <f t="shared" si="12"/>
        <v>0</v>
      </c>
      <c r="K105" s="29">
        <f t="shared" si="12"/>
        <v>0</v>
      </c>
      <c r="L105" s="26">
        <f t="shared" si="12"/>
        <v>0</v>
      </c>
      <c r="M105" s="29">
        <f t="shared" si="12"/>
        <v>0</v>
      </c>
      <c r="N105" s="26">
        <f t="shared" si="12"/>
        <v>0</v>
      </c>
      <c r="O105" s="29">
        <f t="shared" si="12"/>
        <v>0</v>
      </c>
      <c r="P105" s="26">
        <f t="shared" si="12"/>
        <v>0</v>
      </c>
      <c r="Q105" s="29">
        <f t="shared" si="12"/>
        <v>0</v>
      </c>
      <c r="R105" s="30">
        <f t="shared" si="12"/>
        <v>0</v>
      </c>
      <c r="S105" s="31">
        <f t="shared" si="12"/>
        <v>0</v>
      </c>
      <c r="T105" s="30">
        <f t="shared" si="12"/>
        <v>0</v>
      </c>
      <c r="U105" s="31">
        <f t="shared" si="12"/>
        <v>0</v>
      </c>
      <c r="V105" s="30">
        <f t="shared" si="12"/>
        <v>0</v>
      </c>
      <c r="W105" s="31">
        <f t="shared" si="12"/>
        <v>0</v>
      </c>
      <c r="X105" s="30">
        <f t="shared" si="12"/>
        <v>0</v>
      </c>
      <c r="Y105" s="31">
        <f t="shared" si="12"/>
        <v>0</v>
      </c>
      <c r="Z105" s="30">
        <f t="shared" si="12"/>
        <v>0</v>
      </c>
      <c r="AA105" s="31">
        <f t="shared" si="12"/>
        <v>0</v>
      </c>
      <c r="AB105" s="30">
        <f t="shared" si="12"/>
        <v>0</v>
      </c>
      <c r="AC105" s="31">
        <f t="shared" si="12"/>
        <v>0</v>
      </c>
      <c r="AD105" s="30">
        <f t="shared" si="12"/>
        <v>0</v>
      </c>
      <c r="AE105" s="31">
        <f t="shared" si="12"/>
        <v>0</v>
      </c>
      <c r="AF105" s="30">
        <f t="shared" si="12"/>
        <v>0</v>
      </c>
      <c r="AG105" s="31">
        <f t="shared" si="12"/>
        <v>0</v>
      </c>
      <c r="AH105" s="30">
        <f t="shared" si="12"/>
        <v>0</v>
      </c>
      <c r="AI105" s="31">
        <f t="shared" si="12"/>
        <v>0</v>
      </c>
      <c r="AJ105" s="30">
        <f t="shared" si="12"/>
        <v>0</v>
      </c>
      <c r="AK105" s="31">
        <f t="shared" si="12"/>
        <v>0</v>
      </c>
      <c r="AL105" s="30">
        <f t="shared" si="12"/>
        <v>0</v>
      </c>
      <c r="AM105" s="31">
        <f t="shared" si="12"/>
        <v>0</v>
      </c>
      <c r="AN105" s="26">
        <f t="shared" si="12"/>
        <v>0</v>
      </c>
      <c r="AO105" s="29">
        <f t="shared" si="12"/>
        <v>0</v>
      </c>
      <c r="AP105" s="30">
        <f t="shared" si="12"/>
        <v>0</v>
      </c>
      <c r="AQ105" s="29">
        <f t="shared" si="12"/>
        <v>0</v>
      </c>
      <c r="AR105" s="30">
        <f t="shared" si="12"/>
        <v>0</v>
      </c>
      <c r="AS105" s="29">
        <f t="shared" si="12"/>
        <v>0</v>
      </c>
      <c r="AT105" s="30">
        <f t="shared" si="12"/>
        <v>0</v>
      </c>
      <c r="AU105" s="29">
        <f t="shared" si="12"/>
        <v>0</v>
      </c>
      <c r="AV105" s="30">
        <f t="shared" si="12"/>
        <v>0</v>
      </c>
      <c r="AW105" s="29">
        <f t="shared" si="12"/>
        <v>0</v>
      </c>
      <c r="AX105" s="30">
        <f t="shared" si="12"/>
        <v>0</v>
      </c>
      <c r="AY105" s="29">
        <f t="shared" si="12"/>
        <v>0</v>
      </c>
      <c r="AZ105" s="29"/>
    </row>
    <row r="106" ht="15.75" customHeight="1">
      <c r="A106" s="40" t="str">
        <f>Menus!Q2</f>
        <v/>
      </c>
      <c r="B106" s="32">
        <f t="shared" ref="B106:B110" si="13">IFERROR(SUM(D106:AZ106),"")</f>
        <v>0</v>
      </c>
      <c r="C106" s="33" t="str">
        <f t="shared" ref="C106:C115" si="14">IFERROR(INDEX($D$1:$AQ127, MATCH($A106, $A$1:$A127, 0), MATCH(C$1, $D$1:AZ$1, 0)), "")
</f>
        <v/>
      </c>
      <c r="D106" s="34">
        <f>SUM(SUMIFS(OtrosR!$Q$3:$Q127,OtrosR!$C$3:$C127,$A106,OtrosR!$B$3:$B127,D$1))</f>
        <v>0</v>
      </c>
      <c r="E106" s="37">
        <f>SUM(SUMIFS(OtrosR!$Q$3:$Q127,OtrosR!$C$3:$C127,$A106,OtrosR!$B$3:$B127,E$1))</f>
        <v>0</v>
      </c>
      <c r="F106" s="32">
        <f>SUM(SUMIFS(OtrosR!$Q$3:$Q127,OtrosR!$C$3:$C127,$A106,OtrosR!$B$3:$B127,F$1))</f>
        <v>0</v>
      </c>
      <c r="G106" s="37">
        <f>SUM(SUMIFS(OtrosR!$Q$3:$Q127,OtrosR!$C$3:$C127,$A106,OtrosR!$B$3:$B127,G$1))</f>
        <v>0</v>
      </c>
      <c r="H106" s="32">
        <f>SUM(SUMIFS(OtrosR!$Q$3:$Q127,OtrosR!$C$3:$C127,$A106,OtrosR!$B$3:$B127,H$1))</f>
        <v>0</v>
      </c>
      <c r="I106" s="37">
        <f>SUM(SUMIFS(OtrosR!$Q$3:$Q127,OtrosR!$C$3:$C127,$A106,OtrosR!$B$3:$B127,I$1))</f>
        <v>0</v>
      </c>
      <c r="J106" s="32">
        <f>SUM(SUMIFS(OtrosR!$Q$3:$Q127,OtrosR!$C$3:$C127,$A106,OtrosR!$B$3:$B127,J$1))</f>
        <v>0</v>
      </c>
      <c r="K106" s="37">
        <f>SUM(SUMIFS(OtrosR!$Q$3:$Q127,OtrosR!$C$3:$C127,$A106,OtrosR!$B$3:$B127,K$1))</f>
        <v>0</v>
      </c>
      <c r="L106" s="32">
        <f>SUM(SUMIFS(OtrosR!$Q$3:$Q127,OtrosR!$C$3:$C127,$A106,OtrosR!$B$3:$B127,L$1))</f>
        <v>0</v>
      </c>
      <c r="M106" s="37">
        <f>SUM(SUMIFS(OtrosR!$Q$3:$Q127,OtrosR!$C$3:$C127,$A106,OtrosR!$B$3:$B127,M$1))</f>
        <v>0</v>
      </c>
      <c r="N106" s="32">
        <f>SUM(SUMIFS(OtrosR!$Q$3:$Q127,OtrosR!$C$3:$C127,$A106,OtrosR!$B$3:$B127,N$1))</f>
        <v>0</v>
      </c>
      <c r="O106" s="37">
        <f>SUM(SUMIFS(OtrosR!$Q$3:$Q127,OtrosR!$C$3:$C127,$A106,OtrosR!$B$3:$B127,O$1))</f>
        <v>0</v>
      </c>
      <c r="P106" s="32">
        <f>SUM(SUMIFS(OtrosR!$Q$3:$Q127,OtrosR!$C$3:$C127,$A106,OtrosR!$B$3:$B127,P$1))</f>
        <v>0</v>
      </c>
      <c r="Q106" s="37">
        <f>SUM(SUMIFS(OtrosR!$Q$3:$Q127,OtrosR!$C$3:$C127,$A106,OtrosR!$B$3:$B127,Q$1))</f>
        <v>0</v>
      </c>
      <c r="R106" s="32">
        <f>SUM(SUMIFS(OtrosR!$Q$3:$Q127,OtrosR!$C$3:$C127,$A106,OtrosR!$B$3:$B127,R$1))</f>
        <v>0</v>
      </c>
      <c r="S106" s="37">
        <f>SUM(SUMIFS(OtrosR!$Q$3:$Q127,OtrosR!$C$3:$C127,$A106,OtrosR!$B$3:$B127,S$1))</f>
        <v>0</v>
      </c>
      <c r="T106" s="36">
        <f>SUM(SUMIFS(OtrosR!$Q$3:$Q127,OtrosR!$C$3:$C127,$A106,OtrosR!$B$3:$B127,T$1))</f>
        <v>0</v>
      </c>
      <c r="U106" s="37">
        <f>SUM(SUMIFS(OtrosR!$Q$3:$Q127,OtrosR!$C$3:$C127,$A106,OtrosR!$B$3:$B127,U$1))</f>
        <v>0</v>
      </c>
      <c r="V106" s="36">
        <f>SUM(SUMIFS(OtrosR!$Q$3:$Q127,OtrosR!$C$3:$C127,$A106,OtrosR!$B$3:$B127,V$1))</f>
        <v>0</v>
      </c>
      <c r="W106" s="37">
        <f>SUM(SUMIFS(OtrosR!$Q$3:$Q127,OtrosR!$C$3:$C127,$A106,OtrosR!$B$3:$B127,W$1))</f>
        <v>0</v>
      </c>
      <c r="X106" s="36">
        <f>SUM(SUMIFS(OtrosR!$Q$3:$Q127,OtrosR!$C$3:$C127,$A106,OtrosR!$B$3:$B127,X$1))</f>
        <v>0</v>
      </c>
      <c r="Y106" s="37">
        <f>SUM(SUMIFS(OtrosR!$Q$3:$Q127,OtrosR!$C$3:$C127,$A106,OtrosR!$B$3:$B127,Y$1))</f>
        <v>0</v>
      </c>
      <c r="Z106" s="36">
        <f>SUM(SUMIFS(OtrosR!$Q$3:$Q127,OtrosR!$C$3:$C127,$A106,OtrosR!$B$3:$B127,Z$1))</f>
        <v>0</v>
      </c>
      <c r="AA106" s="37">
        <f>SUM(SUMIFS(OtrosR!$Q$3:$Q127,OtrosR!$C$3:$C127,$A106,OtrosR!$B$3:$B127,AA$1))</f>
        <v>0</v>
      </c>
      <c r="AB106" s="36">
        <f>SUM(SUMIFS(OtrosR!$Q$3:$Q127,OtrosR!$C$3:$C127,$A106,OtrosR!$B$3:$B127,AB$1))</f>
        <v>0</v>
      </c>
      <c r="AC106" s="37">
        <f>SUM(SUMIFS(OtrosR!$Q$3:$Q127,OtrosR!$C$3:$C127,$A106,OtrosR!$B$3:$B127,AC$1))</f>
        <v>0</v>
      </c>
      <c r="AD106" s="36">
        <f>SUM(SUMIFS(OtrosR!$Q$3:$Q127,OtrosR!$C$3:$C127,$A106,OtrosR!$B$3:$B127,AD$1))</f>
        <v>0</v>
      </c>
      <c r="AE106" s="37">
        <f>SUM(SUMIFS(OtrosR!$Q$3:$Q127,OtrosR!$C$3:$C127,$A106,OtrosR!$B$3:$B127,AE$1))</f>
        <v>0</v>
      </c>
      <c r="AF106" s="36">
        <f>SUM(SUMIFS(OtrosR!$Q$3:$Q127,OtrosR!$C$3:$C127,$A106,OtrosR!$B$3:$B127,AF$1))</f>
        <v>0</v>
      </c>
      <c r="AG106" s="37">
        <f>SUM(SUMIFS(OtrosR!$Q$3:$Q127,OtrosR!$C$3:$C127,$A106,OtrosR!$B$3:$B127,AG$1))</f>
        <v>0</v>
      </c>
      <c r="AH106" s="36">
        <f>SUM(SUMIFS(OtrosR!$Q$3:$Q127,OtrosR!$C$3:$C127,$A106,OtrosR!$B$3:$B127,AH$1))</f>
        <v>0</v>
      </c>
      <c r="AI106" s="37">
        <f>SUM(SUMIFS(OtrosR!$Q$3:$Q127,OtrosR!$C$3:$C127,$A106,OtrosR!$B$3:$B127,AI$1))</f>
        <v>0</v>
      </c>
      <c r="AJ106" s="36">
        <f>SUM(SUMIFS(OtrosR!$Q$3:$Q127,OtrosR!$C$3:$C127,$A106,OtrosR!$B$3:$B127,AJ$1))</f>
        <v>0</v>
      </c>
      <c r="AK106" s="37">
        <f>SUM(SUMIFS(OtrosR!$Q$3:$Q127,OtrosR!$C$3:$C127,$A106,OtrosR!$B$3:$B127,AK$1))</f>
        <v>0</v>
      </c>
      <c r="AL106" s="36">
        <f>SUM(SUMIFS(OtrosR!$Q$3:$Q127,OtrosR!$C$3:$C127,$A106,OtrosR!$B$3:$B127,AL$1))</f>
        <v>0</v>
      </c>
      <c r="AM106" s="37">
        <f>SUM(SUMIFS(OtrosR!$Q$3:$Q127,OtrosR!$C$3:$C127,$A106,OtrosR!$B$3:$B127,AM$1))</f>
        <v>0</v>
      </c>
      <c r="AN106" s="32">
        <f>SUM(SUMIFS(OtrosR!$Q$3:$Q127,OtrosR!$C$3:$C127,$A106,OtrosR!$B$3:$B127,AN$1))</f>
        <v>0</v>
      </c>
      <c r="AO106" s="35">
        <f>SUM(SUMIFS(OtrosR!$Q$3:$Q127,OtrosR!$C$3:$C127,$A106,OtrosR!$B$3:$B127,AO$1))</f>
        <v>0</v>
      </c>
      <c r="AP106" s="36">
        <f>SUM(SUMIFS(OtrosR!$Q$3:$Q127,OtrosR!$C$3:$C127,$A106,OtrosR!$B$3:$B127,AP$1))</f>
        <v>0</v>
      </c>
      <c r="AQ106" s="35">
        <f>SUM(SUMIFS(OtrosR!$Q$3:$Q127,OtrosR!$C$3:$C127,$A106,OtrosR!$B$3:$B127,AQ$1))</f>
        <v>0</v>
      </c>
      <c r="AR106" s="36">
        <f>SUM(SUMIFS(OtrosR!$Q$3:$Q127,OtrosR!$C$3:$C127,$A106,OtrosR!$B$3:$B127,AR$1))</f>
        <v>0</v>
      </c>
      <c r="AS106" s="35">
        <f>SUM(SUMIFS(OtrosR!$Q$3:$Q127,OtrosR!$C$3:$C127,$A106,OtrosR!$B$3:$B127,AS$1))</f>
        <v>0</v>
      </c>
      <c r="AT106" s="36">
        <f>SUM(SUMIFS(OtrosR!$Q$3:$Q127,OtrosR!$C$3:$C127,$A106,OtrosR!$B$3:$B127,AT$1))</f>
        <v>0</v>
      </c>
      <c r="AU106" s="35">
        <f>SUM(SUMIFS(OtrosR!$Q$3:$Q127,OtrosR!$C$3:$C127,$A106,OtrosR!$B$3:$B127,AU$1))</f>
        <v>0</v>
      </c>
      <c r="AV106" s="36">
        <f>SUM(SUMIFS(OtrosR!$Q$3:$Q127,OtrosR!$C$3:$C127,$A106,OtrosR!$B$3:$B127,AV$1))</f>
        <v>0</v>
      </c>
      <c r="AW106" s="35">
        <f>SUM(SUMIFS(OtrosR!$Q$3:$Q127,OtrosR!$C$3:$C127,$A106,OtrosR!$B$3:$B127,AW$1))</f>
        <v>0</v>
      </c>
      <c r="AX106" s="36">
        <f>SUM(SUMIFS(OtrosR!$Q$3:$Q127,OtrosR!$C$3:$C127,$A106,OtrosR!$B$3:$B127,AX$1))</f>
        <v>0</v>
      </c>
      <c r="AY106" s="35">
        <f>SUM(SUMIFS(OtrosR!$Q$3:$Q127,OtrosR!$C$3:$C127,$A106,OtrosR!$B$3:$B127,AY$1))</f>
        <v>0</v>
      </c>
      <c r="AZ106" s="35"/>
    </row>
    <row r="107" ht="15.75" customHeight="1">
      <c r="A107" s="40" t="str">
        <f>Menus!Q3</f>
        <v/>
      </c>
      <c r="B107" s="32">
        <f t="shared" si="13"/>
        <v>0</v>
      </c>
      <c r="C107" s="33" t="str">
        <f t="shared" si="14"/>
        <v/>
      </c>
      <c r="D107" s="34">
        <f>SUM(SUMIFS(OtrosR!$Q$3:$Q127,OtrosR!$C$3:$C127,$A107,OtrosR!$B$3:$B127,D$1))</f>
        <v>0</v>
      </c>
      <c r="E107" s="37">
        <f>SUM(SUMIFS(OtrosR!$Q$3:$Q127,OtrosR!$C$3:$C127,$A107,OtrosR!$B$3:$B127,E$1))</f>
        <v>0</v>
      </c>
      <c r="F107" s="32">
        <f>SUM(SUMIFS(OtrosR!$Q$3:$Q127,OtrosR!$C$3:$C127,$A107,OtrosR!$B$3:$B127,F$1))</f>
        <v>0</v>
      </c>
      <c r="G107" s="37">
        <f>SUM(SUMIFS(OtrosR!$Q$3:$Q127,OtrosR!$C$3:$C127,$A107,OtrosR!$B$3:$B127,G$1))</f>
        <v>0</v>
      </c>
      <c r="H107" s="32">
        <f>SUM(SUMIFS(OtrosR!$Q$3:$Q127,OtrosR!$C$3:$C127,$A107,OtrosR!$B$3:$B127,H$1))</f>
        <v>0</v>
      </c>
      <c r="I107" s="37">
        <f>SUM(SUMIFS(OtrosR!$Q$3:$Q127,OtrosR!$C$3:$C127,$A107,OtrosR!$B$3:$B127,I$1))</f>
        <v>0</v>
      </c>
      <c r="J107" s="32">
        <f>SUM(SUMIFS(OtrosR!$Q$3:$Q127,OtrosR!$C$3:$C127,$A107,OtrosR!$B$3:$B127,J$1))</f>
        <v>0</v>
      </c>
      <c r="K107" s="37">
        <f>SUM(SUMIFS(OtrosR!$Q$3:$Q127,OtrosR!$C$3:$C127,$A107,OtrosR!$B$3:$B127,K$1))</f>
        <v>0</v>
      </c>
      <c r="L107" s="32">
        <f>SUM(SUMIFS(OtrosR!$Q$3:$Q127,OtrosR!$C$3:$C127,$A107,OtrosR!$B$3:$B127,L$1))</f>
        <v>0</v>
      </c>
      <c r="M107" s="37">
        <f>SUM(SUMIFS(OtrosR!$Q$3:$Q127,OtrosR!$C$3:$C127,$A107,OtrosR!$B$3:$B127,M$1))</f>
        <v>0</v>
      </c>
      <c r="N107" s="32">
        <f>SUM(SUMIFS(OtrosR!$Q$3:$Q127,OtrosR!$C$3:$C127,$A107,OtrosR!$B$3:$B127,N$1))</f>
        <v>0</v>
      </c>
      <c r="O107" s="37">
        <f>SUM(SUMIFS(OtrosR!$Q$3:$Q127,OtrosR!$C$3:$C127,$A107,OtrosR!$B$3:$B127,O$1))</f>
        <v>0</v>
      </c>
      <c r="P107" s="32">
        <f>SUM(SUMIFS(OtrosR!$Q$3:$Q127,OtrosR!$C$3:$C127,$A107,OtrosR!$B$3:$B127,P$1))</f>
        <v>0</v>
      </c>
      <c r="Q107" s="37">
        <f>SUM(SUMIFS(OtrosR!$Q$3:$Q127,OtrosR!$C$3:$C127,$A107,OtrosR!$B$3:$B127,Q$1))</f>
        <v>0</v>
      </c>
      <c r="R107" s="32">
        <f>SUM(SUMIFS(OtrosR!$Q$3:$Q127,OtrosR!$C$3:$C127,$A107,OtrosR!$B$3:$B127,R$1))</f>
        <v>0</v>
      </c>
      <c r="S107" s="37">
        <f>SUM(SUMIFS(OtrosR!$Q$3:$Q127,OtrosR!$C$3:$C127,$A107,OtrosR!$B$3:$B127,S$1))</f>
        <v>0</v>
      </c>
      <c r="T107" s="36">
        <f>SUM(SUMIFS(OtrosR!$Q$3:$Q127,OtrosR!$C$3:$C127,$A107,OtrosR!$B$3:$B127,T$1))</f>
        <v>0</v>
      </c>
      <c r="U107" s="37">
        <f>SUM(SUMIFS(OtrosR!$Q$3:$Q127,OtrosR!$C$3:$C127,$A107,OtrosR!$B$3:$B127,U$1))</f>
        <v>0</v>
      </c>
      <c r="V107" s="36">
        <f>SUM(SUMIFS(OtrosR!$Q$3:$Q127,OtrosR!$C$3:$C127,$A107,OtrosR!$B$3:$B127,V$1))</f>
        <v>0</v>
      </c>
      <c r="W107" s="37">
        <f>SUM(SUMIFS(OtrosR!$Q$3:$Q127,OtrosR!$C$3:$C127,$A107,OtrosR!$B$3:$B127,W$1))</f>
        <v>0</v>
      </c>
      <c r="X107" s="36">
        <f>SUM(SUMIFS(OtrosR!$Q$3:$Q127,OtrosR!$C$3:$C127,$A107,OtrosR!$B$3:$B127,X$1))</f>
        <v>0</v>
      </c>
      <c r="Y107" s="37">
        <f>SUM(SUMIFS(OtrosR!$Q$3:$Q127,OtrosR!$C$3:$C127,$A107,OtrosR!$B$3:$B127,Y$1))</f>
        <v>0</v>
      </c>
      <c r="Z107" s="36">
        <f>SUM(SUMIFS(OtrosR!$Q$3:$Q127,OtrosR!$C$3:$C127,$A107,OtrosR!$B$3:$B127,Z$1))</f>
        <v>0</v>
      </c>
      <c r="AA107" s="37">
        <f>SUM(SUMIFS(OtrosR!$Q$3:$Q127,OtrosR!$C$3:$C127,$A107,OtrosR!$B$3:$B127,AA$1))</f>
        <v>0</v>
      </c>
      <c r="AB107" s="36">
        <f>SUM(SUMIFS(OtrosR!$Q$3:$Q127,OtrosR!$C$3:$C127,$A107,OtrosR!$B$3:$B127,AB$1))</f>
        <v>0</v>
      </c>
      <c r="AC107" s="37">
        <f>SUM(SUMIFS(OtrosR!$Q$3:$Q127,OtrosR!$C$3:$C127,$A107,OtrosR!$B$3:$B127,AC$1))</f>
        <v>0</v>
      </c>
      <c r="AD107" s="36">
        <f>SUM(SUMIFS(OtrosR!$Q$3:$Q127,OtrosR!$C$3:$C127,$A107,OtrosR!$B$3:$B127,AD$1))</f>
        <v>0</v>
      </c>
      <c r="AE107" s="37">
        <f>SUM(SUMIFS(OtrosR!$Q$3:$Q127,OtrosR!$C$3:$C127,$A107,OtrosR!$B$3:$B127,AE$1))</f>
        <v>0</v>
      </c>
      <c r="AF107" s="36">
        <f>SUM(SUMIFS(OtrosR!$Q$3:$Q127,OtrosR!$C$3:$C127,$A107,OtrosR!$B$3:$B127,AF$1))</f>
        <v>0</v>
      </c>
      <c r="AG107" s="37">
        <f>SUM(SUMIFS(OtrosR!$Q$3:$Q127,OtrosR!$C$3:$C127,$A107,OtrosR!$B$3:$B127,AG$1))</f>
        <v>0</v>
      </c>
      <c r="AH107" s="36">
        <f>SUM(SUMIFS(OtrosR!$Q$3:$Q127,OtrosR!$C$3:$C127,$A107,OtrosR!$B$3:$B127,AH$1))</f>
        <v>0</v>
      </c>
      <c r="AI107" s="37">
        <f>SUM(SUMIFS(OtrosR!$Q$3:$Q127,OtrosR!$C$3:$C127,$A107,OtrosR!$B$3:$B127,AI$1))</f>
        <v>0</v>
      </c>
      <c r="AJ107" s="36">
        <f>SUM(SUMIFS(OtrosR!$Q$3:$Q127,OtrosR!$C$3:$C127,$A107,OtrosR!$B$3:$B127,AJ$1))</f>
        <v>0</v>
      </c>
      <c r="AK107" s="37">
        <f>SUM(SUMIFS(OtrosR!$Q$3:$Q127,OtrosR!$C$3:$C127,$A107,OtrosR!$B$3:$B127,AK$1))</f>
        <v>0</v>
      </c>
      <c r="AL107" s="36">
        <f>SUM(SUMIFS(OtrosR!$Q$3:$Q127,OtrosR!$C$3:$C127,$A107,OtrosR!$B$3:$B127,AL$1))</f>
        <v>0</v>
      </c>
      <c r="AM107" s="37">
        <f>SUM(SUMIFS(OtrosR!$Q$3:$Q127,OtrosR!$C$3:$C127,$A107,OtrosR!$B$3:$B127,AM$1))</f>
        <v>0</v>
      </c>
      <c r="AN107" s="32">
        <f>SUM(SUMIFS(OtrosR!$Q$3:$Q127,OtrosR!$C$3:$C127,$A107,OtrosR!$B$3:$B127,AN$1))</f>
        <v>0</v>
      </c>
      <c r="AO107" s="35">
        <f>SUM(SUMIFS(OtrosR!$Q$3:$Q127,OtrosR!$C$3:$C127,$A107,OtrosR!$B$3:$B127,AO$1))</f>
        <v>0</v>
      </c>
      <c r="AP107" s="36">
        <f>SUM(SUMIFS(OtrosR!$Q$3:$Q127,OtrosR!$C$3:$C127,$A107,OtrosR!$B$3:$B127,AP$1))</f>
        <v>0</v>
      </c>
      <c r="AQ107" s="35">
        <f>SUM(SUMIFS(OtrosR!$Q$3:$Q127,OtrosR!$C$3:$C127,$A107,OtrosR!$B$3:$B127,AQ$1))</f>
        <v>0</v>
      </c>
      <c r="AR107" s="36">
        <f>SUM(SUMIFS(OtrosR!$Q$3:$Q127,OtrosR!$C$3:$C127,$A107,OtrosR!$B$3:$B127,AR$1))</f>
        <v>0</v>
      </c>
      <c r="AS107" s="35">
        <f>SUM(SUMIFS(OtrosR!$Q$3:$Q127,OtrosR!$C$3:$C127,$A107,OtrosR!$B$3:$B127,AS$1))</f>
        <v>0</v>
      </c>
      <c r="AT107" s="36">
        <f>SUM(SUMIFS(OtrosR!$Q$3:$Q127,OtrosR!$C$3:$C127,$A107,OtrosR!$B$3:$B127,AT$1))</f>
        <v>0</v>
      </c>
      <c r="AU107" s="35">
        <f>SUM(SUMIFS(OtrosR!$Q$3:$Q127,OtrosR!$C$3:$C127,$A107,OtrosR!$B$3:$B127,AU$1))</f>
        <v>0</v>
      </c>
      <c r="AV107" s="36">
        <f>SUM(SUMIFS(OtrosR!$Q$3:$Q127,OtrosR!$C$3:$C127,$A107,OtrosR!$B$3:$B127,AV$1))</f>
        <v>0</v>
      </c>
      <c r="AW107" s="35">
        <f>SUM(SUMIFS(OtrosR!$Q$3:$Q127,OtrosR!$C$3:$C127,$A107,OtrosR!$B$3:$B127,AW$1))</f>
        <v>0</v>
      </c>
      <c r="AX107" s="36">
        <f>SUM(SUMIFS(OtrosR!$Q$3:$Q127,OtrosR!$C$3:$C127,$A107,OtrosR!$B$3:$B127,AX$1))</f>
        <v>0</v>
      </c>
      <c r="AY107" s="35">
        <f>SUM(SUMIFS(OtrosR!$Q$3:$Q127,OtrosR!$C$3:$C127,$A107,OtrosR!$B$3:$B127,AY$1))</f>
        <v>0</v>
      </c>
      <c r="AZ107" s="35"/>
    </row>
    <row r="108" ht="15.75" customHeight="1">
      <c r="A108" s="40" t="str">
        <f>Menus!Q4</f>
        <v/>
      </c>
      <c r="B108" s="32">
        <f t="shared" si="13"/>
        <v>0</v>
      </c>
      <c r="C108" s="33" t="str">
        <f t="shared" si="14"/>
        <v/>
      </c>
      <c r="D108" s="34">
        <f>SUM(SUMIFS(OtrosR!$Q$3:$Q127,OtrosR!$C$3:$C127,$A108,OtrosR!$B$3:$B127,D$1))</f>
        <v>0</v>
      </c>
      <c r="E108" s="37">
        <f>SUM(SUMIFS(OtrosR!$Q$3:$Q127,OtrosR!$C$3:$C127,$A108,OtrosR!$B$3:$B127,E$1))</f>
        <v>0</v>
      </c>
      <c r="F108" s="32">
        <f>SUM(SUMIFS(OtrosR!$Q$3:$Q127,OtrosR!$C$3:$C127,$A108,OtrosR!$B$3:$B127,F$1))</f>
        <v>0</v>
      </c>
      <c r="G108" s="37">
        <f>SUM(SUMIFS(OtrosR!$Q$3:$Q127,OtrosR!$C$3:$C127,$A108,OtrosR!$B$3:$B127,G$1))</f>
        <v>0</v>
      </c>
      <c r="H108" s="32">
        <f>SUM(SUMIFS(OtrosR!$Q$3:$Q127,OtrosR!$C$3:$C127,$A108,OtrosR!$B$3:$B127,H$1))</f>
        <v>0</v>
      </c>
      <c r="I108" s="37">
        <f>SUM(SUMIFS(OtrosR!$Q$3:$Q127,OtrosR!$C$3:$C127,$A108,OtrosR!$B$3:$B127,I$1))</f>
        <v>0</v>
      </c>
      <c r="J108" s="32">
        <f>SUM(SUMIFS(OtrosR!$Q$3:$Q127,OtrosR!$C$3:$C127,$A108,OtrosR!$B$3:$B127,J$1))</f>
        <v>0</v>
      </c>
      <c r="K108" s="37">
        <f>SUM(SUMIFS(OtrosR!$Q$3:$Q127,OtrosR!$C$3:$C127,$A108,OtrosR!$B$3:$B127,K$1))</f>
        <v>0</v>
      </c>
      <c r="L108" s="32">
        <f>SUM(SUMIFS(OtrosR!$Q$3:$Q127,OtrosR!$C$3:$C127,$A108,OtrosR!$B$3:$B127,L$1))</f>
        <v>0</v>
      </c>
      <c r="M108" s="37">
        <f>SUM(SUMIFS(OtrosR!$Q$3:$Q127,OtrosR!$C$3:$C127,$A108,OtrosR!$B$3:$B127,M$1))</f>
        <v>0</v>
      </c>
      <c r="N108" s="32">
        <f>SUM(SUMIFS(OtrosR!$Q$3:$Q127,OtrosR!$C$3:$C127,$A108,OtrosR!$B$3:$B127,N$1))</f>
        <v>0</v>
      </c>
      <c r="O108" s="37">
        <f>SUM(SUMIFS(OtrosR!$Q$3:$Q127,OtrosR!$C$3:$C127,$A108,OtrosR!$B$3:$B127,O$1))</f>
        <v>0</v>
      </c>
      <c r="P108" s="32">
        <f>SUM(SUMIFS(OtrosR!$Q$3:$Q127,OtrosR!$C$3:$C127,$A108,OtrosR!$B$3:$B127,P$1))</f>
        <v>0</v>
      </c>
      <c r="Q108" s="37">
        <f>SUM(SUMIFS(OtrosR!$Q$3:$Q127,OtrosR!$C$3:$C127,$A108,OtrosR!$B$3:$B127,Q$1))</f>
        <v>0</v>
      </c>
      <c r="R108" s="32">
        <f>SUM(SUMIFS(OtrosR!$Q$3:$Q127,OtrosR!$C$3:$C127,$A108,OtrosR!$B$3:$B127,R$1))</f>
        <v>0</v>
      </c>
      <c r="S108" s="37">
        <f>SUM(SUMIFS(OtrosR!$Q$3:$Q127,OtrosR!$C$3:$C127,$A108,OtrosR!$B$3:$B127,S$1))</f>
        <v>0</v>
      </c>
      <c r="T108" s="36">
        <f>SUM(SUMIFS(OtrosR!$Q$3:$Q127,OtrosR!$C$3:$C127,$A108,OtrosR!$B$3:$B127,T$1))</f>
        <v>0</v>
      </c>
      <c r="U108" s="37">
        <f>SUM(SUMIFS(OtrosR!$Q$3:$Q127,OtrosR!$C$3:$C127,$A108,OtrosR!$B$3:$B127,U$1))</f>
        <v>0</v>
      </c>
      <c r="V108" s="36">
        <f>SUM(SUMIFS(OtrosR!$Q$3:$Q127,OtrosR!$C$3:$C127,$A108,OtrosR!$B$3:$B127,V$1))</f>
        <v>0</v>
      </c>
      <c r="W108" s="37">
        <f>SUM(SUMIFS(OtrosR!$Q$3:$Q127,OtrosR!$C$3:$C127,$A108,OtrosR!$B$3:$B127,W$1))</f>
        <v>0</v>
      </c>
      <c r="X108" s="36">
        <f>SUM(SUMIFS(OtrosR!$Q$3:$Q127,OtrosR!$C$3:$C127,$A108,OtrosR!$B$3:$B127,X$1))</f>
        <v>0</v>
      </c>
      <c r="Y108" s="37">
        <f>SUM(SUMIFS(OtrosR!$Q$3:$Q127,OtrosR!$C$3:$C127,$A108,OtrosR!$B$3:$B127,Y$1))</f>
        <v>0</v>
      </c>
      <c r="Z108" s="36">
        <f>SUM(SUMIFS(OtrosR!$Q$3:$Q127,OtrosR!$C$3:$C127,$A108,OtrosR!$B$3:$B127,Z$1))</f>
        <v>0</v>
      </c>
      <c r="AA108" s="37">
        <f>SUM(SUMIFS(OtrosR!$Q$3:$Q127,OtrosR!$C$3:$C127,$A108,OtrosR!$B$3:$B127,AA$1))</f>
        <v>0</v>
      </c>
      <c r="AB108" s="36">
        <f>SUM(SUMIFS(OtrosR!$Q$3:$Q127,OtrosR!$C$3:$C127,$A108,OtrosR!$B$3:$B127,AB$1))</f>
        <v>0</v>
      </c>
      <c r="AC108" s="37">
        <f>SUM(SUMIFS(OtrosR!$Q$3:$Q127,OtrosR!$C$3:$C127,$A108,OtrosR!$B$3:$B127,AC$1))</f>
        <v>0</v>
      </c>
      <c r="AD108" s="36">
        <f>SUM(SUMIFS(OtrosR!$Q$3:$Q127,OtrosR!$C$3:$C127,$A108,OtrosR!$B$3:$B127,AD$1))</f>
        <v>0</v>
      </c>
      <c r="AE108" s="37">
        <f>SUM(SUMIFS(OtrosR!$Q$3:$Q127,OtrosR!$C$3:$C127,$A108,OtrosR!$B$3:$B127,AE$1))</f>
        <v>0</v>
      </c>
      <c r="AF108" s="36">
        <f>SUM(SUMIFS(OtrosR!$Q$3:$Q127,OtrosR!$C$3:$C127,$A108,OtrosR!$B$3:$B127,AF$1))</f>
        <v>0</v>
      </c>
      <c r="AG108" s="37">
        <f>SUM(SUMIFS(OtrosR!$Q$3:$Q127,OtrosR!$C$3:$C127,$A108,OtrosR!$B$3:$B127,AG$1))</f>
        <v>0</v>
      </c>
      <c r="AH108" s="36">
        <f>SUM(SUMIFS(OtrosR!$Q$3:$Q127,OtrosR!$C$3:$C127,$A108,OtrosR!$B$3:$B127,AH$1))</f>
        <v>0</v>
      </c>
      <c r="AI108" s="37">
        <f>SUM(SUMIFS(OtrosR!$Q$3:$Q127,OtrosR!$C$3:$C127,$A108,OtrosR!$B$3:$B127,AI$1))</f>
        <v>0</v>
      </c>
      <c r="AJ108" s="36">
        <f>SUM(SUMIFS(OtrosR!$Q$3:$Q127,OtrosR!$C$3:$C127,$A108,OtrosR!$B$3:$B127,AJ$1))</f>
        <v>0</v>
      </c>
      <c r="AK108" s="37">
        <f>SUM(SUMIFS(OtrosR!$Q$3:$Q127,OtrosR!$C$3:$C127,$A108,OtrosR!$B$3:$B127,AK$1))</f>
        <v>0</v>
      </c>
      <c r="AL108" s="36">
        <f>SUM(SUMIFS(OtrosR!$Q$3:$Q127,OtrosR!$C$3:$C127,$A108,OtrosR!$B$3:$B127,AL$1))</f>
        <v>0</v>
      </c>
      <c r="AM108" s="37">
        <f>SUM(SUMIFS(OtrosR!$Q$3:$Q127,OtrosR!$C$3:$C127,$A108,OtrosR!$B$3:$B127,AM$1))</f>
        <v>0</v>
      </c>
      <c r="AN108" s="32">
        <f>SUM(SUMIFS(OtrosR!$Q$3:$Q127,OtrosR!$C$3:$C127,$A108,OtrosR!$B$3:$B127,AN$1))</f>
        <v>0</v>
      </c>
      <c r="AO108" s="35">
        <f>SUM(SUMIFS(OtrosR!$Q$3:$Q127,OtrosR!$C$3:$C127,$A108,OtrosR!$B$3:$B127,AO$1))</f>
        <v>0</v>
      </c>
      <c r="AP108" s="36">
        <f>SUM(SUMIFS(OtrosR!$Q$3:$Q127,OtrosR!$C$3:$C127,$A108,OtrosR!$B$3:$B127,AP$1))</f>
        <v>0</v>
      </c>
      <c r="AQ108" s="35">
        <f>SUM(SUMIFS(OtrosR!$Q$3:$Q127,OtrosR!$C$3:$C127,$A108,OtrosR!$B$3:$B127,AQ$1))</f>
        <v>0</v>
      </c>
      <c r="AR108" s="36">
        <f>SUM(SUMIFS(OtrosR!$Q$3:$Q127,OtrosR!$C$3:$C127,$A108,OtrosR!$B$3:$B127,AR$1))</f>
        <v>0</v>
      </c>
      <c r="AS108" s="35">
        <f>SUM(SUMIFS(OtrosR!$Q$3:$Q127,OtrosR!$C$3:$C127,$A108,OtrosR!$B$3:$B127,AS$1))</f>
        <v>0</v>
      </c>
      <c r="AT108" s="36">
        <f>SUM(SUMIFS(OtrosR!$Q$3:$Q127,OtrosR!$C$3:$C127,$A108,OtrosR!$B$3:$B127,AT$1))</f>
        <v>0</v>
      </c>
      <c r="AU108" s="35">
        <f>SUM(SUMIFS(OtrosR!$Q$3:$Q127,OtrosR!$C$3:$C127,$A108,OtrosR!$B$3:$B127,AU$1))</f>
        <v>0</v>
      </c>
      <c r="AV108" s="36">
        <f>SUM(SUMIFS(OtrosR!$Q$3:$Q127,OtrosR!$C$3:$C127,$A108,OtrosR!$B$3:$B127,AV$1))</f>
        <v>0</v>
      </c>
      <c r="AW108" s="35">
        <f>SUM(SUMIFS(OtrosR!$Q$3:$Q127,OtrosR!$C$3:$C127,$A108,OtrosR!$B$3:$B127,AW$1))</f>
        <v>0</v>
      </c>
      <c r="AX108" s="36">
        <f>SUM(SUMIFS(OtrosR!$Q$3:$Q127,OtrosR!$C$3:$C127,$A108,OtrosR!$B$3:$B127,AX$1))</f>
        <v>0</v>
      </c>
      <c r="AY108" s="35">
        <f>SUM(SUMIFS(OtrosR!$Q$3:$Q127,OtrosR!$C$3:$C127,$A108,OtrosR!$B$3:$B127,AY$1))</f>
        <v>0</v>
      </c>
      <c r="AZ108" s="35"/>
    </row>
    <row r="109" ht="15.75" customHeight="1">
      <c r="A109" s="40" t="str">
        <f>Menus!Q5</f>
        <v/>
      </c>
      <c r="B109" s="32">
        <f t="shared" si="13"/>
        <v>0</v>
      </c>
      <c r="C109" s="33" t="str">
        <f t="shared" si="14"/>
        <v/>
      </c>
      <c r="D109" s="34">
        <f>SUM(SUMIFS(OtrosR!$Q$3:$Q127,OtrosR!$C$3:$C127,$A109,OtrosR!$B$3:$B127,D$1))</f>
        <v>0</v>
      </c>
      <c r="E109" s="37">
        <f>SUM(SUMIFS(OtrosR!$Q$3:$Q127,OtrosR!$C$3:$C127,$A109,OtrosR!$B$3:$B127,E$1))</f>
        <v>0</v>
      </c>
      <c r="F109" s="32">
        <f>SUM(SUMIFS(OtrosR!$Q$3:$Q127,OtrosR!$C$3:$C127,$A109,OtrosR!$B$3:$B127,F$1))</f>
        <v>0</v>
      </c>
      <c r="G109" s="37">
        <f>SUM(SUMIFS(OtrosR!$Q$3:$Q127,OtrosR!$C$3:$C127,$A109,OtrosR!$B$3:$B127,G$1))</f>
        <v>0</v>
      </c>
      <c r="H109" s="32">
        <f>SUM(SUMIFS(OtrosR!$Q$3:$Q127,OtrosR!$C$3:$C127,$A109,OtrosR!$B$3:$B127,H$1))</f>
        <v>0</v>
      </c>
      <c r="I109" s="37">
        <f>SUM(SUMIFS(OtrosR!$Q$3:$Q127,OtrosR!$C$3:$C127,$A109,OtrosR!$B$3:$B127,I$1))</f>
        <v>0</v>
      </c>
      <c r="J109" s="32">
        <f>SUM(SUMIFS(OtrosR!$Q$3:$Q127,OtrosR!$C$3:$C127,$A109,OtrosR!$B$3:$B127,J$1))</f>
        <v>0</v>
      </c>
      <c r="K109" s="37">
        <f>SUM(SUMIFS(OtrosR!$Q$3:$Q127,OtrosR!$C$3:$C127,$A109,OtrosR!$B$3:$B127,K$1))</f>
        <v>0</v>
      </c>
      <c r="L109" s="32">
        <f>SUM(SUMIFS(OtrosR!$Q$3:$Q127,OtrosR!$C$3:$C127,$A109,OtrosR!$B$3:$B127,L$1))</f>
        <v>0</v>
      </c>
      <c r="M109" s="37">
        <f>SUM(SUMIFS(OtrosR!$Q$3:$Q127,OtrosR!$C$3:$C127,$A109,OtrosR!$B$3:$B127,M$1))</f>
        <v>0</v>
      </c>
      <c r="N109" s="32">
        <f>SUM(SUMIFS(OtrosR!$Q$3:$Q127,OtrosR!$C$3:$C127,$A109,OtrosR!$B$3:$B127,N$1))</f>
        <v>0</v>
      </c>
      <c r="O109" s="37">
        <f>SUM(SUMIFS(OtrosR!$Q$3:$Q127,OtrosR!$C$3:$C127,$A109,OtrosR!$B$3:$B127,O$1))</f>
        <v>0</v>
      </c>
      <c r="P109" s="32">
        <f>SUM(SUMIFS(OtrosR!$Q$3:$Q127,OtrosR!$C$3:$C127,$A109,OtrosR!$B$3:$B127,P$1))</f>
        <v>0</v>
      </c>
      <c r="Q109" s="37">
        <f>SUM(SUMIFS(OtrosR!$Q$3:$Q127,OtrosR!$C$3:$C127,$A109,OtrosR!$B$3:$B127,Q$1))</f>
        <v>0</v>
      </c>
      <c r="R109" s="32">
        <f>SUM(SUMIFS(OtrosR!$Q$3:$Q127,OtrosR!$C$3:$C127,$A109,OtrosR!$B$3:$B127,R$1))</f>
        <v>0</v>
      </c>
      <c r="S109" s="37">
        <f>SUM(SUMIFS(OtrosR!$Q$3:$Q127,OtrosR!$C$3:$C127,$A109,OtrosR!$B$3:$B127,S$1))</f>
        <v>0</v>
      </c>
      <c r="T109" s="36">
        <f>SUM(SUMIFS(OtrosR!$Q$3:$Q127,OtrosR!$C$3:$C127,$A109,OtrosR!$B$3:$B127,T$1))</f>
        <v>0</v>
      </c>
      <c r="U109" s="37">
        <f>SUM(SUMIFS(OtrosR!$Q$3:$Q127,OtrosR!$C$3:$C127,$A109,OtrosR!$B$3:$B127,U$1))</f>
        <v>0</v>
      </c>
      <c r="V109" s="36">
        <f>SUM(SUMIFS(OtrosR!$Q$3:$Q127,OtrosR!$C$3:$C127,$A109,OtrosR!$B$3:$B127,V$1))</f>
        <v>0</v>
      </c>
      <c r="W109" s="37">
        <f>SUM(SUMIFS(OtrosR!$Q$3:$Q127,OtrosR!$C$3:$C127,$A109,OtrosR!$B$3:$B127,W$1))</f>
        <v>0</v>
      </c>
      <c r="X109" s="36">
        <f>SUM(SUMIFS(OtrosR!$Q$3:$Q127,OtrosR!$C$3:$C127,$A109,OtrosR!$B$3:$B127,X$1))</f>
        <v>0</v>
      </c>
      <c r="Y109" s="37">
        <f>SUM(SUMIFS(OtrosR!$Q$3:$Q127,OtrosR!$C$3:$C127,$A109,OtrosR!$B$3:$B127,Y$1))</f>
        <v>0</v>
      </c>
      <c r="Z109" s="36">
        <f>SUM(SUMIFS(OtrosR!$Q$3:$Q127,OtrosR!$C$3:$C127,$A109,OtrosR!$B$3:$B127,Z$1))</f>
        <v>0</v>
      </c>
      <c r="AA109" s="37">
        <f>SUM(SUMIFS(OtrosR!$Q$3:$Q127,OtrosR!$C$3:$C127,$A109,OtrosR!$B$3:$B127,AA$1))</f>
        <v>0</v>
      </c>
      <c r="AB109" s="36">
        <f>SUM(SUMIFS(OtrosR!$Q$3:$Q127,OtrosR!$C$3:$C127,$A109,OtrosR!$B$3:$B127,AB$1))</f>
        <v>0</v>
      </c>
      <c r="AC109" s="37">
        <f>SUM(SUMIFS(OtrosR!$Q$3:$Q127,OtrosR!$C$3:$C127,$A109,OtrosR!$B$3:$B127,AC$1))</f>
        <v>0</v>
      </c>
      <c r="AD109" s="36">
        <f>SUM(SUMIFS(OtrosR!$Q$3:$Q127,OtrosR!$C$3:$C127,$A109,OtrosR!$B$3:$B127,AD$1))</f>
        <v>0</v>
      </c>
      <c r="AE109" s="37">
        <f>SUM(SUMIFS(OtrosR!$Q$3:$Q127,OtrosR!$C$3:$C127,$A109,OtrosR!$B$3:$B127,AE$1))</f>
        <v>0</v>
      </c>
      <c r="AF109" s="36">
        <f>SUM(SUMIFS(OtrosR!$Q$3:$Q127,OtrosR!$C$3:$C127,$A109,OtrosR!$B$3:$B127,AF$1))</f>
        <v>0</v>
      </c>
      <c r="AG109" s="37">
        <f>SUM(SUMIFS(OtrosR!$Q$3:$Q127,OtrosR!$C$3:$C127,$A109,OtrosR!$B$3:$B127,AG$1))</f>
        <v>0</v>
      </c>
      <c r="AH109" s="36">
        <f>SUM(SUMIFS(OtrosR!$Q$3:$Q127,OtrosR!$C$3:$C127,$A109,OtrosR!$B$3:$B127,AH$1))</f>
        <v>0</v>
      </c>
      <c r="AI109" s="37">
        <f>SUM(SUMIFS(OtrosR!$Q$3:$Q127,OtrosR!$C$3:$C127,$A109,OtrosR!$B$3:$B127,AI$1))</f>
        <v>0</v>
      </c>
      <c r="AJ109" s="36">
        <f>SUM(SUMIFS(OtrosR!$Q$3:$Q127,OtrosR!$C$3:$C127,$A109,OtrosR!$B$3:$B127,AJ$1))</f>
        <v>0</v>
      </c>
      <c r="AK109" s="37">
        <f>SUM(SUMIFS(OtrosR!$Q$3:$Q127,OtrosR!$C$3:$C127,$A109,OtrosR!$B$3:$B127,AK$1))</f>
        <v>0</v>
      </c>
      <c r="AL109" s="36">
        <f>SUM(SUMIFS(OtrosR!$Q$3:$Q127,OtrosR!$C$3:$C127,$A109,OtrosR!$B$3:$B127,AL$1))</f>
        <v>0</v>
      </c>
      <c r="AM109" s="37">
        <f>SUM(SUMIFS(OtrosR!$Q$3:$Q127,OtrosR!$C$3:$C127,$A109,OtrosR!$B$3:$B127,AM$1))</f>
        <v>0</v>
      </c>
      <c r="AN109" s="32">
        <f>SUM(SUMIFS(OtrosR!$Q$3:$Q127,OtrosR!$C$3:$C127,$A109,OtrosR!$B$3:$B127,AN$1))</f>
        <v>0</v>
      </c>
      <c r="AO109" s="35">
        <f>SUM(SUMIFS(OtrosR!$Q$3:$Q127,OtrosR!$C$3:$C127,$A109,OtrosR!$B$3:$B127,AO$1))</f>
        <v>0</v>
      </c>
      <c r="AP109" s="36">
        <f>SUM(SUMIFS(OtrosR!$Q$3:$Q127,OtrosR!$C$3:$C127,$A109,OtrosR!$B$3:$B127,AP$1))</f>
        <v>0</v>
      </c>
      <c r="AQ109" s="35">
        <f>SUM(SUMIFS(OtrosR!$Q$3:$Q127,OtrosR!$C$3:$C127,$A109,OtrosR!$B$3:$B127,AQ$1))</f>
        <v>0</v>
      </c>
      <c r="AR109" s="36">
        <f>SUM(SUMIFS(OtrosR!$Q$3:$Q127,OtrosR!$C$3:$C127,$A109,OtrosR!$B$3:$B127,AR$1))</f>
        <v>0</v>
      </c>
      <c r="AS109" s="35">
        <f>SUM(SUMIFS(OtrosR!$Q$3:$Q127,OtrosR!$C$3:$C127,$A109,OtrosR!$B$3:$B127,AS$1))</f>
        <v>0</v>
      </c>
      <c r="AT109" s="36">
        <f>SUM(SUMIFS(OtrosR!$Q$3:$Q127,OtrosR!$C$3:$C127,$A109,OtrosR!$B$3:$B127,AT$1))</f>
        <v>0</v>
      </c>
      <c r="AU109" s="35">
        <f>SUM(SUMIFS(OtrosR!$Q$3:$Q127,OtrosR!$C$3:$C127,$A109,OtrosR!$B$3:$B127,AU$1))</f>
        <v>0</v>
      </c>
      <c r="AV109" s="36">
        <f>SUM(SUMIFS(OtrosR!$Q$3:$Q127,OtrosR!$C$3:$C127,$A109,OtrosR!$B$3:$B127,AV$1))</f>
        <v>0</v>
      </c>
      <c r="AW109" s="35">
        <f>SUM(SUMIFS(OtrosR!$Q$3:$Q127,OtrosR!$C$3:$C127,$A109,OtrosR!$B$3:$B127,AW$1))</f>
        <v>0</v>
      </c>
      <c r="AX109" s="36">
        <f>SUM(SUMIFS(OtrosR!$Q$3:$Q127,OtrosR!$C$3:$C127,$A109,OtrosR!$B$3:$B127,AX$1))</f>
        <v>0</v>
      </c>
      <c r="AY109" s="35">
        <f>SUM(SUMIFS(OtrosR!$Q$3:$Q127,OtrosR!$C$3:$C127,$A109,OtrosR!$B$3:$B127,AY$1))</f>
        <v>0</v>
      </c>
      <c r="AZ109" s="35"/>
    </row>
    <row r="110" ht="15.75" customHeight="1">
      <c r="A110" s="40" t="str">
        <f>Menus!Q6</f>
        <v/>
      </c>
      <c r="B110" s="32">
        <f t="shared" si="13"/>
        <v>0</v>
      </c>
      <c r="C110" s="33" t="str">
        <f t="shared" si="14"/>
        <v/>
      </c>
      <c r="D110" s="34">
        <f>SUM(SUMIFS(OtrosR!$Q$3:$Q127,OtrosR!$C$3:$C127,$A110,OtrosR!$B$3:$B127,D$1))</f>
        <v>0</v>
      </c>
      <c r="E110" s="37">
        <f>SUM(SUMIFS(OtrosR!$Q$3:$Q127,OtrosR!$C$3:$C127,$A110,OtrosR!$B$3:$B127,E$1))</f>
        <v>0</v>
      </c>
      <c r="F110" s="32">
        <f>SUM(SUMIFS(OtrosR!$Q$3:$Q127,OtrosR!$C$3:$C127,$A110,OtrosR!$B$3:$B127,F$1))</f>
        <v>0</v>
      </c>
      <c r="G110" s="37">
        <f>SUM(SUMIFS(OtrosR!$Q$3:$Q127,OtrosR!$C$3:$C127,$A110,OtrosR!$B$3:$B127,G$1))</f>
        <v>0</v>
      </c>
      <c r="H110" s="32">
        <f>SUM(SUMIFS(OtrosR!$Q$3:$Q127,OtrosR!$C$3:$C127,$A110,OtrosR!$B$3:$B127,H$1))</f>
        <v>0</v>
      </c>
      <c r="I110" s="37">
        <f>SUM(SUMIFS(OtrosR!$Q$3:$Q127,OtrosR!$C$3:$C127,$A110,OtrosR!$B$3:$B127,I$1))</f>
        <v>0</v>
      </c>
      <c r="J110" s="32">
        <f>SUM(SUMIFS(OtrosR!$Q$3:$Q127,OtrosR!$C$3:$C127,$A110,OtrosR!$B$3:$B127,J$1))</f>
        <v>0</v>
      </c>
      <c r="K110" s="37">
        <f>SUM(SUMIFS(OtrosR!$Q$3:$Q127,OtrosR!$C$3:$C127,$A110,OtrosR!$B$3:$B127,K$1))</f>
        <v>0</v>
      </c>
      <c r="L110" s="32">
        <f>SUM(SUMIFS(OtrosR!$Q$3:$Q127,OtrosR!$C$3:$C127,$A110,OtrosR!$B$3:$B127,L$1))</f>
        <v>0</v>
      </c>
      <c r="M110" s="37">
        <f>SUM(SUMIFS(OtrosR!$Q$3:$Q127,OtrosR!$C$3:$C127,$A110,OtrosR!$B$3:$B127,M$1))</f>
        <v>0</v>
      </c>
      <c r="N110" s="32">
        <f>SUM(SUMIFS(OtrosR!$Q$3:$Q127,OtrosR!$C$3:$C127,$A110,OtrosR!$B$3:$B127,N$1))</f>
        <v>0</v>
      </c>
      <c r="O110" s="37">
        <f>SUM(SUMIFS(OtrosR!$Q$3:$Q127,OtrosR!$C$3:$C127,$A110,OtrosR!$B$3:$B127,O$1))</f>
        <v>0</v>
      </c>
      <c r="P110" s="32">
        <f>SUM(SUMIFS(OtrosR!$Q$3:$Q127,OtrosR!$C$3:$C127,$A110,OtrosR!$B$3:$B127,P$1))</f>
        <v>0</v>
      </c>
      <c r="Q110" s="37">
        <f>SUM(SUMIFS(OtrosR!$Q$3:$Q127,OtrosR!$C$3:$C127,$A110,OtrosR!$B$3:$B127,Q$1))</f>
        <v>0</v>
      </c>
      <c r="R110" s="32">
        <f>SUM(SUMIFS(OtrosR!$Q$3:$Q127,OtrosR!$C$3:$C127,$A110,OtrosR!$B$3:$B127,R$1))</f>
        <v>0</v>
      </c>
      <c r="S110" s="37">
        <f>SUM(SUMIFS(OtrosR!$Q$3:$Q127,OtrosR!$C$3:$C127,$A110,OtrosR!$B$3:$B127,S$1))</f>
        <v>0</v>
      </c>
      <c r="T110" s="36">
        <f>SUM(SUMIFS(OtrosR!$Q$3:$Q127,OtrosR!$C$3:$C127,$A110,OtrosR!$B$3:$B127,T$1))</f>
        <v>0</v>
      </c>
      <c r="U110" s="37">
        <f>SUM(SUMIFS(OtrosR!$Q$3:$Q127,OtrosR!$C$3:$C127,$A110,OtrosR!$B$3:$B127,U$1))</f>
        <v>0</v>
      </c>
      <c r="V110" s="36">
        <f>SUM(SUMIFS(OtrosR!$Q$3:$Q127,OtrosR!$C$3:$C127,$A110,OtrosR!$B$3:$B127,V$1))</f>
        <v>0</v>
      </c>
      <c r="W110" s="37">
        <f>SUM(SUMIFS(OtrosR!$Q$3:$Q127,OtrosR!$C$3:$C127,$A110,OtrosR!$B$3:$B127,W$1))</f>
        <v>0</v>
      </c>
      <c r="X110" s="36">
        <f>SUM(SUMIFS(OtrosR!$Q$3:$Q127,OtrosR!$C$3:$C127,$A110,OtrosR!$B$3:$B127,X$1))</f>
        <v>0</v>
      </c>
      <c r="Y110" s="37">
        <f>SUM(SUMIFS(OtrosR!$Q$3:$Q127,OtrosR!$C$3:$C127,$A110,OtrosR!$B$3:$B127,Y$1))</f>
        <v>0</v>
      </c>
      <c r="Z110" s="36">
        <f>SUM(SUMIFS(OtrosR!$Q$3:$Q127,OtrosR!$C$3:$C127,$A110,OtrosR!$B$3:$B127,Z$1))</f>
        <v>0</v>
      </c>
      <c r="AA110" s="37">
        <f>SUM(SUMIFS(OtrosR!$Q$3:$Q127,OtrosR!$C$3:$C127,$A110,OtrosR!$B$3:$B127,AA$1))</f>
        <v>0</v>
      </c>
      <c r="AB110" s="36">
        <f>SUM(SUMIFS(OtrosR!$Q$3:$Q127,OtrosR!$C$3:$C127,$A110,OtrosR!$B$3:$B127,AB$1))</f>
        <v>0</v>
      </c>
      <c r="AC110" s="37">
        <f>SUM(SUMIFS(OtrosR!$Q$3:$Q127,OtrosR!$C$3:$C127,$A110,OtrosR!$B$3:$B127,AC$1))</f>
        <v>0</v>
      </c>
      <c r="AD110" s="36">
        <f>SUM(SUMIFS(OtrosR!$Q$3:$Q127,OtrosR!$C$3:$C127,$A110,OtrosR!$B$3:$B127,AD$1))</f>
        <v>0</v>
      </c>
      <c r="AE110" s="37">
        <f>SUM(SUMIFS(OtrosR!$Q$3:$Q127,OtrosR!$C$3:$C127,$A110,OtrosR!$B$3:$B127,AE$1))</f>
        <v>0</v>
      </c>
      <c r="AF110" s="36">
        <f>SUM(SUMIFS(OtrosR!$Q$3:$Q127,OtrosR!$C$3:$C127,$A110,OtrosR!$B$3:$B127,AF$1))</f>
        <v>0</v>
      </c>
      <c r="AG110" s="37">
        <f>SUM(SUMIFS(OtrosR!$Q$3:$Q127,OtrosR!$C$3:$C127,$A110,OtrosR!$B$3:$B127,AG$1))</f>
        <v>0</v>
      </c>
      <c r="AH110" s="36">
        <f>SUM(SUMIFS(OtrosR!$Q$3:$Q127,OtrosR!$C$3:$C127,$A110,OtrosR!$B$3:$B127,AH$1))</f>
        <v>0</v>
      </c>
      <c r="AI110" s="37">
        <f>SUM(SUMIFS(OtrosR!$Q$3:$Q127,OtrosR!$C$3:$C127,$A110,OtrosR!$B$3:$B127,AI$1))</f>
        <v>0</v>
      </c>
      <c r="AJ110" s="36">
        <f>SUM(SUMIFS(OtrosR!$Q$3:$Q127,OtrosR!$C$3:$C127,$A110,OtrosR!$B$3:$B127,AJ$1))</f>
        <v>0</v>
      </c>
      <c r="AK110" s="37">
        <f>SUM(SUMIFS(OtrosR!$Q$3:$Q127,OtrosR!$C$3:$C127,$A110,OtrosR!$B$3:$B127,AK$1))</f>
        <v>0</v>
      </c>
      <c r="AL110" s="36">
        <f>SUM(SUMIFS(OtrosR!$Q$3:$Q127,OtrosR!$C$3:$C127,$A110,OtrosR!$B$3:$B127,AL$1))</f>
        <v>0</v>
      </c>
      <c r="AM110" s="37">
        <f>SUM(SUMIFS(OtrosR!$Q$3:$Q127,OtrosR!$C$3:$C127,$A110,OtrosR!$B$3:$B127,AM$1))</f>
        <v>0</v>
      </c>
      <c r="AN110" s="32">
        <f>SUM(SUMIFS(OtrosR!$Q$3:$Q127,OtrosR!$C$3:$C127,$A110,OtrosR!$B$3:$B127,AN$1))</f>
        <v>0</v>
      </c>
      <c r="AO110" s="35">
        <f>SUM(SUMIFS(OtrosR!$Q$3:$Q127,OtrosR!$C$3:$C127,$A110,OtrosR!$B$3:$B127,AO$1))</f>
        <v>0</v>
      </c>
      <c r="AP110" s="36">
        <f>SUM(SUMIFS(OtrosR!$Q$3:$Q127,OtrosR!$C$3:$C127,$A110,OtrosR!$B$3:$B127,AP$1))</f>
        <v>0</v>
      </c>
      <c r="AQ110" s="35">
        <f>SUM(SUMIFS(OtrosR!$Q$3:$Q127,OtrosR!$C$3:$C127,$A110,OtrosR!$B$3:$B127,AQ$1))</f>
        <v>0</v>
      </c>
      <c r="AR110" s="36">
        <f>SUM(SUMIFS(OtrosR!$Q$3:$Q127,OtrosR!$C$3:$C127,$A110,OtrosR!$B$3:$B127,AR$1))</f>
        <v>0</v>
      </c>
      <c r="AS110" s="35">
        <f>SUM(SUMIFS(OtrosR!$Q$3:$Q127,OtrosR!$C$3:$C127,$A110,OtrosR!$B$3:$B127,AS$1))</f>
        <v>0</v>
      </c>
      <c r="AT110" s="36">
        <f>SUM(SUMIFS(OtrosR!$Q$3:$Q127,OtrosR!$C$3:$C127,$A110,OtrosR!$B$3:$B127,AT$1))</f>
        <v>0</v>
      </c>
      <c r="AU110" s="35">
        <f>SUM(SUMIFS(OtrosR!$Q$3:$Q127,OtrosR!$C$3:$C127,$A110,OtrosR!$B$3:$B127,AU$1))</f>
        <v>0</v>
      </c>
      <c r="AV110" s="36">
        <f>SUM(SUMIFS(OtrosR!$Q$3:$Q127,OtrosR!$C$3:$C127,$A110,OtrosR!$B$3:$B127,AV$1))</f>
        <v>0</v>
      </c>
      <c r="AW110" s="35">
        <f>SUM(SUMIFS(OtrosR!$Q$3:$Q127,OtrosR!$C$3:$C127,$A110,OtrosR!$B$3:$B127,AW$1))</f>
        <v>0</v>
      </c>
      <c r="AX110" s="36">
        <f>SUM(SUMIFS(OtrosR!$Q$3:$Q127,OtrosR!$C$3:$C127,$A110,OtrosR!$B$3:$B127,AX$1))</f>
        <v>0</v>
      </c>
      <c r="AY110" s="35">
        <f>SUM(SUMIFS(OtrosR!$Q$3:$Q127,OtrosR!$C$3:$C127,$A110,OtrosR!$B$3:$B127,AY$1))</f>
        <v>0</v>
      </c>
      <c r="AZ110" s="35"/>
    </row>
    <row r="111" ht="15.75" hidden="1" customHeight="1">
      <c r="A111" s="40" t="str">
        <f>Menus!Q7</f>
        <v/>
      </c>
      <c r="B111" s="32">
        <f t="shared" ref="B111:B115" si="15">IFERROR(SUM(D111:AR111),"")</f>
        <v>0</v>
      </c>
      <c r="C111" s="33" t="str">
        <f t="shared" si="14"/>
        <v/>
      </c>
      <c r="D111" s="34">
        <f>SUM(SUMIFS(OtrosR!$Q$3:$Q127,OtrosR!$C$3:$C127,$A111,OtrosR!$B$3:$B127,D$1))</f>
        <v>0</v>
      </c>
      <c r="E111" s="37">
        <f>SUM(SUMIFS(OtrosR!$Q$3:$Q127,OtrosR!$C$3:$C127,$A111,OtrosR!$B$3:$B127,E$1))</f>
        <v>0</v>
      </c>
      <c r="F111" s="32">
        <f>SUM(SUMIFS(OtrosR!$Q$3:$Q127,OtrosR!$C$3:$C127,$A111,OtrosR!$B$3:$B127,F$1))</f>
        <v>0</v>
      </c>
      <c r="G111" s="37">
        <f>SUM(SUMIFS(OtrosR!$Q$3:$Q127,OtrosR!$C$3:$C127,$A111,OtrosR!$B$3:$B127,G$1))</f>
        <v>0</v>
      </c>
      <c r="H111" s="32">
        <f>SUM(SUMIFS(OtrosR!$Q$3:$Q127,OtrosR!$C$3:$C127,$A111,OtrosR!$B$3:$B127,H$1))</f>
        <v>0</v>
      </c>
      <c r="I111" s="37">
        <f>SUM(SUMIFS(OtrosR!$Q$3:$Q127,OtrosR!$C$3:$C127,$A111,OtrosR!$B$3:$B127,I$1))</f>
        <v>0</v>
      </c>
      <c r="J111" s="32">
        <f>SUM(SUMIFS(OtrosR!$Q$3:$Q127,OtrosR!$C$3:$C127,$A111,OtrosR!$B$3:$B127,J$1))</f>
        <v>0</v>
      </c>
      <c r="K111" s="37">
        <f>SUM(SUMIFS(OtrosR!$Q$3:$Q127,OtrosR!$C$3:$C127,$A111,OtrosR!$B$3:$B127,K$1))</f>
        <v>0</v>
      </c>
      <c r="L111" s="32">
        <f>SUM(SUMIFS(OtrosR!$Q$3:$Q127,OtrosR!$C$3:$C127,$A111,OtrosR!$B$3:$B127,L$1))</f>
        <v>0</v>
      </c>
      <c r="M111" s="37">
        <f>SUM(SUMIFS(OtrosR!$Q$3:$Q127,OtrosR!$C$3:$C127,$A111,OtrosR!$B$3:$B127,M$1))</f>
        <v>0</v>
      </c>
      <c r="N111" s="32">
        <f>SUM(SUMIFS(OtrosR!$Q$3:$Q127,OtrosR!$C$3:$C127,$A111,OtrosR!$B$3:$B127,N$1))</f>
        <v>0</v>
      </c>
      <c r="O111" s="37">
        <f>SUM(SUMIFS(OtrosR!$Q$3:$Q127,OtrosR!$C$3:$C127,$A111,OtrosR!$B$3:$B127,O$1))</f>
        <v>0</v>
      </c>
      <c r="P111" s="32">
        <f>SUM(SUMIFS(OtrosR!$Q$3:$Q127,OtrosR!$C$3:$C127,$A111,OtrosR!$B$3:$B127,P$1))</f>
        <v>0</v>
      </c>
      <c r="Q111" s="37">
        <f>SUM(SUMIFS(OtrosR!$Q$3:$Q127,OtrosR!$C$3:$C127,$A111,OtrosR!$B$3:$B127,Q$1))</f>
        <v>0</v>
      </c>
      <c r="R111" s="32">
        <f>SUM(SUMIFS(OtrosR!$Q$3:$Q127,OtrosR!$C$3:$C127,$A111,OtrosR!$B$3:$B127,R$1))</f>
        <v>0</v>
      </c>
      <c r="S111" s="37">
        <f>SUM(SUMIFS(OtrosR!$Q$3:$Q127,OtrosR!$C$3:$C127,$A111,OtrosR!$B$3:$B127,S$1))</f>
        <v>0</v>
      </c>
      <c r="T111" s="36">
        <f>SUM(SUMIFS(OtrosR!$Q$3:$Q127,OtrosR!$C$3:$C127,$A111,OtrosR!$B$3:$B127,T$1))</f>
        <v>0</v>
      </c>
      <c r="U111" s="37">
        <f>SUM(SUMIFS(OtrosR!$Q$3:$Q127,OtrosR!$C$3:$C127,$A111,OtrosR!$B$3:$B127,U$1))</f>
        <v>0</v>
      </c>
      <c r="V111" s="36">
        <f>SUM(SUMIFS(OtrosR!$Q$3:$Q127,OtrosR!$C$3:$C127,$A111,OtrosR!$B$3:$B127,V$1))</f>
        <v>0</v>
      </c>
      <c r="W111" s="37">
        <f>SUM(SUMIFS(OtrosR!$Q$3:$Q127,OtrosR!$C$3:$C127,$A111,OtrosR!$B$3:$B127,W$1))</f>
        <v>0</v>
      </c>
      <c r="X111" s="36">
        <f>SUM(SUMIFS(OtrosR!$Q$3:$Q127,OtrosR!$C$3:$C127,$A111,OtrosR!$B$3:$B127,X$1))</f>
        <v>0</v>
      </c>
      <c r="Y111" s="37">
        <f>SUM(SUMIFS(OtrosR!$Q$3:$Q127,OtrosR!$C$3:$C127,$A111,OtrosR!$B$3:$B127,Y$1))</f>
        <v>0</v>
      </c>
      <c r="Z111" s="36">
        <f>SUM(SUMIFS(OtrosR!$Q$3:$Q127,OtrosR!$C$3:$C127,$A111,OtrosR!$B$3:$B127,Z$1))</f>
        <v>0</v>
      </c>
      <c r="AA111" s="37">
        <f>SUM(SUMIFS(OtrosR!$Q$3:$Q127,OtrosR!$C$3:$C127,$A111,OtrosR!$B$3:$B127,AA$1))</f>
        <v>0</v>
      </c>
      <c r="AB111" s="36">
        <f>SUM(SUMIFS(OtrosR!$Q$3:$Q127,OtrosR!$C$3:$C127,$A111,OtrosR!$B$3:$B127,AB$1))</f>
        <v>0</v>
      </c>
      <c r="AC111" s="37">
        <f>SUM(SUMIFS(OtrosR!$Q$3:$Q127,OtrosR!$C$3:$C127,$A111,OtrosR!$B$3:$B127,AC$1))</f>
        <v>0</v>
      </c>
      <c r="AD111" s="36">
        <f>SUM(SUMIFS(OtrosR!$Q$3:$Q127,OtrosR!$C$3:$C127,$A111,OtrosR!$B$3:$B127,AD$1))</f>
        <v>0</v>
      </c>
      <c r="AE111" s="37">
        <f>SUM(SUMIFS(OtrosR!$Q$3:$Q127,OtrosR!$C$3:$C127,$A111,OtrosR!$B$3:$B127,AE$1))</f>
        <v>0</v>
      </c>
      <c r="AF111" s="36">
        <f>SUM(SUMIFS(OtrosR!$Q$3:$Q127,OtrosR!$C$3:$C127,$A111,OtrosR!$B$3:$B127,AF$1))</f>
        <v>0</v>
      </c>
      <c r="AG111" s="37">
        <f>SUM(SUMIFS(OtrosR!$Q$3:$Q127,OtrosR!$C$3:$C127,$A111,OtrosR!$B$3:$B127,AG$1))</f>
        <v>0</v>
      </c>
      <c r="AH111" s="36">
        <f>SUM(SUMIFS(OtrosR!$Q$3:$Q127,OtrosR!$C$3:$C127,$A111,OtrosR!$B$3:$B127,AH$1))</f>
        <v>0</v>
      </c>
      <c r="AI111" s="37">
        <f>SUM(SUMIFS(OtrosR!$Q$3:$Q127,OtrosR!$C$3:$C127,$A111,OtrosR!$B$3:$B127,AI$1))</f>
        <v>0</v>
      </c>
      <c r="AJ111" s="36">
        <f>SUM(SUMIFS(OtrosR!$Q$3:$Q127,OtrosR!$C$3:$C127,$A111,OtrosR!$B$3:$B127,AJ$1))</f>
        <v>0</v>
      </c>
      <c r="AK111" s="37">
        <f>SUM(SUMIFS(OtrosR!$Q$3:$Q127,OtrosR!$C$3:$C127,$A111,OtrosR!$B$3:$B127,AK$1))</f>
        <v>0</v>
      </c>
      <c r="AL111" s="36">
        <f>SUM(SUMIFS(OtrosR!$Q$3:$Q127,OtrosR!$C$3:$C127,$A111,OtrosR!$B$3:$B127,AL$1))</f>
        <v>0</v>
      </c>
      <c r="AM111" s="37">
        <f>SUM(SUMIFS(OtrosR!$Q$3:$Q127,OtrosR!$C$3:$C127,$A111,OtrosR!$B$3:$B127,AM$1))</f>
        <v>0</v>
      </c>
      <c r="AN111" s="32">
        <f>SUM(SUMIFS(OtrosR!$Q$3:$Q127,OtrosR!$C$3:$C127,$A111,OtrosR!$B$3:$B127,AN$1))</f>
        <v>0</v>
      </c>
      <c r="AO111" s="35">
        <f>SUM(SUMIFS(OtrosR!$Q$3:$Q127,OtrosR!$C$3:$C127,$A111,OtrosR!$B$3:$B127,AO$1))</f>
        <v>0</v>
      </c>
      <c r="AP111" s="36">
        <f>SUM(SUMIFS(OtrosR!$Q$3:$Q127,OtrosR!$C$3:$C127,$A111,OtrosR!$B$3:$B127,AP$1))</f>
        <v>0</v>
      </c>
      <c r="AQ111" s="35">
        <f>SUM(SUMIFS(OtrosR!$Q$3:$Q127,OtrosR!$C$3:$C127,$A111,OtrosR!$B$3:$B127,AQ$1))</f>
        <v>0</v>
      </c>
      <c r="AR111" s="36">
        <f>SUM(SUMIFS(OtrosR!$Q$3:$Q127,OtrosR!$C$3:$C127,$A111,OtrosR!$B$3:$B127,AR$1))</f>
        <v>0</v>
      </c>
      <c r="AS111" s="35">
        <f>SUM(SUMIFS(OtrosR!$Q$3:$Q127,OtrosR!$C$3:$C127,$A111,OtrosR!$B$3:$B127,AS$1))</f>
        <v>0</v>
      </c>
      <c r="AT111" s="36">
        <f>SUM(SUMIFS(OtrosR!$Q$3:$Q127,OtrosR!$C$3:$C127,$A111,OtrosR!$B$3:$B127,AT$1))</f>
        <v>0</v>
      </c>
      <c r="AU111" s="35">
        <f>SUM(SUMIFS(OtrosR!$Q$3:$Q127,OtrosR!$C$3:$C127,$A111,OtrosR!$B$3:$B127,AU$1))</f>
        <v>0</v>
      </c>
      <c r="AV111" s="36">
        <f>SUM(SUMIFS(OtrosR!$Q$3:$Q127,OtrosR!$C$3:$C127,$A111,OtrosR!$B$3:$B127,AV$1))</f>
        <v>0</v>
      </c>
      <c r="AW111" s="35">
        <f>SUM(SUMIFS(OtrosR!$Q$3:$Q127,OtrosR!$C$3:$C127,$A111,OtrosR!$B$3:$B127,AW$1))</f>
        <v>0</v>
      </c>
      <c r="AX111" s="36">
        <f>SUM(SUMIFS(OtrosR!$Q$3:$Q127,OtrosR!$C$3:$C127,$A111,OtrosR!$B$3:$B127,AX$1))</f>
        <v>0</v>
      </c>
      <c r="AY111" s="35">
        <f>SUM(SUMIFS(OtrosR!$Q$3:$Q127,OtrosR!$C$3:$C127,$A111,OtrosR!$B$3:$B127,AY$1))</f>
        <v>0</v>
      </c>
      <c r="AZ111" s="35"/>
    </row>
    <row r="112" ht="15.75" hidden="1" customHeight="1">
      <c r="A112" s="40" t="str">
        <f>Menus!Q8</f>
        <v/>
      </c>
      <c r="B112" s="32">
        <f t="shared" si="15"/>
        <v>0</v>
      </c>
      <c r="C112" s="33" t="str">
        <f t="shared" si="14"/>
        <v/>
      </c>
      <c r="D112" s="34">
        <f>SUM(SUMIFS(OtrosR!$Q$3:$Q127,OtrosR!$C$3:$C127,$A112,OtrosR!$B$3:$B127,D$1))</f>
        <v>0</v>
      </c>
      <c r="E112" s="37">
        <f>SUM(SUMIFS(OtrosR!$Q$3:$Q127,OtrosR!$C$3:$C127,$A112,OtrosR!$B$3:$B127,E$1))</f>
        <v>0</v>
      </c>
      <c r="F112" s="32">
        <f>SUM(SUMIFS(OtrosR!$Q$3:$Q127,OtrosR!$C$3:$C127,$A112,OtrosR!$B$3:$B127,F$1))</f>
        <v>0</v>
      </c>
      <c r="G112" s="37">
        <f>SUM(SUMIFS(OtrosR!$Q$3:$Q127,OtrosR!$C$3:$C127,$A112,OtrosR!$B$3:$B127,G$1))</f>
        <v>0</v>
      </c>
      <c r="H112" s="32">
        <f>SUM(SUMIFS(OtrosR!$Q$3:$Q127,OtrosR!$C$3:$C127,$A112,OtrosR!$B$3:$B127,H$1))</f>
        <v>0</v>
      </c>
      <c r="I112" s="37">
        <f>SUM(SUMIFS(OtrosR!$Q$3:$Q127,OtrosR!$C$3:$C127,$A112,OtrosR!$B$3:$B127,I$1))</f>
        <v>0</v>
      </c>
      <c r="J112" s="32">
        <f>SUM(SUMIFS(OtrosR!$Q$3:$Q127,OtrosR!$C$3:$C127,$A112,OtrosR!$B$3:$B127,J$1))</f>
        <v>0</v>
      </c>
      <c r="K112" s="37">
        <f>SUM(SUMIFS(OtrosR!$Q$3:$Q127,OtrosR!$C$3:$C127,$A112,OtrosR!$B$3:$B127,K$1))</f>
        <v>0</v>
      </c>
      <c r="L112" s="32">
        <f>SUM(SUMIFS(OtrosR!$Q$3:$Q127,OtrosR!$C$3:$C127,$A112,OtrosR!$B$3:$B127,L$1))</f>
        <v>0</v>
      </c>
      <c r="M112" s="37">
        <f>SUM(SUMIFS(OtrosR!$Q$3:$Q127,OtrosR!$C$3:$C127,$A112,OtrosR!$B$3:$B127,M$1))</f>
        <v>0</v>
      </c>
      <c r="N112" s="32">
        <f>SUM(SUMIFS(OtrosR!$Q$3:$Q127,OtrosR!$C$3:$C127,$A112,OtrosR!$B$3:$B127,N$1))</f>
        <v>0</v>
      </c>
      <c r="O112" s="37">
        <f>SUM(SUMIFS(OtrosR!$Q$3:$Q127,OtrosR!$C$3:$C127,$A112,OtrosR!$B$3:$B127,O$1))</f>
        <v>0</v>
      </c>
      <c r="P112" s="32">
        <f>SUM(SUMIFS(OtrosR!$Q$3:$Q127,OtrosR!$C$3:$C127,$A112,OtrosR!$B$3:$B127,P$1))</f>
        <v>0</v>
      </c>
      <c r="Q112" s="37">
        <f>SUM(SUMIFS(OtrosR!$Q$3:$Q127,OtrosR!$C$3:$C127,$A112,OtrosR!$B$3:$B127,Q$1))</f>
        <v>0</v>
      </c>
      <c r="R112" s="32">
        <f>SUM(SUMIFS(OtrosR!$Q$3:$Q127,OtrosR!$C$3:$C127,$A112,OtrosR!$B$3:$B127,R$1))</f>
        <v>0</v>
      </c>
      <c r="S112" s="37">
        <f>SUM(SUMIFS(OtrosR!$Q$3:$Q127,OtrosR!$C$3:$C127,$A112,OtrosR!$B$3:$B127,S$1))</f>
        <v>0</v>
      </c>
      <c r="T112" s="36">
        <f>SUM(SUMIFS(OtrosR!$Q$3:$Q127,OtrosR!$C$3:$C127,$A112,OtrosR!$B$3:$B127,T$1))</f>
        <v>0</v>
      </c>
      <c r="U112" s="37">
        <f>SUM(SUMIFS(OtrosR!$Q$3:$Q127,OtrosR!$C$3:$C127,$A112,OtrosR!$B$3:$B127,U$1))</f>
        <v>0</v>
      </c>
      <c r="V112" s="36">
        <f>SUM(SUMIFS(OtrosR!$Q$3:$Q127,OtrosR!$C$3:$C127,$A112,OtrosR!$B$3:$B127,V$1))</f>
        <v>0</v>
      </c>
      <c r="W112" s="37">
        <f>SUM(SUMIFS(OtrosR!$Q$3:$Q127,OtrosR!$C$3:$C127,$A112,OtrosR!$B$3:$B127,W$1))</f>
        <v>0</v>
      </c>
      <c r="X112" s="36">
        <f>SUM(SUMIFS(OtrosR!$Q$3:$Q127,OtrosR!$C$3:$C127,$A112,OtrosR!$B$3:$B127,X$1))</f>
        <v>0</v>
      </c>
      <c r="Y112" s="37">
        <f>SUM(SUMIFS(OtrosR!$Q$3:$Q127,OtrosR!$C$3:$C127,$A112,OtrosR!$B$3:$B127,Y$1))</f>
        <v>0</v>
      </c>
      <c r="Z112" s="36">
        <f>SUM(SUMIFS(OtrosR!$Q$3:$Q127,OtrosR!$C$3:$C127,$A112,OtrosR!$B$3:$B127,Z$1))</f>
        <v>0</v>
      </c>
      <c r="AA112" s="37">
        <f>SUM(SUMIFS(OtrosR!$Q$3:$Q127,OtrosR!$C$3:$C127,$A112,OtrosR!$B$3:$B127,AA$1))</f>
        <v>0</v>
      </c>
      <c r="AB112" s="36">
        <f>SUM(SUMIFS(OtrosR!$Q$3:$Q127,OtrosR!$C$3:$C127,$A112,OtrosR!$B$3:$B127,AB$1))</f>
        <v>0</v>
      </c>
      <c r="AC112" s="37">
        <f>SUM(SUMIFS(OtrosR!$Q$3:$Q127,OtrosR!$C$3:$C127,$A112,OtrosR!$B$3:$B127,AC$1))</f>
        <v>0</v>
      </c>
      <c r="AD112" s="36">
        <f>SUM(SUMIFS(OtrosR!$Q$3:$Q127,OtrosR!$C$3:$C127,$A112,OtrosR!$B$3:$B127,AD$1))</f>
        <v>0</v>
      </c>
      <c r="AE112" s="37">
        <f>SUM(SUMIFS(OtrosR!$Q$3:$Q127,OtrosR!$C$3:$C127,$A112,OtrosR!$B$3:$B127,AE$1))</f>
        <v>0</v>
      </c>
      <c r="AF112" s="36">
        <f>SUM(SUMIFS(OtrosR!$Q$3:$Q127,OtrosR!$C$3:$C127,$A112,OtrosR!$B$3:$B127,AF$1))</f>
        <v>0</v>
      </c>
      <c r="AG112" s="37">
        <f>SUM(SUMIFS(OtrosR!$Q$3:$Q127,OtrosR!$C$3:$C127,$A112,OtrosR!$B$3:$B127,AG$1))</f>
        <v>0</v>
      </c>
      <c r="AH112" s="36">
        <f>SUM(SUMIFS(OtrosR!$Q$3:$Q127,OtrosR!$C$3:$C127,$A112,OtrosR!$B$3:$B127,AH$1))</f>
        <v>0</v>
      </c>
      <c r="AI112" s="37">
        <f>SUM(SUMIFS(OtrosR!$Q$3:$Q127,OtrosR!$C$3:$C127,$A112,OtrosR!$B$3:$B127,AI$1))</f>
        <v>0</v>
      </c>
      <c r="AJ112" s="36">
        <f>SUM(SUMIFS(OtrosR!$Q$3:$Q127,OtrosR!$C$3:$C127,$A112,OtrosR!$B$3:$B127,AJ$1))</f>
        <v>0</v>
      </c>
      <c r="AK112" s="37">
        <f>SUM(SUMIFS(OtrosR!$Q$3:$Q127,OtrosR!$C$3:$C127,$A112,OtrosR!$B$3:$B127,AK$1))</f>
        <v>0</v>
      </c>
      <c r="AL112" s="36">
        <f>SUM(SUMIFS(OtrosR!$Q$3:$Q127,OtrosR!$C$3:$C127,$A112,OtrosR!$B$3:$B127,AL$1))</f>
        <v>0</v>
      </c>
      <c r="AM112" s="37">
        <f>SUM(SUMIFS(OtrosR!$Q$3:$Q127,OtrosR!$C$3:$C127,$A112,OtrosR!$B$3:$B127,AM$1))</f>
        <v>0</v>
      </c>
      <c r="AN112" s="32">
        <f>SUM(SUMIFS(OtrosR!$Q$3:$Q127,OtrosR!$C$3:$C127,$A112,OtrosR!$B$3:$B127,AN$1))</f>
        <v>0</v>
      </c>
      <c r="AO112" s="35">
        <f>SUM(SUMIFS(OtrosR!$Q$3:$Q127,OtrosR!$C$3:$C127,$A112,OtrosR!$B$3:$B127,AO$1))</f>
        <v>0</v>
      </c>
      <c r="AP112" s="36">
        <f>SUM(SUMIFS(OtrosR!$Q$3:$Q127,OtrosR!$C$3:$C127,$A112,OtrosR!$B$3:$B127,AP$1))</f>
        <v>0</v>
      </c>
      <c r="AQ112" s="35">
        <f>SUM(SUMIFS(OtrosR!$Q$3:$Q127,OtrosR!$C$3:$C127,$A112,OtrosR!$B$3:$B127,AQ$1))</f>
        <v>0</v>
      </c>
      <c r="AR112" s="36">
        <f>SUM(SUMIFS(OtrosR!$Q$3:$Q127,OtrosR!$C$3:$C127,$A112,OtrosR!$B$3:$B127,AR$1))</f>
        <v>0</v>
      </c>
      <c r="AS112" s="35">
        <f>SUM(SUMIFS(OtrosR!$Q$3:$Q127,OtrosR!$C$3:$C127,$A112,OtrosR!$B$3:$B127,AS$1))</f>
        <v>0</v>
      </c>
      <c r="AT112" s="36">
        <f>SUM(SUMIFS(OtrosR!$Q$3:$Q127,OtrosR!$C$3:$C127,$A112,OtrosR!$B$3:$B127,AT$1))</f>
        <v>0</v>
      </c>
      <c r="AU112" s="35">
        <f>SUM(SUMIFS(OtrosR!$Q$3:$Q127,OtrosR!$C$3:$C127,$A112,OtrosR!$B$3:$B127,AU$1))</f>
        <v>0</v>
      </c>
      <c r="AV112" s="36">
        <f>SUM(SUMIFS(OtrosR!$Q$3:$Q127,OtrosR!$C$3:$C127,$A112,OtrosR!$B$3:$B127,AV$1))</f>
        <v>0</v>
      </c>
      <c r="AW112" s="35">
        <f>SUM(SUMIFS(OtrosR!$Q$3:$Q127,OtrosR!$C$3:$C127,$A112,OtrosR!$B$3:$B127,AW$1))</f>
        <v>0</v>
      </c>
      <c r="AX112" s="36">
        <f>SUM(SUMIFS(OtrosR!$Q$3:$Q127,OtrosR!$C$3:$C127,$A112,OtrosR!$B$3:$B127,AX$1))</f>
        <v>0</v>
      </c>
      <c r="AY112" s="35">
        <f>SUM(SUMIFS(OtrosR!$Q$3:$Q127,OtrosR!$C$3:$C127,$A112,OtrosR!$B$3:$B127,AY$1))</f>
        <v>0</v>
      </c>
      <c r="AZ112" s="35"/>
    </row>
    <row r="113" ht="15.75" hidden="1" customHeight="1">
      <c r="A113" s="40" t="str">
        <f>Menus!Q9</f>
        <v/>
      </c>
      <c r="B113" s="32">
        <f t="shared" si="15"/>
        <v>0</v>
      </c>
      <c r="C113" s="33" t="str">
        <f t="shared" si="14"/>
        <v/>
      </c>
      <c r="D113" s="34">
        <f>SUM(SUMIFS(OtrosR!$Q$3:$Q127,OtrosR!$C$3:$C127,$A113,OtrosR!$B$3:$B127,D$1))</f>
        <v>0</v>
      </c>
      <c r="E113" s="37">
        <f>SUM(SUMIFS(OtrosR!$Q$3:$Q127,OtrosR!$C$3:$C127,$A113,OtrosR!$B$3:$B127,E$1))</f>
        <v>0</v>
      </c>
      <c r="F113" s="32">
        <f>SUM(SUMIFS(OtrosR!$Q$3:$Q127,OtrosR!$C$3:$C127,$A113,OtrosR!$B$3:$B127,F$1))</f>
        <v>0</v>
      </c>
      <c r="G113" s="37">
        <f>SUM(SUMIFS(OtrosR!$Q$3:$Q127,OtrosR!$C$3:$C127,$A113,OtrosR!$B$3:$B127,G$1))</f>
        <v>0</v>
      </c>
      <c r="H113" s="32">
        <f>SUM(SUMIFS(OtrosR!$Q$3:$Q127,OtrosR!$C$3:$C127,$A113,OtrosR!$B$3:$B127,H$1))</f>
        <v>0</v>
      </c>
      <c r="I113" s="37">
        <f>SUM(SUMIFS(OtrosR!$Q$3:$Q127,OtrosR!$C$3:$C127,$A113,OtrosR!$B$3:$B127,I$1))</f>
        <v>0</v>
      </c>
      <c r="J113" s="32">
        <f>SUM(SUMIFS(OtrosR!$Q$3:$Q127,OtrosR!$C$3:$C127,$A113,OtrosR!$B$3:$B127,J$1))</f>
        <v>0</v>
      </c>
      <c r="K113" s="37">
        <f>SUM(SUMIFS(OtrosR!$Q$3:$Q127,OtrosR!$C$3:$C127,$A113,OtrosR!$B$3:$B127,K$1))</f>
        <v>0</v>
      </c>
      <c r="L113" s="32">
        <f>SUM(SUMIFS(OtrosR!$Q$3:$Q127,OtrosR!$C$3:$C127,$A113,OtrosR!$B$3:$B127,L$1))</f>
        <v>0</v>
      </c>
      <c r="M113" s="37">
        <f>SUM(SUMIFS(OtrosR!$Q$3:$Q127,OtrosR!$C$3:$C127,$A113,OtrosR!$B$3:$B127,M$1))</f>
        <v>0</v>
      </c>
      <c r="N113" s="32">
        <f>SUM(SUMIFS(OtrosR!$Q$3:$Q127,OtrosR!$C$3:$C127,$A113,OtrosR!$B$3:$B127,N$1))</f>
        <v>0</v>
      </c>
      <c r="O113" s="37">
        <f>SUM(SUMIFS(OtrosR!$Q$3:$Q127,OtrosR!$C$3:$C127,$A113,OtrosR!$B$3:$B127,O$1))</f>
        <v>0</v>
      </c>
      <c r="P113" s="32">
        <f>SUM(SUMIFS(OtrosR!$Q$3:$Q127,OtrosR!$C$3:$C127,$A113,OtrosR!$B$3:$B127,P$1))</f>
        <v>0</v>
      </c>
      <c r="Q113" s="37">
        <f>SUM(SUMIFS(OtrosR!$Q$3:$Q127,OtrosR!$C$3:$C127,$A113,OtrosR!$B$3:$B127,Q$1))</f>
        <v>0</v>
      </c>
      <c r="R113" s="32">
        <f>SUM(SUMIFS(OtrosR!$Q$3:$Q127,OtrosR!$C$3:$C127,$A113,OtrosR!$B$3:$B127,R$1))</f>
        <v>0</v>
      </c>
      <c r="S113" s="37">
        <f>SUM(SUMIFS(OtrosR!$Q$3:$Q127,OtrosR!$C$3:$C127,$A113,OtrosR!$B$3:$B127,S$1))</f>
        <v>0</v>
      </c>
      <c r="T113" s="36">
        <f>SUM(SUMIFS(OtrosR!$Q$3:$Q127,OtrosR!$C$3:$C127,$A113,OtrosR!$B$3:$B127,T$1))</f>
        <v>0</v>
      </c>
      <c r="U113" s="37">
        <f>SUM(SUMIFS(OtrosR!$Q$3:$Q127,OtrosR!$C$3:$C127,$A113,OtrosR!$B$3:$B127,U$1))</f>
        <v>0</v>
      </c>
      <c r="V113" s="36">
        <f>SUM(SUMIFS(OtrosR!$Q$3:$Q127,OtrosR!$C$3:$C127,$A113,OtrosR!$B$3:$B127,V$1))</f>
        <v>0</v>
      </c>
      <c r="W113" s="37">
        <f>SUM(SUMIFS(OtrosR!$Q$3:$Q127,OtrosR!$C$3:$C127,$A113,OtrosR!$B$3:$B127,W$1))</f>
        <v>0</v>
      </c>
      <c r="X113" s="36">
        <f>SUM(SUMIFS(OtrosR!$Q$3:$Q127,OtrosR!$C$3:$C127,$A113,OtrosR!$B$3:$B127,X$1))</f>
        <v>0</v>
      </c>
      <c r="Y113" s="37">
        <f>SUM(SUMIFS(OtrosR!$Q$3:$Q127,OtrosR!$C$3:$C127,$A113,OtrosR!$B$3:$B127,Y$1))</f>
        <v>0</v>
      </c>
      <c r="Z113" s="36">
        <f>SUM(SUMIFS(OtrosR!$Q$3:$Q127,OtrosR!$C$3:$C127,$A113,OtrosR!$B$3:$B127,Z$1))</f>
        <v>0</v>
      </c>
      <c r="AA113" s="37">
        <f>SUM(SUMIFS(OtrosR!$Q$3:$Q127,OtrosR!$C$3:$C127,$A113,OtrosR!$B$3:$B127,AA$1))</f>
        <v>0</v>
      </c>
      <c r="AB113" s="36">
        <f>SUM(SUMIFS(OtrosR!$Q$3:$Q127,OtrosR!$C$3:$C127,$A113,OtrosR!$B$3:$B127,AB$1))</f>
        <v>0</v>
      </c>
      <c r="AC113" s="37">
        <f>SUM(SUMIFS(OtrosR!$Q$3:$Q127,OtrosR!$C$3:$C127,$A113,OtrosR!$B$3:$B127,AC$1))</f>
        <v>0</v>
      </c>
      <c r="AD113" s="36">
        <f>SUM(SUMIFS(OtrosR!$Q$3:$Q127,OtrosR!$C$3:$C127,$A113,OtrosR!$B$3:$B127,AD$1))</f>
        <v>0</v>
      </c>
      <c r="AE113" s="37">
        <f>SUM(SUMIFS(OtrosR!$Q$3:$Q127,OtrosR!$C$3:$C127,$A113,OtrosR!$B$3:$B127,AE$1))</f>
        <v>0</v>
      </c>
      <c r="AF113" s="36">
        <f>SUM(SUMIFS(OtrosR!$Q$3:$Q127,OtrosR!$C$3:$C127,$A113,OtrosR!$B$3:$B127,AF$1))</f>
        <v>0</v>
      </c>
      <c r="AG113" s="37">
        <f>SUM(SUMIFS(OtrosR!$Q$3:$Q127,OtrosR!$C$3:$C127,$A113,OtrosR!$B$3:$B127,AG$1))</f>
        <v>0</v>
      </c>
      <c r="AH113" s="36">
        <f>SUM(SUMIFS(OtrosR!$Q$3:$Q127,OtrosR!$C$3:$C127,$A113,OtrosR!$B$3:$B127,AH$1))</f>
        <v>0</v>
      </c>
      <c r="AI113" s="37">
        <f>SUM(SUMIFS(OtrosR!$Q$3:$Q127,OtrosR!$C$3:$C127,$A113,OtrosR!$B$3:$B127,AI$1))</f>
        <v>0</v>
      </c>
      <c r="AJ113" s="36">
        <f>SUM(SUMIFS(OtrosR!$Q$3:$Q127,OtrosR!$C$3:$C127,$A113,OtrosR!$B$3:$B127,AJ$1))</f>
        <v>0</v>
      </c>
      <c r="AK113" s="37">
        <f>SUM(SUMIFS(OtrosR!$Q$3:$Q127,OtrosR!$C$3:$C127,$A113,OtrosR!$B$3:$B127,AK$1))</f>
        <v>0</v>
      </c>
      <c r="AL113" s="36">
        <f>SUM(SUMIFS(OtrosR!$Q$3:$Q127,OtrosR!$C$3:$C127,$A113,OtrosR!$B$3:$B127,AL$1))</f>
        <v>0</v>
      </c>
      <c r="AM113" s="37">
        <f>SUM(SUMIFS(OtrosR!$Q$3:$Q127,OtrosR!$C$3:$C127,$A113,OtrosR!$B$3:$B127,AM$1))</f>
        <v>0</v>
      </c>
      <c r="AN113" s="32">
        <f>SUM(SUMIFS(OtrosR!$Q$3:$Q127,OtrosR!$C$3:$C127,$A113,OtrosR!$B$3:$B127,AN$1))</f>
        <v>0</v>
      </c>
      <c r="AO113" s="35">
        <f>SUM(SUMIFS(OtrosR!$Q$3:$Q127,OtrosR!$C$3:$C127,$A113,OtrosR!$B$3:$B127,AO$1))</f>
        <v>0</v>
      </c>
      <c r="AP113" s="36">
        <f>SUM(SUMIFS(OtrosR!$Q$3:$Q127,OtrosR!$C$3:$C127,$A113,OtrosR!$B$3:$B127,AP$1))</f>
        <v>0</v>
      </c>
      <c r="AQ113" s="35">
        <f>SUM(SUMIFS(OtrosR!$Q$3:$Q127,OtrosR!$C$3:$C127,$A113,OtrosR!$B$3:$B127,AQ$1))</f>
        <v>0</v>
      </c>
      <c r="AR113" s="36">
        <f>SUM(SUMIFS(OtrosR!$Q$3:$Q127,OtrosR!$C$3:$C127,$A113,OtrosR!$B$3:$B127,AR$1))</f>
        <v>0</v>
      </c>
      <c r="AS113" s="35">
        <f>SUM(SUMIFS(OtrosR!$Q$3:$Q127,OtrosR!$C$3:$C127,$A113,OtrosR!$B$3:$B127,AS$1))</f>
        <v>0</v>
      </c>
      <c r="AT113" s="36">
        <f>SUM(SUMIFS(OtrosR!$Q$3:$Q127,OtrosR!$C$3:$C127,$A113,OtrosR!$B$3:$B127,AT$1))</f>
        <v>0</v>
      </c>
      <c r="AU113" s="35">
        <f>SUM(SUMIFS(OtrosR!$Q$3:$Q127,OtrosR!$C$3:$C127,$A113,OtrosR!$B$3:$B127,AU$1))</f>
        <v>0</v>
      </c>
      <c r="AV113" s="36">
        <f>SUM(SUMIFS(OtrosR!$Q$3:$Q127,OtrosR!$C$3:$C127,$A113,OtrosR!$B$3:$B127,AV$1))</f>
        <v>0</v>
      </c>
      <c r="AW113" s="35">
        <f>SUM(SUMIFS(OtrosR!$Q$3:$Q127,OtrosR!$C$3:$C127,$A113,OtrosR!$B$3:$B127,AW$1))</f>
        <v>0</v>
      </c>
      <c r="AX113" s="36">
        <f>SUM(SUMIFS(OtrosR!$Q$3:$Q127,OtrosR!$C$3:$C127,$A113,OtrosR!$B$3:$B127,AX$1))</f>
        <v>0</v>
      </c>
      <c r="AY113" s="35">
        <f>SUM(SUMIFS(OtrosR!$Q$3:$Q127,OtrosR!$C$3:$C127,$A113,OtrosR!$B$3:$B127,AY$1))</f>
        <v>0</v>
      </c>
      <c r="AZ113" s="35"/>
    </row>
    <row r="114" ht="15.75" hidden="1" customHeight="1">
      <c r="A114" s="40" t="str">
        <f>Menus!Q10</f>
        <v/>
      </c>
      <c r="B114" s="32">
        <f t="shared" si="15"/>
        <v>0</v>
      </c>
      <c r="C114" s="33" t="str">
        <f t="shared" si="14"/>
        <v/>
      </c>
      <c r="D114" s="34">
        <f>SUM(SUMIFS(OtrosR!$Q$3:$Q127,OtrosR!$C$3:$C127,$A114,OtrosR!$B$3:$B127,D$1))</f>
        <v>0</v>
      </c>
      <c r="E114" s="37">
        <f>SUM(SUMIFS(OtrosR!$Q$3:$Q127,OtrosR!$C$3:$C127,$A114,OtrosR!$B$3:$B127,E$1))</f>
        <v>0</v>
      </c>
      <c r="F114" s="32">
        <f>SUM(SUMIFS(OtrosR!$Q$3:$Q127,OtrosR!$C$3:$C127,$A114,OtrosR!$B$3:$B127,F$1))</f>
        <v>0</v>
      </c>
      <c r="G114" s="37">
        <f>SUM(SUMIFS(OtrosR!$Q$3:$Q127,OtrosR!$C$3:$C127,$A114,OtrosR!$B$3:$B127,G$1))</f>
        <v>0</v>
      </c>
      <c r="H114" s="32">
        <f>SUM(SUMIFS(OtrosR!$Q$3:$Q127,OtrosR!$C$3:$C127,$A114,OtrosR!$B$3:$B127,H$1))</f>
        <v>0</v>
      </c>
      <c r="I114" s="37">
        <f>SUM(SUMIFS(OtrosR!$Q$3:$Q127,OtrosR!$C$3:$C127,$A114,OtrosR!$B$3:$B127,I$1))</f>
        <v>0</v>
      </c>
      <c r="J114" s="32">
        <f>SUM(SUMIFS(OtrosR!$Q$3:$Q127,OtrosR!$C$3:$C127,$A114,OtrosR!$B$3:$B127,J$1))</f>
        <v>0</v>
      </c>
      <c r="K114" s="37">
        <f>SUM(SUMIFS(OtrosR!$Q$3:$Q127,OtrosR!$C$3:$C127,$A114,OtrosR!$B$3:$B127,K$1))</f>
        <v>0</v>
      </c>
      <c r="L114" s="32">
        <f>SUM(SUMIFS(OtrosR!$Q$3:$Q127,OtrosR!$C$3:$C127,$A114,OtrosR!$B$3:$B127,L$1))</f>
        <v>0</v>
      </c>
      <c r="M114" s="37">
        <f>SUM(SUMIFS(OtrosR!$Q$3:$Q127,OtrosR!$C$3:$C127,$A114,OtrosR!$B$3:$B127,M$1))</f>
        <v>0</v>
      </c>
      <c r="N114" s="32">
        <f>SUM(SUMIFS(OtrosR!$Q$3:$Q127,OtrosR!$C$3:$C127,$A114,OtrosR!$B$3:$B127,N$1))</f>
        <v>0</v>
      </c>
      <c r="O114" s="37">
        <f>SUM(SUMIFS(OtrosR!$Q$3:$Q127,OtrosR!$C$3:$C127,$A114,OtrosR!$B$3:$B127,O$1))</f>
        <v>0</v>
      </c>
      <c r="P114" s="32">
        <f>SUM(SUMIFS(OtrosR!$Q$3:$Q127,OtrosR!$C$3:$C127,$A114,OtrosR!$B$3:$B127,P$1))</f>
        <v>0</v>
      </c>
      <c r="Q114" s="37">
        <f>SUM(SUMIFS(OtrosR!$Q$3:$Q127,OtrosR!$C$3:$C127,$A114,OtrosR!$B$3:$B127,Q$1))</f>
        <v>0</v>
      </c>
      <c r="R114" s="32">
        <f>SUM(SUMIFS(OtrosR!$Q$3:$Q127,OtrosR!$C$3:$C127,$A114,OtrosR!$B$3:$B127,R$1))</f>
        <v>0</v>
      </c>
      <c r="S114" s="37">
        <f>SUM(SUMIFS(OtrosR!$Q$3:$Q127,OtrosR!$C$3:$C127,$A114,OtrosR!$B$3:$B127,S$1))</f>
        <v>0</v>
      </c>
      <c r="T114" s="36">
        <f>SUM(SUMIFS(OtrosR!$Q$3:$Q127,OtrosR!$C$3:$C127,$A114,OtrosR!$B$3:$B127,T$1))</f>
        <v>0</v>
      </c>
      <c r="U114" s="37">
        <f>SUM(SUMIFS(OtrosR!$Q$3:$Q127,OtrosR!$C$3:$C127,$A114,OtrosR!$B$3:$B127,U$1))</f>
        <v>0</v>
      </c>
      <c r="V114" s="36">
        <f>SUM(SUMIFS(OtrosR!$Q$3:$Q127,OtrosR!$C$3:$C127,$A114,OtrosR!$B$3:$B127,V$1))</f>
        <v>0</v>
      </c>
      <c r="W114" s="37">
        <f>SUM(SUMIFS(OtrosR!$Q$3:$Q127,OtrosR!$C$3:$C127,$A114,OtrosR!$B$3:$B127,W$1))</f>
        <v>0</v>
      </c>
      <c r="X114" s="36">
        <f>SUM(SUMIFS(OtrosR!$Q$3:$Q127,OtrosR!$C$3:$C127,$A114,OtrosR!$B$3:$B127,X$1))</f>
        <v>0</v>
      </c>
      <c r="Y114" s="37">
        <f>SUM(SUMIFS(OtrosR!$Q$3:$Q127,OtrosR!$C$3:$C127,$A114,OtrosR!$B$3:$B127,Y$1))</f>
        <v>0</v>
      </c>
      <c r="Z114" s="36">
        <f>SUM(SUMIFS(OtrosR!$Q$3:$Q127,OtrosR!$C$3:$C127,$A114,OtrosR!$B$3:$B127,Z$1))</f>
        <v>0</v>
      </c>
      <c r="AA114" s="37">
        <f>SUM(SUMIFS(OtrosR!$Q$3:$Q127,OtrosR!$C$3:$C127,$A114,OtrosR!$B$3:$B127,AA$1))</f>
        <v>0</v>
      </c>
      <c r="AB114" s="36">
        <f>SUM(SUMIFS(OtrosR!$Q$3:$Q127,OtrosR!$C$3:$C127,$A114,OtrosR!$B$3:$B127,AB$1))</f>
        <v>0</v>
      </c>
      <c r="AC114" s="37">
        <f>SUM(SUMIFS(OtrosR!$Q$3:$Q127,OtrosR!$C$3:$C127,$A114,OtrosR!$B$3:$B127,AC$1))</f>
        <v>0</v>
      </c>
      <c r="AD114" s="36">
        <f>SUM(SUMIFS(OtrosR!$Q$3:$Q127,OtrosR!$C$3:$C127,$A114,OtrosR!$B$3:$B127,AD$1))</f>
        <v>0</v>
      </c>
      <c r="AE114" s="37">
        <f>SUM(SUMIFS(OtrosR!$Q$3:$Q127,OtrosR!$C$3:$C127,$A114,OtrosR!$B$3:$B127,AE$1))</f>
        <v>0</v>
      </c>
      <c r="AF114" s="36">
        <f>SUM(SUMIFS(OtrosR!$Q$3:$Q127,OtrosR!$C$3:$C127,$A114,OtrosR!$B$3:$B127,AF$1))</f>
        <v>0</v>
      </c>
      <c r="AG114" s="37">
        <f>SUM(SUMIFS(OtrosR!$Q$3:$Q127,OtrosR!$C$3:$C127,$A114,OtrosR!$B$3:$B127,AG$1))</f>
        <v>0</v>
      </c>
      <c r="AH114" s="36">
        <f>SUM(SUMIFS(OtrosR!$Q$3:$Q127,OtrosR!$C$3:$C127,$A114,OtrosR!$B$3:$B127,AH$1))</f>
        <v>0</v>
      </c>
      <c r="AI114" s="37">
        <f>SUM(SUMIFS(OtrosR!$Q$3:$Q127,OtrosR!$C$3:$C127,$A114,OtrosR!$B$3:$B127,AI$1))</f>
        <v>0</v>
      </c>
      <c r="AJ114" s="36">
        <f>SUM(SUMIFS(OtrosR!$Q$3:$Q127,OtrosR!$C$3:$C127,$A114,OtrosR!$B$3:$B127,AJ$1))</f>
        <v>0</v>
      </c>
      <c r="AK114" s="37">
        <f>SUM(SUMIFS(OtrosR!$Q$3:$Q127,OtrosR!$C$3:$C127,$A114,OtrosR!$B$3:$B127,AK$1))</f>
        <v>0</v>
      </c>
      <c r="AL114" s="36">
        <f>SUM(SUMIFS(OtrosR!$Q$3:$Q127,OtrosR!$C$3:$C127,$A114,OtrosR!$B$3:$B127,AL$1))</f>
        <v>0</v>
      </c>
      <c r="AM114" s="37">
        <f>SUM(SUMIFS(OtrosR!$Q$3:$Q127,OtrosR!$C$3:$C127,$A114,OtrosR!$B$3:$B127,AM$1))</f>
        <v>0</v>
      </c>
      <c r="AN114" s="32">
        <f>SUM(SUMIFS(OtrosR!$Q$3:$Q127,OtrosR!$C$3:$C127,$A114,OtrosR!$B$3:$B127,AN$1))</f>
        <v>0</v>
      </c>
      <c r="AO114" s="35">
        <f>SUM(SUMIFS(OtrosR!$Q$3:$Q127,OtrosR!$C$3:$C127,$A114,OtrosR!$B$3:$B127,AO$1))</f>
        <v>0</v>
      </c>
      <c r="AP114" s="36">
        <f>SUM(SUMIFS(OtrosR!$Q$3:$Q127,OtrosR!$C$3:$C127,$A114,OtrosR!$B$3:$B127,AP$1))</f>
        <v>0</v>
      </c>
      <c r="AQ114" s="35">
        <f>SUM(SUMIFS(OtrosR!$Q$3:$Q127,OtrosR!$C$3:$C127,$A114,OtrosR!$B$3:$B127,AQ$1))</f>
        <v>0</v>
      </c>
      <c r="AR114" s="36">
        <f>SUM(SUMIFS(OtrosR!$Q$3:$Q127,OtrosR!$C$3:$C127,$A114,OtrosR!$B$3:$B127,AR$1))</f>
        <v>0</v>
      </c>
      <c r="AS114" s="35">
        <f>SUM(SUMIFS(OtrosR!$Q$3:$Q127,OtrosR!$C$3:$C127,$A114,OtrosR!$B$3:$B127,AS$1))</f>
        <v>0</v>
      </c>
      <c r="AT114" s="36">
        <f>SUM(SUMIFS(OtrosR!$Q$3:$Q127,OtrosR!$C$3:$C127,$A114,OtrosR!$B$3:$B127,AT$1))</f>
        <v>0</v>
      </c>
      <c r="AU114" s="35">
        <f>SUM(SUMIFS(OtrosR!$Q$3:$Q127,OtrosR!$C$3:$C127,$A114,OtrosR!$B$3:$B127,AU$1))</f>
        <v>0</v>
      </c>
      <c r="AV114" s="36">
        <f>SUM(SUMIFS(OtrosR!$Q$3:$Q127,OtrosR!$C$3:$C127,$A114,OtrosR!$B$3:$B127,AV$1))</f>
        <v>0</v>
      </c>
      <c r="AW114" s="35">
        <f>SUM(SUMIFS(OtrosR!$Q$3:$Q127,OtrosR!$C$3:$C127,$A114,OtrosR!$B$3:$B127,AW$1))</f>
        <v>0</v>
      </c>
      <c r="AX114" s="36">
        <f>SUM(SUMIFS(OtrosR!$Q$3:$Q127,OtrosR!$C$3:$C127,$A114,OtrosR!$B$3:$B127,AX$1))</f>
        <v>0</v>
      </c>
      <c r="AY114" s="35">
        <f>SUM(SUMIFS(OtrosR!$Q$3:$Q127,OtrosR!$C$3:$C127,$A114,OtrosR!$B$3:$B127,AY$1))</f>
        <v>0</v>
      </c>
      <c r="AZ114" s="35"/>
    </row>
    <row r="115" ht="15.75" hidden="1" customHeight="1">
      <c r="A115" s="40" t="str">
        <f>Menus!Q11</f>
        <v/>
      </c>
      <c r="B115" s="32">
        <f t="shared" si="15"/>
        <v>0</v>
      </c>
      <c r="C115" s="33" t="str">
        <f t="shared" si="14"/>
        <v/>
      </c>
      <c r="D115" s="34">
        <f>SUM(SUMIFS(OtrosR!$Q$3:$Q127,OtrosR!$C$3:$C127,$A115,OtrosR!$B$3:$B127,D$1))</f>
        <v>0</v>
      </c>
      <c r="E115" s="37">
        <f>SUM(SUMIFS(OtrosR!$Q$3:$Q127,OtrosR!$C$3:$C127,$A115,OtrosR!$B$3:$B127,E$1))</f>
        <v>0</v>
      </c>
      <c r="F115" s="32">
        <f>SUM(SUMIFS(OtrosR!$Q$3:$Q127,OtrosR!$C$3:$C127,$A115,OtrosR!$B$3:$B127,F$1))</f>
        <v>0</v>
      </c>
      <c r="G115" s="37">
        <f>SUM(SUMIFS(OtrosR!$Q$3:$Q127,OtrosR!$C$3:$C127,$A115,OtrosR!$B$3:$B127,G$1))</f>
        <v>0</v>
      </c>
      <c r="H115" s="32">
        <f>SUM(SUMIFS(OtrosR!$Q$3:$Q127,OtrosR!$C$3:$C127,$A115,OtrosR!$B$3:$B127,H$1))</f>
        <v>0</v>
      </c>
      <c r="I115" s="37">
        <f>SUM(SUMIFS(OtrosR!$Q$3:$Q127,OtrosR!$C$3:$C127,$A115,OtrosR!$B$3:$B127,I$1))</f>
        <v>0</v>
      </c>
      <c r="J115" s="32">
        <f>SUM(SUMIFS(OtrosR!$Q$3:$Q127,OtrosR!$C$3:$C127,$A115,OtrosR!$B$3:$B127,J$1))</f>
        <v>0</v>
      </c>
      <c r="K115" s="37">
        <f>SUM(SUMIFS(OtrosR!$Q$3:$Q127,OtrosR!$C$3:$C127,$A115,OtrosR!$B$3:$B127,K$1))</f>
        <v>0</v>
      </c>
      <c r="L115" s="32">
        <f>SUM(SUMIFS(OtrosR!$Q$3:$Q127,OtrosR!$C$3:$C127,$A115,OtrosR!$B$3:$B127,L$1))</f>
        <v>0</v>
      </c>
      <c r="M115" s="37">
        <f>SUM(SUMIFS(OtrosR!$Q$3:$Q127,OtrosR!$C$3:$C127,$A115,OtrosR!$B$3:$B127,M$1))</f>
        <v>0</v>
      </c>
      <c r="N115" s="32">
        <f>SUM(SUMIFS(OtrosR!$Q$3:$Q127,OtrosR!$C$3:$C127,$A115,OtrosR!$B$3:$B127,N$1))</f>
        <v>0</v>
      </c>
      <c r="O115" s="37">
        <f>SUM(SUMIFS(OtrosR!$Q$3:$Q127,OtrosR!$C$3:$C127,$A115,OtrosR!$B$3:$B127,O$1))</f>
        <v>0</v>
      </c>
      <c r="P115" s="32">
        <f>SUM(SUMIFS(OtrosR!$Q$3:$Q127,OtrosR!$C$3:$C127,$A115,OtrosR!$B$3:$B127,P$1))</f>
        <v>0</v>
      </c>
      <c r="Q115" s="37">
        <f>SUM(SUMIFS(OtrosR!$Q$3:$Q127,OtrosR!$C$3:$C127,$A115,OtrosR!$B$3:$B127,Q$1))</f>
        <v>0</v>
      </c>
      <c r="R115" s="32">
        <f>SUM(SUMIFS(OtrosR!$Q$3:$Q127,OtrosR!$C$3:$C127,$A115,OtrosR!$B$3:$B127,R$1))</f>
        <v>0</v>
      </c>
      <c r="S115" s="37">
        <f>SUM(SUMIFS(OtrosR!$Q$3:$Q127,OtrosR!$C$3:$C127,$A115,OtrosR!$B$3:$B127,S$1))</f>
        <v>0</v>
      </c>
      <c r="T115" s="36">
        <f>SUM(SUMIFS(OtrosR!$Q$3:$Q127,OtrosR!$C$3:$C127,$A115,OtrosR!$B$3:$B127,T$1))</f>
        <v>0</v>
      </c>
      <c r="U115" s="37">
        <f>SUM(SUMIFS(OtrosR!$Q$3:$Q127,OtrosR!$C$3:$C127,$A115,OtrosR!$B$3:$B127,U$1))</f>
        <v>0</v>
      </c>
      <c r="V115" s="36">
        <f>SUM(SUMIFS(OtrosR!$Q$3:$Q127,OtrosR!$C$3:$C127,$A115,OtrosR!$B$3:$B127,V$1))</f>
        <v>0</v>
      </c>
      <c r="W115" s="37">
        <f>SUM(SUMIFS(OtrosR!$Q$3:$Q127,OtrosR!$C$3:$C127,$A115,OtrosR!$B$3:$B127,W$1))</f>
        <v>0</v>
      </c>
      <c r="X115" s="36">
        <f>SUM(SUMIFS(OtrosR!$Q$3:$Q127,OtrosR!$C$3:$C127,$A115,OtrosR!$B$3:$B127,X$1))</f>
        <v>0</v>
      </c>
      <c r="Y115" s="37">
        <f>SUM(SUMIFS(OtrosR!$Q$3:$Q127,OtrosR!$C$3:$C127,$A115,OtrosR!$B$3:$B127,Y$1))</f>
        <v>0</v>
      </c>
      <c r="Z115" s="36">
        <f>SUM(SUMIFS(OtrosR!$Q$3:$Q127,OtrosR!$C$3:$C127,$A115,OtrosR!$B$3:$B127,Z$1))</f>
        <v>0</v>
      </c>
      <c r="AA115" s="37">
        <f>SUM(SUMIFS(OtrosR!$Q$3:$Q127,OtrosR!$C$3:$C127,$A115,OtrosR!$B$3:$B127,AA$1))</f>
        <v>0</v>
      </c>
      <c r="AB115" s="36">
        <f>SUM(SUMIFS(OtrosR!$Q$3:$Q127,OtrosR!$C$3:$C127,$A115,OtrosR!$B$3:$B127,AB$1))</f>
        <v>0</v>
      </c>
      <c r="AC115" s="37">
        <f>SUM(SUMIFS(OtrosR!$Q$3:$Q127,OtrosR!$C$3:$C127,$A115,OtrosR!$B$3:$B127,AC$1))</f>
        <v>0</v>
      </c>
      <c r="AD115" s="36">
        <f>SUM(SUMIFS(OtrosR!$Q$3:$Q127,OtrosR!$C$3:$C127,$A115,OtrosR!$B$3:$B127,AD$1))</f>
        <v>0</v>
      </c>
      <c r="AE115" s="37">
        <f>SUM(SUMIFS(OtrosR!$Q$3:$Q127,OtrosR!$C$3:$C127,$A115,OtrosR!$B$3:$B127,AE$1))</f>
        <v>0</v>
      </c>
      <c r="AF115" s="36">
        <f>SUM(SUMIFS(OtrosR!$Q$3:$Q127,OtrosR!$C$3:$C127,$A115,OtrosR!$B$3:$B127,AF$1))</f>
        <v>0</v>
      </c>
      <c r="AG115" s="37">
        <f>SUM(SUMIFS(OtrosR!$Q$3:$Q127,OtrosR!$C$3:$C127,$A115,OtrosR!$B$3:$B127,AG$1))</f>
        <v>0</v>
      </c>
      <c r="AH115" s="36">
        <f>SUM(SUMIFS(OtrosR!$Q$3:$Q127,OtrosR!$C$3:$C127,$A115,OtrosR!$B$3:$B127,AH$1))</f>
        <v>0</v>
      </c>
      <c r="AI115" s="37">
        <f>SUM(SUMIFS(OtrosR!$Q$3:$Q127,OtrosR!$C$3:$C127,$A115,OtrosR!$B$3:$B127,AI$1))</f>
        <v>0</v>
      </c>
      <c r="AJ115" s="36">
        <f>SUM(SUMIFS(OtrosR!$Q$3:$Q127,OtrosR!$C$3:$C127,$A115,OtrosR!$B$3:$B127,AJ$1))</f>
        <v>0</v>
      </c>
      <c r="AK115" s="37">
        <f>SUM(SUMIFS(OtrosR!$Q$3:$Q127,OtrosR!$C$3:$C127,$A115,OtrosR!$B$3:$B127,AK$1))</f>
        <v>0</v>
      </c>
      <c r="AL115" s="36">
        <f>SUM(SUMIFS(OtrosR!$Q$3:$Q127,OtrosR!$C$3:$C127,$A115,OtrosR!$B$3:$B127,AL$1))</f>
        <v>0</v>
      </c>
      <c r="AM115" s="37">
        <f>SUM(SUMIFS(OtrosR!$Q$3:$Q127,OtrosR!$C$3:$C127,$A115,OtrosR!$B$3:$B127,AM$1))</f>
        <v>0</v>
      </c>
      <c r="AN115" s="32">
        <f>SUM(SUMIFS(OtrosR!$Q$3:$Q127,OtrosR!$C$3:$C127,$A115,OtrosR!$B$3:$B127,AN$1))</f>
        <v>0</v>
      </c>
      <c r="AO115" s="35">
        <f>SUM(SUMIFS(OtrosR!$Q$3:$Q127,OtrosR!$C$3:$C127,$A115,OtrosR!$B$3:$B127,AO$1))</f>
        <v>0</v>
      </c>
      <c r="AP115" s="36">
        <f>SUM(SUMIFS(OtrosR!$Q$3:$Q127,OtrosR!$C$3:$C127,$A115,OtrosR!$B$3:$B127,AP$1))</f>
        <v>0</v>
      </c>
      <c r="AQ115" s="35">
        <f>SUM(SUMIFS(OtrosR!$Q$3:$Q127,OtrosR!$C$3:$C127,$A115,OtrosR!$B$3:$B127,AQ$1))</f>
        <v>0</v>
      </c>
      <c r="AR115" s="36">
        <f>SUM(SUMIFS(OtrosR!$Q$3:$Q127,OtrosR!$C$3:$C127,$A115,OtrosR!$B$3:$B127,AR$1))</f>
        <v>0</v>
      </c>
      <c r="AS115" s="35">
        <f>SUM(SUMIFS(OtrosR!$Q$3:$Q127,OtrosR!$C$3:$C127,$A115,OtrosR!$B$3:$B127,AS$1))</f>
        <v>0</v>
      </c>
      <c r="AT115" s="36">
        <f>SUM(SUMIFS(OtrosR!$Q$3:$Q127,OtrosR!$C$3:$C127,$A115,OtrosR!$B$3:$B127,AT$1))</f>
        <v>0</v>
      </c>
      <c r="AU115" s="35">
        <f>SUM(SUMIFS(OtrosR!$Q$3:$Q127,OtrosR!$C$3:$C127,$A115,OtrosR!$B$3:$B127,AU$1))</f>
        <v>0</v>
      </c>
      <c r="AV115" s="36">
        <f>SUM(SUMIFS(OtrosR!$Q$3:$Q127,OtrosR!$C$3:$C127,$A115,OtrosR!$B$3:$B127,AV$1))</f>
        <v>0</v>
      </c>
      <c r="AW115" s="35">
        <f>SUM(SUMIFS(OtrosR!$Q$3:$Q127,OtrosR!$C$3:$C127,$A115,OtrosR!$B$3:$B127,AW$1))</f>
        <v>0</v>
      </c>
      <c r="AX115" s="36">
        <f>SUM(SUMIFS(OtrosR!$Q$3:$Q127,OtrosR!$C$3:$C127,$A115,OtrosR!$B$3:$B127,AX$1))</f>
        <v>0</v>
      </c>
      <c r="AY115" s="35">
        <f>SUM(SUMIFS(OtrosR!$Q$3:$Q127,OtrosR!$C$3:$C127,$A115,OtrosR!$B$3:$B127,AY$1))</f>
        <v>0</v>
      </c>
      <c r="AZ115" s="35"/>
    </row>
    <row r="116" ht="15.75" customHeight="1">
      <c r="C116" s="13"/>
    </row>
    <row r="117" ht="15.75" customHeight="1">
      <c r="C117" s="13"/>
    </row>
    <row r="118" ht="15.75" customHeight="1">
      <c r="C118" s="13"/>
    </row>
    <row r="119" ht="15.75" customHeight="1">
      <c r="C119" s="13"/>
    </row>
    <row r="120" ht="15.75" customHeight="1">
      <c r="C120" s="13"/>
    </row>
    <row r="121" ht="15.75" customHeight="1">
      <c r="C121" s="13"/>
    </row>
    <row r="122" ht="15.75" customHeight="1">
      <c r="C122" s="13"/>
    </row>
    <row r="123" ht="15.75" customHeight="1">
      <c r="C123" s="13"/>
    </row>
    <row r="124" ht="15.75" customHeight="1">
      <c r="C124" s="13"/>
    </row>
    <row r="125" ht="15.75" customHeight="1">
      <c r="C125" s="13"/>
    </row>
    <row r="126" ht="15.75" customHeight="1">
      <c r="C126" s="13"/>
    </row>
    <row r="127" ht="15.75" customHeight="1">
      <c r="C127" s="13"/>
    </row>
  </sheetData>
  <dataValidations>
    <dataValidation type="list" allowBlank="1" showErrorMessage="1" sqref="C1">
      <formula1>Menus!$A$3:$A127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2.25"/>
    <col customWidth="1" min="2" max="2" width="13.75"/>
    <col customWidth="1" min="3" max="3" width="20.0"/>
    <col customWidth="1" min="4" max="4" width="16.75"/>
    <col customWidth="1" min="5" max="5" width="22.25"/>
    <col customWidth="1" min="6" max="6" width="12.25"/>
    <col customWidth="1" min="7" max="7" width="14.25"/>
    <col customWidth="1" min="8" max="8" width="11.0"/>
    <col customWidth="1" min="9" max="9" width="12.0"/>
    <col customWidth="1" min="10" max="11" width="12.13"/>
    <col customWidth="1" min="12" max="12" width="11.0"/>
    <col customWidth="1" min="13" max="13" width="16.25"/>
    <col customWidth="1" min="14" max="14" width="13.88"/>
    <col customWidth="1" min="15" max="15" width="16.25"/>
    <col customWidth="1" min="16" max="16" width="10.63"/>
    <col customWidth="1" min="17" max="17" width="12.5"/>
    <col customWidth="1" min="18" max="18" width="13.88"/>
    <col customWidth="1" min="19" max="19" width="15.75"/>
    <col customWidth="1" min="20" max="20" width="12.13"/>
    <col customWidth="1" min="21" max="21" width="13.25"/>
    <col customWidth="1" min="22" max="22" width="11.63"/>
    <col customWidth="1" min="23" max="23" width="11.0"/>
    <col customWidth="1" min="24" max="24" width="12.13"/>
    <col customWidth="1" min="25" max="25" width="15.63"/>
    <col customWidth="1" min="26" max="26" width="12.13"/>
    <col customWidth="1" min="27" max="27" width="9.25"/>
    <col customWidth="1" min="28" max="29" width="11.63"/>
    <col customWidth="1" min="30" max="51" width="6.0"/>
  </cols>
  <sheetData>
    <row r="1" ht="15.75" customHeight="1">
      <c r="A1" s="41" t="s">
        <v>9</v>
      </c>
      <c r="B1" s="41" t="s">
        <v>1</v>
      </c>
      <c r="C1" s="3" t="s">
        <v>2</v>
      </c>
      <c r="D1" s="4" t="str">
        <f t="array" ref="D1:DY1">TRANSPOSE(Menus!A2:A127)</f>
        <v/>
      </c>
      <c r="E1" s="2"/>
      <c r="F1" s="5"/>
      <c r="G1" s="2"/>
      <c r="H1" s="5"/>
      <c r="I1" s="2"/>
      <c r="J1" s="5"/>
      <c r="K1" s="2"/>
      <c r="L1" s="5"/>
      <c r="M1" s="2"/>
      <c r="N1" s="5"/>
      <c r="O1" s="2"/>
      <c r="P1" s="5"/>
      <c r="Q1" s="2"/>
      <c r="R1" s="5"/>
      <c r="S1" s="2"/>
      <c r="T1" s="5"/>
      <c r="U1" s="2"/>
      <c r="V1" s="5"/>
      <c r="W1" s="2"/>
      <c r="X1" s="5"/>
      <c r="Y1" s="2"/>
      <c r="Z1" s="2"/>
      <c r="AA1" s="5"/>
      <c r="AB1" s="2"/>
      <c r="AC1" s="5"/>
      <c r="AD1" s="2"/>
      <c r="AE1" s="5"/>
      <c r="AF1" s="2"/>
      <c r="AG1" s="5"/>
      <c r="AH1" s="2"/>
      <c r="AI1" s="5"/>
      <c r="AJ1" s="2"/>
      <c r="AK1" s="5"/>
      <c r="AL1" s="2"/>
      <c r="AM1" s="5"/>
      <c r="AN1" s="2"/>
      <c r="AO1" s="5"/>
      <c r="AP1" s="2"/>
      <c r="AQ1" s="5"/>
      <c r="AR1" s="2"/>
      <c r="AS1" s="5"/>
      <c r="AT1" s="2"/>
      <c r="AU1" s="5"/>
      <c r="AV1" s="2"/>
      <c r="AW1" s="5"/>
      <c r="AX1" s="2"/>
      <c r="AY1" s="5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</row>
    <row r="2" ht="9.0" customHeight="1">
      <c r="A2" s="11"/>
      <c r="B2" s="12"/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4"/>
      <c r="AP2" s="12"/>
      <c r="AQ2" s="14"/>
      <c r="AR2" s="12"/>
      <c r="AS2" s="14"/>
      <c r="AT2" s="12"/>
      <c r="AU2" s="14"/>
      <c r="AV2" s="12"/>
      <c r="AW2" s="14"/>
      <c r="AX2" s="12"/>
      <c r="AY2" s="12"/>
    </row>
    <row r="3" ht="15.75" customHeight="1">
      <c r="A3" s="15" t="s">
        <v>3</v>
      </c>
      <c r="B3" s="42" t="str">
        <f>SUM(D3:AY3)</f>
        <v>#VALUE!</v>
      </c>
      <c r="C3" s="43">
        <f t="shared" ref="C3:X3" si="1">C9-C40+C105</f>
        <v>0</v>
      </c>
      <c r="D3" s="44" t="str">
        <f t="shared" si="1"/>
        <v>#VALUE!</v>
      </c>
      <c r="E3" s="45" t="str">
        <f t="shared" si="1"/>
        <v>#VALUE!</v>
      </c>
      <c r="F3" s="46" t="str">
        <f t="shared" si="1"/>
        <v>#VALUE!</v>
      </c>
      <c r="G3" s="45" t="str">
        <f t="shared" si="1"/>
        <v>#VALUE!</v>
      </c>
      <c r="H3" s="46" t="str">
        <f t="shared" si="1"/>
        <v>#VALUE!</v>
      </c>
      <c r="I3" s="45" t="str">
        <f t="shared" si="1"/>
        <v>#VALUE!</v>
      </c>
      <c r="J3" s="46" t="str">
        <f t="shared" si="1"/>
        <v>#VALUE!</v>
      </c>
      <c r="K3" s="45" t="str">
        <f t="shared" si="1"/>
        <v>#VALUE!</v>
      </c>
      <c r="L3" s="46" t="str">
        <f t="shared" si="1"/>
        <v>#VALUE!</v>
      </c>
      <c r="M3" s="45" t="str">
        <f t="shared" si="1"/>
        <v>#VALUE!</v>
      </c>
      <c r="N3" s="46" t="str">
        <f t="shared" si="1"/>
        <v>#VALUE!</v>
      </c>
      <c r="O3" s="45" t="str">
        <f t="shared" si="1"/>
        <v>#VALUE!</v>
      </c>
      <c r="P3" s="46" t="str">
        <f t="shared" si="1"/>
        <v>#VALUE!</v>
      </c>
      <c r="Q3" s="45" t="str">
        <f t="shared" si="1"/>
        <v>#VALUE!</v>
      </c>
      <c r="R3" s="46" t="str">
        <f t="shared" si="1"/>
        <v>#VALUE!</v>
      </c>
      <c r="S3" s="45" t="str">
        <f t="shared" si="1"/>
        <v>#VALUE!</v>
      </c>
      <c r="T3" s="46" t="str">
        <f t="shared" si="1"/>
        <v>#VALUE!</v>
      </c>
      <c r="U3" s="45" t="str">
        <f t="shared" si="1"/>
        <v>#VALUE!</v>
      </c>
      <c r="V3" s="46" t="str">
        <f t="shared" si="1"/>
        <v>#VALUE!</v>
      </c>
      <c r="W3" s="45" t="str">
        <f t="shared" si="1"/>
        <v>#VALUE!</v>
      </c>
      <c r="X3" s="46" t="str">
        <f t="shared" si="1"/>
        <v>#VALUE!</v>
      </c>
      <c r="Y3" s="45" t="str">
        <f>(Y9-Y40+Y105)</f>
        <v>#VALUE!</v>
      </c>
      <c r="Z3" s="45" t="str">
        <f t="shared" ref="Z3:AY3" si="2">Z9-Z40+Z105</f>
        <v>#VALUE!</v>
      </c>
      <c r="AA3" s="46" t="str">
        <f t="shared" si="2"/>
        <v>#VALUE!</v>
      </c>
      <c r="AB3" s="45" t="str">
        <f t="shared" si="2"/>
        <v>#VALUE!</v>
      </c>
      <c r="AC3" s="46" t="str">
        <f t="shared" si="2"/>
        <v>#VALUE!</v>
      </c>
      <c r="AD3" s="45" t="str">
        <f t="shared" si="2"/>
        <v>#VALUE!</v>
      </c>
      <c r="AE3" s="46" t="str">
        <f t="shared" si="2"/>
        <v>#VALUE!</v>
      </c>
      <c r="AF3" s="45" t="str">
        <f t="shared" si="2"/>
        <v>#VALUE!</v>
      </c>
      <c r="AG3" s="46" t="str">
        <f t="shared" si="2"/>
        <v>#VALUE!</v>
      </c>
      <c r="AH3" s="45" t="str">
        <f t="shared" si="2"/>
        <v>#VALUE!</v>
      </c>
      <c r="AI3" s="46" t="str">
        <f t="shared" si="2"/>
        <v>#VALUE!</v>
      </c>
      <c r="AJ3" s="45" t="str">
        <f t="shared" si="2"/>
        <v>#VALUE!</v>
      </c>
      <c r="AK3" s="46" t="str">
        <f t="shared" si="2"/>
        <v>#VALUE!</v>
      </c>
      <c r="AL3" s="45" t="str">
        <f t="shared" si="2"/>
        <v>#VALUE!</v>
      </c>
      <c r="AM3" s="46" t="str">
        <f t="shared" si="2"/>
        <v>#VALUE!</v>
      </c>
      <c r="AN3" s="45" t="str">
        <f t="shared" si="2"/>
        <v>#VALUE!</v>
      </c>
      <c r="AO3" s="46" t="str">
        <f t="shared" si="2"/>
        <v>#VALUE!</v>
      </c>
      <c r="AP3" s="45" t="str">
        <f t="shared" si="2"/>
        <v>#VALUE!</v>
      </c>
      <c r="AQ3" s="46" t="str">
        <f t="shared" si="2"/>
        <v>#VALUE!</v>
      </c>
      <c r="AR3" s="45" t="str">
        <f t="shared" si="2"/>
        <v>#VALUE!</v>
      </c>
      <c r="AS3" s="46" t="str">
        <f t="shared" si="2"/>
        <v>#VALUE!</v>
      </c>
      <c r="AT3" s="45" t="str">
        <f t="shared" si="2"/>
        <v>#VALUE!</v>
      </c>
      <c r="AU3" s="46" t="str">
        <f t="shared" si="2"/>
        <v>#VALUE!</v>
      </c>
      <c r="AV3" s="45" t="str">
        <f t="shared" si="2"/>
        <v>#VALUE!</v>
      </c>
      <c r="AW3" s="46" t="str">
        <f t="shared" si="2"/>
        <v>#VALUE!</v>
      </c>
      <c r="AX3" s="45" t="str">
        <f t="shared" si="2"/>
        <v>#VALUE!</v>
      </c>
      <c r="AY3" s="45" t="str">
        <f t="shared" si="2"/>
        <v>#VALUE!</v>
      </c>
    </row>
    <row r="4" ht="9.0" customHeight="1">
      <c r="A4" s="11"/>
      <c r="B4" s="12"/>
      <c r="C4" s="1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2"/>
    </row>
    <row r="5" ht="15.75" customHeight="1">
      <c r="A5" s="15" t="s">
        <v>4</v>
      </c>
      <c r="B5" s="47">
        <f>SUM(D5:AY5)</f>
        <v>0</v>
      </c>
      <c r="C5" s="17" t="str">
        <f t="array" ref="C5">IFERROR(INDEX(INDIRECT(Config!$K$1), MATCH(C$1, INDIRECT(Config!$K$15), 0)), "")</f>
        <v/>
      </c>
      <c r="D5" s="24" t="str">
        <f t="array" ref="D5">IFERROR(INDEX(INDIRECT(Config!$K$1), MATCH(D$1, INDIRECT(Config!$K$15), 0)), "")</f>
        <v/>
      </c>
      <c r="E5" s="16" t="str">
        <f t="array" ref="E5">IFERROR(INDEX(INDIRECT(Config!$K$1), MATCH(E$1, INDIRECT(Config!$K$15), 0)), "")</f>
        <v/>
      </c>
      <c r="F5" s="25" t="str">
        <f t="array" ref="F5">IFERROR(INDEX(INDIRECT(Config!$K$1), MATCH(F$1, INDIRECT(Config!$K$15), 0)), "")</f>
        <v/>
      </c>
      <c r="G5" s="16" t="str">
        <f t="array" ref="G5">IFERROR(INDEX(INDIRECT(Config!$K$1), MATCH(G$1, INDIRECT(Config!$K$15), 0)), "")</f>
        <v/>
      </c>
      <c r="H5" s="25" t="str">
        <f t="array" ref="H5">IFERROR(INDEX(INDIRECT(Config!$K$1), MATCH(H$1, INDIRECT(Config!$K$15), 0)), "")</f>
        <v/>
      </c>
      <c r="I5" s="16" t="str">
        <f t="array" ref="I5">IFERROR(INDEX(INDIRECT(Config!$K$1), MATCH(I$1, INDIRECT(Config!$K$15), 0)), "")</f>
        <v/>
      </c>
      <c r="J5" s="25" t="str">
        <f t="array" ref="J5">IFERROR(INDEX(INDIRECT(Config!$K$1), MATCH(J$1, INDIRECT(Config!$K$15), 0)), "")</f>
        <v/>
      </c>
      <c r="K5" s="16" t="str">
        <f t="array" ref="K5">IFERROR(INDEX(INDIRECT(Config!$K$1), MATCH(K$1, INDIRECT(Config!$K$15), 0)), "")</f>
        <v/>
      </c>
      <c r="L5" s="25" t="str">
        <f t="array" ref="L5">IFERROR(INDEX(INDIRECT(Config!$K$1), MATCH(L$1, INDIRECT(Config!$K$15), 0)), "")</f>
        <v/>
      </c>
      <c r="M5" s="16" t="str">
        <f t="array" ref="M5">IFERROR(INDEX(INDIRECT(Config!$K$1), MATCH(M$1, INDIRECT(Config!$K$15), 0)), "")</f>
        <v/>
      </c>
      <c r="N5" s="25" t="str">
        <f t="array" ref="N5">IFERROR(INDEX(INDIRECT(Config!$K$1), MATCH(N$1, INDIRECT(Config!$K$15), 0)), "")</f>
        <v/>
      </c>
      <c r="O5" s="16" t="str">
        <f t="array" ref="O5">IFERROR(INDEX(INDIRECT(Config!$K$1), MATCH(O$1, INDIRECT(Config!$K$15), 0)), "")</f>
        <v/>
      </c>
      <c r="P5" s="25" t="str">
        <f t="array" ref="P5">IFERROR(INDEX(INDIRECT(Config!$K$1), MATCH(P$1, INDIRECT(Config!$K$15), 0)), "")</f>
        <v/>
      </c>
      <c r="Q5" s="16" t="str">
        <f t="array" ref="Q5">IFERROR(INDEX(INDIRECT(Config!$K$1), MATCH(Q$1, INDIRECT(Config!$K$15), 0)), "")</f>
        <v/>
      </c>
      <c r="R5" s="25" t="str">
        <f t="array" ref="R5">IFERROR(INDEX(INDIRECT(Config!$K$1), MATCH(R$1, INDIRECT(Config!$K$15), 0)), "")</f>
        <v/>
      </c>
      <c r="S5" s="16" t="str">
        <f t="array" ref="S5">IFERROR(INDEX(INDIRECT(Config!$K$1), MATCH(S$1, INDIRECT(Config!$K$15), 0)), "")</f>
        <v/>
      </c>
      <c r="T5" s="25" t="str">
        <f t="array" ref="T5">IFERROR(INDEX(INDIRECT(Config!$K$1), MATCH(T$1, INDIRECT(Config!$K$15), 0)), "")</f>
        <v/>
      </c>
      <c r="U5" s="16" t="str">
        <f t="array" ref="U5">IFERROR(INDEX(INDIRECT(Config!$K$1), MATCH(U$1, INDIRECT(Config!$K$15), 0)), "")</f>
        <v/>
      </c>
      <c r="V5" s="25" t="str">
        <f t="array" ref="V5">IFERROR(INDEX(INDIRECT(Config!$K$1), MATCH(V$1, INDIRECT(Config!$K$15), 0)), "")</f>
        <v/>
      </c>
      <c r="W5" s="16" t="str">
        <f t="array" ref="W5">IFERROR(INDEX(INDIRECT(Config!$K$1), MATCH(W$1, INDIRECT(Config!$K$15), 0)), "")</f>
        <v/>
      </c>
      <c r="X5" s="25" t="str">
        <f t="array" ref="X5">IFERROR(INDEX(INDIRECT(Config!$K$1), MATCH(X$1, INDIRECT(Config!$K$15), 0)), "")</f>
        <v/>
      </c>
      <c r="Y5" s="16" t="str">
        <f t="array" ref="Y5">IFERROR(INDEX(INDIRECT(Config!$K$1), MATCH(Y$1, INDIRECT(Config!$K$15), 0)), "")</f>
        <v/>
      </c>
      <c r="Z5" s="16" t="str">
        <f t="array" ref="Z5">IFERROR(INDEX(INDIRECT(Config!$K$1), MATCH(Z$1, INDIRECT(Config!$K$15), 0)), "")</f>
        <v/>
      </c>
      <c r="AA5" s="25" t="str">
        <f t="array" ref="AA5">IFERROR(INDEX(INDIRECT(Config!$K$1), MATCH(AA$1, INDIRECT(Config!$K$15), 0)), "")</f>
        <v/>
      </c>
      <c r="AB5" s="16" t="str">
        <f t="array" ref="AB5">IFERROR(INDEX(INDIRECT(Config!$K$1), MATCH(AB$1, INDIRECT(Config!$K$15), 0)), "")</f>
        <v/>
      </c>
      <c r="AC5" s="25" t="str">
        <f t="array" ref="AC5">IFERROR(INDEX(INDIRECT(Config!$K$1), MATCH(AC$1, INDIRECT(Config!$K$15), 0)), "")</f>
        <v/>
      </c>
      <c r="AD5" s="16" t="str">
        <f t="array" ref="AD5">IFERROR(INDEX(INDIRECT(Config!$K$1), MATCH(AD$1, INDIRECT(Config!$K$15), 0)), "")</f>
        <v/>
      </c>
      <c r="AE5" s="25" t="str">
        <f t="array" ref="AE5">IFERROR(INDEX(INDIRECT(Config!$K$1), MATCH(AE$1, INDIRECT(Config!$K$15), 0)), "")</f>
        <v/>
      </c>
      <c r="AF5" s="16" t="str">
        <f t="array" ref="AF5">IFERROR(INDEX(INDIRECT(Config!$K$1), MATCH(AF$1, INDIRECT(Config!$K$15), 0)), "")</f>
        <v/>
      </c>
      <c r="AG5" s="25" t="str">
        <f t="array" ref="AG5">IFERROR(INDEX(INDIRECT(Config!$K$1), MATCH(AG$1, INDIRECT(Config!$K$15), 0)), "")</f>
        <v/>
      </c>
      <c r="AH5" s="16" t="str">
        <f t="array" ref="AH5">IFERROR(INDEX(INDIRECT(Config!$K$1), MATCH(AH$1, INDIRECT(Config!$K$15), 0)), "")</f>
        <v/>
      </c>
      <c r="AI5" s="25" t="str">
        <f t="array" ref="AI5">IFERROR(INDEX(INDIRECT(Config!$K$1), MATCH(AI$1, INDIRECT(Config!$K$15), 0)), "")</f>
        <v/>
      </c>
      <c r="AJ5" s="16" t="str">
        <f t="array" ref="AJ5">IFERROR(INDEX(INDIRECT(Config!$K$1), MATCH(AJ$1, INDIRECT(Config!$K$15), 0)), "")</f>
        <v/>
      </c>
      <c r="AK5" s="25" t="str">
        <f t="array" ref="AK5">IFERROR(INDEX(INDIRECT(Config!$K$1), MATCH(AK$1, INDIRECT(Config!$K$15), 0)), "")</f>
        <v/>
      </c>
      <c r="AL5" s="16" t="str">
        <f t="array" ref="AL5">IFERROR(INDEX(INDIRECT(Config!$K$1), MATCH(AL$1, INDIRECT(Config!$K$15), 0)), "")</f>
        <v/>
      </c>
      <c r="AM5" s="25" t="str">
        <f t="array" ref="AM5">IFERROR(INDEX(INDIRECT(Config!$K$1), MATCH(AM$1, INDIRECT(Config!$K$15), 0)), "")</f>
        <v/>
      </c>
      <c r="AN5" s="16" t="str">
        <f t="array" ref="AN5">IFERROR(INDEX(INDIRECT(Config!$K$1), MATCH(AN$1, INDIRECT(Config!$K$15), 0)), "")</f>
        <v/>
      </c>
      <c r="AO5" s="25" t="str">
        <f t="array" ref="AO5">IFERROR(INDEX(INDIRECT(Config!$K$1), MATCH(AO$1, INDIRECT(Config!$K$15), 0)), "")</f>
        <v/>
      </c>
      <c r="AP5" s="16" t="str">
        <f t="array" ref="AP5">IFERROR(INDEX(INDIRECT(Config!$K$1), MATCH(AP$1, INDIRECT(Config!$K$15), 0)), "")</f>
        <v/>
      </c>
      <c r="AQ5" s="25" t="str">
        <f t="array" ref="AQ5">IFERROR(INDEX(INDIRECT(Config!$K$1), MATCH(AQ$1, INDIRECT(Config!$K$15), 0)), "")</f>
        <v/>
      </c>
      <c r="AR5" s="16" t="str">
        <f t="array" ref="AR5">IFERROR(INDEX(INDIRECT(Config!$K$1), MATCH(AR$1, INDIRECT(Config!$K$15), 0)), "")</f>
        <v/>
      </c>
      <c r="AS5" s="25" t="str">
        <f t="array" ref="AS5">IFERROR(INDEX(INDIRECT(Config!$K$1), MATCH(AS$1, INDIRECT(Config!$K$15), 0)), "")</f>
        <v/>
      </c>
      <c r="AT5" s="16" t="str">
        <f t="array" ref="AT5">IFERROR(INDEX(INDIRECT(Config!$K$1), MATCH(AT$1, INDIRECT(Config!$K$15), 0)), "")</f>
        <v/>
      </c>
      <c r="AU5" s="25" t="str">
        <f t="array" ref="AU5">IFERROR(INDEX(INDIRECT(Config!$K$1), MATCH(AU$1, INDIRECT(Config!$K$15), 0)), "")</f>
        <v/>
      </c>
      <c r="AV5" s="16" t="str">
        <f t="array" ref="AV5">IFERROR(INDEX(INDIRECT(Config!$K$1), MATCH(AV$1, INDIRECT(Config!$K$15), 0)), "")</f>
        <v/>
      </c>
      <c r="AW5" s="25" t="str">
        <f t="array" ref="AW5">IFERROR(INDEX(INDIRECT(Config!$K$1), MATCH(AW$1, INDIRECT(Config!$K$15), 0)), "")</f>
        <v/>
      </c>
      <c r="AX5" s="16" t="str">
        <f t="array" ref="AX5">IFERROR(INDEX(INDIRECT(Config!$K$1), MATCH(AX$1, INDIRECT(Config!$K$15), 0)), "")</f>
        <v/>
      </c>
      <c r="AY5" s="25" t="str">
        <f t="array" ref="AY5">IFERROR(INDEX(INDIRECT(Config!$K$1), MATCH(AY$1, INDIRECT(Config!$K$15), 0)), "")</f>
        <v/>
      </c>
    </row>
    <row r="6" ht="9.0" customHeight="1">
      <c r="A6" s="48" t="str">
        <f>VLOOKUP(A1,Config!F47:G58,2)</f>
        <v>OtrosR!$J$3:$J</v>
      </c>
      <c r="B6" s="12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ht="15.75" customHeight="1">
      <c r="A7" s="15" t="s">
        <v>5</v>
      </c>
      <c r="B7" s="42">
        <f t="shared" ref="B7:AY7" si="3">B9-B40</f>
        <v>0</v>
      </c>
      <c r="C7" s="43">
        <f t="shared" si="3"/>
        <v>0</v>
      </c>
      <c r="D7" s="44">
        <f t="shared" si="3"/>
        <v>0</v>
      </c>
      <c r="E7" s="45">
        <f t="shared" si="3"/>
        <v>0</v>
      </c>
      <c r="F7" s="46">
        <f t="shared" si="3"/>
        <v>0</v>
      </c>
      <c r="G7" s="45">
        <f t="shared" si="3"/>
        <v>0</v>
      </c>
      <c r="H7" s="46">
        <f t="shared" si="3"/>
        <v>0</v>
      </c>
      <c r="I7" s="45">
        <f t="shared" si="3"/>
        <v>0</v>
      </c>
      <c r="J7" s="46">
        <f t="shared" si="3"/>
        <v>0</v>
      </c>
      <c r="K7" s="45">
        <f t="shared" si="3"/>
        <v>0</v>
      </c>
      <c r="L7" s="46">
        <f t="shared" si="3"/>
        <v>0</v>
      </c>
      <c r="M7" s="45">
        <f t="shared" si="3"/>
        <v>0</v>
      </c>
      <c r="N7" s="46">
        <f t="shared" si="3"/>
        <v>0</v>
      </c>
      <c r="O7" s="45">
        <f t="shared" si="3"/>
        <v>0</v>
      </c>
      <c r="P7" s="46">
        <f t="shared" si="3"/>
        <v>0</v>
      </c>
      <c r="Q7" s="45">
        <f t="shared" si="3"/>
        <v>0</v>
      </c>
      <c r="R7" s="46">
        <f t="shared" si="3"/>
        <v>0</v>
      </c>
      <c r="S7" s="45">
        <f t="shared" si="3"/>
        <v>0</v>
      </c>
      <c r="T7" s="46">
        <f t="shared" si="3"/>
        <v>0</v>
      </c>
      <c r="U7" s="45">
        <f t="shared" si="3"/>
        <v>0</v>
      </c>
      <c r="V7" s="46">
        <f t="shared" si="3"/>
        <v>0</v>
      </c>
      <c r="W7" s="45">
        <f t="shared" si="3"/>
        <v>0</v>
      </c>
      <c r="X7" s="46">
        <f t="shared" si="3"/>
        <v>0</v>
      </c>
      <c r="Y7" s="45">
        <f t="shared" si="3"/>
        <v>0</v>
      </c>
      <c r="Z7" s="45">
        <f t="shared" si="3"/>
        <v>0</v>
      </c>
      <c r="AA7" s="46">
        <f t="shared" si="3"/>
        <v>0</v>
      </c>
      <c r="AB7" s="45">
        <f t="shared" si="3"/>
        <v>0</v>
      </c>
      <c r="AC7" s="46">
        <f t="shared" si="3"/>
        <v>0</v>
      </c>
      <c r="AD7" s="45">
        <f t="shared" si="3"/>
        <v>0</v>
      </c>
      <c r="AE7" s="46">
        <f t="shared" si="3"/>
        <v>0</v>
      </c>
      <c r="AF7" s="45">
        <f t="shared" si="3"/>
        <v>0</v>
      </c>
      <c r="AG7" s="46">
        <f t="shared" si="3"/>
        <v>0</v>
      </c>
      <c r="AH7" s="45">
        <f t="shared" si="3"/>
        <v>0</v>
      </c>
      <c r="AI7" s="46">
        <f t="shared" si="3"/>
        <v>0</v>
      </c>
      <c r="AJ7" s="45">
        <f t="shared" si="3"/>
        <v>0</v>
      </c>
      <c r="AK7" s="46">
        <f t="shared" si="3"/>
        <v>0</v>
      </c>
      <c r="AL7" s="45">
        <f t="shared" si="3"/>
        <v>0</v>
      </c>
      <c r="AM7" s="46">
        <f t="shared" si="3"/>
        <v>0</v>
      </c>
      <c r="AN7" s="45">
        <f t="shared" si="3"/>
        <v>0</v>
      </c>
      <c r="AO7" s="46">
        <f t="shared" si="3"/>
        <v>0</v>
      </c>
      <c r="AP7" s="45">
        <f t="shared" si="3"/>
        <v>0</v>
      </c>
      <c r="AQ7" s="46">
        <f t="shared" si="3"/>
        <v>0</v>
      </c>
      <c r="AR7" s="45">
        <f t="shared" si="3"/>
        <v>0</v>
      </c>
      <c r="AS7" s="46">
        <f t="shared" si="3"/>
        <v>0</v>
      </c>
      <c r="AT7" s="45">
        <f t="shared" si="3"/>
        <v>0</v>
      </c>
      <c r="AU7" s="46">
        <f t="shared" si="3"/>
        <v>0</v>
      </c>
      <c r="AV7" s="45">
        <f t="shared" si="3"/>
        <v>0</v>
      </c>
      <c r="AW7" s="46">
        <f t="shared" si="3"/>
        <v>0</v>
      </c>
      <c r="AX7" s="45">
        <f t="shared" si="3"/>
        <v>0</v>
      </c>
      <c r="AY7" s="45">
        <f t="shared" si="3"/>
        <v>0</v>
      </c>
    </row>
    <row r="8" ht="9.0" customHeight="1">
      <c r="A8" s="48" t="str">
        <f>VLOOKUP(A1,Config!F47:H58,3)</f>
        <v>Gastos Admon!G7:G</v>
      </c>
      <c r="B8" s="49"/>
      <c r="C8" s="23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</row>
    <row r="9" ht="15.75" customHeight="1">
      <c r="A9" s="11" t="s">
        <v>6</v>
      </c>
      <c r="B9" s="50">
        <f t="shared" ref="B9:AY9" si="4">SUM(B10:B38)</f>
        <v>0</v>
      </c>
      <c r="C9" s="27">
        <f t="shared" si="4"/>
        <v>0</v>
      </c>
      <c r="D9" s="28">
        <f t="shared" si="4"/>
        <v>0</v>
      </c>
      <c r="E9" s="26">
        <f t="shared" si="4"/>
        <v>0</v>
      </c>
      <c r="F9" s="29">
        <f t="shared" si="4"/>
        <v>0</v>
      </c>
      <c r="G9" s="26">
        <f t="shared" si="4"/>
        <v>0</v>
      </c>
      <c r="H9" s="29">
        <f t="shared" si="4"/>
        <v>0</v>
      </c>
      <c r="I9" s="26">
        <f t="shared" si="4"/>
        <v>0</v>
      </c>
      <c r="J9" s="29">
        <f t="shared" si="4"/>
        <v>0</v>
      </c>
      <c r="K9" s="26">
        <f t="shared" si="4"/>
        <v>0</v>
      </c>
      <c r="L9" s="29">
        <f t="shared" si="4"/>
        <v>0</v>
      </c>
      <c r="M9" s="26">
        <f t="shared" si="4"/>
        <v>0</v>
      </c>
      <c r="N9" s="29">
        <f t="shared" si="4"/>
        <v>0</v>
      </c>
      <c r="O9" s="26">
        <f t="shared" si="4"/>
        <v>0</v>
      </c>
      <c r="P9" s="29">
        <f t="shared" si="4"/>
        <v>0</v>
      </c>
      <c r="Q9" s="26">
        <f t="shared" si="4"/>
        <v>0</v>
      </c>
      <c r="R9" s="29">
        <f t="shared" si="4"/>
        <v>0</v>
      </c>
      <c r="S9" s="26">
        <f t="shared" si="4"/>
        <v>0</v>
      </c>
      <c r="T9" s="29">
        <f t="shared" si="4"/>
        <v>0</v>
      </c>
      <c r="U9" s="26">
        <f t="shared" si="4"/>
        <v>0</v>
      </c>
      <c r="V9" s="29">
        <f t="shared" si="4"/>
        <v>0</v>
      </c>
      <c r="W9" s="26">
        <f t="shared" si="4"/>
        <v>0</v>
      </c>
      <c r="X9" s="29">
        <f t="shared" si="4"/>
        <v>0</v>
      </c>
      <c r="Y9" s="26">
        <f t="shared" si="4"/>
        <v>0</v>
      </c>
      <c r="Z9" s="26">
        <f t="shared" si="4"/>
        <v>0</v>
      </c>
      <c r="AA9" s="29">
        <f t="shared" si="4"/>
        <v>0</v>
      </c>
      <c r="AB9" s="26">
        <f t="shared" si="4"/>
        <v>0</v>
      </c>
      <c r="AC9" s="29">
        <f t="shared" si="4"/>
        <v>0</v>
      </c>
      <c r="AD9" s="26">
        <f t="shared" si="4"/>
        <v>0</v>
      </c>
      <c r="AE9" s="29">
        <f t="shared" si="4"/>
        <v>0</v>
      </c>
      <c r="AF9" s="26">
        <f t="shared" si="4"/>
        <v>0</v>
      </c>
      <c r="AG9" s="29">
        <f t="shared" si="4"/>
        <v>0</v>
      </c>
      <c r="AH9" s="26">
        <f t="shared" si="4"/>
        <v>0</v>
      </c>
      <c r="AI9" s="29">
        <f t="shared" si="4"/>
        <v>0</v>
      </c>
      <c r="AJ9" s="26">
        <f t="shared" si="4"/>
        <v>0</v>
      </c>
      <c r="AK9" s="29">
        <f t="shared" si="4"/>
        <v>0</v>
      </c>
      <c r="AL9" s="26">
        <f t="shared" si="4"/>
        <v>0</v>
      </c>
      <c r="AM9" s="29">
        <f t="shared" si="4"/>
        <v>0</v>
      </c>
      <c r="AN9" s="26">
        <f t="shared" si="4"/>
        <v>0</v>
      </c>
      <c r="AO9" s="29">
        <f t="shared" si="4"/>
        <v>0</v>
      </c>
      <c r="AP9" s="26">
        <f t="shared" si="4"/>
        <v>0</v>
      </c>
      <c r="AQ9" s="29">
        <f t="shared" si="4"/>
        <v>0</v>
      </c>
      <c r="AR9" s="26">
        <f t="shared" si="4"/>
        <v>0</v>
      </c>
      <c r="AS9" s="29">
        <f t="shared" si="4"/>
        <v>0</v>
      </c>
      <c r="AT9" s="26">
        <f t="shared" si="4"/>
        <v>0</v>
      </c>
      <c r="AU9" s="29">
        <f t="shared" si="4"/>
        <v>0</v>
      </c>
      <c r="AV9" s="26">
        <f t="shared" si="4"/>
        <v>0</v>
      </c>
      <c r="AW9" s="29">
        <f t="shared" si="4"/>
        <v>0</v>
      </c>
      <c r="AX9" s="26">
        <f t="shared" si="4"/>
        <v>0</v>
      </c>
      <c r="AY9" s="29">
        <f t="shared" si="4"/>
        <v>0</v>
      </c>
    </row>
    <row r="10" ht="15.75" customHeight="1">
      <c r="A10" s="12" t="str">
        <f>Menus!R2</f>
        <v/>
      </c>
      <c r="B10" s="51">
        <f t="shared" ref="B10:B38" si="5">SUM(D10:AY10)</f>
        <v>0</v>
      </c>
      <c r="C10" s="33" t="str">
        <f t="array" ref="C10">IFERROR(INDEX(INDIRECT(Config!$G$1), MATCH($A10, INDIRECT(Config!$H$1), 0), MATCH(C$1, INDIRECT(Config!$I$1), 0)), "")</f>
        <v/>
      </c>
      <c r="D10" s="34" t="str">
        <f t="array" ref="D10">IFERROR(INDEX(INDIRECT(Config!$G$1), MATCH($A10, INDIRECT(Config!$H$1), 0), MATCH(D$1, INDIRECT(Config!$I$1), 0)), "")</f>
        <v/>
      </c>
      <c r="E10" s="32" t="str">
        <f t="array" ref="E10">IFERROR(INDEX(INDIRECT(Config!$G$1), MATCH($A10, INDIRECT(Config!$H$1), 0), MATCH(E$1, INDIRECT(Config!$I$1), 0)), "")</f>
        <v/>
      </c>
      <c r="F10" s="35" t="str">
        <f t="array" ref="F10">IFERROR(INDEX(INDIRECT(Config!$G$1), MATCH($A10, INDIRECT(Config!$H$1), 0), MATCH(F$1, INDIRECT(Config!$I$1), 0)), "")</f>
        <v/>
      </c>
      <c r="G10" s="32" t="str">
        <f t="array" ref="G10">IFERROR(INDEX(INDIRECT(Config!$G$1), MATCH($A10, INDIRECT(Config!$H$1), 0), MATCH(G$1, INDIRECT(Config!$I$1), 0)), "")</f>
        <v/>
      </c>
      <c r="H10" s="35" t="str">
        <f t="array" ref="H10">IFERROR(INDEX(INDIRECT(Config!$G$1), MATCH($A10, INDIRECT(Config!$H$1), 0), MATCH(H$1, INDIRECT(Config!$I$1), 0)), "")</f>
        <v/>
      </c>
      <c r="I10" s="32" t="str">
        <f t="array" ref="I10">IFERROR(INDEX(INDIRECT(Config!$G$1), MATCH($A10, INDIRECT(Config!$H$1), 0), MATCH(I$1, INDIRECT(Config!$I$1), 0)), "")</f>
        <v/>
      </c>
      <c r="J10" s="35" t="str">
        <f t="array" ref="J10">IFERROR(INDEX(INDIRECT(Config!$G$1), MATCH($A10, INDIRECT(Config!$H$1), 0), MATCH(J$1, INDIRECT(Config!$I$1), 0)), "")</f>
        <v/>
      </c>
      <c r="K10" s="32" t="str">
        <f t="array" ref="K10">IFERROR(INDEX(INDIRECT(Config!$G$1), MATCH($A10, INDIRECT(Config!$H$1), 0), MATCH(K$1, INDIRECT(Config!$I$1), 0)), "")</f>
        <v/>
      </c>
      <c r="L10" s="35" t="str">
        <f t="array" ref="L10">IFERROR(INDEX(INDIRECT(Config!$G$1), MATCH($A10, INDIRECT(Config!$H$1), 0), MATCH(L$1, INDIRECT(Config!$I$1), 0)), "")</f>
        <v/>
      </c>
      <c r="M10" s="32" t="str">
        <f t="array" ref="M10">IFERROR(INDEX(INDIRECT(Config!$G$1), MATCH($A10, INDIRECT(Config!$H$1), 0), MATCH(M$1, INDIRECT(Config!$I$1), 0)), "")</f>
        <v/>
      </c>
      <c r="N10" s="35" t="str">
        <f t="array" ref="N10">IFERROR(INDEX(INDIRECT(Config!$G$1), MATCH($A10, INDIRECT(Config!$H$1), 0), MATCH(N$1, INDIRECT(Config!$I$1), 0)), "")</f>
        <v/>
      </c>
      <c r="O10" s="32" t="str">
        <f t="array" ref="O10">IFERROR(INDEX(INDIRECT(Config!$G$1), MATCH($A10, INDIRECT(Config!$H$1), 0), MATCH(O$1, INDIRECT(Config!$I$1), 0)), "")</f>
        <v/>
      </c>
      <c r="P10" s="35" t="str">
        <f t="array" ref="P10">IFERROR(INDEX(INDIRECT(Config!$G$1), MATCH($A10, INDIRECT(Config!$H$1), 0), MATCH(P$1, INDIRECT(Config!$I$1), 0)), "")</f>
        <v/>
      </c>
      <c r="Q10" s="32" t="str">
        <f t="array" ref="Q10">IFERROR(INDEX(INDIRECT(Config!$G$1), MATCH($A10, INDIRECT(Config!$H$1), 0), MATCH(Q$1, INDIRECT(Config!$I$1), 0)), "")</f>
        <v/>
      </c>
      <c r="R10" s="35" t="str">
        <f t="array" ref="R10">IFERROR(INDEX(INDIRECT(Config!$G$1), MATCH($A10, INDIRECT(Config!$H$1), 0), MATCH(R$1, INDIRECT(Config!$I$1), 0)), "")</f>
        <v/>
      </c>
      <c r="S10" s="32" t="str">
        <f t="array" ref="S10">IFERROR(INDEX(INDIRECT(Config!$G$1), MATCH($A10, INDIRECT(Config!$H$1), 0), MATCH(S$1, INDIRECT(Config!$I$1), 0)), "")</f>
        <v/>
      </c>
      <c r="T10" s="35" t="str">
        <f t="array" ref="T10">IFERROR(INDEX(INDIRECT(Config!$G$1), MATCH($A10, INDIRECT(Config!$H$1), 0), MATCH(T$1, INDIRECT(Config!$I$1), 0)), "")</f>
        <v/>
      </c>
      <c r="U10" s="32" t="str">
        <f t="array" ref="U10">IFERROR(INDEX(INDIRECT(Config!$G$1), MATCH($A10, INDIRECT(Config!$H$1), 0), MATCH(U$1, INDIRECT(Config!$I$1), 0)), "")</f>
        <v/>
      </c>
      <c r="V10" s="35" t="str">
        <f t="array" ref="V10">IFERROR(INDEX(INDIRECT(Config!$G$1), MATCH($A10, INDIRECT(Config!$H$1), 0), MATCH(V$1, INDIRECT(Config!$I$1), 0)), "")</f>
        <v/>
      </c>
      <c r="W10" s="32" t="str">
        <f t="array" ref="W10">IFERROR(INDEX(INDIRECT(Config!$G$1), MATCH($A10, INDIRECT(Config!$H$1), 0), MATCH(W$1, INDIRECT(Config!$I$1), 0)), "")</f>
        <v/>
      </c>
      <c r="X10" s="35" t="str">
        <f t="array" ref="X10">IFERROR(INDEX(INDIRECT(Config!$G$1), MATCH($A10, INDIRECT(Config!$H$1), 0), MATCH(X$1, INDIRECT(Config!$I$1), 0)), "")</f>
        <v/>
      </c>
      <c r="Y10" s="32" t="str">
        <f t="array" ref="Y10">IFERROR(INDEX(INDIRECT(Config!$G$1), MATCH($A10, INDIRECT(Config!$H$1), 0), MATCH(Y$1, INDIRECT(Config!$I$1), 0)), "")</f>
        <v/>
      </c>
      <c r="Z10" s="32" t="str">
        <f t="array" ref="Z10">IFERROR(INDEX(INDIRECT(Config!$G$1), MATCH($A10, INDIRECT(Config!$H$1), 0), MATCH(Z$1, INDIRECT(Config!$I$1), 0)), "")</f>
        <v/>
      </c>
      <c r="AA10" s="35" t="str">
        <f t="array" ref="AA10">IFERROR(INDEX(INDIRECT(Config!$G$1), MATCH($A10, INDIRECT(Config!$H$1), 0), MATCH(AA$1, INDIRECT(Config!$I$1), 0)), "")</f>
        <v/>
      </c>
      <c r="AB10" s="32" t="str">
        <f t="array" ref="AB10">IFERROR(INDEX(INDIRECT(Config!$G$1), MATCH($A10, INDIRECT(Config!$H$1), 0), MATCH(AB$1, INDIRECT(Config!$I$1), 0)), "")</f>
        <v/>
      </c>
      <c r="AC10" s="35" t="str">
        <f t="array" ref="AC10">IFERROR(INDEX(INDIRECT(Config!$G$1), MATCH($A10, INDIRECT(Config!$H$1), 0), MATCH(AC$1, INDIRECT(Config!$I$1), 0)), "")</f>
        <v/>
      </c>
      <c r="AD10" s="32" t="str">
        <f t="array" ref="AD10">IFERROR(INDEX(INDIRECT(Config!$G$1), MATCH($A10, INDIRECT(Config!$H$1), 0), MATCH(AD$1, INDIRECT(Config!$I$1), 0)), "")</f>
        <v/>
      </c>
      <c r="AE10" s="35" t="str">
        <f t="array" ref="AE10">IFERROR(INDEX(INDIRECT(Config!$G$1), MATCH($A10, INDIRECT(Config!$H$1), 0), MATCH(AE$1, INDIRECT(Config!$I$1), 0)), "")</f>
        <v/>
      </c>
      <c r="AF10" s="32" t="str">
        <f t="array" ref="AF10">IFERROR(INDEX(INDIRECT(Config!$G$1), MATCH($A10, INDIRECT(Config!$H$1), 0), MATCH(AF$1, INDIRECT(Config!$I$1), 0)), "")</f>
        <v/>
      </c>
      <c r="AG10" s="35" t="str">
        <f t="array" ref="AG10">IFERROR(INDEX(INDIRECT(Config!$G$1), MATCH($A10, INDIRECT(Config!$H$1), 0), MATCH(AG$1, INDIRECT(Config!$I$1), 0)), "")</f>
        <v/>
      </c>
      <c r="AH10" s="32" t="str">
        <f t="array" ref="AH10">IFERROR(INDEX(INDIRECT(Config!$G$1), MATCH($A10, INDIRECT(Config!$H$1), 0), MATCH(AH$1, INDIRECT(Config!$I$1), 0)), "")</f>
        <v/>
      </c>
      <c r="AI10" s="35" t="str">
        <f t="array" ref="AI10">IFERROR(INDEX(INDIRECT(Config!$G$1), MATCH($A10, INDIRECT(Config!$H$1), 0), MATCH(AI$1, INDIRECT(Config!$I$1), 0)), "")</f>
        <v/>
      </c>
      <c r="AJ10" s="32" t="str">
        <f t="array" ref="AJ10">IFERROR(INDEX(INDIRECT(Config!$G$1), MATCH($A10, INDIRECT(Config!$H$1), 0), MATCH(AJ$1, INDIRECT(Config!$I$1), 0)), "")</f>
        <v/>
      </c>
      <c r="AK10" s="35" t="str">
        <f t="array" ref="AK10">IFERROR(INDEX(INDIRECT(Config!$G$1), MATCH($A10, INDIRECT(Config!$H$1), 0), MATCH(AK$1, INDIRECT(Config!$I$1), 0)), "")</f>
        <v/>
      </c>
      <c r="AL10" s="32" t="str">
        <f t="array" ref="AL10">IFERROR(INDEX(INDIRECT(Config!$G$1), MATCH($A10, INDIRECT(Config!$H$1), 0), MATCH(AL$1, INDIRECT(Config!$I$1), 0)), "")</f>
        <v/>
      </c>
      <c r="AM10" s="35" t="str">
        <f t="array" ref="AM10">IFERROR(INDEX(INDIRECT(Config!$G$1), MATCH($A10, INDIRECT(Config!$H$1), 0), MATCH(AM$1, INDIRECT(Config!$I$1), 0)), "")</f>
        <v/>
      </c>
      <c r="AN10" s="32" t="str">
        <f t="array" ref="AN10">IFERROR(INDEX(INDIRECT(Config!$G$1), MATCH($A10, INDIRECT(Config!$H$1), 0), MATCH(AN$1, INDIRECT(Config!$I$1), 0)), "")</f>
        <v/>
      </c>
      <c r="AO10" s="35" t="str">
        <f t="array" ref="AO10">IFERROR(INDEX(INDIRECT(Config!$G$1), MATCH($A10, INDIRECT(Config!$H$1), 0), MATCH(AO$1, INDIRECT(Config!$I$1), 0)), "")</f>
        <v/>
      </c>
      <c r="AP10" s="32" t="str">
        <f t="array" ref="AP10">IFERROR(INDEX(INDIRECT(Config!$G$1), MATCH($A10, INDIRECT(Config!$H$1), 0), MATCH(AP$1, INDIRECT(Config!$I$1), 0)), "")</f>
        <v/>
      </c>
      <c r="AQ10" s="35" t="str">
        <f t="array" ref="AQ10">IFERROR(INDEX(INDIRECT(Config!$G$1), MATCH($A10, INDIRECT(Config!$H$1), 0), MATCH(AQ$1, INDIRECT(Config!$I$1), 0)), "")</f>
        <v/>
      </c>
      <c r="AR10" s="32" t="str">
        <f t="array" ref="AR10">IFERROR(INDEX(INDIRECT(Config!$G$1), MATCH($A10, INDIRECT(Config!$H$1), 0), MATCH(AR$1, INDIRECT(Config!$I$1), 0)), "")</f>
        <v/>
      </c>
      <c r="AS10" s="35" t="str">
        <f t="array" ref="AS10">IFERROR(INDEX(INDIRECT(Config!$G$1), MATCH($A10, INDIRECT(Config!$H$1), 0), MATCH(AS$1, INDIRECT(Config!$I$1), 0)), "")</f>
        <v/>
      </c>
      <c r="AT10" s="32" t="str">
        <f t="array" ref="AT10">IFERROR(INDEX(INDIRECT(Config!$G$1), MATCH($A10, INDIRECT(Config!$H$1), 0), MATCH(AT$1, INDIRECT(Config!$I$1), 0)), "")</f>
        <v/>
      </c>
      <c r="AU10" s="35" t="str">
        <f t="array" ref="AU10">IFERROR(INDEX(INDIRECT(Config!$G$1), MATCH($A10, INDIRECT(Config!$H$1), 0), MATCH(AU$1, INDIRECT(Config!$I$1), 0)), "")</f>
        <v/>
      </c>
      <c r="AV10" s="32" t="str">
        <f t="array" ref="AV10">IFERROR(INDEX(INDIRECT(Config!$G$1), MATCH($A10, INDIRECT(Config!$H$1), 0), MATCH(AV$1, INDIRECT(Config!$I$1), 0)), "")</f>
        <v/>
      </c>
      <c r="AW10" s="35"/>
      <c r="AX10" s="32"/>
      <c r="AY10" s="35"/>
    </row>
    <row r="11" ht="15.75" customHeight="1">
      <c r="A11" s="12" t="str">
        <f>Menus!R3</f>
        <v/>
      </c>
      <c r="B11" s="51">
        <f t="shared" si="5"/>
        <v>0</v>
      </c>
      <c r="C11" s="33" t="str">
        <f t="array" ref="C11">IFERROR(INDEX(INDIRECT(Config!$G$1), MATCH($A11, INDIRECT(Config!$H$1), 0), MATCH(C$1, INDIRECT(Config!$I$1), 0)), "")</f>
        <v/>
      </c>
      <c r="D11" s="34" t="str">
        <f t="array" ref="D11">IFERROR(INDEX(INDIRECT(Config!$G$1), MATCH($A11, INDIRECT(Config!$H$1), 0), MATCH(D$1, INDIRECT(Config!$I$1), 0)), "")</f>
        <v/>
      </c>
      <c r="E11" s="32" t="str">
        <f t="array" ref="E11">IFERROR(INDEX(INDIRECT(Config!$G$1), MATCH($A11, INDIRECT(Config!$H$1), 0), MATCH(E$1, INDIRECT(Config!$I$1), 0)), "")</f>
        <v/>
      </c>
      <c r="F11" s="35" t="str">
        <f t="array" ref="F11">IFERROR(INDEX(INDIRECT(Config!$G$1), MATCH($A11, INDIRECT(Config!$H$1), 0), MATCH(F$1, INDIRECT(Config!$I$1), 0)), "")</f>
        <v/>
      </c>
      <c r="G11" s="32" t="str">
        <f t="array" ref="G11">IFERROR(INDEX(INDIRECT(Config!$G$1), MATCH($A11, INDIRECT(Config!$H$1), 0), MATCH(G$1, INDIRECT(Config!$I$1), 0)), "")</f>
        <v/>
      </c>
      <c r="H11" s="35" t="str">
        <f t="array" ref="H11">IFERROR(INDEX(INDIRECT(Config!$G$1), MATCH($A11, INDIRECT(Config!$H$1), 0), MATCH(H$1, INDIRECT(Config!$I$1), 0)), "")</f>
        <v/>
      </c>
      <c r="I11" s="32" t="str">
        <f t="array" ref="I11">IFERROR(INDEX(INDIRECT(Config!$G$1), MATCH($A11, INDIRECT(Config!$H$1), 0), MATCH(I$1, INDIRECT(Config!$I$1), 0)), "")</f>
        <v/>
      </c>
      <c r="J11" s="35" t="str">
        <f t="array" ref="J11">IFERROR(INDEX(INDIRECT(Config!$G$1), MATCH($A11, INDIRECT(Config!$H$1), 0), MATCH(J$1, INDIRECT(Config!$I$1), 0)), "")</f>
        <v/>
      </c>
      <c r="K11" s="32" t="str">
        <f t="array" ref="K11">IFERROR(INDEX(INDIRECT(Config!$G$1), MATCH($A11, INDIRECT(Config!$H$1), 0), MATCH(K$1, INDIRECT(Config!$I$1), 0)), "")</f>
        <v/>
      </c>
      <c r="L11" s="35" t="str">
        <f t="array" ref="L11">IFERROR(INDEX(INDIRECT(Config!$G$1), MATCH($A11, INDIRECT(Config!$H$1), 0), MATCH(L$1, INDIRECT(Config!$I$1), 0)), "")</f>
        <v/>
      </c>
      <c r="M11" s="32" t="str">
        <f t="array" ref="M11">IFERROR(INDEX(INDIRECT(Config!$G$1), MATCH($A11, INDIRECT(Config!$H$1), 0), MATCH(M$1, INDIRECT(Config!$I$1), 0)), "")</f>
        <v/>
      </c>
      <c r="N11" s="35" t="str">
        <f t="array" ref="N11">IFERROR(INDEX(INDIRECT(Config!$G$1), MATCH($A11, INDIRECT(Config!$H$1), 0), MATCH(N$1, INDIRECT(Config!$I$1), 0)), "")</f>
        <v/>
      </c>
      <c r="O11" s="32" t="str">
        <f t="array" ref="O11">IFERROR(INDEX(INDIRECT(Config!$G$1), MATCH($A11, INDIRECT(Config!$H$1), 0), MATCH(O$1, INDIRECT(Config!$I$1), 0)), "")</f>
        <v/>
      </c>
      <c r="P11" s="35" t="str">
        <f t="array" ref="P11">IFERROR(INDEX(INDIRECT(Config!$G$1), MATCH($A11, INDIRECT(Config!$H$1), 0), MATCH(P$1, INDIRECT(Config!$I$1), 0)), "")</f>
        <v/>
      </c>
      <c r="Q11" s="32" t="str">
        <f t="array" ref="Q11">IFERROR(INDEX(INDIRECT(Config!$G$1), MATCH($A11, INDIRECT(Config!$H$1), 0), MATCH(Q$1, INDIRECT(Config!$I$1), 0)), "")</f>
        <v/>
      </c>
      <c r="R11" s="35" t="str">
        <f t="array" ref="R11">IFERROR(INDEX(INDIRECT(Config!$G$1), MATCH($A11, INDIRECT(Config!$H$1), 0), MATCH(R$1, INDIRECT(Config!$I$1), 0)), "")</f>
        <v/>
      </c>
      <c r="S11" s="32" t="str">
        <f t="array" ref="S11">IFERROR(INDEX(INDIRECT(Config!$G$1), MATCH($A11, INDIRECT(Config!$H$1), 0), MATCH(S$1, INDIRECT(Config!$I$1), 0)), "")</f>
        <v/>
      </c>
      <c r="T11" s="35" t="str">
        <f t="array" ref="T11">IFERROR(INDEX(INDIRECT(Config!$G$1), MATCH($A11, INDIRECT(Config!$H$1), 0), MATCH(T$1, INDIRECT(Config!$I$1), 0)), "")</f>
        <v/>
      </c>
      <c r="U11" s="32" t="str">
        <f t="array" ref="U11">IFERROR(INDEX(INDIRECT(Config!$G$1), MATCH($A11, INDIRECT(Config!$H$1), 0), MATCH(U$1, INDIRECT(Config!$I$1), 0)), "")</f>
        <v/>
      </c>
      <c r="V11" s="35" t="str">
        <f t="array" ref="V11">IFERROR(INDEX(INDIRECT(Config!$G$1), MATCH($A11, INDIRECT(Config!$H$1), 0), MATCH(V$1, INDIRECT(Config!$I$1), 0)), "")</f>
        <v/>
      </c>
      <c r="W11" s="32" t="str">
        <f t="array" ref="W11">IFERROR(INDEX(INDIRECT(Config!$G$1), MATCH($A11, INDIRECT(Config!$H$1), 0), MATCH(W$1, INDIRECT(Config!$I$1), 0)), "")</f>
        <v/>
      </c>
      <c r="X11" s="35" t="str">
        <f t="array" ref="X11">IFERROR(INDEX(INDIRECT(Config!$G$1), MATCH($A11, INDIRECT(Config!$H$1), 0), MATCH(X$1, INDIRECT(Config!$I$1), 0)), "")</f>
        <v/>
      </c>
      <c r="Y11" s="32" t="str">
        <f t="array" ref="Y11">IFERROR(INDEX(INDIRECT(Config!$G$1), MATCH($A11, INDIRECT(Config!$H$1), 0), MATCH(Y$1, INDIRECT(Config!$I$1), 0)), "")</f>
        <v/>
      </c>
      <c r="Z11" s="32" t="str">
        <f t="array" ref="Z11">IFERROR(INDEX(INDIRECT(Config!$G$1), MATCH($A11, INDIRECT(Config!$H$1), 0), MATCH(Z$1, INDIRECT(Config!$I$1), 0)), "")</f>
        <v/>
      </c>
      <c r="AA11" s="35" t="str">
        <f t="array" ref="AA11">IFERROR(INDEX(INDIRECT(Config!$G$1), MATCH($A11, INDIRECT(Config!$H$1), 0), MATCH(AA$1, INDIRECT(Config!$I$1), 0)), "")</f>
        <v/>
      </c>
      <c r="AB11" s="32" t="str">
        <f t="array" ref="AB11">IFERROR(INDEX(INDIRECT(Config!$G$1), MATCH($A11, INDIRECT(Config!$H$1), 0), MATCH(AB$1, INDIRECT(Config!$I$1), 0)), "")</f>
        <v/>
      </c>
      <c r="AC11" s="35" t="str">
        <f t="array" ref="AC11">IFERROR(INDEX(INDIRECT(Config!$G$1), MATCH($A11, INDIRECT(Config!$H$1), 0), MATCH(AC$1, INDIRECT(Config!$I$1), 0)), "")</f>
        <v/>
      </c>
      <c r="AD11" s="32" t="str">
        <f t="array" ref="AD11">IFERROR(INDEX(INDIRECT(Config!$G$1), MATCH($A11, INDIRECT(Config!$H$1), 0), MATCH(AD$1, INDIRECT(Config!$I$1), 0)), "")</f>
        <v/>
      </c>
      <c r="AE11" s="35" t="str">
        <f t="array" ref="AE11">IFERROR(INDEX(INDIRECT(Config!$G$1), MATCH($A11, INDIRECT(Config!$H$1), 0), MATCH(AE$1, INDIRECT(Config!$I$1), 0)), "")</f>
        <v/>
      </c>
      <c r="AF11" s="32" t="str">
        <f t="array" ref="AF11">IFERROR(INDEX(INDIRECT(Config!$G$1), MATCH($A11, INDIRECT(Config!$H$1), 0), MATCH(AF$1, INDIRECT(Config!$I$1), 0)), "")</f>
        <v/>
      </c>
      <c r="AG11" s="35" t="str">
        <f t="array" ref="AG11">IFERROR(INDEX(INDIRECT(Config!$G$1), MATCH($A11, INDIRECT(Config!$H$1), 0), MATCH(AG$1, INDIRECT(Config!$I$1), 0)), "")</f>
        <v/>
      </c>
      <c r="AH11" s="32" t="str">
        <f t="array" ref="AH11">IFERROR(INDEX(INDIRECT(Config!$G$1), MATCH($A11, INDIRECT(Config!$H$1), 0), MATCH(AH$1, INDIRECT(Config!$I$1), 0)), "")</f>
        <v/>
      </c>
      <c r="AI11" s="35" t="str">
        <f t="array" ref="AI11">IFERROR(INDEX(INDIRECT(Config!$G$1), MATCH($A11, INDIRECT(Config!$H$1), 0), MATCH(AI$1, INDIRECT(Config!$I$1), 0)), "")</f>
        <v/>
      </c>
      <c r="AJ11" s="32" t="str">
        <f t="array" ref="AJ11">IFERROR(INDEX(INDIRECT(Config!$G$1), MATCH($A11, INDIRECT(Config!$H$1), 0), MATCH(AJ$1, INDIRECT(Config!$I$1), 0)), "")</f>
        <v/>
      </c>
      <c r="AK11" s="35" t="str">
        <f t="array" ref="AK11">IFERROR(INDEX(INDIRECT(Config!$G$1), MATCH($A11, INDIRECT(Config!$H$1), 0), MATCH(AK$1, INDIRECT(Config!$I$1), 0)), "")</f>
        <v/>
      </c>
      <c r="AL11" s="32" t="str">
        <f t="array" ref="AL11">IFERROR(INDEX(INDIRECT(Config!$G$1), MATCH($A11, INDIRECT(Config!$H$1), 0), MATCH(AL$1, INDIRECT(Config!$I$1), 0)), "")</f>
        <v/>
      </c>
      <c r="AM11" s="35" t="str">
        <f t="array" ref="AM11">IFERROR(INDEX(INDIRECT(Config!$G$1), MATCH($A11, INDIRECT(Config!$H$1), 0), MATCH(AM$1, INDIRECT(Config!$I$1), 0)), "")</f>
        <v/>
      </c>
      <c r="AN11" s="32" t="str">
        <f t="array" ref="AN11">IFERROR(INDEX(INDIRECT(Config!$G$1), MATCH($A11, INDIRECT(Config!$H$1), 0), MATCH(AN$1, INDIRECT(Config!$I$1), 0)), "")</f>
        <v/>
      </c>
      <c r="AO11" s="35" t="str">
        <f t="array" ref="AO11">IFERROR(INDEX(INDIRECT(Config!$G$1), MATCH($A11, INDIRECT(Config!$H$1), 0), MATCH(AO$1, INDIRECT(Config!$I$1), 0)), "")</f>
        <v/>
      </c>
      <c r="AP11" s="32" t="str">
        <f t="array" ref="AP11">IFERROR(INDEX(INDIRECT(Config!$G$1), MATCH($A11, INDIRECT(Config!$H$1), 0), MATCH(AP$1, INDIRECT(Config!$I$1), 0)), "")</f>
        <v/>
      </c>
      <c r="AQ11" s="35" t="str">
        <f t="array" ref="AQ11">IFERROR(INDEX(INDIRECT(Config!$G$1), MATCH($A11, INDIRECT(Config!$H$1), 0), MATCH(AQ$1, INDIRECT(Config!$I$1), 0)), "")</f>
        <v/>
      </c>
      <c r="AR11" s="32" t="str">
        <f t="array" ref="AR11">IFERROR(INDEX(INDIRECT(Config!$G$1), MATCH($A11, INDIRECT(Config!$H$1), 0), MATCH(AR$1, INDIRECT(Config!$I$1), 0)), "")</f>
        <v/>
      </c>
      <c r="AS11" s="35" t="str">
        <f t="array" ref="AS11">IFERROR(INDEX(INDIRECT(Config!$G$1), MATCH($A11, INDIRECT(Config!$H$1), 0), MATCH(AS$1, INDIRECT(Config!$I$1), 0)), "")</f>
        <v/>
      </c>
      <c r="AT11" s="32" t="str">
        <f t="array" ref="AT11">IFERROR(INDEX(INDIRECT(Config!$G$1), MATCH($A11, INDIRECT(Config!$H$1), 0), MATCH(AT$1, INDIRECT(Config!$I$1), 0)), "")</f>
        <v/>
      </c>
      <c r="AU11" s="35" t="str">
        <f t="array" ref="AU11">IFERROR(INDEX(INDIRECT(Config!$G$1), MATCH($A11, INDIRECT(Config!$H$1), 0), MATCH(AU$1, INDIRECT(Config!$I$1), 0)), "")</f>
        <v/>
      </c>
      <c r="AV11" s="32" t="str">
        <f t="array" ref="AV11">IFERROR(INDEX(INDIRECT(Config!$G$1), MATCH($A11, INDIRECT(Config!$H$1), 0), MATCH(AV$1, INDIRECT(Config!$I$1), 0)), "")</f>
        <v/>
      </c>
      <c r="AW11" s="35"/>
      <c r="AX11" s="32"/>
      <c r="AY11" s="35"/>
    </row>
    <row r="12" ht="15.75" customHeight="1">
      <c r="A12" s="12" t="str">
        <f>Menus!R4</f>
        <v/>
      </c>
      <c r="B12" s="51">
        <f t="shared" si="5"/>
        <v>0</v>
      </c>
      <c r="C12" s="33" t="str">
        <f t="array" ref="C12">IFERROR(INDEX(INDIRECT(Config!$G$1), MATCH($A12, INDIRECT(Config!$H$1), 0), MATCH(C$1, INDIRECT(Config!$I$1), 0)), "")</f>
        <v/>
      </c>
      <c r="D12" s="34" t="str">
        <f t="array" ref="D12">IFERROR(INDEX(INDIRECT(Config!$G$1), MATCH($A12, INDIRECT(Config!$H$1), 0), MATCH(D$1, INDIRECT(Config!$I$1), 0)), "")</f>
        <v/>
      </c>
      <c r="E12" s="32" t="str">
        <f t="array" ref="E12">IFERROR(INDEX(INDIRECT(Config!$G$1), MATCH($A12, INDIRECT(Config!$H$1), 0), MATCH(E$1, INDIRECT(Config!$I$1), 0)), "")</f>
        <v/>
      </c>
      <c r="F12" s="35" t="str">
        <f t="array" ref="F12">IFERROR(INDEX(INDIRECT(Config!$G$1), MATCH($A12, INDIRECT(Config!$H$1), 0), MATCH(F$1, INDIRECT(Config!$I$1), 0)), "")</f>
        <v/>
      </c>
      <c r="G12" s="32" t="str">
        <f t="array" ref="G12">IFERROR(INDEX(INDIRECT(Config!$G$1), MATCH($A12, INDIRECT(Config!$H$1), 0), MATCH(G$1, INDIRECT(Config!$I$1), 0)), "")</f>
        <v/>
      </c>
      <c r="H12" s="35" t="str">
        <f t="array" ref="H12">IFERROR(INDEX(INDIRECT(Config!$G$1), MATCH($A12, INDIRECT(Config!$H$1), 0), MATCH(H$1, INDIRECT(Config!$I$1), 0)), "")</f>
        <v/>
      </c>
      <c r="I12" s="32" t="str">
        <f t="array" ref="I12">IFERROR(INDEX(INDIRECT(Config!$G$1), MATCH($A12, INDIRECT(Config!$H$1), 0), MATCH(I$1, INDIRECT(Config!$I$1), 0)), "")</f>
        <v/>
      </c>
      <c r="J12" s="35" t="str">
        <f t="array" ref="J12">IFERROR(INDEX(INDIRECT(Config!$G$1), MATCH($A12, INDIRECT(Config!$H$1), 0), MATCH(J$1, INDIRECT(Config!$I$1), 0)), "")</f>
        <v/>
      </c>
      <c r="K12" s="32" t="str">
        <f t="array" ref="K12">IFERROR(INDEX(INDIRECT(Config!$G$1), MATCH($A12, INDIRECT(Config!$H$1), 0), MATCH(K$1, INDIRECT(Config!$I$1), 0)), "")</f>
        <v/>
      </c>
      <c r="L12" s="35" t="str">
        <f t="array" ref="L12">IFERROR(INDEX(INDIRECT(Config!$G$1), MATCH($A12, INDIRECT(Config!$H$1), 0), MATCH(L$1, INDIRECT(Config!$I$1), 0)), "")</f>
        <v/>
      </c>
      <c r="M12" s="32" t="str">
        <f t="array" ref="M12">IFERROR(INDEX(INDIRECT(Config!$G$1), MATCH($A12, INDIRECT(Config!$H$1), 0), MATCH(M$1, INDIRECT(Config!$I$1), 0)), "")</f>
        <v/>
      </c>
      <c r="N12" s="35" t="str">
        <f t="array" ref="N12">IFERROR(INDEX(INDIRECT(Config!$G$1), MATCH($A12, INDIRECT(Config!$H$1), 0), MATCH(N$1, INDIRECT(Config!$I$1), 0)), "")</f>
        <v/>
      </c>
      <c r="O12" s="32" t="str">
        <f t="array" ref="O12">IFERROR(INDEX(INDIRECT(Config!$G$1), MATCH($A12, INDIRECT(Config!$H$1), 0), MATCH(O$1, INDIRECT(Config!$I$1), 0)), "")</f>
        <v/>
      </c>
      <c r="P12" s="35" t="str">
        <f t="array" ref="P12">IFERROR(INDEX(INDIRECT(Config!$G$1), MATCH($A12, INDIRECT(Config!$H$1), 0), MATCH(P$1, INDIRECT(Config!$I$1), 0)), "")</f>
        <v/>
      </c>
      <c r="Q12" s="32" t="str">
        <f t="array" ref="Q12">IFERROR(INDEX(INDIRECT(Config!$G$1), MATCH($A12, INDIRECT(Config!$H$1), 0), MATCH(Q$1, INDIRECT(Config!$I$1), 0)), "")</f>
        <v/>
      </c>
      <c r="R12" s="35" t="str">
        <f t="array" ref="R12">IFERROR(INDEX(INDIRECT(Config!$G$1), MATCH($A12, INDIRECT(Config!$H$1), 0), MATCH(R$1, INDIRECT(Config!$I$1), 0)), "")</f>
        <v/>
      </c>
      <c r="S12" s="32" t="str">
        <f t="array" ref="S12">IFERROR(INDEX(INDIRECT(Config!$G$1), MATCH($A12, INDIRECT(Config!$H$1), 0), MATCH(S$1, INDIRECT(Config!$I$1), 0)), "")</f>
        <v/>
      </c>
      <c r="T12" s="35" t="str">
        <f t="array" ref="T12">IFERROR(INDEX(INDIRECT(Config!$G$1), MATCH($A12, INDIRECT(Config!$H$1), 0), MATCH(T$1, INDIRECT(Config!$I$1), 0)), "")</f>
        <v/>
      </c>
      <c r="U12" s="32" t="str">
        <f t="array" ref="U12">IFERROR(INDEX(INDIRECT(Config!$G$1), MATCH($A12, INDIRECT(Config!$H$1), 0), MATCH(U$1, INDIRECT(Config!$I$1), 0)), "")</f>
        <v/>
      </c>
      <c r="V12" s="35" t="str">
        <f t="array" ref="V12">IFERROR(INDEX(INDIRECT(Config!$G$1), MATCH($A12, INDIRECT(Config!$H$1), 0), MATCH(V$1, INDIRECT(Config!$I$1), 0)), "")</f>
        <v/>
      </c>
      <c r="W12" s="32" t="str">
        <f t="array" ref="W12">IFERROR(INDEX(INDIRECT(Config!$G$1), MATCH($A12, INDIRECT(Config!$H$1), 0), MATCH(W$1, INDIRECT(Config!$I$1), 0)), "")</f>
        <v/>
      </c>
      <c r="X12" s="35" t="str">
        <f t="array" ref="X12">IFERROR(INDEX(INDIRECT(Config!$G$1), MATCH($A12, INDIRECT(Config!$H$1), 0), MATCH(X$1, INDIRECT(Config!$I$1), 0)), "")</f>
        <v/>
      </c>
      <c r="Y12" s="32" t="str">
        <f t="array" ref="Y12">IFERROR(INDEX(INDIRECT(Config!$G$1), MATCH($A12, INDIRECT(Config!$H$1), 0), MATCH(Y$1, INDIRECT(Config!$I$1), 0)), "")</f>
        <v/>
      </c>
      <c r="Z12" s="32" t="str">
        <f t="array" ref="Z12">IFERROR(INDEX(INDIRECT(Config!$G$1), MATCH($A12, INDIRECT(Config!$H$1), 0), MATCH(Z$1, INDIRECT(Config!$I$1), 0)), "")</f>
        <v/>
      </c>
      <c r="AA12" s="35" t="str">
        <f t="array" ref="AA12">IFERROR(INDEX(INDIRECT(Config!$G$1), MATCH($A12, INDIRECT(Config!$H$1), 0), MATCH(AA$1, INDIRECT(Config!$I$1), 0)), "")</f>
        <v/>
      </c>
      <c r="AB12" s="32" t="str">
        <f t="array" ref="AB12">IFERROR(INDEX(INDIRECT(Config!$G$1), MATCH($A12, INDIRECT(Config!$H$1), 0), MATCH(AB$1, INDIRECT(Config!$I$1), 0)), "")</f>
        <v/>
      </c>
      <c r="AC12" s="35" t="str">
        <f t="array" ref="AC12">IFERROR(INDEX(INDIRECT(Config!$G$1), MATCH($A12, INDIRECT(Config!$H$1), 0), MATCH(AC$1, INDIRECT(Config!$I$1), 0)), "")</f>
        <v/>
      </c>
      <c r="AD12" s="32" t="str">
        <f t="array" ref="AD12">IFERROR(INDEX(INDIRECT(Config!$G$1), MATCH($A12, INDIRECT(Config!$H$1), 0), MATCH(AD$1, INDIRECT(Config!$I$1), 0)), "")</f>
        <v/>
      </c>
      <c r="AE12" s="35" t="str">
        <f t="array" ref="AE12">IFERROR(INDEX(INDIRECT(Config!$G$1), MATCH($A12, INDIRECT(Config!$H$1), 0), MATCH(AE$1, INDIRECT(Config!$I$1), 0)), "")</f>
        <v/>
      </c>
      <c r="AF12" s="32" t="str">
        <f t="array" ref="AF12">IFERROR(INDEX(INDIRECT(Config!$G$1), MATCH($A12, INDIRECT(Config!$H$1), 0), MATCH(AF$1, INDIRECT(Config!$I$1), 0)), "")</f>
        <v/>
      </c>
      <c r="AG12" s="35" t="str">
        <f t="array" ref="AG12">IFERROR(INDEX(INDIRECT(Config!$G$1), MATCH($A12, INDIRECT(Config!$H$1), 0), MATCH(AG$1, INDIRECT(Config!$I$1), 0)), "")</f>
        <v/>
      </c>
      <c r="AH12" s="32" t="str">
        <f t="array" ref="AH12">IFERROR(INDEX(INDIRECT(Config!$G$1), MATCH($A12, INDIRECT(Config!$H$1), 0), MATCH(AH$1, INDIRECT(Config!$I$1), 0)), "")</f>
        <v/>
      </c>
      <c r="AI12" s="35" t="str">
        <f t="array" ref="AI12">IFERROR(INDEX(INDIRECT(Config!$G$1), MATCH($A12, INDIRECT(Config!$H$1), 0), MATCH(AI$1, INDIRECT(Config!$I$1), 0)), "")</f>
        <v/>
      </c>
      <c r="AJ12" s="32" t="str">
        <f t="array" ref="AJ12">IFERROR(INDEX(INDIRECT(Config!$G$1), MATCH($A12, INDIRECT(Config!$H$1), 0), MATCH(AJ$1, INDIRECT(Config!$I$1), 0)), "")</f>
        <v/>
      </c>
      <c r="AK12" s="35" t="str">
        <f t="array" ref="AK12">IFERROR(INDEX(INDIRECT(Config!$G$1), MATCH($A12, INDIRECT(Config!$H$1), 0), MATCH(AK$1, INDIRECT(Config!$I$1), 0)), "")</f>
        <v/>
      </c>
      <c r="AL12" s="32" t="str">
        <f t="array" ref="AL12">IFERROR(INDEX(INDIRECT(Config!$G$1), MATCH($A12, INDIRECT(Config!$H$1), 0), MATCH(AL$1, INDIRECT(Config!$I$1), 0)), "")</f>
        <v/>
      </c>
      <c r="AM12" s="35" t="str">
        <f t="array" ref="AM12">IFERROR(INDEX(INDIRECT(Config!$G$1), MATCH($A12, INDIRECT(Config!$H$1), 0), MATCH(AM$1, INDIRECT(Config!$I$1), 0)), "")</f>
        <v/>
      </c>
      <c r="AN12" s="32" t="str">
        <f t="array" ref="AN12">IFERROR(INDEX(INDIRECT(Config!$G$1), MATCH($A12, INDIRECT(Config!$H$1), 0), MATCH(AN$1, INDIRECT(Config!$I$1), 0)), "")</f>
        <v/>
      </c>
      <c r="AO12" s="35" t="str">
        <f t="array" ref="AO12">IFERROR(INDEX(INDIRECT(Config!$G$1), MATCH($A12, INDIRECT(Config!$H$1), 0), MATCH(AO$1, INDIRECT(Config!$I$1), 0)), "")</f>
        <v/>
      </c>
      <c r="AP12" s="32" t="str">
        <f t="array" ref="AP12">IFERROR(INDEX(INDIRECT(Config!$G$1), MATCH($A12, INDIRECT(Config!$H$1), 0), MATCH(AP$1, INDIRECT(Config!$I$1), 0)), "")</f>
        <v/>
      </c>
      <c r="AQ12" s="35" t="str">
        <f t="array" ref="AQ12">IFERROR(INDEX(INDIRECT(Config!$G$1), MATCH($A12, INDIRECT(Config!$H$1), 0), MATCH(AQ$1, INDIRECT(Config!$I$1), 0)), "")</f>
        <v/>
      </c>
      <c r="AR12" s="32" t="str">
        <f t="array" ref="AR12">IFERROR(INDEX(INDIRECT(Config!$G$1), MATCH($A12, INDIRECT(Config!$H$1), 0), MATCH(AR$1, INDIRECT(Config!$I$1), 0)), "")</f>
        <v/>
      </c>
      <c r="AS12" s="35" t="str">
        <f t="array" ref="AS12">IFERROR(INDEX(INDIRECT(Config!$G$1), MATCH($A12, INDIRECT(Config!$H$1), 0), MATCH(AS$1, INDIRECT(Config!$I$1), 0)), "")</f>
        <v/>
      </c>
      <c r="AT12" s="32" t="str">
        <f t="array" ref="AT12">IFERROR(INDEX(INDIRECT(Config!$G$1), MATCH($A12, INDIRECT(Config!$H$1), 0), MATCH(AT$1, INDIRECT(Config!$I$1), 0)), "")</f>
        <v/>
      </c>
      <c r="AU12" s="35" t="str">
        <f t="array" ref="AU12">IFERROR(INDEX(INDIRECT(Config!$G$1), MATCH($A12, INDIRECT(Config!$H$1), 0), MATCH(AU$1, INDIRECT(Config!$I$1), 0)), "")</f>
        <v/>
      </c>
      <c r="AV12" s="32" t="str">
        <f t="array" ref="AV12">IFERROR(INDEX(INDIRECT(Config!$G$1), MATCH($A12, INDIRECT(Config!$H$1), 0), MATCH(AV$1, INDIRECT(Config!$I$1), 0)), "")</f>
        <v/>
      </c>
      <c r="AW12" s="35"/>
      <c r="AX12" s="32"/>
      <c r="AY12" s="35"/>
    </row>
    <row r="13" ht="15.75" customHeight="1">
      <c r="A13" s="12" t="str">
        <f>Menus!R5</f>
        <v/>
      </c>
      <c r="B13" s="51">
        <f t="shared" si="5"/>
        <v>0</v>
      </c>
      <c r="C13" s="33" t="str">
        <f t="array" ref="C13">IFERROR(INDEX(INDIRECT(Config!$G$1), MATCH($A13, INDIRECT(Config!$H$1), 0), MATCH(C$1, INDIRECT(Config!$I$1), 0)), "")</f>
        <v/>
      </c>
      <c r="D13" s="34" t="str">
        <f t="array" ref="D13">IFERROR(INDEX(INDIRECT(Config!$G$1), MATCH($A13, INDIRECT(Config!$H$1), 0), MATCH(D$1, INDIRECT(Config!$I$1), 0)), "")</f>
        <v/>
      </c>
      <c r="E13" s="32" t="str">
        <f t="array" ref="E13">IFERROR(INDEX(INDIRECT(Config!$G$1), MATCH($A13, INDIRECT(Config!$H$1), 0), MATCH(E$1, INDIRECT(Config!$I$1), 0)), "")</f>
        <v/>
      </c>
      <c r="F13" s="35" t="str">
        <f t="array" ref="F13">IFERROR(INDEX(INDIRECT(Config!$G$1), MATCH($A13, INDIRECT(Config!$H$1), 0), MATCH(F$1, INDIRECT(Config!$I$1), 0)), "")</f>
        <v/>
      </c>
      <c r="G13" s="32" t="str">
        <f t="array" ref="G13">IFERROR(INDEX(INDIRECT(Config!$G$1), MATCH($A13, INDIRECT(Config!$H$1), 0), MATCH(G$1, INDIRECT(Config!$I$1), 0)), "")</f>
        <v/>
      </c>
      <c r="H13" s="35" t="str">
        <f t="array" ref="H13">IFERROR(INDEX(INDIRECT(Config!$G$1), MATCH($A13, INDIRECT(Config!$H$1), 0), MATCH(H$1, INDIRECT(Config!$I$1), 0)), "")</f>
        <v/>
      </c>
      <c r="I13" s="32" t="str">
        <f t="array" ref="I13">IFERROR(INDEX(INDIRECT(Config!$G$1), MATCH($A13, INDIRECT(Config!$H$1), 0), MATCH(I$1, INDIRECT(Config!$I$1), 0)), "")</f>
        <v/>
      </c>
      <c r="J13" s="35" t="str">
        <f t="array" ref="J13">IFERROR(INDEX(INDIRECT(Config!$G$1), MATCH($A13, INDIRECT(Config!$H$1), 0), MATCH(J$1, INDIRECT(Config!$I$1), 0)), "")</f>
        <v/>
      </c>
      <c r="K13" s="32" t="str">
        <f t="array" ref="K13">IFERROR(INDEX(INDIRECT(Config!$G$1), MATCH($A13, INDIRECT(Config!$H$1), 0), MATCH(K$1, INDIRECT(Config!$I$1), 0)), "")</f>
        <v/>
      </c>
      <c r="L13" s="35" t="str">
        <f t="array" ref="L13">IFERROR(INDEX(INDIRECT(Config!$G$1), MATCH($A13, INDIRECT(Config!$H$1), 0), MATCH(L$1, INDIRECT(Config!$I$1), 0)), "")</f>
        <v/>
      </c>
      <c r="M13" s="32" t="str">
        <f t="array" ref="M13">IFERROR(INDEX(INDIRECT(Config!$G$1), MATCH($A13, INDIRECT(Config!$H$1), 0), MATCH(M$1, INDIRECT(Config!$I$1), 0)), "")</f>
        <v/>
      </c>
      <c r="N13" s="35" t="str">
        <f t="array" ref="N13">IFERROR(INDEX(INDIRECT(Config!$G$1), MATCH($A13, INDIRECT(Config!$H$1), 0), MATCH(N$1, INDIRECT(Config!$I$1), 0)), "")</f>
        <v/>
      </c>
      <c r="O13" s="32" t="str">
        <f t="array" ref="O13">IFERROR(INDEX(INDIRECT(Config!$G$1), MATCH($A13, INDIRECT(Config!$H$1), 0), MATCH(O$1, INDIRECT(Config!$I$1), 0)), "")</f>
        <v/>
      </c>
      <c r="P13" s="35" t="str">
        <f t="array" ref="P13">IFERROR(INDEX(INDIRECT(Config!$G$1), MATCH($A13, INDIRECT(Config!$H$1), 0), MATCH(P$1, INDIRECT(Config!$I$1), 0)), "")</f>
        <v/>
      </c>
      <c r="Q13" s="32" t="str">
        <f t="array" ref="Q13">IFERROR(INDEX(INDIRECT(Config!$G$1), MATCH($A13, INDIRECT(Config!$H$1), 0), MATCH(Q$1, INDIRECT(Config!$I$1), 0)), "")</f>
        <v/>
      </c>
      <c r="R13" s="35" t="str">
        <f t="array" ref="R13">IFERROR(INDEX(INDIRECT(Config!$G$1), MATCH($A13, INDIRECT(Config!$H$1), 0), MATCH(R$1, INDIRECT(Config!$I$1), 0)), "")</f>
        <v/>
      </c>
      <c r="S13" s="32" t="str">
        <f t="array" ref="S13">IFERROR(INDEX(INDIRECT(Config!$G$1), MATCH($A13, INDIRECT(Config!$H$1), 0), MATCH(S$1, INDIRECT(Config!$I$1), 0)), "")</f>
        <v/>
      </c>
      <c r="T13" s="35" t="str">
        <f t="array" ref="T13">IFERROR(INDEX(INDIRECT(Config!$G$1), MATCH($A13, INDIRECT(Config!$H$1), 0), MATCH(T$1, INDIRECT(Config!$I$1), 0)), "")</f>
        <v/>
      </c>
      <c r="U13" s="32" t="str">
        <f t="array" ref="U13">IFERROR(INDEX(INDIRECT(Config!$G$1), MATCH($A13, INDIRECT(Config!$H$1), 0), MATCH(U$1, INDIRECT(Config!$I$1), 0)), "")</f>
        <v/>
      </c>
      <c r="V13" s="35" t="str">
        <f t="array" ref="V13">IFERROR(INDEX(INDIRECT(Config!$G$1), MATCH($A13, INDIRECT(Config!$H$1), 0), MATCH(V$1, INDIRECT(Config!$I$1), 0)), "")</f>
        <v/>
      </c>
      <c r="W13" s="32" t="str">
        <f t="array" ref="W13">IFERROR(INDEX(INDIRECT(Config!$G$1), MATCH($A13, INDIRECT(Config!$H$1), 0), MATCH(W$1, INDIRECT(Config!$I$1), 0)), "")</f>
        <v/>
      </c>
      <c r="X13" s="35" t="str">
        <f t="array" ref="X13">IFERROR(INDEX(INDIRECT(Config!$G$1), MATCH($A13, INDIRECT(Config!$H$1), 0), MATCH(X$1, INDIRECT(Config!$I$1), 0)), "")</f>
        <v/>
      </c>
      <c r="Y13" s="32" t="str">
        <f t="array" ref="Y13">IFERROR(INDEX(INDIRECT(Config!$G$1), MATCH($A13, INDIRECT(Config!$H$1), 0), MATCH(Y$1, INDIRECT(Config!$I$1), 0)), "")</f>
        <v/>
      </c>
      <c r="Z13" s="32" t="str">
        <f t="array" ref="Z13">IFERROR(INDEX(INDIRECT(Config!$G$1), MATCH($A13, INDIRECT(Config!$H$1), 0), MATCH(Z$1, INDIRECT(Config!$I$1), 0)), "")</f>
        <v/>
      </c>
      <c r="AA13" s="35" t="str">
        <f t="array" ref="AA13">IFERROR(INDEX(INDIRECT(Config!$G$1), MATCH($A13, INDIRECT(Config!$H$1), 0), MATCH(AA$1, INDIRECT(Config!$I$1), 0)), "")</f>
        <v/>
      </c>
      <c r="AB13" s="32" t="str">
        <f t="array" ref="AB13">IFERROR(INDEX(INDIRECT(Config!$G$1), MATCH($A13, INDIRECT(Config!$H$1), 0), MATCH(AB$1, INDIRECT(Config!$I$1), 0)), "")</f>
        <v/>
      </c>
      <c r="AC13" s="35" t="str">
        <f t="array" ref="AC13">IFERROR(INDEX(INDIRECT(Config!$G$1), MATCH($A13, INDIRECT(Config!$H$1), 0), MATCH(AC$1, INDIRECT(Config!$I$1), 0)), "")</f>
        <v/>
      </c>
      <c r="AD13" s="32" t="str">
        <f t="array" ref="AD13">IFERROR(INDEX(INDIRECT(Config!$G$1), MATCH($A13, INDIRECT(Config!$H$1), 0), MATCH(AD$1, INDIRECT(Config!$I$1), 0)), "")</f>
        <v/>
      </c>
      <c r="AE13" s="35" t="str">
        <f t="array" ref="AE13">IFERROR(INDEX(INDIRECT(Config!$G$1), MATCH($A13, INDIRECT(Config!$H$1), 0), MATCH(AE$1, INDIRECT(Config!$I$1), 0)), "")</f>
        <v/>
      </c>
      <c r="AF13" s="32" t="str">
        <f t="array" ref="AF13">IFERROR(INDEX(INDIRECT(Config!$G$1), MATCH($A13, INDIRECT(Config!$H$1), 0), MATCH(AF$1, INDIRECT(Config!$I$1), 0)), "")</f>
        <v/>
      </c>
      <c r="AG13" s="35" t="str">
        <f t="array" ref="AG13">IFERROR(INDEX(INDIRECT(Config!$G$1), MATCH($A13, INDIRECT(Config!$H$1), 0), MATCH(AG$1, INDIRECT(Config!$I$1), 0)), "")</f>
        <v/>
      </c>
      <c r="AH13" s="32" t="str">
        <f t="array" ref="AH13">IFERROR(INDEX(INDIRECT(Config!$G$1), MATCH($A13, INDIRECT(Config!$H$1), 0), MATCH(AH$1, INDIRECT(Config!$I$1), 0)), "")</f>
        <v/>
      </c>
      <c r="AI13" s="35" t="str">
        <f t="array" ref="AI13">IFERROR(INDEX(INDIRECT(Config!$G$1), MATCH($A13, INDIRECT(Config!$H$1), 0), MATCH(AI$1, INDIRECT(Config!$I$1), 0)), "")</f>
        <v/>
      </c>
      <c r="AJ13" s="32" t="str">
        <f t="array" ref="AJ13">IFERROR(INDEX(INDIRECT(Config!$G$1), MATCH($A13, INDIRECT(Config!$H$1), 0), MATCH(AJ$1, INDIRECT(Config!$I$1), 0)), "")</f>
        <v/>
      </c>
      <c r="AK13" s="35" t="str">
        <f t="array" ref="AK13">IFERROR(INDEX(INDIRECT(Config!$G$1), MATCH($A13, INDIRECT(Config!$H$1), 0), MATCH(AK$1, INDIRECT(Config!$I$1), 0)), "")</f>
        <v/>
      </c>
      <c r="AL13" s="32" t="str">
        <f t="array" ref="AL13">IFERROR(INDEX(INDIRECT(Config!$G$1), MATCH($A13, INDIRECT(Config!$H$1), 0), MATCH(AL$1, INDIRECT(Config!$I$1), 0)), "")</f>
        <v/>
      </c>
      <c r="AM13" s="35" t="str">
        <f t="array" ref="AM13">IFERROR(INDEX(INDIRECT(Config!$G$1), MATCH($A13, INDIRECT(Config!$H$1), 0), MATCH(AM$1, INDIRECT(Config!$I$1), 0)), "")</f>
        <v/>
      </c>
      <c r="AN13" s="32" t="str">
        <f t="array" ref="AN13">IFERROR(INDEX(INDIRECT(Config!$G$1), MATCH($A13, INDIRECT(Config!$H$1), 0), MATCH(AN$1, INDIRECT(Config!$I$1), 0)), "")</f>
        <v/>
      </c>
      <c r="AO13" s="35" t="str">
        <f t="array" ref="AO13">IFERROR(INDEX(INDIRECT(Config!$G$1), MATCH($A13, INDIRECT(Config!$H$1), 0), MATCH(AO$1, INDIRECT(Config!$I$1), 0)), "")</f>
        <v/>
      </c>
      <c r="AP13" s="32" t="str">
        <f t="array" ref="AP13">IFERROR(INDEX(INDIRECT(Config!$G$1), MATCH($A13, INDIRECT(Config!$H$1), 0), MATCH(AP$1, INDIRECT(Config!$I$1), 0)), "")</f>
        <v/>
      </c>
      <c r="AQ13" s="35" t="str">
        <f t="array" ref="AQ13">IFERROR(INDEX(INDIRECT(Config!$G$1), MATCH($A13, INDIRECT(Config!$H$1), 0), MATCH(AQ$1, INDIRECT(Config!$I$1), 0)), "")</f>
        <v/>
      </c>
      <c r="AR13" s="32" t="str">
        <f t="array" ref="AR13">IFERROR(INDEX(INDIRECT(Config!$G$1), MATCH($A13, INDIRECT(Config!$H$1), 0), MATCH(AR$1, INDIRECT(Config!$I$1), 0)), "")</f>
        <v/>
      </c>
      <c r="AS13" s="35" t="str">
        <f t="array" ref="AS13">IFERROR(INDEX(INDIRECT(Config!$G$1), MATCH($A13, INDIRECT(Config!$H$1), 0), MATCH(AS$1, INDIRECT(Config!$I$1), 0)), "")</f>
        <v/>
      </c>
      <c r="AT13" s="32" t="str">
        <f t="array" ref="AT13">IFERROR(INDEX(INDIRECT(Config!$G$1), MATCH($A13, INDIRECT(Config!$H$1), 0), MATCH(AT$1, INDIRECT(Config!$I$1), 0)), "")</f>
        <v/>
      </c>
      <c r="AU13" s="35" t="str">
        <f t="array" ref="AU13">IFERROR(INDEX(INDIRECT(Config!$G$1), MATCH($A13, INDIRECT(Config!$H$1), 0), MATCH(AU$1, INDIRECT(Config!$I$1), 0)), "")</f>
        <v/>
      </c>
      <c r="AV13" s="32" t="str">
        <f t="array" ref="AV13">IFERROR(INDEX(INDIRECT(Config!$G$1), MATCH($A13, INDIRECT(Config!$H$1), 0), MATCH(AV$1, INDIRECT(Config!$I$1), 0)), "")</f>
        <v/>
      </c>
      <c r="AW13" s="35"/>
      <c r="AX13" s="32"/>
      <c r="AY13" s="35"/>
    </row>
    <row r="14" ht="15.75" customHeight="1">
      <c r="A14" s="12" t="str">
        <f>Menus!R6</f>
        <v/>
      </c>
      <c r="B14" s="51">
        <f t="shared" si="5"/>
        <v>0</v>
      </c>
      <c r="C14" s="33" t="str">
        <f t="array" ref="C14">IFERROR(INDEX(INDIRECT(Config!$G$1), MATCH($A14, INDIRECT(Config!$H$1), 0), MATCH(C$1, INDIRECT(Config!$I$1), 0)), "")</f>
        <v/>
      </c>
      <c r="D14" s="34" t="str">
        <f t="array" ref="D14">IFERROR(INDEX(INDIRECT(Config!$G$1), MATCH($A14, INDIRECT(Config!$H$1), 0), MATCH(D$1, INDIRECT(Config!$I$1), 0)), "")</f>
        <v/>
      </c>
      <c r="E14" s="32" t="str">
        <f t="array" ref="E14">IFERROR(INDEX(INDIRECT(Config!$G$1), MATCH($A14, INDIRECT(Config!$H$1), 0), MATCH(E$1, INDIRECT(Config!$I$1), 0)), "")</f>
        <v/>
      </c>
      <c r="F14" s="35" t="str">
        <f t="array" ref="F14">IFERROR(INDEX(INDIRECT(Config!$G$1), MATCH($A14, INDIRECT(Config!$H$1), 0), MATCH(F$1, INDIRECT(Config!$I$1), 0)), "")</f>
        <v/>
      </c>
      <c r="G14" s="32" t="str">
        <f t="array" ref="G14">IFERROR(INDEX(INDIRECT(Config!$G$1), MATCH($A14, INDIRECT(Config!$H$1), 0), MATCH(G$1, INDIRECT(Config!$I$1), 0)), "")</f>
        <v/>
      </c>
      <c r="H14" s="35" t="str">
        <f t="array" ref="H14">IFERROR(INDEX(INDIRECT(Config!$G$1), MATCH($A14, INDIRECT(Config!$H$1), 0), MATCH(H$1, INDIRECT(Config!$I$1), 0)), "")</f>
        <v/>
      </c>
      <c r="I14" s="32" t="str">
        <f t="array" ref="I14">IFERROR(INDEX(INDIRECT(Config!$G$1), MATCH($A14, INDIRECT(Config!$H$1), 0), MATCH(I$1, INDIRECT(Config!$I$1), 0)), "")</f>
        <v/>
      </c>
      <c r="J14" s="35" t="str">
        <f t="array" ref="J14">IFERROR(INDEX(INDIRECT(Config!$G$1), MATCH($A14, INDIRECT(Config!$H$1), 0), MATCH(J$1, INDIRECT(Config!$I$1), 0)), "")</f>
        <v/>
      </c>
      <c r="K14" s="32" t="str">
        <f t="array" ref="K14">IFERROR(INDEX(INDIRECT(Config!$G$1), MATCH($A14, INDIRECT(Config!$H$1), 0), MATCH(K$1, INDIRECT(Config!$I$1), 0)), "")</f>
        <v/>
      </c>
      <c r="L14" s="35" t="str">
        <f t="array" ref="L14">IFERROR(INDEX(INDIRECT(Config!$G$1), MATCH($A14, INDIRECT(Config!$H$1), 0), MATCH(L$1, INDIRECT(Config!$I$1), 0)), "")</f>
        <v/>
      </c>
      <c r="M14" s="32" t="str">
        <f t="array" ref="M14">IFERROR(INDEX(INDIRECT(Config!$G$1), MATCH($A14, INDIRECT(Config!$H$1), 0), MATCH(M$1, INDIRECT(Config!$I$1), 0)), "")</f>
        <v/>
      </c>
      <c r="N14" s="35" t="str">
        <f t="array" ref="N14">IFERROR(INDEX(INDIRECT(Config!$G$1), MATCH($A14, INDIRECT(Config!$H$1), 0), MATCH(N$1, INDIRECT(Config!$I$1), 0)), "")</f>
        <v/>
      </c>
      <c r="O14" s="32" t="str">
        <f t="array" ref="O14">IFERROR(INDEX(INDIRECT(Config!$G$1), MATCH($A14, INDIRECT(Config!$H$1), 0), MATCH(O$1, INDIRECT(Config!$I$1), 0)), "")</f>
        <v/>
      </c>
      <c r="P14" s="35" t="str">
        <f t="array" ref="P14">IFERROR(INDEX(INDIRECT(Config!$G$1), MATCH($A14, INDIRECT(Config!$H$1), 0), MATCH(P$1, INDIRECT(Config!$I$1), 0)), "")</f>
        <v/>
      </c>
      <c r="Q14" s="32" t="str">
        <f t="array" ref="Q14">IFERROR(INDEX(INDIRECT(Config!$G$1), MATCH($A14, INDIRECT(Config!$H$1), 0), MATCH(Q$1, INDIRECT(Config!$I$1), 0)), "")</f>
        <v/>
      </c>
      <c r="R14" s="35" t="str">
        <f t="array" ref="R14">IFERROR(INDEX(INDIRECT(Config!$G$1), MATCH($A14, INDIRECT(Config!$H$1), 0), MATCH(R$1, INDIRECT(Config!$I$1), 0)), "")</f>
        <v/>
      </c>
      <c r="S14" s="32" t="str">
        <f t="array" ref="S14">IFERROR(INDEX(INDIRECT(Config!$G$1), MATCH($A14, INDIRECT(Config!$H$1), 0), MATCH(S$1, INDIRECT(Config!$I$1), 0)), "")</f>
        <v/>
      </c>
      <c r="T14" s="35" t="str">
        <f t="array" ref="T14">IFERROR(INDEX(INDIRECT(Config!$G$1), MATCH($A14, INDIRECT(Config!$H$1), 0), MATCH(T$1, INDIRECT(Config!$I$1), 0)), "")</f>
        <v/>
      </c>
      <c r="U14" s="32" t="str">
        <f t="array" ref="U14">IFERROR(INDEX(INDIRECT(Config!$G$1), MATCH($A14, INDIRECT(Config!$H$1), 0), MATCH(U$1, INDIRECT(Config!$I$1), 0)), "")</f>
        <v/>
      </c>
      <c r="V14" s="35" t="str">
        <f t="array" ref="V14">IFERROR(INDEX(INDIRECT(Config!$G$1), MATCH($A14, INDIRECT(Config!$H$1), 0), MATCH(V$1, INDIRECT(Config!$I$1), 0)), "")</f>
        <v/>
      </c>
      <c r="W14" s="32" t="str">
        <f t="array" ref="W14">IFERROR(INDEX(INDIRECT(Config!$G$1), MATCH($A14, INDIRECT(Config!$H$1), 0), MATCH(W$1, INDIRECT(Config!$I$1), 0)), "")</f>
        <v/>
      </c>
      <c r="X14" s="35" t="str">
        <f t="array" ref="X14">IFERROR(INDEX(INDIRECT(Config!$G$1), MATCH($A14, INDIRECT(Config!$H$1), 0), MATCH(X$1, INDIRECT(Config!$I$1), 0)), "")</f>
        <v/>
      </c>
      <c r="Y14" s="32" t="str">
        <f t="array" ref="Y14">IFERROR(INDEX(INDIRECT(Config!$G$1), MATCH($A14, INDIRECT(Config!$H$1), 0), MATCH(Y$1, INDIRECT(Config!$I$1), 0)), "")</f>
        <v/>
      </c>
      <c r="Z14" s="32" t="str">
        <f t="array" ref="Z14">IFERROR(INDEX(INDIRECT(Config!$G$1), MATCH($A14, INDIRECT(Config!$H$1), 0), MATCH(Z$1, INDIRECT(Config!$I$1), 0)), "")</f>
        <v/>
      </c>
      <c r="AA14" s="35" t="str">
        <f t="array" ref="AA14">IFERROR(INDEX(INDIRECT(Config!$G$1), MATCH($A14, INDIRECT(Config!$H$1), 0), MATCH(AA$1, INDIRECT(Config!$I$1), 0)), "")</f>
        <v/>
      </c>
      <c r="AB14" s="32" t="str">
        <f t="array" ref="AB14">IFERROR(INDEX(INDIRECT(Config!$G$1), MATCH($A14, INDIRECT(Config!$H$1), 0), MATCH(AB$1, INDIRECT(Config!$I$1), 0)), "")</f>
        <v/>
      </c>
      <c r="AC14" s="35" t="str">
        <f t="array" ref="AC14">IFERROR(INDEX(INDIRECT(Config!$G$1), MATCH($A14, INDIRECT(Config!$H$1), 0), MATCH(AC$1, INDIRECT(Config!$I$1), 0)), "")</f>
        <v/>
      </c>
      <c r="AD14" s="32" t="str">
        <f t="array" ref="AD14">IFERROR(INDEX(INDIRECT(Config!$G$1), MATCH($A14, INDIRECT(Config!$H$1), 0), MATCH(AD$1, INDIRECT(Config!$I$1), 0)), "")</f>
        <v/>
      </c>
      <c r="AE14" s="35" t="str">
        <f t="array" ref="AE14">IFERROR(INDEX(INDIRECT(Config!$G$1), MATCH($A14, INDIRECT(Config!$H$1), 0), MATCH(AE$1, INDIRECT(Config!$I$1), 0)), "")</f>
        <v/>
      </c>
      <c r="AF14" s="32" t="str">
        <f t="array" ref="AF14">IFERROR(INDEX(INDIRECT(Config!$G$1), MATCH($A14, INDIRECT(Config!$H$1), 0), MATCH(AF$1, INDIRECT(Config!$I$1), 0)), "")</f>
        <v/>
      </c>
      <c r="AG14" s="35" t="str">
        <f t="array" ref="AG14">IFERROR(INDEX(INDIRECT(Config!$G$1), MATCH($A14, INDIRECT(Config!$H$1), 0), MATCH(AG$1, INDIRECT(Config!$I$1), 0)), "")</f>
        <v/>
      </c>
      <c r="AH14" s="32" t="str">
        <f t="array" ref="AH14">IFERROR(INDEX(INDIRECT(Config!$G$1), MATCH($A14, INDIRECT(Config!$H$1), 0), MATCH(AH$1, INDIRECT(Config!$I$1), 0)), "")</f>
        <v/>
      </c>
      <c r="AI14" s="35" t="str">
        <f t="array" ref="AI14">IFERROR(INDEX(INDIRECT(Config!$G$1), MATCH($A14, INDIRECT(Config!$H$1), 0), MATCH(AI$1, INDIRECT(Config!$I$1), 0)), "")</f>
        <v/>
      </c>
      <c r="AJ14" s="32" t="str">
        <f t="array" ref="AJ14">IFERROR(INDEX(INDIRECT(Config!$G$1), MATCH($A14, INDIRECT(Config!$H$1), 0), MATCH(AJ$1, INDIRECT(Config!$I$1), 0)), "")</f>
        <v/>
      </c>
      <c r="AK14" s="35" t="str">
        <f t="array" ref="AK14">IFERROR(INDEX(INDIRECT(Config!$G$1), MATCH($A14, INDIRECT(Config!$H$1), 0), MATCH(AK$1, INDIRECT(Config!$I$1), 0)), "")</f>
        <v/>
      </c>
      <c r="AL14" s="32" t="str">
        <f t="array" ref="AL14">IFERROR(INDEX(INDIRECT(Config!$G$1), MATCH($A14, INDIRECT(Config!$H$1), 0), MATCH(AL$1, INDIRECT(Config!$I$1), 0)), "")</f>
        <v/>
      </c>
      <c r="AM14" s="35" t="str">
        <f t="array" ref="AM14">IFERROR(INDEX(INDIRECT(Config!$G$1), MATCH($A14, INDIRECT(Config!$H$1), 0), MATCH(AM$1, INDIRECT(Config!$I$1), 0)), "")</f>
        <v/>
      </c>
      <c r="AN14" s="32" t="str">
        <f t="array" ref="AN14">IFERROR(INDEX(INDIRECT(Config!$G$1), MATCH($A14, INDIRECT(Config!$H$1), 0), MATCH(AN$1, INDIRECT(Config!$I$1), 0)), "")</f>
        <v/>
      </c>
      <c r="AO14" s="35" t="str">
        <f t="array" ref="AO14">IFERROR(INDEX(INDIRECT(Config!$G$1), MATCH($A14, INDIRECT(Config!$H$1), 0), MATCH(AO$1, INDIRECT(Config!$I$1), 0)), "")</f>
        <v/>
      </c>
      <c r="AP14" s="32" t="str">
        <f t="array" ref="AP14">IFERROR(INDEX(INDIRECT(Config!$G$1), MATCH($A14, INDIRECT(Config!$H$1), 0), MATCH(AP$1, INDIRECT(Config!$I$1), 0)), "")</f>
        <v/>
      </c>
      <c r="AQ14" s="35" t="str">
        <f t="array" ref="AQ14">IFERROR(INDEX(INDIRECT(Config!$G$1), MATCH($A14, INDIRECT(Config!$H$1), 0), MATCH(AQ$1, INDIRECT(Config!$I$1), 0)), "")</f>
        <v/>
      </c>
      <c r="AR14" s="32" t="str">
        <f t="array" ref="AR14">IFERROR(INDEX(INDIRECT(Config!$G$1), MATCH($A14, INDIRECT(Config!$H$1), 0), MATCH(AR$1, INDIRECT(Config!$I$1), 0)), "")</f>
        <v/>
      </c>
      <c r="AS14" s="35" t="str">
        <f t="array" ref="AS14">IFERROR(INDEX(INDIRECT(Config!$G$1), MATCH($A14, INDIRECT(Config!$H$1), 0), MATCH(AS$1, INDIRECT(Config!$I$1), 0)), "")</f>
        <v/>
      </c>
      <c r="AT14" s="32" t="str">
        <f t="array" ref="AT14">IFERROR(INDEX(INDIRECT(Config!$G$1), MATCH($A14, INDIRECT(Config!$H$1), 0), MATCH(AT$1, INDIRECT(Config!$I$1), 0)), "")</f>
        <v/>
      </c>
      <c r="AU14" s="35" t="str">
        <f t="array" ref="AU14">IFERROR(INDEX(INDIRECT(Config!$G$1), MATCH($A14, INDIRECT(Config!$H$1), 0), MATCH(AU$1, INDIRECT(Config!$I$1), 0)), "")</f>
        <v/>
      </c>
      <c r="AV14" s="32" t="str">
        <f t="array" ref="AV14">IFERROR(INDEX(INDIRECT(Config!$G$1), MATCH($A14, INDIRECT(Config!$H$1), 0), MATCH(AV$1, INDIRECT(Config!$I$1), 0)), "")</f>
        <v/>
      </c>
      <c r="AW14" s="35"/>
      <c r="AX14" s="32"/>
      <c r="AY14" s="35"/>
    </row>
    <row r="15" ht="15.75" customHeight="1">
      <c r="A15" s="12" t="str">
        <f>Menus!R7</f>
        <v/>
      </c>
      <c r="B15" s="51">
        <f t="shared" si="5"/>
        <v>0</v>
      </c>
      <c r="C15" s="33" t="str">
        <f t="array" ref="C15">IFERROR(INDEX(INDIRECT(Config!$G$1), MATCH($A15, INDIRECT(Config!$H$1), 0), MATCH(C$1, INDIRECT(Config!$I$1), 0)), "")</f>
        <v/>
      </c>
      <c r="D15" s="34" t="str">
        <f t="array" ref="D15">IFERROR(INDEX(INDIRECT(Config!$G$1), MATCH($A15, INDIRECT(Config!$H$1), 0), MATCH(D$1, INDIRECT(Config!$I$1), 0)), "")</f>
        <v/>
      </c>
      <c r="E15" s="32" t="str">
        <f t="array" ref="E15">IFERROR(INDEX(INDIRECT(Config!$G$1), MATCH($A15, INDIRECT(Config!$H$1), 0), MATCH(E$1, INDIRECT(Config!$I$1), 0)), "")</f>
        <v/>
      </c>
      <c r="F15" s="35" t="str">
        <f t="array" ref="F15">IFERROR(INDEX(INDIRECT(Config!$G$1), MATCH($A15, INDIRECT(Config!$H$1), 0), MATCH(F$1, INDIRECT(Config!$I$1), 0)), "")</f>
        <v/>
      </c>
      <c r="G15" s="32" t="str">
        <f t="array" ref="G15">IFERROR(INDEX(INDIRECT(Config!$G$1), MATCH($A15, INDIRECT(Config!$H$1), 0), MATCH(G$1, INDIRECT(Config!$I$1), 0)), "")</f>
        <v/>
      </c>
      <c r="H15" s="35" t="str">
        <f t="array" ref="H15">IFERROR(INDEX(INDIRECT(Config!$G$1), MATCH($A15, INDIRECT(Config!$H$1), 0), MATCH(H$1, INDIRECT(Config!$I$1), 0)), "")</f>
        <v/>
      </c>
      <c r="I15" s="32" t="str">
        <f t="array" ref="I15">IFERROR(INDEX(INDIRECT(Config!$G$1), MATCH($A15, INDIRECT(Config!$H$1), 0), MATCH(I$1, INDIRECT(Config!$I$1), 0)), "")</f>
        <v/>
      </c>
      <c r="J15" s="35" t="str">
        <f t="array" ref="J15">IFERROR(INDEX(INDIRECT(Config!$G$1), MATCH($A15, INDIRECT(Config!$H$1), 0), MATCH(J$1, INDIRECT(Config!$I$1), 0)), "")</f>
        <v/>
      </c>
      <c r="K15" s="32" t="str">
        <f t="array" ref="K15">IFERROR(INDEX(INDIRECT(Config!$G$1), MATCH($A15, INDIRECT(Config!$H$1), 0), MATCH(K$1, INDIRECT(Config!$I$1), 0)), "")</f>
        <v/>
      </c>
      <c r="L15" s="35" t="str">
        <f t="array" ref="L15">IFERROR(INDEX(INDIRECT(Config!$G$1), MATCH($A15, INDIRECT(Config!$H$1), 0), MATCH(L$1, INDIRECT(Config!$I$1), 0)), "")</f>
        <v/>
      </c>
      <c r="M15" s="32" t="str">
        <f t="array" ref="M15">IFERROR(INDEX(INDIRECT(Config!$G$1), MATCH($A15, INDIRECT(Config!$H$1), 0), MATCH(M$1, INDIRECT(Config!$I$1), 0)), "")</f>
        <v/>
      </c>
      <c r="N15" s="35" t="str">
        <f t="array" ref="N15">IFERROR(INDEX(INDIRECT(Config!$G$1), MATCH($A15, INDIRECT(Config!$H$1), 0), MATCH(N$1, INDIRECT(Config!$I$1), 0)), "")</f>
        <v/>
      </c>
      <c r="O15" s="32" t="str">
        <f t="array" ref="O15">IFERROR(INDEX(INDIRECT(Config!$G$1), MATCH($A15, INDIRECT(Config!$H$1), 0), MATCH(O$1, INDIRECT(Config!$I$1), 0)), "")</f>
        <v/>
      </c>
      <c r="P15" s="35" t="str">
        <f t="array" ref="P15">IFERROR(INDEX(INDIRECT(Config!$G$1), MATCH($A15, INDIRECT(Config!$H$1), 0), MATCH(P$1, INDIRECT(Config!$I$1), 0)), "")</f>
        <v/>
      </c>
      <c r="Q15" s="32" t="str">
        <f t="array" ref="Q15">IFERROR(INDEX(INDIRECT(Config!$G$1), MATCH($A15, INDIRECT(Config!$H$1), 0), MATCH(Q$1, INDIRECT(Config!$I$1), 0)), "")</f>
        <v/>
      </c>
      <c r="R15" s="35" t="str">
        <f t="array" ref="R15">IFERROR(INDEX(INDIRECT(Config!$G$1), MATCH($A15, INDIRECT(Config!$H$1), 0), MATCH(R$1, INDIRECT(Config!$I$1), 0)), "")</f>
        <v/>
      </c>
      <c r="S15" s="32" t="str">
        <f t="array" ref="S15">IFERROR(INDEX(INDIRECT(Config!$G$1), MATCH($A15, INDIRECT(Config!$H$1), 0), MATCH(S$1, INDIRECT(Config!$I$1), 0)), "")</f>
        <v/>
      </c>
      <c r="T15" s="35" t="str">
        <f t="array" ref="T15">IFERROR(INDEX(INDIRECT(Config!$G$1), MATCH($A15, INDIRECT(Config!$H$1), 0), MATCH(T$1, INDIRECT(Config!$I$1), 0)), "")</f>
        <v/>
      </c>
      <c r="U15" s="32" t="str">
        <f t="array" ref="U15">IFERROR(INDEX(INDIRECT(Config!$G$1), MATCH($A15, INDIRECT(Config!$H$1), 0), MATCH(U$1, INDIRECT(Config!$I$1), 0)), "")</f>
        <v/>
      </c>
      <c r="V15" s="35" t="str">
        <f t="array" ref="V15">IFERROR(INDEX(INDIRECT(Config!$G$1), MATCH($A15, INDIRECT(Config!$H$1), 0), MATCH(V$1, INDIRECT(Config!$I$1), 0)), "")</f>
        <v/>
      </c>
      <c r="W15" s="32" t="str">
        <f t="array" ref="W15">IFERROR(INDEX(INDIRECT(Config!$G$1), MATCH($A15, INDIRECT(Config!$H$1), 0), MATCH(W$1, INDIRECT(Config!$I$1), 0)), "")</f>
        <v/>
      </c>
      <c r="X15" s="35" t="str">
        <f t="array" ref="X15">IFERROR(INDEX(INDIRECT(Config!$G$1), MATCH($A15, INDIRECT(Config!$H$1), 0), MATCH(X$1, INDIRECT(Config!$I$1), 0)), "")</f>
        <v/>
      </c>
      <c r="Y15" s="32" t="str">
        <f t="array" ref="Y15">IFERROR(INDEX(INDIRECT(Config!$G$1), MATCH($A15, INDIRECT(Config!$H$1), 0), MATCH(Y$1, INDIRECT(Config!$I$1), 0)), "")</f>
        <v/>
      </c>
      <c r="Z15" s="32" t="str">
        <f t="array" ref="Z15">IFERROR(INDEX(INDIRECT(Config!$G$1), MATCH($A15, INDIRECT(Config!$H$1), 0), MATCH(Z$1, INDIRECT(Config!$I$1), 0)), "")</f>
        <v/>
      </c>
      <c r="AA15" s="35" t="str">
        <f t="array" ref="AA15">IFERROR(INDEX(INDIRECT(Config!$G$1), MATCH($A15, INDIRECT(Config!$H$1), 0), MATCH(AA$1, INDIRECT(Config!$I$1), 0)), "")</f>
        <v/>
      </c>
      <c r="AB15" s="32" t="str">
        <f t="array" ref="AB15">IFERROR(INDEX(INDIRECT(Config!$G$1), MATCH($A15, INDIRECT(Config!$H$1), 0), MATCH(AB$1, INDIRECT(Config!$I$1), 0)), "")</f>
        <v/>
      </c>
      <c r="AC15" s="35" t="str">
        <f t="array" ref="AC15">IFERROR(INDEX(INDIRECT(Config!$G$1), MATCH($A15, INDIRECT(Config!$H$1), 0), MATCH(AC$1, INDIRECT(Config!$I$1), 0)), "")</f>
        <v/>
      </c>
      <c r="AD15" s="32" t="str">
        <f t="array" ref="AD15">IFERROR(INDEX(INDIRECT(Config!$G$1), MATCH($A15, INDIRECT(Config!$H$1), 0), MATCH(AD$1, INDIRECT(Config!$I$1), 0)), "")</f>
        <v/>
      </c>
      <c r="AE15" s="35" t="str">
        <f t="array" ref="AE15">IFERROR(INDEX(INDIRECT(Config!$G$1), MATCH($A15, INDIRECT(Config!$H$1), 0), MATCH(AE$1, INDIRECT(Config!$I$1), 0)), "")</f>
        <v/>
      </c>
      <c r="AF15" s="32" t="str">
        <f t="array" ref="AF15">IFERROR(INDEX(INDIRECT(Config!$G$1), MATCH($A15, INDIRECT(Config!$H$1), 0), MATCH(AF$1, INDIRECT(Config!$I$1), 0)), "")</f>
        <v/>
      </c>
      <c r="AG15" s="35" t="str">
        <f t="array" ref="AG15">IFERROR(INDEX(INDIRECT(Config!$G$1), MATCH($A15, INDIRECT(Config!$H$1), 0), MATCH(AG$1, INDIRECT(Config!$I$1), 0)), "")</f>
        <v/>
      </c>
      <c r="AH15" s="32" t="str">
        <f t="array" ref="AH15">IFERROR(INDEX(INDIRECT(Config!$G$1), MATCH($A15, INDIRECT(Config!$H$1), 0), MATCH(AH$1, INDIRECT(Config!$I$1), 0)), "")</f>
        <v/>
      </c>
      <c r="AI15" s="35" t="str">
        <f t="array" ref="AI15">IFERROR(INDEX(INDIRECT(Config!$G$1), MATCH($A15, INDIRECT(Config!$H$1), 0), MATCH(AI$1, INDIRECT(Config!$I$1), 0)), "")</f>
        <v/>
      </c>
      <c r="AJ15" s="32" t="str">
        <f t="array" ref="AJ15">IFERROR(INDEX(INDIRECT(Config!$G$1), MATCH($A15, INDIRECT(Config!$H$1), 0), MATCH(AJ$1, INDIRECT(Config!$I$1), 0)), "")</f>
        <v/>
      </c>
      <c r="AK15" s="35" t="str">
        <f t="array" ref="AK15">IFERROR(INDEX(INDIRECT(Config!$G$1), MATCH($A15, INDIRECT(Config!$H$1), 0), MATCH(AK$1, INDIRECT(Config!$I$1), 0)), "")</f>
        <v/>
      </c>
      <c r="AL15" s="32" t="str">
        <f t="array" ref="AL15">IFERROR(INDEX(INDIRECT(Config!$G$1), MATCH($A15, INDIRECT(Config!$H$1), 0), MATCH(AL$1, INDIRECT(Config!$I$1), 0)), "")</f>
        <v/>
      </c>
      <c r="AM15" s="35" t="str">
        <f t="array" ref="AM15">IFERROR(INDEX(INDIRECT(Config!$G$1), MATCH($A15, INDIRECT(Config!$H$1), 0), MATCH(AM$1, INDIRECT(Config!$I$1), 0)), "")</f>
        <v/>
      </c>
      <c r="AN15" s="32" t="str">
        <f t="array" ref="AN15">IFERROR(INDEX(INDIRECT(Config!$G$1), MATCH($A15, INDIRECT(Config!$H$1), 0), MATCH(AN$1, INDIRECT(Config!$I$1), 0)), "")</f>
        <v/>
      </c>
      <c r="AO15" s="35" t="str">
        <f t="array" ref="AO15">IFERROR(INDEX(INDIRECT(Config!$G$1), MATCH($A15, INDIRECT(Config!$H$1), 0), MATCH(AO$1, INDIRECT(Config!$I$1), 0)), "")</f>
        <v/>
      </c>
      <c r="AP15" s="32" t="str">
        <f t="array" ref="AP15">IFERROR(INDEX(INDIRECT(Config!$G$1), MATCH($A15, INDIRECT(Config!$H$1), 0), MATCH(AP$1, INDIRECT(Config!$I$1), 0)), "")</f>
        <v/>
      </c>
      <c r="AQ15" s="35" t="str">
        <f t="array" ref="AQ15">IFERROR(INDEX(INDIRECT(Config!$G$1), MATCH($A15, INDIRECT(Config!$H$1), 0), MATCH(AQ$1, INDIRECT(Config!$I$1), 0)), "")</f>
        <v/>
      </c>
      <c r="AR15" s="32" t="str">
        <f t="array" ref="AR15">IFERROR(INDEX(INDIRECT(Config!$G$1), MATCH($A15, INDIRECT(Config!$H$1), 0), MATCH(AR$1, INDIRECT(Config!$I$1), 0)), "")</f>
        <v/>
      </c>
      <c r="AS15" s="35" t="str">
        <f t="array" ref="AS15">IFERROR(INDEX(INDIRECT(Config!$G$1), MATCH($A15, INDIRECT(Config!$H$1), 0), MATCH(AS$1, INDIRECT(Config!$I$1), 0)), "")</f>
        <v/>
      </c>
      <c r="AT15" s="32" t="str">
        <f t="array" ref="AT15">IFERROR(INDEX(INDIRECT(Config!$G$1), MATCH($A15, INDIRECT(Config!$H$1), 0), MATCH(AT$1, INDIRECT(Config!$I$1), 0)), "")</f>
        <v/>
      </c>
      <c r="AU15" s="35" t="str">
        <f t="array" ref="AU15">IFERROR(INDEX(INDIRECT(Config!$G$1), MATCH($A15, INDIRECT(Config!$H$1), 0), MATCH(AU$1, INDIRECT(Config!$I$1), 0)), "")</f>
        <v/>
      </c>
      <c r="AV15" s="32" t="str">
        <f t="array" ref="AV15">IFERROR(INDEX(INDIRECT(Config!$G$1), MATCH($A15, INDIRECT(Config!$H$1), 0), MATCH(AV$1, INDIRECT(Config!$I$1), 0)), "")</f>
        <v/>
      </c>
      <c r="AW15" s="35"/>
      <c r="AX15" s="32"/>
      <c r="AY15" s="35"/>
    </row>
    <row r="16" ht="15.75" customHeight="1">
      <c r="A16" s="12" t="str">
        <f>Menus!R8</f>
        <v/>
      </c>
      <c r="B16" s="51">
        <f t="shared" si="5"/>
        <v>0</v>
      </c>
      <c r="C16" s="33" t="str">
        <f t="array" ref="C16">IFERROR(INDEX(INDIRECT(Config!$G$1), MATCH($A16, INDIRECT(Config!$H$1), 0), MATCH(C$1, INDIRECT(Config!$I$1), 0)), "")</f>
        <v/>
      </c>
      <c r="D16" s="34" t="str">
        <f t="array" ref="D16">IFERROR(INDEX(INDIRECT(Config!$G$1), MATCH($A16, INDIRECT(Config!$H$1), 0), MATCH(D$1, INDIRECT(Config!$I$1), 0)), "")</f>
        <v/>
      </c>
      <c r="E16" s="32" t="str">
        <f t="array" ref="E16">IFERROR(INDEX(INDIRECT(Config!$G$1), MATCH($A16, INDIRECT(Config!$H$1), 0), MATCH(E$1, INDIRECT(Config!$I$1), 0)), "")</f>
        <v/>
      </c>
      <c r="F16" s="35" t="str">
        <f t="array" ref="F16">IFERROR(INDEX(INDIRECT(Config!$G$1), MATCH($A16, INDIRECT(Config!$H$1), 0), MATCH(F$1, INDIRECT(Config!$I$1), 0)), "")</f>
        <v/>
      </c>
      <c r="G16" s="32" t="str">
        <f t="array" ref="G16">IFERROR(INDEX(INDIRECT(Config!$G$1), MATCH($A16, INDIRECT(Config!$H$1), 0), MATCH(G$1, INDIRECT(Config!$I$1), 0)), "")</f>
        <v/>
      </c>
      <c r="H16" s="35" t="str">
        <f t="array" ref="H16">IFERROR(INDEX(INDIRECT(Config!$G$1), MATCH($A16, INDIRECT(Config!$H$1), 0), MATCH(H$1, INDIRECT(Config!$I$1), 0)), "")</f>
        <v/>
      </c>
      <c r="I16" s="32" t="str">
        <f t="array" ref="I16">IFERROR(INDEX(INDIRECT(Config!$G$1), MATCH($A16, INDIRECT(Config!$H$1), 0), MATCH(I$1, INDIRECT(Config!$I$1), 0)), "")</f>
        <v/>
      </c>
      <c r="J16" s="35" t="str">
        <f t="array" ref="J16">IFERROR(INDEX(INDIRECT(Config!$G$1), MATCH($A16, INDIRECT(Config!$H$1), 0), MATCH(J$1, INDIRECT(Config!$I$1), 0)), "")</f>
        <v/>
      </c>
      <c r="K16" s="32" t="str">
        <f t="array" ref="K16">IFERROR(INDEX(INDIRECT(Config!$G$1), MATCH($A16, INDIRECT(Config!$H$1), 0), MATCH(K$1, INDIRECT(Config!$I$1), 0)), "")</f>
        <v/>
      </c>
      <c r="L16" s="35" t="str">
        <f t="array" ref="L16">IFERROR(INDEX(INDIRECT(Config!$G$1), MATCH($A16, INDIRECT(Config!$H$1), 0), MATCH(L$1, INDIRECT(Config!$I$1), 0)), "")</f>
        <v/>
      </c>
      <c r="M16" s="32" t="str">
        <f t="array" ref="M16">IFERROR(INDEX(INDIRECT(Config!$G$1), MATCH($A16, INDIRECT(Config!$H$1), 0), MATCH(M$1, INDIRECT(Config!$I$1), 0)), "")</f>
        <v/>
      </c>
      <c r="N16" s="35" t="str">
        <f t="array" ref="N16">IFERROR(INDEX(INDIRECT(Config!$G$1), MATCH($A16, INDIRECT(Config!$H$1), 0), MATCH(N$1, INDIRECT(Config!$I$1), 0)), "")</f>
        <v/>
      </c>
      <c r="O16" s="32" t="str">
        <f t="array" ref="O16">IFERROR(INDEX(INDIRECT(Config!$G$1), MATCH($A16, INDIRECT(Config!$H$1), 0), MATCH(O$1, INDIRECT(Config!$I$1), 0)), "")</f>
        <v/>
      </c>
      <c r="P16" s="35" t="str">
        <f t="array" ref="P16">IFERROR(INDEX(INDIRECT(Config!$G$1), MATCH($A16, INDIRECT(Config!$H$1), 0), MATCH(P$1, INDIRECT(Config!$I$1), 0)), "")</f>
        <v/>
      </c>
      <c r="Q16" s="32" t="str">
        <f t="array" ref="Q16">IFERROR(INDEX(INDIRECT(Config!$G$1), MATCH($A16, INDIRECT(Config!$H$1), 0), MATCH(Q$1, INDIRECT(Config!$I$1), 0)), "")</f>
        <v/>
      </c>
      <c r="R16" s="35" t="str">
        <f t="array" ref="R16">IFERROR(INDEX(INDIRECT(Config!$G$1), MATCH($A16, INDIRECT(Config!$H$1), 0), MATCH(R$1, INDIRECT(Config!$I$1), 0)), "")</f>
        <v/>
      </c>
      <c r="S16" s="32" t="str">
        <f t="array" ref="S16">IFERROR(INDEX(INDIRECT(Config!$G$1), MATCH($A16, INDIRECT(Config!$H$1), 0), MATCH(S$1, INDIRECT(Config!$I$1), 0)), "")</f>
        <v/>
      </c>
      <c r="T16" s="35" t="str">
        <f t="array" ref="T16">IFERROR(INDEX(INDIRECT(Config!$G$1), MATCH($A16, INDIRECT(Config!$H$1), 0), MATCH(T$1, INDIRECT(Config!$I$1), 0)), "")</f>
        <v/>
      </c>
      <c r="U16" s="32" t="str">
        <f t="array" ref="U16">IFERROR(INDEX(INDIRECT(Config!$G$1), MATCH($A16, INDIRECT(Config!$H$1), 0), MATCH(U$1, INDIRECT(Config!$I$1), 0)), "")</f>
        <v/>
      </c>
      <c r="V16" s="35" t="str">
        <f t="array" ref="V16">IFERROR(INDEX(INDIRECT(Config!$G$1), MATCH($A16, INDIRECT(Config!$H$1), 0), MATCH(V$1, INDIRECT(Config!$I$1), 0)), "")</f>
        <v/>
      </c>
      <c r="W16" s="32" t="str">
        <f t="array" ref="W16">IFERROR(INDEX(INDIRECT(Config!$G$1), MATCH($A16, INDIRECT(Config!$H$1), 0), MATCH(W$1, INDIRECT(Config!$I$1), 0)), "")</f>
        <v/>
      </c>
      <c r="X16" s="35" t="str">
        <f t="array" ref="X16">IFERROR(INDEX(INDIRECT(Config!$G$1), MATCH($A16, INDIRECT(Config!$H$1), 0), MATCH(X$1, INDIRECT(Config!$I$1), 0)), "")</f>
        <v/>
      </c>
      <c r="Y16" s="32" t="str">
        <f t="array" ref="Y16">IFERROR(INDEX(INDIRECT(Config!$G$1), MATCH($A16, INDIRECT(Config!$H$1), 0), MATCH(Y$1, INDIRECT(Config!$I$1), 0)), "")</f>
        <v/>
      </c>
      <c r="Z16" s="32" t="str">
        <f t="array" ref="Z16">IFERROR(INDEX(INDIRECT(Config!$G$1), MATCH($A16, INDIRECT(Config!$H$1), 0), MATCH(Z$1, INDIRECT(Config!$I$1), 0)), "")</f>
        <v/>
      </c>
      <c r="AA16" s="35" t="str">
        <f t="array" ref="AA16">IFERROR(INDEX(INDIRECT(Config!$G$1), MATCH($A16, INDIRECT(Config!$H$1), 0), MATCH(AA$1, INDIRECT(Config!$I$1), 0)), "")</f>
        <v/>
      </c>
      <c r="AB16" s="32" t="str">
        <f t="array" ref="AB16">IFERROR(INDEX(INDIRECT(Config!$G$1), MATCH($A16, INDIRECT(Config!$H$1), 0), MATCH(AB$1, INDIRECT(Config!$I$1), 0)), "")</f>
        <v/>
      </c>
      <c r="AC16" s="35" t="str">
        <f t="array" ref="AC16">IFERROR(INDEX(INDIRECT(Config!$G$1), MATCH($A16, INDIRECT(Config!$H$1), 0), MATCH(AC$1, INDIRECT(Config!$I$1), 0)), "")</f>
        <v/>
      </c>
      <c r="AD16" s="32" t="str">
        <f t="array" ref="AD16">IFERROR(INDEX(INDIRECT(Config!$G$1), MATCH($A16, INDIRECT(Config!$H$1), 0), MATCH(AD$1, INDIRECT(Config!$I$1), 0)), "")</f>
        <v/>
      </c>
      <c r="AE16" s="35" t="str">
        <f t="array" ref="AE16">IFERROR(INDEX(INDIRECT(Config!$G$1), MATCH($A16, INDIRECT(Config!$H$1), 0), MATCH(AE$1, INDIRECT(Config!$I$1), 0)), "")</f>
        <v/>
      </c>
      <c r="AF16" s="32" t="str">
        <f t="array" ref="AF16">IFERROR(INDEX(INDIRECT(Config!$G$1), MATCH($A16, INDIRECT(Config!$H$1), 0), MATCH(AF$1, INDIRECT(Config!$I$1), 0)), "")</f>
        <v/>
      </c>
      <c r="AG16" s="35" t="str">
        <f t="array" ref="AG16">IFERROR(INDEX(INDIRECT(Config!$G$1), MATCH($A16, INDIRECT(Config!$H$1), 0), MATCH(AG$1, INDIRECT(Config!$I$1), 0)), "")</f>
        <v/>
      </c>
      <c r="AH16" s="32" t="str">
        <f t="array" ref="AH16">IFERROR(INDEX(INDIRECT(Config!$G$1), MATCH($A16, INDIRECT(Config!$H$1), 0), MATCH(AH$1, INDIRECT(Config!$I$1), 0)), "")</f>
        <v/>
      </c>
      <c r="AI16" s="35" t="str">
        <f t="array" ref="AI16">IFERROR(INDEX(INDIRECT(Config!$G$1), MATCH($A16, INDIRECT(Config!$H$1), 0), MATCH(AI$1, INDIRECT(Config!$I$1), 0)), "")</f>
        <v/>
      </c>
      <c r="AJ16" s="32" t="str">
        <f t="array" ref="AJ16">IFERROR(INDEX(INDIRECT(Config!$G$1), MATCH($A16, INDIRECT(Config!$H$1), 0), MATCH(AJ$1, INDIRECT(Config!$I$1), 0)), "")</f>
        <v/>
      </c>
      <c r="AK16" s="35" t="str">
        <f t="array" ref="AK16">IFERROR(INDEX(INDIRECT(Config!$G$1), MATCH($A16, INDIRECT(Config!$H$1), 0), MATCH(AK$1, INDIRECT(Config!$I$1), 0)), "")</f>
        <v/>
      </c>
      <c r="AL16" s="32" t="str">
        <f t="array" ref="AL16">IFERROR(INDEX(INDIRECT(Config!$G$1), MATCH($A16, INDIRECT(Config!$H$1), 0), MATCH(AL$1, INDIRECT(Config!$I$1), 0)), "")</f>
        <v/>
      </c>
      <c r="AM16" s="35" t="str">
        <f t="array" ref="AM16">IFERROR(INDEX(INDIRECT(Config!$G$1), MATCH($A16, INDIRECT(Config!$H$1), 0), MATCH(AM$1, INDIRECT(Config!$I$1), 0)), "")</f>
        <v/>
      </c>
      <c r="AN16" s="32" t="str">
        <f t="array" ref="AN16">IFERROR(INDEX(INDIRECT(Config!$G$1), MATCH($A16, INDIRECT(Config!$H$1), 0), MATCH(AN$1, INDIRECT(Config!$I$1), 0)), "")</f>
        <v/>
      </c>
      <c r="AO16" s="35" t="str">
        <f t="array" ref="AO16">IFERROR(INDEX(INDIRECT(Config!$G$1), MATCH($A16, INDIRECT(Config!$H$1), 0), MATCH(AO$1, INDIRECT(Config!$I$1), 0)), "")</f>
        <v/>
      </c>
      <c r="AP16" s="32" t="str">
        <f t="array" ref="AP16">IFERROR(INDEX(INDIRECT(Config!$G$1), MATCH($A16, INDIRECT(Config!$H$1), 0), MATCH(AP$1, INDIRECT(Config!$I$1), 0)), "")</f>
        <v/>
      </c>
      <c r="AQ16" s="35" t="str">
        <f t="array" ref="AQ16">IFERROR(INDEX(INDIRECT(Config!$G$1), MATCH($A16, INDIRECT(Config!$H$1), 0), MATCH(AQ$1, INDIRECT(Config!$I$1), 0)), "")</f>
        <v/>
      </c>
      <c r="AR16" s="32" t="str">
        <f t="array" ref="AR16">IFERROR(INDEX(INDIRECT(Config!$G$1), MATCH($A16, INDIRECT(Config!$H$1), 0), MATCH(AR$1, INDIRECT(Config!$I$1), 0)), "")</f>
        <v/>
      </c>
      <c r="AS16" s="35" t="str">
        <f t="array" ref="AS16">IFERROR(INDEX(INDIRECT(Config!$G$1), MATCH($A16, INDIRECT(Config!$H$1), 0), MATCH(AS$1, INDIRECT(Config!$I$1), 0)), "")</f>
        <v/>
      </c>
      <c r="AT16" s="32" t="str">
        <f t="array" ref="AT16">IFERROR(INDEX(INDIRECT(Config!$G$1), MATCH($A16, INDIRECT(Config!$H$1), 0), MATCH(AT$1, INDIRECT(Config!$I$1), 0)), "")</f>
        <v/>
      </c>
      <c r="AU16" s="35" t="str">
        <f t="array" ref="AU16">IFERROR(INDEX(INDIRECT(Config!$G$1), MATCH($A16, INDIRECT(Config!$H$1), 0), MATCH(AU$1, INDIRECT(Config!$I$1), 0)), "")</f>
        <v/>
      </c>
      <c r="AV16" s="32" t="str">
        <f t="array" ref="AV16">IFERROR(INDEX(INDIRECT(Config!$G$1), MATCH($A16, INDIRECT(Config!$H$1), 0), MATCH(AV$1, INDIRECT(Config!$I$1), 0)), "")</f>
        <v/>
      </c>
      <c r="AW16" s="35"/>
      <c r="AX16" s="32"/>
      <c r="AY16" s="35"/>
    </row>
    <row r="17" ht="15.75" customHeight="1">
      <c r="A17" s="12" t="str">
        <f>Menus!R9</f>
        <v/>
      </c>
      <c r="B17" s="51">
        <f t="shared" si="5"/>
        <v>0</v>
      </c>
      <c r="C17" s="33" t="str">
        <f t="array" ref="C17">IFERROR(INDEX(INDIRECT(Config!$G$1), MATCH($A17, INDIRECT(Config!$H$1), 0), MATCH(C$1, INDIRECT(Config!$I$1), 0)), "")</f>
        <v/>
      </c>
      <c r="D17" s="34" t="str">
        <f t="array" ref="D17">IFERROR(INDEX(INDIRECT(Config!$G$1), MATCH($A17, INDIRECT(Config!$H$1), 0), MATCH(D$1, INDIRECT(Config!$I$1), 0)), "")</f>
        <v/>
      </c>
      <c r="E17" s="32" t="str">
        <f t="array" ref="E17">IFERROR(INDEX(INDIRECT(Config!$G$1), MATCH($A17, INDIRECT(Config!$H$1), 0), MATCH(E$1, INDIRECT(Config!$I$1), 0)), "")</f>
        <v/>
      </c>
      <c r="F17" s="35" t="str">
        <f t="array" ref="F17">IFERROR(INDEX(INDIRECT(Config!$G$1), MATCH($A17, INDIRECT(Config!$H$1), 0), MATCH(F$1, INDIRECT(Config!$I$1), 0)), "")</f>
        <v/>
      </c>
      <c r="G17" s="32" t="str">
        <f t="array" ref="G17">IFERROR(INDEX(INDIRECT(Config!$G$1), MATCH($A17, INDIRECT(Config!$H$1), 0), MATCH(G$1, INDIRECT(Config!$I$1), 0)), "")</f>
        <v/>
      </c>
      <c r="H17" s="35" t="str">
        <f t="array" ref="H17">IFERROR(INDEX(INDIRECT(Config!$G$1), MATCH($A17, INDIRECT(Config!$H$1), 0), MATCH(H$1, INDIRECT(Config!$I$1), 0)), "")</f>
        <v/>
      </c>
      <c r="I17" s="32" t="str">
        <f t="array" ref="I17">IFERROR(INDEX(INDIRECT(Config!$G$1), MATCH($A17, INDIRECT(Config!$H$1), 0), MATCH(I$1, INDIRECT(Config!$I$1), 0)), "")</f>
        <v/>
      </c>
      <c r="J17" s="35" t="str">
        <f t="array" ref="J17">IFERROR(INDEX(INDIRECT(Config!$G$1), MATCH($A17, INDIRECT(Config!$H$1), 0), MATCH(J$1, INDIRECT(Config!$I$1), 0)), "")</f>
        <v/>
      </c>
      <c r="K17" s="32" t="str">
        <f t="array" ref="K17">IFERROR(INDEX(INDIRECT(Config!$G$1), MATCH($A17, INDIRECT(Config!$H$1), 0), MATCH(K$1, INDIRECT(Config!$I$1), 0)), "")</f>
        <v/>
      </c>
      <c r="L17" s="35" t="str">
        <f t="array" ref="L17">IFERROR(INDEX(INDIRECT(Config!$G$1), MATCH($A17, INDIRECT(Config!$H$1), 0), MATCH(L$1, INDIRECT(Config!$I$1), 0)), "")</f>
        <v/>
      </c>
      <c r="M17" s="32" t="str">
        <f t="array" ref="M17">IFERROR(INDEX(INDIRECT(Config!$G$1), MATCH($A17, INDIRECT(Config!$H$1), 0), MATCH(M$1, INDIRECT(Config!$I$1), 0)), "")</f>
        <v/>
      </c>
      <c r="N17" s="35" t="str">
        <f t="array" ref="N17">IFERROR(INDEX(INDIRECT(Config!$G$1), MATCH($A17, INDIRECT(Config!$H$1), 0), MATCH(N$1, INDIRECT(Config!$I$1), 0)), "")</f>
        <v/>
      </c>
      <c r="O17" s="32" t="str">
        <f t="array" ref="O17">IFERROR(INDEX(INDIRECT(Config!$G$1), MATCH($A17, INDIRECT(Config!$H$1), 0), MATCH(O$1, INDIRECT(Config!$I$1), 0)), "")</f>
        <v/>
      </c>
      <c r="P17" s="35" t="str">
        <f t="array" ref="P17">IFERROR(INDEX(INDIRECT(Config!$G$1), MATCH($A17, INDIRECT(Config!$H$1), 0), MATCH(P$1, INDIRECT(Config!$I$1), 0)), "")</f>
        <v/>
      </c>
      <c r="Q17" s="32" t="str">
        <f t="array" ref="Q17">IFERROR(INDEX(INDIRECT(Config!$G$1), MATCH($A17, INDIRECT(Config!$H$1), 0), MATCH(Q$1, INDIRECT(Config!$I$1), 0)), "")</f>
        <v/>
      </c>
      <c r="R17" s="35" t="str">
        <f t="array" ref="R17">IFERROR(INDEX(INDIRECT(Config!$G$1), MATCH($A17, INDIRECT(Config!$H$1), 0), MATCH(R$1, INDIRECT(Config!$I$1), 0)), "")</f>
        <v/>
      </c>
      <c r="S17" s="32" t="str">
        <f t="array" ref="S17">IFERROR(INDEX(INDIRECT(Config!$G$1), MATCH($A17, INDIRECT(Config!$H$1), 0), MATCH(S$1, INDIRECT(Config!$I$1), 0)), "")</f>
        <v/>
      </c>
      <c r="T17" s="35" t="str">
        <f t="array" ref="T17">IFERROR(INDEX(INDIRECT(Config!$G$1), MATCH($A17, INDIRECT(Config!$H$1), 0), MATCH(T$1, INDIRECT(Config!$I$1), 0)), "")</f>
        <v/>
      </c>
      <c r="U17" s="32" t="str">
        <f t="array" ref="U17">IFERROR(INDEX(INDIRECT(Config!$G$1), MATCH($A17, INDIRECT(Config!$H$1), 0), MATCH(U$1, INDIRECT(Config!$I$1), 0)), "")</f>
        <v/>
      </c>
      <c r="V17" s="35" t="str">
        <f t="array" ref="V17">IFERROR(INDEX(INDIRECT(Config!$G$1), MATCH($A17, INDIRECT(Config!$H$1), 0), MATCH(V$1, INDIRECT(Config!$I$1), 0)), "")</f>
        <v/>
      </c>
      <c r="W17" s="32" t="str">
        <f t="array" ref="W17">IFERROR(INDEX(INDIRECT(Config!$G$1), MATCH($A17, INDIRECT(Config!$H$1), 0), MATCH(W$1, INDIRECT(Config!$I$1), 0)), "")</f>
        <v/>
      </c>
      <c r="X17" s="35" t="str">
        <f t="array" ref="X17">IFERROR(INDEX(INDIRECT(Config!$G$1), MATCH($A17, INDIRECT(Config!$H$1), 0), MATCH(X$1, INDIRECT(Config!$I$1), 0)), "")</f>
        <v/>
      </c>
      <c r="Y17" s="32" t="str">
        <f t="array" ref="Y17">IFERROR(INDEX(INDIRECT(Config!$G$1), MATCH($A17, INDIRECT(Config!$H$1), 0), MATCH(Y$1, INDIRECT(Config!$I$1), 0)), "")</f>
        <v/>
      </c>
      <c r="Z17" s="32" t="str">
        <f t="array" ref="Z17">IFERROR(INDEX(INDIRECT(Config!$G$1), MATCH($A17, INDIRECT(Config!$H$1), 0), MATCH(Z$1, INDIRECT(Config!$I$1), 0)), "")</f>
        <v/>
      </c>
      <c r="AA17" s="35" t="str">
        <f t="array" ref="AA17">IFERROR(INDEX(INDIRECT(Config!$G$1), MATCH($A17, INDIRECT(Config!$H$1), 0), MATCH(AA$1, INDIRECT(Config!$I$1), 0)), "")</f>
        <v/>
      </c>
      <c r="AB17" s="32" t="str">
        <f t="array" ref="AB17">IFERROR(INDEX(INDIRECT(Config!$G$1), MATCH($A17, INDIRECT(Config!$H$1), 0), MATCH(AB$1, INDIRECT(Config!$I$1), 0)), "")</f>
        <v/>
      </c>
      <c r="AC17" s="35" t="str">
        <f t="array" ref="AC17">IFERROR(INDEX(INDIRECT(Config!$G$1), MATCH($A17, INDIRECT(Config!$H$1), 0), MATCH(AC$1, INDIRECT(Config!$I$1), 0)), "")</f>
        <v/>
      </c>
      <c r="AD17" s="32" t="str">
        <f t="array" ref="AD17">IFERROR(INDEX(INDIRECT(Config!$G$1), MATCH($A17, INDIRECT(Config!$H$1), 0), MATCH(AD$1, INDIRECT(Config!$I$1), 0)), "")</f>
        <v/>
      </c>
      <c r="AE17" s="35" t="str">
        <f t="array" ref="AE17">IFERROR(INDEX(INDIRECT(Config!$G$1), MATCH($A17, INDIRECT(Config!$H$1), 0), MATCH(AE$1, INDIRECT(Config!$I$1), 0)), "")</f>
        <v/>
      </c>
      <c r="AF17" s="32" t="str">
        <f t="array" ref="AF17">IFERROR(INDEX(INDIRECT(Config!$G$1), MATCH($A17, INDIRECT(Config!$H$1), 0), MATCH(AF$1, INDIRECT(Config!$I$1), 0)), "")</f>
        <v/>
      </c>
      <c r="AG17" s="35" t="str">
        <f t="array" ref="AG17">IFERROR(INDEX(INDIRECT(Config!$G$1), MATCH($A17, INDIRECT(Config!$H$1), 0), MATCH(AG$1, INDIRECT(Config!$I$1), 0)), "")</f>
        <v/>
      </c>
      <c r="AH17" s="32" t="str">
        <f t="array" ref="AH17">IFERROR(INDEX(INDIRECT(Config!$G$1), MATCH($A17, INDIRECT(Config!$H$1), 0), MATCH(AH$1, INDIRECT(Config!$I$1), 0)), "")</f>
        <v/>
      </c>
      <c r="AI17" s="35" t="str">
        <f t="array" ref="AI17">IFERROR(INDEX(INDIRECT(Config!$G$1), MATCH($A17, INDIRECT(Config!$H$1), 0), MATCH(AI$1, INDIRECT(Config!$I$1), 0)), "")</f>
        <v/>
      </c>
      <c r="AJ17" s="32" t="str">
        <f t="array" ref="AJ17">IFERROR(INDEX(INDIRECT(Config!$G$1), MATCH($A17, INDIRECT(Config!$H$1), 0), MATCH(AJ$1, INDIRECT(Config!$I$1), 0)), "")</f>
        <v/>
      </c>
      <c r="AK17" s="35" t="str">
        <f t="array" ref="AK17">IFERROR(INDEX(INDIRECT(Config!$G$1), MATCH($A17, INDIRECT(Config!$H$1), 0), MATCH(AK$1, INDIRECT(Config!$I$1), 0)), "")</f>
        <v/>
      </c>
      <c r="AL17" s="32" t="str">
        <f t="array" ref="AL17">IFERROR(INDEX(INDIRECT(Config!$G$1), MATCH($A17, INDIRECT(Config!$H$1), 0), MATCH(AL$1, INDIRECT(Config!$I$1), 0)), "")</f>
        <v/>
      </c>
      <c r="AM17" s="35" t="str">
        <f t="array" ref="AM17">IFERROR(INDEX(INDIRECT(Config!$G$1), MATCH($A17, INDIRECT(Config!$H$1), 0), MATCH(AM$1, INDIRECT(Config!$I$1), 0)), "")</f>
        <v/>
      </c>
      <c r="AN17" s="32" t="str">
        <f t="array" ref="AN17">IFERROR(INDEX(INDIRECT(Config!$G$1), MATCH($A17, INDIRECT(Config!$H$1), 0), MATCH(AN$1, INDIRECT(Config!$I$1), 0)), "")</f>
        <v/>
      </c>
      <c r="AO17" s="35" t="str">
        <f t="array" ref="AO17">IFERROR(INDEX(INDIRECT(Config!$G$1), MATCH($A17, INDIRECT(Config!$H$1), 0), MATCH(AO$1, INDIRECT(Config!$I$1), 0)), "")</f>
        <v/>
      </c>
      <c r="AP17" s="32" t="str">
        <f t="array" ref="AP17">IFERROR(INDEX(INDIRECT(Config!$G$1), MATCH($A17, INDIRECT(Config!$H$1), 0), MATCH(AP$1, INDIRECT(Config!$I$1), 0)), "")</f>
        <v/>
      </c>
      <c r="AQ17" s="35" t="str">
        <f t="array" ref="AQ17">IFERROR(INDEX(INDIRECT(Config!$G$1), MATCH($A17, INDIRECT(Config!$H$1), 0), MATCH(AQ$1, INDIRECT(Config!$I$1), 0)), "")</f>
        <v/>
      </c>
      <c r="AR17" s="32" t="str">
        <f t="array" ref="AR17">IFERROR(INDEX(INDIRECT(Config!$G$1), MATCH($A17, INDIRECT(Config!$H$1), 0), MATCH(AR$1, INDIRECT(Config!$I$1), 0)), "")</f>
        <v/>
      </c>
      <c r="AS17" s="35" t="str">
        <f t="array" ref="AS17">IFERROR(INDEX(INDIRECT(Config!$G$1), MATCH($A17, INDIRECT(Config!$H$1), 0), MATCH(AS$1, INDIRECT(Config!$I$1), 0)), "")</f>
        <v/>
      </c>
      <c r="AT17" s="32" t="str">
        <f t="array" ref="AT17">IFERROR(INDEX(INDIRECT(Config!$G$1), MATCH($A17, INDIRECT(Config!$H$1), 0), MATCH(AT$1, INDIRECT(Config!$I$1), 0)), "")</f>
        <v/>
      </c>
      <c r="AU17" s="35" t="str">
        <f t="array" ref="AU17">IFERROR(INDEX(INDIRECT(Config!$G$1), MATCH($A17, INDIRECT(Config!$H$1), 0), MATCH(AU$1, INDIRECT(Config!$I$1), 0)), "")</f>
        <v/>
      </c>
      <c r="AV17" s="32" t="str">
        <f t="array" ref="AV17">IFERROR(INDEX(INDIRECT(Config!$G$1), MATCH($A17, INDIRECT(Config!$H$1), 0), MATCH(AV$1, INDIRECT(Config!$I$1), 0)), "")</f>
        <v/>
      </c>
      <c r="AW17" s="35"/>
      <c r="AX17" s="32"/>
      <c r="AY17" s="35"/>
    </row>
    <row r="18" ht="15.75" customHeight="1">
      <c r="A18" s="12" t="str">
        <f>Menus!R10</f>
        <v/>
      </c>
      <c r="B18" s="51">
        <f t="shared" si="5"/>
        <v>0</v>
      </c>
      <c r="C18" s="33" t="str">
        <f t="array" ref="C18">IFERROR(INDEX(INDIRECT(Config!$G$1), MATCH($A18, INDIRECT(Config!$H$1), 0), MATCH(C$1, INDIRECT(Config!$I$1), 0)), "")</f>
        <v/>
      </c>
      <c r="D18" s="34" t="str">
        <f t="array" ref="D18">IFERROR(INDEX(INDIRECT(Config!$G$1), MATCH($A18, INDIRECT(Config!$H$1), 0), MATCH(D$1, INDIRECT(Config!$I$1), 0)), "")</f>
        <v/>
      </c>
      <c r="E18" s="32" t="str">
        <f t="array" ref="E18">IFERROR(INDEX(INDIRECT(Config!$G$1), MATCH($A18, INDIRECT(Config!$H$1), 0), MATCH(E$1, INDIRECT(Config!$I$1), 0)), "")</f>
        <v/>
      </c>
      <c r="F18" s="35" t="str">
        <f t="array" ref="F18">IFERROR(INDEX(INDIRECT(Config!$G$1), MATCH($A18, INDIRECT(Config!$H$1), 0), MATCH(F$1, INDIRECT(Config!$I$1), 0)), "")</f>
        <v/>
      </c>
      <c r="G18" s="32" t="str">
        <f t="array" ref="G18">IFERROR(INDEX(INDIRECT(Config!$G$1), MATCH($A18, INDIRECT(Config!$H$1), 0), MATCH(G$1, INDIRECT(Config!$I$1), 0)), "")</f>
        <v/>
      </c>
      <c r="H18" s="35" t="str">
        <f t="array" ref="H18">IFERROR(INDEX(INDIRECT(Config!$G$1), MATCH($A18, INDIRECT(Config!$H$1), 0), MATCH(H$1, INDIRECT(Config!$I$1), 0)), "")</f>
        <v/>
      </c>
      <c r="I18" s="32" t="str">
        <f t="array" ref="I18">IFERROR(INDEX(INDIRECT(Config!$G$1), MATCH($A18, INDIRECT(Config!$H$1), 0), MATCH(I$1, INDIRECT(Config!$I$1), 0)), "")</f>
        <v/>
      </c>
      <c r="J18" s="35" t="str">
        <f t="array" ref="J18">IFERROR(INDEX(INDIRECT(Config!$G$1), MATCH($A18, INDIRECT(Config!$H$1), 0), MATCH(J$1, INDIRECT(Config!$I$1), 0)), "")</f>
        <v/>
      </c>
      <c r="K18" s="32" t="str">
        <f t="array" ref="K18">IFERROR(INDEX(INDIRECT(Config!$G$1), MATCH($A18, INDIRECT(Config!$H$1), 0), MATCH(K$1, INDIRECT(Config!$I$1), 0)), "")</f>
        <v/>
      </c>
      <c r="L18" s="35" t="str">
        <f t="array" ref="L18">IFERROR(INDEX(INDIRECT(Config!$G$1), MATCH($A18, INDIRECT(Config!$H$1), 0), MATCH(L$1, INDIRECT(Config!$I$1), 0)), "")</f>
        <v/>
      </c>
      <c r="M18" s="32" t="str">
        <f t="array" ref="M18">IFERROR(INDEX(INDIRECT(Config!$G$1), MATCH($A18, INDIRECT(Config!$H$1), 0), MATCH(M$1, INDIRECT(Config!$I$1), 0)), "")</f>
        <v/>
      </c>
      <c r="N18" s="35" t="str">
        <f t="array" ref="N18">IFERROR(INDEX(INDIRECT(Config!$G$1), MATCH($A18, INDIRECT(Config!$H$1), 0), MATCH(N$1, INDIRECT(Config!$I$1), 0)), "")</f>
        <v/>
      </c>
      <c r="O18" s="32" t="str">
        <f t="array" ref="O18">IFERROR(INDEX(INDIRECT(Config!$G$1), MATCH($A18, INDIRECT(Config!$H$1), 0), MATCH(O$1, INDIRECT(Config!$I$1), 0)), "")</f>
        <v/>
      </c>
      <c r="P18" s="35" t="str">
        <f t="array" ref="P18">IFERROR(INDEX(INDIRECT(Config!$G$1), MATCH($A18, INDIRECT(Config!$H$1), 0), MATCH(P$1, INDIRECT(Config!$I$1), 0)), "")</f>
        <v/>
      </c>
      <c r="Q18" s="32" t="str">
        <f t="array" ref="Q18">IFERROR(INDEX(INDIRECT(Config!$G$1), MATCH($A18, INDIRECT(Config!$H$1), 0), MATCH(Q$1, INDIRECT(Config!$I$1), 0)), "")</f>
        <v/>
      </c>
      <c r="R18" s="35" t="str">
        <f t="array" ref="R18">IFERROR(INDEX(INDIRECT(Config!$G$1), MATCH($A18, INDIRECT(Config!$H$1), 0), MATCH(R$1, INDIRECT(Config!$I$1), 0)), "")</f>
        <v/>
      </c>
      <c r="S18" s="32" t="str">
        <f t="array" ref="S18">IFERROR(INDEX(INDIRECT(Config!$G$1), MATCH($A18, INDIRECT(Config!$H$1), 0), MATCH(S$1, INDIRECT(Config!$I$1), 0)), "")</f>
        <v/>
      </c>
      <c r="T18" s="35" t="str">
        <f t="array" ref="T18">IFERROR(INDEX(INDIRECT(Config!$G$1), MATCH($A18, INDIRECT(Config!$H$1), 0), MATCH(T$1, INDIRECT(Config!$I$1), 0)), "")</f>
        <v/>
      </c>
      <c r="U18" s="32" t="str">
        <f t="array" ref="U18">IFERROR(INDEX(INDIRECT(Config!$G$1), MATCH($A18, INDIRECT(Config!$H$1), 0), MATCH(U$1, INDIRECT(Config!$I$1), 0)), "")</f>
        <v/>
      </c>
      <c r="V18" s="35" t="str">
        <f t="array" ref="V18">IFERROR(INDEX(INDIRECT(Config!$G$1), MATCH($A18, INDIRECT(Config!$H$1), 0), MATCH(V$1, INDIRECT(Config!$I$1), 0)), "")</f>
        <v/>
      </c>
      <c r="W18" s="32" t="str">
        <f t="array" ref="W18">IFERROR(INDEX(INDIRECT(Config!$G$1), MATCH($A18, INDIRECT(Config!$H$1), 0), MATCH(W$1, INDIRECT(Config!$I$1), 0)), "")</f>
        <v/>
      </c>
      <c r="X18" s="35" t="str">
        <f t="array" ref="X18">IFERROR(INDEX(INDIRECT(Config!$G$1), MATCH($A18, INDIRECT(Config!$H$1), 0), MATCH(X$1, INDIRECT(Config!$I$1), 0)), "")</f>
        <v/>
      </c>
      <c r="Y18" s="32" t="str">
        <f t="array" ref="Y18">IFERROR(INDEX(INDIRECT(Config!$G$1), MATCH($A18, INDIRECT(Config!$H$1), 0), MATCH(Y$1, INDIRECT(Config!$I$1), 0)), "")</f>
        <v/>
      </c>
      <c r="Z18" s="32" t="str">
        <f t="array" ref="Z18">IFERROR(INDEX(INDIRECT(Config!$G$1), MATCH($A18, INDIRECT(Config!$H$1), 0), MATCH(Z$1, INDIRECT(Config!$I$1), 0)), "")</f>
        <v/>
      </c>
      <c r="AA18" s="35" t="str">
        <f t="array" ref="AA18">IFERROR(INDEX(INDIRECT(Config!$G$1), MATCH($A18, INDIRECT(Config!$H$1), 0), MATCH(AA$1, INDIRECT(Config!$I$1), 0)), "")</f>
        <v/>
      </c>
      <c r="AB18" s="32" t="str">
        <f t="array" ref="AB18">IFERROR(INDEX(INDIRECT(Config!$G$1), MATCH($A18, INDIRECT(Config!$H$1), 0), MATCH(AB$1, INDIRECT(Config!$I$1), 0)), "")</f>
        <v/>
      </c>
      <c r="AC18" s="35" t="str">
        <f t="array" ref="AC18">IFERROR(INDEX(INDIRECT(Config!$G$1), MATCH($A18, INDIRECT(Config!$H$1), 0), MATCH(AC$1, INDIRECT(Config!$I$1), 0)), "")</f>
        <v/>
      </c>
      <c r="AD18" s="32" t="str">
        <f t="array" ref="AD18">IFERROR(INDEX(INDIRECT(Config!$G$1), MATCH($A18, INDIRECT(Config!$H$1), 0), MATCH(AD$1, INDIRECT(Config!$I$1), 0)), "")</f>
        <v/>
      </c>
      <c r="AE18" s="35" t="str">
        <f t="array" ref="AE18">IFERROR(INDEX(INDIRECT(Config!$G$1), MATCH($A18, INDIRECT(Config!$H$1), 0), MATCH(AE$1, INDIRECT(Config!$I$1), 0)), "")</f>
        <v/>
      </c>
      <c r="AF18" s="32" t="str">
        <f t="array" ref="AF18">IFERROR(INDEX(INDIRECT(Config!$G$1), MATCH($A18, INDIRECT(Config!$H$1), 0), MATCH(AF$1, INDIRECT(Config!$I$1), 0)), "")</f>
        <v/>
      </c>
      <c r="AG18" s="35" t="str">
        <f t="array" ref="AG18">IFERROR(INDEX(INDIRECT(Config!$G$1), MATCH($A18, INDIRECT(Config!$H$1), 0), MATCH(AG$1, INDIRECT(Config!$I$1), 0)), "")</f>
        <v/>
      </c>
      <c r="AH18" s="32" t="str">
        <f t="array" ref="AH18">IFERROR(INDEX(INDIRECT(Config!$G$1), MATCH($A18, INDIRECT(Config!$H$1), 0), MATCH(AH$1, INDIRECT(Config!$I$1), 0)), "")</f>
        <v/>
      </c>
      <c r="AI18" s="35" t="str">
        <f t="array" ref="AI18">IFERROR(INDEX(INDIRECT(Config!$G$1), MATCH($A18, INDIRECT(Config!$H$1), 0), MATCH(AI$1, INDIRECT(Config!$I$1), 0)), "")</f>
        <v/>
      </c>
      <c r="AJ18" s="32" t="str">
        <f t="array" ref="AJ18">IFERROR(INDEX(INDIRECT(Config!$G$1), MATCH($A18, INDIRECT(Config!$H$1), 0), MATCH(AJ$1, INDIRECT(Config!$I$1), 0)), "")</f>
        <v/>
      </c>
      <c r="AK18" s="35" t="str">
        <f t="array" ref="AK18">IFERROR(INDEX(INDIRECT(Config!$G$1), MATCH($A18, INDIRECT(Config!$H$1), 0), MATCH(AK$1, INDIRECT(Config!$I$1), 0)), "")</f>
        <v/>
      </c>
      <c r="AL18" s="32" t="str">
        <f t="array" ref="AL18">IFERROR(INDEX(INDIRECT(Config!$G$1), MATCH($A18, INDIRECT(Config!$H$1), 0), MATCH(AL$1, INDIRECT(Config!$I$1), 0)), "")</f>
        <v/>
      </c>
      <c r="AM18" s="35" t="str">
        <f t="array" ref="AM18">IFERROR(INDEX(INDIRECT(Config!$G$1), MATCH($A18, INDIRECT(Config!$H$1), 0), MATCH(AM$1, INDIRECT(Config!$I$1), 0)), "")</f>
        <v/>
      </c>
      <c r="AN18" s="32" t="str">
        <f t="array" ref="AN18">IFERROR(INDEX(INDIRECT(Config!$G$1), MATCH($A18, INDIRECT(Config!$H$1), 0), MATCH(AN$1, INDIRECT(Config!$I$1), 0)), "")</f>
        <v/>
      </c>
      <c r="AO18" s="35" t="str">
        <f t="array" ref="AO18">IFERROR(INDEX(INDIRECT(Config!$G$1), MATCH($A18, INDIRECT(Config!$H$1), 0), MATCH(AO$1, INDIRECT(Config!$I$1), 0)), "")</f>
        <v/>
      </c>
      <c r="AP18" s="32" t="str">
        <f t="array" ref="AP18">IFERROR(INDEX(INDIRECT(Config!$G$1), MATCH($A18, INDIRECT(Config!$H$1), 0), MATCH(AP$1, INDIRECT(Config!$I$1), 0)), "")</f>
        <v/>
      </c>
      <c r="AQ18" s="35" t="str">
        <f t="array" ref="AQ18">IFERROR(INDEX(INDIRECT(Config!$G$1), MATCH($A18, INDIRECT(Config!$H$1), 0), MATCH(AQ$1, INDIRECT(Config!$I$1), 0)), "")</f>
        <v/>
      </c>
      <c r="AR18" s="32" t="str">
        <f t="array" ref="AR18">IFERROR(INDEX(INDIRECT(Config!$G$1), MATCH($A18, INDIRECT(Config!$H$1), 0), MATCH(AR$1, INDIRECT(Config!$I$1), 0)), "")</f>
        <v/>
      </c>
      <c r="AS18" s="35" t="str">
        <f t="array" ref="AS18">IFERROR(INDEX(INDIRECT(Config!$G$1), MATCH($A18, INDIRECT(Config!$H$1), 0), MATCH(AS$1, INDIRECT(Config!$I$1), 0)), "")</f>
        <v/>
      </c>
      <c r="AT18" s="32" t="str">
        <f t="array" ref="AT18">IFERROR(INDEX(INDIRECT(Config!$G$1), MATCH($A18, INDIRECT(Config!$H$1), 0), MATCH(AT$1, INDIRECT(Config!$I$1), 0)), "")</f>
        <v/>
      </c>
      <c r="AU18" s="35" t="str">
        <f t="array" ref="AU18">IFERROR(INDEX(INDIRECT(Config!$G$1), MATCH($A18, INDIRECT(Config!$H$1), 0), MATCH(AU$1, INDIRECT(Config!$I$1), 0)), "")</f>
        <v/>
      </c>
      <c r="AV18" s="32" t="str">
        <f t="array" ref="AV18">IFERROR(INDEX(INDIRECT(Config!$G$1), MATCH($A18, INDIRECT(Config!$H$1), 0), MATCH(AV$1, INDIRECT(Config!$I$1), 0)), "")</f>
        <v/>
      </c>
      <c r="AW18" s="35"/>
      <c r="AX18" s="32"/>
      <c r="AY18" s="35"/>
    </row>
    <row r="19" ht="15.75" customHeight="1">
      <c r="A19" s="12" t="str">
        <f>Menus!R11</f>
        <v/>
      </c>
      <c r="B19" s="51">
        <f t="shared" si="5"/>
        <v>0</v>
      </c>
      <c r="C19" s="33" t="str">
        <f t="array" ref="C19">IFERROR(INDEX(INDIRECT(Config!$G$1), MATCH($A19, INDIRECT(Config!$H$1), 0), MATCH(C$1, INDIRECT(Config!$I$1), 0)), "")</f>
        <v/>
      </c>
      <c r="D19" s="34" t="str">
        <f t="array" ref="D19">IFERROR(INDEX(INDIRECT(Config!$G$1), MATCH($A19, INDIRECT(Config!$H$1), 0), MATCH(D$1, INDIRECT(Config!$I$1), 0)), "")</f>
        <v/>
      </c>
      <c r="E19" s="32" t="str">
        <f t="array" ref="E19">IFERROR(INDEX(INDIRECT(Config!$G$1), MATCH($A19, INDIRECT(Config!$H$1), 0), MATCH(E$1, INDIRECT(Config!$I$1), 0)), "")</f>
        <v/>
      </c>
      <c r="F19" s="35" t="str">
        <f t="array" ref="F19">IFERROR(INDEX(INDIRECT(Config!$G$1), MATCH($A19, INDIRECT(Config!$H$1), 0), MATCH(F$1, INDIRECT(Config!$I$1), 0)), "")</f>
        <v/>
      </c>
      <c r="G19" s="32" t="str">
        <f t="array" ref="G19">IFERROR(INDEX(INDIRECT(Config!$G$1), MATCH($A19, INDIRECT(Config!$H$1), 0), MATCH(G$1, INDIRECT(Config!$I$1), 0)), "")</f>
        <v/>
      </c>
      <c r="H19" s="35" t="str">
        <f t="array" ref="H19">IFERROR(INDEX(INDIRECT(Config!$G$1), MATCH($A19, INDIRECT(Config!$H$1), 0), MATCH(H$1, INDIRECT(Config!$I$1), 0)), "")</f>
        <v/>
      </c>
      <c r="I19" s="32" t="str">
        <f t="array" ref="I19">IFERROR(INDEX(INDIRECT(Config!$G$1), MATCH($A19, INDIRECT(Config!$H$1), 0), MATCH(I$1, INDIRECT(Config!$I$1), 0)), "")</f>
        <v/>
      </c>
      <c r="J19" s="35" t="str">
        <f t="array" ref="J19">IFERROR(INDEX(INDIRECT(Config!$G$1), MATCH($A19, INDIRECT(Config!$H$1), 0), MATCH(J$1, INDIRECT(Config!$I$1), 0)), "")</f>
        <v/>
      </c>
      <c r="K19" s="32" t="str">
        <f t="array" ref="K19">IFERROR(INDEX(INDIRECT(Config!$G$1), MATCH($A19, INDIRECT(Config!$H$1), 0), MATCH(K$1, INDIRECT(Config!$I$1), 0)), "")</f>
        <v/>
      </c>
      <c r="L19" s="35" t="str">
        <f t="array" ref="L19">IFERROR(INDEX(INDIRECT(Config!$G$1), MATCH($A19, INDIRECT(Config!$H$1), 0), MATCH(L$1, INDIRECT(Config!$I$1), 0)), "")</f>
        <v/>
      </c>
      <c r="M19" s="32" t="str">
        <f t="array" ref="M19">IFERROR(INDEX(INDIRECT(Config!$G$1), MATCH($A19, INDIRECT(Config!$H$1), 0), MATCH(M$1, INDIRECT(Config!$I$1), 0)), "")</f>
        <v/>
      </c>
      <c r="N19" s="35" t="str">
        <f t="array" ref="N19">IFERROR(INDEX(INDIRECT(Config!$G$1), MATCH($A19, INDIRECT(Config!$H$1), 0), MATCH(N$1, INDIRECT(Config!$I$1), 0)), "")</f>
        <v/>
      </c>
      <c r="O19" s="32" t="str">
        <f t="array" ref="O19">IFERROR(INDEX(INDIRECT(Config!$G$1), MATCH($A19, INDIRECT(Config!$H$1), 0), MATCH(O$1, INDIRECT(Config!$I$1), 0)), "")</f>
        <v/>
      </c>
      <c r="P19" s="35" t="str">
        <f t="array" ref="P19">IFERROR(INDEX(INDIRECT(Config!$G$1), MATCH($A19, INDIRECT(Config!$H$1), 0), MATCH(P$1, INDIRECT(Config!$I$1), 0)), "")</f>
        <v/>
      </c>
      <c r="Q19" s="32" t="str">
        <f t="array" ref="Q19">IFERROR(INDEX(INDIRECT(Config!$G$1), MATCH($A19, INDIRECT(Config!$H$1), 0), MATCH(Q$1, INDIRECT(Config!$I$1), 0)), "")</f>
        <v/>
      </c>
      <c r="R19" s="35" t="str">
        <f t="array" ref="R19">IFERROR(INDEX(INDIRECT(Config!$G$1), MATCH($A19, INDIRECT(Config!$H$1), 0), MATCH(R$1, INDIRECT(Config!$I$1), 0)), "")</f>
        <v/>
      </c>
      <c r="S19" s="32" t="str">
        <f t="array" ref="S19">IFERROR(INDEX(INDIRECT(Config!$G$1), MATCH($A19, INDIRECT(Config!$H$1), 0), MATCH(S$1, INDIRECT(Config!$I$1), 0)), "")</f>
        <v/>
      </c>
      <c r="T19" s="35" t="str">
        <f t="array" ref="T19">IFERROR(INDEX(INDIRECT(Config!$G$1), MATCH($A19, INDIRECT(Config!$H$1), 0), MATCH(T$1, INDIRECT(Config!$I$1), 0)), "")</f>
        <v/>
      </c>
      <c r="U19" s="32" t="str">
        <f t="array" ref="U19">IFERROR(INDEX(INDIRECT(Config!$G$1), MATCH($A19, INDIRECT(Config!$H$1), 0), MATCH(U$1, INDIRECT(Config!$I$1), 0)), "")</f>
        <v/>
      </c>
      <c r="V19" s="35" t="str">
        <f t="array" ref="V19">IFERROR(INDEX(INDIRECT(Config!$G$1), MATCH($A19, INDIRECT(Config!$H$1), 0), MATCH(V$1, INDIRECT(Config!$I$1), 0)), "")</f>
        <v/>
      </c>
      <c r="W19" s="32" t="str">
        <f t="array" ref="W19">IFERROR(INDEX(INDIRECT(Config!$G$1), MATCH($A19, INDIRECT(Config!$H$1), 0), MATCH(W$1, INDIRECT(Config!$I$1), 0)), "")</f>
        <v/>
      </c>
      <c r="X19" s="35" t="str">
        <f t="array" ref="X19">IFERROR(INDEX(INDIRECT(Config!$G$1), MATCH($A19, INDIRECT(Config!$H$1), 0), MATCH(X$1, INDIRECT(Config!$I$1), 0)), "")</f>
        <v/>
      </c>
      <c r="Y19" s="32" t="str">
        <f t="array" ref="Y19">IFERROR(INDEX(INDIRECT(Config!$G$1), MATCH($A19, INDIRECT(Config!$H$1), 0), MATCH(Y$1, INDIRECT(Config!$I$1), 0)), "")</f>
        <v/>
      </c>
      <c r="Z19" s="32" t="str">
        <f t="array" ref="Z19">IFERROR(INDEX(INDIRECT(Config!$G$1), MATCH($A19, INDIRECT(Config!$H$1), 0), MATCH(Z$1, INDIRECT(Config!$I$1), 0)), "")</f>
        <v/>
      </c>
      <c r="AA19" s="35" t="str">
        <f t="array" ref="AA19">IFERROR(INDEX(INDIRECT(Config!$G$1), MATCH($A19, INDIRECT(Config!$H$1), 0), MATCH(AA$1, INDIRECT(Config!$I$1), 0)), "")</f>
        <v/>
      </c>
      <c r="AB19" s="32" t="str">
        <f t="array" ref="AB19">IFERROR(INDEX(INDIRECT(Config!$G$1), MATCH($A19, INDIRECT(Config!$H$1), 0), MATCH(AB$1, INDIRECT(Config!$I$1), 0)), "")</f>
        <v/>
      </c>
      <c r="AC19" s="35" t="str">
        <f t="array" ref="AC19">IFERROR(INDEX(INDIRECT(Config!$G$1), MATCH($A19, INDIRECT(Config!$H$1), 0), MATCH(AC$1, INDIRECT(Config!$I$1), 0)), "")</f>
        <v/>
      </c>
      <c r="AD19" s="32" t="str">
        <f t="array" ref="AD19">IFERROR(INDEX(INDIRECT(Config!$G$1), MATCH($A19, INDIRECT(Config!$H$1), 0), MATCH(AD$1, INDIRECT(Config!$I$1), 0)), "")</f>
        <v/>
      </c>
      <c r="AE19" s="35" t="str">
        <f t="array" ref="AE19">IFERROR(INDEX(INDIRECT(Config!$G$1), MATCH($A19, INDIRECT(Config!$H$1), 0), MATCH(AE$1, INDIRECT(Config!$I$1), 0)), "")</f>
        <v/>
      </c>
      <c r="AF19" s="32" t="str">
        <f t="array" ref="AF19">IFERROR(INDEX(INDIRECT(Config!$G$1), MATCH($A19, INDIRECT(Config!$H$1), 0), MATCH(AF$1, INDIRECT(Config!$I$1), 0)), "")</f>
        <v/>
      </c>
      <c r="AG19" s="35" t="str">
        <f t="array" ref="AG19">IFERROR(INDEX(INDIRECT(Config!$G$1), MATCH($A19, INDIRECT(Config!$H$1), 0), MATCH(AG$1, INDIRECT(Config!$I$1), 0)), "")</f>
        <v/>
      </c>
      <c r="AH19" s="32" t="str">
        <f t="array" ref="AH19">IFERROR(INDEX(INDIRECT(Config!$G$1), MATCH($A19, INDIRECT(Config!$H$1), 0), MATCH(AH$1, INDIRECT(Config!$I$1), 0)), "")</f>
        <v/>
      </c>
      <c r="AI19" s="35" t="str">
        <f t="array" ref="AI19">IFERROR(INDEX(INDIRECT(Config!$G$1), MATCH($A19, INDIRECT(Config!$H$1), 0), MATCH(AI$1, INDIRECT(Config!$I$1), 0)), "")</f>
        <v/>
      </c>
      <c r="AJ19" s="32" t="str">
        <f t="array" ref="AJ19">IFERROR(INDEX(INDIRECT(Config!$G$1), MATCH($A19, INDIRECT(Config!$H$1), 0), MATCH(AJ$1, INDIRECT(Config!$I$1), 0)), "")</f>
        <v/>
      </c>
      <c r="AK19" s="35" t="str">
        <f t="array" ref="AK19">IFERROR(INDEX(INDIRECT(Config!$G$1), MATCH($A19, INDIRECT(Config!$H$1), 0), MATCH(AK$1, INDIRECT(Config!$I$1), 0)), "")</f>
        <v/>
      </c>
      <c r="AL19" s="32" t="str">
        <f t="array" ref="AL19">IFERROR(INDEX(INDIRECT(Config!$G$1), MATCH($A19, INDIRECT(Config!$H$1), 0), MATCH(AL$1, INDIRECT(Config!$I$1), 0)), "")</f>
        <v/>
      </c>
      <c r="AM19" s="35" t="str">
        <f t="array" ref="AM19">IFERROR(INDEX(INDIRECT(Config!$G$1), MATCH($A19, INDIRECT(Config!$H$1), 0), MATCH(AM$1, INDIRECT(Config!$I$1), 0)), "")</f>
        <v/>
      </c>
      <c r="AN19" s="32" t="str">
        <f t="array" ref="AN19">IFERROR(INDEX(INDIRECT(Config!$G$1), MATCH($A19, INDIRECT(Config!$H$1), 0), MATCH(AN$1, INDIRECT(Config!$I$1), 0)), "")</f>
        <v/>
      </c>
      <c r="AO19" s="35" t="str">
        <f t="array" ref="AO19">IFERROR(INDEX(INDIRECT(Config!$G$1), MATCH($A19, INDIRECT(Config!$H$1), 0), MATCH(AO$1, INDIRECT(Config!$I$1), 0)), "")</f>
        <v/>
      </c>
      <c r="AP19" s="32" t="str">
        <f t="array" ref="AP19">IFERROR(INDEX(INDIRECT(Config!$G$1), MATCH($A19, INDIRECT(Config!$H$1), 0), MATCH(AP$1, INDIRECT(Config!$I$1), 0)), "")</f>
        <v/>
      </c>
      <c r="AQ19" s="35" t="str">
        <f t="array" ref="AQ19">IFERROR(INDEX(INDIRECT(Config!$G$1), MATCH($A19, INDIRECT(Config!$H$1), 0), MATCH(AQ$1, INDIRECT(Config!$I$1), 0)), "")</f>
        <v/>
      </c>
      <c r="AR19" s="32" t="str">
        <f t="array" ref="AR19">IFERROR(INDEX(INDIRECT(Config!$G$1), MATCH($A19, INDIRECT(Config!$H$1), 0), MATCH(AR$1, INDIRECT(Config!$I$1), 0)), "")</f>
        <v/>
      </c>
      <c r="AS19" s="35" t="str">
        <f t="array" ref="AS19">IFERROR(INDEX(INDIRECT(Config!$G$1), MATCH($A19, INDIRECT(Config!$H$1), 0), MATCH(AS$1, INDIRECT(Config!$I$1), 0)), "")</f>
        <v/>
      </c>
      <c r="AT19" s="32" t="str">
        <f t="array" ref="AT19">IFERROR(INDEX(INDIRECT(Config!$G$1), MATCH($A19, INDIRECT(Config!$H$1), 0), MATCH(AT$1, INDIRECT(Config!$I$1), 0)), "")</f>
        <v/>
      </c>
      <c r="AU19" s="35" t="str">
        <f t="array" ref="AU19">IFERROR(INDEX(INDIRECT(Config!$G$1), MATCH($A19, INDIRECT(Config!$H$1), 0), MATCH(AU$1, INDIRECT(Config!$I$1), 0)), "")</f>
        <v/>
      </c>
      <c r="AV19" s="32" t="str">
        <f t="array" ref="AV19">IFERROR(INDEX(INDIRECT(Config!$G$1), MATCH($A19, INDIRECT(Config!$H$1), 0), MATCH(AV$1, INDIRECT(Config!$I$1), 0)), "")</f>
        <v/>
      </c>
      <c r="AW19" s="35"/>
      <c r="AX19" s="32"/>
      <c r="AY19" s="35"/>
    </row>
    <row r="20" ht="15.75" customHeight="1">
      <c r="A20" s="12" t="str">
        <f>Menus!R12</f>
        <v/>
      </c>
      <c r="B20" s="51">
        <f t="shared" si="5"/>
        <v>0</v>
      </c>
      <c r="C20" s="33" t="str">
        <f t="array" ref="C20">IFERROR(INDEX(INDIRECT(Config!$G$1), MATCH($A20, INDIRECT(Config!$H$1), 0), MATCH(C$1, INDIRECT(Config!$I$1), 0)), "")</f>
        <v/>
      </c>
      <c r="D20" s="34" t="str">
        <f t="array" ref="D20">IFERROR(INDEX(INDIRECT(Config!$G$1), MATCH($A20, INDIRECT(Config!$H$1), 0), MATCH(D$1, INDIRECT(Config!$I$1), 0)), "")</f>
        <v/>
      </c>
      <c r="E20" s="32" t="str">
        <f t="array" ref="E20">IFERROR(INDEX(INDIRECT(Config!$G$1), MATCH($A20, INDIRECT(Config!$H$1), 0), MATCH(E$1, INDIRECT(Config!$I$1), 0)), "")</f>
        <v/>
      </c>
      <c r="F20" s="35" t="str">
        <f t="array" ref="F20">IFERROR(INDEX(INDIRECT(Config!$G$1), MATCH($A20, INDIRECT(Config!$H$1), 0), MATCH(F$1, INDIRECT(Config!$I$1), 0)), "")</f>
        <v/>
      </c>
      <c r="G20" s="32" t="str">
        <f t="array" ref="G20">IFERROR(INDEX(INDIRECT(Config!$G$1), MATCH($A20, INDIRECT(Config!$H$1), 0), MATCH(G$1, INDIRECT(Config!$I$1), 0)), "")</f>
        <v/>
      </c>
      <c r="H20" s="35" t="str">
        <f t="array" ref="H20">IFERROR(INDEX(INDIRECT(Config!$G$1), MATCH($A20, INDIRECT(Config!$H$1), 0), MATCH(H$1, INDIRECT(Config!$I$1), 0)), "")</f>
        <v/>
      </c>
      <c r="I20" s="32" t="str">
        <f t="array" ref="I20">IFERROR(INDEX(INDIRECT(Config!$G$1), MATCH($A20, INDIRECT(Config!$H$1), 0), MATCH(I$1, INDIRECT(Config!$I$1), 0)), "")</f>
        <v/>
      </c>
      <c r="J20" s="35" t="str">
        <f t="array" ref="J20">IFERROR(INDEX(INDIRECT(Config!$G$1), MATCH($A20, INDIRECT(Config!$H$1), 0), MATCH(J$1, INDIRECT(Config!$I$1), 0)), "")</f>
        <v/>
      </c>
      <c r="K20" s="32" t="str">
        <f t="array" ref="K20">IFERROR(INDEX(INDIRECT(Config!$G$1), MATCH($A20, INDIRECT(Config!$H$1), 0), MATCH(K$1, INDIRECT(Config!$I$1), 0)), "")</f>
        <v/>
      </c>
      <c r="L20" s="35" t="str">
        <f t="array" ref="L20">IFERROR(INDEX(INDIRECT(Config!$G$1), MATCH($A20, INDIRECT(Config!$H$1), 0), MATCH(L$1, INDIRECT(Config!$I$1), 0)), "")</f>
        <v/>
      </c>
      <c r="M20" s="32" t="str">
        <f t="array" ref="M20">IFERROR(INDEX(INDIRECT(Config!$G$1), MATCH($A20, INDIRECT(Config!$H$1), 0), MATCH(M$1, INDIRECT(Config!$I$1), 0)), "")</f>
        <v/>
      </c>
      <c r="N20" s="35" t="str">
        <f t="array" ref="N20">IFERROR(INDEX(INDIRECT(Config!$G$1), MATCH($A20, INDIRECT(Config!$H$1), 0), MATCH(N$1, INDIRECT(Config!$I$1), 0)), "")</f>
        <v/>
      </c>
      <c r="O20" s="32" t="str">
        <f t="array" ref="O20">IFERROR(INDEX(INDIRECT(Config!$G$1), MATCH($A20, INDIRECT(Config!$H$1), 0), MATCH(O$1, INDIRECT(Config!$I$1), 0)), "")</f>
        <v/>
      </c>
      <c r="P20" s="35" t="str">
        <f t="array" ref="P20">IFERROR(INDEX(INDIRECT(Config!$G$1), MATCH($A20, INDIRECT(Config!$H$1), 0), MATCH(P$1, INDIRECT(Config!$I$1), 0)), "")</f>
        <v/>
      </c>
      <c r="Q20" s="32" t="str">
        <f t="array" ref="Q20">IFERROR(INDEX(INDIRECT(Config!$G$1), MATCH($A20, INDIRECT(Config!$H$1), 0), MATCH(Q$1, INDIRECT(Config!$I$1), 0)), "")</f>
        <v/>
      </c>
      <c r="R20" s="35" t="str">
        <f t="array" ref="R20">IFERROR(INDEX(INDIRECT(Config!$G$1), MATCH($A20, INDIRECT(Config!$H$1), 0), MATCH(R$1, INDIRECT(Config!$I$1), 0)), "")</f>
        <v/>
      </c>
      <c r="S20" s="32" t="str">
        <f t="array" ref="S20">IFERROR(INDEX(INDIRECT(Config!$G$1), MATCH($A20, INDIRECT(Config!$H$1), 0), MATCH(S$1, INDIRECT(Config!$I$1), 0)), "")</f>
        <v/>
      </c>
      <c r="T20" s="35" t="str">
        <f t="array" ref="T20">IFERROR(INDEX(INDIRECT(Config!$G$1), MATCH($A20, INDIRECT(Config!$H$1), 0), MATCH(T$1, INDIRECT(Config!$I$1), 0)), "")</f>
        <v/>
      </c>
      <c r="U20" s="32" t="str">
        <f t="array" ref="U20">IFERROR(INDEX(INDIRECT(Config!$G$1), MATCH($A20, INDIRECT(Config!$H$1), 0), MATCH(U$1, INDIRECT(Config!$I$1), 0)), "")</f>
        <v/>
      </c>
      <c r="V20" s="35" t="str">
        <f t="array" ref="V20">IFERROR(INDEX(INDIRECT(Config!$G$1), MATCH($A20, INDIRECT(Config!$H$1), 0), MATCH(V$1, INDIRECT(Config!$I$1), 0)), "")</f>
        <v/>
      </c>
      <c r="W20" s="32" t="str">
        <f t="array" ref="W20">IFERROR(INDEX(INDIRECT(Config!$G$1), MATCH($A20, INDIRECT(Config!$H$1), 0), MATCH(W$1, INDIRECT(Config!$I$1), 0)), "")</f>
        <v/>
      </c>
      <c r="X20" s="35" t="str">
        <f t="array" ref="X20">IFERROR(INDEX(INDIRECT(Config!$G$1), MATCH($A20, INDIRECT(Config!$H$1), 0), MATCH(X$1, INDIRECT(Config!$I$1), 0)), "")</f>
        <v/>
      </c>
      <c r="Y20" s="32" t="str">
        <f t="array" ref="Y20">IFERROR(INDEX(INDIRECT(Config!$G$1), MATCH($A20, INDIRECT(Config!$H$1), 0), MATCH(Y$1, INDIRECT(Config!$I$1), 0)), "")</f>
        <v/>
      </c>
      <c r="Z20" s="32" t="str">
        <f t="array" ref="Z20">IFERROR(INDEX(INDIRECT(Config!$G$1), MATCH($A20, INDIRECT(Config!$H$1), 0), MATCH(Z$1, INDIRECT(Config!$I$1), 0)), "")</f>
        <v/>
      </c>
      <c r="AA20" s="35" t="str">
        <f t="array" ref="AA20">IFERROR(INDEX(INDIRECT(Config!$G$1), MATCH($A20, INDIRECT(Config!$H$1), 0), MATCH(AA$1, INDIRECT(Config!$I$1), 0)), "")</f>
        <v/>
      </c>
      <c r="AB20" s="32" t="str">
        <f t="array" ref="AB20">IFERROR(INDEX(INDIRECT(Config!$G$1), MATCH($A20, INDIRECT(Config!$H$1), 0), MATCH(AB$1, INDIRECT(Config!$I$1), 0)), "")</f>
        <v/>
      </c>
      <c r="AC20" s="35" t="str">
        <f t="array" ref="AC20">IFERROR(INDEX(INDIRECT(Config!$G$1), MATCH($A20, INDIRECT(Config!$H$1), 0), MATCH(AC$1, INDIRECT(Config!$I$1), 0)), "")</f>
        <v/>
      </c>
      <c r="AD20" s="32" t="str">
        <f t="array" ref="AD20">IFERROR(INDEX(INDIRECT(Config!$G$1), MATCH($A20, INDIRECT(Config!$H$1), 0), MATCH(AD$1, INDIRECT(Config!$I$1), 0)), "")</f>
        <v/>
      </c>
      <c r="AE20" s="35" t="str">
        <f t="array" ref="AE20">IFERROR(INDEX(INDIRECT(Config!$G$1), MATCH($A20, INDIRECT(Config!$H$1), 0), MATCH(AE$1, INDIRECT(Config!$I$1), 0)), "")</f>
        <v/>
      </c>
      <c r="AF20" s="32" t="str">
        <f t="array" ref="AF20">IFERROR(INDEX(INDIRECT(Config!$G$1), MATCH($A20, INDIRECT(Config!$H$1), 0), MATCH(AF$1, INDIRECT(Config!$I$1), 0)), "")</f>
        <v/>
      </c>
      <c r="AG20" s="35" t="str">
        <f t="array" ref="AG20">IFERROR(INDEX(INDIRECT(Config!$G$1), MATCH($A20, INDIRECT(Config!$H$1), 0), MATCH(AG$1, INDIRECT(Config!$I$1), 0)), "")</f>
        <v/>
      </c>
      <c r="AH20" s="32" t="str">
        <f t="array" ref="AH20">IFERROR(INDEX(INDIRECT(Config!$G$1), MATCH($A20, INDIRECT(Config!$H$1), 0), MATCH(AH$1, INDIRECT(Config!$I$1), 0)), "")</f>
        <v/>
      </c>
      <c r="AI20" s="35" t="str">
        <f t="array" ref="AI20">IFERROR(INDEX(INDIRECT(Config!$G$1), MATCH($A20, INDIRECT(Config!$H$1), 0), MATCH(AI$1, INDIRECT(Config!$I$1), 0)), "")</f>
        <v/>
      </c>
      <c r="AJ20" s="32" t="str">
        <f t="array" ref="AJ20">IFERROR(INDEX(INDIRECT(Config!$G$1), MATCH($A20, INDIRECT(Config!$H$1), 0), MATCH(AJ$1, INDIRECT(Config!$I$1), 0)), "")</f>
        <v/>
      </c>
      <c r="AK20" s="35" t="str">
        <f t="array" ref="AK20">IFERROR(INDEX(INDIRECT(Config!$G$1), MATCH($A20, INDIRECT(Config!$H$1), 0), MATCH(AK$1, INDIRECT(Config!$I$1), 0)), "")</f>
        <v/>
      </c>
      <c r="AL20" s="32" t="str">
        <f t="array" ref="AL20">IFERROR(INDEX(INDIRECT(Config!$G$1), MATCH($A20, INDIRECT(Config!$H$1), 0), MATCH(AL$1, INDIRECT(Config!$I$1), 0)), "")</f>
        <v/>
      </c>
      <c r="AM20" s="35" t="str">
        <f t="array" ref="AM20">IFERROR(INDEX(INDIRECT(Config!$G$1), MATCH($A20, INDIRECT(Config!$H$1), 0), MATCH(AM$1, INDIRECT(Config!$I$1), 0)), "")</f>
        <v/>
      </c>
      <c r="AN20" s="32" t="str">
        <f t="array" ref="AN20">IFERROR(INDEX(INDIRECT(Config!$G$1), MATCH($A20, INDIRECT(Config!$H$1), 0), MATCH(AN$1, INDIRECT(Config!$I$1), 0)), "")</f>
        <v/>
      </c>
      <c r="AO20" s="35" t="str">
        <f t="array" ref="AO20">IFERROR(INDEX(INDIRECT(Config!$G$1), MATCH($A20, INDIRECT(Config!$H$1), 0), MATCH(AO$1, INDIRECT(Config!$I$1), 0)), "")</f>
        <v/>
      </c>
      <c r="AP20" s="32" t="str">
        <f t="array" ref="AP20">IFERROR(INDEX(INDIRECT(Config!$G$1), MATCH($A20, INDIRECT(Config!$H$1), 0), MATCH(AP$1, INDIRECT(Config!$I$1), 0)), "")</f>
        <v/>
      </c>
      <c r="AQ20" s="35" t="str">
        <f t="array" ref="AQ20">IFERROR(INDEX(INDIRECT(Config!$G$1), MATCH($A20, INDIRECT(Config!$H$1), 0), MATCH(AQ$1, INDIRECT(Config!$I$1), 0)), "")</f>
        <v/>
      </c>
      <c r="AR20" s="32" t="str">
        <f t="array" ref="AR20">IFERROR(INDEX(INDIRECT(Config!$G$1), MATCH($A20, INDIRECT(Config!$H$1), 0), MATCH(AR$1, INDIRECT(Config!$I$1), 0)), "")</f>
        <v/>
      </c>
      <c r="AS20" s="35" t="str">
        <f t="array" ref="AS20">IFERROR(INDEX(INDIRECT(Config!$G$1), MATCH($A20, INDIRECT(Config!$H$1), 0), MATCH(AS$1, INDIRECT(Config!$I$1), 0)), "")</f>
        <v/>
      </c>
      <c r="AT20" s="32" t="str">
        <f t="array" ref="AT20">IFERROR(INDEX(INDIRECT(Config!$G$1), MATCH($A20, INDIRECT(Config!$H$1), 0), MATCH(AT$1, INDIRECT(Config!$I$1), 0)), "")</f>
        <v/>
      </c>
      <c r="AU20" s="35" t="str">
        <f t="array" ref="AU20">IFERROR(INDEX(INDIRECT(Config!$G$1), MATCH($A20, INDIRECT(Config!$H$1), 0), MATCH(AU$1, INDIRECT(Config!$I$1), 0)), "")</f>
        <v/>
      </c>
      <c r="AV20" s="32" t="str">
        <f t="array" ref="AV20">IFERROR(INDEX(INDIRECT(Config!$G$1), MATCH($A20, INDIRECT(Config!$H$1), 0), MATCH(AV$1, INDIRECT(Config!$I$1), 0)), "")</f>
        <v/>
      </c>
      <c r="AW20" s="35"/>
      <c r="AX20" s="32"/>
      <c r="AY20" s="35"/>
    </row>
    <row r="21" ht="15.75" customHeight="1">
      <c r="A21" s="12" t="str">
        <f>Menus!R13</f>
        <v/>
      </c>
      <c r="B21" s="51">
        <f t="shared" si="5"/>
        <v>0</v>
      </c>
      <c r="C21" s="33" t="str">
        <f t="array" ref="C21">IFERROR(INDEX(INDIRECT(Config!$G$1), MATCH($A21, INDIRECT(Config!$H$1), 0), MATCH(C$1, INDIRECT(Config!$I$1), 0)), "")</f>
        <v/>
      </c>
      <c r="D21" s="34" t="str">
        <f t="array" ref="D21">IFERROR(INDEX(INDIRECT(Config!$G$1), MATCH($A21, INDIRECT(Config!$H$1), 0), MATCH(D$1, INDIRECT(Config!$I$1), 0)), "")</f>
        <v/>
      </c>
      <c r="E21" s="32" t="str">
        <f t="array" ref="E21">IFERROR(INDEX(INDIRECT(Config!$G$1), MATCH($A21, INDIRECT(Config!$H$1), 0), MATCH(E$1, INDIRECT(Config!$I$1), 0)), "")</f>
        <v/>
      </c>
      <c r="F21" s="35" t="str">
        <f t="array" ref="F21">IFERROR(INDEX(INDIRECT(Config!$G$1), MATCH($A21, INDIRECT(Config!$H$1), 0), MATCH(F$1, INDIRECT(Config!$I$1), 0)), "")</f>
        <v/>
      </c>
      <c r="G21" s="32" t="str">
        <f t="array" ref="G21">IFERROR(INDEX(INDIRECT(Config!$G$1), MATCH($A21, INDIRECT(Config!$H$1), 0), MATCH(G$1, INDIRECT(Config!$I$1), 0)), "")</f>
        <v/>
      </c>
      <c r="H21" s="35" t="str">
        <f t="array" ref="H21">IFERROR(INDEX(INDIRECT(Config!$G$1), MATCH($A21, INDIRECT(Config!$H$1), 0), MATCH(H$1, INDIRECT(Config!$I$1), 0)), "")</f>
        <v/>
      </c>
      <c r="I21" s="32" t="str">
        <f t="array" ref="I21">IFERROR(INDEX(INDIRECT(Config!$G$1), MATCH($A21, INDIRECT(Config!$H$1), 0), MATCH(I$1, INDIRECT(Config!$I$1), 0)), "")</f>
        <v/>
      </c>
      <c r="J21" s="35" t="str">
        <f t="array" ref="J21">IFERROR(INDEX(INDIRECT(Config!$G$1), MATCH($A21, INDIRECT(Config!$H$1), 0), MATCH(J$1, INDIRECT(Config!$I$1), 0)), "")</f>
        <v/>
      </c>
      <c r="K21" s="32" t="str">
        <f t="array" ref="K21">IFERROR(INDEX(INDIRECT(Config!$G$1), MATCH($A21, INDIRECT(Config!$H$1), 0), MATCH(K$1, INDIRECT(Config!$I$1), 0)), "")</f>
        <v/>
      </c>
      <c r="L21" s="35" t="str">
        <f t="array" ref="L21">IFERROR(INDEX(INDIRECT(Config!$G$1), MATCH($A21, INDIRECT(Config!$H$1), 0), MATCH(L$1, INDIRECT(Config!$I$1), 0)), "")</f>
        <v/>
      </c>
      <c r="M21" s="32" t="str">
        <f t="array" ref="M21">IFERROR(INDEX(INDIRECT(Config!$G$1), MATCH($A21, INDIRECT(Config!$H$1), 0), MATCH(M$1, INDIRECT(Config!$I$1), 0)), "")</f>
        <v/>
      </c>
      <c r="N21" s="35" t="str">
        <f t="array" ref="N21">IFERROR(INDEX(INDIRECT(Config!$G$1), MATCH($A21, INDIRECT(Config!$H$1), 0), MATCH(N$1, INDIRECT(Config!$I$1), 0)), "")</f>
        <v/>
      </c>
      <c r="O21" s="32" t="str">
        <f t="array" ref="O21">IFERROR(INDEX(INDIRECT(Config!$G$1), MATCH($A21, INDIRECT(Config!$H$1), 0), MATCH(O$1, INDIRECT(Config!$I$1), 0)), "")</f>
        <v/>
      </c>
      <c r="P21" s="35" t="str">
        <f t="array" ref="P21">IFERROR(INDEX(INDIRECT(Config!$G$1), MATCH($A21, INDIRECT(Config!$H$1), 0), MATCH(P$1, INDIRECT(Config!$I$1), 0)), "")</f>
        <v/>
      </c>
      <c r="Q21" s="32" t="str">
        <f t="array" ref="Q21">IFERROR(INDEX(INDIRECT(Config!$G$1), MATCH($A21, INDIRECT(Config!$H$1), 0), MATCH(Q$1, INDIRECT(Config!$I$1), 0)), "")</f>
        <v/>
      </c>
      <c r="R21" s="35" t="str">
        <f t="array" ref="R21">IFERROR(INDEX(INDIRECT(Config!$G$1), MATCH($A21, INDIRECT(Config!$H$1), 0), MATCH(R$1, INDIRECT(Config!$I$1), 0)), "")</f>
        <v/>
      </c>
      <c r="S21" s="32" t="str">
        <f t="array" ref="S21">IFERROR(INDEX(INDIRECT(Config!$G$1), MATCH($A21, INDIRECT(Config!$H$1), 0), MATCH(S$1, INDIRECT(Config!$I$1), 0)), "")</f>
        <v/>
      </c>
      <c r="T21" s="35" t="str">
        <f t="array" ref="T21">IFERROR(INDEX(INDIRECT(Config!$G$1), MATCH($A21, INDIRECT(Config!$H$1), 0), MATCH(T$1, INDIRECT(Config!$I$1), 0)), "")</f>
        <v/>
      </c>
      <c r="U21" s="32" t="str">
        <f t="array" ref="U21">IFERROR(INDEX(INDIRECT(Config!$G$1), MATCH($A21, INDIRECT(Config!$H$1), 0), MATCH(U$1, INDIRECT(Config!$I$1), 0)), "")</f>
        <v/>
      </c>
      <c r="V21" s="35" t="str">
        <f t="array" ref="V21">IFERROR(INDEX(INDIRECT(Config!$G$1), MATCH($A21, INDIRECT(Config!$H$1), 0), MATCH(V$1, INDIRECT(Config!$I$1), 0)), "")</f>
        <v/>
      </c>
      <c r="W21" s="32" t="str">
        <f t="array" ref="W21">IFERROR(INDEX(INDIRECT(Config!$G$1), MATCH($A21, INDIRECT(Config!$H$1), 0), MATCH(W$1, INDIRECT(Config!$I$1), 0)), "")</f>
        <v/>
      </c>
      <c r="X21" s="35" t="str">
        <f t="array" ref="X21">IFERROR(INDEX(INDIRECT(Config!$G$1), MATCH($A21, INDIRECT(Config!$H$1), 0), MATCH(X$1, INDIRECT(Config!$I$1), 0)), "")</f>
        <v/>
      </c>
      <c r="Y21" s="32" t="str">
        <f t="array" ref="Y21">IFERROR(INDEX(INDIRECT(Config!$G$1), MATCH($A21, INDIRECT(Config!$H$1), 0), MATCH(Y$1, INDIRECT(Config!$I$1), 0)), "")</f>
        <v/>
      </c>
      <c r="Z21" s="32" t="str">
        <f t="array" ref="Z21">IFERROR(INDEX(INDIRECT(Config!$G$1), MATCH($A21, INDIRECT(Config!$H$1), 0), MATCH(Z$1, INDIRECT(Config!$I$1), 0)), "")</f>
        <v/>
      </c>
      <c r="AA21" s="35" t="str">
        <f t="array" ref="AA21">IFERROR(INDEX(INDIRECT(Config!$G$1), MATCH($A21, INDIRECT(Config!$H$1), 0), MATCH(AA$1, INDIRECT(Config!$I$1), 0)), "")</f>
        <v/>
      </c>
      <c r="AB21" s="32" t="str">
        <f t="array" ref="AB21">IFERROR(INDEX(INDIRECT(Config!$G$1), MATCH($A21, INDIRECT(Config!$H$1), 0), MATCH(AB$1, INDIRECT(Config!$I$1), 0)), "")</f>
        <v/>
      </c>
      <c r="AC21" s="35" t="str">
        <f t="array" ref="AC21">IFERROR(INDEX(INDIRECT(Config!$G$1), MATCH($A21, INDIRECT(Config!$H$1), 0), MATCH(AC$1, INDIRECT(Config!$I$1), 0)), "")</f>
        <v/>
      </c>
      <c r="AD21" s="32" t="str">
        <f t="array" ref="AD21">IFERROR(INDEX(INDIRECT(Config!$G$1), MATCH($A21, INDIRECT(Config!$H$1), 0), MATCH(AD$1, INDIRECT(Config!$I$1), 0)), "")</f>
        <v/>
      </c>
      <c r="AE21" s="35" t="str">
        <f t="array" ref="AE21">IFERROR(INDEX(INDIRECT(Config!$G$1), MATCH($A21, INDIRECT(Config!$H$1), 0), MATCH(AE$1, INDIRECT(Config!$I$1), 0)), "")</f>
        <v/>
      </c>
      <c r="AF21" s="32" t="str">
        <f t="array" ref="AF21">IFERROR(INDEX(INDIRECT(Config!$G$1), MATCH($A21, INDIRECT(Config!$H$1), 0), MATCH(AF$1, INDIRECT(Config!$I$1), 0)), "")</f>
        <v/>
      </c>
      <c r="AG21" s="35" t="str">
        <f t="array" ref="AG21">IFERROR(INDEX(INDIRECT(Config!$G$1), MATCH($A21, INDIRECT(Config!$H$1), 0), MATCH(AG$1, INDIRECT(Config!$I$1), 0)), "")</f>
        <v/>
      </c>
      <c r="AH21" s="32" t="str">
        <f t="array" ref="AH21">IFERROR(INDEX(INDIRECT(Config!$G$1), MATCH($A21, INDIRECT(Config!$H$1), 0), MATCH(AH$1, INDIRECT(Config!$I$1), 0)), "")</f>
        <v/>
      </c>
      <c r="AI21" s="35" t="str">
        <f t="array" ref="AI21">IFERROR(INDEX(INDIRECT(Config!$G$1), MATCH($A21, INDIRECT(Config!$H$1), 0), MATCH(AI$1, INDIRECT(Config!$I$1), 0)), "")</f>
        <v/>
      </c>
      <c r="AJ21" s="32" t="str">
        <f t="array" ref="AJ21">IFERROR(INDEX(INDIRECT(Config!$G$1), MATCH($A21, INDIRECT(Config!$H$1), 0), MATCH(AJ$1, INDIRECT(Config!$I$1), 0)), "")</f>
        <v/>
      </c>
      <c r="AK21" s="35" t="str">
        <f t="array" ref="AK21">IFERROR(INDEX(INDIRECT(Config!$G$1), MATCH($A21, INDIRECT(Config!$H$1), 0), MATCH(AK$1, INDIRECT(Config!$I$1), 0)), "")</f>
        <v/>
      </c>
      <c r="AL21" s="32" t="str">
        <f t="array" ref="AL21">IFERROR(INDEX(INDIRECT(Config!$G$1), MATCH($A21, INDIRECT(Config!$H$1), 0), MATCH(AL$1, INDIRECT(Config!$I$1), 0)), "")</f>
        <v/>
      </c>
      <c r="AM21" s="35" t="str">
        <f t="array" ref="AM21">IFERROR(INDEX(INDIRECT(Config!$G$1), MATCH($A21, INDIRECT(Config!$H$1), 0), MATCH(AM$1, INDIRECT(Config!$I$1), 0)), "")</f>
        <v/>
      </c>
      <c r="AN21" s="32" t="str">
        <f t="array" ref="AN21">IFERROR(INDEX(INDIRECT(Config!$G$1), MATCH($A21, INDIRECT(Config!$H$1), 0), MATCH(AN$1, INDIRECT(Config!$I$1), 0)), "")</f>
        <v/>
      </c>
      <c r="AO21" s="35" t="str">
        <f t="array" ref="AO21">IFERROR(INDEX(INDIRECT(Config!$G$1), MATCH($A21, INDIRECT(Config!$H$1), 0), MATCH(AO$1, INDIRECT(Config!$I$1), 0)), "")</f>
        <v/>
      </c>
      <c r="AP21" s="32" t="str">
        <f t="array" ref="AP21">IFERROR(INDEX(INDIRECT(Config!$G$1), MATCH($A21, INDIRECT(Config!$H$1), 0), MATCH(AP$1, INDIRECT(Config!$I$1), 0)), "")</f>
        <v/>
      </c>
      <c r="AQ21" s="35" t="str">
        <f t="array" ref="AQ21">IFERROR(INDEX(INDIRECT(Config!$G$1), MATCH($A21, INDIRECT(Config!$H$1), 0), MATCH(AQ$1, INDIRECT(Config!$I$1), 0)), "")</f>
        <v/>
      </c>
      <c r="AR21" s="32" t="str">
        <f t="array" ref="AR21">IFERROR(INDEX(INDIRECT(Config!$G$1), MATCH($A21, INDIRECT(Config!$H$1), 0), MATCH(AR$1, INDIRECT(Config!$I$1), 0)), "")</f>
        <v/>
      </c>
      <c r="AS21" s="35" t="str">
        <f t="array" ref="AS21">IFERROR(INDEX(INDIRECT(Config!$G$1), MATCH($A21, INDIRECT(Config!$H$1), 0), MATCH(AS$1, INDIRECT(Config!$I$1), 0)), "")</f>
        <v/>
      </c>
      <c r="AT21" s="32" t="str">
        <f t="array" ref="AT21">IFERROR(INDEX(INDIRECT(Config!$G$1), MATCH($A21, INDIRECT(Config!$H$1), 0), MATCH(AT$1, INDIRECT(Config!$I$1), 0)), "")</f>
        <v/>
      </c>
      <c r="AU21" s="35" t="str">
        <f t="array" ref="AU21">IFERROR(INDEX(INDIRECT(Config!$G$1), MATCH($A21, INDIRECT(Config!$H$1), 0), MATCH(AU$1, INDIRECT(Config!$I$1), 0)), "")</f>
        <v/>
      </c>
      <c r="AV21" s="32" t="str">
        <f t="array" ref="AV21">IFERROR(INDEX(INDIRECT(Config!$G$1), MATCH($A21, INDIRECT(Config!$H$1), 0), MATCH(AV$1, INDIRECT(Config!$I$1), 0)), "")</f>
        <v/>
      </c>
      <c r="AW21" s="35"/>
      <c r="AX21" s="32"/>
      <c r="AY21" s="35"/>
    </row>
    <row r="22" ht="15.75" customHeight="1">
      <c r="A22" s="12" t="str">
        <f>Menus!R14</f>
        <v/>
      </c>
      <c r="B22" s="51">
        <f t="shared" si="5"/>
        <v>0</v>
      </c>
      <c r="C22" s="33" t="str">
        <f t="array" ref="C22">IFERROR(INDEX(INDIRECT(Config!$G$1), MATCH($A22, INDIRECT(Config!$H$1), 0), MATCH(C$1, INDIRECT(Config!$I$1), 0)), "")</f>
        <v/>
      </c>
      <c r="D22" s="34" t="str">
        <f t="array" ref="D22">IFERROR(INDEX(INDIRECT(Config!$G$1), MATCH($A22, INDIRECT(Config!$H$1), 0), MATCH(D$1, INDIRECT(Config!$I$1), 0)), "")</f>
        <v/>
      </c>
      <c r="E22" s="32" t="str">
        <f t="array" ref="E22">IFERROR(INDEX(INDIRECT(Config!$G$1), MATCH($A22, INDIRECT(Config!$H$1), 0), MATCH(E$1, INDIRECT(Config!$I$1), 0)), "")</f>
        <v/>
      </c>
      <c r="F22" s="35" t="str">
        <f t="array" ref="F22">IFERROR(INDEX(INDIRECT(Config!$G$1), MATCH($A22, INDIRECT(Config!$H$1), 0), MATCH(F$1, INDIRECT(Config!$I$1), 0)), "")</f>
        <v/>
      </c>
      <c r="G22" s="32" t="str">
        <f t="array" ref="G22">IFERROR(INDEX(INDIRECT(Config!$G$1), MATCH($A22, INDIRECT(Config!$H$1), 0), MATCH(G$1, INDIRECT(Config!$I$1), 0)), "")</f>
        <v/>
      </c>
      <c r="H22" s="35" t="str">
        <f t="array" ref="H22">IFERROR(INDEX(INDIRECT(Config!$G$1), MATCH($A22, INDIRECT(Config!$H$1), 0), MATCH(H$1, INDIRECT(Config!$I$1), 0)), "")</f>
        <v/>
      </c>
      <c r="I22" s="32" t="str">
        <f t="array" ref="I22">IFERROR(INDEX(INDIRECT(Config!$G$1), MATCH($A22, INDIRECT(Config!$H$1), 0), MATCH(I$1, INDIRECT(Config!$I$1), 0)), "")</f>
        <v/>
      </c>
      <c r="J22" s="35" t="str">
        <f t="array" ref="J22">IFERROR(INDEX(INDIRECT(Config!$G$1), MATCH($A22, INDIRECT(Config!$H$1), 0), MATCH(J$1, INDIRECT(Config!$I$1), 0)), "")</f>
        <v/>
      </c>
      <c r="K22" s="32" t="str">
        <f t="array" ref="K22">IFERROR(INDEX(INDIRECT(Config!$G$1), MATCH($A22, INDIRECT(Config!$H$1), 0), MATCH(K$1, INDIRECT(Config!$I$1), 0)), "")</f>
        <v/>
      </c>
      <c r="L22" s="35" t="str">
        <f t="array" ref="L22">IFERROR(INDEX(INDIRECT(Config!$G$1), MATCH($A22, INDIRECT(Config!$H$1), 0), MATCH(L$1, INDIRECT(Config!$I$1), 0)), "")</f>
        <v/>
      </c>
      <c r="M22" s="32" t="str">
        <f t="array" ref="M22">IFERROR(INDEX(INDIRECT(Config!$G$1), MATCH($A22, INDIRECT(Config!$H$1), 0), MATCH(M$1, INDIRECT(Config!$I$1), 0)), "")</f>
        <v/>
      </c>
      <c r="N22" s="35" t="str">
        <f t="array" ref="N22">IFERROR(INDEX(INDIRECT(Config!$G$1), MATCH($A22, INDIRECT(Config!$H$1), 0), MATCH(N$1, INDIRECT(Config!$I$1), 0)), "")</f>
        <v/>
      </c>
      <c r="O22" s="32" t="str">
        <f t="array" ref="O22">IFERROR(INDEX(INDIRECT(Config!$G$1), MATCH($A22, INDIRECT(Config!$H$1), 0), MATCH(O$1, INDIRECT(Config!$I$1), 0)), "")</f>
        <v/>
      </c>
      <c r="P22" s="35" t="str">
        <f t="array" ref="P22">IFERROR(INDEX(INDIRECT(Config!$G$1), MATCH($A22, INDIRECT(Config!$H$1), 0), MATCH(P$1, INDIRECT(Config!$I$1), 0)), "")</f>
        <v/>
      </c>
      <c r="Q22" s="32" t="str">
        <f t="array" ref="Q22">IFERROR(INDEX(INDIRECT(Config!$G$1), MATCH($A22, INDIRECT(Config!$H$1), 0), MATCH(Q$1, INDIRECT(Config!$I$1), 0)), "")</f>
        <v/>
      </c>
      <c r="R22" s="35" t="str">
        <f t="array" ref="R22">IFERROR(INDEX(INDIRECT(Config!$G$1), MATCH($A22, INDIRECT(Config!$H$1), 0), MATCH(R$1, INDIRECT(Config!$I$1), 0)), "")</f>
        <v/>
      </c>
      <c r="S22" s="32" t="str">
        <f t="array" ref="S22">IFERROR(INDEX(INDIRECT(Config!$G$1), MATCH($A22, INDIRECT(Config!$H$1), 0), MATCH(S$1, INDIRECT(Config!$I$1), 0)), "")</f>
        <v/>
      </c>
      <c r="T22" s="35" t="str">
        <f t="array" ref="T22">IFERROR(INDEX(INDIRECT(Config!$G$1), MATCH($A22, INDIRECT(Config!$H$1), 0), MATCH(T$1, INDIRECT(Config!$I$1), 0)), "")</f>
        <v/>
      </c>
      <c r="U22" s="32" t="str">
        <f t="array" ref="U22">IFERROR(INDEX(INDIRECT(Config!$G$1), MATCH($A22, INDIRECT(Config!$H$1), 0), MATCH(U$1, INDIRECT(Config!$I$1), 0)), "")</f>
        <v/>
      </c>
      <c r="V22" s="35" t="str">
        <f t="array" ref="V22">IFERROR(INDEX(INDIRECT(Config!$G$1), MATCH($A22, INDIRECT(Config!$H$1), 0), MATCH(V$1, INDIRECT(Config!$I$1), 0)), "")</f>
        <v/>
      </c>
      <c r="W22" s="32" t="str">
        <f t="array" ref="W22">IFERROR(INDEX(INDIRECT(Config!$G$1), MATCH($A22, INDIRECT(Config!$H$1), 0), MATCH(W$1, INDIRECT(Config!$I$1), 0)), "")</f>
        <v/>
      </c>
      <c r="X22" s="35" t="str">
        <f t="array" ref="X22">IFERROR(INDEX(INDIRECT(Config!$G$1), MATCH($A22, INDIRECT(Config!$H$1), 0), MATCH(X$1, INDIRECT(Config!$I$1), 0)), "")</f>
        <v/>
      </c>
      <c r="Y22" s="32" t="str">
        <f t="array" ref="Y22">IFERROR(INDEX(INDIRECT(Config!$G$1), MATCH($A22, INDIRECT(Config!$H$1), 0), MATCH(Y$1, INDIRECT(Config!$I$1), 0)), "")</f>
        <v/>
      </c>
      <c r="Z22" s="32" t="str">
        <f t="array" ref="Z22">IFERROR(INDEX(INDIRECT(Config!$G$1), MATCH($A22, INDIRECT(Config!$H$1), 0), MATCH(Z$1, INDIRECT(Config!$I$1), 0)), "")</f>
        <v/>
      </c>
      <c r="AA22" s="35" t="str">
        <f t="array" ref="AA22">IFERROR(INDEX(INDIRECT(Config!$G$1), MATCH($A22, INDIRECT(Config!$H$1), 0), MATCH(AA$1, INDIRECT(Config!$I$1), 0)), "")</f>
        <v/>
      </c>
      <c r="AB22" s="32" t="str">
        <f t="array" ref="AB22">IFERROR(INDEX(INDIRECT(Config!$G$1), MATCH($A22, INDIRECT(Config!$H$1), 0), MATCH(AB$1, INDIRECT(Config!$I$1), 0)), "")</f>
        <v/>
      </c>
      <c r="AC22" s="35" t="str">
        <f t="array" ref="AC22">IFERROR(INDEX(INDIRECT(Config!$G$1), MATCH($A22, INDIRECT(Config!$H$1), 0), MATCH(AC$1, INDIRECT(Config!$I$1), 0)), "")</f>
        <v/>
      </c>
      <c r="AD22" s="32" t="str">
        <f t="array" ref="AD22">IFERROR(INDEX(INDIRECT(Config!$G$1), MATCH($A22, INDIRECT(Config!$H$1), 0), MATCH(AD$1, INDIRECT(Config!$I$1), 0)), "")</f>
        <v/>
      </c>
      <c r="AE22" s="35" t="str">
        <f t="array" ref="AE22">IFERROR(INDEX(INDIRECT(Config!$G$1), MATCH($A22, INDIRECT(Config!$H$1), 0), MATCH(AE$1, INDIRECT(Config!$I$1), 0)), "")</f>
        <v/>
      </c>
      <c r="AF22" s="32" t="str">
        <f t="array" ref="AF22">IFERROR(INDEX(INDIRECT(Config!$G$1), MATCH($A22, INDIRECT(Config!$H$1), 0), MATCH(AF$1, INDIRECT(Config!$I$1), 0)), "")</f>
        <v/>
      </c>
      <c r="AG22" s="35" t="str">
        <f t="array" ref="AG22">IFERROR(INDEX(INDIRECT(Config!$G$1), MATCH($A22, INDIRECT(Config!$H$1), 0), MATCH(AG$1, INDIRECT(Config!$I$1), 0)), "")</f>
        <v/>
      </c>
      <c r="AH22" s="32" t="str">
        <f t="array" ref="AH22">IFERROR(INDEX(INDIRECT(Config!$G$1), MATCH($A22, INDIRECT(Config!$H$1), 0), MATCH(AH$1, INDIRECT(Config!$I$1), 0)), "")</f>
        <v/>
      </c>
      <c r="AI22" s="35" t="str">
        <f t="array" ref="AI22">IFERROR(INDEX(INDIRECT(Config!$G$1), MATCH($A22, INDIRECT(Config!$H$1), 0), MATCH(AI$1, INDIRECT(Config!$I$1), 0)), "")</f>
        <v/>
      </c>
      <c r="AJ22" s="32" t="str">
        <f t="array" ref="AJ22">IFERROR(INDEX(INDIRECT(Config!$G$1), MATCH($A22, INDIRECT(Config!$H$1), 0), MATCH(AJ$1, INDIRECT(Config!$I$1), 0)), "")</f>
        <v/>
      </c>
      <c r="AK22" s="35" t="str">
        <f t="array" ref="AK22">IFERROR(INDEX(INDIRECT(Config!$G$1), MATCH($A22, INDIRECT(Config!$H$1), 0), MATCH(AK$1, INDIRECT(Config!$I$1), 0)), "")</f>
        <v/>
      </c>
      <c r="AL22" s="32" t="str">
        <f t="array" ref="AL22">IFERROR(INDEX(INDIRECT(Config!$G$1), MATCH($A22, INDIRECT(Config!$H$1), 0), MATCH(AL$1, INDIRECT(Config!$I$1), 0)), "")</f>
        <v/>
      </c>
      <c r="AM22" s="35" t="str">
        <f t="array" ref="AM22">IFERROR(INDEX(INDIRECT(Config!$G$1), MATCH($A22, INDIRECT(Config!$H$1), 0), MATCH(AM$1, INDIRECT(Config!$I$1), 0)), "")</f>
        <v/>
      </c>
      <c r="AN22" s="32" t="str">
        <f t="array" ref="AN22">IFERROR(INDEX(INDIRECT(Config!$G$1), MATCH($A22, INDIRECT(Config!$H$1), 0), MATCH(AN$1, INDIRECT(Config!$I$1), 0)), "")</f>
        <v/>
      </c>
      <c r="AO22" s="35" t="str">
        <f t="array" ref="AO22">IFERROR(INDEX(INDIRECT(Config!$G$1), MATCH($A22, INDIRECT(Config!$H$1), 0), MATCH(AO$1, INDIRECT(Config!$I$1), 0)), "")</f>
        <v/>
      </c>
      <c r="AP22" s="32" t="str">
        <f t="array" ref="AP22">IFERROR(INDEX(INDIRECT(Config!$G$1), MATCH($A22, INDIRECT(Config!$H$1), 0), MATCH(AP$1, INDIRECT(Config!$I$1), 0)), "")</f>
        <v/>
      </c>
      <c r="AQ22" s="35" t="str">
        <f t="array" ref="AQ22">IFERROR(INDEX(INDIRECT(Config!$G$1), MATCH($A22, INDIRECT(Config!$H$1), 0), MATCH(AQ$1, INDIRECT(Config!$I$1), 0)), "")</f>
        <v/>
      </c>
      <c r="AR22" s="32" t="str">
        <f t="array" ref="AR22">IFERROR(INDEX(INDIRECT(Config!$G$1), MATCH($A22, INDIRECT(Config!$H$1), 0), MATCH(AR$1, INDIRECT(Config!$I$1), 0)), "")</f>
        <v/>
      </c>
      <c r="AS22" s="35" t="str">
        <f t="array" ref="AS22">IFERROR(INDEX(INDIRECT(Config!$G$1), MATCH($A22, INDIRECT(Config!$H$1), 0), MATCH(AS$1, INDIRECT(Config!$I$1), 0)), "")</f>
        <v/>
      </c>
      <c r="AT22" s="32" t="str">
        <f t="array" ref="AT22">IFERROR(INDEX(INDIRECT(Config!$G$1), MATCH($A22, INDIRECT(Config!$H$1), 0), MATCH(AT$1, INDIRECT(Config!$I$1), 0)), "")</f>
        <v/>
      </c>
      <c r="AU22" s="35" t="str">
        <f t="array" ref="AU22">IFERROR(INDEX(INDIRECT(Config!$G$1), MATCH($A22, INDIRECT(Config!$H$1), 0), MATCH(AU$1, INDIRECT(Config!$I$1), 0)), "")</f>
        <v/>
      </c>
      <c r="AV22" s="32" t="str">
        <f t="array" ref="AV22">IFERROR(INDEX(INDIRECT(Config!$G$1), MATCH($A22, INDIRECT(Config!$H$1), 0), MATCH(AV$1, INDIRECT(Config!$I$1), 0)), "")</f>
        <v/>
      </c>
      <c r="AW22" s="35"/>
      <c r="AX22" s="32"/>
      <c r="AY22" s="35"/>
    </row>
    <row r="23" ht="15.75" customHeight="1">
      <c r="A23" s="12" t="str">
        <f>Menus!R15</f>
        <v/>
      </c>
      <c r="B23" s="51">
        <f t="shared" si="5"/>
        <v>0</v>
      </c>
      <c r="C23" s="33" t="str">
        <f t="array" ref="C23">IFERROR(INDEX(INDIRECT(Config!$G$1), MATCH($A23, INDIRECT(Config!$H$1), 0), MATCH(C$1, INDIRECT(Config!$I$1), 0)), "")</f>
        <v/>
      </c>
      <c r="D23" s="34" t="str">
        <f t="array" ref="D23">IFERROR(INDEX(INDIRECT(Config!$G$1), MATCH($A23, INDIRECT(Config!$H$1), 0), MATCH(D$1, INDIRECT(Config!$I$1), 0)), "")</f>
        <v/>
      </c>
      <c r="E23" s="32" t="str">
        <f t="array" ref="E23">IFERROR(INDEX(INDIRECT(Config!$G$1), MATCH($A23, INDIRECT(Config!$H$1), 0), MATCH(E$1, INDIRECT(Config!$I$1), 0)), "")</f>
        <v/>
      </c>
      <c r="F23" s="35" t="str">
        <f t="array" ref="F23">IFERROR(INDEX(INDIRECT(Config!$G$1), MATCH($A23, INDIRECT(Config!$H$1), 0), MATCH(F$1, INDIRECT(Config!$I$1), 0)), "")</f>
        <v/>
      </c>
      <c r="G23" s="32" t="str">
        <f t="array" ref="G23">IFERROR(INDEX(INDIRECT(Config!$G$1), MATCH($A23, INDIRECT(Config!$H$1), 0), MATCH(G$1, INDIRECT(Config!$I$1), 0)), "")</f>
        <v/>
      </c>
      <c r="H23" s="35" t="str">
        <f t="array" ref="H23">IFERROR(INDEX(INDIRECT(Config!$G$1), MATCH($A23, INDIRECT(Config!$H$1), 0), MATCH(H$1, INDIRECT(Config!$I$1), 0)), "")</f>
        <v/>
      </c>
      <c r="I23" s="32" t="str">
        <f t="array" ref="I23">IFERROR(INDEX(INDIRECT(Config!$G$1), MATCH($A23, INDIRECT(Config!$H$1), 0), MATCH(I$1, INDIRECT(Config!$I$1), 0)), "")</f>
        <v/>
      </c>
      <c r="J23" s="35" t="str">
        <f t="array" ref="J23">IFERROR(INDEX(INDIRECT(Config!$G$1), MATCH($A23, INDIRECT(Config!$H$1), 0), MATCH(J$1, INDIRECT(Config!$I$1), 0)), "")</f>
        <v/>
      </c>
      <c r="K23" s="32" t="str">
        <f t="array" ref="K23">IFERROR(INDEX(INDIRECT(Config!$G$1), MATCH($A23, INDIRECT(Config!$H$1), 0), MATCH(K$1, INDIRECT(Config!$I$1), 0)), "")</f>
        <v/>
      </c>
      <c r="L23" s="35" t="str">
        <f t="array" ref="L23">IFERROR(INDEX(INDIRECT(Config!$G$1), MATCH($A23, INDIRECT(Config!$H$1), 0), MATCH(L$1, INDIRECT(Config!$I$1), 0)), "")</f>
        <v/>
      </c>
      <c r="M23" s="32" t="str">
        <f t="array" ref="M23">IFERROR(INDEX(INDIRECT(Config!$G$1), MATCH($A23, INDIRECT(Config!$H$1), 0), MATCH(M$1, INDIRECT(Config!$I$1), 0)), "")</f>
        <v/>
      </c>
      <c r="N23" s="35" t="str">
        <f t="array" ref="N23">IFERROR(INDEX(INDIRECT(Config!$G$1), MATCH($A23, INDIRECT(Config!$H$1), 0), MATCH(N$1, INDIRECT(Config!$I$1), 0)), "")</f>
        <v/>
      </c>
      <c r="O23" s="32" t="str">
        <f t="array" ref="O23">IFERROR(INDEX(INDIRECT(Config!$G$1), MATCH($A23, INDIRECT(Config!$H$1), 0), MATCH(O$1, INDIRECT(Config!$I$1), 0)), "")</f>
        <v/>
      </c>
      <c r="P23" s="35" t="str">
        <f t="array" ref="P23">IFERROR(INDEX(INDIRECT(Config!$G$1), MATCH($A23, INDIRECT(Config!$H$1), 0), MATCH(P$1, INDIRECT(Config!$I$1), 0)), "")</f>
        <v/>
      </c>
      <c r="Q23" s="32" t="str">
        <f t="array" ref="Q23">IFERROR(INDEX(INDIRECT(Config!$G$1), MATCH($A23, INDIRECT(Config!$H$1), 0), MATCH(Q$1, INDIRECT(Config!$I$1), 0)), "")</f>
        <v/>
      </c>
      <c r="R23" s="35" t="str">
        <f t="array" ref="R23">IFERROR(INDEX(INDIRECT(Config!$G$1), MATCH($A23, INDIRECT(Config!$H$1), 0), MATCH(R$1, INDIRECT(Config!$I$1), 0)), "")</f>
        <v/>
      </c>
      <c r="S23" s="32" t="str">
        <f t="array" ref="S23">IFERROR(INDEX(INDIRECT(Config!$G$1), MATCH($A23, INDIRECT(Config!$H$1), 0), MATCH(S$1, INDIRECT(Config!$I$1), 0)), "")</f>
        <v/>
      </c>
      <c r="T23" s="35" t="str">
        <f t="array" ref="T23">IFERROR(INDEX(INDIRECT(Config!$G$1), MATCH($A23, INDIRECT(Config!$H$1), 0), MATCH(T$1, INDIRECT(Config!$I$1), 0)), "")</f>
        <v/>
      </c>
      <c r="U23" s="32" t="str">
        <f t="array" ref="U23">IFERROR(INDEX(INDIRECT(Config!$G$1), MATCH($A23, INDIRECT(Config!$H$1), 0), MATCH(U$1, INDIRECT(Config!$I$1), 0)), "")</f>
        <v/>
      </c>
      <c r="V23" s="35" t="str">
        <f t="array" ref="V23">IFERROR(INDEX(INDIRECT(Config!$G$1), MATCH($A23, INDIRECT(Config!$H$1), 0), MATCH(V$1, INDIRECT(Config!$I$1), 0)), "")</f>
        <v/>
      </c>
      <c r="W23" s="32" t="str">
        <f t="array" ref="W23">IFERROR(INDEX(INDIRECT(Config!$G$1), MATCH($A23, INDIRECT(Config!$H$1), 0), MATCH(W$1, INDIRECT(Config!$I$1), 0)), "")</f>
        <v/>
      </c>
      <c r="X23" s="35" t="str">
        <f t="array" ref="X23">IFERROR(INDEX(INDIRECT(Config!$G$1), MATCH($A23, INDIRECT(Config!$H$1), 0), MATCH(X$1, INDIRECT(Config!$I$1), 0)), "")</f>
        <v/>
      </c>
      <c r="Y23" s="32" t="str">
        <f t="array" ref="Y23">IFERROR(INDEX(INDIRECT(Config!$G$1), MATCH($A23, INDIRECT(Config!$H$1), 0), MATCH(Y$1, INDIRECT(Config!$I$1), 0)), "")</f>
        <v/>
      </c>
      <c r="Z23" s="32" t="str">
        <f t="array" ref="Z23">IFERROR(INDEX(INDIRECT(Config!$G$1), MATCH($A23, INDIRECT(Config!$H$1), 0), MATCH(Z$1, INDIRECT(Config!$I$1), 0)), "")</f>
        <v/>
      </c>
      <c r="AA23" s="35" t="str">
        <f t="array" ref="AA23">IFERROR(INDEX(INDIRECT(Config!$G$1), MATCH($A23, INDIRECT(Config!$H$1), 0), MATCH(AA$1, INDIRECT(Config!$I$1), 0)), "")</f>
        <v/>
      </c>
      <c r="AB23" s="32" t="str">
        <f t="array" ref="AB23">IFERROR(INDEX(INDIRECT(Config!$G$1), MATCH($A23, INDIRECT(Config!$H$1), 0), MATCH(AB$1, INDIRECT(Config!$I$1), 0)), "")</f>
        <v/>
      </c>
      <c r="AC23" s="35" t="str">
        <f t="array" ref="AC23">IFERROR(INDEX(INDIRECT(Config!$G$1), MATCH($A23, INDIRECT(Config!$H$1), 0), MATCH(AC$1, INDIRECT(Config!$I$1), 0)), "")</f>
        <v/>
      </c>
      <c r="AD23" s="32" t="str">
        <f t="array" ref="AD23">IFERROR(INDEX(INDIRECT(Config!$G$1), MATCH($A23, INDIRECT(Config!$H$1), 0), MATCH(AD$1, INDIRECT(Config!$I$1), 0)), "")</f>
        <v/>
      </c>
      <c r="AE23" s="35" t="str">
        <f t="array" ref="AE23">IFERROR(INDEX(INDIRECT(Config!$G$1), MATCH($A23, INDIRECT(Config!$H$1), 0), MATCH(AE$1, INDIRECT(Config!$I$1), 0)), "")</f>
        <v/>
      </c>
      <c r="AF23" s="32" t="str">
        <f t="array" ref="AF23">IFERROR(INDEX(INDIRECT(Config!$G$1), MATCH($A23, INDIRECT(Config!$H$1), 0), MATCH(AF$1, INDIRECT(Config!$I$1), 0)), "")</f>
        <v/>
      </c>
      <c r="AG23" s="35" t="str">
        <f t="array" ref="AG23">IFERROR(INDEX(INDIRECT(Config!$G$1), MATCH($A23, INDIRECT(Config!$H$1), 0), MATCH(AG$1, INDIRECT(Config!$I$1), 0)), "")</f>
        <v/>
      </c>
      <c r="AH23" s="32" t="str">
        <f t="array" ref="AH23">IFERROR(INDEX(INDIRECT(Config!$G$1), MATCH($A23, INDIRECT(Config!$H$1), 0), MATCH(AH$1, INDIRECT(Config!$I$1), 0)), "")</f>
        <v/>
      </c>
      <c r="AI23" s="35" t="str">
        <f t="array" ref="AI23">IFERROR(INDEX(INDIRECT(Config!$G$1), MATCH($A23, INDIRECT(Config!$H$1), 0), MATCH(AI$1, INDIRECT(Config!$I$1), 0)), "")</f>
        <v/>
      </c>
      <c r="AJ23" s="32" t="str">
        <f t="array" ref="AJ23">IFERROR(INDEX(INDIRECT(Config!$G$1), MATCH($A23, INDIRECT(Config!$H$1), 0), MATCH(AJ$1, INDIRECT(Config!$I$1), 0)), "")</f>
        <v/>
      </c>
      <c r="AK23" s="35" t="str">
        <f t="array" ref="AK23">IFERROR(INDEX(INDIRECT(Config!$G$1), MATCH($A23, INDIRECT(Config!$H$1), 0), MATCH(AK$1, INDIRECT(Config!$I$1), 0)), "")</f>
        <v/>
      </c>
      <c r="AL23" s="32" t="str">
        <f t="array" ref="AL23">IFERROR(INDEX(INDIRECT(Config!$G$1), MATCH($A23, INDIRECT(Config!$H$1), 0), MATCH(AL$1, INDIRECT(Config!$I$1), 0)), "")</f>
        <v/>
      </c>
      <c r="AM23" s="35" t="str">
        <f t="array" ref="AM23">IFERROR(INDEX(INDIRECT(Config!$G$1), MATCH($A23, INDIRECT(Config!$H$1), 0), MATCH(AM$1, INDIRECT(Config!$I$1), 0)), "")</f>
        <v/>
      </c>
      <c r="AN23" s="32" t="str">
        <f t="array" ref="AN23">IFERROR(INDEX(INDIRECT(Config!$G$1), MATCH($A23, INDIRECT(Config!$H$1), 0), MATCH(AN$1, INDIRECT(Config!$I$1), 0)), "")</f>
        <v/>
      </c>
      <c r="AO23" s="35" t="str">
        <f t="array" ref="AO23">IFERROR(INDEX(INDIRECT(Config!$G$1), MATCH($A23, INDIRECT(Config!$H$1), 0), MATCH(AO$1, INDIRECT(Config!$I$1), 0)), "")</f>
        <v/>
      </c>
      <c r="AP23" s="32" t="str">
        <f t="array" ref="AP23">IFERROR(INDEX(INDIRECT(Config!$G$1), MATCH($A23, INDIRECT(Config!$H$1), 0), MATCH(AP$1, INDIRECT(Config!$I$1), 0)), "")</f>
        <v/>
      </c>
      <c r="AQ23" s="35" t="str">
        <f t="array" ref="AQ23">IFERROR(INDEX(INDIRECT(Config!$G$1), MATCH($A23, INDIRECT(Config!$H$1), 0), MATCH(AQ$1, INDIRECT(Config!$I$1), 0)), "")</f>
        <v/>
      </c>
      <c r="AR23" s="32" t="str">
        <f t="array" ref="AR23">IFERROR(INDEX(INDIRECT(Config!$G$1), MATCH($A23, INDIRECT(Config!$H$1), 0), MATCH(AR$1, INDIRECT(Config!$I$1), 0)), "")</f>
        <v/>
      </c>
      <c r="AS23" s="35" t="str">
        <f t="array" ref="AS23">IFERROR(INDEX(INDIRECT(Config!$G$1), MATCH($A23, INDIRECT(Config!$H$1), 0), MATCH(AS$1, INDIRECT(Config!$I$1), 0)), "")</f>
        <v/>
      </c>
      <c r="AT23" s="32" t="str">
        <f t="array" ref="AT23">IFERROR(INDEX(INDIRECT(Config!$G$1), MATCH($A23, INDIRECT(Config!$H$1), 0), MATCH(AT$1, INDIRECT(Config!$I$1), 0)), "")</f>
        <v/>
      </c>
      <c r="AU23" s="35" t="str">
        <f t="array" ref="AU23">IFERROR(INDEX(INDIRECT(Config!$G$1), MATCH($A23, INDIRECT(Config!$H$1), 0), MATCH(AU$1, INDIRECT(Config!$I$1), 0)), "")</f>
        <v/>
      </c>
      <c r="AV23" s="32" t="str">
        <f t="array" ref="AV23">IFERROR(INDEX(INDIRECT(Config!$G$1), MATCH($A23, INDIRECT(Config!$H$1), 0), MATCH(AV$1, INDIRECT(Config!$I$1), 0)), "")</f>
        <v/>
      </c>
      <c r="AW23" s="35"/>
      <c r="AX23" s="32"/>
      <c r="AY23" s="35"/>
    </row>
    <row r="24" ht="15.75" customHeight="1">
      <c r="A24" s="12" t="str">
        <f>Menus!R16</f>
        <v/>
      </c>
      <c r="B24" s="51">
        <f t="shared" si="5"/>
        <v>0</v>
      </c>
      <c r="C24" s="33" t="str">
        <f t="array" ref="C24">IFERROR(INDEX(INDIRECT(Config!$G$1), MATCH($A24, INDIRECT(Config!$H$1), 0), MATCH(C$1, INDIRECT(Config!$I$1), 0)), "")</f>
        <v/>
      </c>
      <c r="D24" s="34" t="str">
        <f t="array" ref="D24">IFERROR(INDEX(INDIRECT(Config!$G$1), MATCH($A24, INDIRECT(Config!$H$1), 0), MATCH(D$1, INDIRECT(Config!$I$1), 0)), "")</f>
        <v/>
      </c>
      <c r="E24" s="32" t="str">
        <f t="array" ref="E24">IFERROR(INDEX(INDIRECT(Config!$G$1), MATCH($A24, INDIRECT(Config!$H$1), 0), MATCH(E$1, INDIRECT(Config!$I$1), 0)), "")</f>
        <v/>
      </c>
      <c r="F24" s="35" t="str">
        <f t="array" ref="F24">IFERROR(INDEX(INDIRECT(Config!$G$1), MATCH($A24, INDIRECT(Config!$H$1), 0), MATCH(F$1, INDIRECT(Config!$I$1), 0)), "")</f>
        <v/>
      </c>
      <c r="G24" s="32" t="str">
        <f t="array" ref="G24">IFERROR(INDEX(INDIRECT(Config!$G$1), MATCH($A24, INDIRECT(Config!$H$1), 0), MATCH(G$1, INDIRECT(Config!$I$1), 0)), "")</f>
        <v/>
      </c>
      <c r="H24" s="35" t="str">
        <f t="array" ref="H24">IFERROR(INDEX(INDIRECT(Config!$G$1), MATCH($A24, INDIRECT(Config!$H$1), 0), MATCH(H$1, INDIRECT(Config!$I$1), 0)), "")</f>
        <v/>
      </c>
      <c r="I24" s="32" t="str">
        <f t="array" ref="I24">IFERROR(INDEX(INDIRECT(Config!$G$1), MATCH($A24, INDIRECT(Config!$H$1), 0), MATCH(I$1, INDIRECT(Config!$I$1), 0)), "")</f>
        <v/>
      </c>
      <c r="J24" s="35" t="str">
        <f t="array" ref="J24">IFERROR(INDEX(INDIRECT(Config!$G$1), MATCH($A24, INDIRECT(Config!$H$1), 0), MATCH(J$1, INDIRECT(Config!$I$1), 0)), "")</f>
        <v/>
      </c>
      <c r="K24" s="32" t="str">
        <f t="array" ref="K24">IFERROR(INDEX(INDIRECT(Config!$G$1), MATCH($A24, INDIRECT(Config!$H$1), 0), MATCH(K$1, INDIRECT(Config!$I$1), 0)), "")</f>
        <v/>
      </c>
      <c r="L24" s="35" t="str">
        <f t="array" ref="L24">IFERROR(INDEX(INDIRECT(Config!$G$1), MATCH($A24, INDIRECT(Config!$H$1), 0), MATCH(L$1, INDIRECT(Config!$I$1), 0)), "")</f>
        <v/>
      </c>
      <c r="M24" s="32" t="str">
        <f t="array" ref="M24">IFERROR(INDEX(INDIRECT(Config!$G$1), MATCH($A24, INDIRECT(Config!$H$1), 0), MATCH(M$1, INDIRECT(Config!$I$1), 0)), "")</f>
        <v/>
      </c>
      <c r="N24" s="35" t="str">
        <f t="array" ref="N24">IFERROR(INDEX(INDIRECT(Config!$G$1), MATCH($A24, INDIRECT(Config!$H$1), 0), MATCH(N$1, INDIRECT(Config!$I$1), 0)), "")</f>
        <v/>
      </c>
      <c r="O24" s="32" t="str">
        <f t="array" ref="O24">IFERROR(INDEX(INDIRECT(Config!$G$1), MATCH($A24, INDIRECT(Config!$H$1), 0), MATCH(O$1, INDIRECT(Config!$I$1), 0)), "")</f>
        <v/>
      </c>
      <c r="P24" s="35" t="str">
        <f t="array" ref="P24">IFERROR(INDEX(INDIRECT(Config!$G$1), MATCH($A24, INDIRECT(Config!$H$1), 0), MATCH(P$1, INDIRECT(Config!$I$1), 0)), "")</f>
        <v/>
      </c>
      <c r="Q24" s="32" t="str">
        <f t="array" ref="Q24">IFERROR(INDEX(INDIRECT(Config!$G$1), MATCH($A24, INDIRECT(Config!$H$1), 0), MATCH(Q$1, INDIRECT(Config!$I$1), 0)), "")</f>
        <v/>
      </c>
      <c r="R24" s="35" t="str">
        <f t="array" ref="R24">IFERROR(INDEX(INDIRECT(Config!$G$1), MATCH($A24, INDIRECT(Config!$H$1), 0), MATCH(R$1, INDIRECT(Config!$I$1), 0)), "")</f>
        <v/>
      </c>
      <c r="S24" s="32" t="str">
        <f t="array" ref="S24">IFERROR(INDEX(INDIRECT(Config!$G$1), MATCH($A24, INDIRECT(Config!$H$1), 0), MATCH(S$1, INDIRECT(Config!$I$1), 0)), "")</f>
        <v/>
      </c>
      <c r="T24" s="35" t="str">
        <f t="array" ref="T24">IFERROR(INDEX(INDIRECT(Config!$G$1), MATCH($A24, INDIRECT(Config!$H$1), 0), MATCH(T$1, INDIRECT(Config!$I$1), 0)), "")</f>
        <v/>
      </c>
      <c r="U24" s="32" t="str">
        <f t="array" ref="U24">IFERROR(INDEX(INDIRECT(Config!$G$1), MATCH($A24, INDIRECT(Config!$H$1), 0), MATCH(U$1, INDIRECT(Config!$I$1), 0)), "")</f>
        <v/>
      </c>
      <c r="V24" s="35" t="str">
        <f t="array" ref="V24">IFERROR(INDEX(INDIRECT(Config!$G$1), MATCH($A24, INDIRECT(Config!$H$1), 0), MATCH(V$1, INDIRECT(Config!$I$1), 0)), "")</f>
        <v/>
      </c>
      <c r="W24" s="32" t="str">
        <f t="array" ref="W24">IFERROR(INDEX(INDIRECT(Config!$G$1), MATCH($A24, INDIRECT(Config!$H$1), 0), MATCH(W$1, INDIRECT(Config!$I$1), 0)), "")</f>
        <v/>
      </c>
      <c r="X24" s="35" t="str">
        <f t="array" ref="X24">IFERROR(INDEX(INDIRECT(Config!$G$1), MATCH($A24, INDIRECT(Config!$H$1), 0), MATCH(X$1, INDIRECT(Config!$I$1), 0)), "")</f>
        <v/>
      </c>
      <c r="Y24" s="32" t="str">
        <f t="array" ref="Y24">IFERROR(INDEX(INDIRECT(Config!$G$1), MATCH($A24, INDIRECT(Config!$H$1), 0), MATCH(Y$1, INDIRECT(Config!$I$1), 0)), "")</f>
        <v/>
      </c>
      <c r="Z24" s="32" t="str">
        <f t="array" ref="Z24">IFERROR(INDEX(INDIRECT(Config!$G$1), MATCH($A24, INDIRECT(Config!$H$1), 0), MATCH(Z$1, INDIRECT(Config!$I$1), 0)), "")</f>
        <v/>
      </c>
      <c r="AA24" s="35" t="str">
        <f t="array" ref="AA24">IFERROR(INDEX(INDIRECT(Config!$G$1), MATCH($A24, INDIRECT(Config!$H$1), 0), MATCH(AA$1, INDIRECT(Config!$I$1), 0)), "")</f>
        <v/>
      </c>
      <c r="AB24" s="32" t="str">
        <f t="array" ref="AB24">IFERROR(INDEX(INDIRECT(Config!$G$1), MATCH($A24, INDIRECT(Config!$H$1), 0), MATCH(AB$1, INDIRECT(Config!$I$1), 0)), "")</f>
        <v/>
      </c>
      <c r="AC24" s="35" t="str">
        <f t="array" ref="AC24">IFERROR(INDEX(INDIRECT(Config!$G$1), MATCH($A24, INDIRECT(Config!$H$1), 0), MATCH(AC$1, INDIRECT(Config!$I$1), 0)), "")</f>
        <v/>
      </c>
      <c r="AD24" s="32" t="str">
        <f t="array" ref="AD24">IFERROR(INDEX(INDIRECT(Config!$G$1), MATCH($A24, INDIRECT(Config!$H$1), 0), MATCH(AD$1, INDIRECT(Config!$I$1), 0)), "")</f>
        <v/>
      </c>
      <c r="AE24" s="35" t="str">
        <f t="array" ref="AE24">IFERROR(INDEX(INDIRECT(Config!$G$1), MATCH($A24, INDIRECT(Config!$H$1), 0), MATCH(AE$1, INDIRECT(Config!$I$1), 0)), "")</f>
        <v/>
      </c>
      <c r="AF24" s="32" t="str">
        <f t="array" ref="AF24">IFERROR(INDEX(INDIRECT(Config!$G$1), MATCH($A24, INDIRECT(Config!$H$1), 0), MATCH(AF$1, INDIRECT(Config!$I$1), 0)), "")</f>
        <v/>
      </c>
      <c r="AG24" s="35" t="str">
        <f t="array" ref="AG24">IFERROR(INDEX(INDIRECT(Config!$G$1), MATCH($A24, INDIRECT(Config!$H$1), 0), MATCH(AG$1, INDIRECT(Config!$I$1), 0)), "")</f>
        <v/>
      </c>
      <c r="AH24" s="32" t="str">
        <f t="array" ref="AH24">IFERROR(INDEX(INDIRECT(Config!$G$1), MATCH($A24, INDIRECT(Config!$H$1), 0), MATCH(AH$1, INDIRECT(Config!$I$1), 0)), "")</f>
        <v/>
      </c>
      <c r="AI24" s="35" t="str">
        <f t="array" ref="AI24">IFERROR(INDEX(INDIRECT(Config!$G$1), MATCH($A24, INDIRECT(Config!$H$1), 0), MATCH(AI$1, INDIRECT(Config!$I$1), 0)), "")</f>
        <v/>
      </c>
      <c r="AJ24" s="32" t="str">
        <f t="array" ref="AJ24">IFERROR(INDEX(INDIRECT(Config!$G$1), MATCH($A24, INDIRECT(Config!$H$1), 0), MATCH(AJ$1, INDIRECT(Config!$I$1), 0)), "")</f>
        <v/>
      </c>
      <c r="AK24" s="35" t="str">
        <f t="array" ref="AK24">IFERROR(INDEX(INDIRECT(Config!$G$1), MATCH($A24, INDIRECT(Config!$H$1), 0), MATCH(AK$1, INDIRECT(Config!$I$1), 0)), "")</f>
        <v/>
      </c>
      <c r="AL24" s="32" t="str">
        <f t="array" ref="AL24">IFERROR(INDEX(INDIRECT(Config!$G$1), MATCH($A24, INDIRECT(Config!$H$1), 0), MATCH(AL$1, INDIRECT(Config!$I$1), 0)), "")</f>
        <v/>
      </c>
      <c r="AM24" s="35" t="str">
        <f t="array" ref="AM24">IFERROR(INDEX(INDIRECT(Config!$G$1), MATCH($A24, INDIRECT(Config!$H$1), 0), MATCH(AM$1, INDIRECT(Config!$I$1), 0)), "")</f>
        <v/>
      </c>
      <c r="AN24" s="32" t="str">
        <f t="array" ref="AN24">IFERROR(INDEX(INDIRECT(Config!$G$1), MATCH($A24, INDIRECT(Config!$H$1), 0), MATCH(AN$1, INDIRECT(Config!$I$1), 0)), "")</f>
        <v/>
      </c>
      <c r="AO24" s="35" t="str">
        <f t="array" ref="AO24">IFERROR(INDEX(INDIRECT(Config!$G$1), MATCH($A24, INDIRECT(Config!$H$1), 0), MATCH(AO$1, INDIRECT(Config!$I$1), 0)), "")</f>
        <v/>
      </c>
      <c r="AP24" s="32" t="str">
        <f t="array" ref="AP24">IFERROR(INDEX(INDIRECT(Config!$G$1), MATCH($A24, INDIRECT(Config!$H$1), 0), MATCH(AP$1, INDIRECT(Config!$I$1), 0)), "")</f>
        <v/>
      </c>
      <c r="AQ24" s="35" t="str">
        <f t="array" ref="AQ24">IFERROR(INDEX(INDIRECT(Config!$G$1), MATCH($A24, INDIRECT(Config!$H$1), 0), MATCH(AQ$1, INDIRECT(Config!$I$1), 0)), "")</f>
        <v/>
      </c>
      <c r="AR24" s="32" t="str">
        <f t="array" ref="AR24">IFERROR(INDEX(INDIRECT(Config!$G$1), MATCH($A24, INDIRECT(Config!$H$1), 0), MATCH(AR$1, INDIRECT(Config!$I$1), 0)), "")</f>
        <v/>
      </c>
      <c r="AS24" s="35" t="str">
        <f t="array" ref="AS24">IFERROR(INDEX(INDIRECT(Config!$G$1), MATCH($A24, INDIRECT(Config!$H$1), 0), MATCH(AS$1, INDIRECT(Config!$I$1), 0)), "")</f>
        <v/>
      </c>
      <c r="AT24" s="32" t="str">
        <f t="array" ref="AT24">IFERROR(INDEX(INDIRECT(Config!$G$1), MATCH($A24, INDIRECT(Config!$H$1), 0), MATCH(AT$1, INDIRECT(Config!$I$1), 0)), "")</f>
        <v/>
      </c>
      <c r="AU24" s="35" t="str">
        <f t="array" ref="AU24">IFERROR(INDEX(INDIRECT(Config!$G$1), MATCH($A24, INDIRECT(Config!$H$1), 0), MATCH(AU$1, INDIRECT(Config!$I$1), 0)), "")</f>
        <v/>
      </c>
      <c r="AV24" s="32" t="str">
        <f t="array" ref="AV24">IFERROR(INDEX(INDIRECT(Config!$G$1), MATCH($A24, INDIRECT(Config!$H$1), 0), MATCH(AV$1, INDIRECT(Config!$I$1), 0)), "")</f>
        <v/>
      </c>
      <c r="AW24" s="35"/>
      <c r="AX24" s="32"/>
      <c r="AY24" s="35"/>
    </row>
    <row r="25" ht="15.75" customHeight="1">
      <c r="A25" s="12" t="str">
        <f>Menus!R17</f>
        <v/>
      </c>
      <c r="B25" s="51">
        <f t="shared" si="5"/>
        <v>0</v>
      </c>
      <c r="C25" s="33" t="str">
        <f t="array" ref="C25">IFERROR(INDEX(INDIRECT(Config!$G$1), MATCH($A25, INDIRECT(Config!$H$1), 0), MATCH(C$1, INDIRECT(Config!$I$1), 0)), "")</f>
        <v/>
      </c>
      <c r="D25" s="34" t="str">
        <f t="array" ref="D25">IFERROR(INDEX(INDIRECT(Config!$G$1), MATCH($A25, INDIRECT(Config!$H$1), 0), MATCH(D$1, INDIRECT(Config!$I$1), 0)), "")</f>
        <v/>
      </c>
      <c r="E25" s="32" t="str">
        <f t="array" ref="E25">IFERROR(INDEX(INDIRECT(Config!$G$1), MATCH($A25, INDIRECT(Config!$H$1), 0), MATCH(E$1, INDIRECT(Config!$I$1), 0)), "")</f>
        <v/>
      </c>
      <c r="F25" s="35" t="str">
        <f t="array" ref="F25">IFERROR(INDEX(INDIRECT(Config!$G$1), MATCH($A25, INDIRECT(Config!$H$1), 0), MATCH(F$1, INDIRECT(Config!$I$1), 0)), "")</f>
        <v/>
      </c>
      <c r="G25" s="32" t="str">
        <f t="array" ref="G25">IFERROR(INDEX(INDIRECT(Config!$G$1), MATCH($A25, INDIRECT(Config!$H$1), 0), MATCH(G$1, INDIRECT(Config!$I$1), 0)), "")</f>
        <v/>
      </c>
      <c r="H25" s="35" t="str">
        <f t="array" ref="H25">IFERROR(INDEX(INDIRECT(Config!$G$1), MATCH($A25, INDIRECT(Config!$H$1), 0), MATCH(H$1, INDIRECT(Config!$I$1), 0)), "")</f>
        <v/>
      </c>
      <c r="I25" s="32" t="str">
        <f t="array" ref="I25">IFERROR(INDEX(INDIRECT(Config!$G$1), MATCH($A25, INDIRECT(Config!$H$1), 0), MATCH(I$1, INDIRECT(Config!$I$1), 0)), "")</f>
        <v/>
      </c>
      <c r="J25" s="35" t="str">
        <f t="array" ref="J25">IFERROR(INDEX(INDIRECT(Config!$G$1), MATCH($A25, INDIRECT(Config!$H$1), 0), MATCH(J$1, INDIRECT(Config!$I$1), 0)), "")</f>
        <v/>
      </c>
      <c r="K25" s="32" t="str">
        <f t="array" ref="K25">IFERROR(INDEX(INDIRECT(Config!$G$1), MATCH($A25, INDIRECT(Config!$H$1), 0), MATCH(K$1, INDIRECT(Config!$I$1), 0)), "")</f>
        <v/>
      </c>
      <c r="L25" s="35" t="str">
        <f t="array" ref="L25">IFERROR(INDEX(INDIRECT(Config!$G$1), MATCH($A25, INDIRECT(Config!$H$1), 0), MATCH(L$1, INDIRECT(Config!$I$1), 0)), "")</f>
        <v/>
      </c>
      <c r="M25" s="32" t="str">
        <f t="array" ref="M25">IFERROR(INDEX(INDIRECT(Config!$G$1), MATCH($A25, INDIRECT(Config!$H$1), 0), MATCH(M$1, INDIRECT(Config!$I$1), 0)), "")</f>
        <v/>
      </c>
      <c r="N25" s="35" t="str">
        <f t="array" ref="N25">IFERROR(INDEX(INDIRECT(Config!$G$1), MATCH($A25, INDIRECT(Config!$H$1), 0), MATCH(N$1, INDIRECT(Config!$I$1), 0)), "")</f>
        <v/>
      </c>
      <c r="O25" s="32" t="str">
        <f t="array" ref="O25">IFERROR(INDEX(INDIRECT(Config!$G$1), MATCH($A25, INDIRECT(Config!$H$1), 0), MATCH(O$1, INDIRECT(Config!$I$1), 0)), "")</f>
        <v/>
      </c>
      <c r="P25" s="35" t="str">
        <f t="array" ref="P25">IFERROR(INDEX(INDIRECT(Config!$G$1), MATCH($A25, INDIRECT(Config!$H$1), 0), MATCH(P$1, INDIRECT(Config!$I$1), 0)), "")</f>
        <v/>
      </c>
      <c r="Q25" s="32" t="str">
        <f t="array" ref="Q25">IFERROR(INDEX(INDIRECT(Config!$G$1), MATCH($A25, INDIRECT(Config!$H$1), 0), MATCH(Q$1, INDIRECT(Config!$I$1), 0)), "")</f>
        <v/>
      </c>
      <c r="R25" s="35" t="str">
        <f t="array" ref="R25">IFERROR(INDEX(INDIRECT(Config!$G$1), MATCH($A25, INDIRECT(Config!$H$1), 0), MATCH(R$1, INDIRECT(Config!$I$1), 0)), "")</f>
        <v/>
      </c>
      <c r="S25" s="32" t="str">
        <f t="array" ref="S25">IFERROR(INDEX(INDIRECT(Config!$G$1), MATCH($A25, INDIRECT(Config!$H$1), 0), MATCH(S$1, INDIRECT(Config!$I$1), 0)), "")</f>
        <v/>
      </c>
      <c r="T25" s="35" t="str">
        <f t="array" ref="T25">IFERROR(INDEX(INDIRECT(Config!$G$1), MATCH($A25, INDIRECT(Config!$H$1), 0), MATCH(T$1, INDIRECT(Config!$I$1), 0)), "")</f>
        <v/>
      </c>
      <c r="U25" s="32" t="str">
        <f t="array" ref="U25">IFERROR(INDEX(INDIRECT(Config!$G$1), MATCH($A25, INDIRECT(Config!$H$1), 0), MATCH(U$1, INDIRECT(Config!$I$1), 0)), "")</f>
        <v/>
      </c>
      <c r="V25" s="35" t="str">
        <f t="array" ref="V25">IFERROR(INDEX(INDIRECT(Config!$G$1), MATCH($A25, INDIRECT(Config!$H$1), 0), MATCH(V$1, INDIRECT(Config!$I$1), 0)), "")</f>
        <v/>
      </c>
      <c r="W25" s="32" t="str">
        <f t="array" ref="W25">IFERROR(INDEX(INDIRECT(Config!$G$1), MATCH($A25, INDIRECT(Config!$H$1), 0), MATCH(W$1, INDIRECT(Config!$I$1), 0)), "")</f>
        <v/>
      </c>
      <c r="X25" s="35" t="str">
        <f t="array" ref="X25">IFERROR(INDEX(INDIRECT(Config!$G$1), MATCH($A25, INDIRECT(Config!$H$1), 0), MATCH(X$1, INDIRECT(Config!$I$1), 0)), "")</f>
        <v/>
      </c>
      <c r="Y25" s="32" t="str">
        <f t="array" ref="Y25">IFERROR(INDEX(INDIRECT(Config!$G$1), MATCH($A25, INDIRECT(Config!$H$1), 0), MATCH(Y$1, INDIRECT(Config!$I$1), 0)), "")</f>
        <v/>
      </c>
      <c r="Z25" s="32" t="str">
        <f t="array" ref="Z25">IFERROR(INDEX(INDIRECT(Config!$G$1), MATCH($A25, INDIRECT(Config!$H$1), 0), MATCH(Z$1, INDIRECT(Config!$I$1), 0)), "")</f>
        <v/>
      </c>
      <c r="AA25" s="35" t="str">
        <f t="array" ref="AA25">IFERROR(INDEX(INDIRECT(Config!$G$1), MATCH($A25, INDIRECT(Config!$H$1), 0), MATCH(AA$1, INDIRECT(Config!$I$1), 0)), "")</f>
        <v/>
      </c>
      <c r="AB25" s="32" t="str">
        <f t="array" ref="AB25">IFERROR(INDEX(INDIRECT(Config!$G$1), MATCH($A25, INDIRECT(Config!$H$1), 0), MATCH(AB$1, INDIRECT(Config!$I$1), 0)), "")</f>
        <v/>
      </c>
      <c r="AC25" s="35" t="str">
        <f t="array" ref="AC25">IFERROR(INDEX(INDIRECT(Config!$G$1), MATCH($A25, INDIRECT(Config!$H$1), 0), MATCH(AC$1, INDIRECT(Config!$I$1), 0)), "")</f>
        <v/>
      </c>
      <c r="AD25" s="32" t="str">
        <f t="array" ref="AD25">IFERROR(INDEX(INDIRECT(Config!$G$1), MATCH($A25, INDIRECT(Config!$H$1), 0), MATCH(AD$1, INDIRECT(Config!$I$1), 0)), "")</f>
        <v/>
      </c>
      <c r="AE25" s="35" t="str">
        <f t="array" ref="AE25">IFERROR(INDEX(INDIRECT(Config!$G$1), MATCH($A25, INDIRECT(Config!$H$1), 0), MATCH(AE$1, INDIRECT(Config!$I$1), 0)), "")</f>
        <v/>
      </c>
      <c r="AF25" s="32" t="str">
        <f t="array" ref="AF25">IFERROR(INDEX(INDIRECT(Config!$G$1), MATCH($A25, INDIRECT(Config!$H$1), 0), MATCH(AF$1, INDIRECT(Config!$I$1), 0)), "")</f>
        <v/>
      </c>
      <c r="AG25" s="35" t="str">
        <f t="array" ref="AG25">IFERROR(INDEX(INDIRECT(Config!$G$1), MATCH($A25, INDIRECT(Config!$H$1), 0), MATCH(AG$1, INDIRECT(Config!$I$1), 0)), "")</f>
        <v/>
      </c>
      <c r="AH25" s="32" t="str">
        <f t="array" ref="AH25">IFERROR(INDEX(INDIRECT(Config!$G$1), MATCH($A25, INDIRECT(Config!$H$1), 0), MATCH(AH$1, INDIRECT(Config!$I$1), 0)), "")</f>
        <v/>
      </c>
      <c r="AI25" s="35" t="str">
        <f t="array" ref="AI25">IFERROR(INDEX(INDIRECT(Config!$G$1), MATCH($A25, INDIRECT(Config!$H$1), 0), MATCH(AI$1, INDIRECT(Config!$I$1), 0)), "")</f>
        <v/>
      </c>
      <c r="AJ25" s="32" t="str">
        <f t="array" ref="AJ25">IFERROR(INDEX(INDIRECT(Config!$G$1), MATCH($A25, INDIRECT(Config!$H$1), 0), MATCH(AJ$1, INDIRECT(Config!$I$1), 0)), "")</f>
        <v/>
      </c>
      <c r="AK25" s="35" t="str">
        <f t="array" ref="AK25">IFERROR(INDEX(INDIRECT(Config!$G$1), MATCH($A25, INDIRECT(Config!$H$1), 0), MATCH(AK$1, INDIRECT(Config!$I$1), 0)), "")</f>
        <v/>
      </c>
      <c r="AL25" s="32" t="str">
        <f t="array" ref="AL25">IFERROR(INDEX(INDIRECT(Config!$G$1), MATCH($A25, INDIRECT(Config!$H$1), 0), MATCH(AL$1, INDIRECT(Config!$I$1), 0)), "")</f>
        <v/>
      </c>
      <c r="AM25" s="35" t="str">
        <f t="array" ref="AM25">IFERROR(INDEX(INDIRECT(Config!$G$1), MATCH($A25, INDIRECT(Config!$H$1), 0), MATCH(AM$1, INDIRECT(Config!$I$1), 0)), "")</f>
        <v/>
      </c>
      <c r="AN25" s="32" t="str">
        <f t="array" ref="AN25">IFERROR(INDEX(INDIRECT(Config!$G$1), MATCH($A25, INDIRECT(Config!$H$1), 0), MATCH(AN$1, INDIRECT(Config!$I$1), 0)), "")</f>
        <v/>
      </c>
      <c r="AO25" s="35" t="str">
        <f t="array" ref="AO25">IFERROR(INDEX(INDIRECT(Config!$G$1), MATCH($A25, INDIRECT(Config!$H$1), 0), MATCH(AO$1, INDIRECT(Config!$I$1), 0)), "")</f>
        <v/>
      </c>
      <c r="AP25" s="32" t="str">
        <f t="array" ref="AP25">IFERROR(INDEX(INDIRECT(Config!$G$1), MATCH($A25, INDIRECT(Config!$H$1), 0), MATCH(AP$1, INDIRECT(Config!$I$1), 0)), "")</f>
        <v/>
      </c>
      <c r="AQ25" s="35" t="str">
        <f t="array" ref="AQ25">IFERROR(INDEX(INDIRECT(Config!$G$1), MATCH($A25, INDIRECT(Config!$H$1), 0), MATCH(AQ$1, INDIRECT(Config!$I$1), 0)), "")</f>
        <v/>
      </c>
      <c r="AR25" s="32" t="str">
        <f t="array" ref="AR25">IFERROR(INDEX(INDIRECT(Config!$G$1), MATCH($A25, INDIRECT(Config!$H$1), 0), MATCH(AR$1, INDIRECT(Config!$I$1), 0)), "")</f>
        <v/>
      </c>
      <c r="AS25" s="35" t="str">
        <f t="array" ref="AS25">IFERROR(INDEX(INDIRECT(Config!$G$1), MATCH($A25, INDIRECT(Config!$H$1), 0), MATCH(AS$1, INDIRECT(Config!$I$1), 0)), "")</f>
        <v/>
      </c>
      <c r="AT25" s="32" t="str">
        <f t="array" ref="AT25">IFERROR(INDEX(INDIRECT(Config!$G$1), MATCH($A25, INDIRECT(Config!$H$1), 0), MATCH(AT$1, INDIRECT(Config!$I$1), 0)), "")</f>
        <v/>
      </c>
      <c r="AU25" s="35" t="str">
        <f t="array" ref="AU25">IFERROR(INDEX(INDIRECT(Config!$G$1), MATCH($A25, INDIRECT(Config!$H$1), 0), MATCH(AU$1, INDIRECT(Config!$I$1), 0)), "")</f>
        <v/>
      </c>
      <c r="AV25" s="32" t="str">
        <f t="array" ref="AV25">IFERROR(INDEX(INDIRECT(Config!$G$1), MATCH($A25, INDIRECT(Config!$H$1), 0), MATCH(AV$1, INDIRECT(Config!$I$1), 0)), "")</f>
        <v/>
      </c>
      <c r="AW25" s="35"/>
      <c r="AX25" s="32"/>
      <c r="AY25" s="35"/>
    </row>
    <row r="26" ht="15.75" customHeight="1">
      <c r="A26" s="12" t="str">
        <f>Menus!R18</f>
        <v/>
      </c>
      <c r="B26" s="51">
        <f t="shared" si="5"/>
        <v>0</v>
      </c>
      <c r="C26" s="33" t="str">
        <f t="array" ref="C26">IFERROR(INDEX(INDIRECT(Config!$G$1), MATCH($A26, INDIRECT(Config!$H$1), 0), MATCH(C$1, INDIRECT(Config!$I$1), 0)), "")</f>
        <v/>
      </c>
      <c r="D26" s="34" t="str">
        <f t="array" ref="D26">IFERROR(INDEX(INDIRECT(Config!$G$1), MATCH($A26, INDIRECT(Config!$H$1), 0), MATCH(D$1, INDIRECT(Config!$I$1), 0)), "")</f>
        <v/>
      </c>
      <c r="E26" s="32" t="str">
        <f t="array" ref="E26">IFERROR(INDEX(INDIRECT(Config!$G$1), MATCH($A26, INDIRECT(Config!$H$1), 0), MATCH(E$1, INDIRECT(Config!$I$1), 0)), "")</f>
        <v/>
      </c>
      <c r="F26" s="35" t="str">
        <f t="array" ref="F26">IFERROR(INDEX(INDIRECT(Config!$G$1), MATCH($A26, INDIRECT(Config!$H$1), 0), MATCH(F$1, INDIRECT(Config!$I$1), 0)), "")</f>
        <v/>
      </c>
      <c r="G26" s="32" t="str">
        <f t="array" ref="G26">IFERROR(INDEX(INDIRECT(Config!$G$1), MATCH($A26, INDIRECT(Config!$H$1), 0), MATCH(G$1, INDIRECT(Config!$I$1), 0)), "")</f>
        <v/>
      </c>
      <c r="H26" s="35" t="str">
        <f t="array" ref="H26">IFERROR(INDEX(INDIRECT(Config!$G$1), MATCH($A26, INDIRECT(Config!$H$1), 0), MATCH(H$1, INDIRECT(Config!$I$1), 0)), "")</f>
        <v/>
      </c>
      <c r="I26" s="32" t="str">
        <f t="array" ref="I26">IFERROR(INDEX(INDIRECT(Config!$G$1), MATCH($A26, INDIRECT(Config!$H$1), 0), MATCH(I$1, INDIRECT(Config!$I$1), 0)), "")</f>
        <v/>
      </c>
      <c r="J26" s="35" t="str">
        <f t="array" ref="J26">IFERROR(INDEX(INDIRECT(Config!$G$1), MATCH($A26, INDIRECT(Config!$H$1), 0), MATCH(J$1, INDIRECT(Config!$I$1), 0)), "")</f>
        <v/>
      </c>
      <c r="K26" s="32" t="str">
        <f t="array" ref="K26">IFERROR(INDEX(INDIRECT(Config!$G$1), MATCH($A26, INDIRECT(Config!$H$1), 0), MATCH(K$1, INDIRECT(Config!$I$1), 0)), "")</f>
        <v/>
      </c>
      <c r="L26" s="35" t="str">
        <f t="array" ref="L26">IFERROR(INDEX(INDIRECT(Config!$G$1), MATCH($A26, INDIRECT(Config!$H$1), 0), MATCH(L$1, INDIRECT(Config!$I$1), 0)), "")</f>
        <v/>
      </c>
      <c r="M26" s="32" t="str">
        <f t="array" ref="M26">IFERROR(INDEX(INDIRECT(Config!$G$1), MATCH($A26, INDIRECT(Config!$H$1), 0), MATCH(M$1, INDIRECT(Config!$I$1), 0)), "")</f>
        <v/>
      </c>
      <c r="N26" s="35" t="str">
        <f t="array" ref="N26">IFERROR(INDEX(INDIRECT(Config!$G$1), MATCH($A26, INDIRECT(Config!$H$1), 0), MATCH(N$1, INDIRECT(Config!$I$1), 0)), "")</f>
        <v/>
      </c>
      <c r="O26" s="32" t="str">
        <f t="array" ref="O26">IFERROR(INDEX(INDIRECT(Config!$G$1), MATCH($A26, INDIRECT(Config!$H$1), 0), MATCH(O$1, INDIRECT(Config!$I$1), 0)), "")</f>
        <v/>
      </c>
      <c r="P26" s="35" t="str">
        <f t="array" ref="P26">IFERROR(INDEX(INDIRECT(Config!$G$1), MATCH($A26, INDIRECT(Config!$H$1), 0), MATCH(P$1, INDIRECT(Config!$I$1), 0)), "")</f>
        <v/>
      </c>
      <c r="Q26" s="32" t="str">
        <f t="array" ref="Q26">IFERROR(INDEX(INDIRECT(Config!$G$1), MATCH($A26, INDIRECT(Config!$H$1), 0), MATCH(Q$1, INDIRECT(Config!$I$1), 0)), "")</f>
        <v/>
      </c>
      <c r="R26" s="35" t="str">
        <f t="array" ref="R26">IFERROR(INDEX(INDIRECT(Config!$G$1), MATCH($A26, INDIRECT(Config!$H$1), 0), MATCH(R$1, INDIRECT(Config!$I$1), 0)), "")</f>
        <v/>
      </c>
      <c r="S26" s="32" t="str">
        <f t="array" ref="S26">IFERROR(INDEX(INDIRECT(Config!$G$1), MATCH($A26, INDIRECT(Config!$H$1), 0), MATCH(S$1, INDIRECT(Config!$I$1), 0)), "")</f>
        <v/>
      </c>
      <c r="T26" s="35" t="str">
        <f t="array" ref="T26">IFERROR(INDEX(INDIRECT(Config!$G$1), MATCH($A26, INDIRECT(Config!$H$1), 0), MATCH(T$1, INDIRECT(Config!$I$1), 0)), "")</f>
        <v/>
      </c>
      <c r="U26" s="32" t="str">
        <f t="array" ref="U26">IFERROR(INDEX(INDIRECT(Config!$G$1), MATCH($A26, INDIRECT(Config!$H$1), 0), MATCH(U$1, INDIRECT(Config!$I$1), 0)), "")</f>
        <v/>
      </c>
      <c r="V26" s="35" t="str">
        <f t="array" ref="V26">IFERROR(INDEX(INDIRECT(Config!$G$1), MATCH($A26, INDIRECT(Config!$H$1), 0), MATCH(V$1, INDIRECT(Config!$I$1), 0)), "")</f>
        <v/>
      </c>
      <c r="W26" s="32" t="str">
        <f t="array" ref="W26">IFERROR(INDEX(INDIRECT(Config!$G$1), MATCH($A26, INDIRECT(Config!$H$1), 0), MATCH(W$1, INDIRECT(Config!$I$1), 0)), "")</f>
        <v/>
      </c>
      <c r="X26" s="35" t="str">
        <f t="array" ref="X26">IFERROR(INDEX(INDIRECT(Config!$G$1), MATCH($A26, INDIRECT(Config!$H$1), 0), MATCH(X$1, INDIRECT(Config!$I$1), 0)), "")</f>
        <v/>
      </c>
      <c r="Y26" s="32" t="str">
        <f t="array" ref="Y26">IFERROR(INDEX(INDIRECT(Config!$G$1), MATCH($A26, INDIRECT(Config!$H$1), 0), MATCH(Y$1, INDIRECT(Config!$I$1), 0)), "")</f>
        <v/>
      </c>
      <c r="Z26" s="32" t="str">
        <f t="array" ref="Z26">IFERROR(INDEX(INDIRECT(Config!$G$1), MATCH($A26, INDIRECT(Config!$H$1), 0), MATCH(Z$1, INDIRECT(Config!$I$1), 0)), "")</f>
        <v/>
      </c>
      <c r="AA26" s="35" t="str">
        <f t="array" ref="AA26">IFERROR(INDEX(INDIRECT(Config!$G$1), MATCH($A26, INDIRECT(Config!$H$1), 0), MATCH(AA$1, INDIRECT(Config!$I$1), 0)), "")</f>
        <v/>
      </c>
      <c r="AB26" s="32" t="str">
        <f t="array" ref="AB26">IFERROR(INDEX(INDIRECT(Config!$G$1), MATCH($A26, INDIRECT(Config!$H$1), 0), MATCH(AB$1, INDIRECT(Config!$I$1), 0)), "")</f>
        <v/>
      </c>
      <c r="AC26" s="35" t="str">
        <f t="array" ref="AC26">IFERROR(INDEX(INDIRECT(Config!$G$1), MATCH($A26, INDIRECT(Config!$H$1), 0), MATCH(AC$1, INDIRECT(Config!$I$1), 0)), "")</f>
        <v/>
      </c>
      <c r="AD26" s="32" t="str">
        <f t="array" ref="AD26">IFERROR(INDEX(INDIRECT(Config!$G$1), MATCH($A26, INDIRECT(Config!$H$1), 0), MATCH(AD$1, INDIRECT(Config!$I$1), 0)), "")</f>
        <v/>
      </c>
      <c r="AE26" s="35" t="str">
        <f t="array" ref="AE26">IFERROR(INDEX(INDIRECT(Config!$G$1), MATCH($A26, INDIRECT(Config!$H$1), 0), MATCH(AE$1, INDIRECT(Config!$I$1), 0)), "")</f>
        <v/>
      </c>
      <c r="AF26" s="32" t="str">
        <f t="array" ref="AF26">IFERROR(INDEX(INDIRECT(Config!$G$1), MATCH($A26, INDIRECT(Config!$H$1), 0), MATCH(AF$1, INDIRECT(Config!$I$1), 0)), "")</f>
        <v/>
      </c>
      <c r="AG26" s="35" t="str">
        <f t="array" ref="AG26">IFERROR(INDEX(INDIRECT(Config!$G$1), MATCH($A26, INDIRECT(Config!$H$1), 0), MATCH(AG$1, INDIRECT(Config!$I$1), 0)), "")</f>
        <v/>
      </c>
      <c r="AH26" s="32" t="str">
        <f t="array" ref="AH26">IFERROR(INDEX(INDIRECT(Config!$G$1), MATCH($A26, INDIRECT(Config!$H$1), 0), MATCH(AH$1, INDIRECT(Config!$I$1), 0)), "")</f>
        <v/>
      </c>
      <c r="AI26" s="35" t="str">
        <f t="array" ref="AI26">IFERROR(INDEX(INDIRECT(Config!$G$1), MATCH($A26, INDIRECT(Config!$H$1), 0), MATCH(AI$1, INDIRECT(Config!$I$1), 0)), "")</f>
        <v/>
      </c>
      <c r="AJ26" s="32" t="str">
        <f t="array" ref="AJ26">IFERROR(INDEX(INDIRECT(Config!$G$1), MATCH($A26, INDIRECT(Config!$H$1), 0), MATCH(AJ$1, INDIRECT(Config!$I$1), 0)), "")</f>
        <v/>
      </c>
      <c r="AK26" s="35" t="str">
        <f t="array" ref="AK26">IFERROR(INDEX(INDIRECT(Config!$G$1), MATCH($A26, INDIRECT(Config!$H$1), 0), MATCH(AK$1, INDIRECT(Config!$I$1), 0)), "")</f>
        <v/>
      </c>
      <c r="AL26" s="32" t="str">
        <f t="array" ref="AL26">IFERROR(INDEX(INDIRECT(Config!$G$1), MATCH($A26, INDIRECT(Config!$H$1), 0), MATCH(AL$1, INDIRECT(Config!$I$1), 0)), "")</f>
        <v/>
      </c>
      <c r="AM26" s="35" t="str">
        <f t="array" ref="AM26">IFERROR(INDEX(INDIRECT(Config!$G$1), MATCH($A26, INDIRECT(Config!$H$1), 0), MATCH(AM$1, INDIRECT(Config!$I$1), 0)), "")</f>
        <v/>
      </c>
      <c r="AN26" s="32" t="str">
        <f t="array" ref="AN26">IFERROR(INDEX(INDIRECT(Config!$G$1), MATCH($A26, INDIRECT(Config!$H$1), 0), MATCH(AN$1, INDIRECT(Config!$I$1), 0)), "")</f>
        <v/>
      </c>
      <c r="AO26" s="35" t="str">
        <f t="array" ref="AO26">IFERROR(INDEX(INDIRECT(Config!$G$1), MATCH($A26, INDIRECT(Config!$H$1), 0), MATCH(AO$1, INDIRECT(Config!$I$1), 0)), "")</f>
        <v/>
      </c>
      <c r="AP26" s="32" t="str">
        <f t="array" ref="AP26">IFERROR(INDEX(INDIRECT(Config!$G$1), MATCH($A26, INDIRECT(Config!$H$1), 0), MATCH(AP$1, INDIRECT(Config!$I$1), 0)), "")</f>
        <v/>
      </c>
      <c r="AQ26" s="35" t="str">
        <f t="array" ref="AQ26">IFERROR(INDEX(INDIRECT(Config!$G$1), MATCH($A26, INDIRECT(Config!$H$1), 0), MATCH(AQ$1, INDIRECT(Config!$I$1), 0)), "")</f>
        <v/>
      </c>
      <c r="AR26" s="32" t="str">
        <f t="array" ref="AR26">IFERROR(INDEX(INDIRECT(Config!$G$1), MATCH($A26, INDIRECT(Config!$H$1), 0), MATCH(AR$1, INDIRECT(Config!$I$1), 0)), "")</f>
        <v/>
      </c>
      <c r="AS26" s="35" t="str">
        <f t="array" ref="AS26">IFERROR(INDEX(INDIRECT(Config!$G$1), MATCH($A26, INDIRECT(Config!$H$1), 0), MATCH(AS$1, INDIRECT(Config!$I$1), 0)), "")</f>
        <v/>
      </c>
      <c r="AT26" s="32" t="str">
        <f t="array" ref="AT26">IFERROR(INDEX(INDIRECT(Config!$G$1), MATCH($A26, INDIRECT(Config!$H$1), 0), MATCH(AT$1, INDIRECT(Config!$I$1), 0)), "")</f>
        <v/>
      </c>
      <c r="AU26" s="35" t="str">
        <f t="array" ref="AU26">IFERROR(INDEX(INDIRECT(Config!$G$1), MATCH($A26, INDIRECT(Config!$H$1), 0), MATCH(AU$1, INDIRECT(Config!$I$1), 0)), "")</f>
        <v/>
      </c>
      <c r="AV26" s="32" t="str">
        <f t="array" ref="AV26">IFERROR(INDEX(INDIRECT(Config!$G$1), MATCH($A26, INDIRECT(Config!$H$1), 0), MATCH(AV$1, INDIRECT(Config!$I$1), 0)), "")</f>
        <v/>
      </c>
      <c r="AW26" s="35"/>
      <c r="AX26" s="32"/>
      <c r="AY26" s="35"/>
    </row>
    <row r="27" ht="15.75" customHeight="1">
      <c r="A27" s="12" t="str">
        <f>Menus!R19</f>
        <v/>
      </c>
      <c r="B27" s="51">
        <f t="shared" si="5"/>
        <v>0</v>
      </c>
      <c r="C27" s="33" t="str">
        <f t="array" ref="C27">IFERROR(INDEX(INDIRECT(Config!$G$1), MATCH($A27, INDIRECT(Config!$H$1), 0), MATCH(C$1, INDIRECT(Config!$I$1), 0)), "")</f>
        <v/>
      </c>
      <c r="D27" s="34" t="str">
        <f t="array" ref="D27">IFERROR(INDEX(INDIRECT(Config!$G$1), MATCH($A27, INDIRECT(Config!$H$1), 0), MATCH(D$1, INDIRECT(Config!$I$1), 0)), "")</f>
        <v/>
      </c>
      <c r="E27" s="32" t="str">
        <f t="array" ref="E27">IFERROR(INDEX(INDIRECT(Config!$G$1), MATCH($A27, INDIRECT(Config!$H$1), 0), MATCH(E$1, INDIRECT(Config!$I$1), 0)), "")</f>
        <v/>
      </c>
      <c r="F27" s="35" t="str">
        <f t="array" ref="F27">IFERROR(INDEX(INDIRECT(Config!$G$1), MATCH($A27, INDIRECT(Config!$H$1), 0), MATCH(F$1, INDIRECT(Config!$I$1), 0)), "")</f>
        <v/>
      </c>
      <c r="G27" s="32" t="str">
        <f t="array" ref="G27">IFERROR(INDEX(INDIRECT(Config!$G$1), MATCH($A27, INDIRECT(Config!$H$1), 0), MATCH(G$1, INDIRECT(Config!$I$1), 0)), "")</f>
        <v/>
      </c>
      <c r="H27" s="35" t="str">
        <f t="array" ref="H27">IFERROR(INDEX(INDIRECT(Config!$G$1), MATCH($A27, INDIRECT(Config!$H$1), 0), MATCH(H$1, INDIRECT(Config!$I$1), 0)), "")</f>
        <v/>
      </c>
      <c r="I27" s="32" t="str">
        <f t="array" ref="I27">IFERROR(INDEX(INDIRECT(Config!$G$1), MATCH($A27, INDIRECT(Config!$H$1), 0), MATCH(I$1, INDIRECT(Config!$I$1), 0)), "")</f>
        <v/>
      </c>
      <c r="J27" s="35" t="str">
        <f t="array" ref="J27">IFERROR(INDEX(INDIRECT(Config!$G$1), MATCH($A27, INDIRECT(Config!$H$1), 0), MATCH(J$1, INDIRECT(Config!$I$1), 0)), "")</f>
        <v/>
      </c>
      <c r="K27" s="32" t="str">
        <f t="array" ref="K27">IFERROR(INDEX(INDIRECT(Config!$G$1), MATCH($A27, INDIRECT(Config!$H$1), 0), MATCH(K$1, INDIRECT(Config!$I$1), 0)), "")</f>
        <v/>
      </c>
      <c r="L27" s="35" t="str">
        <f t="array" ref="L27">IFERROR(INDEX(INDIRECT(Config!$G$1), MATCH($A27, INDIRECT(Config!$H$1), 0), MATCH(L$1, INDIRECT(Config!$I$1), 0)), "")</f>
        <v/>
      </c>
      <c r="M27" s="32" t="str">
        <f t="array" ref="M27">IFERROR(INDEX(INDIRECT(Config!$G$1), MATCH($A27, INDIRECT(Config!$H$1), 0), MATCH(M$1, INDIRECT(Config!$I$1), 0)), "")</f>
        <v/>
      </c>
      <c r="N27" s="35" t="str">
        <f t="array" ref="N27">IFERROR(INDEX(INDIRECT(Config!$G$1), MATCH($A27, INDIRECT(Config!$H$1), 0), MATCH(N$1, INDIRECT(Config!$I$1), 0)), "")</f>
        <v/>
      </c>
      <c r="O27" s="32" t="str">
        <f t="array" ref="O27">IFERROR(INDEX(INDIRECT(Config!$G$1), MATCH($A27, INDIRECT(Config!$H$1), 0), MATCH(O$1, INDIRECT(Config!$I$1), 0)), "")</f>
        <v/>
      </c>
      <c r="P27" s="35" t="str">
        <f t="array" ref="P27">IFERROR(INDEX(INDIRECT(Config!$G$1), MATCH($A27, INDIRECT(Config!$H$1), 0), MATCH(P$1, INDIRECT(Config!$I$1), 0)), "")</f>
        <v/>
      </c>
      <c r="Q27" s="32" t="str">
        <f t="array" ref="Q27">IFERROR(INDEX(INDIRECT(Config!$G$1), MATCH($A27, INDIRECT(Config!$H$1), 0), MATCH(Q$1, INDIRECT(Config!$I$1), 0)), "")</f>
        <v/>
      </c>
      <c r="R27" s="35" t="str">
        <f t="array" ref="R27">IFERROR(INDEX(INDIRECT(Config!$G$1), MATCH($A27, INDIRECT(Config!$H$1), 0), MATCH(R$1, INDIRECT(Config!$I$1), 0)), "")</f>
        <v/>
      </c>
      <c r="S27" s="32" t="str">
        <f t="array" ref="S27">IFERROR(INDEX(INDIRECT(Config!$G$1), MATCH($A27, INDIRECT(Config!$H$1), 0), MATCH(S$1, INDIRECT(Config!$I$1), 0)), "")</f>
        <v/>
      </c>
      <c r="T27" s="35" t="str">
        <f t="array" ref="T27">IFERROR(INDEX(INDIRECT(Config!$G$1), MATCH($A27, INDIRECT(Config!$H$1), 0), MATCH(T$1, INDIRECT(Config!$I$1), 0)), "")</f>
        <v/>
      </c>
      <c r="U27" s="32" t="str">
        <f t="array" ref="U27">IFERROR(INDEX(INDIRECT(Config!$G$1), MATCH($A27, INDIRECT(Config!$H$1), 0), MATCH(U$1, INDIRECT(Config!$I$1), 0)), "")</f>
        <v/>
      </c>
      <c r="V27" s="35" t="str">
        <f t="array" ref="V27">IFERROR(INDEX(INDIRECT(Config!$G$1), MATCH($A27, INDIRECT(Config!$H$1), 0), MATCH(V$1, INDIRECT(Config!$I$1), 0)), "")</f>
        <v/>
      </c>
      <c r="W27" s="32" t="str">
        <f t="array" ref="W27">IFERROR(INDEX(INDIRECT(Config!$G$1), MATCH($A27, INDIRECT(Config!$H$1), 0), MATCH(W$1, INDIRECT(Config!$I$1), 0)), "")</f>
        <v/>
      </c>
      <c r="X27" s="35" t="str">
        <f t="array" ref="X27">IFERROR(INDEX(INDIRECT(Config!$G$1), MATCH($A27, INDIRECT(Config!$H$1), 0), MATCH(X$1, INDIRECT(Config!$I$1), 0)), "")</f>
        <v/>
      </c>
      <c r="Y27" s="32" t="str">
        <f t="array" ref="Y27">IFERROR(INDEX(INDIRECT(Config!$G$1), MATCH($A27, INDIRECT(Config!$H$1), 0), MATCH(Y$1, INDIRECT(Config!$I$1), 0)), "")</f>
        <v/>
      </c>
      <c r="Z27" s="32" t="str">
        <f t="array" ref="Z27">IFERROR(INDEX(INDIRECT(Config!$G$1), MATCH($A27, INDIRECT(Config!$H$1), 0), MATCH(Z$1, INDIRECT(Config!$I$1), 0)), "")</f>
        <v/>
      </c>
      <c r="AA27" s="35" t="str">
        <f t="array" ref="AA27">IFERROR(INDEX(INDIRECT(Config!$G$1), MATCH($A27, INDIRECT(Config!$H$1), 0), MATCH(AA$1, INDIRECT(Config!$I$1), 0)), "")</f>
        <v/>
      </c>
      <c r="AB27" s="32" t="str">
        <f t="array" ref="AB27">IFERROR(INDEX(INDIRECT(Config!$G$1), MATCH($A27, INDIRECT(Config!$H$1), 0), MATCH(AB$1, INDIRECT(Config!$I$1), 0)), "")</f>
        <v/>
      </c>
      <c r="AC27" s="35" t="str">
        <f t="array" ref="AC27">IFERROR(INDEX(INDIRECT(Config!$G$1), MATCH($A27, INDIRECT(Config!$H$1), 0), MATCH(AC$1, INDIRECT(Config!$I$1), 0)), "")</f>
        <v/>
      </c>
      <c r="AD27" s="32" t="str">
        <f t="array" ref="AD27">IFERROR(INDEX(INDIRECT(Config!$G$1), MATCH($A27, INDIRECT(Config!$H$1), 0), MATCH(AD$1, INDIRECT(Config!$I$1), 0)), "")</f>
        <v/>
      </c>
      <c r="AE27" s="35" t="str">
        <f t="array" ref="AE27">IFERROR(INDEX(INDIRECT(Config!$G$1), MATCH($A27, INDIRECT(Config!$H$1), 0), MATCH(AE$1, INDIRECT(Config!$I$1), 0)), "")</f>
        <v/>
      </c>
      <c r="AF27" s="32" t="str">
        <f t="array" ref="AF27">IFERROR(INDEX(INDIRECT(Config!$G$1), MATCH($A27, INDIRECT(Config!$H$1), 0), MATCH(AF$1, INDIRECT(Config!$I$1), 0)), "")</f>
        <v/>
      </c>
      <c r="AG27" s="35" t="str">
        <f t="array" ref="AG27">IFERROR(INDEX(INDIRECT(Config!$G$1), MATCH($A27, INDIRECT(Config!$H$1), 0), MATCH(AG$1, INDIRECT(Config!$I$1), 0)), "")</f>
        <v/>
      </c>
      <c r="AH27" s="32" t="str">
        <f t="array" ref="AH27">IFERROR(INDEX(INDIRECT(Config!$G$1), MATCH($A27, INDIRECT(Config!$H$1), 0), MATCH(AH$1, INDIRECT(Config!$I$1), 0)), "")</f>
        <v/>
      </c>
      <c r="AI27" s="35" t="str">
        <f t="array" ref="AI27">IFERROR(INDEX(INDIRECT(Config!$G$1), MATCH($A27, INDIRECT(Config!$H$1), 0), MATCH(AI$1, INDIRECT(Config!$I$1), 0)), "")</f>
        <v/>
      </c>
      <c r="AJ27" s="32" t="str">
        <f t="array" ref="AJ27">IFERROR(INDEX(INDIRECT(Config!$G$1), MATCH($A27, INDIRECT(Config!$H$1), 0), MATCH(AJ$1, INDIRECT(Config!$I$1), 0)), "")</f>
        <v/>
      </c>
      <c r="AK27" s="35" t="str">
        <f t="array" ref="AK27">IFERROR(INDEX(INDIRECT(Config!$G$1), MATCH($A27, INDIRECT(Config!$H$1), 0), MATCH(AK$1, INDIRECT(Config!$I$1), 0)), "")</f>
        <v/>
      </c>
      <c r="AL27" s="32" t="str">
        <f t="array" ref="AL27">IFERROR(INDEX(INDIRECT(Config!$G$1), MATCH($A27, INDIRECT(Config!$H$1), 0), MATCH(AL$1, INDIRECT(Config!$I$1), 0)), "")</f>
        <v/>
      </c>
      <c r="AM27" s="35" t="str">
        <f t="array" ref="AM27">IFERROR(INDEX(INDIRECT(Config!$G$1), MATCH($A27, INDIRECT(Config!$H$1), 0), MATCH(AM$1, INDIRECT(Config!$I$1), 0)), "")</f>
        <v/>
      </c>
      <c r="AN27" s="32" t="str">
        <f t="array" ref="AN27">IFERROR(INDEX(INDIRECT(Config!$G$1), MATCH($A27, INDIRECT(Config!$H$1), 0), MATCH(AN$1, INDIRECT(Config!$I$1), 0)), "")</f>
        <v/>
      </c>
      <c r="AO27" s="35" t="str">
        <f t="array" ref="AO27">IFERROR(INDEX(INDIRECT(Config!$G$1), MATCH($A27, INDIRECT(Config!$H$1), 0), MATCH(AO$1, INDIRECT(Config!$I$1), 0)), "")</f>
        <v/>
      </c>
      <c r="AP27" s="32" t="str">
        <f t="array" ref="AP27">IFERROR(INDEX(INDIRECT(Config!$G$1), MATCH($A27, INDIRECT(Config!$H$1), 0), MATCH(AP$1, INDIRECT(Config!$I$1), 0)), "")</f>
        <v/>
      </c>
      <c r="AQ27" s="35" t="str">
        <f t="array" ref="AQ27">IFERROR(INDEX(INDIRECT(Config!$G$1), MATCH($A27, INDIRECT(Config!$H$1), 0), MATCH(AQ$1, INDIRECT(Config!$I$1), 0)), "")</f>
        <v/>
      </c>
      <c r="AR27" s="32" t="str">
        <f t="array" ref="AR27">IFERROR(INDEX(INDIRECT(Config!$G$1), MATCH($A27, INDIRECT(Config!$H$1), 0), MATCH(AR$1, INDIRECT(Config!$I$1), 0)), "")</f>
        <v/>
      </c>
      <c r="AS27" s="35" t="str">
        <f t="array" ref="AS27">IFERROR(INDEX(INDIRECT(Config!$G$1), MATCH($A27, INDIRECT(Config!$H$1), 0), MATCH(AS$1, INDIRECT(Config!$I$1), 0)), "")</f>
        <v/>
      </c>
      <c r="AT27" s="32" t="str">
        <f t="array" ref="AT27">IFERROR(INDEX(INDIRECT(Config!$G$1), MATCH($A27, INDIRECT(Config!$H$1), 0), MATCH(AT$1, INDIRECT(Config!$I$1), 0)), "")</f>
        <v/>
      </c>
      <c r="AU27" s="35" t="str">
        <f t="array" ref="AU27">IFERROR(INDEX(INDIRECT(Config!$G$1), MATCH($A27, INDIRECT(Config!$H$1), 0), MATCH(AU$1, INDIRECT(Config!$I$1), 0)), "")</f>
        <v/>
      </c>
      <c r="AV27" s="32" t="str">
        <f t="array" ref="AV27">IFERROR(INDEX(INDIRECT(Config!$G$1), MATCH($A27, INDIRECT(Config!$H$1), 0), MATCH(AV$1, INDIRECT(Config!$I$1), 0)), "")</f>
        <v/>
      </c>
      <c r="AW27" s="35"/>
      <c r="AX27" s="32"/>
      <c r="AY27" s="35"/>
    </row>
    <row r="28" ht="15.75" customHeight="1">
      <c r="A28" s="12" t="str">
        <f>Menus!R20</f>
        <v/>
      </c>
      <c r="B28" s="51">
        <f t="shared" si="5"/>
        <v>0</v>
      </c>
      <c r="C28" s="33" t="str">
        <f t="array" ref="C28">IFERROR(INDEX(INDIRECT(Config!$G$1), MATCH($A28, INDIRECT(Config!$H$1), 0), MATCH(C$1, INDIRECT(Config!$I$1), 0)), "")</f>
        <v/>
      </c>
      <c r="D28" s="34" t="str">
        <f t="array" ref="D28">IFERROR(INDEX(INDIRECT(Config!$G$1), MATCH($A28, INDIRECT(Config!$H$1), 0), MATCH(D$1, INDIRECT(Config!$I$1), 0)), "")</f>
        <v/>
      </c>
      <c r="E28" s="32" t="str">
        <f t="array" ref="E28">IFERROR(INDEX(INDIRECT(Config!$G$1), MATCH($A28, INDIRECT(Config!$H$1), 0), MATCH(E$1, INDIRECT(Config!$I$1), 0)), "")</f>
        <v/>
      </c>
      <c r="F28" s="35" t="str">
        <f t="array" ref="F28">IFERROR(INDEX(INDIRECT(Config!$G$1), MATCH($A28, INDIRECT(Config!$H$1), 0), MATCH(F$1, INDIRECT(Config!$I$1), 0)), "")</f>
        <v/>
      </c>
      <c r="G28" s="32" t="str">
        <f t="array" ref="G28">IFERROR(INDEX(INDIRECT(Config!$G$1), MATCH($A28, INDIRECT(Config!$H$1), 0), MATCH(G$1, INDIRECT(Config!$I$1), 0)), "")</f>
        <v/>
      </c>
      <c r="H28" s="35" t="str">
        <f t="array" ref="H28">IFERROR(INDEX(INDIRECT(Config!$G$1), MATCH($A28, INDIRECT(Config!$H$1), 0), MATCH(H$1, INDIRECT(Config!$I$1), 0)), "")</f>
        <v/>
      </c>
      <c r="I28" s="32" t="str">
        <f t="array" ref="I28">IFERROR(INDEX(INDIRECT(Config!$G$1), MATCH($A28, INDIRECT(Config!$H$1), 0), MATCH(I$1, INDIRECT(Config!$I$1), 0)), "")</f>
        <v/>
      </c>
      <c r="J28" s="35" t="str">
        <f t="array" ref="J28">IFERROR(INDEX(INDIRECT(Config!$G$1), MATCH($A28, INDIRECT(Config!$H$1), 0), MATCH(J$1, INDIRECT(Config!$I$1), 0)), "")</f>
        <v/>
      </c>
      <c r="K28" s="32" t="str">
        <f t="array" ref="K28">IFERROR(INDEX(INDIRECT(Config!$G$1), MATCH($A28, INDIRECT(Config!$H$1), 0), MATCH(K$1, INDIRECT(Config!$I$1), 0)), "")</f>
        <v/>
      </c>
      <c r="L28" s="35" t="str">
        <f t="array" ref="L28">IFERROR(INDEX(INDIRECT(Config!$G$1), MATCH($A28, INDIRECT(Config!$H$1), 0), MATCH(L$1, INDIRECT(Config!$I$1), 0)), "")</f>
        <v/>
      </c>
      <c r="M28" s="32" t="str">
        <f t="array" ref="M28">IFERROR(INDEX(INDIRECT(Config!$G$1), MATCH($A28, INDIRECT(Config!$H$1), 0), MATCH(M$1, INDIRECT(Config!$I$1), 0)), "")</f>
        <v/>
      </c>
      <c r="N28" s="35" t="str">
        <f t="array" ref="N28">IFERROR(INDEX(INDIRECT(Config!$G$1), MATCH($A28, INDIRECT(Config!$H$1), 0), MATCH(N$1, INDIRECT(Config!$I$1), 0)), "")</f>
        <v/>
      </c>
      <c r="O28" s="32" t="str">
        <f t="array" ref="O28">IFERROR(INDEX(INDIRECT(Config!$G$1), MATCH($A28, INDIRECT(Config!$H$1), 0), MATCH(O$1, INDIRECT(Config!$I$1), 0)), "")</f>
        <v/>
      </c>
      <c r="P28" s="35" t="str">
        <f t="array" ref="P28">IFERROR(INDEX(INDIRECT(Config!$G$1), MATCH($A28, INDIRECT(Config!$H$1), 0), MATCH(P$1, INDIRECT(Config!$I$1), 0)), "")</f>
        <v/>
      </c>
      <c r="Q28" s="32" t="str">
        <f t="array" ref="Q28">IFERROR(INDEX(INDIRECT(Config!$G$1), MATCH($A28, INDIRECT(Config!$H$1), 0), MATCH(Q$1, INDIRECT(Config!$I$1), 0)), "")</f>
        <v/>
      </c>
      <c r="R28" s="35" t="str">
        <f t="array" ref="R28">IFERROR(INDEX(INDIRECT(Config!$G$1), MATCH($A28, INDIRECT(Config!$H$1), 0), MATCH(R$1, INDIRECT(Config!$I$1), 0)), "")</f>
        <v/>
      </c>
      <c r="S28" s="32" t="str">
        <f t="array" ref="S28">IFERROR(INDEX(INDIRECT(Config!$G$1), MATCH($A28, INDIRECT(Config!$H$1), 0), MATCH(S$1, INDIRECT(Config!$I$1), 0)), "")</f>
        <v/>
      </c>
      <c r="T28" s="35" t="str">
        <f t="array" ref="T28">IFERROR(INDEX(INDIRECT(Config!$G$1), MATCH($A28, INDIRECT(Config!$H$1), 0), MATCH(T$1, INDIRECT(Config!$I$1), 0)), "")</f>
        <v/>
      </c>
      <c r="U28" s="32" t="str">
        <f t="array" ref="U28">IFERROR(INDEX(INDIRECT(Config!$G$1), MATCH($A28, INDIRECT(Config!$H$1), 0), MATCH(U$1, INDIRECT(Config!$I$1), 0)), "")</f>
        <v/>
      </c>
      <c r="V28" s="35" t="str">
        <f t="array" ref="V28">IFERROR(INDEX(INDIRECT(Config!$G$1), MATCH($A28, INDIRECT(Config!$H$1), 0), MATCH(V$1, INDIRECT(Config!$I$1), 0)), "")</f>
        <v/>
      </c>
      <c r="W28" s="32" t="str">
        <f t="array" ref="W28">IFERROR(INDEX(INDIRECT(Config!$G$1), MATCH($A28, INDIRECT(Config!$H$1), 0), MATCH(W$1, INDIRECT(Config!$I$1), 0)), "")</f>
        <v/>
      </c>
      <c r="X28" s="35" t="str">
        <f t="array" ref="X28">IFERROR(INDEX(INDIRECT(Config!$G$1), MATCH($A28, INDIRECT(Config!$H$1), 0), MATCH(X$1, INDIRECT(Config!$I$1), 0)), "")</f>
        <v/>
      </c>
      <c r="Y28" s="32" t="str">
        <f t="array" ref="Y28">IFERROR(INDEX(INDIRECT(Config!$G$1), MATCH($A28, INDIRECT(Config!$H$1), 0), MATCH(Y$1, INDIRECT(Config!$I$1), 0)), "")</f>
        <v/>
      </c>
      <c r="Z28" s="32" t="str">
        <f t="array" ref="Z28">IFERROR(INDEX(INDIRECT(Config!$G$1), MATCH($A28, INDIRECT(Config!$H$1), 0), MATCH(Z$1, INDIRECT(Config!$I$1), 0)), "")</f>
        <v/>
      </c>
      <c r="AA28" s="35" t="str">
        <f t="array" ref="AA28">IFERROR(INDEX(INDIRECT(Config!$G$1), MATCH($A28, INDIRECT(Config!$H$1), 0), MATCH(AA$1, INDIRECT(Config!$I$1), 0)), "")</f>
        <v/>
      </c>
      <c r="AB28" s="32" t="str">
        <f t="array" ref="AB28">IFERROR(INDEX(INDIRECT(Config!$G$1), MATCH($A28, INDIRECT(Config!$H$1), 0), MATCH(AB$1, INDIRECT(Config!$I$1), 0)), "")</f>
        <v/>
      </c>
      <c r="AC28" s="35" t="str">
        <f t="array" ref="AC28">IFERROR(INDEX(INDIRECT(Config!$G$1), MATCH($A28, INDIRECT(Config!$H$1), 0), MATCH(AC$1, INDIRECT(Config!$I$1), 0)), "")</f>
        <v/>
      </c>
      <c r="AD28" s="32" t="str">
        <f t="array" ref="AD28">IFERROR(INDEX(INDIRECT(Config!$G$1), MATCH($A28, INDIRECT(Config!$H$1), 0), MATCH(AD$1, INDIRECT(Config!$I$1), 0)), "")</f>
        <v/>
      </c>
      <c r="AE28" s="35" t="str">
        <f t="array" ref="AE28">IFERROR(INDEX(INDIRECT(Config!$G$1), MATCH($A28, INDIRECT(Config!$H$1), 0), MATCH(AE$1, INDIRECT(Config!$I$1), 0)), "")</f>
        <v/>
      </c>
      <c r="AF28" s="32" t="str">
        <f t="array" ref="AF28">IFERROR(INDEX(INDIRECT(Config!$G$1), MATCH($A28, INDIRECT(Config!$H$1), 0), MATCH(AF$1, INDIRECT(Config!$I$1), 0)), "")</f>
        <v/>
      </c>
      <c r="AG28" s="35" t="str">
        <f t="array" ref="AG28">IFERROR(INDEX(INDIRECT(Config!$G$1), MATCH($A28, INDIRECT(Config!$H$1), 0), MATCH(AG$1, INDIRECT(Config!$I$1), 0)), "")</f>
        <v/>
      </c>
      <c r="AH28" s="32" t="str">
        <f t="array" ref="AH28">IFERROR(INDEX(INDIRECT(Config!$G$1), MATCH($A28, INDIRECT(Config!$H$1), 0), MATCH(AH$1, INDIRECT(Config!$I$1), 0)), "")</f>
        <v/>
      </c>
      <c r="AI28" s="35" t="str">
        <f t="array" ref="AI28">IFERROR(INDEX(INDIRECT(Config!$G$1), MATCH($A28, INDIRECT(Config!$H$1), 0), MATCH(AI$1, INDIRECT(Config!$I$1), 0)), "")</f>
        <v/>
      </c>
      <c r="AJ28" s="32" t="str">
        <f t="array" ref="AJ28">IFERROR(INDEX(INDIRECT(Config!$G$1), MATCH($A28, INDIRECT(Config!$H$1), 0), MATCH(AJ$1, INDIRECT(Config!$I$1), 0)), "")</f>
        <v/>
      </c>
      <c r="AK28" s="35" t="str">
        <f t="array" ref="AK28">IFERROR(INDEX(INDIRECT(Config!$G$1), MATCH($A28, INDIRECT(Config!$H$1), 0), MATCH(AK$1, INDIRECT(Config!$I$1), 0)), "")</f>
        <v/>
      </c>
      <c r="AL28" s="32" t="str">
        <f t="array" ref="AL28">IFERROR(INDEX(INDIRECT(Config!$G$1), MATCH($A28, INDIRECT(Config!$H$1), 0), MATCH(AL$1, INDIRECT(Config!$I$1), 0)), "")</f>
        <v/>
      </c>
      <c r="AM28" s="35" t="str">
        <f t="array" ref="AM28">IFERROR(INDEX(INDIRECT(Config!$G$1), MATCH($A28, INDIRECT(Config!$H$1), 0), MATCH(AM$1, INDIRECT(Config!$I$1), 0)), "")</f>
        <v/>
      </c>
      <c r="AN28" s="32" t="str">
        <f t="array" ref="AN28">IFERROR(INDEX(INDIRECT(Config!$G$1), MATCH($A28, INDIRECT(Config!$H$1), 0), MATCH(AN$1, INDIRECT(Config!$I$1), 0)), "")</f>
        <v/>
      </c>
      <c r="AO28" s="35" t="str">
        <f t="array" ref="AO28">IFERROR(INDEX(INDIRECT(Config!$G$1), MATCH($A28, INDIRECT(Config!$H$1), 0), MATCH(AO$1, INDIRECT(Config!$I$1), 0)), "")</f>
        <v/>
      </c>
      <c r="AP28" s="32" t="str">
        <f t="array" ref="AP28">IFERROR(INDEX(INDIRECT(Config!$G$1), MATCH($A28, INDIRECT(Config!$H$1), 0), MATCH(AP$1, INDIRECT(Config!$I$1), 0)), "")</f>
        <v/>
      </c>
      <c r="AQ28" s="35" t="str">
        <f t="array" ref="AQ28">IFERROR(INDEX(INDIRECT(Config!$G$1), MATCH($A28, INDIRECT(Config!$H$1), 0), MATCH(AQ$1, INDIRECT(Config!$I$1), 0)), "")</f>
        <v/>
      </c>
      <c r="AR28" s="32" t="str">
        <f t="array" ref="AR28">IFERROR(INDEX(INDIRECT(Config!$G$1), MATCH($A28, INDIRECT(Config!$H$1), 0), MATCH(AR$1, INDIRECT(Config!$I$1), 0)), "")</f>
        <v/>
      </c>
      <c r="AS28" s="35" t="str">
        <f t="array" ref="AS28">IFERROR(INDEX(INDIRECT(Config!$G$1), MATCH($A28, INDIRECT(Config!$H$1), 0), MATCH(AS$1, INDIRECT(Config!$I$1), 0)), "")</f>
        <v/>
      </c>
      <c r="AT28" s="32" t="str">
        <f t="array" ref="AT28">IFERROR(INDEX(INDIRECT(Config!$G$1), MATCH($A28, INDIRECT(Config!$H$1), 0), MATCH(AT$1, INDIRECT(Config!$I$1), 0)), "")</f>
        <v/>
      </c>
      <c r="AU28" s="35" t="str">
        <f t="array" ref="AU28">IFERROR(INDEX(INDIRECT(Config!$G$1), MATCH($A28, INDIRECT(Config!$H$1), 0), MATCH(AU$1, INDIRECT(Config!$I$1), 0)), "")</f>
        <v/>
      </c>
      <c r="AV28" s="32" t="str">
        <f t="array" ref="AV28">IFERROR(INDEX(INDIRECT(Config!$G$1), MATCH($A28, INDIRECT(Config!$H$1), 0), MATCH(AV$1, INDIRECT(Config!$I$1), 0)), "")</f>
        <v/>
      </c>
      <c r="AW28" s="35"/>
      <c r="AX28" s="32"/>
      <c r="AY28" s="35"/>
    </row>
    <row r="29" ht="15.75" hidden="1" customHeight="1">
      <c r="A29" s="12" t="str">
        <f>Menus!R21</f>
        <v/>
      </c>
      <c r="B29" s="51">
        <f t="shared" si="5"/>
        <v>0</v>
      </c>
      <c r="C29" s="33" t="str">
        <f t="array" ref="C29">IFERROR(INDEX(INDIRECT(Config!$G$1), MATCH($A29, INDIRECT(Config!$H$1), 0), MATCH(C$1, INDIRECT(Config!$I$1), 0)), "")</f>
        <v/>
      </c>
      <c r="D29" s="34" t="str">
        <f t="array" ref="D29">IFERROR(INDEX(INDIRECT(Config!$G$1), MATCH($A29, INDIRECT(Config!$H$1), 0), MATCH(D$1, INDIRECT(Config!$I$1), 0)), "")</f>
        <v/>
      </c>
      <c r="E29" s="32" t="str">
        <f t="array" ref="E29">IFERROR(INDEX(INDIRECT(Config!$G$1), MATCH($A29, INDIRECT(Config!$H$1), 0), MATCH(E$1, INDIRECT(Config!$I$1), 0)), "")</f>
        <v/>
      </c>
      <c r="F29" s="35" t="str">
        <f t="array" ref="F29">IFERROR(INDEX(INDIRECT(Config!$G$1), MATCH($A29, INDIRECT(Config!$H$1), 0), MATCH(F$1, INDIRECT(Config!$I$1), 0)), "")</f>
        <v/>
      </c>
      <c r="G29" s="32" t="str">
        <f t="array" ref="G29">IFERROR(INDEX(INDIRECT(Config!$G$1), MATCH($A29, INDIRECT(Config!$H$1), 0), MATCH(G$1, INDIRECT(Config!$I$1), 0)), "")</f>
        <v/>
      </c>
      <c r="H29" s="35" t="str">
        <f t="array" ref="H29">IFERROR(INDEX(INDIRECT(Config!$G$1), MATCH($A29, INDIRECT(Config!$H$1), 0), MATCH(H$1, INDIRECT(Config!$I$1), 0)), "")</f>
        <v/>
      </c>
      <c r="I29" s="32" t="str">
        <f t="array" ref="I29">IFERROR(INDEX(INDIRECT(Config!$G$1), MATCH($A29, INDIRECT(Config!$H$1), 0), MATCH(I$1, INDIRECT(Config!$I$1), 0)), "")</f>
        <v/>
      </c>
      <c r="J29" s="35" t="str">
        <f t="array" ref="J29">IFERROR(INDEX(INDIRECT(Config!$G$1), MATCH($A29, INDIRECT(Config!$H$1), 0), MATCH(J$1, INDIRECT(Config!$I$1), 0)), "")</f>
        <v/>
      </c>
      <c r="K29" s="32" t="str">
        <f t="array" ref="K29">IFERROR(INDEX(INDIRECT(Config!$G$1), MATCH($A29, INDIRECT(Config!$H$1), 0), MATCH(K$1, INDIRECT(Config!$I$1), 0)), "")</f>
        <v/>
      </c>
      <c r="L29" s="35" t="str">
        <f t="array" ref="L29">IFERROR(INDEX(INDIRECT(Config!$G$1), MATCH($A29, INDIRECT(Config!$H$1), 0), MATCH(L$1, INDIRECT(Config!$I$1), 0)), "")</f>
        <v/>
      </c>
      <c r="M29" s="32" t="str">
        <f t="array" ref="M29">IFERROR(INDEX(INDIRECT(Config!$G$1), MATCH($A29, INDIRECT(Config!$H$1), 0), MATCH(M$1, INDIRECT(Config!$I$1), 0)), "")</f>
        <v/>
      </c>
      <c r="N29" s="35" t="str">
        <f t="array" ref="N29">IFERROR(INDEX(INDIRECT(Config!$G$1), MATCH($A29, INDIRECT(Config!$H$1), 0), MATCH(N$1, INDIRECT(Config!$I$1), 0)), "")</f>
        <v/>
      </c>
      <c r="O29" s="32" t="str">
        <f t="array" ref="O29">IFERROR(INDEX(INDIRECT(Config!$G$1), MATCH($A29, INDIRECT(Config!$H$1), 0), MATCH(O$1, INDIRECT(Config!$I$1), 0)), "")</f>
        <v/>
      </c>
      <c r="P29" s="35" t="str">
        <f t="array" ref="P29">IFERROR(INDEX(INDIRECT(Config!$G$1), MATCH($A29, INDIRECT(Config!$H$1), 0), MATCH(P$1, INDIRECT(Config!$I$1), 0)), "")</f>
        <v/>
      </c>
      <c r="Q29" s="32" t="str">
        <f t="array" ref="Q29">IFERROR(INDEX(INDIRECT(Config!$G$1), MATCH($A29, INDIRECT(Config!$H$1), 0), MATCH(Q$1, INDIRECT(Config!$I$1), 0)), "")</f>
        <v/>
      </c>
      <c r="R29" s="35" t="str">
        <f t="array" ref="R29">IFERROR(INDEX(INDIRECT(Config!$G$1), MATCH($A29, INDIRECT(Config!$H$1), 0), MATCH(R$1, INDIRECT(Config!$I$1), 0)), "")</f>
        <v/>
      </c>
      <c r="S29" s="32" t="str">
        <f t="array" ref="S29">IFERROR(INDEX(INDIRECT(Config!$G$1), MATCH($A29, INDIRECT(Config!$H$1), 0), MATCH(S$1, INDIRECT(Config!$I$1), 0)), "")</f>
        <v/>
      </c>
      <c r="T29" s="35" t="str">
        <f t="array" ref="T29">IFERROR(INDEX(INDIRECT(Config!$G$1), MATCH($A29, INDIRECT(Config!$H$1), 0), MATCH(T$1, INDIRECT(Config!$I$1), 0)), "")</f>
        <v/>
      </c>
      <c r="U29" s="32" t="str">
        <f t="array" ref="U29">IFERROR(INDEX(INDIRECT(Config!$G$1), MATCH($A29, INDIRECT(Config!$H$1), 0), MATCH(U$1, INDIRECT(Config!$I$1), 0)), "")</f>
        <v/>
      </c>
      <c r="V29" s="35" t="str">
        <f t="array" ref="V29">IFERROR(INDEX(INDIRECT(Config!$G$1), MATCH($A29, INDIRECT(Config!$H$1), 0), MATCH(V$1, INDIRECT(Config!$I$1), 0)), "")</f>
        <v/>
      </c>
      <c r="W29" s="32" t="str">
        <f t="array" ref="W29">IFERROR(INDEX(INDIRECT(Config!$G$1), MATCH($A29, INDIRECT(Config!$H$1), 0), MATCH(W$1, INDIRECT(Config!$I$1), 0)), "")</f>
        <v/>
      </c>
      <c r="X29" s="35" t="str">
        <f t="array" ref="X29">IFERROR(INDEX(INDIRECT(Config!$G$1), MATCH($A29, INDIRECT(Config!$H$1), 0), MATCH(X$1, INDIRECT(Config!$I$1), 0)), "")</f>
        <v/>
      </c>
      <c r="Y29" s="32" t="str">
        <f t="array" ref="Y29">IFERROR(INDEX(INDIRECT(Config!$G$1), MATCH($A29, INDIRECT(Config!$H$1), 0), MATCH(Y$1, INDIRECT(Config!$I$1), 0)), "")</f>
        <v/>
      </c>
      <c r="Z29" s="32" t="str">
        <f t="array" ref="Z29">IFERROR(INDEX(INDIRECT(Config!$G$1), MATCH($A29, INDIRECT(Config!$H$1), 0), MATCH(Z$1, INDIRECT(Config!$I$1), 0)), "")</f>
        <v/>
      </c>
      <c r="AA29" s="35" t="str">
        <f t="array" ref="AA29">IFERROR(INDEX(INDIRECT(Config!$G$1), MATCH($A29, INDIRECT(Config!$H$1), 0), MATCH(AA$1, INDIRECT(Config!$I$1), 0)), "")</f>
        <v/>
      </c>
      <c r="AB29" s="32" t="str">
        <f t="array" ref="AB29">IFERROR(INDEX(INDIRECT(Config!$G$1), MATCH($A29, INDIRECT(Config!$H$1), 0), MATCH(AB$1, INDIRECT(Config!$I$1), 0)), "")</f>
        <v/>
      </c>
      <c r="AC29" s="35" t="str">
        <f t="array" ref="AC29">IFERROR(INDEX(INDIRECT(Config!$G$1), MATCH($A29, INDIRECT(Config!$H$1), 0), MATCH(AC$1, INDIRECT(Config!$I$1), 0)), "")</f>
        <v/>
      </c>
      <c r="AD29" s="32" t="str">
        <f t="array" ref="AD29">IFERROR(INDEX(INDIRECT(Config!$G$1), MATCH($A29, INDIRECT(Config!$H$1), 0), MATCH(AD$1, INDIRECT(Config!$I$1), 0)), "")</f>
        <v/>
      </c>
      <c r="AE29" s="35" t="str">
        <f t="array" ref="AE29">IFERROR(INDEX(INDIRECT(Config!$G$1), MATCH($A29, INDIRECT(Config!$H$1), 0), MATCH(AE$1, INDIRECT(Config!$I$1), 0)), "")</f>
        <v/>
      </c>
      <c r="AF29" s="32" t="str">
        <f t="array" ref="AF29">IFERROR(INDEX(INDIRECT(Config!$G$1), MATCH($A29, INDIRECT(Config!$H$1), 0), MATCH(AF$1, INDIRECT(Config!$I$1), 0)), "")</f>
        <v/>
      </c>
      <c r="AG29" s="35" t="str">
        <f t="array" ref="AG29">IFERROR(INDEX(INDIRECT(Config!$G$1), MATCH($A29, INDIRECT(Config!$H$1), 0), MATCH(AG$1, INDIRECT(Config!$I$1), 0)), "")</f>
        <v/>
      </c>
      <c r="AH29" s="32" t="str">
        <f t="array" ref="AH29">IFERROR(INDEX(INDIRECT(Config!$G$1), MATCH($A29, INDIRECT(Config!$H$1), 0), MATCH(AH$1, INDIRECT(Config!$I$1), 0)), "")</f>
        <v/>
      </c>
      <c r="AI29" s="35" t="str">
        <f t="array" ref="AI29">IFERROR(INDEX(INDIRECT(Config!$G$1), MATCH($A29, INDIRECT(Config!$H$1), 0), MATCH(AI$1, INDIRECT(Config!$I$1), 0)), "")</f>
        <v/>
      </c>
      <c r="AJ29" s="32" t="str">
        <f t="array" ref="AJ29">IFERROR(INDEX(INDIRECT(Config!$G$1), MATCH($A29, INDIRECT(Config!$H$1), 0), MATCH(AJ$1, INDIRECT(Config!$I$1), 0)), "")</f>
        <v/>
      </c>
      <c r="AK29" s="35" t="str">
        <f t="array" ref="AK29">IFERROR(INDEX(INDIRECT(Config!$G$1), MATCH($A29, INDIRECT(Config!$H$1), 0), MATCH(AK$1, INDIRECT(Config!$I$1), 0)), "")</f>
        <v/>
      </c>
      <c r="AL29" s="32" t="str">
        <f t="array" ref="AL29">IFERROR(INDEX(INDIRECT(Config!$G$1), MATCH($A29, INDIRECT(Config!$H$1), 0), MATCH(AL$1, INDIRECT(Config!$I$1), 0)), "")</f>
        <v/>
      </c>
      <c r="AM29" s="35" t="str">
        <f t="array" ref="AM29">IFERROR(INDEX(INDIRECT(Config!$G$1), MATCH($A29, INDIRECT(Config!$H$1), 0), MATCH(AM$1, INDIRECT(Config!$I$1), 0)), "")</f>
        <v/>
      </c>
      <c r="AN29" s="32" t="str">
        <f t="array" ref="AN29">IFERROR(INDEX(INDIRECT(Config!$G$1), MATCH($A29, INDIRECT(Config!$H$1), 0), MATCH(AN$1, INDIRECT(Config!$I$1), 0)), "")</f>
        <v/>
      </c>
      <c r="AO29" s="35" t="str">
        <f t="array" ref="AO29">IFERROR(INDEX(INDIRECT(Config!$G$1), MATCH($A29, INDIRECT(Config!$H$1), 0), MATCH(AO$1, INDIRECT(Config!$I$1), 0)), "")</f>
        <v/>
      </c>
      <c r="AP29" s="32" t="str">
        <f t="array" ref="AP29">IFERROR(INDEX(INDIRECT(Config!$G$1), MATCH($A29, INDIRECT(Config!$H$1), 0), MATCH(AP$1, INDIRECT(Config!$I$1), 0)), "")</f>
        <v/>
      </c>
      <c r="AQ29" s="35" t="str">
        <f t="array" ref="AQ29">IFERROR(INDEX(INDIRECT(Config!$G$1), MATCH($A29, INDIRECT(Config!$H$1), 0), MATCH(AQ$1, INDIRECT(Config!$I$1), 0)), "")</f>
        <v/>
      </c>
      <c r="AR29" s="32" t="str">
        <f t="array" ref="AR29">IFERROR(INDEX(INDIRECT(Config!$G$1), MATCH($A29, INDIRECT(Config!$H$1), 0), MATCH(AR$1, INDIRECT(Config!$I$1), 0)), "")</f>
        <v/>
      </c>
      <c r="AS29" s="35" t="str">
        <f t="array" ref="AS29">IFERROR(INDEX(INDIRECT(Config!$G$1), MATCH($A29, INDIRECT(Config!$H$1), 0), MATCH(AS$1, INDIRECT(Config!$I$1), 0)), "")</f>
        <v/>
      </c>
      <c r="AT29" s="32" t="str">
        <f t="array" ref="AT29">IFERROR(INDEX(INDIRECT(Config!$G$1), MATCH($A29, INDIRECT(Config!$H$1), 0), MATCH(AT$1, INDIRECT(Config!$I$1), 0)), "")</f>
        <v/>
      </c>
      <c r="AU29" s="35" t="str">
        <f t="array" ref="AU29">IFERROR(INDEX(INDIRECT(Config!$G$1), MATCH($A29, INDIRECT(Config!$H$1), 0), MATCH(AU$1, INDIRECT(Config!$I$1), 0)), "")</f>
        <v/>
      </c>
      <c r="AV29" s="32" t="str">
        <f t="array" ref="AV29">IFERROR(INDEX(INDIRECT(Config!$G$1), MATCH($A29, INDIRECT(Config!$H$1), 0), MATCH(AV$1, INDIRECT(Config!$I$1), 0)), "")</f>
        <v/>
      </c>
      <c r="AW29" s="35"/>
      <c r="AX29" s="32"/>
      <c r="AY29" s="35"/>
    </row>
    <row r="30" ht="15.75" hidden="1" customHeight="1">
      <c r="A30" s="12" t="str">
        <f>Menus!R22</f>
        <v/>
      </c>
      <c r="B30" s="51">
        <f t="shared" si="5"/>
        <v>0</v>
      </c>
      <c r="C30" s="33" t="str">
        <f t="array" ref="C30">IFERROR(INDEX(INDIRECT(Config!$G$1), MATCH($A30, INDIRECT(Config!$H$1), 0), MATCH(C$1, INDIRECT(Config!$I$1), 0)), "")</f>
        <v/>
      </c>
      <c r="D30" s="34" t="str">
        <f t="array" ref="D30">IFERROR(INDEX(INDIRECT(Config!$G$1), MATCH($A30, INDIRECT(Config!$H$1), 0), MATCH(D$1, INDIRECT(Config!$I$1), 0)), "")</f>
        <v/>
      </c>
      <c r="E30" s="32" t="str">
        <f t="array" ref="E30">IFERROR(INDEX(INDIRECT(Config!$G$1), MATCH($A30, INDIRECT(Config!$H$1), 0), MATCH(E$1, INDIRECT(Config!$I$1), 0)), "")</f>
        <v/>
      </c>
      <c r="F30" s="35" t="str">
        <f t="array" ref="F30">IFERROR(INDEX(INDIRECT(Config!$G$1), MATCH($A30, INDIRECT(Config!$H$1), 0), MATCH(F$1, INDIRECT(Config!$I$1), 0)), "")</f>
        <v/>
      </c>
      <c r="G30" s="32" t="str">
        <f t="array" ref="G30">IFERROR(INDEX(INDIRECT(Config!$G$1), MATCH($A30, INDIRECT(Config!$H$1), 0), MATCH(G$1, INDIRECT(Config!$I$1), 0)), "")</f>
        <v/>
      </c>
      <c r="H30" s="35" t="str">
        <f t="array" ref="H30">IFERROR(INDEX(INDIRECT(Config!$G$1), MATCH($A30, INDIRECT(Config!$H$1), 0), MATCH(H$1, INDIRECT(Config!$I$1), 0)), "")</f>
        <v/>
      </c>
      <c r="I30" s="32" t="str">
        <f t="array" ref="I30">IFERROR(INDEX(INDIRECT(Config!$G$1), MATCH($A30, INDIRECT(Config!$H$1), 0), MATCH(I$1, INDIRECT(Config!$I$1), 0)), "")</f>
        <v/>
      </c>
      <c r="J30" s="35" t="str">
        <f t="array" ref="J30">IFERROR(INDEX(INDIRECT(Config!$G$1), MATCH($A30, INDIRECT(Config!$H$1), 0), MATCH(J$1, INDIRECT(Config!$I$1), 0)), "")</f>
        <v/>
      </c>
      <c r="K30" s="32" t="str">
        <f t="array" ref="K30">IFERROR(INDEX(INDIRECT(Config!$G$1), MATCH($A30, INDIRECT(Config!$H$1), 0), MATCH(K$1, INDIRECT(Config!$I$1), 0)), "")</f>
        <v/>
      </c>
      <c r="L30" s="35" t="str">
        <f t="array" ref="L30">IFERROR(INDEX(INDIRECT(Config!$G$1), MATCH($A30, INDIRECT(Config!$H$1), 0), MATCH(L$1, INDIRECT(Config!$I$1), 0)), "")</f>
        <v/>
      </c>
      <c r="M30" s="32" t="str">
        <f t="array" ref="M30">IFERROR(INDEX(INDIRECT(Config!$G$1), MATCH($A30, INDIRECT(Config!$H$1), 0), MATCH(M$1, INDIRECT(Config!$I$1), 0)), "")</f>
        <v/>
      </c>
      <c r="N30" s="35" t="str">
        <f t="array" ref="N30">IFERROR(INDEX(INDIRECT(Config!$G$1), MATCH($A30, INDIRECT(Config!$H$1), 0), MATCH(N$1, INDIRECT(Config!$I$1), 0)), "")</f>
        <v/>
      </c>
      <c r="O30" s="32" t="str">
        <f t="array" ref="O30">IFERROR(INDEX(INDIRECT(Config!$G$1), MATCH($A30, INDIRECT(Config!$H$1), 0), MATCH(O$1, INDIRECT(Config!$I$1), 0)), "")</f>
        <v/>
      </c>
      <c r="P30" s="35" t="str">
        <f t="array" ref="P30">IFERROR(INDEX(INDIRECT(Config!$G$1), MATCH($A30, INDIRECT(Config!$H$1), 0), MATCH(P$1, INDIRECT(Config!$I$1), 0)), "")</f>
        <v/>
      </c>
      <c r="Q30" s="32" t="str">
        <f t="array" ref="Q30">IFERROR(INDEX(INDIRECT(Config!$G$1), MATCH($A30, INDIRECT(Config!$H$1), 0), MATCH(Q$1, INDIRECT(Config!$I$1), 0)), "")</f>
        <v/>
      </c>
      <c r="R30" s="35" t="str">
        <f t="array" ref="R30">IFERROR(INDEX(INDIRECT(Config!$G$1), MATCH($A30, INDIRECT(Config!$H$1), 0), MATCH(R$1, INDIRECT(Config!$I$1), 0)), "")</f>
        <v/>
      </c>
      <c r="S30" s="32" t="str">
        <f t="array" ref="S30">IFERROR(INDEX(INDIRECT(Config!$G$1), MATCH($A30, INDIRECT(Config!$H$1), 0), MATCH(S$1, INDIRECT(Config!$I$1), 0)), "")</f>
        <v/>
      </c>
      <c r="T30" s="35" t="str">
        <f t="array" ref="T30">IFERROR(INDEX(INDIRECT(Config!$G$1), MATCH($A30, INDIRECT(Config!$H$1), 0), MATCH(T$1, INDIRECT(Config!$I$1), 0)), "")</f>
        <v/>
      </c>
      <c r="U30" s="32" t="str">
        <f t="array" ref="U30">IFERROR(INDEX(INDIRECT(Config!$G$1), MATCH($A30, INDIRECT(Config!$H$1), 0), MATCH(U$1, INDIRECT(Config!$I$1), 0)), "")</f>
        <v/>
      </c>
      <c r="V30" s="35" t="str">
        <f t="array" ref="V30">IFERROR(INDEX(INDIRECT(Config!$G$1), MATCH($A30, INDIRECT(Config!$H$1), 0), MATCH(V$1, INDIRECT(Config!$I$1), 0)), "")</f>
        <v/>
      </c>
      <c r="W30" s="32" t="str">
        <f t="array" ref="W30">IFERROR(INDEX(INDIRECT(Config!$G$1), MATCH($A30, INDIRECT(Config!$H$1), 0), MATCH(W$1, INDIRECT(Config!$I$1), 0)), "")</f>
        <v/>
      </c>
      <c r="X30" s="35" t="str">
        <f t="array" ref="X30">IFERROR(INDEX(INDIRECT(Config!$G$1), MATCH($A30, INDIRECT(Config!$H$1), 0), MATCH(X$1, INDIRECT(Config!$I$1), 0)), "")</f>
        <v/>
      </c>
      <c r="Y30" s="32" t="str">
        <f t="array" ref="Y30">IFERROR(INDEX(INDIRECT(Config!$G$1), MATCH($A30, INDIRECT(Config!$H$1), 0), MATCH(Y$1, INDIRECT(Config!$I$1), 0)), "")</f>
        <v/>
      </c>
      <c r="Z30" s="32" t="str">
        <f t="array" ref="Z30">IFERROR(INDEX(INDIRECT(Config!$G$1), MATCH($A30, INDIRECT(Config!$H$1), 0), MATCH(Z$1, INDIRECT(Config!$I$1), 0)), "")</f>
        <v/>
      </c>
      <c r="AA30" s="35" t="str">
        <f t="array" ref="AA30">IFERROR(INDEX(INDIRECT(Config!$G$1), MATCH($A30, INDIRECT(Config!$H$1), 0), MATCH(AA$1, INDIRECT(Config!$I$1), 0)), "")</f>
        <v/>
      </c>
      <c r="AB30" s="32" t="str">
        <f t="array" ref="AB30">IFERROR(INDEX(INDIRECT(Config!$G$1), MATCH($A30, INDIRECT(Config!$H$1), 0), MATCH(AB$1, INDIRECT(Config!$I$1), 0)), "")</f>
        <v/>
      </c>
      <c r="AC30" s="35" t="str">
        <f t="array" ref="AC30">IFERROR(INDEX(INDIRECT(Config!$G$1), MATCH($A30, INDIRECT(Config!$H$1), 0), MATCH(AC$1, INDIRECT(Config!$I$1), 0)), "")</f>
        <v/>
      </c>
      <c r="AD30" s="32" t="str">
        <f t="array" ref="AD30">IFERROR(INDEX(INDIRECT(Config!$G$1), MATCH($A30, INDIRECT(Config!$H$1), 0), MATCH(AD$1, INDIRECT(Config!$I$1), 0)), "")</f>
        <v/>
      </c>
      <c r="AE30" s="35" t="str">
        <f t="array" ref="AE30">IFERROR(INDEX(INDIRECT(Config!$G$1), MATCH($A30, INDIRECT(Config!$H$1), 0), MATCH(AE$1, INDIRECT(Config!$I$1), 0)), "")</f>
        <v/>
      </c>
      <c r="AF30" s="32" t="str">
        <f t="array" ref="AF30">IFERROR(INDEX(INDIRECT(Config!$G$1), MATCH($A30, INDIRECT(Config!$H$1), 0), MATCH(AF$1, INDIRECT(Config!$I$1), 0)), "")</f>
        <v/>
      </c>
      <c r="AG30" s="35" t="str">
        <f t="array" ref="AG30">IFERROR(INDEX(INDIRECT(Config!$G$1), MATCH($A30, INDIRECT(Config!$H$1), 0), MATCH(AG$1, INDIRECT(Config!$I$1), 0)), "")</f>
        <v/>
      </c>
      <c r="AH30" s="32" t="str">
        <f t="array" ref="AH30">IFERROR(INDEX(INDIRECT(Config!$G$1), MATCH($A30, INDIRECT(Config!$H$1), 0), MATCH(AH$1, INDIRECT(Config!$I$1), 0)), "")</f>
        <v/>
      </c>
      <c r="AI30" s="35" t="str">
        <f t="array" ref="AI30">IFERROR(INDEX(INDIRECT(Config!$G$1), MATCH($A30, INDIRECT(Config!$H$1), 0), MATCH(AI$1, INDIRECT(Config!$I$1), 0)), "")</f>
        <v/>
      </c>
      <c r="AJ30" s="32" t="str">
        <f t="array" ref="AJ30">IFERROR(INDEX(INDIRECT(Config!$G$1), MATCH($A30, INDIRECT(Config!$H$1), 0), MATCH(AJ$1, INDIRECT(Config!$I$1), 0)), "")</f>
        <v/>
      </c>
      <c r="AK30" s="35" t="str">
        <f t="array" ref="AK30">IFERROR(INDEX(INDIRECT(Config!$G$1), MATCH($A30, INDIRECT(Config!$H$1), 0), MATCH(AK$1, INDIRECT(Config!$I$1), 0)), "")</f>
        <v/>
      </c>
      <c r="AL30" s="32" t="str">
        <f t="array" ref="AL30">IFERROR(INDEX(INDIRECT(Config!$G$1), MATCH($A30, INDIRECT(Config!$H$1), 0), MATCH(AL$1, INDIRECT(Config!$I$1), 0)), "")</f>
        <v/>
      </c>
      <c r="AM30" s="35" t="str">
        <f t="array" ref="AM30">IFERROR(INDEX(INDIRECT(Config!$G$1), MATCH($A30, INDIRECT(Config!$H$1), 0), MATCH(AM$1, INDIRECT(Config!$I$1), 0)), "")</f>
        <v/>
      </c>
      <c r="AN30" s="32" t="str">
        <f t="array" ref="AN30">IFERROR(INDEX(INDIRECT(Config!$G$1), MATCH($A30, INDIRECT(Config!$H$1), 0), MATCH(AN$1, INDIRECT(Config!$I$1), 0)), "")</f>
        <v/>
      </c>
      <c r="AO30" s="35" t="str">
        <f t="array" ref="AO30">IFERROR(INDEX(INDIRECT(Config!$G$1), MATCH($A30, INDIRECT(Config!$H$1), 0), MATCH(AO$1, INDIRECT(Config!$I$1), 0)), "")</f>
        <v/>
      </c>
      <c r="AP30" s="32" t="str">
        <f t="array" ref="AP30">IFERROR(INDEX(INDIRECT(Config!$G$1), MATCH($A30, INDIRECT(Config!$H$1), 0), MATCH(AP$1, INDIRECT(Config!$I$1), 0)), "")</f>
        <v/>
      </c>
      <c r="AQ30" s="35" t="str">
        <f t="array" ref="AQ30">IFERROR(INDEX(INDIRECT(Config!$G$1), MATCH($A30, INDIRECT(Config!$H$1), 0), MATCH(AQ$1, INDIRECT(Config!$I$1), 0)), "")</f>
        <v/>
      </c>
      <c r="AR30" s="32" t="str">
        <f t="array" ref="AR30">IFERROR(INDEX(INDIRECT(Config!$G$1), MATCH($A30, INDIRECT(Config!$H$1), 0), MATCH(AR$1, INDIRECT(Config!$I$1), 0)), "")</f>
        <v/>
      </c>
      <c r="AS30" s="35" t="str">
        <f t="array" ref="AS30">IFERROR(INDEX(INDIRECT(Config!$G$1), MATCH($A30, INDIRECT(Config!$H$1), 0), MATCH(AS$1, INDIRECT(Config!$I$1), 0)), "")</f>
        <v/>
      </c>
      <c r="AT30" s="32" t="str">
        <f t="array" ref="AT30">IFERROR(INDEX(INDIRECT(Config!$G$1), MATCH($A30, INDIRECT(Config!$H$1), 0), MATCH(AT$1, INDIRECT(Config!$I$1), 0)), "")</f>
        <v/>
      </c>
      <c r="AU30" s="35" t="str">
        <f t="array" ref="AU30">IFERROR(INDEX(INDIRECT(Config!$G$1), MATCH($A30, INDIRECT(Config!$H$1), 0), MATCH(AU$1, INDIRECT(Config!$I$1), 0)), "")</f>
        <v/>
      </c>
      <c r="AV30" s="32" t="str">
        <f t="array" ref="AV30">IFERROR(INDEX(INDIRECT(Config!$G$1), MATCH($A30, INDIRECT(Config!$H$1), 0), MATCH(AV$1, INDIRECT(Config!$I$1), 0)), "")</f>
        <v/>
      </c>
      <c r="AW30" s="35"/>
      <c r="AX30" s="32"/>
      <c r="AY30" s="35"/>
    </row>
    <row r="31" ht="15.75" hidden="1" customHeight="1">
      <c r="A31" s="12" t="str">
        <f>Menus!R23</f>
        <v/>
      </c>
      <c r="B31" s="51">
        <f t="shared" si="5"/>
        <v>0</v>
      </c>
      <c r="C31" s="33" t="str">
        <f t="array" ref="C31">IFERROR(INDEX(INDIRECT(Config!$G$1), MATCH($A31, INDIRECT(Config!$H$1), 0), MATCH(C$1, INDIRECT(Config!$I$1), 0)), "")</f>
        <v/>
      </c>
      <c r="D31" s="34" t="str">
        <f t="array" ref="D31">IFERROR(INDEX(INDIRECT(Config!$G$1), MATCH($A31, INDIRECT(Config!$H$1), 0), MATCH(D$1, INDIRECT(Config!$I$1), 0)), "")</f>
        <v/>
      </c>
      <c r="E31" s="32" t="str">
        <f t="array" ref="E31">IFERROR(INDEX(INDIRECT(Config!$G$1), MATCH($A31, INDIRECT(Config!$H$1), 0), MATCH(E$1, INDIRECT(Config!$I$1), 0)), "")</f>
        <v/>
      </c>
      <c r="F31" s="35" t="str">
        <f t="array" ref="F31">IFERROR(INDEX(INDIRECT(Config!$G$1), MATCH($A31, INDIRECT(Config!$H$1), 0), MATCH(F$1, INDIRECT(Config!$I$1), 0)), "")</f>
        <v/>
      </c>
      <c r="G31" s="32" t="str">
        <f t="array" ref="G31">IFERROR(INDEX(INDIRECT(Config!$G$1), MATCH($A31, INDIRECT(Config!$H$1), 0), MATCH(G$1, INDIRECT(Config!$I$1), 0)), "")</f>
        <v/>
      </c>
      <c r="H31" s="35" t="str">
        <f t="array" ref="H31">IFERROR(INDEX(INDIRECT(Config!$G$1), MATCH($A31, INDIRECT(Config!$H$1), 0), MATCH(H$1, INDIRECT(Config!$I$1), 0)), "")</f>
        <v/>
      </c>
      <c r="I31" s="32" t="str">
        <f t="array" ref="I31">IFERROR(INDEX(INDIRECT(Config!$G$1), MATCH($A31, INDIRECT(Config!$H$1), 0), MATCH(I$1, INDIRECT(Config!$I$1), 0)), "")</f>
        <v/>
      </c>
      <c r="J31" s="35" t="str">
        <f t="array" ref="J31">IFERROR(INDEX(INDIRECT(Config!$G$1), MATCH($A31, INDIRECT(Config!$H$1), 0), MATCH(J$1, INDIRECT(Config!$I$1), 0)), "")</f>
        <v/>
      </c>
      <c r="K31" s="32" t="str">
        <f t="array" ref="K31">IFERROR(INDEX(INDIRECT(Config!$G$1), MATCH($A31, INDIRECT(Config!$H$1), 0), MATCH(K$1, INDIRECT(Config!$I$1), 0)), "")</f>
        <v/>
      </c>
      <c r="L31" s="35" t="str">
        <f t="array" ref="L31">IFERROR(INDEX(INDIRECT(Config!$G$1), MATCH($A31, INDIRECT(Config!$H$1), 0), MATCH(L$1, INDIRECT(Config!$I$1), 0)), "")</f>
        <v/>
      </c>
      <c r="M31" s="32" t="str">
        <f t="array" ref="M31">IFERROR(INDEX(INDIRECT(Config!$G$1), MATCH($A31, INDIRECT(Config!$H$1), 0), MATCH(M$1, INDIRECT(Config!$I$1), 0)), "")</f>
        <v/>
      </c>
      <c r="N31" s="35" t="str">
        <f t="array" ref="N31">IFERROR(INDEX(INDIRECT(Config!$G$1), MATCH($A31, INDIRECT(Config!$H$1), 0), MATCH(N$1, INDIRECT(Config!$I$1), 0)), "")</f>
        <v/>
      </c>
      <c r="O31" s="32" t="str">
        <f t="array" ref="O31">IFERROR(INDEX(INDIRECT(Config!$G$1), MATCH($A31, INDIRECT(Config!$H$1), 0), MATCH(O$1, INDIRECT(Config!$I$1), 0)), "")</f>
        <v/>
      </c>
      <c r="P31" s="35" t="str">
        <f t="array" ref="P31">IFERROR(INDEX(INDIRECT(Config!$G$1), MATCH($A31, INDIRECT(Config!$H$1), 0), MATCH(P$1, INDIRECT(Config!$I$1), 0)), "")</f>
        <v/>
      </c>
      <c r="Q31" s="32" t="str">
        <f t="array" ref="Q31">IFERROR(INDEX(INDIRECT(Config!$G$1), MATCH($A31, INDIRECT(Config!$H$1), 0), MATCH(Q$1, INDIRECT(Config!$I$1), 0)), "")</f>
        <v/>
      </c>
      <c r="R31" s="35" t="str">
        <f t="array" ref="R31">IFERROR(INDEX(INDIRECT(Config!$G$1), MATCH($A31, INDIRECT(Config!$H$1), 0), MATCH(R$1, INDIRECT(Config!$I$1), 0)), "")</f>
        <v/>
      </c>
      <c r="S31" s="32" t="str">
        <f t="array" ref="S31">IFERROR(INDEX(INDIRECT(Config!$G$1), MATCH($A31, INDIRECT(Config!$H$1), 0), MATCH(S$1, INDIRECT(Config!$I$1), 0)), "")</f>
        <v/>
      </c>
      <c r="T31" s="35" t="str">
        <f t="array" ref="T31">IFERROR(INDEX(INDIRECT(Config!$G$1), MATCH($A31, INDIRECT(Config!$H$1), 0), MATCH(T$1, INDIRECT(Config!$I$1), 0)), "")</f>
        <v/>
      </c>
      <c r="U31" s="32" t="str">
        <f t="array" ref="U31">IFERROR(INDEX(INDIRECT(Config!$G$1), MATCH($A31, INDIRECT(Config!$H$1), 0), MATCH(U$1, INDIRECT(Config!$I$1), 0)), "")</f>
        <v/>
      </c>
      <c r="V31" s="35" t="str">
        <f t="array" ref="V31">IFERROR(INDEX(INDIRECT(Config!$G$1), MATCH($A31, INDIRECT(Config!$H$1), 0), MATCH(V$1, INDIRECT(Config!$I$1), 0)), "")</f>
        <v/>
      </c>
      <c r="W31" s="32" t="str">
        <f t="array" ref="W31">IFERROR(INDEX(INDIRECT(Config!$G$1), MATCH($A31, INDIRECT(Config!$H$1), 0), MATCH(W$1, INDIRECT(Config!$I$1), 0)), "")</f>
        <v/>
      </c>
      <c r="X31" s="35" t="str">
        <f t="array" ref="X31">IFERROR(INDEX(INDIRECT(Config!$G$1), MATCH($A31, INDIRECT(Config!$H$1), 0), MATCH(X$1, INDIRECT(Config!$I$1), 0)), "")</f>
        <v/>
      </c>
      <c r="Y31" s="32" t="str">
        <f t="array" ref="Y31">IFERROR(INDEX(INDIRECT(Config!$G$1), MATCH($A31, INDIRECT(Config!$H$1), 0), MATCH(Y$1, INDIRECT(Config!$I$1), 0)), "")</f>
        <v/>
      </c>
      <c r="Z31" s="32" t="str">
        <f t="array" ref="Z31">IFERROR(INDEX(INDIRECT(Config!$G$1), MATCH($A31, INDIRECT(Config!$H$1), 0), MATCH(Z$1, INDIRECT(Config!$I$1), 0)), "")</f>
        <v/>
      </c>
      <c r="AA31" s="35" t="str">
        <f t="array" ref="AA31">IFERROR(INDEX(INDIRECT(Config!$G$1), MATCH($A31, INDIRECT(Config!$H$1), 0), MATCH(AA$1, INDIRECT(Config!$I$1), 0)), "")</f>
        <v/>
      </c>
      <c r="AB31" s="32" t="str">
        <f t="array" ref="AB31">IFERROR(INDEX(INDIRECT(Config!$G$1), MATCH($A31, INDIRECT(Config!$H$1), 0), MATCH(AB$1, INDIRECT(Config!$I$1), 0)), "")</f>
        <v/>
      </c>
      <c r="AC31" s="35" t="str">
        <f t="array" ref="AC31">IFERROR(INDEX(INDIRECT(Config!$G$1), MATCH($A31, INDIRECT(Config!$H$1), 0), MATCH(AC$1, INDIRECT(Config!$I$1), 0)), "")</f>
        <v/>
      </c>
      <c r="AD31" s="32" t="str">
        <f t="array" ref="AD31">IFERROR(INDEX(INDIRECT(Config!$G$1), MATCH($A31, INDIRECT(Config!$H$1), 0), MATCH(AD$1, INDIRECT(Config!$I$1), 0)), "")</f>
        <v/>
      </c>
      <c r="AE31" s="35" t="str">
        <f t="array" ref="AE31">IFERROR(INDEX(INDIRECT(Config!$G$1), MATCH($A31, INDIRECT(Config!$H$1), 0), MATCH(AE$1, INDIRECT(Config!$I$1), 0)), "")</f>
        <v/>
      </c>
      <c r="AF31" s="32" t="str">
        <f t="array" ref="AF31">IFERROR(INDEX(INDIRECT(Config!$G$1), MATCH($A31, INDIRECT(Config!$H$1), 0), MATCH(AF$1, INDIRECT(Config!$I$1), 0)), "")</f>
        <v/>
      </c>
      <c r="AG31" s="35" t="str">
        <f t="array" ref="AG31">IFERROR(INDEX(INDIRECT(Config!$G$1), MATCH($A31, INDIRECT(Config!$H$1), 0), MATCH(AG$1, INDIRECT(Config!$I$1), 0)), "")</f>
        <v/>
      </c>
      <c r="AH31" s="32" t="str">
        <f t="array" ref="AH31">IFERROR(INDEX(INDIRECT(Config!$G$1), MATCH($A31, INDIRECT(Config!$H$1), 0), MATCH(AH$1, INDIRECT(Config!$I$1), 0)), "")</f>
        <v/>
      </c>
      <c r="AI31" s="35" t="str">
        <f t="array" ref="AI31">IFERROR(INDEX(INDIRECT(Config!$G$1), MATCH($A31, INDIRECT(Config!$H$1), 0), MATCH(AI$1, INDIRECT(Config!$I$1), 0)), "")</f>
        <v/>
      </c>
      <c r="AJ31" s="32" t="str">
        <f t="array" ref="AJ31">IFERROR(INDEX(INDIRECT(Config!$G$1), MATCH($A31, INDIRECT(Config!$H$1), 0), MATCH(AJ$1, INDIRECT(Config!$I$1), 0)), "")</f>
        <v/>
      </c>
      <c r="AK31" s="35" t="str">
        <f t="array" ref="AK31">IFERROR(INDEX(INDIRECT(Config!$G$1), MATCH($A31, INDIRECT(Config!$H$1), 0), MATCH(AK$1, INDIRECT(Config!$I$1), 0)), "")</f>
        <v/>
      </c>
      <c r="AL31" s="32" t="str">
        <f t="array" ref="AL31">IFERROR(INDEX(INDIRECT(Config!$G$1), MATCH($A31, INDIRECT(Config!$H$1), 0), MATCH(AL$1, INDIRECT(Config!$I$1), 0)), "")</f>
        <v/>
      </c>
      <c r="AM31" s="35" t="str">
        <f t="array" ref="AM31">IFERROR(INDEX(INDIRECT(Config!$G$1), MATCH($A31, INDIRECT(Config!$H$1), 0), MATCH(AM$1, INDIRECT(Config!$I$1), 0)), "")</f>
        <v/>
      </c>
      <c r="AN31" s="32" t="str">
        <f t="array" ref="AN31">IFERROR(INDEX(INDIRECT(Config!$G$1), MATCH($A31, INDIRECT(Config!$H$1), 0), MATCH(AN$1, INDIRECT(Config!$I$1), 0)), "")</f>
        <v/>
      </c>
      <c r="AO31" s="35" t="str">
        <f t="array" ref="AO31">IFERROR(INDEX(INDIRECT(Config!$G$1), MATCH($A31, INDIRECT(Config!$H$1), 0), MATCH(AO$1, INDIRECT(Config!$I$1), 0)), "")</f>
        <v/>
      </c>
      <c r="AP31" s="32" t="str">
        <f t="array" ref="AP31">IFERROR(INDEX(INDIRECT(Config!$G$1), MATCH($A31, INDIRECT(Config!$H$1), 0), MATCH(AP$1, INDIRECT(Config!$I$1), 0)), "")</f>
        <v/>
      </c>
      <c r="AQ31" s="35" t="str">
        <f t="array" ref="AQ31">IFERROR(INDEX(INDIRECT(Config!$G$1), MATCH($A31, INDIRECT(Config!$H$1), 0), MATCH(AQ$1, INDIRECT(Config!$I$1), 0)), "")</f>
        <v/>
      </c>
      <c r="AR31" s="32" t="str">
        <f t="array" ref="AR31">IFERROR(INDEX(INDIRECT(Config!$G$1), MATCH($A31, INDIRECT(Config!$H$1), 0), MATCH(AR$1, INDIRECT(Config!$I$1), 0)), "")</f>
        <v/>
      </c>
      <c r="AS31" s="35" t="str">
        <f t="array" ref="AS31">IFERROR(INDEX(INDIRECT(Config!$G$1), MATCH($A31, INDIRECT(Config!$H$1), 0), MATCH(AS$1, INDIRECT(Config!$I$1), 0)), "")</f>
        <v/>
      </c>
      <c r="AT31" s="32" t="str">
        <f t="array" ref="AT31">IFERROR(INDEX(INDIRECT(Config!$G$1), MATCH($A31, INDIRECT(Config!$H$1), 0), MATCH(AT$1, INDIRECT(Config!$I$1), 0)), "")</f>
        <v/>
      </c>
      <c r="AU31" s="35" t="str">
        <f t="array" ref="AU31">IFERROR(INDEX(INDIRECT(Config!$G$1), MATCH($A31, INDIRECT(Config!$H$1), 0), MATCH(AU$1, INDIRECT(Config!$I$1), 0)), "")</f>
        <v/>
      </c>
      <c r="AV31" s="32" t="str">
        <f t="array" ref="AV31">IFERROR(INDEX(INDIRECT(Config!$G$1), MATCH($A31, INDIRECT(Config!$H$1), 0), MATCH(AV$1, INDIRECT(Config!$I$1), 0)), "")</f>
        <v/>
      </c>
      <c r="AW31" s="35"/>
      <c r="AX31" s="32"/>
      <c r="AY31" s="35"/>
    </row>
    <row r="32" ht="15.75" hidden="1" customHeight="1">
      <c r="A32" s="12" t="str">
        <f>Menus!R24</f>
        <v/>
      </c>
      <c r="B32" s="51">
        <f t="shared" si="5"/>
        <v>0</v>
      </c>
      <c r="C32" s="33" t="str">
        <f t="array" ref="C32">IFERROR(INDEX(INDIRECT(Config!$G$1), MATCH($A32, INDIRECT(Config!$H$1), 0), MATCH(C$1, INDIRECT(Config!$I$1), 0)), "")</f>
        <v/>
      </c>
      <c r="D32" s="34" t="str">
        <f t="array" ref="D32">IFERROR(INDEX(INDIRECT(Config!$G$1), MATCH($A32, INDIRECT(Config!$H$1), 0), MATCH(D$1, INDIRECT(Config!$I$1), 0)), "")</f>
        <v/>
      </c>
      <c r="E32" s="32" t="str">
        <f t="array" ref="E32">IFERROR(INDEX(INDIRECT(Config!$G$1), MATCH($A32, INDIRECT(Config!$H$1), 0), MATCH(E$1, INDIRECT(Config!$I$1), 0)), "")</f>
        <v/>
      </c>
      <c r="F32" s="35" t="str">
        <f t="array" ref="F32">IFERROR(INDEX(INDIRECT(Config!$G$1), MATCH($A32, INDIRECT(Config!$H$1), 0), MATCH(F$1, INDIRECT(Config!$I$1), 0)), "")</f>
        <v/>
      </c>
      <c r="G32" s="32" t="str">
        <f t="array" ref="G32">IFERROR(INDEX(INDIRECT(Config!$G$1), MATCH($A32, INDIRECT(Config!$H$1), 0), MATCH(G$1, INDIRECT(Config!$I$1), 0)), "")</f>
        <v/>
      </c>
      <c r="H32" s="35" t="str">
        <f t="array" ref="H32">IFERROR(INDEX(INDIRECT(Config!$G$1), MATCH($A32, INDIRECT(Config!$H$1), 0), MATCH(H$1, INDIRECT(Config!$I$1), 0)), "")</f>
        <v/>
      </c>
      <c r="I32" s="32" t="str">
        <f t="array" ref="I32">IFERROR(INDEX(INDIRECT(Config!$G$1), MATCH($A32, INDIRECT(Config!$H$1), 0), MATCH(I$1, INDIRECT(Config!$I$1), 0)), "")</f>
        <v/>
      </c>
      <c r="J32" s="35" t="str">
        <f t="array" ref="J32">IFERROR(INDEX(INDIRECT(Config!$G$1), MATCH($A32, INDIRECT(Config!$H$1), 0), MATCH(J$1, INDIRECT(Config!$I$1), 0)), "")</f>
        <v/>
      </c>
      <c r="K32" s="32" t="str">
        <f t="array" ref="K32">IFERROR(INDEX(INDIRECT(Config!$G$1), MATCH($A32, INDIRECT(Config!$H$1), 0), MATCH(K$1, INDIRECT(Config!$I$1), 0)), "")</f>
        <v/>
      </c>
      <c r="L32" s="35" t="str">
        <f t="array" ref="L32">IFERROR(INDEX(INDIRECT(Config!$G$1), MATCH($A32, INDIRECT(Config!$H$1), 0), MATCH(L$1, INDIRECT(Config!$I$1), 0)), "")</f>
        <v/>
      </c>
      <c r="M32" s="32" t="str">
        <f t="array" ref="M32">IFERROR(INDEX(INDIRECT(Config!$G$1), MATCH($A32, INDIRECT(Config!$H$1), 0), MATCH(M$1, INDIRECT(Config!$I$1), 0)), "")</f>
        <v/>
      </c>
      <c r="N32" s="35" t="str">
        <f t="array" ref="N32">IFERROR(INDEX(INDIRECT(Config!$G$1), MATCH($A32, INDIRECT(Config!$H$1), 0), MATCH(N$1, INDIRECT(Config!$I$1), 0)), "")</f>
        <v/>
      </c>
      <c r="O32" s="32" t="str">
        <f t="array" ref="O32">IFERROR(INDEX(INDIRECT(Config!$G$1), MATCH($A32, INDIRECT(Config!$H$1), 0), MATCH(O$1, INDIRECT(Config!$I$1), 0)), "")</f>
        <v/>
      </c>
      <c r="P32" s="35" t="str">
        <f t="array" ref="P32">IFERROR(INDEX(INDIRECT(Config!$G$1), MATCH($A32, INDIRECT(Config!$H$1), 0), MATCH(P$1, INDIRECT(Config!$I$1), 0)), "")</f>
        <v/>
      </c>
      <c r="Q32" s="32" t="str">
        <f t="array" ref="Q32">IFERROR(INDEX(INDIRECT(Config!$G$1), MATCH($A32, INDIRECT(Config!$H$1), 0), MATCH(Q$1, INDIRECT(Config!$I$1), 0)), "")</f>
        <v/>
      </c>
      <c r="R32" s="35" t="str">
        <f t="array" ref="R32">IFERROR(INDEX(INDIRECT(Config!$G$1), MATCH($A32, INDIRECT(Config!$H$1), 0), MATCH(R$1, INDIRECT(Config!$I$1), 0)), "")</f>
        <v/>
      </c>
      <c r="S32" s="32" t="str">
        <f t="array" ref="S32">IFERROR(INDEX(INDIRECT(Config!$G$1), MATCH($A32, INDIRECT(Config!$H$1), 0), MATCH(S$1, INDIRECT(Config!$I$1), 0)), "")</f>
        <v/>
      </c>
      <c r="T32" s="35" t="str">
        <f t="array" ref="T32">IFERROR(INDEX(INDIRECT(Config!$G$1), MATCH($A32, INDIRECT(Config!$H$1), 0), MATCH(T$1, INDIRECT(Config!$I$1), 0)), "")</f>
        <v/>
      </c>
      <c r="U32" s="32" t="str">
        <f t="array" ref="U32">IFERROR(INDEX(INDIRECT(Config!$G$1), MATCH($A32, INDIRECT(Config!$H$1), 0), MATCH(U$1, INDIRECT(Config!$I$1), 0)), "")</f>
        <v/>
      </c>
      <c r="V32" s="35" t="str">
        <f t="array" ref="V32">IFERROR(INDEX(INDIRECT(Config!$G$1), MATCH($A32, INDIRECT(Config!$H$1), 0), MATCH(V$1, INDIRECT(Config!$I$1), 0)), "")</f>
        <v/>
      </c>
      <c r="W32" s="32" t="str">
        <f t="array" ref="W32">IFERROR(INDEX(INDIRECT(Config!$G$1), MATCH($A32, INDIRECT(Config!$H$1), 0), MATCH(W$1, INDIRECT(Config!$I$1), 0)), "")</f>
        <v/>
      </c>
      <c r="X32" s="35" t="str">
        <f t="array" ref="X32">IFERROR(INDEX(INDIRECT(Config!$G$1), MATCH($A32, INDIRECT(Config!$H$1), 0), MATCH(X$1, INDIRECT(Config!$I$1), 0)), "")</f>
        <v/>
      </c>
      <c r="Y32" s="32" t="str">
        <f t="array" ref="Y32">IFERROR(INDEX(INDIRECT(Config!$G$1), MATCH($A32, INDIRECT(Config!$H$1), 0), MATCH(Y$1, INDIRECT(Config!$I$1), 0)), "")</f>
        <v/>
      </c>
      <c r="Z32" s="32" t="str">
        <f t="array" ref="Z32">IFERROR(INDEX(INDIRECT(Config!$G$1), MATCH($A32, INDIRECT(Config!$H$1), 0), MATCH(Z$1, INDIRECT(Config!$I$1), 0)), "")</f>
        <v/>
      </c>
      <c r="AA32" s="35" t="str">
        <f t="array" ref="AA32">IFERROR(INDEX(INDIRECT(Config!$G$1), MATCH($A32, INDIRECT(Config!$H$1), 0), MATCH(AA$1, INDIRECT(Config!$I$1), 0)), "")</f>
        <v/>
      </c>
      <c r="AB32" s="32" t="str">
        <f t="array" ref="AB32">IFERROR(INDEX(INDIRECT(Config!$G$1), MATCH($A32, INDIRECT(Config!$H$1), 0), MATCH(AB$1, INDIRECT(Config!$I$1), 0)), "")</f>
        <v/>
      </c>
      <c r="AC32" s="35" t="str">
        <f t="array" ref="AC32">IFERROR(INDEX(INDIRECT(Config!$G$1), MATCH($A32, INDIRECT(Config!$H$1), 0), MATCH(AC$1, INDIRECT(Config!$I$1), 0)), "")</f>
        <v/>
      </c>
      <c r="AD32" s="32" t="str">
        <f t="array" ref="AD32">IFERROR(INDEX(INDIRECT(Config!$G$1), MATCH($A32, INDIRECT(Config!$H$1), 0), MATCH(AD$1, INDIRECT(Config!$I$1), 0)), "")</f>
        <v/>
      </c>
      <c r="AE32" s="35" t="str">
        <f t="array" ref="AE32">IFERROR(INDEX(INDIRECT(Config!$G$1), MATCH($A32, INDIRECT(Config!$H$1), 0), MATCH(AE$1, INDIRECT(Config!$I$1), 0)), "")</f>
        <v/>
      </c>
      <c r="AF32" s="32" t="str">
        <f t="array" ref="AF32">IFERROR(INDEX(INDIRECT(Config!$G$1), MATCH($A32, INDIRECT(Config!$H$1), 0), MATCH(AF$1, INDIRECT(Config!$I$1), 0)), "")</f>
        <v/>
      </c>
      <c r="AG32" s="35" t="str">
        <f t="array" ref="AG32">IFERROR(INDEX(INDIRECT(Config!$G$1), MATCH($A32, INDIRECT(Config!$H$1), 0), MATCH(AG$1, INDIRECT(Config!$I$1), 0)), "")</f>
        <v/>
      </c>
      <c r="AH32" s="32" t="str">
        <f t="array" ref="AH32">IFERROR(INDEX(INDIRECT(Config!$G$1), MATCH($A32, INDIRECT(Config!$H$1), 0), MATCH(AH$1, INDIRECT(Config!$I$1), 0)), "")</f>
        <v/>
      </c>
      <c r="AI32" s="35" t="str">
        <f t="array" ref="AI32">IFERROR(INDEX(INDIRECT(Config!$G$1), MATCH($A32, INDIRECT(Config!$H$1), 0), MATCH(AI$1, INDIRECT(Config!$I$1), 0)), "")</f>
        <v/>
      </c>
      <c r="AJ32" s="32" t="str">
        <f t="array" ref="AJ32">IFERROR(INDEX(INDIRECT(Config!$G$1), MATCH($A32, INDIRECT(Config!$H$1), 0), MATCH(AJ$1, INDIRECT(Config!$I$1), 0)), "")</f>
        <v/>
      </c>
      <c r="AK32" s="35" t="str">
        <f t="array" ref="AK32">IFERROR(INDEX(INDIRECT(Config!$G$1), MATCH($A32, INDIRECT(Config!$H$1), 0), MATCH(AK$1, INDIRECT(Config!$I$1), 0)), "")</f>
        <v/>
      </c>
      <c r="AL32" s="32" t="str">
        <f t="array" ref="AL32">IFERROR(INDEX(INDIRECT(Config!$G$1), MATCH($A32, INDIRECT(Config!$H$1), 0), MATCH(AL$1, INDIRECT(Config!$I$1), 0)), "")</f>
        <v/>
      </c>
      <c r="AM32" s="35" t="str">
        <f t="array" ref="AM32">IFERROR(INDEX(INDIRECT(Config!$G$1), MATCH($A32, INDIRECT(Config!$H$1), 0), MATCH(AM$1, INDIRECT(Config!$I$1), 0)), "")</f>
        <v/>
      </c>
      <c r="AN32" s="32" t="str">
        <f t="array" ref="AN32">IFERROR(INDEX(INDIRECT(Config!$G$1), MATCH($A32, INDIRECT(Config!$H$1), 0), MATCH(AN$1, INDIRECT(Config!$I$1), 0)), "")</f>
        <v/>
      </c>
      <c r="AO32" s="35" t="str">
        <f t="array" ref="AO32">IFERROR(INDEX(INDIRECT(Config!$G$1), MATCH($A32, INDIRECT(Config!$H$1), 0), MATCH(AO$1, INDIRECT(Config!$I$1), 0)), "")</f>
        <v/>
      </c>
      <c r="AP32" s="32" t="str">
        <f t="array" ref="AP32">IFERROR(INDEX(INDIRECT(Config!$G$1), MATCH($A32, INDIRECT(Config!$H$1), 0), MATCH(AP$1, INDIRECT(Config!$I$1), 0)), "")</f>
        <v/>
      </c>
      <c r="AQ32" s="35" t="str">
        <f t="array" ref="AQ32">IFERROR(INDEX(INDIRECT(Config!$G$1), MATCH($A32, INDIRECT(Config!$H$1), 0), MATCH(AQ$1, INDIRECT(Config!$I$1), 0)), "")</f>
        <v/>
      </c>
      <c r="AR32" s="32" t="str">
        <f t="array" ref="AR32">IFERROR(INDEX(INDIRECT(Config!$G$1), MATCH($A32, INDIRECT(Config!$H$1), 0), MATCH(AR$1, INDIRECT(Config!$I$1), 0)), "")</f>
        <v/>
      </c>
      <c r="AS32" s="35" t="str">
        <f t="array" ref="AS32">IFERROR(INDEX(INDIRECT(Config!$G$1), MATCH($A32, INDIRECT(Config!$H$1), 0), MATCH(AS$1, INDIRECT(Config!$I$1), 0)), "")</f>
        <v/>
      </c>
      <c r="AT32" s="32" t="str">
        <f t="array" ref="AT32">IFERROR(INDEX(INDIRECT(Config!$G$1), MATCH($A32, INDIRECT(Config!$H$1), 0), MATCH(AT$1, INDIRECT(Config!$I$1), 0)), "")</f>
        <v/>
      </c>
      <c r="AU32" s="35" t="str">
        <f t="array" ref="AU32">IFERROR(INDEX(INDIRECT(Config!$G$1), MATCH($A32, INDIRECT(Config!$H$1), 0), MATCH(AU$1, INDIRECT(Config!$I$1), 0)), "")</f>
        <v/>
      </c>
      <c r="AV32" s="32" t="str">
        <f t="array" ref="AV32">IFERROR(INDEX(INDIRECT(Config!$G$1), MATCH($A32, INDIRECT(Config!$H$1), 0), MATCH(AV$1, INDIRECT(Config!$I$1), 0)), "")</f>
        <v/>
      </c>
      <c r="AW32" s="35"/>
      <c r="AX32" s="32"/>
      <c r="AY32" s="35"/>
    </row>
    <row r="33" ht="15.75" hidden="1" customHeight="1">
      <c r="A33" s="12" t="str">
        <f>Menus!R25</f>
        <v/>
      </c>
      <c r="B33" s="51">
        <f t="shared" si="5"/>
        <v>0</v>
      </c>
      <c r="C33" s="33" t="str">
        <f t="array" ref="C33">IFERROR(INDEX(INDIRECT(Config!$G$1), MATCH($A33, INDIRECT(Config!$H$1), 0), MATCH(C$1, INDIRECT(Config!$I$1), 0)), "")</f>
        <v/>
      </c>
      <c r="D33" s="34" t="str">
        <f t="array" ref="D33">IFERROR(INDEX(INDIRECT(Config!$G$1), MATCH($A33, INDIRECT(Config!$H$1), 0), MATCH(D$1, INDIRECT(Config!$I$1), 0)), "")</f>
        <v/>
      </c>
      <c r="E33" s="32" t="str">
        <f t="array" ref="E33">IFERROR(INDEX(INDIRECT(Config!$G$1), MATCH($A33, INDIRECT(Config!$H$1), 0), MATCH(E$1, INDIRECT(Config!$I$1), 0)), "")</f>
        <v/>
      </c>
      <c r="F33" s="35" t="str">
        <f t="array" ref="F33">IFERROR(INDEX(INDIRECT(Config!$G$1), MATCH($A33, INDIRECT(Config!$H$1), 0), MATCH(F$1, INDIRECT(Config!$I$1), 0)), "")</f>
        <v/>
      </c>
      <c r="G33" s="32" t="str">
        <f t="array" ref="G33">IFERROR(INDEX(INDIRECT(Config!$G$1), MATCH($A33, INDIRECT(Config!$H$1), 0), MATCH(G$1, INDIRECT(Config!$I$1), 0)), "")</f>
        <v/>
      </c>
      <c r="H33" s="35" t="str">
        <f t="array" ref="H33">IFERROR(INDEX(INDIRECT(Config!$G$1), MATCH($A33, INDIRECT(Config!$H$1), 0), MATCH(H$1, INDIRECT(Config!$I$1), 0)), "")</f>
        <v/>
      </c>
      <c r="I33" s="32" t="str">
        <f t="array" ref="I33">IFERROR(INDEX(INDIRECT(Config!$G$1), MATCH($A33, INDIRECT(Config!$H$1), 0), MATCH(I$1, INDIRECT(Config!$I$1), 0)), "")</f>
        <v/>
      </c>
      <c r="J33" s="35" t="str">
        <f t="array" ref="J33">IFERROR(INDEX(INDIRECT(Config!$G$1), MATCH($A33, INDIRECT(Config!$H$1), 0), MATCH(J$1, INDIRECT(Config!$I$1), 0)), "")</f>
        <v/>
      </c>
      <c r="K33" s="32" t="str">
        <f t="array" ref="K33">IFERROR(INDEX(INDIRECT(Config!$G$1), MATCH($A33, INDIRECT(Config!$H$1), 0), MATCH(K$1, INDIRECT(Config!$I$1), 0)), "")</f>
        <v/>
      </c>
      <c r="L33" s="35" t="str">
        <f t="array" ref="L33">IFERROR(INDEX(INDIRECT(Config!$G$1), MATCH($A33, INDIRECT(Config!$H$1), 0), MATCH(L$1, INDIRECT(Config!$I$1), 0)), "")</f>
        <v/>
      </c>
      <c r="M33" s="32" t="str">
        <f t="array" ref="M33">IFERROR(INDEX(INDIRECT(Config!$G$1), MATCH($A33, INDIRECT(Config!$H$1), 0), MATCH(M$1, INDIRECT(Config!$I$1), 0)), "")</f>
        <v/>
      </c>
      <c r="N33" s="35" t="str">
        <f t="array" ref="N33">IFERROR(INDEX(INDIRECT(Config!$G$1), MATCH($A33, INDIRECT(Config!$H$1), 0), MATCH(N$1, INDIRECT(Config!$I$1), 0)), "")</f>
        <v/>
      </c>
      <c r="O33" s="32" t="str">
        <f t="array" ref="O33">IFERROR(INDEX(INDIRECT(Config!$G$1), MATCH($A33, INDIRECT(Config!$H$1), 0), MATCH(O$1, INDIRECT(Config!$I$1), 0)), "")</f>
        <v/>
      </c>
      <c r="P33" s="35" t="str">
        <f t="array" ref="P33">IFERROR(INDEX(INDIRECT(Config!$G$1), MATCH($A33, INDIRECT(Config!$H$1), 0), MATCH(P$1, INDIRECT(Config!$I$1), 0)), "")</f>
        <v/>
      </c>
      <c r="Q33" s="32" t="str">
        <f t="array" ref="Q33">IFERROR(INDEX(INDIRECT(Config!$G$1), MATCH($A33, INDIRECT(Config!$H$1), 0), MATCH(Q$1, INDIRECT(Config!$I$1), 0)), "")</f>
        <v/>
      </c>
      <c r="R33" s="35" t="str">
        <f t="array" ref="R33">IFERROR(INDEX(INDIRECT(Config!$G$1), MATCH($A33, INDIRECT(Config!$H$1), 0), MATCH(R$1, INDIRECT(Config!$I$1), 0)), "")</f>
        <v/>
      </c>
      <c r="S33" s="32" t="str">
        <f t="array" ref="S33">IFERROR(INDEX(INDIRECT(Config!$G$1), MATCH($A33, INDIRECT(Config!$H$1), 0), MATCH(S$1, INDIRECT(Config!$I$1), 0)), "")</f>
        <v/>
      </c>
      <c r="T33" s="35" t="str">
        <f t="array" ref="T33">IFERROR(INDEX(INDIRECT(Config!$G$1), MATCH($A33, INDIRECT(Config!$H$1), 0), MATCH(T$1, INDIRECT(Config!$I$1), 0)), "")</f>
        <v/>
      </c>
      <c r="U33" s="32" t="str">
        <f t="array" ref="U33">IFERROR(INDEX(INDIRECT(Config!$G$1), MATCH($A33, INDIRECT(Config!$H$1), 0), MATCH(U$1, INDIRECT(Config!$I$1), 0)), "")</f>
        <v/>
      </c>
      <c r="V33" s="35" t="str">
        <f t="array" ref="V33">IFERROR(INDEX(INDIRECT(Config!$G$1), MATCH($A33, INDIRECT(Config!$H$1), 0), MATCH(V$1, INDIRECT(Config!$I$1), 0)), "")</f>
        <v/>
      </c>
      <c r="W33" s="32" t="str">
        <f t="array" ref="W33">IFERROR(INDEX(INDIRECT(Config!$G$1), MATCH($A33, INDIRECT(Config!$H$1), 0), MATCH(W$1, INDIRECT(Config!$I$1), 0)), "")</f>
        <v/>
      </c>
      <c r="X33" s="35" t="str">
        <f t="array" ref="X33">IFERROR(INDEX(INDIRECT(Config!$G$1), MATCH($A33, INDIRECT(Config!$H$1), 0), MATCH(X$1, INDIRECT(Config!$I$1), 0)), "")</f>
        <v/>
      </c>
      <c r="Y33" s="32" t="str">
        <f t="array" ref="Y33">IFERROR(INDEX(INDIRECT(Config!$G$1), MATCH($A33, INDIRECT(Config!$H$1), 0), MATCH(Y$1, INDIRECT(Config!$I$1), 0)), "")</f>
        <v/>
      </c>
      <c r="Z33" s="32" t="str">
        <f t="array" ref="Z33">IFERROR(INDEX(INDIRECT(Config!$G$1), MATCH($A33, INDIRECT(Config!$H$1), 0), MATCH(Z$1, INDIRECT(Config!$I$1), 0)), "")</f>
        <v/>
      </c>
      <c r="AA33" s="35" t="str">
        <f t="array" ref="AA33">IFERROR(INDEX(INDIRECT(Config!$G$1), MATCH($A33, INDIRECT(Config!$H$1), 0), MATCH(AA$1, INDIRECT(Config!$I$1), 0)), "")</f>
        <v/>
      </c>
      <c r="AB33" s="32" t="str">
        <f t="array" ref="AB33">IFERROR(INDEX(INDIRECT(Config!$G$1), MATCH($A33, INDIRECT(Config!$H$1), 0), MATCH(AB$1, INDIRECT(Config!$I$1), 0)), "")</f>
        <v/>
      </c>
      <c r="AC33" s="35" t="str">
        <f t="array" ref="AC33">IFERROR(INDEX(INDIRECT(Config!$G$1), MATCH($A33, INDIRECT(Config!$H$1), 0), MATCH(AC$1, INDIRECT(Config!$I$1), 0)), "")</f>
        <v/>
      </c>
      <c r="AD33" s="32" t="str">
        <f t="array" ref="AD33">IFERROR(INDEX(INDIRECT(Config!$G$1), MATCH($A33, INDIRECT(Config!$H$1), 0), MATCH(AD$1, INDIRECT(Config!$I$1), 0)), "")</f>
        <v/>
      </c>
      <c r="AE33" s="35" t="str">
        <f t="array" ref="AE33">IFERROR(INDEX(INDIRECT(Config!$G$1), MATCH($A33, INDIRECT(Config!$H$1), 0), MATCH(AE$1, INDIRECT(Config!$I$1), 0)), "")</f>
        <v/>
      </c>
      <c r="AF33" s="32" t="str">
        <f t="array" ref="AF33">IFERROR(INDEX(INDIRECT(Config!$G$1), MATCH($A33, INDIRECT(Config!$H$1), 0), MATCH(AF$1, INDIRECT(Config!$I$1), 0)), "")</f>
        <v/>
      </c>
      <c r="AG33" s="35" t="str">
        <f t="array" ref="AG33">IFERROR(INDEX(INDIRECT(Config!$G$1), MATCH($A33, INDIRECT(Config!$H$1), 0), MATCH(AG$1, INDIRECT(Config!$I$1), 0)), "")</f>
        <v/>
      </c>
      <c r="AH33" s="32" t="str">
        <f t="array" ref="AH33">IFERROR(INDEX(INDIRECT(Config!$G$1), MATCH($A33, INDIRECT(Config!$H$1), 0), MATCH(AH$1, INDIRECT(Config!$I$1), 0)), "")</f>
        <v/>
      </c>
      <c r="AI33" s="35" t="str">
        <f t="array" ref="AI33">IFERROR(INDEX(INDIRECT(Config!$G$1), MATCH($A33, INDIRECT(Config!$H$1), 0), MATCH(AI$1, INDIRECT(Config!$I$1), 0)), "")</f>
        <v/>
      </c>
      <c r="AJ33" s="32" t="str">
        <f t="array" ref="AJ33">IFERROR(INDEX(INDIRECT(Config!$G$1), MATCH($A33, INDIRECT(Config!$H$1), 0), MATCH(AJ$1, INDIRECT(Config!$I$1), 0)), "")</f>
        <v/>
      </c>
      <c r="AK33" s="35" t="str">
        <f t="array" ref="AK33">IFERROR(INDEX(INDIRECT(Config!$G$1), MATCH($A33, INDIRECT(Config!$H$1), 0), MATCH(AK$1, INDIRECT(Config!$I$1), 0)), "")</f>
        <v/>
      </c>
      <c r="AL33" s="32" t="str">
        <f t="array" ref="AL33">IFERROR(INDEX(INDIRECT(Config!$G$1), MATCH($A33, INDIRECT(Config!$H$1), 0), MATCH(AL$1, INDIRECT(Config!$I$1), 0)), "")</f>
        <v/>
      </c>
      <c r="AM33" s="35" t="str">
        <f t="array" ref="AM33">IFERROR(INDEX(INDIRECT(Config!$G$1), MATCH($A33, INDIRECT(Config!$H$1), 0), MATCH(AM$1, INDIRECT(Config!$I$1), 0)), "")</f>
        <v/>
      </c>
      <c r="AN33" s="32" t="str">
        <f t="array" ref="AN33">IFERROR(INDEX(INDIRECT(Config!$G$1), MATCH($A33, INDIRECT(Config!$H$1), 0), MATCH(AN$1, INDIRECT(Config!$I$1), 0)), "")</f>
        <v/>
      </c>
      <c r="AO33" s="35" t="str">
        <f t="array" ref="AO33">IFERROR(INDEX(INDIRECT(Config!$G$1), MATCH($A33, INDIRECT(Config!$H$1), 0), MATCH(AO$1, INDIRECT(Config!$I$1), 0)), "")</f>
        <v/>
      </c>
      <c r="AP33" s="32" t="str">
        <f t="array" ref="AP33">IFERROR(INDEX(INDIRECT(Config!$G$1), MATCH($A33, INDIRECT(Config!$H$1), 0), MATCH(AP$1, INDIRECT(Config!$I$1), 0)), "")</f>
        <v/>
      </c>
      <c r="AQ33" s="35" t="str">
        <f t="array" ref="AQ33">IFERROR(INDEX(INDIRECT(Config!$G$1), MATCH($A33, INDIRECT(Config!$H$1), 0), MATCH(AQ$1, INDIRECT(Config!$I$1), 0)), "")</f>
        <v/>
      </c>
      <c r="AR33" s="32" t="str">
        <f t="array" ref="AR33">IFERROR(INDEX(INDIRECT(Config!$G$1), MATCH($A33, INDIRECT(Config!$H$1), 0), MATCH(AR$1, INDIRECT(Config!$I$1), 0)), "")</f>
        <v/>
      </c>
      <c r="AS33" s="35" t="str">
        <f t="array" ref="AS33">IFERROR(INDEX(INDIRECT(Config!$G$1), MATCH($A33, INDIRECT(Config!$H$1), 0), MATCH(AS$1, INDIRECT(Config!$I$1), 0)), "")</f>
        <v/>
      </c>
      <c r="AT33" s="32" t="str">
        <f t="array" ref="AT33">IFERROR(INDEX(INDIRECT(Config!$G$1), MATCH($A33, INDIRECT(Config!$H$1), 0), MATCH(AT$1, INDIRECT(Config!$I$1), 0)), "")</f>
        <v/>
      </c>
      <c r="AU33" s="35" t="str">
        <f t="array" ref="AU33">IFERROR(INDEX(INDIRECT(Config!$G$1), MATCH($A33, INDIRECT(Config!$H$1), 0), MATCH(AU$1, INDIRECT(Config!$I$1), 0)), "")</f>
        <v/>
      </c>
      <c r="AV33" s="32" t="str">
        <f t="array" ref="AV33">IFERROR(INDEX(INDIRECT(Config!$G$1), MATCH($A33, INDIRECT(Config!$H$1), 0), MATCH(AV$1, INDIRECT(Config!$I$1), 0)), "")</f>
        <v/>
      </c>
      <c r="AW33" s="35"/>
      <c r="AX33" s="32"/>
      <c r="AY33" s="35"/>
    </row>
    <row r="34" ht="15.75" hidden="1" customHeight="1">
      <c r="A34" s="12" t="str">
        <f>Menus!R26</f>
        <v/>
      </c>
      <c r="B34" s="51">
        <f t="shared" si="5"/>
        <v>0</v>
      </c>
      <c r="C34" s="33" t="str">
        <f t="array" ref="C34">IFERROR(INDEX(INDIRECT(Config!$G$1), MATCH($A34, INDIRECT(Config!$H$1), 0), MATCH(C$1, INDIRECT(Config!$I$1), 0)), "")</f>
        <v/>
      </c>
      <c r="D34" s="34" t="str">
        <f t="array" ref="D34">IFERROR(INDEX(INDIRECT(Config!$G$1), MATCH($A34, INDIRECT(Config!$H$1), 0), MATCH(D$1, INDIRECT(Config!$I$1), 0)), "")</f>
        <v/>
      </c>
      <c r="E34" s="32" t="str">
        <f t="array" ref="E34">IFERROR(INDEX(INDIRECT(Config!$G$1), MATCH($A34, INDIRECT(Config!$H$1), 0), MATCH(E$1, INDIRECT(Config!$I$1), 0)), "")</f>
        <v/>
      </c>
      <c r="F34" s="35" t="str">
        <f t="array" ref="F34">IFERROR(INDEX(INDIRECT(Config!$G$1), MATCH($A34, INDIRECT(Config!$H$1), 0), MATCH(F$1, INDIRECT(Config!$I$1), 0)), "")</f>
        <v/>
      </c>
      <c r="G34" s="32" t="str">
        <f t="array" ref="G34">IFERROR(INDEX(INDIRECT(Config!$G$1), MATCH($A34, INDIRECT(Config!$H$1), 0), MATCH(G$1, INDIRECT(Config!$I$1), 0)), "")</f>
        <v/>
      </c>
      <c r="H34" s="35" t="str">
        <f t="array" ref="H34">IFERROR(INDEX(INDIRECT(Config!$G$1), MATCH($A34, INDIRECT(Config!$H$1), 0), MATCH(H$1, INDIRECT(Config!$I$1), 0)), "")</f>
        <v/>
      </c>
      <c r="I34" s="32" t="str">
        <f t="array" ref="I34">IFERROR(INDEX(INDIRECT(Config!$G$1), MATCH($A34, INDIRECT(Config!$H$1), 0), MATCH(I$1, INDIRECT(Config!$I$1), 0)), "")</f>
        <v/>
      </c>
      <c r="J34" s="35" t="str">
        <f t="array" ref="J34">IFERROR(INDEX(INDIRECT(Config!$G$1), MATCH($A34, INDIRECT(Config!$H$1), 0), MATCH(J$1, INDIRECT(Config!$I$1), 0)), "")</f>
        <v/>
      </c>
      <c r="K34" s="32" t="str">
        <f t="array" ref="K34">IFERROR(INDEX(INDIRECT(Config!$G$1), MATCH($A34, INDIRECT(Config!$H$1), 0), MATCH(K$1, INDIRECT(Config!$I$1), 0)), "")</f>
        <v/>
      </c>
      <c r="L34" s="35" t="str">
        <f t="array" ref="L34">IFERROR(INDEX(INDIRECT(Config!$G$1), MATCH($A34, INDIRECT(Config!$H$1), 0), MATCH(L$1, INDIRECT(Config!$I$1), 0)), "")</f>
        <v/>
      </c>
      <c r="M34" s="32" t="str">
        <f t="array" ref="M34">IFERROR(INDEX(INDIRECT(Config!$G$1), MATCH($A34, INDIRECT(Config!$H$1), 0), MATCH(M$1, INDIRECT(Config!$I$1), 0)), "")</f>
        <v/>
      </c>
      <c r="N34" s="35" t="str">
        <f t="array" ref="N34">IFERROR(INDEX(INDIRECT(Config!$G$1), MATCH($A34, INDIRECT(Config!$H$1), 0), MATCH(N$1, INDIRECT(Config!$I$1), 0)), "")</f>
        <v/>
      </c>
      <c r="O34" s="32" t="str">
        <f t="array" ref="O34">IFERROR(INDEX(INDIRECT(Config!$G$1), MATCH($A34, INDIRECT(Config!$H$1), 0), MATCH(O$1, INDIRECT(Config!$I$1), 0)), "")</f>
        <v/>
      </c>
      <c r="P34" s="35" t="str">
        <f t="array" ref="P34">IFERROR(INDEX(INDIRECT(Config!$G$1), MATCH($A34, INDIRECT(Config!$H$1), 0), MATCH(P$1, INDIRECT(Config!$I$1), 0)), "")</f>
        <v/>
      </c>
      <c r="Q34" s="32" t="str">
        <f t="array" ref="Q34">IFERROR(INDEX(INDIRECT(Config!$G$1), MATCH($A34, INDIRECT(Config!$H$1), 0), MATCH(Q$1, INDIRECT(Config!$I$1), 0)), "")</f>
        <v/>
      </c>
      <c r="R34" s="35" t="str">
        <f t="array" ref="R34">IFERROR(INDEX(INDIRECT(Config!$G$1), MATCH($A34, INDIRECT(Config!$H$1), 0), MATCH(R$1, INDIRECT(Config!$I$1), 0)), "")</f>
        <v/>
      </c>
      <c r="S34" s="32" t="str">
        <f t="array" ref="S34">IFERROR(INDEX(INDIRECT(Config!$G$1), MATCH($A34, INDIRECT(Config!$H$1), 0), MATCH(S$1, INDIRECT(Config!$I$1), 0)), "")</f>
        <v/>
      </c>
      <c r="T34" s="35" t="str">
        <f t="array" ref="T34">IFERROR(INDEX(INDIRECT(Config!$G$1), MATCH($A34, INDIRECT(Config!$H$1), 0), MATCH(T$1, INDIRECT(Config!$I$1), 0)), "")</f>
        <v/>
      </c>
      <c r="U34" s="32" t="str">
        <f t="array" ref="U34">IFERROR(INDEX(INDIRECT(Config!$G$1), MATCH($A34, INDIRECT(Config!$H$1), 0), MATCH(U$1, INDIRECT(Config!$I$1), 0)), "")</f>
        <v/>
      </c>
      <c r="V34" s="35" t="str">
        <f t="array" ref="V34">IFERROR(INDEX(INDIRECT(Config!$G$1), MATCH($A34, INDIRECT(Config!$H$1), 0), MATCH(V$1, INDIRECT(Config!$I$1), 0)), "")</f>
        <v/>
      </c>
      <c r="W34" s="32" t="str">
        <f t="array" ref="W34">IFERROR(INDEX(INDIRECT(Config!$G$1), MATCH($A34, INDIRECT(Config!$H$1), 0), MATCH(W$1, INDIRECT(Config!$I$1), 0)), "")</f>
        <v/>
      </c>
      <c r="X34" s="35" t="str">
        <f t="array" ref="X34">IFERROR(INDEX(INDIRECT(Config!$G$1), MATCH($A34, INDIRECT(Config!$H$1), 0), MATCH(X$1, INDIRECT(Config!$I$1), 0)), "")</f>
        <v/>
      </c>
      <c r="Y34" s="32" t="str">
        <f t="array" ref="Y34">IFERROR(INDEX(INDIRECT(Config!$G$1), MATCH($A34, INDIRECT(Config!$H$1), 0), MATCH(Y$1, INDIRECT(Config!$I$1), 0)), "")</f>
        <v/>
      </c>
      <c r="Z34" s="32" t="str">
        <f t="array" ref="Z34">IFERROR(INDEX(INDIRECT(Config!$G$1), MATCH($A34, INDIRECT(Config!$H$1), 0), MATCH(Z$1, INDIRECT(Config!$I$1), 0)), "")</f>
        <v/>
      </c>
      <c r="AA34" s="35" t="str">
        <f t="array" ref="AA34">IFERROR(INDEX(INDIRECT(Config!$G$1), MATCH($A34, INDIRECT(Config!$H$1), 0), MATCH(AA$1, INDIRECT(Config!$I$1), 0)), "")</f>
        <v/>
      </c>
      <c r="AB34" s="32" t="str">
        <f t="array" ref="AB34">IFERROR(INDEX(INDIRECT(Config!$G$1), MATCH($A34, INDIRECT(Config!$H$1), 0), MATCH(AB$1, INDIRECT(Config!$I$1), 0)), "")</f>
        <v/>
      </c>
      <c r="AC34" s="35" t="str">
        <f t="array" ref="AC34">IFERROR(INDEX(INDIRECT(Config!$G$1), MATCH($A34, INDIRECT(Config!$H$1), 0), MATCH(AC$1, INDIRECT(Config!$I$1), 0)), "")</f>
        <v/>
      </c>
      <c r="AD34" s="32" t="str">
        <f t="array" ref="AD34">IFERROR(INDEX(INDIRECT(Config!$G$1), MATCH($A34, INDIRECT(Config!$H$1), 0), MATCH(AD$1, INDIRECT(Config!$I$1), 0)), "")</f>
        <v/>
      </c>
      <c r="AE34" s="35" t="str">
        <f t="array" ref="AE34">IFERROR(INDEX(INDIRECT(Config!$G$1), MATCH($A34, INDIRECT(Config!$H$1), 0), MATCH(AE$1, INDIRECT(Config!$I$1), 0)), "")</f>
        <v/>
      </c>
      <c r="AF34" s="32" t="str">
        <f t="array" ref="AF34">IFERROR(INDEX(INDIRECT(Config!$G$1), MATCH($A34, INDIRECT(Config!$H$1), 0), MATCH(AF$1, INDIRECT(Config!$I$1), 0)), "")</f>
        <v/>
      </c>
      <c r="AG34" s="35" t="str">
        <f t="array" ref="AG34">IFERROR(INDEX(INDIRECT(Config!$G$1), MATCH($A34, INDIRECT(Config!$H$1), 0), MATCH(AG$1, INDIRECT(Config!$I$1), 0)), "")</f>
        <v/>
      </c>
      <c r="AH34" s="32" t="str">
        <f t="array" ref="AH34">IFERROR(INDEX(INDIRECT(Config!$G$1), MATCH($A34, INDIRECT(Config!$H$1), 0), MATCH(AH$1, INDIRECT(Config!$I$1), 0)), "")</f>
        <v/>
      </c>
      <c r="AI34" s="35" t="str">
        <f t="array" ref="AI34">IFERROR(INDEX(INDIRECT(Config!$G$1), MATCH($A34, INDIRECT(Config!$H$1), 0), MATCH(AI$1, INDIRECT(Config!$I$1), 0)), "")</f>
        <v/>
      </c>
      <c r="AJ34" s="32" t="str">
        <f t="array" ref="AJ34">IFERROR(INDEX(INDIRECT(Config!$G$1), MATCH($A34, INDIRECT(Config!$H$1), 0), MATCH(AJ$1, INDIRECT(Config!$I$1), 0)), "")</f>
        <v/>
      </c>
      <c r="AK34" s="35" t="str">
        <f t="array" ref="AK34">IFERROR(INDEX(INDIRECT(Config!$G$1), MATCH($A34, INDIRECT(Config!$H$1), 0), MATCH(AK$1, INDIRECT(Config!$I$1), 0)), "")</f>
        <v/>
      </c>
      <c r="AL34" s="32" t="str">
        <f t="array" ref="AL34">IFERROR(INDEX(INDIRECT(Config!$G$1), MATCH($A34, INDIRECT(Config!$H$1), 0), MATCH(AL$1, INDIRECT(Config!$I$1), 0)), "")</f>
        <v/>
      </c>
      <c r="AM34" s="35" t="str">
        <f t="array" ref="AM34">IFERROR(INDEX(INDIRECT(Config!$G$1), MATCH($A34, INDIRECT(Config!$H$1), 0), MATCH(AM$1, INDIRECT(Config!$I$1), 0)), "")</f>
        <v/>
      </c>
      <c r="AN34" s="32" t="str">
        <f t="array" ref="AN34">IFERROR(INDEX(INDIRECT(Config!$G$1), MATCH($A34, INDIRECT(Config!$H$1), 0), MATCH(AN$1, INDIRECT(Config!$I$1), 0)), "")</f>
        <v/>
      </c>
      <c r="AO34" s="35" t="str">
        <f t="array" ref="AO34">IFERROR(INDEX(INDIRECT(Config!$G$1), MATCH($A34, INDIRECT(Config!$H$1), 0), MATCH(AO$1, INDIRECT(Config!$I$1), 0)), "")</f>
        <v/>
      </c>
      <c r="AP34" s="32" t="str">
        <f t="array" ref="AP34">IFERROR(INDEX(INDIRECT(Config!$G$1), MATCH($A34, INDIRECT(Config!$H$1), 0), MATCH(AP$1, INDIRECT(Config!$I$1), 0)), "")</f>
        <v/>
      </c>
      <c r="AQ34" s="35" t="str">
        <f t="array" ref="AQ34">IFERROR(INDEX(INDIRECT(Config!$G$1), MATCH($A34, INDIRECT(Config!$H$1), 0), MATCH(AQ$1, INDIRECT(Config!$I$1), 0)), "")</f>
        <v/>
      </c>
      <c r="AR34" s="32" t="str">
        <f t="array" ref="AR34">IFERROR(INDEX(INDIRECT(Config!$G$1), MATCH($A34, INDIRECT(Config!$H$1), 0), MATCH(AR$1, INDIRECT(Config!$I$1), 0)), "")</f>
        <v/>
      </c>
      <c r="AS34" s="35" t="str">
        <f t="array" ref="AS34">IFERROR(INDEX(INDIRECT(Config!$G$1), MATCH($A34, INDIRECT(Config!$H$1), 0), MATCH(AS$1, INDIRECT(Config!$I$1), 0)), "")</f>
        <v/>
      </c>
      <c r="AT34" s="32" t="str">
        <f t="array" ref="AT34">IFERROR(INDEX(INDIRECT(Config!$G$1), MATCH($A34, INDIRECT(Config!$H$1), 0), MATCH(AT$1, INDIRECT(Config!$I$1), 0)), "")</f>
        <v/>
      </c>
      <c r="AU34" s="35" t="str">
        <f t="array" ref="AU34">IFERROR(INDEX(INDIRECT(Config!$G$1), MATCH($A34, INDIRECT(Config!$H$1), 0), MATCH(AU$1, INDIRECT(Config!$I$1), 0)), "")</f>
        <v/>
      </c>
      <c r="AV34" s="32" t="str">
        <f t="array" ref="AV34">IFERROR(INDEX(INDIRECT(Config!$G$1), MATCH($A34, INDIRECT(Config!$H$1), 0), MATCH(AV$1, INDIRECT(Config!$I$1), 0)), "")</f>
        <v/>
      </c>
      <c r="AW34" s="35"/>
      <c r="AX34" s="32"/>
      <c r="AY34" s="35"/>
    </row>
    <row r="35" ht="15.75" hidden="1" customHeight="1">
      <c r="A35" s="12" t="str">
        <f>Menus!R27</f>
        <v/>
      </c>
      <c r="B35" s="51">
        <f t="shared" si="5"/>
        <v>0</v>
      </c>
      <c r="C35" s="33" t="str">
        <f t="array" ref="C35">IFERROR(INDEX(INDIRECT(Config!$G$1), MATCH($A35, INDIRECT(Config!$H$1), 0), MATCH(C$1, INDIRECT(Config!$I$1), 0)), "")</f>
        <v/>
      </c>
      <c r="D35" s="34" t="str">
        <f t="array" ref="D35">IFERROR(INDEX(INDIRECT(Config!$G$1), MATCH($A35, INDIRECT(Config!$H$1), 0), MATCH(D$1, INDIRECT(Config!$I$1), 0)), "")</f>
        <v/>
      </c>
      <c r="E35" s="32" t="str">
        <f t="array" ref="E35">IFERROR(INDEX(INDIRECT(Config!$G$1), MATCH($A35, INDIRECT(Config!$H$1), 0), MATCH(E$1, INDIRECT(Config!$I$1), 0)), "")</f>
        <v/>
      </c>
      <c r="F35" s="35" t="str">
        <f t="array" ref="F35">IFERROR(INDEX(INDIRECT(Config!$G$1), MATCH($A35, INDIRECT(Config!$H$1), 0), MATCH(F$1, INDIRECT(Config!$I$1), 0)), "")</f>
        <v/>
      </c>
      <c r="G35" s="32" t="str">
        <f t="array" ref="G35">IFERROR(INDEX(INDIRECT(Config!$G$1), MATCH($A35, INDIRECT(Config!$H$1), 0), MATCH(G$1, INDIRECT(Config!$I$1), 0)), "")</f>
        <v/>
      </c>
      <c r="H35" s="35" t="str">
        <f t="array" ref="H35">IFERROR(INDEX(INDIRECT(Config!$G$1), MATCH($A35, INDIRECT(Config!$H$1), 0), MATCH(H$1, INDIRECT(Config!$I$1), 0)), "")</f>
        <v/>
      </c>
      <c r="I35" s="32" t="str">
        <f t="array" ref="I35">IFERROR(INDEX(INDIRECT(Config!$G$1), MATCH($A35, INDIRECT(Config!$H$1), 0), MATCH(I$1, INDIRECT(Config!$I$1), 0)), "")</f>
        <v/>
      </c>
      <c r="J35" s="35" t="str">
        <f t="array" ref="J35">IFERROR(INDEX(INDIRECT(Config!$G$1), MATCH($A35, INDIRECT(Config!$H$1), 0), MATCH(J$1, INDIRECT(Config!$I$1), 0)), "")</f>
        <v/>
      </c>
      <c r="K35" s="32" t="str">
        <f t="array" ref="K35">IFERROR(INDEX(INDIRECT(Config!$G$1), MATCH($A35, INDIRECT(Config!$H$1), 0), MATCH(K$1, INDIRECT(Config!$I$1), 0)), "")</f>
        <v/>
      </c>
      <c r="L35" s="35" t="str">
        <f t="array" ref="L35">IFERROR(INDEX(INDIRECT(Config!$G$1), MATCH($A35, INDIRECT(Config!$H$1), 0), MATCH(L$1, INDIRECT(Config!$I$1), 0)), "")</f>
        <v/>
      </c>
      <c r="M35" s="32" t="str">
        <f t="array" ref="M35">IFERROR(INDEX(INDIRECT(Config!$G$1), MATCH($A35, INDIRECT(Config!$H$1), 0), MATCH(M$1, INDIRECT(Config!$I$1), 0)), "")</f>
        <v/>
      </c>
      <c r="N35" s="35" t="str">
        <f t="array" ref="N35">IFERROR(INDEX(INDIRECT(Config!$G$1), MATCH($A35, INDIRECT(Config!$H$1), 0), MATCH(N$1, INDIRECT(Config!$I$1), 0)), "")</f>
        <v/>
      </c>
      <c r="O35" s="32" t="str">
        <f t="array" ref="O35">IFERROR(INDEX(INDIRECT(Config!$G$1), MATCH($A35, INDIRECT(Config!$H$1), 0), MATCH(O$1, INDIRECT(Config!$I$1), 0)), "")</f>
        <v/>
      </c>
      <c r="P35" s="35" t="str">
        <f t="array" ref="P35">IFERROR(INDEX(INDIRECT(Config!$G$1), MATCH($A35, INDIRECT(Config!$H$1), 0), MATCH(P$1, INDIRECT(Config!$I$1), 0)), "")</f>
        <v/>
      </c>
      <c r="Q35" s="32" t="str">
        <f t="array" ref="Q35">IFERROR(INDEX(INDIRECT(Config!$G$1), MATCH($A35, INDIRECT(Config!$H$1), 0), MATCH(Q$1, INDIRECT(Config!$I$1), 0)), "")</f>
        <v/>
      </c>
      <c r="R35" s="35" t="str">
        <f t="array" ref="R35">IFERROR(INDEX(INDIRECT(Config!$G$1), MATCH($A35, INDIRECT(Config!$H$1), 0), MATCH(R$1, INDIRECT(Config!$I$1), 0)), "")</f>
        <v/>
      </c>
      <c r="S35" s="32" t="str">
        <f t="array" ref="S35">IFERROR(INDEX(INDIRECT(Config!$G$1), MATCH($A35, INDIRECT(Config!$H$1), 0), MATCH(S$1, INDIRECT(Config!$I$1), 0)), "")</f>
        <v/>
      </c>
      <c r="T35" s="35" t="str">
        <f t="array" ref="T35">IFERROR(INDEX(INDIRECT(Config!$G$1), MATCH($A35, INDIRECT(Config!$H$1), 0), MATCH(T$1, INDIRECT(Config!$I$1), 0)), "")</f>
        <v/>
      </c>
      <c r="U35" s="32" t="str">
        <f t="array" ref="U35">IFERROR(INDEX(INDIRECT(Config!$G$1), MATCH($A35, INDIRECT(Config!$H$1), 0), MATCH(U$1, INDIRECT(Config!$I$1), 0)), "")</f>
        <v/>
      </c>
      <c r="V35" s="35" t="str">
        <f t="array" ref="V35">IFERROR(INDEX(INDIRECT(Config!$G$1), MATCH($A35, INDIRECT(Config!$H$1), 0), MATCH(V$1, INDIRECT(Config!$I$1), 0)), "")</f>
        <v/>
      </c>
      <c r="W35" s="32" t="str">
        <f t="array" ref="W35">IFERROR(INDEX(INDIRECT(Config!$G$1), MATCH($A35, INDIRECT(Config!$H$1), 0), MATCH(W$1, INDIRECT(Config!$I$1), 0)), "")</f>
        <v/>
      </c>
      <c r="X35" s="35" t="str">
        <f t="array" ref="X35">IFERROR(INDEX(INDIRECT(Config!$G$1), MATCH($A35, INDIRECT(Config!$H$1), 0), MATCH(X$1, INDIRECT(Config!$I$1), 0)), "")</f>
        <v/>
      </c>
      <c r="Y35" s="32" t="str">
        <f t="array" ref="Y35">IFERROR(INDEX(INDIRECT(Config!$G$1), MATCH($A35, INDIRECT(Config!$H$1), 0), MATCH(Y$1, INDIRECT(Config!$I$1), 0)), "")</f>
        <v/>
      </c>
      <c r="Z35" s="32" t="str">
        <f t="array" ref="Z35">IFERROR(INDEX(INDIRECT(Config!$G$1), MATCH($A35, INDIRECT(Config!$H$1), 0), MATCH(Z$1, INDIRECT(Config!$I$1), 0)), "")</f>
        <v/>
      </c>
      <c r="AA35" s="35" t="str">
        <f t="array" ref="AA35">IFERROR(INDEX(INDIRECT(Config!$G$1), MATCH($A35, INDIRECT(Config!$H$1), 0), MATCH(AA$1, INDIRECT(Config!$I$1), 0)), "")</f>
        <v/>
      </c>
      <c r="AB35" s="32" t="str">
        <f t="array" ref="AB35">IFERROR(INDEX(INDIRECT(Config!$G$1), MATCH($A35, INDIRECT(Config!$H$1), 0), MATCH(AB$1, INDIRECT(Config!$I$1), 0)), "")</f>
        <v/>
      </c>
      <c r="AC35" s="35" t="str">
        <f t="array" ref="AC35">IFERROR(INDEX(INDIRECT(Config!$G$1), MATCH($A35, INDIRECT(Config!$H$1), 0), MATCH(AC$1, INDIRECT(Config!$I$1), 0)), "")</f>
        <v/>
      </c>
      <c r="AD35" s="32" t="str">
        <f t="array" ref="AD35">IFERROR(INDEX(INDIRECT(Config!$G$1), MATCH($A35, INDIRECT(Config!$H$1), 0), MATCH(AD$1, INDIRECT(Config!$I$1), 0)), "")</f>
        <v/>
      </c>
      <c r="AE35" s="35" t="str">
        <f t="array" ref="AE35">IFERROR(INDEX(INDIRECT(Config!$G$1), MATCH($A35, INDIRECT(Config!$H$1), 0), MATCH(AE$1, INDIRECT(Config!$I$1), 0)), "")</f>
        <v/>
      </c>
      <c r="AF35" s="32" t="str">
        <f t="array" ref="AF35">IFERROR(INDEX(INDIRECT(Config!$G$1), MATCH($A35, INDIRECT(Config!$H$1), 0), MATCH(AF$1, INDIRECT(Config!$I$1), 0)), "")</f>
        <v/>
      </c>
      <c r="AG35" s="35" t="str">
        <f t="array" ref="AG35">IFERROR(INDEX(INDIRECT(Config!$G$1), MATCH($A35, INDIRECT(Config!$H$1), 0), MATCH(AG$1, INDIRECT(Config!$I$1), 0)), "")</f>
        <v/>
      </c>
      <c r="AH35" s="32" t="str">
        <f t="array" ref="AH35">IFERROR(INDEX(INDIRECT(Config!$G$1), MATCH($A35, INDIRECT(Config!$H$1), 0), MATCH(AH$1, INDIRECT(Config!$I$1), 0)), "")</f>
        <v/>
      </c>
      <c r="AI35" s="35" t="str">
        <f t="array" ref="AI35">IFERROR(INDEX(INDIRECT(Config!$G$1), MATCH($A35, INDIRECT(Config!$H$1), 0), MATCH(AI$1, INDIRECT(Config!$I$1), 0)), "")</f>
        <v/>
      </c>
      <c r="AJ35" s="32" t="str">
        <f t="array" ref="AJ35">IFERROR(INDEX(INDIRECT(Config!$G$1), MATCH($A35, INDIRECT(Config!$H$1), 0), MATCH(AJ$1, INDIRECT(Config!$I$1), 0)), "")</f>
        <v/>
      </c>
      <c r="AK35" s="35" t="str">
        <f t="array" ref="AK35">IFERROR(INDEX(INDIRECT(Config!$G$1), MATCH($A35, INDIRECT(Config!$H$1), 0), MATCH(AK$1, INDIRECT(Config!$I$1), 0)), "")</f>
        <v/>
      </c>
      <c r="AL35" s="32" t="str">
        <f t="array" ref="AL35">IFERROR(INDEX(INDIRECT(Config!$G$1), MATCH($A35, INDIRECT(Config!$H$1), 0), MATCH(AL$1, INDIRECT(Config!$I$1), 0)), "")</f>
        <v/>
      </c>
      <c r="AM35" s="35" t="str">
        <f t="array" ref="AM35">IFERROR(INDEX(INDIRECT(Config!$G$1), MATCH($A35, INDIRECT(Config!$H$1), 0), MATCH(AM$1, INDIRECT(Config!$I$1), 0)), "")</f>
        <v/>
      </c>
      <c r="AN35" s="32" t="str">
        <f t="array" ref="AN35">IFERROR(INDEX(INDIRECT(Config!$G$1), MATCH($A35, INDIRECT(Config!$H$1), 0), MATCH(AN$1, INDIRECT(Config!$I$1), 0)), "")</f>
        <v/>
      </c>
      <c r="AO35" s="35" t="str">
        <f t="array" ref="AO35">IFERROR(INDEX(INDIRECT(Config!$G$1), MATCH($A35, INDIRECT(Config!$H$1), 0), MATCH(AO$1, INDIRECT(Config!$I$1), 0)), "")</f>
        <v/>
      </c>
      <c r="AP35" s="32" t="str">
        <f t="array" ref="AP35">IFERROR(INDEX(INDIRECT(Config!$G$1), MATCH($A35, INDIRECT(Config!$H$1), 0), MATCH(AP$1, INDIRECT(Config!$I$1), 0)), "")</f>
        <v/>
      </c>
      <c r="AQ35" s="35" t="str">
        <f t="array" ref="AQ35">IFERROR(INDEX(INDIRECT(Config!$G$1), MATCH($A35, INDIRECT(Config!$H$1), 0), MATCH(AQ$1, INDIRECT(Config!$I$1), 0)), "")</f>
        <v/>
      </c>
      <c r="AR35" s="32" t="str">
        <f t="array" ref="AR35">IFERROR(INDEX(INDIRECT(Config!$G$1), MATCH($A35, INDIRECT(Config!$H$1), 0), MATCH(AR$1, INDIRECT(Config!$I$1), 0)), "")</f>
        <v/>
      </c>
      <c r="AS35" s="35" t="str">
        <f t="array" ref="AS35">IFERROR(INDEX(INDIRECT(Config!$G$1), MATCH($A35, INDIRECT(Config!$H$1), 0), MATCH(AS$1, INDIRECT(Config!$I$1), 0)), "")</f>
        <v/>
      </c>
      <c r="AT35" s="32" t="str">
        <f t="array" ref="AT35">IFERROR(INDEX(INDIRECT(Config!$G$1), MATCH($A35, INDIRECT(Config!$H$1), 0), MATCH(AT$1, INDIRECT(Config!$I$1), 0)), "")</f>
        <v/>
      </c>
      <c r="AU35" s="35" t="str">
        <f t="array" ref="AU35">IFERROR(INDEX(INDIRECT(Config!$G$1), MATCH($A35, INDIRECT(Config!$H$1), 0), MATCH(AU$1, INDIRECT(Config!$I$1), 0)), "")</f>
        <v/>
      </c>
      <c r="AV35" s="32" t="str">
        <f t="array" ref="AV35">IFERROR(INDEX(INDIRECT(Config!$G$1), MATCH($A35, INDIRECT(Config!$H$1), 0), MATCH(AV$1, INDIRECT(Config!$I$1), 0)), "")</f>
        <v/>
      </c>
      <c r="AW35" s="35"/>
      <c r="AX35" s="32"/>
      <c r="AY35" s="35"/>
    </row>
    <row r="36" ht="15.75" hidden="1" customHeight="1">
      <c r="A36" s="12" t="str">
        <f>Menus!R28</f>
        <v/>
      </c>
      <c r="B36" s="51">
        <f t="shared" si="5"/>
        <v>0</v>
      </c>
      <c r="C36" s="33" t="str">
        <f t="array" ref="C36">IFERROR(INDEX(INDIRECT(Config!$G$1), MATCH($A36, INDIRECT(Config!$H$1), 0), MATCH(C$1, INDIRECT(Config!$I$1), 0)), "")</f>
        <v/>
      </c>
      <c r="D36" s="34" t="str">
        <f t="array" ref="D36">IFERROR(INDEX(INDIRECT(Config!$G$1), MATCH($A36, INDIRECT(Config!$H$1), 0), MATCH(D$1, INDIRECT(Config!$I$1), 0)), "")</f>
        <v/>
      </c>
      <c r="E36" s="32" t="str">
        <f t="array" ref="E36">IFERROR(INDEX(INDIRECT(Config!$G$1), MATCH($A36, INDIRECT(Config!$H$1), 0), MATCH(E$1, INDIRECT(Config!$I$1), 0)), "")</f>
        <v/>
      </c>
      <c r="F36" s="35" t="str">
        <f t="array" ref="F36">IFERROR(INDEX(INDIRECT(Config!$G$1), MATCH($A36, INDIRECT(Config!$H$1), 0), MATCH(F$1, INDIRECT(Config!$I$1), 0)), "")</f>
        <v/>
      </c>
      <c r="G36" s="32" t="str">
        <f t="array" ref="G36">IFERROR(INDEX(INDIRECT(Config!$G$1), MATCH($A36, INDIRECT(Config!$H$1), 0), MATCH(G$1, INDIRECT(Config!$I$1), 0)), "")</f>
        <v/>
      </c>
      <c r="H36" s="35" t="str">
        <f t="array" ref="H36">IFERROR(INDEX(INDIRECT(Config!$G$1), MATCH($A36, INDIRECT(Config!$H$1), 0), MATCH(H$1, INDIRECT(Config!$I$1), 0)), "")</f>
        <v/>
      </c>
      <c r="I36" s="32" t="str">
        <f t="array" ref="I36">IFERROR(INDEX(INDIRECT(Config!$G$1), MATCH($A36, INDIRECT(Config!$H$1), 0), MATCH(I$1, INDIRECT(Config!$I$1), 0)), "")</f>
        <v/>
      </c>
      <c r="J36" s="35" t="str">
        <f t="array" ref="J36">IFERROR(INDEX(INDIRECT(Config!$G$1), MATCH($A36, INDIRECT(Config!$H$1), 0), MATCH(J$1, INDIRECT(Config!$I$1), 0)), "")</f>
        <v/>
      </c>
      <c r="K36" s="32" t="str">
        <f t="array" ref="K36">IFERROR(INDEX(INDIRECT(Config!$G$1), MATCH($A36, INDIRECT(Config!$H$1), 0), MATCH(K$1, INDIRECT(Config!$I$1), 0)), "")</f>
        <v/>
      </c>
      <c r="L36" s="35" t="str">
        <f t="array" ref="L36">IFERROR(INDEX(INDIRECT(Config!$G$1), MATCH($A36, INDIRECT(Config!$H$1), 0), MATCH(L$1, INDIRECT(Config!$I$1), 0)), "")</f>
        <v/>
      </c>
      <c r="M36" s="32" t="str">
        <f t="array" ref="M36">IFERROR(INDEX(INDIRECT(Config!$G$1), MATCH($A36, INDIRECT(Config!$H$1), 0), MATCH(M$1, INDIRECT(Config!$I$1), 0)), "")</f>
        <v/>
      </c>
      <c r="N36" s="35" t="str">
        <f t="array" ref="N36">IFERROR(INDEX(INDIRECT(Config!$G$1), MATCH($A36, INDIRECT(Config!$H$1), 0), MATCH(N$1, INDIRECT(Config!$I$1), 0)), "")</f>
        <v/>
      </c>
      <c r="O36" s="32" t="str">
        <f t="array" ref="O36">IFERROR(INDEX(INDIRECT(Config!$G$1), MATCH($A36, INDIRECT(Config!$H$1), 0), MATCH(O$1, INDIRECT(Config!$I$1), 0)), "")</f>
        <v/>
      </c>
      <c r="P36" s="35" t="str">
        <f t="array" ref="P36">IFERROR(INDEX(INDIRECT(Config!$G$1), MATCH($A36, INDIRECT(Config!$H$1), 0), MATCH(P$1, INDIRECT(Config!$I$1), 0)), "")</f>
        <v/>
      </c>
      <c r="Q36" s="32" t="str">
        <f t="array" ref="Q36">IFERROR(INDEX(INDIRECT(Config!$G$1), MATCH($A36, INDIRECT(Config!$H$1), 0), MATCH(Q$1, INDIRECT(Config!$I$1), 0)), "")</f>
        <v/>
      </c>
      <c r="R36" s="35" t="str">
        <f t="array" ref="R36">IFERROR(INDEX(INDIRECT(Config!$G$1), MATCH($A36, INDIRECT(Config!$H$1), 0), MATCH(R$1, INDIRECT(Config!$I$1), 0)), "")</f>
        <v/>
      </c>
      <c r="S36" s="32" t="str">
        <f t="array" ref="S36">IFERROR(INDEX(INDIRECT(Config!$G$1), MATCH($A36, INDIRECT(Config!$H$1), 0), MATCH(S$1, INDIRECT(Config!$I$1), 0)), "")</f>
        <v/>
      </c>
      <c r="T36" s="35" t="str">
        <f t="array" ref="T36">IFERROR(INDEX(INDIRECT(Config!$G$1), MATCH($A36, INDIRECT(Config!$H$1), 0), MATCH(T$1, INDIRECT(Config!$I$1), 0)), "")</f>
        <v/>
      </c>
      <c r="U36" s="32" t="str">
        <f t="array" ref="U36">IFERROR(INDEX(INDIRECT(Config!$G$1), MATCH($A36, INDIRECT(Config!$H$1), 0), MATCH(U$1, INDIRECT(Config!$I$1), 0)), "")</f>
        <v/>
      </c>
      <c r="V36" s="35" t="str">
        <f t="array" ref="V36">IFERROR(INDEX(INDIRECT(Config!$G$1), MATCH($A36, INDIRECT(Config!$H$1), 0), MATCH(V$1, INDIRECT(Config!$I$1), 0)), "")</f>
        <v/>
      </c>
      <c r="W36" s="32" t="str">
        <f t="array" ref="W36">IFERROR(INDEX(INDIRECT(Config!$G$1), MATCH($A36, INDIRECT(Config!$H$1), 0), MATCH(W$1, INDIRECT(Config!$I$1), 0)), "")</f>
        <v/>
      </c>
      <c r="X36" s="35" t="str">
        <f t="array" ref="X36">IFERROR(INDEX(INDIRECT(Config!$G$1), MATCH($A36, INDIRECT(Config!$H$1), 0), MATCH(X$1, INDIRECT(Config!$I$1), 0)), "")</f>
        <v/>
      </c>
      <c r="Y36" s="32" t="str">
        <f t="array" ref="Y36">IFERROR(INDEX(INDIRECT(Config!$G$1), MATCH($A36, INDIRECT(Config!$H$1), 0), MATCH(Y$1, INDIRECT(Config!$I$1), 0)), "")</f>
        <v/>
      </c>
      <c r="Z36" s="32" t="str">
        <f t="array" ref="Z36">IFERROR(INDEX(INDIRECT(Config!$G$1), MATCH($A36, INDIRECT(Config!$H$1), 0), MATCH(Z$1, INDIRECT(Config!$I$1), 0)), "")</f>
        <v/>
      </c>
      <c r="AA36" s="35" t="str">
        <f t="array" ref="AA36">IFERROR(INDEX(INDIRECT(Config!$G$1), MATCH($A36, INDIRECT(Config!$H$1), 0), MATCH(AA$1, INDIRECT(Config!$I$1), 0)), "")</f>
        <v/>
      </c>
      <c r="AB36" s="32" t="str">
        <f t="array" ref="AB36">IFERROR(INDEX(INDIRECT(Config!$G$1), MATCH($A36, INDIRECT(Config!$H$1), 0), MATCH(AB$1, INDIRECT(Config!$I$1), 0)), "")</f>
        <v/>
      </c>
      <c r="AC36" s="35" t="str">
        <f t="array" ref="AC36">IFERROR(INDEX(INDIRECT(Config!$G$1), MATCH($A36, INDIRECT(Config!$H$1), 0), MATCH(AC$1, INDIRECT(Config!$I$1), 0)), "")</f>
        <v/>
      </c>
      <c r="AD36" s="32" t="str">
        <f t="array" ref="AD36">IFERROR(INDEX(INDIRECT(Config!$G$1), MATCH($A36, INDIRECT(Config!$H$1), 0), MATCH(AD$1, INDIRECT(Config!$I$1), 0)), "")</f>
        <v/>
      </c>
      <c r="AE36" s="35" t="str">
        <f t="array" ref="AE36">IFERROR(INDEX(INDIRECT(Config!$G$1), MATCH($A36, INDIRECT(Config!$H$1), 0), MATCH(AE$1, INDIRECT(Config!$I$1), 0)), "")</f>
        <v/>
      </c>
      <c r="AF36" s="32" t="str">
        <f t="array" ref="AF36">IFERROR(INDEX(INDIRECT(Config!$G$1), MATCH($A36, INDIRECT(Config!$H$1), 0), MATCH(AF$1, INDIRECT(Config!$I$1), 0)), "")</f>
        <v/>
      </c>
      <c r="AG36" s="35" t="str">
        <f t="array" ref="AG36">IFERROR(INDEX(INDIRECT(Config!$G$1), MATCH($A36, INDIRECT(Config!$H$1), 0), MATCH(AG$1, INDIRECT(Config!$I$1), 0)), "")</f>
        <v/>
      </c>
      <c r="AH36" s="32" t="str">
        <f t="array" ref="AH36">IFERROR(INDEX(INDIRECT(Config!$G$1), MATCH($A36, INDIRECT(Config!$H$1), 0), MATCH(AH$1, INDIRECT(Config!$I$1), 0)), "")</f>
        <v/>
      </c>
      <c r="AI36" s="35" t="str">
        <f t="array" ref="AI36">IFERROR(INDEX(INDIRECT(Config!$G$1), MATCH($A36, INDIRECT(Config!$H$1), 0), MATCH(AI$1, INDIRECT(Config!$I$1), 0)), "")</f>
        <v/>
      </c>
      <c r="AJ36" s="32" t="str">
        <f t="array" ref="AJ36">IFERROR(INDEX(INDIRECT(Config!$G$1), MATCH($A36, INDIRECT(Config!$H$1), 0), MATCH(AJ$1, INDIRECT(Config!$I$1), 0)), "")</f>
        <v/>
      </c>
      <c r="AK36" s="35" t="str">
        <f t="array" ref="AK36">IFERROR(INDEX(INDIRECT(Config!$G$1), MATCH($A36, INDIRECT(Config!$H$1), 0), MATCH(AK$1, INDIRECT(Config!$I$1), 0)), "")</f>
        <v/>
      </c>
      <c r="AL36" s="32" t="str">
        <f t="array" ref="AL36">IFERROR(INDEX(INDIRECT(Config!$G$1), MATCH($A36, INDIRECT(Config!$H$1), 0), MATCH(AL$1, INDIRECT(Config!$I$1), 0)), "")</f>
        <v/>
      </c>
      <c r="AM36" s="35" t="str">
        <f t="array" ref="AM36">IFERROR(INDEX(INDIRECT(Config!$G$1), MATCH($A36, INDIRECT(Config!$H$1), 0), MATCH(AM$1, INDIRECT(Config!$I$1), 0)), "")</f>
        <v/>
      </c>
      <c r="AN36" s="32" t="str">
        <f t="array" ref="AN36">IFERROR(INDEX(INDIRECT(Config!$G$1), MATCH($A36, INDIRECT(Config!$H$1), 0), MATCH(AN$1, INDIRECT(Config!$I$1), 0)), "")</f>
        <v/>
      </c>
      <c r="AO36" s="35" t="str">
        <f t="array" ref="AO36">IFERROR(INDEX(INDIRECT(Config!$G$1), MATCH($A36, INDIRECT(Config!$H$1), 0), MATCH(AO$1, INDIRECT(Config!$I$1), 0)), "")</f>
        <v/>
      </c>
      <c r="AP36" s="32" t="str">
        <f t="array" ref="AP36">IFERROR(INDEX(INDIRECT(Config!$G$1), MATCH($A36, INDIRECT(Config!$H$1), 0), MATCH(AP$1, INDIRECT(Config!$I$1), 0)), "")</f>
        <v/>
      </c>
      <c r="AQ36" s="35" t="str">
        <f t="array" ref="AQ36">IFERROR(INDEX(INDIRECT(Config!$G$1), MATCH($A36, INDIRECT(Config!$H$1), 0), MATCH(AQ$1, INDIRECT(Config!$I$1), 0)), "")</f>
        <v/>
      </c>
      <c r="AR36" s="32" t="str">
        <f t="array" ref="AR36">IFERROR(INDEX(INDIRECT(Config!$G$1), MATCH($A36, INDIRECT(Config!$H$1), 0), MATCH(AR$1, INDIRECT(Config!$I$1), 0)), "")</f>
        <v/>
      </c>
      <c r="AS36" s="35" t="str">
        <f t="array" ref="AS36">IFERROR(INDEX(INDIRECT(Config!$G$1), MATCH($A36, INDIRECT(Config!$H$1), 0), MATCH(AS$1, INDIRECT(Config!$I$1), 0)), "")</f>
        <v/>
      </c>
      <c r="AT36" s="32" t="str">
        <f t="array" ref="AT36">IFERROR(INDEX(INDIRECT(Config!$G$1), MATCH($A36, INDIRECT(Config!$H$1), 0), MATCH(AT$1, INDIRECT(Config!$I$1), 0)), "")</f>
        <v/>
      </c>
      <c r="AU36" s="35" t="str">
        <f t="array" ref="AU36">IFERROR(INDEX(INDIRECT(Config!$G$1), MATCH($A36, INDIRECT(Config!$H$1), 0), MATCH(AU$1, INDIRECT(Config!$I$1), 0)), "")</f>
        <v/>
      </c>
      <c r="AV36" s="32" t="str">
        <f t="array" ref="AV36">IFERROR(INDEX(INDIRECT(Config!$G$1), MATCH($A36, INDIRECT(Config!$H$1), 0), MATCH(AV$1, INDIRECT(Config!$I$1), 0)), "")</f>
        <v/>
      </c>
      <c r="AW36" s="35"/>
      <c r="AX36" s="32"/>
      <c r="AY36" s="35"/>
    </row>
    <row r="37" ht="15.75" hidden="1" customHeight="1">
      <c r="A37" s="12" t="str">
        <f>Menus!R29</f>
        <v/>
      </c>
      <c r="B37" s="51">
        <f t="shared" si="5"/>
        <v>0</v>
      </c>
      <c r="C37" s="33" t="str">
        <f t="array" ref="C37">IFERROR(INDEX(INDIRECT(Config!$G$1), MATCH($A37, INDIRECT(Config!$H$1), 0), MATCH(C$1, INDIRECT(Config!$I$1), 0)), "")</f>
        <v/>
      </c>
      <c r="D37" s="34" t="str">
        <f t="array" ref="D37">IFERROR(INDEX(INDIRECT(Config!$G$1), MATCH($A37, INDIRECT(Config!$H$1), 0), MATCH(D$1, INDIRECT(Config!$I$1), 0)), "")</f>
        <v/>
      </c>
      <c r="E37" s="32" t="str">
        <f t="array" ref="E37">IFERROR(INDEX(INDIRECT(Config!$G$1), MATCH($A37, INDIRECT(Config!$H$1), 0), MATCH(E$1, INDIRECT(Config!$I$1), 0)), "")</f>
        <v/>
      </c>
      <c r="F37" s="35" t="str">
        <f t="array" ref="F37">IFERROR(INDEX(INDIRECT(Config!$G$1), MATCH($A37, INDIRECT(Config!$H$1), 0), MATCH(F$1, INDIRECT(Config!$I$1), 0)), "")</f>
        <v/>
      </c>
      <c r="G37" s="32" t="str">
        <f t="array" ref="G37">IFERROR(INDEX(INDIRECT(Config!$G$1), MATCH($A37, INDIRECT(Config!$H$1), 0), MATCH(G$1, INDIRECT(Config!$I$1), 0)), "")</f>
        <v/>
      </c>
      <c r="H37" s="35" t="str">
        <f t="array" ref="H37">IFERROR(INDEX(INDIRECT(Config!$G$1), MATCH($A37, INDIRECT(Config!$H$1), 0), MATCH(H$1, INDIRECT(Config!$I$1), 0)), "")</f>
        <v/>
      </c>
      <c r="I37" s="32" t="str">
        <f t="array" ref="I37">IFERROR(INDEX(INDIRECT(Config!$G$1), MATCH($A37, INDIRECT(Config!$H$1), 0), MATCH(I$1, INDIRECT(Config!$I$1), 0)), "")</f>
        <v/>
      </c>
      <c r="J37" s="35" t="str">
        <f t="array" ref="J37">IFERROR(INDEX(INDIRECT(Config!$G$1), MATCH($A37, INDIRECT(Config!$H$1), 0), MATCH(J$1, INDIRECT(Config!$I$1), 0)), "")</f>
        <v/>
      </c>
      <c r="K37" s="32" t="str">
        <f t="array" ref="K37">IFERROR(INDEX(INDIRECT(Config!$G$1), MATCH($A37, INDIRECT(Config!$H$1), 0), MATCH(K$1, INDIRECT(Config!$I$1), 0)), "")</f>
        <v/>
      </c>
      <c r="L37" s="35" t="str">
        <f t="array" ref="L37">IFERROR(INDEX(INDIRECT(Config!$G$1), MATCH($A37, INDIRECT(Config!$H$1), 0), MATCH(L$1, INDIRECT(Config!$I$1), 0)), "")</f>
        <v/>
      </c>
      <c r="M37" s="32" t="str">
        <f t="array" ref="M37">IFERROR(INDEX(INDIRECT(Config!$G$1), MATCH($A37, INDIRECT(Config!$H$1), 0), MATCH(M$1, INDIRECT(Config!$I$1), 0)), "")</f>
        <v/>
      </c>
      <c r="N37" s="35" t="str">
        <f t="array" ref="N37">IFERROR(INDEX(INDIRECT(Config!$G$1), MATCH($A37, INDIRECT(Config!$H$1), 0), MATCH(N$1, INDIRECT(Config!$I$1), 0)), "")</f>
        <v/>
      </c>
      <c r="O37" s="32" t="str">
        <f t="array" ref="O37">IFERROR(INDEX(INDIRECT(Config!$G$1), MATCH($A37, INDIRECT(Config!$H$1), 0), MATCH(O$1, INDIRECT(Config!$I$1), 0)), "")</f>
        <v/>
      </c>
      <c r="P37" s="35" t="str">
        <f t="array" ref="P37">IFERROR(INDEX(INDIRECT(Config!$G$1), MATCH($A37, INDIRECT(Config!$H$1), 0), MATCH(P$1, INDIRECT(Config!$I$1), 0)), "")</f>
        <v/>
      </c>
      <c r="Q37" s="32" t="str">
        <f t="array" ref="Q37">IFERROR(INDEX(INDIRECT(Config!$G$1), MATCH($A37, INDIRECT(Config!$H$1), 0), MATCH(Q$1, INDIRECT(Config!$I$1), 0)), "")</f>
        <v/>
      </c>
      <c r="R37" s="35" t="str">
        <f t="array" ref="R37">IFERROR(INDEX(INDIRECT(Config!$G$1), MATCH($A37, INDIRECT(Config!$H$1), 0), MATCH(R$1, INDIRECT(Config!$I$1), 0)), "")</f>
        <v/>
      </c>
      <c r="S37" s="32" t="str">
        <f t="array" ref="S37">IFERROR(INDEX(INDIRECT(Config!$G$1), MATCH($A37, INDIRECT(Config!$H$1), 0), MATCH(S$1, INDIRECT(Config!$I$1), 0)), "")</f>
        <v/>
      </c>
      <c r="T37" s="35" t="str">
        <f t="array" ref="T37">IFERROR(INDEX(INDIRECT(Config!$G$1), MATCH($A37, INDIRECT(Config!$H$1), 0), MATCH(T$1, INDIRECT(Config!$I$1), 0)), "")</f>
        <v/>
      </c>
      <c r="U37" s="32" t="str">
        <f t="array" ref="U37">IFERROR(INDEX(INDIRECT(Config!$G$1), MATCH($A37, INDIRECT(Config!$H$1), 0), MATCH(U$1, INDIRECT(Config!$I$1), 0)), "")</f>
        <v/>
      </c>
      <c r="V37" s="35" t="str">
        <f t="array" ref="V37">IFERROR(INDEX(INDIRECT(Config!$G$1), MATCH($A37, INDIRECT(Config!$H$1), 0), MATCH(V$1, INDIRECT(Config!$I$1), 0)), "")</f>
        <v/>
      </c>
      <c r="W37" s="32" t="str">
        <f t="array" ref="W37">IFERROR(INDEX(INDIRECT(Config!$G$1), MATCH($A37, INDIRECT(Config!$H$1), 0), MATCH(W$1, INDIRECT(Config!$I$1), 0)), "")</f>
        <v/>
      </c>
      <c r="X37" s="35" t="str">
        <f t="array" ref="X37">IFERROR(INDEX(INDIRECT(Config!$G$1), MATCH($A37, INDIRECT(Config!$H$1), 0), MATCH(X$1, INDIRECT(Config!$I$1), 0)), "")</f>
        <v/>
      </c>
      <c r="Y37" s="32" t="str">
        <f t="array" ref="Y37">IFERROR(INDEX(INDIRECT(Config!$G$1), MATCH($A37, INDIRECT(Config!$H$1), 0), MATCH(Y$1, INDIRECT(Config!$I$1), 0)), "")</f>
        <v/>
      </c>
      <c r="Z37" s="32" t="str">
        <f t="array" ref="Z37">IFERROR(INDEX(INDIRECT(Config!$G$1), MATCH($A37, INDIRECT(Config!$H$1), 0), MATCH(Z$1, INDIRECT(Config!$I$1), 0)), "")</f>
        <v/>
      </c>
      <c r="AA37" s="35" t="str">
        <f t="array" ref="AA37">IFERROR(INDEX(INDIRECT(Config!$G$1), MATCH($A37, INDIRECT(Config!$H$1), 0), MATCH(AA$1, INDIRECT(Config!$I$1), 0)), "")</f>
        <v/>
      </c>
      <c r="AB37" s="32" t="str">
        <f t="array" ref="AB37">IFERROR(INDEX(INDIRECT(Config!$G$1), MATCH($A37, INDIRECT(Config!$H$1), 0), MATCH(AB$1, INDIRECT(Config!$I$1), 0)), "")</f>
        <v/>
      </c>
      <c r="AC37" s="35" t="str">
        <f t="array" ref="AC37">IFERROR(INDEX(INDIRECT(Config!$G$1), MATCH($A37, INDIRECT(Config!$H$1), 0), MATCH(AC$1, INDIRECT(Config!$I$1), 0)), "")</f>
        <v/>
      </c>
      <c r="AD37" s="32" t="str">
        <f t="array" ref="AD37">IFERROR(INDEX(INDIRECT(Config!$G$1), MATCH($A37, INDIRECT(Config!$H$1), 0), MATCH(AD$1, INDIRECT(Config!$I$1), 0)), "")</f>
        <v/>
      </c>
      <c r="AE37" s="35" t="str">
        <f t="array" ref="AE37">IFERROR(INDEX(INDIRECT(Config!$G$1), MATCH($A37, INDIRECT(Config!$H$1), 0), MATCH(AE$1, INDIRECT(Config!$I$1), 0)), "")</f>
        <v/>
      </c>
      <c r="AF37" s="32" t="str">
        <f t="array" ref="AF37">IFERROR(INDEX(INDIRECT(Config!$G$1), MATCH($A37, INDIRECT(Config!$H$1), 0), MATCH(AF$1, INDIRECT(Config!$I$1), 0)), "")</f>
        <v/>
      </c>
      <c r="AG37" s="35" t="str">
        <f t="array" ref="AG37">IFERROR(INDEX(INDIRECT(Config!$G$1), MATCH($A37, INDIRECT(Config!$H$1), 0), MATCH(AG$1, INDIRECT(Config!$I$1), 0)), "")</f>
        <v/>
      </c>
      <c r="AH37" s="32" t="str">
        <f t="array" ref="AH37">IFERROR(INDEX(INDIRECT(Config!$G$1), MATCH($A37, INDIRECT(Config!$H$1), 0), MATCH(AH$1, INDIRECT(Config!$I$1), 0)), "")</f>
        <v/>
      </c>
      <c r="AI37" s="35" t="str">
        <f t="array" ref="AI37">IFERROR(INDEX(INDIRECT(Config!$G$1), MATCH($A37, INDIRECT(Config!$H$1), 0), MATCH(AI$1, INDIRECT(Config!$I$1), 0)), "")</f>
        <v/>
      </c>
      <c r="AJ37" s="32" t="str">
        <f t="array" ref="AJ37">IFERROR(INDEX(INDIRECT(Config!$G$1), MATCH($A37, INDIRECT(Config!$H$1), 0), MATCH(AJ$1, INDIRECT(Config!$I$1), 0)), "")</f>
        <v/>
      </c>
      <c r="AK37" s="35" t="str">
        <f t="array" ref="AK37">IFERROR(INDEX(INDIRECT(Config!$G$1), MATCH($A37, INDIRECT(Config!$H$1), 0), MATCH(AK$1, INDIRECT(Config!$I$1), 0)), "")</f>
        <v/>
      </c>
      <c r="AL37" s="32" t="str">
        <f t="array" ref="AL37">IFERROR(INDEX(INDIRECT(Config!$G$1), MATCH($A37, INDIRECT(Config!$H$1), 0), MATCH(AL$1, INDIRECT(Config!$I$1), 0)), "")</f>
        <v/>
      </c>
      <c r="AM37" s="35" t="str">
        <f t="array" ref="AM37">IFERROR(INDEX(INDIRECT(Config!$G$1), MATCH($A37, INDIRECT(Config!$H$1), 0), MATCH(AM$1, INDIRECT(Config!$I$1), 0)), "")</f>
        <v/>
      </c>
      <c r="AN37" s="32" t="str">
        <f t="array" ref="AN37">IFERROR(INDEX(INDIRECT(Config!$G$1), MATCH($A37, INDIRECT(Config!$H$1), 0), MATCH(AN$1, INDIRECT(Config!$I$1), 0)), "")</f>
        <v/>
      </c>
      <c r="AO37" s="35" t="str">
        <f t="array" ref="AO37">IFERROR(INDEX(INDIRECT(Config!$G$1), MATCH($A37, INDIRECT(Config!$H$1), 0), MATCH(AO$1, INDIRECT(Config!$I$1), 0)), "")</f>
        <v/>
      </c>
      <c r="AP37" s="32" t="str">
        <f t="array" ref="AP37">IFERROR(INDEX(INDIRECT(Config!$G$1), MATCH($A37, INDIRECT(Config!$H$1), 0), MATCH(AP$1, INDIRECT(Config!$I$1), 0)), "")</f>
        <v/>
      </c>
      <c r="AQ37" s="35" t="str">
        <f t="array" ref="AQ37">IFERROR(INDEX(INDIRECT(Config!$G$1), MATCH($A37, INDIRECT(Config!$H$1), 0), MATCH(AQ$1, INDIRECT(Config!$I$1), 0)), "")</f>
        <v/>
      </c>
      <c r="AR37" s="32" t="str">
        <f t="array" ref="AR37">IFERROR(INDEX(INDIRECT(Config!$G$1), MATCH($A37, INDIRECT(Config!$H$1), 0), MATCH(AR$1, INDIRECT(Config!$I$1), 0)), "")</f>
        <v/>
      </c>
      <c r="AS37" s="35" t="str">
        <f t="array" ref="AS37">IFERROR(INDEX(INDIRECT(Config!$G$1), MATCH($A37, INDIRECT(Config!$H$1), 0), MATCH(AS$1, INDIRECT(Config!$I$1), 0)), "")</f>
        <v/>
      </c>
      <c r="AT37" s="32" t="str">
        <f t="array" ref="AT37">IFERROR(INDEX(INDIRECT(Config!$G$1), MATCH($A37, INDIRECT(Config!$H$1), 0), MATCH(AT$1, INDIRECT(Config!$I$1), 0)), "")</f>
        <v/>
      </c>
      <c r="AU37" s="35" t="str">
        <f t="array" ref="AU37">IFERROR(INDEX(INDIRECT(Config!$G$1), MATCH($A37, INDIRECT(Config!$H$1), 0), MATCH(AU$1, INDIRECT(Config!$I$1), 0)), "")</f>
        <v/>
      </c>
      <c r="AV37" s="32" t="str">
        <f t="array" ref="AV37">IFERROR(INDEX(INDIRECT(Config!$G$1), MATCH($A37, INDIRECT(Config!$H$1), 0), MATCH(AV$1, INDIRECT(Config!$I$1), 0)), "")</f>
        <v/>
      </c>
      <c r="AW37" s="35"/>
      <c r="AX37" s="32"/>
      <c r="AY37" s="35"/>
    </row>
    <row r="38" ht="15.75" hidden="1" customHeight="1">
      <c r="A38" s="12" t="str">
        <f>Menus!R30</f>
        <v/>
      </c>
      <c r="B38" s="51">
        <f t="shared" si="5"/>
        <v>0</v>
      </c>
      <c r="C38" s="33" t="str">
        <f t="array" ref="C38">IFERROR(INDEX(INDIRECT(Config!$G$1), MATCH($A38, INDIRECT(Config!$H$1), 0), MATCH(C$1, INDIRECT(Config!$I$1), 0)), "")</f>
        <v/>
      </c>
      <c r="D38" s="34" t="str">
        <f t="array" ref="D38">IFERROR(INDEX(INDIRECT(Config!$G$1), MATCH($A38, INDIRECT(Config!$H$1), 0), MATCH(D$1, INDIRECT(Config!$I$1), 0)), "")</f>
        <v/>
      </c>
      <c r="E38" s="32" t="str">
        <f t="array" ref="E38">IFERROR(INDEX(INDIRECT(Config!$G$1), MATCH($A38, INDIRECT(Config!$H$1), 0), MATCH(E$1, INDIRECT(Config!$I$1), 0)), "")</f>
        <v/>
      </c>
      <c r="F38" s="35" t="str">
        <f t="array" ref="F38">IFERROR(INDEX(INDIRECT(Config!$G$1), MATCH($A38, INDIRECT(Config!$H$1), 0), MATCH(F$1, INDIRECT(Config!$I$1), 0)), "")</f>
        <v/>
      </c>
      <c r="G38" s="32" t="str">
        <f t="array" ref="G38">IFERROR(INDEX(INDIRECT(Config!$G$1), MATCH($A38, INDIRECT(Config!$H$1), 0), MATCH(G$1, INDIRECT(Config!$I$1), 0)), "")</f>
        <v/>
      </c>
      <c r="H38" s="35" t="str">
        <f t="array" ref="H38">IFERROR(INDEX(INDIRECT(Config!$G$1), MATCH($A38, INDIRECT(Config!$H$1), 0), MATCH(H$1, INDIRECT(Config!$I$1), 0)), "")</f>
        <v/>
      </c>
      <c r="I38" s="32" t="str">
        <f t="array" ref="I38">IFERROR(INDEX(INDIRECT(Config!$G$1), MATCH($A38, INDIRECT(Config!$H$1), 0), MATCH(I$1, INDIRECT(Config!$I$1), 0)), "")</f>
        <v/>
      </c>
      <c r="J38" s="35" t="str">
        <f t="array" ref="J38">IFERROR(INDEX(INDIRECT(Config!$G$1), MATCH($A38, INDIRECT(Config!$H$1), 0), MATCH(J$1, INDIRECT(Config!$I$1), 0)), "")</f>
        <v/>
      </c>
      <c r="K38" s="32" t="str">
        <f t="array" ref="K38">IFERROR(INDEX(INDIRECT(Config!$G$1), MATCH($A38, INDIRECT(Config!$H$1), 0), MATCH(K$1, INDIRECT(Config!$I$1), 0)), "")</f>
        <v/>
      </c>
      <c r="L38" s="35" t="str">
        <f t="array" ref="L38">IFERROR(INDEX(INDIRECT(Config!$G$1), MATCH($A38, INDIRECT(Config!$H$1), 0), MATCH(L$1, INDIRECT(Config!$I$1), 0)), "")</f>
        <v/>
      </c>
      <c r="M38" s="32" t="str">
        <f t="array" ref="M38">IFERROR(INDEX(INDIRECT(Config!$G$1), MATCH($A38, INDIRECT(Config!$H$1), 0), MATCH(M$1, INDIRECT(Config!$I$1), 0)), "")</f>
        <v/>
      </c>
      <c r="N38" s="35" t="str">
        <f t="array" ref="N38">IFERROR(INDEX(INDIRECT(Config!$G$1), MATCH($A38, INDIRECT(Config!$H$1), 0), MATCH(N$1, INDIRECT(Config!$I$1), 0)), "")</f>
        <v/>
      </c>
      <c r="O38" s="32" t="str">
        <f t="array" ref="O38">IFERROR(INDEX(INDIRECT(Config!$G$1), MATCH($A38, INDIRECT(Config!$H$1), 0), MATCH(O$1, INDIRECT(Config!$I$1), 0)), "")</f>
        <v/>
      </c>
      <c r="P38" s="35" t="str">
        <f t="array" ref="P38">IFERROR(INDEX(INDIRECT(Config!$G$1), MATCH($A38, INDIRECT(Config!$H$1), 0), MATCH(P$1, INDIRECT(Config!$I$1), 0)), "")</f>
        <v/>
      </c>
      <c r="Q38" s="32" t="str">
        <f t="array" ref="Q38">IFERROR(INDEX(INDIRECT(Config!$G$1), MATCH($A38, INDIRECT(Config!$H$1), 0), MATCH(Q$1, INDIRECT(Config!$I$1), 0)), "")</f>
        <v/>
      </c>
      <c r="R38" s="35" t="str">
        <f t="array" ref="R38">IFERROR(INDEX(INDIRECT(Config!$G$1), MATCH($A38, INDIRECT(Config!$H$1), 0), MATCH(R$1, INDIRECT(Config!$I$1), 0)), "")</f>
        <v/>
      </c>
      <c r="S38" s="32" t="str">
        <f t="array" ref="S38">IFERROR(INDEX(INDIRECT(Config!$G$1), MATCH($A38, INDIRECT(Config!$H$1), 0), MATCH(S$1, INDIRECT(Config!$I$1), 0)), "")</f>
        <v/>
      </c>
      <c r="T38" s="35" t="str">
        <f t="array" ref="T38">IFERROR(INDEX(INDIRECT(Config!$G$1), MATCH($A38, INDIRECT(Config!$H$1), 0), MATCH(T$1, INDIRECT(Config!$I$1), 0)), "")</f>
        <v/>
      </c>
      <c r="U38" s="32" t="str">
        <f t="array" ref="U38">IFERROR(INDEX(INDIRECT(Config!$G$1), MATCH($A38, INDIRECT(Config!$H$1), 0), MATCH(U$1, INDIRECT(Config!$I$1), 0)), "")</f>
        <v/>
      </c>
      <c r="V38" s="35" t="str">
        <f t="array" ref="V38">IFERROR(INDEX(INDIRECT(Config!$G$1), MATCH($A38, INDIRECT(Config!$H$1), 0), MATCH(V$1, INDIRECT(Config!$I$1), 0)), "")</f>
        <v/>
      </c>
      <c r="W38" s="32" t="str">
        <f t="array" ref="W38">IFERROR(INDEX(INDIRECT(Config!$G$1), MATCH($A38, INDIRECT(Config!$H$1), 0), MATCH(W$1, INDIRECT(Config!$I$1), 0)), "")</f>
        <v/>
      </c>
      <c r="X38" s="35" t="str">
        <f t="array" ref="X38">IFERROR(INDEX(INDIRECT(Config!$G$1), MATCH($A38, INDIRECT(Config!$H$1), 0), MATCH(X$1, INDIRECT(Config!$I$1), 0)), "")</f>
        <v/>
      </c>
      <c r="Y38" s="32" t="str">
        <f t="array" ref="Y38">IFERROR(INDEX(INDIRECT(Config!$G$1), MATCH($A38, INDIRECT(Config!$H$1), 0), MATCH(Y$1, INDIRECT(Config!$I$1), 0)), "")</f>
        <v/>
      </c>
      <c r="Z38" s="32" t="str">
        <f t="array" ref="Z38">IFERROR(INDEX(INDIRECT(Config!$G$1), MATCH($A38, INDIRECT(Config!$H$1), 0), MATCH(Z$1, INDIRECT(Config!$I$1), 0)), "")</f>
        <v/>
      </c>
      <c r="AA38" s="35" t="str">
        <f t="array" ref="AA38">IFERROR(INDEX(INDIRECT(Config!$G$1), MATCH($A38, INDIRECT(Config!$H$1), 0), MATCH(AA$1, INDIRECT(Config!$I$1), 0)), "")</f>
        <v/>
      </c>
      <c r="AB38" s="32" t="str">
        <f t="array" ref="AB38">IFERROR(INDEX(INDIRECT(Config!$G$1), MATCH($A38, INDIRECT(Config!$H$1), 0), MATCH(AB$1, INDIRECT(Config!$I$1), 0)), "")</f>
        <v/>
      </c>
      <c r="AC38" s="35" t="str">
        <f t="array" ref="AC38">IFERROR(INDEX(INDIRECT(Config!$G$1), MATCH($A38, INDIRECT(Config!$H$1), 0), MATCH(AC$1, INDIRECT(Config!$I$1), 0)), "")</f>
        <v/>
      </c>
      <c r="AD38" s="32" t="str">
        <f t="array" ref="AD38">IFERROR(INDEX(INDIRECT(Config!$G$1), MATCH($A38, INDIRECT(Config!$H$1), 0), MATCH(AD$1, INDIRECT(Config!$I$1), 0)), "")</f>
        <v/>
      </c>
      <c r="AE38" s="35" t="str">
        <f t="array" ref="AE38">IFERROR(INDEX(INDIRECT(Config!$G$1), MATCH($A38, INDIRECT(Config!$H$1), 0), MATCH(AE$1, INDIRECT(Config!$I$1), 0)), "")</f>
        <v/>
      </c>
      <c r="AF38" s="32" t="str">
        <f t="array" ref="AF38">IFERROR(INDEX(INDIRECT(Config!$G$1), MATCH($A38, INDIRECT(Config!$H$1), 0), MATCH(AF$1, INDIRECT(Config!$I$1), 0)), "")</f>
        <v/>
      </c>
      <c r="AG38" s="35" t="str">
        <f t="array" ref="AG38">IFERROR(INDEX(INDIRECT(Config!$G$1), MATCH($A38, INDIRECT(Config!$H$1), 0), MATCH(AG$1, INDIRECT(Config!$I$1), 0)), "")</f>
        <v/>
      </c>
      <c r="AH38" s="32" t="str">
        <f t="array" ref="AH38">IFERROR(INDEX(INDIRECT(Config!$G$1), MATCH($A38, INDIRECT(Config!$H$1), 0), MATCH(AH$1, INDIRECT(Config!$I$1), 0)), "")</f>
        <v/>
      </c>
      <c r="AI38" s="35" t="str">
        <f t="array" ref="AI38">IFERROR(INDEX(INDIRECT(Config!$G$1), MATCH($A38, INDIRECT(Config!$H$1), 0), MATCH(AI$1, INDIRECT(Config!$I$1), 0)), "")</f>
        <v/>
      </c>
      <c r="AJ38" s="32" t="str">
        <f t="array" ref="AJ38">IFERROR(INDEX(INDIRECT(Config!$G$1), MATCH($A38, INDIRECT(Config!$H$1), 0), MATCH(AJ$1, INDIRECT(Config!$I$1), 0)), "")</f>
        <v/>
      </c>
      <c r="AK38" s="35" t="str">
        <f t="array" ref="AK38">IFERROR(INDEX(INDIRECT(Config!$G$1), MATCH($A38, INDIRECT(Config!$H$1), 0), MATCH(AK$1, INDIRECT(Config!$I$1), 0)), "")</f>
        <v/>
      </c>
      <c r="AL38" s="32" t="str">
        <f t="array" ref="AL38">IFERROR(INDEX(INDIRECT(Config!$G$1), MATCH($A38, INDIRECT(Config!$H$1), 0), MATCH(AL$1, INDIRECT(Config!$I$1), 0)), "")</f>
        <v/>
      </c>
      <c r="AM38" s="35" t="str">
        <f t="array" ref="AM38">IFERROR(INDEX(INDIRECT(Config!$G$1), MATCH($A38, INDIRECT(Config!$H$1), 0), MATCH(AM$1, INDIRECT(Config!$I$1), 0)), "")</f>
        <v/>
      </c>
      <c r="AN38" s="32" t="str">
        <f t="array" ref="AN38">IFERROR(INDEX(INDIRECT(Config!$G$1), MATCH($A38, INDIRECT(Config!$H$1), 0), MATCH(AN$1, INDIRECT(Config!$I$1), 0)), "")</f>
        <v/>
      </c>
      <c r="AO38" s="35" t="str">
        <f t="array" ref="AO38">IFERROR(INDEX(INDIRECT(Config!$G$1), MATCH($A38, INDIRECT(Config!$H$1), 0), MATCH(AO$1, INDIRECT(Config!$I$1), 0)), "")</f>
        <v/>
      </c>
      <c r="AP38" s="32" t="str">
        <f t="array" ref="AP38">IFERROR(INDEX(INDIRECT(Config!$G$1), MATCH($A38, INDIRECT(Config!$H$1), 0), MATCH(AP$1, INDIRECT(Config!$I$1), 0)), "")</f>
        <v/>
      </c>
      <c r="AQ38" s="35" t="str">
        <f t="array" ref="AQ38">IFERROR(INDEX(INDIRECT(Config!$G$1), MATCH($A38, INDIRECT(Config!$H$1), 0), MATCH(AQ$1, INDIRECT(Config!$I$1), 0)), "")</f>
        <v/>
      </c>
      <c r="AR38" s="32" t="str">
        <f t="array" ref="AR38">IFERROR(INDEX(INDIRECT(Config!$G$1), MATCH($A38, INDIRECT(Config!$H$1), 0), MATCH(AR$1, INDIRECT(Config!$I$1), 0)), "")</f>
        <v/>
      </c>
      <c r="AS38" s="35" t="str">
        <f t="array" ref="AS38">IFERROR(INDEX(INDIRECT(Config!$G$1), MATCH($A38, INDIRECT(Config!$H$1), 0), MATCH(AS$1, INDIRECT(Config!$I$1), 0)), "")</f>
        <v/>
      </c>
      <c r="AT38" s="32" t="str">
        <f t="array" ref="AT38">IFERROR(INDEX(INDIRECT(Config!$G$1), MATCH($A38, INDIRECT(Config!$H$1), 0), MATCH(AT$1, INDIRECT(Config!$I$1), 0)), "")</f>
        <v/>
      </c>
      <c r="AU38" s="35" t="str">
        <f t="array" ref="AU38">IFERROR(INDEX(INDIRECT(Config!$G$1), MATCH($A38, INDIRECT(Config!$H$1), 0), MATCH(AU$1, INDIRECT(Config!$I$1), 0)), "")</f>
        <v/>
      </c>
      <c r="AV38" s="32" t="str">
        <f t="array" ref="AV38">IFERROR(INDEX(INDIRECT(Config!$G$1), MATCH($A38, INDIRECT(Config!$H$1), 0), MATCH(AV$1, INDIRECT(Config!$I$1), 0)), "")</f>
        <v/>
      </c>
      <c r="AW38" s="35"/>
      <c r="AX38" s="32"/>
      <c r="AY38" s="35"/>
    </row>
    <row r="39" ht="15.75" customHeight="1">
      <c r="A39" s="52"/>
      <c r="B39" s="12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ht="15.75" customHeight="1">
      <c r="A40" s="11" t="s">
        <v>7</v>
      </c>
      <c r="B40" s="50">
        <f t="shared" ref="B40:AY40" si="6">SUM(B41:B103)</f>
        <v>0</v>
      </c>
      <c r="C40" s="38">
        <f t="shared" si="6"/>
        <v>0</v>
      </c>
      <c r="D40" s="28">
        <f t="shared" si="6"/>
        <v>0</v>
      </c>
      <c r="E40" s="26">
        <f t="shared" si="6"/>
        <v>0</v>
      </c>
      <c r="F40" s="29">
        <f t="shared" si="6"/>
        <v>0</v>
      </c>
      <c r="G40" s="26">
        <f t="shared" si="6"/>
        <v>0</v>
      </c>
      <c r="H40" s="29">
        <f t="shared" si="6"/>
        <v>0</v>
      </c>
      <c r="I40" s="26">
        <f t="shared" si="6"/>
        <v>0</v>
      </c>
      <c r="J40" s="29">
        <f t="shared" si="6"/>
        <v>0</v>
      </c>
      <c r="K40" s="26">
        <f t="shared" si="6"/>
        <v>0</v>
      </c>
      <c r="L40" s="29">
        <f t="shared" si="6"/>
        <v>0</v>
      </c>
      <c r="M40" s="26">
        <f t="shared" si="6"/>
        <v>0</v>
      </c>
      <c r="N40" s="29">
        <f t="shared" si="6"/>
        <v>0</v>
      </c>
      <c r="O40" s="26">
        <f t="shared" si="6"/>
        <v>0</v>
      </c>
      <c r="P40" s="29">
        <f t="shared" si="6"/>
        <v>0</v>
      </c>
      <c r="Q40" s="26">
        <f t="shared" si="6"/>
        <v>0</v>
      </c>
      <c r="R40" s="29">
        <f t="shared" si="6"/>
        <v>0</v>
      </c>
      <c r="S40" s="26">
        <f t="shared" si="6"/>
        <v>0</v>
      </c>
      <c r="T40" s="29">
        <f t="shared" si="6"/>
        <v>0</v>
      </c>
      <c r="U40" s="26">
        <f t="shared" si="6"/>
        <v>0</v>
      </c>
      <c r="V40" s="29">
        <f t="shared" si="6"/>
        <v>0</v>
      </c>
      <c r="W40" s="26">
        <f t="shared" si="6"/>
        <v>0</v>
      </c>
      <c r="X40" s="29">
        <f t="shared" si="6"/>
        <v>0</v>
      </c>
      <c r="Y40" s="26">
        <f t="shared" si="6"/>
        <v>0</v>
      </c>
      <c r="Z40" s="26">
        <f t="shared" si="6"/>
        <v>0</v>
      </c>
      <c r="AA40" s="29">
        <f t="shared" si="6"/>
        <v>0</v>
      </c>
      <c r="AB40" s="26">
        <f t="shared" si="6"/>
        <v>0</v>
      </c>
      <c r="AC40" s="29">
        <f t="shared" si="6"/>
        <v>0</v>
      </c>
      <c r="AD40" s="26">
        <f t="shared" si="6"/>
        <v>0</v>
      </c>
      <c r="AE40" s="29">
        <f t="shared" si="6"/>
        <v>0</v>
      </c>
      <c r="AF40" s="26">
        <f t="shared" si="6"/>
        <v>0</v>
      </c>
      <c r="AG40" s="29">
        <f t="shared" si="6"/>
        <v>0</v>
      </c>
      <c r="AH40" s="26">
        <f t="shared" si="6"/>
        <v>0</v>
      </c>
      <c r="AI40" s="29">
        <f t="shared" si="6"/>
        <v>0</v>
      </c>
      <c r="AJ40" s="26">
        <f t="shared" si="6"/>
        <v>0</v>
      </c>
      <c r="AK40" s="29">
        <f t="shared" si="6"/>
        <v>0</v>
      </c>
      <c r="AL40" s="26">
        <f t="shared" si="6"/>
        <v>0</v>
      </c>
      <c r="AM40" s="29">
        <f t="shared" si="6"/>
        <v>0</v>
      </c>
      <c r="AN40" s="26">
        <f t="shared" si="6"/>
        <v>0</v>
      </c>
      <c r="AO40" s="29">
        <f t="shared" si="6"/>
        <v>0</v>
      </c>
      <c r="AP40" s="26">
        <f t="shared" si="6"/>
        <v>0</v>
      </c>
      <c r="AQ40" s="29">
        <f t="shared" si="6"/>
        <v>0</v>
      </c>
      <c r="AR40" s="26">
        <f t="shared" si="6"/>
        <v>0</v>
      </c>
      <c r="AS40" s="29">
        <f t="shared" si="6"/>
        <v>0</v>
      </c>
      <c r="AT40" s="26">
        <f t="shared" si="6"/>
        <v>0</v>
      </c>
      <c r="AU40" s="29">
        <f t="shared" si="6"/>
        <v>0</v>
      </c>
      <c r="AV40" s="26">
        <f t="shared" si="6"/>
        <v>0</v>
      </c>
      <c r="AW40" s="29">
        <f t="shared" si="6"/>
        <v>0</v>
      </c>
      <c r="AX40" s="26">
        <f t="shared" si="6"/>
        <v>0</v>
      </c>
      <c r="AY40" s="29">
        <f t="shared" si="6"/>
        <v>0</v>
      </c>
    </row>
    <row r="41" ht="15.75" customHeight="1">
      <c r="A41" s="12" t="str">
        <f>Menus!B2</f>
        <v/>
      </c>
      <c r="B41" s="51">
        <f t="shared" ref="B41:B103" si="7">SUM(D41:AY41)</f>
        <v>0</v>
      </c>
      <c r="C41" s="33" t="str">
        <f t="array" ref="C41">IFERROR(INDEX(INDIRECT(Config!$G$1), MATCH($A41, INDIRECT(Config!$H$1), 0), MATCH(C$1, INDIRECT(Config!$I$1), 0)), "")</f>
        <v/>
      </c>
      <c r="D41" s="34" t="str">
        <f t="array" ref="D41">IFERROR(INDEX(INDIRECT(Config!$G$1), MATCH($A41, INDIRECT(Config!$H$1), 0), MATCH(D$1, INDIRECT(Config!$I$1), 0)), "")</f>
        <v/>
      </c>
      <c r="E41" s="32" t="str">
        <f t="array" ref="E41">IFERROR(INDEX(INDIRECT(Config!$G$1), MATCH($A41, INDIRECT(Config!$H$1), 0), MATCH(E$1, INDIRECT(Config!$I$1), 0)), "")</f>
        <v/>
      </c>
      <c r="F41" s="35" t="str">
        <f t="array" ref="F41">IFERROR(INDEX(INDIRECT(Config!$G$1), MATCH($A41, INDIRECT(Config!$H$1), 0), MATCH(F$1, INDIRECT(Config!$I$1), 0)), "")</f>
        <v/>
      </c>
      <c r="G41" s="32" t="str">
        <f t="array" ref="G41">IFERROR(INDEX(INDIRECT(Config!$G$1), MATCH($A41, INDIRECT(Config!$H$1), 0), MATCH(G$1, INDIRECT(Config!$I$1), 0)), "")</f>
        <v/>
      </c>
      <c r="H41" s="35" t="str">
        <f t="array" ref="H41">IFERROR(INDEX(INDIRECT(Config!$G$1), MATCH($A41, INDIRECT(Config!$H$1), 0), MATCH(H$1, INDIRECT(Config!$I$1), 0)), "")</f>
        <v/>
      </c>
      <c r="I41" s="32" t="str">
        <f t="array" ref="I41">IFERROR(INDEX(INDIRECT(Config!$G$1), MATCH($A41, INDIRECT(Config!$H$1), 0), MATCH(I$1, INDIRECT(Config!$I$1), 0)), "")</f>
        <v/>
      </c>
      <c r="J41" s="35" t="str">
        <f t="array" ref="J41">IFERROR(INDEX(INDIRECT(Config!$G$1), MATCH($A41, INDIRECT(Config!$H$1), 0), MATCH(J$1, INDIRECT(Config!$I$1), 0)), "")</f>
        <v/>
      </c>
      <c r="K41" s="32" t="str">
        <f t="array" ref="K41">IFERROR(INDEX(INDIRECT(Config!$G$1), MATCH($A41, INDIRECT(Config!$H$1), 0), MATCH(K$1, INDIRECT(Config!$I$1), 0)), "")</f>
        <v/>
      </c>
      <c r="L41" s="35" t="str">
        <f t="array" ref="L41">IFERROR(INDEX(INDIRECT(Config!$G$1), MATCH($A41, INDIRECT(Config!$H$1), 0), MATCH(L$1, INDIRECT(Config!$I$1), 0)), "")</f>
        <v/>
      </c>
      <c r="M41" s="32" t="str">
        <f t="array" ref="M41">IFERROR(INDEX(INDIRECT(Config!$G$1), MATCH($A41, INDIRECT(Config!$H$1), 0), MATCH(M$1, INDIRECT(Config!$I$1), 0)), "")</f>
        <v/>
      </c>
      <c r="N41" s="35" t="str">
        <f t="array" ref="N41">IFERROR(INDEX(INDIRECT(Config!$G$1), MATCH($A41, INDIRECT(Config!$H$1), 0), MATCH(N$1, INDIRECT(Config!$I$1), 0)), "")</f>
        <v/>
      </c>
      <c r="O41" s="32" t="str">
        <f t="array" ref="O41">IFERROR(INDEX(INDIRECT(Config!$G$1), MATCH($A41, INDIRECT(Config!$H$1), 0), MATCH(O$1, INDIRECT(Config!$I$1), 0)), "")</f>
        <v/>
      </c>
      <c r="P41" s="35" t="str">
        <f t="array" ref="P41">IFERROR(INDEX(INDIRECT(Config!$G$1), MATCH($A41, INDIRECT(Config!$H$1), 0), MATCH(P$1, INDIRECT(Config!$I$1), 0)), "")</f>
        <v/>
      </c>
      <c r="Q41" s="32" t="str">
        <f t="array" ref="Q41">IFERROR(INDEX(INDIRECT(Config!$G$1), MATCH($A41, INDIRECT(Config!$H$1), 0), MATCH(Q$1, INDIRECT(Config!$I$1), 0)), "")</f>
        <v/>
      </c>
      <c r="R41" s="35" t="str">
        <f t="array" ref="R41">IFERROR(INDEX(INDIRECT(Config!$G$1), MATCH($A41, INDIRECT(Config!$H$1), 0), MATCH(R$1, INDIRECT(Config!$I$1), 0)), "")</f>
        <v/>
      </c>
      <c r="S41" s="32" t="str">
        <f t="array" ref="S41">IFERROR(INDEX(INDIRECT(Config!$G$1), MATCH($A41, INDIRECT(Config!$H$1), 0), MATCH(S$1, INDIRECT(Config!$I$1), 0)), "")</f>
        <v/>
      </c>
      <c r="T41" s="35" t="str">
        <f t="array" ref="T41">IFERROR(INDEX(INDIRECT(Config!$G$1), MATCH($A41, INDIRECT(Config!$H$1), 0), MATCH(T$1, INDIRECT(Config!$I$1), 0)), "")</f>
        <v/>
      </c>
      <c r="U41" s="32" t="str">
        <f t="array" ref="U41">IFERROR(INDEX(INDIRECT(Config!$G$1), MATCH($A41, INDIRECT(Config!$H$1), 0), MATCH(U$1, INDIRECT(Config!$I$1), 0)), "")</f>
        <v/>
      </c>
      <c r="V41" s="35" t="str">
        <f t="array" ref="V41">IFERROR(INDEX(INDIRECT(Config!$G$1), MATCH($A41, INDIRECT(Config!$H$1), 0), MATCH(V$1, INDIRECT(Config!$I$1), 0)), "")</f>
        <v/>
      </c>
      <c r="W41" s="32" t="str">
        <f t="array" ref="W41">IFERROR(INDEX(INDIRECT(Config!$G$1), MATCH($A41, INDIRECT(Config!$H$1), 0), MATCH(W$1, INDIRECT(Config!$I$1), 0)), "")</f>
        <v/>
      </c>
      <c r="X41" s="35" t="str">
        <f t="array" ref="X41">IFERROR(INDEX(INDIRECT(Config!$G$1), MATCH($A41, INDIRECT(Config!$H$1), 0), MATCH(X$1, INDIRECT(Config!$I$1), 0)), "")</f>
        <v/>
      </c>
      <c r="Y41" s="32" t="str">
        <f t="array" ref="Y41">IFERROR(INDEX(INDIRECT(Config!$G$1), MATCH($A41, INDIRECT(Config!$H$1), 0), MATCH(Y$1, INDIRECT(Config!$I$1), 0)), "")</f>
        <v/>
      </c>
      <c r="Z41" s="32" t="str">
        <f t="array" ref="Z41">IFERROR(INDEX(INDIRECT(Config!$G$1), MATCH($A41, INDIRECT(Config!$H$1), 0), MATCH(Z$1, INDIRECT(Config!$I$1), 0)), "")</f>
        <v/>
      </c>
      <c r="AA41" s="35" t="str">
        <f t="array" ref="AA41">IFERROR(INDEX(INDIRECT(Config!$G$1), MATCH($A41, INDIRECT(Config!$H$1), 0), MATCH(AA$1, INDIRECT(Config!$I$1), 0)), "")</f>
        <v/>
      </c>
      <c r="AB41" s="32" t="str">
        <f t="array" ref="AB41">IFERROR(INDEX(INDIRECT(Config!$G$1), MATCH($A41, INDIRECT(Config!$H$1), 0), MATCH(AB$1, INDIRECT(Config!$I$1), 0)), "")</f>
        <v/>
      </c>
      <c r="AC41" s="35" t="str">
        <f t="array" ref="AC41">IFERROR(INDEX(INDIRECT(Config!$G$1), MATCH($A41, INDIRECT(Config!$H$1), 0), MATCH(AC$1, INDIRECT(Config!$I$1), 0)), "")</f>
        <v/>
      </c>
      <c r="AD41" s="32" t="str">
        <f t="array" ref="AD41">IFERROR(INDEX(INDIRECT(Config!$G$1), MATCH($A41, INDIRECT(Config!$H$1), 0), MATCH(AD$1, INDIRECT(Config!$I$1), 0)), "")</f>
        <v/>
      </c>
      <c r="AE41" s="35" t="str">
        <f t="array" ref="AE41">IFERROR(INDEX(INDIRECT(Config!$G$1), MATCH($A41, INDIRECT(Config!$H$1), 0), MATCH(AE$1, INDIRECT(Config!$I$1), 0)), "")</f>
        <v/>
      </c>
      <c r="AF41" s="32" t="str">
        <f t="array" ref="AF41">IFERROR(INDEX(INDIRECT(Config!$G$1), MATCH($A41, INDIRECT(Config!$H$1), 0), MATCH(AF$1, INDIRECT(Config!$I$1), 0)), "")</f>
        <v/>
      </c>
      <c r="AG41" s="35" t="str">
        <f t="array" ref="AG41">IFERROR(INDEX(INDIRECT(Config!$G$1), MATCH($A41, INDIRECT(Config!$H$1), 0), MATCH(AG$1, INDIRECT(Config!$I$1), 0)), "")</f>
        <v/>
      </c>
      <c r="AH41" s="32" t="str">
        <f t="array" ref="AH41">IFERROR(INDEX(INDIRECT(Config!$G$1), MATCH($A41, INDIRECT(Config!$H$1), 0), MATCH(AH$1, INDIRECT(Config!$I$1), 0)), "")</f>
        <v/>
      </c>
      <c r="AI41" s="35" t="str">
        <f t="array" ref="AI41">IFERROR(INDEX(INDIRECT(Config!$G$1), MATCH($A41, INDIRECT(Config!$H$1), 0), MATCH(AI$1, INDIRECT(Config!$I$1), 0)), "")</f>
        <v/>
      </c>
      <c r="AJ41" s="32" t="str">
        <f t="array" ref="AJ41">IFERROR(INDEX(INDIRECT(Config!$G$1), MATCH($A41, INDIRECT(Config!$H$1), 0), MATCH(AJ$1, INDIRECT(Config!$I$1), 0)), "")</f>
        <v/>
      </c>
      <c r="AK41" s="35" t="str">
        <f t="array" ref="AK41">IFERROR(INDEX(INDIRECT(Config!$G$1), MATCH($A41, INDIRECT(Config!$H$1), 0), MATCH(AK$1, INDIRECT(Config!$I$1), 0)), "")</f>
        <v/>
      </c>
      <c r="AL41" s="32" t="str">
        <f t="array" ref="AL41">IFERROR(INDEX(INDIRECT(Config!$G$1), MATCH($A41, INDIRECT(Config!$H$1), 0), MATCH(AL$1, INDIRECT(Config!$I$1), 0)), "")</f>
        <v/>
      </c>
      <c r="AM41" s="35" t="str">
        <f t="array" ref="AM41">IFERROR(INDEX(INDIRECT(Config!$G$1), MATCH($A41, INDIRECT(Config!$H$1), 0), MATCH(AM$1, INDIRECT(Config!$I$1), 0)), "")</f>
        <v/>
      </c>
      <c r="AN41" s="32" t="str">
        <f t="array" ref="AN41">IFERROR(INDEX(INDIRECT(Config!$G$1), MATCH($A41, INDIRECT(Config!$H$1), 0), MATCH(AN$1, INDIRECT(Config!$I$1), 0)), "")</f>
        <v/>
      </c>
      <c r="AO41" s="35" t="str">
        <f t="array" ref="AO41">IFERROR(INDEX(INDIRECT(Config!$G$1), MATCH($A41, INDIRECT(Config!$H$1), 0), MATCH(AO$1, INDIRECT(Config!$I$1), 0)), "")</f>
        <v/>
      </c>
      <c r="AP41" s="32" t="str">
        <f t="array" ref="AP41">IFERROR(INDEX(INDIRECT(Config!$G$1), MATCH($A41, INDIRECT(Config!$H$1), 0), MATCH(AP$1, INDIRECT(Config!$I$1), 0)), "")</f>
        <v/>
      </c>
      <c r="AQ41" s="35" t="str">
        <f t="array" ref="AQ41">IFERROR(INDEX(INDIRECT(Config!$G$1), MATCH($A41, INDIRECT(Config!$H$1), 0), MATCH(AQ$1, INDIRECT(Config!$I$1), 0)), "")</f>
        <v/>
      </c>
      <c r="AR41" s="32" t="str">
        <f t="array" ref="AR41">IFERROR(INDEX(INDIRECT(Config!$G$1), MATCH($A41, INDIRECT(Config!$H$1), 0), MATCH(AR$1, INDIRECT(Config!$I$1), 0)), "")</f>
        <v/>
      </c>
      <c r="AS41" s="35" t="str">
        <f t="array" ref="AS41">IFERROR(INDEX(INDIRECT(Config!$G$1), MATCH($A41, INDIRECT(Config!$H$1), 0), MATCH(AS$1, INDIRECT(Config!$I$1), 0)), "")</f>
        <v/>
      </c>
      <c r="AT41" s="32" t="str">
        <f t="array" ref="AT41">IFERROR(INDEX(INDIRECT(Config!$G$1), MATCH($A41, INDIRECT(Config!$H$1), 0), MATCH(AT$1, INDIRECT(Config!$I$1), 0)), "")</f>
        <v/>
      </c>
      <c r="AU41" s="35" t="str">
        <f t="array" ref="AU41">IFERROR(INDEX(INDIRECT(Config!$G$1), MATCH($A41, INDIRECT(Config!$H$1), 0), MATCH(AU$1, INDIRECT(Config!$I$1), 0)), "")</f>
        <v/>
      </c>
      <c r="AV41" s="32" t="str">
        <f t="array" ref="AV41">IFERROR(INDEX(INDIRECT(Config!$G$1), MATCH($A41, INDIRECT(Config!$H$1), 0), MATCH(AV$1, INDIRECT(Config!$I$1), 0)), "")</f>
        <v/>
      </c>
      <c r="AW41" s="35"/>
      <c r="AX41" s="32"/>
      <c r="AY41" s="35"/>
    </row>
    <row r="42" ht="15.75" customHeight="1">
      <c r="A42" s="12" t="str">
        <f>Menus!B3</f>
        <v/>
      </c>
      <c r="B42" s="51">
        <f t="shared" si="7"/>
        <v>0</v>
      </c>
      <c r="C42" s="33" t="str">
        <f t="array" ref="C42">IFERROR(INDEX(INDIRECT(Config!$G$1), MATCH($A42, INDIRECT(Config!$H$1), 0), MATCH(C$1, INDIRECT(Config!$I$1), 0)), "")</f>
        <v/>
      </c>
      <c r="D42" s="34" t="str">
        <f t="array" ref="D42">IFERROR(INDEX(INDIRECT(Config!$G$1), MATCH($A42, INDIRECT(Config!$H$1), 0), MATCH(D$1, INDIRECT(Config!$I$1), 0)), "")</f>
        <v/>
      </c>
      <c r="E42" s="32" t="str">
        <f t="array" ref="E42">IFERROR(INDEX(INDIRECT(Config!$G$1), MATCH($A42, INDIRECT(Config!$H$1), 0), MATCH(E$1, INDIRECT(Config!$I$1), 0)), "")</f>
        <v/>
      </c>
      <c r="F42" s="35" t="str">
        <f t="array" ref="F42">IFERROR(INDEX(INDIRECT(Config!$G$1), MATCH($A42, INDIRECT(Config!$H$1), 0), MATCH(F$1, INDIRECT(Config!$I$1), 0)), "")</f>
        <v/>
      </c>
      <c r="G42" s="32" t="str">
        <f t="array" ref="G42">IFERROR(INDEX(INDIRECT(Config!$G$1), MATCH($A42, INDIRECT(Config!$H$1), 0), MATCH(G$1, INDIRECT(Config!$I$1), 0)), "")</f>
        <v/>
      </c>
      <c r="H42" s="35" t="str">
        <f t="array" ref="H42">IFERROR(INDEX(INDIRECT(Config!$G$1), MATCH($A42, INDIRECT(Config!$H$1), 0), MATCH(H$1, INDIRECT(Config!$I$1), 0)), "")</f>
        <v/>
      </c>
      <c r="I42" s="32" t="str">
        <f t="array" ref="I42">IFERROR(INDEX(INDIRECT(Config!$G$1), MATCH($A42, INDIRECT(Config!$H$1), 0), MATCH(I$1, INDIRECT(Config!$I$1), 0)), "")</f>
        <v/>
      </c>
      <c r="J42" s="35" t="str">
        <f t="array" ref="J42">IFERROR(INDEX(INDIRECT(Config!$G$1), MATCH($A42, INDIRECT(Config!$H$1), 0), MATCH(J$1, INDIRECT(Config!$I$1), 0)), "")</f>
        <v/>
      </c>
      <c r="K42" s="32" t="str">
        <f t="array" ref="K42">IFERROR(INDEX(INDIRECT(Config!$G$1), MATCH($A42, INDIRECT(Config!$H$1), 0), MATCH(K$1, INDIRECT(Config!$I$1), 0)), "")</f>
        <v/>
      </c>
      <c r="L42" s="35" t="str">
        <f t="array" ref="L42">IFERROR(INDEX(INDIRECT(Config!$G$1), MATCH($A42, INDIRECT(Config!$H$1), 0), MATCH(L$1, INDIRECT(Config!$I$1), 0)), "")</f>
        <v/>
      </c>
      <c r="M42" s="32" t="str">
        <f t="array" ref="M42">IFERROR(INDEX(INDIRECT(Config!$G$1), MATCH($A42, INDIRECT(Config!$H$1), 0), MATCH(M$1, INDIRECT(Config!$I$1), 0)), "")</f>
        <v/>
      </c>
      <c r="N42" s="35" t="str">
        <f t="array" ref="N42">IFERROR(INDEX(INDIRECT(Config!$G$1), MATCH($A42, INDIRECT(Config!$H$1), 0), MATCH(N$1, INDIRECT(Config!$I$1), 0)), "")</f>
        <v/>
      </c>
      <c r="O42" s="32" t="str">
        <f t="array" ref="O42">IFERROR(INDEX(INDIRECT(Config!$G$1), MATCH($A42, INDIRECT(Config!$H$1), 0), MATCH(O$1, INDIRECT(Config!$I$1), 0)), "")</f>
        <v/>
      </c>
      <c r="P42" s="35" t="str">
        <f t="array" ref="P42">IFERROR(INDEX(INDIRECT(Config!$G$1), MATCH($A42, INDIRECT(Config!$H$1), 0), MATCH(P$1, INDIRECT(Config!$I$1), 0)), "")</f>
        <v/>
      </c>
      <c r="Q42" s="32" t="str">
        <f t="array" ref="Q42">IFERROR(INDEX(INDIRECT(Config!$G$1), MATCH($A42, INDIRECT(Config!$H$1), 0), MATCH(Q$1, INDIRECT(Config!$I$1), 0)), "")</f>
        <v/>
      </c>
      <c r="R42" s="35" t="str">
        <f t="array" ref="R42">IFERROR(INDEX(INDIRECT(Config!$G$1), MATCH($A42, INDIRECT(Config!$H$1), 0), MATCH(R$1, INDIRECT(Config!$I$1), 0)), "")</f>
        <v/>
      </c>
      <c r="S42" s="32" t="str">
        <f t="array" ref="S42">IFERROR(INDEX(INDIRECT(Config!$G$1), MATCH($A42, INDIRECT(Config!$H$1), 0), MATCH(S$1, INDIRECT(Config!$I$1), 0)), "")</f>
        <v/>
      </c>
      <c r="T42" s="35" t="str">
        <f t="array" ref="T42">IFERROR(INDEX(INDIRECT(Config!$G$1), MATCH($A42, INDIRECT(Config!$H$1), 0), MATCH(T$1, INDIRECT(Config!$I$1), 0)), "")</f>
        <v/>
      </c>
      <c r="U42" s="32" t="str">
        <f t="array" ref="U42">IFERROR(INDEX(INDIRECT(Config!$G$1), MATCH($A42, INDIRECT(Config!$H$1), 0), MATCH(U$1, INDIRECT(Config!$I$1), 0)), "")</f>
        <v/>
      </c>
      <c r="V42" s="35" t="str">
        <f t="array" ref="V42">IFERROR(INDEX(INDIRECT(Config!$G$1), MATCH($A42, INDIRECT(Config!$H$1), 0), MATCH(V$1, INDIRECT(Config!$I$1), 0)), "")</f>
        <v/>
      </c>
      <c r="W42" s="32" t="str">
        <f t="array" ref="W42">IFERROR(INDEX(INDIRECT(Config!$G$1), MATCH($A42, INDIRECT(Config!$H$1), 0), MATCH(W$1, INDIRECT(Config!$I$1), 0)), "")</f>
        <v/>
      </c>
      <c r="X42" s="35" t="str">
        <f t="array" ref="X42">IFERROR(INDEX(INDIRECT(Config!$G$1), MATCH($A42, INDIRECT(Config!$H$1), 0), MATCH(X$1, INDIRECT(Config!$I$1), 0)), "")</f>
        <v/>
      </c>
      <c r="Y42" s="32" t="str">
        <f t="array" ref="Y42">IFERROR(INDEX(INDIRECT(Config!$G$1), MATCH($A42, INDIRECT(Config!$H$1), 0), MATCH(Y$1, INDIRECT(Config!$I$1), 0)), "")</f>
        <v/>
      </c>
      <c r="Z42" s="32" t="str">
        <f t="array" ref="Z42">IFERROR(INDEX(INDIRECT(Config!$G$1), MATCH($A42, INDIRECT(Config!$H$1), 0), MATCH(Z$1, INDIRECT(Config!$I$1), 0)), "")</f>
        <v/>
      </c>
      <c r="AA42" s="35" t="str">
        <f t="array" ref="AA42">IFERROR(INDEX(INDIRECT(Config!$G$1), MATCH($A42, INDIRECT(Config!$H$1), 0), MATCH(AA$1, INDIRECT(Config!$I$1), 0)), "")</f>
        <v/>
      </c>
      <c r="AB42" s="32" t="str">
        <f t="array" ref="AB42">IFERROR(INDEX(INDIRECT(Config!$G$1), MATCH($A42, INDIRECT(Config!$H$1), 0), MATCH(AB$1, INDIRECT(Config!$I$1), 0)), "")</f>
        <v/>
      </c>
      <c r="AC42" s="35" t="str">
        <f t="array" ref="AC42">IFERROR(INDEX(INDIRECT(Config!$G$1), MATCH($A42, INDIRECT(Config!$H$1), 0), MATCH(AC$1, INDIRECT(Config!$I$1), 0)), "")</f>
        <v/>
      </c>
      <c r="AD42" s="32" t="str">
        <f t="array" ref="AD42">IFERROR(INDEX(INDIRECT(Config!$G$1), MATCH($A42, INDIRECT(Config!$H$1), 0), MATCH(AD$1, INDIRECT(Config!$I$1), 0)), "")</f>
        <v/>
      </c>
      <c r="AE42" s="35" t="str">
        <f t="array" ref="AE42">IFERROR(INDEX(INDIRECT(Config!$G$1), MATCH($A42, INDIRECT(Config!$H$1), 0), MATCH(AE$1, INDIRECT(Config!$I$1), 0)), "")</f>
        <v/>
      </c>
      <c r="AF42" s="32" t="str">
        <f t="array" ref="AF42">IFERROR(INDEX(INDIRECT(Config!$G$1), MATCH($A42, INDIRECT(Config!$H$1), 0), MATCH(AF$1, INDIRECT(Config!$I$1), 0)), "")</f>
        <v/>
      </c>
      <c r="AG42" s="35" t="str">
        <f t="array" ref="AG42">IFERROR(INDEX(INDIRECT(Config!$G$1), MATCH($A42, INDIRECT(Config!$H$1), 0), MATCH(AG$1, INDIRECT(Config!$I$1), 0)), "")</f>
        <v/>
      </c>
      <c r="AH42" s="32" t="str">
        <f t="array" ref="AH42">IFERROR(INDEX(INDIRECT(Config!$G$1), MATCH($A42, INDIRECT(Config!$H$1), 0), MATCH(AH$1, INDIRECT(Config!$I$1), 0)), "")</f>
        <v/>
      </c>
      <c r="AI42" s="35" t="str">
        <f t="array" ref="AI42">IFERROR(INDEX(INDIRECT(Config!$G$1), MATCH($A42, INDIRECT(Config!$H$1), 0), MATCH(AI$1, INDIRECT(Config!$I$1), 0)), "")</f>
        <v/>
      </c>
      <c r="AJ42" s="32" t="str">
        <f t="array" ref="AJ42">IFERROR(INDEX(INDIRECT(Config!$G$1), MATCH($A42, INDIRECT(Config!$H$1), 0), MATCH(AJ$1, INDIRECT(Config!$I$1), 0)), "")</f>
        <v/>
      </c>
      <c r="AK42" s="35" t="str">
        <f t="array" ref="AK42">IFERROR(INDEX(INDIRECT(Config!$G$1), MATCH($A42, INDIRECT(Config!$H$1), 0), MATCH(AK$1, INDIRECT(Config!$I$1), 0)), "")</f>
        <v/>
      </c>
      <c r="AL42" s="32" t="str">
        <f t="array" ref="AL42">IFERROR(INDEX(INDIRECT(Config!$G$1), MATCH($A42, INDIRECT(Config!$H$1), 0), MATCH(AL$1, INDIRECT(Config!$I$1), 0)), "")</f>
        <v/>
      </c>
      <c r="AM42" s="35" t="str">
        <f t="array" ref="AM42">IFERROR(INDEX(INDIRECT(Config!$G$1), MATCH($A42, INDIRECT(Config!$H$1), 0), MATCH(AM$1, INDIRECT(Config!$I$1), 0)), "")</f>
        <v/>
      </c>
      <c r="AN42" s="32" t="str">
        <f t="array" ref="AN42">IFERROR(INDEX(INDIRECT(Config!$G$1), MATCH($A42, INDIRECT(Config!$H$1), 0), MATCH(AN$1, INDIRECT(Config!$I$1), 0)), "")</f>
        <v/>
      </c>
      <c r="AO42" s="35" t="str">
        <f t="array" ref="AO42">IFERROR(INDEX(INDIRECT(Config!$G$1), MATCH($A42, INDIRECT(Config!$H$1), 0), MATCH(AO$1, INDIRECT(Config!$I$1), 0)), "")</f>
        <v/>
      </c>
      <c r="AP42" s="32" t="str">
        <f t="array" ref="AP42">IFERROR(INDEX(INDIRECT(Config!$G$1), MATCH($A42, INDIRECT(Config!$H$1), 0), MATCH(AP$1, INDIRECT(Config!$I$1), 0)), "")</f>
        <v/>
      </c>
      <c r="AQ42" s="35" t="str">
        <f t="array" ref="AQ42">IFERROR(INDEX(INDIRECT(Config!$G$1), MATCH($A42, INDIRECT(Config!$H$1), 0), MATCH(AQ$1, INDIRECT(Config!$I$1), 0)), "")</f>
        <v/>
      </c>
      <c r="AR42" s="32" t="str">
        <f t="array" ref="AR42">IFERROR(INDEX(INDIRECT(Config!$G$1), MATCH($A42, INDIRECT(Config!$H$1), 0), MATCH(AR$1, INDIRECT(Config!$I$1), 0)), "")</f>
        <v/>
      </c>
      <c r="AS42" s="35" t="str">
        <f t="array" ref="AS42">IFERROR(INDEX(INDIRECT(Config!$G$1), MATCH($A42, INDIRECT(Config!$H$1), 0), MATCH(AS$1, INDIRECT(Config!$I$1), 0)), "")</f>
        <v/>
      </c>
      <c r="AT42" s="32" t="str">
        <f t="array" ref="AT42">IFERROR(INDEX(INDIRECT(Config!$G$1), MATCH($A42, INDIRECT(Config!$H$1), 0), MATCH(AT$1, INDIRECT(Config!$I$1), 0)), "")</f>
        <v/>
      </c>
      <c r="AU42" s="35" t="str">
        <f t="array" ref="AU42">IFERROR(INDEX(INDIRECT(Config!$G$1), MATCH($A42, INDIRECT(Config!$H$1), 0), MATCH(AU$1, INDIRECT(Config!$I$1), 0)), "")</f>
        <v/>
      </c>
      <c r="AV42" s="32" t="str">
        <f t="array" ref="AV42">IFERROR(INDEX(INDIRECT(Config!$G$1), MATCH($A42, INDIRECT(Config!$H$1), 0), MATCH(AV$1, INDIRECT(Config!$I$1), 0)), "")</f>
        <v/>
      </c>
      <c r="AW42" s="35"/>
      <c r="AX42" s="32"/>
      <c r="AY42" s="35"/>
    </row>
    <row r="43" ht="15.75" customHeight="1">
      <c r="A43" s="12" t="str">
        <f>Menus!B4</f>
        <v/>
      </c>
      <c r="B43" s="51">
        <f t="shared" si="7"/>
        <v>0</v>
      </c>
      <c r="C43" s="33" t="str">
        <f t="array" ref="C43">IFERROR(INDEX(INDIRECT(Config!$G$1), MATCH($A43, INDIRECT(Config!$H$1), 0), MATCH(C$1, INDIRECT(Config!$I$1), 0)), "")</f>
        <v/>
      </c>
      <c r="D43" s="34" t="str">
        <f t="array" ref="D43">IFERROR(INDEX(INDIRECT(Config!$G$1), MATCH($A43, INDIRECT(Config!$H$1), 0), MATCH(D$1, INDIRECT(Config!$I$1), 0)), "")</f>
        <v/>
      </c>
      <c r="E43" s="32" t="str">
        <f t="array" ref="E43">IFERROR(INDEX(INDIRECT(Config!$G$1), MATCH($A43, INDIRECT(Config!$H$1), 0), MATCH(E$1, INDIRECT(Config!$I$1), 0)), "")</f>
        <v/>
      </c>
      <c r="F43" s="35" t="str">
        <f t="array" ref="F43">IFERROR(INDEX(INDIRECT(Config!$G$1), MATCH($A43, INDIRECT(Config!$H$1), 0), MATCH(F$1, INDIRECT(Config!$I$1), 0)), "")</f>
        <v/>
      </c>
      <c r="G43" s="32" t="str">
        <f t="array" ref="G43">IFERROR(INDEX(INDIRECT(Config!$G$1), MATCH($A43, INDIRECT(Config!$H$1), 0), MATCH(G$1, INDIRECT(Config!$I$1), 0)), "")</f>
        <v/>
      </c>
      <c r="H43" s="35" t="str">
        <f t="array" ref="H43">IFERROR(INDEX(INDIRECT(Config!$G$1), MATCH($A43, INDIRECT(Config!$H$1), 0), MATCH(H$1, INDIRECT(Config!$I$1), 0)), "")</f>
        <v/>
      </c>
      <c r="I43" s="32" t="str">
        <f t="array" ref="I43">IFERROR(INDEX(INDIRECT(Config!$G$1), MATCH($A43, INDIRECT(Config!$H$1), 0), MATCH(I$1, INDIRECT(Config!$I$1), 0)), "")</f>
        <v/>
      </c>
      <c r="J43" s="35" t="str">
        <f t="array" ref="J43">IFERROR(INDEX(INDIRECT(Config!$G$1), MATCH($A43, INDIRECT(Config!$H$1), 0), MATCH(J$1, INDIRECT(Config!$I$1), 0)), "")</f>
        <v/>
      </c>
      <c r="K43" s="32" t="str">
        <f t="array" ref="K43">IFERROR(INDEX(INDIRECT(Config!$G$1), MATCH($A43, INDIRECT(Config!$H$1), 0), MATCH(K$1, INDIRECT(Config!$I$1), 0)), "")</f>
        <v/>
      </c>
      <c r="L43" s="35" t="str">
        <f t="array" ref="L43">IFERROR(INDEX(INDIRECT(Config!$G$1), MATCH($A43, INDIRECT(Config!$H$1), 0), MATCH(L$1, INDIRECT(Config!$I$1), 0)), "")</f>
        <v/>
      </c>
      <c r="M43" s="32" t="str">
        <f t="array" ref="M43">IFERROR(INDEX(INDIRECT(Config!$G$1), MATCH($A43, INDIRECT(Config!$H$1), 0), MATCH(M$1, INDIRECT(Config!$I$1), 0)), "")</f>
        <v/>
      </c>
      <c r="N43" s="35" t="str">
        <f t="array" ref="N43">IFERROR(INDEX(INDIRECT(Config!$G$1), MATCH($A43, INDIRECT(Config!$H$1), 0), MATCH(N$1, INDIRECT(Config!$I$1), 0)), "")</f>
        <v/>
      </c>
      <c r="O43" s="32" t="str">
        <f t="array" ref="O43">IFERROR(INDEX(INDIRECT(Config!$G$1), MATCH($A43, INDIRECT(Config!$H$1), 0), MATCH(O$1, INDIRECT(Config!$I$1), 0)), "")</f>
        <v/>
      </c>
      <c r="P43" s="35" t="str">
        <f t="array" ref="P43">IFERROR(INDEX(INDIRECT(Config!$G$1), MATCH($A43, INDIRECT(Config!$H$1), 0), MATCH(P$1, INDIRECT(Config!$I$1), 0)), "")</f>
        <v/>
      </c>
      <c r="Q43" s="32" t="str">
        <f t="array" ref="Q43">IFERROR(INDEX(INDIRECT(Config!$G$1), MATCH($A43, INDIRECT(Config!$H$1), 0), MATCH(Q$1, INDIRECT(Config!$I$1), 0)), "")</f>
        <v/>
      </c>
      <c r="R43" s="35" t="str">
        <f t="array" ref="R43">IFERROR(INDEX(INDIRECT(Config!$G$1), MATCH($A43, INDIRECT(Config!$H$1), 0), MATCH(R$1, INDIRECT(Config!$I$1), 0)), "")</f>
        <v/>
      </c>
      <c r="S43" s="32" t="str">
        <f t="array" ref="S43">IFERROR(INDEX(INDIRECT(Config!$G$1), MATCH($A43, INDIRECT(Config!$H$1), 0), MATCH(S$1, INDIRECT(Config!$I$1), 0)), "")</f>
        <v/>
      </c>
      <c r="T43" s="35" t="str">
        <f t="array" ref="T43">IFERROR(INDEX(INDIRECT(Config!$G$1), MATCH($A43, INDIRECT(Config!$H$1), 0), MATCH(T$1, INDIRECT(Config!$I$1), 0)), "")</f>
        <v/>
      </c>
      <c r="U43" s="32" t="str">
        <f t="array" ref="U43">IFERROR(INDEX(INDIRECT(Config!$G$1), MATCH($A43, INDIRECT(Config!$H$1), 0), MATCH(U$1, INDIRECT(Config!$I$1), 0)), "")</f>
        <v/>
      </c>
      <c r="V43" s="35" t="str">
        <f t="array" ref="V43">IFERROR(INDEX(INDIRECT(Config!$G$1), MATCH($A43, INDIRECT(Config!$H$1), 0), MATCH(V$1, INDIRECT(Config!$I$1), 0)), "")</f>
        <v/>
      </c>
      <c r="W43" s="32" t="str">
        <f t="array" ref="W43">IFERROR(INDEX(INDIRECT(Config!$G$1), MATCH($A43, INDIRECT(Config!$H$1), 0), MATCH(W$1, INDIRECT(Config!$I$1), 0)), "")</f>
        <v/>
      </c>
      <c r="X43" s="35" t="str">
        <f t="array" ref="X43">IFERROR(INDEX(INDIRECT(Config!$G$1), MATCH($A43, INDIRECT(Config!$H$1), 0), MATCH(X$1, INDIRECT(Config!$I$1), 0)), "")</f>
        <v/>
      </c>
      <c r="Y43" s="32" t="str">
        <f t="array" ref="Y43">IFERROR(INDEX(INDIRECT(Config!$G$1), MATCH($A43, INDIRECT(Config!$H$1), 0), MATCH(Y$1, INDIRECT(Config!$I$1), 0)), "")</f>
        <v/>
      </c>
      <c r="Z43" s="32" t="str">
        <f t="array" ref="Z43">IFERROR(INDEX(INDIRECT(Config!$G$1), MATCH($A43, INDIRECT(Config!$H$1), 0), MATCH(Z$1, INDIRECT(Config!$I$1), 0)), "")</f>
        <v/>
      </c>
      <c r="AA43" s="35" t="str">
        <f t="array" ref="AA43">IFERROR(INDEX(INDIRECT(Config!$G$1), MATCH($A43, INDIRECT(Config!$H$1), 0), MATCH(AA$1, INDIRECT(Config!$I$1), 0)), "")</f>
        <v/>
      </c>
      <c r="AB43" s="32" t="str">
        <f t="array" ref="AB43">IFERROR(INDEX(INDIRECT(Config!$G$1), MATCH($A43, INDIRECT(Config!$H$1), 0), MATCH(AB$1, INDIRECT(Config!$I$1), 0)), "")</f>
        <v/>
      </c>
      <c r="AC43" s="35" t="str">
        <f t="array" ref="AC43">IFERROR(INDEX(INDIRECT(Config!$G$1), MATCH($A43, INDIRECT(Config!$H$1), 0), MATCH(AC$1, INDIRECT(Config!$I$1), 0)), "")</f>
        <v/>
      </c>
      <c r="AD43" s="32" t="str">
        <f t="array" ref="AD43">IFERROR(INDEX(INDIRECT(Config!$G$1), MATCH($A43, INDIRECT(Config!$H$1), 0), MATCH(AD$1, INDIRECT(Config!$I$1), 0)), "")</f>
        <v/>
      </c>
      <c r="AE43" s="35" t="str">
        <f t="array" ref="AE43">IFERROR(INDEX(INDIRECT(Config!$G$1), MATCH($A43, INDIRECT(Config!$H$1), 0), MATCH(AE$1, INDIRECT(Config!$I$1), 0)), "")</f>
        <v/>
      </c>
      <c r="AF43" s="32" t="str">
        <f t="array" ref="AF43">IFERROR(INDEX(INDIRECT(Config!$G$1), MATCH($A43, INDIRECT(Config!$H$1), 0), MATCH(AF$1, INDIRECT(Config!$I$1), 0)), "")</f>
        <v/>
      </c>
      <c r="AG43" s="35" t="str">
        <f t="array" ref="AG43">IFERROR(INDEX(INDIRECT(Config!$G$1), MATCH($A43, INDIRECT(Config!$H$1), 0), MATCH(AG$1, INDIRECT(Config!$I$1), 0)), "")</f>
        <v/>
      </c>
      <c r="AH43" s="32" t="str">
        <f t="array" ref="AH43">IFERROR(INDEX(INDIRECT(Config!$G$1), MATCH($A43, INDIRECT(Config!$H$1), 0), MATCH(AH$1, INDIRECT(Config!$I$1), 0)), "")</f>
        <v/>
      </c>
      <c r="AI43" s="35" t="str">
        <f t="array" ref="AI43">IFERROR(INDEX(INDIRECT(Config!$G$1), MATCH($A43, INDIRECT(Config!$H$1), 0), MATCH(AI$1, INDIRECT(Config!$I$1), 0)), "")</f>
        <v/>
      </c>
      <c r="AJ43" s="32" t="str">
        <f t="array" ref="AJ43">IFERROR(INDEX(INDIRECT(Config!$G$1), MATCH($A43, INDIRECT(Config!$H$1), 0), MATCH(AJ$1, INDIRECT(Config!$I$1), 0)), "")</f>
        <v/>
      </c>
      <c r="AK43" s="35" t="str">
        <f t="array" ref="AK43">IFERROR(INDEX(INDIRECT(Config!$G$1), MATCH($A43, INDIRECT(Config!$H$1), 0), MATCH(AK$1, INDIRECT(Config!$I$1), 0)), "")</f>
        <v/>
      </c>
      <c r="AL43" s="32" t="str">
        <f t="array" ref="AL43">IFERROR(INDEX(INDIRECT(Config!$G$1), MATCH($A43, INDIRECT(Config!$H$1), 0), MATCH(AL$1, INDIRECT(Config!$I$1), 0)), "")</f>
        <v/>
      </c>
      <c r="AM43" s="35" t="str">
        <f t="array" ref="AM43">IFERROR(INDEX(INDIRECT(Config!$G$1), MATCH($A43, INDIRECT(Config!$H$1), 0), MATCH(AM$1, INDIRECT(Config!$I$1), 0)), "")</f>
        <v/>
      </c>
      <c r="AN43" s="32" t="str">
        <f t="array" ref="AN43">IFERROR(INDEX(INDIRECT(Config!$G$1), MATCH($A43, INDIRECT(Config!$H$1), 0), MATCH(AN$1, INDIRECT(Config!$I$1), 0)), "")</f>
        <v/>
      </c>
      <c r="AO43" s="35" t="str">
        <f t="array" ref="AO43">IFERROR(INDEX(INDIRECT(Config!$G$1), MATCH($A43, INDIRECT(Config!$H$1), 0), MATCH(AO$1, INDIRECT(Config!$I$1), 0)), "")</f>
        <v/>
      </c>
      <c r="AP43" s="32" t="str">
        <f t="array" ref="AP43">IFERROR(INDEX(INDIRECT(Config!$G$1), MATCH($A43, INDIRECT(Config!$H$1), 0), MATCH(AP$1, INDIRECT(Config!$I$1), 0)), "")</f>
        <v/>
      </c>
      <c r="AQ43" s="35" t="str">
        <f t="array" ref="AQ43">IFERROR(INDEX(INDIRECT(Config!$G$1), MATCH($A43, INDIRECT(Config!$H$1), 0), MATCH(AQ$1, INDIRECT(Config!$I$1), 0)), "")</f>
        <v/>
      </c>
      <c r="AR43" s="32" t="str">
        <f t="array" ref="AR43">IFERROR(INDEX(INDIRECT(Config!$G$1), MATCH($A43, INDIRECT(Config!$H$1), 0), MATCH(AR$1, INDIRECT(Config!$I$1), 0)), "")</f>
        <v/>
      </c>
      <c r="AS43" s="35" t="str">
        <f t="array" ref="AS43">IFERROR(INDEX(INDIRECT(Config!$G$1), MATCH($A43, INDIRECT(Config!$H$1), 0), MATCH(AS$1, INDIRECT(Config!$I$1), 0)), "")</f>
        <v/>
      </c>
      <c r="AT43" s="32" t="str">
        <f t="array" ref="AT43">IFERROR(INDEX(INDIRECT(Config!$G$1), MATCH($A43, INDIRECT(Config!$H$1), 0), MATCH(AT$1, INDIRECT(Config!$I$1), 0)), "")</f>
        <v/>
      </c>
      <c r="AU43" s="35" t="str">
        <f t="array" ref="AU43">IFERROR(INDEX(INDIRECT(Config!$G$1), MATCH($A43, INDIRECT(Config!$H$1), 0), MATCH(AU$1, INDIRECT(Config!$I$1), 0)), "")</f>
        <v/>
      </c>
      <c r="AV43" s="32" t="str">
        <f t="array" ref="AV43">IFERROR(INDEX(INDIRECT(Config!$G$1), MATCH($A43, INDIRECT(Config!$H$1), 0), MATCH(AV$1, INDIRECT(Config!$I$1), 0)), "")</f>
        <v/>
      </c>
      <c r="AW43" s="35"/>
      <c r="AX43" s="32"/>
      <c r="AY43" s="35"/>
    </row>
    <row r="44" ht="15.75" customHeight="1">
      <c r="A44" s="12" t="str">
        <f>Menus!B5</f>
        <v/>
      </c>
      <c r="B44" s="51">
        <f t="shared" si="7"/>
        <v>0</v>
      </c>
      <c r="C44" s="33" t="str">
        <f t="array" ref="C44">IFERROR(INDEX(INDIRECT(Config!$G$1), MATCH($A44, INDIRECT(Config!$H$1), 0), MATCH(C$1, INDIRECT(Config!$I$1), 0)), "")</f>
        <v/>
      </c>
      <c r="D44" s="34" t="str">
        <f t="array" ref="D44">IFERROR(INDEX(INDIRECT(Config!$G$1), MATCH($A44, INDIRECT(Config!$H$1), 0), MATCH(D$1, INDIRECT(Config!$I$1), 0)), "")</f>
        <v/>
      </c>
      <c r="E44" s="32" t="str">
        <f t="array" ref="E44">IFERROR(INDEX(INDIRECT(Config!$G$1), MATCH($A44, INDIRECT(Config!$H$1), 0), MATCH(E$1, INDIRECT(Config!$I$1), 0)), "")</f>
        <v/>
      </c>
      <c r="F44" s="35" t="str">
        <f t="array" ref="F44">IFERROR(INDEX(INDIRECT(Config!$G$1), MATCH($A44, INDIRECT(Config!$H$1), 0), MATCH(F$1, INDIRECT(Config!$I$1), 0)), "")</f>
        <v/>
      </c>
      <c r="G44" s="32" t="str">
        <f t="array" ref="G44">IFERROR(INDEX(INDIRECT(Config!$G$1), MATCH($A44, INDIRECT(Config!$H$1), 0), MATCH(G$1, INDIRECT(Config!$I$1), 0)), "")</f>
        <v/>
      </c>
      <c r="H44" s="35" t="str">
        <f t="array" ref="H44">IFERROR(INDEX(INDIRECT(Config!$G$1), MATCH($A44, INDIRECT(Config!$H$1), 0), MATCH(H$1, INDIRECT(Config!$I$1), 0)), "")</f>
        <v/>
      </c>
      <c r="I44" s="32" t="str">
        <f t="array" ref="I44">IFERROR(INDEX(INDIRECT(Config!$G$1), MATCH($A44, INDIRECT(Config!$H$1), 0), MATCH(I$1, INDIRECT(Config!$I$1), 0)), "")</f>
        <v/>
      </c>
      <c r="J44" s="35" t="str">
        <f t="array" ref="J44">IFERROR(INDEX(INDIRECT(Config!$G$1), MATCH($A44, INDIRECT(Config!$H$1), 0), MATCH(J$1, INDIRECT(Config!$I$1), 0)), "")</f>
        <v/>
      </c>
      <c r="K44" s="32" t="str">
        <f t="array" ref="K44">IFERROR(INDEX(INDIRECT(Config!$G$1), MATCH($A44, INDIRECT(Config!$H$1), 0), MATCH(K$1, INDIRECT(Config!$I$1), 0)), "")</f>
        <v/>
      </c>
      <c r="L44" s="35" t="str">
        <f t="array" ref="L44">IFERROR(INDEX(INDIRECT(Config!$G$1), MATCH($A44, INDIRECT(Config!$H$1), 0), MATCH(L$1, INDIRECT(Config!$I$1), 0)), "")</f>
        <v/>
      </c>
      <c r="M44" s="32" t="str">
        <f t="array" ref="M44">IFERROR(INDEX(INDIRECT(Config!$G$1), MATCH($A44, INDIRECT(Config!$H$1), 0), MATCH(M$1, INDIRECT(Config!$I$1), 0)), "")</f>
        <v/>
      </c>
      <c r="N44" s="35" t="str">
        <f t="array" ref="N44">IFERROR(INDEX(INDIRECT(Config!$G$1), MATCH($A44, INDIRECT(Config!$H$1), 0), MATCH(N$1, INDIRECT(Config!$I$1), 0)), "")</f>
        <v/>
      </c>
      <c r="O44" s="32" t="str">
        <f t="array" ref="O44">IFERROR(INDEX(INDIRECT(Config!$G$1), MATCH($A44, INDIRECT(Config!$H$1), 0), MATCH(O$1, INDIRECT(Config!$I$1), 0)), "")</f>
        <v/>
      </c>
      <c r="P44" s="35" t="str">
        <f t="array" ref="P44">IFERROR(INDEX(INDIRECT(Config!$G$1), MATCH($A44, INDIRECT(Config!$H$1), 0), MATCH(P$1, INDIRECT(Config!$I$1), 0)), "")</f>
        <v/>
      </c>
      <c r="Q44" s="32" t="str">
        <f t="array" ref="Q44">IFERROR(INDEX(INDIRECT(Config!$G$1), MATCH($A44, INDIRECT(Config!$H$1), 0), MATCH(Q$1, INDIRECT(Config!$I$1), 0)), "")</f>
        <v/>
      </c>
      <c r="R44" s="35" t="str">
        <f t="array" ref="R44">IFERROR(INDEX(INDIRECT(Config!$G$1), MATCH($A44, INDIRECT(Config!$H$1), 0), MATCH(R$1, INDIRECT(Config!$I$1), 0)), "")</f>
        <v/>
      </c>
      <c r="S44" s="32" t="str">
        <f t="array" ref="S44">IFERROR(INDEX(INDIRECT(Config!$G$1), MATCH($A44, INDIRECT(Config!$H$1), 0), MATCH(S$1, INDIRECT(Config!$I$1), 0)), "")</f>
        <v/>
      </c>
      <c r="T44" s="35" t="str">
        <f t="array" ref="T44">IFERROR(INDEX(INDIRECT(Config!$G$1), MATCH($A44, INDIRECT(Config!$H$1), 0), MATCH(T$1, INDIRECT(Config!$I$1), 0)), "")</f>
        <v/>
      </c>
      <c r="U44" s="32" t="str">
        <f t="array" ref="U44">IFERROR(INDEX(INDIRECT(Config!$G$1), MATCH($A44, INDIRECT(Config!$H$1), 0), MATCH(U$1, INDIRECT(Config!$I$1), 0)), "")</f>
        <v/>
      </c>
      <c r="V44" s="35" t="str">
        <f t="array" ref="V44">IFERROR(INDEX(INDIRECT(Config!$G$1), MATCH($A44, INDIRECT(Config!$H$1), 0), MATCH(V$1, INDIRECT(Config!$I$1), 0)), "")</f>
        <v/>
      </c>
      <c r="W44" s="32" t="str">
        <f t="array" ref="W44">IFERROR(INDEX(INDIRECT(Config!$G$1), MATCH($A44, INDIRECT(Config!$H$1), 0), MATCH(W$1, INDIRECT(Config!$I$1), 0)), "")</f>
        <v/>
      </c>
      <c r="X44" s="35" t="str">
        <f t="array" ref="X44">IFERROR(INDEX(INDIRECT(Config!$G$1), MATCH($A44, INDIRECT(Config!$H$1), 0), MATCH(X$1, INDIRECT(Config!$I$1), 0)), "")</f>
        <v/>
      </c>
      <c r="Y44" s="32" t="str">
        <f t="array" ref="Y44">IFERROR(INDEX(INDIRECT(Config!$G$1), MATCH($A44, INDIRECT(Config!$H$1), 0), MATCH(Y$1, INDIRECT(Config!$I$1), 0)), "")</f>
        <v/>
      </c>
      <c r="Z44" s="32" t="str">
        <f t="array" ref="Z44">IFERROR(INDEX(INDIRECT(Config!$G$1), MATCH($A44, INDIRECT(Config!$H$1), 0), MATCH(Z$1, INDIRECT(Config!$I$1), 0)), "")</f>
        <v/>
      </c>
      <c r="AA44" s="35" t="str">
        <f t="array" ref="AA44">IFERROR(INDEX(INDIRECT(Config!$G$1), MATCH($A44, INDIRECT(Config!$H$1), 0), MATCH(AA$1, INDIRECT(Config!$I$1), 0)), "")</f>
        <v/>
      </c>
      <c r="AB44" s="32" t="str">
        <f t="array" ref="AB44">IFERROR(INDEX(INDIRECT(Config!$G$1), MATCH($A44, INDIRECT(Config!$H$1), 0), MATCH(AB$1, INDIRECT(Config!$I$1), 0)), "")</f>
        <v/>
      </c>
      <c r="AC44" s="35" t="str">
        <f t="array" ref="AC44">IFERROR(INDEX(INDIRECT(Config!$G$1), MATCH($A44, INDIRECT(Config!$H$1), 0), MATCH(AC$1, INDIRECT(Config!$I$1), 0)), "")</f>
        <v/>
      </c>
      <c r="AD44" s="32" t="str">
        <f t="array" ref="AD44">IFERROR(INDEX(INDIRECT(Config!$G$1), MATCH($A44, INDIRECT(Config!$H$1), 0), MATCH(AD$1, INDIRECT(Config!$I$1), 0)), "")</f>
        <v/>
      </c>
      <c r="AE44" s="35" t="str">
        <f t="array" ref="AE44">IFERROR(INDEX(INDIRECT(Config!$G$1), MATCH($A44, INDIRECT(Config!$H$1), 0), MATCH(AE$1, INDIRECT(Config!$I$1), 0)), "")</f>
        <v/>
      </c>
      <c r="AF44" s="32" t="str">
        <f t="array" ref="AF44">IFERROR(INDEX(INDIRECT(Config!$G$1), MATCH($A44, INDIRECT(Config!$H$1), 0), MATCH(AF$1, INDIRECT(Config!$I$1), 0)), "")</f>
        <v/>
      </c>
      <c r="AG44" s="35" t="str">
        <f t="array" ref="AG44">IFERROR(INDEX(INDIRECT(Config!$G$1), MATCH($A44, INDIRECT(Config!$H$1), 0), MATCH(AG$1, INDIRECT(Config!$I$1), 0)), "")</f>
        <v/>
      </c>
      <c r="AH44" s="32" t="str">
        <f t="array" ref="AH44">IFERROR(INDEX(INDIRECT(Config!$G$1), MATCH($A44, INDIRECT(Config!$H$1), 0), MATCH(AH$1, INDIRECT(Config!$I$1), 0)), "")</f>
        <v/>
      </c>
      <c r="AI44" s="35" t="str">
        <f t="array" ref="AI44">IFERROR(INDEX(INDIRECT(Config!$G$1), MATCH($A44, INDIRECT(Config!$H$1), 0), MATCH(AI$1, INDIRECT(Config!$I$1), 0)), "")</f>
        <v/>
      </c>
      <c r="AJ44" s="32" t="str">
        <f t="array" ref="AJ44">IFERROR(INDEX(INDIRECT(Config!$G$1), MATCH($A44, INDIRECT(Config!$H$1), 0), MATCH(AJ$1, INDIRECT(Config!$I$1), 0)), "")</f>
        <v/>
      </c>
      <c r="AK44" s="35" t="str">
        <f t="array" ref="AK44">IFERROR(INDEX(INDIRECT(Config!$G$1), MATCH($A44, INDIRECT(Config!$H$1), 0), MATCH(AK$1, INDIRECT(Config!$I$1), 0)), "")</f>
        <v/>
      </c>
      <c r="AL44" s="32" t="str">
        <f t="array" ref="AL44">IFERROR(INDEX(INDIRECT(Config!$G$1), MATCH($A44, INDIRECT(Config!$H$1), 0), MATCH(AL$1, INDIRECT(Config!$I$1), 0)), "")</f>
        <v/>
      </c>
      <c r="AM44" s="35" t="str">
        <f t="array" ref="AM44">IFERROR(INDEX(INDIRECT(Config!$G$1), MATCH($A44, INDIRECT(Config!$H$1), 0), MATCH(AM$1, INDIRECT(Config!$I$1), 0)), "")</f>
        <v/>
      </c>
      <c r="AN44" s="32" t="str">
        <f t="array" ref="AN44">IFERROR(INDEX(INDIRECT(Config!$G$1), MATCH($A44, INDIRECT(Config!$H$1), 0), MATCH(AN$1, INDIRECT(Config!$I$1), 0)), "")</f>
        <v/>
      </c>
      <c r="AO44" s="35" t="str">
        <f t="array" ref="AO44">IFERROR(INDEX(INDIRECT(Config!$G$1), MATCH($A44, INDIRECT(Config!$H$1), 0), MATCH(AO$1, INDIRECT(Config!$I$1), 0)), "")</f>
        <v/>
      </c>
      <c r="AP44" s="32" t="str">
        <f t="array" ref="AP44">IFERROR(INDEX(INDIRECT(Config!$G$1), MATCH($A44, INDIRECT(Config!$H$1), 0), MATCH(AP$1, INDIRECT(Config!$I$1), 0)), "")</f>
        <v/>
      </c>
      <c r="AQ44" s="35" t="str">
        <f t="array" ref="AQ44">IFERROR(INDEX(INDIRECT(Config!$G$1), MATCH($A44, INDIRECT(Config!$H$1), 0), MATCH(AQ$1, INDIRECT(Config!$I$1), 0)), "")</f>
        <v/>
      </c>
      <c r="AR44" s="32" t="str">
        <f t="array" ref="AR44">IFERROR(INDEX(INDIRECT(Config!$G$1), MATCH($A44, INDIRECT(Config!$H$1), 0), MATCH(AR$1, INDIRECT(Config!$I$1), 0)), "")</f>
        <v/>
      </c>
      <c r="AS44" s="35" t="str">
        <f t="array" ref="AS44">IFERROR(INDEX(INDIRECT(Config!$G$1), MATCH($A44, INDIRECT(Config!$H$1), 0), MATCH(AS$1, INDIRECT(Config!$I$1), 0)), "")</f>
        <v/>
      </c>
      <c r="AT44" s="32" t="str">
        <f t="array" ref="AT44">IFERROR(INDEX(INDIRECT(Config!$G$1), MATCH($A44, INDIRECT(Config!$H$1), 0), MATCH(AT$1, INDIRECT(Config!$I$1), 0)), "")</f>
        <v/>
      </c>
      <c r="AU44" s="35" t="str">
        <f t="array" ref="AU44">IFERROR(INDEX(INDIRECT(Config!$G$1), MATCH($A44, INDIRECT(Config!$H$1), 0), MATCH(AU$1, INDIRECT(Config!$I$1), 0)), "")</f>
        <v/>
      </c>
      <c r="AV44" s="32" t="str">
        <f t="array" ref="AV44">IFERROR(INDEX(INDIRECT(Config!$G$1), MATCH($A44, INDIRECT(Config!$H$1), 0), MATCH(AV$1, INDIRECT(Config!$I$1), 0)), "")</f>
        <v/>
      </c>
      <c r="AW44" s="35"/>
      <c r="AX44" s="32"/>
      <c r="AY44" s="35"/>
    </row>
    <row r="45" ht="15.75" customHeight="1">
      <c r="A45" s="39" t="str">
        <f>Menus!B6</f>
        <v/>
      </c>
      <c r="B45" s="51">
        <f t="shared" si="7"/>
        <v>0</v>
      </c>
      <c r="C45" s="33" t="str">
        <f t="array" ref="C45">IFERROR(INDEX(INDIRECT(Config!$G$1), MATCH($A45, INDIRECT(Config!$H$1), 0), MATCH(C$1, INDIRECT(Config!$I$1), 0)), "")</f>
        <v/>
      </c>
      <c r="D45" s="34" t="str">
        <f t="array" ref="D45">IFERROR(INDEX(INDIRECT(Config!$G$1), MATCH($A45, INDIRECT(Config!$H$1), 0), MATCH(D$1, INDIRECT(Config!$I$1), 0)), "")</f>
        <v/>
      </c>
      <c r="E45" s="32" t="str">
        <f t="array" ref="E45">IFERROR(INDEX(INDIRECT(Config!$G$1), MATCH($A45, INDIRECT(Config!$H$1), 0), MATCH(E$1, INDIRECT(Config!$I$1), 0)), "")</f>
        <v/>
      </c>
      <c r="F45" s="35" t="str">
        <f t="array" ref="F45">IFERROR(INDEX(INDIRECT(Config!$G$1), MATCH($A45, INDIRECT(Config!$H$1), 0), MATCH(F$1, INDIRECT(Config!$I$1), 0)), "")</f>
        <v/>
      </c>
      <c r="G45" s="32" t="str">
        <f t="array" ref="G45">IFERROR(INDEX(INDIRECT(Config!$G$1), MATCH($A45, INDIRECT(Config!$H$1), 0), MATCH(G$1, INDIRECT(Config!$I$1), 0)), "")</f>
        <v/>
      </c>
      <c r="H45" s="35" t="str">
        <f t="array" ref="H45">IFERROR(INDEX(INDIRECT(Config!$G$1), MATCH($A45, INDIRECT(Config!$H$1), 0), MATCH(H$1, INDIRECT(Config!$I$1), 0)), "")</f>
        <v/>
      </c>
      <c r="I45" s="32" t="str">
        <f t="array" ref="I45">IFERROR(INDEX(INDIRECT(Config!$G$1), MATCH($A45, INDIRECT(Config!$H$1), 0), MATCH(I$1, INDIRECT(Config!$I$1), 0)), "")</f>
        <v/>
      </c>
      <c r="J45" s="35" t="str">
        <f t="array" ref="J45">IFERROR(INDEX(INDIRECT(Config!$G$1), MATCH($A45, INDIRECT(Config!$H$1), 0), MATCH(J$1, INDIRECT(Config!$I$1), 0)), "")</f>
        <v/>
      </c>
      <c r="K45" s="32" t="str">
        <f t="array" ref="K45">IFERROR(INDEX(INDIRECT(Config!$G$1), MATCH($A45, INDIRECT(Config!$H$1), 0), MATCH(K$1, INDIRECT(Config!$I$1), 0)), "")</f>
        <v/>
      </c>
      <c r="L45" s="35" t="str">
        <f t="array" ref="L45">IFERROR(INDEX(INDIRECT(Config!$G$1), MATCH($A45, INDIRECT(Config!$H$1), 0), MATCH(L$1, INDIRECT(Config!$I$1), 0)), "")</f>
        <v/>
      </c>
      <c r="M45" s="32" t="str">
        <f t="array" ref="M45">IFERROR(INDEX(INDIRECT(Config!$G$1), MATCH($A45, INDIRECT(Config!$H$1), 0), MATCH(M$1, INDIRECT(Config!$I$1), 0)), "")</f>
        <v/>
      </c>
      <c r="N45" s="35" t="str">
        <f t="array" ref="N45">IFERROR(INDEX(INDIRECT(Config!$G$1), MATCH($A45, INDIRECT(Config!$H$1), 0), MATCH(N$1, INDIRECT(Config!$I$1), 0)), "")</f>
        <v/>
      </c>
      <c r="O45" s="32" t="str">
        <f t="array" ref="O45">IFERROR(INDEX(INDIRECT(Config!$G$1), MATCH($A45, INDIRECT(Config!$H$1), 0), MATCH(O$1, INDIRECT(Config!$I$1), 0)), "")</f>
        <v/>
      </c>
      <c r="P45" s="35" t="str">
        <f t="array" ref="P45">IFERROR(INDEX(INDIRECT(Config!$G$1), MATCH($A45, INDIRECT(Config!$H$1), 0), MATCH(P$1, INDIRECT(Config!$I$1), 0)), "")</f>
        <v/>
      </c>
      <c r="Q45" s="32" t="str">
        <f t="array" ref="Q45">IFERROR(INDEX(INDIRECT(Config!$G$1), MATCH($A45, INDIRECT(Config!$H$1), 0), MATCH(Q$1, INDIRECT(Config!$I$1), 0)), "")</f>
        <v/>
      </c>
      <c r="R45" s="35" t="str">
        <f t="array" ref="R45">IFERROR(INDEX(INDIRECT(Config!$G$1), MATCH($A45, INDIRECT(Config!$H$1), 0), MATCH(R$1, INDIRECT(Config!$I$1), 0)), "")</f>
        <v/>
      </c>
      <c r="S45" s="32" t="str">
        <f t="array" ref="S45">IFERROR(INDEX(INDIRECT(Config!$G$1), MATCH($A45, INDIRECT(Config!$H$1), 0), MATCH(S$1, INDIRECT(Config!$I$1), 0)), "")</f>
        <v/>
      </c>
      <c r="T45" s="35" t="str">
        <f t="array" ref="T45">IFERROR(INDEX(INDIRECT(Config!$G$1), MATCH($A45, INDIRECT(Config!$H$1), 0), MATCH(T$1, INDIRECT(Config!$I$1), 0)), "")</f>
        <v/>
      </c>
      <c r="U45" s="32" t="str">
        <f t="array" ref="U45">IFERROR(INDEX(INDIRECT(Config!$G$1), MATCH($A45, INDIRECT(Config!$H$1), 0), MATCH(U$1, INDIRECT(Config!$I$1), 0)), "")</f>
        <v/>
      </c>
      <c r="V45" s="35" t="str">
        <f t="array" ref="V45">IFERROR(INDEX(INDIRECT(Config!$G$1), MATCH($A45, INDIRECT(Config!$H$1), 0), MATCH(V$1, INDIRECT(Config!$I$1), 0)), "")</f>
        <v/>
      </c>
      <c r="W45" s="32" t="str">
        <f t="array" ref="W45">IFERROR(INDEX(INDIRECT(Config!$G$1), MATCH($A45, INDIRECT(Config!$H$1), 0), MATCH(W$1, INDIRECT(Config!$I$1), 0)), "")</f>
        <v/>
      </c>
      <c r="X45" s="35" t="str">
        <f t="array" ref="X45">IFERROR(INDEX(INDIRECT(Config!$G$1), MATCH($A45, INDIRECT(Config!$H$1), 0), MATCH(X$1, INDIRECT(Config!$I$1), 0)), "")</f>
        <v/>
      </c>
      <c r="Y45" s="32" t="str">
        <f t="array" ref="Y45">IFERROR(INDEX(INDIRECT(Config!$G$1), MATCH($A45, INDIRECT(Config!$H$1), 0), MATCH(Y$1, INDIRECT(Config!$I$1), 0)), "")</f>
        <v/>
      </c>
      <c r="Z45" s="32" t="str">
        <f t="array" ref="Z45">IFERROR(INDEX(INDIRECT(Config!$G$1), MATCH($A45, INDIRECT(Config!$H$1), 0), MATCH(Z$1, INDIRECT(Config!$I$1), 0)), "")</f>
        <v/>
      </c>
      <c r="AA45" s="35" t="str">
        <f t="array" ref="AA45">IFERROR(INDEX(INDIRECT(Config!$G$1), MATCH($A45, INDIRECT(Config!$H$1), 0), MATCH(AA$1, INDIRECT(Config!$I$1), 0)), "")</f>
        <v/>
      </c>
      <c r="AB45" s="32" t="str">
        <f t="array" ref="AB45">IFERROR(INDEX(INDIRECT(Config!$G$1), MATCH($A45, INDIRECT(Config!$H$1), 0), MATCH(AB$1, INDIRECT(Config!$I$1), 0)), "")</f>
        <v/>
      </c>
      <c r="AC45" s="35" t="str">
        <f t="array" ref="AC45">IFERROR(INDEX(INDIRECT(Config!$G$1), MATCH($A45, INDIRECT(Config!$H$1), 0), MATCH(AC$1, INDIRECT(Config!$I$1), 0)), "")</f>
        <v/>
      </c>
      <c r="AD45" s="32" t="str">
        <f t="array" ref="AD45">IFERROR(INDEX(INDIRECT(Config!$G$1), MATCH($A45, INDIRECT(Config!$H$1), 0), MATCH(AD$1, INDIRECT(Config!$I$1), 0)), "")</f>
        <v/>
      </c>
      <c r="AE45" s="35" t="str">
        <f t="array" ref="AE45">IFERROR(INDEX(INDIRECT(Config!$G$1), MATCH($A45, INDIRECT(Config!$H$1), 0), MATCH(AE$1, INDIRECT(Config!$I$1), 0)), "")</f>
        <v/>
      </c>
      <c r="AF45" s="32" t="str">
        <f t="array" ref="AF45">IFERROR(INDEX(INDIRECT(Config!$G$1), MATCH($A45, INDIRECT(Config!$H$1), 0), MATCH(AF$1, INDIRECT(Config!$I$1), 0)), "")</f>
        <v/>
      </c>
      <c r="AG45" s="35" t="str">
        <f t="array" ref="AG45">IFERROR(INDEX(INDIRECT(Config!$G$1), MATCH($A45, INDIRECT(Config!$H$1), 0), MATCH(AG$1, INDIRECT(Config!$I$1), 0)), "")</f>
        <v/>
      </c>
      <c r="AH45" s="32" t="str">
        <f t="array" ref="AH45">IFERROR(INDEX(INDIRECT(Config!$G$1), MATCH($A45, INDIRECT(Config!$H$1), 0), MATCH(AH$1, INDIRECT(Config!$I$1), 0)), "")</f>
        <v/>
      </c>
      <c r="AI45" s="35" t="str">
        <f t="array" ref="AI45">IFERROR(INDEX(INDIRECT(Config!$G$1), MATCH($A45, INDIRECT(Config!$H$1), 0), MATCH(AI$1, INDIRECT(Config!$I$1), 0)), "")</f>
        <v/>
      </c>
      <c r="AJ45" s="32" t="str">
        <f t="array" ref="AJ45">IFERROR(INDEX(INDIRECT(Config!$G$1), MATCH($A45, INDIRECT(Config!$H$1), 0), MATCH(AJ$1, INDIRECT(Config!$I$1), 0)), "")</f>
        <v/>
      </c>
      <c r="AK45" s="35" t="str">
        <f t="array" ref="AK45">IFERROR(INDEX(INDIRECT(Config!$G$1), MATCH($A45, INDIRECT(Config!$H$1), 0), MATCH(AK$1, INDIRECT(Config!$I$1), 0)), "")</f>
        <v/>
      </c>
      <c r="AL45" s="32" t="str">
        <f t="array" ref="AL45">IFERROR(INDEX(INDIRECT(Config!$G$1), MATCH($A45, INDIRECT(Config!$H$1), 0), MATCH(AL$1, INDIRECT(Config!$I$1), 0)), "")</f>
        <v/>
      </c>
      <c r="AM45" s="35" t="str">
        <f t="array" ref="AM45">IFERROR(INDEX(INDIRECT(Config!$G$1), MATCH($A45, INDIRECT(Config!$H$1), 0), MATCH(AM$1, INDIRECT(Config!$I$1), 0)), "")</f>
        <v/>
      </c>
      <c r="AN45" s="32" t="str">
        <f t="array" ref="AN45">IFERROR(INDEX(INDIRECT(Config!$G$1), MATCH($A45, INDIRECT(Config!$H$1), 0), MATCH(AN$1, INDIRECT(Config!$I$1), 0)), "")</f>
        <v/>
      </c>
      <c r="AO45" s="35" t="str">
        <f t="array" ref="AO45">IFERROR(INDEX(INDIRECT(Config!$G$1), MATCH($A45, INDIRECT(Config!$H$1), 0), MATCH(AO$1, INDIRECT(Config!$I$1), 0)), "")</f>
        <v/>
      </c>
      <c r="AP45" s="32" t="str">
        <f t="array" ref="AP45">IFERROR(INDEX(INDIRECT(Config!$G$1), MATCH($A45, INDIRECT(Config!$H$1), 0), MATCH(AP$1, INDIRECT(Config!$I$1), 0)), "")</f>
        <v/>
      </c>
      <c r="AQ45" s="35" t="str">
        <f t="array" ref="AQ45">IFERROR(INDEX(INDIRECT(Config!$G$1), MATCH($A45, INDIRECT(Config!$H$1), 0), MATCH(AQ$1, INDIRECT(Config!$I$1), 0)), "")</f>
        <v/>
      </c>
      <c r="AR45" s="32" t="str">
        <f t="array" ref="AR45">IFERROR(INDEX(INDIRECT(Config!$G$1), MATCH($A45, INDIRECT(Config!$H$1), 0), MATCH(AR$1, INDIRECT(Config!$I$1), 0)), "")</f>
        <v/>
      </c>
      <c r="AS45" s="35" t="str">
        <f t="array" ref="AS45">IFERROR(INDEX(INDIRECT(Config!$G$1), MATCH($A45, INDIRECT(Config!$H$1), 0), MATCH(AS$1, INDIRECT(Config!$I$1), 0)), "")</f>
        <v/>
      </c>
      <c r="AT45" s="32" t="str">
        <f t="array" ref="AT45">IFERROR(INDEX(INDIRECT(Config!$G$1), MATCH($A45, INDIRECT(Config!$H$1), 0), MATCH(AT$1, INDIRECT(Config!$I$1), 0)), "")</f>
        <v/>
      </c>
      <c r="AU45" s="35" t="str">
        <f t="array" ref="AU45">IFERROR(INDEX(INDIRECT(Config!$G$1), MATCH($A45, INDIRECT(Config!$H$1), 0), MATCH(AU$1, INDIRECT(Config!$I$1), 0)), "")</f>
        <v/>
      </c>
      <c r="AV45" s="32" t="str">
        <f t="array" ref="AV45">IFERROR(INDEX(INDIRECT(Config!$G$1), MATCH($A45, INDIRECT(Config!$H$1), 0), MATCH(AV$1, INDIRECT(Config!$I$1), 0)), "")</f>
        <v/>
      </c>
      <c r="AW45" s="35"/>
      <c r="AX45" s="32"/>
      <c r="AY45" s="35"/>
    </row>
    <row r="46" ht="15.75" customHeight="1">
      <c r="A46" s="12" t="str">
        <f>Menus!B7</f>
        <v/>
      </c>
      <c r="B46" s="51">
        <f t="shared" si="7"/>
        <v>0</v>
      </c>
      <c r="C46" s="33" t="str">
        <f t="array" ref="C46">IFERROR(INDEX(INDIRECT(Config!$G$1), MATCH($A46, INDIRECT(Config!$H$1), 0), MATCH(C$1, INDIRECT(Config!$I$1), 0)), "")</f>
        <v/>
      </c>
      <c r="D46" s="34" t="str">
        <f t="array" ref="D46">IFERROR(INDEX(INDIRECT(Config!$G$1), MATCH($A46, INDIRECT(Config!$H$1), 0), MATCH(D$1, INDIRECT(Config!$I$1), 0)), "")</f>
        <v/>
      </c>
      <c r="E46" s="32" t="str">
        <f t="array" ref="E46">IFERROR(INDEX(INDIRECT(Config!$G$1), MATCH($A46, INDIRECT(Config!$H$1), 0), MATCH(E$1, INDIRECT(Config!$I$1), 0)), "")</f>
        <v/>
      </c>
      <c r="F46" s="35" t="str">
        <f t="array" ref="F46">IFERROR(INDEX(INDIRECT(Config!$G$1), MATCH($A46, INDIRECT(Config!$H$1), 0), MATCH(F$1, INDIRECT(Config!$I$1), 0)), "")</f>
        <v/>
      </c>
      <c r="G46" s="32" t="str">
        <f t="array" ref="G46">IFERROR(INDEX(INDIRECT(Config!$G$1), MATCH($A46, INDIRECT(Config!$H$1), 0), MATCH(G$1, INDIRECT(Config!$I$1), 0)), "")</f>
        <v/>
      </c>
      <c r="H46" s="35" t="str">
        <f t="array" ref="H46">IFERROR(INDEX(INDIRECT(Config!$G$1), MATCH($A46, INDIRECT(Config!$H$1), 0), MATCH(H$1, INDIRECT(Config!$I$1), 0)), "")</f>
        <v/>
      </c>
      <c r="I46" s="32" t="str">
        <f t="array" ref="I46">IFERROR(INDEX(INDIRECT(Config!$G$1), MATCH($A46, INDIRECT(Config!$H$1), 0), MATCH(I$1, INDIRECT(Config!$I$1), 0)), "")</f>
        <v/>
      </c>
      <c r="J46" s="35" t="str">
        <f t="array" ref="J46">IFERROR(INDEX(INDIRECT(Config!$G$1), MATCH($A46, INDIRECT(Config!$H$1), 0), MATCH(J$1, INDIRECT(Config!$I$1), 0)), "")</f>
        <v/>
      </c>
      <c r="K46" s="32" t="str">
        <f t="array" ref="K46">IFERROR(INDEX(INDIRECT(Config!$G$1), MATCH($A46, INDIRECT(Config!$H$1), 0), MATCH(K$1, INDIRECT(Config!$I$1), 0)), "")</f>
        <v/>
      </c>
      <c r="L46" s="35" t="str">
        <f t="array" ref="L46">IFERROR(INDEX(INDIRECT(Config!$G$1), MATCH($A46, INDIRECT(Config!$H$1), 0), MATCH(L$1, INDIRECT(Config!$I$1), 0)), "")</f>
        <v/>
      </c>
      <c r="M46" s="32" t="str">
        <f t="array" ref="M46">IFERROR(INDEX(INDIRECT(Config!$G$1), MATCH($A46, INDIRECT(Config!$H$1), 0), MATCH(M$1, INDIRECT(Config!$I$1), 0)), "")</f>
        <v/>
      </c>
      <c r="N46" s="35" t="str">
        <f t="array" ref="N46">IFERROR(INDEX(INDIRECT(Config!$G$1), MATCH($A46, INDIRECT(Config!$H$1), 0), MATCH(N$1, INDIRECT(Config!$I$1), 0)), "")</f>
        <v/>
      </c>
      <c r="O46" s="32" t="str">
        <f t="array" ref="O46">IFERROR(INDEX(INDIRECT(Config!$G$1), MATCH($A46, INDIRECT(Config!$H$1), 0), MATCH(O$1, INDIRECT(Config!$I$1), 0)), "")</f>
        <v/>
      </c>
      <c r="P46" s="35" t="str">
        <f t="array" ref="P46">IFERROR(INDEX(INDIRECT(Config!$G$1), MATCH($A46, INDIRECT(Config!$H$1), 0), MATCH(P$1, INDIRECT(Config!$I$1), 0)), "")</f>
        <v/>
      </c>
      <c r="Q46" s="32" t="str">
        <f t="array" ref="Q46">IFERROR(INDEX(INDIRECT(Config!$G$1), MATCH($A46, INDIRECT(Config!$H$1), 0), MATCH(Q$1, INDIRECT(Config!$I$1), 0)), "")</f>
        <v/>
      </c>
      <c r="R46" s="35" t="str">
        <f t="array" ref="R46">IFERROR(INDEX(INDIRECT(Config!$G$1), MATCH($A46, INDIRECT(Config!$H$1), 0), MATCH(R$1, INDIRECT(Config!$I$1), 0)), "")</f>
        <v/>
      </c>
      <c r="S46" s="32" t="str">
        <f t="array" ref="S46">IFERROR(INDEX(INDIRECT(Config!$G$1), MATCH($A46, INDIRECT(Config!$H$1), 0), MATCH(S$1, INDIRECT(Config!$I$1), 0)), "")</f>
        <v/>
      </c>
      <c r="T46" s="35" t="str">
        <f t="array" ref="T46">IFERROR(INDEX(INDIRECT(Config!$G$1), MATCH($A46, INDIRECT(Config!$H$1), 0), MATCH(T$1, INDIRECT(Config!$I$1), 0)), "")</f>
        <v/>
      </c>
      <c r="U46" s="32" t="str">
        <f t="array" ref="U46">IFERROR(INDEX(INDIRECT(Config!$G$1), MATCH($A46, INDIRECT(Config!$H$1), 0), MATCH(U$1, INDIRECT(Config!$I$1), 0)), "")</f>
        <v/>
      </c>
      <c r="V46" s="35" t="str">
        <f t="array" ref="V46">IFERROR(INDEX(INDIRECT(Config!$G$1), MATCH($A46, INDIRECT(Config!$H$1), 0), MATCH(V$1, INDIRECT(Config!$I$1), 0)), "")</f>
        <v/>
      </c>
      <c r="W46" s="32" t="str">
        <f t="array" ref="W46">IFERROR(INDEX(INDIRECT(Config!$G$1), MATCH($A46, INDIRECT(Config!$H$1), 0), MATCH(W$1, INDIRECT(Config!$I$1), 0)), "")</f>
        <v/>
      </c>
      <c r="X46" s="35" t="str">
        <f t="array" ref="X46">IFERROR(INDEX(INDIRECT(Config!$G$1), MATCH($A46, INDIRECT(Config!$H$1), 0), MATCH(X$1, INDIRECT(Config!$I$1), 0)), "")</f>
        <v/>
      </c>
      <c r="Y46" s="32" t="str">
        <f t="array" ref="Y46">IFERROR(INDEX(INDIRECT(Config!$G$1), MATCH($A46, INDIRECT(Config!$H$1), 0), MATCH(Y$1, INDIRECT(Config!$I$1), 0)), "")</f>
        <v/>
      </c>
      <c r="Z46" s="32" t="str">
        <f t="array" ref="Z46">IFERROR(INDEX(INDIRECT(Config!$G$1), MATCH($A46, INDIRECT(Config!$H$1), 0), MATCH(Z$1, INDIRECT(Config!$I$1), 0)), "")</f>
        <v/>
      </c>
      <c r="AA46" s="35" t="str">
        <f t="array" ref="AA46">IFERROR(INDEX(INDIRECT(Config!$G$1), MATCH($A46, INDIRECT(Config!$H$1), 0), MATCH(AA$1, INDIRECT(Config!$I$1), 0)), "")</f>
        <v/>
      </c>
      <c r="AB46" s="32" t="str">
        <f t="array" ref="AB46">IFERROR(INDEX(INDIRECT(Config!$G$1), MATCH($A46, INDIRECT(Config!$H$1), 0), MATCH(AB$1, INDIRECT(Config!$I$1), 0)), "")</f>
        <v/>
      </c>
      <c r="AC46" s="35" t="str">
        <f t="array" ref="AC46">IFERROR(INDEX(INDIRECT(Config!$G$1), MATCH($A46, INDIRECT(Config!$H$1), 0), MATCH(AC$1, INDIRECT(Config!$I$1), 0)), "")</f>
        <v/>
      </c>
      <c r="AD46" s="32" t="str">
        <f t="array" ref="AD46">IFERROR(INDEX(INDIRECT(Config!$G$1), MATCH($A46, INDIRECT(Config!$H$1), 0), MATCH(AD$1, INDIRECT(Config!$I$1), 0)), "")</f>
        <v/>
      </c>
      <c r="AE46" s="35" t="str">
        <f t="array" ref="AE46">IFERROR(INDEX(INDIRECT(Config!$G$1), MATCH($A46, INDIRECT(Config!$H$1), 0), MATCH(AE$1, INDIRECT(Config!$I$1), 0)), "")</f>
        <v/>
      </c>
      <c r="AF46" s="32" t="str">
        <f t="array" ref="AF46">IFERROR(INDEX(INDIRECT(Config!$G$1), MATCH($A46, INDIRECT(Config!$H$1), 0), MATCH(AF$1, INDIRECT(Config!$I$1), 0)), "")</f>
        <v/>
      </c>
      <c r="AG46" s="35" t="str">
        <f t="array" ref="AG46">IFERROR(INDEX(INDIRECT(Config!$G$1), MATCH($A46, INDIRECT(Config!$H$1), 0), MATCH(AG$1, INDIRECT(Config!$I$1), 0)), "")</f>
        <v/>
      </c>
      <c r="AH46" s="32" t="str">
        <f t="array" ref="AH46">IFERROR(INDEX(INDIRECT(Config!$G$1), MATCH($A46, INDIRECT(Config!$H$1), 0), MATCH(AH$1, INDIRECT(Config!$I$1), 0)), "")</f>
        <v/>
      </c>
      <c r="AI46" s="35" t="str">
        <f t="array" ref="AI46">IFERROR(INDEX(INDIRECT(Config!$G$1), MATCH($A46, INDIRECT(Config!$H$1), 0), MATCH(AI$1, INDIRECT(Config!$I$1), 0)), "")</f>
        <v/>
      </c>
      <c r="AJ46" s="32" t="str">
        <f t="array" ref="AJ46">IFERROR(INDEX(INDIRECT(Config!$G$1), MATCH($A46, INDIRECT(Config!$H$1), 0), MATCH(AJ$1, INDIRECT(Config!$I$1), 0)), "")</f>
        <v/>
      </c>
      <c r="AK46" s="35" t="str">
        <f t="array" ref="AK46">IFERROR(INDEX(INDIRECT(Config!$G$1), MATCH($A46, INDIRECT(Config!$H$1), 0), MATCH(AK$1, INDIRECT(Config!$I$1), 0)), "")</f>
        <v/>
      </c>
      <c r="AL46" s="32" t="str">
        <f t="array" ref="AL46">IFERROR(INDEX(INDIRECT(Config!$G$1), MATCH($A46, INDIRECT(Config!$H$1), 0), MATCH(AL$1, INDIRECT(Config!$I$1), 0)), "")</f>
        <v/>
      </c>
      <c r="AM46" s="35" t="str">
        <f t="array" ref="AM46">IFERROR(INDEX(INDIRECT(Config!$G$1), MATCH($A46, INDIRECT(Config!$H$1), 0), MATCH(AM$1, INDIRECT(Config!$I$1), 0)), "")</f>
        <v/>
      </c>
      <c r="AN46" s="32" t="str">
        <f t="array" ref="AN46">IFERROR(INDEX(INDIRECT(Config!$G$1), MATCH($A46, INDIRECT(Config!$H$1), 0), MATCH(AN$1, INDIRECT(Config!$I$1), 0)), "")</f>
        <v/>
      </c>
      <c r="AO46" s="35" t="str">
        <f t="array" ref="AO46">IFERROR(INDEX(INDIRECT(Config!$G$1), MATCH($A46, INDIRECT(Config!$H$1), 0), MATCH(AO$1, INDIRECT(Config!$I$1), 0)), "")</f>
        <v/>
      </c>
      <c r="AP46" s="32" t="str">
        <f t="array" ref="AP46">IFERROR(INDEX(INDIRECT(Config!$G$1), MATCH($A46, INDIRECT(Config!$H$1), 0), MATCH(AP$1, INDIRECT(Config!$I$1), 0)), "")</f>
        <v/>
      </c>
      <c r="AQ46" s="35" t="str">
        <f t="array" ref="AQ46">IFERROR(INDEX(INDIRECT(Config!$G$1), MATCH($A46, INDIRECT(Config!$H$1), 0), MATCH(AQ$1, INDIRECT(Config!$I$1), 0)), "")</f>
        <v/>
      </c>
      <c r="AR46" s="32" t="str">
        <f t="array" ref="AR46">IFERROR(INDEX(INDIRECT(Config!$G$1), MATCH($A46, INDIRECT(Config!$H$1), 0), MATCH(AR$1, INDIRECT(Config!$I$1), 0)), "")</f>
        <v/>
      </c>
      <c r="AS46" s="35" t="str">
        <f t="array" ref="AS46">IFERROR(INDEX(INDIRECT(Config!$G$1), MATCH($A46, INDIRECT(Config!$H$1), 0), MATCH(AS$1, INDIRECT(Config!$I$1), 0)), "")</f>
        <v/>
      </c>
      <c r="AT46" s="32" t="str">
        <f t="array" ref="AT46">IFERROR(INDEX(INDIRECT(Config!$G$1), MATCH($A46, INDIRECT(Config!$H$1), 0), MATCH(AT$1, INDIRECT(Config!$I$1), 0)), "")</f>
        <v/>
      </c>
      <c r="AU46" s="35" t="str">
        <f t="array" ref="AU46">IFERROR(INDEX(INDIRECT(Config!$G$1), MATCH($A46, INDIRECT(Config!$H$1), 0), MATCH(AU$1, INDIRECT(Config!$I$1), 0)), "")</f>
        <v/>
      </c>
      <c r="AV46" s="32" t="str">
        <f t="array" ref="AV46">IFERROR(INDEX(INDIRECT(Config!$G$1), MATCH($A46, INDIRECT(Config!$H$1), 0), MATCH(AV$1, INDIRECT(Config!$I$1), 0)), "")</f>
        <v/>
      </c>
      <c r="AW46" s="35"/>
      <c r="AX46" s="32"/>
      <c r="AY46" s="35"/>
    </row>
    <row r="47" ht="15.75" customHeight="1">
      <c r="A47" s="12" t="str">
        <f>Menus!B8</f>
        <v/>
      </c>
      <c r="B47" s="51">
        <f t="shared" si="7"/>
        <v>0</v>
      </c>
      <c r="C47" s="33" t="str">
        <f t="array" ref="C47">IFERROR(INDEX(INDIRECT(Config!$G$1), MATCH($A47, INDIRECT(Config!$H$1), 0), MATCH(C$1, INDIRECT(Config!$I$1), 0)), "")</f>
        <v/>
      </c>
      <c r="D47" s="34" t="str">
        <f t="array" ref="D47">IFERROR(INDEX(INDIRECT(Config!$G$1), MATCH($A47, INDIRECT(Config!$H$1), 0), MATCH(D$1, INDIRECT(Config!$I$1), 0)), "")</f>
        <v/>
      </c>
      <c r="E47" s="32" t="str">
        <f t="array" ref="E47">IFERROR(INDEX(INDIRECT(Config!$G$1), MATCH($A47, INDIRECT(Config!$H$1), 0), MATCH(E$1, INDIRECT(Config!$I$1), 0)), "")</f>
        <v/>
      </c>
      <c r="F47" s="35" t="str">
        <f t="array" ref="F47">IFERROR(INDEX(INDIRECT(Config!$G$1), MATCH($A47, INDIRECT(Config!$H$1), 0), MATCH(F$1, INDIRECT(Config!$I$1), 0)), "")</f>
        <v/>
      </c>
      <c r="G47" s="32" t="str">
        <f t="array" ref="G47">IFERROR(INDEX(INDIRECT(Config!$G$1), MATCH($A47, INDIRECT(Config!$H$1), 0), MATCH(G$1, INDIRECT(Config!$I$1), 0)), "")</f>
        <v/>
      </c>
      <c r="H47" s="35" t="str">
        <f t="array" ref="H47">IFERROR(INDEX(INDIRECT(Config!$G$1), MATCH($A47, INDIRECT(Config!$H$1), 0), MATCH(H$1, INDIRECT(Config!$I$1), 0)), "")</f>
        <v/>
      </c>
      <c r="I47" s="32" t="str">
        <f t="array" ref="I47">IFERROR(INDEX(INDIRECT(Config!$G$1), MATCH($A47, INDIRECT(Config!$H$1), 0), MATCH(I$1, INDIRECT(Config!$I$1), 0)), "")</f>
        <v/>
      </c>
      <c r="J47" s="35" t="str">
        <f t="array" ref="J47">IFERROR(INDEX(INDIRECT(Config!$G$1), MATCH($A47, INDIRECT(Config!$H$1), 0), MATCH(J$1, INDIRECT(Config!$I$1), 0)), "")</f>
        <v/>
      </c>
      <c r="K47" s="32" t="str">
        <f t="array" ref="K47">IFERROR(INDEX(INDIRECT(Config!$G$1), MATCH($A47, INDIRECT(Config!$H$1), 0), MATCH(K$1, INDIRECT(Config!$I$1), 0)), "")</f>
        <v/>
      </c>
      <c r="L47" s="35" t="str">
        <f t="array" ref="L47">IFERROR(INDEX(INDIRECT(Config!$G$1), MATCH($A47, INDIRECT(Config!$H$1), 0), MATCH(L$1, INDIRECT(Config!$I$1), 0)), "")</f>
        <v/>
      </c>
      <c r="M47" s="32" t="str">
        <f t="array" ref="M47">IFERROR(INDEX(INDIRECT(Config!$G$1), MATCH($A47, INDIRECT(Config!$H$1), 0), MATCH(M$1, INDIRECT(Config!$I$1), 0)), "")</f>
        <v/>
      </c>
      <c r="N47" s="35" t="str">
        <f t="array" ref="N47">IFERROR(INDEX(INDIRECT(Config!$G$1), MATCH($A47, INDIRECT(Config!$H$1), 0), MATCH(N$1, INDIRECT(Config!$I$1), 0)), "")</f>
        <v/>
      </c>
      <c r="O47" s="32" t="str">
        <f t="array" ref="O47">IFERROR(INDEX(INDIRECT(Config!$G$1), MATCH($A47, INDIRECT(Config!$H$1), 0), MATCH(O$1, INDIRECT(Config!$I$1), 0)), "")</f>
        <v/>
      </c>
      <c r="P47" s="35" t="str">
        <f t="array" ref="P47">IFERROR(INDEX(INDIRECT(Config!$G$1), MATCH($A47, INDIRECT(Config!$H$1), 0), MATCH(P$1, INDIRECT(Config!$I$1), 0)), "")</f>
        <v/>
      </c>
      <c r="Q47" s="32" t="str">
        <f t="array" ref="Q47">IFERROR(INDEX(INDIRECT(Config!$G$1), MATCH($A47, INDIRECT(Config!$H$1), 0), MATCH(Q$1, INDIRECT(Config!$I$1), 0)), "")</f>
        <v/>
      </c>
      <c r="R47" s="35" t="str">
        <f t="array" ref="R47">IFERROR(INDEX(INDIRECT(Config!$G$1), MATCH($A47, INDIRECT(Config!$H$1), 0), MATCH(R$1, INDIRECT(Config!$I$1), 0)), "")</f>
        <v/>
      </c>
      <c r="S47" s="32" t="str">
        <f t="array" ref="S47">IFERROR(INDEX(INDIRECT(Config!$G$1), MATCH($A47, INDIRECT(Config!$H$1), 0), MATCH(S$1, INDIRECT(Config!$I$1), 0)), "")</f>
        <v/>
      </c>
      <c r="T47" s="35" t="str">
        <f t="array" ref="T47">IFERROR(INDEX(INDIRECT(Config!$G$1), MATCH($A47, INDIRECT(Config!$H$1), 0), MATCH(T$1, INDIRECT(Config!$I$1), 0)), "")</f>
        <v/>
      </c>
      <c r="U47" s="32" t="str">
        <f t="array" ref="U47">IFERROR(INDEX(INDIRECT(Config!$G$1), MATCH($A47, INDIRECT(Config!$H$1), 0), MATCH(U$1, INDIRECT(Config!$I$1), 0)), "")</f>
        <v/>
      </c>
      <c r="V47" s="35" t="str">
        <f t="array" ref="V47">IFERROR(INDEX(INDIRECT(Config!$G$1), MATCH($A47, INDIRECT(Config!$H$1), 0), MATCH(V$1, INDIRECT(Config!$I$1), 0)), "")</f>
        <v/>
      </c>
      <c r="W47" s="32" t="str">
        <f t="array" ref="W47">IFERROR(INDEX(INDIRECT(Config!$G$1), MATCH($A47, INDIRECT(Config!$H$1), 0), MATCH(W$1, INDIRECT(Config!$I$1), 0)), "")</f>
        <v/>
      </c>
      <c r="X47" s="35" t="str">
        <f t="array" ref="X47">IFERROR(INDEX(INDIRECT(Config!$G$1), MATCH($A47, INDIRECT(Config!$H$1), 0), MATCH(X$1, INDIRECT(Config!$I$1), 0)), "")</f>
        <v/>
      </c>
      <c r="Y47" s="32" t="str">
        <f t="array" ref="Y47">IFERROR(INDEX(INDIRECT(Config!$G$1), MATCH($A47, INDIRECT(Config!$H$1), 0), MATCH(Y$1, INDIRECT(Config!$I$1), 0)), "")</f>
        <v/>
      </c>
      <c r="Z47" s="32" t="str">
        <f t="array" ref="Z47">IFERROR(INDEX(INDIRECT(Config!$G$1), MATCH($A47, INDIRECT(Config!$H$1), 0), MATCH(Z$1, INDIRECT(Config!$I$1), 0)), "")</f>
        <v/>
      </c>
      <c r="AA47" s="35" t="str">
        <f t="array" ref="AA47">IFERROR(INDEX(INDIRECT(Config!$G$1), MATCH($A47, INDIRECT(Config!$H$1), 0), MATCH(AA$1, INDIRECT(Config!$I$1), 0)), "")</f>
        <v/>
      </c>
      <c r="AB47" s="32" t="str">
        <f t="array" ref="AB47">IFERROR(INDEX(INDIRECT(Config!$G$1), MATCH($A47, INDIRECT(Config!$H$1), 0), MATCH(AB$1, INDIRECT(Config!$I$1), 0)), "")</f>
        <v/>
      </c>
      <c r="AC47" s="35" t="str">
        <f t="array" ref="AC47">IFERROR(INDEX(INDIRECT(Config!$G$1), MATCH($A47, INDIRECT(Config!$H$1), 0), MATCH(AC$1, INDIRECT(Config!$I$1), 0)), "")</f>
        <v/>
      </c>
      <c r="AD47" s="32" t="str">
        <f t="array" ref="AD47">IFERROR(INDEX(INDIRECT(Config!$G$1), MATCH($A47, INDIRECT(Config!$H$1), 0), MATCH(AD$1, INDIRECT(Config!$I$1), 0)), "")</f>
        <v/>
      </c>
      <c r="AE47" s="35" t="str">
        <f t="array" ref="AE47">IFERROR(INDEX(INDIRECT(Config!$G$1), MATCH($A47, INDIRECT(Config!$H$1), 0), MATCH(AE$1, INDIRECT(Config!$I$1), 0)), "")</f>
        <v/>
      </c>
      <c r="AF47" s="32" t="str">
        <f t="array" ref="AF47">IFERROR(INDEX(INDIRECT(Config!$G$1), MATCH($A47, INDIRECT(Config!$H$1), 0), MATCH(AF$1, INDIRECT(Config!$I$1), 0)), "")</f>
        <v/>
      </c>
      <c r="AG47" s="35" t="str">
        <f t="array" ref="AG47">IFERROR(INDEX(INDIRECT(Config!$G$1), MATCH($A47, INDIRECT(Config!$H$1), 0), MATCH(AG$1, INDIRECT(Config!$I$1), 0)), "")</f>
        <v/>
      </c>
      <c r="AH47" s="32" t="str">
        <f t="array" ref="AH47">IFERROR(INDEX(INDIRECT(Config!$G$1), MATCH($A47, INDIRECT(Config!$H$1), 0), MATCH(AH$1, INDIRECT(Config!$I$1), 0)), "")</f>
        <v/>
      </c>
      <c r="AI47" s="35" t="str">
        <f t="array" ref="AI47">IFERROR(INDEX(INDIRECT(Config!$G$1), MATCH($A47, INDIRECT(Config!$H$1), 0), MATCH(AI$1, INDIRECT(Config!$I$1), 0)), "")</f>
        <v/>
      </c>
      <c r="AJ47" s="32" t="str">
        <f t="array" ref="AJ47">IFERROR(INDEX(INDIRECT(Config!$G$1), MATCH($A47, INDIRECT(Config!$H$1), 0), MATCH(AJ$1, INDIRECT(Config!$I$1), 0)), "")</f>
        <v/>
      </c>
      <c r="AK47" s="35" t="str">
        <f t="array" ref="AK47">IFERROR(INDEX(INDIRECT(Config!$G$1), MATCH($A47, INDIRECT(Config!$H$1), 0), MATCH(AK$1, INDIRECT(Config!$I$1), 0)), "")</f>
        <v/>
      </c>
      <c r="AL47" s="32" t="str">
        <f t="array" ref="AL47">IFERROR(INDEX(INDIRECT(Config!$G$1), MATCH($A47, INDIRECT(Config!$H$1), 0), MATCH(AL$1, INDIRECT(Config!$I$1), 0)), "")</f>
        <v/>
      </c>
      <c r="AM47" s="35" t="str">
        <f t="array" ref="AM47">IFERROR(INDEX(INDIRECT(Config!$G$1), MATCH($A47, INDIRECT(Config!$H$1), 0), MATCH(AM$1, INDIRECT(Config!$I$1), 0)), "")</f>
        <v/>
      </c>
      <c r="AN47" s="32" t="str">
        <f t="array" ref="AN47">IFERROR(INDEX(INDIRECT(Config!$G$1), MATCH($A47, INDIRECT(Config!$H$1), 0), MATCH(AN$1, INDIRECT(Config!$I$1), 0)), "")</f>
        <v/>
      </c>
      <c r="AO47" s="35" t="str">
        <f t="array" ref="AO47">IFERROR(INDEX(INDIRECT(Config!$G$1), MATCH($A47, INDIRECT(Config!$H$1), 0), MATCH(AO$1, INDIRECT(Config!$I$1), 0)), "")</f>
        <v/>
      </c>
      <c r="AP47" s="32" t="str">
        <f t="array" ref="AP47">IFERROR(INDEX(INDIRECT(Config!$G$1), MATCH($A47, INDIRECT(Config!$H$1), 0), MATCH(AP$1, INDIRECT(Config!$I$1), 0)), "")</f>
        <v/>
      </c>
      <c r="AQ47" s="35" t="str">
        <f t="array" ref="AQ47">IFERROR(INDEX(INDIRECT(Config!$G$1), MATCH($A47, INDIRECT(Config!$H$1), 0), MATCH(AQ$1, INDIRECT(Config!$I$1), 0)), "")</f>
        <v/>
      </c>
      <c r="AR47" s="32" t="str">
        <f t="array" ref="AR47">IFERROR(INDEX(INDIRECT(Config!$G$1), MATCH($A47, INDIRECT(Config!$H$1), 0), MATCH(AR$1, INDIRECT(Config!$I$1), 0)), "")</f>
        <v/>
      </c>
      <c r="AS47" s="35" t="str">
        <f t="array" ref="AS47">IFERROR(INDEX(INDIRECT(Config!$G$1), MATCH($A47, INDIRECT(Config!$H$1), 0), MATCH(AS$1, INDIRECT(Config!$I$1), 0)), "")</f>
        <v/>
      </c>
      <c r="AT47" s="32" t="str">
        <f t="array" ref="AT47">IFERROR(INDEX(INDIRECT(Config!$G$1), MATCH($A47, INDIRECT(Config!$H$1), 0), MATCH(AT$1, INDIRECT(Config!$I$1), 0)), "")</f>
        <v/>
      </c>
      <c r="AU47" s="35" t="str">
        <f t="array" ref="AU47">IFERROR(INDEX(INDIRECT(Config!$G$1), MATCH($A47, INDIRECT(Config!$H$1), 0), MATCH(AU$1, INDIRECT(Config!$I$1), 0)), "")</f>
        <v/>
      </c>
      <c r="AV47" s="32" t="str">
        <f t="array" ref="AV47">IFERROR(INDEX(INDIRECT(Config!$G$1), MATCH($A47, INDIRECT(Config!$H$1), 0), MATCH(AV$1, INDIRECT(Config!$I$1), 0)), "")</f>
        <v/>
      </c>
      <c r="AW47" s="35"/>
      <c r="AX47" s="32"/>
      <c r="AY47" s="35"/>
    </row>
    <row r="48" ht="15.75" customHeight="1">
      <c r="A48" s="12" t="str">
        <f>Menus!B9</f>
        <v/>
      </c>
      <c r="B48" s="51">
        <f t="shared" si="7"/>
        <v>0</v>
      </c>
      <c r="C48" s="33" t="str">
        <f t="array" ref="C48">IFERROR(INDEX(INDIRECT(Config!$G$1), MATCH($A48, INDIRECT(Config!$H$1), 0), MATCH(C$1, INDIRECT(Config!$I$1), 0)), "")</f>
        <v/>
      </c>
      <c r="D48" s="34" t="str">
        <f t="array" ref="D48">IFERROR(INDEX(INDIRECT(Config!$G$1), MATCH($A48, INDIRECT(Config!$H$1), 0), MATCH(D$1, INDIRECT(Config!$I$1), 0)), "")</f>
        <v/>
      </c>
      <c r="E48" s="32" t="str">
        <f t="array" ref="E48">IFERROR(INDEX(INDIRECT(Config!$G$1), MATCH($A48, INDIRECT(Config!$H$1), 0), MATCH(E$1, INDIRECT(Config!$I$1), 0)), "")</f>
        <v/>
      </c>
      <c r="F48" s="35" t="str">
        <f t="array" ref="F48">IFERROR(INDEX(INDIRECT(Config!$G$1), MATCH($A48, INDIRECT(Config!$H$1), 0), MATCH(F$1, INDIRECT(Config!$I$1), 0)), "")</f>
        <v/>
      </c>
      <c r="G48" s="32" t="str">
        <f t="array" ref="G48">IFERROR(INDEX(INDIRECT(Config!$G$1), MATCH($A48, INDIRECT(Config!$H$1), 0), MATCH(G$1, INDIRECT(Config!$I$1), 0)), "")</f>
        <v/>
      </c>
      <c r="H48" s="35" t="str">
        <f t="array" ref="H48">IFERROR(INDEX(INDIRECT(Config!$G$1), MATCH($A48, INDIRECT(Config!$H$1), 0), MATCH(H$1, INDIRECT(Config!$I$1), 0)), "")</f>
        <v/>
      </c>
      <c r="I48" s="32" t="str">
        <f t="array" ref="I48">IFERROR(INDEX(INDIRECT(Config!$G$1), MATCH($A48, INDIRECT(Config!$H$1), 0), MATCH(I$1, INDIRECT(Config!$I$1), 0)), "")</f>
        <v/>
      </c>
      <c r="J48" s="35" t="str">
        <f t="array" ref="J48">IFERROR(INDEX(INDIRECT(Config!$G$1), MATCH($A48, INDIRECT(Config!$H$1), 0), MATCH(J$1, INDIRECT(Config!$I$1), 0)), "")</f>
        <v/>
      </c>
      <c r="K48" s="32" t="str">
        <f t="array" ref="K48">IFERROR(INDEX(INDIRECT(Config!$G$1), MATCH($A48, INDIRECT(Config!$H$1), 0), MATCH(K$1, INDIRECT(Config!$I$1), 0)), "")</f>
        <v/>
      </c>
      <c r="L48" s="35" t="str">
        <f t="array" ref="L48">IFERROR(INDEX(INDIRECT(Config!$G$1), MATCH($A48, INDIRECT(Config!$H$1), 0), MATCH(L$1, INDIRECT(Config!$I$1), 0)), "")</f>
        <v/>
      </c>
      <c r="M48" s="32" t="str">
        <f t="array" ref="M48">IFERROR(INDEX(INDIRECT(Config!$G$1), MATCH($A48, INDIRECT(Config!$H$1), 0), MATCH(M$1, INDIRECT(Config!$I$1), 0)), "")</f>
        <v/>
      </c>
      <c r="N48" s="35" t="str">
        <f t="array" ref="N48">IFERROR(INDEX(INDIRECT(Config!$G$1), MATCH($A48, INDIRECT(Config!$H$1), 0), MATCH(N$1, INDIRECT(Config!$I$1), 0)), "")</f>
        <v/>
      </c>
      <c r="O48" s="32" t="str">
        <f t="array" ref="O48">IFERROR(INDEX(INDIRECT(Config!$G$1), MATCH($A48, INDIRECT(Config!$H$1), 0), MATCH(O$1, INDIRECT(Config!$I$1), 0)), "")</f>
        <v/>
      </c>
      <c r="P48" s="35" t="str">
        <f t="array" ref="P48">IFERROR(INDEX(INDIRECT(Config!$G$1), MATCH($A48, INDIRECT(Config!$H$1), 0), MATCH(P$1, INDIRECT(Config!$I$1), 0)), "")</f>
        <v/>
      </c>
      <c r="Q48" s="32" t="str">
        <f t="array" ref="Q48">IFERROR(INDEX(INDIRECT(Config!$G$1), MATCH($A48, INDIRECT(Config!$H$1), 0), MATCH(Q$1, INDIRECT(Config!$I$1), 0)), "")</f>
        <v/>
      </c>
      <c r="R48" s="35" t="str">
        <f t="array" ref="R48">IFERROR(INDEX(INDIRECT(Config!$G$1), MATCH($A48, INDIRECT(Config!$H$1), 0), MATCH(R$1, INDIRECT(Config!$I$1), 0)), "")</f>
        <v/>
      </c>
      <c r="S48" s="32" t="str">
        <f t="array" ref="S48">IFERROR(INDEX(INDIRECT(Config!$G$1), MATCH($A48, INDIRECT(Config!$H$1), 0), MATCH(S$1, INDIRECT(Config!$I$1), 0)), "")</f>
        <v/>
      </c>
      <c r="T48" s="35" t="str">
        <f t="array" ref="T48">IFERROR(INDEX(INDIRECT(Config!$G$1), MATCH($A48, INDIRECT(Config!$H$1), 0), MATCH(T$1, INDIRECT(Config!$I$1), 0)), "")</f>
        <v/>
      </c>
      <c r="U48" s="32" t="str">
        <f t="array" ref="U48">IFERROR(INDEX(INDIRECT(Config!$G$1), MATCH($A48, INDIRECT(Config!$H$1), 0), MATCH(U$1, INDIRECT(Config!$I$1), 0)), "")</f>
        <v/>
      </c>
      <c r="V48" s="35" t="str">
        <f t="array" ref="V48">IFERROR(INDEX(INDIRECT(Config!$G$1), MATCH($A48, INDIRECT(Config!$H$1), 0), MATCH(V$1, INDIRECT(Config!$I$1), 0)), "")</f>
        <v/>
      </c>
      <c r="W48" s="32" t="str">
        <f t="array" ref="W48">IFERROR(INDEX(INDIRECT(Config!$G$1), MATCH($A48, INDIRECT(Config!$H$1), 0), MATCH(W$1, INDIRECT(Config!$I$1), 0)), "")</f>
        <v/>
      </c>
      <c r="X48" s="35" t="str">
        <f t="array" ref="X48">IFERROR(INDEX(INDIRECT(Config!$G$1), MATCH($A48, INDIRECT(Config!$H$1), 0), MATCH(X$1, INDIRECT(Config!$I$1), 0)), "")</f>
        <v/>
      </c>
      <c r="Y48" s="32" t="str">
        <f t="array" ref="Y48">IFERROR(INDEX(INDIRECT(Config!$G$1), MATCH($A48, INDIRECT(Config!$H$1), 0), MATCH(Y$1, INDIRECT(Config!$I$1), 0)), "")</f>
        <v/>
      </c>
      <c r="Z48" s="32" t="str">
        <f t="array" ref="Z48">IFERROR(INDEX(INDIRECT(Config!$G$1), MATCH($A48, INDIRECT(Config!$H$1), 0), MATCH(Z$1, INDIRECT(Config!$I$1), 0)), "")</f>
        <v/>
      </c>
      <c r="AA48" s="35" t="str">
        <f t="array" ref="AA48">IFERROR(INDEX(INDIRECT(Config!$G$1), MATCH($A48, INDIRECT(Config!$H$1), 0), MATCH(AA$1, INDIRECT(Config!$I$1), 0)), "")</f>
        <v/>
      </c>
      <c r="AB48" s="32" t="str">
        <f t="array" ref="AB48">IFERROR(INDEX(INDIRECT(Config!$G$1), MATCH($A48, INDIRECT(Config!$H$1), 0), MATCH(AB$1, INDIRECT(Config!$I$1), 0)), "")</f>
        <v/>
      </c>
      <c r="AC48" s="35" t="str">
        <f t="array" ref="AC48">IFERROR(INDEX(INDIRECT(Config!$G$1), MATCH($A48, INDIRECT(Config!$H$1), 0), MATCH(AC$1, INDIRECT(Config!$I$1), 0)), "")</f>
        <v/>
      </c>
      <c r="AD48" s="32" t="str">
        <f t="array" ref="AD48">IFERROR(INDEX(INDIRECT(Config!$G$1), MATCH($A48, INDIRECT(Config!$H$1), 0), MATCH(AD$1, INDIRECT(Config!$I$1), 0)), "")</f>
        <v/>
      </c>
      <c r="AE48" s="35" t="str">
        <f t="array" ref="AE48">IFERROR(INDEX(INDIRECT(Config!$G$1), MATCH($A48, INDIRECT(Config!$H$1), 0), MATCH(AE$1, INDIRECT(Config!$I$1), 0)), "")</f>
        <v/>
      </c>
      <c r="AF48" s="32" t="str">
        <f t="array" ref="AF48">IFERROR(INDEX(INDIRECT(Config!$G$1), MATCH($A48, INDIRECT(Config!$H$1), 0), MATCH(AF$1, INDIRECT(Config!$I$1), 0)), "")</f>
        <v/>
      </c>
      <c r="AG48" s="35" t="str">
        <f t="array" ref="AG48">IFERROR(INDEX(INDIRECT(Config!$G$1), MATCH($A48, INDIRECT(Config!$H$1), 0), MATCH(AG$1, INDIRECT(Config!$I$1), 0)), "")</f>
        <v/>
      </c>
      <c r="AH48" s="32" t="str">
        <f t="array" ref="AH48">IFERROR(INDEX(INDIRECT(Config!$G$1), MATCH($A48, INDIRECT(Config!$H$1), 0), MATCH(AH$1, INDIRECT(Config!$I$1), 0)), "")</f>
        <v/>
      </c>
      <c r="AI48" s="35" t="str">
        <f t="array" ref="AI48">IFERROR(INDEX(INDIRECT(Config!$G$1), MATCH($A48, INDIRECT(Config!$H$1), 0), MATCH(AI$1, INDIRECT(Config!$I$1), 0)), "")</f>
        <v/>
      </c>
      <c r="AJ48" s="32" t="str">
        <f t="array" ref="AJ48">IFERROR(INDEX(INDIRECT(Config!$G$1), MATCH($A48, INDIRECT(Config!$H$1), 0), MATCH(AJ$1, INDIRECT(Config!$I$1), 0)), "")</f>
        <v/>
      </c>
      <c r="AK48" s="35" t="str">
        <f t="array" ref="AK48">IFERROR(INDEX(INDIRECT(Config!$G$1), MATCH($A48, INDIRECT(Config!$H$1), 0), MATCH(AK$1, INDIRECT(Config!$I$1), 0)), "")</f>
        <v/>
      </c>
      <c r="AL48" s="32" t="str">
        <f t="array" ref="AL48">IFERROR(INDEX(INDIRECT(Config!$G$1), MATCH($A48, INDIRECT(Config!$H$1), 0), MATCH(AL$1, INDIRECT(Config!$I$1), 0)), "")</f>
        <v/>
      </c>
      <c r="AM48" s="35" t="str">
        <f t="array" ref="AM48">IFERROR(INDEX(INDIRECT(Config!$G$1), MATCH($A48, INDIRECT(Config!$H$1), 0), MATCH(AM$1, INDIRECT(Config!$I$1), 0)), "")</f>
        <v/>
      </c>
      <c r="AN48" s="32" t="str">
        <f t="array" ref="AN48">IFERROR(INDEX(INDIRECT(Config!$G$1), MATCH($A48, INDIRECT(Config!$H$1), 0), MATCH(AN$1, INDIRECT(Config!$I$1), 0)), "")</f>
        <v/>
      </c>
      <c r="AO48" s="35" t="str">
        <f t="array" ref="AO48">IFERROR(INDEX(INDIRECT(Config!$G$1), MATCH($A48, INDIRECT(Config!$H$1), 0), MATCH(AO$1, INDIRECT(Config!$I$1), 0)), "")</f>
        <v/>
      </c>
      <c r="AP48" s="32" t="str">
        <f t="array" ref="AP48">IFERROR(INDEX(INDIRECT(Config!$G$1), MATCH($A48, INDIRECT(Config!$H$1), 0), MATCH(AP$1, INDIRECT(Config!$I$1), 0)), "")</f>
        <v/>
      </c>
      <c r="AQ48" s="35" t="str">
        <f t="array" ref="AQ48">IFERROR(INDEX(INDIRECT(Config!$G$1), MATCH($A48, INDIRECT(Config!$H$1), 0), MATCH(AQ$1, INDIRECT(Config!$I$1), 0)), "")</f>
        <v/>
      </c>
      <c r="AR48" s="32" t="str">
        <f t="array" ref="AR48">IFERROR(INDEX(INDIRECT(Config!$G$1), MATCH($A48, INDIRECT(Config!$H$1), 0), MATCH(AR$1, INDIRECT(Config!$I$1), 0)), "")</f>
        <v/>
      </c>
      <c r="AS48" s="35" t="str">
        <f t="array" ref="AS48">IFERROR(INDEX(INDIRECT(Config!$G$1), MATCH($A48, INDIRECT(Config!$H$1), 0), MATCH(AS$1, INDIRECT(Config!$I$1), 0)), "")</f>
        <v/>
      </c>
      <c r="AT48" s="32" t="str">
        <f t="array" ref="AT48">IFERROR(INDEX(INDIRECT(Config!$G$1), MATCH($A48, INDIRECT(Config!$H$1), 0), MATCH(AT$1, INDIRECT(Config!$I$1), 0)), "")</f>
        <v/>
      </c>
      <c r="AU48" s="35" t="str">
        <f t="array" ref="AU48">IFERROR(INDEX(INDIRECT(Config!$G$1), MATCH($A48, INDIRECT(Config!$H$1), 0), MATCH(AU$1, INDIRECT(Config!$I$1), 0)), "")</f>
        <v/>
      </c>
      <c r="AV48" s="32" t="str">
        <f t="array" ref="AV48">IFERROR(INDEX(INDIRECT(Config!$G$1), MATCH($A48, INDIRECT(Config!$H$1), 0), MATCH(AV$1, INDIRECT(Config!$I$1), 0)), "")</f>
        <v/>
      </c>
      <c r="AW48" s="35"/>
      <c r="AX48" s="32"/>
      <c r="AY48" s="35"/>
    </row>
    <row r="49" ht="15.75" customHeight="1">
      <c r="A49" s="12" t="str">
        <f>Menus!B10</f>
        <v/>
      </c>
      <c r="B49" s="51">
        <f t="shared" si="7"/>
        <v>0</v>
      </c>
      <c r="C49" s="33" t="str">
        <f t="array" ref="C49">IFERROR(INDEX(INDIRECT(Config!$G$1), MATCH($A49, INDIRECT(Config!$H$1), 0), MATCH(C$1, INDIRECT(Config!$I$1), 0)), "")</f>
        <v/>
      </c>
      <c r="D49" s="34" t="str">
        <f t="array" ref="D49">IFERROR(INDEX(INDIRECT(Config!$G$1), MATCH($A49, INDIRECT(Config!$H$1), 0), MATCH(D$1, INDIRECT(Config!$I$1), 0)), "")</f>
        <v/>
      </c>
      <c r="E49" s="32" t="str">
        <f t="array" ref="E49">IFERROR(INDEX(INDIRECT(Config!$G$1), MATCH($A49, INDIRECT(Config!$H$1), 0), MATCH(E$1, INDIRECT(Config!$I$1), 0)), "")</f>
        <v/>
      </c>
      <c r="F49" s="35" t="str">
        <f t="array" ref="F49">IFERROR(INDEX(INDIRECT(Config!$G$1), MATCH($A49, INDIRECT(Config!$H$1), 0), MATCH(F$1, INDIRECT(Config!$I$1), 0)), "")</f>
        <v/>
      </c>
      <c r="G49" s="32" t="str">
        <f t="array" ref="G49">IFERROR(INDEX(INDIRECT(Config!$G$1), MATCH($A49, INDIRECT(Config!$H$1), 0), MATCH(G$1, INDIRECT(Config!$I$1), 0)), "")</f>
        <v/>
      </c>
      <c r="H49" s="35" t="str">
        <f t="array" ref="H49">IFERROR(INDEX(INDIRECT(Config!$G$1), MATCH($A49, INDIRECT(Config!$H$1), 0), MATCH(H$1, INDIRECT(Config!$I$1), 0)), "")</f>
        <v/>
      </c>
      <c r="I49" s="32" t="str">
        <f t="array" ref="I49">IFERROR(INDEX(INDIRECT(Config!$G$1), MATCH($A49, INDIRECT(Config!$H$1), 0), MATCH(I$1, INDIRECT(Config!$I$1), 0)), "")</f>
        <v/>
      </c>
      <c r="J49" s="35" t="str">
        <f t="array" ref="J49">IFERROR(INDEX(INDIRECT(Config!$G$1), MATCH($A49, INDIRECT(Config!$H$1), 0), MATCH(J$1, INDIRECT(Config!$I$1), 0)), "")</f>
        <v/>
      </c>
      <c r="K49" s="32" t="str">
        <f t="array" ref="K49">IFERROR(INDEX(INDIRECT(Config!$G$1), MATCH($A49, INDIRECT(Config!$H$1), 0), MATCH(K$1, INDIRECT(Config!$I$1), 0)), "")</f>
        <v/>
      </c>
      <c r="L49" s="35" t="str">
        <f t="array" ref="L49">IFERROR(INDEX(INDIRECT(Config!$G$1), MATCH($A49, INDIRECT(Config!$H$1), 0), MATCH(L$1, INDIRECT(Config!$I$1), 0)), "")</f>
        <v/>
      </c>
      <c r="M49" s="32" t="str">
        <f t="array" ref="M49">IFERROR(INDEX(INDIRECT(Config!$G$1), MATCH($A49, INDIRECT(Config!$H$1), 0), MATCH(M$1, INDIRECT(Config!$I$1), 0)), "")</f>
        <v/>
      </c>
      <c r="N49" s="35" t="str">
        <f t="array" ref="N49">IFERROR(INDEX(INDIRECT(Config!$G$1), MATCH($A49, INDIRECT(Config!$H$1), 0), MATCH(N$1, INDIRECT(Config!$I$1), 0)), "")</f>
        <v/>
      </c>
      <c r="O49" s="32" t="str">
        <f t="array" ref="O49">IFERROR(INDEX(INDIRECT(Config!$G$1), MATCH($A49, INDIRECT(Config!$H$1), 0), MATCH(O$1, INDIRECT(Config!$I$1), 0)), "")</f>
        <v/>
      </c>
      <c r="P49" s="35" t="str">
        <f t="array" ref="P49">IFERROR(INDEX(INDIRECT(Config!$G$1), MATCH($A49, INDIRECT(Config!$H$1), 0), MATCH(P$1, INDIRECT(Config!$I$1), 0)), "")</f>
        <v/>
      </c>
      <c r="Q49" s="32" t="str">
        <f t="array" ref="Q49">IFERROR(INDEX(INDIRECT(Config!$G$1), MATCH($A49, INDIRECT(Config!$H$1), 0), MATCH(Q$1, INDIRECT(Config!$I$1), 0)), "")</f>
        <v/>
      </c>
      <c r="R49" s="35" t="str">
        <f t="array" ref="R49">IFERROR(INDEX(INDIRECT(Config!$G$1), MATCH($A49, INDIRECT(Config!$H$1), 0), MATCH(R$1, INDIRECT(Config!$I$1), 0)), "")</f>
        <v/>
      </c>
      <c r="S49" s="32" t="str">
        <f t="array" ref="S49">IFERROR(INDEX(INDIRECT(Config!$G$1), MATCH($A49, INDIRECT(Config!$H$1), 0), MATCH(S$1, INDIRECT(Config!$I$1), 0)), "")</f>
        <v/>
      </c>
      <c r="T49" s="35" t="str">
        <f t="array" ref="T49">IFERROR(INDEX(INDIRECT(Config!$G$1), MATCH($A49, INDIRECT(Config!$H$1), 0), MATCH(T$1, INDIRECT(Config!$I$1), 0)), "")</f>
        <v/>
      </c>
      <c r="U49" s="32" t="str">
        <f t="array" ref="U49">IFERROR(INDEX(INDIRECT(Config!$G$1), MATCH($A49, INDIRECT(Config!$H$1), 0), MATCH(U$1, INDIRECT(Config!$I$1), 0)), "")</f>
        <v/>
      </c>
      <c r="V49" s="35" t="str">
        <f t="array" ref="V49">IFERROR(INDEX(INDIRECT(Config!$G$1), MATCH($A49, INDIRECT(Config!$H$1), 0), MATCH(V$1, INDIRECT(Config!$I$1), 0)), "")</f>
        <v/>
      </c>
      <c r="W49" s="32" t="str">
        <f t="array" ref="W49">IFERROR(INDEX(INDIRECT(Config!$G$1), MATCH($A49, INDIRECT(Config!$H$1), 0), MATCH(W$1, INDIRECT(Config!$I$1), 0)), "")</f>
        <v/>
      </c>
      <c r="X49" s="35" t="str">
        <f t="array" ref="X49">IFERROR(INDEX(INDIRECT(Config!$G$1), MATCH($A49, INDIRECT(Config!$H$1), 0), MATCH(X$1, INDIRECT(Config!$I$1), 0)), "")</f>
        <v/>
      </c>
      <c r="Y49" s="32" t="str">
        <f t="array" ref="Y49">IFERROR(INDEX(INDIRECT(Config!$G$1), MATCH($A49, INDIRECT(Config!$H$1), 0), MATCH(Y$1, INDIRECT(Config!$I$1), 0)), "")</f>
        <v/>
      </c>
      <c r="Z49" s="32" t="str">
        <f t="array" ref="Z49">IFERROR(INDEX(INDIRECT(Config!$G$1), MATCH($A49, INDIRECT(Config!$H$1), 0), MATCH(Z$1, INDIRECT(Config!$I$1), 0)), "")</f>
        <v/>
      </c>
      <c r="AA49" s="35" t="str">
        <f t="array" ref="AA49">IFERROR(INDEX(INDIRECT(Config!$G$1), MATCH($A49, INDIRECT(Config!$H$1), 0), MATCH(AA$1, INDIRECT(Config!$I$1), 0)), "")</f>
        <v/>
      </c>
      <c r="AB49" s="32" t="str">
        <f t="array" ref="AB49">IFERROR(INDEX(INDIRECT(Config!$G$1), MATCH($A49, INDIRECT(Config!$H$1), 0), MATCH(AB$1, INDIRECT(Config!$I$1), 0)), "")</f>
        <v/>
      </c>
      <c r="AC49" s="35" t="str">
        <f t="array" ref="AC49">IFERROR(INDEX(INDIRECT(Config!$G$1), MATCH($A49, INDIRECT(Config!$H$1), 0), MATCH(AC$1, INDIRECT(Config!$I$1), 0)), "")</f>
        <v/>
      </c>
      <c r="AD49" s="32" t="str">
        <f t="array" ref="AD49">IFERROR(INDEX(INDIRECT(Config!$G$1), MATCH($A49, INDIRECT(Config!$H$1), 0), MATCH(AD$1, INDIRECT(Config!$I$1), 0)), "")</f>
        <v/>
      </c>
      <c r="AE49" s="35" t="str">
        <f t="array" ref="AE49">IFERROR(INDEX(INDIRECT(Config!$G$1), MATCH($A49, INDIRECT(Config!$H$1), 0), MATCH(AE$1, INDIRECT(Config!$I$1), 0)), "")</f>
        <v/>
      </c>
      <c r="AF49" s="32" t="str">
        <f t="array" ref="AF49">IFERROR(INDEX(INDIRECT(Config!$G$1), MATCH($A49, INDIRECT(Config!$H$1), 0), MATCH(AF$1, INDIRECT(Config!$I$1), 0)), "")</f>
        <v/>
      </c>
      <c r="AG49" s="35" t="str">
        <f t="array" ref="AG49">IFERROR(INDEX(INDIRECT(Config!$G$1), MATCH($A49, INDIRECT(Config!$H$1), 0), MATCH(AG$1, INDIRECT(Config!$I$1), 0)), "")</f>
        <v/>
      </c>
      <c r="AH49" s="32" t="str">
        <f t="array" ref="AH49">IFERROR(INDEX(INDIRECT(Config!$G$1), MATCH($A49, INDIRECT(Config!$H$1), 0), MATCH(AH$1, INDIRECT(Config!$I$1), 0)), "")</f>
        <v/>
      </c>
      <c r="AI49" s="35" t="str">
        <f t="array" ref="AI49">IFERROR(INDEX(INDIRECT(Config!$G$1), MATCH($A49, INDIRECT(Config!$H$1), 0), MATCH(AI$1, INDIRECT(Config!$I$1), 0)), "")</f>
        <v/>
      </c>
      <c r="AJ49" s="32" t="str">
        <f t="array" ref="AJ49">IFERROR(INDEX(INDIRECT(Config!$G$1), MATCH($A49, INDIRECT(Config!$H$1), 0), MATCH(AJ$1, INDIRECT(Config!$I$1), 0)), "")</f>
        <v/>
      </c>
      <c r="AK49" s="35" t="str">
        <f t="array" ref="AK49">IFERROR(INDEX(INDIRECT(Config!$G$1), MATCH($A49, INDIRECT(Config!$H$1), 0), MATCH(AK$1, INDIRECT(Config!$I$1), 0)), "")</f>
        <v/>
      </c>
      <c r="AL49" s="32" t="str">
        <f t="array" ref="AL49">IFERROR(INDEX(INDIRECT(Config!$G$1), MATCH($A49, INDIRECT(Config!$H$1), 0), MATCH(AL$1, INDIRECT(Config!$I$1), 0)), "")</f>
        <v/>
      </c>
      <c r="AM49" s="35" t="str">
        <f t="array" ref="AM49">IFERROR(INDEX(INDIRECT(Config!$G$1), MATCH($A49, INDIRECT(Config!$H$1), 0), MATCH(AM$1, INDIRECT(Config!$I$1), 0)), "")</f>
        <v/>
      </c>
      <c r="AN49" s="32" t="str">
        <f t="array" ref="AN49">IFERROR(INDEX(INDIRECT(Config!$G$1), MATCH($A49, INDIRECT(Config!$H$1), 0), MATCH(AN$1, INDIRECT(Config!$I$1), 0)), "")</f>
        <v/>
      </c>
      <c r="AO49" s="35" t="str">
        <f t="array" ref="AO49">IFERROR(INDEX(INDIRECT(Config!$G$1), MATCH($A49, INDIRECT(Config!$H$1), 0), MATCH(AO$1, INDIRECT(Config!$I$1), 0)), "")</f>
        <v/>
      </c>
      <c r="AP49" s="32" t="str">
        <f t="array" ref="AP49">IFERROR(INDEX(INDIRECT(Config!$G$1), MATCH($A49, INDIRECT(Config!$H$1), 0), MATCH(AP$1, INDIRECT(Config!$I$1), 0)), "")</f>
        <v/>
      </c>
      <c r="AQ49" s="35" t="str">
        <f t="array" ref="AQ49">IFERROR(INDEX(INDIRECT(Config!$G$1), MATCH($A49, INDIRECT(Config!$H$1), 0), MATCH(AQ$1, INDIRECT(Config!$I$1), 0)), "")</f>
        <v/>
      </c>
      <c r="AR49" s="32" t="str">
        <f t="array" ref="AR49">IFERROR(INDEX(INDIRECT(Config!$G$1), MATCH($A49, INDIRECT(Config!$H$1), 0), MATCH(AR$1, INDIRECT(Config!$I$1), 0)), "")</f>
        <v/>
      </c>
      <c r="AS49" s="35" t="str">
        <f t="array" ref="AS49">IFERROR(INDEX(INDIRECT(Config!$G$1), MATCH($A49, INDIRECT(Config!$H$1), 0), MATCH(AS$1, INDIRECT(Config!$I$1), 0)), "")</f>
        <v/>
      </c>
      <c r="AT49" s="32" t="str">
        <f t="array" ref="AT49">IFERROR(INDEX(INDIRECT(Config!$G$1), MATCH($A49, INDIRECT(Config!$H$1), 0), MATCH(AT$1, INDIRECT(Config!$I$1), 0)), "")</f>
        <v/>
      </c>
      <c r="AU49" s="35" t="str">
        <f t="array" ref="AU49">IFERROR(INDEX(INDIRECT(Config!$G$1), MATCH($A49, INDIRECT(Config!$H$1), 0), MATCH(AU$1, INDIRECT(Config!$I$1), 0)), "")</f>
        <v/>
      </c>
      <c r="AV49" s="32" t="str">
        <f t="array" ref="AV49">IFERROR(INDEX(INDIRECT(Config!$G$1), MATCH($A49, INDIRECT(Config!$H$1), 0), MATCH(AV$1, INDIRECT(Config!$I$1), 0)), "")</f>
        <v/>
      </c>
      <c r="AW49" s="35"/>
      <c r="AX49" s="32"/>
      <c r="AY49" s="35"/>
    </row>
    <row r="50" ht="15.75" customHeight="1">
      <c r="A50" s="12" t="str">
        <f>Menus!B11</f>
        <v/>
      </c>
      <c r="B50" s="51">
        <f t="shared" si="7"/>
        <v>0</v>
      </c>
      <c r="C50" s="33" t="str">
        <f t="array" ref="C50">IFERROR(INDEX(INDIRECT(Config!$G$1), MATCH($A50, INDIRECT(Config!$H$1), 0), MATCH(C$1, INDIRECT(Config!$I$1), 0)), "")</f>
        <v/>
      </c>
      <c r="D50" s="34" t="str">
        <f t="array" ref="D50">IFERROR(INDEX(INDIRECT(Config!$G$1), MATCH($A50, INDIRECT(Config!$H$1), 0), MATCH(D$1, INDIRECT(Config!$I$1), 0)), "")</f>
        <v/>
      </c>
      <c r="E50" s="32" t="str">
        <f t="array" ref="E50">IFERROR(INDEX(INDIRECT(Config!$G$1), MATCH($A50, INDIRECT(Config!$H$1), 0), MATCH(E$1, INDIRECT(Config!$I$1), 0)), "")</f>
        <v/>
      </c>
      <c r="F50" s="35" t="str">
        <f t="array" ref="F50">IFERROR(INDEX(INDIRECT(Config!$G$1), MATCH($A50, INDIRECT(Config!$H$1), 0), MATCH(F$1, INDIRECT(Config!$I$1), 0)), "")</f>
        <v/>
      </c>
      <c r="G50" s="32" t="str">
        <f t="array" ref="G50">IFERROR(INDEX(INDIRECT(Config!$G$1), MATCH($A50, INDIRECT(Config!$H$1), 0), MATCH(G$1, INDIRECT(Config!$I$1), 0)), "")</f>
        <v/>
      </c>
      <c r="H50" s="35" t="str">
        <f t="array" ref="H50">IFERROR(INDEX(INDIRECT(Config!$G$1), MATCH($A50, INDIRECT(Config!$H$1), 0), MATCH(H$1, INDIRECT(Config!$I$1), 0)), "")</f>
        <v/>
      </c>
      <c r="I50" s="32" t="str">
        <f t="array" ref="I50">IFERROR(INDEX(INDIRECT(Config!$G$1), MATCH($A50, INDIRECT(Config!$H$1), 0), MATCH(I$1, INDIRECT(Config!$I$1), 0)), "")</f>
        <v/>
      </c>
      <c r="J50" s="35" t="str">
        <f t="array" ref="J50">IFERROR(INDEX(INDIRECT(Config!$G$1), MATCH($A50, INDIRECT(Config!$H$1), 0), MATCH(J$1, INDIRECT(Config!$I$1), 0)), "")</f>
        <v/>
      </c>
      <c r="K50" s="32" t="str">
        <f t="array" ref="K50">IFERROR(INDEX(INDIRECT(Config!$G$1), MATCH($A50, INDIRECT(Config!$H$1), 0), MATCH(K$1, INDIRECT(Config!$I$1), 0)), "")</f>
        <v/>
      </c>
      <c r="L50" s="35" t="str">
        <f t="array" ref="L50">IFERROR(INDEX(INDIRECT(Config!$G$1), MATCH($A50, INDIRECT(Config!$H$1), 0), MATCH(L$1, INDIRECT(Config!$I$1), 0)), "")</f>
        <v/>
      </c>
      <c r="M50" s="32" t="str">
        <f t="array" ref="M50">IFERROR(INDEX(INDIRECT(Config!$G$1), MATCH($A50, INDIRECT(Config!$H$1), 0), MATCH(M$1, INDIRECT(Config!$I$1), 0)), "")</f>
        <v/>
      </c>
      <c r="N50" s="35" t="str">
        <f t="array" ref="N50">IFERROR(INDEX(INDIRECT(Config!$G$1), MATCH($A50, INDIRECT(Config!$H$1), 0), MATCH(N$1, INDIRECT(Config!$I$1), 0)), "")</f>
        <v/>
      </c>
      <c r="O50" s="32" t="str">
        <f t="array" ref="O50">IFERROR(INDEX(INDIRECT(Config!$G$1), MATCH($A50, INDIRECT(Config!$H$1), 0), MATCH(O$1, INDIRECT(Config!$I$1), 0)), "")</f>
        <v/>
      </c>
      <c r="P50" s="35" t="str">
        <f t="array" ref="P50">IFERROR(INDEX(INDIRECT(Config!$G$1), MATCH($A50, INDIRECT(Config!$H$1), 0), MATCH(P$1, INDIRECT(Config!$I$1), 0)), "")</f>
        <v/>
      </c>
      <c r="Q50" s="32" t="str">
        <f t="array" ref="Q50">IFERROR(INDEX(INDIRECT(Config!$G$1), MATCH($A50, INDIRECT(Config!$H$1), 0), MATCH(Q$1, INDIRECT(Config!$I$1), 0)), "")</f>
        <v/>
      </c>
      <c r="R50" s="35" t="str">
        <f t="array" ref="R50">IFERROR(INDEX(INDIRECT(Config!$G$1), MATCH($A50, INDIRECT(Config!$H$1), 0), MATCH(R$1, INDIRECT(Config!$I$1), 0)), "")</f>
        <v/>
      </c>
      <c r="S50" s="32" t="str">
        <f t="array" ref="S50">IFERROR(INDEX(INDIRECT(Config!$G$1), MATCH($A50, INDIRECT(Config!$H$1), 0), MATCH(S$1, INDIRECT(Config!$I$1), 0)), "")</f>
        <v/>
      </c>
      <c r="T50" s="35" t="str">
        <f t="array" ref="T50">IFERROR(INDEX(INDIRECT(Config!$G$1), MATCH($A50, INDIRECT(Config!$H$1), 0), MATCH(T$1, INDIRECT(Config!$I$1), 0)), "")</f>
        <v/>
      </c>
      <c r="U50" s="32" t="str">
        <f t="array" ref="U50">IFERROR(INDEX(INDIRECT(Config!$G$1), MATCH($A50, INDIRECT(Config!$H$1), 0), MATCH(U$1, INDIRECT(Config!$I$1), 0)), "")</f>
        <v/>
      </c>
      <c r="V50" s="35" t="str">
        <f t="array" ref="V50">IFERROR(INDEX(INDIRECT(Config!$G$1), MATCH($A50, INDIRECT(Config!$H$1), 0), MATCH(V$1, INDIRECT(Config!$I$1), 0)), "")</f>
        <v/>
      </c>
      <c r="W50" s="32" t="str">
        <f t="array" ref="W50">IFERROR(INDEX(INDIRECT(Config!$G$1), MATCH($A50, INDIRECT(Config!$H$1), 0), MATCH(W$1, INDIRECT(Config!$I$1), 0)), "")</f>
        <v/>
      </c>
      <c r="X50" s="35" t="str">
        <f t="array" ref="X50">IFERROR(INDEX(INDIRECT(Config!$G$1), MATCH($A50, INDIRECT(Config!$H$1), 0), MATCH(X$1, INDIRECT(Config!$I$1), 0)), "")</f>
        <v/>
      </c>
      <c r="Y50" s="32" t="str">
        <f t="array" ref="Y50">IFERROR(INDEX(INDIRECT(Config!$G$1), MATCH($A50, INDIRECT(Config!$H$1), 0), MATCH(Y$1, INDIRECT(Config!$I$1), 0)), "")</f>
        <v/>
      </c>
      <c r="Z50" s="32" t="str">
        <f t="array" ref="Z50">IFERROR(INDEX(INDIRECT(Config!$G$1), MATCH($A50, INDIRECT(Config!$H$1), 0), MATCH(Z$1, INDIRECT(Config!$I$1), 0)), "")</f>
        <v/>
      </c>
      <c r="AA50" s="35" t="str">
        <f t="array" ref="AA50">IFERROR(INDEX(INDIRECT(Config!$G$1), MATCH($A50, INDIRECT(Config!$H$1), 0), MATCH(AA$1, INDIRECT(Config!$I$1), 0)), "")</f>
        <v/>
      </c>
      <c r="AB50" s="32" t="str">
        <f t="array" ref="AB50">IFERROR(INDEX(INDIRECT(Config!$G$1), MATCH($A50, INDIRECT(Config!$H$1), 0), MATCH(AB$1, INDIRECT(Config!$I$1), 0)), "")</f>
        <v/>
      </c>
      <c r="AC50" s="35" t="str">
        <f t="array" ref="AC50">IFERROR(INDEX(INDIRECT(Config!$G$1), MATCH($A50, INDIRECT(Config!$H$1), 0), MATCH(AC$1, INDIRECT(Config!$I$1), 0)), "")</f>
        <v/>
      </c>
      <c r="AD50" s="32" t="str">
        <f t="array" ref="AD50">IFERROR(INDEX(INDIRECT(Config!$G$1), MATCH($A50, INDIRECT(Config!$H$1), 0), MATCH(AD$1, INDIRECT(Config!$I$1), 0)), "")</f>
        <v/>
      </c>
      <c r="AE50" s="35" t="str">
        <f t="array" ref="AE50">IFERROR(INDEX(INDIRECT(Config!$G$1), MATCH($A50, INDIRECT(Config!$H$1), 0), MATCH(AE$1, INDIRECT(Config!$I$1), 0)), "")</f>
        <v/>
      </c>
      <c r="AF50" s="32" t="str">
        <f t="array" ref="AF50">IFERROR(INDEX(INDIRECT(Config!$G$1), MATCH($A50, INDIRECT(Config!$H$1), 0), MATCH(AF$1, INDIRECT(Config!$I$1), 0)), "")</f>
        <v/>
      </c>
      <c r="AG50" s="35" t="str">
        <f t="array" ref="AG50">IFERROR(INDEX(INDIRECT(Config!$G$1), MATCH($A50, INDIRECT(Config!$H$1), 0), MATCH(AG$1, INDIRECT(Config!$I$1), 0)), "")</f>
        <v/>
      </c>
      <c r="AH50" s="32" t="str">
        <f t="array" ref="AH50">IFERROR(INDEX(INDIRECT(Config!$G$1), MATCH($A50, INDIRECT(Config!$H$1), 0), MATCH(AH$1, INDIRECT(Config!$I$1), 0)), "")</f>
        <v/>
      </c>
      <c r="AI50" s="35" t="str">
        <f t="array" ref="AI50">IFERROR(INDEX(INDIRECT(Config!$G$1), MATCH($A50, INDIRECT(Config!$H$1), 0), MATCH(AI$1, INDIRECT(Config!$I$1), 0)), "")</f>
        <v/>
      </c>
      <c r="AJ50" s="32" t="str">
        <f t="array" ref="AJ50">IFERROR(INDEX(INDIRECT(Config!$G$1), MATCH($A50, INDIRECT(Config!$H$1), 0), MATCH(AJ$1, INDIRECT(Config!$I$1), 0)), "")</f>
        <v/>
      </c>
      <c r="AK50" s="35" t="str">
        <f t="array" ref="AK50">IFERROR(INDEX(INDIRECT(Config!$G$1), MATCH($A50, INDIRECT(Config!$H$1), 0), MATCH(AK$1, INDIRECT(Config!$I$1), 0)), "")</f>
        <v/>
      </c>
      <c r="AL50" s="32" t="str">
        <f t="array" ref="AL50">IFERROR(INDEX(INDIRECT(Config!$G$1), MATCH($A50, INDIRECT(Config!$H$1), 0), MATCH(AL$1, INDIRECT(Config!$I$1), 0)), "")</f>
        <v/>
      </c>
      <c r="AM50" s="35" t="str">
        <f t="array" ref="AM50">IFERROR(INDEX(INDIRECT(Config!$G$1), MATCH($A50, INDIRECT(Config!$H$1), 0), MATCH(AM$1, INDIRECT(Config!$I$1), 0)), "")</f>
        <v/>
      </c>
      <c r="AN50" s="32" t="str">
        <f t="array" ref="AN50">IFERROR(INDEX(INDIRECT(Config!$G$1), MATCH($A50, INDIRECT(Config!$H$1), 0), MATCH(AN$1, INDIRECT(Config!$I$1), 0)), "")</f>
        <v/>
      </c>
      <c r="AO50" s="35" t="str">
        <f t="array" ref="AO50">IFERROR(INDEX(INDIRECT(Config!$G$1), MATCH($A50, INDIRECT(Config!$H$1), 0), MATCH(AO$1, INDIRECT(Config!$I$1), 0)), "")</f>
        <v/>
      </c>
      <c r="AP50" s="32" t="str">
        <f t="array" ref="AP50">IFERROR(INDEX(INDIRECT(Config!$G$1), MATCH($A50, INDIRECT(Config!$H$1), 0), MATCH(AP$1, INDIRECT(Config!$I$1), 0)), "")</f>
        <v/>
      </c>
      <c r="AQ50" s="35" t="str">
        <f t="array" ref="AQ50">IFERROR(INDEX(INDIRECT(Config!$G$1), MATCH($A50, INDIRECT(Config!$H$1), 0), MATCH(AQ$1, INDIRECT(Config!$I$1), 0)), "")</f>
        <v/>
      </c>
      <c r="AR50" s="32" t="str">
        <f t="array" ref="AR50">IFERROR(INDEX(INDIRECT(Config!$G$1), MATCH($A50, INDIRECT(Config!$H$1), 0), MATCH(AR$1, INDIRECT(Config!$I$1), 0)), "")</f>
        <v/>
      </c>
      <c r="AS50" s="35" t="str">
        <f t="array" ref="AS50">IFERROR(INDEX(INDIRECT(Config!$G$1), MATCH($A50, INDIRECT(Config!$H$1), 0), MATCH(AS$1, INDIRECT(Config!$I$1), 0)), "")</f>
        <v/>
      </c>
      <c r="AT50" s="32" t="str">
        <f t="array" ref="AT50">IFERROR(INDEX(INDIRECT(Config!$G$1), MATCH($A50, INDIRECT(Config!$H$1), 0), MATCH(AT$1, INDIRECT(Config!$I$1), 0)), "")</f>
        <v/>
      </c>
      <c r="AU50" s="35" t="str">
        <f t="array" ref="AU50">IFERROR(INDEX(INDIRECT(Config!$G$1), MATCH($A50, INDIRECT(Config!$H$1), 0), MATCH(AU$1, INDIRECT(Config!$I$1), 0)), "")</f>
        <v/>
      </c>
      <c r="AV50" s="32" t="str">
        <f t="array" ref="AV50">IFERROR(INDEX(INDIRECT(Config!$G$1), MATCH($A50, INDIRECT(Config!$H$1), 0), MATCH(AV$1, INDIRECT(Config!$I$1), 0)), "")</f>
        <v/>
      </c>
      <c r="AW50" s="35"/>
      <c r="AX50" s="32"/>
      <c r="AY50" s="35"/>
    </row>
    <row r="51" ht="15.75" customHeight="1">
      <c r="A51" s="12" t="str">
        <f>Menus!B12</f>
        <v/>
      </c>
      <c r="B51" s="51">
        <f t="shared" si="7"/>
        <v>0</v>
      </c>
      <c r="C51" s="33" t="str">
        <f t="array" ref="C51">IFERROR(INDEX(INDIRECT(Config!$G$1), MATCH($A51, INDIRECT(Config!$H$1), 0), MATCH(C$1, INDIRECT(Config!$I$1), 0)), "")</f>
        <v/>
      </c>
      <c r="D51" s="34" t="str">
        <f t="array" ref="D51">IFERROR(INDEX(INDIRECT(Config!$G$1), MATCH($A51, INDIRECT(Config!$H$1), 0), MATCH(D$1, INDIRECT(Config!$I$1), 0)), "")</f>
        <v/>
      </c>
      <c r="E51" s="32" t="str">
        <f t="array" ref="E51">IFERROR(INDEX(INDIRECT(Config!$G$1), MATCH($A51, INDIRECT(Config!$H$1), 0), MATCH(E$1, INDIRECT(Config!$I$1), 0)), "")</f>
        <v/>
      </c>
      <c r="F51" s="35" t="str">
        <f t="array" ref="F51">IFERROR(INDEX(INDIRECT(Config!$G$1), MATCH($A51, INDIRECT(Config!$H$1), 0), MATCH(F$1, INDIRECT(Config!$I$1), 0)), "")</f>
        <v/>
      </c>
      <c r="G51" s="32" t="str">
        <f t="array" ref="G51">IFERROR(INDEX(INDIRECT(Config!$G$1), MATCH($A51, INDIRECT(Config!$H$1), 0), MATCH(G$1, INDIRECT(Config!$I$1), 0)), "")</f>
        <v/>
      </c>
      <c r="H51" s="35" t="str">
        <f t="array" ref="H51">IFERROR(INDEX(INDIRECT(Config!$G$1), MATCH($A51, INDIRECT(Config!$H$1), 0), MATCH(H$1, INDIRECT(Config!$I$1), 0)), "")</f>
        <v/>
      </c>
      <c r="I51" s="32" t="str">
        <f t="array" ref="I51">IFERROR(INDEX(INDIRECT(Config!$G$1), MATCH($A51, INDIRECT(Config!$H$1), 0), MATCH(I$1, INDIRECT(Config!$I$1), 0)), "")</f>
        <v/>
      </c>
      <c r="J51" s="35" t="str">
        <f t="array" ref="J51">IFERROR(INDEX(INDIRECT(Config!$G$1), MATCH($A51, INDIRECT(Config!$H$1), 0), MATCH(J$1, INDIRECT(Config!$I$1), 0)), "")</f>
        <v/>
      </c>
      <c r="K51" s="32" t="str">
        <f t="array" ref="K51">IFERROR(INDEX(INDIRECT(Config!$G$1), MATCH($A51, INDIRECT(Config!$H$1), 0), MATCH(K$1, INDIRECT(Config!$I$1), 0)), "")</f>
        <v/>
      </c>
      <c r="L51" s="35" t="str">
        <f t="array" ref="L51">IFERROR(INDEX(INDIRECT(Config!$G$1), MATCH($A51, INDIRECT(Config!$H$1), 0), MATCH(L$1, INDIRECT(Config!$I$1), 0)), "")</f>
        <v/>
      </c>
      <c r="M51" s="32" t="str">
        <f t="array" ref="M51">IFERROR(INDEX(INDIRECT(Config!$G$1), MATCH($A51, INDIRECT(Config!$H$1), 0), MATCH(M$1, INDIRECT(Config!$I$1), 0)), "")</f>
        <v/>
      </c>
      <c r="N51" s="35" t="str">
        <f t="array" ref="N51">IFERROR(INDEX(INDIRECT(Config!$G$1), MATCH($A51, INDIRECT(Config!$H$1), 0), MATCH(N$1, INDIRECT(Config!$I$1), 0)), "")</f>
        <v/>
      </c>
      <c r="O51" s="32" t="str">
        <f t="array" ref="O51">IFERROR(INDEX(INDIRECT(Config!$G$1), MATCH($A51, INDIRECT(Config!$H$1), 0), MATCH(O$1, INDIRECT(Config!$I$1), 0)), "")</f>
        <v/>
      </c>
      <c r="P51" s="35" t="str">
        <f t="array" ref="P51">IFERROR(INDEX(INDIRECT(Config!$G$1), MATCH($A51, INDIRECT(Config!$H$1), 0), MATCH(P$1, INDIRECT(Config!$I$1), 0)), "")</f>
        <v/>
      </c>
      <c r="Q51" s="32" t="str">
        <f t="array" ref="Q51">IFERROR(INDEX(INDIRECT(Config!$G$1), MATCH($A51, INDIRECT(Config!$H$1), 0), MATCH(Q$1, INDIRECT(Config!$I$1), 0)), "")</f>
        <v/>
      </c>
      <c r="R51" s="35" t="str">
        <f t="array" ref="R51">IFERROR(INDEX(INDIRECT(Config!$G$1), MATCH($A51, INDIRECT(Config!$H$1), 0), MATCH(R$1, INDIRECT(Config!$I$1), 0)), "")</f>
        <v/>
      </c>
      <c r="S51" s="32" t="str">
        <f t="array" ref="S51">IFERROR(INDEX(INDIRECT(Config!$G$1), MATCH($A51, INDIRECT(Config!$H$1), 0), MATCH(S$1, INDIRECT(Config!$I$1), 0)), "")</f>
        <v/>
      </c>
      <c r="T51" s="35" t="str">
        <f t="array" ref="T51">IFERROR(INDEX(INDIRECT(Config!$G$1), MATCH($A51, INDIRECT(Config!$H$1), 0), MATCH(T$1, INDIRECT(Config!$I$1), 0)), "")</f>
        <v/>
      </c>
      <c r="U51" s="32" t="str">
        <f t="array" ref="U51">IFERROR(INDEX(INDIRECT(Config!$G$1), MATCH($A51, INDIRECT(Config!$H$1), 0), MATCH(U$1, INDIRECT(Config!$I$1), 0)), "")</f>
        <v/>
      </c>
      <c r="V51" s="35" t="str">
        <f t="array" ref="V51">IFERROR(INDEX(INDIRECT(Config!$G$1), MATCH($A51, INDIRECT(Config!$H$1), 0), MATCH(V$1, INDIRECT(Config!$I$1), 0)), "")</f>
        <v/>
      </c>
      <c r="W51" s="32" t="str">
        <f t="array" ref="W51">IFERROR(INDEX(INDIRECT(Config!$G$1), MATCH($A51, INDIRECT(Config!$H$1), 0), MATCH(W$1, INDIRECT(Config!$I$1), 0)), "")</f>
        <v/>
      </c>
      <c r="X51" s="35" t="str">
        <f t="array" ref="X51">IFERROR(INDEX(INDIRECT(Config!$G$1), MATCH($A51, INDIRECT(Config!$H$1), 0), MATCH(X$1, INDIRECT(Config!$I$1), 0)), "")</f>
        <v/>
      </c>
      <c r="Y51" s="32" t="str">
        <f t="array" ref="Y51">IFERROR(INDEX(INDIRECT(Config!$G$1), MATCH($A51, INDIRECT(Config!$H$1), 0), MATCH(Y$1, INDIRECT(Config!$I$1), 0)), "")</f>
        <v/>
      </c>
      <c r="Z51" s="32" t="str">
        <f t="array" ref="Z51">IFERROR(INDEX(INDIRECT(Config!$G$1), MATCH($A51, INDIRECT(Config!$H$1), 0), MATCH(Z$1, INDIRECT(Config!$I$1), 0)), "")</f>
        <v/>
      </c>
      <c r="AA51" s="35" t="str">
        <f t="array" ref="AA51">IFERROR(INDEX(INDIRECT(Config!$G$1), MATCH($A51, INDIRECT(Config!$H$1), 0), MATCH(AA$1, INDIRECT(Config!$I$1), 0)), "")</f>
        <v/>
      </c>
      <c r="AB51" s="32" t="str">
        <f t="array" ref="AB51">IFERROR(INDEX(INDIRECT(Config!$G$1), MATCH($A51, INDIRECT(Config!$H$1), 0), MATCH(AB$1, INDIRECT(Config!$I$1), 0)), "")</f>
        <v/>
      </c>
      <c r="AC51" s="35" t="str">
        <f t="array" ref="AC51">IFERROR(INDEX(INDIRECT(Config!$G$1), MATCH($A51, INDIRECT(Config!$H$1), 0), MATCH(AC$1, INDIRECT(Config!$I$1), 0)), "")</f>
        <v/>
      </c>
      <c r="AD51" s="32" t="str">
        <f t="array" ref="AD51">IFERROR(INDEX(INDIRECT(Config!$G$1), MATCH($A51, INDIRECT(Config!$H$1), 0), MATCH(AD$1, INDIRECT(Config!$I$1), 0)), "")</f>
        <v/>
      </c>
      <c r="AE51" s="35" t="str">
        <f t="array" ref="AE51">IFERROR(INDEX(INDIRECT(Config!$G$1), MATCH($A51, INDIRECT(Config!$H$1), 0), MATCH(AE$1, INDIRECT(Config!$I$1), 0)), "")</f>
        <v/>
      </c>
      <c r="AF51" s="32" t="str">
        <f t="array" ref="AF51">IFERROR(INDEX(INDIRECT(Config!$G$1), MATCH($A51, INDIRECT(Config!$H$1), 0), MATCH(AF$1, INDIRECT(Config!$I$1), 0)), "")</f>
        <v/>
      </c>
      <c r="AG51" s="35" t="str">
        <f t="array" ref="AG51">IFERROR(INDEX(INDIRECT(Config!$G$1), MATCH($A51, INDIRECT(Config!$H$1), 0), MATCH(AG$1, INDIRECT(Config!$I$1), 0)), "")</f>
        <v/>
      </c>
      <c r="AH51" s="32" t="str">
        <f t="array" ref="AH51">IFERROR(INDEX(INDIRECT(Config!$G$1), MATCH($A51, INDIRECT(Config!$H$1), 0), MATCH(AH$1, INDIRECT(Config!$I$1), 0)), "")</f>
        <v/>
      </c>
      <c r="AI51" s="35" t="str">
        <f t="array" ref="AI51">IFERROR(INDEX(INDIRECT(Config!$G$1), MATCH($A51, INDIRECT(Config!$H$1), 0), MATCH(AI$1, INDIRECT(Config!$I$1), 0)), "")</f>
        <v/>
      </c>
      <c r="AJ51" s="32" t="str">
        <f t="array" ref="AJ51">IFERROR(INDEX(INDIRECT(Config!$G$1), MATCH($A51, INDIRECT(Config!$H$1), 0), MATCH(AJ$1, INDIRECT(Config!$I$1), 0)), "")</f>
        <v/>
      </c>
      <c r="AK51" s="35" t="str">
        <f t="array" ref="AK51">IFERROR(INDEX(INDIRECT(Config!$G$1), MATCH($A51, INDIRECT(Config!$H$1), 0), MATCH(AK$1, INDIRECT(Config!$I$1), 0)), "")</f>
        <v/>
      </c>
      <c r="AL51" s="32" t="str">
        <f t="array" ref="AL51">IFERROR(INDEX(INDIRECT(Config!$G$1), MATCH($A51, INDIRECT(Config!$H$1), 0), MATCH(AL$1, INDIRECT(Config!$I$1), 0)), "")</f>
        <v/>
      </c>
      <c r="AM51" s="35" t="str">
        <f t="array" ref="AM51">IFERROR(INDEX(INDIRECT(Config!$G$1), MATCH($A51, INDIRECT(Config!$H$1), 0), MATCH(AM$1, INDIRECT(Config!$I$1), 0)), "")</f>
        <v/>
      </c>
      <c r="AN51" s="32" t="str">
        <f t="array" ref="AN51">IFERROR(INDEX(INDIRECT(Config!$G$1), MATCH($A51, INDIRECT(Config!$H$1), 0), MATCH(AN$1, INDIRECT(Config!$I$1), 0)), "")</f>
        <v/>
      </c>
      <c r="AO51" s="35" t="str">
        <f t="array" ref="AO51">IFERROR(INDEX(INDIRECT(Config!$G$1), MATCH($A51, INDIRECT(Config!$H$1), 0), MATCH(AO$1, INDIRECT(Config!$I$1), 0)), "")</f>
        <v/>
      </c>
      <c r="AP51" s="32" t="str">
        <f t="array" ref="AP51">IFERROR(INDEX(INDIRECT(Config!$G$1), MATCH($A51, INDIRECT(Config!$H$1), 0), MATCH(AP$1, INDIRECT(Config!$I$1), 0)), "")</f>
        <v/>
      </c>
      <c r="AQ51" s="35" t="str">
        <f t="array" ref="AQ51">IFERROR(INDEX(INDIRECT(Config!$G$1), MATCH($A51, INDIRECT(Config!$H$1), 0), MATCH(AQ$1, INDIRECT(Config!$I$1), 0)), "")</f>
        <v/>
      </c>
      <c r="AR51" s="32" t="str">
        <f t="array" ref="AR51">IFERROR(INDEX(INDIRECT(Config!$G$1), MATCH($A51, INDIRECT(Config!$H$1), 0), MATCH(AR$1, INDIRECT(Config!$I$1), 0)), "")</f>
        <v/>
      </c>
      <c r="AS51" s="35" t="str">
        <f t="array" ref="AS51">IFERROR(INDEX(INDIRECT(Config!$G$1), MATCH($A51, INDIRECT(Config!$H$1), 0), MATCH(AS$1, INDIRECT(Config!$I$1), 0)), "")</f>
        <v/>
      </c>
      <c r="AT51" s="32" t="str">
        <f t="array" ref="AT51">IFERROR(INDEX(INDIRECT(Config!$G$1), MATCH($A51, INDIRECT(Config!$H$1), 0), MATCH(AT$1, INDIRECT(Config!$I$1), 0)), "")</f>
        <v/>
      </c>
      <c r="AU51" s="35" t="str">
        <f t="array" ref="AU51">IFERROR(INDEX(INDIRECT(Config!$G$1), MATCH($A51, INDIRECT(Config!$H$1), 0), MATCH(AU$1, INDIRECT(Config!$I$1), 0)), "")</f>
        <v/>
      </c>
      <c r="AV51" s="32" t="str">
        <f t="array" ref="AV51">IFERROR(INDEX(INDIRECT(Config!$G$1), MATCH($A51, INDIRECT(Config!$H$1), 0), MATCH(AV$1, INDIRECT(Config!$I$1), 0)), "")</f>
        <v/>
      </c>
      <c r="AW51" s="35"/>
      <c r="AX51" s="32"/>
      <c r="AY51" s="35"/>
    </row>
    <row r="52" ht="15.75" customHeight="1">
      <c r="A52" s="12" t="str">
        <f>Menus!B13</f>
        <v/>
      </c>
      <c r="B52" s="51">
        <f t="shared" si="7"/>
        <v>0</v>
      </c>
      <c r="C52" s="33" t="str">
        <f t="array" ref="C52">IFERROR(INDEX(INDIRECT(Config!$G$1), MATCH($A52, INDIRECT(Config!$H$1), 0), MATCH(C$1, INDIRECT(Config!$I$1), 0)), "")</f>
        <v/>
      </c>
      <c r="D52" s="34" t="str">
        <f t="array" ref="D52">IFERROR(INDEX(INDIRECT(Config!$G$1), MATCH($A52, INDIRECT(Config!$H$1), 0), MATCH(D$1, INDIRECT(Config!$I$1), 0)), "")</f>
        <v/>
      </c>
      <c r="E52" s="32" t="str">
        <f t="array" ref="E52">IFERROR(INDEX(INDIRECT(Config!$G$1), MATCH($A52, INDIRECT(Config!$H$1), 0), MATCH(E$1, INDIRECT(Config!$I$1), 0)), "")</f>
        <v/>
      </c>
      <c r="F52" s="35" t="str">
        <f t="array" ref="F52">IFERROR(INDEX(INDIRECT(Config!$G$1), MATCH($A52, INDIRECT(Config!$H$1), 0), MATCH(F$1, INDIRECT(Config!$I$1), 0)), "")</f>
        <v/>
      </c>
      <c r="G52" s="32" t="str">
        <f t="array" ref="G52">IFERROR(INDEX(INDIRECT(Config!$G$1), MATCH($A52, INDIRECT(Config!$H$1), 0), MATCH(G$1, INDIRECT(Config!$I$1), 0)), "")</f>
        <v/>
      </c>
      <c r="H52" s="35" t="str">
        <f t="array" ref="H52">IFERROR(INDEX(INDIRECT(Config!$G$1), MATCH($A52, INDIRECT(Config!$H$1), 0), MATCH(H$1, INDIRECT(Config!$I$1), 0)), "")</f>
        <v/>
      </c>
      <c r="I52" s="32" t="str">
        <f t="array" ref="I52">IFERROR(INDEX(INDIRECT(Config!$G$1), MATCH($A52, INDIRECT(Config!$H$1), 0), MATCH(I$1, INDIRECT(Config!$I$1), 0)), "")</f>
        <v/>
      </c>
      <c r="J52" s="35" t="str">
        <f t="array" ref="J52">IFERROR(INDEX(INDIRECT(Config!$G$1), MATCH($A52, INDIRECT(Config!$H$1), 0), MATCH(J$1, INDIRECT(Config!$I$1), 0)), "")</f>
        <v/>
      </c>
      <c r="K52" s="32" t="str">
        <f t="array" ref="K52">IFERROR(INDEX(INDIRECT(Config!$G$1), MATCH($A52, INDIRECT(Config!$H$1), 0), MATCH(K$1, INDIRECT(Config!$I$1), 0)), "")</f>
        <v/>
      </c>
      <c r="L52" s="35" t="str">
        <f t="array" ref="L52">IFERROR(INDEX(INDIRECT(Config!$G$1), MATCH($A52, INDIRECT(Config!$H$1), 0), MATCH(L$1, INDIRECT(Config!$I$1), 0)), "")</f>
        <v/>
      </c>
      <c r="M52" s="32" t="str">
        <f t="array" ref="M52">IFERROR(INDEX(INDIRECT(Config!$G$1), MATCH($A52, INDIRECT(Config!$H$1), 0), MATCH(M$1, INDIRECT(Config!$I$1), 0)), "")</f>
        <v/>
      </c>
      <c r="N52" s="35" t="str">
        <f t="array" ref="N52">IFERROR(INDEX(INDIRECT(Config!$G$1), MATCH($A52, INDIRECT(Config!$H$1), 0), MATCH(N$1, INDIRECT(Config!$I$1), 0)), "")</f>
        <v/>
      </c>
      <c r="O52" s="32" t="str">
        <f t="array" ref="O52">IFERROR(INDEX(INDIRECT(Config!$G$1), MATCH($A52, INDIRECT(Config!$H$1), 0), MATCH(O$1, INDIRECT(Config!$I$1), 0)), "")</f>
        <v/>
      </c>
      <c r="P52" s="35" t="str">
        <f t="array" ref="P52">IFERROR(INDEX(INDIRECT(Config!$G$1), MATCH($A52, INDIRECT(Config!$H$1), 0), MATCH(P$1, INDIRECT(Config!$I$1), 0)), "")</f>
        <v/>
      </c>
      <c r="Q52" s="32" t="str">
        <f t="array" ref="Q52">IFERROR(INDEX(INDIRECT(Config!$G$1), MATCH($A52, INDIRECT(Config!$H$1), 0), MATCH(Q$1, INDIRECT(Config!$I$1), 0)), "")</f>
        <v/>
      </c>
      <c r="R52" s="35" t="str">
        <f t="array" ref="R52">IFERROR(INDEX(INDIRECT(Config!$G$1), MATCH($A52, INDIRECT(Config!$H$1), 0), MATCH(R$1, INDIRECT(Config!$I$1), 0)), "")</f>
        <v/>
      </c>
      <c r="S52" s="32" t="str">
        <f t="array" ref="S52">IFERROR(INDEX(INDIRECT(Config!$G$1), MATCH($A52, INDIRECT(Config!$H$1), 0), MATCH(S$1, INDIRECT(Config!$I$1), 0)), "")</f>
        <v/>
      </c>
      <c r="T52" s="35" t="str">
        <f t="array" ref="T52">IFERROR(INDEX(INDIRECT(Config!$G$1), MATCH($A52, INDIRECT(Config!$H$1), 0), MATCH(T$1, INDIRECT(Config!$I$1), 0)), "")</f>
        <v/>
      </c>
      <c r="U52" s="32" t="str">
        <f t="array" ref="U52">IFERROR(INDEX(INDIRECT(Config!$G$1), MATCH($A52, INDIRECT(Config!$H$1), 0), MATCH(U$1, INDIRECT(Config!$I$1), 0)), "")</f>
        <v/>
      </c>
      <c r="V52" s="35" t="str">
        <f t="array" ref="V52">IFERROR(INDEX(INDIRECT(Config!$G$1), MATCH($A52, INDIRECT(Config!$H$1), 0), MATCH(V$1, INDIRECT(Config!$I$1), 0)), "")</f>
        <v/>
      </c>
      <c r="W52" s="32" t="str">
        <f t="array" ref="W52">IFERROR(INDEX(INDIRECT(Config!$G$1), MATCH($A52, INDIRECT(Config!$H$1), 0), MATCH(W$1, INDIRECT(Config!$I$1), 0)), "")</f>
        <v/>
      </c>
      <c r="X52" s="35" t="str">
        <f t="array" ref="X52">IFERROR(INDEX(INDIRECT(Config!$G$1), MATCH($A52, INDIRECT(Config!$H$1), 0), MATCH(X$1, INDIRECT(Config!$I$1), 0)), "")</f>
        <v/>
      </c>
      <c r="Y52" s="32" t="str">
        <f t="array" ref="Y52">IFERROR(INDEX(INDIRECT(Config!$G$1), MATCH($A52, INDIRECT(Config!$H$1), 0), MATCH(Y$1, INDIRECT(Config!$I$1), 0)), "")</f>
        <v/>
      </c>
      <c r="Z52" s="32" t="str">
        <f t="array" ref="Z52">IFERROR(INDEX(INDIRECT(Config!$G$1), MATCH($A52, INDIRECT(Config!$H$1), 0), MATCH(Z$1, INDIRECT(Config!$I$1), 0)), "")</f>
        <v/>
      </c>
      <c r="AA52" s="35" t="str">
        <f t="array" ref="AA52">IFERROR(INDEX(INDIRECT(Config!$G$1), MATCH($A52, INDIRECT(Config!$H$1), 0), MATCH(AA$1, INDIRECT(Config!$I$1), 0)), "")</f>
        <v/>
      </c>
      <c r="AB52" s="32" t="str">
        <f t="array" ref="AB52">IFERROR(INDEX(INDIRECT(Config!$G$1), MATCH($A52, INDIRECT(Config!$H$1), 0), MATCH(AB$1, INDIRECT(Config!$I$1), 0)), "")</f>
        <v/>
      </c>
      <c r="AC52" s="35" t="str">
        <f t="array" ref="AC52">IFERROR(INDEX(INDIRECT(Config!$G$1), MATCH($A52, INDIRECT(Config!$H$1), 0), MATCH(AC$1, INDIRECT(Config!$I$1), 0)), "")</f>
        <v/>
      </c>
      <c r="AD52" s="32" t="str">
        <f t="array" ref="AD52">IFERROR(INDEX(INDIRECT(Config!$G$1), MATCH($A52, INDIRECT(Config!$H$1), 0), MATCH(AD$1, INDIRECT(Config!$I$1), 0)), "")</f>
        <v/>
      </c>
      <c r="AE52" s="35" t="str">
        <f t="array" ref="AE52">IFERROR(INDEX(INDIRECT(Config!$G$1), MATCH($A52, INDIRECT(Config!$H$1), 0), MATCH(AE$1, INDIRECT(Config!$I$1), 0)), "")</f>
        <v/>
      </c>
      <c r="AF52" s="32" t="str">
        <f t="array" ref="AF52">IFERROR(INDEX(INDIRECT(Config!$G$1), MATCH($A52, INDIRECT(Config!$H$1), 0), MATCH(AF$1, INDIRECT(Config!$I$1), 0)), "")</f>
        <v/>
      </c>
      <c r="AG52" s="35" t="str">
        <f t="array" ref="AG52">IFERROR(INDEX(INDIRECT(Config!$G$1), MATCH($A52, INDIRECT(Config!$H$1), 0), MATCH(AG$1, INDIRECT(Config!$I$1), 0)), "")</f>
        <v/>
      </c>
      <c r="AH52" s="32" t="str">
        <f t="array" ref="AH52">IFERROR(INDEX(INDIRECT(Config!$G$1), MATCH($A52, INDIRECT(Config!$H$1), 0), MATCH(AH$1, INDIRECT(Config!$I$1), 0)), "")</f>
        <v/>
      </c>
      <c r="AI52" s="35" t="str">
        <f t="array" ref="AI52">IFERROR(INDEX(INDIRECT(Config!$G$1), MATCH($A52, INDIRECT(Config!$H$1), 0), MATCH(AI$1, INDIRECT(Config!$I$1), 0)), "")</f>
        <v/>
      </c>
      <c r="AJ52" s="32" t="str">
        <f t="array" ref="AJ52">IFERROR(INDEX(INDIRECT(Config!$G$1), MATCH($A52, INDIRECT(Config!$H$1), 0), MATCH(AJ$1, INDIRECT(Config!$I$1), 0)), "")</f>
        <v/>
      </c>
      <c r="AK52" s="35" t="str">
        <f t="array" ref="AK52">IFERROR(INDEX(INDIRECT(Config!$G$1), MATCH($A52, INDIRECT(Config!$H$1), 0), MATCH(AK$1, INDIRECT(Config!$I$1), 0)), "")</f>
        <v/>
      </c>
      <c r="AL52" s="32" t="str">
        <f t="array" ref="AL52">IFERROR(INDEX(INDIRECT(Config!$G$1), MATCH($A52, INDIRECT(Config!$H$1), 0), MATCH(AL$1, INDIRECT(Config!$I$1), 0)), "")</f>
        <v/>
      </c>
      <c r="AM52" s="35" t="str">
        <f t="array" ref="AM52">IFERROR(INDEX(INDIRECT(Config!$G$1), MATCH($A52, INDIRECT(Config!$H$1), 0), MATCH(AM$1, INDIRECT(Config!$I$1), 0)), "")</f>
        <v/>
      </c>
      <c r="AN52" s="32" t="str">
        <f t="array" ref="AN52">IFERROR(INDEX(INDIRECT(Config!$G$1), MATCH($A52, INDIRECT(Config!$H$1), 0), MATCH(AN$1, INDIRECT(Config!$I$1), 0)), "")</f>
        <v/>
      </c>
      <c r="AO52" s="35" t="str">
        <f t="array" ref="AO52">IFERROR(INDEX(INDIRECT(Config!$G$1), MATCH($A52, INDIRECT(Config!$H$1), 0), MATCH(AO$1, INDIRECT(Config!$I$1), 0)), "")</f>
        <v/>
      </c>
      <c r="AP52" s="32" t="str">
        <f t="array" ref="AP52">IFERROR(INDEX(INDIRECT(Config!$G$1), MATCH($A52, INDIRECT(Config!$H$1), 0), MATCH(AP$1, INDIRECT(Config!$I$1), 0)), "")</f>
        <v/>
      </c>
      <c r="AQ52" s="35" t="str">
        <f t="array" ref="AQ52">IFERROR(INDEX(INDIRECT(Config!$G$1), MATCH($A52, INDIRECT(Config!$H$1), 0), MATCH(AQ$1, INDIRECT(Config!$I$1), 0)), "")</f>
        <v/>
      </c>
      <c r="AR52" s="32" t="str">
        <f t="array" ref="AR52">IFERROR(INDEX(INDIRECT(Config!$G$1), MATCH($A52, INDIRECT(Config!$H$1), 0), MATCH(AR$1, INDIRECT(Config!$I$1), 0)), "")</f>
        <v/>
      </c>
      <c r="AS52" s="35" t="str">
        <f t="array" ref="AS52">IFERROR(INDEX(INDIRECT(Config!$G$1), MATCH($A52, INDIRECT(Config!$H$1), 0), MATCH(AS$1, INDIRECT(Config!$I$1), 0)), "")</f>
        <v/>
      </c>
      <c r="AT52" s="32" t="str">
        <f t="array" ref="AT52">IFERROR(INDEX(INDIRECT(Config!$G$1), MATCH($A52, INDIRECT(Config!$H$1), 0), MATCH(AT$1, INDIRECT(Config!$I$1), 0)), "")</f>
        <v/>
      </c>
      <c r="AU52" s="35" t="str">
        <f t="array" ref="AU52">IFERROR(INDEX(INDIRECT(Config!$G$1), MATCH($A52, INDIRECT(Config!$H$1), 0), MATCH(AU$1, INDIRECT(Config!$I$1), 0)), "")</f>
        <v/>
      </c>
      <c r="AV52" s="32" t="str">
        <f t="array" ref="AV52">IFERROR(INDEX(INDIRECT(Config!$G$1), MATCH($A52, INDIRECT(Config!$H$1), 0), MATCH(AV$1, INDIRECT(Config!$I$1), 0)), "")</f>
        <v/>
      </c>
      <c r="AW52" s="35"/>
      <c r="AX52" s="32"/>
      <c r="AY52" s="35"/>
    </row>
    <row r="53" ht="15.75" customHeight="1">
      <c r="A53" s="12" t="str">
        <f>Menus!B14</f>
        <v/>
      </c>
      <c r="B53" s="51">
        <f t="shared" si="7"/>
        <v>0</v>
      </c>
      <c r="C53" s="33" t="str">
        <f t="array" ref="C53">IFERROR(INDEX(INDIRECT(Config!$G$1), MATCH($A53, INDIRECT(Config!$H$1), 0), MATCH(C$1, INDIRECT(Config!$I$1), 0)), "")</f>
        <v/>
      </c>
      <c r="D53" s="34" t="str">
        <f t="array" ref="D53">IFERROR(INDEX(INDIRECT(Config!$G$1), MATCH($A53, INDIRECT(Config!$H$1), 0), MATCH(D$1, INDIRECT(Config!$I$1), 0)), "")</f>
        <v/>
      </c>
      <c r="E53" s="32" t="str">
        <f t="array" ref="E53">IFERROR(INDEX(INDIRECT(Config!$G$1), MATCH($A53, INDIRECT(Config!$H$1), 0), MATCH(E$1, INDIRECT(Config!$I$1), 0)), "")</f>
        <v/>
      </c>
      <c r="F53" s="35" t="str">
        <f t="array" ref="F53">IFERROR(INDEX(INDIRECT(Config!$G$1), MATCH($A53, INDIRECT(Config!$H$1), 0), MATCH(F$1, INDIRECT(Config!$I$1), 0)), "")</f>
        <v/>
      </c>
      <c r="G53" s="32" t="str">
        <f t="array" ref="G53">IFERROR(INDEX(INDIRECT(Config!$G$1), MATCH($A53, INDIRECT(Config!$H$1), 0), MATCH(G$1, INDIRECT(Config!$I$1), 0)), "")</f>
        <v/>
      </c>
      <c r="H53" s="35" t="str">
        <f t="array" ref="H53">IFERROR(INDEX(INDIRECT(Config!$G$1), MATCH($A53, INDIRECT(Config!$H$1), 0), MATCH(H$1, INDIRECT(Config!$I$1), 0)), "")</f>
        <v/>
      </c>
      <c r="I53" s="32" t="str">
        <f t="array" ref="I53">IFERROR(INDEX(INDIRECT(Config!$G$1), MATCH($A53, INDIRECT(Config!$H$1), 0), MATCH(I$1, INDIRECT(Config!$I$1), 0)), "")</f>
        <v/>
      </c>
      <c r="J53" s="35" t="str">
        <f t="array" ref="J53">IFERROR(INDEX(INDIRECT(Config!$G$1), MATCH($A53, INDIRECT(Config!$H$1), 0), MATCH(J$1, INDIRECT(Config!$I$1), 0)), "")</f>
        <v/>
      </c>
      <c r="K53" s="32" t="str">
        <f t="array" ref="K53">IFERROR(INDEX(INDIRECT(Config!$G$1), MATCH($A53, INDIRECT(Config!$H$1), 0), MATCH(K$1, INDIRECT(Config!$I$1), 0)), "")</f>
        <v/>
      </c>
      <c r="L53" s="35" t="str">
        <f t="array" ref="L53">IFERROR(INDEX(INDIRECT(Config!$G$1), MATCH($A53, INDIRECT(Config!$H$1), 0), MATCH(L$1, INDIRECT(Config!$I$1), 0)), "")</f>
        <v/>
      </c>
      <c r="M53" s="32" t="str">
        <f t="array" ref="M53">IFERROR(INDEX(INDIRECT(Config!$G$1), MATCH($A53, INDIRECT(Config!$H$1), 0), MATCH(M$1, INDIRECT(Config!$I$1), 0)), "")</f>
        <v/>
      </c>
      <c r="N53" s="35" t="str">
        <f t="array" ref="N53">IFERROR(INDEX(INDIRECT(Config!$G$1), MATCH($A53, INDIRECT(Config!$H$1), 0), MATCH(N$1, INDIRECT(Config!$I$1), 0)), "")</f>
        <v/>
      </c>
      <c r="O53" s="32" t="str">
        <f t="array" ref="O53">IFERROR(INDEX(INDIRECT(Config!$G$1), MATCH($A53, INDIRECT(Config!$H$1), 0), MATCH(O$1, INDIRECT(Config!$I$1), 0)), "")</f>
        <v/>
      </c>
      <c r="P53" s="35" t="str">
        <f t="array" ref="P53">IFERROR(INDEX(INDIRECT(Config!$G$1), MATCH($A53, INDIRECT(Config!$H$1), 0), MATCH(P$1, INDIRECT(Config!$I$1), 0)), "")</f>
        <v/>
      </c>
      <c r="Q53" s="32" t="str">
        <f t="array" ref="Q53">IFERROR(INDEX(INDIRECT(Config!$G$1), MATCH($A53, INDIRECT(Config!$H$1), 0), MATCH(Q$1, INDIRECT(Config!$I$1), 0)), "")</f>
        <v/>
      </c>
      <c r="R53" s="35" t="str">
        <f t="array" ref="R53">IFERROR(INDEX(INDIRECT(Config!$G$1), MATCH($A53, INDIRECT(Config!$H$1), 0), MATCH(R$1, INDIRECT(Config!$I$1), 0)), "")</f>
        <v/>
      </c>
      <c r="S53" s="32" t="str">
        <f t="array" ref="S53">IFERROR(INDEX(INDIRECT(Config!$G$1), MATCH($A53, INDIRECT(Config!$H$1), 0), MATCH(S$1, INDIRECT(Config!$I$1), 0)), "")</f>
        <v/>
      </c>
      <c r="T53" s="35" t="str">
        <f t="array" ref="T53">IFERROR(INDEX(INDIRECT(Config!$G$1), MATCH($A53, INDIRECT(Config!$H$1), 0), MATCH(T$1, INDIRECT(Config!$I$1), 0)), "")</f>
        <v/>
      </c>
      <c r="U53" s="32" t="str">
        <f t="array" ref="U53">IFERROR(INDEX(INDIRECT(Config!$G$1), MATCH($A53, INDIRECT(Config!$H$1), 0), MATCH(U$1, INDIRECT(Config!$I$1), 0)), "")</f>
        <v/>
      </c>
      <c r="V53" s="35" t="str">
        <f t="array" ref="V53">IFERROR(INDEX(INDIRECT(Config!$G$1), MATCH($A53, INDIRECT(Config!$H$1), 0), MATCH(V$1, INDIRECT(Config!$I$1), 0)), "")</f>
        <v/>
      </c>
      <c r="W53" s="32" t="str">
        <f t="array" ref="W53">IFERROR(INDEX(INDIRECT(Config!$G$1), MATCH($A53, INDIRECT(Config!$H$1), 0), MATCH(W$1, INDIRECT(Config!$I$1), 0)), "")</f>
        <v/>
      </c>
      <c r="X53" s="35" t="str">
        <f t="array" ref="X53">IFERROR(INDEX(INDIRECT(Config!$G$1), MATCH($A53, INDIRECT(Config!$H$1), 0), MATCH(X$1, INDIRECT(Config!$I$1), 0)), "")</f>
        <v/>
      </c>
      <c r="Y53" s="32" t="str">
        <f t="array" ref="Y53">IFERROR(INDEX(INDIRECT(Config!$G$1), MATCH($A53, INDIRECT(Config!$H$1), 0), MATCH(Y$1, INDIRECT(Config!$I$1), 0)), "")</f>
        <v/>
      </c>
      <c r="Z53" s="32" t="str">
        <f t="array" ref="Z53">IFERROR(INDEX(INDIRECT(Config!$G$1), MATCH($A53, INDIRECT(Config!$H$1), 0), MATCH(Z$1, INDIRECT(Config!$I$1), 0)), "")</f>
        <v/>
      </c>
      <c r="AA53" s="35" t="str">
        <f t="array" ref="AA53">IFERROR(INDEX(INDIRECT(Config!$G$1), MATCH($A53, INDIRECT(Config!$H$1), 0), MATCH(AA$1, INDIRECT(Config!$I$1), 0)), "")</f>
        <v/>
      </c>
      <c r="AB53" s="32" t="str">
        <f t="array" ref="AB53">IFERROR(INDEX(INDIRECT(Config!$G$1), MATCH($A53, INDIRECT(Config!$H$1), 0), MATCH(AB$1, INDIRECT(Config!$I$1), 0)), "")</f>
        <v/>
      </c>
      <c r="AC53" s="35" t="str">
        <f t="array" ref="AC53">IFERROR(INDEX(INDIRECT(Config!$G$1), MATCH($A53, INDIRECT(Config!$H$1), 0), MATCH(AC$1, INDIRECT(Config!$I$1), 0)), "")</f>
        <v/>
      </c>
      <c r="AD53" s="32" t="str">
        <f t="array" ref="AD53">IFERROR(INDEX(INDIRECT(Config!$G$1), MATCH($A53, INDIRECT(Config!$H$1), 0), MATCH(AD$1, INDIRECT(Config!$I$1), 0)), "")</f>
        <v/>
      </c>
      <c r="AE53" s="35" t="str">
        <f t="array" ref="AE53">IFERROR(INDEX(INDIRECT(Config!$G$1), MATCH($A53, INDIRECT(Config!$H$1), 0), MATCH(AE$1, INDIRECT(Config!$I$1), 0)), "")</f>
        <v/>
      </c>
      <c r="AF53" s="32" t="str">
        <f t="array" ref="AF53">IFERROR(INDEX(INDIRECT(Config!$G$1), MATCH($A53, INDIRECT(Config!$H$1), 0), MATCH(AF$1, INDIRECT(Config!$I$1), 0)), "")</f>
        <v/>
      </c>
      <c r="AG53" s="35" t="str">
        <f t="array" ref="AG53">IFERROR(INDEX(INDIRECT(Config!$G$1), MATCH($A53, INDIRECT(Config!$H$1), 0), MATCH(AG$1, INDIRECT(Config!$I$1), 0)), "")</f>
        <v/>
      </c>
      <c r="AH53" s="32" t="str">
        <f t="array" ref="AH53">IFERROR(INDEX(INDIRECT(Config!$G$1), MATCH($A53, INDIRECT(Config!$H$1), 0), MATCH(AH$1, INDIRECT(Config!$I$1), 0)), "")</f>
        <v/>
      </c>
      <c r="AI53" s="35" t="str">
        <f t="array" ref="AI53">IFERROR(INDEX(INDIRECT(Config!$G$1), MATCH($A53, INDIRECT(Config!$H$1), 0), MATCH(AI$1, INDIRECT(Config!$I$1), 0)), "")</f>
        <v/>
      </c>
      <c r="AJ53" s="32" t="str">
        <f t="array" ref="AJ53">IFERROR(INDEX(INDIRECT(Config!$G$1), MATCH($A53, INDIRECT(Config!$H$1), 0), MATCH(AJ$1, INDIRECT(Config!$I$1), 0)), "")</f>
        <v/>
      </c>
      <c r="AK53" s="35" t="str">
        <f t="array" ref="AK53">IFERROR(INDEX(INDIRECT(Config!$G$1), MATCH($A53, INDIRECT(Config!$H$1), 0), MATCH(AK$1, INDIRECT(Config!$I$1), 0)), "")</f>
        <v/>
      </c>
      <c r="AL53" s="32" t="str">
        <f t="array" ref="AL53">IFERROR(INDEX(INDIRECT(Config!$G$1), MATCH($A53, INDIRECT(Config!$H$1), 0), MATCH(AL$1, INDIRECT(Config!$I$1), 0)), "")</f>
        <v/>
      </c>
      <c r="AM53" s="35" t="str">
        <f t="array" ref="AM53">IFERROR(INDEX(INDIRECT(Config!$G$1), MATCH($A53, INDIRECT(Config!$H$1), 0), MATCH(AM$1, INDIRECT(Config!$I$1), 0)), "")</f>
        <v/>
      </c>
      <c r="AN53" s="32" t="str">
        <f t="array" ref="AN53">IFERROR(INDEX(INDIRECT(Config!$G$1), MATCH($A53, INDIRECT(Config!$H$1), 0), MATCH(AN$1, INDIRECT(Config!$I$1), 0)), "")</f>
        <v/>
      </c>
      <c r="AO53" s="35" t="str">
        <f t="array" ref="AO53">IFERROR(INDEX(INDIRECT(Config!$G$1), MATCH($A53, INDIRECT(Config!$H$1), 0), MATCH(AO$1, INDIRECT(Config!$I$1), 0)), "")</f>
        <v/>
      </c>
      <c r="AP53" s="32" t="str">
        <f t="array" ref="AP53">IFERROR(INDEX(INDIRECT(Config!$G$1), MATCH($A53, INDIRECT(Config!$H$1), 0), MATCH(AP$1, INDIRECT(Config!$I$1), 0)), "")</f>
        <v/>
      </c>
      <c r="AQ53" s="35" t="str">
        <f t="array" ref="AQ53">IFERROR(INDEX(INDIRECT(Config!$G$1), MATCH($A53, INDIRECT(Config!$H$1), 0), MATCH(AQ$1, INDIRECT(Config!$I$1), 0)), "")</f>
        <v/>
      </c>
      <c r="AR53" s="32" t="str">
        <f t="array" ref="AR53">IFERROR(INDEX(INDIRECT(Config!$G$1), MATCH($A53, INDIRECT(Config!$H$1), 0), MATCH(AR$1, INDIRECT(Config!$I$1), 0)), "")</f>
        <v/>
      </c>
      <c r="AS53" s="35" t="str">
        <f t="array" ref="AS53">IFERROR(INDEX(INDIRECT(Config!$G$1), MATCH($A53, INDIRECT(Config!$H$1), 0), MATCH(AS$1, INDIRECT(Config!$I$1), 0)), "")</f>
        <v/>
      </c>
      <c r="AT53" s="32" t="str">
        <f t="array" ref="AT53">IFERROR(INDEX(INDIRECT(Config!$G$1), MATCH($A53, INDIRECT(Config!$H$1), 0), MATCH(AT$1, INDIRECT(Config!$I$1), 0)), "")</f>
        <v/>
      </c>
      <c r="AU53" s="35" t="str">
        <f t="array" ref="AU53">IFERROR(INDEX(INDIRECT(Config!$G$1), MATCH($A53, INDIRECT(Config!$H$1), 0), MATCH(AU$1, INDIRECT(Config!$I$1), 0)), "")</f>
        <v/>
      </c>
      <c r="AV53" s="32" t="str">
        <f t="array" ref="AV53">IFERROR(INDEX(INDIRECT(Config!$G$1), MATCH($A53, INDIRECT(Config!$H$1), 0), MATCH(AV$1, INDIRECT(Config!$I$1), 0)), "")</f>
        <v/>
      </c>
      <c r="AW53" s="35"/>
      <c r="AX53" s="32"/>
      <c r="AY53" s="35"/>
    </row>
    <row r="54" ht="15.75" customHeight="1">
      <c r="A54" s="12" t="str">
        <f>Menus!B15</f>
        <v/>
      </c>
      <c r="B54" s="51">
        <f t="shared" si="7"/>
        <v>0</v>
      </c>
      <c r="C54" s="33" t="str">
        <f t="array" ref="C54">IFERROR(INDEX(INDIRECT(Config!$G$1), MATCH($A54, INDIRECT(Config!$H$1), 0), MATCH(C$1, INDIRECT(Config!$I$1), 0)), "")</f>
        <v/>
      </c>
      <c r="D54" s="34" t="str">
        <f t="array" ref="D54">IFERROR(INDEX(INDIRECT(Config!$G$1), MATCH($A54, INDIRECT(Config!$H$1), 0), MATCH(D$1, INDIRECT(Config!$I$1), 0)), "")</f>
        <v/>
      </c>
      <c r="E54" s="32" t="str">
        <f t="array" ref="E54">IFERROR(INDEX(INDIRECT(Config!$G$1), MATCH($A54, INDIRECT(Config!$H$1), 0), MATCH(E$1, INDIRECT(Config!$I$1), 0)), "")</f>
        <v/>
      </c>
      <c r="F54" s="35" t="str">
        <f t="array" ref="F54">IFERROR(INDEX(INDIRECT(Config!$G$1), MATCH($A54, INDIRECT(Config!$H$1), 0), MATCH(F$1, INDIRECT(Config!$I$1), 0)), "")</f>
        <v/>
      </c>
      <c r="G54" s="32" t="str">
        <f t="array" ref="G54">IFERROR(INDEX(INDIRECT(Config!$G$1), MATCH($A54, INDIRECT(Config!$H$1), 0), MATCH(G$1, INDIRECT(Config!$I$1), 0)), "")</f>
        <v/>
      </c>
      <c r="H54" s="35" t="str">
        <f t="array" ref="H54">IFERROR(INDEX(INDIRECT(Config!$G$1), MATCH($A54, INDIRECT(Config!$H$1), 0), MATCH(H$1, INDIRECT(Config!$I$1), 0)), "")</f>
        <v/>
      </c>
      <c r="I54" s="32" t="str">
        <f t="array" ref="I54">IFERROR(INDEX(INDIRECT(Config!$G$1), MATCH($A54, INDIRECT(Config!$H$1), 0), MATCH(I$1, INDIRECT(Config!$I$1), 0)), "")</f>
        <v/>
      </c>
      <c r="J54" s="35" t="str">
        <f t="array" ref="J54">IFERROR(INDEX(INDIRECT(Config!$G$1), MATCH($A54, INDIRECT(Config!$H$1), 0), MATCH(J$1, INDIRECT(Config!$I$1), 0)), "")</f>
        <v/>
      </c>
      <c r="K54" s="32" t="str">
        <f t="array" ref="K54">IFERROR(INDEX(INDIRECT(Config!$G$1), MATCH($A54, INDIRECT(Config!$H$1), 0), MATCH(K$1, INDIRECT(Config!$I$1), 0)), "")</f>
        <v/>
      </c>
      <c r="L54" s="35" t="str">
        <f t="array" ref="L54">IFERROR(INDEX(INDIRECT(Config!$G$1), MATCH($A54, INDIRECT(Config!$H$1), 0), MATCH(L$1, INDIRECT(Config!$I$1), 0)), "")</f>
        <v/>
      </c>
      <c r="M54" s="32" t="str">
        <f t="array" ref="M54">IFERROR(INDEX(INDIRECT(Config!$G$1), MATCH($A54, INDIRECT(Config!$H$1), 0), MATCH(M$1, INDIRECT(Config!$I$1), 0)), "")</f>
        <v/>
      </c>
      <c r="N54" s="35" t="str">
        <f t="array" ref="N54">IFERROR(INDEX(INDIRECT(Config!$G$1), MATCH($A54, INDIRECT(Config!$H$1), 0), MATCH(N$1, INDIRECT(Config!$I$1), 0)), "")</f>
        <v/>
      </c>
      <c r="O54" s="32" t="str">
        <f t="array" ref="O54">IFERROR(INDEX(INDIRECT(Config!$G$1), MATCH($A54, INDIRECT(Config!$H$1), 0), MATCH(O$1, INDIRECT(Config!$I$1), 0)), "")</f>
        <v/>
      </c>
      <c r="P54" s="35" t="str">
        <f t="array" ref="P54">IFERROR(INDEX(INDIRECT(Config!$G$1), MATCH($A54, INDIRECT(Config!$H$1), 0), MATCH(P$1, INDIRECT(Config!$I$1), 0)), "")</f>
        <v/>
      </c>
      <c r="Q54" s="32" t="str">
        <f t="array" ref="Q54">IFERROR(INDEX(INDIRECT(Config!$G$1), MATCH($A54, INDIRECT(Config!$H$1), 0), MATCH(Q$1, INDIRECT(Config!$I$1), 0)), "")</f>
        <v/>
      </c>
      <c r="R54" s="35" t="str">
        <f t="array" ref="R54">IFERROR(INDEX(INDIRECT(Config!$G$1), MATCH($A54, INDIRECT(Config!$H$1), 0), MATCH(R$1, INDIRECT(Config!$I$1), 0)), "")</f>
        <v/>
      </c>
      <c r="S54" s="32" t="str">
        <f t="array" ref="S54">IFERROR(INDEX(INDIRECT(Config!$G$1), MATCH($A54, INDIRECT(Config!$H$1), 0), MATCH(S$1, INDIRECT(Config!$I$1), 0)), "")</f>
        <v/>
      </c>
      <c r="T54" s="35" t="str">
        <f t="array" ref="T54">IFERROR(INDEX(INDIRECT(Config!$G$1), MATCH($A54, INDIRECT(Config!$H$1), 0), MATCH(T$1, INDIRECT(Config!$I$1), 0)), "")</f>
        <v/>
      </c>
      <c r="U54" s="32" t="str">
        <f t="array" ref="U54">IFERROR(INDEX(INDIRECT(Config!$G$1), MATCH($A54, INDIRECT(Config!$H$1), 0), MATCH(U$1, INDIRECT(Config!$I$1), 0)), "")</f>
        <v/>
      </c>
      <c r="V54" s="35" t="str">
        <f t="array" ref="V54">IFERROR(INDEX(INDIRECT(Config!$G$1), MATCH($A54, INDIRECT(Config!$H$1), 0), MATCH(V$1, INDIRECT(Config!$I$1), 0)), "")</f>
        <v/>
      </c>
      <c r="W54" s="32" t="str">
        <f t="array" ref="W54">IFERROR(INDEX(INDIRECT(Config!$G$1), MATCH($A54, INDIRECT(Config!$H$1), 0), MATCH(W$1, INDIRECT(Config!$I$1), 0)), "")</f>
        <v/>
      </c>
      <c r="X54" s="35" t="str">
        <f t="array" ref="X54">IFERROR(INDEX(INDIRECT(Config!$G$1), MATCH($A54, INDIRECT(Config!$H$1), 0), MATCH(X$1, INDIRECT(Config!$I$1), 0)), "")</f>
        <v/>
      </c>
      <c r="Y54" s="32" t="str">
        <f t="array" ref="Y54">IFERROR(INDEX(INDIRECT(Config!$G$1), MATCH($A54, INDIRECT(Config!$H$1), 0), MATCH(Y$1, INDIRECT(Config!$I$1), 0)), "")</f>
        <v/>
      </c>
      <c r="Z54" s="32" t="str">
        <f t="array" ref="Z54">IFERROR(INDEX(INDIRECT(Config!$G$1), MATCH($A54, INDIRECT(Config!$H$1), 0), MATCH(Z$1, INDIRECT(Config!$I$1), 0)), "")</f>
        <v/>
      </c>
      <c r="AA54" s="35" t="str">
        <f t="array" ref="AA54">IFERROR(INDEX(INDIRECT(Config!$G$1), MATCH($A54, INDIRECT(Config!$H$1), 0), MATCH(AA$1, INDIRECT(Config!$I$1), 0)), "")</f>
        <v/>
      </c>
      <c r="AB54" s="32" t="str">
        <f t="array" ref="AB54">IFERROR(INDEX(INDIRECT(Config!$G$1), MATCH($A54, INDIRECT(Config!$H$1), 0), MATCH(AB$1, INDIRECT(Config!$I$1), 0)), "")</f>
        <v/>
      </c>
      <c r="AC54" s="35" t="str">
        <f t="array" ref="AC54">IFERROR(INDEX(INDIRECT(Config!$G$1), MATCH($A54, INDIRECT(Config!$H$1), 0), MATCH(AC$1, INDIRECT(Config!$I$1), 0)), "")</f>
        <v/>
      </c>
      <c r="AD54" s="32" t="str">
        <f t="array" ref="AD54">IFERROR(INDEX(INDIRECT(Config!$G$1), MATCH($A54, INDIRECT(Config!$H$1), 0), MATCH(AD$1, INDIRECT(Config!$I$1), 0)), "")</f>
        <v/>
      </c>
      <c r="AE54" s="35" t="str">
        <f t="array" ref="AE54">IFERROR(INDEX(INDIRECT(Config!$G$1), MATCH($A54, INDIRECT(Config!$H$1), 0), MATCH(AE$1, INDIRECT(Config!$I$1), 0)), "")</f>
        <v/>
      </c>
      <c r="AF54" s="32" t="str">
        <f t="array" ref="AF54">IFERROR(INDEX(INDIRECT(Config!$G$1), MATCH($A54, INDIRECT(Config!$H$1), 0), MATCH(AF$1, INDIRECT(Config!$I$1), 0)), "")</f>
        <v/>
      </c>
      <c r="AG54" s="35" t="str">
        <f t="array" ref="AG54">IFERROR(INDEX(INDIRECT(Config!$G$1), MATCH($A54, INDIRECT(Config!$H$1), 0), MATCH(AG$1, INDIRECT(Config!$I$1), 0)), "")</f>
        <v/>
      </c>
      <c r="AH54" s="32" t="str">
        <f t="array" ref="AH54">IFERROR(INDEX(INDIRECT(Config!$G$1), MATCH($A54, INDIRECT(Config!$H$1), 0), MATCH(AH$1, INDIRECT(Config!$I$1), 0)), "")</f>
        <v/>
      </c>
      <c r="AI54" s="35" t="str">
        <f t="array" ref="AI54">IFERROR(INDEX(INDIRECT(Config!$G$1), MATCH($A54, INDIRECT(Config!$H$1), 0), MATCH(AI$1, INDIRECT(Config!$I$1), 0)), "")</f>
        <v/>
      </c>
      <c r="AJ54" s="32" t="str">
        <f t="array" ref="AJ54">IFERROR(INDEX(INDIRECT(Config!$G$1), MATCH($A54, INDIRECT(Config!$H$1), 0), MATCH(AJ$1, INDIRECT(Config!$I$1), 0)), "")</f>
        <v/>
      </c>
      <c r="AK54" s="35" t="str">
        <f t="array" ref="AK54">IFERROR(INDEX(INDIRECT(Config!$G$1), MATCH($A54, INDIRECT(Config!$H$1), 0), MATCH(AK$1, INDIRECT(Config!$I$1), 0)), "")</f>
        <v/>
      </c>
      <c r="AL54" s="32" t="str">
        <f t="array" ref="AL54">IFERROR(INDEX(INDIRECT(Config!$G$1), MATCH($A54, INDIRECT(Config!$H$1), 0), MATCH(AL$1, INDIRECT(Config!$I$1), 0)), "")</f>
        <v/>
      </c>
      <c r="AM54" s="35" t="str">
        <f t="array" ref="AM54">IFERROR(INDEX(INDIRECT(Config!$G$1), MATCH($A54, INDIRECT(Config!$H$1), 0), MATCH(AM$1, INDIRECT(Config!$I$1), 0)), "")</f>
        <v/>
      </c>
      <c r="AN54" s="32" t="str">
        <f t="array" ref="AN54">IFERROR(INDEX(INDIRECT(Config!$G$1), MATCH($A54, INDIRECT(Config!$H$1), 0), MATCH(AN$1, INDIRECT(Config!$I$1), 0)), "")</f>
        <v/>
      </c>
      <c r="AO54" s="35" t="str">
        <f t="array" ref="AO54">IFERROR(INDEX(INDIRECT(Config!$G$1), MATCH($A54, INDIRECT(Config!$H$1), 0), MATCH(AO$1, INDIRECT(Config!$I$1), 0)), "")</f>
        <v/>
      </c>
      <c r="AP54" s="32" t="str">
        <f t="array" ref="AP54">IFERROR(INDEX(INDIRECT(Config!$G$1), MATCH($A54, INDIRECT(Config!$H$1), 0), MATCH(AP$1, INDIRECT(Config!$I$1), 0)), "")</f>
        <v/>
      </c>
      <c r="AQ54" s="35" t="str">
        <f t="array" ref="AQ54">IFERROR(INDEX(INDIRECT(Config!$G$1), MATCH($A54, INDIRECT(Config!$H$1), 0), MATCH(AQ$1, INDIRECT(Config!$I$1), 0)), "")</f>
        <v/>
      </c>
      <c r="AR54" s="32" t="str">
        <f t="array" ref="AR54">IFERROR(INDEX(INDIRECT(Config!$G$1), MATCH($A54, INDIRECT(Config!$H$1), 0), MATCH(AR$1, INDIRECT(Config!$I$1), 0)), "")</f>
        <v/>
      </c>
      <c r="AS54" s="35" t="str">
        <f t="array" ref="AS54">IFERROR(INDEX(INDIRECT(Config!$G$1), MATCH($A54, INDIRECT(Config!$H$1), 0), MATCH(AS$1, INDIRECT(Config!$I$1), 0)), "")</f>
        <v/>
      </c>
      <c r="AT54" s="32" t="str">
        <f t="array" ref="AT54">IFERROR(INDEX(INDIRECT(Config!$G$1), MATCH($A54, INDIRECT(Config!$H$1), 0), MATCH(AT$1, INDIRECT(Config!$I$1), 0)), "")</f>
        <v/>
      </c>
      <c r="AU54" s="35" t="str">
        <f t="array" ref="AU54">IFERROR(INDEX(INDIRECT(Config!$G$1), MATCH($A54, INDIRECT(Config!$H$1), 0), MATCH(AU$1, INDIRECT(Config!$I$1), 0)), "")</f>
        <v/>
      </c>
      <c r="AV54" s="32" t="str">
        <f t="array" ref="AV54">IFERROR(INDEX(INDIRECT(Config!$G$1), MATCH($A54, INDIRECT(Config!$H$1), 0), MATCH(AV$1, INDIRECT(Config!$I$1), 0)), "")</f>
        <v/>
      </c>
      <c r="AW54" s="35"/>
      <c r="AX54" s="32"/>
      <c r="AY54" s="35"/>
    </row>
    <row r="55" ht="15.75" customHeight="1">
      <c r="A55" s="12" t="str">
        <f>Menus!B16</f>
        <v/>
      </c>
      <c r="B55" s="51">
        <f t="shared" si="7"/>
        <v>0</v>
      </c>
      <c r="C55" s="33" t="str">
        <f t="array" ref="C55">IFERROR(INDEX(INDIRECT(Config!$G$1), MATCH($A55, INDIRECT(Config!$H$1), 0), MATCH(C$1, INDIRECT(Config!$I$1), 0)), "")</f>
        <v/>
      </c>
      <c r="D55" s="34" t="str">
        <f t="array" ref="D55">IFERROR(INDEX(INDIRECT(Config!$G$1), MATCH($A55, INDIRECT(Config!$H$1), 0), MATCH(D$1, INDIRECT(Config!$I$1), 0)), "")</f>
        <v/>
      </c>
      <c r="E55" s="32" t="str">
        <f t="array" ref="E55">IFERROR(INDEX(INDIRECT(Config!$G$1), MATCH($A55, INDIRECT(Config!$H$1), 0), MATCH(E$1, INDIRECT(Config!$I$1), 0)), "")</f>
        <v/>
      </c>
      <c r="F55" s="35" t="str">
        <f t="array" ref="F55">IFERROR(INDEX(INDIRECT(Config!$G$1), MATCH($A55, INDIRECT(Config!$H$1), 0), MATCH(F$1, INDIRECT(Config!$I$1), 0)), "")</f>
        <v/>
      </c>
      <c r="G55" s="32" t="str">
        <f t="array" ref="G55">IFERROR(INDEX(INDIRECT(Config!$G$1), MATCH($A55, INDIRECT(Config!$H$1), 0), MATCH(G$1, INDIRECT(Config!$I$1), 0)), "")</f>
        <v/>
      </c>
      <c r="H55" s="35" t="str">
        <f t="array" ref="H55">IFERROR(INDEX(INDIRECT(Config!$G$1), MATCH($A55, INDIRECT(Config!$H$1), 0), MATCH(H$1, INDIRECT(Config!$I$1), 0)), "")</f>
        <v/>
      </c>
      <c r="I55" s="32" t="str">
        <f t="array" ref="I55">IFERROR(INDEX(INDIRECT(Config!$G$1), MATCH($A55, INDIRECT(Config!$H$1), 0), MATCH(I$1, INDIRECT(Config!$I$1), 0)), "")</f>
        <v/>
      </c>
      <c r="J55" s="35" t="str">
        <f t="array" ref="J55">IFERROR(INDEX(INDIRECT(Config!$G$1), MATCH($A55, INDIRECT(Config!$H$1), 0), MATCH(J$1, INDIRECT(Config!$I$1), 0)), "")</f>
        <v/>
      </c>
      <c r="K55" s="32" t="str">
        <f t="array" ref="K55">IFERROR(INDEX(INDIRECT(Config!$G$1), MATCH($A55, INDIRECT(Config!$H$1), 0), MATCH(K$1, INDIRECT(Config!$I$1), 0)), "")</f>
        <v/>
      </c>
      <c r="L55" s="35" t="str">
        <f t="array" ref="L55">IFERROR(INDEX(INDIRECT(Config!$G$1), MATCH($A55, INDIRECT(Config!$H$1), 0), MATCH(L$1, INDIRECT(Config!$I$1), 0)), "")</f>
        <v/>
      </c>
      <c r="M55" s="32" t="str">
        <f t="array" ref="M55">IFERROR(INDEX(INDIRECT(Config!$G$1), MATCH($A55, INDIRECT(Config!$H$1), 0), MATCH(M$1, INDIRECT(Config!$I$1), 0)), "")</f>
        <v/>
      </c>
      <c r="N55" s="35" t="str">
        <f t="array" ref="N55">IFERROR(INDEX(INDIRECT(Config!$G$1), MATCH($A55, INDIRECT(Config!$H$1), 0), MATCH(N$1, INDIRECT(Config!$I$1), 0)), "")</f>
        <v/>
      </c>
      <c r="O55" s="32" t="str">
        <f t="array" ref="O55">IFERROR(INDEX(INDIRECT(Config!$G$1), MATCH($A55, INDIRECT(Config!$H$1), 0), MATCH(O$1, INDIRECT(Config!$I$1), 0)), "")</f>
        <v/>
      </c>
      <c r="P55" s="35" t="str">
        <f t="array" ref="P55">IFERROR(INDEX(INDIRECT(Config!$G$1), MATCH($A55, INDIRECT(Config!$H$1), 0), MATCH(P$1, INDIRECT(Config!$I$1), 0)), "")</f>
        <v/>
      </c>
      <c r="Q55" s="32" t="str">
        <f t="array" ref="Q55">IFERROR(INDEX(INDIRECT(Config!$G$1), MATCH($A55, INDIRECT(Config!$H$1), 0), MATCH(Q$1, INDIRECT(Config!$I$1), 0)), "")</f>
        <v/>
      </c>
      <c r="R55" s="35" t="str">
        <f t="array" ref="R55">IFERROR(INDEX(INDIRECT(Config!$G$1), MATCH($A55, INDIRECT(Config!$H$1), 0), MATCH(R$1, INDIRECT(Config!$I$1), 0)), "")</f>
        <v/>
      </c>
      <c r="S55" s="32" t="str">
        <f t="array" ref="S55">IFERROR(INDEX(INDIRECT(Config!$G$1), MATCH($A55, INDIRECT(Config!$H$1), 0), MATCH(S$1, INDIRECT(Config!$I$1), 0)), "")</f>
        <v/>
      </c>
      <c r="T55" s="35" t="str">
        <f t="array" ref="T55">IFERROR(INDEX(INDIRECT(Config!$G$1), MATCH($A55, INDIRECT(Config!$H$1), 0), MATCH(T$1, INDIRECT(Config!$I$1), 0)), "")</f>
        <v/>
      </c>
      <c r="U55" s="32" t="str">
        <f t="array" ref="U55">IFERROR(INDEX(INDIRECT(Config!$G$1), MATCH($A55, INDIRECT(Config!$H$1), 0), MATCH(U$1, INDIRECT(Config!$I$1), 0)), "")</f>
        <v/>
      </c>
      <c r="V55" s="35" t="str">
        <f t="array" ref="V55">IFERROR(INDEX(INDIRECT(Config!$G$1), MATCH($A55, INDIRECT(Config!$H$1), 0), MATCH(V$1, INDIRECT(Config!$I$1), 0)), "")</f>
        <v/>
      </c>
      <c r="W55" s="32" t="str">
        <f t="array" ref="W55">IFERROR(INDEX(INDIRECT(Config!$G$1), MATCH($A55, INDIRECT(Config!$H$1), 0), MATCH(W$1, INDIRECT(Config!$I$1), 0)), "")</f>
        <v/>
      </c>
      <c r="X55" s="35" t="str">
        <f t="array" ref="X55">IFERROR(INDEX(INDIRECT(Config!$G$1), MATCH($A55, INDIRECT(Config!$H$1), 0), MATCH(X$1, INDIRECT(Config!$I$1), 0)), "")</f>
        <v/>
      </c>
      <c r="Y55" s="32" t="str">
        <f t="array" ref="Y55">IFERROR(INDEX(INDIRECT(Config!$G$1), MATCH($A55, INDIRECT(Config!$H$1), 0), MATCH(Y$1, INDIRECT(Config!$I$1), 0)), "")</f>
        <v/>
      </c>
      <c r="Z55" s="32" t="str">
        <f t="array" ref="Z55">IFERROR(INDEX(INDIRECT(Config!$G$1), MATCH($A55, INDIRECT(Config!$H$1), 0), MATCH(Z$1, INDIRECT(Config!$I$1), 0)), "")</f>
        <v/>
      </c>
      <c r="AA55" s="35" t="str">
        <f t="array" ref="AA55">IFERROR(INDEX(INDIRECT(Config!$G$1), MATCH($A55, INDIRECT(Config!$H$1), 0), MATCH(AA$1, INDIRECT(Config!$I$1), 0)), "")</f>
        <v/>
      </c>
      <c r="AB55" s="32" t="str">
        <f t="array" ref="AB55">IFERROR(INDEX(INDIRECT(Config!$G$1), MATCH($A55, INDIRECT(Config!$H$1), 0), MATCH(AB$1, INDIRECT(Config!$I$1), 0)), "")</f>
        <v/>
      </c>
      <c r="AC55" s="35" t="str">
        <f t="array" ref="AC55">IFERROR(INDEX(INDIRECT(Config!$G$1), MATCH($A55, INDIRECT(Config!$H$1), 0), MATCH(AC$1, INDIRECT(Config!$I$1), 0)), "")</f>
        <v/>
      </c>
      <c r="AD55" s="32" t="str">
        <f t="array" ref="AD55">IFERROR(INDEX(INDIRECT(Config!$G$1), MATCH($A55, INDIRECT(Config!$H$1), 0), MATCH(AD$1, INDIRECT(Config!$I$1), 0)), "")</f>
        <v/>
      </c>
      <c r="AE55" s="35" t="str">
        <f t="array" ref="AE55">IFERROR(INDEX(INDIRECT(Config!$G$1), MATCH($A55, INDIRECT(Config!$H$1), 0), MATCH(AE$1, INDIRECT(Config!$I$1), 0)), "")</f>
        <v/>
      </c>
      <c r="AF55" s="32" t="str">
        <f t="array" ref="AF55">IFERROR(INDEX(INDIRECT(Config!$G$1), MATCH($A55, INDIRECT(Config!$H$1), 0), MATCH(AF$1, INDIRECT(Config!$I$1), 0)), "")</f>
        <v/>
      </c>
      <c r="AG55" s="35" t="str">
        <f t="array" ref="AG55">IFERROR(INDEX(INDIRECT(Config!$G$1), MATCH($A55, INDIRECT(Config!$H$1), 0), MATCH(AG$1, INDIRECT(Config!$I$1), 0)), "")</f>
        <v/>
      </c>
      <c r="AH55" s="32" t="str">
        <f t="array" ref="AH55">IFERROR(INDEX(INDIRECT(Config!$G$1), MATCH($A55, INDIRECT(Config!$H$1), 0), MATCH(AH$1, INDIRECT(Config!$I$1), 0)), "")</f>
        <v/>
      </c>
      <c r="AI55" s="35" t="str">
        <f t="array" ref="AI55">IFERROR(INDEX(INDIRECT(Config!$G$1), MATCH($A55, INDIRECT(Config!$H$1), 0), MATCH(AI$1, INDIRECT(Config!$I$1), 0)), "")</f>
        <v/>
      </c>
      <c r="AJ55" s="32" t="str">
        <f t="array" ref="AJ55">IFERROR(INDEX(INDIRECT(Config!$G$1), MATCH($A55, INDIRECT(Config!$H$1), 0), MATCH(AJ$1, INDIRECT(Config!$I$1), 0)), "")</f>
        <v/>
      </c>
      <c r="AK55" s="35" t="str">
        <f t="array" ref="AK55">IFERROR(INDEX(INDIRECT(Config!$G$1), MATCH($A55, INDIRECT(Config!$H$1), 0), MATCH(AK$1, INDIRECT(Config!$I$1), 0)), "")</f>
        <v/>
      </c>
      <c r="AL55" s="32" t="str">
        <f t="array" ref="AL55">IFERROR(INDEX(INDIRECT(Config!$G$1), MATCH($A55, INDIRECT(Config!$H$1), 0), MATCH(AL$1, INDIRECT(Config!$I$1), 0)), "")</f>
        <v/>
      </c>
      <c r="AM55" s="35" t="str">
        <f t="array" ref="AM55">IFERROR(INDEX(INDIRECT(Config!$G$1), MATCH($A55, INDIRECT(Config!$H$1), 0), MATCH(AM$1, INDIRECT(Config!$I$1), 0)), "")</f>
        <v/>
      </c>
      <c r="AN55" s="32" t="str">
        <f t="array" ref="AN55">IFERROR(INDEX(INDIRECT(Config!$G$1), MATCH($A55, INDIRECT(Config!$H$1), 0), MATCH(AN$1, INDIRECT(Config!$I$1), 0)), "")</f>
        <v/>
      </c>
      <c r="AO55" s="35" t="str">
        <f t="array" ref="AO55">IFERROR(INDEX(INDIRECT(Config!$G$1), MATCH($A55, INDIRECT(Config!$H$1), 0), MATCH(AO$1, INDIRECT(Config!$I$1), 0)), "")</f>
        <v/>
      </c>
      <c r="AP55" s="32" t="str">
        <f t="array" ref="AP55">IFERROR(INDEX(INDIRECT(Config!$G$1), MATCH($A55, INDIRECT(Config!$H$1), 0), MATCH(AP$1, INDIRECT(Config!$I$1), 0)), "")</f>
        <v/>
      </c>
      <c r="AQ55" s="35" t="str">
        <f t="array" ref="AQ55">IFERROR(INDEX(INDIRECT(Config!$G$1), MATCH($A55, INDIRECT(Config!$H$1), 0), MATCH(AQ$1, INDIRECT(Config!$I$1), 0)), "")</f>
        <v/>
      </c>
      <c r="AR55" s="32" t="str">
        <f t="array" ref="AR55">IFERROR(INDEX(INDIRECT(Config!$G$1), MATCH($A55, INDIRECT(Config!$H$1), 0), MATCH(AR$1, INDIRECT(Config!$I$1), 0)), "")</f>
        <v/>
      </c>
      <c r="AS55" s="35" t="str">
        <f t="array" ref="AS55">IFERROR(INDEX(INDIRECT(Config!$G$1), MATCH($A55, INDIRECT(Config!$H$1), 0), MATCH(AS$1, INDIRECT(Config!$I$1), 0)), "")</f>
        <v/>
      </c>
      <c r="AT55" s="32" t="str">
        <f t="array" ref="AT55">IFERROR(INDEX(INDIRECT(Config!$G$1), MATCH($A55, INDIRECT(Config!$H$1), 0), MATCH(AT$1, INDIRECT(Config!$I$1), 0)), "")</f>
        <v/>
      </c>
      <c r="AU55" s="35" t="str">
        <f t="array" ref="AU55">IFERROR(INDEX(INDIRECT(Config!$G$1), MATCH($A55, INDIRECT(Config!$H$1), 0), MATCH(AU$1, INDIRECT(Config!$I$1), 0)), "")</f>
        <v/>
      </c>
      <c r="AV55" s="32" t="str">
        <f t="array" ref="AV55">IFERROR(INDEX(INDIRECT(Config!$G$1), MATCH($A55, INDIRECT(Config!$H$1), 0), MATCH(AV$1, INDIRECT(Config!$I$1), 0)), "")</f>
        <v/>
      </c>
      <c r="AW55" s="35"/>
      <c r="AX55" s="32"/>
      <c r="AY55" s="35"/>
    </row>
    <row r="56" ht="15.75" customHeight="1">
      <c r="A56" s="12" t="str">
        <f>Menus!B17</f>
        <v/>
      </c>
      <c r="B56" s="51">
        <f t="shared" si="7"/>
        <v>0</v>
      </c>
      <c r="C56" s="33" t="str">
        <f t="array" ref="C56">IFERROR(INDEX(INDIRECT(Config!$G$1), MATCH($A56, INDIRECT(Config!$H$1), 0), MATCH(C$1, INDIRECT(Config!$I$1), 0)), "")</f>
        <v/>
      </c>
      <c r="D56" s="34" t="str">
        <f t="array" ref="D56">IFERROR(INDEX(INDIRECT(Config!$G$1), MATCH($A56, INDIRECT(Config!$H$1), 0), MATCH(D$1, INDIRECT(Config!$I$1), 0)), "")</f>
        <v/>
      </c>
      <c r="E56" s="32" t="str">
        <f t="array" ref="E56">IFERROR(INDEX(INDIRECT(Config!$G$1), MATCH($A56, INDIRECT(Config!$H$1), 0), MATCH(E$1, INDIRECT(Config!$I$1), 0)), "")</f>
        <v/>
      </c>
      <c r="F56" s="35" t="str">
        <f t="array" ref="F56">IFERROR(INDEX(INDIRECT(Config!$G$1), MATCH($A56, INDIRECT(Config!$H$1), 0), MATCH(F$1, INDIRECT(Config!$I$1), 0)), "")</f>
        <v/>
      </c>
      <c r="G56" s="32" t="str">
        <f t="array" ref="G56">IFERROR(INDEX(INDIRECT(Config!$G$1), MATCH($A56, INDIRECT(Config!$H$1), 0), MATCH(G$1, INDIRECT(Config!$I$1), 0)), "")</f>
        <v/>
      </c>
      <c r="H56" s="35" t="str">
        <f t="array" ref="H56">IFERROR(INDEX(INDIRECT(Config!$G$1), MATCH($A56, INDIRECT(Config!$H$1), 0), MATCH(H$1, INDIRECT(Config!$I$1), 0)), "")</f>
        <v/>
      </c>
      <c r="I56" s="32" t="str">
        <f t="array" ref="I56">IFERROR(INDEX(INDIRECT(Config!$G$1), MATCH($A56, INDIRECT(Config!$H$1), 0), MATCH(I$1, INDIRECT(Config!$I$1), 0)), "")</f>
        <v/>
      </c>
      <c r="J56" s="35" t="str">
        <f t="array" ref="J56">IFERROR(INDEX(INDIRECT(Config!$G$1), MATCH($A56, INDIRECT(Config!$H$1), 0), MATCH(J$1, INDIRECT(Config!$I$1), 0)), "")</f>
        <v/>
      </c>
      <c r="K56" s="32" t="str">
        <f t="array" ref="K56">IFERROR(INDEX(INDIRECT(Config!$G$1), MATCH($A56, INDIRECT(Config!$H$1), 0), MATCH(K$1, INDIRECT(Config!$I$1), 0)), "")</f>
        <v/>
      </c>
      <c r="L56" s="35" t="str">
        <f t="array" ref="L56">IFERROR(INDEX(INDIRECT(Config!$G$1), MATCH($A56, INDIRECT(Config!$H$1), 0), MATCH(L$1, INDIRECT(Config!$I$1), 0)), "")</f>
        <v/>
      </c>
      <c r="M56" s="32" t="str">
        <f t="array" ref="M56">IFERROR(INDEX(INDIRECT(Config!$G$1), MATCH($A56, INDIRECT(Config!$H$1), 0), MATCH(M$1, INDIRECT(Config!$I$1), 0)), "")</f>
        <v/>
      </c>
      <c r="N56" s="35" t="str">
        <f t="array" ref="N56">IFERROR(INDEX(INDIRECT(Config!$G$1), MATCH($A56, INDIRECT(Config!$H$1), 0), MATCH(N$1, INDIRECT(Config!$I$1), 0)), "")</f>
        <v/>
      </c>
      <c r="O56" s="32" t="str">
        <f t="array" ref="O56">IFERROR(INDEX(INDIRECT(Config!$G$1), MATCH($A56, INDIRECT(Config!$H$1), 0), MATCH(O$1, INDIRECT(Config!$I$1), 0)), "")</f>
        <v/>
      </c>
      <c r="P56" s="35" t="str">
        <f t="array" ref="P56">IFERROR(INDEX(INDIRECT(Config!$G$1), MATCH($A56, INDIRECT(Config!$H$1), 0), MATCH(P$1, INDIRECT(Config!$I$1), 0)), "")</f>
        <v/>
      </c>
      <c r="Q56" s="32" t="str">
        <f t="array" ref="Q56">IFERROR(INDEX(INDIRECT(Config!$G$1), MATCH($A56, INDIRECT(Config!$H$1), 0), MATCH(Q$1, INDIRECT(Config!$I$1), 0)), "")</f>
        <v/>
      </c>
      <c r="R56" s="35" t="str">
        <f t="array" ref="R56">IFERROR(INDEX(INDIRECT(Config!$G$1), MATCH($A56, INDIRECT(Config!$H$1), 0), MATCH(R$1, INDIRECT(Config!$I$1), 0)), "")</f>
        <v/>
      </c>
      <c r="S56" s="32" t="str">
        <f t="array" ref="S56">IFERROR(INDEX(INDIRECT(Config!$G$1), MATCH($A56, INDIRECT(Config!$H$1), 0), MATCH(S$1, INDIRECT(Config!$I$1), 0)), "")</f>
        <v/>
      </c>
      <c r="T56" s="35" t="str">
        <f t="array" ref="T56">IFERROR(INDEX(INDIRECT(Config!$G$1), MATCH($A56, INDIRECT(Config!$H$1), 0), MATCH(T$1, INDIRECT(Config!$I$1), 0)), "")</f>
        <v/>
      </c>
      <c r="U56" s="32" t="str">
        <f t="array" ref="U56">IFERROR(INDEX(INDIRECT(Config!$G$1), MATCH($A56, INDIRECT(Config!$H$1), 0), MATCH(U$1, INDIRECT(Config!$I$1), 0)), "")</f>
        <v/>
      </c>
      <c r="V56" s="35" t="str">
        <f t="array" ref="V56">IFERROR(INDEX(INDIRECT(Config!$G$1), MATCH($A56, INDIRECT(Config!$H$1), 0), MATCH(V$1, INDIRECT(Config!$I$1), 0)), "")</f>
        <v/>
      </c>
      <c r="W56" s="32" t="str">
        <f t="array" ref="W56">IFERROR(INDEX(INDIRECT(Config!$G$1), MATCH($A56, INDIRECT(Config!$H$1), 0), MATCH(W$1, INDIRECT(Config!$I$1), 0)), "")</f>
        <v/>
      </c>
      <c r="X56" s="35" t="str">
        <f t="array" ref="X56">IFERROR(INDEX(INDIRECT(Config!$G$1), MATCH($A56, INDIRECT(Config!$H$1), 0), MATCH(X$1, INDIRECT(Config!$I$1), 0)), "")</f>
        <v/>
      </c>
      <c r="Y56" s="32" t="str">
        <f t="array" ref="Y56">IFERROR(INDEX(INDIRECT(Config!$G$1), MATCH($A56, INDIRECT(Config!$H$1), 0), MATCH(Y$1, INDIRECT(Config!$I$1), 0)), "")</f>
        <v/>
      </c>
      <c r="Z56" s="32" t="str">
        <f t="array" ref="Z56">IFERROR(INDEX(INDIRECT(Config!$G$1), MATCH($A56, INDIRECT(Config!$H$1), 0), MATCH(Z$1, INDIRECT(Config!$I$1), 0)), "")</f>
        <v/>
      </c>
      <c r="AA56" s="35" t="str">
        <f t="array" ref="AA56">IFERROR(INDEX(INDIRECT(Config!$G$1), MATCH($A56, INDIRECT(Config!$H$1), 0), MATCH(AA$1, INDIRECT(Config!$I$1), 0)), "")</f>
        <v/>
      </c>
      <c r="AB56" s="32" t="str">
        <f t="array" ref="AB56">IFERROR(INDEX(INDIRECT(Config!$G$1), MATCH($A56, INDIRECT(Config!$H$1), 0), MATCH(AB$1, INDIRECT(Config!$I$1), 0)), "")</f>
        <v/>
      </c>
      <c r="AC56" s="35" t="str">
        <f t="array" ref="AC56">IFERROR(INDEX(INDIRECT(Config!$G$1), MATCH($A56, INDIRECT(Config!$H$1), 0), MATCH(AC$1, INDIRECT(Config!$I$1), 0)), "")</f>
        <v/>
      </c>
      <c r="AD56" s="32" t="str">
        <f t="array" ref="AD56">IFERROR(INDEX(INDIRECT(Config!$G$1), MATCH($A56, INDIRECT(Config!$H$1), 0), MATCH(AD$1, INDIRECT(Config!$I$1), 0)), "")</f>
        <v/>
      </c>
      <c r="AE56" s="35" t="str">
        <f t="array" ref="AE56">IFERROR(INDEX(INDIRECT(Config!$G$1), MATCH($A56, INDIRECT(Config!$H$1), 0), MATCH(AE$1, INDIRECT(Config!$I$1), 0)), "")</f>
        <v/>
      </c>
      <c r="AF56" s="32" t="str">
        <f t="array" ref="AF56">IFERROR(INDEX(INDIRECT(Config!$G$1), MATCH($A56, INDIRECT(Config!$H$1), 0), MATCH(AF$1, INDIRECT(Config!$I$1), 0)), "")</f>
        <v/>
      </c>
      <c r="AG56" s="35" t="str">
        <f t="array" ref="AG56">IFERROR(INDEX(INDIRECT(Config!$G$1), MATCH($A56, INDIRECT(Config!$H$1), 0), MATCH(AG$1, INDIRECT(Config!$I$1), 0)), "")</f>
        <v/>
      </c>
      <c r="AH56" s="32" t="str">
        <f t="array" ref="AH56">IFERROR(INDEX(INDIRECT(Config!$G$1), MATCH($A56, INDIRECT(Config!$H$1), 0), MATCH(AH$1, INDIRECT(Config!$I$1), 0)), "")</f>
        <v/>
      </c>
      <c r="AI56" s="35" t="str">
        <f t="array" ref="AI56">IFERROR(INDEX(INDIRECT(Config!$G$1), MATCH($A56, INDIRECT(Config!$H$1), 0), MATCH(AI$1, INDIRECT(Config!$I$1), 0)), "")</f>
        <v/>
      </c>
      <c r="AJ56" s="32" t="str">
        <f t="array" ref="AJ56">IFERROR(INDEX(INDIRECT(Config!$G$1), MATCH($A56, INDIRECT(Config!$H$1), 0), MATCH(AJ$1, INDIRECT(Config!$I$1), 0)), "")</f>
        <v/>
      </c>
      <c r="AK56" s="35" t="str">
        <f t="array" ref="AK56">IFERROR(INDEX(INDIRECT(Config!$G$1), MATCH($A56, INDIRECT(Config!$H$1), 0), MATCH(AK$1, INDIRECT(Config!$I$1), 0)), "")</f>
        <v/>
      </c>
      <c r="AL56" s="32" t="str">
        <f t="array" ref="AL56">IFERROR(INDEX(INDIRECT(Config!$G$1), MATCH($A56, INDIRECT(Config!$H$1), 0), MATCH(AL$1, INDIRECT(Config!$I$1), 0)), "")</f>
        <v/>
      </c>
      <c r="AM56" s="35" t="str">
        <f t="array" ref="AM56">IFERROR(INDEX(INDIRECT(Config!$G$1), MATCH($A56, INDIRECT(Config!$H$1), 0), MATCH(AM$1, INDIRECT(Config!$I$1), 0)), "")</f>
        <v/>
      </c>
      <c r="AN56" s="32" t="str">
        <f t="array" ref="AN56">IFERROR(INDEX(INDIRECT(Config!$G$1), MATCH($A56, INDIRECT(Config!$H$1), 0), MATCH(AN$1, INDIRECT(Config!$I$1), 0)), "")</f>
        <v/>
      </c>
      <c r="AO56" s="35" t="str">
        <f t="array" ref="AO56">IFERROR(INDEX(INDIRECT(Config!$G$1), MATCH($A56, INDIRECT(Config!$H$1), 0), MATCH(AO$1, INDIRECT(Config!$I$1), 0)), "")</f>
        <v/>
      </c>
      <c r="AP56" s="32" t="str">
        <f t="array" ref="AP56">IFERROR(INDEX(INDIRECT(Config!$G$1), MATCH($A56, INDIRECT(Config!$H$1), 0), MATCH(AP$1, INDIRECT(Config!$I$1), 0)), "")</f>
        <v/>
      </c>
      <c r="AQ56" s="35" t="str">
        <f t="array" ref="AQ56">IFERROR(INDEX(INDIRECT(Config!$G$1), MATCH($A56, INDIRECT(Config!$H$1), 0), MATCH(AQ$1, INDIRECT(Config!$I$1), 0)), "")</f>
        <v/>
      </c>
      <c r="AR56" s="32" t="str">
        <f t="array" ref="AR56">IFERROR(INDEX(INDIRECT(Config!$G$1), MATCH($A56, INDIRECT(Config!$H$1), 0), MATCH(AR$1, INDIRECT(Config!$I$1), 0)), "")</f>
        <v/>
      </c>
      <c r="AS56" s="35" t="str">
        <f t="array" ref="AS56">IFERROR(INDEX(INDIRECT(Config!$G$1), MATCH($A56, INDIRECT(Config!$H$1), 0), MATCH(AS$1, INDIRECT(Config!$I$1), 0)), "")</f>
        <v/>
      </c>
      <c r="AT56" s="32" t="str">
        <f t="array" ref="AT56">IFERROR(INDEX(INDIRECT(Config!$G$1), MATCH($A56, INDIRECT(Config!$H$1), 0), MATCH(AT$1, INDIRECT(Config!$I$1), 0)), "")</f>
        <v/>
      </c>
      <c r="AU56" s="35" t="str">
        <f t="array" ref="AU56">IFERROR(INDEX(INDIRECT(Config!$G$1), MATCH($A56, INDIRECT(Config!$H$1), 0), MATCH(AU$1, INDIRECT(Config!$I$1), 0)), "")</f>
        <v/>
      </c>
      <c r="AV56" s="32" t="str">
        <f t="array" ref="AV56">IFERROR(INDEX(INDIRECT(Config!$G$1), MATCH($A56, INDIRECT(Config!$H$1), 0), MATCH(AV$1, INDIRECT(Config!$I$1), 0)), "")</f>
        <v/>
      </c>
      <c r="AW56" s="35"/>
      <c r="AX56" s="32"/>
      <c r="AY56" s="35"/>
    </row>
    <row r="57" ht="15.75" customHeight="1">
      <c r="A57" s="12" t="str">
        <f>Menus!B18</f>
        <v/>
      </c>
      <c r="B57" s="51">
        <f t="shared" si="7"/>
        <v>0</v>
      </c>
      <c r="C57" s="33" t="str">
        <f t="array" ref="C57">IFERROR(INDEX(INDIRECT(Config!$G$1), MATCH($A57, INDIRECT(Config!$H$1), 0), MATCH(C$1, INDIRECT(Config!$I$1), 0)), "")</f>
        <v/>
      </c>
      <c r="D57" s="34" t="str">
        <f t="array" ref="D57">IFERROR(INDEX(INDIRECT(Config!$G$1), MATCH($A57, INDIRECT(Config!$H$1), 0), MATCH(D$1, INDIRECT(Config!$I$1), 0)), "")</f>
        <v/>
      </c>
      <c r="E57" s="32" t="str">
        <f t="array" ref="E57">IFERROR(INDEX(INDIRECT(Config!$G$1), MATCH($A57, INDIRECT(Config!$H$1), 0), MATCH(E$1, INDIRECT(Config!$I$1), 0)), "")</f>
        <v/>
      </c>
      <c r="F57" s="35" t="str">
        <f t="array" ref="F57">IFERROR(INDEX(INDIRECT(Config!$G$1), MATCH($A57, INDIRECT(Config!$H$1), 0), MATCH(F$1, INDIRECT(Config!$I$1), 0)), "")</f>
        <v/>
      </c>
      <c r="G57" s="32" t="str">
        <f t="array" ref="G57">IFERROR(INDEX(INDIRECT(Config!$G$1), MATCH($A57, INDIRECT(Config!$H$1), 0), MATCH(G$1, INDIRECT(Config!$I$1), 0)), "")</f>
        <v/>
      </c>
      <c r="H57" s="35" t="str">
        <f t="array" ref="H57">IFERROR(INDEX(INDIRECT(Config!$G$1), MATCH($A57, INDIRECT(Config!$H$1), 0), MATCH(H$1, INDIRECT(Config!$I$1), 0)), "")</f>
        <v/>
      </c>
      <c r="I57" s="32" t="str">
        <f t="array" ref="I57">IFERROR(INDEX(INDIRECT(Config!$G$1), MATCH($A57, INDIRECT(Config!$H$1), 0), MATCH(I$1, INDIRECT(Config!$I$1), 0)), "")</f>
        <v/>
      </c>
      <c r="J57" s="35" t="str">
        <f t="array" ref="J57">IFERROR(INDEX(INDIRECT(Config!$G$1), MATCH($A57, INDIRECT(Config!$H$1), 0), MATCH(J$1, INDIRECT(Config!$I$1), 0)), "")</f>
        <v/>
      </c>
      <c r="K57" s="32" t="str">
        <f t="array" ref="K57">IFERROR(INDEX(INDIRECT(Config!$G$1), MATCH($A57, INDIRECT(Config!$H$1), 0), MATCH(K$1, INDIRECT(Config!$I$1), 0)), "")</f>
        <v/>
      </c>
      <c r="L57" s="35" t="str">
        <f t="array" ref="L57">IFERROR(INDEX(INDIRECT(Config!$G$1), MATCH($A57, INDIRECT(Config!$H$1), 0), MATCH(L$1, INDIRECT(Config!$I$1), 0)), "")</f>
        <v/>
      </c>
      <c r="M57" s="32" t="str">
        <f t="array" ref="M57">IFERROR(INDEX(INDIRECT(Config!$G$1), MATCH($A57, INDIRECT(Config!$H$1), 0), MATCH(M$1, INDIRECT(Config!$I$1), 0)), "")</f>
        <v/>
      </c>
      <c r="N57" s="35" t="str">
        <f t="array" ref="N57">IFERROR(INDEX(INDIRECT(Config!$G$1), MATCH($A57, INDIRECT(Config!$H$1), 0), MATCH(N$1, INDIRECT(Config!$I$1), 0)), "")</f>
        <v/>
      </c>
      <c r="O57" s="32" t="str">
        <f t="array" ref="O57">IFERROR(INDEX(INDIRECT(Config!$G$1), MATCH($A57, INDIRECT(Config!$H$1), 0), MATCH(O$1, INDIRECT(Config!$I$1), 0)), "")</f>
        <v/>
      </c>
      <c r="P57" s="35" t="str">
        <f t="array" ref="P57">IFERROR(INDEX(INDIRECT(Config!$G$1), MATCH($A57, INDIRECT(Config!$H$1), 0), MATCH(P$1, INDIRECT(Config!$I$1), 0)), "")</f>
        <v/>
      </c>
      <c r="Q57" s="32" t="str">
        <f t="array" ref="Q57">IFERROR(INDEX(INDIRECT(Config!$G$1), MATCH($A57, INDIRECT(Config!$H$1), 0), MATCH(Q$1, INDIRECT(Config!$I$1), 0)), "")</f>
        <v/>
      </c>
      <c r="R57" s="35" t="str">
        <f t="array" ref="R57">IFERROR(INDEX(INDIRECT(Config!$G$1), MATCH($A57, INDIRECT(Config!$H$1), 0), MATCH(R$1, INDIRECT(Config!$I$1), 0)), "")</f>
        <v/>
      </c>
      <c r="S57" s="32" t="str">
        <f t="array" ref="S57">IFERROR(INDEX(INDIRECT(Config!$G$1), MATCH($A57, INDIRECT(Config!$H$1), 0), MATCH(S$1, INDIRECT(Config!$I$1), 0)), "")</f>
        <v/>
      </c>
      <c r="T57" s="35" t="str">
        <f t="array" ref="T57">IFERROR(INDEX(INDIRECT(Config!$G$1), MATCH($A57, INDIRECT(Config!$H$1), 0), MATCH(T$1, INDIRECT(Config!$I$1), 0)), "")</f>
        <v/>
      </c>
      <c r="U57" s="32" t="str">
        <f t="array" ref="U57">IFERROR(INDEX(INDIRECT(Config!$G$1), MATCH($A57, INDIRECT(Config!$H$1), 0), MATCH(U$1, INDIRECT(Config!$I$1), 0)), "")</f>
        <v/>
      </c>
      <c r="V57" s="35" t="str">
        <f t="array" ref="V57">IFERROR(INDEX(INDIRECT(Config!$G$1), MATCH($A57, INDIRECT(Config!$H$1), 0), MATCH(V$1, INDIRECT(Config!$I$1), 0)), "")</f>
        <v/>
      </c>
      <c r="W57" s="32" t="str">
        <f t="array" ref="W57">IFERROR(INDEX(INDIRECT(Config!$G$1), MATCH($A57, INDIRECT(Config!$H$1), 0), MATCH(W$1, INDIRECT(Config!$I$1), 0)), "")</f>
        <v/>
      </c>
      <c r="X57" s="35" t="str">
        <f t="array" ref="X57">IFERROR(INDEX(INDIRECT(Config!$G$1), MATCH($A57, INDIRECT(Config!$H$1), 0), MATCH(X$1, INDIRECT(Config!$I$1), 0)), "")</f>
        <v/>
      </c>
      <c r="Y57" s="32" t="str">
        <f t="array" ref="Y57">IFERROR(INDEX(INDIRECT(Config!$G$1), MATCH($A57, INDIRECT(Config!$H$1), 0), MATCH(Y$1, INDIRECT(Config!$I$1), 0)), "")</f>
        <v/>
      </c>
      <c r="Z57" s="32" t="str">
        <f t="array" ref="Z57">IFERROR(INDEX(INDIRECT(Config!$G$1), MATCH($A57, INDIRECT(Config!$H$1), 0), MATCH(Z$1, INDIRECT(Config!$I$1), 0)), "")</f>
        <v/>
      </c>
      <c r="AA57" s="35" t="str">
        <f t="array" ref="AA57">IFERROR(INDEX(INDIRECT(Config!$G$1), MATCH($A57, INDIRECT(Config!$H$1), 0), MATCH(AA$1, INDIRECT(Config!$I$1), 0)), "")</f>
        <v/>
      </c>
      <c r="AB57" s="32" t="str">
        <f t="array" ref="AB57">IFERROR(INDEX(INDIRECT(Config!$G$1), MATCH($A57, INDIRECT(Config!$H$1), 0), MATCH(AB$1, INDIRECT(Config!$I$1), 0)), "")</f>
        <v/>
      </c>
      <c r="AC57" s="35" t="str">
        <f t="array" ref="AC57">IFERROR(INDEX(INDIRECT(Config!$G$1), MATCH($A57, INDIRECT(Config!$H$1), 0), MATCH(AC$1, INDIRECT(Config!$I$1), 0)), "")</f>
        <v/>
      </c>
      <c r="AD57" s="32" t="str">
        <f t="array" ref="AD57">IFERROR(INDEX(INDIRECT(Config!$G$1), MATCH($A57, INDIRECT(Config!$H$1), 0), MATCH(AD$1, INDIRECT(Config!$I$1), 0)), "")</f>
        <v/>
      </c>
      <c r="AE57" s="35" t="str">
        <f t="array" ref="AE57">IFERROR(INDEX(INDIRECT(Config!$G$1), MATCH($A57, INDIRECT(Config!$H$1), 0), MATCH(AE$1, INDIRECT(Config!$I$1), 0)), "")</f>
        <v/>
      </c>
      <c r="AF57" s="32" t="str">
        <f t="array" ref="AF57">IFERROR(INDEX(INDIRECT(Config!$G$1), MATCH($A57, INDIRECT(Config!$H$1), 0), MATCH(AF$1, INDIRECT(Config!$I$1), 0)), "")</f>
        <v/>
      </c>
      <c r="AG57" s="35" t="str">
        <f t="array" ref="AG57">IFERROR(INDEX(INDIRECT(Config!$G$1), MATCH($A57, INDIRECT(Config!$H$1), 0), MATCH(AG$1, INDIRECT(Config!$I$1), 0)), "")</f>
        <v/>
      </c>
      <c r="AH57" s="32" t="str">
        <f t="array" ref="AH57">IFERROR(INDEX(INDIRECT(Config!$G$1), MATCH($A57, INDIRECT(Config!$H$1), 0), MATCH(AH$1, INDIRECT(Config!$I$1), 0)), "")</f>
        <v/>
      </c>
      <c r="AI57" s="35" t="str">
        <f t="array" ref="AI57">IFERROR(INDEX(INDIRECT(Config!$G$1), MATCH($A57, INDIRECT(Config!$H$1), 0), MATCH(AI$1, INDIRECT(Config!$I$1), 0)), "")</f>
        <v/>
      </c>
      <c r="AJ57" s="32" t="str">
        <f t="array" ref="AJ57">IFERROR(INDEX(INDIRECT(Config!$G$1), MATCH($A57, INDIRECT(Config!$H$1), 0), MATCH(AJ$1, INDIRECT(Config!$I$1), 0)), "")</f>
        <v/>
      </c>
      <c r="AK57" s="35" t="str">
        <f t="array" ref="AK57">IFERROR(INDEX(INDIRECT(Config!$G$1), MATCH($A57, INDIRECT(Config!$H$1), 0), MATCH(AK$1, INDIRECT(Config!$I$1), 0)), "")</f>
        <v/>
      </c>
      <c r="AL57" s="32" t="str">
        <f t="array" ref="AL57">IFERROR(INDEX(INDIRECT(Config!$G$1), MATCH($A57, INDIRECT(Config!$H$1), 0), MATCH(AL$1, INDIRECT(Config!$I$1), 0)), "")</f>
        <v/>
      </c>
      <c r="AM57" s="35" t="str">
        <f t="array" ref="AM57">IFERROR(INDEX(INDIRECT(Config!$G$1), MATCH($A57, INDIRECT(Config!$H$1), 0), MATCH(AM$1, INDIRECT(Config!$I$1), 0)), "")</f>
        <v/>
      </c>
      <c r="AN57" s="32" t="str">
        <f t="array" ref="AN57">IFERROR(INDEX(INDIRECT(Config!$G$1), MATCH($A57, INDIRECT(Config!$H$1), 0), MATCH(AN$1, INDIRECT(Config!$I$1), 0)), "")</f>
        <v/>
      </c>
      <c r="AO57" s="35" t="str">
        <f t="array" ref="AO57">IFERROR(INDEX(INDIRECT(Config!$G$1), MATCH($A57, INDIRECT(Config!$H$1), 0), MATCH(AO$1, INDIRECT(Config!$I$1), 0)), "")</f>
        <v/>
      </c>
      <c r="AP57" s="32" t="str">
        <f t="array" ref="AP57">IFERROR(INDEX(INDIRECT(Config!$G$1), MATCH($A57, INDIRECT(Config!$H$1), 0), MATCH(AP$1, INDIRECT(Config!$I$1), 0)), "")</f>
        <v/>
      </c>
      <c r="AQ57" s="35" t="str">
        <f t="array" ref="AQ57">IFERROR(INDEX(INDIRECT(Config!$G$1), MATCH($A57, INDIRECT(Config!$H$1), 0), MATCH(AQ$1, INDIRECT(Config!$I$1), 0)), "")</f>
        <v/>
      </c>
      <c r="AR57" s="32" t="str">
        <f t="array" ref="AR57">IFERROR(INDEX(INDIRECT(Config!$G$1), MATCH($A57, INDIRECT(Config!$H$1), 0), MATCH(AR$1, INDIRECT(Config!$I$1), 0)), "")</f>
        <v/>
      </c>
      <c r="AS57" s="35" t="str">
        <f t="array" ref="AS57">IFERROR(INDEX(INDIRECT(Config!$G$1), MATCH($A57, INDIRECT(Config!$H$1), 0), MATCH(AS$1, INDIRECT(Config!$I$1), 0)), "")</f>
        <v/>
      </c>
      <c r="AT57" s="32" t="str">
        <f t="array" ref="AT57">IFERROR(INDEX(INDIRECT(Config!$G$1), MATCH($A57, INDIRECT(Config!$H$1), 0), MATCH(AT$1, INDIRECT(Config!$I$1), 0)), "")</f>
        <v/>
      </c>
      <c r="AU57" s="35" t="str">
        <f t="array" ref="AU57">IFERROR(INDEX(INDIRECT(Config!$G$1), MATCH($A57, INDIRECT(Config!$H$1), 0), MATCH(AU$1, INDIRECT(Config!$I$1), 0)), "")</f>
        <v/>
      </c>
      <c r="AV57" s="32" t="str">
        <f t="array" ref="AV57">IFERROR(INDEX(INDIRECT(Config!$G$1), MATCH($A57, INDIRECT(Config!$H$1), 0), MATCH(AV$1, INDIRECT(Config!$I$1), 0)), "")</f>
        <v/>
      </c>
      <c r="AW57" s="35"/>
      <c r="AX57" s="32"/>
      <c r="AY57" s="35"/>
    </row>
    <row r="58" ht="15.75" customHeight="1">
      <c r="A58" s="12" t="str">
        <f>Menus!B19</f>
        <v/>
      </c>
      <c r="B58" s="51">
        <f t="shared" si="7"/>
        <v>0</v>
      </c>
      <c r="C58" s="33" t="str">
        <f t="array" ref="C58">IFERROR(INDEX(INDIRECT(Config!$G$1), MATCH($A58, INDIRECT(Config!$H$1), 0), MATCH(C$1, INDIRECT(Config!$I$1), 0)), "")</f>
        <v/>
      </c>
      <c r="D58" s="34" t="str">
        <f t="array" ref="D58">IFERROR(INDEX(INDIRECT(Config!$G$1), MATCH($A58, INDIRECT(Config!$H$1), 0), MATCH(D$1, INDIRECT(Config!$I$1), 0)), "")</f>
        <v/>
      </c>
      <c r="E58" s="32" t="str">
        <f t="array" ref="E58">IFERROR(INDEX(INDIRECT(Config!$G$1), MATCH($A58, INDIRECT(Config!$H$1), 0), MATCH(E$1, INDIRECT(Config!$I$1), 0)), "")</f>
        <v/>
      </c>
      <c r="F58" s="35" t="str">
        <f t="array" ref="F58">IFERROR(INDEX(INDIRECT(Config!$G$1), MATCH($A58, INDIRECT(Config!$H$1), 0), MATCH(F$1, INDIRECT(Config!$I$1), 0)), "")</f>
        <v/>
      </c>
      <c r="G58" s="32" t="str">
        <f t="array" ref="G58">IFERROR(INDEX(INDIRECT(Config!$G$1), MATCH($A58, INDIRECT(Config!$H$1), 0), MATCH(G$1, INDIRECT(Config!$I$1), 0)), "")</f>
        <v/>
      </c>
      <c r="H58" s="35" t="str">
        <f t="array" ref="H58">IFERROR(INDEX(INDIRECT(Config!$G$1), MATCH($A58, INDIRECT(Config!$H$1), 0), MATCH(H$1, INDIRECT(Config!$I$1), 0)), "")</f>
        <v/>
      </c>
      <c r="I58" s="32" t="str">
        <f t="array" ref="I58">IFERROR(INDEX(INDIRECT(Config!$G$1), MATCH($A58, INDIRECT(Config!$H$1), 0), MATCH(I$1, INDIRECT(Config!$I$1), 0)), "")</f>
        <v/>
      </c>
      <c r="J58" s="35" t="str">
        <f t="array" ref="J58">IFERROR(INDEX(INDIRECT(Config!$G$1), MATCH($A58, INDIRECT(Config!$H$1), 0), MATCH(J$1, INDIRECT(Config!$I$1), 0)), "")</f>
        <v/>
      </c>
      <c r="K58" s="32" t="str">
        <f t="array" ref="K58">IFERROR(INDEX(INDIRECT(Config!$G$1), MATCH($A58, INDIRECT(Config!$H$1), 0), MATCH(K$1, INDIRECT(Config!$I$1), 0)), "")</f>
        <v/>
      </c>
      <c r="L58" s="35" t="str">
        <f t="array" ref="L58">IFERROR(INDEX(INDIRECT(Config!$G$1), MATCH($A58, INDIRECT(Config!$H$1), 0), MATCH(L$1, INDIRECT(Config!$I$1), 0)), "")</f>
        <v/>
      </c>
      <c r="M58" s="32" t="str">
        <f t="array" ref="M58">IFERROR(INDEX(INDIRECT(Config!$G$1), MATCH($A58, INDIRECT(Config!$H$1), 0), MATCH(M$1, INDIRECT(Config!$I$1), 0)), "")</f>
        <v/>
      </c>
      <c r="N58" s="35" t="str">
        <f t="array" ref="N58">IFERROR(INDEX(INDIRECT(Config!$G$1), MATCH($A58, INDIRECT(Config!$H$1), 0), MATCH(N$1, INDIRECT(Config!$I$1), 0)), "")</f>
        <v/>
      </c>
      <c r="O58" s="32" t="str">
        <f t="array" ref="O58">IFERROR(INDEX(INDIRECT(Config!$G$1), MATCH($A58, INDIRECT(Config!$H$1), 0), MATCH(O$1, INDIRECT(Config!$I$1), 0)), "")</f>
        <v/>
      </c>
      <c r="P58" s="35" t="str">
        <f t="array" ref="P58">IFERROR(INDEX(INDIRECT(Config!$G$1), MATCH($A58, INDIRECT(Config!$H$1), 0), MATCH(P$1, INDIRECT(Config!$I$1), 0)), "")</f>
        <v/>
      </c>
      <c r="Q58" s="32" t="str">
        <f t="array" ref="Q58">IFERROR(INDEX(INDIRECT(Config!$G$1), MATCH($A58, INDIRECT(Config!$H$1), 0), MATCH(Q$1, INDIRECT(Config!$I$1), 0)), "")</f>
        <v/>
      </c>
      <c r="R58" s="35" t="str">
        <f t="array" ref="R58">IFERROR(INDEX(INDIRECT(Config!$G$1), MATCH($A58, INDIRECT(Config!$H$1), 0), MATCH(R$1, INDIRECT(Config!$I$1), 0)), "")</f>
        <v/>
      </c>
      <c r="S58" s="32" t="str">
        <f t="array" ref="S58">IFERROR(INDEX(INDIRECT(Config!$G$1), MATCH($A58, INDIRECT(Config!$H$1), 0), MATCH(S$1, INDIRECT(Config!$I$1), 0)), "")</f>
        <v/>
      </c>
      <c r="T58" s="35" t="str">
        <f t="array" ref="T58">IFERROR(INDEX(INDIRECT(Config!$G$1), MATCH($A58, INDIRECT(Config!$H$1), 0), MATCH(T$1, INDIRECT(Config!$I$1), 0)), "")</f>
        <v/>
      </c>
      <c r="U58" s="32" t="str">
        <f t="array" ref="U58">IFERROR(INDEX(INDIRECT(Config!$G$1), MATCH($A58, INDIRECT(Config!$H$1), 0), MATCH(U$1, INDIRECT(Config!$I$1), 0)), "")</f>
        <v/>
      </c>
      <c r="V58" s="35" t="str">
        <f t="array" ref="V58">IFERROR(INDEX(INDIRECT(Config!$G$1), MATCH($A58, INDIRECT(Config!$H$1), 0), MATCH(V$1, INDIRECT(Config!$I$1), 0)), "")</f>
        <v/>
      </c>
      <c r="W58" s="32" t="str">
        <f t="array" ref="W58">IFERROR(INDEX(INDIRECT(Config!$G$1), MATCH($A58, INDIRECT(Config!$H$1), 0), MATCH(W$1, INDIRECT(Config!$I$1), 0)), "")</f>
        <v/>
      </c>
      <c r="X58" s="35" t="str">
        <f t="array" ref="X58">IFERROR(INDEX(INDIRECT(Config!$G$1), MATCH($A58, INDIRECT(Config!$H$1), 0), MATCH(X$1, INDIRECT(Config!$I$1), 0)), "")</f>
        <v/>
      </c>
      <c r="Y58" s="32" t="str">
        <f t="array" ref="Y58">IFERROR(INDEX(INDIRECT(Config!$G$1), MATCH($A58, INDIRECT(Config!$H$1), 0), MATCH(Y$1, INDIRECT(Config!$I$1), 0)), "")</f>
        <v/>
      </c>
      <c r="Z58" s="32" t="str">
        <f t="array" ref="Z58">IFERROR(INDEX(INDIRECT(Config!$G$1), MATCH($A58, INDIRECT(Config!$H$1), 0), MATCH(Z$1, INDIRECT(Config!$I$1), 0)), "")</f>
        <v/>
      </c>
      <c r="AA58" s="35" t="str">
        <f t="array" ref="AA58">IFERROR(INDEX(INDIRECT(Config!$G$1), MATCH($A58, INDIRECT(Config!$H$1), 0), MATCH(AA$1, INDIRECT(Config!$I$1), 0)), "")</f>
        <v/>
      </c>
      <c r="AB58" s="32" t="str">
        <f t="array" ref="AB58">IFERROR(INDEX(INDIRECT(Config!$G$1), MATCH($A58, INDIRECT(Config!$H$1), 0), MATCH(AB$1, INDIRECT(Config!$I$1), 0)), "")</f>
        <v/>
      </c>
      <c r="AC58" s="35" t="str">
        <f t="array" ref="AC58">IFERROR(INDEX(INDIRECT(Config!$G$1), MATCH($A58, INDIRECT(Config!$H$1), 0), MATCH(AC$1, INDIRECT(Config!$I$1), 0)), "")</f>
        <v/>
      </c>
      <c r="AD58" s="32" t="str">
        <f t="array" ref="AD58">IFERROR(INDEX(INDIRECT(Config!$G$1), MATCH($A58, INDIRECT(Config!$H$1), 0), MATCH(AD$1, INDIRECT(Config!$I$1), 0)), "")</f>
        <v/>
      </c>
      <c r="AE58" s="35" t="str">
        <f t="array" ref="AE58">IFERROR(INDEX(INDIRECT(Config!$G$1), MATCH($A58, INDIRECT(Config!$H$1), 0), MATCH(AE$1, INDIRECT(Config!$I$1), 0)), "")</f>
        <v/>
      </c>
      <c r="AF58" s="32" t="str">
        <f t="array" ref="AF58">IFERROR(INDEX(INDIRECT(Config!$G$1), MATCH($A58, INDIRECT(Config!$H$1), 0), MATCH(AF$1, INDIRECT(Config!$I$1), 0)), "")</f>
        <v/>
      </c>
      <c r="AG58" s="35" t="str">
        <f t="array" ref="AG58">IFERROR(INDEX(INDIRECT(Config!$G$1), MATCH($A58, INDIRECT(Config!$H$1), 0), MATCH(AG$1, INDIRECT(Config!$I$1), 0)), "")</f>
        <v/>
      </c>
      <c r="AH58" s="32" t="str">
        <f t="array" ref="AH58">IFERROR(INDEX(INDIRECT(Config!$G$1), MATCH($A58, INDIRECT(Config!$H$1), 0), MATCH(AH$1, INDIRECT(Config!$I$1), 0)), "")</f>
        <v/>
      </c>
      <c r="AI58" s="35" t="str">
        <f t="array" ref="AI58">IFERROR(INDEX(INDIRECT(Config!$G$1), MATCH($A58, INDIRECT(Config!$H$1), 0), MATCH(AI$1, INDIRECT(Config!$I$1), 0)), "")</f>
        <v/>
      </c>
      <c r="AJ58" s="32" t="str">
        <f t="array" ref="AJ58">IFERROR(INDEX(INDIRECT(Config!$G$1), MATCH($A58, INDIRECT(Config!$H$1), 0), MATCH(AJ$1, INDIRECT(Config!$I$1), 0)), "")</f>
        <v/>
      </c>
      <c r="AK58" s="35" t="str">
        <f t="array" ref="AK58">IFERROR(INDEX(INDIRECT(Config!$G$1), MATCH($A58, INDIRECT(Config!$H$1), 0), MATCH(AK$1, INDIRECT(Config!$I$1), 0)), "")</f>
        <v/>
      </c>
      <c r="AL58" s="32" t="str">
        <f t="array" ref="AL58">IFERROR(INDEX(INDIRECT(Config!$G$1), MATCH($A58, INDIRECT(Config!$H$1), 0), MATCH(AL$1, INDIRECT(Config!$I$1), 0)), "")</f>
        <v/>
      </c>
      <c r="AM58" s="35" t="str">
        <f t="array" ref="AM58">IFERROR(INDEX(INDIRECT(Config!$G$1), MATCH($A58, INDIRECT(Config!$H$1), 0), MATCH(AM$1, INDIRECT(Config!$I$1), 0)), "")</f>
        <v/>
      </c>
      <c r="AN58" s="32" t="str">
        <f t="array" ref="AN58">IFERROR(INDEX(INDIRECT(Config!$G$1), MATCH($A58, INDIRECT(Config!$H$1), 0), MATCH(AN$1, INDIRECT(Config!$I$1), 0)), "")</f>
        <v/>
      </c>
      <c r="AO58" s="35" t="str">
        <f t="array" ref="AO58">IFERROR(INDEX(INDIRECT(Config!$G$1), MATCH($A58, INDIRECT(Config!$H$1), 0), MATCH(AO$1, INDIRECT(Config!$I$1), 0)), "")</f>
        <v/>
      </c>
      <c r="AP58" s="32" t="str">
        <f t="array" ref="AP58">IFERROR(INDEX(INDIRECT(Config!$G$1), MATCH($A58, INDIRECT(Config!$H$1), 0), MATCH(AP$1, INDIRECT(Config!$I$1), 0)), "")</f>
        <v/>
      </c>
      <c r="AQ58" s="35" t="str">
        <f t="array" ref="AQ58">IFERROR(INDEX(INDIRECT(Config!$G$1), MATCH($A58, INDIRECT(Config!$H$1), 0), MATCH(AQ$1, INDIRECT(Config!$I$1), 0)), "")</f>
        <v/>
      </c>
      <c r="AR58" s="32" t="str">
        <f t="array" ref="AR58">IFERROR(INDEX(INDIRECT(Config!$G$1), MATCH($A58, INDIRECT(Config!$H$1), 0), MATCH(AR$1, INDIRECT(Config!$I$1), 0)), "")</f>
        <v/>
      </c>
      <c r="AS58" s="35" t="str">
        <f t="array" ref="AS58">IFERROR(INDEX(INDIRECT(Config!$G$1), MATCH($A58, INDIRECT(Config!$H$1), 0), MATCH(AS$1, INDIRECT(Config!$I$1), 0)), "")</f>
        <v/>
      </c>
      <c r="AT58" s="32" t="str">
        <f t="array" ref="AT58">IFERROR(INDEX(INDIRECT(Config!$G$1), MATCH($A58, INDIRECT(Config!$H$1), 0), MATCH(AT$1, INDIRECT(Config!$I$1), 0)), "")</f>
        <v/>
      </c>
      <c r="AU58" s="35" t="str">
        <f t="array" ref="AU58">IFERROR(INDEX(INDIRECT(Config!$G$1), MATCH($A58, INDIRECT(Config!$H$1), 0), MATCH(AU$1, INDIRECT(Config!$I$1), 0)), "")</f>
        <v/>
      </c>
      <c r="AV58" s="32" t="str">
        <f t="array" ref="AV58">IFERROR(INDEX(INDIRECT(Config!$G$1), MATCH($A58, INDIRECT(Config!$H$1), 0), MATCH(AV$1, INDIRECT(Config!$I$1), 0)), "")</f>
        <v/>
      </c>
      <c r="AW58" s="35"/>
      <c r="AX58" s="32"/>
      <c r="AY58" s="35"/>
    </row>
    <row r="59" ht="15.75" customHeight="1">
      <c r="A59" s="12" t="str">
        <f>Menus!B20</f>
        <v/>
      </c>
      <c r="B59" s="51">
        <f t="shared" si="7"/>
        <v>0</v>
      </c>
      <c r="C59" s="33" t="str">
        <f t="array" ref="C59">IFERROR(INDEX(INDIRECT(Config!$G$1), MATCH($A59, INDIRECT(Config!$H$1), 0), MATCH(C$1, INDIRECT(Config!$I$1), 0)), "")</f>
        <v/>
      </c>
      <c r="D59" s="34" t="str">
        <f t="array" ref="D59">IFERROR(INDEX(INDIRECT(Config!$G$1), MATCH($A59, INDIRECT(Config!$H$1), 0), MATCH(D$1, INDIRECT(Config!$I$1), 0)), "")</f>
        <v/>
      </c>
      <c r="E59" s="32" t="str">
        <f t="array" ref="E59">IFERROR(INDEX(INDIRECT(Config!$G$1), MATCH($A59, INDIRECT(Config!$H$1), 0), MATCH(E$1, INDIRECT(Config!$I$1), 0)), "")</f>
        <v/>
      </c>
      <c r="F59" s="35" t="str">
        <f t="array" ref="F59">IFERROR(INDEX(INDIRECT(Config!$G$1), MATCH($A59, INDIRECT(Config!$H$1), 0), MATCH(F$1, INDIRECT(Config!$I$1), 0)), "")</f>
        <v/>
      </c>
      <c r="G59" s="32" t="str">
        <f t="array" ref="G59">IFERROR(INDEX(INDIRECT(Config!$G$1), MATCH($A59, INDIRECT(Config!$H$1), 0), MATCH(G$1, INDIRECT(Config!$I$1), 0)), "")</f>
        <v/>
      </c>
      <c r="H59" s="35" t="str">
        <f t="array" ref="H59">IFERROR(INDEX(INDIRECT(Config!$G$1), MATCH($A59, INDIRECT(Config!$H$1), 0), MATCH(H$1, INDIRECT(Config!$I$1), 0)), "")</f>
        <v/>
      </c>
      <c r="I59" s="32" t="str">
        <f t="array" ref="I59">IFERROR(INDEX(INDIRECT(Config!$G$1), MATCH($A59, INDIRECT(Config!$H$1), 0), MATCH(I$1, INDIRECT(Config!$I$1), 0)), "")</f>
        <v/>
      </c>
      <c r="J59" s="35" t="str">
        <f t="array" ref="J59">IFERROR(INDEX(INDIRECT(Config!$G$1), MATCH($A59, INDIRECT(Config!$H$1), 0), MATCH(J$1, INDIRECT(Config!$I$1), 0)), "")</f>
        <v/>
      </c>
      <c r="K59" s="32" t="str">
        <f t="array" ref="K59">IFERROR(INDEX(INDIRECT(Config!$G$1), MATCH($A59, INDIRECT(Config!$H$1), 0), MATCH(K$1, INDIRECT(Config!$I$1), 0)), "")</f>
        <v/>
      </c>
      <c r="L59" s="35" t="str">
        <f t="array" ref="L59">IFERROR(INDEX(INDIRECT(Config!$G$1), MATCH($A59, INDIRECT(Config!$H$1), 0), MATCH(L$1, INDIRECT(Config!$I$1), 0)), "")</f>
        <v/>
      </c>
      <c r="M59" s="32" t="str">
        <f t="array" ref="M59">IFERROR(INDEX(INDIRECT(Config!$G$1), MATCH($A59, INDIRECT(Config!$H$1), 0), MATCH(M$1, INDIRECT(Config!$I$1), 0)), "")</f>
        <v/>
      </c>
      <c r="N59" s="35" t="str">
        <f t="array" ref="N59">IFERROR(INDEX(INDIRECT(Config!$G$1), MATCH($A59, INDIRECT(Config!$H$1), 0), MATCH(N$1, INDIRECT(Config!$I$1), 0)), "")</f>
        <v/>
      </c>
      <c r="O59" s="32" t="str">
        <f t="array" ref="O59">IFERROR(INDEX(INDIRECT(Config!$G$1), MATCH($A59, INDIRECT(Config!$H$1), 0), MATCH(O$1, INDIRECT(Config!$I$1), 0)), "")</f>
        <v/>
      </c>
      <c r="P59" s="35" t="str">
        <f t="array" ref="P59">IFERROR(INDEX(INDIRECT(Config!$G$1), MATCH($A59, INDIRECT(Config!$H$1), 0), MATCH(P$1, INDIRECT(Config!$I$1), 0)), "")</f>
        <v/>
      </c>
      <c r="Q59" s="32" t="str">
        <f t="array" ref="Q59">IFERROR(INDEX(INDIRECT(Config!$G$1), MATCH($A59, INDIRECT(Config!$H$1), 0), MATCH(Q$1, INDIRECT(Config!$I$1), 0)), "")</f>
        <v/>
      </c>
      <c r="R59" s="35" t="str">
        <f t="array" ref="R59">IFERROR(INDEX(INDIRECT(Config!$G$1), MATCH($A59, INDIRECT(Config!$H$1), 0), MATCH(R$1, INDIRECT(Config!$I$1), 0)), "")</f>
        <v/>
      </c>
      <c r="S59" s="32" t="str">
        <f t="array" ref="S59">IFERROR(INDEX(INDIRECT(Config!$G$1), MATCH($A59, INDIRECT(Config!$H$1), 0), MATCH(S$1, INDIRECT(Config!$I$1), 0)), "")</f>
        <v/>
      </c>
      <c r="T59" s="35" t="str">
        <f t="array" ref="T59">IFERROR(INDEX(INDIRECT(Config!$G$1), MATCH($A59, INDIRECT(Config!$H$1), 0), MATCH(T$1, INDIRECT(Config!$I$1), 0)), "")</f>
        <v/>
      </c>
      <c r="U59" s="32" t="str">
        <f t="array" ref="U59">IFERROR(INDEX(INDIRECT(Config!$G$1), MATCH($A59, INDIRECT(Config!$H$1), 0), MATCH(U$1, INDIRECT(Config!$I$1), 0)), "")</f>
        <v/>
      </c>
      <c r="V59" s="35" t="str">
        <f t="array" ref="V59">IFERROR(INDEX(INDIRECT(Config!$G$1), MATCH($A59, INDIRECT(Config!$H$1), 0), MATCH(V$1, INDIRECT(Config!$I$1), 0)), "")</f>
        <v/>
      </c>
      <c r="W59" s="32" t="str">
        <f t="array" ref="W59">IFERROR(INDEX(INDIRECT(Config!$G$1), MATCH($A59, INDIRECT(Config!$H$1), 0), MATCH(W$1, INDIRECT(Config!$I$1), 0)), "")</f>
        <v/>
      </c>
      <c r="X59" s="35" t="str">
        <f t="array" ref="X59">IFERROR(INDEX(INDIRECT(Config!$G$1), MATCH($A59, INDIRECT(Config!$H$1), 0), MATCH(X$1, INDIRECT(Config!$I$1), 0)), "")</f>
        <v/>
      </c>
      <c r="Y59" s="32" t="str">
        <f t="array" ref="Y59">IFERROR(INDEX(INDIRECT(Config!$G$1), MATCH($A59, INDIRECT(Config!$H$1), 0), MATCH(Y$1, INDIRECT(Config!$I$1), 0)), "")</f>
        <v/>
      </c>
      <c r="Z59" s="32" t="str">
        <f t="array" ref="Z59">IFERROR(INDEX(INDIRECT(Config!$G$1), MATCH($A59, INDIRECT(Config!$H$1), 0), MATCH(Z$1, INDIRECT(Config!$I$1), 0)), "")</f>
        <v/>
      </c>
      <c r="AA59" s="35" t="str">
        <f t="array" ref="AA59">IFERROR(INDEX(INDIRECT(Config!$G$1), MATCH($A59, INDIRECT(Config!$H$1), 0), MATCH(AA$1, INDIRECT(Config!$I$1), 0)), "")</f>
        <v/>
      </c>
      <c r="AB59" s="32" t="str">
        <f t="array" ref="AB59">IFERROR(INDEX(INDIRECT(Config!$G$1), MATCH($A59, INDIRECT(Config!$H$1), 0), MATCH(AB$1, INDIRECT(Config!$I$1), 0)), "")</f>
        <v/>
      </c>
      <c r="AC59" s="35" t="str">
        <f t="array" ref="AC59">IFERROR(INDEX(INDIRECT(Config!$G$1), MATCH($A59, INDIRECT(Config!$H$1), 0), MATCH(AC$1, INDIRECT(Config!$I$1), 0)), "")</f>
        <v/>
      </c>
      <c r="AD59" s="32" t="str">
        <f t="array" ref="AD59">IFERROR(INDEX(INDIRECT(Config!$G$1), MATCH($A59, INDIRECT(Config!$H$1), 0), MATCH(AD$1, INDIRECT(Config!$I$1), 0)), "")</f>
        <v/>
      </c>
      <c r="AE59" s="35" t="str">
        <f t="array" ref="AE59">IFERROR(INDEX(INDIRECT(Config!$G$1), MATCH($A59, INDIRECT(Config!$H$1), 0), MATCH(AE$1, INDIRECT(Config!$I$1), 0)), "")</f>
        <v/>
      </c>
      <c r="AF59" s="32" t="str">
        <f t="array" ref="AF59">IFERROR(INDEX(INDIRECT(Config!$G$1), MATCH($A59, INDIRECT(Config!$H$1), 0), MATCH(AF$1, INDIRECT(Config!$I$1), 0)), "")</f>
        <v/>
      </c>
      <c r="AG59" s="35" t="str">
        <f t="array" ref="AG59">IFERROR(INDEX(INDIRECT(Config!$G$1), MATCH($A59, INDIRECT(Config!$H$1), 0), MATCH(AG$1, INDIRECT(Config!$I$1), 0)), "")</f>
        <v/>
      </c>
      <c r="AH59" s="32" t="str">
        <f t="array" ref="AH59">IFERROR(INDEX(INDIRECT(Config!$G$1), MATCH($A59, INDIRECT(Config!$H$1), 0), MATCH(AH$1, INDIRECT(Config!$I$1), 0)), "")</f>
        <v/>
      </c>
      <c r="AI59" s="35" t="str">
        <f t="array" ref="AI59">IFERROR(INDEX(INDIRECT(Config!$G$1), MATCH($A59, INDIRECT(Config!$H$1), 0), MATCH(AI$1, INDIRECT(Config!$I$1), 0)), "")</f>
        <v/>
      </c>
      <c r="AJ59" s="32" t="str">
        <f t="array" ref="AJ59">IFERROR(INDEX(INDIRECT(Config!$G$1), MATCH($A59, INDIRECT(Config!$H$1), 0), MATCH(AJ$1, INDIRECT(Config!$I$1), 0)), "")</f>
        <v/>
      </c>
      <c r="AK59" s="35" t="str">
        <f t="array" ref="AK59">IFERROR(INDEX(INDIRECT(Config!$G$1), MATCH($A59, INDIRECT(Config!$H$1), 0), MATCH(AK$1, INDIRECT(Config!$I$1), 0)), "")</f>
        <v/>
      </c>
      <c r="AL59" s="32" t="str">
        <f t="array" ref="AL59">IFERROR(INDEX(INDIRECT(Config!$G$1), MATCH($A59, INDIRECT(Config!$H$1), 0), MATCH(AL$1, INDIRECT(Config!$I$1), 0)), "")</f>
        <v/>
      </c>
      <c r="AM59" s="35" t="str">
        <f t="array" ref="AM59">IFERROR(INDEX(INDIRECT(Config!$G$1), MATCH($A59, INDIRECT(Config!$H$1), 0), MATCH(AM$1, INDIRECT(Config!$I$1), 0)), "")</f>
        <v/>
      </c>
      <c r="AN59" s="32" t="str">
        <f t="array" ref="AN59">IFERROR(INDEX(INDIRECT(Config!$G$1), MATCH($A59, INDIRECT(Config!$H$1), 0), MATCH(AN$1, INDIRECT(Config!$I$1), 0)), "")</f>
        <v/>
      </c>
      <c r="AO59" s="35" t="str">
        <f t="array" ref="AO59">IFERROR(INDEX(INDIRECT(Config!$G$1), MATCH($A59, INDIRECT(Config!$H$1), 0), MATCH(AO$1, INDIRECT(Config!$I$1), 0)), "")</f>
        <v/>
      </c>
      <c r="AP59" s="32" t="str">
        <f t="array" ref="AP59">IFERROR(INDEX(INDIRECT(Config!$G$1), MATCH($A59, INDIRECT(Config!$H$1), 0), MATCH(AP$1, INDIRECT(Config!$I$1), 0)), "")</f>
        <v/>
      </c>
      <c r="AQ59" s="35" t="str">
        <f t="array" ref="AQ59">IFERROR(INDEX(INDIRECT(Config!$G$1), MATCH($A59, INDIRECT(Config!$H$1), 0), MATCH(AQ$1, INDIRECT(Config!$I$1), 0)), "")</f>
        <v/>
      </c>
      <c r="AR59" s="32" t="str">
        <f t="array" ref="AR59">IFERROR(INDEX(INDIRECT(Config!$G$1), MATCH($A59, INDIRECT(Config!$H$1), 0), MATCH(AR$1, INDIRECT(Config!$I$1), 0)), "")</f>
        <v/>
      </c>
      <c r="AS59" s="35" t="str">
        <f t="array" ref="AS59">IFERROR(INDEX(INDIRECT(Config!$G$1), MATCH($A59, INDIRECT(Config!$H$1), 0), MATCH(AS$1, INDIRECT(Config!$I$1), 0)), "")</f>
        <v/>
      </c>
      <c r="AT59" s="32" t="str">
        <f t="array" ref="AT59">IFERROR(INDEX(INDIRECT(Config!$G$1), MATCH($A59, INDIRECT(Config!$H$1), 0), MATCH(AT$1, INDIRECT(Config!$I$1), 0)), "")</f>
        <v/>
      </c>
      <c r="AU59" s="35" t="str">
        <f t="array" ref="AU59">IFERROR(INDEX(INDIRECT(Config!$G$1), MATCH($A59, INDIRECT(Config!$H$1), 0), MATCH(AU$1, INDIRECT(Config!$I$1), 0)), "")</f>
        <v/>
      </c>
      <c r="AV59" s="32" t="str">
        <f t="array" ref="AV59">IFERROR(INDEX(INDIRECT(Config!$G$1), MATCH($A59, INDIRECT(Config!$H$1), 0), MATCH(AV$1, INDIRECT(Config!$I$1), 0)), "")</f>
        <v/>
      </c>
      <c r="AW59" s="35"/>
      <c r="AX59" s="32"/>
      <c r="AY59" s="35"/>
    </row>
    <row r="60" ht="15.75" customHeight="1">
      <c r="A60" s="12" t="str">
        <f>Menus!B21</f>
        <v/>
      </c>
      <c r="B60" s="51">
        <f t="shared" si="7"/>
        <v>0</v>
      </c>
      <c r="C60" s="33" t="str">
        <f t="array" ref="C60">IFERROR(INDEX(INDIRECT(Config!$G$1), MATCH($A60, INDIRECT(Config!$H$1), 0), MATCH(C$1, INDIRECT(Config!$I$1), 0)), "")</f>
        <v/>
      </c>
      <c r="D60" s="34" t="str">
        <f t="array" ref="D60">IFERROR(INDEX(INDIRECT(Config!$G$1), MATCH($A60, INDIRECT(Config!$H$1), 0), MATCH(D$1, INDIRECT(Config!$I$1), 0)), "")</f>
        <v/>
      </c>
      <c r="E60" s="32" t="str">
        <f t="array" ref="E60">IFERROR(INDEX(INDIRECT(Config!$G$1), MATCH($A60, INDIRECT(Config!$H$1), 0), MATCH(E$1, INDIRECT(Config!$I$1), 0)), "")</f>
        <v/>
      </c>
      <c r="F60" s="35" t="str">
        <f t="array" ref="F60">IFERROR(INDEX(INDIRECT(Config!$G$1), MATCH($A60, INDIRECT(Config!$H$1), 0), MATCH(F$1, INDIRECT(Config!$I$1), 0)), "")</f>
        <v/>
      </c>
      <c r="G60" s="32" t="str">
        <f t="array" ref="G60">IFERROR(INDEX(INDIRECT(Config!$G$1), MATCH($A60, INDIRECT(Config!$H$1), 0), MATCH(G$1, INDIRECT(Config!$I$1), 0)), "")</f>
        <v/>
      </c>
      <c r="H60" s="35" t="str">
        <f t="array" ref="H60">IFERROR(INDEX(INDIRECT(Config!$G$1), MATCH($A60, INDIRECT(Config!$H$1), 0), MATCH(H$1, INDIRECT(Config!$I$1), 0)), "")</f>
        <v/>
      </c>
      <c r="I60" s="32" t="str">
        <f t="array" ref="I60">IFERROR(INDEX(INDIRECT(Config!$G$1), MATCH($A60, INDIRECT(Config!$H$1), 0), MATCH(I$1, INDIRECT(Config!$I$1), 0)), "")</f>
        <v/>
      </c>
      <c r="J60" s="35" t="str">
        <f t="array" ref="J60">IFERROR(INDEX(INDIRECT(Config!$G$1), MATCH($A60, INDIRECT(Config!$H$1), 0), MATCH(J$1, INDIRECT(Config!$I$1), 0)), "")</f>
        <v/>
      </c>
      <c r="K60" s="32" t="str">
        <f t="array" ref="K60">IFERROR(INDEX(INDIRECT(Config!$G$1), MATCH($A60, INDIRECT(Config!$H$1), 0), MATCH(K$1, INDIRECT(Config!$I$1), 0)), "")</f>
        <v/>
      </c>
      <c r="L60" s="35" t="str">
        <f t="array" ref="L60">IFERROR(INDEX(INDIRECT(Config!$G$1), MATCH($A60, INDIRECT(Config!$H$1), 0), MATCH(L$1, INDIRECT(Config!$I$1), 0)), "")</f>
        <v/>
      </c>
      <c r="M60" s="32" t="str">
        <f t="array" ref="M60">IFERROR(INDEX(INDIRECT(Config!$G$1), MATCH($A60, INDIRECT(Config!$H$1), 0), MATCH(M$1, INDIRECT(Config!$I$1), 0)), "")</f>
        <v/>
      </c>
      <c r="N60" s="35" t="str">
        <f t="array" ref="N60">IFERROR(INDEX(INDIRECT(Config!$G$1), MATCH($A60, INDIRECT(Config!$H$1), 0), MATCH(N$1, INDIRECT(Config!$I$1), 0)), "")</f>
        <v/>
      </c>
      <c r="O60" s="32" t="str">
        <f t="array" ref="O60">IFERROR(INDEX(INDIRECT(Config!$G$1), MATCH($A60, INDIRECT(Config!$H$1), 0), MATCH(O$1, INDIRECT(Config!$I$1), 0)), "")</f>
        <v/>
      </c>
      <c r="P60" s="35" t="str">
        <f t="array" ref="P60">IFERROR(INDEX(INDIRECT(Config!$G$1), MATCH($A60, INDIRECT(Config!$H$1), 0), MATCH(P$1, INDIRECT(Config!$I$1), 0)), "")</f>
        <v/>
      </c>
      <c r="Q60" s="32" t="str">
        <f t="array" ref="Q60">IFERROR(INDEX(INDIRECT(Config!$G$1), MATCH($A60, INDIRECT(Config!$H$1), 0), MATCH(Q$1, INDIRECT(Config!$I$1), 0)), "")</f>
        <v/>
      </c>
      <c r="R60" s="35" t="str">
        <f t="array" ref="R60">IFERROR(INDEX(INDIRECT(Config!$G$1), MATCH($A60, INDIRECT(Config!$H$1), 0), MATCH(R$1, INDIRECT(Config!$I$1), 0)), "")</f>
        <v/>
      </c>
      <c r="S60" s="32" t="str">
        <f t="array" ref="S60">IFERROR(INDEX(INDIRECT(Config!$G$1), MATCH($A60, INDIRECT(Config!$H$1), 0), MATCH(S$1, INDIRECT(Config!$I$1), 0)), "")</f>
        <v/>
      </c>
      <c r="T60" s="35" t="str">
        <f t="array" ref="T60">IFERROR(INDEX(INDIRECT(Config!$G$1), MATCH($A60, INDIRECT(Config!$H$1), 0), MATCH(T$1, INDIRECT(Config!$I$1), 0)), "")</f>
        <v/>
      </c>
      <c r="U60" s="32" t="str">
        <f t="array" ref="U60">IFERROR(INDEX(INDIRECT(Config!$G$1), MATCH($A60, INDIRECT(Config!$H$1), 0), MATCH(U$1, INDIRECT(Config!$I$1), 0)), "")</f>
        <v/>
      </c>
      <c r="V60" s="35" t="str">
        <f t="array" ref="V60">IFERROR(INDEX(INDIRECT(Config!$G$1), MATCH($A60, INDIRECT(Config!$H$1), 0), MATCH(V$1, INDIRECT(Config!$I$1), 0)), "")</f>
        <v/>
      </c>
      <c r="W60" s="32" t="str">
        <f t="array" ref="W60">IFERROR(INDEX(INDIRECT(Config!$G$1), MATCH($A60, INDIRECT(Config!$H$1), 0), MATCH(W$1, INDIRECT(Config!$I$1), 0)), "")</f>
        <v/>
      </c>
      <c r="X60" s="35" t="str">
        <f t="array" ref="X60">IFERROR(INDEX(INDIRECT(Config!$G$1), MATCH($A60, INDIRECT(Config!$H$1), 0), MATCH(X$1, INDIRECT(Config!$I$1), 0)), "")</f>
        <v/>
      </c>
      <c r="Y60" s="32" t="str">
        <f t="array" ref="Y60">IFERROR(INDEX(INDIRECT(Config!$G$1), MATCH($A60, INDIRECT(Config!$H$1), 0), MATCH(Y$1, INDIRECT(Config!$I$1), 0)), "")</f>
        <v/>
      </c>
      <c r="Z60" s="32" t="str">
        <f t="array" ref="Z60">IFERROR(INDEX(INDIRECT(Config!$G$1), MATCH($A60, INDIRECT(Config!$H$1), 0), MATCH(Z$1, INDIRECT(Config!$I$1), 0)), "")</f>
        <v/>
      </c>
      <c r="AA60" s="35" t="str">
        <f t="array" ref="AA60">IFERROR(INDEX(INDIRECT(Config!$G$1), MATCH($A60, INDIRECT(Config!$H$1), 0), MATCH(AA$1, INDIRECT(Config!$I$1), 0)), "")</f>
        <v/>
      </c>
      <c r="AB60" s="32" t="str">
        <f t="array" ref="AB60">IFERROR(INDEX(INDIRECT(Config!$G$1), MATCH($A60, INDIRECT(Config!$H$1), 0), MATCH(AB$1, INDIRECT(Config!$I$1), 0)), "")</f>
        <v/>
      </c>
      <c r="AC60" s="35" t="str">
        <f t="array" ref="AC60">IFERROR(INDEX(INDIRECT(Config!$G$1), MATCH($A60, INDIRECT(Config!$H$1), 0), MATCH(AC$1, INDIRECT(Config!$I$1), 0)), "")</f>
        <v/>
      </c>
      <c r="AD60" s="32" t="str">
        <f t="array" ref="AD60">IFERROR(INDEX(INDIRECT(Config!$G$1), MATCH($A60, INDIRECT(Config!$H$1), 0), MATCH(AD$1, INDIRECT(Config!$I$1), 0)), "")</f>
        <v/>
      </c>
      <c r="AE60" s="35" t="str">
        <f t="array" ref="AE60">IFERROR(INDEX(INDIRECT(Config!$G$1), MATCH($A60, INDIRECT(Config!$H$1), 0), MATCH(AE$1, INDIRECT(Config!$I$1), 0)), "")</f>
        <v/>
      </c>
      <c r="AF60" s="32" t="str">
        <f t="array" ref="AF60">IFERROR(INDEX(INDIRECT(Config!$G$1), MATCH($A60, INDIRECT(Config!$H$1), 0), MATCH(AF$1, INDIRECT(Config!$I$1), 0)), "")</f>
        <v/>
      </c>
      <c r="AG60" s="35" t="str">
        <f t="array" ref="AG60">IFERROR(INDEX(INDIRECT(Config!$G$1), MATCH($A60, INDIRECT(Config!$H$1), 0), MATCH(AG$1, INDIRECT(Config!$I$1), 0)), "")</f>
        <v/>
      </c>
      <c r="AH60" s="32" t="str">
        <f t="array" ref="AH60">IFERROR(INDEX(INDIRECT(Config!$G$1), MATCH($A60, INDIRECT(Config!$H$1), 0), MATCH(AH$1, INDIRECT(Config!$I$1), 0)), "")</f>
        <v/>
      </c>
      <c r="AI60" s="35" t="str">
        <f t="array" ref="AI60">IFERROR(INDEX(INDIRECT(Config!$G$1), MATCH($A60, INDIRECT(Config!$H$1), 0), MATCH(AI$1, INDIRECT(Config!$I$1), 0)), "")</f>
        <v/>
      </c>
      <c r="AJ60" s="32" t="str">
        <f t="array" ref="AJ60">IFERROR(INDEX(INDIRECT(Config!$G$1), MATCH($A60, INDIRECT(Config!$H$1), 0), MATCH(AJ$1, INDIRECT(Config!$I$1), 0)), "")</f>
        <v/>
      </c>
      <c r="AK60" s="35" t="str">
        <f t="array" ref="AK60">IFERROR(INDEX(INDIRECT(Config!$G$1), MATCH($A60, INDIRECT(Config!$H$1), 0), MATCH(AK$1, INDIRECT(Config!$I$1), 0)), "")</f>
        <v/>
      </c>
      <c r="AL60" s="32" t="str">
        <f t="array" ref="AL60">IFERROR(INDEX(INDIRECT(Config!$G$1), MATCH($A60, INDIRECT(Config!$H$1), 0), MATCH(AL$1, INDIRECT(Config!$I$1), 0)), "")</f>
        <v/>
      </c>
      <c r="AM60" s="35" t="str">
        <f t="array" ref="AM60">IFERROR(INDEX(INDIRECT(Config!$G$1), MATCH($A60, INDIRECT(Config!$H$1), 0), MATCH(AM$1, INDIRECT(Config!$I$1), 0)), "")</f>
        <v/>
      </c>
      <c r="AN60" s="32" t="str">
        <f t="array" ref="AN60">IFERROR(INDEX(INDIRECT(Config!$G$1), MATCH($A60, INDIRECT(Config!$H$1), 0), MATCH(AN$1, INDIRECT(Config!$I$1), 0)), "")</f>
        <v/>
      </c>
      <c r="AO60" s="35" t="str">
        <f t="array" ref="AO60">IFERROR(INDEX(INDIRECT(Config!$G$1), MATCH($A60, INDIRECT(Config!$H$1), 0), MATCH(AO$1, INDIRECT(Config!$I$1), 0)), "")</f>
        <v/>
      </c>
      <c r="AP60" s="32" t="str">
        <f t="array" ref="AP60">IFERROR(INDEX(INDIRECT(Config!$G$1), MATCH($A60, INDIRECT(Config!$H$1), 0), MATCH(AP$1, INDIRECT(Config!$I$1), 0)), "")</f>
        <v/>
      </c>
      <c r="AQ60" s="35" t="str">
        <f t="array" ref="AQ60">IFERROR(INDEX(INDIRECT(Config!$G$1), MATCH($A60, INDIRECT(Config!$H$1), 0), MATCH(AQ$1, INDIRECT(Config!$I$1), 0)), "")</f>
        <v/>
      </c>
      <c r="AR60" s="32" t="str">
        <f t="array" ref="AR60">IFERROR(INDEX(INDIRECT(Config!$G$1), MATCH($A60, INDIRECT(Config!$H$1), 0), MATCH(AR$1, INDIRECT(Config!$I$1), 0)), "")</f>
        <v/>
      </c>
      <c r="AS60" s="35" t="str">
        <f t="array" ref="AS60">IFERROR(INDEX(INDIRECT(Config!$G$1), MATCH($A60, INDIRECT(Config!$H$1), 0), MATCH(AS$1, INDIRECT(Config!$I$1), 0)), "")</f>
        <v/>
      </c>
      <c r="AT60" s="32" t="str">
        <f t="array" ref="AT60">IFERROR(INDEX(INDIRECT(Config!$G$1), MATCH($A60, INDIRECT(Config!$H$1), 0), MATCH(AT$1, INDIRECT(Config!$I$1), 0)), "")</f>
        <v/>
      </c>
      <c r="AU60" s="35" t="str">
        <f t="array" ref="AU60">IFERROR(INDEX(INDIRECT(Config!$G$1), MATCH($A60, INDIRECT(Config!$H$1), 0), MATCH(AU$1, INDIRECT(Config!$I$1), 0)), "")</f>
        <v/>
      </c>
      <c r="AV60" s="32" t="str">
        <f t="array" ref="AV60">IFERROR(INDEX(INDIRECT(Config!$G$1), MATCH($A60, INDIRECT(Config!$H$1), 0), MATCH(AV$1, INDIRECT(Config!$I$1), 0)), "")</f>
        <v/>
      </c>
      <c r="AW60" s="35"/>
      <c r="AX60" s="32"/>
      <c r="AY60" s="35"/>
    </row>
    <row r="61" ht="15.75" customHeight="1">
      <c r="A61" s="12" t="str">
        <f>Menus!B22</f>
        <v/>
      </c>
      <c r="B61" s="51">
        <f t="shared" si="7"/>
        <v>0</v>
      </c>
      <c r="C61" s="33" t="str">
        <f t="array" ref="C61">IFERROR(INDEX(INDIRECT(Config!$G$1), MATCH($A61, INDIRECT(Config!$H$1), 0), MATCH(C$1, INDIRECT(Config!$I$1), 0)), "")</f>
        <v/>
      </c>
      <c r="D61" s="34" t="str">
        <f t="array" ref="D61">IFERROR(INDEX(INDIRECT(Config!$G$1), MATCH($A61, INDIRECT(Config!$H$1), 0), MATCH(D$1, INDIRECT(Config!$I$1), 0)), "")</f>
        <v/>
      </c>
      <c r="E61" s="32" t="str">
        <f t="array" ref="E61">IFERROR(INDEX(INDIRECT(Config!$G$1), MATCH($A61, INDIRECT(Config!$H$1), 0), MATCH(E$1, INDIRECT(Config!$I$1), 0)), "")</f>
        <v/>
      </c>
      <c r="F61" s="35" t="str">
        <f t="array" ref="F61">IFERROR(INDEX(INDIRECT(Config!$G$1), MATCH($A61, INDIRECT(Config!$H$1), 0), MATCH(F$1, INDIRECT(Config!$I$1), 0)), "")</f>
        <v/>
      </c>
      <c r="G61" s="32" t="str">
        <f t="array" ref="G61">IFERROR(INDEX(INDIRECT(Config!$G$1), MATCH($A61, INDIRECT(Config!$H$1), 0), MATCH(G$1, INDIRECT(Config!$I$1), 0)), "")</f>
        <v/>
      </c>
      <c r="H61" s="35" t="str">
        <f t="array" ref="H61">IFERROR(INDEX(INDIRECT(Config!$G$1), MATCH($A61, INDIRECT(Config!$H$1), 0), MATCH(H$1, INDIRECT(Config!$I$1), 0)), "")</f>
        <v/>
      </c>
      <c r="I61" s="32" t="str">
        <f t="array" ref="I61">IFERROR(INDEX(INDIRECT(Config!$G$1), MATCH($A61, INDIRECT(Config!$H$1), 0), MATCH(I$1, INDIRECT(Config!$I$1), 0)), "")</f>
        <v/>
      </c>
      <c r="J61" s="35" t="str">
        <f t="array" ref="J61">IFERROR(INDEX(INDIRECT(Config!$G$1), MATCH($A61, INDIRECT(Config!$H$1), 0), MATCH(J$1, INDIRECT(Config!$I$1), 0)), "")</f>
        <v/>
      </c>
      <c r="K61" s="32" t="str">
        <f t="array" ref="K61">IFERROR(INDEX(INDIRECT(Config!$G$1), MATCH($A61, INDIRECT(Config!$H$1), 0), MATCH(K$1, INDIRECT(Config!$I$1), 0)), "")</f>
        <v/>
      </c>
      <c r="L61" s="35" t="str">
        <f t="array" ref="L61">IFERROR(INDEX(INDIRECT(Config!$G$1), MATCH($A61, INDIRECT(Config!$H$1), 0), MATCH(L$1, INDIRECT(Config!$I$1), 0)), "")</f>
        <v/>
      </c>
      <c r="M61" s="32" t="str">
        <f t="array" ref="M61">IFERROR(INDEX(INDIRECT(Config!$G$1), MATCH($A61, INDIRECT(Config!$H$1), 0), MATCH(M$1, INDIRECT(Config!$I$1), 0)), "")</f>
        <v/>
      </c>
      <c r="N61" s="35" t="str">
        <f t="array" ref="N61">IFERROR(INDEX(INDIRECT(Config!$G$1), MATCH($A61, INDIRECT(Config!$H$1), 0), MATCH(N$1, INDIRECT(Config!$I$1), 0)), "")</f>
        <v/>
      </c>
      <c r="O61" s="32" t="str">
        <f t="array" ref="O61">IFERROR(INDEX(INDIRECT(Config!$G$1), MATCH($A61, INDIRECT(Config!$H$1), 0), MATCH(O$1, INDIRECT(Config!$I$1), 0)), "")</f>
        <v/>
      </c>
      <c r="P61" s="35" t="str">
        <f t="array" ref="P61">IFERROR(INDEX(INDIRECT(Config!$G$1), MATCH($A61, INDIRECT(Config!$H$1), 0), MATCH(P$1, INDIRECT(Config!$I$1), 0)), "")</f>
        <v/>
      </c>
      <c r="Q61" s="32" t="str">
        <f t="array" ref="Q61">IFERROR(INDEX(INDIRECT(Config!$G$1), MATCH($A61, INDIRECT(Config!$H$1), 0), MATCH(Q$1, INDIRECT(Config!$I$1), 0)), "")</f>
        <v/>
      </c>
      <c r="R61" s="35" t="str">
        <f t="array" ref="R61">IFERROR(INDEX(INDIRECT(Config!$G$1), MATCH($A61, INDIRECT(Config!$H$1), 0), MATCH(R$1, INDIRECT(Config!$I$1), 0)), "")</f>
        <v/>
      </c>
      <c r="S61" s="32" t="str">
        <f t="array" ref="S61">IFERROR(INDEX(INDIRECT(Config!$G$1), MATCH($A61, INDIRECT(Config!$H$1), 0), MATCH(S$1, INDIRECT(Config!$I$1), 0)), "")</f>
        <v/>
      </c>
      <c r="T61" s="35" t="str">
        <f t="array" ref="T61">IFERROR(INDEX(INDIRECT(Config!$G$1), MATCH($A61, INDIRECT(Config!$H$1), 0), MATCH(T$1, INDIRECT(Config!$I$1), 0)), "")</f>
        <v/>
      </c>
      <c r="U61" s="32" t="str">
        <f t="array" ref="U61">IFERROR(INDEX(INDIRECT(Config!$G$1), MATCH($A61, INDIRECT(Config!$H$1), 0), MATCH(U$1, INDIRECT(Config!$I$1), 0)), "")</f>
        <v/>
      </c>
      <c r="V61" s="35" t="str">
        <f t="array" ref="V61">IFERROR(INDEX(INDIRECT(Config!$G$1), MATCH($A61, INDIRECT(Config!$H$1), 0), MATCH(V$1, INDIRECT(Config!$I$1), 0)), "")</f>
        <v/>
      </c>
      <c r="W61" s="32" t="str">
        <f t="array" ref="W61">IFERROR(INDEX(INDIRECT(Config!$G$1), MATCH($A61, INDIRECT(Config!$H$1), 0), MATCH(W$1, INDIRECT(Config!$I$1), 0)), "")</f>
        <v/>
      </c>
      <c r="X61" s="35" t="str">
        <f t="array" ref="X61">IFERROR(INDEX(INDIRECT(Config!$G$1), MATCH($A61, INDIRECT(Config!$H$1), 0), MATCH(X$1, INDIRECT(Config!$I$1), 0)), "")</f>
        <v/>
      </c>
      <c r="Y61" s="32" t="str">
        <f t="array" ref="Y61">IFERROR(INDEX(INDIRECT(Config!$G$1), MATCH($A61, INDIRECT(Config!$H$1), 0), MATCH(Y$1, INDIRECT(Config!$I$1), 0)), "")</f>
        <v/>
      </c>
      <c r="Z61" s="32" t="str">
        <f t="array" ref="Z61">IFERROR(INDEX(INDIRECT(Config!$G$1), MATCH($A61, INDIRECT(Config!$H$1), 0), MATCH(Z$1, INDIRECT(Config!$I$1), 0)), "")</f>
        <v/>
      </c>
      <c r="AA61" s="35" t="str">
        <f t="array" ref="AA61">IFERROR(INDEX(INDIRECT(Config!$G$1), MATCH($A61, INDIRECT(Config!$H$1), 0), MATCH(AA$1, INDIRECT(Config!$I$1), 0)), "")</f>
        <v/>
      </c>
      <c r="AB61" s="32" t="str">
        <f t="array" ref="AB61">IFERROR(INDEX(INDIRECT(Config!$G$1), MATCH($A61, INDIRECT(Config!$H$1), 0), MATCH(AB$1, INDIRECT(Config!$I$1), 0)), "")</f>
        <v/>
      </c>
      <c r="AC61" s="35" t="str">
        <f t="array" ref="AC61">IFERROR(INDEX(INDIRECT(Config!$G$1), MATCH($A61, INDIRECT(Config!$H$1), 0), MATCH(AC$1, INDIRECT(Config!$I$1), 0)), "")</f>
        <v/>
      </c>
      <c r="AD61" s="32" t="str">
        <f t="array" ref="AD61">IFERROR(INDEX(INDIRECT(Config!$G$1), MATCH($A61, INDIRECT(Config!$H$1), 0), MATCH(AD$1, INDIRECT(Config!$I$1), 0)), "")</f>
        <v/>
      </c>
      <c r="AE61" s="35" t="str">
        <f t="array" ref="AE61">IFERROR(INDEX(INDIRECT(Config!$G$1), MATCH($A61, INDIRECT(Config!$H$1), 0), MATCH(AE$1, INDIRECT(Config!$I$1), 0)), "")</f>
        <v/>
      </c>
      <c r="AF61" s="32" t="str">
        <f t="array" ref="AF61">IFERROR(INDEX(INDIRECT(Config!$G$1), MATCH($A61, INDIRECT(Config!$H$1), 0), MATCH(AF$1, INDIRECT(Config!$I$1), 0)), "")</f>
        <v/>
      </c>
      <c r="AG61" s="35" t="str">
        <f t="array" ref="AG61">IFERROR(INDEX(INDIRECT(Config!$G$1), MATCH($A61, INDIRECT(Config!$H$1), 0), MATCH(AG$1, INDIRECT(Config!$I$1), 0)), "")</f>
        <v/>
      </c>
      <c r="AH61" s="32" t="str">
        <f t="array" ref="AH61">IFERROR(INDEX(INDIRECT(Config!$G$1), MATCH($A61, INDIRECT(Config!$H$1), 0), MATCH(AH$1, INDIRECT(Config!$I$1), 0)), "")</f>
        <v/>
      </c>
      <c r="AI61" s="35" t="str">
        <f t="array" ref="AI61">IFERROR(INDEX(INDIRECT(Config!$G$1), MATCH($A61, INDIRECT(Config!$H$1), 0), MATCH(AI$1, INDIRECT(Config!$I$1), 0)), "")</f>
        <v/>
      </c>
      <c r="AJ61" s="32" t="str">
        <f t="array" ref="AJ61">IFERROR(INDEX(INDIRECT(Config!$G$1), MATCH($A61, INDIRECT(Config!$H$1), 0), MATCH(AJ$1, INDIRECT(Config!$I$1), 0)), "")</f>
        <v/>
      </c>
      <c r="AK61" s="35" t="str">
        <f t="array" ref="AK61">IFERROR(INDEX(INDIRECT(Config!$G$1), MATCH($A61, INDIRECT(Config!$H$1), 0), MATCH(AK$1, INDIRECT(Config!$I$1), 0)), "")</f>
        <v/>
      </c>
      <c r="AL61" s="32" t="str">
        <f t="array" ref="AL61">IFERROR(INDEX(INDIRECT(Config!$G$1), MATCH($A61, INDIRECT(Config!$H$1), 0), MATCH(AL$1, INDIRECT(Config!$I$1), 0)), "")</f>
        <v/>
      </c>
      <c r="AM61" s="35" t="str">
        <f t="array" ref="AM61">IFERROR(INDEX(INDIRECT(Config!$G$1), MATCH($A61, INDIRECT(Config!$H$1), 0), MATCH(AM$1, INDIRECT(Config!$I$1), 0)), "")</f>
        <v/>
      </c>
      <c r="AN61" s="32" t="str">
        <f t="array" ref="AN61">IFERROR(INDEX(INDIRECT(Config!$G$1), MATCH($A61, INDIRECT(Config!$H$1), 0), MATCH(AN$1, INDIRECT(Config!$I$1), 0)), "")</f>
        <v/>
      </c>
      <c r="AO61" s="35" t="str">
        <f t="array" ref="AO61">IFERROR(INDEX(INDIRECT(Config!$G$1), MATCH($A61, INDIRECT(Config!$H$1), 0), MATCH(AO$1, INDIRECT(Config!$I$1), 0)), "")</f>
        <v/>
      </c>
      <c r="AP61" s="32" t="str">
        <f t="array" ref="AP61">IFERROR(INDEX(INDIRECT(Config!$G$1), MATCH($A61, INDIRECT(Config!$H$1), 0), MATCH(AP$1, INDIRECT(Config!$I$1), 0)), "")</f>
        <v/>
      </c>
      <c r="AQ61" s="35" t="str">
        <f t="array" ref="AQ61">IFERROR(INDEX(INDIRECT(Config!$G$1), MATCH($A61, INDIRECT(Config!$H$1), 0), MATCH(AQ$1, INDIRECT(Config!$I$1), 0)), "")</f>
        <v/>
      </c>
      <c r="AR61" s="32" t="str">
        <f t="array" ref="AR61">IFERROR(INDEX(INDIRECT(Config!$G$1), MATCH($A61, INDIRECT(Config!$H$1), 0), MATCH(AR$1, INDIRECT(Config!$I$1), 0)), "")</f>
        <v/>
      </c>
      <c r="AS61" s="35" t="str">
        <f t="array" ref="AS61">IFERROR(INDEX(INDIRECT(Config!$G$1), MATCH($A61, INDIRECT(Config!$H$1), 0), MATCH(AS$1, INDIRECT(Config!$I$1), 0)), "")</f>
        <v/>
      </c>
      <c r="AT61" s="32" t="str">
        <f t="array" ref="AT61">IFERROR(INDEX(INDIRECT(Config!$G$1), MATCH($A61, INDIRECT(Config!$H$1), 0), MATCH(AT$1, INDIRECT(Config!$I$1), 0)), "")</f>
        <v/>
      </c>
      <c r="AU61" s="35" t="str">
        <f t="array" ref="AU61">IFERROR(INDEX(INDIRECT(Config!$G$1), MATCH($A61, INDIRECT(Config!$H$1), 0), MATCH(AU$1, INDIRECT(Config!$I$1), 0)), "")</f>
        <v/>
      </c>
      <c r="AV61" s="32" t="str">
        <f t="array" ref="AV61">IFERROR(INDEX(INDIRECT(Config!$G$1), MATCH($A61, INDIRECT(Config!$H$1), 0), MATCH(AV$1, INDIRECT(Config!$I$1), 0)), "")</f>
        <v/>
      </c>
      <c r="AW61" s="35"/>
      <c r="AX61" s="32"/>
      <c r="AY61" s="35"/>
    </row>
    <row r="62" ht="15.75" customHeight="1">
      <c r="A62" s="12" t="str">
        <f>Menus!B23</f>
        <v/>
      </c>
      <c r="B62" s="51">
        <f t="shared" si="7"/>
        <v>0</v>
      </c>
      <c r="C62" s="33" t="str">
        <f t="array" ref="C62">IFERROR(INDEX(INDIRECT(Config!$G$1), MATCH($A62, INDIRECT(Config!$H$1), 0), MATCH(C$1, INDIRECT(Config!$I$1), 0)), "")</f>
        <v/>
      </c>
      <c r="D62" s="34" t="str">
        <f t="array" ref="D62">IFERROR(INDEX(INDIRECT(Config!$G$1), MATCH($A62, INDIRECT(Config!$H$1), 0), MATCH(D$1, INDIRECT(Config!$I$1), 0)), "")</f>
        <v/>
      </c>
      <c r="E62" s="32" t="str">
        <f t="array" ref="E62">IFERROR(INDEX(INDIRECT(Config!$G$1), MATCH($A62, INDIRECT(Config!$H$1), 0), MATCH(E$1, INDIRECT(Config!$I$1), 0)), "")</f>
        <v/>
      </c>
      <c r="F62" s="35" t="str">
        <f t="array" ref="F62">IFERROR(INDEX(INDIRECT(Config!$G$1), MATCH($A62, INDIRECT(Config!$H$1), 0), MATCH(F$1, INDIRECT(Config!$I$1), 0)), "")</f>
        <v/>
      </c>
      <c r="G62" s="32" t="str">
        <f t="array" ref="G62">IFERROR(INDEX(INDIRECT(Config!$G$1), MATCH($A62, INDIRECT(Config!$H$1), 0), MATCH(G$1, INDIRECT(Config!$I$1), 0)), "")</f>
        <v/>
      </c>
      <c r="H62" s="35" t="str">
        <f t="array" ref="H62">IFERROR(INDEX(INDIRECT(Config!$G$1), MATCH($A62, INDIRECT(Config!$H$1), 0), MATCH(H$1, INDIRECT(Config!$I$1), 0)), "")</f>
        <v/>
      </c>
      <c r="I62" s="32" t="str">
        <f t="array" ref="I62">IFERROR(INDEX(INDIRECT(Config!$G$1), MATCH($A62, INDIRECT(Config!$H$1), 0), MATCH(I$1, INDIRECT(Config!$I$1), 0)), "")</f>
        <v/>
      </c>
      <c r="J62" s="35" t="str">
        <f t="array" ref="J62">IFERROR(INDEX(INDIRECT(Config!$G$1), MATCH($A62, INDIRECT(Config!$H$1), 0), MATCH(J$1, INDIRECT(Config!$I$1), 0)), "")</f>
        <v/>
      </c>
      <c r="K62" s="32" t="str">
        <f t="array" ref="K62">IFERROR(INDEX(INDIRECT(Config!$G$1), MATCH($A62, INDIRECT(Config!$H$1), 0), MATCH(K$1, INDIRECT(Config!$I$1), 0)), "")</f>
        <v/>
      </c>
      <c r="L62" s="35" t="str">
        <f t="array" ref="L62">IFERROR(INDEX(INDIRECT(Config!$G$1), MATCH($A62, INDIRECT(Config!$H$1), 0), MATCH(L$1, INDIRECT(Config!$I$1), 0)), "")</f>
        <v/>
      </c>
      <c r="M62" s="32" t="str">
        <f t="array" ref="M62">IFERROR(INDEX(INDIRECT(Config!$G$1), MATCH($A62, INDIRECT(Config!$H$1), 0), MATCH(M$1, INDIRECT(Config!$I$1), 0)), "")</f>
        <v/>
      </c>
      <c r="N62" s="35" t="str">
        <f t="array" ref="N62">IFERROR(INDEX(INDIRECT(Config!$G$1), MATCH($A62, INDIRECT(Config!$H$1), 0), MATCH(N$1, INDIRECT(Config!$I$1), 0)), "")</f>
        <v/>
      </c>
      <c r="O62" s="32" t="str">
        <f t="array" ref="O62">IFERROR(INDEX(INDIRECT(Config!$G$1), MATCH($A62, INDIRECT(Config!$H$1), 0), MATCH(O$1, INDIRECT(Config!$I$1), 0)), "")</f>
        <v/>
      </c>
      <c r="P62" s="35" t="str">
        <f t="array" ref="P62">IFERROR(INDEX(INDIRECT(Config!$G$1), MATCH($A62, INDIRECT(Config!$H$1), 0), MATCH(P$1, INDIRECT(Config!$I$1), 0)), "")</f>
        <v/>
      </c>
      <c r="Q62" s="32" t="str">
        <f t="array" ref="Q62">IFERROR(INDEX(INDIRECT(Config!$G$1), MATCH($A62, INDIRECT(Config!$H$1), 0), MATCH(Q$1, INDIRECT(Config!$I$1), 0)), "")</f>
        <v/>
      </c>
      <c r="R62" s="35" t="str">
        <f t="array" ref="R62">IFERROR(INDEX(INDIRECT(Config!$G$1), MATCH($A62, INDIRECT(Config!$H$1), 0), MATCH(R$1, INDIRECT(Config!$I$1), 0)), "")</f>
        <v/>
      </c>
      <c r="S62" s="32" t="str">
        <f t="array" ref="S62">IFERROR(INDEX(INDIRECT(Config!$G$1), MATCH($A62, INDIRECT(Config!$H$1), 0), MATCH(S$1, INDIRECT(Config!$I$1), 0)), "")</f>
        <v/>
      </c>
      <c r="T62" s="35" t="str">
        <f t="array" ref="T62">IFERROR(INDEX(INDIRECT(Config!$G$1), MATCH($A62, INDIRECT(Config!$H$1), 0), MATCH(T$1, INDIRECT(Config!$I$1), 0)), "")</f>
        <v/>
      </c>
      <c r="U62" s="32" t="str">
        <f t="array" ref="U62">IFERROR(INDEX(INDIRECT(Config!$G$1), MATCH($A62, INDIRECT(Config!$H$1), 0), MATCH(U$1, INDIRECT(Config!$I$1), 0)), "")</f>
        <v/>
      </c>
      <c r="V62" s="35" t="str">
        <f t="array" ref="V62">IFERROR(INDEX(INDIRECT(Config!$G$1), MATCH($A62, INDIRECT(Config!$H$1), 0), MATCH(V$1, INDIRECT(Config!$I$1), 0)), "")</f>
        <v/>
      </c>
      <c r="W62" s="32" t="str">
        <f t="array" ref="W62">IFERROR(INDEX(INDIRECT(Config!$G$1), MATCH($A62, INDIRECT(Config!$H$1), 0), MATCH(W$1, INDIRECT(Config!$I$1), 0)), "")</f>
        <v/>
      </c>
      <c r="X62" s="35" t="str">
        <f t="array" ref="X62">IFERROR(INDEX(INDIRECT(Config!$G$1), MATCH($A62, INDIRECT(Config!$H$1), 0), MATCH(X$1, INDIRECT(Config!$I$1), 0)), "")</f>
        <v/>
      </c>
      <c r="Y62" s="32" t="str">
        <f t="array" ref="Y62">IFERROR(INDEX(INDIRECT(Config!$G$1), MATCH($A62, INDIRECT(Config!$H$1), 0), MATCH(Y$1, INDIRECT(Config!$I$1), 0)), "")</f>
        <v/>
      </c>
      <c r="Z62" s="32" t="str">
        <f t="array" ref="Z62">IFERROR(INDEX(INDIRECT(Config!$G$1), MATCH($A62, INDIRECT(Config!$H$1), 0), MATCH(Z$1, INDIRECT(Config!$I$1), 0)), "")</f>
        <v/>
      </c>
      <c r="AA62" s="35" t="str">
        <f t="array" ref="AA62">IFERROR(INDEX(INDIRECT(Config!$G$1), MATCH($A62, INDIRECT(Config!$H$1), 0), MATCH(AA$1, INDIRECT(Config!$I$1), 0)), "")</f>
        <v/>
      </c>
      <c r="AB62" s="32" t="str">
        <f t="array" ref="AB62">IFERROR(INDEX(INDIRECT(Config!$G$1), MATCH($A62, INDIRECT(Config!$H$1), 0), MATCH(AB$1, INDIRECT(Config!$I$1), 0)), "")</f>
        <v/>
      </c>
      <c r="AC62" s="35" t="str">
        <f t="array" ref="AC62">IFERROR(INDEX(INDIRECT(Config!$G$1), MATCH($A62, INDIRECT(Config!$H$1), 0), MATCH(AC$1, INDIRECT(Config!$I$1), 0)), "")</f>
        <v/>
      </c>
      <c r="AD62" s="32" t="str">
        <f t="array" ref="AD62">IFERROR(INDEX(INDIRECT(Config!$G$1), MATCH($A62, INDIRECT(Config!$H$1), 0), MATCH(AD$1, INDIRECT(Config!$I$1), 0)), "")</f>
        <v/>
      </c>
      <c r="AE62" s="35" t="str">
        <f t="array" ref="AE62">IFERROR(INDEX(INDIRECT(Config!$G$1), MATCH($A62, INDIRECT(Config!$H$1), 0), MATCH(AE$1, INDIRECT(Config!$I$1), 0)), "")</f>
        <v/>
      </c>
      <c r="AF62" s="32" t="str">
        <f t="array" ref="AF62">IFERROR(INDEX(INDIRECT(Config!$G$1), MATCH($A62, INDIRECT(Config!$H$1), 0), MATCH(AF$1, INDIRECT(Config!$I$1), 0)), "")</f>
        <v/>
      </c>
      <c r="AG62" s="35" t="str">
        <f t="array" ref="AG62">IFERROR(INDEX(INDIRECT(Config!$G$1), MATCH($A62, INDIRECT(Config!$H$1), 0), MATCH(AG$1, INDIRECT(Config!$I$1), 0)), "")</f>
        <v/>
      </c>
      <c r="AH62" s="32" t="str">
        <f t="array" ref="AH62">IFERROR(INDEX(INDIRECT(Config!$G$1), MATCH($A62, INDIRECT(Config!$H$1), 0), MATCH(AH$1, INDIRECT(Config!$I$1), 0)), "")</f>
        <v/>
      </c>
      <c r="AI62" s="35" t="str">
        <f t="array" ref="AI62">IFERROR(INDEX(INDIRECT(Config!$G$1), MATCH($A62, INDIRECT(Config!$H$1), 0), MATCH(AI$1, INDIRECT(Config!$I$1), 0)), "")</f>
        <v/>
      </c>
      <c r="AJ62" s="32" t="str">
        <f t="array" ref="AJ62">IFERROR(INDEX(INDIRECT(Config!$G$1), MATCH($A62, INDIRECT(Config!$H$1), 0), MATCH(AJ$1, INDIRECT(Config!$I$1), 0)), "")</f>
        <v/>
      </c>
      <c r="AK62" s="35" t="str">
        <f t="array" ref="AK62">IFERROR(INDEX(INDIRECT(Config!$G$1), MATCH($A62, INDIRECT(Config!$H$1), 0), MATCH(AK$1, INDIRECT(Config!$I$1), 0)), "")</f>
        <v/>
      </c>
      <c r="AL62" s="32" t="str">
        <f t="array" ref="AL62">IFERROR(INDEX(INDIRECT(Config!$G$1), MATCH($A62, INDIRECT(Config!$H$1), 0), MATCH(AL$1, INDIRECT(Config!$I$1), 0)), "")</f>
        <v/>
      </c>
      <c r="AM62" s="35" t="str">
        <f t="array" ref="AM62">IFERROR(INDEX(INDIRECT(Config!$G$1), MATCH($A62, INDIRECT(Config!$H$1), 0), MATCH(AM$1, INDIRECT(Config!$I$1), 0)), "")</f>
        <v/>
      </c>
      <c r="AN62" s="32" t="str">
        <f t="array" ref="AN62">IFERROR(INDEX(INDIRECT(Config!$G$1), MATCH($A62, INDIRECT(Config!$H$1), 0), MATCH(AN$1, INDIRECT(Config!$I$1), 0)), "")</f>
        <v/>
      </c>
      <c r="AO62" s="35" t="str">
        <f t="array" ref="AO62">IFERROR(INDEX(INDIRECT(Config!$G$1), MATCH($A62, INDIRECT(Config!$H$1), 0), MATCH(AO$1, INDIRECT(Config!$I$1), 0)), "")</f>
        <v/>
      </c>
      <c r="AP62" s="32" t="str">
        <f t="array" ref="AP62">IFERROR(INDEX(INDIRECT(Config!$G$1), MATCH($A62, INDIRECT(Config!$H$1), 0), MATCH(AP$1, INDIRECT(Config!$I$1), 0)), "")</f>
        <v/>
      </c>
      <c r="AQ62" s="35" t="str">
        <f t="array" ref="AQ62">IFERROR(INDEX(INDIRECT(Config!$G$1), MATCH($A62, INDIRECT(Config!$H$1), 0), MATCH(AQ$1, INDIRECT(Config!$I$1), 0)), "")</f>
        <v/>
      </c>
      <c r="AR62" s="32" t="str">
        <f t="array" ref="AR62">IFERROR(INDEX(INDIRECT(Config!$G$1), MATCH($A62, INDIRECT(Config!$H$1), 0), MATCH(AR$1, INDIRECT(Config!$I$1), 0)), "")</f>
        <v/>
      </c>
      <c r="AS62" s="35" t="str">
        <f t="array" ref="AS62">IFERROR(INDEX(INDIRECT(Config!$G$1), MATCH($A62, INDIRECT(Config!$H$1), 0), MATCH(AS$1, INDIRECT(Config!$I$1), 0)), "")</f>
        <v/>
      </c>
      <c r="AT62" s="32" t="str">
        <f t="array" ref="AT62">IFERROR(INDEX(INDIRECT(Config!$G$1), MATCH($A62, INDIRECT(Config!$H$1), 0), MATCH(AT$1, INDIRECT(Config!$I$1), 0)), "")</f>
        <v/>
      </c>
      <c r="AU62" s="35" t="str">
        <f t="array" ref="AU62">IFERROR(INDEX(INDIRECT(Config!$G$1), MATCH($A62, INDIRECT(Config!$H$1), 0), MATCH(AU$1, INDIRECT(Config!$I$1), 0)), "")</f>
        <v/>
      </c>
      <c r="AV62" s="32" t="str">
        <f t="array" ref="AV62">IFERROR(INDEX(INDIRECT(Config!$G$1), MATCH($A62, INDIRECT(Config!$H$1), 0), MATCH(AV$1, INDIRECT(Config!$I$1), 0)), "")</f>
        <v/>
      </c>
      <c r="AW62" s="35"/>
      <c r="AX62" s="32"/>
      <c r="AY62" s="35"/>
    </row>
    <row r="63" ht="15.75" customHeight="1">
      <c r="A63" s="12" t="str">
        <f>Menus!B24</f>
        <v/>
      </c>
      <c r="B63" s="51">
        <f t="shared" si="7"/>
        <v>0</v>
      </c>
      <c r="C63" s="33" t="str">
        <f t="array" ref="C63">IFERROR(INDEX(INDIRECT(Config!$G$1), MATCH($A63, INDIRECT(Config!$H$1), 0), MATCH(C$1, INDIRECT(Config!$I$1), 0)), "")</f>
        <v/>
      </c>
      <c r="D63" s="34" t="str">
        <f t="array" ref="D63">IFERROR(INDEX(INDIRECT(Config!$G$1), MATCH($A63, INDIRECT(Config!$H$1), 0), MATCH(D$1, INDIRECT(Config!$I$1), 0)), "")</f>
        <v/>
      </c>
      <c r="E63" s="32" t="str">
        <f t="array" ref="E63">IFERROR(INDEX(INDIRECT(Config!$G$1), MATCH($A63, INDIRECT(Config!$H$1), 0), MATCH(E$1, INDIRECT(Config!$I$1), 0)), "")</f>
        <v/>
      </c>
      <c r="F63" s="35" t="str">
        <f t="array" ref="F63">IFERROR(INDEX(INDIRECT(Config!$G$1), MATCH($A63, INDIRECT(Config!$H$1), 0), MATCH(F$1, INDIRECT(Config!$I$1), 0)), "")</f>
        <v/>
      </c>
      <c r="G63" s="32" t="str">
        <f t="array" ref="G63">IFERROR(INDEX(INDIRECT(Config!$G$1), MATCH($A63, INDIRECT(Config!$H$1), 0), MATCH(G$1, INDIRECT(Config!$I$1), 0)), "")</f>
        <v/>
      </c>
      <c r="H63" s="35" t="str">
        <f t="array" ref="H63">IFERROR(INDEX(INDIRECT(Config!$G$1), MATCH($A63, INDIRECT(Config!$H$1), 0), MATCH(H$1, INDIRECT(Config!$I$1), 0)), "")</f>
        <v/>
      </c>
      <c r="I63" s="32" t="str">
        <f t="array" ref="I63">IFERROR(INDEX(INDIRECT(Config!$G$1), MATCH($A63, INDIRECT(Config!$H$1), 0), MATCH(I$1, INDIRECT(Config!$I$1), 0)), "")</f>
        <v/>
      </c>
      <c r="J63" s="35" t="str">
        <f t="array" ref="J63">IFERROR(INDEX(INDIRECT(Config!$G$1), MATCH($A63, INDIRECT(Config!$H$1), 0), MATCH(J$1, INDIRECT(Config!$I$1), 0)), "")</f>
        <v/>
      </c>
      <c r="K63" s="32" t="str">
        <f t="array" ref="K63">IFERROR(INDEX(INDIRECT(Config!$G$1), MATCH($A63, INDIRECT(Config!$H$1), 0), MATCH(K$1, INDIRECT(Config!$I$1), 0)), "")</f>
        <v/>
      </c>
      <c r="L63" s="35" t="str">
        <f t="array" ref="L63">IFERROR(INDEX(INDIRECT(Config!$G$1), MATCH($A63, INDIRECT(Config!$H$1), 0), MATCH(L$1, INDIRECT(Config!$I$1), 0)), "")</f>
        <v/>
      </c>
      <c r="M63" s="32" t="str">
        <f t="array" ref="M63">IFERROR(INDEX(INDIRECT(Config!$G$1), MATCH($A63, INDIRECT(Config!$H$1), 0), MATCH(M$1, INDIRECT(Config!$I$1), 0)), "")</f>
        <v/>
      </c>
      <c r="N63" s="35" t="str">
        <f t="array" ref="N63">IFERROR(INDEX(INDIRECT(Config!$G$1), MATCH($A63, INDIRECT(Config!$H$1), 0), MATCH(N$1, INDIRECT(Config!$I$1), 0)), "")</f>
        <v/>
      </c>
      <c r="O63" s="32" t="str">
        <f t="array" ref="O63">IFERROR(INDEX(INDIRECT(Config!$G$1), MATCH($A63, INDIRECT(Config!$H$1), 0), MATCH(O$1, INDIRECT(Config!$I$1), 0)), "")</f>
        <v/>
      </c>
      <c r="P63" s="35" t="str">
        <f t="array" ref="P63">IFERROR(INDEX(INDIRECT(Config!$G$1), MATCH($A63, INDIRECT(Config!$H$1), 0), MATCH(P$1, INDIRECT(Config!$I$1), 0)), "")</f>
        <v/>
      </c>
      <c r="Q63" s="32" t="str">
        <f t="array" ref="Q63">IFERROR(INDEX(INDIRECT(Config!$G$1), MATCH($A63, INDIRECT(Config!$H$1), 0), MATCH(Q$1, INDIRECT(Config!$I$1), 0)), "")</f>
        <v/>
      </c>
      <c r="R63" s="35" t="str">
        <f t="array" ref="R63">IFERROR(INDEX(INDIRECT(Config!$G$1), MATCH($A63, INDIRECT(Config!$H$1), 0), MATCH(R$1, INDIRECT(Config!$I$1), 0)), "")</f>
        <v/>
      </c>
      <c r="S63" s="32" t="str">
        <f t="array" ref="S63">IFERROR(INDEX(INDIRECT(Config!$G$1), MATCH($A63, INDIRECT(Config!$H$1), 0), MATCH(S$1, INDIRECT(Config!$I$1), 0)), "")</f>
        <v/>
      </c>
      <c r="T63" s="35" t="str">
        <f t="array" ref="T63">IFERROR(INDEX(INDIRECT(Config!$G$1), MATCH($A63, INDIRECT(Config!$H$1), 0), MATCH(T$1, INDIRECT(Config!$I$1), 0)), "")</f>
        <v/>
      </c>
      <c r="U63" s="32" t="str">
        <f t="array" ref="U63">IFERROR(INDEX(INDIRECT(Config!$G$1), MATCH($A63, INDIRECT(Config!$H$1), 0), MATCH(U$1, INDIRECT(Config!$I$1), 0)), "")</f>
        <v/>
      </c>
      <c r="V63" s="35" t="str">
        <f t="array" ref="V63">IFERROR(INDEX(INDIRECT(Config!$G$1), MATCH($A63, INDIRECT(Config!$H$1), 0), MATCH(V$1, INDIRECT(Config!$I$1), 0)), "")</f>
        <v/>
      </c>
      <c r="W63" s="32" t="str">
        <f t="array" ref="W63">IFERROR(INDEX(INDIRECT(Config!$G$1), MATCH($A63, INDIRECT(Config!$H$1), 0), MATCH(W$1, INDIRECT(Config!$I$1), 0)), "")</f>
        <v/>
      </c>
      <c r="X63" s="35" t="str">
        <f t="array" ref="X63">IFERROR(INDEX(INDIRECT(Config!$G$1), MATCH($A63, INDIRECT(Config!$H$1), 0), MATCH(X$1, INDIRECT(Config!$I$1), 0)), "")</f>
        <v/>
      </c>
      <c r="Y63" s="32" t="str">
        <f t="array" ref="Y63">IFERROR(INDEX(INDIRECT(Config!$G$1), MATCH($A63, INDIRECT(Config!$H$1), 0), MATCH(Y$1, INDIRECT(Config!$I$1), 0)), "")</f>
        <v/>
      </c>
      <c r="Z63" s="32" t="str">
        <f t="array" ref="Z63">IFERROR(INDEX(INDIRECT(Config!$G$1), MATCH($A63, INDIRECT(Config!$H$1), 0), MATCH(Z$1, INDIRECT(Config!$I$1), 0)), "")</f>
        <v/>
      </c>
      <c r="AA63" s="35" t="str">
        <f t="array" ref="AA63">IFERROR(INDEX(INDIRECT(Config!$G$1), MATCH($A63, INDIRECT(Config!$H$1), 0), MATCH(AA$1, INDIRECT(Config!$I$1), 0)), "")</f>
        <v/>
      </c>
      <c r="AB63" s="32" t="str">
        <f t="array" ref="AB63">IFERROR(INDEX(INDIRECT(Config!$G$1), MATCH($A63, INDIRECT(Config!$H$1), 0), MATCH(AB$1, INDIRECT(Config!$I$1), 0)), "")</f>
        <v/>
      </c>
      <c r="AC63" s="35" t="str">
        <f t="array" ref="AC63">IFERROR(INDEX(INDIRECT(Config!$G$1), MATCH($A63, INDIRECT(Config!$H$1), 0), MATCH(AC$1, INDIRECT(Config!$I$1), 0)), "")</f>
        <v/>
      </c>
      <c r="AD63" s="32" t="str">
        <f t="array" ref="AD63">IFERROR(INDEX(INDIRECT(Config!$G$1), MATCH($A63, INDIRECT(Config!$H$1), 0), MATCH(AD$1, INDIRECT(Config!$I$1), 0)), "")</f>
        <v/>
      </c>
      <c r="AE63" s="35" t="str">
        <f t="array" ref="AE63">IFERROR(INDEX(INDIRECT(Config!$G$1), MATCH($A63, INDIRECT(Config!$H$1), 0), MATCH(AE$1, INDIRECT(Config!$I$1), 0)), "")</f>
        <v/>
      </c>
      <c r="AF63" s="32" t="str">
        <f t="array" ref="AF63">IFERROR(INDEX(INDIRECT(Config!$G$1), MATCH($A63, INDIRECT(Config!$H$1), 0), MATCH(AF$1, INDIRECT(Config!$I$1), 0)), "")</f>
        <v/>
      </c>
      <c r="AG63" s="35" t="str">
        <f t="array" ref="AG63">IFERROR(INDEX(INDIRECT(Config!$G$1), MATCH($A63, INDIRECT(Config!$H$1), 0), MATCH(AG$1, INDIRECT(Config!$I$1), 0)), "")</f>
        <v/>
      </c>
      <c r="AH63" s="32" t="str">
        <f t="array" ref="AH63">IFERROR(INDEX(INDIRECT(Config!$G$1), MATCH($A63, INDIRECT(Config!$H$1), 0), MATCH(AH$1, INDIRECT(Config!$I$1), 0)), "")</f>
        <v/>
      </c>
      <c r="AI63" s="35" t="str">
        <f t="array" ref="AI63">IFERROR(INDEX(INDIRECT(Config!$G$1), MATCH($A63, INDIRECT(Config!$H$1), 0), MATCH(AI$1, INDIRECT(Config!$I$1), 0)), "")</f>
        <v/>
      </c>
      <c r="AJ63" s="32" t="str">
        <f t="array" ref="AJ63">IFERROR(INDEX(INDIRECT(Config!$G$1), MATCH($A63, INDIRECT(Config!$H$1), 0), MATCH(AJ$1, INDIRECT(Config!$I$1), 0)), "")</f>
        <v/>
      </c>
      <c r="AK63" s="35" t="str">
        <f t="array" ref="AK63">IFERROR(INDEX(INDIRECT(Config!$G$1), MATCH($A63, INDIRECT(Config!$H$1), 0), MATCH(AK$1, INDIRECT(Config!$I$1), 0)), "")</f>
        <v/>
      </c>
      <c r="AL63" s="32" t="str">
        <f t="array" ref="AL63">IFERROR(INDEX(INDIRECT(Config!$G$1), MATCH($A63, INDIRECT(Config!$H$1), 0), MATCH(AL$1, INDIRECT(Config!$I$1), 0)), "")</f>
        <v/>
      </c>
      <c r="AM63" s="35" t="str">
        <f t="array" ref="AM63">IFERROR(INDEX(INDIRECT(Config!$G$1), MATCH($A63, INDIRECT(Config!$H$1), 0), MATCH(AM$1, INDIRECT(Config!$I$1), 0)), "")</f>
        <v/>
      </c>
      <c r="AN63" s="32" t="str">
        <f t="array" ref="AN63">IFERROR(INDEX(INDIRECT(Config!$G$1), MATCH($A63, INDIRECT(Config!$H$1), 0), MATCH(AN$1, INDIRECT(Config!$I$1), 0)), "")</f>
        <v/>
      </c>
      <c r="AO63" s="35" t="str">
        <f t="array" ref="AO63">IFERROR(INDEX(INDIRECT(Config!$G$1), MATCH($A63, INDIRECT(Config!$H$1), 0), MATCH(AO$1, INDIRECT(Config!$I$1), 0)), "")</f>
        <v/>
      </c>
      <c r="AP63" s="32" t="str">
        <f t="array" ref="AP63">IFERROR(INDEX(INDIRECT(Config!$G$1), MATCH($A63, INDIRECT(Config!$H$1), 0), MATCH(AP$1, INDIRECT(Config!$I$1), 0)), "")</f>
        <v/>
      </c>
      <c r="AQ63" s="35" t="str">
        <f t="array" ref="AQ63">IFERROR(INDEX(INDIRECT(Config!$G$1), MATCH($A63, INDIRECT(Config!$H$1), 0), MATCH(AQ$1, INDIRECT(Config!$I$1), 0)), "")</f>
        <v/>
      </c>
      <c r="AR63" s="32" t="str">
        <f t="array" ref="AR63">IFERROR(INDEX(INDIRECT(Config!$G$1), MATCH($A63, INDIRECT(Config!$H$1), 0), MATCH(AR$1, INDIRECT(Config!$I$1), 0)), "")</f>
        <v/>
      </c>
      <c r="AS63" s="35" t="str">
        <f t="array" ref="AS63">IFERROR(INDEX(INDIRECT(Config!$G$1), MATCH($A63, INDIRECT(Config!$H$1), 0), MATCH(AS$1, INDIRECT(Config!$I$1), 0)), "")</f>
        <v/>
      </c>
      <c r="AT63" s="32" t="str">
        <f t="array" ref="AT63">IFERROR(INDEX(INDIRECT(Config!$G$1), MATCH($A63, INDIRECT(Config!$H$1), 0), MATCH(AT$1, INDIRECT(Config!$I$1), 0)), "")</f>
        <v/>
      </c>
      <c r="AU63" s="35" t="str">
        <f t="array" ref="AU63">IFERROR(INDEX(INDIRECT(Config!$G$1), MATCH($A63, INDIRECT(Config!$H$1), 0), MATCH(AU$1, INDIRECT(Config!$I$1), 0)), "")</f>
        <v/>
      </c>
      <c r="AV63" s="32" t="str">
        <f t="array" ref="AV63">IFERROR(INDEX(INDIRECT(Config!$G$1), MATCH($A63, INDIRECT(Config!$H$1), 0), MATCH(AV$1, INDIRECT(Config!$I$1), 0)), "")</f>
        <v/>
      </c>
      <c r="AW63" s="35"/>
      <c r="AX63" s="32"/>
      <c r="AY63" s="35"/>
    </row>
    <row r="64" ht="15.75" customHeight="1">
      <c r="A64" s="12" t="str">
        <f>Menus!B25</f>
        <v/>
      </c>
      <c r="B64" s="51">
        <f t="shared" si="7"/>
        <v>0</v>
      </c>
      <c r="C64" s="33" t="str">
        <f t="array" ref="C64">IFERROR(INDEX(INDIRECT(Config!$G$1), MATCH($A64, INDIRECT(Config!$H$1), 0), MATCH(C$1, INDIRECT(Config!$I$1), 0)), "")</f>
        <v/>
      </c>
      <c r="D64" s="34" t="str">
        <f t="array" ref="D64">IFERROR(INDEX(INDIRECT(Config!$G$1), MATCH($A64, INDIRECT(Config!$H$1), 0), MATCH(D$1, INDIRECT(Config!$I$1), 0)), "")</f>
        <v/>
      </c>
      <c r="E64" s="32" t="str">
        <f t="array" ref="E64">IFERROR(INDEX(INDIRECT(Config!$G$1), MATCH($A64, INDIRECT(Config!$H$1), 0), MATCH(E$1, INDIRECT(Config!$I$1), 0)), "")</f>
        <v/>
      </c>
      <c r="F64" s="35" t="str">
        <f t="array" ref="F64">IFERROR(INDEX(INDIRECT(Config!$G$1), MATCH($A64, INDIRECT(Config!$H$1), 0), MATCH(F$1, INDIRECT(Config!$I$1), 0)), "")</f>
        <v/>
      </c>
      <c r="G64" s="32" t="str">
        <f t="array" ref="G64">IFERROR(INDEX(INDIRECT(Config!$G$1), MATCH($A64, INDIRECT(Config!$H$1), 0), MATCH(G$1, INDIRECT(Config!$I$1), 0)), "")</f>
        <v/>
      </c>
      <c r="H64" s="35" t="str">
        <f t="array" ref="H64">IFERROR(INDEX(INDIRECT(Config!$G$1), MATCH($A64, INDIRECT(Config!$H$1), 0), MATCH(H$1, INDIRECT(Config!$I$1), 0)), "")</f>
        <v/>
      </c>
      <c r="I64" s="32" t="str">
        <f t="array" ref="I64">IFERROR(INDEX(INDIRECT(Config!$G$1), MATCH($A64, INDIRECT(Config!$H$1), 0), MATCH(I$1, INDIRECT(Config!$I$1), 0)), "")</f>
        <v/>
      </c>
      <c r="J64" s="35" t="str">
        <f t="array" ref="J64">IFERROR(INDEX(INDIRECT(Config!$G$1), MATCH($A64, INDIRECT(Config!$H$1), 0), MATCH(J$1, INDIRECT(Config!$I$1), 0)), "")</f>
        <v/>
      </c>
      <c r="K64" s="32" t="str">
        <f t="array" ref="K64">IFERROR(INDEX(INDIRECT(Config!$G$1), MATCH($A64, INDIRECT(Config!$H$1), 0), MATCH(K$1, INDIRECT(Config!$I$1), 0)), "")</f>
        <v/>
      </c>
      <c r="L64" s="35" t="str">
        <f t="array" ref="L64">IFERROR(INDEX(INDIRECT(Config!$G$1), MATCH($A64, INDIRECT(Config!$H$1), 0), MATCH(L$1, INDIRECT(Config!$I$1), 0)), "")</f>
        <v/>
      </c>
      <c r="M64" s="32" t="str">
        <f t="array" ref="M64">IFERROR(INDEX(INDIRECT(Config!$G$1), MATCH($A64, INDIRECT(Config!$H$1), 0), MATCH(M$1, INDIRECT(Config!$I$1), 0)), "")</f>
        <v/>
      </c>
      <c r="N64" s="35" t="str">
        <f t="array" ref="N64">IFERROR(INDEX(INDIRECT(Config!$G$1), MATCH($A64, INDIRECT(Config!$H$1), 0), MATCH(N$1, INDIRECT(Config!$I$1), 0)), "")</f>
        <v/>
      </c>
      <c r="O64" s="32" t="str">
        <f t="array" ref="O64">IFERROR(INDEX(INDIRECT(Config!$G$1), MATCH($A64, INDIRECT(Config!$H$1), 0), MATCH(O$1, INDIRECT(Config!$I$1), 0)), "")</f>
        <v/>
      </c>
      <c r="P64" s="35" t="str">
        <f t="array" ref="P64">IFERROR(INDEX(INDIRECT(Config!$G$1), MATCH($A64, INDIRECT(Config!$H$1), 0), MATCH(P$1, INDIRECT(Config!$I$1), 0)), "")</f>
        <v/>
      </c>
      <c r="Q64" s="32" t="str">
        <f t="array" ref="Q64">IFERROR(INDEX(INDIRECT(Config!$G$1), MATCH($A64, INDIRECT(Config!$H$1), 0), MATCH(Q$1, INDIRECT(Config!$I$1), 0)), "")</f>
        <v/>
      </c>
      <c r="R64" s="35" t="str">
        <f t="array" ref="R64">IFERROR(INDEX(INDIRECT(Config!$G$1), MATCH($A64, INDIRECT(Config!$H$1), 0), MATCH(R$1, INDIRECT(Config!$I$1), 0)), "")</f>
        <v/>
      </c>
      <c r="S64" s="32" t="str">
        <f t="array" ref="S64">IFERROR(INDEX(INDIRECT(Config!$G$1), MATCH($A64, INDIRECT(Config!$H$1), 0), MATCH(S$1, INDIRECT(Config!$I$1), 0)), "")</f>
        <v/>
      </c>
      <c r="T64" s="35" t="str">
        <f t="array" ref="T64">IFERROR(INDEX(INDIRECT(Config!$G$1), MATCH($A64, INDIRECT(Config!$H$1), 0), MATCH(T$1, INDIRECT(Config!$I$1), 0)), "")</f>
        <v/>
      </c>
      <c r="U64" s="32" t="str">
        <f t="array" ref="U64">IFERROR(INDEX(INDIRECT(Config!$G$1), MATCH($A64, INDIRECT(Config!$H$1), 0), MATCH(U$1, INDIRECT(Config!$I$1), 0)), "")</f>
        <v/>
      </c>
      <c r="V64" s="35" t="str">
        <f t="array" ref="V64">IFERROR(INDEX(INDIRECT(Config!$G$1), MATCH($A64, INDIRECT(Config!$H$1), 0), MATCH(V$1, INDIRECT(Config!$I$1), 0)), "")</f>
        <v/>
      </c>
      <c r="W64" s="32" t="str">
        <f t="array" ref="W64">IFERROR(INDEX(INDIRECT(Config!$G$1), MATCH($A64, INDIRECT(Config!$H$1), 0), MATCH(W$1, INDIRECT(Config!$I$1), 0)), "")</f>
        <v/>
      </c>
      <c r="X64" s="35" t="str">
        <f t="array" ref="X64">IFERROR(INDEX(INDIRECT(Config!$G$1), MATCH($A64, INDIRECT(Config!$H$1), 0), MATCH(X$1, INDIRECT(Config!$I$1), 0)), "")</f>
        <v/>
      </c>
      <c r="Y64" s="32" t="str">
        <f t="array" ref="Y64">IFERROR(INDEX(INDIRECT(Config!$G$1), MATCH($A64, INDIRECT(Config!$H$1), 0), MATCH(Y$1, INDIRECT(Config!$I$1), 0)), "")</f>
        <v/>
      </c>
      <c r="Z64" s="32" t="str">
        <f t="array" ref="Z64">IFERROR(INDEX(INDIRECT(Config!$G$1), MATCH($A64, INDIRECT(Config!$H$1), 0), MATCH(Z$1, INDIRECT(Config!$I$1), 0)), "")</f>
        <v/>
      </c>
      <c r="AA64" s="35" t="str">
        <f t="array" ref="AA64">IFERROR(INDEX(INDIRECT(Config!$G$1), MATCH($A64, INDIRECT(Config!$H$1), 0), MATCH(AA$1, INDIRECT(Config!$I$1), 0)), "")</f>
        <v/>
      </c>
      <c r="AB64" s="32" t="str">
        <f t="array" ref="AB64">IFERROR(INDEX(INDIRECT(Config!$G$1), MATCH($A64, INDIRECT(Config!$H$1), 0), MATCH(AB$1, INDIRECT(Config!$I$1), 0)), "")</f>
        <v/>
      </c>
      <c r="AC64" s="35" t="str">
        <f t="array" ref="AC64">IFERROR(INDEX(INDIRECT(Config!$G$1), MATCH($A64, INDIRECT(Config!$H$1), 0), MATCH(AC$1, INDIRECT(Config!$I$1), 0)), "")</f>
        <v/>
      </c>
      <c r="AD64" s="32" t="str">
        <f t="array" ref="AD64">IFERROR(INDEX(INDIRECT(Config!$G$1), MATCH($A64, INDIRECT(Config!$H$1), 0), MATCH(AD$1, INDIRECT(Config!$I$1), 0)), "")</f>
        <v/>
      </c>
      <c r="AE64" s="35" t="str">
        <f t="array" ref="AE64">IFERROR(INDEX(INDIRECT(Config!$G$1), MATCH($A64, INDIRECT(Config!$H$1), 0), MATCH(AE$1, INDIRECT(Config!$I$1), 0)), "")</f>
        <v/>
      </c>
      <c r="AF64" s="32" t="str">
        <f t="array" ref="AF64">IFERROR(INDEX(INDIRECT(Config!$G$1), MATCH($A64, INDIRECT(Config!$H$1), 0), MATCH(AF$1, INDIRECT(Config!$I$1), 0)), "")</f>
        <v/>
      </c>
      <c r="AG64" s="35" t="str">
        <f t="array" ref="AG64">IFERROR(INDEX(INDIRECT(Config!$G$1), MATCH($A64, INDIRECT(Config!$H$1), 0), MATCH(AG$1, INDIRECT(Config!$I$1), 0)), "")</f>
        <v/>
      </c>
      <c r="AH64" s="32" t="str">
        <f t="array" ref="AH64">IFERROR(INDEX(INDIRECT(Config!$G$1), MATCH($A64, INDIRECT(Config!$H$1), 0), MATCH(AH$1, INDIRECT(Config!$I$1), 0)), "")</f>
        <v/>
      </c>
      <c r="AI64" s="35" t="str">
        <f t="array" ref="AI64">IFERROR(INDEX(INDIRECT(Config!$G$1), MATCH($A64, INDIRECT(Config!$H$1), 0), MATCH(AI$1, INDIRECT(Config!$I$1), 0)), "")</f>
        <v/>
      </c>
      <c r="AJ64" s="32" t="str">
        <f t="array" ref="AJ64">IFERROR(INDEX(INDIRECT(Config!$G$1), MATCH($A64, INDIRECT(Config!$H$1), 0), MATCH(AJ$1, INDIRECT(Config!$I$1), 0)), "")</f>
        <v/>
      </c>
      <c r="AK64" s="35" t="str">
        <f t="array" ref="AK64">IFERROR(INDEX(INDIRECT(Config!$G$1), MATCH($A64, INDIRECT(Config!$H$1), 0), MATCH(AK$1, INDIRECT(Config!$I$1), 0)), "")</f>
        <v/>
      </c>
      <c r="AL64" s="32" t="str">
        <f t="array" ref="AL64">IFERROR(INDEX(INDIRECT(Config!$G$1), MATCH($A64, INDIRECT(Config!$H$1), 0), MATCH(AL$1, INDIRECT(Config!$I$1), 0)), "")</f>
        <v/>
      </c>
      <c r="AM64" s="35" t="str">
        <f t="array" ref="AM64">IFERROR(INDEX(INDIRECT(Config!$G$1), MATCH($A64, INDIRECT(Config!$H$1), 0), MATCH(AM$1, INDIRECT(Config!$I$1), 0)), "")</f>
        <v/>
      </c>
      <c r="AN64" s="32" t="str">
        <f t="array" ref="AN64">IFERROR(INDEX(INDIRECT(Config!$G$1), MATCH($A64, INDIRECT(Config!$H$1), 0), MATCH(AN$1, INDIRECT(Config!$I$1), 0)), "")</f>
        <v/>
      </c>
      <c r="AO64" s="35" t="str">
        <f t="array" ref="AO64">IFERROR(INDEX(INDIRECT(Config!$G$1), MATCH($A64, INDIRECT(Config!$H$1), 0), MATCH(AO$1, INDIRECT(Config!$I$1), 0)), "")</f>
        <v/>
      </c>
      <c r="AP64" s="32" t="str">
        <f t="array" ref="AP64">IFERROR(INDEX(INDIRECT(Config!$G$1), MATCH($A64, INDIRECT(Config!$H$1), 0), MATCH(AP$1, INDIRECT(Config!$I$1), 0)), "")</f>
        <v/>
      </c>
      <c r="AQ64" s="35" t="str">
        <f t="array" ref="AQ64">IFERROR(INDEX(INDIRECT(Config!$G$1), MATCH($A64, INDIRECT(Config!$H$1), 0), MATCH(AQ$1, INDIRECT(Config!$I$1), 0)), "")</f>
        <v/>
      </c>
      <c r="AR64" s="32" t="str">
        <f t="array" ref="AR64">IFERROR(INDEX(INDIRECT(Config!$G$1), MATCH($A64, INDIRECT(Config!$H$1), 0), MATCH(AR$1, INDIRECT(Config!$I$1), 0)), "")</f>
        <v/>
      </c>
      <c r="AS64" s="35" t="str">
        <f t="array" ref="AS64">IFERROR(INDEX(INDIRECT(Config!$G$1), MATCH($A64, INDIRECT(Config!$H$1), 0), MATCH(AS$1, INDIRECT(Config!$I$1), 0)), "")</f>
        <v/>
      </c>
      <c r="AT64" s="32" t="str">
        <f t="array" ref="AT64">IFERROR(INDEX(INDIRECT(Config!$G$1), MATCH($A64, INDIRECT(Config!$H$1), 0), MATCH(AT$1, INDIRECT(Config!$I$1), 0)), "")</f>
        <v/>
      </c>
      <c r="AU64" s="35" t="str">
        <f t="array" ref="AU64">IFERROR(INDEX(INDIRECT(Config!$G$1), MATCH($A64, INDIRECT(Config!$H$1), 0), MATCH(AU$1, INDIRECT(Config!$I$1), 0)), "")</f>
        <v/>
      </c>
      <c r="AV64" s="32" t="str">
        <f t="array" ref="AV64">IFERROR(INDEX(INDIRECT(Config!$G$1), MATCH($A64, INDIRECT(Config!$H$1), 0), MATCH(AV$1, INDIRECT(Config!$I$1), 0)), "")</f>
        <v/>
      </c>
      <c r="AW64" s="35"/>
      <c r="AX64" s="32"/>
      <c r="AY64" s="35"/>
    </row>
    <row r="65" ht="15.75" customHeight="1">
      <c r="A65" s="12" t="str">
        <f>Menus!B26</f>
        <v/>
      </c>
      <c r="B65" s="51">
        <f t="shared" si="7"/>
        <v>0</v>
      </c>
      <c r="C65" s="33" t="str">
        <f t="array" ref="C65">IFERROR(INDEX(INDIRECT(Config!$G$1), MATCH($A65, INDIRECT(Config!$H$1), 0), MATCH(C$1, INDIRECT(Config!$I$1), 0)), "")</f>
        <v/>
      </c>
      <c r="D65" s="34" t="str">
        <f t="array" ref="D65">IFERROR(INDEX(INDIRECT(Config!$G$1), MATCH($A65, INDIRECT(Config!$H$1), 0), MATCH(D$1, INDIRECT(Config!$I$1), 0)), "")</f>
        <v/>
      </c>
      <c r="E65" s="32" t="str">
        <f t="array" ref="E65">IFERROR(INDEX(INDIRECT(Config!$G$1), MATCH($A65, INDIRECT(Config!$H$1), 0), MATCH(E$1, INDIRECT(Config!$I$1), 0)), "")</f>
        <v/>
      </c>
      <c r="F65" s="35" t="str">
        <f t="array" ref="F65">IFERROR(INDEX(INDIRECT(Config!$G$1), MATCH($A65, INDIRECT(Config!$H$1), 0), MATCH(F$1, INDIRECT(Config!$I$1), 0)), "")</f>
        <v/>
      </c>
      <c r="G65" s="32" t="str">
        <f t="array" ref="G65">IFERROR(INDEX(INDIRECT(Config!$G$1), MATCH($A65, INDIRECT(Config!$H$1), 0), MATCH(G$1, INDIRECT(Config!$I$1), 0)), "")</f>
        <v/>
      </c>
      <c r="H65" s="35" t="str">
        <f t="array" ref="H65">IFERROR(INDEX(INDIRECT(Config!$G$1), MATCH($A65, INDIRECT(Config!$H$1), 0), MATCH(H$1, INDIRECT(Config!$I$1), 0)), "")</f>
        <v/>
      </c>
      <c r="I65" s="32" t="str">
        <f t="array" ref="I65">IFERROR(INDEX(INDIRECT(Config!$G$1), MATCH($A65, INDIRECT(Config!$H$1), 0), MATCH(I$1, INDIRECT(Config!$I$1), 0)), "")</f>
        <v/>
      </c>
      <c r="J65" s="35" t="str">
        <f t="array" ref="J65">IFERROR(INDEX(INDIRECT(Config!$G$1), MATCH($A65, INDIRECT(Config!$H$1), 0), MATCH(J$1, INDIRECT(Config!$I$1), 0)), "")</f>
        <v/>
      </c>
      <c r="K65" s="32" t="str">
        <f t="array" ref="K65">IFERROR(INDEX(INDIRECT(Config!$G$1), MATCH($A65, INDIRECT(Config!$H$1), 0), MATCH(K$1, INDIRECT(Config!$I$1), 0)), "")</f>
        <v/>
      </c>
      <c r="L65" s="35" t="str">
        <f t="array" ref="L65">IFERROR(INDEX(INDIRECT(Config!$G$1), MATCH($A65, INDIRECT(Config!$H$1), 0), MATCH(L$1, INDIRECT(Config!$I$1), 0)), "")</f>
        <v/>
      </c>
      <c r="M65" s="32" t="str">
        <f t="array" ref="M65">IFERROR(INDEX(INDIRECT(Config!$G$1), MATCH($A65, INDIRECT(Config!$H$1), 0), MATCH(M$1, INDIRECT(Config!$I$1), 0)), "")</f>
        <v/>
      </c>
      <c r="N65" s="35" t="str">
        <f t="array" ref="N65">IFERROR(INDEX(INDIRECT(Config!$G$1), MATCH($A65, INDIRECT(Config!$H$1), 0), MATCH(N$1, INDIRECT(Config!$I$1), 0)), "")</f>
        <v/>
      </c>
      <c r="O65" s="32" t="str">
        <f t="array" ref="O65">IFERROR(INDEX(INDIRECT(Config!$G$1), MATCH($A65, INDIRECT(Config!$H$1), 0), MATCH(O$1, INDIRECT(Config!$I$1), 0)), "")</f>
        <v/>
      </c>
      <c r="P65" s="35" t="str">
        <f t="array" ref="P65">IFERROR(INDEX(INDIRECT(Config!$G$1), MATCH($A65, INDIRECT(Config!$H$1), 0), MATCH(P$1, INDIRECT(Config!$I$1), 0)), "")</f>
        <v/>
      </c>
      <c r="Q65" s="32" t="str">
        <f t="array" ref="Q65">IFERROR(INDEX(INDIRECT(Config!$G$1), MATCH($A65, INDIRECT(Config!$H$1), 0), MATCH(Q$1, INDIRECT(Config!$I$1), 0)), "")</f>
        <v/>
      </c>
      <c r="R65" s="35" t="str">
        <f t="array" ref="R65">IFERROR(INDEX(INDIRECT(Config!$G$1), MATCH($A65, INDIRECT(Config!$H$1), 0), MATCH(R$1, INDIRECT(Config!$I$1), 0)), "")</f>
        <v/>
      </c>
      <c r="S65" s="32" t="str">
        <f t="array" ref="S65">IFERROR(INDEX(INDIRECT(Config!$G$1), MATCH($A65, INDIRECT(Config!$H$1), 0), MATCH(S$1, INDIRECT(Config!$I$1), 0)), "")</f>
        <v/>
      </c>
      <c r="T65" s="35" t="str">
        <f t="array" ref="T65">IFERROR(INDEX(INDIRECT(Config!$G$1), MATCH($A65, INDIRECT(Config!$H$1), 0), MATCH(T$1, INDIRECT(Config!$I$1), 0)), "")</f>
        <v/>
      </c>
      <c r="U65" s="32" t="str">
        <f t="array" ref="U65">IFERROR(INDEX(INDIRECT(Config!$G$1), MATCH($A65, INDIRECT(Config!$H$1), 0), MATCH(U$1, INDIRECT(Config!$I$1), 0)), "")</f>
        <v/>
      </c>
      <c r="V65" s="35" t="str">
        <f t="array" ref="V65">IFERROR(INDEX(INDIRECT(Config!$G$1), MATCH($A65, INDIRECT(Config!$H$1), 0), MATCH(V$1, INDIRECT(Config!$I$1), 0)), "")</f>
        <v/>
      </c>
      <c r="W65" s="32" t="str">
        <f t="array" ref="W65">IFERROR(INDEX(INDIRECT(Config!$G$1), MATCH($A65, INDIRECT(Config!$H$1), 0), MATCH(W$1, INDIRECT(Config!$I$1), 0)), "")</f>
        <v/>
      </c>
      <c r="X65" s="35" t="str">
        <f t="array" ref="X65">IFERROR(INDEX(INDIRECT(Config!$G$1), MATCH($A65, INDIRECT(Config!$H$1), 0), MATCH(X$1, INDIRECT(Config!$I$1), 0)), "")</f>
        <v/>
      </c>
      <c r="Y65" s="32" t="str">
        <f t="array" ref="Y65">IFERROR(INDEX(INDIRECT(Config!$G$1), MATCH($A65, INDIRECT(Config!$H$1), 0), MATCH(Y$1, INDIRECT(Config!$I$1), 0)), "")</f>
        <v/>
      </c>
      <c r="Z65" s="32" t="str">
        <f t="array" ref="Z65">IFERROR(INDEX(INDIRECT(Config!$G$1), MATCH($A65, INDIRECT(Config!$H$1), 0), MATCH(Z$1, INDIRECT(Config!$I$1), 0)), "")</f>
        <v/>
      </c>
      <c r="AA65" s="35" t="str">
        <f t="array" ref="AA65">IFERROR(INDEX(INDIRECT(Config!$G$1), MATCH($A65, INDIRECT(Config!$H$1), 0), MATCH(AA$1, INDIRECT(Config!$I$1), 0)), "")</f>
        <v/>
      </c>
      <c r="AB65" s="32" t="str">
        <f t="array" ref="AB65">IFERROR(INDEX(INDIRECT(Config!$G$1), MATCH($A65, INDIRECT(Config!$H$1), 0), MATCH(AB$1, INDIRECT(Config!$I$1), 0)), "")</f>
        <v/>
      </c>
      <c r="AC65" s="35" t="str">
        <f t="array" ref="AC65">IFERROR(INDEX(INDIRECT(Config!$G$1), MATCH($A65, INDIRECT(Config!$H$1), 0), MATCH(AC$1, INDIRECT(Config!$I$1), 0)), "")</f>
        <v/>
      </c>
      <c r="AD65" s="32" t="str">
        <f t="array" ref="AD65">IFERROR(INDEX(INDIRECT(Config!$G$1), MATCH($A65, INDIRECT(Config!$H$1), 0), MATCH(AD$1, INDIRECT(Config!$I$1), 0)), "")</f>
        <v/>
      </c>
      <c r="AE65" s="35" t="str">
        <f t="array" ref="AE65">IFERROR(INDEX(INDIRECT(Config!$G$1), MATCH($A65, INDIRECT(Config!$H$1), 0), MATCH(AE$1, INDIRECT(Config!$I$1), 0)), "")</f>
        <v/>
      </c>
      <c r="AF65" s="32" t="str">
        <f t="array" ref="AF65">IFERROR(INDEX(INDIRECT(Config!$G$1), MATCH($A65, INDIRECT(Config!$H$1), 0), MATCH(AF$1, INDIRECT(Config!$I$1), 0)), "")</f>
        <v/>
      </c>
      <c r="AG65" s="35" t="str">
        <f t="array" ref="AG65">IFERROR(INDEX(INDIRECT(Config!$G$1), MATCH($A65, INDIRECT(Config!$H$1), 0), MATCH(AG$1, INDIRECT(Config!$I$1), 0)), "")</f>
        <v/>
      </c>
      <c r="AH65" s="32" t="str">
        <f t="array" ref="AH65">IFERROR(INDEX(INDIRECT(Config!$G$1), MATCH($A65, INDIRECT(Config!$H$1), 0), MATCH(AH$1, INDIRECT(Config!$I$1), 0)), "")</f>
        <v/>
      </c>
      <c r="AI65" s="35" t="str">
        <f t="array" ref="AI65">IFERROR(INDEX(INDIRECT(Config!$G$1), MATCH($A65, INDIRECT(Config!$H$1), 0), MATCH(AI$1, INDIRECT(Config!$I$1), 0)), "")</f>
        <v/>
      </c>
      <c r="AJ65" s="32" t="str">
        <f t="array" ref="AJ65">IFERROR(INDEX(INDIRECT(Config!$G$1), MATCH($A65, INDIRECT(Config!$H$1), 0), MATCH(AJ$1, INDIRECT(Config!$I$1), 0)), "")</f>
        <v/>
      </c>
      <c r="AK65" s="35" t="str">
        <f t="array" ref="AK65">IFERROR(INDEX(INDIRECT(Config!$G$1), MATCH($A65, INDIRECT(Config!$H$1), 0), MATCH(AK$1, INDIRECT(Config!$I$1), 0)), "")</f>
        <v/>
      </c>
      <c r="AL65" s="32" t="str">
        <f t="array" ref="AL65">IFERROR(INDEX(INDIRECT(Config!$G$1), MATCH($A65, INDIRECT(Config!$H$1), 0), MATCH(AL$1, INDIRECT(Config!$I$1), 0)), "")</f>
        <v/>
      </c>
      <c r="AM65" s="35" t="str">
        <f t="array" ref="AM65">IFERROR(INDEX(INDIRECT(Config!$G$1), MATCH($A65, INDIRECT(Config!$H$1), 0), MATCH(AM$1, INDIRECT(Config!$I$1), 0)), "")</f>
        <v/>
      </c>
      <c r="AN65" s="32" t="str">
        <f t="array" ref="AN65">IFERROR(INDEX(INDIRECT(Config!$G$1), MATCH($A65, INDIRECT(Config!$H$1), 0), MATCH(AN$1, INDIRECT(Config!$I$1), 0)), "")</f>
        <v/>
      </c>
      <c r="AO65" s="35" t="str">
        <f t="array" ref="AO65">IFERROR(INDEX(INDIRECT(Config!$G$1), MATCH($A65, INDIRECT(Config!$H$1), 0), MATCH(AO$1, INDIRECT(Config!$I$1), 0)), "")</f>
        <v/>
      </c>
      <c r="AP65" s="32" t="str">
        <f t="array" ref="AP65">IFERROR(INDEX(INDIRECT(Config!$G$1), MATCH($A65, INDIRECT(Config!$H$1), 0), MATCH(AP$1, INDIRECT(Config!$I$1), 0)), "")</f>
        <v/>
      </c>
      <c r="AQ65" s="35" t="str">
        <f t="array" ref="AQ65">IFERROR(INDEX(INDIRECT(Config!$G$1), MATCH($A65, INDIRECT(Config!$H$1), 0), MATCH(AQ$1, INDIRECT(Config!$I$1), 0)), "")</f>
        <v/>
      </c>
      <c r="AR65" s="32" t="str">
        <f t="array" ref="AR65">IFERROR(INDEX(INDIRECT(Config!$G$1), MATCH($A65, INDIRECT(Config!$H$1), 0), MATCH(AR$1, INDIRECT(Config!$I$1), 0)), "")</f>
        <v/>
      </c>
      <c r="AS65" s="35" t="str">
        <f t="array" ref="AS65">IFERROR(INDEX(INDIRECT(Config!$G$1), MATCH($A65, INDIRECT(Config!$H$1), 0), MATCH(AS$1, INDIRECT(Config!$I$1), 0)), "")</f>
        <v/>
      </c>
      <c r="AT65" s="32" t="str">
        <f t="array" ref="AT65">IFERROR(INDEX(INDIRECT(Config!$G$1), MATCH($A65, INDIRECT(Config!$H$1), 0), MATCH(AT$1, INDIRECT(Config!$I$1), 0)), "")</f>
        <v/>
      </c>
      <c r="AU65" s="35" t="str">
        <f t="array" ref="AU65">IFERROR(INDEX(INDIRECT(Config!$G$1), MATCH($A65, INDIRECT(Config!$H$1), 0), MATCH(AU$1, INDIRECT(Config!$I$1), 0)), "")</f>
        <v/>
      </c>
      <c r="AV65" s="32" t="str">
        <f t="array" ref="AV65">IFERROR(INDEX(INDIRECT(Config!$G$1), MATCH($A65, INDIRECT(Config!$H$1), 0), MATCH(AV$1, INDIRECT(Config!$I$1), 0)), "")</f>
        <v/>
      </c>
      <c r="AW65" s="35"/>
      <c r="AX65" s="32"/>
      <c r="AY65" s="35"/>
    </row>
    <row r="66" ht="15.75" customHeight="1">
      <c r="A66" s="12" t="str">
        <f>Menus!B27</f>
        <v/>
      </c>
      <c r="B66" s="51">
        <f t="shared" si="7"/>
        <v>0</v>
      </c>
      <c r="C66" s="33" t="str">
        <f t="array" ref="C66">IFERROR(INDEX(INDIRECT(Config!$G$1), MATCH($A66, INDIRECT(Config!$H$1), 0), MATCH(C$1, INDIRECT(Config!$I$1), 0)), "")</f>
        <v/>
      </c>
      <c r="D66" s="34" t="str">
        <f t="array" ref="D66">IFERROR(INDEX(INDIRECT(Config!$G$1), MATCH($A66, INDIRECT(Config!$H$1), 0), MATCH(D$1, INDIRECT(Config!$I$1), 0)), "")</f>
        <v/>
      </c>
      <c r="E66" s="32" t="str">
        <f t="array" ref="E66">IFERROR(INDEX(INDIRECT(Config!$G$1), MATCH($A66, INDIRECT(Config!$H$1), 0), MATCH(E$1, INDIRECT(Config!$I$1), 0)), "")</f>
        <v/>
      </c>
      <c r="F66" s="35" t="str">
        <f t="array" ref="F66">IFERROR(INDEX(INDIRECT(Config!$G$1), MATCH($A66, INDIRECT(Config!$H$1), 0), MATCH(F$1, INDIRECT(Config!$I$1), 0)), "")</f>
        <v/>
      </c>
      <c r="G66" s="32" t="str">
        <f t="array" ref="G66">IFERROR(INDEX(INDIRECT(Config!$G$1), MATCH($A66, INDIRECT(Config!$H$1), 0), MATCH(G$1, INDIRECT(Config!$I$1), 0)), "")</f>
        <v/>
      </c>
      <c r="H66" s="35" t="str">
        <f t="array" ref="H66">IFERROR(INDEX(INDIRECT(Config!$G$1), MATCH($A66, INDIRECT(Config!$H$1), 0), MATCH(H$1, INDIRECT(Config!$I$1), 0)), "")</f>
        <v/>
      </c>
      <c r="I66" s="32" t="str">
        <f t="array" ref="I66">IFERROR(INDEX(INDIRECT(Config!$G$1), MATCH($A66, INDIRECT(Config!$H$1), 0), MATCH(I$1, INDIRECT(Config!$I$1), 0)), "")</f>
        <v/>
      </c>
      <c r="J66" s="35" t="str">
        <f t="array" ref="J66">IFERROR(INDEX(INDIRECT(Config!$G$1), MATCH($A66, INDIRECT(Config!$H$1), 0), MATCH(J$1, INDIRECT(Config!$I$1), 0)), "")</f>
        <v/>
      </c>
      <c r="K66" s="32" t="str">
        <f t="array" ref="K66">IFERROR(INDEX(INDIRECT(Config!$G$1), MATCH($A66, INDIRECT(Config!$H$1), 0), MATCH(K$1, INDIRECT(Config!$I$1), 0)), "")</f>
        <v/>
      </c>
      <c r="L66" s="35" t="str">
        <f t="array" ref="L66">IFERROR(INDEX(INDIRECT(Config!$G$1), MATCH($A66, INDIRECT(Config!$H$1), 0), MATCH(L$1, INDIRECT(Config!$I$1), 0)), "")</f>
        <v/>
      </c>
      <c r="M66" s="32" t="str">
        <f t="array" ref="M66">IFERROR(INDEX(INDIRECT(Config!$G$1), MATCH($A66, INDIRECT(Config!$H$1), 0), MATCH(M$1, INDIRECT(Config!$I$1), 0)), "")</f>
        <v/>
      </c>
      <c r="N66" s="35" t="str">
        <f t="array" ref="N66">IFERROR(INDEX(INDIRECT(Config!$G$1), MATCH($A66, INDIRECT(Config!$H$1), 0), MATCH(N$1, INDIRECT(Config!$I$1), 0)), "")</f>
        <v/>
      </c>
      <c r="O66" s="32" t="str">
        <f t="array" ref="O66">IFERROR(INDEX(INDIRECT(Config!$G$1), MATCH($A66, INDIRECT(Config!$H$1), 0), MATCH(O$1, INDIRECT(Config!$I$1), 0)), "")</f>
        <v/>
      </c>
      <c r="P66" s="35" t="str">
        <f t="array" ref="P66">IFERROR(INDEX(INDIRECT(Config!$G$1), MATCH($A66, INDIRECT(Config!$H$1), 0), MATCH(P$1, INDIRECT(Config!$I$1), 0)), "")</f>
        <v/>
      </c>
      <c r="Q66" s="32" t="str">
        <f t="array" ref="Q66">IFERROR(INDEX(INDIRECT(Config!$G$1), MATCH($A66, INDIRECT(Config!$H$1), 0), MATCH(Q$1, INDIRECT(Config!$I$1), 0)), "")</f>
        <v/>
      </c>
      <c r="R66" s="35" t="str">
        <f t="array" ref="R66">IFERROR(INDEX(INDIRECT(Config!$G$1), MATCH($A66, INDIRECT(Config!$H$1), 0), MATCH(R$1, INDIRECT(Config!$I$1), 0)), "")</f>
        <v/>
      </c>
      <c r="S66" s="32" t="str">
        <f t="array" ref="S66">IFERROR(INDEX(INDIRECT(Config!$G$1), MATCH($A66, INDIRECT(Config!$H$1), 0), MATCH(S$1, INDIRECT(Config!$I$1), 0)), "")</f>
        <v/>
      </c>
      <c r="T66" s="35" t="str">
        <f t="array" ref="T66">IFERROR(INDEX(INDIRECT(Config!$G$1), MATCH($A66, INDIRECT(Config!$H$1), 0), MATCH(T$1, INDIRECT(Config!$I$1), 0)), "")</f>
        <v/>
      </c>
      <c r="U66" s="32" t="str">
        <f t="array" ref="U66">IFERROR(INDEX(INDIRECT(Config!$G$1), MATCH($A66, INDIRECT(Config!$H$1), 0), MATCH(U$1, INDIRECT(Config!$I$1), 0)), "")</f>
        <v/>
      </c>
      <c r="V66" s="35" t="str">
        <f t="array" ref="V66">IFERROR(INDEX(INDIRECT(Config!$G$1), MATCH($A66, INDIRECT(Config!$H$1), 0), MATCH(V$1, INDIRECT(Config!$I$1), 0)), "")</f>
        <v/>
      </c>
      <c r="W66" s="32" t="str">
        <f t="array" ref="W66">IFERROR(INDEX(INDIRECT(Config!$G$1), MATCH($A66, INDIRECT(Config!$H$1), 0), MATCH(W$1, INDIRECT(Config!$I$1), 0)), "")</f>
        <v/>
      </c>
      <c r="X66" s="35" t="str">
        <f t="array" ref="X66">IFERROR(INDEX(INDIRECT(Config!$G$1), MATCH($A66, INDIRECT(Config!$H$1), 0), MATCH(X$1, INDIRECT(Config!$I$1), 0)), "")</f>
        <v/>
      </c>
      <c r="Y66" s="32" t="str">
        <f t="array" ref="Y66">IFERROR(INDEX(INDIRECT(Config!$G$1), MATCH($A66, INDIRECT(Config!$H$1), 0), MATCH(Y$1, INDIRECT(Config!$I$1), 0)), "")</f>
        <v/>
      </c>
      <c r="Z66" s="32" t="str">
        <f t="array" ref="Z66">IFERROR(INDEX(INDIRECT(Config!$G$1), MATCH($A66, INDIRECT(Config!$H$1), 0), MATCH(Z$1, INDIRECT(Config!$I$1), 0)), "")</f>
        <v/>
      </c>
      <c r="AA66" s="35" t="str">
        <f t="array" ref="AA66">IFERROR(INDEX(INDIRECT(Config!$G$1), MATCH($A66, INDIRECT(Config!$H$1), 0), MATCH(AA$1, INDIRECT(Config!$I$1), 0)), "")</f>
        <v/>
      </c>
      <c r="AB66" s="32" t="str">
        <f t="array" ref="AB66">IFERROR(INDEX(INDIRECT(Config!$G$1), MATCH($A66, INDIRECT(Config!$H$1), 0), MATCH(AB$1, INDIRECT(Config!$I$1), 0)), "")</f>
        <v/>
      </c>
      <c r="AC66" s="35" t="str">
        <f t="array" ref="AC66">IFERROR(INDEX(INDIRECT(Config!$G$1), MATCH($A66, INDIRECT(Config!$H$1), 0), MATCH(AC$1, INDIRECT(Config!$I$1), 0)), "")</f>
        <v/>
      </c>
      <c r="AD66" s="32" t="str">
        <f t="array" ref="AD66">IFERROR(INDEX(INDIRECT(Config!$G$1), MATCH($A66, INDIRECT(Config!$H$1), 0), MATCH(AD$1, INDIRECT(Config!$I$1), 0)), "")</f>
        <v/>
      </c>
      <c r="AE66" s="35" t="str">
        <f t="array" ref="AE66">IFERROR(INDEX(INDIRECT(Config!$G$1), MATCH($A66, INDIRECT(Config!$H$1), 0), MATCH(AE$1, INDIRECT(Config!$I$1), 0)), "")</f>
        <v/>
      </c>
      <c r="AF66" s="32" t="str">
        <f t="array" ref="AF66">IFERROR(INDEX(INDIRECT(Config!$G$1), MATCH($A66, INDIRECT(Config!$H$1), 0), MATCH(AF$1, INDIRECT(Config!$I$1), 0)), "")</f>
        <v/>
      </c>
      <c r="AG66" s="35" t="str">
        <f t="array" ref="AG66">IFERROR(INDEX(INDIRECT(Config!$G$1), MATCH($A66, INDIRECT(Config!$H$1), 0), MATCH(AG$1, INDIRECT(Config!$I$1), 0)), "")</f>
        <v/>
      </c>
      <c r="AH66" s="32" t="str">
        <f t="array" ref="AH66">IFERROR(INDEX(INDIRECT(Config!$G$1), MATCH($A66, INDIRECT(Config!$H$1), 0), MATCH(AH$1, INDIRECT(Config!$I$1), 0)), "")</f>
        <v/>
      </c>
      <c r="AI66" s="35" t="str">
        <f t="array" ref="AI66">IFERROR(INDEX(INDIRECT(Config!$G$1), MATCH($A66, INDIRECT(Config!$H$1), 0), MATCH(AI$1, INDIRECT(Config!$I$1), 0)), "")</f>
        <v/>
      </c>
      <c r="AJ66" s="32" t="str">
        <f t="array" ref="AJ66">IFERROR(INDEX(INDIRECT(Config!$G$1), MATCH($A66, INDIRECT(Config!$H$1), 0), MATCH(AJ$1, INDIRECT(Config!$I$1), 0)), "")</f>
        <v/>
      </c>
      <c r="AK66" s="35" t="str">
        <f t="array" ref="AK66">IFERROR(INDEX(INDIRECT(Config!$G$1), MATCH($A66, INDIRECT(Config!$H$1), 0), MATCH(AK$1, INDIRECT(Config!$I$1), 0)), "")</f>
        <v/>
      </c>
      <c r="AL66" s="32" t="str">
        <f t="array" ref="AL66">IFERROR(INDEX(INDIRECT(Config!$G$1), MATCH($A66, INDIRECT(Config!$H$1), 0), MATCH(AL$1, INDIRECT(Config!$I$1), 0)), "")</f>
        <v/>
      </c>
      <c r="AM66" s="35" t="str">
        <f t="array" ref="AM66">IFERROR(INDEX(INDIRECT(Config!$G$1), MATCH($A66, INDIRECT(Config!$H$1), 0), MATCH(AM$1, INDIRECT(Config!$I$1), 0)), "")</f>
        <v/>
      </c>
      <c r="AN66" s="32" t="str">
        <f t="array" ref="AN66">IFERROR(INDEX(INDIRECT(Config!$G$1), MATCH($A66, INDIRECT(Config!$H$1), 0), MATCH(AN$1, INDIRECT(Config!$I$1), 0)), "")</f>
        <v/>
      </c>
      <c r="AO66" s="35" t="str">
        <f t="array" ref="AO66">IFERROR(INDEX(INDIRECT(Config!$G$1), MATCH($A66, INDIRECT(Config!$H$1), 0), MATCH(AO$1, INDIRECT(Config!$I$1), 0)), "")</f>
        <v/>
      </c>
      <c r="AP66" s="32" t="str">
        <f t="array" ref="AP66">IFERROR(INDEX(INDIRECT(Config!$G$1), MATCH($A66, INDIRECT(Config!$H$1), 0), MATCH(AP$1, INDIRECT(Config!$I$1), 0)), "")</f>
        <v/>
      </c>
      <c r="AQ66" s="35" t="str">
        <f t="array" ref="AQ66">IFERROR(INDEX(INDIRECT(Config!$G$1), MATCH($A66, INDIRECT(Config!$H$1), 0), MATCH(AQ$1, INDIRECT(Config!$I$1), 0)), "")</f>
        <v/>
      </c>
      <c r="AR66" s="32" t="str">
        <f t="array" ref="AR66">IFERROR(INDEX(INDIRECT(Config!$G$1), MATCH($A66, INDIRECT(Config!$H$1), 0), MATCH(AR$1, INDIRECT(Config!$I$1), 0)), "")</f>
        <v/>
      </c>
      <c r="AS66" s="35" t="str">
        <f t="array" ref="AS66">IFERROR(INDEX(INDIRECT(Config!$G$1), MATCH($A66, INDIRECT(Config!$H$1), 0), MATCH(AS$1, INDIRECT(Config!$I$1), 0)), "")</f>
        <v/>
      </c>
      <c r="AT66" s="32" t="str">
        <f t="array" ref="AT66">IFERROR(INDEX(INDIRECT(Config!$G$1), MATCH($A66, INDIRECT(Config!$H$1), 0), MATCH(AT$1, INDIRECT(Config!$I$1), 0)), "")</f>
        <v/>
      </c>
      <c r="AU66" s="35" t="str">
        <f t="array" ref="AU66">IFERROR(INDEX(INDIRECT(Config!$G$1), MATCH($A66, INDIRECT(Config!$H$1), 0), MATCH(AU$1, INDIRECT(Config!$I$1), 0)), "")</f>
        <v/>
      </c>
      <c r="AV66" s="32" t="str">
        <f t="array" ref="AV66">IFERROR(INDEX(INDIRECT(Config!$G$1), MATCH($A66, INDIRECT(Config!$H$1), 0), MATCH(AV$1, INDIRECT(Config!$I$1), 0)), "")</f>
        <v/>
      </c>
      <c r="AW66" s="35"/>
      <c r="AX66" s="32"/>
      <c r="AY66" s="35"/>
    </row>
    <row r="67" ht="15.75" customHeight="1">
      <c r="A67" s="12" t="str">
        <f>Menus!B28</f>
        <v/>
      </c>
      <c r="B67" s="51">
        <f t="shared" si="7"/>
        <v>0</v>
      </c>
      <c r="C67" s="33" t="str">
        <f t="array" ref="C67">IFERROR(INDEX(INDIRECT(Config!$G$1), MATCH($A67, INDIRECT(Config!$H$1), 0), MATCH(C$1, INDIRECT(Config!$I$1), 0)), "")</f>
        <v/>
      </c>
      <c r="D67" s="34" t="str">
        <f t="array" ref="D67">IFERROR(INDEX(INDIRECT(Config!$G$1), MATCH($A67, INDIRECT(Config!$H$1), 0), MATCH(D$1, INDIRECT(Config!$I$1), 0)), "")</f>
        <v/>
      </c>
      <c r="E67" s="32" t="str">
        <f t="array" ref="E67">IFERROR(INDEX(INDIRECT(Config!$G$1), MATCH($A67, INDIRECT(Config!$H$1), 0), MATCH(E$1, INDIRECT(Config!$I$1), 0)), "")</f>
        <v/>
      </c>
      <c r="F67" s="35" t="str">
        <f t="array" ref="F67">IFERROR(INDEX(INDIRECT(Config!$G$1), MATCH($A67, INDIRECT(Config!$H$1), 0), MATCH(F$1, INDIRECT(Config!$I$1), 0)), "")</f>
        <v/>
      </c>
      <c r="G67" s="32" t="str">
        <f t="array" ref="G67">IFERROR(INDEX(INDIRECT(Config!$G$1), MATCH($A67, INDIRECT(Config!$H$1), 0), MATCH(G$1, INDIRECT(Config!$I$1), 0)), "")</f>
        <v/>
      </c>
      <c r="H67" s="35" t="str">
        <f t="array" ref="H67">IFERROR(INDEX(INDIRECT(Config!$G$1), MATCH($A67, INDIRECT(Config!$H$1), 0), MATCH(H$1, INDIRECT(Config!$I$1), 0)), "")</f>
        <v/>
      </c>
      <c r="I67" s="32" t="str">
        <f t="array" ref="I67">IFERROR(INDEX(INDIRECT(Config!$G$1), MATCH($A67, INDIRECT(Config!$H$1), 0), MATCH(I$1, INDIRECT(Config!$I$1), 0)), "")</f>
        <v/>
      </c>
      <c r="J67" s="35" t="str">
        <f t="array" ref="J67">IFERROR(INDEX(INDIRECT(Config!$G$1), MATCH($A67, INDIRECT(Config!$H$1), 0), MATCH(J$1, INDIRECT(Config!$I$1), 0)), "")</f>
        <v/>
      </c>
      <c r="K67" s="32" t="str">
        <f t="array" ref="K67">IFERROR(INDEX(INDIRECT(Config!$G$1), MATCH($A67, INDIRECT(Config!$H$1), 0), MATCH(K$1, INDIRECT(Config!$I$1), 0)), "")</f>
        <v/>
      </c>
      <c r="L67" s="35" t="str">
        <f t="array" ref="L67">IFERROR(INDEX(INDIRECT(Config!$G$1), MATCH($A67, INDIRECT(Config!$H$1), 0), MATCH(L$1, INDIRECT(Config!$I$1), 0)), "")</f>
        <v/>
      </c>
      <c r="M67" s="32" t="str">
        <f t="array" ref="M67">IFERROR(INDEX(INDIRECT(Config!$G$1), MATCH($A67, INDIRECT(Config!$H$1), 0), MATCH(M$1, INDIRECT(Config!$I$1), 0)), "")</f>
        <v/>
      </c>
      <c r="N67" s="35" t="str">
        <f t="array" ref="N67">IFERROR(INDEX(INDIRECT(Config!$G$1), MATCH($A67, INDIRECT(Config!$H$1), 0), MATCH(N$1, INDIRECT(Config!$I$1), 0)), "")</f>
        <v/>
      </c>
      <c r="O67" s="32" t="str">
        <f t="array" ref="O67">IFERROR(INDEX(INDIRECT(Config!$G$1), MATCH($A67, INDIRECT(Config!$H$1), 0), MATCH(O$1, INDIRECT(Config!$I$1), 0)), "")</f>
        <v/>
      </c>
      <c r="P67" s="35" t="str">
        <f t="array" ref="P67">IFERROR(INDEX(INDIRECT(Config!$G$1), MATCH($A67, INDIRECT(Config!$H$1), 0), MATCH(P$1, INDIRECT(Config!$I$1), 0)), "")</f>
        <v/>
      </c>
      <c r="Q67" s="32" t="str">
        <f t="array" ref="Q67">IFERROR(INDEX(INDIRECT(Config!$G$1), MATCH($A67, INDIRECT(Config!$H$1), 0), MATCH(Q$1, INDIRECT(Config!$I$1), 0)), "")</f>
        <v/>
      </c>
      <c r="R67" s="35" t="str">
        <f t="array" ref="R67">IFERROR(INDEX(INDIRECT(Config!$G$1), MATCH($A67, INDIRECT(Config!$H$1), 0), MATCH(R$1, INDIRECT(Config!$I$1), 0)), "")</f>
        <v/>
      </c>
      <c r="S67" s="32" t="str">
        <f t="array" ref="S67">IFERROR(INDEX(INDIRECT(Config!$G$1), MATCH($A67, INDIRECT(Config!$H$1), 0), MATCH(S$1, INDIRECT(Config!$I$1), 0)), "")</f>
        <v/>
      </c>
      <c r="T67" s="35" t="str">
        <f t="array" ref="T67">IFERROR(INDEX(INDIRECT(Config!$G$1), MATCH($A67, INDIRECT(Config!$H$1), 0), MATCH(T$1, INDIRECT(Config!$I$1), 0)), "")</f>
        <v/>
      </c>
      <c r="U67" s="32" t="str">
        <f t="array" ref="U67">IFERROR(INDEX(INDIRECT(Config!$G$1), MATCH($A67, INDIRECT(Config!$H$1), 0), MATCH(U$1, INDIRECT(Config!$I$1), 0)), "")</f>
        <v/>
      </c>
      <c r="V67" s="35" t="str">
        <f t="array" ref="V67">IFERROR(INDEX(INDIRECT(Config!$G$1), MATCH($A67, INDIRECT(Config!$H$1), 0), MATCH(V$1, INDIRECT(Config!$I$1), 0)), "")</f>
        <v/>
      </c>
      <c r="W67" s="32" t="str">
        <f t="array" ref="W67">IFERROR(INDEX(INDIRECT(Config!$G$1), MATCH($A67, INDIRECT(Config!$H$1), 0), MATCH(W$1, INDIRECT(Config!$I$1), 0)), "")</f>
        <v/>
      </c>
      <c r="X67" s="35" t="str">
        <f t="array" ref="X67">IFERROR(INDEX(INDIRECT(Config!$G$1), MATCH($A67, INDIRECT(Config!$H$1), 0), MATCH(X$1, INDIRECT(Config!$I$1), 0)), "")</f>
        <v/>
      </c>
      <c r="Y67" s="32" t="str">
        <f t="array" ref="Y67">IFERROR(INDEX(INDIRECT(Config!$G$1), MATCH($A67, INDIRECT(Config!$H$1), 0), MATCH(Y$1, INDIRECT(Config!$I$1), 0)), "")</f>
        <v/>
      </c>
      <c r="Z67" s="32" t="str">
        <f t="array" ref="Z67">IFERROR(INDEX(INDIRECT(Config!$G$1), MATCH($A67, INDIRECT(Config!$H$1), 0), MATCH(Z$1, INDIRECT(Config!$I$1), 0)), "")</f>
        <v/>
      </c>
      <c r="AA67" s="35" t="str">
        <f t="array" ref="AA67">IFERROR(INDEX(INDIRECT(Config!$G$1), MATCH($A67, INDIRECT(Config!$H$1), 0), MATCH(AA$1, INDIRECT(Config!$I$1), 0)), "")</f>
        <v/>
      </c>
      <c r="AB67" s="32" t="str">
        <f t="array" ref="AB67">IFERROR(INDEX(INDIRECT(Config!$G$1), MATCH($A67, INDIRECT(Config!$H$1), 0), MATCH(AB$1, INDIRECT(Config!$I$1), 0)), "")</f>
        <v/>
      </c>
      <c r="AC67" s="35" t="str">
        <f t="array" ref="AC67">IFERROR(INDEX(INDIRECT(Config!$G$1), MATCH($A67, INDIRECT(Config!$H$1), 0), MATCH(AC$1, INDIRECT(Config!$I$1), 0)), "")</f>
        <v/>
      </c>
      <c r="AD67" s="32" t="str">
        <f t="array" ref="AD67">IFERROR(INDEX(INDIRECT(Config!$G$1), MATCH($A67, INDIRECT(Config!$H$1), 0), MATCH(AD$1, INDIRECT(Config!$I$1), 0)), "")</f>
        <v/>
      </c>
      <c r="AE67" s="35" t="str">
        <f t="array" ref="AE67">IFERROR(INDEX(INDIRECT(Config!$G$1), MATCH($A67, INDIRECT(Config!$H$1), 0), MATCH(AE$1, INDIRECT(Config!$I$1), 0)), "")</f>
        <v/>
      </c>
      <c r="AF67" s="32" t="str">
        <f t="array" ref="AF67">IFERROR(INDEX(INDIRECT(Config!$G$1), MATCH($A67, INDIRECT(Config!$H$1), 0), MATCH(AF$1, INDIRECT(Config!$I$1), 0)), "")</f>
        <v/>
      </c>
      <c r="AG67" s="35" t="str">
        <f t="array" ref="AG67">IFERROR(INDEX(INDIRECT(Config!$G$1), MATCH($A67, INDIRECT(Config!$H$1), 0), MATCH(AG$1, INDIRECT(Config!$I$1), 0)), "")</f>
        <v/>
      </c>
      <c r="AH67" s="32" t="str">
        <f t="array" ref="AH67">IFERROR(INDEX(INDIRECT(Config!$G$1), MATCH($A67, INDIRECT(Config!$H$1), 0), MATCH(AH$1, INDIRECT(Config!$I$1), 0)), "")</f>
        <v/>
      </c>
      <c r="AI67" s="35" t="str">
        <f t="array" ref="AI67">IFERROR(INDEX(INDIRECT(Config!$G$1), MATCH($A67, INDIRECT(Config!$H$1), 0), MATCH(AI$1, INDIRECT(Config!$I$1), 0)), "")</f>
        <v/>
      </c>
      <c r="AJ67" s="32" t="str">
        <f t="array" ref="AJ67">IFERROR(INDEX(INDIRECT(Config!$G$1), MATCH($A67, INDIRECT(Config!$H$1), 0), MATCH(AJ$1, INDIRECT(Config!$I$1), 0)), "")</f>
        <v/>
      </c>
      <c r="AK67" s="35" t="str">
        <f t="array" ref="AK67">IFERROR(INDEX(INDIRECT(Config!$G$1), MATCH($A67, INDIRECT(Config!$H$1), 0), MATCH(AK$1, INDIRECT(Config!$I$1), 0)), "")</f>
        <v/>
      </c>
      <c r="AL67" s="32" t="str">
        <f t="array" ref="AL67">IFERROR(INDEX(INDIRECT(Config!$G$1), MATCH($A67, INDIRECT(Config!$H$1), 0), MATCH(AL$1, INDIRECT(Config!$I$1), 0)), "")</f>
        <v/>
      </c>
      <c r="AM67" s="35" t="str">
        <f t="array" ref="AM67">IFERROR(INDEX(INDIRECT(Config!$G$1), MATCH($A67, INDIRECT(Config!$H$1), 0), MATCH(AM$1, INDIRECT(Config!$I$1), 0)), "")</f>
        <v/>
      </c>
      <c r="AN67" s="32" t="str">
        <f t="array" ref="AN67">IFERROR(INDEX(INDIRECT(Config!$G$1), MATCH($A67, INDIRECT(Config!$H$1), 0), MATCH(AN$1, INDIRECT(Config!$I$1), 0)), "")</f>
        <v/>
      </c>
      <c r="AO67" s="35" t="str">
        <f t="array" ref="AO67">IFERROR(INDEX(INDIRECT(Config!$G$1), MATCH($A67, INDIRECT(Config!$H$1), 0), MATCH(AO$1, INDIRECT(Config!$I$1), 0)), "")</f>
        <v/>
      </c>
      <c r="AP67" s="32" t="str">
        <f t="array" ref="AP67">IFERROR(INDEX(INDIRECT(Config!$G$1), MATCH($A67, INDIRECT(Config!$H$1), 0), MATCH(AP$1, INDIRECT(Config!$I$1), 0)), "")</f>
        <v/>
      </c>
      <c r="AQ67" s="35" t="str">
        <f t="array" ref="AQ67">IFERROR(INDEX(INDIRECT(Config!$G$1), MATCH($A67, INDIRECT(Config!$H$1), 0), MATCH(AQ$1, INDIRECT(Config!$I$1), 0)), "")</f>
        <v/>
      </c>
      <c r="AR67" s="32" t="str">
        <f t="array" ref="AR67">IFERROR(INDEX(INDIRECT(Config!$G$1), MATCH($A67, INDIRECT(Config!$H$1), 0), MATCH(AR$1, INDIRECT(Config!$I$1), 0)), "")</f>
        <v/>
      </c>
      <c r="AS67" s="35" t="str">
        <f t="array" ref="AS67">IFERROR(INDEX(INDIRECT(Config!$G$1), MATCH($A67, INDIRECT(Config!$H$1), 0), MATCH(AS$1, INDIRECT(Config!$I$1), 0)), "")</f>
        <v/>
      </c>
      <c r="AT67" s="32" t="str">
        <f t="array" ref="AT67">IFERROR(INDEX(INDIRECT(Config!$G$1), MATCH($A67, INDIRECT(Config!$H$1), 0), MATCH(AT$1, INDIRECT(Config!$I$1), 0)), "")</f>
        <v/>
      </c>
      <c r="AU67" s="35" t="str">
        <f t="array" ref="AU67">IFERROR(INDEX(INDIRECT(Config!$G$1), MATCH($A67, INDIRECT(Config!$H$1), 0), MATCH(AU$1, INDIRECT(Config!$I$1), 0)), "")</f>
        <v/>
      </c>
      <c r="AV67" s="32" t="str">
        <f t="array" ref="AV67">IFERROR(INDEX(INDIRECT(Config!$G$1), MATCH($A67, INDIRECT(Config!$H$1), 0), MATCH(AV$1, INDIRECT(Config!$I$1), 0)), "")</f>
        <v/>
      </c>
      <c r="AW67" s="35"/>
      <c r="AX67" s="32"/>
      <c r="AY67" s="35"/>
    </row>
    <row r="68" ht="15.75" customHeight="1">
      <c r="A68" s="12" t="str">
        <f>Menus!B29</f>
        <v/>
      </c>
      <c r="B68" s="51">
        <f t="shared" si="7"/>
        <v>0</v>
      </c>
      <c r="C68" s="33" t="str">
        <f t="array" ref="C68">IFERROR(INDEX(INDIRECT(Config!$G$1), MATCH($A68, INDIRECT(Config!$H$1), 0), MATCH(C$1, INDIRECT(Config!$I$1), 0)), "")</f>
        <v/>
      </c>
      <c r="D68" s="34" t="str">
        <f t="array" ref="D68">IFERROR(INDEX(INDIRECT(Config!$G$1), MATCH($A68, INDIRECT(Config!$H$1), 0), MATCH(D$1, INDIRECT(Config!$I$1), 0)), "")</f>
        <v/>
      </c>
      <c r="E68" s="32" t="str">
        <f t="array" ref="E68">IFERROR(INDEX(INDIRECT(Config!$G$1), MATCH($A68, INDIRECT(Config!$H$1), 0), MATCH(E$1, INDIRECT(Config!$I$1), 0)), "")</f>
        <v/>
      </c>
      <c r="F68" s="35" t="str">
        <f t="array" ref="F68">IFERROR(INDEX(INDIRECT(Config!$G$1), MATCH($A68, INDIRECT(Config!$H$1), 0), MATCH(F$1, INDIRECT(Config!$I$1), 0)), "")</f>
        <v/>
      </c>
      <c r="G68" s="32" t="str">
        <f t="array" ref="G68">IFERROR(INDEX(INDIRECT(Config!$G$1), MATCH($A68, INDIRECT(Config!$H$1), 0), MATCH(G$1, INDIRECT(Config!$I$1), 0)), "")</f>
        <v/>
      </c>
      <c r="H68" s="35" t="str">
        <f t="array" ref="H68">IFERROR(INDEX(INDIRECT(Config!$G$1), MATCH($A68, INDIRECT(Config!$H$1), 0), MATCH(H$1, INDIRECT(Config!$I$1), 0)), "")</f>
        <v/>
      </c>
      <c r="I68" s="32" t="str">
        <f t="array" ref="I68">IFERROR(INDEX(INDIRECT(Config!$G$1), MATCH($A68, INDIRECT(Config!$H$1), 0), MATCH(I$1, INDIRECT(Config!$I$1), 0)), "")</f>
        <v/>
      </c>
      <c r="J68" s="35" t="str">
        <f t="array" ref="J68">IFERROR(INDEX(INDIRECT(Config!$G$1), MATCH($A68, INDIRECT(Config!$H$1), 0), MATCH(J$1, INDIRECT(Config!$I$1), 0)), "")</f>
        <v/>
      </c>
      <c r="K68" s="32" t="str">
        <f t="array" ref="K68">IFERROR(INDEX(INDIRECT(Config!$G$1), MATCH($A68, INDIRECT(Config!$H$1), 0), MATCH(K$1, INDIRECT(Config!$I$1), 0)), "")</f>
        <v/>
      </c>
      <c r="L68" s="35" t="str">
        <f t="array" ref="L68">IFERROR(INDEX(INDIRECT(Config!$G$1), MATCH($A68, INDIRECT(Config!$H$1), 0), MATCH(L$1, INDIRECT(Config!$I$1), 0)), "")</f>
        <v/>
      </c>
      <c r="M68" s="32" t="str">
        <f t="array" ref="M68">IFERROR(INDEX(INDIRECT(Config!$G$1), MATCH($A68, INDIRECT(Config!$H$1), 0), MATCH(M$1, INDIRECT(Config!$I$1), 0)), "")</f>
        <v/>
      </c>
      <c r="N68" s="35" t="str">
        <f t="array" ref="N68">IFERROR(INDEX(INDIRECT(Config!$G$1), MATCH($A68, INDIRECT(Config!$H$1), 0), MATCH(N$1, INDIRECT(Config!$I$1), 0)), "")</f>
        <v/>
      </c>
      <c r="O68" s="32" t="str">
        <f t="array" ref="O68">IFERROR(INDEX(INDIRECT(Config!$G$1), MATCH($A68, INDIRECT(Config!$H$1), 0), MATCH(O$1, INDIRECT(Config!$I$1), 0)), "")</f>
        <v/>
      </c>
      <c r="P68" s="35" t="str">
        <f t="array" ref="P68">IFERROR(INDEX(INDIRECT(Config!$G$1), MATCH($A68, INDIRECT(Config!$H$1), 0), MATCH(P$1, INDIRECT(Config!$I$1), 0)), "")</f>
        <v/>
      </c>
      <c r="Q68" s="32" t="str">
        <f t="array" ref="Q68">IFERROR(INDEX(INDIRECT(Config!$G$1), MATCH($A68, INDIRECT(Config!$H$1), 0), MATCH(Q$1, INDIRECT(Config!$I$1), 0)), "")</f>
        <v/>
      </c>
      <c r="R68" s="35" t="str">
        <f t="array" ref="R68">IFERROR(INDEX(INDIRECT(Config!$G$1), MATCH($A68, INDIRECT(Config!$H$1), 0), MATCH(R$1, INDIRECT(Config!$I$1), 0)), "")</f>
        <v/>
      </c>
      <c r="S68" s="32" t="str">
        <f t="array" ref="S68">IFERROR(INDEX(INDIRECT(Config!$G$1), MATCH($A68, INDIRECT(Config!$H$1), 0), MATCH(S$1, INDIRECT(Config!$I$1), 0)), "")</f>
        <v/>
      </c>
      <c r="T68" s="35" t="str">
        <f t="array" ref="T68">IFERROR(INDEX(INDIRECT(Config!$G$1), MATCH($A68, INDIRECT(Config!$H$1), 0), MATCH(T$1, INDIRECT(Config!$I$1), 0)), "")</f>
        <v/>
      </c>
      <c r="U68" s="32" t="str">
        <f t="array" ref="U68">IFERROR(INDEX(INDIRECT(Config!$G$1), MATCH($A68, INDIRECT(Config!$H$1), 0), MATCH(U$1, INDIRECT(Config!$I$1), 0)), "")</f>
        <v/>
      </c>
      <c r="V68" s="35" t="str">
        <f t="array" ref="V68">IFERROR(INDEX(INDIRECT(Config!$G$1), MATCH($A68, INDIRECT(Config!$H$1), 0), MATCH(V$1, INDIRECT(Config!$I$1), 0)), "")</f>
        <v/>
      </c>
      <c r="W68" s="32" t="str">
        <f t="array" ref="W68">IFERROR(INDEX(INDIRECT(Config!$G$1), MATCH($A68, INDIRECT(Config!$H$1), 0), MATCH(W$1, INDIRECT(Config!$I$1), 0)), "")</f>
        <v/>
      </c>
      <c r="X68" s="35" t="str">
        <f t="array" ref="X68">IFERROR(INDEX(INDIRECT(Config!$G$1), MATCH($A68, INDIRECT(Config!$H$1), 0), MATCH(X$1, INDIRECT(Config!$I$1), 0)), "")</f>
        <v/>
      </c>
      <c r="Y68" s="32" t="str">
        <f t="array" ref="Y68">IFERROR(INDEX(INDIRECT(Config!$G$1), MATCH($A68, INDIRECT(Config!$H$1), 0), MATCH(Y$1, INDIRECT(Config!$I$1), 0)), "")</f>
        <v/>
      </c>
      <c r="Z68" s="32" t="str">
        <f t="array" ref="Z68">IFERROR(INDEX(INDIRECT(Config!$G$1), MATCH($A68, INDIRECT(Config!$H$1), 0), MATCH(Z$1, INDIRECT(Config!$I$1), 0)), "")</f>
        <v/>
      </c>
      <c r="AA68" s="35" t="str">
        <f t="array" ref="AA68">IFERROR(INDEX(INDIRECT(Config!$G$1), MATCH($A68, INDIRECT(Config!$H$1), 0), MATCH(AA$1, INDIRECT(Config!$I$1), 0)), "")</f>
        <v/>
      </c>
      <c r="AB68" s="32" t="str">
        <f t="array" ref="AB68">IFERROR(INDEX(INDIRECT(Config!$G$1), MATCH($A68, INDIRECT(Config!$H$1), 0), MATCH(AB$1, INDIRECT(Config!$I$1), 0)), "")</f>
        <v/>
      </c>
      <c r="AC68" s="35" t="str">
        <f t="array" ref="AC68">IFERROR(INDEX(INDIRECT(Config!$G$1), MATCH($A68, INDIRECT(Config!$H$1), 0), MATCH(AC$1, INDIRECT(Config!$I$1), 0)), "")</f>
        <v/>
      </c>
      <c r="AD68" s="32" t="str">
        <f t="array" ref="AD68">IFERROR(INDEX(INDIRECT(Config!$G$1), MATCH($A68, INDIRECT(Config!$H$1), 0), MATCH(AD$1, INDIRECT(Config!$I$1), 0)), "")</f>
        <v/>
      </c>
      <c r="AE68" s="35" t="str">
        <f t="array" ref="AE68">IFERROR(INDEX(INDIRECT(Config!$G$1), MATCH($A68, INDIRECT(Config!$H$1), 0), MATCH(AE$1, INDIRECT(Config!$I$1), 0)), "")</f>
        <v/>
      </c>
      <c r="AF68" s="32" t="str">
        <f t="array" ref="AF68">IFERROR(INDEX(INDIRECT(Config!$G$1), MATCH($A68, INDIRECT(Config!$H$1), 0), MATCH(AF$1, INDIRECT(Config!$I$1), 0)), "")</f>
        <v/>
      </c>
      <c r="AG68" s="35" t="str">
        <f t="array" ref="AG68">IFERROR(INDEX(INDIRECT(Config!$G$1), MATCH($A68, INDIRECT(Config!$H$1), 0), MATCH(AG$1, INDIRECT(Config!$I$1), 0)), "")</f>
        <v/>
      </c>
      <c r="AH68" s="32" t="str">
        <f t="array" ref="AH68">IFERROR(INDEX(INDIRECT(Config!$G$1), MATCH($A68, INDIRECT(Config!$H$1), 0), MATCH(AH$1, INDIRECT(Config!$I$1), 0)), "")</f>
        <v/>
      </c>
      <c r="AI68" s="35" t="str">
        <f t="array" ref="AI68">IFERROR(INDEX(INDIRECT(Config!$G$1), MATCH($A68, INDIRECT(Config!$H$1), 0), MATCH(AI$1, INDIRECT(Config!$I$1), 0)), "")</f>
        <v/>
      </c>
      <c r="AJ68" s="32" t="str">
        <f t="array" ref="AJ68">IFERROR(INDEX(INDIRECT(Config!$G$1), MATCH($A68, INDIRECT(Config!$H$1), 0), MATCH(AJ$1, INDIRECT(Config!$I$1), 0)), "")</f>
        <v/>
      </c>
      <c r="AK68" s="35" t="str">
        <f t="array" ref="AK68">IFERROR(INDEX(INDIRECT(Config!$G$1), MATCH($A68, INDIRECT(Config!$H$1), 0), MATCH(AK$1, INDIRECT(Config!$I$1), 0)), "")</f>
        <v/>
      </c>
      <c r="AL68" s="32" t="str">
        <f t="array" ref="AL68">IFERROR(INDEX(INDIRECT(Config!$G$1), MATCH($A68, INDIRECT(Config!$H$1), 0), MATCH(AL$1, INDIRECT(Config!$I$1), 0)), "")</f>
        <v/>
      </c>
      <c r="AM68" s="35" t="str">
        <f t="array" ref="AM68">IFERROR(INDEX(INDIRECT(Config!$G$1), MATCH($A68, INDIRECT(Config!$H$1), 0), MATCH(AM$1, INDIRECT(Config!$I$1), 0)), "")</f>
        <v/>
      </c>
      <c r="AN68" s="32" t="str">
        <f t="array" ref="AN68">IFERROR(INDEX(INDIRECT(Config!$G$1), MATCH($A68, INDIRECT(Config!$H$1), 0), MATCH(AN$1, INDIRECT(Config!$I$1), 0)), "")</f>
        <v/>
      </c>
      <c r="AO68" s="35" t="str">
        <f t="array" ref="AO68">IFERROR(INDEX(INDIRECT(Config!$G$1), MATCH($A68, INDIRECT(Config!$H$1), 0), MATCH(AO$1, INDIRECT(Config!$I$1), 0)), "")</f>
        <v/>
      </c>
      <c r="AP68" s="32" t="str">
        <f t="array" ref="AP68">IFERROR(INDEX(INDIRECT(Config!$G$1), MATCH($A68, INDIRECT(Config!$H$1), 0), MATCH(AP$1, INDIRECT(Config!$I$1), 0)), "")</f>
        <v/>
      </c>
      <c r="AQ68" s="35" t="str">
        <f t="array" ref="AQ68">IFERROR(INDEX(INDIRECT(Config!$G$1), MATCH($A68, INDIRECT(Config!$H$1), 0), MATCH(AQ$1, INDIRECT(Config!$I$1), 0)), "")</f>
        <v/>
      </c>
      <c r="AR68" s="32" t="str">
        <f t="array" ref="AR68">IFERROR(INDEX(INDIRECT(Config!$G$1), MATCH($A68, INDIRECT(Config!$H$1), 0), MATCH(AR$1, INDIRECT(Config!$I$1), 0)), "")</f>
        <v/>
      </c>
      <c r="AS68" s="35" t="str">
        <f t="array" ref="AS68">IFERROR(INDEX(INDIRECT(Config!$G$1), MATCH($A68, INDIRECT(Config!$H$1), 0), MATCH(AS$1, INDIRECT(Config!$I$1), 0)), "")</f>
        <v/>
      </c>
      <c r="AT68" s="32" t="str">
        <f t="array" ref="AT68">IFERROR(INDEX(INDIRECT(Config!$G$1), MATCH($A68, INDIRECT(Config!$H$1), 0), MATCH(AT$1, INDIRECT(Config!$I$1), 0)), "")</f>
        <v/>
      </c>
      <c r="AU68" s="35" t="str">
        <f t="array" ref="AU68">IFERROR(INDEX(INDIRECT(Config!$G$1), MATCH($A68, INDIRECT(Config!$H$1), 0), MATCH(AU$1, INDIRECT(Config!$I$1), 0)), "")</f>
        <v/>
      </c>
      <c r="AV68" s="32" t="str">
        <f t="array" ref="AV68">IFERROR(INDEX(INDIRECT(Config!$G$1), MATCH($A68, INDIRECT(Config!$H$1), 0), MATCH(AV$1, INDIRECT(Config!$I$1), 0)), "")</f>
        <v/>
      </c>
      <c r="AW68" s="35"/>
      <c r="AX68" s="32"/>
      <c r="AY68" s="35"/>
    </row>
    <row r="69" ht="15.75" customHeight="1">
      <c r="A69" s="12" t="str">
        <f>Menus!B30</f>
        <v/>
      </c>
      <c r="B69" s="51">
        <f t="shared" si="7"/>
        <v>0</v>
      </c>
      <c r="C69" s="33" t="str">
        <f t="array" ref="C69">IFERROR(INDEX(INDIRECT(Config!$G$1), MATCH($A69, INDIRECT(Config!$H$1), 0), MATCH(C$1, INDIRECT(Config!$I$1), 0)), "")</f>
        <v/>
      </c>
      <c r="D69" s="34" t="str">
        <f t="array" ref="D69">IFERROR(INDEX(INDIRECT(Config!$G$1), MATCH($A69, INDIRECT(Config!$H$1), 0), MATCH(D$1, INDIRECT(Config!$I$1), 0)), "")</f>
        <v/>
      </c>
      <c r="E69" s="32" t="str">
        <f t="array" ref="E69">IFERROR(INDEX(INDIRECT(Config!$G$1), MATCH($A69, INDIRECT(Config!$H$1), 0), MATCH(E$1, INDIRECT(Config!$I$1), 0)), "")</f>
        <v/>
      </c>
      <c r="F69" s="35" t="str">
        <f t="array" ref="F69">IFERROR(INDEX(INDIRECT(Config!$G$1), MATCH($A69, INDIRECT(Config!$H$1), 0), MATCH(F$1, INDIRECT(Config!$I$1), 0)), "")</f>
        <v/>
      </c>
      <c r="G69" s="32" t="str">
        <f t="array" ref="G69">IFERROR(INDEX(INDIRECT(Config!$G$1), MATCH($A69, INDIRECT(Config!$H$1), 0), MATCH(G$1, INDIRECT(Config!$I$1), 0)), "")</f>
        <v/>
      </c>
      <c r="H69" s="35" t="str">
        <f t="array" ref="H69">IFERROR(INDEX(INDIRECT(Config!$G$1), MATCH($A69, INDIRECT(Config!$H$1), 0), MATCH(H$1, INDIRECT(Config!$I$1), 0)), "")</f>
        <v/>
      </c>
      <c r="I69" s="32" t="str">
        <f t="array" ref="I69">IFERROR(INDEX(INDIRECT(Config!$G$1), MATCH($A69, INDIRECT(Config!$H$1), 0), MATCH(I$1, INDIRECT(Config!$I$1), 0)), "")</f>
        <v/>
      </c>
      <c r="J69" s="35" t="str">
        <f t="array" ref="J69">IFERROR(INDEX(INDIRECT(Config!$G$1), MATCH($A69, INDIRECT(Config!$H$1), 0), MATCH(J$1, INDIRECT(Config!$I$1), 0)), "")</f>
        <v/>
      </c>
      <c r="K69" s="32" t="str">
        <f t="array" ref="K69">IFERROR(INDEX(INDIRECT(Config!$G$1), MATCH($A69, INDIRECT(Config!$H$1), 0), MATCH(K$1, INDIRECT(Config!$I$1), 0)), "")</f>
        <v/>
      </c>
      <c r="L69" s="35" t="str">
        <f t="array" ref="L69">IFERROR(INDEX(INDIRECT(Config!$G$1), MATCH($A69, INDIRECT(Config!$H$1), 0), MATCH(L$1, INDIRECT(Config!$I$1), 0)), "")</f>
        <v/>
      </c>
      <c r="M69" s="32" t="str">
        <f t="array" ref="M69">IFERROR(INDEX(INDIRECT(Config!$G$1), MATCH($A69, INDIRECT(Config!$H$1), 0), MATCH(M$1, INDIRECT(Config!$I$1), 0)), "")</f>
        <v/>
      </c>
      <c r="N69" s="35" t="str">
        <f t="array" ref="N69">IFERROR(INDEX(INDIRECT(Config!$G$1), MATCH($A69, INDIRECT(Config!$H$1), 0), MATCH(N$1, INDIRECT(Config!$I$1), 0)), "")</f>
        <v/>
      </c>
      <c r="O69" s="32" t="str">
        <f t="array" ref="O69">IFERROR(INDEX(INDIRECT(Config!$G$1), MATCH($A69, INDIRECT(Config!$H$1), 0), MATCH(O$1, INDIRECT(Config!$I$1), 0)), "")</f>
        <v/>
      </c>
      <c r="P69" s="35" t="str">
        <f t="array" ref="P69">IFERROR(INDEX(INDIRECT(Config!$G$1), MATCH($A69, INDIRECT(Config!$H$1), 0), MATCH(P$1, INDIRECT(Config!$I$1), 0)), "")</f>
        <v/>
      </c>
      <c r="Q69" s="32" t="str">
        <f t="array" ref="Q69">IFERROR(INDEX(INDIRECT(Config!$G$1), MATCH($A69, INDIRECT(Config!$H$1), 0), MATCH(Q$1, INDIRECT(Config!$I$1), 0)), "")</f>
        <v/>
      </c>
      <c r="R69" s="35" t="str">
        <f t="array" ref="R69">IFERROR(INDEX(INDIRECT(Config!$G$1), MATCH($A69, INDIRECT(Config!$H$1), 0), MATCH(R$1, INDIRECT(Config!$I$1), 0)), "")</f>
        <v/>
      </c>
      <c r="S69" s="32" t="str">
        <f t="array" ref="S69">IFERROR(INDEX(INDIRECT(Config!$G$1), MATCH($A69, INDIRECT(Config!$H$1), 0), MATCH(S$1, INDIRECT(Config!$I$1), 0)), "")</f>
        <v/>
      </c>
      <c r="T69" s="35" t="str">
        <f t="array" ref="T69">IFERROR(INDEX(INDIRECT(Config!$G$1), MATCH($A69, INDIRECT(Config!$H$1), 0), MATCH(T$1, INDIRECT(Config!$I$1), 0)), "")</f>
        <v/>
      </c>
      <c r="U69" s="32" t="str">
        <f t="array" ref="U69">IFERROR(INDEX(INDIRECT(Config!$G$1), MATCH($A69, INDIRECT(Config!$H$1), 0), MATCH(U$1, INDIRECT(Config!$I$1), 0)), "")</f>
        <v/>
      </c>
      <c r="V69" s="35" t="str">
        <f t="array" ref="V69">IFERROR(INDEX(INDIRECT(Config!$G$1), MATCH($A69, INDIRECT(Config!$H$1), 0), MATCH(V$1, INDIRECT(Config!$I$1), 0)), "")</f>
        <v/>
      </c>
      <c r="W69" s="32" t="str">
        <f t="array" ref="W69">IFERROR(INDEX(INDIRECT(Config!$G$1), MATCH($A69, INDIRECT(Config!$H$1), 0), MATCH(W$1, INDIRECT(Config!$I$1), 0)), "")</f>
        <v/>
      </c>
      <c r="X69" s="35" t="str">
        <f t="array" ref="X69">IFERROR(INDEX(INDIRECT(Config!$G$1), MATCH($A69, INDIRECT(Config!$H$1), 0), MATCH(X$1, INDIRECT(Config!$I$1), 0)), "")</f>
        <v/>
      </c>
      <c r="Y69" s="32" t="str">
        <f t="array" ref="Y69">IFERROR(INDEX(INDIRECT(Config!$G$1), MATCH($A69, INDIRECT(Config!$H$1), 0), MATCH(Y$1, INDIRECT(Config!$I$1), 0)), "")</f>
        <v/>
      </c>
      <c r="Z69" s="32" t="str">
        <f t="array" ref="Z69">IFERROR(INDEX(INDIRECT(Config!$G$1), MATCH($A69, INDIRECT(Config!$H$1), 0), MATCH(Z$1, INDIRECT(Config!$I$1), 0)), "")</f>
        <v/>
      </c>
      <c r="AA69" s="35" t="str">
        <f t="array" ref="AA69">IFERROR(INDEX(INDIRECT(Config!$G$1), MATCH($A69, INDIRECT(Config!$H$1), 0), MATCH(AA$1, INDIRECT(Config!$I$1), 0)), "")</f>
        <v/>
      </c>
      <c r="AB69" s="32" t="str">
        <f t="array" ref="AB69">IFERROR(INDEX(INDIRECT(Config!$G$1), MATCH($A69, INDIRECT(Config!$H$1), 0), MATCH(AB$1, INDIRECT(Config!$I$1), 0)), "")</f>
        <v/>
      </c>
      <c r="AC69" s="35" t="str">
        <f t="array" ref="AC69">IFERROR(INDEX(INDIRECT(Config!$G$1), MATCH($A69, INDIRECT(Config!$H$1), 0), MATCH(AC$1, INDIRECT(Config!$I$1), 0)), "")</f>
        <v/>
      </c>
      <c r="AD69" s="32" t="str">
        <f t="array" ref="AD69">IFERROR(INDEX(INDIRECT(Config!$G$1), MATCH($A69, INDIRECT(Config!$H$1), 0), MATCH(AD$1, INDIRECT(Config!$I$1), 0)), "")</f>
        <v/>
      </c>
      <c r="AE69" s="35" t="str">
        <f t="array" ref="AE69">IFERROR(INDEX(INDIRECT(Config!$G$1), MATCH($A69, INDIRECT(Config!$H$1), 0), MATCH(AE$1, INDIRECT(Config!$I$1), 0)), "")</f>
        <v/>
      </c>
      <c r="AF69" s="32" t="str">
        <f t="array" ref="AF69">IFERROR(INDEX(INDIRECT(Config!$G$1), MATCH($A69, INDIRECT(Config!$H$1), 0), MATCH(AF$1, INDIRECT(Config!$I$1), 0)), "")</f>
        <v/>
      </c>
      <c r="AG69" s="35" t="str">
        <f t="array" ref="AG69">IFERROR(INDEX(INDIRECT(Config!$G$1), MATCH($A69, INDIRECT(Config!$H$1), 0), MATCH(AG$1, INDIRECT(Config!$I$1), 0)), "")</f>
        <v/>
      </c>
      <c r="AH69" s="32" t="str">
        <f t="array" ref="AH69">IFERROR(INDEX(INDIRECT(Config!$G$1), MATCH($A69, INDIRECT(Config!$H$1), 0), MATCH(AH$1, INDIRECT(Config!$I$1), 0)), "")</f>
        <v/>
      </c>
      <c r="AI69" s="35" t="str">
        <f t="array" ref="AI69">IFERROR(INDEX(INDIRECT(Config!$G$1), MATCH($A69, INDIRECT(Config!$H$1), 0), MATCH(AI$1, INDIRECT(Config!$I$1), 0)), "")</f>
        <v/>
      </c>
      <c r="AJ69" s="32" t="str">
        <f t="array" ref="AJ69">IFERROR(INDEX(INDIRECT(Config!$G$1), MATCH($A69, INDIRECT(Config!$H$1), 0), MATCH(AJ$1, INDIRECT(Config!$I$1), 0)), "")</f>
        <v/>
      </c>
      <c r="AK69" s="35" t="str">
        <f t="array" ref="AK69">IFERROR(INDEX(INDIRECT(Config!$G$1), MATCH($A69, INDIRECT(Config!$H$1), 0), MATCH(AK$1, INDIRECT(Config!$I$1), 0)), "")</f>
        <v/>
      </c>
      <c r="AL69" s="32" t="str">
        <f t="array" ref="AL69">IFERROR(INDEX(INDIRECT(Config!$G$1), MATCH($A69, INDIRECT(Config!$H$1), 0), MATCH(AL$1, INDIRECT(Config!$I$1), 0)), "")</f>
        <v/>
      </c>
      <c r="AM69" s="35" t="str">
        <f t="array" ref="AM69">IFERROR(INDEX(INDIRECT(Config!$G$1), MATCH($A69, INDIRECT(Config!$H$1), 0), MATCH(AM$1, INDIRECT(Config!$I$1), 0)), "")</f>
        <v/>
      </c>
      <c r="AN69" s="32" t="str">
        <f t="array" ref="AN69">IFERROR(INDEX(INDIRECT(Config!$G$1), MATCH($A69, INDIRECT(Config!$H$1), 0), MATCH(AN$1, INDIRECT(Config!$I$1), 0)), "")</f>
        <v/>
      </c>
      <c r="AO69" s="35" t="str">
        <f t="array" ref="AO69">IFERROR(INDEX(INDIRECT(Config!$G$1), MATCH($A69, INDIRECT(Config!$H$1), 0), MATCH(AO$1, INDIRECT(Config!$I$1), 0)), "")</f>
        <v/>
      </c>
      <c r="AP69" s="32" t="str">
        <f t="array" ref="AP69">IFERROR(INDEX(INDIRECT(Config!$G$1), MATCH($A69, INDIRECT(Config!$H$1), 0), MATCH(AP$1, INDIRECT(Config!$I$1), 0)), "")</f>
        <v/>
      </c>
      <c r="AQ69" s="35" t="str">
        <f t="array" ref="AQ69">IFERROR(INDEX(INDIRECT(Config!$G$1), MATCH($A69, INDIRECT(Config!$H$1), 0), MATCH(AQ$1, INDIRECT(Config!$I$1), 0)), "")</f>
        <v/>
      </c>
      <c r="AR69" s="32" t="str">
        <f t="array" ref="AR69">IFERROR(INDEX(INDIRECT(Config!$G$1), MATCH($A69, INDIRECT(Config!$H$1), 0), MATCH(AR$1, INDIRECT(Config!$I$1), 0)), "")</f>
        <v/>
      </c>
      <c r="AS69" s="35" t="str">
        <f t="array" ref="AS69">IFERROR(INDEX(INDIRECT(Config!$G$1), MATCH($A69, INDIRECT(Config!$H$1), 0), MATCH(AS$1, INDIRECT(Config!$I$1), 0)), "")</f>
        <v/>
      </c>
      <c r="AT69" s="32" t="str">
        <f t="array" ref="AT69">IFERROR(INDEX(INDIRECT(Config!$G$1), MATCH($A69, INDIRECT(Config!$H$1), 0), MATCH(AT$1, INDIRECT(Config!$I$1), 0)), "")</f>
        <v/>
      </c>
      <c r="AU69" s="35" t="str">
        <f t="array" ref="AU69">IFERROR(INDEX(INDIRECT(Config!$G$1), MATCH($A69, INDIRECT(Config!$H$1), 0), MATCH(AU$1, INDIRECT(Config!$I$1), 0)), "")</f>
        <v/>
      </c>
      <c r="AV69" s="32" t="str">
        <f t="array" ref="AV69">IFERROR(INDEX(INDIRECT(Config!$G$1), MATCH($A69, INDIRECT(Config!$H$1), 0), MATCH(AV$1, INDIRECT(Config!$I$1), 0)), "")</f>
        <v/>
      </c>
      <c r="AW69" s="35"/>
      <c r="AX69" s="32"/>
      <c r="AY69" s="35"/>
    </row>
    <row r="70" ht="15.75" customHeight="1">
      <c r="A70" s="12" t="str">
        <f>Menus!B31</f>
        <v/>
      </c>
      <c r="B70" s="51">
        <f t="shared" si="7"/>
        <v>0</v>
      </c>
      <c r="C70" s="33" t="str">
        <f t="array" ref="C70">IFERROR(INDEX(INDIRECT(Config!$G$1), MATCH($A70, INDIRECT(Config!$H$1), 0), MATCH(C$1, INDIRECT(Config!$I$1), 0)), "")</f>
        <v/>
      </c>
      <c r="D70" s="34" t="str">
        <f t="array" ref="D70">IFERROR(INDEX(INDIRECT(Config!$G$1), MATCH($A70, INDIRECT(Config!$H$1), 0), MATCH(D$1, INDIRECT(Config!$I$1), 0)), "")</f>
        <v/>
      </c>
      <c r="E70" s="32" t="str">
        <f t="array" ref="E70">IFERROR(INDEX(INDIRECT(Config!$G$1), MATCH($A70, INDIRECT(Config!$H$1), 0), MATCH(E$1, INDIRECT(Config!$I$1), 0)), "")</f>
        <v/>
      </c>
      <c r="F70" s="35" t="str">
        <f t="array" ref="F70">IFERROR(INDEX(INDIRECT(Config!$G$1), MATCH($A70, INDIRECT(Config!$H$1), 0), MATCH(F$1, INDIRECT(Config!$I$1), 0)), "")</f>
        <v/>
      </c>
      <c r="G70" s="32" t="str">
        <f t="array" ref="G70">IFERROR(INDEX(INDIRECT(Config!$G$1), MATCH($A70, INDIRECT(Config!$H$1), 0), MATCH(G$1, INDIRECT(Config!$I$1), 0)), "")</f>
        <v/>
      </c>
      <c r="H70" s="35" t="str">
        <f t="array" ref="H70">IFERROR(INDEX(INDIRECT(Config!$G$1), MATCH($A70, INDIRECT(Config!$H$1), 0), MATCH(H$1, INDIRECT(Config!$I$1), 0)), "")</f>
        <v/>
      </c>
      <c r="I70" s="32" t="str">
        <f t="array" ref="I70">IFERROR(INDEX(INDIRECT(Config!$G$1), MATCH($A70, INDIRECT(Config!$H$1), 0), MATCH(I$1, INDIRECT(Config!$I$1), 0)), "")</f>
        <v/>
      </c>
      <c r="J70" s="35" t="str">
        <f t="array" ref="J70">IFERROR(INDEX(INDIRECT(Config!$G$1), MATCH($A70, INDIRECT(Config!$H$1), 0), MATCH(J$1, INDIRECT(Config!$I$1), 0)), "")</f>
        <v/>
      </c>
      <c r="K70" s="32" t="str">
        <f t="array" ref="K70">IFERROR(INDEX(INDIRECT(Config!$G$1), MATCH($A70, INDIRECT(Config!$H$1), 0), MATCH(K$1, INDIRECT(Config!$I$1), 0)), "")</f>
        <v/>
      </c>
      <c r="L70" s="35" t="str">
        <f t="array" ref="L70">IFERROR(INDEX(INDIRECT(Config!$G$1), MATCH($A70, INDIRECT(Config!$H$1), 0), MATCH(L$1, INDIRECT(Config!$I$1), 0)), "")</f>
        <v/>
      </c>
      <c r="M70" s="32" t="str">
        <f t="array" ref="M70">IFERROR(INDEX(INDIRECT(Config!$G$1), MATCH($A70, INDIRECT(Config!$H$1), 0), MATCH(M$1, INDIRECT(Config!$I$1), 0)), "")</f>
        <v/>
      </c>
      <c r="N70" s="35" t="str">
        <f t="array" ref="N70">IFERROR(INDEX(INDIRECT(Config!$G$1), MATCH($A70, INDIRECT(Config!$H$1), 0), MATCH(N$1, INDIRECT(Config!$I$1), 0)), "")</f>
        <v/>
      </c>
      <c r="O70" s="32" t="str">
        <f t="array" ref="O70">IFERROR(INDEX(INDIRECT(Config!$G$1), MATCH($A70, INDIRECT(Config!$H$1), 0), MATCH(O$1, INDIRECT(Config!$I$1), 0)), "")</f>
        <v/>
      </c>
      <c r="P70" s="35" t="str">
        <f t="array" ref="P70">IFERROR(INDEX(INDIRECT(Config!$G$1), MATCH($A70, INDIRECT(Config!$H$1), 0), MATCH(P$1, INDIRECT(Config!$I$1), 0)), "")</f>
        <v/>
      </c>
      <c r="Q70" s="32" t="str">
        <f t="array" ref="Q70">IFERROR(INDEX(INDIRECT(Config!$G$1), MATCH($A70, INDIRECT(Config!$H$1), 0), MATCH(Q$1, INDIRECT(Config!$I$1), 0)), "")</f>
        <v/>
      </c>
      <c r="R70" s="35" t="str">
        <f t="array" ref="R70">IFERROR(INDEX(INDIRECT(Config!$G$1), MATCH($A70, INDIRECT(Config!$H$1), 0), MATCH(R$1, INDIRECT(Config!$I$1), 0)), "")</f>
        <v/>
      </c>
      <c r="S70" s="32" t="str">
        <f t="array" ref="S70">IFERROR(INDEX(INDIRECT(Config!$G$1), MATCH($A70, INDIRECT(Config!$H$1), 0), MATCH(S$1, INDIRECT(Config!$I$1), 0)), "")</f>
        <v/>
      </c>
      <c r="T70" s="35" t="str">
        <f t="array" ref="T70">IFERROR(INDEX(INDIRECT(Config!$G$1), MATCH($A70, INDIRECT(Config!$H$1), 0), MATCH(T$1, INDIRECT(Config!$I$1), 0)), "")</f>
        <v/>
      </c>
      <c r="U70" s="32" t="str">
        <f t="array" ref="U70">IFERROR(INDEX(INDIRECT(Config!$G$1), MATCH($A70, INDIRECT(Config!$H$1), 0), MATCH(U$1, INDIRECT(Config!$I$1), 0)), "")</f>
        <v/>
      </c>
      <c r="V70" s="35" t="str">
        <f t="array" ref="V70">IFERROR(INDEX(INDIRECT(Config!$G$1), MATCH($A70, INDIRECT(Config!$H$1), 0), MATCH(V$1, INDIRECT(Config!$I$1), 0)), "")</f>
        <v/>
      </c>
      <c r="W70" s="32" t="str">
        <f t="array" ref="W70">IFERROR(INDEX(INDIRECT(Config!$G$1), MATCH($A70, INDIRECT(Config!$H$1), 0), MATCH(W$1, INDIRECT(Config!$I$1), 0)), "")</f>
        <v/>
      </c>
      <c r="X70" s="35" t="str">
        <f t="array" ref="X70">IFERROR(INDEX(INDIRECT(Config!$G$1), MATCH($A70, INDIRECT(Config!$H$1), 0), MATCH(X$1, INDIRECT(Config!$I$1), 0)), "")</f>
        <v/>
      </c>
      <c r="Y70" s="32" t="str">
        <f t="array" ref="Y70">IFERROR(INDEX(INDIRECT(Config!$G$1), MATCH($A70, INDIRECT(Config!$H$1), 0), MATCH(Y$1, INDIRECT(Config!$I$1), 0)), "")</f>
        <v/>
      </c>
      <c r="Z70" s="32" t="str">
        <f t="array" ref="Z70">IFERROR(INDEX(INDIRECT(Config!$G$1), MATCH($A70, INDIRECT(Config!$H$1), 0), MATCH(Z$1, INDIRECT(Config!$I$1), 0)), "")</f>
        <v/>
      </c>
      <c r="AA70" s="35" t="str">
        <f t="array" ref="AA70">IFERROR(INDEX(INDIRECT(Config!$G$1), MATCH($A70, INDIRECT(Config!$H$1), 0), MATCH(AA$1, INDIRECT(Config!$I$1), 0)), "")</f>
        <v/>
      </c>
      <c r="AB70" s="32" t="str">
        <f t="array" ref="AB70">IFERROR(INDEX(INDIRECT(Config!$G$1), MATCH($A70, INDIRECT(Config!$H$1), 0), MATCH(AB$1, INDIRECT(Config!$I$1), 0)), "")</f>
        <v/>
      </c>
      <c r="AC70" s="35" t="str">
        <f t="array" ref="AC70">IFERROR(INDEX(INDIRECT(Config!$G$1), MATCH($A70, INDIRECT(Config!$H$1), 0), MATCH(AC$1, INDIRECT(Config!$I$1), 0)), "")</f>
        <v/>
      </c>
      <c r="AD70" s="32" t="str">
        <f t="array" ref="AD70">IFERROR(INDEX(INDIRECT(Config!$G$1), MATCH($A70, INDIRECT(Config!$H$1), 0), MATCH(AD$1, INDIRECT(Config!$I$1), 0)), "")</f>
        <v/>
      </c>
      <c r="AE70" s="35" t="str">
        <f t="array" ref="AE70">IFERROR(INDEX(INDIRECT(Config!$G$1), MATCH($A70, INDIRECT(Config!$H$1), 0), MATCH(AE$1, INDIRECT(Config!$I$1), 0)), "")</f>
        <v/>
      </c>
      <c r="AF70" s="32" t="str">
        <f t="array" ref="AF70">IFERROR(INDEX(INDIRECT(Config!$G$1), MATCH($A70, INDIRECT(Config!$H$1), 0), MATCH(AF$1, INDIRECT(Config!$I$1), 0)), "")</f>
        <v/>
      </c>
      <c r="AG70" s="35" t="str">
        <f t="array" ref="AG70">IFERROR(INDEX(INDIRECT(Config!$G$1), MATCH($A70, INDIRECT(Config!$H$1), 0), MATCH(AG$1, INDIRECT(Config!$I$1), 0)), "")</f>
        <v/>
      </c>
      <c r="AH70" s="32" t="str">
        <f t="array" ref="AH70">IFERROR(INDEX(INDIRECT(Config!$G$1), MATCH($A70, INDIRECT(Config!$H$1), 0), MATCH(AH$1, INDIRECT(Config!$I$1), 0)), "")</f>
        <v/>
      </c>
      <c r="AI70" s="35" t="str">
        <f t="array" ref="AI70">IFERROR(INDEX(INDIRECT(Config!$G$1), MATCH($A70, INDIRECT(Config!$H$1), 0), MATCH(AI$1, INDIRECT(Config!$I$1), 0)), "")</f>
        <v/>
      </c>
      <c r="AJ70" s="32" t="str">
        <f t="array" ref="AJ70">IFERROR(INDEX(INDIRECT(Config!$G$1), MATCH($A70, INDIRECT(Config!$H$1), 0), MATCH(AJ$1, INDIRECT(Config!$I$1), 0)), "")</f>
        <v/>
      </c>
      <c r="AK70" s="35" t="str">
        <f t="array" ref="AK70">IFERROR(INDEX(INDIRECT(Config!$G$1), MATCH($A70, INDIRECT(Config!$H$1), 0), MATCH(AK$1, INDIRECT(Config!$I$1), 0)), "")</f>
        <v/>
      </c>
      <c r="AL70" s="32" t="str">
        <f t="array" ref="AL70">IFERROR(INDEX(INDIRECT(Config!$G$1), MATCH($A70, INDIRECT(Config!$H$1), 0), MATCH(AL$1, INDIRECT(Config!$I$1), 0)), "")</f>
        <v/>
      </c>
      <c r="AM70" s="35" t="str">
        <f t="array" ref="AM70">IFERROR(INDEX(INDIRECT(Config!$G$1), MATCH($A70, INDIRECT(Config!$H$1), 0), MATCH(AM$1, INDIRECT(Config!$I$1), 0)), "")</f>
        <v/>
      </c>
      <c r="AN70" s="32" t="str">
        <f t="array" ref="AN70">IFERROR(INDEX(INDIRECT(Config!$G$1), MATCH($A70, INDIRECT(Config!$H$1), 0), MATCH(AN$1, INDIRECT(Config!$I$1), 0)), "")</f>
        <v/>
      </c>
      <c r="AO70" s="35" t="str">
        <f t="array" ref="AO70">IFERROR(INDEX(INDIRECT(Config!$G$1), MATCH($A70, INDIRECT(Config!$H$1), 0), MATCH(AO$1, INDIRECT(Config!$I$1), 0)), "")</f>
        <v/>
      </c>
      <c r="AP70" s="32" t="str">
        <f t="array" ref="AP70">IFERROR(INDEX(INDIRECT(Config!$G$1), MATCH($A70, INDIRECT(Config!$H$1), 0), MATCH(AP$1, INDIRECT(Config!$I$1), 0)), "")</f>
        <v/>
      </c>
      <c r="AQ70" s="35" t="str">
        <f t="array" ref="AQ70">IFERROR(INDEX(INDIRECT(Config!$G$1), MATCH($A70, INDIRECT(Config!$H$1), 0), MATCH(AQ$1, INDIRECT(Config!$I$1), 0)), "")</f>
        <v/>
      </c>
      <c r="AR70" s="32" t="str">
        <f t="array" ref="AR70">IFERROR(INDEX(INDIRECT(Config!$G$1), MATCH($A70, INDIRECT(Config!$H$1), 0), MATCH(AR$1, INDIRECT(Config!$I$1), 0)), "")</f>
        <v/>
      </c>
      <c r="AS70" s="35" t="str">
        <f t="array" ref="AS70">IFERROR(INDEX(INDIRECT(Config!$G$1), MATCH($A70, INDIRECT(Config!$H$1), 0), MATCH(AS$1, INDIRECT(Config!$I$1), 0)), "")</f>
        <v/>
      </c>
      <c r="AT70" s="32" t="str">
        <f t="array" ref="AT70">IFERROR(INDEX(INDIRECT(Config!$G$1), MATCH($A70, INDIRECT(Config!$H$1), 0), MATCH(AT$1, INDIRECT(Config!$I$1), 0)), "")</f>
        <v/>
      </c>
      <c r="AU70" s="35" t="str">
        <f t="array" ref="AU70">IFERROR(INDEX(INDIRECT(Config!$G$1), MATCH($A70, INDIRECT(Config!$H$1), 0), MATCH(AU$1, INDIRECT(Config!$I$1), 0)), "")</f>
        <v/>
      </c>
      <c r="AV70" s="32" t="str">
        <f t="array" ref="AV70">IFERROR(INDEX(INDIRECT(Config!$G$1), MATCH($A70, INDIRECT(Config!$H$1), 0), MATCH(AV$1, INDIRECT(Config!$I$1), 0)), "")</f>
        <v/>
      </c>
      <c r="AW70" s="35"/>
      <c r="AX70" s="32"/>
      <c r="AY70" s="35"/>
    </row>
    <row r="71" ht="15.75" customHeight="1">
      <c r="A71" s="12" t="str">
        <f>Menus!B32</f>
        <v/>
      </c>
      <c r="B71" s="51">
        <f t="shared" si="7"/>
        <v>0</v>
      </c>
      <c r="C71" s="33" t="str">
        <f t="array" ref="C71">IFERROR(INDEX(INDIRECT(Config!$G$1), MATCH($A71, INDIRECT(Config!$H$1), 0), MATCH(C$1, INDIRECT(Config!$I$1), 0)), "")</f>
        <v/>
      </c>
      <c r="D71" s="34" t="str">
        <f t="array" ref="D71">IFERROR(INDEX(INDIRECT(Config!$G$1), MATCH($A71, INDIRECT(Config!$H$1), 0), MATCH(D$1, INDIRECT(Config!$I$1), 0)), "")</f>
        <v/>
      </c>
      <c r="E71" s="32" t="str">
        <f t="array" ref="E71">IFERROR(INDEX(INDIRECT(Config!$G$1), MATCH($A71, INDIRECT(Config!$H$1), 0), MATCH(E$1, INDIRECT(Config!$I$1), 0)), "")</f>
        <v/>
      </c>
      <c r="F71" s="35" t="str">
        <f t="array" ref="F71">IFERROR(INDEX(INDIRECT(Config!$G$1), MATCH($A71, INDIRECT(Config!$H$1), 0), MATCH(F$1, INDIRECT(Config!$I$1), 0)), "")</f>
        <v/>
      </c>
      <c r="G71" s="32" t="str">
        <f t="array" ref="G71">IFERROR(INDEX(INDIRECT(Config!$G$1), MATCH($A71, INDIRECT(Config!$H$1), 0), MATCH(G$1, INDIRECT(Config!$I$1), 0)), "")</f>
        <v/>
      </c>
      <c r="H71" s="35" t="str">
        <f t="array" ref="H71">IFERROR(INDEX(INDIRECT(Config!$G$1), MATCH($A71, INDIRECT(Config!$H$1), 0), MATCH(H$1, INDIRECT(Config!$I$1), 0)), "")</f>
        <v/>
      </c>
      <c r="I71" s="32" t="str">
        <f t="array" ref="I71">IFERROR(INDEX(INDIRECT(Config!$G$1), MATCH($A71, INDIRECT(Config!$H$1), 0), MATCH(I$1, INDIRECT(Config!$I$1), 0)), "")</f>
        <v/>
      </c>
      <c r="J71" s="35" t="str">
        <f t="array" ref="J71">IFERROR(INDEX(INDIRECT(Config!$G$1), MATCH($A71, INDIRECT(Config!$H$1), 0), MATCH(J$1, INDIRECT(Config!$I$1), 0)), "")</f>
        <v/>
      </c>
      <c r="K71" s="32" t="str">
        <f t="array" ref="K71">IFERROR(INDEX(INDIRECT(Config!$G$1), MATCH($A71, INDIRECT(Config!$H$1), 0), MATCH(K$1, INDIRECT(Config!$I$1), 0)), "")</f>
        <v/>
      </c>
      <c r="L71" s="35" t="str">
        <f t="array" ref="L71">IFERROR(INDEX(INDIRECT(Config!$G$1), MATCH($A71, INDIRECT(Config!$H$1), 0), MATCH(L$1, INDIRECT(Config!$I$1), 0)), "")</f>
        <v/>
      </c>
      <c r="M71" s="32" t="str">
        <f t="array" ref="M71">IFERROR(INDEX(INDIRECT(Config!$G$1), MATCH($A71, INDIRECT(Config!$H$1), 0), MATCH(M$1, INDIRECT(Config!$I$1), 0)), "")</f>
        <v/>
      </c>
      <c r="N71" s="35" t="str">
        <f t="array" ref="N71">IFERROR(INDEX(INDIRECT(Config!$G$1), MATCH($A71, INDIRECT(Config!$H$1), 0), MATCH(N$1, INDIRECT(Config!$I$1), 0)), "")</f>
        <v/>
      </c>
      <c r="O71" s="32" t="str">
        <f t="array" ref="O71">IFERROR(INDEX(INDIRECT(Config!$G$1), MATCH($A71, INDIRECT(Config!$H$1), 0), MATCH(O$1, INDIRECT(Config!$I$1), 0)), "")</f>
        <v/>
      </c>
      <c r="P71" s="35" t="str">
        <f t="array" ref="P71">IFERROR(INDEX(INDIRECT(Config!$G$1), MATCH($A71, INDIRECT(Config!$H$1), 0), MATCH(P$1, INDIRECT(Config!$I$1), 0)), "")</f>
        <v/>
      </c>
      <c r="Q71" s="32" t="str">
        <f t="array" ref="Q71">IFERROR(INDEX(INDIRECT(Config!$G$1), MATCH($A71, INDIRECT(Config!$H$1), 0), MATCH(Q$1, INDIRECT(Config!$I$1), 0)), "")</f>
        <v/>
      </c>
      <c r="R71" s="35" t="str">
        <f t="array" ref="R71">IFERROR(INDEX(INDIRECT(Config!$G$1), MATCH($A71, INDIRECT(Config!$H$1), 0), MATCH(R$1, INDIRECT(Config!$I$1), 0)), "")</f>
        <v/>
      </c>
      <c r="S71" s="32" t="str">
        <f t="array" ref="S71">IFERROR(INDEX(INDIRECT(Config!$G$1), MATCH($A71, INDIRECT(Config!$H$1), 0), MATCH(S$1, INDIRECT(Config!$I$1), 0)), "")</f>
        <v/>
      </c>
      <c r="T71" s="35" t="str">
        <f t="array" ref="T71">IFERROR(INDEX(INDIRECT(Config!$G$1), MATCH($A71, INDIRECT(Config!$H$1), 0), MATCH(T$1, INDIRECT(Config!$I$1), 0)), "")</f>
        <v/>
      </c>
      <c r="U71" s="32" t="str">
        <f t="array" ref="U71">IFERROR(INDEX(INDIRECT(Config!$G$1), MATCH($A71, INDIRECT(Config!$H$1), 0), MATCH(U$1, INDIRECT(Config!$I$1), 0)), "")</f>
        <v/>
      </c>
      <c r="V71" s="35" t="str">
        <f t="array" ref="V71">IFERROR(INDEX(INDIRECT(Config!$G$1), MATCH($A71, INDIRECT(Config!$H$1), 0), MATCH(V$1, INDIRECT(Config!$I$1), 0)), "")</f>
        <v/>
      </c>
      <c r="W71" s="32" t="str">
        <f t="array" ref="W71">IFERROR(INDEX(INDIRECT(Config!$G$1), MATCH($A71, INDIRECT(Config!$H$1), 0), MATCH(W$1, INDIRECT(Config!$I$1), 0)), "")</f>
        <v/>
      </c>
      <c r="X71" s="35" t="str">
        <f t="array" ref="X71">IFERROR(INDEX(INDIRECT(Config!$G$1), MATCH($A71, INDIRECT(Config!$H$1), 0), MATCH(X$1, INDIRECT(Config!$I$1), 0)), "")</f>
        <v/>
      </c>
      <c r="Y71" s="32" t="str">
        <f t="array" ref="Y71">IFERROR(INDEX(INDIRECT(Config!$G$1), MATCH($A71, INDIRECT(Config!$H$1), 0), MATCH(Y$1, INDIRECT(Config!$I$1), 0)), "")</f>
        <v/>
      </c>
      <c r="Z71" s="32" t="str">
        <f t="array" ref="Z71">IFERROR(INDEX(INDIRECT(Config!$G$1), MATCH($A71, INDIRECT(Config!$H$1), 0), MATCH(Z$1, INDIRECT(Config!$I$1), 0)), "")</f>
        <v/>
      </c>
      <c r="AA71" s="35" t="str">
        <f t="array" ref="AA71">IFERROR(INDEX(INDIRECT(Config!$G$1), MATCH($A71, INDIRECT(Config!$H$1), 0), MATCH(AA$1, INDIRECT(Config!$I$1), 0)), "")</f>
        <v/>
      </c>
      <c r="AB71" s="32" t="str">
        <f t="array" ref="AB71">IFERROR(INDEX(INDIRECT(Config!$G$1), MATCH($A71, INDIRECT(Config!$H$1), 0), MATCH(AB$1, INDIRECT(Config!$I$1), 0)), "")</f>
        <v/>
      </c>
      <c r="AC71" s="35" t="str">
        <f t="array" ref="AC71">IFERROR(INDEX(INDIRECT(Config!$G$1), MATCH($A71, INDIRECT(Config!$H$1), 0), MATCH(AC$1, INDIRECT(Config!$I$1), 0)), "")</f>
        <v/>
      </c>
      <c r="AD71" s="32" t="str">
        <f t="array" ref="AD71">IFERROR(INDEX(INDIRECT(Config!$G$1), MATCH($A71, INDIRECT(Config!$H$1), 0), MATCH(AD$1, INDIRECT(Config!$I$1), 0)), "")</f>
        <v/>
      </c>
      <c r="AE71" s="35" t="str">
        <f t="array" ref="AE71">IFERROR(INDEX(INDIRECT(Config!$G$1), MATCH($A71, INDIRECT(Config!$H$1), 0), MATCH(AE$1, INDIRECT(Config!$I$1), 0)), "")</f>
        <v/>
      </c>
      <c r="AF71" s="32" t="str">
        <f t="array" ref="AF71">IFERROR(INDEX(INDIRECT(Config!$G$1), MATCH($A71, INDIRECT(Config!$H$1), 0), MATCH(AF$1, INDIRECT(Config!$I$1), 0)), "")</f>
        <v/>
      </c>
      <c r="AG71" s="35" t="str">
        <f t="array" ref="AG71">IFERROR(INDEX(INDIRECT(Config!$G$1), MATCH($A71, INDIRECT(Config!$H$1), 0), MATCH(AG$1, INDIRECT(Config!$I$1), 0)), "")</f>
        <v/>
      </c>
      <c r="AH71" s="32" t="str">
        <f t="array" ref="AH71">IFERROR(INDEX(INDIRECT(Config!$G$1), MATCH($A71, INDIRECT(Config!$H$1), 0), MATCH(AH$1, INDIRECT(Config!$I$1), 0)), "")</f>
        <v/>
      </c>
      <c r="AI71" s="35" t="str">
        <f t="array" ref="AI71">IFERROR(INDEX(INDIRECT(Config!$G$1), MATCH($A71, INDIRECT(Config!$H$1), 0), MATCH(AI$1, INDIRECT(Config!$I$1), 0)), "")</f>
        <v/>
      </c>
      <c r="AJ71" s="32" t="str">
        <f t="array" ref="AJ71">IFERROR(INDEX(INDIRECT(Config!$G$1), MATCH($A71, INDIRECT(Config!$H$1), 0), MATCH(AJ$1, INDIRECT(Config!$I$1), 0)), "")</f>
        <v/>
      </c>
      <c r="AK71" s="35" t="str">
        <f t="array" ref="AK71">IFERROR(INDEX(INDIRECT(Config!$G$1), MATCH($A71, INDIRECT(Config!$H$1), 0), MATCH(AK$1, INDIRECT(Config!$I$1), 0)), "")</f>
        <v/>
      </c>
      <c r="AL71" s="32" t="str">
        <f t="array" ref="AL71">IFERROR(INDEX(INDIRECT(Config!$G$1), MATCH($A71, INDIRECT(Config!$H$1), 0), MATCH(AL$1, INDIRECT(Config!$I$1), 0)), "")</f>
        <v/>
      </c>
      <c r="AM71" s="35" t="str">
        <f t="array" ref="AM71">IFERROR(INDEX(INDIRECT(Config!$G$1), MATCH($A71, INDIRECT(Config!$H$1), 0), MATCH(AM$1, INDIRECT(Config!$I$1), 0)), "")</f>
        <v/>
      </c>
      <c r="AN71" s="32" t="str">
        <f t="array" ref="AN71">IFERROR(INDEX(INDIRECT(Config!$G$1), MATCH($A71, INDIRECT(Config!$H$1), 0), MATCH(AN$1, INDIRECT(Config!$I$1), 0)), "")</f>
        <v/>
      </c>
      <c r="AO71" s="35" t="str">
        <f t="array" ref="AO71">IFERROR(INDEX(INDIRECT(Config!$G$1), MATCH($A71, INDIRECT(Config!$H$1), 0), MATCH(AO$1, INDIRECT(Config!$I$1), 0)), "")</f>
        <v/>
      </c>
      <c r="AP71" s="32" t="str">
        <f t="array" ref="AP71">IFERROR(INDEX(INDIRECT(Config!$G$1), MATCH($A71, INDIRECT(Config!$H$1), 0), MATCH(AP$1, INDIRECT(Config!$I$1), 0)), "")</f>
        <v/>
      </c>
      <c r="AQ71" s="35" t="str">
        <f t="array" ref="AQ71">IFERROR(INDEX(INDIRECT(Config!$G$1), MATCH($A71, INDIRECT(Config!$H$1), 0), MATCH(AQ$1, INDIRECT(Config!$I$1), 0)), "")</f>
        <v/>
      </c>
      <c r="AR71" s="32" t="str">
        <f t="array" ref="AR71">IFERROR(INDEX(INDIRECT(Config!$G$1), MATCH($A71, INDIRECT(Config!$H$1), 0), MATCH(AR$1, INDIRECT(Config!$I$1), 0)), "")</f>
        <v/>
      </c>
      <c r="AS71" s="35" t="str">
        <f t="array" ref="AS71">IFERROR(INDEX(INDIRECT(Config!$G$1), MATCH($A71, INDIRECT(Config!$H$1), 0), MATCH(AS$1, INDIRECT(Config!$I$1), 0)), "")</f>
        <v/>
      </c>
      <c r="AT71" s="32" t="str">
        <f t="array" ref="AT71">IFERROR(INDEX(INDIRECT(Config!$G$1), MATCH($A71, INDIRECT(Config!$H$1), 0), MATCH(AT$1, INDIRECT(Config!$I$1), 0)), "")</f>
        <v/>
      </c>
      <c r="AU71" s="35" t="str">
        <f t="array" ref="AU71">IFERROR(INDEX(INDIRECT(Config!$G$1), MATCH($A71, INDIRECT(Config!$H$1), 0), MATCH(AU$1, INDIRECT(Config!$I$1), 0)), "")</f>
        <v/>
      </c>
      <c r="AV71" s="32" t="str">
        <f t="array" ref="AV71">IFERROR(INDEX(INDIRECT(Config!$G$1), MATCH($A71, INDIRECT(Config!$H$1), 0), MATCH(AV$1, INDIRECT(Config!$I$1), 0)), "")</f>
        <v/>
      </c>
      <c r="AW71" s="35"/>
      <c r="AX71" s="32"/>
      <c r="AY71" s="35"/>
    </row>
    <row r="72" ht="15.75" customHeight="1">
      <c r="A72" s="12" t="str">
        <f>Menus!B33</f>
        <v/>
      </c>
      <c r="B72" s="51">
        <f t="shared" si="7"/>
        <v>0</v>
      </c>
      <c r="C72" s="33" t="str">
        <f t="array" ref="C72">IFERROR(INDEX(INDIRECT(Config!$G$1), MATCH($A72, INDIRECT(Config!$H$1), 0), MATCH(C$1, INDIRECT(Config!$I$1), 0)), "")</f>
        <v/>
      </c>
      <c r="D72" s="34" t="str">
        <f t="array" ref="D72">IFERROR(INDEX(INDIRECT(Config!$G$1), MATCH($A72, INDIRECT(Config!$H$1), 0), MATCH(D$1, INDIRECT(Config!$I$1), 0)), "")</f>
        <v/>
      </c>
      <c r="E72" s="32" t="str">
        <f t="array" ref="E72">IFERROR(INDEX(INDIRECT(Config!$G$1), MATCH($A72, INDIRECT(Config!$H$1), 0), MATCH(E$1, INDIRECT(Config!$I$1), 0)), "")</f>
        <v/>
      </c>
      <c r="F72" s="35" t="str">
        <f t="array" ref="F72">IFERROR(INDEX(INDIRECT(Config!$G$1), MATCH($A72, INDIRECT(Config!$H$1), 0), MATCH(F$1, INDIRECT(Config!$I$1), 0)), "")</f>
        <v/>
      </c>
      <c r="G72" s="32" t="str">
        <f t="array" ref="G72">IFERROR(INDEX(INDIRECT(Config!$G$1), MATCH($A72, INDIRECT(Config!$H$1), 0), MATCH(G$1, INDIRECT(Config!$I$1), 0)), "")</f>
        <v/>
      </c>
      <c r="H72" s="35" t="str">
        <f t="array" ref="H72">IFERROR(INDEX(INDIRECT(Config!$G$1), MATCH($A72, INDIRECT(Config!$H$1), 0), MATCH(H$1, INDIRECT(Config!$I$1), 0)), "")</f>
        <v/>
      </c>
      <c r="I72" s="32" t="str">
        <f t="array" ref="I72">IFERROR(INDEX(INDIRECT(Config!$G$1), MATCH($A72, INDIRECT(Config!$H$1), 0), MATCH(I$1, INDIRECT(Config!$I$1), 0)), "")</f>
        <v/>
      </c>
      <c r="J72" s="35" t="str">
        <f t="array" ref="J72">IFERROR(INDEX(INDIRECT(Config!$G$1), MATCH($A72, INDIRECT(Config!$H$1), 0), MATCH(J$1, INDIRECT(Config!$I$1), 0)), "")</f>
        <v/>
      </c>
      <c r="K72" s="32" t="str">
        <f t="array" ref="K72">IFERROR(INDEX(INDIRECT(Config!$G$1), MATCH($A72, INDIRECT(Config!$H$1), 0), MATCH(K$1, INDIRECT(Config!$I$1), 0)), "")</f>
        <v/>
      </c>
      <c r="L72" s="35" t="str">
        <f t="array" ref="L72">IFERROR(INDEX(INDIRECT(Config!$G$1), MATCH($A72, INDIRECT(Config!$H$1), 0), MATCH(L$1, INDIRECT(Config!$I$1), 0)), "")</f>
        <v/>
      </c>
      <c r="M72" s="32" t="str">
        <f t="array" ref="M72">IFERROR(INDEX(INDIRECT(Config!$G$1), MATCH($A72, INDIRECT(Config!$H$1), 0), MATCH(M$1, INDIRECT(Config!$I$1), 0)), "")</f>
        <v/>
      </c>
      <c r="N72" s="35" t="str">
        <f t="array" ref="N72">IFERROR(INDEX(INDIRECT(Config!$G$1), MATCH($A72, INDIRECT(Config!$H$1), 0), MATCH(N$1, INDIRECT(Config!$I$1), 0)), "")</f>
        <v/>
      </c>
      <c r="O72" s="32" t="str">
        <f t="array" ref="O72">IFERROR(INDEX(INDIRECT(Config!$G$1), MATCH($A72, INDIRECT(Config!$H$1), 0), MATCH(O$1, INDIRECT(Config!$I$1), 0)), "")</f>
        <v/>
      </c>
      <c r="P72" s="35" t="str">
        <f t="array" ref="P72">IFERROR(INDEX(INDIRECT(Config!$G$1), MATCH($A72, INDIRECT(Config!$H$1), 0), MATCH(P$1, INDIRECT(Config!$I$1), 0)), "")</f>
        <v/>
      </c>
      <c r="Q72" s="32" t="str">
        <f t="array" ref="Q72">IFERROR(INDEX(INDIRECT(Config!$G$1), MATCH($A72, INDIRECT(Config!$H$1), 0), MATCH(Q$1, INDIRECT(Config!$I$1), 0)), "")</f>
        <v/>
      </c>
      <c r="R72" s="35" t="str">
        <f t="array" ref="R72">IFERROR(INDEX(INDIRECT(Config!$G$1), MATCH($A72, INDIRECT(Config!$H$1), 0), MATCH(R$1, INDIRECT(Config!$I$1), 0)), "")</f>
        <v/>
      </c>
      <c r="S72" s="32" t="str">
        <f t="array" ref="S72">IFERROR(INDEX(INDIRECT(Config!$G$1), MATCH($A72, INDIRECT(Config!$H$1), 0), MATCH(S$1, INDIRECT(Config!$I$1), 0)), "")</f>
        <v/>
      </c>
      <c r="T72" s="35" t="str">
        <f t="array" ref="T72">IFERROR(INDEX(INDIRECT(Config!$G$1), MATCH($A72, INDIRECT(Config!$H$1), 0), MATCH(T$1, INDIRECT(Config!$I$1), 0)), "")</f>
        <v/>
      </c>
      <c r="U72" s="32" t="str">
        <f t="array" ref="U72">IFERROR(INDEX(INDIRECT(Config!$G$1), MATCH($A72, INDIRECT(Config!$H$1), 0), MATCH(U$1, INDIRECT(Config!$I$1), 0)), "")</f>
        <v/>
      </c>
      <c r="V72" s="35" t="str">
        <f t="array" ref="V72">IFERROR(INDEX(INDIRECT(Config!$G$1), MATCH($A72, INDIRECT(Config!$H$1), 0), MATCH(V$1, INDIRECT(Config!$I$1), 0)), "")</f>
        <v/>
      </c>
      <c r="W72" s="32" t="str">
        <f t="array" ref="W72">IFERROR(INDEX(INDIRECT(Config!$G$1), MATCH($A72, INDIRECT(Config!$H$1), 0), MATCH(W$1, INDIRECT(Config!$I$1), 0)), "")</f>
        <v/>
      </c>
      <c r="X72" s="35" t="str">
        <f t="array" ref="X72">IFERROR(INDEX(INDIRECT(Config!$G$1), MATCH($A72, INDIRECT(Config!$H$1), 0), MATCH(X$1, INDIRECT(Config!$I$1), 0)), "")</f>
        <v/>
      </c>
      <c r="Y72" s="32" t="str">
        <f t="array" ref="Y72">IFERROR(INDEX(INDIRECT(Config!$G$1), MATCH($A72, INDIRECT(Config!$H$1), 0), MATCH(Y$1, INDIRECT(Config!$I$1), 0)), "")</f>
        <v/>
      </c>
      <c r="Z72" s="32" t="str">
        <f t="array" ref="Z72">IFERROR(INDEX(INDIRECT(Config!$G$1), MATCH($A72, INDIRECT(Config!$H$1), 0), MATCH(Z$1, INDIRECT(Config!$I$1), 0)), "")</f>
        <v/>
      </c>
      <c r="AA72" s="35" t="str">
        <f t="array" ref="AA72">IFERROR(INDEX(INDIRECT(Config!$G$1), MATCH($A72, INDIRECT(Config!$H$1), 0), MATCH(AA$1, INDIRECT(Config!$I$1), 0)), "")</f>
        <v/>
      </c>
      <c r="AB72" s="32" t="str">
        <f t="array" ref="AB72">IFERROR(INDEX(INDIRECT(Config!$G$1), MATCH($A72, INDIRECT(Config!$H$1), 0), MATCH(AB$1, INDIRECT(Config!$I$1), 0)), "")</f>
        <v/>
      </c>
      <c r="AC72" s="35" t="str">
        <f t="array" ref="AC72">IFERROR(INDEX(INDIRECT(Config!$G$1), MATCH($A72, INDIRECT(Config!$H$1), 0), MATCH(AC$1, INDIRECT(Config!$I$1), 0)), "")</f>
        <v/>
      </c>
      <c r="AD72" s="32" t="str">
        <f t="array" ref="AD72">IFERROR(INDEX(INDIRECT(Config!$G$1), MATCH($A72, INDIRECT(Config!$H$1), 0), MATCH(AD$1, INDIRECT(Config!$I$1), 0)), "")</f>
        <v/>
      </c>
      <c r="AE72" s="35" t="str">
        <f t="array" ref="AE72">IFERROR(INDEX(INDIRECT(Config!$G$1), MATCH($A72, INDIRECT(Config!$H$1), 0), MATCH(AE$1, INDIRECT(Config!$I$1), 0)), "")</f>
        <v/>
      </c>
      <c r="AF72" s="32" t="str">
        <f t="array" ref="AF72">IFERROR(INDEX(INDIRECT(Config!$G$1), MATCH($A72, INDIRECT(Config!$H$1), 0), MATCH(AF$1, INDIRECT(Config!$I$1), 0)), "")</f>
        <v/>
      </c>
      <c r="AG72" s="35" t="str">
        <f t="array" ref="AG72">IFERROR(INDEX(INDIRECT(Config!$G$1), MATCH($A72, INDIRECT(Config!$H$1), 0), MATCH(AG$1, INDIRECT(Config!$I$1), 0)), "")</f>
        <v/>
      </c>
      <c r="AH72" s="32" t="str">
        <f t="array" ref="AH72">IFERROR(INDEX(INDIRECT(Config!$G$1), MATCH($A72, INDIRECT(Config!$H$1), 0), MATCH(AH$1, INDIRECT(Config!$I$1), 0)), "")</f>
        <v/>
      </c>
      <c r="AI72" s="35" t="str">
        <f t="array" ref="AI72">IFERROR(INDEX(INDIRECT(Config!$G$1), MATCH($A72, INDIRECT(Config!$H$1), 0), MATCH(AI$1, INDIRECT(Config!$I$1), 0)), "")</f>
        <v/>
      </c>
      <c r="AJ72" s="32" t="str">
        <f t="array" ref="AJ72">IFERROR(INDEX(INDIRECT(Config!$G$1), MATCH($A72, INDIRECT(Config!$H$1), 0), MATCH(AJ$1, INDIRECT(Config!$I$1), 0)), "")</f>
        <v/>
      </c>
      <c r="AK72" s="35" t="str">
        <f t="array" ref="AK72">IFERROR(INDEX(INDIRECT(Config!$G$1), MATCH($A72, INDIRECT(Config!$H$1), 0), MATCH(AK$1, INDIRECT(Config!$I$1), 0)), "")</f>
        <v/>
      </c>
      <c r="AL72" s="32" t="str">
        <f t="array" ref="AL72">IFERROR(INDEX(INDIRECT(Config!$G$1), MATCH($A72, INDIRECT(Config!$H$1), 0), MATCH(AL$1, INDIRECT(Config!$I$1), 0)), "")</f>
        <v/>
      </c>
      <c r="AM72" s="35" t="str">
        <f t="array" ref="AM72">IFERROR(INDEX(INDIRECT(Config!$G$1), MATCH($A72, INDIRECT(Config!$H$1), 0), MATCH(AM$1, INDIRECT(Config!$I$1), 0)), "")</f>
        <v/>
      </c>
      <c r="AN72" s="32" t="str">
        <f t="array" ref="AN72">IFERROR(INDEX(INDIRECT(Config!$G$1), MATCH($A72, INDIRECT(Config!$H$1), 0), MATCH(AN$1, INDIRECT(Config!$I$1), 0)), "")</f>
        <v/>
      </c>
      <c r="AO72" s="35" t="str">
        <f t="array" ref="AO72">IFERROR(INDEX(INDIRECT(Config!$G$1), MATCH($A72, INDIRECT(Config!$H$1), 0), MATCH(AO$1, INDIRECT(Config!$I$1), 0)), "")</f>
        <v/>
      </c>
      <c r="AP72" s="32" t="str">
        <f t="array" ref="AP72">IFERROR(INDEX(INDIRECT(Config!$G$1), MATCH($A72, INDIRECT(Config!$H$1), 0), MATCH(AP$1, INDIRECT(Config!$I$1), 0)), "")</f>
        <v/>
      </c>
      <c r="AQ72" s="35" t="str">
        <f t="array" ref="AQ72">IFERROR(INDEX(INDIRECT(Config!$G$1), MATCH($A72, INDIRECT(Config!$H$1), 0), MATCH(AQ$1, INDIRECT(Config!$I$1), 0)), "")</f>
        <v/>
      </c>
      <c r="AR72" s="32" t="str">
        <f t="array" ref="AR72">IFERROR(INDEX(INDIRECT(Config!$G$1), MATCH($A72, INDIRECT(Config!$H$1), 0), MATCH(AR$1, INDIRECT(Config!$I$1), 0)), "")</f>
        <v/>
      </c>
      <c r="AS72" s="35" t="str">
        <f t="array" ref="AS72">IFERROR(INDEX(INDIRECT(Config!$G$1), MATCH($A72, INDIRECT(Config!$H$1), 0), MATCH(AS$1, INDIRECT(Config!$I$1), 0)), "")</f>
        <v/>
      </c>
      <c r="AT72" s="32" t="str">
        <f t="array" ref="AT72">IFERROR(INDEX(INDIRECT(Config!$G$1), MATCH($A72, INDIRECT(Config!$H$1), 0), MATCH(AT$1, INDIRECT(Config!$I$1), 0)), "")</f>
        <v/>
      </c>
      <c r="AU72" s="35" t="str">
        <f t="array" ref="AU72">IFERROR(INDEX(INDIRECT(Config!$G$1), MATCH($A72, INDIRECT(Config!$H$1), 0), MATCH(AU$1, INDIRECT(Config!$I$1), 0)), "")</f>
        <v/>
      </c>
      <c r="AV72" s="32" t="str">
        <f t="array" ref="AV72">IFERROR(INDEX(INDIRECT(Config!$G$1), MATCH($A72, INDIRECT(Config!$H$1), 0), MATCH(AV$1, INDIRECT(Config!$I$1), 0)), "")</f>
        <v/>
      </c>
      <c r="AW72" s="35"/>
      <c r="AX72" s="32"/>
      <c r="AY72" s="35"/>
    </row>
    <row r="73" ht="15.75" customHeight="1">
      <c r="A73" s="12" t="str">
        <f>Menus!B34</f>
        <v/>
      </c>
      <c r="B73" s="51">
        <f t="shared" si="7"/>
        <v>0</v>
      </c>
      <c r="C73" s="33" t="str">
        <f t="array" ref="C73">IFERROR(INDEX(INDIRECT(Config!$G$1), MATCH($A73, INDIRECT(Config!$H$1), 0), MATCH(C$1, INDIRECT(Config!$I$1), 0)), "")</f>
        <v/>
      </c>
      <c r="D73" s="34" t="str">
        <f t="array" ref="D73">IFERROR(INDEX(INDIRECT(Config!$G$1), MATCH($A73, INDIRECT(Config!$H$1), 0), MATCH(D$1, INDIRECT(Config!$I$1), 0)), "")</f>
        <v/>
      </c>
      <c r="E73" s="32" t="str">
        <f t="array" ref="E73">IFERROR(INDEX(INDIRECT(Config!$G$1), MATCH($A73, INDIRECT(Config!$H$1), 0), MATCH(E$1, INDIRECT(Config!$I$1), 0)), "")</f>
        <v/>
      </c>
      <c r="F73" s="35" t="str">
        <f t="array" ref="F73">IFERROR(INDEX(INDIRECT(Config!$G$1), MATCH($A73, INDIRECT(Config!$H$1), 0), MATCH(F$1, INDIRECT(Config!$I$1), 0)), "")</f>
        <v/>
      </c>
      <c r="G73" s="32" t="str">
        <f t="array" ref="G73">IFERROR(INDEX(INDIRECT(Config!$G$1), MATCH($A73, INDIRECT(Config!$H$1), 0), MATCH(G$1, INDIRECT(Config!$I$1), 0)), "")</f>
        <v/>
      </c>
      <c r="H73" s="35" t="str">
        <f t="array" ref="H73">IFERROR(INDEX(INDIRECT(Config!$G$1), MATCH($A73, INDIRECT(Config!$H$1), 0), MATCH(H$1, INDIRECT(Config!$I$1), 0)), "")</f>
        <v/>
      </c>
      <c r="I73" s="32" t="str">
        <f t="array" ref="I73">IFERROR(INDEX(INDIRECT(Config!$G$1), MATCH($A73, INDIRECT(Config!$H$1), 0), MATCH(I$1, INDIRECT(Config!$I$1), 0)), "")</f>
        <v/>
      </c>
      <c r="J73" s="35" t="str">
        <f t="array" ref="J73">IFERROR(INDEX(INDIRECT(Config!$G$1), MATCH($A73, INDIRECT(Config!$H$1), 0), MATCH(J$1, INDIRECT(Config!$I$1), 0)), "")</f>
        <v/>
      </c>
      <c r="K73" s="32" t="str">
        <f t="array" ref="K73">IFERROR(INDEX(INDIRECT(Config!$G$1), MATCH($A73, INDIRECT(Config!$H$1), 0), MATCH(K$1, INDIRECT(Config!$I$1), 0)), "")</f>
        <v/>
      </c>
      <c r="L73" s="35" t="str">
        <f t="array" ref="L73">IFERROR(INDEX(INDIRECT(Config!$G$1), MATCH($A73, INDIRECT(Config!$H$1), 0), MATCH(L$1, INDIRECT(Config!$I$1), 0)), "")</f>
        <v/>
      </c>
      <c r="M73" s="32" t="str">
        <f t="array" ref="M73">IFERROR(INDEX(INDIRECT(Config!$G$1), MATCH($A73, INDIRECT(Config!$H$1), 0), MATCH(M$1, INDIRECT(Config!$I$1), 0)), "")</f>
        <v/>
      </c>
      <c r="N73" s="35" t="str">
        <f t="array" ref="N73">IFERROR(INDEX(INDIRECT(Config!$G$1), MATCH($A73, INDIRECT(Config!$H$1), 0), MATCH(N$1, INDIRECT(Config!$I$1), 0)), "")</f>
        <v/>
      </c>
      <c r="O73" s="32" t="str">
        <f t="array" ref="O73">IFERROR(INDEX(INDIRECT(Config!$G$1), MATCH($A73, INDIRECT(Config!$H$1), 0), MATCH(O$1, INDIRECT(Config!$I$1), 0)), "")</f>
        <v/>
      </c>
      <c r="P73" s="35" t="str">
        <f t="array" ref="P73">IFERROR(INDEX(INDIRECT(Config!$G$1), MATCH($A73, INDIRECT(Config!$H$1), 0), MATCH(P$1, INDIRECT(Config!$I$1), 0)), "")</f>
        <v/>
      </c>
      <c r="Q73" s="32" t="str">
        <f t="array" ref="Q73">IFERROR(INDEX(INDIRECT(Config!$G$1), MATCH($A73, INDIRECT(Config!$H$1), 0), MATCH(Q$1, INDIRECT(Config!$I$1), 0)), "")</f>
        <v/>
      </c>
      <c r="R73" s="35" t="str">
        <f t="array" ref="R73">IFERROR(INDEX(INDIRECT(Config!$G$1), MATCH($A73, INDIRECT(Config!$H$1), 0), MATCH(R$1, INDIRECT(Config!$I$1), 0)), "")</f>
        <v/>
      </c>
      <c r="S73" s="32" t="str">
        <f t="array" ref="S73">IFERROR(INDEX(INDIRECT(Config!$G$1), MATCH($A73, INDIRECT(Config!$H$1), 0), MATCH(S$1, INDIRECT(Config!$I$1), 0)), "")</f>
        <v/>
      </c>
      <c r="T73" s="35" t="str">
        <f t="array" ref="T73">IFERROR(INDEX(INDIRECT(Config!$G$1), MATCH($A73, INDIRECT(Config!$H$1), 0), MATCH(T$1, INDIRECT(Config!$I$1), 0)), "")</f>
        <v/>
      </c>
      <c r="U73" s="32" t="str">
        <f t="array" ref="U73">IFERROR(INDEX(INDIRECT(Config!$G$1), MATCH($A73, INDIRECT(Config!$H$1), 0), MATCH(U$1, INDIRECT(Config!$I$1), 0)), "")</f>
        <v/>
      </c>
      <c r="V73" s="35" t="str">
        <f t="array" ref="V73">IFERROR(INDEX(INDIRECT(Config!$G$1), MATCH($A73, INDIRECT(Config!$H$1), 0), MATCH(V$1, INDIRECT(Config!$I$1), 0)), "")</f>
        <v/>
      </c>
      <c r="W73" s="32" t="str">
        <f t="array" ref="W73">IFERROR(INDEX(INDIRECT(Config!$G$1), MATCH($A73, INDIRECT(Config!$H$1), 0), MATCH(W$1, INDIRECT(Config!$I$1), 0)), "")</f>
        <v/>
      </c>
      <c r="X73" s="35" t="str">
        <f t="array" ref="X73">IFERROR(INDEX(INDIRECT(Config!$G$1), MATCH($A73, INDIRECT(Config!$H$1), 0), MATCH(X$1, INDIRECT(Config!$I$1), 0)), "")</f>
        <v/>
      </c>
      <c r="Y73" s="32" t="str">
        <f t="array" ref="Y73">IFERROR(INDEX(INDIRECT(Config!$G$1), MATCH($A73, INDIRECT(Config!$H$1), 0), MATCH(Y$1, INDIRECT(Config!$I$1), 0)), "")</f>
        <v/>
      </c>
      <c r="Z73" s="32" t="str">
        <f t="array" ref="Z73">IFERROR(INDEX(INDIRECT(Config!$G$1), MATCH($A73, INDIRECT(Config!$H$1), 0), MATCH(Z$1, INDIRECT(Config!$I$1), 0)), "")</f>
        <v/>
      </c>
      <c r="AA73" s="35" t="str">
        <f t="array" ref="AA73">IFERROR(INDEX(INDIRECT(Config!$G$1), MATCH($A73, INDIRECT(Config!$H$1), 0), MATCH(AA$1, INDIRECT(Config!$I$1), 0)), "")</f>
        <v/>
      </c>
      <c r="AB73" s="32" t="str">
        <f t="array" ref="AB73">IFERROR(INDEX(INDIRECT(Config!$G$1), MATCH($A73, INDIRECT(Config!$H$1), 0), MATCH(AB$1, INDIRECT(Config!$I$1), 0)), "")</f>
        <v/>
      </c>
      <c r="AC73" s="35" t="str">
        <f t="array" ref="AC73">IFERROR(INDEX(INDIRECT(Config!$G$1), MATCH($A73, INDIRECT(Config!$H$1), 0), MATCH(AC$1, INDIRECT(Config!$I$1), 0)), "")</f>
        <v/>
      </c>
      <c r="AD73" s="32" t="str">
        <f t="array" ref="AD73">IFERROR(INDEX(INDIRECT(Config!$G$1), MATCH($A73, INDIRECT(Config!$H$1), 0), MATCH(AD$1, INDIRECT(Config!$I$1), 0)), "")</f>
        <v/>
      </c>
      <c r="AE73" s="35" t="str">
        <f t="array" ref="AE73">IFERROR(INDEX(INDIRECT(Config!$G$1), MATCH($A73, INDIRECT(Config!$H$1), 0), MATCH(AE$1, INDIRECT(Config!$I$1), 0)), "")</f>
        <v/>
      </c>
      <c r="AF73" s="32" t="str">
        <f t="array" ref="AF73">IFERROR(INDEX(INDIRECT(Config!$G$1), MATCH($A73, INDIRECT(Config!$H$1), 0), MATCH(AF$1, INDIRECT(Config!$I$1), 0)), "")</f>
        <v/>
      </c>
      <c r="AG73" s="35" t="str">
        <f t="array" ref="AG73">IFERROR(INDEX(INDIRECT(Config!$G$1), MATCH($A73, INDIRECT(Config!$H$1), 0), MATCH(AG$1, INDIRECT(Config!$I$1), 0)), "")</f>
        <v/>
      </c>
      <c r="AH73" s="32" t="str">
        <f t="array" ref="AH73">IFERROR(INDEX(INDIRECT(Config!$G$1), MATCH($A73, INDIRECT(Config!$H$1), 0), MATCH(AH$1, INDIRECT(Config!$I$1), 0)), "")</f>
        <v/>
      </c>
      <c r="AI73" s="35" t="str">
        <f t="array" ref="AI73">IFERROR(INDEX(INDIRECT(Config!$G$1), MATCH($A73, INDIRECT(Config!$H$1), 0), MATCH(AI$1, INDIRECT(Config!$I$1), 0)), "")</f>
        <v/>
      </c>
      <c r="AJ73" s="32" t="str">
        <f t="array" ref="AJ73">IFERROR(INDEX(INDIRECT(Config!$G$1), MATCH($A73, INDIRECT(Config!$H$1), 0), MATCH(AJ$1, INDIRECT(Config!$I$1), 0)), "")</f>
        <v/>
      </c>
      <c r="AK73" s="35" t="str">
        <f t="array" ref="AK73">IFERROR(INDEX(INDIRECT(Config!$G$1), MATCH($A73, INDIRECT(Config!$H$1), 0), MATCH(AK$1, INDIRECT(Config!$I$1), 0)), "")</f>
        <v/>
      </c>
      <c r="AL73" s="32" t="str">
        <f t="array" ref="AL73">IFERROR(INDEX(INDIRECT(Config!$G$1), MATCH($A73, INDIRECT(Config!$H$1), 0), MATCH(AL$1, INDIRECT(Config!$I$1), 0)), "")</f>
        <v/>
      </c>
      <c r="AM73" s="35" t="str">
        <f t="array" ref="AM73">IFERROR(INDEX(INDIRECT(Config!$G$1), MATCH($A73, INDIRECT(Config!$H$1), 0), MATCH(AM$1, INDIRECT(Config!$I$1), 0)), "")</f>
        <v/>
      </c>
      <c r="AN73" s="32" t="str">
        <f t="array" ref="AN73">IFERROR(INDEX(INDIRECT(Config!$G$1), MATCH($A73, INDIRECT(Config!$H$1), 0), MATCH(AN$1, INDIRECT(Config!$I$1), 0)), "")</f>
        <v/>
      </c>
      <c r="AO73" s="35" t="str">
        <f t="array" ref="AO73">IFERROR(INDEX(INDIRECT(Config!$G$1), MATCH($A73, INDIRECT(Config!$H$1), 0), MATCH(AO$1, INDIRECT(Config!$I$1), 0)), "")</f>
        <v/>
      </c>
      <c r="AP73" s="32" t="str">
        <f t="array" ref="AP73">IFERROR(INDEX(INDIRECT(Config!$G$1), MATCH($A73, INDIRECT(Config!$H$1), 0), MATCH(AP$1, INDIRECT(Config!$I$1), 0)), "")</f>
        <v/>
      </c>
      <c r="AQ73" s="35" t="str">
        <f t="array" ref="AQ73">IFERROR(INDEX(INDIRECT(Config!$G$1), MATCH($A73, INDIRECT(Config!$H$1), 0), MATCH(AQ$1, INDIRECT(Config!$I$1), 0)), "")</f>
        <v/>
      </c>
      <c r="AR73" s="32" t="str">
        <f t="array" ref="AR73">IFERROR(INDEX(INDIRECT(Config!$G$1), MATCH($A73, INDIRECT(Config!$H$1), 0), MATCH(AR$1, INDIRECT(Config!$I$1), 0)), "")</f>
        <v/>
      </c>
      <c r="AS73" s="35" t="str">
        <f t="array" ref="AS73">IFERROR(INDEX(INDIRECT(Config!$G$1), MATCH($A73, INDIRECT(Config!$H$1), 0), MATCH(AS$1, INDIRECT(Config!$I$1), 0)), "")</f>
        <v/>
      </c>
      <c r="AT73" s="32" t="str">
        <f t="array" ref="AT73">IFERROR(INDEX(INDIRECT(Config!$G$1), MATCH($A73, INDIRECT(Config!$H$1), 0), MATCH(AT$1, INDIRECT(Config!$I$1), 0)), "")</f>
        <v/>
      </c>
      <c r="AU73" s="35" t="str">
        <f t="array" ref="AU73">IFERROR(INDEX(INDIRECT(Config!$G$1), MATCH($A73, INDIRECT(Config!$H$1), 0), MATCH(AU$1, INDIRECT(Config!$I$1), 0)), "")</f>
        <v/>
      </c>
      <c r="AV73" s="32" t="str">
        <f t="array" ref="AV73">IFERROR(INDEX(INDIRECT(Config!$G$1), MATCH($A73, INDIRECT(Config!$H$1), 0), MATCH(AV$1, INDIRECT(Config!$I$1), 0)), "")</f>
        <v/>
      </c>
      <c r="AW73" s="35"/>
      <c r="AX73" s="32"/>
      <c r="AY73" s="35"/>
    </row>
    <row r="74" ht="15.75" customHeight="1">
      <c r="A74" s="12" t="str">
        <f>Menus!B35</f>
        <v/>
      </c>
      <c r="B74" s="51">
        <f t="shared" si="7"/>
        <v>0</v>
      </c>
      <c r="C74" s="33" t="str">
        <f t="array" ref="C74">IFERROR(INDEX(INDIRECT(Config!$G$1), MATCH($A74, INDIRECT(Config!$H$1), 0), MATCH(C$1, INDIRECT(Config!$I$1), 0)), "")</f>
        <v/>
      </c>
      <c r="D74" s="34" t="str">
        <f t="array" ref="D74">IFERROR(INDEX(INDIRECT(Config!$G$1), MATCH($A74, INDIRECT(Config!$H$1), 0), MATCH(D$1, INDIRECT(Config!$I$1), 0)), "")</f>
        <v/>
      </c>
      <c r="E74" s="32" t="str">
        <f t="array" ref="E74">IFERROR(INDEX(INDIRECT(Config!$G$1), MATCH($A74, INDIRECT(Config!$H$1), 0), MATCH(E$1, INDIRECT(Config!$I$1), 0)), "")</f>
        <v/>
      </c>
      <c r="F74" s="35" t="str">
        <f t="array" ref="F74">IFERROR(INDEX(INDIRECT(Config!$G$1), MATCH($A74, INDIRECT(Config!$H$1), 0), MATCH(F$1, INDIRECT(Config!$I$1), 0)), "")</f>
        <v/>
      </c>
      <c r="G74" s="32" t="str">
        <f t="array" ref="G74">IFERROR(INDEX(INDIRECT(Config!$G$1), MATCH($A74, INDIRECT(Config!$H$1), 0), MATCH(G$1, INDIRECT(Config!$I$1), 0)), "")</f>
        <v/>
      </c>
      <c r="H74" s="35" t="str">
        <f t="array" ref="H74">IFERROR(INDEX(INDIRECT(Config!$G$1), MATCH($A74, INDIRECT(Config!$H$1), 0), MATCH(H$1, INDIRECT(Config!$I$1), 0)), "")</f>
        <v/>
      </c>
      <c r="I74" s="32" t="str">
        <f t="array" ref="I74">IFERROR(INDEX(INDIRECT(Config!$G$1), MATCH($A74, INDIRECT(Config!$H$1), 0), MATCH(I$1, INDIRECT(Config!$I$1), 0)), "")</f>
        <v/>
      </c>
      <c r="J74" s="35" t="str">
        <f t="array" ref="J74">IFERROR(INDEX(INDIRECT(Config!$G$1), MATCH($A74, INDIRECT(Config!$H$1), 0), MATCH(J$1, INDIRECT(Config!$I$1), 0)), "")</f>
        <v/>
      </c>
      <c r="K74" s="32" t="str">
        <f t="array" ref="K74">IFERROR(INDEX(INDIRECT(Config!$G$1), MATCH($A74, INDIRECT(Config!$H$1), 0), MATCH(K$1, INDIRECT(Config!$I$1), 0)), "")</f>
        <v/>
      </c>
      <c r="L74" s="35" t="str">
        <f t="array" ref="L74">IFERROR(INDEX(INDIRECT(Config!$G$1), MATCH($A74, INDIRECT(Config!$H$1), 0), MATCH(L$1, INDIRECT(Config!$I$1), 0)), "")</f>
        <v/>
      </c>
      <c r="M74" s="32" t="str">
        <f t="array" ref="M74">IFERROR(INDEX(INDIRECT(Config!$G$1), MATCH($A74, INDIRECT(Config!$H$1), 0), MATCH(M$1, INDIRECT(Config!$I$1), 0)), "")</f>
        <v/>
      </c>
      <c r="N74" s="35" t="str">
        <f t="array" ref="N74">IFERROR(INDEX(INDIRECT(Config!$G$1), MATCH($A74, INDIRECT(Config!$H$1), 0), MATCH(N$1, INDIRECT(Config!$I$1), 0)), "")</f>
        <v/>
      </c>
      <c r="O74" s="32" t="str">
        <f t="array" ref="O74">IFERROR(INDEX(INDIRECT(Config!$G$1), MATCH($A74, INDIRECT(Config!$H$1), 0), MATCH(O$1, INDIRECT(Config!$I$1), 0)), "")</f>
        <v/>
      </c>
      <c r="P74" s="35" t="str">
        <f t="array" ref="P74">IFERROR(INDEX(INDIRECT(Config!$G$1), MATCH($A74, INDIRECT(Config!$H$1), 0), MATCH(P$1, INDIRECT(Config!$I$1), 0)), "")</f>
        <v/>
      </c>
      <c r="Q74" s="32" t="str">
        <f t="array" ref="Q74">IFERROR(INDEX(INDIRECT(Config!$G$1), MATCH($A74, INDIRECT(Config!$H$1), 0), MATCH(Q$1, INDIRECT(Config!$I$1), 0)), "")</f>
        <v/>
      </c>
      <c r="R74" s="35" t="str">
        <f t="array" ref="R74">IFERROR(INDEX(INDIRECT(Config!$G$1), MATCH($A74, INDIRECT(Config!$H$1), 0), MATCH(R$1, INDIRECT(Config!$I$1), 0)), "")</f>
        <v/>
      </c>
      <c r="S74" s="32" t="str">
        <f t="array" ref="S74">IFERROR(INDEX(INDIRECT(Config!$G$1), MATCH($A74, INDIRECT(Config!$H$1), 0), MATCH(S$1, INDIRECT(Config!$I$1), 0)), "")</f>
        <v/>
      </c>
      <c r="T74" s="35" t="str">
        <f t="array" ref="T74">IFERROR(INDEX(INDIRECT(Config!$G$1), MATCH($A74, INDIRECT(Config!$H$1), 0), MATCH(T$1, INDIRECT(Config!$I$1), 0)), "")</f>
        <v/>
      </c>
      <c r="U74" s="32" t="str">
        <f t="array" ref="U74">IFERROR(INDEX(INDIRECT(Config!$G$1), MATCH($A74, INDIRECT(Config!$H$1), 0), MATCH(U$1, INDIRECT(Config!$I$1), 0)), "")</f>
        <v/>
      </c>
      <c r="V74" s="35" t="str">
        <f t="array" ref="V74">IFERROR(INDEX(INDIRECT(Config!$G$1), MATCH($A74, INDIRECT(Config!$H$1), 0), MATCH(V$1, INDIRECT(Config!$I$1), 0)), "")</f>
        <v/>
      </c>
      <c r="W74" s="32" t="str">
        <f t="array" ref="W74">IFERROR(INDEX(INDIRECT(Config!$G$1), MATCH($A74, INDIRECT(Config!$H$1), 0), MATCH(W$1, INDIRECT(Config!$I$1), 0)), "")</f>
        <v/>
      </c>
      <c r="X74" s="35" t="str">
        <f t="array" ref="X74">IFERROR(INDEX(INDIRECT(Config!$G$1), MATCH($A74, INDIRECT(Config!$H$1), 0), MATCH(X$1, INDIRECT(Config!$I$1), 0)), "")</f>
        <v/>
      </c>
      <c r="Y74" s="32" t="str">
        <f t="array" ref="Y74">IFERROR(INDEX(INDIRECT(Config!$G$1), MATCH($A74, INDIRECT(Config!$H$1), 0), MATCH(Y$1, INDIRECT(Config!$I$1), 0)), "")</f>
        <v/>
      </c>
      <c r="Z74" s="32" t="str">
        <f t="array" ref="Z74">IFERROR(INDEX(INDIRECT(Config!$G$1), MATCH($A74, INDIRECT(Config!$H$1), 0), MATCH(Z$1, INDIRECT(Config!$I$1), 0)), "")</f>
        <v/>
      </c>
      <c r="AA74" s="35" t="str">
        <f t="array" ref="AA74">IFERROR(INDEX(INDIRECT(Config!$G$1), MATCH($A74, INDIRECT(Config!$H$1), 0), MATCH(AA$1, INDIRECT(Config!$I$1), 0)), "")</f>
        <v/>
      </c>
      <c r="AB74" s="32" t="str">
        <f t="array" ref="AB74">IFERROR(INDEX(INDIRECT(Config!$G$1), MATCH($A74, INDIRECT(Config!$H$1), 0), MATCH(AB$1, INDIRECT(Config!$I$1), 0)), "")</f>
        <v/>
      </c>
      <c r="AC74" s="35" t="str">
        <f t="array" ref="AC74">IFERROR(INDEX(INDIRECT(Config!$G$1), MATCH($A74, INDIRECT(Config!$H$1), 0), MATCH(AC$1, INDIRECT(Config!$I$1), 0)), "")</f>
        <v/>
      </c>
      <c r="AD74" s="32" t="str">
        <f t="array" ref="AD74">IFERROR(INDEX(INDIRECT(Config!$G$1), MATCH($A74, INDIRECT(Config!$H$1), 0), MATCH(AD$1, INDIRECT(Config!$I$1), 0)), "")</f>
        <v/>
      </c>
      <c r="AE74" s="35" t="str">
        <f t="array" ref="AE74">IFERROR(INDEX(INDIRECT(Config!$G$1), MATCH($A74, INDIRECT(Config!$H$1), 0), MATCH(AE$1, INDIRECT(Config!$I$1), 0)), "")</f>
        <v/>
      </c>
      <c r="AF74" s="32" t="str">
        <f t="array" ref="AF74">IFERROR(INDEX(INDIRECT(Config!$G$1), MATCH($A74, INDIRECT(Config!$H$1), 0), MATCH(AF$1, INDIRECT(Config!$I$1), 0)), "")</f>
        <v/>
      </c>
      <c r="AG74" s="35" t="str">
        <f t="array" ref="AG74">IFERROR(INDEX(INDIRECT(Config!$G$1), MATCH($A74, INDIRECT(Config!$H$1), 0), MATCH(AG$1, INDIRECT(Config!$I$1), 0)), "")</f>
        <v/>
      </c>
      <c r="AH74" s="32" t="str">
        <f t="array" ref="AH74">IFERROR(INDEX(INDIRECT(Config!$G$1), MATCH($A74, INDIRECT(Config!$H$1), 0), MATCH(AH$1, INDIRECT(Config!$I$1), 0)), "")</f>
        <v/>
      </c>
      <c r="AI74" s="35" t="str">
        <f t="array" ref="AI74">IFERROR(INDEX(INDIRECT(Config!$G$1), MATCH($A74, INDIRECT(Config!$H$1), 0), MATCH(AI$1, INDIRECT(Config!$I$1), 0)), "")</f>
        <v/>
      </c>
      <c r="AJ74" s="32" t="str">
        <f t="array" ref="AJ74">IFERROR(INDEX(INDIRECT(Config!$G$1), MATCH($A74, INDIRECT(Config!$H$1), 0), MATCH(AJ$1, INDIRECT(Config!$I$1), 0)), "")</f>
        <v/>
      </c>
      <c r="AK74" s="35" t="str">
        <f t="array" ref="AK74">IFERROR(INDEX(INDIRECT(Config!$G$1), MATCH($A74, INDIRECT(Config!$H$1), 0), MATCH(AK$1, INDIRECT(Config!$I$1), 0)), "")</f>
        <v/>
      </c>
      <c r="AL74" s="32" t="str">
        <f t="array" ref="AL74">IFERROR(INDEX(INDIRECT(Config!$G$1), MATCH($A74, INDIRECT(Config!$H$1), 0), MATCH(AL$1, INDIRECT(Config!$I$1), 0)), "")</f>
        <v/>
      </c>
      <c r="AM74" s="35" t="str">
        <f t="array" ref="AM74">IFERROR(INDEX(INDIRECT(Config!$G$1), MATCH($A74, INDIRECT(Config!$H$1), 0), MATCH(AM$1, INDIRECT(Config!$I$1), 0)), "")</f>
        <v/>
      </c>
      <c r="AN74" s="32" t="str">
        <f t="array" ref="AN74">IFERROR(INDEX(INDIRECT(Config!$G$1), MATCH($A74, INDIRECT(Config!$H$1), 0), MATCH(AN$1, INDIRECT(Config!$I$1), 0)), "")</f>
        <v/>
      </c>
      <c r="AO74" s="35" t="str">
        <f t="array" ref="AO74">IFERROR(INDEX(INDIRECT(Config!$G$1), MATCH($A74, INDIRECT(Config!$H$1), 0), MATCH(AO$1, INDIRECT(Config!$I$1), 0)), "")</f>
        <v/>
      </c>
      <c r="AP74" s="32" t="str">
        <f t="array" ref="AP74">IFERROR(INDEX(INDIRECT(Config!$G$1), MATCH($A74, INDIRECT(Config!$H$1), 0), MATCH(AP$1, INDIRECT(Config!$I$1), 0)), "")</f>
        <v/>
      </c>
      <c r="AQ74" s="35" t="str">
        <f t="array" ref="AQ74">IFERROR(INDEX(INDIRECT(Config!$G$1), MATCH($A74, INDIRECT(Config!$H$1), 0), MATCH(AQ$1, INDIRECT(Config!$I$1), 0)), "")</f>
        <v/>
      </c>
      <c r="AR74" s="32" t="str">
        <f t="array" ref="AR74">IFERROR(INDEX(INDIRECT(Config!$G$1), MATCH($A74, INDIRECT(Config!$H$1), 0), MATCH(AR$1, INDIRECT(Config!$I$1), 0)), "")</f>
        <v/>
      </c>
      <c r="AS74" s="35" t="str">
        <f t="array" ref="AS74">IFERROR(INDEX(INDIRECT(Config!$G$1), MATCH($A74, INDIRECT(Config!$H$1), 0), MATCH(AS$1, INDIRECT(Config!$I$1), 0)), "")</f>
        <v/>
      </c>
      <c r="AT74" s="32" t="str">
        <f t="array" ref="AT74">IFERROR(INDEX(INDIRECT(Config!$G$1), MATCH($A74, INDIRECT(Config!$H$1), 0), MATCH(AT$1, INDIRECT(Config!$I$1), 0)), "")</f>
        <v/>
      </c>
      <c r="AU74" s="35" t="str">
        <f t="array" ref="AU74">IFERROR(INDEX(INDIRECT(Config!$G$1), MATCH($A74, INDIRECT(Config!$H$1), 0), MATCH(AU$1, INDIRECT(Config!$I$1), 0)), "")</f>
        <v/>
      </c>
      <c r="AV74" s="32" t="str">
        <f t="array" ref="AV74">IFERROR(INDEX(INDIRECT(Config!$G$1), MATCH($A74, INDIRECT(Config!$H$1), 0), MATCH(AV$1, INDIRECT(Config!$I$1), 0)), "")</f>
        <v/>
      </c>
      <c r="AW74" s="35"/>
      <c r="AX74" s="32"/>
      <c r="AY74" s="35"/>
    </row>
    <row r="75" ht="15.75" customHeight="1">
      <c r="A75" s="12" t="str">
        <f>Menus!B36</f>
        <v/>
      </c>
      <c r="B75" s="51">
        <f t="shared" si="7"/>
        <v>0</v>
      </c>
      <c r="C75" s="33" t="str">
        <f t="array" ref="C75">IFERROR(INDEX(INDIRECT(Config!$G$1), MATCH($A75, INDIRECT(Config!$H$1), 0), MATCH(C$1, INDIRECT(Config!$I$1), 0)), "")</f>
        <v/>
      </c>
      <c r="D75" s="34" t="str">
        <f t="array" ref="D75">IFERROR(INDEX(INDIRECT(Config!$G$1), MATCH($A75, INDIRECT(Config!$H$1), 0), MATCH(D$1, INDIRECT(Config!$I$1), 0)), "")</f>
        <v/>
      </c>
      <c r="E75" s="32" t="str">
        <f t="array" ref="E75">IFERROR(INDEX(INDIRECT(Config!$G$1), MATCH($A75, INDIRECT(Config!$H$1), 0), MATCH(E$1, INDIRECT(Config!$I$1), 0)), "")</f>
        <v/>
      </c>
      <c r="F75" s="35" t="str">
        <f t="array" ref="F75">IFERROR(INDEX(INDIRECT(Config!$G$1), MATCH($A75, INDIRECT(Config!$H$1), 0), MATCH(F$1, INDIRECT(Config!$I$1), 0)), "")</f>
        <v/>
      </c>
      <c r="G75" s="32" t="str">
        <f t="array" ref="G75">IFERROR(INDEX(INDIRECT(Config!$G$1), MATCH($A75, INDIRECT(Config!$H$1), 0), MATCH(G$1, INDIRECT(Config!$I$1), 0)), "")</f>
        <v/>
      </c>
      <c r="H75" s="35" t="str">
        <f t="array" ref="H75">IFERROR(INDEX(INDIRECT(Config!$G$1), MATCH($A75, INDIRECT(Config!$H$1), 0), MATCH(H$1, INDIRECT(Config!$I$1), 0)), "")</f>
        <v/>
      </c>
      <c r="I75" s="32" t="str">
        <f t="array" ref="I75">IFERROR(INDEX(INDIRECT(Config!$G$1), MATCH($A75, INDIRECT(Config!$H$1), 0), MATCH(I$1, INDIRECT(Config!$I$1), 0)), "")</f>
        <v/>
      </c>
      <c r="J75" s="35" t="str">
        <f t="array" ref="J75">IFERROR(INDEX(INDIRECT(Config!$G$1), MATCH($A75, INDIRECT(Config!$H$1), 0), MATCH(J$1, INDIRECT(Config!$I$1), 0)), "")</f>
        <v/>
      </c>
      <c r="K75" s="32" t="str">
        <f t="array" ref="K75">IFERROR(INDEX(INDIRECT(Config!$G$1), MATCH($A75, INDIRECT(Config!$H$1), 0), MATCH(K$1, INDIRECT(Config!$I$1), 0)), "")</f>
        <v/>
      </c>
      <c r="L75" s="35" t="str">
        <f t="array" ref="L75">IFERROR(INDEX(INDIRECT(Config!$G$1), MATCH($A75, INDIRECT(Config!$H$1), 0), MATCH(L$1, INDIRECT(Config!$I$1), 0)), "")</f>
        <v/>
      </c>
      <c r="M75" s="32" t="str">
        <f t="array" ref="M75">IFERROR(INDEX(INDIRECT(Config!$G$1), MATCH($A75, INDIRECT(Config!$H$1), 0), MATCH(M$1, INDIRECT(Config!$I$1), 0)), "")</f>
        <v/>
      </c>
      <c r="N75" s="35" t="str">
        <f t="array" ref="N75">IFERROR(INDEX(INDIRECT(Config!$G$1), MATCH($A75, INDIRECT(Config!$H$1), 0), MATCH(N$1, INDIRECT(Config!$I$1), 0)), "")</f>
        <v/>
      </c>
      <c r="O75" s="32" t="str">
        <f t="array" ref="O75">IFERROR(INDEX(INDIRECT(Config!$G$1), MATCH($A75, INDIRECT(Config!$H$1), 0), MATCH(O$1, INDIRECT(Config!$I$1), 0)), "")</f>
        <v/>
      </c>
      <c r="P75" s="35" t="str">
        <f t="array" ref="P75">IFERROR(INDEX(INDIRECT(Config!$G$1), MATCH($A75, INDIRECT(Config!$H$1), 0), MATCH(P$1, INDIRECT(Config!$I$1), 0)), "")</f>
        <v/>
      </c>
      <c r="Q75" s="32" t="str">
        <f t="array" ref="Q75">IFERROR(INDEX(INDIRECT(Config!$G$1), MATCH($A75, INDIRECT(Config!$H$1), 0), MATCH(Q$1, INDIRECT(Config!$I$1), 0)), "")</f>
        <v/>
      </c>
      <c r="R75" s="35" t="str">
        <f t="array" ref="R75">IFERROR(INDEX(INDIRECT(Config!$G$1), MATCH($A75, INDIRECT(Config!$H$1), 0), MATCH(R$1, INDIRECT(Config!$I$1), 0)), "")</f>
        <v/>
      </c>
      <c r="S75" s="32" t="str">
        <f t="array" ref="S75">IFERROR(INDEX(INDIRECT(Config!$G$1), MATCH($A75, INDIRECT(Config!$H$1), 0), MATCH(S$1, INDIRECT(Config!$I$1), 0)), "")</f>
        <v/>
      </c>
      <c r="T75" s="35" t="str">
        <f t="array" ref="T75">IFERROR(INDEX(INDIRECT(Config!$G$1), MATCH($A75, INDIRECT(Config!$H$1), 0), MATCH(T$1, INDIRECT(Config!$I$1), 0)), "")</f>
        <v/>
      </c>
      <c r="U75" s="32" t="str">
        <f t="array" ref="U75">IFERROR(INDEX(INDIRECT(Config!$G$1), MATCH($A75, INDIRECT(Config!$H$1), 0), MATCH(U$1, INDIRECT(Config!$I$1), 0)), "")</f>
        <v/>
      </c>
      <c r="V75" s="35" t="str">
        <f t="array" ref="V75">IFERROR(INDEX(INDIRECT(Config!$G$1), MATCH($A75, INDIRECT(Config!$H$1), 0), MATCH(V$1, INDIRECT(Config!$I$1), 0)), "")</f>
        <v/>
      </c>
      <c r="W75" s="32" t="str">
        <f t="array" ref="W75">IFERROR(INDEX(INDIRECT(Config!$G$1), MATCH($A75, INDIRECT(Config!$H$1), 0), MATCH(W$1, INDIRECT(Config!$I$1), 0)), "")</f>
        <v/>
      </c>
      <c r="X75" s="35" t="str">
        <f t="array" ref="X75">IFERROR(INDEX(INDIRECT(Config!$G$1), MATCH($A75, INDIRECT(Config!$H$1), 0), MATCH(X$1, INDIRECT(Config!$I$1), 0)), "")</f>
        <v/>
      </c>
      <c r="Y75" s="32" t="str">
        <f t="array" ref="Y75">IFERROR(INDEX(INDIRECT(Config!$G$1), MATCH($A75, INDIRECT(Config!$H$1), 0), MATCH(Y$1, INDIRECT(Config!$I$1), 0)), "")</f>
        <v/>
      </c>
      <c r="Z75" s="32" t="str">
        <f t="array" ref="Z75">IFERROR(INDEX(INDIRECT(Config!$G$1), MATCH($A75, INDIRECT(Config!$H$1), 0), MATCH(Z$1, INDIRECT(Config!$I$1), 0)), "")</f>
        <v/>
      </c>
      <c r="AA75" s="35" t="str">
        <f t="array" ref="AA75">IFERROR(INDEX(INDIRECT(Config!$G$1), MATCH($A75, INDIRECT(Config!$H$1), 0), MATCH(AA$1, INDIRECT(Config!$I$1), 0)), "")</f>
        <v/>
      </c>
      <c r="AB75" s="32" t="str">
        <f t="array" ref="AB75">IFERROR(INDEX(INDIRECT(Config!$G$1), MATCH($A75, INDIRECT(Config!$H$1), 0), MATCH(AB$1, INDIRECT(Config!$I$1), 0)), "")</f>
        <v/>
      </c>
      <c r="AC75" s="35" t="str">
        <f t="array" ref="AC75">IFERROR(INDEX(INDIRECT(Config!$G$1), MATCH($A75, INDIRECT(Config!$H$1), 0), MATCH(AC$1, INDIRECT(Config!$I$1), 0)), "")</f>
        <v/>
      </c>
      <c r="AD75" s="32" t="str">
        <f t="array" ref="AD75">IFERROR(INDEX(INDIRECT(Config!$G$1), MATCH($A75, INDIRECT(Config!$H$1), 0), MATCH(AD$1, INDIRECT(Config!$I$1), 0)), "")</f>
        <v/>
      </c>
      <c r="AE75" s="35" t="str">
        <f t="array" ref="AE75">IFERROR(INDEX(INDIRECT(Config!$G$1), MATCH($A75, INDIRECT(Config!$H$1), 0), MATCH(AE$1, INDIRECT(Config!$I$1), 0)), "")</f>
        <v/>
      </c>
      <c r="AF75" s="32" t="str">
        <f t="array" ref="AF75">IFERROR(INDEX(INDIRECT(Config!$G$1), MATCH($A75, INDIRECT(Config!$H$1), 0), MATCH(AF$1, INDIRECT(Config!$I$1), 0)), "")</f>
        <v/>
      </c>
      <c r="AG75" s="35" t="str">
        <f t="array" ref="AG75">IFERROR(INDEX(INDIRECT(Config!$G$1), MATCH($A75, INDIRECT(Config!$H$1), 0), MATCH(AG$1, INDIRECT(Config!$I$1), 0)), "")</f>
        <v/>
      </c>
      <c r="AH75" s="32" t="str">
        <f t="array" ref="AH75">IFERROR(INDEX(INDIRECT(Config!$G$1), MATCH($A75, INDIRECT(Config!$H$1), 0), MATCH(AH$1, INDIRECT(Config!$I$1), 0)), "")</f>
        <v/>
      </c>
      <c r="AI75" s="35" t="str">
        <f t="array" ref="AI75">IFERROR(INDEX(INDIRECT(Config!$G$1), MATCH($A75, INDIRECT(Config!$H$1), 0), MATCH(AI$1, INDIRECT(Config!$I$1), 0)), "")</f>
        <v/>
      </c>
      <c r="AJ75" s="32" t="str">
        <f t="array" ref="AJ75">IFERROR(INDEX(INDIRECT(Config!$G$1), MATCH($A75, INDIRECT(Config!$H$1), 0), MATCH(AJ$1, INDIRECT(Config!$I$1), 0)), "")</f>
        <v/>
      </c>
      <c r="AK75" s="35" t="str">
        <f t="array" ref="AK75">IFERROR(INDEX(INDIRECT(Config!$G$1), MATCH($A75, INDIRECT(Config!$H$1), 0), MATCH(AK$1, INDIRECT(Config!$I$1), 0)), "")</f>
        <v/>
      </c>
      <c r="AL75" s="32" t="str">
        <f t="array" ref="AL75">IFERROR(INDEX(INDIRECT(Config!$G$1), MATCH($A75, INDIRECT(Config!$H$1), 0), MATCH(AL$1, INDIRECT(Config!$I$1), 0)), "")</f>
        <v/>
      </c>
      <c r="AM75" s="35" t="str">
        <f t="array" ref="AM75">IFERROR(INDEX(INDIRECT(Config!$G$1), MATCH($A75, INDIRECT(Config!$H$1), 0), MATCH(AM$1, INDIRECT(Config!$I$1), 0)), "")</f>
        <v/>
      </c>
      <c r="AN75" s="32" t="str">
        <f t="array" ref="AN75">IFERROR(INDEX(INDIRECT(Config!$G$1), MATCH($A75, INDIRECT(Config!$H$1), 0), MATCH(AN$1, INDIRECT(Config!$I$1), 0)), "")</f>
        <v/>
      </c>
      <c r="AO75" s="35" t="str">
        <f t="array" ref="AO75">IFERROR(INDEX(INDIRECT(Config!$G$1), MATCH($A75, INDIRECT(Config!$H$1), 0), MATCH(AO$1, INDIRECT(Config!$I$1), 0)), "")</f>
        <v/>
      </c>
      <c r="AP75" s="32" t="str">
        <f t="array" ref="AP75">IFERROR(INDEX(INDIRECT(Config!$G$1), MATCH($A75, INDIRECT(Config!$H$1), 0), MATCH(AP$1, INDIRECT(Config!$I$1), 0)), "")</f>
        <v/>
      </c>
      <c r="AQ75" s="35" t="str">
        <f t="array" ref="AQ75">IFERROR(INDEX(INDIRECT(Config!$G$1), MATCH($A75, INDIRECT(Config!$H$1), 0), MATCH(AQ$1, INDIRECT(Config!$I$1), 0)), "")</f>
        <v/>
      </c>
      <c r="AR75" s="32" t="str">
        <f t="array" ref="AR75">IFERROR(INDEX(INDIRECT(Config!$G$1), MATCH($A75, INDIRECT(Config!$H$1), 0), MATCH(AR$1, INDIRECT(Config!$I$1), 0)), "")</f>
        <v/>
      </c>
      <c r="AS75" s="35" t="str">
        <f t="array" ref="AS75">IFERROR(INDEX(INDIRECT(Config!$G$1), MATCH($A75, INDIRECT(Config!$H$1), 0), MATCH(AS$1, INDIRECT(Config!$I$1), 0)), "")</f>
        <v/>
      </c>
      <c r="AT75" s="32" t="str">
        <f t="array" ref="AT75">IFERROR(INDEX(INDIRECT(Config!$G$1), MATCH($A75, INDIRECT(Config!$H$1), 0), MATCH(AT$1, INDIRECT(Config!$I$1), 0)), "")</f>
        <v/>
      </c>
      <c r="AU75" s="35" t="str">
        <f t="array" ref="AU75">IFERROR(INDEX(INDIRECT(Config!$G$1), MATCH($A75, INDIRECT(Config!$H$1), 0), MATCH(AU$1, INDIRECT(Config!$I$1), 0)), "")</f>
        <v/>
      </c>
      <c r="AV75" s="32" t="str">
        <f t="array" ref="AV75">IFERROR(INDEX(INDIRECT(Config!$G$1), MATCH($A75, INDIRECT(Config!$H$1), 0), MATCH(AV$1, INDIRECT(Config!$I$1), 0)), "")</f>
        <v/>
      </c>
      <c r="AW75" s="35"/>
      <c r="AX75" s="32"/>
      <c r="AY75" s="35"/>
    </row>
    <row r="76" ht="15.75" customHeight="1">
      <c r="A76" s="12" t="str">
        <f>Menus!B37</f>
        <v/>
      </c>
      <c r="B76" s="51">
        <f t="shared" si="7"/>
        <v>0</v>
      </c>
      <c r="C76" s="33" t="str">
        <f t="array" ref="C76">IFERROR(INDEX(INDIRECT(Config!$G$1), MATCH($A76, INDIRECT(Config!$H$1), 0), MATCH(C$1, INDIRECT(Config!$I$1), 0)), "")</f>
        <v/>
      </c>
      <c r="D76" s="34" t="str">
        <f t="array" ref="D76">IFERROR(INDEX(INDIRECT(Config!$G$1), MATCH($A76, INDIRECT(Config!$H$1), 0), MATCH(D$1, INDIRECT(Config!$I$1), 0)), "")</f>
        <v/>
      </c>
      <c r="E76" s="32" t="str">
        <f t="array" ref="E76">IFERROR(INDEX(INDIRECT(Config!$G$1), MATCH($A76, INDIRECT(Config!$H$1), 0), MATCH(E$1, INDIRECT(Config!$I$1), 0)), "")</f>
        <v/>
      </c>
      <c r="F76" s="35" t="str">
        <f t="array" ref="F76">IFERROR(INDEX(INDIRECT(Config!$G$1), MATCH($A76, INDIRECT(Config!$H$1), 0), MATCH(F$1, INDIRECT(Config!$I$1), 0)), "")</f>
        <v/>
      </c>
      <c r="G76" s="32" t="str">
        <f t="array" ref="G76">IFERROR(INDEX(INDIRECT(Config!$G$1), MATCH($A76, INDIRECT(Config!$H$1), 0), MATCH(G$1, INDIRECT(Config!$I$1), 0)), "")</f>
        <v/>
      </c>
      <c r="H76" s="35" t="str">
        <f t="array" ref="H76">IFERROR(INDEX(INDIRECT(Config!$G$1), MATCH($A76, INDIRECT(Config!$H$1), 0), MATCH(H$1, INDIRECT(Config!$I$1), 0)), "")</f>
        <v/>
      </c>
      <c r="I76" s="32" t="str">
        <f t="array" ref="I76">IFERROR(INDEX(INDIRECT(Config!$G$1), MATCH($A76, INDIRECT(Config!$H$1), 0), MATCH(I$1, INDIRECT(Config!$I$1), 0)), "")</f>
        <v/>
      </c>
      <c r="J76" s="35" t="str">
        <f t="array" ref="J76">IFERROR(INDEX(INDIRECT(Config!$G$1), MATCH($A76, INDIRECT(Config!$H$1), 0), MATCH(J$1, INDIRECT(Config!$I$1), 0)), "")</f>
        <v/>
      </c>
      <c r="K76" s="32" t="str">
        <f t="array" ref="K76">IFERROR(INDEX(INDIRECT(Config!$G$1), MATCH($A76, INDIRECT(Config!$H$1), 0), MATCH(K$1, INDIRECT(Config!$I$1), 0)), "")</f>
        <v/>
      </c>
      <c r="L76" s="35" t="str">
        <f t="array" ref="L76">IFERROR(INDEX(INDIRECT(Config!$G$1), MATCH($A76, INDIRECT(Config!$H$1), 0), MATCH(L$1, INDIRECT(Config!$I$1), 0)), "")</f>
        <v/>
      </c>
      <c r="M76" s="32" t="str">
        <f t="array" ref="M76">IFERROR(INDEX(INDIRECT(Config!$G$1), MATCH($A76, INDIRECT(Config!$H$1), 0), MATCH(M$1, INDIRECT(Config!$I$1), 0)), "")</f>
        <v/>
      </c>
      <c r="N76" s="35" t="str">
        <f t="array" ref="N76">IFERROR(INDEX(INDIRECT(Config!$G$1), MATCH($A76, INDIRECT(Config!$H$1), 0), MATCH(N$1, INDIRECT(Config!$I$1), 0)), "")</f>
        <v/>
      </c>
      <c r="O76" s="32" t="str">
        <f t="array" ref="O76">IFERROR(INDEX(INDIRECT(Config!$G$1), MATCH($A76, INDIRECT(Config!$H$1), 0), MATCH(O$1, INDIRECT(Config!$I$1), 0)), "")</f>
        <v/>
      </c>
      <c r="P76" s="35" t="str">
        <f t="array" ref="P76">IFERROR(INDEX(INDIRECT(Config!$G$1), MATCH($A76, INDIRECT(Config!$H$1), 0), MATCH(P$1, INDIRECT(Config!$I$1), 0)), "")</f>
        <v/>
      </c>
      <c r="Q76" s="32" t="str">
        <f t="array" ref="Q76">IFERROR(INDEX(INDIRECT(Config!$G$1), MATCH($A76, INDIRECT(Config!$H$1), 0), MATCH(Q$1, INDIRECT(Config!$I$1), 0)), "")</f>
        <v/>
      </c>
      <c r="R76" s="35" t="str">
        <f t="array" ref="R76">IFERROR(INDEX(INDIRECT(Config!$G$1), MATCH($A76, INDIRECT(Config!$H$1), 0), MATCH(R$1, INDIRECT(Config!$I$1), 0)), "")</f>
        <v/>
      </c>
      <c r="S76" s="32" t="str">
        <f t="array" ref="S76">IFERROR(INDEX(INDIRECT(Config!$G$1), MATCH($A76, INDIRECT(Config!$H$1), 0), MATCH(S$1, INDIRECT(Config!$I$1), 0)), "")</f>
        <v/>
      </c>
      <c r="T76" s="35" t="str">
        <f t="array" ref="T76">IFERROR(INDEX(INDIRECT(Config!$G$1), MATCH($A76, INDIRECT(Config!$H$1), 0), MATCH(T$1, INDIRECT(Config!$I$1), 0)), "")</f>
        <v/>
      </c>
      <c r="U76" s="32" t="str">
        <f t="array" ref="U76">IFERROR(INDEX(INDIRECT(Config!$G$1), MATCH($A76, INDIRECT(Config!$H$1), 0), MATCH(U$1, INDIRECT(Config!$I$1), 0)), "")</f>
        <v/>
      </c>
      <c r="V76" s="35" t="str">
        <f t="array" ref="V76">IFERROR(INDEX(INDIRECT(Config!$G$1), MATCH($A76, INDIRECT(Config!$H$1), 0), MATCH(V$1, INDIRECT(Config!$I$1), 0)), "")</f>
        <v/>
      </c>
      <c r="W76" s="32" t="str">
        <f t="array" ref="W76">IFERROR(INDEX(INDIRECT(Config!$G$1), MATCH($A76, INDIRECT(Config!$H$1), 0), MATCH(W$1, INDIRECT(Config!$I$1), 0)), "")</f>
        <v/>
      </c>
      <c r="X76" s="35" t="str">
        <f t="array" ref="X76">IFERROR(INDEX(INDIRECT(Config!$G$1), MATCH($A76, INDIRECT(Config!$H$1), 0), MATCH(X$1, INDIRECT(Config!$I$1), 0)), "")</f>
        <v/>
      </c>
      <c r="Y76" s="32" t="str">
        <f t="array" ref="Y76">IFERROR(INDEX(INDIRECT(Config!$G$1), MATCH($A76, INDIRECT(Config!$H$1), 0), MATCH(Y$1, INDIRECT(Config!$I$1), 0)), "")</f>
        <v/>
      </c>
      <c r="Z76" s="32" t="str">
        <f t="array" ref="Z76">IFERROR(INDEX(INDIRECT(Config!$G$1), MATCH($A76, INDIRECT(Config!$H$1), 0), MATCH(Z$1, INDIRECT(Config!$I$1), 0)), "")</f>
        <v/>
      </c>
      <c r="AA76" s="35" t="str">
        <f t="array" ref="AA76">IFERROR(INDEX(INDIRECT(Config!$G$1), MATCH($A76, INDIRECT(Config!$H$1), 0), MATCH(AA$1, INDIRECT(Config!$I$1), 0)), "")</f>
        <v/>
      </c>
      <c r="AB76" s="32" t="str">
        <f t="array" ref="AB76">IFERROR(INDEX(INDIRECT(Config!$G$1), MATCH($A76, INDIRECT(Config!$H$1), 0), MATCH(AB$1, INDIRECT(Config!$I$1), 0)), "")</f>
        <v/>
      </c>
      <c r="AC76" s="35" t="str">
        <f t="array" ref="AC76">IFERROR(INDEX(INDIRECT(Config!$G$1), MATCH($A76, INDIRECT(Config!$H$1), 0), MATCH(AC$1, INDIRECT(Config!$I$1), 0)), "")</f>
        <v/>
      </c>
      <c r="AD76" s="32" t="str">
        <f t="array" ref="AD76">IFERROR(INDEX(INDIRECT(Config!$G$1), MATCH($A76, INDIRECT(Config!$H$1), 0), MATCH(AD$1, INDIRECT(Config!$I$1), 0)), "")</f>
        <v/>
      </c>
      <c r="AE76" s="35" t="str">
        <f t="array" ref="AE76">IFERROR(INDEX(INDIRECT(Config!$G$1), MATCH($A76, INDIRECT(Config!$H$1), 0), MATCH(AE$1, INDIRECT(Config!$I$1), 0)), "")</f>
        <v/>
      </c>
      <c r="AF76" s="32" t="str">
        <f t="array" ref="AF76">IFERROR(INDEX(INDIRECT(Config!$G$1), MATCH($A76, INDIRECT(Config!$H$1), 0), MATCH(AF$1, INDIRECT(Config!$I$1), 0)), "")</f>
        <v/>
      </c>
      <c r="AG76" s="35" t="str">
        <f t="array" ref="AG76">IFERROR(INDEX(INDIRECT(Config!$G$1), MATCH($A76, INDIRECT(Config!$H$1), 0), MATCH(AG$1, INDIRECT(Config!$I$1), 0)), "")</f>
        <v/>
      </c>
      <c r="AH76" s="32" t="str">
        <f t="array" ref="AH76">IFERROR(INDEX(INDIRECT(Config!$G$1), MATCH($A76, INDIRECT(Config!$H$1), 0), MATCH(AH$1, INDIRECT(Config!$I$1), 0)), "")</f>
        <v/>
      </c>
      <c r="AI76" s="35" t="str">
        <f t="array" ref="AI76">IFERROR(INDEX(INDIRECT(Config!$G$1), MATCH($A76, INDIRECT(Config!$H$1), 0), MATCH(AI$1, INDIRECT(Config!$I$1), 0)), "")</f>
        <v/>
      </c>
      <c r="AJ76" s="32" t="str">
        <f t="array" ref="AJ76">IFERROR(INDEX(INDIRECT(Config!$G$1), MATCH($A76, INDIRECT(Config!$H$1), 0), MATCH(AJ$1, INDIRECT(Config!$I$1), 0)), "")</f>
        <v/>
      </c>
      <c r="AK76" s="35" t="str">
        <f t="array" ref="AK76">IFERROR(INDEX(INDIRECT(Config!$G$1), MATCH($A76, INDIRECT(Config!$H$1), 0), MATCH(AK$1, INDIRECT(Config!$I$1), 0)), "")</f>
        <v/>
      </c>
      <c r="AL76" s="32" t="str">
        <f t="array" ref="AL76">IFERROR(INDEX(INDIRECT(Config!$G$1), MATCH($A76, INDIRECT(Config!$H$1), 0), MATCH(AL$1, INDIRECT(Config!$I$1), 0)), "")</f>
        <v/>
      </c>
      <c r="AM76" s="35" t="str">
        <f t="array" ref="AM76">IFERROR(INDEX(INDIRECT(Config!$G$1), MATCH($A76, INDIRECT(Config!$H$1), 0), MATCH(AM$1, INDIRECT(Config!$I$1), 0)), "")</f>
        <v/>
      </c>
      <c r="AN76" s="32" t="str">
        <f t="array" ref="AN76">IFERROR(INDEX(INDIRECT(Config!$G$1), MATCH($A76, INDIRECT(Config!$H$1), 0), MATCH(AN$1, INDIRECT(Config!$I$1), 0)), "")</f>
        <v/>
      </c>
      <c r="AO76" s="35" t="str">
        <f t="array" ref="AO76">IFERROR(INDEX(INDIRECT(Config!$G$1), MATCH($A76, INDIRECT(Config!$H$1), 0), MATCH(AO$1, INDIRECT(Config!$I$1), 0)), "")</f>
        <v/>
      </c>
      <c r="AP76" s="32" t="str">
        <f t="array" ref="AP76">IFERROR(INDEX(INDIRECT(Config!$G$1), MATCH($A76, INDIRECT(Config!$H$1), 0), MATCH(AP$1, INDIRECT(Config!$I$1), 0)), "")</f>
        <v/>
      </c>
      <c r="AQ76" s="35" t="str">
        <f t="array" ref="AQ76">IFERROR(INDEX(INDIRECT(Config!$G$1), MATCH($A76, INDIRECT(Config!$H$1), 0), MATCH(AQ$1, INDIRECT(Config!$I$1), 0)), "")</f>
        <v/>
      </c>
      <c r="AR76" s="32" t="str">
        <f t="array" ref="AR76">IFERROR(INDEX(INDIRECT(Config!$G$1), MATCH($A76, INDIRECT(Config!$H$1), 0), MATCH(AR$1, INDIRECT(Config!$I$1), 0)), "")</f>
        <v/>
      </c>
      <c r="AS76" s="35" t="str">
        <f t="array" ref="AS76">IFERROR(INDEX(INDIRECT(Config!$G$1), MATCH($A76, INDIRECT(Config!$H$1), 0), MATCH(AS$1, INDIRECT(Config!$I$1), 0)), "")</f>
        <v/>
      </c>
      <c r="AT76" s="32" t="str">
        <f t="array" ref="AT76">IFERROR(INDEX(INDIRECT(Config!$G$1), MATCH($A76, INDIRECT(Config!$H$1), 0), MATCH(AT$1, INDIRECT(Config!$I$1), 0)), "")</f>
        <v/>
      </c>
      <c r="AU76" s="35" t="str">
        <f t="array" ref="AU76">IFERROR(INDEX(INDIRECT(Config!$G$1), MATCH($A76, INDIRECT(Config!$H$1), 0), MATCH(AU$1, INDIRECT(Config!$I$1), 0)), "")</f>
        <v/>
      </c>
      <c r="AV76" s="32" t="str">
        <f t="array" ref="AV76">IFERROR(INDEX(INDIRECT(Config!$G$1), MATCH($A76, INDIRECT(Config!$H$1), 0), MATCH(AV$1, INDIRECT(Config!$I$1), 0)), "")</f>
        <v/>
      </c>
      <c r="AW76" s="35"/>
      <c r="AX76" s="32"/>
      <c r="AY76" s="35"/>
    </row>
    <row r="77" ht="15.75" customHeight="1">
      <c r="A77" s="12" t="str">
        <f>Menus!B38</f>
        <v/>
      </c>
      <c r="B77" s="51">
        <f t="shared" si="7"/>
        <v>0</v>
      </c>
      <c r="C77" s="33" t="str">
        <f t="array" ref="C77">IFERROR(INDEX(INDIRECT(Config!$G$1), MATCH($A77, INDIRECT(Config!$H$1), 0), MATCH(C$1, INDIRECT(Config!$I$1), 0)), "")</f>
        <v/>
      </c>
      <c r="D77" s="34" t="str">
        <f t="array" ref="D77">IFERROR(INDEX(INDIRECT(Config!$G$1), MATCH($A77, INDIRECT(Config!$H$1), 0), MATCH(D$1, INDIRECT(Config!$I$1), 0)), "")</f>
        <v/>
      </c>
      <c r="E77" s="32" t="str">
        <f t="array" ref="E77">IFERROR(INDEX(INDIRECT(Config!$G$1), MATCH($A77, INDIRECT(Config!$H$1), 0), MATCH(E$1, INDIRECT(Config!$I$1), 0)), "")</f>
        <v/>
      </c>
      <c r="F77" s="35" t="str">
        <f t="array" ref="F77">IFERROR(INDEX(INDIRECT(Config!$G$1), MATCH($A77, INDIRECT(Config!$H$1), 0), MATCH(F$1, INDIRECT(Config!$I$1), 0)), "")</f>
        <v/>
      </c>
      <c r="G77" s="32" t="str">
        <f t="array" ref="G77">IFERROR(INDEX(INDIRECT(Config!$G$1), MATCH($A77, INDIRECT(Config!$H$1), 0), MATCH(G$1, INDIRECT(Config!$I$1), 0)), "")</f>
        <v/>
      </c>
      <c r="H77" s="35" t="str">
        <f t="array" ref="H77">IFERROR(INDEX(INDIRECT(Config!$G$1), MATCH($A77, INDIRECT(Config!$H$1), 0), MATCH(H$1, INDIRECT(Config!$I$1), 0)), "")</f>
        <v/>
      </c>
      <c r="I77" s="32" t="str">
        <f t="array" ref="I77">IFERROR(INDEX(INDIRECT(Config!$G$1), MATCH($A77, INDIRECT(Config!$H$1), 0), MATCH(I$1, INDIRECT(Config!$I$1), 0)), "")</f>
        <v/>
      </c>
      <c r="J77" s="35" t="str">
        <f t="array" ref="J77">IFERROR(INDEX(INDIRECT(Config!$G$1), MATCH($A77, INDIRECT(Config!$H$1), 0), MATCH(J$1, INDIRECT(Config!$I$1), 0)), "")</f>
        <v/>
      </c>
      <c r="K77" s="32" t="str">
        <f t="array" ref="K77">IFERROR(INDEX(INDIRECT(Config!$G$1), MATCH($A77, INDIRECT(Config!$H$1), 0), MATCH(K$1, INDIRECT(Config!$I$1), 0)), "")</f>
        <v/>
      </c>
      <c r="L77" s="35" t="str">
        <f t="array" ref="L77">IFERROR(INDEX(INDIRECT(Config!$G$1), MATCH($A77, INDIRECT(Config!$H$1), 0), MATCH(L$1, INDIRECT(Config!$I$1), 0)), "")</f>
        <v/>
      </c>
      <c r="M77" s="32" t="str">
        <f t="array" ref="M77">IFERROR(INDEX(INDIRECT(Config!$G$1), MATCH($A77, INDIRECT(Config!$H$1), 0), MATCH(M$1, INDIRECT(Config!$I$1), 0)), "")</f>
        <v/>
      </c>
      <c r="N77" s="35" t="str">
        <f t="array" ref="N77">IFERROR(INDEX(INDIRECT(Config!$G$1), MATCH($A77, INDIRECT(Config!$H$1), 0), MATCH(N$1, INDIRECT(Config!$I$1), 0)), "")</f>
        <v/>
      </c>
      <c r="O77" s="32" t="str">
        <f t="array" ref="O77">IFERROR(INDEX(INDIRECT(Config!$G$1), MATCH($A77, INDIRECT(Config!$H$1), 0), MATCH(O$1, INDIRECT(Config!$I$1), 0)), "")</f>
        <v/>
      </c>
      <c r="P77" s="35" t="str">
        <f t="array" ref="P77">IFERROR(INDEX(INDIRECT(Config!$G$1), MATCH($A77, INDIRECT(Config!$H$1), 0), MATCH(P$1, INDIRECT(Config!$I$1), 0)), "")</f>
        <v/>
      </c>
      <c r="Q77" s="32" t="str">
        <f t="array" ref="Q77">IFERROR(INDEX(INDIRECT(Config!$G$1), MATCH($A77, INDIRECT(Config!$H$1), 0), MATCH(Q$1, INDIRECT(Config!$I$1), 0)), "")</f>
        <v/>
      </c>
      <c r="R77" s="35" t="str">
        <f t="array" ref="R77">IFERROR(INDEX(INDIRECT(Config!$G$1), MATCH($A77, INDIRECT(Config!$H$1), 0), MATCH(R$1, INDIRECT(Config!$I$1), 0)), "")</f>
        <v/>
      </c>
      <c r="S77" s="32" t="str">
        <f t="array" ref="S77">IFERROR(INDEX(INDIRECT(Config!$G$1), MATCH($A77, INDIRECT(Config!$H$1), 0), MATCH(S$1, INDIRECT(Config!$I$1), 0)), "")</f>
        <v/>
      </c>
      <c r="T77" s="35" t="str">
        <f t="array" ref="T77">IFERROR(INDEX(INDIRECT(Config!$G$1), MATCH($A77, INDIRECT(Config!$H$1), 0), MATCH(T$1, INDIRECT(Config!$I$1), 0)), "")</f>
        <v/>
      </c>
      <c r="U77" s="32" t="str">
        <f t="array" ref="U77">IFERROR(INDEX(INDIRECT(Config!$G$1), MATCH($A77, INDIRECT(Config!$H$1), 0), MATCH(U$1, INDIRECT(Config!$I$1), 0)), "")</f>
        <v/>
      </c>
      <c r="V77" s="35" t="str">
        <f t="array" ref="V77">IFERROR(INDEX(INDIRECT(Config!$G$1), MATCH($A77, INDIRECT(Config!$H$1), 0), MATCH(V$1, INDIRECT(Config!$I$1), 0)), "")</f>
        <v/>
      </c>
      <c r="W77" s="32" t="str">
        <f t="array" ref="W77">IFERROR(INDEX(INDIRECT(Config!$G$1), MATCH($A77, INDIRECT(Config!$H$1), 0), MATCH(W$1, INDIRECT(Config!$I$1), 0)), "")</f>
        <v/>
      </c>
      <c r="X77" s="35" t="str">
        <f t="array" ref="X77">IFERROR(INDEX(INDIRECT(Config!$G$1), MATCH($A77, INDIRECT(Config!$H$1), 0), MATCH(X$1, INDIRECT(Config!$I$1), 0)), "")</f>
        <v/>
      </c>
      <c r="Y77" s="32" t="str">
        <f t="array" ref="Y77">IFERROR(INDEX(INDIRECT(Config!$G$1), MATCH($A77, INDIRECT(Config!$H$1), 0), MATCH(Y$1, INDIRECT(Config!$I$1), 0)), "")</f>
        <v/>
      </c>
      <c r="Z77" s="32" t="str">
        <f t="array" ref="Z77">IFERROR(INDEX(INDIRECT(Config!$G$1), MATCH($A77, INDIRECT(Config!$H$1), 0), MATCH(Z$1, INDIRECT(Config!$I$1), 0)), "")</f>
        <v/>
      </c>
      <c r="AA77" s="35" t="str">
        <f t="array" ref="AA77">IFERROR(INDEX(INDIRECT(Config!$G$1), MATCH($A77, INDIRECT(Config!$H$1), 0), MATCH(AA$1, INDIRECT(Config!$I$1), 0)), "")</f>
        <v/>
      </c>
      <c r="AB77" s="32" t="str">
        <f t="array" ref="AB77">IFERROR(INDEX(INDIRECT(Config!$G$1), MATCH($A77, INDIRECT(Config!$H$1), 0), MATCH(AB$1, INDIRECT(Config!$I$1), 0)), "")</f>
        <v/>
      </c>
      <c r="AC77" s="35" t="str">
        <f t="array" ref="AC77">IFERROR(INDEX(INDIRECT(Config!$G$1), MATCH($A77, INDIRECT(Config!$H$1), 0), MATCH(AC$1, INDIRECT(Config!$I$1), 0)), "")</f>
        <v/>
      </c>
      <c r="AD77" s="32" t="str">
        <f t="array" ref="AD77">IFERROR(INDEX(INDIRECT(Config!$G$1), MATCH($A77, INDIRECT(Config!$H$1), 0), MATCH(AD$1, INDIRECT(Config!$I$1), 0)), "")</f>
        <v/>
      </c>
      <c r="AE77" s="35" t="str">
        <f t="array" ref="AE77">IFERROR(INDEX(INDIRECT(Config!$G$1), MATCH($A77, INDIRECT(Config!$H$1), 0), MATCH(AE$1, INDIRECT(Config!$I$1), 0)), "")</f>
        <v/>
      </c>
      <c r="AF77" s="32" t="str">
        <f t="array" ref="AF77">IFERROR(INDEX(INDIRECT(Config!$G$1), MATCH($A77, INDIRECT(Config!$H$1), 0), MATCH(AF$1, INDIRECT(Config!$I$1), 0)), "")</f>
        <v/>
      </c>
      <c r="AG77" s="35" t="str">
        <f t="array" ref="AG77">IFERROR(INDEX(INDIRECT(Config!$G$1), MATCH($A77, INDIRECT(Config!$H$1), 0), MATCH(AG$1, INDIRECT(Config!$I$1), 0)), "")</f>
        <v/>
      </c>
      <c r="AH77" s="32" t="str">
        <f t="array" ref="AH77">IFERROR(INDEX(INDIRECT(Config!$G$1), MATCH($A77, INDIRECT(Config!$H$1), 0), MATCH(AH$1, INDIRECT(Config!$I$1), 0)), "")</f>
        <v/>
      </c>
      <c r="AI77" s="35" t="str">
        <f t="array" ref="AI77">IFERROR(INDEX(INDIRECT(Config!$G$1), MATCH($A77, INDIRECT(Config!$H$1), 0), MATCH(AI$1, INDIRECT(Config!$I$1), 0)), "")</f>
        <v/>
      </c>
      <c r="AJ77" s="32" t="str">
        <f t="array" ref="AJ77">IFERROR(INDEX(INDIRECT(Config!$G$1), MATCH($A77, INDIRECT(Config!$H$1), 0), MATCH(AJ$1, INDIRECT(Config!$I$1), 0)), "")</f>
        <v/>
      </c>
      <c r="AK77" s="35" t="str">
        <f t="array" ref="AK77">IFERROR(INDEX(INDIRECT(Config!$G$1), MATCH($A77, INDIRECT(Config!$H$1), 0), MATCH(AK$1, INDIRECT(Config!$I$1), 0)), "")</f>
        <v/>
      </c>
      <c r="AL77" s="32" t="str">
        <f t="array" ref="AL77">IFERROR(INDEX(INDIRECT(Config!$G$1), MATCH($A77, INDIRECT(Config!$H$1), 0), MATCH(AL$1, INDIRECT(Config!$I$1), 0)), "")</f>
        <v/>
      </c>
      <c r="AM77" s="35" t="str">
        <f t="array" ref="AM77">IFERROR(INDEX(INDIRECT(Config!$G$1), MATCH($A77, INDIRECT(Config!$H$1), 0), MATCH(AM$1, INDIRECT(Config!$I$1), 0)), "")</f>
        <v/>
      </c>
      <c r="AN77" s="32" t="str">
        <f t="array" ref="AN77">IFERROR(INDEX(INDIRECT(Config!$G$1), MATCH($A77, INDIRECT(Config!$H$1), 0), MATCH(AN$1, INDIRECT(Config!$I$1), 0)), "")</f>
        <v/>
      </c>
      <c r="AO77" s="35" t="str">
        <f t="array" ref="AO77">IFERROR(INDEX(INDIRECT(Config!$G$1), MATCH($A77, INDIRECT(Config!$H$1), 0), MATCH(AO$1, INDIRECT(Config!$I$1), 0)), "")</f>
        <v/>
      </c>
      <c r="AP77" s="32" t="str">
        <f t="array" ref="AP77">IFERROR(INDEX(INDIRECT(Config!$G$1), MATCH($A77, INDIRECT(Config!$H$1), 0), MATCH(AP$1, INDIRECT(Config!$I$1), 0)), "")</f>
        <v/>
      </c>
      <c r="AQ77" s="35" t="str">
        <f t="array" ref="AQ77">IFERROR(INDEX(INDIRECT(Config!$G$1), MATCH($A77, INDIRECT(Config!$H$1), 0), MATCH(AQ$1, INDIRECT(Config!$I$1), 0)), "")</f>
        <v/>
      </c>
      <c r="AR77" s="32" t="str">
        <f t="array" ref="AR77">IFERROR(INDEX(INDIRECT(Config!$G$1), MATCH($A77, INDIRECT(Config!$H$1), 0), MATCH(AR$1, INDIRECT(Config!$I$1), 0)), "")</f>
        <v/>
      </c>
      <c r="AS77" s="35" t="str">
        <f t="array" ref="AS77">IFERROR(INDEX(INDIRECT(Config!$G$1), MATCH($A77, INDIRECT(Config!$H$1), 0), MATCH(AS$1, INDIRECT(Config!$I$1), 0)), "")</f>
        <v/>
      </c>
      <c r="AT77" s="32" t="str">
        <f t="array" ref="AT77">IFERROR(INDEX(INDIRECT(Config!$G$1), MATCH($A77, INDIRECT(Config!$H$1), 0), MATCH(AT$1, INDIRECT(Config!$I$1), 0)), "")</f>
        <v/>
      </c>
      <c r="AU77" s="35" t="str">
        <f t="array" ref="AU77">IFERROR(INDEX(INDIRECT(Config!$G$1), MATCH($A77, INDIRECT(Config!$H$1), 0), MATCH(AU$1, INDIRECT(Config!$I$1), 0)), "")</f>
        <v/>
      </c>
      <c r="AV77" s="32" t="str">
        <f t="array" ref="AV77">IFERROR(INDEX(INDIRECT(Config!$G$1), MATCH($A77, INDIRECT(Config!$H$1), 0), MATCH(AV$1, INDIRECT(Config!$I$1), 0)), "")</f>
        <v/>
      </c>
      <c r="AW77" s="35"/>
      <c r="AX77" s="32"/>
      <c r="AY77" s="35"/>
    </row>
    <row r="78" ht="15.75" customHeight="1">
      <c r="A78" s="12" t="str">
        <f>Menus!B39</f>
        <v/>
      </c>
      <c r="B78" s="51">
        <f t="shared" si="7"/>
        <v>0</v>
      </c>
      <c r="C78" s="33" t="str">
        <f t="array" ref="C78">IFERROR(INDEX(INDIRECT(Config!$G$1), MATCH($A78, INDIRECT(Config!$H$1), 0), MATCH(C$1, INDIRECT(Config!$I$1), 0)), "")</f>
        <v/>
      </c>
      <c r="D78" s="34" t="str">
        <f t="array" ref="D78">IFERROR(INDEX(INDIRECT(Config!$G$1), MATCH($A78, INDIRECT(Config!$H$1), 0), MATCH(D$1, INDIRECT(Config!$I$1), 0)), "")</f>
        <v/>
      </c>
      <c r="E78" s="32" t="str">
        <f t="array" ref="E78">IFERROR(INDEX(INDIRECT(Config!$G$1), MATCH($A78, INDIRECT(Config!$H$1), 0), MATCH(E$1, INDIRECT(Config!$I$1), 0)), "")</f>
        <v/>
      </c>
      <c r="F78" s="35" t="str">
        <f t="array" ref="F78">IFERROR(INDEX(INDIRECT(Config!$G$1), MATCH($A78, INDIRECT(Config!$H$1), 0), MATCH(F$1, INDIRECT(Config!$I$1), 0)), "")</f>
        <v/>
      </c>
      <c r="G78" s="32" t="str">
        <f t="array" ref="G78">IFERROR(INDEX(INDIRECT(Config!$G$1), MATCH($A78, INDIRECT(Config!$H$1), 0), MATCH(G$1, INDIRECT(Config!$I$1), 0)), "")</f>
        <v/>
      </c>
      <c r="H78" s="35" t="str">
        <f t="array" ref="H78">IFERROR(INDEX(INDIRECT(Config!$G$1), MATCH($A78, INDIRECT(Config!$H$1), 0), MATCH(H$1, INDIRECT(Config!$I$1), 0)), "")</f>
        <v/>
      </c>
      <c r="I78" s="32" t="str">
        <f t="array" ref="I78">IFERROR(INDEX(INDIRECT(Config!$G$1), MATCH($A78, INDIRECT(Config!$H$1), 0), MATCH(I$1, INDIRECT(Config!$I$1), 0)), "")</f>
        <v/>
      </c>
      <c r="J78" s="35" t="str">
        <f t="array" ref="J78">IFERROR(INDEX(INDIRECT(Config!$G$1), MATCH($A78, INDIRECT(Config!$H$1), 0), MATCH(J$1, INDIRECT(Config!$I$1), 0)), "")</f>
        <v/>
      </c>
      <c r="K78" s="32" t="str">
        <f t="array" ref="K78">IFERROR(INDEX(INDIRECT(Config!$G$1), MATCH($A78, INDIRECT(Config!$H$1), 0), MATCH(K$1, INDIRECT(Config!$I$1), 0)), "")</f>
        <v/>
      </c>
      <c r="L78" s="35" t="str">
        <f t="array" ref="L78">IFERROR(INDEX(INDIRECT(Config!$G$1), MATCH($A78, INDIRECT(Config!$H$1), 0), MATCH(L$1, INDIRECT(Config!$I$1), 0)), "")</f>
        <v/>
      </c>
      <c r="M78" s="32" t="str">
        <f t="array" ref="M78">IFERROR(INDEX(INDIRECT(Config!$G$1), MATCH($A78, INDIRECT(Config!$H$1), 0), MATCH(M$1, INDIRECT(Config!$I$1), 0)), "")</f>
        <v/>
      </c>
      <c r="N78" s="35" t="str">
        <f t="array" ref="N78">IFERROR(INDEX(INDIRECT(Config!$G$1), MATCH($A78, INDIRECT(Config!$H$1), 0), MATCH(N$1, INDIRECT(Config!$I$1), 0)), "")</f>
        <v/>
      </c>
      <c r="O78" s="32" t="str">
        <f t="array" ref="O78">IFERROR(INDEX(INDIRECT(Config!$G$1), MATCH($A78, INDIRECT(Config!$H$1), 0), MATCH(O$1, INDIRECT(Config!$I$1), 0)), "")</f>
        <v/>
      </c>
      <c r="P78" s="35" t="str">
        <f t="array" ref="P78">IFERROR(INDEX(INDIRECT(Config!$G$1), MATCH($A78, INDIRECT(Config!$H$1), 0), MATCH(P$1, INDIRECT(Config!$I$1), 0)), "")</f>
        <v/>
      </c>
      <c r="Q78" s="32" t="str">
        <f t="array" ref="Q78">IFERROR(INDEX(INDIRECT(Config!$G$1), MATCH($A78, INDIRECT(Config!$H$1), 0), MATCH(Q$1, INDIRECT(Config!$I$1), 0)), "")</f>
        <v/>
      </c>
      <c r="R78" s="35" t="str">
        <f t="array" ref="R78">IFERROR(INDEX(INDIRECT(Config!$G$1), MATCH($A78, INDIRECT(Config!$H$1), 0), MATCH(R$1, INDIRECT(Config!$I$1), 0)), "")</f>
        <v/>
      </c>
      <c r="S78" s="32" t="str">
        <f t="array" ref="S78">IFERROR(INDEX(INDIRECT(Config!$G$1), MATCH($A78, INDIRECT(Config!$H$1), 0), MATCH(S$1, INDIRECT(Config!$I$1), 0)), "")</f>
        <v/>
      </c>
      <c r="T78" s="35" t="str">
        <f t="array" ref="T78">IFERROR(INDEX(INDIRECT(Config!$G$1), MATCH($A78, INDIRECT(Config!$H$1), 0), MATCH(T$1, INDIRECT(Config!$I$1), 0)), "")</f>
        <v/>
      </c>
      <c r="U78" s="32" t="str">
        <f t="array" ref="U78">IFERROR(INDEX(INDIRECT(Config!$G$1), MATCH($A78, INDIRECT(Config!$H$1), 0), MATCH(U$1, INDIRECT(Config!$I$1), 0)), "")</f>
        <v/>
      </c>
      <c r="V78" s="35" t="str">
        <f t="array" ref="V78">IFERROR(INDEX(INDIRECT(Config!$G$1), MATCH($A78, INDIRECT(Config!$H$1), 0), MATCH(V$1, INDIRECT(Config!$I$1), 0)), "")</f>
        <v/>
      </c>
      <c r="W78" s="32" t="str">
        <f t="array" ref="W78">IFERROR(INDEX(INDIRECT(Config!$G$1), MATCH($A78, INDIRECT(Config!$H$1), 0), MATCH(W$1, INDIRECT(Config!$I$1), 0)), "")</f>
        <v/>
      </c>
      <c r="X78" s="35" t="str">
        <f t="array" ref="X78">IFERROR(INDEX(INDIRECT(Config!$G$1), MATCH($A78, INDIRECT(Config!$H$1), 0), MATCH(X$1, INDIRECT(Config!$I$1), 0)), "")</f>
        <v/>
      </c>
      <c r="Y78" s="32" t="str">
        <f t="array" ref="Y78">IFERROR(INDEX(INDIRECT(Config!$G$1), MATCH($A78, INDIRECT(Config!$H$1), 0), MATCH(Y$1, INDIRECT(Config!$I$1), 0)), "")</f>
        <v/>
      </c>
      <c r="Z78" s="32" t="str">
        <f t="array" ref="Z78">IFERROR(INDEX(INDIRECT(Config!$G$1), MATCH($A78, INDIRECT(Config!$H$1), 0), MATCH(Z$1, INDIRECT(Config!$I$1), 0)), "")</f>
        <v/>
      </c>
      <c r="AA78" s="35" t="str">
        <f t="array" ref="AA78">IFERROR(INDEX(INDIRECT(Config!$G$1), MATCH($A78, INDIRECT(Config!$H$1), 0), MATCH(AA$1, INDIRECT(Config!$I$1), 0)), "")</f>
        <v/>
      </c>
      <c r="AB78" s="32" t="str">
        <f t="array" ref="AB78">IFERROR(INDEX(INDIRECT(Config!$G$1), MATCH($A78, INDIRECT(Config!$H$1), 0), MATCH(AB$1, INDIRECT(Config!$I$1), 0)), "")</f>
        <v/>
      </c>
      <c r="AC78" s="35" t="str">
        <f t="array" ref="AC78">IFERROR(INDEX(INDIRECT(Config!$G$1), MATCH($A78, INDIRECT(Config!$H$1), 0), MATCH(AC$1, INDIRECT(Config!$I$1), 0)), "")</f>
        <v/>
      </c>
      <c r="AD78" s="32" t="str">
        <f t="array" ref="AD78">IFERROR(INDEX(INDIRECT(Config!$G$1), MATCH($A78, INDIRECT(Config!$H$1), 0), MATCH(AD$1, INDIRECT(Config!$I$1), 0)), "")</f>
        <v/>
      </c>
      <c r="AE78" s="35" t="str">
        <f t="array" ref="AE78">IFERROR(INDEX(INDIRECT(Config!$G$1), MATCH($A78, INDIRECT(Config!$H$1), 0), MATCH(AE$1, INDIRECT(Config!$I$1), 0)), "")</f>
        <v/>
      </c>
      <c r="AF78" s="32" t="str">
        <f t="array" ref="AF78">IFERROR(INDEX(INDIRECT(Config!$G$1), MATCH($A78, INDIRECT(Config!$H$1), 0), MATCH(AF$1, INDIRECT(Config!$I$1), 0)), "")</f>
        <v/>
      </c>
      <c r="AG78" s="35" t="str">
        <f t="array" ref="AG78">IFERROR(INDEX(INDIRECT(Config!$G$1), MATCH($A78, INDIRECT(Config!$H$1), 0), MATCH(AG$1, INDIRECT(Config!$I$1), 0)), "")</f>
        <v/>
      </c>
      <c r="AH78" s="32" t="str">
        <f t="array" ref="AH78">IFERROR(INDEX(INDIRECT(Config!$G$1), MATCH($A78, INDIRECT(Config!$H$1), 0), MATCH(AH$1, INDIRECT(Config!$I$1), 0)), "")</f>
        <v/>
      </c>
      <c r="AI78" s="35" t="str">
        <f t="array" ref="AI78">IFERROR(INDEX(INDIRECT(Config!$G$1), MATCH($A78, INDIRECT(Config!$H$1), 0), MATCH(AI$1, INDIRECT(Config!$I$1), 0)), "")</f>
        <v/>
      </c>
      <c r="AJ78" s="32" t="str">
        <f t="array" ref="AJ78">IFERROR(INDEX(INDIRECT(Config!$G$1), MATCH($A78, INDIRECT(Config!$H$1), 0), MATCH(AJ$1, INDIRECT(Config!$I$1), 0)), "")</f>
        <v/>
      </c>
      <c r="AK78" s="35" t="str">
        <f t="array" ref="AK78">IFERROR(INDEX(INDIRECT(Config!$G$1), MATCH($A78, INDIRECT(Config!$H$1), 0), MATCH(AK$1, INDIRECT(Config!$I$1), 0)), "")</f>
        <v/>
      </c>
      <c r="AL78" s="32" t="str">
        <f t="array" ref="AL78">IFERROR(INDEX(INDIRECT(Config!$G$1), MATCH($A78, INDIRECT(Config!$H$1), 0), MATCH(AL$1, INDIRECT(Config!$I$1), 0)), "")</f>
        <v/>
      </c>
      <c r="AM78" s="35" t="str">
        <f t="array" ref="AM78">IFERROR(INDEX(INDIRECT(Config!$G$1), MATCH($A78, INDIRECT(Config!$H$1), 0), MATCH(AM$1, INDIRECT(Config!$I$1), 0)), "")</f>
        <v/>
      </c>
      <c r="AN78" s="32" t="str">
        <f t="array" ref="AN78">IFERROR(INDEX(INDIRECT(Config!$G$1), MATCH($A78, INDIRECT(Config!$H$1), 0), MATCH(AN$1, INDIRECT(Config!$I$1), 0)), "")</f>
        <v/>
      </c>
      <c r="AO78" s="35" t="str">
        <f t="array" ref="AO78">IFERROR(INDEX(INDIRECT(Config!$G$1), MATCH($A78, INDIRECT(Config!$H$1), 0), MATCH(AO$1, INDIRECT(Config!$I$1), 0)), "")</f>
        <v/>
      </c>
      <c r="AP78" s="32" t="str">
        <f t="array" ref="AP78">IFERROR(INDEX(INDIRECT(Config!$G$1), MATCH($A78, INDIRECT(Config!$H$1), 0), MATCH(AP$1, INDIRECT(Config!$I$1), 0)), "")</f>
        <v/>
      </c>
      <c r="AQ78" s="35" t="str">
        <f t="array" ref="AQ78">IFERROR(INDEX(INDIRECT(Config!$G$1), MATCH($A78, INDIRECT(Config!$H$1), 0), MATCH(AQ$1, INDIRECT(Config!$I$1), 0)), "")</f>
        <v/>
      </c>
      <c r="AR78" s="32" t="str">
        <f t="array" ref="AR78">IFERROR(INDEX(INDIRECT(Config!$G$1), MATCH($A78, INDIRECT(Config!$H$1), 0), MATCH(AR$1, INDIRECT(Config!$I$1), 0)), "")</f>
        <v/>
      </c>
      <c r="AS78" s="35" t="str">
        <f t="array" ref="AS78">IFERROR(INDEX(INDIRECT(Config!$G$1), MATCH($A78, INDIRECT(Config!$H$1), 0), MATCH(AS$1, INDIRECT(Config!$I$1), 0)), "")</f>
        <v/>
      </c>
      <c r="AT78" s="32" t="str">
        <f t="array" ref="AT78">IFERROR(INDEX(INDIRECT(Config!$G$1), MATCH($A78, INDIRECT(Config!$H$1), 0), MATCH(AT$1, INDIRECT(Config!$I$1), 0)), "")</f>
        <v/>
      </c>
      <c r="AU78" s="35" t="str">
        <f t="array" ref="AU78">IFERROR(INDEX(INDIRECT(Config!$G$1), MATCH($A78, INDIRECT(Config!$H$1), 0), MATCH(AU$1, INDIRECT(Config!$I$1), 0)), "")</f>
        <v/>
      </c>
      <c r="AV78" s="32" t="str">
        <f t="array" ref="AV78">IFERROR(INDEX(INDIRECT(Config!$G$1), MATCH($A78, INDIRECT(Config!$H$1), 0), MATCH(AV$1, INDIRECT(Config!$I$1), 0)), "")</f>
        <v/>
      </c>
      <c r="AW78" s="35"/>
      <c r="AX78" s="32"/>
      <c r="AY78" s="35"/>
    </row>
    <row r="79" ht="15.75" customHeight="1">
      <c r="A79" s="12" t="str">
        <f>Menus!B40</f>
        <v/>
      </c>
      <c r="B79" s="51">
        <f t="shared" si="7"/>
        <v>0</v>
      </c>
      <c r="C79" s="33" t="str">
        <f t="array" ref="C79">IFERROR(INDEX(INDIRECT(Config!$G$1), MATCH($A79, INDIRECT(Config!$H$1), 0), MATCH(C$1, INDIRECT(Config!$I$1), 0)), "")</f>
        <v/>
      </c>
      <c r="D79" s="34" t="str">
        <f t="array" ref="D79">IFERROR(INDEX(INDIRECT(Config!$G$1), MATCH($A79, INDIRECT(Config!$H$1), 0), MATCH(D$1, INDIRECT(Config!$I$1), 0)), "")</f>
        <v/>
      </c>
      <c r="E79" s="32" t="str">
        <f t="array" ref="E79">IFERROR(INDEX(INDIRECT(Config!$G$1), MATCH($A79, INDIRECT(Config!$H$1), 0), MATCH(E$1, INDIRECT(Config!$I$1), 0)), "")</f>
        <v/>
      </c>
      <c r="F79" s="35" t="str">
        <f t="array" ref="F79">IFERROR(INDEX(INDIRECT(Config!$G$1), MATCH($A79, INDIRECT(Config!$H$1), 0), MATCH(F$1, INDIRECT(Config!$I$1), 0)), "")</f>
        <v/>
      </c>
      <c r="G79" s="32" t="str">
        <f t="array" ref="G79">IFERROR(INDEX(INDIRECT(Config!$G$1), MATCH($A79, INDIRECT(Config!$H$1), 0), MATCH(G$1, INDIRECT(Config!$I$1), 0)), "")</f>
        <v/>
      </c>
      <c r="H79" s="35" t="str">
        <f t="array" ref="H79">IFERROR(INDEX(INDIRECT(Config!$G$1), MATCH($A79, INDIRECT(Config!$H$1), 0), MATCH(H$1, INDIRECT(Config!$I$1), 0)), "")</f>
        <v/>
      </c>
      <c r="I79" s="32" t="str">
        <f t="array" ref="I79">IFERROR(INDEX(INDIRECT(Config!$G$1), MATCH($A79, INDIRECT(Config!$H$1), 0), MATCH(I$1, INDIRECT(Config!$I$1), 0)), "")</f>
        <v/>
      </c>
      <c r="J79" s="35" t="str">
        <f t="array" ref="J79">IFERROR(INDEX(INDIRECT(Config!$G$1), MATCH($A79, INDIRECT(Config!$H$1), 0), MATCH(J$1, INDIRECT(Config!$I$1), 0)), "")</f>
        <v/>
      </c>
      <c r="K79" s="32" t="str">
        <f t="array" ref="K79">IFERROR(INDEX(INDIRECT(Config!$G$1), MATCH($A79, INDIRECT(Config!$H$1), 0), MATCH(K$1, INDIRECT(Config!$I$1), 0)), "")</f>
        <v/>
      </c>
      <c r="L79" s="35" t="str">
        <f t="array" ref="L79">IFERROR(INDEX(INDIRECT(Config!$G$1), MATCH($A79, INDIRECT(Config!$H$1), 0), MATCH(L$1, INDIRECT(Config!$I$1), 0)), "")</f>
        <v/>
      </c>
      <c r="M79" s="32" t="str">
        <f t="array" ref="M79">IFERROR(INDEX(INDIRECT(Config!$G$1), MATCH($A79, INDIRECT(Config!$H$1), 0), MATCH(M$1, INDIRECT(Config!$I$1), 0)), "")</f>
        <v/>
      </c>
      <c r="N79" s="35" t="str">
        <f t="array" ref="N79">IFERROR(INDEX(INDIRECT(Config!$G$1), MATCH($A79, INDIRECT(Config!$H$1), 0), MATCH(N$1, INDIRECT(Config!$I$1), 0)), "")</f>
        <v/>
      </c>
      <c r="O79" s="32" t="str">
        <f t="array" ref="O79">IFERROR(INDEX(INDIRECT(Config!$G$1), MATCH($A79, INDIRECT(Config!$H$1), 0), MATCH(O$1, INDIRECT(Config!$I$1), 0)), "")</f>
        <v/>
      </c>
      <c r="P79" s="35" t="str">
        <f t="array" ref="P79">IFERROR(INDEX(INDIRECT(Config!$G$1), MATCH($A79, INDIRECT(Config!$H$1), 0), MATCH(P$1, INDIRECT(Config!$I$1), 0)), "")</f>
        <v/>
      </c>
      <c r="Q79" s="32" t="str">
        <f t="array" ref="Q79">IFERROR(INDEX(INDIRECT(Config!$G$1), MATCH($A79, INDIRECT(Config!$H$1), 0), MATCH(Q$1, INDIRECT(Config!$I$1), 0)), "")</f>
        <v/>
      </c>
      <c r="R79" s="35" t="str">
        <f t="array" ref="R79">IFERROR(INDEX(INDIRECT(Config!$G$1), MATCH($A79, INDIRECT(Config!$H$1), 0), MATCH(R$1, INDIRECT(Config!$I$1), 0)), "")</f>
        <v/>
      </c>
      <c r="S79" s="32" t="str">
        <f t="array" ref="S79">IFERROR(INDEX(INDIRECT(Config!$G$1), MATCH($A79, INDIRECT(Config!$H$1), 0), MATCH(S$1, INDIRECT(Config!$I$1), 0)), "")</f>
        <v/>
      </c>
      <c r="T79" s="35" t="str">
        <f t="array" ref="T79">IFERROR(INDEX(INDIRECT(Config!$G$1), MATCH($A79, INDIRECT(Config!$H$1), 0), MATCH(T$1, INDIRECT(Config!$I$1), 0)), "")</f>
        <v/>
      </c>
      <c r="U79" s="32" t="str">
        <f t="array" ref="U79">IFERROR(INDEX(INDIRECT(Config!$G$1), MATCH($A79, INDIRECT(Config!$H$1), 0), MATCH(U$1, INDIRECT(Config!$I$1), 0)), "")</f>
        <v/>
      </c>
      <c r="V79" s="35" t="str">
        <f t="array" ref="V79">IFERROR(INDEX(INDIRECT(Config!$G$1), MATCH($A79, INDIRECT(Config!$H$1), 0), MATCH(V$1, INDIRECT(Config!$I$1), 0)), "")</f>
        <v/>
      </c>
      <c r="W79" s="32" t="str">
        <f t="array" ref="W79">IFERROR(INDEX(INDIRECT(Config!$G$1), MATCH($A79, INDIRECT(Config!$H$1), 0), MATCH(W$1, INDIRECT(Config!$I$1), 0)), "")</f>
        <v/>
      </c>
      <c r="X79" s="35" t="str">
        <f t="array" ref="X79">IFERROR(INDEX(INDIRECT(Config!$G$1), MATCH($A79, INDIRECT(Config!$H$1), 0), MATCH(X$1, INDIRECT(Config!$I$1), 0)), "")</f>
        <v/>
      </c>
      <c r="Y79" s="32" t="str">
        <f t="array" ref="Y79">IFERROR(INDEX(INDIRECT(Config!$G$1), MATCH($A79, INDIRECT(Config!$H$1), 0), MATCH(Y$1, INDIRECT(Config!$I$1), 0)), "")</f>
        <v/>
      </c>
      <c r="Z79" s="32" t="str">
        <f t="array" ref="Z79">IFERROR(INDEX(INDIRECT(Config!$G$1), MATCH($A79, INDIRECT(Config!$H$1), 0), MATCH(Z$1, INDIRECT(Config!$I$1), 0)), "")</f>
        <v/>
      </c>
      <c r="AA79" s="35" t="str">
        <f t="array" ref="AA79">IFERROR(INDEX(INDIRECT(Config!$G$1), MATCH($A79, INDIRECT(Config!$H$1), 0), MATCH(AA$1, INDIRECT(Config!$I$1), 0)), "")</f>
        <v/>
      </c>
      <c r="AB79" s="32" t="str">
        <f t="array" ref="AB79">IFERROR(INDEX(INDIRECT(Config!$G$1), MATCH($A79, INDIRECT(Config!$H$1), 0), MATCH(AB$1, INDIRECT(Config!$I$1), 0)), "")</f>
        <v/>
      </c>
      <c r="AC79" s="35" t="str">
        <f t="array" ref="AC79">IFERROR(INDEX(INDIRECT(Config!$G$1), MATCH($A79, INDIRECT(Config!$H$1), 0), MATCH(AC$1, INDIRECT(Config!$I$1), 0)), "")</f>
        <v/>
      </c>
      <c r="AD79" s="32" t="str">
        <f t="array" ref="AD79">IFERROR(INDEX(INDIRECT(Config!$G$1), MATCH($A79, INDIRECT(Config!$H$1), 0), MATCH(AD$1, INDIRECT(Config!$I$1), 0)), "")</f>
        <v/>
      </c>
      <c r="AE79" s="35" t="str">
        <f t="array" ref="AE79">IFERROR(INDEX(INDIRECT(Config!$G$1), MATCH($A79, INDIRECT(Config!$H$1), 0), MATCH(AE$1, INDIRECT(Config!$I$1), 0)), "")</f>
        <v/>
      </c>
      <c r="AF79" s="32" t="str">
        <f t="array" ref="AF79">IFERROR(INDEX(INDIRECT(Config!$G$1), MATCH($A79, INDIRECT(Config!$H$1), 0), MATCH(AF$1, INDIRECT(Config!$I$1), 0)), "")</f>
        <v/>
      </c>
      <c r="AG79" s="35" t="str">
        <f t="array" ref="AG79">IFERROR(INDEX(INDIRECT(Config!$G$1), MATCH($A79, INDIRECT(Config!$H$1), 0), MATCH(AG$1, INDIRECT(Config!$I$1), 0)), "")</f>
        <v/>
      </c>
      <c r="AH79" s="32" t="str">
        <f t="array" ref="AH79">IFERROR(INDEX(INDIRECT(Config!$G$1), MATCH($A79, INDIRECT(Config!$H$1), 0), MATCH(AH$1, INDIRECT(Config!$I$1), 0)), "")</f>
        <v/>
      </c>
      <c r="AI79" s="35" t="str">
        <f t="array" ref="AI79">IFERROR(INDEX(INDIRECT(Config!$G$1), MATCH($A79, INDIRECT(Config!$H$1), 0), MATCH(AI$1, INDIRECT(Config!$I$1), 0)), "")</f>
        <v/>
      </c>
      <c r="AJ79" s="32" t="str">
        <f t="array" ref="AJ79">IFERROR(INDEX(INDIRECT(Config!$G$1), MATCH($A79, INDIRECT(Config!$H$1), 0), MATCH(AJ$1, INDIRECT(Config!$I$1), 0)), "")</f>
        <v/>
      </c>
      <c r="AK79" s="35" t="str">
        <f t="array" ref="AK79">IFERROR(INDEX(INDIRECT(Config!$G$1), MATCH($A79, INDIRECT(Config!$H$1), 0), MATCH(AK$1, INDIRECT(Config!$I$1), 0)), "")</f>
        <v/>
      </c>
      <c r="AL79" s="32" t="str">
        <f t="array" ref="AL79">IFERROR(INDEX(INDIRECT(Config!$G$1), MATCH($A79, INDIRECT(Config!$H$1), 0), MATCH(AL$1, INDIRECT(Config!$I$1), 0)), "")</f>
        <v/>
      </c>
      <c r="AM79" s="35" t="str">
        <f t="array" ref="AM79">IFERROR(INDEX(INDIRECT(Config!$G$1), MATCH($A79, INDIRECT(Config!$H$1), 0), MATCH(AM$1, INDIRECT(Config!$I$1), 0)), "")</f>
        <v/>
      </c>
      <c r="AN79" s="32" t="str">
        <f t="array" ref="AN79">IFERROR(INDEX(INDIRECT(Config!$G$1), MATCH($A79, INDIRECT(Config!$H$1), 0), MATCH(AN$1, INDIRECT(Config!$I$1), 0)), "")</f>
        <v/>
      </c>
      <c r="AO79" s="35" t="str">
        <f t="array" ref="AO79">IFERROR(INDEX(INDIRECT(Config!$G$1), MATCH($A79, INDIRECT(Config!$H$1), 0), MATCH(AO$1, INDIRECT(Config!$I$1), 0)), "")</f>
        <v/>
      </c>
      <c r="AP79" s="32" t="str">
        <f t="array" ref="AP79">IFERROR(INDEX(INDIRECT(Config!$G$1), MATCH($A79, INDIRECT(Config!$H$1), 0), MATCH(AP$1, INDIRECT(Config!$I$1), 0)), "")</f>
        <v/>
      </c>
      <c r="AQ79" s="35" t="str">
        <f t="array" ref="AQ79">IFERROR(INDEX(INDIRECT(Config!$G$1), MATCH($A79, INDIRECT(Config!$H$1), 0), MATCH(AQ$1, INDIRECT(Config!$I$1), 0)), "")</f>
        <v/>
      </c>
      <c r="AR79" s="32" t="str">
        <f t="array" ref="AR79">IFERROR(INDEX(INDIRECT(Config!$G$1), MATCH($A79, INDIRECT(Config!$H$1), 0), MATCH(AR$1, INDIRECT(Config!$I$1), 0)), "")</f>
        <v/>
      </c>
      <c r="AS79" s="35" t="str">
        <f t="array" ref="AS79">IFERROR(INDEX(INDIRECT(Config!$G$1), MATCH($A79, INDIRECT(Config!$H$1), 0), MATCH(AS$1, INDIRECT(Config!$I$1), 0)), "")</f>
        <v/>
      </c>
      <c r="AT79" s="32" t="str">
        <f t="array" ref="AT79">IFERROR(INDEX(INDIRECT(Config!$G$1), MATCH($A79, INDIRECT(Config!$H$1), 0), MATCH(AT$1, INDIRECT(Config!$I$1), 0)), "")</f>
        <v/>
      </c>
      <c r="AU79" s="35" t="str">
        <f t="array" ref="AU79">IFERROR(INDEX(INDIRECT(Config!$G$1), MATCH($A79, INDIRECT(Config!$H$1), 0), MATCH(AU$1, INDIRECT(Config!$I$1), 0)), "")</f>
        <v/>
      </c>
      <c r="AV79" s="32" t="str">
        <f t="array" ref="AV79">IFERROR(INDEX(INDIRECT(Config!$G$1), MATCH($A79, INDIRECT(Config!$H$1), 0), MATCH(AV$1, INDIRECT(Config!$I$1), 0)), "")</f>
        <v/>
      </c>
      <c r="AW79" s="35"/>
      <c r="AX79" s="32"/>
      <c r="AY79" s="35"/>
    </row>
    <row r="80" ht="15.75" customHeight="1">
      <c r="A80" s="12" t="str">
        <f>Menus!B41</f>
        <v/>
      </c>
      <c r="B80" s="51">
        <f t="shared" si="7"/>
        <v>0</v>
      </c>
      <c r="C80" s="33" t="str">
        <f t="array" ref="C80">IFERROR(INDEX(INDIRECT(Config!$G$1), MATCH($A80, INDIRECT(Config!$H$1), 0), MATCH(C$1, INDIRECT(Config!$I$1), 0)), "")</f>
        <v/>
      </c>
      <c r="D80" s="34" t="str">
        <f t="array" ref="D80">IFERROR(INDEX(INDIRECT(Config!$G$1), MATCH($A80, INDIRECT(Config!$H$1), 0), MATCH(D$1, INDIRECT(Config!$I$1), 0)), "")</f>
        <v/>
      </c>
      <c r="E80" s="32" t="str">
        <f t="array" ref="E80">IFERROR(INDEX(INDIRECT(Config!$G$1), MATCH($A80, INDIRECT(Config!$H$1), 0), MATCH(E$1, INDIRECT(Config!$I$1), 0)), "")</f>
        <v/>
      </c>
      <c r="F80" s="35" t="str">
        <f t="array" ref="F80">IFERROR(INDEX(INDIRECT(Config!$G$1), MATCH($A80, INDIRECT(Config!$H$1), 0), MATCH(F$1, INDIRECT(Config!$I$1), 0)), "")</f>
        <v/>
      </c>
      <c r="G80" s="32" t="str">
        <f t="array" ref="G80">IFERROR(INDEX(INDIRECT(Config!$G$1), MATCH($A80, INDIRECT(Config!$H$1), 0), MATCH(G$1, INDIRECT(Config!$I$1), 0)), "")</f>
        <v/>
      </c>
      <c r="H80" s="35" t="str">
        <f t="array" ref="H80">IFERROR(INDEX(INDIRECT(Config!$G$1), MATCH($A80, INDIRECT(Config!$H$1), 0), MATCH(H$1, INDIRECT(Config!$I$1), 0)), "")</f>
        <v/>
      </c>
      <c r="I80" s="32" t="str">
        <f t="array" ref="I80">IFERROR(INDEX(INDIRECT(Config!$G$1), MATCH($A80, INDIRECT(Config!$H$1), 0), MATCH(I$1, INDIRECT(Config!$I$1), 0)), "")</f>
        <v/>
      </c>
      <c r="J80" s="35" t="str">
        <f t="array" ref="J80">IFERROR(INDEX(INDIRECT(Config!$G$1), MATCH($A80, INDIRECT(Config!$H$1), 0), MATCH(J$1, INDIRECT(Config!$I$1), 0)), "")</f>
        <v/>
      </c>
      <c r="K80" s="32" t="str">
        <f t="array" ref="K80">IFERROR(INDEX(INDIRECT(Config!$G$1), MATCH($A80, INDIRECT(Config!$H$1), 0), MATCH(K$1, INDIRECT(Config!$I$1), 0)), "")</f>
        <v/>
      </c>
      <c r="L80" s="35" t="str">
        <f t="array" ref="L80">IFERROR(INDEX(INDIRECT(Config!$G$1), MATCH($A80, INDIRECT(Config!$H$1), 0), MATCH(L$1, INDIRECT(Config!$I$1), 0)), "")</f>
        <v/>
      </c>
      <c r="M80" s="32" t="str">
        <f t="array" ref="M80">IFERROR(INDEX(INDIRECT(Config!$G$1), MATCH($A80, INDIRECT(Config!$H$1), 0), MATCH(M$1, INDIRECT(Config!$I$1), 0)), "")</f>
        <v/>
      </c>
      <c r="N80" s="35" t="str">
        <f t="array" ref="N80">IFERROR(INDEX(INDIRECT(Config!$G$1), MATCH($A80, INDIRECT(Config!$H$1), 0), MATCH(N$1, INDIRECT(Config!$I$1), 0)), "")</f>
        <v/>
      </c>
      <c r="O80" s="32" t="str">
        <f t="array" ref="O80">IFERROR(INDEX(INDIRECT(Config!$G$1), MATCH($A80, INDIRECT(Config!$H$1), 0), MATCH(O$1, INDIRECT(Config!$I$1), 0)), "")</f>
        <v/>
      </c>
      <c r="P80" s="35" t="str">
        <f t="array" ref="P80">IFERROR(INDEX(INDIRECT(Config!$G$1), MATCH($A80, INDIRECT(Config!$H$1), 0), MATCH(P$1, INDIRECT(Config!$I$1), 0)), "")</f>
        <v/>
      </c>
      <c r="Q80" s="32" t="str">
        <f t="array" ref="Q80">IFERROR(INDEX(INDIRECT(Config!$G$1), MATCH($A80, INDIRECT(Config!$H$1), 0), MATCH(Q$1, INDIRECT(Config!$I$1), 0)), "")</f>
        <v/>
      </c>
      <c r="R80" s="35" t="str">
        <f t="array" ref="R80">IFERROR(INDEX(INDIRECT(Config!$G$1), MATCH($A80, INDIRECT(Config!$H$1), 0), MATCH(R$1, INDIRECT(Config!$I$1), 0)), "")</f>
        <v/>
      </c>
      <c r="S80" s="32" t="str">
        <f t="array" ref="S80">IFERROR(INDEX(INDIRECT(Config!$G$1), MATCH($A80, INDIRECT(Config!$H$1), 0), MATCH(S$1, INDIRECT(Config!$I$1), 0)), "")</f>
        <v/>
      </c>
      <c r="T80" s="35" t="str">
        <f t="array" ref="T80">IFERROR(INDEX(INDIRECT(Config!$G$1), MATCH($A80, INDIRECT(Config!$H$1), 0), MATCH(T$1, INDIRECT(Config!$I$1), 0)), "")</f>
        <v/>
      </c>
      <c r="U80" s="32" t="str">
        <f t="array" ref="U80">IFERROR(INDEX(INDIRECT(Config!$G$1), MATCH($A80, INDIRECT(Config!$H$1), 0), MATCH(U$1, INDIRECT(Config!$I$1), 0)), "")</f>
        <v/>
      </c>
      <c r="V80" s="35" t="str">
        <f t="array" ref="V80">IFERROR(INDEX(INDIRECT(Config!$G$1), MATCH($A80, INDIRECT(Config!$H$1), 0), MATCH(V$1, INDIRECT(Config!$I$1), 0)), "")</f>
        <v/>
      </c>
      <c r="W80" s="32" t="str">
        <f t="array" ref="W80">IFERROR(INDEX(INDIRECT(Config!$G$1), MATCH($A80, INDIRECT(Config!$H$1), 0), MATCH(W$1, INDIRECT(Config!$I$1), 0)), "")</f>
        <v/>
      </c>
      <c r="X80" s="35" t="str">
        <f t="array" ref="X80">IFERROR(INDEX(INDIRECT(Config!$G$1), MATCH($A80, INDIRECT(Config!$H$1), 0), MATCH(X$1, INDIRECT(Config!$I$1), 0)), "")</f>
        <v/>
      </c>
      <c r="Y80" s="32" t="str">
        <f t="array" ref="Y80">IFERROR(INDEX(INDIRECT(Config!$G$1), MATCH($A80, INDIRECT(Config!$H$1), 0), MATCH(Y$1, INDIRECT(Config!$I$1), 0)), "")</f>
        <v/>
      </c>
      <c r="Z80" s="32" t="str">
        <f t="array" ref="Z80">IFERROR(INDEX(INDIRECT(Config!$G$1), MATCH($A80, INDIRECT(Config!$H$1), 0), MATCH(Z$1, INDIRECT(Config!$I$1), 0)), "")</f>
        <v/>
      </c>
      <c r="AA80" s="35" t="str">
        <f t="array" ref="AA80">IFERROR(INDEX(INDIRECT(Config!$G$1), MATCH($A80, INDIRECT(Config!$H$1), 0), MATCH(AA$1, INDIRECT(Config!$I$1), 0)), "")</f>
        <v/>
      </c>
      <c r="AB80" s="32" t="str">
        <f t="array" ref="AB80">IFERROR(INDEX(INDIRECT(Config!$G$1), MATCH($A80, INDIRECT(Config!$H$1), 0), MATCH(AB$1, INDIRECT(Config!$I$1), 0)), "")</f>
        <v/>
      </c>
      <c r="AC80" s="35" t="str">
        <f t="array" ref="AC80">IFERROR(INDEX(INDIRECT(Config!$G$1), MATCH($A80, INDIRECT(Config!$H$1), 0), MATCH(AC$1, INDIRECT(Config!$I$1), 0)), "")</f>
        <v/>
      </c>
      <c r="AD80" s="32" t="str">
        <f t="array" ref="AD80">IFERROR(INDEX(INDIRECT(Config!$G$1), MATCH($A80, INDIRECT(Config!$H$1), 0), MATCH(AD$1, INDIRECT(Config!$I$1), 0)), "")</f>
        <v/>
      </c>
      <c r="AE80" s="35" t="str">
        <f t="array" ref="AE80">IFERROR(INDEX(INDIRECT(Config!$G$1), MATCH($A80, INDIRECT(Config!$H$1), 0), MATCH(AE$1, INDIRECT(Config!$I$1), 0)), "")</f>
        <v/>
      </c>
      <c r="AF80" s="32" t="str">
        <f t="array" ref="AF80">IFERROR(INDEX(INDIRECT(Config!$G$1), MATCH($A80, INDIRECT(Config!$H$1), 0), MATCH(AF$1, INDIRECT(Config!$I$1), 0)), "")</f>
        <v/>
      </c>
      <c r="AG80" s="35" t="str">
        <f t="array" ref="AG80">IFERROR(INDEX(INDIRECT(Config!$G$1), MATCH($A80, INDIRECT(Config!$H$1), 0), MATCH(AG$1, INDIRECT(Config!$I$1), 0)), "")</f>
        <v/>
      </c>
      <c r="AH80" s="32" t="str">
        <f t="array" ref="AH80">IFERROR(INDEX(INDIRECT(Config!$G$1), MATCH($A80, INDIRECT(Config!$H$1), 0), MATCH(AH$1, INDIRECT(Config!$I$1), 0)), "")</f>
        <v/>
      </c>
      <c r="AI80" s="35" t="str">
        <f t="array" ref="AI80">IFERROR(INDEX(INDIRECT(Config!$G$1), MATCH($A80, INDIRECT(Config!$H$1), 0), MATCH(AI$1, INDIRECT(Config!$I$1), 0)), "")</f>
        <v/>
      </c>
      <c r="AJ80" s="32" t="str">
        <f t="array" ref="AJ80">IFERROR(INDEX(INDIRECT(Config!$G$1), MATCH($A80, INDIRECT(Config!$H$1), 0), MATCH(AJ$1, INDIRECT(Config!$I$1), 0)), "")</f>
        <v/>
      </c>
      <c r="AK80" s="35" t="str">
        <f t="array" ref="AK80">IFERROR(INDEX(INDIRECT(Config!$G$1), MATCH($A80, INDIRECT(Config!$H$1), 0), MATCH(AK$1, INDIRECT(Config!$I$1), 0)), "")</f>
        <v/>
      </c>
      <c r="AL80" s="32" t="str">
        <f t="array" ref="AL80">IFERROR(INDEX(INDIRECT(Config!$G$1), MATCH($A80, INDIRECT(Config!$H$1), 0), MATCH(AL$1, INDIRECT(Config!$I$1), 0)), "")</f>
        <v/>
      </c>
      <c r="AM80" s="35" t="str">
        <f t="array" ref="AM80">IFERROR(INDEX(INDIRECT(Config!$G$1), MATCH($A80, INDIRECT(Config!$H$1), 0), MATCH(AM$1, INDIRECT(Config!$I$1), 0)), "")</f>
        <v/>
      </c>
      <c r="AN80" s="32" t="str">
        <f t="array" ref="AN80">IFERROR(INDEX(INDIRECT(Config!$G$1), MATCH($A80, INDIRECT(Config!$H$1), 0), MATCH(AN$1, INDIRECT(Config!$I$1), 0)), "")</f>
        <v/>
      </c>
      <c r="AO80" s="35" t="str">
        <f t="array" ref="AO80">IFERROR(INDEX(INDIRECT(Config!$G$1), MATCH($A80, INDIRECT(Config!$H$1), 0), MATCH(AO$1, INDIRECT(Config!$I$1), 0)), "")</f>
        <v/>
      </c>
      <c r="AP80" s="32" t="str">
        <f t="array" ref="AP80">IFERROR(INDEX(INDIRECT(Config!$G$1), MATCH($A80, INDIRECT(Config!$H$1), 0), MATCH(AP$1, INDIRECT(Config!$I$1), 0)), "")</f>
        <v/>
      </c>
      <c r="AQ80" s="35" t="str">
        <f t="array" ref="AQ80">IFERROR(INDEX(INDIRECT(Config!$G$1), MATCH($A80, INDIRECT(Config!$H$1), 0), MATCH(AQ$1, INDIRECT(Config!$I$1), 0)), "")</f>
        <v/>
      </c>
      <c r="AR80" s="32" t="str">
        <f t="array" ref="AR80">IFERROR(INDEX(INDIRECT(Config!$G$1), MATCH($A80, INDIRECT(Config!$H$1), 0), MATCH(AR$1, INDIRECT(Config!$I$1), 0)), "")</f>
        <v/>
      </c>
      <c r="AS80" s="35" t="str">
        <f t="array" ref="AS80">IFERROR(INDEX(INDIRECT(Config!$G$1), MATCH($A80, INDIRECT(Config!$H$1), 0), MATCH(AS$1, INDIRECT(Config!$I$1), 0)), "")</f>
        <v/>
      </c>
      <c r="AT80" s="32" t="str">
        <f t="array" ref="AT80">IFERROR(INDEX(INDIRECT(Config!$G$1), MATCH($A80, INDIRECT(Config!$H$1), 0), MATCH(AT$1, INDIRECT(Config!$I$1), 0)), "")</f>
        <v/>
      </c>
      <c r="AU80" s="35" t="str">
        <f t="array" ref="AU80">IFERROR(INDEX(INDIRECT(Config!$G$1), MATCH($A80, INDIRECT(Config!$H$1), 0), MATCH(AU$1, INDIRECT(Config!$I$1), 0)), "")</f>
        <v/>
      </c>
      <c r="AV80" s="32" t="str">
        <f t="array" ref="AV80">IFERROR(INDEX(INDIRECT(Config!$G$1), MATCH($A80, INDIRECT(Config!$H$1), 0), MATCH(AV$1, INDIRECT(Config!$I$1), 0)), "")</f>
        <v/>
      </c>
      <c r="AW80" s="35"/>
      <c r="AX80" s="32"/>
      <c r="AY80" s="35"/>
    </row>
    <row r="81" ht="15.75" customHeight="1">
      <c r="A81" s="12" t="str">
        <f>Menus!B42</f>
        <v/>
      </c>
      <c r="B81" s="51">
        <f t="shared" si="7"/>
        <v>0</v>
      </c>
      <c r="C81" s="33" t="str">
        <f t="array" ref="C81">IFERROR(INDEX(INDIRECT(Config!$G$1), MATCH($A81, INDIRECT(Config!$H$1), 0), MATCH(C$1, INDIRECT(Config!$I$1), 0)), "")</f>
        <v/>
      </c>
      <c r="D81" s="34" t="str">
        <f t="array" ref="D81">IFERROR(INDEX(INDIRECT(Config!$G$1), MATCH($A81, INDIRECT(Config!$H$1), 0), MATCH(D$1, INDIRECT(Config!$I$1), 0)), "")</f>
        <v/>
      </c>
      <c r="E81" s="32" t="str">
        <f t="array" ref="E81">IFERROR(INDEX(INDIRECT(Config!$G$1), MATCH($A81, INDIRECT(Config!$H$1), 0), MATCH(E$1, INDIRECT(Config!$I$1), 0)), "")</f>
        <v/>
      </c>
      <c r="F81" s="35" t="str">
        <f t="array" ref="F81">IFERROR(INDEX(INDIRECT(Config!$G$1), MATCH($A81, INDIRECT(Config!$H$1), 0), MATCH(F$1, INDIRECT(Config!$I$1), 0)), "")</f>
        <v/>
      </c>
      <c r="G81" s="32" t="str">
        <f t="array" ref="G81">IFERROR(INDEX(INDIRECT(Config!$G$1), MATCH($A81, INDIRECT(Config!$H$1), 0), MATCH(G$1, INDIRECT(Config!$I$1), 0)), "")</f>
        <v/>
      </c>
      <c r="H81" s="35" t="str">
        <f t="array" ref="H81">IFERROR(INDEX(INDIRECT(Config!$G$1), MATCH($A81, INDIRECT(Config!$H$1), 0), MATCH(H$1, INDIRECT(Config!$I$1), 0)), "")</f>
        <v/>
      </c>
      <c r="I81" s="32" t="str">
        <f t="array" ref="I81">IFERROR(INDEX(INDIRECT(Config!$G$1), MATCH($A81, INDIRECT(Config!$H$1), 0), MATCH(I$1, INDIRECT(Config!$I$1), 0)), "")</f>
        <v/>
      </c>
      <c r="J81" s="35" t="str">
        <f t="array" ref="J81">IFERROR(INDEX(INDIRECT(Config!$G$1), MATCH($A81, INDIRECT(Config!$H$1), 0), MATCH(J$1, INDIRECT(Config!$I$1), 0)), "")</f>
        <v/>
      </c>
      <c r="K81" s="32" t="str">
        <f t="array" ref="K81">IFERROR(INDEX(INDIRECT(Config!$G$1), MATCH($A81, INDIRECT(Config!$H$1), 0), MATCH(K$1, INDIRECT(Config!$I$1), 0)), "")</f>
        <v/>
      </c>
      <c r="L81" s="35" t="str">
        <f t="array" ref="L81">IFERROR(INDEX(INDIRECT(Config!$G$1), MATCH($A81, INDIRECT(Config!$H$1), 0), MATCH(L$1, INDIRECT(Config!$I$1), 0)), "")</f>
        <v/>
      </c>
      <c r="M81" s="32" t="str">
        <f t="array" ref="M81">IFERROR(INDEX(INDIRECT(Config!$G$1), MATCH($A81, INDIRECT(Config!$H$1), 0), MATCH(M$1, INDIRECT(Config!$I$1), 0)), "")</f>
        <v/>
      </c>
      <c r="N81" s="35" t="str">
        <f t="array" ref="N81">IFERROR(INDEX(INDIRECT(Config!$G$1), MATCH($A81, INDIRECT(Config!$H$1), 0), MATCH(N$1, INDIRECT(Config!$I$1), 0)), "")</f>
        <v/>
      </c>
      <c r="O81" s="32" t="str">
        <f t="array" ref="O81">IFERROR(INDEX(INDIRECT(Config!$G$1), MATCH($A81, INDIRECT(Config!$H$1), 0), MATCH(O$1, INDIRECT(Config!$I$1), 0)), "")</f>
        <v/>
      </c>
      <c r="P81" s="35" t="str">
        <f t="array" ref="P81">IFERROR(INDEX(INDIRECT(Config!$G$1), MATCH($A81, INDIRECT(Config!$H$1), 0), MATCH(P$1, INDIRECT(Config!$I$1), 0)), "")</f>
        <v/>
      </c>
      <c r="Q81" s="32" t="str">
        <f t="array" ref="Q81">IFERROR(INDEX(INDIRECT(Config!$G$1), MATCH($A81, INDIRECT(Config!$H$1), 0), MATCH(Q$1, INDIRECT(Config!$I$1), 0)), "")</f>
        <v/>
      </c>
      <c r="R81" s="35" t="str">
        <f t="array" ref="R81">IFERROR(INDEX(INDIRECT(Config!$G$1), MATCH($A81, INDIRECT(Config!$H$1), 0), MATCH(R$1, INDIRECT(Config!$I$1), 0)), "")</f>
        <v/>
      </c>
      <c r="S81" s="32" t="str">
        <f t="array" ref="S81">IFERROR(INDEX(INDIRECT(Config!$G$1), MATCH($A81, INDIRECT(Config!$H$1), 0), MATCH(S$1, INDIRECT(Config!$I$1), 0)), "")</f>
        <v/>
      </c>
      <c r="T81" s="35" t="str">
        <f t="array" ref="T81">IFERROR(INDEX(INDIRECT(Config!$G$1), MATCH($A81, INDIRECT(Config!$H$1), 0), MATCH(T$1, INDIRECT(Config!$I$1), 0)), "")</f>
        <v/>
      </c>
      <c r="U81" s="32" t="str">
        <f t="array" ref="U81">IFERROR(INDEX(INDIRECT(Config!$G$1), MATCH($A81, INDIRECT(Config!$H$1), 0), MATCH(U$1, INDIRECT(Config!$I$1), 0)), "")</f>
        <v/>
      </c>
      <c r="V81" s="35" t="str">
        <f t="array" ref="V81">IFERROR(INDEX(INDIRECT(Config!$G$1), MATCH($A81, INDIRECT(Config!$H$1), 0), MATCH(V$1, INDIRECT(Config!$I$1), 0)), "")</f>
        <v/>
      </c>
      <c r="W81" s="32" t="str">
        <f t="array" ref="W81">IFERROR(INDEX(INDIRECT(Config!$G$1), MATCH($A81, INDIRECT(Config!$H$1), 0), MATCH(W$1, INDIRECT(Config!$I$1), 0)), "")</f>
        <v/>
      </c>
      <c r="X81" s="35" t="str">
        <f t="array" ref="X81">IFERROR(INDEX(INDIRECT(Config!$G$1), MATCH($A81, INDIRECT(Config!$H$1), 0), MATCH(X$1, INDIRECT(Config!$I$1), 0)), "")</f>
        <v/>
      </c>
      <c r="Y81" s="32" t="str">
        <f t="array" ref="Y81">IFERROR(INDEX(INDIRECT(Config!$G$1), MATCH($A81, INDIRECT(Config!$H$1), 0), MATCH(Y$1, INDIRECT(Config!$I$1), 0)), "")</f>
        <v/>
      </c>
      <c r="Z81" s="32" t="str">
        <f t="array" ref="Z81">IFERROR(INDEX(INDIRECT(Config!$G$1), MATCH($A81, INDIRECT(Config!$H$1), 0), MATCH(Z$1, INDIRECT(Config!$I$1), 0)), "")</f>
        <v/>
      </c>
      <c r="AA81" s="35" t="str">
        <f t="array" ref="AA81">IFERROR(INDEX(INDIRECT(Config!$G$1), MATCH($A81, INDIRECT(Config!$H$1), 0), MATCH(AA$1, INDIRECT(Config!$I$1), 0)), "")</f>
        <v/>
      </c>
      <c r="AB81" s="32" t="str">
        <f t="array" ref="AB81">IFERROR(INDEX(INDIRECT(Config!$G$1), MATCH($A81, INDIRECT(Config!$H$1), 0), MATCH(AB$1, INDIRECT(Config!$I$1), 0)), "")</f>
        <v/>
      </c>
      <c r="AC81" s="35" t="str">
        <f t="array" ref="AC81">IFERROR(INDEX(INDIRECT(Config!$G$1), MATCH($A81, INDIRECT(Config!$H$1), 0), MATCH(AC$1, INDIRECT(Config!$I$1), 0)), "")</f>
        <v/>
      </c>
      <c r="AD81" s="32" t="str">
        <f t="array" ref="AD81">IFERROR(INDEX(INDIRECT(Config!$G$1), MATCH($A81, INDIRECT(Config!$H$1), 0), MATCH(AD$1, INDIRECT(Config!$I$1), 0)), "")</f>
        <v/>
      </c>
      <c r="AE81" s="35" t="str">
        <f t="array" ref="AE81">IFERROR(INDEX(INDIRECT(Config!$G$1), MATCH($A81, INDIRECT(Config!$H$1), 0), MATCH(AE$1, INDIRECT(Config!$I$1), 0)), "")</f>
        <v/>
      </c>
      <c r="AF81" s="32" t="str">
        <f t="array" ref="AF81">IFERROR(INDEX(INDIRECT(Config!$G$1), MATCH($A81, INDIRECT(Config!$H$1), 0), MATCH(AF$1, INDIRECT(Config!$I$1), 0)), "")</f>
        <v/>
      </c>
      <c r="AG81" s="35" t="str">
        <f t="array" ref="AG81">IFERROR(INDEX(INDIRECT(Config!$G$1), MATCH($A81, INDIRECT(Config!$H$1), 0), MATCH(AG$1, INDIRECT(Config!$I$1), 0)), "")</f>
        <v/>
      </c>
      <c r="AH81" s="32" t="str">
        <f t="array" ref="AH81">IFERROR(INDEX(INDIRECT(Config!$G$1), MATCH($A81, INDIRECT(Config!$H$1), 0), MATCH(AH$1, INDIRECT(Config!$I$1), 0)), "")</f>
        <v/>
      </c>
      <c r="AI81" s="35" t="str">
        <f t="array" ref="AI81">IFERROR(INDEX(INDIRECT(Config!$G$1), MATCH($A81, INDIRECT(Config!$H$1), 0), MATCH(AI$1, INDIRECT(Config!$I$1), 0)), "")</f>
        <v/>
      </c>
      <c r="AJ81" s="32" t="str">
        <f t="array" ref="AJ81">IFERROR(INDEX(INDIRECT(Config!$G$1), MATCH($A81, INDIRECT(Config!$H$1), 0), MATCH(AJ$1, INDIRECT(Config!$I$1), 0)), "")</f>
        <v/>
      </c>
      <c r="AK81" s="35" t="str">
        <f t="array" ref="AK81">IFERROR(INDEX(INDIRECT(Config!$G$1), MATCH($A81, INDIRECT(Config!$H$1), 0), MATCH(AK$1, INDIRECT(Config!$I$1), 0)), "")</f>
        <v/>
      </c>
      <c r="AL81" s="32" t="str">
        <f t="array" ref="AL81">IFERROR(INDEX(INDIRECT(Config!$G$1), MATCH($A81, INDIRECT(Config!$H$1), 0), MATCH(AL$1, INDIRECT(Config!$I$1), 0)), "")</f>
        <v/>
      </c>
      <c r="AM81" s="35" t="str">
        <f t="array" ref="AM81">IFERROR(INDEX(INDIRECT(Config!$G$1), MATCH($A81, INDIRECT(Config!$H$1), 0), MATCH(AM$1, INDIRECT(Config!$I$1), 0)), "")</f>
        <v/>
      </c>
      <c r="AN81" s="32" t="str">
        <f t="array" ref="AN81">IFERROR(INDEX(INDIRECT(Config!$G$1), MATCH($A81, INDIRECT(Config!$H$1), 0), MATCH(AN$1, INDIRECT(Config!$I$1), 0)), "")</f>
        <v/>
      </c>
      <c r="AO81" s="35" t="str">
        <f t="array" ref="AO81">IFERROR(INDEX(INDIRECT(Config!$G$1), MATCH($A81, INDIRECT(Config!$H$1), 0), MATCH(AO$1, INDIRECT(Config!$I$1), 0)), "")</f>
        <v/>
      </c>
      <c r="AP81" s="32" t="str">
        <f t="array" ref="AP81">IFERROR(INDEX(INDIRECT(Config!$G$1), MATCH($A81, INDIRECT(Config!$H$1), 0), MATCH(AP$1, INDIRECT(Config!$I$1), 0)), "")</f>
        <v/>
      </c>
      <c r="AQ81" s="35" t="str">
        <f t="array" ref="AQ81">IFERROR(INDEX(INDIRECT(Config!$G$1), MATCH($A81, INDIRECT(Config!$H$1), 0), MATCH(AQ$1, INDIRECT(Config!$I$1), 0)), "")</f>
        <v/>
      </c>
      <c r="AR81" s="32" t="str">
        <f t="array" ref="AR81">IFERROR(INDEX(INDIRECT(Config!$G$1), MATCH($A81, INDIRECT(Config!$H$1), 0), MATCH(AR$1, INDIRECT(Config!$I$1), 0)), "")</f>
        <v/>
      </c>
      <c r="AS81" s="35" t="str">
        <f t="array" ref="AS81">IFERROR(INDEX(INDIRECT(Config!$G$1), MATCH($A81, INDIRECT(Config!$H$1), 0), MATCH(AS$1, INDIRECT(Config!$I$1), 0)), "")</f>
        <v/>
      </c>
      <c r="AT81" s="32" t="str">
        <f t="array" ref="AT81">IFERROR(INDEX(INDIRECT(Config!$G$1), MATCH($A81, INDIRECT(Config!$H$1), 0), MATCH(AT$1, INDIRECT(Config!$I$1), 0)), "")</f>
        <v/>
      </c>
      <c r="AU81" s="35" t="str">
        <f t="array" ref="AU81">IFERROR(INDEX(INDIRECT(Config!$G$1), MATCH($A81, INDIRECT(Config!$H$1), 0), MATCH(AU$1, INDIRECT(Config!$I$1), 0)), "")</f>
        <v/>
      </c>
      <c r="AV81" s="32" t="str">
        <f t="array" ref="AV81">IFERROR(INDEX(INDIRECT(Config!$G$1), MATCH($A81, INDIRECT(Config!$H$1), 0), MATCH(AV$1, INDIRECT(Config!$I$1), 0)), "")</f>
        <v/>
      </c>
      <c r="AW81" s="35"/>
      <c r="AX81" s="32"/>
      <c r="AY81" s="35"/>
    </row>
    <row r="82" ht="15.75" customHeight="1">
      <c r="A82" s="12" t="str">
        <f>Menus!B43</f>
        <v/>
      </c>
      <c r="B82" s="51">
        <f t="shared" si="7"/>
        <v>0</v>
      </c>
      <c r="C82" s="33" t="str">
        <f t="array" ref="C82">IFERROR(INDEX(INDIRECT(Config!$G$1), MATCH($A82, INDIRECT(Config!$H$1), 0), MATCH(C$1, INDIRECT(Config!$I$1), 0)), "")</f>
        <v/>
      </c>
      <c r="D82" s="34" t="str">
        <f t="array" ref="D82">IFERROR(INDEX(INDIRECT(Config!$G$1), MATCH($A82, INDIRECT(Config!$H$1), 0), MATCH(D$1, INDIRECT(Config!$I$1), 0)), "")</f>
        <v/>
      </c>
      <c r="E82" s="32" t="str">
        <f t="array" ref="E82">IFERROR(INDEX(INDIRECT(Config!$G$1), MATCH($A82, INDIRECT(Config!$H$1), 0), MATCH(E$1, INDIRECT(Config!$I$1), 0)), "")</f>
        <v/>
      </c>
      <c r="F82" s="35" t="str">
        <f t="array" ref="F82">IFERROR(INDEX(INDIRECT(Config!$G$1), MATCH($A82, INDIRECT(Config!$H$1), 0), MATCH(F$1, INDIRECT(Config!$I$1), 0)), "")</f>
        <v/>
      </c>
      <c r="G82" s="32" t="str">
        <f t="array" ref="G82">IFERROR(INDEX(INDIRECT(Config!$G$1), MATCH($A82, INDIRECT(Config!$H$1), 0), MATCH(G$1, INDIRECT(Config!$I$1), 0)), "")</f>
        <v/>
      </c>
      <c r="H82" s="35" t="str">
        <f t="array" ref="H82">IFERROR(INDEX(INDIRECT(Config!$G$1), MATCH($A82, INDIRECT(Config!$H$1), 0), MATCH(H$1, INDIRECT(Config!$I$1), 0)), "")</f>
        <v/>
      </c>
      <c r="I82" s="32" t="str">
        <f t="array" ref="I82">IFERROR(INDEX(INDIRECT(Config!$G$1), MATCH($A82, INDIRECT(Config!$H$1), 0), MATCH(I$1, INDIRECT(Config!$I$1), 0)), "")</f>
        <v/>
      </c>
      <c r="J82" s="35" t="str">
        <f t="array" ref="J82">IFERROR(INDEX(INDIRECT(Config!$G$1), MATCH($A82, INDIRECT(Config!$H$1), 0), MATCH(J$1, INDIRECT(Config!$I$1), 0)), "")</f>
        <v/>
      </c>
      <c r="K82" s="32" t="str">
        <f t="array" ref="K82">IFERROR(INDEX(INDIRECT(Config!$G$1), MATCH($A82, INDIRECT(Config!$H$1), 0), MATCH(K$1, INDIRECT(Config!$I$1), 0)), "")</f>
        <v/>
      </c>
      <c r="L82" s="35" t="str">
        <f t="array" ref="L82">IFERROR(INDEX(INDIRECT(Config!$G$1), MATCH($A82, INDIRECT(Config!$H$1), 0), MATCH(L$1, INDIRECT(Config!$I$1), 0)), "")</f>
        <v/>
      </c>
      <c r="M82" s="32" t="str">
        <f t="array" ref="M82">IFERROR(INDEX(INDIRECT(Config!$G$1), MATCH($A82, INDIRECT(Config!$H$1), 0), MATCH(M$1, INDIRECT(Config!$I$1), 0)), "")</f>
        <v/>
      </c>
      <c r="N82" s="35" t="str">
        <f t="array" ref="N82">IFERROR(INDEX(INDIRECT(Config!$G$1), MATCH($A82, INDIRECT(Config!$H$1), 0), MATCH(N$1, INDIRECT(Config!$I$1), 0)), "")</f>
        <v/>
      </c>
      <c r="O82" s="32" t="str">
        <f t="array" ref="O82">IFERROR(INDEX(INDIRECT(Config!$G$1), MATCH($A82, INDIRECT(Config!$H$1), 0), MATCH(O$1, INDIRECT(Config!$I$1), 0)), "")</f>
        <v/>
      </c>
      <c r="P82" s="35" t="str">
        <f t="array" ref="P82">IFERROR(INDEX(INDIRECT(Config!$G$1), MATCH($A82, INDIRECT(Config!$H$1), 0), MATCH(P$1, INDIRECT(Config!$I$1), 0)), "")</f>
        <v/>
      </c>
      <c r="Q82" s="32" t="str">
        <f t="array" ref="Q82">IFERROR(INDEX(INDIRECT(Config!$G$1), MATCH($A82, INDIRECT(Config!$H$1), 0), MATCH(Q$1, INDIRECT(Config!$I$1), 0)), "")</f>
        <v/>
      </c>
      <c r="R82" s="35" t="str">
        <f t="array" ref="R82">IFERROR(INDEX(INDIRECT(Config!$G$1), MATCH($A82, INDIRECT(Config!$H$1), 0), MATCH(R$1, INDIRECT(Config!$I$1), 0)), "")</f>
        <v/>
      </c>
      <c r="S82" s="32" t="str">
        <f t="array" ref="S82">IFERROR(INDEX(INDIRECT(Config!$G$1), MATCH($A82, INDIRECT(Config!$H$1), 0), MATCH(S$1, INDIRECT(Config!$I$1), 0)), "")</f>
        <v/>
      </c>
      <c r="T82" s="35" t="str">
        <f t="array" ref="T82">IFERROR(INDEX(INDIRECT(Config!$G$1), MATCH($A82, INDIRECT(Config!$H$1), 0), MATCH(T$1, INDIRECT(Config!$I$1), 0)), "")</f>
        <v/>
      </c>
      <c r="U82" s="32" t="str">
        <f t="array" ref="U82">IFERROR(INDEX(INDIRECT(Config!$G$1), MATCH($A82, INDIRECT(Config!$H$1), 0), MATCH(U$1, INDIRECT(Config!$I$1), 0)), "")</f>
        <v/>
      </c>
      <c r="V82" s="35" t="str">
        <f t="array" ref="V82">IFERROR(INDEX(INDIRECT(Config!$G$1), MATCH($A82, INDIRECT(Config!$H$1), 0), MATCH(V$1, INDIRECT(Config!$I$1), 0)), "")</f>
        <v/>
      </c>
      <c r="W82" s="32" t="str">
        <f t="array" ref="W82">IFERROR(INDEX(INDIRECT(Config!$G$1), MATCH($A82, INDIRECT(Config!$H$1), 0), MATCH(W$1, INDIRECT(Config!$I$1), 0)), "")</f>
        <v/>
      </c>
      <c r="X82" s="35" t="str">
        <f t="array" ref="X82">IFERROR(INDEX(INDIRECT(Config!$G$1), MATCH($A82, INDIRECT(Config!$H$1), 0), MATCH(X$1, INDIRECT(Config!$I$1), 0)), "")</f>
        <v/>
      </c>
      <c r="Y82" s="32" t="str">
        <f t="array" ref="Y82">IFERROR(INDEX(INDIRECT(Config!$G$1), MATCH($A82, INDIRECT(Config!$H$1), 0), MATCH(Y$1, INDIRECT(Config!$I$1), 0)), "")</f>
        <v/>
      </c>
      <c r="Z82" s="32" t="str">
        <f t="array" ref="Z82">IFERROR(INDEX(INDIRECT(Config!$G$1), MATCH($A82, INDIRECT(Config!$H$1), 0), MATCH(Z$1, INDIRECT(Config!$I$1), 0)), "")</f>
        <v/>
      </c>
      <c r="AA82" s="35" t="str">
        <f t="array" ref="AA82">IFERROR(INDEX(INDIRECT(Config!$G$1), MATCH($A82, INDIRECT(Config!$H$1), 0), MATCH(AA$1, INDIRECT(Config!$I$1), 0)), "")</f>
        <v/>
      </c>
      <c r="AB82" s="32" t="str">
        <f t="array" ref="AB82">IFERROR(INDEX(INDIRECT(Config!$G$1), MATCH($A82, INDIRECT(Config!$H$1), 0), MATCH(AB$1, INDIRECT(Config!$I$1), 0)), "")</f>
        <v/>
      </c>
      <c r="AC82" s="35" t="str">
        <f t="array" ref="AC82">IFERROR(INDEX(INDIRECT(Config!$G$1), MATCH($A82, INDIRECT(Config!$H$1), 0), MATCH(AC$1, INDIRECT(Config!$I$1), 0)), "")</f>
        <v/>
      </c>
      <c r="AD82" s="32" t="str">
        <f t="array" ref="AD82">IFERROR(INDEX(INDIRECT(Config!$G$1), MATCH($A82, INDIRECT(Config!$H$1), 0), MATCH(AD$1, INDIRECT(Config!$I$1), 0)), "")</f>
        <v/>
      </c>
      <c r="AE82" s="35" t="str">
        <f t="array" ref="AE82">IFERROR(INDEX(INDIRECT(Config!$G$1), MATCH($A82, INDIRECT(Config!$H$1), 0), MATCH(AE$1, INDIRECT(Config!$I$1), 0)), "")</f>
        <v/>
      </c>
      <c r="AF82" s="32" t="str">
        <f t="array" ref="AF82">IFERROR(INDEX(INDIRECT(Config!$G$1), MATCH($A82, INDIRECT(Config!$H$1), 0), MATCH(AF$1, INDIRECT(Config!$I$1), 0)), "")</f>
        <v/>
      </c>
      <c r="AG82" s="35" t="str">
        <f t="array" ref="AG82">IFERROR(INDEX(INDIRECT(Config!$G$1), MATCH($A82, INDIRECT(Config!$H$1), 0), MATCH(AG$1, INDIRECT(Config!$I$1), 0)), "")</f>
        <v/>
      </c>
      <c r="AH82" s="32" t="str">
        <f t="array" ref="AH82">IFERROR(INDEX(INDIRECT(Config!$G$1), MATCH($A82, INDIRECT(Config!$H$1), 0), MATCH(AH$1, INDIRECT(Config!$I$1), 0)), "")</f>
        <v/>
      </c>
      <c r="AI82" s="35" t="str">
        <f t="array" ref="AI82">IFERROR(INDEX(INDIRECT(Config!$G$1), MATCH($A82, INDIRECT(Config!$H$1), 0), MATCH(AI$1, INDIRECT(Config!$I$1), 0)), "")</f>
        <v/>
      </c>
      <c r="AJ82" s="32" t="str">
        <f t="array" ref="AJ82">IFERROR(INDEX(INDIRECT(Config!$G$1), MATCH($A82, INDIRECT(Config!$H$1), 0), MATCH(AJ$1, INDIRECT(Config!$I$1), 0)), "")</f>
        <v/>
      </c>
      <c r="AK82" s="35" t="str">
        <f t="array" ref="AK82">IFERROR(INDEX(INDIRECT(Config!$G$1), MATCH($A82, INDIRECT(Config!$H$1), 0), MATCH(AK$1, INDIRECT(Config!$I$1), 0)), "")</f>
        <v/>
      </c>
      <c r="AL82" s="32" t="str">
        <f t="array" ref="AL82">IFERROR(INDEX(INDIRECT(Config!$G$1), MATCH($A82, INDIRECT(Config!$H$1), 0), MATCH(AL$1, INDIRECT(Config!$I$1), 0)), "")</f>
        <v/>
      </c>
      <c r="AM82" s="35" t="str">
        <f t="array" ref="AM82">IFERROR(INDEX(INDIRECT(Config!$G$1), MATCH($A82, INDIRECT(Config!$H$1), 0), MATCH(AM$1, INDIRECT(Config!$I$1), 0)), "")</f>
        <v/>
      </c>
      <c r="AN82" s="32" t="str">
        <f t="array" ref="AN82">IFERROR(INDEX(INDIRECT(Config!$G$1), MATCH($A82, INDIRECT(Config!$H$1), 0), MATCH(AN$1, INDIRECT(Config!$I$1), 0)), "")</f>
        <v/>
      </c>
      <c r="AO82" s="35" t="str">
        <f t="array" ref="AO82">IFERROR(INDEX(INDIRECT(Config!$G$1), MATCH($A82, INDIRECT(Config!$H$1), 0), MATCH(AO$1, INDIRECT(Config!$I$1), 0)), "")</f>
        <v/>
      </c>
      <c r="AP82" s="32" t="str">
        <f t="array" ref="AP82">IFERROR(INDEX(INDIRECT(Config!$G$1), MATCH($A82, INDIRECT(Config!$H$1), 0), MATCH(AP$1, INDIRECT(Config!$I$1), 0)), "")</f>
        <v/>
      </c>
      <c r="AQ82" s="35" t="str">
        <f t="array" ref="AQ82">IFERROR(INDEX(INDIRECT(Config!$G$1), MATCH($A82, INDIRECT(Config!$H$1), 0), MATCH(AQ$1, INDIRECT(Config!$I$1), 0)), "")</f>
        <v/>
      </c>
      <c r="AR82" s="32" t="str">
        <f t="array" ref="AR82">IFERROR(INDEX(INDIRECT(Config!$G$1), MATCH($A82, INDIRECT(Config!$H$1), 0), MATCH(AR$1, INDIRECT(Config!$I$1), 0)), "")</f>
        <v/>
      </c>
      <c r="AS82" s="35" t="str">
        <f t="array" ref="AS82">IFERROR(INDEX(INDIRECT(Config!$G$1), MATCH($A82, INDIRECT(Config!$H$1), 0), MATCH(AS$1, INDIRECT(Config!$I$1), 0)), "")</f>
        <v/>
      </c>
      <c r="AT82" s="32" t="str">
        <f t="array" ref="AT82">IFERROR(INDEX(INDIRECT(Config!$G$1), MATCH($A82, INDIRECT(Config!$H$1), 0), MATCH(AT$1, INDIRECT(Config!$I$1), 0)), "")</f>
        <v/>
      </c>
      <c r="AU82" s="35" t="str">
        <f t="array" ref="AU82">IFERROR(INDEX(INDIRECT(Config!$G$1), MATCH($A82, INDIRECT(Config!$H$1), 0), MATCH(AU$1, INDIRECT(Config!$I$1), 0)), "")</f>
        <v/>
      </c>
      <c r="AV82" s="32" t="str">
        <f t="array" ref="AV82">IFERROR(INDEX(INDIRECT(Config!$G$1), MATCH($A82, INDIRECT(Config!$H$1), 0), MATCH(AV$1, INDIRECT(Config!$I$1), 0)), "")</f>
        <v/>
      </c>
      <c r="AW82" s="35"/>
      <c r="AX82" s="32"/>
      <c r="AY82" s="35"/>
    </row>
    <row r="83" ht="15.75" customHeight="1">
      <c r="A83" s="12" t="str">
        <f>Menus!B44</f>
        <v/>
      </c>
      <c r="B83" s="51">
        <f t="shared" si="7"/>
        <v>0</v>
      </c>
      <c r="C83" s="33" t="str">
        <f t="array" ref="C83">IFERROR(INDEX(INDIRECT(Config!$G$1), MATCH($A83, INDIRECT(Config!$H$1), 0), MATCH(C$1, INDIRECT(Config!$I$1), 0)), "")</f>
        <v/>
      </c>
      <c r="D83" s="34" t="str">
        <f t="array" ref="D83">IFERROR(INDEX(INDIRECT(Config!$G$1), MATCH($A83, INDIRECT(Config!$H$1), 0), MATCH(D$1, INDIRECT(Config!$I$1), 0)), "")</f>
        <v/>
      </c>
      <c r="E83" s="32" t="str">
        <f t="array" ref="E83">IFERROR(INDEX(INDIRECT(Config!$G$1), MATCH($A83, INDIRECT(Config!$H$1), 0), MATCH(E$1, INDIRECT(Config!$I$1), 0)), "")</f>
        <v/>
      </c>
      <c r="F83" s="35" t="str">
        <f t="array" ref="F83">IFERROR(INDEX(INDIRECT(Config!$G$1), MATCH($A83, INDIRECT(Config!$H$1), 0), MATCH(F$1, INDIRECT(Config!$I$1), 0)), "")</f>
        <v/>
      </c>
      <c r="G83" s="32" t="str">
        <f t="array" ref="G83">IFERROR(INDEX(INDIRECT(Config!$G$1), MATCH($A83, INDIRECT(Config!$H$1), 0), MATCH(G$1, INDIRECT(Config!$I$1), 0)), "")</f>
        <v/>
      </c>
      <c r="H83" s="35" t="str">
        <f t="array" ref="H83">IFERROR(INDEX(INDIRECT(Config!$G$1), MATCH($A83, INDIRECT(Config!$H$1), 0), MATCH(H$1, INDIRECT(Config!$I$1), 0)), "")</f>
        <v/>
      </c>
      <c r="I83" s="32" t="str">
        <f t="array" ref="I83">IFERROR(INDEX(INDIRECT(Config!$G$1), MATCH($A83, INDIRECT(Config!$H$1), 0), MATCH(I$1, INDIRECT(Config!$I$1), 0)), "")</f>
        <v/>
      </c>
      <c r="J83" s="35" t="str">
        <f t="array" ref="J83">IFERROR(INDEX(INDIRECT(Config!$G$1), MATCH($A83, INDIRECT(Config!$H$1), 0), MATCH(J$1, INDIRECT(Config!$I$1), 0)), "")</f>
        <v/>
      </c>
      <c r="K83" s="32" t="str">
        <f t="array" ref="K83">IFERROR(INDEX(INDIRECT(Config!$G$1), MATCH($A83, INDIRECT(Config!$H$1), 0), MATCH(K$1, INDIRECT(Config!$I$1), 0)), "")</f>
        <v/>
      </c>
      <c r="L83" s="35" t="str">
        <f t="array" ref="L83">IFERROR(INDEX(INDIRECT(Config!$G$1), MATCH($A83, INDIRECT(Config!$H$1), 0), MATCH(L$1, INDIRECT(Config!$I$1), 0)), "")</f>
        <v/>
      </c>
      <c r="M83" s="32" t="str">
        <f t="array" ref="M83">IFERROR(INDEX(INDIRECT(Config!$G$1), MATCH($A83, INDIRECT(Config!$H$1), 0), MATCH(M$1, INDIRECT(Config!$I$1), 0)), "")</f>
        <v/>
      </c>
      <c r="N83" s="35" t="str">
        <f t="array" ref="N83">IFERROR(INDEX(INDIRECT(Config!$G$1), MATCH($A83, INDIRECT(Config!$H$1), 0), MATCH(N$1, INDIRECT(Config!$I$1), 0)), "")</f>
        <v/>
      </c>
      <c r="O83" s="32" t="str">
        <f t="array" ref="O83">IFERROR(INDEX(INDIRECT(Config!$G$1), MATCH($A83, INDIRECT(Config!$H$1), 0), MATCH(O$1, INDIRECT(Config!$I$1), 0)), "")</f>
        <v/>
      </c>
      <c r="P83" s="35" t="str">
        <f t="array" ref="P83">IFERROR(INDEX(INDIRECT(Config!$G$1), MATCH($A83, INDIRECT(Config!$H$1), 0), MATCH(P$1, INDIRECT(Config!$I$1), 0)), "")</f>
        <v/>
      </c>
      <c r="Q83" s="32" t="str">
        <f t="array" ref="Q83">IFERROR(INDEX(INDIRECT(Config!$G$1), MATCH($A83, INDIRECT(Config!$H$1), 0), MATCH(Q$1, INDIRECT(Config!$I$1), 0)), "")</f>
        <v/>
      </c>
      <c r="R83" s="35" t="str">
        <f t="array" ref="R83">IFERROR(INDEX(INDIRECT(Config!$G$1), MATCH($A83, INDIRECT(Config!$H$1), 0), MATCH(R$1, INDIRECT(Config!$I$1), 0)), "")</f>
        <v/>
      </c>
      <c r="S83" s="32" t="str">
        <f t="array" ref="S83">IFERROR(INDEX(INDIRECT(Config!$G$1), MATCH($A83, INDIRECT(Config!$H$1), 0), MATCH(S$1, INDIRECT(Config!$I$1), 0)), "")</f>
        <v/>
      </c>
      <c r="T83" s="35" t="str">
        <f t="array" ref="T83">IFERROR(INDEX(INDIRECT(Config!$G$1), MATCH($A83, INDIRECT(Config!$H$1), 0), MATCH(T$1, INDIRECT(Config!$I$1), 0)), "")</f>
        <v/>
      </c>
      <c r="U83" s="32" t="str">
        <f t="array" ref="U83">IFERROR(INDEX(INDIRECT(Config!$G$1), MATCH($A83, INDIRECT(Config!$H$1), 0), MATCH(U$1, INDIRECT(Config!$I$1), 0)), "")</f>
        <v/>
      </c>
      <c r="V83" s="35" t="str">
        <f t="array" ref="V83">IFERROR(INDEX(INDIRECT(Config!$G$1), MATCH($A83, INDIRECT(Config!$H$1), 0), MATCH(V$1, INDIRECT(Config!$I$1), 0)), "")</f>
        <v/>
      </c>
      <c r="W83" s="32" t="str">
        <f t="array" ref="W83">IFERROR(INDEX(INDIRECT(Config!$G$1), MATCH($A83, INDIRECT(Config!$H$1), 0), MATCH(W$1, INDIRECT(Config!$I$1), 0)), "")</f>
        <v/>
      </c>
      <c r="X83" s="35" t="str">
        <f t="array" ref="X83">IFERROR(INDEX(INDIRECT(Config!$G$1), MATCH($A83, INDIRECT(Config!$H$1), 0), MATCH(X$1, INDIRECT(Config!$I$1), 0)), "")</f>
        <v/>
      </c>
      <c r="Y83" s="32" t="str">
        <f t="array" ref="Y83">IFERROR(INDEX(INDIRECT(Config!$G$1), MATCH($A83, INDIRECT(Config!$H$1), 0), MATCH(Y$1, INDIRECT(Config!$I$1), 0)), "")</f>
        <v/>
      </c>
      <c r="Z83" s="32" t="str">
        <f t="array" ref="Z83">IFERROR(INDEX(INDIRECT(Config!$G$1), MATCH($A83, INDIRECT(Config!$H$1), 0), MATCH(Z$1, INDIRECT(Config!$I$1), 0)), "")</f>
        <v/>
      </c>
      <c r="AA83" s="35" t="str">
        <f t="array" ref="AA83">IFERROR(INDEX(INDIRECT(Config!$G$1), MATCH($A83, INDIRECT(Config!$H$1), 0), MATCH(AA$1, INDIRECT(Config!$I$1), 0)), "")</f>
        <v/>
      </c>
      <c r="AB83" s="32" t="str">
        <f t="array" ref="AB83">IFERROR(INDEX(INDIRECT(Config!$G$1), MATCH($A83, INDIRECT(Config!$H$1), 0), MATCH(AB$1, INDIRECT(Config!$I$1), 0)), "")</f>
        <v/>
      </c>
      <c r="AC83" s="35" t="str">
        <f t="array" ref="AC83">IFERROR(INDEX(INDIRECT(Config!$G$1), MATCH($A83, INDIRECT(Config!$H$1), 0), MATCH(AC$1, INDIRECT(Config!$I$1), 0)), "")</f>
        <v/>
      </c>
      <c r="AD83" s="32" t="str">
        <f t="array" ref="AD83">IFERROR(INDEX(INDIRECT(Config!$G$1), MATCH($A83, INDIRECT(Config!$H$1), 0), MATCH(AD$1, INDIRECT(Config!$I$1), 0)), "")</f>
        <v/>
      </c>
      <c r="AE83" s="35" t="str">
        <f t="array" ref="AE83">IFERROR(INDEX(INDIRECT(Config!$G$1), MATCH($A83, INDIRECT(Config!$H$1), 0), MATCH(AE$1, INDIRECT(Config!$I$1), 0)), "")</f>
        <v/>
      </c>
      <c r="AF83" s="32" t="str">
        <f t="array" ref="AF83">IFERROR(INDEX(INDIRECT(Config!$G$1), MATCH($A83, INDIRECT(Config!$H$1), 0), MATCH(AF$1, INDIRECT(Config!$I$1), 0)), "")</f>
        <v/>
      </c>
      <c r="AG83" s="35" t="str">
        <f t="array" ref="AG83">IFERROR(INDEX(INDIRECT(Config!$G$1), MATCH($A83, INDIRECT(Config!$H$1), 0), MATCH(AG$1, INDIRECT(Config!$I$1), 0)), "")</f>
        <v/>
      </c>
      <c r="AH83" s="32" t="str">
        <f t="array" ref="AH83">IFERROR(INDEX(INDIRECT(Config!$G$1), MATCH($A83, INDIRECT(Config!$H$1), 0), MATCH(AH$1, INDIRECT(Config!$I$1), 0)), "")</f>
        <v/>
      </c>
      <c r="AI83" s="35" t="str">
        <f t="array" ref="AI83">IFERROR(INDEX(INDIRECT(Config!$G$1), MATCH($A83, INDIRECT(Config!$H$1), 0), MATCH(AI$1, INDIRECT(Config!$I$1), 0)), "")</f>
        <v/>
      </c>
      <c r="AJ83" s="32" t="str">
        <f t="array" ref="AJ83">IFERROR(INDEX(INDIRECT(Config!$G$1), MATCH($A83, INDIRECT(Config!$H$1), 0), MATCH(AJ$1, INDIRECT(Config!$I$1), 0)), "")</f>
        <v/>
      </c>
      <c r="AK83" s="35" t="str">
        <f t="array" ref="AK83">IFERROR(INDEX(INDIRECT(Config!$G$1), MATCH($A83, INDIRECT(Config!$H$1), 0), MATCH(AK$1, INDIRECT(Config!$I$1), 0)), "")</f>
        <v/>
      </c>
      <c r="AL83" s="32" t="str">
        <f t="array" ref="AL83">IFERROR(INDEX(INDIRECT(Config!$G$1), MATCH($A83, INDIRECT(Config!$H$1), 0), MATCH(AL$1, INDIRECT(Config!$I$1), 0)), "")</f>
        <v/>
      </c>
      <c r="AM83" s="35" t="str">
        <f t="array" ref="AM83">IFERROR(INDEX(INDIRECT(Config!$G$1), MATCH($A83, INDIRECT(Config!$H$1), 0), MATCH(AM$1, INDIRECT(Config!$I$1), 0)), "")</f>
        <v/>
      </c>
      <c r="AN83" s="32" t="str">
        <f t="array" ref="AN83">IFERROR(INDEX(INDIRECT(Config!$G$1), MATCH($A83, INDIRECT(Config!$H$1), 0), MATCH(AN$1, INDIRECT(Config!$I$1), 0)), "")</f>
        <v/>
      </c>
      <c r="AO83" s="35" t="str">
        <f t="array" ref="AO83">IFERROR(INDEX(INDIRECT(Config!$G$1), MATCH($A83, INDIRECT(Config!$H$1), 0), MATCH(AO$1, INDIRECT(Config!$I$1), 0)), "")</f>
        <v/>
      </c>
      <c r="AP83" s="32" t="str">
        <f t="array" ref="AP83">IFERROR(INDEX(INDIRECT(Config!$G$1), MATCH($A83, INDIRECT(Config!$H$1), 0), MATCH(AP$1, INDIRECT(Config!$I$1), 0)), "")</f>
        <v/>
      </c>
      <c r="AQ83" s="35" t="str">
        <f t="array" ref="AQ83">IFERROR(INDEX(INDIRECT(Config!$G$1), MATCH($A83, INDIRECT(Config!$H$1), 0), MATCH(AQ$1, INDIRECT(Config!$I$1), 0)), "")</f>
        <v/>
      </c>
      <c r="AR83" s="32" t="str">
        <f t="array" ref="AR83">IFERROR(INDEX(INDIRECT(Config!$G$1), MATCH($A83, INDIRECT(Config!$H$1), 0), MATCH(AR$1, INDIRECT(Config!$I$1), 0)), "")</f>
        <v/>
      </c>
      <c r="AS83" s="35" t="str">
        <f t="array" ref="AS83">IFERROR(INDEX(INDIRECT(Config!$G$1), MATCH($A83, INDIRECT(Config!$H$1), 0), MATCH(AS$1, INDIRECT(Config!$I$1), 0)), "")</f>
        <v/>
      </c>
      <c r="AT83" s="32" t="str">
        <f t="array" ref="AT83">IFERROR(INDEX(INDIRECT(Config!$G$1), MATCH($A83, INDIRECT(Config!$H$1), 0), MATCH(AT$1, INDIRECT(Config!$I$1), 0)), "")</f>
        <v/>
      </c>
      <c r="AU83" s="35" t="str">
        <f t="array" ref="AU83">IFERROR(INDEX(INDIRECT(Config!$G$1), MATCH($A83, INDIRECT(Config!$H$1), 0), MATCH(AU$1, INDIRECT(Config!$I$1), 0)), "")</f>
        <v/>
      </c>
      <c r="AV83" s="32" t="str">
        <f t="array" ref="AV83">IFERROR(INDEX(INDIRECT(Config!$G$1), MATCH($A83, INDIRECT(Config!$H$1), 0), MATCH(AV$1, INDIRECT(Config!$I$1), 0)), "")</f>
        <v/>
      </c>
      <c r="AW83" s="35"/>
      <c r="AX83" s="32"/>
      <c r="AY83" s="35"/>
    </row>
    <row r="84" ht="15.75" customHeight="1">
      <c r="A84" s="12" t="str">
        <f>Menus!B45</f>
        <v/>
      </c>
      <c r="B84" s="51">
        <f t="shared" si="7"/>
        <v>0</v>
      </c>
      <c r="C84" s="33" t="str">
        <f t="array" ref="C84">IFERROR(INDEX(INDIRECT(Config!$G$1), MATCH($A84, INDIRECT(Config!$H$1), 0), MATCH(C$1, INDIRECT(Config!$I$1), 0)), "")</f>
        <v/>
      </c>
      <c r="D84" s="34" t="str">
        <f t="array" ref="D84">IFERROR(INDEX(INDIRECT(Config!$G$1), MATCH($A84, INDIRECT(Config!$H$1), 0), MATCH(D$1, INDIRECT(Config!$I$1), 0)), "")</f>
        <v/>
      </c>
      <c r="E84" s="32" t="str">
        <f t="array" ref="E84">IFERROR(INDEX(INDIRECT(Config!$G$1), MATCH($A84, INDIRECT(Config!$H$1), 0), MATCH(E$1, INDIRECT(Config!$I$1), 0)), "")</f>
        <v/>
      </c>
      <c r="F84" s="35" t="str">
        <f t="array" ref="F84">IFERROR(INDEX(INDIRECT(Config!$G$1), MATCH($A84, INDIRECT(Config!$H$1), 0), MATCH(F$1, INDIRECT(Config!$I$1), 0)), "")</f>
        <v/>
      </c>
      <c r="G84" s="32" t="str">
        <f t="array" ref="G84">IFERROR(INDEX(INDIRECT(Config!$G$1), MATCH($A84, INDIRECT(Config!$H$1), 0), MATCH(G$1, INDIRECT(Config!$I$1), 0)), "")</f>
        <v/>
      </c>
      <c r="H84" s="35" t="str">
        <f t="array" ref="H84">IFERROR(INDEX(INDIRECT(Config!$G$1), MATCH($A84, INDIRECT(Config!$H$1), 0), MATCH(H$1, INDIRECT(Config!$I$1), 0)), "")</f>
        <v/>
      </c>
      <c r="I84" s="32" t="str">
        <f t="array" ref="I84">IFERROR(INDEX(INDIRECT(Config!$G$1), MATCH($A84, INDIRECT(Config!$H$1), 0), MATCH(I$1, INDIRECT(Config!$I$1), 0)), "")</f>
        <v/>
      </c>
      <c r="J84" s="35" t="str">
        <f t="array" ref="J84">IFERROR(INDEX(INDIRECT(Config!$G$1), MATCH($A84, INDIRECT(Config!$H$1), 0), MATCH(J$1, INDIRECT(Config!$I$1), 0)), "")</f>
        <v/>
      </c>
      <c r="K84" s="32" t="str">
        <f t="array" ref="K84">IFERROR(INDEX(INDIRECT(Config!$G$1), MATCH($A84, INDIRECT(Config!$H$1), 0), MATCH(K$1, INDIRECT(Config!$I$1), 0)), "")</f>
        <v/>
      </c>
      <c r="L84" s="35" t="str">
        <f t="array" ref="L84">IFERROR(INDEX(INDIRECT(Config!$G$1), MATCH($A84, INDIRECT(Config!$H$1), 0), MATCH(L$1, INDIRECT(Config!$I$1), 0)), "")</f>
        <v/>
      </c>
      <c r="M84" s="32" t="str">
        <f t="array" ref="M84">IFERROR(INDEX(INDIRECT(Config!$G$1), MATCH($A84, INDIRECT(Config!$H$1), 0), MATCH(M$1, INDIRECT(Config!$I$1), 0)), "")</f>
        <v/>
      </c>
      <c r="N84" s="35" t="str">
        <f t="array" ref="N84">IFERROR(INDEX(INDIRECT(Config!$G$1), MATCH($A84, INDIRECT(Config!$H$1), 0), MATCH(N$1, INDIRECT(Config!$I$1), 0)), "")</f>
        <v/>
      </c>
      <c r="O84" s="32" t="str">
        <f t="array" ref="O84">IFERROR(INDEX(INDIRECT(Config!$G$1), MATCH($A84, INDIRECT(Config!$H$1), 0), MATCH(O$1, INDIRECT(Config!$I$1), 0)), "")</f>
        <v/>
      </c>
      <c r="P84" s="35" t="str">
        <f t="array" ref="P84">IFERROR(INDEX(INDIRECT(Config!$G$1), MATCH($A84, INDIRECT(Config!$H$1), 0), MATCH(P$1, INDIRECT(Config!$I$1), 0)), "")</f>
        <v/>
      </c>
      <c r="Q84" s="32" t="str">
        <f t="array" ref="Q84">IFERROR(INDEX(INDIRECT(Config!$G$1), MATCH($A84, INDIRECT(Config!$H$1), 0), MATCH(Q$1, INDIRECT(Config!$I$1), 0)), "")</f>
        <v/>
      </c>
      <c r="R84" s="35" t="str">
        <f t="array" ref="R84">IFERROR(INDEX(INDIRECT(Config!$G$1), MATCH($A84, INDIRECT(Config!$H$1), 0), MATCH(R$1, INDIRECT(Config!$I$1), 0)), "")</f>
        <v/>
      </c>
      <c r="S84" s="32" t="str">
        <f t="array" ref="S84">IFERROR(INDEX(INDIRECT(Config!$G$1), MATCH($A84, INDIRECT(Config!$H$1), 0), MATCH(S$1, INDIRECT(Config!$I$1), 0)), "")</f>
        <v/>
      </c>
      <c r="T84" s="35" t="str">
        <f t="array" ref="T84">IFERROR(INDEX(INDIRECT(Config!$G$1), MATCH($A84, INDIRECT(Config!$H$1), 0), MATCH(T$1, INDIRECT(Config!$I$1), 0)), "")</f>
        <v/>
      </c>
      <c r="U84" s="32" t="str">
        <f t="array" ref="U84">IFERROR(INDEX(INDIRECT(Config!$G$1), MATCH($A84, INDIRECT(Config!$H$1), 0), MATCH(U$1, INDIRECT(Config!$I$1), 0)), "")</f>
        <v/>
      </c>
      <c r="V84" s="35" t="str">
        <f t="array" ref="V84">IFERROR(INDEX(INDIRECT(Config!$G$1), MATCH($A84, INDIRECT(Config!$H$1), 0), MATCH(V$1, INDIRECT(Config!$I$1), 0)), "")</f>
        <v/>
      </c>
      <c r="W84" s="32" t="str">
        <f t="array" ref="W84">IFERROR(INDEX(INDIRECT(Config!$G$1), MATCH($A84, INDIRECT(Config!$H$1), 0), MATCH(W$1, INDIRECT(Config!$I$1), 0)), "")</f>
        <v/>
      </c>
      <c r="X84" s="35" t="str">
        <f t="array" ref="X84">IFERROR(INDEX(INDIRECT(Config!$G$1), MATCH($A84, INDIRECT(Config!$H$1), 0), MATCH(X$1, INDIRECT(Config!$I$1), 0)), "")</f>
        <v/>
      </c>
      <c r="Y84" s="32" t="str">
        <f t="array" ref="Y84">IFERROR(INDEX(INDIRECT(Config!$G$1), MATCH($A84, INDIRECT(Config!$H$1), 0), MATCH(Y$1, INDIRECT(Config!$I$1), 0)), "")</f>
        <v/>
      </c>
      <c r="Z84" s="32" t="str">
        <f t="array" ref="Z84">IFERROR(INDEX(INDIRECT(Config!$G$1), MATCH($A84, INDIRECT(Config!$H$1), 0), MATCH(Z$1, INDIRECT(Config!$I$1), 0)), "")</f>
        <v/>
      </c>
      <c r="AA84" s="35" t="str">
        <f t="array" ref="AA84">IFERROR(INDEX(INDIRECT(Config!$G$1), MATCH($A84, INDIRECT(Config!$H$1), 0), MATCH(AA$1, INDIRECT(Config!$I$1), 0)), "")</f>
        <v/>
      </c>
      <c r="AB84" s="32" t="str">
        <f t="array" ref="AB84">IFERROR(INDEX(INDIRECT(Config!$G$1), MATCH($A84, INDIRECT(Config!$H$1), 0), MATCH(AB$1, INDIRECT(Config!$I$1), 0)), "")</f>
        <v/>
      </c>
      <c r="AC84" s="35" t="str">
        <f t="array" ref="AC84">IFERROR(INDEX(INDIRECT(Config!$G$1), MATCH($A84, INDIRECT(Config!$H$1), 0), MATCH(AC$1, INDIRECT(Config!$I$1), 0)), "")</f>
        <v/>
      </c>
      <c r="AD84" s="32" t="str">
        <f t="array" ref="AD84">IFERROR(INDEX(INDIRECT(Config!$G$1), MATCH($A84, INDIRECT(Config!$H$1), 0), MATCH(AD$1, INDIRECT(Config!$I$1), 0)), "")</f>
        <v/>
      </c>
      <c r="AE84" s="35" t="str">
        <f t="array" ref="AE84">IFERROR(INDEX(INDIRECT(Config!$G$1), MATCH($A84, INDIRECT(Config!$H$1), 0), MATCH(AE$1, INDIRECT(Config!$I$1), 0)), "")</f>
        <v/>
      </c>
      <c r="AF84" s="32" t="str">
        <f t="array" ref="AF84">IFERROR(INDEX(INDIRECT(Config!$G$1), MATCH($A84, INDIRECT(Config!$H$1), 0), MATCH(AF$1, INDIRECT(Config!$I$1), 0)), "")</f>
        <v/>
      </c>
      <c r="AG84" s="35" t="str">
        <f t="array" ref="AG84">IFERROR(INDEX(INDIRECT(Config!$G$1), MATCH($A84, INDIRECT(Config!$H$1), 0), MATCH(AG$1, INDIRECT(Config!$I$1), 0)), "")</f>
        <v/>
      </c>
      <c r="AH84" s="32" t="str">
        <f t="array" ref="AH84">IFERROR(INDEX(INDIRECT(Config!$G$1), MATCH($A84, INDIRECT(Config!$H$1), 0), MATCH(AH$1, INDIRECT(Config!$I$1), 0)), "")</f>
        <v/>
      </c>
      <c r="AI84" s="35" t="str">
        <f t="array" ref="AI84">IFERROR(INDEX(INDIRECT(Config!$G$1), MATCH($A84, INDIRECT(Config!$H$1), 0), MATCH(AI$1, INDIRECT(Config!$I$1), 0)), "")</f>
        <v/>
      </c>
      <c r="AJ84" s="32" t="str">
        <f t="array" ref="AJ84">IFERROR(INDEX(INDIRECT(Config!$G$1), MATCH($A84, INDIRECT(Config!$H$1), 0), MATCH(AJ$1, INDIRECT(Config!$I$1), 0)), "")</f>
        <v/>
      </c>
      <c r="AK84" s="35" t="str">
        <f t="array" ref="AK84">IFERROR(INDEX(INDIRECT(Config!$G$1), MATCH($A84, INDIRECT(Config!$H$1), 0), MATCH(AK$1, INDIRECT(Config!$I$1), 0)), "")</f>
        <v/>
      </c>
      <c r="AL84" s="32" t="str">
        <f t="array" ref="AL84">IFERROR(INDEX(INDIRECT(Config!$G$1), MATCH($A84, INDIRECT(Config!$H$1), 0), MATCH(AL$1, INDIRECT(Config!$I$1), 0)), "")</f>
        <v/>
      </c>
      <c r="AM84" s="35" t="str">
        <f t="array" ref="AM84">IFERROR(INDEX(INDIRECT(Config!$G$1), MATCH($A84, INDIRECT(Config!$H$1), 0), MATCH(AM$1, INDIRECT(Config!$I$1), 0)), "")</f>
        <v/>
      </c>
      <c r="AN84" s="32" t="str">
        <f t="array" ref="AN84">IFERROR(INDEX(INDIRECT(Config!$G$1), MATCH($A84, INDIRECT(Config!$H$1), 0), MATCH(AN$1, INDIRECT(Config!$I$1), 0)), "")</f>
        <v/>
      </c>
      <c r="AO84" s="35" t="str">
        <f t="array" ref="AO84">IFERROR(INDEX(INDIRECT(Config!$G$1), MATCH($A84, INDIRECT(Config!$H$1), 0), MATCH(AO$1, INDIRECT(Config!$I$1), 0)), "")</f>
        <v/>
      </c>
      <c r="AP84" s="32" t="str">
        <f t="array" ref="AP84">IFERROR(INDEX(INDIRECT(Config!$G$1), MATCH($A84, INDIRECT(Config!$H$1), 0), MATCH(AP$1, INDIRECT(Config!$I$1), 0)), "")</f>
        <v/>
      </c>
      <c r="AQ84" s="35" t="str">
        <f t="array" ref="AQ84">IFERROR(INDEX(INDIRECT(Config!$G$1), MATCH($A84, INDIRECT(Config!$H$1), 0), MATCH(AQ$1, INDIRECT(Config!$I$1), 0)), "")</f>
        <v/>
      </c>
      <c r="AR84" s="32" t="str">
        <f t="array" ref="AR84">IFERROR(INDEX(INDIRECT(Config!$G$1), MATCH($A84, INDIRECT(Config!$H$1), 0), MATCH(AR$1, INDIRECT(Config!$I$1), 0)), "")</f>
        <v/>
      </c>
      <c r="AS84" s="35" t="str">
        <f t="array" ref="AS84">IFERROR(INDEX(INDIRECT(Config!$G$1), MATCH($A84, INDIRECT(Config!$H$1), 0), MATCH(AS$1, INDIRECT(Config!$I$1), 0)), "")</f>
        <v/>
      </c>
      <c r="AT84" s="32" t="str">
        <f t="array" ref="AT84">IFERROR(INDEX(INDIRECT(Config!$G$1), MATCH($A84, INDIRECT(Config!$H$1), 0), MATCH(AT$1, INDIRECT(Config!$I$1), 0)), "")</f>
        <v/>
      </c>
      <c r="AU84" s="35" t="str">
        <f t="array" ref="AU84">IFERROR(INDEX(INDIRECT(Config!$G$1), MATCH($A84, INDIRECT(Config!$H$1), 0), MATCH(AU$1, INDIRECT(Config!$I$1), 0)), "")</f>
        <v/>
      </c>
      <c r="AV84" s="32" t="str">
        <f t="array" ref="AV84">IFERROR(INDEX(INDIRECT(Config!$G$1), MATCH($A84, INDIRECT(Config!$H$1), 0), MATCH(AV$1, INDIRECT(Config!$I$1), 0)), "")</f>
        <v/>
      </c>
      <c r="AW84" s="35"/>
      <c r="AX84" s="32"/>
      <c r="AY84" s="35"/>
    </row>
    <row r="85" ht="15.75" customHeight="1">
      <c r="A85" s="12" t="str">
        <f>Menus!B46</f>
        <v/>
      </c>
      <c r="B85" s="51">
        <f t="shared" si="7"/>
        <v>0</v>
      </c>
      <c r="C85" s="33" t="str">
        <f t="array" ref="C85">IFERROR(INDEX(INDIRECT(Config!$G$1), MATCH($A85, INDIRECT(Config!$H$1), 0), MATCH(C$1, INDIRECT(Config!$I$1), 0)), "")</f>
        <v/>
      </c>
      <c r="D85" s="34" t="str">
        <f t="array" ref="D85">IFERROR(INDEX(INDIRECT(Config!$G$1), MATCH($A85, INDIRECT(Config!$H$1), 0), MATCH(D$1, INDIRECT(Config!$I$1), 0)), "")</f>
        <v/>
      </c>
      <c r="E85" s="32" t="str">
        <f t="array" ref="E85">IFERROR(INDEX(INDIRECT(Config!$G$1), MATCH($A85, INDIRECT(Config!$H$1), 0), MATCH(E$1, INDIRECT(Config!$I$1), 0)), "")</f>
        <v/>
      </c>
      <c r="F85" s="35" t="str">
        <f t="array" ref="F85">IFERROR(INDEX(INDIRECT(Config!$G$1), MATCH($A85, INDIRECT(Config!$H$1), 0), MATCH(F$1, INDIRECT(Config!$I$1), 0)), "")</f>
        <v/>
      </c>
      <c r="G85" s="32" t="str">
        <f t="array" ref="G85">IFERROR(INDEX(INDIRECT(Config!$G$1), MATCH($A85, INDIRECT(Config!$H$1), 0), MATCH(G$1, INDIRECT(Config!$I$1), 0)), "")</f>
        <v/>
      </c>
      <c r="H85" s="35" t="str">
        <f t="array" ref="H85">IFERROR(INDEX(INDIRECT(Config!$G$1), MATCH($A85, INDIRECT(Config!$H$1), 0), MATCH(H$1, INDIRECT(Config!$I$1), 0)), "")</f>
        <v/>
      </c>
      <c r="I85" s="32" t="str">
        <f t="array" ref="I85">IFERROR(INDEX(INDIRECT(Config!$G$1), MATCH($A85, INDIRECT(Config!$H$1), 0), MATCH(I$1, INDIRECT(Config!$I$1), 0)), "")</f>
        <v/>
      </c>
      <c r="J85" s="35" t="str">
        <f t="array" ref="J85">IFERROR(INDEX(INDIRECT(Config!$G$1), MATCH($A85, INDIRECT(Config!$H$1), 0), MATCH(J$1, INDIRECT(Config!$I$1), 0)), "")</f>
        <v/>
      </c>
      <c r="K85" s="32" t="str">
        <f t="array" ref="K85">IFERROR(INDEX(INDIRECT(Config!$G$1), MATCH($A85, INDIRECT(Config!$H$1), 0), MATCH(K$1, INDIRECT(Config!$I$1), 0)), "")</f>
        <v/>
      </c>
      <c r="L85" s="35" t="str">
        <f t="array" ref="L85">IFERROR(INDEX(INDIRECT(Config!$G$1), MATCH($A85, INDIRECT(Config!$H$1), 0), MATCH(L$1, INDIRECT(Config!$I$1), 0)), "")</f>
        <v/>
      </c>
      <c r="M85" s="32" t="str">
        <f t="array" ref="M85">IFERROR(INDEX(INDIRECT(Config!$G$1), MATCH($A85, INDIRECT(Config!$H$1), 0), MATCH(M$1, INDIRECT(Config!$I$1), 0)), "")</f>
        <v/>
      </c>
      <c r="N85" s="35" t="str">
        <f t="array" ref="N85">IFERROR(INDEX(INDIRECT(Config!$G$1), MATCH($A85, INDIRECT(Config!$H$1), 0), MATCH(N$1, INDIRECT(Config!$I$1), 0)), "")</f>
        <v/>
      </c>
      <c r="O85" s="32" t="str">
        <f t="array" ref="O85">IFERROR(INDEX(INDIRECT(Config!$G$1), MATCH($A85, INDIRECT(Config!$H$1), 0), MATCH(O$1, INDIRECT(Config!$I$1), 0)), "")</f>
        <v/>
      </c>
      <c r="P85" s="35" t="str">
        <f t="array" ref="P85">IFERROR(INDEX(INDIRECT(Config!$G$1), MATCH($A85, INDIRECT(Config!$H$1), 0), MATCH(P$1, INDIRECT(Config!$I$1), 0)), "")</f>
        <v/>
      </c>
      <c r="Q85" s="32" t="str">
        <f t="array" ref="Q85">IFERROR(INDEX(INDIRECT(Config!$G$1), MATCH($A85, INDIRECT(Config!$H$1), 0), MATCH(Q$1, INDIRECT(Config!$I$1), 0)), "")</f>
        <v/>
      </c>
      <c r="R85" s="35" t="str">
        <f t="array" ref="R85">IFERROR(INDEX(INDIRECT(Config!$G$1), MATCH($A85, INDIRECT(Config!$H$1), 0), MATCH(R$1, INDIRECT(Config!$I$1), 0)), "")</f>
        <v/>
      </c>
      <c r="S85" s="32" t="str">
        <f t="array" ref="S85">IFERROR(INDEX(INDIRECT(Config!$G$1), MATCH($A85, INDIRECT(Config!$H$1), 0), MATCH(S$1, INDIRECT(Config!$I$1), 0)), "")</f>
        <v/>
      </c>
      <c r="T85" s="35" t="str">
        <f t="array" ref="T85">IFERROR(INDEX(INDIRECT(Config!$G$1), MATCH($A85, INDIRECT(Config!$H$1), 0), MATCH(T$1, INDIRECT(Config!$I$1), 0)), "")</f>
        <v/>
      </c>
      <c r="U85" s="32" t="str">
        <f t="array" ref="U85">IFERROR(INDEX(INDIRECT(Config!$G$1), MATCH($A85, INDIRECT(Config!$H$1), 0), MATCH(U$1, INDIRECT(Config!$I$1), 0)), "")</f>
        <v/>
      </c>
      <c r="V85" s="35" t="str">
        <f t="array" ref="V85">IFERROR(INDEX(INDIRECT(Config!$G$1), MATCH($A85, INDIRECT(Config!$H$1), 0), MATCH(V$1, INDIRECT(Config!$I$1), 0)), "")</f>
        <v/>
      </c>
      <c r="W85" s="32" t="str">
        <f t="array" ref="W85">IFERROR(INDEX(INDIRECT(Config!$G$1), MATCH($A85, INDIRECT(Config!$H$1), 0), MATCH(W$1, INDIRECT(Config!$I$1), 0)), "")</f>
        <v/>
      </c>
      <c r="X85" s="35" t="str">
        <f t="array" ref="X85">IFERROR(INDEX(INDIRECT(Config!$G$1), MATCH($A85, INDIRECT(Config!$H$1), 0), MATCH(X$1, INDIRECT(Config!$I$1), 0)), "")</f>
        <v/>
      </c>
      <c r="Y85" s="32" t="str">
        <f t="array" ref="Y85">IFERROR(INDEX(INDIRECT(Config!$G$1), MATCH($A85, INDIRECT(Config!$H$1), 0), MATCH(Y$1, INDIRECT(Config!$I$1), 0)), "")</f>
        <v/>
      </c>
      <c r="Z85" s="32" t="str">
        <f t="array" ref="Z85">IFERROR(INDEX(INDIRECT(Config!$G$1), MATCH($A85, INDIRECT(Config!$H$1), 0), MATCH(Z$1, INDIRECT(Config!$I$1), 0)), "")</f>
        <v/>
      </c>
      <c r="AA85" s="35" t="str">
        <f t="array" ref="AA85">IFERROR(INDEX(INDIRECT(Config!$G$1), MATCH($A85, INDIRECT(Config!$H$1), 0), MATCH(AA$1, INDIRECT(Config!$I$1), 0)), "")</f>
        <v/>
      </c>
      <c r="AB85" s="32" t="str">
        <f t="array" ref="AB85">IFERROR(INDEX(INDIRECT(Config!$G$1), MATCH($A85, INDIRECT(Config!$H$1), 0), MATCH(AB$1, INDIRECT(Config!$I$1), 0)), "")</f>
        <v/>
      </c>
      <c r="AC85" s="35" t="str">
        <f t="array" ref="AC85">IFERROR(INDEX(INDIRECT(Config!$G$1), MATCH($A85, INDIRECT(Config!$H$1), 0), MATCH(AC$1, INDIRECT(Config!$I$1), 0)), "")</f>
        <v/>
      </c>
      <c r="AD85" s="32" t="str">
        <f t="array" ref="AD85">IFERROR(INDEX(INDIRECT(Config!$G$1), MATCH($A85, INDIRECT(Config!$H$1), 0), MATCH(AD$1, INDIRECT(Config!$I$1), 0)), "")</f>
        <v/>
      </c>
      <c r="AE85" s="35" t="str">
        <f t="array" ref="AE85">IFERROR(INDEX(INDIRECT(Config!$G$1), MATCH($A85, INDIRECT(Config!$H$1), 0), MATCH(AE$1, INDIRECT(Config!$I$1), 0)), "")</f>
        <v/>
      </c>
      <c r="AF85" s="32" t="str">
        <f t="array" ref="AF85">IFERROR(INDEX(INDIRECT(Config!$G$1), MATCH($A85, INDIRECT(Config!$H$1), 0), MATCH(AF$1, INDIRECT(Config!$I$1), 0)), "")</f>
        <v/>
      </c>
      <c r="AG85" s="35" t="str">
        <f t="array" ref="AG85">IFERROR(INDEX(INDIRECT(Config!$G$1), MATCH($A85, INDIRECT(Config!$H$1), 0), MATCH(AG$1, INDIRECT(Config!$I$1), 0)), "")</f>
        <v/>
      </c>
      <c r="AH85" s="32" t="str">
        <f t="array" ref="AH85">IFERROR(INDEX(INDIRECT(Config!$G$1), MATCH($A85, INDIRECT(Config!$H$1), 0), MATCH(AH$1, INDIRECT(Config!$I$1), 0)), "")</f>
        <v/>
      </c>
      <c r="AI85" s="35" t="str">
        <f t="array" ref="AI85">IFERROR(INDEX(INDIRECT(Config!$G$1), MATCH($A85, INDIRECT(Config!$H$1), 0), MATCH(AI$1, INDIRECT(Config!$I$1), 0)), "")</f>
        <v/>
      </c>
      <c r="AJ85" s="32" t="str">
        <f t="array" ref="AJ85">IFERROR(INDEX(INDIRECT(Config!$G$1), MATCH($A85, INDIRECT(Config!$H$1), 0), MATCH(AJ$1, INDIRECT(Config!$I$1), 0)), "")</f>
        <v/>
      </c>
      <c r="AK85" s="35" t="str">
        <f t="array" ref="AK85">IFERROR(INDEX(INDIRECT(Config!$G$1), MATCH($A85, INDIRECT(Config!$H$1), 0), MATCH(AK$1, INDIRECT(Config!$I$1), 0)), "")</f>
        <v/>
      </c>
      <c r="AL85" s="32" t="str">
        <f t="array" ref="AL85">IFERROR(INDEX(INDIRECT(Config!$G$1), MATCH($A85, INDIRECT(Config!$H$1), 0), MATCH(AL$1, INDIRECT(Config!$I$1), 0)), "")</f>
        <v/>
      </c>
      <c r="AM85" s="35" t="str">
        <f t="array" ref="AM85">IFERROR(INDEX(INDIRECT(Config!$G$1), MATCH($A85, INDIRECT(Config!$H$1), 0), MATCH(AM$1, INDIRECT(Config!$I$1), 0)), "")</f>
        <v/>
      </c>
      <c r="AN85" s="32" t="str">
        <f t="array" ref="AN85">IFERROR(INDEX(INDIRECT(Config!$G$1), MATCH($A85, INDIRECT(Config!$H$1), 0), MATCH(AN$1, INDIRECT(Config!$I$1), 0)), "")</f>
        <v/>
      </c>
      <c r="AO85" s="35" t="str">
        <f t="array" ref="AO85">IFERROR(INDEX(INDIRECT(Config!$G$1), MATCH($A85, INDIRECT(Config!$H$1), 0), MATCH(AO$1, INDIRECT(Config!$I$1), 0)), "")</f>
        <v/>
      </c>
      <c r="AP85" s="32" t="str">
        <f t="array" ref="AP85">IFERROR(INDEX(INDIRECT(Config!$G$1), MATCH($A85, INDIRECT(Config!$H$1), 0), MATCH(AP$1, INDIRECT(Config!$I$1), 0)), "")</f>
        <v/>
      </c>
      <c r="AQ85" s="35" t="str">
        <f t="array" ref="AQ85">IFERROR(INDEX(INDIRECT(Config!$G$1), MATCH($A85, INDIRECT(Config!$H$1), 0), MATCH(AQ$1, INDIRECT(Config!$I$1), 0)), "")</f>
        <v/>
      </c>
      <c r="AR85" s="32" t="str">
        <f t="array" ref="AR85">IFERROR(INDEX(INDIRECT(Config!$G$1), MATCH($A85, INDIRECT(Config!$H$1), 0), MATCH(AR$1, INDIRECT(Config!$I$1), 0)), "")</f>
        <v/>
      </c>
      <c r="AS85" s="35" t="str">
        <f t="array" ref="AS85">IFERROR(INDEX(INDIRECT(Config!$G$1), MATCH($A85, INDIRECT(Config!$H$1), 0), MATCH(AS$1, INDIRECT(Config!$I$1), 0)), "")</f>
        <v/>
      </c>
      <c r="AT85" s="32" t="str">
        <f t="array" ref="AT85">IFERROR(INDEX(INDIRECT(Config!$G$1), MATCH($A85, INDIRECT(Config!$H$1), 0), MATCH(AT$1, INDIRECT(Config!$I$1), 0)), "")</f>
        <v/>
      </c>
      <c r="AU85" s="35" t="str">
        <f t="array" ref="AU85">IFERROR(INDEX(INDIRECT(Config!$G$1), MATCH($A85, INDIRECT(Config!$H$1), 0), MATCH(AU$1, INDIRECT(Config!$I$1), 0)), "")</f>
        <v/>
      </c>
      <c r="AV85" s="32" t="str">
        <f t="array" ref="AV85">IFERROR(INDEX(INDIRECT(Config!$G$1), MATCH($A85, INDIRECT(Config!$H$1), 0), MATCH(AV$1, INDIRECT(Config!$I$1), 0)), "")</f>
        <v/>
      </c>
      <c r="AW85" s="35"/>
      <c r="AX85" s="32"/>
      <c r="AY85" s="35"/>
    </row>
    <row r="86" ht="15.75" customHeight="1">
      <c r="A86" s="12" t="str">
        <f>Menus!B47</f>
        <v/>
      </c>
      <c r="B86" s="51">
        <f t="shared" si="7"/>
        <v>0</v>
      </c>
      <c r="C86" s="33" t="str">
        <f t="array" ref="C86">IFERROR(INDEX(INDIRECT(Config!$G$1), MATCH($A86, INDIRECT(Config!$H$1), 0), MATCH(C$1, INDIRECT(Config!$I$1), 0)), "")</f>
        <v/>
      </c>
      <c r="D86" s="34" t="str">
        <f t="array" ref="D86">IFERROR(INDEX(INDIRECT(Config!$G$1), MATCH($A86, INDIRECT(Config!$H$1), 0), MATCH(D$1, INDIRECT(Config!$I$1), 0)), "")</f>
        <v/>
      </c>
      <c r="E86" s="32" t="str">
        <f t="array" ref="E86">IFERROR(INDEX(INDIRECT(Config!$G$1), MATCH($A86, INDIRECT(Config!$H$1), 0), MATCH(E$1, INDIRECT(Config!$I$1), 0)), "")</f>
        <v/>
      </c>
      <c r="F86" s="35" t="str">
        <f t="array" ref="F86">IFERROR(INDEX(INDIRECT(Config!$G$1), MATCH($A86, INDIRECT(Config!$H$1), 0), MATCH(F$1, INDIRECT(Config!$I$1), 0)), "")</f>
        <v/>
      </c>
      <c r="G86" s="32" t="str">
        <f t="array" ref="G86">IFERROR(INDEX(INDIRECT(Config!$G$1), MATCH($A86, INDIRECT(Config!$H$1), 0), MATCH(G$1, INDIRECT(Config!$I$1), 0)), "")</f>
        <v/>
      </c>
      <c r="H86" s="35" t="str">
        <f t="array" ref="H86">IFERROR(INDEX(INDIRECT(Config!$G$1), MATCH($A86, INDIRECT(Config!$H$1), 0), MATCH(H$1, INDIRECT(Config!$I$1), 0)), "")</f>
        <v/>
      </c>
      <c r="I86" s="32" t="str">
        <f t="array" ref="I86">IFERROR(INDEX(INDIRECT(Config!$G$1), MATCH($A86, INDIRECT(Config!$H$1), 0), MATCH(I$1, INDIRECT(Config!$I$1), 0)), "")</f>
        <v/>
      </c>
      <c r="J86" s="35" t="str">
        <f t="array" ref="J86">IFERROR(INDEX(INDIRECT(Config!$G$1), MATCH($A86, INDIRECT(Config!$H$1), 0), MATCH(J$1, INDIRECT(Config!$I$1), 0)), "")</f>
        <v/>
      </c>
      <c r="K86" s="32" t="str">
        <f t="array" ref="K86">IFERROR(INDEX(INDIRECT(Config!$G$1), MATCH($A86, INDIRECT(Config!$H$1), 0), MATCH(K$1, INDIRECT(Config!$I$1), 0)), "")</f>
        <v/>
      </c>
      <c r="L86" s="35" t="str">
        <f t="array" ref="L86">IFERROR(INDEX(INDIRECT(Config!$G$1), MATCH($A86, INDIRECT(Config!$H$1), 0), MATCH(L$1, INDIRECT(Config!$I$1), 0)), "")</f>
        <v/>
      </c>
      <c r="M86" s="32" t="str">
        <f t="array" ref="M86">IFERROR(INDEX(INDIRECT(Config!$G$1), MATCH($A86, INDIRECT(Config!$H$1), 0), MATCH(M$1, INDIRECT(Config!$I$1), 0)), "")</f>
        <v/>
      </c>
      <c r="N86" s="35" t="str">
        <f t="array" ref="N86">IFERROR(INDEX(INDIRECT(Config!$G$1), MATCH($A86, INDIRECT(Config!$H$1), 0), MATCH(N$1, INDIRECT(Config!$I$1), 0)), "")</f>
        <v/>
      </c>
      <c r="O86" s="32" t="str">
        <f t="array" ref="O86">IFERROR(INDEX(INDIRECT(Config!$G$1), MATCH($A86, INDIRECT(Config!$H$1), 0), MATCH(O$1, INDIRECT(Config!$I$1), 0)), "")</f>
        <v/>
      </c>
      <c r="P86" s="35" t="str">
        <f t="array" ref="P86">IFERROR(INDEX(INDIRECT(Config!$G$1), MATCH($A86, INDIRECT(Config!$H$1), 0), MATCH(P$1, INDIRECT(Config!$I$1), 0)), "")</f>
        <v/>
      </c>
      <c r="Q86" s="32" t="str">
        <f t="array" ref="Q86">IFERROR(INDEX(INDIRECT(Config!$G$1), MATCH($A86, INDIRECT(Config!$H$1), 0), MATCH(Q$1, INDIRECT(Config!$I$1), 0)), "")</f>
        <v/>
      </c>
      <c r="R86" s="35" t="str">
        <f t="array" ref="R86">IFERROR(INDEX(INDIRECT(Config!$G$1), MATCH($A86, INDIRECT(Config!$H$1), 0), MATCH(R$1, INDIRECT(Config!$I$1), 0)), "")</f>
        <v/>
      </c>
      <c r="S86" s="32" t="str">
        <f t="array" ref="S86">IFERROR(INDEX(INDIRECT(Config!$G$1), MATCH($A86, INDIRECT(Config!$H$1), 0), MATCH(S$1, INDIRECT(Config!$I$1), 0)), "")</f>
        <v/>
      </c>
      <c r="T86" s="35" t="str">
        <f t="array" ref="T86">IFERROR(INDEX(INDIRECT(Config!$G$1), MATCH($A86, INDIRECT(Config!$H$1), 0), MATCH(T$1, INDIRECT(Config!$I$1), 0)), "")</f>
        <v/>
      </c>
      <c r="U86" s="32" t="str">
        <f t="array" ref="U86">IFERROR(INDEX(INDIRECT(Config!$G$1), MATCH($A86, INDIRECT(Config!$H$1), 0), MATCH(U$1, INDIRECT(Config!$I$1), 0)), "")</f>
        <v/>
      </c>
      <c r="V86" s="35" t="str">
        <f t="array" ref="V86">IFERROR(INDEX(INDIRECT(Config!$G$1), MATCH($A86, INDIRECT(Config!$H$1), 0), MATCH(V$1, INDIRECT(Config!$I$1), 0)), "")</f>
        <v/>
      </c>
      <c r="W86" s="32" t="str">
        <f t="array" ref="W86">IFERROR(INDEX(INDIRECT(Config!$G$1), MATCH($A86, INDIRECT(Config!$H$1), 0), MATCH(W$1, INDIRECT(Config!$I$1), 0)), "")</f>
        <v/>
      </c>
      <c r="X86" s="35" t="str">
        <f t="array" ref="X86">IFERROR(INDEX(INDIRECT(Config!$G$1), MATCH($A86, INDIRECT(Config!$H$1), 0), MATCH(X$1, INDIRECT(Config!$I$1), 0)), "")</f>
        <v/>
      </c>
      <c r="Y86" s="32" t="str">
        <f t="array" ref="Y86">IFERROR(INDEX(INDIRECT(Config!$G$1), MATCH($A86, INDIRECT(Config!$H$1), 0), MATCH(Y$1, INDIRECT(Config!$I$1), 0)), "")</f>
        <v/>
      </c>
      <c r="Z86" s="32" t="str">
        <f t="array" ref="Z86">IFERROR(INDEX(INDIRECT(Config!$G$1), MATCH($A86, INDIRECT(Config!$H$1), 0), MATCH(Z$1, INDIRECT(Config!$I$1), 0)), "")</f>
        <v/>
      </c>
      <c r="AA86" s="35" t="str">
        <f t="array" ref="AA86">IFERROR(INDEX(INDIRECT(Config!$G$1), MATCH($A86, INDIRECT(Config!$H$1), 0), MATCH(AA$1, INDIRECT(Config!$I$1), 0)), "")</f>
        <v/>
      </c>
      <c r="AB86" s="32" t="str">
        <f t="array" ref="AB86">IFERROR(INDEX(INDIRECT(Config!$G$1), MATCH($A86, INDIRECT(Config!$H$1), 0), MATCH(AB$1, INDIRECT(Config!$I$1), 0)), "")</f>
        <v/>
      </c>
      <c r="AC86" s="35" t="str">
        <f t="array" ref="AC86">IFERROR(INDEX(INDIRECT(Config!$G$1), MATCH($A86, INDIRECT(Config!$H$1), 0), MATCH(AC$1, INDIRECT(Config!$I$1), 0)), "")</f>
        <v/>
      </c>
      <c r="AD86" s="32" t="str">
        <f t="array" ref="AD86">IFERROR(INDEX(INDIRECT(Config!$G$1), MATCH($A86, INDIRECT(Config!$H$1), 0), MATCH(AD$1, INDIRECT(Config!$I$1), 0)), "")</f>
        <v/>
      </c>
      <c r="AE86" s="35" t="str">
        <f t="array" ref="AE86">IFERROR(INDEX(INDIRECT(Config!$G$1), MATCH($A86, INDIRECT(Config!$H$1), 0), MATCH(AE$1, INDIRECT(Config!$I$1), 0)), "")</f>
        <v/>
      </c>
      <c r="AF86" s="32" t="str">
        <f t="array" ref="AF86">IFERROR(INDEX(INDIRECT(Config!$G$1), MATCH($A86, INDIRECT(Config!$H$1), 0), MATCH(AF$1, INDIRECT(Config!$I$1), 0)), "")</f>
        <v/>
      </c>
      <c r="AG86" s="35" t="str">
        <f t="array" ref="AG86">IFERROR(INDEX(INDIRECT(Config!$G$1), MATCH($A86, INDIRECT(Config!$H$1), 0), MATCH(AG$1, INDIRECT(Config!$I$1), 0)), "")</f>
        <v/>
      </c>
      <c r="AH86" s="32" t="str">
        <f t="array" ref="AH86">IFERROR(INDEX(INDIRECT(Config!$G$1), MATCH($A86, INDIRECT(Config!$H$1), 0), MATCH(AH$1, INDIRECT(Config!$I$1), 0)), "")</f>
        <v/>
      </c>
      <c r="AI86" s="35" t="str">
        <f t="array" ref="AI86">IFERROR(INDEX(INDIRECT(Config!$G$1), MATCH($A86, INDIRECT(Config!$H$1), 0), MATCH(AI$1, INDIRECT(Config!$I$1), 0)), "")</f>
        <v/>
      </c>
      <c r="AJ86" s="32" t="str">
        <f t="array" ref="AJ86">IFERROR(INDEX(INDIRECT(Config!$G$1), MATCH($A86, INDIRECT(Config!$H$1), 0), MATCH(AJ$1, INDIRECT(Config!$I$1), 0)), "")</f>
        <v/>
      </c>
      <c r="AK86" s="35" t="str">
        <f t="array" ref="AK86">IFERROR(INDEX(INDIRECT(Config!$G$1), MATCH($A86, INDIRECT(Config!$H$1), 0), MATCH(AK$1, INDIRECT(Config!$I$1), 0)), "")</f>
        <v/>
      </c>
      <c r="AL86" s="32" t="str">
        <f t="array" ref="AL86">IFERROR(INDEX(INDIRECT(Config!$G$1), MATCH($A86, INDIRECT(Config!$H$1), 0), MATCH(AL$1, INDIRECT(Config!$I$1), 0)), "")</f>
        <v/>
      </c>
      <c r="AM86" s="35" t="str">
        <f t="array" ref="AM86">IFERROR(INDEX(INDIRECT(Config!$G$1), MATCH($A86, INDIRECT(Config!$H$1), 0), MATCH(AM$1, INDIRECT(Config!$I$1), 0)), "")</f>
        <v/>
      </c>
      <c r="AN86" s="32" t="str">
        <f t="array" ref="AN86">IFERROR(INDEX(INDIRECT(Config!$G$1), MATCH($A86, INDIRECT(Config!$H$1), 0), MATCH(AN$1, INDIRECT(Config!$I$1), 0)), "")</f>
        <v/>
      </c>
      <c r="AO86" s="35" t="str">
        <f t="array" ref="AO86">IFERROR(INDEX(INDIRECT(Config!$G$1), MATCH($A86, INDIRECT(Config!$H$1), 0), MATCH(AO$1, INDIRECT(Config!$I$1), 0)), "")</f>
        <v/>
      </c>
      <c r="AP86" s="32" t="str">
        <f t="array" ref="AP86">IFERROR(INDEX(INDIRECT(Config!$G$1), MATCH($A86, INDIRECT(Config!$H$1), 0), MATCH(AP$1, INDIRECT(Config!$I$1), 0)), "")</f>
        <v/>
      </c>
      <c r="AQ86" s="35" t="str">
        <f t="array" ref="AQ86">IFERROR(INDEX(INDIRECT(Config!$G$1), MATCH($A86, INDIRECT(Config!$H$1), 0), MATCH(AQ$1, INDIRECT(Config!$I$1), 0)), "")</f>
        <v/>
      </c>
      <c r="AR86" s="32" t="str">
        <f t="array" ref="AR86">IFERROR(INDEX(INDIRECT(Config!$G$1), MATCH($A86, INDIRECT(Config!$H$1), 0), MATCH(AR$1, INDIRECT(Config!$I$1), 0)), "")</f>
        <v/>
      </c>
      <c r="AS86" s="35" t="str">
        <f t="array" ref="AS86">IFERROR(INDEX(INDIRECT(Config!$G$1), MATCH($A86, INDIRECT(Config!$H$1), 0), MATCH(AS$1, INDIRECT(Config!$I$1), 0)), "")</f>
        <v/>
      </c>
      <c r="AT86" s="32" t="str">
        <f t="array" ref="AT86">IFERROR(INDEX(INDIRECT(Config!$G$1), MATCH($A86, INDIRECT(Config!$H$1), 0), MATCH(AT$1, INDIRECT(Config!$I$1), 0)), "")</f>
        <v/>
      </c>
      <c r="AU86" s="35" t="str">
        <f t="array" ref="AU86">IFERROR(INDEX(INDIRECT(Config!$G$1), MATCH($A86, INDIRECT(Config!$H$1), 0), MATCH(AU$1, INDIRECT(Config!$I$1), 0)), "")</f>
        <v/>
      </c>
      <c r="AV86" s="32" t="str">
        <f t="array" ref="AV86">IFERROR(INDEX(INDIRECT(Config!$G$1), MATCH($A86, INDIRECT(Config!$H$1), 0), MATCH(AV$1, INDIRECT(Config!$I$1), 0)), "")</f>
        <v/>
      </c>
      <c r="AW86" s="35"/>
      <c r="AX86" s="32"/>
      <c r="AY86" s="35"/>
    </row>
    <row r="87" ht="15.75" hidden="1" customHeight="1">
      <c r="A87" s="12" t="str">
        <f>Menus!B48</f>
        <v/>
      </c>
      <c r="B87" s="51">
        <f t="shared" si="7"/>
        <v>0</v>
      </c>
      <c r="C87" s="33" t="str">
        <f t="array" ref="C87">IFERROR(INDEX(INDIRECT(Config!$G$1), MATCH($A87, INDIRECT(Config!$H$1), 0), MATCH(C$1, INDIRECT(Config!$I$1), 0)), "")</f>
        <v/>
      </c>
      <c r="D87" s="34" t="str">
        <f t="array" ref="D87">IFERROR(INDEX(INDIRECT(Config!$G$1), MATCH($A87, INDIRECT(Config!$H$1), 0), MATCH(D$1, INDIRECT(Config!$I$1), 0)), "")</f>
        <v/>
      </c>
      <c r="E87" s="32" t="str">
        <f t="array" ref="E87">IFERROR(INDEX(INDIRECT(Config!$G$1), MATCH($A87, INDIRECT(Config!$H$1), 0), MATCH(E$1, INDIRECT(Config!$I$1), 0)), "")</f>
        <v/>
      </c>
      <c r="F87" s="35" t="str">
        <f t="array" ref="F87">IFERROR(INDEX(INDIRECT(Config!$G$1), MATCH($A87, INDIRECT(Config!$H$1), 0), MATCH(F$1, INDIRECT(Config!$I$1), 0)), "")</f>
        <v/>
      </c>
      <c r="G87" s="32" t="str">
        <f t="array" ref="G87">IFERROR(INDEX(INDIRECT(Config!$G$1), MATCH($A87, INDIRECT(Config!$H$1), 0), MATCH(G$1, INDIRECT(Config!$I$1), 0)), "")</f>
        <v/>
      </c>
      <c r="H87" s="35" t="str">
        <f t="array" ref="H87">IFERROR(INDEX(INDIRECT(Config!$G$1), MATCH($A87, INDIRECT(Config!$H$1), 0), MATCH(H$1, INDIRECT(Config!$I$1), 0)), "")</f>
        <v/>
      </c>
      <c r="I87" s="32" t="str">
        <f t="array" ref="I87">IFERROR(INDEX(INDIRECT(Config!$G$1), MATCH($A87, INDIRECT(Config!$H$1), 0), MATCH(I$1, INDIRECT(Config!$I$1), 0)), "")</f>
        <v/>
      </c>
      <c r="J87" s="35" t="str">
        <f t="array" ref="J87">IFERROR(INDEX(INDIRECT(Config!$G$1), MATCH($A87, INDIRECT(Config!$H$1), 0), MATCH(J$1, INDIRECT(Config!$I$1), 0)), "")</f>
        <v/>
      </c>
      <c r="K87" s="32" t="str">
        <f t="array" ref="K87">IFERROR(INDEX(INDIRECT(Config!$G$1), MATCH($A87, INDIRECT(Config!$H$1), 0), MATCH(K$1, INDIRECT(Config!$I$1), 0)), "")</f>
        <v/>
      </c>
      <c r="L87" s="35" t="str">
        <f t="array" ref="L87">IFERROR(INDEX(INDIRECT(Config!$G$1), MATCH($A87, INDIRECT(Config!$H$1), 0), MATCH(L$1, INDIRECT(Config!$I$1), 0)), "")</f>
        <v/>
      </c>
      <c r="M87" s="32" t="str">
        <f t="array" ref="M87">IFERROR(INDEX(INDIRECT(Config!$G$1), MATCH($A87, INDIRECT(Config!$H$1), 0), MATCH(M$1, INDIRECT(Config!$I$1), 0)), "")</f>
        <v/>
      </c>
      <c r="N87" s="35" t="str">
        <f t="array" ref="N87">IFERROR(INDEX(INDIRECT(Config!$G$1), MATCH($A87, INDIRECT(Config!$H$1), 0), MATCH(N$1, INDIRECT(Config!$I$1), 0)), "")</f>
        <v/>
      </c>
      <c r="O87" s="32" t="str">
        <f t="array" ref="O87">IFERROR(INDEX(INDIRECT(Config!$G$1), MATCH($A87, INDIRECT(Config!$H$1), 0), MATCH(O$1, INDIRECT(Config!$I$1), 0)), "")</f>
        <v/>
      </c>
      <c r="P87" s="35" t="str">
        <f t="array" ref="P87">IFERROR(INDEX(INDIRECT(Config!$G$1), MATCH($A87, INDIRECT(Config!$H$1), 0), MATCH(P$1, INDIRECT(Config!$I$1), 0)), "")</f>
        <v/>
      </c>
      <c r="Q87" s="32" t="str">
        <f t="array" ref="Q87">IFERROR(INDEX(INDIRECT(Config!$G$1), MATCH($A87, INDIRECT(Config!$H$1), 0), MATCH(Q$1, INDIRECT(Config!$I$1), 0)), "")</f>
        <v/>
      </c>
      <c r="R87" s="35" t="str">
        <f t="array" ref="R87">IFERROR(INDEX(INDIRECT(Config!$G$1), MATCH($A87, INDIRECT(Config!$H$1), 0), MATCH(R$1, INDIRECT(Config!$I$1), 0)), "")</f>
        <v/>
      </c>
      <c r="S87" s="32" t="str">
        <f t="array" ref="S87">IFERROR(INDEX(INDIRECT(Config!$G$1), MATCH($A87, INDIRECT(Config!$H$1), 0), MATCH(S$1, INDIRECT(Config!$I$1), 0)), "")</f>
        <v/>
      </c>
      <c r="T87" s="35" t="str">
        <f t="array" ref="T87">IFERROR(INDEX(INDIRECT(Config!$G$1), MATCH($A87, INDIRECT(Config!$H$1), 0), MATCH(T$1, INDIRECT(Config!$I$1), 0)), "")</f>
        <v/>
      </c>
      <c r="U87" s="32" t="str">
        <f t="array" ref="U87">IFERROR(INDEX(INDIRECT(Config!$G$1), MATCH($A87, INDIRECT(Config!$H$1), 0), MATCH(U$1, INDIRECT(Config!$I$1), 0)), "")</f>
        <v/>
      </c>
      <c r="V87" s="35" t="str">
        <f t="array" ref="V87">IFERROR(INDEX(INDIRECT(Config!$G$1), MATCH($A87, INDIRECT(Config!$H$1), 0), MATCH(V$1, INDIRECT(Config!$I$1), 0)), "")</f>
        <v/>
      </c>
      <c r="W87" s="32" t="str">
        <f t="array" ref="W87">IFERROR(INDEX(INDIRECT(Config!$G$1), MATCH($A87, INDIRECT(Config!$H$1), 0), MATCH(W$1, INDIRECT(Config!$I$1), 0)), "")</f>
        <v/>
      </c>
      <c r="X87" s="35" t="str">
        <f t="array" ref="X87">IFERROR(INDEX(INDIRECT(Config!$G$1), MATCH($A87, INDIRECT(Config!$H$1), 0), MATCH(X$1, INDIRECT(Config!$I$1), 0)), "")</f>
        <v/>
      </c>
      <c r="Y87" s="32" t="str">
        <f t="array" ref="Y87">IFERROR(INDEX(INDIRECT(Config!$G$1), MATCH($A87, INDIRECT(Config!$H$1), 0), MATCH(Y$1, INDIRECT(Config!$I$1), 0)), "")</f>
        <v/>
      </c>
      <c r="Z87" s="32" t="str">
        <f t="array" ref="Z87">IFERROR(INDEX(INDIRECT(Config!$G$1), MATCH($A87, INDIRECT(Config!$H$1), 0), MATCH(Z$1, INDIRECT(Config!$I$1), 0)), "")</f>
        <v/>
      </c>
      <c r="AA87" s="35" t="str">
        <f t="array" ref="AA87">IFERROR(INDEX(INDIRECT(Config!$G$1), MATCH($A87, INDIRECT(Config!$H$1), 0), MATCH(AA$1, INDIRECT(Config!$I$1), 0)), "")</f>
        <v/>
      </c>
      <c r="AB87" s="32" t="str">
        <f t="array" ref="AB87">IFERROR(INDEX(INDIRECT(Config!$G$1), MATCH($A87, INDIRECT(Config!$H$1), 0), MATCH(AB$1, INDIRECT(Config!$I$1), 0)), "")</f>
        <v/>
      </c>
      <c r="AC87" s="35" t="str">
        <f t="array" ref="AC87">IFERROR(INDEX(INDIRECT(Config!$G$1), MATCH($A87, INDIRECT(Config!$H$1), 0), MATCH(AC$1, INDIRECT(Config!$I$1), 0)), "")</f>
        <v/>
      </c>
      <c r="AD87" s="32" t="str">
        <f t="array" ref="AD87">IFERROR(INDEX(INDIRECT(Config!$G$1), MATCH($A87, INDIRECT(Config!$H$1), 0), MATCH(AD$1, INDIRECT(Config!$I$1), 0)), "")</f>
        <v/>
      </c>
      <c r="AE87" s="35" t="str">
        <f t="array" ref="AE87">IFERROR(INDEX(INDIRECT(Config!$G$1), MATCH($A87, INDIRECT(Config!$H$1), 0), MATCH(AE$1, INDIRECT(Config!$I$1), 0)), "")</f>
        <v/>
      </c>
      <c r="AF87" s="32" t="str">
        <f t="array" ref="AF87">IFERROR(INDEX(INDIRECT(Config!$G$1), MATCH($A87, INDIRECT(Config!$H$1), 0), MATCH(AF$1, INDIRECT(Config!$I$1), 0)), "")</f>
        <v/>
      </c>
      <c r="AG87" s="35" t="str">
        <f t="array" ref="AG87">IFERROR(INDEX(INDIRECT(Config!$G$1), MATCH($A87, INDIRECT(Config!$H$1), 0), MATCH(AG$1, INDIRECT(Config!$I$1), 0)), "")</f>
        <v/>
      </c>
      <c r="AH87" s="32" t="str">
        <f t="array" ref="AH87">IFERROR(INDEX(INDIRECT(Config!$G$1), MATCH($A87, INDIRECT(Config!$H$1), 0), MATCH(AH$1, INDIRECT(Config!$I$1), 0)), "")</f>
        <v/>
      </c>
      <c r="AI87" s="35" t="str">
        <f t="array" ref="AI87">IFERROR(INDEX(INDIRECT(Config!$G$1), MATCH($A87, INDIRECT(Config!$H$1), 0), MATCH(AI$1, INDIRECT(Config!$I$1), 0)), "")</f>
        <v/>
      </c>
      <c r="AJ87" s="32" t="str">
        <f t="array" ref="AJ87">IFERROR(INDEX(INDIRECT(Config!$G$1), MATCH($A87, INDIRECT(Config!$H$1), 0), MATCH(AJ$1, INDIRECT(Config!$I$1), 0)), "")</f>
        <v/>
      </c>
      <c r="AK87" s="35" t="str">
        <f t="array" ref="AK87">IFERROR(INDEX(INDIRECT(Config!$G$1), MATCH($A87, INDIRECT(Config!$H$1), 0), MATCH(AK$1, INDIRECT(Config!$I$1), 0)), "")</f>
        <v/>
      </c>
      <c r="AL87" s="32" t="str">
        <f t="array" ref="AL87">IFERROR(INDEX(INDIRECT(Config!$G$1), MATCH($A87, INDIRECT(Config!$H$1), 0), MATCH(AL$1, INDIRECT(Config!$I$1), 0)), "")</f>
        <v/>
      </c>
      <c r="AM87" s="35" t="str">
        <f t="array" ref="AM87">IFERROR(INDEX(INDIRECT(Config!$G$1), MATCH($A87, INDIRECT(Config!$H$1), 0), MATCH(AM$1, INDIRECT(Config!$I$1), 0)), "")</f>
        <v/>
      </c>
      <c r="AN87" s="32" t="str">
        <f t="array" ref="AN87">IFERROR(INDEX(INDIRECT(Config!$G$1), MATCH($A87, INDIRECT(Config!$H$1), 0), MATCH(AN$1, INDIRECT(Config!$I$1), 0)), "")</f>
        <v/>
      </c>
      <c r="AO87" s="35" t="str">
        <f t="array" ref="AO87">IFERROR(INDEX(INDIRECT(Config!$G$1), MATCH($A87, INDIRECT(Config!$H$1), 0), MATCH(AO$1, INDIRECT(Config!$I$1), 0)), "")</f>
        <v/>
      </c>
      <c r="AP87" s="32" t="str">
        <f t="array" ref="AP87">IFERROR(INDEX(INDIRECT(Config!$G$1), MATCH($A87, INDIRECT(Config!$H$1), 0), MATCH(AP$1, INDIRECT(Config!$I$1), 0)), "")</f>
        <v/>
      </c>
      <c r="AQ87" s="35" t="str">
        <f t="array" ref="AQ87">IFERROR(INDEX(INDIRECT(Config!$G$1), MATCH($A87, INDIRECT(Config!$H$1), 0), MATCH(AQ$1, INDIRECT(Config!$I$1), 0)), "")</f>
        <v/>
      </c>
      <c r="AR87" s="32" t="str">
        <f t="array" ref="AR87">IFERROR(INDEX(INDIRECT(Config!$G$1), MATCH($A87, INDIRECT(Config!$H$1), 0), MATCH(AR$1, INDIRECT(Config!$I$1), 0)), "")</f>
        <v/>
      </c>
      <c r="AS87" s="35" t="str">
        <f t="array" ref="AS87">IFERROR(INDEX(INDIRECT(Config!$G$1), MATCH($A87, INDIRECT(Config!$H$1), 0), MATCH(AS$1, INDIRECT(Config!$I$1), 0)), "")</f>
        <v/>
      </c>
      <c r="AT87" s="32" t="str">
        <f t="array" ref="AT87">IFERROR(INDEX(INDIRECT(Config!$G$1), MATCH($A87, INDIRECT(Config!$H$1), 0), MATCH(AT$1, INDIRECT(Config!$I$1), 0)), "")</f>
        <v/>
      </c>
      <c r="AU87" s="35" t="str">
        <f t="array" ref="AU87">IFERROR(INDEX(INDIRECT(Config!$G$1), MATCH($A87, INDIRECT(Config!$H$1), 0), MATCH(AU$1, INDIRECT(Config!$I$1), 0)), "")</f>
        <v/>
      </c>
      <c r="AV87" s="32" t="str">
        <f t="array" ref="AV87">IFERROR(INDEX(INDIRECT(Config!$G$1), MATCH($A87, INDIRECT(Config!$H$1), 0), MATCH(AV$1, INDIRECT(Config!$I$1), 0)), "")</f>
        <v/>
      </c>
      <c r="AW87" s="35"/>
      <c r="AX87" s="32"/>
      <c r="AY87" s="35"/>
    </row>
    <row r="88" ht="15.75" hidden="1" customHeight="1">
      <c r="A88" s="12" t="str">
        <f>Menus!B49</f>
        <v/>
      </c>
      <c r="B88" s="51">
        <f t="shared" si="7"/>
        <v>0</v>
      </c>
      <c r="C88" s="33" t="str">
        <f t="array" ref="C88">IFERROR(INDEX(INDIRECT(Config!$G$1), MATCH($A88, INDIRECT(Config!$H$1), 0), MATCH(C$1, INDIRECT(Config!$I$1), 0)), "")</f>
        <v/>
      </c>
      <c r="D88" s="34" t="str">
        <f t="array" ref="D88">IFERROR(INDEX(INDIRECT(Config!$G$1), MATCH($A88, INDIRECT(Config!$H$1), 0), MATCH(D$1, INDIRECT(Config!$I$1), 0)), "")</f>
        <v/>
      </c>
      <c r="E88" s="32" t="str">
        <f t="array" ref="E88">IFERROR(INDEX(INDIRECT(Config!$G$1), MATCH($A88, INDIRECT(Config!$H$1), 0), MATCH(E$1, INDIRECT(Config!$I$1), 0)), "")</f>
        <v/>
      </c>
      <c r="F88" s="35" t="str">
        <f t="array" ref="F88">IFERROR(INDEX(INDIRECT(Config!$G$1), MATCH($A88, INDIRECT(Config!$H$1), 0), MATCH(F$1, INDIRECT(Config!$I$1), 0)), "")</f>
        <v/>
      </c>
      <c r="G88" s="32" t="str">
        <f t="array" ref="G88">IFERROR(INDEX(INDIRECT(Config!$G$1), MATCH($A88, INDIRECT(Config!$H$1), 0), MATCH(G$1, INDIRECT(Config!$I$1), 0)), "")</f>
        <v/>
      </c>
      <c r="H88" s="35" t="str">
        <f t="array" ref="H88">IFERROR(INDEX(INDIRECT(Config!$G$1), MATCH($A88, INDIRECT(Config!$H$1), 0), MATCH(H$1, INDIRECT(Config!$I$1), 0)), "")</f>
        <v/>
      </c>
      <c r="I88" s="32" t="str">
        <f t="array" ref="I88">IFERROR(INDEX(INDIRECT(Config!$G$1), MATCH($A88, INDIRECT(Config!$H$1), 0), MATCH(I$1, INDIRECT(Config!$I$1), 0)), "")</f>
        <v/>
      </c>
      <c r="J88" s="35" t="str">
        <f t="array" ref="J88">IFERROR(INDEX(INDIRECT(Config!$G$1), MATCH($A88, INDIRECT(Config!$H$1), 0), MATCH(J$1, INDIRECT(Config!$I$1), 0)), "")</f>
        <v/>
      </c>
      <c r="K88" s="32" t="str">
        <f t="array" ref="K88">IFERROR(INDEX(INDIRECT(Config!$G$1), MATCH($A88, INDIRECT(Config!$H$1), 0), MATCH(K$1, INDIRECT(Config!$I$1), 0)), "")</f>
        <v/>
      </c>
      <c r="L88" s="35" t="str">
        <f t="array" ref="L88">IFERROR(INDEX(INDIRECT(Config!$G$1), MATCH($A88, INDIRECT(Config!$H$1), 0), MATCH(L$1, INDIRECT(Config!$I$1), 0)), "")</f>
        <v/>
      </c>
      <c r="M88" s="32" t="str">
        <f t="array" ref="M88">IFERROR(INDEX(INDIRECT(Config!$G$1), MATCH($A88, INDIRECT(Config!$H$1), 0), MATCH(M$1, INDIRECT(Config!$I$1), 0)), "")</f>
        <v/>
      </c>
      <c r="N88" s="35" t="str">
        <f t="array" ref="N88">IFERROR(INDEX(INDIRECT(Config!$G$1), MATCH($A88, INDIRECT(Config!$H$1), 0), MATCH(N$1, INDIRECT(Config!$I$1), 0)), "")</f>
        <v/>
      </c>
      <c r="O88" s="32" t="str">
        <f t="array" ref="O88">IFERROR(INDEX(INDIRECT(Config!$G$1), MATCH($A88, INDIRECT(Config!$H$1), 0), MATCH(O$1, INDIRECT(Config!$I$1), 0)), "")</f>
        <v/>
      </c>
      <c r="P88" s="35" t="str">
        <f t="array" ref="P88">IFERROR(INDEX(INDIRECT(Config!$G$1), MATCH($A88, INDIRECT(Config!$H$1), 0), MATCH(P$1, INDIRECT(Config!$I$1), 0)), "")</f>
        <v/>
      </c>
      <c r="Q88" s="32" t="str">
        <f t="array" ref="Q88">IFERROR(INDEX(INDIRECT(Config!$G$1), MATCH($A88, INDIRECT(Config!$H$1), 0), MATCH(Q$1, INDIRECT(Config!$I$1), 0)), "")</f>
        <v/>
      </c>
      <c r="R88" s="35" t="str">
        <f t="array" ref="R88">IFERROR(INDEX(INDIRECT(Config!$G$1), MATCH($A88, INDIRECT(Config!$H$1), 0), MATCH(R$1, INDIRECT(Config!$I$1), 0)), "")</f>
        <v/>
      </c>
      <c r="S88" s="32" t="str">
        <f t="array" ref="S88">IFERROR(INDEX(INDIRECT(Config!$G$1), MATCH($A88, INDIRECT(Config!$H$1), 0), MATCH(S$1, INDIRECT(Config!$I$1), 0)), "")</f>
        <v/>
      </c>
      <c r="T88" s="35" t="str">
        <f t="array" ref="T88">IFERROR(INDEX(INDIRECT(Config!$G$1), MATCH($A88, INDIRECT(Config!$H$1), 0), MATCH(T$1, INDIRECT(Config!$I$1), 0)), "")</f>
        <v/>
      </c>
      <c r="U88" s="32" t="str">
        <f t="array" ref="U88">IFERROR(INDEX(INDIRECT(Config!$G$1), MATCH($A88, INDIRECT(Config!$H$1), 0), MATCH(U$1, INDIRECT(Config!$I$1), 0)), "")</f>
        <v/>
      </c>
      <c r="V88" s="35" t="str">
        <f t="array" ref="V88">IFERROR(INDEX(INDIRECT(Config!$G$1), MATCH($A88, INDIRECT(Config!$H$1), 0), MATCH(V$1, INDIRECT(Config!$I$1), 0)), "")</f>
        <v/>
      </c>
      <c r="W88" s="32" t="str">
        <f t="array" ref="W88">IFERROR(INDEX(INDIRECT(Config!$G$1), MATCH($A88, INDIRECT(Config!$H$1), 0), MATCH(W$1, INDIRECT(Config!$I$1), 0)), "")</f>
        <v/>
      </c>
      <c r="X88" s="35" t="str">
        <f t="array" ref="X88">IFERROR(INDEX(INDIRECT(Config!$G$1), MATCH($A88, INDIRECT(Config!$H$1), 0), MATCH(X$1, INDIRECT(Config!$I$1), 0)), "")</f>
        <v/>
      </c>
      <c r="Y88" s="32" t="str">
        <f t="array" ref="Y88">IFERROR(INDEX(INDIRECT(Config!$G$1), MATCH($A88, INDIRECT(Config!$H$1), 0), MATCH(Y$1, INDIRECT(Config!$I$1), 0)), "")</f>
        <v/>
      </c>
      <c r="Z88" s="32" t="str">
        <f t="array" ref="Z88">IFERROR(INDEX(INDIRECT(Config!$G$1), MATCH($A88, INDIRECT(Config!$H$1), 0), MATCH(Z$1, INDIRECT(Config!$I$1), 0)), "")</f>
        <v/>
      </c>
      <c r="AA88" s="35" t="str">
        <f t="array" ref="AA88">IFERROR(INDEX(INDIRECT(Config!$G$1), MATCH($A88, INDIRECT(Config!$H$1), 0), MATCH(AA$1, INDIRECT(Config!$I$1), 0)), "")</f>
        <v/>
      </c>
      <c r="AB88" s="32" t="str">
        <f t="array" ref="AB88">IFERROR(INDEX(INDIRECT(Config!$G$1), MATCH($A88, INDIRECT(Config!$H$1), 0), MATCH(AB$1, INDIRECT(Config!$I$1), 0)), "")</f>
        <v/>
      </c>
      <c r="AC88" s="35" t="str">
        <f t="array" ref="AC88">IFERROR(INDEX(INDIRECT(Config!$G$1), MATCH($A88, INDIRECT(Config!$H$1), 0), MATCH(AC$1, INDIRECT(Config!$I$1), 0)), "")</f>
        <v/>
      </c>
      <c r="AD88" s="32" t="str">
        <f t="array" ref="AD88">IFERROR(INDEX(INDIRECT(Config!$G$1), MATCH($A88, INDIRECT(Config!$H$1), 0), MATCH(AD$1, INDIRECT(Config!$I$1), 0)), "")</f>
        <v/>
      </c>
      <c r="AE88" s="35" t="str">
        <f t="array" ref="AE88">IFERROR(INDEX(INDIRECT(Config!$G$1), MATCH($A88, INDIRECT(Config!$H$1), 0), MATCH(AE$1, INDIRECT(Config!$I$1), 0)), "")</f>
        <v/>
      </c>
      <c r="AF88" s="32" t="str">
        <f t="array" ref="AF88">IFERROR(INDEX(INDIRECT(Config!$G$1), MATCH($A88, INDIRECT(Config!$H$1), 0), MATCH(AF$1, INDIRECT(Config!$I$1), 0)), "")</f>
        <v/>
      </c>
      <c r="AG88" s="35" t="str">
        <f t="array" ref="AG88">IFERROR(INDEX(INDIRECT(Config!$G$1), MATCH($A88, INDIRECT(Config!$H$1), 0), MATCH(AG$1, INDIRECT(Config!$I$1), 0)), "")</f>
        <v/>
      </c>
      <c r="AH88" s="32" t="str">
        <f t="array" ref="AH88">IFERROR(INDEX(INDIRECT(Config!$G$1), MATCH($A88, INDIRECT(Config!$H$1), 0), MATCH(AH$1, INDIRECT(Config!$I$1), 0)), "")</f>
        <v/>
      </c>
      <c r="AI88" s="35" t="str">
        <f t="array" ref="AI88">IFERROR(INDEX(INDIRECT(Config!$G$1), MATCH($A88, INDIRECT(Config!$H$1), 0), MATCH(AI$1, INDIRECT(Config!$I$1), 0)), "")</f>
        <v/>
      </c>
      <c r="AJ88" s="32" t="str">
        <f t="array" ref="AJ88">IFERROR(INDEX(INDIRECT(Config!$G$1), MATCH($A88, INDIRECT(Config!$H$1), 0), MATCH(AJ$1, INDIRECT(Config!$I$1), 0)), "")</f>
        <v/>
      </c>
      <c r="AK88" s="35" t="str">
        <f t="array" ref="AK88">IFERROR(INDEX(INDIRECT(Config!$G$1), MATCH($A88, INDIRECT(Config!$H$1), 0), MATCH(AK$1, INDIRECT(Config!$I$1), 0)), "")</f>
        <v/>
      </c>
      <c r="AL88" s="32" t="str">
        <f t="array" ref="AL88">IFERROR(INDEX(INDIRECT(Config!$G$1), MATCH($A88, INDIRECT(Config!$H$1), 0), MATCH(AL$1, INDIRECT(Config!$I$1), 0)), "")</f>
        <v/>
      </c>
      <c r="AM88" s="35" t="str">
        <f t="array" ref="AM88">IFERROR(INDEX(INDIRECT(Config!$G$1), MATCH($A88, INDIRECT(Config!$H$1), 0), MATCH(AM$1, INDIRECT(Config!$I$1), 0)), "")</f>
        <v/>
      </c>
      <c r="AN88" s="32" t="str">
        <f t="array" ref="AN88">IFERROR(INDEX(INDIRECT(Config!$G$1), MATCH($A88, INDIRECT(Config!$H$1), 0), MATCH(AN$1, INDIRECT(Config!$I$1), 0)), "")</f>
        <v/>
      </c>
      <c r="AO88" s="35" t="str">
        <f t="array" ref="AO88">IFERROR(INDEX(INDIRECT(Config!$G$1), MATCH($A88, INDIRECT(Config!$H$1), 0), MATCH(AO$1, INDIRECT(Config!$I$1), 0)), "")</f>
        <v/>
      </c>
      <c r="AP88" s="32" t="str">
        <f t="array" ref="AP88">IFERROR(INDEX(INDIRECT(Config!$G$1), MATCH($A88, INDIRECT(Config!$H$1), 0), MATCH(AP$1, INDIRECT(Config!$I$1), 0)), "")</f>
        <v/>
      </c>
      <c r="AQ88" s="35" t="str">
        <f t="array" ref="AQ88">IFERROR(INDEX(INDIRECT(Config!$G$1), MATCH($A88, INDIRECT(Config!$H$1), 0), MATCH(AQ$1, INDIRECT(Config!$I$1), 0)), "")</f>
        <v/>
      </c>
      <c r="AR88" s="32" t="str">
        <f t="array" ref="AR88">IFERROR(INDEX(INDIRECT(Config!$G$1), MATCH($A88, INDIRECT(Config!$H$1), 0), MATCH(AR$1, INDIRECT(Config!$I$1), 0)), "")</f>
        <v/>
      </c>
      <c r="AS88" s="35" t="str">
        <f t="array" ref="AS88">IFERROR(INDEX(INDIRECT(Config!$G$1), MATCH($A88, INDIRECT(Config!$H$1), 0), MATCH(AS$1, INDIRECT(Config!$I$1), 0)), "")</f>
        <v/>
      </c>
      <c r="AT88" s="32" t="str">
        <f t="array" ref="AT88">IFERROR(INDEX(INDIRECT(Config!$G$1), MATCH($A88, INDIRECT(Config!$H$1), 0), MATCH(AT$1, INDIRECT(Config!$I$1), 0)), "")</f>
        <v/>
      </c>
      <c r="AU88" s="35" t="str">
        <f t="array" ref="AU88">IFERROR(INDEX(INDIRECT(Config!$G$1), MATCH($A88, INDIRECT(Config!$H$1), 0), MATCH(AU$1, INDIRECT(Config!$I$1), 0)), "")</f>
        <v/>
      </c>
      <c r="AV88" s="32" t="str">
        <f t="array" ref="AV88">IFERROR(INDEX(INDIRECT(Config!$G$1), MATCH($A88, INDIRECT(Config!$H$1), 0), MATCH(AV$1, INDIRECT(Config!$I$1), 0)), "")</f>
        <v/>
      </c>
      <c r="AW88" s="35"/>
      <c r="AX88" s="32"/>
      <c r="AY88" s="35"/>
    </row>
    <row r="89" ht="15.75" hidden="1" customHeight="1">
      <c r="A89" s="12" t="str">
        <f>Menus!B50</f>
        <v/>
      </c>
      <c r="B89" s="51">
        <f t="shared" si="7"/>
        <v>0</v>
      </c>
      <c r="C89" s="33" t="str">
        <f t="array" ref="C89">IFERROR(INDEX(INDIRECT(Config!$G$1), MATCH($A89, INDIRECT(Config!$H$1), 0), MATCH(C$1, INDIRECT(Config!$I$1), 0)), "")</f>
        <v/>
      </c>
      <c r="D89" s="34" t="str">
        <f t="array" ref="D89">IFERROR(INDEX(INDIRECT(Config!$G$1), MATCH($A89, INDIRECT(Config!$H$1), 0), MATCH(D$1, INDIRECT(Config!$I$1), 0)), "")</f>
        <v/>
      </c>
      <c r="E89" s="32" t="str">
        <f t="array" ref="E89">IFERROR(INDEX(INDIRECT(Config!$G$1), MATCH($A89, INDIRECT(Config!$H$1), 0), MATCH(E$1, INDIRECT(Config!$I$1), 0)), "")</f>
        <v/>
      </c>
      <c r="F89" s="35" t="str">
        <f t="array" ref="F89">IFERROR(INDEX(INDIRECT(Config!$G$1), MATCH($A89, INDIRECT(Config!$H$1), 0), MATCH(F$1, INDIRECT(Config!$I$1), 0)), "")</f>
        <v/>
      </c>
      <c r="G89" s="32" t="str">
        <f t="array" ref="G89">IFERROR(INDEX(INDIRECT(Config!$G$1), MATCH($A89, INDIRECT(Config!$H$1), 0), MATCH(G$1, INDIRECT(Config!$I$1), 0)), "")</f>
        <v/>
      </c>
      <c r="H89" s="35" t="str">
        <f t="array" ref="H89">IFERROR(INDEX(INDIRECT(Config!$G$1), MATCH($A89, INDIRECT(Config!$H$1), 0), MATCH(H$1, INDIRECT(Config!$I$1), 0)), "")</f>
        <v/>
      </c>
      <c r="I89" s="32" t="str">
        <f t="array" ref="I89">IFERROR(INDEX(INDIRECT(Config!$G$1), MATCH($A89, INDIRECT(Config!$H$1), 0), MATCH(I$1, INDIRECT(Config!$I$1), 0)), "")</f>
        <v/>
      </c>
      <c r="J89" s="35" t="str">
        <f t="array" ref="J89">IFERROR(INDEX(INDIRECT(Config!$G$1), MATCH($A89, INDIRECT(Config!$H$1), 0), MATCH(J$1, INDIRECT(Config!$I$1), 0)), "")</f>
        <v/>
      </c>
      <c r="K89" s="32" t="str">
        <f t="array" ref="K89">IFERROR(INDEX(INDIRECT(Config!$G$1), MATCH($A89, INDIRECT(Config!$H$1), 0), MATCH(K$1, INDIRECT(Config!$I$1), 0)), "")</f>
        <v/>
      </c>
      <c r="L89" s="35" t="str">
        <f t="array" ref="L89">IFERROR(INDEX(INDIRECT(Config!$G$1), MATCH($A89, INDIRECT(Config!$H$1), 0), MATCH(L$1, INDIRECT(Config!$I$1), 0)), "")</f>
        <v/>
      </c>
      <c r="M89" s="32" t="str">
        <f t="array" ref="M89">IFERROR(INDEX(INDIRECT(Config!$G$1), MATCH($A89, INDIRECT(Config!$H$1), 0), MATCH(M$1, INDIRECT(Config!$I$1), 0)), "")</f>
        <v/>
      </c>
      <c r="N89" s="35" t="str">
        <f t="array" ref="N89">IFERROR(INDEX(INDIRECT(Config!$G$1), MATCH($A89, INDIRECT(Config!$H$1), 0), MATCH(N$1, INDIRECT(Config!$I$1), 0)), "")</f>
        <v/>
      </c>
      <c r="O89" s="32" t="str">
        <f t="array" ref="O89">IFERROR(INDEX(INDIRECT(Config!$G$1), MATCH($A89, INDIRECT(Config!$H$1), 0), MATCH(O$1, INDIRECT(Config!$I$1), 0)), "")</f>
        <v/>
      </c>
      <c r="P89" s="35" t="str">
        <f t="array" ref="P89">IFERROR(INDEX(INDIRECT(Config!$G$1), MATCH($A89, INDIRECT(Config!$H$1), 0), MATCH(P$1, INDIRECT(Config!$I$1), 0)), "")</f>
        <v/>
      </c>
      <c r="Q89" s="32" t="str">
        <f t="array" ref="Q89">IFERROR(INDEX(INDIRECT(Config!$G$1), MATCH($A89, INDIRECT(Config!$H$1), 0), MATCH(Q$1, INDIRECT(Config!$I$1), 0)), "")</f>
        <v/>
      </c>
      <c r="R89" s="35" t="str">
        <f t="array" ref="R89">IFERROR(INDEX(INDIRECT(Config!$G$1), MATCH($A89, INDIRECT(Config!$H$1), 0), MATCH(R$1, INDIRECT(Config!$I$1), 0)), "")</f>
        <v/>
      </c>
      <c r="S89" s="32" t="str">
        <f t="array" ref="S89">IFERROR(INDEX(INDIRECT(Config!$G$1), MATCH($A89, INDIRECT(Config!$H$1), 0), MATCH(S$1, INDIRECT(Config!$I$1), 0)), "")</f>
        <v/>
      </c>
      <c r="T89" s="35" t="str">
        <f t="array" ref="T89">IFERROR(INDEX(INDIRECT(Config!$G$1), MATCH($A89, INDIRECT(Config!$H$1), 0), MATCH(T$1, INDIRECT(Config!$I$1), 0)), "")</f>
        <v/>
      </c>
      <c r="U89" s="32" t="str">
        <f t="array" ref="U89">IFERROR(INDEX(INDIRECT(Config!$G$1), MATCH($A89, INDIRECT(Config!$H$1), 0), MATCH(U$1, INDIRECT(Config!$I$1), 0)), "")</f>
        <v/>
      </c>
      <c r="V89" s="35" t="str">
        <f t="array" ref="V89">IFERROR(INDEX(INDIRECT(Config!$G$1), MATCH($A89, INDIRECT(Config!$H$1), 0), MATCH(V$1, INDIRECT(Config!$I$1), 0)), "")</f>
        <v/>
      </c>
      <c r="W89" s="32" t="str">
        <f t="array" ref="W89">IFERROR(INDEX(INDIRECT(Config!$G$1), MATCH($A89, INDIRECT(Config!$H$1), 0), MATCH(W$1, INDIRECT(Config!$I$1), 0)), "")</f>
        <v/>
      </c>
      <c r="X89" s="35" t="str">
        <f t="array" ref="X89">IFERROR(INDEX(INDIRECT(Config!$G$1), MATCH($A89, INDIRECT(Config!$H$1), 0), MATCH(X$1, INDIRECT(Config!$I$1), 0)), "")</f>
        <v/>
      </c>
      <c r="Y89" s="32" t="str">
        <f t="array" ref="Y89">IFERROR(INDEX(INDIRECT(Config!$G$1), MATCH($A89, INDIRECT(Config!$H$1), 0), MATCH(Y$1, INDIRECT(Config!$I$1), 0)), "")</f>
        <v/>
      </c>
      <c r="Z89" s="32" t="str">
        <f t="array" ref="Z89">IFERROR(INDEX(INDIRECT(Config!$G$1), MATCH($A89, INDIRECT(Config!$H$1), 0), MATCH(Z$1, INDIRECT(Config!$I$1), 0)), "")</f>
        <v/>
      </c>
      <c r="AA89" s="35" t="str">
        <f t="array" ref="AA89">IFERROR(INDEX(INDIRECT(Config!$G$1), MATCH($A89, INDIRECT(Config!$H$1), 0), MATCH(AA$1, INDIRECT(Config!$I$1), 0)), "")</f>
        <v/>
      </c>
      <c r="AB89" s="32" t="str">
        <f t="array" ref="AB89">IFERROR(INDEX(INDIRECT(Config!$G$1), MATCH($A89, INDIRECT(Config!$H$1), 0), MATCH(AB$1, INDIRECT(Config!$I$1), 0)), "")</f>
        <v/>
      </c>
      <c r="AC89" s="35" t="str">
        <f t="array" ref="AC89">IFERROR(INDEX(INDIRECT(Config!$G$1), MATCH($A89, INDIRECT(Config!$H$1), 0), MATCH(AC$1, INDIRECT(Config!$I$1), 0)), "")</f>
        <v/>
      </c>
      <c r="AD89" s="32" t="str">
        <f t="array" ref="AD89">IFERROR(INDEX(INDIRECT(Config!$G$1), MATCH($A89, INDIRECT(Config!$H$1), 0), MATCH(AD$1, INDIRECT(Config!$I$1), 0)), "")</f>
        <v/>
      </c>
      <c r="AE89" s="35" t="str">
        <f t="array" ref="AE89">IFERROR(INDEX(INDIRECT(Config!$G$1), MATCH($A89, INDIRECT(Config!$H$1), 0), MATCH(AE$1, INDIRECT(Config!$I$1), 0)), "")</f>
        <v/>
      </c>
      <c r="AF89" s="32" t="str">
        <f t="array" ref="AF89">IFERROR(INDEX(INDIRECT(Config!$G$1), MATCH($A89, INDIRECT(Config!$H$1), 0), MATCH(AF$1, INDIRECT(Config!$I$1), 0)), "")</f>
        <v/>
      </c>
      <c r="AG89" s="35" t="str">
        <f t="array" ref="AG89">IFERROR(INDEX(INDIRECT(Config!$G$1), MATCH($A89, INDIRECT(Config!$H$1), 0), MATCH(AG$1, INDIRECT(Config!$I$1), 0)), "")</f>
        <v/>
      </c>
      <c r="AH89" s="32" t="str">
        <f t="array" ref="AH89">IFERROR(INDEX(INDIRECT(Config!$G$1), MATCH($A89, INDIRECT(Config!$H$1), 0), MATCH(AH$1, INDIRECT(Config!$I$1), 0)), "")</f>
        <v/>
      </c>
      <c r="AI89" s="35" t="str">
        <f t="array" ref="AI89">IFERROR(INDEX(INDIRECT(Config!$G$1), MATCH($A89, INDIRECT(Config!$H$1), 0), MATCH(AI$1, INDIRECT(Config!$I$1), 0)), "")</f>
        <v/>
      </c>
      <c r="AJ89" s="32" t="str">
        <f t="array" ref="AJ89">IFERROR(INDEX(INDIRECT(Config!$G$1), MATCH($A89, INDIRECT(Config!$H$1), 0), MATCH(AJ$1, INDIRECT(Config!$I$1), 0)), "")</f>
        <v/>
      </c>
      <c r="AK89" s="35" t="str">
        <f t="array" ref="AK89">IFERROR(INDEX(INDIRECT(Config!$G$1), MATCH($A89, INDIRECT(Config!$H$1), 0), MATCH(AK$1, INDIRECT(Config!$I$1), 0)), "")</f>
        <v/>
      </c>
      <c r="AL89" s="32" t="str">
        <f t="array" ref="AL89">IFERROR(INDEX(INDIRECT(Config!$G$1), MATCH($A89, INDIRECT(Config!$H$1), 0), MATCH(AL$1, INDIRECT(Config!$I$1), 0)), "")</f>
        <v/>
      </c>
      <c r="AM89" s="35" t="str">
        <f t="array" ref="AM89">IFERROR(INDEX(INDIRECT(Config!$G$1), MATCH($A89, INDIRECT(Config!$H$1), 0), MATCH(AM$1, INDIRECT(Config!$I$1), 0)), "")</f>
        <v/>
      </c>
      <c r="AN89" s="32" t="str">
        <f t="array" ref="AN89">IFERROR(INDEX(INDIRECT(Config!$G$1), MATCH($A89, INDIRECT(Config!$H$1), 0), MATCH(AN$1, INDIRECT(Config!$I$1), 0)), "")</f>
        <v/>
      </c>
      <c r="AO89" s="35" t="str">
        <f t="array" ref="AO89">IFERROR(INDEX(INDIRECT(Config!$G$1), MATCH($A89, INDIRECT(Config!$H$1), 0), MATCH(AO$1, INDIRECT(Config!$I$1), 0)), "")</f>
        <v/>
      </c>
      <c r="AP89" s="32" t="str">
        <f t="array" ref="AP89">IFERROR(INDEX(INDIRECT(Config!$G$1), MATCH($A89, INDIRECT(Config!$H$1), 0), MATCH(AP$1, INDIRECT(Config!$I$1), 0)), "")</f>
        <v/>
      </c>
      <c r="AQ89" s="35" t="str">
        <f t="array" ref="AQ89">IFERROR(INDEX(INDIRECT(Config!$G$1), MATCH($A89, INDIRECT(Config!$H$1), 0), MATCH(AQ$1, INDIRECT(Config!$I$1), 0)), "")</f>
        <v/>
      </c>
      <c r="AR89" s="32" t="str">
        <f t="array" ref="AR89">IFERROR(INDEX(INDIRECT(Config!$G$1), MATCH($A89, INDIRECT(Config!$H$1), 0), MATCH(AR$1, INDIRECT(Config!$I$1), 0)), "")</f>
        <v/>
      </c>
      <c r="AS89" s="35" t="str">
        <f t="array" ref="AS89">IFERROR(INDEX(INDIRECT(Config!$G$1), MATCH($A89, INDIRECT(Config!$H$1), 0), MATCH(AS$1, INDIRECT(Config!$I$1), 0)), "")</f>
        <v/>
      </c>
      <c r="AT89" s="32" t="str">
        <f t="array" ref="AT89">IFERROR(INDEX(INDIRECT(Config!$G$1), MATCH($A89, INDIRECT(Config!$H$1), 0), MATCH(AT$1, INDIRECT(Config!$I$1), 0)), "")</f>
        <v/>
      </c>
      <c r="AU89" s="35" t="str">
        <f t="array" ref="AU89">IFERROR(INDEX(INDIRECT(Config!$G$1), MATCH($A89, INDIRECT(Config!$H$1), 0), MATCH(AU$1, INDIRECT(Config!$I$1), 0)), "")</f>
        <v/>
      </c>
      <c r="AV89" s="32" t="str">
        <f t="array" ref="AV89">IFERROR(INDEX(INDIRECT(Config!$G$1), MATCH($A89, INDIRECT(Config!$H$1), 0), MATCH(AV$1, INDIRECT(Config!$I$1), 0)), "")</f>
        <v/>
      </c>
      <c r="AW89" s="35"/>
      <c r="AX89" s="32"/>
      <c r="AY89" s="35"/>
    </row>
    <row r="90" ht="15.75" hidden="1" customHeight="1">
      <c r="A90" s="12" t="str">
        <f>Menus!B51</f>
        <v/>
      </c>
      <c r="B90" s="51">
        <f t="shared" si="7"/>
        <v>0</v>
      </c>
      <c r="C90" s="33" t="str">
        <f t="array" ref="C90">IFERROR(INDEX(INDIRECT(Config!$G$1), MATCH($A90, INDIRECT(Config!$H$1), 0), MATCH(C$1, INDIRECT(Config!$I$1), 0)), "")</f>
        <v/>
      </c>
      <c r="D90" s="34" t="str">
        <f t="array" ref="D90">IFERROR(INDEX(INDIRECT(Config!$G$1), MATCH($A90, INDIRECT(Config!$H$1), 0), MATCH(D$1, INDIRECT(Config!$I$1), 0)), "")</f>
        <v/>
      </c>
      <c r="E90" s="32" t="str">
        <f t="array" ref="E90">IFERROR(INDEX(INDIRECT(Config!$G$1), MATCH($A90, INDIRECT(Config!$H$1), 0), MATCH(E$1, INDIRECT(Config!$I$1), 0)), "")</f>
        <v/>
      </c>
      <c r="F90" s="35" t="str">
        <f t="array" ref="F90">IFERROR(INDEX(INDIRECT(Config!$G$1), MATCH($A90, INDIRECT(Config!$H$1), 0), MATCH(F$1, INDIRECT(Config!$I$1), 0)), "")</f>
        <v/>
      </c>
      <c r="G90" s="32" t="str">
        <f t="array" ref="G90">IFERROR(INDEX(INDIRECT(Config!$G$1), MATCH($A90, INDIRECT(Config!$H$1), 0), MATCH(G$1, INDIRECT(Config!$I$1), 0)), "")</f>
        <v/>
      </c>
      <c r="H90" s="35" t="str">
        <f t="array" ref="H90">IFERROR(INDEX(INDIRECT(Config!$G$1), MATCH($A90, INDIRECT(Config!$H$1), 0), MATCH(H$1, INDIRECT(Config!$I$1), 0)), "")</f>
        <v/>
      </c>
      <c r="I90" s="32" t="str">
        <f t="array" ref="I90">IFERROR(INDEX(INDIRECT(Config!$G$1), MATCH($A90, INDIRECT(Config!$H$1), 0), MATCH(I$1, INDIRECT(Config!$I$1), 0)), "")</f>
        <v/>
      </c>
      <c r="J90" s="35" t="str">
        <f t="array" ref="J90">IFERROR(INDEX(INDIRECT(Config!$G$1), MATCH($A90, INDIRECT(Config!$H$1), 0), MATCH(J$1, INDIRECT(Config!$I$1), 0)), "")</f>
        <v/>
      </c>
      <c r="K90" s="32" t="str">
        <f t="array" ref="K90">IFERROR(INDEX(INDIRECT(Config!$G$1), MATCH($A90, INDIRECT(Config!$H$1), 0), MATCH(K$1, INDIRECT(Config!$I$1), 0)), "")</f>
        <v/>
      </c>
      <c r="L90" s="35" t="str">
        <f t="array" ref="L90">IFERROR(INDEX(INDIRECT(Config!$G$1), MATCH($A90, INDIRECT(Config!$H$1), 0), MATCH(L$1, INDIRECT(Config!$I$1), 0)), "")</f>
        <v/>
      </c>
      <c r="M90" s="32" t="str">
        <f t="array" ref="M90">IFERROR(INDEX(INDIRECT(Config!$G$1), MATCH($A90, INDIRECT(Config!$H$1), 0), MATCH(M$1, INDIRECT(Config!$I$1), 0)), "")</f>
        <v/>
      </c>
      <c r="N90" s="35" t="str">
        <f t="array" ref="N90">IFERROR(INDEX(INDIRECT(Config!$G$1), MATCH($A90, INDIRECT(Config!$H$1), 0), MATCH(N$1, INDIRECT(Config!$I$1), 0)), "")</f>
        <v/>
      </c>
      <c r="O90" s="32" t="str">
        <f t="array" ref="O90">IFERROR(INDEX(INDIRECT(Config!$G$1), MATCH($A90, INDIRECT(Config!$H$1), 0), MATCH(O$1, INDIRECT(Config!$I$1), 0)), "")</f>
        <v/>
      </c>
      <c r="P90" s="35" t="str">
        <f t="array" ref="P90">IFERROR(INDEX(INDIRECT(Config!$G$1), MATCH($A90, INDIRECT(Config!$H$1), 0), MATCH(P$1, INDIRECT(Config!$I$1), 0)), "")</f>
        <v/>
      </c>
      <c r="Q90" s="32" t="str">
        <f t="array" ref="Q90">IFERROR(INDEX(INDIRECT(Config!$G$1), MATCH($A90, INDIRECT(Config!$H$1), 0), MATCH(Q$1, INDIRECT(Config!$I$1), 0)), "")</f>
        <v/>
      </c>
      <c r="R90" s="35" t="str">
        <f t="array" ref="R90">IFERROR(INDEX(INDIRECT(Config!$G$1), MATCH($A90, INDIRECT(Config!$H$1), 0), MATCH(R$1, INDIRECT(Config!$I$1), 0)), "")</f>
        <v/>
      </c>
      <c r="S90" s="32" t="str">
        <f t="array" ref="S90">IFERROR(INDEX(INDIRECT(Config!$G$1), MATCH($A90, INDIRECT(Config!$H$1), 0), MATCH(S$1, INDIRECT(Config!$I$1), 0)), "")</f>
        <v/>
      </c>
      <c r="T90" s="35" t="str">
        <f t="array" ref="T90">IFERROR(INDEX(INDIRECT(Config!$G$1), MATCH($A90, INDIRECT(Config!$H$1), 0), MATCH(T$1, INDIRECT(Config!$I$1), 0)), "")</f>
        <v/>
      </c>
      <c r="U90" s="32" t="str">
        <f t="array" ref="U90">IFERROR(INDEX(INDIRECT(Config!$G$1), MATCH($A90, INDIRECT(Config!$H$1), 0), MATCH(U$1, INDIRECT(Config!$I$1), 0)), "")</f>
        <v/>
      </c>
      <c r="V90" s="35" t="str">
        <f t="array" ref="V90">IFERROR(INDEX(INDIRECT(Config!$G$1), MATCH($A90, INDIRECT(Config!$H$1), 0), MATCH(V$1, INDIRECT(Config!$I$1), 0)), "")</f>
        <v/>
      </c>
      <c r="W90" s="32" t="str">
        <f t="array" ref="W90">IFERROR(INDEX(INDIRECT(Config!$G$1), MATCH($A90, INDIRECT(Config!$H$1), 0), MATCH(W$1, INDIRECT(Config!$I$1), 0)), "")</f>
        <v/>
      </c>
      <c r="X90" s="35" t="str">
        <f t="array" ref="X90">IFERROR(INDEX(INDIRECT(Config!$G$1), MATCH($A90, INDIRECT(Config!$H$1), 0), MATCH(X$1, INDIRECT(Config!$I$1), 0)), "")</f>
        <v/>
      </c>
      <c r="Y90" s="32" t="str">
        <f t="array" ref="Y90">IFERROR(INDEX(INDIRECT(Config!$G$1), MATCH($A90, INDIRECT(Config!$H$1), 0), MATCH(Y$1, INDIRECT(Config!$I$1), 0)), "")</f>
        <v/>
      </c>
      <c r="Z90" s="32" t="str">
        <f t="array" ref="Z90">IFERROR(INDEX(INDIRECT(Config!$G$1), MATCH($A90, INDIRECT(Config!$H$1), 0), MATCH(Z$1, INDIRECT(Config!$I$1), 0)), "")</f>
        <v/>
      </c>
      <c r="AA90" s="35" t="str">
        <f t="array" ref="AA90">IFERROR(INDEX(INDIRECT(Config!$G$1), MATCH($A90, INDIRECT(Config!$H$1), 0), MATCH(AA$1, INDIRECT(Config!$I$1), 0)), "")</f>
        <v/>
      </c>
      <c r="AB90" s="32" t="str">
        <f t="array" ref="AB90">IFERROR(INDEX(INDIRECT(Config!$G$1), MATCH($A90, INDIRECT(Config!$H$1), 0), MATCH(AB$1, INDIRECT(Config!$I$1), 0)), "")</f>
        <v/>
      </c>
      <c r="AC90" s="35" t="str">
        <f t="array" ref="AC90">IFERROR(INDEX(INDIRECT(Config!$G$1), MATCH($A90, INDIRECT(Config!$H$1), 0), MATCH(AC$1, INDIRECT(Config!$I$1), 0)), "")</f>
        <v/>
      </c>
      <c r="AD90" s="32" t="str">
        <f t="array" ref="AD90">IFERROR(INDEX(INDIRECT(Config!$G$1), MATCH($A90, INDIRECT(Config!$H$1), 0), MATCH(AD$1, INDIRECT(Config!$I$1), 0)), "")</f>
        <v/>
      </c>
      <c r="AE90" s="35" t="str">
        <f t="array" ref="AE90">IFERROR(INDEX(INDIRECT(Config!$G$1), MATCH($A90, INDIRECT(Config!$H$1), 0), MATCH(AE$1, INDIRECT(Config!$I$1), 0)), "")</f>
        <v/>
      </c>
      <c r="AF90" s="32" t="str">
        <f t="array" ref="AF90">IFERROR(INDEX(INDIRECT(Config!$G$1), MATCH($A90, INDIRECT(Config!$H$1), 0), MATCH(AF$1, INDIRECT(Config!$I$1), 0)), "")</f>
        <v/>
      </c>
      <c r="AG90" s="35" t="str">
        <f t="array" ref="AG90">IFERROR(INDEX(INDIRECT(Config!$G$1), MATCH($A90, INDIRECT(Config!$H$1), 0), MATCH(AG$1, INDIRECT(Config!$I$1), 0)), "")</f>
        <v/>
      </c>
      <c r="AH90" s="32" t="str">
        <f t="array" ref="AH90">IFERROR(INDEX(INDIRECT(Config!$G$1), MATCH($A90, INDIRECT(Config!$H$1), 0), MATCH(AH$1, INDIRECT(Config!$I$1), 0)), "")</f>
        <v/>
      </c>
      <c r="AI90" s="35" t="str">
        <f t="array" ref="AI90">IFERROR(INDEX(INDIRECT(Config!$G$1), MATCH($A90, INDIRECT(Config!$H$1), 0), MATCH(AI$1, INDIRECT(Config!$I$1), 0)), "")</f>
        <v/>
      </c>
      <c r="AJ90" s="32" t="str">
        <f t="array" ref="AJ90">IFERROR(INDEX(INDIRECT(Config!$G$1), MATCH($A90, INDIRECT(Config!$H$1), 0), MATCH(AJ$1, INDIRECT(Config!$I$1), 0)), "")</f>
        <v/>
      </c>
      <c r="AK90" s="35" t="str">
        <f t="array" ref="AK90">IFERROR(INDEX(INDIRECT(Config!$G$1), MATCH($A90, INDIRECT(Config!$H$1), 0), MATCH(AK$1, INDIRECT(Config!$I$1), 0)), "")</f>
        <v/>
      </c>
      <c r="AL90" s="32" t="str">
        <f t="array" ref="AL90">IFERROR(INDEX(INDIRECT(Config!$G$1), MATCH($A90, INDIRECT(Config!$H$1), 0), MATCH(AL$1, INDIRECT(Config!$I$1), 0)), "")</f>
        <v/>
      </c>
      <c r="AM90" s="35" t="str">
        <f t="array" ref="AM90">IFERROR(INDEX(INDIRECT(Config!$G$1), MATCH($A90, INDIRECT(Config!$H$1), 0), MATCH(AM$1, INDIRECT(Config!$I$1), 0)), "")</f>
        <v/>
      </c>
      <c r="AN90" s="32" t="str">
        <f t="array" ref="AN90">IFERROR(INDEX(INDIRECT(Config!$G$1), MATCH($A90, INDIRECT(Config!$H$1), 0), MATCH(AN$1, INDIRECT(Config!$I$1), 0)), "")</f>
        <v/>
      </c>
      <c r="AO90" s="35" t="str">
        <f t="array" ref="AO90">IFERROR(INDEX(INDIRECT(Config!$G$1), MATCH($A90, INDIRECT(Config!$H$1), 0), MATCH(AO$1, INDIRECT(Config!$I$1), 0)), "")</f>
        <v/>
      </c>
      <c r="AP90" s="32" t="str">
        <f t="array" ref="AP90">IFERROR(INDEX(INDIRECT(Config!$G$1), MATCH($A90, INDIRECT(Config!$H$1), 0), MATCH(AP$1, INDIRECT(Config!$I$1), 0)), "")</f>
        <v/>
      </c>
      <c r="AQ90" s="35" t="str">
        <f t="array" ref="AQ90">IFERROR(INDEX(INDIRECT(Config!$G$1), MATCH($A90, INDIRECT(Config!$H$1), 0), MATCH(AQ$1, INDIRECT(Config!$I$1), 0)), "")</f>
        <v/>
      </c>
      <c r="AR90" s="32" t="str">
        <f t="array" ref="AR90">IFERROR(INDEX(INDIRECT(Config!$G$1), MATCH($A90, INDIRECT(Config!$H$1), 0), MATCH(AR$1, INDIRECT(Config!$I$1), 0)), "")</f>
        <v/>
      </c>
      <c r="AS90" s="35" t="str">
        <f t="array" ref="AS90">IFERROR(INDEX(INDIRECT(Config!$G$1), MATCH($A90, INDIRECT(Config!$H$1), 0), MATCH(AS$1, INDIRECT(Config!$I$1), 0)), "")</f>
        <v/>
      </c>
      <c r="AT90" s="32" t="str">
        <f t="array" ref="AT90">IFERROR(INDEX(INDIRECT(Config!$G$1), MATCH($A90, INDIRECT(Config!$H$1), 0), MATCH(AT$1, INDIRECT(Config!$I$1), 0)), "")</f>
        <v/>
      </c>
      <c r="AU90" s="35" t="str">
        <f t="array" ref="AU90">IFERROR(INDEX(INDIRECT(Config!$G$1), MATCH($A90, INDIRECT(Config!$H$1), 0), MATCH(AU$1, INDIRECT(Config!$I$1), 0)), "")</f>
        <v/>
      </c>
      <c r="AV90" s="32" t="str">
        <f t="array" ref="AV90">IFERROR(INDEX(INDIRECT(Config!$G$1), MATCH($A90, INDIRECT(Config!$H$1), 0), MATCH(AV$1, INDIRECT(Config!$I$1), 0)), "")</f>
        <v/>
      </c>
      <c r="AW90" s="35"/>
      <c r="AX90" s="32"/>
      <c r="AY90" s="35"/>
    </row>
    <row r="91" ht="15.75" hidden="1" customHeight="1">
      <c r="A91" s="12" t="str">
        <f>Menus!B52</f>
        <v/>
      </c>
      <c r="B91" s="51">
        <f t="shared" si="7"/>
        <v>0</v>
      </c>
      <c r="C91" s="33" t="str">
        <f t="array" ref="C91">IFERROR(INDEX(INDIRECT(Config!$G$1), MATCH($A91, INDIRECT(Config!$H$1), 0), MATCH(C$1, INDIRECT(Config!$I$1), 0)), "")</f>
        <v/>
      </c>
      <c r="D91" s="34" t="str">
        <f t="array" ref="D91">IFERROR(INDEX(INDIRECT(Config!$G$1), MATCH($A91, INDIRECT(Config!$H$1), 0), MATCH(D$1, INDIRECT(Config!$I$1), 0)), "")</f>
        <v/>
      </c>
      <c r="E91" s="32" t="str">
        <f t="array" ref="E91">IFERROR(INDEX(INDIRECT(Config!$G$1), MATCH($A91, INDIRECT(Config!$H$1), 0), MATCH(E$1, INDIRECT(Config!$I$1), 0)), "")</f>
        <v/>
      </c>
      <c r="F91" s="35" t="str">
        <f t="array" ref="F91">IFERROR(INDEX(INDIRECT(Config!$G$1), MATCH($A91, INDIRECT(Config!$H$1), 0), MATCH(F$1, INDIRECT(Config!$I$1), 0)), "")</f>
        <v/>
      </c>
      <c r="G91" s="32" t="str">
        <f t="array" ref="G91">IFERROR(INDEX(INDIRECT(Config!$G$1), MATCH($A91, INDIRECT(Config!$H$1), 0), MATCH(G$1, INDIRECT(Config!$I$1), 0)), "")</f>
        <v/>
      </c>
      <c r="H91" s="35" t="str">
        <f t="array" ref="H91">IFERROR(INDEX(INDIRECT(Config!$G$1), MATCH($A91, INDIRECT(Config!$H$1), 0), MATCH(H$1, INDIRECT(Config!$I$1), 0)), "")</f>
        <v/>
      </c>
      <c r="I91" s="32" t="str">
        <f t="array" ref="I91">IFERROR(INDEX(INDIRECT(Config!$G$1), MATCH($A91, INDIRECT(Config!$H$1), 0), MATCH(I$1, INDIRECT(Config!$I$1), 0)), "")</f>
        <v/>
      </c>
      <c r="J91" s="35" t="str">
        <f t="array" ref="J91">IFERROR(INDEX(INDIRECT(Config!$G$1), MATCH($A91, INDIRECT(Config!$H$1), 0), MATCH(J$1, INDIRECT(Config!$I$1), 0)), "")</f>
        <v/>
      </c>
      <c r="K91" s="32" t="str">
        <f t="array" ref="K91">IFERROR(INDEX(INDIRECT(Config!$G$1), MATCH($A91, INDIRECT(Config!$H$1), 0), MATCH(K$1, INDIRECT(Config!$I$1), 0)), "")</f>
        <v/>
      </c>
      <c r="L91" s="35" t="str">
        <f t="array" ref="L91">IFERROR(INDEX(INDIRECT(Config!$G$1), MATCH($A91, INDIRECT(Config!$H$1), 0), MATCH(L$1, INDIRECT(Config!$I$1), 0)), "")</f>
        <v/>
      </c>
      <c r="M91" s="32" t="str">
        <f t="array" ref="M91">IFERROR(INDEX(INDIRECT(Config!$G$1), MATCH($A91, INDIRECT(Config!$H$1), 0), MATCH(M$1, INDIRECT(Config!$I$1), 0)), "")</f>
        <v/>
      </c>
      <c r="N91" s="35" t="str">
        <f t="array" ref="N91">IFERROR(INDEX(INDIRECT(Config!$G$1), MATCH($A91, INDIRECT(Config!$H$1), 0), MATCH(N$1, INDIRECT(Config!$I$1), 0)), "")</f>
        <v/>
      </c>
      <c r="O91" s="32" t="str">
        <f t="array" ref="O91">IFERROR(INDEX(INDIRECT(Config!$G$1), MATCH($A91, INDIRECT(Config!$H$1), 0), MATCH(O$1, INDIRECT(Config!$I$1), 0)), "")</f>
        <v/>
      </c>
      <c r="P91" s="35" t="str">
        <f t="array" ref="P91">IFERROR(INDEX(INDIRECT(Config!$G$1), MATCH($A91, INDIRECT(Config!$H$1), 0), MATCH(P$1, INDIRECT(Config!$I$1), 0)), "")</f>
        <v/>
      </c>
      <c r="Q91" s="32" t="str">
        <f t="array" ref="Q91">IFERROR(INDEX(INDIRECT(Config!$G$1), MATCH($A91, INDIRECT(Config!$H$1), 0), MATCH(Q$1, INDIRECT(Config!$I$1), 0)), "")</f>
        <v/>
      </c>
      <c r="R91" s="35" t="str">
        <f t="array" ref="R91">IFERROR(INDEX(INDIRECT(Config!$G$1), MATCH($A91, INDIRECT(Config!$H$1), 0), MATCH(R$1, INDIRECT(Config!$I$1), 0)), "")</f>
        <v/>
      </c>
      <c r="S91" s="32" t="str">
        <f t="array" ref="S91">IFERROR(INDEX(INDIRECT(Config!$G$1), MATCH($A91, INDIRECT(Config!$H$1), 0), MATCH(S$1, INDIRECT(Config!$I$1), 0)), "")</f>
        <v/>
      </c>
      <c r="T91" s="35" t="str">
        <f t="array" ref="T91">IFERROR(INDEX(INDIRECT(Config!$G$1), MATCH($A91, INDIRECT(Config!$H$1), 0), MATCH(T$1, INDIRECT(Config!$I$1), 0)), "")</f>
        <v/>
      </c>
      <c r="U91" s="32" t="str">
        <f t="array" ref="U91">IFERROR(INDEX(INDIRECT(Config!$G$1), MATCH($A91, INDIRECT(Config!$H$1), 0), MATCH(U$1, INDIRECT(Config!$I$1), 0)), "")</f>
        <v/>
      </c>
      <c r="V91" s="35" t="str">
        <f t="array" ref="V91">IFERROR(INDEX(INDIRECT(Config!$G$1), MATCH($A91, INDIRECT(Config!$H$1), 0), MATCH(V$1, INDIRECT(Config!$I$1), 0)), "")</f>
        <v/>
      </c>
      <c r="W91" s="32" t="str">
        <f t="array" ref="W91">IFERROR(INDEX(INDIRECT(Config!$G$1), MATCH($A91, INDIRECT(Config!$H$1), 0), MATCH(W$1, INDIRECT(Config!$I$1), 0)), "")</f>
        <v/>
      </c>
      <c r="X91" s="35" t="str">
        <f t="array" ref="X91">IFERROR(INDEX(INDIRECT(Config!$G$1), MATCH($A91, INDIRECT(Config!$H$1), 0), MATCH(X$1, INDIRECT(Config!$I$1), 0)), "")</f>
        <v/>
      </c>
      <c r="Y91" s="32" t="str">
        <f t="array" ref="Y91">IFERROR(INDEX(INDIRECT(Config!$G$1), MATCH($A91, INDIRECT(Config!$H$1), 0), MATCH(Y$1, INDIRECT(Config!$I$1), 0)), "")</f>
        <v/>
      </c>
      <c r="Z91" s="32" t="str">
        <f t="array" ref="Z91">IFERROR(INDEX(INDIRECT(Config!$G$1), MATCH($A91, INDIRECT(Config!$H$1), 0), MATCH(Z$1, INDIRECT(Config!$I$1), 0)), "")</f>
        <v/>
      </c>
      <c r="AA91" s="35" t="str">
        <f t="array" ref="AA91">IFERROR(INDEX(INDIRECT(Config!$G$1), MATCH($A91, INDIRECT(Config!$H$1), 0), MATCH(AA$1, INDIRECT(Config!$I$1), 0)), "")</f>
        <v/>
      </c>
      <c r="AB91" s="32" t="str">
        <f t="array" ref="AB91">IFERROR(INDEX(INDIRECT(Config!$G$1), MATCH($A91, INDIRECT(Config!$H$1), 0), MATCH(AB$1, INDIRECT(Config!$I$1), 0)), "")</f>
        <v/>
      </c>
      <c r="AC91" s="35" t="str">
        <f t="array" ref="AC91">IFERROR(INDEX(INDIRECT(Config!$G$1), MATCH($A91, INDIRECT(Config!$H$1), 0), MATCH(AC$1, INDIRECT(Config!$I$1), 0)), "")</f>
        <v/>
      </c>
      <c r="AD91" s="32" t="str">
        <f t="array" ref="AD91">IFERROR(INDEX(INDIRECT(Config!$G$1), MATCH($A91, INDIRECT(Config!$H$1), 0), MATCH(AD$1, INDIRECT(Config!$I$1), 0)), "")</f>
        <v/>
      </c>
      <c r="AE91" s="35" t="str">
        <f t="array" ref="AE91">IFERROR(INDEX(INDIRECT(Config!$G$1), MATCH($A91, INDIRECT(Config!$H$1), 0), MATCH(AE$1, INDIRECT(Config!$I$1), 0)), "")</f>
        <v/>
      </c>
      <c r="AF91" s="32" t="str">
        <f t="array" ref="AF91">IFERROR(INDEX(INDIRECT(Config!$G$1), MATCH($A91, INDIRECT(Config!$H$1), 0), MATCH(AF$1, INDIRECT(Config!$I$1), 0)), "")</f>
        <v/>
      </c>
      <c r="AG91" s="35" t="str">
        <f t="array" ref="AG91">IFERROR(INDEX(INDIRECT(Config!$G$1), MATCH($A91, INDIRECT(Config!$H$1), 0), MATCH(AG$1, INDIRECT(Config!$I$1), 0)), "")</f>
        <v/>
      </c>
      <c r="AH91" s="32" t="str">
        <f t="array" ref="AH91">IFERROR(INDEX(INDIRECT(Config!$G$1), MATCH($A91, INDIRECT(Config!$H$1), 0), MATCH(AH$1, INDIRECT(Config!$I$1), 0)), "")</f>
        <v/>
      </c>
      <c r="AI91" s="35" t="str">
        <f t="array" ref="AI91">IFERROR(INDEX(INDIRECT(Config!$G$1), MATCH($A91, INDIRECT(Config!$H$1), 0), MATCH(AI$1, INDIRECT(Config!$I$1), 0)), "")</f>
        <v/>
      </c>
      <c r="AJ91" s="32" t="str">
        <f t="array" ref="AJ91">IFERROR(INDEX(INDIRECT(Config!$G$1), MATCH($A91, INDIRECT(Config!$H$1), 0), MATCH(AJ$1, INDIRECT(Config!$I$1), 0)), "")</f>
        <v/>
      </c>
      <c r="AK91" s="35" t="str">
        <f t="array" ref="AK91">IFERROR(INDEX(INDIRECT(Config!$G$1), MATCH($A91, INDIRECT(Config!$H$1), 0), MATCH(AK$1, INDIRECT(Config!$I$1), 0)), "")</f>
        <v/>
      </c>
      <c r="AL91" s="32" t="str">
        <f t="array" ref="AL91">IFERROR(INDEX(INDIRECT(Config!$G$1), MATCH($A91, INDIRECT(Config!$H$1), 0), MATCH(AL$1, INDIRECT(Config!$I$1), 0)), "")</f>
        <v/>
      </c>
      <c r="AM91" s="35" t="str">
        <f t="array" ref="AM91">IFERROR(INDEX(INDIRECT(Config!$G$1), MATCH($A91, INDIRECT(Config!$H$1), 0), MATCH(AM$1, INDIRECT(Config!$I$1), 0)), "")</f>
        <v/>
      </c>
      <c r="AN91" s="32" t="str">
        <f t="array" ref="AN91">IFERROR(INDEX(INDIRECT(Config!$G$1), MATCH($A91, INDIRECT(Config!$H$1), 0), MATCH(AN$1, INDIRECT(Config!$I$1), 0)), "")</f>
        <v/>
      </c>
      <c r="AO91" s="35" t="str">
        <f t="array" ref="AO91">IFERROR(INDEX(INDIRECT(Config!$G$1), MATCH($A91, INDIRECT(Config!$H$1), 0), MATCH(AO$1, INDIRECT(Config!$I$1), 0)), "")</f>
        <v/>
      </c>
      <c r="AP91" s="32" t="str">
        <f t="array" ref="AP91">IFERROR(INDEX(INDIRECT(Config!$G$1), MATCH($A91, INDIRECT(Config!$H$1), 0), MATCH(AP$1, INDIRECT(Config!$I$1), 0)), "")</f>
        <v/>
      </c>
      <c r="AQ91" s="35" t="str">
        <f t="array" ref="AQ91">IFERROR(INDEX(INDIRECT(Config!$G$1), MATCH($A91, INDIRECT(Config!$H$1), 0), MATCH(AQ$1, INDIRECT(Config!$I$1), 0)), "")</f>
        <v/>
      </c>
      <c r="AR91" s="32" t="str">
        <f t="array" ref="AR91">IFERROR(INDEX(INDIRECT(Config!$G$1), MATCH($A91, INDIRECT(Config!$H$1), 0), MATCH(AR$1, INDIRECT(Config!$I$1), 0)), "")</f>
        <v/>
      </c>
      <c r="AS91" s="35" t="str">
        <f t="array" ref="AS91">IFERROR(INDEX(INDIRECT(Config!$G$1), MATCH($A91, INDIRECT(Config!$H$1), 0), MATCH(AS$1, INDIRECT(Config!$I$1), 0)), "")</f>
        <v/>
      </c>
      <c r="AT91" s="32" t="str">
        <f t="array" ref="AT91">IFERROR(INDEX(INDIRECT(Config!$G$1), MATCH($A91, INDIRECT(Config!$H$1), 0), MATCH(AT$1, INDIRECT(Config!$I$1), 0)), "")</f>
        <v/>
      </c>
      <c r="AU91" s="35" t="str">
        <f t="array" ref="AU91">IFERROR(INDEX(INDIRECT(Config!$G$1), MATCH($A91, INDIRECT(Config!$H$1), 0), MATCH(AU$1, INDIRECT(Config!$I$1), 0)), "")</f>
        <v/>
      </c>
      <c r="AV91" s="32" t="str">
        <f t="array" ref="AV91">IFERROR(INDEX(INDIRECT(Config!$G$1), MATCH($A91, INDIRECT(Config!$H$1), 0), MATCH(AV$1, INDIRECT(Config!$I$1), 0)), "")</f>
        <v/>
      </c>
      <c r="AW91" s="35"/>
      <c r="AX91" s="32"/>
      <c r="AY91" s="35"/>
    </row>
    <row r="92" ht="15.75" hidden="1" customHeight="1">
      <c r="A92" s="12" t="str">
        <f>Menus!B53</f>
        <v/>
      </c>
      <c r="B92" s="51">
        <f t="shared" si="7"/>
        <v>0</v>
      </c>
      <c r="C92" s="33" t="str">
        <f t="array" ref="C92">IFERROR(INDEX(INDIRECT(Config!$G$1), MATCH($A92, INDIRECT(Config!$H$1), 0), MATCH(C$1, INDIRECT(Config!$I$1), 0)), "")</f>
        <v/>
      </c>
      <c r="D92" s="34" t="str">
        <f t="array" ref="D92">IFERROR(INDEX(INDIRECT(Config!$G$1), MATCH($A92, INDIRECT(Config!$H$1), 0), MATCH(D$1, INDIRECT(Config!$I$1), 0)), "")</f>
        <v/>
      </c>
      <c r="E92" s="32" t="str">
        <f t="array" ref="E92">IFERROR(INDEX(INDIRECT(Config!$G$1), MATCH($A92, INDIRECT(Config!$H$1), 0), MATCH(E$1, INDIRECT(Config!$I$1), 0)), "")</f>
        <v/>
      </c>
      <c r="F92" s="35" t="str">
        <f t="array" ref="F92">IFERROR(INDEX(INDIRECT(Config!$G$1), MATCH($A92, INDIRECT(Config!$H$1), 0), MATCH(F$1, INDIRECT(Config!$I$1), 0)), "")</f>
        <v/>
      </c>
      <c r="G92" s="32" t="str">
        <f t="array" ref="G92">IFERROR(INDEX(INDIRECT(Config!$G$1), MATCH($A92, INDIRECT(Config!$H$1), 0), MATCH(G$1, INDIRECT(Config!$I$1), 0)), "")</f>
        <v/>
      </c>
      <c r="H92" s="35" t="str">
        <f t="array" ref="H92">IFERROR(INDEX(INDIRECT(Config!$G$1), MATCH($A92, INDIRECT(Config!$H$1), 0), MATCH(H$1, INDIRECT(Config!$I$1), 0)), "")</f>
        <v/>
      </c>
      <c r="I92" s="32" t="str">
        <f t="array" ref="I92">IFERROR(INDEX(INDIRECT(Config!$G$1), MATCH($A92, INDIRECT(Config!$H$1), 0), MATCH(I$1, INDIRECT(Config!$I$1), 0)), "")</f>
        <v/>
      </c>
      <c r="J92" s="35" t="str">
        <f t="array" ref="J92">IFERROR(INDEX(INDIRECT(Config!$G$1), MATCH($A92, INDIRECT(Config!$H$1), 0), MATCH(J$1, INDIRECT(Config!$I$1), 0)), "")</f>
        <v/>
      </c>
      <c r="K92" s="32" t="str">
        <f t="array" ref="K92">IFERROR(INDEX(INDIRECT(Config!$G$1), MATCH($A92, INDIRECT(Config!$H$1), 0), MATCH(K$1, INDIRECT(Config!$I$1), 0)), "")</f>
        <v/>
      </c>
      <c r="L92" s="35" t="str">
        <f t="array" ref="L92">IFERROR(INDEX(INDIRECT(Config!$G$1), MATCH($A92, INDIRECT(Config!$H$1), 0), MATCH(L$1, INDIRECT(Config!$I$1), 0)), "")</f>
        <v/>
      </c>
      <c r="M92" s="32" t="str">
        <f t="array" ref="M92">IFERROR(INDEX(INDIRECT(Config!$G$1), MATCH($A92, INDIRECT(Config!$H$1), 0), MATCH(M$1, INDIRECT(Config!$I$1), 0)), "")</f>
        <v/>
      </c>
      <c r="N92" s="35" t="str">
        <f t="array" ref="N92">IFERROR(INDEX(INDIRECT(Config!$G$1), MATCH($A92, INDIRECT(Config!$H$1), 0), MATCH(N$1, INDIRECT(Config!$I$1), 0)), "")</f>
        <v/>
      </c>
      <c r="O92" s="32" t="str">
        <f t="array" ref="O92">IFERROR(INDEX(INDIRECT(Config!$G$1), MATCH($A92, INDIRECT(Config!$H$1), 0), MATCH(O$1, INDIRECT(Config!$I$1), 0)), "")</f>
        <v/>
      </c>
      <c r="P92" s="35" t="str">
        <f t="array" ref="P92">IFERROR(INDEX(INDIRECT(Config!$G$1), MATCH($A92, INDIRECT(Config!$H$1), 0), MATCH(P$1, INDIRECT(Config!$I$1), 0)), "")</f>
        <v/>
      </c>
      <c r="Q92" s="32" t="str">
        <f t="array" ref="Q92">IFERROR(INDEX(INDIRECT(Config!$G$1), MATCH($A92, INDIRECT(Config!$H$1), 0), MATCH(Q$1, INDIRECT(Config!$I$1), 0)), "")</f>
        <v/>
      </c>
      <c r="R92" s="35" t="str">
        <f t="array" ref="R92">IFERROR(INDEX(INDIRECT(Config!$G$1), MATCH($A92, INDIRECT(Config!$H$1), 0), MATCH(R$1, INDIRECT(Config!$I$1), 0)), "")</f>
        <v/>
      </c>
      <c r="S92" s="32" t="str">
        <f t="array" ref="S92">IFERROR(INDEX(INDIRECT(Config!$G$1), MATCH($A92, INDIRECT(Config!$H$1), 0), MATCH(S$1, INDIRECT(Config!$I$1), 0)), "")</f>
        <v/>
      </c>
      <c r="T92" s="35" t="str">
        <f t="array" ref="T92">IFERROR(INDEX(INDIRECT(Config!$G$1), MATCH($A92, INDIRECT(Config!$H$1), 0), MATCH(T$1, INDIRECT(Config!$I$1), 0)), "")</f>
        <v/>
      </c>
      <c r="U92" s="32" t="str">
        <f t="array" ref="U92">IFERROR(INDEX(INDIRECT(Config!$G$1), MATCH($A92, INDIRECT(Config!$H$1), 0), MATCH(U$1, INDIRECT(Config!$I$1), 0)), "")</f>
        <v/>
      </c>
      <c r="V92" s="35" t="str">
        <f t="array" ref="V92">IFERROR(INDEX(INDIRECT(Config!$G$1), MATCH($A92, INDIRECT(Config!$H$1), 0), MATCH(V$1, INDIRECT(Config!$I$1), 0)), "")</f>
        <v/>
      </c>
      <c r="W92" s="32" t="str">
        <f t="array" ref="W92">IFERROR(INDEX(INDIRECT(Config!$G$1), MATCH($A92, INDIRECT(Config!$H$1), 0), MATCH(W$1, INDIRECT(Config!$I$1), 0)), "")</f>
        <v/>
      </c>
      <c r="X92" s="35" t="str">
        <f t="array" ref="X92">IFERROR(INDEX(INDIRECT(Config!$G$1), MATCH($A92, INDIRECT(Config!$H$1), 0), MATCH(X$1, INDIRECT(Config!$I$1), 0)), "")</f>
        <v/>
      </c>
      <c r="Y92" s="32" t="str">
        <f t="array" ref="Y92">IFERROR(INDEX(INDIRECT(Config!$G$1), MATCH($A92, INDIRECT(Config!$H$1), 0), MATCH(Y$1, INDIRECT(Config!$I$1), 0)), "")</f>
        <v/>
      </c>
      <c r="Z92" s="32" t="str">
        <f t="array" ref="Z92">IFERROR(INDEX(INDIRECT(Config!$G$1), MATCH($A92, INDIRECT(Config!$H$1), 0), MATCH(Z$1, INDIRECT(Config!$I$1), 0)), "")</f>
        <v/>
      </c>
      <c r="AA92" s="35" t="str">
        <f t="array" ref="AA92">IFERROR(INDEX(INDIRECT(Config!$G$1), MATCH($A92, INDIRECT(Config!$H$1), 0), MATCH(AA$1, INDIRECT(Config!$I$1), 0)), "")</f>
        <v/>
      </c>
      <c r="AB92" s="32" t="str">
        <f t="array" ref="AB92">IFERROR(INDEX(INDIRECT(Config!$G$1), MATCH($A92, INDIRECT(Config!$H$1), 0), MATCH(AB$1, INDIRECT(Config!$I$1), 0)), "")</f>
        <v/>
      </c>
      <c r="AC92" s="35" t="str">
        <f t="array" ref="AC92">IFERROR(INDEX(INDIRECT(Config!$G$1), MATCH($A92, INDIRECT(Config!$H$1), 0), MATCH(AC$1, INDIRECT(Config!$I$1), 0)), "")</f>
        <v/>
      </c>
      <c r="AD92" s="32" t="str">
        <f t="array" ref="AD92">IFERROR(INDEX(INDIRECT(Config!$G$1), MATCH($A92, INDIRECT(Config!$H$1), 0), MATCH(AD$1, INDIRECT(Config!$I$1), 0)), "")</f>
        <v/>
      </c>
      <c r="AE92" s="35" t="str">
        <f t="array" ref="AE92">IFERROR(INDEX(INDIRECT(Config!$G$1), MATCH($A92, INDIRECT(Config!$H$1), 0), MATCH(AE$1, INDIRECT(Config!$I$1), 0)), "")</f>
        <v/>
      </c>
      <c r="AF92" s="32" t="str">
        <f t="array" ref="AF92">IFERROR(INDEX(INDIRECT(Config!$G$1), MATCH($A92, INDIRECT(Config!$H$1), 0), MATCH(AF$1, INDIRECT(Config!$I$1), 0)), "")</f>
        <v/>
      </c>
      <c r="AG92" s="35" t="str">
        <f t="array" ref="AG92">IFERROR(INDEX(INDIRECT(Config!$G$1), MATCH($A92, INDIRECT(Config!$H$1), 0), MATCH(AG$1, INDIRECT(Config!$I$1), 0)), "")</f>
        <v/>
      </c>
      <c r="AH92" s="32" t="str">
        <f t="array" ref="AH92">IFERROR(INDEX(INDIRECT(Config!$G$1), MATCH($A92, INDIRECT(Config!$H$1), 0), MATCH(AH$1, INDIRECT(Config!$I$1), 0)), "")</f>
        <v/>
      </c>
      <c r="AI92" s="35" t="str">
        <f t="array" ref="AI92">IFERROR(INDEX(INDIRECT(Config!$G$1), MATCH($A92, INDIRECT(Config!$H$1), 0), MATCH(AI$1, INDIRECT(Config!$I$1), 0)), "")</f>
        <v/>
      </c>
      <c r="AJ92" s="32" t="str">
        <f t="array" ref="AJ92">IFERROR(INDEX(INDIRECT(Config!$G$1), MATCH($A92, INDIRECT(Config!$H$1), 0), MATCH(AJ$1, INDIRECT(Config!$I$1), 0)), "")</f>
        <v/>
      </c>
      <c r="AK92" s="35" t="str">
        <f t="array" ref="AK92">IFERROR(INDEX(INDIRECT(Config!$G$1), MATCH($A92, INDIRECT(Config!$H$1), 0), MATCH(AK$1, INDIRECT(Config!$I$1), 0)), "")</f>
        <v/>
      </c>
      <c r="AL92" s="32" t="str">
        <f t="array" ref="AL92">IFERROR(INDEX(INDIRECT(Config!$G$1), MATCH($A92, INDIRECT(Config!$H$1), 0), MATCH(AL$1, INDIRECT(Config!$I$1), 0)), "")</f>
        <v/>
      </c>
      <c r="AM92" s="35" t="str">
        <f t="array" ref="AM92">IFERROR(INDEX(INDIRECT(Config!$G$1), MATCH($A92, INDIRECT(Config!$H$1), 0), MATCH(AM$1, INDIRECT(Config!$I$1), 0)), "")</f>
        <v/>
      </c>
      <c r="AN92" s="32" t="str">
        <f t="array" ref="AN92">IFERROR(INDEX(INDIRECT(Config!$G$1), MATCH($A92, INDIRECT(Config!$H$1), 0), MATCH(AN$1, INDIRECT(Config!$I$1), 0)), "")</f>
        <v/>
      </c>
      <c r="AO92" s="35" t="str">
        <f t="array" ref="AO92">IFERROR(INDEX(INDIRECT(Config!$G$1), MATCH($A92, INDIRECT(Config!$H$1), 0), MATCH(AO$1, INDIRECT(Config!$I$1), 0)), "")</f>
        <v/>
      </c>
      <c r="AP92" s="32" t="str">
        <f t="array" ref="AP92">IFERROR(INDEX(INDIRECT(Config!$G$1), MATCH($A92, INDIRECT(Config!$H$1), 0), MATCH(AP$1, INDIRECT(Config!$I$1), 0)), "")</f>
        <v/>
      </c>
      <c r="AQ92" s="35" t="str">
        <f t="array" ref="AQ92">IFERROR(INDEX(INDIRECT(Config!$G$1), MATCH($A92, INDIRECT(Config!$H$1), 0), MATCH(AQ$1, INDIRECT(Config!$I$1), 0)), "")</f>
        <v/>
      </c>
      <c r="AR92" s="32" t="str">
        <f t="array" ref="AR92">IFERROR(INDEX(INDIRECT(Config!$G$1), MATCH($A92, INDIRECT(Config!$H$1), 0), MATCH(AR$1, INDIRECT(Config!$I$1), 0)), "")</f>
        <v/>
      </c>
      <c r="AS92" s="35" t="str">
        <f t="array" ref="AS92">IFERROR(INDEX(INDIRECT(Config!$G$1), MATCH($A92, INDIRECT(Config!$H$1), 0), MATCH(AS$1, INDIRECT(Config!$I$1), 0)), "")</f>
        <v/>
      </c>
      <c r="AT92" s="32" t="str">
        <f t="array" ref="AT92">IFERROR(INDEX(INDIRECT(Config!$G$1), MATCH($A92, INDIRECT(Config!$H$1), 0), MATCH(AT$1, INDIRECT(Config!$I$1), 0)), "")</f>
        <v/>
      </c>
      <c r="AU92" s="35" t="str">
        <f t="array" ref="AU92">IFERROR(INDEX(INDIRECT(Config!$G$1), MATCH($A92, INDIRECT(Config!$H$1), 0), MATCH(AU$1, INDIRECT(Config!$I$1), 0)), "")</f>
        <v/>
      </c>
      <c r="AV92" s="32" t="str">
        <f t="array" ref="AV92">IFERROR(INDEX(INDIRECT(Config!$G$1), MATCH($A92, INDIRECT(Config!$H$1), 0), MATCH(AV$1, INDIRECT(Config!$I$1), 0)), "")</f>
        <v/>
      </c>
      <c r="AW92" s="35"/>
      <c r="AX92" s="32"/>
      <c r="AY92" s="35"/>
    </row>
    <row r="93" ht="15.75" hidden="1" customHeight="1">
      <c r="A93" s="12" t="str">
        <f>Menus!B54</f>
        <v/>
      </c>
      <c r="B93" s="51">
        <f t="shared" si="7"/>
        <v>0</v>
      </c>
      <c r="C93" s="33" t="str">
        <f t="array" ref="C93">IFERROR(INDEX(INDIRECT(Config!$G$1), MATCH($A93, INDIRECT(Config!$H$1), 0), MATCH(C$1, INDIRECT(Config!$I$1), 0)), "")</f>
        <v/>
      </c>
      <c r="D93" s="34" t="str">
        <f t="array" ref="D93">IFERROR(INDEX(INDIRECT(Config!$G$1), MATCH($A93, INDIRECT(Config!$H$1), 0), MATCH(D$1, INDIRECT(Config!$I$1), 0)), "")</f>
        <v/>
      </c>
      <c r="E93" s="32" t="str">
        <f t="array" ref="E93">IFERROR(INDEX(INDIRECT(Config!$G$1), MATCH($A93, INDIRECT(Config!$H$1), 0), MATCH(E$1, INDIRECT(Config!$I$1), 0)), "")</f>
        <v/>
      </c>
      <c r="F93" s="35" t="str">
        <f t="array" ref="F93">IFERROR(INDEX(INDIRECT(Config!$G$1), MATCH($A93, INDIRECT(Config!$H$1), 0), MATCH(F$1, INDIRECT(Config!$I$1), 0)), "")</f>
        <v/>
      </c>
      <c r="G93" s="32" t="str">
        <f t="array" ref="G93">IFERROR(INDEX(INDIRECT(Config!$G$1), MATCH($A93, INDIRECT(Config!$H$1), 0), MATCH(G$1, INDIRECT(Config!$I$1), 0)), "")</f>
        <v/>
      </c>
      <c r="H93" s="35" t="str">
        <f t="array" ref="H93">IFERROR(INDEX(INDIRECT(Config!$G$1), MATCH($A93, INDIRECT(Config!$H$1), 0), MATCH(H$1, INDIRECT(Config!$I$1), 0)), "")</f>
        <v/>
      </c>
      <c r="I93" s="32" t="str">
        <f t="array" ref="I93">IFERROR(INDEX(INDIRECT(Config!$G$1), MATCH($A93, INDIRECT(Config!$H$1), 0), MATCH(I$1, INDIRECT(Config!$I$1), 0)), "")</f>
        <v/>
      </c>
      <c r="J93" s="35" t="str">
        <f t="array" ref="J93">IFERROR(INDEX(INDIRECT(Config!$G$1), MATCH($A93, INDIRECT(Config!$H$1), 0), MATCH(J$1, INDIRECT(Config!$I$1), 0)), "")</f>
        <v/>
      </c>
      <c r="K93" s="32" t="str">
        <f t="array" ref="K93">IFERROR(INDEX(INDIRECT(Config!$G$1), MATCH($A93, INDIRECT(Config!$H$1), 0), MATCH(K$1, INDIRECT(Config!$I$1), 0)), "")</f>
        <v/>
      </c>
      <c r="L93" s="35" t="str">
        <f t="array" ref="L93">IFERROR(INDEX(INDIRECT(Config!$G$1), MATCH($A93, INDIRECT(Config!$H$1), 0), MATCH(L$1, INDIRECT(Config!$I$1), 0)), "")</f>
        <v/>
      </c>
      <c r="M93" s="32" t="str">
        <f t="array" ref="M93">IFERROR(INDEX(INDIRECT(Config!$G$1), MATCH($A93, INDIRECT(Config!$H$1), 0), MATCH(M$1, INDIRECT(Config!$I$1), 0)), "")</f>
        <v/>
      </c>
      <c r="N93" s="35" t="str">
        <f t="array" ref="N93">IFERROR(INDEX(INDIRECT(Config!$G$1), MATCH($A93, INDIRECT(Config!$H$1), 0), MATCH(N$1, INDIRECT(Config!$I$1), 0)), "")</f>
        <v/>
      </c>
      <c r="O93" s="32" t="str">
        <f t="array" ref="O93">IFERROR(INDEX(INDIRECT(Config!$G$1), MATCH($A93, INDIRECT(Config!$H$1), 0), MATCH(O$1, INDIRECT(Config!$I$1), 0)), "")</f>
        <v/>
      </c>
      <c r="P93" s="35" t="str">
        <f t="array" ref="P93">IFERROR(INDEX(INDIRECT(Config!$G$1), MATCH($A93, INDIRECT(Config!$H$1), 0), MATCH(P$1, INDIRECT(Config!$I$1), 0)), "")</f>
        <v/>
      </c>
      <c r="Q93" s="32" t="str">
        <f t="array" ref="Q93">IFERROR(INDEX(INDIRECT(Config!$G$1), MATCH($A93, INDIRECT(Config!$H$1), 0), MATCH(Q$1, INDIRECT(Config!$I$1), 0)), "")</f>
        <v/>
      </c>
      <c r="R93" s="35" t="str">
        <f t="array" ref="R93">IFERROR(INDEX(INDIRECT(Config!$G$1), MATCH($A93, INDIRECT(Config!$H$1), 0), MATCH(R$1, INDIRECT(Config!$I$1), 0)), "")</f>
        <v/>
      </c>
      <c r="S93" s="32" t="str">
        <f t="array" ref="S93">IFERROR(INDEX(INDIRECT(Config!$G$1), MATCH($A93, INDIRECT(Config!$H$1), 0), MATCH(S$1, INDIRECT(Config!$I$1), 0)), "")</f>
        <v/>
      </c>
      <c r="T93" s="35" t="str">
        <f t="array" ref="T93">IFERROR(INDEX(INDIRECT(Config!$G$1), MATCH($A93, INDIRECT(Config!$H$1), 0), MATCH(T$1, INDIRECT(Config!$I$1), 0)), "")</f>
        <v/>
      </c>
      <c r="U93" s="32" t="str">
        <f t="array" ref="U93">IFERROR(INDEX(INDIRECT(Config!$G$1), MATCH($A93, INDIRECT(Config!$H$1), 0), MATCH(U$1, INDIRECT(Config!$I$1), 0)), "")</f>
        <v/>
      </c>
      <c r="V93" s="35" t="str">
        <f t="array" ref="V93">IFERROR(INDEX(INDIRECT(Config!$G$1), MATCH($A93, INDIRECT(Config!$H$1), 0), MATCH(V$1, INDIRECT(Config!$I$1), 0)), "")</f>
        <v/>
      </c>
      <c r="W93" s="32" t="str">
        <f t="array" ref="W93">IFERROR(INDEX(INDIRECT(Config!$G$1), MATCH($A93, INDIRECT(Config!$H$1), 0), MATCH(W$1, INDIRECT(Config!$I$1), 0)), "")</f>
        <v/>
      </c>
      <c r="X93" s="35" t="str">
        <f t="array" ref="X93">IFERROR(INDEX(INDIRECT(Config!$G$1), MATCH($A93, INDIRECT(Config!$H$1), 0), MATCH(X$1, INDIRECT(Config!$I$1), 0)), "")</f>
        <v/>
      </c>
      <c r="Y93" s="32" t="str">
        <f t="array" ref="Y93">IFERROR(INDEX(INDIRECT(Config!$G$1), MATCH($A93, INDIRECT(Config!$H$1), 0), MATCH(Y$1, INDIRECT(Config!$I$1), 0)), "")</f>
        <v/>
      </c>
      <c r="Z93" s="32" t="str">
        <f t="array" ref="Z93">IFERROR(INDEX(INDIRECT(Config!$G$1), MATCH($A93, INDIRECT(Config!$H$1), 0), MATCH(Z$1, INDIRECT(Config!$I$1), 0)), "")</f>
        <v/>
      </c>
      <c r="AA93" s="35" t="str">
        <f t="array" ref="AA93">IFERROR(INDEX(INDIRECT(Config!$G$1), MATCH($A93, INDIRECT(Config!$H$1), 0), MATCH(AA$1, INDIRECT(Config!$I$1), 0)), "")</f>
        <v/>
      </c>
      <c r="AB93" s="32" t="str">
        <f t="array" ref="AB93">IFERROR(INDEX(INDIRECT(Config!$G$1), MATCH($A93, INDIRECT(Config!$H$1), 0), MATCH(AB$1, INDIRECT(Config!$I$1), 0)), "")</f>
        <v/>
      </c>
      <c r="AC93" s="35" t="str">
        <f t="array" ref="AC93">IFERROR(INDEX(INDIRECT(Config!$G$1), MATCH($A93, INDIRECT(Config!$H$1), 0), MATCH(AC$1, INDIRECT(Config!$I$1), 0)), "")</f>
        <v/>
      </c>
      <c r="AD93" s="32" t="str">
        <f t="array" ref="AD93">IFERROR(INDEX(INDIRECT(Config!$G$1), MATCH($A93, INDIRECT(Config!$H$1), 0), MATCH(AD$1, INDIRECT(Config!$I$1), 0)), "")</f>
        <v/>
      </c>
      <c r="AE93" s="35" t="str">
        <f t="array" ref="AE93">IFERROR(INDEX(INDIRECT(Config!$G$1), MATCH($A93, INDIRECT(Config!$H$1), 0), MATCH(AE$1, INDIRECT(Config!$I$1), 0)), "")</f>
        <v/>
      </c>
      <c r="AF93" s="32" t="str">
        <f t="array" ref="AF93">IFERROR(INDEX(INDIRECT(Config!$G$1), MATCH($A93, INDIRECT(Config!$H$1), 0), MATCH(AF$1, INDIRECT(Config!$I$1), 0)), "")</f>
        <v/>
      </c>
      <c r="AG93" s="35" t="str">
        <f t="array" ref="AG93">IFERROR(INDEX(INDIRECT(Config!$G$1), MATCH($A93, INDIRECT(Config!$H$1), 0), MATCH(AG$1, INDIRECT(Config!$I$1), 0)), "")</f>
        <v/>
      </c>
      <c r="AH93" s="32" t="str">
        <f t="array" ref="AH93">IFERROR(INDEX(INDIRECT(Config!$G$1), MATCH($A93, INDIRECT(Config!$H$1), 0), MATCH(AH$1, INDIRECT(Config!$I$1), 0)), "")</f>
        <v/>
      </c>
      <c r="AI93" s="35" t="str">
        <f t="array" ref="AI93">IFERROR(INDEX(INDIRECT(Config!$G$1), MATCH($A93, INDIRECT(Config!$H$1), 0), MATCH(AI$1, INDIRECT(Config!$I$1), 0)), "")</f>
        <v/>
      </c>
      <c r="AJ93" s="32" t="str">
        <f t="array" ref="AJ93">IFERROR(INDEX(INDIRECT(Config!$G$1), MATCH($A93, INDIRECT(Config!$H$1), 0), MATCH(AJ$1, INDIRECT(Config!$I$1), 0)), "")</f>
        <v/>
      </c>
      <c r="AK93" s="35" t="str">
        <f t="array" ref="AK93">IFERROR(INDEX(INDIRECT(Config!$G$1), MATCH($A93, INDIRECT(Config!$H$1), 0), MATCH(AK$1, INDIRECT(Config!$I$1), 0)), "")</f>
        <v/>
      </c>
      <c r="AL93" s="32" t="str">
        <f t="array" ref="AL93">IFERROR(INDEX(INDIRECT(Config!$G$1), MATCH($A93, INDIRECT(Config!$H$1), 0), MATCH(AL$1, INDIRECT(Config!$I$1), 0)), "")</f>
        <v/>
      </c>
      <c r="AM93" s="35" t="str">
        <f t="array" ref="AM93">IFERROR(INDEX(INDIRECT(Config!$G$1), MATCH($A93, INDIRECT(Config!$H$1), 0), MATCH(AM$1, INDIRECT(Config!$I$1), 0)), "")</f>
        <v/>
      </c>
      <c r="AN93" s="32" t="str">
        <f t="array" ref="AN93">IFERROR(INDEX(INDIRECT(Config!$G$1), MATCH($A93, INDIRECT(Config!$H$1), 0), MATCH(AN$1, INDIRECT(Config!$I$1), 0)), "")</f>
        <v/>
      </c>
      <c r="AO93" s="35" t="str">
        <f t="array" ref="AO93">IFERROR(INDEX(INDIRECT(Config!$G$1), MATCH($A93, INDIRECT(Config!$H$1), 0), MATCH(AO$1, INDIRECT(Config!$I$1), 0)), "")</f>
        <v/>
      </c>
      <c r="AP93" s="32" t="str">
        <f t="array" ref="AP93">IFERROR(INDEX(INDIRECT(Config!$G$1), MATCH($A93, INDIRECT(Config!$H$1), 0), MATCH(AP$1, INDIRECT(Config!$I$1), 0)), "")</f>
        <v/>
      </c>
      <c r="AQ93" s="35" t="str">
        <f t="array" ref="AQ93">IFERROR(INDEX(INDIRECT(Config!$G$1), MATCH($A93, INDIRECT(Config!$H$1), 0), MATCH(AQ$1, INDIRECT(Config!$I$1), 0)), "")</f>
        <v/>
      </c>
      <c r="AR93" s="32" t="str">
        <f t="array" ref="AR93">IFERROR(INDEX(INDIRECT(Config!$G$1), MATCH($A93, INDIRECT(Config!$H$1), 0), MATCH(AR$1, INDIRECT(Config!$I$1), 0)), "")</f>
        <v/>
      </c>
      <c r="AS93" s="35" t="str">
        <f t="array" ref="AS93">IFERROR(INDEX(INDIRECT(Config!$G$1), MATCH($A93, INDIRECT(Config!$H$1), 0), MATCH(AS$1, INDIRECT(Config!$I$1), 0)), "")</f>
        <v/>
      </c>
      <c r="AT93" s="32" t="str">
        <f t="array" ref="AT93">IFERROR(INDEX(INDIRECT(Config!$G$1), MATCH($A93, INDIRECT(Config!$H$1), 0), MATCH(AT$1, INDIRECT(Config!$I$1), 0)), "")</f>
        <v/>
      </c>
      <c r="AU93" s="35" t="str">
        <f t="array" ref="AU93">IFERROR(INDEX(INDIRECT(Config!$G$1), MATCH($A93, INDIRECT(Config!$H$1), 0), MATCH(AU$1, INDIRECT(Config!$I$1), 0)), "")</f>
        <v/>
      </c>
      <c r="AV93" s="32" t="str">
        <f t="array" ref="AV93">IFERROR(INDEX(INDIRECT(Config!$G$1), MATCH($A93, INDIRECT(Config!$H$1), 0), MATCH(AV$1, INDIRECT(Config!$I$1), 0)), "")</f>
        <v/>
      </c>
      <c r="AW93" s="35"/>
      <c r="AX93" s="32"/>
      <c r="AY93" s="35"/>
    </row>
    <row r="94" ht="15.75" hidden="1" customHeight="1">
      <c r="A94" s="12" t="str">
        <f>Menus!B55</f>
        <v/>
      </c>
      <c r="B94" s="51">
        <f t="shared" si="7"/>
        <v>0</v>
      </c>
      <c r="C94" s="33" t="str">
        <f t="array" ref="C94">IFERROR(INDEX(INDIRECT(Config!$G$1), MATCH($A94, INDIRECT(Config!$H$1), 0), MATCH(C$1, INDIRECT(Config!$I$1), 0)), "")</f>
        <v/>
      </c>
      <c r="D94" s="34" t="str">
        <f t="array" ref="D94">IFERROR(INDEX(INDIRECT(Config!$G$1), MATCH($A94, INDIRECT(Config!$H$1), 0), MATCH(D$1, INDIRECT(Config!$I$1), 0)), "")</f>
        <v/>
      </c>
      <c r="E94" s="32" t="str">
        <f t="array" ref="E94">IFERROR(INDEX(INDIRECT(Config!$G$1), MATCH($A94, INDIRECT(Config!$H$1), 0), MATCH(E$1, INDIRECT(Config!$I$1), 0)), "")</f>
        <v/>
      </c>
      <c r="F94" s="35" t="str">
        <f t="array" ref="F94">IFERROR(INDEX(INDIRECT(Config!$G$1), MATCH($A94, INDIRECT(Config!$H$1), 0), MATCH(F$1, INDIRECT(Config!$I$1), 0)), "")</f>
        <v/>
      </c>
      <c r="G94" s="32" t="str">
        <f t="array" ref="G94">IFERROR(INDEX(INDIRECT(Config!$G$1), MATCH($A94, INDIRECT(Config!$H$1), 0), MATCH(G$1, INDIRECT(Config!$I$1), 0)), "")</f>
        <v/>
      </c>
      <c r="H94" s="35" t="str">
        <f t="array" ref="H94">IFERROR(INDEX(INDIRECT(Config!$G$1), MATCH($A94, INDIRECT(Config!$H$1), 0), MATCH(H$1, INDIRECT(Config!$I$1), 0)), "")</f>
        <v/>
      </c>
      <c r="I94" s="32" t="str">
        <f t="array" ref="I94">IFERROR(INDEX(INDIRECT(Config!$G$1), MATCH($A94, INDIRECT(Config!$H$1), 0), MATCH(I$1, INDIRECT(Config!$I$1), 0)), "")</f>
        <v/>
      </c>
      <c r="J94" s="35" t="str">
        <f t="array" ref="J94">IFERROR(INDEX(INDIRECT(Config!$G$1), MATCH($A94, INDIRECT(Config!$H$1), 0), MATCH(J$1, INDIRECT(Config!$I$1), 0)), "")</f>
        <v/>
      </c>
      <c r="K94" s="32" t="str">
        <f t="array" ref="K94">IFERROR(INDEX(INDIRECT(Config!$G$1), MATCH($A94, INDIRECT(Config!$H$1), 0), MATCH(K$1, INDIRECT(Config!$I$1), 0)), "")</f>
        <v/>
      </c>
      <c r="L94" s="35" t="str">
        <f t="array" ref="L94">IFERROR(INDEX(INDIRECT(Config!$G$1), MATCH($A94, INDIRECT(Config!$H$1), 0), MATCH(L$1, INDIRECT(Config!$I$1), 0)), "")</f>
        <v/>
      </c>
      <c r="M94" s="32" t="str">
        <f t="array" ref="M94">IFERROR(INDEX(INDIRECT(Config!$G$1), MATCH($A94, INDIRECT(Config!$H$1), 0), MATCH(M$1, INDIRECT(Config!$I$1), 0)), "")</f>
        <v/>
      </c>
      <c r="N94" s="35" t="str">
        <f t="array" ref="N94">IFERROR(INDEX(INDIRECT(Config!$G$1), MATCH($A94, INDIRECT(Config!$H$1), 0), MATCH(N$1, INDIRECT(Config!$I$1), 0)), "")</f>
        <v/>
      </c>
      <c r="O94" s="32" t="str">
        <f t="array" ref="O94">IFERROR(INDEX(INDIRECT(Config!$G$1), MATCH($A94, INDIRECT(Config!$H$1), 0), MATCH(O$1, INDIRECT(Config!$I$1), 0)), "")</f>
        <v/>
      </c>
      <c r="P94" s="35" t="str">
        <f t="array" ref="P94">IFERROR(INDEX(INDIRECT(Config!$G$1), MATCH($A94, INDIRECT(Config!$H$1), 0), MATCH(P$1, INDIRECT(Config!$I$1), 0)), "")</f>
        <v/>
      </c>
      <c r="Q94" s="32" t="str">
        <f t="array" ref="Q94">IFERROR(INDEX(INDIRECT(Config!$G$1), MATCH($A94, INDIRECT(Config!$H$1), 0), MATCH(Q$1, INDIRECT(Config!$I$1), 0)), "")</f>
        <v/>
      </c>
      <c r="R94" s="35" t="str">
        <f t="array" ref="R94">IFERROR(INDEX(INDIRECT(Config!$G$1), MATCH($A94, INDIRECT(Config!$H$1), 0), MATCH(R$1, INDIRECT(Config!$I$1), 0)), "")</f>
        <v/>
      </c>
      <c r="S94" s="32" t="str">
        <f t="array" ref="S94">IFERROR(INDEX(INDIRECT(Config!$G$1), MATCH($A94, INDIRECT(Config!$H$1), 0), MATCH(S$1, INDIRECT(Config!$I$1), 0)), "")</f>
        <v/>
      </c>
      <c r="T94" s="35" t="str">
        <f t="array" ref="T94">IFERROR(INDEX(INDIRECT(Config!$G$1), MATCH($A94, INDIRECT(Config!$H$1), 0), MATCH(T$1, INDIRECT(Config!$I$1), 0)), "")</f>
        <v/>
      </c>
      <c r="U94" s="32" t="str">
        <f t="array" ref="U94">IFERROR(INDEX(INDIRECT(Config!$G$1), MATCH($A94, INDIRECT(Config!$H$1), 0), MATCH(U$1, INDIRECT(Config!$I$1), 0)), "")</f>
        <v/>
      </c>
      <c r="V94" s="35" t="str">
        <f t="array" ref="V94">IFERROR(INDEX(INDIRECT(Config!$G$1), MATCH($A94, INDIRECT(Config!$H$1), 0), MATCH(V$1, INDIRECT(Config!$I$1), 0)), "")</f>
        <v/>
      </c>
      <c r="W94" s="32" t="str">
        <f t="array" ref="W94">IFERROR(INDEX(INDIRECT(Config!$G$1), MATCH($A94, INDIRECT(Config!$H$1), 0), MATCH(W$1, INDIRECT(Config!$I$1), 0)), "")</f>
        <v/>
      </c>
      <c r="X94" s="35" t="str">
        <f t="array" ref="X94">IFERROR(INDEX(INDIRECT(Config!$G$1), MATCH($A94, INDIRECT(Config!$H$1), 0), MATCH(X$1, INDIRECT(Config!$I$1), 0)), "")</f>
        <v/>
      </c>
      <c r="Y94" s="32" t="str">
        <f t="array" ref="Y94">IFERROR(INDEX(INDIRECT(Config!$G$1), MATCH($A94, INDIRECT(Config!$H$1), 0), MATCH(Y$1, INDIRECT(Config!$I$1), 0)), "")</f>
        <v/>
      </c>
      <c r="Z94" s="32" t="str">
        <f t="array" ref="Z94">IFERROR(INDEX(INDIRECT(Config!$G$1), MATCH($A94, INDIRECT(Config!$H$1), 0), MATCH(Z$1, INDIRECT(Config!$I$1), 0)), "")</f>
        <v/>
      </c>
      <c r="AA94" s="35" t="str">
        <f t="array" ref="AA94">IFERROR(INDEX(INDIRECT(Config!$G$1), MATCH($A94, INDIRECT(Config!$H$1), 0), MATCH(AA$1, INDIRECT(Config!$I$1), 0)), "")</f>
        <v/>
      </c>
      <c r="AB94" s="32" t="str">
        <f t="array" ref="AB94">IFERROR(INDEX(INDIRECT(Config!$G$1), MATCH($A94, INDIRECT(Config!$H$1), 0), MATCH(AB$1, INDIRECT(Config!$I$1), 0)), "")</f>
        <v/>
      </c>
      <c r="AC94" s="35" t="str">
        <f t="array" ref="AC94">IFERROR(INDEX(INDIRECT(Config!$G$1), MATCH($A94, INDIRECT(Config!$H$1), 0), MATCH(AC$1, INDIRECT(Config!$I$1), 0)), "")</f>
        <v/>
      </c>
      <c r="AD94" s="32" t="str">
        <f t="array" ref="AD94">IFERROR(INDEX(INDIRECT(Config!$G$1), MATCH($A94, INDIRECT(Config!$H$1), 0), MATCH(AD$1, INDIRECT(Config!$I$1), 0)), "")</f>
        <v/>
      </c>
      <c r="AE94" s="35" t="str">
        <f t="array" ref="AE94">IFERROR(INDEX(INDIRECT(Config!$G$1), MATCH($A94, INDIRECT(Config!$H$1), 0), MATCH(AE$1, INDIRECT(Config!$I$1), 0)), "")</f>
        <v/>
      </c>
      <c r="AF94" s="32" t="str">
        <f t="array" ref="AF94">IFERROR(INDEX(INDIRECT(Config!$G$1), MATCH($A94, INDIRECT(Config!$H$1), 0), MATCH(AF$1, INDIRECT(Config!$I$1), 0)), "")</f>
        <v/>
      </c>
      <c r="AG94" s="35" t="str">
        <f t="array" ref="AG94">IFERROR(INDEX(INDIRECT(Config!$G$1), MATCH($A94, INDIRECT(Config!$H$1), 0), MATCH(AG$1, INDIRECT(Config!$I$1), 0)), "")</f>
        <v/>
      </c>
      <c r="AH94" s="32" t="str">
        <f t="array" ref="AH94">IFERROR(INDEX(INDIRECT(Config!$G$1), MATCH($A94, INDIRECT(Config!$H$1), 0), MATCH(AH$1, INDIRECT(Config!$I$1), 0)), "")</f>
        <v/>
      </c>
      <c r="AI94" s="35" t="str">
        <f t="array" ref="AI94">IFERROR(INDEX(INDIRECT(Config!$G$1), MATCH($A94, INDIRECT(Config!$H$1), 0), MATCH(AI$1, INDIRECT(Config!$I$1), 0)), "")</f>
        <v/>
      </c>
      <c r="AJ94" s="32" t="str">
        <f t="array" ref="AJ94">IFERROR(INDEX(INDIRECT(Config!$G$1), MATCH($A94, INDIRECT(Config!$H$1), 0), MATCH(AJ$1, INDIRECT(Config!$I$1), 0)), "")</f>
        <v/>
      </c>
      <c r="AK94" s="35" t="str">
        <f t="array" ref="AK94">IFERROR(INDEX(INDIRECT(Config!$G$1), MATCH($A94, INDIRECT(Config!$H$1), 0), MATCH(AK$1, INDIRECT(Config!$I$1), 0)), "")</f>
        <v/>
      </c>
      <c r="AL94" s="32" t="str">
        <f t="array" ref="AL94">IFERROR(INDEX(INDIRECT(Config!$G$1), MATCH($A94, INDIRECT(Config!$H$1), 0), MATCH(AL$1, INDIRECT(Config!$I$1), 0)), "")</f>
        <v/>
      </c>
      <c r="AM94" s="35" t="str">
        <f t="array" ref="AM94">IFERROR(INDEX(INDIRECT(Config!$G$1), MATCH($A94, INDIRECT(Config!$H$1), 0), MATCH(AM$1, INDIRECT(Config!$I$1), 0)), "")</f>
        <v/>
      </c>
      <c r="AN94" s="32" t="str">
        <f t="array" ref="AN94">IFERROR(INDEX(INDIRECT(Config!$G$1), MATCH($A94, INDIRECT(Config!$H$1), 0), MATCH(AN$1, INDIRECT(Config!$I$1), 0)), "")</f>
        <v/>
      </c>
      <c r="AO94" s="35" t="str">
        <f t="array" ref="AO94">IFERROR(INDEX(INDIRECT(Config!$G$1), MATCH($A94, INDIRECT(Config!$H$1), 0), MATCH(AO$1, INDIRECT(Config!$I$1), 0)), "")</f>
        <v/>
      </c>
      <c r="AP94" s="32" t="str">
        <f t="array" ref="AP94">IFERROR(INDEX(INDIRECT(Config!$G$1), MATCH($A94, INDIRECT(Config!$H$1), 0), MATCH(AP$1, INDIRECT(Config!$I$1), 0)), "")</f>
        <v/>
      </c>
      <c r="AQ94" s="35" t="str">
        <f t="array" ref="AQ94">IFERROR(INDEX(INDIRECT(Config!$G$1), MATCH($A94, INDIRECT(Config!$H$1), 0), MATCH(AQ$1, INDIRECT(Config!$I$1), 0)), "")</f>
        <v/>
      </c>
      <c r="AR94" s="32" t="str">
        <f t="array" ref="AR94">IFERROR(INDEX(INDIRECT(Config!$G$1), MATCH($A94, INDIRECT(Config!$H$1), 0), MATCH(AR$1, INDIRECT(Config!$I$1), 0)), "")</f>
        <v/>
      </c>
      <c r="AS94" s="35" t="str">
        <f t="array" ref="AS94">IFERROR(INDEX(INDIRECT(Config!$G$1), MATCH($A94, INDIRECT(Config!$H$1), 0), MATCH(AS$1, INDIRECT(Config!$I$1), 0)), "")</f>
        <v/>
      </c>
      <c r="AT94" s="32" t="str">
        <f t="array" ref="AT94">IFERROR(INDEX(INDIRECT(Config!$G$1), MATCH($A94, INDIRECT(Config!$H$1), 0), MATCH(AT$1, INDIRECT(Config!$I$1), 0)), "")</f>
        <v/>
      </c>
      <c r="AU94" s="35" t="str">
        <f t="array" ref="AU94">IFERROR(INDEX(INDIRECT(Config!$G$1), MATCH($A94, INDIRECT(Config!$H$1), 0), MATCH(AU$1, INDIRECT(Config!$I$1), 0)), "")</f>
        <v/>
      </c>
      <c r="AV94" s="32" t="str">
        <f t="array" ref="AV94">IFERROR(INDEX(INDIRECT(Config!$G$1), MATCH($A94, INDIRECT(Config!$H$1), 0), MATCH(AV$1, INDIRECT(Config!$I$1), 0)), "")</f>
        <v/>
      </c>
      <c r="AW94" s="35"/>
      <c r="AX94" s="32"/>
      <c r="AY94" s="35"/>
    </row>
    <row r="95" ht="15.75" hidden="1" customHeight="1">
      <c r="A95" s="12" t="str">
        <f>Menus!B56</f>
        <v/>
      </c>
      <c r="B95" s="51">
        <f t="shared" si="7"/>
        <v>0</v>
      </c>
      <c r="C95" s="33" t="str">
        <f t="array" ref="C95">IFERROR(INDEX(INDIRECT(Config!$G$1), MATCH($A95, INDIRECT(Config!$H$1), 0), MATCH(C$1, INDIRECT(Config!$I$1), 0)), "")</f>
        <v/>
      </c>
      <c r="D95" s="34" t="str">
        <f t="array" ref="D95">IFERROR(INDEX(INDIRECT(Config!$G$1), MATCH($A95, INDIRECT(Config!$H$1), 0), MATCH(D$1, INDIRECT(Config!$I$1), 0)), "")</f>
        <v/>
      </c>
      <c r="E95" s="32" t="str">
        <f t="array" ref="E95">IFERROR(INDEX(INDIRECT(Config!$G$1), MATCH($A95, INDIRECT(Config!$H$1), 0), MATCH(E$1, INDIRECT(Config!$I$1), 0)), "")</f>
        <v/>
      </c>
      <c r="F95" s="35" t="str">
        <f t="array" ref="F95">IFERROR(INDEX(INDIRECT(Config!$G$1), MATCH($A95, INDIRECT(Config!$H$1), 0), MATCH(F$1, INDIRECT(Config!$I$1), 0)), "")</f>
        <v/>
      </c>
      <c r="G95" s="32" t="str">
        <f t="array" ref="G95">IFERROR(INDEX(INDIRECT(Config!$G$1), MATCH($A95, INDIRECT(Config!$H$1), 0), MATCH(G$1, INDIRECT(Config!$I$1), 0)), "")</f>
        <v/>
      </c>
      <c r="H95" s="35" t="str">
        <f t="array" ref="H95">IFERROR(INDEX(INDIRECT(Config!$G$1), MATCH($A95, INDIRECT(Config!$H$1), 0), MATCH(H$1, INDIRECT(Config!$I$1), 0)), "")</f>
        <v/>
      </c>
      <c r="I95" s="32" t="str">
        <f t="array" ref="I95">IFERROR(INDEX(INDIRECT(Config!$G$1), MATCH($A95, INDIRECT(Config!$H$1), 0), MATCH(I$1, INDIRECT(Config!$I$1), 0)), "")</f>
        <v/>
      </c>
      <c r="J95" s="35" t="str">
        <f t="array" ref="J95">IFERROR(INDEX(INDIRECT(Config!$G$1), MATCH($A95, INDIRECT(Config!$H$1), 0), MATCH(J$1, INDIRECT(Config!$I$1), 0)), "")</f>
        <v/>
      </c>
      <c r="K95" s="32" t="str">
        <f t="array" ref="K95">IFERROR(INDEX(INDIRECT(Config!$G$1), MATCH($A95, INDIRECT(Config!$H$1), 0), MATCH(K$1, INDIRECT(Config!$I$1), 0)), "")</f>
        <v/>
      </c>
      <c r="L95" s="35" t="str">
        <f t="array" ref="L95">IFERROR(INDEX(INDIRECT(Config!$G$1), MATCH($A95, INDIRECT(Config!$H$1), 0), MATCH(L$1, INDIRECT(Config!$I$1), 0)), "")</f>
        <v/>
      </c>
      <c r="M95" s="32" t="str">
        <f t="array" ref="M95">IFERROR(INDEX(INDIRECT(Config!$G$1), MATCH($A95, INDIRECT(Config!$H$1), 0), MATCH(M$1, INDIRECT(Config!$I$1), 0)), "")</f>
        <v/>
      </c>
      <c r="N95" s="35" t="str">
        <f t="array" ref="N95">IFERROR(INDEX(INDIRECT(Config!$G$1), MATCH($A95, INDIRECT(Config!$H$1), 0), MATCH(N$1, INDIRECT(Config!$I$1), 0)), "")</f>
        <v/>
      </c>
      <c r="O95" s="32" t="str">
        <f t="array" ref="O95">IFERROR(INDEX(INDIRECT(Config!$G$1), MATCH($A95, INDIRECT(Config!$H$1), 0), MATCH(O$1, INDIRECT(Config!$I$1), 0)), "")</f>
        <v/>
      </c>
      <c r="P95" s="35" t="str">
        <f t="array" ref="P95">IFERROR(INDEX(INDIRECT(Config!$G$1), MATCH($A95, INDIRECT(Config!$H$1), 0), MATCH(P$1, INDIRECT(Config!$I$1), 0)), "")</f>
        <v/>
      </c>
      <c r="Q95" s="32" t="str">
        <f t="array" ref="Q95">IFERROR(INDEX(INDIRECT(Config!$G$1), MATCH($A95, INDIRECT(Config!$H$1), 0), MATCH(Q$1, INDIRECT(Config!$I$1), 0)), "")</f>
        <v/>
      </c>
      <c r="R95" s="35" t="str">
        <f t="array" ref="R95">IFERROR(INDEX(INDIRECT(Config!$G$1), MATCH($A95, INDIRECT(Config!$H$1), 0), MATCH(R$1, INDIRECT(Config!$I$1), 0)), "")</f>
        <v/>
      </c>
      <c r="S95" s="32" t="str">
        <f t="array" ref="S95">IFERROR(INDEX(INDIRECT(Config!$G$1), MATCH($A95, INDIRECT(Config!$H$1), 0), MATCH(S$1, INDIRECT(Config!$I$1), 0)), "")</f>
        <v/>
      </c>
      <c r="T95" s="35" t="str">
        <f t="array" ref="T95">IFERROR(INDEX(INDIRECT(Config!$G$1), MATCH($A95, INDIRECT(Config!$H$1), 0), MATCH(T$1, INDIRECT(Config!$I$1), 0)), "")</f>
        <v/>
      </c>
      <c r="U95" s="32" t="str">
        <f t="array" ref="U95">IFERROR(INDEX(INDIRECT(Config!$G$1), MATCH($A95, INDIRECT(Config!$H$1), 0), MATCH(U$1, INDIRECT(Config!$I$1), 0)), "")</f>
        <v/>
      </c>
      <c r="V95" s="35" t="str">
        <f t="array" ref="V95">IFERROR(INDEX(INDIRECT(Config!$G$1), MATCH($A95, INDIRECT(Config!$H$1), 0), MATCH(V$1, INDIRECT(Config!$I$1), 0)), "")</f>
        <v/>
      </c>
      <c r="W95" s="32" t="str">
        <f t="array" ref="W95">IFERROR(INDEX(INDIRECT(Config!$G$1), MATCH($A95, INDIRECT(Config!$H$1), 0), MATCH(W$1, INDIRECT(Config!$I$1), 0)), "")</f>
        <v/>
      </c>
      <c r="X95" s="35" t="str">
        <f t="array" ref="X95">IFERROR(INDEX(INDIRECT(Config!$G$1), MATCH($A95, INDIRECT(Config!$H$1), 0), MATCH(X$1, INDIRECT(Config!$I$1), 0)), "")</f>
        <v/>
      </c>
      <c r="Y95" s="32" t="str">
        <f t="array" ref="Y95">IFERROR(INDEX(INDIRECT(Config!$G$1), MATCH($A95, INDIRECT(Config!$H$1), 0), MATCH(Y$1, INDIRECT(Config!$I$1), 0)), "")</f>
        <v/>
      </c>
      <c r="Z95" s="32" t="str">
        <f t="array" ref="Z95">IFERROR(INDEX(INDIRECT(Config!$G$1), MATCH($A95, INDIRECT(Config!$H$1), 0), MATCH(Z$1, INDIRECT(Config!$I$1), 0)), "")</f>
        <v/>
      </c>
      <c r="AA95" s="35" t="str">
        <f t="array" ref="AA95">IFERROR(INDEX(INDIRECT(Config!$G$1), MATCH($A95, INDIRECT(Config!$H$1), 0), MATCH(AA$1, INDIRECT(Config!$I$1), 0)), "")</f>
        <v/>
      </c>
      <c r="AB95" s="32" t="str">
        <f t="array" ref="AB95">IFERROR(INDEX(INDIRECT(Config!$G$1), MATCH($A95, INDIRECT(Config!$H$1), 0), MATCH(AB$1, INDIRECT(Config!$I$1), 0)), "")</f>
        <v/>
      </c>
      <c r="AC95" s="35" t="str">
        <f t="array" ref="AC95">IFERROR(INDEX(INDIRECT(Config!$G$1), MATCH($A95, INDIRECT(Config!$H$1), 0), MATCH(AC$1, INDIRECT(Config!$I$1), 0)), "")</f>
        <v/>
      </c>
      <c r="AD95" s="32" t="str">
        <f t="array" ref="AD95">IFERROR(INDEX(INDIRECT(Config!$G$1), MATCH($A95, INDIRECT(Config!$H$1), 0), MATCH(AD$1, INDIRECT(Config!$I$1), 0)), "")</f>
        <v/>
      </c>
      <c r="AE95" s="35" t="str">
        <f t="array" ref="AE95">IFERROR(INDEX(INDIRECT(Config!$G$1), MATCH($A95, INDIRECT(Config!$H$1), 0), MATCH(AE$1, INDIRECT(Config!$I$1), 0)), "")</f>
        <v/>
      </c>
      <c r="AF95" s="32" t="str">
        <f t="array" ref="AF95">IFERROR(INDEX(INDIRECT(Config!$G$1), MATCH($A95, INDIRECT(Config!$H$1), 0), MATCH(AF$1, INDIRECT(Config!$I$1), 0)), "")</f>
        <v/>
      </c>
      <c r="AG95" s="35" t="str">
        <f t="array" ref="AG95">IFERROR(INDEX(INDIRECT(Config!$G$1), MATCH($A95, INDIRECT(Config!$H$1), 0), MATCH(AG$1, INDIRECT(Config!$I$1), 0)), "")</f>
        <v/>
      </c>
      <c r="AH95" s="32" t="str">
        <f t="array" ref="AH95">IFERROR(INDEX(INDIRECT(Config!$G$1), MATCH($A95, INDIRECT(Config!$H$1), 0), MATCH(AH$1, INDIRECT(Config!$I$1), 0)), "")</f>
        <v/>
      </c>
      <c r="AI95" s="35" t="str">
        <f t="array" ref="AI95">IFERROR(INDEX(INDIRECT(Config!$G$1), MATCH($A95, INDIRECT(Config!$H$1), 0), MATCH(AI$1, INDIRECT(Config!$I$1), 0)), "")</f>
        <v/>
      </c>
      <c r="AJ95" s="32" t="str">
        <f t="array" ref="AJ95">IFERROR(INDEX(INDIRECT(Config!$G$1), MATCH($A95, INDIRECT(Config!$H$1), 0), MATCH(AJ$1, INDIRECT(Config!$I$1), 0)), "")</f>
        <v/>
      </c>
      <c r="AK95" s="35" t="str">
        <f t="array" ref="AK95">IFERROR(INDEX(INDIRECT(Config!$G$1), MATCH($A95, INDIRECT(Config!$H$1), 0), MATCH(AK$1, INDIRECT(Config!$I$1), 0)), "")</f>
        <v/>
      </c>
      <c r="AL95" s="32" t="str">
        <f t="array" ref="AL95">IFERROR(INDEX(INDIRECT(Config!$G$1), MATCH($A95, INDIRECT(Config!$H$1), 0), MATCH(AL$1, INDIRECT(Config!$I$1), 0)), "")</f>
        <v/>
      </c>
      <c r="AM95" s="35" t="str">
        <f t="array" ref="AM95">IFERROR(INDEX(INDIRECT(Config!$G$1), MATCH($A95, INDIRECT(Config!$H$1), 0), MATCH(AM$1, INDIRECT(Config!$I$1), 0)), "")</f>
        <v/>
      </c>
      <c r="AN95" s="32" t="str">
        <f t="array" ref="AN95">IFERROR(INDEX(INDIRECT(Config!$G$1), MATCH($A95, INDIRECT(Config!$H$1), 0), MATCH(AN$1, INDIRECT(Config!$I$1), 0)), "")</f>
        <v/>
      </c>
      <c r="AO95" s="35" t="str">
        <f t="array" ref="AO95">IFERROR(INDEX(INDIRECT(Config!$G$1), MATCH($A95, INDIRECT(Config!$H$1), 0), MATCH(AO$1, INDIRECT(Config!$I$1), 0)), "")</f>
        <v/>
      </c>
      <c r="AP95" s="32" t="str">
        <f t="array" ref="AP95">IFERROR(INDEX(INDIRECT(Config!$G$1), MATCH($A95, INDIRECT(Config!$H$1), 0), MATCH(AP$1, INDIRECT(Config!$I$1), 0)), "")</f>
        <v/>
      </c>
      <c r="AQ95" s="35" t="str">
        <f t="array" ref="AQ95">IFERROR(INDEX(INDIRECT(Config!$G$1), MATCH($A95, INDIRECT(Config!$H$1), 0), MATCH(AQ$1, INDIRECT(Config!$I$1), 0)), "")</f>
        <v/>
      </c>
      <c r="AR95" s="32" t="str">
        <f t="array" ref="AR95">IFERROR(INDEX(INDIRECT(Config!$G$1), MATCH($A95, INDIRECT(Config!$H$1), 0), MATCH(AR$1, INDIRECT(Config!$I$1), 0)), "")</f>
        <v/>
      </c>
      <c r="AS95" s="35" t="str">
        <f t="array" ref="AS95">IFERROR(INDEX(INDIRECT(Config!$G$1), MATCH($A95, INDIRECT(Config!$H$1), 0), MATCH(AS$1, INDIRECT(Config!$I$1), 0)), "")</f>
        <v/>
      </c>
      <c r="AT95" s="32" t="str">
        <f t="array" ref="AT95">IFERROR(INDEX(INDIRECT(Config!$G$1), MATCH($A95, INDIRECT(Config!$H$1), 0), MATCH(AT$1, INDIRECT(Config!$I$1), 0)), "")</f>
        <v/>
      </c>
      <c r="AU95" s="35" t="str">
        <f t="array" ref="AU95">IFERROR(INDEX(INDIRECT(Config!$G$1), MATCH($A95, INDIRECT(Config!$H$1), 0), MATCH(AU$1, INDIRECT(Config!$I$1), 0)), "")</f>
        <v/>
      </c>
      <c r="AV95" s="32" t="str">
        <f t="array" ref="AV95">IFERROR(INDEX(INDIRECT(Config!$G$1), MATCH($A95, INDIRECT(Config!$H$1), 0), MATCH(AV$1, INDIRECT(Config!$I$1), 0)), "")</f>
        <v/>
      </c>
      <c r="AW95" s="35"/>
      <c r="AX95" s="32"/>
      <c r="AY95" s="35"/>
    </row>
    <row r="96" ht="15.75" hidden="1" customHeight="1">
      <c r="A96" s="12" t="str">
        <f>Menus!B57</f>
        <v/>
      </c>
      <c r="B96" s="51">
        <f t="shared" si="7"/>
        <v>0</v>
      </c>
      <c r="C96" s="33" t="str">
        <f t="array" ref="C96">IFERROR(INDEX(INDIRECT(Config!$G$1), MATCH($A96, INDIRECT(Config!$H$1), 0), MATCH(C$1, INDIRECT(Config!$I$1), 0)), "")</f>
        <v/>
      </c>
      <c r="D96" s="34" t="str">
        <f t="array" ref="D96">IFERROR(INDEX(INDIRECT(Config!$G$1), MATCH($A96, INDIRECT(Config!$H$1), 0), MATCH(D$1, INDIRECT(Config!$I$1), 0)), "")</f>
        <v/>
      </c>
      <c r="E96" s="32" t="str">
        <f t="array" ref="E96">IFERROR(INDEX(INDIRECT(Config!$G$1), MATCH($A96, INDIRECT(Config!$H$1), 0), MATCH(E$1, INDIRECT(Config!$I$1), 0)), "")</f>
        <v/>
      </c>
      <c r="F96" s="35" t="str">
        <f t="array" ref="F96">IFERROR(INDEX(INDIRECT(Config!$G$1), MATCH($A96, INDIRECT(Config!$H$1), 0), MATCH(F$1, INDIRECT(Config!$I$1), 0)), "")</f>
        <v/>
      </c>
      <c r="G96" s="32" t="str">
        <f t="array" ref="G96">IFERROR(INDEX(INDIRECT(Config!$G$1), MATCH($A96, INDIRECT(Config!$H$1), 0), MATCH(G$1, INDIRECT(Config!$I$1), 0)), "")</f>
        <v/>
      </c>
      <c r="H96" s="35" t="str">
        <f t="array" ref="H96">IFERROR(INDEX(INDIRECT(Config!$G$1), MATCH($A96, INDIRECT(Config!$H$1), 0), MATCH(H$1, INDIRECT(Config!$I$1), 0)), "")</f>
        <v/>
      </c>
      <c r="I96" s="32" t="str">
        <f t="array" ref="I96">IFERROR(INDEX(INDIRECT(Config!$G$1), MATCH($A96, INDIRECT(Config!$H$1), 0), MATCH(I$1, INDIRECT(Config!$I$1), 0)), "")</f>
        <v/>
      </c>
      <c r="J96" s="35" t="str">
        <f t="array" ref="J96">IFERROR(INDEX(INDIRECT(Config!$G$1), MATCH($A96, INDIRECT(Config!$H$1), 0), MATCH(J$1, INDIRECT(Config!$I$1), 0)), "")</f>
        <v/>
      </c>
      <c r="K96" s="32" t="str">
        <f t="array" ref="K96">IFERROR(INDEX(INDIRECT(Config!$G$1), MATCH($A96, INDIRECT(Config!$H$1), 0), MATCH(K$1, INDIRECT(Config!$I$1), 0)), "")</f>
        <v/>
      </c>
      <c r="L96" s="35" t="str">
        <f t="array" ref="L96">IFERROR(INDEX(INDIRECT(Config!$G$1), MATCH($A96, INDIRECT(Config!$H$1), 0), MATCH(L$1, INDIRECT(Config!$I$1), 0)), "")</f>
        <v/>
      </c>
      <c r="M96" s="32" t="str">
        <f t="array" ref="M96">IFERROR(INDEX(INDIRECT(Config!$G$1), MATCH($A96, INDIRECT(Config!$H$1), 0), MATCH(M$1, INDIRECT(Config!$I$1), 0)), "")</f>
        <v/>
      </c>
      <c r="N96" s="35" t="str">
        <f t="array" ref="N96">IFERROR(INDEX(INDIRECT(Config!$G$1), MATCH($A96, INDIRECT(Config!$H$1), 0), MATCH(N$1, INDIRECT(Config!$I$1), 0)), "")</f>
        <v/>
      </c>
      <c r="O96" s="32" t="str">
        <f t="array" ref="O96">IFERROR(INDEX(INDIRECT(Config!$G$1), MATCH($A96, INDIRECT(Config!$H$1), 0), MATCH(O$1, INDIRECT(Config!$I$1), 0)), "")</f>
        <v/>
      </c>
      <c r="P96" s="35" t="str">
        <f t="array" ref="P96">IFERROR(INDEX(INDIRECT(Config!$G$1), MATCH($A96, INDIRECT(Config!$H$1), 0), MATCH(P$1, INDIRECT(Config!$I$1), 0)), "")</f>
        <v/>
      </c>
      <c r="Q96" s="32" t="str">
        <f t="array" ref="Q96">IFERROR(INDEX(INDIRECT(Config!$G$1), MATCH($A96, INDIRECT(Config!$H$1), 0), MATCH(Q$1, INDIRECT(Config!$I$1), 0)), "")</f>
        <v/>
      </c>
      <c r="R96" s="35" t="str">
        <f t="array" ref="R96">IFERROR(INDEX(INDIRECT(Config!$G$1), MATCH($A96, INDIRECT(Config!$H$1), 0), MATCH(R$1, INDIRECT(Config!$I$1), 0)), "")</f>
        <v/>
      </c>
      <c r="S96" s="32" t="str">
        <f t="array" ref="S96">IFERROR(INDEX(INDIRECT(Config!$G$1), MATCH($A96, INDIRECT(Config!$H$1), 0), MATCH(S$1, INDIRECT(Config!$I$1), 0)), "")</f>
        <v/>
      </c>
      <c r="T96" s="35" t="str">
        <f t="array" ref="T96">IFERROR(INDEX(INDIRECT(Config!$G$1), MATCH($A96, INDIRECT(Config!$H$1), 0), MATCH(T$1, INDIRECT(Config!$I$1), 0)), "")</f>
        <v/>
      </c>
      <c r="U96" s="32" t="str">
        <f t="array" ref="U96">IFERROR(INDEX(INDIRECT(Config!$G$1), MATCH($A96, INDIRECT(Config!$H$1), 0), MATCH(U$1, INDIRECT(Config!$I$1), 0)), "")</f>
        <v/>
      </c>
      <c r="V96" s="35" t="str">
        <f t="array" ref="V96">IFERROR(INDEX(INDIRECT(Config!$G$1), MATCH($A96, INDIRECT(Config!$H$1), 0), MATCH(V$1, INDIRECT(Config!$I$1), 0)), "")</f>
        <v/>
      </c>
      <c r="W96" s="32" t="str">
        <f t="array" ref="W96">IFERROR(INDEX(INDIRECT(Config!$G$1), MATCH($A96, INDIRECT(Config!$H$1), 0), MATCH(W$1, INDIRECT(Config!$I$1), 0)), "")</f>
        <v/>
      </c>
      <c r="X96" s="35" t="str">
        <f t="array" ref="X96">IFERROR(INDEX(INDIRECT(Config!$G$1), MATCH($A96, INDIRECT(Config!$H$1), 0), MATCH(X$1, INDIRECT(Config!$I$1), 0)), "")</f>
        <v/>
      </c>
      <c r="Y96" s="32" t="str">
        <f t="array" ref="Y96">IFERROR(INDEX(INDIRECT(Config!$G$1), MATCH($A96, INDIRECT(Config!$H$1), 0), MATCH(Y$1, INDIRECT(Config!$I$1), 0)), "")</f>
        <v/>
      </c>
      <c r="Z96" s="32" t="str">
        <f t="array" ref="Z96">IFERROR(INDEX(INDIRECT(Config!$G$1), MATCH($A96, INDIRECT(Config!$H$1), 0), MATCH(Z$1, INDIRECT(Config!$I$1), 0)), "")</f>
        <v/>
      </c>
      <c r="AA96" s="35" t="str">
        <f t="array" ref="AA96">IFERROR(INDEX(INDIRECT(Config!$G$1), MATCH($A96, INDIRECT(Config!$H$1), 0), MATCH(AA$1, INDIRECT(Config!$I$1), 0)), "")</f>
        <v/>
      </c>
      <c r="AB96" s="32" t="str">
        <f t="array" ref="AB96">IFERROR(INDEX(INDIRECT(Config!$G$1), MATCH($A96, INDIRECT(Config!$H$1), 0), MATCH(AB$1, INDIRECT(Config!$I$1), 0)), "")</f>
        <v/>
      </c>
      <c r="AC96" s="35" t="str">
        <f t="array" ref="AC96">IFERROR(INDEX(INDIRECT(Config!$G$1), MATCH($A96, INDIRECT(Config!$H$1), 0), MATCH(AC$1, INDIRECT(Config!$I$1), 0)), "")</f>
        <v/>
      </c>
      <c r="AD96" s="32" t="str">
        <f t="array" ref="AD96">IFERROR(INDEX(INDIRECT(Config!$G$1), MATCH($A96, INDIRECT(Config!$H$1), 0), MATCH(AD$1, INDIRECT(Config!$I$1), 0)), "")</f>
        <v/>
      </c>
      <c r="AE96" s="35" t="str">
        <f t="array" ref="AE96">IFERROR(INDEX(INDIRECT(Config!$G$1), MATCH($A96, INDIRECT(Config!$H$1), 0), MATCH(AE$1, INDIRECT(Config!$I$1), 0)), "")</f>
        <v/>
      </c>
      <c r="AF96" s="32" t="str">
        <f t="array" ref="AF96">IFERROR(INDEX(INDIRECT(Config!$G$1), MATCH($A96, INDIRECT(Config!$H$1), 0), MATCH(AF$1, INDIRECT(Config!$I$1), 0)), "")</f>
        <v/>
      </c>
      <c r="AG96" s="35" t="str">
        <f t="array" ref="AG96">IFERROR(INDEX(INDIRECT(Config!$G$1), MATCH($A96, INDIRECT(Config!$H$1), 0), MATCH(AG$1, INDIRECT(Config!$I$1), 0)), "")</f>
        <v/>
      </c>
      <c r="AH96" s="32" t="str">
        <f t="array" ref="AH96">IFERROR(INDEX(INDIRECT(Config!$G$1), MATCH($A96, INDIRECT(Config!$H$1), 0), MATCH(AH$1, INDIRECT(Config!$I$1), 0)), "")</f>
        <v/>
      </c>
      <c r="AI96" s="35" t="str">
        <f t="array" ref="AI96">IFERROR(INDEX(INDIRECT(Config!$G$1), MATCH($A96, INDIRECT(Config!$H$1), 0), MATCH(AI$1, INDIRECT(Config!$I$1), 0)), "")</f>
        <v/>
      </c>
      <c r="AJ96" s="32" t="str">
        <f t="array" ref="AJ96">IFERROR(INDEX(INDIRECT(Config!$G$1), MATCH($A96, INDIRECT(Config!$H$1), 0), MATCH(AJ$1, INDIRECT(Config!$I$1), 0)), "")</f>
        <v/>
      </c>
      <c r="AK96" s="35" t="str">
        <f t="array" ref="AK96">IFERROR(INDEX(INDIRECT(Config!$G$1), MATCH($A96, INDIRECT(Config!$H$1), 0), MATCH(AK$1, INDIRECT(Config!$I$1), 0)), "")</f>
        <v/>
      </c>
      <c r="AL96" s="32" t="str">
        <f t="array" ref="AL96">IFERROR(INDEX(INDIRECT(Config!$G$1), MATCH($A96, INDIRECT(Config!$H$1), 0), MATCH(AL$1, INDIRECT(Config!$I$1), 0)), "")</f>
        <v/>
      </c>
      <c r="AM96" s="35" t="str">
        <f t="array" ref="AM96">IFERROR(INDEX(INDIRECT(Config!$G$1), MATCH($A96, INDIRECT(Config!$H$1), 0), MATCH(AM$1, INDIRECT(Config!$I$1), 0)), "")</f>
        <v/>
      </c>
      <c r="AN96" s="32" t="str">
        <f t="array" ref="AN96">IFERROR(INDEX(INDIRECT(Config!$G$1), MATCH($A96, INDIRECT(Config!$H$1), 0), MATCH(AN$1, INDIRECT(Config!$I$1), 0)), "")</f>
        <v/>
      </c>
      <c r="AO96" s="35" t="str">
        <f t="array" ref="AO96">IFERROR(INDEX(INDIRECT(Config!$G$1), MATCH($A96, INDIRECT(Config!$H$1), 0), MATCH(AO$1, INDIRECT(Config!$I$1), 0)), "")</f>
        <v/>
      </c>
      <c r="AP96" s="32" t="str">
        <f t="array" ref="AP96">IFERROR(INDEX(INDIRECT(Config!$G$1), MATCH($A96, INDIRECT(Config!$H$1), 0), MATCH(AP$1, INDIRECT(Config!$I$1), 0)), "")</f>
        <v/>
      </c>
      <c r="AQ96" s="35" t="str">
        <f t="array" ref="AQ96">IFERROR(INDEX(INDIRECT(Config!$G$1), MATCH($A96, INDIRECT(Config!$H$1), 0), MATCH(AQ$1, INDIRECT(Config!$I$1), 0)), "")</f>
        <v/>
      </c>
      <c r="AR96" s="32" t="str">
        <f t="array" ref="AR96">IFERROR(INDEX(INDIRECT(Config!$G$1), MATCH($A96, INDIRECT(Config!$H$1), 0), MATCH(AR$1, INDIRECT(Config!$I$1), 0)), "")</f>
        <v/>
      </c>
      <c r="AS96" s="35" t="str">
        <f t="array" ref="AS96">IFERROR(INDEX(INDIRECT(Config!$G$1), MATCH($A96, INDIRECT(Config!$H$1), 0), MATCH(AS$1, INDIRECT(Config!$I$1), 0)), "")</f>
        <v/>
      </c>
      <c r="AT96" s="32" t="str">
        <f t="array" ref="AT96">IFERROR(INDEX(INDIRECT(Config!$G$1), MATCH($A96, INDIRECT(Config!$H$1), 0), MATCH(AT$1, INDIRECT(Config!$I$1), 0)), "")</f>
        <v/>
      </c>
      <c r="AU96" s="35" t="str">
        <f t="array" ref="AU96">IFERROR(INDEX(INDIRECT(Config!$G$1), MATCH($A96, INDIRECT(Config!$H$1), 0), MATCH(AU$1, INDIRECT(Config!$I$1), 0)), "")</f>
        <v/>
      </c>
      <c r="AV96" s="32" t="str">
        <f t="array" ref="AV96">IFERROR(INDEX(INDIRECT(Config!$G$1), MATCH($A96, INDIRECT(Config!$H$1), 0), MATCH(AV$1, INDIRECT(Config!$I$1), 0)), "")</f>
        <v/>
      </c>
      <c r="AW96" s="35"/>
      <c r="AX96" s="32"/>
      <c r="AY96" s="35"/>
    </row>
    <row r="97" ht="15.75" hidden="1" customHeight="1">
      <c r="A97" s="12" t="str">
        <f>Menus!B58</f>
        <v/>
      </c>
      <c r="B97" s="51">
        <f t="shared" si="7"/>
        <v>0</v>
      </c>
      <c r="C97" s="33" t="str">
        <f t="array" ref="C97">IFERROR(INDEX(INDIRECT(Config!$G$1), MATCH($A97, INDIRECT(Config!$H$1), 0), MATCH(C$1, INDIRECT(Config!$I$1), 0)), "")</f>
        <v/>
      </c>
      <c r="D97" s="34" t="str">
        <f t="array" ref="D97">IFERROR(INDEX(INDIRECT(Config!$G$1), MATCH($A97, INDIRECT(Config!$H$1), 0), MATCH(D$1, INDIRECT(Config!$I$1), 0)), "")</f>
        <v/>
      </c>
      <c r="E97" s="32" t="str">
        <f t="array" ref="E97">IFERROR(INDEX(INDIRECT(Config!$G$1), MATCH($A97, INDIRECT(Config!$H$1), 0), MATCH(E$1, INDIRECT(Config!$I$1), 0)), "")</f>
        <v/>
      </c>
      <c r="F97" s="35" t="str">
        <f t="array" ref="F97">IFERROR(INDEX(INDIRECT(Config!$G$1), MATCH($A97, INDIRECT(Config!$H$1), 0), MATCH(F$1, INDIRECT(Config!$I$1), 0)), "")</f>
        <v/>
      </c>
      <c r="G97" s="32" t="str">
        <f t="array" ref="G97">IFERROR(INDEX(INDIRECT(Config!$G$1), MATCH($A97, INDIRECT(Config!$H$1), 0), MATCH(G$1, INDIRECT(Config!$I$1), 0)), "")</f>
        <v/>
      </c>
      <c r="H97" s="35" t="str">
        <f t="array" ref="H97">IFERROR(INDEX(INDIRECT(Config!$G$1), MATCH($A97, INDIRECT(Config!$H$1), 0), MATCH(H$1, INDIRECT(Config!$I$1), 0)), "")</f>
        <v/>
      </c>
      <c r="I97" s="32" t="str">
        <f t="array" ref="I97">IFERROR(INDEX(INDIRECT(Config!$G$1), MATCH($A97, INDIRECT(Config!$H$1), 0), MATCH(I$1, INDIRECT(Config!$I$1), 0)), "")</f>
        <v/>
      </c>
      <c r="J97" s="35" t="str">
        <f t="array" ref="J97">IFERROR(INDEX(INDIRECT(Config!$G$1), MATCH($A97, INDIRECT(Config!$H$1), 0), MATCH(J$1, INDIRECT(Config!$I$1), 0)), "")</f>
        <v/>
      </c>
      <c r="K97" s="32" t="str">
        <f t="array" ref="K97">IFERROR(INDEX(INDIRECT(Config!$G$1), MATCH($A97, INDIRECT(Config!$H$1), 0), MATCH(K$1, INDIRECT(Config!$I$1), 0)), "")</f>
        <v/>
      </c>
      <c r="L97" s="35" t="str">
        <f t="array" ref="L97">IFERROR(INDEX(INDIRECT(Config!$G$1), MATCH($A97, INDIRECT(Config!$H$1), 0), MATCH(L$1, INDIRECT(Config!$I$1), 0)), "")</f>
        <v/>
      </c>
      <c r="M97" s="32" t="str">
        <f t="array" ref="M97">IFERROR(INDEX(INDIRECT(Config!$G$1), MATCH($A97, INDIRECT(Config!$H$1), 0), MATCH(M$1, INDIRECT(Config!$I$1), 0)), "")</f>
        <v/>
      </c>
      <c r="N97" s="35" t="str">
        <f t="array" ref="N97">IFERROR(INDEX(INDIRECT(Config!$G$1), MATCH($A97, INDIRECT(Config!$H$1), 0), MATCH(N$1, INDIRECT(Config!$I$1), 0)), "")</f>
        <v/>
      </c>
      <c r="O97" s="32" t="str">
        <f t="array" ref="O97">IFERROR(INDEX(INDIRECT(Config!$G$1), MATCH($A97, INDIRECT(Config!$H$1), 0), MATCH(O$1, INDIRECT(Config!$I$1), 0)), "")</f>
        <v/>
      </c>
      <c r="P97" s="35" t="str">
        <f t="array" ref="P97">IFERROR(INDEX(INDIRECT(Config!$G$1), MATCH($A97, INDIRECT(Config!$H$1), 0), MATCH(P$1, INDIRECT(Config!$I$1), 0)), "")</f>
        <v/>
      </c>
      <c r="Q97" s="32" t="str">
        <f t="array" ref="Q97">IFERROR(INDEX(INDIRECT(Config!$G$1), MATCH($A97, INDIRECT(Config!$H$1), 0), MATCH(Q$1, INDIRECT(Config!$I$1), 0)), "")</f>
        <v/>
      </c>
      <c r="R97" s="35" t="str">
        <f t="array" ref="R97">IFERROR(INDEX(INDIRECT(Config!$G$1), MATCH($A97, INDIRECT(Config!$H$1), 0), MATCH(R$1, INDIRECT(Config!$I$1), 0)), "")</f>
        <v/>
      </c>
      <c r="S97" s="32" t="str">
        <f t="array" ref="S97">IFERROR(INDEX(INDIRECT(Config!$G$1), MATCH($A97, INDIRECT(Config!$H$1), 0), MATCH(S$1, INDIRECT(Config!$I$1), 0)), "")</f>
        <v/>
      </c>
      <c r="T97" s="35" t="str">
        <f t="array" ref="T97">IFERROR(INDEX(INDIRECT(Config!$G$1), MATCH($A97, INDIRECT(Config!$H$1), 0), MATCH(T$1, INDIRECT(Config!$I$1), 0)), "")</f>
        <v/>
      </c>
      <c r="U97" s="32" t="str">
        <f t="array" ref="U97">IFERROR(INDEX(INDIRECT(Config!$G$1), MATCH($A97, INDIRECT(Config!$H$1), 0), MATCH(U$1, INDIRECT(Config!$I$1), 0)), "")</f>
        <v/>
      </c>
      <c r="V97" s="35" t="str">
        <f t="array" ref="V97">IFERROR(INDEX(INDIRECT(Config!$G$1), MATCH($A97, INDIRECT(Config!$H$1), 0), MATCH(V$1, INDIRECT(Config!$I$1), 0)), "")</f>
        <v/>
      </c>
      <c r="W97" s="32" t="str">
        <f t="array" ref="W97">IFERROR(INDEX(INDIRECT(Config!$G$1), MATCH($A97, INDIRECT(Config!$H$1), 0), MATCH(W$1, INDIRECT(Config!$I$1), 0)), "")</f>
        <v/>
      </c>
      <c r="X97" s="35" t="str">
        <f t="array" ref="X97">IFERROR(INDEX(INDIRECT(Config!$G$1), MATCH($A97, INDIRECT(Config!$H$1), 0), MATCH(X$1, INDIRECT(Config!$I$1), 0)), "")</f>
        <v/>
      </c>
      <c r="Y97" s="32" t="str">
        <f t="array" ref="Y97">IFERROR(INDEX(INDIRECT(Config!$G$1), MATCH($A97, INDIRECT(Config!$H$1), 0), MATCH(Y$1, INDIRECT(Config!$I$1), 0)), "")</f>
        <v/>
      </c>
      <c r="Z97" s="32" t="str">
        <f t="array" ref="Z97">IFERROR(INDEX(INDIRECT(Config!$G$1), MATCH($A97, INDIRECT(Config!$H$1), 0), MATCH(Z$1, INDIRECT(Config!$I$1), 0)), "")</f>
        <v/>
      </c>
      <c r="AA97" s="35" t="str">
        <f t="array" ref="AA97">IFERROR(INDEX(INDIRECT(Config!$G$1), MATCH($A97, INDIRECT(Config!$H$1), 0), MATCH(AA$1, INDIRECT(Config!$I$1), 0)), "")</f>
        <v/>
      </c>
      <c r="AB97" s="32" t="str">
        <f t="array" ref="AB97">IFERROR(INDEX(INDIRECT(Config!$G$1), MATCH($A97, INDIRECT(Config!$H$1), 0), MATCH(AB$1, INDIRECT(Config!$I$1), 0)), "")</f>
        <v/>
      </c>
      <c r="AC97" s="35" t="str">
        <f t="array" ref="AC97">IFERROR(INDEX(INDIRECT(Config!$G$1), MATCH($A97, INDIRECT(Config!$H$1), 0), MATCH(AC$1, INDIRECT(Config!$I$1), 0)), "")</f>
        <v/>
      </c>
      <c r="AD97" s="32" t="str">
        <f t="array" ref="AD97">IFERROR(INDEX(INDIRECT(Config!$G$1), MATCH($A97, INDIRECT(Config!$H$1), 0), MATCH(AD$1, INDIRECT(Config!$I$1), 0)), "")</f>
        <v/>
      </c>
      <c r="AE97" s="35" t="str">
        <f t="array" ref="AE97">IFERROR(INDEX(INDIRECT(Config!$G$1), MATCH($A97, INDIRECT(Config!$H$1), 0), MATCH(AE$1, INDIRECT(Config!$I$1), 0)), "")</f>
        <v/>
      </c>
      <c r="AF97" s="32" t="str">
        <f t="array" ref="AF97">IFERROR(INDEX(INDIRECT(Config!$G$1), MATCH($A97, INDIRECT(Config!$H$1), 0), MATCH(AF$1, INDIRECT(Config!$I$1), 0)), "")</f>
        <v/>
      </c>
      <c r="AG97" s="35" t="str">
        <f t="array" ref="AG97">IFERROR(INDEX(INDIRECT(Config!$G$1), MATCH($A97, INDIRECT(Config!$H$1), 0), MATCH(AG$1, INDIRECT(Config!$I$1), 0)), "")</f>
        <v/>
      </c>
      <c r="AH97" s="32" t="str">
        <f t="array" ref="AH97">IFERROR(INDEX(INDIRECT(Config!$G$1), MATCH($A97, INDIRECT(Config!$H$1), 0), MATCH(AH$1, INDIRECT(Config!$I$1), 0)), "")</f>
        <v/>
      </c>
      <c r="AI97" s="35" t="str">
        <f t="array" ref="AI97">IFERROR(INDEX(INDIRECT(Config!$G$1), MATCH($A97, INDIRECT(Config!$H$1), 0), MATCH(AI$1, INDIRECT(Config!$I$1), 0)), "")</f>
        <v/>
      </c>
      <c r="AJ97" s="32" t="str">
        <f t="array" ref="AJ97">IFERROR(INDEX(INDIRECT(Config!$G$1), MATCH($A97, INDIRECT(Config!$H$1), 0), MATCH(AJ$1, INDIRECT(Config!$I$1), 0)), "")</f>
        <v/>
      </c>
      <c r="AK97" s="35" t="str">
        <f t="array" ref="AK97">IFERROR(INDEX(INDIRECT(Config!$G$1), MATCH($A97, INDIRECT(Config!$H$1), 0), MATCH(AK$1, INDIRECT(Config!$I$1), 0)), "")</f>
        <v/>
      </c>
      <c r="AL97" s="32" t="str">
        <f t="array" ref="AL97">IFERROR(INDEX(INDIRECT(Config!$G$1), MATCH($A97, INDIRECT(Config!$H$1), 0), MATCH(AL$1, INDIRECT(Config!$I$1), 0)), "")</f>
        <v/>
      </c>
      <c r="AM97" s="35" t="str">
        <f t="array" ref="AM97">IFERROR(INDEX(INDIRECT(Config!$G$1), MATCH($A97, INDIRECT(Config!$H$1), 0), MATCH(AM$1, INDIRECT(Config!$I$1), 0)), "")</f>
        <v/>
      </c>
      <c r="AN97" s="32" t="str">
        <f t="array" ref="AN97">IFERROR(INDEX(INDIRECT(Config!$G$1), MATCH($A97, INDIRECT(Config!$H$1), 0), MATCH(AN$1, INDIRECT(Config!$I$1), 0)), "")</f>
        <v/>
      </c>
      <c r="AO97" s="35" t="str">
        <f t="array" ref="AO97">IFERROR(INDEX(INDIRECT(Config!$G$1), MATCH($A97, INDIRECT(Config!$H$1), 0), MATCH(AO$1, INDIRECT(Config!$I$1), 0)), "")</f>
        <v/>
      </c>
      <c r="AP97" s="32" t="str">
        <f t="array" ref="AP97">IFERROR(INDEX(INDIRECT(Config!$G$1), MATCH($A97, INDIRECT(Config!$H$1), 0), MATCH(AP$1, INDIRECT(Config!$I$1), 0)), "")</f>
        <v/>
      </c>
      <c r="AQ97" s="35" t="str">
        <f t="array" ref="AQ97">IFERROR(INDEX(INDIRECT(Config!$G$1), MATCH($A97, INDIRECT(Config!$H$1), 0), MATCH(AQ$1, INDIRECT(Config!$I$1), 0)), "")</f>
        <v/>
      </c>
      <c r="AR97" s="32" t="str">
        <f t="array" ref="AR97">IFERROR(INDEX(INDIRECT(Config!$G$1), MATCH($A97, INDIRECT(Config!$H$1), 0), MATCH(AR$1, INDIRECT(Config!$I$1), 0)), "")</f>
        <v/>
      </c>
      <c r="AS97" s="35" t="str">
        <f t="array" ref="AS97">IFERROR(INDEX(INDIRECT(Config!$G$1), MATCH($A97, INDIRECT(Config!$H$1), 0), MATCH(AS$1, INDIRECT(Config!$I$1), 0)), "")</f>
        <v/>
      </c>
      <c r="AT97" s="32" t="str">
        <f t="array" ref="AT97">IFERROR(INDEX(INDIRECT(Config!$G$1), MATCH($A97, INDIRECT(Config!$H$1), 0), MATCH(AT$1, INDIRECT(Config!$I$1), 0)), "")</f>
        <v/>
      </c>
      <c r="AU97" s="35" t="str">
        <f t="array" ref="AU97">IFERROR(INDEX(INDIRECT(Config!$G$1), MATCH($A97, INDIRECT(Config!$H$1), 0), MATCH(AU$1, INDIRECT(Config!$I$1), 0)), "")</f>
        <v/>
      </c>
      <c r="AV97" s="32" t="str">
        <f t="array" ref="AV97">IFERROR(INDEX(INDIRECT(Config!$G$1), MATCH($A97, INDIRECT(Config!$H$1), 0), MATCH(AV$1, INDIRECT(Config!$I$1), 0)), "")</f>
        <v/>
      </c>
      <c r="AW97" s="35"/>
      <c r="AX97" s="32"/>
      <c r="AY97" s="35"/>
    </row>
    <row r="98" ht="15.75" hidden="1" customHeight="1">
      <c r="A98" s="12" t="str">
        <f>Menus!B59</f>
        <v/>
      </c>
      <c r="B98" s="51">
        <f t="shared" si="7"/>
        <v>0</v>
      </c>
      <c r="C98" s="33" t="str">
        <f t="array" ref="C98">IFERROR(INDEX(INDIRECT(Config!$G$1), MATCH($A98, INDIRECT(Config!$H$1), 0), MATCH(C$1, INDIRECT(Config!$I$1), 0)), "")</f>
        <v/>
      </c>
      <c r="D98" s="34" t="str">
        <f t="array" ref="D98">IFERROR(INDEX(INDIRECT(Config!$G$1), MATCH($A98, INDIRECT(Config!$H$1), 0), MATCH(D$1, INDIRECT(Config!$I$1), 0)), "")</f>
        <v/>
      </c>
      <c r="E98" s="32" t="str">
        <f t="array" ref="E98">IFERROR(INDEX(INDIRECT(Config!$G$1), MATCH($A98, INDIRECT(Config!$H$1), 0), MATCH(E$1, INDIRECT(Config!$I$1), 0)), "")</f>
        <v/>
      </c>
      <c r="F98" s="35" t="str">
        <f t="array" ref="F98">IFERROR(INDEX(INDIRECT(Config!$G$1), MATCH($A98, INDIRECT(Config!$H$1), 0), MATCH(F$1, INDIRECT(Config!$I$1), 0)), "")</f>
        <v/>
      </c>
      <c r="G98" s="32" t="str">
        <f t="array" ref="G98">IFERROR(INDEX(INDIRECT(Config!$G$1), MATCH($A98, INDIRECT(Config!$H$1), 0), MATCH(G$1, INDIRECT(Config!$I$1), 0)), "")</f>
        <v/>
      </c>
      <c r="H98" s="35" t="str">
        <f t="array" ref="H98">IFERROR(INDEX(INDIRECT(Config!$G$1), MATCH($A98, INDIRECT(Config!$H$1), 0), MATCH(H$1, INDIRECT(Config!$I$1), 0)), "")</f>
        <v/>
      </c>
      <c r="I98" s="32" t="str">
        <f t="array" ref="I98">IFERROR(INDEX(INDIRECT(Config!$G$1), MATCH($A98, INDIRECT(Config!$H$1), 0), MATCH(I$1, INDIRECT(Config!$I$1), 0)), "")</f>
        <v/>
      </c>
      <c r="J98" s="35" t="str">
        <f t="array" ref="J98">IFERROR(INDEX(INDIRECT(Config!$G$1), MATCH($A98, INDIRECT(Config!$H$1), 0), MATCH(J$1, INDIRECT(Config!$I$1), 0)), "")</f>
        <v/>
      </c>
      <c r="K98" s="32" t="str">
        <f t="array" ref="K98">IFERROR(INDEX(INDIRECT(Config!$G$1), MATCH($A98, INDIRECT(Config!$H$1), 0), MATCH(K$1, INDIRECT(Config!$I$1), 0)), "")</f>
        <v/>
      </c>
      <c r="L98" s="35" t="str">
        <f t="array" ref="L98">IFERROR(INDEX(INDIRECT(Config!$G$1), MATCH($A98, INDIRECT(Config!$H$1), 0), MATCH(L$1, INDIRECT(Config!$I$1), 0)), "")</f>
        <v/>
      </c>
      <c r="M98" s="32" t="str">
        <f t="array" ref="M98">IFERROR(INDEX(INDIRECT(Config!$G$1), MATCH($A98, INDIRECT(Config!$H$1), 0), MATCH(M$1, INDIRECT(Config!$I$1), 0)), "")</f>
        <v/>
      </c>
      <c r="N98" s="35" t="str">
        <f t="array" ref="N98">IFERROR(INDEX(INDIRECT(Config!$G$1), MATCH($A98, INDIRECT(Config!$H$1), 0), MATCH(N$1, INDIRECT(Config!$I$1), 0)), "")</f>
        <v/>
      </c>
      <c r="O98" s="32" t="str">
        <f t="array" ref="O98">IFERROR(INDEX(INDIRECT(Config!$G$1), MATCH($A98, INDIRECT(Config!$H$1), 0), MATCH(O$1, INDIRECT(Config!$I$1), 0)), "")</f>
        <v/>
      </c>
      <c r="P98" s="35" t="str">
        <f t="array" ref="P98">IFERROR(INDEX(INDIRECT(Config!$G$1), MATCH($A98, INDIRECT(Config!$H$1), 0), MATCH(P$1, INDIRECT(Config!$I$1), 0)), "")</f>
        <v/>
      </c>
      <c r="Q98" s="32" t="str">
        <f t="array" ref="Q98">IFERROR(INDEX(INDIRECT(Config!$G$1), MATCH($A98, INDIRECT(Config!$H$1), 0), MATCH(Q$1, INDIRECT(Config!$I$1), 0)), "")</f>
        <v/>
      </c>
      <c r="R98" s="35" t="str">
        <f t="array" ref="R98">IFERROR(INDEX(INDIRECT(Config!$G$1), MATCH($A98, INDIRECT(Config!$H$1), 0), MATCH(R$1, INDIRECT(Config!$I$1), 0)), "")</f>
        <v/>
      </c>
      <c r="S98" s="32" t="str">
        <f t="array" ref="S98">IFERROR(INDEX(INDIRECT(Config!$G$1), MATCH($A98, INDIRECT(Config!$H$1), 0), MATCH(S$1, INDIRECT(Config!$I$1), 0)), "")</f>
        <v/>
      </c>
      <c r="T98" s="35" t="str">
        <f t="array" ref="T98">IFERROR(INDEX(INDIRECT(Config!$G$1), MATCH($A98, INDIRECT(Config!$H$1), 0), MATCH(T$1, INDIRECT(Config!$I$1), 0)), "")</f>
        <v/>
      </c>
      <c r="U98" s="32" t="str">
        <f t="array" ref="U98">IFERROR(INDEX(INDIRECT(Config!$G$1), MATCH($A98, INDIRECT(Config!$H$1), 0), MATCH(U$1, INDIRECT(Config!$I$1), 0)), "")</f>
        <v/>
      </c>
      <c r="V98" s="35" t="str">
        <f t="array" ref="V98">IFERROR(INDEX(INDIRECT(Config!$G$1), MATCH($A98, INDIRECT(Config!$H$1), 0), MATCH(V$1, INDIRECT(Config!$I$1), 0)), "")</f>
        <v/>
      </c>
      <c r="W98" s="32" t="str">
        <f t="array" ref="W98">IFERROR(INDEX(INDIRECT(Config!$G$1), MATCH($A98, INDIRECT(Config!$H$1), 0), MATCH(W$1, INDIRECT(Config!$I$1), 0)), "")</f>
        <v/>
      </c>
      <c r="X98" s="35" t="str">
        <f t="array" ref="X98">IFERROR(INDEX(INDIRECT(Config!$G$1), MATCH($A98, INDIRECT(Config!$H$1), 0), MATCH(X$1, INDIRECT(Config!$I$1), 0)), "")</f>
        <v/>
      </c>
      <c r="Y98" s="32" t="str">
        <f t="array" ref="Y98">IFERROR(INDEX(INDIRECT(Config!$G$1), MATCH($A98, INDIRECT(Config!$H$1), 0), MATCH(Y$1, INDIRECT(Config!$I$1), 0)), "")</f>
        <v/>
      </c>
      <c r="Z98" s="32" t="str">
        <f t="array" ref="Z98">IFERROR(INDEX(INDIRECT(Config!$G$1), MATCH($A98, INDIRECT(Config!$H$1), 0), MATCH(Z$1, INDIRECT(Config!$I$1), 0)), "")</f>
        <v/>
      </c>
      <c r="AA98" s="35" t="str">
        <f t="array" ref="AA98">IFERROR(INDEX(INDIRECT(Config!$G$1), MATCH($A98, INDIRECT(Config!$H$1), 0), MATCH(AA$1, INDIRECT(Config!$I$1), 0)), "")</f>
        <v/>
      </c>
      <c r="AB98" s="32" t="str">
        <f t="array" ref="AB98">IFERROR(INDEX(INDIRECT(Config!$G$1), MATCH($A98, INDIRECT(Config!$H$1), 0), MATCH(AB$1, INDIRECT(Config!$I$1), 0)), "")</f>
        <v/>
      </c>
      <c r="AC98" s="35" t="str">
        <f t="array" ref="AC98">IFERROR(INDEX(INDIRECT(Config!$G$1), MATCH($A98, INDIRECT(Config!$H$1), 0), MATCH(AC$1, INDIRECT(Config!$I$1), 0)), "")</f>
        <v/>
      </c>
      <c r="AD98" s="32" t="str">
        <f t="array" ref="AD98">IFERROR(INDEX(INDIRECT(Config!$G$1), MATCH($A98, INDIRECT(Config!$H$1), 0), MATCH(AD$1, INDIRECT(Config!$I$1), 0)), "")</f>
        <v/>
      </c>
      <c r="AE98" s="35" t="str">
        <f t="array" ref="AE98">IFERROR(INDEX(INDIRECT(Config!$G$1), MATCH($A98, INDIRECT(Config!$H$1), 0), MATCH(AE$1, INDIRECT(Config!$I$1), 0)), "")</f>
        <v/>
      </c>
      <c r="AF98" s="32" t="str">
        <f t="array" ref="AF98">IFERROR(INDEX(INDIRECT(Config!$G$1), MATCH($A98, INDIRECT(Config!$H$1), 0), MATCH(AF$1, INDIRECT(Config!$I$1), 0)), "")</f>
        <v/>
      </c>
      <c r="AG98" s="35" t="str">
        <f t="array" ref="AG98">IFERROR(INDEX(INDIRECT(Config!$G$1), MATCH($A98, INDIRECT(Config!$H$1), 0), MATCH(AG$1, INDIRECT(Config!$I$1), 0)), "")</f>
        <v/>
      </c>
      <c r="AH98" s="32" t="str">
        <f t="array" ref="AH98">IFERROR(INDEX(INDIRECT(Config!$G$1), MATCH($A98, INDIRECT(Config!$H$1), 0), MATCH(AH$1, INDIRECT(Config!$I$1), 0)), "")</f>
        <v/>
      </c>
      <c r="AI98" s="35" t="str">
        <f t="array" ref="AI98">IFERROR(INDEX(INDIRECT(Config!$G$1), MATCH($A98, INDIRECT(Config!$H$1), 0), MATCH(AI$1, INDIRECT(Config!$I$1), 0)), "")</f>
        <v/>
      </c>
      <c r="AJ98" s="32" t="str">
        <f t="array" ref="AJ98">IFERROR(INDEX(INDIRECT(Config!$G$1), MATCH($A98, INDIRECT(Config!$H$1), 0), MATCH(AJ$1, INDIRECT(Config!$I$1), 0)), "")</f>
        <v/>
      </c>
      <c r="AK98" s="35" t="str">
        <f t="array" ref="AK98">IFERROR(INDEX(INDIRECT(Config!$G$1), MATCH($A98, INDIRECT(Config!$H$1), 0), MATCH(AK$1, INDIRECT(Config!$I$1), 0)), "")</f>
        <v/>
      </c>
      <c r="AL98" s="32" t="str">
        <f t="array" ref="AL98">IFERROR(INDEX(INDIRECT(Config!$G$1), MATCH($A98, INDIRECT(Config!$H$1), 0), MATCH(AL$1, INDIRECT(Config!$I$1), 0)), "")</f>
        <v/>
      </c>
      <c r="AM98" s="35" t="str">
        <f t="array" ref="AM98">IFERROR(INDEX(INDIRECT(Config!$G$1), MATCH($A98, INDIRECT(Config!$H$1), 0), MATCH(AM$1, INDIRECT(Config!$I$1), 0)), "")</f>
        <v/>
      </c>
      <c r="AN98" s="32" t="str">
        <f t="array" ref="AN98">IFERROR(INDEX(INDIRECT(Config!$G$1), MATCH($A98, INDIRECT(Config!$H$1), 0), MATCH(AN$1, INDIRECT(Config!$I$1), 0)), "")</f>
        <v/>
      </c>
      <c r="AO98" s="35" t="str">
        <f t="array" ref="AO98">IFERROR(INDEX(INDIRECT(Config!$G$1), MATCH($A98, INDIRECT(Config!$H$1), 0), MATCH(AO$1, INDIRECT(Config!$I$1), 0)), "")</f>
        <v/>
      </c>
      <c r="AP98" s="32" t="str">
        <f t="array" ref="AP98">IFERROR(INDEX(INDIRECT(Config!$G$1), MATCH($A98, INDIRECT(Config!$H$1), 0), MATCH(AP$1, INDIRECT(Config!$I$1), 0)), "")</f>
        <v/>
      </c>
      <c r="AQ98" s="35" t="str">
        <f t="array" ref="AQ98">IFERROR(INDEX(INDIRECT(Config!$G$1), MATCH($A98, INDIRECT(Config!$H$1), 0), MATCH(AQ$1, INDIRECT(Config!$I$1), 0)), "")</f>
        <v/>
      </c>
      <c r="AR98" s="32" t="str">
        <f t="array" ref="AR98">IFERROR(INDEX(INDIRECT(Config!$G$1), MATCH($A98, INDIRECT(Config!$H$1), 0), MATCH(AR$1, INDIRECT(Config!$I$1), 0)), "")</f>
        <v/>
      </c>
      <c r="AS98" s="35" t="str">
        <f t="array" ref="AS98">IFERROR(INDEX(INDIRECT(Config!$G$1), MATCH($A98, INDIRECT(Config!$H$1), 0), MATCH(AS$1, INDIRECT(Config!$I$1), 0)), "")</f>
        <v/>
      </c>
      <c r="AT98" s="32" t="str">
        <f t="array" ref="AT98">IFERROR(INDEX(INDIRECT(Config!$G$1), MATCH($A98, INDIRECT(Config!$H$1), 0), MATCH(AT$1, INDIRECT(Config!$I$1), 0)), "")</f>
        <v/>
      </c>
      <c r="AU98" s="35" t="str">
        <f t="array" ref="AU98">IFERROR(INDEX(INDIRECT(Config!$G$1), MATCH($A98, INDIRECT(Config!$H$1), 0), MATCH(AU$1, INDIRECT(Config!$I$1), 0)), "")</f>
        <v/>
      </c>
      <c r="AV98" s="32" t="str">
        <f t="array" ref="AV98">IFERROR(INDEX(INDIRECT(Config!$G$1), MATCH($A98, INDIRECT(Config!$H$1), 0), MATCH(AV$1, INDIRECT(Config!$I$1), 0)), "")</f>
        <v/>
      </c>
      <c r="AW98" s="35"/>
      <c r="AX98" s="32"/>
      <c r="AY98" s="35"/>
    </row>
    <row r="99" ht="15.75" hidden="1" customHeight="1">
      <c r="A99" s="12" t="str">
        <f>Menus!B60</f>
        <v/>
      </c>
      <c r="B99" s="51">
        <f t="shared" si="7"/>
        <v>0</v>
      </c>
      <c r="C99" s="33" t="str">
        <f t="array" ref="C99">IFERROR(INDEX(INDIRECT(Config!$G$1), MATCH($A99, INDIRECT(Config!$H$1), 0), MATCH(C$1, INDIRECT(Config!$I$1), 0)), "")</f>
        <v/>
      </c>
      <c r="D99" s="34" t="str">
        <f t="array" ref="D99">IFERROR(INDEX(INDIRECT(Config!$G$1), MATCH($A99, INDIRECT(Config!$H$1), 0), MATCH(D$1, INDIRECT(Config!$I$1), 0)), "")</f>
        <v/>
      </c>
      <c r="E99" s="32" t="str">
        <f t="array" ref="E99">IFERROR(INDEX(INDIRECT(Config!$G$1), MATCH($A99, INDIRECT(Config!$H$1), 0), MATCH(E$1, INDIRECT(Config!$I$1), 0)), "")</f>
        <v/>
      </c>
      <c r="F99" s="35" t="str">
        <f t="array" ref="F99">IFERROR(INDEX(INDIRECT(Config!$G$1), MATCH($A99, INDIRECT(Config!$H$1), 0), MATCH(F$1, INDIRECT(Config!$I$1), 0)), "")</f>
        <v/>
      </c>
      <c r="G99" s="32" t="str">
        <f t="array" ref="G99">IFERROR(INDEX(INDIRECT(Config!$G$1), MATCH($A99, INDIRECT(Config!$H$1), 0), MATCH(G$1, INDIRECT(Config!$I$1), 0)), "")</f>
        <v/>
      </c>
      <c r="H99" s="35" t="str">
        <f t="array" ref="H99">IFERROR(INDEX(INDIRECT(Config!$G$1), MATCH($A99, INDIRECT(Config!$H$1), 0), MATCH(H$1, INDIRECT(Config!$I$1), 0)), "")</f>
        <v/>
      </c>
      <c r="I99" s="32" t="str">
        <f t="array" ref="I99">IFERROR(INDEX(INDIRECT(Config!$G$1), MATCH($A99, INDIRECT(Config!$H$1), 0), MATCH(I$1, INDIRECT(Config!$I$1), 0)), "")</f>
        <v/>
      </c>
      <c r="J99" s="35" t="str">
        <f t="array" ref="J99">IFERROR(INDEX(INDIRECT(Config!$G$1), MATCH($A99, INDIRECT(Config!$H$1), 0), MATCH(J$1, INDIRECT(Config!$I$1), 0)), "")</f>
        <v/>
      </c>
      <c r="K99" s="32" t="str">
        <f t="array" ref="K99">IFERROR(INDEX(INDIRECT(Config!$G$1), MATCH($A99, INDIRECT(Config!$H$1), 0), MATCH(K$1, INDIRECT(Config!$I$1), 0)), "")</f>
        <v/>
      </c>
      <c r="L99" s="35" t="str">
        <f t="array" ref="L99">IFERROR(INDEX(INDIRECT(Config!$G$1), MATCH($A99, INDIRECT(Config!$H$1), 0), MATCH(L$1, INDIRECT(Config!$I$1), 0)), "")</f>
        <v/>
      </c>
      <c r="M99" s="32" t="str">
        <f t="array" ref="M99">IFERROR(INDEX(INDIRECT(Config!$G$1), MATCH($A99, INDIRECT(Config!$H$1), 0), MATCH(M$1, INDIRECT(Config!$I$1), 0)), "")</f>
        <v/>
      </c>
      <c r="N99" s="35" t="str">
        <f t="array" ref="N99">IFERROR(INDEX(INDIRECT(Config!$G$1), MATCH($A99, INDIRECT(Config!$H$1), 0), MATCH(N$1, INDIRECT(Config!$I$1), 0)), "")</f>
        <v/>
      </c>
      <c r="O99" s="32" t="str">
        <f t="array" ref="O99">IFERROR(INDEX(INDIRECT(Config!$G$1), MATCH($A99, INDIRECT(Config!$H$1), 0), MATCH(O$1, INDIRECT(Config!$I$1), 0)), "")</f>
        <v/>
      </c>
      <c r="P99" s="35" t="str">
        <f t="array" ref="P99">IFERROR(INDEX(INDIRECT(Config!$G$1), MATCH($A99, INDIRECT(Config!$H$1), 0), MATCH(P$1, INDIRECT(Config!$I$1), 0)), "")</f>
        <v/>
      </c>
      <c r="Q99" s="32" t="str">
        <f t="array" ref="Q99">IFERROR(INDEX(INDIRECT(Config!$G$1), MATCH($A99, INDIRECT(Config!$H$1), 0), MATCH(Q$1, INDIRECT(Config!$I$1), 0)), "")</f>
        <v/>
      </c>
      <c r="R99" s="35" t="str">
        <f t="array" ref="R99">IFERROR(INDEX(INDIRECT(Config!$G$1), MATCH($A99, INDIRECT(Config!$H$1), 0), MATCH(R$1, INDIRECT(Config!$I$1), 0)), "")</f>
        <v/>
      </c>
      <c r="S99" s="32" t="str">
        <f t="array" ref="S99">IFERROR(INDEX(INDIRECT(Config!$G$1), MATCH($A99, INDIRECT(Config!$H$1), 0), MATCH(S$1, INDIRECT(Config!$I$1), 0)), "")</f>
        <v/>
      </c>
      <c r="T99" s="35" t="str">
        <f t="array" ref="T99">IFERROR(INDEX(INDIRECT(Config!$G$1), MATCH($A99, INDIRECT(Config!$H$1), 0), MATCH(T$1, INDIRECT(Config!$I$1), 0)), "")</f>
        <v/>
      </c>
      <c r="U99" s="32" t="str">
        <f t="array" ref="U99">IFERROR(INDEX(INDIRECT(Config!$G$1), MATCH($A99, INDIRECT(Config!$H$1), 0), MATCH(U$1, INDIRECT(Config!$I$1), 0)), "")</f>
        <v/>
      </c>
      <c r="V99" s="35" t="str">
        <f t="array" ref="V99">IFERROR(INDEX(INDIRECT(Config!$G$1), MATCH($A99, INDIRECT(Config!$H$1), 0), MATCH(V$1, INDIRECT(Config!$I$1), 0)), "")</f>
        <v/>
      </c>
      <c r="W99" s="32" t="str">
        <f t="array" ref="W99">IFERROR(INDEX(INDIRECT(Config!$G$1), MATCH($A99, INDIRECT(Config!$H$1), 0), MATCH(W$1, INDIRECT(Config!$I$1), 0)), "")</f>
        <v/>
      </c>
      <c r="X99" s="35" t="str">
        <f t="array" ref="X99">IFERROR(INDEX(INDIRECT(Config!$G$1), MATCH($A99, INDIRECT(Config!$H$1), 0), MATCH(X$1, INDIRECT(Config!$I$1), 0)), "")</f>
        <v/>
      </c>
      <c r="Y99" s="32" t="str">
        <f t="array" ref="Y99">IFERROR(INDEX(INDIRECT(Config!$G$1), MATCH($A99, INDIRECT(Config!$H$1), 0), MATCH(Y$1, INDIRECT(Config!$I$1), 0)), "")</f>
        <v/>
      </c>
      <c r="Z99" s="32" t="str">
        <f t="array" ref="Z99">IFERROR(INDEX(INDIRECT(Config!$G$1), MATCH($A99, INDIRECT(Config!$H$1), 0), MATCH(Z$1, INDIRECT(Config!$I$1), 0)), "")</f>
        <v/>
      </c>
      <c r="AA99" s="35" t="str">
        <f t="array" ref="AA99">IFERROR(INDEX(INDIRECT(Config!$G$1), MATCH($A99, INDIRECT(Config!$H$1), 0), MATCH(AA$1, INDIRECT(Config!$I$1), 0)), "")</f>
        <v/>
      </c>
      <c r="AB99" s="32" t="str">
        <f t="array" ref="AB99">IFERROR(INDEX(INDIRECT(Config!$G$1), MATCH($A99, INDIRECT(Config!$H$1), 0), MATCH(AB$1, INDIRECT(Config!$I$1), 0)), "")</f>
        <v/>
      </c>
      <c r="AC99" s="35" t="str">
        <f t="array" ref="AC99">IFERROR(INDEX(INDIRECT(Config!$G$1), MATCH($A99, INDIRECT(Config!$H$1), 0), MATCH(AC$1, INDIRECT(Config!$I$1), 0)), "")</f>
        <v/>
      </c>
      <c r="AD99" s="32" t="str">
        <f t="array" ref="AD99">IFERROR(INDEX(INDIRECT(Config!$G$1), MATCH($A99, INDIRECT(Config!$H$1), 0), MATCH(AD$1, INDIRECT(Config!$I$1), 0)), "")</f>
        <v/>
      </c>
      <c r="AE99" s="35" t="str">
        <f t="array" ref="AE99">IFERROR(INDEX(INDIRECT(Config!$G$1), MATCH($A99, INDIRECT(Config!$H$1), 0), MATCH(AE$1, INDIRECT(Config!$I$1), 0)), "")</f>
        <v/>
      </c>
      <c r="AF99" s="32" t="str">
        <f t="array" ref="AF99">IFERROR(INDEX(INDIRECT(Config!$G$1), MATCH($A99, INDIRECT(Config!$H$1), 0), MATCH(AF$1, INDIRECT(Config!$I$1), 0)), "")</f>
        <v/>
      </c>
      <c r="AG99" s="35" t="str">
        <f t="array" ref="AG99">IFERROR(INDEX(INDIRECT(Config!$G$1), MATCH($A99, INDIRECT(Config!$H$1), 0), MATCH(AG$1, INDIRECT(Config!$I$1), 0)), "")</f>
        <v/>
      </c>
      <c r="AH99" s="32" t="str">
        <f t="array" ref="AH99">IFERROR(INDEX(INDIRECT(Config!$G$1), MATCH($A99, INDIRECT(Config!$H$1), 0), MATCH(AH$1, INDIRECT(Config!$I$1), 0)), "")</f>
        <v/>
      </c>
      <c r="AI99" s="35" t="str">
        <f t="array" ref="AI99">IFERROR(INDEX(INDIRECT(Config!$G$1), MATCH($A99, INDIRECT(Config!$H$1), 0), MATCH(AI$1, INDIRECT(Config!$I$1), 0)), "")</f>
        <v/>
      </c>
      <c r="AJ99" s="32" t="str">
        <f t="array" ref="AJ99">IFERROR(INDEX(INDIRECT(Config!$G$1), MATCH($A99, INDIRECT(Config!$H$1), 0), MATCH(AJ$1, INDIRECT(Config!$I$1), 0)), "")</f>
        <v/>
      </c>
      <c r="AK99" s="35" t="str">
        <f t="array" ref="AK99">IFERROR(INDEX(INDIRECT(Config!$G$1), MATCH($A99, INDIRECT(Config!$H$1), 0), MATCH(AK$1, INDIRECT(Config!$I$1), 0)), "")</f>
        <v/>
      </c>
      <c r="AL99" s="32" t="str">
        <f t="array" ref="AL99">IFERROR(INDEX(INDIRECT(Config!$G$1), MATCH($A99, INDIRECT(Config!$H$1), 0), MATCH(AL$1, INDIRECT(Config!$I$1), 0)), "")</f>
        <v/>
      </c>
      <c r="AM99" s="35" t="str">
        <f t="array" ref="AM99">IFERROR(INDEX(INDIRECT(Config!$G$1), MATCH($A99, INDIRECT(Config!$H$1), 0), MATCH(AM$1, INDIRECT(Config!$I$1), 0)), "")</f>
        <v/>
      </c>
      <c r="AN99" s="32" t="str">
        <f t="array" ref="AN99">IFERROR(INDEX(INDIRECT(Config!$G$1), MATCH($A99, INDIRECT(Config!$H$1), 0), MATCH(AN$1, INDIRECT(Config!$I$1), 0)), "")</f>
        <v/>
      </c>
      <c r="AO99" s="35" t="str">
        <f t="array" ref="AO99">IFERROR(INDEX(INDIRECT(Config!$G$1), MATCH($A99, INDIRECT(Config!$H$1), 0), MATCH(AO$1, INDIRECT(Config!$I$1), 0)), "")</f>
        <v/>
      </c>
      <c r="AP99" s="32" t="str">
        <f t="array" ref="AP99">IFERROR(INDEX(INDIRECT(Config!$G$1), MATCH($A99, INDIRECT(Config!$H$1), 0), MATCH(AP$1, INDIRECT(Config!$I$1), 0)), "")</f>
        <v/>
      </c>
      <c r="AQ99" s="35" t="str">
        <f t="array" ref="AQ99">IFERROR(INDEX(INDIRECT(Config!$G$1), MATCH($A99, INDIRECT(Config!$H$1), 0), MATCH(AQ$1, INDIRECT(Config!$I$1), 0)), "")</f>
        <v/>
      </c>
      <c r="AR99" s="32" t="str">
        <f t="array" ref="AR99">IFERROR(INDEX(INDIRECT(Config!$G$1), MATCH($A99, INDIRECT(Config!$H$1), 0), MATCH(AR$1, INDIRECT(Config!$I$1), 0)), "")</f>
        <v/>
      </c>
      <c r="AS99" s="35" t="str">
        <f t="array" ref="AS99">IFERROR(INDEX(INDIRECT(Config!$G$1), MATCH($A99, INDIRECT(Config!$H$1), 0), MATCH(AS$1, INDIRECT(Config!$I$1), 0)), "")</f>
        <v/>
      </c>
      <c r="AT99" s="32" t="str">
        <f t="array" ref="AT99">IFERROR(INDEX(INDIRECT(Config!$G$1), MATCH($A99, INDIRECT(Config!$H$1), 0), MATCH(AT$1, INDIRECT(Config!$I$1), 0)), "")</f>
        <v/>
      </c>
      <c r="AU99" s="35" t="str">
        <f t="array" ref="AU99">IFERROR(INDEX(INDIRECT(Config!$G$1), MATCH($A99, INDIRECT(Config!$H$1), 0), MATCH(AU$1, INDIRECT(Config!$I$1), 0)), "")</f>
        <v/>
      </c>
      <c r="AV99" s="32" t="str">
        <f t="array" ref="AV99">IFERROR(INDEX(INDIRECT(Config!$G$1), MATCH($A99, INDIRECT(Config!$H$1), 0), MATCH(AV$1, INDIRECT(Config!$I$1), 0)), "")</f>
        <v/>
      </c>
      <c r="AW99" s="35"/>
      <c r="AX99" s="32"/>
      <c r="AY99" s="35"/>
    </row>
    <row r="100" ht="15.75" hidden="1" customHeight="1">
      <c r="A100" s="12" t="str">
        <f>Menus!B61</f>
        <v/>
      </c>
      <c r="B100" s="51">
        <f t="shared" si="7"/>
        <v>0</v>
      </c>
      <c r="C100" s="33" t="str">
        <f t="array" ref="C100">IFERROR(INDEX(INDIRECT(Config!$G$1), MATCH($A100, INDIRECT(Config!$H$1), 0), MATCH(C$1, INDIRECT(Config!$I$1), 0)), "")</f>
        <v/>
      </c>
      <c r="D100" s="34" t="str">
        <f t="array" ref="D100">IFERROR(INDEX(INDIRECT(Config!$G$1), MATCH($A100, INDIRECT(Config!$H$1), 0), MATCH(D$1, INDIRECT(Config!$I$1), 0)), "")</f>
        <v/>
      </c>
      <c r="E100" s="32" t="str">
        <f t="array" ref="E100">IFERROR(INDEX(INDIRECT(Config!$G$1), MATCH($A100, INDIRECT(Config!$H$1), 0), MATCH(E$1, INDIRECT(Config!$I$1), 0)), "")</f>
        <v/>
      </c>
      <c r="F100" s="35" t="str">
        <f t="array" ref="F100">IFERROR(INDEX(INDIRECT(Config!$G$1), MATCH($A100, INDIRECT(Config!$H$1), 0), MATCH(F$1, INDIRECT(Config!$I$1), 0)), "")</f>
        <v/>
      </c>
      <c r="G100" s="32" t="str">
        <f t="array" ref="G100">IFERROR(INDEX(INDIRECT(Config!$G$1), MATCH($A100, INDIRECT(Config!$H$1), 0), MATCH(G$1, INDIRECT(Config!$I$1), 0)), "")</f>
        <v/>
      </c>
      <c r="H100" s="35" t="str">
        <f t="array" ref="H100">IFERROR(INDEX(INDIRECT(Config!$G$1), MATCH($A100, INDIRECT(Config!$H$1), 0), MATCH(H$1, INDIRECT(Config!$I$1), 0)), "")</f>
        <v/>
      </c>
      <c r="I100" s="32" t="str">
        <f t="array" ref="I100">IFERROR(INDEX(INDIRECT(Config!$G$1), MATCH($A100, INDIRECT(Config!$H$1), 0), MATCH(I$1, INDIRECT(Config!$I$1), 0)), "")</f>
        <v/>
      </c>
      <c r="J100" s="35" t="str">
        <f t="array" ref="J100">IFERROR(INDEX(INDIRECT(Config!$G$1), MATCH($A100, INDIRECT(Config!$H$1), 0), MATCH(J$1, INDIRECT(Config!$I$1), 0)), "")</f>
        <v/>
      </c>
      <c r="K100" s="32" t="str">
        <f t="array" ref="K100">IFERROR(INDEX(INDIRECT(Config!$G$1), MATCH($A100, INDIRECT(Config!$H$1), 0), MATCH(K$1, INDIRECT(Config!$I$1), 0)), "")</f>
        <v/>
      </c>
      <c r="L100" s="35" t="str">
        <f t="array" ref="L100">IFERROR(INDEX(INDIRECT(Config!$G$1), MATCH($A100, INDIRECT(Config!$H$1), 0), MATCH(L$1, INDIRECT(Config!$I$1), 0)), "")</f>
        <v/>
      </c>
      <c r="M100" s="32" t="str">
        <f t="array" ref="M100">IFERROR(INDEX(INDIRECT(Config!$G$1), MATCH($A100, INDIRECT(Config!$H$1), 0), MATCH(M$1, INDIRECT(Config!$I$1), 0)), "")</f>
        <v/>
      </c>
      <c r="N100" s="35" t="str">
        <f t="array" ref="N100">IFERROR(INDEX(INDIRECT(Config!$G$1), MATCH($A100, INDIRECT(Config!$H$1), 0), MATCH(N$1, INDIRECT(Config!$I$1), 0)), "")</f>
        <v/>
      </c>
      <c r="O100" s="32" t="str">
        <f t="array" ref="O100">IFERROR(INDEX(INDIRECT(Config!$G$1), MATCH($A100, INDIRECT(Config!$H$1), 0), MATCH(O$1, INDIRECT(Config!$I$1), 0)), "")</f>
        <v/>
      </c>
      <c r="P100" s="35" t="str">
        <f t="array" ref="P100">IFERROR(INDEX(INDIRECT(Config!$G$1), MATCH($A100, INDIRECT(Config!$H$1), 0), MATCH(P$1, INDIRECT(Config!$I$1), 0)), "")</f>
        <v/>
      </c>
      <c r="Q100" s="32" t="str">
        <f t="array" ref="Q100">IFERROR(INDEX(INDIRECT(Config!$G$1), MATCH($A100, INDIRECT(Config!$H$1), 0), MATCH(Q$1, INDIRECT(Config!$I$1), 0)), "")</f>
        <v/>
      </c>
      <c r="R100" s="35" t="str">
        <f t="array" ref="R100">IFERROR(INDEX(INDIRECT(Config!$G$1), MATCH($A100, INDIRECT(Config!$H$1), 0), MATCH(R$1, INDIRECT(Config!$I$1), 0)), "")</f>
        <v/>
      </c>
      <c r="S100" s="32" t="str">
        <f t="array" ref="S100">IFERROR(INDEX(INDIRECT(Config!$G$1), MATCH($A100, INDIRECT(Config!$H$1), 0), MATCH(S$1, INDIRECT(Config!$I$1), 0)), "")</f>
        <v/>
      </c>
      <c r="T100" s="35" t="str">
        <f t="array" ref="T100">IFERROR(INDEX(INDIRECT(Config!$G$1), MATCH($A100, INDIRECT(Config!$H$1), 0), MATCH(T$1, INDIRECT(Config!$I$1), 0)), "")</f>
        <v/>
      </c>
      <c r="U100" s="32" t="str">
        <f t="array" ref="U100">IFERROR(INDEX(INDIRECT(Config!$G$1), MATCH($A100, INDIRECT(Config!$H$1), 0), MATCH(U$1, INDIRECT(Config!$I$1), 0)), "")</f>
        <v/>
      </c>
      <c r="V100" s="35" t="str">
        <f t="array" ref="V100">IFERROR(INDEX(INDIRECT(Config!$G$1), MATCH($A100, INDIRECT(Config!$H$1), 0), MATCH(V$1, INDIRECT(Config!$I$1), 0)), "")</f>
        <v/>
      </c>
      <c r="W100" s="32" t="str">
        <f t="array" ref="W100">IFERROR(INDEX(INDIRECT(Config!$G$1), MATCH($A100, INDIRECT(Config!$H$1), 0), MATCH(W$1, INDIRECT(Config!$I$1), 0)), "")</f>
        <v/>
      </c>
      <c r="X100" s="35" t="str">
        <f t="array" ref="X100">IFERROR(INDEX(INDIRECT(Config!$G$1), MATCH($A100, INDIRECT(Config!$H$1), 0), MATCH(X$1, INDIRECT(Config!$I$1), 0)), "")</f>
        <v/>
      </c>
      <c r="Y100" s="32" t="str">
        <f t="array" ref="Y100">IFERROR(INDEX(INDIRECT(Config!$G$1), MATCH($A100, INDIRECT(Config!$H$1), 0), MATCH(Y$1, INDIRECT(Config!$I$1), 0)), "")</f>
        <v/>
      </c>
      <c r="Z100" s="32" t="str">
        <f t="array" ref="Z100">IFERROR(INDEX(INDIRECT(Config!$G$1), MATCH($A100, INDIRECT(Config!$H$1), 0), MATCH(Z$1, INDIRECT(Config!$I$1), 0)), "")</f>
        <v/>
      </c>
      <c r="AA100" s="35" t="str">
        <f t="array" ref="AA100">IFERROR(INDEX(INDIRECT(Config!$G$1), MATCH($A100, INDIRECT(Config!$H$1), 0), MATCH(AA$1, INDIRECT(Config!$I$1), 0)), "")</f>
        <v/>
      </c>
      <c r="AB100" s="32" t="str">
        <f t="array" ref="AB100">IFERROR(INDEX(INDIRECT(Config!$G$1), MATCH($A100, INDIRECT(Config!$H$1), 0), MATCH(AB$1, INDIRECT(Config!$I$1), 0)), "")</f>
        <v/>
      </c>
      <c r="AC100" s="35" t="str">
        <f t="array" ref="AC100">IFERROR(INDEX(INDIRECT(Config!$G$1), MATCH($A100, INDIRECT(Config!$H$1), 0), MATCH(AC$1, INDIRECT(Config!$I$1), 0)), "")</f>
        <v/>
      </c>
      <c r="AD100" s="32" t="str">
        <f t="array" ref="AD100">IFERROR(INDEX(INDIRECT(Config!$G$1), MATCH($A100, INDIRECT(Config!$H$1), 0), MATCH(AD$1, INDIRECT(Config!$I$1), 0)), "")</f>
        <v/>
      </c>
      <c r="AE100" s="35" t="str">
        <f t="array" ref="AE100">IFERROR(INDEX(INDIRECT(Config!$G$1), MATCH($A100, INDIRECT(Config!$H$1), 0), MATCH(AE$1, INDIRECT(Config!$I$1), 0)), "")</f>
        <v/>
      </c>
      <c r="AF100" s="32" t="str">
        <f t="array" ref="AF100">IFERROR(INDEX(INDIRECT(Config!$G$1), MATCH($A100, INDIRECT(Config!$H$1), 0), MATCH(AF$1, INDIRECT(Config!$I$1), 0)), "")</f>
        <v/>
      </c>
      <c r="AG100" s="35" t="str">
        <f t="array" ref="AG100">IFERROR(INDEX(INDIRECT(Config!$G$1), MATCH($A100, INDIRECT(Config!$H$1), 0), MATCH(AG$1, INDIRECT(Config!$I$1), 0)), "")</f>
        <v/>
      </c>
      <c r="AH100" s="32" t="str">
        <f t="array" ref="AH100">IFERROR(INDEX(INDIRECT(Config!$G$1), MATCH($A100, INDIRECT(Config!$H$1), 0), MATCH(AH$1, INDIRECT(Config!$I$1), 0)), "")</f>
        <v/>
      </c>
      <c r="AI100" s="35" t="str">
        <f t="array" ref="AI100">IFERROR(INDEX(INDIRECT(Config!$G$1), MATCH($A100, INDIRECT(Config!$H$1), 0), MATCH(AI$1, INDIRECT(Config!$I$1), 0)), "")</f>
        <v/>
      </c>
      <c r="AJ100" s="32" t="str">
        <f t="array" ref="AJ100">IFERROR(INDEX(INDIRECT(Config!$G$1), MATCH($A100, INDIRECT(Config!$H$1), 0), MATCH(AJ$1, INDIRECT(Config!$I$1), 0)), "")</f>
        <v/>
      </c>
      <c r="AK100" s="35" t="str">
        <f t="array" ref="AK100">IFERROR(INDEX(INDIRECT(Config!$G$1), MATCH($A100, INDIRECT(Config!$H$1), 0), MATCH(AK$1, INDIRECT(Config!$I$1), 0)), "")</f>
        <v/>
      </c>
      <c r="AL100" s="32" t="str">
        <f t="array" ref="AL100">IFERROR(INDEX(INDIRECT(Config!$G$1), MATCH($A100, INDIRECT(Config!$H$1), 0), MATCH(AL$1, INDIRECT(Config!$I$1), 0)), "")</f>
        <v/>
      </c>
      <c r="AM100" s="35" t="str">
        <f t="array" ref="AM100">IFERROR(INDEX(INDIRECT(Config!$G$1), MATCH($A100, INDIRECT(Config!$H$1), 0), MATCH(AM$1, INDIRECT(Config!$I$1), 0)), "")</f>
        <v/>
      </c>
      <c r="AN100" s="32" t="str">
        <f t="array" ref="AN100">IFERROR(INDEX(INDIRECT(Config!$G$1), MATCH($A100, INDIRECT(Config!$H$1), 0), MATCH(AN$1, INDIRECT(Config!$I$1), 0)), "")</f>
        <v/>
      </c>
      <c r="AO100" s="35" t="str">
        <f t="array" ref="AO100">IFERROR(INDEX(INDIRECT(Config!$G$1), MATCH($A100, INDIRECT(Config!$H$1), 0), MATCH(AO$1, INDIRECT(Config!$I$1), 0)), "")</f>
        <v/>
      </c>
      <c r="AP100" s="32" t="str">
        <f t="array" ref="AP100">IFERROR(INDEX(INDIRECT(Config!$G$1), MATCH($A100, INDIRECT(Config!$H$1), 0), MATCH(AP$1, INDIRECT(Config!$I$1), 0)), "")</f>
        <v/>
      </c>
      <c r="AQ100" s="35" t="str">
        <f t="array" ref="AQ100">IFERROR(INDEX(INDIRECT(Config!$G$1), MATCH($A100, INDIRECT(Config!$H$1), 0), MATCH(AQ$1, INDIRECT(Config!$I$1), 0)), "")</f>
        <v/>
      </c>
      <c r="AR100" s="32" t="str">
        <f t="array" ref="AR100">IFERROR(INDEX(INDIRECT(Config!$G$1), MATCH($A100, INDIRECT(Config!$H$1), 0), MATCH(AR$1, INDIRECT(Config!$I$1), 0)), "")</f>
        <v/>
      </c>
      <c r="AS100" s="35" t="str">
        <f t="array" ref="AS100">IFERROR(INDEX(INDIRECT(Config!$G$1), MATCH($A100, INDIRECT(Config!$H$1), 0), MATCH(AS$1, INDIRECT(Config!$I$1), 0)), "")</f>
        <v/>
      </c>
      <c r="AT100" s="32" t="str">
        <f t="array" ref="AT100">IFERROR(INDEX(INDIRECT(Config!$G$1), MATCH($A100, INDIRECT(Config!$H$1), 0), MATCH(AT$1, INDIRECT(Config!$I$1), 0)), "")</f>
        <v/>
      </c>
      <c r="AU100" s="35" t="str">
        <f t="array" ref="AU100">IFERROR(INDEX(INDIRECT(Config!$G$1), MATCH($A100, INDIRECT(Config!$H$1), 0), MATCH(AU$1, INDIRECT(Config!$I$1), 0)), "")</f>
        <v/>
      </c>
      <c r="AV100" s="32" t="str">
        <f t="array" ref="AV100">IFERROR(INDEX(INDIRECT(Config!$G$1), MATCH($A100, INDIRECT(Config!$H$1), 0), MATCH(AV$1, INDIRECT(Config!$I$1), 0)), "")</f>
        <v/>
      </c>
      <c r="AW100" s="35"/>
      <c r="AX100" s="32"/>
      <c r="AY100" s="35"/>
    </row>
    <row r="101" ht="15.75" hidden="1" customHeight="1">
      <c r="A101" s="12" t="str">
        <f>Menus!B62</f>
        <v/>
      </c>
      <c r="B101" s="51">
        <f t="shared" si="7"/>
        <v>0</v>
      </c>
      <c r="C101" s="33" t="str">
        <f t="array" ref="C101">IFERROR(INDEX(INDIRECT(Config!$G$1), MATCH($A101, INDIRECT(Config!$H$1), 0), MATCH(C$1, INDIRECT(Config!$I$1), 0)), "")</f>
        <v/>
      </c>
      <c r="D101" s="34" t="str">
        <f t="array" ref="D101">IFERROR(INDEX(INDIRECT(Config!$G$1), MATCH($A101, INDIRECT(Config!$H$1), 0), MATCH(D$1, INDIRECT(Config!$I$1), 0)), "")</f>
        <v/>
      </c>
      <c r="E101" s="32" t="str">
        <f t="array" ref="E101">IFERROR(INDEX(INDIRECT(Config!$G$1), MATCH($A101, INDIRECT(Config!$H$1), 0), MATCH(E$1, INDIRECT(Config!$I$1), 0)), "")</f>
        <v/>
      </c>
      <c r="F101" s="35" t="str">
        <f t="array" ref="F101">IFERROR(INDEX(INDIRECT(Config!$G$1), MATCH($A101, INDIRECT(Config!$H$1), 0), MATCH(F$1, INDIRECT(Config!$I$1), 0)), "")</f>
        <v/>
      </c>
      <c r="G101" s="32" t="str">
        <f t="array" ref="G101">IFERROR(INDEX(INDIRECT(Config!$G$1), MATCH($A101, INDIRECT(Config!$H$1), 0), MATCH(G$1, INDIRECT(Config!$I$1), 0)), "")</f>
        <v/>
      </c>
      <c r="H101" s="35" t="str">
        <f t="array" ref="H101">IFERROR(INDEX(INDIRECT(Config!$G$1), MATCH($A101, INDIRECT(Config!$H$1), 0), MATCH(H$1, INDIRECT(Config!$I$1), 0)), "")</f>
        <v/>
      </c>
      <c r="I101" s="32" t="str">
        <f t="array" ref="I101">IFERROR(INDEX(INDIRECT(Config!$G$1), MATCH($A101, INDIRECT(Config!$H$1), 0), MATCH(I$1, INDIRECT(Config!$I$1), 0)), "")</f>
        <v/>
      </c>
      <c r="J101" s="35" t="str">
        <f t="array" ref="J101">IFERROR(INDEX(INDIRECT(Config!$G$1), MATCH($A101, INDIRECT(Config!$H$1), 0), MATCH(J$1, INDIRECT(Config!$I$1), 0)), "")</f>
        <v/>
      </c>
      <c r="K101" s="32" t="str">
        <f t="array" ref="K101">IFERROR(INDEX(INDIRECT(Config!$G$1), MATCH($A101, INDIRECT(Config!$H$1), 0), MATCH(K$1, INDIRECT(Config!$I$1), 0)), "")</f>
        <v/>
      </c>
      <c r="L101" s="35" t="str">
        <f t="array" ref="L101">IFERROR(INDEX(INDIRECT(Config!$G$1), MATCH($A101, INDIRECT(Config!$H$1), 0), MATCH(L$1, INDIRECT(Config!$I$1), 0)), "")</f>
        <v/>
      </c>
      <c r="M101" s="32" t="str">
        <f t="array" ref="M101">IFERROR(INDEX(INDIRECT(Config!$G$1), MATCH($A101, INDIRECT(Config!$H$1), 0), MATCH(M$1, INDIRECT(Config!$I$1), 0)), "")</f>
        <v/>
      </c>
      <c r="N101" s="35" t="str">
        <f t="array" ref="N101">IFERROR(INDEX(INDIRECT(Config!$G$1), MATCH($A101, INDIRECT(Config!$H$1), 0), MATCH(N$1, INDIRECT(Config!$I$1), 0)), "")</f>
        <v/>
      </c>
      <c r="O101" s="32" t="str">
        <f t="array" ref="O101">IFERROR(INDEX(INDIRECT(Config!$G$1), MATCH($A101, INDIRECT(Config!$H$1), 0), MATCH(O$1, INDIRECT(Config!$I$1), 0)), "")</f>
        <v/>
      </c>
      <c r="P101" s="35" t="str">
        <f t="array" ref="P101">IFERROR(INDEX(INDIRECT(Config!$G$1), MATCH($A101, INDIRECT(Config!$H$1), 0), MATCH(P$1, INDIRECT(Config!$I$1), 0)), "")</f>
        <v/>
      </c>
      <c r="Q101" s="32" t="str">
        <f t="array" ref="Q101">IFERROR(INDEX(INDIRECT(Config!$G$1), MATCH($A101, INDIRECT(Config!$H$1), 0), MATCH(Q$1, INDIRECT(Config!$I$1), 0)), "")</f>
        <v/>
      </c>
      <c r="R101" s="35" t="str">
        <f t="array" ref="R101">IFERROR(INDEX(INDIRECT(Config!$G$1), MATCH($A101, INDIRECT(Config!$H$1), 0), MATCH(R$1, INDIRECT(Config!$I$1), 0)), "")</f>
        <v/>
      </c>
      <c r="S101" s="32" t="str">
        <f t="array" ref="S101">IFERROR(INDEX(INDIRECT(Config!$G$1), MATCH($A101, INDIRECT(Config!$H$1), 0), MATCH(S$1, INDIRECT(Config!$I$1), 0)), "")</f>
        <v/>
      </c>
      <c r="T101" s="35" t="str">
        <f t="array" ref="T101">IFERROR(INDEX(INDIRECT(Config!$G$1), MATCH($A101, INDIRECT(Config!$H$1), 0), MATCH(T$1, INDIRECT(Config!$I$1), 0)), "")</f>
        <v/>
      </c>
      <c r="U101" s="32" t="str">
        <f t="array" ref="U101">IFERROR(INDEX(INDIRECT(Config!$G$1), MATCH($A101, INDIRECT(Config!$H$1), 0), MATCH(U$1, INDIRECT(Config!$I$1), 0)), "")</f>
        <v/>
      </c>
      <c r="V101" s="35" t="str">
        <f t="array" ref="V101">IFERROR(INDEX(INDIRECT(Config!$G$1), MATCH($A101, INDIRECT(Config!$H$1), 0), MATCH(V$1, INDIRECT(Config!$I$1), 0)), "")</f>
        <v/>
      </c>
      <c r="W101" s="32" t="str">
        <f t="array" ref="W101">IFERROR(INDEX(INDIRECT(Config!$G$1), MATCH($A101, INDIRECT(Config!$H$1), 0), MATCH(W$1, INDIRECT(Config!$I$1), 0)), "")</f>
        <v/>
      </c>
      <c r="X101" s="35" t="str">
        <f t="array" ref="X101">IFERROR(INDEX(INDIRECT(Config!$G$1), MATCH($A101, INDIRECT(Config!$H$1), 0), MATCH(X$1, INDIRECT(Config!$I$1), 0)), "")</f>
        <v/>
      </c>
      <c r="Y101" s="32" t="str">
        <f t="array" ref="Y101">IFERROR(INDEX(INDIRECT(Config!$G$1), MATCH($A101, INDIRECT(Config!$H$1), 0), MATCH(Y$1, INDIRECT(Config!$I$1), 0)), "")</f>
        <v/>
      </c>
      <c r="Z101" s="32" t="str">
        <f t="array" ref="Z101">IFERROR(INDEX(INDIRECT(Config!$G$1), MATCH($A101, INDIRECT(Config!$H$1), 0), MATCH(Z$1, INDIRECT(Config!$I$1), 0)), "")</f>
        <v/>
      </c>
      <c r="AA101" s="35" t="str">
        <f t="array" ref="AA101">IFERROR(INDEX(INDIRECT(Config!$G$1), MATCH($A101, INDIRECT(Config!$H$1), 0), MATCH(AA$1, INDIRECT(Config!$I$1), 0)), "")</f>
        <v/>
      </c>
      <c r="AB101" s="32" t="str">
        <f t="array" ref="AB101">IFERROR(INDEX(INDIRECT(Config!$G$1), MATCH($A101, INDIRECT(Config!$H$1), 0), MATCH(AB$1, INDIRECT(Config!$I$1), 0)), "")</f>
        <v/>
      </c>
      <c r="AC101" s="35" t="str">
        <f t="array" ref="AC101">IFERROR(INDEX(INDIRECT(Config!$G$1), MATCH($A101, INDIRECT(Config!$H$1), 0), MATCH(AC$1, INDIRECT(Config!$I$1), 0)), "")</f>
        <v/>
      </c>
      <c r="AD101" s="32" t="str">
        <f t="array" ref="AD101">IFERROR(INDEX(INDIRECT(Config!$G$1), MATCH($A101, INDIRECT(Config!$H$1), 0), MATCH(AD$1, INDIRECT(Config!$I$1), 0)), "")</f>
        <v/>
      </c>
      <c r="AE101" s="35" t="str">
        <f t="array" ref="AE101">IFERROR(INDEX(INDIRECT(Config!$G$1), MATCH($A101, INDIRECT(Config!$H$1), 0), MATCH(AE$1, INDIRECT(Config!$I$1), 0)), "")</f>
        <v/>
      </c>
      <c r="AF101" s="32" t="str">
        <f t="array" ref="AF101">IFERROR(INDEX(INDIRECT(Config!$G$1), MATCH($A101, INDIRECT(Config!$H$1), 0), MATCH(AF$1, INDIRECT(Config!$I$1), 0)), "")</f>
        <v/>
      </c>
      <c r="AG101" s="35" t="str">
        <f t="array" ref="AG101">IFERROR(INDEX(INDIRECT(Config!$G$1), MATCH($A101, INDIRECT(Config!$H$1), 0), MATCH(AG$1, INDIRECT(Config!$I$1), 0)), "")</f>
        <v/>
      </c>
      <c r="AH101" s="32" t="str">
        <f t="array" ref="AH101">IFERROR(INDEX(INDIRECT(Config!$G$1), MATCH($A101, INDIRECT(Config!$H$1), 0), MATCH(AH$1, INDIRECT(Config!$I$1), 0)), "")</f>
        <v/>
      </c>
      <c r="AI101" s="35" t="str">
        <f t="array" ref="AI101">IFERROR(INDEX(INDIRECT(Config!$G$1), MATCH($A101, INDIRECT(Config!$H$1), 0), MATCH(AI$1, INDIRECT(Config!$I$1), 0)), "")</f>
        <v/>
      </c>
      <c r="AJ101" s="32" t="str">
        <f t="array" ref="AJ101">IFERROR(INDEX(INDIRECT(Config!$G$1), MATCH($A101, INDIRECT(Config!$H$1), 0), MATCH(AJ$1, INDIRECT(Config!$I$1), 0)), "")</f>
        <v/>
      </c>
      <c r="AK101" s="35" t="str">
        <f t="array" ref="AK101">IFERROR(INDEX(INDIRECT(Config!$G$1), MATCH($A101, INDIRECT(Config!$H$1), 0), MATCH(AK$1, INDIRECT(Config!$I$1), 0)), "")</f>
        <v/>
      </c>
      <c r="AL101" s="32" t="str">
        <f t="array" ref="AL101">IFERROR(INDEX(INDIRECT(Config!$G$1), MATCH($A101, INDIRECT(Config!$H$1), 0), MATCH(AL$1, INDIRECT(Config!$I$1), 0)), "")</f>
        <v/>
      </c>
      <c r="AM101" s="35" t="str">
        <f t="array" ref="AM101">IFERROR(INDEX(INDIRECT(Config!$G$1), MATCH($A101, INDIRECT(Config!$H$1), 0), MATCH(AM$1, INDIRECT(Config!$I$1), 0)), "")</f>
        <v/>
      </c>
      <c r="AN101" s="32" t="str">
        <f t="array" ref="AN101">IFERROR(INDEX(INDIRECT(Config!$G$1), MATCH($A101, INDIRECT(Config!$H$1), 0), MATCH(AN$1, INDIRECT(Config!$I$1), 0)), "")</f>
        <v/>
      </c>
      <c r="AO101" s="35" t="str">
        <f t="array" ref="AO101">IFERROR(INDEX(INDIRECT(Config!$G$1), MATCH($A101, INDIRECT(Config!$H$1), 0), MATCH(AO$1, INDIRECT(Config!$I$1), 0)), "")</f>
        <v/>
      </c>
      <c r="AP101" s="32" t="str">
        <f t="array" ref="AP101">IFERROR(INDEX(INDIRECT(Config!$G$1), MATCH($A101, INDIRECT(Config!$H$1), 0), MATCH(AP$1, INDIRECT(Config!$I$1), 0)), "")</f>
        <v/>
      </c>
      <c r="AQ101" s="35" t="str">
        <f t="array" ref="AQ101">IFERROR(INDEX(INDIRECT(Config!$G$1), MATCH($A101, INDIRECT(Config!$H$1), 0), MATCH(AQ$1, INDIRECT(Config!$I$1), 0)), "")</f>
        <v/>
      </c>
      <c r="AR101" s="32" t="str">
        <f t="array" ref="AR101">IFERROR(INDEX(INDIRECT(Config!$G$1), MATCH($A101, INDIRECT(Config!$H$1), 0), MATCH(AR$1, INDIRECT(Config!$I$1), 0)), "")</f>
        <v/>
      </c>
      <c r="AS101" s="35" t="str">
        <f t="array" ref="AS101">IFERROR(INDEX(INDIRECT(Config!$G$1), MATCH($A101, INDIRECT(Config!$H$1), 0), MATCH(AS$1, INDIRECT(Config!$I$1), 0)), "")</f>
        <v/>
      </c>
      <c r="AT101" s="32" t="str">
        <f t="array" ref="AT101">IFERROR(INDEX(INDIRECT(Config!$G$1), MATCH($A101, INDIRECT(Config!$H$1), 0), MATCH(AT$1, INDIRECT(Config!$I$1), 0)), "")</f>
        <v/>
      </c>
      <c r="AU101" s="35" t="str">
        <f t="array" ref="AU101">IFERROR(INDEX(INDIRECT(Config!$G$1), MATCH($A101, INDIRECT(Config!$H$1), 0), MATCH(AU$1, INDIRECT(Config!$I$1), 0)), "")</f>
        <v/>
      </c>
      <c r="AV101" s="32" t="str">
        <f t="array" ref="AV101">IFERROR(INDEX(INDIRECT(Config!$G$1), MATCH($A101, INDIRECT(Config!$H$1), 0), MATCH(AV$1, INDIRECT(Config!$I$1), 0)), "")</f>
        <v/>
      </c>
      <c r="AW101" s="35"/>
      <c r="AX101" s="32"/>
      <c r="AY101" s="35"/>
    </row>
    <row r="102" ht="15.75" hidden="1" customHeight="1">
      <c r="A102" s="12" t="str">
        <f>Menus!B63</f>
        <v/>
      </c>
      <c r="B102" s="51">
        <f t="shared" si="7"/>
        <v>0</v>
      </c>
      <c r="C102" s="33" t="str">
        <f t="array" ref="C102">IFERROR(INDEX(INDIRECT(Config!$G$1), MATCH($A102, INDIRECT(Config!$H$1), 0), MATCH(C$1, INDIRECT(Config!$I$1), 0)), "")</f>
        <v/>
      </c>
      <c r="D102" s="34" t="str">
        <f t="array" ref="D102">IFERROR(INDEX(INDIRECT(Config!$G$1), MATCH($A102, INDIRECT(Config!$H$1), 0), MATCH(D$1, INDIRECT(Config!$I$1), 0)), "")</f>
        <v/>
      </c>
      <c r="E102" s="32" t="str">
        <f t="array" ref="E102">IFERROR(INDEX(INDIRECT(Config!$G$1), MATCH($A102, INDIRECT(Config!$H$1), 0), MATCH(E$1, INDIRECT(Config!$I$1), 0)), "")</f>
        <v/>
      </c>
      <c r="F102" s="35" t="str">
        <f t="array" ref="F102">IFERROR(INDEX(INDIRECT(Config!$G$1), MATCH($A102, INDIRECT(Config!$H$1), 0), MATCH(F$1, INDIRECT(Config!$I$1), 0)), "")</f>
        <v/>
      </c>
      <c r="G102" s="32" t="str">
        <f t="array" ref="G102">IFERROR(INDEX(INDIRECT(Config!$G$1), MATCH($A102, INDIRECT(Config!$H$1), 0), MATCH(G$1, INDIRECT(Config!$I$1), 0)), "")</f>
        <v/>
      </c>
      <c r="H102" s="35" t="str">
        <f t="array" ref="H102">IFERROR(INDEX(INDIRECT(Config!$G$1), MATCH($A102, INDIRECT(Config!$H$1), 0), MATCH(H$1, INDIRECT(Config!$I$1), 0)), "")</f>
        <v/>
      </c>
      <c r="I102" s="32" t="str">
        <f t="array" ref="I102">IFERROR(INDEX(INDIRECT(Config!$G$1), MATCH($A102, INDIRECT(Config!$H$1), 0), MATCH(I$1, INDIRECT(Config!$I$1), 0)), "")</f>
        <v/>
      </c>
      <c r="J102" s="35" t="str">
        <f t="array" ref="J102">IFERROR(INDEX(INDIRECT(Config!$G$1), MATCH($A102, INDIRECT(Config!$H$1), 0), MATCH(J$1, INDIRECT(Config!$I$1), 0)), "")</f>
        <v/>
      </c>
      <c r="K102" s="32" t="str">
        <f t="array" ref="K102">IFERROR(INDEX(INDIRECT(Config!$G$1), MATCH($A102, INDIRECT(Config!$H$1), 0), MATCH(K$1, INDIRECT(Config!$I$1), 0)), "")</f>
        <v/>
      </c>
      <c r="L102" s="35" t="str">
        <f t="array" ref="L102">IFERROR(INDEX(INDIRECT(Config!$G$1), MATCH($A102, INDIRECT(Config!$H$1), 0), MATCH(L$1, INDIRECT(Config!$I$1), 0)), "")</f>
        <v/>
      </c>
      <c r="M102" s="32" t="str">
        <f t="array" ref="M102">IFERROR(INDEX(INDIRECT(Config!$G$1), MATCH($A102, INDIRECT(Config!$H$1), 0), MATCH(M$1, INDIRECT(Config!$I$1), 0)), "")</f>
        <v/>
      </c>
      <c r="N102" s="35" t="str">
        <f t="array" ref="N102">IFERROR(INDEX(INDIRECT(Config!$G$1), MATCH($A102, INDIRECT(Config!$H$1), 0), MATCH(N$1, INDIRECT(Config!$I$1), 0)), "")</f>
        <v/>
      </c>
      <c r="O102" s="32" t="str">
        <f t="array" ref="O102">IFERROR(INDEX(INDIRECT(Config!$G$1), MATCH($A102, INDIRECT(Config!$H$1), 0), MATCH(O$1, INDIRECT(Config!$I$1), 0)), "")</f>
        <v/>
      </c>
      <c r="P102" s="35" t="str">
        <f t="array" ref="P102">IFERROR(INDEX(INDIRECT(Config!$G$1), MATCH($A102, INDIRECT(Config!$H$1), 0), MATCH(P$1, INDIRECT(Config!$I$1), 0)), "")</f>
        <v/>
      </c>
      <c r="Q102" s="32" t="str">
        <f t="array" ref="Q102">IFERROR(INDEX(INDIRECT(Config!$G$1), MATCH($A102, INDIRECT(Config!$H$1), 0), MATCH(Q$1, INDIRECT(Config!$I$1), 0)), "")</f>
        <v/>
      </c>
      <c r="R102" s="35" t="str">
        <f t="array" ref="R102">IFERROR(INDEX(INDIRECT(Config!$G$1), MATCH($A102, INDIRECT(Config!$H$1), 0), MATCH(R$1, INDIRECT(Config!$I$1), 0)), "")</f>
        <v/>
      </c>
      <c r="S102" s="32" t="str">
        <f t="array" ref="S102">IFERROR(INDEX(INDIRECT(Config!$G$1), MATCH($A102, INDIRECT(Config!$H$1), 0), MATCH(S$1, INDIRECT(Config!$I$1), 0)), "")</f>
        <v/>
      </c>
      <c r="T102" s="35" t="str">
        <f t="array" ref="T102">IFERROR(INDEX(INDIRECT(Config!$G$1), MATCH($A102, INDIRECT(Config!$H$1), 0), MATCH(T$1, INDIRECT(Config!$I$1), 0)), "")</f>
        <v/>
      </c>
      <c r="U102" s="32" t="str">
        <f t="array" ref="U102">IFERROR(INDEX(INDIRECT(Config!$G$1), MATCH($A102, INDIRECT(Config!$H$1), 0), MATCH(U$1, INDIRECT(Config!$I$1), 0)), "")</f>
        <v/>
      </c>
      <c r="V102" s="35" t="str">
        <f t="array" ref="V102">IFERROR(INDEX(INDIRECT(Config!$G$1), MATCH($A102, INDIRECT(Config!$H$1), 0), MATCH(V$1, INDIRECT(Config!$I$1), 0)), "")</f>
        <v/>
      </c>
      <c r="W102" s="32" t="str">
        <f t="array" ref="W102">IFERROR(INDEX(INDIRECT(Config!$G$1), MATCH($A102, INDIRECT(Config!$H$1), 0), MATCH(W$1, INDIRECT(Config!$I$1), 0)), "")</f>
        <v/>
      </c>
      <c r="X102" s="35" t="str">
        <f t="array" ref="X102">IFERROR(INDEX(INDIRECT(Config!$G$1), MATCH($A102, INDIRECT(Config!$H$1), 0), MATCH(X$1, INDIRECT(Config!$I$1), 0)), "")</f>
        <v/>
      </c>
      <c r="Y102" s="32" t="str">
        <f t="array" ref="Y102">IFERROR(INDEX(INDIRECT(Config!$G$1), MATCH($A102, INDIRECT(Config!$H$1), 0), MATCH(Y$1, INDIRECT(Config!$I$1), 0)), "")</f>
        <v/>
      </c>
      <c r="Z102" s="32" t="str">
        <f t="array" ref="Z102">IFERROR(INDEX(INDIRECT(Config!$G$1), MATCH($A102, INDIRECT(Config!$H$1), 0), MATCH(Z$1, INDIRECT(Config!$I$1), 0)), "")</f>
        <v/>
      </c>
      <c r="AA102" s="35" t="str">
        <f t="array" ref="AA102">IFERROR(INDEX(INDIRECT(Config!$G$1), MATCH($A102, INDIRECT(Config!$H$1), 0), MATCH(AA$1, INDIRECT(Config!$I$1), 0)), "")</f>
        <v/>
      </c>
      <c r="AB102" s="32" t="str">
        <f t="array" ref="AB102">IFERROR(INDEX(INDIRECT(Config!$G$1), MATCH($A102, INDIRECT(Config!$H$1), 0), MATCH(AB$1, INDIRECT(Config!$I$1), 0)), "")</f>
        <v/>
      </c>
      <c r="AC102" s="35" t="str">
        <f t="array" ref="AC102">IFERROR(INDEX(INDIRECT(Config!$G$1), MATCH($A102, INDIRECT(Config!$H$1), 0), MATCH(AC$1, INDIRECT(Config!$I$1), 0)), "")</f>
        <v/>
      </c>
      <c r="AD102" s="32" t="str">
        <f t="array" ref="AD102">IFERROR(INDEX(INDIRECT(Config!$G$1), MATCH($A102, INDIRECT(Config!$H$1), 0), MATCH(AD$1, INDIRECT(Config!$I$1), 0)), "")</f>
        <v/>
      </c>
      <c r="AE102" s="35" t="str">
        <f t="array" ref="AE102">IFERROR(INDEX(INDIRECT(Config!$G$1), MATCH($A102, INDIRECT(Config!$H$1), 0), MATCH(AE$1, INDIRECT(Config!$I$1), 0)), "")</f>
        <v/>
      </c>
      <c r="AF102" s="32" t="str">
        <f t="array" ref="AF102">IFERROR(INDEX(INDIRECT(Config!$G$1), MATCH($A102, INDIRECT(Config!$H$1), 0), MATCH(AF$1, INDIRECT(Config!$I$1), 0)), "")</f>
        <v/>
      </c>
      <c r="AG102" s="35" t="str">
        <f t="array" ref="AG102">IFERROR(INDEX(INDIRECT(Config!$G$1), MATCH($A102, INDIRECT(Config!$H$1), 0), MATCH(AG$1, INDIRECT(Config!$I$1), 0)), "")</f>
        <v/>
      </c>
      <c r="AH102" s="32" t="str">
        <f t="array" ref="AH102">IFERROR(INDEX(INDIRECT(Config!$G$1), MATCH($A102, INDIRECT(Config!$H$1), 0), MATCH(AH$1, INDIRECT(Config!$I$1), 0)), "")</f>
        <v/>
      </c>
      <c r="AI102" s="35" t="str">
        <f t="array" ref="AI102">IFERROR(INDEX(INDIRECT(Config!$G$1), MATCH($A102, INDIRECT(Config!$H$1), 0), MATCH(AI$1, INDIRECT(Config!$I$1), 0)), "")</f>
        <v/>
      </c>
      <c r="AJ102" s="32" t="str">
        <f t="array" ref="AJ102">IFERROR(INDEX(INDIRECT(Config!$G$1), MATCH($A102, INDIRECT(Config!$H$1), 0), MATCH(AJ$1, INDIRECT(Config!$I$1), 0)), "")</f>
        <v/>
      </c>
      <c r="AK102" s="35" t="str">
        <f t="array" ref="AK102">IFERROR(INDEX(INDIRECT(Config!$G$1), MATCH($A102, INDIRECT(Config!$H$1), 0), MATCH(AK$1, INDIRECT(Config!$I$1), 0)), "")</f>
        <v/>
      </c>
      <c r="AL102" s="32" t="str">
        <f t="array" ref="AL102">IFERROR(INDEX(INDIRECT(Config!$G$1), MATCH($A102, INDIRECT(Config!$H$1), 0), MATCH(AL$1, INDIRECT(Config!$I$1), 0)), "")</f>
        <v/>
      </c>
      <c r="AM102" s="35" t="str">
        <f t="array" ref="AM102">IFERROR(INDEX(INDIRECT(Config!$G$1), MATCH($A102, INDIRECT(Config!$H$1), 0), MATCH(AM$1, INDIRECT(Config!$I$1), 0)), "")</f>
        <v/>
      </c>
      <c r="AN102" s="32" t="str">
        <f t="array" ref="AN102">IFERROR(INDEX(INDIRECT(Config!$G$1), MATCH($A102, INDIRECT(Config!$H$1), 0), MATCH(AN$1, INDIRECT(Config!$I$1), 0)), "")</f>
        <v/>
      </c>
      <c r="AO102" s="35" t="str">
        <f t="array" ref="AO102">IFERROR(INDEX(INDIRECT(Config!$G$1), MATCH($A102, INDIRECT(Config!$H$1), 0), MATCH(AO$1, INDIRECT(Config!$I$1), 0)), "")</f>
        <v/>
      </c>
      <c r="AP102" s="32" t="str">
        <f t="array" ref="AP102">IFERROR(INDEX(INDIRECT(Config!$G$1), MATCH($A102, INDIRECT(Config!$H$1), 0), MATCH(AP$1, INDIRECT(Config!$I$1), 0)), "")</f>
        <v/>
      </c>
      <c r="AQ102" s="35" t="str">
        <f t="array" ref="AQ102">IFERROR(INDEX(INDIRECT(Config!$G$1), MATCH($A102, INDIRECT(Config!$H$1), 0), MATCH(AQ$1, INDIRECT(Config!$I$1), 0)), "")</f>
        <v/>
      </c>
      <c r="AR102" s="32" t="str">
        <f t="array" ref="AR102">IFERROR(INDEX(INDIRECT(Config!$G$1), MATCH($A102, INDIRECT(Config!$H$1), 0), MATCH(AR$1, INDIRECT(Config!$I$1), 0)), "")</f>
        <v/>
      </c>
      <c r="AS102" s="35" t="str">
        <f t="array" ref="AS102">IFERROR(INDEX(INDIRECT(Config!$G$1), MATCH($A102, INDIRECT(Config!$H$1), 0), MATCH(AS$1, INDIRECT(Config!$I$1), 0)), "")</f>
        <v/>
      </c>
      <c r="AT102" s="32" t="str">
        <f t="array" ref="AT102">IFERROR(INDEX(INDIRECT(Config!$G$1), MATCH($A102, INDIRECT(Config!$H$1), 0), MATCH(AT$1, INDIRECT(Config!$I$1), 0)), "")</f>
        <v/>
      </c>
      <c r="AU102" s="35" t="str">
        <f t="array" ref="AU102">IFERROR(INDEX(INDIRECT(Config!$G$1), MATCH($A102, INDIRECT(Config!$H$1), 0), MATCH(AU$1, INDIRECT(Config!$I$1), 0)), "")</f>
        <v/>
      </c>
      <c r="AV102" s="32" t="str">
        <f t="array" ref="AV102">IFERROR(INDEX(INDIRECT(Config!$G$1), MATCH($A102, INDIRECT(Config!$H$1), 0), MATCH(AV$1, INDIRECT(Config!$I$1), 0)), "")</f>
        <v/>
      </c>
      <c r="AW102" s="35"/>
      <c r="AX102" s="32"/>
      <c r="AY102" s="35"/>
    </row>
    <row r="103" ht="15.75" hidden="1" customHeight="1">
      <c r="A103" s="12" t="str">
        <f>Menus!B64</f>
        <v/>
      </c>
      <c r="B103" s="51">
        <f t="shared" si="7"/>
        <v>0</v>
      </c>
      <c r="C103" s="33" t="str">
        <f t="array" ref="C103">IFERROR(INDEX(INDIRECT(Config!$G$1), MATCH($A103, INDIRECT(Config!$H$1), 0), MATCH(C$1, INDIRECT(Config!$I$1), 0)), "")</f>
        <v/>
      </c>
      <c r="D103" s="34" t="str">
        <f t="array" ref="D103">IFERROR(INDEX(INDIRECT(Config!$G$1), MATCH($A103, INDIRECT(Config!$H$1), 0), MATCH(D$1, INDIRECT(Config!$I$1), 0)), "")</f>
        <v/>
      </c>
      <c r="E103" s="32" t="str">
        <f t="array" ref="E103">IFERROR(INDEX(INDIRECT(Config!$G$1), MATCH($A103, INDIRECT(Config!$H$1), 0), MATCH(E$1, INDIRECT(Config!$I$1), 0)), "")</f>
        <v/>
      </c>
      <c r="F103" s="35" t="str">
        <f t="array" ref="F103">IFERROR(INDEX(INDIRECT(Config!$G$1), MATCH($A103, INDIRECT(Config!$H$1), 0), MATCH(F$1, INDIRECT(Config!$I$1), 0)), "")</f>
        <v/>
      </c>
      <c r="G103" s="32" t="str">
        <f t="array" ref="G103">IFERROR(INDEX(INDIRECT(Config!$G$1), MATCH($A103, INDIRECT(Config!$H$1), 0), MATCH(G$1, INDIRECT(Config!$I$1), 0)), "")</f>
        <v/>
      </c>
      <c r="H103" s="35" t="str">
        <f t="array" ref="H103">IFERROR(INDEX(INDIRECT(Config!$G$1), MATCH($A103, INDIRECT(Config!$H$1), 0), MATCH(H$1, INDIRECT(Config!$I$1), 0)), "")</f>
        <v/>
      </c>
      <c r="I103" s="32" t="str">
        <f t="array" ref="I103">IFERROR(INDEX(INDIRECT(Config!$G$1), MATCH($A103, INDIRECT(Config!$H$1), 0), MATCH(I$1, INDIRECT(Config!$I$1), 0)), "")</f>
        <v/>
      </c>
      <c r="J103" s="35" t="str">
        <f t="array" ref="J103">IFERROR(INDEX(INDIRECT(Config!$G$1), MATCH($A103, INDIRECT(Config!$H$1), 0), MATCH(J$1, INDIRECT(Config!$I$1), 0)), "")</f>
        <v/>
      </c>
      <c r="K103" s="32" t="str">
        <f t="array" ref="K103">IFERROR(INDEX(INDIRECT(Config!$G$1), MATCH($A103, INDIRECT(Config!$H$1), 0), MATCH(K$1, INDIRECT(Config!$I$1), 0)), "")</f>
        <v/>
      </c>
      <c r="L103" s="35" t="str">
        <f t="array" ref="L103">IFERROR(INDEX(INDIRECT(Config!$G$1), MATCH($A103, INDIRECT(Config!$H$1), 0), MATCH(L$1, INDIRECT(Config!$I$1), 0)), "")</f>
        <v/>
      </c>
      <c r="M103" s="32" t="str">
        <f t="array" ref="M103">IFERROR(INDEX(INDIRECT(Config!$G$1), MATCH($A103, INDIRECT(Config!$H$1), 0), MATCH(M$1, INDIRECT(Config!$I$1), 0)), "")</f>
        <v/>
      </c>
      <c r="N103" s="35" t="str">
        <f t="array" ref="N103">IFERROR(INDEX(INDIRECT(Config!$G$1), MATCH($A103, INDIRECT(Config!$H$1), 0), MATCH(N$1, INDIRECT(Config!$I$1), 0)), "")</f>
        <v/>
      </c>
      <c r="O103" s="32" t="str">
        <f t="array" ref="O103">IFERROR(INDEX(INDIRECT(Config!$G$1), MATCH($A103, INDIRECT(Config!$H$1), 0), MATCH(O$1, INDIRECT(Config!$I$1), 0)), "")</f>
        <v/>
      </c>
      <c r="P103" s="35" t="str">
        <f t="array" ref="P103">IFERROR(INDEX(INDIRECT(Config!$G$1), MATCH($A103, INDIRECT(Config!$H$1), 0), MATCH(P$1, INDIRECT(Config!$I$1), 0)), "")</f>
        <v/>
      </c>
      <c r="Q103" s="32" t="str">
        <f t="array" ref="Q103">IFERROR(INDEX(INDIRECT(Config!$G$1), MATCH($A103, INDIRECT(Config!$H$1), 0), MATCH(Q$1, INDIRECT(Config!$I$1), 0)), "")</f>
        <v/>
      </c>
      <c r="R103" s="35" t="str">
        <f t="array" ref="R103">IFERROR(INDEX(INDIRECT(Config!$G$1), MATCH($A103, INDIRECT(Config!$H$1), 0), MATCH(R$1, INDIRECT(Config!$I$1), 0)), "")</f>
        <v/>
      </c>
      <c r="S103" s="32" t="str">
        <f t="array" ref="S103">IFERROR(INDEX(INDIRECT(Config!$G$1), MATCH($A103, INDIRECT(Config!$H$1), 0), MATCH(S$1, INDIRECT(Config!$I$1), 0)), "")</f>
        <v/>
      </c>
      <c r="T103" s="35" t="str">
        <f t="array" ref="T103">IFERROR(INDEX(INDIRECT(Config!$G$1), MATCH($A103, INDIRECT(Config!$H$1), 0), MATCH(T$1, INDIRECT(Config!$I$1), 0)), "")</f>
        <v/>
      </c>
      <c r="U103" s="32" t="str">
        <f t="array" ref="U103">IFERROR(INDEX(INDIRECT(Config!$G$1), MATCH($A103, INDIRECT(Config!$H$1), 0), MATCH(U$1, INDIRECT(Config!$I$1), 0)), "")</f>
        <v/>
      </c>
      <c r="V103" s="35" t="str">
        <f t="array" ref="V103">IFERROR(INDEX(INDIRECT(Config!$G$1), MATCH($A103, INDIRECT(Config!$H$1), 0), MATCH(V$1, INDIRECT(Config!$I$1), 0)), "")</f>
        <v/>
      </c>
      <c r="W103" s="32" t="str">
        <f t="array" ref="W103">IFERROR(INDEX(INDIRECT(Config!$G$1), MATCH($A103, INDIRECT(Config!$H$1), 0), MATCH(W$1, INDIRECT(Config!$I$1), 0)), "")</f>
        <v/>
      </c>
      <c r="X103" s="35" t="str">
        <f t="array" ref="X103">IFERROR(INDEX(INDIRECT(Config!$G$1), MATCH($A103, INDIRECT(Config!$H$1), 0), MATCH(X$1, INDIRECT(Config!$I$1), 0)), "")</f>
        <v/>
      </c>
      <c r="Y103" s="32" t="str">
        <f t="array" ref="Y103">IFERROR(INDEX(INDIRECT(Config!$G$1), MATCH($A103, INDIRECT(Config!$H$1), 0), MATCH(Y$1, INDIRECT(Config!$I$1), 0)), "")</f>
        <v/>
      </c>
      <c r="Z103" s="32" t="str">
        <f t="array" ref="Z103">IFERROR(INDEX(INDIRECT(Config!$G$1), MATCH($A103, INDIRECT(Config!$H$1), 0), MATCH(Z$1, INDIRECT(Config!$I$1), 0)), "")</f>
        <v/>
      </c>
      <c r="AA103" s="35" t="str">
        <f t="array" ref="AA103">IFERROR(INDEX(INDIRECT(Config!$G$1), MATCH($A103, INDIRECT(Config!$H$1), 0), MATCH(AA$1, INDIRECT(Config!$I$1), 0)), "")</f>
        <v/>
      </c>
      <c r="AB103" s="32" t="str">
        <f t="array" ref="AB103">IFERROR(INDEX(INDIRECT(Config!$G$1), MATCH($A103, INDIRECT(Config!$H$1), 0), MATCH(AB$1, INDIRECT(Config!$I$1), 0)), "")</f>
        <v/>
      </c>
      <c r="AC103" s="35" t="str">
        <f t="array" ref="AC103">IFERROR(INDEX(INDIRECT(Config!$G$1), MATCH($A103, INDIRECT(Config!$H$1), 0), MATCH(AC$1, INDIRECT(Config!$I$1), 0)), "")</f>
        <v/>
      </c>
      <c r="AD103" s="32" t="str">
        <f t="array" ref="AD103">IFERROR(INDEX(INDIRECT(Config!$G$1), MATCH($A103, INDIRECT(Config!$H$1), 0), MATCH(AD$1, INDIRECT(Config!$I$1), 0)), "")</f>
        <v/>
      </c>
      <c r="AE103" s="35" t="str">
        <f t="array" ref="AE103">IFERROR(INDEX(INDIRECT(Config!$G$1), MATCH($A103, INDIRECT(Config!$H$1), 0), MATCH(AE$1, INDIRECT(Config!$I$1), 0)), "")</f>
        <v/>
      </c>
      <c r="AF103" s="32" t="str">
        <f t="array" ref="AF103">IFERROR(INDEX(INDIRECT(Config!$G$1), MATCH($A103, INDIRECT(Config!$H$1), 0), MATCH(AF$1, INDIRECT(Config!$I$1), 0)), "")</f>
        <v/>
      </c>
      <c r="AG103" s="35" t="str">
        <f t="array" ref="AG103">IFERROR(INDEX(INDIRECT(Config!$G$1), MATCH($A103, INDIRECT(Config!$H$1), 0), MATCH(AG$1, INDIRECT(Config!$I$1), 0)), "")</f>
        <v/>
      </c>
      <c r="AH103" s="32" t="str">
        <f t="array" ref="AH103">IFERROR(INDEX(INDIRECT(Config!$G$1), MATCH($A103, INDIRECT(Config!$H$1), 0), MATCH(AH$1, INDIRECT(Config!$I$1), 0)), "")</f>
        <v/>
      </c>
      <c r="AI103" s="35" t="str">
        <f t="array" ref="AI103">IFERROR(INDEX(INDIRECT(Config!$G$1), MATCH($A103, INDIRECT(Config!$H$1), 0), MATCH(AI$1, INDIRECT(Config!$I$1), 0)), "")</f>
        <v/>
      </c>
      <c r="AJ103" s="32" t="str">
        <f t="array" ref="AJ103">IFERROR(INDEX(INDIRECT(Config!$G$1), MATCH($A103, INDIRECT(Config!$H$1), 0), MATCH(AJ$1, INDIRECT(Config!$I$1), 0)), "")</f>
        <v/>
      </c>
      <c r="AK103" s="35" t="str">
        <f t="array" ref="AK103">IFERROR(INDEX(INDIRECT(Config!$G$1), MATCH($A103, INDIRECT(Config!$H$1), 0), MATCH(AK$1, INDIRECT(Config!$I$1), 0)), "")</f>
        <v/>
      </c>
      <c r="AL103" s="32" t="str">
        <f t="array" ref="AL103">IFERROR(INDEX(INDIRECT(Config!$G$1), MATCH($A103, INDIRECT(Config!$H$1), 0), MATCH(AL$1, INDIRECT(Config!$I$1), 0)), "")</f>
        <v/>
      </c>
      <c r="AM103" s="35" t="str">
        <f t="array" ref="AM103">IFERROR(INDEX(INDIRECT(Config!$G$1), MATCH($A103, INDIRECT(Config!$H$1), 0), MATCH(AM$1, INDIRECT(Config!$I$1), 0)), "")</f>
        <v/>
      </c>
      <c r="AN103" s="32" t="str">
        <f t="array" ref="AN103">IFERROR(INDEX(INDIRECT(Config!$G$1), MATCH($A103, INDIRECT(Config!$H$1), 0), MATCH(AN$1, INDIRECT(Config!$I$1), 0)), "")</f>
        <v/>
      </c>
      <c r="AO103" s="35" t="str">
        <f t="array" ref="AO103">IFERROR(INDEX(INDIRECT(Config!$G$1), MATCH($A103, INDIRECT(Config!$H$1), 0), MATCH(AO$1, INDIRECT(Config!$I$1), 0)), "")</f>
        <v/>
      </c>
      <c r="AP103" s="32" t="str">
        <f t="array" ref="AP103">IFERROR(INDEX(INDIRECT(Config!$G$1), MATCH($A103, INDIRECT(Config!$H$1), 0), MATCH(AP$1, INDIRECT(Config!$I$1), 0)), "")</f>
        <v/>
      </c>
      <c r="AQ103" s="35" t="str">
        <f t="array" ref="AQ103">IFERROR(INDEX(INDIRECT(Config!$G$1), MATCH($A103, INDIRECT(Config!$H$1), 0), MATCH(AQ$1, INDIRECT(Config!$I$1), 0)), "")</f>
        <v/>
      </c>
      <c r="AR103" s="32" t="str">
        <f t="array" ref="AR103">IFERROR(INDEX(INDIRECT(Config!$G$1), MATCH($A103, INDIRECT(Config!$H$1), 0), MATCH(AR$1, INDIRECT(Config!$I$1), 0)), "")</f>
        <v/>
      </c>
      <c r="AS103" s="35" t="str">
        <f t="array" ref="AS103">IFERROR(INDEX(INDIRECT(Config!$G$1), MATCH($A103, INDIRECT(Config!$H$1), 0), MATCH(AS$1, INDIRECT(Config!$I$1), 0)), "")</f>
        <v/>
      </c>
      <c r="AT103" s="32" t="str">
        <f t="array" ref="AT103">IFERROR(INDEX(INDIRECT(Config!$G$1), MATCH($A103, INDIRECT(Config!$H$1), 0), MATCH(AT$1, INDIRECT(Config!$I$1), 0)), "")</f>
        <v/>
      </c>
      <c r="AU103" s="35" t="str">
        <f t="array" ref="AU103">IFERROR(INDEX(INDIRECT(Config!$G$1), MATCH($A103, INDIRECT(Config!$H$1), 0), MATCH(AU$1, INDIRECT(Config!$I$1), 0)), "")</f>
        <v/>
      </c>
      <c r="AV103" s="32" t="str">
        <f t="array" ref="AV103">IFERROR(INDEX(INDIRECT(Config!$G$1), MATCH($A103, INDIRECT(Config!$H$1), 0), MATCH(AV$1, INDIRECT(Config!$I$1), 0)), "")</f>
        <v/>
      </c>
      <c r="AW103" s="35"/>
      <c r="AX103" s="32"/>
      <c r="AY103" s="35"/>
    </row>
    <row r="104" ht="9.0" customHeight="1">
      <c r="A104" s="11"/>
      <c r="B104" s="12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ht="15.75" customHeight="1">
      <c r="A105" s="11" t="s">
        <v>8</v>
      </c>
      <c r="B105" s="50">
        <f t="shared" ref="B105:AY105" si="8">SUM(B106:B115)</f>
        <v>0</v>
      </c>
      <c r="C105" s="38">
        <f t="shared" si="8"/>
        <v>0</v>
      </c>
      <c r="D105" s="28" t="str">
        <f t="shared" si="8"/>
        <v>#VALUE!</v>
      </c>
      <c r="E105" s="26" t="str">
        <f t="shared" si="8"/>
        <v>#VALUE!</v>
      </c>
      <c r="F105" s="29" t="str">
        <f t="shared" si="8"/>
        <v>#VALUE!</v>
      </c>
      <c r="G105" s="26" t="str">
        <f t="shared" si="8"/>
        <v>#VALUE!</v>
      </c>
      <c r="H105" s="29" t="str">
        <f t="shared" si="8"/>
        <v>#VALUE!</v>
      </c>
      <c r="I105" s="26" t="str">
        <f t="shared" si="8"/>
        <v>#VALUE!</v>
      </c>
      <c r="J105" s="29" t="str">
        <f t="shared" si="8"/>
        <v>#VALUE!</v>
      </c>
      <c r="K105" s="26" t="str">
        <f t="shared" si="8"/>
        <v>#VALUE!</v>
      </c>
      <c r="L105" s="29" t="str">
        <f t="shared" si="8"/>
        <v>#VALUE!</v>
      </c>
      <c r="M105" s="26" t="str">
        <f t="shared" si="8"/>
        <v>#VALUE!</v>
      </c>
      <c r="N105" s="29" t="str">
        <f t="shared" si="8"/>
        <v>#VALUE!</v>
      </c>
      <c r="O105" s="26" t="str">
        <f t="shared" si="8"/>
        <v>#VALUE!</v>
      </c>
      <c r="P105" s="29" t="str">
        <f t="shared" si="8"/>
        <v>#VALUE!</v>
      </c>
      <c r="Q105" s="26" t="str">
        <f t="shared" si="8"/>
        <v>#VALUE!</v>
      </c>
      <c r="R105" s="29" t="str">
        <f t="shared" si="8"/>
        <v>#VALUE!</v>
      </c>
      <c r="S105" s="26" t="str">
        <f t="shared" si="8"/>
        <v>#VALUE!</v>
      </c>
      <c r="T105" s="29" t="str">
        <f t="shared" si="8"/>
        <v>#VALUE!</v>
      </c>
      <c r="U105" s="26" t="str">
        <f t="shared" si="8"/>
        <v>#VALUE!</v>
      </c>
      <c r="V105" s="29" t="str">
        <f t="shared" si="8"/>
        <v>#VALUE!</v>
      </c>
      <c r="W105" s="26" t="str">
        <f t="shared" si="8"/>
        <v>#VALUE!</v>
      </c>
      <c r="X105" s="29" t="str">
        <f t="shared" si="8"/>
        <v>#VALUE!</v>
      </c>
      <c r="Y105" s="26" t="str">
        <f t="shared" si="8"/>
        <v>#VALUE!</v>
      </c>
      <c r="Z105" s="26" t="str">
        <f t="shared" si="8"/>
        <v>#VALUE!</v>
      </c>
      <c r="AA105" s="29" t="str">
        <f t="shared" si="8"/>
        <v>#VALUE!</v>
      </c>
      <c r="AB105" s="26" t="str">
        <f t="shared" si="8"/>
        <v>#VALUE!</v>
      </c>
      <c r="AC105" s="29" t="str">
        <f t="shared" si="8"/>
        <v>#VALUE!</v>
      </c>
      <c r="AD105" s="26" t="str">
        <f t="shared" si="8"/>
        <v>#VALUE!</v>
      </c>
      <c r="AE105" s="29" t="str">
        <f t="shared" si="8"/>
        <v>#VALUE!</v>
      </c>
      <c r="AF105" s="26" t="str">
        <f t="shared" si="8"/>
        <v>#VALUE!</v>
      </c>
      <c r="AG105" s="29" t="str">
        <f t="shared" si="8"/>
        <v>#VALUE!</v>
      </c>
      <c r="AH105" s="26" t="str">
        <f t="shared" si="8"/>
        <v>#VALUE!</v>
      </c>
      <c r="AI105" s="29" t="str">
        <f t="shared" si="8"/>
        <v>#VALUE!</v>
      </c>
      <c r="AJ105" s="26" t="str">
        <f t="shared" si="8"/>
        <v>#VALUE!</v>
      </c>
      <c r="AK105" s="29" t="str">
        <f t="shared" si="8"/>
        <v>#VALUE!</v>
      </c>
      <c r="AL105" s="26" t="str">
        <f t="shared" si="8"/>
        <v>#VALUE!</v>
      </c>
      <c r="AM105" s="29" t="str">
        <f t="shared" si="8"/>
        <v>#VALUE!</v>
      </c>
      <c r="AN105" s="26" t="str">
        <f t="shared" si="8"/>
        <v>#VALUE!</v>
      </c>
      <c r="AO105" s="29" t="str">
        <f t="shared" si="8"/>
        <v>#VALUE!</v>
      </c>
      <c r="AP105" s="26" t="str">
        <f t="shared" si="8"/>
        <v>#VALUE!</v>
      </c>
      <c r="AQ105" s="29" t="str">
        <f t="shared" si="8"/>
        <v>#VALUE!</v>
      </c>
      <c r="AR105" s="26" t="str">
        <f t="shared" si="8"/>
        <v>#VALUE!</v>
      </c>
      <c r="AS105" s="29" t="str">
        <f t="shared" si="8"/>
        <v>#VALUE!</v>
      </c>
      <c r="AT105" s="26" t="str">
        <f t="shared" si="8"/>
        <v>#VALUE!</v>
      </c>
      <c r="AU105" s="29" t="str">
        <f t="shared" si="8"/>
        <v>#VALUE!</v>
      </c>
      <c r="AV105" s="26" t="str">
        <f t="shared" si="8"/>
        <v>#VALUE!</v>
      </c>
      <c r="AW105" s="29" t="str">
        <f t="shared" si="8"/>
        <v>#VALUE!</v>
      </c>
      <c r="AX105" s="26" t="str">
        <f t="shared" si="8"/>
        <v>#VALUE!</v>
      </c>
      <c r="AY105" s="29" t="str">
        <f t="shared" si="8"/>
        <v>#VALUE!</v>
      </c>
    </row>
    <row r="106" ht="15.75" customHeight="1">
      <c r="A106" s="40" t="str">
        <f>Menus!Q2</f>
        <v/>
      </c>
      <c r="B106" s="51" t="str">
        <f t="shared" ref="B106:B115" si="9">IFERROR(SUM(D106:AR106),"")</f>
        <v/>
      </c>
      <c r="C106" s="33" t="str">
        <f t="shared" ref="C106:C110" si="10">IFERROR(INDEX($E$1:$AQ127, MATCH($A106, $A$1:$A127, 0), MATCH(C$1, $E$1:AY$1, 0)), "")
</f>
        <v/>
      </c>
      <c r="D106" s="34" t="str">
        <f t="array" ref="D106">SUM(SUMIFS(INDIRECT($A$6) ,OtrosR!$C$3:$C127,$A106,OtrosR!$B$3:$B127,D$1))</f>
        <v>#VALUE!</v>
      </c>
      <c r="E106" s="32" t="str">
        <f t="array" ref="E106">SUM(SUMIFS(INDIRECT($A$6) ,OtrosR!$C$3:$C127,$A106,OtrosR!$B$3:$B127,E$1))</f>
        <v>#VALUE!</v>
      </c>
      <c r="F106" s="37" t="str">
        <f t="array" ref="F106">SUM(SUMIFS(INDIRECT($A$6) ,OtrosR!$C$3:$C127,$A106,OtrosR!$B$3:$B127,F$1))</f>
        <v>#VALUE!</v>
      </c>
      <c r="G106" s="32" t="str">
        <f t="array" ref="G106">SUM(SUMIFS(INDIRECT($A$6) ,OtrosR!$C$3:$C127,$A106,OtrosR!$B$3:$B127,G$1))</f>
        <v>#VALUE!</v>
      </c>
      <c r="H106" s="37" t="str">
        <f t="array" ref="H106">SUM(SUMIFS(INDIRECT($A$6) ,OtrosR!$C$3:$C127,$A106,OtrosR!$B$3:$B127,H$1))</f>
        <v>#VALUE!</v>
      </c>
      <c r="I106" s="32" t="str">
        <f t="array" ref="I106">SUM(SUMIFS(INDIRECT($A$6) ,OtrosR!$C$3:$C127,$A106,OtrosR!$B$3:$B127,I$1))</f>
        <v>#VALUE!</v>
      </c>
      <c r="J106" s="37" t="str">
        <f t="array" ref="J106">SUM(SUMIFS(INDIRECT($A$6) ,OtrosR!$C$3:$C127,$A106,OtrosR!$B$3:$B127,J$1))</f>
        <v>#VALUE!</v>
      </c>
      <c r="K106" s="32" t="str">
        <f t="array" ref="K106">SUM(SUMIFS(INDIRECT($A$6) ,OtrosR!$C$3:$C127,$A106,OtrosR!$B$3:$B127,K$1))</f>
        <v>#VALUE!</v>
      </c>
      <c r="L106" s="37" t="str">
        <f t="array" ref="L106">SUM(SUMIFS(INDIRECT($A$6) ,OtrosR!$C$3:$C127,$A106,OtrosR!$B$3:$B127,L$1))</f>
        <v>#VALUE!</v>
      </c>
      <c r="M106" s="32" t="str">
        <f t="array" ref="M106">SUM(SUMIFS(INDIRECT($A$6) ,OtrosR!$C$3:$C127,$A106,OtrosR!$B$3:$B127,M$1))</f>
        <v>#VALUE!</v>
      </c>
      <c r="N106" s="37" t="str">
        <f t="array" ref="N106">SUM(SUMIFS(INDIRECT($A$6) ,OtrosR!$C$3:$C127,$A106,OtrosR!$B$3:$B127,N$1))</f>
        <v>#VALUE!</v>
      </c>
      <c r="O106" s="32" t="str">
        <f t="array" ref="O106">SUM(SUMIFS(INDIRECT($A$6) ,OtrosR!$C$3:$C127,$A106,OtrosR!$B$3:$B127,O$1))</f>
        <v>#VALUE!</v>
      </c>
      <c r="P106" s="37" t="str">
        <f t="array" ref="P106">SUM(SUMIFS(INDIRECT($A$6) ,OtrosR!$C$3:$C127,$A106,OtrosR!$B$3:$B127,P$1))</f>
        <v>#VALUE!</v>
      </c>
      <c r="Q106" s="32" t="str">
        <f t="array" ref="Q106">SUM(SUMIFS(INDIRECT($A$6) ,OtrosR!$C$3:$C127,$A106,OtrosR!$B$3:$B127,Q$1))</f>
        <v>#VALUE!</v>
      </c>
      <c r="R106" s="37" t="str">
        <f t="array" ref="R106">SUM(SUMIFS(INDIRECT($A$6) ,OtrosR!$C$3:$C127,$A106,OtrosR!$B$3:$B127,R$1))</f>
        <v>#VALUE!</v>
      </c>
      <c r="S106" s="32" t="str">
        <f t="array" ref="S106">SUM(SUMIFS(INDIRECT($A$6) ,OtrosR!$C$3:$C127,$A106,OtrosR!$B$3:$B127,S$1))</f>
        <v>#VALUE!</v>
      </c>
      <c r="T106" s="37" t="str">
        <f t="array" ref="T106">SUM(SUMIFS(INDIRECT($A$6) ,OtrosR!$C$3:$C127,$A106,OtrosR!$B$3:$B127,T$1))</f>
        <v>#VALUE!</v>
      </c>
      <c r="U106" s="32" t="str">
        <f t="array" ref="U106">SUM(SUMIFS(INDIRECT($A$6) ,OtrosR!$C$3:$C127,$A106,OtrosR!$B$3:$B127,U$1))</f>
        <v>#VALUE!</v>
      </c>
      <c r="V106" s="37" t="str">
        <f t="array" ref="V106">SUM(SUMIFS(INDIRECT($A$6) ,OtrosR!$C$3:$C127,$A106,OtrosR!$B$3:$B127,V$1))</f>
        <v>#VALUE!</v>
      </c>
      <c r="W106" s="32" t="str">
        <f t="array" ref="W106">SUM(SUMIFS(INDIRECT($A$6) ,OtrosR!$C$3:$C127,$A106,OtrosR!$B$3:$B127,W$1))</f>
        <v>#VALUE!</v>
      </c>
      <c r="X106" s="37" t="str">
        <f t="array" ref="X106">SUM(SUMIFS(INDIRECT($A$6) ,OtrosR!$C$3:$C127,$A106,OtrosR!$B$3:$B127,X$1))</f>
        <v>#VALUE!</v>
      </c>
      <c r="Y106" s="32" t="str">
        <f t="array" ref="Y106">SUM(SUMIFS(INDIRECT($A$6) ,OtrosR!$C$3:$C127,$A106,OtrosR!$B$3:$B127,Y$1))</f>
        <v>#VALUE!</v>
      </c>
      <c r="Z106" s="32" t="str">
        <f t="array" ref="Z106">SUM(SUMIFS(INDIRECT($A$6) ,OtrosR!$C$3:$C127,$A106,OtrosR!$B$3:$B127,Z$1))</f>
        <v>#VALUE!</v>
      </c>
      <c r="AA106" s="37" t="str">
        <f t="array" ref="AA106">SUM(SUMIFS(INDIRECT($A$6) ,OtrosR!$C$3:$C127,$A106,OtrosR!$B$3:$B127,AA$1))</f>
        <v>#VALUE!</v>
      </c>
      <c r="AB106" s="32" t="str">
        <f t="array" ref="AB106">SUM(SUMIFS(INDIRECT($A$6) ,OtrosR!$C$3:$C127,$A106,OtrosR!$B$3:$B127,AB$1))</f>
        <v>#VALUE!</v>
      </c>
      <c r="AC106" s="37" t="str">
        <f t="array" ref="AC106">SUM(SUMIFS(INDIRECT($A$6) ,OtrosR!$C$3:$C127,$A106,OtrosR!$B$3:$B127,AC$1))</f>
        <v>#VALUE!</v>
      </c>
      <c r="AD106" s="32" t="str">
        <f t="array" ref="AD106">SUM(SUMIFS(INDIRECT($A$6) ,OtrosR!$C$3:$C127,$A106,OtrosR!$B$3:$B127,AD$1))</f>
        <v>#VALUE!</v>
      </c>
      <c r="AE106" s="37" t="str">
        <f t="array" ref="AE106">SUM(SUMIFS(INDIRECT($A$6) ,OtrosR!$C$3:$C127,$A106,OtrosR!$B$3:$B127,AE$1))</f>
        <v>#VALUE!</v>
      </c>
      <c r="AF106" s="32" t="str">
        <f t="array" ref="AF106">SUM(SUMIFS(INDIRECT($A$6) ,OtrosR!$C$3:$C127,$A106,OtrosR!$B$3:$B127,AF$1))</f>
        <v>#VALUE!</v>
      </c>
      <c r="AG106" s="37" t="str">
        <f t="array" ref="AG106">SUM(SUMIFS(INDIRECT($A$6) ,OtrosR!$C$3:$C127,$A106,OtrosR!$B$3:$B127,AG$1))</f>
        <v>#VALUE!</v>
      </c>
      <c r="AH106" s="32" t="str">
        <f t="array" ref="AH106">SUM(SUMIFS(INDIRECT($A$6) ,OtrosR!$C$3:$C127,$A106,OtrosR!$B$3:$B127,AH$1))</f>
        <v>#VALUE!</v>
      </c>
      <c r="AI106" s="37" t="str">
        <f t="array" ref="AI106">SUM(SUMIFS(INDIRECT($A$6) ,OtrosR!$C$3:$C127,$A106,OtrosR!$B$3:$B127,AI$1))</f>
        <v>#VALUE!</v>
      </c>
      <c r="AJ106" s="32" t="str">
        <f t="array" ref="AJ106">SUM(SUMIFS(INDIRECT($A$6) ,OtrosR!$C$3:$C127,$A106,OtrosR!$B$3:$B127,AJ$1))</f>
        <v>#VALUE!</v>
      </c>
      <c r="AK106" s="37" t="str">
        <f t="array" ref="AK106">SUM(SUMIFS(INDIRECT($A$6) ,OtrosR!$C$3:$C127,$A106,OtrosR!$B$3:$B127,AK$1))</f>
        <v>#VALUE!</v>
      </c>
      <c r="AL106" s="32" t="str">
        <f t="array" ref="AL106">SUM(SUMIFS(INDIRECT($A$6) ,OtrosR!$C$3:$C127,$A106,OtrosR!$B$3:$B127,AL$1))</f>
        <v>#VALUE!</v>
      </c>
      <c r="AM106" s="37" t="str">
        <f t="array" ref="AM106">SUM(SUMIFS(INDIRECT($A$6) ,OtrosR!$C$3:$C127,$A106,OtrosR!$B$3:$B127,AM$1))</f>
        <v>#VALUE!</v>
      </c>
      <c r="AN106" s="32" t="str">
        <f t="array" ref="AN106">SUM(SUMIFS(INDIRECT($A$6) ,OtrosR!$C$3:$C127,$A106,OtrosR!$B$3:$B127,AN$1))</f>
        <v>#VALUE!</v>
      </c>
      <c r="AO106" s="37" t="str">
        <f t="array" ref="AO106">SUM(SUMIFS(INDIRECT($A$6) ,OtrosR!$C$3:$C127,$A106,OtrosR!$B$3:$B127,AO$1))</f>
        <v>#VALUE!</v>
      </c>
      <c r="AP106" s="32" t="str">
        <f t="array" ref="AP106">SUM(SUMIFS(INDIRECT($A$6) ,OtrosR!$C$3:$C127,$A106,OtrosR!$B$3:$B127,AP$1))</f>
        <v>#VALUE!</v>
      </c>
      <c r="AQ106" s="37" t="str">
        <f t="array" ref="AQ106">SUM(SUMIFS(INDIRECT($A$6) ,OtrosR!$C$3:$C127,$A106,OtrosR!$B$3:$B127,AQ$1))</f>
        <v>#VALUE!</v>
      </c>
      <c r="AR106" s="32" t="str">
        <f t="array" ref="AR106">SUM(SUMIFS(INDIRECT($A$6) ,OtrosR!$C$3:$C127,$A106,OtrosR!$B$3:$B127,AR$1))</f>
        <v>#VALUE!</v>
      </c>
      <c r="AS106" s="37" t="str">
        <f t="array" ref="AS106">SUM(SUMIFS(INDIRECT($A$6) ,OtrosR!$C$3:$C127,$A106,OtrosR!$B$3:$B127,AS$1))</f>
        <v>#VALUE!</v>
      </c>
      <c r="AT106" s="32" t="str">
        <f t="array" ref="AT106">SUM(SUMIFS(INDIRECT($A$6) ,OtrosR!$C$3:$C127,$A106,OtrosR!$B$3:$B127,AT$1))</f>
        <v>#VALUE!</v>
      </c>
      <c r="AU106" s="37" t="str">
        <f t="array" ref="AU106">SUM(SUMIFS(INDIRECT($A$6) ,OtrosR!$C$3:$C127,$A106,OtrosR!$B$3:$B127,AU$1))</f>
        <v>#VALUE!</v>
      </c>
      <c r="AV106" s="32" t="str">
        <f t="array" ref="AV106">SUM(SUMIFS(INDIRECT($A$6) ,OtrosR!$C$3:$C127,$A106,OtrosR!$B$3:$B127,AV$1))</f>
        <v>#VALUE!</v>
      </c>
      <c r="AW106" s="37" t="str">
        <f t="array" ref="AW106">SUM(SUMIFS(INDIRECT($A$6) ,OtrosR!$C$3:$C127,$A106,OtrosR!$B$3:$B127,AW$1))</f>
        <v>#VALUE!</v>
      </c>
      <c r="AX106" s="32" t="str">
        <f t="array" ref="AX106">SUM(SUMIFS(INDIRECT($A$6) ,OtrosR!$C$3:$C127,$A106,OtrosR!$B$3:$B127,AX$1))</f>
        <v>#VALUE!</v>
      </c>
      <c r="AY106" s="37" t="str">
        <f t="array" ref="AY106">SUM(SUMIFS(INDIRECT($A$6) ,OtrosR!$C$3:$C127,$A106,OtrosR!$B$3:$B127,AY$1))</f>
        <v>#VALUE!</v>
      </c>
    </row>
    <row r="107" ht="15.75" customHeight="1">
      <c r="A107" s="40" t="str">
        <f>Menus!Q3</f>
        <v/>
      </c>
      <c r="B107" s="51" t="str">
        <f t="shared" si="9"/>
        <v/>
      </c>
      <c r="C107" s="33" t="str">
        <f t="shared" si="10"/>
        <v/>
      </c>
      <c r="D107" s="34" t="str">
        <f t="array" ref="D107">SUM(SUMIFS(INDIRECT($A$6) ,OtrosR!$C$3:$C127,$A107,OtrosR!$B$3:$B127,D$1))</f>
        <v>#VALUE!</v>
      </c>
      <c r="E107" s="32" t="str">
        <f t="array" ref="E107">SUM(SUMIFS(INDIRECT($A$6) ,OtrosR!$C$3:$C127,$A107,OtrosR!$B$3:$B127,E$1))</f>
        <v>#VALUE!</v>
      </c>
      <c r="F107" s="37" t="str">
        <f t="array" ref="F107">SUM(SUMIFS(INDIRECT($A$6) ,OtrosR!$C$3:$C127,$A107,OtrosR!$B$3:$B127,F$1))</f>
        <v>#VALUE!</v>
      </c>
      <c r="G107" s="32" t="str">
        <f t="array" ref="G107">SUM(SUMIFS(INDIRECT($A$6) ,OtrosR!$C$3:$C127,$A107,OtrosR!$B$3:$B127,G$1))</f>
        <v>#VALUE!</v>
      </c>
      <c r="H107" s="37" t="str">
        <f t="array" ref="H107">SUM(SUMIFS(INDIRECT($A$6) ,OtrosR!$C$3:$C127,$A107,OtrosR!$B$3:$B127,H$1))</f>
        <v>#VALUE!</v>
      </c>
      <c r="I107" s="32" t="str">
        <f t="array" ref="I107">SUM(SUMIFS(INDIRECT($A$6) ,OtrosR!$C$3:$C127,$A107,OtrosR!$B$3:$B127,I$1))</f>
        <v>#VALUE!</v>
      </c>
      <c r="J107" s="37" t="str">
        <f t="array" ref="J107">SUM(SUMIFS(INDIRECT($A$6) ,OtrosR!$C$3:$C127,$A107,OtrosR!$B$3:$B127,J$1))</f>
        <v>#VALUE!</v>
      </c>
      <c r="K107" s="32" t="str">
        <f t="array" ref="K107">SUM(SUMIFS(INDIRECT($A$6) ,OtrosR!$C$3:$C127,$A107,OtrosR!$B$3:$B127,K$1))</f>
        <v>#VALUE!</v>
      </c>
      <c r="L107" s="37" t="str">
        <f t="array" ref="L107">SUM(SUMIFS(INDIRECT($A$6) ,OtrosR!$C$3:$C127,$A107,OtrosR!$B$3:$B127,L$1))</f>
        <v>#VALUE!</v>
      </c>
      <c r="M107" s="32" t="str">
        <f t="array" ref="M107">SUM(SUMIFS(INDIRECT($A$6) ,OtrosR!$C$3:$C127,$A107,OtrosR!$B$3:$B127,M$1))</f>
        <v>#VALUE!</v>
      </c>
      <c r="N107" s="37" t="str">
        <f t="array" ref="N107">SUM(SUMIFS(INDIRECT($A$6) ,OtrosR!$C$3:$C127,$A107,OtrosR!$B$3:$B127,N$1))</f>
        <v>#VALUE!</v>
      </c>
      <c r="O107" s="32" t="str">
        <f t="array" ref="O107">SUM(SUMIFS(INDIRECT($A$6) ,OtrosR!$C$3:$C127,$A107,OtrosR!$B$3:$B127,O$1))</f>
        <v>#VALUE!</v>
      </c>
      <c r="P107" s="37" t="str">
        <f t="array" ref="P107">SUM(SUMIFS(INDIRECT($A$6) ,OtrosR!$C$3:$C127,$A107,OtrosR!$B$3:$B127,P$1))</f>
        <v>#VALUE!</v>
      </c>
      <c r="Q107" s="32" t="str">
        <f t="array" ref="Q107">SUM(SUMIFS(INDIRECT($A$6) ,OtrosR!$C$3:$C127,$A107,OtrosR!$B$3:$B127,Q$1))</f>
        <v>#VALUE!</v>
      </c>
      <c r="R107" s="37" t="str">
        <f t="array" ref="R107">SUM(SUMIFS(INDIRECT($A$6) ,OtrosR!$C$3:$C127,$A107,OtrosR!$B$3:$B127,R$1))</f>
        <v>#VALUE!</v>
      </c>
      <c r="S107" s="32" t="str">
        <f t="array" ref="S107">SUM(SUMIFS(INDIRECT($A$6) ,OtrosR!$C$3:$C127,$A107,OtrosR!$B$3:$B127,S$1))</f>
        <v>#VALUE!</v>
      </c>
      <c r="T107" s="37" t="str">
        <f t="array" ref="T107">SUM(SUMIFS(INDIRECT($A$6) ,OtrosR!$C$3:$C127,$A107,OtrosR!$B$3:$B127,T$1))</f>
        <v>#VALUE!</v>
      </c>
      <c r="U107" s="32" t="str">
        <f t="array" ref="U107">SUM(SUMIFS(INDIRECT($A$6) ,OtrosR!$C$3:$C127,$A107,OtrosR!$B$3:$B127,U$1))</f>
        <v>#VALUE!</v>
      </c>
      <c r="V107" s="37" t="str">
        <f t="array" ref="V107">SUM(SUMIFS(INDIRECT($A$6) ,OtrosR!$C$3:$C127,$A107,OtrosR!$B$3:$B127,V$1))</f>
        <v>#VALUE!</v>
      </c>
      <c r="W107" s="32" t="str">
        <f t="array" ref="W107">SUM(SUMIFS(INDIRECT($A$6) ,OtrosR!$C$3:$C127,$A107,OtrosR!$B$3:$B127,W$1))</f>
        <v>#VALUE!</v>
      </c>
      <c r="X107" s="37" t="str">
        <f t="array" ref="X107">SUM(SUMIFS(INDIRECT($A$6) ,OtrosR!$C$3:$C127,$A107,OtrosR!$B$3:$B127,X$1))</f>
        <v>#VALUE!</v>
      </c>
      <c r="Y107" s="32" t="str">
        <f t="array" ref="Y107">SUM(SUMIFS(INDIRECT($A$6) ,OtrosR!$C$3:$C127,$A107,OtrosR!$B$3:$B127,Y$1))</f>
        <v>#VALUE!</v>
      </c>
      <c r="Z107" s="32" t="str">
        <f t="array" ref="Z107">SUM(SUMIFS(INDIRECT($A$6) ,OtrosR!$C$3:$C127,$A107,OtrosR!$B$3:$B127,Z$1))</f>
        <v>#VALUE!</v>
      </c>
      <c r="AA107" s="37" t="str">
        <f t="array" ref="AA107">SUM(SUMIFS(INDIRECT($A$6) ,OtrosR!$C$3:$C127,$A107,OtrosR!$B$3:$B127,AA$1))</f>
        <v>#VALUE!</v>
      </c>
      <c r="AB107" s="32" t="str">
        <f t="array" ref="AB107">SUM(SUMIFS(INDIRECT($A$6) ,OtrosR!$C$3:$C127,$A107,OtrosR!$B$3:$B127,AB$1))</f>
        <v>#VALUE!</v>
      </c>
      <c r="AC107" s="37" t="str">
        <f t="array" ref="AC107">SUM(SUMIFS(INDIRECT($A$6) ,OtrosR!$C$3:$C127,$A107,OtrosR!$B$3:$B127,AC$1))</f>
        <v>#VALUE!</v>
      </c>
      <c r="AD107" s="32" t="str">
        <f t="array" ref="AD107">SUM(SUMIFS(INDIRECT($A$6) ,OtrosR!$C$3:$C127,$A107,OtrosR!$B$3:$B127,AD$1))</f>
        <v>#VALUE!</v>
      </c>
      <c r="AE107" s="37" t="str">
        <f t="array" ref="AE107">SUM(SUMIFS(INDIRECT($A$6) ,OtrosR!$C$3:$C127,$A107,OtrosR!$B$3:$B127,AE$1))</f>
        <v>#VALUE!</v>
      </c>
      <c r="AF107" s="32" t="str">
        <f t="array" ref="AF107">SUM(SUMIFS(INDIRECT($A$6) ,OtrosR!$C$3:$C127,$A107,OtrosR!$B$3:$B127,AF$1))</f>
        <v>#VALUE!</v>
      </c>
      <c r="AG107" s="37" t="str">
        <f t="array" ref="AG107">SUM(SUMIFS(INDIRECT($A$6) ,OtrosR!$C$3:$C127,$A107,OtrosR!$B$3:$B127,AG$1))</f>
        <v>#VALUE!</v>
      </c>
      <c r="AH107" s="32" t="str">
        <f t="array" ref="AH107">SUM(SUMIFS(INDIRECT($A$6) ,OtrosR!$C$3:$C127,$A107,OtrosR!$B$3:$B127,AH$1))</f>
        <v>#VALUE!</v>
      </c>
      <c r="AI107" s="37" t="str">
        <f t="array" ref="AI107">SUM(SUMIFS(INDIRECT($A$6) ,OtrosR!$C$3:$C127,$A107,OtrosR!$B$3:$B127,AI$1))</f>
        <v>#VALUE!</v>
      </c>
      <c r="AJ107" s="32" t="str">
        <f t="array" ref="AJ107">SUM(SUMIFS(INDIRECT($A$6) ,OtrosR!$C$3:$C127,$A107,OtrosR!$B$3:$B127,AJ$1))</f>
        <v>#VALUE!</v>
      </c>
      <c r="AK107" s="37" t="str">
        <f t="array" ref="AK107">SUM(SUMIFS(INDIRECT($A$6) ,OtrosR!$C$3:$C127,$A107,OtrosR!$B$3:$B127,AK$1))</f>
        <v>#VALUE!</v>
      </c>
      <c r="AL107" s="32" t="str">
        <f t="array" ref="AL107">SUM(SUMIFS(INDIRECT($A$6) ,OtrosR!$C$3:$C127,$A107,OtrosR!$B$3:$B127,AL$1))</f>
        <v>#VALUE!</v>
      </c>
      <c r="AM107" s="37" t="str">
        <f t="array" ref="AM107">SUM(SUMIFS(INDIRECT($A$6) ,OtrosR!$C$3:$C127,$A107,OtrosR!$B$3:$B127,AM$1))</f>
        <v>#VALUE!</v>
      </c>
      <c r="AN107" s="32" t="str">
        <f t="array" ref="AN107">SUM(SUMIFS(INDIRECT($A$6) ,OtrosR!$C$3:$C127,$A107,OtrosR!$B$3:$B127,AN$1))</f>
        <v>#VALUE!</v>
      </c>
      <c r="AO107" s="37" t="str">
        <f t="array" ref="AO107">SUM(SUMIFS(INDIRECT($A$6) ,OtrosR!$C$3:$C127,$A107,OtrosR!$B$3:$B127,AO$1))</f>
        <v>#VALUE!</v>
      </c>
      <c r="AP107" s="32" t="str">
        <f t="array" ref="AP107">SUM(SUMIFS(INDIRECT($A$6) ,OtrosR!$C$3:$C127,$A107,OtrosR!$B$3:$B127,AP$1))</f>
        <v>#VALUE!</v>
      </c>
      <c r="AQ107" s="37" t="str">
        <f t="array" ref="AQ107">SUM(SUMIFS(INDIRECT($A$6) ,OtrosR!$C$3:$C127,$A107,OtrosR!$B$3:$B127,AQ$1))</f>
        <v>#VALUE!</v>
      </c>
      <c r="AR107" s="32" t="str">
        <f t="array" ref="AR107">SUM(SUMIFS(INDIRECT($A$6) ,OtrosR!$C$3:$C127,$A107,OtrosR!$B$3:$B127,AR$1))</f>
        <v>#VALUE!</v>
      </c>
      <c r="AS107" s="37" t="str">
        <f t="array" ref="AS107">SUM(SUMIFS(INDIRECT($A$6) ,OtrosR!$C$3:$C127,$A107,OtrosR!$B$3:$B127,AS$1))</f>
        <v>#VALUE!</v>
      </c>
      <c r="AT107" s="32" t="str">
        <f t="array" ref="AT107">SUM(SUMIFS(INDIRECT($A$6) ,OtrosR!$C$3:$C127,$A107,OtrosR!$B$3:$B127,AT$1))</f>
        <v>#VALUE!</v>
      </c>
      <c r="AU107" s="37" t="str">
        <f t="array" ref="AU107">SUM(SUMIFS(INDIRECT($A$6) ,OtrosR!$C$3:$C127,$A107,OtrosR!$B$3:$B127,AU$1))</f>
        <v>#VALUE!</v>
      </c>
      <c r="AV107" s="32" t="str">
        <f t="array" ref="AV107">SUM(SUMIFS(INDIRECT($A$6) ,OtrosR!$C$3:$C127,$A107,OtrosR!$B$3:$B127,AV$1))</f>
        <v>#VALUE!</v>
      </c>
      <c r="AW107" s="37" t="str">
        <f t="array" ref="AW107">SUM(SUMIFS(INDIRECT($A$6) ,OtrosR!$C$3:$C127,$A107,OtrosR!$B$3:$B127,AW$1))</f>
        <v>#VALUE!</v>
      </c>
      <c r="AX107" s="32" t="str">
        <f t="array" ref="AX107">SUM(SUMIFS(INDIRECT($A$6) ,OtrosR!$C$3:$C127,$A107,OtrosR!$B$3:$B127,AX$1))</f>
        <v>#VALUE!</v>
      </c>
      <c r="AY107" s="37" t="str">
        <f t="array" ref="AY107">SUM(SUMIFS(INDIRECT($A$6) ,OtrosR!$C$3:$C127,$A107,OtrosR!$B$3:$B127,AY$1))</f>
        <v>#VALUE!</v>
      </c>
    </row>
    <row r="108" ht="15.75" customHeight="1">
      <c r="A108" s="40" t="str">
        <f>Menus!Q4</f>
        <v/>
      </c>
      <c r="B108" s="51" t="str">
        <f t="shared" si="9"/>
        <v/>
      </c>
      <c r="C108" s="33" t="str">
        <f t="shared" si="10"/>
        <v/>
      </c>
      <c r="D108" s="34" t="str">
        <f t="array" ref="D108">SUM(SUMIFS(INDIRECT($A$6) ,OtrosR!$C$3:$C127,$A108,OtrosR!$B$3:$B127,D$1))</f>
        <v>#VALUE!</v>
      </c>
      <c r="E108" s="32" t="str">
        <f t="array" ref="E108">SUM(SUMIFS(INDIRECT($A$6) ,OtrosR!$C$3:$C127,$A108,OtrosR!$B$3:$B127,E$1))</f>
        <v>#VALUE!</v>
      </c>
      <c r="F108" s="37" t="str">
        <f t="array" ref="F108">SUM(SUMIFS(INDIRECT($A$6) ,OtrosR!$C$3:$C127,$A108,OtrosR!$B$3:$B127,F$1))</f>
        <v>#VALUE!</v>
      </c>
      <c r="G108" s="32" t="str">
        <f t="array" ref="G108">SUM(SUMIFS(INDIRECT($A$6) ,OtrosR!$C$3:$C127,$A108,OtrosR!$B$3:$B127,G$1))</f>
        <v>#VALUE!</v>
      </c>
      <c r="H108" s="37" t="str">
        <f t="array" ref="H108">SUM(SUMIFS(INDIRECT($A$6) ,OtrosR!$C$3:$C127,$A108,OtrosR!$B$3:$B127,H$1))</f>
        <v>#VALUE!</v>
      </c>
      <c r="I108" s="32" t="str">
        <f t="array" ref="I108">SUM(SUMIFS(INDIRECT($A$6) ,OtrosR!$C$3:$C127,$A108,OtrosR!$B$3:$B127,I$1))</f>
        <v>#VALUE!</v>
      </c>
      <c r="J108" s="37" t="str">
        <f t="array" ref="J108">SUM(SUMIFS(INDIRECT($A$6) ,OtrosR!$C$3:$C127,$A108,OtrosR!$B$3:$B127,J$1))</f>
        <v>#VALUE!</v>
      </c>
      <c r="K108" s="32" t="str">
        <f t="array" ref="K108">SUM(SUMIFS(INDIRECT($A$6) ,OtrosR!$C$3:$C127,$A108,OtrosR!$B$3:$B127,K$1))</f>
        <v>#VALUE!</v>
      </c>
      <c r="L108" s="37" t="str">
        <f t="array" ref="L108">SUM(SUMIFS(INDIRECT($A$6) ,OtrosR!$C$3:$C127,$A108,OtrosR!$B$3:$B127,L$1))</f>
        <v>#VALUE!</v>
      </c>
      <c r="M108" s="32" t="str">
        <f t="array" ref="M108">SUM(SUMIFS(INDIRECT($A$6) ,OtrosR!$C$3:$C127,$A108,OtrosR!$B$3:$B127,M$1))</f>
        <v>#VALUE!</v>
      </c>
      <c r="N108" s="37" t="str">
        <f t="array" ref="N108">SUM(SUMIFS(INDIRECT($A$6) ,OtrosR!$C$3:$C127,$A108,OtrosR!$B$3:$B127,N$1))</f>
        <v>#VALUE!</v>
      </c>
      <c r="O108" s="32" t="str">
        <f t="array" ref="O108">SUM(SUMIFS(INDIRECT($A$6) ,OtrosR!$C$3:$C127,$A108,OtrosR!$B$3:$B127,O$1))</f>
        <v>#VALUE!</v>
      </c>
      <c r="P108" s="37" t="str">
        <f t="array" ref="P108">SUM(SUMIFS(INDIRECT($A$6) ,OtrosR!$C$3:$C127,$A108,OtrosR!$B$3:$B127,P$1))</f>
        <v>#VALUE!</v>
      </c>
      <c r="Q108" s="32" t="str">
        <f t="array" ref="Q108">SUM(SUMIFS(INDIRECT($A$6) ,OtrosR!$C$3:$C127,$A108,OtrosR!$B$3:$B127,Q$1))</f>
        <v>#VALUE!</v>
      </c>
      <c r="R108" s="37" t="str">
        <f t="array" ref="R108">SUM(SUMIFS(INDIRECT($A$6) ,OtrosR!$C$3:$C127,$A108,OtrosR!$B$3:$B127,R$1))</f>
        <v>#VALUE!</v>
      </c>
      <c r="S108" s="32" t="str">
        <f t="array" ref="S108">SUM(SUMIFS(INDIRECT($A$6) ,OtrosR!$C$3:$C127,$A108,OtrosR!$B$3:$B127,S$1))</f>
        <v>#VALUE!</v>
      </c>
      <c r="T108" s="37" t="str">
        <f t="array" ref="T108">SUM(SUMIFS(INDIRECT($A$6) ,OtrosR!$C$3:$C127,$A108,OtrosR!$B$3:$B127,T$1))</f>
        <v>#VALUE!</v>
      </c>
      <c r="U108" s="32" t="str">
        <f t="array" ref="U108">SUM(SUMIFS(INDIRECT($A$6) ,OtrosR!$C$3:$C127,$A108,OtrosR!$B$3:$B127,U$1))</f>
        <v>#VALUE!</v>
      </c>
      <c r="V108" s="37" t="str">
        <f t="array" ref="V108">SUM(SUMIFS(INDIRECT($A$6) ,OtrosR!$C$3:$C127,$A108,OtrosR!$B$3:$B127,V$1))</f>
        <v>#VALUE!</v>
      </c>
      <c r="W108" s="32" t="str">
        <f t="array" ref="W108">SUM(SUMIFS(INDIRECT($A$6) ,OtrosR!$C$3:$C127,$A108,OtrosR!$B$3:$B127,W$1))</f>
        <v>#VALUE!</v>
      </c>
      <c r="X108" s="37" t="str">
        <f t="array" ref="X108">SUM(SUMIFS(INDIRECT($A$6) ,OtrosR!$C$3:$C127,$A108,OtrosR!$B$3:$B127,X$1))</f>
        <v>#VALUE!</v>
      </c>
      <c r="Y108" s="32" t="str">
        <f t="array" ref="Y108">SUM(SUMIFS(INDIRECT($A$6) ,OtrosR!$C$3:$C127,$A108,OtrosR!$B$3:$B127,Y$1))</f>
        <v>#VALUE!</v>
      </c>
      <c r="Z108" s="32" t="str">
        <f t="array" ref="Z108">SUM(SUMIFS(INDIRECT($A$6) ,OtrosR!$C$3:$C127,$A108,OtrosR!$B$3:$B127,Z$1))</f>
        <v>#VALUE!</v>
      </c>
      <c r="AA108" s="37" t="str">
        <f t="array" ref="AA108">SUM(SUMIFS(INDIRECT($A$6) ,OtrosR!$C$3:$C127,$A108,OtrosR!$B$3:$B127,AA$1))</f>
        <v>#VALUE!</v>
      </c>
      <c r="AB108" s="32" t="str">
        <f t="array" ref="AB108">SUM(SUMIFS(INDIRECT($A$6) ,OtrosR!$C$3:$C127,$A108,OtrosR!$B$3:$B127,AB$1))</f>
        <v>#VALUE!</v>
      </c>
      <c r="AC108" s="37" t="str">
        <f t="array" ref="AC108">SUM(SUMIFS(INDIRECT($A$6) ,OtrosR!$C$3:$C127,$A108,OtrosR!$B$3:$B127,AC$1))</f>
        <v>#VALUE!</v>
      </c>
      <c r="AD108" s="32" t="str">
        <f t="array" ref="AD108">SUM(SUMIFS(INDIRECT($A$6) ,OtrosR!$C$3:$C127,$A108,OtrosR!$B$3:$B127,AD$1))</f>
        <v>#VALUE!</v>
      </c>
      <c r="AE108" s="37" t="str">
        <f t="array" ref="AE108">SUM(SUMIFS(INDIRECT($A$6) ,OtrosR!$C$3:$C127,$A108,OtrosR!$B$3:$B127,AE$1))</f>
        <v>#VALUE!</v>
      </c>
      <c r="AF108" s="32" t="str">
        <f t="array" ref="AF108">SUM(SUMIFS(INDIRECT($A$6) ,OtrosR!$C$3:$C127,$A108,OtrosR!$B$3:$B127,AF$1))</f>
        <v>#VALUE!</v>
      </c>
      <c r="AG108" s="37" t="str">
        <f t="array" ref="AG108">SUM(SUMIFS(INDIRECT($A$6) ,OtrosR!$C$3:$C127,$A108,OtrosR!$B$3:$B127,AG$1))</f>
        <v>#VALUE!</v>
      </c>
      <c r="AH108" s="32" t="str">
        <f t="array" ref="AH108">SUM(SUMIFS(INDIRECT($A$6) ,OtrosR!$C$3:$C127,$A108,OtrosR!$B$3:$B127,AH$1))</f>
        <v>#VALUE!</v>
      </c>
      <c r="AI108" s="37" t="str">
        <f t="array" ref="AI108">SUM(SUMIFS(INDIRECT($A$6) ,OtrosR!$C$3:$C127,$A108,OtrosR!$B$3:$B127,AI$1))</f>
        <v>#VALUE!</v>
      </c>
      <c r="AJ108" s="32" t="str">
        <f t="array" ref="AJ108">SUM(SUMIFS(INDIRECT($A$6) ,OtrosR!$C$3:$C127,$A108,OtrosR!$B$3:$B127,AJ$1))</f>
        <v>#VALUE!</v>
      </c>
      <c r="AK108" s="37" t="str">
        <f t="array" ref="AK108">SUM(SUMIFS(INDIRECT($A$6) ,OtrosR!$C$3:$C127,$A108,OtrosR!$B$3:$B127,AK$1))</f>
        <v>#VALUE!</v>
      </c>
      <c r="AL108" s="32" t="str">
        <f t="array" ref="AL108">SUM(SUMIFS(INDIRECT($A$6) ,OtrosR!$C$3:$C127,$A108,OtrosR!$B$3:$B127,AL$1))</f>
        <v>#VALUE!</v>
      </c>
      <c r="AM108" s="37" t="str">
        <f t="array" ref="AM108">SUM(SUMIFS(INDIRECT($A$6) ,OtrosR!$C$3:$C127,$A108,OtrosR!$B$3:$B127,AM$1))</f>
        <v>#VALUE!</v>
      </c>
      <c r="AN108" s="32" t="str">
        <f t="array" ref="AN108">SUM(SUMIFS(INDIRECT($A$6) ,OtrosR!$C$3:$C127,$A108,OtrosR!$B$3:$B127,AN$1))</f>
        <v>#VALUE!</v>
      </c>
      <c r="AO108" s="37" t="str">
        <f t="array" ref="AO108">SUM(SUMIFS(INDIRECT($A$6) ,OtrosR!$C$3:$C127,$A108,OtrosR!$B$3:$B127,AO$1))</f>
        <v>#VALUE!</v>
      </c>
      <c r="AP108" s="32" t="str">
        <f t="array" ref="AP108">SUM(SUMIFS(INDIRECT($A$6) ,OtrosR!$C$3:$C127,$A108,OtrosR!$B$3:$B127,AP$1))</f>
        <v>#VALUE!</v>
      </c>
      <c r="AQ108" s="37" t="str">
        <f t="array" ref="AQ108">SUM(SUMIFS(INDIRECT($A$6) ,OtrosR!$C$3:$C127,$A108,OtrosR!$B$3:$B127,AQ$1))</f>
        <v>#VALUE!</v>
      </c>
      <c r="AR108" s="32" t="str">
        <f t="array" ref="AR108">SUM(SUMIFS(INDIRECT($A$6) ,OtrosR!$C$3:$C127,$A108,OtrosR!$B$3:$B127,AR$1))</f>
        <v>#VALUE!</v>
      </c>
      <c r="AS108" s="37" t="str">
        <f t="array" ref="AS108">SUM(SUMIFS(INDIRECT($A$6) ,OtrosR!$C$3:$C127,$A108,OtrosR!$B$3:$B127,AS$1))</f>
        <v>#VALUE!</v>
      </c>
      <c r="AT108" s="32" t="str">
        <f t="array" ref="AT108">SUM(SUMIFS(INDIRECT($A$6) ,OtrosR!$C$3:$C127,$A108,OtrosR!$B$3:$B127,AT$1))</f>
        <v>#VALUE!</v>
      </c>
      <c r="AU108" s="37" t="str">
        <f t="array" ref="AU108">SUM(SUMIFS(INDIRECT($A$6) ,OtrosR!$C$3:$C127,$A108,OtrosR!$B$3:$B127,AU$1))</f>
        <v>#VALUE!</v>
      </c>
      <c r="AV108" s="32" t="str">
        <f t="array" ref="AV108">SUM(SUMIFS(INDIRECT($A$6) ,OtrosR!$C$3:$C127,$A108,OtrosR!$B$3:$B127,AV$1))</f>
        <v>#VALUE!</v>
      </c>
      <c r="AW108" s="37" t="str">
        <f t="array" ref="AW108">SUM(SUMIFS(INDIRECT($A$6) ,OtrosR!$C$3:$C127,$A108,OtrosR!$B$3:$B127,AW$1))</f>
        <v>#VALUE!</v>
      </c>
      <c r="AX108" s="32" t="str">
        <f t="array" ref="AX108">SUM(SUMIFS(INDIRECT($A$6) ,OtrosR!$C$3:$C127,$A108,OtrosR!$B$3:$B127,AX$1))</f>
        <v>#VALUE!</v>
      </c>
      <c r="AY108" s="37" t="str">
        <f t="array" ref="AY108">SUM(SUMIFS(INDIRECT($A$6) ,OtrosR!$C$3:$C127,$A108,OtrosR!$B$3:$B127,AY$1))</f>
        <v>#VALUE!</v>
      </c>
    </row>
    <row r="109" ht="15.75" customHeight="1">
      <c r="A109" s="40" t="str">
        <f>Menus!Q5</f>
        <v/>
      </c>
      <c r="B109" s="51" t="str">
        <f t="shared" si="9"/>
        <v/>
      </c>
      <c r="C109" s="33" t="str">
        <f t="shared" si="10"/>
        <v/>
      </c>
      <c r="D109" s="34" t="str">
        <f t="array" ref="D109">SUM(SUMIFS(INDIRECT($A$6) ,OtrosR!$C$3:$C127,$A109,OtrosR!$B$3:$B127,D$1))</f>
        <v>#VALUE!</v>
      </c>
      <c r="E109" s="32" t="str">
        <f t="array" ref="E109">SUM(SUMIFS(INDIRECT($A$6) ,OtrosR!$C$3:$C127,$A109,OtrosR!$B$3:$B127,E$1))</f>
        <v>#VALUE!</v>
      </c>
      <c r="F109" s="37" t="str">
        <f t="array" ref="F109">SUM(SUMIFS(INDIRECT($A$6) ,OtrosR!$C$3:$C127,$A109,OtrosR!$B$3:$B127,F$1))</f>
        <v>#VALUE!</v>
      </c>
      <c r="G109" s="32" t="str">
        <f t="array" ref="G109">SUM(SUMIFS(INDIRECT($A$6) ,OtrosR!$C$3:$C127,$A109,OtrosR!$B$3:$B127,G$1))</f>
        <v>#VALUE!</v>
      </c>
      <c r="H109" s="37" t="str">
        <f t="array" ref="H109">SUM(SUMIFS(INDIRECT($A$6) ,OtrosR!$C$3:$C127,$A109,OtrosR!$B$3:$B127,H$1))</f>
        <v>#VALUE!</v>
      </c>
      <c r="I109" s="32" t="str">
        <f t="array" ref="I109">SUM(SUMIFS(INDIRECT($A$6) ,OtrosR!$C$3:$C127,$A109,OtrosR!$B$3:$B127,I$1))</f>
        <v>#VALUE!</v>
      </c>
      <c r="J109" s="37" t="str">
        <f t="array" ref="J109">SUM(SUMIFS(INDIRECT($A$6) ,OtrosR!$C$3:$C127,$A109,OtrosR!$B$3:$B127,J$1))</f>
        <v>#VALUE!</v>
      </c>
      <c r="K109" s="32" t="str">
        <f t="array" ref="K109">SUM(SUMIFS(INDIRECT($A$6) ,OtrosR!$C$3:$C127,$A109,OtrosR!$B$3:$B127,K$1))</f>
        <v>#VALUE!</v>
      </c>
      <c r="L109" s="37" t="str">
        <f t="array" ref="L109">SUM(SUMIFS(INDIRECT($A$6) ,OtrosR!$C$3:$C127,$A109,OtrosR!$B$3:$B127,L$1))</f>
        <v>#VALUE!</v>
      </c>
      <c r="M109" s="32" t="str">
        <f t="array" ref="M109">SUM(SUMIFS(INDIRECT($A$6) ,OtrosR!$C$3:$C127,$A109,OtrosR!$B$3:$B127,M$1))</f>
        <v>#VALUE!</v>
      </c>
      <c r="N109" s="37" t="str">
        <f t="array" ref="N109">SUM(SUMIFS(INDIRECT($A$6) ,OtrosR!$C$3:$C127,$A109,OtrosR!$B$3:$B127,N$1))</f>
        <v>#VALUE!</v>
      </c>
      <c r="O109" s="32" t="str">
        <f t="array" ref="O109">SUM(SUMIFS(INDIRECT($A$6) ,OtrosR!$C$3:$C127,$A109,OtrosR!$B$3:$B127,O$1))</f>
        <v>#VALUE!</v>
      </c>
      <c r="P109" s="37" t="str">
        <f t="array" ref="P109">SUM(SUMIFS(INDIRECT($A$6) ,OtrosR!$C$3:$C127,$A109,OtrosR!$B$3:$B127,P$1))</f>
        <v>#VALUE!</v>
      </c>
      <c r="Q109" s="32" t="str">
        <f t="array" ref="Q109">SUM(SUMIFS(INDIRECT($A$6) ,OtrosR!$C$3:$C127,$A109,OtrosR!$B$3:$B127,Q$1))</f>
        <v>#VALUE!</v>
      </c>
      <c r="R109" s="37" t="str">
        <f t="array" ref="R109">SUM(SUMIFS(INDIRECT($A$6) ,OtrosR!$C$3:$C127,$A109,OtrosR!$B$3:$B127,R$1))</f>
        <v>#VALUE!</v>
      </c>
      <c r="S109" s="32" t="str">
        <f t="array" ref="S109">SUM(SUMIFS(INDIRECT($A$6) ,OtrosR!$C$3:$C127,$A109,OtrosR!$B$3:$B127,S$1))</f>
        <v>#VALUE!</v>
      </c>
      <c r="T109" s="37" t="str">
        <f t="array" ref="T109">SUM(SUMIFS(INDIRECT($A$6) ,OtrosR!$C$3:$C127,$A109,OtrosR!$B$3:$B127,T$1))</f>
        <v>#VALUE!</v>
      </c>
      <c r="U109" s="32" t="str">
        <f t="array" ref="U109">SUM(SUMIFS(INDIRECT($A$6) ,OtrosR!$C$3:$C127,$A109,OtrosR!$B$3:$B127,U$1))</f>
        <v>#VALUE!</v>
      </c>
      <c r="V109" s="37" t="str">
        <f t="array" ref="V109">SUM(SUMIFS(INDIRECT($A$6) ,OtrosR!$C$3:$C127,$A109,OtrosR!$B$3:$B127,V$1))</f>
        <v>#VALUE!</v>
      </c>
      <c r="W109" s="32" t="str">
        <f t="array" ref="W109">SUM(SUMIFS(INDIRECT($A$6) ,OtrosR!$C$3:$C127,$A109,OtrosR!$B$3:$B127,W$1))</f>
        <v>#VALUE!</v>
      </c>
      <c r="X109" s="37" t="str">
        <f t="array" ref="X109">SUM(SUMIFS(INDIRECT($A$6) ,OtrosR!$C$3:$C127,$A109,OtrosR!$B$3:$B127,X$1))</f>
        <v>#VALUE!</v>
      </c>
      <c r="Y109" s="32" t="str">
        <f t="array" ref="Y109">SUM(SUMIFS(INDIRECT($A$6) ,OtrosR!$C$3:$C127,$A109,OtrosR!$B$3:$B127,Y$1))</f>
        <v>#VALUE!</v>
      </c>
      <c r="Z109" s="32" t="str">
        <f t="array" ref="Z109">SUM(SUMIFS(INDIRECT($A$6) ,OtrosR!$C$3:$C127,$A109,OtrosR!$B$3:$B127,Z$1))</f>
        <v>#VALUE!</v>
      </c>
      <c r="AA109" s="37" t="str">
        <f t="array" ref="AA109">SUM(SUMIFS(INDIRECT($A$6) ,OtrosR!$C$3:$C127,$A109,OtrosR!$B$3:$B127,AA$1))</f>
        <v>#VALUE!</v>
      </c>
      <c r="AB109" s="32" t="str">
        <f t="array" ref="AB109">SUM(SUMIFS(INDIRECT($A$6) ,OtrosR!$C$3:$C127,$A109,OtrosR!$B$3:$B127,AB$1))</f>
        <v>#VALUE!</v>
      </c>
      <c r="AC109" s="37" t="str">
        <f t="array" ref="AC109">SUM(SUMIFS(INDIRECT($A$6) ,OtrosR!$C$3:$C127,$A109,OtrosR!$B$3:$B127,AC$1))</f>
        <v>#VALUE!</v>
      </c>
      <c r="AD109" s="32" t="str">
        <f t="array" ref="AD109">SUM(SUMIFS(INDIRECT($A$6) ,OtrosR!$C$3:$C127,$A109,OtrosR!$B$3:$B127,AD$1))</f>
        <v>#VALUE!</v>
      </c>
      <c r="AE109" s="37" t="str">
        <f t="array" ref="AE109">SUM(SUMIFS(INDIRECT($A$6) ,OtrosR!$C$3:$C127,$A109,OtrosR!$B$3:$B127,AE$1))</f>
        <v>#VALUE!</v>
      </c>
      <c r="AF109" s="32" t="str">
        <f t="array" ref="AF109">SUM(SUMIFS(INDIRECT($A$6) ,OtrosR!$C$3:$C127,$A109,OtrosR!$B$3:$B127,AF$1))</f>
        <v>#VALUE!</v>
      </c>
      <c r="AG109" s="37" t="str">
        <f t="array" ref="AG109">SUM(SUMIFS(INDIRECT($A$6) ,OtrosR!$C$3:$C127,$A109,OtrosR!$B$3:$B127,AG$1))</f>
        <v>#VALUE!</v>
      </c>
      <c r="AH109" s="32" t="str">
        <f t="array" ref="AH109">SUM(SUMIFS(INDIRECT($A$6) ,OtrosR!$C$3:$C127,$A109,OtrosR!$B$3:$B127,AH$1))</f>
        <v>#VALUE!</v>
      </c>
      <c r="AI109" s="37" t="str">
        <f t="array" ref="AI109">SUM(SUMIFS(INDIRECT($A$6) ,OtrosR!$C$3:$C127,$A109,OtrosR!$B$3:$B127,AI$1))</f>
        <v>#VALUE!</v>
      </c>
      <c r="AJ109" s="32" t="str">
        <f t="array" ref="AJ109">SUM(SUMIFS(INDIRECT($A$6) ,OtrosR!$C$3:$C127,$A109,OtrosR!$B$3:$B127,AJ$1))</f>
        <v>#VALUE!</v>
      </c>
      <c r="AK109" s="37" t="str">
        <f t="array" ref="AK109">SUM(SUMIFS(INDIRECT($A$6) ,OtrosR!$C$3:$C127,$A109,OtrosR!$B$3:$B127,AK$1))</f>
        <v>#VALUE!</v>
      </c>
      <c r="AL109" s="32" t="str">
        <f t="array" ref="AL109">SUM(SUMIFS(INDIRECT($A$6) ,OtrosR!$C$3:$C127,$A109,OtrosR!$B$3:$B127,AL$1))</f>
        <v>#VALUE!</v>
      </c>
      <c r="AM109" s="37" t="str">
        <f t="array" ref="AM109">SUM(SUMIFS(INDIRECT($A$6) ,OtrosR!$C$3:$C127,$A109,OtrosR!$B$3:$B127,AM$1))</f>
        <v>#VALUE!</v>
      </c>
      <c r="AN109" s="32" t="str">
        <f t="array" ref="AN109">SUM(SUMIFS(INDIRECT($A$6) ,OtrosR!$C$3:$C127,$A109,OtrosR!$B$3:$B127,AN$1))</f>
        <v>#VALUE!</v>
      </c>
      <c r="AO109" s="37" t="str">
        <f t="array" ref="AO109">SUM(SUMIFS(INDIRECT($A$6) ,OtrosR!$C$3:$C127,$A109,OtrosR!$B$3:$B127,AO$1))</f>
        <v>#VALUE!</v>
      </c>
      <c r="AP109" s="32" t="str">
        <f t="array" ref="AP109">SUM(SUMIFS(INDIRECT($A$6) ,OtrosR!$C$3:$C127,$A109,OtrosR!$B$3:$B127,AP$1))</f>
        <v>#VALUE!</v>
      </c>
      <c r="AQ109" s="37" t="str">
        <f t="array" ref="AQ109">SUM(SUMIFS(INDIRECT($A$6) ,OtrosR!$C$3:$C127,$A109,OtrosR!$B$3:$B127,AQ$1))</f>
        <v>#VALUE!</v>
      </c>
      <c r="AR109" s="32" t="str">
        <f t="array" ref="AR109">SUM(SUMIFS(INDIRECT($A$6) ,OtrosR!$C$3:$C127,$A109,OtrosR!$B$3:$B127,AR$1))</f>
        <v>#VALUE!</v>
      </c>
      <c r="AS109" s="37" t="str">
        <f t="array" ref="AS109">SUM(SUMIFS(INDIRECT($A$6) ,OtrosR!$C$3:$C127,$A109,OtrosR!$B$3:$B127,AS$1))</f>
        <v>#VALUE!</v>
      </c>
      <c r="AT109" s="32" t="str">
        <f t="array" ref="AT109">SUM(SUMIFS(INDIRECT($A$6) ,OtrosR!$C$3:$C127,$A109,OtrosR!$B$3:$B127,AT$1))</f>
        <v>#VALUE!</v>
      </c>
      <c r="AU109" s="37" t="str">
        <f t="array" ref="AU109">SUM(SUMIFS(INDIRECT($A$6) ,OtrosR!$C$3:$C127,$A109,OtrosR!$B$3:$B127,AU$1))</f>
        <v>#VALUE!</v>
      </c>
      <c r="AV109" s="32" t="str">
        <f t="array" ref="AV109">SUM(SUMIFS(INDIRECT($A$6) ,OtrosR!$C$3:$C127,$A109,OtrosR!$B$3:$B127,AV$1))</f>
        <v>#VALUE!</v>
      </c>
      <c r="AW109" s="37" t="str">
        <f t="array" ref="AW109">SUM(SUMIFS(INDIRECT($A$6) ,OtrosR!$C$3:$C127,$A109,OtrosR!$B$3:$B127,AW$1))</f>
        <v>#VALUE!</v>
      </c>
      <c r="AX109" s="32" t="str">
        <f t="array" ref="AX109">SUM(SUMIFS(INDIRECT($A$6) ,OtrosR!$C$3:$C127,$A109,OtrosR!$B$3:$B127,AX$1))</f>
        <v>#VALUE!</v>
      </c>
      <c r="AY109" s="37" t="str">
        <f t="array" ref="AY109">SUM(SUMIFS(INDIRECT($A$6) ,OtrosR!$C$3:$C127,$A109,OtrosR!$B$3:$B127,AY$1))</f>
        <v>#VALUE!</v>
      </c>
    </row>
    <row r="110" ht="15.75" customHeight="1">
      <c r="A110" s="40" t="str">
        <f>Menus!Q6</f>
        <v/>
      </c>
      <c r="B110" s="51" t="str">
        <f t="shared" si="9"/>
        <v/>
      </c>
      <c r="C110" s="33" t="str">
        <f t="shared" si="10"/>
        <v/>
      </c>
      <c r="D110" s="34" t="str">
        <f t="array" ref="D110">SUM(SUMIFS(INDIRECT($A$6) ,OtrosR!$C$3:$C127,$A110,OtrosR!$B$3:$B127,D$1))</f>
        <v>#VALUE!</v>
      </c>
      <c r="E110" s="32" t="str">
        <f t="array" ref="E110">SUM(SUMIFS(INDIRECT($A$6) ,OtrosR!$C$3:$C127,$A110,OtrosR!$B$3:$B127,E$1))</f>
        <v>#VALUE!</v>
      </c>
      <c r="F110" s="37" t="str">
        <f t="array" ref="F110">SUM(SUMIFS(INDIRECT($A$6) ,OtrosR!$C$3:$C127,$A110,OtrosR!$B$3:$B127,F$1))</f>
        <v>#VALUE!</v>
      </c>
      <c r="G110" s="32" t="str">
        <f t="array" ref="G110">SUM(SUMIFS(INDIRECT($A$6) ,OtrosR!$C$3:$C127,$A110,OtrosR!$B$3:$B127,G$1))</f>
        <v>#VALUE!</v>
      </c>
      <c r="H110" s="37" t="str">
        <f t="array" ref="H110">SUM(SUMIFS(INDIRECT($A$6) ,OtrosR!$C$3:$C127,$A110,OtrosR!$B$3:$B127,H$1))</f>
        <v>#VALUE!</v>
      </c>
      <c r="I110" s="32" t="str">
        <f t="array" ref="I110">SUM(SUMIFS(INDIRECT($A$6) ,OtrosR!$C$3:$C127,$A110,OtrosR!$B$3:$B127,I$1))</f>
        <v>#VALUE!</v>
      </c>
      <c r="J110" s="37" t="str">
        <f t="array" ref="J110">SUM(SUMIFS(INDIRECT($A$6) ,OtrosR!$C$3:$C127,$A110,OtrosR!$B$3:$B127,J$1))</f>
        <v>#VALUE!</v>
      </c>
      <c r="K110" s="32" t="str">
        <f t="array" ref="K110">SUM(SUMIFS(INDIRECT($A$6) ,OtrosR!$C$3:$C127,$A110,OtrosR!$B$3:$B127,K$1))</f>
        <v>#VALUE!</v>
      </c>
      <c r="L110" s="37" t="str">
        <f t="array" ref="L110">SUM(SUMIFS(INDIRECT($A$6) ,OtrosR!$C$3:$C127,$A110,OtrosR!$B$3:$B127,L$1))</f>
        <v>#VALUE!</v>
      </c>
      <c r="M110" s="32" t="str">
        <f t="array" ref="M110">SUM(SUMIFS(INDIRECT($A$6) ,OtrosR!$C$3:$C127,$A110,OtrosR!$B$3:$B127,M$1))</f>
        <v>#VALUE!</v>
      </c>
      <c r="N110" s="37" t="str">
        <f t="array" ref="N110">SUM(SUMIFS(INDIRECT($A$6) ,OtrosR!$C$3:$C127,$A110,OtrosR!$B$3:$B127,N$1))</f>
        <v>#VALUE!</v>
      </c>
      <c r="O110" s="32" t="str">
        <f t="array" ref="O110">SUM(SUMIFS(INDIRECT($A$6) ,OtrosR!$C$3:$C127,$A110,OtrosR!$B$3:$B127,O$1))</f>
        <v>#VALUE!</v>
      </c>
      <c r="P110" s="37" t="str">
        <f t="array" ref="P110">SUM(SUMIFS(INDIRECT($A$6) ,OtrosR!$C$3:$C127,$A110,OtrosR!$B$3:$B127,P$1))</f>
        <v>#VALUE!</v>
      </c>
      <c r="Q110" s="32" t="str">
        <f t="array" ref="Q110">SUM(SUMIFS(INDIRECT($A$6) ,OtrosR!$C$3:$C127,$A110,OtrosR!$B$3:$B127,Q$1))</f>
        <v>#VALUE!</v>
      </c>
      <c r="R110" s="37" t="str">
        <f t="array" ref="R110">SUM(SUMIFS(INDIRECT($A$6) ,OtrosR!$C$3:$C127,$A110,OtrosR!$B$3:$B127,R$1))</f>
        <v>#VALUE!</v>
      </c>
      <c r="S110" s="32" t="str">
        <f t="array" ref="S110">SUM(SUMIFS(INDIRECT($A$6) ,OtrosR!$C$3:$C127,$A110,OtrosR!$B$3:$B127,S$1))</f>
        <v>#VALUE!</v>
      </c>
      <c r="T110" s="37" t="str">
        <f t="array" ref="T110">SUM(SUMIFS(INDIRECT($A$6) ,OtrosR!$C$3:$C127,$A110,OtrosR!$B$3:$B127,T$1))</f>
        <v>#VALUE!</v>
      </c>
      <c r="U110" s="32" t="str">
        <f t="array" ref="U110">SUM(SUMIFS(INDIRECT($A$6) ,OtrosR!$C$3:$C127,$A110,OtrosR!$B$3:$B127,U$1))</f>
        <v>#VALUE!</v>
      </c>
      <c r="V110" s="37" t="str">
        <f t="array" ref="V110">SUM(SUMIFS(INDIRECT($A$6) ,OtrosR!$C$3:$C127,$A110,OtrosR!$B$3:$B127,V$1))</f>
        <v>#VALUE!</v>
      </c>
      <c r="W110" s="32" t="str">
        <f t="array" ref="W110">SUM(SUMIFS(INDIRECT($A$6) ,OtrosR!$C$3:$C127,$A110,OtrosR!$B$3:$B127,W$1))</f>
        <v>#VALUE!</v>
      </c>
      <c r="X110" s="37" t="str">
        <f t="array" ref="X110">SUM(SUMIFS(INDIRECT($A$6) ,OtrosR!$C$3:$C127,$A110,OtrosR!$B$3:$B127,X$1))</f>
        <v>#VALUE!</v>
      </c>
      <c r="Y110" s="32" t="str">
        <f t="array" ref="Y110">SUM(SUMIFS(INDIRECT($A$6) ,OtrosR!$C$3:$C127,$A110,OtrosR!$B$3:$B127,Y$1))</f>
        <v>#VALUE!</v>
      </c>
      <c r="Z110" s="32" t="str">
        <f t="array" ref="Z110">SUM(SUMIFS(INDIRECT($A$6) ,OtrosR!$C$3:$C127,$A110,OtrosR!$B$3:$B127,Z$1))</f>
        <v>#VALUE!</v>
      </c>
      <c r="AA110" s="37" t="str">
        <f t="array" ref="AA110">SUM(SUMIFS(INDIRECT($A$6) ,OtrosR!$C$3:$C127,$A110,OtrosR!$B$3:$B127,AA$1))</f>
        <v>#VALUE!</v>
      </c>
      <c r="AB110" s="32" t="str">
        <f t="array" ref="AB110">SUM(SUMIFS(INDIRECT($A$6) ,OtrosR!$C$3:$C127,$A110,OtrosR!$B$3:$B127,AB$1))</f>
        <v>#VALUE!</v>
      </c>
      <c r="AC110" s="37" t="str">
        <f t="array" ref="AC110">SUM(SUMIFS(INDIRECT($A$6) ,OtrosR!$C$3:$C127,$A110,OtrosR!$B$3:$B127,AC$1))</f>
        <v>#VALUE!</v>
      </c>
      <c r="AD110" s="32" t="str">
        <f t="array" ref="AD110">SUM(SUMIFS(INDIRECT($A$6) ,OtrosR!$C$3:$C127,$A110,OtrosR!$B$3:$B127,AD$1))</f>
        <v>#VALUE!</v>
      </c>
      <c r="AE110" s="37" t="str">
        <f t="array" ref="AE110">SUM(SUMIFS(INDIRECT($A$6) ,OtrosR!$C$3:$C127,$A110,OtrosR!$B$3:$B127,AE$1))</f>
        <v>#VALUE!</v>
      </c>
      <c r="AF110" s="32" t="str">
        <f t="array" ref="AF110">SUM(SUMIFS(INDIRECT($A$6) ,OtrosR!$C$3:$C127,$A110,OtrosR!$B$3:$B127,AF$1))</f>
        <v>#VALUE!</v>
      </c>
      <c r="AG110" s="37" t="str">
        <f t="array" ref="AG110">SUM(SUMIFS(INDIRECT($A$6) ,OtrosR!$C$3:$C127,$A110,OtrosR!$B$3:$B127,AG$1))</f>
        <v>#VALUE!</v>
      </c>
      <c r="AH110" s="32" t="str">
        <f t="array" ref="AH110">SUM(SUMIFS(INDIRECT($A$6) ,OtrosR!$C$3:$C127,$A110,OtrosR!$B$3:$B127,AH$1))</f>
        <v>#VALUE!</v>
      </c>
      <c r="AI110" s="37" t="str">
        <f t="array" ref="AI110">SUM(SUMIFS(INDIRECT($A$6) ,OtrosR!$C$3:$C127,$A110,OtrosR!$B$3:$B127,AI$1))</f>
        <v>#VALUE!</v>
      </c>
      <c r="AJ110" s="32" t="str">
        <f t="array" ref="AJ110">SUM(SUMIFS(INDIRECT($A$6) ,OtrosR!$C$3:$C127,$A110,OtrosR!$B$3:$B127,AJ$1))</f>
        <v>#VALUE!</v>
      </c>
      <c r="AK110" s="37" t="str">
        <f t="array" ref="AK110">SUM(SUMIFS(INDIRECT($A$6) ,OtrosR!$C$3:$C127,$A110,OtrosR!$B$3:$B127,AK$1))</f>
        <v>#VALUE!</v>
      </c>
      <c r="AL110" s="32" t="str">
        <f t="array" ref="AL110">SUM(SUMIFS(INDIRECT($A$6) ,OtrosR!$C$3:$C127,$A110,OtrosR!$B$3:$B127,AL$1))</f>
        <v>#VALUE!</v>
      </c>
      <c r="AM110" s="37" t="str">
        <f t="array" ref="AM110">SUM(SUMIFS(INDIRECT($A$6) ,OtrosR!$C$3:$C127,$A110,OtrosR!$B$3:$B127,AM$1))</f>
        <v>#VALUE!</v>
      </c>
      <c r="AN110" s="32" t="str">
        <f t="array" ref="AN110">SUM(SUMIFS(INDIRECT($A$6) ,OtrosR!$C$3:$C127,$A110,OtrosR!$B$3:$B127,AN$1))</f>
        <v>#VALUE!</v>
      </c>
      <c r="AO110" s="37" t="str">
        <f t="array" ref="AO110">SUM(SUMIFS(INDIRECT($A$6) ,OtrosR!$C$3:$C127,$A110,OtrosR!$B$3:$B127,AO$1))</f>
        <v>#VALUE!</v>
      </c>
      <c r="AP110" s="32" t="str">
        <f t="array" ref="AP110">SUM(SUMIFS(INDIRECT($A$6) ,OtrosR!$C$3:$C127,$A110,OtrosR!$B$3:$B127,AP$1))</f>
        <v>#VALUE!</v>
      </c>
      <c r="AQ110" s="37" t="str">
        <f t="array" ref="AQ110">SUM(SUMIFS(INDIRECT($A$6) ,OtrosR!$C$3:$C127,$A110,OtrosR!$B$3:$B127,AQ$1))</f>
        <v>#VALUE!</v>
      </c>
      <c r="AR110" s="32" t="str">
        <f t="array" ref="AR110">SUM(SUMIFS(INDIRECT($A$6) ,OtrosR!$C$3:$C127,$A110,OtrosR!$B$3:$B127,AR$1))</f>
        <v>#VALUE!</v>
      </c>
      <c r="AS110" s="37" t="str">
        <f t="array" ref="AS110">SUM(SUMIFS(INDIRECT($A$6) ,OtrosR!$C$3:$C127,$A110,OtrosR!$B$3:$B127,AS$1))</f>
        <v>#VALUE!</v>
      </c>
      <c r="AT110" s="32" t="str">
        <f t="array" ref="AT110">SUM(SUMIFS(INDIRECT($A$6) ,OtrosR!$C$3:$C127,$A110,OtrosR!$B$3:$B127,AT$1))</f>
        <v>#VALUE!</v>
      </c>
      <c r="AU110" s="37" t="str">
        <f t="array" ref="AU110">SUM(SUMIFS(INDIRECT($A$6) ,OtrosR!$C$3:$C127,$A110,OtrosR!$B$3:$B127,AU$1))</f>
        <v>#VALUE!</v>
      </c>
      <c r="AV110" s="32" t="str">
        <f t="array" ref="AV110">SUM(SUMIFS(INDIRECT($A$6) ,OtrosR!$C$3:$C127,$A110,OtrosR!$B$3:$B127,AV$1))</f>
        <v>#VALUE!</v>
      </c>
      <c r="AW110" s="37" t="str">
        <f t="array" ref="AW110">SUM(SUMIFS(INDIRECT($A$6) ,OtrosR!$C$3:$C127,$A110,OtrosR!$B$3:$B127,AW$1))</f>
        <v>#VALUE!</v>
      </c>
      <c r="AX110" s="32" t="str">
        <f t="array" ref="AX110">SUM(SUMIFS(INDIRECT($A$6) ,OtrosR!$C$3:$C127,$A110,OtrosR!$B$3:$B127,AX$1))</f>
        <v>#VALUE!</v>
      </c>
      <c r="AY110" s="37" t="str">
        <f t="array" ref="AY110">SUM(SUMIFS(INDIRECT($A$6) ,OtrosR!$C$3:$C127,$A110,OtrosR!$B$3:$B127,AY$1))</f>
        <v>#VALUE!</v>
      </c>
    </row>
    <row r="111" ht="15.75" hidden="1" customHeight="1">
      <c r="A111" s="40" t="str">
        <f>Menus!Q8</f>
        <v/>
      </c>
      <c r="B111" s="51" t="str">
        <f t="shared" si="9"/>
        <v/>
      </c>
      <c r="C111" s="33" t="str">
        <f t="array" ref="C111">IFERROR(INDEX($E$1:$AQ127, MATCH(#REF!, $A$1:$A127, 0), MATCH(C$1, $E$1:AY$1, 0)), "")</f>
        <v/>
      </c>
      <c r="D111" s="34" t="str">
        <f t="array" ref="D111">SUM(SUMIFS(INDIRECT($A$6) ,OtrosR!$C$3:$C127,#REF!,OtrosR!$B$3:$B127,D$1))</f>
        <v>#VALUE!</v>
      </c>
      <c r="E111" s="32" t="str">
        <f t="array" ref="E111">SUM(SUMIFS(INDIRECT($A$6) ,OtrosR!$C$3:$C127,#REF!,OtrosR!$B$3:$B127,E$1))</f>
        <v>#VALUE!</v>
      </c>
      <c r="F111" s="37" t="str">
        <f t="array" ref="F111">SUM(SUMIFS(INDIRECT($A$6) ,OtrosR!$C$3:$C127,#REF!,OtrosR!$B$3:$B127,F$1))</f>
        <v>#VALUE!</v>
      </c>
      <c r="G111" s="32" t="str">
        <f t="array" ref="G111">SUM(SUMIFS(INDIRECT($A$6) ,OtrosR!$C$3:$C127,#REF!,OtrosR!$B$3:$B127,G$1))</f>
        <v>#VALUE!</v>
      </c>
      <c r="H111" s="37" t="str">
        <f t="array" ref="H111">SUM(SUMIFS(INDIRECT($A$6) ,OtrosR!$C$3:$C127,#REF!,OtrosR!$B$3:$B127,H$1))</f>
        <v>#VALUE!</v>
      </c>
      <c r="I111" s="32" t="str">
        <f t="array" ref="I111">SUM(SUMIFS(INDIRECT($A$6) ,OtrosR!$C$3:$C127,#REF!,OtrosR!$B$3:$B127,I$1))</f>
        <v>#VALUE!</v>
      </c>
      <c r="J111" s="37" t="str">
        <f t="array" ref="J111">SUM(SUMIFS(INDIRECT($A$6) ,OtrosR!$C$3:$C127,#REF!,OtrosR!$B$3:$B127,J$1))</f>
        <v>#VALUE!</v>
      </c>
      <c r="K111" s="32" t="str">
        <f t="array" ref="K111">SUM(SUMIFS(INDIRECT($A$6) ,OtrosR!$C$3:$C127,#REF!,OtrosR!$B$3:$B127,K$1))</f>
        <v>#VALUE!</v>
      </c>
      <c r="L111" s="37" t="str">
        <f t="array" ref="L111">SUM(SUMIFS(INDIRECT($A$6) ,OtrosR!$C$3:$C127,#REF!,OtrosR!$B$3:$B127,L$1))</f>
        <v>#VALUE!</v>
      </c>
      <c r="M111" s="32" t="str">
        <f t="array" ref="M111">SUM(SUMIFS(INDIRECT($A$6) ,OtrosR!$C$3:$C127,#REF!,OtrosR!$B$3:$B127,M$1))</f>
        <v>#VALUE!</v>
      </c>
      <c r="N111" s="37" t="str">
        <f t="array" ref="N111">SUM(SUMIFS(INDIRECT($A$6) ,OtrosR!$C$3:$C127,#REF!,OtrosR!$B$3:$B127,N$1))</f>
        <v>#VALUE!</v>
      </c>
      <c r="O111" s="32" t="str">
        <f t="array" ref="O111">SUM(SUMIFS(INDIRECT($A$6) ,OtrosR!$C$3:$C127,#REF!,OtrosR!$B$3:$B127,O$1))</f>
        <v>#VALUE!</v>
      </c>
      <c r="P111" s="37" t="str">
        <f t="array" ref="P111">SUM(SUMIFS(INDIRECT($A$6) ,OtrosR!$C$3:$C127,#REF!,OtrosR!$B$3:$B127,P$1))</f>
        <v>#VALUE!</v>
      </c>
      <c r="Q111" s="32" t="str">
        <f t="array" ref="Q111">SUM(SUMIFS(INDIRECT($A$6) ,OtrosR!$C$3:$C127,#REF!,OtrosR!$B$3:$B127,Q$1))</f>
        <v>#VALUE!</v>
      </c>
      <c r="R111" s="37" t="str">
        <f t="array" ref="R111">SUM(SUMIFS(INDIRECT($A$6) ,OtrosR!$C$3:$C127,#REF!,OtrosR!$B$3:$B127,R$1))</f>
        <v>#VALUE!</v>
      </c>
      <c r="S111" s="32" t="str">
        <f t="array" ref="S111">SUM(SUMIFS(INDIRECT($A$6) ,OtrosR!$C$3:$C127,#REF!,OtrosR!$B$3:$B127,S$1))</f>
        <v>#VALUE!</v>
      </c>
      <c r="T111" s="37" t="str">
        <f t="array" ref="T111">SUM(SUMIFS(INDIRECT($A$6) ,OtrosR!$C$3:$C127,#REF!,OtrosR!$B$3:$B127,T$1))</f>
        <v>#VALUE!</v>
      </c>
      <c r="U111" s="32" t="str">
        <f t="array" ref="U111">SUM(SUMIFS(INDIRECT($A$6) ,OtrosR!$C$3:$C127,#REF!,OtrosR!$B$3:$B127,U$1))</f>
        <v>#VALUE!</v>
      </c>
      <c r="V111" s="37" t="str">
        <f t="array" ref="V111">SUM(SUMIFS(INDIRECT($A$6) ,OtrosR!$C$3:$C127,#REF!,OtrosR!$B$3:$B127,V$1))</f>
        <v>#VALUE!</v>
      </c>
      <c r="W111" s="32" t="str">
        <f t="array" ref="W111">SUM(SUMIFS(INDIRECT($A$6) ,OtrosR!$C$3:$C127,#REF!,OtrosR!$B$3:$B127,W$1))</f>
        <v>#VALUE!</v>
      </c>
      <c r="X111" s="37" t="str">
        <f t="array" ref="X111">SUM(SUMIFS(INDIRECT($A$6) ,OtrosR!$C$3:$C127,#REF!,OtrosR!$B$3:$B127,X$1))</f>
        <v>#VALUE!</v>
      </c>
      <c r="Y111" s="32" t="str">
        <f t="array" ref="Y111">SUM(SUMIFS(INDIRECT($A$6) ,OtrosR!$C$3:$C127,#REF!,OtrosR!$B$3:$B127,Y$1))</f>
        <v>#VALUE!</v>
      </c>
      <c r="Z111" s="32" t="str">
        <f t="array" ref="Z111">SUM(SUMIFS(INDIRECT($A$6) ,OtrosR!$C$3:$C127,#REF!,OtrosR!$B$3:$B127,Z$1))</f>
        <v>#VALUE!</v>
      </c>
      <c r="AA111" s="37" t="str">
        <f t="array" ref="AA111">SUM(SUMIFS(INDIRECT($A$6) ,OtrosR!$C$3:$C127,#REF!,OtrosR!$B$3:$B127,AA$1))</f>
        <v>#VALUE!</v>
      </c>
      <c r="AB111" s="32" t="str">
        <f t="array" ref="AB111">SUM(SUMIFS(INDIRECT($A$6) ,OtrosR!$C$3:$C127,#REF!,OtrosR!$B$3:$B127,AB$1))</f>
        <v>#VALUE!</v>
      </c>
      <c r="AC111" s="37" t="str">
        <f t="array" ref="AC111">SUM(SUMIFS(INDIRECT($A$6) ,OtrosR!$C$3:$C127,#REF!,OtrosR!$B$3:$B127,AC$1))</f>
        <v>#VALUE!</v>
      </c>
      <c r="AD111" s="32" t="str">
        <f t="array" ref="AD111">SUM(SUMIFS(INDIRECT($A$6) ,OtrosR!$C$3:$C127,#REF!,OtrosR!$B$3:$B127,AD$1))</f>
        <v>#VALUE!</v>
      </c>
      <c r="AE111" s="37" t="str">
        <f t="array" ref="AE111">SUM(SUMIFS(INDIRECT($A$6) ,OtrosR!$C$3:$C127,#REF!,OtrosR!$B$3:$B127,AE$1))</f>
        <v>#VALUE!</v>
      </c>
      <c r="AF111" s="32" t="str">
        <f t="array" ref="AF111">SUM(SUMIFS(INDIRECT($A$6) ,OtrosR!$C$3:$C127,#REF!,OtrosR!$B$3:$B127,AF$1))</f>
        <v>#VALUE!</v>
      </c>
      <c r="AG111" s="37" t="str">
        <f t="array" ref="AG111">SUM(SUMIFS(INDIRECT($A$6) ,OtrosR!$C$3:$C127,#REF!,OtrosR!$B$3:$B127,AG$1))</f>
        <v>#VALUE!</v>
      </c>
      <c r="AH111" s="32" t="str">
        <f t="array" ref="AH111">SUM(SUMIFS(INDIRECT($A$6) ,OtrosR!$C$3:$C127,#REF!,OtrosR!$B$3:$B127,AH$1))</f>
        <v>#VALUE!</v>
      </c>
      <c r="AI111" s="37" t="str">
        <f t="array" ref="AI111">SUM(SUMIFS(INDIRECT($A$6) ,OtrosR!$C$3:$C127,#REF!,OtrosR!$B$3:$B127,AI$1))</f>
        <v>#VALUE!</v>
      </c>
      <c r="AJ111" s="32" t="str">
        <f t="array" ref="AJ111">SUM(SUMIFS(INDIRECT($A$6) ,OtrosR!$C$3:$C127,#REF!,OtrosR!$B$3:$B127,AJ$1))</f>
        <v>#VALUE!</v>
      </c>
      <c r="AK111" s="37" t="str">
        <f t="array" ref="AK111">SUM(SUMIFS(INDIRECT($A$6) ,OtrosR!$C$3:$C127,#REF!,OtrosR!$B$3:$B127,AK$1))</f>
        <v>#VALUE!</v>
      </c>
      <c r="AL111" s="32" t="str">
        <f t="array" ref="AL111">SUM(SUMIFS(INDIRECT($A$6) ,OtrosR!$C$3:$C127,#REF!,OtrosR!$B$3:$B127,AL$1))</f>
        <v>#VALUE!</v>
      </c>
      <c r="AM111" s="37" t="str">
        <f t="array" ref="AM111">SUM(SUMIFS(INDIRECT($A$6) ,OtrosR!$C$3:$C127,#REF!,OtrosR!$B$3:$B127,AM$1))</f>
        <v>#VALUE!</v>
      </c>
      <c r="AN111" s="32" t="str">
        <f t="array" ref="AN111">SUM(SUMIFS(INDIRECT($A$6) ,OtrosR!$C$3:$C127,#REF!,OtrosR!$B$3:$B127,AN$1))</f>
        <v>#VALUE!</v>
      </c>
      <c r="AO111" s="37" t="str">
        <f t="array" ref="AO111">SUM(SUMIFS(INDIRECT($A$6) ,OtrosR!$C$3:$C127,#REF!,OtrosR!$B$3:$B127,AO$1))</f>
        <v>#VALUE!</v>
      </c>
      <c r="AP111" s="32" t="str">
        <f t="array" ref="AP111">SUM(SUMIFS(INDIRECT($A$6) ,OtrosR!$C$3:$C127,#REF!,OtrosR!$B$3:$B127,AP$1))</f>
        <v>#VALUE!</v>
      </c>
      <c r="AQ111" s="37" t="str">
        <f t="array" ref="AQ111">SUM(SUMIFS(INDIRECT($A$6) ,OtrosR!$C$3:$C127,#REF!,OtrosR!$B$3:$B127,AQ$1))</f>
        <v>#VALUE!</v>
      </c>
      <c r="AR111" s="32" t="str">
        <f t="array" ref="AR111">SUM(SUMIFS(INDIRECT($A$6) ,OtrosR!$C$3:$C127,#REF!,OtrosR!$B$3:$B127,AR$1))</f>
        <v>#VALUE!</v>
      </c>
      <c r="AS111" s="37" t="str">
        <f t="array" ref="AS111">SUM(SUMIFS(INDIRECT($A$6) ,OtrosR!$C$3:$C127,#REF!,OtrosR!$B$3:$B127,AS$1))</f>
        <v>#VALUE!</v>
      </c>
      <c r="AT111" s="32" t="str">
        <f t="array" ref="AT111">SUM(SUMIFS(INDIRECT($A$6) ,OtrosR!$C$3:$C127,#REF!,OtrosR!$B$3:$B127,AT$1))</f>
        <v>#VALUE!</v>
      </c>
      <c r="AU111" s="37" t="str">
        <f t="array" ref="AU111">SUM(SUMIFS(INDIRECT($A$6) ,OtrosR!$C$3:$C127,#REF!,OtrosR!$B$3:$B127,AU$1))</f>
        <v>#VALUE!</v>
      </c>
      <c r="AV111" s="32" t="str">
        <f t="array" ref="AV111">SUM(SUMIFS(INDIRECT($A$6) ,OtrosR!$C$3:$C127,#REF!,OtrosR!$B$3:$B127,AV$1))</f>
        <v>#VALUE!</v>
      </c>
      <c r="AW111" s="37" t="str">
        <f t="array" ref="AW111">SUM(SUMIFS(INDIRECT($A$6) ,OtrosR!$C$3:$C127,#REF!,OtrosR!$B$3:$B127,AW$1))</f>
        <v>#VALUE!</v>
      </c>
      <c r="AX111" s="32" t="str">
        <f t="array" ref="AX111">SUM(SUMIFS(INDIRECT($A$6) ,OtrosR!$C$3:$C127,#REF!,OtrosR!$B$3:$B127,AX$1))</f>
        <v>#VALUE!</v>
      </c>
      <c r="AY111" s="37" t="str">
        <f t="array" ref="AY111">SUM(SUMIFS(INDIRECT($A$6) ,OtrosR!$C$3:$C127,#REF!,OtrosR!$B$3:$B127,AY$1))</f>
        <v>#VALUE!</v>
      </c>
    </row>
    <row r="112" ht="15.75" hidden="1" customHeight="1">
      <c r="A112" s="40" t="str">
        <f>Menus!Q9</f>
        <v/>
      </c>
      <c r="B112" s="51" t="str">
        <f t="shared" si="9"/>
        <v/>
      </c>
      <c r="C112" s="33" t="str">
        <f t="shared" ref="C112:C115" si="11">IFERROR(INDEX($E$1:$AQ127, MATCH($A111, $A$1:$A$109, 0), MATCH(C$1, $E$1:AY$1, 0)), "")
</f>
        <v/>
      </c>
      <c r="D112" s="34" t="str">
        <f t="array" ref="D112">SUM(SUMIFS(INDIRECT($A$6) ,OtrosR!$C$3:$C127,$A111,OtrosR!$B$3:$B127,D$1))</f>
        <v>#VALUE!</v>
      </c>
      <c r="E112" s="32" t="str">
        <f t="array" ref="E112">SUM(SUMIFS(INDIRECT($A$6) ,OtrosR!$C$3:$C127,$A111,OtrosR!$B$3:$B127,E$1))</f>
        <v>#VALUE!</v>
      </c>
      <c r="F112" s="37" t="str">
        <f t="array" ref="F112">SUM(SUMIFS(INDIRECT($A$6) ,OtrosR!$C$3:$C127,$A111,OtrosR!$B$3:$B127,F$1))</f>
        <v>#VALUE!</v>
      </c>
      <c r="G112" s="32" t="str">
        <f t="array" ref="G112">SUM(SUMIFS(INDIRECT($A$6) ,OtrosR!$C$3:$C127,$A111,OtrosR!$B$3:$B127,G$1))</f>
        <v>#VALUE!</v>
      </c>
      <c r="H112" s="37" t="str">
        <f t="array" ref="H112">SUM(SUMIFS(INDIRECT($A$6) ,OtrosR!$C$3:$C127,$A111,OtrosR!$B$3:$B127,H$1))</f>
        <v>#VALUE!</v>
      </c>
      <c r="I112" s="32" t="str">
        <f t="array" ref="I112">SUM(SUMIFS(INDIRECT($A$6) ,OtrosR!$C$3:$C127,$A111,OtrosR!$B$3:$B127,I$1))</f>
        <v>#VALUE!</v>
      </c>
      <c r="J112" s="37" t="str">
        <f t="array" ref="J112">SUM(SUMIFS(INDIRECT($A$6) ,OtrosR!$C$3:$C127,$A111,OtrosR!$B$3:$B127,J$1))</f>
        <v>#VALUE!</v>
      </c>
      <c r="K112" s="32" t="str">
        <f t="array" ref="K112">SUM(SUMIFS(INDIRECT($A$6) ,OtrosR!$C$3:$C127,$A111,OtrosR!$B$3:$B127,K$1))</f>
        <v>#VALUE!</v>
      </c>
      <c r="L112" s="37" t="str">
        <f t="array" ref="L112">SUM(SUMIFS(INDIRECT($A$6) ,OtrosR!$C$3:$C127,$A111,OtrosR!$B$3:$B127,L$1))</f>
        <v>#VALUE!</v>
      </c>
      <c r="M112" s="32" t="str">
        <f t="array" ref="M112">SUM(SUMIFS(INDIRECT($A$6) ,OtrosR!$C$3:$C127,$A111,OtrosR!$B$3:$B127,M$1))</f>
        <v>#VALUE!</v>
      </c>
      <c r="N112" s="37" t="str">
        <f t="array" ref="N112">SUM(SUMIFS(INDIRECT($A$6) ,OtrosR!$C$3:$C127,$A111,OtrosR!$B$3:$B127,N$1))</f>
        <v>#VALUE!</v>
      </c>
      <c r="O112" s="32" t="str">
        <f t="array" ref="O112">SUM(SUMIFS(INDIRECT($A$6) ,OtrosR!$C$3:$C127,$A111,OtrosR!$B$3:$B127,O$1))</f>
        <v>#VALUE!</v>
      </c>
      <c r="P112" s="37" t="str">
        <f t="array" ref="P112">SUM(SUMIFS(INDIRECT($A$6) ,OtrosR!$C$3:$C127,$A111,OtrosR!$B$3:$B127,P$1))</f>
        <v>#VALUE!</v>
      </c>
      <c r="Q112" s="32" t="str">
        <f t="array" ref="Q112">SUM(SUMIFS(INDIRECT($A$6) ,OtrosR!$C$3:$C127,$A111,OtrosR!$B$3:$B127,Q$1))</f>
        <v>#VALUE!</v>
      </c>
      <c r="R112" s="37" t="str">
        <f t="array" ref="R112">SUM(SUMIFS(INDIRECT($A$6) ,OtrosR!$C$3:$C127,$A111,OtrosR!$B$3:$B127,R$1))</f>
        <v>#VALUE!</v>
      </c>
      <c r="S112" s="32" t="str">
        <f t="array" ref="S112">SUM(SUMIFS(INDIRECT($A$6) ,OtrosR!$C$3:$C127,$A111,OtrosR!$B$3:$B127,S$1))</f>
        <v>#VALUE!</v>
      </c>
      <c r="T112" s="37" t="str">
        <f t="array" ref="T112">SUM(SUMIFS(INDIRECT($A$6) ,OtrosR!$C$3:$C127,$A111,OtrosR!$B$3:$B127,T$1))</f>
        <v>#VALUE!</v>
      </c>
      <c r="U112" s="32" t="str">
        <f t="array" ref="U112">SUM(SUMIFS(INDIRECT($A$6) ,OtrosR!$C$3:$C127,$A111,OtrosR!$B$3:$B127,U$1))</f>
        <v>#VALUE!</v>
      </c>
      <c r="V112" s="37" t="str">
        <f t="array" ref="V112">SUM(SUMIFS(INDIRECT($A$6) ,OtrosR!$C$3:$C127,$A111,OtrosR!$B$3:$B127,V$1))</f>
        <v>#VALUE!</v>
      </c>
      <c r="W112" s="32" t="str">
        <f t="array" ref="W112">SUM(SUMIFS(INDIRECT($A$6) ,OtrosR!$C$3:$C127,$A111,OtrosR!$B$3:$B127,W$1))</f>
        <v>#VALUE!</v>
      </c>
      <c r="X112" s="37" t="str">
        <f t="array" ref="X112">SUM(SUMIFS(INDIRECT($A$6) ,OtrosR!$C$3:$C127,$A111,OtrosR!$B$3:$B127,X$1))</f>
        <v>#VALUE!</v>
      </c>
      <c r="Y112" s="32" t="str">
        <f t="array" ref="Y112">SUM(SUMIFS(INDIRECT($A$6) ,OtrosR!$C$3:$C127,$A111,OtrosR!$B$3:$B127,Y$1))</f>
        <v>#VALUE!</v>
      </c>
      <c r="Z112" s="32" t="str">
        <f t="array" ref="Z112">SUM(SUMIFS(INDIRECT($A$6) ,OtrosR!$C$3:$C127,$A111,OtrosR!$B$3:$B127,Z$1))</f>
        <v>#VALUE!</v>
      </c>
      <c r="AA112" s="37" t="str">
        <f t="array" ref="AA112">SUM(SUMIFS(INDIRECT($A$6) ,OtrosR!$C$3:$C127,$A111,OtrosR!$B$3:$B127,AA$1))</f>
        <v>#VALUE!</v>
      </c>
      <c r="AB112" s="32" t="str">
        <f t="array" ref="AB112">SUM(SUMIFS(INDIRECT($A$6) ,OtrosR!$C$3:$C127,$A111,OtrosR!$B$3:$B127,AB$1))</f>
        <v>#VALUE!</v>
      </c>
      <c r="AC112" s="37" t="str">
        <f t="array" ref="AC112">SUM(SUMIFS(INDIRECT($A$6) ,OtrosR!$C$3:$C127,$A111,OtrosR!$B$3:$B127,AC$1))</f>
        <v>#VALUE!</v>
      </c>
      <c r="AD112" s="32" t="str">
        <f t="array" ref="AD112">SUM(SUMIFS(INDIRECT($A$6) ,OtrosR!$C$3:$C127,$A111,OtrosR!$B$3:$B127,AD$1))</f>
        <v>#VALUE!</v>
      </c>
      <c r="AE112" s="37" t="str">
        <f t="array" ref="AE112">SUM(SUMIFS(INDIRECT($A$6) ,OtrosR!$C$3:$C127,$A111,OtrosR!$B$3:$B127,AE$1))</f>
        <v>#VALUE!</v>
      </c>
      <c r="AF112" s="32" t="str">
        <f t="array" ref="AF112">SUM(SUMIFS(INDIRECT($A$6) ,OtrosR!$C$3:$C127,$A111,OtrosR!$B$3:$B127,AF$1))</f>
        <v>#VALUE!</v>
      </c>
      <c r="AG112" s="37" t="str">
        <f t="array" ref="AG112">SUM(SUMIFS(INDIRECT($A$6) ,OtrosR!$C$3:$C127,$A111,OtrosR!$B$3:$B127,AG$1))</f>
        <v>#VALUE!</v>
      </c>
      <c r="AH112" s="32" t="str">
        <f t="array" ref="AH112">SUM(SUMIFS(INDIRECT($A$6) ,OtrosR!$C$3:$C127,$A111,OtrosR!$B$3:$B127,AH$1))</f>
        <v>#VALUE!</v>
      </c>
      <c r="AI112" s="37" t="str">
        <f t="array" ref="AI112">SUM(SUMIFS(INDIRECT($A$6) ,OtrosR!$C$3:$C127,$A111,OtrosR!$B$3:$B127,AI$1))</f>
        <v>#VALUE!</v>
      </c>
      <c r="AJ112" s="32" t="str">
        <f t="array" ref="AJ112">SUM(SUMIFS(INDIRECT($A$6) ,OtrosR!$C$3:$C127,$A111,OtrosR!$B$3:$B127,AJ$1))</f>
        <v>#VALUE!</v>
      </c>
      <c r="AK112" s="37" t="str">
        <f t="array" ref="AK112">SUM(SUMIFS(INDIRECT($A$6) ,OtrosR!$C$3:$C127,$A111,OtrosR!$B$3:$B127,AK$1))</f>
        <v>#VALUE!</v>
      </c>
      <c r="AL112" s="32" t="str">
        <f t="array" ref="AL112">SUM(SUMIFS(INDIRECT($A$6) ,OtrosR!$C$3:$C127,$A111,OtrosR!$B$3:$B127,AL$1))</f>
        <v>#VALUE!</v>
      </c>
      <c r="AM112" s="37" t="str">
        <f t="array" ref="AM112">SUM(SUMIFS(INDIRECT($A$6) ,OtrosR!$C$3:$C127,$A111,OtrosR!$B$3:$B127,AM$1))</f>
        <v>#VALUE!</v>
      </c>
      <c r="AN112" s="32" t="str">
        <f t="array" ref="AN112">SUM(SUMIFS(INDIRECT($A$6) ,OtrosR!$C$3:$C127,$A111,OtrosR!$B$3:$B127,AN$1))</f>
        <v>#VALUE!</v>
      </c>
      <c r="AO112" s="37" t="str">
        <f t="array" ref="AO112">SUM(SUMIFS(INDIRECT($A$6) ,OtrosR!$C$3:$C127,$A111,OtrosR!$B$3:$B127,AO$1))</f>
        <v>#VALUE!</v>
      </c>
      <c r="AP112" s="32" t="str">
        <f t="array" ref="AP112">SUM(SUMIFS(INDIRECT($A$6) ,OtrosR!$C$3:$C127,$A111,OtrosR!$B$3:$B127,AP$1))</f>
        <v>#VALUE!</v>
      </c>
      <c r="AQ112" s="37" t="str">
        <f t="array" ref="AQ112">SUM(SUMIFS(INDIRECT($A$6) ,OtrosR!$C$3:$C127,$A111,OtrosR!$B$3:$B127,AQ$1))</f>
        <v>#VALUE!</v>
      </c>
      <c r="AR112" s="32" t="str">
        <f t="array" ref="AR112">SUM(SUMIFS(INDIRECT($A$6) ,OtrosR!$C$3:$C127,$A111,OtrosR!$B$3:$B127,AR$1))</f>
        <v>#VALUE!</v>
      </c>
      <c r="AS112" s="37" t="str">
        <f t="array" ref="AS112">SUM(SUMIFS(INDIRECT($A$6) ,OtrosR!$C$3:$C127,$A111,OtrosR!$B$3:$B127,AS$1))</f>
        <v>#VALUE!</v>
      </c>
      <c r="AT112" s="32" t="str">
        <f t="array" ref="AT112">SUM(SUMIFS(INDIRECT($A$6) ,OtrosR!$C$3:$C127,$A111,OtrosR!$B$3:$B127,AT$1))</f>
        <v>#VALUE!</v>
      </c>
      <c r="AU112" s="37" t="str">
        <f t="array" ref="AU112">SUM(SUMIFS(INDIRECT($A$6) ,OtrosR!$C$3:$C127,$A111,OtrosR!$B$3:$B127,AU$1))</f>
        <v>#VALUE!</v>
      </c>
      <c r="AV112" s="32" t="str">
        <f t="array" ref="AV112">SUM(SUMIFS(INDIRECT($A$6) ,OtrosR!$C$3:$C127,$A111,OtrosR!$B$3:$B127,AV$1))</f>
        <v>#VALUE!</v>
      </c>
      <c r="AW112" s="37" t="str">
        <f t="array" ref="AW112">SUM(SUMIFS(INDIRECT($A$6) ,OtrosR!$C$3:$C127,$A111,OtrosR!$B$3:$B127,AW$1))</f>
        <v>#VALUE!</v>
      </c>
      <c r="AX112" s="32" t="str">
        <f t="array" ref="AX112">SUM(SUMIFS(INDIRECT($A$6) ,OtrosR!$C$3:$C127,$A111,OtrosR!$B$3:$B127,AX$1))</f>
        <v>#VALUE!</v>
      </c>
      <c r="AY112" s="37" t="str">
        <f t="array" ref="AY112">SUM(SUMIFS(INDIRECT($A$6) ,OtrosR!$C$3:$C127,$A111,OtrosR!$B$3:$B127,AY$1))</f>
        <v>#VALUE!</v>
      </c>
    </row>
    <row r="113" ht="15.75" hidden="1" customHeight="1">
      <c r="A113" s="40" t="str">
        <f>Menus!Q10</f>
        <v/>
      </c>
      <c r="B113" s="51" t="str">
        <f t="shared" si="9"/>
        <v/>
      </c>
      <c r="C113" s="33" t="str">
        <f t="shared" si="11"/>
        <v/>
      </c>
      <c r="D113" s="34" t="str">
        <f t="array" ref="D113">SUM(SUMIFS(INDIRECT($A$6) ,OtrosR!$C$3:$C127,$A112,OtrosR!$B$3:$B127,D$1))</f>
        <v>#VALUE!</v>
      </c>
      <c r="E113" s="32" t="str">
        <f t="array" ref="E113">SUM(SUMIFS(INDIRECT($A$6) ,OtrosR!$C$3:$C127,$A112,OtrosR!$B$3:$B127,E$1))</f>
        <v>#VALUE!</v>
      </c>
      <c r="F113" s="37" t="str">
        <f t="array" ref="F113">SUM(SUMIFS(INDIRECT($A$6) ,OtrosR!$C$3:$C127,$A112,OtrosR!$B$3:$B127,F$1))</f>
        <v>#VALUE!</v>
      </c>
      <c r="G113" s="32" t="str">
        <f t="array" ref="G113">SUM(SUMIFS(INDIRECT($A$6) ,OtrosR!$C$3:$C127,$A112,OtrosR!$B$3:$B127,G$1))</f>
        <v>#VALUE!</v>
      </c>
      <c r="H113" s="37" t="str">
        <f t="array" ref="H113">SUM(SUMIFS(INDIRECT($A$6) ,OtrosR!$C$3:$C127,$A112,OtrosR!$B$3:$B127,H$1))</f>
        <v>#VALUE!</v>
      </c>
      <c r="I113" s="32" t="str">
        <f t="array" ref="I113">SUM(SUMIFS(INDIRECT($A$6) ,OtrosR!$C$3:$C127,$A112,OtrosR!$B$3:$B127,I$1))</f>
        <v>#VALUE!</v>
      </c>
      <c r="J113" s="37" t="str">
        <f t="array" ref="J113">SUM(SUMIFS(INDIRECT($A$6) ,OtrosR!$C$3:$C127,$A112,OtrosR!$B$3:$B127,J$1))</f>
        <v>#VALUE!</v>
      </c>
      <c r="K113" s="32" t="str">
        <f t="array" ref="K113">SUM(SUMIFS(INDIRECT($A$6) ,OtrosR!$C$3:$C127,$A112,OtrosR!$B$3:$B127,K$1))</f>
        <v>#VALUE!</v>
      </c>
      <c r="L113" s="37" t="str">
        <f t="array" ref="L113">SUM(SUMIFS(INDIRECT($A$6) ,OtrosR!$C$3:$C127,$A112,OtrosR!$B$3:$B127,L$1))</f>
        <v>#VALUE!</v>
      </c>
      <c r="M113" s="32" t="str">
        <f t="array" ref="M113">SUM(SUMIFS(INDIRECT($A$6) ,OtrosR!$C$3:$C127,$A112,OtrosR!$B$3:$B127,M$1))</f>
        <v>#VALUE!</v>
      </c>
      <c r="N113" s="37" t="str">
        <f t="array" ref="N113">SUM(SUMIFS(INDIRECT($A$6) ,OtrosR!$C$3:$C127,$A112,OtrosR!$B$3:$B127,N$1))</f>
        <v>#VALUE!</v>
      </c>
      <c r="O113" s="32" t="str">
        <f t="array" ref="O113">SUM(SUMIFS(INDIRECT($A$6) ,OtrosR!$C$3:$C127,$A112,OtrosR!$B$3:$B127,O$1))</f>
        <v>#VALUE!</v>
      </c>
      <c r="P113" s="37" t="str">
        <f t="array" ref="P113">SUM(SUMIFS(INDIRECT($A$6) ,OtrosR!$C$3:$C127,$A112,OtrosR!$B$3:$B127,P$1))</f>
        <v>#VALUE!</v>
      </c>
      <c r="Q113" s="32" t="str">
        <f t="array" ref="Q113">SUM(SUMIFS(INDIRECT($A$6) ,OtrosR!$C$3:$C127,$A112,OtrosR!$B$3:$B127,Q$1))</f>
        <v>#VALUE!</v>
      </c>
      <c r="R113" s="37" t="str">
        <f t="array" ref="R113">SUM(SUMIFS(INDIRECT($A$6) ,OtrosR!$C$3:$C127,$A112,OtrosR!$B$3:$B127,R$1))</f>
        <v>#VALUE!</v>
      </c>
      <c r="S113" s="32" t="str">
        <f t="array" ref="S113">SUM(SUMIFS(INDIRECT($A$6) ,OtrosR!$C$3:$C127,$A112,OtrosR!$B$3:$B127,S$1))</f>
        <v>#VALUE!</v>
      </c>
      <c r="T113" s="37" t="str">
        <f t="array" ref="T113">SUM(SUMIFS(INDIRECT($A$6) ,OtrosR!$C$3:$C127,$A112,OtrosR!$B$3:$B127,T$1))</f>
        <v>#VALUE!</v>
      </c>
      <c r="U113" s="32" t="str">
        <f t="array" ref="U113">SUM(SUMIFS(INDIRECT($A$6) ,OtrosR!$C$3:$C127,$A112,OtrosR!$B$3:$B127,U$1))</f>
        <v>#VALUE!</v>
      </c>
      <c r="V113" s="37" t="str">
        <f t="array" ref="V113">SUM(SUMIFS(INDIRECT($A$6) ,OtrosR!$C$3:$C127,$A112,OtrosR!$B$3:$B127,V$1))</f>
        <v>#VALUE!</v>
      </c>
      <c r="W113" s="32" t="str">
        <f t="array" ref="W113">SUM(SUMIFS(INDIRECT($A$6) ,OtrosR!$C$3:$C127,$A112,OtrosR!$B$3:$B127,W$1))</f>
        <v>#VALUE!</v>
      </c>
      <c r="X113" s="37" t="str">
        <f t="array" ref="X113">SUM(SUMIFS(INDIRECT($A$6) ,OtrosR!$C$3:$C127,$A112,OtrosR!$B$3:$B127,X$1))</f>
        <v>#VALUE!</v>
      </c>
      <c r="Y113" s="32" t="str">
        <f t="array" ref="Y113">SUM(SUMIFS(INDIRECT($A$6) ,OtrosR!$C$3:$C127,$A112,OtrosR!$B$3:$B127,Y$1))</f>
        <v>#VALUE!</v>
      </c>
      <c r="Z113" s="32" t="str">
        <f t="array" ref="Z113">SUM(SUMIFS(INDIRECT($A$6) ,OtrosR!$C$3:$C127,$A112,OtrosR!$B$3:$B127,Z$1))</f>
        <v>#VALUE!</v>
      </c>
      <c r="AA113" s="37" t="str">
        <f t="array" ref="AA113">SUM(SUMIFS(INDIRECT($A$6) ,OtrosR!$C$3:$C127,$A112,OtrosR!$B$3:$B127,AA$1))</f>
        <v>#VALUE!</v>
      </c>
      <c r="AB113" s="32" t="str">
        <f t="array" ref="AB113">SUM(SUMIFS(INDIRECT($A$6) ,OtrosR!$C$3:$C127,$A112,OtrosR!$B$3:$B127,AB$1))</f>
        <v>#VALUE!</v>
      </c>
      <c r="AC113" s="37" t="str">
        <f t="array" ref="AC113">SUM(SUMIFS(INDIRECT($A$6) ,OtrosR!$C$3:$C127,$A112,OtrosR!$B$3:$B127,AC$1))</f>
        <v>#VALUE!</v>
      </c>
      <c r="AD113" s="32" t="str">
        <f t="array" ref="AD113">SUM(SUMIFS(INDIRECT($A$6) ,OtrosR!$C$3:$C127,$A112,OtrosR!$B$3:$B127,AD$1))</f>
        <v>#VALUE!</v>
      </c>
      <c r="AE113" s="37" t="str">
        <f t="array" ref="AE113">SUM(SUMIFS(INDIRECT($A$6) ,OtrosR!$C$3:$C127,$A112,OtrosR!$B$3:$B127,AE$1))</f>
        <v>#VALUE!</v>
      </c>
      <c r="AF113" s="32" t="str">
        <f t="array" ref="AF113">SUM(SUMIFS(INDIRECT($A$6) ,OtrosR!$C$3:$C127,$A112,OtrosR!$B$3:$B127,AF$1))</f>
        <v>#VALUE!</v>
      </c>
      <c r="AG113" s="37" t="str">
        <f t="array" ref="AG113">SUM(SUMIFS(INDIRECT($A$6) ,OtrosR!$C$3:$C127,$A112,OtrosR!$B$3:$B127,AG$1))</f>
        <v>#VALUE!</v>
      </c>
      <c r="AH113" s="32" t="str">
        <f t="array" ref="AH113">SUM(SUMIFS(INDIRECT($A$6) ,OtrosR!$C$3:$C127,$A112,OtrosR!$B$3:$B127,AH$1))</f>
        <v>#VALUE!</v>
      </c>
      <c r="AI113" s="37" t="str">
        <f t="array" ref="AI113">SUM(SUMIFS(INDIRECT($A$6) ,OtrosR!$C$3:$C127,$A112,OtrosR!$B$3:$B127,AI$1))</f>
        <v>#VALUE!</v>
      </c>
      <c r="AJ113" s="32" t="str">
        <f t="array" ref="AJ113">SUM(SUMIFS(INDIRECT($A$6) ,OtrosR!$C$3:$C127,$A112,OtrosR!$B$3:$B127,AJ$1))</f>
        <v>#VALUE!</v>
      </c>
      <c r="AK113" s="37" t="str">
        <f t="array" ref="AK113">SUM(SUMIFS(INDIRECT($A$6) ,OtrosR!$C$3:$C127,$A112,OtrosR!$B$3:$B127,AK$1))</f>
        <v>#VALUE!</v>
      </c>
      <c r="AL113" s="32" t="str">
        <f t="array" ref="AL113">SUM(SUMIFS(INDIRECT($A$6) ,OtrosR!$C$3:$C127,$A112,OtrosR!$B$3:$B127,AL$1))</f>
        <v>#VALUE!</v>
      </c>
      <c r="AM113" s="37" t="str">
        <f t="array" ref="AM113">SUM(SUMIFS(INDIRECT($A$6) ,OtrosR!$C$3:$C127,$A112,OtrosR!$B$3:$B127,AM$1))</f>
        <v>#VALUE!</v>
      </c>
      <c r="AN113" s="32" t="str">
        <f t="array" ref="AN113">SUM(SUMIFS(INDIRECT($A$6) ,OtrosR!$C$3:$C127,$A112,OtrosR!$B$3:$B127,AN$1))</f>
        <v>#VALUE!</v>
      </c>
      <c r="AO113" s="37" t="str">
        <f t="array" ref="AO113">SUM(SUMIFS(INDIRECT($A$6) ,OtrosR!$C$3:$C127,$A112,OtrosR!$B$3:$B127,AO$1))</f>
        <v>#VALUE!</v>
      </c>
      <c r="AP113" s="32" t="str">
        <f t="array" ref="AP113">SUM(SUMIFS(INDIRECT($A$6) ,OtrosR!$C$3:$C127,$A112,OtrosR!$B$3:$B127,AP$1))</f>
        <v>#VALUE!</v>
      </c>
      <c r="AQ113" s="37" t="str">
        <f t="array" ref="AQ113">SUM(SUMIFS(INDIRECT($A$6) ,OtrosR!$C$3:$C127,$A112,OtrosR!$B$3:$B127,AQ$1))</f>
        <v>#VALUE!</v>
      </c>
      <c r="AR113" s="32" t="str">
        <f t="array" ref="AR113">SUM(SUMIFS(INDIRECT($A$6) ,OtrosR!$C$3:$C127,$A112,OtrosR!$B$3:$B127,AR$1))</f>
        <v>#VALUE!</v>
      </c>
      <c r="AS113" s="37" t="str">
        <f t="array" ref="AS113">SUM(SUMIFS(INDIRECT($A$6) ,OtrosR!$C$3:$C127,$A112,OtrosR!$B$3:$B127,AS$1))</f>
        <v>#VALUE!</v>
      </c>
      <c r="AT113" s="32" t="str">
        <f t="array" ref="AT113">SUM(SUMIFS(INDIRECT($A$6) ,OtrosR!$C$3:$C127,$A112,OtrosR!$B$3:$B127,AT$1))</f>
        <v>#VALUE!</v>
      </c>
      <c r="AU113" s="37" t="str">
        <f t="array" ref="AU113">SUM(SUMIFS(INDIRECT($A$6) ,OtrosR!$C$3:$C127,$A112,OtrosR!$B$3:$B127,AU$1))</f>
        <v>#VALUE!</v>
      </c>
      <c r="AV113" s="32" t="str">
        <f t="array" ref="AV113">SUM(SUMIFS(INDIRECT($A$6) ,OtrosR!$C$3:$C127,$A112,OtrosR!$B$3:$B127,AV$1))</f>
        <v>#VALUE!</v>
      </c>
      <c r="AW113" s="37" t="str">
        <f t="array" ref="AW113">SUM(SUMIFS(INDIRECT($A$6) ,OtrosR!$C$3:$C127,$A112,OtrosR!$B$3:$B127,AW$1))</f>
        <v>#VALUE!</v>
      </c>
      <c r="AX113" s="32" t="str">
        <f t="array" ref="AX113">SUM(SUMIFS(INDIRECT($A$6) ,OtrosR!$C$3:$C127,$A112,OtrosR!$B$3:$B127,AX$1))</f>
        <v>#VALUE!</v>
      </c>
      <c r="AY113" s="37" t="str">
        <f t="array" ref="AY113">SUM(SUMIFS(INDIRECT($A$6) ,OtrosR!$C$3:$C127,$A112,OtrosR!$B$3:$B127,AY$1))</f>
        <v>#VALUE!</v>
      </c>
    </row>
    <row r="114" ht="15.75" hidden="1" customHeight="1">
      <c r="A114" s="40" t="str">
        <f>Menus!Q11</f>
        <v/>
      </c>
      <c r="B114" s="51" t="str">
        <f t="shared" si="9"/>
        <v/>
      </c>
      <c r="C114" s="33" t="str">
        <f t="shared" si="11"/>
        <v/>
      </c>
      <c r="D114" s="34" t="str">
        <f t="array" ref="D114">SUM(SUMIFS(INDIRECT($A$6) ,OtrosR!$C$3:$C127,$A113,OtrosR!$B$3:$B127,D$1))</f>
        <v>#VALUE!</v>
      </c>
      <c r="E114" s="32" t="str">
        <f t="array" ref="E114">SUM(SUMIFS(INDIRECT($A$6) ,OtrosR!$C$3:$C127,$A113,OtrosR!$B$3:$B127,E$1))</f>
        <v>#VALUE!</v>
      </c>
      <c r="F114" s="37" t="str">
        <f t="array" ref="F114">SUM(SUMIFS(INDIRECT($A$6) ,OtrosR!$C$3:$C127,$A113,OtrosR!$B$3:$B127,F$1))</f>
        <v>#VALUE!</v>
      </c>
      <c r="G114" s="32" t="str">
        <f t="array" ref="G114">SUM(SUMIFS(INDIRECT($A$6) ,OtrosR!$C$3:$C127,$A113,OtrosR!$B$3:$B127,G$1))</f>
        <v>#VALUE!</v>
      </c>
      <c r="H114" s="37" t="str">
        <f t="array" ref="H114">SUM(SUMIFS(INDIRECT($A$6) ,OtrosR!$C$3:$C127,$A113,OtrosR!$B$3:$B127,H$1))</f>
        <v>#VALUE!</v>
      </c>
      <c r="I114" s="32" t="str">
        <f t="array" ref="I114">SUM(SUMIFS(INDIRECT($A$6) ,OtrosR!$C$3:$C127,$A113,OtrosR!$B$3:$B127,I$1))</f>
        <v>#VALUE!</v>
      </c>
      <c r="J114" s="37" t="str">
        <f t="array" ref="J114">SUM(SUMIFS(INDIRECT($A$6) ,OtrosR!$C$3:$C127,$A113,OtrosR!$B$3:$B127,J$1))</f>
        <v>#VALUE!</v>
      </c>
      <c r="K114" s="32" t="str">
        <f t="array" ref="K114">SUM(SUMIFS(INDIRECT($A$6) ,OtrosR!$C$3:$C127,$A113,OtrosR!$B$3:$B127,K$1))</f>
        <v>#VALUE!</v>
      </c>
      <c r="L114" s="37" t="str">
        <f t="array" ref="L114">SUM(SUMIFS(INDIRECT($A$6) ,OtrosR!$C$3:$C127,$A113,OtrosR!$B$3:$B127,L$1))</f>
        <v>#VALUE!</v>
      </c>
      <c r="M114" s="32" t="str">
        <f t="array" ref="M114">SUM(SUMIFS(INDIRECT($A$6) ,OtrosR!$C$3:$C127,$A113,OtrosR!$B$3:$B127,M$1))</f>
        <v>#VALUE!</v>
      </c>
      <c r="N114" s="37" t="str">
        <f t="array" ref="N114">SUM(SUMIFS(INDIRECT($A$6) ,OtrosR!$C$3:$C127,$A113,OtrosR!$B$3:$B127,N$1))</f>
        <v>#VALUE!</v>
      </c>
      <c r="O114" s="32" t="str">
        <f t="array" ref="O114">SUM(SUMIFS(INDIRECT($A$6) ,OtrosR!$C$3:$C127,$A113,OtrosR!$B$3:$B127,O$1))</f>
        <v>#VALUE!</v>
      </c>
      <c r="P114" s="37" t="str">
        <f t="array" ref="P114">SUM(SUMIFS(INDIRECT($A$6) ,OtrosR!$C$3:$C127,$A113,OtrosR!$B$3:$B127,P$1))</f>
        <v>#VALUE!</v>
      </c>
      <c r="Q114" s="32" t="str">
        <f t="array" ref="Q114">SUM(SUMIFS(INDIRECT($A$6) ,OtrosR!$C$3:$C127,$A113,OtrosR!$B$3:$B127,Q$1))</f>
        <v>#VALUE!</v>
      </c>
      <c r="R114" s="37" t="str">
        <f t="array" ref="R114">SUM(SUMIFS(INDIRECT($A$6) ,OtrosR!$C$3:$C127,$A113,OtrosR!$B$3:$B127,R$1))</f>
        <v>#VALUE!</v>
      </c>
      <c r="S114" s="32" t="str">
        <f t="array" ref="S114">SUM(SUMIFS(INDIRECT($A$6) ,OtrosR!$C$3:$C127,$A113,OtrosR!$B$3:$B127,S$1))</f>
        <v>#VALUE!</v>
      </c>
      <c r="T114" s="37" t="str">
        <f t="array" ref="T114">SUM(SUMIFS(INDIRECT($A$6) ,OtrosR!$C$3:$C127,$A113,OtrosR!$B$3:$B127,T$1))</f>
        <v>#VALUE!</v>
      </c>
      <c r="U114" s="32" t="str">
        <f t="array" ref="U114">SUM(SUMIFS(INDIRECT($A$6) ,OtrosR!$C$3:$C127,$A113,OtrosR!$B$3:$B127,U$1))</f>
        <v>#VALUE!</v>
      </c>
      <c r="V114" s="37" t="str">
        <f t="array" ref="V114">SUM(SUMIFS(INDIRECT($A$6) ,OtrosR!$C$3:$C127,$A113,OtrosR!$B$3:$B127,V$1))</f>
        <v>#VALUE!</v>
      </c>
      <c r="W114" s="32" t="str">
        <f t="array" ref="W114">SUM(SUMIFS(INDIRECT($A$6) ,OtrosR!$C$3:$C127,$A113,OtrosR!$B$3:$B127,W$1))</f>
        <v>#VALUE!</v>
      </c>
      <c r="X114" s="37" t="str">
        <f t="array" ref="X114">SUM(SUMIFS(INDIRECT($A$6) ,OtrosR!$C$3:$C127,$A113,OtrosR!$B$3:$B127,X$1))</f>
        <v>#VALUE!</v>
      </c>
      <c r="Y114" s="32" t="str">
        <f t="array" ref="Y114">SUM(SUMIFS(INDIRECT($A$6) ,OtrosR!$C$3:$C127,$A113,OtrosR!$B$3:$B127,Y$1))</f>
        <v>#VALUE!</v>
      </c>
      <c r="Z114" s="32" t="str">
        <f t="array" ref="Z114">SUM(SUMIFS(INDIRECT($A$6) ,OtrosR!$C$3:$C127,$A113,OtrosR!$B$3:$B127,Z$1))</f>
        <v>#VALUE!</v>
      </c>
      <c r="AA114" s="37" t="str">
        <f t="array" ref="AA114">SUM(SUMIFS(INDIRECT($A$6) ,OtrosR!$C$3:$C127,$A113,OtrosR!$B$3:$B127,AA$1))</f>
        <v>#VALUE!</v>
      </c>
      <c r="AB114" s="32" t="str">
        <f t="array" ref="AB114">SUM(SUMIFS(INDIRECT($A$6) ,OtrosR!$C$3:$C127,$A113,OtrosR!$B$3:$B127,AB$1))</f>
        <v>#VALUE!</v>
      </c>
      <c r="AC114" s="37" t="str">
        <f t="array" ref="AC114">SUM(SUMIFS(INDIRECT($A$6) ,OtrosR!$C$3:$C127,$A113,OtrosR!$B$3:$B127,AC$1))</f>
        <v>#VALUE!</v>
      </c>
      <c r="AD114" s="32" t="str">
        <f t="array" ref="AD114">SUM(SUMIFS(INDIRECT($A$6) ,OtrosR!$C$3:$C127,$A113,OtrosR!$B$3:$B127,AD$1))</f>
        <v>#VALUE!</v>
      </c>
      <c r="AE114" s="37" t="str">
        <f t="array" ref="AE114">SUM(SUMIFS(INDIRECT($A$6) ,OtrosR!$C$3:$C127,$A113,OtrosR!$B$3:$B127,AE$1))</f>
        <v>#VALUE!</v>
      </c>
      <c r="AF114" s="32" t="str">
        <f t="array" ref="AF114">SUM(SUMIFS(INDIRECT($A$6) ,OtrosR!$C$3:$C127,$A113,OtrosR!$B$3:$B127,AF$1))</f>
        <v>#VALUE!</v>
      </c>
      <c r="AG114" s="37" t="str">
        <f t="array" ref="AG114">SUM(SUMIFS(INDIRECT($A$6) ,OtrosR!$C$3:$C127,$A113,OtrosR!$B$3:$B127,AG$1))</f>
        <v>#VALUE!</v>
      </c>
      <c r="AH114" s="32" t="str">
        <f t="array" ref="AH114">SUM(SUMIFS(INDIRECT($A$6) ,OtrosR!$C$3:$C127,$A113,OtrosR!$B$3:$B127,AH$1))</f>
        <v>#VALUE!</v>
      </c>
      <c r="AI114" s="37" t="str">
        <f t="array" ref="AI114">SUM(SUMIFS(INDIRECT($A$6) ,OtrosR!$C$3:$C127,$A113,OtrosR!$B$3:$B127,AI$1))</f>
        <v>#VALUE!</v>
      </c>
      <c r="AJ114" s="32" t="str">
        <f t="array" ref="AJ114">SUM(SUMIFS(INDIRECT($A$6) ,OtrosR!$C$3:$C127,$A113,OtrosR!$B$3:$B127,AJ$1))</f>
        <v>#VALUE!</v>
      </c>
      <c r="AK114" s="37" t="str">
        <f t="array" ref="AK114">SUM(SUMIFS(INDIRECT($A$6) ,OtrosR!$C$3:$C127,$A113,OtrosR!$B$3:$B127,AK$1))</f>
        <v>#VALUE!</v>
      </c>
      <c r="AL114" s="32" t="str">
        <f t="array" ref="AL114">SUM(SUMIFS(INDIRECT($A$6) ,OtrosR!$C$3:$C127,$A113,OtrosR!$B$3:$B127,AL$1))</f>
        <v>#VALUE!</v>
      </c>
      <c r="AM114" s="37" t="str">
        <f t="array" ref="AM114">SUM(SUMIFS(INDIRECT($A$6) ,OtrosR!$C$3:$C127,$A113,OtrosR!$B$3:$B127,AM$1))</f>
        <v>#VALUE!</v>
      </c>
      <c r="AN114" s="32" t="str">
        <f t="array" ref="AN114">SUM(SUMIFS(INDIRECT($A$6) ,OtrosR!$C$3:$C127,$A113,OtrosR!$B$3:$B127,AN$1))</f>
        <v>#VALUE!</v>
      </c>
      <c r="AO114" s="37" t="str">
        <f t="array" ref="AO114">SUM(SUMIFS(INDIRECT($A$6) ,OtrosR!$C$3:$C127,$A113,OtrosR!$B$3:$B127,AO$1))</f>
        <v>#VALUE!</v>
      </c>
      <c r="AP114" s="32" t="str">
        <f t="array" ref="AP114">SUM(SUMIFS(INDIRECT($A$6) ,OtrosR!$C$3:$C127,$A113,OtrosR!$B$3:$B127,AP$1))</f>
        <v>#VALUE!</v>
      </c>
      <c r="AQ114" s="37" t="str">
        <f t="array" ref="AQ114">SUM(SUMIFS(INDIRECT($A$6) ,OtrosR!$C$3:$C127,$A113,OtrosR!$B$3:$B127,AQ$1))</f>
        <v>#VALUE!</v>
      </c>
      <c r="AR114" s="32" t="str">
        <f t="array" ref="AR114">SUM(SUMIFS(INDIRECT($A$6) ,OtrosR!$C$3:$C127,$A113,OtrosR!$B$3:$B127,AR$1))</f>
        <v>#VALUE!</v>
      </c>
      <c r="AS114" s="37" t="str">
        <f t="array" ref="AS114">SUM(SUMIFS(INDIRECT($A$6) ,OtrosR!$C$3:$C127,$A113,OtrosR!$B$3:$B127,AS$1))</f>
        <v>#VALUE!</v>
      </c>
      <c r="AT114" s="32" t="str">
        <f t="array" ref="AT114">SUM(SUMIFS(INDIRECT($A$6) ,OtrosR!$C$3:$C127,$A113,OtrosR!$B$3:$B127,AT$1))</f>
        <v>#VALUE!</v>
      </c>
      <c r="AU114" s="37" t="str">
        <f t="array" ref="AU114">SUM(SUMIFS(INDIRECT($A$6) ,OtrosR!$C$3:$C127,$A113,OtrosR!$B$3:$B127,AU$1))</f>
        <v>#VALUE!</v>
      </c>
      <c r="AV114" s="32" t="str">
        <f t="array" ref="AV114">SUM(SUMIFS(INDIRECT($A$6) ,OtrosR!$C$3:$C127,$A113,OtrosR!$B$3:$B127,AV$1))</f>
        <v>#VALUE!</v>
      </c>
      <c r="AW114" s="37" t="str">
        <f t="array" ref="AW114">SUM(SUMIFS(INDIRECT($A$6) ,OtrosR!$C$3:$C127,$A113,OtrosR!$B$3:$B127,AW$1))</f>
        <v>#VALUE!</v>
      </c>
      <c r="AX114" s="32" t="str">
        <f t="array" ref="AX114">SUM(SUMIFS(INDIRECT($A$6) ,OtrosR!$C$3:$C127,$A113,OtrosR!$B$3:$B127,AX$1))</f>
        <v>#VALUE!</v>
      </c>
      <c r="AY114" s="37" t="str">
        <f t="array" ref="AY114">SUM(SUMIFS(INDIRECT($A$6) ,OtrosR!$C$3:$C127,$A113,OtrosR!$B$3:$B127,AY$1))</f>
        <v>#VALUE!</v>
      </c>
    </row>
    <row r="115" ht="15.75" hidden="1" customHeight="1">
      <c r="A115" s="40" t="str">
        <f>Menus!Q12</f>
        <v/>
      </c>
      <c r="B115" s="51" t="str">
        <f t="shared" si="9"/>
        <v/>
      </c>
      <c r="C115" s="33" t="str">
        <f t="shared" si="11"/>
        <v/>
      </c>
      <c r="D115" s="34" t="str">
        <f t="array" ref="D115">SUM(SUMIFS(INDIRECT($A$6) ,OtrosR!$C$3:$C127,$A114,OtrosR!$B$3:$B127,D$1))</f>
        <v>#VALUE!</v>
      </c>
      <c r="E115" s="32" t="str">
        <f t="array" ref="E115">SUM(SUMIFS(INDIRECT($A$6) ,OtrosR!$C$3:$C127,$A114,OtrosR!$B$3:$B127,E$1))</f>
        <v>#VALUE!</v>
      </c>
      <c r="F115" s="37" t="str">
        <f t="array" ref="F115">SUM(SUMIFS(INDIRECT($A$6) ,OtrosR!$C$3:$C127,$A114,OtrosR!$B$3:$B127,F$1))</f>
        <v>#VALUE!</v>
      </c>
      <c r="G115" s="32" t="str">
        <f t="array" ref="G115">SUM(SUMIFS(INDIRECT($A$6) ,OtrosR!$C$3:$C127,$A114,OtrosR!$B$3:$B127,G$1))</f>
        <v>#VALUE!</v>
      </c>
      <c r="H115" s="37" t="str">
        <f t="array" ref="H115">SUM(SUMIFS(INDIRECT($A$6) ,OtrosR!$C$3:$C127,$A114,OtrosR!$B$3:$B127,H$1))</f>
        <v>#VALUE!</v>
      </c>
      <c r="I115" s="32" t="str">
        <f t="array" ref="I115">SUM(SUMIFS(INDIRECT($A$6) ,OtrosR!$C$3:$C127,$A114,OtrosR!$B$3:$B127,I$1))</f>
        <v>#VALUE!</v>
      </c>
      <c r="J115" s="37" t="str">
        <f t="array" ref="J115">SUM(SUMIFS(INDIRECT($A$6) ,OtrosR!$C$3:$C127,$A114,OtrosR!$B$3:$B127,J$1))</f>
        <v>#VALUE!</v>
      </c>
      <c r="K115" s="32" t="str">
        <f t="array" ref="K115">SUM(SUMIFS(INDIRECT($A$6) ,OtrosR!$C$3:$C127,$A114,OtrosR!$B$3:$B127,K$1))</f>
        <v>#VALUE!</v>
      </c>
      <c r="L115" s="37" t="str">
        <f t="array" ref="L115">SUM(SUMIFS(INDIRECT($A$6) ,OtrosR!$C$3:$C127,$A114,OtrosR!$B$3:$B127,L$1))</f>
        <v>#VALUE!</v>
      </c>
      <c r="M115" s="32" t="str">
        <f t="array" ref="M115">SUM(SUMIFS(INDIRECT($A$6) ,OtrosR!$C$3:$C127,$A114,OtrosR!$B$3:$B127,M$1))</f>
        <v>#VALUE!</v>
      </c>
      <c r="N115" s="37" t="str">
        <f t="array" ref="N115">SUM(SUMIFS(INDIRECT($A$6) ,OtrosR!$C$3:$C127,$A114,OtrosR!$B$3:$B127,N$1))</f>
        <v>#VALUE!</v>
      </c>
      <c r="O115" s="32" t="str">
        <f t="array" ref="O115">SUM(SUMIFS(INDIRECT($A$6) ,OtrosR!$C$3:$C127,$A114,OtrosR!$B$3:$B127,O$1))</f>
        <v>#VALUE!</v>
      </c>
      <c r="P115" s="37" t="str">
        <f t="array" ref="P115">SUM(SUMIFS(INDIRECT($A$6) ,OtrosR!$C$3:$C127,$A114,OtrosR!$B$3:$B127,P$1))</f>
        <v>#VALUE!</v>
      </c>
      <c r="Q115" s="32" t="str">
        <f t="array" ref="Q115">SUM(SUMIFS(INDIRECT($A$6) ,OtrosR!$C$3:$C127,$A114,OtrosR!$B$3:$B127,Q$1))</f>
        <v>#VALUE!</v>
      </c>
      <c r="R115" s="37" t="str">
        <f t="array" ref="R115">SUM(SUMIFS(INDIRECT($A$6) ,OtrosR!$C$3:$C127,$A114,OtrosR!$B$3:$B127,R$1))</f>
        <v>#VALUE!</v>
      </c>
      <c r="S115" s="32" t="str">
        <f t="array" ref="S115">SUM(SUMIFS(INDIRECT($A$6) ,OtrosR!$C$3:$C127,$A114,OtrosR!$B$3:$B127,S$1))</f>
        <v>#VALUE!</v>
      </c>
      <c r="T115" s="37" t="str">
        <f t="array" ref="T115">SUM(SUMIFS(INDIRECT($A$6) ,OtrosR!$C$3:$C127,$A114,OtrosR!$B$3:$B127,T$1))</f>
        <v>#VALUE!</v>
      </c>
      <c r="U115" s="32" t="str">
        <f t="array" ref="U115">SUM(SUMIFS(INDIRECT($A$6) ,OtrosR!$C$3:$C127,$A114,OtrosR!$B$3:$B127,U$1))</f>
        <v>#VALUE!</v>
      </c>
      <c r="V115" s="37" t="str">
        <f t="array" ref="V115">SUM(SUMIFS(INDIRECT($A$6) ,OtrosR!$C$3:$C127,$A114,OtrosR!$B$3:$B127,V$1))</f>
        <v>#VALUE!</v>
      </c>
      <c r="W115" s="32" t="str">
        <f t="array" ref="W115">SUM(SUMIFS(INDIRECT($A$6) ,OtrosR!$C$3:$C127,$A114,OtrosR!$B$3:$B127,W$1))</f>
        <v>#VALUE!</v>
      </c>
      <c r="X115" s="37" t="str">
        <f t="array" ref="X115">SUM(SUMIFS(INDIRECT($A$6) ,OtrosR!$C$3:$C127,$A114,OtrosR!$B$3:$B127,X$1))</f>
        <v>#VALUE!</v>
      </c>
      <c r="Y115" s="32" t="str">
        <f t="array" ref="Y115">SUM(SUMIFS(INDIRECT($A$6) ,OtrosR!$C$3:$C127,$A114,OtrosR!$B$3:$B127,Y$1))</f>
        <v>#VALUE!</v>
      </c>
      <c r="Z115" s="32" t="str">
        <f t="array" ref="Z115">SUM(SUMIFS(INDIRECT($A$6) ,OtrosR!$C$3:$C127,$A114,OtrosR!$B$3:$B127,Z$1))</f>
        <v>#VALUE!</v>
      </c>
      <c r="AA115" s="37" t="str">
        <f t="array" ref="AA115">SUM(SUMIFS(INDIRECT($A$6) ,OtrosR!$C$3:$C127,$A114,OtrosR!$B$3:$B127,AA$1))</f>
        <v>#VALUE!</v>
      </c>
      <c r="AB115" s="32" t="str">
        <f t="array" ref="AB115">SUM(SUMIFS(INDIRECT($A$6) ,OtrosR!$C$3:$C127,$A114,OtrosR!$B$3:$B127,AB$1))</f>
        <v>#VALUE!</v>
      </c>
      <c r="AC115" s="37" t="str">
        <f t="array" ref="AC115">SUM(SUMIFS(INDIRECT($A$6) ,OtrosR!$C$3:$C127,$A114,OtrosR!$B$3:$B127,AC$1))</f>
        <v>#VALUE!</v>
      </c>
      <c r="AD115" s="32" t="str">
        <f t="array" ref="AD115">SUM(SUMIFS(INDIRECT($A$6) ,OtrosR!$C$3:$C127,$A114,OtrosR!$B$3:$B127,AD$1))</f>
        <v>#VALUE!</v>
      </c>
      <c r="AE115" s="37" t="str">
        <f t="array" ref="AE115">SUM(SUMIFS(INDIRECT($A$6) ,OtrosR!$C$3:$C127,$A114,OtrosR!$B$3:$B127,AE$1))</f>
        <v>#VALUE!</v>
      </c>
      <c r="AF115" s="32" t="str">
        <f t="array" ref="AF115">SUM(SUMIFS(INDIRECT($A$6) ,OtrosR!$C$3:$C127,$A114,OtrosR!$B$3:$B127,AF$1))</f>
        <v>#VALUE!</v>
      </c>
      <c r="AG115" s="37" t="str">
        <f t="array" ref="AG115">SUM(SUMIFS(INDIRECT($A$6) ,OtrosR!$C$3:$C127,$A114,OtrosR!$B$3:$B127,AG$1))</f>
        <v>#VALUE!</v>
      </c>
      <c r="AH115" s="32" t="str">
        <f t="array" ref="AH115">SUM(SUMIFS(INDIRECT($A$6) ,OtrosR!$C$3:$C127,$A114,OtrosR!$B$3:$B127,AH$1))</f>
        <v>#VALUE!</v>
      </c>
      <c r="AI115" s="37" t="str">
        <f t="array" ref="AI115">SUM(SUMIFS(INDIRECT($A$6) ,OtrosR!$C$3:$C127,$A114,OtrosR!$B$3:$B127,AI$1))</f>
        <v>#VALUE!</v>
      </c>
      <c r="AJ115" s="32" t="str">
        <f t="array" ref="AJ115">SUM(SUMIFS(INDIRECT($A$6) ,OtrosR!$C$3:$C127,$A114,OtrosR!$B$3:$B127,AJ$1))</f>
        <v>#VALUE!</v>
      </c>
      <c r="AK115" s="37" t="str">
        <f t="array" ref="AK115">SUM(SUMIFS(INDIRECT($A$6) ,OtrosR!$C$3:$C127,$A114,OtrosR!$B$3:$B127,AK$1))</f>
        <v>#VALUE!</v>
      </c>
      <c r="AL115" s="32" t="str">
        <f t="array" ref="AL115">SUM(SUMIFS(INDIRECT($A$6) ,OtrosR!$C$3:$C127,$A114,OtrosR!$B$3:$B127,AL$1))</f>
        <v>#VALUE!</v>
      </c>
      <c r="AM115" s="37" t="str">
        <f t="array" ref="AM115">SUM(SUMIFS(INDIRECT($A$6) ,OtrosR!$C$3:$C127,$A114,OtrosR!$B$3:$B127,AM$1))</f>
        <v>#VALUE!</v>
      </c>
      <c r="AN115" s="32" t="str">
        <f t="array" ref="AN115">SUM(SUMIFS(INDIRECT($A$6) ,OtrosR!$C$3:$C127,$A114,OtrosR!$B$3:$B127,AN$1))</f>
        <v>#VALUE!</v>
      </c>
      <c r="AO115" s="37" t="str">
        <f t="array" ref="AO115">SUM(SUMIFS(INDIRECT($A$6) ,OtrosR!$C$3:$C127,$A114,OtrosR!$B$3:$B127,AO$1))</f>
        <v>#VALUE!</v>
      </c>
      <c r="AP115" s="32" t="str">
        <f t="array" ref="AP115">SUM(SUMIFS(INDIRECT($A$6) ,OtrosR!$C$3:$C127,$A114,OtrosR!$B$3:$B127,AP$1))</f>
        <v>#VALUE!</v>
      </c>
      <c r="AQ115" s="37" t="str">
        <f t="array" ref="AQ115">SUM(SUMIFS(INDIRECT($A$6) ,OtrosR!$C$3:$C127,$A114,OtrosR!$B$3:$B127,AQ$1))</f>
        <v>#VALUE!</v>
      </c>
      <c r="AR115" s="32" t="str">
        <f t="array" ref="AR115">SUM(SUMIFS(INDIRECT($A$6) ,OtrosR!$C$3:$C127,$A114,OtrosR!$B$3:$B127,AR$1))</f>
        <v>#VALUE!</v>
      </c>
      <c r="AS115" s="37" t="str">
        <f t="array" ref="AS115">SUM(SUMIFS(INDIRECT($A$6) ,OtrosR!$C$3:$C127,$A114,OtrosR!$B$3:$B127,AS$1))</f>
        <v>#VALUE!</v>
      </c>
      <c r="AT115" s="32" t="str">
        <f t="array" ref="AT115">SUM(SUMIFS(INDIRECT($A$6) ,OtrosR!$C$3:$C127,$A114,OtrosR!$B$3:$B127,AT$1))</f>
        <v>#VALUE!</v>
      </c>
      <c r="AU115" s="37" t="str">
        <f t="array" ref="AU115">SUM(SUMIFS(INDIRECT($A$6) ,OtrosR!$C$3:$C127,$A114,OtrosR!$B$3:$B127,AU$1))</f>
        <v>#VALUE!</v>
      </c>
      <c r="AV115" s="32" t="str">
        <f t="array" ref="AV115">SUM(SUMIFS(INDIRECT($A$6) ,OtrosR!$C$3:$C127,$A114,OtrosR!$B$3:$B127,AV$1))</f>
        <v>#VALUE!</v>
      </c>
      <c r="AW115" s="37" t="str">
        <f t="array" ref="AW115">SUM(SUMIFS(INDIRECT($A$6) ,OtrosR!$C$3:$C127,$A114,OtrosR!$B$3:$B127,AW$1))</f>
        <v>#VALUE!</v>
      </c>
      <c r="AX115" s="32" t="str">
        <f t="array" ref="AX115">SUM(SUMIFS(INDIRECT($A$6) ,OtrosR!$C$3:$C127,$A114,OtrosR!$B$3:$B127,AX$1))</f>
        <v>#VALUE!</v>
      </c>
      <c r="AY115" s="37" t="str">
        <f t="array" ref="AY115">SUM(SUMIFS(INDIRECT($A$6) ,OtrosR!$C$3:$C127,$A114,OtrosR!$B$3:$B127,AY$1))</f>
        <v>#VALUE!</v>
      </c>
    </row>
    <row r="116" ht="15.75" customHeight="1">
      <c r="C116" s="51"/>
      <c r="D116" s="51"/>
      <c r="E116" s="51"/>
      <c r="G116" s="51"/>
      <c r="I116" s="51"/>
      <c r="K116" s="51"/>
      <c r="M116" s="51"/>
      <c r="O116" s="51"/>
      <c r="Q116" s="51"/>
      <c r="S116" s="51"/>
      <c r="U116" s="51"/>
      <c r="W116" s="51"/>
      <c r="Y116" s="51"/>
      <c r="Z116" s="51"/>
      <c r="AB116" s="51"/>
      <c r="AD116" s="51"/>
      <c r="AF116" s="51"/>
      <c r="AH116" s="51"/>
      <c r="AJ116" s="51"/>
      <c r="AL116" s="51"/>
      <c r="AN116" s="51"/>
      <c r="AP116" s="51"/>
      <c r="AR116" s="51"/>
      <c r="AT116" s="51"/>
      <c r="AV116" s="51"/>
      <c r="AX116" s="51"/>
    </row>
    <row r="117" ht="15.75" customHeight="1">
      <c r="C117" s="51"/>
      <c r="D117" s="51"/>
      <c r="E117" s="51"/>
      <c r="G117" s="51"/>
      <c r="I117" s="51"/>
      <c r="K117" s="51"/>
      <c r="M117" s="51"/>
      <c r="O117" s="51"/>
      <c r="Q117" s="51"/>
      <c r="S117" s="51"/>
      <c r="U117" s="51"/>
      <c r="W117" s="51"/>
      <c r="Y117" s="51"/>
      <c r="Z117" s="51"/>
      <c r="AB117" s="51"/>
      <c r="AD117" s="51"/>
      <c r="AF117" s="51"/>
      <c r="AH117" s="51"/>
      <c r="AJ117" s="51"/>
      <c r="AL117" s="51"/>
      <c r="AN117" s="51"/>
      <c r="AP117" s="51"/>
      <c r="AR117" s="51"/>
      <c r="AT117" s="51"/>
      <c r="AV117" s="51"/>
      <c r="AX117" s="51"/>
    </row>
    <row r="118" ht="15.75" customHeight="1">
      <c r="C118" s="51"/>
      <c r="D118" s="51"/>
      <c r="E118" s="51"/>
      <c r="G118" s="51"/>
      <c r="I118" s="51"/>
      <c r="K118" s="51"/>
      <c r="M118" s="51"/>
      <c r="O118" s="51"/>
      <c r="Q118" s="51"/>
      <c r="S118" s="51"/>
      <c r="U118" s="51"/>
      <c r="W118" s="51"/>
      <c r="Y118" s="51"/>
      <c r="Z118" s="51"/>
      <c r="AB118" s="51"/>
      <c r="AD118" s="51"/>
      <c r="AF118" s="51"/>
      <c r="AH118" s="51"/>
      <c r="AJ118" s="51"/>
      <c r="AL118" s="51"/>
      <c r="AN118" s="51"/>
      <c r="AP118" s="51"/>
      <c r="AR118" s="51"/>
      <c r="AT118" s="51"/>
      <c r="AV118" s="51"/>
      <c r="AX118" s="51"/>
    </row>
    <row r="119" ht="15.75" customHeight="1">
      <c r="C119" s="51"/>
      <c r="D119" s="51"/>
      <c r="E119" s="51"/>
      <c r="G119" s="51"/>
      <c r="I119" s="51"/>
      <c r="K119" s="51"/>
      <c r="M119" s="51"/>
      <c r="O119" s="51"/>
      <c r="Q119" s="51"/>
      <c r="S119" s="51"/>
      <c r="U119" s="51"/>
      <c r="W119" s="51"/>
      <c r="Y119" s="51"/>
      <c r="Z119" s="51"/>
      <c r="AB119" s="51"/>
      <c r="AD119" s="51"/>
      <c r="AF119" s="51"/>
      <c r="AH119" s="51"/>
      <c r="AJ119" s="51"/>
      <c r="AL119" s="51"/>
      <c r="AN119" s="51"/>
      <c r="AP119" s="51"/>
      <c r="AR119" s="51"/>
      <c r="AT119" s="51"/>
      <c r="AV119" s="51"/>
      <c r="AX119" s="51"/>
    </row>
    <row r="120" ht="15.75" customHeight="1">
      <c r="C120" s="51"/>
      <c r="D120" s="51"/>
      <c r="E120" s="51"/>
      <c r="G120" s="51"/>
      <c r="I120" s="51"/>
      <c r="K120" s="51"/>
      <c r="M120" s="51"/>
      <c r="O120" s="51"/>
      <c r="Q120" s="51"/>
      <c r="S120" s="51"/>
      <c r="U120" s="51"/>
      <c r="W120" s="51"/>
      <c r="Y120" s="51"/>
      <c r="Z120" s="51"/>
      <c r="AB120" s="51"/>
      <c r="AD120" s="51"/>
      <c r="AF120" s="51"/>
      <c r="AH120" s="51"/>
      <c r="AJ120" s="51"/>
      <c r="AL120" s="51"/>
      <c r="AN120" s="51"/>
      <c r="AP120" s="51"/>
      <c r="AR120" s="51"/>
      <c r="AT120" s="51"/>
      <c r="AV120" s="51"/>
      <c r="AX120" s="51"/>
    </row>
    <row r="121" ht="15.75" customHeight="1">
      <c r="C121" s="51"/>
      <c r="D121" s="51"/>
      <c r="E121" s="51"/>
      <c r="G121" s="51"/>
      <c r="I121" s="51"/>
      <c r="K121" s="51"/>
      <c r="M121" s="51"/>
      <c r="O121" s="51"/>
      <c r="Q121" s="51"/>
      <c r="S121" s="51"/>
      <c r="U121" s="51"/>
      <c r="W121" s="51"/>
      <c r="Y121" s="51"/>
      <c r="Z121" s="51"/>
      <c r="AB121" s="51"/>
      <c r="AD121" s="51"/>
      <c r="AF121" s="51"/>
      <c r="AH121" s="51"/>
      <c r="AJ121" s="51"/>
      <c r="AL121" s="51"/>
      <c r="AN121" s="51"/>
      <c r="AP121" s="51"/>
      <c r="AR121" s="51"/>
      <c r="AT121" s="51"/>
      <c r="AV121" s="51"/>
      <c r="AX121" s="51"/>
    </row>
    <row r="122" ht="15.75" customHeight="1">
      <c r="C122" s="51"/>
      <c r="D122" s="51"/>
      <c r="E122" s="51"/>
      <c r="G122" s="51"/>
      <c r="I122" s="51"/>
      <c r="K122" s="51"/>
      <c r="M122" s="51"/>
      <c r="O122" s="51"/>
      <c r="Q122" s="51"/>
      <c r="S122" s="51"/>
      <c r="U122" s="51"/>
      <c r="W122" s="51"/>
      <c r="Y122" s="51"/>
      <c r="Z122" s="51"/>
      <c r="AB122" s="51"/>
      <c r="AD122" s="51"/>
      <c r="AF122" s="51"/>
      <c r="AH122" s="51"/>
      <c r="AJ122" s="51"/>
      <c r="AL122" s="51"/>
      <c r="AN122" s="51"/>
      <c r="AP122" s="51"/>
      <c r="AR122" s="51"/>
      <c r="AT122" s="51"/>
      <c r="AV122" s="51"/>
      <c r="AX122" s="51"/>
    </row>
    <row r="123" ht="15.75" customHeight="1">
      <c r="C123" s="51"/>
      <c r="D123" s="51"/>
      <c r="E123" s="51"/>
      <c r="G123" s="51"/>
      <c r="I123" s="51"/>
      <c r="K123" s="51"/>
      <c r="M123" s="51"/>
      <c r="O123" s="51"/>
      <c r="Q123" s="51"/>
      <c r="S123" s="51"/>
      <c r="U123" s="51"/>
      <c r="W123" s="51"/>
      <c r="Y123" s="51"/>
      <c r="Z123" s="51"/>
      <c r="AB123" s="51"/>
      <c r="AD123" s="51"/>
      <c r="AF123" s="51"/>
      <c r="AH123" s="51"/>
      <c r="AJ123" s="51"/>
      <c r="AL123" s="51"/>
      <c r="AN123" s="51"/>
      <c r="AP123" s="51"/>
      <c r="AR123" s="51"/>
      <c r="AT123" s="51"/>
      <c r="AV123" s="51"/>
      <c r="AX123" s="51"/>
    </row>
    <row r="124" ht="15.75" customHeight="1">
      <c r="C124" s="51"/>
      <c r="D124" s="51"/>
      <c r="E124" s="51"/>
      <c r="G124" s="51"/>
      <c r="I124" s="51"/>
      <c r="K124" s="51"/>
      <c r="M124" s="51"/>
      <c r="O124" s="51"/>
      <c r="Q124" s="51"/>
      <c r="S124" s="51"/>
      <c r="U124" s="51"/>
      <c r="W124" s="51"/>
      <c r="Y124" s="51"/>
      <c r="Z124" s="51"/>
      <c r="AB124" s="51"/>
      <c r="AD124" s="51"/>
      <c r="AF124" s="51"/>
      <c r="AH124" s="51"/>
      <c r="AJ124" s="51"/>
      <c r="AL124" s="51"/>
      <c r="AN124" s="51"/>
      <c r="AP124" s="51"/>
      <c r="AR124" s="51"/>
      <c r="AT124" s="51"/>
      <c r="AV124" s="51"/>
      <c r="AX124" s="51"/>
    </row>
    <row r="125" ht="15.75" customHeight="1">
      <c r="C125" s="51"/>
      <c r="D125" s="51"/>
      <c r="E125" s="51"/>
      <c r="G125" s="51"/>
      <c r="I125" s="51"/>
      <c r="K125" s="51"/>
      <c r="M125" s="51"/>
      <c r="O125" s="51"/>
      <c r="Q125" s="51"/>
      <c r="S125" s="51"/>
      <c r="U125" s="51"/>
      <c r="W125" s="51"/>
      <c r="Y125" s="51"/>
      <c r="Z125" s="51"/>
      <c r="AB125" s="51"/>
      <c r="AD125" s="51"/>
      <c r="AF125" s="51"/>
      <c r="AH125" s="51"/>
      <c r="AJ125" s="51"/>
      <c r="AL125" s="51"/>
      <c r="AN125" s="51"/>
      <c r="AP125" s="51"/>
      <c r="AR125" s="51"/>
      <c r="AT125" s="51"/>
      <c r="AV125" s="51"/>
      <c r="AX125" s="51"/>
    </row>
    <row r="126" ht="15.75" customHeight="1">
      <c r="C126" s="51"/>
      <c r="D126" s="51"/>
      <c r="E126" s="51"/>
      <c r="G126" s="51"/>
      <c r="I126" s="51"/>
      <c r="K126" s="51"/>
      <c r="M126" s="51"/>
      <c r="O126" s="51"/>
      <c r="Q126" s="51"/>
      <c r="S126" s="51"/>
      <c r="U126" s="51"/>
      <c r="W126" s="51"/>
      <c r="Y126" s="51"/>
      <c r="Z126" s="51"/>
      <c r="AB126" s="51"/>
      <c r="AD126" s="51"/>
      <c r="AF126" s="51"/>
      <c r="AH126" s="51"/>
      <c r="AJ126" s="51"/>
      <c r="AL126" s="51"/>
      <c r="AN126" s="51"/>
      <c r="AP126" s="51"/>
      <c r="AR126" s="51"/>
      <c r="AT126" s="51"/>
      <c r="AV126" s="51"/>
      <c r="AX126" s="51"/>
    </row>
    <row r="127" ht="15.75" customHeight="1">
      <c r="C127" s="51"/>
      <c r="D127" s="51"/>
      <c r="E127" s="51"/>
      <c r="G127" s="51"/>
      <c r="I127" s="51"/>
      <c r="K127" s="51"/>
      <c r="M127" s="51"/>
      <c r="O127" s="51"/>
      <c r="Q127" s="51"/>
      <c r="S127" s="51"/>
      <c r="U127" s="51"/>
      <c r="W127" s="51"/>
      <c r="Y127" s="51"/>
      <c r="Z127" s="51"/>
      <c r="AB127" s="51"/>
      <c r="AD127" s="51"/>
      <c r="AF127" s="51"/>
      <c r="AH127" s="51"/>
      <c r="AJ127" s="51"/>
      <c r="AL127" s="51"/>
      <c r="AN127" s="51"/>
      <c r="AP127" s="51"/>
      <c r="AR127" s="51"/>
      <c r="AT127" s="51"/>
      <c r="AV127" s="51"/>
      <c r="AX127" s="51"/>
    </row>
  </sheetData>
  <dataValidations>
    <dataValidation type="list" allowBlank="1" showErrorMessage="1" sqref="A1">
      <formula1>Config!$F$2:$F$13</formula1>
    </dataValidation>
    <dataValidation type="list" allowBlank="1" showErrorMessage="1" sqref="C1">
      <formula1>Menus!$A$3:$A127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0"/>
  <cols>
    <col customWidth="1" min="1" max="1" width="32.25"/>
    <col customWidth="1" min="2" max="2" width="17.5"/>
    <col customWidth="1" min="3" max="3" width="17.25"/>
    <col customWidth="1" min="4" max="4" width="14.75"/>
    <col customWidth="1" min="5" max="5" width="15.25"/>
    <col customWidth="1" min="6" max="6" width="14.75"/>
    <col customWidth="1" min="7" max="7" width="14.5"/>
    <col customWidth="1" min="8" max="8" width="16.75"/>
    <col customWidth="1" min="9" max="10" width="14.5"/>
    <col customWidth="1" min="11" max="11" width="22.25"/>
    <col customWidth="1" min="12" max="12" width="13.75"/>
    <col customWidth="1" min="13" max="13" width="14.5"/>
    <col customWidth="1" min="14" max="14" width="12.25"/>
    <col customWidth="1" min="15" max="15" width="12.13"/>
    <col customWidth="1" min="16" max="16" width="11.63"/>
    <col customWidth="1" min="17" max="17" width="14.25"/>
    <col customWidth="1" min="18" max="19" width="12.75"/>
    <col customWidth="1" min="20" max="21" width="12.13"/>
    <col customWidth="1" min="22" max="22" width="11.63"/>
    <col customWidth="1" min="23" max="24" width="12.13"/>
    <col customWidth="1" min="25" max="25" width="11.63"/>
    <col customWidth="1" min="26" max="26" width="12.13"/>
    <col customWidth="1" min="27" max="28" width="12.75"/>
    <col customWidth="1" min="29" max="30" width="13.75"/>
    <col customWidth="1" min="31" max="31" width="12.75"/>
    <col customWidth="1" min="32" max="32" width="11.13"/>
    <col customWidth="1" min="33" max="33" width="11.25"/>
    <col customWidth="1" min="34" max="34" width="11.63"/>
    <col customWidth="1" min="35" max="35" width="16.25"/>
    <col customWidth="1" min="36" max="36" width="12.13"/>
    <col customWidth="1" min="37" max="37" width="11.63"/>
    <col customWidth="1" min="38" max="38" width="17.63"/>
    <col customWidth="1" min="39" max="39" width="12.13"/>
    <col customWidth="1" min="40" max="40" width="11.75"/>
    <col customWidth="1" min="41" max="41" width="14.75"/>
    <col customWidth="1" min="42" max="42" width="14.88"/>
    <col customWidth="1" min="43" max="43" width="14.5"/>
    <col customWidth="1" min="44" max="45" width="11.63"/>
    <col customWidth="1" min="46" max="46" width="10.63"/>
    <col customWidth="1" min="47" max="47" width="12.5"/>
    <col customWidth="1" min="48" max="49" width="11.63"/>
    <col customWidth="1" min="50" max="50" width="13.38"/>
    <col customWidth="1" min="51" max="51" width="13.75"/>
    <col customWidth="1" min="52" max="52" width="14.13"/>
    <col customWidth="1" min="53" max="53" width="13.88"/>
    <col customWidth="1" min="54" max="54" width="13.75"/>
    <col customWidth="1" min="55" max="55" width="12.75"/>
    <col customWidth="1" min="56" max="57" width="12.13"/>
    <col customWidth="1" min="58" max="58" width="12.75"/>
    <col customWidth="1" min="59" max="60" width="12.13"/>
    <col customWidth="1" min="61" max="61" width="12.75"/>
    <col customWidth="1" min="62" max="62" width="13.25"/>
    <col customWidth="1" min="63" max="63" width="12.13"/>
    <col customWidth="1" min="64" max="64" width="12.75"/>
    <col customWidth="1" min="65" max="66" width="12.13"/>
    <col customWidth="1" min="67" max="67" width="11.63"/>
    <col customWidth="1" min="68" max="68" width="12.63"/>
    <col customWidth="1" min="69" max="69" width="12.75"/>
    <col customWidth="1" min="70" max="70" width="11.63"/>
    <col customWidth="1" min="71" max="71" width="12.75"/>
    <col customWidth="1" min="72" max="72" width="11.0"/>
    <col customWidth="1" min="73" max="73" width="10.75"/>
    <col customWidth="1" min="74" max="74" width="12.88"/>
    <col customWidth="1" min="75" max="75" width="11.63"/>
    <col customWidth="1" min="76" max="76" width="8.88"/>
    <col customWidth="1" min="77" max="77" width="12.13"/>
    <col customWidth="1" min="78" max="79" width="12.75"/>
    <col customWidth="1" min="80" max="80" width="15.63"/>
    <col customWidth="1" min="81" max="81" width="13.75"/>
    <col customWidth="1" min="82" max="82" width="12.75"/>
    <col customWidth="1" min="83" max="84" width="11.25"/>
    <col customWidth="1" min="85" max="85" width="6.63"/>
    <col customWidth="1" min="86" max="86" width="9.63"/>
    <col customWidth="1" min="87" max="88" width="10.63"/>
    <col customWidth="1" min="89" max="90" width="11.0"/>
    <col customWidth="1" min="91" max="91" width="8.75"/>
    <col customWidth="1" min="92" max="92" width="6.5"/>
    <col customWidth="1" min="93" max="94" width="6.0"/>
    <col customWidth="1" min="95" max="95" width="6.5"/>
    <col customWidth="1" min="96" max="97" width="6.0"/>
    <col customWidth="1" min="98" max="98" width="6.5"/>
    <col customWidth="1" min="99" max="100" width="6.0"/>
    <col customWidth="1" min="101" max="101" width="6.5"/>
    <col customWidth="1" min="102" max="103" width="6.0"/>
    <col customWidth="1" min="104" max="104" width="6.5"/>
    <col customWidth="1" min="105" max="106" width="6.0"/>
    <col customWidth="1" min="107" max="107" width="6.5"/>
    <col customWidth="1" min="108" max="109" width="6.0"/>
    <col customWidth="1" min="110" max="110" width="6.5"/>
    <col customWidth="1" min="111" max="112" width="6.0"/>
    <col customWidth="1" min="113" max="113" width="6.5"/>
    <col customWidth="1" min="114" max="115" width="6.0"/>
    <col customWidth="1" min="116" max="116" width="6.5"/>
    <col customWidth="1" min="117" max="118" width="6.0"/>
    <col customWidth="1" min="119" max="119" width="6.5"/>
    <col customWidth="1" min="120" max="121" width="6.0"/>
    <col customWidth="1" min="122" max="122" width="6.5"/>
    <col customWidth="1" min="123" max="124" width="6.0"/>
  </cols>
  <sheetData>
    <row r="1" ht="15.75" customHeight="1">
      <c r="A1" s="53" t="s">
        <v>10</v>
      </c>
      <c r="B1" s="54" t="str">
        <f>VLOOKUP(A1,Menus!E2:L13,6)</f>
        <v>#N/A</v>
      </c>
      <c r="C1" s="54" t="str">
        <f>VLOOKUP(A1,Menus!E2:L13,7)</f>
        <v>#N/A</v>
      </c>
      <c r="D1" s="54" t="str">
        <f>VLOOKUP(A1,Menus!E2:L13,8)</f>
        <v>#N/A</v>
      </c>
      <c r="E1" s="55" t="s">
        <v>11</v>
      </c>
      <c r="G1" s="56"/>
      <c r="H1" s="4" t="str">
        <f>Menus!A2</f>
        <v/>
      </c>
      <c r="J1" s="56"/>
      <c r="K1" s="5" t="str">
        <f>Menus!A3</f>
        <v/>
      </c>
      <c r="M1" s="56"/>
      <c r="N1" s="2" t="str">
        <f>Menus!A4</f>
        <v/>
      </c>
      <c r="P1" s="56"/>
      <c r="Q1" s="5" t="str">
        <f>Menus!A5</f>
        <v/>
      </c>
      <c r="S1" s="56"/>
      <c r="T1" s="2" t="str">
        <f>Menus!A6</f>
        <v/>
      </c>
      <c r="V1" s="56"/>
      <c r="W1" s="5" t="str">
        <f>Menus!A7</f>
        <v/>
      </c>
      <c r="Y1" s="56"/>
      <c r="Z1" s="2" t="str">
        <f>Menus!A8</f>
        <v/>
      </c>
      <c r="AB1" s="56"/>
      <c r="AC1" s="5" t="str">
        <f>Menus!A9</f>
        <v/>
      </c>
      <c r="AE1" s="56"/>
      <c r="AF1" s="2" t="str">
        <f>Menus!A10</f>
        <v/>
      </c>
      <c r="AH1" s="56"/>
      <c r="AI1" s="5" t="str">
        <f>Menus!A11</f>
        <v/>
      </c>
      <c r="AK1" s="56"/>
      <c r="AL1" s="2" t="str">
        <f>Menus!A12</f>
        <v/>
      </c>
      <c r="AN1" s="56"/>
      <c r="AO1" s="5" t="str">
        <f>Menus!A13</f>
        <v/>
      </c>
      <c r="AQ1" s="56"/>
      <c r="AR1" s="2" t="str">
        <f>Menus!A14</f>
        <v/>
      </c>
      <c r="AT1" s="56"/>
      <c r="AU1" s="5" t="str">
        <f>Menus!A15</f>
        <v/>
      </c>
      <c r="AW1" s="56"/>
      <c r="AX1" s="2" t="str">
        <f>Menus!A16</f>
        <v/>
      </c>
      <c r="AZ1" s="56"/>
      <c r="BA1" s="5" t="str">
        <f>Menus!A17</f>
        <v/>
      </c>
      <c r="BC1" s="56"/>
      <c r="BD1" s="2" t="str">
        <f>Menus!A18</f>
        <v/>
      </c>
      <c r="BF1" s="56"/>
      <c r="BG1" s="5" t="str">
        <f>Menus!A19</f>
        <v/>
      </c>
      <c r="BI1" s="56"/>
      <c r="BJ1" s="2" t="str">
        <f>Menus!A20</f>
        <v/>
      </c>
      <c r="BL1" s="56"/>
      <c r="BM1" s="5" t="str">
        <f>Menus!A21</f>
        <v/>
      </c>
      <c r="BO1" s="56"/>
      <c r="BP1" s="2" t="str">
        <f>Menus!A22</f>
        <v/>
      </c>
      <c r="BR1" s="56"/>
      <c r="BS1" s="5" t="str">
        <f>Menus!A23</f>
        <v/>
      </c>
      <c r="BU1" s="56"/>
      <c r="BV1" s="2" t="str">
        <f>Menus!A24</f>
        <v/>
      </c>
      <c r="BX1" s="56"/>
      <c r="BY1" s="5" t="str">
        <f>Menus!A25</f>
        <v/>
      </c>
      <c r="CA1" s="56"/>
      <c r="CB1" s="2" t="str">
        <f>Menus!A26</f>
        <v/>
      </c>
      <c r="CD1" s="56"/>
      <c r="CE1" s="5" t="str">
        <f>Menus!A27</f>
        <v/>
      </c>
      <c r="CG1" s="56"/>
      <c r="CH1" s="2" t="str">
        <f>Menus!A28</f>
        <v/>
      </c>
      <c r="CJ1" s="56"/>
      <c r="CK1" s="5" t="str">
        <f>Menus!A29</f>
        <v/>
      </c>
      <c r="CM1" s="56"/>
      <c r="CN1" s="2" t="str">
        <f>Menus!A30</f>
        <v/>
      </c>
      <c r="CP1" s="56"/>
      <c r="CQ1" s="5" t="str">
        <f>Menus!A31</f>
        <v/>
      </c>
      <c r="CS1" s="56"/>
      <c r="CT1" s="2" t="str">
        <f>Menus!A32</f>
        <v/>
      </c>
      <c r="CV1" s="56"/>
      <c r="CW1" s="5" t="str">
        <f>Menus!A33</f>
        <v/>
      </c>
      <c r="CY1" s="56"/>
      <c r="CZ1" s="2" t="str">
        <f>Menus!A34</f>
        <v/>
      </c>
      <c r="DB1" s="56"/>
      <c r="DC1" s="5" t="str">
        <f>Menus!A35</f>
        <v/>
      </c>
      <c r="DE1" s="56"/>
      <c r="DF1" s="2" t="str">
        <f>Menus!A36</f>
        <v/>
      </c>
      <c r="DH1" s="56"/>
      <c r="DI1" s="5" t="str">
        <f>Menus!A37</f>
        <v/>
      </c>
      <c r="DK1" s="56"/>
      <c r="DL1" s="2" t="str">
        <f>Menus!A38</f>
        <v/>
      </c>
      <c r="DN1" s="56"/>
      <c r="DO1" s="5" t="str">
        <f>Menus!A39</f>
        <v/>
      </c>
      <c r="DQ1" s="56"/>
      <c r="DR1" s="2" t="str">
        <f>Menus!A40</f>
        <v/>
      </c>
      <c r="DT1" s="56"/>
    </row>
    <row r="2" ht="15.75" customHeight="1">
      <c r="A2" s="53" t="s">
        <v>12</v>
      </c>
      <c r="B2" s="57" t="str">
        <f>$H$2</f>
        <v>#N/A</v>
      </c>
      <c r="C2" s="57" t="str">
        <f>$I$2</f>
        <v>#N/A</v>
      </c>
      <c r="D2" s="57" t="str">
        <f>$J$2</f>
        <v>Dif</v>
      </c>
      <c r="E2" s="58" t="str">
        <f>VLOOKUP(A1,Menus!E2:H13,3)</f>
        <v>#N/A</v>
      </c>
      <c r="F2" s="59" t="str">
        <f>VLOOKUP(A2,Menus!E2:H13,3)</f>
        <v>#N/A</v>
      </c>
      <c r="G2" s="59" t="s">
        <v>13</v>
      </c>
      <c r="H2" s="60" t="str">
        <f t="shared" ref="H2:J2" si="1">E2</f>
        <v>#N/A</v>
      </c>
      <c r="I2" s="61" t="str">
        <f t="shared" si="1"/>
        <v>#N/A</v>
      </c>
      <c r="J2" s="62" t="str">
        <f t="shared" si="1"/>
        <v>Dif</v>
      </c>
      <c r="K2" s="63" t="str">
        <f>$H$2</f>
        <v>#N/A</v>
      </c>
      <c r="L2" s="64" t="str">
        <f>$I$2</f>
        <v>#N/A</v>
      </c>
      <c r="M2" s="65" t="str">
        <f>$J$2</f>
        <v>Dif</v>
      </c>
      <c r="N2" s="66" t="str">
        <f t="shared" ref="N2:P2" si="2">K2</f>
        <v>#N/A</v>
      </c>
      <c r="O2" s="57" t="str">
        <f t="shared" si="2"/>
        <v>#N/A</v>
      </c>
      <c r="P2" s="67" t="str">
        <f t="shared" si="2"/>
        <v>Dif</v>
      </c>
      <c r="Q2" s="63" t="str">
        <f>$H$2</f>
        <v>#N/A</v>
      </c>
      <c r="R2" s="64" t="str">
        <f>$I$2</f>
        <v>#N/A</v>
      </c>
      <c r="S2" s="65" t="str">
        <f>$J$2</f>
        <v>Dif</v>
      </c>
      <c r="T2" s="66" t="str">
        <f t="shared" ref="T2:V2" si="3">Q2</f>
        <v>#N/A</v>
      </c>
      <c r="U2" s="57" t="str">
        <f t="shared" si="3"/>
        <v>#N/A</v>
      </c>
      <c r="V2" s="67" t="str">
        <f t="shared" si="3"/>
        <v>Dif</v>
      </c>
      <c r="W2" s="63" t="str">
        <f>$H$2</f>
        <v>#N/A</v>
      </c>
      <c r="X2" s="64" t="str">
        <f>$I$2</f>
        <v>#N/A</v>
      </c>
      <c r="Y2" s="65" t="str">
        <f>$J$2</f>
        <v>Dif</v>
      </c>
      <c r="Z2" s="66" t="str">
        <f t="shared" ref="Z2:AB2" si="4">W2</f>
        <v>#N/A</v>
      </c>
      <c r="AA2" s="57" t="str">
        <f t="shared" si="4"/>
        <v>#N/A</v>
      </c>
      <c r="AB2" s="67" t="str">
        <f t="shared" si="4"/>
        <v>Dif</v>
      </c>
      <c r="AC2" s="63" t="str">
        <f>$H$2</f>
        <v>#N/A</v>
      </c>
      <c r="AD2" s="64" t="str">
        <f>$I$2</f>
        <v>#N/A</v>
      </c>
      <c r="AE2" s="65" t="str">
        <f>$J$2</f>
        <v>Dif</v>
      </c>
      <c r="AF2" s="66" t="str">
        <f t="shared" ref="AF2:AH2" si="5">AC2</f>
        <v>#N/A</v>
      </c>
      <c r="AG2" s="57" t="str">
        <f t="shared" si="5"/>
        <v>#N/A</v>
      </c>
      <c r="AH2" s="67" t="str">
        <f t="shared" si="5"/>
        <v>Dif</v>
      </c>
      <c r="AI2" s="63" t="str">
        <f>$H$2</f>
        <v>#N/A</v>
      </c>
      <c r="AJ2" s="64" t="str">
        <f>$I$2</f>
        <v>#N/A</v>
      </c>
      <c r="AK2" s="65" t="str">
        <f>$J$2</f>
        <v>Dif</v>
      </c>
      <c r="AL2" s="66" t="str">
        <f t="shared" ref="AL2:AN2" si="6">AI2</f>
        <v>#N/A</v>
      </c>
      <c r="AM2" s="57" t="str">
        <f t="shared" si="6"/>
        <v>#N/A</v>
      </c>
      <c r="AN2" s="67" t="str">
        <f t="shared" si="6"/>
        <v>Dif</v>
      </c>
      <c r="AO2" s="63" t="str">
        <f>$H$2</f>
        <v>#N/A</v>
      </c>
      <c r="AP2" s="64" t="str">
        <f>$I$2</f>
        <v>#N/A</v>
      </c>
      <c r="AQ2" s="65" t="str">
        <f>$J$2</f>
        <v>Dif</v>
      </c>
      <c r="AR2" s="66" t="str">
        <f t="shared" ref="AR2:AT2" si="7">AO2</f>
        <v>#N/A</v>
      </c>
      <c r="AS2" s="57" t="str">
        <f t="shared" si="7"/>
        <v>#N/A</v>
      </c>
      <c r="AT2" s="67" t="str">
        <f t="shared" si="7"/>
        <v>Dif</v>
      </c>
      <c r="AU2" s="63" t="str">
        <f>$H$2</f>
        <v>#N/A</v>
      </c>
      <c r="AV2" s="64" t="str">
        <f>$I$2</f>
        <v>#N/A</v>
      </c>
      <c r="AW2" s="65" t="str">
        <f>$J$2</f>
        <v>Dif</v>
      </c>
      <c r="AX2" s="66" t="str">
        <f t="shared" ref="AX2:AZ2" si="8">AU2</f>
        <v>#N/A</v>
      </c>
      <c r="AY2" s="57" t="str">
        <f t="shared" si="8"/>
        <v>#N/A</v>
      </c>
      <c r="AZ2" s="67" t="str">
        <f t="shared" si="8"/>
        <v>Dif</v>
      </c>
      <c r="BA2" s="63" t="str">
        <f>$H$2</f>
        <v>#N/A</v>
      </c>
      <c r="BB2" s="64" t="str">
        <f>$I$2</f>
        <v>#N/A</v>
      </c>
      <c r="BC2" s="65" t="str">
        <f>$J$2</f>
        <v>Dif</v>
      </c>
      <c r="BD2" s="66" t="str">
        <f t="shared" ref="BD2:BF2" si="9">BA2</f>
        <v>#N/A</v>
      </c>
      <c r="BE2" s="57" t="str">
        <f t="shared" si="9"/>
        <v>#N/A</v>
      </c>
      <c r="BF2" s="67" t="str">
        <f t="shared" si="9"/>
        <v>Dif</v>
      </c>
      <c r="BG2" s="63" t="str">
        <f>$H$2</f>
        <v>#N/A</v>
      </c>
      <c r="BH2" s="64" t="str">
        <f>$I$2</f>
        <v>#N/A</v>
      </c>
      <c r="BI2" s="65" t="str">
        <f>$J$2</f>
        <v>Dif</v>
      </c>
      <c r="BJ2" s="66" t="str">
        <f t="shared" ref="BJ2:BL2" si="10">BG2</f>
        <v>#N/A</v>
      </c>
      <c r="BK2" s="57" t="str">
        <f t="shared" si="10"/>
        <v>#N/A</v>
      </c>
      <c r="BL2" s="67" t="str">
        <f t="shared" si="10"/>
        <v>Dif</v>
      </c>
      <c r="BM2" s="63" t="str">
        <f>$H$2</f>
        <v>#N/A</v>
      </c>
      <c r="BN2" s="64" t="str">
        <f>$I$2</f>
        <v>#N/A</v>
      </c>
      <c r="BO2" s="65" t="str">
        <f>$J$2</f>
        <v>Dif</v>
      </c>
      <c r="BP2" s="66" t="str">
        <f t="shared" ref="BP2:BR2" si="11">BM2</f>
        <v>#N/A</v>
      </c>
      <c r="BQ2" s="57" t="str">
        <f t="shared" si="11"/>
        <v>#N/A</v>
      </c>
      <c r="BR2" s="67" t="str">
        <f t="shared" si="11"/>
        <v>Dif</v>
      </c>
      <c r="BS2" s="63" t="str">
        <f>$H$2</f>
        <v>#N/A</v>
      </c>
      <c r="BT2" s="64" t="str">
        <f>$I$2</f>
        <v>#N/A</v>
      </c>
      <c r="BU2" s="65" t="str">
        <f>$J$2</f>
        <v>Dif</v>
      </c>
      <c r="BV2" s="66" t="str">
        <f t="shared" ref="BV2:BX2" si="12">BS2</f>
        <v>#N/A</v>
      </c>
      <c r="BW2" s="57" t="str">
        <f t="shared" si="12"/>
        <v>#N/A</v>
      </c>
      <c r="BX2" s="67" t="str">
        <f t="shared" si="12"/>
        <v>Dif</v>
      </c>
      <c r="BY2" s="63" t="str">
        <f>$H$2</f>
        <v>#N/A</v>
      </c>
      <c r="BZ2" s="64" t="str">
        <f>$I$2</f>
        <v>#N/A</v>
      </c>
      <c r="CA2" s="65" t="str">
        <f>$J$2</f>
        <v>Dif</v>
      </c>
      <c r="CB2" s="66" t="str">
        <f t="shared" ref="CB2:CD2" si="13">BY2</f>
        <v>#N/A</v>
      </c>
      <c r="CC2" s="57" t="str">
        <f t="shared" si="13"/>
        <v>#N/A</v>
      </c>
      <c r="CD2" s="67" t="str">
        <f t="shared" si="13"/>
        <v>Dif</v>
      </c>
      <c r="CE2" s="63" t="str">
        <f>$H$2</f>
        <v>#N/A</v>
      </c>
      <c r="CF2" s="64" t="str">
        <f>$I$2</f>
        <v>#N/A</v>
      </c>
      <c r="CG2" s="65" t="str">
        <f>$J$2</f>
        <v>Dif</v>
      </c>
      <c r="CH2" s="66" t="str">
        <f t="shared" ref="CH2:CJ2" si="14">CE2</f>
        <v>#N/A</v>
      </c>
      <c r="CI2" s="57" t="str">
        <f t="shared" si="14"/>
        <v>#N/A</v>
      </c>
      <c r="CJ2" s="67" t="str">
        <f t="shared" si="14"/>
        <v>Dif</v>
      </c>
      <c r="CK2" s="63" t="str">
        <f>$H$2</f>
        <v>#N/A</v>
      </c>
      <c r="CL2" s="64" t="str">
        <f>$I$2</f>
        <v>#N/A</v>
      </c>
      <c r="CM2" s="65" t="str">
        <f>$J$2</f>
        <v>Dif</v>
      </c>
      <c r="CN2" s="66" t="str">
        <f t="shared" ref="CN2:CP2" si="15">CK2</f>
        <v>#N/A</v>
      </c>
      <c r="CO2" s="57" t="str">
        <f t="shared" si="15"/>
        <v>#N/A</v>
      </c>
      <c r="CP2" s="67" t="str">
        <f t="shared" si="15"/>
        <v>Dif</v>
      </c>
      <c r="CQ2" s="63" t="str">
        <f>$H$2</f>
        <v>#N/A</v>
      </c>
      <c r="CR2" s="64" t="str">
        <f>$I$2</f>
        <v>#N/A</v>
      </c>
      <c r="CS2" s="65" t="str">
        <f>$J$2</f>
        <v>Dif</v>
      </c>
      <c r="CT2" s="66" t="str">
        <f t="shared" ref="CT2:CV2" si="16">CQ2</f>
        <v>#N/A</v>
      </c>
      <c r="CU2" s="57" t="str">
        <f t="shared" si="16"/>
        <v>#N/A</v>
      </c>
      <c r="CV2" s="67" t="str">
        <f t="shared" si="16"/>
        <v>Dif</v>
      </c>
      <c r="CW2" s="63" t="str">
        <f>$H$2</f>
        <v>#N/A</v>
      </c>
      <c r="CX2" s="64" t="str">
        <f>$I$2</f>
        <v>#N/A</v>
      </c>
      <c r="CY2" s="65" t="str">
        <f>$J$2</f>
        <v>Dif</v>
      </c>
      <c r="CZ2" s="66" t="str">
        <f t="shared" ref="CZ2:DB2" si="17">CW2</f>
        <v>#N/A</v>
      </c>
      <c r="DA2" s="57" t="str">
        <f t="shared" si="17"/>
        <v>#N/A</v>
      </c>
      <c r="DB2" s="67" t="str">
        <f t="shared" si="17"/>
        <v>Dif</v>
      </c>
      <c r="DC2" s="63" t="str">
        <f>$H$2</f>
        <v>#N/A</v>
      </c>
      <c r="DD2" s="64" t="str">
        <f>$I$2</f>
        <v>#N/A</v>
      </c>
      <c r="DE2" s="65" t="str">
        <f>$J$2</f>
        <v>Dif</v>
      </c>
      <c r="DF2" s="66" t="str">
        <f t="shared" ref="DF2:DH2" si="18">DC2</f>
        <v>#N/A</v>
      </c>
      <c r="DG2" s="57" t="str">
        <f t="shared" si="18"/>
        <v>#N/A</v>
      </c>
      <c r="DH2" s="67" t="str">
        <f t="shared" si="18"/>
        <v>Dif</v>
      </c>
      <c r="DI2" s="63" t="str">
        <f>$H$2</f>
        <v>#N/A</v>
      </c>
      <c r="DJ2" s="64" t="str">
        <f>$I$2</f>
        <v>#N/A</v>
      </c>
      <c r="DK2" s="65" t="str">
        <f>$J$2</f>
        <v>Dif</v>
      </c>
      <c r="DL2" s="66" t="str">
        <f t="shared" ref="DL2:DN2" si="19">DI2</f>
        <v>#N/A</v>
      </c>
      <c r="DM2" s="57" t="str">
        <f t="shared" si="19"/>
        <v>#N/A</v>
      </c>
      <c r="DN2" s="67" t="str">
        <f t="shared" si="19"/>
        <v>Dif</v>
      </c>
      <c r="DO2" s="63" t="str">
        <f>$H$2</f>
        <v>#N/A</v>
      </c>
      <c r="DP2" s="64" t="str">
        <f>$I$2</f>
        <v>#N/A</v>
      </c>
      <c r="DQ2" s="65" t="str">
        <f>$J$2</f>
        <v>Dif</v>
      </c>
      <c r="DR2" s="66" t="str">
        <f t="shared" ref="DR2:DT2" si="20">DO2</f>
        <v>#N/A</v>
      </c>
      <c r="DS2" s="57" t="str">
        <f t="shared" si="20"/>
        <v>#N/A</v>
      </c>
      <c r="DT2" s="67" t="str">
        <f t="shared" si="20"/>
        <v>Dif</v>
      </c>
    </row>
    <row r="3" ht="9.0" customHeight="1">
      <c r="A3" s="48" t="str">
        <f>VLOOKUP(A1,Config!F47:G58,2)</f>
        <v>OtrosR!$E$3:$E</v>
      </c>
      <c r="B3" s="68" t="str">
        <f>VLOOKUP(A2,Menus!E2:L13,6)</f>
        <v>#N/A</v>
      </c>
      <c r="C3" s="68" t="str">
        <f>VLOOKUP(A2,Menus!E2:L13,7)</f>
        <v>#N/A</v>
      </c>
      <c r="D3" s="68" t="str">
        <f>VLOOKUP(A2,Menus!E2:L13,8)</f>
        <v>#N/A</v>
      </c>
      <c r="E3" s="69"/>
      <c r="F3" s="12"/>
      <c r="G3" s="12"/>
      <c r="H3" s="69"/>
      <c r="I3" s="12"/>
      <c r="J3" s="13"/>
      <c r="K3" s="69"/>
      <c r="L3" s="12"/>
      <c r="M3" s="13"/>
      <c r="N3" s="69"/>
      <c r="O3" s="12"/>
      <c r="P3" s="13"/>
      <c r="Q3" s="69"/>
      <c r="R3" s="12"/>
      <c r="S3" s="13"/>
      <c r="T3" s="69"/>
      <c r="U3" s="12"/>
      <c r="V3" s="13"/>
      <c r="W3" s="69"/>
      <c r="X3" s="12"/>
      <c r="Y3" s="13"/>
      <c r="Z3" s="69"/>
      <c r="AA3" s="12"/>
      <c r="AB3" s="13"/>
      <c r="AC3" s="69"/>
      <c r="AD3" s="12"/>
      <c r="AE3" s="13"/>
      <c r="AF3" s="69"/>
      <c r="AG3" s="12"/>
      <c r="AH3" s="13"/>
      <c r="AI3" s="69"/>
      <c r="AJ3" s="12"/>
      <c r="AK3" s="13"/>
      <c r="AL3" s="69"/>
      <c r="AM3" s="12"/>
      <c r="AN3" s="13"/>
      <c r="AO3" s="69"/>
      <c r="AP3" s="12"/>
      <c r="AQ3" s="13"/>
      <c r="AR3" s="69"/>
      <c r="AS3" s="12"/>
      <c r="AT3" s="13"/>
      <c r="AU3" s="69"/>
      <c r="AV3" s="12"/>
      <c r="AW3" s="13"/>
      <c r="AX3" s="69"/>
      <c r="AY3" s="12"/>
      <c r="AZ3" s="13"/>
      <c r="BA3" s="69"/>
      <c r="BB3" s="12"/>
      <c r="BC3" s="13"/>
      <c r="BD3" s="69"/>
      <c r="BE3" s="12"/>
      <c r="BF3" s="13"/>
      <c r="BG3" s="69"/>
      <c r="BH3" s="12"/>
      <c r="BI3" s="13"/>
      <c r="BJ3" s="69"/>
      <c r="BK3" s="12"/>
      <c r="BL3" s="13"/>
      <c r="BM3" s="69"/>
      <c r="BN3" s="12"/>
      <c r="BO3" s="13"/>
      <c r="BP3" s="69"/>
      <c r="BQ3" s="12"/>
      <c r="BR3" s="13"/>
      <c r="BS3" s="69"/>
      <c r="BT3" s="12"/>
      <c r="BU3" s="13"/>
      <c r="BV3" s="69"/>
      <c r="BW3" s="12"/>
      <c r="BX3" s="13"/>
      <c r="BY3" s="69"/>
      <c r="BZ3" s="12"/>
      <c r="CA3" s="13"/>
      <c r="CB3" s="69"/>
      <c r="CC3" s="12"/>
      <c r="CD3" s="13"/>
      <c r="CE3" s="69"/>
      <c r="CF3" s="12"/>
      <c r="CG3" s="13"/>
      <c r="CH3" s="69"/>
      <c r="CI3" s="12"/>
      <c r="CJ3" s="13"/>
      <c r="CK3" s="69"/>
      <c r="CL3" s="12"/>
      <c r="CM3" s="13"/>
      <c r="CN3" s="69"/>
      <c r="CO3" s="12"/>
      <c r="CP3" s="13"/>
      <c r="CQ3" s="69"/>
      <c r="CR3" s="12"/>
      <c r="CS3" s="13"/>
      <c r="CT3" s="69"/>
      <c r="CU3" s="12"/>
      <c r="CV3" s="13"/>
      <c r="CW3" s="69"/>
      <c r="CX3" s="12"/>
      <c r="CY3" s="13"/>
      <c r="CZ3" s="69"/>
      <c r="DA3" s="12"/>
      <c r="DB3" s="13"/>
      <c r="DC3" s="69"/>
      <c r="DD3" s="12"/>
      <c r="DE3" s="13"/>
      <c r="DF3" s="69"/>
      <c r="DG3" s="12"/>
      <c r="DH3" s="13"/>
      <c r="DI3" s="69"/>
      <c r="DJ3" s="12"/>
      <c r="DK3" s="13"/>
      <c r="DL3" s="69"/>
      <c r="DM3" s="12"/>
      <c r="DN3" s="13"/>
      <c r="DO3" s="69"/>
      <c r="DP3" s="12"/>
      <c r="DQ3" s="13"/>
      <c r="DR3" s="69"/>
      <c r="DS3" s="12"/>
      <c r="DT3" s="13"/>
    </row>
    <row r="4" ht="15.75" customHeight="1">
      <c r="A4" s="15" t="s">
        <v>3</v>
      </c>
      <c r="B4" s="45" t="str">
        <f t="shared" ref="B4:C4" si="21">B10-B41+B106</f>
        <v>#N/A</v>
      </c>
      <c r="C4" s="45" t="str">
        <f t="shared" si="21"/>
        <v>#N/A</v>
      </c>
      <c r="D4" s="45" t="str">
        <f>IFERROR(B4-C4,"")</f>
        <v/>
      </c>
      <c r="E4" s="70" t="str">
        <f t="shared" ref="E4:F4" si="22">E10-E41+E106</f>
        <v>#N/A</v>
      </c>
      <c r="F4" s="71" t="str">
        <f t="shared" si="22"/>
        <v>#N/A</v>
      </c>
      <c r="G4" s="72" t="str">
        <f>IFERROR(E4-F4,"")</f>
        <v/>
      </c>
      <c r="H4" s="73" t="str">
        <f t="shared" ref="H4:I4" si="23">H10-H41+H106</f>
        <v>#VALUE!</v>
      </c>
      <c r="I4" s="24" t="str">
        <f t="shared" si="23"/>
        <v>#VALUE!</v>
      </c>
      <c r="J4" s="74" t="str">
        <f>IFERROR(H4-I4,"")</f>
        <v/>
      </c>
      <c r="K4" s="75" t="str">
        <f t="shared" ref="K4:L4" si="24">K10-K41+K106</f>
        <v>#N/A</v>
      </c>
      <c r="L4" s="25" t="str">
        <f t="shared" si="24"/>
        <v>#N/A</v>
      </c>
      <c r="M4" s="25" t="str">
        <f>IFERROR(K4-L4,"")</f>
        <v/>
      </c>
      <c r="N4" s="76" t="str">
        <f t="shared" ref="N4:O4" si="25">N10-N41+N106</f>
        <v>#N/A</v>
      </c>
      <c r="O4" s="16" t="str">
        <f t="shared" si="25"/>
        <v>#N/A</v>
      </c>
      <c r="P4" s="77" t="str">
        <f>IFERROR(N4-O4,"")</f>
        <v/>
      </c>
      <c r="Q4" s="75" t="str">
        <f t="shared" ref="Q4:R4" si="26">Q10-Q41+Q106</f>
        <v>#N/A</v>
      </c>
      <c r="R4" s="25" t="str">
        <f t="shared" si="26"/>
        <v>#N/A</v>
      </c>
      <c r="S4" s="78" t="str">
        <f>IFERROR(Q4-R4,"")</f>
        <v/>
      </c>
      <c r="T4" s="76" t="str">
        <f t="shared" ref="T4:U4" si="27">T10-T41+T106</f>
        <v>#N/A</v>
      </c>
      <c r="U4" s="16" t="str">
        <f t="shared" si="27"/>
        <v>#N/A</v>
      </c>
      <c r="V4" s="77" t="str">
        <f>IFERROR(T4-U4,"")</f>
        <v/>
      </c>
      <c r="W4" s="75" t="str">
        <f t="shared" ref="W4:X4" si="28">W10-W41+W106</f>
        <v>#N/A</v>
      </c>
      <c r="X4" s="25" t="str">
        <f t="shared" si="28"/>
        <v>#N/A</v>
      </c>
      <c r="Y4" s="78" t="str">
        <f>IFERROR(W4-X4,"")</f>
        <v/>
      </c>
      <c r="Z4" s="76" t="str">
        <f t="shared" ref="Z4:AA4" si="29">Z10-Z41+Z106</f>
        <v>#N/A</v>
      </c>
      <c r="AA4" s="16" t="str">
        <f t="shared" si="29"/>
        <v>#N/A</v>
      </c>
      <c r="AB4" s="77" t="str">
        <f>IFERROR(Z4-AA4,"")</f>
        <v/>
      </c>
      <c r="AC4" s="75" t="str">
        <f t="shared" ref="AC4:AD4" si="30">AC10-AC41+AC106</f>
        <v>#N/A</v>
      </c>
      <c r="AD4" s="25" t="str">
        <f t="shared" si="30"/>
        <v>#N/A</v>
      </c>
      <c r="AE4" s="78" t="str">
        <f>IFERROR(AC4-AD4,"")</f>
        <v/>
      </c>
      <c r="AF4" s="76" t="str">
        <f t="shared" ref="AF4:AG4" si="31">AF10-AF41+AF106</f>
        <v>#N/A</v>
      </c>
      <c r="AG4" s="16" t="str">
        <f t="shared" si="31"/>
        <v>#N/A</v>
      </c>
      <c r="AH4" s="77" t="str">
        <f>IFERROR(AF4-AG4,"")</f>
        <v/>
      </c>
      <c r="AI4" s="75" t="str">
        <f t="shared" ref="AI4:AJ4" si="32">AI10-AI41+AI106</f>
        <v>#N/A</v>
      </c>
      <c r="AJ4" s="25" t="str">
        <f t="shared" si="32"/>
        <v>#N/A</v>
      </c>
      <c r="AK4" s="78" t="str">
        <f>IFERROR(AI4-AJ4,"")</f>
        <v/>
      </c>
      <c r="AL4" s="76" t="str">
        <f t="shared" ref="AL4:AM4" si="33">AL10-AL41+AL106</f>
        <v>#N/A</v>
      </c>
      <c r="AM4" s="16" t="str">
        <f t="shared" si="33"/>
        <v>#N/A</v>
      </c>
      <c r="AN4" s="77" t="str">
        <f>IFERROR(AL4-AM4,"")</f>
        <v/>
      </c>
      <c r="AO4" s="75" t="str">
        <f t="shared" ref="AO4:AP4" si="34">AO10-AO41+AO106</f>
        <v>#N/A</v>
      </c>
      <c r="AP4" s="25" t="str">
        <f t="shared" si="34"/>
        <v>#N/A</v>
      </c>
      <c r="AQ4" s="78" t="str">
        <f>IFERROR(AO4-AP4,"")</f>
        <v/>
      </c>
      <c r="AR4" s="76" t="str">
        <f t="shared" ref="AR4:AS4" si="35">AR10-AR41+AR106</f>
        <v>#N/A</v>
      </c>
      <c r="AS4" s="16" t="str">
        <f t="shared" si="35"/>
        <v>#N/A</v>
      </c>
      <c r="AT4" s="77" t="str">
        <f>IFERROR(AR4-AS4,"")</f>
        <v/>
      </c>
      <c r="AU4" s="75" t="str">
        <f t="shared" ref="AU4:AV4" si="36">AU10-AU41+AU106</f>
        <v>#N/A</v>
      </c>
      <c r="AV4" s="25" t="str">
        <f t="shared" si="36"/>
        <v>#N/A</v>
      </c>
      <c r="AW4" s="78" t="str">
        <f>IFERROR(AU4-AV4,"")</f>
        <v/>
      </c>
      <c r="AX4" s="76" t="str">
        <f t="shared" ref="AX4:AY4" si="37">AX10-AX41+AX106</f>
        <v>#N/A</v>
      </c>
      <c r="AY4" s="16" t="str">
        <f t="shared" si="37"/>
        <v>#N/A</v>
      </c>
      <c r="AZ4" s="77" t="str">
        <f>IFERROR(AX4-AY4,"")</f>
        <v/>
      </c>
      <c r="BA4" s="75" t="str">
        <f t="shared" ref="BA4:BB4" si="38">BA10-BA41+BA106</f>
        <v>#N/A</v>
      </c>
      <c r="BB4" s="25" t="str">
        <f t="shared" si="38"/>
        <v>#N/A</v>
      </c>
      <c r="BC4" s="78" t="str">
        <f>IFERROR(BA4-BB4,"")</f>
        <v/>
      </c>
      <c r="BD4" s="76" t="str">
        <f t="shared" ref="BD4:BE4" si="39">BD10-BD41+BD106</f>
        <v>#N/A</v>
      </c>
      <c r="BE4" s="16" t="str">
        <f t="shared" si="39"/>
        <v>#N/A</v>
      </c>
      <c r="BF4" s="77" t="str">
        <f>IFERROR(BD4-BE4,"")</f>
        <v/>
      </c>
      <c r="BG4" s="75" t="str">
        <f t="shared" ref="BG4:BH4" si="40">BG10-BG41+BG106</f>
        <v>#N/A</v>
      </c>
      <c r="BH4" s="25" t="str">
        <f t="shared" si="40"/>
        <v>#N/A</v>
      </c>
      <c r="BI4" s="78" t="str">
        <f>IFERROR(BG4-BH4,"")</f>
        <v/>
      </c>
      <c r="BJ4" s="76" t="str">
        <f t="shared" ref="BJ4:BK4" si="41">BJ10-BJ41+BJ106</f>
        <v>#N/A</v>
      </c>
      <c r="BK4" s="16" t="str">
        <f t="shared" si="41"/>
        <v>#N/A</v>
      </c>
      <c r="BL4" s="77" t="str">
        <f>IFERROR(BJ4-BK4,"")</f>
        <v/>
      </c>
      <c r="BM4" s="75" t="str">
        <f t="shared" ref="BM4:BN4" si="42">BM10-BM41+BM106</f>
        <v>#N/A</v>
      </c>
      <c r="BN4" s="25" t="str">
        <f t="shared" si="42"/>
        <v>#N/A</v>
      </c>
      <c r="BO4" s="78" t="str">
        <f>IFERROR(BM4-BN4,"")</f>
        <v/>
      </c>
      <c r="BP4" s="76" t="str">
        <f t="shared" ref="BP4:BQ4" si="43">BP10-BP41+BP106</f>
        <v>#N/A</v>
      </c>
      <c r="BQ4" s="16" t="str">
        <f t="shared" si="43"/>
        <v>#N/A</v>
      </c>
      <c r="BR4" s="77" t="str">
        <f>IFERROR(BP4-BQ4,"")</f>
        <v/>
      </c>
      <c r="BS4" s="75" t="str">
        <f t="shared" ref="BS4:BT4" si="44">BS10-BS41+BS106</f>
        <v>#N/A</v>
      </c>
      <c r="BT4" s="25" t="str">
        <f t="shared" si="44"/>
        <v>#N/A</v>
      </c>
      <c r="BU4" s="78" t="str">
        <f>IFERROR(BS4-BT4,"")</f>
        <v/>
      </c>
      <c r="BV4" s="76" t="str">
        <f t="shared" ref="BV4:BW4" si="45">BV10-BV41+BV106</f>
        <v>#N/A</v>
      </c>
      <c r="BW4" s="16" t="str">
        <f t="shared" si="45"/>
        <v>#N/A</v>
      </c>
      <c r="BX4" s="77" t="str">
        <f>IFERROR(BV4-BW4,"")</f>
        <v/>
      </c>
      <c r="BY4" s="75" t="str">
        <f t="shared" ref="BY4:BZ4" si="46">BY10-BY41+BY106</f>
        <v>#N/A</v>
      </c>
      <c r="BZ4" s="25" t="str">
        <f t="shared" si="46"/>
        <v>#N/A</v>
      </c>
      <c r="CA4" s="78" t="str">
        <f>IFERROR(BY4-BZ4,"")</f>
        <v/>
      </c>
      <c r="CB4" s="76" t="str">
        <f t="shared" ref="CB4:CC4" si="47">CB10-CB41+CB106</f>
        <v>#N/A</v>
      </c>
      <c r="CC4" s="16" t="str">
        <f t="shared" si="47"/>
        <v>#N/A</v>
      </c>
      <c r="CD4" s="77" t="str">
        <f>IFERROR(CB4-CC4,"")</f>
        <v/>
      </c>
      <c r="CE4" s="75" t="str">
        <f t="shared" ref="CE4:CF4" si="48">CE10-CE41+CE106</f>
        <v>#N/A</v>
      </c>
      <c r="CF4" s="25" t="str">
        <f t="shared" si="48"/>
        <v>#N/A</v>
      </c>
      <c r="CG4" s="78" t="str">
        <f>IFERROR(CE4-CF4,"")</f>
        <v/>
      </c>
      <c r="CH4" s="76" t="str">
        <f t="shared" ref="CH4:CI4" si="49">CH10-CH41+CH106</f>
        <v>#N/A</v>
      </c>
      <c r="CI4" s="16" t="str">
        <f t="shared" si="49"/>
        <v>#N/A</v>
      </c>
      <c r="CJ4" s="77" t="str">
        <f>IFERROR(CH4-CI4,"")</f>
        <v/>
      </c>
      <c r="CK4" s="75" t="str">
        <f t="shared" ref="CK4:CL4" si="50">CK10-CK41+CK106</f>
        <v>#N/A</v>
      </c>
      <c r="CL4" s="25" t="str">
        <f t="shared" si="50"/>
        <v>#N/A</v>
      </c>
      <c r="CM4" s="78" t="str">
        <f>IFERROR(CK4-CL4,"")</f>
        <v/>
      </c>
      <c r="CN4" s="76" t="str">
        <f t="shared" ref="CN4:CO4" si="51">CN10-CN41+CN106</f>
        <v>#N/A</v>
      </c>
      <c r="CO4" s="16" t="str">
        <f t="shared" si="51"/>
        <v>#N/A</v>
      </c>
      <c r="CP4" s="77" t="str">
        <f>IFERROR(CN4-CO4,"")</f>
        <v/>
      </c>
      <c r="CQ4" s="75" t="str">
        <f t="shared" ref="CQ4:CR4" si="52">CQ10-CQ41+CQ106</f>
        <v>#N/A</v>
      </c>
      <c r="CR4" s="25" t="str">
        <f t="shared" si="52"/>
        <v>#N/A</v>
      </c>
      <c r="CS4" s="78" t="str">
        <f>IFERROR(CQ4-CR4,"")</f>
        <v/>
      </c>
      <c r="CT4" s="76" t="str">
        <f t="shared" ref="CT4:CU4" si="53">CT10-CT41+CT106</f>
        <v>#N/A</v>
      </c>
      <c r="CU4" s="16" t="str">
        <f t="shared" si="53"/>
        <v>#N/A</v>
      </c>
      <c r="CV4" s="77" t="str">
        <f>IFERROR(CT4-CU4,"")</f>
        <v/>
      </c>
      <c r="CW4" s="75" t="str">
        <f t="shared" ref="CW4:CX4" si="54">CW10-CW41+CW106</f>
        <v>#N/A</v>
      </c>
      <c r="CX4" s="25" t="str">
        <f t="shared" si="54"/>
        <v>#N/A</v>
      </c>
      <c r="CY4" s="78" t="str">
        <f>IFERROR(CW4-CX4,"")</f>
        <v/>
      </c>
      <c r="CZ4" s="76" t="str">
        <f t="shared" ref="CZ4:DA4" si="55">CZ10-CZ41+CZ106</f>
        <v>#N/A</v>
      </c>
      <c r="DA4" s="16" t="str">
        <f t="shared" si="55"/>
        <v>#N/A</v>
      </c>
      <c r="DB4" s="77" t="str">
        <f>IFERROR(CZ4-DA4,"")</f>
        <v/>
      </c>
      <c r="DC4" s="75" t="str">
        <f t="shared" ref="DC4:DD4" si="56">DC10-DC41+DC106</f>
        <v>#N/A</v>
      </c>
      <c r="DD4" s="25" t="str">
        <f t="shared" si="56"/>
        <v>#N/A</v>
      </c>
      <c r="DE4" s="78" t="str">
        <f>IFERROR(DC4-DD4,"")</f>
        <v/>
      </c>
      <c r="DF4" s="76" t="str">
        <f t="shared" ref="DF4:DG4" si="57">DF10-DF41+DF106</f>
        <v>#N/A</v>
      </c>
      <c r="DG4" s="16" t="str">
        <f t="shared" si="57"/>
        <v>#N/A</v>
      </c>
      <c r="DH4" s="77" t="str">
        <f>IFERROR(DF4-DG4,"")</f>
        <v/>
      </c>
      <c r="DI4" s="75" t="str">
        <f t="shared" ref="DI4:DJ4" si="58">DI10-DI41+DI106</f>
        <v>#N/A</v>
      </c>
      <c r="DJ4" s="25" t="str">
        <f t="shared" si="58"/>
        <v>#N/A</v>
      </c>
      <c r="DK4" s="78" t="str">
        <f>IFERROR(DI4-DJ4,"")</f>
        <v/>
      </c>
      <c r="DL4" s="76" t="str">
        <f t="shared" ref="DL4:DM4" si="59">DL10-DL41+DL106</f>
        <v>#N/A</v>
      </c>
      <c r="DM4" s="16" t="str">
        <f t="shared" si="59"/>
        <v>#N/A</v>
      </c>
      <c r="DN4" s="77" t="str">
        <f>IFERROR(DL4-DM4,"")</f>
        <v/>
      </c>
      <c r="DO4" s="75" t="str">
        <f t="shared" ref="DO4:DP4" si="60">DO10-DO41+DO106</f>
        <v>#VALUE!</v>
      </c>
      <c r="DP4" s="25" t="str">
        <f t="shared" si="60"/>
        <v>#N/A</v>
      </c>
      <c r="DQ4" s="78" t="str">
        <f>IFERROR(DO4-DP4,"")</f>
        <v/>
      </c>
      <c r="DR4" s="76" t="str">
        <f t="shared" ref="DR4:DS4" si="61">DR10-DR41+DR106</f>
        <v>#N/A</v>
      </c>
      <c r="DS4" s="16" t="str">
        <f t="shared" si="61"/>
        <v>#N/A</v>
      </c>
      <c r="DT4" s="77" t="str">
        <f>IFERROR(DR4-DS4,"")</f>
        <v/>
      </c>
    </row>
    <row r="5" ht="9.0" customHeight="1">
      <c r="A5" s="48"/>
      <c r="B5" s="68"/>
      <c r="C5" s="68"/>
      <c r="D5" s="68"/>
      <c r="E5" s="69"/>
      <c r="F5" s="12"/>
      <c r="G5" s="12"/>
      <c r="H5" s="69"/>
      <c r="I5" s="12"/>
      <c r="J5" s="13"/>
      <c r="K5" s="69"/>
      <c r="L5" s="12"/>
      <c r="M5" s="13"/>
      <c r="N5" s="69"/>
      <c r="O5" s="12"/>
      <c r="P5" s="13"/>
      <c r="Q5" s="69"/>
      <c r="R5" s="12"/>
      <c r="S5" s="13"/>
      <c r="T5" s="69"/>
      <c r="U5" s="12"/>
      <c r="V5" s="13"/>
      <c r="W5" s="69"/>
      <c r="X5" s="12"/>
      <c r="Y5" s="13"/>
      <c r="Z5" s="69"/>
      <c r="AA5" s="12"/>
      <c r="AB5" s="13"/>
      <c r="AC5" s="69"/>
      <c r="AD5" s="12"/>
      <c r="AE5" s="13"/>
      <c r="AF5" s="69"/>
      <c r="AG5" s="12"/>
      <c r="AH5" s="13"/>
      <c r="AI5" s="69"/>
      <c r="AJ5" s="12"/>
      <c r="AK5" s="13"/>
      <c r="AL5" s="69"/>
      <c r="AM5" s="12"/>
      <c r="AN5" s="13"/>
      <c r="AO5" s="69"/>
      <c r="AP5" s="12"/>
      <c r="AQ5" s="13"/>
      <c r="AR5" s="69"/>
      <c r="AS5" s="12"/>
      <c r="AT5" s="13"/>
      <c r="AU5" s="69"/>
      <c r="AV5" s="12"/>
      <c r="AW5" s="13"/>
      <c r="AX5" s="69"/>
      <c r="AY5" s="12"/>
      <c r="AZ5" s="13"/>
      <c r="BA5" s="69"/>
      <c r="BB5" s="12"/>
      <c r="BC5" s="13"/>
      <c r="BD5" s="69"/>
      <c r="BE5" s="12"/>
      <c r="BF5" s="13"/>
      <c r="BG5" s="69"/>
      <c r="BH5" s="12"/>
      <c r="BI5" s="13"/>
      <c r="BJ5" s="69"/>
      <c r="BK5" s="12"/>
      <c r="BL5" s="13"/>
      <c r="BM5" s="69"/>
      <c r="BN5" s="12"/>
      <c r="BO5" s="13"/>
      <c r="BP5" s="69"/>
      <c r="BQ5" s="12"/>
      <c r="BR5" s="13"/>
      <c r="BS5" s="69"/>
      <c r="BT5" s="12"/>
      <c r="BU5" s="13"/>
      <c r="BV5" s="69"/>
      <c r="BW5" s="12"/>
      <c r="BX5" s="13"/>
      <c r="BY5" s="69"/>
      <c r="BZ5" s="12"/>
      <c r="CA5" s="13"/>
      <c r="CB5" s="69"/>
      <c r="CC5" s="12"/>
      <c r="CD5" s="13"/>
      <c r="CE5" s="69"/>
      <c r="CF5" s="12"/>
      <c r="CG5" s="13"/>
      <c r="CH5" s="69"/>
      <c r="CI5" s="12"/>
      <c r="CJ5" s="13"/>
      <c r="CK5" s="69"/>
      <c r="CL5" s="12"/>
      <c r="CM5" s="13"/>
      <c r="CN5" s="69"/>
      <c r="CO5" s="12"/>
      <c r="CP5" s="13"/>
      <c r="CQ5" s="69"/>
      <c r="CR5" s="12"/>
      <c r="CS5" s="13"/>
      <c r="CT5" s="69"/>
      <c r="CU5" s="12"/>
      <c r="CV5" s="13"/>
      <c r="CW5" s="69"/>
      <c r="CX5" s="12"/>
      <c r="CY5" s="13"/>
      <c r="CZ5" s="69"/>
      <c r="DA5" s="12"/>
      <c r="DB5" s="13"/>
      <c r="DC5" s="69"/>
      <c r="DD5" s="12"/>
      <c r="DE5" s="13"/>
      <c r="DF5" s="69"/>
      <c r="DG5" s="12"/>
      <c r="DH5" s="13"/>
      <c r="DI5" s="69"/>
      <c r="DJ5" s="12"/>
      <c r="DK5" s="13"/>
      <c r="DL5" s="69"/>
      <c r="DM5" s="12"/>
      <c r="DN5" s="13"/>
      <c r="DO5" s="69"/>
      <c r="DP5" s="12"/>
      <c r="DQ5" s="13"/>
      <c r="DR5" s="69"/>
      <c r="DS5" s="12"/>
      <c r="DT5" s="13"/>
    </row>
    <row r="6" ht="15.75" customHeight="1">
      <c r="A6" s="15" t="s">
        <v>4</v>
      </c>
      <c r="B6" s="45">
        <f t="shared" ref="B6:C6" si="62">SUMIF($H$2:DT$2,$H$2,H6:DT6)</f>
        <v>0</v>
      </c>
      <c r="C6" s="45">
        <f t="shared" si="62"/>
        <v>0</v>
      </c>
      <c r="D6" s="45">
        <f>IFERROR(B6-C6,"")</f>
        <v>0</v>
      </c>
      <c r="E6" s="70" t="str">
        <f t="array" ref="E6">IFERROR(INDEX(INDIRECT(Config!$K$17), MATCH(E$1, INDIRECT(Config!$K$15), 0)), "")</f>
        <v/>
      </c>
      <c r="F6" s="71" t="str">
        <f t="array" ref="F6">IFERROR(INDEX(INDIRECT(Config!$K$18), MATCH(E$1, INDIRECT(Config!$K$15), 0)), "")</f>
        <v/>
      </c>
      <c r="G6" s="72">
        <f>IFERROR(E6-F6,"")</f>
        <v>0</v>
      </c>
      <c r="H6" s="73" t="str">
        <f t="array" ref="H6">IFERROR(INDEX(INDIRECT(Config!$K$17), MATCH(H$1, INDIRECT(Config!$K$15), 0)), "")</f>
        <v/>
      </c>
      <c r="I6" s="44" t="str">
        <f t="array" ref="I6">IFERROR(INDEX(INDIRECT(Config!$K$18), MATCH(H$1, INDIRECT(Config!$K$15), 0)), "")</f>
        <v/>
      </c>
      <c r="J6" s="74">
        <f>IFERROR(H6-I6,"")</f>
        <v>0</v>
      </c>
      <c r="K6" s="75" t="str">
        <f t="array" ref="K6">IFERROR(INDEX(INDIRECT(Config!$K$17), MATCH(K$1, INDIRECT(Config!$K$15), 0)), "")</f>
        <v/>
      </c>
      <c r="L6" s="25" t="str">
        <f t="array" ref="L6">IFERROR(INDEX(INDIRECT(Config!$K$18), MATCH(K$1, INDIRECT(Config!$K$15), 0)), "")</f>
        <v/>
      </c>
      <c r="M6" s="25">
        <f>IFERROR(K6-L6,"")</f>
        <v>0</v>
      </c>
      <c r="N6" s="76" t="str">
        <f t="array" ref="N6">IFERROR(INDEX(INDIRECT(Config!$K$17), MATCH(N$1, INDIRECT(Config!$K$15), 0)), "")</f>
        <v/>
      </c>
      <c r="O6" s="16" t="str">
        <f t="array" ref="O6">IFERROR(INDEX(INDIRECT(Config!$K$18), MATCH(N$1, INDIRECT(Config!$K$15), 0)), "")</f>
        <v/>
      </c>
      <c r="P6" s="77">
        <f>IFERROR(N6-O6,"")</f>
        <v>0</v>
      </c>
      <c r="Q6" s="75" t="str">
        <f t="array" ref="Q6">IFERROR(INDEX(INDIRECT(Config!$K$17), MATCH(Q$1, INDIRECT(Config!$K$15), 0)), "")</f>
        <v/>
      </c>
      <c r="R6" s="25" t="str">
        <f t="array" ref="R6">IFERROR(INDEX(INDIRECT(Config!$K$18), MATCH(Q$1, INDIRECT(Config!$K$15), 0)), "")</f>
        <v/>
      </c>
      <c r="S6" s="78">
        <f>IFERROR(Q6-R6,"")</f>
        <v>0</v>
      </c>
      <c r="T6" s="76" t="str">
        <f t="array" ref="T6">IFERROR(INDEX(INDIRECT(Config!$K$17), MATCH(T$1, INDIRECT(Config!$K$15), 0)), "")</f>
        <v/>
      </c>
      <c r="U6" s="16" t="str">
        <f t="array" ref="U6">IFERROR(INDEX(INDIRECT(Config!$K$18), MATCH(T$1, INDIRECT(Config!$K$15), 0)), "")</f>
        <v/>
      </c>
      <c r="V6" s="77">
        <f>IFERROR(T6-U6,"")</f>
        <v>0</v>
      </c>
      <c r="W6" s="75" t="str">
        <f t="array" ref="W6">IFERROR(INDEX(INDIRECT(Config!$K$17), MATCH(W$1, INDIRECT(Config!$K$15), 0)), "")</f>
        <v/>
      </c>
      <c r="X6" s="25" t="str">
        <f t="array" ref="X6">IFERROR(INDEX(INDIRECT(Config!$K$18), MATCH(W$1, INDIRECT(Config!$K$15), 0)), "")</f>
        <v/>
      </c>
      <c r="Y6" s="78">
        <f>IFERROR(W6-X6,"")</f>
        <v>0</v>
      </c>
      <c r="Z6" s="76" t="str">
        <f t="array" ref="Z6">IFERROR(INDEX(INDIRECT(Config!$K$17), MATCH(Z$1, INDIRECT(Config!$K$15), 0)), "")</f>
        <v/>
      </c>
      <c r="AA6" s="16" t="str">
        <f t="array" ref="AA6">IFERROR(INDEX(INDIRECT(Config!$K$18), MATCH(Z$1, INDIRECT(Config!$K$15), 0)), "")</f>
        <v/>
      </c>
      <c r="AB6" s="77">
        <f>IFERROR(Z6-AA6,"")</f>
        <v>0</v>
      </c>
      <c r="AC6" s="75" t="str">
        <f t="array" ref="AC6">IFERROR(INDEX(INDIRECT(Config!$K$17), MATCH(AC$1, INDIRECT(Config!$K$15), 0)), "")</f>
        <v/>
      </c>
      <c r="AD6" s="25" t="str">
        <f t="array" ref="AD6">IFERROR(INDEX(INDIRECT(Config!$K$18), MATCH(AC$1, INDIRECT(Config!$K$15), 0)), "")</f>
        <v/>
      </c>
      <c r="AE6" s="78">
        <f>IFERROR(AC6-AD6,"")</f>
        <v>0</v>
      </c>
      <c r="AF6" s="76" t="str">
        <f t="array" ref="AF6">IFERROR(INDEX(INDIRECT(Config!$K$17), MATCH(AF$1, INDIRECT(Config!$K$15), 0)), "")</f>
        <v/>
      </c>
      <c r="AG6" s="16" t="str">
        <f t="array" ref="AG6">IFERROR(INDEX(INDIRECT(Config!$K$18), MATCH(AF$1, INDIRECT(Config!$K$15), 0)), "")</f>
        <v/>
      </c>
      <c r="AH6" s="77">
        <f>IFERROR(AF6-AG6,"")</f>
        <v>0</v>
      </c>
      <c r="AI6" s="75" t="str">
        <f t="array" ref="AI6">IFERROR(INDEX(INDIRECT(Config!$K$17), MATCH(AI$1, INDIRECT(Config!$K$15), 0)), "")</f>
        <v/>
      </c>
      <c r="AJ6" s="25" t="str">
        <f t="array" ref="AJ6">IFERROR(INDEX(INDIRECT(Config!$K$18), MATCH(AI$1, INDIRECT(Config!$K$15), 0)), "")</f>
        <v/>
      </c>
      <c r="AK6" s="78">
        <f>IFERROR(AI6-AJ6,"")</f>
        <v>0</v>
      </c>
      <c r="AL6" s="76" t="str">
        <f t="array" ref="AL6">IFERROR(INDEX(INDIRECT(Config!$K$17), MATCH(AL$1, INDIRECT(Config!$K$15), 0)), "")</f>
        <v/>
      </c>
      <c r="AM6" s="16" t="str">
        <f t="array" ref="AM6">IFERROR(INDEX(INDIRECT(Config!$K$18), MATCH(AL$1, INDIRECT(Config!$K$15), 0)), "")</f>
        <v/>
      </c>
      <c r="AN6" s="77">
        <f>IFERROR(AL6-AM6,"")</f>
        <v>0</v>
      </c>
      <c r="AO6" s="75" t="str">
        <f t="array" ref="AO6">IFERROR(INDEX(INDIRECT(Config!$K$17), MATCH(AO$1, INDIRECT(Config!$K$15), 0)), "")</f>
        <v/>
      </c>
      <c r="AP6" s="25" t="str">
        <f t="array" ref="AP6">IFERROR(INDEX(INDIRECT(Config!$K$18), MATCH(AO$1, INDIRECT(Config!$K$15), 0)), "")</f>
        <v/>
      </c>
      <c r="AQ6" s="78">
        <f>IFERROR(AO6-AP6,"")</f>
        <v>0</v>
      </c>
      <c r="AR6" s="76" t="str">
        <f t="array" ref="AR6">IFERROR(INDEX(INDIRECT(Config!$K$17), MATCH(AR$1, INDIRECT(Config!$K$15), 0)), "")</f>
        <v/>
      </c>
      <c r="AS6" s="16" t="str">
        <f t="array" ref="AS6">IFERROR(INDEX(INDIRECT(Config!$K$18), MATCH(AR$1, INDIRECT(Config!$K$15), 0)), "")</f>
        <v/>
      </c>
      <c r="AT6" s="77">
        <f>IFERROR(AR6-AS6,"")</f>
        <v>0</v>
      </c>
      <c r="AU6" s="75" t="str">
        <f t="array" ref="AU6">IFERROR(INDEX(INDIRECT(Config!$K$17), MATCH(AU$1, INDIRECT(Config!$K$15), 0)), "")</f>
        <v/>
      </c>
      <c r="AV6" s="25" t="str">
        <f t="array" ref="AV6">IFERROR(INDEX(INDIRECT(Config!$K$18), MATCH(AU$1, INDIRECT(Config!$K$15), 0)), "")</f>
        <v/>
      </c>
      <c r="AW6" s="78">
        <f>IFERROR(AU6-AV6,"")</f>
        <v>0</v>
      </c>
      <c r="AX6" s="76" t="str">
        <f t="array" ref="AX6">IFERROR(INDEX(INDIRECT(Config!$K$17), MATCH(AX$1, INDIRECT(Config!$K$15), 0)), "")</f>
        <v/>
      </c>
      <c r="AY6" s="16" t="str">
        <f t="array" ref="AY6">IFERROR(INDEX(INDIRECT(Config!$K$18), MATCH(AX$1, INDIRECT(Config!$K$15), 0)), "")</f>
        <v/>
      </c>
      <c r="AZ6" s="77">
        <f>IFERROR(AX6-AY6,"")</f>
        <v>0</v>
      </c>
      <c r="BA6" s="75" t="str">
        <f t="array" ref="BA6">IFERROR(INDEX(INDIRECT(Config!$K$17), MATCH(BA$1, INDIRECT(Config!$K$15), 0)), "")</f>
        <v/>
      </c>
      <c r="BB6" s="25" t="str">
        <f t="array" ref="BB6">IFERROR(INDEX(INDIRECT(Config!$K$18), MATCH(BA$1, INDIRECT(Config!$K$15), 0)), "")</f>
        <v/>
      </c>
      <c r="BC6" s="78">
        <f>IFERROR(BA6-BB6,"")</f>
        <v>0</v>
      </c>
      <c r="BD6" s="76" t="str">
        <f t="array" ref="BD6">IFERROR(INDEX(INDIRECT(Config!$K$17), MATCH(BD$1, INDIRECT(Config!$K$15), 0)), "")</f>
        <v/>
      </c>
      <c r="BE6" s="16" t="str">
        <f t="array" ref="BE6">IFERROR(INDEX(INDIRECT(Config!$K$18), MATCH(BD$1, INDIRECT(Config!$K$15), 0)), "")</f>
        <v/>
      </c>
      <c r="BF6" s="77">
        <f>IFERROR(BD6-BE6,"")</f>
        <v>0</v>
      </c>
      <c r="BG6" s="75" t="str">
        <f t="array" ref="BG6">IFERROR(INDEX(INDIRECT(Config!$K$17), MATCH(BG$1, INDIRECT(Config!$K$15), 0)), "")</f>
        <v/>
      </c>
      <c r="BH6" s="25" t="str">
        <f t="array" ref="BH6">IFERROR(INDEX(INDIRECT(Config!$K$18), MATCH(BG$1, INDIRECT(Config!$K$15), 0)), "")</f>
        <v/>
      </c>
      <c r="BI6" s="78">
        <f>IFERROR(BG6-BH6,"")</f>
        <v>0</v>
      </c>
      <c r="BJ6" s="76" t="str">
        <f t="array" ref="BJ6">IFERROR(INDEX(INDIRECT(Config!$K$17), MATCH(BJ$1, INDIRECT(Config!$K$15), 0)), "")</f>
        <v/>
      </c>
      <c r="BK6" s="16" t="str">
        <f t="array" ref="BK6">IFERROR(INDEX(INDIRECT(Config!$K$18), MATCH(BJ$1, INDIRECT(Config!$K$15), 0)), "")</f>
        <v/>
      </c>
      <c r="BL6" s="77">
        <f>IFERROR(BJ6-BK6,"")</f>
        <v>0</v>
      </c>
      <c r="BM6" s="75" t="str">
        <f t="array" ref="BM6">IFERROR(INDEX(INDIRECT(Config!$K$17), MATCH(BM$1, INDIRECT(Config!$K$15), 0)), "")</f>
        <v/>
      </c>
      <c r="BN6" s="25" t="str">
        <f t="array" ref="BN6">IFERROR(INDEX(INDIRECT(Config!$K$18), MATCH(BM$1, INDIRECT(Config!$K$15), 0)), "")</f>
        <v/>
      </c>
      <c r="BO6" s="78">
        <f>IFERROR(BM6-BN6,"")</f>
        <v>0</v>
      </c>
      <c r="BP6" s="76" t="str">
        <f t="array" ref="BP6">IFERROR(INDEX(INDIRECT(Config!$K$17), MATCH(BP$1, INDIRECT(Config!$K$15), 0)), "")</f>
        <v/>
      </c>
      <c r="BQ6" s="16" t="str">
        <f t="array" ref="BQ6">IFERROR(INDEX(INDIRECT(Config!$K$18), MATCH(BP$1, INDIRECT(Config!$K$15), 0)), "")</f>
        <v/>
      </c>
      <c r="BR6" s="77">
        <f>IFERROR(BP6-BQ6,"")</f>
        <v>0</v>
      </c>
      <c r="BS6" s="75" t="str">
        <f t="array" ref="BS6">IFERROR(INDEX(INDIRECT(Config!$K$17), MATCH(BS$1, INDIRECT(Config!$K$15), 0)), "")</f>
        <v/>
      </c>
      <c r="BT6" s="25" t="str">
        <f t="array" ref="BT6">IFERROR(INDEX(INDIRECT(Config!$K$18), MATCH(BS$1, INDIRECT(Config!$K$15), 0)), "")</f>
        <v/>
      </c>
      <c r="BU6" s="78">
        <f>IFERROR(BS6-BT6,"")</f>
        <v>0</v>
      </c>
      <c r="BV6" s="76" t="str">
        <f t="array" ref="BV6">IFERROR(INDEX(INDIRECT(Config!$K$17), MATCH(BV$1, INDIRECT(Config!$K$15), 0)), "")</f>
        <v/>
      </c>
      <c r="BW6" s="16" t="str">
        <f t="array" ref="BW6">IFERROR(INDEX(INDIRECT(Config!$K$18), MATCH(BV$1, INDIRECT(Config!$K$15), 0)), "")</f>
        <v/>
      </c>
      <c r="BX6" s="77">
        <f>IFERROR(BV6-BW6,"")</f>
        <v>0</v>
      </c>
      <c r="BY6" s="75" t="str">
        <f t="array" ref="BY6">IFERROR(INDEX(INDIRECT(Config!$K$17), MATCH(BY$1, INDIRECT(Config!$K$15), 0)), "")</f>
        <v/>
      </c>
      <c r="BZ6" s="25" t="str">
        <f t="array" ref="BZ6">IFERROR(INDEX(INDIRECT(Config!$K$18), MATCH(BY$1, INDIRECT(Config!$K$15), 0)), "")</f>
        <v/>
      </c>
      <c r="CA6" s="78">
        <f>IFERROR(BY6-BZ6,"")</f>
        <v>0</v>
      </c>
      <c r="CB6" s="76" t="str">
        <f t="array" ref="CB6">IFERROR(INDEX(INDIRECT(Config!$K$17), MATCH(CB$1, INDIRECT(Config!$K$15), 0)), "")</f>
        <v/>
      </c>
      <c r="CC6" s="16" t="str">
        <f t="array" ref="CC6">IFERROR(INDEX(INDIRECT(Config!$K$18), MATCH(CB$1, INDIRECT(Config!$K$15), 0)), "")</f>
        <v/>
      </c>
      <c r="CD6" s="77">
        <f>IFERROR(CB6-CC6,"")</f>
        <v>0</v>
      </c>
      <c r="CE6" s="75" t="str">
        <f t="array" ref="CE6">IFERROR(INDEX(INDIRECT(Config!$K$17), MATCH(CE$1, INDIRECT(Config!$K$15), 0)), "")</f>
        <v/>
      </c>
      <c r="CF6" s="25" t="str">
        <f t="array" ref="CF6">IFERROR(INDEX(INDIRECT(Config!$K$18), MATCH(CE$1, INDIRECT(Config!$K$15), 0)), "")</f>
        <v/>
      </c>
      <c r="CG6" s="78">
        <f>IFERROR(CE6-CF6,"")</f>
        <v>0</v>
      </c>
      <c r="CH6" s="76" t="str">
        <f t="array" ref="CH6">IFERROR(INDEX(INDIRECT(Config!$K$17), MATCH(CH$1, INDIRECT(Config!$K$15), 0)), "")</f>
        <v/>
      </c>
      <c r="CI6" s="16" t="str">
        <f t="array" ref="CI6">IFERROR(INDEX(INDIRECT(Config!$K$18), MATCH(CH$1, INDIRECT(Config!$K$15), 0)), "")</f>
        <v/>
      </c>
      <c r="CJ6" s="77">
        <f>IFERROR(CH6-CI6,"")</f>
        <v>0</v>
      </c>
      <c r="CK6" s="75" t="str">
        <f t="array" ref="CK6">IFERROR(INDEX(INDIRECT(Config!$K$17), MATCH(CK$1, INDIRECT(Config!$K$15), 0)), "")</f>
        <v/>
      </c>
      <c r="CL6" s="25" t="str">
        <f t="array" ref="CL6">IFERROR(INDEX(INDIRECT(Config!$K$18), MATCH(CK$1, INDIRECT(Config!$K$15), 0)), "")</f>
        <v/>
      </c>
      <c r="CM6" s="78">
        <f>IFERROR(CK6-CL6,"")</f>
        <v>0</v>
      </c>
      <c r="CN6" s="76" t="str">
        <f t="array" ref="CN6">IFERROR(INDEX(INDIRECT(Config!$K$17), MATCH(CN$1, INDIRECT(Config!$K$15), 0)), "")</f>
        <v/>
      </c>
      <c r="CO6" s="16" t="str">
        <f t="array" ref="CO6">IFERROR(INDEX(INDIRECT(Config!$K$18), MATCH(CN$1, INDIRECT(Config!$K$15), 0)), "")</f>
        <v/>
      </c>
      <c r="CP6" s="77">
        <f>IFERROR(CN6-CO6,"")</f>
        <v>0</v>
      </c>
      <c r="CQ6" s="75" t="str">
        <f t="array" ref="CQ6">IFERROR(INDEX(INDIRECT(Config!$K$17), MATCH(CQ$1, INDIRECT(Config!$K$15), 0)), "")</f>
        <v/>
      </c>
      <c r="CR6" s="25" t="str">
        <f t="array" ref="CR6">IFERROR(INDEX(INDIRECT(Config!$K$18), MATCH(CQ$1, INDIRECT(Config!$K$15), 0)), "")</f>
        <v/>
      </c>
      <c r="CS6" s="78">
        <f>IFERROR(CQ6-CR6,"")</f>
        <v>0</v>
      </c>
      <c r="CT6" s="76" t="str">
        <f t="array" ref="CT6">IFERROR(INDEX(INDIRECT(Config!$K$17), MATCH(CT$1, INDIRECT(Config!$K$15), 0)), "")</f>
        <v/>
      </c>
      <c r="CU6" s="16" t="str">
        <f t="array" ref="CU6">IFERROR(INDEX(INDIRECT(Config!$K$18), MATCH(CT$1, INDIRECT(Config!$K$15), 0)), "")</f>
        <v/>
      </c>
      <c r="CV6" s="77">
        <f>IFERROR(CT6-CU6,"")</f>
        <v>0</v>
      </c>
      <c r="CW6" s="75" t="str">
        <f t="array" ref="CW6">IFERROR(INDEX(INDIRECT(Config!$K$17), MATCH(CW$1, INDIRECT(Config!$K$15), 0)), "")</f>
        <v/>
      </c>
      <c r="CX6" s="25" t="str">
        <f t="array" ref="CX6">IFERROR(INDEX(INDIRECT(Config!$K$18), MATCH(CW$1, INDIRECT(Config!$K$15), 0)), "")</f>
        <v/>
      </c>
      <c r="CY6" s="78">
        <f>IFERROR(CW6-CX6,"")</f>
        <v>0</v>
      </c>
      <c r="CZ6" s="76" t="str">
        <f t="array" ref="CZ6">IFERROR(INDEX(INDIRECT(Config!$K$17), MATCH(CZ$1, INDIRECT(Config!$K$15), 0)), "")</f>
        <v/>
      </c>
      <c r="DA6" s="16" t="str">
        <f t="array" ref="DA6">IFERROR(INDEX(INDIRECT(Config!$K$18), MATCH(CZ$1, INDIRECT(Config!$K$15), 0)), "")</f>
        <v/>
      </c>
      <c r="DB6" s="77">
        <f>IFERROR(CZ6-DA6,"")</f>
        <v>0</v>
      </c>
      <c r="DC6" s="75" t="str">
        <f t="array" ref="DC6">IFERROR(INDEX(INDIRECT(Config!$K$17), MATCH(DC$1, INDIRECT(Config!$K$15), 0)), "")</f>
        <v/>
      </c>
      <c r="DD6" s="25" t="str">
        <f t="array" ref="DD6">IFERROR(INDEX(INDIRECT(Config!$K$18), MATCH(DC$1, INDIRECT(Config!$K$15), 0)), "")</f>
        <v/>
      </c>
      <c r="DE6" s="78">
        <f>IFERROR(DC6-DD6,"")</f>
        <v>0</v>
      </c>
      <c r="DF6" s="76" t="str">
        <f t="array" ref="DF6">IFERROR(INDEX(INDIRECT(Config!$K$17), MATCH(DF$1, INDIRECT(Config!$K$15), 0)), "")</f>
        <v/>
      </c>
      <c r="DG6" s="16" t="str">
        <f t="array" ref="DG6">IFERROR(INDEX(INDIRECT(Config!$K$18), MATCH(DF$1, INDIRECT(Config!$K$15), 0)), "")</f>
        <v/>
      </c>
      <c r="DH6" s="77">
        <f>IFERROR(DF6-DG6,"")</f>
        <v>0</v>
      </c>
      <c r="DI6" s="75" t="str">
        <f t="array" ref="DI6">IFERROR(INDEX(INDIRECT(Config!$K$17), MATCH(DI$1, INDIRECT(Config!$K$15), 0)), "")</f>
        <v/>
      </c>
      <c r="DJ6" s="25" t="str">
        <f t="array" ref="DJ6">IFERROR(INDEX(INDIRECT(Config!$K$18), MATCH(DI$1, INDIRECT(Config!$K$15), 0)), "")</f>
        <v/>
      </c>
      <c r="DK6" s="78">
        <f>IFERROR(DI6-DJ6,"")</f>
        <v>0</v>
      </c>
      <c r="DL6" s="76" t="str">
        <f t="array" ref="DL6">IFERROR(INDEX(INDIRECT(Config!$K$17), MATCH(DL$1, INDIRECT(Config!$K$15), 0)), "")</f>
        <v/>
      </c>
      <c r="DM6" s="16" t="str">
        <f t="array" ref="DM6">IFERROR(INDEX(INDIRECT(Config!$K$18), MATCH(DL$1, INDIRECT(Config!$K$15), 0)), "")</f>
        <v/>
      </c>
      <c r="DN6" s="77">
        <f>IFERROR(DL6-DM6,"")</f>
        <v>0</v>
      </c>
      <c r="DO6" s="75" t="str">
        <f t="array" ref="DO6">IFERROR(INDEX(INDIRECT(Config!$K$17), MATCH(DO$1, INDIRECT(Config!$K$15), 0)), "")</f>
        <v/>
      </c>
      <c r="DP6" s="25" t="str">
        <f t="array" ref="DP6">IFERROR(INDEX(INDIRECT(Config!$K$18), MATCH(DO$1, INDIRECT(Config!$K$15), 0)), "")</f>
        <v/>
      </c>
      <c r="DQ6" s="78">
        <f>IFERROR(DO6-DP6,"")</f>
        <v>0</v>
      </c>
      <c r="DR6" s="76" t="str">
        <f t="array" ref="DR6">IFERROR(INDEX(INDIRECT(Config!$K$17), MATCH(DR$1, INDIRECT(Config!$K$15), 0)), "")</f>
        <v/>
      </c>
      <c r="DS6" s="16" t="str">
        <f t="array" ref="DS6">IFERROR(INDEX(INDIRECT(Config!$K$18), MATCH(DR$1, INDIRECT(Config!$K$15), 0)), "")</f>
        <v/>
      </c>
      <c r="DT6" s="77">
        <f>IFERROR(DR6-DS6,"")</f>
        <v>0</v>
      </c>
    </row>
    <row r="7" ht="9.0" customHeight="1">
      <c r="A7" s="48"/>
      <c r="B7" s="68"/>
      <c r="C7" s="68"/>
      <c r="D7" s="68"/>
      <c r="E7" s="69"/>
      <c r="F7" s="12"/>
      <c r="G7" s="12"/>
      <c r="H7" s="69"/>
      <c r="I7" s="12"/>
      <c r="J7" s="13"/>
      <c r="K7" s="69"/>
      <c r="L7" s="12"/>
      <c r="M7" s="13"/>
      <c r="N7" s="69"/>
      <c r="O7" s="12"/>
      <c r="P7" s="13"/>
      <c r="Q7" s="69"/>
      <c r="R7" s="12"/>
      <c r="S7" s="13"/>
      <c r="T7" s="69"/>
      <c r="U7" s="12"/>
      <c r="V7" s="13"/>
      <c r="W7" s="69"/>
      <c r="X7" s="12"/>
      <c r="Y7" s="13"/>
      <c r="Z7" s="69"/>
      <c r="AA7" s="12"/>
      <c r="AB7" s="13"/>
      <c r="AC7" s="69"/>
      <c r="AD7" s="12"/>
      <c r="AE7" s="13"/>
      <c r="AF7" s="69"/>
      <c r="AG7" s="12"/>
      <c r="AH7" s="13"/>
      <c r="AI7" s="69"/>
      <c r="AJ7" s="12"/>
      <c r="AK7" s="13"/>
      <c r="AL7" s="69"/>
      <c r="AM7" s="12"/>
      <c r="AN7" s="13"/>
      <c r="AO7" s="69"/>
      <c r="AP7" s="12"/>
      <c r="AQ7" s="13"/>
      <c r="AR7" s="69"/>
      <c r="AS7" s="12"/>
      <c r="AT7" s="13"/>
      <c r="AU7" s="69"/>
      <c r="AV7" s="12"/>
      <c r="AW7" s="13"/>
      <c r="AX7" s="69"/>
      <c r="AY7" s="12"/>
      <c r="AZ7" s="13"/>
      <c r="BA7" s="69"/>
      <c r="BB7" s="12"/>
      <c r="BC7" s="13"/>
      <c r="BD7" s="69"/>
      <c r="BE7" s="12"/>
      <c r="BF7" s="13"/>
      <c r="BG7" s="69"/>
      <c r="BH7" s="12"/>
      <c r="BI7" s="13"/>
      <c r="BJ7" s="69"/>
      <c r="BK7" s="12"/>
      <c r="BL7" s="13"/>
      <c r="BM7" s="69"/>
      <c r="BN7" s="12"/>
      <c r="BO7" s="13"/>
      <c r="BP7" s="69"/>
      <c r="BQ7" s="12"/>
      <c r="BR7" s="13"/>
      <c r="BS7" s="69"/>
      <c r="BT7" s="12"/>
      <c r="BU7" s="13"/>
      <c r="BV7" s="69"/>
      <c r="BW7" s="12"/>
      <c r="BX7" s="13"/>
      <c r="BY7" s="69"/>
      <c r="BZ7" s="12"/>
      <c r="CA7" s="13"/>
      <c r="CB7" s="69"/>
      <c r="CC7" s="12"/>
      <c r="CD7" s="13"/>
      <c r="CE7" s="69"/>
      <c r="CF7" s="12"/>
      <c r="CG7" s="13"/>
      <c r="CH7" s="69"/>
      <c r="CI7" s="12"/>
      <c r="CJ7" s="13"/>
      <c r="CK7" s="69"/>
      <c r="CL7" s="12"/>
      <c r="CM7" s="13"/>
      <c r="CN7" s="69"/>
      <c r="CO7" s="12"/>
      <c r="CP7" s="13"/>
      <c r="CQ7" s="69"/>
      <c r="CR7" s="12"/>
      <c r="CS7" s="13"/>
      <c r="CT7" s="69"/>
      <c r="CU7" s="12"/>
      <c r="CV7" s="13"/>
      <c r="CW7" s="69"/>
      <c r="CX7" s="12"/>
      <c r="CY7" s="13"/>
      <c r="CZ7" s="69"/>
      <c r="DA7" s="12"/>
      <c r="DB7" s="13"/>
      <c r="DC7" s="69"/>
      <c r="DD7" s="12"/>
      <c r="DE7" s="13"/>
      <c r="DF7" s="69"/>
      <c r="DG7" s="12"/>
      <c r="DH7" s="13"/>
      <c r="DI7" s="69"/>
      <c r="DJ7" s="12"/>
      <c r="DK7" s="13"/>
      <c r="DL7" s="69"/>
      <c r="DM7" s="12"/>
      <c r="DN7" s="13"/>
      <c r="DO7" s="69"/>
      <c r="DP7" s="12"/>
      <c r="DQ7" s="13"/>
      <c r="DR7" s="69"/>
      <c r="DS7" s="12"/>
      <c r="DT7" s="13"/>
    </row>
    <row r="8" ht="15.75" customHeight="1">
      <c r="A8" s="15" t="s">
        <v>5</v>
      </c>
      <c r="B8" s="45" t="str">
        <f t="shared" ref="B8:DT8" si="63">B10-B41</f>
        <v>#N/A</v>
      </c>
      <c r="C8" s="45" t="str">
        <f t="shared" si="63"/>
        <v>#N/A</v>
      </c>
      <c r="D8" s="45" t="str">
        <f t="shared" si="63"/>
        <v>#N/A</v>
      </c>
      <c r="E8" s="70" t="str">
        <f t="shared" si="63"/>
        <v>#N/A</v>
      </c>
      <c r="F8" s="71" t="str">
        <f t="shared" si="63"/>
        <v>#N/A</v>
      </c>
      <c r="G8" s="72" t="str">
        <f t="shared" si="63"/>
        <v>#N/A</v>
      </c>
      <c r="H8" s="73">
        <f t="shared" si="63"/>
        <v>0</v>
      </c>
      <c r="I8" s="24">
        <f t="shared" si="63"/>
        <v>0</v>
      </c>
      <c r="J8" s="74" t="str">
        <f t="shared" si="63"/>
        <v>#N/A</v>
      </c>
      <c r="K8" s="75" t="str">
        <f t="shared" si="63"/>
        <v>#N/A</v>
      </c>
      <c r="L8" s="25" t="str">
        <f t="shared" si="63"/>
        <v>#N/A</v>
      </c>
      <c r="M8" s="78" t="str">
        <f t="shared" si="63"/>
        <v>#N/A</v>
      </c>
      <c r="N8" s="76" t="str">
        <f t="shared" si="63"/>
        <v>#N/A</v>
      </c>
      <c r="O8" s="16" t="str">
        <f t="shared" si="63"/>
        <v>#N/A</v>
      </c>
      <c r="P8" s="77" t="str">
        <f t="shared" si="63"/>
        <v>#N/A</v>
      </c>
      <c r="Q8" s="75" t="str">
        <f t="shared" si="63"/>
        <v>#N/A</v>
      </c>
      <c r="R8" s="25" t="str">
        <f t="shared" si="63"/>
        <v>#N/A</v>
      </c>
      <c r="S8" s="78" t="str">
        <f t="shared" si="63"/>
        <v>#N/A</v>
      </c>
      <c r="T8" s="76" t="str">
        <f t="shared" si="63"/>
        <v>#N/A</v>
      </c>
      <c r="U8" s="16" t="str">
        <f t="shared" si="63"/>
        <v>#N/A</v>
      </c>
      <c r="V8" s="77" t="str">
        <f t="shared" si="63"/>
        <v>#N/A</v>
      </c>
      <c r="W8" s="75" t="str">
        <f t="shared" si="63"/>
        <v>#N/A</v>
      </c>
      <c r="X8" s="25" t="str">
        <f t="shared" si="63"/>
        <v>#N/A</v>
      </c>
      <c r="Y8" s="78" t="str">
        <f t="shared" si="63"/>
        <v>#N/A</v>
      </c>
      <c r="Z8" s="76" t="str">
        <f t="shared" si="63"/>
        <v>#N/A</v>
      </c>
      <c r="AA8" s="16" t="str">
        <f t="shared" si="63"/>
        <v>#N/A</v>
      </c>
      <c r="AB8" s="77" t="str">
        <f t="shared" si="63"/>
        <v>#N/A</v>
      </c>
      <c r="AC8" s="75" t="str">
        <f t="shared" si="63"/>
        <v>#N/A</v>
      </c>
      <c r="AD8" s="25" t="str">
        <f t="shared" si="63"/>
        <v>#N/A</v>
      </c>
      <c r="AE8" s="78" t="str">
        <f t="shared" si="63"/>
        <v>#N/A</v>
      </c>
      <c r="AF8" s="76" t="str">
        <f t="shared" si="63"/>
        <v>#N/A</v>
      </c>
      <c r="AG8" s="16" t="str">
        <f t="shared" si="63"/>
        <v>#N/A</v>
      </c>
      <c r="AH8" s="77" t="str">
        <f t="shared" si="63"/>
        <v>#N/A</v>
      </c>
      <c r="AI8" s="75" t="str">
        <f t="shared" si="63"/>
        <v>#N/A</v>
      </c>
      <c r="AJ8" s="25" t="str">
        <f t="shared" si="63"/>
        <v>#N/A</v>
      </c>
      <c r="AK8" s="78" t="str">
        <f t="shared" si="63"/>
        <v>#N/A</v>
      </c>
      <c r="AL8" s="76" t="str">
        <f t="shared" si="63"/>
        <v>#N/A</v>
      </c>
      <c r="AM8" s="16" t="str">
        <f t="shared" si="63"/>
        <v>#N/A</v>
      </c>
      <c r="AN8" s="77" t="str">
        <f t="shared" si="63"/>
        <v>#N/A</v>
      </c>
      <c r="AO8" s="75" t="str">
        <f t="shared" si="63"/>
        <v>#N/A</v>
      </c>
      <c r="AP8" s="25" t="str">
        <f t="shared" si="63"/>
        <v>#N/A</v>
      </c>
      <c r="AQ8" s="78" t="str">
        <f t="shared" si="63"/>
        <v>#N/A</v>
      </c>
      <c r="AR8" s="76" t="str">
        <f t="shared" si="63"/>
        <v>#N/A</v>
      </c>
      <c r="AS8" s="16" t="str">
        <f t="shared" si="63"/>
        <v>#N/A</v>
      </c>
      <c r="AT8" s="77" t="str">
        <f t="shared" si="63"/>
        <v>#N/A</v>
      </c>
      <c r="AU8" s="75" t="str">
        <f t="shared" si="63"/>
        <v>#N/A</v>
      </c>
      <c r="AV8" s="25" t="str">
        <f t="shared" si="63"/>
        <v>#N/A</v>
      </c>
      <c r="AW8" s="78" t="str">
        <f t="shared" si="63"/>
        <v>#N/A</v>
      </c>
      <c r="AX8" s="76" t="str">
        <f t="shared" si="63"/>
        <v>#N/A</v>
      </c>
      <c r="AY8" s="16" t="str">
        <f t="shared" si="63"/>
        <v>#N/A</v>
      </c>
      <c r="AZ8" s="77" t="str">
        <f t="shared" si="63"/>
        <v>#N/A</v>
      </c>
      <c r="BA8" s="75" t="str">
        <f t="shared" si="63"/>
        <v>#N/A</v>
      </c>
      <c r="BB8" s="25" t="str">
        <f t="shared" si="63"/>
        <v>#N/A</v>
      </c>
      <c r="BC8" s="78" t="str">
        <f t="shared" si="63"/>
        <v>#N/A</v>
      </c>
      <c r="BD8" s="76" t="str">
        <f t="shared" si="63"/>
        <v>#N/A</v>
      </c>
      <c r="BE8" s="16" t="str">
        <f t="shared" si="63"/>
        <v>#N/A</v>
      </c>
      <c r="BF8" s="77" t="str">
        <f t="shared" si="63"/>
        <v>#N/A</v>
      </c>
      <c r="BG8" s="75" t="str">
        <f t="shared" si="63"/>
        <v>#N/A</v>
      </c>
      <c r="BH8" s="25" t="str">
        <f t="shared" si="63"/>
        <v>#N/A</v>
      </c>
      <c r="BI8" s="78" t="str">
        <f t="shared" si="63"/>
        <v>#N/A</v>
      </c>
      <c r="BJ8" s="76" t="str">
        <f t="shared" si="63"/>
        <v>#N/A</v>
      </c>
      <c r="BK8" s="16" t="str">
        <f t="shared" si="63"/>
        <v>#N/A</v>
      </c>
      <c r="BL8" s="77" t="str">
        <f t="shared" si="63"/>
        <v>#N/A</v>
      </c>
      <c r="BM8" s="75" t="str">
        <f t="shared" si="63"/>
        <v>#N/A</v>
      </c>
      <c r="BN8" s="25" t="str">
        <f t="shared" si="63"/>
        <v>#N/A</v>
      </c>
      <c r="BO8" s="78" t="str">
        <f t="shared" si="63"/>
        <v>#N/A</v>
      </c>
      <c r="BP8" s="76" t="str">
        <f t="shared" si="63"/>
        <v>#N/A</v>
      </c>
      <c r="BQ8" s="16" t="str">
        <f t="shared" si="63"/>
        <v>#N/A</v>
      </c>
      <c r="BR8" s="77" t="str">
        <f t="shared" si="63"/>
        <v>#N/A</v>
      </c>
      <c r="BS8" s="75" t="str">
        <f t="shared" si="63"/>
        <v>#N/A</v>
      </c>
      <c r="BT8" s="25" t="str">
        <f t="shared" si="63"/>
        <v>#N/A</v>
      </c>
      <c r="BU8" s="78" t="str">
        <f t="shared" si="63"/>
        <v>#N/A</v>
      </c>
      <c r="BV8" s="76" t="str">
        <f t="shared" si="63"/>
        <v>#N/A</v>
      </c>
      <c r="BW8" s="16" t="str">
        <f t="shared" si="63"/>
        <v>#N/A</v>
      </c>
      <c r="BX8" s="77" t="str">
        <f t="shared" si="63"/>
        <v>#N/A</v>
      </c>
      <c r="BY8" s="75" t="str">
        <f t="shared" si="63"/>
        <v>#N/A</v>
      </c>
      <c r="BZ8" s="25" t="str">
        <f t="shared" si="63"/>
        <v>#N/A</v>
      </c>
      <c r="CA8" s="78" t="str">
        <f t="shared" si="63"/>
        <v>#N/A</v>
      </c>
      <c r="CB8" s="76" t="str">
        <f t="shared" si="63"/>
        <v>#N/A</v>
      </c>
      <c r="CC8" s="16" t="str">
        <f t="shared" si="63"/>
        <v>#N/A</v>
      </c>
      <c r="CD8" s="77" t="str">
        <f t="shared" si="63"/>
        <v>#N/A</v>
      </c>
      <c r="CE8" s="75" t="str">
        <f t="shared" si="63"/>
        <v>#N/A</v>
      </c>
      <c r="CF8" s="25" t="str">
        <f t="shared" si="63"/>
        <v>#N/A</v>
      </c>
      <c r="CG8" s="78" t="str">
        <f t="shared" si="63"/>
        <v>#N/A</v>
      </c>
      <c r="CH8" s="76" t="str">
        <f t="shared" si="63"/>
        <v>#N/A</v>
      </c>
      <c r="CI8" s="16" t="str">
        <f t="shared" si="63"/>
        <v>#N/A</v>
      </c>
      <c r="CJ8" s="77" t="str">
        <f t="shared" si="63"/>
        <v>#N/A</v>
      </c>
      <c r="CK8" s="75" t="str">
        <f t="shared" si="63"/>
        <v>#N/A</v>
      </c>
      <c r="CL8" s="25" t="str">
        <f t="shared" si="63"/>
        <v>#N/A</v>
      </c>
      <c r="CM8" s="78" t="str">
        <f t="shared" si="63"/>
        <v>#N/A</v>
      </c>
      <c r="CN8" s="76" t="str">
        <f t="shared" si="63"/>
        <v>#N/A</v>
      </c>
      <c r="CO8" s="16" t="str">
        <f t="shared" si="63"/>
        <v>#N/A</v>
      </c>
      <c r="CP8" s="77" t="str">
        <f t="shared" si="63"/>
        <v>#N/A</v>
      </c>
      <c r="CQ8" s="75" t="str">
        <f t="shared" si="63"/>
        <v>#N/A</v>
      </c>
      <c r="CR8" s="25" t="str">
        <f t="shared" si="63"/>
        <v>#N/A</v>
      </c>
      <c r="CS8" s="78" t="str">
        <f t="shared" si="63"/>
        <v>#N/A</v>
      </c>
      <c r="CT8" s="76" t="str">
        <f t="shared" si="63"/>
        <v>#N/A</v>
      </c>
      <c r="CU8" s="16" t="str">
        <f t="shared" si="63"/>
        <v>#N/A</v>
      </c>
      <c r="CV8" s="77" t="str">
        <f t="shared" si="63"/>
        <v>#N/A</v>
      </c>
      <c r="CW8" s="75" t="str">
        <f t="shared" si="63"/>
        <v>#N/A</v>
      </c>
      <c r="CX8" s="25" t="str">
        <f t="shared" si="63"/>
        <v>#N/A</v>
      </c>
      <c r="CY8" s="78" t="str">
        <f t="shared" si="63"/>
        <v>#N/A</v>
      </c>
      <c r="CZ8" s="76" t="str">
        <f t="shared" si="63"/>
        <v>#N/A</v>
      </c>
      <c r="DA8" s="16" t="str">
        <f t="shared" si="63"/>
        <v>#N/A</v>
      </c>
      <c r="DB8" s="77" t="str">
        <f t="shared" si="63"/>
        <v>#N/A</v>
      </c>
      <c r="DC8" s="75" t="str">
        <f t="shared" si="63"/>
        <v>#N/A</v>
      </c>
      <c r="DD8" s="25" t="str">
        <f t="shared" si="63"/>
        <v>#N/A</v>
      </c>
      <c r="DE8" s="78" t="str">
        <f t="shared" si="63"/>
        <v>#N/A</v>
      </c>
      <c r="DF8" s="76" t="str">
        <f t="shared" si="63"/>
        <v>#N/A</v>
      </c>
      <c r="DG8" s="16" t="str">
        <f t="shared" si="63"/>
        <v>#N/A</v>
      </c>
      <c r="DH8" s="77" t="str">
        <f t="shared" si="63"/>
        <v>#N/A</v>
      </c>
      <c r="DI8" s="75" t="str">
        <f t="shared" si="63"/>
        <v>#N/A</v>
      </c>
      <c r="DJ8" s="25" t="str">
        <f t="shared" si="63"/>
        <v>#N/A</v>
      </c>
      <c r="DK8" s="78" t="str">
        <f t="shared" si="63"/>
        <v>#N/A</v>
      </c>
      <c r="DL8" s="76" t="str">
        <f t="shared" si="63"/>
        <v>#N/A</v>
      </c>
      <c r="DM8" s="16" t="str">
        <f t="shared" si="63"/>
        <v>#N/A</v>
      </c>
      <c r="DN8" s="77" t="str">
        <f t="shared" si="63"/>
        <v>#N/A</v>
      </c>
      <c r="DO8" s="75">
        <f t="shared" si="63"/>
        <v>0</v>
      </c>
      <c r="DP8" s="25" t="str">
        <f t="shared" si="63"/>
        <v>#N/A</v>
      </c>
      <c r="DQ8" s="78" t="str">
        <f t="shared" si="63"/>
        <v>#N/A</v>
      </c>
      <c r="DR8" s="76" t="str">
        <f t="shared" si="63"/>
        <v>#N/A</v>
      </c>
      <c r="DS8" s="16" t="str">
        <f t="shared" si="63"/>
        <v>#N/A</v>
      </c>
      <c r="DT8" s="77" t="str">
        <f t="shared" si="63"/>
        <v>#N/A</v>
      </c>
    </row>
    <row r="9" ht="9.0" customHeight="1">
      <c r="A9" s="48" t="str">
        <f>VLOOKUP(A2,Config!F47:G58,2)</f>
        <v>OtrosR!$G$3:$G</v>
      </c>
      <c r="B9" s="79" t="str">
        <f>VLOOKUP(A1,Config!F47:H58,3)</f>
        <v>Gastos Admon!B7:B</v>
      </c>
      <c r="C9" s="79" t="str">
        <f>VLOOKUP(A2,Config!F47:H58,3)</f>
        <v>Gastos Admon!D7:D</v>
      </c>
      <c r="D9" s="12"/>
      <c r="E9" s="69"/>
      <c r="F9" s="12"/>
      <c r="G9" s="12"/>
      <c r="H9" s="69"/>
      <c r="I9" s="12"/>
      <c r="J9" s="13"/>
      <c r="K9" s="69"/>
      <c r="L9" s="12"/>
      <c r="M9" s="13"/>
      <c r="N9" s="69"/>
      <c r="O9" s="12"/>
      <c r="P9" s="13"/>
      <c r="Q9" s="69"/>
      <c r="R9" s="12"/>
      <c r="S9" s="13"/>
      <c r="T9" s="69"/>
      <c r="U9" s="12"/>
      <c r="V9" s="13"/>
      <c r="W9" s="69"/>
      <c r="X9" s="12"/>
      <c r="Y9" s="13"/>
      <c r="Z9" s="69"/>
      <c r="AA9" s="12"/>
      <c r="AB9" s="13"/>
      <c r="AC9" s="69"/>
      <c r="AD9" s="12"/>
      <c r="AE9" s="13"/>
      <c r="AF9" s="69"/>
      <c r="AG9" s="12"/>
      <c r="AH9" s="13"/>
      <c r="AI9" s="69"/>
      <c r="AJ9" s="12"/>
      <c r="AK9" s="13"/>
      <c r="AL9" s="69"/>
      <c r="AM9" s="12"/>
      <c r="AN9" s="13"/>
      <c r="AO9" s="69"/>
      <c r="AP9" s="12"/>
      <c r="AQ9" s="13"/>
      <c r="AR9" s="69"/>
      <c r="AS9" s="12"/>
      <c r="AT9" s="13"/>
      <c r="AU9" s="69"/>
      <c r="AV9" s="12"/>
      <c r="AW9" s="13"/>
      <c r="AX9" s="69"/>
      <c r="AY9" s="12"/>
      <c r="AZ9" s="13"/>
      <c r="BA9" s="69"/>
      <c r="BB9" s="12"/>
      <c r="BC9" s="13"/>
      <c r="BD9" s="69"/>
      <c r="BE9" s="12"/>
      <c r="BF9" s="13"/>
      <c r="BG9" s="69"/>
      <c r="BH9" s="12"/>
      <c r="BI9" s="13"/>
      <c r="BJ9" s="69"/>
      <c r="BK9" s="12"/>
      <c r="BL9" s="13"/>
      <c r="BM9" s="69"/>
      <c r="BN9" s="12"/>
      <c r="BO9" s="13"/>
      <c r="BP9" s="69"/>
      <c r="BQ9" s="12"/>
      <c r="BR9" s="13"/>
      <c r="BS9" s="69"/>
      <c r="BT9" s="12"/>
      <c r="BU9" s="13"/>
      <c r="BV9" s="69"/>
      <c r="BW9" s="12"/>
      <c r="BX9" s="13"/>
      <c r="BY9" s="69"/>
      <c r="BZ9" s="12"/>
      <c r="CA9" s="13"/>
      <c r="CB9" s="69"/>
      <c r="CC9" s="12"/>
      <c r="CD9" s="13"/>
      <c r="CE9" s="69"/>
      <c r="CF9" s="12"/>
      <c r="CG9" s="13"/>
      <c r="CH9" s="69"/>
      <c r="CI9" s="12"/>
      <c r="CJ9" s="13"/>
      <c r="CK9" s="69"/>
      <c r="CL9" s="12"/>
      <c r="CM9" s="13"/>
      <c r="CN9" s="69"/>
      <c r="CO9" s="12"/>
      <c r="CP9" s="13"/>
      <c r="CQ9" s="69"/>
      <c r="CR9" s="12"/>
      <c r="CS9" s="13"/>
      <c r="CT9" s="69"/>
      <c r="CU9" s="12"/>
      <c r="CV9" s="13"/>
      <c r="CW9" s="69"/>
      <c r="CX9" s="12"/>
      <c r="CY9" s="13"/>
      <c r="CZ9" s="69"/>
      <c r="DA9" s="12"/>
      <c r="DB9" s="13"/>
      <c r="DC9" s="69"/>
      <c r="DD9" s="12"/>
      <c r="DE9" s="13"/>
      <c r="DF9" s="69"/>
      <c r="DG9" s="12"/>
      <c r="DH9" s="13"/>
      <c r="DI9" s="69"/>
      <c r="DJ9" s="12"/>
      <c r="DK9" s="13"/>
      <c r="DL9" s="69"/>
      <c r="DM9" s="12"/>
      <c r="DN9" s="13"/>
      <c r="DO9" s="69"/>
      <c r="DP9" s="12"/>
      <c r="DQ9" s="13"/>
      <c r="DR9" s="69"/>
      <c r="DS9" s="12"/>
      <c r="DT9" s="13"/>
    </row>
    <row r="10" ht="15.75" customHeight="1">
      <c r="A10" s="80" t="s">
        <v>6</v>
      </c>
      <c r="B10" s="26" t="str">
        <f t="shared" ref="B10:DT10" si="64">SUM(B11:B39)</f>
        <v>#N/A</v>
      </c>
      <c r="C10" s="26" t="str">
        <f t="shared" si="64"/>
        <v>#N/A</v>
      </c>
      <c r="D10" s="26" t="str">
        <f t="shared" si="64"/>
        <v>#N/A</v>
      </c>
      <c r="E10" s="81" t="str">
        <f t="shared" si="64"/>
        <v>#N/A</v>
      </c>
      <c r="F10" s="82" t="str">
        <f t="shared" si="64"/>
        <v>#N/A</v>
      </c>
      <c r="G10" s="83" t="str">
        <f t="shared" si="64"/>
        <v>#N/A</v>
      </c>
      <c r="H10" s="84">
        <f t="shared" si="64"/>
        <v>0</v>
      </c>
      <c r="I10" s="85">
        <f t="shared" si="64"/>
        <v>0</v>
      </c>
      <c r="J10" s="86" t="str">
        <f t="shared" si="64"/>
        <v>#N/A</v>
      </c>
      <c r="K10" s="87" t="str">
        <f t="shared" si="64"/>
        <v>#N/A</v>
      </c>
      <c r="L10" s="88" t="str">
        <f t="shared" si="64"/>
        <v>#N/A</v>
      </c>
      <c r="M10" s="89" t="str">
        <f t="shared" si="64"/>
        <v>#N/A</v>
      </c>
      <c r="N10" s="90" t="str">
        <f t="shared" si="64"/>
        <v>#N/A</v>
      </c>
      <c r="O10" s="91" t="str">
        <f t="shared" si="64"/>
        <v>#N/A</v>
      </c>
      <c r="P10" s="92" t="str">
        <f t="shared" si="64"/>
        <v>#N/A</v>
      </c>
      <c r="Q10" s="87" t="str">
        <f t="shared" si="64"/>
        <v>#N/A</v>
      </c>
      <c r="R10" s="88" t="str">
        <f t="shared" si="64"/>
        <v>#N/A</v>
      </c>
      <c r="S10" s="89" t="str">
        <f t="shared" si="64"/>
        <v>#N/A</v>
      </c>
      <c r="T10" s="90" t="str">
        <f t="shared" si="64"/>
        <v>#N/A</v>
      </c>
      <c r="U10" s="91" t="str">
        <f t="shared" si="64"/>
        <v>#N/A</v>
      </c>
      <c r="V10" s="92" t="str">
        <f t="shared" si="64"/>
        <v>#N/A</v>
      </c>
      <c r="W10" s="87" t="str">
        <f t="shared" si="64"/>
        <v>#N/A</v>
      </c>
      <c r="X10" s="88" t="str">
        <f t="shared" si="64"/>
        <v>#N/A</v>
      </c>
      <c r="Y10" s="89" t="str">
        <f t="shared" si="64"/>
        <v>#N/A</v>
      </c>
      <c r="Z10" s="90" t="str">
        <f t="shared" si="64"/>
        <v>#N/A</v>
      </c>
      <c r="AA10" s="91" t="str">
        <f t="shared" si="64"/>
        <v>#N/A</v>
      </c>
      <c r="AB10" s="92" t="str">
        <f t="shared" si="64"/>
        <v>#N/A</v>
      </c>
      <c r="AC10" s="87" t="str">
        <f t="shared" si="64"/>
        <v>#N/A</v>
      </c>
      <c r="AD10" s="88" t="str">
        <f t="shared" si="64"/>
        <v>#N/A</v>
      </c>
      <c r="AE10" s="89" t="str">
        <f t="shared" si="64"/>
        <v>#N/A</v>
      </c>
      <c r="AF10" s="90" t="str">
        <f t="shared" si="64"/>
        <v>#N/A</v>
      </c>
      <c r="AG10" s="91" t="str">
        <f t="shared" si="64"/>
        <v>#N/A</v>
      </c>
      <c r="AH10" s="92" t="str">
        <f t="shared" si="64"/>
        <v>#N/A</v>
      </c>
      <c r="AI10" s="87" t="str">
        <f t="shared" si="64"/>
        <v>#N/A</v>
      </c>
      <c r="AJ10" s="88" t="str">
        <f t="shared" si="64"/>
        <v>#N/A</v>
      </c>
      <c r="AK10" s="89" t="str">
        <f t="shared" si="64"/>
        <v>#N/A</v>
      </c>
      <c r="AL10" s="90" t="str">
        <f t="shared" si="64"/>
        <v>#N/A</v>
      </c>
      <c r="AM10" s="91" t="str">
        <f t="shared" si="64"/>
        <v>#N/A</v>
      </c>
      <c r="AN10" s="92" t="str">
        <f t="shared" si="64"/>
        <v>#N/A</v>
      </c>
      <c r="AO10" s="87" t="str">
        <f t="shared" si="64"/>
        <v>#N/A</v>
      </c>
      <c r="AP10" s="88" t="str">
        <f t="shared" si="64"/>
        <v>#N/A</v>
      </c>
      <c r="AQ10" s="89" t="str">
        <f t="shared" si="64"/>
        <v>#N/A</v>
      </c>
      <c r="AR10" s="90" t="str">
        <f t="shared" si="64"/>
        <v>#N/A</v>
      </c>
      <c r="AS10" s="91" t="str">
        <f t="shared" si="64"/>
        <v>#N/A</v>
      </c>
      <c r="AT10" s="92" t="str">
        <f t="shared" si="64"/>
        <v>#N/A</v>
      </c>
      <c r="AU10" s="87" t="str">
        <f t="shared" si="64"/>
        <v>#N/A</v>
      </c>
      <c r="AV10" s="88" t="str">
        <f t="shared" si="64"/>
        <v>#N/A</v>
      </c>
      <c r="AW10" s="89" t="str">
        <f t="shared" si="64"/>
        <v>#N/A</v>
      </c>
      <c r="AX10" s="90" t="str">
        <f t="shared" si="64"/>
        <v>#N/A</v>
      </c>
      <c r="AY10" s="91" t="str">
        <f t="shared" si="64"/>
        <v>#N/A</v>
      </c>
      <c r="AZ10" s="92" t="str">
        <f t="shared" si="64"/>
        <v>#N/A</v>
      </c>
      <c r="BA10" s="87" t="str">
        <f t="shared" si="64"/>
        <v>#N/A</v>
      </c>
      <c r="BB10" s="88" t="str">
        <f t="shared" si="64"/>
        <v>#N/A</v>
      </c>
      <c r="BC10" s="89" t="str">
        <f t="shared" si="64"/>
        <v>#N/A</v>
      </c>
      <c r="BD10" s="90" t="str">
        <f t="shared" si="64"/>
        <v>#N/A</v>
      </c>
      <c r="BE10" s="91" t="str">
        <f t="shared" si="64"/>
        <v>#N/A</v>
      </c>
      <c r="BF10" s="92" t="str">
        <f t="shared" si="64"/>
        <v>#N/A</v>
      </c>
      <c r="BG10" s="87" t="str">
        <f t="shared" si="64"/>
        <v>#N/A</v>
      </c>
      <c r="BH10" s="88" t="str">
        <f t="shared" si="64"/>
        <v>#N/A</v>
      </c>
      <c r="BI10" s="89" t="str">
        <f t="shared" si="64"/>
        <v>#N/A</v>
      </c>
      <c r="BJ10" s="90" t="str">
        <f t="shared" si="64"/>
        <v>#N/A</v>
      </c>
      <c r="BK10" s="91" t="str">
        <f t="shared" si="64"/>
        <v>#N/A</v>
      </c>
      <c r="BL10" s="92" t="str">
        <f t="shared" si="64"/>
        <v>#N/A</v>
      </c>
      <c r="BM10" s="87" t="str">
        <f t="shared" si="64"/>
        <v>#N/A</v>
      </c>
      <c r="BN10" s="88" t="str">
        <f t="shared" si="64"/>
        <v>#N/A</v>
      </c>
      <c r="BO10" s="89" t="str">
        <f t="shared" si="64"/>
        <v>#N/A</v>
      </c>
      <c r="BP10" s="90" t="str">
        <f t="shared" si="64"/>
        <v>#N/A</v>
      </c>
      <c r="BQ10" s="91" t="str">
        <f t="shared" si="64"/>
        <v>#N/A</v>
      </c>
      <c r="BR10" s="92" t="str">
        <f t="shared" si="64"/>
        <v>#N/A</v>
      </c>
      <c r="BS10" s="87" t="str">
        <f t="shared" si="64"/>
        <v>#N/A</v>
      </c>
      <c r="BT10" s="88" t="str">
        <f t="shared" si="64"/>
        <v>#N/A</v>
      </c>
      <c r="BU10" s="89" t="str">
        <f t="shared" si="64"/>
        <v>#N/A</v>
      </c>
      <c r="BV10" s="90" t="str">
        <f t="shared" si="64"/>
        <v>#N/A</v>
      </c>
      <c r="BW10" s="91" t="str">
        <f t="shared" si="64"/>
        <v>#N/A</v>
      </c>
      <c r="BX10" s="92" t="str">
        <f t="shared" si="64"/>
        <v>#N/A</v>
      </c>
      <c r="BY10" s="87" t="str">
        <f t="shared" si="64"/>
        <v>#N/A</v>
      </c>
      <c r="BZ10" s="88" t="str">
        <f t="shared" si="64"/>
        <v>#N/A</v>
      </c>
      <c r="CA10" s="89" t="str">
        <f t="shared" si="64"/>
        <v>#N/A</v>
      </c>
      <c r="CB10" s="90" t="str">
        <f t="shared" si="64"/>
        <v>#N/A</v>
      </c>
      <c r="CC10" s="91" t="str">
        <f t="shared" si="64"/>
        <v>#N/A</v>
      </c>
      <c r="CD10" s="92" t="str">
        <f t="shared" si="64"/>
        <v>#N/A</v>
      </c>
      <c r="CE10" s="87" t="str">
        <f t="shared" si="64"/>
        <v>#N/A</v>
      </c>
      <c r="CF10" s="88" t="str">
        <f t="shared" si="64"/>
        <v>#N/A</v>
      </c>
      <c r="CG10" s="89" t="str">
        <f t="shared" si="64"/>
        <v>#N/A</v>
      </c>
      <c r="CH10" s="90" t="str">
        <f t="shared" si="64"/>
        <v>#N/A</v>
      </c>
      <c r="CI10" s="91" t="str">
        <f t="shared" si="64"/>
        <v>#N/A</v>
      </c>
      <c r="CJ10" s="92" t="str">
        <f t="shared" si="64"/>
        <v>#N/A</v>
      </c>
      <c r="CK10" s="87" t="str">
        <f t="shared" si="64"/>
        <v>#N/A</v>
      </c>
      <c r="CL10" s="88" t="str">
        <f t="shared" si="64"/>
        <v>#N/A</v>
      </c>
      <c r="CM10" s="89" t="str">
        <f t="shared" si="64"/>
        <v>#N/A</v>
      </c>
      <c r="CN10" s="90" t="str">
        <f t="shared" si="64"/>
        <v>#N/A</v>
      </c>
      <c r="CO10" s="91" t="str">
        <f t="shared" si="64"/>
        <v>#N/A</v>
      </c>
      <c r="CP10" s="92" t="str">
        <f t="shared" si="64"/>
        <v>#N/A</v>
      </c>
      <c r="CQ10" s="87" t="str">
        <f t="shared" si="64"/>
        <v>#N/A</v>
      </c>
      <c r="CR10" s="88" t="str">
        <f t="shared" si="64"/>
        <v>#N/A</v>
      </c>
      <c r="CS10" s="89" t="str">
        <f t="shared" si="64"/>
        <v>#N/A</v>
      </c>
      <c r="CT10" s="90" t="str">
        <f t="shared" si="64"/>
        <v>#N/A</v>
      </c>
      <c r="CU10" s="91" t="str">
        <f t="shared" si="64"/>
        <v>#N/A</v>
      </c>
      <c r="CV10" s="92" t="str">
        <f t="shared" si="64"/>
        <v>#N/A</v>
      </c>
      <c r="CW10" s="87" t="str">
        <f t="shared" si="64"/>
        <v>#N/A</v>
      </c>
      <c r="CX10" s="88" t="str">
        <f t="shared" si="64"/>
        <v>#N/A</v>
      </c>
      <c r="CY10" s="89" t="str">
        <f t="shared" si="64"/>
        <v>#N/A</v>
      </c>
      <c r="CZ10" s="90" t="str">
        <f t="shared" si="64"/>
        <v>#N/A</v>
      </c>
      <c r="DA10" s="91" t="str">
        <f t="shared" si="64"/>
        <v>#N/A</v>
      </c>
      <c r="DB10" s="92" t="str">
        <f t="shared" si="64"/>
        <v>#N/A</v>
      </c>
      <c r="DC10" s="87" t="str">
        <f t="shared" si="64"/>
        <v>#N/A</v>
      </c>
      <c r="DD10" s="88" t="str">
        <f t="shared" si="64"/>
        <v>#N/A</v>
      </c>
      <c r="DE10" s="89" t="str">
        <f t="shared" si="64"/>
        <v>#N/A</v>
      </c>
      <c r="DF10" s="90" t="str">
        <f t="shared" si="64"/>
        <v>#N/A</v>
      </c>
      <c r="DG10" s="91" t="str">
        <f t="shared" si="64"/>
        <v>#N/A</v>
      </c>
      <c r="DH10" s="92" t="str">
        <f t="shared" si="64"/>
        <v>#N/A</v>
      </c>
      <c r="DI10" s="87" t="str">
        <f t="shared" si="64"/>
        <v>#N/A</v>
      </c>
      <c r="DJ10" s="88" t="str">
        <f t="shared" si="64"/>
        <v>#N/A</v>
      </c>
      <c r="DK10" s="89" t="str">
        <f t="shared" si="64"/>
        <v>#N/A</v>
      </c>
      <c r="DL10" s="90" t="str">
        <f t="shared" si="64"/>
        <v>#N/A</v>
      </c>
      <c r="DM10" s="91" t="str">
        <f t="shared" si="64"/>
        <v>#N/A</v>
      </c>
      <c r="DN10" s="92" t="str">
        <f t="shared" si="64"/>
        <v>#N/A</v>
      </c>
      <c r="DO10" s="87">
        <f t="shared" si="64"/>
        <v>0</v>
      </c>
      <c r="DP10" s="88" t="str">
        <f t="shared" si="64"/>
        <v>#N/A</v>
      </c>
      <c r="DQ10" s="89" t="str">
        <f t="shared" si="64"/>
        <v>#N/A</v>
      </c>
      <c r="DR10" s="90" t="str">
        <f t="shared" si="64"/>
        <v>#N/A</v>
      </c>
      <c r="DS10" s="91" t="str">
        <f t="shared" si="64"/>
        <v>#N/A</v>
      </c>
      <c r="DT10" s="92" t="str">
        <f t="shared" si="64"/>
        <v>#N/A</v>
      </c>
    </row>
    <row r="11" ht="15.75" customHeight="1">
      <c r="A11" s="12" t="str">
        <f>Menus!R2</f>
        <v/>
      </c>
      <c r="B11" s="32">
        <f t="shared" ref="B11:C11" si="65">SUMIF($H$2:DT$2,$H$2,H11:DT11)</f>
        <v>0</v>
      </c>
      <c r="C11" s="32">
        <f t="shared" si="65"/>
        <v>0</v>
      </c>
      <c r="D11" s="32">
        <f t="shared" ref="D11:D29" si="67">IFERROR(B11-C11,"")</f>
        <v>0</v>
      </c>
      <c r="E11" s="93" t="str">
        <f t="shared" ref="E11:E29" si="68">IFERROR(INDEX(INDIRECT($B$1),MATCH($A11,INDIRECT($C$1),0),MATCH(E$1, INDIRECT($D$1),0)),"")
</f>
        <v/>
      </c>
      <c r="F11" s="94" t="str">
        <f t="shared" ref="F11:F29" si="69">IFERROR(INDEX(INDIRECT($B$3),MATCH($A11,INDIRECT($C$3),0),MATCH(E$1, INDIRECT($D$3),0)),"")
</f>
        <v/>
      </c>
      <c r="G11" s="95">
        <f t="shared" ref="G11:G29" si="70">SUMIF($H$2:DT$2,$H$2,M11:DT11)</f>
        <v>0</v>
      </c>
      <c r="H11" s="96" t="str">
        <f t="shared" ref="H11:H39" si="71">IFERROR(INDEX(INDIRECT($B$1),MATCH($A11,INDIRECT($C$1),0),MATCH(H$1, INDIRECT($D$1),0)),"")
</f>
        <v/>
      </c>
      <c r="I11" s="97" t="str">
        <f t="shared" ref="I11:I39" si="72">IFERROR(INDEX(INDIRECT($B$3),MATCH($A11,INDIRECT($C$3),0),MATCH(H$1, INDIRECT($D$3),0)),"")
</f>
        <v/>
      </c>
      <c r="J11" s="98">
        <f t="shared" ref="J11:J29" si="73">IFERROR(H11-I11,"")</f>
        <v>0</v>
      </c>
      <c r="K11" s="99" t="str">
        <f t="shared" ref="K11:K29" si="74">IFERROR(INDEX(INDIRECT($B$1),MATCH($A11,INDIRECT($C$1),0),MATCH(K$1, INDIRECT($D$1),0)),"")
</f>
        <v/>
      </c>
      <c r="L11" s="100" t="str">
        <f t="shared" ref="L11:L29" si="75">IFERROR(INDEX(INDIRECT($B$3),MATCH($A11,INDIRECT($C$3),0),MATCH(K$1, INDIRECT($D$3),0)),"")
</f>
        <v/>
      </c>
      <c r="M11" s="101">
        <f t="shared" ref="M11:M29" si="76">IFERROR(K11-L11,"")</f>
        <v>0</v>
      </c>
      <c r="N11" s="102" t="str">
        <f t="shared" ref="N11:N29" si="77">IFERROR(INDEX(INDIRECT($B$1),MATCH($A11,INDIRECT($C$1),0),MATCH(N$1, INDIRECT($D$1),0)),"")
</f>
        <v/>
      </c>
      <c r="O11" s="103" t="str">
        <f t="shared" ref="O11:O29" si="78">IFERROR(INDEX(INDIRECT($B$3),MATCH($A11,INDIRECT($C$3),0),MATCH(N$1, INDIRECT($D$3),0)),"")
</f>
        <v/>
      </c>
      <c r="P11" s="104">
        <f t="shared" ref="P11:P29" si="79">IFERROR(N11-O11,"")</f>
        <v>0</v>
      </c>
      <c r="Q11" s="99" t="str">
        <f t="shared" ref="Q11:Q29" si="80">IFERROR(INDEX(INDIRECT($B$1),MATCH($A11,INDIRECT($C$1),0),MATCH(Q$1, INDIRECT($D$1),0)),"")
</f>
        <v/>
      </c>
      <c r="R11" s="100" t="str">
        <f t="shared" ref="R11:R29" si="81">IFERROR(INDEX(INDIRECT($B$3),MATCH($A11,INDIRECT($C$3),0),MATCH(Q$1, INDIRECT($D$3),0)),"")
</f>
        <v/>
      </c>
      <c r="S11" s="101">
        <f t="shared" ref="S11:S29" si="82">IFERROR(Q11-R11,"")</f>
        <v>0</v>
      </c>
      <c r="T11" s="102" t="str">
        <f t="shared" ref="T11:T29" si="83">IFERROR(INDEX(INDIRECT($B$1),MATCH($A11,INDIRECT($C$1),0),MATCH(T$1, INDIRECT($D$1),0)),"")
</f>
        <v/>
      </c>
      <c r="U11" s="103" t="str">
        <f t="shared" ref="U11:U29" si="84">IFERROR(INDEX(INDIRECT($B$3),MATCH($A11,INDIRECT($C$3),0),MATCH(T$1, INDIRECT($D$3),0)),"")
</f>
        <v/>
      </c>
      <c r="V11" s="104">
        <f t="shared" ref="V11:V29" si="85">IFERROR(T11-U11,"")</f>
        <v>0</v>
      </c>
      <c r="W11" s="99" t="str">
        <f t="shared" ref="W11:W29" si="86">IFERROR(INDEX(INDIRECT($B$1),MATCH($A11,INDIRECT($C$1),0),MATCH(W$1, INDIRECT($D$1),0)),"")
</f>
        <v/>
      </c>
      <c r="X11" s="100" t="str">
        <f t="shared" ref="X11:X29" si="87">IFERROR(INDEX(INDIRECT($B$3),MATCH($A11,INDIRECT($C$3),0),MATCH(W$1, INDIRECT($D$3),0)),"")
</f>
        <v/>
      </c>
      <c r="Y11" s="101">
        <f t="shared" ref="Y11:Y29" si="88">IFERROR(W11-X11,"")</f>
        <v>0</v>
      </c>
      <c r="Z11" s="102" t="str">
        <f t="shared" ref="Z11:Z29" si="89">IFERROR(INDEX(INDIRECT($B$1),MATCH($A11,INDIRECT($C$1),0),MATCH(Z$1, INDIRECT($D$1),0)),"")
</f>
        <v/>
      </c>
      <c r="AA11" s="103" t="str">
        <f t="shared" ref="AA11:AA29" si="90">IFERROR(INDEX(INDIRECT($B$3),MATCH($A11,INDIRECT($C$3),0),MATCH(Z$1, INDIRECT($D$3),0)),"")
</f>
        <v/>
      </c>
      <c r="AB11" s="104">
        <f t="shared" ref="AB11:AB29" si="91">IFERROR(Z11-AA11,"")</f>
        <v>0</v>
      </c>
      <c r="AC11" s="99" t="str">
        <f t="shared" ref="AC11:AC29" si="92">IFERROR(INDEX(INDIRECT($B$1),MATCH($A11,INDIRECT($C$1),0),MATCH(AC$1, INDIRECT($D$1),0)),"")
</f>
        <v/>
      </c>
      <c r="AD11" s="100" t="str">
        <f t="shared" ref="AD11:AD29" si="93">IFERROR(INDEX(INDIRECT($B$3),MATCH($A11,INDIRECT($C$3),0),MATCH(AC$1, INDIRECT($D$3),0)),"")
</f>
        <v/>
      </c>
      <c r="AE11" s="101">
        <f t="shared" ref="AE11:AE29" si="94">IFERROR(AC11-AD11,"")</f>
        <v>0</v>
      </c>
      <c r="AF11" s="102" t="str">
        <f t="shared" ref="AF11:AF29" si="95">IFERROR(INDEX(INDIRECT($B$1),MATCH($A11,INDIRECT($C$1),0),MATCH(AF$1, INDIRECT($D$1),0)),"")
</f>
        <v/>
      </c>
      <c r="AG11" s="103" t="str">
        <f t="shared" ref="AG11:AG29" si="96">IFERROR(INDEX(INDIRECT($B$3),MATCH($A11,INDIRECT($C$3),0),MATCH(AF$1, INDIRECT($D$3),0)),"")
</f>
        <v/>
      </c>
      <c r="AH11" s="104">
        <f t="shared" ref="AH11:AH29" si="97">IFERROR(AF11-AG11,"")</f>
        <v>0</v>
      </c>
      <c r="AI11" s="99" t="str">
        <f t="shared" ref="AI11:AI29" si="98">IFERROR(INDEX(INDIRECT($B$1),MATCH($A11,INDIRECT($C$1),0),MATCH(AI$1, INDIRECT($D$1),0)),"")
</f>
        <v/>
      </c>
      <c r="AJ11" s="100" t="str">
        <f t="shared" ref="AJ11:AJ29" si="99">IFERROR(INDEX(INDIRECT($B$3),MATCH($A11,INDIRECT($C$3),0),MATCH(AI$1, INDIRECT($D$3),0)),"")
</f>
        <v/>
      </c>
      <c r="AK11" s="101">
        <f t="shared" ref="AK11:AK29" si="100">IFERROR(AI11-AJ11,"")</f>
        <v>0</v>
      </c>
      <c r="AL11" s="102" t="str">
        <f t="shared" ref="AL11:AL29" si="101">IFERROR(INDEX(INDIRECT($B$1),MATCH($A11,INDIRECT($C$1),0),MATCH(AL$1, INDIRECT($D$1),0)),"")
</f>
        <v/>
      </c>
      <c r="AM11" s="103" t="str">
        <f t="shared" ref="AM11:AM29" si="102">IFERROR(INDEX(INDIRECT($B$3),MATCH($A11,INDIRECT($C$3),0),MATCH(AL$1, INDIRECT($D$3),0)),"")
</f>
        <v/>
      </c>
      <c r="AN11" s="104">
        <f t="shared" ref="AN11:AN29" si="103">IFERROR(AL11-AM11,"")</f>
        <v>0</v>
      </c>
      <c r="AO11" s="99" t="str">
        <f t="shared" ref="AO11:AO29" si="104">IFERROR(INDEX(INDIRECT($B$1),MATCH($A11,INDIRECT($C$1),0),MATCH(AO$1, INDIRECT($D$1),0)),"")
</f>
        <v/>
      </c>
      <c r="AP11" s="100" t="str">
        <f t="shared" ref="AP11:AP29" si="105">IFERROR(INDEX(INDIRECT($B$3),MATCH($A11,INDIRECT($C$3),0),MATCH(AO$1, INDIRECT($D$3),0)),"")
</f>
        <v/>
      </c>
      <c r="AQ11" s="101">
        <f t="shared" ref="AQ11:AQ29" si="106">IFERROR(AO11-AP11,"")</f>
        <v>0</v>
      </c>
      <c r="AR11" s="102" t="str">
        <f t="shared" ref="AR11:AR29" si="107">IFERROR(INDEX(INDIRECT($B$1),MATCH($A11,INDIRECT($C$1),0),MATCH(AR$1, INDIRECT($D$1),0)),"")
</f>
        <v/>
      </c>
      <c r="AS11" s="103" t="str">
        <f t="shared" ref="AS11:AS29" si="108">IFERROR(INDEX(INDIRECT($B$3),MATCH($A11,INDIRECT($C$3),0),MATCH(AR$1, INDIRECT($D$3),0)),"")
</f>
        <v/>
      </c>
      <c r="AT11" s="104">
        <f t="shared" ref="AT11:AT29" si="109">IFERROR(AR11-AS11,"")</f>
        <v>0</v>
      </c>
      <c r="AU11" s="99" t="str">
        <f t="shared" ref="AU11:AU29" si="110">IFERROR(INDEX(INDIRECT($B$1),MATCH($A11,INDIRECT($C$1),0),MATCH(AU$1, INDIRECT($D$1),0)),"")
</f>
        <v/>
      </c>
      <c r="AV11" s="100" t="str">
        <f t="shared" ref="AV11:AV29" si="111">IFERROR(INDEX(INDIRECT($B$3),MATCH($A11,INDIRECT($C$3),0),MATCH(AU$1, INDIRECT($D$3),0)),"")
</f>
        <v/>
      </c>
      <c r="AW11" s="101">
        <f t="shared" ref="AW11:AW29" si="112">IFERROR(AU11-AV11,"")</f>
        <v>0</v>
      </c>
      <c r="AX11" s="102" t="str">
        <f t="shared" ref="AX11:AX29" si="113">IFERROR(INDEX(INDIRECT($B$1),MATCH($A11,INDIRECT($C$1),0),MATCH(AX$1, INDIRECT($D$1),0)),"")
</f>
        <v/>
      </c>
      <c r="AY11" s="103" t="str">
        <f t="shared" ref="AY11:AY29" si="114">IFERROR(INDEX(INDIRECT($B$3),MATCH($A11,INDIRECT($C$3),0),MATCH(AX$1, INDIRECT($D$3),0)),"")
</f>
        <v/>
      </c>
      <c r="AZ11" s="104">
        <f t="shared" ref="AZ11:AZ29" si="115">IFERROR(AX11-AY11,"")</f>
        <v>0</v>
      </c>
      <c r="BA11" s="99" t="str">
        <f t="shared" ref="BA11:BA29" si="116">IFERROR(INDEX(INDIRECT($B$1),MATCH($A11,INDIRECT($C$1),0),MATCH(BA$1, INDIRECT($D$1),0)),"")
</f>
        <v/>
      </c>
      <c r="BB11" s="100" t="str">
        <f t="shared" ref="BB11:BB29" si="117">IFERROR(INDEX(INDIRECT($B$3),MATCH($A11,INDIRECT($C$3),0),MATCH(BA$1, INDIRECT($D$3),0)),"")
</f>
        <v/>
      </c>
      <c r="BC11" s="101">
        <f t="shared" ref="BC11:BC29" si="118">IFERROR(BA11-BB11,"")</f>
        <v>0</v>
      </c>
      <c r="BD11" s="102" t="str">
        <f t="shared" ref="BD11:BD29" si="119">IFERROR(INDEX(INDIRECT($B$1),MATCH($A11,INDIRECT($C$1),0),MATCH(BD$1, INDIRECT($D$1),0)),"")
</f>
        <v/>
      </c>
      <c r="BE11" s="103" t="str">
        <f t="shared" ref="BE11:BE29" si="120">IFERROR(INDEX(INDIRECT($B$3),MATCH($A11,INDIRECT($C$3),0),MATCH(BD$1, INDIRECT($D$3),0)),"")
</f>
        <v/>
      </c>
      <c r="BF11" s="104">
        <f t="shared" ref="BF11:BF29" si="121">IFERROR(BD11-BE11,"")</f>
        <v>0</v>
      </c>
      <c r="BG11" s="99" t="str">
        <f t="shared" ref="BG11:BG29" si="122">IFERROR(INDEX(INDIRECT($B$1),MATCH($A11,INDIRECT($C$1),0),MATCH(BG$1, INDIRECT($D$1),0)),"")
</f>
        <v/>
      </c>
      <c r="BH11" s="100" t="str">
        <f t="shared" ref="BH11:BH29" si="123">IFERROR(INDEX(INDIRECT($B$3),MATCH($A11,INDIRECT($C$3),0),MATCH(BG$1, INDIRECT($D$3),0)),"")
</f>
        <v/>
      </c>
      <c r="BI11" s="101">
        <f t="shared" ref="BI11:BI29" si="124">IFERROR(BG11-BH11,"")</f>
        <v>0</v>
      </c>
      <c r="BJ11" s="102" t="str">
        <f t="shared" ref="BJ11:BJ29" si="125">IFERROR(INDEX(INDIRECT($B$1),MATCH($A11,INDIRECT($C$1),0),MATCH(BJ$1, INDIRECT($D$1),0)),"")
</f>
        <v/>
      </c>
      <c r="BK11" s="103" t="str">
        <f t="shared" ref="BK11:BK29" si="126">IFERROR(INDEX(INDIRECT($B$3),MATCH($A11,INDIRECT($C$3),0),MATCH(BJ$1, INDIRECT($D$3),0)),"")
</f>
        <v/>
      </c>
      <c r="BL11" s="104">
        <f t="shared" ref="BL11:BL29" si="127">IFERROR(BJ11-BK11,"")</f>
        <v>0</v>
      </c>
      <c r="BM11" s="99" t="str">
        <f t="shared" ref="BM11:BM29" si="128">IFERROR(INDEX(INDIRECT($B$1),MATCH($A11,INDIRECT($C$1),0),MATCH(BM$1, INDIRECT($D$1),0)),"")
</f>
        <v/>
      </c>
      <c r="BN11" s="100" t="str">
        <f t="shared" ref="BN11:BN29" si="129">IFERROR(INDEX(INDIRECT($B$3),MATCH($A11,INDIRECT($C$3),0),MATCH(BM$1, INDIRECT($D$3),0)),"")
</f>
        <v/>
      </c>
      <c r="BO11" s="101">
        <f t="shared" ref="BO11:BO29" si="130">IFERROR(BM11-BN11,"")</f>
        <v>0</v>
      </c>
      <c r="BP11" s="102" t="str">
        <f t="shared" ref="BP11:BP29" si="131">IFERROR(INDEX(INDIRECT($B$1),MATCH($A11,INDIRECT($C$1),0),MATCH(BP$1, INDIRECT($D$1),0)),"")
</f>
        <v/>
      </c>
      <c r="BQ11" s="103" t="str">
        <f t="shared" ref="BQ11:BQ29" si="132">IFERROR(INDEX(INDIRECT($B$3),MATCH($A11,INDIRECT($C$3),0),MATCH(BP$1, INDIRECT($D$3),0)),"")
</f>
        <v/>
      </c>
      <c r="BR11" s="104">
        <f t="shared" ref="BR11:BR29" si="133">IFERROR(BP11-BQ11,"")</f>
        <v>0</v>
      </c>
      <c r="BS11" s="99" t="str">
        <f t="shared" ref="BS11:BS29" si="134">IFERROR(INDEX(INDIRECT($B$1),MATCH($A11,INDIRECT($C$1),0),MATCH(BS$1, INDIRECT($D$1),0)),"")
</f>
        <v/>
      </c>
      <c r="BT11" s="100" t="str">
        <f t="shared" ref="BT11:BT29" si="135">IFERROR(INDEX(INDIRECT($B$3),MATCH($A11,INDIRECT($C$3),0),MATCH(BS$1, INDIRECT($D$3),0)),"")
</f>
        <v/>
      </c>
      <c r="BU11" s="101">
        <f t="shared" ref="BU11:BU29" si="136">IFERROR(BS11-BT11,"")</f>
        <v>0</v>
      </c>
      <c r="BV11" s="102" t="str">
        <f t="shared" ref="BV11:BV29" si="137">IFERROR(INDEX(INDIRECT($B$1),MATCH($A11,INDIRECT($C$1),0),MATCH(BV$1, INDIRECT($D$1),0)),"")
</f>
        <v/>
      </c>
      <c r="BW11" s="103" t="str">
        <f t="shared" ref="BW11:BW29" si="138">IFERROR(INDEX(INDIRECT($B$3),MATCH($A11,INDIRECT($C$3),0),MATCH(BV$1, INDIRECT($D$3),0)),"")
</f>
        <v/>
      </c>
      <c r="BX11" s="104">
        <f t="shared" ref="BX11:BX29" si="139">IFERROR(BV11-BW11,"")</f>
        <v>0</v>
      </c>
      <c r="BY11" s="99" t="str">
        <f t="shared" ref="BY11:BY29" si="140">IFERROR(INDEX(INDIRECT($B$1),MATCH($A11,INDIRECT($C$1),0),MATCH(BY$1, INDIRECT($D$1),0)),"")
</f>
        <v/>
      </c>
      <c r="BZ11" s="100" t="str">
        <f t="shared" ref="BZ11:BZ29" si="141">IFERROR(INDEX(INDIRECT($B$3),MATCH($A11,INDIRECT($C$3),0),MATCH(BY$1, INDIRECT($D$3),0)),"")
</f>
        <v/>
      </c>
      <c r="CA11" s="101">
        <f t="shared" ref="CA11:CA29" si="142">IFERROR(BY11-BZ11,"")</f>
        <v>0</v>
      </c>
      <c r="CB11" s="102" t="str">
        <f t="shared" ref="CB11:CB29" si="143">IFERROR(INDEX(INDIRECT($B$1),MATCH($A11,INDIRECT($C$1),0),MATCH(CB$1, INDIRECT($D$1),0)),"")
</f>
        <v/>
      </c>
      <c r="CC11" s="103" t="str">
        <f t="shared" ref="CC11:CC29" si="144">IFERROR(INDEX(INDIRECT($B$3),MATCH($A11,INDIRECT($C$3),0),MATCH(CB$1, INDIRECT($D$3),0)),"")
</f>
        <v/>
      </c>
      <c r="CD11" s="104">
        <f t="shared" ref="CD11:CD29" si="145">IFERROR(CB11-CC11,"")</f>
        <v>0</v>
      </c>
      <c r="CE11" s="99" t="str">
        <f t="shared" ref="CE11:CE29" si="146">IFERROR(INDEX(INDIRECT($B$1),MATCH($A11,INDIRECT($C$1),0),MATCH(CE$1, INDIRECT($D$1),0)),"")
</f>
        <v/>
      </c>
      <c r="CF11" s="100" t="str">
        <f t="shared" ref="CF11:CF29" si="147">IFERROR(INDEX(INDIRECT($B$3),MATCH($A11,INDIRECT($C$3),0),MATCH(CE$1, INDIRECT($D$3),0)),"")
</f>
        <v/>
      </c>
      <c r="CG11" s="101">
        <f t="shared" ref="CG11:CG29" si="148">IFERROR(CE11-CF11,"")</f>
        <v>0</v>
      </c>
      <c r="CH11" s="102" t="str">
        <f t="shared" ref="CH11:CH29" si="149">IFERROR(INDEX(INDIRECT($B$1),MATCH($A11,INDIRECT($C$1),0),MATCH(CH$1, INDIRECT($D$1),0)),"")
</f>
        <v/>
      </c>
      <c r="CI11" s="103" t="str">
        <f t="shared" ref="CI11:CI29" si="150">IFERROR(INDEX(INDIRECT($B$3),MATCH($A11,INDIRECT($C$3),0),MATCH(CH$1, INDIRECT($D$3),0)),"")
</f>
        <v/>
      </c>
      <c r="CJ11" s="104">
        <f t="shared" ref="CJ11:CJ29" si="151">IFERROR(CH11-CI11,"")</f>
        <v>0</v>
      </c>
      <c r="CK11" s="99" t="str">
        <f t="shared" ref="CK11:CK29" si="152">IFERROR(INDEX(INDIRECT($B$1),MATCH($A11,INDIRECT($C$1),0),MATCH(CK$1, INDIRECT($D$1),0)),"")
</f>
        <v/>
      </c>
      <c r="CL11" s="100" t="str">
        <f t="shared" ref="CL11:CL29" si="153">IFERROR(INDEX(INDIRECT($B$3),MATCH($A11,INDIRECT($C$3),0),MATCH(CK$1, INDIRECT($D$3),0)),"")
</f>
        <v/>
      </c>
      <c r="CM11" s="101">
        <f t="shared" ref="CM11:CM29" si="154">IFERROR(CK11-CL11,"")</f>
        <v>0</v>
      </c>
      <c r="CN11" s="102" t="str">
        <f t="shared" ref="CN11:CN29" si="155">IFERROR(INDEX(INDIRECT($B$1),MATCH($A11,INDIRECT($C$1),0),MATCH(CN$1, INDIRECT($D$1),0)),"")
</f>
        <v/>
      </c>
      <c r="CO11" s="103" t="str">
        <f t="shared" ref="CO11:CO29" si="156">IFERROR(INDEX(INDIRECT($B$3),MATCH($A11,INDIRECT($C$3),0),MATCH(CN$1, INDIRECT($D$3),0)),"")
</f>
        <v/>
      </c>
      <c r="CP11" s="104">
        <f t="shared" ref="CP11:CP29" si="157">IFERROR(CN11-CO11,"")</f>
        <v>0</v>
      </c>
      <c r="CQ11" s="99" t="str">
        <f t="shared" ref="CQ11:CQ29" si="158">IFERROR(INDEX(INDIRECT($B$1),MATCH($A11,INDIRECT($C$1),0),MATCH(CQ$1, INDIRECT($D$1),0)),"")
</f>
        <v/>
      </c>
      <c r="CR11" s="100" t="str">
        <f t="shared" ref="CR11:CR29" si="159">IFERROR(INDEX(INDIRECT($B$3),MATCH($A11,INDIRECT($C$3),0),MATCH(CQ$1, INDIRECT($D$3),0)),"")
</f>
        <v/>
      </c>
      <c r="CS11" s="101">
        <f t="shared" ref="CS11:CS29" si="160">IFERROR(CQ11-CR11,"")</f>
        <v>0</v>
      </c>
      <c r="CT11" s="102" t="str">
        <f t="shared" ref="CT11:CT29" si="161">IFERROR(INDEX(INDIRECT($B$1),MATCH($A11,INDIRECT($C$1),0),MATCH(CT$1, INDIRECT($D$1),0)),"")
</f>
        <v/>
      </c>
      <c r="CU11" s="103" t="str">
        <f t="shared" ref="CU11:CU29" si="162">IFERROR(INDEX(INDIRECT($B$3),MATCH($A11,INDIRECT($C$3),0),MATCH(CT$1, INDIRECT($D$3),0)),"")
</f>
        <v/>
      </c>
      <c r="CV11" s="104">
        <f t="shared" ref="CV11:CV29" si="163">IFERROR(CT11-CU11,"")</f>
        <v>0</v>
      </c>
      <c r="CW11" s="99" t="str">
        <f t="shared" ref="CW11:CW29" si="164">IFERROR(INDEX(INDIRECT($B$1),MATCH($A11,INDIRECT($C$1),0),MATCH(CW$1, INDIRECT($D$1),0)),"")
</f>
        <v/>
      </c>
      <c r="CX11" s="100" t="str">
        <f t="shared" ref="CX11:CX29" si="165">IFERROR(INDEX(INDIRECT($B$3),MATCH($A11,INDIRECT($C$3),0),MATCH(CW$1, INDIRECT($D$3),0)),"")
</f>
        <v/>
      </c>
      <c r="CY11" s="101">
        <f t="shared" ref="CY11:CY29" si="166">IFERROR(CW11-CX11,"")</f>
        <v>0</v>
      </c>
      <c r="CZ11" s="102" t="str">
        <f t="shared" ref="CZ11:CZ29" si="167">IFERROR(INDEX(INDIRECT($B$1),MATCH($A11,INDIRECT($C$1),0),MATCH(CZ$1, INDIRECT($D$1),0)),"")
</f>
        <v/>
      </c>
      <c r="DA11" s="103" t="str">
        <f t="shared" ref="DA11:DA29" si="168">IFERROR(INDEX(INDIRECT($B$3),MATCH($A11,INDIRECT($C$3),0),MATCH(CZ$1, INDIRECT($D$3),0)),"")
</f>
        <v/>
      </c>
      <c r="DB11" s="104">
        <f t="shared" ref="DB11:DB29" si="169">IFERROR(CZ11-DA11,"")</f>
        <v>0</v>
      </c>
      <c r="DC11" s="99" t="str">
        <f t="shared" ref="DC11:DC29" si="170">IFERROR(INDEX(INDIRECT($B$1),MATCH($A11,INDIRECT($C$1),0),MATCH(DC$1, INDIRECT($D$1),0)),"")
</f>
        <v/>
      </c>
      <c r="DD11" s="100" t="str">
        <f t="shared" ref="DD11:DD29" si="171">IFERROR(INDEX(INDIRECT($B$3),MATCH($A11,INDIRECT($C$3),0),MATCH(DC$1, INDIRECT($D$3),0)),"")
</f>
        <v/>
      </c>
      <c r="DE11" s="101">
        <f t="shared" ref="DE11:DE29" si="172">IFERROR(DC11-DD11,"")</f>
        <v>0</v>
      </c>
      <c r="DF11" s="102" t="str">
        <f t="shared" ref="DF11:DF29" si="173">IFERROR(INDEX(INDIRECT($B$1),MATCH($A11,INDIRECT($C$1),0),MATCH(DF$1, INDIRECT($D$1),0)),"")
</f>
        <v/>
      </c>
      <c r="DG11" s="103" t="str">
        <f t="shared" ref="DG11:DG29" si="174">IFERROR(INDEX(INDIRECT($B$3),MATCH($A11,INDIRECT($C$3),0),MATCH(DF$1, INDIRECT($D$3),0)),"")
</f>
        <v/>
      </c>
      <c r="DH11" s="104">
        <f t="shared" ref="DH11:DH29" si="175">IFERROR(DF11-DG11,"")</f>
        <v>0</v>
      </c>
      <c r="DI11" s="99" t="str">
        <f t="shared" ref="DI11:DI29" si="176">IFERROR(INDEX(INDIRECT($B$1),MATCH($A11,INDIRECT($C$1),0),MATCH(DI$1, INDIRECT($D$1),0)),"")
</f>
        <v/>
      </c>
      <c r="DJ11" s="100" t="str">
        <f t="shared" ref="DJ11:DJ29" si="177">IFERROR(INDEX(INDIRECT($B$3),MATCH($A11,INDIRECT($C$3),0),MATCH(DI$1, INDIRECT($D$3),0)),"")
</f>
        <v/>
      </c>
      <c r="DK11" s="101">
        <f t="shared" ref="DK11:DK29" si="178">IFERROR(DI11-DJ11,"")</f>
        <v>0</v>
      </c>
      <c r="DL11" s="102" t="str">
        <f t="shared" ref="DL11:DL29" si="179">IFERROR(INDEX(INDIRECT($B$1),MATCH($A11,INDIRECT($C$1),0),MATCH(DL$1, INDIRECT($D$1),0)),"")
</f>
        <v/>
      </c>
      <c r="DM11" s="103" t="str">
        <f t="shared" ref="DM11:DM29" si="180">IFERROR(INDEX(INDIRECT($B$3),MATCH($A11,INDIRECT($C$3),0),MATCH(DL$1, INDIRECT($D$3),0)),"")
</f>
        <v/>
      </c>
      <c r="DN11" s="104">
        <f t="shared" ref="DN11:DN29" si="181">IFERROR(DL11-DM11,"")</f>
        <v>0</v>
      </c>
      <c r="DO11" s="99" t="str">
        <f t="shared" ref="DO11:DO29" si="182">IFERROR(INDEX(INDIRECT($B$1),MATCH($A11,INDIRECT($C$1),0),MATCH(DO$1, INDIRECT($D$1),0)),"")
</f>
        <v/>
      </c>
      <c r="DP11" s="100" t="str">
        <f t="shared" ref="DP11:DP29" si="183">IFERROR(INDEX(INDIRECT($B$3),MATCH($A11,INDIRECT($C$3),0),MATCH(DO$1, INDIRECT($D$3),0)),"")
</f>
        <v/>
      </c>
      <c r="DQ11" s="101">
        <f t="shared" ref="DQ11:DQ29" si="184">IFERROR(DO11-DP11,"")</f>
        <v>0</v>
      </c>
      <c r="DR11" s="102" t="str">
        <f t="shared" ref="DR11:DR29" si="185">IFERROR(INDEX(INDIRECT($B$1),MATCH($A11,INDIRECT($C$1),0),MATCH(DR$1, INDIRECT($D$1),0)),"")
</f>
        <v/>
      </c>
      <c r="DS11" s="103" t="str">
        <f t="shared" ref="DS11:DS29" si="186">IFERROR(INDEX(INDIRECT($B$3),MATCH($A11,INDIRECT($C$3),0),MATCH(DR$1, INDIRECT($D$3),0)),"")
</f>
        <v/>
      </c>
      <c r="DT11" s="104">
        <f t="shared" ref="DT11:DT29" si="187">IFERROR(DR11-DS11,"")</f>
        <v>0</v>
      </c>
    </row>
    <row r="12" ht="15.75" customHeight="1">
      <c r="A12" s="12" t="str">
        <f>Menus!R3</f>
        <v/>
      </c>
      <c r="B12" s="32">
        <f t="shared" ref="B12:C12" si="66">SUMIF($H$2:DT$2,$H$2,H12:DT12)</f>
        <v>0</v>
      </c>
      <c r="C12" s="32">
        <f t="shared" si="66"/>
        <v>0</v>
      </c>
      <c r="D12" s="32">
        <f t="shared" si="67"/>
        <v>0</v>
      </c>
      <c r="E12" s="93" t="str">
        <f t="shared" si="68"/>
        <v/>
      </c>
      <c r="F12" s="94" t="str">
        <f t="shared" si="69"/>
        <v/>
      </c>
      <c r="G12" s="95">
        <f t="shared" si="70"/>
        <v>0</v>
      </c>
      <c r="H12" s="96" t="str">
        <f t="shared" si="71"/>
        <v/>
      </c>
      <c r="I12" s="97" t="str">
        <f t="shared" si="72"/>
        <v/>
      </c>
      <c r="J12" s="98">
        <f t="shared" si="73"/>
        <v>0</v>
      </c>
      <c r="K12" s="99" t="str">
        <f t="shared" si="74"/>
        <v/>
      </c>
      <c r="L12" s="100" t="str">
        <f t="shared" si="75"/>
        <v/>
      </c>
      <c r="M12" s="101">
        <f t="shared" si="76"/>
        <v>0</v>
      </c>
      <c r="N12" s="102" t="str">
        <f t="shared" si="77"/>
        <v/>
      </c>
      <c r="O12" s="103" t="str">
        <f t="shared" si="78"/>
        <v/>
      </c>
      <c r="P12" s="104">
        <f t="shared" si="79"/>
        <v>0</v>
      </c>
      <c r="Q12" s="99" t="str">
        <f t="shared" si="80"/>
        <v/>
      </c>
      <c r="R12" s="100" t="str">
        <f t="shared" si="81"/>
        <v/>
      </c>
      <c r="S12" s="101">
        <f t="shared" si="82"/>
        <v>0</v>
      </c>
      <c r="T12" s="102" t="str">
        <f t="shared" si="83"/>
        <v/>
      </c>
      <c r="U12" s="103" t="str">
        <f t="shared" si="84"/>
        <v/>
      </c>
      <c r="V12" s="104">
        <f t="shared" si="85"/>
        <v>0</v>
      </c>
      <c r="W12" s="99" t="str">
        <f t="shared" si="86"/>
        <v/>
      </c>
      <c r="X12" s="100" t="str">
        <f t="shared" si="87"/>
        <v/>
      </c>
      <c r="Y12" s="101">
        <f t="shared" si="88"/>
        <v>0</v>
      </c>
      <c r="Z12" s="102" t="str">
        <f t="shared" si="89"/>
        <v/>
      </c>
      <c r="AA12" s="103" t="str">
        <f t="shared" si="90"/>
        <v/>
      </c>
      <c r="AB12" s="104">
        <f t="shared" si="91"/>
        <v>0</v>
      </c>
      <c r="AC12" s="99" t="str">
        <f t="shared" si="92"/>
        <v/>
      </c>
      <c r="AD12" s="100" t="str">
        <f t="shared" si="93"/>
        <v/>
      </c>
      <c r="AE12" s="101">
        <f t="shared" si="94"/>
        <v>0</v>
      </c>
      <c r="AF12" s="102" t="str">
        <f t="shared" si="95"/>
        <v/>
      </c>
      <c r="AG12" s="103" t="str">
        <f t="shared" si="96"/>
        <v/>
      </c>
      <c r="AH12" s="104">
        <f t="shared" si="97"/>
        <v>0</v>
      </c>
      <c r="AI12" s="99" t="str">
        <f t="shared" si="98"/>
        <v/>
      </c>
      <c r="AJ12" s="100" t="str">
        <f t="shared" si="99"/>
        <v/>
      </c>
      <c r="AK12" s="101">
        <f t="shared" si="100"/>
        <v>0</v>
      </c>
      <c r="AL12" s="102" t="str">
        <f t="shared" si="101"/>
        <v/>
      </c>
      <c r="AM12" s="103" t="str">
        <f t="shared" si="102"/>
        <v/>
      </c>
      <c r="AN12" s="104">
        <f t="shared" si="103"/>
        <v>0</v>
      </c>
      <c r="AO12" s="99" t="str">
        <f t="shared" si="104"/>
        <v/>
      </c>
      <c r="AP12" s="100" t="str">
        <f t="shared" si="105"/>
        <v/>
      </c>
      <c r="AQ12" s="101">
        <f t="shared" si="106"/>
        <v>0</v>
      </c>
      <c r="AR12" s="102" t="str">
        <f t="shared" si="107"/>
        <v/>
      </c>
      <c r="AS12" s="103" t="str">
        <f t="shared" si="108"/>
        <v/>
      </c>
      <c r="AT12" s="104">
        <f t="shared" si="109"/>
        <v>0</v>
      </c>
      <c r="AU12" s="99" t="str">
        <f t="shared" si="110"/>
        <v/>
      </c>
      <c r="AV12" s="100" t="str">
        <f t="shared" si="111"/>
        <v/>
      </c>
      <c r="AW12" s="101">
        <f t="shared" si="112"/>
        <v>0</v>
      </c>
      <c r="AX12" s="102" t="str">
        <f t="shared" si="113"/>
        <v/>
      </c>
      <c r="AY12" s="103" t="str">
        <f t="shared" si="114"/>
        <v/>
      </c>
      <c r="AZ12" s="104">
        <f t="shared" si="115"/>
        <v>0</v>
      </c>
      <c r="BA12" s="99" t="str">
        <f t="shared" si="116"/>
        <v/>
      </c>
      <c r="BB12" s="100" t="str">
        <f t="shared" si="117"/>
        <v/>
      </c>
      <c r="BC12" s="101">
        <f t="shared" si="118"/>
        <v>0</v>
      </c>
      <c r="BD12" s="102" t="str">
        <f t="shared" si="119"/>
        <v/>
      </c>
      <c r="BE12" s="103" t="str">
        <f t="shared" si="120"/>
        <v/>
      </c>
      <c r="BF12" s="104">
        <f t="shared" si="121"/>
        <v>0</v>
      </c>
      <c r="BG12" s="99" t="str">
        <f t="shared" si="122"/>
        <v/>
      </c>
      <c r="BH12" s="100" t="str">
        <f t="shared" si="123"/>
        <v/>
      </c>
      <c r="BI12" s="101">
        <f t="shared" si="124"/>
        <v>0</v>
      </c>
      <c r="BJ12" s="102" t="str">
        <f t="shared" si="125"/>
        <v/>
      </c>
      <c r="BK12" s="103" t="str">
        <f t="shared" si="126"/>
        <v/>
      </c>
      <c r="BL12" s="104">
        <f t="shared" si="127"/>
        <v>0</v>
      </c>
      <c r="BM12" s="99" t="str">
        <f t="shared" si="128"/>
        <v/>
      </c>
      <c r="BN12" s="100" t="str">
        <f t="shared" si="129"/>
        <v/>
      </c>
      <c r="BO12" s="101">
        <f t="shared" si="130"/>
        <v>0</v>
      </c>
      <c r="BP12" s="102" t="str">
        <f t="shared" si="131"/>
        <v/>
      </c>
      <c r="BQ12" s="103" t="str">
        <f t="shared" si="132"/>
        <v/>
      </c>
      <c r="BR12" s="104">
        <f t="shared" si="133"/>
        <v>0</v>
      </c>
      <c r="BS12" s="99" t="str">
        <f t="shared" si="134"/>
        <v/>
      </c>
      <c r="BT12" s="100" t="str">
        <f t="shared" si="135"/>
        <v/>
      </c>
      <c r="BU12" s="101">
        <f t="shared" si="136"/>
        <v>0</v>
      </c>
      <c r="BV12" s="102" t="str">
        <f t="shared" si="137"/>
        <v/>
      </c>
      <c r="BW12" s="103" t="str">
        <f t="shared" si="138"/>
        <v/>
      </c>
      <c r="BX12" s="104">
        <f t="shared" si="139"/>
        <v>0</v>
      </c>
      <c r="BY12" s="99" t="str">
        <f t="shared" si="140"/>
        <v/>
      </c>
      <c r="BZ12" s="100" t="str">
        <f t="shared" si="141"/>
        <v/>
      </c>
      <c r="CA12" s="101">
        <f t="shared" si="142"/>
        <v>0</v>
      </c>
      <c r="CB12" s="102" t="str">
        <f t="shared" si="143"/>
        <v/>
      </c>
      <c r="CC12" s="103" t="str">
        <f t="shared" si="144"/>
        <v/>
      </c>
      <c r="CD12" s="104">
        <f t="shared" si="145"/>
        <v>0</v>
      </c>
      <c r="CE12" s="99" t="str">
        <f t="shared" si="146"/>
        <v/>
      </c>
      <c r="CF12" s="100" t="str">
        <f t="shared" si="147"/>
        <v/>
      </c>
      <c r="CG12" s="101">
        <f t="shared" si="148"/>
        <v>0</v>
      </c>
      <c r="CH12" s="102" t="str">
        <f t="shared" si="149"/>
        <v/>
      </c>
      <c r="CI12" s="103" t="str">
        <f t="shared" si="150"/>
        <v/>
      </c>
      <c r="CJ12" s="104">
        <f t="shared" si="151"/>
        <v>0</v>
      </c>
      <c r="CK12" s="99" t="str">
        <f t="shared" si="152"/>
        <v/>
      </c>
      <c r="CL12" s="100" t="str">
        <f t="shared" si="153"/>
        <v/>
      </c>
      <c r="CM12" s="101">
        <f t="shared" si="154"/>
        <v>0</v>
      </c>
      <c r="CN12" s="102" t="str">
        <f t="shared" si="155"/>
        <v/>
      </c>
      <c r="CO12" s="103" t="str">
        <f t="shared" si="156"/>
        <v/>
      </c>
      <c r="CP12" s="104">
        <f t="shared" si="157"/>
        <v>0</v>
      </c>
      <c r="CQ12" s="99" t="str">
        <f t="shared" si="158"/>
        <v/>
      </c>
      <c r="CR12" s="100" t="str">
        <f t="shared" si="159"/>
        <v/>
      </c>
      <c r="CS12" s="101">
        <f t="shared" si="160"/>
        <v>0</v>
      </c>
      <c r="CT12" s="102" t="str">
        <f t="shared" si="161"/>
        <v/>
      </c>
      <c r="CU12" s="103" t="str">
        <f t="shared" si="162"/>
        <v/>
      </c>
      <c r="CV12" s="104">
        <f t="shared" si="163"/>
        <v>0</v>
      </c>
      <c r="CW12" s="99" t="str">
        <f t="shared" si="164"/>
        <v/>
      </c>
      <c r="CX12" s="100" t="str">
        <f t="shared" si="165"/>
        <v/>
      </c>
      <c r="CY12" s="101">
        <f t="shared" si="166"/>
        <v>0</v>
      </c>
      <c r="CZ12" s="102" t="str">
        <f t="shared" si="167"/>
        <v/>
      </c>
      <c r="DA12" s="103" t="str">
        <f t="shared" si="168"/>
        <v/>
      </c>
      <c r="DB12" s="104">
        <f t="shared" si="169"/>
        <v>0</v>
      </c>
      <c r="DC12" s="99" t="str">
        <f t="shared" si="170"/>
        <v/>
      </c>
      <c r="DD12" s="100" t="str">
        <f t="shared" si="171"/>
        <v/>
      </c>
      <c r="DE12" s="101">
        <f t="shared" si="172"/>
        <v>0</v>
      </c>
      <c r="DF12" s="102" t="str">
        <f t="shared" si="173"/>
        <v/>
      </c>
      <c r="DG12" s="103" t="str">
        <f t="shared" si="174"/>
        <v/>
      </c>
      <c r="DH12" s="104">
        <f t="shared" si="175"/>
        <v>0</v>
      </c>
      <c r="DI12" s="99" t="str">
        <f t="shared" si="176"/>
        <v/>
      </c>
      <c r="DJ12" s="100" t="str">
        <f t="shared" si="177"/>
        <v/>
      </c>
      <c r="DK12" s="101">
        <f t="shared" si="178"/>
        <v>0</v>
      </c>
      <c r="DL12" s="102" t="str">
        <f t="shared" si="179"/>
        <v/>
      </c>
      <c r="DM12" s="103" t="str">
        <f t="shared" si="180"/>
        <v/>
      </c>
      <c r="DN12" s="104">
        <f t="shared" si="181"/>
        <v>0</v>
      </c>
      <c r="DO12" s="99" t="str">
        <f t="shared" si="182"/>
        <v/>
      </c>
      <c r="DP12" s="100" t="str">
        <f t="shared" si="183"/>
        <v/>
      </c>
      <c r="DQ12" s="101">
        <f t="shared" si="184"/>
        <v>0</v>
      </c>
      <c r="DR12" s="102" t="str">
        <f t="shared" si="185"/>
        <v/>
      </c>
      <c r="DS12" s="103" t="str">
        <f t="shared" si="186"/>
        <v/>
      </c>
      <c r="DT12" s="104">
        <f t="shared" si="187"/>
        <v>0</v>
      </c>
    </row>
    <row r="13" ht="15.75" customHeight="1">
      <c r="A13" s="12" t="str">
        <f>Menus!R4</f>
        <v/>
      </c>
      <c r="B13" s="32">
        <f t="shared" ref="B13:C13" si="188">SUMIF($H$2:DT$2,$H$2,H13:DT13)</f>
        <v>0</v>
      </c>
      <c r="C13" s="32">
        <f t="shared" si="188"/>
        <v>0</v>
      </c>
      <c r="D13" s="32">
        <f t="shared" si="67"/>
        <v>0</v>
      </c>
      <c r="E13" s="93" t="str">
        <f t="shared" si="68"/>
        <v/>
      </c>
      <c r="F13" s="94" t="str">
        <f t="shared" si="69"/>
        <v/>
      </c>
      <c r="G13" s="95">
        <f t="shared" si="70"/>
        <v>0</v>
      </c>
      <c r="H13" s="96" t="str">
        <f t="shared" si="71"/>
        <v/>
      </c>
      <c r="I13" s="97" t="str">
        <f t="shared" si="72"/>
        <v/>
      </c>
      <c r="J13" s="98">
        <f t="shared" si="73"/>
        <v>0</v>
      </c>
      <c r="K13" s="99" t="str">
        <f t="shared" si="74"/>
        <v/>
      </c>
      <c r="L13" s="100" t="str">
        <f t="shared" si="75"/>
        <v/>
      </c>
      <c r="M13" s="101">
        <f t="shared" si="76"/>
        <v>0</v>
      </c>
      <c r="N13" s="102" t="str">
        <f t="shared" si="77"/>
        <v/>
      </c>
      <c r="O13" s="103" t="str">
        <f t="shared" si="78"/>
        <v/>
      </c>
      <c r="P13" s="104">
        <f t="shared" si="79"/>
        <v>0</v>
      </c>
      <c r="Q13" s="99" t="str">
        <f t="shared" si="80"/>
        <v/>
      </c>
      <c r="R13" s="100" t="str">
        <f t="shared" si="81"/>
        <v/>
      </c>
      <c r="S13" s="101">
        <f t="shared" si="82"/>
        <v>0</v>
      </c>
      <c r="T13" s="102" t="str">
        <f t="shared" si="83"/>
        <v/>
      </c>
      <c r="U13" s="103" t="str">
        <f t="shared" si="84"/>
        <v/>
      </c>
      <c r="V13" s="104">
        <f t="shared" si="85"/>
        <v>0</v>
      </c>
      <c r="W13" s="99" t="str">
        <f t="shared" si="86"/>
        <v/>
      </c>
      <c r="X13" s="100" t="str">
        <f t="shared" si="87"/>
        <v/>
      </c>
      <c r="Y13" s="101">
        <f t="shared" si="88"/>
        <v>0</v>
      </c>
      <c r="Z13" s="102" t="str">
        <f t="shared" si="89"/>
        <v/>
      </c>
      <c r="AA13" s="103" t="str">
        <f t="shared" si="90"/>
        <v/>
      </c>
      <c r="AB13" s="104">
        <f t="shared" si="91"/>
        <v>0</v>
      </c>
      <c r="AC13" s="99" t="str">
        <f t="shared" si="92"/>
        <v/>
      </c>
      <c r="AD13" s="100" t="str">
        <f t="shared" si="93"/>
        <v/>
      </c>
      <c r="AE13" s="101">
        <f t="shared" si="94"/>
        <v>0</v>
      </c>
      <c r="AF13" s="102" t="str">
        <f t="shared" si="95"/>
        <v/>
      </c>
      <c r="AG13" s="103" t="str">
        <f t="shared" si="96"/>
        <v/>
      </c>
      <c r="AH13" s="104">
        <f t="shared" si="97"/>
        <v>0</v>
      </c>
      <c r="AI13" s="99" t="str">
        <f t="shared" si="98"/>
        <v/>
      </c>
      <c r="AJ13" s="100" t="str">
        <f t="shared" si="99"/>
        <v/>
      </c>
      <c r="AK13" s="101">
        <f t="shared" si="100"/>
        <v>0</v>
      </c>
      <c r="AL13" s="102" t="str">
        <f t="shared" si="101"/>
        <v/>
      </c>
      <c r="AM13" s="103" t="str">
        <f t="shared" si="102"/>
        <v/>
      </c>
      <c r="AN13" s="104">
        <f t="shared" si="103"/>
        <v>0</v>
      </c>
      <c r="AO13" s="99" t="str">
        <f t="shared" si="104"/>
        <v/>
      </c>
      <c r="AP13" s="100" t="str">
        <f t="shared" si="105"/>
        <v/>
      </c>
      <c r="AQ13" s="101">
        <f t="shared" si="106"/>
        <v>0</v>
      </c>
      <c r="AR13" s="102" t="str">
        <f t="shared" si="107"/>
        <v/>
      </c>
      <c r="AS13" s="103" t="str">
        <f t="shared" si="108"/>
        <v/>
      </c>
      <c r="AT13" s="104">
        <f t="shared" si="109"/>
        <v>0</v>
      </c>
      <c r="AU13" s="99" t="str">
        <f t="shared" si="110"/>
        <v/>
      </c>
      <c r="AV13" s="100" t="str">
        <f t="shared" si="111"/>
        <v/>
      </c>
      <c r="AW13" s="101">
        <f t="shared" si="112"/>
        <v>0</v>
      </c>
      <c r="AX13" s="102" t="str">
        <f t="shared" si="113"/>
        <v/>
      </c>
      <c r="AY13" s="103" t="str">
        <f t="shared" si="114"/>
        <v/>
      </c>
      <c r="AZ13" s="104">
        <f t="shared" si="115"/>
        <v>0</v>
      </c>
      <c r="BA13" s="99" t="str">
        <f t="shared" si="116"/>
        <v/>
      </c>
      <c r="BB13" s="100" t="str">
        <f t="shared" si="117"/>
        <v/>
      </c>
      <c r="BC13" s="101">
        <f t="shared" si="118"/>
        <v>0</v>
      </c>
      <c r="BD13" s="102" t="str">
        <f t="shared" si="119"/>
        <v/>
      </c>
      <c r="BE13" s="103" t="str">
        <f t="shared" si="120"/>
        <v/>
      </c>
      <c r="BF13" s="104">
        <f t="shared" si="121"/>
        <v>0</v>
      </c>
      <c r="BG13" s="99" t="str">
        <f t="shared" si="122"/>
        <v/>
      </c>
      <c r="BH13" s="100" t="str">
        <f t="shared" si="123"/>
        <v/>
      </c>
      <c r="BI13" s="101">
        <f t="shared" si="124"/>
        <v>0</v>
      </c>
      <c r="BJ13" s="102" t="str">
        <f t="shared" si="125"/>
        <v/>
      </c>
      <c r="BK13" s="103" t="str">
        <f t="shared" si="126"/>
        <v/>
      </c>
      <c r="BL13" s="104">
        <f t="shared" si="127"/>
        <v>0</v>
      </c>
      <c r="BM13" s="99" t="str">
        <f t="shared" si="128"/>
        <v/>
      </c>
      <c r="BN13" s="100" t="str">
        <f t="shared" si="129"/>
        <v/>
      </c>
      <c r="BO13" s="101">
        <f t="shared" si="130"/>
        <v>0</v>
      </c>
      <c r="BP13" s="102" t="str">
        <f t="shared" si="131"/>
        <v/>
      </c>
      <c r="BQ13" s="103" t="str">
        <f t="shared" si="132"/>
        <v/>
      </c>
      <c r="BR13" s="104">
        <f t="shared" si="133"/>
        <v>0</v>
      </c>
      <c r="BS13" s="99" t="str">
        <f t="shared" si="134"/>
        <v/>
      </c>
      <c r="BT13" s="100" t="str">
        <f t="shared" si="135"/>
        <v/>
      </c>
      <c r="BU13" s="101">
        <f t="shared" si="136"/>
        <v>0</v>
      </c>
      <c r="BV13" s="102" t="str">
        <f t="shared" si="137"/>
        <v/>
      </c>
      <c r="BW13" s="103" t="str">
        <f t="shared" si="138"/>
        <v/>
      </c>
      <c r="BX13" s="104">
        <f t="shared" si="139"/>
        <v>0</v>
      </c>
      <c r="BY13" s="99" t="str">
        <f t="shared" si="140"/>
        <v/>
      </c>
      <c r="BZ13" s="100" t="str">
        <f t="shared" si="141"/>
        <v/>
      </c>
      <c r="CA13" s="101">
        <f t="shared" si="142"/>
        <v>0</v>
      </c>
      <c r="CB13" s="102" t="str">
        <f t="shared" si="143"/>
        <v/>
      </c>
      <c r="CC13" s="103" t="str">
        <f t="shared" si="144"/>
        <v/>
      </c>
      <c r="CD13" s="104">
        <f t="shared" si="145"/>
        <v>0</v>
      </c>
      <c r="CE13" s="99" t="str">
        <f t="shared" si="146"/>
        <v/>
      </c>
      <c r="CF13" s="100" t="str">
        <f t="shared" si="147"/>
        <v/>
      </c>
      <c r="CG13" s="101">
        <f t="shared" si="148"/>
        <v>0</v>
      </c>
      <c r="CH13" s="102" t="str">
        <f t="shared" si="149"/>
        <v/>
      </c>
      <c r="CI13" s="103" t="str">
        <f t="shared" si="150"/>
        <v/>
      </c>
      <c r="CJ13" s="104">
        <f t="shared" si="151"/>
        <v>0</v>
      </c>
      <c r="CK13" s="99" t="str">
        <f t="shared" si="152"/>
        <v/>
      </c>
      <c r="CL13" s="100" t="str">
        <f t="shared" si="153"/>
        <v/>
      </c>
      <c r="CM13" s="101">
        <f t="shared" si="154"/>
        <v>0</v>
      </c>
      <c r="CN13" s="102" t="str">
        <f t="shared" si="155"/>
        <v/>
      </c>
      <c r="CO13" s="103" t="str">
        <f t="shared" si="156"/>
        <v/>
      </c>
      <c r="CP13" s="104">
        <f t="shared" si="157"/>
        <v>0</v>
      </c>
      <c r="CQ13" s="99" t="str">
        <f t="shared" si="158"/>
        <v/>
      </c>
      <c r="CR13" s="100" t="str">
        <f t="shared" si="159"/>
        <v/>
      </c>
      <c r="CS13" s="101">
        <f t="shared" si="160"/>
        <v>0</v>
      </c>
      <c r="CT13" s="102" t="str">
        <f t="shared" si="161"/>
        <v/>
      </c>
      <c r="CU13" s="103" t="str">
        <f t="shared" si="162"/>
        <v/>
      </c>
      <c r="CV13" s="104">
        <f t="shared" si="163"/>
        <v>0</v>
      </c>
      <c r="CW13" s="99" t="str">
        <f t="shared" si="164"/>
        <v/>
      </c>
      <c r="CX13" s="100" t="str">
        <f t="shared" si="165"/>
        <v/>
      </c>
      <c r="CY13" s="101">
        <f t="shared" si="166"/>
        <v>0</v>
      </c>
      <c r="CZ13" s="102" t="str">
        <f t="shared" si="167"/>
        <v/>
      </c>
      <c r="DA13" s="103" t="str">
        <f t="shared" si="168"/>
        <v/>
      </c>
      <c r="DB13" s="104">
        <f t="shared" si="169"/>
        <v>0</v>
      </c>
      <c r="DC13" s="99" t="str">
        <f t="shared" si="170"/>
        <v/>
      </c>
      <c r="DD13" s="100" t="str">
        <f t="shared" si="171"/>
        <v/>
      </c>
      <c r="DE13" s="101">
        <f t="shared" si="172"/>
        <v>0</v>
      </c>
      <c r="DF13" s="102" t="str">
        <f t="shared" si="173"/>
        <v/>
      </c>
      <c r="DG13" s="103" t="str">
        <f t="shared" si="174"/>
        <v/>
      </c>
      <c r="DH13" s="104">
        <f t="shared" si="175"/>
        <v>0</v>
      </c>
      <c r="DI13" s="99" t="str">
        <f t="shared" si="176"/>
        <v/>
      </c>
      <c r="DJ13" s="100" t="str">
        <f t="shared" si="177"/>
        <v/>
      </c>
      <c r="DK13" s="101">
        <f t="shared" si="178"/>
        <v>0</v>
      </c>
      <c r="DL13" s="102" t="str">
        <f t="shared" si="179"/>
        <v/>
      </c>
      <c r="DM13" s="103" t="str">
        <f t="shared" si="180"/>
        <v/>
      </c>
      <c r="DN13" s="104">
        <f t="shared" si="181"/>
        <v>0</v>
      </c>
      <c r="DO13" s="99" t="str">
        <f t="shared" si="182"/>
        <v/>
      </c>
      <c r="DP13" s="100" t="str">
        <f t="shared" si="183"/>
        <v/>
      </c>
      <c r="DQ13" s="101">
        <f t="shared" si="184"/>
        <v>0</v>
      </c>
      <c r="DR13" s="102" t="str">
        <f t="shared" si="185"/>
        <v/>
      </c>
      <c r="DS13" s="103" t="str">
        <f t="shared" si="186"/>
        <v/>
      </c>
      <c r="DT13" s="104">
        <f t="shared" si="187"/>
        <v>0</v>
      </c>
    </row>
    <row r="14" ht="15.75" customHeight="1">
      <c r="A14" s="12" t="str">
        <f>Menus!R5</f>
        <v/>
      </c>
      <c r="B14" s="32">
        <f t="shared" ref="B14:C14" si="189">SUMIF($H$2:DT$2,$H$2,H14:DT14)</f>
        <v>0</v>
      </c>
      <c r="C14" s="32">
        <f t="shared" si="189"/>
        <v>0</v>
      </c>
      <c r="D14" s="32">
        <f t="shared" si="67"/>
        <v>0</v>
      </c>
      <c r="E14" s="93" t="str">
        <f t="shared" si="68"/>
        <v/>
      </c>
      <c r="F14" s="94" t="str">
        <f t="shared" si="69"/>
        <v/>
      </c>
      <c r="G14" s="95">
        <f t="shared" si="70"/>
        <v>0</v>
      </c>
      <c r="H14" s="96" t="str">
        <f t="shared" si="71"/>
        <v/>
      </c>
      <c r="I14" s="97" t="str">
        <f t="shared" si="72"/>
        <v/>
      </c>
      <c r="J14" s="98">
        <f t="shared" si="73"/>
        <v>0</v>
      </c>
      <c r="K14" s="99" t="str">
        <f t="shared" si="74"/>
        <v/>
      </c>
      <c r="L14" s="100" t="str">
        <f t="shared" si="75"/>
        <v/>
      </c>
      <c r="M14" s="101">
        <f t="shared" si="76"/>
        <v>0</v>
      </c>
      <c r="N14" s="102" t="str">
        <f t="shared" si="77"/>
        <v/>
      </c>
      <c r="O14" s="103" t="str">
        <f t="shared" si="78"/>
        <v/>
      </c>
      <c r="P14" s="104">
        <f t="shared" si="79"/>
        <v>0</v>
      </c>
      <c r="Q14" s="99" t="str">
        <f t="shared" si="80"/>
        <v/>
      </c>
      <c r="R14" s="100" t="str">
        <f t="shared" si="81"/>
        <v/>
      </c>
      <c r="S14" s="101">
        <f t="shared" si="82"/>
        <v>0</v>
      </c>
      <c r="T14" s="102" t="str">
        <f t="shared" si="83"/>
        <v/>
      </c>
      <c r="U14" s="103" t="str">
        <f t="shared" si="84"/>
        <v/>
      </c>
      <c r="V14" s="104">
        <f t="shared" si="85"/>
        <v>0</v>
      </c>
      <c r="W14" s="99" t="str">
        <f t="shared" si="86"/>
        <v/>
      </c>
      <c r="X14" s="100" t="str">
        <f t="shared" si="87"/>
        <v/>
      </c>
      <c r="Y14" s="101">
        <f t="shared" si="88"/>
        <v>0</v>
      </c>
      <c r="Z14" s="102" t="str">
        <f t="shared" si="89"/>
        <v/>
      </c>
      <c r="AA14" s="103" t="str">
        <f t="shared" si="90"/>
        <v/>
      </c>
      <c r="AB14" s="104">
        <f t="shared" si="91"/>
        <v>0</v>
      </c>
      <c r="AC14" s="99" t="str">
        <f t="shared" si="92"/>
        <v/>
      </c>
      <c r="AD14" s="100" t="str">
        <f t="shared" si="93"/>
        <v/>
      </c>
      <c r="AE14" s="101">
        <f t="shared" si="94"/>
        <v>0</v>
      </c>
      <c r="AF14" s="102" t="str">
        <f t="shared" si="95"/>
        <v/>
      </c>
      <c r="AG14" s="103" t="str">
        <f t="shared" si="96"/>
        <v/>
      </c>
      <c r="AH14" s="104">
        <f t="shared" si="97"/>
        <v>0</v>
      </c>
      <c r="AI14" s="99" t="str">
        <f t="shared" si="98"/>
        <v/>
      </c>
      <c r="AJ14" s="100" t="str">
        <f t="shared" si="99"/>
        <v/>
      </c>
      <c r="AK14" s="101">
        <f t="shared" si="100"/>
        <v>0</v>
      </c>
      <c r="AL14" s="102" t="str">
        <f t="shared" si="101"/>
        <v/>
      </c>
      <c r="AM14" s="103" t="str">
        <f t="shared" si="102"/>
        <v/>
      </c>
      <c r="AN14" s="104">
        <f t="shared" si="103"/>
        <v>0</v>
      </c>
      <c r="AO14" s="99" t="str">
        <f t="shared" si="104"/>
        <v/>
      </c>
      <c r="AP14" s="100" t="str">
        <f t="shared" si="105"/>
        <v/>
      </c>
      <c r="AQ14" s="101">
        <f t="shared" si="106"/>
        <v>0</v>
      </c>
      <c r="AR14" s="102" t="str">
        <f t="shared" si="107"/>
        <v/>
      </c>
      <c r="AS14" s="103" t="str">
        <f t="shared" si="108"/>
        <v/>
      </c>
      <c r="AT14" s="104">
        <f t="shared" si="109"/>
        <v>0</v>
      </c>
      <c r="AU14" s="99" t="str">
        <f t="shared" si="110"/>
        <v/>
      </c>
      <c r="AV14" s="100" t="str">
        <f t="shared" si="111"/>
        <v/>
      </c>
      <c r="AW14" s="101">
        <f t="shared" si="112"/>
        <v>0</v>
      </c>
      <c r="AX14" s="102" t="str">
        <f t="shared" si="113"/>
        <v/>
      </c>
      <c r="AY14" s="103" t="str">
        <f t="shared" si="114"/>
        <v/>
      </c>
      <c r="AZ14" s="104">
        <f t="shared" si="115"/>
        <v>0</v>
      </c>
      <c r="BA14" s="99" t="str">
        <f t="shared" si="116"/>
        <v/>
      </c>
      <c r="BB14" s="100" t="str">
        <f t="shared" si="117"/>
        <v/>
      </c>
      <c r="BC14" s="101">
        <f t="shared" si="118"/>
        <v>0</v>
      </c>
      <c r="BD14" s="102" t="str">
        <f t="shared" si="119"/>
        <v/>
      </c>
      <c r="BE14" s="103" t="str">
        <f t="shared" si="120"/>
        <v/>
      </c>
      <c r="BF14" s="104">
        <f t="shared" si="121"/>
        <v>0</v>
      </c>
      <c r="BG14" s="99" t="str">
        <f t="shared" si="122"/>
        <v/>
      </c>
      <c r="BH14" s="100" t="str">
        <f t="shared" si="123"/>
        <v/>
      </c>
      <c r="BI14" s="101">
        <f t="shared" si="124"/>
        <v>0</v>
      </c>
      <c r="BJ14" s="102" t="str">
        <f t="shared" si="125"/>
        <v/>
      </c>
      <c r="BK14" s="103" t="str">
        <f t="shared" si="126"/>
        <v/>
      </c>
      <c r="BL14" s="104">
        <f t="shared" si="127"/>
        <v>0</v>
      </c>
      <c r="BM14" s="99" t="str">
        <f t="shared" si="128"/>
        <v/>
      </c>
      <c r="BN14" s="100" t="str">
        <f t="shared" si="129"/>
        <v/>
      </c>
      <c r="BO14" s="101">
        <f t="shared" si="130"/>
        <v>0</v>
      </c>
      <c r="BP14" s="102" t="str">
        <f t="shared" si="131"/>
        <v/>
      </c>
      <c r="BQ14" s="103" t="str">
        <f t="shared" si="132"/>
        <v/>
      </c>
      <c r="BR14" s="104">
        <f t="shared" si="133"/>
        <v>0</v>
      </c>
      <c r="BS14" s="99" t="str">
        <f t="shared" si="134"/>
        <v/>
      </c>
      <c r="BT14" s="100" t="str">
        <f t="shared" si="135"/>
        <v/>
      </c>
      <c r="BU14" s="101">
        <f t="shared" si="136"/>
        <v>0</v>
      </c>
      <c r="BV14" s="102" t="str">
        <f t="shared" si="137"/>
        <v/>
      </c>
      <c r="BW14" s="103" t="str">
        <f t="shared" si="138"/>
        <v/>
      </c>
      <c r="BX14" s="104">
        <f t="shared" si="139"/>
        <v>0</v>
      </c>
      <c r="BY14" s="99" t="str">
        <f t="shared" si="140"/>
        <v/>
      </c>
      <c r="BZ14" s="100" t="str">
        <f t="shared" si="141"/>
        <v/>
      </c>
      <c r="CA14" s="101">
        <f t="shared" si="142"/>
        <v>0</v>
      </c>
      <c r="CB14" s="102" t="str">
        <f t="shared" si="143"/>
        <v/>
      </c>
      <c r="CC14" s="103" t="str">
        <f t="shared" si="144"/>
        <v/>
      </c>
      <c r="CD14" s="104">
        <f t="shared" si="145"/>
        <v>0</v>
      </c>
      <c r="CE14" s="99" t="str">
        <f t="shared" si="146"/>
        <v/>
      </c>
      <c r="CF14" s="100" t="str">
        <f t="shared" si="147"/>
        <v/>
      </c>
      <c r="CG14" s="101">
        <f t="shared" si="148"/>
        <v>0</v>
      </c>
      <c r="CH14" s="102" t="str">
        <f t="shared" si="149"/>
        <v/>
      </c>
      <c r="CI14" s="103" t="str">
        <f t="shared" si="150"/>
        <v/>
      </c>
      <c r="CJ14" s="104">
        <f t="shared" si="151"/>
        <v>0</v>
      </c>
      <c r="CK14" s="99" t="str">
        <f t="shared" si="152"/>
        <v/>
      </c>
      <c r="CL14" s="100" t="str">
        <f t="shared" si="153"/>
        <v/>
      </c>
      <c r="CM14" s="101">
        <f t="shared" si="154"/>
        <v>0</v>
      </c>
      <c r="CN14" s="102" t="str">
        <f t="shared" si="155"/>
        <v/>
      </c>
      <c r="CO14" s="103" t="str">
        <f t="shared" si="156"/>
        <v/>
      </c>
      <c r="CP14" s="104">
        <f t="shared" si="157"/>
        <v>0</v>
      </c>
      <c r="CQ14" s="99" t="str">
        <f t="shared" si="158"/>
        <v/>
      </c>
      <c r="CR14" s="100" t="str">
        <f t="shared" si="159"/>
        <v/>
      </c>
      <c r="CS14" s="101">
        <f t="shared" si="160"/>
        <v>0</v>
      </c>
      <c r="CT14" s="102" t="str">
        <f t="shared" si="161"/>
        <v/>
      </c>
      <c r="CU14" s="103" t="str">
        <f t="shared" si="162"/>
        <v/>
      </c>
      <c r="CV14" s="104">
        <f t="shared" si="163"/>
        <v>0</v>
      </c>
      <c r="CW14" s="99" t="str">
        <f t="shared" si="164"/>
        <v/>
      </c>
      <c r="CX14" s="100" t="str">
        <f t="shared" si="165"/>
        <v/>
      </c>
      <c r="CY14" s="101">
        <f t="shared" si="166"/>
        <v>0</v>
      </c>
      <c r="CZ14" s="102" t="str">
        <f t="shared" si="167"/>
        <v/>
      </c>
      <c r="DA14" s="103" t="str">
        <f t="shared" si="168"/>
        <v/>
      </c>
      <c r="DB14" s="104">
        <f t="shared" si="169"/>
        <v>0</v>
      </c>
      <c r="DC14" s="99" t="str">
        <f t="shared" si="170"/>
        <v/>
      </c>
      <c r="DD14" s="100" t="str">
        <f t="shared" si="171"/>
        <v/>
      </c>
      <c r="DE14" s="101">
        <f t="shared" si="172"/>
        <v>0</v>
      </c>
      <c r="DF14" s="102" t="str">
        <f t="shared" si="173"/>
        <v/>
      </c>
      <c r="DG14" s="103" t="str">
        <f t="shared" si="174"/>
        <v/>
      </c>
      <c r="DH14" s="104">
        <f t="shared" si="175"/>
        <v>0</v>
      </c>
      <c r="DI14" s="99" t="str">
        <f t="shared" si="176"/>
        <v/>
      </c>
      <c r="DJ14" s="100" t="str">
        <f t="shared" si="177"/>
        <v/>
      </c>
      <c r="DK14" s="101">
        <f t="shared" si="178"/>
        <v>0</v>
      </c>
      <c r="DL14" s="102" t="str">
        <f t="shared" si="179"/>
        <v/>
      </c>
      <c r="DM14" s="103" t="str">
        <f t="shared" si="180"/>
        <v/>
      </c>
      <c r="DN14" s="104">
        <f t="shared" si="181"/>
        <v>0</v>
      </c>
      <c r="DO14" s="99" t="str">
        <f t="shared" si="182"/>
        <v/>
      </c>
      <c r="DP14" s="100" t="str">
        <f t="shared" si="183"/>
        <v/>
      </c>
      <c r="DQ14" s="101">
        <f t="shared" si="184"/>
        <v>0</v>
      </c>
      <c r="DR14" s="102" t="str">
        <f t="shared" si="185"/>
        <v/>
      </c>
      <c r="DS14" s="103" t="str">
        <f t="shared" si="186"/>
        <v/>
      </c>
      <c r="DT14" s="104">
        <f t="shared" si="187"/>
        <v>0</v>
      </c>
    </row>
    <row r="15" ht="15.75" customHeight="1">
      <c r="A15" s="12" t="str">
        <f>Menus!R6</f>
        <v/>
      </c>
      <c r="B15" s="32">
        <f t="shared" ref="B15:C15" si="190">SUMIF($H$2:DT$2,$H$2,H15:DT15)</f>
        <v>0</v>
      </c>
      <c r="C15" s="32">
        <f t="shared" si="190"/>
        <v>0</v>
      </c>
      <c r="D15" s="32">
        <f t="shared" si="67"/>
        <v>0</v>
      </c>
      <c r="E15" s="93" t="str">
        <f t="shared" si="68"/>
        <v/>
      </c>
      <c r="F15" s="94" t="str">
        <f t="shared" si="69"/>
        <v/>
      </c>
      <c r="G15" s="95">
        <f t="shared" si="70"/>
        <v>0</v>
      </c>
      <c r="H15" s="96" t="str">
        <f t="shared" si="71"/>
        <v/>
      </c>
      <c r="I15" s="97" t="str">
        <f t="shared" si="72"/>
        <v/>
      </c>
      <c r="J15" s="98">
        <f t="shared" si="73"/>
        <v>0</v>
      </c>
      <c r="K15" s="99" t="str">
        <f t="shared" si="74"/>
        <v/>
      </c>
      <c r="L15" s="100" t="str">
        <f t="shared" si="75"/>
        <v/>
      </c>
      <c r="M15" s="101">
        <f t="shared" si="76"/>
        <v>0</v>
      </c>
      <c r="N15" s="102" t="str">
        <f t="shared" si="77"/>
        <v/>
      </c>
      <c r="O15" s="103" t="str">
        <f t="shared" si="78"/>
        <v/>
      </c>
      <c r="P15" s="104">
        <f t="shared" si="79"/>
        <v>0</v>
      </c>
      <c r="Q15" s="99" t="str">
        <f t="shared" si="80"/>
        <v/>
      </c>
      <c r="R15" s="100" t="str">
        <f t="shared" si="81"/>
        <v/>
      </c>
      <c r="S15" s="101">
        <f t="shared" si="82"/>
        <v>0</v>
      </c>
      <c r="T15" s="102" t="str">
        <f t="shared" si="83"/>
        <v/>
      </c>
      <c r="U15" s="103" t="str">
        <f t="shared" si="84"/>
        <v/>
      </c>
      <c r="V15" s="104">
        <f t="shared" si="85"/>
        <v>0</v>
      </c>
      <c r="W15" s="99" t="str">
        <f t="shared" si="86"/>
        <v/>
      </c>
      <c r="X15" s="100" t="str">
        <f t="shared" si="87"/>
        <v/>
      </c>
      <c r="Y15" s="101">
        <f t="shared" si="88"/>
        <v>0</v>
      </c>
      <c r="Z15" s="102" t="str">
        <f t="shared" si="89"/>
        <v/>
      </c>
      <c r="AA15" s="103" t="str">
        <f t="shared" si="90"/>
        <v/>
      </c>
      <c r="AB15" s="104">
        <f t="shared" si="91"/>
        <v>0</v>
      </c>
      <c r="AC15" s="99" t="str">
        <f t="shared" si="92"/>
        <v/>
      </c>
      <c r="AD15" s="100" t="str">
        <f t="shared" si="93"/>
        <v/>
      </c>
      <c r="AE15" s="101">
        <f t="shared" si="94"/>
        <v>0</v>
      </c>
      <c r="AF15" s="102" t="str">
        <f t="shared" si="95"/>
        <v/>
      </c>
      <c r="AG15" s="103" t="str">
        <f t="shared" si="96"/>
        <v/>
      </c>
      <c r="AH15" s="104">
        <f t="shared" si="97"/>
        <v>0</v>
      </c>
      <c r="AI15" s="99" t="str">
        <f t="shared" si="98"/>
        <v/>
      </c>
      <c r="AJ15" s="100" t="str">
        <f t="shared" si="99"/>
        <v/>
      </c>
      <c r="AK15" s="101">
        <f t="shared" si="100"/>
        <v>0</v>
      </c>
      <c r="AL15" s="102" t="str">
        <f t="shared" si="101"/>
        <v/>
      </c>
      <c r="AM15" s="103" t="str">
        <f t="shared" si="102"/>
        <v/>
      </c>
      <c r="AN15" s="104">
        <f t="shared" si="103"/>
        <v>0</v>
      </c>
      <c r="AO15" s="99" t="str">
        <f t="shared" si="104"/>
        <v/>
      </c>
      <c r="AP15" s="100" t="str">
        <f t="shared" si="105"/>
        <v/>
      </c>
      <c r="AQ15" s="101">
        <f t="shared" si="106"/>
        <v>0</v>
      </c>
      <c r="AR15" s="102" t="str">
        <f t="shared" si="107"/>
        <v/>
      </c>
      <c r="AS15" s="103" t="str">
        <f t="shared" si="108"/>
        <v/>
      </c>
      <c r="AT15" s="104">
        <f t="shared" si="109"/>
        <v>0</v>
      </c>
      <c r="AU15" s="99" t="str">
        <f t="shared" si="110"/>
        <v/>
      </c>
      <c r="AV15" s="100" t="str">
        <f t="shared" si="111"/>
        <v/>
      </c>
      <c r="AW15" s="101">
        <f t="shared" si="112"/>
        <v>0</v>
      </c>
      <c r="AX15" s="102" t="str">
        <f t="shared" si="113"/>
        <v/>
      </c>
      <c r="AY15" s="103" t="str">
        <f t="shared" si="114"/>
        <v/>
      </c>
      <c r="AZ15" s="104">
        <f t="shared" si="115"/>
        <v>0</v>
      </c>
      <c r="BA15" s="99" t="str">
        <f t="shared" si="116"/>
        <v/>
      </c>
      <c r="BB15" s="100" t="str">
        <f t="shared" si="117"/>
        <v/>
      </c>
      <c r="BC15" s="101">
        <f t="shared" si="118"/>
        <v>0</v>
      </c>
      <c r="BD15" s="102" t="str">
        <f t="shared" si="119"/>
        <v/>
      </c>
      <c r="BE15" s="103" t="str">
        <f t="shared" si="120"/>
        <v/>
      </c>
      <c r="BF15" s="104">
        <f t="shared" si="121"/>
        <v>0</v>
      </c>
      <c r="BG15" s="99" t="str">
        <f t="shared" si="122"/>
        <v/>
      </c>
      <c r="BH15" s="100" t="str">
        <f t="shared" si="123"/>
        <v/>
      </c>
      <c r="BI15" s="101">
        <f t="shared" si="124"/>
        <v>0</v>
      </c>
      <c r="BJ15" s="102" t="str">
        <f t="shared" si="125"/>
        <v/>
      </c>
      <c r="BK15" s="103" t="str">
        <f t="shared" si="126"/>
        <v/>
      </c>
      <c r="BL15" s="104">
        <f t="shared" si="127"/>
        <v>0</v>
      </c>
      <c r="BM15" s="99" t="str">
        <f t="shared" si="128"/>
        <v/>
      </c>
      <c r="BN15" s="100" t="str">
        <f t="shared" si="129"/>
        <v/>
      </c>
      <c r="BO15" s="101">
        <f t="shared" si="130"/>
        <v>0</v>
      </c>
      <c r="BP15" s="102" t="str">
        <f t="shared" si="131"/>
        <v/>
      </c>
      <c r="BQ15" s="103" t="str">
        <f t="shared" si="132"/>
        <v/>
      </c>
      <c r="BR15" s="104">
        <f t="shared" si="133"/>
        <v>0</v>
      </c>
      <c r="BS15" s="99" t="str">
        <f t="shared" si="134"/>
        <v/>
      </c>
      <c r="BT15" s="100" t="str">
        <f t="shared" si="135"/>
        <v/>
      </c>
      <c r="BU15" s="101">
        <f t="shared" si="136"/>
        <v>0</v>
      </c>
      <c r="BV15" s="102" t="str">
        <f t="shared" si="137"/>
        <v/>
      </c>
      <c r="BW15" s="103" t="str">
        <f t="shared" si="138"/>
        <v/>
      </c>
      <c r="BX15" s="104">
        <f t="shared" si="139"/>
        <v>0</v>
      </c>
      <c r="BY15" s="99" t="str">
        <f t="shared" si="140"/>
        <v/>
      </c>
      <c r="BZ15" s="100" t="str">
        <f t="shared" si="141"/>
        <v/>
      </c>
      <c r="CA15" s="101">
        <f t="shared" si="142"/>
        <v>0</v>
      </c>
      <c r="CB15" s="102" t="str">
        <f t="shared" si="143"/>
        <v/>
      </c>
      <c r="CC15" s="103" t="str">
        <f t="shared" si="144"/>
        <v/>
      </c>
      <c r="CD15" s="104">
        <f t="shared" si="145"/>
        <v>0</v>
      </c>
      <c r="CE15" s="99" t="str">
        <f t="shared" si="146"/>
        <v/>
      </c>
      <c r="CF15" s="100" t="str">
        <f t="shared" si="147"/>
        <v/>
      </c>
      <c r="CG15" s="101">
        <f t="shared" si="148"/>
        <v>0</v>
      </c>
      <c r="CH15" s="102" t="str">
        <f t="shared" si="149"/>
        <v/>
      </c>
      <c r="CI15" s="103" t="str">
        <f t="shared" si="150"/>
        <v/>
      </c>
      <c r="CJ15" s="104">
        <f t="shared" si="151"/>
        <v>0</v>
      </c>
      <c r="CK15" s="99" t="str">
        <f t="shared" si="152"/>
        <v/>
      </c>
      <c r="CL15" s="100" t="str">
        <f t="shared" si="153"/>
        <v/>
      </c>
      <c r="CM15" s="101">
        <f t="shared" si="154"/>
        <v>0</v>
      </c>
      <c r="CN15" s="102" t="str">
        <f t="shared" si="155"/>
        <v/>
      </c>
      <c r="CO15" s="103" t="str">
        <f t="shared" si="156"/>
        <v/>
      </c>
      <c r="CP15" s="104">
        <f t="shared" si="157"/>
        <v>0</v>
      </c>
      <c r="CQ15" s="99" t="str">
        <f t="shared" si="158"/>
        <v/>
      </c>
      <c r="CR15" s="100" t="str">
        <f t="shared" si="159"/>
        <v/>
      </c>
      <c r="CS15" s="101">
        <f t="shared" si="160"/>
        <v>0</v>
      </c>
      <c r="CT15" s="102" t="str">
        <f t="shared" si="161"/>
        <v/>
      </c>
      <c r="CU15" s="103" t="str">
        <f t="shared" si="162"/>
        <v/>
      </c>
      <c r="CV15" s="104">
        <f t="shared" si="163"/>
        <v>0</v>
      </c>
      <c r="CW15" s="99" t="str">
        <f t="shared" si="164"/>
        <v/>
      </c>
      <c r="CX15" s="100" t="str">
        <f t="shared" si="165"/>
        <v/>
      </c>
      <c r="CY15" s="101">
        <f t="shared" si="166"/>
        <v>0</v>
      </c>
      <c r="CZ15" s="102" t="str">
        <f t="shared" si="167"/>
        <v/>
      </c>
      <c r="DA15" s="103" t="str">
        <f t="shared" si="168"/>
        <v/>
      </c>
      <c r="DB15" s="104">
        <f t="shared" si="169"/>
        <v>0</v>
      </c>
      <c r="DC15" s="99" t="str">
        <f t="shared" si="170"/>
        <v/>
      </c>
      <c r="DD15" s="100" t="str">
        <f t="shared" si="171"/>
        <v/>
      </c>
      <c r="DE15" s="101">
        <f t="shared" si="172"/>
        <v>0</v>
      </c>
      <c r="DF15" s="102" t="str">
        <f t="shared" si="173"/>
        <v/>
      </c>
      <c r="DG15" s="103" t="str">
        <f t="shared" si="174"/>
        <v/>
      </c>
      <c r="DH15" s="104">
        <f t="shared" si="175"/>
        <v>0</v>
      </c>
      <c r="DI15" s="99" t="str">
        <f t="shared" si="176"/>
        <v/>
      </c>
      <c r="DJ15" s="100" t="str">
        <f t="shared" si="177"/>
        <v/>
      </c>
      <c r="DK15" s="101">
        <f t="shared" si="178"/>
        <v>0</v>
      </c>
      <c r="DL15" s="102" t="str">
        <f t="shared" si="179"/>
        <v/>
      </c>
      <c r="DM15" s="103" t="str">
        <f t="shared" si="180"/>
        <v/>
      </c>
      <c r="DN15" s="104">
        <f t="shared" si="181"/>
        <v>0</v>
      </c>
      <c r="DO15" s="99" t="str">
        <f t="shared" si="182"/>
        <v/>
      </c>
      <c r="DP15" s="100" t="str">
        <f t="shared" si="183"/>
        <v/>
      </c>
      <c r="DQ15" s="101">
        <f t="shared" si="184"/>
        <v>0</v>
      </c>
      <c r="DR15" s="102" t="str">
        <f t="shared" si="185"/>
        <v/>
      </c>
      <c r="DS15" s="103" t="str">
        <f t="shared" si="186"/>
        <v/>
      </c>
      <c r="DT15" s="104">
        <f t="shared" si="187"/>
        <v>0</v>
      </c>
    </row>
    <row r="16" ht="15.75" customHeight="1">
      <c r="A16" s="12" t="str">
        <f>Menus!R7</f>
        <v/>
      </c>
      <c r="B16" s="32">
        <f t="shared" ref="B16:C16" si="191">SUMIF($H$2:DT$2,$H$2,H16:DT16)</f>
        <v>0</v>
      </c>
      <c r="C16" s="32">
        <f t="shared" si="191"/>
        <v>0</v>
      </c>
      <c r="D16" s="32">
        <f t="shared" si="67"/>
        <v>0</v>
      </c>
      <c r="E16" s="93" t="str">
        <f t="shared" si="68"/>
        <v/>
      </c>
      <c r="F16" s="94" t="str">
        <f t="shared" si="69"/>
        <v/>
      </c>
      <c r="G16" s="95">
        <f t="shared" si="70"/>
        <v>0</v>
      </c>
      <c r="H16" s="96" t="str">
        <f t="shared" si="71"/>
        <v/>
      </c>
      <c r="I16" s="97" t="str">
        <f t="shared" si="72"/>
        <v/>
      </c>
      <c r="J16" s="98">
        <f t="shared" si="73"/>
        <v>0</v>
      </c>
      <c r="K16" s="99" t="str">
        <f t="shared" si="74"/>
        <v/>
      </c>
      <c r="L16" s="100" t="str">
        <f t="shared" si="75"/>
        <v/>
      </c>
      <c r="M16" s="101">
        <f t="shared" si="76"/>
        <v>0</v>
      </c>
      <c r="N16" s="102" t="str">
        <f t="shared" si="77"/>
        <v/>
      </c>
      <c r="O16" s="103" t="str">
        <f t="shared" si="78"/>
        <v/>
      </c>
      <c r="P16" s="104">
        <f t="shared" si="79"/>
        <v>0</v>
      </c>
      <c r="Q16" s="99" t="str">
        <f t="shared" si="80"/>
        <v/>
      </c>
      <c r="R16" s="100" t="str">
        <f t="shared" si="81"/>
        <v/>
      </c>
      <c r="S16" s="101">
        <f t="shared" si="82"/>
        <v>0</v>
      </c>
      <c r="T16" s="102" t="str">
        <f t="shared" si="83"/>
        <v/>
      </c>
      <c r="U16" s="103" t="str">
        <f t="shared" si="84"/>
        <v/>
      </c>
      <c r="V16" s="104">
        <f t="shared" si="85"/>
        <v>0</v>
      </c>
      <c r="W16" s="99" t="str">
        <f t="shared" si="86"/>
        <v/>
      </c>
      <c r="X16" s="100" t="str">
        <f t="shared" si="87"/>
        <v/>
      </c>
      <c r="Y16" s="101">
        <f t="shared" si="88"/>
        <v>0</v>
      </c>
      <c r="Z16" s="102" t="str">
        <f t="shared" si="89"/>
        <v/>
      </c>
      <c r="AA16" s="103" t="str">
        <f t="shared" si="90"/>
        <v/>
      </c>
      <c r="AB16" s="104">
        <f t="shared" si="91"/>
        <v>0</v>
      </c>
      <c r="AC16" s="99" t="str">
        <f t="shared" si="92"/>
        <v/>
      </c>
      <c r="AD16" s="100" t="str">
        <f t="shared" si="93"/>
        <v/>
      </c>
      <c r="AE16" s="101">
        <f t="shared" si="94"/>
        <v>0</v>
      </c>
      <c r="AF16" s="102" t="str">
        <f t="shared" si="95"/>
        <v/>
      </c>
      <c r="AG16" s="103" t="str">
        <f t="shared" si="96"/>
        <v/>
      </c>
      <c r="AH16" s="104">
        <f t="shared" si="97"/>
        <v>0</v>
      </c>
      <c r="AI16" s="99" t="str">
        <f t="shared" si="98"/>
        <v/>
      </c>
      <c r="AJ16" s="100" t="str">
        <f t="shared" si="99"/>
        <v/>
      </c>
      <c r="AK16" s="101">
        <f t="shared" si="100"/>
        <v>0</v>
      </c>
      <c r="AL16" s="102" t="str">
        <f t="shared" si="101"/>
        <v/>
      </c>
      <c r="AM16" s="103" t="str">
        <f t="shared" si="102"/>
        <v/>
      </c>
      <c r="AN16" s="104">
        <f t="shared" si="103"/>
        <v>0</v>
      </c>
      <c r="AO16" s="99" t="str">
        <f t="shared" si="104"/>
        <v/>
      </c>
      <c r="AP16" s="100" t="str">
        <f t="shared" si="105"/>
        <v/>
      </c>
      <c r="AQ16" s="101">
        <f t="shared" si="106"/>
        <v>0</v>
      </c>
      <c r="AR16" s="102" t="str">
        <f t="shared" si="107"/>
        <v/>
      </c>
      <c r="AS16" s="103" t="str">
        <f t="shared" si="108"/>
        <v/>
      </c>
      <c r="AT16" s="104">
        <f t="shared" si="109"/>
        <v>0</v>
      </c>
      <c r="AU16" s="99" t="str">
        <f t="shared" si="110"/>
        <v/>
      </c>
      <c r="AV16" s="100" t="str">
        <f t="shared" si="111"/>
        <v/>
      </c>
      <c r="AW16" s="101">
        <f t="shared" si="112"/>
        <v>0</v>
      </c>
      <c r="AX16" s="102" t="str">
        <f t="shared" si="113"/>
        <v/>
      </c>
      <c r="AY16" s="103" t="str">
        <f t="shared" si="114"/>
        <v/>
      </c>
      <c r="AZ16" s="104">
        <f t="shared" si="115"/>
        <v>0</v>
      </c>
      <c r="BA16" s="99" t="str">
        <f t="shared" si="116"/>
        <v/>
      </c>
      <c r="BB16" s="100" t="str">
        <f t="shared" si="117"/>
        <v/>
      </c>
      <c r="BC16" s="101">
        <f t="shared" si="118"/>
        <v>0</v>
      </c>
      <c r="BD16" s="102" t="str">
        <f t="shared" si="119"/>
        <v/>
      </c>
      <c r="BE16" s="103" t="str">
        <f t="shared" si="120"/>
        <v/>
      </c>
      <c r="BF16" s="104">
        <f t="shared" si="121"/>
        <v>0</v>
      </c>
      <c r="BG16" s="99" t="str">
        <f t="shared" si="122"/>
        <v/>
      </c>
      <c r="BH16" s="100" t="str">
        <f t="shared" si="123"/>
        <v/>
      </c>
      <c r="BI16" s="101">
        <f t="shared" si="124"/>
        <v>0</v>
      </c>
      <c r="BJ16" s="102" t="str">
        <f t="shared" si="125"/>
        <v/>
      </c>
      <c r="BK16" s="103" t="str">
        <f t="shared" si="126"/>
        <v/>
      </c>
      <c r="BL16" s="104">
        <f t="shared" si="127"/>
        <v>0</v>
      </c>
      <c r="BM16" s="99" t="str">
        <f t="shared" si="128"/>
        <v/>
      </c>
      <c r="BN16" s="100" t="str">
        <f t="shared" si="129"/>
        <v/>
      </c>
      <c r="BO16" s="101">
        <f t="shared" si="130"/>
        <v>0</v>
      </c>
      <c r="BP16" s="102" t="str">
        <f t="shared" si="131"/>
        <v/>
      </c>
      <c r="BQ16" s="103" t="str">
        <f t="shared" si="132"/>
        <v/>
      </c>
      <c r="BR16" s="104">
        <f t="shared" si="133"/>
        <v>0</v>
      </c>
      <c r="BS16" s="99" t="str">
        <f t="shared" si="134"/>
        <v/>
      </c>
      <c r="BT16" s="100" t="str">
        <f t="shared" si="135"/>
        <v/>
      </c>
      <c r="BU16" s="101">
        <f t="shared" si="136"/>
        <v>0</v>
      </c>
      <c r="BV16" s="102" t="str">
        <f t="shared" si="137"/>
        <v/>
      </c>
      <c r="BW16" s="103" t="str">
        <f t="shared" si="138"/>
        <v/>
      </c>
      <c r="BX16" s="104">
        <f t="shared" si="139"/>
        <v>0</v>
      </c>
      <c r="BY16" s="99" t="str">
        <f t="shared" si="140"/>
        <v/>
      </c>
      <c r="BZ16" s="100" t="str">
        <f t="shared" si="141"/>
        <v/>
      </c>
      <c r="CA16" s="101">
        <f t="shared" si="142"/>
        <v>0</v>
      </c>
      <c r="CB16" s="102" t="str">
        <f t="shared" si="143"/>
        <v/>
      </c>
      <c r="CC16" s="103" t="str">
        <f t="shared" si="144"/>
        <v/>
      </c>
      <c r="CD16" s="104">
        <f t="shared" si="145"/>
        <v>0</v>
      </c>
      <c r="CE16" s="99" t="str">
        <f t="shared" si="146"/>
        <v/>
      </c>
      <c r="CF16" s="100" t="str">
        <f t="shared" si="147"/>
        <v/>
      </c>
      <c r="CG16" s="101">
        <f t="shared" si="148"/>
        <v>0</v>
      </c>
      <c r="CH16" s="102" t="str">
        <f t="shared" si="149"/>
        <v/>
      </c>
      <c r="CI16" s="103" t="str">
        <f t="shared" si="150"/>
        <v/>
      </c>
      <c r="CJ16" s="104">
        <f t="shared" si="151"/>
        <v>0</v>
      </c>
      <c r="CK16" s="99" t="str">
        <f t="shared" si="152"/>
        <v/>
      </c>
      <c r="CL16" s="100" t="str">
        <f t="shared" si="153"/>
        <v/>
      </c>
      <c r="CM16" s="101">
        <f t="shared" si="154"/>
        <v>0</v>
      </c>
      <c r="CN16" s="102" t="str">
        <f t="shared" si="155"/>
        <v/>
      </c>
      <c r="CO16" s="103" t="str">
        <f t="shared" si="156"/>
        <v/>
      </c>
      <c r="CP16" s="104">
        <f t="shared" si="157"/>
        <v>0</v>
      </c>
      <c r="CQ16" s="99" t="str">
        <f t="shared" si="158"/>
        <v/>
      </c>
      <c r="CR16" s="100" t="str">
        <f t="shared" si="159"/>
        <v/>
      </c>
      <c r="CS16" s="101">
        <f t="shared" si="160"/>
        <v>0</v>
      </c>
      <c r="CT16" s="102" t="str">
        <f t="shared" si="161"/>
        <v/>
      </c>
      <c r="CU16" s="103" t="str">
        <f t="shared" si="162"/>
        <v/>
      </c>
      <c r="CV16" s="104">
        <f t="shared" si="163"/>
        <v>0</v>
      </c>
      <c r="CW16" s="99" t="str">
        <f t="shared" si="164"/>
        <v/>
      </c>
      <c r="CX16" s="100" t="str">
        <f t="shared" si="165"/>
        <v/>
      </c>
      <c r="CY16" s="101">
        <f t="shared" si="166"/>
        <v>0</v>
      </c>
      <c r="CZ16" s="102" t="str">
        <f t="shared" si="167"/>
        <v/>
      </c>
      <c r="DA16" s="103" t="str">
        <f t="shared" si="168"/>
        <v/>
      </c>
      <c r="DB16" s="104">
        <f t="shared" si="169"/>
        <v>0</v>
      </c>
      <c r="DC16" s="99" t="str">
        <f t="shared" si="170"/>
        <v/>
      </c>
      <c r="DD16" s="100" t="str">
        <f t="shared" si="171"/>
        <v/>
      </c>
      <c r="DE16" s="101">
        <f t="shared" si="172"/>
        <v>0</v>
      </c>
      <c r="DF16" s="102" t="str">
        <f t="shared" si="173"/>
        <v/>
      </c>
      <c r="DG16" s="103" t="str">
        <f t="shared" si="174"/>
        <v/>
      </c>
      <c r="DH16" s="104">
        <f t="shared" si="175"/>
        <v>0</v>
      </c>
      <c r="DI16" s="99" t="str">
        <f t="shared" si="176"/>
        <v/>
      </c>
      <c r="DJ16" s="100" t="str">
        <f t="shared" si="177"/>
        <v/>
      </c>
      <c r="DK16" s="101">
        <f t="shared" si="178"/>
        <v>0</v>
      </c>
      <c r="DL16" s="102" t="str">
        <f t="shared" si="179"/>
        <v/>
      </c>
      <c r="DM16" s="103" t="str">
        <f t="shared" si="180"/>
        <v/>
      </c>
      <c r="DN16" s="104">
        <f t="shared" si="181"/>
        <v>0</v>
      </c>
      <c r="DO16" s="99" t="str">
        <f t="shared" si="182"/>
        <v/>
      </c>
      <c r="DP16" s="100" t="str">
        <f t="shared" si="183"/>
        <v/>
      </c>
      <c r="DQ16" s="101">
        <f t="shared" si="184"/>
        <v>0</v>
      </c>
      <c r="DR16" s="102" t="str">
        <f t="shared" si="185"/>
        <v/>
      </c>
      <c r="DS16" s="103" t="str">
        <f t="shared" si="186"/>
        <v/>
      </c>
      <c r="DT16" s="104">
        <f t="shared" si="187"/>
        <v>0</v>
      </c>
    </row>
    <row r="17" ht="15.75" customHeight="1">
      <c r="A17" s="12" t="str">
        <f>Menus!R8</f>
        <v/>
      </c>
      <c r="B17" s="32">
        <f t="shared" ref="B17:C17" si="192">SUMIF($H$2:DT$2,$H$2,H17:DT17)</f>
        <v>0</v>
      </c>
      <c r="C17" s="32">
        <f t="shared" si="192"/>
        <v>0</v>
      </c>
      <c r="D17" s="32">
        <f t="shared" si="67"/>
        <v>0</v>
      </c>
      <c r="E17" s="93" t="str">
        <f t="shared" si="68"/>
        <v/>
      </c>
      <c r="F17" s="94" t="str">
        <f t="shared" si="69"/>
        <v/>
      </c>
      <c r="G17" s="95">
        <f t="shared" si="70"/>
        <v>0</v>
      </c>
      <c r="H17" s="96" t="str">
        <f t="shared" si="71"/>
        <v/>
      </c>
      <c r="I17" s="97" t="str">
        <f t="shared" si="72"/>
        <v/>
      </c>
      <c r="J17" s="98">
        <f t="shared" si="73"/>
        <v>0</v>
      </c>
      <c r="K17" s="99" t="str">
        <f t="shared" si="74"/>
        <v/>
      </c>
      <c r="L17" s="100" t="str">
        <f t="shared" si="75"/>
        <v/>
      </c>
      <c r="M17" s="101">
        <f t="shared" si="76"/>
        <v>0</v>
      </c>
      <c r="N17" s="102" t="str">
        <f t="shared" si="77"/>
        <v/>
      </c>
      <c r="O17" s="103" t="str">
        <f t="shared" si="78"/>
        <v/>
      </c>
      <c r="P17" s="104">
        <f t="shared" si="79"/>
        <v>0</v>
      </c>
      <c r="Q17" s="99" t="str">
        <f t="shared" si="80"/>
        <v/>
      </c>
      <c r="R17" s="100" t="str">
        <f t="shared" si="81"/>
        <v/>
      </c>
      <c r="S17" s="101">
        <f t="shared" si="82"/>
        <v>0</v>
      </c>
      <c r="T17" s="102" t="str">
        <f t="shared" si="83"/>
        <v/>
      </c>
      <c r="U17" s="103" t="str">
        <f t="shared" si="84"/>
        <v/>
      </c>
      <c r="V17" s="104">
        <f t="shared" si="85"/>
        <v>0</v>
      </c>
      <c r="W17" s="99" t="str">
        <f t="shared" si="86"/>
        <v/>
      </c>
      <c r="X17" s="100" t="str">
        <f t="shared" si="87"/>
        <v/>
      </c>
      <c r="Y17" s="101">
        <f t="shared" si="88"/>
        <v>0</v>
      </c>
      <c r="Z17" s="102" t="str">
        <f t="shared" si="89"/>
        <v/>
      </c>
      <c r="AA17" s="103" t="str">
        <f t="shared" si="90"/>
        <v/>
      </c>
      <c r="AB17" s="104">
        <f t="shared" si="91"/>
        <v>0</v>
      </c>
      <c r="AC17" s="99" t="str">
        <f t="shared" si="92"/>
        <v/>
      </c>
      <c r="AD17" s="100" t="str">
        <f t="shared" si="93"/>
        <v/>
      </c>
      <c r="AE17" s="101">
        <f t="shared" si="94"/>
        <v>0</v>
      </c>
      <c r="AF17" s="102" t="str">
        <f t="shared" si="95"/>
        <v/>
      </c>
      <c r="AG17" s="103" t="str">
        <f t="shared" si="96"/>
        <v/>
      </c>
      <c r="AH17" s="104">
        <f t="shared" si="97"/>
        <v>0</v>
      </c>
      <c r="AI17" s="99" t="str">
        <f t="shared" si="98"/>
        <v/>
      </c>
      <c r="AJ17" s="100" t="str">
        <f t="shared" si="99"/>
        <v/>
      </c>
      <c r="AK17" s="101">
        <f t="shared" si="100"/>
        <v>0</v>
      </c>
      <c r="AL17" s="102" t="str">
        <f t="shared" si="101"/>
        <v/>
      </c>
      <c r="AM17" s="103" t="str">
        <f t="shared" si="102"/>
        <v/>
      </c>
      <c r="AN17" s="104">
        <f t="shared" si="103"/>
        <v>0</v>
      </c>
      <c r="AO17" s="99" t="str">
        <f t="shared" si="104"/>
        <v/>
      </c>
      <c r="AP17" s="100" t="str">
        <f t="shared" si="105"/>
        <v/>
      </c>
      <c r="AQ17" s="101">
        <f t="shared" si="106"/>
        <v>0</v>
      </c>
      <c r="AR17" s="102" t="str">
        <f t="shared" si="107"/>
        <v/>
      </c>
      <c r="AS17" s="103" t="str">
        <f t="shared" si="108"/>
        <v/>
      </c>
      <c r="AT17" s="104">
        <f t="shared" si="109"/>
        <v>0</v>
      </c>
      <c r="AU17" s="99" t="str">
        <f t="shared" si="110"/>
        <v/>
      </c>
      <c r="AV17" s="100" t="str">
        <f t="shared" si="111"/>
        <v/>
      </c>
      <c r="AW17" s="101">
        <f t="shared" si="112"/>
        <v>0</v>
      </c>
      <c r="AX17" s="102" t="str">
        <f t="shared" si="113"/>
        <v/>
      </c>
      <c r="AY17" s="103" t="str">
        <f t="shared" si="114"/>
        <v/>
      </c>
      <c r="AZ17" s="104">
        <f t="shared" si="115"/>
        <v>0</v>
      </c>
      <c r="BA17" s="99" t="str">
        <f t="shared" si="116"/>
        <v/>
      </c>
      <c r="BB17" s="100" t="str">
        <f t="shared" si="117"/>
        <v/>
      </c>
      <c r="BC17" s="101">
        <f t="shared" si="118"/>
        <v>0</v>
      </c>
      <c r="BD17" s="102" t="str">
        <f t="shared" si="119"/>
        <v/>
      </c>
      <c r="BE17" s="103" t="str">
        <f t="shared" si="120"/>
        <v/>
      </c>
      <c r="BF17" s="104">
        <f t="shared" si="121"/>
        <v>0</v>
      </c>
      <c r="BG17" s="99" t="str">
        <f t="shared" si="122"/>
        <v/>
      </c>
      <c r="BH17" s="100" t="str">
        <f t="shared" si="123"/>
        <v/>
      </c>
      <c r="BI17" s="101">
        <f t="shared" si="124"/>
        <v>0</v>
      </c>
      <c r="BJ17" s="102" t="str">
        <f t="shared" si="125"/>
        <v/>
      </c>
      <c r="BK17" s="103" t="str">
        <f t="shared" si="126"/>
        <v/>
      </c>
      <c r="BL17" s="104">
        <f t="shared" si="127"/>
        <v>0</v>
      </c>
      <c r="BM17" s="99" t="str">
        <f t="shared" si="128"/>
        <v/>
      </c>
      <c r="BN17" s="100" t="str">
        <f t="shared" si="129"/>
        <v/>
      </c>
      <c r="BO17" s="101">
        <f t="shared" si="130"/>
        <v>0</v>
      </c>
      <c r="BP17" s="102" t="str">
        <f t="shared" si="131"/>
        <v/>
      </c>
      <c r="BQ17" s="103" t="str">
        <f t="shared" si="132"/>
        <v/>
      </c>
      <c r="BR17" s="104">
        <f t="shared" si="133"/>
        <v>0</v>
      </c>
      <c r="BS17" s="99" t="str">
        <f t="shared" si="134"/>
        <v/>
      </c>
      <c r="BT17" s="100" t="str">
        <f t="shared" si="135"/>
        <v/>
      </c>
      <c r="BU17" s="101">
        <f t="shared" si="136"/>
        <v>0</v>
      </c>
      <c r="BV17" s="102" t="str">
        <f t="shared" si="137"/>
        <v/>
      </c>
      <c r="BW17" s="103" t="str">
        <f t="shared" si="138"/>
        <v/>
      </c>
      <c r="BX17" s="104">
        <f t="shared" si="139"/>
        <v>0</v>
      </c>
      <c r="BY17" s="99" t="str">
        <f t="shared" si="140"/>
        <v/>
      </c>
      <c r="BZ17" s="100" t="str">
        <f t="shared" si="141"/>
        <v/>
      </c>
      <c r="CA17" s="101">
        <f t="shared" si="142"/>
        <v>0</v>
      </c>
      <c r="CB17" s="102" t="str">
        <f t="shared" si="143"/>
        <v/>
      </c>
      <c r="CC17" s="103" t="str">
        <f t="shared" si="144"/>
        <v/>
      </c>
      <c r="CD17" s="104">
        <f t="shared" si="145"/>
        <v>0</v>
      </c>
      <c r="CE17" s="99" t="str">
        <f t="shared" si="146"/>
        <v/>
      </c>
      <c r="CF17" s="100" t="str">
        <f t="shared" si="147"/>
        <v/>
      </c>
      <c r="CG17" s="101">
        <f t="shared" si="148"/>
        <v>0</v>
      </c>
      <c r="CH17" s="102" t="str">
        <f t="shared" si="149"/>
        <v/>
      </c>
      <c r="CI17" s="103" t="str">
        <f t="shared" si="150"/>
        <v/>
      </c>
      <c r="CJ17" s="104">
        <f t="shared" si="151"/>
        <v>0</v>
      </c>
      <c r="CK17" s="99" t="str">
        <f t="shared" si="152"/>
        <v/>
      </c>
      <c r="CL17" s="100" t="str">
        <f t="shared" si="153"/>
        <v/>
      </c>
      <c r="CM17" s="101">
        <f t="shared" si="154"/>
        <v>0</v>
      </c>
      <c r="CN17" s="102" t="str">
        <f t="shared" si="155"/>
        <v/>
      </c>
      <c r="CO17" s="103" t="str">
        <f t="shared" si="156"/>
        <v/>
      </c>
      <c r="CP17" s="104">
        <f t="shared" si="157"/>
        <v>0</v>
      </c>
      <c r="CQ17" s="99" t="str">
        <f t="shared" si="158"/>
        <v/>
      </c>
      <c r="CR17" s="100" t="str">
        <f t="shared" si="159"/>
        <v/>
      </c>
      <c r="CS17" s="101">
        <f t="shared" si="160"/>
        <v>0</v>
      </c>
      <c r="CT17" s="102" t="str">
        <f t="shared" si="161"/>
        <v/>
      </c>
      <c r="CU17" s="103" t="str">
        <f t="shared" si="162"/>
        <v/>
      </c>
      <c r="CV17" s="104">
        <f t="shared" si="163"/>
        <v>0</v>
      </c>
      <c r="CW17" s="99" t="str">
        <f t="shared" si="164"/>
        <v/>
      </c>
      <c r="CX17" s="100" t="str">
        <f t="shared" si="165"/>
        <v/>
      </c>
      <c r="CY17" s="101">
        <f t="shared" si="166"/>
        <v>0</v>
      </c>
      <c r="CZ17" s="102" t="str">
        <f t="shared" si="167"/>
        <v/>
      </c>
      <c r="DA17" s="103" t="str">
        <f t="shared" si="168"/>
        <v/>
      </c>
      <c r="DB17" s="104">
        <f t="shared" si="169"/>
        <v>0</v>
      </c>
      <c r="DC17" s="99" t="str">
        <f t="shared" si="170"/>
        <v/>
      </c>
      <c r="DD17" s="100" t="str">
        <f t="shared" si="171"/>
        <v/>
      </c>
      <c r="DE17" s="101">
        <f t="shared" si="172"/>
        <v>0</v>
      </c>
      <c r="DF17" s="102" t="str">
        <f t="shared" si="173"/>
        <v/>
      </c>
      <c r="DG17" s="103" t="str">
        <f t="shared" si="174"/>
        <v/>
      </c>
      <c r="DH17" s="104">
        <f t="shared" si="175"/>
        <v>0</v>
      </c>
      <c r="DI17" s="99" t="str">
        <f t="shared" si="176"/>
        <v/>
      </c>
      <c r="DJ17" s="100" t="str">
        <f t="shared" si="177"/>
        <v/>
      </c>
      <c r="DK17" s="101">
        <f t="shared" si="178"/>
        <v>0</v>
      </c>
      <c r="DL17" s="102" t="str">
        <f t="shared" si="179"/>
        <v/>
      </c>
      <c r="DM17" s="103" t="str">
        <f t="shared" si="180"/>
        <v/>
      </c>
      <c r="DN17" s="104">
        <f t="shared" si="181"/>
        <v>0</v>
      </c>
      <c r="DO17" s="99" t="str">
        <f t="shared" si="182"/>
        <v/>
      </c>
      <c r="DP17" s="100" t="str">
        <f t="shared" si="183"/>
        <v/>
      </c>
      <c r="DQ17" s="101">
        <f t="shared" si="184"/>
        <v>0</v>
      </c>
      <c r="DR17" s="102" t="str">
        <f t="shared" si="185"/>
        <v/>
      </c>
      <c r="DS17" s="103" t="str">
        <f t="shared" si="186"/>
        <v/>
      </c>
      <c r="DT17" s="104">
        <f t="shared" si="187"/>
        <v>0</v>
      </c>
    </row>
    <row r="18" ht="15.75" customHeight="1">
      <c r="A18" s="12" t="str">
        <f>Menus!R9</f>
        <v/>
      </c>
      <c r="B18" s="32">
        <f t="shared" ref="B18:C18" si="193">SUMIF($H$2:DT$2,$H$2,H18:DT18)</f>
        <v>0</v>
      </c>
      <c r="C18" s="32">
        <f t="shared" si="193"/>
        <v>0</v>
      </c>
      <c r="D18" s="32">
        <f t="shared" si="67"/>
        <v>0</v>
      </c>
      <c r="E18" s="93" t="str">
        <f t="shared" si="68"/>
        <v/>
      </c>
      <c r="F18" s="94" t="str">
        <f t="shared" si="69"/>
        <v/>
      </c>
      <c r="G18" s="95">
        <f t="shared" si="70"/>
        <v>0</v>
      </c>
      <c r="H18" s="96" t="str">
        <f t="shared" si="71"/>
        <v/>
      </c>
      <c r="I18" s="97" t="str">
        <f t="shared" si="72"/>
        <v/>
      </c>
      <c r="J18" s="98">
        <f t="shared" si="73"/>
        <v>0</v>
      </c>
      <c r="K18" s="99" t="str">
        <f t="shared" si="74"/>
        <v/>
      </c>
      <c r="L18" s="100" t="str">
        <f t="shared" si="75"/>
        <v/>
      </c>
      <c r="M18" s="101">
        <f t="shared" si="76"/>
        <v>0</v>
      </c>
      <c r="N18" s="102" t="str">
        <f t="shared" si="77"/>
        <v/>
      </c>
      <c r="O18" s="103" t="str">
        <f t="shared" si="78"/>
        <v/>
      </c>
      <c r="P18" s="104">
        <f t="shared" si="79"/>
        <v>0</v>
      </c>
      <c r="Q18" s="99" t="str">
        <f t="shared" si="80"/>
        <v/>
      </c>
      <c r="R18" s="100" t="str">
        <f t="shared" si="81"/>
        <v/>
      </c>
      <c r="S18" s="101">
        <f t="shared" si="82"/>
        <v>0</v>
      </c>
      <c r="T18" s="102" t="str">
        <f t="shared" si="83"/>
        <v/>
      </c>
      <c r="U18" s="103" t="str">
        <f t="shared" si="84"/>
        <v/>
      </c>
      <c r="V18" s="104">
        <f t="shared" si="85"/>
        <v>0</v>
      </c>
      <c r="W18" s="99" t="str">
        <f t="shared" si="86"/>
        <v/>
      </c>
      <c r="X18" s="100" t="str">
        <f t="shared" si="87"/>
        <v/>
      </c>
      <c r="Y18" s="101">
        <f t="shared" si="88"/>
        <v>0</v>
      </c>
      <c r="Z18" s="102" t="str">
        <f t="shared" si="89"/>
        <v/>
      </c>
      <c r="AA18" s="103" t="str">
        <f t="shared" si="90"/>
        <v/>
      </c>
      <c r="AB18" s="104">
        <f t="shared" si="91"/>
        <v>0</v>
      </c>
      <c r="AC18" s="99" t="str">
        <f t="shared" si="92"/>
        <v/>
      </c>
      <c r="AD18" s="100" t="str">
        <f t="shared" si="93"/>
        <v/>
      </c>
      <c r="AE18" s="101">
        <f t="shared" si="94"/>
        <v>0</v>
      </c>
      <c r="AF18" s="102" t="str">
        <f t="shared" si="95"/>
        <v/>
      </c>
      <c r="AG18" s="103" t="str">
        <f t="shared" si="96"/>
        <v/>
      </c>
      <c r="AH18" s="104">
        <f t="shared" si="97"/>
        <v>0</v>
      </c>
      <c r="AI18" s="99" t="str">
        <f t="shared" si="98"/>
        <v/>
      </c>
      <c r="AJ18" s="100" t="str">
        <f t="shared" si="99"/>
        <v/>
      </c>
      <c r="AK18" s="101">
        <f t="shared" si="100"/>
        <v>0</v>
      </c>
      <c r="AL18" s="102" t="str">
        <f t="shared" si="101"/>
        <v/>
      </c>
      <c r="AM18" s="103" t="str">
        <f t="shared" si="102"/>
        <v/>
      </c>
      <c r="AN18" s="104">
        <f t="shared" si="103"/>
        <v>0</v>
      </c>
      <c r="AO18" s="99" t="str">
        <f t="shared" si="104"/>
        <v/>
      </c>
      <c r="AP18" s="100" t="str">
        <f t="shared" si="105"/>
        <v/>
      </c>
      <c r="AQ18" s="101">
        <f t="shared" si="106"/>
        <v>0</v>
      </c>
      <c r="AR18" s="102" t="str">
        <f t="shared" si="107"/>
        <v/>
      </c>
      <c r="AS18" s="103" t="str">
        <f t="shared" si="108"/>
        <v/>
      </c>
      <c r="AT18" s="104">
        <f t="shared" si="109"/>
        <v>0</v>
      </c>
      <c r="AU18" s="99" t="str">
        <f t="shared" si="110"/>
        <v/>
      </c>
      <c r="AV18" s="100" t="str">
        <f t="shared" si="111"/>
        <v/>
      </c>
      <c r="AW18" s="101">
        <f t="shared" si="112"/>
        <v>0</v>
      </c>
      <c r="AX18" s="102" t="str">
        <f t="shared" si="113"/>
        <v/>
      </c>
      <c r="AY18" s="103" t="str">
        <f t="shared" si="114"/>
        <v/>
      </c>
      <c r="AZ18" s="104">
        <f t="shared" si="115"/>
        <v>0</v>
      </c>
      <c r="BA18" s="99" t="str">
        <f t="shared" si="116"/>
        <v/>
      </c>
      <c r="BB18" s="100" t="str">
        <f t="shared" si="117"/>
        <v/>
      </c>
      <c r="BC18" s="101">
        <f t="shared" si="118"/>
        <v>0</v>
      </c>
      <c r="BD18" s="102" t="str">
        <f t="shared" si="119"/>
        <v/>
      </c>
      <c r="BE18" s="103" t="str">
        <f t="shared" si="120"/>
        <v/>
      </c>
      <c r="BF18" s="104">
        <f t="shared" si="121"/>
        <v>0</v>
      </c>
      <c r="BG18" s="99" t="str">
        <f t="shared" si="122"/>
        <v/>
      </c>
      <c r="BH18" s="100" t="str">
        <f t="shared" si="123"/>
        <v/>
      </c>
      <c r="BI18" s="101">
        <f t="shared" si="124"/>
        <v>0</v>
      </c>
      <c r="BJ18" s="102" t="str">
        <f t="shared" si="125"/>
        <v/>
      </c>
      <c r="BK18" s="103" t="str">
        <f t="shared" si="126"/>
        <v/>
      </c>
      <c r="BL18" s="104">
        <f t="shared" si="127"/>
        <v>0</v>
      </c>
      <c r="BM18" s="99" t="str">
        <f t="shared" si="128"/>
        <v/>
      </c>
      <c r="BN18" s="100" t="str">
        <f t="shared" si="129"/>
        <v/>
      </c>
      <c r="BO18" s="101">
        <f t="shared" si="130"/>
        <v>0</v>
      </c>
      <c r="BP18" s="102" t="str">
        <f t="shared" si="131"/>
        <v/>
      </c>
      <c r="BQ18" s="103" t="str">
        <f t="shared" si="132"/>
        <v/>
      </c>
      <c r="BR18" s="104">
        <f t="shared" si="133"/>
        <v>0</v>
      </c>
      <c r="BS18" s="99" t="str">
        <f t="shared" si="134"/>
        <v/>
      </c>
      <c r="BT18" s="100" t="str">
        <f t="shared" si="135"/>
        <v/>
      </c>
      <c r="BU18" s="101">
        <f t="shared" si="136"/>
        <v>0</v>
      </c>
      <c r="BV18" s="102" t="str">
        <f t="shared" si="137"/>
        <v/>
      </c>
      <c r="BW18" s="103" t="str">
        <f t="shared" si="138"/>
        <v/>
      </c>
      <c r="BX18" s="104">
        <f t="shared" si="139"/>
        <v>0</v>
      </c>
      <c r="BY18" s="99" t="str">
        <f t="shared" si="140"/>
        <v/>
      </c>
      <c r="BZ18" s="100" t="str">
        <f t="shared" si="141"/>
        <v/>
      </c>
      <c r="CA18" s="101">
        <f t="shared" si="142"/>
        <v>0</v>
      </c>
      <c r="CB18" s="102" t="str">
        <f t="shared" si="143"/>
        <v/>
      </c>
      <c r="CC18" s="103" t="str">
        <f t="shared" si="144"/>
        <v/>
      </c>
      <c r="CD18" s="104">
        <f t="shared" si="145"/>
        <v>0</v>
      </c>
      <c r="CE18" s="99" t="str">
        <f t="shared" si="146"/>
        <v/>
      </c>
      <c r="CF18" s="100" t="str">
        <f t="shared" si="147"/>
        <v/>
      </c>
      <c r="CG18" s="101">
        <f t="shared" si="148"/>
        <v>0</v>
      </c>
      <c r="CH18" s="102" t="str">
        <f t="shared" si="149"/>
        <v/>
      </c>
      <c r="CI18" s="103" t="str">
        <f t="shared" si="150"/>
        <v/>
      </c>
      <c r="CJ18" s="104">
        <f t="shared" si="151"/>
        <v>0</v>
      </c>
      <c r="CK18" s="99" t="str">
        <f t="shared" si="152"/>
        <v/>
      </c>
      <c r="CL18" s="100" t="str">
        <f t="shared" si="153"/>
        <v/>
      </c>
      <c r="CM18" s="101">
        <f t="shared" si="154"/>
        <v>0</v>
      </c>
      <c r="CN18" s="102" t="str">
        <f t="shared" si="155"/>
        <v/>
      </c>
      <c r="CO18" s="103" t="str">
        <f t="shared" si="156"/>
        <v/>
      </c>
      <c r="CP18" s="104">
        <f t="shared" si="157"/>
        <v>0</v>
      </c>
      <c r="CQ18" s="99" t="str">
        <f t="shared" si="158"/>
        <v/>
      </c>
      <c r="CR18" s="100" t="str">
        <f t="shared" si="159"/>
        <v/>
      </c>
      <c r="CS18" s="101">
        <f t="shared" si="160"/>
        <v>0</v>
      </c>
      <c r="CT18" s="102" t="str">
        <f t="shared" si="161"/>
        <v/>
      </c>
      <c r="CU18" s="103" t="str">
        <f t="shared" si="162"/>
        <v/>
      </c>
      <c r="CV18" s="104">
        <f t="shared" si="163"/>
        <v>0</v>
      </c>
      <c r="CW18" s="99" t="str">
        <f t="shared" si="164"/>
        <v/>
      </c>
      <c r="CX18" s="100" t="str">
        <f t="shared" si="165"/>
        <v/>
      </c>
      <c r="CY18" s="101">
        <f t="shared" si="166"/>
        <v>0</v>
      </c>
      <c r="CZ18" s="102" t="str">
        <f t="shared" si="167"/>
        <v/>
      </c>
      <c r="DA18" s="103" t="str">
        <f t="shared" si="168"/>
        <v/>
      </c>
      <c r="DB18" s="104">
        <f t="shared" si="169"/>
        <v>0</v>
      </c>
      <c r="DC18" s="99" t="str">
        <f t="shared" si="170"/>
        <v/>
      </c>
      <c r="DD18" s="100" t="str">
        <f t="shared" si="171"/>
        <v/>
      </c>
      <c r="DE18" s="101">
        <f t="shared" si="172"/>
        <v>0</v>
      </c>
      <c r="DF18" s="102" t="str">
        <f t="shared" si="173"/>
        <v/>
      </c>
      <c r="DG18" s="103" t="str">
        <f t="shared" si="174"/>
        <v/>
      </c>
      <c r="DH18" s="104">
        <f t="shared" si="175"/>
        <v>0</v>
      </c>
      <c r="DI18" s="99" t="str">
        <f t="shared" si="176"/>
        <v/>
      </c>
      <c r="DJ18" s="100" t="str">
        <f t="shared" si="177"/>
        <v/>
      </c>
      <c r="DK18" s="101">
        <f t="shared" si="178"/>
        <v>0</v>
      </c>
      <c r="DL18" s="102" t="str">
        <f t="shared" si="179"/>
        <v/>
      </c>
      <c r="DM18" s="103" t="str">
        <f t="shared" si="180"/>
        <v/>
      </c>
      <c r="DN18" s="104">
        <f t="shared" si="181"/>
        <v>0</v>
      </c>
      <c r="DO18" s="99" t="str">
        <f t="shared" si="182"/>
        <v/>
      </c>
      <c r="DP18" s="100" t="str">
        <f t="shared" si="183"/>
        <v/>
      </c>
      <c r="DQ18" s="101">
        <f t="shared" si="184"/>
        <v>0</v>
      </c>
      <c r="DR18" s="102" t="str">
        <f t="shared" si="185"/>
        <v/>
      </c>
      <c r="DS18" s="103" t="str">
        <f t="shared" si="186"/>
        <v/>
      </c>
      <c r="DT18" s="104">
        <f t="shared" si="187"/>
        <v>0</v>
      </c>
    </row>
    <row r="19" ht="15.75" customHeight="1">
      <c r="A19" s="12" t="str">
        <f>Menus!R10</f>
        <v/>
      </c>
      <c r="B19" s="32">
        <f t="shared" ref="B19:C19" si="194">SUMIF($H$2:DT$2,$H$2,H19:DT19)</f>
        <v>0</v>
      </c>
      <c r="C19" s="32">
        <f t="shared" si="194"/>
        <v>0</v>
      </c>
      <c r="D19" s="32">
        <f t="shared" si="67"/>
        <v>0</v>
      </c>
      <c r="E19" s="93" t="str">
        <f t="shared" si="68"/>
        <v/>
      </c>
      <c r="F19" s="94" t="str">
        <f t="shared" si="69"/>
        <v/>
      </c>
      <c r="G19" s="95">
        <f t="shared" si="70"/>
        <v>0</v>
      </c>
      <c r="H19" s="96" t="str">
        <f t="shared" si="71"/>
        <v/>
      </c>
      <c r="I19" s="97" t="str">
        <f t="shared" si="72"/>
        <v/>
      </c>
      <c r="J19" s="98">
        <f t="shared" si="73"/>
        <v>0</v>
      </c>
      <c r="K19" s="99" t="str">
        <f t="shared" si="74"/>
        <v/>
      </c>
      <c r="L19" s="100" t="str">
        <f t="shared" si="75"/>
        <v/>
      </c>
      <c r="M19" s="101">
        <f t="shared" si="76"/>
        <v>0</v>
      </c>
      <c r="N19" s="102" t="str">
        <f t="shared" si="77"/>
        <v/>
      </c>
      <c r="O19" s="103" t="str">
        <f t="shared" si="78"/>
        <v/>
      </c>
      <c r="P19" s="104">
        <f t="shared" si="79"/>
        <v>0</v>
      </c>
      <c r="Q19" s="99" t="str">
        <f t="shared" si="80"/>
        <v/>
      </c>
      <c r="R19" s="100" t="str">
        <f t="shared" si="81"/>
        <v/>
      </c>
      <c r="S19" s="101">
        <f t="shared" si="82"/>
        <v>0</v>
      </c>
      <c r="T19" s="102" t="str">
        <f t="shared" si="83"/>
        <v/>
      </c>
      <c r="U19" s="103" t="str">
        <f t="shared" si="84"/>
        <v/>
      </c>
      <c r="V19" s="104">
        <f t="shared" si="85"/>
        <v>0</v>
      </c>
      <c r="W19" s="99" t="str">
        <f t="shared" si="86"/>
        <v/>
      </c>
      <c r="X19" s="100" t="str">
        <f t="shared" si="87"/>
        <v/>
      </c>
      <c r="Y19" s="101">
        <f t="shared" si="88"/>
        <v>0</v>
      </c>
      <c r="Z19" s="102" t="str">
        <f t="shared" si="89"/>
        <v/>
      </c>
      <c r="AA19" s="103" t="str">
        <f t="shared" si="90"/>
        <v/>
      </c>
      <c r="AB19" s="104">
        <f t="shared" si="91"/>
        <v>0</v>
      </c>
      <c r="AC19" s="99" t="str">
        <f t="shared" si="92"/>
        <v/>
      </c>
      <c r="AD19" s="100" t="str">
        <f t="shared" si="93"/>
        <v/>
      </c>
      <c r="AE19" s="101">
        <f t="shared" si="94"/>
        <v>0</v>
      </c>
      <c r="AF19" s="102" t="str">
        <f t="shared" si="95"/>
        <v/>
      </c>
      <c r="AG19" s="103" t="str">
        <f t="shared" si="96"/>
        <v/>
      </c>
      <c r="AH19" s="104">
        <f t="shared" si="97"/>
        <v>0</v>
      </c>
      <c r="AI19" s="99" t="str">
        <f t="shared" si="98"/>
        <v/>
      </c>
      <c r="AJ19" s="100" t="str">
        <f t="shared" si="99"/>
        <v/>
      </c>
      <c r="AK19" s="101">
        <f t="shared" si="100"/>
        <v>0</v>
      </c>
      <c r="AL19" s="102" t="str">
        <f t="shared" si="101"/>
        <v/>
      </c>
      <c r="AM19" s="103" t="str">
        <f t="shared" si="102"/>
        <v/>
      </c>
      <c r="AN19" s="104">
        <f t="shared" si="103"/>
        <v>0</v>
      </c>
      <c r="AO19" s="99" t="str">
        <f t="shared" si="104"/>
        <v/>
      </c>
      <c r="AP19" s="100" t="str">
        <f t="shared" si="105"/>
        <v/>
      </c>
      <c r="AQ19" s="101">
        <f t="shared" si="106"/>
        <v>0</v>
      </c>
      <c r="AR19" s="102" t="str">
        <f t="shared" si="107"/>
        <v/>
      </c>
      <c r="AS19" s="103" t="str">
        <f t="shared" si="108"/>
        <v/>
      </c>
      <c r="AT19" s="104">
        <f t="shared" si="109"/>
        <v>0</v>
      </c>
      <c r="AU19" s="99" t="str">
        <f t="shared" si="110"/>
        <v/>
      </c>
      <c r="AV19" s="100" t="str">
        <f t="shared" si="111"/>
        <v/>
      </c>
      <c r="AW19" s="101">
        <f t="shared" si="112"/>
        <v>0</v>
      </c>
      <c r="AX19" s="102" t="str">
        <f t="shared" si="113"/>
        <v/>
      </c>
      <c r="AY19" s="103" t="str">
        <f t="shared" si="114"/>
        <v/>
      </c>
      <c r="AZ19" s="104">
        <f t="shared" si="115"/>
        <v>0</v>
      </c>
      <c r="BA19" s="99" t="str">
        <f t="shared" si="116"/>
        <v/>
      </c>
      <c r="BB19" s="100" t="str">
        <f t="shared" si="117"/>
        <v/>
      </c>
      <c r="BC19" s="101">
        <f t="shared" si="118"/>
        <v>0</v>
      </c>
      <c r="BD19" s="102" t="str">
        <f t="shared" si="119"/>
        <v/>
      </c>
      <c r="BE19" s="103" t="str">
        <f t="shared" si="120"/>
        <v/>
      </c>
      <c r="BF19" s="104">
        <f t="shared" si="121"/>
        <v>0</v>
      </c>
      <c r="BG19" s="99" t="str">
        <f t="shared" si="122"/>
        <v/>
      </c>
      <c r="BH19" s="100" t="str">
        <f t="shared" si="123"/>
        <v/>
      </c>
      <c r="BI19" s="101">
        <f t="shared" si="124"/>
        <v>0</v>
      </c>
      <c r="BJ19" s="102" t="str">
        <f t="shared" si="125"/>
        <v/>
      </c>
      <c r="BK19" s="103" t="str">
        <f t="shared" si="126"/>
        <v/>
      </c>
      <c r="BL19" s="104">
        <f t="shared" si="127"/>
        <v>0</v>
      </c>
      <c r="BM19" s="99" t="str">
        <f t="shared" si="128"/>
        <v/>
      </c>
      <c r="BN19" s="100" t="str">
        <f t="shared" si="129"/>
        <v/>
      </c>
      <c r="BO19" s="101">
        <f t="shared" si="130"/>
        <v>0</v>
      </c>
      <c r="BP19" s="102" t="str">
        <f t="shared" si="131"/>
        <v/>
      </c>
      <c r="BQ19" s="103" t="str">
        <f t="shared" si="132"/>
        <v/>
      </c>
      <c r="BR19" s="104">
        <f t="shared" si="133"/>
        <v>0</v>
      </c>
      <c r="BS19" s="99" t="str">
        <f t="shared" si="134"/>
        <v/>
      </c>
      <c r="BT19" s="100" t="str">
        <f t="shared" si="135"/>
        <v/>
      </c>
      <c r="BU19" s="101">
        <f t="shared" si="136"/>
        <v>0</v>
      </c>
      <c r="BV19" s="102" t="str">
        <f t="shared" si="137"/>
        <v/>
      </c>
      <c r="BW19" s="103" t="str">
        <f t="shared" si="138"/>
        <v/>
      </c>
      <c r="BX19" s="104">
        <f t="shared" si="139"/>
        <v>0</v>
      </c>
      <c r="BY19" s="99" t="str">
        <f t="shared" si="140"/>
        <v/>
      </c>
      <c r="BZ19" s="100" t="str">
        <f t="shared" si="141"/>
        <v/>
      </c>
      <c r="CA19" s="101">
        <f t="shared" si="142"/>
        <v>0</v>
      </c>
      <c r="CB19" s="102" t="str">
        <f t="shared" si="143"/>
        <v/>
      </c>
      <c r="CC19" s="103" t="str">
        <f t="shared" si="144"/>
        <v/>
      </c>
      <c r="CD19" s="104">
        <f t="shared" si="145"/>
        <v>0</v>
      </c>
      <c r="CE19" s="99" t="str">
        <f t="shared" si="146"/>
        <v/>
      </c>
      <c r="CF19" s="100" t="str">
        <f t="shared" si="147"/>
        <v/>
      </c>
      <c r="CG19" s="101">
        <f t="shared" si="148"/>
        <v>0</v>
      </c>
      <c r="CH19" s="102" t="str">
        <f t="shared" si="149"/>
        <v/>
      </c>
      <c r="CI19" s="103" t="str">
        <f t="shared" si="150"/>
        <v/>
      </c>
      <c r="CJ19" s="104">
        <f t="shared" si="151"/>
        <v>0</v>
      </c>
      <c r="CK19" s="99" t="str">
        <f t="shared" si="152"/>
        <v/>
      </c>
      <c r="CL19" s="100" t="str">
        <f t="shared" si="153"/>
        <v/>
      </c>
      <c r="CM19" s="101">
        <f t="shared" si="154"/>
        <v>0</v>
      </c>
      <c r="CN19" s="102" t="str">
        <f t="shared" si="155"/>
        <v/>
      </c>
      <c r="CO19" s="103" t="str">
        <f t="shared" si="156"/>
        <v/>
      </c>
      <c r="CP19" s="104">
        <f t="shared" si="157"/>
        <v>0</v>
      </c>
      <c r="CQ19" s="99" t="str">
        <f t="shared" si="158"/>
        <v/>
      </c>
      <c r="CR19" s="100" t="str">
        <f t="shared" si="159"/>
        <v/>
      </c>
      <c r="CS19" s="101">
        <f t="shared" si="160"/>
        <v>0</v>
      </c>
      <c r="CT19" s="102" t="str">
        <f t="shared" si="161"/>
        <v/>
      </c>
      <c r="CU19" s="103" t="str">
        <f t="shared" si="162"/>
        <v/>
      </c>
      <c r="CV19" s="104">
        <f t="shared" si="163"/>
        <v>0</v>
      </c>
      <c r="CW19" s="99" t="str">
        <f t="shared" si="164"/>
        <v/>
      </c>
      <c r="CX19" s="100" t="str">
        <f t="shared" si="165"/>
        <v/>
      </c>
      <c r="CY19" s="101">
        <f t="shared" si="166"/>
        <v>0</v>
      </c>
      <c r="CZ19" s="102" t="str">
        <f t="shared" si="167"/>
        <v/>
      </c>
      <c r="DA19" s="103" t="str">
        <f t="shared" si="168"/>
        <v/>
      </c>
      <c r="DB19" s="104">
        <f t="shared" si="169"/>
        <v>0</v>
      </c>
      <c r="DC19" s="99" t="str">
        <f t="shared" si="170"/>
        <v/>
      </c>
      <c r="DD19" s="100" t="str">
        <f t="shared" si="171"/>
        <v/>
      </c>
      <c r="DE19" s="101">
        <f t="shared" si="172"/>
        <v>0</v>
      </c>
      <c r="DF19" s="102" t="str">
        <f t="shared" si="173"/>
        <v/>
      </c>
      <c r="DG19" s="103" t="str">
        <f t="shared" si="174"/>
        <v/>
      </c>
      <c r="DH19" s="104">
        <f t="shared" si="175"/>
        <v>0</v>
      </c>
      <c r="DI19" s="99" t="str">
        <f t="shared" si="176"/>
        <v/>
      </c>
      <c r="DJ19" s="100" t="str">
        <f t="shared" si="177"/>
        <v/>
      </c>
      <c r="DK19" s="101">
        <f t="shared" si="178"/>
        <v>0</v>
      </c>
      <c r="DL19" s="102" t="str">
        <f t="shared" si="179"/>
        <v/>
      </c>
      <c r="DM19" s="103" t="str">
        <f t="shared" si="180"/>
        <v/>
      </c>
      <c r="DN19" s="104">
        <f t="shared" si="181"/>
        <v>0</v>
      </c>
      <c r="DO19" s="99" t="str">
        <f t="shared" si="182"/>
        <v/>
      </c>
      <c r="DP19" s="100" t="str">
        <f t="shared" si="183"/>
        <v/>
      </c>
      <c r="DQ19" s="101">
        <f t="shared" si="184"/>
        <v>0</v>
      </c>
      <c r="DR19" s="102" t="str">
        <f t="shared" si="185"/>
        <v/>
      </c>
      <c r="DS19" s="103" t="str">
        <f t="shared" si="186"/>
        <v/>
      </c>
      <c r="DT19" s="104">
        <f t="shared" si="187"/>
        <v>0</v>
      </c>
    </row>
    <row r="20" ht="15.75" customHeight="1">
      <c r="A20" s="12" t="str">
        <f>Menus!R11</f>
        <v/>
      </c>
      <c r="B20" s="32">
        <f t="shared" ref="B20:C20" si="195">SUMIF($H$2:DT$2,$H$2,H20:DT20)</f>
        <v>0</v>
      </c>
      <c r="C20" s="32">
        <f t="shared" si="195"/>
        <v>0</v>
      </c>
      <c r="D20" s="32">
        <f t="shared" si="67"/>
        <v>0</v>
      </c>
      <c r="E20" s="93" t="str">
        <f t="shared" si="68"/>
        <v/>
      </c>
      <c r="F20" s="94" t="str">
        <f t="shared" si="69"/>
        <v/>
      </c>
      <c r="G20" s="95">
        <f t="shared" si="70"/>
        <v>0</v>
      </c>
      <c r="H20" s="96" t="str">
        <f t="shared" si="71"/>
        <v/>
      </c>
      <c r="I20" s="97" t="str">
        <f t="shared" si="72"/>
        <v/>
      </c>
      <c r="J20" s="98">
        <f t="shared" si="73"/>
        <v>0</v>
      </c>
      <c r="K20" s="99" t="str">
        <f t="shared" si="74"/>
        <v/>
      </c>
      <c r="L20" s="100" t="str">
        <f t="shared" si="75"/>
        <v/>
      </c>
      <c r="M20" s="101">
        <f t="shared" si="76"/>
        <v>0</v>
      </c>
      <c r="N20" s="102" t="str">
        <f t="shared" si="77"/>
        <v/>
      </c>
      <c r="O20" s="103" t="str">
        <f t="shared" si="78"/>
        <v/>
      </c>
      <c r="P20" s="104">
        <f t="shared" si="79"/>
        <v>0</v>
      </c>
      <c r="Q20" s="99" t="str">
        <f t="shared" si="80"/>
        <v/>
      </c>
      <c r="R20" s="100" t="str">
        <f t="shared" si="81"/>
        <v/>
      </c>
      <c r="S20" s="101">
        <f t="shared" si="82"/>
        <v>0</v>
      </c>
      <c r="T20" s="102" t="str">
        <f t="shared" si="83"/>
        <v/>
      </c>
      <c r="U20" s="103" t="str">
        <f t="shared" si="84"/>
        <v/>
      </c>
      <c r="V20" s="104">
        <f t="shared" si="85"/>
        <v>0</v>
      </c>
      <c r="W20" s="99" t="str">
        <f t="shared" si="86"/>
        <v/>
      </c>
      <c r="X20" s="100" t="str">
        <f t="shared" si="87"/>
        <v/>
      </c>
      <c r="Y20" s="101">
        <f t="shared" si="88"/>
        <v>0</v>
      </c>
      <c r="Z20" s="102" t="str">
        <f t="shared" si="89"/>
        <v/>
      </c>
      <c r="AA20" s="103" t="str">
        <f t="shared" si="90"/>
        <v/>
      </c>
      <c r="AB20" s="104">
        <f t="shared" si="91"/>
        <v>0</v>
      </c>
      <c r="AC20" s="99" t="str">
        <f t="shared" si="92"/>
        <v/>
      </c>
      <c r="AD20" s="100" t="str">
        <f t="shared" si="93"/>
        <v/>
      </c>
      <c r="AE20" s="101">
        <f t="shared" si="94"/>
        <v>0</v>
      </c>
      <c r="AF20" s="102" t="str">
        <f t="shared" si="95"/>
        <v/>
      </c>
      <c r="AG20" s="103" t="str">
        <f t="shared" si="96"/>
        <v/>
      </c>
      <c r="AH20" s="104">
        <f t="shared" si="97"/>
        <v>0</v>
      </c>
      <c r="AI20" s="99" t="str">
        <f t="shared" si="98"/>
        <v/>
      </c>
      <c r="AJ20" s="100" t="str">
        <f t="shared" si="99"/>
        <v/>
      </c>
      <c r="AK20" s="101">
        <f t="shared" si="100"/>
        <v>0</v>
      </c>
      <c r="AL20" s="102" t="str">
        <f t="shared" si="101"/>
        <v/>
      </c>
      <c r="AM20" s="103" t="str">
        <f t="shared" si="102"/>
        <v/>
      </c>
      <c r="AN20" s="104">
        <f t="shared" si="103"/>
        <v>0</v>
      </c>
      <c r="AO20" s="99" t="str">
        <f t="shared" si="104"/>
        <v/>
      </c>
      <c r="AP20" s="100" t="str">
        <f t="shared" si="105"/>
        <v/>
      </c>
      <c r="AQ20" s="101">
        <f t="shared" si="106"/>
        <v>0</v>
      </c>
      <c r="AR20" s="102" t="str">
        <f t="shared" si="107"/>
        <v/>
      </c>
      <c r="AS20" s="103" t="str">
        <f t="shared" si="108"/>
        <v/>
      </c>
      <c r="AT20" s="104">
        <f t="shared" si="109"/>
        <v>0</v>
      </c>
      <c r="AU20" s="99" t="str">
        <f t="shared" si="110"/>
        <v/>
      </c>
      <c r="AV20" s="100" t="str">
        <f t="shared" si="111"/>
        <v/>
      </c>
      <c r="AW20" s="101">
        <f t="shared" si="112"/>
        <v>0</v>
      </c>
      <c r="AX20" s="102" t="str">
        <f t="shared" si="113"/>
        <v/>
      </c>
      <c r="AY20" s="103" t="str">
        <f t="shared" si="114"/>
        <v/>
      </c>
      <c r="AZ20" s="104">
        <f t="shared" si="115"/>
        <v>0</v>
      </c>
      <c r="BA20" s="99" t="str">
        <f t="shared" si="116"/>
        <v/>
      </c>
      <c r="BB20" s="100" t="str">
        <f t="shared" si="117"/>
        <v/>
      </c>
      <c r="BC20" s="101">
        <f t="shared" si="118"/>
        <v>0</v>
      </c>
      <c r="BD20" s="102" t="str">
        <f t="shared" si="119"/>
        <v/>
      </c>
      <c r="BE20" s="103" t="str">
        <f t="shared" si="120"/>
        <v/>
      </c>
      <c r="BF20" s="104">
        <f t="shared" si="121"/>
        <v>0</v>
      </c>
      <c r="BG20" s="99" t="str">
        <f t="shared" si="122"/>
        <v/>
      </c>
      <c r="BH20" s="100" t="str">
        <f t="shared" si="123"/>
        <v/>
      </c>
      <c r="BI20" s="101">
        <f t="shared" si="124"/>
        <v>0</v>
      </c>
      <c r="BJ20" s="102" t="str">
        <f t="shared" si="125"/>
        <v/>
      </c>
      <c r="BK20" s="103" t="str">
        <f t="shared" si="126"/>
        <v/>
      </c>
      <c r="BL20" s="104">
        <f t="shared" si="127"/>
        <v>0</v>
      </c>
      <c r="BM20" s="99" t="str">
        <f t="shared" si="128"/>
        <v/>
      </c>
      <c r="BN20" s="100" t="str">
        <f t="shared" si="129"/>
        <v/>
      </c>
      <c r="BO20" s="101">
        <f t="shared" si="130"/>
        <v>0</v>
      </c>
      <c r="BP20" s="102" t="str">
        <f t="shared" si="131"/>
        <v/>
      </c>
      <c r="BQ20" s="103" t="str">
        <f t="shared" si="132"/>
        <v/>
      </c>
      <c r="BR20" s="104">
        <f t="shared" si="133"/>
        <v>0</v>
      </c>
      <c r="BS20" s="99" t="str">
        <f t="shared" si="134"/>
        <v/>
      </c>
      <c r="BT20" s="100" t="str">
        <f t="shared" si="135"/>
        <v/>
      </c>
      <c r="BU20" s="101">
        <f t="shared" si="136"/>
        <v>0</v>
      </c>
      <c r="BV20" s="102" t="str">
        <f t="shared" si="137"/>
        <v/>
      </c>
      <c r="BW20" s="103" t="str">
        <f t="shared" si="138"/>
        <v/>
      </c>
      <c r="BX20" s="104">
        <f t="shared" si="139"/>
        <v>0</v>
      </c>
      <c r="BY20" s="99" t="str">
        <f t="shared" si="140"/>
        <v/>
      </c>
      <c r="BZ20" s="100" t="str">
        <f t="shared" si="141"/>
        <v/>
      </c>
      <c r="CA20" s="101">
        <f t="shared" si="142"/>
        <v>0</v>
      </c>
      <c r="CB20" s="102" t="str">
        <f t="shared" si="143"/>
        <v/>
      </c>
      <c r="CC20" s="103" t="str">
        <f t="shared" si="144"/>
        <v/>
      </c>
      <c r="CD20" s="104">
        <f t="shared" si="145"/>
        <v>0</v>
      </c>
      <c r="CE20" s="99" t="str">
        <f t="shared" si="146"/>
        <v/>
      </c>
      <c r="CF20" s="100" t="str">
        <f t="shared" si="147"/>
        <v/>
      </c>
      <c r="CG20" s="101">
        <f t="shared" si="148"/>
        <v>0</v>
      </c>
      <c r="CH20" s="102" t="str">
        <f t="shared" si="149"/>
        <v/>
      </c>
      <c r="CI20" s="103" t="str">
        <f t="shared" si="150"/>
        <v/>
      </c>
      <c r="CJ20" s="104">
        <f t="shared" si="151"/>
        <v>0</v>
      </c>
      <c r="CK20" s="99" t="str">
        <f t="shared" si="152"/>
        <v/>
      </c>
      <c r="CL20" s="100" t="str">
        <f t="shared" si="153"/>
        <v/>
      </c>
      <c r="CM20" s="101">
        <f t="shared" si="154"/>
        <v>0</v>
      </c>
      <c r="CN20" s="102" t="str">
        <f t="shared" si="155"/>
        <v/>
      </c>
      <c r="CO20" s="103" t="str">
        <f t="shared" si="156"/>
        <v/>
      </c>
      <c r="CP20" s="104">
        <f t="shared" si="157"/>
        <v>0</v>
      </c>
      <c r="CQ20" s="99" t="str">
        <f t="shared" si="158"/>
        <v/>
      </c>
      <c r="CR20" s="100" t="str">
        <f t="shared" si="159"/>
        <v/>
      </c>
      <c r="CS20" s="101">
        <f t="shared" si="160"/>
        <v>0</v>
      </c>
      <c r="CT20" s="102" t="str">
        <f t="shared" si="161"/>
        <v/>
      </c>
      <c r="CU20" s="103" t="str">
        <f t="shared" si="162"/>
        <v/>
      </c>
      <c r="CV20" s="104">
        <f t="shared" si="163"/>
        <v>0</v>
      </c>
      <c r="CW20" s="99" t="str">
        <f t="shared" si="164"/>
        <v/>
      </c>
      <c r="CX20" s="100" t="str">
        <f t="shared" si="165"/>
        <v/>
      </c>
      <c r="CY20" s="101">
        <f t="shared" si="166"/>
        <v>0</v>
      </c>
      <c r="CZ20" s="102" t="str">
        <f t="shared" si="167"/>
        <v/>
      </c>
      <c r="DA20" s="103" t="str">
        <f t="shared" si="168"/>
        <v/>
      </c>
      <c r="DB20" s="104">
        <f t="shared" si="169"/>
        <v>0</v>
      </c>
      <c r="DC20" s="99" t="str">
        <f t="shared" si="170"/>
        <v/>
      </c>
      <c r="DD20" s="100" t="str">
        <f t="shared" si="171"/>
        <v/>
      </c>
      <c r="DE20" s="101">
        <f t="shared" si="172"/>
        <v>0</v>
      </c>
      <c r="DF20" s="102" t="str">
        <f t="shared" si="173"/>
        <v/>
      </c>
      <c r="DG20" s="103" t="str">
        <f t="shared" si="174"/>
        <v/>
      </c>
      <c r="DH20" s="104">
        <f t="shared" si="175"/>
        <v>0</v>
      </c>
      <c r="DI20" s="99" t="str">
        <f t="shared" si="176"/>
        <v/>
      </c>
      <c r="DJ20" s="100" t="str">
        <f t="shared" si="177"/>
        <v/>
      </c>
      <c r="DK20" s="101">
        <f t="shared" si="178"/>
        <v>0</v>
      </c>
      <c r="DL20" s="102" t="str">
        <f t="shared" si="179"/>
        <v/>
      </c>
      <c r="DM20" s="103" t="str">
        <f t="shared" si="180"/>
        <v/>
      </c>
      <c r="DN20" s="104">
        <f t="shared" si="181"/>
        <v>0</v>
      </c>
      <c r="DO20" s="99" t="str">
        <f t="shared" si="182"/>
        <v/>
      </c>
      <c r="DP20" s="100" t="str">
        <f t="shared" si="183"/>
        <v/>
      </c>
      <c r="DQ20" s="101">
        <f t="shared" si="184"/>
        <v>0</v>
      </c>
      <c r="DR20" s="102" t="str">
        <f t="shared" si="185"/>
        <v/>
      </c>
      <c r="DS20" s="103" t="str">
        <f t="shared" si="186"/>
        <v/>
      </c>
      <c r="DT20" s="104">
        <f t="shared" si="187"/>
        <v>0</v>
      </c>
    </row>
    <row r="21" ht="15.75" customHeight="1">
      <c r="A21" s="12" t="str">
        <f>Menus!R12</f>
        <v/>
      </c>
      <c r="B21" s="32">
        <f t="shared" ref="B21:C21" si="196">SUMIF($H$2:DT$2,$H$2,H21:DT21)</f>
        <v>0</v>
      </c>
      <c r="C21" s="32">
        <f t="shared" si="196"/>
        <v>0</v>
      </c>
      <c r="D21" s="32">
        <f t="shared" si="67"/>
        <v>0</v>
      </c>
      <c r="E21" s="93" t="str">
        <f t="shared" si="68"/>
        <v/>
      </c>
      <c r="F21" s="94" t="str">
        <f t="shared" si="69"/>
        <v/>
      </c>
      <c r="G21" s="95">
        <f t="shared" si="70"/>
        <v>0</v>
      </c>
      <c r="H21" s="96" t="str">
        <f t="shared" si="71"/>
        <v/>
      </c>
      <c r="I21" s="97" t="str">
        <f t="shared" si="72"/>
        <v/>
      </c>
      <c r="J21" s="98">
        <f t="shared" si="73"/>
        <v>0</v>
      </c>
      <c r="K21" s="99" t="str">
        <f t="shared" si="74"/>
        <v/>
      </c>
      <c r="L21" s="100" t="str">
        <f t="shared" si="75"/>
        <v/>
      </c>
      <c r="M21" s="101">
        <f t="shared" si="76"/>
        <v>0</v>
      </c>
      <c r="N21" s="102" t="str">
        <f t="shared" si="77"/>
        <v/>
      </c>
      <c r="O21" s="103" t="str">
        <f t="shared" si="78"/>
        <v/>
      </c>
      <c r="P21" s="104">
        <f t="shared" si="79"/>
        <v>0</v>
      </c>
      <c r="Q21" s="99" t="str">
        <f t="shared" si="80"/>
        <v/>
      </c>
      <c r="R21" s="100" t="str">
        <f t="shared" si="81"/>
        <v/>
      </c>
      <c r="S21" s="101">
        <f t="shared" si="82"/>
        <v>0</v>
      </c>
      <c r="T21" s="102" t="str">
        <f t="shared" si="83"/>
        <v/>
      </c>
      <c r="U21" s="103" t="str">
        <f t="shared" si="84"/>
        <v/>
      </c>
      <c r="V21" s="104">
        <f t="shared" si="85"/>
        <v>0</v>
      </c>
      <c r="W21" s="99" t="str">
        <f t="shared" si="86"/>
        <v/>
      </c>
      <c r="X21" s="100" t="str">
        <f t="shared" si="87"/>
        <v/>
      </c>
      <c r="Y21" s="101">
        <f t="shared" si="88"/>
        <v>0</v>
      </c>
      <c r="Z21" s="102" t="str">
        <f t="shared" si="89"/>
        <v/>
      </c>
      <c r="AA21" s="103" t="str">
        <f t="shared" si="90"/>
        <v/>
      </c>
      <c r="AB21" s="104">
        <f t="shared" si="91"/>
        <v>0</v>
      </c>
      <c r="AC21" s="99" t="str">
        <f t="shared" si="92"/>
        <v/>
      </c>
      <c r="AD21" s="100" t="str">
        <f t="shared" si="93"/>
        <v/>
      </c>
      <c r="AE21" s="101">
        <f t="shared" si="94"/>
        <v>0</v>
      </c>
      <c r="AF21" s="102" t="str">
        <f t="shared" si="95"/>
        <v/>
      </c>
      <c r="AG21" s="103" t="str">
        <f t="shared" si="96"/>
        <v/>
      </c>
      <c r="AH21" s="104">
        <f t="shared" si="97"/>
        <v>0</v>
      </c>
      <c r="AI21" s="99" t="str">
        <f t="shared" si="98"/>
        <v/>
      </c>
      <c r="AJ21" s="100" t="str">
        <f t="shared" si="99"/>
        <v/>
      </c>
      <c r="AK21" s="101">
        <f t="shared" si="100"/>
        <v>0</v>
      </c>
      <c r="AL21" s="102" t="str">
        <f t="shared" si="101"/>
        <v/>
      </c>
      <c r="AM21" s="103" t="str">
        <f t="shared" si="102"/>
        <v/>
      </c>
      <c r="AN21" s="104">
        <f t="shared" si="103"/>
        <v>0</v>
      </c>
      <c r="AO21" s="99" t="str">
        <f t="shared" si="104"/>
        <v/>
      </c>
      <c r="AP21" s="100" t="str">
        <f t="shared" si="105"/>
        <v/>
      </c>
      <c r="AQ21" s="101">
        <f t="shared" si="106"/>
        <v>0</v>
      </c>
      <c r="AR21" s="102" t="str">
        <f t="shared" si="107"/>
        <v/>
      </c>
      <c r="AS21" s="103" t="str">
        <f t="shared" si="108"/>
        <v/>
      </c>
      <c r="AT21" s="104">
        <f t="shared" si="109"/>
        <v>0</v>
      </c>
      <c r="AU21" s="99" t="str">
        <f t="shared" si="110"/>
        <v/>
      </c>
      <c r="AV21" s="100" t="str">
        <f t="shared" si="111"/>
        <v/>
      </c>
      <c r="AW21" s="101">
        <f t="shared" si="112"/>
        <v>0</v>
      </c>
      <c r="AX21" s="102" t="str">
        <f t="shared" si="113"/>
        <v/>
      </c>
      <c r="AY21" s="103" t="str">
        <f t="shared" si="114"/>
        <v/>
      </c>
      <c r="AZ21" s="104">
        <f t="shared" si="115"/>
        <v>0</v>
      </c>
      <c r="BA21" s="99" t="str">
        <f t="shared" si="116"/>
        <v/>
      </c>
      <c r="BB21" s="100" t="str">
        <f t="shared" si="117"/>
        <v/>
      </c>
      <c r="BC21" s="101">
        <f t="shared" si="118"/>
        <v>0</v>
      </c>
      <c r="BD21" s="102" t="str">
        <f t="shared" si="119"/>
        <v/>
      </c>
      <c r="BE21" s="103" t="str">
        <f t="shared" si="120"/>
        <v/>
      </c>
      <c r="BF21" s="104">
        <f t="shared" si="121"/>
        <v>0</v>
      </c>
      <c r="BG21" s="99" t="str">
        <f t="shared" si="122"/>
        <v/>
      </c>
      <c r="BH21" s="100" t="str">
        <f t="shared" si="123"/>
        <v/>
      </c>
      <c r="BI21" s="101">
        <f t="shared" si="124"/>
        <v>0</v>
      </c>
      <c r="BJ21" s="102" t="str">
        <f t="shared" si="125"/>
        <v/>
      </c>
      <c r="BK21" s="103" t="str">
        <f t="shared" si="126"/>
        <v/>
      </c>
      <c r="BL21" s="104">
        <f t="shared" si="127"/>
        <v>0</v>
      </c>
      <c r="BM21" s="99" t="str">
        <f t="shared" si="128"/>
        <v/>
      </c>
      <c r="BN21" s="100" t="str">
        <f t="shared" si="129"/>
        <v/>
      </c>
      <c r="BO21" s="101">
        <f t="shared" si="130"/>
        <v>0</v>
      </c>
      <c r="BP21" s="102" t="str">
        <f t="shared" si="131"/>
        <v/>
      </c>
      <c r="BQ21" s="103" t="str">
        <f t="shared" si="132"/>
        <v/>
      </c>
      <c r="BR21" s="104">
        <f t="shared" si="133"/>
        <v>0</v>
      </c>
      <c r="BS21" s="99" t="str">
        <f t="shared" si="134"/>
        <v/>
      </c>
      <c r="BT21" s="100" t="str">
        <f t="shared" si="135"/>
        <v/>
      </c>
      <c r="BU21" s="101">
        <f t="shared" si="136"/>
        <v>0</v>
      </c>
      <c r="BV21" s="102" t="str">
        <f t="shared" si="137"/>
        <v/>
      </c>
      <c r="BW21" s="103" t="str">
        <f t="shared" si="138"/>
        <v/>
      </c>
      <c r="BX21" s="104">
        <f t="shared" si="139"/>
        <v>0</v>
      </c>
      <c r="BY21" s="99" t="str">
        <f t="shared" si="140"/>
        <v/>
      </c>
      <c r="BZ21" s="100" t="str">
        <f t="shared" si="141"/>
        <v/>
      </c>
      <c r="CA21" s="101">
        <f t="shared" si="142"/>
        <v>0</v>
      </c>
      <c r="CB21" s="102" t="str">
        <f t="shared" si="143"/>
        <v/>
      </c>
      <c r="CC21" s="103" t="str">
        <f t="shared" si="144"/>
        <v/>
      </c>
      <c r="CD21" s="104">
        <f t="shared" si="145"/>
        <v>0</v>
      </c>
      <c r="CE21" s="99" t="str">
        <f t="shared" si="146"/>
        <v/>
      </c>
      <c r="CF21" s="100" t="str">
        <f t="shared" si="147"/>
        <v/>
      </c>
      <c r="CG21" s="101">
        <f t="shared" si="148"/>
        <v>0</v>
      </c>
      <c r="CH21" s="102" t="str">
        <f t="shared" si="149"/>
        <v/>
      </c>
      <c r="CI21" s="103" t="str">
        <f t="shared" si="150"/>
        <v/>
      </c>
      <c r="CJ21" s="104">
        <f t="shared" si="151"/>
        <v>0</v>
      </c>
      <c r="CK21" s="99" t="str">
        <f t="shared" si="152"/>
        <v/>
      </c>
      <c r="CL21" s="100" t="str">
        <f t="shared" si="153"/>
        <v/>
      </c>
      <c r="CM21" s="101">
        <f t="shared" si="154"/>
        <v>0</v>
      </c>
      <c r="CN21" s="102" t="str">
        <f t="shared" si="155"/>
        <v/>
      </c>
      <c r="CO21" s="103" t="str">
        <f t="shared" si="156"/>
        <v/>
      </c>
      <c r="CP21" s="104">
        <f t="shared" si="157"/>
        <v>0</v>
      </c>
      <c r="CQ21" s="99" t="str">
        <f t="shared" si="158"/>
        <v/>
      </c>
      <c r="CR21" s="100" t="str">
        <f t="shared" si="159"/>
        <v/>
      </c>
      <c r="CS21" s="101">
        <f t="shared" si="160"/>
        <v>0</v>
      </c>
      <c r="CT21" s="102" t="str">
        <f t="shared" si="161"/>
        <v/>
      </c>
      <c r="CU21" s="103" t="str">
        <f t="shared" si="162"/>
        <v/>
      </c>
      <c r="CV21" s="104">
        <f t="shared" si="163"/>
        <v>0</v>
      </c>
      <c r="CW21" s="99" t="str">
        <f t="shared" si="164"/>
        <v/>
      </c>
      <c r="CX21" s="100" t="str">
        <f t="shared" si="165"/>
        <v/>
      </c>
      <c r="CY21" s="101">
        <f t="shared" si="166"/>
        <v>0</v>
      </c>
      <c r="CZ21" s="102" t="str">
        <f t="shared" si="167"/>
        <v/>
      </c>
      <c r="DA21" s="103" t="str">
        <f t="shared" si="168"/>
        <v/>
      </c>
      <c r="DB21" s="104">
        <f t="shared" si="169"/>
        <v>0</v>
      </c>
      <c r="DC21" s="99" t="str">
        <f t="shared" si="170"/>
        <v/>
      </c>
      <c r="DD21" s="100" t="str">
        <f t="shared" si="171"/>
        <v/>
      </c>
      <c r="DE21" s="101">
        <f t="shared" si="172"/>
        <v>0</v>
      </c>
      <c r="DF21" s="102" t="str">
        <f t="shared" si="173"/>
        <v/>
      </c>
      <c r="DG21" s="103" t="str">
        <f t="shared" si="174"/>
        <v/>
      </c>
      <c r="DH21" s="104">
        <f t="shared" si="175"/>
        <v>0</v>
      </c>
      <c r="DI21" s="99" t="str">
        <f t="shared" si="176"/>
        <v/>
      </c>
      <c r="DJ21" s="100" t="str">
        <f t="shared" si="177"/>
        <v/>
      </c>
      <c r="DK21" s="101">
        <f t="shared" si="178"/>
        <v>0</v>
      </c>
      <c r="DL21" s="102" t="str">
        <f t="shared" si="179"/>
        <v/>
      </c>
      <c r="DM21" s="103" t="str">
        <f t="shared" si="180"/>
        <v/>
      </c>
      <c r="DN21" s="104">
        <f t="shared" si="181"/>
        <v>0</v>
      </c>
      <c r="DO21" s="99" t="str">
        <f t="shared" si="182"/>
        <v/>
      </c>
      <c r="DP21" s="100" t="str">
        <f t="shared" si="183"/>
        <v/>
      </c>
      <c r="DQ21" s="101">
        <f t="shared" si="184"/>
        <v>0</v>
      </c>
      <c r="DR21" s="102" t="str">
        <f t="shared" si="185"/>
        <v/>
      </c>
      <c r="DS21" s="103" t="str">
        <f t="shared" si="186"/>
        <v/>
      </c>
      <c r="DT21" s="104">
        <f t="shared" si="187"/>
        <v>0</v>
      </c>
    </row>
    <row r="22" ht="15.75" customHeight="1">
      <c r="A22" s="12" t="str">
        <f>Menus!R13</f>
        <v/>
      </c>
      <c r="B22" s="32">
        <f t="shared" ref="B22:C22" si="197">SUMIF($H$2:DT$2,$H$2,H22:DT22)</f>
        <v>0</v>
      </c>
      <c r="C22" s="32">
        <f t="shared" si="197"/>
        <v>0</v>
      </c>
      <c r="D22" s="32">
        <f t="shared" si="67"/>
        <v>0</v>
      </c>
      <c r="E22" s="93" t="str">
        <f t="shared" si="68"/>
        <v/>
      </c>
      <c r="F22" s="94" t="str">
        <f t="shared" si="69"/>
        <v/>
      </c>
      <c r="G22" s="95">
        <f t="shared" si="70"/>
        <v>0</v>
      </c>
      <c r="H22" s="96" t="str">
        <f t="shared" si="71"/>
        <v/>
      </c>
      <c r="I22" s="97" t="str">
        <f t="shared" si="72"/>
        <v/>
      </c>
      <c r="J22" s="98">
        <f t="shared" si="73"/>
        <v>0</v>
      </c>
      <c r="K22" s="99" t="str">
        <f t="shared" si="74"/>
        <v/>
      </c>
      <c r="L22" s="100" t="str">
        <f t="shared" si="75"/>
        <v/>
      </c>
      <c r="M22" s="101">
        <f t="shared" si="76"/>
        <v>0</v>
      </c>
      <c r="N22" s="102" t="str">
        <f t="shared" si="77"/>
        <v/>
      </c>
      <c r="O22" s="103" t="str">
        <f t="shared" si="78"/>
        <v/>
      </c>
      <c r="P22" s="104">
        <f t="shared" si="79"/>
        <v>0</v>
      </c>
      <c r="Q22" s="99" t="str">
        <f t="shared" si="80"/>
        <v/>
      </c>
      <c r="R22" s="100" t="str">
        <f t="shared" si="81"/>
        <v/>
      </c>
      <c r="S22" s="101">
        <f t="shared" si="82"/>
        <v>0</v>
      </c>
      <c r="T22" s="102" t="str">
        <f t="shared" si="83"/>
        <v/>
      </c>
      <c r="U22" s="103" t="str">
        <f t="shared" si="84"/>
        <v/>
      </c>
      <c r="V22" s="104">
        <f t="shared" si="85"/>
        <v>0</v>
      </c>
      <c r="W22" s="99" t="str">
        <f t="shared" si="86"/>
        <v/>
      </c>
      <c r="X22" s="100" t="str">
        <f t="shared" si="87"/>
        <v/>
      </c>
      <c r="Y22" s="101">
        <f t="shared" si="88"/>
        <v>0</v>
      </c>
      <c r="Z22" s="102" t="str">
        <f t="shared" si="89"/>
        <v/>
      </c>
      <c r="AA22" s="103" t="str">
        <f t="shared" si="90"/>
        <v/>
      </c>
      <c r="AB22" s="104">
        <f t="shared" si="91"/>
        <v>0</v>
      </c>
      <c r="AC22" s="99" t="str">
        <f t="shared" si="92"/>
        <v/>
      </c>
      <c r="AD22" s="100" t="str">
        <f t="shared" si="93"/>
        <v/>
      </c>
      <c r="AE22" s="101">
        <f t="shared" si="94"/>
        <v>0</v>
      </c>
      <c r="AF22" s="102" t="str">
        <f t="shared" si="95"/>
        <v/>
      </c>
      <c r="AG22" s="103" t="str">
        <f t="shared" si="96"/>
        <v/>
      </c>
      <c r="AH22" s="104">
        <f t="shared" si="97"/>
        <v>0</v>
      </c>
      <c r="AI22" s="99" t="str">
        <f t="shared" si="98"/>
        <v/>
      </c>
      <c r="AJ22" s="100" t="str">
        <f t="shared" si="99"/>
        <v/>
      </c>
      <c r="AK22" s="101">
        <f t="shared" si="100"/>
        <v>0</v>
      </c>
      <c r="AL22" s="102" t="str">
        <f t="shared" si="101"/>
        <v/>
      </c>
      <c r="AM22" s="103" t="str">
        <f t="shared" si="102"/>
        <v/>
      </c>
      <c r="AN22" s="104">
        <f t="shared" si="103"/>
        <v>0</v>
      </c>
      <c r="AO22" s="99" t="str">
        <f t="shared" si="104"/>
        <v/>
      </c>
      <c r="AP22" s="100" t="str">
        <f t="shared" si="105"/>
        <v/>
      </c>
      <c r="AQ22" s="101">
        <f t="shared" si="106"/>
        <v>0</v>
      </c>
      <c r="AR22" s="102" t="str">
        <f t="shared" si="107"/>
        <v/>
      </c>
      <c r="AS22" s="103" t="str">
        <f t="shared" si="108"/>
        <v/>
      </c>
      <c r="AT22" s="104">
        <f t="shared" si="109"/>
        <v>0</v>
      </c>
      <c r="AU22" s="99" t="str">
        <f t="shared" si="110"/>
        <v/>
      </c>
      <c r="AV22" s="100" t="str">
        <f t="shared" si="111"/>
        <v/>
      </c>
      <c r="AW22" s="101">
        <f t="shared" si="112"/>
        <v>0</v>
      </c>
      <c r="AX22" s="102" t="str">
        <f t="shared" si="113"/>
        <v/>
      </c>
      <c r="AY22" s="103" t="str">
        <f t="shared" si="114"/>
        <v/>
      </c>
      <c r="AZ22" s="104">
        <f t="shared" si="115"/>
        <v>0</v>
      </c>
      <c r="BA22" s="99" t="str">
        <f t="shared" si="116"/>
        <v/>
      </c>
      <c r="BB22" s="100" t="str">
        <f t="shared" si="117"/>
        <v/>
      </c>
      <c r="BC22" s="101">
        <f t="shared" si="118"/>
        <v>0</v>
      </c>
      <c r="BD22" s="102" t="str">
        <f t="shared" si="119"/>
        <v/>
      </c>
      <c r="BE22" s="103" t="str">
        <f t="shared" si="120"/>
        <v/>
      </c>
      <c r="BF22" s="104">
        <f t="shared" si="121"/>
        <v>0</v>
      </c>
      <c r="BG22" s="99" t="str">
        <f t="shared" si="122"/>
        <v/>
      </c>
      <c r="BH22" s="100" t="str">
        <f t="shared" si="123"/>
        <v/>
      </c>
      <c r="BI22" s="101">
        <f t="shared" si="124"/>
        <v>0</v>
      </c>
      <c r="BJ22" s="102" t="str">
        <f t="shared" si="125"/>
        <v/>
      </c>
      <c r="BK22" s="103" t="str">
        <f t="shared" si="126"/>
        <v/>
      </c>
      <c r="BL22" s="104">
        <f t="shared" si="127"/>
        <v>0</v>
      </c>
      <c r="BM22" s="99" t="str">
        <f t="shared" si="128"/>
        <v/>
      </c>
      <c r="BN22" s="100" t="str">
        <f t="shared" si="129"/>
        <v/>
      </c>
      <c r="BO22" s="101">
        <f t="shared" si="130"/>
        <v>0</v>
      </c>
      <c r="BP22" s="102" t="str">
        <f t="shared" si="131"/>
        <v/>
      </c>
      <c r="BQ22" s="103" t="str">
        <f t="shared" si="132"/>
        <v/>
      </c>
      <c r="BR22" s="104">
        <f t="shared" si="133"/>
        <v>0</v>
      </c>
      <c r="BS22" s="99" t="str">
        <f t="shared" si="134"/>
        <v/>
      </c>
      <c r="BT22" s="100" t="str">
        <f t="shared" si="135"/>
        <v/>
      </c>
      <c r="BU22" s="101">
        <f t="shared" si="136"/>
        <v>0</v>
      </c>
      <c r="BV22" s="102" t="str">
        <f t="shared" si="137"/>
        <v/>
      </c>
      <c r="BW22" s="103" t="str">
        <f t="shared" si="138"/>
        <v/>
      </c>
      <c r="BX22" s="104">
        <f t="shared" si="139"/>
        <v>0</v>
      </c>
      <c r="BY22" s="99" t="str">
        <f t="shared" si="140"/>
        <v/>
      </c>
      <c r="BZ22" s="100" t="str">
        <f t="shared" si="141"/>
        <v/>
      </c>
      <c r="CA22" s="101">
        <f t="shared" si="142"/>
        <v>0</v>
      </c>
      <c r="CB22" s="102" t="str">
        <f t="shared" si="143"/>
        <v/>
      </c>
      <c r="CC22" s="103" t="str">
        <f t="shared" si="144"/>
        <v/>
      </c>
      <c r="CD22" s="104">
        <f t="shared" si="145"/>
        <v>0</v>
      </c>
      <c r="CE22" s="99" t="str">
        <f t="shared" si="146"/>
        <v/>
      </c>
      <c r="CF22" s="100" t="str">
        <f t="shared" si="147"/>
        <v/>
      </c>
      <c r="CG22" s="101">
        <f t="shared" si="148"/>
        <v>0</v>
      </c>
      <c r="CH22" s="102" t="str">
        <f t="shared" si="149"/>
        <v/>
      </c>
      <c r="CI22" s="103" t="str">
        <f t="shared" si="150"/>
        <v/>
      </c>
      <c r="CJ22" s="104">
        <f t="shared" si="151"/>
        <v>0</v>
      </c>
      <c r="CK22" s="99" t="str">
        <f t="shared" si="152"/>
        <v/>
      </c>
      <c r="CL22" s="100" t="str">
        <f t="shared" si="153"/>
        <v/>
      </c>
      <c r="CM22" s="101">
        <f t="shared" si="154"/>
        <v>0</v>
      </c>
      <c r="CN22" s="102" t="str">
        <f t="shared" si="155"/>
        <v/>
      </c>
      <c r="CO22" s="103" t="str">
        <f t="shared" si="156"/>
        <v/>
      </c>
      <c r="CP22" s="104">
        <f t="shared" si="157"/>
        <v>0</v>
      </c>
      <c r="CQ22" s="99" t="str">
        <f t="shared" si="158"/>
        <v/>
      </c>
      <c r="CR22" s="100" t="str">
        <f t="shared" si="159"/>
        <v/>
      </c>
      <c r="CS22" s="101">
        <f t="shared" si="160"/>
        <v>0</v>
      </c>
      <c r="CT22" s="102" t="str">
        <f t="shared" si="161"/>
        <v/>
      </c>
      <c r="CU22" s="103" t="str">
        <f t="shared" si="162"/>
        <v/>
      </c>
      <c r="CV22" s="104">
        <f t="shared" si="163"/>
        <v>0</v>
      </c>
      <c r="CW22" s="99" t="str">
        <f t="shared" si="164"/>
        <v/>
      </c>
      <c r="CX22" s="100" t="str">
        <f t="shared" si="165"/>
        <v/>
      </c>
      <c r="CY22" s="101">
        <f t="shared" si="166"/>
        <v>0</v>
      </c>
      <c r="CZ22" s="102" t="str">
        <f t="shared" si="167"/>
        <v/>
      </c>
      <c r="DA22" s="103" t="str">
        <f t="shared" si="168"/>
        <v/>
      </c>
      <c r="DB22" s="104">
        <f t="shared" si="169"/>
        <v>0</v>
      </c>
      <c r="DC22" s="99" t="str">
        <f t="shared" si="170"/>
        <v/>
      </c>
      <c r="DD22" s="100" t="str">
        <f t="shared" si="171"/>
        <v/>
      </c>
      <c r="DE22" s="101">
        <f t="shared" si="172"/>
        <v>0</v>
      </c>
      <c r="DF22" s="102" t="str">
        <f t="shared" si="173"/>
        <v/>
      </c>
      <c r="DG22" s="103" t="str">
        <f t="shared" si="174"/>
        <v/>
      </c>
      <c r="DH22" s="104">
        <f t="shared" si="175"/>
        <v>0</v>
      </c>
      <c r="DI22" s="99" t="str">
        <f t="shared" si="176"/>
        <v/>
      </c>
      <c r="DJ22" s="100" t="str">
        <f t="shared" si="177"/>
        <v/>
      </c>
      <c r="DK22" s="101">
        <f t="shared" si="178"/>
        <v>0</v>
      </c>
      <c r="DL22" s="102" t="str">
        <f t="shared" si="179"/>
        <v/>
      </c>
      <c r="DM22" s="103" t="str">
        <f t="shared" si="180"/>
        <v/>
      </c>
      <c r="DN22" s="104">
        <f t="shared" si="181"/>
        <v>0</v>
      </c>
      <c r="DO22" s="99" t="str">
        <f t="shared" si="182"/>
        <v/>
      </c>
      <c r="DP22" s="100" t="str">
        <f t="shared" si="183"/>
        <v/>
      </c>
      <c r="DQ22" s="101">
        <f t="shared" si="184"/>
        <v>0</v>
      </c>
      <c r="DR22" s="102" t="str">
        <f t="shared" si="185"/>
        <v/>
      </c>
      <c r="DS22" s="103" t="str">
        <f t="shared" si="186"/>
        <v/>
      </c>
      <c r="DT22" s="104">
        <f t="shared" si="187"/>
        <v>0</v>
      </c>
    </row>
    <row r="23" ht="15.75" customHeight="1">
      <c r="A23" s="12" t="str">
        <f>Menus!R14</f>
        <v/>
      </c>
      <c r="B23" s="32">
        <f t="shared" ref="B23:C23" si="198">SUMIF($H$2:DT$2,$H$2,H23:DT23)</f>
        <v>0</v>
      </c>
      <c r="C23" s="32">
        <f t="shared" si="198"/>
        <v>0</v>
      </c>
      <c r="D23" s="32">
        <f t="shared" si="67"/>
        <v>0</v>
      </c>
      <c r="E23" s="93" t="str">
        <f t="shared" si="68"/>
        <v/>
      </c>
      <c r="F23" s="94" t="str">
        <f t="shared" si="69"/>
        <v/>
      </c>
      <c r="G23" s="95">
        <f t="shared" si="70"/>
        <v>0</v>
      </c>
      <c r="H23" s="96" t="str">
        <f t="shared" si="71"/>
        <v/>
      </c>
      <c r="I23" s="97" t="str">
        <f t="shared" si="72"/>
        <v/>
      </c>
      <c r="J23" s="98">
        <f t="shared" si="73"/>
        <v>0</v>
      </c>
      <c r="K23" s="99" t="str">
        <f t="shared" si="74"/>
        <v/>
      </c>
      <c r="L23" s="100" t="str">
        <f t="shared" si="75"/>
        <v/>
      </c>
      <c r="M23" s="101">
        <f t="shared" si="76"/>
        <v>0</v>
      </c>
      <c r="N23" s="102" t="str">
        <f t="shared" si="77"/>
        <v/>
      </c>
      <c r="O23" s="103" t="str">
        <f t="shared" si="78"/>
        <v/>
      </c>
      <c r="P23" s="104">
        <f t="shared" si="79"/>
        <v>0</v>
      </c>
      <c r="Q23" s="99" t="str">
        <f t="shared" si="80"/>
        <v/>
      </c>
      <c r="R23" s="100" t="str">
        <f t="shared" si="81"/>
        <v/>
      </c>
      <c r="S23" s="101">
        <f t="shared" si="82"/>
        <v>0</v>
      </c>
      <c r="T23" s="102" t="str">
        <f t="shared" si="83"/>
        <v/>
      </c>
      <c r="U23" s="103" t="str">
        <f t="shared" si="84"/>
        <v/>
      </c>
      <c r="V23" s="104">
        <f t="shared" si="85"/>
        <v>0</v>
      </c>
      <c r="W23" s="99" t="str">
        <f t="shared" si="86"/>
        <v/>
      </c>
      <c r="X23" s="100" t="str">
        <f t="shared" si="87"/>
        <v/>
      </c>
      <c r="Y23" s="101">
        <f t="shared" si="88"/>
        <v>0</v>
      </c>
      <c r="Z23" s="102" t="str">
        <f t="shared" si="89"/>
        <v/>
      </c>
      <c r="AA23" s="103" t="str">
        <f t="shared" si="90"/>
        <v/>
      </c>
      <c r="AB23" s="104">
        <f t="shared" si="91"/>
        <v>0</v>
      </c>
      <c r="AC23" s="99" t="str">
        <f t="shared" si="92"/>
        <v/>
      </c>
      <c r="AD23" s="100" t="str">
        <f t="shared" si="93"/>
        <v/>
      </c>
      <c r="AE23" s="101">
        <f t="shared" si="94"/>
        <v>0</v>
      </c>
      <c r="AF23" s="102" t="str">
        <f t="shared" si="95"/>
        <v/>
      </c>
      <c r="AG23" s="103" t="str">
        <f t="shared" si="96"/>
        <v/>
      </c>
      <c r="AH23" s="104">
        <f t="shared" si="97"/>
        <v>0</v>
      </c>
      <c r="AI23" s="99" t="str">
        <f t="shared" si="98"/>
        <v/>
      </c>
      <c r="AJ23" s="100" t="str">
        <f t="shared" si="99"/>
        <v/>
      </c>
      <c r="AK23" s="101">
        <f t="shared" si="100"/>
        <v>0</v>
      </c>
      <c r="AL23" s="102" t="str">
        <f t="shared" si="101"/>
        <v/>
      </c>
      <c r="AM23" s="103" t="str">
        <f t="shared" si="102"/>
        <v/>
      </c>
      <c r="AN23" s="104">
        <f t="shared" si="103"/>
        <v>0</v>
      </c>
      <c r="AO23" s="99" t="str">
        <f t="shared" si="104"/>
        <v/>
      </c>
      <c r="AP23" s="100" t="str">
        <f t="shared" si="105"/>
        <v/>
      </c>
      <c r="AQ23" s="101">
        <f t="shared" si="106"/>
        <v>0</v>
      </c>
      <c r="AR23" s="102" t="str">
        <f t="shared" si="107"/>
        <v/>
      </c>
      <c r="AS23" s="103" t="str">
        <f t="shared" si="108"/>
        <v/>
      </c>
      <c r="AT23" s="104">
        <f t="shared" si="109"/>
        <v>0</v>
      </c>
      <c r="AU23" s="99" t="str">
        <f t="shared" si="110"/>
        <v/>
      </c>
      <c r="AV23" s="100" t="str">
        <f t="shared" si="111"/>
        <v/>
      </c>
      <c r="AW23" s="101">
        <f t="shared" si="112"/>
        <v>0</v>
      </c>
      <c r="AX23" s="102" t="str">
        <f t="shared" si="113"/>
        <v/>
      </c>
      <c r="AY23" s="103" t="str">
        <f t="shared" si="114"/>
        <v/>
      </c>
      <c r="AZ23" s="104">
        <f t="shared" si="115"/>
        <v>0</v>
      </c>
      <c r="BA23" s="99" t="str">
        <f t="shared" si="116"/>
        <v/>
      </c>
      <c r="BB23" s="100" t="str">
        <f t="shared" si="117"/>
        <v/>
      </c>
      <c r="BC23" s="101">
        <f t="shared" si="118"/>
        <v>0</v>
      </c>
      <c r="BD23" s="102" t="str">
        <f t="shared" si="119"/>
        <v/>
      </c>
      <c r="BE23" s="103" t="str">
        <f t="shared" si="120"/>
        <v/>
      </c>
      <c r="BF23" s="104">
        <f t="shared" si="121"/>
        <v>0</v>
      </c>
      <c r="BG23" s="99" t="str">
        <f t="shared" si="122"/>
        <v/>
      </c>
      <c r="BH23" s="100" t="str">
        <f t="shared" si="123"/>
        <v/>
      </c>
      <c r="BI23" s="101">
        <f t="shared" si="124"/>
        <v>0</v>
      </c>
      <c r="BJ23" s="102" t="str">
        <f t="shared" si="125"/>
        <v/>
      </c>
      <c r="BK23" s="103" t="str">
        <f t="shared" si="126"/>
        <v/>
      </c>
      <c r="BL23" s="104">
        <f t="shared" si="127"/>
        <v>0</v>
      </c>
      <c r="BM23" s="99" t="str">
        <f t="shared" si="128"/>
        <v/>
      </c>
      <c r="BN23" s="100" t="str">
        <f t="shared" si="129"/>
        <v/>
      </c>
      <c r="BO23" s="101">
        <f t="shared" si="130"/>
        <v>0</v>
      </c>
      <c r="BP23" s="102" t="str">
        <f t="shared" si="131"/>
        <v/>
      </c>
      <c r="BQ23" s="103" t="str">
        <f t="shared" si="132"/>
        <v/>
      </c>
      <c r="BR23" s="104">
        <f t="shared" si="133"/>
        <v>0</v>
      </c>
      <c r="BS23" s="99" t="str">
        <f t="shared" si="134"/>
        <v/>
      </c>
      <c r="BT23" s="100" t="str">
        <f t="shared" si="135"/>
        <v/>
      </c>
      <c r="BU23" s="101">
        <f t="shared" si="136"/>
        <v>0</v>
      </c>
      <c r="BV23" s="102" t="str">
        <f t="shared" si="137"/>
        <v/>
      </c>
      <c r="BW23" s="103" t="str">
        <f t="shared" si="138"/>
        <v/>
      </c>
      <c r="BX23" s="104">
        <f t="shared" si="139"/>
        <v>0</v>
      </c>
      <c r="BY23" s="99" t="str">
        <f t="shared" si="140"/>
        <v/>
      </c>
      <c r="BZ23" s="100" t="str">
        <f t="shared" si="141"/>
        <v/>
      </c>
      <c r="CA23" s="101">
        <f t="shared" si="142"/>
        <v>0</v>
      </c>
      <c r="CB23" s="102" t="str">
        <f t="shared" si="143"/>
        <v/>
      </c>
      <c r="CC23" s="103" t="str">
        <f t="shared" si="144"/>
        <v/>
      </c>
      <c r="CD23" s="104">
        <f t="shared" si="145"/>
        <v>0</v>
      </c>
      <c r="CE23" s="99" t="str">
        <f t="shared" si="146"/>
        <v/>
      </c>
      <c r="CF23" s="100" t="str">
        <f t="shared" si="147"/>
        <v/>
      </c>
      <c r="CG23" s="101">
        <f t="shared" si="148"/>
        <v>0</v>
      </c>
      <c r="CH23" s="102" t="str">
        <f t="shared" si="149"/>
        <v/>
      </c>
      <c r="CI23" s="103" t="str">
        <f t="shared" si="150"/>
        <v/>
      </c>
      <c r="CJ23" s="104">
        <f t="shared" si="151"/>
        <v>0</v>
      </c>
      <c r="CK23" s="99" t="str">
        <f t="shared" si="152"/>
        <v/>
      </c>
      <c r="CL23" s="100" t="str">
        <f t="shared" si="153"/>
        <v/>
      </c>
      <c r="CM23" s="101">
        <f t="shared" si="154"/>
        <v>0</v>
      </c>
      <c r="CN23" s="102" t="str">
        <f t="shared" si="155"/>
        <v/>
      </c>
      <c r="CO23" s="103" t="str">
        <f t="shared" si="156"/>
        <v/>
      </c>
      <c r="CP23" s="104">
        <f t="shared" si="157"/>
        <v>0</v>
      </c>
      <c r="CQ23" s="99" t="str">
        <f t="shared" si="158"/>
        <v/>
      </c>
      <c r="CR23" s="100" t="str">
        <f t="shared" si="159"/>
        <v/>
      </c>
      <c r="CS23" s="101">
        <f t="shared" si="160"/>
        <v>0</v>
      </c>
      <c r="CT23" s="102" t="str">
        <f t="shared" si="161"/>
        <v/>
      </c>
      <c r="CU23" s="103" t="str">
        <f t="shared" si="162"/>
        <v/>
      </c>
      <c r="CV23" s="104">
        <f t="shared" si="163"/>
        <v>0</v>
      </c>
      <c r="CW23" s="99" t="str">
        <f t="shared" si="164"/>
        <v/>
      </c>
      <c r="CX23" s="100" t="str">
        <f t="shared" si="165"/>
        <v/>
      </c>
      <c r="CY23" s="101">
        <f t="shared" si="166"/>
        <v>0</v>
      </c>
      <c r="CZ23" s="102" t="str">
        <f t="shared" si="167"/>
        <v/>
      </c>
      <c r="DA23" s="103" t="str">
        <f t="shared" si="168"/>
        <v/>
      </c>
      <c r="DB23" s="104">
        <f t="shared" si="169"/>
        <v>0</v>
      </c>
      <c r="DC23" s="99" t="str">
        <f t="shared" si="170"/>
        <v/>
      </c>
      <c r="DD23" s="100" t="str">
        <f t="shared" si="171"/>
        <v/>
      </c>
      <c r="DE23" s="101">
        <f t="shared" si="172"/>
        <v>0</v>
      </c>
      <c r="DF23" s="102" t="str">
        <f t="shared" si="173"/>
        <v/>
      </c>
      <c r="DG23" s="103" t="str">
        <f t="shared" si="174"/>
        <v/>
      </c>
      <c r="DH23" s="104">
        <f t="shared" si="175"/>
        <v>0</v>
      </c>
      <c r="DI23" s="99" t="str">
        <f t="shared" si="176"/>
        <v/>
      </c>
      <c r="DJ23" s="100" t="str">
        <f t="shared" si="177"/>
        <v/>
      </c>
      <c r="DK23" s="101">
        <f t="shared" si="178"/>
        <v>0</v>
      </c>
      <c r="DL23" s="102" t="str">
        <f t="shared" si="179"/>
        <v/>
      </c>
      <c r="DM23" s="103" t="str">
        <f t="shared" si="180"/>
        <v/>
      </c>
      <c r="DN23" s="104">
        <f t="shared" si="181"/>
        <v>0</v>
      </c>
      <c r="DO23" s="99" t="str">
        <f t="shared" si="182"/>
        <v/>
      </c>
      <c r="DP23" s="100" t="str">
        <f t="shared" si="183"/>
        <v/>
      </c>
      <c r="DQ23" s="101">
        <f t="shared" si="184"/>
        <v>0</v>
      </c>
      <c r="DR23" s="102" t="str">
        <f t="shared" si="185"/>
        <v/>
      </c>
      <c r="DS23" s="103" t="str">
        <f t="shared" si="186"/>
        <v/>
      </c>
      <c r="DT23" s="104">
        <f t="shared" si="187"/>
        <v>0</v>
      </c>
    </row>
    <row r="24" ht="15.75" customHeight="1">
      <c r="A24" s="12" t="str">
        <f>Menus!R15</f>
        <v/>
      </c>
      <c r="B24" s="32">
        <f t="shared" ref="B24:C24" si="199">SUMIF($H$2:DT$2,$H$2,H24:DT24)</f>
        <v>0</v>
      </c>
      <c r="C24" s="32">
        <f t="shared" si="199"/>
        <v>0</v>
      </c>
      <c r="D24" s="32">
        <f t="shared" si="67"/>
        <v>0</v>
      </c>
      <c r="E24" s="93" t="str">
        <f t="shared" si="68"/>
        <v/>
      </c>
      <c r="F24" s="94" t="str">
        <f t="shared" si="69"/>
        <v/>
      </c>
      <c r="G24" s="95">
        <f t="shared" si="70"/>
        <v>0</v>
      </c>
      <c r="H24" s="96" t="str">
        <f t="shared" si="71"/>
        <v/>
      </c>
      <c r="I24" s="97" t="str">
        <f t="shared" si="72"/>
        <v/>
      </c>
      <c r="J24" s="98">
        <f t="shared" si="73"/>
        <v>0</v>
      </c>
      <c r="K24" s="99" t="str">
        <f t="shared" si="74"/>
        <v/>
      </c>
      <c r="L24" s="100" t="str">
        <f t="shared" si="75"/>
        <v/>
      </c>
      <c r="M24" s="101">
        <f t="shared" si="76"/>
        <v>0</v>
      </c>
      <c r="N24" s="102" t="str">
        <f t="shared" si="77"/>
        <v/>
      </c>
      <c r="O24" s="103" t="str">
        <f t="shared" si="78"/>
        <v/>
      </c>
      <c r="P24" s="104">
        <f t="shared" si="79"/>
        <v>0</v>
      </c>
      <c r="Q24" s="99" t="str">
        <f t="shared" si="80"/>
        <v/>
      </c>
      <c r="R24" s="100" t="str">
        <f t="shared" si="81"/>
        <v/>
      </c>
      <c r="S24" s="101">
        <f t="shared" si="82"/>
        <v>0</v>
      </c>
      <c r="T24" s="102" t="str">
        <f t="shared" si="83"/>
        <v/>
      </c>
      <c r="U24" s="103" t="str">
        <f t="shared" si="84"/>
        <v/>
      </c>
      <c r="V24" s="104">
        <f t="shared" si="85"/>
        <v>0</v>
      </c>
      <c r="W24" s="99" t="str">
        <f t="shared" si="86"/>
        <v/>
      </c>
      <c r="X24" s="100" t="str">
        <f t="shared" si="87"/>
        <v/>
      </c>
      <c r="Y24" s="101">
        <f t="shared" si="88"/>
        <v>0</v>
      </c>
      <c r="Z24" s="102" t="str">
        <f t="shared" si="89"/>
        <v/>
      </c>
      <c r="AA24" s="103" t="str">
        <f t="shared" si="90"/>
        <v/>
      </c>
      <c r="AB24" s="104">
        <f t="shared" si="91"/>
        <v>0</v>
      </c>
      <c r="AC24" s="99" t="str">
        <f t="shared" si="92"/>
        <v/>
      </c>
      <c r="AD24" s="100" t="str">
        <f t="shared" si="93"/>
        <v/>
      </c>
      <c r="AE24" s="101">
        <f t="shared" si="94"/>
        <v>0</v>
      </c>
      <c r="AF24" s="102" t="str">
        <f t="shared" si="95"/>
        <v/>
      </c>
      <c r="AG24" s="103" t="str">
        <f t="shared" si="96"/>
        <v/>
      </c>
      <c r="AH24" s="104">
        <f t="shared" si="97"/>
        <v>0</v>
      </c>
      <c r="AI24" s="99" t="str">
        <f t="shared" si="98"/>
        <v/>
      </c>
      <c r="AJ24" s="100" t="str">
        <f t="shared" si="99"/>
        <v/>
      </c>
      <c r="AK24" s="101">
        <f t="shared" si="100"/>
        <v>0</v>
      </c>
      <c r="AL24" s="102" t="str">
        <f t="shared" si="101"/>
        <v/>
      </c>
      <c r="AM24" s="103" t="str">
        <f t="shared" si="102"/>
        <v/>
      </c>
      <c r="AN24" s="104">
        <f t="shared" si="103"/>
        <v>0</v>
      </c>
      <c r="AO24" s="99" t="str">
        <f t="shared" si="104"/>
        <v/>
      </c>
      <c r="AP24" s="100" t="str">
        <f t="shared" si="105"/>
        <v/>
      </c>
      <c r="AQ24" s="101">
        <f t="shared" si="106"/>
        <v>0</v>
      </c>
      <c r="AR24" s="102" t="str">
        <f t="shared" si="107"/>
        <v/>
      </c>
      <c r="AS24" s="103" t="str">
        <f t="shared" si="108"/>
        <v/>
      </c>
      <c r="AT24" s="104">
        <f t="shared" si="109"/>
        <v>0</v>
      </c>
      <c r="AU24" s="99" t="str">
        <f t="shared" si="110"/>
        <v/>
      </c>
      <c r="AV24" s="100" t="str">
        <f t="shared" si="111"/>
        <v/>
      </c>
      <c r="AW24" s="101">
        <f t="shared" si="112"/>
        <v>0</v>
      </c>
      <c r="AX24" s="102" t="str">
        <f t="shared" si="113"/>
        <v/>
      </c>
      <c r="AY24" s="103" t="str">
        <f t="shared" si="114"/>
        <v/>
      </c>
      <c r="AZ24" s="104">
        <f t="shared" si="115"/>
        <v>0</v>
      </c>
      <c r="BA24" s="99" t="str">
        <f t="shared" si="116"/>
        <v/>
      </c>
      <c r="BB24" s="100" t="str">
        <f t="shared" si="117"/>
        <v/>
      </c>
      <c r="BC24" s="101">
        <f t="shared" si="118"/>
        <v>0</v>
      </c>
      <c r="BD24" s="102" t="str">
        <f t="shared" si="119"/>
        <v/>
      </c>
      <c r="BE24" s="103" t="str">
        <f t="shared" si="120"/>
        <v/>
      </c>
      <c r="BF24" s="104">
        <f t="shared" si="121"/>
        <v>0</v>
      </c>
      <c r="BG24" s="99" t="str">
        <f t="shared" si="122"/>
        <v/>
      </c>
      <c r="BH24" s="100" t="str">
        <f t="shared" si="123"/>
        <v/>
      </c>
      <c r="BI24" s="101">
        <f t="shared" si="124"/>
        <v>0</v>
      </c>
      <c r="BJ24" s="102" t="str">
        <f t="shared" si="125"/>
        <v/>
      </c>
      <c r="BK24" s="103" t="str">
        <f t="shared" si="126"/>
        <v/>
      </c>
      <c r="BL24" s="104">
        <f t="shared" si="127"/>
        <v>0</v>
      </c>
      <c r="BM24" s="99" t="str">
        <f t="shared" si="128"/>
        <v/>
      </c>
      <c r="BN24" s="100" t="str">
        <f t="shared" si="129"/>
        <v/>
      </c>
      <c r="BO24" s="101">
        <f t="shared" si="130"/>
        <v>0</v>
      </c>
      <c r="BP24" s="102" t="str">
        <f t="shared" si="131"/>
        <v/>
      </c>
      <c r="BQ24" s="103" t="str">
        <f t="shared" si="132"/>
        <v/>
      </c>
      <c r="BR24" s="104">
        <f t="shared" si="133"/>
        <v>0</v>
      </c>
      <c r="BS24" s="99" t="str">
        <f t="shared" si="134"/>
        <v/>
      </c>
      <c r="BT24" s="100" t="str">
        <f t="shared" si="135"/>
        <v/>
      </c>
      <c r="BU24" s="101">
        <f t="shared" si="136"/>
        <v>0</v>
      </c>
      <c r="BV24" s="102" t="str">
        <f t="shared" si="137"/>
        <v/>
      </c>
      <c r="BW24" s="103" t="str">
        <f t="shared" si="138"/>
        <v/>
      </c>
      <c r="BX24" s="104">
        <f t="shared" si="139"/>
        <v>0</v>
      </c>
      <c r="BY24" s="99" t="str">
        <f t="shared" si="140"/>
        <v/>
      </c>
      <c r="BZ24" s="100" t="str">
        <f t="shared" si="141"/>
        <v/>
      </c>
      <c r="CA24" s="101">
        <f t="shared" si="142"/>
        <v>0</v>
      </c>
      <c r="CB24" s="102" t="str">
        <f t="shared" si="143"/>
        <v/>
      </c>
      <c r="CC24" s="103" t="str">
        <f t="shared" si="144"/>
        <v/>
      </c>
      <c r="CD24" s="104">
        <f t="shared" si="145"/>
        <v>0</v>
      </c>
      <c r="CE24" s="99" t="str">
        <f t="shared" si="146"/>
        <v/>
      </c>
      <c r="CF24" s="100" t="str">
        <f t="shared" si="147"/>
        <v/>
      </c>
      <c r="CG24" s="101">
        <f t="shared" si="148"/>
        <v>0</v>
      </c>
      <c r="CH24" s="102" t="str">
        <f t="shared" si="149"/>
        <v/>
      </c>
      <c r="CI24" s="103" t="str">
        <f t="shared" si="150"/>
        <v/>
      </c>
      <c r="CJ24" s="104">
        <f t="shared" si="151"/>
        <v>0</v>
      </c>
      <c r="CK24" s="99" t="str">
        <f t="shared" si="152"/>
        <v/>
      </c>
      <c r="CL24" s="100" t="str">
        <f t="shared" si="153"/>
        <v/>
      </c>
      <c r="CM24" s="101">
        <f t="shared" si="154"/>
        <v>0</v>
      </c>
      <c r="CN24" s="102" t="str">
        <f t="shared" si="155"/>
        <v/>
      </c>
      <c r="CO24" s="103" t="str">
        <f t="shared" si="156"/>
        <v/>
      </c>
      <c r="CP24" s="104">
        <f t="shared" si="157"/>
        <v>0</v>
      </c>
      <c r="CQ24" s="99" t="str">
        <f t="shared" si="158"/>
        <v/>
      </c>
      <c r="CR24" s="100" t="str">
        <f t="shared" si="159"/>
        <v/>
      </c>
      <c r="CS24" s="101">
        <f t="shared" si="160"/>
        <v>0</v>
      </c>
      <c r="CT24" s="102" t="str">
        <f t="shared" si="161"/>
        <v/>
      </c>
      <c r="CU24" s="103" t="str">
        <f t="shared" si="162"/>
        <v/>
      </c>
      <c r="CV24" s="104">
        <f t="shared" si="163"/>
        <v>0</v>
      </c>
      <c r="CW24" s="99" t="str">
        <f t="shared" si="164"/>
        <v/>
      </c>
      <c r="CX24" s="100" t="str">
        <f t="shared" si="165"/>
        <v/>
      </c>
      <c r="CY24" s="101">
        <f t="shared" si="166"/>
        <v>0</v>
      </c>
      <c r="CZ24" s="102" t="str">
        <f t="shared" si="167"/>
        <v/>
      </c>
      <c r="DA24" s="103" t="str">
        <f t="shared" si="168"/>
        <v/>
      </c>
      <c r="DB24" s="104">
        <f t="shared" si="169"/>
        <v>0</v>
      </c>
      <c r="DC24" s="99" t="str">
        <f t="shared" si="170"/>
        <v/>
      </c>
      <c r="DD24" s="100" t="str">
        <f t="shared" si="171"/>
        <v/>
      </c>
      <c r="DE24" s="101">
        <f t="shared" si="172"/>
        <v>0</v>
      </c>
      <c r="DF24" s="102" t="str">
        <f t="shared" si="173"/>
        <v/>
      </c>
      <c r="DG24" s="103" t="str">
        <f t="shared" si="174"/>
        <v/>
      </c>
      <c r="DH24" s="104">
        <f t="shared" si="175"/>
        <v>0</v>
      </c>
      <c r="DI24" s="99" t="str">
        <f t="shared" si="176"/>
        <v/>
      </c>
      <c r="DJ24" s="100" t="str">
        <f t="shared" si="177"/>
        <v/>
      </c>
      <c r="DK24" s="101">
        <f t="shared" si="178"/>
        <v>0</v>
      </c>
      <c r="DL24" s="102" t="str">
        <f t="shared" si="179"/>
        <v/>
      </c>
      <c r="DM24" s="103" t="str">
        <f t="shared" si="180"/>
        <v/>
      </c>
      <c r="DN24" s="104">
        <f t="shared" si="181"/>
        <v>0</v>
      </c>
      <c r="DO24" s="99" t="str">
        <f t="shared" si="182"/>
        <v/>
      </c>
      <c r="DP24" s="100" t="str">
        <f t="shared" si="183"/>
        <v/>
      </c>
      <c r="DQ24" s="101">
        <f t="shared" si="184"/>
        <v>0</v>
      </c>
      <c r="DR24" s="102" t="str">
        <f t="shared" si="185"/>
        <v/>
      </c>
      <c r="DS24" s="103" t="str">
        <f t="shared" si="186"/>
        <v/>
      </c>
      <c r="DT24" s="104">
        <f t="shared" si="187"/>
        <v>0</v>
      </c>
    </row>
    <row r="25" ht="15.75" customHeight="1">
      <c r="A25" s="12" t="str">
        <f>Menus!R16</f>
        <v/>
      </c>
      <c r="B25" s="32">
        <f t="shared" ref="B25:C25" si="200">SUMIF($H$2:DT$2,$H$2,H25:DT25)</f>
        <v>0</v>
      </c>
      <c r="C25" s="32">
        <f t="shared" si="200"/>
        <v>0</v>
      </c>
      <c r="D25" s="32">
        <f t="shared" si="67"/>
        <v>0</v>
      </c>
      <c r="E25" s="93" t="str">
        <f t="shared" si="68"/>
        <v/>
      </c>
      <c r="F25" s="94" t="str">
        <f t="shared" si="69"/>
        <v/>
      </c>
      <c r="G25" s="95">
        <f t="shared" si="70"/>
        <v>0</v>
      </c>
      <c r="H25" s="96" t="str">
        <f t="shared" si="71"/>
        <v/>
      </c>
      <c r="I25" s="97" t="str">
        <f t="shared" si="72"/>
        <v/>
      </c>
      <c r="J25" s="98">
        <f t="shared" si="73"/>
        <v>0</v>
      </c>
      <c r="K25" s="99" t="str">
        <f t="shared" si="74"/>
        <v/>
      </c>
      <c r="L25" s="100" t="str">
        <f t="shared" si="75"/>
        <v/>
      </c>
      <c r="M25" s="101">
        <f t="shared" si="76"/>
        <v>0</v>
      </c>
      <c r="N25" s="102" t="str">
        <f t="shared" si="77"/>
        <v/>
      </c>
      <c r="O25" s="103" t="str">
        <f t="shared" si="78"/>
        <v/>
      </c>
      <c r="P25" s="104">
        <f t="shared" si="79"/>
        <v>0</v>
      </c>
      <c r="Q25" s="99" t="str">
        <f t="shared" si="80"/>
        <v/>
      </c>
      <c r="R25" s="100" t="str">
        <f t="shared" si="81"/>
        <v/>
      </c>
      <c r="S25" s="101">
        <f t="shared" si="82"/>
        <v>0</v>
      </c>
      <c r="T25" s="102" t="str">
        <f t="shared" si="83"/>
        <v/>
      </c>
      <c r="U25" s="103" t="str">
        <f t="shared" si="84"/>
        <v/>
      </c>
      <c r="V25" s="104">
        <f t="shared" si="85"/>
        <v>0</v>
      </c>
      <c r="W25" s="99" t="str">
        <f t="shared" si="86"/>
        <v/>
      </c>
      <c r="X25" s="100" t="str">
        <f t="shared" si="87"/>
        <v/>
      </c>
      <c r="Y25" s="101">
        <f t="shared" si="88"/>
        <v>0</v>
      </c>
      <c r="Z25" s="102" t="str">
        <f t="shared" si="89"/>
        <v/>
      </c>
      <c r="AA25" s="103" t="str">
        <f t="shared" si="90"/>
        <v/>
      </c>
      <c r="AB25" s="104">
        <f t="shared" si="91"/>
        <v>0</v>
      </c>
      <c r="AC25" s="99" t="str">
        <f t="shared" si="92"/>
        <v/>
      </c>
      <c r="AD25" s="100" t="str">
        <f t="shared" si="93"/>
        <v/>
      </c>
      <c r="AE25" s="101">
        <f t="shared" si="94"/>
        <v>0</v>
      </c>
      <c r="AF25" s="102" t="str">
        <f t="shared" si="95"/>
        <v/>
      </c>
      <c r="AG25" s="103" t="str">
        <f t="shared" si="96"/>
        <v/>
      </c>
      <c r="AH25" s="104">
        <f t="shared" si="97"/>
        <v>0</v>
      </c>
      <c r="AI25" s="99" t="str">
        <f t="shared" si="98"/>
        <v/>
      </c>
      <c r="AJ25" s="100" t="str">
        <f t="shared" si="99"/>
        <v/>
      </c>
      <c r="AK25" s="101">
        <f t="shared" si="100"/>
        <v>0</v>
      </c>
      <c r="AL25" s="102" t="str">
        <f t="shared" si="101"/>
        <v/>
      </c>
      <c r="AM25" s="103" t="str">
        <f t="shared" si="102"/>
        <v/>
      </c>
      <c r="AN25" s="104">
        <f t="shared" si="103"/>
        <v>0</v>
      </c>
      <c r="AO25" s="99" t="str">
        <f t="shared" si="104"/>
        <v/>
      </c>
      <c r="AP25" s="100" t="str">
        <f t="shared" si="105"/>
        <v/>
      </c>
      <c r="AQ25" s="101">
        <f t="shared" si="106"/>
        <v>0</v>
      </c>
      <c r="AR25" s="102" t="str">
        <f t="shared" si="107"/>
        <v/>
      </c>
      <c r="AS25" s="103" t="str">
        <f t="shared" si="108"/>
        <v/>
      </c>
      <c r="AT25" s="104">
        <f t="shared" si="109"/>
        <v>0</v>
      </c>
      <c r="AU25" s="99" t="str">
        <f t="shared" si="110"/>
        <v/>
      </c>
      <c r="AV25" s="100" t="str">
        <f t="shared" si="111"/>
        <v/>
      </c>
      <c r="AW25" s="101">
        <f t="shared" si="112"/>
        <v>0</v>
      </c>
      <c r="AX25" s="102" t="str">
        <f t="shared" si="113"/>
        <v/>
      </c>
      <c r="AY25" s="103" t="str">
        <f t="shared" si="114"/>
        <v/>
      </c>
      <c r="AZ25" s="104">
        <f t="shared" si="115"/>
        <v>0</v>
      </c>
      <c r="BA25" s="99" t="str">
        <f t="shared" si="116"/>
        <v/>
      </c>
      <c r="BB25" s="100" t="str">
        <f t="shared" si="117"/>
        <v/>
      </c>
      <c r="BC25" s="101">
        <f t="shared" si="118"/>
        <v>0</v>
      </c>
      <c r="BD25" s="102" t="str">
        <f t="shared" si="119"/>
        <v/>
      </c>
      <c r="BE25" s="103" t="str">
        <f t="shared" si="120"/>
        <v/>
      </c>
      <c r="BF25" s="104">
        <f t="shared" si="121"/>
        <v>0</v>
      </c>
      <c r="BG25" s="99" t="str">
        <f t="shared" si="122"/>
        <v/>
      </c>
      <c r="BH25" s="100" t="str">
        <f t="shared" si="123"/>
        <v/>
      </c>
      <c r="BI25" s="101">
        <f t="shared" si="124"/>
        <v>0</v>
      </c>
      <c r="BJ25" s="102" t="str">
        <f t="shared" si="125"/>
        <v/>
      </c>
      <c r="BK25" s="103" t="str">
        <f t="shared" si="126"/>
        <v/>
      </c>
      <c r="BL25" s="104">
        <f t="shared" si="127"/>
        <v>0</v>
      </c>
      <c r="BM25" s="99" t="str">
        <f t="shared" si="128"/>
        <v/>
      </c>
      <c r="BN25" s="100" t="str">
        <f t="shared" si="129"/>
        <v/>
      </c>
      <c r="BO25" s="101">
        <f t="shared" si="130"/>
        <v>0</v>
      </c>
      <c r="BP25" s="102" t="str">
        <f t="shared" si="131"/>
        <v/>
      </c>
      <c r="BQ25" s="103" t="str">
        <f t="shared" si="132"/>
        <v/>
      </c>
      <c r="BR25" s="104">
        <f t="shared" si="133"/>
        <v>0</v>
      </c>
      <c r="BS25" s="99" t="str">
        <f t="shared" si="134"/>
        <v/>
      </c>
      <c r="BT25" s="100" t="str">
        <f t="shared" si="135"/>
        <v/>
      </c>
      <c r="BU25" s="101">
        <f t="shared" si="136"/>
        <v>0</v>
      </c>
      <c r="BV25" s="102" t="str">
        <f t="shared" si="137"/>
        <v/>
      </c>
      <c r="BW25" s="103" t="str">
        <f t="shared" si="138"/>
        <v/>
      </c>
      <c r="BX25" s="104">
        <f t="shared" si="139"/>
        <v>0</v>
      </c>
      <c r="BY25" s="99" t="str">
        <f t="shared" si="140"/>
        <v/>
      </c>
      <c r="BZ25" s="100" t="str">
        <f t="shared" si="141"/>
        <v/>
      </c>
      <c r="CA25" s="101">
        <f t="shared" si="142"/>
        <v>0</v>
      </c>
      <c r="CB25" s="102" t="str">
        <f t="shared" si="143"/>
        <v/>
      </c>
      <c r="CC25" s="103" t="str">
        <f t="shared" si="144"/>
        <v/>
      </c>
      <c r="CD25" s="104">
        <f t="shared" si="145"/>
        <v>0</v>
      </c>
      <c r="CE25" s="99" t="str">
        <f t="shared" si="146"/>
        <v/>
      </c>
      <c r="CF25" s="100" t="str">
        <f t="shared" si="147"/>
        <v/>
      </c>
      <c r="CG25" s="101">
        <f t="shared" si="148"/>
        <v>0</v>
      </c>
      <c r="CH25" s="102" t="str">
        <f t="shared" si="149"/>
        <v/>
      </c>
      <c r="CI25" s="103" t="str">
        <f t="shared" si="150"/>
        <v/>
      </c>
      <c r="CJ25" s="104">
        <f t="shared" si="151"/>
        <v>0</v>
      </c>
      <c r="CK25" s="99" t="str">
        <f t="shared" si="152"/>
        <v/>
      </c>
      <c r="CL25" s="100" t="str">
        <f t="shared" si="153"/>
        <v/>
      </c>
      <c r="CM25" s="101">
        <f t="shared" si="154"/>
        <v>0</v>
      </c>
      <c r="CN25" s="102" t="str">
        <f t="shared" si="155"/>
        <v/>
      </c>
      <c r="CO25" s="103" t="str">
        <f t="shared" si="156"/>
        <v/>
      </c>
      <c r="CP25" s="104">
        <f t="shared" si="157"/>
        <v>0</v>
      </c>
      <c r="CQ25" s="99" t="str">
        <f t="shared" si="158"/>
        <v/>
      </c>
      <c r="CR25" s="100" t="str">
        <f t="shared" si="159"/>
        <v/>
      </c>
      <c r="CS25" s="101">
        <f t="shared" si="160"/>
        <v>0</v>
      </c>
      <c r="CT25" s="102" t="str">
        <f t="shared" si="161"/>
        <v/>
      </c>
      <c r="CU25" s="103" t="str">
        <f t="shared" si="162"/>
        <v/>
      </c>
      <c r="CV25" s="104">
        <f t="shared" si="163"/>
        <v>0</v>
      </c>
      <c r="CW25" s="99" t="str">
        <f t="shared" si="164"/>
        <v/>
      </c>
      <c r="CX25" s="100" t="str">
        <f t="shared" si="165"/>
        <v/>
      </c>
      <c r="CY25" s="101">
        <f t="shared" si="166"/>
        <v>0</v>
      </c>
      <c r="CZ25" s="102" t="str">
        <f t="shared" si="167"/>
        <v/>
      </c>
      <c r="DA25" s="103" t="str">
        <f t="shared" si="168"/>
        <v/>
      </c>
      <c r="DB25" s="104">
        <f t="shared" si="169"/>
        <v>0</v>
      </c>
      <c r="DC25" s="99" t="str">
        <f t="shared" si="170"/>
        <v/>
      </c>
      <c r="DD25" s="100" t="str">
        <f t="shared" si="171"/>
        <v/>
      </c>
      <c r="DE25" s="101">
        <f t="shared" si="172"/>
        <v>0</v>
      </c>
      <c r="DF25" s="102" t="str">
        <f t="shared" si="173"/>
        <v/>
      </c>
      <c r="DG25" s="103" t="str">
        <f t="shared" si="174"/>
        <v/>
      </c>
      <c r="DH25" s="104">
        <f t="shared" si="175"/>
        <v>0</v>
      </c>
      <c r="DI25" s="99" t="str">
        <f t="shared" si="176"/>
        <v/>
      </c>
      <c r="DJ25" s="100" t="str">
        <f t="shared" si="177"/>
        <v/>
      </c>
      <c r="DK25" s="101">
        <f t="shared" si="178"/>
        <v>0</v>
      </c>
      <c r="DL25" s="102" t="str">
        <f t="shared" si="179"/>
        <v/>
      </c>
      <c r="DM25" s="103" t="str">
        <f t="shared" si="180"/>
        <v/>
      </c>
      <c r="DN25" s="104">
        <f t="shared" si="181"/>
        <v>0</v>
      </c>
      <c r="DO25" s="99" t="str">
        <f t="shared" si="182"/>
        <v/>
      </c>
      <c r="DP25" s="100" t="str">
        <f t="shared" si="183"/>
        <v/>
      </c>
      <c r="DQ25" s="101">
        <f t="shared" si="184"/>
        <v>0</v>
      </c>
      <c r="DR25" s="102" t="str">
        <f t="shared" si="185"/>
        <v/>
      </c>
      <c r="DS25" s="103" t="str">
        <f t="shared" si="186"/>
        <v/>
      </c>
      <c r="DT25" s="104">
        <f t="shared" si="187"/>
        <v>0</v>
      </c>
    </row>
    <row r="26" ht="15.75" customHeight="1">
      <c r="A26" s="12" t="str">
        <f>Menus!R17</f>
        <v/>
      </c>
      <c r="B26" s="32">
        <f t="shared" ref="B26:C26" si="201">SUMIF($H$2:DT$2,$H$2,H26:DT26)</f>
        <v>0</v>
      </c>
      <c r="C26" s="32">
        <f t="shared" si="201"/>
        <v>0</v>
      </c>
      <c r="D26" s="32">
        <f t="shared" si="67"/>
        <v>0</v>
      </c>
      <c r="E26" s="93" t="str">
        <f t="shared" si="68"/>
        <v/>
      </c>
      <c r="F26" s="94" t="str">
        <f t="shared" si="69"/>
        <v/>
      </c>
      <c r="G26" s="95">
        <f t="shared" si="70"/>
        <v>0</v>
      </c>
      <c r="H26" s="96" t="str">
        <f t="shared" si="71"/>
        <v/>
      </c>
      <c r="I26" s="97" t="str">
        <f t="shared" si="72"/>
        <v/>
      </c>
      <c r="J26" s="98">
        <f t="shared" si="73"/>
        <v>0</v>
      </c>
      <c r="K26" s="99" t="str">
        <f t="shared" si="74"/>
        <v/>
      </c>
      <c r="L26" s="100" t="str">
        <f t="shared" si="75"/>
        <v/>
      </c>
      <c r="M26" s="101">
        <f t="shared" si="76"/>
        <v>0</v>
      </c>
      <c r="N26" s="102" t="str">
        <f t="shared" si="77"/>
        <v/>
      </c>
      <c r="O26" s="103" t="str">
        <f t="shared" si="78"/>
        <v/>
      </c>
      <c r="P26" s="104">
        <f t="shared" si="79"/>
        <v>0</v>
      </c>
      <c r="Q26" s="99" t="str">
        <f t="shared" si="80"/>
        <v/>
      </c>
      <c r="R26" s="100" t="str">
        <f t="shared" si="81"/>
        <v/>
      </c>
      <c r="S26" s="101">
        <f t="shared" si="82"/>
        <v>0</v>
      </c>
      <c r="T26" s="102" t="str">
        <f t="shared" si="83"/>
        <v/>
      </c>
      <c r="U26" s="103" t="str">
        <f t="shared" si="84"/>
        <v/>
      </c>
      <c r="V26" s="104">
        <f t="shared" si="85"/>
        <v>0</v>
      </c>
      <c r="W26" s="99" t="str">
        <f t="shared" si="86"/>
        <v/>
      </c>
      <c r="X26" s="100" t="str">
        <f t="shared" si="87"/>
        <v/>
      </c>
      <c r="Y26" s="101">
        <f t="shared" si="88"/>
        <v>0</v>
      </c>
      <c r="Z26" s="102" t="str">
        <f t="shared" si="89"/>
        <v/>
      </c>
      <c r="AA26" s="103" t="str">
        <f t="shared" si="90"/>
        <v/>
      </c>
      <c r="AB26" s="104">
        <f t="shared" si="91"/>
        <v>0</v>
      </c>
      <c r="AC26" s="99" t="str">
        <f t="shared" si="92"/>
        <v/>
      </c>
      <c r="AD26" s="100" t="str">
        <f t="shared" si="93"/>
        <v/>
      </c>
      <c r="AE26" s="101">
        <f t="shared" si="94"/>
        <v>0</v>
      </c>
      <c r="AF26" s="102" t="str">
        <f t="shared" si="95"/>
        <v/>
      </c>
      <c r="AG26" s="103" t="str">
        <f t="shared" si="96"/>
        <v/>
      </c>
      <c r="AH26" s="104">
        <f t="shared" si="97"/>
        <v>0</v>
      </c>
      <c r="AI26" s="99" t="str">
        <f t="shared" si="98"/>
        <v/>
      </c>
      <c r="AJ26" s="100" t="str">
        <f t="shared" si="99"/>
        <v/>
      </c>
      <c r="AK26" s="101">
        <f t="shared" si="100"/>
        <v>0</v>
      </c>
      <c r="AL26" s="102" t="str">
        <f t="shared" si="101"/>
        <v/>
      </c>
      <c r="AM26" s="103" t="str">
        <f t="shared" si="102"/>
        <v/>
      </c>
      <c r="AN26" s="104">
        <f t="shared" si="103"/>
        <v>0</v>
      </c>
      <c r="AO26" s="99" t="str">
        <f t="shared" si="104"/>
        <v/>
      </c>
      <c r="AP26" s="100" t="str">
        <f t="shared" si="105"/>
        <v/>
      </c>
      <c r="AQ26" s="101">
        <f t="shared" si="106"/>
        <v>0</v>
      </c>
      <c r="AR26" s="102" t="str">
        <f t="shared" si="107"/>
        <v/>
      </c>
      <c r="AS26" s="103" t="str">
        <f t="shared" si="108"/>
        <v/>
      </c>
      <c r="AT26" s="104">
        <f t="shared" si="109"/>
        <v>0</v>
      </c>
      <c r="AU26" s="99" t="str">
        <f t="shared" si="110"/>
        <v/>
      </c>
      <c r="AV26" s="100" t="str">
        <f t="shared" si="111"/>
        <v/>
      </c>
      <c r="AW26" s="101">
        <f t="shared" si="112"/>
        <v>0</v>
      </c>
      <c r="AX26" s="102" t="str">
        <f t="shared" si="113"/>
        <v/>
      </c>
      <c r="AY26" s="103" t="str">
        <f t="shared" si="114"/>
        <v/>
      </c>
      <c r="AZ26" s="104">
        <f t="shared" si="115"/>
        <v>0</v>
      </c>
      <c r="BA26" s="99" t="str">
        <f t="shared" si="116"/>
        <v/>
      </c>
      <c r="BB26" s="100" t="str">
        <f t="shared" si="117"/>
        <v/>
      </c>
      <c r="BC26" s="101">
        <f t="shared" si="118"/>
        <v>0</v>
      </c>
      <c r="BD26" s="102" t="str">
        <f t="shared" si="119"/>
        <v/>
      </c>
      <c r="BE26" s="103" t="str">
        <f t="shared" si="120"/>
        <v/>
      </c>
      <c r="BF26" s="104">
        <f t="shared" si="121"/>
        <v>0</v>
      </c>
      <c r="BG26" s="99" t="str">
        <f t="shared" si="122"/>
        <v/>
      </c>
      <c r="BH26" s="100" t="str">
        <f t="shared" si="123"/>
        <v/>
      </c>
      <c r="BI26" s="101">
        <f t="shared" si="124"/>
        <v>0</v>
      </c>
      <c r="BJ26" s="102" t="str">
        <f t="shared" si="125"/>
        <v/>
      </c>
      <c r="BK26" s="103" t="str">
        <f t="shared" si="126"/>
        <v/>
      </c>
      <c r="BL26" s="104">
        <f t="shared" si="127"/>
        <v>0</v>
      </c>
      <c r="BM26" s="99" t="str">
        <f t="shared" si="128"/>
        <v/>
      </c>
      <c r="BN26" s="100" t="str">
        <f t="shared" si="129"/>
        <v/>
      </c>
      <c r="BO26" s="101">
        <f t="shared" si="130"/>
        <v>0</v>
      </c>
      <c r="BP26" s="102" t="str">
        <f t="shared" si="131"/>
        <v/>
      </c>
      <c r="BQ26" s="103" t="str">
        <f t="shared" si="132"/>
        <v/>
      </c>
      <c r="BR26" s="104">
        <f t="shared" si="133"/>
        <v>0</v>
      </c>
      <c r="BS26" s="99" t="str">
        <f t="shared" si="134"/>
        <v/>
      </c>
      <c r="BT26" s="100" t="str">
        <f t="shared" si="135"/>
        <v/>
      </c>
      <c r="BU26" s="101">
        <f t="shared" si="136"/>
        <v>0</v>
      </c>
      <c r="BV26" s="102" t="str">
        <f t="shared" si="137"/>
        <v/>
      </c>
      <c r="BW26" s="103" t="str">
        <f t="shared" si="138"/>
        <v/>
      </c>
      <c r="BX26" s="104">
        <f t="shared" si="139"/>
        <v>0</v>
      </c>
      <c r="BY26" s="99" t="str">
        <f t="shared" si="140"/>
        <v/>
      </c>
      <c r="BZ26" s="100" t="str">
        <f t="shared" si="141"/>
        <v/>
      </c>
      <c r="CA26" s="101">
        <f t="shared" si="142"/>
        <v>0</v>
      </c>
      <c r="CB26" s="102" t="str">
        <f t="shared" si="143"/>
        <v/>
      </c>
      <c r="CC26" s="103" t="str">
        <f t="shared" si="144"/>
        <v/>
      </c>
      <c r="CD26" s="104">
        <f t="shared" si="145"/>
        <v>0</v>
      </c>
      <c r="CE26" s="99" t="str">
        <f t="shared" si="146"/>
        <v/>
      </c>
      <c r="CF26" s="100" t="str">
        <f t="shared" si="147"/>
        <v/>
      </c>
      <c r="CG26" s="101">
        <f t="shared" si="148"/>
        <v>0</v>
      </c>
      <c r="CH26" s="102" t="str">
        <f t="shared" si="149"/>
        <v/>
      </c>
      <c r="CI26" s="103" t="str">
        <f t="shared" si="150"/>
        <v/>
      </c>
      <c r="CJ26" s="104">
        <f t="shared" si="151"/>
        <v>0</v>
      </c>
      <c r="CK26" s="99" t="str">
        <f t="shared" si="152"/>
        <v/>
      </c>
      <c r="CL26" s="100" t="str">
        <f t="shared" si="153"/>
        <v/>
      </c>
      <c r="CM26" s="101">
        <f t="shared" si="154"/>
        <v>0</v>
      </c>
      <c r="CN26" s="102" t="str">
        <f t="shared" si="155"/>
        <v/>
      </c>
      <c r="CO26" s="103" t="str">
        <f t="shared" si="156"/>
        <v/>
      </c>
      <c r="CP26" s="104">
        <f t="shared" si="157"/>
        <v>0</v>
      </c>
      <c r="CQ26" s="99" t="str">
        <f t="shared" si="158"/>
        <v/>
      </c>
      <c r="CR26" s="100" t="str">
        <f t="shared" si="159"/>
        <v/>
      </c>
      <c r="CS26" s="101">
        <f t="shared" si="160"/>
        <v>0</v>
      </c>
      <c r="CT26" s="102" t="str">
        <f t="shared" si="161"/>
        <v/>
      </c>
      <c r="CU26" s="103" t="str">
        <f t="shared" si="162"/>
        <v/>
      </c>
      <c r="CV26" s="104">
        <f t="shared" si="163"/>
        <v>0</v>
      </c>
      <c r="CW26" s="99" t="str">
        <f t="shared" si="164"/>
        <v/>
      </c>
      <c r="CX26" s="100" t="str">
        <f t="shared" si="165"/>
        <v/>
      </c>
      <c r="CY26" s="101">
        <f t="shared" si="166"/>
        <v>0</v>
      </c>
      <c r="CZ26" s="102" t="str">
        <f t="shared" si="167"/>
        <v/>
      </c>
      <c r="DA26" s="103" t="str">
        <f t="shared" si="168"/>
        <v/>
      </c>
      <c r="DB26" s="104">
        <f t="shared" si="169"/>
        <v>0</v>
      </c>
      <c r="DC26" s="99" t="str">
        <f t="shared" si="170"/>
        <v/>
      </c>
      <c r="DD26" s="100" t="str">
        <f t="shared" si="171"/>
        <v/>
      </c>
      <c r="DE26" s="101">
        <f t="shared" si="172"/>
        <v>0</v>
      </c>
      <c r="DF26" s="102" t="str">
        <f t="shared" si="173"/>
        <v/>
      </c>
      <c r="DG26" s="103" t="str">
        <f t="shared" si="174"/>
        <v/>
      </c>
      <c r="DH26" s="104">
        <f t="shared" si="175"/>
        <v>0</v>
      </c>
      <c r="DI26" s="99" t="str">
        <f t="shared" si="176"/>
        <v/>
      </c>
      <c r="DJ26" s="100" t="str">
        <f t="shared" si="177"/>
        <v/>
      </c>
      <c r="DK26" s="101">
        <f t="shared" si="178"/>
        <v>0</v>
      </c>
      <c r="DL26" s="102" t="str">
        <f t="shared" si="179"/>
        <v/>
      </c>
      <c r="DM26" s="103" t="str">
        <f t="shared" si="180"/>
        <v/>
      </c>
      <c r="DN26" s="104">
        <f t="shared" si="181"/>
        <v>0</v>
      </c>
      <c r="DO26" s="99" t="str">
        <f t="shared" si="182"/>
        <v/>
      </c>
      <c r="DP26" s="100" t="str">
        <f t="shared" si="183"/>
        <v/>
      </c>
      <c r="DQ26" s="101">
        <f t="shared" si="184"/>
        <v>0</v>
      </c>
      <c r="DR26" s="102" t="str">
        <f t="shared" si="185"/>
        <v/>
      </c>
      <c r="DS26" s="103" t="str">
        <f t="shared" si="186"/>
        <v/>
      </c>
      <c r="DT26" s="104">
        <f t="shared" si="187"/>
        <v>0</v>
      </c>
    </row>
    <row r="27" ht="15.75" customHeight="1">
      <c r="A27" s="12" t="str">
        <f>Menus!R18</f>
        <v/>
      </c>
      <c r="B27" s="32">
        <f t="shared" ref="B27:C27" si="202">SUMIF($H$2:DT$2,$H$2,H27:DT27)</f>
        <v>0</v>
      </c>
      <c r="C27" s="32">
        <f t="shared" si="202"/>
        <v>0</v>
      </c>
      <c r="D27" s="32">
        <f t="shared" si="67"/>
        <v>0</v>
      </c>
      <c r="E27" s="93" t="str">
        <f t="shared" si="68"/>
        <v/>
      </c>
      <c r="F27" s="94" t="str">
        <f t="shared" si="69"/>
        <v/>
      </c>
      <c r="G27" s="95">
        <f t="shared" si="70"/>
        <v>0</v>
      </c>
      <c r="H27" s="96" t="str">
        <f t="shared" si="71"/>
        <v/>
      </c>
      <c r="I27" s="97" t="str">
        <f t="shared" si="72"/>
        <v/>
      </c>
      <c r="J27" s="98">
        <f t="shared" si="73"/>
        <v>0</v>
      </c>
      <c r="K27" s="99" t="str">
        <f t="shared" si="74"/>
        <v/>
      </c>
      <c r="L27" s="100" t="str">
        <f t="shared" si="75"/>
        <v/>
      </c>
      <c r="M27" s="101">
        <f t="shared" si="76"/>
        <v>0</v>
      </c>
      <c r="N27" s="102" t="str">
        <f t="shared" si="77"/>
        <v/>
      </c>
      <c r="O27" s="103" t="str">
        <f t="shared" si="78"/>
        <v/>
      </c>
      <c r="P27" s="104">
        <f t="shared" si="79"/>
        <v>0</v>
      </c>
      <c r="Q27" s="99" t="str">
        <f t="shared" si="80"/>
        <v/>
      </c>
      <c r="R27" s="100" t="str">
        <f t="shared" si="81"/>
        <v/>
      </c>
      <c r="S27" s="101">
        <f t="shared" si="82"/>
        <v>0</v>
      </c>
      <c r="T27" s="102" t="str">
        <f t="shared" si="83"/>
        <v/>
      </c>
      <c r="U27" s="103" t="str">
        <f t="shared" si="84"/>
        <v/>
      </c>
      <c r="V27" s="104">
        <f t="shared" si="85"/>
        <v>0</v>
      </c>
      <c r="W27" s="99" t="str">
        <f t="shared" si="86"/>
        <v/>
      </c>
      <c r="X27" s="100" t="str">
        <f t="shared" si="87"/>
        <v/>
      </c>
      <c r="Y27" s="101">
        <f t="shared" si="88"/>
        <v>0</v>
      </c>
      <c r="Z27" s="102" t="str">
        <f t="shared" si="89"/>
        <v/>
      </c>
      <c r="AA27" s="103" t="str">
        <f t="shared" si="90"/>
        <v/>
      </c>
      <c r="AB27" s="104">
        <f t="shared" si="91"/>
        <v>0</v>
      </c>
      <c r="AC27" s="99" t="str">
        <f t="shared" si="92"/>
        <v/>
      </c>
      <c r="AD27" s="100" t="str">
        <f t="shared" si="93"/>
        <v/>
      </c>
      <c r="AE27" s="101">
        <f t="shared" si="94"/>
        <v>0</v>
      </c>
      <c r="AF27" s="102" t="str">
        <f t="shared" si="95"/>
        <v/>
      </c>
      <c r="AG27" s="103" t="str">
        <f t="shared" si="96"/>
        <v/>
      </c>
      <c r="AH27" s="104">
        <f t="shared" si="97"/>
        <v>0</v>
      </c>
      <c r="AI27" s="99" t="str">
        <f t="shared" si="98"/>
        <v/>
      </c>
      <c r="AJ27" s="100" t="str">
        <f t="shared" si="99"/>
        <v/>
      </c>
      <c r="AK27" s="101">
        <f t="shared" si="100"/>
        <v>0</v>
      </c>
      <c r="AL27" s="102" t="str">
        <f t="shared" si="101"/>
        <v/>
      </c>
      <c r="AM27" s="103" t="str">
        <f t="shared" si="102"/>
        <v/>
      </c>
      <c r="AN27" s="104">
        <f t="shared" si="103"/>
        <v>0</v>
      </c>
      <c r="AO27" s="99" t="str">
        <f t="shared" si="104"/>
        <v/>
      </c>
      <c r="AP27" s="100" t="str">
        <f t="shared" si="105"/>
        <v/>
      </c>
      <c r="AQ27" s="101">
        <f t="shared" si="106"/>
        <v>0</v>
      </c>
      <c r="AR27" s="102" t="str">
        <f t="shared" si="107"/>
        <v/>
      </c>
      <c r="AS27" s="103" t="str">
        <f t="shared" si="108"/>
        <v/>
      </c>
      <c r="AT27" s="104">
        <f t="shared" si="109"/>
        <v>0</v>
      </c>
      <c r="AU27" s="99" t="str">
        <f t="shared" si="110"/>
        <v/>
      </c>
      <c r="AV27" s="100" t="str">
        <f t="shared" si="111"/>
        <v/>
      </c>
      <c r="AW27" s="101">
        <f t="shared" si="112"/>
        <v>0</v>
      </c>
      <c r="AX27" s="102" t="str">
        <f t="shared" si="113"/>
        <v/>
      </c>
      <c r="AY27" s="103" t="str">
        <f t="shared" si="114"/>
        <v/>
      </c>
      <c r="AZ27" s="104">
        <f t="shared" si="115"/>
        <v>0</v>
      </c>
      <c r="BA27" s="99" t="str">
        <f t="shared" si="116"/>
        <v/>
      </c>
      <c r="BB27" s="100" t="str">
        <f t="shared" si="117"/>
        <v/>
      </c>
      <c r="BC27" s="101">
        <f t="shared" si="118"/>
        <v>0</v>
      </c>
      <c r="BD27" s="102" t="str">
        <f t="shared" si="119"/>
        <v/>
      </c>
      <c r="BE27" s="103" t="str">
        <f t="shared" si="120"/>
        <v/>
      </c>
      <c r="BF27" s="104">
        <f t="shared" si="121"/>
        <v>0</v>
      </c>
      <c r="BG27" s="99" t="str">
        <f t="shared" si="122"/>
        <v/>
      </c>
      <c r="BH27" s="100" t="str">
        <f t="shared" si="123"/>
        <v/>
      </c>
      <c r="BI27" s="101">
        <f t="shared" si="124"/>
        <v>0</v>
      </c>
      <c r="BJ27" s="102" t="str">
        <f t="shared" si="125"/>
        <v/>
      </c>
      <c r="BK27" s="103" t="str">
        <f t="shared" si="126"/>
        <v/>
      </c>
      <c r="BL27" s="104">
        <f t="shared" si="127"/>
        <v>0</v>
      </c>
      <c r="BM27" s="99" t="str">
        <f t="shared" si="128"/>
        <v/>
      </c>
      <c r="BN27" s="100" t="str">
        <f t="shared" si="129"/>
        <v/>
      </c>
      <c r="BO27" s="101">
        <f t="shared" si="130"/>
        <v>0</v>
      </c>
      <c r="BP27" s="102" t="str">
        <f t="shared" si="131"/>
        <v/>
      </c>
      <c r="BQ27" s="103" t="str">
        <f t="shared" si="132"/>
        <v/>
      </c>
      <c r="BR27" s="104">
        <f t="shared" si="133"/>
        <v>0</v>
      </c>
      <c r="BS27" s="99" t="str">
        <f t="shared" si="134"/>
        <v/>
      </c>
      <c r="BT27" s="100" t="str">
        <f t="shared" si="135"/>
        <v/>
      </c>
      <c r="BU27" s="101">
        <f t="shared" si="136"/>
        <v>0</v>
      </c>
      <c r="BV27" s="102" t="str">
        <f t="shared" si="137"/>
        <v/>
      </c>
      <c r="BW27" s="103" t="str">
        <f t="shared" si="138"/>
        <v/>
      </c>
      <c r="BX27" s="104">
        <f t="shared" si="139"/>
        <v>0</v>
      </c>
      <c r="BY27" s="99" t="str">
        <f t="shared" si="140"/>
        <v/>
      </c>
      <c r="BZ27" s="100" t="str">
        <f t="shared" si="141"/>
        <v/>
      </c>
      <c r="CA27" s="101">
        <f t="shared" si="142"/>
        <v>0</v>
      </c>
      <c r="CB27" s="102" t="str">
        <f t="shared" si="143"/>
        <v/>
      </c>
      <c r="CC27" s="103" t="str">
        <f t="shared" si="144"/>
        <v/>
      </c>
      <c r="CD27" s="104">
        <f t="shared" si="145"/>
        <v>0</v>
      </c>
      <c r="CE27" s="99" t="str">
        <f t="shared" si="146"/>
        <v/>
      </c>
      <c r="CF27" s="100" t="str">
        <f t="shared" si="147"/>
        <v/>
      </c>
      <c r="CG27" s="101">
        <f t="shared" si="148"/>
        <v>0</v>
      </c>
      <c r="CH27" s="102" t="str">
        <f t="shared" si="149"/>
        <v/>
      </c>
      <c r="CI27" s="103" t="str">
        <f t="shared" si="150"/>
        <v/>
      </c>
      <c r="CJ27" s="104">
        <f t="shared" si="151"/>
        <v>0</v>
      </c>
      <c r="CK27" s="99" t="str">
        <f t="shared" si="152"/>
        <v/>
      </c>
      <c r="CL27" s="100" t="str">
        <f t="shared" si="153"/>
        <v/>
      </c>
      <c r="CM27" s="101">
        <f t="shared" si="154"/>
        <v>0</v>
      </c>
      <c r="CN27" s="102" t="str">
        <f t="shared" si="155"/>
        <v/>
      </c>
      <c r="CO27" s="103" t="str">
        <f t="shared" si="156"/>
        <v/>
      </c>
      <c r="CP27" s="104">
        <f t="shared" si="157"/>
        <v>0</v>
      </c>
      <c r="CQ27" s="99" t="str">
        <f t="shared" si="158"/>
        <v/>
      </c>
      <c r="CR27" s="100" t="str">
        <f t="shared" si="159"/>
        <v/>
      </c>
      <c r="CS27" s="101">
        <f t="shared" si="160"/>
        <v>0</v>
      </c>
      <c r="CT27" s="102" t="str">
        <f t="shared" si="161"/>
        <v/>
      </c>
      <c r="CU27" s="103" t="str">
        <f t="shared" si="162"/>
        <v/>
      </c>
      <c r="CV27" s="104">
        <f t="shared" si="163"/>
        <v>0</v>
      </c>
      <c r="CW27" s="99" t="str">
        <f t="shared" si="164"/>
        <v/>
      </c>
      <c r="CX27" s="100" t="str">
        <f t="shared" si="165"/>
        <v/>
      </c>
      <c r="CY27" s="101">
        <f t="shared" si="166"/>
        <v>0</v>
      </c>
      <c r="CZ27" s="102" t="str">
        <f t="shared" si="167"/>
        <v/>
      </c>
      <c r="DA27" s="103" t="str">
        <f t="shared" si="168"/>
        <v/>
      </c>
      <c r="DB27" s="104">
        <f t="shared" si="169"/>
        <v>0</v>
      </c>
      <c r="DC27" s="99" t="str">
        <f t="shared" si="170"/>
        <v/>
      </c>
      <c r="DD27" s="100" t="str">
        <f t="shared" si="171"/>
        <v/>
      </c>
      <c r="DE27" s="101">
        <f t="shared" si="172"/>
        <v>0</v>
      </c>
      <c r="DF27" s="102" t="str">
        <f t="shared" si="173"/>
        <v/>
      </c>
      <c r="DG27" s="103" t="str">
        <f t="shared" si="174"/>
        <v/>
      </c>
      <c r="DH27" s="104">
        <f t="shared" si="175"/>
        <v>0</v>
      </c>
      <c r="DI27" s="99" t="str">
        <f t="shared" si="176"/>
        <v/>
      </c>
      <c r="DJ27" s="100" t="str">
        <f t="shared" si="177"/>
        <v/>
      </c>
      <c r="DK27" s="101">
        <f t="shared" si="178"/>
        <v>0</v>
      </c>
      <c r="DL27" s="102" t="str">
        <f t="shared" si="179"/>
        <v/>
      </c>
      <c r="DM27" s="103" t="str">
        <f t="shared" si="180"/>
        <v/>
      </c>
      <c r="DN27" s="104">
        <f t="shared" si="181"/>
        <v>0</v>
      </c>
      <c r="DO27" s="99" t="str">
        <f t="shared" si="182"/>
        <v/>
      </c>
      <c r="DP27" s="100" t="str">
        <f t="shared" si="183"/>
        <v/>
      </c>
      <c r="DQ27" s="101">
        <f t="shared" si="184"/>
        <v>0</v>
      </c>
      <c r="DR27" s="102" t="str">
        <f t="shared" si="185"/>
        <v/>
      </c>
      <c r="DS27" s="103" t="str">
        <f t="shared" si="186"/>
        <v/>
      </c>
      <c r="DT27" s="104">
        <f t="shared" si="187"/>
        <v>0</v>
      </c>
    </row>
    <row r="28" ht="15.75" customHeight="1">
      <c r="A28" s="12" t="str">
        <f>Menus!R19</f>
        <v/>
      </c>
      <c r="B28" s="32">
        <f t="shared" ref="B28:C28" si="203">SUMIF($H$2:DT$2,$H$2,H28:DT28)</f>
        <v>0</v>
      </c>
      <c r="C28" s="32">
        <f t="shared" si="203"/>
        <v>0</v>
      </c>
      <c r="D28" s="32">
        <f t="shared" si="67"/>
        <v>0</v>
      </c>
      <c r="E28" s="93" t="str">
        <f t="shared" si="68"/>
        <v/>
      </c>
      <c r="F28" s="94" t="str">
        <f t="shared" si="69"/>
        <v/>
      </c>
      <c r="G28" s="95">
        <f t="shared" si="70"/>
        <v>0</v>
      </c>
      <c r="H28" s="96" t="str">
        <f t="shared" si="71"/>
        <v/>
      </c>
      <c r="I28" s="97" t="str">
        <f t="shared" si="72"/>
        <v/>
      </c>
      <c r="J28" s="98">
        <f t="shared" si="73"/>
        <v>0</v>
      </c>
      <c r="K28" s="99" t="str">
        <f t="shared" si="74"/>
        <v/>
      </c>
      <c r="L28" s="100" t="str">
        <f t="shared" si="75"/>
        <v/>
      </c>
      <c r="M28" s="101">
        <f t="shared" si="76"/>
        <v>0</v>
      </c>
      <c r="N28" s="102" t="str">
        <f t="shared" si="77"/>
        <v/>
      </c>
      <c r="O28" s="103" t="str">
        <f t="shared" si="78"/>
        <v/>
      </c>
      <c r="P28" s="104">
        <f t="shared" si="79"/>
        <v>0</v>
      </c>
      <c r="Q28" s="99" t="str">
        <f t="shared" si="80"/>
        <v/>
      </c>
      <c r="R28" s="100" t="str">
        <f t="shared" si="81"/>
        <v/>
      </c>
      <c r="S28" s="101">
        <f t="shared" si="82"/>
        <v>0</v>
      </c>
      <c r="T28" s="102" t="str">
        <f t="shared" si="83"/>
        <v/>
      </c>
      <c r="U28" s="103" t="str">
        <f t="shared" si="84"/>
        <v/>
      </c>
      <c r="V28" s="104">
        <f t="shared" si="85"/>
        <v>0</v>
      </c>
      <c r="W28" s="99" t="str">
        <f t="shared" si="86"/>
        <v/>
      </c>
      <c r="X28" s="100" t="str">
        <f t="shared" si="87"/>
        <v/>
      </c>
      <c r="Y28" s="101">
        <f t="shared" si="88"/>
        <v>0</v>
      </c>
      <c r="Z28" s="102" t="str">
        <f t="shared" si="89"/>
        <v/>
      </c>
      <c r="AA28" s="103" t="str">
        <f t="shared" si="90"/>
        <v/>
      </c>
      <c r="AB28" s="104">
        <f t="shared" si="91"/>
        <v>0</v>
      </c>
      <c r="AC28" s="99" t="str">
        <f t="shared" si="92"/>
        <v/>
      </c>
      <c r="AD28" s="100" t="str">
        <f t="shared" si="93"/>
        <v/>
      </c>
      <c r="AE28" s="101">
        <f t="shared" si="94"/>
        <v>0</v>
      </c>
      <c r="AF28" s="102" t="str">
        <f t="shared" si="95"/>
        <v/>
      </c>
      <c r="AG28" s="103" t="str">
        <f t="shared" si="96"/>
        <v/>
      </c>
      <c r="AH28" s="104">
        <f t="shared" si="97"/>
        <v>0</v>
      </c>
      <c r="AI28" s="99" t="str">
        <f t="shared" si="98"/>
        <v/>
      </c>
      <c r="AJ28" s="100" t="str">
        <f t="shared" si="99"/>
        <v/>
      </c>
      <c r="AK28" s="101">
        <f t="shared" si="100"/>
        <v>0</v>
      </c>
      <c r="AL28" s="102" t="str">
        <f t="shared" si="101"/>
        <v/>
      </c>
      <c r="AM28" s="103" t="str">
        <f t="shared" si="102"/>
        <v/>
      </c>
      <c r="AN28" s="104">
        <f t="shared" si="103"/>
        <v>0</v>
      </c>
      <c r="AO28" s="99" t="str">
        <f t="shared" si="104"/>
        <v/>
      </c>
      <c r="AP28" s="100" t="str">
        <f t="shared" si="105"/>
        <v/>
      </c>
      <c r="AQ28" s="101">
        <f t="shared" si="106"/>
        <v>0</v>
      </c>
      <c r="AR28" s="102" t="str">
        <f t="shared" si="107"/>
        <v/>
      </c>
      <c r="AS28" s="103" t="str">
        <f t="shared" si="108"/>
        <v/>
      </c>
      <c r="AT28" s="104">
        <f t="shared" si="109"/>
        <v>0</v>
      </c>
      <c r="AU28" s="99" t="str">
        <f t="shared" si="110"/>
        <v/>
      </c>
      <c r="AV28" s="100" t="str">
        <f t="shared" si="111"/>
        <v/>
      </c>
      <c r="AW28" s="101">
        <f t="shared" si="112"/>
        <v>0</v>
      </c>
      <c r="AX28" s="102" t="str">
        <f t="shared" si="113"/>
        <v/>
      </c>
      <c r="AY28" s="103" t="str">
        <f t="shared" si="114"/>
        <v/>
      </c>
      <c r="AZ28" s="104">
        <f t="shared" si="115"/>
        <v>0</v>
      </c>
      <c r="BA28" s="99" t="str">
        <f t="shared" si="116"/>
        <v/>
      </c>
      <c r="BB28" s="100" t="str">
        <f t="shared" si="117"/>
        <v/>
      </c>
      <c r="BC28" s="101">
        <f t="shared" si="118"/>
        <v>0</v>
      </c>
      <c r="BD28" s="102" t="str">
        <f t="shared" si="119"/>
        <v/>
      </c>
      <c r="BE28" s="103" t="str">
        <f t="shared" si="120"/>
        <v/>
      </c>
      <c r="BF28" s="104">
        <f t="shared" si="121"/>
        <v>0</v>
      </c>
      <c r="BG28" s="99" t="str">
        <f t="shared" si="122"/>
        <v/>
      </c>
      <c r="BH28" s="100" t="str">
        <f t="shared" si="123"/>
        <v/>
      </c>
      <c r="BI28" s="101">
        <f t="shared" si="124"/>
        <v>0</v>
      </c>
      <c r="BJ28" s="102" t="str">
        <f t="shared" si="125"/>
        <v/>
      </c>
      <c r="BK28" s="103" t="str">
        <f t="shared" si="126"/>
        <v/>
      </c>
      <c r="BL28" s="104">
        <f t="shared" si="127"/>
        <v>0</v>
      </c>
      <c r="BM28" s="99" t="str">
        <f t="shared" si="128"/>
        <v/>
      </c>
      <c r="BN28" s="100" t="str">
        <f t="shared" si="129"/>
        <v/>
      </c>
      <c r="BO28" s="101">
        <f t="shared" si="130"/>
        <v>0</v>
      </c>
      <c r="BP28" s="102" t="str">
        <f t="shared" si="131"/>
        <v/>
      </c>
      <c r="BQ28" s="103" t="str">
        <f t="shared" si="132"/>
        <v/>
      </c>
      <c r="BR28" s="104">
        <f t="shared" si="133"/>
        <v>0</v>
      </c>
      <c r="BS28" s="99" t="str">
        <f t="shared" si="134"/>
        <v/>
      </c>
      <c r="BT28" s="100" t="str">
        <f t="shared" si="135"/>
        <v/>
      </c>
      <c r="BU28" s="101">
        <f t="shared" si="136"/>
        <v>0</v>
      </c>
      <c r="BV28" s="102" t="str">
        <f t="shared" si="137"/>
        <v/>
      </c>
      <c r="BW28" s="103" t="str">
        <f t="shared" si="138"/>
        <v/>
      </c>
      <c r="BX28" s="104">
        <f t="shared" si="139"/>
        <v>0</v>
      </c>
      <c r="BY28" s="99" t="str">
        <f t="shared" si="140"/>
        <v/>
      </c>
      <c r="BZ28" s="100" t="str">
        <f t="shared" si="141"/>
        <v/>
      </c>
      <c r="CA28" s="101">
        <f t="shared" si="142"/>
        <v>0</v>
      </c>
      <c r="CB28" s="102" t="str">
        <f t="shared" si="143"/>
        <v/>
      </c>
      <c r="CC28" s="103" t="str">
        <f t="shared" si="144"/>
        <v/>
      </c>
      <c r="CD28" s="104">
        <f t="shared" si="145"/>
        <v>0</v>
      </c>
      <c r="CE28" s="99" t="str">
        <f t="shared" si="146"/>
        <v/>
      </c>
      <c r="CF28" s="100" t="str">
        <f t="shared" si="147"/>
        <v/>
      </c>
      <c r="CG28" s="101">
        <f t="shared" si="148"/>
        <v>0</v>
      </c>
      <c r="CH28" s="102" t="str">
        <f t="shared" si="149"/>
        <v/>
      </c>
      <c r="CI28" s="103" t="str">
        <f t="shared" si="150"/>
        <v/>
      </c>
      <c r="CJ28" s="104">
        <f t="shared" si="151"/>
        <v>0</v>
      </c>
      <c r="CK28" s="99" t="str">
        <f t="shared" si="152"/>
        <v/>
      </c>
      <c r="CL28" s="100" t="str">
        <f t="shared" si="153"/>
        <v/>
      </c>
      <c r="CM28" s="101">
        <f t="shared" si="154"/>
        <v>0</v>
      </c>
      <c r="CN28" s="102" t="str">
        <f t="shared" si="155"/>
        <v/>
      </c>
      <c r="CO28" s="103" t="str">
        <f t="shared" si="156"/>
        <v/>
      </c>
      <c r="CP28" s="104">
        <f t="shared" si="157"/>
        <v>0</v>
      </c>
      <c r="CQ28" s="99" t="str">
        <f t="shared" si="158"/>
        <v/>
      </c>
      <c r="CR28" s="100" t="str">
        <f t="shared" si="159"/>
        <v/>
      </c>
      <c r="CS28" s="101">
        <f t="shared" si="160"/>
        <v>0</v>
      </c>
      <c r="CT28" s="102" t="str">
        <f t="shared" si="161"/>
        <v/>
      </c>
      <c r="CU28" s="103" t="str">
        <f t="shared" si="162"/>
        <v/>
      </c>
      <c r="CV28" s="104">
        <f t="shared" si="163"/>
        <v>0</v>
      </c>
      <c r="CW28" s="99" t="str">
        <f t="shared" si="164"/>
        <v/>
      </c>
      <c r="CX28" s="100" t="str">
        <f t="shared" si="165"/>
        <v/>
      </c>
      <c r="CY28" s="101">
        <f t="shared" si="166"/>
        <v>0</v>
      </c>
      <c r="CZ28" s="102" t="str">
        <f t="shared" si="167"/>
        <v/>
      </c>
      <c r="DA28" s="103" t="str">
        <f t="shared" si="168"/>
        <v/>
      </c>
      <c r="DB28" s="104">
        <f t="shared" si="169"/>
        <v>0</v>
      </c>
      <c r="DC28" s="99" t="str">
        <f t="shared" si="170"/>
        <v/>
      </c>
      <c r="DD28" s="100" t="str">
        <f t="shared" si="171"/>
        <v/>
      </c>
      <c r="DE28" s="101">
        <f t="shared" si="172"/>
        <v>0</v>
      </c>
      <c r="DF28" s="102" t="str">
        <f t="shared" si="173"/>
        <v/>
      </c>
      <c r="DG28" s="103" t="str">
        <f t="shared" si="174"/>
        <v/>
      </c>
      <c r="DH28" s="104">
        <f t="shared" si="175"/>
        <v>0</v>
      </c>
      <c r="DI28" s="99" t="str">
        <f t="shared" si="176"/>
        <v/>
      </c>
      <c r="DJ28" s="100" t="str">
        <f t="shared" si="177"/>
        <v/>
      </c>
      <c r="DK28" s="101">
        <f t="shared" si="178"/>
        <v>0</v>
      </c>
      <c r="DL28" s="102" t="str">
        <f t="shared" si="179"/>
        <v/>
      </c>
      <c r="DM28" s="103" t="str">
        <f t="shared" si="180"/>
        <v/>
      </c>
      <c r="DN28" s="104">
        <f t="shared" si="181"/>
        <v>0</v>
      </c>
      <c r="DO28" s="99" t="str">
        <f t="shared" si="182"/>
        <v/>
      </c>
      <c r="DP28" s="100" t="str">
        <f t="shared" si="183"/>
        <v/>
      </c>
      <c r="DQ28" s="101">
        <f t="shared" si="184"/>
        <v>0</v>
      </c>
      <c r="DR28" s="102" t="str">
        <f t="shared" si="185"/>
        <v/>
      </c>
      <c r="DS28" s="103" t="str">
        <f t="shared" si="186"/>
        <v/>
      </c>
      <c r="DT28" s="104">
        <f t="shared" si="187"/>
        <v>0</v>
      </c>
    </row>
    <row r="29" ht="15.75" customHeight="1">
      <c r="A29" s="12" t="str">
        <f>Menus!R20</f>
        <v/>
      </c>
      <c r="B29" s="32">
        <f t="shared" ref="B29:C29" si="204">SUMIF($H$2:DT$2,$H$2,H29:DT29)</f>
        <v>0</v>
      </c>
      <c r="C29" s="32">
        <f t="shared" si="204"/>
        <v>0</v>
      </c>
      <c r="D29" s="32">
        <f t="shared" si="67"/>
        <v>0</v>
      </c>
      <c r="E29" s="93" t="str">
        <f t="shared" si="68"/>
        <v/>
      </c>
      <c r="F29" s="94" t="str">
        <f t="shared" si="69"/>
        <v/>
      </c>
      <c r="G29" s="95">
        <f t="shared" si="70"/>
        <v>0</v>
      </c>
      <c r="H29" s="96" t="str">
        <f t="shared" si="71"/>
        <v/>
      </c>
      <c r="I29" s="97" t="str">
        <f t="shared" si="72"/>
        <v/>
      </c>
      <c r="J29" s="98">
        <f t="shared" si="73"/>
        <v>0</v>
      </c>
      <c r="K29" s="99" t="str">
        <f t="shared" si="74"/>
        <v/>
      </c>
      <c r="L29" s="100" t="str">
        <f t="shared" si="75"/>
        <v/>
      </c>
      <c r="M29" s="101">
        <f t="shared" si="76"/>
        <v>0</v>
      </c>
      <c r="N29" s="102" t="str">
        <f t="shared" si="77"/>
        <v/>
      </c>
      <c r="O29" s="103" t="str">
        <f t="shared" si="78"/>
        <v/>
      </c>
      <c r="P29" s="104">
        <f t="shared" si="79"/>
        <v>0</v>
      </c>
      <c r="Q29" s="99" t="str">
        <f t="shared" si="80"/>
        <v/>
      </c>
      <c r="R29" s="100" t="str">
        <f t="shared" si="81"/>
        <v/>
      </c>
      <c r="S29" s="101">
        <f t="shared" si="82"/>
        <v>0</v>
      </c>
      <c r="T29" s="102" t="str">
        <f t="shared" si="83"/>
        <v/>
      </c>
      <c r="U29" s="103" t="str">
        <f t="shared" si="84"/>
        <v/>
      </c>
      <c r="V29" s="104">
        <f t="shared" si="85"/>
        <v>0</v>
      </c>
      <c r="W29" s="99" t="str">
        <f t="shared" si="86"/>
        <v/>
      </c>
      <c r="X29" s="100" t="str">
        <f t="shared" si="87"/>
        <v/>
      </c>
      <c r="Y29" s="101">
        <f t="shared" si="88"/>
        <v>0</v>
      </c>
      <c r="Z29" s="102" t="str">
        <f t="shared" si="89"/>
        <v/>
      </c>
      <c r="AA29" s="103" t="str">
        <f t="shared" si="90"/>
        <v/>
      </c>
      <c r="AB29" s="104">
        <f t="shared" si="91"/>
        <v>0</v>
      </c>
      <c r="AC29" s="99" t="str">
        <f t="shared" si="92"/>
        <v/>
      </c>
      <c r="AD29" s="100" t="str">
        <f t="shared" si="93"/>
        <v/>
      </c>
      <c r="AE29" s="101">
        <f t="shared" si="94"/>
        <v>0</v>
      </c>
      <c r="AF29" s="102" t="str">
        <f t="shared" si="95"/>
        <v/>
      </c>
      <c r="AG29" s="103" t="str">
        <f t="shared" si="96"/>
        <v/>
      </c>
      <c r="AH29" s="104">
        <f t="shared" si="97"/>
        <v>0</v>
      </c>
      <c r="AI29" s="99" t="str">
        <f t="shared" si="98"/>
        <v/>
      </c>
      <c r="AJ29" s="100" t="str">
        <f t="shared" si="99"/>
        <v/>
      </c>
      <c r="AK29" s="101">
        <f t="shared" si="100"/>
        <v>0</v>
      </c>
      <c r="AL29" s="102" t="str">
        <f t="shared" si="101"/>
        <v/>
      </c>
      <c r="AM29" s="103" t="str">
        <f t="shared" si="102"/>
        <v/>
      </c>
      <c r="AN29" s="104">
        <f t="shared" si="103"/>
        <v>0</v>
      </c>
      <c r="AO29" s="99" t="str">
        <f t="shared" si="104"/>
        <v/>
      </c>
      <c r="AP29" s="100" t="str">
        <f t="shared" si="105"/>
        <v/>
      </c>
      <c r="AQ29" s="101">
        <f t="shared" si="106"/>
        <v>0</v>
      </c>
      <c r="AR29" s="102" t="str">
        <f t="shared" si="107"/>
        <v/>
      </c>
      <c r="AS29" s="103" t="str">
        <f t="shared" si="108"/>
        <v/>
      </c>
      <c r="AT29" s="104">
        <f t="shared" si="109"/>
        <v>0</v>
      </c>
      <c r="AU29" s="99" t="str">
        <f t="shared" si="110"/>
        <v/>
      </c>
      <c r="AV29" s="100" t="str">
        <f t="shared" si="111"/>
        <v/>
      </c>
      <c r="AW29" s="101">
        <f t="shared" si="112"/>
        <v>0</v>
      </c>
      <c r="AX29" s="102" t="str">
        <f t="shared" si="113"/>
        <v/>
      </c>
      <c r="AY29" s="103" t="str">
        <f t="shared" si="114"/>
        <v/>
      </c>
      <c r="AZ29" s="104">
        <f t="shared" si="115"/>
        <v>0</v>
      </c>
      <c r="BA29" s="99" t="str">
        <f t="shared" si="116"/>
        <v/>
      </c>
      <c r="BB29" s="100" t="str">
        <f t="shared" si="117"/>
        <v/>
      </c>
      <c r="BC29" s="101">
        <f t="shared" si="118"/>
        <v>0</v>
      </c>
      <c r="BD29" s="102" t="str">
        <f t="shared" si="119"/>
        <v/>
      </c>
      <c r="BE29" s="103" t="str">
        <f t="shared" si="120"/>
        <v/>
      </c>
      <c r="BF29" s="104">
        <f t="shared" si="121"/>
        <v>0</v>
      </c>
      <c r="BG29" s="99" t="str">
        <f t="shared" si="122"/>
        <v/>
      </c>
      <c r="BH29" s="100" t="str">
        <f t="shared" si="123"/>
        <v/>
      </c>
      <c r="BI29" s="101">
        <f t="shared" si="124"/>
        <v>0</v>
      </c>
      <c r="BJ29" s="102" t="str">
        <f t="shared" si="125"/>
        <v/>
      </c>
      <c r="BK29" s="103" t="str">
        <f t="shared" si="126"/>
        <v/>
      </c>
      <c r="BL29" s="104">
        <f t="shared" si="127"/>
        <v>0</v>
      </c>
      <c r="BM29" s="99" t="str">
        <f t="shared" si="128"/>
        <v/>
      </c>
      <c r="BN29" s="100" t="str">
        <f t="shared" si="129"/>
        <v/>
      </c>
      <c r="BO29" s="101">
        <f t="shared" si="130"/>
        <v>0</v>
      </c>
      <c r="BP29" s="102" t="str">
        <f t="shared" si="131"/>
        <v/>
      </c>
      <c r="BQ29" s="103" t="str">
        <f t="shared" si="132"/>
        <v/>
      </c>
      <c r="BR29" s="104">
        <f t="shared" si="133"/>
        <v>0</v>
      </c>
      <c r="BS29" s="99" t="str">
        <f t="shared" si="134"/>
        <v/>
      </c>
      <c r="BT29" s="100" t="str">
        <f t="shared" si="135"/>
        <v/>
      </c>
      <c r="BU29" s="101">
        <f t="shared" si="136"/>
        <v>0</v>
      </c>
      <c r="BV29" s="102" t="str">
        <f t="shared" si="137"/>
        <v/>
      </c>
      <c r="BW29" s="103" t="str">
        <f t="shared" si="138"/>
        <v/>
      </c>
      <c r="BX29" s="104">
        <f t="shared" si="139"/>
        <v>0</v>
      </c>
      <c r="BY29" s="99" t="str">
        <f t="shared" si="140"/>
        <v/>
      </c>
      <c r="BZ29" s="100" t="str">
        <f t="shared" si="141"/>
        <v/>
      </c>
      <c r="CA29" s="101">
        <f t="shared" si="142"/>
        <v>0</v>
      </c>
      <c r="CB29" s="102" t="str">
        <f t="shared" si="143"/>
        <v/>
      </c>
      <c r="CC29" s="103" t="str">
        <f t="shared" si="144"/>
        <v/>
      </c>
      <c r="CD29" s="104">
        <f t="shared" si="145"/>
        <v>0</v>
      </c>
      <c r="CE29" s="99" t="str">
        <f t="shared" si="146"/>
        <v/>
      </c>
      <c r="CF29" s="100" t="str">
        <f t="shared" si="147"/>
        <v/>
      </c>
      <c r="CG29" s="101">
        <f t="shared" si="148"/>
        <v>0</v>
      </c>
      <c r="CH29" s="102" t="str">
        <f t="shared" si="149"/>
        <v/>
      </c>
      <c r="CI29" s="103" t="str">
        <f t="shared" si="150"/>
        <v/>
      </c>
      <c r="CJ29" s="104">
        <f t="shared" si="151"/>
        <v>0</v>
      </c>
      <c r="CK29" s="99" t="str">
        <f t="shared" si="152"/>
        <v/>
      </c>
      <c r="CL29" s="100" t="str">
        <f t="shared" si="153"/>
        <v/>
      </c>
      <c r="CM29" s="101">
        <f t="shared" si="154"/>
        <v>0</v>
      </c>
      <c r="CN29" s="102" t="str">
        <f t="shared" si="155"/>
        <v/>
      </c>
      <c r="CO29" s="103" t="str">
        <f t="shared" si="156"/>
        <v/>
      </c>
      <c r="CP29" s="104">
        <f t="shared" si="157"/>
        <v>0</v>
      </c>
      <c r="CQ29" s="99" t="str">
        <f t="shared" si="158"/>
        <v/>
      </c>
      <c r="CR29" s="100" t="str">
        <f t="shared" si="159"/>
        <v/>
      </c>
      <c r="CS29" s="101">
        <f t="shared" si="160"/>
        <v>0</v>
      </c>
      <c r="CT29" s="102" t="str">
        <f t="shared" si="161"/>
        <v/>
      </c>
      <c r="CU29" s="103" t="str">
        <f t="shared" si="162"/>
        <v/>
      </c>
      <c r="CV29" s="104">
        <f t="shared" si="163"/>
        <v>0</v>
      </c>
      <c r="CW29" s="99" t="str">
        <f t="shared" si="164"/>
        <v/>
      </c>
      <c r="CX29" s="100" t="str">
        <f t="shared" si="165"/>
        <v/>
      </c>
      <c r="CY29" s="101">
        <f t="shared" si="166"/>
        <v>0</v>
      </c>
      <c r="CZ29" s="102" t="str">
        <f t="shared" si="167"/>
        <v/>
      </c>
      <c r="DA29" s="103" t="str">
        <f t="shared" si="168"/>
        <v/>
      </c>
      <c r="DB29" s="104">
        <f t="shared" si="169"/>
        <v>0</v>
      </c>
      <c r="DC29" s="99" t="str">
        <f t="shared" si="170"/>
        <v/>
      </c>
      <c r="DD29" s="100" t="str">
        <f t="shared" si="171"/>
        <v/>
      </c>
      <c r="DE29" s="101">
        <f t="shared" si="172"/>
        <v>0</v>
      </c>
      <c r="DF29" s="102" t="str">
        <f t="shared" si="173"/>
        <v/>
      </c>
      <c r="DG29" s="103" t="str">
        <f t="shared" si="174"/>
        <v/>
      </c>
      <c r="DH29" s="104">
        <f t="shared" si="175"/>
        <v>0</v>
      </c>
      <c r="DI29" s="99" t="str">
        <f t="shared" si="176"/>
        <v/>
      </c>
      <c r="DJ29" s="100" t="str">
        <f t="shared" si="177"/>
        <v/>
      </c>
      <c r="DK29" s="101">
        <f t="shared" si="178"/>
        <v>0</v>
      </c>
      <c r="DL29" s="102" t="str">
        <f t="shared" si="179"/>
        <v/>
      </c>
      <c r="DM29" s="103" t="str">
        <f t="shared" si="180"/>
        <v/>
      </c>
      <c r="DN29" s="104">
        <f t="shared" si="181"/>
        <v>0</v>
      </c>
      <c r="DO29" s="99" t="str">
        <f t="shared" si="182"/>
        <v/>
      </c>
      <c r="DP29" s="100" t="str">
        <f t="shared" si="183"/>
        <v/>
      </c>
      <c r="DQ29" s="101">
        <f t="shared" si="184"/>
        <v>0</v>
      </c>
      <c r="DR29" s="102" t="str">
        <f t="shared" si="185"/>
        <v/>
      </c>
      <c r="DS29" s="103" t="str">
        <f t="shared" si="186"/>
        <v/>
      </c>
      <c r="DT29" s="104">
        <f t="shared" si="187"/>
        <v>0</v>
      </c>
    </row>
    <row r="30" ht="15.75" hidden="1" customHeight="1">
      <c r="A30" s="12" t="str">
        <f>Menus!R21</f>
        <v/>
      </c>
      <c r="B30" s="32" t="str">
        <f t="shared" ref="B30:G30" si="205">SUMIF($H$2:DT$2,$H$2,H30:DT30)</f>
        <v>#N/A</v>
      </c>
      <c r="C30" s="32" t="str">
        <f t="shared" si="205"/>
        <v>#N/A</v>
      </c>
      <c r="D30" s="32" t="str">
        <f t="shared" si="205"/>
        <v>#N/A</v>
      </c>
      <c r="E30" s="93" t="str">
        <f t="shared" si="205"/>
        <v>#N/A</v>
      </c>
      <c r="F30" s="94" t="str">
        <f t="shared" si="205"/>
        <v>#N/A</v>
      </c>
      <c r="G30" s="95" t="str">
        <f t="shared" si="205"/>
        <v>#N/A</v>
      </c>
      <c r="H30" s="96" t="str">
        <f t="shared" si="71"/>
        <v/>
      </c>
      <c r="I30" s="97" t="str">
        <f t="shared" si="72"/>
        <v/>
      </c>
      <c r="J30" s="98" t="str">
        <f t="shared" ref="J30:DO30" si="206">SUMIF($H$2:DT$2,$H$2,P30:DT30)</f>
        <v>#N/A</v>
      </c>
      <c r="K30" s="99" t="str">
        <f t="shared" si="206"/>
        <v>#N/A</v>
      </c>
      <c r="L30" s="100" t="str">
        <f t="shared" si="206"/>
        <v>#N/A</v>
      </c>
      <c r="M30" s="101" t="str">
        <f t="shared" si="206"/>
        <v>#N/A</v>
      </c>
      <c r="N30" s="102" t="str">
        <f t="shared" si="206"/>
        <v>#N/A</v>
      </c>
      <c r="O30" s="103" t="str">
        <f t="shared" si="206"/>
        <v>#N/A</v>
      </c>
      <c r="P30" s="104" t="str">
        <f t="shared" si="206"/>
        <v>#N/A</v>
      </c>
      <c r="Q30" s="99" t="str">
        <f t="shared" si="206"/>
        <v>#N/A</v>
      </c>
      <c r="R30" s="100" t="str">
        <f t="shared" si="206"/>
        <v>#N/A</v>
      </c>
      <c r="S30" s="101" t="str">
        <f t="shared" si="206"/>
        <v>#N/A</v>
      </c>
      <c r="T30" s="102" t="str">
        <f t="shared" si="206"/>
        <v>#N/A</v>
      </c>
      <c r="U30" s="103" t="str">
        <f t="shared" si="206"/>
        <v>#N/A</v>
      </c>
      <c r="V30" s="104" t="str">
        <f t="shared" si="206"/>
        <v>#N/A</v>
      </c>
      <c r="W30" s="99" t="str">
        <f t="shared" si="206"/>
        <v>#N/A</v>
      </c>
      <c r="X30" s="100" t="str">
        <f t="shared" si="206"/>
        <v>#N/A</v>
      </c>
      <c r="Y30" s="101" t="str">
        <f t="shared" si="206"/>
        <v>#N/A</v>
      </c>
      <c r="Z30" s="102" t="str">
        <f t="shared" si="206"/>
        <v>#N/A</v>
      </c>
      <c r="AA30" s="103" t="str">
        <f t="shared" si="206"/>
        <v>#N/A</v>
      </c>
      <c r="AB30" s="104" t="str">
        <f t="shared" si="206"/>
        <v>#N/A</v>
      </c>
      <c r="AC30" s="99" t="str">
        <f t="shared" si="206"/>
        <v>#N/A</v>
      </c>
      <c r="AD30" s="100" t="str">
        <f t="shared" si="206"/>
        <v>#N/A</v>
      </c>
      <c r="AE30" s="101" t="str">
        <f t="shared" si="206"/>
        <v>#N/A</v>
      </c>
      <c r="AF30" s="102" t="str">
        <f t="shared" si="206"/>
        <v>#N/A</v>
      </c>
      <c r="AG30" s="103" t="str">
        <f t="shared" si="206"/>
        <v>#N/A</v>
      </c>
      <c r="AH30" s="104" t="str">
        <f t="shared" si="206"/>
        <v>#N/A</v>
      </c>
      <c r="AI30" s="99" t="str">
        <f t="shared" si="206"/>
        <v>#N/A</v>
      </c>
      <c r="AJ30" s="100" t="str">
        <f t="shared" si="206"/>
        <v>#N/A</v>
      </c>
      <c r="AK30" s="101" t="str">
        <f t="shared" si="206"/>
        <v>#N/A</v>
      </c>
      <c r="AL30" s="102" t="str">
        <f t="shared" si="206"/>
        <v>#N/A</v>
      </c>
      <c r="AM30" s="103" t="str">
        <f t="shared" si="206"/>
        <v>#N/A</v>
      </c>
      <c r="AN30" s="104" t="str">
        <f t="shared" si="206"/>
        <v>#N/A</v>
      </c>
      <c r="AO30" s="99" t="str">
        <f t="shared" si="206"/>
        <v>#N/A</v>
      </c>
      <c r="AP30" s="100" t="str">
        <f t="shared" si="206"/>
        <v>#N/A</v>
      </c>
      <c r="AQ30" s="101" t="str">
        <f t="shared" si="206"/>
        <v>#N/A</v>
      </c>
      <c r="AR30" s="102" t="str">
        <f t="shared" si="206"/>
        <v>#N/A</v>
      </c>
      <c r="AS30" s="103" t="str">
        <f t="shared" si="206"/>
        <v>#N/A</v>
      </c>
      <c r="AT30" s="104" t="str">
        <f t="shared" si="206"/>
        <v>#N/A</v>
      </c>
      <c r="AU30" s="99" t="str">
        <f t="shared" si="206"/>
        <v>#N/A</v>
      </c>
      <c r="AV30" s="100" t="str">
        <f t="shared" si="206"/>
        <v>#N/A</v>
      </c>
      <c r="AW30" s="101" t="str">
        <f t="shared" si="206"/>
        <v>#N/A</v>
      </c>
      <c r="AX30" s="102" t="str">
        <f t="shared" si="206"/>
        <v>#N/A</v>
      </c>
      <c r="AY30" s="103" t="str">
        <f t="shared" si="206"/>
        <v>#N/A</v>
      </c>
      <c r="AZ30" s="104" t="str">
        <f t="shared" si="206"/>
        <v>#N/A</v>
      </c>
      <c r="BA30" s="99" t="str">
        <f t="shared" si="206"/>
        <v>#N/A</v>
      </c>
      <c r="BB30" s="100" t="str">
        <f t="shared" si="206"/>
        <v>#N/A</v>
      </c>
      <c r="BC30" s="101" t="str">
        <f t="shared" si="206"/>
        <v>#N/A</v>
      </c>
      <c r="BD30" s="102" t="str">
        <f t="shared" si="206"/>
        <v>#N/A</v>
      </c>
      <c r="BE30" s="103" t="str">
        <f t="shared" si="206"/>
        <v>#N/A</v>
      </c>
      <c r="BF30" s="104" t="str">
        <f t="shared" si="206"/>
        <v>#N/A</v>
      </c>
      <c r="BG30" s="99" t="str">
        <f t="shared" si="206"/>
        <v>#N/A</v>
      </c>
      <c r="BH30" s="100" t="str">
        <f t="shared" si="206"/>
        <v>#N/A</v>
      </c>
      <c r="BI30" s="101" t="str">
        <f t="shared" si="206"/>
        <v>#N/A</v>
      </c>
      <c r="BJ30" s="102" t="str">
        <f t="shared" si="206"/>
        <v>#N/A</v>
      </c>
      <c r="BK30" s="103" t="str">
        <f t="shared" si="206"/>
        <v>#N/A</v>
      </c>
      <c r="BL30" s="104" t="str">
        <f t="shared" si="206"/>
        <v>#N/A</v>
      </c>
      <c r="BM30" s="99" t="str">
        <f t="shared" si="206"/>
        <v>#N/A</v>
      </c>
      <c r="BN30" s="100" t="str">
        <f t="shared" si="206"/>
        <v>#N/A</v>
      </c>
      <c r="BO30" s="101" t="str">
        <f t="shared" si="206"/>
        <v>#N/A</v>
      </c>
      <c r="BP30" s="102" t="str">
        <f t="shared" si="206"/>
        <v>#N/A</v>
      </c>
      <c r="BQ30" s="103" t="str">
        <f t="shared" si="206"/>
        <v>#N/A</v>
      </c>
      <c r="BR30" s="104" t="str">
        <f t="shared" si="206"/>
        <v>#N/A</v>
      </c>
      <c r="BS30" s="99" t="str">
        <f t="shared" si="206"/>
        <v>#N/A</v>
      </c>
      <c r="BT30" s="100" t="str">
        <f t="shared" si="206"/>
        <v>#N/A</v>
      </c>
      <c r="BU30" s="101" t="str">
        <f t="shared" si="206"/>
        <v>#N/A</v>
      </c>
      <c r="BV30" s="102" t="str">
        <f t="shared" si="206"/>
        <v>#N/A</v>
      </c>
      <c r="BW30" s="103" t="str">
        <f t="shared" si="206"/>
        <v>#N/A</v>
      </c>
      <c r="BX30" s="104" t="str">
        <f t="shared" si="206"/>
        <v>#N/A</v>
      </c>
      <c r="BY30" s="99" t="str">
        <f t="shared" si="206"/>
        <v>#N/A</v>
      </c>
      <c r="BZ30" s="100" t="str">
        <f t="shared" si="206"/>
        <v>#N/A</v>
      </c>
      <c r="CA30" s="101" t="str">
        <f t="shared" si="206"/>
        <v>#N/A</v>
      </c>
      <c r="CB30" s="102" t="str">
        <f t="shared" si="206"/>
        <v>#N/A</v>
      </c>
      <c r="CC30" s="103" t="str">
        <f t="shared" si="206"/>
        <v>#N/A</v>
      </c>
      <c r="CD30" s="104" t="str">
        <f t="shared" si="206"/>
        <v>#N/A</v>
      </c>
      <c r="CE30" s="99" t="str">
        <f t="shared" si="206"/>
        <v>#N/A</v>
      </c>
      <c r="CF30" s="100" t="str">
        <f t="shared" si="206"/>
        <v>#N/A</v>
      </c>
      <c r="CG30" s="101" t="str">
        <f t="shared" si="206"/>
        <v>#N/A</v>
      </c>
      <c r="CH30" s="102" t="str">
        <f t="shared" si="206"/>
        <v>#N/A</v>
      </c>
      <c r="CI30" s="103" t="str">
        <f t="shared" si="206"/>
        <v>#N/A</v>
      </c>
      <c r="CJ30" s="104" t="str">
        <f t="shared" si="206"/>
        <v>#N/A</v>
      </c>
      <c r="CK30" s="99" t="str">
        <f t="shared" si="206"/>
        <v>#N/A</v>
      </c>
      <c r="CL30" s="100" t="str">
        <f t="shared" si="206"/>
        <v>#N/A</v>
      </c>
      <c r="CM30" s="101" t="str">
        <f t="shared" si="206"/>
        <v>#N/A</v>
      </c>
      <c r="CN30" s="102" t="str">
        <f t="shared" si="206"/>
        <v>#N/A</v>
      </c>
      <c r="CO30" s="103" t="str">
        <f t="shared" si="206"/>
        <v>#N/A</v>
      </c>
      <c r="CP30" s="104" t="str">
        <f t="shared" si="206"/>
        <v>#N/A</v>
      </c>
      <c r="CQ30" s="99" t="str">
        <f t="shared" si="206"/>
        <v>#N/A</v>
      </c>
      <c r="CR30" s="100" t="str">
        <f t="shared" si="206"/>
        <v>#N/A</v>
      </c>
      <c r="CS30" s="101" t="str">
        <f t="shared" si="206"/>
        <v>#N/A</v>
      </c>
      <c r="CT30" s="102" t="str">
        <f t="shared" si="206"/>
        <v>#N/A</v>
      </c>
      <c r="CU30" s="103" t="str">
        <f t="shared" si="206"/>
        <v>#N/A</v>
      </c>
      <c r="CV30" s="104" t="str">
        <f t="shared" si="206"/>
        <v>#N/A</v>
      </c>
      <c r="CW30" s="99" t="str">
        <f t="shared" si="206"/>
        <v>#N/A</v>
      </c>
      <c r="CX30" s="100" t="str">
        <f t="shared" si="206"/>
        <v>#N/A</v>
      </c>
      <c r="CY30" s="101" t="str">
        <f t="shared" si="206"/>
        <v>#N/A</v>
      </c>
      <c r="CZ30" s="102" t="str">
        <f t="shared" si="206"/>
        <v>#N/A</v>
      </c>
      <c r="DA30" s="103" t="str">
        <f t="shared" si="206"/>
        <v>#N/A</v>
      </c>
      <c r="DB30" s="104" t="str">
        <f t="shared" si="206"/>
        <v>#N/A</v>
      </c>
      <c r="DC30" s="99" t="str">
        <f t="shared" si="206"/>
        <v>#N/A</v>
      </c>
      <c r="DD30" s="100" t="str">
        <f t="shared" si="206"/>
        <v>#N/A</v>
      </c>
      <c r="DE30" s="101" t="str">
        <f t="shared" si="206"/>
        <v>#N/A</v>
      </c>
      <c r="DF30" s="102" t="str">
        <f t="shared" si="206"/>
        <v>#N/A</v>
      </c>
      <c r="DG30" s="103" t="str">
        <f t="shared" si="206"/>
        <v>#N/A</v>
      </c>
      <c r="DH30" s="104" t="str">
        <f t="shared" si="206"/>
        <v>#N/A</v>
      </c>
      <c r="DI30" s="99" t="str">
        <f t="shared" si="206"/>
        <v>#N/A</v>
      </c>
      <c r="DJ30" s="100" t="str">
        <f t="shared" si="206"/>
        <v>#N/A</v>
      </c>
      <c r="DK30" s="101" t="str">
        <f t="shared" si="206"/>
        <v>#N/A</v>
      </c>
      <c r="DL30" s="102" t="str">
        <f t="shared" si="206"/>
        <v>#N/A</v>
      </c>
      <c r="DM30" s="103" t="str">
        <f t="shared" si="206"/>
        <v>#N/A</v>
      </c>
      <c r="DN30" s="104" t="str">
        <f t="shared" si="206"/>
        <v>#N/A</v>
      </c>
      <c r="DO30" s="99">
        <f t="shared" si="206"/>
        <v>0</v>
      </c>
      <c r="DP30" s="100" t="str">
        <f t="shared" ref="DP30:DP39" si="209">SUMIF($H$2:DT$2,$H$2,#REF!)</f>
        <v>#N/A</v>
      </c>
      <c r="DQ30" s="101" t="str">
        <f t="shared" ref="DQ30:DQ39" si="210">SUMIF($H$2:DT$2,$H$2,#REF!)</f>
        <v>#N/A</v>
      </c>
      <c r="DR30" s="102" t="str">
        <f t="shared" ref="DR30:DR39" si="211">SUMIF($H$2:DT$2,$H$2,#REF!)</f>
        <v>#N/A</v>
      </c>
      <c r="DS30" s="103" t="str">
        <f t="shared" ref="DS30:DS39" si="212">SUMIF($H$2:DT$2,$H$2,#REF!)</f>
        <v>#N/A</v>
      </c>
      <c r="DT30" s="104" t="str">
        <f t="shared" ref="DT30:DT39" si="213">SUMIF($H$2:DT$2,$H$2,#REF!)</f>
        <v>#N/A</v>
      </c>
    </row>
    <row r="31" ht="15.75" hidden="1" customHeight="1">
      <c r="A31" s="12" t="str">
        <f>Menus!R22</f>
        <v/>
      </c>
      <c r="B31" s="32" t="str">
        <f t="shared" ref="B31:G31" si="207">SUMIF($H$2:DT$2,$H$2,H31:DT31)</f>
        <v>#N/A</v>
      </c>
      <c r="C31" s="32" t="str">
        <f t="shared" si="207"/>
        <v>#N/A</v>
      </c>
      <c r="D31" s="32" t="str">
        <f t="shared" si="207"/>
        <v>#N/A</v>
      </c>
      <c r="E31" s="93" t="str">
        <f t="shared" si="207"/>
        <v>#N/A</v>
      </c>
      <c r="F31" s="94" t="str">
        <f t="shared" si="207"/>
        <v>#N/A</v>
      </c>
      <c r="G31" s="95" t="str">
        <f t="shared" si="207"/>
        <v>#N/A</v>
      </c>
      <c r="H31" s="96" t="str">
        <f t="shared" si="71"/>
        <v/>
      </c>
      <c r="I31" s="97" t="str">
        <f t="shared" si="72"/>
        <v/>
      </c>
      <c r="J31" s="98" t="str">
        <f t="shared" ref="J31:DO31" si="208">SUMIF($H$2:DT$2,$H$2,P31:DT31)</f>
        <v>#N/A</v>
      </c>
      <c r="K31" s="99" t="str">
        <f t="shared" si="208"/>
        <v>#N/A</v>
      </c>
      <c r="L31" s="100" t="str">
        <f t="shared" si="208"/>
        <v>#N/A</v>
      </c>
      <c r="M31" s="101" t="str">
        <f t="shared" si="208"/>
        <v>#N/A</v>
      </c>
      <c r="N31" s="102" t="str">
        <f t="shared" si="208"/>
        <v>#N/A</v>
      </c>
      <c r="O31" s="103" t="str">
        <f t="shared" si="208"/>
        <v>#N/A</v>
      </c>
      <c r="P31" s="104" t="str">
        <f t="shared" si="208"/>
        <v>#N/A</v>
      </c>
      <c r="Q31" s="99" t="str">
        <f t="shared" si="208"/>
        <v>#N/A</v>
      </c>
      <c r="R31" s="100" t="str">
        <f t="shared" si="208"/>
        <v>#N/A</v>
      </c>
      <c r="S31" s="101" t="str">
        <f t="shared" si="208"/>
        <v>#N/A</v>
      </c>
      <c r="T31" s="102" t="str">
        <f t="shared" si="208"/>
        <v>#N/A</v>
      </c>
      <c r="U31" s="103" t="str">
        <f t="shared" si="208"/>
        <v>#N/A</v>
      </c>
      <c r="V31" s="104" t="str">
        <f t="shared" si="208"/>
        <v>#N/A</v>
      </c>
      <c r="W31" s="99" t="str">
        <f t="shared" si="208"/>
        <v>#N/A</v>
      </c>
      <c r="X31" s="100" t="str">
        <f t="shared" si="208"/>
        <v>#N/A</v>
      </c>
      <c r="Y31" s="101" t="str">
        <f t="shared" si="208"/>
        <v>#N/A</v>
      </c>
      <c r="Z31" s="102" t="str">
        <f t="shared" si="208"/>
        <v>#N/A</v>
      </c>
      <c r="AA31" s="103" t="str">
        <f t="shared" si="208"/>
        <v>#N/A</v>
      </c>
      <c r="AB31" s="104" t="str">
        <f t="shared" si="208"/>
        <v>#N/A</v>
      </c>
      <c r="AC31" s="99" t="str">
        <f t="shared" si="208"/>
        <v>#N/A</v>
      </c>
      <c r="AD31" s="100" t="str">
        <f t="shared" si="208"/>
        <v>#N/A</v>
      </c>
      <c r="AE31" s="101" t="str">
        <f t="shared" si="208"/>
        <v>#N/A</v>
      </c>
      <c r="AF31" s="102" t="str">
        <f t="shared" si="208"/>
        <v>#N/A</v>
      </c>
      <c r="AG31" s="103" t="str">
        <f t="shared" si="208"/>
        <v>#N/A</v>
      </c>
      <c r="AH31" s="104" t="str">
        <f t="shared" si="208"/>
        <v>#N/A</v>
      </c>
      <c r="AI31" s="99" t="str">
        <f t="shared" si="208"/>
        <v>#N/A</v>
      </c>
      <c r="AJ31" s="100" t="str">
        <f t="shared" si="208"/>
        <v>#N/A</v>
      </c>
      <c r="AK31" s="101" t="str">
        <f t="shared" si="208"/>
        <v>#N/A</v>
      </c>
      <c r="AL31" s="102" t="str">
        <f t="shared" si="208"/>
        <v>#N/A</v>
      </c>
      <c r="AM31" s="103" t="str">
        <f t="shared" si="208"/>
        <v>#N/A</v>
      </c>
      <c r="AN31" s="104" t="str">
        <f t="shared" si="208"/>
        <v>#N/A</v>
      </c>
      <c r="AO31" s="99" t="str">
        <f t="shared" si="208"/>
        <v>#N/A</v>
      </c>
      <c r="AP31" s="100" t="str">
        <f t="shared" si="208"/>
        <v>#N/A</v>
      </c>
      <c r="AQ31" s="101" t="str">
        <f t="shared" si="208"/>
        <v>#N/A</v>
      </c>
      <c r="AR31" s="102" t="str">
        <f t="shared" si="208"/>
        <v>#N/A</v>
      </c>
      <c r="AS31" s="103" t="str">
        <f t="shared" si="208"/>
        <v>#N/A</v>
      </c>
      <c r="AT31" s="104" t="str">
        <f t="shared" si="208"/>
        <v>#N/A</v>
      </c>
      <c r="AU31" s="99" t="str">
        <f t="shared" si="208"/>
        <v>#N/A</v>
      </c>
      <c r="AV31" s="100" t="str">
        <f t="shared" si="208"/>
        <v>#N/A</v>
      </c>
      <c r="AW31" s="101" t="str">
        <f t="shared" si="208"/>
        <v>#N/A</v>
      </c>
      <c r="AX31" s="102" t="str">
        <f t="shared" si="208"/>
        <v>#N/A</v>
      </c>
      <c r="AY31" s="103" t="str">
        <f t="shared" si="208"/>
        <v>#N/A</v>
      </c>
      <c r="AZ31" s="104" t="str">
        <f t="shared" si="208"/>
        <v>#N/A</v>
      </c>
      <c r="BA31" s="99" t="str">
        <f t="shared" si="208"/>
        <v>#N/A</v>
      </c>
      <c r="BB31" s="100" t="str">
        <f t="shared" si="208"/>
        <v>#N/A</v>
      </c>
      <c r="BC31" s="101" t="str">
        <f t="shared" si="208"/>
        <v>#N/A</v>
      </c>
      <c r="BD31" s="102" t="str">
        <f t="shared" si="208"/>
        <v>#N/A</v>
      </c>
      <c r="BE31" s="103" t="str">
        <f t="shared" si="208"/>
        <v>#N/A</v>
      </c>
      <c r="BF31" s="104" t="str">
        <f t="shared" si="208"/>
        <v>#N/A</v>
      </c>
      <c r="BG31" s="99" t="str">
        <f t="shared" si="208"/>
        <v>#N/A</v>
      </c>
      <c r="BH31" s="100" t="str">
        <f t="shared" si="208"/>
        <v>#N/A</v>
      </c>
      <c r="BI31" s="101" t="str">
        <f t="shared" si="208"/>
        <v>#N/A</v>
      </c>
      <c r="BJ31" s="102" t="str">
        <f t="shared" si="208"/>
        <v>#N/A</v>
      </c>
      <c r="BK31" s="103" t="str">
        <f t="shared" si="208"/>
        <v>#N/A</v>
      </c>
      <c r="BL31" s="104" t="str">
        <f t="shared" si="208"/>
        <v>#N/A</v>
      </c>
      <c r="BM31" s="99" t="str">
        <f t="shared" si="208"/>
        <v>#N/A</v>
      </c>
      <c r="BN31" s="100" t="str">
        <f t="shared" si="208"/>
        <v>#N/A</v>
      </c>
      <c r="BO31" s="101" t="str">
        <f t="shared" si="208"/>
        <v>#N/A</v>
      </c>
      <c r="BP31" s="102" t="str">
        <f t="shared" si="208"/>
        <v>#N/A</v>
      </c>
      <c r="BQ31" s="103" t="str">
        <f t="shared" si="208"/>
        <v>#N/A</v>
      </c>
      <c r="BR31" s="104" t="str">
        <f t="shared" si="208"/>
        <v>#N/A</v>
      </c>
      <c r="BS31" s="99" t="str">
        <f t="shared" si="208"/>
        <v>#N/A</v>
      </c>
      <c r="BT31" s="100" t="str">
        <f t="shared" si="208"/>
        <v>#N/A</v>
      </c>
      <c r="BU31" s="101" t="str">
        <f t="shared" si="208"/>
        <v>#N/A</v>
      </c>
      <c r="BV31" s="102" t="str">
        <f t="shared" si="208"/>
        <v>#N/A</v>
      </c>
      <c r="BW31" s="103" t="str">
        <f t="shared" si="208"/>
        <v>#N/A</v>
      </c>
      <c r="BX31" s="104" t="str">
        <f t="shared" si="208"/>
        <v>#N/A</v>
      </c>
      <c r="BY31" s="99" t="str">
        <f t="shared" si="208"/>
        <v>#N/A</v>
      </c>
      <c r="BZ31" s="100" t="str">
        <f t="shared" si="208"/>
        <v>#N/A</v>
      </c>
      <c r="CA31" s="101" t="str">
        <f t="shared" si="208"/>
        <v>#N/A</v>
      </c>
      <c r="CB31" s="102" t="str">
        <f t="shared" si="208"/>
        <v>#N/A</v>
      </c>
      <c r="CC31" s="103" t="str">
        <f t="shared" si="208"/>
        <v>#N/A</v>
      </c>
      <c r="CD31" s="104" t="str">
        <f t="shared" si="208"/>
        <v>#N/A</v>
      </c>
      <c r="CE31" s="99" t="str">
        <f t="shared" si="208"/>
        <v>#N/A</v>
      </c>
      <c r="CF31" s="100" t="str">
        <f t="shared" si="208"/>
        <v>#N/A</v>
      </c>
      <c r="CG31" s="101" t="str">
        <f t="shared" si="208"/>
        <v>#N/A</v>
      </c>
      <c r="CH31" s="102" t="str">
        <f t="shared" si="208"/>
        <v>#N/A</v>
      </c>
      <c r="CI31" s="103" t="str">
        <f t="shared" si="208"/>
        <v>#N/A</v>
      </c>
      <c r="CJ31" s="104" t="str">
        <f t="shared" si="208"/>
        <v>#N/A</v>
      </c>
      <c r="CK31" s="99" t="str">
        <f t="shared" si="208"/>
        <v>#N/A</v>
      </c>
      <c r="CL31" s="100" t="str">
        <f t="shared" si="208"/>
        <v>#N/A</v>
      </c>
      <c r="CM31" s="101" t="str">
        <f t="shared" si="208"/>
        <v>#N/A</v>
      </c>
      <c r="CN31" s="102" t="str">
        <f t="shared" si="208"/>
        <v>#N/A</v>
      </c>
      <c r="CO31" s="103" t="str">
        <f t="shared" si="208"/>
        <v>#N/A</v>
      </c>
      <c r="CP31" s="104" t="str">
        <f t="shared" si="208"/>
        <v>#N/A</v>
      </c>
      <c r="CQ31" s="99" t="str">
        <f t="shared" si="208"/>
        <v>#N/A</v>
      </c>
      <c r="CR31" s="100" t="str">
        <f t="shared" si="208"/>
        <v>#N/A</v>
      </c>
      <c r="CS31" s="101" t="str">
        <f t="shared" si="208"/>
        <v>#N/A</v>
      </c>
      <c r="CT31" s="102" t="str">
        <f t="shared" si="208"/>
        <v>#N/A</v>
      </c>
      <c r="CU31" s="103" t="str">
        <f t="shared" si="208"/>
        <v>#N/A</v>
      </c>
      <c r="CV31" s="104" t="str">
        <f t="shared" si="208"/>
        <v>#N/A</v>
      </c>
      <c r="CW31" s="99" t="str">
        <f t="shared" si="208"/>
        <v>#N/A</v>
      </c>
      <c r="CX31" s="100" t="str">
        <f t="shared" si="208"/>
        <v>#N/A</v>
      </c>
      <c r="CY31" s="101" t="str">
        <f t="shared" si="208"/>
        <v>#N/A</v>
      </c>
      <c r="CZ31" s="102" t="str">
        <f t="shared" si="208"/>
        <v>#N/A</v>
      </c>
      <c r="DA31" s="103" t="str">
        <f t="shared" si="208"/>
        <v>#N/A</v>
      </c>
      <c r="DB31" s="104" t="str">
        <f t="shared" si="208"/>
        <v>#N/A</v>
      </c>
      <c r="DC31" s="99" t="str">
        <f t="shared" si="208"/>
        <v>#N/A</v>
      </c>
      <c r="DD31" s="100" t="str">
        <f t="shared" si="208"/>
        <v>#N/A</v>
      </c>
      <c r="DE31" s="101" t="str">
        <f t="shared" si="208"/>
        <v>#N/A</v>
      </c>
      <c r="DF31" s="102" t="str">
        <f t="shared" si="208"/>
        <v>#N/A</v>
      </c>
      <c r="DG31" s="103" t="str">
        <f t="shared" si="208"/>
        <v>#N/A</v>
      </c>
      <c r="DH31" s="104" t="str">
        <f t="shared" si="208"/>
        <v>#N/A</v>
      </c>
      <c r="DI31" s="99" t="str">
        <f t="shared" si="208"/>
        <v>#N/A</v>
      </c>
      <c r="DJ31" s="100" t="str">
        <f t="shared" si="208"/>
        <v>#N/A</v>
      </c>
      <c r="DK31" s="101" t="str">
        <f t="shared" si="208"/>
        <v>#N/A</v>
      </c>
      <c r="DL31" s="102" t="str">
        <f t="shared" si="208"/>
        <v>#N/A</v>
      </c>
      <c r="DM31" s="103" t="str">
        <f t="shared" si="208"/>
        <v>#N/A</v>
      </c>
      <c r="DN31" s="104" t="str">
        <f t="shared" si="208"/>
        <v>#N/A</v>
      </c>
      <c r="DO31" s="99">
        <f t="shared" si="208"/>
        <v>0</v>
      </c>
      <c r="DP31" s="100" t="str">
        <f t="shared" si="209"/>
        <v>#N/A</v>
      </c>
      <c r="DQ31" s="101" t="str">
        <f t="shared" si="210"/>
        <v>#N/A</v>
      </c>
      <c r="DR31" s="102" t="str">
        <f t="shared" si="211"/>
        <v>#N/A</v>
      </c>
      <c r="DS31" s="103" t="str">
        <f t="shared" si="212"/>
        <v>#N/A</v>
      </c>
      <c r="DT31" s="104" t="str">
        <f t="shared" si="213"/>
        <v>#N/A</v>
      </c>
    </row>
    <row r="32" ht="15.75" hidden="1" customHeight="1">
      <c r="A32" s="12" t="str">
        <f>Menus!R23</f>
        <v/>
      </c>
      <c r="B32" s="32" t="str">
        <f t="shared" ref="B32:G32" si="214">SUMIF($H$2:DT$2,$H$2,H32:DT32)</f>
        <v>#N/A</v>
      </c>
      <c r="C32" s="32" t="str">
        <f t="shared" si="214"/>
        <v>#N/A</v>
      </c>
      <c r="D32" s="32" t="str">
        <f t="shared" si="214"/>
        <v>#N/A</v>
      </c>
      <c r="E32" s="93" t="str">
        <f t="shared" si="214"/>
        <v>#N/A</v>
      </c>
      <c r="F32" s="94" t="str">
        <f t="shared" si="214"/>
        <v>#N/A</v>
      </c>
      <c r="G32" s="95" t="str">
        <f t="shared" si="214"/>
        <v>#N/A</v>
      </c>
      <c r="H32" s="96" t="str">
        <f t="shared" si="71"/>
        <v/>
      </c>
      <c r="I32" s="97" t="str">
        <f t="shared" si="72"/>
        <v/>
      </c>
      <c r="J32" s="98" t="str">
        <f t="shared" ref="J32:DO32" si="215">SUMIF($H$2:DT$2,$H$2,P32:DT32)</f>
        <v>#N/A</v>
      </c>
      <c r="K32" s="99" t="str">
        <f t="shared" si="215"/>
        <v>#N/A</v>
      </c>
      <c r="L32" s="100" t="str">
        <f t="shared" si="215"/>
        <v>#N/A</v>
      </c>
      <c r="M32" s="101" t="str">
        <f t="shared" si="215"/>
        <v>#N/A</v>
      </c>
      <c r="N32" s="102" t="str">
        <f t="shared" si="215"/>
        <v>#N/A</v>
      </c>
      <c r="O32" s="103" t="str">
        <f t="shared" si="215"/>
        <v>#N/A</v>
      </c>
      <c r="P32" s="104" t="str">
        <f t="shared" si="215"/>
        <v>#N/A</v>
      </c>
      <c r="Q32" s="99" t="str">
        <f t="shared" si="215"/>
        <v>#N/A</v>
      </c>
      <c r="R32" s="100" t="str">
        <f t="shared" si="215"/>
        <v>#N/A</v>
      </c>
      <c r="S32" s="101" t="str">
        <f t="shared" si="215"/>
        <v>#N/A</v>
      </c>
      <c r="T32" s="102" t="str">
        <f t="shared" si="215"/>
        <v>#N/A</v>
      </c>
      <c r="U32" s="103" t="str">
        <f t="shared" si="215"/>
        <v>#N/A</v>
      </c>
      <c r="V32" s="104" t="str">
        <f t="shared" si="215"/>
        <v>#N/A</v>
      </c>
      <c r="W32" s="99" t="str">
        <f t="shared" si="215"/>
        <v>#N/A</v>
      </c>
      <c r="X32" s="100" t="str">
        <f t="shared" si="215"/>
        <v>#N/A</v>
      </c>
      <c r="Y32" s="101" t="str">
        <f t="shared" si="215"/>
        <v>#N/A</v>
      </c>
      <c r="Z32" s="102" t="str">
        <f t="shared" si="215"/>
        <v>#N/A</v>
      </c>
      <c r="AA32" s="103" t="str">
        <f t="shared" si="215"/>
        <v>#N/A</v>
      </c>
      <c r="AB32" s="104" t="str">
        <f t="shared" si="215"/>
        <v>#N/A</v>
      </c>
      <c r="AC32" s="99" t="str">
        <f t="shared" si="215"/>
        <v>#N/A</v>
      </c>
      <c r="AD32" s="100" t="str">
        <f t="shared" si="215"/>
        <v>#N/A</v>
      </c>
      <c r="AE32" s="101" t="str">
        <f t="shared" si="215"/>
        <v>#N/A</v>
      </c>
      <c r="AF32" s="102" t="str">
        <f t="shared" si="215"/>
        <v>#N/A</v>
      </c>
      <c r="AG32" s="103" t="str">
        <f t="shared" si="215"/>
        <v>#N/A</v>
      </c>
      <c r="AH32" s="104" t="str">
        <f t="shared" si="215"/>
        <v>#N/A</v>
      </c>
      <c r="AI32" s="99" t="str">
        <f t="shared" si="215"/>
        <v>#N/A</v>
      </c>
      <c r="AJ32" s="100" t="str">
        <f t="shared" si="215"/>
        <v>#N/A</v>
      </c>
      <c r="AK32" s="101" t="str">
        <f t="shared" si="215"/>
        <v>#N/A</v>
      </c>
      <c r="AL32" s="102" t="str">
        <f t="shared" si="215"/>
        <v>#N/A</v>
      </c>
      <c r="AM32" s="103" t="str">
        <f t="shared" si="215"/>
        <v>#N/A</v>
      </c>
      <c r="AN32" s="104" t="str">
        <f t="shared" si="215"/>
        <v>#N/A</v>
      </c>
      <c r="AO32" s="99" t="str">
        <f t="shared" si="215"/>
        <v>#N/A</v>
      </c>
      <c r="AP32" s="100" t="str">
        <f t="shared" si="215"/>
        <v>#N/A</v>
      </c>
      <c r="AQ32" s="101" t="str">
        <f t="shared" si="215"/>
        <v>#N/A</v>
      </c>
      <c r="AR32" s="102" t="str">
        <f t="shared" si="215"/>
        <v>#N/A</v>
      </c>
      <c r="AS32" s="103" t="str">
        <f t="shared" si="215"/>
        <v>#N/A</v>
      </c>
      <c r="AT32" s="104" t="str">
        <f t="shared" si="215"/>
        <v>#N/A</v>
      </c>
      <c r="AU32" s="99" t="str">
        <f t="shared" si="215"/>
        <v>#N/A</v>
      </c>
      <c r="AV32" s="100" t="str">
        <f t="shared" si="215"/>
        <v>#N/A</v>
      </c>
      <c r="AW32" s="101" t="str">
        <f t="shared" si="215"/>
        <v>#N/A</v>
      </c>
      <c r="AX32" s="102" t="str">
        <f t="shared" si="215"/>
        <v>#N/A</v>
      </c>
      <c r="AY32" s="103" t="str">
        <f t="shared" si="215"/>
        <v>#N/A</v>
      </c>
      <c r="AZ32" s="104" t="str">
        <f t="shared" si="215"/>
        <v>#N/A</v>
      </c>
      <c r="BA32" s="99" t="str">
        <f t="shared" si="215"/>
        <v>#N/A</v>
      </c>
      <c r="BB32" s="100" t="str">
        <f t="shared" si="215"/>
        <v>#N/A</v>
      </c>
      <c r="BC32" s="101" t="str">
        <f t="shared" si="215"/>
        <v>#N/A</v>
      </c>
      <c r="BD32" s="102" t="str">
        <f t="shared" si="215"/>
        <v>#N/A</v>
      </c>
      <c r="BE32" s="103" t="str">
        <f t="shared" si="215"/>
        <v>#N/A</v>
      </c>
      <c r="BF32" s="104" t="str">
        <f t="shared" si="215"/>
        <v>#N/A</v>
      </c>
      <c r="BG32" s="99" t="str">
        <f t="shared" si="215"/>
        <v>#N/A</v>
      </c>
      <c r="BH32" s="100" t="str">
        <f t="shared" si="215"/>
        <v>#N/A</v>
      </c>
      <c r="BI32" s="101" t="str">
        <f t="shared" si="215"/>
        <v>#N/A</v>
      </c>
      <c r="BJ32" s="102" t="str">
        <f t="shared" si="215"/>
        <v>#N/A</v>
      </c>
      <c r="BK32" s="103" t="str">
        <f t="shared" si="215"/>
        <v>#N/A</v>
      </c>
      <c r="BL32" s="104" t="str">
        <f t="shared" si="215"/>
        <v>#N/A</v>
      </c>
      <c r="BM32" s="99" t="str">
        <f t="shared" si="215"/>
        <v>#N/A</v>
      </c>
      <c r="BN32" s="100" t="str">
        <f t="shared" si="215"/>
        <v>#N/A</v>
      </c>
      <c r="BO32" s="101" t="str">
        <f t="shared" si="215"/>
        <v>#N/A</v>
      </c>
      <c r="BP32" s="102" t="str">
        <f t="shared" si="215"/>
        <v>#N/A</v>
      </c>
      <c r="BQ32" s="103" t="str">
        <f t="shared" si="215"/>
        <v>#N/A</v>
      </c>
      <c r="BR32" s="104" t="str">
        <f t="shared" si="215"/>
        <v>#N/A</v>
      </c>
      <c r="BS32" s="99" t="str">
        <f t="shared" si="215"/>
        <v>#N/A</v>
      </c>
      <c r="BT32" s="100" t="str">
        <f t="shared" si="215"/>
        <v>#N/A</v>
      </c>
      <c r="BU32" s="101" t="str">
        <f t="shared" si="215"/>
        <v>#N/A</v>
      </c>
      <c r="BV32" s="102" t="str">
        <f t="shared" si="215"/>
        <v>#N/A</v>
      </c>
      <c r="BW32" s="103" t="str">
        <f t="shared" si="215"/>
        <v>#N/A</v>
      </c>
      <c r="BX32" s="104" t="str">
        <f t="shared" si="215"/>
        <v>#N/A</v>
      </c>
      <c r="BY32" s="99" t="str">
        <f t="shared" si="215"/>
        <v>#N/A</v>
      </c>
      <c r="BZ32" s="100" t="str">
        <f t="shared" si="215"/>
        <v>#N/A</v>
      </c>
      <c r="CA32" s="101" t="str">
        <f t="shared" si="215"/>
        <v>#N/A</v>
      </c>
      <c r="CB32" s="102" t="str">
        <f t="shared" si="215"/>
        <v>#N/A</v>
      </c>
      <c r="CC32" s="103" t="str">
        <f t="shared" si="215"/>
        <v>#N/A</v>
      </c>
      <c r="CD32" s="104" t="str">
        <f t="shared" si="215"/>
        <v>#N/A</v>
      </c>
      <c r="CE32" s="99" t="str">
        <f t="shared" si="215"/>
        <v>#N/A</v>
      </c>
      <c r="CF32" s="100" t="str">
        <f t="shared" si="215"/>
        <v>#N/A</v>
      </c>
      <c r="CG32" s="101" t="str">
        <f t="shared" si="215"/>
        <v>#N/A</v>
      </c>
      <c r="CH32" s="102" t="str">
        <f t="shared" si="215"/>
        <v>#N/A</v>
      </c>
      <c r="CI32" s="103" t="str">
        <f t="shared" si="215"/>
        <v>#N/A</v>
      </c>
      <c r="CJ32" s="104" t="str">
        <f t="shared" si="215"/>
        <v>#N/A</v>
      </c>
      <c r="CK32" s="99" t="str">
        <f t="shared" si="215"/>
        <v>#N/A</v>
      </c>
      <c r="CL32" s="100" t="str">
        <f t="shared" si="215"/>
        <v>#N/A</v>
      </c>
      <c r="CM32" s="101" t="str">
        <f t="shared" si="215"/>
        <v>#N/A</v>
      </c>
      <c r="CN32" s="102" t="str">
        <f t="shared" si="215"/>
        <v>#N/A</v>
      </c>
      <c r="CO32" s="103" t="str">
        <f t="shared" si="215"/>
        <v>#N/A</v>
      </c>
      <c r="CP32" s="104" t="str">
        <f t="shared" si="215"/>
        <v>#N/A</v>
      </c>
      <c r="CQ32" s="99" t="str">
        <f t="shared" si="215"/>
        <v>#N/A</v>
      </c>
      <c r="CR32" s="100" t="str">
        <f t="shared" si="215"/>
        <v>#N/A</v>
      </c>
      <c r="CS32" s="101" t="str">
        <f t="shared" si="215"/>
        <v>#N/A</v>
      </c>
      <c r="CT32" s="102" t="str">
        <f t="shared" si="215"/>
        <v>#N/A</v>
      </c>
      <c r="CU32" s="103" t="str">
        <f t="shared" si="215"/>
        <v>#N/A</v>
      </c>
      <c r="CV32" s="104" t="str">
        <f t="shared" si="215"/>
        <v>#N/A</v>
      </c>
      <c r="CW32" s="99" t="str">
        <f t="shared" si="215"/>
        <v>#N/A</v>
      </c>
      <c r="CX32" s="100" t="str">
        <f t="shared" si="215"/>
        <v>#N/A</v>
      </c>
      <c r="CY32" s="101" t="str">
        <f t="shared" si="215"/>
        <v>#N/A</v>
      </c>
      <c r="CZ32" s="102" t="str">
        <f t="shared" si="215"/>
        <v>#N/A</v>
      </c>
      <c r="DA32" s="103" t="str">
        <f t="shared" si="215"/>
        <v>#N/A</v>
      </c>
      <c r="DB32" s="104" t="str">
        <f t="shared" si="215"/>
        <v>#N/A</v>
      </c>
      <c r="DC32" s="99" t="str">
        <f t="shared" si="215"/>
        <v>#N/A</v>
      </c>
      <c r="DD32" s="100" t="str">
        <f t="shared" si="215"/>
        <v>#N/A</v>
      </c>
      <c r="DE32" s="101" t="str">
        <f t="shared" si="215"/>
        <v>#N/A</v>
      </c>
      <c r="DF32" s="102" t="str">
        <f t="shared" si="215"/>
        <v>#N/A</v>
      </c>
      <c r="DG32" s="103" t="str">
        <f t="shared" si="215"/>
        <v>#N/A</v>
      </c>
      <c r="DH32" s="104" t="str">
        <f t="shared" si="215"/>
        <v>#N/A</v>
      </c>
      <c r="DI32" s="99" t="str">
        <f t="shared" si="215"/>
        <v>#N/A</v>
      </c>
      <c r="DJ32" s="100" t="str">
        <f t="shared" si="215"/>
        <v>#N/A</v>
      </c>
      <c r="DK32" s="101" t="str">
        <f t="shared" si="215"/>
        <v>#N/A</v>
      </c>
      <c r="DL32" s="102" t="str">
        <f t="shared" si="215"/>
        <v>#N/A</v>
      </c>
      <c r="DM32" s="103" t="str">
        <f t="shared" si="215"/>
        <v>#N/A</v>
      </c>
      <c r="DN32" s="104" t="str">
        <f t="shared" si="215"/>
        <v>#N/A</v>
      </c>
      <c r="DO32" s="99">
        <f t="shared" si="215"/>
        <v>0</v>
      </c>
      <c r="DP32" s="100" t="str">
        <f t="shared" si="209"/>
        <v>#N/A</v>
      </c>
      <c r="DQ32" s="101" t="str">
        <f t="shared" si="210"/>
        <v>#N/A</v>
      </c>
      <c r="DR32" s="102" t="str">
        <f t="shared" si="211"/>
        <v>#N/A</v>
      </c>
      <c r="DS32" s="103" t="str">
        <f t="shared" si="212"/>
        <v>#N/A</v>
      </c>
      <c r="DT32" s="104" t="str">
        <f t="shared" si="213"/>
        <v>#N/A</v>
      </c>
    </row>
    <row r="33" ht="15.75" hidden="1" customHeight="1">
      <c r="A33" s="12" t="str">
        <f>Menus!R24</f>
        <v/>
      </c>
      <c r="B33" s="32" t="str">
        <f t="shared" ref="B33:G33" si="216">SUMIF($H$2:DT$2,$H$2,H33:DT33)</f>
        <v>#N/A</v>
      </c>
      <c r="C33" s="32" t="str">
        <f t="shared" si="216"/>
        <v>#N/A</v>
      </c>
      <c r="D33" s="32" t="str">
        <f t="shared" si="216"/>
        <v>#N/A</v>
      </c>
      <c r="E33" s="93" t="str">
        <f t="shared" si="216"/>
        <v>#N/A</v>
      </c>
      <c r="F33" s="94" t="str">
        <f t="shared" si="216"/>
        <v>#N/A</v>
      </c>
      <c r="G33" s="95" t="str">
        <f t="shared" si="216"/>
        <v>#N/A</v>
      </c>
      <c r="H33" s="96" t="str">
        <f t="shared" si="71"/>
        <v/>
      </c>
      <c r="I33" s="97" t="str">
        <f t="shared" si="72"/>
        <v/>
      </c>
      <c r="J33" s="98" t="str">
        <f t="shared" ref="J33:DO33" si="217">SUMIF($H$2:DT$2,$H$2,P33:DT33)</f>
        <v>#N/A</v>
      </c>
      <c r="K33" s="99" t="str">
        <f t="shared" si="217"/>
        <v>#N/A</v>
      </c>
      <c r="L33" s="100" t="str">
        <f t="shared" si="217"/>
        <v>#N/A</v>
      </c>
      <c r="M33" s="101" t="str">
        <f t="shared" si="217"/>
        <v>#N/A</v>
      </c>
      <c r="N33" s="102" t="str">
        <f t="shared" si="217"/>
        <v>#N/A</v>
      </c>
      <c r="O33" s="103" t="str">
        <f t="shared" si="217"/>
        <v>#N/A</v>
      </c>
      <c r="P33" s="104" t="str">
        <f t="shared" si="217"/>
        <v>#N/A</v>
      </c>
      <c r="Q33" s="99" t="str">
        <f t="shared" si="217"/>
        <v>#N/A</v>
      </c>
      <c r="R33" s="100" t="str">
        <f t="shared" si="217"/>
        <v>#N/A</v>
      </c>
      <c r="S33" s="101" t="str">
        <f t="shared" si="217"/>
        <v>#N/A</v>
      </c>
      <c r="T33" s="102" t="str">
        <f t="shared" si="217"/>
        <v>#N/A</v>
      </c>
      <c r="U33" s="103" t="str">
        <f t="shared" si="217"/>
        <v>#N/A</v>
      </c>
      <c r="V33" s="104" t="str">
        <f t="shared" si="217"/>
        <v>#N/A</v>
      </c>
      <c r="W33" s="99" t="str">
        <f t="shared" si="217"/>
        <v>#N/A</v>
      </c>
      <c r="X33" s="100" t="str">
        <f t="shared" si="217"/>
        <v>#N/A</v>
      </c>
      <c r="Y33" s="101" t="str">
        <f t="shared" si="217"/>
        <v>#N/A</v>
      </c>
      <c r="Z33" s="102" t="str">
        <f t="shared" si="217"/>
        <v>#N/A</v>
      </c>
      <c r="AA33" s="103" t="str">
        <f t="shared" si="217"/>
        <v>#N/A</v>
      </c>
      <c r="AB33" s="104" t="str">
        <f t="shared" si="217"/>
        <v>#N/A</v>
      </c>
      <c r="AC33" s="99" t="str">
        <f t="shared" si="217"/>
        <v>#N/A</v>
      </c>
      <c r="AD33" s="100" t="str">
        <f t="shared" si="217"/>
        <v>#N/A</v>
      </c>
      <c r="AE33" s="101" t="str">
        <f t="shared" si="217"/>
        <v>#N/A</v>
      </c>
      <c r="AF33" s="102" t="str">
        <f t="shared" si="217"/>
        <v>#N/A</v>
      </c>
      <c r="AG33" s="103" t="str">
        <f t="shared" si="217"/>
        <v>#N/A</v>
      </c>
      <c r="AH33" s="104" t="str">
        <f t="shared" si="217"/>
        <v>#N/A</v>
      </c>
      <c r="AI33" s="99" t="str">
        <f t="shared" si="217"/>
        <v>#N/A</v>
      </c>
      <c r="AJ33" s="100" t="str">
        <f t="shared" si="217"/>
        <v>#N/A</v>
      </c>
      <c r="AK33" s="101" t="str">
        <f t="shared" si="217"/>
        <v>#N/A</v>
      </c>
      <c r="AL33" s="102" t="str">
        <f t="shared" si="217"/>
        <v>#N/A</v>
      </c>
      <c r="AM33" s="103" t="str">
        <f t="shared" si="217"/>
        <v>#N/A</v>
      </c>
      <c r="AN33" s="104" t="str">
        <f t="shared" si="217"/>
        <v>#N/A</v>
      </c>
      <c r="AO33" s="99" t="str">
        <f t="shared" si="217"/>
        <v>#N/A</v>
      </c>
      <c r="AP33" s="100" t="str">
        <f t="shared" si="217"/>
        <v>#N/A</v>
      </c>
      <c r="AQ33" s="101" t="str">
        <f t="shared" si="217"/>
        <v>#N/A</v>
      </c>
      <c r="AR33" s="102" t="str">
        <f t="shared" si="217"/>
        <v>#N/A</v>
      </c>
      <c r="AS33" s="103" t="str">
        <f t="shared" si="217"/>
        <v>#N/A</v>
      </c>
      <c r="AT33" s="104" t="str">
        <f t="shared" si="217"/>
        <v>#N/A</v>
      </c>
      <c r="AU33" s="99" t="str">
        <f t="shared" si="217"/>
        <v>#N/A</v>
      </c>
      <c r="AV33" s="100" t="str">
        <f t="shared" si="217"/>
        <v>#N/A</v>
      </c>
      <c r="AW33" s="101" t="str">
        <f t="shared" si="217"/>
        <v>#N/A</v>
      </c>
      <c r="AX33" s="102" t="str">
        <f t="shared" si="217"/>
        <v>#N/A</v>
      </c>
      <c r="AY33" s="103" t="str">
        <f t="shared" si="217"/>
        <v>#N/A</v>
      </c>
      <c r="AZ33" s="104" t="str">
        <f t="shared" si="217"/>
        <v>#N/A</v>
      </c>
      <c r="BA33" s="99" t="str">
        <f t="shared" si="217"/>
        <v>#N/A</v>
      </c>
      <c r="BB33" s="100" t="str">
        <f t="shared" si="217"/>
        <v>#N/A</v>
      </c>
      <c r="BC33" s="101" t="str">
        <f t="shared" si="217"/>
        <v>#N/A</v>
      </c>
      <c r="BD33" s="102" t="str">
        <f t="shared" si="217"/>
        <v>#N/A</v>
      </c>
      <c r="BE33" s="103" t="str">
        <f t="shared" si="217"/>
        <v>#N/A</v>
      </c>
      <c r="BF33" s="104" t="str">
        <f t="shared" si="217"/>
        <v>#N/A</v>
      </c>
      <c r="BG33" s="99" t="str">
        <f t="shared" si="217"/>
        <v>#N/A</v>
      </c>
      <c r="BH33" s="100" t="str">
        <f t="shared" si="217"/>
        <v>#N/A</v>
      </c>
      <c r="BI33" s="101" t="str">
        <f t="shared" si="217"/>
        <v>#N/A</v>
      </c>
      <c r="BJ33" s="102" t="str">
        <f t="shared" si="217"/>
        <v>#N/A</v>
      </c>
      <c r="BK33" s="103" t="str">
        <f t="shared" si="217"/>
        <v>#N/A</v>
      </c>
      <c r="BL33" s="104" t="str">
        <f t="shared" si="217"/>
        <v>#N/A</v>
      </c>
      <c r="BM33" s="99" t="str">
        <f t="shared" si="217"/>
        <v>#N/A</v>
      </c>
      <c r="BN33" s="100" t="str">
        <f t="shared" si="217"/>
        <v>#N/A</v>
      </c>
      <c r="BO33" s="101" t="str">
        <f t="shared" si="217"/>
        <v>#N/A</v>
      </c>
      <c r="BP33" s="102" t="str">
        <f t="shared" si="217"/>
        <v>#N/A</v>
      </c>
      <c r="BQ33" s="103" t="str">
        <f t="shared" si="217"/>
        <v>#N/A</v>
      </c>
      <c r="BR33" s="104" t="str">
        <f t="shared" si="217"/>
        <v>#N/A</v>
      </c>
      <c r="BS33" s="99" t="str">
        <f t="shared" si="217"/>
        <v>#N/A</v>
      </c>
      <c r="BT33" s="100" t="str">
        <f t="shared" si="217"/>
        <v>#N/A</v>
      </c>
      <c r="BU33" s="101" t="str">
        <f t="shared" si="217"/>
        <v>#N/A</v>
      </c>
      <c r="BV33" s="102" t="str">
        <f t="shared" si="217"/>
        <v>#N/A</v>
      </c>
      <c r="BW33" s="103" t="str">
        <f t="shared" si="217"/>
        <v>#N/A</v>
      </c>
      <c r="BX33" s="104" t="str">
        <f t="shared" si="217"/>
        <v>#N/A</v>
      </c>
      <c r="BY33" s="99" t="str">
        <f t="shared" si="217"/>
        <v>#N/A</v>
      </c>
      <c r="BZ33" s="100" t="str">
        <f t="shared" si="217"/>
        <v>#N/A</v>
      </c>
      <c r="CA33" s="101" t="str">
        <f t="shared" si="217"/>
        <v>#N/A</v>
      </c>
      <c r="CB33" s="102" t="str">
        <f t="shared" si="217"/>
        <v>#N/A</v>
      </c>
      <c r="CC33" s="103" t="str">
        <f t="shared" si="217"/>
        <v>#N/A</v>
      </c>
      <c r="CD33" s="104" t="str">
        <f t="shared" si="217"/>
        <v>#N/A</v>
      </c>
      <c r="CE33" s="99" t="str">
        <f t="shared" si="217"/>
        <v>#N/A</v>
      </c>
      <c r="CF33" s="100" t="str">
        <f t="shared" si="217"/>
        <v>#N/A</v>
      </c>
      <c r="CG33" s="101" t="str">
        <f t="shared" si="217"/>
        <v>#N/A</v>
      </c>
      <c r="CH33" s="102" t="str">
        <f t="shared" si="217"/>
        <v>#N/A</v>
      </c>
      <c r="CI33" s="103" t="str">
        <f t="shared" si="217"/>
        <v>#N/A</v>
      </c>
      <c r="CJ33" s="104" t="str">
        <f t="shared" si="217"/>
        <v>#N/A</v>
      </c>
      <c r="CK33" s="99" t="str">
        <f t="shared" si="217"/>
        <v>#N/A</v>
      </c>
      <c r="CL33" s="100" t="str">
        <f t="shared" si="217"/>
        <v>#N/A</v>
      </c>
      <c r="CM33" s="101" t="str">
        <f t="shared" si="217"/>
        <v>#N/A</v>
      </c>
      <c r="CN33" s="102" t="str">
        <f t="shared" si="217"/>
        <v>#N/A</v>
      </c>
      <c r="CO33" s="103" t="str">
        <f t="shared" si="217"/>
        <v>#N/A</v>
      </c>
      <c r="CP33" s="104" t="str">
        <f t="shared" si="217"/>
        <v>#N/A</v>
      </c>
      <c r="CQ33" s="99" t="str">
        <f t="shared" si="217"/>
        <v>#N/A</v>
      </c>
      <c r="CR33" s="100" t="str">
        <f t="shared" si="217"/>
        <v>#N/A</v>
      </c>
      <c r="CS33" s="101" t="str">
        <f t="shared" si="217"/>
        <v>#N/A</v>
      </c>
      <c r="CT33" s="102" t="str">
        <f t="shared" si="217"/>
        <v>#N/A</v>
      </c>
      <c r="CU33" s="103" t="str">
        <f t="shared" si="217"/>
        <v>#N/A</v>
      </c>
      <c r="CV33" s="104" t="str">
        <f t="shared" si="217"/>
        <v>#N/A</v>
      </c>
      <c r="CW33" s="99" t="str">
        <f t="shared" si="217"/>
        <v>#N/A</v>
      </c>
      <c r="CX33" s="100" t="str">
        <f t="shared" si="217"/>
        <v>#N/A</v>
      </c>
      <c r="CY33" s="101" t="str">
        <f t="shared" si="217"/>
        <v>#N/A</v>
      </c>
      <c r="CZ33" s="102" t="str">
        <f t="shared" si="217"/>
        <v>#N/A</v>
      </c>
      <c r="DA33" s="103" t="str">
        <f t="shared" si="217"/>
        <v>#N/A</v>
      </c>
      <c r="DB33" s="104" t="str">
        <f t="shared" si="217"/>
        <v>#N/A</v>
      </c>
      <c r="DC33" s="99" t="str">
        <f t="shared" si="217"/>
        <v>#N/A</v>
      </c>
      <c r="DD33" s="100" t="str">
        <f t="shared" si="217"/>
        <v>#N/A</v>
      </c>
      <c r="DE33" s="101" t="str">
        <f t="shared" si="217"/>
        <v>#N/A</v>
      </c>
      <c r="DF33" s="102" t="str">
        <f t="shared" si="217"/>
        <v>#N/A</v>
      </c>
      <c r="DG33" s="103" t="str">
        <f t="shared" si="217"/>
        <v>#N/A</v>
      </c>
      <c r="DH33" s="104" t="str">
        <f t="shared" si="217"/>
        <v>#N/A</v>
      </c>
      <c r="DI33" s="99" t="str">
        <f t="shared" si="217"/>
        <v>#N/A</v>
      </c>
      <c r="DJ33" s="100" t="str">
        <f t="shared" si="217"/>
        <v>#N/A</v>
      </c>
      <c r="DK33" s="101" t="str">
        <f t="shared" si="217"/>
        <v>#N/A</v>
      </c>
      <c r="DL33" s="102" t="str">
        <f t="shared" si="217"/>
        <v>#N/A</v>
      </c>
      <c r="DM33" s="103" t="str">
        <f t="shared" si="217"/>
        <v>#N/A</v>
      </c>
      <c r="DN33" s="104" t="str">
        <f t="shared" si="217"/>
        <v>#N/A</v>
      </c>
      <c r="DO33" s="99">
        <f t="shared" si="217"/>
        <v>0</v>
      </c>
      <c r="DP33" s="100" t="str">
        <f t="shared" si="209"/>
        <v>#N/A</v>
      </c>
      <c r="DQ33" s="101" t="str">
        <f t="shared" si="210"/>
        <v>#N/A</v>
      </c>
      <c r="DR33" s="102" t="str">
        <f t="shared" si="211"/>
        <v>#N/A</v>
      </c>
      <c r="DS33" s="103" t="str">
        <f t="shared" si="212"/>
        <v>#N/A</v>
      </c>
      <c r="DT33" s="104" t="str">
        <f t="shared" si="213"/>
        <v>#N/A</v>
      </c>
    </row>
    <row r="34" ht="15.75" hidden="1" customHeight="1">
      <c r="A34" s="12" t="str">
        <f>Menus!R25</f>
        <v/>
      </c>
      <c r="B34" s="32" t="str">
        <f t="shared" ref="B34:G34" si="218">SUMIF($H$2:DT$2,$H$2,H34:DT34)</f>
        <v>#N/A</v>
      </c>
      <c r="C34" s="32" t="str">
        <f t="shared" si="218"/>
        <v>#N/A</v>
      </c>
      <c r="D34" s="32" t="str">
        <f t="shared" si="218"/>
        <v>#N/A</v>
      </c>
      <c r="E34" s="93" t="str">
        <f t="shared" si="218"/>
        <v>#N/A</v>
      </c>
      <c r="F34" s="94" t="str">
        <f t="shared" si="218"/>
        <v>#N/A</v>
      </c>
      <c r="G34" s="95" t="str">
        <f t="shared" si="218"/>
        <v>#N/A</v>
      </c>
      <c r="H34" s="96" t="str">
        <f t="shared" si="71"/>
        <v/>
      </c>
      <c r="I34" s="97" t="str">
        <f t="shared" si="72"/>
        <v/>
      </c>
      <c r="J34" s="98" t="str">
        <f t="shared" ref="J34:DO34" si="219">SUMIF($H$2:DT$2,$H$2,P34:DT34)</f>
        <v>#N/A</v>
      </c>
      <c r="K34" s="99" t="str">
        <f t="shared" si="219"/>
        <v>#N/A</v>
      </c>
      <c r="L34" s="100" t="str">
        <f t="shared" si="219"/>
        <v>#N/A</v>
      </c>
      <c r="M34" s="101" t="str">
        <f t="shared" si="219"/>
        <v>#N/A</v>
      </c>
      <c r="N34" s="102" t="str">
        <f t="shared" si="219"/>
        <v>#N/A</v>
      </c>
      <c r="O34" s="103" t="str">
        <f t="shared" si="219"/>
        <v>#N/A</v>
      </c>
      <c r="P34" s="104" t="str">
        <f t="shared" si="219"/>
        <v>#N/A</v>
      </c>
      <c r="Q34" s="99" t="str">
        <f t="shared" si="219"/>
        <v>#N/A</v>
      </c>
      <c r="R34" s="100" t="str">
        <f t="shared" si="219"/>
        <v>#N/A</v>
      </c>
      <c r="S34" s="101" t="str">
        <f t="shared" si="219"/>
        <v>#N/A</v>
      </c>
      <c r="T34" s="102" t="str">
        <f t="shared" si="219"/>
        <v>#N/A</v>
      </c>
      <c r="U34" s="103" t="str">
        <f t="shared" si="219"/>
        <v>#N/A</v>
      </c>
      <c r="V34" s="104" t="str">
        <f t="shared" si="219"/>
        <v>#N/A</v>
      </c>
      <c r="W34" s="99" t="str">
        <f t="shared" si="219"/>
        <v>#N/A</v>
      </c>
      <c r="X34" s="100" t="str">
        <f t="shared" si="219"/>
        <v>#N/A</v>
      </c>
      <c r="Y34" s="101" t="str">
        <f t="shared" si="219"/>
        <v>#N/A</v>
      </c>
      <c r="Z34" s="102" t="str">
        <f t="shared" si="219"/>
        <v>#N/A</v>
      </c>
      <c r="AA34" s="103" t="str">
        <f t="shared" si="219"/>
        <v>#N/A</v>
      </c>
      <c r="AB34" s="104" t="str">
        <f t="shared" si="219"/>
        <v>#N/A</v>
      </c>
      <c r="AC34" s="99" t="str">
        <f t="shared" si="219"/>
        <v>#N/A</v>
      </c>
      <c r="AD34" s="100" t="str">
        <f t="shared" si="219"/>
        <v>#N/A</v>
      </c>
      <c r="AE34" s="101" t="str">
        <f t="shared" si="219"/>
        <v>#N/A</v>
      </c>
      <c r="AF34" s="102" t="str">
        <f t="shared" si="219"/>
        <v>#N/A</v>
      </c>
      <c r="AG34" s="103" t="str">
        <f t="shared" si="219"/>
        <v>#N/A</v>
      </c>
      <c r="AH34" s="104" t="str">
        <f t="shared" si="219"/>
        <v>#N/A</v>
      </c>
      <c r="AI34" s="99" t="str">
        <f t="shared" si="219"/>
        <v>#N/A</v>
      </c>
      <c r="AJ34" s="100" t="str">
        <f t="shared" si="219"/>
        <v>#N/A</v>
      </c>
      <c r="AK34" s="101" t="str">
        <f t="shared" si="219"/>
        <v>#N/A</v>
      </c>
      <c r="AL34" s="102" t="str">
        <f t="shared" si="219"/>
        <v>#N/A</v>
      </c>
      <c r="AM34" s="103" t="str">
        <f t="shared" si="219"/>
        <v>#N/A</v>
      </c>
      <c r="AN34" s="104" t="str">
        <f t="shared" si="219"/>
        <v>#N/A</v>
      </c>
      <c r="AO34" s="99" t="str">
        <f t="shared" si="219"/>
        <v>#N/A</v>
      </c>
      <c r="AP34" s="100" t="str">
        <f t="shared" si="219"/>
        <v>#N/A</v>
      </c>
      <c r="AQ34" s="101" t="str">
        <f t="shared" si="219"/>
        <v>#N/A</v>
      </c>
      <c r="AR34" s="102" t="str">
        <f t="shared" si="219"/>
        <v>#N/A</v>
      </c>
      <c r="AS34" s="103" t="str">
        <f t="shared" si="219"/>
        <v>#N/A</v>
      </c>
      <c r="AT34" s="104" t="str">
        <f t="shared" si="219"/>
        <v>#N/A</v>
      </c>
      <c r="AU34" s="99" t="str">
        <f t="shared" si="219"/>
        <v>#N/A</v>
      </c>
      <c r="AV34" s="100" t="str">
        <f t="shared" si="219"/>
        <v>#N/A</v>
      </c>
      <c r="AW34" s="101" t="str">
        <f t="shared" si="219"/>
        <v>#N/A</v>
      </c>
      <c r="AX34" s="102" t="str">
        <f t="shared" si="219"/>
        <v>#N/A</v>
      </c>
      <c r="AY34" s="103" t="str">
        <f t="shared" si="219"/>
        <v>#N/A</v>
      </c>
      <c r="AZ34" s="104" t="str">
        <f t="shared" si="219"/>
        <v>#N/A</v>
      </c>
      <c r="BA34" s="99" t="str">
        <f t="shared" si="219"/>
        <v>#N/A</v>
      </c>
      <c r="BB34" s="100" t="str">
        <f t="shared" si="219"/>
        <v>#N/A</v>
      </c>
      <c r="BC34" s="101" t="str">
        <f t="shared" si="219"/>
        <v>#N/A</v>
      </c>
      <c r="BD34" s="102" t="str">
        <f t="shared" si="219"/>
        <v>#N/A</v>
      </c>
      <c r="BE34" s="103" t="str">
        <f t="shared" si="219"/>
        <v>#N/A</v>
      </c>
      <c r="BF34" s="104" t="str">
        <f t="shared" si="219"/>
        <v>#N/A</v>
      </c>
      <c r="BG34" s="99" t="str">
        <f t="shared" si="219"/>
        <v>#N/A</v>
      </c>
      <c r="BH34" s="100" t="str">
        <f t="shared" si="219"/>
        <v>#N/A</v>
      </c>
      <c r="BI34" s="101" t="str">
        <f t="shared" si="219"/>
        <v>#N/A</v>
      </c>
      <c r="BJ34" s="102" t="str">
        <f t="shared" si="219"/>
        <v>#N/A</v>
      </c>
      <c r="BK34" s="103" t="str">
        <f t="shared" si="219"/>
        <v>#N/A</v>
      </c>
      <c r="BL34" s="104" t="str">
        <f t="shared" si="219"/>
        <v>#N/A</v>
      </c>
      <c r="BM34" s="99" t="str">
        <f t="shared" si="219"/>
        <v>#N/A</v>
      </c>
      <c r="BN34" s="100" t="str">
        <f t="shared" si="219"/>
        <v>#N/A</v>
      </c>
      <c r="BO34" s="101" t="str">
        <f t="shared" si="219"/>
        <v>#N/A</v>
      </c>
      <c r="BP34" s="102" t="str">
        <f t="shared" si="219"/>
        <v>#N/A</v>
      </c>
      <c r="BQ34" s="103" t="str">
        <f t="shared" si="219"/>
        <v>#N/A</v>
      </c>
      <c r="BR34" s="104" t="str">
        <f t="shared" si="219"/>
        <v>#N/A</v>
      </c>
      <c r="BS34" s="99" t="str">
        <f t="shared" si="219"/>
        <v>#N/A</v>
      </c>
      <c r="BT34" s="100" t="str">
        <f t="shared" si="219"/>
        <v>#N/A</v>
      </c>
      <c r="BU34" s="101" t="str">
        <f t="shared" si="219"/>
        <v>#N/A</v>
      </c>
      <c r="BV34" s="102" t="str">
        <f t="shared" si="219"/>
        <v>#N/A</v>
      </c>
      <c r="BW34" s="103" t="str">
        <f t="shared" si="219"/>
        <v>#N/A</v>
      </c>
      <c r="BX34" s="104" t="str">
        <f t="shared" si="219"/>
        <v>#N/A</v>
      </c>
      <c r="BY34" s="99" t="str">
        <f t="shared" si="219"/>
        <v>#N/A</v>
      </c>
      <c r="BZ34" s="100" t="str">
        <f t="shared" si="219"/>
        <v>#N/A</v>
      </c>
      <c r="CA34" s="101" t="str">
        <f t="shared" si="219"/>
        <v>#N/A</v>
      </c>
      <c r="CB34" s="102" t="str">
        <f t="shared" si="219"/>
        <v>#N/A</v>
      </c>
      <c r="CC34" s="103" t="str">
        <f t="shared" si="219"/>
        <v>#N/A</v>
      </c>
      <c r="CD34" s="104" t="str">
        <f t="shared" si="219"/>
        <v>#N/A</v>
      </c>
      <c r="CE34" s="99" t="str">
        <f t="shared" si="219"/>
        <v>#N/A</v>
      </c>
      <c r="CF34" s="100" t="str">
        <f t="shared" si="219"/>
        <v>#N/A</v>
      </c>
      <c r="CG34" s="101" t="str">
        <f t="shared" si="219"/>
        <v>#N/A</v>
      </c>
      <c r="CH34" s="102" t="str">
        <f t="shared" si="219"/>
        <v>#N/A</v>
      </c>
      <c r="CI34" s="103" t="str">
        <f t="shared" si="219"/>
        <v>#N/A</v>
      </c>
      <c r="CJ34" s="104" t="str">
        <f t="shared" si="219"/>
        <v>#N/A</v>
      </c>
      <c r="CK34" s="99" t="str">
        <f t="shared" si="219"/>
        <v>#N/A</v>
      </c>
      <c r="CL34" s="100" t="str">
        <f t="shared" si="219"/>
        <v>#N/A</v>
      </c>
      <c r="CM34" s="101" t="str">
        <f t="shared" si="219"/>
        <v>#N/A</v>
      </c>
      <c r="CN34" s="102" t="str">
        <f t="shared" si="219"/>
        <v>#N/A</v>
      </c>
      <c r="CO34" s="103" t="str">
        <f t="shared" si="219"/>
        <v>#N/A</v>
      </c>
      <c r="CP34" s="104" t="str">
        <f t="shared" si="219"/>
        <v>#N/A</v>
      </c>
      <c r="CQ34" s="99" t="str">
        <f t="shared" si="219"/>
        <v>#N/A</v>
      </c>
      <c r="CR34" s="100" t="str">
        <f t="shared" si="219"/>
        <v>#N/A</v>
      </c>
      <c r="CS34" s="101" t="str">
        <f t="shared" si="219"/>
        <v>#N/A</v>
      </c>
      <c r="CT34" s="102" t="str">
        <f t="shared" si="219"/>
        <v>#N/A</v>
      </c>
      <c r="CU34" s="103" t="str">
        <f t="shared" si="219"/>
        <v>#N/A</v>
      </c>
      <c r="CV34" s="104" t="str">
        <f t="shared" si="219"/>
        <v>#N/A</v>
      </c>
      <c r="CW34" s="99" t="str">
        <f t="shared" si="219"/>
        <v>#N/A</v>
      </c>
      <c r="CX34" s="100" t="str">
        <f t="shared" si="219"/>
        <v>#N/A</v>
      </c>
      <c r="CY34" s="101" t="str">
        <f t="shared" si="219"/>
        <v>#N/A</v>
      </c>
      <c r="CZ34" s="102" t="str">
        <f t="shared" si="219"/>
        <v>#N/A</v>
      </c>
      <c r="DA34" s="103" t="str">
        <f t="shared" si="219"/>
        <v>#N/A</v>
      </c>
      <c r="DB34" s="104" t="str">
        <f t="shared" si="219"/>
        <v>#N/A</v>
      </c>
      <c r="DC34" s="99" t="str">
        <f t="shared" si="219"/>
        <v>#N/A</v>
      </c>
      <c r="DD34" s="100" t="str">
        <f t="shared" si="219"/>
        <v>#N/A</v>
      </c>
      <c r="DE34" s="101" t="str">
        <f t="shared" si="219"/>
        <v>#N/A</v>
      </c>
      <c r="DF34" s="102" t="str">
        <f t="shared" si="219"/>
        <v>#N/A</v>
      </c>
      <c r="DG34" s="103" t="str">
        <f t="shared" si="219"/>
        <v>#N/A</v>
      </c>
      <c r="DH34" s="104" t="str">
        <f t="shared" si="219"/>
        <v>#N/A</v>
      </c>
      <c r="DI34" s="99" t="str">
        <f t="shared" si="219"/>
        <v>#N/A</v>
      </c>
      <c r="DJ34" s="100" t="str">
        <f t="shared" si="219"/>
        <v>#N/A</v>
      </c>
      <c r="DK34" s="101" t="str">
        <f t="shared" si="219"/>
        <v>#N/A</v>
      </c>
      <c r="DL34" s="102" t="str">
        <f t="shared" si="219"/>
        <v>#N/A</v>
      </c>
      <c r="DM34" s="103" t="str">
        <f t="shared" si="219"/>
        <v>#N/A</v>
      </c>
      <c r="DN34" s="104" t="str">
        <f t="shared" si="219"/>
        <v>#N/A</v>
      </c>
      <c r="DO34" s="99">
        <f t="shared" si="219"/>
        <v>0</v>
      </c>
      <c r="DP34" s="100" t="str">
        <f t="shared" si="209"/>
        <v>#N/A</v>
      </c>
      <c r="DQ34" s="101" t="str">
        <f t="shared" si="210"/>
        <v>#N/A</v>
      </c>
      <c r="DR34" s="102" t="str">
        <f t="shared" si="211"/>
        <v>#N/A</v>
      </c>
      <c r="DS34" s="103" t="str">
        <f t="shared" si="212"/>
        <v>#N/A</v>
      </c>
      <c r="DT34" s="104" t="str">
        <f t="shared" si="213"/>
        <v>#N/A</v>
      </c>
    </row>
    <row r="35" ht="15.75" hidden="1" customHeight="1">
      <c r="A35" s="12" t="str">
        <f>Menus!R26</f>
        <v/>
      </c>
      <c r="B35" s="32" t="str">
        <f t="shared" ref="B35:G35" si="220">SUMIF($H$2:DT$2,$H$2,H35:DT35)</f>
        <v>#N/A</v>
      </c>
      <c r="C35" s="32" t="str">
        <f t="shared" si="220"/>
        <v>#N/A</v>
      </c>
      <c r="D35" s="32" t="str">
        <f t="shared" si="220"/>
        <v>#N/A</v>
      </c>
      <c r="E35" s="93" t="str">
        <f t="shared" si="220"/>
        <v>#N/A</v>
      </c>
      <c r="F35" s="94" t="str">
        <f t="shared" si="220"/>
        <v>#N/A</v>
      </c>
      <c r="G35" s="95" t="str">
        <f t="shared" si="220"/>
        <v>#N/A</v>
      </c>
      <c r="H35" s="96" t="str">
        <f t="shared" si="71"/>
        <v/>
      </c>
      <c r="I35" s="97" t="str">
        <f t="shared" si="72"/>
        <v/>
      </c>
      <c r="J35" s="98" t="str">
        <f t="shared" ref="J35:DO35" si="221">SUMIF($H$2:DT$2,$H$2,P35:DT35)</f>
        <v>#N/A</v>
      </c>
      <c r="K35" s="99" t="str">
        <f t="shared" si="221"/>
        <v>#N/A</v>
      </c>
      <c r="L35" s="100" t="str">
        <f t="shared" si="221"/>
        <v>#N/A</v>
      </c>
      <c r="M35" s="101" t="str">
        <f t="shared" si="221"/>
        <v>#N/A</v>
      </c>
      <c r="N35" s="102" t="str">
        <f t="shared" si="221"/>
        <v>#N/A</v>
      </c>
      <c r="O35" s="103" t="str">
        <f t="shared" si="221"/>
        <v>#N/A</v>
      </c>
      <c r="P35" s="104" t="str">
        <f t="shared" si="221"/>
        <v>#N/A</v>
      </c>
      <c r="Q35" s="99" t="str">
        <f t="shared" si="221"/>
        <v>#N/A</v>
      </c>
      <c r="R35" s="100" t="str">
        <f t="shared" si="221"/>
        <v>#N/A</v>
      </c>
      <c r="S35" s="101" t="str">
        <f t="shared" si="221"/>
        <v>#N/A</v>
      </c>
      <c r="T35" s="102" t="str">
        <f t="shared" si="221"/>
        <v>#N/A</v>
      </c>
      <c r="U35" s="103" t="str">
        <f t="shared" si="221"/>
        <v>#N/A</v>
      </c>
      <c r="V35" s="104" t="str">
        <f t="shared" si="221"/>
        <v>#N/A</v>
      </c>
      <c r="W35" s="99" t="str">
        <f t="shared" si="221"/>
        <v>#N/A</v>
      </c>
      <c r="X35" s="100" t="str">
        <f t="shared" si="221"/>
        <v>#N/A</v>
      </c>
      <c r="Y35" s="101" t="str">
        <f t="shared" si="221"/>
        <v>#N/A</v>
      </c>
      <c r="Z35" s="102" t="str">
        <f t="shared" si="221"/>
        <v>#N/A</v>
      </c>
      <c r="AA35" s="103" t="str">
        <f t="shared" si="221"/>
        <v>#N/A</v>
      </c>
      <c r="AB35" s="104" t="str">
        <f t="shared" si="221"/>
        <v>#N/A</v>
      </c>
      <c r="AC35" s="99" t="str">
        <f t="shared" si="221"/>
        <v>#N/A</v>
      </c>
      <c r="AD35" s="100" t="str">
        <f t="shared" si="221"/>
        <v>#N/A</v>
      </c>
      <c r="AE35" s="101" t="str">
        <f t="shared" si="221"/>
        <v>#N/A</v>
      </c>
      <c r="AF35" s="102" t="str">
        <f t="shared" si="221"/>
        <v>#N/A</v>
      </c>
      <c r="AG35" s="103" t="str">
        <f t="shared" si="221"/>
        <v>#N/A</v>
      </c>
      <c r="AH35" s="104" t="str">
        <f t="shared" si="221"/>
        <v>#N/A</v>
      </c>
      <c r="AI35" s="99" t="str">
        <f t="shared" si="221"/>
        <v>#N/A</v>
      </c>
      <c r="AJ35" s="100" t="str">
        <f t="shared" si="221"/>
        <v>#N/A</v>
      </c>
      <c r="AK35" s="101" t="str">
        <f t="shared" si="221"/>
        <v>#N/A</v>
      </c>
      <c r="AL35" s="102" t="str">
        <f t="shared" si="221"/>
        <v>#N/A</v>
      </c>
      <c r="AM35" s="103" t="str">
        <f t="shared" si="221"/>
        <v>#N/A</v>
      </c>
      <c r="AN35" s="104" t="str">
        <f t="shared" si="221"/>
        <v>#N/A</v>
      </c>
      <c r="AO35" s="99" t="str">
        <f t="shared" si="221"/>
        <v>#N/A</v>
      </c>
      <c r="AP35" s="100" t="str">
        <f t="shared" si="221"/>
        <v>#N/A</v>
      </c>
      <c r="AQ35" s="101" t="str">
        <f t="shared" si="221"/>
        <v>#N/A</v>
      </c>
      <c r="AR35" s="102" t="str">
        <f t="shared" si="221"/>
        <v>#N/A</v>
      </c>
      <c r="AS35" s="103" t="str">
        <f t="shared" si="221"/>
        <v>#N/A</v>
      </c>
      <c r="AT35" s="104" t="str">
        <f t="shared" si="221"/>
        <v>#N/A</v>
      </c>
      <c r="AU35" s="99" t="str">
        <f t="shared" si="221"/>
        <v>#N/A</v>
      </c>
      <c r="AV35" s="100" t="str">
        <f t="shared" si="221"/>
        <v>#N/A</v>
      </c>
      <c r="AW35" s="101" t="str">
        <f t="shared" si="221"/>
        <v>#N/A</v>
      </c>
      <c r="AX35" s="102" t="str">
        <f t="shared" si="221"/>
        <v>#N/A</v>
      </c>
      <c r="AY35" s="103" t="str">
        <f t="shared" si="221"/>
        <v>#N/A</v>
      </c>
      <c r="AZ35" s="104" t="str">
        <f t="shared" si="221"/>
        <v>#N/A</v>
      </c>
      <c r="BA35" s="99" t="str">
        <f t="shared" si="221"/>
        <v>#N/A</v>
      </c>
      <c r="BB35" s="100" t="str">
        <f t="shared" si="221"/>
        <v>#N/A</v>
      </c>
      <c r="BC35" s="101" t="str">
        <f t="shared" si="221"/>
        <v>#N/A</v>
      </c>
      <c r="BD35" s="102" t="str">
        <f t="shared" si="221"/>
        <v>#N/A</v>
      </c>
      <c r="BE35" s="103" t="str">
        <f t="shared" si="221"/>
        <v>#N/A</v>
      </c>
      <c r="BF35" s="104" t="str">
        <f t="shared" si="221"/>
        <v>#N/A</v>
      </c>
      <c r="BG35" s="99" t="str">
        <f t="shared" si="221"/>
        <v>#N/A</v>
      </c>
      <c r="BH35" s="100" t="str">
        <f t="shared" si="221"/>
        <v>#N/A</v>
      </c>
      <c r="BI35" s="101" t="str">
        <f t="shared" si="221"/>
        <v>#N/A</v>
      </c>
      <c r="BJ35" s="102" t="str">
        <f t="shared" si="221"/>
        <v>#N/A</v>
      </c>
      <c r="BK35" s="103" t="str">
        <f t="shared" si="221"/>
        <v>#N/A</v>
      </c>
      <c r="BL35" s="104" t="str">
        <f t="shared" si="221"/>
        <v>#N/A</v>
      </c>
      <c r="BM35" s="99" t="str">
        <f t="shared" si="221"/>
        <v>#N/A</v>
      </c>
      <c r="BN35" s="100" t="str">
        <f t="shared" si="221"/>
        <v>#N/A</v>
      </c>
      <c r="BO35" s="101" t="str">
        <f t="shared" si="221"/>
        <v>#N/A</v>
      </c>
      <c r="BP35" s="102" t="str">
        <f t="shared" si="221"/>
        <v>#N/A</v>
      </c>
      <c r="BQ35" s="103" t="str">
        <f t="shared" si="221"/>
        <v>#N/A</v>
      </c>
      <c r="BR35" s="104" t="str">
        <f t="shared" si="221"/>
        <v>#N/A</v>
      </c>
      <c r="BS35" s="99" t="str">
        <f t="shared" si="221"/>
        <v>#N/A</v>
      </c>
      <c r="BT35" s="100" t="str">
        <f t="shared" si="221"/>
        <v>#N/A</v>
      </c>
      <c r="BU35" s="101" t="str">
        <f t="shared" si="221"/>
        <v>#N/A</v>
      </c>
      <c r="BV35" s="102" t="str">
        <f t="shared" si="221"/>
        <v>#N/A</v>
      </c>
      <c r="BW35" s="103" t="str">
        <f t="shared" si="221"/>
        <v>#N/A</v>
      </c>
      <c r="BX35" s="104" t="str">
        <f t="shared" si="221"/>
        <v>#N/A</v>
      </c>
      <c r="BY35" s="99" t="str">
        <f t="shared" si="221"/>
        <v>#N/A</v>
      </c>
      <c r="BZ35" s="100" t="str">
        <f t="shared" si="221"/>
        <v>#N/A</v>
      </c>
      <c r="CA35" s="101" t="str">
        <f t="shared" si="221"/>
        <v>#N/A</v>
      </c>
      <c r="CB35" s="102" t="str">
        <f t="shared" si="221"/>
        <v>#N/A</v>
      </c>
      <c r="CC35" s="103" t="str">
        <f t="shared" si="221"/>
        <v>#N/A</v>
      </c>
      <c r="CD35" s="104" t="str">
        <f t="shared" si="221"/>
        <v>#N/A</v>
      </c>
      <c r="CE35" s="99" t="str">
        <f t="shared" si="221"/>
        <v>#N/A</v>
      </c>
      <c r="CF35" s="100" t="str">
        <f t="shared" si="221"/>
        <v>#N/A</v>
      </c>
      <c r="CG35" s="101" t="str">
        <f t="shared" si="221"/>
        <v>#N/A</v>
      </c>
      <c r="CH35" s="102" t="str">
        <f t="shared" si="221"/>
        <v>#N/A</v>
      </c>
      <c r="CI35" s="103" t="str">
        <f t="shared" si="221"/>
        <v>#N/A</v>
      </c>
      <c r="CJ35" s="104" t="str">
        <f t="shared" si="221"/>
        <v>#N/A</v>
      </c>
      <c r="CK35" s="99" t="str">
        <f t="shared" si="221"/>
        <v>#N/A</v>
      </c>
      <c r="CL35" s="100" t="str">
        <f t="shared" si="221"/>
        <v>#N/A</v>
      </c>
      <c r="CM35" s="101" t="str">
        <f t="shared" si="221"/>
        <v>#N/A</v>
      </c>
      <c r="CN35" s="102" t="str">
        <f t="shared" si="221"/>
        <v>#N/A</v>
      </c>
      <c r="CO35" s="103" t="str">
        <f t="shared" si="221"/>
        <v>#N/A</v>
      </c>
      <c r="CP35" s="104" t="str">
        <f t="shared" si="221"/>
        <v>#N/A</v>
      </c>
      <c r="CQ35" s="99" t="str">
        <f t="shared" si="221"/>
        <v>#N/A</v>
      </c>
      <c r="CR35" s="100" t="str">
        <f t="shared" si="221"/>
        <v>#N/A</v>
      </c>
      <c r="CS35" s="101" t="str">
        <f t="shared" si="221"/>
        <v>#N/A</v>
      </c>
      <c r="CT35" s="102" t="str">
        <f t="shared" si="221"/>
        <v>#N/A</v>
      </c>
      <c r="CU35" s="103" t="str">
        <f t="shared" si="221"/>
        <v>#N/A</v>
      </c>
      <c r="CV35" s="104" t="str">
        <f t="shared" si="221"/>
        <v>#N/A</v>
      </c>
      <c r="CW35" s="99" t="str">
        <f t="shared" si="221"/>
        <v>#N/A</v>
      </c>
      <c r="CX35" s="100" t="str">
        <f t="shared" si="221"/>
        <v>#N/A</v>
      </c>
      <c r="CY35" s="101" t="str">
        <f t="shared" si="221"/>
        <v>#N/A</v>
      </c>
      <c r="CZ35" s="102" t="str">
        <f t="shared" si="221"/>
        <v>#N/A</v>
      </c>
      <c r="DA35" s="103" t="str">
        <f t="shared" si="221"/>
        <v>#N/A</v>
      </c>
      <c r="DB35" s="104" t="str">
        <f t="shared" si="221"/>
        <v>#N/A</v>
      </c>
      <c r="DC35" s="99" t="str">
        <f t="shared" si="221"/>
        <v>#N/A</v>
      </c>
      <c r="DD35" s="100" t="str">
        <f t="shared" si="221"/>
        <v>#N/A</v>
      </c>
      <c r="DE35" s="101" t="str">
        <f t="shared" si="221"/>
        <v>#N/A</v>
      </c>
      <c r="DF35" s="102" t="str">
        <f t="shared" si="221"/>
        <v>#N/A</v>
      </c>
      <c r="DG35" s="103" t="str">
        <f t="shared" si="221"/>
        <v>#N/A</v>
      </c>
      <c r="DH35" s="104" t="str">
        <f t="shared" si="221"/>
        <v>#N/A</v>
      </c>
      <c r="DI35" s="99" t="str">
        <f t="shared" si="221"/>
        <v>#N/A</v>
      </c>
      <c r="DJ35" s="100" t="str">
        <f t="shared" si="221"/>
        <v>#N/A</v>
      </c>
      <c r="DK35" s="101" t="str">
        <f t="shared" si="221"/>
        <v>#N/A</v>
      </c>
      <c r="DL35" s="102" t="str">
        <f t="shared" si="221"/>
        <v>#N/A</v>
      </c>
      <c r="DM35" s="103" t="str">
        <f t="shared" si="221"/>
        <v>#N/A</v>
      </c>
      <c r="DN35" s="104" t="str">
        <f t="shared" si="221"/>
        <v>#N/A</v>
      </c>
      <c r="DO35" s="99">
        <f t="shared" si="221"/>
        <v>0</v>
      </c>
      <c r="DP35" s="100" t="str">
        <f t="shared" si="209"/>
        <v>#N/A</v>
      </c>
      <c r="DQ35" s="101" t="str">
        <f t="shared" si="210"/>
        <v>#N/A</v>
      </c>
      <c r="DR35" s="102" t="str">
        <f t="shared" si="211"/>
        <v>#N/A</v>
      </c>
      <c r="DS35" s="103" t="str">
        <f t="shared" si="212"/>
        <v>#N/A</v>
      </c>
      <c r="DT35" s="104" t="str">
        <f t="shared" si="213"/>
        <v>#N/A</v>
      </c>
    </row>
    <row r="36" ht="15.75" hidden="1" customHeight="1">
      <c r="A36" s="12" t="str">
        <f>Menus!R27</f>
        <v/>
      </c>
      <c r="B36" s="32" t="str">
        <f t="shared" ref="B36:G36" si="222">SUMIF($H$2:DT$2,$H$2,H36:DT36)</f>
        <v>#N/A</v>
      </c>
      <c r="C36" s="32" t="str">
        <f t="shared" si="222"/>
        <v>#N/A</v>
      </c>
      <c r="D36" s="32" t="str">
        <f t="shared" si="222"/>
        <v>#N/A</v>
      </c>
      <c r="E36" s="93" t="str">
        <f t="shared" si="222"/>
        <v>#N/A</v>
      </c>
      <c r="F36" s="94" t="str">
        <f t="shared" si="222"/>
        <v>#N/A</v>
      </c>
      <c r="G36" s="95" t="str">
        <f t="shared" si="222"/>
        <v>#N/A</v>
      </c>
      <c r="H36" s="96" t="str">
        <f t="shared" si="71"/>
        <v/>
      </c>
      <c r="I36" s="97" t="str">
        <f t="shared" si="72"/>
        <v/>
      </c>
      <c r="J36" s="98" t="str">
        <f t="shared" ref="J36:DO36" si="223">SUMIF($H$2:DT$2,$H$2,P36:DT36)</f>
        <v>#N/A</v>
      </c>
      <c r="K36" s="99" t="str">
        <f t="shared" si="223"/>
        <v>#N/A</v>
      </c>
      <c r="L36" s="100" t="str">
        <f t="shared" si="223"/>
        <v>#N/A</v>
      </c>
      <c r="M36" s="101" t="str">
        <f t="shared" si="223"/>
        <v>#N/A</v>
      </c>
      <c r="N36" s="102" t="str">
        <f t="shared" si="223"/>
        <v>#N/A</v>
      </c>
      <c r="O36" s="103" t="str">
        <f t="shared" si="223"/>
        <v>#N/A</v>
      </c>
      <c r="P36" s="104" t="str">
        <f t="shared" si="223"/>
        <v>#N/A</v>
      </c>
      <c r="Q36" s="99" t="str">
        <f t="shared" si="223"/>
        <v>#N/A</v>
      </c>
      <c r="R36" s="100" t="str">
        <f t="shared" si="223"/>
        <v>#N/A</v>
      </c>
      <c r="S36" s="101" t="str">
        <f t="shared" si="223"/>
        <v>#N/A</v>
      </c>
      <c r="T36" s="102" t="str">
        <f t="shared" si="223"/>
        <v>#N/A</v>
      </c>
      <c r="U36" s="103" t="str">
        <f t="shared" si="223"/>
        <v>#N/A</v>
      </c>
      <c r="V36" s="104" t="str">
        <f t="shared" si="223"/>
        <v>#N/A</v>
      </c>
      <c r="W36" s="99" t="str">
        <f t="shared" si="223"/>
        <v>#N/A</v>
      </c>
      <c r="X36" s="100" t="str">
        <f t="shared" si="223"/>
        <v>#N/A</v>
      </c>
      <c r="Y36" s="101" t="str">
        <f t="shared" si="223"/>
        <v>#N/A</v>
      </c>
      <c r="Z36" s="102" t="str">
        <f t="shared" si="223"/>
        <v>#N/A</v>
      </c>
      <c r="AA36" s="103" t="str">
        <f t="shared" si="223"/>
        <v>#N/A</v>
      </c>
      <c r="AB36" s="104" t="str">
        <f t="shared" si="223"/>
        <v>#N/A</v>
      </c>
      <c r="AC36" s="99" t="str">
        <f t="shared" si="223"/>
        <v>#N/A</v>
      </c>
      <c r="AD36" s="100" t="str">
        <f t="shared" si="223"/>
        <v>#N/A</v>
      </c>
      <c r="AE36" s="101" t="str">
        <f t="shared" si="223"/>
        <v>#N/A</v>
      </c>
      <c r="AF36" s="102" t="str">
        <f t="shared" si="223"/>
        <v>#N/A</v>
      </c>
      <c r="AG36" s="103" t="str">
        <f t="shared" si="223"/>
        <v>#N/A</v>
      </c>
      <c r="AH36" s="104" t="str">
        <f t="shared" si="223"/>
        <v>#N/A</v>
      </c>
      <c r="AI36" s="99" t="str">
        <f t="shared" si="223"/>
        <v>#N/A</v>
      </c>
      <c r="AJ36" s="100" t="str">
        <f t="shared" si="223"/>
        <v>#N/A</v>
      </c>
      <c r="AK36" s="101" t="str">
        <f t="shared" si="223"/>
        <v>#N/A</v>
      </c>
      <c r="AL36" s="102" t="str">
        <f t="shared" si="223"/>
        <v>#N/A</v>
      </c>
      <c r="AM36" s="103" t="str">
        <f t="shared" si="223"/>
        <v>#N/A</v>
      </c>
      <c r="AN36" s="104" t="str">
        <f t="shared" si="223"/>
        <v>#N/A</v>
      </c>
      <c r="AO36" s="99" t="str">
        <f t="shared" si="223"/>
        <v>#N/A</v>
      </c>
      <c r="AP36" s="100" t="str">
        <f t="shared" si="223"/>
        <v>#N/A</v>
      </c>
      <c r="AQ36" s="101" t="str">
        <f t="shared" si="223"/>
        <v>#N/A</v>
      </c>
      <c r="AR36" s="102" t="str">
        <f t="shared" si="223"/>
        <v>#N/A</v>
      </c>
      <c r="AS36" s="103" t="str">
        <f t="shared" si="223"/>
        <v>#N/A</v>
      </c>
      <c r="AT36" s="104" t="str">
        <f t="shared" si="223"/>
        <v>#N/A</v>
      </c>
      <c r="AU36" s="99" t="str">
        <f t="shared" si="223"/>
        <v>#N/A</v>
      </c>
      <c r="AV36" s="100" t="str">
        <f t="shared" si="223"/>
        <v>#N/A</v>
      </c>
      <c r="AW36" s="101" t="str">
        <f t="shared" si="223"/>
        <v>#N/A</v>
      </c>
      <c r="AX36" s="102" t="str">
        <f t="shared" si="223"/>
        <v>#N/A</v>
      </c>
      <c r="AY36" s="103" t="str">
        <f t="shared" si="223"/>
        <v>#N/A</v>
      </c>
      <c r="AZ36" s="104" t="str">
        <f t="shared" si="223"/>
        <v>#N/A</v>
      </c>
      <c r="BA36" s="99" t="str">
        <f t="shared" si="223"/>
        <v>#N/A</v>
      </c>
      <c r="BB36" s="100" t="str">
        <f t="shared" si="223"/>
        <v>#N/A</v>
      </c>
      <c r="BC36" s="101" t="str">
        <f t="shared" si="223"/>
        <v>#N/A</v>
      </c>
      <c r="BD36" s="102" t="str">
        <f t="shared" si="223"/>
        <v>#N/A</v>
      </c>
      <c r="BE36" s="103" t="str">
        <f t="shared" si="223"/>
        <v>#N/A</v>
      </c>
      <c r="BF36" s="104" t="str">
        <f t="shared" si="223"/>
        <v>#N/A</v>
      </c>
      <c r="BG36" s="99" t="str">
        <f t="shared" si="223"/>
        <v>#N/A</v>
      </c>
      <c r="BH36" s="100" t="str">
        <f t="shared" si="223"/>
        <v>#N/A</v>
      </c>
      <c r="BI36" s="101" t="str">
        <f t="shared" si="223"/>
        <v>#N/A</v>
      </c>
      <c r="BJ36" s="102" t="str">
        <f t="shared" si="223"/>
        <v>#N/A</v>
      </c>
      <c r="BK36" s="103" t="str">
        <f t="shared" si="223"/>
        <v>#N/A</v>
      </c>
      <c r="BL36" s="104" t="str">
        <f t="shared" si="223"/>
        <v>#N/A</v>
      </c>
      <c r="BM36" s="99" t="str">
        <f t="shared" si="223"/>
        <v>#N/A</v>
      </c>
      <c r="BN36" s="100" t="str">
        <f t="shared" si="223"/>
        <v>#N/A</v>
      </c>
      <c r="BO36" s="101" t="str">
        <f t="shared" si="223"/>
        <v>#N/A</v>
      </c>
      <c r="BP36" s="102" t="str">
        <f t="shared" si="223"/>
        <v>#N/A</v>
      </c>
      <c r="BQ36" s="103" t="str">
        <f t="shared" si="223"/>
        <v>#N/A</v>
      </c>
      <c r="BR36" s="104" t="str">
        <f t="shared" si="223"/>
        <v>#N/A</v>
      </c>
      <c r="BS36" s="99" t="str">
        <f t="shared" si="223"/>
        <v>#N/A</v>
      </c>
      <c r="BT36" s="100" t="str">
        <f t="shared" si="223"/>
        <v>#N/A</v>
      </c>
      <c r="BU36" s="101" t="str">
        <f t="shared" si="223"/>
        <v>#N/A</v>
      </c>
      <c r="BV36" s="102" t="str">
        <f t="shared" si="223"/>
        <v>#N/A</v>
      </c>
      <c r="BW36" s="103" t="str">
        <f t="shared" si="223"/>
        <v>#N/A</v>
      </c>
      <c r="BX36" s="104" t="str">
        <f t="shared" si="223"/>
        <v>#N/A</v>
      </c>
      <c r="BY36" s="99" t="str">
        <f t="shared" si="223"/>
        <v>#N/A</v>
      </c>
      <c r="BZ36" s="100" t="str">
        <f t="shared" si="223"/>
        <v>#N/A</v>
      </c>
      <c r="CA36" s="101" t="str">
        <f t="shared" si="223"/>
        <v>#N/A</v>
      </c>
      <c r="CB36" s="102" t="str">
        <f t="shared" si="223"/>
        <v>#N/A</v>
      </c>
      <c r="CC36" s="103" t="str">
        <f t="shared" si="223"/>
        <v>#N/A</v>
      </c>
      <c r="CD36" s="104" t="str">
        <f t="shared" si="223"/>
        <v>#N/A</v>
      </c>
      <c r="CE36" s="99" t="str">
        <f t="shared" si="223"/>
        <v>#N/A</v>
      </c>
      <c r="CF36" s="100" t="str">
        <f t="shared" si="223"/>
        <v>#N/A</v>
      </c>
      <c r="CG36" s="101" t="str">
        <f t="shared" si="223"/>
        <v>#N/A</v>
      </c>
      <c r="CH36" s="102" t="str">
        <f t="shared" si="223"/>
        <v>#N/A</v>
      </c>
      <c r="CI36" s="103" t="str">
        <f t="shared" si="223"/>
        <v>#N/A</v>
      </c>
      <c r="CJ36" s="104" t="str">
        <f t="shared" si="223"/>
        <v>#N/A</v>
      </c>
      <c r="CK36" s="99" t="str">
        <f t="shared" si="223"/>
        <v>#N/A</v>
      </c>
      <c r="CL36" s="100" t="str">
        <f t="shared" si="223"/>
        <v>#N/A</v>
      </c>
      <c r="CM36" s="101" t="str">
        <f t="shared" si="223"/>
        <v>#N/A</v>
      </c>
      <c r="CN36" s="102" t="str">
        <f t="shared" si="223"/>
        <v>#N/A</v>
      </c>
      <c r="CO36" s="103" t="str">
        <f t="shared" si="223"/>
        <v>#N/A</v>
      </c>
      <c r="CP36" s="104" t="str">
        <f t="shared" si="223"/>
        <v>#N/A</v>
      </c>
      <c r="CQ36" s="99" t="str">
        <f t="shared" si="223"/>
        <v>#N/A</v>
      </c>
      <c r="CR36" s="100" t="str">
        <f t="shared" si="223"/>
        <v>#N/A</v>
      </c>
      <c r="CS36" s="101" t="str">
        <f t="shared" si="223"/>
        <v>#N/A</v>
      </c>
      <c r="CT36" s="102" t="str">
        <f t="shared" si="223"/>
        <v>#N/A</v>
      </c>
      <c r="CU36" s="103" t="str">
        <f t="shared" si="223"/>
        <v>#N/A</v>
      </c>
      <c r="CV36" s="104" t="str">
        <f t="shared" si="223"/>
        <v>#N/A</v>
      </c>
      <c r="CW36" s="99" t="str">
        <f t="shared" si="223"/>
        <v>#N/A</v>
      </c>
      <c r="CX36" s="100" t="str">
        <f t="shared" si="223"/>
        <v>#N/A</v>
      </c>
      <c r="CY36" s="101" t="str">
        <f t="shared" si="223"/>
        <v>#N/A</v>
      </c>
      <c r="CZ36" s="102" t="str">
        <f t="shared" si="223"/>
        <v>#N/A</v>
      </c>
      <c r="DA36" s="103" t="str">
        <f t="shared" si="223"/>
        <v>#N/A</v>
      </c>
      <c r="DB36" s="104" t="str">
        <f t="shared" si="223"/>
        <v>#N/A</v>
      </c>
      <c r="DC36" s="99" t="str">
        <f t="shared" si="223"/>
        <v>#N/A</v>
      </c>
      <c r="DD36" s="100" t="str">
        <f t="shared" si="223"/>
        <v>#N/A</v>
      </c>
      <c r="DE36" s="101" t="str">
        <f t="shared" si="223"/>
        <v>#N/A</v>
      </c>
      <c r="DF36" s="102" t="str">
        <f t="shared" si="223"/>
        <v>#N/A</v>
      </c>
      <c r="DG36" s="103" t="str">
        <f t="shared" si="223"/>
        <v>#N/A</v>
      </c>
      <c r="DH36" s="104" t="str">
        <f t="shared" si="223"/>
        <v>#N/A</v>
      </c>
      <c r="DI36" s="99" t="str">
        <f t="shared" si="223"/>
        <v>#N/A</v>
      </c>
      <c r="DJ36" s="100" t="str">
        <f t="shared" si="223"/>
        <v>#N/A</v>
      </c>
      <c r="DK36" s="101" t="str">
        <f t="shared" si="223"/>
        <v>#N/A</v>
      </c>
      <c r="DL36" s="102" t="str">
        <f t="shared" si="223"/>
        <v>#N/A</v>
      </c>
      <c r="DM36" s="103" t="str">
        <f t="shared" si="223"/>
        <v>#N/A</v>
      </c>
      <c r="DN36" s="104" t="str">
        <f t="shared" si="223"/>
        <v>#N/A</v>
      </c>
      <c r="DO36" s="99">
        <f t="shared" si="223"/>
        <v>0</v>
      </c>
      <c r="DP36" s="100" t="str">
        <f t="shared" si="209"/>
        <v>#N/A</v>
      </c>
      <c r="DQ36" s="101" t="str">
        <f t="shared" si="210"/>
        <v>#N/A</v>
      </c>
      <c r="DR36" s="102" t="str">
        <f t="shared" si="211"/>
        <v>#N/A</v>
      </c>
      <c r="DS36" s="103" t="str">
        <f t="shared" si="212"/>
        <v>#N/A</v>
      </c>
      <c r="DT36" s="104" t="str">
        <f t="shared" si="213"/>
        <v>#N/A</v>
      </c>
    </row>
    <row r="37" ht="15.75" hidden="1" customHeight="1">
      <c r="A37" s="12" t="str">
        <f>Menus!R28</f>
        <v/>
      </c>
      <c r="B37" s="32" t="str">
        <f t="shared" ref="B37:G37" si="224">SUMIF($H$2:DT$2,$H$2,H37:DT37)</f>
        <v>#N/A</v>
      </c>
      <c r="C37" s="32" t="str">
        <f t="shared" si="224"/>
        <v>#N/A</v>
      </c>
      <c r="D37" s="32" t="str">
        <f t="shared" si="224"/>
        <v>#N/A</v>
      </c>
      <c r="E37" s="93" t="str">
        <f t="shared" si="224"/>
        <v>#N/A</v>
      </c>
      <c r="F37" s="94" t="str">
        <f t="shared" si="224"/>
        <v>#N/A</v>
      </c>
      <c r="G37" s="95" t="str">
        <f t="shared" si="224"/>
        <v>#N/A</v>
      </c>
      <c r="H37" s="96" t="str">
        <f t="shared" si="71"/>
        <v/>
      </c>
      <c r="I37" s="97" t="str">
        <f t="shared" si="72"/>
        <v/>
      </c>
      <c r="J37" s="98" t="str">
        <f t="shared" ref="J37:DO37" si="225">SUMIF($H$2:DT$2,$H$2,P37:DT37)</f>
        <v>#N/A</v>
      </c>
      <c r="K37" s="99" t="str">
        <f t="shared" si="225"/>
        <v>#N/A</v>
      </c>
      <c r="L37" s="100" t="str">
        <f t="shared" si="225"/>
        <v>#N/A</v>
      </c>
      <c r="M37" s="101" t="str">
        <f t="shared" si="225"/>
        <v>#N/A</v>
      </c>
      <c r="N37" s="102" t="str">
        <f t="shared" si="225"/>
        <v>#N/A</v>
      </c>
      <c r="O37" s="103" t="str">
        <f t="shared" si="225"/>
        <v>#N/A</v>
      </c>
      <c r="P37" s="104" t="str">
        <f t="shared" si="225"/>
        <v>#N/A</v>
      </c>
      <c r="Q37" s="99" t="str">
        <f t="shared" si="225"/>
        <v>#N/A</v>
      </c>
      <c r="R37" s="100" t="str">
        <f t="shared" si="225"/>
        <v>#N/A</v>
      </c>
      <c r="S37" s="101" t="str">
        <f t="shared" si="225"/>
        <v>#N/A</v>
      </c>
      <c r="T37" s="102" t="str">
        <f t="shared" si="225"/>
        <v>#N/A</v>
      </c>
      <c r="U37" s="103" t="str">
        <f t="shared" si="225"/>
        <v>#N/A</v>
      </c>
      <c r="V37" s="104" t="str">
        <f t="shared" si="225"/>
        <v>#N/A</v>
      </c>
      <c r="W37" s="99" t="str">
        <f t="shared" si="225"/>
        <v>#N/A</v>
      </c>
      <c r="X37" s="100" t="str">
        <f t="shared" si="225"/>
        <v>#N/A</v>
      </c>
      <c r="Y37" s="101" t="str">
        <f t="shared" si="225"/>
        <v>#N/A</v>
      </c>
      <c r="Z37" s="102" t="str">
        <f t="shared" si="225"/>
        <v>#N/A</v>
      </c>
      <c r="AA37" s="103" t="str">
        <f t="shared" si="225"/>
        <v>#N/A</v>
      </c>
      <c r="AB37" s="104" t="str">
        <f t="shared" si="225"/>
        <v>#N/A</v>
      </c>
      <c r="AC37" s="99" t="str">
        <f t="shared" si="225"/>
        <v>#N/A</v>
      </c>
      <c r="AD37" s="100" t="str">
        <f t="shared" si="225"/>
        <v>#N/A</v>
      </c>
      <c r="AE37" s="101" t="str">
        <f t="shared" si="225"/>
        <v>#N/A</v>
      </c>
      <c r="AF37" s="102" t="str">
        <f t="shared" si="225"/>
        <v>#N/A</v>
      </c>
      <c r="AG37" s="103" t="str">
        <f t="shared" si="225"/>
        <v>#N/A</v>
      </c>
      <c r="AH37" s="104" t="str">
        <f t="shared" si="225"/>
        <v>#N/A</v>
      </c>
      <c r="AI37" s="99" t="str">
        <f t="shared" si="225"/>
        <v>#N/A</v>
      </c>
      <c r="AJ37" s="100" t="str">
        <f t="shared" si="225"/>
        <v>#N/A</v>
      </c>
      <c r="AK37" s="101" t="str">
        <f t="shared" si="225"/>
        <v>#N/A</v>
      </c>
      <c r="AL37" s="102" t="str">
        <f t="shared" si="225"/>
        <v>#N/A</v>
      </c>
      <c r="AM37" s="103" t="str">
        <f t="shared" si="225"/>
        <v>#N/A</v>
      </c>
      <c r="AN37" s="104" t="str">
        <f t="shared" si="225"/>
        <v>#N/A</v>
      </c>
      <c r="AO37" s="99" t="str">
        <f t="shared" si="225"/>
        <v>#N/A</v>
      </c>
      <c r="AP37" s="100" t="str">
        <f t="shared" si="225"/>
        <v>#N/A</v>
      </c>
      <c r="AQ37" s="101" t="str">
        <f t="shared" si="225"/>
        <v>#N/A</v>
      </c>
      <c r="AR37" s="102" t="str">
        <f t="shared" si="225"/>
        <v>#N/A</v>
      </c>
      <c r="AS37" s="103" t="str">
        <f t="shared" si="225"/>
        <v>#N/A</v>
      </c>
      <c r="AT37" s="104" t="str">
        <f t="shared" si="225"/>
        <v>#N/A</v>
      </c>
      <c r="AU37" s="99" t="str">
        <f t="shared" si="225"/>
        <v>#N/A</v>
      </c>
      <c r="AV37" s="100" t="str">
        <f t="shared" si="225"/>
        <v>#N/A</v>
      </c>
      <c r="AW37" s="101" t="str">
        <f t="shared" si="225"/>
        <v>#N/A</v>
      </c>
      <c r="AX37" s="102" t="str">
        <f t="shared" si="225"/>
        <v>#N/A</v>
      </c>
      <c r="AY37" s="103" t="str">
        <f t="shared" si="225"/>
        <v>#N/A</v>
      </c>
      <c r="AZ37" s="104" t="str">
        <f t="shared" si="225"/>
        <v>#N/A</v>
      </c>
      <c r="BA37" s="99" t="str">
        <f t="shared" si="225"/>
        <v>#N/A</v>
      </c>
      <c r="BB37" s="100" t="str">
        <f t="shared" si="225"/>
        <v>#N/A</v>
      </c>
      <c r="BC37" s="101" t="str">
        <f t="shared" si="225"/>
        <v>#N/A</v>
      </c>
      <c r="BD37" s="102" t="str">
        <f t="shared" si="225"/>
        <v>#N/A</v>
      </c>
      <c r="BE37" s="103" t="str">
        <f t="shared" si="225"/>
        <v>#N/A</v>
      </c>
      <c r="BF37" s="104" t="str">
        <f t="shared" si="225"/>
        <v>#N/A</v>
      </c>
      <c r="BG37" s="99" t="str">
        <f t="shared" si="225"/>
        <v>#N/A</v>
      </c>
      <c r="BH37" s="100" t="str">
        <f t="shared" si="225"/>
        <v>#N/A</v>
      </c>
      <c r="BI37" s="101" t="str">
        <f t="shared" si="225"/>
        <v>#N/A</v>
      </c>
      <c r="BJ37" s="102" t="str">
        <f t="shared" si="225"/>
        <v>#N/A</v>
      </c>
      <c r="BK37" s="103" t="str">
        <f t="shared" si="225"/>
        <v>#N/A</v>
      </c>
      <c r="BL37" s="104" t="str">
        <f t="shared" si="225"/>
        <v>#N/A</v>
      </c>
      <c r="BM37" s="99" t="str">
        <f t="shared" si="225"/>
        <v>#N/A</v>
      </c>
      <c r="BN37" s="100" t="str">
        <f t="shared" si="225"/>
        <v>#N/A</v>
      </c>
      <c r="BO37" s="101" t="str">
        <f t="shared" si="225"/>
        <v>#N/A</v>
      </c>
      <c r="BP37" s="102" t="str">
        <f t="shared" si="225"/>
        <v>#N/A</v>
      </c>
      <c r="BQ37" s="103" t="str">
        <f t="shared" si="225"/>
        <v>#N/A</v>
      </c>
      <c r="BR37" s="104" t="str">
        <f t="shared" si="225"/>
        <v>#N/A</v>
      </c>
      <c r="BS37" s="99" t="str">
        <f t="shared" si="225"/>
        <v>#N/A</v>
      </c>
      <c r="BT37" s="100" t="str">
        <f t="shared" si="225"/>
        <v>#N/A</v>
      </c>
      <c r="BU37" s="101" t="str">
        <f t="shared" si="225"/>
        <v>#N/A</v>
      </c>
      <c r="BV37" s="102" t="str">
        <f t="shared" si="225"/>
        <v>#N/A</v>
      </c>
      <c r="BW37" s="103" t="str">
        <f t="shared" si="225"/>
        <v>#N/A</v>
      </c>
      <c r="BX37" s="104" t="str">
        <f t="shared" si="225"/>
        <v>#N/A</v>
      </c>
      <c r="BY37" s="99" t="str">
        <f t="shared" si="225"/>
        <v>#N/A</v>
      </c>
      <c r="BZ37" s="100" t="str">
        <f t="shared" si="225"/>
        <v>#N/A</v>
      </c>
      <c r="CA37" s="101" t="str">
        <f t="shared" si="225"/>
        <v>#N/A</v>
      </c>
      <c r="CB37" s="102" t="str">
        <f t="shared" si="225"/>
        <v>#N/A</v>
      </c>
      <c r="CC37" s="103" t="str">
        <f t="shared" si="225"/>
        <v>#N/A</v>
      </c>
      <c r="CD37" s="104" t="str">
        <f t="shared" si="225"/>
        <v>#N/A</v>
      </c>
      <c r="CE37" s="99" t="str">
        <f t="shared" si="225"/>
        <v>#N/A</v>
      </c>
      <c r="CF37" s="100" t="str">
        <f t="shared" si="225"/>
        <v>#N/A</v>
      </c>
      <c r="CG37" s="101" t="str">
        <f t="shared" si="225"/>
        <v>#N/A</v>
      </c>
      <c r="CH37" s="102" t="str">
        <f t="shared" si="225"/>
        <v>#N/A</v>
      </c>
      <c r="CI37" s="103" t="str">
        <f t="shared" si="225"/>
        <v>#N/A</v>
      </c>
      <c r="CJ37" s="104" t="str">
        <f t="shared" si="225"/>
        <v>#N/A</v>
      </c>
      <c r="CK37" s="99" t="str">
        <f t="shared" si="225"/>
        <v>#N/A</v>
      </c>
      <c r="CL37" s="100" t="str">
        <f t="shared" si="225"/>
        <v>#N/A</v>
      </c>
      <c r="CM37" s="101" t="str">
        <f t="shared" si="225"/>
        <v>#N/A</v>
      </c>
      <c r="CN37" s="102" t="str">
        <f t="shared" si="225"/>
        <v>#N/A</v>
      </c>
      <c r="CO37" s="103" t="str">
        <f t="shared" si="225"/>
        <v>#N/A</v>
      </c>
      <c r="CP37" s="104" t="str">
        <f t="shared" si="225"/>
        <v>#N/A</v>
      </c>
      <c r="CQ37" s="99" t="str">
        <f t="shared" si="225"/>
        <v>#N/A</v>
      </c>
      <c r="CR37" s="100" t="str">
        <f t="shared" si="225"/>
        <v>#N/A</v>
      </c>
      <c r="CS37" s="101" t="str">
        <f t="shared" si="225"/>
        <v>#N/A</v>
      </c>
      <c r="CT37" s="102" t="str">
        <f t="shared" si="225"/>
        <v>#N/A</v>
      </c>
      <c r="CU37" s="103" t="str">
        <f t="shared" si="225"/>
        <v>#N/A</v>
      </c>
      <c r="CV37" s="104" t="str">
        <f t="shared" si="225"/>
        <v>#N/A</v>
      </c>
      <c r="CW37" s="99" t="str">
        <f t="shared" si="225"/>
        <v>#N/A</v>
      </c>
      <c r="CX37" s="100" t="str">
        <f t="shared" si="225"/>
        <v>#N/A</v>
      </c>
      <c r="CY37" s="101" t="str">
        <f t="shared" si="225"/>
        <v>#N/A</v>
      </c>
      <c r="CZ37" s="102" t="str">
        <f t="shared" si="225"/>
        <v>#N/A</v>
      </c>
      <c r="DA37" s="103" t="str">
        <f t="shared" si="225"/>
        <v>#N/A</v>
      </c>
      <c r="DB37" s="104" t="str">
        <f t="shared" si="225"/>
        <v>#N/A</v>
      </c>
      <c r="DC37" s="99" t="str">
        <f t="shared" si="225"/>
        <v>#N/A</v>
      </c>
      <c r="DD37" s="100" t="str">
        <f t="shared" si="225"/>
        <v>#N/A</v>
      </c>
      <c r="DE37" s="101" t="str">
        <f t="shared" si="225"/>
        <v>#N/A</v>
      </c>
      <c r="DF37" s="102" t="str">
        <f t="shared" si="225"/>
        <v>#N/A</v>
      </c>
      <c r="DG37" s="103" t="str">
        <f t="shared" si="225"/>
        <v>#N/A</v>
      </c>
      <c r="DH37" s="104" t="str">
        <f t="shared" si="225"/>
        <v>#N/A</v>
      </c>
      <c r="DI37" s="99" t="str">
        <f t="shared" si="225"/>
        <v>#N/A</v>
      </c>
      <c r="DJ37" s="100" t="str">
        <f t="shared" si="225"/>
        <v>#N/A</v>
      </c>
      <c r="DK37" s="101" t="str">
        <f t="shared" si="225"/>
        <v>#N/A</v>
      </c>
      <c r="DL37" s="102" t="str">
        <f t="shared" si="225"/>
        <v>#N/A</v>
      </c>
      <c r="DM37" s="103" t="str">
        <f t="shared" si="225"/>
        <v>#N/A</v>
      </c>
      <c r="DN37" s="104" t="str">
        <f t="shared" si="225"/>
        <v>#N/A</v>
      </c>
      <c r="DO37" s="99">
        <f t="shared" si="225"/>
        <v>0</v>
      </c>
      <c r="DP37" s="100" t="str">
        <f t="shared" si="209"/>
        <v>#N/A</v>
      </c>
      <c r="DQ37" s="101" t="str">
        <f t="shared" si="210"/>
        <v>#N/A</v>
      </c>
      <c r="DR37" s="102" t="str">
        <f t="shared" si="211"/>
        <v>#N/A</v>
      </c>
      <c r="DS37" s="103" t="str">
        <f t="shared" si="212"/>
        <v>#N/A</v>
      </c>
      <c r="DT37" s="104" t="str">
        <f t="shared" si="213"/>
        <v>#N/A</v>
      </c>
    </row>
    <row r="38" ht="15.75" hidden="1" customHeight="1">
      <c r="A38" s="12" t="str">
        <f>Menus!R29</f>
        <v/>
      </c>
      <c r="B38" s="32" t="str">
        <f t="shared" ref="B38:G38" si="226">SUMIF($H$2:DT$2,$H$2,H38:DT38)</f>
        <v>#N/A</v>
      </c>
      <c r="C38" s="32" t="str">
        <f t="shared" si="226"/>
        <v>#N/A</v>
      </c>
      <c r="D38" s="32" t="str">
        <f t="shared" si="226"/>
        <v>#N/A</v>
      </c>
      <c r="E38" s="93" t="str">
        <f t="shared" si="226"/>
        <v>#N/A</v>
      </c>
      <c r="F38" s="94" t="str">
        <f t="shared" si="226"/>
        <v>#N/A</v>
      </c>
      <c r="G38" s="95" t="str">
        <f t="shared" si="226"/>
        <v>#N/A</v>
      </c>
      <c r="H38" s="96" t="str">
        <f t="shared" si="71"/>
        <v/>
      </c>
      <c r="I38" s="97" t="str">
        <f t="shared" si="72"/>
        <v/>
      </c>
      <c r="J38" s="98" t="str">
        <f t="shared" ref="J38:DO38" si="227">SUMIF($H$2:DT$2,$H$2,P38:DT38)</f>
        <v>#N/A</v>
      </c>
      <c r="K38" s="99" t="str">
        <f t="shared" si="227"/>
        <v>#N/A</v>
      </c>
      <c r="L38" s="100" t="str">
        <f t="shared" si="227"/>
        <v>#N/A</v>
      </c>
      <c r="M38" s="101" t="str">
        <f t="shared" si="227"/>
        <v>#N/A</v>
      </c>
      <c r="N38" s="102" t="str">
        <f t="shared" si="227"/>
        <v>#N/A</v>
      </c>
      <c r="O38" s="103" t="str">
        <f t="shared" si="227"/>
        <v>#N/A</v>
      </c>
      <c r="P38" s="104" t="str">
        <f t="shared" si="227"/>
        <v>#N/A</v>
      </c>
      <c r="Q38" s="99" t="str">
        <f t="shared" si="227"/>
        <v>#N/A</v>
      </c>
      <c r="R38" s="100" t="str">
        <f t="shared" si="227"/>
        <v>#N/A</v>
      </c>
      <c r="S38" s="101" t="str">
        <f t="shared" si="227"/>
        <v>#N/A</v>
      </c>
      <c r="T38" s="102" t="str">
        <f t="shared" si="227"/>
        <v>#N/A</v>
      </c>
      <c r="U38" s="103" t="str">
        <f t="shared" si="227"/>
        <v>#N/A</v>
      </c>
      <c r="V38" s="104" t="str">
        <f t="shared" si="227"/>
        <v>#N/A</v>
      </c>
      <c r="W38" s="99" t="str">
        <f t="shared" si="227"/>
        <v>#N/A</v>
      </c>
      <c r="X38" s="100" t="str">
        <f t="shared" si="227"/>
        <v>#N/A</v>
      </c>
      <c r="Y38" s="101" t="str">
        <f t="shared" si="227"/>
        <v>#N/A</v>
      </c>
      <c r="Z38" s="102" t="str">
        <f t="shared" si="227"/>
        <v>#N/A</v>
      </c>
      <c r="AA38" s="103" t="str">
        <f t="shared" si="227"/>
        <v>#N/A</v>
      </c>
      <c r="AB38" s="104" t="str">
        <f t="shared" si="227"/>
        <v>#N/A</v>
      </c>
      <c r="AC38" s="99" t="str">
        <f t="shared" si="227"/>
        <v>#N/A</v>
      </c>
      <c r="AD38" s="100" t="str">
        <f t="shared" si="227"/>
        <v>#N/A</v>
      </c>
      <c r="AE38" s="101" t="str">
        <f t="shared" si="227"/>
        <v>#N/A</v>
      </c>
      <c r="AF38" s="102" t="str">
        <f t="shared" si="227"/>
        <v>#N/A</v>
      </c>
      <c r="AG38" s="103" t="str">
        <f t="shared" si="227"/>
        <v>#N/A</v>
      </c>
      <c r="AH38" s="104" t="str">
        <f t="shared" si="227"/>
        <v>#N/A</v>
      </c>
      <c r="AI38" s="99" t="str">
        <f t="shared" si="227"/>
        <v>#N/A</v>
      </c>
      <c r="AJ38" s="100" t="str">
        <f t="shared" si="227"/>
        <v>#N/A</v>
      </c>
      <c r="AK38" s="101" t="str">
        <f t="shared" si="227"/>
        <v>#N/A</v>
      </c>
      <c r="AL38" s="102" t="str">
        <f t="shared" si="227"/>
        <v>#N/A</v>
      </c>
      <c r="AM38" s="103" t="str">
        <f t="shared" si="227"/>
        <v>#N/A</v>
      </c>
      <c r="AN38" s="104" t="str">
        <f t="shared" si="227"/>
        <v>#N/A</v>
      </c>
      <c r="AO38" s="99" t="str">
        <f t="shared" si="227"/>
        <v>#N/A</v>
      </c>
      <c r="AP38" s="100" t="str">
        <f t="shared" si="227"/>
        <v>#N/A</v>
      </c>
      <c r="AQ38" s="101" t="str">
        <f t="shared" si="227"/>
        <v>#N/A</v>
      </c>
      <c r="AR38" s="102" t="str">
        <f t="shared" si="227"/>
        <v>#N/A</v>
      </c>
      <c r="AS38" s="103" t="str">
        <f t="shared" si="227"/>
        <v>#N/A</v>
      </c>
      <c r="AT38" s="104" t="str">
        <f t="shared" si="227"/>
        <v>#N/A</v>
      </c>
      <c r="AU38" s="99" t="str">
        <f t="shared" si="227"/>
        <v>#N/A</v>
      </c>
      <c r="AV38" s="100" t="str">
        <f t="shared" si="227"/>
        <v>#N/A</v>
      </c>
      <c r="AW38" s="101" t="str">
        <f t="shared" si="227"/>
        <v>#N/A</v>
      </c>
      <c r="AX38" s="102" t="str">
        <f t="shared" si="227"/>
        <v>#N/A</v>
      </c>
      <c r="AY38" s="103" t="str">
        <f t="shared" si="227"/>
        <v>#N/A</v>
      </c>
      <c r="AZ38" s="104" t="str">
        <f t="shared" si="227"/>
        <v>#N/A</v>
      </c>
      <c r="BA38" s="99" t="str">
        <f t="shared" si="227"/>
        <v>#N/A</v>
      </c>
      <c r="BB38" s="100" t="str">
        <f t="shared" si="227"/>
        <v>#N/A</v>
      </c>
      <c r="BC38" s="101" t="str">
        <f t="shared" si="227"/>
        <v>#N/A</v>
      </c>
      <c r="BD38" s="102" t="str">
        <f t="shared" si="227"/>
        <v>#N/A</v>
      </c>
      <c r="BE38" s="103" t="str">
        <f t="shared" si="227"/>
        <v>#N/A</v>
      </c>
      <c r="BF38" s="104" t="str">
        <f t="shared" si="227"/>
        <v>#N/A</v>
      </c>
      <c r="BG38" s="99" t="str">
        <f t="shared" si="227"/>
        <v>#N/A</v>
      </c>
      <c r="BH38" s="100" t="str">
        <f t="shared" si="227"/>
        <v>#N/A</v>
      </c>
      <c r="BI38" s="101" t="str">
        <f t="shared" si="227"/>
        <v>#N/A</v>
      </c>
      <c r="BJ38" s="102" t="str">
        <f t="shared" si="227"/>
        <v>#N/A</v>
      </c>
      <c r="BK38" s="103" t="str">
        <f t="shared" si="227"/>
        <v>#N/A</v>
      </c>
      <c r="BL38" s="104" t="str">
        <f t="shared" si="227"/>
        <v>#N/A</v>
      </c>
      <c r="BM38" s="99" t="str">
        <f t="shared" si="227"/>
        <v>#N/A</v>
      </c>
      <c r="BN38" s="100" t="str">
        <f t="shared" si="227"/>
        <v>#N/A</v>
      </c>
      <c r="BO38" s="101" t="str">
        <f t="shared" si="227"/>
        <v>#N/A</v>
      </c>
      <c r="BP38" s="102" t="str">
        <f t="shared" si="227"/>
        <v>#N/A</v>
      </c>
      <c r="BQ38" s="103" t="str">
        <f t="shared" si="227"/>
        <v>#N/A</v>
      </c>
      <c r="BR38" s="104" t="str">
        <f t="shared" si="227"/>
        <v>#N/A</v>
      </c>
      <c r="BS38" s="99" t="str">
        <f t="shared" si="227"/>
        <v>#N/A</v>
      </c>
      <c r="BT38" s="100" t="str">
        <f t="shared" si="227"/>
        <v>#N/A</v>
      </c>
      <c r="BU38" s="101" t="str">
        <f t="shared" si="227"/>
        <v>#N/A</v>
      </c>
      <c r="BV38" s="102" t="str">
        <f t="shared" si="227"/>
        <v>#N/A</v>
      </c>
      <c r="BW38" s="103" t="str">
        <f t="shared" si="227"/>
        <v>#N/A</v>
      </c>
      <c r="BX38" s="104" t="str">
        <f t="shared" si="227"/>
        <v>#N/A</v>
      </c>
      <c r="BY38" s="99" t="str">
        <f t="shared" si="227"/>
        <v>#N/A</v>
      </c>
      <c r="BZ38" s="100" t="str">
        <f t="shared" si="227"/>
        <v>#N/A</v>
      </c>
      <c r="CA38" s="101" t="str">
        <f t="shared" si="227"/>
        <v>#N/A</v>
      </c>
      <c r="CB38" s="102" t="str">
        <f t="shared" si="227"/>
        <v>#N/A</v>
      </c>
      <c r="CC38" s="103" t="str">
        <f t="shared" si="227"/>
        <v>#N/A</v>
      </c>
      <c r="CD38" s="104" t="str">
        <f t="shared" si="227"/>
        <v>#N/A</v>
      </c>
      <c r="CE38" s="99" t="str">
        <f t="shared" si="227"/>
        <v>#N/A</v>
      </c>
      <c r="CF38" s="100" t="str">
        <f t="shared" si="227"/>
        <v>#N/A</v>
      </c>
      <c r="CG38" s="101" t="str">
        <f t="shared" si="227"/>
        <v>#N/A</v>
      </c>
      <c r="CH38" s="102" t="str">
        <f t="shared" si="227"/>
        <v>#N/A</v>
      </c>
      <c r="CI38" s="103" t="str">
        <f t="shared" si="227"/>
        <v>#N/A</v>
      </c>
      <c r="CJ38" s="104" t="str">
        <f t="shared" si="227"/>
        <v>#N/A</v>
      </c>
      <c r="CK38" s="99" t="str">
        <f t="shared" si="227"/>
        <v>#N/A</v>
      </c>
      <c r="CL38" s="100" t="str">
        <f t="shared" si="227"/>
        <v>#N/A</v>
      </c>
      <c r="CM38" s="101" t="str">
        <f t="shared" si="227"/>
        <v>#N/A</v>
      </c>
      <c r="CN38" s="102" t="str">
        <f t="shared" si="227"/>
        <v>#N/A</v>
      </c>
      <c r="CO38" s="103" t="str">
        <f t="shared" si="227"/>
        <v>#N/A</v>
      </c>
      <c r="CP38" s="104" t="str">
        <f t="shared" si="227"/>
        <v>#N/A</v>
      </c>
      <c r="CQ38" s="99" t="str">
        <f t="shared" si="227"/>
        <v>#N/A</v>
      </c>
      <c r="CR38" s="100" t="str">
        <f t="shared" si="227"/>
        <v>#N/A</v>
      </c>
      <c r="CS38" s="101" t="str">
        <f t="shared" si="227"/>
        <v>#N/A</v>
      </c>
      <c r="CT38" s="102" t="str">
        <f t="shared" si="227"/>
        <v>#N/A</v>
      </c>
      <c r="CU38" s="103" t="str">
        <f t="shared" si="227"/>
        <v>#N/A</v>
      </c>
      <c r="CV38" s="104" t="str">
        <f t="shared" si="227"/>
        <v>#N/A</v>
      </c>
      <c r="CW38" s="99" t="str">
        <f t="shared" si="227"/>
        <v>#N/A</v>
      </c>
      <c r="CX38" s="100" t="str">
        <f t="shared" si="227"/>
        <v>#N/A</v>
      </c>
      <c r="CY38" s="101" t="str">
        <f t="shared" si="227"/>
        <v>#N/A</v>
      </c>
      <c r="CZ38" s="102" t="str">
        <f t="shared" si="227"/>
        <v>#N/A</v>
      </c>
      <c r="DA38" s="103" t="str">
        <f t="shared" si="227"/>
        <v>#N/A</v>
      </c>
      <c r="DB38" s="104" t="str">
        <f t="shared" si="227"/>
        <v>#N/A</v>
      </c>
      <c r="DC38" s="99" t="str">
        <f t="shared" si="227"/>
        <v>#N/A</v>
      </c>
      <c r="DD38" s="100" t="str">
        <f t="shared" si="227"/>
        <v>#N/A</v>
      </c>
      <c r="DE38" s="101" t="str">
        <f t="shared" si="227"/>
        <v>#N/A</v>
      </c>
      <c r="DF38" s="102" t="str">
        <f t="shared" si="227"/>
        <v>#N/A</v>
      </c>
      <c r="DG38" s="103" t="str">
        <f t="shared" si="227"/>
        <v>#N/A</v>
      </c>
      <c r="DH38" s="104" t="str">
        <f t="shared" si="227"/>
        <v>#N/A</v>
      </c>
      <c r="DI38" s="99" t="str">
        <f t="shared" si="227"/>
        <v>#N/A</v>
      </c>
      <c r="DJ38" s="100" t="str">
        <f t="shared" si="227"/>
        <v>#N/A</v>
      </c>
      <c r="DK38" s="101" t="str">
        <f t="shared" si="227"/>
        <v>#N/A</v>
      </c>
      <c r="DL38" s="102" t="str">
        <f t="shared" si="227"/>
        <v>#N/A</v>
      </c>
      <c r="DM38" s="103" t="str">
        <f t="shared" si="227"/>
        <v>#N/A</v>
      </c>
      <c r="DN38" s="104" t="str">
        <f t="shared" si="227"/>
        <v>#N/A</v>
      </c>
      <c r="DO38" s="99">
        <f t="shared" si="227"/>
        <v>0</v>
      </c>
      <c r="DP38" s="100" t="str">
        <f t="shared" si="209"/>
        <v>#N/A</v>
      </c>
      <c r="DQ38" s="101" t="str">
        <f t="shared" si="210"/>
        <v>#N/A</v>
      </c>
      <c r="DR38" s="102" t="str">
        <f t="shared" si="211"/>
        <v>#N/A</v>
      </c>
      <c r="DS38" s="103" t="str">
        <f t="shared" si="212"/>
        <v>#N/A</v>
      </c>
      <c r="DT38" s="104" t="str">
        <f t="shared" si="213"/>
        <v>#N/A</v>
      </c>
    </row>
    <row r="39" ht="15.75" hidden="1" customHeight="1">
      <c r="A39" s="12" t="str">
        <f>Menus!R30</f>
        <v/>
      </c>
      <c r="B39" s="32" t="str">
        <f t="shared" ref="B39:G39" si="228">SUMIF($H$2:DT$2,$H$2,H39:DT39)</f>
        <v>#N/A</v>
      </c>
      <c r="C39" s="32" t="str">
        <f t="shared" si="228"/>
        <v>#N/A</v>
      </c>
      <c r="D39" s="32" t="str">
        <f t="shared" si="228"/>
        <v>#N/A</v>
      </c>
      <c r="E39" s="93" t="str">
        <f t="shared" si="228"/>
        <v>#N/A</v>
      </c>
      <c r="F39" s="94" t="str">
        <f t="shared" si="228"/>
        <v>#N/A</v>
      </c>
      <c r="G39" s="95" t="str">
        <f t="shared" si="228"/>
        <v>#N/A</v>
      </c>
      <c r="H39" s="96" t="str">
        <f t="shared" si="71"/>
        <v/>
      </c>
      <c r="I39" s="97" t="str">
        <f t="shared" si="72"/>
        <v/>
      </c>
      <c r="J39" s="98" t="str">
        <f t="shared" ref="J39:DO39" si="229">SUMIF($H$2:DT$2,$H$2,P39:DT39)</f>
        <v>#N/A</v>
      </c>
      <c r="K39" s="99" t="str">
        <f t="shared" si="229"/>
        <v>#N/A</v>
      </c>
      <c r="L39" s="100" t="str">
        <f t="shared" si="229"/>
        <v>#N/A</v>
      </c>
      <c r="M39" s="101" t="str">
        <f t="shared" si="229"/>
        <v>#N/A</v>
      </c>
      <c r="N39" s="102" t="str">
        <f t="shared" si="229"/>
        <v>#N/A</v>
      </c>
      <c r="O39" s="103" t="str">
        <f t="shared" si="229"/>
        <v>#N/A</v>
      </c>
      <c r="P39" s="104" t="str">
        <f t="shared" si="229"/>
        <v>#N/A</v>
      </c>
      <c r="Q39" s="99" t="str">
        <f t="shared" si="229"/>
        <v>#N/A</v>
      </c>
      <c r="R39" s="100" t="str">
        <f t="shared" si="229"/>
        <v>#N/A</v>
      </c>
      <c r="S39" s="101" t="str">
        <f t="shared" si="229"/>
        <v>#N/A</v>
      </c>
      <c r="T39" s="102" t="str">
        <f t="shared" si="229"/>
        <v>#N/A</v>
      </c>
      <c r="U39" s="103" t="str">
        <f t="shared" si="229"/>
        <v>#N/A</v>
      </c>
      <c r="V39" s="104" t="str">
        <f t="shared" si="229"/>
        <v>#N/A</v>
      </c>
      <c r="W39" s="99" t="str">
        <f t="shared" si="229"/>
        <v>#N/A</v>
      </c>
      <c r="X39" s="100" t="str">
        <f t="shared" si="229"/>
        <v>#N/A</v>
      </c>
      <c r="Y39" s="101" t="str">
        <f t="shared" si="229"/>
        <v>#N/A</v>
      </c>
      <c r="Z39" s="102" t="str">
        <f t="shared" si="229"/>
        <v>#N/A</v>
      </c>
      <c r="AA39" s="103" t="str">
        <f t="shared" si="229"/>
        <v>#N/A</v>
      </c>
      <c r="AB39" s="104" t="str">
        <f t="shared" si="229"/>
        <v>#N/A</v>
      </c>
      <c r="AC39" s="99" t="str">
        <f t="shared" si="229"/>
        <v>#N/A</v>
      </c>
      <c r="AD39" s="100" t="str">
        <f t="shared" si="229"/>
        <v>#N/A</v>
      </c>
      <c r="AE39" s="101" t="str">
        <f t="shared" si="229"/>
        <v>#N/A</v>
      </c>
      <c r="AF39" s="102" t="str">
        <f t="shared" si="229"/>
        <v>#N/A</v>
      </c>
      <c r="AG39" s="103" t="str">
        <f t="shared" si="229"/>
        <v>#N/A</v>
      </c>
      <c r="AH39" s="104" t="str">
        <f t="shared" si="229"/>
        <v>#N/A</v>
      </c>
      <c r="AI39" s="99" t="str">
        <f t="shared" si="229"/>
        <v>#N/A</v>
      </c>
      <c r="AJ39" s="100" t="str">
        <f t="shared" si="229"/>
        <v>#N/A</v>
      </c>
      <c r="AK39" s="101" t="str">
        <f t="shared" si="229"/>
        <v>#N/A</v>
      </c>
      <c r="AL39" s="102" t="str">
        <f t="shared" si="229"/>
        <v>#N/A</v>
      </c>
      <c r="AM39" s="103" t="str">
        <f t="shared" si="229"/>
        <v>#N/A</v>
      </c>
      <c r="AN39" s="104" t="str">
        <f t="shared" si="229"/>
        <v>#N/A</v>
      </c>
      <c r="AO39" s="99" t="str">
        <f t="shared" si="229"/>
        <v>#N/A</v>
      </c>
      <c r="AP39" s="100" t="str">
        <f t="shared" si="229"/>
        <v>#N/A</v>
      </c>
      <c r="AQ39" s="101" t="str">
        <f t="shared" si="229"/>
        <v>#N/A</v>
      </c>
      <c r="AR39" s="102" t="str">
        <f t="shared" si="229"/>
        <v>#N/A</v>
      </c>
      <c r="AS39" s="103" t="str">
        <f t="shared" si="229"/>
        <v>#N/A</v>
      </c>
      <c r="AT39" s="104" t="str">
        <f t="shared" si="229"/>
        <v>#N/A</v>
      </c>
      <c r="AU39" s="99" t="str">
        <f t="shared" si="229"/>
        <v>#N/A</v>
      </c>
      <c r="AV39" s="100" t="str">
        <f t="shared" si="229"/>
        <v>#N/A</v>
      </c>
      <c r="AW39" s="101" t="str">
        <f t="shared" si="229"/>
        <v>#N/A</v>
      </c>
      <c r="AX39" s="102" t="str">
        <f t="shared" si="229"/>
        <v>#N/A</v>
      </c>
      <c r="AY39" s="103" t="str">
        <f t="shared" si="229"/>
        <v>#N/A</v>
      </c>
      <c r="AZ39" s="104" t="str">
        <f t="shared" si="229"/>
        <v>#N/A</v>
      </c>
      <c r="BA39" s="99" t="str">
        <f t="shared" si="229"/>
        <v>#N/A</v>
      </c>
      <c r="BB39" s="100" t="str">
        <f t="shared" si="229"/>
        <v>#N/A</v>
      </c>
      <c r="BC39" s="101" t="str">
        <f t="shared" si="229"/>
        <v>#N/A</v>
      </c>
      <c r="BD39" s="102" t="str">
        <f t="shared" si="229"/>
        <v>#N/A</v>
      </c>
      <c r="BE39" s="103" t="str">
        <f t="shared" si="229"/>
        <v>#N/A</v>
      </c>
      <c r="BF39" s="104" t="str">
        <f t="shared" si="229"/>
        <v>#N/A</v>
      </c>
      <c r="BG39" s="99" t="str">
        <f t="shared" si="229"/>
        <v>#N/A</v>
      </c>
      <c r="BH39" s="100" t="str">
        <f t="shared" si="229"/>
        <v>#N/A</v>
      </c>
      <c r="BI39" s="101" t="str">
        <f t="shared" si="229"/>
        <v>#N/A</v>
      </c>
      <c r="BJ39" s="102" t="str">
        <f t="shared" si="229"/>
        <v>#N/A</v>
      </c>
      <c r="BK39" s="103" t="str">
        <f t="shared" si="229"/>
        <v>#N/A</v>
      </c>
      <c r="BL39" s="104" t="str">
        <f t="shared" si="229"/>
        <v>#N/A</v>
      </c>
      <c r="BM39" s="99" t="str">
        <f t="shared" si="229"/>
        <v>#N/A</v>
      </c>
      <c r="BN39" s="100" t="str">
        <f t="shared" si="229"/>
        <v>#N/A</v>
      </c>
      <c r="BO39" s="101" t="str">
        <f t="shared" si="229"/>
        <v>#N/A</v>
      </c>
      <c r="BP39" s="102" t="str">
        <f t="shared" si="229"/>
        <v>#N/A</v>
      </c>
      <c r="BQ39" s="103" t="str">
        <f t="shared" si="229"/>
        <v>#N/A</v>
      </c>
      <c r="BR39" s="104" t="str">
        <f t="shared" si="229"/>
        <v>#N/A</v>
      </c>
      <c r="BS39" s="99" t="str">
        <f t="shared" si="229"/>
        <v>#N/A</v>
      </c>
      <c r="BT39" s="100" t="str">
        <f t="shared" si="229"/>
        <v>#N/A</v>
      </c>
      <c r="BU39" s="101" t="str">
        <f t="shared" si="229"/>
        <v>#N/A</v>
      </c>
      <c r="BV39" s="102" t="str">
        <f t="shared" si="229"/>
        <v>#N/A</v>
      </c>
      <c r="BW39" s="103" t="str">
        <f t="shared" si="229"/>
        <v>#N/A</v>
      </c>
      <c r="BX39" s="104" t="str">
        <f t="shared" si="229"/>
        <v>#N/A</v>
      </c>
      <c r="BY39" s="99" t="str">
        <f t="shared" si="229"/>
        <v>#N/A</v>
      </c>
      <c r="BZ39" s="100" t="str">
        <f t="shared" si="229"/>
        <v>#N/A</v>
      </c>
      <c r="CA39" s="101" t="str">
        <f t="shared" si="229"/>
        <v>#N/A</v>
      </c>
      <c r="CB39" s="102" t="str">
        <f t="shared" si="229"/>
        <v>#N/A</v>
      </c>
      <c r="CC39" s="103" t="str">
        <f t="shared" si="229"/>
        <v>#N/A</v>
      </c>
      <c r="CD39" s="104" t="str">
        <f t="shared" si="229"/>
        <v>#N/A</v>
      </c>
      <c r="CE39" s="99" t="str">
        <f t="shared" si="229"/>
        <v>#N/A</v>
      </c>
      <c r="CF39" s="100" t="str">
        <f t="shared" si="229"/>
        <v>#N/A</v>
      </c>
      <c r="CG39" s="101" t="str">
        <f t="shared" si="229"/>
        <v>#N/A</v>
      </c>
      <c r="CH39" s="102" t="str">
        <f t="shared" si="229"/>
        <v>#N/A</v>
      </c>
      <c r="CI39" s="103" t="str">
        <f t="shared" si="229"/>
        <v>#N/A</v>
      </c>
      <c r="CJ39" s="104" t="str">
        <f t="shared" si="229"/>
        <v>#N/A</v>
      </c>
      <c r="CK39" s="99" t="str">
        <f t="shared" si="229"/>
        <v>#N/A</v>
      </c>
      <c r="CL39" s="100" t="str">
        <f t="shared" si="229"/>
        <v>#N/A</v>
      </c>
      <c r="CM39" s="101" t="str">
        <f t="shared" si="229"/>
        <v>#N/A</v>
      </c>
      <c r="CN39" s="102" t="str">
        <f t="shared" si="229"/>
        <v>#N/A</v>
      </c>
      <c r="CO39" s="103" t="str">
        <f t="shared" si="229"/>
        <v>#N/A</v>
      </c>
      <c r="CP39" s="104" t="str">
        <f t="shared" si="229"/>
        <v>#N/A</v>
      </c>
      <c r="CQ39" s="99" t="str">
        <f t="shared" si="229"/>
        <v>#N/A</v>
      </c>
      <c r="CR39" s="100" t="str">
        <f t="shared" si="229"/>
        <v>#N/A</v>
      </c>
      <c r="CS39" s="101" t="str">
        <f t="shared" si="229"/>
        <v>#N/A</v>
      </c>
      <c r="CT39" s="102" t="str">
        <f t="shared" si="229"/>
        <v>#N/A</v>
      </c>
      <c r="CU39" s="103" t="str">
        <f t="shared" si="229"/>
        <v>#N/A</v>
      </c>
      <c r="CV39" s="104" t="str">
        <f t="shared" si="229"/>
        <v>#N/A</v>
      </c>
      <c r="CW39" s="99" t="str">
        <f t="shared" si="229"/>
        <v>#N/A</v>
      </c>
      <c r="CX39" s="100" t="str">
        <f t="shared" si="229"/>
        <v>#N/A</v>
      </c>
      <c r="CY39" s="101" t="str">
        <f t="shared" si="229"/>
        <v>#N/A</v>
      </c>
      <c r="CZ39" s="102" t="str">
        <f t="shared" si="229"/>
        <v>#N/A</v>
      </c>
      <c r="DA39" s="103" t="str">
        <f t="shared" si="229"/>
        <v>#N/A</v>
      </c>
      <c r="DB39" s="104" t="str">
        <f t="shared" si="229"/>
        <v>#N/A</v>
      </c>
      <c r="DC39" s="99" t="str">
        <f t="shared" si="229"/>
        <v>#N/A</v>
      </c>
      <c r="DD39" s="100" t="str">
        <f t="shared" si="229"/>
        <v>#N/A</v>
      </c>
      <c r="DE39" s="101" t="str">
        <f t="shared" si="229"/>
        <v>#N/A</v>
      </c>
      <c r="DF39" s="102" t="str">
        <f t="shared" si="229"/>
        <v>#N/A</v>
      </c>
      <c r="DG39" s="103" t="str">
        <f t="shared" si="229"/>
        <v>#N/A</v>
      </c>
      <c r="DH39" s="104" t="str">
        <f t="shared" si="229"/>
        <v>#N/A</v>
      </c>
      <c r="DI39" s="99" t="str">
        <f t="shared" si="229"/>
        <v>#N/A</v>
      </c>
      <c r="DJ39" s="100" t="str">
        <f t="shared" si="229"/>
        <v>#N/A</v>
      </c>
      <c r="DK39" s="101" t="str">
        <f t="shared" si="229"/>
        <v>#N/A</v>
      </c>
      <c r="DL39" s="102" t="str">
        <f t="shared" si="229"/>
        <v>#N/A</v>
      </c>
      <c r="DM39" s="103" t="str">
        <f t="shared" si="229"/>
        <v>#N/A</v>
      </c>
      <c r="DN39" s="104" t="str">
        <f t="shared" si="229"/>
        <v>#N/A</v>
      </c>
      <c r="DO39" s="99">
        <f t="shared" si="229"/>
        <v>0</v>
      </c>
      <c r="DP39" s="100" t="str">
        <f t="shared" si="209"/>
        <v>#N/A</v>
      </c>
      <c r="DQ39" s="101" t="str">
        <f t="shared" si="210"/>
        <v>#N/A</v>
      </c>
      <c r="DR39" s="102" t="str">
        <f t="shared" si="211"/>
        <v>#N/A</v>
      </c>
      <c r="DS39" s="103" t="str">
        <f t="shared" si="212"/>
        <v>#N/A</v>
      </c>
      <c r="DT39" s="104" t="str">
        <f t="shared" si="213"/>
        <v>#N/A</v>
      </c>
    </row>
    <row r="40" ht="9.0" customHeight="1">
      <c r="A40" s="11"/>
      <c r="B40" s="12"/>
      <c r="D40" s="12"/>
      <c r="E40" s="69"/>
      <c r="F40" s="12"/>
      <c r="G40" s="12"/>
      <c r="H40" s="69"/>
      <c r="I40" s="12"/>
      <c r="J40" s="13"/>
      <c r="K40" s="69"/>
      <c r="L40" s="12"/>
      <c r="M40" s="13"/>
      <c r="N40" s="69"/>
      <c r="O40" s="12"/>
      <c r="P40" s="13"/>
      <c r="Q40" s="69"/>
      <c r="R40" s="12"/>
      <c r="S40" s="13"/>
      <c r="T40" s="69"/>
      <c r="U40" s="12"/>
      <c r="V40" s="13"/>
      <c r="W40" s="69"/>
      <c r="X40" s="12"/>
      <c r="Y40" s="13"/>
      <c r="Z40" s="69"/>
      <c r="AA40" s="12"/>
      <c r="AB40" s="13"/>
      <c r="AC40" s="69"/>
      <c r="AD40" s="12"/>
      <c r="AE40" s="13"/>
      <c r="AF40" s="69"/>
      <c r="AG40" s="12"/>
      <c r="AH40" s="13"/>
      <c r="AI40" s="69"/>
      <c r="AJ40" s="12"/>
      <c r="AK40" s="13"/>
      <c r="AL40" s="69"/>
      <c r="AM40" s="12"/>
      <c r="AN40" s="13"/>
      <c r="AO40" s="69"/>
      <c r="AP40" s="12"/>
      <c r="AQ40" s="13"/>
      <c r="AR40" s="69"/>
      <c r="AS40" s="12"/>
      <c r="AT40" s="13"/>
      <c r="AU40" s="69"/>
      <c r="AV40" s="12"/>
      <c r="AW40" s="13"/>
      <c r="AX40" s="69"/>
      <c r="AY40" s="12"/>
      <c r="AZ40" s="13"/>
      <c r="BA40" s="69"/>
      <c r="BB40" s="12"/>
      <c r="BC40" s="13"/>
      <c r="BD40" s="69"/>
      <c r="BE40" s="12"/>
      <c r="BF40" s="13"/>
      <c r="BG40" s="69"/>
      <c r="BH40" s="12"/>
      <c r="BI40" s="13"/>
      <c r="BJ40" s="69"/>
      <c r="BK40" s="12"/>
      <c r="BL40" s="13"/>
      <c r="BM40" s="69"/>
      <c r="BN40" s="12"/>
      <c r="BO40" s="13"/>
      <c r="BP40" s="69"/>
      <c r="BQ40" s="12"/>
      <c r="BR40" s="13"/>
      <c r="BS40" s="69"/>
      <c r="BT40" s="12"/>
      <c r="BU40" s="13"/>
      <c r="BV40" s="69"/>
      <c r="BW40" s="12"/>
      <c r="BX40" s="13"/>
      <c r="BY40" s="69"/>
      <c r="BZ40" s="12"/>
      <c r="CA40" s="13"/>
      <c r="CB40" s="69"/>
      <c r="CC40" s="12"/>
      <c r="CD40" s="13"/>
      <c r="CE40" s="69"/>
      <c r="CF40" s="12"/>
      <c r="CG40" s="13"/>
      <c r="CH40" s="69"/>
      <c r="CI40" s="12"/>
      <c r="CJ40" s="13"/>
      <c r="CK40" s="69"/>
      <c r="CL40" s="12"/>
      <c r="CM40" s="13"/>
      <c r="CN40" s="69"/>
      <c r="CO40" s="12"/>
      <c r="CP40" s="13"/>
      <c r="CQ40" s="69"/>
      <c r="CR40" s="12"/>
      <c r="CS40" s="13"/>
      <c r="CT40" s="69"/>
      <c r="CU40" s="12"/>
      <c r="CV40" s="13"/>
      <c r="CW40" s="69"/>
      <c r="CX40" s="12"/>
      <c r="CY40" s="13"/>
      <c r="CZ40" s="69"/>
      <c r="DA40" s="12"/>
      <c r="DB40" s="13"/>
      <c r="DC40" s="69"/>
      <c r="DD40" s="12"/>
      <c r="DE40" s="13"/>
      <c r="DF40" s="69"/>
      <c r="DG40" s="12"/>
      <c r="DH40" s="13"/>
      <c r="DI40" s="69"/>
      <c r="DJ40" s="12"/>
      <c r="DK40" s="13"/>
      <c r="DL40" s="69"/>
      <c r="DM40" s="12"/>
      <c r="DN40" s="13"/>
      <c r="DO40" s="69"/>
      <c r="DP40" s="12"/>
      <c r="DQ40" s="13"/>
      <c r="DR40" s="69"/>
      <c r="DS40" s="12"/>
      <c r="DT40" s="13"/>
    </row>
    <row r="41" ht="15.75" customHeight="1">
      <c r="A41" s="80" t="s">
        <v>14</v>
      </c>
      <c r="B41" s="45">
        <f t="shared" ref="B41:DT41" si="230">SUM(B42:B104)</f>
        <v>0</v>
      </c>
      <c r="C41" s="45">
        <f t="shared" si="230"/>
        <v>0</v>
      </c>
      <c r="D41" s="45">
        <f t="shared" si="230"/>
        <v>0</v>
      </c>
      <c r="E41" s="70">
        <f t="shared" si="230"/>
        <v>0</v>
      </c>
      <c r="F41" s="72">
        <f t="shared" si="230"/>
        <v>0</v>
      </c>
      <c r="G41" s="72">
        <f t="shared" si="230"/>
        <v>0</v>
      </c>
      <c r="H41" s="73">
        <f t="shared" si="230"/>
        <v>0</v>
      </c>
      <c r="I41" s="44">
        <f t="shared" si="230"/>
        <v>0</v>
      </c>
      <c r="J41" s="74">
        <f t="shared" si="230"/>
        <v>0</v>
      </c>
      <c r="K41" s="75">
        <f t="shared" si="230"/>
        <v>0</v>
      </c>
      <c r="L41" s="46">
        <f t="shared" si="230"/>
        <v>0</v>
      </c>
      <c r="M41" s="78">
        <f t="shared" si="230"/>
        <v>0</v>
      </c>
      <c r="N41" s="76">
        <f t="shared" si="230"/>
        <v>0</v>
      </c>
      <c r="O41" s="45">
        <f t="shared" si="230"/>
        <v>0</v>
      </c>
      <c r="P41" s="77">
        <f t="shared" si="230"/>
        <v>0</v>
      </c>
      <c r="Q41" s="75">
        <f t="shared" si="230"/>
        <v>0</v>
      </c>
      <c r="R41" s="46">
        <f t="shared" si="230"/>
        <v>0</v>
      </c>
      <c r="S41" s="78">
        <f t="shared" si="230"/>
        <v>0</v>
      </c>
      <c r="T41" s="76">
        <f t="shared" si="230"/>
        <v>0</v>
      </c>
      <c r="U41" s="45">
        <f t="shared" si="230"/>
        <v>0</v>
      </c>
      <c r="V41" s="77">
        <f t="shared" si="230"/>
        <v>0</v>
      </c>
      <c r="W41" s="75">
        <f t="shared" si="230"/>
        <v>0</v>
      </c>
      <c r="X41" s="46">
        <f t="shared" si="230"/>
        <v>0</v>
      </c>
      <c r="Y41" s="78">
        <f t="shared" si="230"/>
        <v>0</v>
      </c>
      <c r="Z41" s="76">
        <f t="shared" si="230"/>
        <v>0</v>
      </c>
      <c r="AA41" s="45">
        <f t="shared" si="230"/>
        <v>0</v>
      </c>
      <c r="AB41" s="77">
        <f t="shared" si="230"/>
        <v>0</v>
      </c>
      <c r="AC41" s="75">
        <f t="shared" si="230"/>
        <v>0</v>
      </c>
      <c r="AD41" s="46">
        <f t="shared" si="230"/>
        <v>0</v>
      </c>
      <c r="AE41" s="78">
        <f t="shared" si="230"/>
        <v>0</v>
      </c>
      <c r="AF41" s="76">
        <f t="shared" si="230"/>
        <v>0</v>
      </c>
      <c r="AG41" s="45">
        <f t="shared" si="230"/>
        <v>0</v>
      </c>
      <c r="AH41" s="77">
        <f t="shared" si="230"/>
        <v>0</v>
      </c>
      <c r="AI41" s="75">
        <f t="shared" si="230"/>
        <v>0</v>
      </c>
      <c r="AJ41" s="46">
        <f t="shared" si="230"/>
        <v>0</v>
      </c>
      <c r="AK41" s="78">
        <f t="shared" si="230"/>
        <v>0</v>
      </c>
      <c r="AL41" s="76">
        <f t="shared" si="230"/>
        <v>0</v>
      </c>
      <c r="AM41" s="45">
        <f t="shared" si="230"/>
        <v>0</v>
      </c>
      <c r="AN41" s="77">
        <f t="shared" si="230"/>
        <v>0</v>
      </c>
      <c r="AO41" s="75">
        <f t="shared" si="230"/>
        <v>0</v>
      </c>
      <c r="AP41" s="46">
        <f t="shared" si="230"/>
        <v>0</v>
      </c>
      <c r="AQ41" s="78">
        <f t="shared" si="230"/>
        <v>0</v>
      </c>
      <c r="AR41" s="76">
        <f t="shared" si="230"/>
        <v>0</v>
      </c>
      <c r="AS41" s="45">
        <f t="shared" si="230"/>
        <v>0</v>
      </c>
      <c r="AT41" s="77">
        <f t="shared" si="230"/>
        <v>0</v>
      </c>
      <c r="AU41" s="75">
        <f t="shared" si="230"/>
        <v>0</v>
      </c>
      <c r="AV41" s="46">
        <f t="shared" si="230"/>
        <v>0</v>
      </c>
      <c r="AW41" s="78">
        <f t="shared" si="230"/>
        <v>0</v>
      </c>
      <c r="AX41" s="76">
        <f t="shared" si="230"/>
        <v>0</v>
      </c>
      <c r="AY41" s="45">
        <f t="shared" si="230"/>
        <v>0</v>
      </c>
      <c r="AZ41" s="77">
        <f t="shared" si="230"/>
        <v>0</v>
      </c>
      <c r="BA41" s="75">
        <f t="shared" si="230"/>
        <v>0</v>
      </c>
      <c r="BB41" s="46">
        <f t="shared" si="230"/>
        <v>0</v>
      </c>
      <c r="BC41" s="78">
        <f t="shared" si="230"/>
        <v>0</v>
      </c>
      <c r="BD41" s="76">
        <f t="shared" si="230"/>
        <v>0</v>
      </c>
      <c r="BE41" s="45">
        <f t="shared" si="230"/>
        <v>0</v>
      </c>
      <c r="BF41" s="77">
        <f t="shared" si="230"/>
        <v>0</v>
      </c>
      <c r="BG41" s="75">
        <f t="shared" si="230"/>
        <v>0</v>
      </c>
      <c r="BH41" s="46">
        <f t="shared" si="230"/>
        <v>0</v>
      </c>
      <c r="BI41" s="78">
        <f t="shared" si="230"/>
        <v>0</v>
      </c>
      <c r="BJ41" s="76">
        <f t="shared" si="230"/>
        <v>0</v>
      </c>
      <c r="BK41" s="45">
        <f t="shared" si="230"/>
        <v>0</v>
      </c>
      <c r="BL41" s="77">
        <f t="shared" si="230"/>
        <v>0</v>
      </c>
      <c r="BM41" s="75">
        <f t="shared" si="230"/>
        <v>0</v>
      </c>
      <c r="BN41" s="46">
        <f t="shared" si="230"/>
        <v>0</v>
      </c>
      <c r="BO41" s="78">
        <f t="shared" si="230"/>
        <v>0</v>
      </c>
      <c r="BP41" s="76">
        <f t="shared" si="230"/>
        <v>0</v>
      </c>
      <c r="BQ41" s="45">
        <f t="shared" si="230"/>
        <v>0</v>
      </c>
      <c r="BR41" s="77">
        <f t="shared" si="230"/>
        <v>0</v>
      </c>
      <c r="BS41" s="75">
        <f t="shared" si="230"/>
        <v>0</v>
      </c>
      <c r="BT41" s="46">
        <f t="shared" si="230"/>
        <v>0</v>
      </c>
      <c r="BU41" s="78">
        <f t="shared" si="230"/>
        <v>0</v>
      </c>
      <c r="BV41" s="76">
        <f t="shared" si="230"/>
        <v>0</v>
      </c>
      <c r="BW41" s="45">
        <f t="shared" si="230"/>
        <v>0</v>
      </c>
      <c r="BX41" s="77">
        <f t="shared" si="230"/>
        <v>0</v>
      </c>
      <c r="BY41" s="75">
        <f t="shared" si="230"/>
        <v>0</v>
      </c>
      <c r="BZ41" s="46">
        <f t="shared" si="230"/>
        <v>0</v>
      </c>
      <c r="CA41" s="78">
        <f t="shared" si="230"/>
        <v>0</v>
      </c>
      <c r="CB41" s="76">
        <f t="shared" si="230"/>
        <v>0</v>
      </c>
      <c r="CC41" s="45">
        <f t="shared" si="230"/>
        <v>0</v>
      </c>
      <c r="CD41" s="77">
        <f t="shared" si="230"/>
        <v>0</v>
      </c>
      <c r="CE41" s="75">
        <f t="shared" si="230"/>
        <v>0</v>
      </c>
      <c r="CF41" s="46">
        <f t="shared" si="230"/>
        <v>0</v>
      </c>
      <c r="CG41" s="78">
        <f t="shared" si="230"/>
        <v>0</v>
      </c>
      <c r="CH41" s="76">
        <f t="shared" si="230"/>
        <v>0</v>
      </c>
      <c r="CI41" s="45">
        <f t="shared" si="230"/>
        <v>0</v>
      </c>
      <c r="CJ41" s="77">
        <f t="shared" si="230"/>
        <v>0</v>
      </c>
      <c r="CK41" s="75">
        <f t="shared" si="230"/>
        <v>0</v>
      </c>
      <c r="CL41" s="46">
        <f t="shared" si="230"/>
        <v>0</v>
      </c>
      <c r="CM41" s="78">
        <f t="shared" si="230"/>
        <v>0</v>
      </c>
      <c r="CN41" s="76">
        <f t="shared" si="230"/>
        <v>0</v>
      </c>
      <c r="CO41" s="45">
        <f t="shared" si="230"/>
        <v>0</v>
      </c>
      <c r="CP41" s="77">
        <f t="shared" si="230"/>
        <v>0</v>
      </c>
      <c r="CQ41" s="75">
        <f t="shared" si="230"/>
        <v>0</v>
      </c>
      <c r="CR41" s="46">
        <f t="shared" si="230"/>
        <v>0</v>
      </c>
      <c r="CS41" s="78">
        <f t="shared" si="230"/>
        <v>0</v>
      </c>
      <c r="CT41" s="76">
        <f t="shared" si="230"/>
        <v>0</v>
      </c>
      <c r="CU41" s="45">
        <f t="shared" si="230"/>
        <v>0</v>
      </c>
      <c r="CV41" s="77">
        <f t="shared" si="230"/>
        <v>0</v>
      </c>
      <c r="CW41" s="75">
        <f t="shared" si="230"/>
        <v>0</v>
      </c>
      <c r="CX41" s="46">
        <f t="shared" si="230"/>
        <v>0</v>
      </c>
      <c r="CY41" s="78">
        <f t="shared" si="230"/>
        <v>0</v>
      </c>
      <c r="CZ41" s="76">
        <f t="shared" si="230"/>
        <v>0</v>
      </c>
      <c r="DA41" s="45">
        <f t="shared" si="230"/>
        <v>0</v>
      </c>
      <c r="DB41" s="77">
        <f t="shared" si="230"/>
        <v>0</v>
      </c>
      <c r="DC41" s="75">
        <f t="shared" si="230"/>
        <v>0</v>
      </c>
      <c r="DD41" s="46">
        <f t="shared" si="230"/>
        <v>0</v>
      </c>
      <c r="DE41" s="78">
        <f t="shared" si="230"/>
        <v>0</v>
      </c>
      <c r="DF41" s="76">
        <f t="shared" si="230"/>
        <v>0</v>
      </c>
      <c r="DG41" s="45">
        <f t="shared" si="230"/>
        <v>0</v>
      </c>
      <c r="DH41" s="77">
        <f t="shared" si="230"/>
        <v>0</v>
      </c>
      <c r="DI41" s="75">
        <f t="shared" si="230"/>
        <v>0</v>
      </c>
      <c r="DJ41" s="46">
        <f t="shared" si="230"/>
        <v>0</v>
      </c>
      <c r="DK41" s="78">
        <f t="shared" si="230"/>
        <v>0</v>
      </c>
      <c r="DL41" s="76">
        <f t="shared" si="230"/>
        <v>0</v>
      </c>
      <c r="DM41" s="45">
        <f t="shared" si="230"/>
        <v>0</v>
      </c>
      <c r="DN41" s="77">
        <f t="shared" si="230"/>
        <v>0</v>
      </c>
      <c r="DO41" s="75">
        <f t="shared" si="230"/>
        <v>0</v>
      </c>
      <c r="DP41" s="46">
        <f t="shared" si="230"/>
        <v>0</v>
      </c>
      <c r="DQ41" s="78">
        <f t="shared" si="230"/>
        <v>0</v>
      </c>
      <c r="DR41" s="76">
        <f t="shared" si="230"/>
        <v>0</v>
      </c>
      <c r="DS41" s="45">
        <f t="shared" si="230"/>
        <v>0</v>
      </c>
      <c r="DT41" s="77">
        <f t="shared" si="230"/>
        <v>0</v>
      </c>
    </row>
    <row r="42" ht="15.75" customHeight="1">
      <c r="A42" s="12" t="str">
        <f>Menus!B2</f>
        <v/>
      </c>
      <c r="B42" s="32">
        <f t="shared" ref="B42:B104" si="231">IFERROR(SUMIF($H$2:DT$2,$H$2,H42:DT42),"")</f>
        <v>0</v>
      </c>
      <c r="C42" s="32">
        <f t="shared" ref="C42:C104" si="232">IFERROR(SUMIF($H$2:DT$2,$I$2,H42:DT42),"")</f>
        <v>0</v>
      </c>
      <c r="D42" s="32">
        <f t="shared" ref="D42:D104" si="233">B42-C42</f>
        <v>0</v>
      </c>
      <c r="E42" s="93" t="str">
        <f t="shared" ref="E42:E104" si="234">IFERROR(INDEX(INDIRECT($B$1),MATCH($A42,INDIRECT($C$1),0),MATCH(E$1, INDIRECT($D$1),0)),"")
</f>
        <v/>
      </c>
      <c r="F42" s="94" t="str">
        <f t="shared" ref="F42:F104" si="235">IFERROR(INDEX(INDIRECT($B$3),MATCH($A42,INDIRECT($C$3),0),MATCH(E$1, INDIRECT($D$3),0)),"")
</f>
        <v/>
      </c>
      <c r="G42" s="95">
        <f t="shared" ref="G42:G104" si="236">IFERROR(E42-F42,"")</f>
        <v>0</v>
      </c>
      <c r="H42" s="96" t="str">
        <f t="array" ref="H42">IFERROR(XLOOKUP($A42,'Gastos Admon'!$A$7:$A171,INDIRECT($B$9)),"")</f>
        <v/>
      </c>
      <c r="I42" s="97" t="str">
        <f t="array" ref="I42">IFERROR(XLOOKUP($A42,'Gastos Admon'!$A$7:$A171,INDIRECT($C$9)),"")</f>
        <v/>
      </c>
      <c r="J42" s="98">
        <f t="shared" ref="J42:J104" si="237">IFERROR(H42-I42,"")</f>
        <v>0</v>
      </c>
      <c r="K42" s="99" t="str">
        <f t="shared" ref="K42:K104" si="238">IFERROR(INDEX(INDIRECT($B$1),MATCH($A42,INDIRECT($C$1),0),MATCH(K$1, INDIRECT($D$1),0)),"")
</f>
        <v/>
      </c>
      <c r="L42" s="100" t="str">
        <f t="shared" ref="L42:L104" si="239">IFERROR(INDEX(INDIRECT($B$3),MATCH($A42,INDIRECT($C$3),0),MATCH(K$1, INDIRECT($D$3),0)),"")
</f>
        <v/>
      </c>
      <c r="M42" s="101">
        <f t="shared" ref="M42:M104" si="240">IFERROR(K42-L42,"")</f>
        <v>0</v>
      </c>
      <c r="N42" s="102" t="str">
        <f t="shared" ref="N42:N104" si="241">IFERROR(INDEX(INDIRECT($B$1),MATCH($A42,INDIRECT($C$1),0),MATCH(N$1, INDIRECT($D$1),0)),"")
</f>
        <v/>
      </c>
      <c r="O42" s="103" t="str">
        <f t="shared" ref="O42:O104" si="242">IFERROR(INDEX(INDIRECT($B$3),MATCH($A42,INDIRECT($C$3),0),MATCH(N$1, INDIRECT($D$3),0)),"")
</f>
        <v/>
      </c>
      <c r="P42" s="104">
        <f t="shared" ref="P42:P104" si="243">IFERROR(N42-O42,"")</f>
        <v>0</v>
      </c>
      <c r="Q42" s="99" t="str">
        <f t="shared" ref="Q42:Q104" si="244">IFERROR(INDEX(INDIRECT($B$1),MATCH($A42,INDIRECT($C$1),0),MATCH(Q$1, INDIRECT($D$1),0)),"")
</f>
        <v/>
      </c>
      <c r="R42" s="100" t="str">
        <f t="shared" ref="R42:R104" si="245">IFERROR(INDEX(INDIRECT($B$3),MATCH($A42,INDIRECT($C$3),0),MATCH(Q$1, INDIRECT($D$3),0)),"")
</f>
        <v/>
      </c>
      <c r="S42" s="101">
        <f t="shared" ref="S42:S104" si="246">IFERROR(Q42-R42,"")</f>
        <v>0</v>
      </c>
      <c r="T42" s="102" t="str">
        <f t="shared" ref="T42:T104" si="247">IFERROR(INDEX(INDIRECT($B$1),MATCH($A42,INDIRECT($C$1),0),MATCH(T$1, INDIRECT($D$1),0)),"")
</f>
        <v/>
      </c>
      <c r="U42" s="103" t="str">
        <f t="shared" ref="U42:U104" si="248">IFERROR(INDEX(INDIRECT($B$3),MATCH($A42,INDIRECT($C$3),0),MATCH(T$1, INDIRECT($D$3),0)),"")
</f>
        <v/>
      </c>
      <c r="V42" s="104">
        <f t="shared" ref="V42:V104" si="249">IFERROR(T42-U42,"")</f>
        <v>0</v>
      </c>
      <c r="W42" s="99" t="str">
        <f t="shared" ref="W42:W104" si="250">IFERROR(INDEX(INDIRECT($B$1),MATCH($A42,INDIRECT($C$1),0),MATCH(W$1, INDIRECT($D$1),0)),"")
</f>
        <v/>
      </c>
      <c r="X42" s="100" t="str">
        <f t="shared" ref="X42:X104" si="251">IFERROR(INDEX(INDIRECT($B$3),MATCH($A42,INDIRECT($C$3),0),MATCH(W$1, INDIRECT($D$3),0)),"")
</f>
        <v/>
      </c>
      <c r="Y42" s="101">
        <f t="shared" ref="Y42:Y104" si="252">IFERROR(W42-X42,"")</f>
        <v>0</v>
      </c>
      <c r="Z42" s="102" t="str">
        <f t="shared" ref="Z42:Z104" si="253">IFERROR(INDEX(INDIRECT($B$1),MATCH($A42,INDIRECT($C$1),0),MATCH(Z$1, INDIRECT($D$1),0)),"")
</f>
        <v/>
      </c>
      <c r="AA42" s="103" t="str">
        <f t="shared" ref="AA42:AA104" si="254">IFERROR(INDEX(INDIRECT($B$3),MATCH($A42,INDIRECT($C$3),0),MATCH(Z$1, INDIRECT($D$3),0)),"")
</f>
        <v/>
      </c>
      <c r="AB42" s="104">
        <f t="shared" ref="AB42:AB104" si="255">IFERROR(Z42-AA42,"")</f>
        <v>0</v>
      </c>
      <c r="AC42" s="99" t="str">
        <f t="shared" ref="AC42:AC104" si="256">IFERROR(INDEX(INDIRECT($B$1),MATCH($A42,INDIRECT($C$1),0),MATCH(AC$1, INDIRECT($D$1),0)),"")
</f>
        <v/>
      </c>
      <c r="AD42" s="100" t="str">
        <f t="shared" ref="AD42:AD104" si="257">IFERROR(INDEX(INDIRECT($B$3),MATCH($A42,INDIRECT($C$3),0),MATCH(AC$1, INDIRECT($D$3),0)),"")
</f>
        <v/>
      </c>
      <c r="AE42" s="101">
        <f t="shared" ref="AE42:AE104" si="258">IFERROR(AC42-AD42,"")</f>
        <v>0</v>
      </c>
      <c r="AF42" s="102" t="str">
        <f t="shared" ref="AF42:AF104" si="259">IFERROR(INDEX(INDIRECT($B$1),MATCH($A42,INDIRECT($C$1),0),MATCH(AF$1, INDIRECT($D$1),0)),"")
</f>
        <v/>
      </c>
      <c r="AG42" s="103" t="str">
        <f t="shared" ref="AG42:AG104" si="260">IFERROR(INDEX(INDIRECT($B$3),MATCH($A42,INDIRECT($C$3),0),MATCH(AF$1, INDIRECT($D$3),0)),"")
</f>
        <v/>
      </c>
      <c r="AH42" s="104">
        <f t="shared" ref="AH42:AH104" si="261">IFERROR(AF42-AG42,"")</f>
        <v>0</v>
      </c>
      <c r="AI42" s="99" t="str">
        <f t="shared" ref="AI42:AI104" si="262">IFERROR(INDEX(INDIRECT($B$1),MATCH($A42,INDIRECT($C$1),0),MATCH(AI$1, INDIRECT($D$1),0)),"")
</f>
        <v/>
      </c>
      <c r="AJ42" s="100" t="str">
        <f t="shared" ref="AJ42:AJ104" si="263">IFERROR(INDEX(INDIRECT($B$3),MATCH($A42,INDIRECT($C$3),0),MATCH(AI$1, INDIRECT($D$3),0)),"")
</f>
        <v/>
      </c>
      <c r="AK42" s="101">
        <f t="shared" ref="AK42:AK104" si="264">IFERROR(AI42-AJ42,"")</f>
        <v>0</v>
      </c>
      <c r="AL42" s="102" t="str">
        <f t="shared" ref="AL42:AL104" si="265">IFERROR(INDEX(INDIRECT($B$1),MATCH($A42,INDIRECT($C$1),0),MATCH(AL$1, INDIRECT($D$1),0)),"")
</f>
        <v/>
      </c>
      <c r="AM42" s="103" t="str">
        <f t="shared" ref="AM42:AM104" si="266">IFERROR(INDEX(INDIRECT($B$3),MATCH($A42,INDIRECT($C$3),0),MATCH(AL$1, INDIRECT($D$3),0)),"")
</f>
        <v/>
      </c>
      <c r="AN42" s="104">
        <f t="shared" ref="AN42:AN104" si="267">IFERROR(AL42-AM42,"")</f>
        <v>0</v>
      </c>
      <c r="AO42" s="99" t="str">
        <f t="shared" ref="AO42:AO104" si="268">IFERROR(INDEX(INDIRECT($B$1),MATCH($A42,INDIRECT($C$1),0),MATCH(AO$1, INDIRECT($D$1),0)),"")
</f>
        <v/>
      </c>
      <c r="AP42" s="100" t="str">
        <f t="shared" ref="AP42:AP104" si="269">IFERROR(INDEX(INDIRECT($B$3),MATCH($A42,INDIRECT($C$3),0),MATCH(AO$1, INDIRECT($D$3),0)),"")
</f>
        <v/>
      </c>
      <c r="AQ42" s="101">
        <f t="shared" ref="AQ42:AQ104" si="270">IFERROR(AO42-AP42,"")</f>
        <v>0</v>
      </c>
      <c r="AR42" s="102" t="str">
        <f t="shared" ref="AR42:AR104" si="271">IFERROR(INDEX(INDIRECT($B$1),MATCH($A42,INDIRECT($C$1),0),MATCH(AR$1, INDIRECT($D$1),0)),"")
</f>
        <v/>
      </c>
      <c r="AS42" s="103" t="str">
        <f t="shared" ref="AS42:AS104" si="272">IFERROR(INDEX(INDIRECT($B$3),MATCH($A42,INDIRECT($C$3),0),MATCH(AR$1, INDIRECT($D$3),0)),"")
</f>
        <v/>
      </c>
      <c r="AT42" s="104">
        <f t="shared" ref="AT42:AT104" si="273">IFERROR(AR42-AS42,"")</f>
        <v>0</v>
      </c>
      <c r="AU42" s="99" t="str">
        <f t="shared" ref="AU42:AU104" si="274">IFERROR(INDEX(INDIRECT($B$1),MATCH($A42,INDIRECT($C$1),0),MATCH(AU$1, INDIRECT($D$1),0)),"")
</f>
        <v/>
      </c>
      <c r="AV42" s="100" t="str">
        <f t="shared" ref="AV42:AV104" si="275">IFERROR(INDEX(INDIRECT($B$3),MATCH($A42,INDIRECT($C$3),0),MATCH(AU$1, INDIRECT($D$3),0)),"")
</f>
        <v/>
      </c>
      <c r="AW42" s="101">
        <f t="shared" ref="AW42:AW104" si="276">IFERROR(AU42-AV42,"")</f>
        <v>0</v>
      </c>
      <c r="AX42" s="102" t="str">
        <f t="shared" ref="AX42:AX104" si="277">IFERROR(INDEX(INDIRECT($B$1),MATCH($A42,INDIRECT($C$1),0),MATCH(AX$1, INDIRECT($D$1),0)),"")
</f>
        <v/>
      </c>
      <c r="AY42" s="103" t="str">
        <f t="shared" ref="AY42:AY104" si="278">IFERROR(INDEX(INDIRECT($B$3),MATCH($A42,INDIRECT($C$3),0),MATCH(AX$1, INDIRECT($D$3),0)),"")
</f>
        <v/>
      </c>
      <c r="AZ42" s="104">
        <f t="shared" ref="AZ42:AZ104" si="279">IFERROR(AX42-AY42,"")</f>
        <v>0</v>
      </c>
      <c r="BA42" s="99" t="str">
        <f t="shared" ref="BA42:BA104" si="280">IFERROR(INDEX(INDIRECT($B$1),MATCH($A42,INDIRECT($C$1),0),MATCH(BA$1, INDIRECT($D$1),0)),"")
</f>
        <v/>
      </c>
      <c r="BB42" s="100" t="str">
        <f t="shared" ref="BB42:BB104" si="281">IFERROR(INDEX(INDIRECT($B$3),MATCH($A42,INDIRECT($C$3),0),MATCH(BA$1, INDIRECT($D$3),0)),"")
</f>
        <v/>
      </c>
      <c r="BC42" s="101">
        <f t="shared" ref="BC42:BC104" si="282">IFERROR(BA42-BB42,"")</f>
        <v>0</v>
      </c>
      <c r="BD42" s="102" t="str">
        <f t="shared" ref="BD42:BD104" si="283">IFERROR(INDEX(INDIRECT($B$1),MATCH($A42,INDIRECT($C$1),0),MATCH(BD$1, INDIRECT($D$1),0)),"")
</f>
        <v/>
      </c>
      <c r="BE42" s="103" t="str">
        <f t="shared" ref="BE42:BE104" si="284">IFERROR(INDEX(INDIRECT($B$3),MATCH($A42,INDIRECT($C$3),0),MATCH(BD$1, INDIRECT($D$3),0)),"")
</f>
        <v/>
      </c>
      <c r="BF42" s="104">
        <f t="shared" ref="BF42:BF104" si="285">IFERROR(BD42-BE42,"")</f>
        <v>0</v>
      </c>
      <c r="BG42" s="99" t="str">
        <f t="shared" ref="BG42:BG104" si="286">IFERROR(INDEX(INDIRECT($B$1),MATCH($A42,INDIRECT($C$1),0),MATCH(BG$1, INDIRECT($D$1),0)),"")
</f>
        <v/>
      </c>
      <c r="BH42" s="100" t="str">
        <f t="shared" ref="BH42:BH104" si="287">IFERROR(INDEX(INDIRECT($B$3),MATCH($A42,INDIRECT($C$3),0),MATCH(BG$1, INDIRECT($D$3),0)),"")
</f>
        <v/>
      </c>
      <c r="BI42" s="101">
        <f t="shared" ref="BI42:BI104" si="288">IFERROR(BG42-BH42,"")</f>
        <v>0</v>
      </c>
      <c r="BJ42" s="102" t="str">
        <f t="shared" ref="BJ42:BJ104" si="289">IFERROR(INDEX(INDIRECT($B$1),MATCH($A42,INDIRECT($C$1),0),MATCH(BJ$1, INDIRECT($D$1),0)),"")
</f>
        <v/>
      </c>
      <c r="BK42" s="103" t="str">
        <f t="shared" ref="BK42:BK104" si="290">IFERROR(INDEX(INDIRECT($B$3),MATCH($A42,INDIRECT($C$3),0),MATCH(BJ$1, INDIRECT($D$3),0)),"")
</f>
        <v/>
      </c>
      <c r="BL42" s="104">
        <f t="shared" ref="BL42:BL104" si="291">IFERROR(BJ42-BK42,"")</f>
        <v>0</v>
      </c>
      <c r="BM42" s="99" t="str">
        <f t="shared" ref="BM42:BM104" si="292">IFERROR(INDEX(INDIRECT($B$1),MATCH($A42,INDIRECT($C$1),0),MATCH(BM$1, INDIRECT($D$1),0)),"")
</f>
        <v/>
      </c>
      <c r="BN42" s="100" t="str">
        <f t="shared" ref="BN42:BN104" si="293">IFERROR(INDEX(INDIRECT($B$3),MATCH($A42,INDIRECT($C$3),0),MATCH(BM$1, INDIRECT($D$3),0)),"")
</f>
        <v/>
      </c>
      <c r="BO42" s="101">
        <f t="shared" ref="BO42:BO104" si="294">IFERROR(BM42-BN42,"")</f>
        <v>0</v>
      </c>
      <c r="BP42" s="102" t="str">
        <f t="shared" ref="BP42:BP104" si="295">IFERROR(INDEX(INDIRECT($B$1),MATCH($A42,INDIRECT($C$1),0),MATCH(BP$1, INDIRECT($D$1),0)),"")
</f>
        <v/>
      </c>
      <c r="BQ42" s="103" t="str">
        <f t="shared" ref="BQ42:BQ104" si="296">IFERROR(INDEX(INDIRECT($B$3),MATCH($A42,INDIRECT($C$3),0),MATCH(BP$1, INDIRECT($D$3),0)),"")
</f>
        <v/>
      </c>
      <c r="BR42" s="104">
        <f t="shared" ref="BR42:BR104" si="297">IFERROR(BP42-BQ42,"")</f>
        <v>0</v>
      </c>
      <c r="BS42" s="99" t="str">
        <f t="shared" ref="BS42:BS104" si="298">IFERROR(INDEX(INDIRECT($B$1),MATCH($A42,INDIRECT($C$1),0),MATCH(BS$1, INDIRECT($D$1),0)),"")
</f>
        <v/>
      </c>
      <c r="BT42" s="100" t="str">
        <f t="shared" ref="BT42:BT104" si="299">IFERROR(INDEX(INDIRECT($B$3),MATCH($A42,INDIRECT($C$3),0),MATCH(BS$1, INDIRECT($D$3),0)),"")
</f>
        <v/>
      </c>
      <c r="BU42" s="101">
        <f t="shared" ref="BU42:BU104" si="300">IFERROR(BS42-BT42,"")</f>
        <v>0</v>
      </c>
      <c r="BV42" s="102" t="str">
        <f t="shared" ref="BV42:BV104" si="301">IFERROR(INDEX(INDIRECT($B$1),MATCH($A42,INDIRECT($C$1),0),MATCH(BV$1, INDIRECT($D$1),0)),"")
</f>
        <v/>
      </c>
      <c r="BW42" s="103" t="str">
        <f t="shared" ref="BW42:BW104" si="302">IFERROR(INDEX(INDIRECT($B$3),MATCH($A42,INDIRECT($C$3),0),MATCH(BV$1, INDIRECT($D$3),0)),"")
</f>
        <v/>
      </c>
      <c r="BX42" s="104">
        <f t="shared" ref="BX42:BX104" si="303">IFERROR(BV42-BW42,"")</f>
        <v>0</v>
      </c>
      <c r="BY42" s="99" t="str">
        <f t="shared" ref="BY42:BY104" si="304">IFERROR(INDEX(INDIRECT($B$1),MATCH($A42,INDIRECT($C$1),0),MATCH(BY$1, INDIRECT($D$1),0)),"")
</f>
        <v/>
      </c>
      <c r="BZ42" s="100" t="str">
        <f t="shared" ref="BZ42:BZ104" si="305">IFERROR(INDEX(INDIRECT($B$3),MATCH($A42,INDIRECT($C$3),0),MATCH(BY$1, INDIRECT($D$3),0)),"")
</f>
        <v/>
      </c>
      <c r="CA42" s="101">
        <f t="shared" ref="CA42:CA104" si="306">IFERROR(BY42-BZ42,"")</f>
        <v>0</v>
      </c>
      <c r="CB42" s="102" t="str">
        <f t="shared" ref="CB42:CB104" si="307">IFERROR(INDEX(INDIRECT($B$1),MATCH($A42,INDIRECT($C$1),0),MATCH(CB$1, INDIRECT($D$1),0)),"")
</f>
        <v/>
      </c>
      <c r="CC42" s="103" t="str">
        <f t="shared" ref="CC42:CC104" si="308">IFERROR(INDEX(INDIRECT($B$3),MATCH($A42,INDIRECT($C$3),0),MATCH(CB$1, INDIRECT($D$3),0)),"")
</f>
        <v/>
      </c>
      <c r="CD42" s="104">
        <f t="shared" ref="CD42:CD104" si="309">IFERROR(CB42-CC42,"")</f>
        <v>0</v>
      </c>
      <c r="CE42" s="99" t="str">
        <f t="shared" ref="CE42:CE104" si="310">IFERROR(INDEX(INDIRECT($B$1),MATCH($A42,INDIRECT($C$1),0),MATCH(CE$1, INDIRECT($D$1),0)),"")
</f>
        <v/>
      </c>
      <c r="CF42" s="100" t="str">
        <f t="shared" ref="CF42:CF104" si="311">IFERROR(INDEX(INDIRECT($B$3),MATCH($A42,INDIRECT($C$3),0),MATCH(CE$1, INDIRECT($D$3),0)),"")
</f>
        <v/>
      </c>
      <c r="CG42" s="101">
        <f t="shared" ref="CG42:CG104" si="312">IFERROR(CE42-CF42,"")</f>
        <v>0</v>
      </c>
      <c r="CH42" s="102" t="str">
        <f t="shared" ref="CH42:CH104" si="313">IFERROR(INDEX(INDIRECT($B$1),MATCH($A42,INDIRECT($C$1),0),MATCH(CH$1, INDIRECT($D$1),0)),"")
</f>
        <v/>
      </c>
      <c r="CI42" s="103" t="str">
        <f t="shared" ref="CI42:CI104" si="314">IFERROR(INDEX(INDIRECT($B$3),MATCH($A42,INDIRECT($C$3),0),MATCH(CH$1, INDIRECT($D$3),0)),"")
</f>
        <v/>
      </c>
      <c r="CJ42" s="104">
        <f t="shared" ref="CJ42:CJ104" si="315">IFERROR(CH42-CI42,"")</f>
        <v>0</v>
      </c>
      <c r="CK42" s="99" t="str">
        <f t="shared" ref="CK42:CK104" si="316">IFERROR(INDEX(INDIRECT($B$1),MATCH($A42,INDIRECT($C$1),0),MATCH(CK$1, INDIRECT($D$1),0)),"")
</f>
        <v/>
      </c>
      <c r="CL42" s="100" t="str">
        <f t="shared" ref="CL42:CL104" si="317">IFERROR(INDEX(INDIRECT($B$3),MATCH($A42,INDIRECT($C$3),0),MATCH(CK$1, INDIRECT($D$3),0)),"")
</f>
        <v/>
      </c>
      <c r="CM42" s="101">
        <f t="shared" ref="CM42:CM104" si="318">IFERROR(CK42-CL42,"")</f>
        <v>0</v>
      </c>
      <c r="CN42" s="102" t="str">
        <f t="shared" ref="CN42:CN104" si="319">IFERROR(INDEX(INDIRECT($B$1),MATCH($A42,INDIRECT($C$1),0),MATCH(CN$1, INDIRECT($D$1),0)),"")
</f>
        <v/>
      </c>
      <c r="CO42" s="103" t="str">
        <f t="shared" ref="CO42:CO104" si="320">IFERROR(INDEX(INDIRECT($B$3),MATCH($A42,INDIRECT($C$3),0),MATCH(CN$1, INDIRECT($D$3),0)),"")
</f>
        <v/>
      </c>
      <c r="CP42" s="104">
        <f t="shared" ref="CP42:CP104" si="321">IFERROR(CN42-CO42,"")</f>
        <v>0</v>
      </c>
      <c r="CQ42" s="99" t="str">
        <f t="shared" ref="CQ42:CQ104" si="322">IFERROR(INDEX(INDIRECT($B$1),MATCH($A42,INDIRECT($C$1),0),MATCH(CQ$1, INDIRECT($D$1),0)),"")
</f>
        <v/>
      </c>
      <c r="CR42" s="100" t="str">
        <f t="shared" ref="CR42:CR104" si="323">IFERROR(INDEX(INDIRECT($B$3),MATCH($A42,INDIRECT($C$3),0),MATCH(CQ$1, INDIRECT($D$3),0)),"")
</f>
        <v/>
      </c>
      <c r="CS42" s="101">
        <f t="shared" ref="CS42:CS104" si="324">IFERROR(CQ42-CR42,"")</f>
        <v>0</v>
      </c>
      <c r="CT42" s="102" t="str">
        <f t="shared" ref="CT42:CT104" si="325">IFERROR(INDEX(INDIRECT($B$1),MATCH($A42,INDIRECT($C$1),0),MATCH(CT$1, INDIRECT($D$1),0)),"")
</f>
        <v/>
      </c>
      <c r="CU42" s="103" t="str">
        <f t="shared" ref="CU42:CU104" si="326">IFERROR(INDEX(INDIRECT($B$3),MATCH($A42,INDIRECT($C$3),0),MATCH(CT$1, INDIRECT($D$3),0)),"")
</f>
        <v/>
      </c>
      <c r="CV42" s="104">
        <f t="shared" ref="CV42:CV104" si="327">IFERROR(CT42-CU42,"")</f>
        <v>0</v>
      </c>
      <c r="CW42" s="99" t="str">
        <f t="shared" ref="CW42:CW104" si="328">IFERROR(INDEX(INDIRECT($B$1),MATCH($A42,INDIRECT($C$1),0),MATCH(CW$1, INDIRECT($D$1),0)),"")
</f>
        <v/>
      </c>
      <c r="CX42" s="100" t="str">
        <f t="shared" ref="CX42:CX104" si="329">IFERROR(INDEX(INDIRECT($B$3),MATCH($A42,INDIRECT($C$3),0),MATCH(CW$1, INDIRECT($D$3),0)),"")
</f>
        <v/>
      </c>
      <c r="CY42" s="101">
        <f t="shared" ref="CY42:CY104" si="330">IFERROR(CW42-CX42,"")</f>
        <v>0</v>
      </c>
      <c r="CZ42" s="102" t="str">
        <f t="shared" ref="CZ42:CZ104" si="331">IFERROR(INDEX(INDIRECT($B$1),MATCH($A42,INDIRECT($C$1),0),MATCH(CZ$1, INDIRECT($D$1),0)),"")
</f>
        <v/>
      </c>
      <c r="DA42" s="103" t="str">
        <f t="shared" ref="DA42:DA104" si="332">IFERROR(INDEX(INDIRECT($B$3),MATCH($A42,INDIRECT($C$3),0),MATCH(CZ$1, INDIRECT($D$3),0)),"")
</f>
        <v/>
      </c>
      <c r="DB42" s="104">
        <f t="shared" ref="DB42:DB104" si="333">IFERROR(CZ42-DA42,"")</f>
        <v>0</v>
      </c>
      <c r="DC42" s="99" t="str">
        <f t="shared" ref="DC42:DC104" si="334">IFERROR(INDEX(INDIRECT($B$1),MATCH($A42,INDIRECT($C$1),0),MATCH(DC$1, INDIRECT($D$1),0)),"")
</f>
        <v/>
      </c>
      <c r="DD42" s="100" t="str">
        <f t="shared" ref="DD42:DD104" si="335">IFERROR(INDEX(INDIRECT($B$3),MATCH($A42,INDIRECT($C$3),0),MATCH(DC$1, INDIRECT($D$3),0)),"")
</f>
        <v/>
      </c>
      <c r="DE42" s="101">
        <f t="shared" ref="DE42:DE104" si="336">IFERROR(DC42-DD42,"")</f>
        <v>0</v>
      </c>
      <c r="DF42" s="102" t="str">
        <f t="shared" ref="DF42:DF104" si="337">IFERROR(INDEX(INDIRECT($B$1),MATCH($A42,INDIRECT($C$1),0),MATCH(DF$1, INDIRECT($D$1),0)),"")
</f>
        <v/>
      </c>
      <c r="DG42" s="103" t="str">
        <f t="shared" ref="DG42:DG104" si="338">IFERROR(INDEX(INDIRECT($B$3),MATCH($A42,INDIRECT($C$3),0),MATCH(DF$1, INDIRECT($D$3),0)),"")
</f>
        <v/>
      </c>
      <c r="DH42" s="104">
        <f t="shared" ref="DH42:DH104" si="339">IFERROR(DF42-DG42,"")</f>
        <v>0</v>
      </c>
      <c r="DI42" s="99" t="str">
        <f t="shared" ref="DI42:DI104" si="340">IFERROR(INDEX(INDIRECT($B$1),MATCH($A42,INDIRECT($C$1),0),MATCH(DI$1, INDIRECT($D$1),0)),"")
</f>
        <v/>
      </c>
      <c r="DJ42" s="100" t="str">
        <f t="shared" ref="DJ42:DJ104" si="341">IFERROR(INDEX(INDIRECT($B$3),MATCH($A42,INDIRECT($C$3),0),MATCH(DI$1, INDIRECT($D$3),0)),"")
</f>
        <v/>
      </c>
      <c r="DK42" s="101">
        <f t="shared" ref="DK42:DK104" si="342">IFERROR(DI42-DJ42,"")</f>
        <v>0</v>
      </c>
      <c r="DL42" s="102" t="str">
        <f t="shared" ref="DL42:DL104" si="343">IFERROR(INDEX(INDIRECT($B$1),MATCH($A42,INDIRECT($C$1),0),MATCH(DL$1, INDIRECT($D$1),0)),"")
</f>
        <v/>
      </c>
      <c r="DM42" s="103" t="str">
        <f t="shared" ref="DM42:DM104" si="344">IFERROR(INDEX(INDIRECT($B$3),MATCH($A42,INDIRECT($C$3),0),MATCH(DL$1, INDIRECT($D$3),0)),"")
</f>
        <v/>
      </c>
      <c r="DN42" s="104">
        <f t="shared" ref="DN42:DN104" si="345">IFERROR(DL42-DM42,"")</f>
        <v>0</v>
      </c>
      <c r="DO42" s="99" t="str">
        <f t="shared" ref="DO42:DO104" si="346">IFERROR(INDEX(INDIRECT($B$1),MATCH($A42,INDIRECT($C$1),0),MATCH(DO$1, INDIRECT($D$1),0)),"")
</f>
        <v/>
      </c>
      <c r="DP42" s="100" t="str">
        <f t="shared" ref="DP42:DP104" si="347">IFERROR(INDEX(INDIRECT($B$3),MATCH($A42,INDIRECT($C$3),0),MATCH(DO$1, INDIRECT($D$3),0)),"")
</f>
        <v/>
      </c>
      <c r="DQ42" s="101">
        <f t="shared" ref="DQ42:DQ104" si="348">IFERROR(DO42-DP42,"")</f>
        <v>0</v>
      </c>
      <c r="DR42" s="102" t="str">
        <f t="shared" ref="DR42:DR104" si="349">IFERROR(INDEX(INDIRECT($B$1),MATCH($A42,INDIRECT($C$1),0),MATCH(DR$1, INDIRECT($D$1),0)),"")
</f>
        <v/>
      </c>
      <c r="DS42" s="103" t="str">
        <f t="shared" ref="DS42:DS104" si="350">IFERROR(INDEX(INDIRECT($B$3),MATCH($A42,INDIRECT($C$3),0),MATCH(DR$1, INDIRECT($D$3),0)),"")
</f>
        <v/>
      </c>
      <c r="DT42" s="104">
        <f t="shared" ref="DT42:DT104" si="351">IFERROR(DR42-DS42,"")</f>
        <v>0</v>
      </c>
    </row>
    <row r="43" ht="15.75" customHeight="1">
      <c r="A43" s="12" t="str">
        <f>Menus!B3</f>
        <v/>
      </c>
      <c r="B43" s="32">
        <f t="shared" si="231"/>
        <v>0</v>
      </c>
      <c r="C43" s="32">
        <f t="shared" si="232"/>
        <v>0</v>
      </c>
      <c r="D43" s="32">
        <f t="shared" si="233"/>
        <v>0</v>
      </c>
      <c r="E43" s="93" t="str">
        <f t="shared" si="234"/>
        <v/>
      </c>
      <c r="F43" s="94" t="str">
        <f t="shared" si="235"/>
        <v/>
      </c>
      <c r="G43" s="95">
        <f t="shared" si="236"/>
        <v>0</v>
      </c>
      <c r="H43" s="96" t="str">
        <f t="array" ref="H43">IFERROR(XLOOKUP($A43,'Gastos Admon'!$A$7:$A171,INDIRECT($B$9)),"")</f>
        <v/>
      </c>
      <c r="I43" s="97" t="str">
        <f t="array" ref="I43">IFERROR(XLOOKUP($A43,'Gastos Admon'!$A$7:$A171,INDIRECT($C$9)),"")</f>
        <v/>
      </c>
      <c r="J43" s="98">
        <f t="shared" si="237"/>
        <v>0</v>
      </c>
      <c r="K43" s="99" t="str">
        <f t="shared" si="238"/>
        <v/>
      </c>
      <c r="L43" s="100" t="str">
        <f t="shared" si="239"/>
        <v/>
      </c>
      <c r="M43" s="101">
        <f t="shared" si="240"/>
        <v>0</v>
      </c>
      <c r="N43" s="102" t="str">
        <f t="shared" si="241"/>
        <v/>
      </c>
      <c r="O43" s="103" t="str">
        <f t="shared" si="242"/>
        <v/>
      </c>
      <c r="P43" s="104">
        <f t="shared" si="243"/>
        <v>0</v>
      </c>
      <c r="Q43" s="99" t="str">
        <f t="shared" si="244"/>
        <v/>
      </c>
      <c r="R43" s="100" t="str">
        <f t="shared" si="245"/>
        <v/>
      </c>
      <c r="S43" s="101">
        <f t="shared" si="246"/>
        <v>0</v>
      </c>
      <c r="T43" s="102" t="str">
        <f t="shared" si="247"/>
        <v/>
      </c>
      <c r="U43" s="103" t="str">
        <f t="shared" si="248"/>
        <v/>
      </c>
      <c r="V43" s="104">
        <f t="shared" si="249"/>
        <v>0</v>
      </c>
      <c r="W43" s="99" t="str">
        <f t="shared" si="250"/>
        <v/>
      </c>
      <c r="X43" s="100" t="str">
        <f t="shared" si="251"/>
        <v/>
      </c>
      <c r="Y43" s="101">
        <f t="shared" si="252"/>
        <v>0</v>
      </c>
      <c r="Z43" s="102" t="str">
        <f t="shared" si="253"/>
        <v/>
      </c>
      <c r="AA43" s="103" t="str">
        <f t="shared" si="254"/>
        <v/>
      </c>
      <c r="AB43" s="104">
        <f t="shared" si="255"/>
        <v>0</v>
      </c>
      <c r="AC43" s="99" t="str">
        <f t="shared" si="256"/>
        <v/>
      </c>
      <c r="AD43" s="100" t="str">
        <f t="shared" si="257"/>
        <v/>
      </c>
      <c r="AE43" s="101">
        <f t="shared" si="258"/>
        <v>0</v>
      </c>
      <c r="AF43" s="102" t="str">
        <f t="shared" si="259"/>
        <v/>
      </c>
      <c r="AG43" s="103" t="str">
        <f t="shared" si="260"/>
        <v/>
      </c>
      <c r="AH43" s="104">
        <f t="shared" si="261"/>
        <v>0</v>
      </c>
      <c r="AI43" s="99" t="str">
        <f t="shared" si="262"/>
        <v/>
      </c>
      <c r="AJ43" s="100" t="str">
        <f t="shared" si="263"/>
        <v/>
      </c>
      <c r="AK43" s="101">
        <f t="shared" si="264"/>
        <v>0</v>
      </c>
      <c r="AL43" s="102" t="str">
        <f t="shared" si="265"/>
        <v/>
      </c>
      <c r="AM43" s="103" t="str">
        <f t="shared" si="266"/>
        <v/>
      </c>
      <c r="AN43" s="104">
        <f t="shared" si="267"/>
        <v>0</v>
      </c>
      <c r="AO43" s="99" t="str">
        <f t="shared" si="268"/>
        <v/>
      </c>
      <c r="AP43" s="100" t="str">
        <f t="shared" si="269"/>
        <v/>
      </c>
      <c r="AQ43" s="101">
        <f t="shared" si="270"/>
        <v>0</v>
      </c>
      <c r="AR43" s="102" t="str">
        <f t="shared" si="271"/>
        <v/>
      </c>
      <c r="AS43" s="103" t="str">
        <f t="shared" si="272"/>
        <v/>
      </c>
      <c r="AT43" s="104">
        <f t="shared" si="273"/>
        <v>0</v>
      </c>
      <c r="AU43" s="99" t="str">
        <f t="shared" si="274"/>
        <v/>
      </c>
      <c r="AV43" s="100" t="str">
        <f t="shared" si="275"/>
        <v/>
      </c>
      <c r="AW43" s="101">
        <f t="shared" si="276"/>
        <v>0</v>
      </c>
      <c r="AX43" s="102" t="str">
        <f t="shared" si="277"/>
        <v/>
      </c>
      <c r="AY43" s="103" t="str">
        <f t="shared" si="278"/>
        <v/>
      </c>
      <c r="AZ43" s="104">
        <f t="shared" si="279"/>
        <v>0</v>
      </c>
      <c r="BA43" s="99" t="str">
        <f t="shared" si="280"/>
        <v/>
      </c>
      <c r="BB43" s="100" t="str">
        <f t="shared" si="281"/>
        <v/>
      </c>
      <c r="BC43" s="101">
        <f t="shared" si="282"/>
        <v>0</v>
      </c>
      <c r="BD43" s="102" t="str">
        <f t="shared" si="283"/>
        <v/>
      </c>
      <c r="BE43" s="103" t="str">
        <f t="shared" si="284"/>
        <v/>
      </c>
      <c r="BF43" s="104">
        <f t="shared" si="285"/>
        <v>0</v>
      </c>
      <c r="BG43" s="99" t="str">
        <f t="shared" si="286"/>
        <v/>
      </c>
      <c r="BH43" s="100" t="str">
        <f t="shared" si="287"/>
        <v/>
      </c>
      <c r="BI43" s="101">
        <f t="shared" si="288"/>
        <v>0</v>
      </c>
      <c r="BJ43" s="102" t="str">
        <f t="shared" si="289"/>
        <v/>
      </c>
      <c r="BK43" s="103" t="str">
        <f t="shared" si="290"/>
        <v/>
      </c>
      <c r="BL43" s="104">
        <f t="shared" si="291"/>
        <v>0</v>
      </c>
      <c r="BM43" s="99" t="str">
        <f t="shared" si="292"/>
        <v/>
      </c>
      <c r="BN43" s="100" t="str">
        <f t="shared" si="293"/>
        <v/>
      </c>
      <c r="BO43" s="101">
        <f t="shared" si="294"/>
        <v>0</v>
      </c>
      <c r="BP43" s="102" t="str">
        <f t="shared" si="295"/>
        <v/>
      </c>
      <c r="BQ43" s="103" t="str">
        <f t="shared" si="296"/>
        <v/>
      </c>
      <c r="BR43" s="104">
        <f t="shared" si="297"/>
        <v>0</v>
      </c>
      <c r="BS43" s="99" t="str">
        <f t="shared" si="298"/>
        <v/>
      </c>
      <c r="BT43" s="100" t="str">
        <f t="shared" si="299"/>
        <v/>
      </c>
      <c r="BU43" s="101">
        <f t="shared" si="300"/>
        <v>0</v>
      </c>
      <c r="BV43" s="102" t="str">
        <f t="shared" si="301"/>
        <v/>
      </c>
      <c r="BW43" s="103" t="str">
        <f t="shared" si="302"/>
        <v/>
      </c>
      <c r="BX43" s="104">
        <f t="shared" si="303"/>
        <v>0</v>
      </c>
      <c r="BY43" s="99" t="str">
        <f t="shared" si="304"/>
        <v/>
      </c>
      <c r="BZ43" s="100" t="str">
        <f t="shared" si="305"/>
        <v/>
      </c>
      <c r="CA43" s="101">
        <f t="shared" si="306"/>
        <v>0</v>
      </c>
      <c r="CB43" s="102" t="str">
        <f t="shared" si="307"/>
        <v/>
      </c>
      <c r="CC43" s="103" t="str">
        <f t="shared" si="308"/>
        <v/>
      </c>
      <c r="CD43" s="104">
        <f t="shared" si="309"/>
        <v>0</v>
      </c>
      <c r="CE43" s="99" t="str">
        <f t="shared" si="310"/>
        <v/>
      </c>
      <c r="CF43" s="100" t="str">
        <f t="shared" si="311"/>
        <v/>
      </c>
      <c r="CG43" s="101">
        <f t="shared" si="312"/>
        <v>0</v>
      </c>
      <c r="CH43" s="102" t="str">
        <f t="shared" si="313"/>
        <v/>
      </c>
      <c r="CI43" s="103" t="str">
        <f t="shared" si="314"/>
        <v/>
      </c>
      <c r="CJ43" s="104">
        <f t="shared" si="315"/>
        <v>0</v>
      </c>
      <c r="CK43" s="99" t="str">
        <f t="shared" si="316"/>
        <v/>
      </c>
      <c r="CL43" s="100" t="str">
        <f t="shared" si="317"/>
        <v/>
      </c>
      <c r="CM43" s="101">
        <f t="shared" si="318"/>
        <v>0</v>
      </c>
      <c r="CN43" s="102" t="str">
        <f t="shared" si="319"/>
        <v/>
      </c>
      <c r="CO43" s="103" t="str">
        <f t="shared" si="320"/>
        <v/>
      </c>
      <c r="CP43" s="104">
        <f t="shared" si="321"/>
        <v>0</v>
      </c>
      <c r="CQ43" s="99" t="str">
        <f t="shared" si="322"/>
        <v/>
      </c>
      <c r="CR43" s="100" t="str">
        <f t="shared" si="323"/>
        <v/>
      </c>
      <c r="CS43" s="101">
        <f t="shared" si="324"/>
        <v>0</v>
      </c>
      <c r="CT43" s="102" t="str">
        <f t="shared" si="325"/>
        <v/>
      </c>
      <c r="CU43" s="103" t="str">
        <f t="shared" si="326"/>
        <v/>
      </c>
      <c r="CV43" s="104">
        <f t="shared" si="327"/>
        <v>0</v>
      </c>
      <c r="CW43" s="99" t="str">
        <f t="shared" si="328"/>
        <v/>
      </c>
      <c r="CX43" s="100" t="str">
        <f t="shared" si="329"/>
        <v/>
      </c>
      <c r="CY43" s="101">
        <f t="shared" si="330"/>
        <v>0</v>
      </c>
      <c r="CZ43" s="102" t="str">
        <f t="shared" si="331"/>
        <v/>
      </c>
      <c r="DA43" s="103" t="str">
        <f t="shared" si="332"/>
        <v/>
      </c>
      <c r="DB43" s="104">
        <f t="shared" si="333"/>
        <v>0</v>
      </c>
      <c r="DC43" s="99" t="str">
        <f t="shared" si="334"/>
        <v/>
      </c>
      <c r="DD43" s="100" t="str">
        <f t="shared" si="335"/>
        <v/>
      </c>
      <c r="DE43" s="101">
        <f t="shared" si="336"/>
        <v>0</v>
      </c>
      <c r="DF43" s="102" t="str">
        <f t="shared" si="337"/>
        <v/>
      </c>
      <c r="DG43" s="103" t="str">
        <f t="shared" si="338"/>
        <v/>
      </c>
      <c r="DH43" s="104">
        <f t="shared" si="339"/>
        <v>0</v>
      </c>
      <c r="DI43" s="99" t="str">
        <f t="shared" si="340"/>
        <v/>
      </c>
      <c r="DJ43" s="100" t="str">
        <f t="shared" si="341"/>
        <v/>
      </c>
      <c r="DK43" s="101">
        <f t="shared" si="342"/>
        <v>0</v>
      </c>
      <c r="DL43" s="102" t="str">
        <f t="shared" si="343"/>
        <v/>
      </c>
      <c r="DM43" s="103" t="str">
        <f t="shared" si="344"/>
        <v/>
      </c>
      <c r="DN43" s="104">
        <f t="shared" si="345"/>
        <v>0</v>
      </c>
      <c r="DO43" s="99" t="str">
        <f t="shared" si="346"/>
        <v/>
      </c>
      <c r="DP43" s="100" t="str">
        <f t="shared" si="347"/>
        <v/>
      </c>
      <c r="DQ43" s="101">
        <f t="shared" si="348"/>
        <v>0</v>
      </c>
      <c r="DR43" s="102" t="str">
        <f t="shared" si="349"/>
        <v/>
      </c>
      <c r="DS43" s="103" t="str">
        <f t="shared" si="350"/>
        <v/>
      </c>
      <c r="DT43" s="104">
        <f t="shared" si="351"/>
        <v>0</v>
      </c>
    </row>
    <row r="44" ht="15.75" customHeight="1">
      <c r="A44" s="12" t="str">
        <f>Menus!B4</f>
        <v/>
      </c>
      <c r="B44" s="32">
        <f t="shared" si="231"/>
        <v>0</v>
      </c>
      <c r="C44" s="32">
        <f t="shared" si="232"/>
        <v>0</v>
      </c>
      <c r="D44" s="32">
        <f t="shared" si="233"/>
        <v>0</v>
      </c>
      <c r="E44" s="93" t="str">
        <f t="shared" si="234"/>
        <v/>
      </c>
      <c r="F44" s="94" t="str">
        <f t="shared" si="235"/>
        <v/>
      </c>
      <c r="G44" s="95">
        <f t="shared" si="236"/>
        <v>0</v>
      </c>
      <c r="H44" s="96" t="str">
        <f t="array" ref="H44">IFERROR(XLOOKUP($A44,'Gastos Admon'!$A$7:$A171,INDIRECT($B$9)),"")</f>
        <v/>
      </c>
      <c r="I44" s="97" t="str">
        <f t="array" ref="I44">IFERROR(XLOOKUP($A44,'Gastos Admon'!$A$7:$A171,INDIRECT($C$9)),"")</f>
        <v/>
      </c>
      <c r="J44" s="98">
        <f t="shared" si="237"/>
        <v>0</v>
      </c>
      <c r="K44" s="99" t="str">
        <f t="shared" si="238"/>
        <v/>
      </c>
      <c r="L44" s="100" t="str">
        <f t="shared" si="239"/>
        <v/>
      </c>
      <c r="M44" s="101">
        <f t="shared" si="240"/>
        <v>0</v>
      </c>
      <c r="N44" s="102" t="str">
        <f t="shared" si="241"/>
        <v/>
      </c>
      <c r="O44" s="103" t="str">
        <f t="shared" si="242"/>
        <v/>
      </c>
      <c r="P44" s="104">
        <f t="shared" si="243"/>
        <v>0</v>
      </c>
      <c r="Q44" s="99" t="str">
        <f t="shared" si="244"/>
        <v/>
      </c>
      <c r="R44" s="100" t="str">
        <f t="shared" si="245"/>
        <v/>
      </c>
      <c r="S44" s="101">
        <f t="shared" si="246"/>
        <v>0</v>
      </c>
      <c r="T44" s="102" t="str">
        <f t="shared" si="247"/>
        <v/>
      </c>
      <c r="U44" s="103" t="str">
        <f t="shared" si="248"/>
        <v/>
      </c>
      <c r="V44" s="104">
        <f t="shared" si="249"/>
        <v>0</v>
      </c>
      <c r="W44" s="99" t="str">
        <f t="shared" si="250"/>
        <v/>
      </c>
      <c r="X44" s="100" t="str">
        <f t="shared" si="251"/>
        <v/>
      </c>
      <c r="Y44" s="101">
        <f t="shared" si="252"/>
        <v>0</v>
      </c>
      <c r="Z44" s="102" t="str">
        <f t="shared" si="253"/>
        <v/>
      </c>
      <c r="AA44" s="103" t="str">
        <f t="shared" si="254"/>
        <v/>
      </c>
      <c r="AB44" s="104">
        <f t="shared" si="255"/>
        <v>0</v>
      </c>
      <c r="AC44" s="99" t="str">
        <f t="shared" si="256"/>
        <v/>
      </c>
      <c r="AD44" s="100" t="str">
        <f t="shared" si="257"/>
        <v/>
      </c>
      <c r="AE44" s="101">
        <f t="shared" si="258"/>
        <v>0</v>
      </c>
      <c r="AF44" s="102" t="str">
        <f t="shared" si="259"/>
        <v/>
      </c>
      <c r="AG44" s="103" t="str">
        <f t="shared" si="260"/>
        <v/>
      </c>
      <c r="AH44" s="104">
        <f t="shared" si="261"/>
        <v>0</v>
      </c>
      <c r="AI44" s="99" t="str">
        <f t="shared" si="262"/>
        <v/>
      </c>
      <c r="AJ44" s="100" t="str">
        <f t="shared" si="263"/>
        <v/>
      </c>
      <c r="AK44" s="101">
        <f t="shared" si="264"/>
        <v>0</v>
      </c>
      <c r="AL44" s="102" t="str">
        <f t="shared" si="265"/>
        <v/>
      </c>
      <c r="AM44" s="103" t="str">
        <f t="shared" si="266"/>
        <v/>
      </c>
      <c r="AN44" s="104">
        <f t="shared" si="267"/>
        <v>0</v>
      </c>
      <c r="AO44" s="99" t="str">
        <f t="shared" si="268"/>
        <v/>
      </c>
      <c r="AP44" s="100" t="str">
        <f t="shared" si="269"/>
        <v/>
      </c>
      <c r="AQ44" s="101">
        <f t="shared" si="270"/>
        <v>0</v>
      </c>
      <c r="AR44" s="102" t="str">
        <f t="shared" si="271"/>
        <v/>
      </c>
      <c r="AS44" s="103" t="str">
        <f t="shared" si="272"/>
        <v/>
      </c>
      <c r="AT44" s="104">
        <f t="shared" si="273"/>
        <v>0</v>
      </c>
      <c r="AU44" s="99" t="str">
        <f t="shared" si="274"/>
        <v/>
      </c>
      <c r="AV44" s="100" t="str">
        <f t="shared" si="275"/>
        <v/>
      </c>
      <c r="AW44" s="101">
        <f t="shared" si="276"/>
        <v>0</v>
      </c>
      <c r="AX44" s="102" t="str">
        <f t="shared" si="277"/>
        <v/>
      </c>
      <c r="AY44" s="103" t="str">
        <f t="shared" si="278"/>
        <v/>
      </c>
      <c r="AZ44" s="104">
        <f t="shared" si="279"/>
        <v>0</v>
      </c>
      <c r="BA44" s="99" t="str">
        <f t="shared" si="280"/>
        <v/>
      </c>
      <c r="BB44" s="100" t="str">
        <f t="shared" si="281"/>
        <v/>
      </c>
      <c r="BC44" s="101">
        <f t="shared" si="282"/>
        <v>0</v>
      </c>
      <c r="BD44" s="102" t="str">
        <f t="shared" si="283"/>
        <v/>
      </c>
      <c r="BE44" s="103" t="str">
        <f t="shared" si="284"/>
        <v/>
      </c>
      <c r="BF44" s="104">
        <f t="shared" si="285"/>
        <v>0</v>
      </c>
      <c r="BG44" s="99" t="str">
        <f t="shared" si="286"/>
        <v/>
      </c>
      <c r="BH44" s="100" t="str">
        <f t="shared" si="287"/>
        <v/>
      </c>
      <c r="BI44" s="101">
        <f t="shared" si="288"/>
        <v>0</v>
      </c>
      <c r="BJ44" s="102" t="str">
        <f t="shared" si="289"/>
        <v/>
      </c>
      <c r="BK44" s="103" t="str">
        <f t="shared" si="290"/>
        <v/>
      </c>
      <c r="BL44" s="104">
        <f t="shared" si="291"/>
        <v>0</v>
      </c>
      <c r="BM44" s="99" t="str">
        <f t="shared" si="292"/>
        <v/>
      </c>
      <c r="BN44" s="100" t="str">
        <f t="shared" si="293"/>
        <v/>
      </c>
      <c r="BO44" s="101">
        <f t="shared" si="294"/>
        <v>0</v>
      </c>
      <c r="BP44" s="102" t="str">
        <f t="shared" si="295"/>
        <v/>
      </c>
      <c r="BQ44" s="103" t="str">
        <f t="shared" si="296"/>
        <v/>
      </c>
      <c r="BR44" s="104">
        <f t="shared" si="297"/>
        <v>0</v>
      </c>
      <c r="BS44" s="99" t="str">
        <f t="shared" si="298"/>
        <v/>
      </c>
      <c r="BT44" s="100" t="str">
        <f t="shared" si="299"/>
        <v/>
      </c>
      <c r="BU44" s="101">
        <f t="shared" si="300"/>
        <v>0</v>
      </c>
      <c r="BV44" s="102" t="str">
        <f t="shared" si="301"/>
        <v/>
      </c>
      <c r="BW44" s="103" t="str">
        <f t="shared" si="302"/>
        <v/>
      </c>
      <c r="BX44" s="104">
        <f t="shared" si="303"/>
        <v>0</v>
      </c>
      <c r="BY44" s="99" t="str">
        <f t="shared" si="304"/>
        <v/>
      </c>
      <c r="BZ44" s="100" t="str">
        <f t="shared" si="305"/>
        <v/>
      </c>
      <c r="CA44" s="101">
        <f t="shared" si="306"/>
        <v>0</v>
      </c>
      <c r="CB44" s="102" t="str">
        <f t="shared" si="307"/>
        <v/>
      </c>
      <c r="CC44" s="103" t="str">
        <f t="shared" si="308"/>
        <v/>
      </c>
      <c r="CD44" s="104">
        <f t="shared" si="309"/>
        <v>0</v>
      </c>
      <c r="CE44" s="99" t="str">
        <f t="shared" si="310"/>
        <v/>
      </c>
      <c r="CF44" s="100" t="str">
        <f t="shared" si="311"/>
        <v/>
      </c>
      <c r="CG44" s="101">
        <f t="shared" si="312"/>
        <v>0</v>
      </c>
      <c r="CH44" s="102" t="str">
        <f t="shared" si="313"/>
        <v/>
      </c>
      <c r="CI44" s="103" t="str">
        <f t="shared" si="314"/>
        <v/>
      </c>
      <c r="CJ44" s="104">
        <f t="shared" si="315"/>
        <v>0</v>
      </c>
      <c r="CK44" s="99" t="str">
        <f t="shared" si="316"/>
        <v/>
      </c>
      <c r="CL44" s="100" t="str">
        <f t="shared" si="317"/>
        <v/>
      </c>
      <c r="CM44" s="101">
        <f t="shared" si="318"/>
        <v>0</v>
      </c>
      <c r="CN44" s="102" t="str">
        <f t="shared" si="319"/>
        <v/>
      </c>
      <c r="CO44" s="103" t="str">
        <f t="shared" si="320"/>
        <v/>
      </c>
      <c r="CP44" s="104">
        <f t="shared" si="321"/>
        <v>0</v>
      </c>
      <c r="CQ44" s="99" t="str">
        <f t="shared" si="322"/>
        <v/>
      </c>
      <c r="CR44" s="100" t="str">
        <f t="shared" si="323"/>
        <v/>
      </c>
      <c r="CS44" s="101">
        <f t="shared" si="324"/>
        <v>0</v>
      </c>
      <c r="CT44" s="102" t="str">
        <f t="shared" si="325"/>
        <v/>
      </c>
      <c r="CU44" s="103" t="str">
        <f t="shared" si="326"/>
        <v/>
      </c>
      <c r="CV44" s="104">
        <f t="shared" si="327"/>
        <v>0</v>
      </c>
      <c r="CW44" s="99" t="str">
        <f t="shared" si="328"/>
        <v/>
      </c>
      <c r="CX44" s="100" t="str">
        <f t="shared" si="329"/>
        <v/>
      </c>
      <c r="CY44" s="101">
        <f t="shared" si="330"/>
        <v>0</v>
      </c>
      <c r="CZ44" s="102" t="str">
        <f t="shared" si="331"/>
        <v/>
      </c>
      <c r="DA44" s="103" t="str">
        <f t="shared" si="332"/>
        <v/>
      </c>
      <c r="DB44" s="104">
        <f t="shared" si="333"/>
        <v>0</v>
      </c>
      <c r="DC44" s="99" t="str">
        <f t="shared" si="334"/>
        <v/>
      </c>
      <c r="DD44" s="100" t="str">
        <f t="shared" si="335"/>
        <v/>
      </c>
      <c r="DE44" s="101">
        <f t="shared" si="336"/>
        <v>0</v>
      </c>
      <c r="DF44" s="102" t="str">
        <f t="shared" si="337"/>
        <v/>
      </c>
      <c r="DG44" s="103" t="str">
        <f t="shared" si="338"/>
        <v/>
      </c>
      <c r="DH44" s="104">
        <f t="shared" si="339"/>
        <v>0</v>
      </c>
      <c r="DI44" s="99" t="str">
        <f t="shared" si="340"/>
        <v/>
      </c>
      <c r="DJ44" s="100" t="str">
        <f t="shared" si="341"/>
        <v/>
      </c>
      <c r="DK44" s="101">
        <f t="shared" si="342"/>
        <v>0</v>
      </c>
      <c r="DL44" s="102" t="str">
        <f t="shared" si="343"/>
        <v/>
      </c>
      <c r="DM44" s="103" t="str">
        <f t="shared" si="344"/>
        <v/>
      </c>
      <c r="DN44" s="104">
        <f t="shared" si="345"/>
        <v>0</v>
      </c>
      <c r="DO44" s="99" t="str">
        <f t="shared" si="346"/>
        <v/>
      </c>
      <c r="DP44" s="100" t="str">
        <f t="shared" si="347"/>
        <v/>
      </c>
      <c r="DQ44" s="101">
        <f t="shared" si="348"/>
        <v>0</v>
      </c>
      <c r="DR44" s="102" t="str">
        <f t="shared" si="349"/>
        <v/>
      </c>
      <c r="DS44" s="103" t="str">
        <f t="shared" si="350"/>
        <v/>
      </c>
      <c r="DT44" s="104">
        <f t="shared" si="351"/>
        <v>0</v>
      </c>
    </row>
    <row r="45" ht="15.75" customHeight="1">
      <c r="A45" s="12" t="str">
        <f>Menus!B5</f>
        <v/>
      </c>
      <c r="B45" s="32">
        <f t="shared" si="231"/>
        <v>0</v>
      </c>
      <c r="C45" s="32">
        <f t="shared" si="232"/>
        <v>0</v>
      </c>
      <c r="D45" s="32">
        <f t="shared" si="233"/>
        <v>0</v>
      </c>
      <c r="E45" s="93" t="str">
        <f t="shared" si="234"/>
        <v/>
      </c>
      <c r="F45" s="94" t="str">
        <f t="shared" si="235"/>
        <v/>
      </c>
      <c r="G45" s="95">
        <f t="shared" si="236"/>
        <v>0</v>
      </c>
      <c r="H45" s="96" t="str">
        <f t="array" ref="H45">IFERROR(XLOOKUP($A45,'Gastos Admon'!$A$7:$A171,INDIRECT($B$9)),"")</f>
        <v/>
      </c>
      <c r="I45" s="97" t="str">
        <f t="array" ref="I45">IFERROR(XLOOKUP($A45,'Gastos Admon'!$A$7:$A171,INDIRECT($C$9)),"")</f>
        <v/>
      </c>
      <c r="J45" s="98">
        <f t="shared" si="237"/>
        <v>0</v>
      </c>
      <c r="K45" s="99" t="str">
        <f t="shared" si="238"/>
        <v/>
      </c>
      <c r="L45" s="100" t="str">
        <f t="shared" si="239"/>
        <v/>
      </c>
      <c r="M45" s="101">
        <f t="shared" si="240"/>
        <v>0</v>
      </c>
      <c r="N45" s="102" t="str">
        <f t="shared" si="241"/>
        <v/>
      </c>
      <c r="O45" s="103" t="str">
        <f t="shared" si="242"/>
        <v/>
      </c>
      <c r="P45" s="104">
        <f t="shared" si="243"/>
        <v>0</v>
      </c>
      <c r="Q45" s="99" t="str">
        <f t="shared" si="244"/>
        <v/>
      </c>
      <c r="R45" s="100" t="str">
        <f t="shared" si="245"/>
        <v/>
      </c>
      <c r="S45" s="101">
        <f t="shared" si="246"/>
        <v>0</v>
      </c>
      <c r="T45" s="102" t="str">
        <f t="shared" si="247"/>
        <v/>
      </c>
      <c r="U45" s="103" t="str">
        <f t="shared" si="248"/>
        <v/>
      </c>
      <c r="V45" s="104">
        <f t="shared" si="249"/>
        <v>0</v>
      </c>
      <c r="W45" s="99" t="str">
        <f t="shared" si="250"/>
        <v/>
      </c>
      <c r="X45" s="100" t="str">
        <f t="shared" si="251"/>
        <v/>
      </c>
      <c r="Y45" s="101">
        <f t="shared" si="252"/>
        <v>0</v>
      </c>
      <c r="Z45" s="102" t="str">
        <f t="shared" si="253"/>
        <v/>
      </c>
      <c r="AA45" s="103" t="str">
        <f t="shared" si="254"/>
        <v/>
      </c>
      <c r="AB45" s="104">
        <f t="shared" si="255"/>
        <v>0</v>
      </c>
      <c r="AC45" s="99" t="str">
        <f t="shared" si="256"/>
        <v/>
      </c>
      <c r="AD45" s="100" t="str">
        <f t="shared" si="257"/>
        <v/>
      </c>
      <c r="AE45" s="101">
        <f t="shared" si="258"/>
        <v>0</v>
      </c>
      <c r="AF45" s="102" t="str">
        <f t="shared" si="259"/>
        <v/>
      </c>
      <c r="AG45" s="103" t="str">
        <f t="shared" si="260"/>
        <v/>
      </c>
      <c r="AH45" s="104">
        <f t="shared" si="261"/>
        <v>0</v>
      </c>
      <c r="AI45" s="99" t="str">
        <f t="shared" si="262"/>
        <v/>
      </c>
      <c r="AJ45" s="100" t="str">
        <f t="shared" si="263"/>
        <v/>
      </c>
      <c r="AK45" s="101">
        <f t="shared" si="264"/>
        <v>0</v>
      </c>
      <c r="AL45" s="102" t="str">
        <f t="shared" si="265"/>
        <v/>
      </c>
      <c r="AM45" s="103" t="str">
        <f t="shared" si="266"/>
        <v/>
      </c>
      <c r="AN45" s="104">
        <f t="shared" si="267"/>
        <v>0</v>
      </c>
      <c r="AO45" s="99" t="str">
        <f t="shared" si="268"/>
        <v/>
      </c>
      <c r="AP45" s="100" t="str">
        <f t="shared" si="269"/>
        <v/>
      </c>
      <c r="AQ45" s="101">
        <f t="shared" si="270"/>
        <v>0</v>
      </c>
      <c r="AR45" s="102" t="str">
        <f t="shared" si="271"/>
        <v/>
      </c>
      <c r="AS45" s="103" t="str">
        <f t="shared" si="272"/>
        <v/>
      </c>
      <c r="AT45" s="104">
        <f t="shared" si="273"/>
        <v>0</v>
      </c>
      <c r="AU45" s="99" t="str">
        <f t="shared" si="274"/>
        <v/>
      </c>
      <c r="AV45" s="100" t="str">
        <f t="shared" si="275"/>
        <v/>
      </c>
      <c r="AW45" s="101">
        <f t="shared" si="276"/>
        <v>0</v>
      </c>
      <c r="AX45" s="102" t="str">
        <f t="shared" si="277"/>
        <v/>
      </c>
      <c r="AY45" s="103" t="str">
        <f t="shared" si="278"/>
        <v/>
      </c>
      <c r="AZ45" s="104">
        <f t="shared" si="279"/>
        <v>0</v>
      </c>
      <c r="BA45" s="99" t="str">
        <f t="shared" si="280"/>
        <v/>
      </c>
      <c r="BB45" s="100" t="str">
        <f t="shared" si="281"/>
        <v/>
      </c>
      <c r="BC45" s="101">
        <f t="shared" si="282"/>
        <v>0</v>
      </c>
      <c r="BD45" s="102" t="str">
        <f t="shared" si="283"/>
        <v/>
      </c>
      <c r="BE45" s="103" t="str">
        <f t="shared" si="284"/>
        <v/>
      </c>
      <c r="BF45" s="104">
        <f t="shared" si="285"/>
        <v>0</v>
      </c>
      <c r="BG45" s="99" t="str">
        <f t="shared" si="286"/>
        <v/>
      </c>
      <c r="BH45" s="100" t="str">
        <f t="shared" si="287"/>
        <v/>
      </c>
      <c r="BI45" s="101">
        <f t="shared" si="288"/>
        <v>0</v>
      </c>
      <c r="BJ45" s="102" t="str">
        <f t="shared" si="289"/>
        <v/>
      </c>
      <c r="BK45" s="103" t="str">
        <f t="shared" si="290"/>
        <v/>
      </c>
      <c r="BL45" s="104">
        <f t="shared" si="291"/>
        <v>0</v>
      </c>
      <c r="BM45" s="99" t="str">
        <f t="shared" si="292"/>
        <v/>
      </c>
      <c r="BN45" s="100" t="str">
        <f t="shared" si="293"/>
        <v/>
      </c>
      <c r="BO45" s="101">
        <f t="shared" si="294"/>
        <v>0</v>
      </c>
      <c r="BP45" s="102" t="str">
        <f t="shared" si="295"/>
        <v/>
      </c>
      <c r="BQ45" s="103" t="str">
        <f t="shared" si="296"/>
        <v/>
      </c>
      <c r="BR45" s="104">
        <f t="shared" si="297"/>
        <v>0</v>
      </c>
      <c r="BS45" s="99" t="str">
        <f t="shared" si="298"/>
        <v/>
      </c>
      <c r="BT45" s="100" t="str">
        <f t="shared" si="299"/>
        <v/>
      </c>
      <c r="BU45" s="101">
        <f t="shared" si="300"/>
        <v>0</v>
      </c>
      <c r="BV45" s="102" t="str">
        <f t="shared" si="301"/>
        <v/>
      </c>
      <c r="BW45" s="103" t="str">
        <f t="shared" si="302"/>
        <v/>
      </c>
      <c r="BX45" s="104">
        <f t="shared" si="303"/>
        <v>0</v>
      </c>
      <c r="BY45" s="99" t="str">
        <f t="shared" si="304"/>
        <v/>
      </c>
      <c r="BZ45" s="100" t="str">
        <f t="shared" si="305"/>
        <v/>
      </c>
      <c r="CA45" s="101">
        <f t="shared" si="306"/>
        <v>0</v>
      </c>
      <c r="CB45" s="102" t="str">
        <f t="shared" si="307"/>
        <v/>
      </c>
      <c r="CC45" s="103" t="str">
        <f t="shared" si="308"/>
        <v/>
      </c>
      <c r="CD45" s="104">
        <f t="shared" si="309"/>
        <v>0</v>
      </c>
      <c r="CE45" s="99" t="str">
        <f t="shared" si="310"/>
        <v/>
      </c>
      <c r="CF45" s="100" t="str">
        <f t="shared" si="311"/>
        <v/>
      </c>
      <c r="CG45" s="101">
        <f t="shared" si="312"/>
        <v>0</v>
      </c>
      <c r="CH45" s="102" t="str">
        <f t="shared" si="313"/>
        <v/>
      </c>
      <c r="CI45" s="103" t="str">
        <f t="shared" si="314"/>
        <v/>
      </c>
      <c r="CJ45" s="104">
        <f t="shared" si="315"/>
        <v>0</v>
      </c>
      <c r="CK45" s="99" t="str">
        <f t="shared" si="316"/>
        <v/>
      </c>
      <c r="CL45" s="100" t="str">
        <f t="shared" si="317"/>
        <v/>
      </c>
      <c r="CM45" s="101">
        <f t="shared" si="318"/>
        <v>0</v>
      </c>
      <c r="CN45" s="102" t="str">
        <f t="shared" si="319"/>
        <v/>
      </c>
      <c r="CO45" s="103" t="str">
        <f t="shared" si="320"/>
        <v/>
      </c>
      <c r="CP45" s="104">
        <f t="shared" si="321"/>
        <v>0</v>
      </c>
      <c r="CQ45" s="99" t="str">
        <f t="shared" si="322"/>
        <v/>
      </c>
      <c r="CR45" s="100" t="str">
        <f t="shared" si="323"/>
        <v/>
      </c>
      <c r="CS45" s="101">
        <f t="shared" si="324"/>
        <v>0</v>
      </c>
      <c r="CT45" s="102" t="str">
        <f t="shared" si="325"/>
        <v/>
      </c>
      <c r="CU45" s="103" t="str">
        <f t="shared" si="326"/>
        <v/>
      </c>
      <c r="CV45" s="104">
        <f t="shared" si="327"/>
        <v>0</v>
      </c>
      <c r="CW45" s="99" t="str">
        <f t="shared" si="328"/>
        <v/>
      </c>
      <c r="CX45" s="100" t="str">
        <f t="shared" si="329"/>
        <v/>
      </c>
      <c r="CY45" s="101">
        <f t="shared" si="330"/>
        <v>0</v>
      </c>
      <c r="CZ45" s="102" t="str">
        <f t="shared" si="331"/>
        <v/>
      </c>
      <c r="DA45" s="103" t="str">
        <f t="shared" si="332"/>
        <v/>
      </c>
      <c r="DB45" s="104">
        <f t="shared" si="333"/>
        <v>0</v>
      </c>
      <c r="DC45" s="99" t="str">
        <f t="shared" si="334"/>
        <v/>
      </c>
      <c r="DD45" s="100" t="str">
        <f t="shared" si="335"/>
        <v/>
      </c>
      <c r="DE45" s="101">
        <f t="shared" si="336"/>
        <v>0</v>
      </c>
      <c r="DF45" s="102" t="str">
        <f t="shared" si="337"/>
        <v/>
      </c>
      <c r="DG45" s="103" t="str">
        <f t="shared" si="338"/>
        <v/>
      </c>
      <c r="DH45" s="104">
        <f t="shared" si="339"/>
        <v>0</v>
      </c>
      <c r="DI45" s="99" t="str">
        <f t="shared" si="340"/>
        <v/>
      </c>
      <c r="DJ45" s="100" t="str">
        <f t="shared" si="341"/>
        <v/>
      </c>
      <c r="DK45" s="101">
        <f t="shared" si="342"/>
        <v>0</v>
      </c>
      <c r="DL45" s="102" t="str">
        <f t="shared" si="343"/>
        <v/>
      </c>
      <c r="DM45" s="103" t="str">
        <f t="shared" si="344"/>
        <v/>
      </c>
      <c r="DN45" s="104">
        <f t="shared" si="345"/>
        <v>0</v>
      </c>
      <c r="DO45" s="99" t="str">
        <f t="shared" si="346"/>
        <v/>
      </c>
      <c r="DP45" s="100" t="str">
        <f t="shared" si="347"/>
        <v/>
      </c>
      <c r="DQ45" s="101">
        <f t="shared" si="348"/>
        <v>0</v>
      </c>
      <c r="DR45" s="102" t="str">
        <f t="shared" si="349"/>
        <v/>
      </c>
      <c r="DS45" s="103" t="str">
        <f t="shared" si="350"/>
        <v/>
      </c>
      <c r="DT45" s="104">
        <f t="shared" si="351"/>
        <v>0</v>
      </c>
    </row>
    <row r="46" ht="15.75" customHeight="1">
      <c r="A46" s="39" t="str">
        <f>Menus!B6</f>
        <v/>
      </c>
      <c r="B46" s="32">
        <f t="shared" si="231"/>
        <v>0</v>
      </c>
      <c r="C46" s="32">
        <f t="shared" si="232"/>
        <v>0</v>
      </c>
      <c r="D46" s="32">
        <f t="shared" si="233"/>
        <v>0</v>
      </c>
      <c r="E46" s="93" t="str">
        <f t="shared" si="234"/>
        <v/>
      </c>
      <c r="F46" s="94" t="str">
        <f t="shared" si="235"/>
        <v/>
      </c>
      <c r="G46" s="95">
        <f t="shared" si="236"/>
        <v>0</v>
      </c>
      <c r="H46" s="96" t="str">
        <f t="array" ref="H46">IFERROR(XLOOKUP($A46,'Gastos Admon'!$A$7:$A171,INDIRECT($B$9)),"")</f>
        <v/>
      </c>
      <c r="I46" s="97" t="str">
        <f t="array" ref="I46">IFERROR(XLOOKUP($A46,'Gastos Admon'!$A$7:$A171,INDIRECT($C$9)),"")</f>
        <v/>
      </c>
      <c r="J46" s="98">
        <f t="shared" si="237"/>
        <v>0</v>
      </c>
      <c r="K46" s="99" t="str">
        <f t="shared" si="238"/>
        <v/>
      </c>
      <c r="L46" s="100" t="str">
        <f t="shared" si="239"/>
        <v/>
      </c>
      <c r="M46" s="101">
        <f t="shared" si="240"/>
        <v>0</v>
      </c>
      <c r="N46" s="102" t="str">
        <f t="shared" si="241"/>
        <v/>
      </c>
      <c r="O46" s="103" t="str">
        <f t="shared" si="242"/>
        <v/>
      </c>
      <c r="P46" s="104">
        <f t="shared" si="243"/>
        <v>0</v>
      </c>
      <c r="Q46" s="99" t="str">
        <f t="shared" si="244"/>
        <v/>
      </c>
      <c r="R46" s="100" t="str">
        <f t="shared" si="245"/>
        <v/>
      </c>
      <c r="S46" s="101">
        <f t="shared" si="246"/>
        <v>0</v>
      </c>
      <c r="T46" s="102" t="str">
        <f t="shared" si="247"/>
        <v/>
      </c>
      <c r="U46" s="103" t="str">
        <f t="shared" si="248"/>
        <v/>
      </c>
      <c r="V46" s="104">
        <f t="shared" si="249"/>
        <v>0</v>
      </c>
      <c r="W46" s="99" t="str">
        <f t="shared" si="250"/>
        <v/>
      </c>
      <c r="X46" s="100" t="str">
        <f t="shared" si="251"/>
        <v/>
      </c>
      <c r="Y46" s="101">
        <f t="shared" si="252"/>
        <v>0</v>
      </c>
      <c r="Z46" s="102" t="str">
        <f t="shared" si="253"/>
        <v/>
      </c>
      <c r="AA46" s="103" t="str">
        <f t="shared" si="254"/>
        <v/>
      </c>
      <c r="AB46" s="104">
        <f t="shared" si="255"/>
        <v>0</v>
      </c>
      <c r="AC46" s="99" t="str">
        <f t="shared" si="256"/>
        <v/>
      </c>
      <c r="AD46" s="100" t="str">
        <f t="shared" si="257"/>
        <v/>
      </c>
      <c r="AE46" s="101">
        <f t="shared" si="258"/>
        <v>0</v>
      </c>
      <c r="AF46" s="102" t="str">
        <f t="shared" si="259"/>
        <v/>
      </c>
      <c r="AG46" s="103" t="str">
        <f t="shared" si="260"/>
        <v/>
      </c>
      <c r="AH46" s="104">
        <f t="shared" si="261"/>
        <v>0</v>
      </c>
      <c r="AI46" s="99" t="str">
        <f t="shared" si="262"/>
        <v/>
      </c>
      <c r="AJ46" s="100" t="str">
        <f t="shared" si="263"/>
        <v/>
      </c>
      <c r="AK46" s="101">
        <f t="shared" si="264"/>
        <v>0</v>
      </c>
      <c r="AL46" s="102" t="str">
        <f t="shared" si="265"/>
        <v/>
      </c>
      <c r="AM46" s="103" t="str">
        <f t="shared" si="266"/>
        <v/>
      </c>
      <c r="AN46" s="104">
        <f t="shared" si="267"/>
        <v>0</v>
      </c>
      <c r="AO46" s="99" t="str">
        <f t="shared" si="268"/>
        <v/>
      </c>
      <c r="AP46" s="100" t="str">
        <f t="shared" si="269"/>
        <v/>
      </c>
      <c r="AQ46" s="101">
        <f t="shared" si="270"/>
        <v>0</v>
      </c>
      <c r="AR46" s="102" t="str">
        <f t="shared" si="271"/>
        <v/>
      </c>
      <c r="AS46" s="103" t="str">
        <f t="shared" si="272"/>
        <v/>
      </c>
      <c r="AT46" s="104">
        <f t="shared" si="273"/>
        <v>0</v>
      </c>
      <c r="AU46" s="99" t="str">
        <f t="shared" si="274"/>
        <v/>
      </c>
      <c r="AV46" s="100" t="str">
        <f t="shared" si="275"/>
        <v/>
      </c>
      <c r="AW46" s="101">
        <f t="shared" si="276"/>
        <v>0</v>
      </c>
      <c r="AX46" s="102" t="str">
        <f t="shared" si="277"/>
        <v/>
      </c>
      <c r="AY46" s="103" t="str">
        <f t="shared" si="278"/>
        <v/>
      </c>
      <c r="AZ46" s="104">
        <f t="shared" si="279"/>
        <v>0</v>
      </c>
      <c r="BA46" s="99" t="str">
        <f t="shared" si="280"/>
        <v/>
      </c>
      <c r="BB46" s="100" t="str">
        <f t="shared" si="281"/>
        <v/>
      </c>
      <c r="BC46" s="101">
        <f t="shared" si="282"/>
        <v>0</v>
      </c>
      <c r="BD46" s="102" t="str">
        <f t="shared" si="283"/>
        <v/>
      </c>
      <c r="BE46" s="103" t="str">
        <f t="shared" si="284"/>
        <v/>
      </c>
      <c r="BF46" s="104">
        <f t="shared" si="285"/>
        <v>0</v>
      </c>
      <c r="BG46" s="99" t="str">
        <f t="shared" si="286"/>
        <v/>
      </c>
      <c r="BH46" s="100" t="str">
        <f t="shared" si="287"/>
        <v/>
      </c>
      <c r="BI46" s="101">
        <f t="shared" si="288"/>
        <v>0</v>
      </c>
      <c r="BJ46" s="102" t="str">
        <f t="shared" si="289"/>
        <v/>
      </c>
      <c r="BK46" s="103" t="str">
        <f t="shared" si="290"/>
        <v/>
      </c>
      <c r="BL46" s="104">
        <f t="shared" si="291"/>
        <v>0</v>
      </c>
      <c r="BM46" s="99" t="str">
        <f t="shared" si="292"/>
        <v/>
      </c>
      <c r="BN46" s="100" t="str">
        <f t="shared" si="293"/>
        <v/>
      </c>
      <c r="BO46" s="101">
        <f t="shared" si="294"/>
        <v>0</v>
      </c>
      <c r="BP46" s="102" t="str">
        <f t="shared" si="295"/>
        <v/>
      </c>
      <c r="BQ46" s="103" t="str">
        <f t="shared" si="296"/>
        <v/>
      </c>
      <c r="BR46" s="104">
        <f t="shared" si="297"/>
        <v>0</v>
      </c>
      <c r="BS46" s="99" t="str">
        <f t="shared" si="298"/>
        <v/>
      </c>
      <c r="BT46" s="100" t="str">
        <f t="shared" si="299"/>
        <v/>
      </c>
      <c r="BU46" s="101">
        <f t="shared" si="300"/>
        <v>0</v>
      </c>
      <c r="BV46" s="102" t="str">
        <f t="shared" si="301"/>
        <v/>
      </c>
      <c r="BW46" s="103" t="str">
        <f t="shared" si="302"/>
        <v/>
      </c>
      <c r="BX46" s="104">
        <f t="shared" si="303"/>
        <v>0</v>
      </c>
      <c r="BY46" s="99" t="str">
        <f t="shared" si="304"/>
        <v/>
      </c>
      <c r="BZ46" s="100" t="str">
        <f t="shared" si="305"/>
        <v/>
      </c>
      <c r="CA46" s="101">
        <f t="shared" si="306"/>
        <v>0</v>
      </c>
      <c r="CB46" s="102" t="str">
        <f t="shared" si="307"/>
        <v/>
      </c>
      <c r="CC46" s="103" t="str">
        <f t="shared" si="308"/>
        <v/>
      </c>
      <c r="CD46" s="104">
        <f t="shared" si="309"/>
        <v>0</v>
      </c>
      <c r="CE46" s="99" t="str">
        <f t="shared" si="310"/>
        <v/>
      </c>
      <c r="CF46" s="100" t="str">
        <f t="shared" si="311"/>
        <v/>
      </c>
      <c r="CG46" s="101">
        <f t="shared" si="312"/>
        <v>0</v>
      </c>
      <c r="CH46" s="102" t="str">
        <f t="shared" si="313"/>
        <v/>
      </c>
      <c r="CI46" s="103" t="str">
        <f t="shared" si="314"/>
        <v/>
      </c>
      <c r="CJ46" s="104">
        <f t="shared" si="315"/>
        <v>0</v>
      </c>
      <c r="CK46" s="99" t="str">
        <f t="shared" si="316"/>
        <v/>
      </c>
      <c r="CL46" s="100" t="str">
        <f t="shared" si="317"/>
        <v/>
      </c>
      <c r="CM46" s="101">
        <f t="shared" si="318"/>
        <v>0</v>
      </c>
      <c r="CN46" s="102" t="str">
        <f t="shared" si="319"/>
        <v/>
      </c>
      <c r="CO46" s="103" t="str">
        <f t="shared" si="320"/>
        <v/>
      </c>
      <c r="CP46" s="104">
        <f t="shared" si="321"/>
        <v>0</v>
      </c>
      <c r="CQ46" s="99" t="str">
        <f t="shared" si="322"/>
        <v/>
      </c>
      <c r="CR46" s="100" t="str">
        <f t="shared" si="323"/>
        <v/>
      </c>
      <c r="CS46" s="101">
        <f t="shared" si="324"/>
        <v>0</v>
      </c>
      <c r="CT46" s="102" t="str">
        <f t="shared" si="325"/>
        <v/>
      </c>
      <c r="CU46" s="103" t="str">
        <f t="shared" si="326"/>
        <v/>
      </c>
      <c r="CV46" s="104">
        <f t="shared" si="327"/>
        <v>0</v>
      </c>
      <c r="CW46" s="99" t="str">
        <f t="shared" si="328"/>
        <v/>
      </c>
      <c r="CX46" s="100" t="str">
        <f t="shared" si="329"/>
        <v/>
      </c>
      <c r="CY46" s="101">
        <f t="shared" si="330"/>
        <v>0</v>
      </c>
      <c r="CZ46" s="102" t="str">
        <f t="shared" si="331"/>
        <v/>
      </c>
      <c r="DA46" s="103" t="str">
        <f t="shared" si="332"/>
        <v/>
      </c>
      <c r="DB46" s="104">
        <f t="shared" si="333"/>
        <v>0</v>
      </c>
      <c r="DC46" s="99" t="str">
        <f t="shared" si="334"/>
        <v/>
      </c>
      <c r="DD46" s="100" t="str">
        <f t="shared" si="335"/>
        <v/>
      </c>
      <c r="DE46" s="101">
        <f t="shared" si="336"/>
        <v>0</v>
      </c>
      <c r="DF46" s="102" t="str">
        <f t="shared" si="337"/>
        <v/>
      </c>
      <c r="DG46" s="103" t="str">
        <f t="shared" si="338"/>
        <v/>
      </c>
      <c r="DH46" s="104">
        <f t="shared" si="339"/>
        <v>0</v>
      </c>
      <c r="DI46" s="99" t="str">
        <f t="shared" si="340"/>
        <v/>
      </c>
      <c r="DJ46" s="100" t="str">
        <f t="shared" si="341"/>
        <v/>
      </c>
      <c r="DK46" s="101">
        <f t="shared" si="342"/>
        <v>0</v>
      </c>
      <c r="DL46" s="102" t="str">
        <f t="shared" si="343"/>
        <v/>
      </c>
      <c r="DM46" s="103" t="str">
        <f t="shared" si="344"/>
        <v/>
      </c>
      <c r="DN46" s="104">
        <f t="shared" si="345"/>
        <v>0</v>
      </c>
      <c r="DO46" s="99" t="str">
        <f t="shared" si="346"/>
        <v/>
      </c>
      <c r="DP46" s="100" t="str">
        <f t="shared" si="347"/>
        <v/>
      </c>
      <c r="DQ46" s="101">
        <f t="shared" si="348"/>
        <v>0</v>
      </c>
      <c r="DR46" s="102" t="str">
        <f t="shared" si="349"/>
        <v/>
      </c>
      <c r="DS46" s="103" t="str">
        <f t="shared" si="350"/>
        <v/>
      </c>
      <c r="DT46" s="104">
        <f t="shared" si="351"/>
        <v>0</v>
      </c>
    </row>
    <row r="47" ht="15.75" customHeight="1">
      <c r="A47" s="12" t="str">
        <f>Menus!B7</f>
        <v/>
      </c>
      <c r="B47" s="32">
        <f t="shared" si="231"/>
        <v>0</v>
      </c>
      <c r="C47" s="32">
        <f t="shared" si="232"/>
        <v>0</v>
      </c>
      <c r="D47" s="32">
        <f t="shared" si="233"/>
        <v>0</v>
      </c>
      <c r="E47" s="93" t="str">
        <f t="shared" si="234"/>
        <v/>
      </c>
      <c r="F47" s="94" t="str">
        <f t="shared" si="235"/>
        <v/>
      </c>
      <c r="G47" s="95">
        <f t="shared" si="236"/>
        <v>0</v>
      </c>
      <c r="H47" s="96" t="str">
        <f t="array" ref="H47">IFERROR(XLOOKUP($A47,'Gastos Admon'!$A$7:$A171,INDIRECT($B$9)),"")</f>
        <v/>
      </c>
      <c r="I47" s="97" t="str">
        <f t="array" ref="I47">IFERROR(XLOOKUP($A47,'Gastos Admon'!$A$7:$A171,INDIRECT($C$9)),"")</f>
        <v/>
      </c>
      <c r="J47" s="98">
        <f t="shared" si="237"/>
        <v>0</v>
      </c>
      <c r="K47" s="99" t="str">
        <f t="shared" si="238"/>
        <v/>
      </c>
      <c r="L47" s="100" t="str">
        <f t="shared" si="239"/>
        <v/>
      </c>
      <c r="M47" s="101">
        <f t="shared" si="240"/>
        <v>0</v>
      </c>
      <c r="N47" s="102" t="str">
        <f t="shared" si="241"/>
        <v/>
      </c>
      <c r="O47" s="103" t="str">
        <f t="shared" si="242"/>
        <v/>
      </c>
      <c r="P47" s="104">
        <f t="shared" si="243"/>
        <v>0</v>
      </c>
      <c r="Q47" s="99" t="str">
        <f t="shared" si="244"/>
        <v/>
      </c>
      <c r="R47" s="100" t="str">
        <f t="shared" si="245"/>
        <v/>
      </c>
      <c r="S47" s="101">
        <f t="shared" si="246"/>
        <v>0</v>
      </c>
      <c r="T47" s="102" t="str">
        <f t="shared" si="247"/>
        <v/>
      </c>
      <c r="U47" s="103" t="str">
        <f t="shared" si="248"/>
        <v/>
      </c>
      <c r="V47" s="104">
        <f t="shared" si="249"/>
        <v>0</v>
      </c>
      <c r="W47" s="99" t="str">
        <f t="shared" si="250"/>
        <v/>
      </c>
      <c r="X47" s="100" t="str">
        <f t="shared" si="251"/>
        <v/>
      </c>
      <c r="Y47" s="101">
        <f t="shared" si="252"/>
        <v>0</v>
      </c>
      <c r="Z47" s="102" t="str">
        <f t="shared" si="253"/>
        <v/>
      </c>
      <c r="AA47" s="103" t="str">
        <f t="shared" si="254"/>
        <v/>
      </c>
      <c r="AB47" s="104">
        <f t="shared" si="255"/>
        <v>0</v>
      </c>
      <c r="AC47" s="99" t="str">
        <f t="shared" si="256"/>
        <v/>
      </c>
      <c r="AD47" s="100" t="str">
        <f t="shared" si="257"/>
        <v/>
      </c>
      <c r="AE47" s="101">
        <f t="shared" si="258"/>
        <v>0</v>
      </c>
      <c r="AF47" s="102" t="str">
        <f t="shared" si="259"/>
        <v/>
      </c>
      <c r="AG47" s="103" t="str">
        <f t="shared" si="260"/>
        <v/>
      </c>
      <c r="AH47" s="104">
        <f t="shared" si="261"/>
        <v>0</v>
      </c>
      <c r="AI47" s="99" t="str">
        <f t="shared" si="262"/>
        <v/>
      </c>
      <c r="AJ47" s="100" t="str">
        <f t="shared" si="263"/>
        <v/>
      </c>
      <c r="AK47" s="101">
        <f t="shared" si="264"/>
        <v>0</v>
      </c>
      <c r="AL47" s="102" t="str">
        <f t="shared" si="265"/>
        <v/>
      </c>
      <c r="AM47" s="103" t="str">
        <f t="shared" si="266"/>
        <v/>
      </c>
      <c r="AN47" s="104">
        <f t="shared" si="267"/>
        <v>0</v>
      </c>
      <c r="AO47" s="99" t="str">
        <f t="shared" si="268"/>
        <v/>
      </c>
      <c r="AP47" s="100" t="str">
        <f t="shared" si="269"/>
        <v/>
      </c>
      <c r="AQ47" s="101">
        <f t="shared" si="270"/>
        <v>0</v>
      </c>
      <c r="AR47" s="102" t="str">
        <f t="shared" si="271"/>
        <v/>
      </c>
      <c r="AS47" s="103" t="str">
        <f t="shared" si="272"/>
        <v/>
      </c>
      <c r="AT47" s="104">
        <f t="shared" si="273"/>
        <v>0</v>
      </c>
      <c r="AU47" s="99" t="str">
        <f t="shared" si="274"/>
        <v/>
      </c>
      <c r="AV47" s="100" t="str">
        <f t="shared" si="275"/>
        <v/>
      </c>
      <c r="AW47" s="101">
        <f t="shared" si="276"/>
        <v>0</v>
      </c>
      <c r="AX47" s="102" t="str">
        <f t="shared" si="277"/>
        <v/>
      </c>
      <c r="AY47" s="103" t="str">
        <f t="shared" si="278"/>
        <v/>
      </c>
      <c r="AZ47" s="104">
        <f t="shared" si="279"/>
        <v>0</v>
      </c>
      <c r="BA47" s="99" t="str">
        <f t="shared" si="280"/>
        <v/>
      </c>
      <c r="BB47" s="100" t="str">
        <f t="shared" si="281"/>
        <v/>
      </c>
      <c r="BC47" s="101">
        <f t="shared" si="282"/>
        <v>0</v>
      </c>
      <c r="BD47" s="102" t="str">
        <f t="shared" si="283"/>
        <v/>
      </c>
      <c r="BE47" s="103" t="str">
        <f t="shared" si="284"/>
        <v/>
      </c>
      <c r="BF47" s="104">
        <f t="shared" si="285"/>
        <v>0</v>
      </c>
      <c r="BG47" s="99" t="str">
        <f t="shared" si="286"/>
        <v/>
      </c>
      <c r="BH47" s="100" t="str">
        <f t="shared" si="287"/>
        <v/>
      </c>
      <c r="BI47" s="101">
        <f t="shared" si="288"/>
        <v>0</v>
      </c>
      <c r="BJ47" s="102" t="str">
        <f t="shared" si="289"/>
        <v/>
      </c>
      <c r="BK47" s="103" t="str">
        <f t="shared" si="290"/>
        <v/>
      </c>
      <c r="BL47" s="104">
        <f t="shared" si="291"/>
        <v>0</v>
      </c>
      <c r="BM47" s="99" t="str">
        <f t="shared" si="292"/>
        <v/>
      </c>
      <c r="BN47" s="100" t="str">
        <f t="shared" si="293"/>
        <v/>
      </c>
      <c r="BO47" s="101">
        <f t="shared" si="294"/>
        <v>0</v>
      </c>
      <c r="BP47" s="102" t="str">
        <f t="shared" si="295"/>
        <v/>
      </c>
      <c r="BQ47" s="103" t="str">
        <f t="shared" si="296"/>
        <v/>
      </c>
      <c r="BR47" s="104">
        <f t="shared" si="297"/>
        <v>0</v>
      </c>
      <c r="BS47" s="99" t="str">
        <f t="shared" si="298"/>
        <v/>
      </c>
      <c r="BT47" s="100" t="str">
        <f t="shared" si="299"/>
        <v/>
      </c>
      <c r="BU47" s="101">
        <f t="shared" si="300"/>
        <v>0</v>
      </c>
      <c r="BV47" s="102" t="str">
        <f t="shared" si="301"/>
        <v/>
      </c>
      <c r="BW47" s="103" t="str">
        <f t="shared" si="302"/>
        <v/>
      </c>
      <c r="BX47" s="104">
        <f t="shared" si="303"/>
        <v>0</v>
      </c>
      <c r="BY47" s="99" t="str">
        <f t="shared" si="304"/>
        <v/>
      </c>
      <c r="BZ47" s="100" t="str">
        <f t="shared" si="305"/>
        <v/>
      </c>
      <c r="CA47" s="101">
        <f t="shared" si="306"/>
        <v>0</v>
      </c>
      <c r="CB47" s="102" t="str">
        <f t="shared" si="307"/>
        <v/>
      </c>
      <c r="CC47" s="103" t="str">
        <f t="shared" si="308"/>
        <v/>
      </c>
      <c r="CD47" s="104">
        <f t="shared" si="309"/>
        <v>0</v>
      </c>
      <c r="CE47" s="99" t="str">
        <f t="shared" si="310"/>
        <v/>
      </c>
      <c r="CF47" s="100" t="str">
        <f t="shared" si="311"/>
        <v/>
      </c>
      <c r="CG47" s="101">
        <f t="shared" si="312"/>
        <v>0</v>
      </c>
      <c r="CH47" s="102" t="str">
        <f t="shared" si="313"/>
        <v/>
      </c>
      <c r="CI47" s="103" t="str">
        <f t="shared" si="314"/>
        <v/>
      </c>
      <c r="CJ47" s="104">
        <f t="shared" si="315"/>
        <v>0</v>
      </c>
      <c r="CK47" s="99" t="str">
        <f t="shared" si="316"/>
        <v/>
      </c>
      <c r="CL47" s="100" t="str">
        <f t="shared" si="317"/>
        <v/>
      </c>
      <c r="CM47" s="101">
        <f t="shared" si="318"/>
        <v>0</v>
      </c>
      <c r="CN47" s="102" t="str">
        <f t="shared" si="319"/>
        <v/>
      </c>
      <c r="CO47" s="103" t="str">
        <f t="shared" si="320"/>
        <v/>
      </c>
      <c r="CP47" s="104">
        <f t="shared" si="321"/>
        <v>0</v>
      </c>
      <c r="CQ47" s="99" t="str">
        <f t="shared" si="322"/>
        <v/>
      </c>
      <c r="CR47" s="100" t="str">
        <f t="shared" si="323"/>
        <v/>
      </c>
      <c r="CS47" s="101">
        <f t="shared" si="324"/>
        <v>0</v>
      </c>
      <c r="CT47" s="102" t="str">
        <f t="shared" si="325"/>
        <v/>
      </c>
      <c r="CU47" s="103" t="str">
        <f t="shared" si="326"/>
        <v/>
      </c>
      <c r="CV47" s="104">
        <f t="shared" si="327"/>
        <v>0</v>
      </c>
      <c r="CW47" s="99" t="str">
        <f t="shared" si="328"/>
        <v/>
      </c>
      <c r="CX47" s="100" t="str">
        <f t="shared" si="329"/>
        <v/>
      </c>
      <c r="CY47" s="101">
        <f t="shared" si="330"/>
        <v>0</v>
      </c>
      <c r="CZ47" s="102" t="str">
        <f t="shared" si="331"/>
        <v/>
      </c>
      <c r="DA47" s="103" t="str">
        <f t="shared" si="332"/>
        <v/>
      </c>
      <c r="DB47" s="104">
        <f t="shared" si="333"/>
        <v>0</v>
      </c>
      <c r="DC47" s="99" t="str">
        <f t="shared" si="334"/>
        <v/>
      </c>
      <c r="DD47" s="100" t="str">
        <f t="shared" si="335"/>
        <v/>
      </c>
      <c r="DE47" s="101">
        <f t="shared" si="336"/>
        <v>0</v>
      </c>
      <c r="DF47" s="102" t="str">
        <f t="shared" si="337"/>
        <v/>
      </c>
      <c r="DG47" s="103" t="str">
        <f t="shared" si="338"/>
        <v/>
      </c>
      <c r="DH47" s="104">
        <f t="shared" si="339"/>
        <v>0</v>
      </c>
      <c r="DI47" s="99" t="str">
        <f t="shared" si="340"/>
        <v/>
      </c>
      <c r="DJ47" s="100" t="str">
        <f t="shared" si="341"/>
        <v/>
      </c>
      <c r="DK47" s="101">
        <f t="shared" si="342"/>
        <v>0</v>
      </c>
      <c r="DL47" s="102" t="str">
        <f t="shared" si="343"/>
        <v/>
      </c>
      <c r="DM47" s="103" t="str">
        <f t="shared" si="344"/>
        <v/>
      </c>
      <c r="DN47" s="104">
        <f t="shared" si="345"/>
        <v>0</v>
      </c>
      <c r="DO47" s="99" t="str">
        <f t="shared" si="346"/>
        <v/>
      </c>
      <c r="DP47" s="100" t="str">
        <f t="shared" si="347"/>
        <v/>
      </c>
      <c r="DQ47" s="101">
        <f t="shared" si="348"/>
        <v>0</v>
      </c>
      <c r="DR47" s="102" t="str">
        <f t="shared" si="349"/>
        <v/>
      </c>
      <c r="DS47" s="103" t="str">
        <f t="shared" si="350"/>
        <v/>
      </c>
      <c r="DT47" s="104">
        <f t="shared" si="351"/>
        <v>0</v>
      </c>
    </row>
    <row r="48" ht="15.75" customHeight="1">
      <c r="A48" s="12" t="str">
        <f>Menus!B8</f>
        <v/>
      </c>
      <c r="B48" s="32">
        <f t="shared" si="231"/>
        <v>0</v>
      </c>
      <c r="C48" s="32">
        <f t="shared" si="232"/>
        <v>0</v>
      </c>
      <c r="D48" s="32">
        <f t="shared" si="233"/>
        <v>0</v>
      </c>
      <c r="E48" s="93" t="str">
        <f t="shared" si="234"/>
        <v/>
      </c>
      <c r="F48" s="94" t="str">
        <f t="shared" si="235"/>
        <v/>
      </c>
      <c r="G48" s="95">
        <f t="shared" si="236"/>
        <v>0</v>
      </c>
      <c r="H48" s="96" t="str">
        <f t="array" ref="H48">IFERROR(XLOOKUP($A48,'Gastos Admon'!$A$7:$A171,INDIRECT($B$9)),"")</f>
        <v/>
      </c>
      <c r="I48" s="97" t="str">
        <f t="array" ref="I48">IFERROR(XLOOKUP($A48,'Gastos Admon'!$A$7:$A171,INDIRECT($C$9)),"")</f>
        <v/>
      </c>
      <c r="J48" s="98">
        <f t="shared" si="237"/>
        <v>0</v>
      </c>
      <c r="K48" s="99" t="str">
        <f t="shared" si="238"/>
        <v/>
      </c>
      <c r="L48" s="100" t="str">
        <f t="shared" si="239"/>
        <v/>
      </c>
      <c r="M48" s="101">
        <f t="shared" si="240"/>
        <v>0</v>
      </c>
      <c r="N48" s="102" t="str">
        <f t="shared" si="241"/>
        <v/>
      </c>
      <c r="O48" s="103" t="str">
        <f t="shared" si="242"/>
        <v/>
      </c>
      <c r="P48" s="104">
        <f t="shared" si="243"/>
        <v>0</v>
      </c>
      <c r="Q48" s="99" t="str">
        <f t="shared" si="244"/>
        <v/>
      </c>
      <c r="R48" s="100" t="str">
        <f t="shared" si="245"/>
        <v/>
      </c>
      <c r="S48" s="101">
        <f t="shared" si="246"/>
        <v>0</v>
      </c>
      <c r="T48" s="102" t="str">
        <f t="shared" si="247"/>
        <v/>
      </c>
      <c r="U48" s="103" t="str">
        <f t="shared" si="248"/>
        <v/>
      </c>
      <c r="V48" s="104">
        <f t="shared" si="249"/>
        <v>0</v>
      </c>
      <c r="W48" s="99" t="str">
        <f t="shared" si="250"/>
        <v/>
      </c>
      <c r="X48" s="100" t="str">
        <f t="shared" si="251"/>
        <v/>
      </c>
      <c r="Y48" s="101">
        <f t="shared" si="252"/>
        <v>0</v>
      </c>
      <c r="Z48" s="102" t="str">
        <f t="shared" si="253"/>
        <v/>
      </c>
      <c r="AA48" s="103" t="str">
        <f t="shared" si="254"/>
        <v/>
      </c>
      <c r="AB48" s="104">
        <f t="shared" si="255"/>
        <v>0</v>
      </c>
      <c r="AC48" s="99" t="str">
        <f t="shared" si="256"/>
        <v/>
      </c>
      <c r="AD48" s="100" t="str">
        <f t="shared" si="257"/>
        <v/>
      </c>
      <c r="AE48" s="101">
        <f t="shared" si="258"/>
        <v>0</v>
      </c>
      <c r="AF48" s="102" t="str">
        <f t="shared" si="259"/>
        <v/>
      </c>
      <c r="AG48" s="103" t="str">
        <f t="shared" si="260"/>
        <v/>
      </c>
      <c r="AH48" s="104">
        <f t="shared" si="261"/>
        <v>0</v>
      </c>
      <c r="AI48" s="99" t="str">
        <f t="shared" si="262"/>
        <v/>
      </c>
      <c r="AJ48" s="100" t="str">
        <f t="shared" si="263"/>
        <v/>
      </c>
      <c r="AK48" s="101">
        <f t="shared" si="264"/>
        <v>0</v>
      </c>
      <c r="AL48" s="102" t="str">
        <f t="shared" si="265"/>
        <v/>
      </c>
      <c r="AM48" s="103" t="str">
        <f t="shared" si="266"/>
        <v/>
      </c>
      <c r="AN48" s="104">
        <f t="shared" si="267"/>
        <v>0</v>
      </c>
      <c r="AO48" s="99" t="str">
        <f t="shared" si="268"/>
        <v/>
      </c>
      <c r="AP48" s="100" t="str">
        <f t="shared" si="269"/>
        <v/>
      </c>
      <c r="AQ48" s="101">
        <f t="shared" si="270"/>
        <v>0</v>
      </c>
      <c r="AR48" s="102" t="str">
        <f t="shared" si="271"/>
        <v/>
      </c>
      <c r="AS48" s="103" t="str">
        <f t="shared" si="272"/>
        <v/>
      </c>
      <c r="AT48" s="104">
        <f t="shared" si="273"/>
        <v>0</v>
      </c>
      <c r="AU48" s="99" t="str">
        <f t="shared" si="274"/>
        <v/>
      </c>
      <c r="AV48" s="100" t="str">
        <f t="shared" si="275"/>
        <v/>
      </c>
      <c r="AW48" s="101">
        <f t="shared" si="276"/>
        <v>0</v>
      </c>
      <c r="AX48" s="102" t="str">
        <f t="shared" si="277"/>
        <v/>
      </c>
      <c r="AY48" s="103" t="str">
        <f t="shared" si="278"/>
        <v/>
      </c>
      <c r="AZ48" s="104">
        <f t="shared" si="279"/>
        <v>0</v>
      </c>
      <c r="BA48" s="99" t="str">
        <f t="shared" si="280"/>
        <v/>
      </c>
      <c r="BB48" s="100" t="str">
        <f t="shared" si="281"/>
        <v/>
      </c>
      <c r="BC48" s="101">
        <f t="shared" si="282"/>
        <v>0</v>
      </c>
      <c r="BD48" s="102" t="str">
        <f t="shared" si="283"/>
        <v/>
      </c>
      <c r="BE48" s="103" t="str">
        <f t="shared" si="284"/>
        <v/>
      </c>
      <c r="BF48" s="104">
        <f t="shared" si="285"/>
        <v>0</v>
      </c>
      <c r="BG48" s="99" t="str">
        <f t="shared" si="286"/>
        <v/>
      </c>
      <c r="BH48" s="100" t="str">
        <f t="shared" si="287"/>
        <v/>
      </c>
      <c r="BI48" s="101">
        <f t="shared" si="288"/>
        <v>0</v>
      </c>
      <c r="BJ48" s="102" t="str">
        <f t="shared" si="289"/>
        <v/>
      </c>
      <c r="BK48" s="103" t="str">
        <f t="shared" si="290"/>
        <v/>
      </c>
      <c r="BL48" s="104">
        <f t="shared" si="291"/>
        <v>0</v>
      </c>
      <c r="BM48" s="99" t="str">
        <f t="shared" si="292"/>
        <v/>
      </c>
      <c r="BN48" s="100" t="str">
        <f t="shared" si="293"/>
        <v/>
      </c>
      <c r="BO48" s="101">
        <f t="shared" si="294"/>
        <v>0</v>
      </c>
      <c r="BP48" s="102" t="str">
        <f t="shared" si="295"/>
        <v/>
      </c>
      <c r="BQ48" s="103" t="str">
        <f t="shared" si="296"/>
        <v/>
      </c>
      <c r="BR48" s="104">
        <f t="shared" si="297"/>
        <v>0</v>
      </c>
      <c r="BS48" s="99" t="str">
        <f t="shared" si="298"/>
        <v/>
      </c>
      <c r="BT48" s="100" t="str">
        <f t="shared" si="299"/>
        <v/>
      </c>
      <c r="BU48" s="101">
        <f t="shared" si="300"/>
        <v>0</v>
      </c>
      <c r="BV48" s="102" t="str">
        <f t="shared" si="301"/>
        <v/>
      </c>
      <c r="BW48" s="103" t="str">
        <f t="shared" si="302"/>
        <v/>
      </c>
      <c r="BX48" s="104">
        <f t="shared" si="303"/>
        <v>0</v>
      </c>
      <c r="BY48" s="99" t="str">
        <f t="shared" si="304"/>
        <v/>
      </c>
      <c r="BZ48" s="100" t="str">
        <f t="shared" si="305"/>
        <v/>
      </c>
      <c r="CA48" s="101">
        <f t="shared" si="306"/>
        <v>0</v>
      </c>
      <c r="CB48" s="102" t="str">
        <f t="shared" si="307"/>
        <v/>
      </c>
      <c r="CC48" s="103" t="str">
        <f t="shared" si="308"/>
        <v/>
      </c>
      <c r="CD48" s="104">
        <f t="shared" si="309"/>
        <v>0</v>
      </c>
      <c r="CE48" s="99" t="str">
        <f t="shared" si="310"/>
        <v/>
      </c>
      <c r="CF48" s="100" t="str">
        <f t="shared" si="311"/>
        <v/>
      </c>
      <c r="CG48" s="101">
        <f t="shared" si="312"/>
        <v>0</v>
      </c>
      <c r="CH48" s="102" t="str">
        <f t="shared" si="313"/>
        <v/>
      </c>
      <c r="CI48" s="103" t="str">
        <f t="shared" si="314"/>
        <v/>
      </c>
      <c r="CJ48" s="104">
        <f t="shared" si="315"/>
        <v>0</v>
      </c>
      <c r="CK48" s="99" t="str">
        <f t="shared" si="316"/>
        <v/>
      </c>
      <c r="CL48" s="100" t="str">
        <f t="shared" si="317"/>
        <v/>
      </c>
      <c r="CM48" s="101">
        <f t="shared" si="318"/>
        <v>0</v>
      </c>
      <c r="CN48" s="102" t="str">
        <f t="shared" si="319"/>
        <v/>
      </c>
      <c r="CO48" s="103" t="str">
        <f t="shared" si="320"/>
        <v/>
      </c>
      <c r="CP48" s="104">
        <f t="shared" si="321"/>
        <v>0</v>
      </c>
      <c r="CQ48" s="99" t="str">
        <f t="shared" si="322"/>
        <v/>
      </c>
      <c r="CR48" s="100" t="str">
        <f t="shared" si="323"/>
        <v/>
      </c>
      <c r="CS48" s="101">
        <f t="shared" si="324"/>
        <v>0</v>
      </c>
      <c r="CT48" s="102" t="str">
        <f t="shared" si="325"/>
        <v/>
      </c>
      <c r="CU48" s="103" t="str">
        <f t="shared" si="326"/>
        <v/>
      </c>
      <c r="CV48" s="104">
        <f t="shared" si="327"/>
        <v>0</v>
      </c>
      <c r="CW48" s="99" t="str">
        <f t="shared" si="328"/>
        <v/>
      </c>
      <c r="CX48" s="100" t="str">
        <f t="shared" si="329"/>
        <v/>
      </c>
      <c r="CY48" s="101">
        <f t="shared" si="330"/>
        <v>0</v>
      </c>
      <c r="CZ48" s="102" t="str">
        <f t="shared" si="331"/>
        <v/>
      </c>
      <c r="DA48" s="103" t="str">
        <f t="shared" si="332"/>
        <v/>
      </c>
      <c r="DB48" s="104">
        <f t="shared" si="333"/>
        <v>0</v>
      </c>
      <c r="DC48" s="99" t="str">
        <f t="shared" si="334"/>
        <v/>
      </c>
      <c r="DD48" s="100" t="str">
        <f t="shared" si="335"/>
        <v/>
      </c>
      <c r="DE48" s="101">
        <f t="shared" si="336"/>
        <v>0</v>
      </c>
      <c r="DF48" s="102" t="str">
        <f t="shared" si="337"/>
        <v/>
      </c>
      <c r="DG48" s="103" t="str">
        <f t="shared" si="338"/>
        <v/>
      </c>
      <c r="DH48" s="104">
        <f t="shared" si="339"/>
        <v>0</v>
      </c>
      <c r="DI48" s="99" t="str">
        <f t="shared" si="340"/>
        <v/>
      </c>
      <c r="DJ48" s="100" t="str">
        <f t="shared" si="341"/>
        <v/>
      </c>
      <c r="DK48" s="101">
        <f t="shared" si="342"/>
        <v>0</v>
      </c>
      <c r="DL48" s="102" t="str">
        <f t="shared" si="343"/>
        <v/>
      </c>
      <c r="DM48" s="103" t="str">
        <f t="shared" si="344"/>
        <v/>
      </c>
      <c r="DN48" s="104">
        <f t="shared" si="345"/>
        <v>0</v>
      </c>
      <c r="DO48" s="99" t="str">
        <f t="shared" si="346"/>
        <v/>
      </c>
      <c r="DP48" s="100" t="str">
        <f t="shared" si="347"/>
        <v/>
      </c>
      <c r="DQ48" s="101">
        <f t="shared" si="348"/>
        <v>0</v>
      </c>
      <c r="DR48" s="102" t="str">
        <f t="shared" si="349"/>
        <v/>
      </c>
      <c r="DS48" s="103" t="str">
        <f t="shared" si="350"/>
        <v/>
      </c>
      <c r="DT48" s="104">
        <f t="shared" si="351"/>
        <v>0</v>
      </c>
    </row>
    <row r="49" ht="15.75" customHeight="1">
      <c r="A49" s="12" t="str">
        <f>Menus!B9</f>
        <v/>
      </c>
      <c r="B49" s="32">
        <f t="shared" si="231"/>
        <v>0</v>
      </c>
      <c r="C49" s="32">
        <f t="shared" si="232"/>
        <v>0</v>
      </c>
      <c r="D49" s="32">
        <f t="shared" si="233"/>
        <v>0</v>
      </c>
      <c r="E49" s="93" t="str">
        <f t="shared" si="234"/>
        <v/>
      </c>
      <c r="F49" s="94" t="str">
        <f t="shared" si="235"/>
        <v/>
      </c>
      <c r="G49" s="95">
        <f t="shared" si="236"/>
        <v>0</v>
      </c>
      <c r="H49" s="96" t="str">
        <f t="array" ref="H49">IFERROR(XLOOKUP($A49,'Gastos Admon'!$A$7:$A171,INDIRECT($B$9)),"")</f>
        <v/>
      </c>
      <c r="I49" s="97" t="str">
        <f t="array" ref="I49">IFERROR(XLOOKUP($A49,'Gastos Admon'!$A$7:$A171,INDIRECT($C$9)),"")</f>
        <v/>
      </c>
      <c r="J49" s="98">
        <f t="shared" si="237"/>
        <v>0</v>
      </c>
      <c r="K49" s="99" t="str">
        <f t="shared" si="238"/>
        <v/>
      </c>
      <c r="L49" s="100" t="str">
        <f t="shared" si="239"/>
        <v/>
      </c>
      <c r="M49" s="101">
        <f t="shared" si="240"/>
        <v>0</v>
      </c>
      <c r="N49" s="102" t="str">
        <f t="shared" si="241"/>
        <v/>
      </c>
      <c r="O49" s="103" t="str">
        <f t="shared" si="242"/>
        <v/>
      </c>
      <c r="P49" s="104">
        <f t="shared" si="243"/>
        <v>0</v>
      </c>
      <c r="Q49" s="99" t="str">
        <f t="shared" si="244"/>
        <v/>
      </c>
      <c r="R49" s="100" t="str">
        <f t="shared" si="245"/>
        <v/>
      </c>
      <c r="S49" s="101">
        <f t="shared" si="246"/>
        <v>0</v>
      </c>
      <c r="T49" s="102" t="str">
        <f t="shared" si="247"/>
        <v/>
      </c>
      <c r="U49" s="103" t="str">
        <f t="shared" si="248"/>
        <v/>
      </c>
      <c r="V49" s="104">
        <f t="shared" si="249"/>
        <v>0</v>
      </c>
      <c r="W49" s="99" t="str">
        <f t="shared" si="250"/>
        <v/>
      </c>
      <c r="X49" s="100" t="str">
        <f t="shared" si="251"/>
        <v/>
      </c>
      <c r="Y49" s="101">
        <f t="shared" si="252"/>
        <v>0</v>
      </c>
      <c r="Z49" s="102" t="str">
        <f t="shared" si="253"/>
        <v/>
      </c>
      <c r="AA49" s="103" t="str">
        <f t="shared" si="254"/>
        <v/>
      </c>
      <c r="AB49" s="104">
        <f t="shared" si="255"/>
        <v>0</v>
      </c>
      <c r="AC49" s="99" t="str">
        <f t="shared" si="256"/>
        <v/>
      </c>
      <c r="AD49" s="100" t="str">
        <f t="shared" si="257"/>
        <v/>
      </c>
      <c r="AE49" s="101">
        <f t="shared" si="258"/>
        <v>0</v>
      </c>
      <c r="AF49" s="102" t="str">
        <f t="shared" si="259"/>
        <v/>
      </c>
      <c r="AG49" s="103" t="str">
        <f t="shared" si="260"/>
        <v/>
      </c>
      <c r="AH49" s="104">
        <f t="shared" si="261"/>
        <v>0</v>
      </c>
      <c r="AI49" s="99" t="str">
        <f t="shared" si="262"/>
        <v/>
      </c>
      <c r="AJ49" s="100" t="str">
        <f t="shared" si="263"/>
        <v/>
      </c>
      <c r="AK49" s="101">
        <f t="shared" si="264"/>
        <v>0</v>
      </c>
      <c r="AL49" s="102" t="str">
        <f t="shared" si="265"/>
        <v/>
      </c>
      <c r="AM49" s="103" t="str">
        <f t="shared" si="266"/>
        <v/>
      </c>
      <c r="AN49" s="104">
        <f t="shared" si="267"/>
        <v>0</v>
      </c>
      <c r="AO49" s="99" t="str">
        <f t="shared" si="268"/>
        <v/>
      </c>
      <c r="AP49" s="100" t="str">
        <f t="shared" si="269"/>
        <v/>
      </c>
      <c r="AQ49" s="101">
        <f t="shared" si="270"/>
        <v>0</v>
      </c>
      <c r="AR49" s="102" t="str">
        <f t="shared" si="271"/>
        <v/>
      </c>
      <c r="AS49" s="103" t="str">
        <f t="shared" si="272"/>
        <v/>
      </c>
      <c r="AT49" s="104">
        <f t="shared" si="273"/>
        <v>0</v>
      </c>
      <c r="AU49" s="99" t="str">
        <f t="shared" si="274"/>
        <v/>
      </c>
      <c r="AV49" s="100" t="str">
        <f t="shared" si="275"/>
        <v/>
      </c>
      <c r="AW49" s="101">
        <f t="shared" si="276"/>
        <v>0</v>
      </c>
      <c r="AX49" s="102" t="str">
        <f t="shared" si="277"/>
        <v/>
      </c>
      <c r="AY49" s="103" t="str">
        <f t="shared" si="278"/>
        <v/>
      </c>
      <c r="AZ49" s="104">
        <f t="shared" si="279"/>
        <v>0</v>
      </c>
      <c r="BA49" s="99" t="str">
        <f t="shared" si="280"/>
        <v/>
      </c>
      <c r="BB49" s="100" t="str">
        <f t="shared" si="281"/>
        <v/>
      </c>
      <c r="BC49" s="101">
        <f t="shared" si="282"/>
        <v>0</v>
      </c>
      <c r="BD49" s="102" t="str">
        <f t="shared" si="283"/>
        <v/>
      </c>
      <c r="BE49" s="103" t="str">
        <f t="shared" si="284"/>
        <v/>
      </c>
      <c r="BF49" s="104">
        <f t="shared" si="285"/>
        <v>0</v>
      </c>
      <c r="BG49" s="99" t="str">
        <f t="shared" si="286"/>
        <v/>
      </c>
      <c r="BH49" s="100" t="str">
        <f t="shared" si="287"/>
        <v/>
      </c>
      <c r="BI49" s="101">
        <f t="shared" si="288"/>
        <v>0</v>
      </c>
      <c r="BJ49" s="102" t="str">
        <f t="shared" si="289"/>
        <v/>
      </c>
      <c r="BK49" s="103" t="str">
        <f t="shared" si="290"/>
        <v/>
      </c>
      <c r="BL49" s="104">
        <f t="shared" si="291"/>
        <v>0</v>
      </c>
      <c r="BM49" s="99" t="str">
        <f t="shared" si="292"/>
        <v/>
      </c>
      <c r="BN49" s="100" t="str">
        <f t="shared" si="293"/>
        <v/>
      </c>
      <c r="BO49" s="101">
        <f t="shared" si="294"/>
        <v>0</v>
      </c>
      <c r="BP49" s="102" t="str">
        <f t="shared" si="295"/>
        <v/>
      </c>
      <c r="BQ49" s="103" t="str">
        <f t="shared" si="296"/>
        <v/>
      </c>
      <c r="BR49" s="104">
        <f t="shared" si="297"/>
        <v>0</v>
      </c>
      <c r="BS49" s="99" t="str">
        <f t="shared" si="298"/>
        <v/>
      </c>
      <c r="BT49" s="100" t="str">
        <f t="shared" si="299"/>
        <v/>
      </c>
      <c r="BU49" s="101">
        <f t="shared" si="300"/>
        <v>0</v>
      </c>
      <c r="BV49" s="102" t="str">
        <f t="shared" si="301"/>
        <v/>
      </c>
      <c r="BW49" s="103" t="str">
        <f t="shared" si="302"/>
        <v/>
      </c>
      <c r="BX49" s="104">
        <f t="shared" si="303"/>
        <v>0</v>
      </c>
      <c r="BY49" s="99" t="str">
        <f t="shared" si="304"/>
        <v/>
      </c>
      <c r="BZ49" s="100" t="str">
        <f t="shared" si="305"/>
        <v/>
      </c>
      <c r="CA49" s="101">
        <f t="shared" si="306"/>
        <v>0</v>
      </c>
      <c r="CB49" s="102" t="str">
        <f t="shared" si="307"/>
        <v/>
      </c>
      <c r="CC49" s="103" t="str">
        <f t="shared" si="308"/>
        <v/>
      </c>
      <c r="CD49" s="104">
        <f t="shared" si="309"/>
        <v>0</v>
      </c>
      <c r="CE49" s="99" t="str">
        <f t="shared" si="310"/>
        <v/>
      </c>
      <c r="CF49" s="100" t="str">
        <f t="shared" si="311"/>
        <v/>
      </c>
      <c r="CG49" s="101">
        <f t="shared" si="312"/>
        <v>0</v>
      </c>
      <c r="CH49" s="102" t="str">
        <f t="shared" si="313"/>
        <v/>
      </c>
      <c r="CI49" s="103" t="str">
        <f t="shared" si="314"/>
        <v/>
      </c>
      <c r="CJ49" s="104">
        <f t="shared" si="315"/>
        <v>0</v>
      </c>
      <c r="CK49" s="99" t="str">
        <f t="shared" si="316"/>
        <v/>
      </c>
      <c r="CL49" s="100" t="str">
        <f t="shared" si="317"/>
        <v/>
      </c>
      <c r="CM49" s="101">
        <f t="shared" si="318"/>
        <v>0</v>
      </c>
      <c r="CN49" s="102" t="str">
        <f t="shared" si="319"/>
        <v/>
      </c>
      <c r="CO49" s="103" t="str">
        <f t="shared" si="320"/>
        <v/>
      </c>
      <c r="CP49" s="104">
        <f t="shared" si="321"/>
        <v>0</v>
      </c>
      <c r="CQ49" s="99" t="str">
        <f t="shared" si="322"/>
        <v/>
      </c>
      <c r="CR49" s="100" t="str">
        <f t="shared" si="323"/>
        <v/>
      </c>
      <c r="CS49" s="101">
        <f t="shared" si="324"/>
        <v>0</v>
      </c>
      <c r="CT49" s="102" t="str">
        <f t="shared" si="325"/>
        <v/>
      </c>
      <c r="CU49" s="103" t="str">
        <f t="shared" si="326"/>
        <v/>
      </c>
      <c r="CV49" s="104">
        <f t="shared" si="327"/>
        <v>0</v>
      </c>
      <c r="CW49" s="99" t="str">
        <f t="shared" si="328"/>
        <v/>
      </c>
      <c r="CX49" s="100" t="str">
        <f t="shared" si="329"/>
        <v/>
      </c>
      <c r="CY49" s="101">
        <f t="shared" si="330"/>
        <v>0</v>
      </c>
      <c r="CZ49" s="102" t="str">
        <f t="shared" si="331"/>
        <v/>
      </c>
      <c r="DA49" s="103" t="str">
        <f t="shared" si="332"/>
        <v/>
      </c>
      <c r="DB49" s="104">
        <f t="shared" si="333"/>
        <v>0</v>
      </c>
      <c r="DC49" s="99" t="str">
        <f t="shared" si="334"/>
        <v/>
      </c>
      <c r="DD49" s="100" t="str">
        <f t="shared" si="335"/>
        <v/>
      </c>
      <c r="DE49" s="101">
        <f t="shared" si="336"/>
        <v>0</v>
      </c>
      <c r="DF49" s="102" t="str">
        <f t="shared" si="337"/>
        <v/>
      </c>
      <c r="DG49" s="103" t="str">
        <f t="shared" si="338"/>
        <v/>
      </c>
      <c r="DH49" s="104">
        <f t="shared" si="339"/>
        <v>0</v>
      </c>
      <c r="DI49" s="99" t="str">
        <f t="shared" si="340"/>
        <v/>
      </c>
      <c r="DJ49" s="100" t="str">
        <f t="shared" si="341"/>
        <v/>
      </c>
      <c r="DK49" s="101">
        <f t="shared" si="342"/>
        <v>0</v>
      </c>
      <c r="DL49" s="102" t="str">
        <f t="shared" si="343"/>
        <v/>
      </c>
      <c r="DM49" s="103" t="str">
        <f t="shared" si="344"/>
        <v/>
      </c>
      <c r="DN49" s="104">
        <f t="shared" si="345"/>
        <v>0</v>
      </c>
      <c r="DO49" s="99" t="str">
        <f t="shared" si="346"/>
        <v/>
      </c>
      <c r="DP49" s="100" t="str">
        <f t="shared" si="347"/>
        <v/>
      </c>
      <c r="DQ49" s="101">
        <f t="shared" si="348"/>
        <v>0</v>
      </c>
      <c r="DR49" s="102" t="str">
        <f t="shared" si="349"/>
        <v/>
      </c>
      <c r="DS49" s="103" t="str">
        <f t="shared" si="350"/>
        <v/>
      </c>
      <c r="DT49" s="104">
        <f t="shared" si="351"/>
        <v>0</v>
      </c>
    </row>
    <row r="50" ht="15.75" customHeight="1">
      <c r="A50" s="12" t="str">
        <f>Menus!B10</f>
        <v/>
      </c>
      <c r="B50" s="32">
        <f t="shared" si="231"/>
        <v>0</v>
      </c>
      <c r="C50" s="32">
        <f t="shared" si="232"/>
        <v>0</v>
      </c>
      <c r="D50" s="32">
        <f t="shared" si="233"/>
        <v>0</v>
      </c>
      <c r="E50" s="93" t="str">
        <f t="shared" si="234"/>
        <v/>
      </c>
      <c r="F50" s="94" t="str">
        <f t="shared" si="235"/>
        <v/>
      </c>
      <c r="G50" s="95">
        <f t="shared" si="236"/>
        <v>0</v>
      </c>
      <c r="H50" s="96" t="str">
        <f t="array" ref="H50">IFERROR(XLOOKUP($A50,'Gastos Admon'!$A$7:$A171,INDIRECT($B$9)),"")</f>
        <v/>
      </c>
      <c r="I50" s="97" t="str">
        <f t="array" ref="I50">IFERROR(XLOOKUP($A50,'Gastos Admon'!$A$7:$A171,INDIRECT($C$9)),"")</f>
        <v/>
      </c>
      <c r="J50" s="98">
        <f t="shared" si="237"/>
        <v>0</v>
      </c>
      <c r="K50" s="99" t="str">
        <f t="shared" si="238"/>
        <v/>
      </c>
      <c r="L50" s="100" t="str">
        <f t="shared" si="239"/>
        <v/>
      </c>
      <c r="M50" s="101">
        <f t="shared" si="240"/>
        <v>0</v>
      </c>
      <c r="N50" s="102" t="str">
        <f t="shared" si="241"/>
        <v/>
      </c>
      <c r="O50" s="103" t="str">
        <f t="shared" si="242"/>
        <v/>
      </c>
      <c r="P50" s="104">
        <f t="shared" si="243"/>
        <v>0</v>
      </c>
      <c r="Q50" s="99" t="str">
        <f t="shared" si="244"/>
        <v/>
      </c>
      <c r="R50" s="100" t="str">
        <f t="shared" si="245"/>
        <v/>
      </c>
      <c r="S50" s="101">
        <f t="shared" si="246"/>
        <v>0</v>
      </c>
      <c r="T50" s="102" t="str">
        <f t="shared" si="247"/>
        <v/>
      </c>
      <c r="U50" s="103" t="str">
        <f t="shared" si="248"/>
        <v/>
      </c>
      <c r="V50" s="104">
        <f t="shared" si="249"/>
        <v>0</v>
      </c>
      <c r="W50" s="99" t="str">
        <f t="shared" si="250"/>
        <v/>
      </c>
      <c r="X50" s="100" t="str">
        <f t="shared" si="251"/>
        <v/>
      </c>
      <c r="Y50" s="101">
        <f t="shared" si="252"/>
        <v>0</v>
      </c>
      <c r="Z50" s="102" t="str">
        <f t="shared" si="253"/>
        <v/>
      </c>
      <c r="AA50" s="103" t="str">
        <f t="shared" si="254"/>
        <v/>
      </c>
      <c r="AB50" s="104">
        <f t="shared" si="255"/>
        <v>0</v>
      </c>
      <c r="AC50" s="99" t="str">
        <f t="shared" si="256"/>
        <v/>
      </c>
      <c r="AD50" s="100" t="str">
        <f t="shared" si="257"/>
        <v/>
      </c>
      <c r="AE50" s="101">
        <f t="shared" si="258"/>
        <v>0</v>
      </c>
      <c r="AF50" s="102" t="str">
        <f t="shared" si="259"/>
        <v/>
      </c>
      <c r="AG50" s="103" t="str">
        <f t="shared" si="260"/>
        <v/>
      </c>
      <c r="AH50" s="104">
        <f t="shared" si="261"/>
        <v>0</v>
      </c>
      <c r="AI50" s="99" t="str">
        <f t="shared" si="262"/>
        <v/>
      </c>
      <c r="AJ50" s="100" t="str">
        <f t="shared" si="263"/>
        <v/>
      </c>
      <c r="AK50" s="101">
        <f t="shared" si="264"/>
        <v>0</v>
      </c>
      <c r="AL50" s="102" t="str">
        <f t="shared" si="265"/>
        <v/>
      </c>
      <c r="AM50" s="103" t="str">
        <f t="shared" si="266"/>
        <v/>
      </c>
      <c r="AN50" s="104">
        <f t="shared" si="267"/>
        <v>0</v>
      </c>
      <c r="AO50" s="99" t="str">
        <f t="shared" si="268"/>
        <v/>
      </c>
      <c r="AP50" s="100" t="str">
        <f t="shared" si="269"/>
        <v/>
      </c>
      <c r="AQ50" s="101">
        <f t="shared" si="270"/>
        <v>0</v>
      </c>
      <c r="AR50" s="102" t="str">
        <f t="shared" si="271"/>
        <v/>
      </c>
      <c r="AS50" s="103" t="str">
        <f t="shared" si="272"/>
        <v/>
      </c>
      <c r="AT50" s="104">
        <f t="shared" si="273"/>
        <v>0</v>
      </c>
      <c r="AU50" s="99" t="str">
        <f t="shared" si="274"/>
        <v/>
      </c>
      <c r="AV50" s="100" t="str">
        <f t="shared" si="275"/>
        <v/>
      </c>
      <c r="AW50" s="101">
        <f t="shared" si="276"/>
        <v>0</v>
      </c>
      <c r="AX50" s="102" t="str">
        <f t="shared" si="277"/>
        <v/>
      </c>
      <c r="AY50" s="103" t="str">
        <f t="shared" si="278"/>
        <v/>
      </c>
      <c r="AZ50" s="104">
        <f t="shared" si="279"/>
        <v>0</v>
      </c>
      <c r="BA50" s="99" t="str">
        <f t="shared" si="280"/>
        <v/>
      </c>
      <c r="BB50" s="100" t="str">
        <f t="shared" si="281"/>
        <v/>
      </c>
      <c r="BC50" s="101">
        <f t="shared" si="282"/>
        <v>0</v>
      </c>
      <c r="BD50" s="102" t="str">
        <f t="shared" si="283"/>
        <v/>
      </c>
      <c r="BE50" s="103" t="str">
        <f t="shared" si="284"/>
        <v/>
      </c>
      <c r="BF50" s="104">
        <f t="shared" si="285"/>
        <v>0</v>
      </c>
      <c r="BG50" s="99" t="str">
        <f t="shared" si="286"/>
        <v/>
      </c>
      <c r="BH50" s="100" t="str">
        <f t="shared" si="287"/>
        <v/>
      </c>
      <c r="BI50" s="101">
        <f t="shared" si="288"/>
        <v>0</v>
      </c>
      <c r="BJ50" s="102" t="str">
        <f t="shared" si="289"/>
        <v/>
      </c>
      <c r="BK50" s="103" t="str">
        <f t="shared" si="290"/>
        <v/>
      </c>
      <c r="BL50" s="104">
        <f t="shared" si="291"/>
        <v>0</v>
      </c>
      <c r="BM50" s="99" t="str">
        <f t="shared" si="292"/>
        <v/>
      </c>
      <c r="BN50" s="100" t="str">
        <f t="shared" si="293"/>
        <v/>
      </c>
      <c r="BO50" s="101">
        <f t="shared" si="294"/>
        <v>0</v>
      </c>
      <c r="BP50" s="102" t="str">
        <f t="shared" si="295"/>
        <v/>
      </c>
      <c r="BQ50" s="103" t="str">
        <f t="shared" si="296"/>
        <v/>
      </c>
      <c r="BR50" s="104">
        <f t="shared" si="297"/>
        <v>0</v>
      </c>
      <c r="BS50" s="99" t="str">
        <f t="shared" si="298"/>
        <v/>
      </c>
      <c r="BT50" s="100" t="str">
        <f t="shared" si="299"/>
        <v/>
      </c>
      <c r="BU50" s="101">
        <f t="shared" si="300"/>
        <v>0</v>
      </c>
      <c r="BV50" s="102" t="str">
        <f t="shared" si="301"/>
        <v/>
      </c>
      <c r="BW50" s="103" t="str">
        <f t="shared" si="302"/>
        <v/>
      </c>
      <c r="BX50" s="104">
        <f t="shared" si="303"/>
        <v>0</v>
      </c>
      <c r="BY50" s="99" t="str">
        <f t="shared" si="304"/>
        <v/>
      </c>
      <c r="BZ50" s="100" t="str">
        <f t="shared" si="305"/>
        <v/>
      </c>
      <c r="CA50" s="101">
        <f t="shared" si="306"/>
        <v>0</v>
      </c>
      <c r="CB50" s="102" t="str">
        <f t="shared" si="307"/>
        <v/>
      </c>
      <c r="CC50" s="103" t="str">
        <f t="shared" si="308"/>
        <v/>
      </c>
      <c r="CD50" s="104">
        <f t="shared" si="309"/>
        <v>0</v>
      </c>
      <c r="CE50" s="99" t="str">
        <f t="shared" si="310"/>
        <v/>
      </c>
      <c r="CF50" s="100" t="str">
        <f t="shared" si="311"/>
        <v/>
      </c>
      <c r="CG50" s="101">
        <f t="shared" si="312"/>
        <v>0</v>
      </c>
      <c r="CH50" s="102" t="str">
        <f t="shared" si="313"/>
        <v/>
      </c>
      <c r="CI50" s="103" t="str">
        <f t="shared" si="314"/>
        <v/>
      </c>
      <c r="CJ50" s="104">
        <f t="shared" si="315"/>
        <v>0</v>
      </c>
      <c r="CK50" s="99" t="str">
        <f t="shared" si="316"/>
        <v/>
      </c>
      <c r="CL50" s="100" t="str">
        <f t="shared" si="317"/>
        <v/>
      </c>
      <c r="CM50" s="101">
        <f t="shared" si="318"/>
        <v>0</v>
      </c>
      <c r="CN50" s="102" t="str">
        <f t="shared" si="319"/>
        <v/>
      </c>
      <c r="CO50" s="103" t="str">
        <f t="shared" si="320"/>
        <v/>
      </c>
      <c r="CP50" s="104">
        <f t="shared" si="321"/>
        <v>0</v>
      </c>
      <c r="CQ50" s="99" t="str">
        <f t="shared" si="322"/>
        <v/>
      </c>
      <c r="CR50" s="100" t="str">
        <f t="shared" si="323"/>
        <v/>
      </c>
      <c r="CS50" s="101">
        <f t="shared" si="324"/>
        <v>0</v>
      </c>
      <c r="CT50" s="102" t="str">
        <f t="shared" si="325"/>
        <v/>
      </c>
      <c r="CU50" s="103" t="str">
        <f t="shared" si="326"/>
        <v/>
      </c>
      <c r="CV50" s="104">
        <f t="shared" si="327"/>
        <v>0</v>
      </c>
      <c r="CW50" s="99" t="str">
        <f t="shared" si="328"/>
        <v/>
      </c>
      <c r="CX50" s="100" t="str">
        <f t="shared" si="329"/>
        <v/>
      </c>
      <c r="CY50" s="101">
        <f t="shared" si="330"/>
        <v>0</v>
      </c>
      <c r="CZ50" s="102" t="str">
        <f t="shared" si="331"/>
        <v/>
      </c>
      <c r="DA50" s="103" t="str">
        <f t="shared" si="332"/>
        <v/>
      </c>
      <c r="DB50" s="104">
        <f t="shared" si="333"/>
        <v>0</v>
      </c>
      <c r="DC50" s="99" t="str">
        <f t="shared" si="334"/>
        <v/>
      </c>
      <c r="DD50" s="100" t="str">
        <f t="shared" si="335"/>
        <v/>
      </c>
      <c r="DE50" s="101">
        <f t="shared" si="336"/>
        <v>0</v>
      </c>
      <c r="DF50" s="102" t="str">
        <f t="shared" si="337"/>
        <v/>
      </c>
      <c r="DG50" s="103" t="str">
        <f t="shared" si="338"/>
        <v/>
      </c>
      <c r="DH50" s="104">
        <f t="shared" si="339"/>
        <v>0</v>
      </c>
      <c r="DI50" s="99" t="str">
        <f t="shared" si="340"/>
        <v/>
      </c>
      <c r="DJ50" s="100" t="str">
        <f t="shared" si="341"/>
        <v/>
      </c>
      <c r="DK50" s="101">
        <f t="shared" si="342"/>
        <v>0</v>
      </c>
      <c r="DL50" s="102" t="str">
        <f t="shared" si="343"/>
        <v/>
      </c>
      <c r="DM50" s="103" t="str">
        <f t="shared" si="344"/>
        <v/>
      </c>
      <c r="DN50" s="104">
        <f t="shared" si="345"/>
        <v>0</v>
      </c>
      <c r="DO50" s="99" t="str">
        <f t="shared" si="346"/>
        <v/>
      </c>
      <c r="DP50" s="100" t="str">
        <f t="shared" si="347"/>
        <v/>
      </c>
      <c r="DQ50" s="101">
        <f t="shared" si="348"/>
        <v>0</v>
      </c>
      <c r="DR50" s="102" t="str">
        <f t="shared" si="349"/>
        <v/>
      </c>
      <c r="DS50" s="103" t="str">
        <f t="shared" si="350"/>
        <v/>
      </c>
      <c r="DT50" s="104">
        <f t="shared" si="351"/>
        <v>0</v>
      </c>
    </row>
    <row r="51" ht="15.75" customHeight="1">
      <c r="A51" s="12" t="str">
        <f>Menus!B11</f>
        <v/>
      </c>
      <c r="B51" s="32">
        <f t="shared" si="231"/>
        <v>0</v>
      </c>
      <c r="C51" s="32">
        <f t="shared" si="232"/>
        <v>0</v>
      </c>
      <c r="D51" s="32">
        <f t="shared" si="233"/>
        <v>0</v>
      </c>
      <c r="E51" s="93" t="str">
        <f t="shared" si="234"/>
        <v/>
      </c>
      <c r="F51" s="94" t="str">
        <f t="shared" si="235"/>
        <v/>
      </c>
      <c r="G51" s="95">
        <f t="shared" si="236"/>
        <v>0</v>
      </c>
      <c r="H51" s="96" t="str">
        <f t="array" ref="H51">IFERROR(XLOOKUP($A51,'Gastos Admon'!$A$7:$A171,INDIRECT($B$9)),"")</f>
        <v/>
      </c>
      <c r="I51" s="97" t="str">
        <f t="array" ref="I51">IFERROR(XLOOKUP($A51,'Gastos Admon'!$A$7:$A171,INDIRECT($C$9)),"")</f>
        <v/>
      </c>
      <c r="J51" s="98">
        <f t="shared" si="237"/>
        <v>0</v>
      </c>
      <c r="K51" s="99" t="str">
        <f t="shared" si="238"/>
        <v/>
      </c>
      <c r="L51" s="100" t="str">
        <f t="shared" si="239"/>
        <v/>
      </c>
      <c r="M51" s="101">
        <f t="shared" si="240"/>
        <v>0</v>
      </c>
      <c r="N51" s="102" t="str">
        <f t="shared" si="241"/>
        <v/>
      </c>
      <c r="O51" s="103" t="str">
        <f t="shared" si="242"/>
        <v/>
      </c>
      <c r="P51" s="104">
        <f t="shared" si="243"/>
        <v>0</v>
      </c>
      <c r="Q51" s="99" t="str">
        <f t="shared" si="244"/>
        <v/>
      </c>
      <c r="R51" s="100" t="str">
        <f t="shared" si="245"/>
        <v/>
      </c>
      <c r="S51" s="101">
        <f t="shared" si="246"/>
        <v>0</v>
      </c>
      <c r="T51" s="102" t="str">
        <f t="shared" si="247"/>
        <v/>
      </c>
      <c r="U51" s="103" t="str">
        <f t="shared" si="248"/>
        <v/>
      </c>
      <c r="V51" s="104">
        <f t="shared" si="249"/>
        <v>0</v>
      </c>
      <c r="W51" s="99" t="str">
        <f t="shared" si="250"/>
        <v/>
      </c>
      <c r="X51" s="100" t="str">
        <f t="shared" si="251"/>
        <v/>
      </c>
      <c r="Y51" s="101">
        <f t="shared" si="252"/>
        <v>0</v>
      </c>
      <c r="Z51" s="102" t="str">
        <f t="shared" si="253"/>
        <v/>
      </c>
      <c r="AA51" s="103" t="str">
        <f t="shared" si="254"/>
        <v/>
      </c>
      <c r="AB51" s="104">
        <f t="shared" si="255"/>
        <v>0</v>
      </c>
      <c r="AC51" s="99" t="str">
        <f t="shared" si="256"/>
        <v/>
      </c>
      <c r="AD51" s="100" t="str">
        <f t="shared" si="257"/>
        <v/>
      </c>
      <c r="AE51" s="101">
        <f t="shared" si="258"/>
        <v>0</v>
      </c>
      <c r="AF51" s="102" t="str">
        <f t="shared" si="259"/>
        <v/>
      </c>
      <c r="AG51" s="103" t="str">
        <f t="shared" si="260"/>
        <v/>
      </c>
      <c r="AH51" s="104">
        <f t="shared" si="261"/>
        <v>0</v>
      </c>
      <c r="AI51" s="99" t="str">
        <f t="shared" si="262"/>
        <v/>
      </c>
      <c r="AJ51" s="100" t="str">
        <f t="shared" si="263"/>
        <v/>
      </c>
      <c r="AK51" s="101">
        <f t="shared" si="264"/>
        <v>0</v>
      </c>
      <c r="AL51" s="102" t="str">
        <f t="shared" si="265"/>
        <v/>
      </c>
      <c r="AM51" s="103" t="str">
        <f t="shared" si="266"/>
        <v/>
      </c>
      <c r="AN51" s="104">
        <f t="shared" si="267"/>
        <v>0</v>
      </c>
      <c r="AO51" s="99" t="str">
        <f t="shared" si="268"/>
        <v/>
      </c>
      <c r="AP51" s="100" t="str">
        <f t="shared" si="269"/>
        <v/>
      </c>
      <c r="AQ51" s="101">
        <f t="shared" si="270"/>
        <v>0</v>
      </c>
      <c r="AR51" s="102" t="str">
        <f t="shared" si="271"/>
        <v/>
      </c>
      <c r="AS51" s="103" t="str">
        <f t="shared" si="272"/>
        <v/>
      </c>
      <c r="AT51" s="104">
        <f t="shared" si="273"/>
        <v>0</v>
      </c>
      <c r="AU51" s="99" t="str">
        <f t="shared" si="274"/>
        <v/>
      </c>
      <c r="AV51" s="100" t="str">
        <f t="shared" si="275"/>
        <v/>
      </c>
      <c r="AW51" s="101">
        <f t="shared" si="276"/>
        <v>0</v>
      </c>
      <c r="AX51" s="102" t="str">
        <f t="shared" si="277"/>
        <v/>
      </c>
      <c r="AY51" s="103" t="str">
        <f t="shared" si="278"/>
        <v/>
      </c>
      <c r="AZ51" s="104">
        <f t="shared" si="279"/>
        <v>0</v>
      </c>
      <c r="BA51" s="99" t="str">
        <f t="shared" si="280"/>
        <v/>
      </c>
      <c r="BB51" s="100" t="str">
        <f t="shared" si="281"/>
        <v/>
      </c>
      <c r="BC51" s="101">
        <f t="shared" si="282"/>
        <v>0</v>
      </c>
      <c r="BD51" s="102" t="str">
        <f t="shared" si="283"/>
        <v/>
      </c>
      <c r="BE51" s="103" t="str">
        <f t="shared" si="284"/>
        <v/>
      </c>
      <c r="BF51" s="104">
        <f t="shared" si="285"/>
        <v>0</v>
      </c>
      <c r="BG51" s="99" t="str">
        <f t="shared" si="286"/>
        <v/>
      </c>
      <c r="BH51" s="100" t="str">
        <f t="shared" si="287"/>
        <v/>
      </c>
      <c r="BI51" s="101">
        <f t="shared" si="288"/>
        <v>0</v>
      </c>
      <c r="BJ51" s="102" t="str">
        <f t="shared" si="289"/>
        <v/>
      </c>
      <c r="BK51" s="103" t="str">
        <f t="shared" si="290"/>
        <v/>
      </c>
      <c r="BL51" s="104">
        <f t="shared" si="291"/>
        <v>0</v>
      </c>
      <c r="BM51" s="99" t="str">
        <f t="shared" si="292"/>
        <v/>
      </c>
      <c r="BN51" s="100" t="str">
        <f t="shared" si="293"/>
        <v/>
      </c>
      <c r="BO51" s="101">
        <f t="shared" si="294"/>
        <v>0</v>
      </c>
      <c r="BP51" s="102" t="str">
        <f t="shared" si="295"/>
        <v/>
      </c>
      <c r="BQ51" s="103" t="str">
        <f t="shared" si="296"/>
        <v/>
      </c>
      <c r="BR51" s="104">
        <f t="shared" si="297"/>
        <v>0</v>
      </c>
      <c r="BS51" s="99" t="str">
        <f t="shared" si="298"/>
        <v/>
      </c>
      <c r="BT51" s="100" t="str">
        <f t="shared" si="299"/>
        <v/>
      </c>
      <c r="BU51" s="101">
        <f t="shared" si="300"/>
        <v>0</v>
      </c>
      <c r="BV51" s="102" t="str">
        <f t="shared" si="301"/>
        <v/>
      </c>
      <c r="BW51" s="103" t="str">
        <f t="shared" si="302"/>
        <v/>
      </c>
      <c r="BX51" s="104">
        <f t="shared" si="303"/>
        <v>0</v>
      </c>
      <c r="BY51" s="99" t="str">
        <f t="shared" si="304"/>
        <v/>
      </c>
      <c r="BZ51" s="100" t="str">
        <f t="shared" si="305"/>
        <v/>
      </c>
      <c r="CA51" s="101">
        <f t="shared" si="306"/>
        <v>0</v>
      </c>
      <c r="CB51" s="102" t="str">
        <f t="shared" si="307"/>
        <v/>
      </c>
      <c r="CC51" s="103" t="str">
        <f t="shared" si="308"/>
        <v/>
      </c>
      <c r="CD51" s="104">
        <f t="shared" si="309"/>
        <v>0</v>
      </c>
      <c r="CE51" s="99" t="str">
        <f t="shared" si="310"/>
        <v/>
      </c>
      <c r="CF51" s="100" t="str">
        <f t="shared" si="311"/>
        <v/>
      </c>
      <c r="CG51" s="101">
        <f t="shared" si="312"/>
        <v>0</v>
      </c>
      <c r="CH51" s="102" t="str">
        <f t="shared" si="313"/>
        <v/>
      </c>
      <c r="CI51" s="103" t="str">
        <f t="shared" si="314"/>
        <v/>
      </c>
      <c r="CJ51" s="104">
        <f t="shared" si="315"/>
        <v>0</v>
      </c>
      <c r="CK51" s="99" t="str">
        <f t="shared" si="316"/>
        <v/>
      </c>
      <c r="CL51" s="100" t="str">
        <f t="shared" si="317"/>
        <v/>
      </c>
      <c r="CM51" s="101">
        <f t="shared" si="318"/>
        <v>0</v>
      </c>
      <c r="CN51" s="102" t="str">
        <f t="shared" si="319"/>
        <v/>
      </c>
      <c r="CO51" s="103" t="str">
        <f t="shared" si="320"/>
        <v/>
      </c>
      <c r="CP51" s="104">
        <f t="shared" si="321"/>
        <v>0</v>
      </c>
      <c r="CQ51" s="99" t="str">
        <f t="shared" si="322"/>
        <v/>
      </c>
      <c r="CR51" s="100" t="str">
        <f t="shared" si="323"/>
        <v/>
      </c>
      <c r="CS51" s="101">
        <f t="shared" si="324"/>
        <v>0</v>
      </c>
      <c r="CT51" s="102" t="str">
        <f t="shared" si="325"/>
        <v/>
      </c>
      <c r="CU51" s="103" t="str">
        <f t="shared" si="326"/>
        <v/>
      </c>
      <c r="CV51" s="104">
        <f t="shared" si="327"/>
        <v>0</v>
      </c>
      <c r="CW51" s="99" t="str">
        <f t="shared" si="328"/>
        <v/>
      </c>
      <c r="CX51" s="100" t="str">
        <f t="shared" si="329"/>
        <v/>
      </c>
      <c r="CY51" s="101">
        <f t="shared" si="330"/>
        <v>0</v>
      </c>
      <c r="CZ51" s="102" t="str">
        <f t="shared" si="331"/>
        <v/>
      </c>
      <c r="DA51" s="103" t="str">
        <f t="shared" si="332"/>
        <v/>
      </c>
      <c r="DB51" s="104">
        <f t="shared" si="333"/>
        <v>0</v>
      </c>
      <c r="DC51" s="99" t="str">
        <f t="shared" si="334"/>
        <v/>
      </c>
      <c r="DD51" s="100" t="str">
        <f t="shared" si="335"/>
        <v/>
      </c>
      <c r="DE51" s="101">
        <f t="shared" si="336"/>
        <v>0</v>
      </c>
      <c r="DF51" s="102" t="str">
        <f t="shared" si="337"/>
        <v/>
      </c>
      <c r="DG51" s="103" t="str">
        <f t="shared" si="338"/>
        <v/>
      </c>
      <c r="DH51" s="104">
        <f t="shared" si="339"/>
        <v>0</v>
      </c>
      <c r="DI51" s="99" t="str">
        <f t="shared" si="340"/>
        <v/>
      </c>
      <c r="DJ51" s="100" t="str">
        <f t="shared" si="341"/>
        <v/>
      </c>
      <c r="DK51" s="101">
        <f t="shared" si="342"/>
        <v>0</v>
      </c>
      <c r="DL51" s="102" t="str">
        <f t="shared" si="343"/>
        <v/>
      </c>
      <c r="DM51" s="103" t="str">
        <f t="shared" si="344"/>
        <v/>
      </c>
      <c r="DN51" s="104">
        <f t="shared" si="345"/>
        <v>0</v>
      </c>
      <c r="DO51" s="99" t="str">
        <f t="shared" si="346"/>
        <v/>
      </c>
      <c r="DP51" s="100" t="str">
        <f t="shared" si="347"/>
        <v/>
      </c>
      <c r="DQ51" s="101">
        <f t="shared" si="348"/>
        <v>0</v>
      </c>
      <c r="DR51" s="102" t="str">
        <f t="shared" si="349"/>
        <v/>
      </c>
      <c r="DS51" s="103" t="str">
        <f t="shared" si="350"/>
        <v/>
      </c>
      <c r="DT51" s="104">
        <f t="shared" si="351"/>
        <v>0</v>
      </c>
    </row>
    <row r="52" ht="15.75" customHeight="1">
      <c r="A52" s="12" t="str">
        <f>Menus!B12</f>
        <v/>
      </c>
      <c r="B52" s="32">
        <f t="shared" si="231"/>
        <v>0</v>
      </c>
      <c r="C52" s="32">
        <f t="shared" si="232"/>
        <v>0</v>
      </c>
      <c r="D52" s="32">
        <f t="shared" si="233"/>
        <v>0</v>
      </c>
      <c r="E52" s="93" t="str">
        <f t="shared" si="234"/>
        <v/>
      </c>
      <c r="F52" s="94" t="str">
        <f t="shared" si="235"/>
        <v/>
      </c>
      <c r="G52" s="95">
        <f t="shared" si="236"/>
        <v>0</v>
      </c>
      <c r="H52" s="96" t="str">
        <f t="array" ref="H52">IFERROR(XLOOKUP($A52,'Gastos Admon'!$A$7:$A171,INDIRECT($B$9)),"")</f>
        <v/>
      </c>
      <c r="I52" s="97" t="str">
        <f t="array" ref="I52">IFERROR(XLOOKUP($A52,'Gastos Admon'!$A$7:$A171,INDIRECT($C$9)),"")</f>
        <v/>
      </c>
      <c r="J52" s="98">
        <f t="shared" si="237"/>
        <v>0</v>
      </c>
      <c r="K52" s="99" t="str">
        <f t="shared" si="238"/>
        <v/>
      </c>
      <c r="L52" s="100" t="str">
        <f t="shared" si="239"/>
        <v/>
      </c>
      <c r="M52" s="101">
        <f t="shared" si="240"/>
        <v>0</v>
      </c>
      <c r="N52" s="102" t="str">
        <f t="shared" si="241"/>
        <v/>
      </c>
      <c r="O52" s="103" t="str">
        <f t="shared" si="242"/>
        <v/>
      </c>
      <c r="P52" s="104">
        <f t="shared" si="243"/>
        <v>0</v>
      </c>
      <c r="Q52" s="99" t="str">
        <f t="shared" si="244"/>
        <v/>
      </c>
      <c r="R52" s="100" t="str">
        <f t="shared" si="245"/>
        <v/>
      </c>
      <c r="S52" s="101">
        <f t="shared" si="246"/>
        <v>0</v>
      </c>
      <c r="T52" s="102" t="str">
        <f t="shared" si="247"/>
        <v/>
      </c>
      <c r="U52" s="103" t="str">
        <f t="shared" si="248"/>
        <v/>
      </c>
      <c r="V52" s="104">
        <f t="shared" si="249"/>
        <v>0</v>
      </c>
      <c r="W52" s="99" t="str">
        <f t="shared" si="250"/>
        <v/>
      </c>
      <c r="X52" s="100" t="str">
        <f t="shared" si="251"/>
        <v/>
      </c>
      <c r="Y52" s="101">
        <f t="shared" si="252"/>
        <v>0</v>
      </c>
      <c r="Z52" s="102" t="str">
        <f t="shared" si="253"/>
        <v/>
      </c>
      <c r="AA52" s="103" t="str">
        <f t="shared" si="254"/>
        <v/>
      </c>
      <c r="AB52" s="104">
        <f t="shared" si="255"/>
        <v>0</v>
      </c>
      <c r="AC52" s="99" t="str">
        <f t="shared" si="256"/>
        <v/>
      </c>
      <c r="AD52" s="100" t="str">
        <f t="shared" si="257"/>
        <v/>
      </c>
      <c r="AE52" s="101">
        <f t="shared" si="258"/>
        <v>0</v>
      </c>
      <c r="AF52" s="102" t="str">
        <f t="shared" si="259"/>
        <v/>
      </c>
      <c r="AG52" s="103" t="str">
        <f t="shared" si="260"/>
        <v/>
      </c>
      <c r="AH52" s="104">
        <f t="shared" si="261"/>
        <v>0</v>
      </c>
      <c r="AI52" s="99" t="str">
        <f t="shared" si="262"/>
        <v/>
      </c>
      <c r="AJ52" s="100" t="str">
        <f t="shared" si="263"/>
        <v/>
      </c>
      <c r="AK52" s="101">
        <f t="shared" si="264"/>
        <v>0</v>
      </c>
      <c r="AL52" s="102" t="str">
        <f t="shared" si="265"/>
        <v/>
      </c>
      <c r="AM52" s="103" t="str">
        <f t="shared" si="266"/>
        <v/>
      </c>
      <c r="AN52" s="104">
        <f t="shared" si="267"/>
        <v>0</v>
      </c>
      <c r="AO52" s="99" t="str">
        <f t="shared" si="268"/>
        <v/>
      </c>
      <c r="AP52" s="100" t="str">
        <f t="shared" si="269"/>
        <v/>
      </c>
      <c r="AQ52" s="101">
        <f t="shared" si="270"/>
        <v>0</v>
      </c>
      <c r="AR52" s="102" t="str">
        <f t="shared" si="271"/>
        <v/>
      </c>
      <c r="AS52" s="103" t="str">
        <f t="shared" si="272"/>
        <v/>
      </c>
      <c r="AT52" s="104">
        <f t="shared" si="273"/>
        <v>0</v>
      </c>
      <c r="AU52" s="99" t="str">
        <f t="shared" si="274"/>
        <v/>
      </c>
      <c r="AV52" s="100" t="str">
        <f t="shared" si="275"/>
        <v/>
      </c>
      <c r="AW52" s="101">
        <f t="shared" si="276"/>
        <v>0</v>
      </c>
      <c r="AX52" s="102" t="str">
        <f t="shared" si="277"/>
        <v/>
      </c>
      <c r="AY52" s="103" t="str">
        <f t="shared" si="278"/>
        <v/>
      </c>
      <c r="AZ52" s="104">
        <f t="shared" si="279"/>
        <v>0</v>
      </c>
      <c r="BA52" s="99" t="str">
        <f t="shared" si="280"/>
        <v/>
      </c>
      <c r="BB52" s="100" t="str">
        <f t="shared" si="281"/>
        <v/>
      </c>
      <c r="BC52" s="101">
        <f t="shared" si="282"/>
        <v>0</v>
      </c>
      <c r="BD52" s="102" t="str">
        <f t="shared" si="283"/>
        <v/>
      </c>
      <c r="BE52" s="103" t="str">
        <f t="shared" si="284"/>
        <v/>
      </c>
      <c r="BF52" s="104">
        <f t="shared" si="285"/>
        <v>0</v>
      </c>
      <c r="BG52" s="99" t="str">
        <f t="shared" si="286"/>
        <v/>
      </c>
      <c r="BH52" s="100" t="str">
        <f t="shared" si="287"/>
        <v/>
      </c>
      <c r="BI52" s="101">
        <f t="shared" si="288"/>
        <v>0</v>
      </c>
      <c r="BJ52" s="102" t="str">
        <f t="shared" si="289"/>
        <v/>
      </c>
      <c r="BK52" s="103" t="str">
        <f t="shared" si="290"/>
        <v/>
      </c>
      <c r="BL52" s="104">
        <f t="shared" si="291"/>
        <v>0</v>
      </c>
      <c r="BM52" s="99" t="str">
        <f t="shared" si="292"/>
        <v/>
      </c>
      <c r="BN52" s="100" t="str">
        <f t="shared" si="293"/>
        <v/>
      </c>
      <c r="BO52" s="101">
        <f t="shared" si="294"/>
        <v>0</v>
      </c>
      <c r="BP52" s="102" t="str">
        <f t="shared" si="295"/>
        <v/>
      </c>
      <c r="BQ52" s="103" t="str">
        <f t="shared" si="296"/>
        <v/>
      </c>
      <c r="BR52" s="104">
        <f t="shared" si="297"/>
        <v>0</v>
      </c>
      <c r="BS52" s="99" t="str">
        <f t="shared" si="298"/>
        <v/>
      </c>
      <c r="BT52" s="100" t="str">
        <f t="shared" si="299"/>
        <v/>
      </c>
      <c r="BU52" s="101">
        <f t="shared" si="300"/>
        <v>0</v>
      </c>
      <c r="BV52" s="102" t="str">
        <f t="shared" si="301"/>
        <v/>
      </c>
      <c r="BW52" s="103" t="str">
        <f t="shared" si="302"/>
        <v/>
      </c>
      <c r="BX52" s="104">
        <f t="shared" si="303"/>
        <v>0</v>
      </c>
      <c r="BY52" s="99" t="str">
        <f t="shared" si="304"/>
        <v/>
      </c>
      <c r="BZ52" s="100" t="str">
        <f t="shared" si="305"/>
        <v/>
      </c>
      <c r="CA52" s="101">
        <f t="shared" si="306"/>
        <v>0</v>
      </c>
      <c r="CB52" s="102" t="str">
        <f t="shared" si="307"/>
        <v/>
      </c>
      <c r="CC52" s="103" t="str">
        <f t="shared" si="308"/>
        <v/>
      </c>
      <c r="CD52" s="104">
        <f t="shared" si="309"/>
        <v>0</v>
      </c>
      <c r="CE52" s="99" t="str">
        <f t="shared" si="310"/>
        <v/>
      </c>
      <c r="CF52" s="100" t="str">
        <f t="shared" si="311"/>
        <v/>
      </c>
      <c r="CG52" s="101">
        <f t="shared" si="312"/>
        <v>0</v>
      </c>
      <c r="CH52" s="102" t="str">
        <f t="shared" si="313"/>
        <v/>
      </c>
      <c r="CI52" s="103" t="str">
        <f t="shared" si="314"/>
        <v/>
      </c>
      <c r="CJ52" s="104">
        <f t="shared" si="315"/>
        <v>0</v>
      </c>
      <c r="CK52" s="99" t="str">
        <f t="shared" si="316"/>
        <v/>
      </c>
      <c r="CL52" s="100" t="str">
        <f t="shared" si="317"/>
        <v/>
      </c>
      <c r="CM52" s="101">
        <f t="shared" si="318"/>
        <v>0</v>
      </c>
      <c r="CN52" s="102" t="str">
        <f t="shared" si="319"/>
        <v/>
      </c>
      <c r="CO52" s="103" t="str">
        <f t="shared" si="320"/>
        <v/>
      </c>
      <c r="CP52" s="104">
        <f t="shared" si="321"/>
        <v>0</v>
      </c>
      <c r="CQ52" s="99" t="str">
        <f t="shared" si="322"/>
        <v/>
      </c>
      <c r="CR52" s="100" t="str">
        <f t="shared" si="323"/>
        <v/>
      </c>
      <c r="CS52" s="101">
        <f t="shared" si="324"/>
        <v>0</v>
      </c>
      <c r="CT52" s="102" t="str">
        <f t="shared" si="325"/>
        <v/>
      </c>
      <c r="CU52" s="103" t="str">
        <f t="shared" si="326"/>
        <v/>
      </c>
      <c r="CV52" s="104">
        <f t="shared" si="327"/>
        <v>0</v>
      </c>
      <c r="CW52" s="99" t="str">
        <f t="shared" si="328"/>
        <v/>
      </c>
      <c r="CX52" s="100" t="str">
        <f t="shared" si="329"/>
        <v/>
      </c>
      <c r="CY52" s="101">
        <f t="shared" si="330"/>
        <v>0</v>
      </c>
      <c r="CZ52" s="102" t="str">
        <f t="shared" si="331"/>
        <v/>
      </c>
      <c r="DA52" s="103" t="str">
        <f t="shared" si="332"/>
        <v/>
      </c>
      <c r="DB52" s="104">
        <f t="shared" si="333"/>
        <v>0</v>
      </c>
      <c r="DC52" s="99" t="str">
        <f t="shared" si="334"/>
        <v/>
      </c>
      <c r="DD52" s="100" t="str">
        <f t="shared" si="335"/>
        <v/>
      </c>
      <c r="DE52" s="101">
        <f t="shared" si="336"/>
        <v>0</v>
      </c>
      <c r="DF52" s="102" t="str">
        <f t="shared" si="337"/>
        <v/>
      </c>
      <c r="DG52" s="103" t="str">
        <f t="shared" si="338"/>
        <v/>
      </c>
      <c r="DH52" s="104">
        <f t="shared" si="339"/>
        <v>0</v>
      </c>
      <c r="DI52" s="99" t="str">
        <f t="shared" si="340"/>
        <v/>
      </c>
      <c r="DJ52" s="100" t="str">
        <f t="shared" si="341"/>
        <v/>
      </c>
      <c r="DK52" s="101">
        <f t="shared" si="342"/>
        <v>0</v>
      </c>
      <c r="DL52" s="102" t="str">
        <f t="shared" si="343"/>
        <v/>
      </c>
      <c r="DM52" s="103" t="str">
        <f t="shared" si="344"/>
        <v/>
      </c>
      <c r="DN52" s="104">
        <f t="shared" si="345"/>
        <v>0</v>
      </c>
      <c r="DO52" s="99" t="str">
        <f t="shared" si="346"/>
        <v/>
      </c>
      <c r="DP52" s="100" t="str">
        <f t="shared" si="347"/>
        <v/>
      </c>
      <c r="DQ52" s="101">
        <f t="shared" si="348"/>
        <v>0</v>
      </c>
      <c r="DR52" s="102" t="str">
        <f t="shared" si="349"/>
        <v/>
      </c>
      <c r="DS52" s="103" t="str">
        <f t="shared" si="350"/>
        <v/>
      </c>
      <c r="DT52" s="104">
        <f t="shared" si="351"/>
        <v>0</v>
      </c>
    </row>
    <row r="53" ht="15.75" customHeight="1">
      <c r="A53" s="12" t="str">
        <f>Menus!B13</f>
        <v/>
      </c>
      <c r="B53" s="32">
        <f t="shared" si="231"/>
        <v>0</v>
      </c>
      <c r="C53" s="32">
        <f t="shared" si="232"/>
        <v>0</v>
      </c>
      <c r="D53" s="32">
        <f t="shared" si="233"/>
        <v>0</v>
      </c>
      <c r="E53" s="93" t="str">
        <f t="shared" si="234"/>
        <v/>
      </c>
      <c r="F53" s="94" t="str">
        <f t="shared" si="235"/>
        <v/>
      </c>
      <c r="G53" s="95">
        <f t="shared" si="236"/>
        <v>0</v>
      </c>
      <c r="H53" s="96" t="str">
        <f t="array" ref="H53">IFERROR(XLOOKUP($A53,'Gastos Admon'!$A$7:$A171,INDIRECT($B$9)),"")</f>
        <v/>
      </c>
      <c r="I53" s="97" t="str">
        <f t="array" ref="I53">IFERROR(XLOOKUP($A53,'Gastos Admon'!$A$7:$A171,INDIRECT($C$9)),"")</f>
        <v/>
      </c>
      <c r="J53" s="98">
        <f t="shared" si="237"/>
        <v>0</v>
      </c>
      <c r="K53" s="99" t="str">
        <f t="shared" si="238"/>
        <v/>
      </c>
      <c r="L53" s="100" t="str">
        <f t="shared" si="239"/>
        <v/>
      </c>
      <c r="M53" s="101">
        <f t="shared" si="240"/>
        <v>0</v>
      </c>
      <c r="N53" s="102" t="str">
        <f t="shared" si="241"/>
        <v/>
      </c>
      <c r="O53" s="103" t="str">
        <f t="shared" si="242"/>
        <v/>
      </c>
      <c r="P53" s="104">
        <f t="shared" si="243"/>
        <v>0</v>
      </c>
      <c r="Q53" s="99" t="str">
        <f t="shared" si="244"/>
        <v/>
      </c>
      <c r="R53" s="100" t="str">
        <f t="shared" si="245"/>
        <v/>
      </c>
      <c r="S53" s="101">
        <f t="shared" si="246"/>
        <v>0</v>
      </c>
      <c r="T53" s="102" t="str">
        <f t="shared" si="247"/>
        <v/>
      </c>
      <c r="U53" s="103" t="str">
        <f t="shared" si="248"/>
        <v/>
      </c>
      <c r="V53" s="104">
        <f t="shared" si="249"/>
        <v>0</v>
      </c>
      <c r="W53" s="99" t="str">
        <f t="shared" si="250"/>
        <v/>
      </c>
      <c r="X53" s="100" t="str">
        <f t="shared" si="251"/>
        <v/>
      </c>
      <c r="Y53" s="101">
        <f t="shared" si="252"/>
        <v>0</v>
      </c>
      <c r="Z53" s="102" t="str">
        <f t="shared" si="253"/>
        <v/>
      </c>
      <c r="AA53" s="103" t="str">
        <f t="shared" si="254"/>
        <v/>
      </c>
      <c r="AB53" s="104">
        <f t="shared" si="255"/>
        <v>0</v>
      </c>
      <c r="AC53" s="99" t="str">
        <f t="shared" si="256"/>
        <v/>
      </c>
      <c r="AD53" s="100" t="str">
        <f t="shared" si="257"/>
        <v/>
      </c>
      <c r="AE53" s="101">
        <f t="shared" si="258"/>
        <v>0</v>
      </c>
      <c r="AF53" s="102" t="str">
        <f t="shared" si="259"/>
        <v/>
      </c>
      <c r="AG53" s="103" t="str">
        <f t="shared" si="260"/>
        <v/>
      </c>
      <c r="AH53" s="104">
        <f t="shared" si="261"/>
        <v>0</v>
      </c>
      <c r="AI53" s="99" t="str">
        <f t="shared" si="262"/>
        <v/>
      </c>
      <c r="AJ53" s="100" t="str">
        <f t="shared" si="263"/>
        <v/>
      </c>
      <c r="AK53" s="101">
        <f t="shared" si="264"/>
        <v>0</v>
      </c>
      <c r="AL53" s="102" t="str">
        <f t="shared" si="265"/>
        <v/>
      </c>
      <c r="AM53" s="103" t="str">
        <f t="shared" si="266"/>
        <v/>
      </c>
      <c r="AN53" s="104">
        <f t="shared" si="267"/>
        <v>0</v>
      </c>
      <c r="AO53" s="99" t="str">
        <f t="shared" si="268"/>
        <v/>
      </c>
      <c r="AP53" s="100" t="str">
        <f t="shared" si="269"/>
        <v/>
      </c>
      <c r="AQ53" s="101">
        <f t="shared" si="270"/>
        <v>0</v>
      </c>
      <c r="AR53" s="102" t="str">
        <f t="shared" si="271"/>
        <v/>
      </c>
      <c r="AS53" s="103" t="str">
        <f t="shared" si="272"/>
        <v/>
      </c>
      <c r="AT53" s="104">
        <f t="shared" si="273"/>
        <v>0</v>
      </c>
      <c r="AU53" s="99" t="str">
        <f t="shared" si="274"/>
        <v/>
      </c>
      <c r="AV53" s="100" t="str">
        <f t="shared" si="275"/>
        <v/>
      </c>
      <c r="AW53" s="101">
        <f t="shared" si="276"/>
        <v>0</v>
      </c>
      <c r="AX53" s="102" t="str">
        <f t="shared" si="277"/>
        <v/>
      </c>
      <c r="AY53" s="103" t="str">
        <f t="shared" si="278"/>
        <v/>
      </c>
      <c r="AZ53" s="104">
        <f t="shared" si="279"/>
        <v>0</v>
      </c>
      <c r="BA53" s="99" t="str">
        <f t="shared" si="280"/>
        <v/>
      </c>
      <c r="BB53" s="100" t="str">
        <f t="shared" si="281"/>
        <v/>
      </c>
      <c r="BC53" s="101">
        <f t="shared" si="282"/>
        <v>0</v>
      </c>
      <c r="BD53" s="102" t="str">
        <f t="shared" si="283"/>
        <v/>
      </c>
      <c r="BE53" s="103" t="str">
        <f t="shared" si="284"/>
        <v/>
      </c>
      <c r="BF53" s="104">
        <f t="shared" si="285"/>
        <v>0</v>
      </c>
      <c r="BG53" s="99" t="str">
        <f t="shared" si="286"/>
        <v/>
      </c>
      <c r="BH53" s="100" t="str">
        <f t="shared" si="287"/>
        <v/>
      </c>
      <c r="BI53" s="101">
        <f t="shared" si="288"/>
        <v>0</v>
      </c>
      <c r="BJ53" s="102" t="str">
        <f t="shared" si="289"/>
        <v/>
      </c>
      <c r="BK53" s="103" t="str">
        <f t="shared" si="290"/>
        <v/>
      </c>
      <c r="BL53" s="104">
        <f t="shared" si="291"/>
        <v>0</v>
      </c>
      <c r="BM53" s="99" t="str">
        <f t="shared" si="292"/>
        <v/>
      </c>
      <c r="BN53" s="100" t="str">
        <f t="shared" si="293"/>
        <v/>
      </c>
      <c r="BO53" s="101">
        <f t="shared" si="294"/>
        <v>0</v>
      </c>
      <c r="BP53" s="102" t="str">
        <f t="shared" si="295"/>
        <v/>
      </c>
      <c r="BQ53" s="103" t="str">
        <f t="shared" si="296"/>
        <v/>
      </c>
      <c r="BR53" s="104">
        <f t="shared" si="297"/>
        <v>0</v>
      </c>
      <c r="BS53" s="99" t="str">
        <f t="shared" si="298"/>
        <v/>
      </c>
      <c r="BT53" s="100" t="str">
        <f t="shared" si="299"/>
        <v/>
      </c>
      <c r="BU53" s="101">
        <f t="shared" si="300"/>
        <v>0</v>
      </c>
      <c r="BV53" s="102" t="str">
        <f t="shared" si="301"/>
        <v/>
      </c>
      <c r="BW53" s="103" t="str">
        <f t="shared" si="302"/>
        <v/>
      </c>
      <c r="BX53" s="104">
        <f t="shared" si="303"/>
        <v>0</v>
      </c>
      <c r="BY53" s="99" t="str">
        <f t="shared" si="304"/>
        <v/>
      </c>
      <c r="BZ53" s="100" t="str">
        <f t="shared" si="305"/>
        <v/>
      </c>
      <c r="CA53" s="101">
        <f t="shared" si="306"/>
        <v>0</v>
      </c>
      <c r="CB53" s="102" t="str">
        <f t="shared" si="307"/>
        <v/>
      </c>
      <c r="CC53" s="103" t="str">
        <f t="shared" si="308"/>
        <v/>
      </c>
      <c r="CD53" s="104">
        <f t="shared" si="309"/>
        <v>0</v>
      </c>
      <c r="CE53" s="99" t="str">
        <f t="shared" si="310"/>
        <v/>
      </c>
      <c r="CF53" s="100" t="str">
        <f t="shared" si="311"/>
        <v/>
      </c>
      <c r="CG53" s="101">
        <f t="shared" si="312"/>
        <v>0</v>
      </c>
      <c r="CH53" s="102" t="str">
        <f t="shared" si="313"/>
        <v/>
      </c>
      <c r="CI53" s="103" t="str">
        <f t="shared" si="314"/>
        <v/>
      </c>
      <c r="CJ53" s="104">
        <f t="shared" si="315"/>
        <v>0</v>
      </c>
      <c r="CK53" s="99" t="str">
        <f t="shared" si="316"/>
        <v/>
      </c>
      <c r="CL53" s="100" t="str">
        <f t="shared" si="317"/>
        <v/>
      </c>
      <c r="CM53" s="101">
        <f t="shared" si="318"/>
        <v>0</v>
      </c>
      <c r="CN53" s="102" t="str">
        <f t="shared" si="319"/>
        <v/>
      </c>
      <c r="CO53" s="103" t="str">
        <f t="shared" si="320"/>
        <v/>
      </c>
      <c r="CP53" s="104">
        <f t="shared" si="321"/>
        <v>0</v>
      </c>
      <c r="CQ53" s="99" t="str">
        <f t="shared" si="322"/>
        <v/>
      </c>
      <c r="CR53" s="100" t="str">
        <f t="shared" si="323"/>
        <v/>
      </c>
      <c r="CS53" s="101">
        <f t="shared" si="324"/>
        <v>0</v>
      </c>
      <c r="CT53" s="102" t="str">
        <f t="shared" si="325"/>
        <v/>
      </c>
      <c r="CU53" s="103" t="str">
        <f t="shared" si="326"/>
        <v/>
      </c>
      <c r="CV53" s="104">
        <f t="shared" si="327"/>
        <v>0</v>
      </c>
      <c r="CW53" s="99" t="str">
        <f t="shared" si="328"/>
        <v/>
      </c>
      <c r="CX53" s="100" t="str">
        <f t="shared" si="329"/>
        <v/>
      </c>
      <c r="CY53" s="101">
        <f t="shared" si="330"/>
        <v>0</v>
      </c>
      <c r="CZ53" s="102" t="str">
        <f t="shared" si="331"/>
        <v/>
      </c>
      <c r="DA53" s="103" t="str">
        <f t="shared" si="332"/>
        <v/>
      </c>
      <c r="DB53" s="104">
        <f t="shared" si="333"/>
        <v>0</v>
      </c>
      <c r="DC53" s="99" t="str">
        <f t="shared" si="334"/>
        <v/>
      </c>
      <c r="DD53" s="100" t="str">
        <f t="shared" si="335"/>
        <v/>
      </c>
      <c r="DE53" s="101">
        <f t="shared" si="336"/>
        <v>0</v>
      </c>
      <c r="DF53" s="102" t="str">
        <f t="shared" si="337"/>
        <v/>
      </c>
      <c r="DG53" s="103" t="str">
        <f t="shared" si="338"/>
        <v/>
      </c>
      <c r="DH53" s="104">
        <f t="shared" si="339"/>
        <v>0</v>
      </c>
      <c r="DI53" s="99" t="str">
        <f t="shared" si="340"/>
        <v/>
      </c>
      <c r="DJ53" s="100" t="str">
        <f t="shared" si="341"/>
        <v/>
      </c>
      <c r="DK53" s="101">
        <f t="shared" si="342"/>
        <v>0</v>
      </c>
      <c r="DL53" s="102" t="str">
        <f t="shared" si="343"/>
        <v/>
      </c>
      <c r="DM53" s="103" t="str">
        <f t="shared" si="344"/>
        <v/>
      </c>
      <c r="DN53" s="104">
        <f t="shared" si="345"/>
        <v>0</v>
      </c>
      <c r="DO53" s="99" t="str">
        <f t="shared" si="346"/>
        <v/>
      </c>
      <c r="DP53" s="100" t="str">
        <f t="shared" si="347"/>
        <v/>
      </c>
      <c r="DQ53" s="101">
        <f t="shared" si="348"/>
        <v>0</v>
      </c>
      <c r="DR53" s="102" t="str">
        <f t="shared" si="349"/>
        <v/>
      </c>
      <c r="DS53" s="103" t="str">
        <f t="shared" si="350"/>
        <v/>
      </c>
      <c r="DT53" s="104">
        <f t="shared" si="351"/>
        <v>0</v>
      </c>
    </row>
    <row r="54" ht="15.75" customHeight="1">
      <c r="A54" s="12" t="str">
        <f>Menus!B14</f>
        <v/>
      </c>
      <c r="B54" s="32">
        <f t="shared" si="231"/>
        <v>0</v>
      </c>
      <c r="C54" s="32">
        <f t="shared" si="232"/>
        <v>0</v>
      </c>
      <c r="D54" s="32">
        <f t="shared" si="233"/>
        <v>0</v>
      </c>
      <c r="E54" s="93" t="str">
        <f t="shared" si="234"/>
        <v/>
      </c>
      <c r="F54" s="94" t="str">
        <f t="shared" si="235"/>
        <v/>
      </c>
      <c r="G54" s="95">
        <f t="shared" si="236"/>
        <v>0</v>
      </c>
      <c r="H54" s="96" t="str">
        <f t="array" ref="H54">IFERROR(XLOOKUP($A54,'Gastos Admon'!$A$7:$A171,INDIRECT($B$9)),"")</f>
        <v/>
      </c>
      <c r="I54" s="97" t="str">
        <f t="array" ref="I54">IFERROR(XLOOKUP($A54,'Gastos Admon'!$A$7:$A171,INDIRECT($C$9)),"")</f>
        <v/>
      </c>
      <c r="J54" s="98">
        <f t="shared" si="237"/>
        <v>0</v>
      </c>
      <c r="K54" s="99" t="str">
        <f t="shared" si="238"/>
        <v/>
      </c>
      <c r="L54" s="100" t="str">
        <f t="shared" si="239"/>
        <v/>
      </c>
      <c r="M54" s="101">
        <f t="shared" si="240"/>
        <v>0</v>
      </c>
      <c r="N54" s="102" t="str">
        <f t="shared" si="241"/>
        <v/>
      </c>
      <c r="O54" s="103" t="str">
        <f t="shared" si="242"/>
        <v/>
      </c>
      <c r="P54" s="104">
        <f t="shared" si="243"/>
        <v>0</v>
      </c>
      <c r="Q54" s="99" t="str">
        <f t="shared" si="244"/>
        <v/>
      </c>
      <c r="R54" s="100" t="str">
        <f t="shared" si="245"/>
        <v/>
      </c>
      <c r="S54" s="101">
        <f t="shared" si="246"/>
        <v>0</v>
      </c>
      <c r="T54" s="102" t="str">
        <f t="shared" si="247"/>
        <v/>
      </c>
      <c r="U54" s="103" t="str">
        <f t="shared" si="248"/>
        <v/>
      </c>
      <c r="V54" s="104">
        <f t="shared" si="249"/>
        <v>0</v>
      </c>
      <c r="W54" s="99" t="str">
        <f t="shared" si="250"/>
        <v/>
      </c>
      <c r="X54" s="100" t="str">
        <f t="shared" si="251"/>
        <v/>
      </c>
      <c r="Y54" s="101">
        <f t="shared" si="252"/>
        <v>0</v>
      </c>
      <c r="Z54" s="102" t="str">
        <f t="shared" si="253"/>
        <v/>
      </c>
      <c r="AA54" s="103" t="str">
        <f t="shared" si="254"/>
        <v/>
      </c>
      <c r="AB54" s="104">
        <f t="shared" si="255"/>
        <v>0</v>
      </c>
      <c r="AC54" s="99" t="str">
        <f t="shared" si="256"/>
        <v/>
      </c>
      <c r="AD54" s="100" t="str">
        <f t="shared" si="257"/>
        <v/>
      </c>
      <c r="AE54" s="101">
        <f t="shared" si="258"/>
        <v>0</v>
      </c>
      <c r="AF54" s="102" t="str">
        <f t="shared" si="259"/>
        <v/>
      </c>
      <c r="AG54" s="103" t="str">
        <f t="shared" si="260"/>
        <v/>
      </c>
      <c r="AH54" s="104">
        <f t="shared" si="261"/>
        <v>0</v>
      </c>
      <c r="AI54" s="99" t="str">
        <f t="shared" si="262"/>
        <v/>
      </c>
      <c r="AJ54" s="100" t="str">
        <f t="shared" si="263"/>
        <v/>
      </c>
      <c r="AK54" s="101">
        <f t="shared" si="264"/>
        <v>0</v>
      </c>
      <c r="AL54" s="102" t="str">
        <f t="shared" si="265"/>
        <v/>
      </c>
      <c r="AM54" s="103" t="str">
        <f t="shared" si="266"/>
        <v/>
      </c>
      <c r="AN54" s="104">
        <f t="shared" si="267"/>
        <v>0</v>
      </c>
      <c r="AO54" s="99" t="str">
        <f t="shared" si="268"/>
        <v/>
      </c>
      <c r="AP54" s="100" t="str">
        <f t="shared" si="269"/>
        <v/>
      </c>
      <c r="AQ54" s="101">
        <f t="shared" si="270"/>
        <v>0</v>
      </c>
      <c r="AR54" s="102" t="str">
        <f t="shared" si="271"/>
        <v/>
      </c>
      <c r="AS54" s="103" t="str">
        <f t="shared" si="272"/>
        <v/>
      </c>
      <c r="AT54" s="104">
        <f t="shared" si="273"/>
        <v>0</v>
      </c>
      <c r="AU54" s="99" t="str">
        <f t="shared" si="274"/>
        <v/>
      </c>
      <c r="AV54" s="100" t="str">
        <f t="shared" si="275"/>
        <v/>
      </c>
      <c r="AW54" s="101">
        <f t="shared" si="276"/>
        <v>0</v>
      </c>
      <c r="AX54" s="102" t="str">
        <f t="shared" si="277"/>
        <v/>
      </c>
      <c r="AY54" s="103" t="str">
        <f t="shared" si="278"/>
        <v/>
      </c>
      <c r="AZ54" s="104">
        <f t="shared" si="279"/>
        <v>0</v>
      </c>
      <c r="BA54" s="99" t="str">
        <f t="shared" si="280"/>
        <v/>
      </c>
      <c r="BB54" s="100" t="str">
        <f t="shared" si="281"/>
        <v/>
      </c>
      <c r="BC54" s="101">
        <f t="shared" si="282"/>
        <v>0</v>
      </c>
      <c r="BD54" s="102" t="str">
        <f t="shared" si="283"/>
        <v/>
      </c>
      <c r="BE54" s="103" t="str">
        <f t="shared" si="284"/>
        <v/>
      </c>
      <c r="BF54" s="104">
        <f t="shared" si="285"/>
        <v>0</v>
      </c>
      <c r="BG54" s="99" t="str">
        <f t="shared" si="286"/>
        <v/>
      </c>
      <c r="BH54" s="100" t="str">
        <f t="shared" si="287"/>
        <v/>
      </c>
      <c r="BI54" s="101">
        <f t="shared" si="288"/>
        <v>0</v>
      </c>
      <c r="BJ54" s="102" t="str">
        <f t="shared" si="289"/>
        <v/>
      </c>
      <c r="BK54" s="103" t="str">
        <f t="shared" si="290"/>
        <v/>
      </c>
      <c r="BL54" s="104">
        <f t="shared" si="291"/>
        <v>0</v>
      </c>
      <c r="BM54" s="99" t="str">
        <f t="shared" si="292"/>
        <v/>
      </c>
      <c r="BN54" s="100" t="str">
        <f t="shared" si="293"/>
        <v/>
      </c>
      <c r="BO54" s="101">
        <f t="shared" si="294"/>
        <v>0</v>
      </c>
      <c r="BP54" s="102" t="str">
        <f t="shared" si="295"/>
        <v/>
      </c>
      <c r="BQ54" s="103" t="str">
        <f t="shared" si="296"/>
        <v/>
      </c>
      <c r="BR54" s="104">
        <f t="shared" si="297"/>
        <v>0</v>
      </c>
      <c r="BS54" s="99" t="str">
        <f t="shared" si="298"/>
        <v/>
      </c>
      <c r="BT54" s="100" t="str">
        <f t="shared" si="299"/>
        <v/>
      </c>
      <c r="BU54" s="101">
        <f t="shared" si="300"/>
        <v>0</v>
      </c>
      <c r="BV54" s="102" t="str">
        <f t="shared" si="301"/>
        <v/>
      </c>
      <c r="BW54" s="103" t="str">
        <f t="shared" si="302"/>
        <v/>
      </c>
      <c r="BX54" s="104">
        <f t="shared" si="303"/>
        <v>0</v>
      </c>
      <c r="BY54" s="99" t="str">
        <f t="shared" si="304"/>
        <v/>
      </c>
      <c r="BZ54" s="100" t="str">
        <f t="shared" si="305"/>
        <v/>
      </c>
      <c r="CA54" s="101">
        <f t="shared" si="306"/>
        <v>0</v>
      </c>
      <c r="CB54" s="102" t="str">
        <f t="shared" si="307"/>
        <v/>
      </c>
      <c r="CC54" s="103" t="str">
        <f t="shared" si="308"/>
        <v/>
      </c>
      <c r="CD54" s="104">
        <f t="shared" si="309"/>
        <v>0</v>
      </c>
      <c r="CE54" s="99" t="str">
        <f t="shared" si="310"/>
        <v/>
      </c>
      <c r="CF54" s="100" t="str">
        <f t="shared" si="311"/>
        <v/>
      </c>
      <c r="CG54" s="101">
        <f t="shared" si="312"/>
        <v>0</v>
      </c>
      <c r="CH54" s="102" t="str">
        <f t="shared" si="313"/>
        <v/>
      </c>
      <c r="CI54" s="103" t="str">
        <f t="shared" si="314"/>
        <v/>
      </c>
      <c r="CJ54" s="104">
        <f t="shared" si="315"/>
        <v>0</v>
      </c>
      <c r="CK54" s="99" t="str">
        <f t="shared" si="316"/>
        <v/>
      </c>
      <c r="CL54" s="100" t="str">
        <f t="shared" si="317"/>
        <v/>
      </c>
      <c r="CM54" s="101">
        <f t="shared" si="318"/>
        <v>0</v>
      </c>
      <c r="CN54" s="102" t="str">
        <f t="shared" si="319"/>
        <v/>
      </c>
      <c r="CO54" s="103" t="str">
        <f t="shared" si="320"/>
        <v/>
      </c>
      <c r="CP54" s="104">
        <f t="shared" si="321"/>
        <v>0</v>
      </c>
      <c r="CQ54" s="99" t="str">
        <f t="shared" si="322"/>
        <v/>
      </c>
      <c r="CR54" s="100" t="str">
        <f t="shared" si="323"/>
        <v/>
      </c>
      <c r="CS54" s="101">
        <f t="shared" si="324"/>
        <v>0</v>
      </c>
      <c r="CT54" s="102" t="str">
        <f t="shared" si="325"/>
        <v/>
      </c>
      <c r="CU54" s="103" t="str">
        <f t="shared" si="326"/>
        <v/>
      </c>
      <c r="CV54" s="104">
        <f t="shared" si="327"/>
        <v>0</v>
      </c>
      <c r="CW54" s="99" t="str">
        <f t="shared" si="328"/>
        <v/>
      </c>
      <c r="CX54" s="100" t="str">
        <f t="shared" si="329"/>
        <v/>
      </c>
      <c r="CY54" s="101">
        <f t="shared" si="330"/>
        <v>0</v>
      </c>
      <c r="CZ54" s="102" t="str">
        <f t="shared" si="331"/>
        <v/>
      </c>
      <c r="DA54" s="103" t="str">
        <f t="shared" si="332"/>
        <v/>
      </c>
      <c r="DB54" s="104">
        <f t="shared" si="333"/>
        <v>0</v>
      </c>
      <c r="DC54" s="99" t="str">
        <f t="shared" si="334"/>
        <v/>
      </c>
      <c r="DD54" s="100" t="str">
        <f t="shared" si="335"/>
        <v/>
      </c>
      <c r="DE54" s="101">
        <f t="shared" si="336"/>
        <v>0</v>
      </c>
      <c r="DF54" s="102" t="str">
        <f t="shared" si="337"/>
        <v/>
      </c>
      <c r="DG54" s="103" t="str">
        <f t="shared" si="338"/>
        <v/>
      </c>
      <c r="DH54" s="104">
        <f t="shared" si="339"/>
        <v>0</v>
      </c>
      <c r="DI54" s="99" t="str">
        <f t="shared" si="340"/>
        <v/>
      </c>
      <c r="DJ54" s="100" t="str">
        <f t="shared" si="341"/>
        <v/>
      </c>
      <c r="DK54" s="101">
        <f t="shared" si="342"/>
        <v>0</v>
      </c>
      <c r="DL54" s="102" t="str">
        <f t="shared" si="343"/>
        <v/>
      </c>
      <c r="DM54" s="103" t="str">
        <f t="shared" si="344"/>
        <v/>
      </c>
      <c r="DN54" s="104">
        <f t="shared" si="345"/>
        <v>0</v>
      </c>
      <c r="DO54" s="99" t="str">
        <f t="shared" si="346"/>
        <v/>
      </c>
      <c r="DP54" s="100" t="str">
        <f t="shared" si="347"/>
        <v/>
      </c>
      <c r="DQ54" s="101">
        <f t="shared" si="348"/>
        <v>0</v>
      </c>
      <c r="DR54" s="102" t="str">
        <f t="shared" si="349"/>
        <v/>
      </c>
      <c r="DS54" s="103" t="str">
        <f t="shared" si="350"/>
        <v/>
      </c>
      <c r="DT54" s="104">
        <f t="shared" si="351"/>
        <v>0</v>
      </c>
    </row>
    <row r="55" ht="15.75" customHeight="1">
      <c r="A55" s="12" t="str">
        <f>Menus!B15</f>
        <v/>
      </c>
      <c r="B55" s="32">
        <f t="shared" si="231"/>
        <v>0</v>
      </c>
      <c r="C55" s="32">
        <f t="shared" si="232"/>
        <v>0</v>
      </c>
      <c r="D55" s="32">
        <f t="shared" si="233"/>
        <v>0</v>
      </c>
      <c r="E55" s="93" t="str">
        <f t="shared" si="234"/>
        <v/>
      </c>
      <c r="F55" s="94" t="str">
        <f t="shared" si="235"/>
        <v/>
      </c>
      <c r="G55" s="95">
        <f t="shared" si="236"/>
        <v>0</v>
      </c>
      <c r="H55" s="96" t="str">
        <f t="array" ref="H55">IFERROR(XLOOKUP($A55,'Gastos Admon'!$A$7:$A171,INDIRECT($B$9)),"")</f>
        <v/>
      </c>
      <c r="I55" s="97" t="str">
        <f t="array" ref="I55">IFERROR(XLOOKUP($A55,'Gastos Admon'!$A$7:$A171,INDIRECT($C$9)),"")</f>
        <v/>
      </c>
      <c r="J55" s="98">
        <f t="shared" si="237"/>
        <v>0</v>
      </c>
      <c r="K55" s="99" t="str">
        <f t="shared" si="238"/>
        <v/>
      </c>
      <c r="L55" s="100" t="str">
        <f t="shared" si="239"/>
        <v/>
      </c>
      <c r="M55" s="101">
        <f t="shared" si="240"/>
        <v>0</v>
      </c>
      <c r="N55" s="102" t="str">
        <f t="shared" si="241"/>
        <v/>
      </c>
      <c r="O55" s="103" t="str">
        <f t="shared" si="242"/>
        <v/>
      </c>
      <c r="P55" s="104">
        <f t="shared" si="243"/>
        <v>0</v>
      </c>
      <c r="Q55" s="99" t="str">
        <f t="shared" si="244"/>
        <v/>
      </c>
      <c r="R55" s="100" t="str">
        <f t="shared" si="245"/>
        <v/>
      </c>
      <c r="S55" s="101">
        <f t="shared" si="246"/>
        <v>0</v>
      </c>
      <c r="T55" s="102" t="str">
        <f t="shared" si="247"/>
        <v/>
      </c>
      <c r="U55" s="103" t="str">
        <f t="shared" si="248"/>
        <v/>
      </c>
      <c r="V55" s="104">
        <f t="shared" si="249"/>
        <v>0</v>
      </c>
      <c r="W55" s="99" t="str">
        <f t="shared" si="250"/>
        <v/>
      </c>
      <c r="X55" s="100" t="str">
        <f t="shared" si="251"/>
        <v/>
      </c>
      <c r="Y55" s="101">
        <f t="shared" si="252"/>
        <v>0</v>
      </c>
      <c r="Z55" s="102" t="str">
        <f t="shared" si="253"/>
        <v/>
      </c>
      <c r="AA55" s="103" t="str">
        <f t="shared" si="254"/>
        <v/>
      </c>
      <c r="AB55" s="104">
        <f t="shared" si="255"/>
        <v>0</v>
      </c>
      <c r="AC55" s="99" t="str">
        <f t="shared" si="256"/>
        <v/>
      </c>
      <c r="AD55" s="100" t="str">
        <f t="shared" si="257"/>
        <v/>
      </c>
      <c r="AE55" s="101">
        <f t="shared" si="258"/>
        <v>0</v>
      </c>
      <c r="AF55" s="102" t="str">
        <f t="shared" si="259"/>
        <v/>
      </c>
      <c r="AG55" s="103" t="str">
        <f t="shared" si="260"/>
        <v/>
      </c>
      <c r="AH55" s="104">
        <f t="shared" si="261"/>
        <v>0</v>
      </c>
      <c r="AI55" s="99" t="str">
        <f t="shared" si="262"/>
        <v/>
      </c>
      <c r="AJ55" s="100" t="str">
        <f t="shared" si="263"/>
        <v/>
      </c>
      <c r="AK55" s="101">
        <f t="shared" si="264"/>
        <v>0</v>
      </c>
      <c r="AL55" s="102" t="str">
        <f t="shared" si="265"/>
        <v/>
      </c>
      <c r="AM55" s="103" t="str">
        <f t="shared" si="266"/>
        <v/>
      </c>
      <c r="AN55" s="104">
        <f t="shared" si="267"/>
        <v>0</v>
      </c>
      <c r="AO55" s="99" t="str">
        <f t="shared" si="268"/>
        <v/>
      </c>
      <c r="AP55" s="100" t="str">
        <f t="shared" si="269"/>
        <v/>
      </c>
      <c r="AQ55" s="101">
        <f t="shared" si="270"/>
        <v>0</v>
      </c>
      <c r="AR55" s="102" t="str">
        <f t="shared" si="271"/>
        <v/>
      </c>
      <c r="AS55" s="103" t="str">
        <f t="shared" si="272"/>
        <v/>
      </c>
      <c r="AT55" s="104">
        <f t="shared" si="273"/>
        <v>0</v>
      </c>
      <c r="AU55" s="99" t="str">
        <f t="shared" si="274"/>
        <v/>
      </c>
      <c r="AV55" s="100" t="str">
        <f t="shared" si="275"/>
        <v/>
      </c>
      <c r="AW55" s="101">
        <f t="shared" si="276"/>
        <v>0</v>
      </c>
      <c r="AX55" s="102" t="str">
        <f t="shared" si="277"/>
        <v/>
      </c>
      <c r="AY55" s="103" t="str">
        <f t="shared" si="278"/>
        <v/>
      </c>
      <c r="AZ55" s="104">
        <f t="shared" si="279"/>
        <v>0</v>
      </c>
      <c r="BA55" s="99" t="str">
        <f t="shared" si="280"/>
        <v/>
      </c>
      <c r="BB55" s="100" t="str">
        <f t="shared" si="281"/>
        <v/>
      </c>
      <c r="BC55" s="101">
        <f t="shared" si="282"/>
        <v>0</v>
      </c>
      <c r="BD55" s="102" t="str">
        <f t="shared" si="283"/>
        <v/>
      </c>
      <c r="BE55" s="103" t="str">
        <f t="shared" si="284"/>
        <v/>
      </c>
      <c r="BF55" s="104">
        <f t="shared" si="285"/>
        <v>0</v>
      </c>
      <c r="BG55" s="99" t="str">
        <f t="shared" si="286"/>
        <v/>
      </c>
      <c r="BH55" s="100" t="str">
        <f t="shared" si="287"/>
        <v/>
      </c>
      <c r="BI55" s="101">
        <f t="shared" si="288"/>
        <v>0</v>
      </c>
      <c r="BJ55" s="102" t="str">
        <f t="shared" si="289"/>
        <v/>
      </c>
      <c r="BK55" s="103" t="str">
        <f t="shared" si="290"/>
        <v/>
      </c>
      <c r="BL55" s="104">
        <f t="shared" si="291"/>
        <v>0</v>
      </c>
      <c r="BM55" s="99" t="str">
        <f t="shared" si="292"/>
        <v/>
      </c>
      <c r="BN55" s="100" t="str">
        <f t="shared" si="293"/>
        <v/>
      </c>
      <c r="BO55" s="101">
        <f t="shared" si="294"/>
        <v>0</v>
      </c>
      <c r="BP55" s="102" t="str">
        <f t="shared" si="295"/>
        <v/>
      </c>
      <c r="BQ55" s="103" t="str">
        <f t="shared" si="296"/>
        <v/>
      </c>
      <c r="BR55" s="104">
        <f t="shared" si="297"/>
        <v>0</v>
      </c>
      <c r="BS55" s="99" t="str">
        <f t="shared" si="298"/>
        <v/>
      </c>
      <c r="BT55" s="100" t="str">
        <f t="shared" si="299"/>
        <v/>
      </c>
      <c r="BU55" s="101">
        <f t="shared" si="300"/>
        <v>0</v>
      </c>
      <c r="BV55" s="102" t="str">
        <f t="shared" si="301"/>
        <v/>
      </c>
      <c r="BW55" s="103" t="str">
        <f t="shared" si="302"/>
        <v/>
      </c>
      <c r="BX55" s="104">
        <f t="shared" si="303"/>
        <v>0</v>
      </c>
      <c r="BY55" s="99" t="str">
        <f t="shared" si="304"/>
        <v/>
      </c>
      <c r="BZ55" s="100" t="str">
        <f t="shared" si="305"/>
        <v/>
      </c>
      <c r="CA55" s="101">
        <f t="shared" si="306"/>
        <v>0</v>
      </c>
      <c r="CB55" s="102" t="str">
        <f t="shared" si="307"/>
        <v/>
      </c>
      <c r="CC55" s="103" t="str">
        <f t="shared" si="308"/>
        <v/>
      </c>
      <c r="CD55" s="104">
        <f t="shared" si="309"/>
        <v>0</v>
      </c>
      <c r="CE55" s="99" t="str">
        <f t="shared" si="310"/>
        <v/>
      </c>
      <c r="CF55" s="100" t="str">
        <f t="shared" si="311"/>
        <v/>
      </c>
      <c r="CG55" s="101">
        <f t="shared" si="312"/>
        <v>0</v>
      </c>
      <c r="CH55" s="102" t="str">
        <f t="shared" si="313"/>
        <v/>
      </c>
      <c r="CI55" s="103" t="str">
        <f t="shared" si="314"/>
        <v/>
      </c>
      <c r="CJ55" s="104">
        <f t="shared" si="315"/>
        <v>0</v>
      </c>
      <c r="CK55" s="99" t="str">
        <f t="shared" si="316"/>
        <v/>
      </c>
      <c r="CL55" s="100" t="str">
        <f t="shared" si="317"/>
        <v/>
      </c>
      <c r="CM55" s="101">
        <f t="shared" si="318"/>
        <v>0</v>
      </c>
      <c r="CN55" s="102" t="str">
        <f t="shared" si="319"/>
        <v/>
      </c>
      <c r="CO55" s="103" t="str">
        <f t="shared" si="320"/>
        <v/>
      </c>
      <c r="CP55" s="104">
        <f t="shared" si="321"/>
        <v>0</v>
      </c>
      <c r="CQ55" s="99" t="str">
        <f t="shared" si="322"/>
        <v/>
      </c>
      <c r="CR55" s="100" t="str">
        <f t="shared" si="323"/>
        <v/>
      </c>
      <c r="CS55" s="101">
        <f t="shared" si="324"/>
        <v>0</v>
      </c>
      <c r="CT55" s="102" t="str">
        <f t="shared" si="325"/>
        <v/>
      </c>
      <c r="CU55" s="103" t="str">
        <f t="shared" si="326"/>
        <v/>
      </c>
      <c r="CV55" s="104">
        <f t="shared" si="327"/>
        <v>0</v>
      </c>
      <c r="CW55" s="99" t="str">
        <f t="shared" si="328"/>
        <v/>
      </c>
      <c r="CX55" s="100" t="str">
        <f t="shared" si="329"/>
        <v/>
      </c>
      <c r="CY55" s="101">
        <f t="shared" si="330"/>
        <v>0</v>
      </c>
      <c r="CZ55" s="102" t="str">
        <f t="shared" si="331"/>
        <v/>
      </c>
      <c r="DA55" s="103" t="str">
        <f t="shared" si="332"/>
        <v/>
      </c>
      <c r="DB55" s="104">
        <f t="shared" si="333"/>
        <v>0</v>
      </c>
      <c r="DC55" s="99" t="str">
        <f t="shared" si="334"/>
        <v/>
      </c>
      <c r="DD55" s="100" t="str">
        <f t="shared" si="335"/>
        <v/>
      </c>
      <c r="DE55" s="101">
        <f t="shared" si="336"/>
        <v>0</v>
      </c>
      <c r="DF55" s="102" t="str">
        <f t="shared" si="337"/>
        <v/>
      </c>
      <c r="DG55" s="103" t="str">
        <f t="shared" si="338"/>
        <v/>
      </c>
      <c r="DH55" s="104">
        <f t="shared" si="339"/>
        <v>0</v>
      </c>
      <c r="DI55" s="99" t="str">
        <f t="shared" si="340"/>
        <v/>
      </c>
      <c r="DJ55" s="100" t="str">
        <f t="shared" si="341"/>
        <v/>
      </c>
      <c r="DK55" s="101">
        <f t="shared" si="342"/>
        <v>0</v>
      </c>
      <c r="DL55" s="102" t="str">
        <f t="shared" si="343"/>
        <v/>
      </c>
      <c r="DM55" s="103" t="str">
        <f t="shared" si="344"/>
        <v/>
      </c>
      <c r="DN55" s="104">
        <f t="shared" si="345"/>
        <v>0</v>
      </c>
      <c r="DO55" s="99" t="str">
        <f t="shared" si="346"/>
        <v/>
      </c>
      <c r="DP55" s="100" t="str">
        <f t="shared" si="347"/>
        <v/>
      </c>
      <c r="DQ55" s="101">
        <f t="shared" si="348"/>
        <v>0</v>
      </c>
      <c r="DR55" s="102" t="str">
        <f t="shared" si="349"/>
        <v/>
      </c>
      <c r="DS55" s="103" t="str">
        <f t="shared" si="350"/>
        <v/>
      </c>
      <c r="DT55" s="104">
        <f t="shared" si="351"/>
        <v>0</v>
      </c>
    </row>
    <row r="56" ht="15.75" customHeight="1">
      <c r="A56" s="12" t="str">
        <f>Menus!B16</f>
        <v/>
      </c>
      <c r="B56" s="32">
        <f t="shared" si="231"/>
        <v>0</v>
      </c>
      <c r="C56" s="32">
        <f t="shared" si="232"/>
        <v>0</v>
      </c>
      <c r="D56" s="32">
        <f t="shared" si="233"/>
        <v>0</v>
      </c>
      <c r="E56" s="93" t="str">
        <f t="shared" si="234"/>
        <v/>
      </c>
      <c r="F56" s="94" t="str">
        <f t="shared" si="235"/>
        <v/>
      </c>
      <c r="G56" s="95">
        <f t="shared" si="236"/>
        <v>0</v>
      </c>
      <c r="H56" s="96" t="str">
        <f t="array" ref="H56">IFERROR(XLOOKUP($A56,'Gastos Admon'!$A$7:$A171,INDIRECT($B$9)),"")</f>
        <v/>
      </c>
      <c r="I56" s="97" t="str">
        <f t="array" ref="I56">IFERROR(XLOOKUP($A56,'Gastos Admon'!$A$7:$A171,INDIRECT($C$9)),"")</f>
        <v/>
      </c>
      <c r="J56" s="98">
        <f t="shared" si="237"/>
        <v>0</v>
      </c>
      <c r="K56" s="99" t="str">
        <f t="shared" si="238"/>
        <v/>
      </c>
      <c r="L56" s="100" t="str">
        <f t="shared" si="239"/>
        <v/>
      </c>
      <c r="M56" s="101">
        <f t="shared" si="240"/>
        <v>0</v>
      </c>
      <c r="N56" s="102" t="str">
        <f t="shared" si="241"/>
        <v/>
      </c>
      <c r="O56" s="103" t="str">
        <f t="shared" si="242"/>
        <v/>
      </c>
      <c r="P56" s="104">
        <f t="shared" si="243"/>
        <v>0</v>
      </c>
      <c r="Q56" s="99" t="str">
        <f t="shared" si="244"/>
        <v/>
      </c>
      <c r="R56" s="100" t="str">
        <f t="shared" si="245"/>
        <v/>
      </c>
      <c r="S56" s="101">
        <f t="shared" si="246"/>
        <v>0</v>
      </c>
      <c r="T56" s="102" t="str">
        <f t="shared" si="247"/>
        <v/>
      </c>
      <c r="U56" s="103" t="str">
        <f t="shared" si="248"/>
        <v/>
      </c>
      <c r="V56" s="104">
        <f t="shared" si="249"/>
        <v>0</v>
      </c>
      <c r="W56" s="99" t="str">
        <f t="shared" si="250"/>
        <v/>
      </c>
      <c r="X56" s="100" t="str">
        <f t="shared" si="251"/>
        <v/>
      </c>
      <c r="Y56" s="101">
        <f t="shared" si="252"/>
        <v>0</v>
      </c>
      <c r="Z56" s="102" t="str">
        <f t="shared" si="253"/>
        <v/>
      </c>
      <c r="AA56" s="103" t="str">
        <f t="shared" si="254"/>
        <v/>
      </c>
      <c r="AB56" s="104">
        <f t="shared" si="255"/>
        <v>0</v>
      </c>
      <c r="AC56" s="99" t="str">
        <f t="shared" si="256"/>
        <v/>
      </c>
      <c r="AD56" s="100" t="str">
        <f t="shared" si="257"/>
        <v/>
      </c>
      <c r="AE56" s="101">
        <f t="shared" si="258"/>
        <v>0</v>
      </c>
      <c r="AF56" s="102" t="str">
        <f t="shared" si="259"/>
        <v/>
      </c>
      <c r="AG56" s="103" t="str">
        <f t="shared" si="260"/>
        <v/>
      </c>
      <c r="AH56" s="104">
        <f t="shared" si="261"/>
        <v>0</v>
      </c>
      <c r="AI56" s="99" t="str">
        <f t="shared" si="262"/>
        <v/>
      </c>
      <c r="AJ56" s="100" t="str">
        <f t="shared" si="263"/>
        <v/>
      </c>
      <c r="AK56" s="101">
        <f t="shared" si="264"/>
        <v>0</v>
      </c>
      <c r="AL56" s="102" t="str">
        <f t="shared" si="265"/>
        <v/>
      </c>
      <c r="AM56" s="103" t="str">
        <f t="shared" si="266"/>
        <v/>
      </c>
      <c r="AN56" s="104">
        <f t="shared" si="267"/>
        <v>0</v>
      </c>
      <c r="AO56" s="99" t="str">
        <f t="shared" si="268"/>
        <v/>
      </c>
      <c r="AP56" s="100" t="str">
        <f t="shared" si="269"/>
        <v/>
      </c>
      <c r="AQ56" s="101">
        <f t="shared" si="270"/>
        <v>0</v>
      </c>
      <c r="AR56" s="102" t="str">
        <f t="shared" si="271"/>
        <v/>
      </c>
      <c r="AS56" s="103" t="str">
        <f t="shared" si="272"/>
        <v/>
      </c>
      <c r="AT56" s="104">
        <f t="shared" si="273"/>
        <v>0</v>
      </c>
      <c r="AU56" s="99" t="str">
        <f t="shared" si="274"/>
        <v/>
      </c>
      <c r="AV56" s="100" t="str">
        <f t="shared" si="275"/>
        <v/>
      </c>
      <c r="AW56" s="101">
        <f t="shared" si="276"/>
        <v>0</v>
      </c>
      <c r="AX56" s="102" t="str">
        <f t="shared" si="277"/>
        <v/>
      </c>
      <c r="AY56" s="103" t="str">
        <f t="shared" si="278"/>
        <v/>
      </c>
      <c r="AZ56" s="104">
        <f t="shared" si="279"/>
        <v>0</v>
      </c>
      <c r="BA56" s="99" t="str">
        <f t="shared" si="280"/>
        <v/>
      </c>
      <c r="BB56" s="100" t="str">
        <f t="shared" si="281"/>
        <v/>
      </c>
      <c r="BC56" s="101">
        <f t="shared" si="282"/>
        <v>0</v>
      </c>
      <c r="BD56" s="102" t="str">
        <f t="shared" si="283"/>
        <v/>
      </c>
      <c r="BE56" s="103" t="str">
        <f t="shared" si="284"/>
        <v/>
      </c>
      <c r="BF56" s="104">
        <f t="shared" si="285"/>
        <v>0</v>
      </c>
      <c r="BG56" s="99" t="str">
        <f t="shared" si="286"/>
        <v/>
      </c>
      <c r="BH56" s="100" t="str">
        <f t="shared" si="287"/>
        <v/>
      </c>
      <c r="BI56" s="101">
        <f t="shared" si="288"/>
        <v>0</v>
      </c>
      <c r="BJ56" s="102" t="str">
        <f t="shared" si="289"/>
        <v/>
      </c>
      <c r="BK56" s="103" t="str">
        <f t="shared" si="290"/>
        <v/>
      </c>
      <c r="BL56" s="104">
        <f t="shared" si="291"/>
        <v>0</v>
      </c>
      <c r="BM56" s="99" t="str">
        <f t="shared" si="292"/>
        <v/>
      </c>
      <c r="BN56" s="100" t="str">
        <f t="shared" si="293"/>
        <v/>
      </c>
      <c r="BO56" s="101">
        <f t="shared" si="294"/>
        <v>0</v>
      </c>
      <c r="BP56" s="102" t="str">
        <f t="shared" si="295"/>
        <v/>
      </c>
      <c r="BQ56" s="103" t="str">
        <f t="shared" si="296"/>
        <v/>
      </c>
      <c r="BR56" s="104">
        <f t="shared" si="297"/>
        <v>0</v>
      </c>
      <c r="BS56" s="99" t="str">
        <f t="shared" si="298"/>
        <v/>
      </c>
      <c r="BT56" s="100" t="str">
        <f t="shared" si="299"/>
        <v/>
      </c>
      <c r="BU56" s="101">
        <f t="shared" si="300"/>
        <v>0</v>
      </c>
      <c r="BV56" s="102" t="str">
        <f t="shared" si="301"/>
        <v/>
      </c>
      <c r="BW56" s="103" t="str">
        <f t="shared" si="302"/>
        <v/>
      </c>
      <c r="BX56" s="104">
        <f t="shared" si="303"/>
        <v>0</v>
      </c>
      <c r="BY56" s="99" t="str">
        <f t="shared" si="304"/>
        <v/>
      </c>
      <c r="BZ56" s="100" t="str">
        <f t="shared" si="305"/>
        <v/>
      </c>
      <c r="CA56" s="101">
        <f t="shared" si="306"/>
        <v>0</v>
      </c>
      <c r="CB56" s="102" t="str">
        <f t="shared" si="307"/>
        <v/>
      </c>
      <c r="CC56" s="103" t="str">
        <f t="shared" si="308"/>
        <v/>
      </c>
      <c r="CD56" s="104">
        <f t="shared" si="309"/>
        <v>0</v>
      </c>
      <c r="CE56" s="99" t="str">
        <f t="shared" si="310"/>
        <v/>
      </c>
      <c r="CF56" s="100" t="str">
        <f t="shared" si="311"/>
        <v/>
      </c>
      <c r="CG56" s="101">
        <f t="shared" si="312"/>
        <v>0</v>
      </c>
      <c r="CH56" s="102" t="str">
        <f t="shared" si="313"/>
        <v/>
      </c>
      <c r="CI56" s="103" t="str">
        <f t="shared" si="314"/>
        <v/>
      </c>
      <c r="CJ56" s="104">
        <f t="shared" si="315"/>
        <v>0</v>
      </c>
      <c r="CK56" s="99" t="str">
        <f t="shared" si="316"/>
        <v/>
      </c>
      <c r="CL56" s="100" t="str">
        <f t="shared" si="317"/>
        <v/>
      </c>
      <c r="CM56" s="101">
        <f t="shared" si="318"/>
        <v>0</v>
      </c>
      <c r="CN56" s="102" t="str">
        <f t="shared" si="319"/>
        <v/>
      </c>
      <c r="CO56" s="103" t="str">
        <f t="shared" si="320"/>
        <v/>
      </c>
      <c r="CP56" s="104">
        <f t="shared" si="321"/>
        <v>0</v>
      </c>
      <c r="CQ56" s="99" t="str">
        <f t="shared" si="322"/>
        <v/>
      </c>
      <c r="CR56" s="100" t="str">
        <f t="shared" si="323"/>
        <v/>
      </c>
      <c r="CS56" s="101">
        <f t="shared" si="324"/>
        <v>0</v>
      </c>
      <c r="CT56" s="102" t="str">
        <f t="shared" si="325"/>
        <v/>
      </c>
      <c r="CU56" s="103" t="str">
        <f t="shared" si="326"/>
        <v/>
      </c>
      <c r="CV56" s="104">
        <f t="shared" si="327"/>
        <v>0</v>
      </c>
      <c r="CW56" s="99" t="str">
        <f t="shared" si="328"/>
        <v/>
      </c>
      <c r="CX56" s="100" t="str">
        <f t="shared" si="329"/>
        <v/>
      </c>
      <c r="CY56" s="101">
        <f t="shared" si="330"/>
        <v>0</v>
      </c>
      <c r="CZ56" s="102" t="str">
        <f t="shared" si="331"/>
        <v/>
      </c>
      <c r="DA56" s="103" t="str">
        <f t="shared" si="332"/>
        <v/>
      </c>
      <c r="DB56" s="104">
        <f t="shared" si="333"/>
        <v>0</v>
      </c>
      <c r="DC56" s="99" t="str">
        <f t="shared" si="334"/>
        <v/>
      </c>
      <c r="DD56" s="100" t="str">
        <f t="shared" si="335"/>
        <v/>
      </c>
      <c r="DE56" s="101">
        <f t="shared" si="336"/>
        <v>0</v>
      </c>
      <c r="DF56" s="102" t="str">
        <f t="shared" si="337"/>
        <v/>
      </c>
      <c r="DG56" s="103" t="str">
        <f t="shared" si="338"/>
        <v/>
      </c>
      <c r="DH56" s="104">
        <f t="shared" si="339"/>
        <v>0</v>
      </c>
      <c r="DI56" s="99" t="str">
        <f t="shared" si="340"/>
        <v/>
      </c>
      <c r="DJ56" s="100" t="str">
        <f t="shared" si="341"/>
        <v/>
      </c>
      <c r="DK56" s="101">
        <f t="shared" si="342"/>
        <v>0</v>
      </c>
      <c r="DL56" s="102" t="str">
        <f t="shared" si="343"/>
        <v/>
      </c>
      <c r="DM56" s="103" t="str">
        <f t="shared" si="344"/>
        <v/>
      </c>
      <c r="DN56" s="104">
        <f t="shared" si="345"/>
        <v>0</v>
      </c>
      <c r="DO56" s="99" t="str">
        <f t="shared" si="346"/>
        <v/>
      </c>
      <c r="DP56" s="100" t="str">
        <f t="shared" si="347"/>
        <v/>
      </c>
      <c r="DQ56" s="101">
        <f t="shared" si="348"/>
        <v>0</v>
      </c>
      <c r="DR56" s="102" t="str">
        <f t="shared" si="349"/>
        <v/>
      </c>
      <c r="DS56" s="103" t="str">
        <f t="shared" si="350"/>
        <v/>
      </c>
      <c r="DT56" s="104">
        <f t="shared" si="351"/>
        <v>0</v>
      </c>
    </row>
    <row r="57" ht="15.75" customHeight="1">
      <c r="A57" s="12" t="str">
        <f>Menus!B17</f>
        <v/>
      </c>
      <c r="B57" s="32">
        <f t="shared" si="231"/>
        <v>0</v>
      </c>
      <c r="C57" s="32">
        <f t="shared" si="232"/>
        <v>0</v>
      </c>
      <c r="D57" s="32">
        <f t="shared" si="233"/>
        <v>0</v>
      </c>
      <c r="E57" s="93" t="str">
        <f t="shared" si="234"/>
        <v/>
      </c>
      <c r="F57" s="94" t="str">
        <f t="shared" si="235"/>
        <v/>
      </c>
      <c r="G57" s="95">
        <f t="shared" si="236"/>
        <v>0</v>
      </c>
      <c r="H57" s="96" t="str">
        <f t="array" ref="H57">IFERROR(XLOOKUP($A57,'Gastos Admon'!$A$7:$A171,INDIRECT($B$9)),"")</f>
        <v/>
      </c>
      <c r="I57" s="97" t="str">
        <f t="array" ref="I57">IFERROR(XLOOKUP($A57,'Gastos Admon'!$A$7:$A171,INDIRECT($C$9)),"")</f>
        <v/>
      </c>
      <c r="J57" s="98">
        <f t="shared" si="237"/>
        <v>0</v>
      </c>
      <c r="K57" s="99" t="str">
        <f t="shared" si="238"/>
        <v/>
      </c>
      <c r="L57" s="100" t="str">
        <f t="shared" si="239"/>
        <v/>
      </c>
      <c r="M57" s="101">
        <f t="shared" si="240"/>
        <v>0</v>
      </c>
      <c r="N57" s="102" t="str">
        <f t="shared" si="241"/>
        <v/>
      </c>
      <c r="O57" s="103" t="str">
        <f t="shared" si="242"/>
        <v/>
      </c>
      <c r="P57" s="104">
        <f t="shared" si="243"/>
        <v>0</v>
      </c>
      <c r="Q57" s="99" t="str">
        <f t="shared" si="244"/>
        <v/>
      </c>
      <c r="R57" s="100" t="str">
        <f t="shared" si="245"/>
        <v/>
      </c>
      <c r="S57" s="101">
        <f t="shared" si="246"/>
        <v>0</v>
      </c>
      <c r="T57" s="102" t="str">
        <f t="shared" si="247"/>
        <v/>
      </c>
      <c r="U57" s="103" t="str">
        <f t="shared" si="248"/>
        <v/>
      </c>
      <c r="V57" s="104">
        <f t="shared" si="249"/>
        <v>0</v>
      </c>
      <c r="W57" s="99" t="str">
        <f t="shared" si="250"/>
        <v/>
      </c>
      <c r="X57" s="100" t="str">
        <f t="shared" si="251"/>
        <v/>
      </c>
      <c r="Y57" s="101">
        <f t="shared" si="252"/>
        <v>0</v>
      </c>
      <c r="Z57" s="102" t="str">
        <f t="shared" si="253"/>
        <v/>
      </c>
      <c r="AA57" s="103" t="str">
        <f t="shared" si="254"/>
        <v/>
      </c>
      <c r="AB57" s="104">
        <f t="shared" si="255"/>
        <v>0</v>
      </c>
      <c r="AC57" s="99" t="str">
        <f t="shared" si="256"/>
        <v/>
      </c>
      <c r="AD57" s="100" t="str">
        <f t="shared" si="257"/>
        <v/>
      </c>
      <c r="AE57" s="101">
        <f t="shared" si="258"/>
        <v>0</v>
      </c>
      <c r="AF57" s="102" t="str">
        <f t="shared" si="259"/>
        <v/>
      </c>
      <c r="AG57" s="103" t="str">
        <f t="shared" si="260"/>
        <v/>
      </c>
      <c r="AH57" s="104">
        <f t="shared" si="261"/>
        <v>0</v>
      </c>
      <c r="AI57" s="99" t="str">
        <f t="shared" si="262"/>
        <v/>
      </c>
      <c r="AJ57" s="100" t="str">
        <f t="shared" si="263"/>
        <v/>
      </c>
      <c r="AK57" s="101">
        <f t="shared" si="264"/>
        <v>0</v>
      </c>
      <c r="AL57" s="102" t="str">
        <f t="shared" si="265"/>
        <v/>
      </c>
      <c r="AM57" s="103" t="str">
        <f t="shared" si="266"/>
        <v/>
      </c>
      <c r="AN57" s="104">
        <f t="shared" si="267"/>
        <v>0</v>
      </c>
      <c r="AO57" s="99" t="str">
        <f t="shared" si="268"/>
        <v/>
      </c>
      <c r="AP57" s="100" t="str">
        <f t="shared" si="269"/>
        <v/>
      </c>
      <c r="AQ57" s="101">
        <f t="shared" si="270"/>
        <v>0</v>
      </c>
      <c r="AR57" s="102" t="str">
        <f t="shared" si="271"/>
        <v/>
      </c>
      <c r="AS57" s="103" t="str">
        <f t="shared" si="272"/>
        <v/>
      </c>
      <c r="AT57" s="104">
        <f t="shared" si="273"/>
        <v>0</v>
      </c>
      <c r="AU57" s="99" t="str">
        <f t="shared" si="274"/>
        <v/>
      </c>
      <c r="AV57" s="100" t="str">
        <f t="shared" si="275"/>
        <v/>
      </c>
      <c r="AW57" s="101">
        <f t="shared" si="276"/>
        <v>0</v>
      </c>
      <c r="AX57" s="102" t="str">
        <f t="shared" si="277"/>
        <v/>
      </c>
      <c r="AY57" s="103" t="str">
        <f t="shared" si="278"/>
        <v/>
      </c>
      <c r="AZ57" s="104">
        <f t="shared" si="279"/>
        <v>0</v>
      </c>
      <c r="BA57" s="99" t="str">
        <f t="shared" si="280"/>
        <v/>
      </c>
      <c r="BB57" s="100" t="str">
        <f t="shared" si="281"/>
        <v/>
      </c>
      <c r="BC57" s="101">
        <f t="shared" si="282"/>
        <v>0</v>
      </c>
      <c r="BD57" s="102" t="str">
        <f t="shared" si="283"/>
        <v/>
      </c>
      <c r="BE57" s="103" t="str">
        <f t="shared" si="284"/>
        <v/>
      </c>
      <c r="BF57" s="104">
        <f t="shared" si="285"/>
        <v>0</v>
      </c>
      <c r="BG57" s="99" t="str">
        <f t="shared" si="286"/>
        <v/>
      </c>
      <c r="BH57" s="100" t="str">
        <f t="shared" si="287"/>
        <v/>
      </c>
      <c r="BI57" s="101">
        <f t="shared" si="288"/>
        <v>0</v>
      </c>
      <c r="BJ57" s="102" t="str">
        <f t="shared" si="289"/>
        <v/>
      </c>
      <c r="BK57" s="103" t="str">
        <f t="shared" si="290"/>
        <v/>
      </c>
      <c r="BL57" s="104">
        <f t="shared" si="291"/>
        <v>0</v>
      </c>
      <c r="BM57" s="99" t="str">
        <f t="shared" si="292"/>
        <v/>
      </c>
      <c r="BN57" s="100" t="str">
        <f t="shared" si="293"/>
        <v/>
      </c>
      <c r="BO57" s="101">
        <f t="shared" si="294"/>
        <v>0</v>
      </c>
      <c r="BP57" s="102" t="str">
        <f t="shared" si="295"/>
        <v/>
      </c>
      <c r="BQ57" s="103" t="str">
        <f t="shared" si="296"/>
        <v/>
      </c>
      <c r="BR57" s="104">
        <f t="shared" si="297"/>
        <v>0</v>
      </c>
      <c r="BS57" s="99" t="str">
        <f t="shared" si="298"/>
        <v/>
      </c>
      <c r="BT57" s="100" t="str">
        <f t="shared" si="299"/>
        <v/>
      </c>
      <c r="BU57" s="101">
        <f t="shared" si="300"/>
        <v>0</v>
      </c>
      <c r="BV57" s="102" t="str">
        <f t="shared" si="301"/>
        <v/>
      </c>
      <c r="BW57" s="103" t="str">
        <f t="shared" si="302"/>
        <v/>
      </c>
      <c r="BX57" s="104">
        <f t="shared" si="303"/>
        <v>0</v>
      </c>
      <c r="BY57" s="99" t="str">
        <f t="shared" si="304"/>
        <v/>
      </c>
      <c r="BZ57" s="100" t="str">
        <f t="shared" si="305"/>
        <v/>
      </c>
      <c r="CA57" s="101">
        <f t="shared" si="306"/>
        <v>0</v>
      </c>
      <c r="CB57" s="102" t="str">
        <f t="shared" si="307"/>
        <v/>
      </c>
      <c r="CC57" s="103" t="str">
        <f t="shared" si="308"/>
        <v/>
      </c>
      <c r="CD57" s="104">
        <f t="shared" si="309"/>
        <v>0</v>
      </c>
      <c r="CE57" s="99" t="str">
        <f t="shared" si="310"/>
        <v/>
      </c>
      <c r="CF57" s="100" t="str">
        <f t="shared" si="311"/>
        <v/>
      </c>
      <c r="CG57" s="101">
        <f t="shared" si="312"/>
        <v>0</v>
      </c>
      <c r="CH57" s="102" t="str">
        <f t="shared" si="313"/>
        <v/>
      </c>
      <c r="CI57" s="103" t="str">
        <f t="shared" si="314"/>
        <v/>
      </c>
      <c r="CJ57" s="104">
        <f t="shared" si="315"/>
        <v>0</v>
      </c>
      <c r="CK57" s="99" t="str">
        <f t="shared" si="316"/>
        <v/>
      </c>
      <c r="CL57" s="100" t="str">
        <f t="shared" si="317"/>
        <v/>
      </c>
      <c r="CM57" s="101">
        <f t="shared" si="318"/>
        <v>0</v>
      </c>
      <c r="CN57" s="102" t="str">
        <f t="shared" si="319"/>
        <v/>
      </c>
      <c r="CO57" s="103" t="str">
        <f t="shared" si="320"/>
        <v/>
      </c>
      <c r="CP57" s="104">
        <f t="shared" si="321"/>
        <v>0</v>
      </c>
      <c r="CQ57" s="99" t="str">
        <f t="shared" si="322"/>
        <v/>
      </c>
      <c r="CR57" s="100" t="str">
        <f t="shared" si="323"/>
        <v/>
      </c>
      <c r="CS57" s="101">
        <f t="shared" si="324"/>
        <v>0</v>
      </c>
      <c r="CT57" s="102" t="str">
        <f t="shared" si="325"/>
        <v/>
      </c>
      <c r="CU57" s="103" t="str">
        <f t="shared" si="326"/>
        <v/>
      </c>
      <c r="CV57" s="104">
        <f t="shared" si="327"/>
        <v>0</v>
      </c>
      <c r="CW57" s="99" t="str">
        <f t="shared" si="328"/>
        <v/>
      </c>
      <c r="CX57" s="100" t="str">
        <f t="shared" si="329"/>
        <v/>
      </c>
      <c r="CY57" s="101">
        <f t="shared" si="330"/>
        <v>0</v>
      </c>
      <c r="CZ57" s="102" t="str">
        <f t="shared" si="331"/>
        <v/>
      </c>
      <c r="DA57" s="103" t="str">
        <f t="shared" si="332"/>
        <v/>
      </c>
      <c r="DB57" s="104">
        <f t="shared" si="333"/>
        <v>0</v>
      </c>
      <c r="DC57" s="99" t="str">
        <f t="shared" si="334"/>
        <v/>
      </c>
      <c r="DD57" s="100" t="str">
        <f t="shared" si="335"/>
        <v/>
      </c>
      <c r="DE57" s="101">
        <f t="shared" si="336"/>
        <v>0</v>
      </c>
      <c r="DF57" s="102" t="str">
        <f t="shared" si="337"/>
        <v/>
      </c>
      <c r="DG57" s="103" t="str">
        <f t="shared" si="338"/>
        <v/>
      </c>
      <c r="DH57" s="104">
        <f t="shared" si="339"/>
        <v>0</v>
      </c>
      <c r="DI57" s="99" t="str">
        <f t="shared" si="340"/>
        <v/>
      </c>
      <c r="DJ57" s="100" t="str">
        <f t="shared" si="341"/>
        <v/>
      </c>
      <c r="DK57" s="101">
        <f t="shared" si="342"/>
        <v>0</v>
      </c>
      <c r="DL57" s="102" t="str">
        <f t="shared" si="343"/>
        <v/>
      </c>
      <c r="DM57" s="103" t="str">
        <f t="shared" si="344"/>
        <v/>
      </c>
      <c r="DN57" s="104">
        <f t="shared" si="345"/>
        <v>0</v>
      </c>
      <c r="DO57" s="99" t="str">
        <f t="shared" si="346"/>
        <v/>
      </c>
      <c r="DP57" s="100" t="str">
        <f t="shared" si="347"/>
        <v/>
      </c>
      <c r="DQ57" s="101">
        <f t="shared" si="348"/>
        <v>0</v>
      </c>
      <c r="DR57" s="102" t="str">
        <f t="shared" si="349"/>
        <v/>
      </c>
      <c r="DS57" s="103" t="str">
        <f t="shared" si="350"/>
        <v/>
      </c>
      <c r="DT57" s="104">
        <f t="shared" si="351"/>
        <v>0</v>
      </c>
    </row>
    <row r="58" ht="15.75" customHeight="1">
      <c r="A58" s="12" t="str">
        <f>Menus!B18</f>
        <v/>
      </c>
      <c r="B58" s="32">
        <f t="shared" si="231"/>
        <v>0</v>
      </c>
      <c r="C58" s="32">
        <f t="shared" si="232"/>
        <v>0</v>
      </c>
      <c r="D58" s="32">
        <f t="shared" si="233"/>
        <v>0</v>
      </c>
      <c r="E58" s="93" t="str">
        <f t="shared" si="234"/>
        <v/>
      </c>
      <c r="F58" s="94" t="str">
        <f t="shared" si="235"/>
        <v/>
      </c>
      <c r="G58" s="95">
        <f t="shared" si="236"/>
        <v>0</v>
      </c>
      <c r="H58" s="96" t="str">
        <f t="array" ref="H58">IFERROR(XLOOKUP($A58,'Gastos Admon'!$A$7:$A171,INDIRECT($B$9)),"")</f>
        <v/>
      </c>
      <c r="I58" s="97" t="str">
        <f t="array" ref="I58">IFERROR(XLOOKUP($A58,'Gastos Admon'!$A$7:$A171,INDIRECT($C$9)),"")</f>
        <v/>
      </c>
      <c r="J58" s="98">
        <f t="shared" si="237"/>
        <v>0</v>
      </c>
      <c r="K58" s="99" t="str">
        <f t="shared" si="238"/>
        <v/>
      </c>
      <c r="L58" s="100" t="str">
        <f t="shared" si="239"/>
        <v/>
      </c>
      <c r="M58" s="101">
        <f t="shared" si="240"/>
        <v>0</v>
      </c>
      <c r="N58" s="102" t="str">
        <f t="shared" si="241"/>
        <v/>
      </c>
      <c r="O58" s="103" t="str">
        <f t="shared" si="242"/>
        <v/>
      </c>
      <c r="P58" s="104">
        <f t="shared" si="243"/>
        <v>0</v>
      </c>
      <c r="Q58" s="99" t="str">
        <f t="shared" si="244"/>
        <v/>
      </c>
      <c r="R58" s="100" t="str">
        <f t="shared" si="245"/>
        <v/>
      </c>
      <c r="S58" s="101">
        <f t="shared" si="246"/>
        <v>0</v>
      </c>
      <c r="T58" s="102" t="str">
        <f t="shared" si="247"/>
        <v/>
      </c>
      <c r="U58" s="103" t="str">
        <f t="shared" si="248"/>
        <v/>
      </c>
      <c r="V58" s="104">
        <f t="shared" si="249"/>
        <v>0</v>
      </c>
      <c r="W58" s="99" t="str">
        <f t="shared" si="250"/>
        <v/>
      </c>
      <c r="X58" s="100" t="str">
        <f t="shared" si="251"/>
        <v/>
      </c>
      <c r="Y58" s="101">
        <f t="shared" si="252"/>
        <v>0</v>
      </c>
      <c r="Z58" s="102" t="str">
        <f t="shared" si="253"/>
        <v/>
      </c>
      <c r="AA58" s="103" t="str">
        <f t="shared" si="254"/>
        <v/>
      </c>
      <c r="AB58" s="104">
        <f t="shared" si="255"/>
        <v>0</v>
      </c>
      <c r="AC58" s="99" t="str">
        <f t="shared" si="256"/>
        <v/>
      </c>
      <c r="AD58" s="100" t="str">
        <f t="shared" si="257"/>
        <v/>
      </c>
      <c r="AE58" s="101">
        <f t="shared" si="258"/>
        <v>0</v>
      </c>
      <c r="AF58" s="102" t="str">
        <f t="shared" si="259"/>
        <v/>
      </c>
      <c r="AG58" s="103" t="str">
        <f t="shared" si="260"/>
        <v/>
      </c>
      <c r="AH58" s="104">
        <f t="shared" si="261"/>
        <v>0</v>
      </c>
      <c r="AI58" s="99" t="str">
        <f t="shared" si="262"/>
        <v/>
      </c>
      <c r="AJ58" s="100" t="str">
        <f t="shared" si="263"/>
        <v/>
      </c>
      <c r="AK58" s="101">
        <f t="shared" si="264"/>
        <v>0</v>
      </c>
      <c r="AL58" s="102" t="str">
        <f t="shared" si="265"/>
        <v/>
      </c>
      <c r="AM58" s="103" t="str">
        <f t="shared" si="266"/>
        <v/>
      </c>
      <c r="AN58" s="104">
        <f t="shared" si="267"/>
        <v>0</v>
      </c>
      <c r="AO58" s="99" t="str">
        <f t="shared" si="268"/>
        <v/>
      </c>
      <c r="AP58" s="100" t="str">
        <f t="shared" si="269"/>
        <v/>
      </c>
      <c r="AQ58" s="101">
        <f t="shared" si="270"/>
        <v>0</v>
      </c>
      <c r="AR58" s="102" t="str">
        <f t="shared" si="271"/>
        <v/>
      </c>
      <c r="AS58" s="103" t="str">
        <f t="shared" si="272"/>
        <v/>
      </c>
      <c r="AT58" s="104">
        <f t="shared" si="273"/>
        <v>0</v>
      </c>
      <c r="AU58" s="99" t="str">
        <f t="shared" si="274"/>
        <v/>
      </c>
      <c r="AV58" s="100" t="str">
        <f t="shared" si="275"/>
        <v/>
      </c>
      <c r="AW58" s="101">
        <f t="shared" si="276"/>
        <v>0</v>
      </c>
      <c r="AX58" s="102" t="str">
        <f t="shared" si="277"/>
        <v/>
      </c>
      <c r="AY58" s="103" t="str">
        <f t="shared" si="278"/>
        <v/>
      </c>
      <c r="AZ58" s="104">
        <f t="shared" si="279"/>
        <v>0</v>
      </c>
      <c r="BA58" s="99" t="str">
        <f t="shared" si="280"/>
        <v/>
      </c>
      <c r="BB58" s="100" t="str">
        <f t="shared" si="281"/>
        <v/>
      </c>
      <c r="BC58" s="101">
        <f t="shared" si="282"/>
        <v>0</v>
      </c>
      <c r="BD58" s="102" t="str">
        <f t="shared" si="283"/>
        <v/>
      </c>
      <c r="BE58" s="103" t="str">
        <f t="shared" si="284"/>
        <v/>
      </c>
      <c r="BF58" s="104">
        <f t="shared" si="285"/>
        <v>0</v>
      </c>
      <c r="BG58" s="99" t="str">
        <f t="shared" si="286"/>
        <v/>
      </c>
      <c r="BH58" s="100" t="str">
        <f t="shared" si="287"/>
        <v/>
      </c>
      <c r="BI58" s="101">
        <f t="shared" si="288"/>
        <v>0</v>
      </c>
      <c r="BJ58" s="102" t="str">
        <f t="shared" si="289"/>
        <v/>
      </c>
      <c r="BK58" s="103" t="str">
        <f t="shared" si="290"/>
        <v/>
      </c>
      <c r="BL58" s="104">
        <f t="shared" si="291"/>
        <v>0</v>
      </c>
      <c r="BM58" s="99" t="str">
        <f t="shared" si="292"/>
        <v/>
      </c>
      <c r="BN58" s="100" t="str">
        <f t="shared" si="293"/>
        <v/>
      </c>
      <c r="BO58" s="101">
        <f t="shared" si="294"/>
        <v>0</v>
      </c>
      <c r="BP58" s="102" t="str">
        <f t="shared" si="295"/>
        <v/>
      </c>
      <c r="BQ58" s="103" t="str">
        <f t="shared" si="296"/>
        <v/>
      </c>
      <c r="BR58" s="104">
        <f t="shared" si="297"/>
        <v>0</v>
      </c>
      <c r="BS58" s="99" t="str">
        <f t="shared" si="298"/>
        <v/>
      </c>
      <c r="BT58" s="100" t="str">
        <f t="shared" si="299"/>
        <v/>
      </c>
      <c r="BU58" s="101">
        <f t="shared" si="300"/>
        <v>0</v>
      </c>
      <c r="BV58" s="102" t="str">
        <f t="shared" si="301"/>
        <v/>
      </c>
      <c r="BW58" s="103" t="str">
        <f t="shared" si="302"/>
        <v/>
      </c>
      <c r="BX58" s="104">
        <f t="shared" si="303"/>
        <v>0</v>
      </c>
      <c r="BY58" s="99" t="str">
        <f t="shared" si="304"/>
        <v/>
      </c>
      <c r="BZ58" s="100" t="str">
        <f t="shared" si="305"/>
        <v/>
      </c>
      <c r="CA58" s="101">
        <f t="shared" si="306"/>
        <v>0</v>
      </c>
      <c r="CB58" s="102" t="str">
        <f t="shared" si="307"/>
        <v/>
      </c>
      <c r="CC58" s="103" t="str">
        <f t="shared" si="308"/>
        <v/>
      </c>
      <c r="CD58" s="104">
        <f t="shared" si="309"/>
        <v>0</v>
      </c>
      <c r="CE58" s="99" t="str">
        <f t="shared" si="310"/>
        <v/>
      </c>
      <c r="CF58" s="100" t="str">
        <f t="shared" si="311"/>
        <v/>
      </c>
      <c r="CG58" s="101">
        <f t="shared" si="312"/>
        <v>0</v>
      </c>
      <c r="CH58" s="102" t="str">
        <f t="shared" si="313"/>
        <v/>
      </c>
      <c r="CI58" s="103" t="str">
        <f t="shared" si="314"/>
        <v/>
      </c>
      <c r="CJ58" s="104">
        <f t="shared" si="315"/>
        <v>0</v>
      </c>
      <c r="CK58" s="99" t="str">
        <f t="shared" si="316"/>
        <v/>
      </c>
      <c r="CL58" s="100" t="str">
        <f t="shared" si="317"/>
        <v/>
      </c>
      <c r="CM58" s="101">
        <f t="shared" si="318"/>
        <v>0</v>
      </c>
      <c r="CN58" s="102" t="str">
        <f t="shared" si="319"/>
        <v/>
      </c>
      <c r="CO58" s="103" t="str">
        <f t="shared" si="320"/>
        <v/>
      </c>
      <c r="CP58" s="104">
        <f t="shared" si="321"/>
        <v>0</v>
      </c>
      <c r="CQ58" s="99" t="str">
        <f t="shared" si="322"/>
        <v/>
      </c>
      <c r="CR58" s="100" t="str">
        <f t="shared" si="323"/>
        <v/>
      </c>
      <c r="CS58" s="101">
        <f t="shared" si="324"/>
        <v>0</v>
      </c>
      <c r="CT58" s="102" t="str">
        <f t="shared" si="325"/>
        <v/>
      </c>
      <c r="CU58" s="103" t="str">
        <f t="shared" si="326"/>
        <v/>
      </c>
      <c r="CV58" s="104">
        <f t="shared" si="327"/>
        <v>0</v>
      </c>
      <c r="CW58" s="99" t="str">
        <f t="shared" si="328"/>
        <v/>
      </c>
      <c r="CX58" s="100" t="str">
        <f t="shared" si="329"/>
        <v/>
      </c>
      <c r="CY58" s="101">
        <f t="shared" si="330"/>
        <v>0</v>
      </c>
      <c r="CZ58" s="102" t="str">
        <f t="shared" si="331"/>
        <v/>
      </c>
      <c r="DA58" s="103" t="str">
        <f t="shared" si="332"/>
        <v/>
      </c>
      <c r="DB58" s="104">
        <f t="shared" si="333"/>
        <v>0</v>
      </c>
      <c r="DC58" s="99" t="str">
        <f t="shared" si="334"/>
        <v/>
      </c>
      <c r="DD58" s="100" t="str">
        <f t="shared" si="335"/>
        <v/>
      </c>
      <c r="DE58" s="101">
        <f t="shared" si="336"/>
        <v>0</v>
      </c>
      <c r="DF58" s="102" t="str">
        <f t="shared" si="337"/>
        <v/>
      </c>
      <c r="DG58" s="103" t="str">
        <f t="shared" si="338"/>
        <v/>
      </c>
      <c r="DH58" s="104">
        <f t="shared" si="339"/>
        <v>0</v>
      </c>
      <c r="DI58" s="99" t="str">
        <f t="shared" si="340"/>
        <v/>
      </c>
      <c r="DJ58" s="100" t="str">
        <f t="shared" si="341"/>
        <v/>
      </c>
      <c r="DK58" s="101">
        <f t="shared" si="342"/>
        <v>0</v>
      </c>
      <c r="DL58" s="102" t="str">
        <f t="shared" si="343"/>
        <v/>
      </c>
      <c r="DM58" s="103" t="str">
        <f t="shared" si="344"/>
        <v/>
      </c>
      <c r="DN58" s="104">
        <f t="shared" si="345"/>
        <v>0</v>
      </c>
      <c r="DO58" s="99" t="str">
        <f t="shared" si="346"/>
        <v/>
      </c>
      <c r="DP58" s="100" t="str">
        <f t="shared" si="347"/>
        <v/>
      </c>
      <c r="DQ58" s="101">
        <f t="shared" si="348"/>
        <v>0</v>
      </c>
      <c r="DR58" s="102" t="str">
        <f t="shared" si="349"/>
        <v/>
      </c>
      <c r="DS58" s="103" t="str">
        <f t="shared" si="350"/>
        <v/>
      </c>
      <c r="DT58" s="104">
        <f t="shared" si="351"/>
        <v>0</v>
      </c>
    </row>
    <row r="59" ht="15.75" customHeight="1">
      <c r="A59" s="12" t="str">
        <f>Menus!B19</f>
        <v/>
      </c>
      <c r="B59" s="32">
        <f t="shared" si="231"/>
        <v>0</v>
      </c>
      <c r="C59" s="32">
        <f t="shared" si="232"/>
        <v>0</v>
      </c>
      <c r="D59" s="32">
        <f t="shared" si="233"/>
        <v>0</v>
      </c>
      <c r="E59" s="93" t="str">
        <f t="shared" si="234"/>
        <v/>
      </c>
      <c r="F59" s="94" t="str">
        <f t="shared" si="235"/>
        <v/>
      </c>
      <c r="G59" s="95">
        <f t="shared" si="236"/>
        <v>0</v>
      </c>
      <c r="H59" s="96" t="str">
        <f t="array" ref="H59">IFERROR(XLOOKUP($A59,'Gastos Admon'!$A$7:$A171,INDIRECT($B$9)),"")</f>
        <v/>
      </c>
      <c r="I59" s="97" t="str">
        <f t="array" ref="I59">IFERROR(XLOOKUP($A59,'Gastos Admon'!$A$7:$A171,INDIRECT($C$9)),"")</f>
        <v/>
      </c>
      <c r="J59" s="98">
        <f t="shared" si="237"/>
        <v>0</v>
      </c>
      <c r="K59" s="99" t="str">
        <f t="shared" si="238"/>
        <v/>
      </c>
      <c r="L59" s="100" t="str">
        <f t="shared" si="239"/>
        <v/>
      </c>
      <c r="M59" s="101">
        <f t="shared" si="240"/>
        <v>0</v>
      </c>
      <c r="N59" s="102" t="str">
        <f t="shared" si="241"/>
        <v/>
      </c>
      <c r="O59" s="103" t="str">
        <f t="shared" si="242"/>
        <v/>
      </c>
      <c r="P59" s="104">
        <f t="shared" si="243"/>
        <v>0</v>
      </c>
      <c r="Q59" s="99" t="str">
        <f t="shared" si="244"/>
        <v/>
      </c>
      <c r="R59" s="100" t="str">
        <f t="shared" si="245"/>
        <v/>
      </c>
      <c r="S59" s="101">
        <f t="shared" si="246"/>
        <v>0</v>
      </c>
      <c r="T59" s="102" t="str">
        <f t="shared" si="247"/>
        <v/>
      </c>
      <c r="U59" s="103" t="str">
        <f t="shared" si="248"/>
        <v/>
      </c>
      <c r="V59" s="104">
        <f t="shared" si="249"/>
        <v>0</v>
      </c>
      <c r="W59" s="99" t="str">
        <f t="shared" si="250"/>
        <v/>
      </c>
      <c r="X59" s="100" t="str">
        <f t="shared" si="251"/>
        <v/>
      </c>
      <c r="Y59" s="101">
        <f t="shared" si="252"/>
        <v>0</v>
      </c>
      <c r="Z59" s="102" t="str">
        <f t="shared" si="253"/>
        <v/>
      </c>
      <c r="AA59" s="103" t="str">
        <f t="shared" si="254"/>
        <v/>
      </c>
      <c r="AB59" s="104">
        <f t="shared" si="255"/>
        <v>0</v>
      </c>
      <c r="AC59" s="99" t="str">
        <f t="shared" si="256"/>
        <v/>
      </c>
      <c r="AD59" s="100" t="str">
        <f t="shared" si="257"/>
        <v/>
      </c>
      <c r="AE59" s="101">
        <f t="shared" si="258"/>
        <v>0</v>
      </c>
      <c r="AF59" s="102" t="str">
        <f t="shared" si="259"/>
        <v/>
      </c>
      <c r="AG59" s="103" t="str">
        <f t="shared" si="260"/>
        <v/>
      </c>
      <c r="AH59" s="104">
        <f t="shared" si="261"/>
        <v>0</v>
      </c>
      <c r="AI59" s="99" t="str">
        <f t="shared" si="262"/>
        <v/>
      </c>
      <c r="AJ59" s="100" t="str">
        <f t="shared" si="263"/>
        <v/>
      </c>
      <c r="AK59" s="101">
        <f t="shared" si="264"/>
        <v>0</v>
      </c>
      <c r="AL59" s="102" t="str">
        <f t="shared" si="265"/>
        <v/>
      </c>
      <c r="AM59" s="103" t="str">
        <f t="shared" si="266"/>
        <v/>
      </c>
      <c r="AN59" s="104">
        <f t="shared" si="267"/>
        <v>0</v>
      </c>
      <c r="AO59" s="99" t="str">
        <f t="shared" si="268"/>
        <v/>
      </c>
      <c r="AP59" s="100" t="str">
        <f t="shared" si="269"/>
        <v/>
      </c>
      <c r="AQ59" s="101">
        <f t="shared" si="270"/>
        <v>0</v>
      </c>
      <c r="AR59" s="102" t="str">
        <f t="shared" si="271"/>
        <v/>
      </c>
      <c r="AS59" s="103" t="str">
        <f t="shared" si="272"/>
        <v/>
      </c>
      <c r="AT59" s="104">
        <f t="shared" si="273"/>
        <v>0</v>
      </c>
      <c r="AU59" s="99" t="str">
        <f t="shared" si="274"/>
        <v/>
      </c>
      <c r="AV59" s="100" t="str">
        <f t="shared" si="275"/>
        <v/>
      </c>
      <c r="AW59" s="101">
        <f t="shared" si="276"/>
        <v>0</v>
      </c>
      <c r="AX59" s="102" t="str">
        <f t="shared" si="277"/>
        <v/>
      </c>
      <c r="AY59" s="103" t="str">
        <f t="shared" si="278"/>
        <v/>
      </c>
      <c r="AZ59" s="104">
        <f t="shared" si="279"/>
        <v>0</v>
      </c>
      <c r="BA59" s="99" t="str">
        <f t="shared" si="280"/>
        <v/>
      </c>
      <c r="BB59" s="100" t="str">
        <f t="shared" si="281"/>
        <v/>
      </c>
      <c r="BC59" s="101">
        <f t="shared" si="282"/>
        <v>0</v>
      </c>
      <c r="BD59" s="102" t="str">
        <f t="shared" si="283"/>
        <v/>
      </c>
      <c r="BE59" s="103" t="str">
        <f t="shared" si="284"/>
        <v/>
      </c>
      <c r="BF59" s="104">
        <f t="shared" si="285"/>
        <v>0</v>
      </c>
      <c r="BG59" s="99" t="str">
        <f t="shared" si="286"/>
        <v/>
      </c>
      <c r="BH59" s="100" t="str">
        <f t="shared" si="287"/>
        <v/>
      </c>
      <c r="BI59" s="101">
        <f t="shared" si="288"/>
        <v>0</v>
      </c>
      <c r="BJ59" s="102" t="str">
        <f t="shared" si="289"/>
        <v/>
      </c>
      <c r="BK59" s="103" t="str">
        <f t="shared" si="290"/>
        <v/>
      </c>
      <c r="BL59" s="104">
        <f t="shared" si="291"/>
        <v>0</v>
      </c>
      <c r="BM59" s="99" t="str">
        <f t="shared" si="292"/>
        <v/>
      </c>
      <c r="BN59" s="100" t="str">
        <f t="shared" si="293"/>
        <v/>
      </c>
      <c r="BO59" s="101">
        <f t="shared" si="294"/>
        <v>0</v>
      </c>
      <c r="BP59" s="102" t="str">
        <f t="shared" si="295"/>
        <v/>
      </c>
      <c r="BQ59" s="103" t="str">
        <f t="shared" si="296"/>
        <v/>
      </c>
      <c r="BR59" s="104">
        <f t="shared" si="297"/>
        <v>0</v>
      </c>
      <c r="BS59" s="99" t="str">
        <f t="shared" si="298"/>
        <v/>
      </c>
      <c r="BT59" s="100" t="str">
        <f t="shared" si="299"/>
        <v/>
      </c>
      <c r="BU59" s="101">
        <f t="shared" si="300"/>
        <v>0</v>
      </c>
      <c r="BV59" s="102" t="str">
        <f t="shared" si="301"/>
        <v/>
      </c>
      <c r="BW59" s="103" t="str">
        <f t="shared" si="302"/>
        <v/>
      </c>
      <c r="BX59" s="104">
        <f t="shared" si="303"/>
        <v>0</v>
      </c>
      <c r="BY59" s="99" t="str">
        <f t="shared" si="304"/>
        <v/>
      </c>
      <c r="BZ59" s="100" t="str">
        <f t="shared" si="305"/>
        <v/>
      </c>
      <c r="CA59" s="101">
        <f t="shared" si="306"/>
        <v>0</v>
      </c>
      <c r="CB59" s="102" t="str">
        <f t="shared" si="307"/>
        <v/>
      </c>
      <c r="CC59" s="103" t="str">
        <f t="shared" si="308"/>
        <v/>
      </c>
      <c r="CD59" s="104">
        <f t="shared" si="309"/>
        <v>0</v>
      </c>
      <c r="CE59" s="99" t="str">
        <f t="shared" si="310"/>
        <v/>
      </c>
      <c r="CF59" s="100" t="str">
        <f t="shared" si="311"/>
        <v/>
      </c>
      <c r="CG59" s="101">
        <f t="shared" si="312"/>
        <v>0</v>
      </c>
      <c r="CH59" s="102" t="str">
        <f t="shared" si="313"/>
        <v/>
      </c>
      <c r="CI59" s="103" t="str">
        <f t="shared" si="314"/>
        <v/>
      </c>
      <c r="CJ59" s="104">
        <f t="shared" si="315"/>
        <v>0</v>
      </c>
      <c r="CK59" s="99" t="str">
        <f t="shared" si="316"/>
        <v/>
      </c>
      <c r="CL59" s="100" t="str">
        <f t="shared" si="317"/>
        <v/>
      </c>
      <c r="CM59" s="101">
        <f t="shared" si="318"/>
        <v>0</v>
      </c>
      <c r="CN59" s="102" t="str">
        <f t="shared" si="319"/>
        <v/>
      </c>
      <c r="CO59" s="103" t="str">
        <f t="shared" si="320"/>
        <v/>
      </c>
      <c r="CP59" s="104">
        <f t="shared" si="321"/>
        <v>0</v>
      </c>
      <c r="CQ59" s="99" t="str">
        <f t="shared" si="322"/>
        <v/>
      </c>
      <c r="CR59" s="100" t="str">
        <f t="shared" si="323"/>
        <v/>
      </c>
      <c r="CS59" s="101">
        <f t="shared" si="324"/>
        <v>0</v>
      </c>
      <c r="CT59" s="102" t="str">
        <f t="shared" si="325"/>
        <v/>
      </c>
      <c r="CU59" s="103" t="str">
        <f t="shared" si="326"/>
        <v/>
      </c>
      <c r="CV59" s="104">
        <f t="shared" si="327"/>
        <v>0</v>
      </c>
      <c r="CW59" s="99" t="str">
        <f t="shared" si="328"/>
        <v/>
      </c>
      <c r="CX59" s="100" t="str">
        <f t="shared" si="329"/>
        <v/>
      </c>
      <c r="CY59" s="101">
        <f t="shared" si="330"/>
        <v>0</v>
      </c>
      <c r="CZ59" s="102" t="str">
        <f t="shared" si="331"/>
        <v/>
      </c>
      <c r="DA59" s="103" t="str">
        <f t="shared" si="332"/>
        <v/>
      </c>
      <c r="DB59" s="104">
        <f t="shared" si="333"/>
        <v>0</v>
      </c>
      <c r="DC59" s="99" t="str">
        <f t="shared" si="334"/>
        <v/>
      </c>
      <c r="DD59" s="100" t="str">
        <f t="shared" si="335"/>
        <v/>
      </c>
      <c r="DE59" s="101">
        <f t="shared" si="336"/>
        <v>0</v>
      </c>
      <c r="DF59" s="102" t="str">
        <f t="shared" si="337"/>
        <v/>
      </c>
      <c r="DG59" s="103" t="str">
        <f t="shared" si="338"/>
        <v/>
      </c>
      <c r="DH59" s="104">
        <f t="shared" si="339"/>
        <v>0</v>
      </c>
      <c r="DI59" s="99" t="str">
        <f t="shared" si="340"/>
        <v/>
      </c>
      <c r="DJ59" s="100" t="str">
        <f t="shared" si="341"/>
        <v/>
      </c>
      <c r="DK59" s="101">
        <f t="shared" si="342"/>
        <v>0</v>
      </c>
      <c r="DL59" s="102" t="str">
        <f t="shared" si="343"/>
        <v/>
      </c>
      <c r="DM59" s="103" t="str">
        <f t="shared" si="344"/>
        <v/>
      </c>
      <c r="DN59" s="104">
        <f t="shared" si="345"/>
        <v>0</v>
      </c>
      <c r="DO59" s="99" t="str">
        <f t="shared" si="346"/>
        <v/>
      </c>
      <c r="DP59" s="100" t="str">
        <f t="shared" si="347"/>
        <v/>
      </c>
      <c r="DQ59" s="101">
        <f t="shared" si="348"/>
        <v>0</v>
      </c>
      <c r="DR59" s="102" t="str">
        <f t="shared" si="349"/>
        <v/>
      </c>
      <c r="DS59" s="103" t="str">
        <f t="shared" si="350"/>
        <v/>
      </c>
      <c r="DT59" s="104">
        <f t="shared" si="351"/>
        <v>0</v>
      </c>
    </row>
    <row r="60" ht="15.75" customHeight="1">
      <c r="A60" s="12" t="str">
        <f>Menus!B20</f>
        <v/>
      </c>
      <c r="B60" s="32">
        <f t="shared" si="231"/>
        <v>0</v>
      </c>
      <c r="C60" s="32">
        <f t="shared" si="232"/>
        <v>0</v>
      </c>
      <c r="D60" s="32">
        <f t="shared" si="233"/>
        <v>0</v>
      </c>
      <c r="E60" s="93" t="str">
        <f t="shared" si="234"/>
        <v/>
      </c>
      <c r="F60" s="94" t="str">
        <f t="shared" si="235"/>
        <v/>
      </c>
      <c r="G60" s="95">
        <f t="shared" si="236"/>
        <v>0</v>
      </c>
      <c r="H60" s="96" t="str">
        <f t="array" ref="H60">IFERROR(XLOOKUP($A60,'Gastos Admon'!$A$7:$A171,INDIRECT($B$9)),"")</f>
        <v/>
      </c>
      <c r="I60" s="97" t="str">
        <f t="array" ref="I60">IFERROR(XLOOKUP($A60,'Gastos Admon'!$A$7:$A171,INDIRECT($C$9)),"")</f>
        <v/>
      </c>
      <c r="J60" s="98">
        <f t="shared" si="237"/>
        <v>0</v>
      </c>
      <c r="K60" s="99" t="str">
        <f t="shared" si="238"/>
        <v/>
      </c>
      <c r="L60" s="100" t="str">
        <f t="shared" si="239"/>
        <v/>
      </c>
      <c r="M60" s="101">
        <f t="shared" si="240"/>
        <v>0</v>
      </c>
      <c r="N60" s="102" t="str">
        <f t="shared" si="241"/>
        <v/>
      </c>
      <c r="O60" s="103" t="str">
        <f t="shared" si="242"/>
        <v/>
      </c>
      <c r="P60" s="104">
        <f t="shared" si="243"/>
        <v>0</v>
      </c>
      <c r="Q60" s="99" t="str">
        <f t="shared" si="244"/>
        <v/>
      </c>
      <c r="R60" s="100" t="str">
        <f t="shared" si="245"/>
        <v/>
      </c>
      <c r="S60" s="101">
        <f t="shared" si="246"/>
        <v>0</v>
      </c>
      <c r="T60" s="102" t="str">
        <f t="shared" si="247"/>
        <v/>
      </c>
      <c r="U60" s="103" t="str">
        <f t="shared" si="248"/>
        <v/>
      </c>
      <c r="V60" s="104">
        <f t="shared" si="249"/>
        <v>0</v>
      </c>
      <c r="W60" s="99" t="str">
        <f t="shared" si="250"/>
        <v/>
      </c>
      <c r="X60" s="100" t="str">
        <f t="shared" si="251"/>
        <v/>
      </c>
      <c r="Y60" s="101">
        <f t="shared" si="252"/>
        <v>0</v>
      </c>
      <c r="Z60" s="102" t="str">
        <f t="shared" si="253"/>
        <v/>
      </c>
      <c r="AA60" s="103" t="str">
        <f t="shared" si="254"/>
        <v/>
      </c>
      <c r="AB60" s="104">
        <f t="shared" si="255"/>
        <v>0</v>
      </c>
      <c r="AC60" s="99" t="str">
        <f t="shared" si="256"/>
        <v/>
      </c>
      <c r="AD60" s="100" t="str">
        <f t="shared" si="257"/>
        <v/>
      </c>
      <c r="AE60" s="101">
        <f t="shared" si="258"/>
        <v>0</v>
      </c>
      <c r="AF60" s="102" t="str">
        <f t="shared" si="259"/>
        <v/>
      </c>
      <c r="AG60" s="103" t="str">
        <f t="shared" si="260"/>
        <v/>
      </c>
      <c r="AH60" s="104">
        <f t="shared" si="261"/>
        <v>0</v>
      </c>
      <c r="AI60" s="99" t="str">
        <f t="shared" si="262"/>
        <v/>
      </c>
      <c r="AJ60" s="100" t="str">
        <f t="shared" si="263"/>
        <v/>
      </c>
      <c r="AK60" s="101">
        <f t="shared" si="264"/>
        <v>0</v>
      </c>
      <c r="AL60" s="102" t="str">
        <f t="shared" si="265"/>
        <v/>
      </c>
      <c r="AM60" s="103" t="str">
        <f t="shared" si="266"/>
        <v/>
      </c>
      <c r="AN60" s="104">
        <f t="shared" si="267"/>
        <v>0</v>
      </c>
      <c r="AO60" s="99" t="str">
        <f t="shared" si="268"/>
        <v/>
      </c>
      <c r="AP60" s="100" t="str">
        <f t="shared" si="269"/>
        <v/>
      </c>
      <c r="AQ60" s="101">
        <f t="shared" si="270"/>
        <v>0</v>
      </c>
      <c r="AR60" s="102" t="str">
        <f t="shared" si="271"/>
        <v/>
      </c>
      <c r="AS60" s="103" t="str">
        <f t="shared" si="272"/>
        <v/>
      </c>
      <c r="AT60" s="104">
        <f t="shared" si="273"/>
        <v>0</v>
      </c>
      <c r="AU60" s="99" t="str">
        <f t="shared" si="274"/>
        <v/>
      </c>
      <c r="AV60" s="100" t="str">
        <f t="shared" si="275"/>
        <v/>
      </c>
      <c r="AW60" s="101">
        <f t="shared" si="276"/>
        <v>0</v>
      </c>
      <c r="AX60" s="102" t="str">
        <f t="shared" si="277"/>
        <v/>
      </c>
      <c r="AY60" s="103" t="str">
        <f t="shared" si="278"/>
        <v/>
      </c>
      <c r="AZ60" s="104">
        <f t="shared" si="279"/>
        <v>0</v>
      </c>
      <c r="BA60" s="99" t="str">
        <f t="shared" si="280"/>
        <v/>
      </c>
      <c r="BB60" s="100" t="str">
        <f t="shared" si="281"/>
        <v/>
      </c>
      <c r="BC60" s="101">
        <f t="shared" si="282"/>
        <v>0</v>
      </c>
      <c r="BD60" s="102" t="str">
        <f t="shared" si="283"/>
        <v/>
      </c>
      <c r="BE60" s="103" t="str">
        <f t="shared" si="284"/>
        <v/>
      </c>
      <c r="BF60" s="104">
        <f t="shared" si="285"/>
        <v>0</v>
      </c>
      <c r="BG60" s="99" t="str">
        <f t="shared" si="286"/>
        <v/>
      </c>
      <c r="BH60" s="100" t="str">
        <f t="shared" si="287"/>
        <v/>
      </c>
      <c r="BI60" s="101">
        <f t="shared" si="288"/>
        <v>0</v>
      </c>
      <c r="BJ60" s="102" t="str">
        <f t="shared" si="289"/>
        <v/>
      </c>
      <c r="BK60" s="103" t="str">
        <f t="shared" si="290"/>
        <v/>
      </c>
      <c r="BL60" s="104">
        <f t="shared" si="291"/>
        <v>0</v>
      </c>
      <c r="BM60" s="99" t="str">
        <f t="shared" si="292"/>
        <v/>
      </c>
      <c r="BN60" s="100" t="str">
        <f t="shared" si="293"/>
        <v/>
      </c>
      <c r="BO60" s="101">
        <f t="shared" si="294"/>
        <v>0</v>
      </c>
      <c r="BP60" s="102" t="str">
        <f t="shared" si="295"/>
        <v/>
      </c>
      <c r="BQ60" s="103" t="str">
        <f t="shared" si="296"/>
        <v/>
      </c>
      <c r="BR60" s="104">
        <f t="shared" si="297"/>
        <v>0</v>
      </c>
      <c r="BS60" s="99" t="str">
        <f t="shared" si="298"/>
        <v/>
      </c>
      <c r="BT60" s="100" t="str">
        <f t="shared" si="299"/>
        <v/>
      </c>
      <c r="BU60" s="101">
        <f t="shared" si="300"/>
        <v>0</v>
      </c>
      <c r="BV60" s="102" t="str">
        <f t="shared" si="301"/>
        <v/>
      </c>
      <c r="BW60" s="103" t="str">
        <f t="shared" si="302"/>
        <v/>
      </c>
      <c r="BX60" s="104">
        <f t="shared" si="303"/>
        <v>0</v>
      </c>
      <c r="BY60" s="99" t="str">
        <f t="shared" si="304"/>
        <v/>
      </c>
      <c r="BZ60" s="100" t="str">
        <f t="shared" si="305"/>
        <v/>
      </c>
      <c r="CA60" s="101">
        <f t="shared" si="306"/>
        <v>0</v>
      </c>
      <c r="CB60" s="102" t="str">
        <f t="shared" si="307"/>
        <v/>
      </c>
      <c r="CC60" s="103" t="str">
        <f t="shared" si="308"/>
        <v/>
      </c>
      <c r="CD60" s="104">
        <f t="shared" si="309"/>
        <v>0</v>
      </c>
      <c r="CE60" s="99" t="str">
        <f t="shared" si="310"/>
        <v/>
      </c>
      <c r="CF60" s="100" t="str">
        <f t="shared" si="311"/>
        <v/>
      </c>
      <c r="CG60" s="101">
        <f t="shared" si="312"/>
        <v>0</v>
      </c>
      <c r="CH60" s="102" t="str">
        <f t="shared" si="313"/>
        <v/>
      </c>
      <c r="CI60" s="103" t="str">
        <f t="shared" si="314"/>
        <v/>
      </c>
      <c r="CJ60" s="104">
        <f t="shared" si="315"/>
        <v>0</v>
      </c>
      <c r="CK60" s="99" t="str">
        <f t="shared" si="316"/>
        <v/>
      </c>
      <c r="CL60" s="100" t="str">
        <f t="shared" si="317"/>
        <v/>
      </c>
      <c r="CM60" s="101">
        <f t="shared" si="318"/>
        <v>0</v>
      </c>
      <c r="CN60" s="102" t="str">
        <f t="shared" si="319"/>
        <v/>
      </c>
      <c r="CO60" s="103" t="str">
        <f t="shared" si="320"/>
        <v/>
      </c>
      <c r="CP60" s="104">
        <f t="shared" si="321"/>
        <v>0</v>
      </c>
      <c r="CQ60" s="99" t="str">
        <f t="shared" si="322"/>
        <v/>
      </c>
      <c r="CR60" s="100" t="str">
        <f t="shared" si="323"/>
        <v/>
      </c>
      <c r="CS60" s="101">
        <f t="shared" si="324"/>
        <v>0</v>
      </c>
      <c r="CT60" s="102" t="str">
        <f t="shared" si="325"/>
        <v/>
      </c>
      <c r="CU60" s="103" t="str">
        <f t="shared" si="326"/>
        <v/>
      </c>
      <c r="CV60" s="104">
        <f t="shared" si="327"/>
        <v>0</v>
      </c>
      <c r="CW60" s="99" t="str">
        <f t="shared" si="328"/>
        <v/>
      </c>
      <c r="CX60" s="100" t="str">
        <f t="shared" si="329"/>
        <v/>
      </c>
      <c r="CY60" s="101">
        <f t="shared" si="330"/>
        <v>0</v>
      </c>
      <c r="CZ60" s="102" t="str">
        <f t="shared" si="331"/>
        <v/>
      </c>
      <c r="DA60" s="103" t="str">
        <f t="shared" si="332"/>
        <v/>
      </c>
      <c r="DB60" s="104">
        <f t="shared" si="333"/>
        <v>0</v>
      </c>
      <c r="DC60" s="99" t="str">
        <f t="shared" si="334"/>
        <v/>
      </c>
      <c r="DD60" s="100" t="str">
        <f t="shared" si="335"/>
        <v/>
      </c>
      <c r="DE60" s="101">
        <f t="shared" si="336"/>
        <v>0</v>
      </c>
      <c r="DF60" s="102" t="str">
        <f t="shared" si="337"/>
        <v/>
      </c>
      <c r="DG60" s="103" t="str">
        <f t="shared" si="338"/>
        <v/>
      </c>
      <c r="DH60" s="104">
        <f t="shared" si="339"/>
        <v>0</v>
      </c>
      <c r="DI60" s="99" t="str">
        <f t="shared" si="340"/>
        <v/>
      </c>
      <c r="DJ60" s="100" t="str">
        <f t="shared" si="341"/>
        <v/>
      </c>
      <c r="DK60" s="101">
        <f t="shared" si="342"/>
        <v>0</v>
      </c>
      <c r="DL60" s="102" t="str">
        <f t="shared" si="343"/>
        <v/>
      </c>
      <c r="DM60" s="103" t="str">
        <f t="shared" si="344"/>
        <v/>
      </c>
      <c r="DN60" s="104">
        <f t="shared" si="345"/>
        <v>0</v>
      </c>
      <c r="DO60" s="99" t="str">
        <f t="shared" si="346"/>
        <v/>
      </c>
      <c r="DP60" s="100" t="str">
        <f t="shared" si="347"/>
        <v/>
      </c>
      <c r="DQ60" s="101">
        <f t="shared" si="348"/>
        <v>0</v>
      </c>
      <c r="DR60" s="102" t="str">
        <f t="shared" si="349"/>
        <v/>
      </c>
      <c r="DS60" s="103" t="str">
        <f t="shared" si="350"/>
        <v/>
      </c>
      <c r="DT60" s="104">
        <f t="shared" si="351"/>
        <v>0</v>
      </c>
    </row>
    <row r="61" ht="15.75" customHeight="1">
      <c r="A61" s="12" t="str">
        <f>Menus!B21</f>
        <v/>
      </c>
      <c r="B61" s="32">
        <f t="shared" si="231"/>
        <v>0</v>
      </c>
      <c r="C61" s="32">
        <f t="shared" si="232"/>
        <v>0</v>
      </c>
      <c r="D61" s="32">
        <f t="shared" si="233"/>
        <v>0</v>
      </c>
      <c r="E61" s="93" t="str">
        <f t="shared" si="234"/>
        <v/>
      </c>
      <c r="F61" s="94" t="str">
        <f t="shared" si="235"/>
        <v/>
      </c>
      <c r="G61" s="95">
        <f t="shared" si="236"/>
        <v>0</v>
      </c>
      <c r="H61" s="96" t="str">
        <f t="array" ref="H61">IFERROR(XLOOKUP($A61,'Gastos Admon'!$A$7:$A171,INDIRECT($B$9)),"")</f>
        <v/>
      </c>
      <c r="I61" s="97" t="str">
        <f t="array" ref="I61">IFERROR(XLOOKUP($A61,'Gastos Admon'!$A$7:$A171,INDIRECT($C$9)),"")</f>
        <v/>
      </c>
      <c r="J61" s="98">
        <f t="shared" si="237"/>
        <v>0</v>
      </c>
      <c r="K61" s="99" t="str">
        <f t="shared" si="238"/>
        <v/>
      </c>
      <c r="L61" s="100" t="str">
        <f t="shared" si="239"/>
        <v/>
      </c>
      <c r="M61" s="101">
        <f t="shared" si="240"/>
        <v>0</v>
      </c>
      <c r="N61" s="102" t="str">
        <f t="shared" si="241"/>
        <v/>
      </c>
      <c r="O61" s="103" t="str">
        <f t="shared" si="242"/>
        <v/>
      </c>
      <c r="P61" s="104">
        <f t="shared" si="243"/>
        <v>0</v>
      </c>
      <c r="Q61" s="99" t="str">
        <f t="shared" si="244"/>
        <v/>
      </c>
      <c r="R61" s="100" t="str">
        <f t="shared" si="245"/>
        <v/>
      </c>
      <c r="S61" s="101">
        <f t="shared" si="246"/>
        <v>0</v>
      </c>
      <c r="T61" s="102" t="str">
        <f t="shared" si="247"/>
        <v/>
      </c>
      <c r="U61" s="103" t="str">
        <f t="shared" si="248"/>
        <v/>
      </c>
      <c r="V61" s="104">
        <f t="shared" si="249"/>
        <v>0</v>
      </c>
      <c r="W61" s="99" t="str">
        <f t="shared" si="250"/>
        <v/>
      </c>
      <c r="X61" s="100" t="str">
        <f t="shared" si="251"/>
        <v/>
      </c>
      <c r="Y61" s="101">
        <f t="shared" si="252"/>
        <v>0</v>
      </c>
      <c r="Z61" s="102" t="str">
        <f t="shared" si="253"/>
        <v/>
      </c>
      <c r="AA61" s="103" t="str">
        <f t="shared" si="254"/>
        <v/>
      </c>
      <c r="AB61" s="104">
        <f t="shared" si="255"/>
        <v>0</v>
      </c>
      <c r="AC61" s="99" t="str">
        <f t="shared" si="256"/>
        <v/>
      </c>
      <c r="AD61" s="100" t="str">
        <f t="shared" si="257"/>
        <v/>
      </c>
      <c r="AE61" s="101">
        <f t="shared" si="258"/>
        <v>0</v>
      </c>
      <c r="AF61" s="102" t="str">
        <f t="shared" si="259"/>
        <v/>
      </c>
      <c r="AG61" s="103" t="str">
        <f t="shared" si="260"/>
        <v/>
      </c>
      <c r="AH61" s="104">
        <f t="shared" si="261"/>
        <v>0</v>
      </c>
      <c r="AI61" s="99" t="str">
        <f t="shared" si="262"/>
        <v/>
      </c>
      <c r="AJ61" s="100" t="str">
        <f t="shared" si="263"/>
        <v/>
      </c>
      <c r="AK61" s="101">
        <f t="shared" si="264"/>
        <v>0</v>
      </c>
      <c r="AL61" s="102" t="str">
        <f t="shared" si="265"/>
        <v/>
      </c>
      <c r="AM61" s="103" t="str">
        <f t="shared" si="266"/>
        <v/>
      </c>
      <c r="AN61" s="104">
        <f t="shared" si="267"/>
        <v>0</v>
      </c>
      <c r="AO61" s="99" t="str">
        <f t="shared" si="268"/>
        <v/>
      </c>
      <c r="AP61" s="100" t="str">
        <f t="shared" si="269"/>
        <v/>
      </c>
      <c r="AQ61" s="101">
        <f t="shared" si="270"/>
        <v>0</v>
      </c>
      <c r="AR61" s="102" t="str">
        <f t="shared" si="271"/>
        <v/>
      </c>
      <c r="AS61" s="103" t="str">
        <f t="shared" si="272"/>
        <v/>
      </c>
      <c r="AT61" s="104">
        <f t="shared" si="273"/>
        <v>0</v>
      </c>
      <c r="AU61" s="99" t="str">
        <f t="shared" si="274"/>
        <v/>
      </c>
      <c r="AV61" s="100" t="str">
        <f t="shared" si="275"/>
        <v/>
      </c>
      <c r="AW61" s="101">
        <f t="shared" si="276"/>
        <v>0</v>
      </c>
      <c r="AX61" s="102" t="str">
        <f t="shared" si="277"/>
        <v/>
      </c>
      <c r="AY61" s="103" t="str">
        <f t="shared" si="278"/>
        <v/>
      </c>
      <c r="AZ61" s="104">
        <f t="shared" si="279"/>
        <v>0</v>
      </c>
      <c r="BA61" s="99" t="str">
        <f t="shared" si="280"/>
        <v/>
      </c>
      <c r="BB61" s="100" t="str">
        <f t="shared" si="281"/>
        <v/>
      </c>
      <c r="BC61" s="101">
        <f t="shared" si="282"/>
        <v>0</v>
      </c>
      <c r="BD61" s="102" t="str">
        <f t="shared" si="283"/>
        <v/>
      </c>
      <c r="BE61" s="103" t="str">
        <f t="shared" si="284"/>
        <v/>
      </c>
      <c r="BF61" s="104">
        <f t="shared" si="285"/>
        <v>0</v>
      </c>
      <c r="BG61" s="99" t="str">
        <f t="shared" si="286"/>
        <v/>
      </c>
      <c r="BH61" s="100" t="str">
        <f t="shared" si="287"/>
        <v/>
      </c>
      <c r="BI61" s="101">
        <f t="shared" si="288"/>
        <v>0</v>
      </c>
      <c r="BJ61" s="102" t="str">
        <f t="shared" si="289"/>
        <v/>
      </c>
      <c r="BK61" s="103" t="str">
        <f t="shared" si="290"/>
        <v/>
      </c>
      <c r="BL61" s="104">
        <f t="shared" si="291"/>
        <v>0</v>
      </c>
      <c r="BM61" s="99" t="str">
        <f t="shared" si="292"/>
        <v/>
      </c>
      <c r="BN61" s="100" t="str">
        <f t="shared" si="293"/>
        <v/>
      </c>
      <c r="BO61" s="101">
        <f t="shared" si="294"/>
        <v>0</v>
      </c>
      <c r="BP61" s="102" t="str">
        <f t="shared" si="295"/>
        <v/>
      </c>
      <c r="BQ61" s="103" t="str">
        <f t="shared" si="296"/>
        <v/>
      </c>
      <c r="BR61" s="104">
        <f t="shared" si="297"/>
        <v>0</v>
      </c>
      <c r="BS61" s="99" t="str">
        <f t="shared" si="298"/>
        <v/>
      </c>
      <c r="BT61" s="100" t="str">
        <f t="shared" si="299"/>
        <v/>
      </c>
      <c r="BU61" s="101">
        <f t="shared" si="300"/>
        <v>0</v>
      </c>
      <c r="BV61" s="102" t="str">
        <f t="shared" si="301"/>
        <v/>
      </c>
      <c r="BW61" s="103" t="str">
        <f t="shared" si="302"/>
        <v/>
      </c>
      <c r="BX61" s="104">
        <f t="shared" si="303"/>
        <v>0</v>
      </c>
      <c r="BY61" s="99" t="str">
        <f t="shared" si="304"/>
        <v/>
      </c>
      <c r="BZ61" s="100" t="str">
        <f t="shared" si="305"/>
        <v/>
      </c>
      <c r="CA61" s="101">
        <f t="shared" si="306"/>
        <v>0</v>
      </c>
      <c r="CB61" s="102" t="str">
        <f t="shared" si="307"/>
        <v/>
      </c>
      <c r="CC61" s="103" t="str">
        <f t="shared" si="308"/>
        <v/>
      </c>
      <c r="CD61" s="104">
        <f t="shared" si="309"/>
        <v>0</v>
      </c>
      <c r="CE61" s="99" t="str">
        <f t="shared" si="310"/>
        <v/>
      </c>
      <c r="CF61" s="100" t="str">
        <f t="shared" si="311"/>
        <v/>
      </c>
      <c r="CG61" s="101">
        <f t="shared" si="312"/>
        <v>0</v>
      </c>
      <c r="CH61" s="102" t="str">
        <f t="shared" si="313"/>
        <v/>
      </c>
      <c r="CI61" s="103" t="str">
        <f t="shared" si="314"/>
        <v/>
      </c>
      <c r="CJ61" s="104">
        <f t="shared" si="315"/>
        <v>0</v>
      </c>
      <c r="CK61" s="99" t="str">
        <f t="shared" si="316"/>
        <v/>
      </c>
      <c r="CL61" s="100" t="str">
        <f t="shared" si="317"/>
        <v/>
      </c>
      <c r="CM61" s="101">
        <f t="shared" si="318"/>
        <v>0</v>
      </c>
      <c r="CN61" s="102" t="str">
        <f t="shared" si="319"/>
        <v/>
      </c>
      <c r="CO61" s="103" t="str">
        <f t="shared" si="320"/>
        <v/>
      </c>
      <c r="CP61" s="104">
        <f t="shared" si="321"/>
        <v>0</v>
      </c>
      <c r="CQ61" s="99" t="str">
        <f t="shared" si="322"/>
        <v/>
      </c>
      <c r="CR61" s="100" t="str">
        <f t="shared" si="323"/>
        <v/>
      </c>
      <c r="CS61" s="101">
        <f t="shared" si="324"/>
        <v>0</v>
      </c>
      <c r="CT61" s="102" t="str">
        <f t="shared" si="325"/>
        <v/>
      </c>
      <c r="CU61" s="103" t="str">
        <f t="shared" si="326"/>
        <v/>
      </c>
      <c r="CV61" s="104">
        <f t="shared" si="327"/>
        <v>0</v>
      </c>
      <c r="CW61" s="99" t="str">
        <f t="shared" si="328"/>
        <v/>
      </c>
      <c r="CX61" s="100" t="str">
        <f t="shared" si="329"/>
        <v/>
      </c>
      <c r="CY61" s="101">
        <f t="shared" si="330"/>
        <v>0</v>
      </c>
      <c r="CZ61" s="102" t="str">
        <f t="shared" si="331"/>
        <v/>
      </c>
      <c r="DA61" s="103" t="str">
        <f t="shared" si="332"/>
        <v/>
      </c>
      <c r="DB61" s="104">
        <f t="shared" si="333"/>
        <v>0</v>
      </c>
      <c r="DC61" s="99" t="str">
        <f t="shared" si="334"/>
        <v/>
      </c>
      <c r="DD61" s="100" t="str">
        <f t="shared" si="335"/>
        <v/>
      </c>
      <c r="DE61" s="101">
        <f t="shared" si="336"/>
        <v>0</v>
      </c>
      <c r="DF61" s="102" t="str">
        <f t="shared" si="337"/>
        <v/>
      </c>
      <c r="DG61" s="103" t="str">
        <f t="shared" si="338"/>
        <v/>
      </c>
      <c r="DH61" s="104">
        <f t="shared" si="339"/>
        <v>0</v>
      </c>
      <c r="DI61" s="99" t="str">
        <f t="shared" si="340"/>
        <v/>
      </c>
      <c r="DJ61" s="100" t="str">
        <f t="shared" si="341"/>
        <v/>
      </c>
      <c r="DK61" s="101">
        <f t="shared" si="342"/>
        <v>0</v>
      </c>
      <c r="DL61" s="102" t="str">
        <f t="shared" si="343"/>
        <v/>
      </c>
      <c r="DM61" s="103" t="str">
        <f t="shared" si="344"/>
        <v/>
      </c>
      <c r="DN61" s="104">
        <f t="shared" si="345"/>
        <v>0</v>
      </c>
      <c r="DO61" s="99" t="str">
        <f t="shared" si="346"/>
        <v/>
      </c>
      <c r="DP61" s="100" t="str">
        <f t="shared" si="347"/>
        <v/>
      </c>
      <c r="DQ61" s="101">
        <f t="shared" si="348"/>
        <v>0</v>
      </c>
      <c r="DR61" s="102" t="str">
        <f t="shared" si="349"/>
        <v/>
      </c>
      <c r="DS61" s="103" t="str">
        <f t="shared" si="350"/>
        <v/>
      </c>
      <c r="DT61" s="104">
        <f t="shared" si="351"/>
        <v>0</v>
      </c>
    </row>
    <row r="62" ht="15.75" customHeight="1">
      <c r="A62" s="12" t="str">
        <f>Menus!B22</f>
        <v/>
      </c>
      <c r="B62" s="32">
        <f t="shared" si="231"/>
        <v>0</v>
      </c>
      <c r="C62" s="32">
        <f t="shared" si="232"/>
        <v>0</v>
      </c>
      <c r="D62" s="32">
        <f t="shared" si="233"/>
        <v>0</v>
      </c>
      <c r="E62" s="93" t="str">
        <f t="shared" si="234"/>
        <v/>
      </c>
      <c r="F62" s="94" t="str">
        <f t="shared" si="235"/>
        <v/>
      </c>
      <c r="G62" s="95">
        <f t="shared" si="236"/>
        <v>0</v>
      </c>
      <c r="H62" s="96" t="str">
        <f t="array" ref="H62">IFERROR(XLOOKUP($A62,'Gastos Admon'!$A$7:$A171,INDIRECT($B$9)),"")</f>
        <v/>
      </c>
      <c r="I62" s="97" t="str">
        <f t="array" ref="I62">IFERROR(XLOOKUP($A62,'Gastos Admon'!$A$7:$A171,INDIRECT($C$9)),"")</f>
        <v/>
      </c>
      <c r="J62" s="98">
        <f t="shared" si="237"/>
        <v>0</v>
      </c>
      <c r="K62" s="99" t="str">
        <f t="shared" si="238"/>
        <v/>
      </c>
      <c r="L62" s="100" t="str">
        <f t="shared" si="239"/>
        <v/>
      </c>
      <c r="M62" s="101">
        <f t="shared" si="240"/>
        <v>0</v>
      </c>
      <c r="N62" s="102" t="str">
        <f t="shared" si="241"/>
        <v/>
      </c>
      <c r="O62" s="103" t="str">
        <f t="shared" si="242"/>
        <v/>
      </c>
      <c r="P62" s="104">
        <f t="shared" si="243"/>
        <v>0</v>
      </c>
      <c r="Q62" s="99" t="str">
        <f t="shared" si="244"/>
        <v/>
      </c>
      <c r="R62" s="100" t="str">
        <f t="shared" si="245"/>
        <v/>
      </c>
      <c r="S62" s="101">
        <f t="shared" si="246"/>
        <v>0</v>
      </c>
      <c r="T62" s="102" t="str">
        <f t="shared" si="247"/>
        <v/>
      </c>
      <c r="U62" s="103" t="str">
        <f t="shared" si="248"/>
        <v/>
      </c>
      <c r="V62" s="104">
        <f t="shared" si="249"/>
        <v>0</v>
      </c>
      <c r="W62" s="99" t="str">
        <f t="shared" si="250"/>
        <v/>
      </c>
      <c r="X62" s="100" t="str">
        <f t="shared" si="251"/>
        <v/>
      </c>
      <c r="Y62" s="101">
        <f t="shared" si="252"/>
        <v>0</v>
      </c>
      <c r="Z62" s="102" t="str">
        <f t="shared" si="253"/>
        <v/>
      </c>
      <c r="AA62" s="103" t="str">
        <f t="shared" si="254"/>
        <v/>
      </c>
      <c r="AB62" s="104">
        <f t="shared" si="255"/>
        <v>0</v>
      </c>
      <c r="AC62" s="99" t="str">
        <f t="shared" si="256"/>
        <v/>
      </c>
      <c r="AD62" s="100" t="str">
        <f t="shared" si="257"/>
        <v/>
      </c>
      <c r="AE62" s="101">
        <f t="shared" si="258"/>
        <v>0</v>
      </c>
      <c r="AF62" s="102" t="str">
        <f t="shared" si="259"/>
        <v/>
      </c>
      <c r="AG62" s="103" t="str">
        <f t="shared" si="260"/>
        <v/>
      </c>
      <c r="AH62" s="104">
        <f t="shared" si="261"/>
        <v>0</v>
      </c>
      <c r="AI62" s="99" t="str">
        <f t="shared" si="262"/>
        <v/>
      </c>
      <c r="AJ62" s="100" t="str">
        <f t="shared" si="263"/>
        <v/>
      </c>
      <c r="AK62" s="101">
        <f t="shared" si="264"/>
        <v>0</v>
      </c>
      <c r="AL62" s="102" t="str">
        <f t="shared" si="265"/>
        <v/>
      </c>
      <c r="AM62" s="103" t="str">
        <f t="shared" si="266"/>
        <v/>
      </c>
      <c r="AN62" s="104">
        <f t="shared" si="267"/>
        <v>0</v>
      </c>
      <c r="AO62" s="99" t="str">
        <f t="shared" si="268"/>
        <v/>
      </c>
      <c r="AP62" s="100" t="str">
        <f t="shared" si="269"/>
        <v/>
      </c>
      <c r="AQ62" s="101">
        <f t="shared" si="270"/>
        <v>0</v>
      </c>
      <c r="AR62" s="102" t="str">
        <f t="shared" si="271"/>
        <v/>
      </c>
      <c r="AS62" s="103" t="str">
        <f t="shared" si="272"/>
        <v/>
      </c>
      <c r="AT62" s="104">
        <f t="shared" si="273"/>
        <v>0</v>
      </c>
      <c r="AU62" s="99" t="str">
        <f t="shared" si="274"/>
        <v/>
      </c>
      <c r="AV62" s="100" t="str">
        <f t="shared" si="275"/>
        <v/>
      </c>
      <c r="AW62" s="101">
        <f t="shared" si="276"/>
        <v>0</v>
      </c>
      <c r="AX62" s="102" t="str">
        <f t="shared" si="277"/>
        <v/>
      </c>
      <c r="AY62" s="103" t="str">
        <f t="shared" si="278"/>
        <v/>
      </c>
      <c r="AZ62" s="104">
        <f t="shared" si="279"/>
        <v>0</v>
      </c>
      <c r="BA62" s="99" t="str">
        <f t="shared" si="280"/>
        <v/>
      </c>
      <c r="BB62" s="100" t="str">
        <f t="shared" si="281"/>
        <v/>
      </c>
      <c r="BC62" s="101">
        <f t="shared" si="282"/>
        <v>0</v>
      </c>
      <c r="BD62" s="102" t="str">
        <f t="shared" si="283"/>
        <v/>
      </c>
      <c r="BE62" s="103" t="str">
        <f t="shared" si="284"/>
        <v/>
      </c>
      <c r="BF62" s="104">
        <f t="shared" si="285"/>
        <v>0</v>
      </c>
      <c r="BG62" s="99" t="str">
        <f t="shared" si="286"/>
        <v/>
      </c>
      <c r="BH62" s="100" t="str">
        <f t="shared" si="287"/>
        <v/>
      </c>
      <c r="BI62" s="101">
        <f t="shared" si="288"/>
        <v>0</v>
      </c>
      <c r="BJ62" s="102" t="str">
        <f t="shared" si="289"/>
        <v/>
      </c>
      <c r="BK62" s="103" t="str">
        <f t="shared" si="290"/>
        <v/>
      </c>
      <c r="BL62" s="104">
        <f t="shared" si="291"/>
        <v>0</v>
      </c>
      <c r="BM62" s="99" t="str">
        <f t="shared" si="292"/>
        <v/>
      </c>
      <c r="BN62" s="100" t="str">
        <f t="shared" si="293"/>
        <v/>
      </c>
      <c r="BO62" s="101">
        <f t="shared" si="294"/>
        <v>0</v>
      </c>
      <c r="BP62" s="102" t="str">
        <f t="shared" si="295"/>
        <v/>
      </c>
      <c r="BQ62" s="103" t="str">
        <f t="shared" si="296"/>
        <v/>
      </c>
      <c r="BR62" s="104">
        <f t="shared" si="297"/>
        <v>0</v>
      </c>
      <c r="BS62" s="99" t="str">
        <f t="shared" si="298"/>
        <v/>
      </c>
      <c r="BT62" s="100" t="str">
        <f t="shared" si="299"/>
        <v/>
      </c>
      <c r="BU62" s="101">
        <f t="shared" si="300"/>
        <v>0</v>
      </c>
      <c r="BV62" s="102" t="str">
        <f t="shared" si="301"/>
        <v/>
      </c>
      <c r="BW62" s="103" t="str">
        <f t="shared" si="302"/>
        <v/>
      </c>
      <c r="BX62" s="104">
        <f t="shared" si="303"/>
        <v>0</v>
      </c>
      <c r="BY62" s="99" t="str">
        <f t="shared" si="304"/>
        <v/>
      </c>
      <c r="BZ62" s="100" t="str">
        <f t="shared" si="305"/>
        <v/>
      </c>
      <c r="CA62" s="101">
        <f t="shared" si="306"/>
        <v>0</v>
      </c>
      <c r="CB62" s="102" t="str">
        <f t="shared" si="307"/>
        <v/>
      </c>
      <c r="CC62" s="103" t="str">
        <f t="shared" si="308"/>
        <v/>
      </c>
      <c r="CD62" s="104">
        <f t="shared" si="309"/>
        <v>0</v>
      </c>
      <c r="CE62" s="99" t="str">
        <f t="shared" si="310"/>
        <v/>
      </c>
      <c r="CF62" s="100" t="str">
        <f t="shared" si="311"/>
        <v/>
      </c>
      <c r="CG62" s="101">
        <f t="shared" si="312"/>
        <v>0</v>
      </c>
      <c r="CH62" s="102" t="str">
        <f t="shared" si="313"/>
        <v/>
      </c>
      <c r="CI62" s="103" t="str">
        <f t="shared" si="314"/>
        <v/>
      </c>
      <c r="CJ62" s="104">
        <f t="shared" si="315"/>
        <v>0</v>
      </c>
      <c r="CK62" s="99" t="str">
        <f t="shared" si="316"/>
        <v/>
      </c>
      <c r="CL62" s="100" t="str">
        <f t="shared" si="317"/>
        <v/>
      </c>
      <c r="CM62" s="101">
        <f t="shared" si="318"/>
        <v>0</v>
      </c>
      <c r="CN62" s="102" t="str">
        <f t="shared" si="319"/>
        <v/>
      </c>
      <c r="CO62" s="103" t="str">
        <f t="shared" si="320"/>
        <v/>
      </c>
      <c r="CP62" s="104">
        <f t="shared" si="321"/>
        <v>0</v>
      </c>
      <c r="CQ62" s="99" t="str">
        <f t="shared" si="322"/>
        <v/>
      </c>
      <c r="CR62" s="100" t="str">
        <f t="shared" si="323"/>
        <v/>
      </c>
      <c r="CS62" s="101">
        <f t="shared" si="324"/>
        <v>0</v>
      </c>
      <c r="CT62" s="102" t="str">
        <f t="shared" si="325"/>
        <v/>
      </c>
      <c r="CU62" s="103" t="str">
        <f t="shared" si="326"/>
        <v/>
      </c>
      <c r="CV62" s="104">
        <f t="shared" si="327"/>
        <v>0</v>
      </c>
      <c r="CW62" s="99" t="str">
        <f t="shared" si="328"/>
        <v/>
      </c>
      <c r="CX62" s="100" t="str">
        <f t="shared" si="329"/>
        <v/>
      </c>
      <c r="CY62" s="101">
        <f t="shared" si="330"/>
        <v>0</v>
      </c>
      <c r="CZ62" s="102" t="str">
        <f t="shared" si="331"/>
        <v/>
      </c>
      <c r="DA62" s="103" t="str">
        <f t="shared" si="332"/>
        <v/>
      </c>
      <c r="DB62" s="104">
        <f t="shared" si="333"/>
        <v>0</v>
      </c>
      <c r="DC62" s="99" t="str">
        <f t="shared" si="334"/>
        <v/>
      </c>
      <c r="DD62" s="100" t="str">
        <f t="shared" si="335"/>
        <v/>
      </c>
      <c r="DE62" s="101">
        <f t="shared" si="336"/>
        <v>0</v>
      </c>
      <c r="DF62" s="102" t="str">
        <f t="shared" si="337"/>
        <v/>
      </c>
      <c r="DG62" s="103" t="str">
        <f t="shared" si="338"/>
        <v/>
      </c>
      <c r="DH62" s="104">
        <f t="shared" si="339"/>
        <v>0</v>
      </c>
      <c r="DI62" s="99" t="str">
        <f t="shared" si="340"/>
        <v/>
      </c>
      <c r="DJ62" s="100" t="str">
        <f t="shared" si="341"/>
        <v/>
      </c>
      <c r="DK62" s="101">
        <f t="shared" si="342"/>
        <v>0</v>
      </c>
      <c r="DL62" s="102" t="str">
        <f t="shared" si="343"/>
        <v/>
      </c>
      <c r="DM62" s="103" t="str">
        <f t="shared" si="344"/>
        <v/>
      </c>
      <c r="DN62" s="104">
        <f t="shared" si="345"/>
        <v>0</v>
      </c>
      <c r="DO62" s="99" t="str">
        <f t="shared" si="346"/>
        <v/>
      </c>
      <c r="DP62" s="100" t="str">
        <f t="shared" si="347"/>
        <v/>
      </c>
      <c r="DQ62" s="101">
        <f t="shared" si="348"/>
        <v>0</v>
      </c>
      <c r="DR62" s="102" t="str">
        <f t="shared" si="349"/>
        <v/>
      </c>
      <c r="DS62" s="103" t="str">
        <f t="shared" si="350"/>
        <v/>
      </c>
      <c r="DT62" s="104">
        <f t="shared" si="351"/>
        <v>0</v>
      </c>
    </row>
    <row r="63" ht="15.75" customHeight="1">
      <c r="A63" s="12" t="str">
        <f>Menus!B23</f>
        <v/>
      </c>
      <c r="B63" s="32">
        <f t="shared" si="231"/>
        <v>0</v>
      </c>
      <c r="C63" s="32">
        <f t="shared" si="232"/>
        <v>0</v>
      </c>
      <c r="D63" s="32">
        <f t="shared" si="233"/>
        <v>0</v>
      </c>
      <c r="E63" s="93" t="str">
        <f t="shared" si="234"/>
        <v/>
      </c>
      <c r="F63" s="94" t="str">
        <f t="shared" si="235"/>
        <v/>
      </c>
      <c r="G63" s="95">
        <f t="shared" si="236"/>
        <v>0</v>
      </c>
      <c r="H63" s="96" t="str">
        <f t="array" ref="H63">IFERROR(XLOOKUP($A63,'Gastos Admon'!$A$7:$A171,INDIRECT($B$9)),"")</f>
        <v/>
      </c>
      <c r="I63" s="97" t="str">
        <f t="array" ref="I63">IFERROR(XLOOKUP($A63,'Gastos Admon'!$A$7:$A171,INDIRECT($C$9)),"")</f>
        <v/>
      </c>
      <c r="J63" s="98">
        <f t="shared" si="237"/>
        <v>0</v>
      </c>
      <c r="K63" s="99" t="str">
        <f t="shared" si="238"/>
        <v/>
      </c>
      <c r="L63" s="100" t="str">
        <f t="shared" si="239"/>
        <v/>
      </c>
      <c r="M63" s="101">
        <f t="shared" si="240"/>
        <v>0</v>
      </c>
      <c r="N63" s="102" t="str">
        <f t="shared" si="241"/>
        <v/>
      </c>
      <c r="O63" s="103" t="str">
        <f t="shared" si="242"/>
        <v/>
      </c>
      <c r="P63" s="104">
        <f t="shared" si="243"/>
        <v>0</v>
      </c>
      <c r="Q63" s="99" t="str">
        <f t="shared" si="244"/>
        <v/>
      </c>
      <c r="R63" s="100" t="str">
        <f t="shared" si="245"/>
        <v/>
      </c>
      <c r="S63" s="101">
        <f t="shared" si="246"/>
        <v>0</v>
      </c>
      <c r="T63" s="102" t="str">
        <f t="shared" si="247"/>
        <v/>
      </c>
      <c r="U63" s="103" t="str">
        <f t="shared" si="248"/>
        <v/>
      </c>
      <c r="V63" s="104">
        <f t="shared" si="249"/>
        <v>0</v>
      </c>
      <c r="W63" s="99" t="str">
        <f t="shared" si="250"/>
        <v/>
      </c>
      <c r="X63" s="100" t="str">
        <f t="shared" si="251"/>
        <v/>
      </c>
      <c r="Y63" s="101">
        <f t="shared" si="252"/>
        <v>0</v>
      </c>
      <c r="Z63" s="102" t="str">
        <f t="shared" si="253"/>
        <v/>
      </c>
      <c r="AA63" s="103" t="str">
        <f t="shared" si="254"/>
        <v/>
      </c>
      <c r="AB63" s="104">
        <f t="shared" si="255"/>
        <v>0</v>
      </c>
      <c r="AC63" s="99" t="str">
        <f t="shared" si="256"/>
        <v/>
      </c>
      <c r="AD63" s="100" t="str">
        <f t="shared" si="257"/>
        <v/>
      </c>
      <c r="AE63" s="101">
        <f t="shared" si="258"/>
        <v>0</v>
      </c>
      <c r="AF63" s="102" t="str">
        <f t="shared" si="259"/>
        <v/>
      </c>
      <c r="AG63" s="103" t="str">
        <f t="shared" si="260"/>
        <v/>
      </c>
      <c r="AH63" s="104">
        <f t="shared" si="261"/>
        <v>0</v>
      </c>
      <c r="AI63" s="99" t="str">
        <f t="shared" si="262"/>
        <v/>
      </c>
      <c r="AJ63" s="100" t="str">
        <f t="shared" si="263"/>
        <v/>
      </c>
      <c r="AK63" s="101">
        <f t="shared" si="264"/>
        <v>0</v>
      </c>
      <c r="AL63" s="102" t="str">
        <f t="shared" si="265"/>
        <v/>
      </c>
      <c r="AM63" s="103" t="str">
        <f t="shared" si="266"/>
        <v/>
      </c>
      <c r="AN63" s="104">
        <f t="shared" si="267"/>
        <v>0</v>
      </c>
      <c r="AO63" s="99" t="str">
        <f t="shared" si="268"/>
        <v/>
      </c>
      <c r="AP63" s="100" t="str">
        <f t="shared" si="269"/>
        <v/>
      </c>
      <c r="AQ63" s="101">
        <f t="shared" si="270"/>
        <v>0</v>
      </c>
      <c r="AR63" s="102" t="str">
        <f t="shared" si="271"/>
        <v/>
      </c>
      <c r="AS63" s="103" t="str">
        <f t="shared" si="272"/>
        <v/>
      </c>
      <c r="AT63" s="104">
        <f t="shared" si="273"/>
        <v>0</v>
      </c>
      <c r="AU63" s="99" t="str">
        <f t="shared" si="274"/>
        <v/>
      </c>
      <c r="AV63" s="100" t="str">
        <f t="shared" si="275"/>
        <v/>
      </c>
      <c r="AW63" s="101">
        <f t="shared" si="276"/>
        <v>0</v>
      </c>
      <c r="AX63" s="102" t="str">
        <f t="shared" si="277"/>
        <v/>
      </c>
      <c r="AY63" s="103" t="str">
        <f t="shared" si="278"/>
        <v/>
      </c>
      <c r="AZ63" s="104">
        <f t="shared" si="279"/>
        <v>0</v>
      </c>
      <c r="BA63" s="99" t="str">
        <f t="shared" si="280"/>
        <v/>
      </c>
      <c r="BB63" s="100" t="str">
        <f t="shared" si="281"/>
        <v/>
      </c>
      <c r="BC63" s="101">
        <f t="shared" si="282"/>
        <v>0</v>
      </c>
      <c r="BD63" s="102" t="str">
        <f t="shared" si="283"/>
        <v/>
      </c>
      <c r="BE63" s="103" t="str">
        <f t="shared" si="284"/>
        <v/>
      </c>
      <c r="BF63" s="104">
        <f t="shared" si="285"/>
        <v>0</v>
      </c>
      <c r="BG63" s="99" t="str">
        <f t="shared" si="286"/>
        <v/>
      </c>
      <c r="BH63" s="100" t="str">
        <f t="shared" si="287"/>
        <v/>
      </c>
      <c r="BI63" s="101">
        <f t="shared" si="288"/>
        <v>0</v>
      </c>
      <c r="BJ63" s="102" t="str">
        <f t="shared" si="289"/>
        <v/>
      </c>
      <c r="BK63" s="103" t="str">
        <f t="shared" si="290"/>
        <v/>
      </c>
      <c r="BL63" s="104">
        <f t="shared" si="291"/>
        <v>0</v>
      </c>
      <c r="BM63" s="99" t="str">
        <f t="shared" si="292"/>
        <v/>
      </c>
      <c r="BN63" s="100" t="str">
        <f t="shared" si="293"/>
        <v/>
      </c>
      <c r="BO63" s="101">
        <f t="shared" si="294"/>
        <v>0</v>
      </c>
      <c r="BP63" s="102" t="str">
        <f t="shared" si="295"/>
        <v/>
      </c>
      <c r="BQ63" s="103" t="str">
        <f t="shared" si="296"/>
        <v/>
      </c>
      <c r="BR63" s="104">
        <f t="shared" si="297"/>
        <v>0</v>
      </c>
      <c r="BS63" s="99" t="str">
        <f t="shared" si="298"/>
        <v/>
      </c>
      <c r="BT63" s="100" t="str">
        <f t="shared" si="299"/>
        <v/>
      </c>
      <c r="BU63" s="101">
        <f t="shared" si="300"/>
        <v>0</v>
      </c>
      <c r="BV63" s="102" t="str">
        <f t="shared" si="301"/>
        <v/>
      </c>
      <c r="BW63" s="103" t="str">
        <f t="shared" si="302"/>
        <v/>
      </c>
      <c r="BX63" s="104">
        <f t="shared" si="303"/>
        <v>0</v>
      </c>
      <c r="BY63" s="99" t="str">
        <f t="shared" si="304"/>
        <v/>
      </c>
      <c r="BZ63" s="100" t="str">
        <f t="shared" si="305"/>
        <v/>
      </c>
      <c r="CA63" s="101">
        <f t="shared" si="306"/>
        <v>0</v>
      </c>
      <c r="CB63" s="102" t="str">
        <f t="shared" si="307"/>
        <v/>
      </c>
      <c r="CC63" s="103" t="str">
        <f t="shared" si="308"/>
        <v/>
      </c>
      <c r="CD63" s="104">
        <f t="shared" si="309"/>
        <v>0</v>
      </c>
      <c r="CE63" s="99" t="str">
        <f t="shared" si="310"/>
        <v/>
      </c>
      <c r="CF63" s="100" t="str">
        <f t="shared" si="311"/>
        <v/>
      </c>
      <c r="CG63" s="101">
        <f t="shared" si="312"/>
        <v>0</v>
      </c>
      <c r="CH63" s="102" t="str">
        <f t="shared" si="313"/>
        <v/>
      </c>
      <c r="CI63" s="103" t="str">
        <f t="shared" si="314"/>
        <v/>
      </c>
      <c r="CJ63" s="104">
        <f t="shared" si="315"/>
        <v>0</v>
      </c>
      <c r="CK63" s="99" t="str">
        <f t="shared" si="316"/>
        <v/>
      </c>
      <c r="CL63" s="100" t="str">
        <f t="shared" si="317"/>
        <v/>
      </c>
      <c r="CM63" s="101">
        <f t="shared" si="318"/>
        <v>0</v>
      </c>
      <c r="CN63" s="102" t="str">
        <f t="shared" si="319"/>
        <v/>
      </c>
      <c r="CO63" s="103" t="str">
        <f t="shared" si="320"/>
        <v/>
      </c>
      <c r="CP63" s="104">
        <f t="shared" si="321"/>
        <v>0</v>
      </c>
      <c r="CQ63" s="99" t="str">
        <f t="shared" si="322"/>
        <v/>
      </c>
      <c r="CR63" s="100" t="str">
        <f t="shared" si="323"/>
        <v/>
      </c>
      <c r="CS63" s="101">
        <f t="shared" si="324"/>
        <v>0</v>
      </c>
      <c r="CT63" s="102" t="str">
        <f t="shared" si="325"/>
        <v/>
      </c>
      <c r="CU63" s="103" t="str">
        <f t="shared" si="326"/>
        <v/>
      </c>
      <c r="CV63" s="104">
        <f t="shared" si="327"/>
        <v>0</v>
      </c>
      <c r="CW63" s="99" t="str">
        <f t="shared" si="328"/>
        <v/>
      </c>
      <c r="CX63" s="100" t="str">
        <f t="shared" si="329"/>
        <v/>
      </c>
      <c r="CY63" s="101">
        <f t="shared" si="330"/>
        <v>0</v>
      </c>
      <c r="CZ63" s="102" t="str">
        <f t="shared" si="331"/>
        <v/>
      </c>
      <c r="DA63" s="103" t="str">
        <f t="shared" si="332"/>
        <v/>
      </c>
      <c r="DB63" s="104">
        <f t="shared" si="333"/>
        <v>0</v>
      </c>
      <c r="DC63" s="99" t="str">
        <f t="shared" si="334"/>
        <v/>
      </c>
      <c r="DD63" s="100" t="str">
        <f t="shared" si="335"/>
        <v/>
      </c>
      <c r="DE63" s="101">
        <f t="shared" si="336"/>
        <v>0</v>
      </c>
      <c r="DF63" s="102" t="str">
        <f t="shared" si="337"/>
        <v/>
      </c>
      <c r="DG63" s="103" t="str">
        <f t="shared" si="338"/>
        <v/>
      </c>
      <c r="DH63" s="104">
        <f t="shared" si="339"/>
        <v>0</v>
      </c>
      <c r="DI63" s="99" t="str">
        <f t="shared" si="340"/>
        <v/>
      </c>
      <c r="DJ63" s="100" t="str">
        <f t="shared" si="341"/>
        <v/>
      </c>
      <c r="DK63" s="101">
        <f t="shared" si="342"/>
        <v>0</v>
      </c>
      <c r="DL63" s="102" t="str">
        <f t="shared" si="343"/>
        <v/>
      </c>
      <c r="DM63" s="103" t="str">
        <f t="shared" si="344"/>
        <v/>
      </c>
      <c r="DN63" s="104">
        <f t="shared" si="345"/>
        <v>0</v>
      </c>
      <c r="DO63" s="99" t="str">
        <f t="shared" si="346"/>
        <v/>
      </c>
      <c r="DP63" s="100" t="str">
        <f t="shared" si="347"/>
        <v/>
      </c>
      <c r="DQ63" s="101">
        <f t="shared" si="348"/>
        <v>0</v>
      </c>
      <c r="DR63" s="102" t="str">
        <f t="shared" si="349"/>
        <v/>
      </c>
      <c r="DS63" s="103" t="str">
        <f t="shared" si="350"/>
        <v/>
      </c>
      <c r="DT63" s="104">
        <f t="shared" si="351"/>
        <v>0</v>
      </c>
    </row>
    <row r="64" ht="15.75" customHeight="1">
      <c r="A64" s="12" t="str">
        <f>Menus!B24</f>
        <v/>
      </c>
      <c r="B64" s="32">
        <f t="shared" si="231"/>
        <v>0</v>
      </c>
      <c r="C64" s="32">
        <f t="shared" si="232"/>
        <v>0</v>
      </c>
      <c r="D64" s="32">
        <f t="shared" si="233"/>
        <v>0</v>
      </c>
      <c r="E64" s="93" t="str">
        <f t="shared" si="234"/>
        <v/>
      </c>
      <c r="F64" s="94" t="str">
        <f t="shared" si="235"/>
        <v/>
      </c>
      <c r="G64" s="95">
        <f t="shared" si="236"/>
        <v>0</v>
      </c>
      <c r="H64" s="96" t="str">
        <f t="array" ref="H64">IFERROR(XLOOKUP($A64,'Gastos Admon'!$A$7:$A171,INDIRECT($B$9)),"")</f>
        <v/>
      </c>
      <c r="I64" s="97" t="str">
        <f t="array" ref="I64">IFERROR(XLOOKUP($A64,'Gastos Admon'!$A$7:$A171,INDIRECT($C$9)),"")</f>
        <v/>
      </c>
      <c r="J64" s="98">
        <f t="shared" si="237"/>
        <v>0</v>
      </c>
      <c r="K64" s="99" t="str">
        <f t="shared" si="238"/>
        <v/>
      </c>
      <c r="L64" s="100" t="str">
        <f t="shared" si="239"/>
        <v/>
      </c>
      <c r="M64" s="101">
        <f t="shared" si="240"/>
        <v>0</v>
      </c>
      <c r="N64" s="102" t="str">
        <f t="shared" si="241"/>
        <v/>
      </c>
      <c r="O64" s="103" t="str">
        <f t="shared" si="242"/>
        <v/>
      </c>
      <c r="P64" s="104">
        <f t="shared" si="243"/>
        <v>0</v>
      </c>
      <c r="Q64" s="99" t="str">
        <f t="shared" si="244"/>
        <v/>
      </c>
      <c r="R64" s="100" t="str">
        <f t="shared" si="245"/>
        <v/>
      </c>
      <c r="S64" s="101">
        <f t="shared" si="246"/>
        <v>0</v>
      </c>
      <c r="T64" s="102" t="str">
        <f t="shared" si="247"/>
        <v/>
      </c>
      <c r="U64" s="103" t="str">
        <f t="shared" si="248"/>
        <v/>
      </c>
      <c r="V64" s="104">
        <f t="shared" si="249"/>
        <v>0</v>
      </c>
      <c r="W64" s="99" t="str">
        <f t="shared" si="250"/>
        <v/>
      </c>
      <c r="X64" s="100" t="str">
        <f t="shared" si="251"/>
        <v/>
      </c>
      <c r="Y64" s="101">
        <f t="shared" si="252"/>
        <v>0</v>
      </c>
      <c r="Z64" s="102" t="str">
        <f t="shared" si="253"/>
        <v/>
      </c>
      <c r="AA64" s="103" t="str">
        <f t="shared" si="254"/>
        <v/>
      </c>
      <c r="AB64" s="104">
        <f t="shared" si="255"/>
        <v>0</v>
      </c>
      <c r="AC64" s="99" t="str">
        <f t="shared" si="256"/>
        <v/>
      </c>
      <c r="AD64" s="100" t="str">
        <f t="shared" si="257"/>
        <v/>
      </c>
      <c r="AE64" s="101">
        <f t="shared" si="258"/>
        <v>0</v>
      </c>
      <c r="AF64" s="102" t="str">
        <f t="shared" si="259"/>
        <v/>
      </c>
      <c r="AG64" s="103" t="str">
        <f t="shared" si="260"/>
        <v/>
      </c>
      <c r="AH64" s="104">
        <f t="shared" si="261"/>
        <v>0</v>
      </c>
      <c r="AI64" s="99" t="str">
        <f t="shared" si="262"/>
        <v/>
      </c>
      <c r="AJ64" s="100" t="str">
        <f t="shared" si="263"/>
        <v/>
      </c>
      <c r="AK64" s="101">
        <f t="shared" si="264"/>
        <v>0</v>
      </c>
      <c r="AL64" s="102" t="str">
        <f t="shared" si="265"/>
        <v/>
      </c>
      <c r="AM64" s="103" t="str">
        <f t="shared" si="266"/>
        <v/>
      </c>
      <c r="AN64" s="104">
        <f t="shared" si="267"/>
        <v>0</v>
      </c>
      <c r="AO64" s="99" t="str">
        <f t="shared" si="268"/>
        <v/>
      </c>
      <c r="AP64" s="100" t="str">
        <f t="shared" si="269"/>
        <v/>
      </c>
      <c r="AQ64" s="101">
        <f t="shared" si="270"/>
        <v>0</v>
      </c>
      <c r="AR64" s="102" t="str">
        <f t="shared" si="271"/>
        <v/>
      </c>
      <c r="AS64" s="103" t="str">
        <f t="shared" si="272"/>
        <v/>
      </c>
      <c r="AT64" s="104">
        <f t="shared" si="273"/>
        <v>0</v>
      </c>
      <c r="AU64" s="99" t="str">
        <f t="shared" si="274"/>
        <v/>
      </c>
      <c r="AV64" s="100" t="str">
        <f t="shared" si="275"/>
        <v/>
      </c>
      <c r="AW64" s="101">
        <f t="shared" si="276"/>
        <v>0</v>
      </c>
      <c r="AX64" s="102" t="str">
        <f t="shared" si="277"/>
        <v/>
      </c>
      <c r="AY64" s="103" t="str">
        <f t="shared" si="278"/>
        <v/>
      </c>
      <c r="AZ64" s="104">
        <f t="shared" si="279"/>
        <v>0</v>
      </c>
      <c r="BA64" s="99" t="str">
        <f t="shared" si="280"/>
        <v/>
      </c>
      <c r="BB64" s="100" t="str">
        <f t="shared" si="281"/>
        <v/>
      </c>
      <c r="BC64" s="101">
        <f t="shared" si="282"/>
        <v>0</v>
      </c>
      <c r="BD64" s="102" t="str">
        <f t="shared" si="283"/>
        <v/>
      </c>
      <c r="BE64" s="103" t="str">
        <f t="shared" si="284"/>
        <v/>
      </c>
      <c r="BF64" s="104">
        <f t="shared" si="285"/>
        <v>0</v>
      </c>
      <c r="BG64" s="99" t="str">
        <f t="shared" si="286"/>
        <v/>
      </c>
      <c r="BH64" s="100" t="str">
        <f t="shared" si="287"/>
        <v/>
      </c>
      <c r="BI64" s="101">
        <f t="shared" si="288"/>
        <v>0</v>
      </c>
      <c r="BJ64" s="102" t="str">
        <f t="shared" si="289"/>
        <v/>
      </c>
      <c r="BK64" s="103" t="str">
        <f t="shared" si="290"/>
        <v/>
      </c>
      <c r="BL64" s="104">
        <f t="shared" si="291"/>
        <v>0</v>
      </c>
      <c r="BM64" s="99" t="str">
        <f t="shared" si="292"/>
        <v/>
      </c>
      <c r="BN64" s="100" t="str">
        <f t="shared" si="293"/>
        <v/>
      </c>
      <c r="BO64" s="101">
        <f t="shared" si="294"/>
        <v>0</v>
      </c>
      <c r="BP64" s="102" t="str">
        <f t="shared" si="295"/>
        <v/>
      </c>
      <c r="BQ64" s="103" t="str">
        <f t="shared" si="296"/>
        <v/>
      </c>
      <c r="BR64" s="104">
        <f t="shared" si="297"/>
        <v>0</v>
      </c>
      <c r="BS64" s="99" t="str">
        <f t="shared" si="298"/>
        <v/>
      </c>
      <c r="BT64" s="100" t="str">
        <f t="shared" si="299"/>
        <v/>
      </c>
      <c r="BU64" s="101">
        <f t="shared" si="300"/>
        <v>0</v>
      </c>
      <c r="BV64" s="102" t="str">
        <f t="shared" si="301"/>
        <v/>
      </c>
      <c r="BW64" s="103" t="str">
        <f t="shared" si="302"/>
        <v/>
      </c>
      <c r="BX64" s="104">
        <f t="shared" si="303"/>
        <v>0</v>
      </c>
      <c r="BY64" s="99" t="str">
        <f t="shared" si="304"/>
        <v/>
      </c>
      <c r="BZ64" s="100" t="str">
        <f t="shared" si="305"/>
        <v/>
      </c>
      <c r="CA64" s="101">
        <f t="shared" si="306"/>
        <v>0</v>
      </c>
      <c r="CB64" s="102" t="str">
        <f t="shared" si="307"/>
        <v/>
      </c>
      <c r="CC64" s="103" t="str">
        <f t="shared" si="308"/>
        <v/>
      </c>
      <c r="CD64" s="104">
        <f t="shared" si="309"/>
        <v>0</v>
      </c>
      <c r="CE64" s="99" t="str">
        <f t="shared" si="310"/>
        <v/>
      </c>
      <c r="CF64" s="100" t="str">
        <f t="shared" si="311"/>
        <v/>
      </c>
      <c r="CG64" s="101">
        <f t="shared" si="312"/>
        <v>0</v>
      </c>
      <c r="CH64" s="102" t="str">
        <f t="shared" si="313"/>
        <v/>
      </c>
      <c r="CI64" s="103" t="str">
        <f t="shared" si="314"/>
        <v/>
      </c>
      <c r="CJ64" s="104">
        <f t="shared" si="315"/>
        <v>0</v>
      </c>
      <c r="CK64" s="99" t="str">
        <f t="shared" si="316"/>
        <v/>
      </c>
      <c r="CL64" s="100" t="str">
        <f t="shared" si="317"/>
        <v/>
      </c>
      <c r="CM64" s="101">
        <f t="shared" si="318"/>
        <v>0</v>
      </c>
      <c r="CN64" s="102" t="str">
        <f t="shared" si="319"/>
        <v/>
      </c>
      <c r="CO64" s="103" t="str">
        <f t="shared" si="320"/>
        <v/>
      </c>
      <c r="CP64" s="104">
        <f t="shared" si="321"/>
        <v>0</v>
      </c>
      <c r="CQ64" s="99" t="str">
        <f t="shared" si="322"/>
        <v/>
      </c>
      <c r="CR64" s="100" t="str">
        <f t="shared" si="323"/>
        <v/>
      </c>
      <c r="CS64" s="101">
        <f t="shared" si="324"/>
        <v>0</v>
      </c>
      <c r="CT64" s="102" t="str">
        <f t="shared" si="325"/>
        <v/>
      </c>
      <c r="CU64" s="103" t="str">
        <f t="shared" si="326"/>
        <v/>
      </c>
      <c r="CV64" s="104">
        <f t="shared" si="327"/>
        <v>0</v>
      </c>
      <c r="CW64" s="99" t="str">
        <f t="shared" si="328"/>
        <v/>
      </c>
      <c r="CX64" s="100" t="str">
        <f t="shared" si="329"/>
        <v/>
      </c>
      <c r="CY64" s="101">
        <f t="shared" si="330"/>
        <v>0</v>
      </c>
      <c r="CZ64" s="102" t="str">
        <f t="shared" si="331"/>
        <v/>
      </c>
      <c r="DA64" s="103" t="str">
        <f t="shared" si="332"/>
        <v/>
      </c>
      <c r="DB64" s="104">
        <f t="shared" si="333"/>
        <v>0</v>
      </c>
      <c r="DC64" s="99" t="str">
        <f t="shared" si="334"/>
        <v/>
      </c>
      <c r="DD64" s="100" t="str">
        <f t="shared" si="335"/>
        <v/>
      </c>
      <c r="DE64" s="101">
        <f t="shared" si="336"/>
        <v>0</v>
      </c>
      <c r="DF64" s="102" t="str">
        <f t="shared" si="337"/>
        <v/>
      </c>
      <c r="DG64" s="103" t="str">
        <f t="shared" si="338"/>
        <v/>
      </c>
      <c r="DH64" s="104">
        <f t="shared" si="339"/>
        <v>0</v>
      </c>
      <c r="DI64" s="99" t="str">
        <f t="shared" si="340"/>
        <v/>
      </c>
      <c r="DJ64" s="100" t="str">
        <f t="shared" si="341"/>
        <v/>
      </c>
      <c r="DK64" s="101">
        <f t="shared" si="342"/>
        <v>0</v>
      </c>
      <c r="DL64" s="102" t="str">
        <f t="shared" si="343"/>
        <v/>
      </c>
      <c r="DM64" s="103" t="str">
        <f t="shared" si="344"/>
        <v/>
      </c>
      <c r="DN64" s="104">
        <f t="shared" si="345"/>
        <v>0</v>
      </c>
      <c r="DO64" s="99" t="str">
        <f t="shared" si="346"/>
        <v/>
      </c>
      <c r="DP64" s="100" t="str">
        <f t="shared" si="347"/>
        <v/>
      </c>
      <c r="DQ64" s="101">
        <f t="shared" si="348"/>
        <v>0</v>
      </c>
      <c r="DR64" s="102" t="str">
        <f t="shared" si="349"/>
        <v/>
      </c>
      <c r="DS64" s="103" t="str">
        <f t="shared" si="350"/>
        <v/>
      </c>
      <c r="DT64" s="104">
        <f t="shared" si="351"/>
        <v>0</v>
      </c>
    </row>
    <row r="65" ht="15.75" customHeight="1">
      <c r="A65" s="12" t="str">
        <f>Menus!B25</f>
        <v/>
      </c>
      <c r="B65" s="32">
        <f t="shared" si="231"/>
        <v>0</v>
      </c>
      <c r="C65" s="32">
        <f t="shared" si="232"/>
        <v>0</v>
      </c>
      <c r="D65" s="32">
        <f t="shared" si="233"/>
        <v>0</v>
      </c>
      <c r="E65" s="93" t="str">
        <f t="shared" si="234"/>
        <v/>
      </c>
      <c r="F65" s="94" t="str">
        <f t="shared" si="235"/>
        <v/>
      </c>
      <c r="G65" s="95">
        <f t="shared" si="236"/>
        <v>0</v>
      </c>
      <c r="H65" s="96" t="str">
        <f t="array" ref="H65">IFERROR(XLOOKUP($A65,'Gastos Admon'!$A$7:$A171,INDIRECT($B$9)),"")</f>
        <v/>
      </c>
      <c r="I65" s="97" t="str">
        <f t="array" ref="I65">IFERROR(XLOOKUP($A65,'Gastos Admon'!$A$7:$A171,INDIRECT($C$9)),"")</f>
        <v/>
      </c>
      <c r="J65" s="98">
        <f t="shared" si="237"/>
        <v>0</v>
      </c>
      <c r="K65" s="99" t="str">
        <f t="shared" si="238"/>
        <v/>
      </c>
      <c r="L65" s="100" t="str">
        <f t="shared" si="239"/>
        <v/>
      </c>
      <c r="M65" s="101">
        <f t="shared" si="240"/>
        <v>0</v>
      </c>
      <c r="N65" s="102" t="str">
        <f t="shared" si="241"/>
        <v/>
      </c>
      <c r="O65" s="103" t="str">
        <f t="shared" si="242"/>
        <v/>
      </c>
      <c r="P65" s="104">
        <f t="shared" si="243"/>
        <v>0</v>
      </c>
      <c r="Q65" s="99" t="str">
        <f t="shared" si="244"/>
        <v/>
      </c>
      <c r="R65" s="100" t="str">
        <f t="shared" si="245"/>
        <v/>
      </c>
      <c r="S65" s="101">
        <f t="shared" si="246"/>
        <v>0</v>
      </c>
      <c r="T65" s="102" t="str">
        <f t="shared" si="247"/>
        <v/>
      </c>
      <c r="U65" s="103" t="str">
        <f t="shared" si="248"/>
        <v/>
      </c>
      <c r="V65" s="104">
        <f t="shared" si="249"/>
        <v>0</v>
      </c>
      <c r="W65" s="99" t="str">
        <f t="shared" si="250"/>
        <v/>
      </c>
      <c r="X65" s="100" t="str">
        <f t="shared" si="251"/>
        <v/>
      </c>
      <c r="Y65" s="101">
        <f t="shared" si="252"/>
        <v>0</v>
      </c>
      <c r="Z65" s="102" t="str">
        <f t="shared" si="253"/>
        <v/>
      </c>
      <c r="AA65" s="103" t="str">
        <f t="shared" si="254"/>
        <v/>
      </c>
      <c r="AB65" s="104">
        <f t="shared" si="255"/>
        <v>0</v>
      </c>
      <c r="AC65" s="99" t="str">
        <f t="shared" si="256"/>
        <v/>
      </c>
      <c r="AD65" s="100" t="str">
        <f t="shared" si="257"/>
        <v/>
      </c>
      <c r="AE65" s="101">
        <f t="shared" si="258"/>
        <v>0</v>
      </c>
      <c r="AF65" s="102" t="str">
        <f t="shared" si="259"/>
        <v/>
      </c>
      <c r="AG65" s="103" t="str">
        <f t="shared" si="260"/>
        <v/>
      </c>
      <c r="AH65" s="104">
        <f t="shared" si="261"/>
        <v>0</v>
      </c>
      <c r="AI65" s="99" t="str">
        <f t="shared" si="262"/>
        <v/>
      </c>
      <c r="AJ65" s="100" t="str">
        <f t="shared" si="263"/>
        <v/>
      </c>
      <c r="AK65" s="101">
        <f t="shared" si="264"/>
        <v>0</v>
      </c>
      <c r="AL65" s="102" t="str">
        <f t="shared" si="265"/>
        <v/>
      </c>
      <c r="AM65" s="103" t="str">
        <f t="shared" si="266"/>
        <v/>
      </c>
      <c r="AN65" s="104">
        <f t="shared" si="267"/>
        <v>0</v>
      </c>
      <c r="AO65" s="99" t="str">
        <f t="shared" si="268"/>
        <v/>
      </c>
      <c r="AP65" s="100" t="str">
        <f t="shared" si="269"/>
        <v/>
      </c>
      <c r="AQ65" s="101">
        <f t="shared" si="270"/>
        <v>0</v>
      </c>
      <c r="AR65" s="102" t="str">
        <f t="shared" si="271"/>
        <v/>
      </c>
      <c r="AS65" s="103" t="str">
        <f t="shared" si="272"/>
        <v/>
      </c>
      <c r="AT65" s="104">
        <f t="shared" si="273"/>
        <v>0</v>
      </c>
      <c r="AU65" s="99" t="str">
        <f t="shared" si="274"/>
        <v/>
      </c>
      <c r="AV65" s="100" t="str">
        <f t="shared" si="275"/>
        <v/>
      </c>
      <c r="AW65" s="101">
        <f t="shared" si="276"/>
        <v>0</v>
      </c>
      <c r="AX65" s="102" t="str">
        <f t="shared" si="277"/>
        <v/>
      </c>
      <c r="AY65" s="103" t="str">
        <f t="shared" si="278"/>
        <v/>
      </c>
      <c r="AZ65" s="104">
        <f t="shared" si="279"/>
        <v>0</v>
      </c>
      <c r="BA65" s="99" t="str">
        <f t="shared" si="280"/>
        <v/>
      </c>
      <c r="BB65" s="100" t="str">
        <f t="shared" si="281"/>
        <v/>
      </c>
      <c r="BC65" s="101">
        <f t="shared" si="282"/>
        <v>0</v>
      </c>
      <c r="BD65" s="102" t="str">
        <f t="shared" si="283"/>
        <v/>
      </c>
      <c r="BE65" s="103" t="str">
        <f t="shared" si="284"/>
        <v/>
      </c>
      <c r="BF65" s="104">
        <f t="shared" si="285"/>
        <v>0</v>
      </c>
      <c r="BG65" s="99" t="str">
        <f t="shared" si="286"/>
        <v/>
      </c>
      <c r="BH65" s="100" t="str">
        <f t="shared" si="287"/>
        <v/>
      </c>
      <c r="BI65" s="101">
        <f t="shared" si="288"/>
        <v>0</v>
      </c>
      <c r="BJ65" s="102" t="str">
        <f t="shared" si="289"/>
        <v/>
      </c>
      <c r="BK65" s="103" t="str">
        <f t="shared" si="290"/>
        <v/>
      </c>
      <c r="BL65" s="104">
        <f t="shared" si="291"/>
        <v>0</v>
      </c>
      <c r="BM65" s="99" t="str">
        <f t="shared" si="292"/>
        <v/>
      </c>
      <c r="BN65" s="100" t="str">
        <f t="shared" si="293"/>
        <v/>
      </c>
      <c r="BO65" s="101">
        <f t="shared" si="294"/>
        <v>0</v>
      </c>
      <c r="BP65" s="102" t="str">
        <f t="shared" si="295"/>
        <v/>
      </c>
      <c r="BQ65" s="103" t="str">
        <f t="shared" si="296"/>
        <v/>
      </c>
      <c r="BR65" s="104">
        <f t="shared" si="297"/>
        <v>0</v>
      </c>
      <c r="BS65" s="99" t="str">
        <f t="shared" si="298"/>
        <v/>
      </c>
      <c r="BT65" s="100" t="str">
        <f t="shared" si="299"/>
        <v/>
      </c>
      <c r="BU65" s="101">
        <f t="shared" si="300"/>
        <v>0</v>
      </c>
      <c r="BV65" s="102" t="str">
        <f t="shared" si="301"/>
        <v/>
      </c>
      <c r="BW65" s="103" t="str">
        <f t="shared" si="302"/>
        <v/>
      </c>
      <c r="BX65" s="104">
        <f t="shared" si="303"/>
        <v>0</v>
      </c>
      <c r="BY65" s="99" t="str">
        <f t="shared" si="304"/>
        <v/>
      </c>
      <c r="BZ65" s="100" t="str">
        <f t="shared" si="305"/>
        <v/>
      </c>
      <c r="CA65" s="101">
        <f t="shared" si="306"/>
        <v>0</v>
      </c>
      <c r="CB65" s="102" t="str">
        <f t="shared" si="307"/>
        <v/>
      </c>
      <c r="CC65" s="103" t="str">
        <f t="shared" si="308"/>
        <v/>
      </c>
      <c r="CD65" s="104">
        <f t="shared" si="309"/>
        <v>0</v>
      </c>
      <c r="CE65" s="99" t="str">
        <f t="shared" si="310"/>
        <v/>
      </c>
      <c r="CF65" s="100" t="str">
        <f t="shared" si="311"/>
        <v/>
      </c>
      <c r="CG65" s="101">
        <f t="shared" si="312"/>
        <v>0</v>
      </c>
      <c r="CH65" s="102" t="str">
        <f t="shared" si="313"/>
        <v/>
      </c>
      <c r="CI65" s="103" t="str">
        <f t="shared" si="314"/>
        <v/>
      </c>
      <c r="CJ65" s="104">
        <f t="shared" si="315"/>
        <v>0</v>
      </c>
      <c r="CK65" s="99" t="str">
        <f t="shared" si="316"/>
        <v/>
      </c>
      <c r="CL65" s="100" t="str">
        <f t="shared" si="317"/>
        <v/>
      </c>
      <c r="CM65" s="101">
        <f t="shared" si="318"/>
        <v>0</v>
      </c>
      <c r="CN65" s="102" t="str">
        <f t="shared" si="319"/>
        <v/>
      </c>
      <c r="CO65" s="103" t="str">
        <f t="shared" si="320"/>
        <v/>
      </c>
      <c r="CP65" s="104">
        <f t="shared" si="321"/>
        <v>0</v>
      </c>
      <c r="CQ65" s="99" t="str">
        <f t="shared" si="322"/>
        <v/>
      </c>
      <c r="CR65" s="100" t="str">
        <f t="shared" si="323"/>
        <v/>
      </c>
      <c r="CS65" s="101">
        <f t="shared" si="324"/>
        <v>0</v>
      </c>
      <c r="CT65" s="102" t="str">
        <f t="shared" si="325"/>
        <v/>
      </c>
      <c r="CU65" s="103" t="str">
        <f t="shared" si="326"/>
        <v/>
      </c>
      <c r="CV65" s="104">
        <f t="shared" si="327"/>
        <v>0</v>
      </c>
      <c r="CW65" s="99" t="str">
        <f t="shared" si="328"/>
        <v/>
      </c>
      <c r="CX65" s="100" t="str">
        <f t="shared" si="329"/>
        <v/>
      </c>
      <c r="CY65" s="101">
        <f t="shared" si="330"/>
        <v>0</v>
      </c>
      <c r="CZ65" s="102" t="str">
        <f t="shared" si="331"/>
        <v/>
      </c>
      <c r="DA65" s="103" t="str">
        <f t="shared" si="332"/>
        <v/>
      </c>
      <c r="DB65" s="104">
        <f t="shared" si="333"/>
        <v>0</v>
      </c>
      <c r="DC65" s="99" t="str">
        <f t="shared" si="334"/>
        <v/>
      </c>
      <c r="DD65" s="100" t="str">
        <f t="shared" si="335"/>
        <v/>
      </c>
      <c r="DE65" s="101">
        <f t="shared" si="336"/>
        <v>0</v>
      </c>
      <c r="DF65" s="102" t="str">
        <f t="shared" si="337"/>
        <v/>
      </c>
      <c r="DG65" s="103" t="str">
        <f t="shared" si="338"/>
        <v/>
      </c>
      <c r="DH65" s="104">
        <f t="shared" si="339"/>
        <v>0</v>
      </c>
      <c r="DI65" s="99" t="str">
        <f t="shared" si="340"/>
        <v/>
      </c>
      <c r="DJ65" s="100" t="str">
        <f t="shared" si="341"/>
        <v/>
      </c>
      <c r="DK65" s="101">
        <f t="shared" si="342"/>
        <v>0</v>
      </c>
      <c r="DL65" s="102" t="str">
        <f t="shared" si="343"/>
        <v/>
      </c>
      <c r="DM65" s="103" t="str">
        <f t="shared" si="344"/>
        <v/>
      </c>
      <c r="DN65" s="104">
        <f t="shared" si="345"/>
        <v>0</v>
      </c>
      <c r="DO65" s="99" t="str">
        <f t="shared" si="346"/>
        <v/>
      </c>
      <c r="DP65" s="100" t="str">
        <f t="shared" si="347"/>
        <v/>
      </c>
      <c r="DQ65" s="101">
        <f t="shared" si="348"/>
        <v>0</v>
      </c>
      <c r="DR65" s="102" t="str">
        <f t="shared" si="349"/>
        <v/>
      </c>
      <c r="DS65" s="103" t="str">
        <f t="shared" si="350"/>
        <v/>
      </c>
      <c r="DT65" s="104">
        <f t="shared" si="351"/>
        <v>0</v>
      </c>
    </row>
    <row r="66" ht="15.75" customHeight="1">
      <c r="A66" s="12" t="str">
        <f>Menus!B26</f>
        <v/>
      </c>
      <c r="B66" s="32">
        <f t="shared" si="231"/>
        <v>0</v>
      </c>
      <c r="C66" s="32">
        <f t="shared" si="232"/>
        <v>0</v>
      </c>
      <c r="D66" s="32">
        <f t="shared" si="233"/>
        <v>0</v>
      </c>
      <c r="E66" s="93" t="str">
        <f t="shared" si="234"/>
        <v/>
      </c>
      <c r="F66" s="94" t="str">
        <f t="shared" si="235"/>
        <v/>
      </c>
      <c r="G66" s="95">
        <f t="shared" si="236"/>
        <v>0</v>
      </c>
      <c r="H66" s="96" t="str">
        <f t="array" ref="H66">IFERROR(XLOOKUP($A66,'Gastos Admon'!$A$7:$A171,INDIRECT($B$9)),"")</f>
        <v/>
      </c>
      <c r="I66" s="97" t="str">
        <f t="array" ref="I66">IFERROR(XLOOKUP($A66,'Gastos Admon'!$A$7:$A171,INDIRECT($C$9)),"")</f>
        <v/>
      </c>
      <c r="J66" s="98">
        <f t="shared" si="237"/>
        <v>0</v>
      </c>
      <c r="K66" s="99" t="str">
        <f t="shared" si="238"/>
        <v/>
      </c>
      <c r="L66" s="100" t="str">
        <f t="shared" si="239"/>
        <v/>
      </c>
      <c r="M66" s="101">
        <f t="shared" si="240"/>
        <v>0</v>
      </c>
      <c r="N66" s="102" t="str">
        <f t="shared" si="241"/>
        <v/>
      </c>
      <c r="O66" s="103" t="str">
        <f t="shared" si="242"/>
        <v/>
      </c>
      <c r="P66" s="104">
        <f t="shared" si="243"/>
        <v>0</v>
      </c>
      <c r="Q66" s="99" t="str">
        <f t="shared" si="244"/>
        <v/>
      </c>
      <c r="R66" s="100" t="str">
        <f t="shared" si="245"/>
        <v/>
      </c>
      <c r="S66" s="101">
        <f t="shared" si="246"/>
        <v>0</v>
      </c>
      <c r="T66" s="102" t="str">
        <f t="shared" si="247"/>
        <v/>
      </c>
      <c r="U66" s="103" t="str">
        <f t="shared" si="248"/>
        <v/>
      </c>
      <c r="V66" s="104">
        <f t="shared" si="249"/>
        <v>0</v>
      </c>
      <c r="W66" s="99" t="str">
        <f t="shared" si="250"/>
        <v/>
      </c>
      <c r="X66" s="100" t="str">
        <f t="shared" si="251"/>
        <v/>
      </c>
      <c r="Y66" s="101">
        <f t="shared" si="252"/>
        <v>0</v>
      </c>
      <c r="Z66" s="102" t="str">
        <f t="shared" si="253"/>
        <v/>
      </c>
      <c r="AA66" s="103" t="str">
        <f t="shared" si="254"/>
        <v/>
      </c>
      <c r="AB66" s="104">
        <f t="shared" si="255"/>
        <v>0</v>
      </c>
      <c r="AC66" s="99" t="str">
        <f t="shared" si="256"/>
        <v/>
      </c>
      <c r="AD66" s="100" t="str">
        <f t="shared" si="257"/>
        <v/>
      </c>
      <c r="AE66" s="101">
        <f t="shared" si="258"/>
        <v>0</v>
      </c>
      <c r="AF66" s="102" t="str">
        <f t="shared" si="259"/>
        <v/>
      </c>
      <c r="AG66" s="103" t="str">
        <f t="shared" si="260"/>
        <v/>
      </c>
      <c r="AH66" s="104">
        <f t="shared" si="261"/>
        <v>0</v>
      </c>
      <c r="AI66" s="99" t="str">
        <f t="shared" si="262"/>
        <v/>
      </c>
      <c r="AJ66" s="100" t="str">
        <f t="shared" si="263"/>
        <v/>
      </c>
      <c r="AK66" s="101">
        <f t="shared" si="264"/>
        <v>0</v>
      </c>
      <c r="AL66" s="102" t="str">
        <f t="shared" si="265"/>
        <v/>
      </c>
      <c r="AM66" s="103" t="str">
        <f t="shared" si="266"/>
        <v/>
      </c>
      <c r="AN66" s="104">
        <f t="shared" si="267"/>
        <v>0</v>
      </c>
      <c r="AO66" s="99" t="str">
        <f t="shared" si="268"/>
        <v/>
      </c>
      <c r="AP66" s="100" t="str">
        <f t="shared" si="269"/>
        <v/>
      </c>
      <c r="AQ66" s="101">
        <f t="shared" si="270"/>
        <v>0</v>
      </c>
      <c r="AR66" s="102" t="str">
        <f t="shared" si="271"/>
        <v/>
      </c>
      <c r="AS66" s="103" t="str">
        <f t="shared" si="272"/>
        <v/>
      </c>
      <c r="AT66" s="104">
        <f t="shared" si="273"/>
        <v>0</v>
      </c>
      <c r="AU66" s="99" t="str">
        <f t="shared" si="274"/>
        <v/>
      </c>
      <c r="AV66" s="100" t="str">
        <f t="shared" si="275"/>
        <v/>
      </c>
      <c r="AW66" s="101">
        <f t="shared" si="276"/>
        <v>0</v>
      </c>
      <c r="AX66" s="102" t="str">
        <f t="shared" si="277"/>
        <v/>
      </c>
      <c r="AY66" s="103" t="str">
        <f t="shared" si="278"/>
        <v/>
      </c>
      <c r="AZ66" s="104">
        <f t="shared" si="279"/>
        <v>0</v>
      </c>
      <c r="BA66" s="99" t="str">
        <f t="shared" si="280"/>
        <v/>
      </c>
      <c r="BB66" s="100" t="str">
        <f t="shared" si="281"/>
        <v/>
      </c>
      <c r="BC66" s="101">
        <f t="shared" si="282"/>
        <v>0</v>
      </c>
      <c r="BD66" s="102" t="str">
        <f t="shared" si="283"/>
        <v/>
      </c>
      <c r="BE66" s="103" t="str">
        <f t="shared" si="284"/>
        <v/>
      </c>
      <c r="BF66" s="104">
        <f t="shared" si="285"/>
        <v>0</v>
      </c>
      <c r="BG66" s="99" t="str">
        <f t="shared" si="286"/>
        <v/>
      </c>
      <c r="BH66" s="100" t="str">
        <f t="shared" si="287"/>
        <v/>
      </c>
      <c r="BI66" s="101">
        <f t="shared" si="288"/>
        <v>0</v>
      </c>
      <c r="BJ66" s="102" t="str">
        <f t="shared" si="289"/>
        <v/>
      </c>
      <c r="BK66" s="103" t="str">
        <f t="shared" si="290"/>
        <v/>
      </c>
      <c r="BL66" s="104">
        <f t="shared" si="291"/>
        <v>0</v>
      </c>
      <c r="BM66" s="99" t="str">
        <f t="shared" si="292"/>
        <v/>
      </c>
      <c r="BN66" s="100" t="str">
        <f t="shared" si="293"/>
        <v/>
      </c>
      <c r="BO66" s="101">
        <f t="shared" si="294"/>
        <v>0</v>
      </c>
      <c r="BP66" s="102" t="str">
        <f t="shared" si="295"/>
        <v/>
      </c>
      <c r="BQ66" s="103" t="str">
        <f t="shared" si="296"/>
        <v/>
      </c>
      <c r="BR66" s="104">
        <f t="shared" si="297"/>
        <v>0</v>
      </c>
      <c r="BS66" s="99" t="str">
        <f t="shared" si="298"/>
        <v/>
      </c>
      <c r="BT66" s="100" t="str">
        <f t="shared" si="299"/>
        <v/>
      </c>
      <c r="BU66" s="101">
        <f t="shared" si="300"/>
        <v>0</v>
      </c>
      <c r="BV66" s="102" t="str">
        <f t="shared" si="301"/>
        <v/>
      </c>
      <c r="BW66" s="103" t="str">
        <f t="shared" si="302"/>
        <v/>
      </c>
      <c r="BX66" s="104">
        <f t="shared" si="303"/>
        <v>0</v>
      </c>
      <c r="BY66" s="99" t="str">
        <f t="shared" si="304"/>
        <v/>
      </c>
      <c r="BZ66" s="100" t="str">
        <f t="shared" si="305"/>
        <v/>
      </c>
      <c r="CA66" s="101">
        <f t="shared" si="306"/>
        <v>0</v>
      </c>
      <c r="CB66" s="102" t="str">
        <f t="shared" si="307"/>
        <v/>
      </c>
      <c r="CC66" s="103" t="str">
        <f t="shared" si="308"/>
        <v/>
      </c>
      <c r="CD66" s="104">
        <f t="shared" si="309"/>
        <v>0</v>
      </c>
      <c r="CE66" s="99" t="str">
        <f t="shared" si="310"/>
        <v/>
      </c>
      <c r="CF66" s="100" t="str">
        <f t="shared" si="311"/>
        <v/>
      </c>
      <c r="CG66" s="101">
        <f t="shared" si="312"/>
        <v>0</v>
      </c>
      <c r="CH66" s="102" t="str">
        <f t="shared" si="313"/>
        <v/>
      </c>
      <c r="CI66" s="103" t="str">
        <f t="shared" si="314"/>
        <v/>
      </c>
      <c r="CJ66" s="104">
        <f t="shared" si="315"/>
        <v>0</v>
      </c>
      <c r="CK66" s="99" t="str">
        <f t="shared" si="316"/>
        <v/>
      </c>
      <c r="CL66" s="100" t="str">
        <f t="shared" si="317"/>
        <v/>
      </c>
      <c r="CM66" s="101">
        <f t="shared" si="318"/>
        <v>0</v>
      </c>
      <c r="CN66" s="102" t="str">
        <f t="shared" si="319"/>
        <v/>
      </c>
      <c r="CO66" s="103" t="str">
        <f t="shared" si="320"/>
        <v/>
      </c>
      <c r="CP66" s="104">
        <f t="shared" si="321"/>
        <v>0</v>
      </c>
      <c r="CQ66" s="99" t="str">
        <f t="shared" si="322"/>
        <v/>
      </c>
      <c r="CR66" s="100" t="str">
        <f t="shared" si="323"/>
        <v/>
      </c>
      <c r="CS66" s="101">
        <f t="shared" si="324"/>
        <v>0</v>
      </c>
      <c r="CT66" s="102" t="str">
        <f t="shared" si="325"/>
        <v/>
      </c>
      <c r="CU66" s="103" t="str">
        <f t="shared" si="326"/>
        <v/>
      </c>
      <c r="CV66" s="104">
        <f t="shared" si="327"/>
        <v>0</v>
      </c>
      <c r="CW66" s="99" t="str">
        <f t="shared" si="328"/>
        <v/>
      </c>
      <c r="CX66" s="100" t="str">
        <f t="shared" si="329"/>
        <v/>
      </c>
      <c r="CY66" s="101">
        <f t="shared" si="330"/>
        <v>0</v>
      </c>
      <c r="CZ66" s="102" t="str">
        <f t="shared" si="331"/>
        <v/>
      </c>
      <c r="DA66" s="103" t="str">
        <f t="shared" si="332"/>
        <v/>
      </c>
      <c r="DB66" s="104">
        <f t="shared" si="333"/>
        <v>0</v>
      </c>
      <c r="DC66" s="99" t="str">
        <f t="shared" si="334"/>
        <v/>
      </c>
      <c r="DD66" s="100" t="str">
        <f t="shared" si="335"/>
        <v/>
      </c>
      <c r="DE66" s="101">
        <f t="shared" si="336"/>
        <v>0</v>
      </c>
      <c r="DF66" s="102" t="str">
        <f t="shared" si="337"/>
        <v/>
      </c>
      <c r="DG66" s="103" t="str">
        <f t="shared" si="338"/>
        <v/>
      </c>
      <c r="DH66" s="104">
        <f t="shared" si="339"/>
        <v>0</v>
      </c>
      <c r="DI66" s="99" t="str">
        <f t="shared" si="340"/>
        <v/>
      </c>
      <c r="DJ66" s="100" t="str">
        <f t="shared" si="341"/>
        <v/>
      </c>
      <c r="DK66" s="101">
        <f t="shared" si="342"/>
        <v>0</v>
      </c>
      <c r="DL66" s="102" t="str">
        <f t="shared" si="343"/>
        <v/>
      </c>
      <c r="DM66" s="103" t="str">
        <f t="shared" si="344"/>
        <v/>
      </c>
      <c r="DN66" s="104">
        <f t="shared" si="345"/>
        <v>0</v>
      </c>
      <c r="DO66" s="99" t="str">
        <f t="shared" si="346"/>
        <v/>
      </c>
      <c r="DP66" s="100" t="str">
        <f t="shared" si="347"/>
        <v/>
      </c>
      <c r="DQ66" s="101">
        <f t="shared" si="348"/>
        <v>0</v>
      </c>
      <c r="DR66" s="102" t="str">
        <f t="shared" si="349"/>
        <v/>
      </c>
      <c r="DS66" s="103" t="str">
        <f t="shared" si="350"/>
        <v/>
      </c>
      <c r="DT66" s="104">
        <f t="shared" si="351"/>
        <v>0</v>
      </c>
    </row>
    <row r="67" ht="15.75" customHeight="1">
      <c r="A67" s="12" t="str">
        <f>Menus!B27</f>
        <v/>
      </c>
      <c r="B67" s="32">
        <f t="shared" si="231"/>
        <v>0</v>
      </c>
      <c r="C67" s="32">
        <f t="shared" si="232"/>
        <v>0</v>
      </c>
      <c r="D67" s="32">
        <f t="shared" si="233"/>
        <v>0</v>
      </c>
      <c r="E67" s="93" t="str">
        <f t="shared" si="234"/>
        <v/>
      </c>
      <c r="F67" s="94" t="str">
        <f t="shared" si="235"/>
        <v/>
      </c>
      <c r="G67" s="95">
        <f t="shared" si="236"/>
        <v>0</v>
      </c>
      <c r="H67" s="96" t="str">
        <f t="array" ref="H67">IFERROR(XLOOKUP($A67,'Gastos Admon'!$A$7:$A171,INDIRECT($B$9)),"")</f>
        <v/>
      </c>
      <c r="I67" s="97" t="str">
        <f t="array" ref="I67">IFERROR(XLOOKUP($A67,'Gastos Admon'!$A$7:$A171,INDIRECT($C$9)),"")</f>
        <v/>
      </c>
      <c r="J67" s="98">
        <f t="shared" si="237"/>
        <v>0</v>
      </c>
      <c r="K67" s="99" t="str">
        <f t="shared" si="238"/>
        <v/>
      </c>
      <c r="L67" s="100" t="str">
        <f t="shared" si="239"/>
        <v/>
      </c>
      <c r="M67" s="101">
        <f t="shared" si="240"/>
        <v>0</v>
      </c>
      <c r="N67" s="102" t="str">
        <f t="shared" si="241"/>
        <v/>
      </c>
      <c r="O67" s="103" t="str">
        <f t="shared" si="242"/>
        <v/>
      </c>
      <c r="P67" s="104">
        <f t="shared" si="243"/>
        <v>0</v>
      </c>
      <c r="Q67" s="99" t="str">
        <f t="shared" si="244"/>
        <v/>
      </c>
      <c r="R67" s="100" t="str">
        <f t="shared" si="245"/>
        <v/>
      </c>
      <c r="S67" s="101">
        <f t="shared" si="246"/>
        <v>0</v>
      </c>
      <c r="T67" s="102" t="str">
        <f t="shared" si="247"/>
        <v/>
      </c>
      <c r="U67" s="103" t="str">
        <f t="shared" si="248"/>
        <v/>
      </c>
      <c r="V67" s="104">
        <f t="shared" si="249"/>
        <v>0</v>
      </c>
      <c r="W67" s="99" t="str">
        <f t="shared" si="250"/>
        <v/>
      </c>
      <c r="X67" s="100" t="str">
        <f t="shared" si="251"/>
        <v/>
      </c>
      <c r="Y67" s="101">
        <f t="shared" si="252"/>
        <v>0</v>
      </c>
      <c r="Z67" s="102" t="str">
        <f t="shared" si="253"/>
        <v/>
      </c>
      <c r="AA67" s="103" t="str">
        <f t="shared" si="254"/>
        <v/>
      </c>
      <c r="AB67" s="104">
        <f t="shared" si="255"/>
        <v>0</v>
      </c>
      <c r="AC67" s="99" t="str">
        <f t="shared" si="256"/>
        <v/>
      </c>
      <c r="AD67" s="100" t="str">
        <f t="shared" si="257"/>
        <v/>
      </c>
      <c r="AE67" s="101">
        <f t="shared" si="258"/>
        <v>0</v>
      </c>
      <c r="AF67" s="102" t="str">
        <f t="shared" si="259"/>
        <v/>
      </c>
      <c r="AG67" s="103" t="str">
        <f t="shared" si="260"/>
        <v/>
      </c>
      <c r="AH67" s="104">
        <f t="shared" si="261"/>
        <v>0</v>
      </c>
      <c r="AI67" s="99" t="str">
        <f t="shared" si="262"/>
        <v/>
      </c>
      <c r="AJ67" s="100" t="str">
        <f t="shared" si="263"/>
        <v/>
      </c>
      <c r="AK67" s="101">
        <f t="shared" si="264"/>
        <v>0</v>
      </c>
      <c r="AL67" s="102" t="str">
        <f t="shared" si="265"/>
        <v/>
      </c>
      <c r="AM67" s="103" t="str">
        <f t="shared" si="266"/>
        <v/>
      </c>
      <c r="AN67" s="104">
        <f t="shared" si="267"/>
        <v>0</v>
      </c>
      <c r="AO67" s="99" t="str">
        <f t="shared" si="268"/>
        <v/>
      </c>
      <c r="AP67" s="100" t="str">
        <f t="shared" si="269"/>
        <v/>
      </c>
      <c r="AQ67" s="101">
        <f t="shared" si="270"/>
        <v>0</v>
      </c>
      <c r="AR67" s="102" t="str">
        <f t="shared" si="271"/>
        <v/>
      </c>
      <c r="AS67" s="103" t="str">
        <f t="shared" si="272"/>
        <v/>
      </c>
      <c r="AT67" s="104">
        <f t="shared" si="273"/>
        <v>0</v>
      </c>
      <c r="AU67" s="99" t="str">
        <f t="shared" si="274"/>
        <v/>
      </c>
      <c r="AV67" s="100" t="str">
        <f t="shared" si="275"/>
        <v/>
      </c>
      <c r="AW67" s="101">
        <f t="shared" si="276"/>
        <v>0</v>
      </c>
      <c r="AX67" s="102" t="str">
        <f t="shared" si="277"/>
        <v/>
      </c>
      <c r="AY67" s="103" t="str">
        <f t="shared" si="278"/>
        <v/>
      </c>
      <c r="AZ67" s="104">
        <f t="shared" si="279"/>
        <v>0</v>
      </c>
      <c r="BA67" s="99" t="str">
        <f t="shared" si="280"/>
        <v/>
      </c>
      <c r="BB67" s="100" t="str">
        <f t="shared" si="281"/>
        <v/>
      </c>
      <c r="BC67" s="101">
        <f t="shared" si="282"/>
        <v>0</v>
      </c>
      <c r="BD67" s="102" t="str">
        <f t="shared" si="283"/>
        <v/>
      </c>
      <c r="BE67" s="103" t="str">
        <f t="shared" si="284"/>
        <v/>
      </c>
      <c r="BF67" s="104">
        <f t="shared" si="285"/>
        <v>0</v>
      </c>
      <c r="BG67" s="99" t="str">
        <f t="shared" si="286"/>
        <v/>
      </c>
      <c r="BH67" s="100" t="str">
        <f t="shared" si="287"/>
        <v/>
      </c>
      <c r="BI67" s="101">
        <f t="shared" si="288"/>
        <v>0</v>
      </c>
      <c r="BJ67" s="102" t="str">
        <f t="shared" si="289"/>
        <v/>
      </c>
      <c r="BK67" s="103" t="str">
        <f t="shared" si="290"/>
        <v/>
      </c>
      <c r="BL67" s="104">
        <f t="shared" si="291"/>
        <v>0</v>
      </c>
      <c r="BM67" s="99" t="str">
        <f t="shared" si="292"/>
        <v/>
      </c>
      <c r="BN67" s="100" t="str">
        <f t="shared" si="293"/>
        <v/>
      </c>
      <c r="BO67" s="101">
        <f t="shared" si="294"/>
        <v>0</v>
      </c>
      <c r="BP67" s="102" t="str">
        <f t="shared" si="295"/>
        <v/>
      </c>
      <c r="BQ67" s="103" t="str">
        <f t="shared" si="296"/>
        <v/>
      </c>
      <c r="BR67" s="104">
        <f t="shared" si="297"/>
        <v>0</v>
      </c>
      <c r="BS67" s="99" t="str">
        <f t="shared" si="298"/>
        <v/>
      </c>
      <c r="BT67" s="100" t="str">
        <f t="shared" si="299"/>
        <v/>
      </c>
      <c r="BU67" s="101">
        <f t="shared" si="300"/>
        <v>0</v>
      </c>
      <c r="BV67" s="102" t="str">
        <f t="shared" si="301"/>
        <v/>
      </c>
      <c r="BW67" s="103" t="str">
        <f t="shared" si="302"/>
        <v/>
      </c>
      <c r="BX67" s="104">
        <f t="shared" si="303"/>
        <v>0</v>
      </c>
      <c r="BY67" s="99" t="str">
        <f t="shared" si="304"/>
        <v/>
      </c>
      <c r="BZ67" s="100" t="str">
        <f t="shared" si="305"/>
        <v/>
      </c>
      <c r="CA67" s="101">
        <f t="shared" si="306"/>
        <v>0</v>
      </c>
      <c r="CB67" s="102" t="str">
        <f t="shared" si="307"/>
        <v/>
      </c>
      <c r="CC67" s="103" t="str">
        <f t="shared" si="308"/>
        <v/>
      </c>
      <c r="CD67" s="104">
        <f t="shared" si="309"/>
        <v>0</v>
      </c>
      <c r="CE67" s="99" t="str">
        <f t="shared" si="310"/>
        <v/>
      </c>
      <c r="CF67" s="100" t="str">
        <f t="shared" si="311"/>
        <v/>
      </c>
      <c r="CG67" s="101">
        <f t="shared" si="312"/>
        <v>0</v>
      </c>
      <c r="CH67" s="102" t="str">
        <f t="shared" si="313"/>
        <v/>
      </c>
      <c r="CI67" s="103" t="str">
        <f t="shared" si="314"/>
        <v/>
      </c>
      <c r="CJ67" s="104">
        <f t="shared" si="315"/>
        <v>0</v>
      </c>
      <c r="CK67" s="99" t="str">
        <f t="shared" si="316"/>
        <v/>
      </c>
      <c r="CL67" s="100" t="str">
        <f t="shared" si="317"/>
        <v/>
      </c>
      <c r="CM67" s="101">
        <f t="shared" si="318"/>
        <v>0</v>
      </c>
      <c r="CN67" s="102" t="str">
        <f t="shared" si="319"/>
        <v/>
      </c>
      <c r="CO67" s="103" t="str">
        <f t="shared" si="320"/>
        <v/>
      </c>
      <c r="CP67" s="104">
        <f t="shared" si="321"/>
        <v>0</v>
      </c>
      <c r="CQ67" s="99" t="str">
        <f t="shared" si="322"/>
        <v/>
      </c>
      <c r="CR67" s="100" t="str">
        <f t="shared" si="323"/>
        <v/>
      </c>
      <c r="CS67" s="101">
        <f t="shared" si="324"/>
        <v>0</v>
      </c>
      <c r="CT67" s="102" t="str">
        <f t="shared" si="325"/>
        <v/>
      </c>
      <c r="CU67" s="103" t="str">
        <f t="shared" si="326"/>
        <v/>
      </c>
      <c r="CV67" s="104">
        <f t="shared" si="327"/>
        <v>0</v>
      </c>
      <c r="CW67" s="99" t="str">
        <f t="shared" si="328"/>
        <v/>
      </c>
      <c r="CX67" s="100" t="str">
        <f t="shared" si="329"/>
        <v/>
      </c>
      <c r="CY67" s="101">
        <f t="shared" si="330"/>
        <v>0</v>
      </c>
      <c r="CZ67" s="102" t="str">
        <f t="shared" si="331"/>
        <v/>
      </c>
      <c r="DA67" s="103" t="str">
        <f t="shared" si="332"/>
        <v/>
      </c>
      <c r="DB67" s="104">
        <f t="shared" si="333"/>
        <v>0</v>
      </c>
      <c r="DC67" s="99" t="str">
        <f t="shared" si="334"/>
        <v/>
      </c>
      <c r="DD67" s="100" t="str">
        <f t="shared" si="335"/>
        <v/>
      </c>
      <c r="DE67" s="101">
        <f t="shared" si="336"/>
        <v>0</v>
      </c>
      <c r="DF67" s="102" t="str">
        <f t="shared" si="337"/>
        <v/>
      </c>
      <c r="DG67" s="103" t="str">
        <f t="shared" si="338"/>
        <v/>
      </c>
      <c r="DH67" s="104">
        <f t="shared" si="339"/>
        <v>0</v>
      </c>
      <c r="DI67" s="99" t="str">
        <f t="shared" si="340"/>
        <v/>
      </c>
      <c r="DJ67" s="100" t="str">
        <f t="shared" si="341"/>
        <v/>
      </c>
      <c r="DK67" s="101">
        <f t="shared" si="342"/>
        <v>0</v>
      </c>
      <c r="DL67" s="102" t="str">
        <f t="shared" si="343"/>
        <v/>
      </c>
      <c r="DM67" s="103" t="str">
        <f t="shared" si="344"/>
        <v/>
      </c>
      <c r="DN67" s="104">
        <f t="shared" si="345"/>
        <v>0</v>
      </c>
      <c r="DO67" s="99" t="str">
        <f t="shared" si="346"/>
        <v/>
      </c>
      <c r="DP67" s="100" t="str">
        <f t="shared" si="347"/>
        <v/>
      </c>
      <c r="DQ67" s="101">
        <f t="shared" si="348"/>
        <v>0</v>
      </c>
      <c r="DR67" s="102" t="str">
        <f t="shared" si="349"/>
        <v/>
      </c>
      <c r="DS67" s="103" t="str">
        <f t="shared" si="350"/>
        <v/>
      </c>
      <c r="DT67" s="104">
        <f t="shared" si="351"/>
        <v>0</v>
      </c>
    </row>
    <row r="68" ht="15.75" customHeight="1">
      <c r="A68" s="12" t="str">
        <f>Menus!B28</f>
        <v/>
      </c>
      <c r="B68" s="32">
        <f t="shared" si="231"/>
        <v>0</v>
      </c>
      <c r="C68" s="32">
        <f t="shared" si="232"/>
        <v>0</v>
      </c>
      <c r="D68" s="32">
        <f t="shared" si="233"/>
        <v>0</v>
      </c>
      <c r="E68" s="93" t="str">
        <f t="shared" si="234"/>
        <v/>
      </c>
      <c r="F68" s="94" t="str">
        <f t="shared" si="235"/>
        <v/>
      </c>
      <c r="G68" s="95">
        <f t="shared" si="236"/>
        <v>0</v>
      </c>
      <c r="H68" s="96" t="str">
        <f t="array" ref="H68">IFERROR(XLOOKUP($A68,'Gastos Admon'!$A$7:$A171,INDIRECT($B$9)),"")</f>
        <v/>
      </c>
      <c r="I68" s="97" t="str">
        <f t="array" ref="I68">IFERROR(XLOOKUP($A68,'Gastos Admon'!$A$7:$A171,INDIRECT($C$9)),"")</f>
        <v/>
      </c>
      <c r="J68" s="98">
        <f t="shared" si="237"/>
        <v>0</v>
      </c>
      <c r="K68" s="99" t="str">
        <f t="shared" si="238"/>
        <v/>
      </c>
      <c r="L68" s="100" t="str">
        <f t="shared" si="239"/>
        <v/>
      </c>
      <c r="M68" s="101">
        <f t="shared" si="240"/>
        <v>0</v>
      </c>
      <c r="N68" s="102" t="str">
        <f t="shared" si="241"/>
        <v/>
      </c>
      <c r="O68" s="103" t="str">
        <f t="shared" si="242"/>
        <v/>
      </c>
      <c r="P68" s="104">
        <f t="shared" si="243"/>
        <v>0</v>
      </c>
      <c r="Q68" s="99" t="str">
        <f t="shared" si="244"/>
        <v/>
      </c>
      <c r="R68" s="100" t="str">
        <f t="shared" si="245"/>
        <v/>
      </c>
      <c r="S68" s="101">
        <f t="shared" si="246"/>
        <v>0</v>
      </c>
      <c r="T68" s="102" t="str">
        <f t="shared" si="247"/>
        <v/>
      </c>
      <c r="U68" s="103" t="str">
        <f t="shared" si="248"/>
        <v/>
      </c>
      <c r="V68" s="104">
        <f t="shared" si="249"/>
        <v>0</v>
      </c>
      <c r="W68" s="99" t="str">
        <f t="shared" si="250"/>
        <v/>
      </c>
      <c r="X68" s="100" t="str">
        <f t="shared" si="251"/>
        <v/>
      </c>
      <c r="Y68" s="101">
        <f t="shared" si="252"/>
        <v>0</v>
      </c>
      <c r="Z68" s="102" t="str">
        <f t="shared" si="253"/>
        <v/>
      </c>
      <c r="AA68" s="103" t="str">
        <f t="shared" si="254"/>
        <v/>
      </c>
      <c r="AB68" s="104">
        <f t="shared" si="255"/>
        <v>0</v>
      </c>
      <c r="AC68" s="99" t="str">
        <f t="shared" si="256"/>
        <v/>
      </c>
      <c r="AD68" s="100" t="str">
        <f t="shared" si="257"/>
        <v/>
      </c>
      <c r="AE68" s="101">
        <f t="shared" si="258"/>
        <v>0</v>
      </c>
      <c r="AF68" s="102" t="str">
        <f t="shared" si="259"/>
        <v/>
      </c>
      <c r="AG68" s="103" t="str">
        <f t="shared" si="260"/>
        <v/>
      </c>
      <c r="AH68" s="104">
        <f t="shared" si="261"/>
        <v>0</v>
      </c>
      <c r="AI68" s="99" t="str">
        <f t="shared" si="262"/>
        <v/>
      </c>
      <c r="AJ68" s="100" t="str">
        <f t="shared" si="263"/>
        <v/>
      </c>
      <c r="AK68" s="101">
        <f t="shared" si="264"/>
        <v>0</v>
      </c>
      <c r="AL68" s="102" t="str">
        <f t="shared" si="265"/>
        <v/>
      </c>
      <c r="AM68" s="103" t="str">
        <f t="shared" si="266"/>
        <v/>
      </c>
      <c r="AN68" s="104">
        <f t="shared" si="267"/>
        <v>0</v>
      </c>
      <c r="AO68" s="99" t="str">
        <f t="shared" si="268"/>
        <v/>
      </c>
      <c r="AP68" s="100" t="str">
        <f t="shared" si="269"/>
        <v/>
      </c>
      <c r="AQ68" s="101">
        <f t="shared" si="270"/>
        <v>0</v>
      </c>
      <c r="AR68" s="102" t="str">
        <f t="shared" si="271"/>
        <v/>
      </c>
      <c r="AS68" s="103" t="str">
        <f t="shared" si="272"/>
        <v/>
      </c>
      <c r="AT68" s="104">
        <f t="shared" si="273"/>
        <v>0</v>
      </c>
      <c r="AU68" s="99" t="str">
        <f t="shared" si="274"/>
        <v/>
      </c>
      <c r="AV68" s="100" t="str">
        <f t="shared" si="275"/>
        <v/>
      </c>
      <c r="AW68" s="101">
        <f t="shared" si="276"/>
        <v>0</v>
      </c>
      <c r="AX68" s="102" t="str">
        <f t="shared" si="277"/>
        <v/>
      </c>
      <c r="AY68" s="103" t="str">
        <f t="shared" si="278"/>
        <v/>
      </c>
      <c r="AZ68" s="104">
        <f t="shared" si="279"/>
        <v>0</v>
      </c>
      <c r="BA68" s="99" t="str">
        <f t="shared" si="280"/>
        <v/>
      </c>
      <c r="BB68" s="100" t="str">
        <f t="shared" si="281"/>
        <v/>
      </c>
      <c r="BC68" s="101">
        <f t="shared" si="282"/>
        <v>0</v>
      </c>
      <c r="BD68" s="102" t="str">
        <f t="shared" si="283"/>
        <v/>
      </c>
      <c r="BE68" s="103" t="str">
        <f t="shared" si="284"/>
        <v/>
      </c>
      <c r="BF68" s="104">
        <f t="shared" si="285"/>
        <v>0</v>
      </c>
      <c r="BG68" s="99" t="str">
        <f t="shared" si="286"/>
        <v/>
      </c>
      <c r="BH68" s="100" t="str">
        <f t="shared" si="287"/>
        <v/>
      </c>
      <c r="BI68" s="101">
        <f t="shared" si="288"/>
        <v>0</v>
      </c>
      <c r="BJ68" s="102" t="str">
        <f t="shared" si="289"/>
        <v/>
      </c>
      <c r="BK68" s="103" t="str">
        <f t="shared" si="290"/>
        <v/>
      </c>
      <c r="BL68" s="104">
        <f t="shared" si="291"/>
        <v>0</v>
      </c>
      <c r="BM68" s="99" t="str">
        <f t="shared" si="292"/>
        <v/>
      </c>
      <c r="BN68" s="100" t="str">
        <f t="shared" si="293"/>
        <v/>
      </c>
      <c r="BO68" s="101">
        <f t="shared" si="294"/>
        <v>0</v>
      </c>
      <c r="BP68" s="102" t="str">
        <f t="shared" si="295"/>
        <v/>
      </c>
      <c r="BQ68" s="103" t="str">
        <f t="shared" si="296"/>
        <v/>
      </c>
      <c r="BR68" s="104">
        <f t="shared" si="297"/>
        <v>0</v>
      </c>
      <c r="BS68" s="99" t="str">
        <f t="shared" si="298"/>
        <v/>
      </c>
      <c r="BT68" s="100" t="str">
        <f t="shared" si="299"/>
        <v/>
      </c>
      <c r="BU68" s="101">
        <f t="shared" si="300"/>
        <v>0</v>
      </c>
      <c r="BV68" s="102" t="str">
        <f t="shared" si="301"/>
        <v/>
      </c>
      <c r="BW68" s="103" t="str">
        <f t="shared" si="302"/>
        <v/>
      </c>
      <c r="BX68" s="104">
        <f t="shared" si="303"/>
        <v>0</v>
      </c>
      <c r="BY68" s="99" t="str">
        <f t="shared" si="304"/>
        <v/>
      </c>
      <c r="BZ68" s="100" t="str">
        <f t="shared" si="305"/>
        <v/>
      </c>
      <c r="CA68" s="101">
        <f t="shared" si="306"/>
        <v>0</v>
      </c>
      <c r="CB68" s="102" t="str">
        <f t="shared" si="307"/>
        <v/>
      </c>
      <c r="CC68" s="103" t="str">
        <f t="shared" si="308"/>
        <v/>
      </c>
      <c r="CD68" s="104">
        <f t="shared" si="309"/>
        <v>0</v>
      </c>
      <c r="CE68" s="99" t="str">
        <f t="shared" si="310"/>
        <v/>
      </c>
      <c r="CF68" s="100" t="str">
        <f t="shared" si="311"/>
        <v/>
      </c>
      <c r="CG68" s="101">
        <f t="shared" si="312"/>
        <v>0</v>
      </c>
      <c r="CH68" s="102" t="str">
        <f t="shared" si="313"/>
        <v/>
      </c>
      <c r="CI68" s="103" t="str">
        <f t="shared" si="314"/>
        <v/>
      </c>
      <c r="CJ68" s="104">
        <f t="shared" si="315"/>
        <v>0</v>
      </c>
      <c r="CK68" s="99" t="str">
        <f t="shared" si="316"/>
        <v/>
      </c>
      <c r="CL68" s="100" t="str">
        <f t="shared" si="317"/>
        <v/>
      </c>
      <c r="CM68" s="101">
        <f t="shared" si="318"/>
        <v>0</v>
      </c>
      <c r="CN68" s="102" t="str">
        <f t="shared" si="319"/>
        <v/>
      </c>
      <c r="CO68" s="103" t="str">
        <f t="shared" si="320"/>
        <v/>
      </c>
      <c r="CP68" s="104">
        <f t="shared" si="321"/>
        <v>0</v>
      </c>
      <c r="CQ68" s="99" t="str">
        <f t="shared" si="322"/>
        <v/>
      </c>
      <c r="CR68" s="100" t="str">
        <f t="shared" si="323"/>
        <v/>
      </c>
      <c r="CS68" s="101">
        <f t="shared" si="324"/>
        <v>0</v>
      </c>
      <c r="CT68" s="102" t="str">
        <f t="shared" si="325"/>
        <v/>
      </c>
      <c r="CU68" s="103" t="str">
        <f t="shared" si="326"/>
        <v/>
      </c>
      <c r="CV68" s="104">
        <f t="shared" si="327"/>
        <v>0</v>
      </c>
      <c r="CW68" s="99" t="str">
        <f t="shared" si="328"/>
        <v/>
      </c>
      <c r="CX68" s="100" t="str">
        <f t="shared" si="329"/>
        <v/>
      </c>
      <c r="CY68" s="101">
        <f t="shared" si="330"/>
        <v>0</v>
      </c>
      <c r="CZ68" s="102" t="str">
        <f t="shared" si="331"/>
        <v/>
      </c>
      <c r="DA68" s="103" t="str">
        <f t="shared" si="332"/>
        <v/>
      </c>
      <c r="DB68" s="104">
        <f t="shared" si="333"/>
        <v>0</v>
      </c>
      <c r="DC68" s="99" t="str">
        <f t="shared" si="334"/>
        <v/>
      </c>
      <c r="DD68" s="100" t="str">
        <f t="shared" si="335"/>
        <v/>
      </c>
      <c r="DE68" s="101">
        <f t="shared" si="336"/>
        <v>0</v>
      </c>
      <c r="DF68" s="102" t="str">
        <f t="shared" si="337"/>
        <v/>
      </c>
      <c r="DG68" s="103" t="str">
        <f t="shared" si="338"/>
        <v/>
      </c>
      <c r="DH68" s="104">
        <f t="shared" si="339"/>
        <v>0</v>
      </c>
      <c r="DI68" s="99" t="str">
        <f t="shared" si="340"/>
        <v/>
      </c>
      <c r="DJ68" s="100" t="str">
        <f t="shared" si="341"/>
        <v/>
      </c>
      <c r="DK68" s="101">
        <f t="shared" si="342"/>
        <v>0</v>
      </c>
      <c r="DL68" s="102" t="str">
        <f t="shared" si="343"/>
        <v/>
      </c>
      <c r="DM68" s="103" t="str">
        <f t="shared" si="344"/>
        <v/>
      </c>
      <c r="DN68" s="104">
        <f t="shared" si="345"/>
        <v>0</v>
      </c>
      <c r="DO68" s="99" t="str">
        <f t="shared" si="346"/>
        <v/>
      </c>
      <c r="DP68" s="100" t="str">
        <f t="shared" si="347"/>
        <v/>
      </c>
      <c r="DQ68" s="101">
        <f t="shared" si="348"/>
        <v>0</v>
      </c>
      <c r="DR68" s="102" t="str">
        <f t="shared" si="349"/>
        <v/>
      </c>
      <c r="DS68" s="103" t="str">
        <f t="shared" si="350"/>
        <v/>
      </c>
      <c r="DT68" s="104">
        <f t="shared" si="351"/>
        <v>0</v>
      </c>
    </row>
    <row r="69" ht="15.75" customHeight="1">
      <c r="A69" s="12" t="str">
        <f>Menus!B29</f>
        <v/>
      </c>
      <c r="B69" s="32">
        <f t="shared" si="231"/>
        <v>0</v>
      </c>
      <c r="C69" s="32">
        <f t="shared" si="232"/>
        <v>0</v>
      </c>
      <c r="D69" s="32">
        <f t="shared" si="233"/>
        <v>0</v>
      </c>
      <c r="E69" s="93" t="str">
        <f t="shared" si="234"/>
        <v/>
      </c>
      <c r="F69" s="94" t="str">
        <f t="shared" si="235"/>
        <v/>
      </c>
      <c r="G69" s="95">
        <f t="shared" si="236"/>
        <v>0</v>
      </c>
      <c r="H69" s="96" t="str">
        <f t="array" ref="H69">IFERROR(XLOOKUP($A69,'Gastos Admon'!$A$7:$A171,INDIRECT($B$9)),"")</f>
        <v/>
      </c>
      <c r="I69" s="97" t="str">
        <f t="array" ref="I69">IFERROR(XLOOKUP($A69,'Gastos Admon'!$A$7:$A171,INDIRECT($C$9)),"")</f>
        <v/>
      </c>
      <c r="J69" s="98">
        <f t="shared" si="237"/>
        <v>0</v>
      </c>
      <c r="K69" s="99" t="str">
        <f t="shared" si="238"/>
        <v/>
      </c>
      <c r="L69" s="100" t="str">
        <f t="shared" si="239"/>
        <v/>
      </c>
      <c r="M69" s="101">
        <f t="shared" si="240"/>
        <v>0</v>
      </c>
      <c r="N69" s="102" t="str">
        <f t="shared" si="241"/>
        <v/>
      </c>
      <c r="O69" s="103" t="str">
        <f t="shared" si="242"/>
        <v/>
      </c>
      <c r="P69" s="104">
        <f t="shared" si="243"/>
        <v>0</v>
      </c>
      <c r="Q69" s="99" t="str">
        <f t="shared" si="244"/>
        <v/>
      </c>
      <c r="R69" s="100" t="str">
        <f t="shared" si="245"/>
        <v/>
      </c>
      <c r="S69" s="101">
        <f t="shared" si="246"/>
        <v>0</v>
      </c>
      <c r="T69" s="102" t="str">
        <f t="shared" si="247"/>
        <v/>
      </c>
      <c r="U69" s="103" t="str">
        <f t="shared" si="248"/>
        <v/>
      </c>
      <c r="V69" s="104">
        <f t="shared" si="249"/>
        <v>0</v>
      </c>
      <c r="W69" s="99" t="str">
        <f t="shared" si="250"/>
        <v/>
      </c>
      <c r="X69" s="100" t="str">
        <f t="shared" si="251"/>
        <v/>
      </c>
      <c r="Y69" s="101">
        <f t="shared" si="252"/>
        <v>0</v>
      </c>
      <c r="Z69" s="102" t="str">
        <f t="shared" si="253"/>
        <v/>
      </c>
      <c r="AA69" s="103" t="str">
        <f t="shared" si="254"/>
        <v/>
      </c>
      <c r="AB69" s="104">
        <f t="shared" si="255"/>
        <v>0</v>
      </c>
      <c r="AC69" s="99" t="str">
        <f t="shared" si="256"/>
        <v/>
      </c>
      <c r="AD69" s="100" t="str">
        <f t="shared" si="257"/>
        <v/>
      </c>
      <c r="AE69" s="101">
        <f t="shared" si="258"/>
        <v>0</v>
      </c>
      <c r="AF69" s="102" t="str">
        <f t="shared" si="259"/>
        <v/>
      </c>
      <c r="AG69" s="103" t="str">
        <f t="shared" si="260"/>
        <v/>
      </c>
      <c r="AH69" s="104">
        <f t="shared" si="261"/>
        <v>0</v>
      </c>
      <c r="AI69" s="99" t="str">
        <f t="shared" si="262"/>
        <v/>
      </c>
      <c r="AJ69" s="100" t="str">
        <f t="shared" si="263"/>
        <v/>
      </c>
      <c r="AK69" s="101">
        <f t="shared" si="264"/>
        <v>0</v>
      </c>
      <c r="AL69" s="102" t="str">
        <f t="shared" si="265"/>
        <v/>
      </c>
      <c r="AM69" s="103" t="str">
        <f t="shared" si="266"/>
        <v/>
      </c>
      <c r="AN69" s="104">
        <f t="shared" si="267"/>
        <v>0</v>
      </c>
      <c r="AO69" s="99" t="str">
        <f t="shared" si="268"/>
        <v/>
      </c>
      <c r="AP69" s="100" t="str">
        <f t="shared" si="269"/>
        <v/>
      </c>
      <c r="AQ69" s="101">
        <f t="shared" si="270"/>
        <v>0</v>
      </c>
      <c r="AR69" s="102" t="str">
        <f t="shared" si="271"/>
        <v/>
      </c>
      <c r="AS69" s="103" t="str">
        <f t="shared" si="272"/>
        <v/>
      </c>
      <c r="AT69" s="104">
        <f t="shared" si="273"/>
        <v>0</v>
      </c>
      <c r="AU69" s="99" t="str">
        <f t="shared" si="274"/>
        <v/>
      </c>
      <c r="AV69" s="100" t="str">
        <f t="shared" si="275"/>
        <v/>
      </c>
      <c r="AW69" s="101">
        <f t="shared" si="276"/>
        <v>0</v>
      </c>
      <c r="AX69" s="102" t="str">
        <f t="shared" si="277"/>
        <v/>
      </c>
      <c r="AY69" s="103" t="str">
        <f t="shared" si="278"/>
        <v/>
      </c>
      <c r="AZ69" s="104">
        <f t="shared" si="279"/>
        <v>0</v>
      </c>
      <c r="BA69" s="99" t="str">
        <f t="shared" si="280"/>
        <v/>
      </c>
      <c r="BB69" s="100" t="str">
        <f t="shared" si="281"/>
        <v/>
      </c>
      <c r="BC69" s="101">
        <f t="shared" si="282"/>
        <v>0</v>
      </c>
      <c r="BD69" s="102" t="str">
        <f t="shared" si="283"/>
        <v/>
      </c>
      <c r="BE69" s="103" t="str">
        <f t="shared" si="284"/>
        <v/>
      </c>
      <c r="BF69" s="104">
        <f t="shared" si="285"/>
        <v>0</v>
      </c>
      <c r="BG69" s="99" t="str">
        <f t="shared" si="286"/>
        <v/>
      </c>
      <c r="BH69" s="100" t="str">
        <f t="shared" si="287"/>
        <v/>
      </c>
      <c r="BI69" s="101">
        <f t="shared" si="288"/>
        <v>0</v>
      </c>
      <c r="BJ69" s="102" t="str">
        <f t="shared" si="289"/>
        <v/>
      </c>
      <c r="BK69" s="103" t="str">
        <f t="shared" si="290"/>
        <v/>
      </c>
      <c r="BL69" s="104">
        <f t="shared" si="291"/>
        <v>0</v>
      </c>
      <c r="BM69" s="99" t="str">
        <f t="shared" si="292"/>
        <v/>
      </c>
      <c r="BN69" s="100" t="str">
        <f t="shared" si="293"/>
        <v/>
      </c>
      <c r="BO69" s="101">
        <f t="shared" si="294"/>
        <v>0</v>
      </c>
      <c r="BP69" s="102" t="str">
        <f t="shared" si="295"/>
        <v/>
      </c>
      <c r="BQ69" s="103" t="str">
        <f t="shared" si="296"/>
        <v/>
      </c>
      <c r="BR69" s="104">
        <f t="shared" si="297"/>
        <v>0</v>
      </c>
      <c r="BS69" s="99" t="str">
        <f t="shared" si="298"/>
        <v/>
      </c>
      <c r="BT69" s="100" t="str">
        <f t="shared" si="299"/>
        <v/>
      </c>
      <c r="BU69" s="101">
        <f t="shared" si="300"/>
        <v>0</v>
      </c>
      <c r="BV69" s="102" t="str">
        <f t="shared" si="301"/>
        <v/>
      </c>
      <c r="BW69" s="103" t="str">
        <f t="shared" si="302"/>
        <v/>
      </c>
      <c r="BX69" s="104">
        <f t="shared" si="303"/>
        <v>0</v>
      </c>
      <c r="BY69" s="99" t="str">
        <f t="shared" si="304"/>
        <v/>
      </c>
      <c r="BZ69" s="100" t="str">
        <f t="shared" si="305"/>
        <v/>
      </c>
      <c r="CA69" s="101">
        <f t="shared" si="306"/>
        <v>0</v>
      </c>
      <c r="CB69" s="102" t="str">
        <f t="shared" si="307"/>
        <v/>
      </c>
      <c r="CC69" s="103" t="str">
        <f t="shared" si="308"/>
        <v/>
      </c>
      <c r="CD69" s="104">
        <f t="shared" si="309"/>
        <v>0</v>
      </c>
      <c r="CE69" s="99" t="str">
        <f t="shared" si="310"/>
        <v/>
      </c>
      <c r="CF69" s="100" t="str">
        <f t="shared" si="311"/>
        <v/>
      </c>
      <c r="CG69" s="101">
        <f t="shared" si="312"/>
        <v>0</v>
      </c>
      <c r="CH69" s="102" t="str">
        <f t="shared" si="313"/>
        <v/>
      </c>
      <c r="CI69" s="103" t="str">
        <f t="shared" si="314"/>
        <v/>
      </c>
      <c r="CJ69" s="104">
        <f t="shared" si="315"/>
        <v>0</v>
      </c>
      <c r="CK69" s="99" t="str">
        <f t="shared" si="316"/>
        <v/>
      </c>
      <c r="CL69" s="100" t="str">
        <f t="shared" si="317"/>
        <v/>
      </c>
      <c r="CM69" s="101">
        <f t="shared" si="318"/>
        <v>0</v>
      </c>
      <c r="CN69" s="102" t="str">
        <f t="shared" si="319"/>
        <v/>
      </c>
      <c r="CO69" s="103" t="str">
        <f t="shared" si="320"/>
        <v/>
      </c>
      <c r="CP69" s="104">
        <f t="shared" si="321"/>
        <v>0</v>
      </c>
      <c r="CQ69" s="99" t="str">
        <f t="shared" si="322"/>
        <v/>
      </c>
      <c r="CR69" s="100" t="str">
        <f t="shared" si="323"/>
        <v/>
      </c>
      <c r="CS69" s="101">
        <f t="shared" si="324"/>
        <v>0</v>
      </c>
      <c r="CT69" s="102" t="str">
        <f t="shared" si="325"/>
        <v/>
      </c>
      <c r="CU69" s="103" t="str">
        <f t="shared" si="326"/>
        <v/>
      </c>
      <c r="CV69" s="104">
        <f t="shared" si="327"/>
        <v>0</v>
      </c>
      <c r="CW69" s="99" t="str">
        <f t="shared" si="328"/>
        <v/>
      </c>
      <c r="CX69" s="100" t="str">
        <f t="shared" si="329"/>
        <v/>
      </c>
      <c r="CY69" s="101">
        <f t="shared" si="330"/>
        <v>0</v>
      </c>
      <c r="CZ69" s="102" t="str">
        <f t="shared" si="331"/>
        <v/>
      </c>
      <c r="DA69" s="103" t="str">
        <f t="shared" si="332"/>
        <v/>
      </c>
      <c r="DB69" s="104">
        <f t="shared" si="333"/>
        <v>0</v>
      </c>
      <c r="DC69" s="99" t="str">
        <f t="shared" si="334"/>
        <v/>
      </c>
      <c r="DD69" s="100" t="str">
        <f t="shared" si="335"/>
        <v/>
      </c>
      <c r="DE69" s="101">
        <f t="shared" si="336"/>
        <v>0</v>
      </c>
      <c r="DF69" s="102" t="str">
        <f t="shared" si="337"/>
        <v/>
      </c>
      <c r="DG69" s="103" t="str">
        <f t="shared" si="338"/>
        <v/>
      </c>
      <c r="DH69" s="104">
        <f t="shared" si="339"/>
        <v>0</v>
      </c>
      <c r="DI69" s="99" t="str">
        <f t="shared" si="340"/>
        <v/>
      </c>
      <c r="DJ69" s="100" t="str">
        <f t="shared" si="341"/>
        <v/>
      </c>
      <c r="DK69" s="101">
        <f t="shared" si="342"/>
        <v>0</v>
      </c>
      <c r="DL69" s="102" t="str">
        <f t="shared" si="343"/>
        <v/>
      </c>
      <c r="DM69" s="103" t="str">
        <f t="shared" si="344"/>
        <v/>
      </c>
      <c r="DN69" s="104">
        <f t="shared" si="345"/>
        <v>0</v>
      </c>
      <c r="DO69" s="99" t="str">
        <f t="shared" si="346"/>
        <v/>
      </c>
      <c r="DP69" s="100" t="str">
        <f t="shared" si="347"/>
        <v/>
      </c>
      <c r="DQ69" s="101">
        <f t="shared" si="348"/>
        <v>0</v>
      </c>
      <c r="DR69" s="102" t="str">
        <f t="shared" si="349"/>
        <v/>
      </c>
      <c r="DS69" s="103" t="str">
        <f t="shared" si="350"/>
        <v/>
      </c>
      <c r="DT69" s="104">
        <f t="shared" si="351"/>
        <v>0</v>
      </c>
    </row>
    <row r="70" ht="15.75" customHeight="1">
      <c r="A70" s="12" t="str">
        <f>Menus!B30</f>
        <v/>
      </c>
      <c r="B70" s="32">
        <f t="shared" si="231"/>
        <v>0</v>
      </c>
      <c r="C70" s="32">
        <f t="shared" si="232"/>
        <v>0</v>
      </c>
      <c r="D70" s="32">
        <f t="shared" si="233"/>
        <v>0</v>
      </c>
      <c r="E70" s="93" t="str">
        <f t="shared" si="234"/>
        <v/>
      </c>
      <c r="F70" s="94" t="str">
        <f t="shared" si="235"/>
        <v/>
      </c>
      <c r="G70" s="95">
        <f t="shared" si="236"/>
        <v>0</v>
      </c>
      <c r="H70" s="96" t="str">
        <f t="array" ref="H70">IFERROR(XLOOKUP($A70,'Gastos Admon'!$A$7:$A171,INDIRECT($B$9)),"")</f>
        <v/>
      </c>
      <c r="I70" s="97" t="str">
        <f t="array" ref="I70">IFERROR(XLOOKUP($A70,'Gastos Admon'!$A$7:$A171,INDIRECT($C$9)),"")</f>
        <v/>
      </c>
      <c r="J70" s="98">
        <f t="shared" si="237"/>
        <v>0</v>
      </c>
      <c r="K70" s="99" t="str">
        <f t="shared" si="238"/>
        <v/>
      </c>
      <c r="L70" s="100" t="str">
        <f t="shared" si="239"/>
        <v/>
      </c>
      <c r="M70" s="101">
        <f t="shared" si="240"/>
        <v>0</v>
      </c>
      <c r="N70" s="102" t="str">
        <f t="shared" si="241"/>
        <v/>
      </c>
      <c r="O70" s="103" t="str">
        <f t="shared" si="242"/>
        <v/>
      </c>
      <c r="P70" s="104">
        <f t="shared" si="243"/>
        <v>0</v>
      </c>
      <c r="Q70" s="99" t="str">
        <f t="shared" si="244"/>
        <v/>
      </c>
      <c r="R70" s="100" t="str">
        <f t="shared" si="245"/>
        <v/>
      </c>
      <c r="S70" s="101">
        <f t="shared" si="246"/>
        <v>0</v>
      </c>
      <c r="T70" s="102" t="str">
        <f t="shared" si="247"/>
        <v/>
      </c>
      <c r="U70" s="103" t="str">
        <f t="shared" si="248"/>
        <v/>
      </c>
      <c r="V70" s="104">
        <f t="shared" si="249"/>
        <v>0</v>
      </c>
      <c r="W70" s="99" t="str">
        <f t="shared" si="250"/>
        <v/>
      </c>
      <c r="X70" s="100" t="str">
        <f t="shared" si="251"/>
        <v/>
      </c>
      <c r="Y70" s="101">
        <f t="shared" si="252"/>
        <v>0</v>
      </c>
      <c r="Z70" s="102" t="str">
        <f t="shared" si="253"/>
        <v/>
      </c>
      <c r="AA70" s="103" t="str">
        <f t="shared" si="254"/>
        <v/>
      </c>
      <c r="AB70" s="104">
        <f t="shared" si="255"/>
        <v>0</v>
      </c>
      <c r="AC70" s="99" t="str">
        <f t="shared" si="256"/>
        <v/>
      </c>
      <c r="AD70" s="100" t="str">
        <f t="shared" si="257"/>
        <v/>
      </c>
      <c r="AE70" s="101">
        <f t="shared" si="258"/>
        <v>0</v>
      </c>
      <c r="AF70" s="102" t="str">
        <f t="shared" si="259"/>
        <v/>
      </c>
      <c r="AG70" s="103" t="str">
        <f t="shared" si="260"/>
        <v/>
      </c>
      <c r="AH70" s="104">
        <f t="shared" si="261"/>
        <v>0</v>
      </c>
      <c r="AI70" s="99" t="str">
        <f t="shared" si="262"/>
        <v/>
      </c>
      <c r="AJ70" s="100" t="str">
        <f t="shared" si="263"/>
        <v/>
      </c>
      <c r="AK70" s="101">
        <f t="shared" si="264"/>
        <v>0</v>
      </c>
      <c r="AL70" s="102" t="str">
        <f t="shared" si="265"/>
        <v/>
      </c>
      <c r="AM70" s="103" t="str">
        <f t="shared" si="266"/>
        <v/>
      </c>
      <c r="AN70" s="104">
        <f t="shared" si="267"/>
        <v>0</v>
      </c>
      <c r="AO70" s="99" t="str">
        <f t="shared" si="268"/>
        <v/>
      </c>
      <c r="AP70" s="100" t="str">
        <f t="shared" si="269"/>
        <v/>
      </c>
      <c r="AQ70" s="101">
        <f t="shared" si="270"/>
        <v>0</v>
      </c>
      <c r="AR70" s="102" t="str">
        <f t="shared" si="271"/>
        <v/>
      </c>
      <c r="AS70" s="103" t="str">
        <f t="shared" si="272"/>
        <v/>
      </c>
      <c r="AT70" s="104">
        <f t="shared" si="273"/>
        <v>0</v>
      </c>
      <c r="AU70" s="99" t="str">
        <f t="shared" si="274"/>
        <v/>
      </c>
      <c r="AV70" s="100" t="str">
        <f t="shared" si="275"/>
        <v/>
      </c>
      <c r="AW70" s="101">
        <f t="shared" si="276"/>
        <v>0</v>
      </c>
      <c r="AX70" s="102" t="str">
        <f t="shared" si="277"/>
        <v/>
      </c>
      <c r="AY70" s="103" t="str">
        <f t="shared" si="278"/>
        <v/>
      </c>
      <c r="AZ70" s="104">
        <f t="shared" si="279"/>
        <v>0</v>
      </c>
      <c r="BA70" s="99" t="str">
        <f t="shared" si="280"/>
        <v/>
      </c>
      <c r="BB70" s="100" t="str">
        <f t="shared" si="281"/>
        <v/>
      </c>
      <c r="BC70" s="101">
        <f t="shared" si="282"/>
        <v>0</v>
      </c>
      <c r="BD70" s="102" t="str">
        <f t="shared" si="283"/>
        <v/>
      </c>
      <c r="BE70" s="103" t="str">
        <f t="shared" si="284"/>
        <v/>
      </c>
      <c r="BF70" s="104">
        <f t="shared" si="285"/>
        <v>0</v>
      </c>
      <c r="BG70" s="99" t="str">
        <f t="shared" si="286"/>
        <v/>
      </c>
      <c r="BH70" s="100" t="str">
        <f t="shared" si="287"/>
        <v/>
      </c>
      <c r="BI70" s="101">
        <f t="shared" si="288"/>
        <v>0</v>
      </c>
      <c r="BJ70" s="102" t="str">
        <f t="shared" si="289"/>
        <v/>
      </c>
      <c r="BK70" s="103" t="str">
        <f t="shared" si="290"/>
        <v/>
      </c>
      <c r="BL70" s="104">
        <f t="shared" si="291"/>
        <v>0</v>
      </c>
      <c r="BM70" s="99" t="str">
        <f t="shared" si="292"/>
        <v/>
      </c>
      <c r="BN70" s="100" t="str">
        <f t="shared" si="293"/>
        <v/>
      </c>
      <c r="BO70" s="101">
        <f t="shared" si="294"/>
        <v>0</v>
      </c>
      <c r="BP70" s="102" t="str">
        <f t="shared" si="295"/>
        <v/>
      </c>
      <c r="BQ70" s="103" t="str">
        <f t="shared" si="296"/>
        <v/>
      </c>
      <c r="BR70" s="104">
        <f t="shared" si="297"/>
        <v>0</v>
      </c>
      <c r="BS70" s="99" t="str">
        <f t="shared" si="298"/>
        <v/>
      </c>
      <c r="BT70" s="100" t="str">
        <f t="shared" si="299"/>
        <v/>
      </c>
      <c r="BU70" s="101">
        <f t="shared" si="300"/>
        <v>0</v>
      </c>
      <c r="BV70" s="102" t="str">
        <f t="shared" si="301"/>
        <v/>
      </c>
      <c r="BW70" s="103" t="str">
        <f t="shared" si="302"/>
        <v/>
      </c>
      <c r="BX70" s="104">
        <f t="shared" si="303"/>
        <v>0</v>
      </c>
      <c r="BY70" s="99" t="str">
        <f t="shared" si="304"/>
        <v/>
      </c>
      <c r="BZ70" s="100" t="str">
        <f t="shared" si="305"/>
        <v/>
      </c>
      <c r="CA70" s="101">
        <f t="shared" si="306"/>
        <v>0</v>
      </c>
      <c r="CB70" s="102" t="str">
        <f t="shared" si="307"/>
        <v/>
      </c>
      <c r="CC70" s="103" t="str">
        <f t="shared" si="308"/>
        <v/>
      </c>
      <c r="CD70" s="104">
        <f t="shared" si="309"/>
        <v>0</v>
      </c>
      <c r="CE70" s="99" t="str">
        <f t="shared" si="310"/>
        <v/>
      </c>
      <c r="CF70" s="100" t="str">
        <f t="shared" si="311"/>
        <v/>
      </c>
      <c r="CG70" s="101">
        <f t="shared" si="312"/>
        <v>0</v>
      </c>
      <c r="CH70" s="102" t="str">
        <f t="shared" si="313"/>
        <v/>
      </c>
      <c r="CI70" s="103" t="str">
        <f t="shared" si="314"/>
        <v/>
      </c>
      <c r="CJ70" s="104">
        <f t="shared" si="315"/>
        <v>0</v>
      </c>
      <c r="CK70" s="99" t="str">
        <f t="shared" si="316"/>
        <v/>
      </c>
      <c r="CL70" s="100" t="str">
        <f t="shared" si="317"/>
        <v/>
      </c>
      <c r="CM70" s="101">
        <f t="shared" si="318"/>
        <v>0</v>
      </c>
      <c r="CN70" s="102" t="str">
        <f t="shared" si="319"/>
        <v/>
      </c>
      <c r="CO70" s="103" t="str">
        <f t="shared" si="320"/>
        <v/>
      </c>
      <c r="CP70" s="104">
        <f t="shared" si="321"/>
        <v>0</v>
      </c>
      <c r="CQ70" s="99" t="str">
        <f t="shared" si="322"/>
        <v/>
      </c>
      <c r="CR70" s="100" t="str">
        <f t="shared" si="323"/>
        <v/>
      </c>
      <c r="CS70" s="101">
        <f t="shared" si="324"/>
        <v>0</v>
      </c>
      <c r="CT70" s="102" t="str">
        <f t="shared" si="325"/>
        <v/>
      </c>
      <c r="CU70" s="103" t="str">
        <f t="shared" si="326"/>
        <v/>
      </c>
      <c r="CV70" s="104">
        <f t="shared" si="327"/>
        <v>0</v>
      </c>
      <c r="CW70" s="99" t="str">
        <f t="shared" si="328"/>
        <v/>
      </c>
      <c r="CX70" s="100" t="str">
        <f t="shared" si="329"/>
        <v/>
      </c>
      <c r="CY70" s="101">
        <f t="shared" si="330"/>
        <v>0</v>
      </c>
      <c r="CZ70" s="102" t="str">
        <f t="shared" si="331"/>
        <v/>
      </c>
      <c r="DA70" s="103" t="str">
        <f t="shared" si="332"/>
        <v/>
      </c>
      <c r="DB70" s="104">
        <f t="shared" si="333"/>
        <v>0</v>
      </c>
      <c r="DC70" s="99" t="str">
        <f t="shared" si="334"/>
        <v/>
      </c>
      <c r="DD70" s="100" t="str">
        <f t="shared" si="335"/>
        <v/>
      </c>
      <c r="DE70" s="101">
        <f t="shared" si="336"/>
        <v>0</v>
      </c>
      <c r="DF70" s="102" t="str">
        <f t="shared" si="337"/>
        <v/>
      </c>
      <c r="DG70" s="103" t="str">
        <f t="shared" si="338"/>
        <v/>
      </c>
      <c r="DH70" s="104">
        <f t="shared" si="339"/>
        <v>0</v>
      </c>
      <c r="DI70" s="99" t="str">
        <f t="shared" si="340"/>
        <v/>
      </c>
      <c r="DJ70" s="100" t="str">
        <f t="shared" si="341"/>
        <v/>
      </c>
      <c r="DK70" s="101">
        <f t="shared" si="342"/>
        <v>0</v>
      </c>
      <c r="DL70" s="102" t="str">
        <f t="shared" si="343"/>
        <v/>
      </c>
      <c r="DM70" s="103" t="str">
        <f t="shared" si="344"/>
        <v/>
      </c>
      <c r="DN70" s="104">
        <f t="shared" si="345"/>
        <v>0</v>
      </c>
      <c r="DO70" s="99" t="str">
        <f t="shared" si="346"/>
        <v/>
      </c>
      <c r="DP70" s="100" t="str">
        <f t="shared" si="347"/>
        <v/>
      </c>
      <c r="DQ70" s="101">
        <f t="shared" si="348"/>
        <v>0</v>
      </c>
      <c r="DR70" s="102" t="str">
        <f t="shared" si="349"/>
        <v/>
      </c>
      <c r="DS70" s="103" t="str">
        <f t="shared" si="350"/>
        <v/>
      </c>
      <c r="DT70" s="104">
        <f t="shared" si="351"/>
        <v>0</v>
      </c>
    </row>
    <row r="71" ht="15.75" customHeight="1">
      <c r="A71" s="12" t="str">
        <f>Menus!B31</f>
        <v/>
      </c>
      <c r="B71" s="32">
        <f t="shared" si="231"/>
        <v>0</v>
      </c>
      <c r="C71" s="32">
        <f t="shared" si="232"/>
        <v>0</v>
      </c>
      <c r="D71" s="32">
        <f t="shared" si="233"/>
        <v>0</v>
      </c>
      <c r="E71" s="93" t="str">
        <f t="shared" si="234"/>
        <v/>
      </c>
      <c r="F71" s="94" t="str">
        <f t="shared" si="235"/>
        <v/>
      </c>
      <c r="G71" s="95">
        <f t="shared" si="236"/>
        <v>0</v>
      </c>
      <c r="H71" s="96" t="str">
        <f t="array" ref="H71">IFERROR(XLOOKUP($A71,'Gastos Admon'!$A$7:$A171,INDIRECT($B$9)),"")</f>
        <v/>
      </c>
      <c r="I71" s="97" t="str">
        <f t="array" ref="I71">IFERROR(XLOOKUP($A71,'Gastos Admon'!$A$7:$A171,INDIRECT($C$9)),"")</f>
        <v/>
      </c>
      <c r="J71" s="98">
        <f t="shared" si="237"/>
        <v>0</v>
      </c>
      <c r="K71" s="99" t="str">
        <f t="shared" si="238"/>
        <v/>
      </c>
      <c r="L71" s="100" t="str">
        <f t="shared" si="239"/>
        <v/>
      </c>
      <c r="M71" s="101">
        <f t="shared" si="240"/>
        <v>0</v>
      </c>
      <c r="N71" s="102" t="str">
        <f t="shared" si="241"/>
        <v/>
      </c>
      <c r="O71" s="103" t="str">
        <f t="shared" si="242"/>
        <v/>
      </c>
      <c r="P71" s="104">
        <f t="shared" si="243"/>
        <v>0</v>
      </c>
      <c r="Q71" s="99" t="str">
        <f t="shared" si="244"/>
        <v/>
      </c>
      <c r="R71" s="100" t="str">
        <f t="shared" si="245"/>
        <v/>
      </c>
      <c r="S71" s="101">
        <f t="shared" si="246"/>
        <v>0</v>
      </c>
      <c r="T71" s="102" t="str">
        <f t="shared" si="247"/>
        <v/>
      </c>
      <c r="U71" s="103" t="str">
        <f t="shared" si="248"/>
        <v/>
      </c>
      <c r="V71" s="104">
        <f t="shared" si="249"/>
        <v>0</v>
      </c>
      <c r="W71" s="99" t="str">
        <f t="shared" si="250"/>
        <v/>
      </c>
      <c r="X71" s="100" t="str">
        <f t="shared" si="251"/>
        <v/>
      </c>
      <c r="Y71" s="101">
        <f t="shared" si="252"/>
        <v>0</v>
      </c>
      <c r="Z71" s="102" t="str">
        <f t="shared" si="253"/>
        <v/>
      </c>
      <c r="AA71" s="103" t="str">
        <f t="shared" si="254"/>
        <v/>
      </c>
      <c r="AB71" s="104">
        <f t="shared" si="255"/>
        <v>0</v>
      </c>
      <c r="AC71" s="99" t="str">
        <f t="shared" si="256"/>
        <v/>
      </c>
      <c r="AD71" s="100" t="str">
        <f t="shared" si="257"/>
        <v/>
      </c>
      <c r="AE71" s="101">
        <f t="shared" si="258"/>
        <v>0</v>
      </c>
      <c r="AF71" s="102" t="str">
        <f t="shared" si="259"/>
        <v/>
      </c>
      <c r="AG71" s="103" t="str">
        <f t="shared" si="260"/>
        <v/>
      </c>
      <c r="AH71" s="104">
        <f t="shared" si="261"/>
        <v>0</v>
      </c>
      <c r="AI71" s="99" t="str">
        <f t="shared" si="262"/>
        <v/>
      </c>
      <c r="AJ71" s="100" t="str">
        <f t="shared" si="263"/>
        <v/>
      </c>
      <c r="AK71" s="101">
        <f t="shared" si="264"/>
        <v>0</v>
      </c>
      <c r="AL71" s="102" t="str">
        <f t="shared" si="265"/>
        <v/>
      </c>
      <c r="AM71" s="103" t="str">
        <f t="shared" si="266"/>
        <v/>
      </c>
      <c r="AN71" s="104">
        <f t="shared" si="267"/>
        <v>0</v>
      </c>
      <c r="AO71" s="99" t="str">
        <f t="shared" si="268"/>
        <v/>
      </c>
      <c r="AP71" s="100" t="str">
        <f t="shared" si="269"/>
        <v/>
      </c>
      <c r="AQ71" s="101">
        <f t="shared" si="270"/>
        <v>0</v>
      </c>
      <c r="AR71" s="102" t="str">
        <f t="shared" si="271"/>
        <v/>
      </c>
      <c r="AS71" s="103" t="str">
        <f t="shared" si="272"/>
        <v/>
      </c>
      <c r="AT71" s="104">
        <f t="shared" si="273"/>
        <v>0</v>
      </c>
      <c r="AU71" s="99" t="str">
        <f t="shared" si="274"/>
        <v/>
      </c>
      <c r="AV71" s="100" t="str">
        <f t="shared" si="275"/>
        <v/>
      </c>
      <c r="AW71" s="101">
        <f t="shared" si="276"/>
        <v>0</v>
      </c>
      <c r="AX71" s="102" t="str">
        <f t="shared" si="277"/>
        <v/>
      </c>
      <c r="AY71" s="103" t="str">
        <f t="shared" si="278"/>
        <v/>
      </c>
      <c r="AZ71" s="104">
        <f t="shared" si="279"/>
        <v>0</v>
      </c>
      <c r="BA71" s="99" t="str">
        <f t="shared" si="280"/>
        <v/>
      </c>
      <c r="BB71" s="100" t="str">
        <f t="shared" si="281"/>
        <v/>
      </c>
      <c r="BC71" s="101">
        <f t="shared" si="282"/>
        <v>0</v>
      </c>
      <c r="BD71" s="102" t="str">
        <f t="shared" si="283"/>
        <v/>
      </c>
      <c r="BE71" s="103" t="str">
        <f t="shared" si="284"/>
        <v/>
      </c>
      <c r="BF71" s="104">
        <f t="shared" si="285"/>
        <v>0</v>
      </c>
      <c r="BG71" s="99" t="str">
        <f t="shared" si="286"/>
        <v/>
      </c>
      <c r="BH71" s="100" t="str">
        <f t="shared" si="287"/>
        <v/>
      </c>
      <c r="BI71" s="101">
        <f t="shared" si="288"/>
        <v>0</v>
      </c>
      <c r="BJ71" s="102" t="str">
        <f t="shared" si="289"/>
        <v/>
      </c>
      <c r="BK71" s="103" t="str">
        <f t="shared" si="290"/>
        <v/>
      </c>
      <c r="BL71" s="104">
        <f t="shared" si="291"/>
        <v>0</v>
      </c>
      <c r="BM71" s="99" t="str">
        <f t="shared" si="292"/>
        <v/>
      </c>
      <c r="BN71" s="100" t="str">
        <f t="shared" si="293"/>
        <v/>
      </c>
      <c r="BO71" s="101">
        <f t="shared" si="294"/>
        <v>0</v>
      </c>
      <c r="BP71" s="102" t="str">
        <f t="shared" si="295"/>
        <v/>
      </c>
      <c r="BQ71" s="103" t="str">
        <f t="shared" si="296"/>
        <v/>
      </c>
      <c r="BR71" s="104">
        <f t="shared" si="297"/>
        <v>0</v>
      </c>
      <c r="BS71" s="99" t="str">
        <f t="shared" si="298"/>
        <v/>
      </c>
      <c r="BT71" s="100" t="str">
        <f t="shared" si="299"/>
        <v/>
      </c>
      <c r="BU71" s="101">
        <f t="shared" si="300"/>
        <v>0</v>
      </c>
      <c r="BV71" s="102" t="str">
        <f t="shared" si="301"/>
        <v/>
      </c>
      <c r="BW71" s="103" t="str">
        <f t="shared" si="302"/>
        <v/>
      </c>
      <c r="BX71" s="104">
        <f t="shared" si="303"/>
        <v>0</v>
      </c>
      <c r="BY71" s="99" t="str">
        <f t="shared" si="304"/>
        <v/>
      </c>
      <c r="BZ71" s="100" t="str">
        <f t="shared" si="305"/>
        <v/>
      </c>
      <c r="CA71" s="101">
        <f t="shared" si="306"/>
        <v>0</v>
      </c>
      <c r="CB71" s="102" t="str">
        <f t="shared" si="307"/>
        <v/>
      </c>
      <c r="CC71" s="103" t="str">
        <f t="shared" si="308"/>
        <v/>
      </c>
      <c r="CD71" s="104">
        <f t="shared" si="309"/>
        <v>0</v>
      </c>
      <c r="CE71" s="99" t="str">
        <f t="shared" si="310"/>
        <v/>
      </c>
      <c r="CF71" s="100" t="str">
        <f t="shared" si="311"/>
        <v/>
      </c>
      <c r="CG71" s="101">
        <f t="shared" si="312"/>
        <v>0</v>
      </c>
      <c r="CH71" s="102" t="str">
        <f t="shared" si="313"/>
        <v/>
      </c>
      <c r="CI71" s="103" t="str">
        <f t="shared" si="314"/>
        <v/>
      </c>
      <c r="CJ71" s="104">
        <f t="shared" si="315"/>
        <v>0</v>
      </c>
      <c r="CK71" s="99" t="str">
        <f t="shared" si="316"/>
        <v/>
      </c>
      <c r="CL71" s="100" t="str">
        <f t="shared" si="317"/>
        <v/>
      </c>
      <c r="CM71" s="101">
        <f t="shared" si="318"/>
        <v>0</v>
      </c>
      <c r="CN71" s="102" t="str">
        <f t="shared" si="319"/>
        <v/>
      </c>
      <c r="CO71" s="103" t="str">
        <f t="shared" si="320"/>
        <v/>
      </c>
      <c r="CP71" s="104">
        <f t="shared" si="321"/>
        <v>0</v>
      </c>
      <c r="CQ71" s="99" t="str">
        <f t="shared" si="322"/>
        <v/>
      </c>
      <c r="CR71" s="100" t="str">
        <f t="shared" si="323"/>
        <v/>
      </c>
      <c r="CS71" s="101">
        <f t="shared" si="324"/>
        <v>0</v>
      </c>
      <c r="CT71" s="102" t="str">
        <f t="shared" si="325"/>
        <v/>
      </c>
      <c r="CU71" s="103" t="str">
        <f t="shared" si="326"/>
        <v/>
      </c>
      <c r="CV71" s="104">
        <f t="shared" si="327"/>
        <v>0</v>
      </c>
      <c r="CW71" s="99" t="str">
        <f t="shared" si="328"/>
        <v/>
      </c>
      <c r="CX71" s="100" t="str">
        <f t="shared" si="329"/>
        <v/>
      </c>
      <c r="CY71" s="101">
        <f t="shared" si="330"/>
        <v>0</v>
      </c>
      <c r="CZ71" s="102" t="str">
        <f t="shared" si="331"/>
        <v/>
      </c>
      <c r="DA71" s="103" t="str">
        <f t="shared" si="332"/>
        <v/>
      </c>
      <c r="DB71" s="104">
        <f t="shared" si="333"/>
        <v>0</v>
      </c>
      <c r="DC71" s="99" t="str">
        <f t="shared" si="334"/>
        <v/>
      </c>
      <c r="DD71" s="100" t="str">
        <f t="shared" si="335"/>
        <v/>
      </c>
      <c r="DE71" s="101">
        <f t="shared" si="336"/>
        <v>0</v>
      </c>
      <c r="DF71" s="102" t="str">
        <f t="shared" si="337"/>
        <v/>
      </c>
      <c r="DG71" s="103" t="str">
        <f t="shared" si="338"/>
        <v/>
      </c>
      <c r="DH71" s="104">
        <f t="shared" si="339"/>
        <v>0</v>
      </c>
      <c r="DI71" s="99" t="str">
        <f t="shared" si="340"/>
        <v/>
      </c>
      <c r="DJ71" s="100" t="str">
        <f t="shared" si="341"/>
        <v/>
      </c>
      <c r="DK71" s="101">
        <f t="shared" si="342"/>
        <v>0</v>
      </c>
      <c r="DL71" s="102" t="str">
        <f t="shared" si="343"/>
        <v/>
      </c>
      <c r="DM71" s="103" t="str">
        <f t="shared" si="344"/>
        <v/>
      </c>
      <c r="DN71" s="104">
        <f t="shared" si="345"/>
        <v>0</v>
      </c>
      <c r="DO71" s="99" t="str">
        <f t="shared" si="346"/>
        <v/>
      </c>
      <c r="DP71" s="100" t="str">
        <f t="shared" si="347"/>
        <v/>
      </c>
      <c r="DQ71" s="101">
        <f t="shared" si="348"/>
        <v>0</v>
      </c>
      <c r="DR71" s="102" t="str">
        <f t="shared" si="349"/>
        <v/>
      </c>
      <c r="DS71" s="103" t="str">
        <f t="shared" si="350"/>
        <v/>
      </c>
      <c r="DT71" s="104">
        <f t="shared" si="351"/>
        <v>0</v>
      </c>
    </row>
    <row r="72" ht="15.75" customHeight="1">
      <c r="A72" s="12" t="str">
        <f>Menus!B32</f>
        <v/>
      </c>
      <c r="B72" s="32">
        <f t="shared" si="231"/>
        <v>0</v>
      </c>
      <c r="C72" s="32">
        <f t="shared" si="232"/>
        <v>0</v>
      </c>
      <c r="D72" s="32">
        <f t="shared" si="233"/>
        <v>0</v>
      </c>
      <c r="E72" s="93" t="str">
        <f t="shared" si="234"/>
        <v/>
      </c>
      <c r="F72" s="94" t="str">
        <f t="shared" si="235"/>
        <v/>
      </c>
      <c r="G72" s="95">
        <f t="shared" si="236"/>
        <v>0</v>
      </c>
      <c r="H72" s="96" t="str">
        <f t="array" ref="H72">IFERROR(XLOOKUP($A72,'Gastos Admon'!$A$7:$A171,INDIRECT($B$9)),"")</f>
        <v/>
      </c>
      <c r="I72" s="97" t="str">
        <f t="array" ref="I72">IFERROR(XLOOKUP($A72,'Gastos Admon'!$A$7:$A171,INDIRECT($C$9)),"")</f>
        <v/>
      </c>
      <c r="J72" s="98">
        <f t="shared" si="237"/>
        <v>0</v>
      </c>
      <c r="K72" s="99" t="str">
        <f t="shared" si="238"/>
        <v/>
      </c>
      <c r="L72" s="100" t="str">
        <f t="shared" si="239"/>
        <v/>
      </c>
      <c r="M72" s="101">
        <f t="shared" si="240"/>
        <v>0</v>
      </c>
      <c r="N72" s="102" t="str">
        <f t="shared" si="241"/>
        <v/>
      </c>
      <c r="O72" s="103" t="str">
        <f t="shared" si="242"/>
        <v/>
      </c>
      <c r="P72" s="104">
        <f t="shared" si="243"/>
        <v>0</v>
      </c>
      <c r="Q72" s="99" t="str">
        <f t="shared" si="244"/>
        <v/>
      </c>
      <c r="R72" s="100" t="str">
        <f t="shared" si="245"/>
        <v/>
      </c>
      <c r="S72" s="101">
        <f t="shared" si="246"/>
        <v>0</v>
      </c>
      <c r="T72" s="102" t="str">
        <f t="shared" si="247"/>
        <v/>
      </c>
      <c r="U72" s="103" t="str">
        <f t="shared" si="248"/>
        <v/>
      </c>
      <c r="V72" s="104">
        <f t="shared" si="249"/>
        <v>0</v>
      </c>
      <c r="W72" s="99" t="str">
        <f t="shared" si="250"/>
        <v/>
      </c>
      <c r="X72" s="100" t="str">
        <f t="shared" si="251"/>
        <v/>
      </c>
      <c r="Y72" s="101">
        <f t="shared" si="252"/>
        <v>0</v>
      </c>
      <c r="Z72" s="102" t="str">
        <f t="shared" si="253"/>
        <v/>
      </c>
      <c r="AA72" s="103" t="str">
        <f t="shared" si="254"/>
        <v/>
      </c>
      <c r="AB72" s="104">
        <f t="shared" si="255"/>
        <v>0</v>
      </c>
      <c r="AC72" s="99" t="str">
        <f t="shared" si="256"/>
        <v/>
      </c>
      <c r="AD72" s="100" t="str">
        <f t="shared" si="257"/>
        <v/>
      </c>
      <c r="AE72" s="101">
        <f t="shared" si="258"/>
        <v>0</v>
      </c>
      <c r="AF72" s="102" t="str">
        <f t="shared" si="259"/>
        <v/>
      </c>
      <c r="AG72" s="103" t="str">
        <f t="shared" si="260"/>
        <v/>
      </c>
      <c r="AH72" s="104">
        <f t="shared" si="261"/>
        <v>0</v>
      </c>
      <c r="AI72" s="99" t="str">
        <f t="shared" si="262"/>
        <v/>
      </c>
      <c r="AJ72" s="100" t="str">
        <f t="shared" si="263"/>
        <v/>
      </c>
      <c r="AK72" s="101">
        <f t="shared" si="264"/>
        <v>0</v>
      </c>
      <c r="AL72" s="102" t="str">
        <f t="shared" si="265"/>
        <v/>
      </c>
      <c r="AM72" s="103" t="str">
        <f t="shared" si="266"/>
        <v/>
      </c>
      <c r="AN72" s="104">
        <f t="shared" si="267"/>
        <v>0</v>
      </c>
      <c r="AO72" s="99" t="str">
        <f t="shared" si="268"/>
        <v/>
      </c>
      <c r="AP72" s="100" t="str">
        <f t="shared" si="269"/>
        <v/>
      </c>
      <c r="AQ72" s="101">
        <f t="shared" si="270"/>
        <v>0</v>
      </c>
      <c r="AR72" s="102" t="str">
        <f t="shared" si="271"/>
        <v/>
      </c>
      <c r="AS72" s="103" t="str">
        <f t="shared" si="272"/>
        <v/>
      </c>
      <c r="AT72" s="104">
        <f t="shared" si="273"/>
        <v>0</v>
      </c>
      <c r="AU72" s="99" t="str">
        <f t="shared" si="274"/>
        <v/>
      </c>
      <c r="AV72" s="100" t="str">
        <f t="shared" si="275"/>
        <v/>
      </c>
      <c r="AW72" s="101">
        <f t="shared" si="276"/>
        <v>0</v>
      </c>
      <c r="AX72" s="102" t="str">
        <f t="shared" si="277"/>
        <v/>
      </c>
      <c r="AY72" s="103" t="str">
        <f t="shared" si="278"/>
        <v/>
      </c>
      <c r="AZ72" s="104">
        <f t="shared" si="279"/>
        <v>0</v>
      </c>
      <c r="BA72" s="99" t="str">
        <f t="shared" si="280"/>
        <v/>
      </c>
      <c r="BB72" s="100" t="str">
        <f t="shared" si="281"/>
        <v/>
      </c>
      <c r="BC72" s="101">
        <f t="shared" si="282"/>
        <v>0</v>
      </c>
      <c r="BD72" s="102" t="str">
        <f t="shared" si="283"/>
        <v/>
      </c>
      <c r="BE72" s="103" t="str">
        <f t="shared" si="284"/>
        <v/>
      </c>
      <c r="BF72" s="104">
        <f t="shared" si="285"/>
        <v>0</v>
      </c>
      <c r="BG72" s="99" t="str">
        <f t="shared" si="286"/>
        <v/>
      </c>
      <c r="BH72" s="100" t="str">
        <f t="shared" si="287"/>
        <v/>
      </c>
      <c r="BI72" s="101">
        <f t="shared" si="288"/>
        <v>0</v>
      </c>
      <c r="BJ72" s="102" t="str">
        <f t="shared" si="289"/>
        <v/>
      </c>
      <c r="BK72" s="103" t="str">
        <f t="shared" si="290"/>
        <v/>
      </c>
      <c r="BL72" s="104">
        <f t="shared" si="291"/>
        <v>0</v>
      </c>
      <c r="BM72" s="99" t="str">
        <f t="shared" si="292"/>
        <v/>
      </c>
      <c r="BN72" s="100" t="str">
        <f t="shared" si="293"/>
        <v/>
      </c>
      <c r="BO72" s="101">
        <f t="shared" si="294"/>
        <v>0</v>
      </c>
      <c r="BP72" s="102" t="str">
        <f t="shared" si="295"/>
        <v/>
      </c>
      <c r="BQ72" s="103" t="str">
        <f t="shared" si="296"/>
        <v/>
      </c>
      <c r="BR72" s="104">
        <f t="shared" si="297"/>
        <v>0</v>
      </c>
      <c r="BS72" s="99" t="str">
        <f t="shared" si="298"/>
        <v/>
      </c>
      <c r="BT72" s="100" t="str">
        <f t="shared" si="299"/>
        <v/>
      </c>
      <c r="BU72" s="101">
        <f t="shared" si="300"/>
        <v>0</v>
      </c>
      <c r="BV72" s="102" t="str">
        <f t="shared" si="301"/>
        <v/>
      </c>
      <c r="BW72" s="103" t="str">
        <f t="shared" si="302"/>
        <v/>
      </c>
      <c r="BX72" s="104">
        <f t="shared" si="303"/>
        <v>0</v>
      </c>
      <c r="BY72" s="99" t="str">
        <f t="shared" si="304"/>
        <v/>
      </c>
      <c r="BZ72" s="100" t="str">
        <f t="shared" si="305"/>
        <v/>
      </c>
      <c r="CA72" s="101">
        <f t="shared" si="306"/>
        <v>0</v>
      </c>
      <c r="CB72" s="102" t="str">
        <f t="shared" si="307"/>
        <v/>
      </c>
      <c r="CC72" s="103" t="str">
        <f t="shared" si="308"/>
        <v/>
      </c>
      <c r="CD72" s="104">
        <f t="shared" si="309"/>
        <v>0</v>
      </c>
      <c r="CE72" s="99" t="str">
        <f t="shared" si="310"/>
        <v/>
      </c>
      <c r="CF72" s="100" t="str">
        <f t="shared" si="311"/>
        <v/>
      </c>
      <c r="CG72" s="101">
        <f t="shared" si="312"/>
        <v>0</v>
      </c>
      <c r="CH72" s="102" t="str">
        <f t="shared" si="313"/>
        <v/>
      </c>
      <c r="CI72" s="103" t="str">
        <f t="shared" si="314"/>
        <v/>
      </c>
      <c r="CJ72" s="104">
        <f t="shared" si="315"/>
        <v>0</v>
      </c>
      <c r="CK72" s="99" t="str">
        <f t="shared" si="316"/>
        <v/>
      </c>
      <c r="CL72" s="100" t="str">
        <f t="shared" si="317"/>
        <v/>
      </c>
      <c r="CM72" s="101">
        <f t="shared" si="318"/>
        <v>0</v>
      </c>
      <c r="CN72" s="102" t="str">
        <f t="shared" si="319"/>
        <v/>
      </c>
      <c r="CO72" s="103" t="str">
        <f t="shared" si="320"/>
        <v/>
      </c>
      <c r="CP72" s="104">
        <f t="shared" si="321"/>
        <v>0</v>
      </c>
      <c r="CQ72" s="99" t="str">
        <f t="shared" si="322"/>
        <v/>
      </c>
      <c r="CR72" s="100" t="str">
        <f t="shared" si="323"/>
        <v/>
      </c>
      <c r="CS72" s="101">
        <f t="shared" si="324"/>
        <v>0</v>
      </c>
      <c r="CT72" s="102" t="str">
        <f t="shared" si="325"/>
        <v/>
      </c>
      <c r="CU72" s="103" t="str">
        <f t="shared" si="326"/>
        <v/>
      </c>
      <c r="CV72" s="104">
        <f t="shared" si="327"/>
        <v>0</v>
      </c>
      <c r="CW72" s="99" t="str">
        <f t="shared" si="328"/>
        <v/>
      </c>
      <c r="CX72" s="100" t="str">
        <f t="shared" si="329"/>
        <v/>
      </c>
      <c r="CY72" s="101">
        <f t="shared" si="330"/>
        <v>0</v>
      </c>
      <c r="CZ72" s="102" t="str">
        <f t="shared" si="331"/>
        <v/>
      </c>
      <c r="DA72" s="103" t="str">
        <f t="shared" si="332"/>
        <v/>
      </c>
      <c r="DB72" s="104">
        <f t="shared" si="333"/>
        <v>0</v>
      </c>
      <c r="DC72" s="99" t="str">
        <f t="shared" si="334"/>
        <v/>
      </c>
      <c r="DD72" s="100" t="str">
        <f t="shared" si="335"/>
        <v/>
      </c>
      <c r="DE72" s="101">
        <f t="shared" si="336"/>
        <v>0</v>
      </c>
      <c r="DF72" s="102" t="str">
        <f t="shared" si="337"/>
        <v/>
      </c>
      <c r="DG72" s="103" t="str">
        <f t="shared" si="338"/>
        <v/>
      </c>
      <c r="DH72" s="104">
        <f t="shared" si="339"/>
        <v>0</v>
      </c>
      <c r="DI72" s="99" t="str">
        <f t="shared" si="340"/>
        <v/>
      </c>
      <c r="DJ72" s="100" t="str">
        <f t="shared" si="341"/>
        <v/>
      </c>
      <c r="DK72" s="101">
        <f t="shared" si="342"/>
        <v>0</v>
      </c>
      <c r="DL72" s="102" t="str">
        <f t="shared" si="343"/>
        <v/>
      </c>
      <c r="DM72" s="103" t="str">
        <f t="shared" si="344"/>
        <v/>
      </c>
      <c r="DN72" s="104">
        <f t="shared" si="345"/>
        <v>0</v>
      </c>
      <c r="DO72" s="99" t="str">
        <f t="shared" si="346"/>
        <v/>
      </c>
      <c r="DP72" s="100" t="str">
        <f t="shared" si="347"/>
        <v/>
      </c>
      <c r="DQ72" s="101">
        <f t="shared" si="348"/>
        <v>0</v>
      </c>
      <c r="DR72" s="102" t="str">
        <f t="shared" si="349"/>
        <v/>
      </c>
      <c r="DS72" s="103" t="str">
        <f t="shared" si="350"/>
        <v/>
      </c>
      <c r="DT72" s="104">
        <f t="shared" si="351"/>
        <v>0</v>
      </c>
    </row>
    <row r="73" ht="15.75" customHeight="1">
      <c r="A73" s="12" t="str">
        <f>Menus!B33</f>
        <v/>
      </c>
      <c r="B73" s="32">
        <f t="shared" si="231"/>
        <v>0</v>
      </c>
      <c r="C73" s="32">
        <f t="shared" si="232"/>
        <v>0</v>
      </c>
      <c r="D73" s="32">
        <f t="shared" si="233"/>
        <v>0</v>
      </c>
      <c r="E73" s="93" t="str">
        <f t="shared" si="234"/>
        <v/>
      </c>
      <c r="F73" s="94" t="str">
        <f t="shared" si="235"/>
        <v/>
      </c>
      <c r="G73" s="95">
        <f t="shared" si="236"/>
        <v>0</v>
      </c>
      <c r="H73" s="96" t="str">
        <f t="array" ref="H73">IFERROR(XLOOKUP($A73,'Gastos Admon'!$A$7:$A171,INDIRECT($B$9)),"")</f>
        <v/>
      </c>
      <c r="I73" s="97" t="str">
        <f t="array" ref="I73">IFERROR(XLOOKUP($A73,'Gastos Admon'!$A$7:$A171,INDIRECT($C$9)),"")</f>
        <v/>
      </c>
      <c r="J73" s="98">
        <f t="shared" si="237"/>
        <v>0</v>
      </c>
      <c r="K73" s="99" t="str">
        <f t="shared" si="238"/>
        <v/>
      </c>
      <c r="L73" s="100" t="str">
        <f t="shared" si="239"/>
        <v/>
      </c>
      <c r="M73" s="101">
        <f t="shared" si="240"/>
        <v>0</v>
      </c>
      <c r="N73" s="102" t="str">
        <f t="shared" si="241"/>
        <v/>
      </c>
      <c r="O73" s="103" t="str">
        <f t="shared" si="242"/>
        <v/>
      </c>
      <c r="P73" s="104">
        <f t="shared" si="243"/>
        <v>0</v>
      </c>
      <c r="Q73" s="99" t="str">
        <f t="shared" si="244"/>
        <v/>
      </c>
      <c r="R73" s="100" t="str">
        <f t="shared" si="245"/>
        <v/>
      </c>
      <c r="S73" s="101">
        <f t="shared" si="246"/>
        <v>0</v>
      </c>
      <c r="T73" s="102" t="str">
        <f t="shared" si="247"/>
        <v/>
      </c>
      <c r="U73" s="103" t="str">
        <f t="shared" si="248"/>
        <v/>
      </c>
      <c r="V73" s="104">
        <f t="shared" si="249"/>
        <v>0</v>
      </c>
      <c r="W73" s="99" t="str">
        <f t="shared" si="250"/>
        <v/>
      </c>
      <c r="X73" s="100" t="str">
        <f t="shared" si="251"/>
        <v/>
      </c>
      <c r="Y73" s="101">
        <f t="shared" si="252"/>
        <v>0</v>
      </c>
      <c r="Z73" s="102" t="str">
        <f t="shared" si="253"/>
        <v/>
      </c>
      <c r="AA73" s="103" t="str">
        <f t="shared" si="254"/>
        <v/>
      </c>
      <c r="AB73" s="104">
        <f t="shared" si="255"/>
        <v>0</v>
      </c>
      <c r="AC73" s="99" t="str">
        <f t="shared" si="256"/>
        <v/>
      </c>
      <c r="AD73" s="100" t="str">
        <f t="shared" si="257"/>
        <v/>
      </c>
      <c r="AE73" s="101">
        <f t="shared" si="258"/>
        <v>0</v>
      </c>
      <c r="AF73" s="102" t="str">
        <f t="shared" si="259"/>
        <v/>
      </c>
      <c r="AG73" s="103" t="str">
        <f t="shared" si="260"/>
        <v/>
      </c>
      <c r="AH73" s="104">
        <f t="shared" si="261"/>
        <v>0</v>
      </c>
      <c r="AI73" s="99" t="str">
        <f t="shared" si="262"/>
        <v/>
      </c>
      <c r="AJ73" s="100" t="str">
        <f t="shared" si="263"/>
        <v/>
      </c>
      <c r="AK73" s="101">
        <f t="shared" si="264"/>
        <v>0</v>
      </c>
      <c r="AL73" s="102" t="str">
        <f t="shared" si="265"/>
        <v/>
      </c>
      <c r="AM73" s="103" t="str">
        <f t="shared" si="266"/>
        <v/>
      </c>
      <c r="AN73" s="104">
        <f t="shared" si="267"/>
        <v>0</v>
      </c>
      <c r="AO73" s="99" t="str">
        <f t="shared" si="268"/>
        <v/>
      </c>
      <c r="AP73" s="100" t="str">
        <f t="shared" si="269"/>
        <v/>
      </c>
      <c r="AQ73" s="101">
        <f t="shared" si="270"/>
        <v>0</v>
      </c>
      <c r="AR73" s="102" t="str">
        <f t="shared" si="271"/>
        <v/>
      </c>
      <c r="AS73" s="103" t="str">
        <f t="shared" si="272"/>
        <v/>
      </c>
      <c r="AT73" s="104">
        <f t="shared" si="273"/>
        <v>0</v>
      </c>
      <c r="AU73" s="99" t="str">
        <f t="shared" si="274"/>
        <v/>
      </c>
      <c r="AV73" s="100" t="str">
        <f t="shared" si="275"/>
        <v/>
      </c>
      <c r="AW73" s="101">
        <f t="shared" si="276"/>
        <v>0</v>
      </c>
      <c r="AX73" s="102" t="str">
        <f t="shared" si="277"/>
        <v/>
      </c>
      <c r="AY73" s="103" t="str">
        <f t="shared" si="278"/>
        <v/>
      </c>
      <c r="AZ73" s="104">
        <f t="shared" si="279"/>
        <v>0</v>
      </c>
      <c r="BA73" s="99" t="str">
        <f t="shared" si="280"/>
        <v/>
      </c>
      <c r="BB73" s="100" t="str">
        <f t="shared" si="281"/>
        <v/>
      </c>
      <c r="BC73" s="101">
        <f t="shared" si="282"/>
        <v>0</v>
      </c>
      <c r="BD73" s="102" t="str">
        <f t="shared" si="283"/>
        <v/>
      </c>
      <c r="BE73" s="103" t="str">
        <f t="shared" si="284"/>
        <v/>
      </c>
      <c r="BF73" s="104">
        <f t="shared" si="285"/>
        <v>0</v>
      </c>
      <c r="BG73" s="99" t="str">
        <f t="shared" si="286"/>
        <v/>
      </c>
      <c r="BH73" s="100" t="str">
        <f t="shared" si="287"/>
        <v/>
      </c>
      <c r="BI73" s="101">
        <f t="shared" si="288"/>
        <v>0</v>
      </c>
      <c r="BJ73" s="102" t="str">
        <f t="shared" si="289"/>
        <v/>
      </c>
      <c r="BK73" s="103" t="str">
        <f t="shared" si="290"/>
        <v/>
      </c>
      <c r="BL73" s="104">
        <f t="shared" si="291"/>
        <v>0</v>
      </c>
      <c r="BM73" s="99" t="str">
        <f t="shared" si="292"/>
        <v/>
      </c>
      <c r="BN73" s="100" t="str">
        <f t="shared" si="293"/>
        <v/>
      </c>
      <c r="BO73" s="101">
        <f t="shared" si="294"/>
        <v>0</v>
      </c>
      <c r="BP73" s="102" t="str">
        <f t="shared" si="295"/>
        <v/>
      </c>
      <c r="BQ73" s="103" t="str">
        <f t="shared" si="296"/>
        <v/>
      </c>
      <c r="BR73" s="104">
        <f t="shared" si="297"/>
        <v>0</v>
      </c>
      <c r="BS73" s="99" t="str">
        <f t="shared" si="298"/>
        <v/>
      </c>
      <c r="BT73" s="100" t="str">
        <f t="shared" si="299"/>
        <v/>
      </c>
      <c r="BU73" s="101">
        <f t="shared" si="300"/>
        <v>0</v>
      </c>
      <c r="BV73" s="102" t="str">
        <f t="shared" si="301"/>
        <v/>
      </c>
      <c r="BW73" s="103" t="str">
        <f t="shared" si="302"/>
        <v/>
      </c>
      <c r="BX73" s="104">
        <f t="shared" si="303"/>
        <v>0</v>
      </c>
      <c r="BY73" s="99" t="str">
        <f t="shared" si="304"/>
        <v/>
      </c>
      <c r="BZ73" s="100" t="str">
        <f t="shared" si="305"/>
        <v/>
      </c>
      <c r="CA73" s="101">
        <f t="shared" si="306"/>
        <v>0</v>
      </c>
      <c r="CB73" s="102" t="str">
        <f t="shared" si="307"/>
        <v/>
      </c>
      <c r="CC73" s="103" t="str">
        <f t="shared" si="308"/>
        <v/>
      </c>
      <c r="CD73" s="104">
        <f t="shared" si="309"/>
        <v>0</v>
      </c>
      <c r="CE73" s="99" t="str">
        <f t="shared" si="310"/>
        <v/>
      </c>
      <c r="CF73" s="100" t="str">
        <f t="shared" si="311"/>
        <v/>
      </c>
      <c r="CG73" s="101">
        <f t="shared" si="312"/>
        <v>0</v>
      </c>
      <c r="CH73" s="102" t="str">
        <f t="shared" si="313"/>
        <v/>
      </c>
      <c r="CI73" s="103" t="str">
        <f t="shared" si="314"/>
        <v/>
      </c>
      <c r="CJ73" s="104">
        <f t="shared" si="315"/>
        <v>0</v>
      </c>
      <c r="CK73" s="99" t="str">
        <f t="shared" si="316"/>
        <v/>
      </c>
      <c r="CL73" s="100" t="str">
        <f t="shared" si="317"/>
        <v/>
      </c>
      <c r="CM73" s="101">
        <f t="shared" si="318"/>
        <v>0</v>
      </c>
      <c r="CN73" s="102" t="str">
        <f t="shared" si="319"/>
        <v/>
      </c>
      <c r="CO73" s="103" t="str">
        <f t="shared" si="320"/>
        <v/>
      </c>
      <c r="CP73" s="104">
        <f t="shared" si="321"/>
        <v>0</v>
      </c>
      <c r="CQ73" s="99" t="str">
        <f t="shared" si="322"/>
        <v/>
      </c>
      <c r="CR73" s="100" t="str">
        <f t="shared" si="323"/>
        <v/>
      </c>
      <c r="CS73" s="101">
        <f t="shared" si="324"/>
        <v>0</v>
      </c>
      <c r="CT73" s="102" t="str">
        <f t="shared" si="325"/>
        <v/>
      </c>
      <c r="CU73" s="103" t="str">
        <f t="shared" si="326"/>
        <v/>
      </c>
      <c r="CV73" s="104">
        <f t="shared" si="327"/>
        <v>0</v>
      </c>
      <c r="CW73" s="99" t="str">
        <f t="shared" si="328"/>
        <v/>
      </c>
      <c r="CX73" s="100" t="str">
        <f t="shared" si="329"/>
        <v/>
      </c>
      <c r="CY73" s="101">
        <f t="shared" si="330"/>
        <v>0</v>
      </c>
      <c r="CZ73" s="102" t="str">
        <f t="shared" si="331"/>
        <v/>
      </c>
      <c r="DA73" s="103" t="str">
        <f t="shared" si="332"/>
        <v/>
      </c>
      <c r="DB73" s="104">
        <f t="shared" si="333"/>
        <v>0</v>
      </c>
      <c r="DC73" s="99" t="str">
        <f t="shared" si="334"/>
        <v/>
      </c>
      <c r="DD73" s="100" t="str">
        <f t="shared" si="335"/>
        <v/>
      </c>
      <c r="DE73" s="101">
        <f t="shared" si="336"/>
        <v>0</v>
      </c>
      <c r="DF73" s="102" t="str">
        <f t="shared" si="337"/>
        <v/>
      </c>
      <c r="DG73" s="103" t="str">
        <f t="shared" si="338"/>
        <v/>
      </c>
      <c r="DH73" s="104">
        <f t="shared" si="339"/>
        <v>0</v>
      </c>
      <c r="DI73" s="99" t="str">
        <f t="shared" si="340"/>
        <v/>
      </c>
      <c r="DJ73" s="100" t="str">
        <f t="shared" si="341"/>
        <v/>
      </c>
      <c r="DK73" s="101">
        <f t="shared" si="342"/>
        <v>0</v>
      </c>
      <c r="DL73" s="102" t="str">
        <f t="shared" si="343"/>
        <v/>
      </c>
      <c r="DM73" s="103" t="str">
        <f t="shared" si="344"/>
        <v/>
      </c>
      <c r="DN73" s="104">
        <f t="shared" si="345"/>
        <v>0</v>
      </c>
      <c r="DO73" s="99" t="str">
        <f t="shared" si="346"/>
        <v/>
      </c>
      <c r="DP73" s="100" t="str">
        <f t="shared" si="347"/>
        <v/>
      </c>
      <c r="DQ73" s="101">
        <f t="shared" si="348"/>
        <v>0</v>
      </c>
      <c r="DR73" s="102" t="str">
        <f t="shared" si="349"/>
        <v/>
      </c>
      <c r="DS73" s="103" t="str">
        <f t="shared" si="350"/>
        <v/>
      </c>
      <c r="DT73" s="104">
        <f t="shared" si="351"/>
        <v>0</v>
      </c>
    </row>
    <row r="74" ht="15.75" customHeight="1">
      <c r="A74" s="12" t="str">
        <f>Menus!B34</f>
        <v/>
      </c>
      <c r="B74" s="32">
        <f t="shared" si="231"/>
        <v>0</v>
      </c>
      <c r="C74" s="32">
        <f t="shared" si="232"/>
        <v>0</v>
      </c>
      <c r="D74" s="32">
        <f t="shared" si="233"/>
        <v>0</v>
      </c>
      <c r="E74" s="93" t="str">
        <f t="shared" si="234"/>
        <v/>
      </c>
      <c r="F74" s="94" t="str">
        <f t="shared" si="235"/>
        <v/>
      </c>
      <c r="G74" s="95">
        <f t="shared" si="236"/>
        <v>0</v>
      </c>
      <c r="H74" s="96" t="str">
        <f t="array" ref="H74">IFERROR(XLOOKUP($A74,'Gastos Admon'!$A$7:$A171,INDIRECT($B$9)),"")</f>
        <v/>
      </c>
      <c r="I74" s="97" t="str">
        <f t="array" ref="I74">IFERROR(XLOOKUP($A74,'Gastos Admon'!$A$7:$A171,INDIRECT($C$9)),"")</f>
        <v/>
      </c>
      <c r="J74" s="98">
        <f t="shared" si="237"/>
        <v>0</v>
      </c>
      <c r="K74" s="99" t="str">
        <f t="shared" si="238"/>
        <v/>
      </c>
      <c r="L74" s="100" t="str">
        <f t="shared" si="239"/>
        <v/>
      </c>
      <c r="M74" s="101">
        <f t="shared" si="240"/>
        <v>0</v>
      </c>
      <c r="N74" s="102" t="str">
        <f t="shared" si="241"/>
        <v/>
      </c>
      <c r="O74" s="103" t="str">
        <f t="shared" si="242"/>
        <v/>
      </c>
      <c r="P74" s="104">
        <f t="shared" si="243"/>
        <v>0</v>
      </c>
      <c r="Q74" s="99" t="str">
        <f t="shared" si="244"/>
        <v/>
      </c>
      <c r="R74" s="100" t="str">
        <f t="shared" si="245"/>
        <v/>
      </c>
      <c r="S74" s="101">
        <f t="shared" si="246"/>
        <v>0</v>
      </c>
      <c r="T74" s="102" t="str">
        <f t="shared" si="247"/>
        <v/>
      </c>
      <c r="U74" s="103" t="str">
        <f t="shared" si="248"/>
        <v/>
      </c>
      <c r="V74" s="104">
        <f t="shared" si="249"/>
        <v>0</v>
      </c>
      <c r="W74" s="99" t="str">
        <f t="shared" si="250"/>
        <v/>
      </c>
      <c r="X74" s="100" t="str">
        <f t="shared" si="251"/>
        <v/>
      </c>
      <c r="Y74" s="101">
        <f t="shared" si="252"/>
        <v>0</v>
      </c>
      <c r="Z74" s="102" t="str">
        <f t="shared" si="253"/>
        <v/>
      </c>
      <c r="AA74" s="103" t="str">
        <f t="shared" si="254"/>
        <v/>
      </c>
      <c r="AB74" s="104">
        <f t="shared" si="255"/>
        <v>0</v>
      </c>
      <c r="AC74" s="99" t="str">
        <f t="shared" si="256"/>
        <v/>
      </c>
      <c r="AD74" s="100" t="str">
        <f t="shared" si="257"/>
        <v/>
      </c>
      <c r="AE74" s="101">
        <f t="shared" si="258"/>
        <v>0</v>
      </c>
      <c r="AF74" s="102" t="str">
        <f t="shared" si="259"/>
        <v/>
      </c>
      <c r="AG74" s="103" t="str">
        <f t="shared" si="260"/>
        <v/>
      </c>
      <c r="AH74" s="104">
        <f t="shared" si="261"/>
        <v>0</v>
      </c>
      <c r="AI74" s="99" t="str">
        <f t="shared" si="262"/>
        <v/>
      </c>
      <c r="AJ74" s="100" t="str">
        <f t="shared" si="263"/>
        <v/>
      </c>
      <c r="AK74" s="101">
        <f t="shared" si="264"/>
        <v>0</v>
      </c>
      <c r="AL74" s="102" t="str">
        <f t="shared" si="265"/>
        <v/>
      </c>
      <c r="AM74" s="103" t="str">
        <f t="shared" si="266"/>
        <v/>
      </c>
      <c r="AN74" s="104">
        <f t="shared" si="267"/>
        <v>0</v>
      </c>
      <c r="AO74" s="99" t="str">
        <f t="shared" si="268"/>
        <v/>
      </c>
      <c r="AP74" s="100" t="str">
        <f t="shared" si="269"/>
        <v/>
      </c>
      <c r="AQ74" s="101">
        <f t="shared" si="270"/>
        <v>0</v>
      </c>
      <c r="AR74" s="102" t="str">
        <f t="shared" si="271"/>
        <v/>
      </c>
      <c r="AS74" s="103" t="str">
        <f t="shared" si="272"/>
        <v/>
      </c>
      <c r="AT74" s="104">
        <f t="shared" si="273"/>
        <v>0</v>
      </c>
      <c r="AU74" s="99" t="str">
        <f t="shared" si="274"/>
        <v/>
      </c>
      <c r="AV74" s="100" t="str">
        <f t="shared" si="275"/>
        <v/>
      </c>
      <c r="AW74" s="101">
        <f t="shared" si="276"/>
        <v>0</v>
      </c>
      <c r="AX74" s="102" t="str">
        <f t="shared" si="277"/>
        <v/>
      </c>
      <c r="AY74" s="103" t="str">
        <f t="shared" si="278"/>
        <v/>
      </c>
      <c r="AZ74" s="104">
        <f t="shared" si="279"/>
        <v>0</v>
      </c>
      <c r="BA74" s="99" t="str">
        <f t="shared" si="280"/>
        <v/>
      </c>
      <c r="BB74" s="100" t="str">
        <f t="shared" si="281"/>
        <v/>
      </c>
      <c r="BC74" s="101">
        <f t="shared" si="282"/>
        <v>0</v>
      </c>
      <c r="BD74" s="102" t="str">
        <f t="shared" si="283"/>
        <v/>
      </c>
      <c r="BE74" s="103" t="str">
        <f t="shared" si="284"/>
        <v/>
      </c>
      <c r="BF74" s="104">
        <f t="shared" si="285"/>
        <v>0</v>
      </c>
      <c r="BG74" s="99" t="str">
        <f t="shared" si="286"/>
        <v/>
      </c>
      <c r="BH74" s="100" t="str">
        <f t="shared" si="287"/>
        <v/>
      </c>
      <c r="BI74" s="101">
        <f t="shared" si="288"/>
        <v>0</v>
      </c>
      <c r="BJ74" s="102" t="str">
        <f t="shared" si="289"/>
        <v/>
      </c>
      <c r="BK74" s="103" t="str">
        <f t="shared" si="290"/>
        <v/>
      </c>
      <c r="BL74" s="104">
        <f t="shared" si="291"/>
        <v>0</v>
      </c>
      <c r="BM74" s="99" t="str">
        <f t="shared" si="292"/>
        <v/>
      </c>
      <c r="BN74" s="100" t="str">
        <f t="shared" si="293"/>
        <v/>
      </c>
      <c r="BO74" s="101">
        <f t="shared" si="294"/>
        <v>0</v>
      </c>
      <c r="BP74" s="102" t="str">
        <f t="shared" si="295"/>
        <v/>
      </c>
      <c r="BQ74" s="103" t="str">
        <f t="shared" si="296"/>
        <v/>
      </c>
      <c r="BR74" s="104">
        <f t="shared" si="297"/>
        <v>0</v>
      </c>
      <c r="BS74" s="99" t="str">
        <f t="shared" si="298"/>
        <v/>
      </c>
      <c r="BT74" s="100" t="str">
        <f t="shared" si="299"/>
        <v/>
      </c>
      <c r="BU74" s="101">
        <f t="shared" si="300"/>
        <v>0</v>
      </c>
      <c r="BV74" s="102" t="str">
        <f t="shared" si="301"/>
        <v/>
      </c>
      <c r="BW74" s="103" t="str">
        <f t="shared" si="302"/>
        <v/>
      </c>
      <c r="BX74" s="104">
        <f t="shared" si="303"/>
        <v>0</v>
      </c>
      <c r="BY74" s="99" t="str">
        <f t="shared" si="304"/>
        <v/>
      </c>
      <c r="BZ74" s="100" t="str">
        <f t="shared" si="305"/>
        <v/>
      </c>
      <c r="CA74" s="101">
        <f t="shared" si="306"/>
        <v>0</v>
      </c>
      <c r="CB74" s="102" t="str">
        <f t="shared" si="307"/>
        <v/>
      </c>
      <c r="CC74" s="103" t="str">
        <f t="shared" si="308"/>
        <v/>
      </c>
      <c r="CD74" s="104">
        <f t="shared" si="309"/>
        <v>0</v>
      </c>
      <c r="CE74" s="99" t="str">
        <f t="shared" si="310"/>
        <v/>
      </c>
      <c r="CF74" s="100" t="str">
        <f t="shared" si="311"/>
        <v/>
      </c>
      <c r="CG74" s="101">
        <f t="shared" si="312"/>
        <v>0</v>
      </c>
      <c r="CH74" s="102" t="str">
        <f t="shared" si="313"/>
        <v/>
      </c>
      <c r="CI74" s="103" t="str">
        <f t="shared" si="314"/>
        <v/>
      </c>
      <c r="CJ74" s="104">
        <f t="shared" si="315"/>
        <v>0</v>
      </c>
      <c r="CK74" s="99" t="str">
        <f t="shared" si="316"/>
        <v/>
      </c>
      <c r="CL74" s="100" t="str">
        <f t="shared" si="317"/>
        <v/>
      </c>
      <c r="CM74" s="101">
        <f t="shared" si="318"/>
        <v>0</v>
      </c>
      <c r="CN74" s="102" t="str">
        <f t="shared" si="319"/>
        <v/>
      </c>
      <c r="CO74" s="103" t="str">
        <f t="shared" si="320"/>
        <v/>
      </c>
      <c r="CP74" s="104">
        <f t="shared" si="321"/>
        <v>0</v>
      </c>
      <c r="CQ74" s="99" t="str">
        <f t="shared" si="322"/>
        <v/>
      </c>
      <c r="CR74" s="100" t="str">
        <f t="shared" si="323"/>
        <v/>
      </c>
      <c r="CS74" s="101">
        <f t="shared" si="324"/>
        <v>0</v>
      </c>
      <c r="CT74" s="102" t="str">
        <f t="shared" si="325"/>
        <v/>
      </c>
      <c r="CU74" s="103" t="str">
        <f t="shared" si="326"/>
        <v/>
      </c>
      <c r="CV74" s="104">
        <f t="shared" si="327"/>
        <v>0</v>
      </c>
      <c r="CW74" s="99" t="str">
        <f t="shared" si="328"/>
        <v/>
      </c>
      <c r="CX74" s="100" t="str">
        <f t="shared" si="329"/>
        <v/>
      </c>
      <c r="CY74" s="101">
        <f t="shared" si="330"/>
        <v>0</v>
      </c>
      <c r="CZ74" s="102" t="str">
        <f t="shared" si="331"/>
        <v/>
      </c>
      <c r="DA74" s="103" t="str">
        <f t="shared" si="332"/>
        <v/>
      </c>
      <c r="DB74" s="104">
        <f t="shared" si="333"/>
        <v>0</v>
      </c>
      <c r="DC74" s="99" t="str">
        <f t="shared" si="334"/>
        <v/>
      </c>
      <c r="DD74" s="100" t="str">
        <f t="shared" si="335"/>
        <v/>
      </c>
      <c r="DE74" s="101">
        <f t="shared" si="336"/>
        <v>0</v>
      </c>
      <c r="DF74" s="102" t="str">
        <f t="shared" si="337"/>
        <v/>
      </c>
      <c r="DG74" s="103" t="str">
        <f t="shared" si="338"/>
        <v/>
      </c>
      <c r="DH74" s="104">
        <f t="shared" si="339"/>
        <v>0</v>
      </c>
      <c r="DI74" s="99" t="str">
        <f t="shared" si="340"/>
        <v/>
      </c>
      <c r="DJ74" s="100" t="str">
        <f t="shared" si="341"/>
        <v/>
      </c>
      <c r="DK74" s="101">
        <f t="shared" si="342"/>
        <v>0</v>
      </c>
      <c r="DL74" s="102" t="str">
        <f t="shared" si="343"/>
        <v/>
      </c>
      <c r="DM74" s="103" t="str">
        <f t="shared" si="344"/>
        <v/>
      </c>
      <c r="DN74" s="104">
        <f t="shared" si="345"/>
        <v>0</v>
      </c>
      <c r="DO74" s="99" t="str">
        <f t="shared" si="346"/>
        <v/>
      </c>
      <c r="DP74" s="100" t="str">
        <f t="shared" si="347"/>
        <v/>
      </c>
      <c r="DQ74" s="101">
        <f t="shared" si="348"/>
        <v>0</v>
      </c>
      <c r="DR74" s="102" t="str">
        <f t="shared" si="349"/>
        <v/>
      </c>
      <c r="DS74" s="103" t="str">
        <f t="shared" si="350"/>
        <v/>
      </c>
      <c r="DT74" s="104">
        <f t="shared" si="351"/>
        <v>0</v>
      </c>
    </row>
    <row r="75" ht="15.75" customHeight="1">
      <c r="A75" s="12" t="str">
        <f>Menus!B35</f>
        <v/>
      </c>
      <c r="B75" s="32">
        <f t="shared" si="231"/>
        <v>0</v>
      </c>
      <c r="C75" s="32">
        <f t="shared" si="232"/>
        <v>0</v>
      </c>
      <c r="D75" s="32">
        <f t="shared" si="233"/>
        <v>0</v>
      </c>
      <c r="E75" s="93" t="str">
        <f t="shared" si="234"/>
        <v/>
      </c>
      <c r="F75" s="94" t="str">
        <f t="shared" si="235"/>
        <v/>
      </c>
      <c r="G75" s="95">
        <f t="shared" si="236"/>
        <v>0</v>
      </c>
      <c r="H75" s="96" t="str">
        <f t="array" ref="H75">IFERROR(XLOOKUP($A75,'Gastos Admon'!$A$7:$A171,INDIRECT($B$9)),"")</f>
        <v/>
      </c>
      <c r="I75" s="97" t="str">
        <f t="array" ref="I75">IFERROR(XLOOKUP($A75,'Gastos Admon'!$A$7:$A171,INDIRECT($C$9)),"")</f>
        <v/>
      </c>
      <c r="J75" s="98">
        <f t="shared" si="237"/>
        <v>0</v>
      </c>
      <c r="K75" s="99" t="str">
        <f t="shared" si="238"/>
        <v/>
      </c>
      <c r="L75" s="100" t="str">
        <f t="shared" si="239"/>
        <v/>
      </c>
      <c r="M75" s="101">
        <f t="shared" si="240"/>
        <v>0</v>
      </c>
      <c r="N75" s="102" t="str">
        <f t="shared" si="241"/>
        <v/>
      </c>
      <c r="O75" s="103" t="str">
        <f t="shared" si="242"/>
        <v/>
      </c>
      <c r="P75" s="104">
        <f t="shared" si="243"/>
        <v>0</v>
      </c>
      <c r="Q75" s="99" t="str">
        <f t="shared" si="244"/>
        <v/>
      </c>
      <c r="R75" s="100" t="str">
        <f t="shared" si="245"/>
        <v/>
      </c>
      <c r="S75" s="101">
        <f t="shared" si="246"/>
        <v>0</v>
      </c>
      <c r="T75" s="102" t="str">
        <f t="shared" si="247"/>
        <v/>
      </c>
      <c r="U75" s="103" t="str">
        <f t="shared" si="248"/>
        <v/>
      </c>
      <c r="V75" s="104">
        <f t="shared" si="249"/>
        <v>0</v>
      </c>
      <c r="W75" s="99" t="str">
        <f t="shared" si="250"/>
        <v/>
      </c>
      <c r="X75" s="100" t="str">
        <f t="shared" si="251"/>
        <v/>
      </c>
      <c r="Y75" s="101">
        <f t="shared" si="252"/>
        <v>0</v>
      </c>
      <c r="Z75" s="102" t="str">
        <f t="shared" si="253"/>
        <v/>
      </c>
      <c r="AA75" s="103" t="str">
        <f t="shared" si="254"/>
        <v/>
      </c>
      <c r="AB75" s="104">
        <f t="shared" si="255"/>
        <v>0</v>
      </c>
      <c r="AC75" s="99" t="str">
        <f t="shared" si="256"/>
        <v/>
      </c>
      <c r="AD75" s="100" t="str">
        <f t="shared" si="257"/>
        <v/>
      </c>
      <c r="AE75" s="101">
        <f t="shared" si="258"/>
        <v>0</v>
      </c>
      <c r="AF75" s="102" t="str">
        <f t="shared" si="259"/>
        <v/>
      </c>
      <c r="AG75" s="103" t="str">
        <f t="shared" si="260"/>
        <v/>
      </c>
      <c r="AH75" s="104">
        <f t="shared" si="261"/>
        <v>0</v>
      </c>
      <c r="AI75" s="99" t="str">
        <f t="shared" si="262"/>
        <v/>
      </c>
      <c r="AJ75" s="100" t="str">
        <f t="shared" si="263"/>
        <v/>
      </c>
      <c r="AK75" s="101">
        <f t="shared" si="264"/>
        <v>0</v>
      </c>
      <c r="AL75" s="102" t="str">
        <f t="shared" si="265"/>
        <v/>
      </c>
      <c r="AM75" s="103" t="str">
        <f t="shared" si="266"/>
        <v/>
      </c>
      <c r="AN75" s="104">
        <f t="shared" si="267"/>
        <v>0</v>
      </c>
      <c r="AO75" s="99" t="str">
        <f t="shared" si="268"/>
        <v/>
      </c>
      <c r="AP75" s="100" t="str">
        <f t="shared" si="269"/>
        <v/>
      </c>
      <c r="AQ75" s="101">
        <f t="shared" si="270"/>
        <v>0</v>
      </c>
      <c r="AR75" s="102" t="str">
        <f t="shared" si="271"/>
        <v/>
      </c>
      <c r="AS75" s="103" t="str">
        <f t="shared" si="272"/>
        <v/>
      </c>
      <c r="AT75" s="104">
        <f t="shared" si="273"/>
        <v>0</v>
      </c>
      <c r="AU75" s="99" t="str">
        <f t="shared" si="274"/>
        <v/>
      </c>
      <c r="AV75" s="100" t="str">
        <f t="shared" si="275"/>
        <v/>
      </c>
      <c r="AW75" s="101">
        <f t="shared" si="276"/>
        <v>0</v>
      </c>
      <c r="AX75" s="102" t="str">
        <f t="shared" si="277"/>
        <v/>
      </c>
      <c r="AY75" s="103" t="str">
        <f t="shared" si="278"/>
        <v/>
      </c>
      <c r="AZ75" s="104">
        <f t="shared" si="279"/>
        <v>0</v>
      </c>
      <c r="BA75" s="99" t="str">
        <f t="shared" si="280"/>
        <v/>
      </c>
      <c r="BB75" s="100" t="str">
        <f t="shared" si="281"/>
        <v/>
      </c>
      <c r="BC75" s="101">
        <f t="shared" si="282"/>
        <v>0</v>
      </c>
      <c r="BD75" s="102" t="str">
        <f t="shared" si="283"/>
        <v/>
      </c>
      <c r="BE75" s="103" t="str">
        <f t="shared" si="284"/>
        <v/>
      </c>
      <c r="BF75" s="104">
        <f t="shared" si="285"/>
        <v>0</v>
      </c>
      <c r="BG75" s="99" t="str">
        <f t="shared" si="286"/>
        <v/>
      </c>
      <c r="BH75" s="100" t="str">
        <f t="shared" si="287"/>
        <v/>
      </c>
      <c r="BI75" s="101">
        <f t="shared" si="288"/>
        <v>0</v>
      </c>
      <c r="BJ75" s="102" t="str">
        <f t="shared" si="289"/>
        <v/>
      </c>
      <c r="BK75" s="103" t="str">
        <f t="shared" si="290"/>
        <v/>
      </c>
      <c r="BL75" s="104">
        <f t="shared" si="291"/>
        <v>0</v>
      </c>
      <c r="BM75" s="99" t="str">
        <f t="shared" si="292"/>
        <v/>
      </c>
      <c r="BN75" s="100" t="str">
        <f t="shared" si="293"/>
        <v/>
      </c>
      <c r="BO75" s="101">
        <f t="shared" si="294"/>
        <v>0</v>
      </c>
      <c r="BP75" s="102" t="str">
        <f t="shared" si="295"/>
        <v/>
      </c>
      <c r="BQ75" s="103" t="str">
        <f t="shared" si="296"/>
        <v/>
      </c>
      <c r="BR75" s="104">
        <f t="shared" si="297"/>
        <v>0</v>
      </c>
      <c r="BS75" s="99" t="str">
        <f t="shared" si="298"/>
        <v/>
      </c>
      <c r="BT75" s="100" t="str">
        <f t="shared" si="299"/>
        <v/>
      </c>
      <c r="BU75" s="101">
        <f t="shared" si="300"/>
        <v>0</v>
      </c>
      <c r="BV75" s="102" t="str">
        <f t="shared" si="301"/>
        <v/>
      </c>
      <c r="BW75" s="103" t="str">
        <f t="shared" si="302"/>
        <v/>
      </c>
      <c r="BX75" s="104">
        <f t="shared" si="303"/>
        <v>0</v>
      </c>
      <c r="BY75" s="99" t="str">
        <f t="shared" si="304"/>
        <v/>
      </c>
      <c r="BZ75" s="100" t="str">
        <f t="shared" si="305"/>
        <v/>
      </c>
      <c r="CA75" s="101">
        <f t="shared" si="306"/>
        <v>0</v>
      </c>
      <c r="CB75" s="102" t="str">
        <f t="shared" si="307"/>
        <v/>
      </c>
      <c r="CC75" s="103" t="str">
        <f t="shared" si="308"/>
        <v/>
      </c>
      <c r="CD75" s="104">
        <f t="shared" si="309"/>
        <v>0</v>
      </c>
      <c r="CE75" s="99" t="str">
        <f t="shared" si="310"/>
        <v/>
      </c>
      <c r="CF75" s="100" t="str">
        <f t="shared" si="311"/>
        <v/>
      </c>
      <c r="CG75" s="101">
        <f t="shared" si="312"/>
        <v>0</v>
      </c>
      <c r="CH75" s="102" t="str">
        <f t="shared" si="313"/>
        <v/>
      </c>
      <c r="CI75" s="103" t="str">
        <f t="shared" si="314"/>
        <v/>
      </c>
      <c r="CJ75" s="104">
        <f t="shared" si="315"/>
        <v>0</v>
      </c>
      <c r="CK75" s="99" t="str">
        <f t="shared" si="316"/>
        <v/>
      </c>
      <c r="CL75" s="100" t="str">
        <f t="shared" si="317"/>
        <v/>
      </c>
      <c r="CM75" s="101">
        <f t="shared" si="318"/>
        <v>0</v>
      </c>
      <c r="CN75" s="102" t="str">
        <f t="shared" si="319"/>
        <v/>
      </c>
      <c r="CO75" s="103" t="str">
        <f t="shared" si="320"/>
        <v/>
      </c>
      <c r="CP75" s="104">
        <f t="shared" si="321"/>
        <v>0</v>
      </c>
      <c r="CQ75" s="99" t="str">
        <f t="shared" si="322"/>
        <v/>
      </c>
      <c r="CR75" s="100" t="str">
        <f t="shared" si="323"/>
        <v/>
      </c>
      <c r="CS75" s="101">
        <f t="shared" si="324"/>
        <v>0</v>
      </c>
      <c r="CT75" s="102" t="str">
        <f t="shared" si="325"/>
        <v/>
      </c>
      <c r="CU75" s="103" t="str">
        <f t="shared" si="326"/>
        <v/>
      </c>
      <c r="CV75" s="104">
        <f t="shared" si="327"/>
        <v>0</v>
      </c>
      <c r="CW75" s="99" t="str">
        <f t="shared" si="328"/>
        <v/>
      </c>
      <c r="CX75" s="100" t="str">
        <f t="shared" si="329"/>
        <v/>
      </c>
      <c r="CY75" s="101">
        <f t="shared" si="330"/>
        <v>0</v>
      </c>
      <c r="CZ75" s="102" t="str">
        <f t="shared" si="331"/>
        <v/>
      </c>
      <c r="DA75" s="103" t="str">
        <f t="shared" si="332"/>
        <v/>
      </c>
      <c r="DB75" s="104">
        <f t="shared" si="333"/>
        <v>0</v>
      </c>
      <c r="DC75" s="99" t="str">
        <f t="shared" si="334"/>
        <v/>
      </c>
      <c r="DD75" s="100" t="str">
        <f t="shared" si="335"/>
        <v/>
      </c>
      <c r="DE75" s="101">
        <f t="shared" si="336"/>
        <v>0</v>
      </c>
      <c r="DF75" s="102" t="str">
        <f t="shared" si="337"/>
        <v/>
      </c>
      <c r="DG75" s="103" t="str">
        <f t="shared" si="338"/>
        <v/>
      </c>
      <c r="DH75" s="104">
        <f t="shared" si="339"/>
        <v>0</v>
      </c>
      <c r="DI75" s="99" t="str">
        <f t="shared" si="340"/>
        <v/>
      </c>
      <c r="DJ75" s="100" t="str">
        <f t="shared" si="341"/>
        <v/>
      </c>
      <c r="DK75" s="101">
        <f t="shared" si="342"/>
        <v>0</v>
      </c>
      <c r="DL75" s="102" t="str">
        <f t="shared" si="343"/>
        <v/>
      </c>
      <c r="DM75" s="103" t="str">
        <f t="shared" si="344"/>
        <v/>
      </c>
      <c r="DN75" s="104">
        <f t="shared" si="345"/>
        <v>0</v>
      </c>
      <c r="DO75" s="99" t="str">
        <f t="shared" si="346"/>
        <v/>
      </c>
      <c r="DP75" s="100" t="str">
        <f t="shared" si="347"/>
        <v/>
      </c>
      <c r="DQ75" s="101">
        <f t="shared" si="348"/>
        <v>0</v>
      </c>
      <c r="DR75" s="102" t="str">
        <f t="shared" si="349"/>
        <v/>
      </c>
      <c r="DS75" s="103" t="str">
        <f t="shared" si="350"/>
        <v/>
      </c>
      <c r="DT75" s="104">
        <f t="shared" si="351"/>
        <v>0</v>
      </c>
    </row>
    <row r="76" ht="15.75" customHeight="1">
      <c r="A76" s="12" t="str">
        <f>Menus!B36</f>
        <v/>
      </c>
      <c r="B76" s="32">
        <f t="shared" si="231"/>
        <v>0</v>
      </c>
      <c r="C76" s="32">
        <f t="shared" si="232"/>
        <v>0</v>
      </c>
      <c r="D76" s="32">
        <f t="shared" si="233"/>
        <v>0</v>
      </c>
      <c r="E76" s="93" t="str">
        <f t="shared" si="234"/>
        <v/>
      </c>
      <c r="F76" s="94" t="str">
        <f t="shared" si="235"/>
        <v/>
      </c>
      <c r="G76" s="95">
        <f t="shared" si="236"/>
        <v>0</v>
      </c>
      <c r="H76" s="96" t="str">
        <f t="array" ref="H76">IFERROR(XLOOKUP($A76,'Gastos Admon'!$A$7:$A171,INDIRECT($B$9)),"")</f>
        <v/>
      </c>
      <c r="I76" s="97" t="str">
        <f t="array" ref="I76">IFERROR(XLOOKUP($A76,'Gastos Admon'!$A$7:$A171,INDIRECT($C$9)),"")</f>
        <v/>
      </c>
      <c r="J76" s="98">
        <f t="shared" si="237"/>
        <v>0</v>
      </c>
      <c r="K76" s="99" t="str">
        <f t="shared" si="238"/>
        <v/>
      </c>
      <c r="L76" s="100" t="str">
        <f t="shared" si="239"/>
        <v/>
      </c>
      <c r="M76" s="101">
        <f t="shared" si="240"/>
        <v>0</v>
      </c>
      <c r="N76" s="102" t="str">
        <f t="shared" si="241"/>
        <v/>
      </c>
      <c r="O76" s="103" t="str">
        <f t="shared" si="242"/>
        <v/>
      </c>
      <c r="P76" s="104">
        <f t="shared" si="243"/>
        <v>0</v>
      </c>
      <c r="Q76" s="99" t="str">
        <f t="shared" si="244"/>
        <v/>
      </c>
      <c r="R76" s="100" t="str">
        <f t="shared" si="245"/>
        <v/>
      </c>
      <c r="S76" s="101">
        <f t="shared" si="246"/>
        <v>0</v>
      </c>
      <c r="T76" s="102" t="str">
        <f t="shared" si="247"/>
        <v/>
      </c>
      <c r="U76" s="103" t="str">
        <f t="shared" si="248"/>
        <v/>
      </c>
      <c r="V76" s="104">
        <f t="shared" si="249"/>
        <v>0</v>
      </c>
      <c r="W76" s="99" t="str">
        <f t="shared" si="250"/>
        <v/>
      </c>
      <c r="X76" s="100" t="str">
        <f t="shared" si="251"/>
        <v/>
      </c>
      <c r="Y76" s="101">
        <f t="shared" si="252"/>
        <v>0</v>
      </c>
      <c r="Z76" s="102" t="str">
        <f t="shared" si="253"/>
        <v/>
      </c>
      <c r="AA76" s="103" t="str">
        <f t="shared" si="254"/>
        <v/>
      </c>
      <c r="AB76" s="104">
        <f t="shared" si="255"/>
        <v>0</v>
      </c>
      <c r="AC76" s="99" t="str">
        <f t="shared" si="256"/>
        <v/>
      </c>
      <c r="AD76" s="100" t="str">
        <f t="shared" si="257"/>
        <v/>
      </c>
      <c r="AE76" s="101">
        <f t="shared" si="258"/>
        <v>0</v>
      </c>
      <c r="AF76" s="102" t="str">
        <f t="shared" si="259"/>
        <v/>
      </c>
      <c r="AG76" s="103" t="str">
        <f t="shared" si="260"/>
        <v/>
      </c>
      <c r="AH76" s="104">
        <f t="shared" si="261"/>
        <v>0</v>
      </c>
      <c r="AI76" s="99" t="str">
        <f t="shared" si="262"/>
        <v/>
      </c>
      <c r="AJ76" s="100" t="str">
        <f t="shared" si="263"/>
        <v/>
      </c>
      <c r="AK76" s="101">
        <f t="shared" si="264"/>
        <v>0</v>
      </c>
      <c r="AL76" s="102" t="str">
        <f t="shared" si="265"/>
        <v/>
      </c>
      <c r="AM76" s="103" t="str">
        <f t="shared" si="266"/>
        <v/>
      </c>
      <c r="AN76" s="104">
        <f t="shared" si="267"/>
        <v>0</v>
      </c>
      <c r="AO76" s="99" t="str">
        <f t="shared" si="268"/>
        <v/>
      </c>
      <c r="AP76" s="100" t="str">
        <f t="shared" si="269"/>
        <v/>
      </c>
      <c r="AQ76" s="101">
        <f t="shared" si="270"/>
        <v>0</v>
      </c>
      <c r="AR76" s="102" t="str">
        <f t="shared" si="271"/>
        <v/>
      </c>
      <c r="AS76" s="103" t="str">
        <f t="shared" si="272"/>
        <v/>
      </c>
      <c r="AT76" s="104">
        <f t="shared" si="273"/>
        <v>0</v>
      </c>
      <c r="AU76" s="99" t="str">
        <f t="shared" si="274"/>
        <v/>
      </c>
      <c r="AV76" s="100" t="str">
        <f t="shared" si="275"/>
        <v/>
      </c>
      <c r="AW76" s="101">
        <f t="shared" si="276"/>
        <v>0</v>
      </c>
      <c r="AX76" s="102" t="str">
        <f t="shared" si="277"/>
        <v/>
      </c>
      <c r="AY76" s="103" t="str">
        <f t="shared" si="278"/>
        <v/>
      </c>
      <c r="AZ76" s="104">
        <f t="shared" si="279"/>
        <v>0</v>
      </c>
      <c r="BA76" s="99" t="str">
        <f t="shared" si="280"/>
        <v/>
      </c>
      <c r="BB76" s="100" t="str">
        <f t="shared" si="281"/>
        <v/>
      </c>
      <c r="BC76" s="101">
        <f t="shared" si="282"/>
        <v>0</v>
      </c>
      <c r="BD76" s="102" t="str">
        <f t="shared" si="283"/>
        <v/>
      </c>
      <c r="BE76" s="103" t="str">
        <f t="shared" si="284"/>
        <v/>
      </c>
      <c r="BF76" s="104">
        <f t="shared" si="285"/>
        <v>0</v>
      </c>
      <c r="BG76" s="99" t="str">
        <f t="shared" si="286"/>
        <v/>
      </c>
      <c r="BH76" s="100" t="str">
        <f t="shared" si="287"/>
        <v/>
      </c>
      <c r="BI76" s="101">
        <f t="shared" si="288"/>
        <v>0</v>
      </c>
      <c r="BJ76" s="102" t="str">
        <f t="shared" si="289"/>
        <v/>
      </c>
      <c r="BK76" s="103" t="str">
        <f t="shared" si="290"/>
        <v/>
      </c>
      <c r="BL76" s="104">
        <f t="shared" si="291"/>
        <v>0</v>
      </c>
      <c r="BM76" s="99" t="str">
        <f t="shared" si="292"/>
        <v/>
      </c>
      <c r="BN76" s="100" t="str">
        <f t="shared" si="293"/>
        <v/>
      </c>
      <c r="BO76" s="101">
        <f t="shared" si="294"/>
        <v>0</v>
      </c>
      <c r="BP76" s="102" t="str">
        <f t="shared" si="295"/>
        <v/>
      </c>
      <c r="BQ76" s="103" t="str">
        <f t="shared" si="296"/>
        <v/>
      </c>
      <c r="BR76" s="104">
        <f t="shared" si="297"/>
        <v>0</v>
      </c>
      <c r="BS76" s="99" t="str">
        <f t="shared" si="298"/>
        <v/>
      </c>
      <c r="BT76" s="100" t="str">
        <f t="shared" si="299"/>
        <v/>
      </c>
      <c r="BU76" s="101">
        <f t="shared" si="300"/>
        <v>0</v>
      </c>
      <c r="BV76" s="102" t="str">
        <f t="shared" si="301"/>
        <v/>
      </c>
      <c r="BW76" s="103" t="str">
        <f t="shared" si="302"/>
        <v/>
      </c>
      <c r="BX76" s="104">
        <f t="shared" si="303"/>
        <v>0</v>
      </c>
      <c r="BY76" s="99" t="str">
        <f t="shared" si="304"/>
        <v/>
      </c>
      <c r="BZ76" s="100" t="str">
        <f t="shared" si="305"/>
        <v/>
      </c>
      <c r="CA76" s="101">
        <f t="shared" si="306"/>
        <v>0</v>
      </c>
      <c r="CB76" s="102" t="str">
        <f t="shared" si="307"/>
        <v/>
      </c>
      <c r="CC76" s="103" t="str">
        <f t="shared" si="308"/>
        <v/>
      </c>
      <c r="CD76" s="104">
        <f t="shared" si="309"/>
        <v>0</v>
      </c>
      <c r="CE76" s="99" t="str">
        <f t="shared" si="310"/>
        <v/>
      </c>
      <c r="CF76" s="100" t="str">
        <f t="shared" si="311"/>
        <v/>
      </c>
      <c r="CG76" s="101">
        <f t="shared" si="312"/>
        <v>0</v>
      </c>
      <c r="CH76" s="102" t="str">
        <f t="shared" si="313"/>
        <v/>
      </c>
      <c r="CI76" s="103" t="str">
        <f t="shared" si="314"/>
        <v/>
      </c>
      <c r="CJ76" s="104">
        <f t="shared" si="315"/>
        <v>0</v>
      </c>
      <c r="CK76" s="99" t="str">
        <f t="shared" si="316"/>
        <v/>
      </c>
      <c r="CL76" s="100" t="str">
        <f t="shared" si="317"/>
        <v/>
      </c>
      <c r="CM76" s="101">
        <f t="shared" si="318"/>
        <v>0</v>
      </c>
      <c r="CN76" s="102" t="str">
        <f t="shared" si="319"/>
        <v/>
      </c>
      <c r="CO76" s="103" t="str">
        <f t="shared" si="320"/>
        <v/>
      </c>
      <c r="CP76" s="104">
        <f t="shared" si="321"/>
        <v>0</v>
      </c>
      <c r="CQ76" s="99" t="str">
        <f t="shared" si="322"/>
        <v/>
      </c>
      <c r="CR76" s="100" t="str">
        <f t="shared" si="323"/>
        <v/>
      </c>
      <c r="CS76" s="101">
        <f t="shared" si="324"/>
        <v>0</v>
      </c>
      <c r="CT76" s="102" t="str">
        <f t="shared" si="325"/>
        <v/>
      </c>
      <c r="CU76" s="103" t="str">
        <f t="shared" si="326"/>
        <v/>
      </c>
      <c r="CV76" s="104">
        <f t="shared" si="327"/>
        <v>0</v>
      </c>
      <c r="CW76" s="99" t="str">
        <f t="shared" si="328"/>
        <v/>
      </c>
      <c r="CX76" s="100" t="str">
        <f t="shared" si="329"/>
        <v/>
      </c>
      <c r="CY76" s="101">
        <f t="shared" si="330"/>
        <v>0</v>
      </c>
      <c r="CZ76" s="102" t="str">
        <f t="shared" si="331"/>
        <v/>
      </c>
      <c r="DA76" s="103" t="str">
        <f t="shared" si="332"/>
        <v/>
      </c>
      <c r="DB76" s="104">
        <f t="shared" si="333"/>
        <v>0</v>
      </c>
      <c r="DC76" s="99" t="str">
        <f t="shared" si="334"/>
        <v/>
      </c>
      <c r="DD76" s="100" t="str">
        <f t="shared" si="335"/>
        <v/>
      </c>
      <c r="DE76" s="101">
        <f t="shared" si="336"/>
        <v>0</v>
      </c>
      <c r="DF76" s="102" t="str">
        <f t="shared" si="337"/>
        <v/>
      </c>
      <c r="DG76" s="103" t="str">
        <f t="shared" si="338"/>
        <v/>
      </c>
      <c r="DH76" s="104">
        <f t="shared" si="339"/>
        <v>0</v>
      </c>
      <c r="DI76" s="99" t="str">
        <f t="shared" si="340"/>
        <v/>
      </c>
      <c r="DJ76" s="100" t="str">
        <f t="shared" si="341"/>
        <v/>
      </c>
      <c r="DK76" s="101">
        <f t="shared" si="342"/>
        <v>0</v>
      </c>
      <c r="DL76" s="102" t="str">
        <f t="shared" si="343"/>
        <v/>
      </c>
      <c r="DM76" s="103" t="str">
        <f t="shared" si="344"/>
        <v/>
      </c>
      <c r="DN76" s="104">
        <f t="shared" si="345"/>
        <v>0</v>
      </c>
      <c r="DO76" s="99" t="str">
        <f t="shared" si="346"/>
        <v/>
      </c>
      <c r="DP76" s="100" t="str">
        <f t="shared" si="347"/>
        <v/>
      </c>
      <c r="DQ76" s="101">
        <f t="shared" si="348"/>
        <v>0</v>
      </c>
      <c r="DR76" s="102" t="str">
        <f t="shared" si="349"/>
        <v/>
      </c>
      <c r="DS76" s="103" t="str">
        <f t="shared" si="350"/>
        <v/>
      </c>
      <c r="DT76" s="104">
        <f t="shared" si="351"/>
        <v>0</v>
      </c>
    </row>
    <row r="77" ht="15.75" customHeight="1">
      <c r="A77" s="12" t="str">
        <f>Menus!B37</f>
        <v/>
      </c>
      <c r="B77" s="32">
        <f t="shared" si="231"/>
        <v>0</v>
      </c>
      <c r="C77" s="32">
        <f t="shared" si="232"/>
        <v>0</v>
      </c>
      <c r="D77" s="32">
        <f t="shared" si="233"/>
        <v>0</v>
      </c>
      <c r="E77" s="93" t="str">
        <f t="shared" si="234"/>
        <v/>
      </c>
      <c r="F77" s="94" t="str">
        <f t="shared" si="235"/>
        <v/>
      </c>
      <c r="G77" s="95">
        <f t="shared" si="236"/>
        <v>0</v>
      </c>
      <c r="H77" s="96" t="str">
        <f t="array" ref="H77">IFERROR(XLOOKUP($A77,'Gastos Admon'!$A$7:$A171,INDIRECT($B$9)),"")</f>
        <v/>
      </c>
      <c r="I77" s="97" t="str">
        <f t="array" ref="I77">IFERROR(XLOOKUP($A77,'Gastos Admon'!$A$7:$A171,INDIRECT($C$9)),"")</f>
        <v/>
      </c>
      <c r="J77" s="98">
        <f t="shared" si="237"/>
        <v>0</v>
      </c>
      <c r="K77" s="99" t="str">
        <f t="shared" si="238"/>
        <v/>
      </c>
      <c r="L77" s="100" t="str">
        <f t="shared" si="239"/>
        <v/>
      </c>
      <c r="M77" s="101">
        <f t="shared" si="240"/>
        <v>0</v>
      </c>
      <c r="N77" s="102" t="str">
        <f t="shared" si="241"/>
        <v/>
      </c>
      <c r="O77" s="103" t="str">
        <f t="shared" si="242"/>
        <v/>
      </c>
      <c r="P77" s="104">
        <f t="shared" si="243"/>
        <v>0</v>
      </c>
      <c r="Q77" s="99" t="str">
        <f t="shared" si="244"/>
        <v/>
      </c>
      <c r="R77" s="100" t="str">
        <f t="shared" si="245"/>
        <v/>
      </c>
      <c r="S77" s="101">
        <f t="shared" si="246"/>
        <v>0</v>
      </c>
      <c r="T77" s="102" t="str">
        <f t="shared" si="247"/>
        <v/>
      </c>
      <c r="U77" s="103" t="str">
        <f t="shared" si="248"/>
        <v/>
      </c>
      <c r="V77" s="104">
        <f t="shared" si="249"/>
        <v>0</v>
      </c>
      <c r="W77" s="99" t="str">
        <f t="shared" si="250"/>
        <v/>
      </c>
      <c r="X77" s="100" t="str">
        <f t="shared" si="251"/>
        <v/>
      </c>
      <c r="Y77" s="101">
        <f t="shared" si="252"/>
        <v>0</v>
      </c>
      <c r="Z77" s="102" t="str">
        <f t="shared" si="253"/>
        <v/>
      </c>
      <c r="AA77" s="103" t="str">
        <f t="shared" si="254"/>
        <v/>
      </c>
      <c r="AB77" s="104">
        <f t="shared" si="255"/>
        <v>0</v>
      </c>
      <c r="AC77" s="99" t="str">
        <f t="shared" si="256"/>
        <v/>
      </c>
      <c r="AD77" s="100" t="str">
        <f t="shared" si="257"/>
        <v/>
      </c>
      <c r="AE77" s="101">
        <f t="shared" si="258"/>
        <v>0</v>
      </c>
      <c r="AF77" s="102" t="str">
        <f t="shared" si="259"/>
        <v/>
      </c>
      <c r="AG77" s="103" t="str">
        <f t="shared" si="260"/>
        <v/>
      </c>
      <c r="AH77" s="104">
        <f t="shared" si="261"/>
        <v>0</v>
      </c>
      <c r="AI77" s="99" t="str">
        <f t="shared" si="262"/>
        <v/>
      </c>
      <c r="AJ77" s="100" t="str">
        <f t="shared" si="263"/>
        <v/>
      </c>
      <c r="AK77" s="101">
        <f t="shared" si="264"/>
        <v>0</v>
      </c>
      <c r="AL77" s="102" t="str">
        <f t="shared" si="265"/>
        <v/>
      </c>
      <c r="AM77" s="103" t="str">
        <f t="shared" si="266"/>
        <v/>
      </c>
      <c r="AN77" s="104">
        <f t="shared" si="267"/>
        <v>0</v>
      </c>
      <c r="AO77" s="99" t="str">
        <f t="shared" si="268"/>
        <v/>
      </c>
      <c r="AP77" s="100" t="str">
        <f t="shared" si="269"/>
        <v/>
      </c>
      <c r="AQ77" s="101">
        <f t="shared" si="270"/>
        <v>0</v>
      </c>
      <c r="AR77" s="102" t="str">
        <f t="shared" si="271"/>
        <v/>
      </c>
      <c r="AS77" s="103" t="str">
        <f t="shared" si="272"/>
        <v/>
      </c>
      <c r="AT77" s="104">
        <f t="shared" si="273"/>
        <v>0</v>
      </c>
      <c r="AU77" s="99" t="str">
        <f t="shared" si="274"/>
        <v/>
      </c>
      <c r="AV77" s="100" t="str">
        <f t="shared" si="275"/>
        <v/>
      </c>
      <c r="AW77" s="101">
        <f t="shared" si="276"/>
        <v>0</v>
      </c>
      <c r="AX77" s="102" t="str">
        <f t="shared" si="277"/>
        <v/>
      </c>
      <c r="AY77" s="103" t="str">
        <f t="shared" si="278"/>
        <v/>
      </c>
      <c r="AZ77" s="104">
        <f t="shared" si="279"/>
        <v>0</v>
      </c>
      <c r="BA77" s="99" t="str">
        <f t="shared" si="280"/>
        <v/>
      </c>
      <c r="BB77" s="100" t="str">
        <f t="shared" si="281"/>
        <v/>
      </c>
      <c r="BC77" s="101">
        <f t="shared" si="282"/>
        <v>0</v>
      </c>
      <c r="BD77" s="102" t="str">
        <f t="shared" si="283"/>
        <v/>
      </c>
      <c r="BE77" s="103" t="str">
        <f t="shared" si="284"/>
        <v/>
      </c>
      <c r="BF77" s="104">
        <f t="shared" si="285"/>
        <v>0</v>
      </c>
      <c r="BG77" s="99" t="str">
        <f t="shared" si="286"/>
        <v/>
      </c>
      <c r="BH77" s="100" t="str">
        <f t="shared" si="287"/>
        <v/>
      </c>
      <c r="BI77" s="101">
        <f t="shared" si="288"/>
        <v>0</v>
      </c>
      <c r="BJ77" s="102" t="str">
        <f t="shared" si="289"/>
        <v/>
      </c>
      <c r="BK77" s="103" t="str">
        <f t="shared" si="290"/>
        <v/>
      </c>
      <c r="BL77" s="104">
        <f t="shared" si="291"/>
        <v>0</v>
      </c>
      <c r="BM77" s="99" t="str">
        <f t="shared" si="292"/>
        <v/>
      </c>
      <c r="BN77" s="100" t="str">
        <f t="shared" si="293"/>
        <v/>
      </c>
      <c r="BO77" s="101">
        <f t="shared" si="294"/>
        <v>0</v>
      </c>
      <c r="BP77" s="102" t="str">
        <f t="shared" si="295"/>
        <v/>
      </c>
      <c r="BQ77" s="103" t="str">
        <f t="shared" si="296"/>
        <v/>
      </c>
      <c r="BR77" s="104">
        <f t="shared" si="297"/>
        <v>0</v>
      </c>
      <c r="BS77" s="99" t="str">
        <f t="shared" si="298"/>
        <v/>
      </c>
      <c r="BT77" s="100" t="str">
        <f t="shared" si="299"/>
        <v/>
      </c>
      <c r="BU77" s="101">
        <f t="shared" si="300"/>
        <v>0</v>
      </c>
      <c r="BV77" s="102" t="str">
        <f t="shared" si="301"/>
        <v/>
      </c>
      <c r="BW77" s="103" t="str">
        <f t="shared" si="302"/>
        <v/>
      </c>
      <c r="BX77" s="104">
        <f t="shared" si="303"/>
        <v>0</v>
      </c>
      <c r="BY77" s="99" t="str">
        <f t="shared" si="304"/>
        <v/>
      </c>
      <c r="BZ77" s="100" t="str">
        <f t="shared" si="305"/>
        <v/>
      </c>
      <c r="CA77" s="101">
        <f t="shared" si="306"/>
        <v>0</v>
      </c>
      <c r="CB77" s="102" t="str">
        <f t="shared" si="307"/>
        <v/>
      </c>
      <c r="CC77" s="103" t="str">
        <f t="shared" si="308"/>
        <v/>
      </c>
      <c r="CD77" s="104">
        <f t="shared" si="309"/>
        <v>0</v>
      </c>
      <c r="CE77" s="99" t="str">
        <f t="shared" si="310"/>
        <v/>
      </c>
      <c r="CF77" s="100" t="str">
        <f t="shared" si="311"/>
        <v/>
      </c>
      <c r="CG77" s="101">
        <f t="shared" si="312"/>
        <v>0</v>
      </c>
      <c r="CH77" s="102" t="str">
        <f t="shared" si="313"/>
        <v/>
      </c>
      <c r="CI77" s="103" t="str">
        <f t="shared" si="314"/>
        <v/>
      </c>
      <c r="CJ77" s="104">
        <f t="shared" si="315"/>
        <v>0</v>
      </c>
      <c r="CK77" s="99" t="str">
        <f t="shared" si="316"/>
        <v/>
      </c>
      <c r="CL77" s="100" t="str">
        <f t="shared" si="317"/>
        <v/>
      </c>
      <c r="CM77" s="101">
        <f t="shared" si="318"/>
        <v>0</v>
      </c>
      <c r="CN77" s="102" t="str">
        <f t="shared" si="319"/>
        <v/>
      </c>
      <c r="CO77" s="103" t="str">
        <f t="shared" si="320"/>
        <v/>
      </c>
      <c r="CP77" s="104">
        <f t="shared" si="321"/>
        <v>0</v>
      </c>
      <c r="CQ77" s="99" t="str">
        <f t="shared" si="322"/>
        <v/>
      </c>
      <c r="CR77" s="100" t="str">
        <f t="shared" si="323"/>
        <v/>
      </c>
      <c r="CS77" s="101">
        <f t="shared" si="324"/>
        <v>0</v>
      </c>
      <c r="CT77" s="102" t="str">
        <f t="shared" si="325"/>
        <v/>
      </c>
      <c r="CU77" s="103" t="str">
        <f t="shared" si="326"/>
        <v/>
      </c>
      <c r="CV77" s="104">
        <f t="shared" si="327"/>
        <v>0</v>
      </c>
      <c r="CW77" s="99" t="str">
        <f t="shared" si="328"/>
        <v/>
      </c>
      <c r="CX77" s="100" t="str">
        <f t="shared" si="329"/>
        <v/>
      </c>
      <c r="CY77" s="101">
        <f t="shared" si="330"/>
        <v>0</v>
      </c>
      <c r="CZ77" s="102" t="str">
        <f t="shared" si="331"/>
        <v/>
      </c>
      <c r="DA77" s="103" t="str">
        <f t="shared" si="332"/>
        <v/>
      </c>
      <c r="DB77" s="104">
        <f t="shared" si="333"/>
        <v>0</v>
      </c>
      <c r="DC77" s="99" t="str">
        <f t="shared" si="334"/>
        <v/>
      </c>
      <c r="DD77" s="100" t="str">
        <f t="shared" si="335"/>
        <v/>
      </c>
      <c r="DE77" s="101">
        <f t="shared" si="336"/>
        <v>0</v>
      </c>
      <c r="DF77" s="102" t="str">
        <f t="shared" si="337"/>
        <v/>
      </c>
      <c r="DG77" s="103" t="str">
        <f t="shared" si="338"/>
        <v/>
      </c>
      <c r="DH77" s="104">
        <f t="shared" si="339"/>
        <v>0</v>
      </c>
      <c r="DI77" s="99" t="str">
        <f t="shared" si="340"/>
        <v/>
      </c>
      <c r="DJ77" s="100" t="str">
        <f t="shared" si="341"/>
        <v/>
      </c>
      <c r="DK77" s="101">
        <f t="shared" si="342"/>
        <v>0</v>
      </c>
      <c r="DL77" s="102" t="str">
        <f t="shared" si="343"/>
        <v/>
      </c>
      <c r="DM77" s="103" t="str">
        <f t="shared" si="344"/>
        <v/>
      </c>
      <c r="DN77" s="104">
        <f t="shared" si="345"/>
        <v>0</v>
      </c>
      <c r="DO77" s="99" t="str">
        <f t="shared" si="346"/>
        <v/>
      </c>
      <c r="DP77" s="100" t="str">
        <f t="shared" si="347"/>
        <v/>
      </c>
      <c r="DQ77" s="101">
        <f t="shared" si="348"/>
        <v>0</v>
      </c>
      <c r="DR77" s="102" t="str">
        <f t="shared" si="349"/>
        <v/>
      </c>
      <c r="DS77" s="103" t="str">
        <f t="shared" si="350"/>
        <v/>
      </c>
      <c r="DT77" s="104">
        <f t="shared" si="351"/>
        <v>0</v>
      </c>
    </row>
    <row r="78" ht="15.75" customHeight="1">
      <c r="A78" s="12" t="str">
        <f>Menus!B38</f>
        <v/>
      </c>
      <c r="B78" s="32">
        <f t="shared" si="231"/>
        <v>0</v>
      </c>
      <c r="C78" s="32">
        <f t="shared" si="232"/>
        <v>0</v>
      </c>
      <c r="D78" s="32">
        <f t="shared" si="233"/>
        <v>0</v>
      </c>
      <c r="E78" s="93" t="str">
        <f t="shared" si="234"/>
        <v/>
      </c>
      <c r="F78" s="94" t="str">
        <f t="shared" si="235"/>
        <v/>
      </c>
      <c r="G78" s="95">
        <f t="shared" si="236"/>
        <v>0</v>
      </c>
      <c r="H78" s="96" t="str">
        <f t="array" ref="H78">IFERROR(XLOOKUP($A78,'Gastos Admon'!$A$7:$A171,INDIRECT($B$9)),"")</f>
        <v/>
      </c>
      <c r="I78" s="97" t="str">
        <f t="array" ref="I78">IFERROR(XLOOKUP($A78,'Gastos Admon'!$A$7:$A171,INDIRECT($C$9)),"")</f>
        <v/>
      </c>
      <c r="J78" s="98">
        <f t="shared" si="237"/>
        <v>0</v>
      </c>
      <c r="K78" s="99" t="str">
        <f t="shared" si="238"/>
        <v/>
      </c>
      <c r="L78" s="100" t="str">
        <f t="shared" si="239"/>
        <v/>
      </c>
      <c r="M78" s="101">
        <f t="shared" si="240"/>
        <v>0</v>
      </c>
      <c r="N78" s="102" t="str">
        <f t="shared" si="241"/>
        <v/>
      </c>
      <c r="O78" s="103" t="str">
        <f t="shared" si="242"/>
        <v/>
      </c>
      <c r="P78" s="104">
        <f t="shared" si="243"/>
        <v>0</v>
      </c>
      <c r="Q78" s="99" t="str">
        <f t="shared" si="244"/>
        <v/>
      </c>
      <c r="R78" s="100" t="str">
        <f t="shared" si="245"/>
        <v/>
      </c>
      <c r="S78" s="101">
        <f t="shared" si="246"/>
        <v>0</v>
      </c>
      <c r="T78" s="102" t="str">
        <f t="shared" si="247"/>
        <v/>
      </c>
      <c r="U78" s="103" t="str">
        <f t="shared" si="248"/>
        <v/>
      </c>
      <c r="V78" s="104">
        <f t="shared" si="249"/>
        <v>0</v>
      </c>
      <c r="W78" s="99" t="str">
        <f t="shared" si="250"/>
        <v/>
      </c>
      <c r="X78" s="100" t="str">
        <f t="shared" si="251"/>
        <v/>
      </c>
      <c r="Y78" s="101">
        <f t="shared" si="252"/>
        <v>0</v>
      </c>
      <c r="Z78" s="102" t="str">
        <f t="shared" si="253"/>
        <v/>
      </c>
      <c r="AA78" s="103" t="str">
        <f t="shared" si="254"/>
        <v/>
      </c>
      <c r="AB78" s="104">
        <f t="shared" si="255"/>
        <v>0</v>
      </c>
      <c r="AC78" s="99" t="str">
        <f t="shared" si="256"/>
        <v/>
      </c>
      <c r="AD78" s="100" t="str">
        <f t="shared" si="257"/>
        <v/>
      </c>
      <c r="AE78" s="101">
        <f t="shared" si="258"/>
        <v>0</v>
      </c>
      <c r="AF78" s="102" t="str">
        <f t="shared" si="259"/>
        <v/>
      </c>
      <c r="AG78" s="103" t="str">
        <f t="shared" si="260"/>
        <v/>
      </c>
      <c r="AH78" s="104">
        <f t="shared" si="261"/>
        <v>0</v>
      </c>
      <c r="AI78" s="99" t="str">
        <f t="shared" si="262"/>
        <v/>
      </c>
      <c r="AJ78" s="100" t="str">
        <f t="shared" si="263"/>
        <v/>
      </c>
      <c r="AK78" s="101">
        <f t="shared" si="264"/>
        <v>0</v>
      </c>
      <c r="AL78" s="102" t="str">
        <f t="shared" si="265"/>
        <v/>
      </c>
      <c r="AM78" s="103" t="str">
        <f t="shared" si="266"/>
        <v/>
      </c>
      <c r="AN78" s="104">
        <f t="shared" si="267"/>
        <v>0</v>
      </c>
      <c r="AO78" s="99" t="str">
        <f t="shared" si="268"/>
        <v/>
      </c>
      <c r="AP78" s="100" t="str">
        <f t="shared" si="269"/>
        <v/>
      </c>
      <c r="AQ78" s="101">
        <f t="shared" si="270"/>
        <v>0</v>
      </c>
      <c r="AR78" s="102" t="str">
        <f t="shared" si="271"/>
        <v/>
      </c>
      <c r="AS78" s="103" t="str">
        <f t="shared" si="272"/>
        <v/>
      </c>
      <c r="AT78" s="104">
        <f t="shared" si="273"/>
        <v>0</v>
      </c>
      <c r="AU78" s="99" t="str">
        <f t="shared" si="274"/>
        <v/>
      </c>
      <c r="AV78" s="100" t="str">
        <f t="shared" si="275"/>
        <v/>
      </c>
      <c r="AW78" s="101">
        <f t="shared" si="276"/>
        <v>0</v>
      </c>
      <c r="AX78" s="102" t="str">
        <f t="shared" si="277"/>
        <v/>
      </c>
      <c r="AY78" s="103" t="str">
        <f t="shared" si="278"/>
        <v/>
      </c>
      <c r="AZ78" s="104">
        <f t="shared" si="279"/>
        <v>0</v>
      </c>
      <c r="BA78" s="99" t="str">
        <f t="shared" si="280"/>
        <v/>
      </c>
      <c r="BB78" s="100" t="str">
        <f t="shared" si="281"/>
        <v/>
      </c>
      <c r="BC78" s="101">
        <f t="shared" si="282"/>
        <v>0</v>
      </c>
      <c r="BD78" s="102" t="str">
        <f t="shared" si="283"/>
        <v/>
      </c>
      <c r="BE78" s="103" t="str">
        <f t="shared" si="284"/>
        <v/>
      </c>
      <c r="BF78" s="104">
        <f t="shared" si="285"/>
        <v>0</v>
      </c>
      <c r="BG78" s="99" t="str">
        <f t="shared" si="286"/>
        <v/>
      </c>
      <c r="BH78" s="100" t="str">
        <f t="shared" si="287"/>
        <v/>
      </c>
      <c r="BI78" s="101">
        <f t="shared" si="288"/>
        <v>0</v>
      </c>
      <c r="BJ78" s="102" t="str">
        <f t="shared" si="289"/>
        <v/>
      </c>
      <c r="BK78" s="103" t="str">
        <f t="shared" si="290"/>
        <v/>
      </c>
      <c r="BL78" s="104">
        <f t="shared" si="291"/>
        <v>0</v>
      </c>
      <c r="BM78" s="99" t="str">
        <f t="shared" si="292"/>
        <v/>
      </c>
      <c r="BN78" s="100" t="str">
        <f t="shared" si="293"/>
        <v/>
      </c>
      <c r="BO78" s="101">
        <f t="shared" si="294"/>
        <v>0</v>
      </c>
      <c r="BP78" s="102" t="str">
        <f t="shared" si="295"/>
        <v/>
      </c>
      <c r="BQ78" s="103" t="str">
        <f t="shared" si="296"/>
        <v/>
      </c>
      <c r="BR78" s="104">
        <f t="shared" si="297"/>
        <v>0</v>
      </c>
      <c r="BS78" s="99" t="str">
        <f t="shared" si="298"/>
        <v/>
      </c>
      <c r="BT78" s="100" t="str">
        <f t="shared" si="299"/>
        <v/>
      </c>
      <c r="BU78" s="101">
        <f t="shared" si="300"/>
        <v>0</v>
      </c>
      <c r="BV78" s="102" t="str">
        <f t="shared" si="301"/>
        <v/>
      </c>
      <c r="BW78" s="103" t="str">
        <f t="shared" si="302"/>
        <v/>
      </c>
      <c r="BX78" s="104">
        <f t="shared" si="303"/>
        <v>0</v>
      </c>
      <c r="BY78" s="99" t="str">
        <f t="shared" si="304"/>
        <v/>
      </c>
      <c r="BZ78" s="100" t="str">
        <f t="shared" si="305"/>
        <v/>
      </c>
      <c r="CA78" s="101">
        <f t="shared" si="306"/>
        <v>0</v>
      </c>
      <c r="CB78" s="102" t="str">
        <f t="shared" si="307"/>
        <v/>
      </c>
      <c r="CC78" s="103" t="str">
        <f t="shared" si="308"/>
        <v/>
      </c>
      <c r="CD78" s="104">
        <f t="shared" si="309"/>
        <v>0</v>
      </c>
      <c r="CE78" s="99" t="str">
        <f t="shared" si="310"/>
        <v/>
      </c>
      <c r="CF78" s="100" t="str">
        <f t="shared" si="311"/>
        <v/>
      </c>
      <c r="CG78" s="101">
        <f t="shared" si="312"/>
        <v>0</v>
      </c>
      <c r="CH78" s="102" t="str">
        <f t="shared" si="313"/>
        <v/>
      </c>
      <c r="CI78" s="103" t="str">
        <f t="shared" si="314"/>
        <v/>
      </c>
      <c r="CJ78" s="104">
        <f t="shared" si="315"/>
        <v>0</v>
      </c>
      <c r="CK78" s="99" t="str">
        <f t="shared" si="316"/>
        <v/>
      </c>
      <c r="CL78" s="100" t="str">
        <f t="shared" si="317"/>
        <v/>
      </c>
      <c r="CM78" s="101">
        <f t="shared" si="318"/>
        <v>0</v>
      </c>
      <c r="CN78" s="102" t="str">
        <f t="shared" si="319"/>
        <v/>
      </c>
      <c r="CO78" s="103" t="str">
        <f t="shared" si="320"/>
        <v/>
      </c>
      <c r="CP78" s="104">
        <f t="shared" si="321"/>
        <v>0</v>
      </c>
      <c r="CQ78" s="99" t="str">
        <f t="shared" si="322"/>
        <v/>
      </c>
      <c r="CR78" s="100" t="str">
        <f t="shared" si="323"/>
        <v/>
      </c>
      <c r="CS78" s="101">
        <f t="shared" si="324"/>
        <v>0</v>
      </c>
      <c r="CT78" s="102" t="str">
        <f t="shared" si="325"/>
        <v/>
      </c>
      <c r="CU78" s="103" t="str">
        <f t="shared" si="326"/>
        <v/>
      </c>
      <c r="CV78" s="104">
        <f t="shared" si="327"/>
        <v>0</v>
      </c>
      <c r="CW78" s="99" t="str">
        <f t="shared" si="328"/>
        <v/>
      </c>
      <c r="CX78" s="100" t="str">
        <f t="shared" si="329"/>
        <v/>
      </c>
      <c r="CY78" s="101">
        <f t="shared" si="330"/>
        <v>0</v>
      </c>
      <c r="CZ78" s="102" t="str">
        <f t="shared" si="331"/>
        <v/>
      </c>
      <c r="DA78" s="103" t="str">
        <f t="shared" si="332"/>
        <v/>
      </c>
      <c r="DB78" s="104">
        <f t="shared" si="333"/>
        <v>0</v>
      </c>
      <c r="DC78" s="99" t="str">
        <f t="shared" si="334"/>
        <v/>
      </c>
      <c r="DD78" s="100" t="str">
        <f t="shared" si="335"/>
        <v/>
      </c>
      <c r="DE78" s="101">
        <f t="shared" si="336"/>
        <v>0</v>
      </c>
      <c r="DF78" s="102" t="str">
        <f t="shared" si="337"/>
        <v/>
      </c>
      <c r="DG78" s="103" t="str">
        <f t="shared" si="338"/>
        <v/>
      </c>
      <c r="DH78" s="104">
        <f t="shared" si="339"/>
        <v>0</v>
      </c>
      <c r="DI78" s="99" t="str">
        <f t="shared" si="340"/>
        <v/>
      </c>
      <c r="DJ78" s="100" t="str">
        <f t="shared" si="341"/>
        <v/>
      </c>
      <c r="DK78" s="101">
        <f t="shared" si="342"/>
        <v>0</v>
      </c>
      <c r="DL78" s="102" t="str">
        <f t="shared" si="343"/>
        <v/>
      </c>
      <c r="DM78" s="103" t="str">
        <f t="shared" si="344"/>
        <v/>
      </c>
      <c r="DN78" s="104">
        <f t="shared" si="345"/>
        <v>0</v>
      </c>
      <c r="DO78" s="99" t="str">
        <f t="shared" si="346"/>
        <v/>
      </c>
      <c r="DP78" s="100" t="str">
        <f t="shared" si="347"/>
        <v/>
      </c>
      <c r="DQ78" s="101">
        <f t="shared" si="348"/>
        <v>0</v>
      </c>
      <c r="DR78" s="102" t="str">
        <f t="shared" si="349"/>
        <v/>
      </c>
      <c r="DS78" s="103" t="str">
        <f t="shared" si="350"/>
        <v/>
      </c>
      <c r="DT78" s="104">
        <f t="shared" si="351"/>
        <v>0</v>
      </c>
    </row>
    <row r="79" ht="15.75" customHeight="1">
      <c r="A79" s="12" t="str">
        <f>Menus!B39</f>
        <v/>
      </c>
      <c r="B79" s="32">
        <f t="shared" si="231"/>
        <v>0</v>
      </c>
      <c r="C79" s="32">
        <f t="shared" si="232"/>
        <v>0</v>
      </c>
      <c r="D79" s="32">
        <f t="shared" si="233"/>
        <v>0</v>
      </c>
      <c r="E79" s="93" t="str">
        <f t="shared" si="234"/>
        <v/>
      </c>
      <c r="F79" s="94" t="str">
        <f t="shared" si="235"/>
        <v/>
      </c>
      <c r="G79" s="95">
        <f t="shared" si="236"/>
        <v>0</v>
      </c>
      <c r="H79" s="96" t="str">
        <f t="array" ref="H79">IFERROR(XLOOKUP($A79,'Gastos Admon'!$A$7:$A171,INDIRECT($B$9)),"")</f>
        <v/>
      </c>
      <c r="I79" s="97" t="str">
        <f t="array" ref="I79">IFERROR(XLOOKUP($A79,'Gastos Admon'!$A$7:$A171,INDIRECT($C$9)),"")</f>
        <v/>
      </c>
      <c r="J79" s="98">
        <f t="shared" si="237"/>
        <v>0</v>
      </c>
      <c r="K79" s="99" t="str">
        <f t="shared" si="238"/>
        <v/>
      </c>
      <c r="L79" s="100" t="str">
        <f t="shared" si="239"/>
        <v/>
      </c>
      <c r="M79" s="101">
        <f t="shared" si="240"/>
        <v>0</v>
      </c>
      <c r="N79" s="102" t="str">
        <f t="shared" si="241"/>
        <v/>
      </c>
      <c r="O79" s="103" t="str">
        <f t="shared" si="242"/>
        <v/>
      </c>
      <c r="P79" s="104">
        <f t="shared" si="243"/>
        <v>0</v>
      </c>
      <c r="Q79" s="99" t="str">
        <f t="shared" si="244"/>
        <v/>
      </c>
      <c r="R79" s="100" t="str">
        <f t="shared" si="245"/>
        <v/>
      </c>
      <c r="S79" s="101">
        <f t="shared" si="246"/>
        <v>0</v>
      </c>
      <c r="T79" s="102" t="str">
        <f t="shared" si="247"/>
        <v/>
      </c>
      <c r="U79" s="103" t="str">
        <f t="shared" si="248"/>
        <v/>
      </c>
      <c r="V79" s="104">
        <f t="shared" si="249"/>
        <v>0</v>
      </c>
      <c r="W79" s="99" t="str">
        <f t="shared" si="250"/>
        <v/>
      </c>
      <c r="X79" s="100" t="str">
        <f t="shared" si="251"/>
        <v/>
      </c>
      <c r="Y79" s="101">
        <f t="shared" si="252"/>
        <v>0</v>
      </c>
      <c r="Z79" s="102" t="str">
        <f t="shared" si="253"/>
        <v/>
      </c>
      <c r="AA79" s="103" t="str">
        <f t="shared" si="254"/>
        <v/>
      </c>
      <c r="AB79" s="104">
        <f t="shared" si="255"/>
        <v>0</v>
      </c>
      <c r="AC79" s="99" t="str">
        <f t="shared" si="256"/>
        <v/>
      </c>
      <c r="AD79" s="100" t="str">
        <f t="shared" si="257"/>
        <v/>
      </c>
      <c r="AE79" s="101">
        <f t="shared" si="258"/>
        <v>0</v>
      </c>
      <c r="AF79" s="102" t="str">
        <f t="shared" si="259"/>
        <v/>
      </c>
      <c r="AG79" s="103" t="str">
        <f t="shared" si="260"/>
        <v/>
      </c>
      <c r="AH79" s="104">
        <f t="shared" si="261"/>
        <v>0</v>
      </c>
      <c r="AI79" s="99" t="str">
        <f t="shared" si="262"/>
        <v/>
      </c>
      <c r="AJ79" s="100" t="str">
        <f t="shared" si="263"/>
        <v/>
      </c>
      <c r="AK79" s="101">
        <f t="shared" si="264"/>
        <v>0</v>
      </c>
      <c r="AL79" s="102" t="str">
        <f t="shared" si="265"/>
        <v/>
      </c>
      <c r="AM79" s="103" t="str">
        <f t="shared" si="266"/>
        <v/>
      </c>
      <c r="AN79" s="104">
        <f t="shared" si="267"/>
        <v>0</v>
      </c>
      <c r="AO79" s="99" t="str">
        <f t="shared" si="268"/>
        <v/>
      </c>
      <c r="AP79" s="100" t="str">
        <f t="shared" si="269"/>
        <v/>
      </c>
      <c r="AQ79" s="101">
        <f t="shared" si="270"/>
        <v>0</v>
      </c>
      <c r="AR79" s="102" t="str">
        <f t="shared" si="271"/>
        <v/>
      </c>
      <c r="AS79" s="103" t="str">
        <f t="shared" si="272"/>
        <v/>
      </c>
      <c r="AT79" s="104">
        <f t="shared" si="273"/>
        <v>0</v>
      </c>
      <c r="AU79" s="99" t="str">
        <f t="shared" si="274"/>
        <v/>
      </c>
      <c r="AV79" s="100" t="str">
        <f t="shared" si="275"/>
        <v/>
      </c>
      <c r="AW79" s="101">
        <f t="shared" si="276"/>
        <v>0</v>
      </c>
      <c r="AX79" s="102" t="str">
        <f t="shared" si="277"/>
        <v/>
      </c>
      <c r="AY79" s="103" t="str">
        <f t="shared" si="278"/>
        <v/>
      </c>
      <c r="AZ79" s="104">
        <f t="shared" si="279"/>
        <v>0</v>
      </c>
      <c r="BA79" s="99" t="str">
        <f t="shared" si="280"/>
        <v/>
      </c>
      <c r="BB79" s="100" t="str">
        <f t="shared" si="281"/>
        <v/>
      </c>
      <c r="BC79" s="101">
        <f t="shared" si="282"/>
        <v>0</v>
      </c>
      <c r="BD79" s="102" t="str">
        <f t="shared" si="283"/>
        <v/>
      </c>
      <c r="BE79" s="103" t="str">
        <f t="shared" si="284"/>
        <v/>
      </c>
      <c r="BF79" s="104">
        <f t="shared" si="285"/>
        <v>0</v>
      </c>
      <c r="BG79" s="99" t="str">
        <f t="shared" si="286"/>
        <v/>
      </c>
      <c r="BH79" s="100" t="str">
        <f t="shared" si="287"/>
        <v/>
      </c>
      <c r="BI79" s="101">
        <f t="shared" si="288"/>
        <v>0</v>
      </c>
      <c r="BJ79" s="102" t="str">
        <f t="shared" si="289"/>
        <v/>
      </c>
      <c r="BK79" s="103" t="str">
        <f t="shared" si="290"/>
        <v/>
      </c>
      <c r="BL79" s="104">
        <f t="shared" si="291"/>
        <v>0</v>
      </c>
      <c r="BM79" s="99" t="str">
        <f t="shared" si="292"/>
        <v/>
      </c>
      <c r="BN79" s="100" t="str">
        <f t="shared" si="293"/>
        <v/>
      </c>
      <c r="BO79" s="101">
        <f t="shared" si="294"/>
        <v>0</v>
      </c>
      <c r="BP79" s="102" t="str">
        <f t="shared" si="295"/>
        <v/>
      </c>
      <c r="BQ79" s="103" t="str">
        <f t="shared" si="296"/>
        <v/>
      </c>
      <c r="BR79" s="104">
        <f t="shared" si="297"/>
        <v>0</v>
      </c>
      <c r="BS79" s="99" t="str">
        <f t="shared" si="298"/>
        <v/>
      </c>
      <c r="BT79" s="100" t="str">
        <f t="shared" si="299"/>
        <v/>
      </c>
      <c r="BU79" s="101">
        <f t="shared" si="300"/>
        <v>0</v>
      </c>
      <c r="BV79" s="102" t="str">
        <f t="shared" si="301"/>
        <v/>
      </c>
      <c r="BW79" s="103" t="str">
        <f t="shared" si="302"/>
        <v/>
      </c>
      <c r="BX79" s="104">
        <f t="shared" si="303"/>
        <v>0</v>
      </c>
      <c r="BY79" s="99" t="str">
        <f t="shared" si="304"/>
        <v/>
      </c>
      <c r="BZ79" s="100" t="str">
        <f t="shared" si="305"/>
        <v/>
      </c>
      <c r="CA79" s="101">
        <f t="shared" si="306"/>
        <v>0</v>
      </c>
      <c r="CB79" s="102" t="str">
        <f t="shared" si="307"/>
        <v/>
      </c>
      <c r="CC79" s="103" t="str">
        <f t="shared" si="308"/>
        <v/>
      </c>
      <c r="CD79" s="104">
        <f t="shared" si="309"/>
        <v>0</v>
      </c>
      <c r="CE79" s="99" t="str">
        <f t="shared" si="310"/>
        <v/>
      </c>
      <c r="CF79" s="100" t="str">
        <f t="shared" si="311"/>
        <v/>
      </c>
      <c r="CG79" s="101">
        <f t="shared" si="312"/>
        <v>0</v>
      </c>
      <c r="CH79" s="102" t="str">
        <f t="shared" si="313"/>
        <v/>
      </c>
      <c r="CI79" s="103" t="str">
        <f t="shared" si="314"/>
        <v/>
      </c>
      <c r="CJ79" s="104">
        <f t="shared" si="315"/>
        <v>0</v>
      </c>
      <c r="CK79" s="99" t="str">
        <f t="shared" si="316"/>
        <v/>
      </c>
      <c r="CL79" s="100" t="str">
        <f t="shared" si="317"/>
        <v/>
      </c>
      <c r="CM79" s="101">
        <f t="shared" si="318"/>
        <v>0</v>
      </c>
      <c r="CN79" s="102" t="str">
        <f t="shared" si="319"/>
        <v/>
      </c>
      <c r="CO79" s="103" t="str">
        <f t="shared" si="320"/>
        <v/>
      </c>
      <c r="CP79" s="104">
        <f t="shared" si="321"/>
        <v>0</v>
      </c>
      <c r="CQ79" s="99" t="str">
        <f t="shared" si="322"/>
        <v/>
      </c>
      <c r="CR79" s="100" t="str">
        <f t="shared" si="323"/>
        <v/>
      </c>
      <c r="CS79" s="101">
        <f t="shared" si="324"/>
        <v>0</v>
      </c>
      <c r="CT79" s="102" t="str">
        <f t="shared" si="325"/>
        <v/>
      </c>
      <c r="CU79" s="103" t="str">
        <f t="shared" si="326"/>
        <v/>
      </c>
      <c r="CV79" s="104">
        <f t="shared" si="327"/>
        <v>0</v>
      </c>
      <c r="CW79" s="99" t="str">
        <f t="shared" si="328"/>
        <v/>
      </c>
      <c r="CX79" s="100" t="str">
        <f t="shared" si="329"/>
        <v/>
      </c>
      <c r="CY79" s="101">
        <f t="shared" si="330"/>
        <v>0</v>
      </c>
      <c r="CZ79" s="102" t="str">
        <f t="shared" si="331"/>
        <v/>
      </c>
      <c r="DA79" s="103" t="str">
        <f t="shared" si="332"/>
        <v/>
      </c>
      <c r="DB79" s="104">
        <f t="shared" si="333"/>
        <v>0</v>
      </c>
      <c r="DC79" s="99" t="str">
        <f t="shared" si="334"/>
        <v/>
      </c>
      <c r="DD79" s="100" t="str">
        <f t="shared" si="335"/>
        <v/>
      </c>
      <c r="DE79" s="101">
        <f t="shared" si="336"/>
        <v>0</v>
      </c>
      <c r="DF79" s="102" t="str">
        <f t="shared" si="337"/>
        <v/>
      </c>
      <c r="DG79" s="103" t="str">
        <f t="shared" si="338"/>
        <v/>
      </c>
      <c r="DH79" s="104">
        <f t="shared" si="339"/>
        <v>0</v>
      </c>
      <c r="DI79" s="99" t="str">
        <f t="shared" si="340"/>
        <v/>
      </c>
      <c r="DJ79" s="100" t="str">
        <f t="shared" si="341"/>
        <v/>
      </c>
      <c r="DK79" s="101">
        <f t="shared" si="342"/>
        <v>0</v>
      </c>
      <c r="DL79" s="102" t="str">
        <f t="shared" si="343"/>
        <v/>
      </c>
      <c r="DM79" s="103" t="str">
        <f t="shared" si="344"/>
        <v/>
      </c>
      <c r="DN79" s="104">
        <f t="shared" si="345"/>
        <v>0</v>
      </c>
      <c r="DO79" s="99" t="str">
        <f t="shared" si="346"/>
        <v/>
      </c>
      <c r="DP79" s="100" t="str">
        <f t="shared" si="347"/>
        <v/>
      </c>
      <c r="DQ79" s="101">
        <f t="shared" si="348"/>
        <v>0</v>
      </c>
      <c r="DR79" s="102" t="str">
        <f t="shared" si="349"/>
        <v/>
      </c>
      <c r="DS79" s="103" t="str">
        <f t="shared" si="350"/>
        <v/>
      </c>
      <c r="DT79" s="104">
        <f t="shared" si="351"/>
        <v>0</v>
      </c>
    </row>
    <row r="80" ht="15.75" customHeight="1">
      <c r="A80" s="12" t="str">
        <f>Menus!B40</f>
        <v/>
      </c>
      <c r="B80" s="32">
        <f t="shared" si="231"/>
        <v>0</v>
      </c>
      <c r="C80" s="32">
        <f t="shared" si="232"/>
        <v>0</v>
      </c>
      <c r="D80" s="32">
        <f t="shared" si="233"/>
        <v>0</v>
      </c>
      <c r="E80" s="93" t="str">
        <f t="shared" si="234"/>
        <v/>
      </c>
      <c r="F80" s="94" t="str">
        <f t="shared" si="235"/>
        <v/>
      </c>
      <c r="G80" s="95">
        <f t="shared" si="236"/>
        <v>0</v>
      </c>
      <c r="H80" s="96" t="str">
        <f t="array" ref="H80">IFERROR(XLOOKUP($A80,'Gastos Admon'!$A$7:$A171,INDIRECT($B$9)),"")</f>
        <v/>
      </c>
      <c r="I80" s="97" t="str">
        <f t="array" ref="I80">IFERROR(XLOOKUP($A80,'Gastos Admon'!$A$7:$A171,INDIRECT($C$9)),"")</f>
        <v/>
      </c>
      <c r="J80" s="98">
        <f t="shared" si="237"/>
        <v>0</v>
      </c>
      <c r="K80" s="99" t="str">
        <f t="shared" si="238"/>
        <v/>
      </c>
      <c r="L80" s="100" t="str">
        <f t="shared" si="239"/>
        <v/>
      </c>
      <c r="M80" s="101">
        <f t="shared" si="240"/>
        <v>0</v>
      </c>
      <c r="N80" s="102" t="str">
        <f t="shared" si="241"/>
        <v/>
      </c>
      <c r="O80" s="103" t="str">
        <f t="shared" si="242"/>
        <v/>
      </c>
      <c r="P80" s="104">
        <f t="shared" si="243"/>
        <v>0</v>
      </c>
      <c r="Q80" s="99" t="str">
        <f t="shared" si="244"/>
        <v/>
      </c>
      <c r="R80" s="100" t="str">
        <f t="shared" si="245"/>
        <v/>
      </c>
      <c r="S80" s="101">
        <f t="shared" si="246"/>
        <v>0</v>
      </c>
      <c r="T80" s="102" t="str">
        <f t="shared" si="247"/>
        <v/>
      </c>
      <c r="U80" s="103" t="str">
        <f t="shared" si="248"/>
        <v/>
      </c>
      <c r="V80" s="104">
        <f t="shared" si="249"/>
        <v>0</v>
      </c>
      <c r="W80" s="99" t="str">
        <f t="shared" si="250"/>
        <v/>
      </c>
      <c r="X80" s="100" t="str">
        <f t="shared" si="251"/>
        <v/>
      </c>
      <c r="Y80" s="101">
        <f t="shared" si="252"/>
        <v>0</v>
      </c>
      <c r="Z80" s="102" t="str">
        <f t="shared" si="253"/>
        <v/>
      </c>
      <c r="AA80" s="103" t="str">
        <f t="shared" si="254"/>
        <v/>
      </c>
      <c r="AB80" s="104">
        <f t="shared" si="255"/>
        <v>0</v>
      </c>
      <c r="AC80" s="99" t="str">
        <f t="shared" si="256"/>
        <v/>
      </c>
      <c r="AD80" s="100" t="str">
        <f t="shared" si="257"/>
        <v/>
      </c>
      <c r="AE80" s="101">
        <f t="shared" si="258"/>
        <v>0</v>
      </c>
      <c r="AF80" s="102" t="str">
        <f t="shared" si="259"/>
        <v/>
      </c>
      <c r="AG80" s="103" t="str">
        <f t="shared" si="260"/>
        <v/>
      </c>
      <c r="AH80" s="104">
        <f t="shared" si="261"/>
        <v>0</v>
      </c>
      <c r="AI80" s="99" t="str">
        <f t="shared" si="262"/>
        <v/>
      </c>
      <c r="AJ80" s="100" t="str">
        <f t="shared" si="263"/>
        <v/>
      </c>
      <c r="AK80" s="101">
        <f t="shared" si="264"/>
        <v>0</v>
      </c>
      <c r="AL80" s="102" t="str">
        <f t="shared" si="265"/>
        <v/>
      </c>
      <c r="AM80" s="103" t="str">
        <f t="shared" si="266"/>
        <v/>
      </c>
      <c r="AN80" s="104">
        <f t="shared" si="267"/>
        <v>0</v>
      </c>
      <c r="AO80" s="99" t="str">
        <f t="shared" si="268"/>
        <v/>
      </c>
      <c r="AP80" s="100" t="str">
        <f t="shared" si="269"/>
        <v/>
      </c>
      <c r="AQ80" s="101">
        <f t="shared" si="270"/>
        <v>0</v>
      </c>
      <c r="AR80" s="102" t="str">
        <f t="shared" si="271"/>
        <v/>
      </c>
      <c r="AS80" s="103" t="str">
        <f t="shared" si="272"/>
        <v/>
      </c>
      <c r="AT80" s="104">
        <f t="shared" si="273"/>
        <v>0</v>
      </c>
      <c r="AU80" s="99" t="str">
        <f t="shared" si="274"/>
        <v/>
      </c>
      <c r="AV80" s="100" t="str">
        <f t="shared" si="275"/>
        <v/>
      </c>
      <c r="AW80" s="101">
        <f t="shared" si="276"/>
        <v>0</v>
      </c>
      <c r="AX80" s="102" t="str">
        <f t="shared" si="277"/>
        <v/>
      </c>
      <c r="AY80" s="103" t="str">
        <f t="shared" si="278"/>
        <v/>
      </c>
      <c r="AZ80" s="104">
        <f t="shared" si="279"/>
        <v>0</v>
      </c>
      <c r="BA80" s="99" t="str">
        <f t="shared" si="280"/>
        <v/>
      </c>
      <c r="BB80" s="100" t="str">
        <f t="shared" si="281"/>
        <v/>
      </c>
      <c r="BC80" s="101">
        <f t="shared" si="282"/>
        <v>0</v>
      </c>
      <c r="BD80" s="102" t="str">
        <f t="shared" si="283"/>
        <v/>
      </c>
      <c r="BE80" s="103" t="str">
        <f t="shared" si="284"/>
        <v/>
      </c>
      <c r="BF80" s="104">
        <f t="shared" si="285"/>
        <v>0</v>
      </c>
      <c r="BG80" s="99" t="str">
        <f t="shared" si="286"/>
        <v/>
      </c>
      <c r="BH80" s="100" t="str">
        <f t="shared" si="287"/>
        <v/>
      </c>
      <c r="BI80" s="101">
        <f t="shared" si="288"/>
        <v>0</v>
      </c>
      <c r="BJ80" s="102" t="str">
        <f t="shared" si="289"/>
        <v/>
      </c>
      <c r="BK80" s="103" t="str">
        <f t="shared" si="290"/>
        <v/>
      </c>
      <c r="BL80" s="104">
        <f t="shared" si="291"/>
        <v>0</v>
      </c>
      <c r="BM80" s="99" t="str">
        <f t="shared" si="292"/>
        <v/>
      </c>
      <c r="BN80" s="100" t="str">
        <f t="shared" si="293"/>
        <v/>
      </c>
      <c r="BO80" s="101">
        <f t="shared" si="294"/>
        <v>0</v>
      </c>
      <c r="BP80" s="102" t="str">
        <f t="shared" si="295"/>
        <v/>
      </c>
      <c r="BQ80" s="103" t="str">
        <f t="shared" si="296"/>
        <v/>
      </c>
      <c r="BR80" s="104">
        <f t="shared" si="297"/>
        <v>0</v>
      </c>
      <c r="BS80" s="99" t="str">
        <f t="shared" si="298"/>
        <v/>
      </c>
      <c r="BT80" s="100" t="str">
        <f t="shared" si="299"/>
        <v/>
      </c>
      <c r="BU80" s="101">
        <f t="shared" si="300"/>
        <v>0</v>
      </c>
      <c r="BV80" s="102" t="str">
        <f t="shared" si="301"/>
        <v/>
      </c>
      <c r="BW80" s="103" t="str">
        <f t="shared" si="302"/>
        <v/>
      </c>
      <c r="BX80" s="104">
        <f t="shared" si="303"/>
        <v>0</v>
      </c>
      <c r="BY80" s="99" t="str">
        <f t="shared" si="304"/>
        <v/>
      </c>
      <c r="BZ80" s="100" t="str">
        <f t="shared" si="305"/>
        <v/>
      </c>
      <c r="CA80" s="101">
        <f t="shared" si="306"/>
        <v>0</v>
      </c>
      <c r="CB80" s="102" t="str">
        <f t="shared" si="307"/>
        <v/>
      </c>
      <c r="CC80" s="103" t="str">
        <f t="shared" si="308"/>
        <v/>
      </c>
      <c r="CD80" s="104">
        <f t="shared" si="309"/>
        <v>0</v>
      </c>
      <c r="CE80" s="99" t="str">
        <f t="shared" si="310"/>
        <v/>
      </c>
      <c r="CF80" s="100" t="str">
        <f t="shared" si="311"/>
        <v/>
      </c>
      <c r="CG80" s="101">
        <f t="shared" si="312"/>
        <v>0</v>
      </c>
      <c r="CH80" s="102" t="str">
        <f t="shared" si="313"/>
        <v/>
      </c>
      <c r="CI80" s="103" t="str">
        <f t="shared" si="314"/>
        <v/>
      </c>
      <c r="CJ80" s="104">
        <f t="shared" si="315"/>
        <v>0</v>
      </c>
      <c r="CK80" s="99" t="str">
        <f t="shared" si="316"/>
        <v/>
      </c>
      <c r="CL80" s="100" t="str">
        <f t="shared" si="317"/>
        <v/>
      </c>
      <c r="CM80" s="101">
        <f t="shared" si="318"/>
        <v>0</v>
      </c>
      <c r="CN80" s="102" t="str">
        <f t="shared" si="319"/>
        <v/>
      </c>
      <c r="CO80" s="103" t="str">
        <f t="shared" si="320"/>
        <v/>
      </c>
      <c r="CP80" s="104">
        <f t="shared" si="321"/>
        <v>0</v>
      </c>
      <c r="CQ80" s="99" t="str">
        <f t="shared" si="322"/>
        <v/>
      </c>
      <c r="CR80" s="100" t="str">
        <f t="shared" si="323"/>
        <v/>
      </c>
      <c r="CS80" s="101">
        <f t="shared" si="324"/>
        <v>0</v>
      </c>
      <c r="CT80" s="102" t="str">
        <f t="shared" si="325"/>
        <v/>
      </c>
      <c r="CU80" s="103" t="str">
        <f t="shared" si="326"/>
        <v/>
      </c>
      <c r="CV80" s="104">
        <f t="shared" si="327"/>
        <v>0</v>
      </c>
      <c r="CW80" s="99" t="str">
        <f t="shared" si="328"/>
        <v/>
      </c>
      <c r="CX80" s="100" t="str">
        <f t="shared" si="329"/>
        <v/>
      </c>
      <c r="CY80" s="101">
        <f t="shared" si="330"/>
        <v>0</v>
      </c>
      <c r="CZ80" s="102" t="str">
        <f t="shared" si="331"/>
        <v/>
      </c>
      <c r="DA80" s="103" t="str">
        <f t="shared" si="332"/>
        <v/>
      </c>
      <c r="DB80" s="104">
        <f t="shared" si="333"/>
        <v>0</v>
      </c>
      <c r="DC80" s="99" t="str">
        <f t="shared" si="334"/>
        <v/>
      </c>
      <c r="DD80" s="100" t="str">
        <f t="shared" si="335"/>
        <v/>
      </c>
      <c r="DE80" s="101">
        <f t="shared" si="336"/>
        <v>0</v>
      </c>
      <c r="DF80" s="102" t="str">
        <f t="shared" si="337"/>
        <v/>
      </c>
      <c r="DG80" s="103" t="str">
        <f t="shared" si="338"/>
        <v/>
      </c>
      <c r="DH80" s="104">
        <f t="shared" si="339"/>
        <v>0</v>
      </c>
      <c r="DI80" s="99" t="str">
        <f t="shared" si="340"/>
        <v/>
      </c>
      <c r="DJ80" s="100" t="str">
        <f t="shared" si="341"/>
        <v/>
      </c>
      <c r="DK80" s="101">
        <f t="shared" si="342"/>
        <v>0</v>
      </c>
      <c r="DL80" s="102" t="str">
        <f t="shared" si="343"/>
        <v/>
      </c>
      <c r="DM80" s="103" t="str">
        <f t="shared" si="344"/>
        <v/>
      </c>
      <c r="DN80" s="104">
        <f t="shared" si="345"/>
        <v>0</v>
      </c>
      <c r="DO80" s="99" t="str">
        <f t="shared" si="346"/>
        <v/>
      </c>
      <c r="DP80" s="100" t="str">
        <f t="shared" si="347"/>
        <v/>
      </c>
      <c r="DQ80" s="101">
        <f t="shared" si="348"/>
        <v>0</v>
      </c>
      <c r="DR80" s="102" t="str">
        <f t="shared" si="349"/>
        <v/>
      </c>
      <c r="DS80" s="103" t="str">
        <f t="shared" si="350"/>
        <v/>
      </c>
      <c r="DT80" s="104">
        <f t="shared" si="351"/>
        <v>0</v>
      </c>
    </row>
    <row r="81" ht="15.75" customHeight="1">
      <c r="A81" s="12" t="str">
        <f>Menus!B41</f>
        <v/>
      </c>
      <c r="B81" s="32">
        <f t="shared" si="231"/>
        <v>0</v>
      </c>
      <c r="C81" s="32">
        <f t="shared" si="232"/>
        <v>0</v>
      </c>
      <c r="D81" s="32">
        <f t="shared" si="233"/>
        <v>0</v>
      </c>
      <c r="E81" s="93" t="str">
        <f t="shared" si="234"/>
        <v/>
      </c>
      <c r="F81" s="94" t="str">
        <f t="shared" si="235"/>
        <v/>
      </c>
      <c r="G81" s="95">
        <f t="shared" si="236"/>
        <v>0</v>
      </c>
      <c r="H81" s="96" t="str">
        <f t="array" ref="H81">IFERROR(XLOOKUP($A81,'Gastos Admon'!$A$7:$A171,INDIRECT($B$9)),"")</f>
        <v/>
      </c>
      <c r="I81" s="97" t="str">
        <f t="array" ref="I81">IFERROR(XLOOKUP($A81,'Gastos Admon'!$A$7:$A171,INDIRECT($C$9)),"")</f>
        <v/>
      </c>
      <c r="J81" s="98">
        <f t="shared" si="237"/>
        <v>0</v>
      </c>
      <c r="K81" s="99" t="str">
        <f t="shared" si="238"/>
        <v/>
      </c>
      <c r="L81" s="100" t="str">
        <f t="shared" si="239"/>
        <v/>
      </c>
      <c r="M81" s="101">
        <f t="shared" si="240"/>
        <v>0</v>
      </c>
      <c r="N81" s="102" t="str">
        <f t="shared" si="241"/>
        <v/>
      </c>
      <c r="O81" s="103" t="str">
        <f t="shared" si="242"/>
        <v/>
      </c>
      <c r="P81" s="104">
        <f t="shared" si="243"/>
        <v>0</v>
      </c>
      <c r="Q81" s="99" t="str">
        <f t="shared" si="244"/>
        <v/>
      </c>
      <c r="R81" s="100" t="str">
        <f t="shared" si="245"/>
        <v/>
      </c>
      <c r="S81" s="101">
        <f t="shared" si="246"/>
        <v>0</v>
      </c>
      <c r="T81" s="102" t="str">
        <f t="shared" si="247"/>
        <v/>
      </c>
      <c r="U81" s="103" t="str">
        <f t="shared" si="248"/>
        <v/>
      </c>
      <c r="V81" s="104">
        <f t="shared" si="249"/>
        <v>0</v>
      </c>
      <c r="W81" s="99" t="str">
        <f t="shared" si="250"/>
        <v/>
      </c>
      <c r="X81" s="100" t="str">
        <f t="shared" si="251"/>
        <v/>
      </c>
      <c r="Y81" s="101">
        <f t="shared" si="252"/>
        <v>0</v>
      </c>
      <c r="Z81" s="102" t="str">
        <f t="shared" si="253"/>
        <v/>
      </c>
      <c r="AA81" s="103" t="str">
        <f t="shared" si="254"/>
        <v/>
      </c>
      <c r="AB81" s="104">
        <f t="shared" si="255"/>
        <v>0</v>
      </c>
      <c r="AC81" s="99" t="str">
        <f t="shared" si="256"/>
        <v/>
      </c>
      <c r="AD81" s="100" t="str">
        <f t="shared" si="257"/>
        <v/>
      </c>
      <c r="AE81" s="101">
        <f t="shared" si="258"/>
        <v>0</v>
      </c>
      <c r="AF81" s="102" t="str">
        <f t="shared" si="259"/>
        <v/>
      </c>
      <c r="AG81" s="103" t="str">
        <f t="shared" si="260"/>
        <v/>
      </c>
      <c r="AH81" s="104">
        <f t="shared" si="261"/>
        <v>0</v>
      </c>
      <c r="AI81" s="99" t="str">
        <f t="shared" si="262"/>
        <v/>
      </c>
      <c r="AJ81" s="100" t="str">
        <f t="shared" si="263"/>
        <v/>
      </c>
      <c r="AK81" s="101">
        <f t="shared" si="264"/>
        <v>0</v>
      </c>
      <c r="AL81" s="102" t="str">
        <f t="shared" si="265"/>
        <v/>
      </c>
      <c r="AM81" s="103" t="str">
        <f t="shared" si="266"/>
        <v/>
      </c>
      <c r="AN81" s="104">
        <f t="shared" si="267"/>
        <v>0</v>
      </c>
      <c r="AO81" s="99" t="str">
        <f t="shared" si="268"/>
        <v/>
      </c>
      <c r="AP81" s="100" t="str">
        <f t="shared" si="269"/>
        <v/>
      </c>
      <c r="AQ81" s="101">
        <f t="shared" si="270"/>
        <v>0</v>
      </c>
      <c r="AR81" s="102" t="str">
        <f t="shared" si="271"/>
        <v/>
      </c>
      <c r="AS81" s="103" t="str">
        <f t="shared" si="272"/>
        <v/>
      </c>
      <c r="AT81" s="104">
        <f t="shared" si="273"/>
        <v>0</v>
      </c>
      <c r="AU81" s="99" t="str">
        <f t="shared" si="274"/>
        <v/>
      </c>
      <c r="AV81" s="100" t="str">
        <f t="shared" si="275"/>
        <v/>
      </c>
      <c r="AW81" s="101">
        <f t="shared" si="276"/>
        <v>0</v>
      </c>
      <c r="AX81" s="102" t="str">
        <f t="shared" si="277"/>
        <v/>
      </c>
      <c r="AY81" s="103" t="str">
        <f t="shared" si="278"/>
        <v/>
      </c>
      <c r="AZ81" s="104">
        <f t="shared" si="279"/>
        <v>0</v>
      </c>
      <c r="BA81" s="99" t="str">
        <f t="shared" si="280"/>
        <v/>
      </c>
      <c r="BB81" s="100" t="str">
        <f t="shared" si="281"/>
        <v/>
      </c>
      <c r="BC81" s="101">
        <f t="shared" si="282"/>
        <v>0</v>
      </c>
      <c r="BD81" s="102" t="str">
        <f t="shared" si="283"/>
        <v/>
      </c>
      <c r="BE81" s="103" t="str">
        <f t="shared" si="284"/>
        <v/>
      </c>
      <c r="BF81" s="104">
        <f t="shared" si="285"/>
        <v>0</v>
      </c>
      <c r="BG81" s="99" t="str">
        <f t="shared" si="286"/>
        <v/>
      </c>
      <c r="BH81" s="100" t="str">
        <f t="shared" si="287"/>
        <v/>
      </c>
      <c r="BI81" s="101">
        <f t="shared" si="288"/>
        <v>0</v>
      </c>
      <c r="BJ81" s="102" t="str">
        <f t="shared" si="289"/>
        <v/>
      </c>
      <c r="BK81" s="103" t="str">
        <f t="shared" si="290"/>
        <v/>
      </c>
      <c r="BL81" s="104">
        <f t="shared" si="291"/>
        <v>0</v>
      </c>
      <c r="BM81" s="99" t="str">
        <f t="shared" si="292"/>
        <v/>
      </c>
      <c r="BN81" s="100" t="str">
        <f t="shared" si="293"/>
        <v/>
      </c>
      <c r="BO81" s="101">
        <f t="shared" si="294"/>
        <v>0</v>
      </c>
      <c r="BP81" s="102" t="str">
        <f t="shared" si="295"/>
        <v/>
      </c>
      <c r="BQ81" s="103" t="str">
        <f t="shared" si="296"/>
        <v/>
      </c>
      <c r="BR81" s="104">
        <f t="shared" si="297"/>
        <v>0</v>
      </c>
      <c r="BS81" s="99" t="str">
        <f t="shared" si="298"/>
        <v/>
      </c>
      <c r="BT81" s="100" t="str">
        <f t="shared" si="299"/>
        <v/>
      </c>
      <c r="BU81" s="101">
        <f t="shared" si="300"/>
        <v>0</v>
      </c>
      <c r="BV81" s="102" t="str">
        <f t="shared" si="301"/>
        <v/>
      </c>
      <c r="BW81" s="103" t="str">
        <f t="shared" si="302"/>
        <v/>
      </c>
      <c r="BX81" s="104">
        <f t="shared" si="303"/>
        <v>0</v>
      </c>
      <c r="BY81" s="99" t="str">
        <f t="shared" si="304"/>
        <v/>
      </c>
      <c r="BZ81" s="100" t="str">
        <f t="shared" si="305"/>
        <v/>
      </c>
      <c r="CA81" s="101">
        <f t="shared" si="306"/>
        <v>0</v>
      </c>
      <c r="CB81" s="102" t="str">
        <f t="shared" si="307"/>
        <v/>
      </c>
      <c r="CC81" s="103" t="str">
        <f t="shared" si="308"/>
        <v/>
      </c>
      <c r="CD81" s="104">
        <f t="shared" si="309"/>
        <v>0</v>
      </c>
      <c r="CE81" s="99" t="str">
        <f t="shared" si="310"/>
        <v/>
      </c>
      <c r="CF81" s="100" t="str">
        <f t="shared" si="311"/>
        <v/>
      </c>
      <c r="CG81" s="101">
        <f t="shared" si="312"/>
        <v>0</v>
      </c>
      <c r="CH81" s="102" t="str">
        <f t="shared" si="313"/>
        <v/>
      </c>
      <c r="CI81" s="103" t="str">
        <f t="shared" si="314"/>
        <v/>
      </c>
      <c r="CJ81" s="104">
        <f t="shared" si="315"/>
        <v>0</v>
      </c>
      <c r="CK81" s="99" t="str">
        <f t="shared" si="316"/>
        <v/>
      </c>
      <c r="CL81" s="100" t="str">
        <f t="shared" si="317"/>
        <v/>
      </c>
      <c r="CM81" s="101">
        <f t="shared" si="318"/>
        <v>0</v>
      </c>
      <c r="CN81" s="102" t="str">
        <f t="shared" si="319"/>
        <v/>
      </c>
      <c r="CO81" s="103" t="str">
        <f t="shared" si="320"/>
        <v/>
      </c>
      <c r="CP81" s="104">
        <f t="shared" si="321"/>
        <v>0</v>
      </c>
      <c r="CQ81" s="99" t="str">
        <f t="shared" si="322"/>
        <v/>
      </c>
      <c r="CR81" s="100" t="str">
        <f t="shared" si="323"/>
        <v/>
      </c>
      <c r="CS81" s="101">
        <f t="shared" si="324"/>
        <v>0</v>
      </c>
      <c r="CT81" s="102" t="str">
        <f t="shared" si="325"/>
        <v/>
      </c>
      <c r="CU81" s="103" t="str">
        <f t="shared" si="326"/>
        <v/>
      </c>
      <c r="CV81" s="104">
        <f t="shared" si="327"/>
        <v>0</v>
      </c>
      <c r="CW81" s="99" t="str">
        <f t="shared" si="328"/>
        <v/>
      </c>
      <c r="CX81" s="100" t="str">
        <f t="shared" si="329"/>
        <v/>
      </c>
      <c r="CY81" s="101">
        <f t="shared" si="330"/>
        <v>0</v>
      </c>
      <c r="CZ81" s="102" t="str">
        <f t="shared" si="331"/>
        <v/>
      </c>
      <c r="DA81" s="103" t="str">
        <f t="shared" si="332"/>
        <v/>
      </c>
      <c r="DB81" s="104">
        <f t="shared" si="333"/>
        <v>0</v>
      </c>
      <c r="DC81" s="99" t="str">
        <f t="shared" si="334"/>
        <v/>
      </c>
      <c r="DD81" s="100" t="str">
        <f t="shared" si="335"/>
        <v/>
      </c>
      <c r="DE81" s="101">
        <f t="shared" si="336"/>
        <v>0</v>
      </c>
      <c r="DF81" s="102" t="str">
        <f t="shared" si="337"/>
        <v/>
      </c>
      <c r="DG81" s="103" t="str">
        <f t="shared" si="338"/>
        <v/>
      </c>
      <c r="DH81" s="104">
        <f t="shared" si="339"/>
        <v>0</v>
      </c>
      <c r="DI81" s="99" t="str">
        <f t="shared" si="340"/>
        <v/>
      </c>
      <c r="DJ81" s="100" t="str">
        <f t="shared" si="341"/>
        <v/>
      </c>
      <c r="DK81" s="101">
        <f t="shared" si="342"/>
        <v>0</v>
      </c>
      <c r="DL81" s="102" t="str">
        <f t="shared" si="343"/>
        <v/>
      </c>
      <c r="DM81" s="103" t="str">
        <f t="shared" si="344"/>
        <v/>
      </c>
      <c r="DN81" s="104">
        <f t="shared" si="345"/>
        <v>0</v>
      </c>
      <c r="DO81" s="99" t="str">
        <f t="shared" si="346"/>
        <v/>
      </c>
      <c r="DP81" s="100" t="str">
        <f t="shared" si="347"/>
        <v/>
      </c>
      <c r="DQ81" s="101">
        <f t="shared" si="348"/>
        <v>0</v>
      </c>
      <c r="DR81" s="102" t="str">
        <f t="shared" si="349"/>
        <v/>
      </c>
      <c r="DS81" s="103" t="str">
        <f t="shared" si="350"/>
        <v/>
      </c>
      <c r="DT81" s="104">
        <f t="shared" si="351"/>
        <v>0</v>
      </c>
    </row>
    <row r="82" ht="15.75" customHeight="1">
      <c r="A82" s="12" t="str">
        <f>Menus!B42</f>
        <v/>
      </c>
      <c r="B82" s="32">
        <f t="shared" si="231"/>
        <v>0</v>
      </c>
      <c r="C82" s="32">
        <f t="shared" si="232"/>
        <v>0</v>
      </c>
      <c r="D82" s="32">
        <f t="shared" si="233"/>
        <v>0</v>
      </c>
      <c r="E82" s="93" t="str">
        <f t="shared" si="234"/>
        <v/>
      </c>
      <c r="F82" s="94" t="str">
        <f t="shared" si="235"/>
        <v/>
      </c>
      <c r="G82" s="95">
        <f t="shared" si="236"/>
        <v>0</v>
      </c>
      <c r="H82" s="96" t="str">
        <f t="array" ref="H82">IFERROR(XLOOKUP($A82,'Gastos Admon'!$A$7:$A171,INDIRECT($B$9)),"")</f>
        <v/>
      </c>
      <c r="I82" s="97" t="str">
        <f t="array" ref="I82">IFERROR(XLOOKUP($A82,'Gastos Admon'!$A$7:$A171,INDIRECT($C$9)),"")</f>
        <v/>
      </c>
      <c r="J82" s="98">
        <f t="shared" si="237"/>
        <v>0</v>
      </c>
      <c r="K82" s="99" t="str">
        <f t="shared" si="238"/>
        <v/>
      </c>
      <c r="L82" s="100" t="str">
        <f t="shared" si="239"/>
        <v/>
      </c>
      <c r="M82" s="101">
        <f t="shared" si="240"/>
        <v>0</v>
      </c>
      <c r="N82" s="102" t="str">
        <f t="shared" si="241"/>
        <v/>
      </c>
      <c r="O82" s="103" t="str">
        <f t="shared" si="242"/>
        <v/>
      </c>
      <c r="P82" s="104">
        <f t="shared" si="243"/>
        <v>0</v>
      </c>
      <c r="Q82" s="99" t="str">
        <f t="shared" si="244"/>
        <v/>
      </c>
      <c r="R82" s="100" t="str">
        <f t="shared" si="245"/>
        <v/>
      </c>
      <c r="S82" s="101">
        <f t="shared" si="246"/>
        <v>0</v>
      </c>
      <c r="T82" s="102" t="str">
        <f t="shared" si="247"/>
        <v/>
      </c>
      <c r="U82" s="103" t="str">
        <f t="shared" si="248"/>
        <v/>
      </c>
      <c r="V82" s="104">
        <f t="shared" si="249"/>
        <v>0</v>
      </c>
      <c r="W82" s="99" t="str">
        <f t="shared" si="250"/>
        <v/>
      </c>
      <c r="X82" s="100" t="str">
        <f t="shared" si="251"/>
        <v/>
      </c>
      <c r="Y82" s="101">
        <f t="shared" si="252"/>
        <v>0</v>
      </c>
      <c r="Z82" s="102" t="str">
        <f t="shared" si="253"/>
        <v/>
      </c>
      <c r="AA82" s="103" t="str">
        <f t="shared" si="254"/>
        <v/>
      </c>
      <c r="AB82" s="104">
        <f t="shared" si="255"/>
        <v>0</v>
      </c>
      <c r="AC82" s="99" t="str">
        <f t="shared" si="256"/>
        <v/>
      </c>
      <c r="AD82" s="100" t="str">
        <f t="shared" si="257"/>
        <v/>
      </c>
      <c r="AE82" s="101">
        <f t="shared" si="258"/>
        <v>0</v>
      </c>
      <c r="AF82" s="102" t="str">
        <f t="shared" si="259"/>
        <v/>
      </c>
      <c r="AG82" s="103" t="str">
        <f t="shared" si="260"/>
        <v/>
      </c>
      <c r="AH82" s="104">
        <f t="shared" si="261"/>
        <v>0</v>
      </c>
      <c r="AI82" s="99" t="str">
        <f t="shared" si="262"/>
        <v/>
      </c>
      <c r="AJ82" s="100" t="str">
        <f t="shared" si="263"/>
        <v/>
      </c>
      <c r="AK82" s="101">
        <f t="shared" si="264"/>
        <v>0</v>
      </c>
      <c r="AL82" s="102" t="str">
        <f t="shared" si="265"/>
        <v/>
      </c>
      <c r="AM82" s="103" t="str">
        <f t="shared" si="266"/>
        <v/>
      </c>
      <c r="AN82" s="104">
        <f t="shared" si="267"/>
        <v>0</v>
      </c>
      <c r="AO82" s="99" t="str">
        <f t="shared" si="268"/>
        <v/>
      </c>
      <c r="AP82" s="100" t="str">
        <f t="shared" si="269"/>
        <v/>
      </c>
      <c r="AQ82" s="101">
        <f t="shared" si="270"/>
        <v>0</v>
      </c>
      <c r="AR82" s="102" t="str">
        <f t="shared" si="271"/>
        <v/>
      </c>
      <c r="AS82" s="103" t="str">
        <f t="shared" si="272"/>
        <v/>
      </c>
      <c r="AT82" s="104">
        <f t="shared" si="273"/>
        <v>0</v>
      </c>
      <c r="AU82" s="99" t="str">
        <f t="shared" si="274"/>
        <v/>
      </c>
      <c r="AV82" s="100" t="str">
        <f t="shared" si="275"/>
        <v/>
      </c>
      <c r="AW82" s="101">
        <f t="shared" si="276"/>
        <v>0</v>
      </c>
      <c r="AX82" s="102" t="str">
        <f t="shared" si="277"/>
        <v/>
      </c>
      <c r="AY82" s="103" t="str">
        <f t="shared" si="278"/>
        <v/>
      </c>
      <c r="AZ82" s="104">
        <f t="shared" si="279"/>
        <v>0</v>
      </c>
      <c r="BA82" s="99" t="str">
        <f t="shared" si="280"/>
        <v/>
      </c>
      <c r="BB82" s="100" t="str">
        <f t="shared" si="281"/>
        <v/>
      </c>
      <c r="BC82" s="101">
        <f t="shared" si="282"/>
        <v>0</v>
      </c>
      <c r="BD82" s="102" t="str">
        <f t="shared" si="283"/>
        <v/>
      </c>
      <c r="BE82" s="103" t="str">
        <f t="shared" si="284"/>
        <v/>
      </c>
      <c r="BF82" s="104">
        <f t="shared" si="285"/>
        <v>0</v>
      </c>
      <c r="BG82" s="99" t="str">
        <f t="shared" si="286"/>
        <v/>
      </c>
      <c r="BH82" s="100" t="str">
        <f t="shared" si="287"/>
        <v/>
      </c>
      <c r="BI82" s="101">
        <f t="shared" si="288"/>
        <v>0</v>
      </c>
      <c r="BJ82" s="102" t="str">
        <f t="shared" si="289"/>
        <v/>
      </c>
      <c r="BK82" s="103" t="str">
        <f t="shared" si="290"/>
        <v/>
      </c>
      <c r="BL82" s="104">
        <f t="shared" si="291"/>
        <v>0</v>
      </c>
      <c r="BM82" s="99" t="str">
        <f t="shared" si="292"/>
        <v/>
      </c>
      <c r="BN82" s="100" t="str">
        <f t="shared" si="293"/>
        <v/>
      </c>
      <c r="BO82" s="101">
        <f t="shared" si="294"/>
        <v>0</v>
      </c>
      <c r="BP82" s="102" t="str">
        <f t="shared" si="295"/>
        <v/>
      </c>
      <c r="BQ82" s="103" t="str">
        <f t="shared" si="296"/>
        <v/>
      </c>
      <c r="BR82" s="104">
        <f t="shared" si="297"/>
        <v>0</v>
      </c>
      <c r="BS82" s="99" t="str">
        <f t="shared" si="298"/>
        <v/>
      </c>
      <c r="BT82" s="100" t="str">
        <f t="shared" si="299"/>
        <v/>
      </c>
      <c r="BU82" s="101">
        <f t="shared" si="300"/>
        <v>0</v>
      </c>
      <c r="BV82" s="102" t="str">
        <f t="shared" si="301"/>
        <v/>
      </c>
      <c r="BW82" s="103" t="str">
        <f t="shared" si="302"/>
        <v/>
      </c>
      <c r="BX82" s="104">
        <f t="shared" si="303"/>
        <v>0</v>
      </c>
      <c r="BY82" s="99" t="str">
        <f t="shared" si="304"/>
        <v/>
      </c>
      <c r="BZ82" s="100" t="str">
        <f t="shared" si="305"/>
        <v/>
      </c>
      <c r="CA82" s="101">
        <f t="shared" si="306"/>
        <v>0</v>
      </c>
      <c r="CB82" s="102" t="str">
        <f t="shared" si="307"/>
        <v/>
      </c>
      <c r="CC82" s="103" t="str">
        <f t="shared" si="308"/>
        <v/>
      </c>
      <c r="CD82" s="104">
        <f t="shared" si="309"/>
        <v>0</v>
      </c>
      <c r="CE82" s="99" t="str">
        <f t="shared" si="310"/>
        <v/>
      </c>
      <c r="CF82" s="100" t="str">
        <f t="shared" si="311"/>
        <v/>
      </c>
      <c r="CG82" s="101">
        <f t="shared" si="312"/>
        <v>0</v>
      </c>
      <c r="CH82" s="102" t="str">
        <f t="shared" si="313"/>
        <v/>
      </c>
      <c r="CI82" s="103" t="str">
        <f t="shared" si="314"/>
        <v/>
      </c>
      <c r="CJ82" s="104">
        <f t="shared" si="315"/>
        <v>0</v>
      </c>
      <c r="CK82" s="99" t="str">
        <f t="shared" si="316"/>
        <v/>
      </c>
      <c r="CL82" s="100" t="str">
        <f t="shared" si="317"/>
        <v/>
      </c>
      <c r="CM82" s="101">
        <f t="shared" si="318"/>
        <v>0</v>
      </c>
      <c r="CN82" s="102" t="str">
        <f t="shared" si="319"/>
        <v/>
      </c>
      <c r="CO82" s="103" t="str">
        <f t="shared" si="320"/>
        <v/>
      </c>
      <c r="CP82" s="104">
        <f t="shared" si="321"/>
        <v>0</v>
      </c>
      <c r="CQ82" s="99" t="str">
        <f t="shared" si="322"/>
        <v/>
      </c>
      <c r="CR82" s="100" t="str">
        <f t="shared" si="323"/>
        <v/>
      </c>
      <c r="CS82" s="101">
        <f t="shared" si="324"/>
        <v>0</v>
      </c>
      <c r="CT82" s="102" t="str">
        <f t="shared" si="325"/>
        <v/>
      </c>
      <c r="CU82" s="103" t="str">
        <f t="shared" si="326"/>
        <v/>
      </c>
      <c r="CV82" s="104">
        <f t="shared" si="327"/>
        <v>0</v>
      </c>
      <c r="CW82" s="99" t="str">
        <f t="shared" si="328"/>
        <v/>
      </c>
      <c r="CX82" s="100" t="str">
        <f t="shared" si="329"/>
        <v/>
      </c>
      <c r="CY82" s="101">
        <f t="shared" si="330"/>
        <v>0</v>
      </c>
      <c r="CZ82" s="102" t="str">
        <f t="shared" si="331"/>
        <v/>
      </c>
      <c r="DA82" s="103" t="str">
        <f t="shared" si="332"/>
        <v/>
      </c>
      <c r="DB82" s="104">
        <f t="shared" si="333"/>
        <v>0</v>
      </c>
      <c r="DC82" s="99" t="str">
        <f t="shared" si="334"/>
        <v/>
      </c>
      <c r="DD82" s="100" t="str">
        <f t="shared" si="335"/>
        <v/>
      </c>
      <c r="DE82" s="101">
        <f t="shared" si="336"/>
        <v>0</v>
      </c>
      <c r="DF82" s="102" t="str">
        <f t="shared" si="337"/>
        <v/>
      </c>
      <c r="DG82" s="103" t="str">
        <f t="shared" si="338"/>
        <v/>
      </c>
      <c r="DH82" s="104">
        <f t="shared" si="339"/>
        <v>0</v>
      </c>
      <c r="DI82" s="99" t="str">
        <f t="shared" si="340"/>
        <v/>
      </c>
      <c r="DJ82" s="100" t="str">
        <f t="shared" si="341"/>
        <v/>
      </c>
      <c r="DK82" s="101">
        <f t="shared" si="342"/>
        <v>0</v>
      </c>
      <c r="DL82" s="102" t="str">
        <f t="shared" si="343"/>
        <v/>
      </c>
      <c r="DM82" s="103" t="str">
        <f t="shared" si="344"/>
        <v/>
      </c>
      <c r="DN82" s="104">
        <f t="shared" si="345"/>
        <v>0</v>
      </c>
      <c r="DO82" s="99" t="str">
        <f t="shared" si="346"/>
        <v/>
      </c>
      <c r="DP82" s="100" t="str">
        <f t="shared" si="347"/>
        <v/>
      </c>
      <c r="DQ82" s="101">
        <f t="shared" si="348"/>
        <v>0</v>
      </c>
      <c r="DR82" s="102" t="str">
        <f t="shared" si="349"/>
        <v/>
      </c>
      <c r="DS82" s="103" t="str">
        <f t="shared" si="350"/>
        <v/>
      </c>
      <c r="DT82" s="104">
        <f t="shared" si="351"/>
        <v>0</v>
      </c>
    </row>
    <row r="83" ht="15.75" customHeight="1">
      <c r="A83" s="12" t="str">
        <f>Menus!B43</f>
        <v/>
      </c>
      <c r="B83" s="32">
        <f t="shared" si="231"/>
        <v>0</v>
      </c>
      <c r="C83" s="32">
        <f t="shared" si="232"/>
        <v>0</v>
      </c>
      <c r="D83" s="32">
        <f t="shared" si="233"/>
        <v>0</v>
      </c>
      <c r="E83" s="93" t="str">
        <f t="shared" si="234"/>
        <v/>
      </c>
      <c r="F83" s="94" t="str">
        <f t="shared" si="235"/>
        <v/>
      </c>
      <c r="G83" s="95">
        <f t="shared" si="236"/>
        <v>0</v>
      </c>
      <c r="H83" s="96" t="str">
        <f t="array" ref="H83">IFERROR(XLOOKUP($A83,'Gastos Admon'!$A$7:$A171,INDIRECT($B$9)),"")</f>
        <v/>
      </c>
      <c r="I83" s="97" t="str">
        <f t="array" ref="I83">IFERROR(XLOOKUP($A83,'Gastos Admon'!$A$7:$A171,INDIRECT($C$9)),"")</f>
        <v/>
      </c>
      <c r="J83" s="98">
        <f t="shared" si="237"/>
        <v>0</v>
      </c>
      <c r="K83" s="99" t="str">
        <f t="shared" si="238"/>
        <v/>
      </c>
      <c r="L83" s="100" t="str">
        <f t="shared" si="239"/>
        <v/>
      </c>
      <c r="M83" s="101">
        <f t="shared" si="240"/>
        <v>0</v>
      </c>
      <c r="N83" s="102" t="str">
        <f t="shared" si="241"/>
        <v/>
      </c>
      <c r="O83" s="103" t="str">
        <f t="shared" si="242"/>
        <v/>
      </c>
      <c r="P83" s="104">
        <f t="shared" si="243"/>
        <v>0</v>
      </c>
      <c r="Q83" s="99" t="str">
        <f t="shared" si="244"/>
        <v/>
      </c>
      <c r="R83" s="100" t="str">
        <f t="shared" si="245"/>
        <v/>
      </c>
      <c r="S83" s="101">
        <f t="shared" si="246"/>
        <v>0</v>
      </c>
      <c r="T83" s="102" t="str">
        <f t="shared" si="247"/>
        <v/>
      </c>
      <c r="U83" s="103" t="str">
        <f t="shared" si="248"/>
        <v/>
      </c>
      <c r="V83" s="104">
        <f t="shared" si="249"/>
        <v>0</v>
      </c>
      <c r="W83" s="99" t="str">
        <f t="shared" si="250"/>
        <v/>
      </c>
      <c r="X83" s="100" t="str">
        <f t="shared" si="251"/>
        <v/>
      </c>
      <c r="Y83" s="101">
        <f t="shared" si="252"/>
        <v>0</v>
      </c>
      <c r="Z83" s="102" t="str">
        <f t="shared" si="253"/>
        <v/>
      </c>
      <c r="AA83" s="103" t="str">
        <f t="shared" si="254"/>
        <v/>
      </c>
      <c r="AB83" s="104">
        <f t="shared" si="255"/>
        <v>0</v>
      </c>
      <c r="AC83" s="99" t="str">
        <f t="shared" si="256"/>
        <v/>
      </c>
      <c r="AD83" s="100" t="str">
        <f t="shared" si="257"/>
        <v/>
      </c>
      <c r="AE83" s="101">
        <f t="shared" si="258"/>
        <v>0</v>
      </c>
      <c r="AF83" s="102" t="str">
        <f t="shared" si="259"/>
        <v/>
      </c>
      <c r="AG83" s="103" t="str">
        <f t="shared" si="260"/>
        <v/>
      </c>
      <c r="AH83" s="104">
        <f t="shared" si="261"/>
        <v>0</v>
      </c>
      <c r="AI83" s="99" t="str">
        <f t="shared" si="262"/>
        <v/>
      </c>
      <c r="AJ83" s="100" t="str">
        <f t="shared" si="263"/>
        <v/>
      </c>
      <c r="AK83" s="101">
        <f t="shared" si="264"/>
        <v>0</v>
      </c>
      <c r="AL83" s="102" t="str">
        <f t="shared" si="265"/>
        <v/>
      </c>
      <c r="AM83" s="103" t="str">
        <f t="shared" si="266"/>
        <v/>
      </c>
      <c r="AN83" s="104">
        <f t="shared" si="267"/>
        <v>0</v>
      </c>
      <c r="AO83" s="99" t="str">
        <f t="shared" si="268"/>
        <v/>
      </c>
      <c r="AP83" s="100" t="str">
        <f t="shared" si="269"/>
        <v/>
      </c>
      <c r="AQ83" s="101">
        <f t="shared" si="270"/>
        <v>0</v>
      </c>
      <c r="AR83" s="102" t="str">
        <f t="shared" si="271"/>
        <v/>
      </c>
      <c r="AS83" s="103" t="str">
        <f t="shared" si="272"/>
        <v/>
      </c>
      <c r="AT83" s="104">
        <f t="shared" si="273"/>
        <v>0</v>
      </c>
      <c r="AU83" s="99" t="str">
        <f t="shared" si="274"/>
        <v/>
      </c>
      <c r="AV83" s="100" t="str">
        <f t="shared" si="275"/>
        <v/>
      </c>
      <c r="AW83" s="101">
        <f t="shared" si="276"/>
        <v>0</v>
      </c>
      <c r="AX83" s="102" t="str">
        <f t="shared" si="277"/>
        <v/>
      </c>
      <c r="AY83" s="103" t="str">
        <f t="shared" si="278"/>
        <v/>
      </c>
      <c r="AZ83" s="104">
        <f t="shared" si="279"/>
        <v>0</v>
      </c>
      <c r="BA83" s="99" t="str">
        <f t="shared" si="280"/>
        <v/>
      </c>
      <c r="BB83" s="100" t="str">
        <f t="shared" si="281"/>
        <v/>
      </c>
      <c r="BC83" s="101">
        <f t="shared" si="282"/>
        <v>0</v>
      </c>
      <c r="BD83" s="102" t="str">
        <f t="shared" si="283"/>
        <v/>
      </c>
      <c r="BE83" s="103" t="str">
        <f t="shared" si="284"/>
        <v/>
      </c>
      <c r="BF83" s="104">
        <f t="shared" si="285"/>
        <v>0</v>
      </c>
      <c r="BG83" s="99" t="str">
        <f t="shared" si="286"/>
        <v/>
      </c>
      <c r="BH83" s="100" t="str">
        <f t="shared" si="287"/>
        <v/>
      </c>
      <c r="BI83" s="101">
        <f t="shared" si="288"/>
        <v>0</v>
      </c>
      <c r="BJ83" s="102" t="str">
        <f t="shared" si="289"/>
        <v/>
      </c>
      <c r="BK83" s="103" t="str">
        <f t="shared" si="290"/>
        <v/>
      </c>
      <c r="BL83" s="104">
        <f t="shared" si="291"/>
        <v>0</v>
      </c>
      <c r="BM83" s="99" t="str">
        <f t="shared" si="292"/>
        <v/>
      </c>
      <c r="BN83" s="100" t="str">
        <f t="shared" si="293"/>
        <v/>
      </c>
      <c r="BO83" s="101">
        <f t="shared" si="294"/>
        <v>0</v>
      </c>
      <c r="BP83" s="102" t="str">
        <f t="shared" si="295"/>
        <v/>
      </c>
      <c r="BQ83" s="103" t="str">
        <f t="shared" si="296"/>
        <v/>
      </c>
      <c r="BR83" s="104">
        <f t="shared" si="297"/>
        <v>0</v>
      </c>
      <c r="BS83" s="99" t="str">
        <f t="shared" si="298"/>
        <v/>
      </c>
      <c r="BT83" s="100" t="str">
        <f t="shared" si="299"/>
        <v/>
      </c>
      <c r="BU83" s="101">
        <f t="shared" si="300"/>
        <v>0</v>
      </c>
      <c r="BV83" s="102" t="str">
        <f t="shared" si="301"/>
        <v/>
      </c>
      <c r="BW83" s="103" t="str">
        <f t="shared" si="302"/>
        <v/>
      </c>
      <c r="BX83" s="104">
        <f t="shared" si="303"/>
        <v>0</v>
      </c>
      <c r="BY83" s="99" t="str">
        <f t="shared" si="304"/>
        <v/>
      </c>
      <c r="BZ83" s="100" t="str">
        <f t="shared" si="305"/>
        <v/>
      </c>
      <c r="CA83" s="101">
        <f t="shared" si="306"/>
        <v>0</v>
      </c>
      <c r="CB83" s="102" t="str">
        <f t="shared" si="307"/>
        <v/>
      </c>
      <c r="CC83" s="103" t="str">
        <f t="shared" si="308"/>
        <v/>
      </c>
      <c r="CD83" s="104">
        <f t="shared" si="309"/>
        <v>0</v>
      </c>
      <c r="CE83" s="99" t="str">
        <f t="shared" si="310"/>
        <v/>
      </c>
      <c r="CF83" s="100" t="str">
        <f t="shared" si="311"/>
        <v/>
      </c>
      <c r="CG83" s="101">
        <f t="shared" si="312"/>
        <v>0</v>
      </c>
      <c r="CH83" s="102" t="str">
        <f t="shared" si="313"/>
        <v/>
      </c>
      <c r="CI83" s="103" t="str">
        <f t="shared" si="314"/>
        <v/>
      </c>
      <c r="CJ83" s="104">
        <f t="shared" si="315"/>
        <v>0</v>
      </c>
      <c r="CK83" s="99" t="str">
        <f t="shared" si="316"/>
        <v/>
      </c>
      <c r="CL83" s="100" t="str">
        <f t="shared" si="317"/>
        <v/>
      </c>
      <c r="CM83" s="101">
        <f t="shared" si="318"/>
        <v>0</v>
      </c>
      <c r="CN83" s="102" t="str">
        <f t="shared" si="319"/>
        <v/>
      </c>
      <c r="CO83" s="103" t="str">
        <f t="shared" si="320"/>
        <v/>
      </c>
      <c r="CP83" s="104">
        <f t="shared" si="321"/>
        <v>0</v>
      </c>
      <c r="CQ83" s="99" t="str">
        <f t="shared" si="322"/>
        <v/>
      </c>
      <c r="CR83" s="100" t="str">
        <f t="shared" si="323"/>
        <v/>
      </c>
      <c r="CS83" s="101">
        <f t="shared" si="324"/>
        <v>0</v>
      </c>
      <c r="CT83" s="102" t="str">
        <f t="shared" si="325"/>
        <v/>
      </c>
      <c r="CU83" s="103" t="str">
        <f t="shared" si="326"/>
        <v/>
      </c>
      <c r="CV83" s="104">
        <f t="shared" si="327"/>
        <v>0</v>
      </c>
      <c r="CW83" s="99" t="str">
        <f t="shared" si="328"/>
        <v/>
      </c>
      <c r="CX83" s="100" t="str">
        <f t="shared" si="329"/>
        <v/>
      </c>
      <c r="CY83" s="101">
        <f t="shared" si="330"/>
        <v>0</v>
      </c>
      <c r="CZ83" s="102" t="str">
        <f t="shared" si="331"/>
        <v/>
      </c>
      <c r="DA83" s="103" t="str">
        <f t="shared" si="332"/>
        <v/>
      </c>
      <c r="DB83" s="104">
        <f t="shared" si="333"/>
        <v>0</v>
      </c>
      <c r="DC83" s="99" t="str">
        <f t="shared" si="334"/>
        <v/>
      </c>
      <c r="DD83" s="100" t="str">
        <f t="shared" si="335"/>
        <v/>
      </c>
      <c r="DE83" s="101">
        <f t="shared" si="336"/>
        <v>0</v>
      </c>
      <c r="DF83" s="102" t="str">
        <f t="shared" si="337"/>
        <v/>
      </c>
      <c r="DG83" s="103" t="str">
        <f t="shared" si="338"/>
        <v/>
      </c>
      <c r="DH83" s="104">
        <f t="shared" si="339"/>
        <v>0</v>
      </c>
      <c r="DI83" s="99" t="str">
        <f t="shared" si="340"/>
        <v/>
      </c>
      <c r="DJ83" s="100" t="str">
        <f t="shared" si="341"/>
        <v/>
      </c>
      <c r="DK83" s="101">
        <f t="shared" si="342"/>
        <v>0</v>
      </c>
      <c r="DL83" s="102" t="str">
        <f t="shared" si="343"/>
        <v/>
      </c>
      <c r="DM83" s="103" t="str">
        <f t="shared" si="344"/>
        <v/>
      </c>
      <c r="DN83" s="104">
        <f t="shared" si="345"/>
        <v>0</v>
      </c>
      <c r="DO83" s="99" t="str">
        <f t="shared" si="346"/>
        <v/>
      </c>
      <c r="DP83" s="100" t="str">
        <f t="shared" si="347"/>
        <v/>
      </c>
      <c r="DQ83" s="101">
        <f t="shared" si="348"/>
        <v>0</v>
      </c>
      <c r="DR83" s="102" t="str">
        <f t="shared" si="349"/>
        <v/>
      </c>
      <c r="DS83" s="103" t="str">
        <f t="shared" si="350"/>
        <v/>
      </c>
      <c r="DT83" s="104">
        <f t="shared" si="351"/>
        <v>0</v>
      </c>
    </row>
    <row r="84" ht="15.75" customHeight="1">
      <c r="A84" s="12" t="str">
        <f>Menus!B44</f>
        <v/>
      </c>
      <c r="B84" s="32">
        <f t="shared" si="231"/>
        <v>0</v>
      </c>
      <c r="C84" s="32">
        <f t="shared" si="232"/>
        <v>0</v>
      </c>
      <c r="D84" s="32">
        <f t="shared" si="233"/>
        <v>0</v>
      </c>
      <c r="E84" s="93" t="str">
        <f t="shared" si="234"/>
        <v/>
      </c>
      <c r="F84" s="94" t="str">
        <f t="shared" si="235"/>
        <v/>
      </c>
      <c r="G84" s="95">
        <f t="shared" si="236"/>
        <v>0</v>
      </c>
      <c r="H84" s="96" t="str">
        <f t="array" ref="H84">IFERROR(XLOOKUP($A84,'Gastos Admon'!$A$7:$A171,INDIRECT($B$9)),"")</f>
        <v/>
      </c>
      <c r="I84" s="97" t="str">
        <f t="array" ref="I84">IFERROR(XLOOKUP($A84,'Gastos Admon'!$A$7:$A171,INDIRECT($C$9)),"")</f>
        <v/>
      </c>
      <c r="J84" s="98">
        <f t="shared" si="237"/>
        <v>0</v>
      </c>
      <c r="K84" s="99" t="str">
        <f t="shared" si="238"/>
        <v/>
      </c>
      <c r="L84" s="100" t="str">
        <f t="shared" si="239"/>
        <v/>
      </c>
      <c r="M84" s="101">
        <f t="shared" si="240"/>
        <v>0</v>
      </c>
      <c r="N84" s="102" t="str">
        <f t="shared" si="241"/>
        <v/>
      </c>
      <c r="O84" s="103" t="str">
        <f t="shared" si="242"/>
        <v/>
      </c>
      <c r="P84" s="104">
        <f t="shared" si="243"/>
        <v>0</v>
      </c>
      <c r="Q84" s="99" t="str">
        <f t="shared" si="244"/>
        <v/>
      </c>
      <c r="R84" s="100" t="str">
        <f t="shared" si="245"/>
        <v/>
      </c>
      <c r="S84" s="101">
        <f t="shared" si="246"/>
        <v>0</v>
      </c>
      <c r="T84" s="102" t="str">
        <f t="shared" si="247"/>
        <v/>
      </c>
      <c r="U84" s="103" t="str">
        <f t="shared" si="248"/>
        <v/>
      </c>
      <c r="V84" s="104">
        <f t="shared" si="249"/>
        <v>0</v>
      </c>
      <c r="W84" s="99" t="str">
        <f t="shared" si="250"/>
        <v/>
      </c>
      <c r="X84" s="100" t="str">
        <f t="shared" si="251"/>
        <v/>
      </c>
      <c r="Y84" s="101">
        <f t="shared" si="252"/>
        <v>0</v>
      </c>
      <c r="Z84" s="102" t="str">
        <f t="shared" si="253"/>
        <v/>
      </c>
      <c r="AA84" s="103" t="str">
        <f t="shared" si="254"/>
        <v/>
      </c>
      <c r="AB84" s="104">
        <f t="shared" si="255"/>
        <v>0</v>
      </c>
      <c r="AC84" s="99" t="str">
        <f t="shared" si="256"/>
        <v/>
      </c>
      <c r="AD84" s="100" t="str">
        <f t="shared" si="257"/>
        <v/>
      </c>
      <c r="AE84" s="101">
        <f t="shared" si="258"/>
        <v>0</v>
      </c>
      <c r="AF84" s="102" t="str">
        <f t="shared" si="259"/>
        <v/>
      </c>
      <c r="AG84" s="103" t="str">
        <f t="shared" si="260"/>
        <v/>
      </c>
      <c r="AH84" s="104">
        <f t="shared" si="261"/>
        <v>0</v>
      </c>
      <c r="AI84" s="99" t="str">
        <f t="shared" si="262"/>
        <v/>
      </c>
      <c r="AJ84" s="100" t="str">
        <f t="shared" si="263"/>
        <v/>
      </c>
      <c r="AK84" s="101">
        <f t="shared" si="264"/>
        <v>0</v>
      </c>
      <c r="AL84" s="102" t="str">
        <f t="shared" si="265"/>
        <v/>
      </c>
      <c r="AM84" s="103" t="str">
        <f t="shared" si="266"/>
        <v/>
      </c>
      <c r="AN84" s="104">
        <f t="shared" si="267"/>
        <v>0</v>
      </c>
      <c r="AO84" s="99" t="str">
        <f t="shared" si="268"/>
        <v/>
      </c>
      <c r="AP84" s="100" t="str">
        <f t="shared" si="269"/>
        <v/>
      </c>
      <c r="AQ84" s="101">
        <f t="shared" si="270"/>
        <v>0</v>
      </c>
      <c r="AR84" s="102" t="str">
        <f t="shared" si="271"/>
        <v/>
      </c>
      <c r="AS84" s="103" t="str">
        <f t="shared" si="272"/>
        <v/>
      </c>
      <c r="AT84" s="104">
        <f t="shared" si="273"/>
        <v>0</v>
      </c>
      <c r="AU84" s="99" t="str">
        <f t="shared" si="274"/>
        <v/>
      </c>
      <c r="AV84" s="100" t="str">
        <f t="shared" si="275"/>
        <v/>
      </c>
      <c r="AW84" s="101">
        <f t="shared" si="276"/>
        <v>0</v>
      </c>
      <c r="AX84" s="102" t="str">
        <f t="shared" si="277"/>
        <v/>
      </c>
      <c r="AY84" s="103" t="str">
        <f t="shared" si="278"/>
        <v/>
      </c>
      <c r="AZ84" s="104">
        <f t="shared" si="279"/>
        <v>0</v>
      </c>
      <c r="BA84" s="99" t="str">
        <f t="shared" si="280"/>
        <v/>
      </c>
      <c r="BB84" s="100" t="str">
        <f t="shared" si="281"/>
        <v/>
      </c>
      <c r="BC84" s="101">
        <f t="shared" si="282"/>
        <v>0</v>
      </c>
      <c r="BD84" s="102" t="str">
        <f t="shared" si="283"/>
        <v/>
      </c>
      <c r="BE84" s="103" t="str">
        <f t="shared" si="284"/>
        <v/>
      </c>
      <c r="BF84" s="104">
        <f t="shared" si="285"/>
        <v>0</v>
      </c>
      <c r="BG84" s="99" t="str">
        <f t="shared" si="286"/>
        <v/>
      </c>
      <c r="BH84" s="100" t="str">
        <f t="shared" si="287"/>
        <v/>
      </c>
      <c r="BI84" s="101">
        <f t="shared" si="288"/>
        <v>0</v>
      </c>
      <c r="BJ84" s="102" t="str">
        <f t="shared" si="289"/>
        <v/>
      </c>
      <c r="BK84" s="103" t="str">
        <f t="shared" si="290"/>
        <v/>
      </c>
      <c r="BL84" s="104">
        <f t="shared" si="291"/>
        <v>0</v>
      </c>
      <c r="BM84" s="99" t="str">
        <f t="shared" si="292"/>
        <v/>
      </c>
      <c r="BN84" s="100" t="str">
        <f t="shared" si="293"/>
        <v/>
      </c>
      <c r="BO84" s="101">
        <f t="shared" si="294"/>
        <v>0</v>
      </c>
      <c r="BP84" s="102" t="str">
        <f t="shared" si="295"/>
        <v/>
      </c>
      <c r="BQ84" s="103" t="str">
        <f t="shared" si="296"/>
        <v/>
      </c>
      <c r="BR84" s="104">
        <f t="shared" si="297"/>
        <v>0</v>
      </c>
      <c r="BS84" s="99" t="str">
        <f t="shared" si="298"/>
        <v/>
      </c>
      <c r="BT84" s="100" t="str">
        <f t="shared" si="299"/>
        <v/>
      </c>
      <c r="BU84" s="101">
        <f t="shared" si="300"/>
        <v>0</v>
      </c>
      <c r="BV84" s="102" t="str">
        <f t="shared" si="301"/>
        <v/>
      </c>
      <c r="BW84" s="103" t="str">
        <f t="shared" si="302"/>
        <v/>
      </c>
      <c r="BX84" s="104">
        <f t="shared" si="303"/>
        <v>0</v>
      </c>
      <c r="BY84" s="99" t="str">
        <f t="shared" si="304"/>
        <v/>
      </c>
      <c r="BZ84" s="100" t="str">
        <f t="shared" si="305"/>
        <v/>
      </c>
      <c r="CA84" s="101">
        <f t="shared" si="306"/>
        <v>0</v>
      </c>
      <c r="CB84" s="102" t="str">
        <f t="shared" si="307"/>
        <v/>
      </c>
      <c r="CC84" s="103" t="str">
        <f t="shared" si="308"/>
        <v/>
      </c>
      <c r="CD84" s="104">
        <f t="shared" si="309"/>
        <v>0</v>
      </c>
      <c r="CE84" s="99" t="str">
        <f t="shared" si="310"/>
        <v/>
      </c>
      <c r="CF84" s="100" t="str">
        <f t="shared" si="311"/>
        <v/>
      </c>
      <c r="CG84" s="101">
        <f t="shared" si="312"/>
        <v>0</v>
      </c>
      <c r="CH84" s="102" t="str">
        <f t="shared" si="313"/>
        <v/>
      </c>
      <c r="CI84" s="103" t="str">
        <f t="shared" si="314"/>
        <v/>
      </c>
      <c r="CJ84" s="104">
        <f t="shared" si="315"/>
        <v>0</v>
      </c>
      <c r="CK84" s="99" t="str">
        <f t="shared" si="316"/>
        <v/>
      </c>
      <c r="CL84" s="100" t="str">
        <f t="shared" si="317"/>
        <v/>
      </c>
      <c r="CM84" s="101">
        <f t="shared" si="318"/>
        <v>0</v>
      </c>
      <c r="CN84" s="102" t="str">
        <f t="shared" si="319"/>
        <v/>
      </c>
      <c r="CO84" s="103" t="str">
        <f t="shared" si="320"/>
        <v/>
      </c>
      <c r="CP84" s="104">
        <f t="shared" si="321"/>
        <v>0</v>
      </c>
      <c r="CQ84" s="99" t="str">
        <f t="shared" si="322"/>
        <v/>
      </c>
      <c r="CR84" s="100" t="str">
        <f t="shared" si="323"/>
        <v/>
      </c>
      <c r="CS84" s="101">
        <f t="shared" si="324"/>
        <v>0</v>
      </c>
      <c r="CT84" s="102" t="str">
        <f t="shared" si="325"/>
        <v/>
      </c>
      <c r="CU84" s="103" t="str">
        <f t="shared" si="326"/>
        <v/>
      </c>
      <c r="CV84" s="104">
        <f t="shared" si="327"/>
        <v>0</v>
      </c>
      <c r="CW84" s="99" t="str">
        <f t="shared" si="328"/>
        <v/>
      </c>
      <c r="CX84" s="100" t="str">
        <f t="shared" si="329"/>
        <v/>
      </c>
      <c r="CY84" s="101">
        <f t="shared" si="330"/>
        <v>0</v>
      </c>
      <c r="CZ84" s="102" t="str">
        <f t="shared" si="331"/>
        <v/>
      </c>
      <c r="DA84" s="103" t="str">
        <f t="shared" si="332"/>
        <v/>
      </c>
      <c r="DB84" s="104">
        <f t="shared" si="333"/>
        <v>0</v>
      </c>
      <c r="DC84" s="99" t="str">
        <f t="shared" si="334"/>
        <v/>
      </c>
      <c r="DD84" s="100" t="str">
        <f t="shared" si="335"/>
        <v/>
      </c>
      <c r="DE84" s="101">
        <f t="shared" si="336"/>
        <v>0</v>
      </c>
      <c r="DF84" s="102" t="str">
        <f t="shared" si="337"/>
        <v/>
      </c>
      <c r="DG84" s="103" t="str">
        <f t="shared" si="338"/>
        <v/>
      </c>
      <c r="DH84" s="104">
        <f t="shared" si="339"/>
        <v>0</v>
      </c>
      <c r="DI84" s="99" t="str">
        <f t="shared" si="340"/>
        <v/>
      </c>
      <c r="DJ84" s="100" t="str">
        <f t="shared" si="341"/>
        <v/>
      </c>
      <c r="DK84" s="101">
        <f t="shared" si="342"/>
        <v>0</v>
      </c>
      <c r="DL84" s="102" t="str">
        <f t="shared" si="343"/>
        <v/>
      </c>
      <c r="DM84" s="103" t="str">
        <f t="shared" si="344"/>
        <v/>
      </c>
      <c r="DN84" s="104">
        <f t="shared" si="345"/>
        <v>0</v>
      </c>
      <c r="DO84" s="99" t="str">
        <f t="shared" si="346"/>
        <v/>
      </c>
      <c r="DP84" s="100" t="str">
        <f t="shared" si="347"/>
        <v/>
      </c>
      <c r="DQ84" s="101">
        <f t="shared" si="348"/>
        <v>0</v>
      </c>
      <c r="DR84" s="102" t="str">
        <f t="shared" si="349"/>
        <v/>
      </c>
      <c r="DS84" s="103" t="str">
        <f t="shared" si="350"/>
        <v/>
      </c>
      <c r="DT84" s="104">
        <f t="shared" si="351"/>
        <v>0</v>
      </c>
    </row>
    <row r="85" ht="15.75" customHeight="1">
      <c r="A85" s="12" t="str">
        <f>Menus!B45</f>
        <v/>
      </c>
      <c r="B85" s="32">
        <f t="shared" si="231"/>
        <v>0</v>
      </c>
      <c r="C85" s="32">
        <f t="shared" si="232"/>
        <v>0</v>
      </c>
      <c r="D85" s="32">
        <f t="shared" si="233"/>
        <v>0</v>
      </c>
      <c r="E85" s="93" t="str">
        <f t="shared" si="234"/>
        <v/>
      </c>
      <c r="F85" s="94" t="str">
        <f t="shared" si="235"/>
        <v/>
      </c>
      <c r="G85" s="95">
        <f t="shared" si="236"/>
        <v>0</v>
      </c>
      <c r="H85" s="96" t="str">
        <f t="array" ref="H85">IFERROR(XLOOKUP($A85,'Gastos Admon'!$A$7:$A171,INDIRECT($B$9)),"")</f>
        <v/>
      </c>
      <c r="I85" s="97" t="str">
        <f t="array" ref="I85">IFERROR(XLOOKUP($A85,'Gastos Admon'!$A$7:$A171,INDIRECT($C$9)),"")</f>
        <v/>
      </c>
      <c r="J85" s="98">
        <f t="shared" si="237"/>
        <v>0</v>
      </c>
      <c r="K85" s="99" t="str">
        <f t="shared" si="238"/>
        <v/>
      </c>
      <c r="L85" s="100" t="str">
        <f t="shared" si="239"/>
        <v/>
      </c>
      <c r="M85" s="101">
        <f t="shared" si="240"/>
        <v>0</v>
      </c>
      <c r="N85" s="102" t="str">
        <f t="shared" si="241"/>
        <v/>
      </c>
      <c r="O85" s="103" t="str">
        <f t="shared" si="242"/>
        <v/>
      </c>
      <c r="P85" s="104">
        <f t="shared" si="243"/>
        <v>0</v>
      </c>
      <c r="Q85" s="99" t="str">
        <f t="shared" si="244"/>
        <v/>
      </c>
      <c r="R85" s="100" t="str">
        <f t="shared" si="245"/>
        <v/>
      </c>
      <c r="S85" s="101">
        <f t="shared" si="246"/>
        <v>0</v>
      </c>
      <c r="T85" s="102" t="str">
        <f t="shared" si="247"/>
        <v/>
      </c>
      <c r="U85" s="103" t="str">
        <f t="shared" si="248"/>
        <v/>
      </c>
      <c r="V85" s="104">
        <f t="shared" si="249"/>
        <v>0</v>
      </c>
      <c r="W85" s="99" t="str">
        <f t="shared" si="250"/>
        <v/>
      </c>
      <c r="X85" s="100" t="str">
        <f t="shared" si="251"/>
        <v/>
      </c>
      <c r="Y85" s="101">
        <f t="shared" si="252"/>
        <v>0</v>
      </c>
      <c r="Z85" s="102" t="str">
        <f t="shared" si="253"/>
        <v/>
      </c>
      <c r="AA85" s="103" t="str">
        <f t="shared" si="254"/>
        <v/>
      </c>
      <c r="AB85" s="104">
        <f t="shared" si="255"/>
        <v>0</v>
      </c>
      <c r="AC85" s="99" t="str">
        <f t="shared" si="256"/>
        <v/>
      </c>
      <c r="AD85" s="100" t="str">
        <f t="shared" si="257"/>
        <v/>
      </c>
      <c r="AE85" s="101">
        <f t="shared" si="258"/>
        <v>0</v>
      </c>
      <c r="AF85" s="102" t="str">
        <f t="shared" si="259"/>
        <v/>
      </c>
      <c r="AG85" s="103" t="str">
        <f t="shared" si="260"/>
        <v/>
      </c>
      <c r="AH85" s="104">
        <f t="shared" si="261"/>
        <v>0</v>
      </c>
      <c r="AI85" s="99" t="str">
        <f t="shared" si="262"/>
        <v/>
      </c>
      <c r="AJ85" s="100" t="str">
        <f t="shared" si="263"/>
        <v/>
      </c>
      <c r="AK85" s="101">
        <f t="shared" si="264"/>
        <v>0</v>
      </c>
      <c r="AL85" s="102" t="str">
        <f t="shared" si="265"/>
        <v/>
      </c>
      <c r="AM85" s="103" t="str">
        <f t="shared" si="266"/>
        <v/>
      </c>
      <c r="AN85" s="104">
        <f t="shared" si="267"/>
        <v>0</v>
      </c>
      <c r="AO85" s="99" t="str">
        <f t="shared" si="268"/>
        <v/>
      </c>
      <c r="AP85" s="100" t="str">
        <f t="shared" si="269"/>
        <v/>
      </c>
      <c r="AQ85" s="101">
        <f t="shared" si="270"/>
        <v>0</v>
      </c>
      <c r="AR85" s="102" t="str">
        <f t="shared" si="271"/>
        <v/>
      </c>
      <c r="AS85" s="103" t="str">
        <f t="shared" si="272"/>
        <v/>
      </c>
      <c r="AT85" s="104">
        <f t="shared" si="273"/>
        <v>0</v>
      </c>
      <c r="AU85" s="99" t="str">
        <f t="shared" si="274"/>
        <v/>
      </c>
      <c r="AV85" s="100" t="str">
        <f t="shared" si="275"/>
        <v/>
      </c>
      <c r="AW85" s="101">
        <f t="shared" si="276"/>
        <v>0</v>
      </c>
      <c r="AX85" s="102" t="str">
        <f t="shared" si="277"/>
        <v/>
      </c>
      <c r="AY85" s="103" t="str">
        <f t="shared" si="278"/>
        <v/>
      </c>
      <c r="AZ85" s="104">
        <f t="shared" si="279"/>
        <v>0</v>
      </c>
      <c r="BA85" s="99" t="str">
        <f t="shared" si="280"/>
        <v/>
      </c>
      <c r="BB85" s="100" t="str">
        <f t="shared" si="281"/>
        <v/>
      </c>
      <c r="BC85" s="101">
        <f t="shared" si="282"/>
        <v>0</v>
      </c>
      <c r="BD85" s="102" t="str">
        <f t="shared" si="283"/>
        <v/>
      </c>
      <c r="BE85" s="103" t="str">
        <f t="shared" si="284"/>
        <v/>
      </c>
      <c r="BF85" s="104">
        <f t="shared" si="285"/>
        <v>0</v>
      </c>
      <c r="BG85" s="99" t="str">
        <f t="shared" si="286"/>
        <v/>
      </c>
      <c r="BH85" s="100" t="str">
        <f t="shared" si="287"/>
        <v/>
      </c>
      <c r="BI85" s="101">
        <f t="shared" si="288"/>
        <v>0</v>
      </c>
      <c r="BJ85" s="102" t="str">
        <f t="shared" si="289"/>
        <v/>
      </c>
      <c r="BK85" s="103" t="str">
        <f t="shared" si="290"/>
        <v/>
      </c>
      <c r="BL85" s="104">
        <f t="shared" si="291"/>
        <v>0</v>
      </c>
      <c r="BM85" s="99" t="str">
        <f t="shared" si="292"/>
        <v/>
      </c>
      <c r="BN85" s="100" t="str">
        <f t="shared" si="293"/>
        <v/>
      </c>
      <c r="BO85" s="101">
        <f t="shared" si="294"/>
        <v>0</v>
      </c>
      <c r="BP85" s="102" t="str">
        <f t="shared" si="295"/>
        <v/>
      </c>
      <c r="BQ85" s="103" t="str">
        <f t="shared" si="296"/>
        <v/>
      </c>
      <c r="BR85" s="104">
        <f t="shared" si="297"/>
        <v>0</v>
      </c>
      <c r="BS85" s="99" t="str">
        <f t="shared" si="298"/>
        <v/>
      </c>
      <c r="BT85" s="100" t="str">
        <f t="shared" si="299"/>
        <v/>
      </c>
      <c r="BU85" s="101">
        <f t="shared" si="300"/>
        <v>0</v>
      </c>
      <c r="BV85" s="102" t="str">
        <f t="shared" si="301"/>
        <v/>
      </c>
      <c r="BW85" s="103" t="str">
        <f t="shared" si="302"/>
        <v/>
      </c>
      <c r="BX85" s="104">
        <f t="shared" si="303"/>
        <v>0</v>
      </c>
      <c r="BY85" s="99" t="str">
        <f t="shared" si="304"/>
        <v/>
      </c>
      <c r="BZ85" s="100" t="str">
        <f t="shared" si="305"/>
        <v/>
      </c>
      <c r="CA85" s="101">
        <f t="shared" si="306"/>
        <v>0</v>
      </c>
      <c r="CB85" s="102" t="str">
        <f t="shared" si="307"/>
        <v/>
      </c>
      <c r="CC85" s="103" t="str">
        <f t="shared" si="308"/>
        <v/>
      </c>
      <c r="CD85" s="104">
        <f t="shared" si="309"/>
        <v>0</v>
      </c>
      <c r="CE85" s="99" t="str">
        <f t="shared" si="310"/>
        <v/>
      </c>
      <c r="CF85" s="100" t="str">
        <f t="shared" si="311"/>
        <v/>
      </c>
      <c r="CG85" s="101">
        <f t="shared" si="312"/>
        <v>0</v>
      </c>
      <c r="CH85" s="102" t="str">
        <f t="shared" si="313"/>
        <v/>
      </c>
      <c r="CI85" s="103" t="str">
        <f t="shared" si="314"/>
        <v/>
      </c>
      <c r="CJ85" s="104">
        <f t="shared" si="315"/>
        <v>0</v>
      </c>
      <c r="CK85" s="99" t="str">
        <f t="shared" si="316"/>
        <v/>
      </c>
      <c r="CL85" s="100" t="str">
        <f t="shared" si="317"/>
        <v/>
      </c>
      <c r="CM85" s="101">
        <f t="shared" si="318"/>
        <v>0</v>
      </c>
      <c r="CN85" s="102" t="str">
        <f t="shared" si="319"/>
        <v/>
      </c>
      <c r="CO85" s="103" t="str">
        <f t="shared" si="320"/>
        <v/>
      </c>
      <c r="CP85" s="104">
        <f t="shared" si="321"/>
        <v>0</v>
      </c>
      <c r="CQ85" s="99" t="str">
        <f t="shared" si="322"/>
        <v/>
      </c>
      <c r="CR85" s="100" t="str">
        <f t="shared" si="323"/>
        <v/>
      </c>
      <c r="CS85" s="101">
        <f t="shared" si="324"/>
        <v>0</v>
      </c>
      <c r="CT85" s="102" t="str">
        <f t="shared" si="325"/>
        <v/>
      </c>
      <c r="CU85" s="103" t="str">
        <f t="shared" si="326"/>
        <v/>
      </c>
      <c r="CV85" s="104">
        <f t="shared" si="327"/>
        <v>0</v>
      </c>
      <c r="CW85" s="99" t="str">
        <f t="shared" si="328"/>
        <v/>
      </c>
      <c r="CX85" s="100" t="str">
        <f t="shared" si="329"/>
        <v/>
      </c>
      <c r="CY85" s="101">
        <f t="shared" si="330"/>
        <v>0</v>
      </c>
      <c r="CZ85" s="102" t="str">
        <f t="shared" si="331"/>
        <v/>
      </c>
      <c r="DA85" s="103" t="str">
        <f t="shared" si="332"/>
        <v/>
      </c>
      <c r="DB85" s="104">
        <f t="shared" si="333"/>
        <v>0</v>
      </c>
      <c r="DC85" s="99" t="str">
        <f t="shared" si="334"/>
        <v/>
      </c>
      <c r="DD85" s="100" t="str">
        <f t="shared" si="335"/>
        <v/>
      </c>
      <c r="DE85" s="101">
        <f t="shared" si="336"/>
        <v>0</v>
      </c>
      <c r="DF85" s="102" t="str">
        <f t="shared" si="337"/>
        <v/>
      </c>
      <c r="DG85" s="103" t="str">
        <f t="shared" si="338"/>
        <v/>
      </c>
      <c r="DH85" s="104">
        <f t="shared" si="339"/>
        <v>0</v>
      </c>
      <c r="DI85" s="99" t="str">
        <f t="shared" si="340"/>
        <v/>
      </c>
      <c r="DJ85" s="100" t="str">
        <f t="shared" si="341"/>
        <v/>
      </c>
      <c r="DK85" s="101">
        <f t="shared" si="342"/>
        <v>0</v>
      </c>
      <c r="DL85" s="102" t="str">
        <f t="shared" si="343"/>
        <v/>
      </c>
      <c r="DM85" s="103" t="str">
        <f t="shared" si="344"/>
        <v/>
      </c>
      <c r="DN85" s="104">
        <f t="shared" si="345"/>
        <v>0</v>
      </c>
      <c r="DO85" s="99" t="str">
        <f t="shared" si="346"/>
        <v/>
      </c>
      <c r="DP85" s="100" t="str">
        <f t="shared" si="347"/>
        <v/>
      </c>
      <c r="DQ85" s="101">
        <f t="shared" si="348"/>
        <v>0</v>
      </c>
      <c r="DR85" s="102" t="str">
        <f t="shared" si="349"/>
        <v/>
      </c>
      <c r="DS85" s="103" t="str">
        <f t="shared" si="350"/>
        <v/>
      </c>
      <c r="DT85" s="104">
        <f t="shared" si="351"/>
        <v>0</v>
      </c>
    </row>
    <row r="86" ht="15.75" customHeight="1">
      <c r="A86" s="12" t="str">
        <f>Menus!B46</f>
        <v/>
      </c>
      <c r="B86" s="32">
        <f t="shared" si="231"/>
        <v>0</v>
      </c>
      <c r="C86" s="32">
        <f t="shared" si="232"/>
        <v>0</v>
      </c>
      <c r="D86" s="32">
        <f t="shared" si="233"/>
        <v>0</v>
      </c>
      <c r="E86" s="93" t="str">
        <f t="shared" si="234"/>
        <v/>
      </c>
      <c r="F86" s="94" t="str">
        <f t="shared" si="235"/>
        <v/>
      </c>
      <c r="G86" s="95">
        <f t="shared" si="236"/>
        <v>0</v>
      </c>
      <c r="H86" s="96" t="str">
        <f t="array" ref="H86">IFERROR(XLOOKUP($A86,'Gastos Admon'!$A$7:$A171,INDIRECT($B$9)),"")</f>
        <v/>
      </c>
      <c r="I86" s="97" t="str">
        <f t="array" ref="I86">IFERROR(XLOOKUP($A86,'Gastos Admon'!$A$7:$A171,INDIRECT($C$9)),"")</f>
        <v/>
      </c>
      <c r="J86" s="98">
        <f t="shared" si="237"/>
        <v>0</v>
      </c>
      <c r="K86" s="99" t="str">
        <f t="shared" si="238"/>
        <v/>
      </c>
      <c r="L86" s="100" t="str">
        <f t="shared" si="239"/>
        <v/>
      </c>
      <c r="M86" s="101">
        <f t="shared" si="240"/>
        <v>0</v>
      </c>
      <c r="N86" s="102" t="str">
        <f t="shared" si="241"/>
        <v/>
      </c>
      <c r="O86" s="103" t="str">
        <f t="shared" si="242"/>
        <v/>
      </c>
      <c r="P86" s="104">
        <f t="shared" si="243"/>
        <v>0</v>
      </c>
      <c r="Q86" s="99" t="str">
        <f t="shared" si="244"/>
        <v/>
      </c>
      <c r="R86" s="100" t="str">
        <f t="shared" si="245"/>
        <v/>
      </c>
      <c r="S86" s="101">
        <f t="shared" si="246"/>
        <v>0</v>
      </c>
      <c r="T86" s="102" t="str">
        <f t="shared" si="247"/>
        <v/>
      </c>
      <c r="U86" s="103" t="str">
        <f t="shared" si="248"/>
        <v/>
      </c>
      <c r="V86" s="104">
        <f t="shared" si="249"/>
        <v>0</v>
      </c>
      <c r="W86" s="99" t="str">
        <f t="shared" si="250"/>
        <v/>
      </c>
      <c r="X86" s="100" t="str">
        <f t="shared" si="251"/>
        <v/>
      </c>
      <c r="Y86" s="101">
        <f t="shared" si="252"/>
        <v>0</v>
      </c>
      <c r="Z86" s="102" t="str">
        <f t="shared" si="253"/>
        <v/>
      </c>
      <c r="AA86" s="103" t="str">
        <f t="shared" si="254"/>
        <v/>
      </c>
      <c r="AB86" s="104">
        <f t="shared" si="255"/>
        <v>0</v>
      </c>
      <c r="AC86" s="99" t="str">
        <f t="shared" si="256"/>
        <v/>
      </c>
      <c r="AD86" s="100" t="str">
        <f t="shared" si="257"/>
        <v/>
      </c>
      <c r="AE86" s="101">
        <f t="shared" si="258"/>
        <v>0</v>
      </c>
      <c r="AF86" s="102" t="str">
        <f t="shared" si="259"/>
        <v/>
      </c>
      <c r="AG86" s="103" t="str">
        <f t="shared" si="260"/>
        <v/>
      </c>
      <c r="AH86" s="104">
        <f t="shared" si="261"/>
        <v>0</v>
      </c>
      <c r="AI86" s="99" t="str">
        <f t="shared" si="262"/>
        <v/>
      </c>
      <c r="AJ86" s="100" t="str">
        <f t="shared" si="263"/>
        <v/>
      </c>
      <c r="AK86" s="101">
        <f t="shared" si="264"/>
        <v>0</v>
      </c>
      <c r="AL86" s="102" t="str">
        <f t="shared" si="265"/>
        <v/>
      </c>
      <c r="AM86" s="103" t="str">
        <f t="shared" si="266"/>
        <v/>
      </c>
      <c r="AN86" s="104">
        <f t="shared" si="267"/>
        <v>0</v>
      </c>
      <c r="AO86" s="99" t="str">
        <f t="shared" si="268"/>
        <v/>
      </c>
      <c r="AP86" s="100" t="str">
        <f t="shared" si="269"/>
        <v/>
      </c>
      <c r="AQ86" s="101">
        <f t="shared" si="270"/>
        <v>0</v>
      </c>
      <c r="AR86" s="102" t="str">
        <f t="shared" si="271"/>
        <v/>
      </c>
      <c r="AS86" s="103" t="str">
        <f t="shared" si="272"/>
        <v/>
      </c>
      <c r="AT86" s="104">
        <f t="shared" si="273"/>
        <v>0</v>
      </c>
      <c r="AU86" s="99" t="str">
        <f t="shared" si="274"/>
        <v/>
      </c>
      <c r="AV86" s="100" t="str">
        <f t="shared" si="275"/>
        <v/>
      </c>
      <c r="AW86" s="101">
        <f t="shared" si="276"/>
        <v>0</v>
      </c>
      <c r="AX86" s="102" t="str">
        <f t="shared" si="277"/>
        <v/>
      </c>
      <c r="AY86" s="103" t="str">
        <f t="shared" si="278"/>
        <v/>
      </c>
      <c r="AZ86" s="104">
        <f t="shared" si="279"/>
        <v>0</v>
      </c>
      <c r="BA86" s="99" t="str">
        <f t="shared" si="280"/>
        <v/>
      </c>
      <c r="BB86" s="100" t="str">
        <f t="shared" si="281"/>
        <v/>
      </c>
      <c r="BC86" s="101">
        <f t="shared" si="282"/>
        <v>0</v>
      </c>
      <c r="BD86" s="102" t="str">
        <f t="shared" si="283"/>
        <v/>
      </c>
      <c r="BE86" s="103" t="str">
        <f t="shared" si="284"/>
        <v/>
      </c>
      <c r="BF86" s="104">
        <f t="shared" si="285"/>
        <v>0</v>
      </c>
      <c r="BG86" s="99" t="str">
        <f t="shared" si="286"/>
        <v/>
      </c>
      <c r="BH86" s="100" t="str">
        <f t="shared" si="287"/>
        <v/>
      </c>
      <c r="BI86" s="101">
        <f t="shared" si="288"/>
        <v>0</v>
      </c>
      <c r="BJ86" s="102" t="str">
        <f t="shared" si="289"/>
        <v/>
      </c>
      <c r="BK86" s="103" t="str">
        <f t="shared" si="290"/>
        <v/>
      </c>
      <c r="BL86" s="104">
        <f t="shared" si="291"/>
        <v>0</v>
      </c>
      <c r="BM86" s="99" t="str">
        <f t="shared" si="292"/>
        <v/>
      </c>
      <c r="BN86" s="100" t="str">
        <f t="shared" si="293"/>
        <v/>
      </c>
      <c r="BO86" s="101">
        <f t="shared" si="294"/>
        <v>0</v>
      </c>
      <c r="BP86" s="102" t="str">
        <f t="shared" si="295"/>
        <v/>
      </c>
      <c r="BQ86" s="103" t="str">
        <f t="shared" si="296"/>
        <v/>
      </c>
      <c r="BR86" s="104">
        <f t="shared" si="297"/>
        <v>0</v>
      </c>
      <c r="BS86" s="99" t="str">
        <f t="shared" si="298"/>
        <v/>
      </c>
      <c r="BT86" s="100" t="str">
        <f t="shared" si="299"/>
        <v/>
      </c>
      <c r="BU86" s="101">
        <f t="shared" si="300"/>
        <v>0</v>
      </c>
      <c r="BV86" s="102" t="str">
        <f t="shared" si="301"/>
        <v/>
      </c>
      <c r="BW86" s="103" t="str">
        <f t="shared" si="302"/>
        <v/>
      </c>
      <c r="BX86" s="104">
        <f t="shared" si="303"/>
        <v>0</v>
      </c>
      <c r="BY86" s="99" t="str">
        <f t="shared" si="304"/>
        <v/>
      </c>
      <c r="BZ86" s="100" t="str">
        <f t="shared" si="305"/>
        <v/>
      </c>
      <c r="CA86" s="101">
        <f t="shared" si="306"/>
        <v>0</v>
      </c>
      <c r="CB86" s="102" t="str">
        <f t="shared" si="307"/>
        <v/>
      </c>
      <c r="CC86" s="103" t="str">
        <f t="shared" si="308"/>
        <v/>
      </c>
      <c r="CD86" s="104">
        <f t="shared" si="309"/>
        <v>0</v>
      </c>
      <c r="CE86" s="99" t="str">
        <f t="shared" si="310"/>
        <v/>
      </c>
      <c r="CF86" s="100" t="str">
        <f t="shared" si="311"/>
        <v/>
      </c>
      <c r="CG86" s="101">
        <f t="shared" si="312"/>
        <v>0</v>
      </c>
      <c r="CH86" s="102" t="str">
        <f t="shared" si="313"/>
        <v/>
      </c>
      <c r="CI86" s="103" t="str">
        <f t="shared" si="314"/>
        <v/>
      </c>
      <c r="CJ86" s="104">
        <f t="shared" si="315"/>
        <v>0</v>
      </c>
      <c r="CK86" s="99" t="str">
        <f t="shared" si="316"/>
        <v/>
      </c>
      <c r="CL86" s="100" t="str">
        <f t="shared" si="317"/>
        <v/>
      </c>
      <c r="CM86" s="101">
        <f t="shared" si="318"/>
        <v>0</v>
      </c>
      <c r="CN86" s="102" t="str">
        <f t="shared" si="319"/>
        <v/>
      </c>
      <c r="CO86" s="103" t="str">
        <f t="shared" si="320"/>
        <v/>
      </c>
      <c r="CP86" s="104">
        <f t="shared" si="321"/>
        <v>0</v>
      </c>
      <c r="CQ86" s="99" t="str">
        <f t="shared" si="322"/>
        <v/>
      </c>
      <c r="CR86" s="100" t="str">
        <f t="shared" si="323"/>
        <v/>
      </c>
      <c r="CS86" s="101">
        <f t="shared" si="324"/>
        <v>0</v>
      </c>
      <c r="CT86" s="102" t="str">
        <f t="shared" si="325"/>
        <v/>
      </c>
      <c r="CU86" s="103" t="str">
        <f t="shared" si="326"/>
        <v/>
      </c>
      <c r="CV86" s="104">
        <f t="shared" si="327"/>
        <v>0</v>
      </c>
      <c r="CW86" s="99" t="str">
        <f t="shared" si="328"/>
        <v/>
      </c>
      <c r="CX86" s="100" t="str">
        <f t="shared" si="329"/>
        <v/>
      </c>
      <c r="CY86" s="101">
        <f t="shared" si="330"/>
        <v>0</v>
      </c>
      <c r="CZ86" s="102" t="str">
        <f t="shared" si="331"/>
        <v/>
      </c>
      <c r="DA86" s="103" t="str">
        <f t="shared" si="332"/>
        <v/>
      </c>
      <c r="DB86" s="104">
        <f t="shared" si="333"/>
        <v>0</v>
      </c>
      <c r="DC86" s="99" t="str">
        <f t="shared" si="334"/>
        <v/>
      </c>
      <c r="DD86" s="100" t="str">
        <f t="shared" si="335"/>
        <v/>
      </c>
      <c r="DE86" s="101">
        <f t="shared" si="336"/>
        <v>0</v>
      </c>
      <c r="DF86" s="102" t="str">
        <f t="shared" si="337"/>
        <v/>
      </c>
      <c r="DG86" s="103" t="str">
        <f t="shared" si="338"/>
        <v/>
      </c>
      <c r="DH86" s="104">
        <f t="shared" si="339"/>
        <v>0</v>
      </c>
      <c r="DI86" s="99" t="str">
        <f t="shared" si="340"/>
        <v/>
      </c>
      <c r="DJ86" s="100" t="str">
        <f t="shared" si="341"/>
        <v/>
      </c>
      <c r="DK86" s="101">
        <f t="shared" si="342"/>
        <v>0</v>
      </c>
      <c r="DL86" s="102" t="str">
        <f t="shared" si="343"/>
        <v/>
      </c>
      <c r="DM86" s="103" t="str">
        <f t="shared" si="344"/>
        <v/>
      </c>
      <c r="DN86" s="104">
        <f t="shared" si="345"/>
        <v>0</v>
      </c>
      <c r="DO86" s="99" t="str">
        <f t="shared" si="346"/>
        <v/>
      </c>
      <c r="DP86" s="100" t="str">
        <f t="shared" si="347"/>
        <v/>
      </c>
      <c r="DQ86" s="101">
        <f t="shared" si="348"/>
        <v>0</v>
      </c>
      <c r="DR86" s="102" t="str">
        <f t="shared" si="349"/>
        <v/>
      </c>
      <c r="DS86" s="103" t="str">
        <f t="shared" si="350"/>
        <v/>
      </c>
      <c r="DT86" s="104">
        <f t="shared" si="351"/>
        <v>0</v>
      </c>
    </row>
    <row r="87" ht="15.75" customHeight="1">
      <c r="A87" s="12" t="str">
        <f>Menus!B47</f>
        <v/>
      </c>
      <c r="B87" s="32">
        <f t="shared" si="231"/>
        <v>0</v>
      </c>
      <c r="C87" s="32">
        <f t="shared" si="232"/>
        <v>0</v>
      </c>
      <c r="D87" s="32">
        <f t="shared" si="233"/>
        <v>0</v>
      </c>
      <c r="E87" s="93" t="str">
        <f t="shared" si="234"/>
        <v/>
      </c>
      <c r="F87" s="94" t="str">
        <f t="shared" si="235"/>
        <v/>
      </c>
      <c r="G87" s="95">
        <f t="shared" si="236"/>
        <v>0</v>
      </c>
      <c r="H87" s="96" t="str">
        <f t="array" ref="H87">IFERROR(XLOOKUP($A87,'Gastos Admon'!$A$7:$A171,INDIRECT($B$9)),"")</f>
        <v/>
      </c>
      <c r="I87" s="97" t="str">
        <f t="array" ref="I87">IFERROR(XLOOKUP($A87,'Gastos Admon'!$A$7:$A171,INDIRECT($C$9)),"")</f>
        <v/>
      </c>
      <c r="J87" s="98">
        <f t="shared" si="237"/>
        <v>0</v>
      </c>
      <c r="K87" s="99" t="str">
        <f t="shared" si="238"/>
        <v/>
      </c>
      <c r="L87" s="100" t="str">
        <f t="shared" si="239"/>
        <v/>
      </c>
      <c r="M87" s="101">
        <f t="shared" si="240"/>
        <v>0</v>
      </c>
      <c r="N87" s="102" t="str">
        <f t="shared" si="241"/>
        <v/>
      </c>
      <c r="O87" s="103" t="str">
        <f t="shared" si="242"/>
        <v/>
      </c>
      <c r="P87" s="104">
        <f t="shared" si="243"/>
        <v>0</v>
      </c>
      <c r="Q87" s="99" t="str">
        <f t="shared" si="244"/>
        <v/>
      </c>
      <c r="R87" s="100" t="str">
        <f t="shared" si="245"/>
        <v/>
      </c>
      <c r="S87" s="101">
        <f t="shared" si="246"/>
        <v>0</v>
      </c>
      <c r="T87" s="102" t="str">
        <f t="shared" si="247"/>
        <v/>
      </c>
      <c r="U87" s="103" t="str">
        <f t="shared" si="248"/>
        <v/>
      </c>
      <c r="V87" s="104">
        <f t="shared" si="249"/>
        <v>0</v>
      </c>
      <c r="W87" s="99" t="str">
        <f t="shared" si="250"/>
        <v/>
      </c>
      <c r="X87" s="100" t="str">
        <f t="shared" si="251"/>
        <v/>
      </c>
      <c r="Y87" s="101">
        <f t="shared" si="252"/>
        <v>0</v>
      </c>
      <c r="Z87" s="102" t="str">
        <f t="shared" si="253"/>
        <v/>
      </c>
      <c r="AA87" s="103" t="str">
        <f t="shared" si="254"/>
        <v/>
      </c>
      <c r="AB87" s="104">
        <f t="shared" si="255"/>
        <v>0</v>
      </c>
      <c r="AC87" s="99" t="str">
        <f t="shared" si="256"/>
        <v/>
      </c>
      <c r="AD87" s="100" t="str">
        <f t="shared" si="257"/>
        <v/>
      </c>
      <c r="AE87" s="101">
        <f t="shared" si="258"/>
        <v>0</v>
      </c>
      <c r="AF87" s="102" t="str">
        <f t="shared" si="259"/>
        <v/>
      </c>
      <c r="AG87" s="103" t="str">
        <f t="shared" si="260"/>
        <v/>
      </c>
      <c r="AH87" s="104">
        <f t="shared" si="261"/>
        <v>0</v>
      </c>
      <c r="AI87" s="99" t="str">
        <f t="shared" si="262"/>
        <v/>
      </c>
      <c r="AJ87" s="100" t="str">
        <f t="shared" si="263"/>
        <v/>
      </c>
      <c r="AK87" s="101">
        <f t="shared" si="264"/>
        <v>0</v>
      </c>
      <c r="AL87" s="102" t="str">
        <f t="shared" si="265"/>
        <v/>
      </c>
      <c r="AM87" s="103" t="str">
        <f t="shared" si="266"/>
        <v/>
      </c>
      <c r="AN87" s="104">
        <f t="shared" si="267"/>
        <v>0</v>
      </c>
      <c r="AO87" s="99" t="str">
        <f t="shared" si="268"/>
        <v/>
      </c>
      <c r="AP87" s="100" t="str">
        <f t="shared" si="269"/>
        <v/>
      </c>
      <c r="AQ87" s="101">
        <f t="shared" si="270"/>
        <v>0</v>
      </c>
      <c r="AR87" s="102" t="str">
        <f t="shared" si="271"/>
        <v/>
      </c>
      <c r="AS87" s="103" t="str">
        <f t="shared" si="272"/>
        <v/>
      </c>
      <c r="AT87" s="104">
        <f t="shared" si="273"/>
        <v>0</v>
      </c>
      <c r="AU87" s="99" t="str">
        <f t="shared" si="274"/>
        <v/>
      </c>
      <c r="AV87" s="100" t="str">
        <f t="shared" si="275"/>
        <v/>
      </c>
      <c r="AW87" s="101">
        <f t="shared" si="276"/>
        <v>0</v>
      </c>
      <c r="AX87" s="102" t="str">
        <f t="shared" si="277"/>
        <v/>
      </c>
      <c r="AY87" s="103" t="str">
        <f t="shared" si="278"/>
        <v/>
      </c>
      <c r="AZ87" s="104">
        <f t="shared" si="279"/>
        <v>0</v>
      </c>
      <c r="BA87" s="99" t="str">
        <f t="shared" si="280"/>
        <v/>
      </c>
      <c r="BB87" s="100" t="str">
        <f t="shared" si="281"/>
        <v/>
      </c>
      <c r="BC87" s="101">
        <f t="shared" si="282"/>
        <v>0</v>
      </c>
      <c r="BD87" s="102" t="str">
        <f t="shared" si="283"/>
        <v/>
      </c>
      <c r="BE87" s="103" t="str">
        <f t="shared" si="284"/>
        <v/>
      </c>
      <c r="BF87" s="104">
        <f t="shared" si="285"/>
        <v>0</v>
      </c>
      <c r="BG87" s="99" t="str">
        <f t="shared" si="286"/>
        <v/>
      </c>
      <c r="BH87" s="100" t="str">
        <f t="shared" si="287"/>
        <v/>
      </c>
      <c r="BI87" s="101">
        <f t="shared" si="288"/>
        <v>0</v>
      </c>
      <c r="BJ87" s="102" t="str">
        <f t="shared" si="289"/>
        <v/>
      </c>
      <c r="BK87" s="103" t="str">
        <f t="shared" si="290"/>
        <v/>
      </c>
      <c r="BL87" s="104">
        <f t="shared" si="291"/>
        <v>0</v>
      </c>
      <c r="BM87" s="99" t="str">
        <f t="shared" si="292"/>
        <v/>
      </c>
      <c r="BN87" s="100" t="str">
        <f t="shared" si="293"/>
        <v/>
      </c>
      <c r="BO87" s="101">
        <f t="shared" si="294"/>
        <v>0</v>
      </c>
      <c r="BP87" s="102" t="str">
        <f t="shared" si="295"/>
        <v/>
      </c>
      <c r="BQ87" s="103" t="str">
        <f t="shared" si="296"/>
        <v/>
      </c>
      <c r="BR87" s="104">
        <f t="shared" si="297"/>
        <v>0</v>
      </c>
      <c r="BS87" s="99" t="str">
        <f t="shared" si="298"/>
        <v/>
      </c>
      <c r="BT87" s="100" t="str">
        <f t="shared" si="299"/>
        <v/>
      </c>
      <c r="BU87" s="101">
        <f t="shared" si="300"/>
        <v>0</v>
      </c>
      <c r="BV87" s="102" t="str">
        <f t="shared" si="301"/>
        <v/>
      </c>
      <c r="BW87" s="103" t="str">
        <f t="shared" si="302"/>
        <v/>
      </c>
      <c r="BX87" s="104">
        <f t="shared" si="303"/>
        <v>0</v>
      </c>
      <c r="BY87" s="99" t="str">
        <f t="shared" si="304"/>
        <v/>
      </c>
      <c r="BZ87" s="100" t="str">
        <f t="shared" si="305"/>
        <v/>
      </c>
      <c r="CA87" s="101">
        <f t="shared" si="306"/>
        <v>0</v>
      </c>
      <c r="CB87" s="102" t="str">
        <f t="shared" si="307"/>
        <v/>
      </c>
      <c r="CC87" s="103" t="str">
        <f t="shared" si="308"/>
        <v/>
      </c>
      <c r="CD87" s="104">
        <f t="shared" si="309"/>
        <v>0</v>
      </c>
      <c r="CE87" s="99" t="str">
        <f t="shared" si="310"/>
        <v/>
      </c>
      <c r="CF87" s="100" t="str">
        <f t="shared" si="311"/>
        <v/>
      </c>
      <c r="CG87" s="101">
        <f t="shared" si="312"/>
        <v>0</v>
      </c>
      <c r="CH87" s="102" t="str">
        <f t="shared" si="313"/>
        <v/>
      </c>
      <c r="CI87" s="103" t="str">
        <f t="shared" si="314"/>
        <v/>
      </c>
      <c r="CJ87" s="104">
        <f t="shared" si="315"/>
        <v>0</v>
      </c>
      <c r="CK87" s="99" t="str">
        <f t="shared" si="316"/>
        <v/>
      </c>
      <c r="CL87" s="100" t="str">
        <f t="shared" si="317"/>
        <v/>
      </c>
      <c r="CM87" s="101">
        <f t="shared" si="318"/>
        <v>0</v>
      </c>
      <c r="CN87" s="102" t="str">
        <f t="shared" si="319"/>
        <v/>
      </c>
      <c r="CO87" s="103" t="str">
        <f t="shared" si="320"/>
        <v/>
      </c>
      <c r="CP87" s="104">
        <f t="shared" si="321"/>
        <v>0</v>
      </c>
      <c r="CQ87" s="99" t="str">
        <f t="shared" si="322"/>
        <v/>
      </c>
      <c r="CR87" s="100" t="str">
        <f t="shared" si="323"/>
        <v/>
      </c>
      <c r="CS87" s="101">
        <f t="shared" si="324"/>
        <v>0</v>
      </c>
      <c r="CT87" s="102" t="str">
        <f t="shared" si="325"/>
        <v/>
      </c>
      <c r="CU87" s="103" t="str">
        <f t="shared" si="326"/>
        <v/>
      </c>
      <c r="CV87" s="104">
        <f t="shared" si="327"/>
        <v>0</v>
      </c>
      <c r="CW87" s="99" t="str">
        <f t="shared" si="328"/>
        <v/>
      </c>
      <c r="CX87" s="100" t="str">
        <f t="shared" si="329"/>
        <v/>
      </c>
      <c r="CY87" s="101">
        <f t="shared" si="330"/>
        <v>0</v>
      </c>
      <c r="CZ87" s="102" t="str">
        <f t="shared" si="331"/>
        <v/>
      </c>
      <c r="DA87" s="103" t="str">
        <f t="shared" si="332"/>
        <v/>
      </c>
      <c r="DB87" s="104">
        <f t="shared" si="333"/>
        <v>0</v>
      </c>
      <c r="DC87" s="99" t="str">
        <f t="shared" si="334"/>
        <v/>
      </c>
      <c r="DD87" s="100" t="str">
        <f t="shared" si="335"/>
        <v/>
      </c>
      <c r="DE87" s="101">
        <f t="shared" si="336"/>
        <v>0</v>
      </c>
      <c r="DF87" s="102" t="str">
        <f t="shared" si="337"/>
        <v/>
      </c>
      <c r="DG87" s="103" t="str">
        <f t="shared" si="338"/>
        <v/>
      </c>
      <c r="DH87" s="104">
        <f t="shared" si="339"/>
        <v>0</v>
      </c>
      <c r="DI87" s="99" t="str">
        <f t="shared" si="340"/>
        <v/>
      </c>
      <c r="DJ87" s="100" t="str">
        <f t="shared" si="341"/>
        <v/>
      </c>
      <c r="DK87" s="101">
        <f t="shared" si="342"/>
        <v>0</v>
      </c>
      <c r="DL87" s="102" t="str">
        <f t="shared" si="343"/>
        <v/>
      </c>
      <c r="DM87" s="103" t="str">
        <f t="shared" si="344"/>
        <v/>
      </c>
      <c r="DN87" s="104">
        <f t="shared" si="345"/>
        <v>0</v>
      </c>
      <c r="DO87" s="99" t="str">
        <f t="shared" si="346"/>
        <v/>
      </c>
      <c r="DP87" s="100" t="str">
        <f t="shared" si="347"/>
        <v/>
      </c>
      <c r="DQ87" s="101">
        <f t="shared" si="348"/>
        <v>0</v>
      </c>
      <c r="DR87" s="102" t="str">
        <f t="shared" si="349"/>
        <v/>
      </c>
      <c r="DS87" s="103" t="str">
        <f t="shared" si="350"/>
        <v/>
      </c>
      <c r="DT87" s="104">
        <f t="shared" si="351"/>
        <v>0</v>
      </c>
    </row>
    <row r="88" ht="15.75" hidden="1" customHeight="1">
      <c r="A88" s="12" t="str">
        <f>Menus!B48</f>
        <v/>
      </c>
      <c r="B88" s="32">
        <f t="shared" si="231"/>
        <v>0</v>
      </c>
      <c r="C88" s="32">
        <f t="shared" si="232"/>
        <v>0</v>
      </c>
      <c r="D88" s="32">
        <f t="shared" si="233"/>
        <v>0</v>
      </c>
      <c r="E88" s="93" t="str">
        <f t="shared" si="234"/>
        <v/>
      </c>
      <c r="F88" s="94" t="str">
        <f t="shared" si="235"/>
        <v/>
      </c>
      <c r="G88" s="95">
        <f t="shared" si="236"/>
        <v>0</v>
      </c>
      <c r="H88" s="96" t="str">
        <f t="array" ref="H88">IFERROR(XLOOKUP($A88,'Gastos Admon'!$A$7:$A171,INDIRECT($B$9)),"")</f>
        <v/>
      </c>
      <c r="I88" s="97" t="str">
        <f t="array" ref="I88">IFERROR(XLOOKUP($A88,'Gastos Admon'!$A$7:$A171,INDIRECT($C$9)),"")</f>
        <v/>
      </c>
      <c r="J88" s="98">
        <f t="shared" si="237"/>
        <v>0</v>
      </c>
      <c r="K88" s="99" t="str">
        <f t="shared" si="238"/>
        <v/>
      </c>
      <c r="L88" s="100" t="str">
        <f t="shared" si="239"/>
        <v/>
      </c>
      <c r="M88" s="101">
        <f t="shared" si="240"/>
        <v>0</v>
      </c>
      <c r="N88" s="102" t="str">
        <f t="shared" si="241"/>
        <v/>
      </c>
      <c r="O88" s="103" t="str">
        <f t="shared" si="242"/>
        <v/>
      </c>
      <c r="P88" s="104">
        <f t="shared" si="243"/>
        <v>0</v>
      </c>
      <c r="Q88" s="99" t="str">
        <f t="shared" si="244"/>
        <v/>
      </c>
      <c r="R88" s="100" t="str">
        <f t="shared" si="245"/>
        <v/>
      </c>
      <c r="S88" s="101">
        <f t="shared" si="246"/>
        <v>0</v>
      </c>
      <c r="T88" s="102" t="str">
        <f t="shared" si="247"/>
        <v/>
      </c>
      <c r="U88" s="103" t="str">
        <f t="shared" si="248"/>
        <v/>
      </c>
      <c r="V88" s="104">
        <f t="shared" si="249"/>
        <v>0</v>
      </c>
      <c r="W88" s="99" t="str">
        <f t="shared" si="250"/>
        <v/>
      </c>
      <c r="X88" s="100" t="str">
        <f t="shared" si="251"/>
        <v/>
      </c>
      <c r="Y88" s="101">
        <f t="shared" si="252"/>
        <v>0</v>
      </c>
      <c r="Z88" s="102" t="str">
        <f t="shared" si="253"/>
        <v/>
      </c>
      <c r="AA88" s="103" t="str">
        <f t="shared" si="254"/>
        <v/>
      </c>
      <c r="AB88" s="104">
        <f t="shared" si="255"/>
        <v>0</v>
      </c>
      <c r="AC88" s="99" t="str">
        <f t="shared" si="256"/>
        <v/>
      </c>
      <c r="AD88" s="100" t="str">
        <f t="shared" si="257"/>
        <v/>
      </c>
      <c r="AE88" s="101">
        <f t="shared" si="258"/>
        <v>0</v>
      </c>
      <c r="AF88" s="102" t="str">
        <f t="shared" si="259"/>
        <v/>
      </c>
      <c r="AG88" s="103" t="str">
        <f t="shared" si="260"/>
        <v/>
      </c>
      <c r="AH88" s="104">
        <f t="shared" si="261"/>
        <v>0</v>
      </c>
      <c r="AI88" s="99" t="str">
        <f t="shared" si="262"/>
        <v/>
      </c>
      <c r="AJ88" s="100" t="str">
        <f t="shared" si="263"/>
        <v/>
      </c>
      <c r="AK88" s="101">
        <f t="shared" si="264"/>
        <v>0</v>
      </c>
      <c r="AL88" s="102" t="str">
        <f t="shared" si="265"/>
        <v/>
      </c>
      <c r="AM88" s="103" t="str">
        <f t="shared" si="266"/>
        <v/>
      </c>
      <c r="AN88" s="104">
        <f t="shared" si="267"/>
        <v>0</v>
      </c>
      <c r="AO88" s="99" t="str">
        <f t="shared" si="268"/>
        <v/>
      </c>
      <c r="AP88" s="100" t="str">
        <f t="shared" si="269"/>
        <v/>
      </c>
      <c r="AQ88" s="101">
        <f t="shared" si="270"/>
        <v>0</v>
      </c>
      <c r="AR88" s="102" t="str">
        <f t="shared" si="271"/>
        <v/>
      </c>
      <c r="AS88" s="103" t="str">
        <f t="shared" si="272"/>
        <v/>
      </c>
      <c r="AT88" s="104">
        <f t="shared" si="273"/>
        <v>0</v>
      </c>
      <c r="AU88" s="99" t="str">
        <f t="shared" si="274"/>
        <v/>
      </c>
      <c r="AV88" s="100" t="str">
        <f t="shared" si="275"/>
        <v/>
      </c>
      <c r="AW88" s="101">
        <f t="shared" si="276"/>
        <v>0</v>
      </c>
      <c r="AX88" s="102" t="str">
        <f t="shared" si="277"/>
        <v/>
      </c>
      <c r="AY88" s="103" t="str">
        <f t="shared" si="278"/>
        <v/>
      </c>
      <c r="AZ88" s="104">
        <f t="shared" si="279"/>
        <v>0</v>
      </c>
      <c r="BA88" s="99" t="str">
        <f t="shared" si="280"/>
        <v/>
      </c>
      <c r="BB88" s="100" t="str">
        <f t="shared" si="281"/>
        <v/>
      </c>
      <c r="BC88" s="101">
        <f t="shared" si="282"/>
        <v>0</v>
      </c>
      <c r="BD88" s="102" t="str">
        <f t="shared" si="283"/>
        <v/>
      </c>
      <c r="BE88" s="103" t="str">
        <f t="shared" si="284"/>
        <v/>
      </c>
      <c r="BF88" s="104">
        <f t="shared" si="285"/>
        <v>0</v>
      </c>
      <c r="BG88" s="99" t="str">
        <f t="shared" si="286"/>
        <v/>
      </c>
      <c r="BH88" s="100" t="str">
        <f t="shared" si="287"/>
        <v/>
      </c>
      <c r="BI88" s="101">
        <f t="shared" si="288"/>
        <v>0</v>
      </c>
      <c r="BJ88" s="102" t="str">
        <f t="shared" si="289"/>
        <v/>
      </c>
      <c r="BK88" s="103" t="str">
        <f t="shared" si="290"/>
        <v/>
      </c>
      <c r="BL88" s="104">
        <f t="shared" si="291"/>
        <v>0</v>
      </c>
      <c r="BM88" s="99" t="str">
        <f t="shared" si="292"/>
        <v/>
      </c>
      <c r="BN88" s="100" t="str">
        <f t="shared" si="293"/>
        <v/>
      </c>
      <c r="BO88" s="101">
        <f t="shared" si="294"/>
        <v>0</v>
      </c>
      <c r="BP88" s="102" t="str">
        <f t="shared" si="295"/>
        <v/>
      </c>
      <c r="BQ88" s="103" t="str">
        <f t="shared" si="296"/>
        <v/>
      </c>
      <c r="BR88" s="104">
        <f t="shared" si="297"/>
        <v>0</v>
      </c>
      <c r="BS88" s="99" t="str">
        <f t="shared" si="298"/>
        <v/>
      </c>
      <c r="BT88" s="100" t="str">
        <f t="shared" si="299"/>
        <v/>
      </c>
      <c r="BU88" s="101">
        <f t="shared" si="300"/>
        <v>0</v>
      </c>
      <c r="BV88" s="102" t="str">
        <f t="shared" si="301"/>
        <v/>
      </c>
      <c r="BW88" s="103" t="str">
        <f t="shared" si="302"/>
        <v/>
      </c>
      <c r="BX88" s="104">
        <f t="shared" si="303"/>
        <v>0</v>
      </c>
      <c r="BY88" s="99" t="str">
        <f t="shared" si="304"/>
        <v/>
      </c>
      <c r="BZ88" s="100" t="str">
        <f t="shared" si="305"/>
        <v/>
      </c>
      <c r="CA88" s="101">
        <f t="shared" si="306"/>
        <v>0</v>
      </c>
      <c r="CB88" s="102" t="str">
        <f t="shared" si="307"/>
        <v/>
      </c>
      <c r="CC88" s="103" t="str">
        <f t="shared" si="308"/>
        <v/>
      </c>
      <c r="CD88" s="104">
        <f t="shared" si="309"/>
        <v>0</v>
      </c>
      <c r="CE88" s="99" t="str">
        <f t="shared" si="310"/>
        <v/>
      </c>
      <c r="CF88" s="100" t="str">
        <f t="shared" si="311"/>
        <v/>
      </c>
      <c r="CG88" s="101">
        <f t="shared" si="312"/>
        <v>0</v>
      </c>
      <c r="CH88" s="102" t="str">
        <f t="shared" si="313"/>
        <v/>
      </c>
      <c r="CI88" s="103" t="str">
        <f t="shared" si="314"/>
        <v/>
      </c>
      <c r="CJ88" s="104">
        <f t="shared" si="315"/>
        <v>0</v>
      </c>
      <c r="CK88" s="99" t="str">
        <f t="shared" si="316"/>
        <v/>
      </c>
      <c r="CL88" s="100" t="str">
        <f t="shared" si="317"/>
        <v/>
      </c>
      <c r="CM88" s="101">
        <f t="shared" si="318"/>
        <v>0</v>
      </c>
      <c r="CN88" s="102" t="str">
        <f t="shared" si="319"/>
        <v/>
      </c>
      <c r="CO88" s="103" t="str">
        <f t="shared" si="320"/>
        <v/>
      </c>
      <c r="CP88" s="104">
        <f t="shared" si="321"/>
        <v>0</v>
      </c>
      <c r="CQ88" s="99" t="str">
        <f t="shared" si="322"/>
        <v/>
      </c>
      <c r="CR88" s="100" t="str">
        <f t="shared" si="323"/>
        <v/>
      </c>
      <c r="CS88" s="101">
        <f t="shared" si="324"/>
        <v>0</v>
      </c>
      <c r="CT88" s="102" t="str">
        <f t="shared" si="325"/>
        <v/>
      </c>
      <c r="CU88" s="103" t="str">
        <f t="shared" si="326"/>
        <v/>
      </c>
      <c r="CV88" s="104">
        <f t="shared" si="327"/>
        <v>0</v>
      </c>
      <c r="CW88" s="99" t="str">
        <f t="shared" si="328"/>
        <v/>
      </c>
      <c r="CX88" s="100" t="str">
        <f t="shared" si="329"/>
        <v/>
      </c>
      <c r="CY88" s="101">
        <f t="shared" si="330"/>
        <v>0</v>
      </c>
      <c r="CZ88" s="102" t="str">
        <f t="shared" si="331"/>
        <v/>
      </c>
      <c r="DA88" s="103" t="str">
        <f t="shared" si="332"/>
        <v/>
      </c>
      <c r="DB88" s="104">
        <f t="shared" si="333"/>
        <v>0</v>
      </c>
      <c r="DC88" s="99" t="str">
        <f t="shared" si="334"/>
        <v/>
      </c>
      <c r="DD88" s="100" t="str">
        <f t="shared" si="335"/>
        <v/>
      </c>
      <c r="DE88" s="101">
        <f t="shared" si="336"/>
        <v>0</v>
      </c>
      <c r="DF88" s="102" t="str">
        <f t="shared" si="337"/>
        <v/>
      </c>
      <c r="DG88" s="103" t="str">
        <f t="shared" si="338"/>
        <v/>
      </c>
      <c r="DH88" s="104">
        <f t="shared" si="339"/>
        <v>0</v>
      </c>
      <c r="DI88" s="99" t="str">
        <f t="shared" si="340"/>
        <v/>
      </c>
      <c r="DJ88" s="100" t="str">
        <f t="shared" si="341"/>
        <v/>
      </c>
      <c r="DK88" s="101">
        <f t="shared" si="342"/>
        <v>0</v>
      </c>
      <c r="DL88" s="102" t="str">
        <f t="shared" si="343"/>
        <v/>
      </c>
      <c r="DM88" s="103" t="str">
        <f t="shared" si="344"/>
        <v/>
      </c>
      <c r="DN88" s="104">
        <f t="shared" si="345"/>
        <v>0</v>
      </c>
      <c r="DO88" s="99" t="str">
        <f t="shared" si="346"/>
        <v/>
      </c>
      <c r="DP88" s="100" t="str">
        <f t="shared" si="347"/>
        <v/>
      </c>
      <c r="DQ88" s="101">
        <f t="shared" si="348"/>
        <v>0</v>
      </c>
      <c r="DR88" s="102" t="str">
        <f t="shared" si="349"/>
        <v/>
      </c>
      <c r="DS88" s="103" t="str">
        <f t="shared" si="350"/>
        <v/>
      </c>
      <c r="DT88" s="104">
        <f t="shared" si="351"/>
        <v>0</v>
      </c>
    </row>
    <row r="89" ht="15.75" hidden="1" customHeight="1">
      <c r="A89" s="12" t="str">
        <f>Menus!B49</f>
        <v/>
      </c>
      <c r="B89" s="32">
        <f t="shared" si="231"/>
        <v>0</v>
      </c>
      <c r="C89" s="32">
        <f t="shared" si="232"/>
        <v>0</v>
      </c>
      <c r="D89" s="32">
        <f t="shared" si="233"/>
        <v>0</v>
      </c>
      <c r="E89" s="93" t="str">
        <f t="shared" si="234"/>
        <v/>
      </c>
      <c r="F89" s="94" t="str">
        <f t="shared" si="235"/>
        <v/>
      </c>
      <c r="G89" s="95">
        <f t="shared" si="236"/>
        <v>0</v>
      </c>
      <c r="H89" s="96" t="str">
        <f t="array" ref="H89">IFERROR(XLOOKUP($A89,'Gastos Admon'!$A$7:$A171,INDIRECT($B$9)),"")</f>
        <v/>
      </c>
      <c r="I89" s="97" t="str">
        <f t="array" ref="I89">IFERROR(XLOOKUP($A89,'Gastos Admon'!$A$7:$A171,INDIRECT($C$9)),"")</f>
        <v/>
      </c>
      <c r="J89" s="98">
        <f t="shared" si="237"/>
        <v>0</v>
      </c>
      <c r="K89" s="99" t="str">
        <f t="shared" si="238"/>
        <v/>
      </c>
      <c r="L89" s="100" t="str">
        <f t="shared" si="239"/>
        <v/>
      </c>
      <c r="M89" s="101">
        <f t="shared" si="240"/>
        <v>0</v>
      </c>
      <c r="N89" s="102" t="str">
        <f t="shared" si="241"/>
        <v/>
      </c>
      <c r="O89" s="103" t="str">
        <f t="shared" si="242"/>
        <v/>
      </c>
      <c r="P89" s="104">
        <f t="shared" si="243"/>
        <v>0</v>
      </c>
      <c r="Q89" s="99" t="str">
        <f t="shared" si="244"/>
        <v/>
      </c>
      <c r="R89" s="100" t="str">
        <f t="shared" si="245"/>
        <v/>
      </c>
      <c r="S89" s="101">
        <f t="shared" si="246"/>
        <v>0</v>
      </c>
      <c r="T89" s="102" t="str">
        <f t="shared" si="247"/>
        <v/>
      </c>
      <c r="U89" s="103" t="str">
        <f t="shared" si="248"/>
        <v/>
      </c>
      <c r="V89" s="104">
        <f t="shared" si="249"/>
        <v>0</v>
      </c>
      <c r="W89" s="99" t="str">
        <f t="shared" si="250"/>
        <v/>
      </c>
      <c r="X89" s="100" t="str">
        <f t="shared" si="251"/>
        <v/>
      </c>
      <c r="Y89" s="101">
        <f t="shared" si="252"/>
        <v>0</v>
      </c>
      <c r="Z89" s="102" t="str">
        <f t="shared" si="253"/>
        <v/>
      </c>
      <c r="AA89" s="103" t="str">
        <f t="shared" si="254"/>
        <v/>
      </c>
      <c r="AB89" s="104">
        <f t="shared" si="255"/>
        <v>0</v>
      </c>
      <c r="AC89" s="99" t="str">
        <f t="shared" si="256"/>
        <v/>
      </c>
      <c r="AD89" s="100" t="str">
        <f t="shared" si="257"/>
        <v/>
      </c>
      <c r="AE89" s="101">
        <f t="shared" si="258"/>
        <v>0</v>
      </c>
      <c r="AF89" s="102" t="str">
        <f t="shared" si="259"/>
        <v/>
      </c>
      <c r="AG89" s="103" t="str">
        <f t="shared" si="260"/>
        <v/>
      </c>
      <c r="AH89" s="104">
        <f t="shared" si="261"/>
        <v>0</v>
      </c>
      <c r="AI89" s="99" t="str">
        <f t="shared" si="262"/>
        <v/>
      </c>
      <c r="AJ89" s="100" t="str">
        <f t="shared" si="263"/>
        <v/>
      </c>
      <c r="AK89" s="101">
        <f t="shared" si="264"/>
        <v>0</v>
      </c>
      <c r="AL89" s="102" t="str">
        <f t="shared" si="265"/>
        <v/>
      </c>
      <c r="AM89" s="103" t="str">
        <f t="shared" si="266"/>
        <v/>
      </c>
      <c r="AN89" s="104">
        <f t="shared" si="267"/>
        <v>0</v>
      </c>
      <c r="AO89" s="99" t="str">
        <f t="shared" si="268"/>
        <v/>
      </c>
      <c r="AP89" s="100" t="str">
        <f t="shared" si="269"/>
        <v/>
      </c>
      <c r="AQ89" s="101">
        <f t="shared" si="270"/>
        <v>0</v>
      </c>
      <c r="AR89" s="102" t="str">
        <f t="shared" si="271"/>
        <v/>
      </c>
      <c r="AS89" s="103" t="str">
        <f t="shared" si="272"/>
        <v/>
      </c>
      <c r="AT89" s="104">
        <f t="shared" si="273"/>
        <v>0</v>
      </c>
      <c r="AU89" s="99" t="str">
        <f t="shared" si="274"/>
        <v/>
      </c>
      <c r="AV89" s="100" t="str">
        <f t="shared" si="275"/>
        <v/>
      </c>
      <c r="AW89" s="101">
        <f t="shared" si="276"/>
        <v>0</v>
      </c>
      <c r="AX89" s="102" t="str">
        <f t="shared" si="277"/>
        <v/>
      </c>
      <c r="AY89" s="103" t="str">
        <f t="shared" si="278"/>
        <v/>
      </c>
      <c r="AZ89" s="104">
        <f t="shared" si="279"/>
        <v>0</v>
      </c>
      <c r="BA89" s="99" t="str">
        <f t="shared" si="280"/>
        <v/>
      </c>
      <c r="BB89" s="100" t="str">
        <f t="shared" si="281"/>
        <v/>
      </c>
      <c r="BC89" s="101">
        <f t="shared" si="282"/>
        <v>0</v>
      </c>
      <c r="BD89" s="102" t="str">
        <f t="shared" si="283"/>
        <v/>
      </c>
      <c r="BE89" s="103" t="str">
        <f t="shared" si="284"/>
        <v/>
      </c>
      <c r="BF89" s="104">
        <f t="shared" si="285"/>
        <v>0</v>
      </c>
      <c r="BG89" s="99" t="str">
        <f t="shared" si="286"/>
        <v/>
      </c>
      <c r="BH89" s="100" t="str">
        <f t="shared" si="287"/>
        <v/>
      </c>
      <c r="BI89" s="101">
        <f t="shared" si="288"/>
        <v>0</v>
      </c>
      <c r="BJ89" s="102" t="str">
        <f t="shared" si="289"/>
        <v/>
      </c>
      <c r="BK89" s="103" t="str">
        <f t="shared" si="290"/>
        <v/>
      </c>
      <c r="BL89" s="104">
        <f t="shared" si="291"/>
        <v>0</v>
      </c>
      <c r="BM89" s="99" t="str">
        <f t="shared" si="292"/>
        <v/>
      </c>
      <c r="BN89" s="100" t="str">
        <f t="shared" si="293"/>
        <v/>
      </c>
      <c r="BO89" s="101">
        <f t="shared" si="294"/>
        <v>0</v>
      </c>
      <c r="BP89" s="102" t="str">
        <f t="shared" si="295"/>
        <v/>
      </c>
      <c r="BQ89" s="103" t="str">
        <f t="shared" si="296"/>
        <v/>
      </c>
      <c r="BR89" s="104">
        <f t="shared" si="297"/>
        <v>0</v>
      </c>
      <c r="BS89" s="99" t="str">
        <f t="shared" si="298"/>
        <v/>
      </c>
      <c r="BT89" s="100" t="str">
        <f t="shared" si="299"/>
        <v/>
      </c>
      <c r="BU89" s="101">
        <f t="shared" si="300"/>
        <v>0</v>
      </c>
      <c r="BV89" s="102" t="str">
        <f t="shared" si="301"/>
        <v/>
      </c>
      <c r="BW89" s="103" t="str">
        <f t="shared" si="302"/>
        <v/>
      </c>
      <c r="BX89" s="104">
        <f t="shared" si="303"/>
        <v>0</v>
      </c>
      <c r="BY89" s="99" t="str">
        <f t="shared" si="304"/>
        <v/>
      </c>
      <c r="BZ89" s="100" t="str">
        <f t="shared" si="305"/>
        <v/>
      </c>
      <c r="CA89" s="101">
        <f t="shared" si="306"/>
        <v>0</v>
      </c>
      <c r="CB89" s="102" t="str">
        <f t="shared" si="307"/>
        <v/>
      </c>
      <c r="CC89" s="103" t="str">
        <f t="shared" si="308"/>
        <v/>
      </c>
      <c r="CD89" s="104">
        <f t="shared" si="309"/>
        <v>0</v>
      </c>
      <c r="CE89" s="99" t="str">
        <f t="shared" si="310"/>
        <v/>
      </c>
      <c r="CF89" s="100" t="str">
        <f t="shared" si="311"/>
        <v/>
      </c>
      <c r="CG89" s="101">
        <f t="shared" si="312"/>
        <v>0</v>
      </c>
      <c r="CH89" s="102" t="str">
        <f t="shared" si="313"/>
        <v/>
      </c>
      <c r="CI89" s="103" t="str">
        <f t="shared" si="314"/>
        <v/>
      </c>
      <c r="CJ89" s="104">
        <f t="shared" si="315"/>
        <v>0</v>
      </c>
      <c r="CK89" s="99" t="str">
        <f t="shared" si="316"/>
        <v/>
      </c>
      <c r="CL89" s="100" t="str">
        <f t="shared" si="317"/>
        <v/>
      </c>
      <c r="CM89" s="101">
        <f t="shared" si="318"/>
        <v>0</v>
      </c>
      <c r="CN89" s="102" t="str">
        <f t="shared" si="319"/>
        <v/>
      </c>
      <c r="CO89" s="103" t="str">
        <f t="shared" si="320"/>
        <v/>
      </c>
      <c r="CP89" s="104">
        <f t="shared" si="321"/>
        <v>0</v>
      </c>
      <c r="CQ89" s="99" t="str">
        <f t="shared" si="322"/>
        <v/>
      </c>
      <c r="CR89" s="100" t="str">
        <f t="shared" si="323"/>
        <v/>
      </c>
      <c r="CS89" s="101">
        <f t="shared" si="324"/>
        <v>0</v>
      </c>
      <c r="CT89" s="102" t="str">
        <f t="shared" si="325"/>
        <v/>
      </c>
      <c r="CU89" s="103" t="str">
        <f t="shared" si="326"/>
        <v/>
      </c>
      <c r="CV89" s="104">
        <f t="shared" si="327"/>
        <v>0</v>
      </c>
      <c r="CW89" s="99" t="str">
        <f t="shared" si="328"/>
        <v/>
      </c>
      <c r="CX89" s="100" t="str">
        <f t="shared" si="329"/>
        <v/>
      </c>
      <c r="CY89" s="101">
        <f t="shared" si="330"/>
        <v>0</v>
      </c>
      <c r="CZ89" s="102" t="str">
        <f t="shared" si="331"/>
        <v/>
      </c>
      <c r="DA89" s="103" t="str">
        <f t="shared" si="332"/>
        <v/>
      </c>
      <c r="DB89" s="104">
        <f t="shared" si="333"/>
        <v>0</v>
      </c>
      <c r="DC89" s="99" t="str">
        <f t="shared" si="334"/>
        <v/>
      </c>
      <c r="DD89" s="100" t="str">
        <f t="shared" si="335"/>
        <v/>
      </c>
      <c r="DE89" s="101">
        <f t="shared" si="336"/>
        <v>0</v>
      </c>
      <c r="DF89" s="102" t="str">
        <f t="shared" si="337"/>
        <v/>
      </c>
      <c r="DG89" s="103" t="str">
        <f t="shared" si="338"/>
        <v/>
      </c>
      <c r="DH89" s="104">
        <f t="shared" si="339"/>
        <v>0</v>
      </c>
      <c r="DI89" s="99" t="str">
        <f t="shared" si="340"/>
        <v/>
      </c>
      <c r="DJ89" s="100" t="str">
        <f t="shared" si="341"/>
        <v/>
      </c>
      <c r="DK89" s="101">
        <f t="shared" si="342"/>
        <v>0</v>
      </c>
      <c r="DL89" s="102" t="str">
        <f t="shared" si="343"/>
        <v/>
      </c>
      <c r="DM89" s="103" t="str">
        <f t="shared" si="344"/>
        <v/>
      </c>
      <c r="DN89" s="104">
        <f t="shared" si="345"/>
        <v>0</v>
      </c>
      <c r="DO89" s="99" t="str">
        <f t="shared" si="346"/>
        <v/>
      </c>
      <c r="DP89" s="100" t="str">
        <f t="shared" si="347"/>
        <v/>
      </c>
      <c r="DQ89" s="101">
        <f t="shared" si="348"/>
        <v>0</v>
      </c>
      <c r="DR89" s="102" t="str">
        <f t="shared" si="349"/>
        <v/>
      </c>
      <c r="DS89" s="103" t="str">
        <f t="shared" si="350"/>
        <v/>
      </c>
      <c r="DT89" s="104">
        <f t="shared" si="351"/>
        <v>0</v>
      </c>
    </row>
    <row r="90" ht="15.75" hidden="1" customHeight="1">
      <c r="A90" s="12" t="str">
        <f>Menus!B50</f>
        <v/>
      </c>
      <c r="B90" s="32">
        <f t="shared" si="231"/>
        <v>0</v>
      </c>
      <c r="C90" s="32">
        <f t="shared" si="232"/>
        <v>0</v>
      </c>
      <c r="D90" s="32">
        <f t="shared" si="233"/>
        <v>0</v>
      </c>
      <c r="E90" s="93" t="str">
        <f t="shared" si="234"/>
        <v/>
      </c>
      <c r="F90" s="94" t="str">
        <f t="shared" si="235"/>
        <v/>
      </c>
      <c r="G90" s="95">
        <f t="shared" si="236"/>
        <v>0</v>
      </c>
      <c r="H90" s="96" t="str">
        <f t="array" ref="H90">IFERROR(XLOOKUP($A90,'Gastos Admon'!$A$7:$A171,INDIRECT($B$9)),"")</f>
        <v/>
      </c>
      <c r="I90" s="97" t="str">
        <f t="array" ref="I90">IFERROR(XLOOKUP($A90,'Gastos Admon'!$A$7:$A171,INDIRECT($C$9)),"")</f>
        <v/>
      </c>
      <c r="J90" s="98">
        <f t="shared" si="237"/>
        <v>0</v>
      </c>
      <c r="K90" s="99" t="str">
        <f t="shared" si="238"/>
        <v/>
      </c>
      <c r="L90" s="100" t="str">
        <f t="shared" si="239"/>
        <v/>
      </c>
      <c r="M90" s="101">
        <f t="shared" si="240"/>
        <v>0</v>
      </c>
      <c r="N90" s="102" t="str">
        <f t="shared" si="241"/>
        <v/>
      </c>
      <c r="O90" s="103" t="str">
        <f t="shared" si="242"/>
        <v/>
      </c>
      <c r="P90" s="104">
        <f t="shared" si="243"/>
        <v>0</v>
      </c>
      <c r="Q90" s="99" t="str">
        <f t="shared" si="244"/>
        <v/>
      </c>
      <c r="R90" s="100" t="str">
        <f t="shared" si="245"/>
        <v/>
      </c>
      <c r="S90" s="101">
        <f t="shared" si="246"/>
        <v>0</v>
      </c>
      <c r="T90" s="102" t="str">
        <f t="shared" si="247"/>
        <v/>
      </c>
      <c r="U90" s="103" t="str">
        <f t="shared" si="248"/>
        <v/>
      </c>
      <c r="V90" s="104">
        <f t="shared" si="249"/>
        <v>0</v>
      </c>
      <c r="W90" s="99" t="str">
        <f t="shared" si="250"/>
        <v/>
      </c>
      <c r="X90" s="100" t="str">
        <f t="shared" si="251"/>
        <v/>
      </c>
      <c r="Y90" s="101">
        <f t="shared" si="252"/>
        <v>0</v>
      </c>
      <c r="Z90" s="102" t="str">
        <f t="shared" si="253"/>
        <v/>
      </c>
      <c r="AA90" s="103" t="str">
        <f t="shared" si="254"/>
        <v/>
      </c>
      <c r="AB90" s="104">
        <f t="shared" si="255"/>
        <v>0</v>
      </c>
      <c r="AC90" s="99" t="str">
        <f t="shared" si="256"/>
        <v/>
      </c>
      <c r="AD90" s="100" t="str">
        <f t="shared" si="257"/>
        <v/>
      </c>
      <c r="AE90" s="101">
        <f t="shared" si="258"/>
        <v>0</v>
      </c>
      <c r="AF90" s="102" t="str">
        <f t="shared" si="259"/>
        <v/>
      </c>
      <c r="AG90" s="103" t="str">
        <f t="shared" si="260"/>
        <v/>
      </c>
      <c r="AH90" s="104">
        <f t="shared" si="261"/>
        <v>0</v>
      </c>
      <c r="AI90" s="99" t="str">
        <f t="shared" si="262"/>
        <v/>
      </c>
      <c r="AJ90" s="100" t="str">
        <f t="shared" si="263"/>
        <v/>
      </c>
      <c r="AK90" s="101">
        <f t="shared" si="264"/>
        <v>0</v>
      </c>
      <c r="AL90" s="102" t="str">
        <f t="shared" si="265"/>
        <v/>
      </c>
      <c r="AM90" s="103" t="str">
        <f t="shared" si="266"/>
        <v/>
      </c>
      <c r="AN90" s="104">
        <f t="shared" si="267"/>
        <v>0</v>
      </c>
      <c r="AO90" s="99" t="str">
        <f t="shared" si="268"/>
        <v/>
      </c>
      <c r="AP90" s="100" t="str">
        <f t="shared" si="269"/>
        <v/>
      </c>
      <c r="AQ90" s="101">
        <f t="shared" si="270"/>
        <v>0</v>
      </c>
      <c r="AR90" s="102" t="str">
        <f t="shared" si="271"/>
        <v/>
      </c>
      <c r="AS90" s="103" t="str">
        <f t="shared" si="272"/>
        <v/>
      </c>
      <c r="AT90" s="104">
        <f t="shared" si="273"/>
        <v>0</v>
      </c>
      <c r="AU90" s="99" t="str">
        <f t="shared" si="274"/>
        <v/>
      </c>
      <c r="AV90" s="100" t="str">
        <f t="shared" si="275"/>
        <v/>
      </c>
      <c r="AW90" s="101">
        <f t="shared" si="276"/>
        <v>0</v>
      </c>
      <c r="AX90" s="102" t="str">
        <f t="shared" si="277"/>
        <v/>
      </c>
      <c r="AY90" s="103" t="str">
        <f t="shared" si="278"/>
        <v/>
      </c>
      <c r="AZ90" s="104">
        <f t="shared" si="279"/>
        <v>0</v>
      </c>
      <c r="BA90" s="99" t="str">
        <f t="shared" si="280"/>
        <v/>
      </c>
      <c r="BB90" s="100" t="str">
        <f t="shared" si="281"/>
        <v/>
      </c>
      <c r="BC90" s="101">
        <f t="shared" si="282"/>
        <v>0</v>
      </c>
      <c r="BD90" s="102" t="str">
        <f t="shared" si="283"/>
        <v/>
      </c>
      <c r="BE90" s="103" t="str">
        <f t="shared" si="284"/>
        <v/>
      </c>
      <c r="BF90" s="104">
        <f t="shared" si="285"/>
        <v>0</v>
      </c>
      <c r="BG90" s="99" t="str">
        <f t="shared" si="286"/>
        <v/>
      </c>
      <c r="BH90" s="100" t="str">
        <f t="shared" si="287"/>
        <v/>
      </c>
      <c r="BI90" s="101">
        <f t="shared" si="288"/>
        <v>0</v>
      </c>
      <c r="BJ90" s="102" t="str">
        <f t="shared" si="289"/>
        <v/>
      </c>
      <c r="BK90" s="103" t="str">
        <f t="shared" si="290"/>
        <v/>
      </c>
      <c r="BL90" s="104">
        <f t="shared" si="291"/>
        <v>0</v>
      </c>
      <c r="BM90" s="99" t="str">
        <f t="shared" si="292"/>
        <v/>
      </c>
      <c r="BN90" s="100" t="str">
        <f t="shared" si="293"/>
        <v/>
      </c>
      <c r="BO90" s="101">
        <f t="shared" si="294"/>
        <v>0</v>
      </c>
      <c r="BP90" s="102" t="str">
        <f t="shared" si="295"/>
        <v/>
      </c>
      <c r="BQ90" s="103" t="str">
        <f t="shared" si="296"/>
        <v/>
      </c>
      <c r="BR90" s="104">
        <f t="shared" si="297"/>
        <v>0</v>
      </c>
      <c r="BS90" s="99" t="str">
        <f t="shared" si="298"/>
        <v/>
      </c>
      <c r="BT90" s="100" t="str">
        <f t="shared" si="299"/>
        <v/>
      </c>
      <c r="BU90" s="101">
        <f t="shared" si="300"/>
        <v>0</v>
      </c>
      <c r="BV90" s="102" t="str">
        <f t="shared" si="301"/>
        <v/>
      </c>
      <c r="BW90" s="103" t="str">
        <f t="shared" si="302"/>
        <v/>
      </c>
      <c r="BX90" s="104">
        <f t="shared" si="303"/>
        <v>0</v>
      </c>
      <c r="BY90" s="99" t="str">
        <f t="shared" si="304"/>
        <v/>
      </c>
      <c r="BZ90" s="100" t="str">
        <f t="shared" si="305"/>
        <v/>
      </c>
      <c r="CA90" s="101">
        <f t="shared" si="306"/>
        <v>0</v>
      </c>
      <c r="CB90" s="102" t="str">
        <f t="shared" si="307"/>
        <v/>
      </c>
      <c r="CC90" s="103" t="str">
        <f t="shared" si="308"/>
        <v/>
      </c>
      <c r="CD90" s="104">
        <f t="shared" si="309"/>
        <v>0</v>
      </c>
      <c r="CE90" s="99" t="str">
        <f t="shared" si="310"/>
        <v/>
      </c>
      <c r="CF90" s="100" t="str">
        <f t="shared" si="311"/>
        <v/>
      </c>
      <c r="CG90" s="101">
        <f t="shared" si="312"/>
        <v>0</v>
      </c>
      <c r="CH90" s="102" t="str">
        <f t="shared" si="313"/>
        <v/>
      </c>
      <c r="CI90" s="103" t="str">
        <f t="shared" si="314"/>
        <v/>
      </c>
      <c r="CJ90" s="104">
        <f t="shared" si="315"/>
        <v>0</v>
      </c>
      <c r="CK90" s="99" t="str">
        <f t="shared" si="316"/>
        <v/>
      </c>
      <c r="CL90" s="100" t="str">
        <f t="shared" si="317"/>
        <v/>
      </c>
      <c r="CM90" s="101">
        <f t="shared" si="318"/>
        <v>0</v>
      </c>
      <c r="CN90" s="102" t="str">
        <f t="shared" si="319"/>
        <v/>
      </c>
      <c r="CO90" s="103" t="str">
        <f t="shared" si="320"/>
        <v/>
      </c>
      <c r="CP90" s="104">
        <f t="shared" si="321"/>
        <v>0</v>
      </c>
      <c r="CQ90" s="99" t="str">
        <f t="shared" si="322"/>
        <v/>
      </c>
      <c r="CR90" s="100" t="str">
        <f t="shared" si="323"/>
        <v/>
      </c>
      <c r="CS90" s="101">
        <f t="shared" si="324"/>
        <v>0</v>
      </c>
      <c r="CT90" s="102" t="str">
        <f t="shared" si="325"/>
        <v/>
      </c>
      <c r="CU90" s="103" t="str">
        <f t="shared" si="326"/>
        <v/>
      </c>
      <c r="CV90" s="104">
        <f t="shared" si="327"/>
        <v>0</v>
      </c>
      <c r="CW90" s="99" t="str">
        <f t="shared" si="328"/>
        <v/>
      </c>
      <c r="CX90" s="100" t="str">
        <f t="shared" si="329"/>
        <v/>
      </c>
      <c r="CY90" s="101">
        <f t="shared" si="330"/>
        <v>0</v>
      </c>
      <c r="CZ90" s="102" t="str">
        <f t="shared" si="331"/>
        <v/>
      </c>
      <c r="DA90" s="103" t="str">
        <f t="shared" si="332"/>
        <v/>
      </c>
      <c r="DB90" s="104">
        <f t="shared" si="333"/>
        <v>0</v>
      </c>
      <c r="DC90" s="99" t="str">
        <f t="shared" si="334"/>
        <v/>
      </c>
      <c r="DD90" s="100" t="str">
        <f t="shared" si="335"/>
        <v/>
      </c>
      <c r="DE90" s="101">
        <f t="shared" si="336"/>
        <v>0</v>
      </c>
      <c r="DF90" s="102" t="str">
        <f t="shared" si="337"/>
        <v/>
      </c>
      <c r="DG90" s="103" t="str">
        <f t="shared" si="338"/>
        <v/>
      </c>
      <c r="DH90" s="104">
        <f t="shared" si="339"/>
        <v>0</v>
      </c>
      <c r="DI90" s="99" t="str">
        <f t="shared" si="340"/>
        <v/>
      </c>
      <c r="DJ90" s="100" t="str">
        <f t="shared" si="341"/>
        <v/>
      </c>
      <c r="DK90" s="101">
        <f t="shared" si="342"/>
        <v>0</v>
      </c>
      <c r="DL90" s="102" t="str">
        <f t="shared" si="343"/>
        <v/>
      </c>
      <c r="DM90" s="103" t="str">
        <f t="shared" si="344"/>
        <v/>
      </c>
      <c r="DN90" s="104">
        <f t="shared" si="345"/>
        <v>0</v>
      </c>
      <c r="DO90" s="99" t="str">
        <f t="shared" si="346"/>
        <v/>
      </c>
      <c r="DP90" s="100" t="str">
        <f t="shared" si="347"/>
        <v/>
      </c>
      <c r="DQ90" s="101">
        <f t="shared" si="348"/>
        <v>0</v>
      </c>
      <c r="DR90" s="102" t="str">
        <f t="shared" si="349"/>
        <v/>
      </c>
      <c r="DS90" s="103" t="str">
        <f t="shared" si="350"/>
        <v/>
      </c>
      <c r="DT90" s="104">
        <f t="shared" si="351"/>
        <v>0</v>
      </c>
    </row>
    <row r="91" ht="15.75" hidden="1" customHeight="1">
      <c r="A91" s="12" t="str">
        <f>Menus!B51</f>
        <v/>
      </c>
      <c r="B91" s="32">
        <f t="shared" si="231"/>
        <v>0</v>
      </c>
      <c r="C91" s="32">
        <f t="shared" si="232"/>
        <v>0</v>
      </c>
      <c r="D91" s="32">
        <f t="shared" si="233"/>
        <v>0</v>
      </c>
      <c r="E91" s="93" t="str">
        <f t="shared" si="234"/>
        <v/>
      </c>
      <c r="F91" s="94" t="str">
        <f t="shared" si="235"/>
        <v/>
      </c>
      <c r="G91" s="95">
        <f t="shared" si="236"/>
        <v>0</v>
      </c>
      <c r="H91" s="96" t="str">
        <f t="array" ref="H91">IFERROR(XLOOKUP($A91,'Gastos Admon'!$A$7:$A171,INDIRECT($B$9)),"")</f>
        <v/>
      </c>
      <c r="I91" s="97" t="str">
        <f t="array" ref="I91">IFERROR(XLOOKUP($A91,'Gastos Admon'!$A$7:$A171,INDIRECT($C$9)),"")</f>
        <v/>
      </c>
      <c r="J91" s="98">
        <f t="shared" si="237"/>
        <v>0</v>
      </c>
      <c r="K91" s="99" t="str">
        <f t="shared" si="238"/>
        <v/>
      </c>
      <c r="L91" s="100" t="str">
        <f t="shared" si="239"/>
        <v/>
      </c>
      <c r="M91" s="101">
        <f t="shared" si="240"/>
        <v>0</v>
      </c>
      <c r="N91" s="102" t="str">
        <f t="shared" si="241"/>
        <v/>
      </c>
      <c r="O91" s="103" t="str">
        <f t="shared" si="242"/>
        <v/>
      </c>
      <c r="P91" s="104">
        <f t="shared" si="243"/>
        <v>0</v>
      </c>
      <c r="Q91" s="99" t="str">
        <f t="shared" si="244"/>
        <v/>
      </c>
      <c r="R91" s="100" t="str">
        <f t="shared" si="245"/>
        <v/>
      </c>
      <c r="S91" s="101">
        <f t="shared" si="246"/>
        <v>0</v>
      </c>
      <c r="T91" s="102" t="str">
        <f t="shared" si="247"/>
        <v/>
      </c>
      <c r="U91" s="103" t="str">
        <f t="shared" si="248"/>
        <v/>
      </c>
      <c r="V91" s="104">
        <f t="shared" si="249"/>
        <v>0</v>
      </c>
      <c r="W91" s="99" t="str">
        <f t="shared" si="250"/>
        <v/>
      </c>
      <c r="X91" s="100" t="str">
        <f t="shared" si="251"/>
        <v/>
      </c>
      <c r="Y91" s="101">
        <f t="shared" si="252"/>
        <v>0</v>
      </c>
      <c r="Z91" s="102" t="str">
        <f t="shared" si="253"/>
        <v/>
      </c>
      <c r="AA91" s="103" t="str">
        <f t="shared" si="254"/>
        <v/>
      </c>
      <c r="AB91" s="104">
        <f t="shared" si="255"/>
        <v>0</v>
      </c>
      <c r="AC91" s="99" t="str">
        <f t="shared" si="256"/>
        <v/>
      </c>
      <c r="AD91" s="100" t="str">
        <f t="shared" si="257"/>
        <v/>
      </c>
      <c r="AE91" s="101">
        <f t="shared" si="258"/>
        <v>0</v>
      </c>
      <c r="AF91" s="102" t="str">
        <f t="shared" si="259"/>
        <v/>
      </c>
      <c r="AG91" s="103" t="str">
        <f t="shared" si="260"/>
        <v/>
      </c>
      <c r="AH91" s="104">
        <f t="shared" si="261"/>
        <v>0</v>
      </c>
      <c r="AI91" s="99" t="str">
        <f t="shared" si="262"/>
        <v/>
      </c>
      <c r="AJ91" s="100" t="str">
        <f t="shared" si="263"/>
        <v/>
      </c>
      <c r="AK91" s="101">
        <f t="shared" si="264"/>
        <v>0</v>
      </c>
      <c r="AL91" s="102" t="str">
        <f t="shared" si="265"/>
        <v/>
      </c>
      <c r="AM91" s="103" t="str">
        <f t="shared" si="266"/>
        <v/>
      </c>
      <c r="AN91" s="104">
        <f t="shared" si="267"/>
        <v>0</v>
      </c>
      <c r="AO91" s="99" t="str">
        <f t="shared" si="268"/>
        <v/>
      </c>
      <c r="AP91" s="100" t="str">
        <f t="shared" si="269"/>
        <v/>
      </c>
      <c r="AQ91" s="101">
        <f t="shared" si="270"/>
        <v>0</v>
      </c>
      <c r="AR91" s="102" t="str">
        <f t="shared" si="271"/>
        <v/>
      </c>
      <c r="AS91" s="103" t="str">
        <f t="shared" si="272"/>
        <v/>
      </c>
      <c r="AT91" s="104">
        <f t="shared" si="273"/>
        <v>0</v>
      </c>
      <c r="AU91" s="99" t="str">
        <f t="shared" si="274"/>
        <v/>
      </c>
      <c r="AV91" s="100" t="str">
        <f t="shared" si="275"/>
        <v/>
      </c>
      <c r="AW91" s="101">
        <f t="shared" si="276"/>
        <v>0</v>
      </c>
      <c r="AX91" s="102" t="str">
        <f t="shared" si="277"/>
        <v/>
      </c>
      <c r="AY91" s="103" t="str">
        <f t="shared" si="278"/>
        <v/>
      </c>
      <c r="AZ91" s="104">
        <f t="shared" si="279"/>
        <v>0</v>
      </c>
      <c r="BA91" s="99" t="str">
        <f t="shared" si="280"/>
        <v/>
      </c>
      <c r="BB91" s="100" t="str">
        <f t="shared" si="281"/>
        <v/>
      </c>
      <c r="BC91" s="101">
        <f t="shared" si="282"/>
        <v>0</v>
      </c>
      <c r="BD91" s="102" t="str">
        <f t="shared" si="283"/>
        <v/>
      </c>
      <c r="BE91" s="103" t="str">
        <f t="shared" si="284"/>
        <v/>
      </c>
      <c r="BF91" s="104">
        <f t="shared" si="285"/>
        <v>0</v>
      </c>
      <c r="BG91" s="99" t="str">
        <f t="shared" si="286"/>
        <v/>
      </c>
      <c r="BH91" s="100" t="str">
        <f t="shared" si="287"/>
        <v/>
      </c>
      <c r="BI91" s="101">
        <f t="shared" si="288"/>
        <v>0</v>
      </c>
      <c r="BJ91" s="102" t="str">
        <f t="shared" si="289"/>
        <v/>
      </c>
      <c r="BK91" s="103" t="str">
        <f t="shared" si="290"/>
        <v/>
      </c>
      <c r="BL91" s="104">
        <f t="shared" si="291"/>
        <v>0</v>
      </c>
      <c r="BM91" s="99" t="str">
        <f t="shared" si="292"/>
        <v/>
      </c>
      <c r="BN91" s="100" t="str">
        <f t="shared" si="293"/>
        <v/>
      </c>
      <c r="BO91" s="101">
        <f t="shared" si="294"/>
        <v>0</v>
      </c>
      <c r="BP91" s="102" t="str">
        <f t="shared" si="295"/>
        <v/>
      </c>
      <c r="BQ91" s="103" t="str">
        <f t="shared" si="296"/>
        <v/>
      </c>
      <c r="BR91" s="104">
        <f t="shared" si="297"/>
        <v>0</v>
      </c>
      <c r="BS91" s="99" t="str">
        <f t="shared" si="298"/>
        <v/>
      </c>
      <c r="BT91" s="100" t="str">
        <f t="shared" si="299"/>
        <v/>
      </c>
      <c r="BU91" s="101">
        <f t="shared" si="300"/>
        <v>0</v>
      </c>
      <c r="BV91" s="102" t="str">
        <f t="shared" si="301"/>
        <v/>
      </c>
      <c r="BW91" s="103" t="str">
        <f t="shared" si="302"/>
        <v/>
      </c>
      <c r="BX91" s="104">
        <f t="shared" si="303"/>
        <v>0</v>
      </c>
      <c r="BY91" s="99" t="str">
        <f t="shared" si="304"/>
        <v/>
      </c>
      <c r="BZ91" s="100" t="str">
        <f t="shared" si="305"/>
        <v/>
      </c>
      <c r="CA91" s="101">
        <f t="shared" si="306"/>
        <v>0</v>
      </c>
      <c r="CB91" s="102" t="str">
        <f t="shared" si="307"/>
        <v/>
      </c>
      <c r="CC91" s="103" t="str">
        <f t="shared" si="308"/>
        <v/>
      </c>
      <c r="CD91" s="104">
        <f t="shared" si="309"/>
        <v>0</v>
      </c>
      <c r="CE91" s="99" t="str">
        <f t="shared" si="310"/>
        <v/>
      </c>
      <c r="CF91" s="100" t="str">
        <f t="shared" si="311"/>
        <v/>
      </c>
      <c r="CG91" s="101">
        <f t="shared" si="312"/>
        <v>0</v>
      </c>
      <c r="CH91" s="102" t="str">
        <f t="shared" si="313"/>
        <v/>
      </c>
      <c r="CI91" s="103" t="str">
        <f t="shared" si="314"/>
        <v/>
      </c>
      <c r="CJ91" s="104">
        <f t="shared" si="315"/>
        <v>0</v>
      </c>
      <c r="CK91" s="99" t="str">
        <f t="shared" si="316"/>
        <v/>
      </c>
      <c r="CL91" s="100" t="str">
        <f t="shared" si="317"/>
        <v/>
      </c>
      <c r="CM91" s="101">
        <f t="shared" si="318"/>
        <v>0</v>
      </c>
      <c r="CN91" s="102" t="str">
        <f t="shared" si="319"/>
        <v/>
      </c>
      <c r="CO91" s="103" t="str">
        <f t="shared" si="320"/>
        <v/>
      </c>
      <c r="CP91" s="104">
        <f t="shared" si="321"/>
        <v>0</v>
      </c>
      <c r="CQ91" s="99" t="str">
        <f t="shared" si="322"/>
        <v/>
      </c>
      <c r="CR91" s="100" t="str">
        <f t="shared" si="323"/>
        <v/>
      </c>
      <c r="CS91" s="101">
        <f t="shared" si="324"/>
        <v>0</v>
      </c>
      <c r="CT91" s="102" t="str">
        <f t="shared" si="325"/>
        <v/>
      </c>
      <c r="CU91" s="103" t="str">
        <f t="shared" si="326"/>
        <v/>
      </c>
      <c r="CV91" s="104">
        <f t="shared" si="327"/>
        <v>0</v>
      </c>
      <c r="CW91" s="99" t="str">
        <f t="shared" si="328"/>
        <v/>
      </c>
      <c r="CX91" s="100" t="str">
        <f t="shared" si="329"/>
        <v/>
      </c>
      <c r="CY91" s="101">
        <f t="shared" si="330"/>
        <v>0</v>
      </c>
      <c r="CZ91" s="102" t="str">
        <f t="shared" si="331"/>
        <v/>
      </c>
      <c r="DA91" s="103" t="str">
        <f t="shared" si="332"/>
        <v/>
      </c>
      <c r="DB91" s="104">
        <f t="shared" si="333"/>
        <v>0</v>
      </c>
      <c r="DC91" s="99" t="str">
        <f t="shared" si="334"/>
        <v/>
      </c>
      <c r="DD91" s="100" t="str">
        <f t="shared" si="335"/>
        <v/>
      </c>
      <c r="DE91" s="101">
        <f t="shared" si="336"/>
        <v>0</v>
      </c>
      <c r="DF91" s="102" t="str">
        <f t="shared" si="337"/>
        <v/>
      </c>
      <c r="DG91" s="103" t="str">
        <f t="shared" si="338"/>
        <v/>
      </c>
      <c r="DH91" s="104">
        <f t="shared" si="339"/>
        <v>0</v>
      </c>
      <c r="DI91" s="99" t="str">
        <f t="shared" si="340"/>
        <v/>
      </c>
      <c r="DJ91" s="100" t="str">
        <f t="shared" si="341"/>
        <v/>
      </c>
      <c r="DK91" s="101">
        <f t="shared" si="342"/>
        <v>0</v>
      </c>
      <c r="DL91" s="102" t="str">
        <f t="shared" si="343"/>
        <v/>
      </c>
      <c r="DM91" s="103" t="str">
        <f t="shared" si="344"/>
        <v/>
      </c>
      <c r="DN91" s="104">
        <f t="shared" si="345"/>
        <v>0</v>
      </c>
      <c r="DO91" s="99" t="str">
        <f t="shared" si="346"/>
        <v/>
      </c>
      <c r="DP91" s="100" t="str">
        <f t="shared" si="347"/>
        <v/>
      </c>
      <c r="DQ91" s="101">
        <f t="shared" si="348"/>
        <v>0</v>
      </c>
      <c r="DR91" s="102" t="str">
        <f t="shared" si="349"/>
        <v/>
      </c>
      <c r="DS91" s="103" t="str">
        <f t="shared" si="350"/>
        <v/>
      </c>
      <c r="DT91" s="104">
        <f t="shared" si="351"/>
        <v>0</v>
      </c>
    </row>
    <row r="92" ht="15.75" hidden="1" customHeight="1">
      <c r="A92" s="12" t="str">
        <f>Menus!B52</f>
        <v/>
      </c>
      <c r="B92" s="32">
        <f t="shared" si="231"/>
        <v>0</v>
      </c>
      <c r="C92" s="32">
        <f t="shared" si="232"/>
        <v>0</v>
      </c>
      <c r="D92" s="32">
        <f t="shared" si="233"/>
        <v>0</v>
      </c>
      <c r="E92" s="93" t="str">
        <f t="shared" si="234"/>
        <v/>
      </c>
      <c r="F92" s="94" t="str">
        <f t="shared" si="235"/>
        <v/>
      </c>
      <c r="G92" s="95">
        <f t="shared" si="236"/>
        <v>0</v>
      </c>
      <c r="H92" s="96" t="str">
        <f t="array" ref="H92">IFERROR(XLOOKUP($A92,'Gastos Admon'!$A$7:$A171,INDIRECT($B$9)),"")</f>
        <v/>
      </c>
      <c r="I92" s="97" t="str">
        <f t="array" ref="I92">IFERROR(XLOOKUP($A92,'Gastos Admon'!$A$7:$A171,INDIRECT($C$9)),"")</f>
        <v/>
      </c>
      <c r="J92" s="98">
        <f t="shared" si="237"/>
        <v>0</v>
      </c>
      <c r="K92" s="99" t="str">
        <f t="shared" si="238"/>
        <v/>
      </c>
      <c r="L92" s="100" t="str">
        <f t="shared" si="239"/>
        <v/>
      </c>
      <c r="M92" s="101">
        <f t="shared" si="240"/>
        <v>0</v>
      </c>
      <c r="N92" s="102" t="str">
        <f t="shared" si="241"/>
        <v/>
      </c>
      <c r="O92" s="103" t="str">
        <f t="shared" si="242"/>
        <v/>
      </c>
      <c r="P92" s="104">
        <f t="shared" si="243"/>
        <v>0</v>
      </c>
      <c r="Q92" s="99" t="str">
        <f t="shared" si="244"/>
        <v/>
      </c>
      <c r="R92" s="100" t="str">
        <f t="shared" si="245"/>
        <v/>
      </c>
      <c r="S92" s="101">
        <f t="shared" si="246"/>
        <v>0</v>
      </c>
      <c r="T92" s="102" t="str">
        <f t="shared" si="247"/>
        <v/>
      </c>
      <c r="U92" s="103" t="str">
        <f t="shared" si="248"/>
        <v/>
      </c>
      <c r="V92" s="104">
        <f t="shared" si="249"/>
        <v>0</v>
      </c>
      <c r="W92" s="99" t="str">
        <f t="shared" si="250"/>
        <v/>
      </c>
      <c r="X92" s="100" t="str">
        <f t="shared" si="251"/>
        <v/>
      </c>
      <c r="Y92" s="101">
        <f t="shared" si="252"/>
        <v>0</v>
      </c>
      <c r="Z92" s="102" t="str">
        <f t="shared" si="253"/>
        <v/>
      </c>
      <c r="AA92" s="103" t="str">
        <f t="shared" si="254"/>
        <v/>
      </c>
      <c r="AB92" s="104">
        <f t="shared" si="255"/>
        <v>0</v>
      </c>
      <c r="AC92" s="99" t="str">
        <f t="shared" si="256"/>
        <v/>
      </c>
      <c r="AD92" s="100" t="str">
        <f t="shared" si="257"/>
        <v/>
      </c>
      <c r="AE92" s="101">
        <f t="shared" si="258"/>
        <v>0</v>
      </c>
      <c r="AF92" s="102" t="str">
        <f t="shared" si="259"/>
        <v/>
      </c>
      <c r="AG92" s="103" t="str">
        <f t="shared" si="260"/>
        <v/>
      </c>
      <c r="AH92" s="104">
        <f t="shared" si="261"/>
        <v>0</v>
      </c>
      <c r="AI92" s="99" t="str">
        <f t="shared" si="262"/>
        <v/>
      </c>
      <c r="AJ92" s="100" t="str">
        <f t="shared" si="263"/>
        <v/>
      </c>
      <c r="AK92" s="101">
        <f t="shared" si="264"/>
        <v>0</v>
      </c>
      <c r="AL92" s="102" t="str">
        <f t="shared" si="265"/>
        <v/>
      </c>
      <c r="AM92" s="103" t="str">
        <f t="shared" si="266"/>
        <v/>
      </c>
      <c r="AN92" s="104">
        <f t="shared" si="267"/>
        <v>0</v>
      </c>
      <c r="AO92" s="99" t="str">
        <f t="shared" si="268"/>
        <v/>
      </c>
      <c r="AP92" s="100" t="str">
        <f t="shared" si="269"/>
        <v/>
      </c>
      <c r="AQ92" s="101">
        <f t="shared" si="270"/>
        <v>0</v>
      </c>
      <c r="AR92" s="102" t="str">
        <f t="shared" si="271"/>
        <v/>
      </c>
      <c r="AS92" s="103" t="str">
        <f t="shared" si="272"/>
        <v/>
      </c>
      <c r="AT92" s="104">
        <f t="shared" si="273"/>
        <v>0</v>
      </c>
      <c r="AU92" s="99" t="str">
        <f t="shared" si="274"/>
        <v/>
      </c>
      <c r="AV92" s="100" t="str">
        <f t="shared" si="275"/>
        <v/>
      </c>
      <c r="AW92" s="101">
        <f t="shared" si="276"/>
        <v>0</v>
      </c>
      <c r="AX92" s="102" t="str">
        <f t="shared" si="277"/>
        <v/>
      </c>
      <c r="AY92" s="103" t="str">
        <f t="shared" si="278"/>
        <v/>
      </c>
      <c r="AZ92" s="104">
        <f t="shared" si="279"/>
        <v>0</v>
      </c>
      <c r="BA92" s="99" t="str">
        <f t="shared" si="280"/>
        <v/>
      </c>
      <c r="BB92" s="100" t="str">
        <f t="shared" si="281"/>
        <v/>
      </c>
      <c r="BC92" s="101">
        <f t="shared" si="282"/>
        <v>0</v>
      </c>
      <c r="BD92" s="102" t="str">
        <f t="shared" si="283"/>
        <v/>
      </c>
      <c r="BE92" s="103" t="str">
        <f t="shared" si="284"/>
        <v/>
      </c>
      <c r="BF92" s="104">
        <f t="shared" si="285"/>
        <v>0</v>
      </c>
      <c r="BG92" s="99" t="str">
        <f t="shared" si="286"/>
        <v/>
      </c>
      <c r="BH92" s="100" t="str">
        <f t="shared" si="287"/>
        <v/>
      </c>
      <c r="BI92" s="101">
        <f t="shared" si="288"/>
        <v>0</v>
      </c>
      <c r="BJ92" s="102" t="str">
        <f t="shared" si="289"/>
        <v/>
      </c>
      <c r="BK92" s="103" t="str">
        <f t="shared" si="290"/>
        <v/>
      </c>
      <c r="BL92" s="104">
        <f t="shared" si="291"/>
        <v>0</v>
      </c>
      <c r="BM92" s="99" t="str">
        <f t="shared" si="292"/>
        <v/>
      </c>
      <c r="BN92" s="100" t="str">
        <f t="shared" si="293"/>
        <v/>
      </c>
      <c r="BO92" s="101">
        <f t="shared" si="294"/>
        <v>0</v>
      </c>
      <c r="BP92" s="102" t="str">
        <f t="shared" si="295"/>
        <v/>
      </c>
      <c r="BQ92" s="103" t="str">
        <f t="shared" si="296"/>
        <v/>
      </c>
      <c r="BR92" s="104">
        <f t="shared" si="297"/>
        <v>0</v>
      </c>
      <c r="BS92" s="99" t="str">
        <f t="shared" si="298"/>
        <v/>
      </c>
      <c r="BT92" s="100" t="str">
        <f t="shared" si="299"/>
        <v/>
      </c>
      <c r="BU92" s="101">
        <f t="shared" si="300"/>
        <v>0</v>
      </c>
      <c r="BV92" s="102" t="str">
        <f t="shared" si="301"/>
        <v/>
      </c>
      <c r="BW92" s="103" t="str">
        <f t="shared" si="302"/>
        <v/>
      </c>
      <c r="BX92" s="104">
        <f t="shared" si="303"/>
        <v>0</v>
      </c>
      <c r="BY92" s="99" t="str">
        <f t="shared" si="304"/>
        <v/>
      </c>
      <c r="BZ92" s="100" t="str">
        <f t="shared" si="305"/>
        <v/>
      </c>
      <c r="CA92" s="101">
        <f t="shared" si="306"/>
        <v>0</v>
      </c>
      <c r="CB92" s="102" t="str">
        <f t="shared" si="307"/>
        <v/>
      </c>
      <c r="CC92" s="103" t="str">
        <f t="shared" si="308"/>
        <v/>
      </c>
      <c r="CD92" s="104">
        <f t="shared" si="309"/>
        <v>0</v>
      </c>
      <c r="CE92" s="99" t="str">
        <f t="shared" si="310"/>
        <v/>
      </c>
      <c r="CF92" s="100" t="str">
        <f t="shared" si="311"/>
        <v/>
      </c>
      <c r="CG92" s="101">
        <f t="shared" si="312"/>
        <v>0</v>
      </c>
      <c r="CH92" s="102" t="str">
        <f t="shared" si="313"/>
        <v/>
      </c>
      <c r="CI92" s="103" t="str">
        <f t="shared" si="314"/>
        <v/>
      </c>
      <c r="CJ92" s="104">
        <f t="shared" si="315"/>
        <v>0</v>
      </c>
      <c r="CK92" s="99" t="str">
        <f t="shared" si="316"/>
        <v/>
      </c>
      <c r="CL92" s="100" t="str">
        <f t="shared" si="317"/>
        <v/>
      </c>
      <c r="CM92" s="101">
        <f t="shared" si="318"/>
        <v>0</v>
      </c>
      <c r="CN92" s="102" t="str">
        <f t="shared" si="319"/>
        <v/>
      </c>
      <c r="CO92" s="103" t="str">
        <f t="shared" si="320"/>
        <v/>
      </c>
      <c r="CP92" s="104">
        <f t="shared" si="321"/>
        <v>0</v>
      </c>
      <c r="CQ92" s="99" t="str">
        <f t="shared" si="322"/>
        <v/>
      </c>
      <c r="CR92" s="100" t="str">
        <f t="shared" si="323"/>
        <v/>
      </c>
      <c r="CS92" s="101">
        <f t="shared" si="324"/>
        <v>0</v>
      </c>
      <c r="CT92" s="102" t="str">
        <f t="shared" si="325"/>
        <v/>
      </c>
      <c r="CU92" s="103" t="str">
        <f t="shared" si="326"/>
        <v/>
      </c>
      <c r="CV92" s="104">
        <f t="shared" si="327"/>
        <v>0</v>
      </c>
      <c r="CW92" s="99" t="str">
        <f t="shared" si="328"/>
        <v/>
      </c>
      <c r="CX92" s="100" t="str">
        <f t="shared" si="329"/>
        <v/>
      </c>
      <c r="CY92" s="101">
        <f t="shared" si="330"/>
        <v>0</v>
      </c>
      <c r="CZ92" s="102" t="str">
        <f t="shared" si="331"/>
        <v/>
      </c>
      <c r="DA92" s="103" t="str">
        <f t="shared" si="332"/>
        <v/>
      </c>
      <c r="DB92" s="104">
        <f t="shared" si="333"/>
        <v>0</v>
      </c>
      <c r="DC92" s="99" t="str">
        <f t="shared" si="334"/>
        <v/>
      </c>
      <c r="DD92" s="100" t="str">
        <f t="shared" si="335"/>
        <v/>
      </c>
      <c r="DE92" s="101">
        <f t="shared" si="336"/>
        <v>0</v>
      </c>
      <c r="DF92" s="102" t="str">
        <f t="shared" si="337"/>
        <v/>
      </c>
      <c r="DG92" s="103" t="str">
        <f t="shared" si="338"/>
        <v/>
      </c>
      <c r="DH92" s="104">
        <f t="shared" si="339"/>
        <v>0</v>
      </c>
      <c r="DI92" s="99" t="str">
        <f t="shared" si="340"/>
        <v/>
      </c>
      <c r="DJ92" s="100" t="str">
        <f t="shared" si="341"/>
        <v/>
      </c>
      <c r="DK92" s="101">
        <f t="shared" si="342"/>
        <v>0</v>
      </c>
      <c r="DL92" s="102" t="str">
        <f t="shared" si="343"/>
        <v/>
      </c>
      <c r="DM92" s="103" t="str">
        <f t="shared" si="344"/>
        <v/>
      </c>
      <c r="DN92" s="104">
        <f t="shared" si="345"/>
        <v>0</v>
      </c>
      <c r="DO92" s="99" t="str">
        <f t="shared" si="346"/>
        <v/>
      </c>
      <c r="DP92" s="100" t="str">
        <f t="shared" si="347"/>
        <v/>
      </c>
      <c r="DQ92" s="101">
        <f t="shared" si="348"/>
        <v>0</v>
      </c>
      <c r="DR92" s="102" t="str">
        <f t="shared" si="349"/>
        <v/>
      </c>
      <c r="DS92" s="103" t="str">
        <f t="shared" si="350"/>
        <v/>
      </c>
      <c r="DT92" s="104">
        <f t="shared" si="351"/>
        <v>0</v>
      </c>
    </row>
    <row r="93" ht="15.75" hidden="1" customHeight="1">
      <c r="A93" s="12" t="str">
        <f>Menus!B53</f>
        <v/>
      </c>
      <c r="B93" s="32">
        <f t="shared" si="231"/>
        <v>0</v>
      </c>
      <c r="C93" s="32">
        <f t="shared" si="232"/>
        <v>0</v>
      </c>
      <c r="D93" s="32">
        <f t="shared" si="233"/>
        <v>0</v>
      </c>
      <c r="E93" s="93" t="str">
        <f t="shared" si="234"/>
        <v/>
      </c>
      <c r="F93" s="94" t="str">
        <f t="shared" si="235"/>
        <v/>
      </c>
      <c r="G93" s="95">
        <f t="shared" si="236"/>
        <v>0</v>
      </c>
      <c r="H93" s="96" t="str">
        <f t="array" ref="H93">IFERROR(XLOOKUP($A93,'Gastos Admon'!$A$7:$A171,INDIRECT($B$9)),"")</f>
        <v/>
      </c>
      <c r="I93" s="97" t="str">
        <f t="array" ref="I93">IFERROR(XLOOKUP($A93,'Gastos Admon'!$A$7:$A171,INDIRECT($C$9)),"")</f>
        <v/>
      </c>
      <c r="J93" s="98">
        <f t="shared" si="237"/>
        <v>0</v>
      </c>
      <c r="K93" s="99" t="str">
        <f t="shared" si="238"/>
        <v/>
      </c>
      <c r="L93" s="100" t="str">
        <f t="shared" si="239"/>
        <v/>
      </c>
      <c r="M93" s="101">
        <f t="shared" si="240"/>
        <v>0</v>
      </c>
      <c r="N93" s="102" t="str">
        <f t="shared" si="241"/>
        <v/>
      </c>
      <c r="O93" s="103" t="str">
        <f t="shared" si="242"/>
        <v/>
      </c>
      <c r="P93" s="104">
        <f t="shared" si="243"/>
        <v>0</v>
      </c>
      <c r="Q93" s="99" t="str">
        <f t="shared" si="244"/>
        <v/>
      </c>
      <c r="R93" s="100" t="str">
        <f t="shared" si="245"/>
        <v/>
      </c>
      <c r="S93" s="101">
        <f t="shared" si="246"/>
        <v>0</v>
      </c>
      <c r="T93" s="102" t="str">
        <f t="shared" si="247"/>
        <v/>
      </c>
      <c r="U93" s="103" t="str">
        <f t="shared" si="248"/>
        <v/>
      </c>
      <c r="V93" s="104">
        <f t="shared" si="249"/>
        <v>0</v>
      </c>
      <c r="W93" s="99" t="str">
        <f t="shared" si="250"/>
        <v/>
      </c>
      <c r="X93" s="100" t="str">
        <f t="shared" si="251"/>
        <v/>
      </c>
      <c r="Y93" s="101">
        <f t="shared" si="252"/>
        <v>0</v>
      </c>
      <c r="Z93" s="102" t="str">
        <f t="shared" si="253"/>
        <v/>
      </c>
      <c r="AA93" s="103" t="str">
        <f t="shared" si="254"/>
        <v/>
      </c>
      <c r="AB93" s="104">
        <f t="shared" si="255"/>
        <v>0</v>
      </c>
      <c r="AC93" s="99" t="str">
        <f t="shared" si="256"/>
        <v/>
      </c>
      <c r="AD93" s="100" t="str">
        <f t="shared" si="257"/>
        <v/>
      </c>
      <c r="AE93" s="101">
        <f t="shared" si="258"/>
        <v>0</v>
      </c>
      <c r="AF93" s="102" t="str">
        <f t="shared" si="259"/>
        <v/>
      </c>
      <c r="AG93" s="103" t="str">
        <f t="shared" si="260"/>
        <v/>
      </c>
      <c r="AH93" s="104">
        <f t="shared" si="261"/>
        <v>0</v>
      </c>
      <c r="AI93" s="99" t="str">
        <f t="shared" si="262"/>
        <v/>
      </c>
      <c r="AJ93" s="100" t="str">
        <f t="shared" si="263"/>
        <v/>
      </c>
      <c r="AK93" s="101">
        <f t="shared" si="264"/>
        <v>0</v>
      </c>
      <c r="AL93" s="102" t="str">
        <f t="shared" si="265"/>
        <v/>
      </c>
      <c r="AM93" s="103" t="str">
        <f t="shared" si="266"/>
        <v/>
      </c>
      <c r="AN93" s="104">
        <f t="shared" si="267"/>
        <v>0</v>
      </c>
      <c r="AO93" s="99" t="str">
        <f t="shared" si="268"/>
        <v/>
      </c>
      <c r="AP93" s="100" t="str">
        <f t="shared" si="269"/>
        <v/>
      </c>
      <c r="AQ93" s="101">
        <f t="shared" si="270"/>
        <v>0</v>
      </c>
      <c r="AR93" s="102" t="str">
        <f t="shared" si="271"/>
        <v/>
      </c>
      <c r="AS93" s="103" t="str">
        <f t="shared" si="272"/>
        <v/>
      </c>
      <c r="AT93" s="104">
        <f t="shared" si="273"/>
        <v>0</v>
      </c>
      <c r="AU93" s="99" t="str">
        <f t="shared" si="274"/>
        <v/>
      </c>
      <c r="AV93" s="100" t="str">
        <f t="shared" si="275"/>
        <v/>
      </c>
      <c r="AW93" s="101">
        <f t="shared" si="276"/>
        <v>0</v>
      </c>
      <c r="AX93" s="102" t="str">
        <f t="shared" si="277"/>
        <v/>
      </c>
      <c r="AY93" s="103" t="str">
        <f t="shared" si="278"/>
        <v/>
      </c>
      <c r="AZ93" s="104">
        <f t="shared" si="279"/>
        <v>0</v>
      </c>
      <c r="BA93" s="99" t="str">
        <f t="shared" si="280"/>
        <v/>
      </c>
      <c r="BB93" s="100" t="str">
        <f t="shared" si="281"/>
        <v/>
      </c>
      <c r="BC93" s="101">
        <f t="shared" si="282"/>
        <v>0</v>
      </c>
      <c r="BD93" s="102" t="str">
        <f t="shared" si="283"/>
        <v/>
      </c>
      <c r="BE93" s="103" t="str">
        <f t="shared" si="284"/>
        <v/>
      </c>
      <c r="BF93" s="104">
        <f t="shared" si="285"/>
        <v>0</v>
      </c>
      <c r="BG93" s="99" t="str">
        <f t="shared" si="286"/>
        <v/>
      </c>
      <c r="BH93" s="100" t="str">
        <f t="shared" si="287"/>
        <v/>
      </c>
      <c r="BI93" s="101">
        <f t="shared" si="288"/>
        <v>0</v>
      </c>
      <c r="BJ93" s="102" t="str">
        <f t="shared" si="289"/>
        <v/>
      </c>
      <c r="BK93" s="103" t="str">
        <f t="shared" si="290"/>
        <v/>
      </c>
      <c r="BL93" s="104">
        <f t="shared" si="291"/>
        <v>0</v>
      </c>
      <c r="BM93" s="99" t="str">
        <f t="shared" si="292"/>
        <v/>
      </c>
      <c r="BN93" s="100" t="str">
        <f t="shared" si="293"/>
        <v/>
      </c>
      <c r="BO93" s="101">
        <f t="shared" si="294"/>
        <v>0</v>
      </c>
      <c r="BP93" s="102" t="str">
        <f t="shared" si="295"/>
        <v/>
      </c>
      <c r="BQ93" s="103" t="str">
        <f t="shared" si="296"/>
        <v/>
      </c>
      <c r="BR93" s="104">
        <f t="shared" si="297"/>
        <v>0</v>
      </c>
      <c r="BS93" s="99" t="str">
        <f t="shared" si="298"/>
        <v/>
      </c>
      <c r="BT93" s="100" t="str">
        <f t="shared" si="299"/>
        <v/>
      </c>
      <c r="BU93" s="101">
        <f t="shared" si="300"/>
        <v>0</v>
      </c>
      <c r="BV93" s="102" t="str">
        <f t="shared" si="301"/>
        <v/>
      </c>
      <c r="BW93" s="103" t="str">
        <f t="shared" si="302"/>
        <v/>
      </c>
      <c r="BX93" s="104">
        <f t="shared" si="303"/>
        <v>0</v>
      </c>
      <c r="BY93" s="99" t="str">
        <f t="shared" si="304"/>
        <v/>
      </c>
      <c r="BZ93" s="100" t="str">
        <f t="shared" si="305"/>
        <v/>
      </c>
      <c r="CA93" s="101">
        <f t="shared" si="306"/>
        <v>0</v>
      </c>
      <c r="CB93" s="102" t="str">
        <f t="shared" si="307"/>
        <v/>
      </c>
      <c r="CC93" s="103" t="str">
        <f t="shared" si="308"/>
        <v/>
      </c>
      <c r="CD93" s="104">
        <f t="shared" si="309"/>
        <v>0</v>
      </c>
      <c r="CE93" s="99" t="str">
        <f t="shared" si="310"/>
        <v/>
      </c>
      <c r="CF93" s="100" t="str">
        <f t="shared" si="311"/>
        <v/>
      </c>
      <c r="CG93" s="101">
        <f t="shared" si="312"/>
        <v>0</v>
      </c>
      <c r="CH93" s="102" t="str">
        <f t="shared" si="313"/>
        <v/>
      </c>
      <c r="CI93" s="103" t="str">
        <f t="shared" si="314"/>
        <v/>
      </c>
      <c r="CJ93" s="104">
        <f t="shared" si="315"/>
        <v>0</v>
      </c>
      <c r="CK93" s="99" t="str">
        <f t="shared" si="316"/>
        <v/>
      </c>
      <c r="CL93" s="100" t="str">
        <f t="shared" si="317"/>
        <v/>
      </c>
      <c r="CM93" s="101">
        <f t="shared" si="318"/>
        <v>0</v>
      </c>
      <c r="CN93" s="102" t="str">
        <f t="shared" si="319"/>
        <v/>
      </c>
      <c r="CO93" s="103" t="str">
        <f t="shared" si="320"/>
        <v/>
      </c>
      <c r="CP93" s="104">
        <f t="shared" si="321"/>
        <v>0</v>
      </c>
      <c r="CQ93" s="99" t="str">
        <f t="shared" si="322"/>
        <v/>
      </c>
      <c r="CR93" s="100" t="str">
        <f t="shared" si="323"/>
        <v/>
      </c>
      <c r="CS93" s="101">
        <f t="shared" si="324"/>
        <v>0</v>
      </c>
      <c r="CT93" s="102" t="str">
        <f t="shared" si="325"/>
        <v/>
      </c>
      <c r="CU93" s="103" t="str">
        <f t="shared" si="326"/>
        <v/>
      </c>
      <c r="CV93" s="104">
        <f t="shared" si="327"/>
        <v>0</v>
      </c>
      <c r="CW93" s="99" t="str">
        <f t="shared" si="328"/>
        <v/>
      </c>
      <c r="CX93" s="100" t="str">
        <f t="shared" si="329"/>
        <v/>
      </c>
      <c r="CY93" s="101">
        <f t="shared" si="330"/>
        <v>0</v>
      </c>
      <c r="CZ93" s="102" t="str">
        <f t="shared" si="331"/>
        <v/>
      </c>
      <c r="DA93" s="103" t="str">
        <f t="shared" si="332"/>
        <v/>
      </c>
      <c r="DB93" s="104">
        <f t="shared" si="333"/>
        <v>0</v>
      </c>
      <c r="DC93" s="99" t="str">
        <f t="shared" si="334"/>
        <v/>
      </c>
      <c r="DD93" s="100" t="str">
        <f t="shared" si="335"/>
        <v/>
      </c>
      <c r="DE93" s="101">
        <f t="shared" si="336"/>
        <v>0</v>
      </c>
      <c r="DF93" s="102" t="str">
        <f t="shared" si="337"/>
        <v/>
      </c>
      <c r="DG93" s="103" t="str">
        <f t="shared" si="338"/>
        <v/>
      </c>
      <c r="DH93" s="104">
        <f t="shared" si="339"/>
        <v>0</v>
      </c>
      <c r="DI93" s="99" t="str">
        <f t="shared" si="340"/>
        <v/>
      </c>
      <c r="DJ93" s="100" t="str">
        <f t="shared" si="341"/>
        <v/>
      </c>
      <c r="DK93" s="101">
        <f t="shared" si="342"/>
        <v>0</v>
      </c>
      <c r="DL93" s="102" t="str">
        <f t="shared" si="343"/>
        <v/>
      </c>
      <c r="DM93" s="103" t="str">
        <f t="shared" si="344"/>
        <v/>
      </c>
      <c r="DN93" s="104">
        <f t="shared" si="345"/>
        <v>0</v>
      </c>
      <c r="DO93" s="99" t="str">
        <f t="shared" si="346"/>
        <v/>
      </c>
      <c r="DP93" s="100" t="str">
        <f t="shared" si="347"/>
        <v/>
      </c>
      <c r="DQ93" s="101">
        <f t="shared" si="348"/>
        <v>0</v>
      </c>
      <c r="DR93" s="102" t="str">
        <f t="shared" si="349"/>
        <v/>
      </c>
      <c r="DS93" s="103" t="str">
        <f t="shared" si="350"/>
        <v/>
      </c>
      <c r="DT93" s="104">
        <f t="shared" si="351"/>
        <v>0</v>
      </c>
    </row>
    <row r="94" ht="15.75" hidden="1" customHeight="1">
      <c r="A94" s="12" t="str">
        <f>Menus!B54</f>
        <v/>
      </c>
      <c r="B94" s="32">
        <f t="shared" si="231"/>
        <v>0</v>
      </c>
      <c r="C94" s="32">
        <f t="shared" si="232"/>
        <v>0</v>
      </c>
      <c r="D94" s="32">
        <f t="shared" si="233"/>
        <v>0</v>
      </c>
      <c r="E94" s="93" t="str">
        <f t="shared" si="234"/>
        <v/>
      </c>
      <c r="F94" s="94" t="str">
        <f t="shared" si="235"/>
        <v/>
      </c>
      <c r="G94" s="95">
        <f t="shared" si="236"/>
        <v>0</v>
      </c>
      <c r="H94" s="96" t="str">
        <f t="array" ref="H94">IFERROR(XLOOKUP($A94,'Gastos Admon'!$A$7:$A171,INDIRECT($B$9)),"")</f>
        <v/>
      </c>
      <c r="I94" s="97" t="str">
        <f t="array" ref="I94">IFERROR(XLOOKUP($A94,'Gastos Admon'!$A$7:$A171,INDIRECT($C$9)),"")</f>
        <v/>
      </c>
      <c r="J94" s="98">
        <f t="shared" si="237"/>
        <v>0</v>
      </c>
      <c r="K94" s="99" t="str">
        <f t="shared" si="238"/>
        <v/>
      </c>
      <c r="L94" s="100" t="str">
        <f t="shared" si="239"/>
        <v/>
      </c>
      <c r="M94" s="101">
        <f t="shared" si="240"/>
        <v>0</v>
      </c>
      <c r="N94" s="102" t="str">
        <f t="shared" si="241"/>
        <v/>
      </c>
      <c r="O94" s="103" t="str">
        <f t="shared" si="242"/>
        <v/>
      </c>
      <c r="P94" s="104">
        <f t="shared" si="243"/>
        <v>0</v>
      </c>
      <c r="Q94" s="99" t="str">
        <f t="shared" si="244"/>
        <v/>
      </c>
      <c r="R94" s="100" t="str">
        <f t="shared" si="245"/>
        <v/>
      </c>
      <c r="S94" s="101">
        <f t="shared" si="246"/>
        <v>0</v>
      </c>
      <c r="T94" s="102" t="str">
        <f t="shared" si="247"/>
        <v/>
      </c>
      <c r="U94" s="103" t="str">
        <f t="shared" si="248"/>
        <v/>
      </c>
      <c r="V94" s="104">
        <f t="shared" si="249"/>
        <v>0</v>
      </c>
      <c r="W94" s="99" t="str">
        <f t="shared" si="250"/>
        <v/>
      </c>
      <c r="X94" s="100" t="str">
        <f t="shared" si="251"/>
        <v/>
      </c>
      <c r="Y94" s="101">
        <f t="shared" si="252"/>
        <v>0</v>
      </c>
      <c r="Z94" s="102" t="str">
        <f t="shared" si="253"/>
        <v/>
      </c>
      <c r="AA94" s="103" t="str">
        <f t="shared" si="254"/>
        <v/>
      </c>
      <c r="AB94" s="104">
        <f t="shared" si="255"/>
        <v>0</v>
      </c>
      <c r="AC94" s="99" t="str">
        <f t="shared" si="256"/>
        <v/>
      </c>
      <c r="AD94" s="100" t="str">
        <f t="shared" si="257"/>
        <v/>
      </c>
      <c r="AE94" s="101">
        <f t="shared" si="258"/>
        <v>0</v>
      </c>
      <c r="AF94" s="102" t="str">
        <f t="shared" si="259"/>
        <v/>
      </c>
      <c r="AG94" s="103" t="str">
        <f t="shared" si="260"/>
        <v/>
      </c>
      <c r="AH94" s="104">
        <f t="shared" si="261"/>
        <v>0</v>
      </c>
      <c r="AI94" s="99" t="str">
        <f t="shared" si="262"/>
        <v/>
      </c>
      <c r="AJ94" s="100" t="str">
        <f t="shared" si="263"/>
        <v/>
      </c>
      <c r="AK94" s="101">
        <f t="shared" si="264"/>
        <v>0</v>
      </c>
      <c r="AL94" s="102" t="str">
        <f t="shared" si="265"/>
        <v/>
      </c>
      <c r="AM94" s="103" t="str">
        <f t="shared" si="266"/>
        <v/>
      </c>
      <c r="AN94" s="104">
        <f t="shared" si="267"/>
        <v>0</v>
      </c>
      <c r="AO94" s="99" t="str">
        <f t="shared" si="268"/>
        <v/>
      </c>
      <c r="AP94" s="100" t="str">
        <f t="shared" si="269"/>
        <v/>
      </c>
      <c r="AQ94" s="101">
        <f t="shared" si="270"/>
        <v>0</v>
      </c>
      <c r="AR94" s="102" t="str">
        <f t="shared" si="271"/>
        <v/>
      </c>
      <c r="AS94" s="103" t="str">
        <f t="shared" si="272"/>
        <v/>
      </c>
      <c r="AT94" s="104">
        <f t="shared" si="273"/>
        <v>0</v>
      </c>
      <c r="AU94" s="99" t="str">
        <f t="shared" si="274"/>
        <v/>
      </c>
      <c r="AV94" s="100" t="str">
        <f t="shared" si="275"/>
        <v/>
      </c>
      <c r="AW94" s="101">
        <f t="shared" si="276"/>
        <v>0</v>
      </c>
      <c r="AX94" s="102" t="str">
        <f t="shared" si="277"/>
        <v/>
      </c>
      <c r="AY94" s="103" t="str">
        <f t="shared" si="278"/>
        <v/>
      </c>
      <c r="AZ94" s="104">
        <f t="shared" si="279"/>
        <v>0</v>
      </c>
      <c r="BA94" s="99" t="str">
        <f t="shared" si="280"/>
        <v/>
      </c>
      <c r="BB94" s="100" t="str">
        <f t="shared" si="281"/>
        <v/>
      </c>
      <c r="BC94" s="101">
        <f t="shared" si="282"/>
        <v>0</v>
      </c>
      <c r="BD94" s="102" t="str">
        <f t="shared" si="283"/>
        <v/>
      </c>
      <c r="BE94" s="103" t="str">
        <f t="shared" si="284"/>
        <v/>
      </c>
      <c r="BF94" s="104">
        <f t="shared" si="285"/>
        <v>0</v>
      </c>
      <c r="BG94" s="99" t="str">
        <f t="shared" si="286"/>
        <v/>
      </c>
      <c r="BH94" s="100" t="str">
        <f t="shared" si="287"/>
        <v/>
      </c>
      <c r="BI94" s="101">
        <f t="shared" si="288"/>
        <v>0</v>
      </c>
      <c r="BJ94" s="102" t="str">
        <f t="shared" si="289"/>
        <v/>
      </c>
      <c r="BK94" s="103" t="str">
        <f t="shared" si="290"/>
        <v/>
      </c>
      <c r="BL94" s="104">
        <f t="shared" si="291"/>
        <v>0</v>
      </c>
      <c r="BM94" s="99" t="str">
        <f t="shared" si="292"/>
        <v/>
      </c>
      <c r="BN94" s="100" t="str">
        <f t="shared" si="293"/>
        <v/>
      </c>
      <c r="BO94" s="101">
        <f t="shared" si="294"/>
        <v>0</v>
      </c>
      <c r="BP94" s="102" t="str">
        <f t="shared" si="295"/>
        <v/>
      </c>
      <c r="BQ94" s="103" t="str">
        <f t="shared" si="296"/>
        <v/>
      </c>
      <c r="BR94" s="104">
        <f t="shared" si="297"/>
        <v>0</v>
      </c>
      <c r="BS94" s="99" t="str">
        <f t="shared" si="298"/>
        <v/>
      </c>
      <c r="BT94" s="100" t="str">
        <f t="shared" si="299"/>
        <v/>
      </c>
      <c r="BU94" s="101">
        <f t="shared" si="300"/>
        <v>0</v>
      </c>
      <c r="BV94" s="102" t="str">
        <f t="shared" si="301"/>
        <v/>
      </c>
      <c r="BW94" s="103" t="str">
        <f t="shared" si="302"/>
        <v/>
      </c>
      <c r="BX94" s="104">
        <f t="shared" si="303"/>
        <v>0</v>
      </c>
      <c r="BY94" s="99" t="str">
        <f t="shared" si="304"/>
        <v/>
      </c>
      <c r="BZ94" s="100" t="str">
        <f t="shared" si="305"/>
        <v/>
      </c>
      <c r="CA94" s="101">
        <f t="shared" si="306"/>
        <v>0</v>
      </c>
      <c r="CB94" s="102" t="str">
        <f t="shared" si="307"/>
        <v/>
      </c>
      <c r="CC94" s="103" t="str">
        <f t="shared" si="308"/>
        <v/>
      </c>
      <c r="CD94" s="104">
        <f t="shared" si="309"/>
        <v>0</v>
      </c>
      <c r="CE94" s="99" t="str">
        <f t="shared" si="310"/>
        <v/>
      </c>
      <c r="CF94" s="100" t="str">
        <f t="shared" si="311"/>
        <v/>
      </c>
      <c r="CG94" s="101">
        <f t="shared" si="312"/>
        <v>0</v>
      </c>
      <c r="CH94" s="102" t="str">
        <f t="shared" si="313"/>
        <v/>
      </c>
      <c r="CI94" s="103" t="str">
        <f t="shared" si="314"/>
        <v/>
      </c>
      <c r="CJ94" s="104">
        <f t="shared" si="315"/>
        <v>0</v>
      </c>
      <c r="CK94" s="99" t="str">
        <f t="shared" si="316"/>
        <v/>
      </c>
      <c r="CL94" s="100" t="str">
        <f t="shared" si="317"/>
        <v/>
      </c>
      <c r="CM94" s="101">
        <f t="shared" si="318"/>
        <v>0</v>
      </c>
      <c r="CN94" s="102" t="str">
        <f t="shared" si="319"/>
        <v/>
      </c>
      <c r="CO94" s="103" t="str">
        <f t="shared" si="320"/>
        <v/>
      </c>
      <c r="CP94" s="104">
        <f t="shared" si="321"/>
        <v>0</v>
      </c>
      <c r="CQ94" s="99" t="str">
        <f t="shared" si="322"/>
        <v/>
      </c>
      <c r="CR94" s="100" t="str">
        <f t="shared" si="323"/>
        <v/>
      </c>
      <c r="CS94" s="101">
        <f t="shared" si="324"/>
        <v>0</v>
      </c>
      <c r="CT94" s="102" t="str">
        <f t="shared" si="325"/>
        <v/>
      </c>
      <c r="CU94" s="103" t="str">
        <f t="shared" si="326"/>
        <v/>
      </c>
      <c r="CV94" s="104">
        <f t="shared" si="327"/>
        <v>0</v>
      </c>
      <c r="CW94" s="99" t="str">
        <f t="shared" si="328"/>
        <v/>
      </c>
      <c r="CX94" s="100" t="str">
        <f t="shared" si="329"/>
        <v/>
      </c>
      <c r="CY94" s="101">
        <f t="shared" si="330"/>
        <v>0</v>
      </c>
      <c r="CZ94" s="102" t="str">
        <f t="shared" si="331"/>
        <v/>
      </c>
      <c r="DA94" s="103" t="str">
        <f t="shared" si="332"/>
        <v/>
      </c>
      <c r="DB94" s="104">
        <f t="shared" si="333"/>
        <v>0</v>
      </c>
      <c r="DC94" s="99" t="str">
        <f t="shared" si="334"/>
        <v/>
      </c>
      <c r="DD94" s="100" t="str">
        <f t="shared" si="335"/>
        <v/>
      </c>
      <c r="DE94" s="101">
        <f t="shared" si="336"/>
        <v>0</v>
      </c>
      <c r="DF94" s="102" t="str">
        <f t="shared" si="337"/>
        <v/>
      </c>
      <c r="DG94" s="103" t="str">
        <f t="shared" si="338"/>
        <v/>
      </c>
      <c r="DH94" s="104">
        <f t="shared" si="339"/>
        <v>0</v>
      </c>
      <c r="DI94" s="99" t="str">
        <f t="shared" si="340"/>
        <v/>
      </c>
      <c r="DJ94" s="100" t="str">
        <f t="shared" si="341"/>
        <v/>
      </c>
      <c r="DK94" s="101">
        <f t="shared" si="342"/>
        <v>0</v>
      </c>
      <c r="DL94" s="102" t="str">
        <f t="shared" si="343"/>
        <v/>
      </c>
      <c r="DM94" s="103" t="str">
        <f t="shared" si="344"/>
        <v/>
      </c>
      <c r="DN94" s="104">
        <f t="shared" si="345"/>
        <v>0</v>
      </c>
      <c r="DO94" s="99" t="str">
        <f t="shared" si="346"/>
        <v/>
      </c>
      <c r="DP94" s="100" t="str">
        <f t="shared" si="347"/>
        <v/>
      </c>
      <c r="DQ94" s="101">
        <f t="shared" si="348"/>
        <v>0</v>
      </c>
      <c r="DR94" s="102" t="str">
        <f t="shared" si="349"/>
        <v/>
      </c>
      <c r="DS94" s="103" t="str">
        <f t="shared" si="350"/>
        <v/>
      </c>
      <c r="DT94" s="104">
        <f t="shared" si="351"/>
        <v>0</v>
      </c>
    </row>
    <row r="95" ht="15.75" hidden="1" customHeight="1">
      <c r="A95" s="12" t="str">
        <f>Menus!B55</f>
        <v/>
      </c>
      <c r="B95" s="32">
        <f t="shared" si="231"/>
        <v>0</v>
      </c>
      <c r="C95" s="32">
        <f t="shared" si="232"/>
        <v>0</v>
      </c>
      <c r="D95" s="32">
        <f t="shared" si="233"/>
        <v>0</v>
      </c>
      <c r="E95" s="93" t="str">
        <f t="shared" si="234"/>
        <v/>
      </c>
      <c r="F95" s="94" t="str">
        <f t="shared" si="235"/>
        <v/>
      </c>
      <c r="G95" s="95">
        <f t="shared" si="236"/>
        <v>0</v>
      </c>
      <c r="H95" s="96" t="str">
        <f t="array" ref="H95">IFERROR(XLOOKUP($A95,'Gastos Admon'!$A$7:$A171,INDIRECT($B$9)),"")</f>
        <v/>
      </c>
      <c r="I95" s="97" t="str">
        <f t="array" ref="I95">IFERROR(XLOOKUP($A95,'Gastos Admon'!$A$7:$A171,INDIRECT($C$9)),"")</f>
        <v/>
      </c>
      <c r="J95" s="98">
        <f t="shared" si="237"/>
        <v>0</v>
      </c>
      <c r="K95" s="99" t="str">
        <f t="shared" si="238"/>
        <v/>
      </c>
      <c r="L95" s="100" t="str">
        <f t="shared" si="239"/>
        <v/>
      </c>
      <c r="M95" s="101">
        <f t="shared" si="240"/>
        <v>0</v>
      </c>
      <c r="N95" s="102" t="str">
        <f t="shared" si="241"/>
        <v/>
      </c>
      <c r="O95" s="103" t="str">
        <f t="shared" si="242"/>
        <v/>
      </c>
      <c r="P95" s="104">
        <f t="shared" si="243"/>
        <v>0</v>
      </c>
      <c r="Q95" s="99" t="str">
        <f t="shared" si="244"/>
        <v/>
      </c>
      <c r="R95" s="100" t="str">
        <f t="shared" si="245"/>
        <v/>
      </c>
      <c r="S95" s="101">
        <f t="shared" si="246"/>
        <v>0</v>
      </c>
      <c r="T95" s="102" t="str">
        <f t="shared" si="247"/>
        <v/>
      </c>
      <c r="U95" s="103" t="str">
        <f t="shared" si="248"/>
        <v/>
      </c>
      <c r="V95" s="104">
        <f t="shared" si="249"/>
        <v>0</v>
      </c>
      <c r="W95" s="99" t="str">
        <f t="shared" si="250"/>
        <v/>
      </c>
      <c r="X95" s="100" t="str">
        <f t="shared" si="251"/>
        <v/>
      </c>
      <c r="Y95" s="101">
        <f t="shared" si="252"/>
        <v>0</v>
      </c>
      <c r="Z95" s="102" t="str">
        <f t="shared" si="253"/>
        <v/>
      </c>
      <c r="AA95" s="103" t="str">
        <f t="shared" si="254"/>
        <v/>
      </c>
      <c r="AB95" s="104">
        <f t="shared" si="255"/>
        <v>0</v>
      </c>
      <c r="AC95" s="99" t="str">
        <f t="shared" si="256"/>
        <v/>
      </c>
      <c r="AD95" s="100" t="str">
        <f t="shared" si="257"/>
        <v/>
      </c>
      <c r="AE95" s="101">
        <f t="shared" si="258"/>
        <v>0</v>
      </c>
      <c r="AF95" s="102" t="str">
        <f t="shared" si="259"/>
        <v/>
      </c>
      <c r="AG95" s="103" t="str">
        <f t="shared" si="260"/>
        <v/>
      </c>
      <c r="AH95" s="104">
        <f t="shared" si="261"/>
        <v>0</v>
      </c>
      <c r="AI95" s="99" t="str">
        <f t="shared" si="262"/>
        <v/>
      </c>
      <c r="AJ95" s="100" t="str">
        <f t="shared" si="263"/>
        <v/>
      </c>
      <c r="AK95" s="101">
        <f t="shared" si="264"/>
        <v>0</v>
      </c>
      <c r="AL95" s="102" t="str">
        <f t="shared" si="265"/>
        <v/>
      </c>
      <c r="AM95" s="103" t="str">
        <f t="shared" si="266"/>
        <v/>
      </c>
      <c r="AN95" s="104">
        <f t="shared" si="267"/>
        <v>0</v>
      </c>
      <c r="AO95" s="99" t="str">
        <f t="shared" si="268"/>
        <v/>
      </c>
      <c r="AP95" s="100" t="str">
        <f t="shared" si="269"/>
        <v/>
      </c>
      <c r="AQ95" s="101">
        <f t="shared" si="270"/>
        <v>0</v>
      </c>
      <c r="AR95" s="102" t="str">
        <f t="shared" si="271"/>
        <v/>
      </c>
      <c r="AS95" s="103" t="str">
        <f t="shared" si="272"/>
        <v/>
      </c>
      <c r="AT95" s="104">
        <f t="shared" si="273"/>
        <v>0</v>
      </c>
      <c r="AU95" s="99" t="str">
        <f t="shared" si="274"/>
        <v/>
      </c>
      <c r="AV95" s="100" t="str">
        <f t="shared" si="275"/>
        <v/>
      </c>
      <c r="AW95" s="101">
        <f t="shared" si="276"/>
        <v>0</v>
      </c>
      <c r="AX95" s="102" t="str">
        <f t="shared" si="277"/>
        <v/>
      </c>
      <c r="AY95" s="103" t="str">
        <f t="shared" si="278"/>
        <v/>
      </c>
      <c r="AZ95" s="104">
        <f t="shared" si="279"/>
        <v>0</v>
      </c>
      <c r="BA95" s="99" t="str">
        <f t="shared" si="280"/>
        <v/>
      </c>
      <c r="BB95" s="100" t="str">
        <f t="shared" si="281"/>
        <v/>
      </c>
      <c r="BC95" s="101">
        <f t="shared" si="282"/>
        <v>0</v>
      </c>
      <c r="BD95" s="102" t="str">
        <f t="shared" si="283"/>
        <v/>
      </c>
      <c r="BE95" s="103" t="str">
        <f t="shared" si="284"/>
        <v/>
      </c>
      <c r="BF95" s="104">
        <f t="shared" si="285"/>
        <v>0</v>
      </c>
      <c r="BG95" s="99" t="str">
        <f t="shared" si="286"/>
        <v/>
      </c>
      <c r="BH95" s="100" t="str">
        <f t="shared" si="287"/>
        <v/>
      </c>
      <c r="BI95" s="101">
        <f t="shared" si="288"/>
        <v>0</v>
      </c>
      <c r="BJ95" s="102" t="str">
        <f t="shared" si="289"/>
        <v/>
      </c>
      <c r="BK95" s="103" t="str">
        <f t="shared" si="290"/>
        <v/>
      </c>
      <c r="BL95" s="104">
        <f t="shared" si="291"/>
        <v>0</v>
      </c>
      <c r="BM95" s="99" t="str">
        <f t="shared" si="292"/>
        <v/>
      </c>
      <c r="BN95" s="100" t="str">
        <f t="shared" si="293"/>
        <v/>
      </c>
      <c r="BO95" s="101">
        <f t="shared" si="294"/>
        <v>0</v>
      </c>
      <c r="BP95" s="102" t="str">
        <f t="shared" si="295"/>
        <v/>
      </c>
      <c r="BQ95" s="103" t="str">
        <f t="shared" si="296"/>
        <v/>
      </c>
      <c r="BR95" s="104">
        <f t="shared" si="297"/>
        <v>0</v>
      </c>
      <c r="BS95" s="99" t="str">
        <f t="shared" si="298"/>
        <v/>
      </c>
      <c r="BT95" s="100" t="str">
        <f t="shared" si="299"/>
        <v/>
      </c>
      <c r="BU95" s="101">
        <f t="shared" si="300"/>
        <v>0</v>
      </c>
      <c r="BV95" s="102" t="str">
        <f t="shared" si="301"/>
        <v/>
      </c>
      <c r="BW95" s="103" t="str">
        <f t="shared" si="302"/>
        <v/>
      </c>
      <c r="BX95" s="104">
        <f t="shared" si="303"/>
        <v>0</v>
      </c>
      <c r="BY95" s="99" t="str">
        <f t="shared" si="304"/>
        <v/>
      </c>
      <c r="BZ95" s="100" t="str">
        <f t="shared" si="305"/>
        <v/>
      </c>
      <c r="CA95" s="101">
        <f t="shared" si="306"/>
        <v>0</v>
      </c>
      <c r="CB95" s="102" t="str">
        <f t="shared" si="307"/>
        <v/>
      </c>
      <c r="CC95" s="103" t="str">
        <f t="shared" si="308"/>
        <v/>
      </c>
      <c r="CD95" s="104">
        <f t="shared" si="309"/>
        <v>0</v>
      </c>
      <c r="CE95" s="99" t="str">
        <f t="shared" si="310"/>
        <v/>
      </c>
      <c r="CF95" s="100" t="str">
        <f t="shared" si="311"/>
        <v/>
      </c>
      <c r="CG95" s="101">
        <f t="shared" si="312"/>
        <v>0</v>
      </c>
      <c r="CH95" s="102" t="str">
        <f t="shared" si="313"/>
        <v/>
      </c>
      <c r="CI95" s="103" t="str">
        <f t="shared" si="314"/>
        <v/>
      </c>
      <c r="CJ95" s="104">
        <f t="shared" si="315"/>
        <v>0</v>
      </c>
      <c r="CK95" s="99" t="str">
        <f t="shared" si="316"/>
        <v/>
      </c>
      <c r="CL95" s="100" t="str">
        <f t="shared" si="317"/>
        <v/>
      </c>
      <c r="CM95" s="101">
        <f t="shared" si="318"/>
        <v>0</v>
      </c>
      <c r="CN95" s="102" t="str">
        <f t="shared" si="319"/>
        <v/>
      </c>
      <c r="CO95" s="103" t="str">
        <f t="shared" si="320"/>
        <v/>
      </c>
      <c r="CP95" s="104">
        <f t="shared" si="321"/>
        <v>0</v>
      </c>
      <c r="CQ95" s="99" t="str">
        <f t="shared" si="322"/>
        <v/>
      </c>
      <c r="CR95" s="100" t="str">
        <f t="shared" si="323"/>
        <v/>
      </c>
      <c r="CS95" s="101">
        <f t="shared" si="324"/>
        <v>0</v>
      </c>
      <c r="CT95" s="102" t="str">
        <f t="shared" si="325"/>
        <v/>
      </c>
      <c r="CU95" s="103" t="str">
        <f t="shared" si="326"/>
        <v/>
      </c>
      <c r="CV95" s="104">
        <f t="shared" si="327"/>
        <v>0</v>
      </c>
      <c r="CW95" s="99" t="str">
        <f t="shared" si="328"/>
        <v/>
      </c>
      <c r="CX95" s="100" t="str">
        <f t="shared" si="329"/>
        <v/>
      </c>
      <c r="CY95" s="101">
        <f t="shared" si="330"/>
        <v>0</v>
      </c>
      <c r="CZ95" s="102" t="str">
        <f t="shared" si="331"/>
        <v/>
      </c>
      <c r="DA95" s="103" t="str">
        <f t="shared" si="332"/>
        <v/>
      </c>
      <c r="DB95" s="104">
        <f t="shared" si="333"/>
        <v>0</v>
      </c>
      <c r="DC95" s="99" t="str">
        <f t="shared" si="334"/>
        <v/>
      </c>
      <c r="DD95" s="100" t="str">
        <f t="shared" si="335"/>
        <v/>
      </c>
      <c r="DE95" s="101">
        <f t="shared" si="336"/>
        <v>0</v>
      </c>
      <c r="DF95" s="102" t="str">
        <f t="shared" si="337"/>
        <v/>
      </c>
      <c r="DG95" s="103" t="str">
        <f t="shared" si="338"/>
        <v/>
      </c>
      <c r="DH95" s="104">
        <f t="shared" si="339"/>
        <v>0</v>
      </c>
      <c r="DI95" s="99" t="str">
        <f t="shared" si="340"/>
        <v/>
      </c>
      <c r="DJ95" s="100" t="str">
        <f t="shared" si="341"/>
        <v/>
      </c>
      <c r="DK95" s="101">
        <f t="shared" si="342"/>
        <v>0</v>
      </c>
      <c r="DL95" s="102" t="str">
        <f t="shared" si="343"/>
        <v/>
      </c>
      <c r="DM95" s="103" t="str">
        <f t="shared" si="344"/>
        <v/>
      </c>
      <c r="DN95" s="104">
        <f t="shared" si="345"/>
        <v>0</v>
      </c>
      <c r="DO95" s="99" t="str">
        <f t="shared" si="346"/>
        <v/>
      </c>
      <c r="DP95" s="100" t="str">
        <f t="shared" si="347"/>
        <v/>
      </c>
      <c r="DQ95" s="101">
        <f t="shared" si="348"/>
        <v>0</v>
      </c>
      <c r="DR95" s="102" t="str">
        <f t="shared" si="349"/>
        <v/>
      </c>
      <c r="DS95" s="103" t="str">
        <f t="shared" si="350"/>
        <v/>
      </c>
      <c r="DT95" s="104">
        <f t="shared" si="351"/>
        <v>0</v>
      </c>
    </row>
    <row r="96" ht="15.75" hidden="1" customHeight="1">
      <c r="A96" s="12" t="str">
        <f>Menus!B56</f>
        <v/>
      </c>
      <c r="B96" s="32">
        <f t="shared" si="231"/>
        <v>0</v>
      </c>
      <c r="C96" s="32">
        <f t="shared" si="232"/>
        <v>0</v>
      </c>
      <c r="D96" s="32">
        <f t="shared" si="233"/>
        <v>0</v>
      </c>
      <c r="E96" s="93" t="str">
        <f t="shared" si="234"/>
        <v/>
      </c>
      <c r="F96" s="94" t="str">
        <f t="shared" si="235"/>
        <v/>
      </c>
      <c r="G96" s="95">
        <f t="shared" si="236"/>
        <v>0</v>
      </c>
      <c r="H96" s="96" t="str">
        <f t="array" ref="H96">IFERROR(XLOOKUP($A96,'Gastos Admon'!$A$7:$A171,INDIRECT($B$9)),"")</f>
        <v/>
      </c>
      <c r="I96" s="97" t="str">
        <f t="array" ref="I96">IFERROR(XLOOKUP($A96,'Gastos Admon'!$A$7:$A171,INDIRECT($C$9)),"")</f>
        <v/>
      </c>
      <c r="J96" s="98">
        <f t="shared" si="237"/>
        <v>0</v>
      </c>
      <c r="K96" s="99" t="str">
        <f t="shared" si="238"/>
        <v/>
      </c>
      <c r="L96" s="100" t="str">
        <f t="shared" si="239"/>
        <v/>
      </c>
      <c r="M96" s="101">
        <f t="shared" si="240"/>
        <v>0</v>
      </c>
      <c r="N96" s="102" t="str">
        <f t="shared" si="241"/>
        <v/>
      </c>
      <c r="O96" s="103" t="str">
        <f t="shared" si="242"/>
        <v/>
      </c>
      <c r="P96" s="104">
        <f t="shared" si="243"/>
        <v>0</v>
      </c>
      <c r="Q96" s="99" t="str">
        <f t="shared" si="244"/>
        <v/>
      </c>
      <c r="R96" s="100" t="str">
        <f t="shared" si="245"/>
        <v/>
      </c>
      <c r="S96" s="101">
        <f t="shared" si="246"/>
        <v>0</v>
      </c>
      <c r="T96" s="102" t="str">
        <f t="shared" si="247"/>
        <v/>
      </c>
      <c r="U96" s="103" t="str">
        <f t="shared" si="248"/>
        <v/>
      </c>
      <c r="V96" s="104">
        <f t="shared" si="249"/>
        <v>0</v>
      </c>
      <c r="W96" s="99" t="str">
        <f t="shared" si="250"/>
        <v/>
      </c>
      <c r="X96" s="100" t="str">
        <f t="shared" si="251"/>
        <v/>
      </c>
      <c r="Y96" s="101">
        <f t="shared" si="252"/>
        <v>0</v>
      </c>
      <c r="Z96" s="102" t="str">
        <f t="shared" si="253"/>
        <v/>
      </c>
      <c r="AA96" s="103" t="str">
        <f t="shared" si="254"/>
        <v/>
      </c>
      <c r="AB96" s="104">
        <f t="shared" si="255"/>
        <v>0</v>
      </c>
      <c r="AC96" s="99" t="str">
        <f t="shared" si="256"/>
        <v/>
      </c>
      <c r="AD96" s="100" t="str">
        <f t="shared" si="257"/>
        <v/>
      </c>
      <c r="AE96" s="101">
        <f t="shared" si="258"/>
        <v>0</v>
      </c>
      <c r="AF96" s="102" t="str">
        <f t="shared" si="259"/>
        <v/>
      </c>
      <c r="AG96" s="103" t="str">
        <f t="shared" si="260"/>
        <v/>
      </c>
      <c r="AH96" s="104">
        <f t="shared" si="261"/>
        <v>0</v>
      </c>
      <c r="AI96" s="99" t="str">
        <f t="shared" si="262"/>
        <v/>
      </c>
      <c r="AJ96" s="100" t="str">
        <f t="shared" si="263"/>
        <v/>
      </c>
      <c r="AK96" s="101">
        <f t="shared" si="264"/>
        <v>0</v>
      </c>
      <c r="AL96" s="102" t="str">
        <f t="shared" si="265"/>
        <v/>
      </c>
      <c r="AM96" s="103" t="str">
        <f t="shared" si="266"/>
        <v/>
      </c>
      <c r="AN96" s="104">
        <f t="shared" si="267"/>
        <v>0</v>
      </c>
      <c r="AO96" s="99" t="str">
        <f t="shared" si="268"/>
        <v/>
      </c>
      <c r="AP96" s="100" t="str">
        <f t="shared" si="269"/>
        <v/>
      </c>
      <c r="AQ96" s="101">
        <f t="shared" si="270"/>
        <v>0</v>
      </c>
      <c r="AR96" s="102" t="str">
        <f t="shared" si="271"/>
        <v/>
      </c>
      <c r="AS96" s="103" t="str">
        <f t="shared" si="272"/>
        <v/>
      </c>
      <c r="AT96" s="104">
        <f t="shared" si="273"/>
        <v>0</v>
      </c>
      <c r="AU96" s="99" t="str">
        <f t="shared" si="274"/>
        <v/>
      </c>
      <c r="AV96" s="100" t="str">
        <f t="shared" si="275"/>
        <v/>
      </c>
      <c r="AW96" s="101">
        <f t="shared" si="276"/>
        <v>0</v>
      </c>
      <c r="AX96" s="102" t="str">
        <f t="shared" si="277"/>
        <v/>
      </c>
      <c r="AY96" s="103" t="str">
        <f t="shared" si="278"/>
        <v/>
      </c>
      <c r="AZ96" s="104">
        <f t="shared" si="279"/>
        <v>0</v>
      </c>
      <c r="BA96" s="99" t="str">
        <f t="shared" si="280"/>
        <v/>
      </c>
      <c r="BB96" s="100" t="str">
        <f t="shared" si="281"/>
        <v/>
      </c>
      <c r="BC96" s="101">
        <f t="shared" si="282"/>
        <v>0</v>
      </c>
      <c r="BD96" s="102" t="str">
        <f t="shared" si="283"/>
        <v/>
      </c>
      <c r="BE96" s="103" t="str">
        <f t="shared" si="284"/>
        <v/>
      </c>
      <c r="BF96" s="104">
        <f t="shared" si="285"/>
        <v>0</v>
      </c>
      <c r="BG96" s="99" t="str">
        <f t="shared" si="286"/>
        <v/>
      </c>
      <c r="BH96" s="100" t="str">
        <f t="shared" si="287"/>
        <v/>
      </c>
      <c r="BI96" s="101">
        <f t="shared" si="288"/>
        <v>0</v>
      </c>
      <c r="BJ96" s="102" t="str">
        <f t="shared" si="289"/>
        <v/>
      </c>
      <c r="BK96" s="103" t="str">
        <f t="shared" si="290"/>
        <v/>
      </c>
      <c r="BL96" s="104">
        <f t="shared" si="291"/>
        <v>0</v>
      </c>
      <c r="BM96" s="99" t="str">
        <f t="shared" si="292"/>
        <v/>
      </c>
      <c r="BN96" s="100" t="str">
        <f t="shared" si="293"/>
        <v/>
      </c>
      <c r="BO96" s="101">
        <f t="shared" si="294"/>
        <v>0</v>
      </c>
      <c r="BP96" s="102" t="str">
        <f t="shared" si="295"/>
        <v/>
      </c>
      <c r="BQ96" s="103" t="str">
        <f t="shared" si="296"/>
        <v/>
      </c>
      <c r="BR96" s="104">
        <f t="shared" si="297"/>
        <v>0</v>
      </c>
      <c r="BS96" s="99" t="str">
        <f t="shared" si="298"/>
        <v/>
      </c>
      <c r="BT96" s="100" t="str">
        <f t="shared" si="299"/>
        <v/>
      </c>
      <c r="BU96" s="101">
        <f t="shared" si="300"/>
        <v>0</v>
      </c>
      <c r="BV96" s="102" t="str">
        <f t="shared" si="301"/>
        <v/>
      </c>
      <c r="BW96" s="103" t="str">
        <f t="shared" si="302"/>
        <v/>
      </c>
      <c r="BX96" s="104">
        <f t="shared" si="303"/>
        <v>0</v>
      </c>
      <c r="BY96" s="99" t="str">
        <f t="shared" si="304"/>
        <v/>
      </c>
      <c r="BZ96" s="100" t="str">
        <f t="shared" si="305"/>
        <v/>
      </c>
      <c r="CA96" s="101">
        <f t="shared" si="306"/>
        <v>0</v>
      </c>
      <c r="CB96" s="102" t="str">
        <f t="shared" si="307"/>
        <v/>
      </c>
      <c r="CC96" s="103" t="str">
        <f t="shared" si="308"/>
        <v/>
      </c>
      <c r="CD96" s="104">
        <f t="shared" si="309"/>
        <v>0</v>
      </c>
      <c r="CE96" s="99" t="str">
        <f t="shared" si="310"/>
        <v/>
      </c>
      <c r="CF96" s="100" t="str">
        <f t="shared" si="311"/>
        <v/>
      </c>
      <c r="CG96" s="101">
        <f t="shared" si="312"/>
        <v>0</v>
      </c>
      <c r="CH96" s="102" t="str">
        <f t="shared" si="313"/>
        <v/>
      </c>
      <c r="CI96" s="103" t="str">
        <f t="shared" si="314"/>
        <v/>
      </c>
      <c r="CJ96" s="104">
        <f t="shared" si="315"/>
        <v>0</v>
      </c>
      <c r="CK96" s="99" t="str">
        <f t="shared" si="316"/>
        <v/>
      </c>
      <c r="CL96" s="100" t="str">
        <f t="shared" si="317"/>
        <v/>
      </c>
      <c r="CM96" s="101">
        <f t="shared" si="318"/>
        <v>0</v>
      </c>
      <c r="CN96" s="102" t="str">
        <f t="shared" si="319"/>
        <v/>
      </c>
      <c r="CO96" s="103" t="str">
        <f t="shared" si="320"/>
        <v/>
      </c>
      <c r="CP96" s="104">
        <f t="shared" si="321"/>
        <v>0</v>
      </c>
      <c r="CQ96" s="99" t="str">
        <f t="shared" si="322"/>
        <v/>
      </c>
      <c r="CR96" s="100" t="str">
        <f t="shared" si="323"/>
        <v/>
      </c>
      <c r="CS96" s="101">
        <f t="shared" si="324"/>
        <v>0</v>
      </c>
      <c r="CT96" s="102" t="str">
        <f t="shared" si="325"/>
        <v/>
      </c>
      <c r="CU96" s="103" t="str">
        <f t="shared" si="326"/>
        <v/>
      </c>
      <c r="CV96" s="104">
        <f t="shared" si="327"/>
        <v>0</v>
      </c>
      <c r="CW96" s="99" t="str">
        <f t="shared" si="328"/>
        <v/>
      </c>
      <c r="CX96" s="100" t="str">
        <f t="shared" si="329"/>
        <v/>
      </c>
      <c r="CY96" s="101">
        <f t="shared" si="330"/>
        <v>0</v>
      </c>
      <c r="CZ96" s="102" t="str">
        <f t="shared" si="331"/>
        <v/>
      </c>
      <c r="DA96" s="103" t="str">
        <f t="shared" si="332"/>
        <v/>
      </c>
      <c r="DB96" s="104">
        <f t="shared" si="333"/>
        <v>0</v>
      </c>
      <c r="DC96" s="99" t="str">
        <f t="shared" si="334"/>
        <v/>
      </c>
      <c r="DD96" s="100" t="str">
        <f t="shared" si="335"/>
        <v/>
      </c>
      <c r="DE96" s="101">
        <f t="shared" si="336"/>
        <v>0</v>
      </c>
      <c r="DF96" s="102" t="str">
        <f t="shared" si="337"/>
        <v/>
      </c>
      <c r="DG96" s="103" t="str">
        <f t="shared" si="338"/>
        <v/>
      </c>
      <c r="DH96" s="104">
        <f t="shared" si="339"/>
        <v>0</v>
      </c>
      <c r="DI96" s="99" t="str">
        <f t="shared" si="340"/>
        <v/>
      </c>
      <c r="DJ96" s="100" t="str">
        <f t="shared" si="341"/>
        <v/>
      </c>
      <c r="DK96" s="101">
        <f t="shared" si="342"/>
        <v>0</v>
      </c>
      <c r="DL96" s="102" t="str">
        <f t="shared" si="343"/>
        <v/>
      </c>
      <c r="DM96" s="103" t="str">
        <f t="shared" si="344"/>
        <v/>
      </c>
      <c r="DN96" s="104">
        <f t="shared" si="345"/>
        <v>0</v>
      </c>
      <c r="DO96" s="99" t="str">
        <f t="shared" si="346"/>
        <v/>
      </c>
      <c r="DP96" s="100" t="str">
        <f t="shared" si="347"/>
        <v/>
      </c>
      <c r="DQ96" s="101">
        <f t="shared" si="348"/>
        <v>0</v>
      </c>
      <c r="DR96" s="102" t="str">
        <f t="shared" si="349"/>
        <v/>
      </c>
      <c r="DS96" s="103" t="str">
        <f t="shared" si="350"/>
        <v/>
      </c>
      <c r="DT96" s="104">
        <f t="shared" si="351"/>
        <v>0</v>
      </c>
    </row>
    <row r="97" ht="15.75" hidden="1" customHeight="1">
      <c r="A97" s="12" t="str">
        <f>Menus!B57</f>
        <v/>
      </c>
      <c r="B97" s="32">
        <f t="shared" si="231"/>
        <v>0</v>
      </c>
      <c r="C97" s="32">
        <f t="shared" si="232"/>
        <v>0</v>
      </c>
      <c r="D97" s="32">
        <f t="shared" si="233"/>
        <v>0</v>
      </c>
      <c r="E97" s="93" t="str">
        <f t="shared" si="234"/>
        <v/>
      </c>
      <c r="F97" s="94" t="str">
        <f t="shared" si="235"/>
        <v/>
      </c>
      <c r="G97" s="95">
        <f t="shared" si="236"/>
        <v>0</v>
      </c>
      <c r="H97" s="96" t="str">
        <f t="array" ref="H97">IFERROR(XLOOKUP($A97,'Gastos Admon'!$A$7:$A171,INDIRECT($B$9)),"")</f>
        <v/>
      </c>
      <c r="I97" s="97" t="str">
        <f t="array" ref="I97">IFERROR(XLOOKUP($A97,'Gastos Admon'!$A$7:$A171,INDIRECT($C$9)),"")</f>
        <v/>
      </c>
      <c r="J97" s="98">
        <f t="shared" si="237"/>
        <v>0</v>
      </c>
      <c r="K97" s="99" t="str">
        <f t="shared" si="238"/>
        <v/>
      </c>
      <c r="L97" s="100" t="str">
        <f t="shared" si="239"/>
        <v/>
      </c>
      <c r="M97" s="101">
        <f t="shared" si="240"/>
        <v>0</v>
      </c>
      <c r="N97" s="102" t="str">
        <f t="shared" si="241"/>
        <v/>
      </c>
      <c r="O97" s="103" t="str">
        <f t="shared" si="242"/>
        <v/>
      </c>
      <c r="P97" s="104">
        <f t="shared" si="243"/>
        <v>0</v>
      </c>
      <c r="Q97" s="99" t="str">
        <f t="shared" si="244"/>
        <v/>
      </c>
      <c r="R97" s="100" t="str">
        <f t="shared" si="245"/>
        <v/>
      </c>
      <c r="S97" s="101">
        <f t="shared" si="246"/>
        <v>0</v>
      </c>
      <c r="T97" s="102" t="str">
        <f t="shared" si="247"/>
        <v/>
      </c>
      <c r="U97" s="103" t="str">
        <f t="shared" si="248"/>
        <v/>
      </c>
      <c r="V97" s="104">
        <f t="shared" si="249"/>
        <v>0</v>
      </c>
      <c r="W97" s="99" t="str">
        <f t="shared" si="250"/>
        <v/>
      </c>
      <c r="X97" s="100" t="str">
        <f t="shared" si="251"/>
        <v/>
      </c>
      <c r="Y97" s="101">
        <f t="shared" si="252"/>
        <v>0</v>
      </c>
      <c r="Z97" s="102" t="str">
        <f t="shared" si="253"/>
        <v/>
      </c>
      <c r="AA97" s="103" t="str">
        <f t="shared" si="254"/>
        <v/>
      </c>
      <c r="AB97" s="104">
        <f t="shared" si="255"/>
        <v>0</v>
      </c>
      <c r="AC97" s="99" t="str">
        <f t="shared" si="256"/>
        <v/>
      </c>
      <c r="AD97" s="100" t="str">
        <f t="shared" si="257"/>
        <v/>
      </c>
      <c r="AE97" s="101">
        <f t="shared" si="258"/>
        <v>0</v>
      </c>
      <c r="AF97" s="102" t="str">
        <f t="shared" si="259"/>
        <v/>
      </c>
      <c r="AG97" s="103" t="str">
        <f t="shared" si="260"/>
        <v/>
      </c>
      <c r="AH97" s="104">
        <f t="shared" si="261"/>
        <v>0</v>
      </c>
      <c r="AI97" s="99" t="str">
        <f t="shared" si="262"/>
        <v/>
      </c>
      <c r="AJ97" s="100" t="str">
        <f t="shared" si="263"/>
        <v/>
      </c>
      <c r="AK97" s="101">
        <f t="shared" si="264"/>
        <v>0</v>
      </c>
      <c r="AL97" s="102" t="str">
        <f t="shared" si="265"/>
        <v/>
      </c>
      <c r="AM97" s="103" t="str">
        <f t="shared" si="266"/>
        <v/>
      </c>
      <c r="AN97" s="104">
        <f t="shared" si="267"/>
        <v>0</v>
      </c>
      <c r="AO97" s="99" t="str">
        <f t="shared" si="268"/>
        <v/>
      </c>
      <c r="AP97" s="100" t="str">
        <f t="shared" si="269"/>
        <v/>
      </c>
      <c r="AQ97" s="101">
        <f t="shared" si="270"/>
        <v>0</v>
      </c>
      <c r="AR97" s="102" t="str">
        <f t="shared" si="271"/>
        <v/>
      </c>
      <c r="AS97" s="103" t="str">
        <f t="shared" si="272"/>
        <v/>
      </c>
      <c r="AT97" s="104">
        <f t="shared" si="273"/>
        <v>0</v>
      </c>
      <c r="AU97" s="99" t="str">
        <f t="shared" si="274"/>
        <v/>
      </c>
      <c r="AV97" s="100" t="str">
        <f t="shared" si="275"/>
        <v/>
      </c>
      <c r="AW97" s="101">
        <f t="shared" si="276"/>
        <v>0</v>
      </c>
      <c r="AX97" s="102" t="str">
        <f t="shared" si="277"/>
        <v/>
      </c>
      <c r="AY97" s="103" t="str">
        <f t="shared" si="278"/>
        <v/>
      </c>
      <c r="AZ97" s="104">
        <f t="shared" si="279"/>
        <v>0</v>
      </c>
      <c r="BA97" s="99" t="str">
        <f t="shared" si="280"/>
        <v/>
      </c>
      <c r="BB97" s="100" t="str">
        <f t="shared" si="281"/>
        <v/>
      </c>
      <c r="BC97" s="101">
        <f t="shared" si="282"/>
        <v>0</v>
      </c>
      <c r="BD97" s="102" t="str">
        <f t="shared" si="283"/>
        <v/>
      </c>
      <c r="BE97" s="103" t="str">
        <f t="shared" si="284"/>
        <v/>
      </c>
      <c r="BF97" s="104">
        <f t="shared" si="285"/>
        <v>0</v>
      </c>
      <c r="BG97" s="99" t="str">
        <f t="shared" si="286"/>
        <v/>
      </c>
      <c r="BH97" s="100" t="str">
        <f t="shared" si="287"/>
        <v/>
      </c>
      <c r="BI97" s="101">
        <f t="shared" si="288"/>
        <v>0</v>
      </c>
      <c r="BJ97" s="102" t="str">
        <f t="shared" si="289"/>
        <v/>
      </c>
      <c r="BK97" s="103" t="str">
        <f t="shared" si="290"/>
        <v/>
      </c>
      <c r="BL97" s="104">
        <f t="shared" si="291"/>
        <v>0</v>
      </c>
      <c r="BM97" s="99" t="str">
        <f t="shared" si="292"/>
        <v/>
      </c>
      <c r="BN97" s="100" t="str">
        <f t="shared" si="293"/>
        <v/>
      </c>
      <c r="BO97" s="101">
        <f t="shared" si="294"/>
        <v>0</v>
      </c>
      <c r="BP97" s="102" t="str">
        <f t="shared" si="295"/>
        <v/>
      </c>
      <c r="BQ97" s="103" t="str">
        <f t="shared" si="296"/>
        <v/>
      </c>
      <c r="BR97" s="104">
        <f t="shared" si="297"/>
        <v>0</v>
      </c>
      <c r="BS97" s="99" t="str">
        <f t="shared" si="298"/>
        <v/>
      </c>
      <c r="BT97" s="100" t="str">
        <f t="shared" si="299"/>
        <v/>
      </c>
      <c r="BU97" s="101">
        <f t="shared" si="300"/>
        <v>0</v>
      </c>
      <c r="BV97" s="102" t="str">
        <f t="shared" si="301"/>
        <v/>
      </c>
      <c r="BW97" s="103" t="str">
        <f t="shared" si="302"/>
        <v/>
      </c>
      <c r="BX97" s="104">
        <f t="shared" si="303"/>
        <v>0</v>
      </c>
      <c r="BY97" s="99" t="str">
        <f t="shared" si="304"/>
        <v/>
      </c>
      <c r="BZ97" s="100" t="str">
        <f t="shared" si="305"/>
        <v/>
      </c>
      <c r="CA97" s="101">
        <f t="shared" si="306"/>
        <v>0</v>
      </c>
      <c r="CB97" s="102" t="str">
        <f t="shared" si="307"/>
        <v/>
      </c>
      <c r="CC97" s="103" t="str">
        <f t="shared" si="308"/>
        <v/>
      </c>
      <c r="CD97" s="104">
        <f t="shared" si="309"/>
        <v>0</v>
      </c>
      <c r="CE97" s="99" t="str">
        <f t="shared" si="310"/>
        <v/>
      </c>
      <c r="CF97" s="100" t="str">
        <f t="shared" si="311"/>
        <v/>
      </c>
      <c r="CG97" s="101">
        <f t="shared" si="312"/>
        <v>0</v>
      </c>
      <c r="CH97" s="102" t="str">
        <f t="shared" si="313"/>
        <v/>
      </c>
      <c r="CI97" s="103" t="str">
        <f t="shared" si="314"/>
        <v/>
      </c>
      <c r="CJ97" s="104">
        <f t="shared" si="315"/>
        <v>0</v>
      </c>
      <c r="CK97" s="99" t="str">
        <f t="shared" si="316"/>
        <v/>
      </c>
      <c r="CL97" s="100" t="str">
        <f t="shared" si="317"/>
        <v/>
      </c>
      <c r="CM97" s="101">
        <f t="shared" si="318"/>
        <v>0</v>
      </c>
      <c r="CN97" s="102" t="str">
        <f t="shared" si="319"/>
        <v/>
      </c>
      <c r="CO97" s="103" t="str">
        <f t="shared" si="320"/>
        <v/>
      </c>
      <c r="CP97" s="104">
        <f t="shared" si="321"/>
        <v>0</v>
      </c>
      <c r="CQ97" s="99" t="str">
        <f t="shared" si="322"/>
        <v/>
      </c>
      <c r="CR97" s="100" t="str">
        <f t="shared" si="323"/>
        <v/>
      </c>
      <c r="CS97" s="101">
        <f t="shared" si="324"/>
        <v>0</v>
      </c>
      <c r="CT97" s="102" t="str">
        <f t="shared" si="325"/>
        <v/>
      </c>
      <c r="CU97" s="103" t="str">
        <f t="shared" si="326"/>
        <v/>
      </c>
      <c r="CV97" s="104">
        <f t="shared" si="327"/>
        <v>0</v>
      </c>
      <c r="CW97" s="99" t="str">
        <f t="shared" si="328"/>
        <v/>
      </c>
      <c r="CX97" s="100" t="str">
        <f t="shared" si="329"/>
        <v/>
      </c>
      <c r="CY97" s="101">
        <f t="shared" si="330"/>
        <v>0</v>
      </c>
      <c r="CZ97" s="102" t="str">
        <f t="shared" si="331"/>
        <v/>
      </c>
      <c r="DA97" s="103" t="str">
        <f t="shared" si="332"/>
        <v/>
      </c>
      <c r="DB97" s="104">
        <f t="shared" si="333"/>
        <v>0</v>
      </c>
      <c r="DC97" s="99" t="str">
        <f t="shared" si="334"/>
        <v/>
      </c>
      <c r="DD97" s="100" t="str">
        <f t="shared" si="335"/>
        <v/>
      </c>
      <c r="DE97" s="101">
        <f t="shared" si="336"/>
        <v>0</v>
      </c>
      <c r="DF97" s="102" t="str">
        <f t="shared" si="337"/>
        <v/>
      </c>
      <c r="DG97" s="103" t="str">
        <f t="shared" si="338"/>
        <v/>
      </c>
      <c r="DH97" s="104">
        <f t="shared" si="339"/>
        <v>0</v>
      </c>
      <c r="DI97" s="99" t="str">
        <f t="shared" si="340"/>
        <v/>
      </c>
      <c r="DJ97" s="100" t="str">
        <f t="shared" si="341"/>
        <v/>
      </c>
      <c r="DK97" s="101">
        <f t="shared" si="342"/>
        <v>0</v>
      </c>
      <c r="DL97" s="102" t="str">
        <f t="shared" si="343"/>
        <v/>
      </c>
      <c r="DM97" s="103" t="str">
        <f t="shared" si="344"/>
        <v/>
      </c>
      <c r="DN97" s="104">
        <f t="shared" si="345"/>
        <v>0</v>
      </c>
      <c r="DO97" s="99" t="str">
        <f t="shared" si="346"/>
        <v/>
      </c>
      <c r="DP97" s="100" t="str">
        <f t="shared" si="347"/>
        <v/>
      </c>
      <c r="DQ97" s="101">
        <f t="shared" si="348"/>
        <v>0</v>
      </c>
      <c r="DR97" s="102" t="str">
        <f t="shared" si="349"/>
        <v/>
      </c>
      <c r="DS97" s="103" t="str">
        <f t="shared" si="350"/>
        <v/>
      </c>
      <c r="DT97" s="104">
        <f t="shared" si="351"/>
        <v>0</v>
      </c>
    </row>
    <row r="98" ht="15.75" hidden="1" customHeight="1">
      <c r="A98" s="12" t="str">
        <f>Menus!B58</f>
        <v/>
      </c>
      <c r="B98" s="32">
        <f t="shared" si="231"/>
        <v>0</v>
      </c>
      <c r="C98" s="32">
        <f t="shared" si="232"/>
        <v>0</v>
      </c>
      <c r="D98" s="32">
        <f t="shared" si="233"/>
        <v>0</v>
      </c>
      <c r="E98" s="93" t="str">
        <f t="shared" si="234"/>
        <v/>
      </c>
      <c r="F98" s="94" t="str">
        <f t="shared" si="235"/>
        <v/>
      </c>
      <c r="G98" s="95">
        <f t="shared" si="236"/>
        <v>0</v>
      </c>
      <c r="H98" s="96" t="str">
        <f t="array" ref="H98">IFERROR(XLOOKUP($A98,'Gastos Admon'!$A$7:$A171,INDIRECT($B$9)),"")</f>
        <v/>
      </c>
      <c r="I98" s="97" t="str">
        <f t="array" ref="I98">IFERROR(XLOOKUP($A98,'Gastos Admon'!$A$7:$A171,INDIRECT($C$9)),"")</f>
        <v/>
      </c>
      <c r="J98" s="98">
        <f t="shared" si="237"/>
        <v>0</v>
      </c>
      <c r="K98" s="99" t="str">
        <f t="shared" si="238"/>
        <v/>
      </c>
      <c r="L98" s="100" t="str">
        <f t="shared" si="239"/>
        <v/>
      </c>
      <c r="M98" s="101">
        <f t="shared" si="240"/>
        <v>0</v>
      </c>
      <c r="N98" s="102" t="str">
        <f t="shared" si="241"/>
        <v/>
      </c>
      <c r="O98" s="103" t="str">
        <f t="shared" si="242"/>
        <v/>
      </c>
      <c r="P98" s="104">
        <f t="shared" si="243"/>
        <v>0</v>
      </c>
      <c r="Q98" s="99" t="str">
        <f t="shared" si="244"/>
        <v/>
      </c>
      <c r="R98" s="100" t="str">
        <f t="shared" si="245"/>
        <v/>
      </c>
      <c r="S98" s="101">
        <f t="shared" si="246"/>
        <v>0</v>
      </c>
      <c r="T98" s="102" t="str">
        <f t="shared" si="247"/>
        <v/>
      </c>
      <c r="U98" s="103" t="str">
        <f t="shared" si="248"/>
        <v/>
      </c>
      <c r="V98" s="104">
        <f t="shared" si="249"/>
        <v>0</v>
      </c>
      <c r="W98" s="99" t="str">
        <f t="shared" si="250"/>
        <v/>
      </c>
      <c r="X98" s="100" t="str">
        <f t="shared" si="251"/>
        <v/>
      </c>
      <c r="Y98" s="101">
        <f t="shared" si="252"/>
        <v>0</v>
      </c>
      <c r="Z98" s="102" t="str">
        <f t="shared" si="253"/>
        <v/>
      </c>
      <c r="AA98" s="103" t="str">
        <f t="shared" si="254"/>
        <v/>
      </c>
      <c r="AB98" s="104">
        <f t="shared" si="255"/>
        <v>0</v>
      </c>
      <c r="AC98" s="99" t="str">
        <f t="shared" si="256"/>
        <v/>
      </c>
      <c r="AD98" s="100" t="str">
        <f t="shared" si="257"/>
        <v/>
      </c>
      <c r="AE98" s="101">
        <f t="shared" si="258"/>
        <v>0</v>
      </c>
      <c r="AF98" s="102" t="str">
        <f t="shared" si="259"/>
        <v/>
      </c>
      <c r="AG98" s="103" t="str">
        <f t="shared" si="260"/>
        <v/>
      </c>
      <c r="AH98" s="104">
        <f t="shared" si="261"/>
        <v>0</v>
      </c>
      <c r="AI98" s="99" t="str">
        <f t="shared" si="262"/>
        <v/>
      </c>
      <c r="AJ98" s="100" t="str">
        <f t="shared" si="263"/>
        <v/>
      </c>
      <c r="AK98" s="101">
        <f t="shared" si="264"/>
        <v>0</v>
      </c>
      <c r="AL98" s="102" t="str">
        <f t="shared" si="265"/>
        <v/>
      </c>
      <c r="AM98" s="103" t="str">
        <f t="shared" si="266"/>
        <v/>
      </c>
      <c r="AN98" s="104">
        <f t="shared" si="267"/>
        <v>0</v>
      </c>
      <c r="AO98" s="99" t="str">
        <f t="shared" si="268"/>
        <v/>
      </c>
      <c r="AP98" s="100" t="str">
        <f t="shared" si="269"/>
        <v/>
      </c>
      <c r="AQ98" s="101">
        <f t="shared" si="270"/>
        <v>0</v>
      </c>
      <c r="AR98" s="102" t="str">
        <f t="shared" si="271"/>
        <v/>
      </c>
      <c r="AS98" s="103" t="str">
        <f t="shared" si="272"/>
        <v/>
      </c>
      <c r="AT98" s="104">
        <f t="shared" si="273"/>
        <v>0</v>
      </c>
      <c r="AU98" s="99" t="str">
        <f t="shared" si="274"/>
        <v/>
      </c>
      <c r="AV98" s="100" t="str">
        <f t="shared" si="275"/>
        <v/>
      </c>
      <c r="AW98" s="101">
        <f t="shared" si="276"/>
        <v>0</v>
      </c>
      <c r="AX98" s="102" t="str">
        <f t="shared" si="277"/>
        <v/>
      </c>
      <c r="AY98" s="103" t="str">
        <f t="shared" si="278"/>
        <v/>
      </c>
      <c r="AZ98" s="104">
        <f t="shared" si="279"/>
        <v>0</v>
      </c>
      <c r="BA98" s="99" t="str">
        <f t="shared" si="280"/>
        <v/>
      </c>
      <c r="BB98" s="100" t="str">
        <f t="shared" si="281"/>
        <v/>
      </c>
      <c r="BC98" s="101">
        <f t="shared" si="282"/>
        <v>0</v>
      </c>
      <c r="BD98" s="102" t="str">
        <f t="shared" si="283"/>
        <v/>
      </c>
      <c r="BE98" s="103" t="str">
        <f t="shared" si="284"/>
        <v/>
      </c>
      <c r="BF98" s="104">
        <f t="shared" si="285"/>
        <v>0</v>
      </c>
      <c r="BG98" s="99" t="str">
        <f t="shared" si="286"/>
        <v/>
      </c>
      <c r="BH98" s="100" t="str">
        <f t="shared" si="287"/>
        <v/>
      </c>
      <c r="BI98" s="101">
        <f t="shared" si="288"/>
        <v>0</v>
      </c>
      <c r="BJ98" s="102" t="str">
        <f t="shared" si="289"/>
        <v/>
      </c>
      <c r="BK98" s="103" t="str">
        <f t="shared" si="290"/>
        <v/>
      </c>
      <c r="BL98" s="104">
        <f t="shared" si="291"/>
        <v>0</v>
      </c>
      <c r="BM98" s="99" t="str">
        <f t="shared" si="292"/>
        <v/>
      </c>
      <c r="BN98" s="100" t="str">
        <f t="shared" si="293"/>
        <v/>
      </c>
      <c r="BO98" s="101">
        <f t="shared" si="294"/>
        <v>0</v>
      </c>
      <c r="BP98" s="102" t="str">
        <f t="shared" si="295"/>
        <v/>
      </c>
      <c r="BQ98" s="103" t="str">
        <f t="shared" si="296"/>
        <v/>
      </c>
      <c r="BR98" s="104">
        <f t="shared" si="297"/>
        <v>0</v>
      </c>
      <c r="BS98" s="99" t="str">
        <f t="shared" si="298"/>
        <v/>
      </c>
      <c r="BT98" s="100" t="str">
        <f t="shared" si="299"/>
        <v/>
      </c>
      <c r="BU98" s="101">
        <f t="shared" si="300"/>
        <v>0</v>
      </c>
      <c r="BV98" s="102" t="str">
        <f t="shared" si="301"/>
        <v/>
      </c>
      <c r="BW98" s="103" t="str">
        <f t="shared" si="302"/>
        <v/>
      </c>
      <c r="BX98" s="104">
        <f t="shared" si="303"/>
        <v>0</v>
      </c>
      <c r="BY98" s="99" t="str">
        <f t="shared" si="304"/>
        <v/>
      </c>
      <c r="BZ98" s="100" t="str">
        <f t="shared" si="305"/>
        <v/>
      </c>
      <c r="CA98" s="101">
        <f t="shared" si="306"/>
        <v>0</v>
      </c>
      <c r="CB98" s="102" t="str">
        <f t="shared" si="307"/>
        <v/>
      </c>
      <c r="CC98" s="103" t="str">
        <f t="shared" si="308"/>
        <v/>
      </c>
      <c r="CD98" s="104">
        <f t="shared" si="309"/>
        <v>0</v>
      </c>
      <c r="CE98" s="99" t="str">
        <f t="shared" si="310"/>
        <v/>
      </c>
      <c r="CF98" s="100" t="str">
        <f t="shared" si="311"/>
        <v/>
      </c>
      <c r="CG98" s="101">
        <f t="shared" si="312"/>
        <v>0</v>
      </c>
      <c r="CH98" s="102" t="str">
        <f t="shared" si="313"/>
        <v/>
      </c>
      <c r="CI98" s="103" t="str">
        <f t="shared" si="314"/>
        <v/>
      </c>
      <c r="CJ98" s="104">
        <f t="shared" si="315"/>
        <v>0</v>
      </c>
      <c r="CK98" s="99" t="str">
        <f t="shared" si="316"/>
        <v/>
      </c>
      <c r="CL98" s="100" t="str">
        <f t="shared" si="317"/>
        <v/>
      </c>
      <c r="CM98" s="101">
        <f t="shared" si="318"/>
        <v>0</v>
      </c>
      <c r="CN98" s="102" t="str">
        <f t="shared" si="319"/>
        <v/>
      </c>
      <c r="CO98" s="103" t="str">
        <f t="shared" si="320"/>
        <v/>
      </c>
      <c r="CP98" s="104">
        <f t="shared" si="321"/>
        <v>0</v>
      </c>
      <c r="CQ98" s="99" t="str">
        <f t="shared" si="322"/>
        <v/>
      </c>
      <c r="CR98" s="100" t="str">
        <f t="shared" si="323"/>
        <v/>
      </c>
      <c r="CS98" s="101">
        <f t="shared" si="324"/>
        <v>0</v>
      </c>
      <c r="CT98" s="102" t="str">
        <f t="shared" si="325"/>
        <v/>
      </c>
      <c r="CU98" s="103" t="str">
        <f t="shared" si="326"/>
        <v/>
      </c>
      <c r="CV98" s="104">
        <f t="shared" si="327"/>
        <v>0</v>
      </c>
      <c r="CW98" s="99" t="str">
        <f t="shared" si="328"/>
        <v/>
      </c>
      <c r="CX98" s="100" t="str">
        <f t="shared" si="329"/>
        <v/>
      </c>
      <c r="CY98" s="101">
        <f t="shared" si="330"/>
        <v>0</v>
      </c>
      <c r="CZ98" s="102" t="str">
        <f t="shared" si="331"/>
        <v/>
      </c>
      <c r="DA98" s="103" t="str">
        <f t="shared" si="332"/>
        <v/>
      </c>
      <c r="DB98" s="104">
        <f t="shared" si="333"/>
        <v>0</v>
      </c>
      <c r="DC98" s="99" t="str">
        <f t="shared" si="334"/>
        <v/>
      </c>
      <c r="DD98" s="100" t="str">
        <f t="shared" si="335"/>
        <v/>
      </c>
      <c r="DE98" s="101">
        <f t="shared" si="336"/>
        <v>0</v>
      </c>
      <c r="DF98" s="102" t="str">
        <f t="shared" si="337"/>
        <v/>
      </c>
      <c r="DG98" s="103" t="str">
        <f t="shared" si="338"/>
        <v/>
      </c>
      <c r="DH98" s="104">
        <f t="shared" si="339"/>
        <v>0</v>
      </c>
      <c r="DI98" s="99" t="str">
        <f t="shared" si="340"/>
        <v/>
      </c>
      <c r="DJ98" s="100" t="str">
        <f t="shared" si="341"/>
        <v/>
      </c>
      <c r="DK98" s="101">
        <f t="shared" si="342"/>
        <v>0</v>
      </c>
      <c r="DL98" s="102" t="str">
        <f t="shared" si="343"/>
        <v/>
      </c>
      <c r="DM98" s="103" t="str">
        <f t="shared" si="344"/>
        <v/>
      </c>
      <c r="DN98" s="104">
        <f t="shared" si="345"/>
        <v>0</v>
      </c>
      <c r="DO98" s="99" t="str">
        <f t="shared" si="346"/>
        <v/>
      </c>
      <c r="DP98" s="100" t="str">
        <f t="shared" si="347"/>
        <v/>
      </c>
      <c r="DQ98" s="101">
        <f t="shared" si="348"/>
        <v>0</v>
      </c>
      <c r="DR98" s="102" t="str">
        <f t="shared" si="349"/>
        <v/>
      </c>
      <c r="DS98" s="103" t="str">
        <f t="shared" si="350"/>
        <v/>
      </c>
      <c r="DT98" s="104">
        <f t="shared" si="351"/>
        <v>0</v>
      </c>
    </row>
    <row r="99" ht="15.75" hidden="1" customHeight="1">
      <c r="A99" s="12" t="str">
        <f>Menus!B59</f>
        <v/>
      </c>
      <c r="B99" s="32">
        <f t="shared" si="231"/>
        <v>0</v>
      </c>
      <c r="C99" s="32">
        <f t="shared" si="232"/>
        <v>0</v>
      </c>
      <c r="D99" s="32">
        <f t="shared" si="233"/>
        <v>0</v>
      </c>
      <c r="E99" s="93" t="str">
        <f t="shared" si="234"/>
        <v/>
      </c>
      <c r="F99" s="94" t="str">
        <f t="shared" si="235"/>
        <v/>
      </c>
      <c r="G99" s="95">
        <f t="shared" si="236"/>
        <v>0</v>
      </c>
      <c r="H99" s="96" t="str">
        <f t="array" ref="H99">IFERROR(XLOOKUP($A99,'Gastos Admon'!$A$7:$A171,INDIRECT($B$9)),"")</f>
        <v/>
      </c>
      <c r="I99" s="97" t="str">
        <f t="array" ref="I99">IFERROR(XLOOKUP($A99,'Gastos Admon'!$A$7:$A171,INDIRECT($C$9)),"")</f>
        <v/>
      </c>
      <c r="J99" s="98">
        <f t="shared" si="237"/>
        <v>0</v>
      </c>
      <c r="K99" s="99" t="str">
        <f t="shared" si="238"/>
        <v/>
      </c>
      <c r="L99" s="100" t="str">
        <f t="shared" si="239"/>
        <v/>
      </c>
      <c r="M99" s="101">
        <f t="shared" si="240"/>
        <v>0</v>
      </c>
      <c r="N99" s="102" t="str">
        <f t="shared" si="241"/>
        <v/>
      </c>
      <c r="O99" s="103" t="str">
        <f t="shared" si="242"/>
        <v/>
      </c>
      <c r="P99" s="104">
        <f t="shared" si="243"/>
        <v>0</v>
      </c>
      <c r="Q99" s="99" t="str">
        <f t="shared" si="244"/>
        <v/>
      </c>
      <c r="R99" s="100" t="str">
        <f t="shared" si="245"/>
        <v/>
      </c>
      <c r="S99" s="101">
        <f t="shared" si="246"/>
        <v>0</v>
      </c>
      <c r="T99" s="102" t="str">
        <f t="shared" si="247"/>
        <v/>
      </c>
      <c r="U99" s="103" t="str">
        <f t="shared" si="248"/>
        <v/>
      </c>
      <c r="V99" s="104">
        <f t="shared" si="249"/>
        <v>0</v>
      </c>
      <c r="W99" s="99" t="str">
        <f t="shared" si="250"/>
        <v/>
      </c>
      <c r="X99" s="100" t="str">
        <f t="shared" si="251"/>
        <v/>
      </c>
      <c r="Y99" s="101">
        <f t="shared" si="252"/>
        <v>0</v>
      </c>
      <c r="Z99" s="102" t="str">
        <f t="shared" si="253"/>
        <v/>
      </c>
      <c r="AA99" s="103" t="str">
        <f t="shared" si="254"/>
        <v/>
      </c>
      <c r="AB99" s="104">
        <f t="shared" si="255"/>
        <v>0</v>
      </c>
      <c r="AC99" s="99" t="str">
        <f t="shared" si="256"/>
        <v/>
      </c>
      <c r="AD99" s="100" t="str">
        <f t="shared" si="257"/>
        <v/>
      </c>
      <c r="AE99" s="101">
        <f t="shared" si="258"/>
        <v>0</v>
      </c>
      <c r="AF99" s="102" t="str">
        <f t="shared" si="259"/>
        <v/>
      </c>
      <c r="AG99" s="103" t="str">
        <f t="shared" si="260"/>
        <v/>
      </c>
      <c r="AH99" s="104">
        <f t="shared" si="261"/>
        <v>0</v>
      </c>
      <c r="AI99" s="99" t="str">
        <f t="shared" si="262"/>
        <v/>
      </c>
      <c r="AJ99" s="100" t="str">
        <f t="shared" si="263"/>
        <v/>
      </c>
      <c r="AK99" s="101">
        <f t="shared" si="264"/>
        <v>0</v>
      </c>
      <c r="AL99" s="102" t="str">
        <f t="shared" si="265"/>
        <v/>
      </c>
      <c r="AM99" s="103" t="str">
        <f t="shared" si="266"/>
        <v/>
      </c>
      <c r="AN99" s="104">
        <f t="shared" si="267"/>
        <v>0</v>
      </c>
      <c r="AO99" s="99" t="str">
        <f t="shared" si="268"/>
        <v/>
      </c>
      <c r="AP99" s="100" t="str">
        <f t="shared" si="269"/>
        <v/>
      </c>
      <c r="AQ99" s="101">
        <f t="shared" si="270"/>
        <v>0</v>
      </c>
      <c r="AR99" s="102" t="str">
        <f t="shared" si="271"/>
        <v/>
      </c>
      <c r="AS99" s="103" t="str">
        <f t="shared" si="272"/>
        <v/>
      </c>
      <c r="AT99" s="104">
        <f t="shared" si="273"/>
        <v>0</v>
      </c>
      <c r="AU99" s="99" t="str">
        <f t="shared" si="274"/>
        <v/>
      </c>
      <c r="AV99" s="100" t="str">
        <f t="shared" si="275"/>
        <v/>
      </c>
      <c r="AW99" s="101">
        <f t="shared" si="276"/>
        <v>0</v>
      </c>
      <c r="AX99" s="102" t="str">
        <f t="shared" si="277"/>
        <v/>
      </c>
      <c r="AY99" s="103" t="str">
        <f t="shared" si="278"/>
        <v/>
      </c>
      <c r="AZ99" s="104">
        <f t="shared" si="279"/>
        <v>0</v>
      </c>
      <c r="BA99" s="99" t="str">
        <f t="shared" si="280"/>
        <v/>
      </c>
      <c r="BB99" s="100" t="str">
        <f t="shared" si="281"/>
        <v/>
      </c>
      <c r="BC99" s="101">
        <f t="shared" si="282"/>
        <v>0</v>
      </c>
      <c r="BD99" s="102" t="str">
        <f t="shared" si="283"/>
        <v/>
      </c>
      <c r="BE99" s="103" t="str">
        <f t="shared" si="284"/>
        <v/>
      </c>
      <c r="BF99" s="104">
        <f t="shared" si="285"/>
        <v>0</v>
      </c>
      <c r="BG99" s="99" t="str">
        <f t="shared" si="286"/>
        <v/>
      </c>
      <c r="BH99" s="100" t="str">
        <f t="shared" si="287"/>
        <v/>
      </c>
      <c r="BI99" s="101">
        <f t="shared" si="288"/>
        <v>0</v>
      </c>
      <c r="BJ99" s="102" t="str">
        <f t="shared" si="289"/>
        <v/>
      </c>
      <c r="BK99" s="103" t="str">
        <f t="shared" si="290"/>
        <v/>
      </c>
      <c r="BL99" s="104">
        <f t="shared" si="291"/>
        <v>0</v>
      </c>
      <c r="BM99" s="99" t="str">
        <f t="shared" si="292"/>
        <v/>
      </c>
      <c r="BN99" s="100" t="str">
        <f t="shared" si="293"/>
        <v/>
      </c>
      <c r="BO99" s="101">
        <f t="shared" si="294"/>
        <v>0</v>
      </c>
      <c r="BP99" s="102" t="str">
        <f t="shared" si="295"/>
        <v/>
      </c>
      <c r="BQ99" s="103" t="str">
        <f t="shared" si="296"/>
        <v/>
      </c>
      <c r="BR99" s="104">
        <f t="shared" si="297"/>
        <v>0</v>
      </c>
      <c r="BS99" s="99" t="str">
        <f t="shared" si="298"/>
        <v/>
      </c>
      <c r="BT99" s="100" t="str">
        <f t="shared" si="299"/>
        <v/>
      </c>
      <c r="BU99" s="101">
        <f t="shared" si="300"/>
        <v>0</v>
      </c>
      <c r="BV99" s="102" t="str">
        <f t="shared" si="301"/>
        <v/>
      </c>
      <c r="BW99" s="103" t="str">
        <f t="shared" si="302"/>
        <v/>
      </c>
      <c r="BX99" s="104">
        <f t="shared" si="303"/>
        <v>0</v>
      </c>
      <c r="BY99" s="99" t="str">
        <f t="shared" si="304"/>
        <v/>
      </c>
      <c r="BZ99" s="100" t="str">
        <f t="shared" si="305"/>
        <v/>
      </c>
      <c r="CA99" s="101">
        <f t="shared" si="306"/>
        <v>0</v>
      </c>
      <c r="CB99" s="102" t="str">
        <f t="shared" si="307"/>
        <v/>
      </c>
      <c r="CC99" s="103" t="str">
        <f t="shared" si="308"/>
        <v/>
      </c>
      <c r="CD99" s="104">
        <f t="shared" si="309"/>
        <v>0</v>
      </c>
      <c r="CE99" s="99" t="str">
        <f t="shared" si="310"/>
        <v/>
      </c>
      <c r="CF99" s="100" t="str">
        <f t="shared" si="311"/>
        <v/>
      </c>
      <c r="CG99" s="101">
        <f t="shared" si="312"/>
        <v>0</v>
      </c>
      <c r="CH99" s="102" t="str">
        <f t="shared" si="313"/>
        <v/>
      </c>
      <c r="CI99" s="103" t="str">
        <f t="shared" si="314"/>
        <v/>
      </c>
      <c r="CJ99" s="104">
        <f t="shared" si="315"/>
        <v>0</v>
      </c>
      <c r="CK99" s="99" t="str">
        <f t="shared" si="316"/>
        <v/>
      </c>
      <c r="CL99" s="100" t="str">
        <f t="shared" si="317"/>
        <v/>
      </c>
      <c r="CM99" s="101">
        <f t="shared" si="318"/>
        <v>0</v>
      </c>
      <c r="CN99" s="102" t="str">
        <f t="shared" si="319"/>
        <v/>
      </c>
      <c r="CO99" s="103" t="str">
        <f t="shared" si="320"/>
        <v/>
      </c>
      <c r="CP99" s="104">
        <f t="shared" si="321"/>
        <v>0</v>
      </c>
      <c r="CQ99" s="99" t="str">
        <f t="shared" si="322"/>
        <v/>
      </c>
      <c r="CR99" s="100" t="str">
        <f t="shared" si="323"/>
        <v/>
      </c>
      <c r="CS99" s="101">
        <f t="shared" si="324"/>
        <v>0</v>
      </c>
      <c r="CT99" s="102" t="str">
        <f t="shared" si="325"/>
        <v/>
      </c>
      <c r="CU99" s="103" t="str">
        <f t="shared" si="326"/>
        <v/>
      </c>
      <c r="CV99" s="104">
        <f t="shared" si="327"/>
        <v>0</v>
      </c>
      <c r="CW99" s="99" t="str">
        <f t="shared" si="328"/>
        <v/>
      </c>
      <c r="CX99" s="100" t="str">
        <f t="shared" si="329"/>
        <v/>
      </c>
      <c r="CY99" s="101">
        <f t="shared" si="330"/>
        <v>0</v>
      </c>
      <c r="CZ99" s="102" t="str">
        <f t="shared" si="331"/>
        <v/>
      </c>
      <c r="DA99" s="103" t="str">
        <f t="shared" si="332"/>
        <v/>
      </c>
      <c r="DB99" s="104">
        <f t="shared" si="333"/>
        <v>0</v>
      </c>
      <c r="DC99" s="99" t="str">
        <f t="shared" si="334"/>
        <v/>
      </c>
      <c r="DD99" s="100" t="str">
        <f t="shared" si="335"/>
        <v/>
      </c>
      <c r="DE99" s="101">
        <f t="shared" si="336"/>
        <v>0</v>
      </c>
      <c r="DF99" s="102" t="str">
        <f t="shared" si="337"/>
        <v/>
      </c>
      <c r="DG99" s="103" t="str">
        <f t="shared" si="338"/>
        <v/>
      </c>
      <c r="DH99" s="104">
        <f t="shared" si="339"/>
        <v>0</v>
      </c>
      <c r="DI99" s="99" t="str">
        <f t="shared" si="340"/>
        <v/>
      </c>
      <c r="DJ99" s="100" t="str">
        <f t="shared" si="341"/>
        <v/>
      </c>
      <c r="DK99" s="101">
        <f t="shared" si="342"/>
        <v>0</v>
      </c>
      <c r="DL99" s="102" t="str">
        <f t="shared" si="343"/>
        <v/>
      </c>
      <c r="DM99" s="103" t="str">
        <f t="shared" si="344"/>
        <v/>
      </c>
      <c r="DN99" s="104">
        <f t="shared" si="345"/>
        <v>0</v>
      </c>
      <c r="DO99" s="99" t="str">
        <f t="shared" si="346"/>
        <v/>
      </c>
      <c r="DP99" s="100" t="str">
        <f t="shared" si="347"/>
        <v/>
      </c>
      <c r="DQ99" s="101">
        <f t="shared" si="348"/>
        <v>0</v>
      </c>
      <c r="DR99" s="102" t="str">
        <f t="shared" si="349"/>
        <v/>
      </c>
      <c r="DS99" s="103" t="str">
        <f t="shared" si="350"/>
        <v/>
      </c>
      <c r="DT99" s="104">
        <f t="shared" si="351"/>
        <v>0</v>
      </c>
    </row>
    <row r="100" ht="15.75" hidden="1" customHeight="1">
      <c r="A100" s="12" t="str">
        <f>Menus!B60</f>
        <v/>
      </c>
      <c r="B100" s="32">
        <f t="shared" si="231"/>
        <v>0</v>
      </c>
      <c r="C100" s="32">
        <f t="shared" si="232"/>
        <v>0</v>
      </c>
      <c r="D100" s="32">
        <f t="shared" si="233"/>
        <v>0</v>
      </c>
      <c r="E100" s="93" t="str">
        <f t="shared" si="234"/>
        <v/>
      </c>
      <c r="F100" s="94" t="str">
        <f t="shared" si="235"/>
        <v/>
      </c>
      <c r="G100" s="95">
        <f t="shared" si="236"/>
        <v>0</v>
      </c>
      <c r="H100" s="96" t="str">
        <f t="array" ref="H100">IFERROR(XLOOKUP($A100,'Gastos Admon'!$A$7:$A171,INDIRECT($B$9)),"")</f>
        <v/>
      </c>
      <c r="I100" s="97" t="str">
        <f t="array" ref="I100">IFERROR(XLOOKUP($A100,'Gastos Admon'!$A$7:$A171,INDIRECT($C$9)),"")</f>
        <v/>
      </c>
      <c r="J100" s="98">
        <f t="shared" si="237"/>
        <v>0</v>
      </c>
      <c r="K100" s="99" t="str">
        <f t="shared" si="238"/>
        <v/>
      </c>
      <c r="L100" s="100" t="str">
        <f t="shared" si="239"/>
        <v/>
      </c>
      <c r="M100" s="101">
        <f t="shared" si="240"/>
        <v>0</v>
      </c>
      <c r="N100" s="102" t="str">
        <f t="shared" si="241"/>
        <v/>
      </c>
      <c r="O100" s="103" t="str">
        <f t="shared" si="242"/>
        <v/>
      </c>
      <c r="P100" s="104">
        <f t="shared" si="243"/>
        <v>0</v>
      </c>
      <c r="Q100" s="99" t="str">
        <f t="shared" si="244"/>
        <v/>
      </c>
      <c r="R100" s="100" t="str">
        <f t="shared" si="245"/>
        <v/>
      </c>
      <c r="S100" s="101">
        <f t="shared" si="246"/>
        <v>0</v>
      </c>
      <c r="T100" s="102" t="str">
        <f t="shared" si="247"/>
        <v/>
      </c>
      <c r="U100" s="103" t="str">
        <f t="shared" si="248"/>
        <v/>
      </c>
      <c r="V100" s="104">
        <f t="shared" si="249"/>
        <v>0</v>
      </c>
      <c r="W100" s="99" t="str">
        <f t="shared" si="250"/>
        <v/>
      </c>
      <c r="X100" s="100" t="str">
        <f t="shared" si="251"/>
        <v/>
      </c>
      <c r="Y100" s="101">
        <f t="shared" si="252"/>
        <v>0</v>
      </c>
      <c r="Z100" s="102" t="str">
        <f t="shared" si="253"/>
        <v/>
      </c>
      <c r="AA100" s="103" t="str">
        <f t="shared" si="254"/>
        <v/>
      </c>
      <c r="AB100" s="104">
        <f t="shared" si="255"/>
        <v>0</v>
      </c>
      <c r="AC100" s="99" t="str">
        <f t="shared" si="256"/>
        <v/>
      </c>
      <c r="AD100" s="100" t="str">
        <f t="shared" si="257"/>
        <v/>
      </c>
      <c r="AE100" s="101">
        <f t="shared" si="258"/>
        <v>0</v>
      </c>
      <c r="AF100" s="102" t="str">
        <f t="shared" si="259"/>
        <v/>
      </c>
      <c r="AG100" s="103" t="str">
        <f t="shared" si="260"/>
        <v/>
      </c>
      <c r="AH100" s="104">
        <f t="shared" si="261"/>
        <v>0</v>
      </c>
      <c r="AI100" s="99" t="str">
        <f t="shared" si="262"/>
        <v/>
      </c>
      <c r="AJ100" s="100" t="str">
        <f t="shared" si="263"/>
        <v/>
      </c>
      <c r="AK100" s="101">
        <f t="shared" si="264"/>
        <v>0</v>
      </c>
      <c r="AL100" s="102" t="str">
        <f t="shared" si="265"/>
        <v/>
      </c>
      <c r="AM100" s="103" t="str">
        <f t="shared" si="266"/>
        <v/>
      </c>
      <c r="AN100" s="104">
        <f t="shared" si="267"/>
        <v>0</v>
      </c>
      <c r="AO100" s="99" t="str">
        <f t="shared" si="268"/>
        <v/>
      </c>
      <c r="AP100" s="100" t="str">
        <f t="shared" si="269"/>
        <v/>
      </c>
      <c r="AQ100" s="101">
        <f t="shared" si="270"/>
        <v>0</v>
      </c>
      <c r="AR100" s="102" t="str">
        <f t="shared" si="271"/>
        <v/>
      </c>
      <c r="AS100" s="103" t="str">
        <f t="shared" si="272"/>
        <v/>
      </c>
      <c r="AT100" s="104">
        <f t="shared" si="273"/>
        <v>0</v>
      </c>
      <c r="AU100" s="99" t="str">
        <f t="shared" si="274"/>
        <v/>
      </c>
      <c r="AV100" s="100" t="str">
        <f t="shared" si="275"/>
        <v/>
      </c>
      <c r="AW100" s="101">
        <f t="shared" si="276"/>
        <v>0</v>
      </c>
      <c r="AX100" s="102" t="str">
        <f t="shared" si="277"/>
        <v/>
      </c>
      <c r="AY100" s="103" t="str">
        <f t="shared" si="278"/>
        <v/>
      </c>
      <c r="AZ100" s="104">
        <f t="shared" si="279"/>
        <v>0</v>
      </c>
      <c r="BA100" s="99" t="str">
        <f t="shared" si="280"/>
        <v/>
      </c>
      <c r="BB100" s="100" t="str">
        <f t="shared" si="281"/>
        <v/>
      </c>
      <c r="BC100" s="101">
        <f t="shared" si="282"/>
        <v>0</v>
      </c>
      <c r="BD100" s="102" t="str">
        <f t="shared" si="283"/>
        <v/>
      </c>
      <c r="BE100" s="103" t="str">
        <f t="shared" si="284"/>
        <v/>
      </c>
      <c r="BF100" s="104">
        <f t="shared" si="285"/>
        <v>0</v>
      </c>
      <c r="BG100" s="99" t="str">
        <f t="shared" si="286"/>
        <v/>
      </c>
      <c r="BH100" s="100" t="str">
        <f t="shared" si="287"/>
        <v/>
      </c>
      <c r="BI100" s="101">
        <f t="shared" si="288"/>
        <v>0</v>
      </c>
      <c r="BJ100" s="102" t="str">
        <f t="shared" si="289"/>
        <v/>
      </c>
      <c r="BK100" s="103" t="str">
        <f t="shared" si="290"/>
        <v/>
      </c>
      <c r="BL100" s="104">
        <f t="shared" si="291"/>
        <v>0</v>
      </c>
      <c r="BM100" s="99" t="str">
        <f t="shared" si="292"/>
        <v/>
      </c>
      <c r="BN100" s="100" t="str">
        <f t="shared" si="293"/>
        <v/>
      </c>
      <c r="BO100" s="101">
        <f t="shared" si="294"/>
        <v>0</v>
      </c>
      <c r="BP100" s="102" t="str">
        <f t="shared" si="295"/>
        <v/>
      </c>
      <c r="BQ100" s="103" t="str">
        <f t="shared" si="296"/>
        <v/>
      </c>
      <c r="BR100" s="104">
        <f t="shared" si="297"/>
        <v>0</v>
      </c>
      <c r="BS100" s="99" t="str">
        <f t="shared" si="298"/>
        <v/>
      </c>
      <c r="BT100" s="100" t="str">
        <f t="shared" si="299"/>
        <v/>
      </c>
      <c r="BU100" s="101">
        <f t="shared" si="300"/>
        <v>0</v>
      </c>
      <c r="BV100" s="102" t="str">
        <f t="shared" si="301"/>
        <v/>
      </c>
      <c r="BW100" s="103" t="str">
        <f t="shared" si="302"/>
        <v/>
      </c>
      <c r="BX100" s="104">
        <f t="shared" si="303"/>
        <v>0</v>
      </c>
      <c r="BY100" s="99" t="str">
        <f t="shared" si="304"/>
        <v/>
      </c>
      <c r="BZ100" s="100" t="str">
        <f t="shared" si="305"/>
        <v/>
      </c>
      <c r="CA100" s="101">
        <f t="shared" si="306"/>
        <v>0</v>
      </c>
      <c r="CB100" s="102" t="str">
        <f t="shared" si="307"/>
        <v/>
      </c>
      <c r="CC100" s="103" t="str">
        <f t="shared" si="308"/>
        <v/>
      </c>
      <c r="CD100" s="104">
        <f t="shared" si="309"/>
        <v>0</v>
      </c>
      <c r="CE100" s="99" t="str">
        <f t="shared" si="310"/>
        <v/>
      </c>
      <c r="CF100" s="100" t="str">
        <f t="shared" si="311"/>
        <v/>
      </c>
      <c r="CG100" s="101">
        <f t="shared" si="312"/>
        <v>0</v>
      </c>
      <c r="CH100" s="102" t="str">
        <f t="shared" si="313"/>
        <v/>
      </c>
      <c r="CI100" s="103" t="str">
        <f t="shared" si="314"/>
        <v/>
      </c>
      <c r="CJ100" s="104">
        <f t="shared" si="315"/>
        <v>0</v>
      </c>
      <c r="CK100" s="99" t="str">
        <f t="shared" si="316"/>
        <v/>
      </c>
      <c r="CL100" s="100" t="str">
        <f t="shared" si="317"/>
        <v/>
      </c>
      <c r="CM100" s="101">
        <f t="shared" si="318"/>
        <v>0</v>
      </c>
      <c r="CN100" s="102" t="str">
        <f t="shared" si="319"/>
        <v/>
      </c>
      <c r="CO100" s="103" t="str">
        <f t="shared" si="320"/>
        <v/>
      </c>
      <c r="CP100" s="104">
        <f t="shared" si="321"/>
        <v>0</v>
      </c>
      <c r="CQ100" s="99" t="str">
        <f t="shared" si="322"/>
        <v/>
      </c>
      <c r="CR100" s="100" t="str">
        <f t="shared" si="323"/>
        <v/>
      </c>
      <c r="CS100" s="101">
        <f t="shared" si="324"/>
        <v>0</v>
      </c>
      <c r="CT100" s="102" t="str">
        <f t="shared" si="325"/>
        <v/>
      </c>
      <c r="CU100" s="103" t="str">
        <f t="shared" si="326"/>
        <v/>
      </c>
      <c r="CV100" s="104">
        <f t="shared" si="327"/>
        <v>0</v>
      </c>
      <c r="CW100" s="99" t="str">
        <f t="shared" si="328"/>
        <v/>
      </c>
      <c r="CX100" s="100" t="str">
        <f t="shared" si="329"/>
        <v/>
      </c>
      <c r="CY100" s="101">
        <f t="shared" si="330"/>
        <v>0</v>
      </c>
      <c r="CZ100" s="102" t="str">
        <f t="shared" si="331"/>
        <v/>
      </c>
      <c r="DA100" s="103" t="str">
        <f t="shared" si="332"/>
        <v/>
      </c>
      <c r="DB100" s="104">
        <f t="shared" si="333"/>
        <v>0</v>
      </c>
      <c r="DC100" s="99" t="str">
        <f t="shared" si="334"/>
        <v/>
      </c>
      <c r="DD100" s="100" t="str">
        <f t="shared" si="335"/>
        <v/>
      </c>
      <c r="DE100" s="101">
        <f t="shared" si="336"/>
        <v>0</v>
      </c>
      <c r="DF100" s="102" t="str">
        <f t="shared" si="337"/>
        <v/>
      </c>
      <c r="DG100" s="103" t="str">
        <f t="shared" si="338"/>
        <v/>
      </c>
      <c r="DH100" s="104">
        <f t="shared" si="339"/>
        <v>0</v>
      </c>
      <c r="DI100" s="99" t="str">
        <f t="shared" si="340"/>
        <v/>
      </c>
      <c r="DJ100" s="100" t="str">
        <f t="shared" si="341"/>
        <v/>
      </c>
      <c r="DK100" s="101">
        <f t="shared" si="342"/>
        <v>0</v>
      </c>
      <c r="DL100" s="102" t="str">
        <f t="shared" si="343"/>
        <v/>
      </c>
      <c r="DM100" s="103" t="str">
        <f t="shared" si="344"/>
        <v/>
      </c>
      <c r="DN100" s="104">
        <f t="shared" si="345"/>
        <v>0</v>
      </c>
      <c r="DO100" s="99" t="str">
        <f t="shared" si="346"/>
        <v/>
      </c>
      <c r="DP100" s="100" t="str">
        <f t="shared" si="347"/>
        <v/>
      </c>
      <c r="DQ100" s="101">
        <f t="shared" si="348"/>
        <v>0</v>
      </c>
      <c r="DR100" s="102" t="str">
        <f t="shared" si="349"/>
        <v/>
      </c>
      <c r="DS100" s="103" t="str">
        <f t="shared" si="350"/>
        <v/>
      </c>
      <c r="DT100" s="104">
        <f t="shared" si="351"/>
        <v>0</v>
      </c>
    </row>
    <row r="101" ht="15.75" hidden="1" customHeight="1">
      <c r="A101" s="12" t="str">
        <f>Menus!B61</f>
        <v/>
      </c>
      <c r="B101" s="32">
        <f t="shared" si="231"/>
        <v>0</v>
      </c>
      <c r="C101" s="32">
        <f t="shared" si="232"/>
        <v>0</v>
      </c>
      <c r="D101" s="32">
        <f t="shared" si="233"/>
        <v>0</v>
      </c>
      <c r="E101" s="93" t="str">
        <f t="shared" si="234"/>
        <v/>
      </c>
      <c r="F101" s="94" t="str">
        <f t="shared" si="235"/>
        <v/>
      </c>
      <c r="G101" s="95">
        <f t="shared" si="236"/>
        <v>0</v>
      </c>
      <c r="H101" s="96" t="str">
        <f t="array" ref="H101">IFERROR(XLOOKUP($A101,'Gastos Admon'!$A$7:$A171,INDIRECT($B$9)),"")</f>
        <v/>
      </c>
      <c r="I101" s="97" t="str">
        <f t="array" ref="I101">IFERROR(XLOOKUP($A101,'Gastos Admon'!$A$7:$A171,INDIRECT($C$9)),"")</f>
        <v/>
      </c>
      <c r="J101" s="98">
        <f t="shared" si="237"/>
        <v>0</v>
      </c>
      <c r="K101" s="99" t="str">
        <f t="shared" si="238"/>
        <v/>
      </c>
      <c r="L101" s="100" t="str">
        <f t="shared" si="239"/>
        <v/>
      </c>
      <c r="M101" s="101">
        <f t="shared" si="240"/>
        <v>0</v>
      </c>
      <c r="N101" s="102" t="str">
        <f t="shared" si="241"/>
        <v/>
      </c>
      <c r="O101" s="103" t="str">
        <f t="shared" si="242"/>
        <v/>
      </c>
      <c r="P101" s="104">
        <f t="shared" si="243"/>
        <v>0</v>
      </c>
      <c r="Q101" s="99" t="str">
        <f t="shared" si="244"/>
        <v/>
      </c>
      <c r="R101" s="100" t="str">
        <f t="shared" si="245"/>
        <v/>
      </c>
      <c r="S101" s="101">
        <f t="shared" si="246"/>
        <v>0</v>
      </c>
      <c r="T101" s="102" t="str">
        <f t="shared" si="247"/>
        <v/>
      </c>
      <c r="U101" s="103" t="str">
        <f t="shared" si="248"/>
        <v/>
      </c>
      <c r="V101" s="104">
        <f t="shared" si="249"/>
        <v>0</v>
      </c>
      <c r="W101" s="99" t="str">
        <f t="shared" si="250"/>
        <v/>
      </c>
      <c r="X101" s="100" t="str">
        <f t="shared" si="251"/>
        <v/>
      </c>
      <c r="Y101" s="101">
        <f t="shared" si="252"/>
        <v>0</v>
      </c>
      <c r="Z101" s="102" t="str">
        <f t="shared" si="253"/>
        <v/>
      </c>
      <c r="AA101" s="103" t="str">
        <f t="shared" si="254"/>
        <v/>
      </c>
      <c r="AB101" s="104">
        <f t="shared" si="255"/>
        <v>0</v>
      </c>
      <c r="AC101" s="99" t="str">
        <f t="shared" si="256"/>
        <v/>
      </c>
      <c r="AD101" s="100" t="str">
        <f t="shared" si="257"/>
        <v/>
      </c>
      <c r="AE101" s="101">
        <f t="shared" si="258"/>
        <v>0</v>
      </c>
      <c r="AF101" s="102" t="str">
        <f t="shared" si="259"/>
        <v/>
      </c>
      <c r="AG101" s="103" t="str">
        <f t="shared" si="260"/>
        <v/>
      </c>
      <c r="AH101" s="104">
        <f t="shared" si="261"/>
        <v>0</v>
      </c>
      <c r="AI101" s="99" t="str">
        <f t="shared" si="262"/>
        <v/>
      </c>
      <c r="AJ101" s="100" t="str">
        <f t="shared" si="263"/>
        <v/>
      </c>
      <c r="AK101" s="101">
        <f t="shared" si="264"/>
        <v>0</v>
      </c>
      <c r="AL101" s="102" t="str">
        <f t="shared" si="265"/>
        <v/>
      </c>
      <c r="AM101" s="103" t="str">
        <f t="shared" si="266"/>
        <v/>
      </c>
      <c r="AN101" s="104">
        <f t="shared" si="267"/>
        <v>0</v>
      </c>
      <c r="AO101" s="99" t="str">
        <f t="shared" si="268"/>
        <v/>
      </c>
      <c r="AP101" s="100" t="str">
        <f t="shared" si="269"/>
        <v/>
      </c>
      <c r="AQ101" s="101">
        <f t="shared" si="270"/>
        <v>0</v>
      </c>
      <c r="AR101" s="102" t="str">
        <f t="shared" si="271"/>
        <v/>
      </c>
      <c r="AS101" s="103" t="str">
        <f t="shared" si="272"/>
        <v/>
      </c>
      <c r="AT101" s="104">
        <f t="shared" si="273"/>
        <v>0</v>
      </c>
      <c r="AU101" s="99" t="str">
        <f t="shared" si="274"/>
        <v/>
      </c>
      <c r="AV101" s="100" t="str">
        <f t="shared" si="275"/>
        <v/>
      </c>
      <c r="AW101" s="101">
        <f t="shared" si="276"/>
        <v>0</v>
      </c>
      <c r="AX101" s="102" t="str">
        <f t="shared" si="277"/>
        <v/>
      </c>
      <c r="AY101" s="103" t="str">
        <f t="shared" si="278"/>
        <v/>
      </c>
      <c r="AZ101" s="104">
        <f t="shared" si="279"/>
        <v>0</v>
      </c>
      <c r="BA101" s="99" t="str">
        <f t="shared" si="280"/>
        <v/>
      </c>
      <c r="BB101" s="100" t="str">
        <f t="shared" si="281"/>
        <v/>
      </c>
      <c r="BC101" s="101">
        <f t="shared" si="282"/>
        <v>0</v>
      </c>
      <c r="BD101" s="102" t="str">
        <f t="shared" si="283"/>
        <v/>
      </c>
      <c r="BE101" s="103" t="str">
        <f t="shared" si="284"/>
        <v/>
      </c>
      <c r="BF101" s="104">
        <f t="shared" si="285"/>
        <v>0</v>
      </c>
      <c r="BG101" s="99" t="str">
        <f t="shared" si="286"/>
        <v/>
      </c>
      <c r="BH101" s="100" t="str">
        <f t="shared" si="287"/>
        <v/>
      </c>
      <c r="BI101" s="101">
        <f t="shared" si="288"/>
        <v>0</v>
      </c>
      <c r="BJ101" s="102" t="str">
        <f t="shared" si="289"/>
        <v/>
      </c>
      <c r="BK101" s="103" t="str">
        <f t="shared" si="290"/>
        <v/>
      </c>
      <c r="BL101" s="104">
        <f t="shared" si="291"/>
        <v>0</v>
      </c>
      <c r="BM101" s="99" t="str">
        <f t="shared" si="292"/>
        <v/>
      </c>
      <c r="BN101" s="100" t="str">
        <f t="shared" si="293"/>
        <v/>
      </c>
      <c r="BO101" s="101">
        <f t="shared" si="294"/>
        <v>0</v>
      </c>
      <c r="BP101" s="102" t="str">
        <f t="shared" si="295"/>
        <v/>
      </c>
      <c r="BQ101" s="103" t="str">
        <f t="shared" si="296"/>
        <v/>
      </c>
      <c r="BR101" s="104">
        <f t="shared" si="297"/>
        <v>0</v>
      </c>
      <c r="BS101" s="99" t="str">
        <f t="shared" si="298"/>
        <v/>
      </c>
      <c r="BT101" s="100" t="str">
        <f t="shared" si="299"/>
        <v/>
      </c>
      <c r="BU101" s="101">
        <f t="shared" si="300"/>
        <v>0</v>
      </c>
      <c r="BV101" s="102" t="str">
        <f t="shared" si="301"/>
        <v/>
      </c>
      <c r="BW101" s="103" t="str">
        <f t="shared" si="302"/>
        <v/>
      </c>
      <c r="BX101" s="104">
        <f t="shared" si="303"/>
        <v>0</v>
      </c>
      <c r="BY101" s="99" t="str">
        <f t="shared" si="304"/>
        <v/>
      </c>
      <c r="BZ101" s="100" t="str">
        <f t="shared" si="305"/>
        <v/>
      </c>
      <c r="CA101" s="101">
        <f t="shared" si="306"/>
        <v>0</v>
      </c>
      <c r="CB101" s="102" t="str">
        <f t="shared" si="307"/>
        <v/>
      </c>
      <c r="CC101" s="103" t="str">
        <f t="shared" si="308"/>
        <v/>
      </c>
      <c r="CD101" s="104">
        <f t="shared" si="309"/>
        <v>0</v>
      </c>
      <c r="CE101" s="99" t="str">
        <f t="shared" si="310"/>
        <v/>
      </c>
      <c r="CF101" s="100" t="str">
        <f t="shared" si="311"/>
        <v/>
      </c>
      <c r="CG101" s="101">
        <f t="shared" si="312"/>
        <v>0</v>
      </c>
      <c r="CH101" s="102" t="str">
        <f t="shared" si="313"/>
        <v/>
      </c>
      <c r="CI101" s="103" t="str">
        <f t="shared" si="314"/>
        <v/>
      </c>
      <c r="CJ101" s="104">
        <f t="shared" si="315"/>
        <v>0</v>
      </c>
      <c r="CK101" s="99" t="str">
        <f t="shared" si="316"/>
        <v/>
      </c>
      <c r="CL101" s="100" t="str">
        <f t="shared" si="317"/>
        <v/>
      </c>
      <c r="CM101" s="101">
        <f t="shared" si="318"/>
        <v>0</v>
      </c>
      <c r="CN101" s="102" t="str">
        <f t="shared" si="319"/>
        <v/>
      </c>
      <c r="CO101" s="103" t="str">
        <f t="shared" si="320"/>
        <v/>
      </c>
      <c r="CP101" s="104">
        <f t="shared" si="321"/>
        <v>0</v>
      </c>
      <c r="CQ101" s="99" t="str">
        <f t="shared" si="322"/>
        <v/>
      </c>
      <c r="CR101" s="100" t="str">
        <f t="shared" si="323"/>
        <v/>
      </c>
      <c r="CS101" s="101">
        <f t="shared" si="324"/>
        <v>0</v>
      </c>
      <c r="CT101" s="102" t="str">
        <f t="shared" si="325"/>
        <v/>
      </c>
      <c r="CU101" s="103" t="str">
        <f t="shared" si="326"/>
        <v/>
      </c>
      <c r="CV101" s="104">
        <f t="shared" si="327"/>
        <v>0</v>
      </c>
      <c r="CW101" s="99" t="str">
        <f t="shared" si="328"/>
        <v/>
      </c>
      <c r="CX101" s="100" t="str">
        <f t="shared" si="329"/>
        <v/>
      </c>
      <c r="CY101" s="101">
        <f t="shared" si="330"/>
        <v>0</v>
      </c>
      <c r="CZ101" s="102" t="str">
        <f t="shared" si="331"/>
        <v/>
      </c>
      <c r="DA101" s="103" t="str">
        <f t="shared" si="332"/>
        <v/>
      </c>
      <c r="DB101" s="104">
        <f t="shared" si="333"/>
        <v>0</v>
      </c>
      <c r="DC101" s="99" t="str">
        <f t="shared" si="334"/>
        <v/>
      </c>
      <c r="DD101" s="100" t="str">
        <f t="shared" si="335"/>
        <v/>
      </c>
      <c r="DE101" s="101">
        <f t="shared" si="336"/>
        <v>0</v>
      </c>
      <c r="DF101" s="102" t="str">
        <f t="shared" si="337"/>
        <v/>
      </c>
      <c r="DG101" s="103" t="str">
        <f t="shared" si="338"/>
        <v/>
      </c>
      <c r="DH101" s="104">
        <f t="shared" si="339"/>
        <v>0</v>
      </c>
      <c r="DI101" s="99" t="str">
        <f t="shared" si="340"/>
        <v/>
      </c>
      <c r="DJ101" s="100" t="str">
        <f t="shared" si="341"/>
        <v/>
      </c>
      <c r="DK101" s="101">
        <f t="shared" si="342"/>
        <v>0</v>
      </c>
      <c r="DL101" s="102" t="str">
        <f t="shared" si="343"/>
        <v/>
      </c>
      <c r="DM101" s="103" t="str">
        <f t="shared" si="344"/>
        <v/>
      </c>
      <c r="DN101" s="104">
        <f t="shared" si="345"/>
        <v>0</v>
      </c>
      <c r="DO101" s="99" t="str">
        <f t="shared" si="346"/>
        <v/>
      </c>
      <c r="DP101" s="100" t="str">
        <f t="shared" si="347"/>
        <v/>
      </c>
      <c r="DQ101" s="101">
        <f t="shared" si="348"/>
        <v>0</v>
      </c>
      <c r="DR101" s="102" t="str">
        <f t="shared" si="349"/>
        <v/>
      </c>
      <c r="DS101" s="103" t="str">
        <f t="shared" si="350"/>
        <v/>
      </c>
      <c r="DT101" s="104">
        <f t="shared" si="351"/>
        <v>0</v>
      </c>
    </row>
    <row r="102" ht="15.75" hidden="1" customHeight="1">
      <c r="A102" s="12" t="str">
        <f>Menus!B62</f>
        <v/>
      </c>
      <c r="B102" s="32">
        <f t="shared" si="231"/>
        <v>0</v>
      </c>
      <c r="C102" s="32">
        <f t="shared" si="232"/>
        <v>0</v>
      </c>
      <c r="D102" s="32">
        <f t="shared" si="233"/>
        <v>0</v>
      </c>
      <c r="E102" s="93" t="str">
        <f t="shared" si="234"/>
        <v/>
      </c>
      <c r="F102" s="94" t="str">
        <f t="shared" si="235"/>
        <v/>
      </c>
      <c r="G102" s="95">
        <f t="shared" si="236"/>
        <v>0</v>
      </c>
      <c r="H102" s="96" t="str">
        <f t="array" ref="H102">IFERROR(XLOOKUP($A102,'Gastos Admon'!$A$7:$A171,INDIRECT($B$9)),"")</f>
        <v/>
      </c>
      <c r="I102" s="97" t="str">
        <f t="array" ref="I102">IFERROR(XLOOKUP($A102,'Gastos Admon'!$A$7:$A171,INDIRECT($C$9)),"")</f>
        <v/>
      </c>
      <c r="J102" s="98">
        <f t="shared" si="237"/>
        <v>0</v>
      </c>
      <c r="K102" s="99" t="str">
        <f t="shared" si="238"/>
        <v/>
      </c>
      <c r="L102" s="100" t="str">
        <f t="shared" si="239"/>
        <v/>
      </c>
      <c r="M102" s="101">
        <f t="shared" si="240"/>
        <v>0</v>
      </c>
      <c r="N102" s="102" t="str">
        <f t="shared" si="241"/>
        <v/>
      </c>
      <c r="O102" s="103" t="str">
        <f t="shared" si="242"/>
        <v/>
      </c>
      <c r="P102" s="104">
        <f t="shared" si="243"/>
        <v>0</v>
      </c>
      <c r="Q102" s="99" t="str">
        <f t="shared" si="244"/>
        <v/>
      </c>
      <c r="R102" s="100" t="str">
        <f t="shared" si="245"/>
        <v/>
      </c>
      <c r="S102" s="101">
        <f t="shared" si="246"/>
        <v>0</v>
      </c>
      <c r="T102" s="102" t="str">
        <f t="shared" si="247"/>
        <v/>
      </c>
      <c r="U102" s="103" t="str">
        <f t="shared" si="248"/>
        <v/>
      </c>
      <c r="V102" s="104">
        <f t="shared" si="249"/>
        <v>0</v>
      </c>
      <c r="W102" s="99" t="str">
        <f t="shared" si="250"/>
        <v/>
      </c>
      <c r="X102" s="100" t="str">
        <f t="shared" si="251"/>
        <v/>
      </c>
      <c r="Y102" s="101">
        <f t="shared" si="252"/>
        <v>0</v>
      </c>
      <c r="Z102" s="102" t="str">
        <f t="shared" si="253"/>
        <v/>
      </c>
      <c r="AA102" s="103" t="str">
        <f t="shared" si="254"/>
        <v/>
      </c>
      <c r="AB102" s="104">
        <f t="shared" si="255"/>
        <v>0</v>
      </c>
      <c r="AC102" s="99" t="str">
        <f t="shared" si="256"/>
        <v/>
      </c>
      <c r="AD102" s="100" t="str">
        <f t="shared" si="257"/>
        <v/>
      </c>
      <c r="AE102" s="101">
        <f t="shared" si="258"/>
        <v>0</v>
      </c>
      <c r="AF102" s="102" t="str">
        <f t="shared" si="259"/>
        <v/>
      </c>
      <c r="AG102" s="103" t="str">
        <f t="shared" si="260"/>
        <v/>
      </c>
      <c r="AH102" s="104">
        <f t="shared" si="261"/>
        <v>0</v>
      </c>
      <c r="AI102" s="99" t="str">
        <f t="shared" si="262"/>
        <v/>
      </c>
      <c r="AJ102" s="100" t="str">
        <f t="shared" si="263"/>
        <v/>
      </c>
      <c r="AK102" s="101">
        <f t="shared" si="264"/>
        <v>0</v>
      </c>
      <c r="AL102" s="102" t="str">
        <f t="shared" si="265"/>
        <v/>
      </c>
      <c r="AM102" s="103" t="str">
        <f t="shared" si="266"/>
        <v/>
      </c>
      <c r="AN102" s="104">
        <f t="shared" si="267"/>
        <v>0</v>
      </c>
      <c r="AO102" s="99" t="str">
        <f t="shared" si="268"/>
        <v/>
      </c>
      <c r="AP102" s="100" t="str">
        <f t="shared" si="269"/>
        <v/>
      </c>
      <c r="AQ102" s="101">
        <f t="shared" si="270"/>
        <v>0</v>
      </c>
      <c r="AR102" s="102" t="str">
        <f t="shared" si="271"/>
        <v/>
      </c>
      <c r="AS102" s="103" t="str">
        <f t="shared" si="272"/>
        <v/>
      </c>
      <c r="AT102" s="104">
        <f t="shared" si="273"/>
        <v>0</v>
      </c>
      <c r="AU102" s="99" t="str">
        <f t="shared" si="274"/>
        <v/>
      </c>
      <c r="AV102" s="100" t="str">
        <f t="shared" si="275"/>
        <v/>
      </c>
      <c r="AW102" s="101">
        <f t="shared" si="276"/>
        <v>0</v>
      </c>
      <c r="AX102" s="102" t="str">
        <f t="shared" si="277"/>
        <v/>
      </c>
      <c r="AY102" s="103" t="str">
        <f t="shared" si="278"/>
        <v/>
      </c>
      <c r="AZ102" s="104">
        <f t="shared" si="279"/>
        <v>0</v>
      </c>
      <c r="BA102" s="99" t="str">
        <f t="shared" si="280"/>
        <v/>
      </c>
      <c r="BB102" s="100" t="str">
        <f t="shared" si="281"/>
        <v/>
      </c>
      <c r="BC102" s="101">
        <f t="shared" si="282"/>
        <v>0</v>
      </c>
      <c r="BD102" s="102" t="str">
        <f t="shared" si="283"/>
        <v/>
      </c>
      <c r="BE102" s="103" t="str">
        <f t="shared" si="284"/>
        <v/>
      </c>
      <c r="BF102" s="104">
        <f t="shared" si="285"/>
        <v>0</v>
      </c>
      <c r="BG102" s="99" t="str">
        <f t="shared" si="286"/>
        <v/>
      </c>
      <c r="BH102" s="100" t="str">
        <f t="shared" si="287"/>
        <v/>
      </c>
      <c r="BI102" s="101">
        <f t="shared" si="288"/>
        <v>0</v>
      </c>
      <c r="BJ102" s="102" t="str">
        <f t="shared" si="289"/>
        <v/>
      </c>
      <c r="BK102" s="103" t="str">
        <f t="shared" si="290"/>
        <v/>
      </c>
      <c r="BL102" s="104">
        <f t="shared" si="291"/>
        <v>0</v>
      </c>
      <c r="BM102" s="99" t="str">
        <f t="shared" si="292"/>
        <v/>
      </c>
      <c r="BN102" s="100" t="str">
        <f t="shared" si="293"/>
        <v/>
      </c>
      <c r="BO102" s="101">
        <f t="shared" si="294"/>
        <v>0</v>
      </c>
      <c r="BP102" s="102" t="str">
        <f t="shared" si="295"/>
        <v/>
      </c>
      <c r="BQ102" s="103" t="str">
        <f t="shared" si="296"/>
        <v/>
      </c>
      <c r="BR102" s="104">
        <f t="shared" si="297"/>
        <v>0</v>
      </c>
      <c r="BS102" s="99" t="str">
        <f t="shared" si="298"/>
        <v/>
      </c>
      <c r="BT102" s="100" t="str">
        <f t="shared" si="299"/>
        <v/>
      </c>
      <c r="BU102" s="101">
        <f t="shared" si="300"/>
        <v>0</v>
      </c>
      <c r="BV102" s="102" t="str">
        <f t="shared" si="301"/>
        <v/>
      </c>
      <c r="BW102" s="103" t="str">
        <f t="shared" si="302"/>
        <v/>
      </c>
      <c r="BX102" s="104">
        <f t="shared" si="303"/>
        <v>0</v>
      </c>
      <c r="BY102" s="99" t="str">
        <f t="shared" si="304"/>
        <v/>
      </c>
      <c r="BZ102" s="100" t="str">
        <f t="shared" si="305"/>
        <v/>
      </c>
      <c r="CA102" s="101">
        <f t="shared" si="306"/>
        <v>0</v>
      </c>
      <c r="CB102" s="102" t="str">
        <f t="shared" si="307"/>
        <v/>
      </c>
      <c r="CC102" s="103" t="str">
        <f t="shared" si="308"/>
        <v/>
      </c>
      <c r="CD102" s="104">
        <f t="shared" si="309"/>
        <v>0</v>
      </c>
      <c r="CE102" s="99" t="str">
        <f t="shared" si="310"/>
        <v/>
      </c>
      <c r="CF102" s="100" t="str">
        <f t="shared" si="311"/>
        <v/>
      </c>
      <c r="CG102" s="101">
        <f t="shared" si="312"/>
        <v>0</v>
      </c>
      <c r="CH102" s="102" t="str">
        <f t="shared" si="313"/>
        <v/>
      </c>
      <c r="CI102" s="103" t="str">
        <f t="shared" si="314"/>
        <v/>
      </c>
      <c r="CJ102" s="104">
        <f t="shared" si="315"/>
        <v>0</v>
      </c>
      <c r="CK102" s="99" t="str">
        <f t="shared" si="316"/>
        <v/>
      </c>
      <c r="CL102" s="100" t="str">
        <f t="shared" si="317"/>
        <v/>
      </c>
      <c r="CM102" s="101">
        <f t="shared" si="318"/>
        <v>0</v>
      </c>
      <c r="CN102" s="102" t="str">
        <f t="shared" si="319"/>
        <v/>
      </c>
      <c r="CO102" s="103" t="str">
        <f t="shared" si="320"/>
        <v/>
      </c>
      <c r="CP102" s="104">
        <f t="shared" si="321"/>
        <v>0</v>
      </c>
      <c r="CQ102" s="99" t="str">
        <f t="shared" si="322"/>
        <v/>
      </c>
      <c r="CR102" s="100" t="str">
        <f t="shared" si="323"/>
        <v/>
      </c>
      <c r="CS102" s="101">
        <f t="shared" si="324"/>
        <v>0</v>
      </c>
      <c r="CT102" s="102" t="str">
        <f t="shared" si="325"/>
        <v/>
      </c>
      <c r="CU102" s="103" t="str">
        <f t="shared" si="326"/>
        <v/>
      </c>
      <c r="CV102" s="104">
        <f t="shared" si="327"/>
        <v>0</v>
      </c>
      <c r="CW102" s="99" t="str">
        <f t="shared" si="328"/>
        <v/>
      </c>
      <c r="CX102" s="100" t="str">
        <f t="shared" si="329"/>
        <v/>
      </c>
      <c r="CY102" s="101">
        <f t="shared" si="330"/>
        <v>0</v>
      </c>
      <c r="CZ102" s="102" t="str">
        <f t="shared" si="331"/>
        <v/>
      </c>
      <c r="DA102" s="103" t="str">
        <f t="shared" si="332"/>
        <v/>
      </c>
      <c r="DB102" s="104">
        <f t="shared" si="333"/>
        <v>0</v>
      </c>
      <c r="DC102" s="99" t="str">
        <f t="shared" si="334"/>
        <v/>
      </c>
      <c r="DD102" s="100" t="str">
        <f t="shared" si="335"/>
        <v/>
      </c>
      <c r="DE102" s="101">
        <f t="shared" si="336"/>
        <v>0</v>
      </c>
      <c r="DF102" s="102" t="str">
        <f t="shared" si="337"/>
        <v/>
      </c>
      <c r="DG102" s="103" t="str">
        <f t="shared" si="338"/>
        <v/>
      </c>
      <c r="DH102" s="104">
        <f t="shared" si="339"/>
        <v>0</v>
      </c>
      <c r="DI102" s="99" t="str">
        <f t="shared" si="340"/>
        <v/>
      </c>
      <c r="DJ102" s="100" t="str">
        <f t="shared" si="341"/>
        <v/>
      </c>
      <c r="DK102" s="101">
        <f t="shared" si="342"/>
        <v>0</v>
      </c>
      <c r="DL102" s="102" t="str">
        <f t="shared" si="343"/>
        <v/>
      </c>
      <c r="DM102" s="103" t="str">
        <f t="shared" si="344"/>
        <v/>
      </c>
      <c r="DN102" s="104">
        <f t="shared" si="345"/>
        <v>0</v>
      </c>
      <c r="DO102" s="99" t="str">
        <f t="shared" si="346"/>
        <v/>
      </c>
      <c r="DP102" s="100" t="str">
        <f t="shared" si="347"/>
        <v/>
      </c>
      <c r="DQ102" s="101">
        <f t="shared" si="348"/>
        <v>0</v>
      </c>
      <c r="DR102" s="102" t="str">
        <f t="shared" si="349"/>
        <v/>
      </c>
      <c r="DS102" s="103" t="str">
        <f t="shared" si="350"/>
        <v/>
      </c>
      <c r="DT102" s="104">
        <f t="shared" si="351"/>
        <v>0</v>
      </c>
    </row>
    <row r="103" ht="15.75" hidden="1" customHeight="1">
      <c r="A103" s="12" t="str">
        <f>Menus!B63</f>
        <v/>
      </c>
      <c r="B103" s="32">
        <f t="shared" si="231"/>
        <v>0</v>
      </c>
      <c r="C103" s="32">
        <f t="shared" si="232"/>
        <v>0</v>
      </c>
      <c r="D103" s="32">
        <f t="shared" si="233"/>
        <v>0</v>
      </c>
      <c r="E103" s="93" t="str">
        <f t="shared" si="234"/>
        <v/>
      </c>
      <c r="F103" s="94" t="str">
        <f t="shared" si="235"/>
        <v/>
      </c>
      <c r="G103" s="95">
        <f t="shared" si="236"/>
        <v>0</v>
      </c>
      <c r="H103" s="96" t="str">
        <f t="array" ref="H103">IFERROR(XLOOKUP($A103,'Gastos Admon'!$A$7:$A171,INDIRECT($B$9)),"")</f>
        <v/>
      </c>
      <c r="I103" s="97" t="str">
        <f t="array" ref="I103">IFERROR(XLOOKUP($A103,'Gastos Admon'!$A$7:$A171,INDIRECT($C$9)),"")</f>
        <v/>
      </c>
      <c r="J103" s="98">
        <f t="shared" si="237"/>
        <v>0</v>
      </c>
      <c r="K103" s="99" t="str">
        <f t="shared" si="238"/>
        <v/>
      </c>
      <c r="L103" s="100" t="str">
        <f t="shared" si="239"/>
        <v/>
      </c>
      <c r="M103" s="101">
        <f t="shared" si="240"/>
        <v>0</v>
      </c>
      <c r="N103" s="102" t="str">
        <f t="shared" si="241"/>
        <v/>
      </c>
      <c r="O103" s="103" t="str">
        <f t="shared" si="242"/>
        <v/>
      </c>
      <c r="P103" s="104">
        <f t="shared" si="243"/>
        <v>0</v>
      </c>
      <c r="Q103" s="99" t="str">
        <f t="shared" si="244"/>
        <v/>
      </c>
      <c r="R103" s="100" t="str">
        <f t="shared" si="245"/>
        <v/>
      </c>
      <c r="S103" s="101">
        <f t="shared" si="246"/>
        <v>0</v>
      </c>
      <c r="T103" s="102" t="str">
        <f t="shared" si="247"/>
        <v/>
      </c>
      <c r="U103" s="103" t="str">
        <f t="shared" si="248"/>
        <v/>
      </c>
      <c r="V103" s="104">
        <f t="shared" si="249"/>
        <v>0</v>
      </c>
      <c r="W103" s="99" t="str">
        <f t="shared" si="250"/>
        <v/>
      </c>
      <c r="X103" s="100" t="str">
        <f t="shared" si="251"/>
        <v/>
      </c>
      <c r="Y103" s="101">
        <f t="shared" si="252"/>
        <v>0</v>
      </c>
      <c r="Z103" s="102" t="str">
        <f t="shared" si="253"/>
        <v/>
      </c>
      <c r="AA103" s="103" t="str">
        <f t="shared" si="254"/>
        <v/>
      </c>
      <c r="AB103" s="104">
        <f t="shared" si="255"/>
        <v>0</v>
      </c>
      <c r="AC103" s="99" t="str">
        <f t="shared" si="256"/>
        <v/>
      </c>
      <c r="AD103" s="100" t="str">
        <f t="shared" si="257"/>
        <v/>
      </c>
      <c r="AE103" s="101">
        <f t="shared" si="258"/>
        <v>0</v>
      </c>
      <c r="AF103" s="102" t="str">
        <f t="shared" si="259"/>
        <v/>
      </c>
      <c r="AG103" s="103" t="str">
        <f t="shared" si="260"/>
        <v/>
      </c>
      <c r="AH103" s="104">
        <f t="shared" si="261"/>
        <v>0</v>
      </c>
      <c r="AI103" s="99" t="str">
        <f t="shared" si="262"/>
        <v/>
      </c>
      <c r="AJ103" s="100" t="str">
        <f t="shared" si="263"/>
        <v/>
      </c>
      <c r="AK103" s="101">
        <f t="shared" si="264"/>
        <v>0</v>
      </c>
      <c r="AL103" s="102" t="str">
        <f t="shared" si="265"/>
        <v/>
      </c>
      <c r="AM103" s="103" t="str">
        <f t="shared" si="266"/>
        <v/>
      </c>
      <c r="AN103" s="104">
        <f t="shared" si="267"/>
        <v>0</v>
      </c>
      <c r="AO103" s="99" t="str">
        <f t="shared" si="268"/>
        <v/>
      </c>
      <c r="AP103" s="100" t="str">
        <f t="shared" si="269"/>
        <v/>
      </c>
      <c r="AQ103" s="101">
        <f t="shared" si="270"/>
        <v>0</v>
      </c>
      <c r="AR103" s="102" t="str">
        <f t="shared" si="271"/>
        <v/>
      </c>
      <c r="AS103" s="103" t="str">
        <f t="shared" si="272"/>
        <v/>
      </c>
      <c r="AT103" s="104">
        <f t="shared" si="273"/>
        <v>0</v>
      </c>
      <c r="AU103" s="99" t="str">
        <f t="shared" si="274"/>
        <v/>
      </c>
      <c r="AV103" s="100" t="str">
        <f t="shared" si="275"/>
        <v/>
      </c>
      <c r="AW103" s="101">
        <f t="shared" si="276"/>
        <v>0</v>
      </c>
      <c r="AX103" s="102" t="str">
        <f t="shared" si="277"/>
        <v/>
      </c>
      <c r="AY103" s="103" t="str">
        <f t="shared" si="278"/>
        <v/>
      </c>
      <c r="AZ103" s="104">
        <f t="shared" si="279"/>
        <v>0</v>
      </c>
      <c r="BA103" s="99" t="str">
        <f t="shared" si="280"/>
        <v/>
      </c>
      <c r="BB103" s="100" t="str">
        <f t="shared" si="281"/>
        <v/>
      </c>
      <c r="BC103" s="101">
        <f t="shared" si="282"/>
        <v>0</v>
      </c>
      <c r="BD103" s="102" t="str">
        <f t="shared" si="283"/>
        <v/>
      </c>
      <c r="BE103" s="103" t="str">
        <f t="shared" si="284"/>
        <v/>
      </c>
      <c r="BF103" s="104">
        <f t="shared" si="285"/>
        <v>0</v>
      </c>
      <c r="BG103" s="99" t="str">
        <f t="shared" si="286"/>
        <v/>
      </c>
      <c r="BH103" s="100" t="str">
        <f t="shared" si="287"/>
        <v/>
      </c>
      <c r="BI103" s="101">
        <f t="shared" si="288"/>
        <v>0</v>
      </c>
      <c r="BJ103" s="102" t="str">
        <f t="shared" si="289"/>
        <v/>
      </c>
      <c r="BK103" s="103" t="str">
        <f t="shared" si="290"/>
        <v/>
      </c>
      <c r="BL103" s="104">
        <f t="shared" si="291"/>
        <v>0</v>
      </c>
      <c r="BM103" s="99" t="str">
        <f t="shared" si="292"/>
        <v/>
      </c>
      <c r="BN103" s="100" t="str">
        <f t="shared" si="293"/>
        <v/>
      </c>
      <c r="BO103" s="101">
        <f t="shared" si="294"/>
        <v>0</v>
      </c>
      <c r="BP103" s="102" t="str">
        <f t="shared" si="295"/>
        <v/>
      </c>
      <c r="BQ103" s="103" t="str">
        <f t="shared" si="296"/>
        <v/>
      </c>
      <c r="BR103" s="104">
        <f t="shared" si="297"/>
        <v>0</v>
      </c>
      <c r="BS103" s="99" t="str">
        <f t="shared" si="298"/>
        <v/>
      </c>
      <c r="BT103" s="100" t="str">
        <f t="shared" si="299"/>
        <v/>
      </c>
      <c r="BU103" s="101">
        <f t="shared" si="300"/>
        <v>0</v>
      </c>
      <c r="BV103" s="102" t="str">
        <f t="shared" si="301"/>
        <v/>
      </c>
      <c r="BW103" s="103" t="str">
        <f t="shared" si="302"/>
        <v/>
      </c>
      <c r="BX103" s="104">
        <f t="shared" si="303"/>
        <v>0</v>
      </c>
      <c r="BY103" s="99" t="str">
        <f t="shared" si="304"/>
        <v/>
      </c>
      <c r="BZ103" s="100" t="str">
        <f t="shared" si="305"/>
        <v/>
      </c>
      <c r="CA103" s="101">
        <f t="shared" si="306"/>
        <v>0</v>
      </c>
      <c r="CB103" s="102" t="str">
        <f t="shared" si="307"/>
        <v/>
      </c>
      <c r="CC103" s="103" t="str">
        <f t="shared" si="308"/>
        <v/>
      </c>
      <c r="CD103" s="104">
        <f t="shared" si="309"/>
        <v>0</v>
      </c>
      <c r="CE103" s="99" t="str">
        <f t="shared" si="310"/>
        <v/>
      </c>
      <c r="CF103" s="100" t="str">
        <f t="shared" si="311"/>
        <v/>
      </c>
      <c r="CG103" s="101">
        <f t="shared" si="312"/>
        <v>0</v>
      </c>
      <c r="CH103" s="102" t="str">
        <f t="shared" si="313"/>
        <v/>
      </c>
      <c r="CI103" s="103" t="str">
        <f t="shared" si="314"/>
        <v/>
      </c>
      <c r="CJ103" s="104">
        <f t="shared" si="315"/>
        <v>0</v>
      </c>
      <c r="CK103" s="99" t="str">
        <f t="shared" si="316"/>
        <v/>
      </c>
      <c r="CL103" s="100" t="str">
        <f t="shared" si="317"/>
        <v/>
      </c>
      <c r="CM103" s="101">
        <f t="shared" si="318"/>
        <v>0</v>
      </c>
      <c r="CN103" s="102" t="str">
        <f t="shared" si="319"/>
        <v/>
      </c>
      <c r="CO103" s="103" t="str">
        <f t="shared" si="320"/>
        <v/>
      </c>
      <c r="CP103" s="104">
        <f t="shared" si="321"/>
        <v>0</v>
      </c>
      <c r="CQ103" s="99" t="str">
        <f t="shared" si="322"/>
        <v/>
      </c>
      <c r="CR103" s="100" t="str">
        <f t="shared" si="323"/>
        <v/>
      </c>
      <c r="CS103" s="101">
        <f t="shared" si="324"/>
        <v>0</v>
      </c>
      <c r="CT103" s="102" t="str">
        <f t="shared" si="325"/>
        <v/>
      </c>
      <c r="CU103" s="103" t="str">
        <f t="shared" si="326"/>
        <v/>
      </c>
      <c r="CV103" s="104">
        <f t="shared" si="327"/>
        <v>0</v>
      </c>
      <c r="CW103" s="99" t="str">
        <f t="shared" si="328"/>
        <v/>
      </c>
      <c r="CX103" s="100" t="str">
        <f t="shared" si="329"/>
        <v/>
      </c>
      <c r="CY103" s="101">
        <f t="shared" si="330"/>
        <v>0</v>
      </c>
      <c r="CZ103" s="102" t="str">
        <f t="shared" si="331"/>
        <v/>
      </c>
      <c r="DA103" s="103" t="str">
        <f t="shared" si="332"/>
        <v/>
      </c>
      <c r="DB103" s="104">
        <f t="shared" si="333"/>
        <v>0</v>
      </c>
      <c r="DC103" s="99" t="str">
        <f t="shared" si="334"/>
        <v/>
      </c>
      <c r="DD103" s="100" t="str">
        <f t="shared" si="335"/>
        <v/>
      </c>
      <c r="DE103" s="101">
        <f t="shared" si="336"/>
        <v>0</v>
      </c>
      <c r="DF103" s="102" t="str">
        <f t="shared" si="337"/>
        <v/>
      </c>
      <c r="DG103" s="103" t="str">
        <f t="shared" si="338"/>
        <v/>
      </c>
      <c r="DH103" s="104">
        <f t="shared" si="339"/>
        <v>0</v>
      </c>
      <c r="DI103" s="99" t="str">
        <f t="shared" si="340"/>
        <v/>
      </c>
      <c r="DJ103" s="100" t="str">
        <f t="shared" si="341"/>
        <v/>
      </c>
      <c r="DK103" s="101">
        <f t="shared" si="342"/>
        <v>0</v>
      </c>
      <c r="DL103" s="102" t="str">
        <f t="shared" si="343"/>
        <v/>
      </c>
      <c r="DM103" s="103" t="str">
        <f t="shared" si="344"/>
        <v/>
      </c>
      <c r="DN103" s="104">
        <f t="shared" si="345"/>
        <v>0</v>
      </c>
      <c r="DO103" s="99" t="str">
        <f t="shared" si="346"/>
        <v/>
      </c>
      <c r="DP103" s="100" t="str">
        <f t="shared" si="347"/>
        <v/>
      </c>
      <c r="DQ103" s="101">
        <f t="shared" si="348"/>
        <v>0</v>
      </c>
      <c r="DR103" s="102" t="str">
        <f t="shared" si="349"/>
        <v/>
      </c>
      <c r="DS103" s="103" t="str">
        <f t="shared" si="350"/>
        <v/>
      </c>
      <c r="DT103" s="104">
        <f t="shared" si="351"/>
        <v>0</v>
      </c>
    </row>
    <row r="104" ht="15.75" hidden="1" customHeight="1">
      <c r="A104" s="12" t="str">
        <f>Menus!B64</f>
        <v/>
      </c>
      <c r="B104" s="32">
        <f t="shared" si="231"/>
        <v>0</v>
      </c>
      <c r="C104" s="32">
        <f t="shared" si="232"/>
        <v>0</v>
      </c>
      <c r="D104" s="32">
        <f t="shared" si="233"/>
        <v>0</v>
      </c>
      <c r="E104" s="93" t="str">
        <f t="shared" si="234"/>
        <v/>
      </c>
      <c r="F104" s="94" t="str">
        <f t="shared" si="235"/>
        <v/>
      </c>
      <c r="G104" s="95">
        <f t="shared" si="236"/>
        <v>0</v>
      </c>
      <c r="H104" s="96" t="str">
        <f t="array" ref="H104">IFERROR(XLOOKUP($A104,'Gastos Admon'!$A$7:$A171,INDIRECT($B$9)),"")</f>
        <v/>
      </c>
      <c r="I104" s="97" t="str">
        <f t="array" ref="I104">IFERROR(XLOOKUP($A104,'Gastos Admon'!$A$7:$A171,INDIRECT($C$9)),"")</f>
        <v/>
      </c>
      <c r="J104" s="98">
        <f t="shared" si="237"/>
        <v>0</v>
      </c>
      <c r="K104" s="99" t="str">
        <f t="shared" si="238"/>
        <v/>
      </c>
      <c r="L104" s="100" t="str">
        <f t="shared" si="239"/>
        <v/>
      </c>
      <c r="M104" s="101">
        <f t="shared" si="240"/>
        <v>0</v>
      </c>
      <c r="N104" s="102" t="str">
        <f t="shared" si="241"/>
        <v/>
      </c>
      <c r="O104" s="103" t="str">
        <f t="shared" si="242"/>
        <v/>
      </c>
      <c r="P104" s="104">
        <f t="shared" si="243"/>
        <v>0</v>
      </c>
      <c r="Q104" s="99" t="str">
        <f t="shared" si="244"/>
        <v/>
      </c>
      <c r="R104" s="100" t="str">
        <f t="shared" si="245"/>
        <v/>
      </c>
      <c r="S104" s="101">
        <f t="shared" si="246"/>
        <v>0</v>
      </c>
      <c r="T104" s="102" t="str">
        <f t="shared" si="247"/>
        <v/>
      </c>
      <c r="U104" s="103" t="str">
        <f t="shared" si="248"/>
        <v/>
      </c>
      <c r="V104" s="104">
        <f t="shared" si="249"/>
        <v>0</v>
      </c>
      <c r="W104" s="99" t="str">
        <f t="shared" si="250"/>
        <v/>
      </c>
      <c r="X104" s="100" t="str">
        <f t="shared" si="251"/>
        <v/>
      </c>
      <c r="Y104" s="101">
        <f t="shared" si="252"/>
        <v>0</v>
      </c>
      <c r="Z104" s="102" t="str">
        <f t="shared" si="253"/>
        <v/>
      </c>
      <c r="AA104" s="103" t="str">
        <f t="shared" si="254"/>
        <v/>
      </c>
      <c r="AB104" s="104">
        <f t="shared" si="255"/>
        <v>0</v>
      </c>
      <c r="AC104" s="99" t="str">
        <f t="shared" si="256"/>
        <v/>
      </c>
      <c r="AD104" s="100" t="str">
        <f t="shared" si="257"/>
        <v/>
      </c>
      <c r="AE104" s="101">
        <f t="shared" si="258"/>
        <v>0</v>
      </c>
      <c r="AF104" s="102" t="str">
        <f t="shared" si="259"/>
        <v/>
      </c>
      <c r="AG104" s="103" t="str">
        <f t="shared" si="260"/>
        <v/>
      </c>
      <c r="AH104" s="104">
        <f t="shared" si="261"/>
        <v>0</v>
      </c>
      <c r="AI104" s="99" t="str">
        <f t="shared" si="262"/>
        <v/>
      </c>
      <c r="AJ104" s="100" t="str">
        <f t="shared" si="263"/>
        <v/>
      </c>
      <c r="AK104" s="101">
        <f t="shared" si="264"/>
        <v>0</v>
      </c>
      <c r="AL104" s="102" t="str">
        <f t="shared" si="265"/>
        <v/>
      </c>
      <c r="AM104" s="103" t="str">
        <f t="shared" si="266"/>
        <v/>
      </c>
      <c r="AN104" s="104">
        <f t="shared" si="267"/>
        <v>0</v>
      </c>
      <c r="AO104" s="99" t="str">
        <f t="shared" si="268"/>
        <v/>
      </c>
      <c r="AP104" s="100" t="str">
        <f t="shared" si="269"/>
        <v/>
      </c>
      <c r="AQ104" s="101">
        <f t="shared" si="270"/>
        <v>0</v>
      </c>
      <c r="AR104" s="102" t="str">
        <f t="shared" si="271"/>
        <v/>
      </c>
      <c r="AS104" s="103" t="str">
        <f t="shared" si="272"/>
        <v/>
      </c>
      <c r="AT104" s="104">
        <f t="shared" si="273"/>
        <v>0</v>
      </c>
      <c r="AU104" s="99" t="str">
        <f t="shared" si="274"/>
        <v/>
      </c>
      <c r="AV104" s="100" t="str">
        <f t="shared" si="275"/>
        <v/>
      </c>
      <c r="AW104" s="101">
        <f t="shared" si="276"/>
        <v>0</v>
      </c>
      <c r="AX104" s="102" t="str">
        <f t="shared" si="277"/>
        <v/>
      </c>
      <c r="AY104" s="103" t="str">
        <f t="shared" si="278"/>
        <v/>
      </c>
      <c r="AZ104" s="104">
        <f t="shared" si="279"/>
        <v>0</v>
      </c>
      <c r="BA104" s="99" t="str">
        <f t="shared" si="280"/>
        <v/>
      </c>
      <c r="BB104" s="100" t="str">
        <f t="shared" si="281"/>
        <v/>
      </c>
      <c r="BC104" s="101">
        <f t="shared" si="282"/>
        <v>0</v>
      </c>
      <c r="BD104" s="102" t="str">
        <f t="shared" si="283"/>
        <v/>
      </c>
      <c r="BE104" s="103" t="str">
        <f t="shared" si="284"/>
        <v/>
      </c>
      <c r="BF104" s="104">
        <f t="shared" si="285"/>
        <v>0</v>
      </c>
      <c r="BG104" s="99" t="str">
        <f t="shared" si="286"/>
        <v/>
      </c>
      <c r="BH104" s="100" t="str">
        <f t="shared" si="287"/>
        <v/>
      </c>
      <c r="BI104" s="101">
        <f t="shared" si="288"/>
        <v>0</v>
      </c>
      <c r="BJ104" s="102" t="str">
        <f t="shared" si="289"/>
        <v/>
      </c>
      <c r="BK104" s="103" t="str">
        <f t="shared" si="290"/>
        <v/>
      </c>
      <c r="BL104" s="104">
        <f t="shared" si="291"/>
        <v>0</v>
      </c>
      <c r="BM104" s="99" t="str">
        <f t="shared" si="292"/>
        <v/>
      </c>
      <c r="BN104" s="100" t="str">
        <f t="shared" si="293"/>
        <v/>
      </c>
      <c r="BO104" s="101">
        <f t="shared" si="294"/>
        <v>0</v>
      </c>
      <c r="BP104" s="102" t="str">
        <f t="shared" si="295"/>
        <v/>
      </c>
      <c r="BQ104" s="103" t="str">
        <f t="shared" si="296"/>
        <v/>
      </c>
      <c r="BR104" s="104">
        <f t="shared" si="297"/>
        <v>0</v>
      </c>
      <c r="BS104" s="99" t="str">
        <f t="shared" si="298"/>
        <v/>
      </c>
      <c r="BT104" s="100" t="str">
        <f t="shared" si="299"/>
        <v/>
      </c>
      <c r="BU104" s="101">
        <f t="shared" si="300"/>
        <v>0</v>
      </c>
      <c r="BV104" s="102" t="str">
        <f t="shared" si="301"/>
        <v/>
      </c>
      <c r="BW104" s="103" t="str">
        <f t="shared" si="302"/>
        <v/>
      </c>
      <c r="BX104" s="104">
        <f t="shared" si="303"/>
        <v>0</v>
      </c>
      <c r="BY104" s="99" t="str">
        <f t="shared" si="304"/>
        <v/>
      </c>
      <c r="BZ104" s="100" t="str">
        <f t="shared" si="305"/>
        <v/>
      </c>
      <c r="CA104" s="101">
        <f t="shared" si="306"/>
        <v>0</v>
      </c>
      <c r="CB104" s="102" t="str">
        <f t="shared" si="307"/>
        <v/>
      </c>
      <c r="CC104" s="103" t="str">
        <f t="shared" si="308"/>
        <v/>
      </c>
      <c r="CD104" s="104">
        <f t="shared" si="309"/>
        <v>0</v>
      </c>
      <c r="CE104" s="99" t="str">
        <f t="shared" si="310"/>
        <v/>
      </c>
      <c r="CF104" s="100" t="str">
        <f t="shared" si="311"/>
        <v/>
      </c>
      <c r="CG104" s="101">
        <f t="shared" si="312"/>
        <v>0</v>
      </c>
      <c r="CH104" s="102" t="str">
        <f t="shared" si="313"/>
        <v/>
      </c>
      <c r="CI104" s="103" t="str">
        <f t="shared" si="314"/>
        <v/>
      </c>
      <c r="CJ104" s="104">
        <f t="shared" si="315"/>
        <v>0</v>
      </c>
      <c r="CK104" s="99" t="str">
        <f t="shared" si="316"/>
        <v/>
      </c>
      <c r="CL104" s="100" t="str">
        <f t="shared" si="317"/>
        <v/>
      </c>
      <c r="CM104" s="101">
        <f t="shared" si="318"/>
        <v>0</v>
      </c>
      <c r="CN104" s="102" t="str">
        <f t="shared" si="319"/>
        <v/>
      </c>
      <c r="CO104" s="103" t="str">
        <f t="shared" si="320"/>
        <v/>
      </c>
      <c r="CP104" s="104">
        <f t="shared" si="321"/>
        <v>0</v>
      </c>
      <c r="CQ104" s="99" t="str">
        <f t="shared" si="322"/>
        <v/>
      </c>
      <c r="CR104" s="100" t="str">
        <f t="shared" si="323"/>
        <v/>
      </c>
      <c r="CS104" s="101">
        <f t="shared" si="324"/>
        <v>0</v>
      </c>
      <c r="CT104" s="102" t="str">
        <f t="shared" si="325"/>
        <v/>
      </c>
      <c r="CU104" s="103" t="str">
        <f t="shared" si="326"/>
        <v/>
      </c>
      <c r="CV104" s="104">
        <f t="shared" si="327"/>
        <v>0</v>
      </c>
      <c r="CW104" s="99" t="str">
        <f t="shared" si="328"/>
        <v/>
      </c>
      <c r="CX104" s="100" t="str">
        <f t="shared" si="329"/>
        <v/>
      </c>
      <c r="CY104" s="101">
        <f t="shared" si="330"/>
        <v>0</v>
      </c>
      <c r="CZ104" s="102" t="str">
        <f t="shared" si="331"/>
        <v/>
      </c>
      <c r="DA104" s="103" t="str">
        <f t="shared" si="332"/>
        <v/>
      </c>
      <c r="DB104" s="104">
        <f t="shared" si="333"/>
        <v>0</v>
      </c>
      <c r="DC104" s="99" t="str">
        <f t="shared" si="334"/>
        <v/>
      </c>
      <c r="DD104" s="100" t="str">
        <f t="shared" si="335"/>
        <v/>
      </c>
      <c r="DE104" s="101">
        <f t="shared" si="336"/>
        <v>0</v>
      </c>
      <c r="DF104" s="102" t="str">
        <f t="shared" si="337"/>
        <v/>
      </c>
      <c r="DG104" s="103" t="str">
        <f t="shared" si="338"/>
        <v/>
      </c>
      <c r="DH104" s="104">
        <f t="shared" si="339"/>
        <v>0</v>
      </c>
      <c r="DI104" s="99" t="str">
        <f t="shared" si="340"/>
        <v/>
      </c>
      <c r="DJ104" s="100" t="str">
        <f t="shared" si="341"/>
        <v/>
      </c>
      <c r="DK104" s="101">
        <f t="shared" si="342"/>
        <v>0</v>
      </c>
      <c r="DL104" s="102" t="str">
        <f t="shared" si="343"/>
        <v/>
      </c>
      <c r="DM104" s="103" t="str">
        <f t="shared" si="344"/>
        <v/>
      </c>
      <c r="DN104" s="104">
        <f t="shared" si="345"/>
        <v>0</v>
      </c>
      <c r="DO104" s="99" t="str">
        <f t="shared" si="346"/>
        <v/>
      </c>
      <c r="DP104" s="100" t="str">
        <f t="shared" si="347"/>
        <v/>
      </c>
      <c r="DQ104" s="101">
        <f t="shared" si="348"/>
        <v>0</v>
      </c>
      <c r="DR104" s="102" t="str">
        <f t="shared" si="349"/>
        <v/>
      </c>
      <c r="DS104" s="103" t="str">
        <f t="shared" si="350"/>
        <v/>
      </c>
      <c r="DT104" s="104">
        <f t="shared" si="351"/>
        <v>0</v>
      </c>
    </row>
    <row r="105" ht="9.0" customHeight="1">
      <c r="A105" s="11"/>
      <c r="B105" s="12"/>
      <c r="D105" s="12"/>
      <c r="E105" s="69"/>
      <c r="F105" s="12"/>
      <c r="G105" s="12"/>
      <c r="H105" s="69"/>
      <c r="I105" s="12"/>
      <c r="J105" s="13"/>
      <c r="K105" s="69"/>
      <c r="L105" s="12"/>
      <c r="M105" s="13"/>
      <c r="N105" s="69"/>
      <c r="O105" s="12"/>
      <c r="P105" s="13"/>
      <c r="Q105" s="69"/>
      <c r="R105" s="12"/>
      <c r="S105" s="13"/>
      <c r="T105" s="69"/>
      <c r="U105" s="12"/>
      <c r="V105" s="13"/>
      <c r="W105" s="69"/>
      <c r="X105" s="12"/>
      <c r="Y105" s="13"/>
      <c r="Z105" s="69"/>
      <c r="AA105" s="12"/>
      <c r="AB105" s="13"/>
      <c r="AC105" s="69"/>
      <c r="AD105" s="12"/>
      <c r="AE105" s="13"/>
      <c r="AF105" s="69"/>
      <c r="AG105" s="12"/>
      <c r="AH105" s="13"/>
      <c r="AI105" s="69"/>
      <c r="AJ105" s="12"/>
      <c r="AK105" s="13"/>
      <c r="AL105" s="69"/>
      <c r="AM105" s="12"/>
      <c r="AN105" s="13"/>
      <c r="AO105" s="69"/>
      <c r="AP105" s="12"/>
      <c r="AQ105" s="13"/>
      <c r="AR105" s="69"/>
      <c r="AS105" s="12"/>
      <c r="AT105" s="13"/>
      <c r="AU105" s="69"/>
      <c r="AV105" s="12"/>
      <c r="AW105" s="13"/>
      <c r="AX105" s="69"/>
      <c r="AY105" s="12"/>
      <c r="AZ105" s="13"/>
      <c r="BA105" s="69"/>
      <c r="BB105" s="12"/>
      <c r="BC105" s="13"/>
      <c r="BD105" s="69"/>
      <c r="BE105" s="12"/>
      <c r="BF105" s="13"/>
      <c r="BG105" s="69"/>
      <c r="BH105" s="12"/>
      <c r="BI105" s="13"/>
      <c r="BJ105" s="69"/>
      <c r="BK105" s="12"/>
      <c r="BL105" s="13"/>
      <c r="BM105" s="69"/>
      <c r="BN105" s="12"/>
      <c r="BO105" s="13"/>
      <c r="BP105" s="69"/>
      <c r="BQ105" s="12"/>
      <c r="BR105" s="13"/>
      <c r="BS105" s="69"/>
      <c r="BT105" s="12"/>
      <c r="BU105" s="13"/>
      <c r="BV105" s="69"/>
      <c r="BW105" s="12"/>
      <c r="BX105" s="13"/>
      <c r="BY105" s="69"/>
      <c r="BZ105" s="12"/>
      <c r="CA105" s="13"/>
      <c r="CB105" s="69"/>
      <c r="CC105" s="12"/>
      <c r="CD105" s="13"/>
      <c r="CE105" s="69"/>
      <c r="CF105" s="12"/>
      <c r="CG105" s="13"/>
      <c r="CH105" s="69"/>
      <c r="CI105" s="12"/>
      <c r="CJ105" s="13"/>
      <c r="CK105" s="69"/>
      <c r="CL105" s="12"/>
      <c r="CM105" s="13"/>
      <c r="CN105" s="69"/>
      <c r="CO105" s="12"/>
      <c r="CP105" s="13"/>
      <c r="CQ105" s="69"/>
      <c r="CR105" s="12"/>
      <c r="CS105" s="13"/>
      <c r="CT105" s="69"/>
      <c r="CU105" s="12"/>
      <c r="CV105" s="13"/>
      <c r="CW105" s="69"/>
      <c r="CX105" s="12"/>
      <c r="CY105" s="13"/>
      <c r="CZ105" s="69"/>
      <c r="DA105" s="12"/>
      <c r="DB105" s="13"/>
      <c r="DC105" s="69"/>
      <c r="DD105" s="12"/>
      <c r="DE105" s="13"/>
      <c r="DF105" s="69"/>
      <c r="DG105" s="12"/>
      <c r="DH105" s="13"/>
      <c r="DI105" s="69"/>
      <c r="DJ105" s="12"/>
      <c r="DK105" s="13"/>
      <c r="DL105" s="69"/>
      <c r="DM105" s="12"/>
      <c r="DN105" s="13"/>
      <c r="DO105" s="69"/>
      <c r="DP105" s="12"/>
      <c r="DQ105" s="13"/>
      <c r="DR105" s="69"/>
      <c r="DS105" s="12"/>
      <c r="DT105" s="13"/>
    </row>
    <row r="106" ht="15.75" customHeight="1">
      <c r="A106" s="50" t="s">
        <v>8</v>
      </c>
      <c r="B106" s="26" t="str">
        <f t="shared" ref="B106:DT106" si="352">SUM(B107:B116)</f>
        <v>#VALUE!</v>
      </c>
      <c r="C106" s="26" t="str">
        <f t="shared" si="352"/>
        <v>#VALUE!</v>
      </c>
      <c r="D106" s="26" t="str">
        <f t="shared" si="352"/>
        <v>#VALUE!</v>
      </c>
      <c r="E106" s="105" t="str">
        <f t="shared" si="352"/>
        <v>#VALUE!</v>
      </c>
      <c r="F106" s="50" t="str">
        <f t="shared" si="352"/>
        <v>#VALUE!</v>
      </c>
      <c r="G106" s="50">
        <f t="shared" si="352"/>
        <v>0</v>
      </c>
      <c r="H106" s="84" t="str">
        <f t="shared" si="352"/>
        <v>#VALUE!</v>
      </c>
      <c r="I106" s="28" t="str">
        <f t="shared" si="352"/>
        <v>#VALUE!</v>
      </c>
      <c r="J106" s="86">
        <f t="shared" si="352"/>
        <v>0</v>
      </c>
      <c r="K106" s="87" t="str">
        <f t="shared" si="352"/>
        <v>#VALUE!</v>
      </c>
      <c r="L106" s="29" t="str">
        <f t="shared" si="352"/>
        <v>#VALUE!</v>
      </c>
      <c r="M106" s="89">
        <f t="shared" si="352"/>
        <v>0</v>
      </c>
      <c r="N106" s="90" t="str">
        <f t="shared" si="352"/>
        <v>#VALUE!</v>
      </c>
      <c r="O106" s="26" t="str">
        <f t="shared" si="352"/>
        <v>#VALUE!</v>
      </c>
      <c r="P106" s="92">
        <f t="shared" si="352"/>
        <v>0</v>
      </c>
      <c r="Q106" s="87" t="str">
        <f t="shared" si="352"/>
        <v>#VALUE!</v>
      </c>
      <c r="R106" s="29" t="str">
        <f t="shared" si="352"/>
        <v>#VALUE!</v>
      </c>
      <c r="S106" s="89">
        <f t="shared" si="352"/>
        <v>0</v>
      </c>
      <c r="T106" s="90" t="str">
        <f t="shared" si="352"/>
        <v>#VALUE!</v>
      </c>
      <c r="U106" s="26" t="str">
        <f t="shared" si="352"/>
        <v>#VALUE!</v>
      </c>
      <c r="V106" s="92">
        <f t="shared" si="352"/>
        <v>0</v>
      </c>
      <c r="W106" s="87" t="str">
        <f t="shared" si="352"/>
        <v>#VALUE!</v>
      </c>
      <c r="X106" s="29" t="str">
        <f t="shared" si="352"/>
        <v>#VALUE!</v>
      </c>
      <c r="Y106" s="89">
        <f t="shared" si="352"/>
        <v>0</v>
      </c>
      <c r="Z106" s="90" t="str">
        <f t="shared" si="352"/>
        <v>#VALUE!</v>
      </c>
      <c r="AA106" s="26" t="str">
        <f t="shared" si="352"/>
        <v>#VALUE!</v>
      </c>
      <c r="AB106" s="92">
        <f t="shared" si="352"/>
        <v>0</v>
      </c>
      <c r="AC106" s="87" t="str">
        <f t="shared" si="352"/>
        <v>#VALUE!</v>
      </c>
      <c r="AD106" s="29" t="str">
        <f t="shared" si="352"/>
        <v>#VALUE!</v>
      </c>
      <c r="AE106" s="89">
        <f t="shared" si="352"/>
        <v>0</v>
      </c>
      <c r="AF106" s="90" t="str">
        <f t="shared" si="352"/>
        <v>#VALUE!</v>
      </c>
      <c r="AG106" s="26" t="str">
        <f t="shared" si="352"/>
        <v>#VALUE!</v>
      </c>
      <c r="AH106" s="92">
        <f t="shared" si="352"/>
        <v>0</v>
      </c>
      <c r="AI106" s="87" t="str">
        <f t="shared" si="352"/>
        <v>#VALUE!</v>
      </c>
      <c r="AJ106" s="29" t="str">
        <f t="shared" si="352"/>
        <v>#VALUE!</v>
      </c>
      <c r="AK106" s="89">
        <f t="shared" si="352"/>
        <v>0</v>
      </c>
      <c r="AL106" s="90" t="str">
        <f t="shared" si="352"/>
        <v>#VALUE!</v>
      </c>
      <c r="AM106" s="26" t="str">
        <f t="shared" si="352"/>
        <v>#VALUE!</v>
      </c>
      <c r="AN106" s="92">
        <f t="shared" si="352"/>
        <v>0</v>
      </c>
      <c r="AO106" s="87" t="str">
        <f t="shared" si="352"/>
        <v>#VALUE!</v>
      </c>
      <c r="AP106" s="29" t="str">
        <f t="shared" si="352"/>
        <v>#VALUE!</v>
      </c>
      <c r="AQ106" s="89">
        <f t="shared" si="352"/>
        <v>0</v>
      </c>
      <c r="AR106" s="90" t="str">
        <f t="shared" si="352"/>
        <v>#VALUE!</v>
      </c>
      <c r="AS106" s="26" t="str">
        <f t="shared" si="352"/>
        <v>#VALUE!</v>
      </c>
      <c r="AT106" s="92">
        <f t="shared" si="352"/>
        <v>0</v>
      </c>
      <c r="AU106" s="87" t="str">
        <f t="shared" si="352"/>
        <v>#VALUE!</v>
      </c>
      <c r="AV106" s="29" t="str">
        <f t="shared" si="352"/>
        <v>#VALUE!</v>
      </c>
      <c r="AW106" s="89">
        <f t="shared" si="352"/>
        <v>0</v>
      </c>
      <c r="AX106" s="90" t="str">
        <f t="shared" si="352"/>
        <v>#VALUE!</v>
      </c>
      <c r="AY106" s="26" t="str">
        <f t="shared" si="352"/>
        <v>#VALUE!</v>
      </c>
      <c r="AZ106" s="92">
        <f t="shared" si="352"/>
        <v>0</v>
      </c>
      <c r="BA106" s="87" t="str">
        <f t="shared" si="352"/>
        <v>#VALUE!</v>
      </c>
      <c r="BB106" s="29" t="str">
        <f t="shared" si="352"/>
        <v>#VALUE!</v>
      </c>
      <c r="BC106" s="89">
        <f t="shared" si="352"/>
        <v>0</v>
      </c>
      <c r="BD106" s="90" t="str">
        <f t="shared" si="352"/>
        <v>#VALUE!</v>
      </c>
      <c r="BE106" s="26" t="str">
        <f t="shared" si="352"/>
        <v>#VALUE!</v>
      </c>
      <c r="BF106" s="92">
        <f t="shared" si="352"/>
        <v>0</v>
      </c>
      <c r="BG106" s="87" t="str">
        <f t="shared" si="352"/>
        <v>#VALUE!</v>
      </c>
      <c r="BH106" s="29" t="str">
        <f t="shared" si="352"/>
        <v>#VALUE!</v>
      </c>
      <c r="BI106" s="89">
        <f t="shared" si="352"/>
        <v>0</v>
      </c>
      <c r="BJ106" s="90" t="str">
        <f t="shared" si="352"/>
        <v>#VALUE!</v>
      </c>
      <c r="BK106" s="26" t="str">
        <f t="shared" si="352"/>
        <v>#VALUE!</v>
      </c>
      <c r="BL106" s="92">
        <f t="shared" si="352"/>
        <v>0</v>
      </c>
      <c r="BM106" s="87" t="str">
        <f t="shared" si="352"/>
        <v>#VALUE!</v>
      </c>
      <c r="BN106" s="29" t="str">
        <f t="shared" si="352"/>
        <v>#VALUE!</v>
      </c>
      <c r="BO106" s="89">
        <f t="shared" si="352"/>
        <v>0</v>
      </c>
      <c r="BP106" s="90" t="str">
        <f t="shared" si="352"/>
        <v>#VALUE!</v>
      </c>
      <c r="BQ106" s="26" t="str">
        <f t="shared" si="352"/>
        <v>#VALUE!</v>
      </c>
      <c r="BR106" s="92">
        <f t="shared" si="352"/>
        <v>0</v>
      </c>
      <c r="BS106" s="87" t="str">
        <f t="shared" si="352"/>
        <v>#VALUE!</v>
      </c>
      <c r="BT106" s="29" t="str">
        <f t="shared" si="352"/>
        <v>#VALUE!</v>
      </c>
      <c r="BU106" s="89">
        <f t="shared" si="352"/>
        <v>0</v>
      </c>
      <c r="BV106" s="90" t="str">
        <f t="shared" si="352"/>
        <v>#VALUE!</v>
      </c>
      <c r="BW106" s="26" t="str">
        <f t="shared" si="352"/>
        <v>#VALUE!</v>
      </c>
      <c r="BX106" s="92">
        <f t="shared" si="352"/>
        <v>0</v>
      </c>
      <c r="BY106" s="87" t="str">
        <f t="shared" si="352"/>
        <v>#VALUE!</v>
      </c>
      <c r="BZ106" s="29" t="str">
        <f t="shared" si="352"/>
        <v>#VALUE!</v>
      </c>
      <c r="CA106" s="89">
        <f t="shared" si="352"/>
        <v>0</v>
      </c>
      <c r="CB106" s="90" t="str">
        <f t="shared" si="352"/>
        <v>#VALUE!</v>
      </c>
      <c r="CC106" s="26" t="str">
        <f t="shared" si="352"/>
        <v>#VALUE!</v>
      </c>
      <c r="CD106" s="92">
        <f t="shared" si="352"/>
        <v>0</v>
      </c>
      <c r="CE106" s="87" t="str">
        <f t="shared" si="352"/>
        <v>#VALUE!</v>
      </c>
      <c r="CF106" s="29" t="str">
        <f t="shared" si="352"/>
        <v>#VALUE!</v>
      </c>
      <c r="CG106" s="89">
        <f t="shared" si="352"/>
        <v>0</v>
      </c>
      <c r="CH106" s="90" t="str">
        <f t="shared" si="352"/>
        <v>#VALUE!</v>
      </c>
      <c r="CI106" s="26" t="str">
        <f t="shared" si="352"/>
        <v>#VALUE!</v>
      </c>
      <c r="CJ106" s="92">
        <f t="shared" si="352"/>
        <v>0</v>
      </c>
      <c r="CK106" s="87" t="str">
        <f t="shared" si="352"/>
        <v>#VALUE!</v>
      </c>
      <c r="CL106" s="29" t="str">
        <f t="shared" si="352"/>
        <v>#VALUE!</v>
      </c>
      <c r="CM106" s="89">
        <f t="shared" si="352"/>
        <v>0</v>
      </c>
      <c r="CN106" s="90" t="str">
        <f t="shared" si="352"/>
        <v>#VALUE!</v>
      </c>
      <c r="CO106" s="26" t="str">
        <f t="shared" si="352"/>
        <v>#VALUE!</v>
      </c>
      <c r="CP106" s="92">
        <f t="shared" si="352"/>
        <v>0</v>
      </c>
      <c r="CQ106" s="87" t="str">
        <f t="shared" si="352"/>
        <v>#VALUE!</v>
      </c>
      <c r="CR106" s="29" t="str">
        <f t="shared" si="352"/>
        <v>#VALUE!</v>
      </c>
      <c r="CS106" s="89">
        <f t="shared" si="352"/>
        <v>0</v>
      </c>
      <c r="CT106" s="90" t="str">
        <f t="shared" si="352"/>
        <v>#VALUE!</v>
      </c>
      <c r="CU106" s="26" t="str">
        <f t="shared" si="352"/>
        <v>#VALUE!</v>
      </c>
      <c r="CV106" s="92">
        <f t="shared" si="352"/>
        <v>0</v>
      </c>
      <c r="CW106" s="87" t="str">
        <f t="shared" si="352"/>
        <v>#VALUE!</v>
      </c>
      <c r="CX106" s="29" t="str">
        <f t="shared" si="352"/>
        <v>#VALUE!</v>
      </c>
      <c r="CY106" s="89">
        <f t="shared" si="352"/>
        <v>0</v>
      </c>
      <c r="CZ106" s="90" t="str">
        <f t="shared" si="352"/>
        <v>#VALUE!</v>
      </c>
      <c r="DA106" s="26" t="str">
        <f t="shared" si="352"/>
        <v>#VALUE!</v>
      </c>
      <c r="DB106" s="92">
        <f t="shared" si="352"/>
        <v>0</v>
      </c>
      <c r="DC106" s="87" t="str">
        <f t="shared" si="352"/>
        <v>#VALUE!</v>
      </c>
      <c r="DD106" s="29" t="str">
        <f t="shared" si="352"/>
        <v>#VALUE!</v>
      </c>
      <c r="DE106" s="89">
        <f t="shared" si="352"/>
        <v>0</v>
      </c>
      <c r="DF106" s="90" t="str">
        <f t="shared" si="352"/>
        <v>#VALUE!</v>
      </c>
      <c r="DG106" s="26" t="str">
        <f t="shared" si="352"/>
        <v>#VALUE!</v>
      </c>
      <c r="DH106" s="92">
        <f t="shared" si="352"/>
        <v>0</v>
      </c>
      <c r="DI106" s="87" t="str">
        <f t="shared" si="352"/>
        <v>#VALUE!</v>
      </c>
      <c r="DJ106" s="29" t="str">
        <f t="shared" si="352"/>
        <v>#VALUE!</v>
      </c>
      <c r="DK106" s="89">
        <f t="shared" si="352"/>
        <v>0</v>
      </c>
      <c r="DL106" s="90" t="str">
        <f t="shared" si="352"/>
        <v>#VALUE!</v>
      </c>
      <c r="DM106" s="26" t="str">
        <f t="shared" si="352"/>
        <v>#VALUE!</v>
      </c>
      <c r="DN106" s="92">
        <f t="shared" si="352"/>
        <v>0</v>
      </c>
      <c r="DO106" s="87" t="str">
        <f t="shared" si="352"/>
        <v>#VALUE!</v>
      </c>
      <c r="DP106" s="29" t="str">
        <f t="shared" si="352"/>
        <v>#VALUE!</v>
      </c>
      <c r="DQ106" s="89">
        <f t="shared" si="352"/>
        <v>0</v>
      </c>
      <c r="DR106" s="90" t="str">
        <f t="shared" si="352"/>
        <v>#VALUE!</v>
      </c>
      <c r="DS106" s="26" t="str">
        <f t="shared" si="352"/>
        <v>#VALUE!</v>
      </c>
      <c r="DT106" s="92">
        <f t="shared" si="352"/>
        <v>0</v>
      </c>
    </row>
    <row r="107" ht="15.75" customHeight="1">
      <c r="A107" s="40" t="str">
        <f>Menus!Q2</f>
        <v/>
      </c>
      <c r="B107" s="32" t="str">
        <f t="shared" ref="B107:B116" si="353">SUMIF($H$2:DT$2,$H$2,H107:DT107)</f>
        <v>#VALUE!</v>
      </c>
      <c r="C107" s="32" t="str">
        <f t="shared" ref="C107:C116" si="354">SUMIF($H$2:DT$2,$I$2,H107:DT107)</f>
        <v>#VALUE!</v>
      </c>
      <c r="D107" s="32" t="str">
        <f t="shared" ref="D107:D116" si="355">B107-C107</f>
        <v>#VALUE!</v>
      </c>
      <c r="E107" s="106" t="str">
        <f t="array" ref="E107">SUM(SUMIFS(INDIRECT($A$3) ,OtrosR!$C$3:$C171,$A108,OtrosR!$B$3:$B171,E$1))</f>
        <v>#VALUE!</v>
      </c>
      <c r="F107" s="51" t="str">
        <f t="array" ref="F107">SUM(SUMIFS(INDIRECT($A$9) ,OtrosR!$C$3:$C171,$A108,OtrosR!$B$3:$B171,E$1))</f>
        <v>#VALUE!</v>
      </c>
      <c r="G107" s="95" t="str">
        <f t="shared" ref="G107:G116" si="356">IFERROR(E107-F107,"")</f>
        <v/>
      </c>
      <c r="H107" s="96" t="str">
        <f t="array" ref="H107">SUM(SUMIFS(INDIRECT($A$3) ,OtrosR!$C$3:$C171,$A107,OtrosR!$B$3:$B171,H$1))</f>
        <v>#VALUE!</v>
      </c>
      <c r="I107" s="34" t="str">
        <f t="array" ref="I107">SUM(SUMIFS(INDIRECT($A$9) ,OtrosR!$C$3:$C171,$A108,OtrosR!$B$3:$B171,H$1))</f>
        <v>#VALUE!</v>
      </c>
      <c r="J107" s="98" t="str">
        <f t="shared" ref="J107:J116" si="357">IFERROR(H107-I107,"")</f>
        <v/>
      </c>
      <c r="K107" s="99" t="str">
        <f t="array" ref="K107">SUM(SUMIFS(INDIRECT($A$3) ,OtrosR!$C$3:$C171,$A108,OtrosR!$B$3:$B171,K$1))</f>
        <v>#VALUE!</v>
      </c>
      <c r="L107" s="35" t="str">
        <f t="array" ref="L107">SUM(SUMIFS(INDIRECT($A$9) ,OtrosR!$C$3:$C171,$A108,OtrosR!$B$3:$B171,K$1))</f>
        <v>#VALUE!</v>
      </c>
      <c r="M107" s="101" t="str">
        <f t="shared" ref="M107:M116" si="358">IFERROR(K107-L107,"")</f>
        <v/>
      </c>
      <c r="N107" s="102" t="str">
        <f t="array" ref="N107">SUM(SUMIFS(INDIRECT($A$3) ,OtrosR!$C$3:$C171,$A108,OtrosR!$B$3:$B171,N$1))</f>
        <v>#VALUE!</v>
      </c>
      <c r="O107" s="32" t="str">
        <f t="array" ref="O107">SUM(SUMIFS(INDIRECT($A$9) ,OtrosR!$C$3:$C171,$A108,OtrosR!$B$3:$B171,N$1))</f>
        <v>#VALUE!</v>
      </c>
      <c r="P107" s="104" t="str">
        <f t="shared" ref="P107:P116" si="359">IFERROR(N107-O107,"")</f>
        <v/>
      </c>
      <c r="Q107" s="99" t="str">
        <f t="array" ref="Q107">SUM(SUMIFS(INDIRECT($A$3) ,OtrosR!$C$3:$C171,$A108,OtrosR!$B$3:$B171,Q$1))</f>
        <v>#VALUE!</v>
      </c>
      <c r="R107" s="35" t="str">
        <f t="array" ref="R107">SUM(SUMIFS(INDIRECT($A$9) ,OtrosR!$C$3:$C171,$A108,OtrosR!$B$3:$B171,Q$1))</f>
        <v>#VALUE!</v>
      </c>
      <c r="S107" s="101" t="str">
        <f t="shared" ref="S107:S116" si="360">IFERROR(Q107-R107,"")</f>
        <v/>
      </c>
      <c r="T107" s="102" t="str">
        <f t="array" ref="T107">SUM(SUMIFS(INDIRECT($A$3) ,OtrosR!$C$3:$C171,$A108,OtrosR!$B$3:$B171,T$1))</f>
        <v>#VALUE!</v>
      </c>
      <c r="U107" s="32" t="str">
        <f t="array" ref="U107">SUM(SUMIFS(INDIRECT($A$9) ,OtrosR!$C$3:$C171,$A108,OtrosR!$B$3:$B171,T$1))</f>
        <v>#VALUE!</v>
      </c>
      <c r="V107" s="104" t="str">
        <f t="shared" ref="V107:V116" si="361">IFERROR(T107-U107,"")</f>
        <v/>
      </c>
      <c r="W107" s="99" t="str">
        <f t="array" ref="W107">SUM(SUMIFS(INDIRECT($A$3) ,OtrosR!$C$3:$C171,$A108,OtrosR!$B$3:$B171,W$1))</f>
        <v>#VALUE!</v>
      </c>
      <c r="X107" s="35" t="str">
        <f t="array" ref="X107">SUM(SUMIFS(INDIRECT($A$9) ,OtrosR!$C$3:$C171,$A108,OtrosR!$B$3:$B171,W$1))</f>
        <v>#VALUE!</v>
      </c>
      <c r="Y107" s="101" t="str">
        <f t="shared" ref="Y107:Y116" si="362">IFERROR(W107-X107,"")</f>
        <v/>
      </c>
      <c r="Z107" s="102" t="str">
        <f t="array" ref="Z107">SUM(SUMIFS(INDIRECT($A$3) ,OtrosR!$C$3:$C171,$A108,OtrosR!$B$3:$B171,Z$1))</f>
        <v>#VALUE!</v>
      </c>
      <c r="AA107" s="32" t="str">
        <f t="array" ref="AA107">SUM(SUMIFS(INDIRECT($A$9) ,OtrosR!$C$3:$C171,$A108,OtrosR!$B$3:$B171,Z$1))</f>
        <v>#VALUE!</v>
      </c>
      <c r="AB107" s="104" t="str">
        <f t="shared" ref="AB107:AB116" si="363">IFERROR(Z107-AA107,"")</f>
        <v/>
      </c>
      <c r="AC107" s="99" t="str">
        <f t="array" ref="AC107">SUM(SUMIFS(INDIRECT($A$3) ,OtrosR!$C$3:$C171,$A108,OtrosR!$B$3:$B171,AC$1))</f>
        <v>#VALUE!</v>
      </c>
      <c r="AD107" s="35" t="str">
        <f t="array" ref="AD107">SUM(SUMIFS(INDIRECT($A$9) ,OtrosR!$C$3:$C171,$A108,OtrosR!$B$3:$B171,AC$1))</f>
        <v>#VALUE!</v>
      </c>
      <c r="AE107" s="101" t="str">
        <f t="shared" ref="AE107:AE116" si="364">IFERROR(AC107-AD107,"")</f>
        <v/>
      </c>
      <c r="AF107" s="102" t="str">
        <f t="array" ref="AF107">SUM(SUMIFS(INDIRECT($A$3) ,OtrosR!$C$3:$C171,$A108,OtrosR!$B$3:$B171,AF$1))</f>
        <v>#VALUE!</v>
      </c>
      <c r="AG107" s="32" t="str">
        <f t="array" ref="AG107">SUM(SUMIFS(INDIRECT($A$9) ,OtrosR!$C$3:$C171,$A108,OtrosR!$B$3:$B171,AF$1))</f>
        <v>#VALUE!</v>
      </c>
      <c r="AH107" s="104" t="str">
        <f t="shared" ref="AH107:AH116" si="365">IFERROR(AF107-AG107,"")</f>
        <v/>
      </c>
      <c r="AI107" s="99" t="str">
        <f t="array" ref="AI107">SUM(SUMIFS(INDIRECT($A$3) ,OtrosR!$C$3:$C171,$A108,OtrosR!$B$3:$B171,AI$1))</f>
        <v>#VALUE!</v>
      </c>
      <c r="AJ107" s="35" t="str">
        <f t="array" ref="AJ107">SUM(SUMIFS(INDIRECT($A$9) ,OtrosR!$C$3:$C171,$A108,OtrosR!$B$3:$B171,AI$1))</f>
        <v>#VALUE!</v>
      </c>
      <c r="AK107" s="101" t="str">
        <f t="shared" ref="AK107:AK116" si="366">IFERROR(AI107-AJ107,"")</f>
        <v/>
      </c>
      <c r="AL107" s="102" t="str">
        <f t="array" ref="AL107">SUM(SUMIFS(INDIRECT($A$3) ,OtrosR!$C$3:$C171,$A108,OtrosR!$B$3:$B171,AL$1))</f>
        <v>#VALUE!</v>
      </c>
      <c r="AM107" s="32" t="str">
        <f t="array" ref="AM107">SUM(SUMIFS(INDIRECT($A$9) ,OtrosR!$C$3:$C171,$A108,OtrosR!$B$3:$B171,AL$1))</f>
        <v>#VALUE!</v>
      </c>
      <c r="AN107" s="104" t="str">
        <f t="shared" ref="AN107:AN116" si="367">IFERROR(AL107-AM107,"")</f>
        <v/>
      </c>
      <c r="AO107" s="99" t="str">
        <f t="array" ref="AO107">SUM(SUMIFS(INDIRECT($A$3) ,OtrosR!$C$3:$C171,$A108,OtrosR!$B$3:$B171,AO$1))</f>
        <v>#VALUE!</v>
      </c>
      <c r="AP107" s="35" t="str">
        <f t="array" ref="AP107">SUM(SUMIFS(INDIRECT($A$9) ,OtrosR!$C$3:$C171,$A108,OtrosR!$B$3:$B171,AO$1))</f>
        <v>#VALUE!</v>
      </c>
      <c r="AQ107" s="101" t="str">
        <f t="shared" ref="AQ107:AQ116" si="368">IFERROR(AO107-AP107,"")</f>
        <v/>
      </c>
      <c r="AR107" s="102" t="str">
        <f t="array" ref="AR107">SUM(SUMIFS(INDIRECT($A$3) ,OtrosR!$C$3:$C171,$A108,OtrosR!$B$3:$B171,AR$1))</f>
        <v>#VALUE!</v>
      </c>
      <c r="AS107" s="32" t="str">
        <f t="array" ref="AS107">SUM(SUMIFS(INDIRECT($A$9) ,OtrosR!$C$3:$C171,$A108,OtrosR!$B$3:$B171,AR$1))</f>
        <v>#VALUE!</v>
      </c>
      <c r="AT107" s="104" t="str">
        <f t="shared" ref="AT107:AT116" si="369">IFERROR(AR107-AS107,"")</f>
        <v/>
      </c>
      <c r="AU107" s="99" t="str">
        <f t="array" ref="AU107">SUM(SUMIFS(INDIRECT($A$3) ,OtrosR!$C$3:$C171,$A108,OtrosR!$B$3:$B171,AU$1))</f>
        <v>#VALUE!</v>
      </c>
      <c r="AV107" s="35" t="str">
        <f t="array" ref="AV107">SUM(SUMIFS(INDIRECT($A$9) ,OtrosR!$C$3:$C171,$A108,OtrosR!$B$3:$B171,AU$1))</f>
        <v>#VALUE!</v>
      </c>
      <c r="AW107" s="101" t="str">
        <f t="shared" ref="AW107:AW116" si="370">IFERROR(AU107-AV107,"")</f>
        <v/>
      </c>
      <c r="AX107" s="102" t="str">
        <f t="array" ref="AX107">SUM(SUMIFS(INDIRECT($A$3) ,OtrosR!$C$3:$C171,$A108,OtrosR!$B$3:$B171,AX$1))</f>
        <v>#VALUE!</v>
      </c>
      <c r="AY107" s="32" t="str">
        <f t="array" ref="AY107">SUM(SUMIFS(INDIRECT($A$9) ,OtrosR!$C$3:$C171,$A108,OtrosR!$B$3:$B171,AX$1))</f>
        <v>#VALUE!</v>
      </c>
      <c r="AZ107" s="104" t="str">
        <f t="shared" ref="AZ107:AZ116" si="371">IFERROR(AX107-AY107,"")</f>
        <v/>
      </c>
      <c r="BA107" s="99" t="str">
        <f t="array" ref="BA107">SUM(SUMIFS(INDIRECT($A$3) ,OtrosR!$C$3:$C171,$A108,OtrosR!$B$3:$B171,BA$1))</f>
        <v>#VALUE!</v>
      </c>
      <c r="BB107" s="35" t="str">
        <f t="array" ref="BB107">SUM(SUMIFS(INDIRECT($A$9) ,OtrosR!$C$3:$C171,$A108,OtrosR!$B$3:$B171,BA$1))</f>
        <v>#VALUE!</v>
      </c>
      <c r="BC107" s="101" t="str">
        <f t="shared" ref="BC107:BC116" si="372">IFERROR(BA107-BB107,"")</f>
        <v/>
      </c>
      <c r="BD107" s="102" t="str">
        <f t="array" ref="BD107">SUM(SUMIFS(INDIRECT($A$3) ,OtrosR!$C$3:$C171,$A108,OtrosR!$B$3:$B171,BD$1))</f>
        <v>#VALUE!</v>
      </c>
      <c r="BE107" s="32" t="str">
        <f t="array" ref="BE107">SUM(SUMIFS(INDIRECT($A$9) ,OtrosR!$C$3:$C171,$A108,OtrosR!$B$3:$B171,BD$1))</f>
        <v>#VALUE!</v>
      </c>
      <c r="BF107" s="104" t="str">
        <f t="shared" ref="BF107:BF116" si="373">IFERROR(BD107-BE107,"")</f>
        <v/>
      </c>
      <c r="BG107" s="99" t="str">
        <f t="array" ref="BG107">SUM(SUMIFS(INDIRECT($A$3) ,OtrosR!$C$3:$C171,$A108,OtrosR!$B$3:$B171,BG$1))</f>
        <v>#VALUE!</v>
      </c>
      <c r="BH107" s="35" t="str">
        <f t="array" ref="BH107">SUM(SUMIFS(INDIRECT($A$9) ,OtrosR!$C$3:$C171,$A108,OtrosR!$B$3:$B171,BG$1))</f>
        <v>#VALUE!</v>
      </c>
      <c r="BI107" s="101" t="str">
        <f t="shared" ref="BI107:BI116" si="374">IFERROR(BG107-BH107,"")</f>
        <v/>
      </c>
      <c r="BJ107" s="102" t="str">
        <f t="array" ref="BJ107">SUM(SUMIFS(INDIRECT($A$3) ,OtrosR!$C$3:$C171,$A108,OtrosR!$B$3:$B171,BJ$1))</f>
        <v>#VALUE!</v>
      </c>
      <c r="BK107" s="32" t="str">
        <f t="array" ref="BK107">SUM(SUMIFS(INDIRECT($A$9) ,OtrosR!$C$3:$C171,$A108,OtrosR!$B$3:$B171,BJ$1))</f>
        <v>#VALUE!</v>
      </c>
      <c r="BL107" s="104" t="str">
        <f t="shared" ref="BL107:BL116" si="375">IFERROR(BJ107-BK107,"")</f>
        <v/>
      </c>
      <c r="BM107" s="99" t="str">
        <f t="array" ref="BM107">SUM(SUMIFS(INDIRECT($A$3) ,OtrosR!$C$3:$C171,$A108,OtrosR!$B$3:$B171,BM$1))</f>
        <v>#VALUE!</v>
      </c>
      <c r="BN107" s="35" t="str">
        <f t="array" ref="BN107">SUM(SUMIFS(INDIRECT($A$9) ,OtrosR!$C$3:$C171,$A108,OtrosR!$B$3:$B171,BM$1))</f>
        <v>#VALUE!</v>
      </c>
      <c r="BO107" s="101" t="str">
        <f t="shared" ref="BO107:BO116" si="376">IFERROR(BM107-BN107,"")</f>
        <v/>
      </c>
      <c r="BP107" s="102" t="str">
        <f t="array" ref="BP107">SUM(SUMIFS(INDIRECT($A$3) ,OtrosR!$C$3:$C171,$A108,OtrosR!$B$3:$B171,BP$1))</f>
        <v>#VALUE!</v>
      </c>
      <c r="BQ107" s="32" t="str">
        <f t="array" ref="BQ107">SUM(SUMIFS(INDIRECT($A$9) ,OtrosR!$C$3:$C171,$A108,OtrosR!$B$3:$B171,BP$1))</f>
        <v>#VALUE!</v>
      </c>
      <c r="BR107" s="104" t="str">
        <f t="shared" ref="BR107:BR116" si="377">IFERROR(BP107-BQ107,"")</f>
        <v/>
      </c>
      <c r="BS107" s="99" t="str">
        <f t="array" ref="BS107">SUM(SUMIFS(INDIRECT($A$3) ,OtrosR!$C$3:$C171,$A108,OtrosR!$B$3:$B171,BS$1))</f>
        <v>#VALUE!</v>
      </c>
      <c r="BT107" s="35" t="str">
        <f t="array" ref="BT107">SUM(SUMIFS(INDIRECT($A$9) ,OtrosR!$C$3:$C171,$A108,OtrosR!$B$3:$B171,BS$1))</f>
        <v>#VALUE!</v>
      </c>
      <c r="BU107" s="101" t="str">
        <f t="shared" ref="BU107:BU116" si="378">IFERROR(BS107-BT107,"")</f>
        <v/>
      </c>
      <c r="BV107" s="102" t="str">
        <f t="array" ref="BV107">SUM(SUMIFS(INDIRECT($A$3) ,OtrosR!$C$3:$C171,$A108,OtrosR!$B$3:$B171,BV$1))</f>
        <v>#VALUE!</v>
      </c>
      <c r="BW107" s="32" t="str">
        <f t="array" ref="BW107">SUM(SUMIFS(INDIRECT($A$9) ,OtrosR!$C$3:$C171,$A108,OtrosR!$B$3:$B171,BV$1))</f>
        <v>#VALUE!</v>
      </c>
      <c r="BX107" s="104" t="str">
        <f t="shared" ref="BX107:BX116" si="379">IFERROR(BV107-BW107,"")</f>
        <v/>
      </c>
      <c r="BY107" s="99" t="str">
        <f t="array" ref="BY107">SUM(SUMIFS(INDIRECT($A$3) ,OtrosR!$C$3:$C171,$A108,OtrosR!$B$3:$B171,BY$1))</f>
        <v>#VALUE!</v>
      </c>
      <c r="BZ107" s="35" t="str">
        <f t="array" ref="BZ107">SUM(SUMIFS(INDIRECT($A$9) ,OtrosR!$C$3:$C171,$A108,OtrosR!$B$3:$B171,BY$1))</f>
        <v>#VALUE!</v>
      </c>
      <c r="CA107" s="101" t="str">
        <f t="shared" ref="CA107:CA116" si="380">IFERROR(BY107-BZ107,"")</f>
        <v/>
      </c>
      <c r="CB107" s="102" t="str">
        <f t="array" ref="CB107">SUM(SUMIFS(INDIRECT($A$3) ,OtrosR!$C$3:$C171,$A108,OtrosR!$B$3:$B171,CB$1))</f>
        <v>#VALUE!</v>
      </c>
      <c r="CC107" s="32" t="str">
        <f t="array" ref="CC107">SUM(SUMIFS(INDIRECT($A$9) ,OtrosR!$C$3:$C171,$A108,OtrosR!$B$3:$B171,CB$1))</f>
        <v>#VALUE!</v>
      </c>
      <c r="CD107" s="104" t="str">
        <f t="shared" ref="CD107:CD116" si="381">IFERROR(CB107-CC107,"")</f>
        <v/>
      </c>
      <c r="CE107" s="99" t="str">
        <f t="array" ref="CE107">SUM(SUMIFS(INDIRECT($A$3) ,OtrosR!$C$3:$C171,$A108,OtrosR!$B$3:$B171,CE$1))</f>
        <v>#VALUE!</v>
      </c>
      <c r="CF107" s="35" t="str">
        <f t="array" ref="CF107">SUM(SUMIFS(INDIRECT($A$9) ,OtrosR!$C$3:$C171,$A108,OtrosR!$B$3:$B171,CE$1))</f>
        <v>#VALUE!</v>
      </c>
      <c r="CG107" s="101" t="str">
        <f t="shared" ref="CG107:CG116" si="382">IFERROR(CE107-CF107,"")</f>
        <v/>
      </c>
      <c r="CH107" s="102" t="str">
        <f t="array" ref="CH107">SUM(SUMIFS(INDIRECT($A$3) ,OtrosR!$C$3:$C171,$A108,OtrosR!$B$3:$B171,CH$1))</f>
        <v>#VALUE!</v>
      </c>
      <c r="CI107" s="32" t="str">
        <f t="array" ref="CI107">SUM(SUMIFS(INDIRECT($A$9) ,OtrosR!$C$3:$C171,$A108,OtrosR!$B$3:$B171,CH$1))</f>
        <v>#VALUE!</v>
      </c>
      <c r="CJ107" s="104" t="str">
        <f t="shared" ref="CJ107:CJ116" si="383">IFERROR(CH107-CI107,"")</f>
        <v/>
      </c>
      <c r="CK107" s="99" t="str">
        <f t="array" ref="CK107">SUM(SUMIFS(INDIRECT($A$3) ,OtrosR!$C$3:$C171,$A108,OtrosR!$B$3:$B171,CK$1))</f>
        <v>#VALUE!</v>
      </c>
      <c r="CL107" s="35" t="str">
        <f t="array" ref="CL107">SUM(SUMIFS(INDIRECT($A$9) ,OtrosR!$C$3:$C171,$A108,OtrosR!$B$3:$B171,CK$1))</f>
        <v>#VALUE!</v>
      </c>
      <c r="CM107" s="101" t="str">
        <f t="shared" ref="CM107:CM116" si="384">IFERROR(CK107-CL107,"")</f>
        <v/>
      </c>
      <c r="CN107" s="102" t="str">
        <f t="array" ref="CN107">SUM(SUMIFS(INDIRECT($A$3) ,OtrosR!$C$3:$C171,$A108,OtrosR!$B$3:$B171,CN$1))</f>
        <v>#VALUE!</v>
      </c>
      <c r="CO107" s="32" t="str">
        <f t="array" ref="CO107">SUM(SUMIFS(INDIRECT($A$9) ,OtrosR!$C$3:$C171,$A108,OtrosR!$B$3:$B171,CN$1))</f>
        <v>#VALUE!</v>
      </c>
      <c r="CP107" s="104" t="str">
        <f t="shared" ref="CP107:CP116" si="385">IFERROR(CN107-CO107,"")</f>
        <v/>
      </c>
      <c r="CQ107" s="99" t="str">
        <f t="array" ref="CQ107">SUM(SUMIFS(INDIRECT($A$3) ,OtrosR!$C$3:$C171,$A108,OtrosR!$B$3:$B171,CQ$1))</f>
        <v>#VALUE!</v>
      </c>
      <c r="CR107" s="35" t="str">
        <f t="array" ref="CR107">SUM(SUMIFS(INDIRECT($A$9) ,OtrosR!$C$3:$C171,$A108,OtrosR!$B$3:$B171,CQ$1))</f>
        <v>#VALUE!</v>
      </c>
      <c r="CS107" s="101" t="str">
        <f t="shared" ref="CS107:CS116" si="386">IFERROR(CQ107-CR107,"")</f>
        <v/>
      </c>
      <c r="CT107" s="102" t="str">
        <f t="array" ref="CT107">SUM(SUMIFS(INDIRECT($A$3) ,OtrosR!$C$3:$C171,$A108,OtrosR!$B$3:$B171,CT$1))</f>
        <v>#VALUE!</v>
      </c>
      <c r="CU107" s="32" t="str">
        <f t="array" ref="CU107">SUM(SUMIFS(INDIRECT($A$9) ,OtrosR!$C$3:$C171,$A108,OtrosR!$B$3:$B171,CT$1))</f>
        <v>#VALUE!</v>
      </c>
      <c r="CV107" s="104" t="str">
        <f t="shared" ref="CV107:CV116" si="387">IFERROR(CT107-CU107,"")</f>
        <v/>
      </c>
      <c r="CW107" s="99" t="str">
        <f t="array" ref="CW107">SUM(SUMIFS(INDIRECT($A$3) ,OtrosR!$C$3:$C171,$A108,OtrosR!$B$3:$B171,CW$1))</f>
        <v>#VALUE!</v>
      </c>
      <c r="CX107" s="35" t="str">
        <f t="array" ref="CX107">SUM(SUMIFS(INDIRECT($A$9) ,OtrosR!$C$3:$C171,$A108,OtrosR!$B$3:$B171,CW$1))</f>
        <v>#VALUE!</v>
      </c>
      <c r="CY107" s="101" t="str">
        <f t="shared" ref="CY107:CY116" si="388">IFERROR(CW107-CX107,"")</f>
        <v/>
      </c>
      <c r="CZ107" s="102" t="str">
        <f t="array" ref="CZ107">SUM(SUMIFS(INDIRECT($A$3) ,OtrosR!$C$3:$C171,$A108,OtrosR!$B$3:$B171,CZ$1))</f>
        <v>#VALUE!</v>
      </c>
      <c r="DA107" s="32" t="str">
        <f t="array" ref="DA107">SUM(SUMIFS(INDIRECT($A$9) ,OtrosR!$C$3:$C171,$A108,OtrosR!$B$3:$B171,CZ$1))</f>
        <v>#VALUE!</v>
      </c>
      <c r="DB107" s="104" t="str">
        <f t="shared" ref="DB107:DB116" si="389">IFERROR(CZ107-DA107,"")</f>
        <v/>
      </c>
      <c r="DC107" s="99" t="str">
        <f t="array" ref="DC107">SUM(SUMIFS(INDIRECT($A$3) ,OtrosR!$C$3:$C171,$A108,OtrosR!$B$3:$B171,DC$1))</f>
        <v>#VALUE!</v>
      </c>
      <c r="DD107" s="35" t="str">
        <f t="array" ref="DD107">SUM(SUMIFS(INDIRECT($A$9) ,OtrosR!$C$3:$C171,$A108,OtrosR!$B$3:$B171,DC$1))</f>
        <v>#VALUE!</v>
      </c>
      <c r="DE107" s="101" t="str">
        <f t="shared" ref="DE107:DE116" si="390">IFERROR(DC107-DD107,"")</f>
        <v/>
      </c>
      <c r="DF107" s="102" t="str">
        <f t="array" ref="DF107">SUM(SUMIFS(INDIRECT($A$3) ,OtrosR!$C$3:$C171,$A108,OtrosR!$B$3:$B171,DF$1))</f>
        <v>#VALUE!</v>
      </c>
      <c r="DG107" s="32" t="str">
        <f t="array" ref="DG107">SUM(SUMIFS(INDIRECT($A$9) ,OtrosR!$C$3:$C171,$A108,OtrosR!$B$3:$B171,DF$1))</f>
        <v>#VALUE!</v>
      </c>
      <c r="DH107" s="104" t="str">
        <f t="shared" ref="DH107:DH116" si="391">IFERROR(DF107-DG107,"")</f>
        <v/>
      </c>
      <c r="DI107" s="99" t="str">
        <f t="array" ref="DI107">SUM(SUMIFS(INDIRECT($A$3) ,OtrosR!$C$3:$C171,$A108,OtrosR!$B$3:$B171,DI$1))</f>
        <v>#VALUE!</v>
      </c>
      <c r="DJ107" s="35" t="str">
        <f t="array" ref="DJ107">SUM(SUMIFS(INDIRECT($A$9) ,OtrosR!$C$3:$C171,$A108,OtrosR!$B$3:$B171,DI$1))</f>
        <v>#VALUE!</v>
      </c>
      <c r="DK107" s="101" t="str">
        <f t="shared" ref="DK107:DK116" si="392">IFERROR(DI107-DJ107,"")</f>
        <v/>
      </c>
      <c r="DL107" s="102" t="str">
        <f t="array" ref="DL107">SUM(SUMIFS(INDIRECT($A$3) ,OtrosR!$C$3:$C171,$A108,OtrosR!$B$3:$B171,DL$1))</f>
        <v>#VALUE!</v>
      </c>
      <c r="DM107" s="32" t="str">
        <f t="array" ref="DM107">SUM(SUMIFS(INDIRECT($A$9) ,OtrosR!$C$3:$C171,$A108,OtrosR!$B$3:$B171,DL$1))</f>
        <v>#VALUE!</v>
      </c>
      <c r="DN107" s="104" t="str">
        <f t="shared" ref="DN107:DN116" si="393">IFERROR(DL107-DM107,"")</f>
        <v/>
      </c>
      <c r="DO107" s="99" t="str">
        <f t="array" ref="DO107">SUM(SUMIFS(INDIRECT($A$3) ,OtrosR!$C$3:$C171,$A108,OtrosR!$B$3:$B171,DO$1))</f>
        <v>#VALUE!</v>
      </c>
      <c r="DP107" s="35" t="str">
        <f t="array" ref="DP107">SUM(SUMIFS(INDIRECT($A$9) ,OtrosR!$C$3:$C171,$A108,OtrosR!$B$3:$B171,DO$1))</f>
        <v>#VALUE!</v>
      </c>
      <c r="DQ107" s="101" t="str">
        <f t="shared" ref="DQ107:DQ116" si="394">IFERROR(DO107-DP107,"")</f>
        <v/>
      </c>
      <c r="DR107" s="102" t="str">
        <f t="array" ref="DR107">SUM(SUMIFS(INDIRECT($A$3) ,OtrosR!$C$3:$C171,$A108,OtrosR!$B$3:$B171,DR$1))</f>
        <v>#VALUE!</v>
      </c>
      <c r="DS107" s="32" t="str">
        <f t="array" ref="DS107">SUM(SUMIFS(INDIRECT($A$9) ,OtrosR!$C$3:$C171,$A108,OtrosR!$B$3:$B171,DR$1))</f>
        <v>#VALUE!</v>
      </c>
      <c r="DT107" s="104" t="str">
        <f t="shared" ref="DT107:DT116" si="395">IFERROR(DR107-DS107,"")</f>
        <v/>
      </c>
    </row>
    <row r="108" ht="15.75" customHeight="1">
      <c r="A108" s="40" t="str">
        <f>Menus!Q3</f>
        <v/>
      </c>
      <c r="B108" s="32" t="str">
        <f t="shared" si="353"/>
        <v>#VALUE!</v>
      </c>
      <c r="C108" s="32" t="str">
        <f t="shared" si="354"/>
        <v>#VALUE!</v>
      </c>
      <c r="D108" s="32" t="str">
        <f t="shared" si="355"/>
        <v>#VALUE!</v>
      </c>
      <c r="E108" s="106" t="str">
        <f t="array" ref="E108">SUM(SUMIFS(INDIRECT($A$3) ,OtrosR!$C$3:$C171,$A109,OtrosR!$B$3:$B171,E$1))</f>
        <v>#VALUE!</v>
      </c>
      <c r="F108" s="51" t="str">
        <f t="array" ref="F108">SUM(SUMIFS(INDIRECT($A$9) ,OtrosR!$C$3:$C171,$A109,OtrosR!$B$3:$B171,E$1))</f>
        <v>#VALUE!</v>
      </c>
      <c r="G108" s="95" t="str">
        <f t="shared" si="356"/>
        <v/>
      </c>
      <c r="H108" s="96" t="str">
        <f t="array" ref="H108">SUM(SUMIFS(INDIRECT($A$3) ,OtrosR!$C$3:$C171,$A108,OtrosR!$B$3:$B171,H$1))</f>
        <v>#VALUE!</v>
      </c>
      <c r="I108" s="34" t="str">
        <f t="array" ref="I108">SUM(SUMIFS(INDIRECT($A$9) ,OtrosR!$C$3:$C171,$A109,OtrosR!$B$3:$B171,H$1))</f>
        <v>#VALUE!</v>
      </c>
      <c r="J108" s="98" t="str">
        <f t="shared" si="357"/>
        <v/>
      </c>
      <c r="K108" s="99" t="str">
        <f t="array" ref="K108">SUM(SUMIFS(INDIRECT($A$3) ,OtrosR!$C$3:$C171,$A109,OtrosR!$B$3:$B171,K$1))</f>
        <v>#VALUE!</v>
      </c>
      <c r="L108" s="35" t="str">
        <f t="array" ref="L108">SUM(SUMIFS(INDIRECT($A$9) ,OtrosR!$C$3:$C171,$A109,OtrosR!$B$3:$B171,K$1))</f>
        <v>#VALUE!</v>
      </c>
      <c r="M108" s="101" t="str">
        <f t="shared" si="358"/>
        <v/>
      </c>
      <c r="N108" s="102" t="str">
        <f t="array" ref="N108">SUM(SUMIFS(INDIRECT($A$3) ,OtrosR!$C$3:$C171,$A109,OtrosR!$B$3:$B171,N$1))</f>
        <v>#VALUE!</v>
      </c>
      <c r="O108" s="32" t="str">
        <f t="array" ref="O108">SUM(SUMIFS(INDIRECT($A$9) ,OtrosR!$C$3:$C171,$A109,OtrosR!$B$3:$B171,N$1))</f>
        <v>#VALUE!</v>
      </c>
      <c r="P108" s="104" t="str">
        <f t="shared" si="359"/>
        <v/>
      </c>
      <c r="Q108" s="99" t="str">
        <f t="array" ref="Q108">SUM(SUMIFS(INDIRECT($A$3) ,OtrosR!$C$3:$C171,$A109,OtrosR!$B$3:$B171,Q$1))</f>
        <v>#VALUE!</v>
      </c>
      <c r="R108" s="35" t="str">
        <f t="array" ref="R108">SUM(SUMIFS(INDIRECT($A$9) ,OtrosR!$C$3:$C171,$A109,OtrosR!$B$3:$B171,Q$1))</f>
        <v>#VALUE!</v>
      </c>
      <c r="S108" s="101" t="str">
        <f t="shared" si="360"/>
        <v/>
      </c>
      <c r="T108" s="102" t="str">
        <f t="array" ref="T108">SUM(SUMIFS(INDIRECT($A$3) ,OtrosR!$C$3:$C171,$A109,OtrosR!$B$3:$B171,T$1))</f>
        <v>#VALUE!</v>
      </c>
      <c r="U108" s="32" t="str">
        <f t="array" ref="U108">SUM(SUMIFS(INDIRECT($A$9) ,OtrosR!$C$3:$C171,$A109,OtrosR!$B$3:$B171,T$1))</f>
        <v>#VALUE!</v>
      </c>
      <c r="V108" s="104" t="str">
        <f t="shared" si="361"/>
        <v/>
      </c>
      <c r="W108" s="99" t="str">
        <f t="array" ref="W108">SUM(SUMIFS(INDIRECT($A$3) ,OtrosR!$C$3:$C171,$A109,OtrosR!$B$3:$B171,W$1))</f>
        <v>#VALUE!</v>
      </c>
      <c r="X108" s="35" t="str">
        <f t="array" ref="X108">SUM(SUMIFS(INDIRECT($A$9) ,OtrosR!$C$3:$C171,$A109,OtrosR!$B$3:$B171,W$1))</f>
        <v>#VALUE!</v>
      </c>
      <c r="Y108" s="101" t="str">
        <f t="shared" si="362"/>
        <v/>
      </c>
      <c r="Z108" s="102" t="str">
        <f t="array" ref="Z108">SUM(SUMIFS(INDIRECT($A$3) ,OtrosR!$C$3:$C171,$A109,OtrosR!$B$3:$B171,Z$1))</f>
        <v>#VALUE!</v>
      </c>
      <c r="AA108" s="32" t="str">
        <f t="array" ref="AA108">SUM(SUMIFS(INDIRECT($A$9) ,OtrosR!$C$3:$C171,$A109,OtrosR!$B$3:$B171,Z$1))</f>
        <v>#VALUE!</v>
      </c>
      <c r="AB108" s="104" t="str">
        <f t="shared" si="363"/>
        <v/>
      </c>
      <c r="AC108" s="99" t="str">
        <f t="array" ref="AC108">SUM(SUMIFS(INDIRECT($A$3) ,OtrosR!$C$3:$C171,$A109,OtrosR!$B$3:$B171,AC$1))</f>
        <v>#VALUE!</v>
      </c>
      <c r="AD108" s="35" t="str">
        <f t="array" ref="AD108">SUM(SUMIFS(INDIRECT($A$9) ,OtrosR!$C$3:$C171,$A109,OtrosR!$B$3:$B171,AC$1))</f>
        <v>#VALUE!</v>
      </c>
      <c r="AE108" s="101" t="str">
        <f t="shared" si="364"/>
        <v/>
      </c>
      <c r="AF108" s="102" t="str">
        <f t="array" ref="AF108">SUM(SUMIFS(INDIRECT($A$3) ,OtrosR!$C$3:$C171,$A109,OtrosR!$B$3:$B171,AF$1))</f>
        <v>#VALUE!</v>
      </c>
      <c r="AG108" s="32" t="str">
        <f t="array" ref="AG108">SUM(SUMIFS(INDIRECT($A$9) ,OtrosR!$C$3:$C171,$A109,OtrosR!$B$3:$B171,AF$1))</f>
        <v>#VALUE!</v>
      </c>
      <c r="AH108" s="104" t="str">
        <f t="shared" si="365"/>
        <v/>
      </c>
      <c r="AI108" s="99" t="str">
        <f t="array" ref="AI108">SUM(SUMIFS(INDIRECT($A$3) ,OtrosR!$C$3:$C171,$A109,OtrosR!$B$3:$B171,AI$1))</f>
        <v>#VALUE!</v>
      </c>
      <c r="AJ108" s="35" t="str">
        <f t="array" ref="AJ108">SUM(SUMIFS(INDIRECT($A$9) ,OtrosR!$C$3:$C171,$A109,OtrosR!$B$3:$B171,AI$1))</f>
        <v>#VALUE!</v>
      </c>
      <c r="AK108" s="101" t="str">
        <f t="shared" si="366"/>
        <v/>
      </c>
      <c r="AL108" s="102" t="str">
        <f t="array" ref="AL108">SUM(SUMIFS(INDIRECT($A$3) ,OtrosR!$C$3:$C171,$A109,OtrosR!$B$3:$B171,AL$1))</f>
        <v>#VALUE!</v>
      </c>
      <c r="AM108" s="32" t="str">
        <f t="array" ref="AM108">SUM(SUMIFS(INDIRECT($A$9) ,OtrosR!$C$3:$C171,$A109,OtrosR!$B$3:$B171,AL$1))</f>
        <v>#VALUE!</v>
      </c>
      <c r="AN108" s="104" t="str">
        <f t="shared" si="367"/>
        <v/>
      </c>
      <c r="AO108" s="99" t="str">
        <f t="array" ref="AO108">SUM(SUMIFS(INDIRECT($A$3) ,OtrosR!$C$3:$C171,$A109,OtrosR!$B$3:$B171,AO$1))</f>
        <v>#VALUE!</v>
      </c>
      <c r="AP108" s="35" t="str">
        <f t="array" ref="AP108">SUM(SUMIFS(INDIRECT($A$9) ,OtrosR!$C$3:$C171,$A109,OtrosR!$B$3:$B171,AO$1))</f>
        <v>#VALUE!</v>
      </c>
      <c r="AQ108" s="101" t="str">
        <f t="shared" si="368"/>
        <v/>
      </c>
      <c r="AR108" s="102" t="str">
        <f t="array" ref="AR108">SUM(SUMIFS(INDIRECT($A$3) ,OtrosR!$C$3:$C171,$A109,OtrosR!$B$3:$B171,AR$1))</f>
        <v>#VALUE!</v>
      </c>
      <c r="AS108" s="32" t="str">
        <f t="array" ref="AS108">SUM(SUMIFS(INDIRECT($A$9) ,OtrosR!$C$3:$C171,$A109,OtrosR!$B$3:$B171,AR$1))</f>
        <v>#VALUE!</v>
      </c>
      <c r="AT108" s="104" t="str">
        <f t="shared" si="369"/>
        <v/>
      </c>
      <c r="AU108" s="99" t="str">
        <f t="array" ref="AU108">SUM(SUMIFS(INDIRECT($A$3) ,OtrosR!$C$3:$C171,$A109,OtrosR!$B$3:$B171,AU$1))</f>
        <v>#VALUE!</v>
      </c>
      <c r="AV108" s="35" t="str">
        <f t="array" ref="AV108">SUM(SUMIFS(INDIRECT($A$9) ,OtrosR!$C$3:$C171,$A109,OtrosR!$B$3:$B171,AU$1))</f>
        <v>#VALUE!</v>
      </c>
      <c r="AW108" s="101" t="str">
        <f t="shared" si="370"/>
        <v/>
      </c>
      <c r="AX108" s="102" t="str">
        <f t="array" ref="AX108">SUM(SUMIFS(INDIRECT($A$3) ,OtrosR!$C$3:$C171,$A109,OtrosR!$B$3:$B171,AX$1))</f>
        <v>#VALUE!</v>
      </c>
      <c r="AY108" s="32" t="str">
        <f t="array" ref="AY108">SUM(SUMIFS(INDIRECT($A$9) ,OtrosR!$C$3:$C171,$A109,OtrosR!$B$3:$B171,AX$1))</f>
        <v>#VALUE!</v>
      </c>
      <c r="AZ108" s="104" t="str">
        <f t="shared" si="371"/>
        <v/>
      </c>
      <c r="BA108" s="99" t="str">
        <f t="array" ref="BA108">SUM(SUMIFS(INDIRECT($A$3) ,OtrosR!$C$3:$C171,$A109,OtrosR!$B$3:$B171,BA$1))</f>
        <v>#VALUE!</v>
      </c>
      <c r="BB108" s="35" t="str">
        <f t="array" ref="BB108">SUM(SUMIFS(INDIRECT($A$9) ,OtrosR!$C$3:$C171,$A109,OtrosR!$B$3:$B171,BA$1))</f>
        <v>#VALUE!</v>
      </c>
      <c r="BC108" s="101" t="str">
        <f t="shared" si="372"/>
        <v/>
      </c>
      <c r="BD108" s="102" t="str">
        <f t="array" ref="BD108">SUM(SUMIFS(INDIRECT($A$3) ,OtrosR!$C$3:$C171,$A109,OtrosR!$B$3:$B171,BD$1))</f>
        <v>#VALUE!</v>
      </c>
      <c r="BE108" s="32" t="str">
        <f t="array" ref="BE108">SUM(SUMIFS(INDIRECT($A$9) ,OtrosR!$C$3:$C171,$A109,OtrosR!$B$3:$B171,BD$1))</f>
        <v>#VALUE!</v>
      </c>
      <c r="BF108" s="104" t="str">
        <f t="shared" si="373"/>
        <v/>
      </c>
      <c r="BG108" s="99" t="str">
        <f t="array" ref="BG108">SUM(SUMIFS(INDIRECT($A$3) ,OtrosR!$C$3:$C171,$A109,OtrosR!$B$3:$B171,BG$1))</f>
        <v>#VALUE!</v>
      </c>
      <c r="BH108" s="35" t="str">
        <f t="array" ref="BH108">SUM(SUMIFS(INDIRECT($A$9) ,OtrosR!$C$3:$C171,$A109,OtrosR!$B$3:$B171,BG$1))</f>
        <v>#VALUE!</v>
      </c>
      <c r="BI108" s="101" t="str">
        <f t="shared" si="374"/>
        <v/>
      </c>
      <c r="BJ108" s="102" t="str">
        <f t="array" ref="BJ108">SUM(SUMIFS(INDIRECT($A$3) ,OtrosR!$C$3:$C171,$A109,OtrosR!$B$3:$B171,BJ$1))</f>
        <v>#VALUE!</v>
      </c>
      <c r="BK108" s="32" t="str">
        <f t="array" ref="BK108">SUM(SUMIFS(INDIRECT($A$9) ,OtrosR!$C$3:$C171,$A109,OtrosR!$B$3:$B171,BJ$1))</f>
        <v>#VALUE!</v>
      </c>
      <c r="BL108" s="104" t="str">
        <f t="shared" si="375"/>
        <v/>
      </c>
      <c r="BM108" s="99" t="str">
        <f t="array" ref="BM108">SUM(SUMIFS(INDIRECT($A$3) ,OtrosR!$C$3:$C171,$A109,OtrosR!$B$3:$B171,BM$1))</f>
        <v>#VALUE!</v>
      </c>
      <c r="BN108" s="35" t="str">
        <f t="array" ref="BN108">SUM(SUMIFS(INDIRECT($A$9) ,OtrosR!$C$3:$C171,$A109,OtrosR!$B$3:$B171,BM$1))</f>
        <v>#VALUE!</v>
      </c>
      <c r="BO108" s="101" t="str">
        <f t="shared" si="376"/>
        <v/>
      </c>
      <c r="BP108" s="102" t="str">
        <f t="array" ref="BP108">SUM(SUMIFS(INDIRECT($A$3) ,OtrosR!$C$3:$C171,$A109,OtrosR!$B$3:$B171,BP$1))</f>
        <v>#VALUE!</v>
      </c>
      <c r="BQ108" s="32" t="str">
        <f t="array" ref="BQ108">SUM(SUMIFS(INDIRECT($A$9) ,OtrosR!$C$3:$C171,$A109,OtrosR!$B$3:$B171,BP$1))</f>
        <v>#VALUE!</v>
      </c>
      <c r="BR108" s="104" t="str">
        <f t="shared" si="377"/>
        <v/>
      </c>
      <c r="BS108" s="99" t="str">
        <f t="array" ref="BS108">SUM(SUMIFS(INDIRECT($A$3) ,OtrosR!$C$3:$C171,$A109,OtrosR!$B$3:$B171,BS$1))</f>
        <v>#VALUE!</v>
      </c>
      <c r="BT108" s="35" t="str">
        <f t="array" ref="BT108">SUM(SUMIFS(INDIRECT($A$9) ,OtrosR!$C$3:$C171,$A109,OtrosR!$B$3:$B171,BS$1))</f>
        <v>#VALUE!</v>
      </c>
      <c r="BU108" s="101" t="str">
        <f t="shared" si="378"/>
        <v/>
      </c>
      <c r="BV108" s="102" t="str">
        <f t="array" ref="BV108">SUM(SUMIFS(INDIRECT($A$3) ,OtrosR!$C$3:$C171,$A109,OtrosR!$B$3:$B171,BV$1))</f>
        <v>#VALUE!</v>
      </c>
      <c r="BW108" s="32" t="str">
        <f t="array" ref="BW108">SUM(SUMIFS(INDIRECT($A$9) ,OtrosR!$C$3:$C171,$A109,OtrosR!$B$3:$B171,BV$1))</f>
        <v>#VALUE!</v>
      </c>
      <c r="BX108" s="104" t="str">
        <f t="shared" si="379"/>
        <v/>
      </c>
      <c r="BY108" s="99" t="str">
        <f t="array" ref="BY108">SUM(SUMIFS(INDIRECT($A$3) ,OtrosR!$C$3:$C171,$A109,OtrosR!$B$3:$B171,BY$1))</f>
        <v>#VALUE!</v>
      </c>
      <c r="BZ108" s="35" t="str">
        <f t="array" ref="BZ108">SUM(SUMIFS(INDIRECT($A$9) ,OtrosR!$C$3:$C171,$A109,OtrosR!$B$3:$B171,BY$1))</f>
        <v>#VALUE!</v>
      </c>
      <c r="CA108" s="101" t="str">
        <f t="shared" si="380"/>
        <v/>
      </c>
      <c r="CB108" s="102" t="str">
        <f t="array" ref="CB108">SUM(SUMIFS(INDIRECT($A$3) ,OtrosR!$C$3:$C171,$A109,OtrosR!$B$3:$B171,CB$1))</f>
        <v>#VALUE!</v>
      </c>
      <c r="CC108" s="32" t="str">
        <f t="array" ref="CC108">SUM(SUMIFS(INDIRECT($A$9) ,OtrosR!$C$3:$C171,$A109,OtrosR!$B$3:$B171,CB$1))</f>
        <v>#VALUE!</v>
      </c>
      <c r="CD108" s="104" t="str">
        <f t="shared" si="381"/>
        <v/>
      </c>
      <c r="CE108" s="99" t="str">
        <f t="array" ref="CE108">SUM(SUMIFS(INDIRECT($A$3) ,OtrosR!$C$3:$C171,$A109,OtrosR!$B$3:$B171,CE$1))</f>
        <v>#VALUE!</v>
      </c>
      <c r="CF108" s="35" t="str">
        <f t="array" ref="CF108">SUM(SUMIFS(INDIRECT($A$9) ,OtrosR!$C$3:$C171,$A109,OtrosR!$B$3:$B171,CE$1))</f>
        <v>#VALUE!</v>
      </c>
      <c r="CG108" s="101" t="str">
        <f t="shared" si="382"/>
        <v/>
      </c>
      <c r="CH108" s="102" t="str">
        <f t="array" ref="CH108">SUM(SUMIFS(INDIRECT($A$3) ,OtrosR!$C$3:$C171,$A109,OtrosR!$B$3:$B171,CH$1))</f>
        <v>#VALUE!</v>
      </c>
      <c r="CI108" s="32" t="str">
        <f t="array" ref="CI108">SUM(SUMIFS(INDIRECT($A$9) ,OtrosR!$C$3:$C171,$A109,OtrosR!$B$3:$B171,CH$1))</f>
        <v>#VALUE!</v>
      </c>
      <c r="CJ108" s="104" t="str">
        <f t="shared" si="383"/>
        <v/>
      </c>
      <c r="CK108" s="99" t="str">
        <f t="array" ref="CK108">SUM(SUMIFS(INDIRECT($A$3) ,OtrosR!$C$3:$C171,$A109,OtrosR!$B$3:$B171,CK$1))</f>
        <v>#VALUE!</v>
      </c>
      <c r="CL108" s="35" t="str">
        <f t="array" ref="CL108">SUM(SUMIFS(INDIRECT($A$9) ,OtrosR!$C$3:$C171,$A109,OtrosR!$B$3:$B171,CK$1))</f>
        <v>#VALUE!</v>
      </c>
      <c r="CM108" s="101" t="str">
        <f t="shared" si="384"/>
        <v/>
      </c>
      <c r="CN108" s="102" t="str">
        <f t="array" ref="CN108">SUM(SUMIFS(INDIRECT($A$3) ,OtrosR!$C$3:$C171,$A109,OtrosR!$B$3:$B171,CN$1))</f>
        <v>#VALUE!</v>
      </c>
      <c r="CO108" s="32" t="str">
        <f t="array" ref="CO108">SUM(SUMIFS(INDIRECT($A$9) ,OtrosR!$C$3:$C171,$A109,OtrosR!$B$3:$B171,CN$1))</f>
        <v>#VALUE!</v>
      </c>
      <c r="CP108" s="104" t="str">
        <f t="shared" si="385"/>
        <v/>
      </c>
      <c r="CQ108" s="99" t="str">
        <f t="array" ref="CQ108">SUM(SUMIFS(INDIRECT($A$3) ,OtrosR!$C$3:$C171,$A109,OtrosR!$B$3:$B171,CQ$1))</f>
        <v>#VALUE!</v>
      </c>
      <c r="CR108" s="35" t="str">
        <f t="array" ref="CR108">SUM(SUMIFS(INDIRECT($A$9) ,OtrosR!$C$3:$C171,$A109,OtrosR!$B$3:$B171,CQ$1))</f>
        <v>#VALUE!</v>
      </c>
      <c r="CS108" s="101" t="str">
        <f t="shared" si="386"/>
        <v/>
      </c>
      <c r="CT108" s="102" t="str">
        <f t="array" ref="CT108">SUM(SUMIFS(INDIRECT($A$3) ,OtrosR!$C$3:$C171,$A109,OtrosR!$B$3:$B171,CT$1))</f>
        <v>#VALUE!</v>
      </c>
      <c r="CU108" s="32" t="str">
        <f t="array" ref="CU108">SUM(SUMIFS(INDIRECT($A$9) ,OtrosR!$C$3:$C171,$A109,OtrosR!$B$3:$B171,CT$1))</f>
        <v>#VALUE!</v>
      </c>
      <c r="CV108" s="104" t="str">
        <f t="shared" si="387"/>
        <v/>
      </c>
      <c r="CW108" s="99" t="str">
        <f t="array" ref="CW108">SUM(SUMIFS(INDIRECT($A$3) ,OtrosR!$C$3:$C171,$A109,OtrosR!$B$3:$B171,CW$1))</f>
        <v>#VALUE!</v>
      </c>
      <c r="CX108" s="35" t="str">
        <f t="array" ref="CX108">SUM(SUMIFS(INDIRECT($A$9) ,OtrosR!$C$3:$C171,$A109,OtrosR!$B$3:$B171,CW$1))</f>
        <v>#VALUE!</v>
      </c>
      <c r="CY108" s="101" t="str">
        <f t="shared" si="388"/>
        <v/>
      </c>
      <c r="CZ108" s="102" t="str">
        <f t="array" ref="CZ108">SUM(SUMIFS(INDIRECT($A$3) ,OtrosR!$C$3:$C171,$A109,OtrosR!$B$3:$B171,CZ$1))</f>
        <v>#VALUE!</v>
      </c>
      <c r="DA108" s="32" t="str">
        <f t="array" ref="DA108">SUM(SUMIFS(INDIRECT($A$9) ,OtrosR!$C$3:$C171,$A109,OtrosR!$B$3:$B171,CZ$1))</f>
        <v>#VALUE!</v>
      </c>
      <c r="DB108" s="104" t="str">
        <f t="shared" si="389"/>
        <v/>
      </c>
      <c r="DC108" s="99" t="str">
        <f t="array" ref="DC108">SUM(SUMIFS(INDIRECT($A$3) ,OtrosR!$C$3:$C171,$A109,OtrosR!$B$3:$B171,DC$1))</f>
        <v>#VALUE!</v>
      </c>
      <c r="DD108" s="35" t="str">
        <f t="array" ref="DD108">SUM(SUMIFS(INDIRECT($A$9) ,OtrosR!$C$3:$C171,$A109,OtrosR!$B$3:$B171,DC$1))</f>
        <v>#VALUE!</v>
      </c>
      <c r="DE108" s="101" t="str">
        <f t="shared" si="390"/>
        <v/>
      </c>
      <c r="DF108" s="102" t="str">
        <f t="array" ref="DF108">SUM(SUMIFS(INDIRECT($A$3) ,OtrosR!$C$3:$C171,$A109,OtrosR!$B$3:$B171,DF$1))</f>
        <v>#VALUE!</v>
      </c>
      <c r="DG108" s="32" t="str">
        <f t="array" ref="DG108">SUM(SUMIFS(INDIRECT($A$9) ,OtrosR!$C$3:$C171,$A109,OtrosR!$B$3:$B171,DF$1))</f>
        <v>#VALUE!</v>
      </c>
      <c r="DH108" s="104" t="str">
        <f t="shared" si="391"/>
        <v/>
      </c>
      <c r="DI108" s="99" t="str">
        <f t="array" ref="DI108">SUM(SUMIFS(INDIRECT($A$3) ,OtrosR!$C$3:$C171,$A109,OtrosR!$B$3:$B171,DI$1))</f>
        <v>#VALUE!</v>
      </c>
      <c r="DJ108" s="35" t="str">
        <f t="array" ref="DJ108">SUM(SUMIFS(INDIRECT($A$9) ,OtrosR!$C$3:$C171,$A109,OtrosR!$B$3:$B171,DI$1))</f>
        <v>#VALUE!</v>
      </c>
      <c r="DK108" s="101" t="str">
        <f t="shared" si="392"/>
        <v/>
      </c>
      <c r="DL108" s="102" t="str">
        <f t="array" ref="DL108">SUM(SUMIFS(INDIRECT($A$3) ,OtrosR!$C$3:$C171,$A109,OtrosR!$B$3:$B171,DL$1))</f>
        <v>#VALUE!</v>
      </c>
      <c r="DM108" s="32" t="str">
        <f t="array" ref="DM108">SUM(SUMIFS(INDIRECT($A$9) ,OtrosR!$C$3:$C171,$A109,OtrosR!$B$3:$B171,DL$1))</f>
        <v>#VALUE!</v>
      </c>
      <c r="DN108" s="104" t="str">
        <f t="shared" si="393"/>
        <v/>
      </c>
      <c r="DO108" s="99" t="str">
        <f t="array" ref="DO108">SUM(SUMIFS(INDIRECT($A$3) ,OtrosR!$C$3:$C171,$A109,OtrosR!$B$3:$B171,DO$1))</f>
        <v>#VALUE!</v>
      </c>
      <c r="DP108" s="35" t="str">
        <f t="array" ref="DP108">SUM(SUMIFS(INDIRECT($A$9) ,OtrosR!$C$3:$C171,$A109,OtrosR!$B$3:$B171,DO$1))</f>
        <v>#VALUE!</v>
      </c>
      <c r="DQ108" s="101" t="str">
        <f t="shared" si="394"/>
        <v/>
      </c>
      <c r="DR108" s="102" t="str">
        <f t="array" ref="DR108">SUM(SUMIFS(INDIRECT($A$3) ,OtrosR!$C$3:$C171,$A109,OtrosR!$B$3:$B171,DR$1))</f>
        <v>#VALUE!</v>
      </c>
      <c r="DS108" s="32" t="str">
        <f t="array" ref="DS108">SUM(SUMIFS(INDIRECT($A$9) ,OtrosR!$C$3:$C171,$A109,OtrosR!$B$3:$B171,DR$1))</f>
        <v>#VALUE!</v>
      </c>
      <c r="DT108" s="104" t="str">
        <f t="shared" si="395"/>
        <v/>
      </c>
    </row>
    <row r="109" ht="15.75" customHeight="1">
      <c r="A109" s="40" t="str">
        <f>Menus!Q4</f>
        <v/>
      </c>
      <c r="B109" s="32" t="str">
        <f t="shared" si="353"/>
        <v>#VALUE!</v>
      </c>
      <c r="C109" s="32" t="str">
        <f t="shared" si="354"/>
        <v>#VALUE!</v>
      </c>
      <c r="D109" s="32" t="str">
        <f t="shared" si="355"/>
        <v>#VALUE!</v>
      </c>
      <c r="E109" s="106" t="str">
        <f t="array" ref="E109">SUM(SUMIFS(INDIRECT($A$3) ,OtrosR!$C$3:$C171,$A110,OtrosR!$B$3:$B171,E$1))</f>
        <v>#VALUE!</v>
      </c>
      <c r="F109" s="51" t="str">
        <f t="array" ref="F109">SUM(SUMIFS(INDIRECT($A$9) ,OtrosR!$C$3:$C171,$A110,OtrosR!$B$3:$B171,E$1))</f>
        <v>#VALUE!</v>
      </c>
      <c r="G109" s="95" t="str">
        <f t="shared" si="356"/>
        <v/>
      </c>
      <c r="H109" s="96" t="str">
        <f t="array" ref="H109">SUM(SUMIFS(INDIRECT($A$3) ,OtrosR!$C$3:$C171,$A109,OtrosR!$B$3:$B171,H$1))</f>
        <v>#VALUE!</v>
      </c>
      <c r="I109" s="34" t="str">
        <f t="array" ref="I109">SUM(SUMIFS(INDIRECT($A$9) ,OtrosR!$C$3:$C171,$A110,OtrosR!$B$3:$B171,H$1))</f>
        <v>#VALUE!</v>
      </c>
      <c r="J109" s="98" t="str">
        <f t="shared" si="357"/>
        <v/>
      </c>
      <c r="K109" s="99" t="str">
        <f t="array" ref="K109">SUM(SUMIFS(INDIRECT($A$3) ,OtrosR!$C$3:$C171,$A110,OtrosR!$B$3:$B171,K$1))</f>
        <v>#VALUE!</v>
      </c>
      <c r="L109" s="35" t="str">
        <f t="array" ref="L109">SUM(SUMIFS(INDIRECT($A$9) ,OtrosR!$C$3:$C171,$A110,OtrosR!$B$3:$B171,K$1))</f>
        <v>#VALUE!</v>
      </c>
      <c r="M109" s="101" t="str">
        <f t="shared" si="358"/>
        <v/>
      </c>
      <c r="N109" s="102" t="str">
        <f t="array" ref="N109">SUM(SUMIFS(INDIRECT($A$3) ,OtrosR!$C$3:$C171,$A110,OtrosR!$B$3:$B171,N$1))</f>
        <v>#VALUE!</v>
      </c>
      <c r="O109" s="32" t="str">
        <f t="array" ref="O109">SUM(SUMIFS(INDIRECT($A$9) ,OtrosR!$C$3:$C171,$A110,OtrosR!$B$3:$B171,N$1))</f>
        <v>#VALUE!</v>
      </c>
      <c r="P109" s="104" t="str">
        <f t="shared" si="359"/>
        <v/>
      </c>
      <c r="Q109" s="99" t="str">
        <f t="array" ref="Q109">SUM(SUMIFS(INDIRECT($A$3) ,OtrosR!$C$3:$C171,$A110,OtrosR!$B$3:$B171,Q$1))</f>
        <v>#VALUE!</v>
      </c>
      <c r="R109" s="35" t="str">
        <f t="array" ref="R109">SUM(SUMIFS(INDIRECT($A$9) ,OtrosR!$C$3:$C171,$A110,OtrosR!$B$3:$B171,Q$1))</f>
        <v>#VALUE!</v>
      </c>
      <c r="S109" s="101" t="str">
        <f t="shared" si="360"/>
        <v/>
      </c>
      <c r="T109" s="102" t="str">
        <f t="array" ref="T109">SUM(SUMIFS(INDIRECT($A$3) ,OtrosR!$C$3:$C171,$A110,OtrosR!$B$3:$B171,T$1))</f>
        <v>#VALUE!</v>
      </c>
      <c r="U109" s="32" t="str">
        <f t="array" ref="U109">SUM(SUMIFS(INDIRECT($A$9) ,OtrosR!$C$3:$C171,$A110,OtrosR!$B$3:$B171,T$1))</f>
        <v>#VALUE!</v>
      </c>
      <c r="V109" s="104" t="str">
        <f t="shared" si="361"/>
        <v/>
      </c>
      <c r="W109" s="99" t="str">
        <f t="array" ref="W109">SUM(SUMIFS(INDIRECT($A$3) ,OtrosR!$C$3:$C171,$A110,OtrosR!$B$3:$B171,W$1))</f>
        <v>#VALUE!</v>
      </c>
      <c r="X109" s="35" t="str">
        <f t="array" ref="X109">SUM(SUMIFS(INDIRECT($A$9) ,OtrosR!$C$3:$C171,$A110,OtrosR!$B$3:$B171,W$1))</f>
        <v>#VALUE!</v>
      </c>
      <c r="Y109" s="101" t="str">
        <f t="shared" si="362"/>
        <v/>
      </c>
      <c r="Z109" s="102" t="str">
        <f t="array" ref="Z109">SUM(SUMIFS(INDIRECT($A$3) ,OtrosR!$C$3:$C171,$A110,OtrosR!$B$3:$B171,Z$1))</f>
        <v>#VALUE!</v>
      </c>
      <c r="AA109" s="32" t="str">
        <f t="array" ref="AA109">SUM(SUMIFS(INDIRECT($A$9) ,OtrosR!$C$3:$C171,$A110,OtrosR!$B$3:$B171,Z$1))</f>
        <v>#VALUE!</v>
      </c>
      <c r="AB109" s="104" t="str">
        <f t="shared" si="363"/>
        <v/>
      </c>
      <c r="AC109" s="99" t="str">
        <f t="array" ref="AC109">SUM(SUMIFS(INDIRECT($A$3) ,OtrosR!$C$3:$C171,$A110,OtrosR!$B$3:$B171,AC$1))</f>
        <v>#VALUE!</v>
      </c>
      <c r="AD109" s="35" t="str">
        <f t="array" ref="AD109">SUM(SUMIFS(INDIRECT($A$9) ,OtrosR!$C$3:$C171,$A110,OtrosR!$B$3:$B171,AC$1))</f>
        <v>#VALUE!</v>
      </c>
      <c r="AE109" s="101" t="str">
        <f t="shared" si="364"/>
        <v/>
      </c>
      <c r="AF109" s="102" t="str">
        <f t="array" ref="AF109">SUM(SUMIFS(INDIRECT($A$3) ,OtrosR!$C$3:$C171,$A110,OtrosR!$B$3:$B171,AF$1))</f>
        <v>#VALUE!</v>
      </c>
      <c r="AG109" s="32" t="str">
        <f t="array" ref="AG109">SUM(SUMIFS(INDIRECT($A$9) ,OtrosR!$C$3:$C171,$A110,OtrosR!$B$3:$B171,AF$1))</f>
        <v>#VALUE!</v>
      </c>
      <c r="AH109" s="104" t="str">
        <f t="shared" si="365"/>
        <v/>
      </c>
      <c r="AI109" s="99" t="str">
        <f t="array" ref="AI109">SUM(SUMIFS(INDIRECT($A$3) ,OtrosR!$C$3:$C171,$A110,OtrosR!$B$3:$B171,AI$1))</f>
        <v>#VALUE!</v>
      </c>
      <c r="AJ109" s="35" t="str">
        <f t="array" ref="AJ109">SUM(SUMIFS(INDIRECT($A$9) ,OtrosR!$C$3:$C171,$A110,OtrosR!$B$3:$B171,AI$1))</f>
        <v>#VALUE!</v>
      </c>
      <c r="AK109" s="101" t="str">
        <f t="shared" si="366"/>
        <v/>
      </c>
      <c r="AL109" s="102" t="str">
        <f t="array" ref="AL109">SUM(SUMIFS(INDIRECT($A$3) ,OtrosR!$C$3:$C171,$A110,OtrosR!$B$3:$B171,AL$1))</f>
        <v>#VALUE!</v>
      </c>
      <c r="AM109" s="32" t="str">
        <f t="array" ref="AM109">SUM(SUMIFS(INDIRECT($A$9) ,OtrosR!$C$3:$C171,$A110,OtrosR!$B$3:$B171,AL$1))</f>
        <v>#VALUE!</v>
      </c>
      <c r="AN109" s="104" t="str">
        <f t="shared" si="367"/>
        <v/>
      </c>
      <c r="AO109" s="99" t="str">
        <f t="array" ref="AO109">SUM(SUMIFS(INDIRECT($A$3) ,OtrosR!$C$3:$C171,$A110,OtrosR!$B$3:$B171,AO$1))</f>
        <v>#VALUE!</v>
      </c>
      <c r="AP109" s="35" t="str">
        <f t="array" ref="AP109">SUM(SUMIFS(INDIRECT($A$9) ,OtrosR!$C$3:$C171,$A110,OtrosR!$B$3:$B171,AO$1))</f>
        <v>#VALUE!</v>
      </c>
      <c r="AQ109" s="101" t="str">
        <f t="shared" si="368"/>
        <v/>
      </c>
      <c r="AR109" s="102" t="str">
        <f t="array" ref="AR109">SUM(SUMIFS(INDIRECT($A$3) ,OtrosR!$C$3:$C171,$A110,OtrosR!$B$3:$B171,AR$1))</f>
        <v>#VALUE!</v>
      </c>
      <c r="AS109" s="32" t="str">
        <f t="array" ref="AS109">SUM(SUMIFS(INDIRECT($A$9) ,OtrosR!$C$3:$C171,$A110,OtrosR!$B$3:$B171,AR$1))</f>
        <v>#VALUE!</v>
      </c>
      <c r="AT109" s="104" t="str">
        <f t="shared" si="369"/>
        <v/>
      </c>
      <c r="AU109" s="99" t="str">
        <f t="array" ref="AU109">SUM(SUMIFS(INDIRECT($A$3) ,OtrosR!$C$3:$C171,$A110,OtrosR!$B$3:$B171,AU$1))</f>
        <v>#VALUE!</v>
      </c>
      <c r="AV109" s="35" t="str">
        <f t="array" ref="AV109">SUM(SUMIFS(INDIRECT($A$9) ,OtrosR!$C$3:$C171,$A110,OtrosR!$B$3:$B171,AU$1))</f>
        <v>#VALUE!</v>
      </c>
      <c r="AW109" s="101" t="str">
        <f t="shared" si="370"/>
        <v/>
      </c>
      <c r="AX109" s="102" t="str">
        <f t="array" ref="AX109">SUM(SUMIFS(INDIRECT($A$3) ,OtrosR!$C$3:$C171,$A110,OtrosR!$B$3:$B171,AX$1))</f>
        <v>#VALUE!</v>
      </c>
      <c r="AY109" s="32" t="str">
        <f t="array" ref="AY109">SUM(SUMIFS(INDIRECT($A$9) ,OtrosR!$C$3:$C171,$A110,OtrosR!$B$3:$B171,AX$1))</f>
        <v>#VALUE!</v>
      </c>
      <c r="AZ109" s="104" t="str">
        <f t="shared" si="371"/>
        <v/>
      </c>
      <c r="BA109" s="99" t="str">
        <f t="array" ref="BA109">SUM(SUMIFS(INDIRECT($A$3) ,OtrosR!$C$3:$C171,$A110,OtrosR!$B$3:$B171,BA$1))</f>
        <v>#VALUE!</v>
      </c>
      <c r="BB109" s="35" t="str">
        <f t="array" ref="BB109">SUM(SUMIFS(INDIRECT($A$9) ,OtrosR!$C$3:$C171,$A110,OtrosR!$B$3:$B171,BA$1))</f>
        <v>#VALUE!</v>
      </c>
      <c r="BC109" s="101" t="str">
        <f t="shared" si="372"/>
        <v/>
      </c>
      <c r="BD109" s="102" t="str">
        <f t="array" ref="BD109">SUM(SUMIFS(INDIRECT($A$3) ,OtrosR!$C$3:$C171,$A110,OtrosR!$B$3:$B171,BD$1))</f>
        <v>#VALUE!</v>
      </c>
      <c r="BE109" s="32" t="str">
        <f t="array" ref="BE109">SUM(SUMIFS(INDIRECT($A$9) ,OtrosR!$C$3:$C171,$A110,OtrosR!$B$3:$B171,BD$1))</f>
        <v>#VALUE!</v>
      </c>
      <c r="BF109" s="104" t="str">
        <f t="shared" si="373"/>
        <v/>
      </c>
      <c r="BG109" s="99" t="str">
        <f t="array" ref="BG109">SUM(SUMIFS(INDIRECT($A$3) ,OtrosR!$C$3:$C171,$A110,OtrosR!$B$3:$B171,BG$1))</f>
        <v>#VALUE!</v>
      </c>
      <c r="BH109" s="35" t="str">
        <f t="array" ref="BH109">SUM(SUMIFS(INDIRECT($A$9) ,OtrosR!$C$3:$C171,$A110,OtrosR!$B$3:$B171,BG$1))</f>
        <v>#VALUE!</v>
      </c>
      <c r="BI109" s="101" t="str">
        <f t="shared" si="374"/>
        <v/>
      </c>
      <c r="BJ109" s="102" t="str">
        <f t="array" ref="BJ109">SUM(SUMIFS(INDIRECT($A$3) ,OtrosR!$C$3:$C171,$A110,OtrosR!$B$3:$B171,BJ$1))</f>
        <v>#VALUE!</v>
      </c>
      <c r="BK109" s="32" t="str">
        <f t="array" ref="BK109">SUM(SUMIFS(INDIRECT($A$9) ,OtrosR!$C$3:$C171,$A110,OtrosR!$B$3:$B171,BJ$1))</f>
        <v>#VALUE!</v>
      </c>
      <c r="BL109" s="104" t="str">
        <f t="shared" si="375"/>
        <v/>
      </c>
      <c r="BM109" s="99" t="str">
        <f t="array" ref="BM109">SUM(SUMIFS(INDIRECT($A$3) ,OtrosR!$C$3:$C171,$A110,OtrosR!$B$3:$B171,BM$1))</f>
        <v>#VALUE!</v>
      </c>
      <c r="BN109" s="35" t="str">
        <f t="array" ref="BN109">SUM(SUMIFS(INDIRECT($A$9) ,OtrosR!$C$3:$C171,$A110,OtrosR!$B$3:$B171,BM$1))</f>
        <v>#VALUE!</v>
      </c>
      <c r="BO109" s="101" t="str">
        <f t="shared" si="376"/>
        <v/>
      </c>
      <c r="BP109" s="102" t="str">
        <f t="array" ref="BP109">SUM(SUMIFS(INDIRECT($A$3) ,OtrosR!$C$3:$C171,$A110,OtrosR!$B$3:$B171,BP$1))</f>
        <v>#VALUE!</v>
      </c>
      <c r="BQ109" s="32" t="str">
        <f t="array" ref="BQ109">SUM(SUMIFS(INDIRECT($A$9) ,OtrosR!$C$3:$C171,$A110,OtrosR!$B$3:$B171,BP$1))</f>
        <v>#VALUE!</v>
      </c>
      <c r="BR109" s="104" t="str">
        <f t="shared" si="377"/>
        <v/>
      </c>
      <c r="BS109" s="99" t="str">
        <f t="array" ref="BS109">SUM(SUMIFS(INDIRECT($A$3) ,OtrosR!$C$3:$C171,$A110,OtrosR!$B$3:$B171,BS$1))</f>
        <v>#VALUE!</v>
      </c>
      <c r="BT109" s="35" t="str">
        <f t="array" ref="BT109">SUM(SUMIFS(INDIRECT($A$9) ,OtrosR!$C$3:$C171,$A110,OtrosR!$B$3:$B171,BS$1))</f>
        <v>#VALUE!</v>
      </c>
      <c r="BU109" s="101" t="str">
        <f t="shared" si="378"/>
        <v/>
      </c>
      <c r="BV109" s="102" t="str">
        <f t="array" ref="BV109">SUM(SUMIFS(INDIRECT($A$3) ,OtrosR!$C$3:$C171,$A110,OtrosR!$B$3:$B171,BV$1))</f>
        <v>#VALUE!</v>
      </c>
      <c r="BW109" s="32" t="str">
        <f t="array" ref="BW109">SUM(SUMIFS(INDIRECT($A$9) ,OtrosR!$C$3:$C171,$A110,OtrosR!$B$3:$B171,BV$1))</f>
        <v>#VALUE!</v>
      </c>
      <c r="BX109" s="104" t="str">
        <f t="shared" si="379"/>
        <v/>
      </c>
      <c r="BY109" s="99" t="str">
        <f t="array" ref="BY109">SUM(SUMIFS(INDIRECT($A$3) ,OtrosR!$C$3:$C171,$A110,OtrosR!$B$3:$B171,BY$1))</f>
        <v>#VALUE!</v>
      </c>
      <c r="BZ109" s="35" t="str">
        <f t="array" ref="BZ109">SUM(SUMIFS(INDIRECT($A$9) ,OtrosR!$C$3:$C171,$A110,OtrosR!$B$3:$B171,BY$1))</f>
        <v>#VALUE!</v>
      </c>
      <c r="CA109" s="101" t="str">
        <f t="shared" si="380"/>
        <v/>
      </c>
      <c r="CB109" s="102" t="str">
        <f t="array" ref="CB109">SUM(SUMIFS(INDIRECT($A$3) ,OtrosR!$C$3:$C171,$A110,OtrosR!$B$3:$B171,CB$1))</f>
        <v>#VALUE!</v>
      </c>
      <c r="CC109" s="32" t="str">
        <f t="array" ref="CC109">SUM(SUMIFS(INDIRECT($A$9) ,OtrosR!$C$3:$C171,$A110,OtrosR!$B$3:$B171,CB$1))</f>
        <v>#VALUE!</v>
      </c>
      <c r="CD109" s="104" t="str">
        <f t="shared" si="381"/>
        <v/>
      </c>
      <c r="CE109" s="99" t="str">
        <f t="array" ref="CE109">SUM(SUMIFS(INDIRECT($A$3) ,OtrosR!$C$3:$C171,$A110,OtrosR!$B$3:$B171,CE$1))</f>
        <v>#VALUE!</v>
      </c>
      <c r="CF109" s="35" t="str">
        <f t="array" ref="CF109">SUM(SUMIFS(INDIRECT($A$9) ,OtrosR!$C$3:$C171,$A110,OtrosR!$B$3:$B171,CE$1))</f>
        <v>#VALUE!</v>
      </c>
      <c r="CG109" s="101" t="str">
        <f t="shared" si="382"/>
        <v/>
      </c>
      <c r="CH109" s="102" t="str">
        <f t="array" ref="CH109">SUM(SUMIFS(INDIRECT($A$3) ,OtrosR!$C$3:$C171,$A110,OtrosR!$B$3:$B171,CH$1))</f>
        <v>#VALUE!</v>
      </c>
      <c r="CI109" s="32" t="str">
        <f t="array" ref="CI109">SUM(SUMIFS(INDIRECT($A$9) ,OtrosR!$C$3:$C171,$A110,OtrosR!$B$3:$B171,CH$1))</f>
        <v>#VALUE!</v>
      </c>
      <c r="CJ109" s="104" t="str">
        <f t="shared" si="383"/>
        <v/>
      </c>
      <c r="CK109" s="99" t="str">
        <f t="array" ref="CK109">SUM(SUMIFS(INDIRECT($A$3) ,OtrosR!$C$3:$C171,$A110,OtrosR!$B$3:$B171,CK$1))</f>
        <v>#VALUE!</v>
      </c>
      <c r="CL109" s="35" t="str">
        <f t="array" ref="CL109">SUM(SUMIFS(INDIRECT($A$9) ,OtrosR!$C$3:$C171,$A110,OtrosR!$B$3:$B171,CK$1))</f>
        <v>#VALUE!</v>
      </c>
      <c r="CM109" s="101" t="str">
        <f t="shared" si="384"/>
        <v/>
      </c>
      <c r="CN109" s="102" t="str">
        <f t="array" ref="CN109">SUM(SUMIFS(INDIRECT($A$3) ,OtrosR!$C$3:$C171,$A110,OtrosR!$B$3:$B171,CN$1))</f>
        <v>#VALUE!</v>
      </c>
      <c r="CO109" s="32" t="str">
        <f t="array" ref="CO109">SUM(SUMIFS(INDIRECT($A$9) ,OtrosR!$C$3:$C171,$A110,OtrosR!$B$3:$B171,CN$1))</f>
        <v>#VALUE!</v>
      </c>
      <c r="CP109" s="104" t="str">
        <f t="shared" si="385"/>
        <v/>
      </c>
      <c r="CQ109" s="99" t="str">
        <f t="array" ref="CQ109">SUM(SUMIFS(INDIRECT($A$3) ,OtrosR!$C$3:$C171,$A110,OtrosR!$B$3:$B171,CQ$1))</f>
        <v>#VALUE!</v>
      </c>
      <c r="CR109" s="35" t="str">
        <f t="array" ref="CR109">SUM(SUMIFS(INDIRECT($A$9) ,OtrosR!$C$3:$C171,$A110,OtrosR!$B$3:$B171,CQ$1))</f>
        <v>#VALUE!</v>
      </c>
      <c r="CS109" s="101" t="str">
        <f t="shared" si="386"/>
        <v/>
      </c>
      <c r="CT109" s="102" t="str">
        <f t="array" ref="CT109">SUM(SUMIFS(INDIRECT($A$3) ,OtrosR!$C$3:$C171,$A110,OtrosR!$B$3:$B171,CT$1))</f>
        <v>#VALUE!</v>
      </c>
      <c r="CU109" s="32" t="str">
        <f t="array" ref="CU109">SUM(SUMIFS(INDIRECT($A$9) ,OtrosR!$C$3:$C171,$A110,OtrosR!$B$3:$B171,CT$1))</f>
        <v>#VALUE!</v>
      </c>
      <c r="CV109" s="104" t="str">
        <f t="shared" si="387"/>
        <v/>
      </c>
      <c r="CW109" s="99" t="str">
        <f t="array" ref="CW109">SUM(SUMIFS(INDIRECT($A$3) ,OtrosR!$C$3:$C171,$A110,OtrosR!$B$3:$B171,CW$1))</f>
        <v>#VALUE!</v>
      </c>
      <c r="CX109" s="35" t="str">
        <f t="array" ref="CX109">SUM(SUMIFS(INDIRECT($A$9) ,OtrosR!$C$3:$C171,$A110,OtrosR!$B$3:$B171,CW$1))</f>
        <v>#VALUE!</v>
      </c>
      <c r="CY109" s="101" t="str">
        <f t="shared" si="388"/>
        <v/>
      </c>
      <c r="CZ109" s="102" t="str">
        <f t="array" ref="CZ109">SUM(SUMIFS(INDIRECT($A$3) ,OtrosR!$C$3:$C171,$A110,OtrosR!$B$3:$B171,CZ$1))</f>
        <v>#VALUE!</v>
      </c>
      <c r="DA109" s="32" t="str">
        <f t="array" ref="DA109">SUM(SUMIFS(INDIRECT($A$9) ,OtrosR!$C$3:$C171,$A110,OtrosR!$B$3:$B171,CZ$1))</f>
        <v>#VALUE!</v>
      </c>
      <c r="DB109" s="104" t="str">
        <f t="shared" si="389"/>
        <v/>
      </c>
      <c r="DC109" s="99" t="str">
        <f t="array" ref="DC109">SUM(SUMIFS(INDIRECT($A$3) ,OtrosR!$C$3:$C171,$A110,OtrosR!$B$3:$B171,DC$1))</f>
        <v>#VALUE!</v>
      </c>
      <c r="DD109" s="35" t="str">
        <f t="array" ref="DD109">SUM(SUMIFS(INDIRECT($A$9) ,OtrosR!$C$3:$C171,$A110,OtrosR!$B$3:$B171,DC$1))</f>
        <v>#VALUE!</v>
      </c>
      <c r="DE109" s="101" t="str">
        <f t="shared" si="390"/>
        <v/>
      </c>
      <c r="DF109" s="102" t="str">
        <f t="array" ref="DF109">SUM(SUMIFS(INDIRECT($A$3) ,OtrosR!$C$3:$C171,$A110,OtrosR!$B$3:$B171,DF$1))</f>
        <v>#VALUE!</v>
      </c>
      <c r="DG109" s="32" t="str">
        <f t="array" ref="DG109">SUM(SUMIFS(INDIRECT($A$9) ,OtrosR!$C$3:$C171,$A110,OtrosR!$B$3:$B171,DF$1))</f>
        <v>#VALUE!</v>
      </c>
      <c r="DH109" s="104" t="str">
        <f t="shared" si="391"/>
        <v/>
      </c>
      <c r="DI109" s="99" t="str">
        <f t="array" ref="DI109">SUM(SUMIFS(INDIRECT($A$3) ,OtrosR!$C$3:$C171,$A110,OtrosR!$B$3:$B171,DI$1))</f>
        <v>#VALUE!</v>
      </c>
      <c r="DJ109" s="35" t="str">
        <f t="array" ref="DJ109">SUM(SUMIFS(INDIRECT($A$9) ,OtrosR!$C$3:$C171,$A110,OtrosR!$B$3:$B171,DI$1))</f>
        <v>#VALUE!</v>
      </c>
      <c r="DK109" s="101" t="str">
        <f t="shared" si="392"/>
        <v/>
      </c>
      <c r="DL109" s="102" t="str">
        <f t="array" ref="DL109">SUM(SUMIFS(INDIRECT($A$3) ,OtrosR!$C$3:$C171,$A110,OtrosR!$B$3:$B171,DL$1))</f>
        <v>#VALUE!</v>
      </c>
      <c r="DM109" s="32" t="str">
        <f t="array" ref="DM109">SUM(SUMIFS(INDIRECT($A$9) ,OtrosR!$C$3:$C171,$A110,OtrosR!$B$3:$B171,DL$1))</f>
        <v>#VALUE!</v>
      </c>
      <c r="DN109" s="104" t="str">
        <f t="shared" si="393"/>
        <v/>
      </c>
      <c r="DO109" s="99" t="str">
        <f t="array" ref="DO109">SUM(SUMIFS(INDIRECT($A$3) ,OtrosR!$C$3:$C171,$A110,OtrosR!$B$3:$B171,DO$1))</f>
        <v>#VALUE!</v>
      </c>
      <c r="DP109" s="35" t="str">
        <f t="array" ref="DP109">SUM(SUMIFS(INDIRECT($A$9) ,OtrosR!$C$3:$C171,$A110,OtrosR!$B$3:$B171,DO$1))</f>
        <v>#VALUE!</v>
      </c>
      <c r="DQ109" s="101" t="str">
        <f t="shared" si="394"/>
        <v/>
      </c>
      <c r="DR109" s="102" t="str">
        <f t="array" ref="DR109">SUM(SUMIFS(INDIRECT($A$3) ,OtrosR!$C$3:$C171,$A110,OtrosR!$B$3:$B171,DR$1))</f>
        <v>#VALUE!</v>
      </c>
      <c r="DS109" s="32" t="str">
        <f t="array" ref="DS109">SUM(SUMIFS(INDIRECT($A$9) ,OtrosR!$C$3:$C171,$A110,OtrosR!$B$3:$B171,DR$1))</f>
        <v>#VALUE!</v>
      </c>
      <c r="DT109" s="104" t="str">
        <f t="shared" si="395"/>
        <v/>
      </c>
    </row>
    <row r="110" ht="15.75" customHeight="1">
      <c r="A110" s="40" t="str">
        <f>Menus!Q5</f>
        <v/>
      </c>
      <c r="B110" s="32" t="str">
        <f t="shared" si="353"/>
        <v>#VALUE!</v>
      </c>
      <c r="C110" s="32" t="str">
        <f t="shared" si="354"/>
        <v>#VALUE!</v>
      </c>
      <c r="D110" s="32" t="str">
        <f t="shared" si="355"/>
        <v>#VALUE!</v>
      </c>
      <c r="E110" s="106" t="str">
        <f t="array" ref="E110">SUM(SUMIFS(INDIRECT($A$3) ,OtrosR!$C$3:$C171,$A111,OtrosR!$B$3:$B171,E$1))</f>
        <v>#VALUE!</v>
      </c>
      <c r="F110" s="51" t="str">
        <f t="array" ref="F110">SUM(SUMIFS(INDIRECT($A$9) ,OtrosR!$C$3:$C171,$A111,OtrosR!$B$3:$B171,E$1))</f>
        <v>#VALUE!</v>
      </c>
      <c r="G110" s="95" t="str">
        <f t="shared" si="356"/>
        <v/>
      </c>
      <c r="H110" s="96" t="str">
        <f t="array" ref="H110">SUM(SUMIFS(INDIRECT($A$3) ,OtrosR!$C$3:$C171,$A110,OtrosR!$B$3:$B171,H$1))</f>
        <v>#VALUE!</v>
      </c>
      <c r="I110" s="34" t="str">
        <f t="array" ref="I110">SUM(SUMIFS(INDIRECT($A$9) ,OtrosR!$C$3:$C171,$A111,OtrosR!$B$3:$B171,H$1))</f>
        <v>#VALUE!</v>
      </c>
      <c r="J110" s="98" t="str">
        <f t="shared" si="357"/>
        <v/>
      </c>
      <c r="K110" s="99" t="str">
        <f t="array" ref="K110">SUM(SUMIFS(INDIRECT($A$3) ,OtrosR!$C$3:$C171,$A111,OtrosR!$B$3:$B171,K$1))</f>
        <v>#VALUE!</v>
      </c>
      <c r="L110" s="35" t="str">
        <f t="array" ref="L110">SUM(SUMIFS(INDIRECT($A$9) ,OtrosR!$C$3:$C171,$A111,OtrosR!$B$3:$B171,K$1))</f>
        <v>#VALUE!</v>
      </c>
      <c r="M110" s="101" t="str">
        <f t="shared" si="358"/>
        <v/>
      </c>
      <c r="N110" s="102" t="str">
        <f t="array" ref="N110">SUM(SUMIFS(INDIRECT($A$3) ,OtrosR!$C$3:$C171,$A111,OtrosR!$B$3:$B171,N$1))</f>
        <v>#VALUE!</v>
      </c>
      <c r="O110" s="32" t="str">
        <f t="array" ref="O110">SUM(SUMIFS(INDIRECT($A$9) ,OtrosR!$C$3:$C171,$A111,OtrosR!$B$3:$B171,N$1))</f>
        <v>#VALUE!</v>
      </c>
      <c r="P110" s="104" t="str">
        <f t="shared" si="359"/>
        <v/>
      </c>
      <c r="Q110" s="99" t="str">
        <f t="array" ref="Q110">SUM(SUMIFS(INDIRECT($A$3) ,OtrosR!$C$3:$C171,$A111,OtrosR!$B$3:$B171,Q$1))</f>
        <v>#VALUE!</v>
      </c>
      <c r="R110" s="35" t="str">
        <f t="array" ref="R110">SUM(SUMIFS(INDIRECT($A$9) ,OtrosR!$C$3:$C171,$A111,OtrosR!$B$3:$B171,Q$1))</f>
        <v>#VALUE!</v>
      </c>
      <c r="S110" s="101" t="str">
        <f t="shared" si="360"/>
        <v/>
      </c>
      <c r="T110" s="102" t="str">
        <f t="array" ref="T110">SUM(SUMIFS(INDIRECT($A$3) ,OtrosR!$C$3:$C171,$A111,OtrosR!$B$3:$B171,T$1))</f>
        <v>#VALUE!</v>
      </c>
      <c r="U110" s="32" t="str">
        <f t="array" ref="U110">SUM(SUMIFS(INDIRECT($A$9) ,OtrosR!$C$3:$C171,$A111,OtrosR!$B$3:$B171,T$1))</f>
        <v>#VALUE!</v>
      </c>
      <c r="V110" s="104" t="str">
        <f t="shared" si="361"/>
        <v/>
      </c>
      <c r="W110" s="99" t="str">
        <f t="array" ref="W110">SUM(SUMIFS(INDIRECT($A$3) ,OtrosR!$C$3:$C171,$A111,OtrosR!$B$3:$B171,W$1))</f>
        <v>#VALUE!</v>
      </c>
      <c r="X110" s="35" t="str">
        <f t="array" ref="X110">SUM(SUMIFS(INDIRECT($A$9) ,OtrosR!$C$3:$C171,$A111,OtrosR!$B$3:$B171,W$1))</f>
        <v>#VALUE!</v>
      </c>
      <c r="Y110" s="101" t="str">
        <f t="shared" si="362"/>
        <v/>
      </c>
      <c r="Z110" s="102" t="str">
        <f t="array" ref="Z110">SUM(SUMIFS(INDIRECT($A$3) ,OtrosR!$C$3:$C171,$A111,OtrosR!$B$3:$B171,Z$1))</f>
        <v>#VALUE!</v>
      </c>
      <c r="AA110" s="32" t="str">
        <f t="array" ref="AA110">SUM(SUMIFS(INDIRECT($A$9) ,OtrosR!$C$3:$C171,$A111,OtrosR!$B$3:$B171,Z$1))</f>
        <v>#VALUE!</v>
      </c>
      <c r="AB110" s="104" t="str">
        <f t="shared" si="363"/>
        <v/>
      </c>
      <c r="AC110" s="99" t="str">
        <f t="array" ref="AC110">SUM(SUMIFS(INDIRECT($A$3) ,OtrosR!$C$3:$C171,$A111,OtrosR!$B$3:$B171,AC$1))</f>
        <v>#VALUE!</v>
      </c>
      <c r="AD110" s="35" t="str">
        <f t="array" ref="AD110">SUM(SUMIFS(INDIRECT($A$9) ,OtrosR!$C$3:$C171,$A111,OtrosR!$B$3:$B171,AC$1))</f>
        <v>#VALUE!</v>
      </c>
      <c r="AE110" s="101" t="str">
        <f t="shared" si="364"/>
        <v/>
      </c>
      <c r="AF110" s="102" t="str">
        <f t="array" ref="AF110">SUM(SUMIFS(INDIRECT($A$3) ,OtrosR!$C$3:$C171,$A111,OtrosR!$B$3:$B171,AF$1))</f>
        <v>#VALUE!</v>
      </c>
      <c r="AG110" s="32" t="str">
        <f t="array" ref="AG110">SUM(SUMIFS(INDIRECT($A$9) ,OtrosR!$C$3:$C171,$A111,OtrosR!$B$3:$B171,AF$1))</f>
        <v>#VALUE!</v>
      </c>
      <c r="AH110" s="104" t="str">
        <f t="shared" si="365"/>
        <v/>
      </c>
      <c r="AI110" s="99" t="str">
        <f t="array" ref="AI110">SUM(SUMIFS(INDIRECT($A$3) ,OtrosR!$C$3:$C171,$A111,OtrosR!$B$3:$B171,AI$1))</f>
        <v>#VALUE!</v>
      </c>
      <c r="AJ110" s="35" t="str">
        <f t="array" ref="AJ110">SUM(SUMIFS(INDIRECT($A$9) ,OtrosR!$C$3:$C171,$A111,OtrosR!$B$3:$B171,AI$1))</f>
        <v>#VALUE!</v>
      </c>
      <c r="AK110" s="101" t="str">
        <f t="shared" si="366"/>
        <v/>
      </c>
      <c r="AL110" s="102" t="str">
        <f t="array" ref="AL110">SUM(SUMIFS(INDIRECT($A$3) ,OtrosR!$C$3:$C171,$A111,OtrosR!$B$3:$B171,AL$1))</f>
        <v>#VALUE!</v>
      </c>
      <c r="AM110" s="32" t="str">
        <f t="array" ref="AM110">SUM(SUMIFS(INDIRECT($A$9) ,OtrosR!$C$3:$C171,$A111,OtrosR!$B$3:$B171,AL$1))</f>
        <v>#VALUE!</v>
      </c>
      <c r="AN110" s="104" t="str">
        <f t="shared" si="367"/>
        <v/>
      </c>
      <c r="AO110" s="99" t="str">
        <f t="array" ref="AO110">SUM(SUMIFS(INDIRECT($A$3) ,OtrosR!$C$3:$C171,$A111,OtrosR!$B$3:$B171,AO$1))</f>
        <v>#VALUE!</v>
      </c>
      <c r="AP110" s="35" t="str">
        <f t="array" ref="AP110">SUM(SUMIFS(INDIRECT($A$9) ,OtrosR!$C$3:$C171,$A111,OtrosR!$B$3:$B171,AO$1))</f>
        <v>#VALUE!</v>
      </c>
      <c r="AQ110" s="101" t="str">
        <f t="shared" si="368"/>
        <v/>
      </c>
      <c r="AR110" s="102" t="str">
        <f t="array" ref="AR110">SUM(SUMIFS(INDIRECT($A$3) ,OtrosR!$C$3:$C171,$A111,OtrosR!$B$3:$B171,AR$1))</f>
        <v>#VALUE!</v>
      </c>
      <c r="AS110" s="32" t="str">
        <f t="array" ref="AS110">SUM(SUMIFS(INDIRECT($A$9) ,OtrosR!$C$3:$C171,$A111,OtrosR!$B$3:$B171,AR$1))</f>
        <v>#VALUE!</v>
      </c>
      <c r="AT110" s="104" t="str">
        <f t="shared" si="369"/>
        <v/>
      </c>
      <c r="AU110" s="99" t="str">
        <f t="array" ref="AU110">SUM(SUMIFS(INDIRECT($A$3) ,OtrosR!$C$3:$C171,$A111,OtrosR!$B$3:$B171,AU$1))</f>
        <v>#VALUE!</v>
      </c>
      <c r="AV110" s="35" t="str">
        <f t="array" ref="AV110">SUM(SUMIFS(INDIRECT($A$9) ,OtrosR!$C$3:$C171,$A111,OtrosR!$B$3:$B171,AU$1))</f>
        <v>#VALUE!</v>
      </c>
      <c r="AW110" s="101" t="str">
        <f t="shared" si="370"/>
        <v/>
      </c>
      <c r="AX110" s="102" t="str">
        <f t="array" ref="AX110">SUM(SUMIFS(INDIRECT($A$3) ,OtrosR!$C$3:$C171,$A111,OtrosR!$B$3:$B171,AX$1))</f>
        <v>#VALUE!</v>
      </c>
      <c r="AY110" s="32" t="str">
        <f t="array" ref="AY110">SUM(SUMIFS(INDIRECT($A$9) ,OtrosR!$C$3:$C171,$A111,OtrosR!$B$3:$B171,AX$1))</f>
        <v>#VALUE!</v>
      </c>
      <c r="AZ110" s="104" t="str">
        <f t="shared" si="371"/>
        <v/>
      </c>
      <c r="BA110" s="99" t="str">
        <f t="array" ref="BA110">SUM(SUMIFS(INDIRECT($A$3) ,OtrosR!$C$3:$C171,$A111,OtrosR!$B$3:$B171,BA$1))</f>
        <v>#VALUE!</v>
      </c>
      <c r="BB110" s="35" t="str">
        <f t="array" ref="BB110">SUM(SUMIFS(INDIRECT($A$9) ,OtrosR!$C$3:$C171,$A111,OtrosR!$B$3:$B171,BA$1))</f>
        <v>#VALUE!</v>
      </c>
      <c r="BC110" s="101" t="str">
        <f t="shared" si="372"/>
        <v/>
      </c>
      <c r="BD110" s="102" t="str">
        <f t="array" ref="BD110">SUM(SUMIFS(INDIRECT($A$3) ,OtrosR!$C$3:$C171,$A111,OtrosR!$B$3:$B171,BD$1))</f>
        <v>#VALUE!</v>
      </c>
      <c r="BE110" s="32" t="str">
        <f t="array" ref="BE110">SUM(SUMIFS(INDIRECT($A$9) ,OtrosR!$C$3:$C171,$A111,OtrosR!$B$3:$B171,BD$1))</f>
        <v>#VALUE!</v>
      </c>
      <c r="BF110" s="104" t="str">
        <f t="shared" si="373"/>
        <v/>
      </c>
      <c r="BG110" s="99" t="str">
        <f t="array" ref="BG110">SUM(SUMIFS(INDIRECT($A$3) ,OtrosR!$C$3:$C171,$A111,OtrosR!$B$3:$B171,BG$1))</f>
        <v>#VALUE!</v>
      </c>
      <c r="BH110" s="35" t="str">
        <f t="array" ref="BH110">SUM(SUMIFS(INDIRECT($A$9) ,OtrosR!$C$3:$C171,$A111,OtrosR!$B$3:$B171,BG$1))</f>
        <v>#VALUE!</v>
      </c>
      <c r="BI110" s="101" t="str">
        <f t="shared" si="374"/>
        <v/>
      </c>
      <c r="BJ110" s="102" t="str">
        <f t="array" ref="BJ110">SUM(SUMIFS(INDIRECT($A$3) ,OtrosR!$C$3:$C171,$A111,OtrosR!$B$3:$B171,BJ$1))</f>
        <v>#VALUE!</v>
      </c>
      <c r="BK110" s="32" t="str">
        <f t="array" ref="BK110">SUM(SUMIFS(INDIRECT($A$9) ,OtrosR!$C$3:$C171,$A111,OtrosR!$B$3:$B171,BJ$1))</f>
        <v>#VALUE!</v>
      </c>
      <c r="BL110" s="104" t="str">
        <f t="shared" si="375"/>
        <v/>
      </c>
      <c r="BM110" s="99" t="str">
        <f t="array" ref="BM110">SUM(SUMIFS(INDIRECT($A$3) ,OtrosR!$C$3:$C171,$A111,OtrosR!$B$3:$B171,BM$1))</f>
        <v>#VALUE!</v>
      </c>
      <c r="BN110" s="35" t="str">
        <f t="array" ref="BN110">SUM(SUMIFS(INDIRECT($A$9) ,OtrosR!$C$3:$C171,$A111,OtrosR!$B$3:$B171,BM$1))</f>
        <v>#VALUE!</v>
      </c>
      <c r="BO110" s="101" t="str">
        <f t="shared" si="376"/>
        <v/>
      </c>
      <c r="BP110" s="102" t="str">
        <f t="array" ref="BP110">SUM(SUMIFS(INDIRECT($A$3) ,OtrosR!$C$3:$C171,$A111,OtrosR!$B$3:$B171,BP$1))</f>
        <v>#VALUE!</v>
      </c>
      <c r="BQ110" s="32" t="str">
        <f t="array" ref="BQ110">SUM(SUMIFS(INDIRECT($A$9) ,OtrosR!$C$3:$C171,$A111,OtrosR!$B$3:$B171,BP$1))</f>
        <v>#VALUE!</v>
      </c>
      <c r="BR110" s="104" t="str">
        <f t="shared" si="377"/>
        <v/>
      </c>
      <c r="BS110" s="99" t="str">
        <f t="array" ref="BS110">SUM(SUMIFS(INDIRECT($A$3) ,OtrosR!$C$3:$C171,$A111,OtrosR!$B$3:$B171,BS$1))</f>
        <v>#VALUE!</v>
      </c>
      <c r="BT110" s="35" t="str">
        <f t="array" ref="BT110">SUM(SUMIFS(INDIRECT($A$9) ,OtrosR!$C$3:$C171,$A111,OtrosR!$B$3:$B171,BS$1))</f>
        <v>#VALUE!</v>
      </c>
      <c r="BU110" s="101" t="str">
        <f t="shared" si="378"/>
        <v/>
      </c>
      <c r="BV110" s="102" t="str">
        <f t="array" ref="BV110">SUM(SUMIFS(INDIRECT($A$3) ,OtrosR!$C$3:$C171,$A111,OtrosR!$B$3:$B171,BV$1))</f>
        <v>#VALUE!</v>
      </c>
      <c r="BW110" s="32" t="str">
        <f t="array" ref="BW110">SUM(SUMIFS(INDIRECT($A$9) ,OtrosR!$C$3:$C171,$A111,OtrosR!$B$3:$B171,BV$1))</f>
        <v>#VALUE!</v>
      </c>
      <c r="BX110" s="104" t="str">
        <f t="shared" si="379"/>
        <v/>
      </c>
      <c r="BY110" s="99" t="str">
        <f t="array" ref="BY110">SUM(SUMIFS(INDIRECT($A$3) ,OtrosR!$C$3:$C171,$A111,OtrosR!$B$3:$B171,BY$1))</f>
        <v>#VALUE!</v>
      </c>
      <c r="BZ110" s="35" t="str">
        <f t="array" ref="BZ110">SUM(SUMIFS(INDIRECT($A$9) ,OtrosR!$C$3:$C171,$A111,OtrosR!$B$3:$B171,BY$1))</f>
        <v>#VALUE!</v>
      </c>
      <c r="CA110" s="101" t="str">
        <f t="shared" si="380"/>
        <v/>
      </c>
      <c r="CB110" s="102" t="str">
        <f t="array" ref="CB110">SUM(SUMIFS(INDIRECT($A$3) ,OtrosR!$C$3:$C171,$A111,OtrosR!$B$3:$B171,CB$1))</f>
        <v>#VALUE!</v>
      </c>
      <c r="CC110" s="32" t="str">
        <f t="array" ref="CC110">SUM(SUMIFS(INDIRECT($A$9) ,OtrosR!$C$3:$C171,$A111,OtrosR!$B$3:$B171,CB$1))</f>
        <v>#VALUE!</v>
      </c>
      <c r="CD110" s="104" t="str">
        <f t="shared" si="381"/>
        <v/>
      </c>
      <c r="CE110" s="99" t="str">
        <f t="array" ref="CE110">SUM(SUMIFS(INDIRECT($A$3) ,OtrosR!$C$3:$C171,$A111,OtrosR!$B$3:$B171,CE$1))</f>
        <v>#VALUE!</v>
      </c>
      <c r="CF110" s="35" t="str">
        <f t="array" ref="CF110">SUM(SUMIFS(INDIRECT($A$9) ,OtrosR!$C$3:$C171,$A111,OtrosR!$B$3:$B171,CE$1))</f>
        <v>#VALUE!</v>
      </c>
      <c r="CG110" s="101" t="str">
        <f t="shared" si="382"/>
        <v/>
      </c>
      <c r="CH110" s="102" t="str">
        <f t="array" ref="CH110">SUM(SUMIFS(INDIRECT($A$3) ,OtrosR!$C$3:$C171,$A111,OtrosR!$B$3:$B171,CH$1))</f>
        <v>#VALUE!</v>
      </c>
      <c r="CI110" s="32" t="str">
        <f t="array" ref="CI110">SUM(SUMIFS(INDIRECT($A$9) ,OtrosR!$C$3:$C171,$A111,OtrosR!$B$3:$B171,CH$1))</f>
        <v>#VALUE!</v>
      </c>
      <c r="CJ110" s="104" t="str">
        <f t="shared" si="383"/>
        <v/>
      </c>
      <c r="CK110" s="99" t="str">
        <f t="array" ref="CK110">SUM(SUMIFS(INDIRECT($A$3) ,OtrosR!$C$3:$C171,$A111,OtrosR!$B$3:$B171,CK$1))</f>
        <v>#VALUE!</v>
      </c>
      <c r="CL110" s="35" t="str">
        <f t="array" ref="CL110">SUM(SUMIFS(INDIRECT($A$9) ,OtrosR!$C$3:$C171,$A111,OtrosR!$B$3:$B171,CK$1))</f>
        <v>#VALUE!</v>
      </c>
      <c r="CM110" s="101" t="str">
        <f t="shared" si="384"/>
        <v/>
      </c>
      <c r="CN110" s="102" t="str">
        <f t="array" ref="CN110">SUM(SUMIFS(INDIRECT($A$3) ,OtrosR!$C$3:$C171,$A111,OtrosR!$B$3:$B171,CN$1))</f>
        <v>#VALUE!</v>
      </c>
      <c r="CO110" s="32" t="str">
        <f t="array" ref="CO110">SUM(SUMIFS(INDIRECT($A$9) ,OtrosR!$C$3:$C171,$A111,OtrosR!$B$3:$B171,CN$1))</f>
        <v>#VALUE!</v>
      </c>
      <c r="CP110" s="104" t="str">
        <f t="shared" si="385"/>
        <v/>
      </c>
      <c r="CQ110" s="99" t="str">
        <f t="array" ref="CQ110">SUM(SUMIFS(INDIRECT($A$3) ,OtrosR!$C$3:$C171,$A111,OtrosR!$B$3:$B171,CQ$1))</f>
        <v>#VALUE!</v>
      </c>
      <c r="CR110" s="35" t="str">
        <f t="array" ref="CR110">SUM(SUMIFS(INDIRECT($A$9) ,OtrosR!$C$3:$C171,$A111,OtrosR!$B$3:$B171,CQ$1))</f>
        <v>#VALUE!</v>
      </c>
      <c r="CS110" s="101" t="str">
        <f t="shared" si="386"/>
        <v/>
      </c>
      <c r="CT110" s="102" t="str">
        <f t="array" ref="CT110">SUM(SUMIFS(INDIRECT($A$3) ,OtrosR!$C$3:$C171,$A111,OtrosR!$B$3:$B171,CT$1))</f>
        <v>#VALUE!</v>
      </c>
      <c r="CU110" s="32" t="str">
        <f t="array" ref="CU110">SUM(SUMIFS(INDIRECT($A$9) ,OtrosR!$C$3:$C171,$A111,OtrosR!$B$3:$B171,CT$1))</f>
        <v>#VALUE!</v>
      </c>
      <c r="CV110" s="104" t="str">
        <f t="shared" si="387"/>
        <v/>
      </c>
      <c r="CW110" s="99" t="str">
        <f t="array" ref="CW110">SUM(SUMIFS(INDIRECT($A$3) ,OtrosR!$C$3:$C171,$A111,OtrosR!$B$3:$B171,CW$1))</f>
        <v>#VALUE!</v>
      </c>
      <c r="CX110" s="35" t="str">
        <f t="array" ref="CX110">SUM(SUMIFS(INDIRECT($A$9) ,OtrosR!$C$3:$C171,$A111,OtrosR!$B$3:$B171,CW$1))</f>
        <v>#VALUE!</v>
      </c>
      <c r="CY110" s="101" t="str">
        <f t="shared" si="388"/>
        <v/>
      </c>
      <c r="CZ110" s="102" t="str">
        <f t="array" ref="CZ110">SUM(SUMIFS(INDIRECT($A$3) ,OtrosR!$C$3:$C171,$A111,OtrosR!$B$3:$B171,CZ$1))</f>
        <v>#VALUE!</v>
      </c>
      <c r="DA110" s="32" t="str">
        <f t="array" ref="DA110">SUM(SUMIFS(INDIRECT($A$9) ,OtrosR!$C$3:$C171,$A111,OtrosR!$B$3:$B171,CZ$1))</f>
        <v>#VALUE!</v>
      </c>
      <c r="DB110" s="104" t="str">
        <f t="shared" si="389"/>
        <v/>
      </c>
      <c r="DC110" s="99" t="str">
        <f t="array" ref="DC110">SUM(SUMIFS(INDIRECT($A$3) ,OtrosR!$C$3:$C171,$A111,OtrosR!$B$3:$B171,DC$1))</f>
        <v>#VALUE!</v>
      </c>
      <c r="DD110" s="35" t="str">
        <f t="array" ref="DD110">SUM(SUMIFS(INDIRECT($A$9) ,OtrosR!$C$3:$C171,$A111,OtrosR!$B$3:$B171,DC$1))</f>
        <v>#VALUE!</v>
      </c>
      <c r="DE110" s="101" t="str">
        <f t="shared" si="390"/>
        <v/>
      </c>
      <c r="DF110" s="102" t="str">
        <f t="array" ref="DF110">SUM(SUMIFS(INDIRECT($A$3) ,OtrosR!$C$3:$C171,$A111,OtrosR!$B$3:$B171,DF$1))</f>
        <v>#VALUE!</v>
      </c>
      <c r="DG110" s="32" t="str">
        <f t="array" ref="DG110">SUM(SUMIFS(INDIRECT($A$9) ,OtrosR!$C$3:$C171,$A111,OtrosR!$B$3:$B171,DF$1))</f>
        <v>#VALUE!</v>
      </c>
      <c r="DH110" s="104" t="str">
        <f t="shared" si="391"/>
        <v/>
      </c>
      <c r="DI110" s="99" t="str">
        <f t="array" ref="DI110">SUM(SUMIFS(INDIRECT($A$3) ,OtrosR!$C$3:$C171,$A111,OtrosR!$B$3:$B171,DI$1))</f>
        <v>#VALUE!</v>
      </c>
      <c r="DJ110" s="35" t="str">
        <f t="array" ref="DJ110">SUM(SUMIFS(INDIRECT($A$9) ,OtrosR!$C$3:$C171,$A111,OtrosR!$B$3:$B171,DI$1))</f>
        <v>#VALUE!</v>
      </c>
      <c r="DK110" s="101" t="str">
        <f t="shared" si="392"/>
        <v/>
      </c>
      <c r="DL110" s="102" t="str">
        <f t="array" ref="DL110">SUM(SUMIFS(INDIRECT($A$3) ,OtrosR!$C$3:$C171,$A111,OtrosR!$B$3:$B171,DL$1))</f>
        <v>#VALUE!</v>
      </c>
      <c r="DM110" s="32" t="str">
        <f t="array" ref="DM110">SUM(SUMIFS(INDIRECT($A$9) ,OtrosR!$C$3:$C171,$A111,OtrosR!$B$3:$B171,DL$1))</f>
        <v>#VALUE!</v>
      </c>
      <c r="DN110" s="104" t="str">
        <f t="shared" si="393"/>
        <v/>
      </c>
      <c r="DO110" s="99" t="str">
        <f t="array" ref="DO110">SUM(SUMIFS(INDIRECT($A$3) ,OtrosR!$C$3:$C171,$A111,OtrosR!$B$3:$B171,DO$1))</f>
        <v>#VALUE!</v>
      </c>
      <c r="DP110" s="35" t="str">
        <f t="array" ref="DP110">SUM(SUMIFS(INDIRECT($A$9) ,OtrosR!$C$3:$C171,$A111,OtrosR!$B$3:$B171,DO$1))</f>
        <v>#VALUE!</v>
      </c>
      <c r="DQ110" s="101" t="str">
        <f t="shared" si="394"/>
        <v/>
      </c>
      <c r="DR110" s="102" t="str">
        <f t="array" ref="DR110">SUM(SUMIFS(INDIRECT($A$3) ,OtrosR!$C$3:$C171,$A111,OtrosR!$B$3:$B171,DR$1))</f>
        <v>#VALUE!</v>
      </c>
      <c r="DS110" s="32" t="str">
        <f t="array" ref="DS110">SUM(SUMIFS(INDIRECT($A$9) ,OtrosR!$C$3:$C171,$A111,OtrosR!$B$3:$B171,DR$1))</f>
        <v>#VALUE!</v>
      </c>
      <c r="DT110" s="104" t="str">
        <f t="shared" si="395"/>
        <v/>
      </c>
    </row>
    <row r="111" ht="15.75" customHeight="1">
      <c r="A111" s="40" t="str">
        <f>Menus!Q6</f>
        <v/>
      </c>
      <c r="B111" s="32" t="str">
        <f t="shared" si="353"/>
        <v>#VALUE!</v>
      </c>
      <c r="C111" s="32" t="str">
        <f t="shared" si="354"/>
        <v>#VALUE!</v>
      </c>
      <c r="D111" s="32" t="str">
        <f t="shared" si="355"/>
        <v>#VALUE!</v>
      </c>
      <c r="E111" s="106" t="str">
        <f t="array" ref="E111">SUM(SUMIFS(INDIRECT($A$3) ,OtrosR!$C$3:$C171,$A112,OtrosR!$B$3:$B171,E$1))</f>
        <v>#VALUE!</v>
      </c>
      <c r="F111" s="51" t="str">
        <f t="array" ref="F111">SUM(SUMIFS(INDIRECT($A$9) ,OtrosR!$C$3:$C171,$A112,OtrosR!$B$3:$B171,E$1))</f>
        <v>#VALUE!</v>
      </c>
      <c r="G111" s="95" t="str">
        <f t="shared" si="356"/>
        <v/>
      </c>
      <c r="H111" s="96" t="str">
        <f t="array" ref="H111">SUM(SUMIFS(INDIRECT($A$3) ,OtrosR!$C$3:$C171,$A111,OtrosR!$B$3:$B171,H$1))</f>
        <v>#VALUE!</v>
      </c>
      <c r="I111" s="34" t="str">
        <f t="array" ref="I111">SUM(SUMIFS(INDIRECT($A$9) ,OtrosR!$C$3:$C171,$A112,OtrosR!$B$3:$B171,H$1))</f>
        <v>#VALUE!</v>
      </c>
      <c r="J111" s="98" t="str">
        <f t="shared" si="357"/>
        <v/>
      </c>
      <c r="K111" s="99" t="str">
        <f t="array" ref="K111">SUM(SUMIFS(INDIRECT($A$3) ,OtrosR!$C$3:$C171,$A112,OtrosR!$B$3:$B171,K$1))</f>
        <v>#VALUE!</v>
      </c>
      <c r="L111" s="35" t="str">
        <f t="array" ref="L111">SUM(SUMIFS(INDIRECT($A$9) ,OtrosR!$C$3:$C171,$A112,OtrosR!$B$3:$B171,K$1))</f>
        <v>#VALUE!</v>
      </c>
      <c r="M111" s="101" t="str">
        <f t="shared" si="358"/>
        <v/>
      </c>
      <c r="N111" s="102" t="str">
        <f t="array" ref="N111">SUM(SUMIFS(INDIRECT($A$3) ,OtrosR!$C$3:$C171,$A112,OtrosR!$B$3:$B171,N$1))</f>
        <v>#VALUE!</v>
      </c>
      <c r="O111" s="32" t="str">
        <f t="array" ref="O111">SUM(SUMIFS(INDIRECT($A$9) ,OtrosR!$C$3:$C171,$A112,OtrosR!$B$3:$B171,N$1))</f>
        <v>#VALUE!</v>
      </c>
      <c r="P111" s="104" t="str">
        <f t="shared" si="359"/>
        <v/>
      </c>
      <c r="Q111" s="99" t="str">
        <f t="array" ref="Q111">SUM(SUMIFS(INDIRECT($A$3) ,OtrosR!$C$3:$C171,$A112,OtrosR!$B$3:$B171,Q$1))</f>
        <v>#VALUE!</v>
      </c>
      <c r="R111" s="35" t="str">
        <f t="array" ref="R111">SUM(SUMIFS(INDIRECT($A$9) ,OtrosR!$C$3:$C171,$A112,OtrosR!$B$3:$B171,Q$1))</f>
        <v>#VALUE!</v>
      </c>
      <c r="S111" s="101" t="str">
        <f t="shared" si="360"/>
        <v/>
      </c>
      <c r="T111" s="102" t="str">
        <f t="array" ref="T111">SUM(SUMIFS(INDIRECT($A$3) ,OtrosR!$C$3:$C171,$A112,OtrosR!$B$3:$B171,T$1))</f>
        <v>#VALUE!</v>
      </c>
      <c r="U111" s="32" t="str">
        <f t="array" ref="U111">SUM(SUMIFS(INDIRECT($A$9) ,OtrosR!$C$3:$C171,$A112,OtrosR!$B$3:$B171,T$1))</f>
        <v>#VALUE!</v>
      </c>
      <c r="V111" s="104" t="str">
        <f t="shared" si="361"/>
        <v/>
      </c>
      <c r="W111" s="99" t="str">
        <f t="array" ref="W111">SUM(SUMIFS(INDIRECT($A$3) ,OtrosR!$C$3:$C171,$A112,OtrosR!$B$3:$B171,W$1))</f>
        <v>#VALUE!</v>
      </c>
      <c r="X111" s="35" t="str">
        <f t="array" ref="X111">SUM(SUMIFS(INDIRECT($A$9) ,OtrosR!$C$3:$C171,$A112,OtrosR!$B$3:$B171,W$1))</f>
        <v>#VALUE!</v>
      </c>
      <c r="Y111" s="101" t="str">
        <f t="shared" si="362"/>
        <v/>
      </c>
      <c r="Z111" s="102" t="str">
        <f t="array" ref="Z111">SUM(SUMIFS(INDIRECT($A$3) ,OtrosR!$C$3:$C171,$A112,OtrosR!$B$3:$B171,Z$1))</f>
        <v>#VALUE!</v>
      </c>
      <c r="AA111" s="32" t="str">
        <f t="array" ref="AA111">SUM(SUMIFS(INDIRECT($A$9) ,OtrosR!$C$3:$C171,$A112,OtrosR!$B$3:$B171,Z$1))</f>
        <v>#VALUE!</v>
      </c>
      <c r="AB111" s="104" t="str">
        <f t="shared" si="363"/>
        <v/>
      </c>
      <c r="AC111" s="99" t="str">
        <f t="array" ref="AC111">SUM(SUMIFS(INDIRECT($A$3) ,OtrosR!$C$3:$C171,$A112,OtrosR!$B$3:$B171,AC$1))</f>
        <v>#VALUE!</v>
      </c>
      <c r="AD111" s="35" t="str">
        <f t="array" ref="AD111">SUM(SUMIFS(INDIRECT($A$9) ,OtrosR!$C$3:$C171,$A112,OtrosR!$B$3:$B171,AC$1))</f>
        <v>#VALUE!</v>
      </c>
      <c r="AE111" s="101" t="str">
        <f t="shared" si="364"/>
        <v/>
      </c>
      <c r="AF111" s="102" t="str">
        <f t="array" ref="AF111">SUM(SUMIFS(INDIRECT($A$3) ,OtrosR!$C$3:$C171,$A112,OtrosR!$B$3:$B171,AF$1))</f>
        <v>#VALUE!</v>
      </c>
      <c r="AG111" s="32" t="str">
        <f t="array" ref="AG111">SUM(SUMIFS(INDIRECT($A$9) ,OtrosR!$C$3:$C171,$A112,OtrosR!$B$3:$B171,AF$1))</f>
        <v>#VALUE!</v>
      </c>
      <c r="AH111" s="104" t="str">
        <f t="shared" si="365"/>
        <v/>
      </c>
      <c r="AI111" s="99" t="str">
        <f t="array" ref="AI111">SUM(SUMIFS(INDIRECT($A$3) ,OtrosR!$C$3:$C171,$A112,OtrosR!$B$3:$B171,AI$1))</f>
        <v>#VALUE!</v>
      </c>
      <c r="AJ111" s="35" t="str">
        <f t="array" ref="AJ111">SUM(SUMIFS(INDIRECT($A$9) ,OtrosR!$C$3:$C171,$A112,OtrosR!$B$3:$B171,AI$1))</f>
        <v>#VALUE!</v>
      </c>
      <c r="AK111" s="101" t="str">
        <f t="shared" si="366"/>
        <v/>
      </c>
      <c r="AL111" s="102" t="str">
        <f t="array" ref="AL111">SUM(SUMIFS(INDIRECT($A$3) ,OtrosR!$C$3:$C171,$A112,OtrosR!$B$3:$B171,AL$1))</f>
        <v>#VALUE!</v>
      </c>
      <c r="AM111" s="32" t="str">
        <f t="array" ref="AM111">SUM(SUMIFS(INDIRECT($A$9) ,OtrosR!$C$3:$C171,$A112,OtrosR!$B$3:$B171,AL$1))</f>
        <v>#VALUE!</v>
      </c>
      <c r="AN111" s="104" t="str">
        <f t="shared" si="367"/>
        <v/>
      </c>
      <c r="AO111" s="99" t="str">
        <f t="array" ref="AO111">SUM(SUMIFS(INDIRECT($A$3) ,OtrosR!$C$3:$C171,$A112,OtrosR!$B$3:$B171,AO$1))</f>
        <v>#VALUE!</v>
      </c>
      <c r="AP111" s="35" t="str">
        <f t="array" ref="AP111">SUM(SUMIFS(INDIRECT($A$9) ,OtrosR!$C$3:$C171,$A112,OtrosR!$B$3:$B171,AO$1))</f>
        <v>#VALUE!</v>
      </c>
      <c r="AQ111" s="101" t="str">
        <f t="shared" si="368"/>
        <v/>
      </c>
      <c r="AR111" s="102" t="str">
        <f t="array" ref="AR111">SUM(SUMIFS(INDIRECT($A$3) ,OtrosR!$C$3:$C171,$A112,OtrosR!$B$3:$B171,AR$1))</f>
        <v>#VALUE!</v>
      </c>
      <c r="AS111" s="32" t="str">
        <f t="array" ref="AS111">SUM(SUMIFS(INDIRECT($A$9) ,OtrosR!$C$3:$C171,$A112,OtrosR!$B$3:$B171,AR$1))</f>
        <v>#VALUE!</v>
      </c>
      <c r="AT111" s="104" t="str">
        <f t="shared" si="369"/>
        <v/>
      </c>
      <c r="AU111" s="99" t="str">
        <f t="array" ref="AU111">SUM(SUMIFS(INDIRECT($A$3) ,OtrosR!$C$3:$C171,$A112,OtrosR!$B$3:$B171,AU$1))</f>
        <v>#VALUE!</v>
      </c>
      <c r="AV111" s="35" t="str">
        <f t="array" ref="AV111">SUM(SUMIFS(INDIRECT($A$9) ,OtrosR!$C$3:$C171,$A112,OtrosR!$B$3:$B171,AU$1))</f>
        <v>#VALUE!</v>
      </c>
      <c r="AW111" s="101" t="str">
        <f t="shared" si="370"/>
        <v/>
      </c>
      <c r="AX111" s="102" t="str">
        <f t="array" ref="AX111">SUM(SUMIFS(INDIRECT($A$3) ,OtrosR!$C$3:$C171,$A112,OtrosR!$B$3:$B171,AX$1))</f>
        <v>#VALUE!</v>
      </c>
      <c r="AY111" s="32" t="str">
        <f t="array" ref="AY111">SUM(SUMIFS(INDIRECT($A$9) ,OtrosR!$C$3:$C171,$A112,OtrosR!$B$3:$B171,AX$1))</f>
        <v>#VALUE!</v>
      </c>
      <c r="AZ111" s="104" t="str">
        <f t="shared" si="371"/>
        <v/>
      </c>
      <c r="BA111" s="99" t="str">
        <f t="array" ref="BA111">SUM(SUMIFS(INDIRECT($A$3) ,OtrosR!$C$3:$C171,$A112,OtrosR!$B$3:$B171,BA$1))</f>
        <v>#VALUE!</v>
      </c>
      <c r="BB111" s="35" t="str">
        <f t="array" ref="BB111">SUM(SUMIFS(INDIRECT($A$9) ,OtrosR!$C$3:$C171,$A112,OtrosR!$B$3:$B171,BA$1))</f>
        <v>#VALUE!</v>
      </c>
      <c r="BC111" s="101" t="str">
        <f t="shared" si="372"/>
        <v/>
      </c>
      <c r="BD111" s="102" t="str">
        <f t="array" ref="BD111">SUM(SUMIFS(INDIRECT($A$3) ,OtrosR!$C$3:$C171,$A112,OtrosR!$B$3:$B171,BD$1))</f>
        <v>#VALUE!</v>
      </c>
      <c r="BE111" s="32" t="str">
        <f t="array" ref="BE111">SUM(SUMIFS(INDIRECT($A$9) ,OtrosR!$C$3:$C171,$A112,OtrosR!$B$3:$B171,BD$1))</f>
        <v>#VALUE!</v>
      </c>
      <c r="BF111" s="104" t="str">
        <f t="shared" si="373"/>
        <v/>
      </c>
      <c r="BG111" s="99" t="str">
        <f t="array" ref="BG111">SUM(SUMIFS(INDIRECT($A$3) ,OtrosR!$C$3:$C171,$A112,OtrosR!$B$3:$B171,BG$1))</f>
        <v>#VALUE!</v>
      </c>
      <c r="BH111" s="35" t="str">
        <f t="array" ref="BH111">SUM(SUMIFS(INDIRECT($A$9) ,OtrosR!$C$3:$C171,$A112,OtrosR!$B$3:$B171,BG$1))</f>
        <v>#VALUE!</v>
      </c>
      <c r="BI111" s="101" t="str">
        <f t="shared" si="374"/>
        <v/>
      </c>
      <c r="BJ111" s="102" t="str">
        <f t="array" ref="BJ111">SUM(SUMIFS(INDIRECT($A$3) ,OtrosR!$C$3:$C171,$A112,OtrosR!$B$3:$B171,BJ$1))</f>
        <v>#VALUE!</v>
      </c>
      <c r="BK111" s="32" t="str">
        <f t="array" ref="BK111">SUM(SUMIFS(INDIRECT($A$9) ,OtrosR!$C$3:$C171,$A112,OtrosR!$B$3:$B171,BJ$1))</f>
        <v>#VALUE!</v>
      </c>
      <c r="BL111" s="104" t="str">
        <f t="shared" si="375"/>
        <v/>
      </c>
      <c r="BM111" s="99" t="str">
        <f t="array" ref="BM111">SUM(SUMIFS(INDIRECT($A$3) ,OtrosR!$C$3:$C171,$A112,OtrosR!$B$3:$B171,BM$1))</f>
        <v>#VALUE!</v>
      </c>
      <c r="BN111" s="35" t="str">
        <f t="array" ref="BN111">SUM(SUMIFS(INDIRECT($A$9) ,OtrosR!$C$3:$C171,$A112,OtrosR!$B$3:$B171,BM$1))</f>
        <v>#VALUE!</v>
      </c>
      <c r="BO111" s="101" t="str">
        <f t="shared" si="376"/>
        <v/>
      </c>
      <c r="BP111" s="102" t="str">
        <f t="array" ref="BP111">SUM(SUMIFS(INDIRECT($A$3) ,OtrosR!$C$3:$C171,$A112,OtrosR!$B$3:$B171,BP$1))</f>
        <v>#VALUE!</v>
      </c>
      <c r="BQ111" s="32" t="str">
        <f t="array" ref="BQ111">SUM(SUMIFS(INDIRECT($A$9) ,OtrosR!$C$3:$C171,$A112,OtrosR!$B$3:$B171,BP$1))</f>
        <v>#VALUE!</v>
      </c>
      <c r="BR111" s="104" t="str">
        <f t="shared" si="377"/>
        <v/>
      </c>
      <c r="BS111" s="99" t="str">
        <f t="array" ref="BS111">SUM(SUMIFS(INDIRECT($A$3) ,OtrosR!$C$3:$C171,$A112,OtrosR!$B$3:$B171,BS$1))</f>
        <v>#VALUE!</v>
      </c>
      <c r="BT111" s="35" t="str">
        <f t="array" ref="BT111">SUM(SUMIFS(INDIRECT($A$9) ,OtrosR!$C$3:$C171,$A112,OtrosR!$B$3:$B171,BS$1))</f>
        <v>#VALUE!</v>
      </c>
      <c r="BU111" s="101" t="str">
        <f t="shared" si="378"/>
        <v/>
      </c>
      <c r="BV111" s="102" t="str">
        <f t="array" ref="BV111">SUM(SUMIFS(INDIRECT($A$3) ,OtrosR!$C$3:$C171,$A112,OtrosR!$B$3:$B171,BV$1))</f>
        <v>#VALUE!</v>
      </c>
      <c r="BW111" s="32" t="str">
        <f t="array" ref="BW111">SUM(SUMIFS(INDIRECT($A$9) ,OtrosR!$C$3:$C171,$A112,OtrosR!$B$3:$B171,BV$1))</f>
        <v>#VALUE!</v>
      </c>
      <c r="BX111" s="104" t="str">
        <f t="shared" si="379"/>
        <v/>
      </c>
      <c r="BY111" s="99" t="str">
        <f t="array" ref="BY111">SUM(SUMIFS(INDIRECT($A$3) ,OtrosR!$C$3:$C171,$A112,OtrosR!$B$3:$B171,BY$1))</f>
        <v>#VALUE!</v>
      </c>
      <c r="BZ111" s="35" t="str">
        <f t="array" ref="BZ111">SUM(SUMIFS(INDIRECT($A$9) ,OtrosR!$C$3:$C171,$A112,OtrosR!$B$3:$B171,BY$1))</f>
        <v>#VALUE!</v>
      </c>
      <c r="CA111" s="101" t="str">
        <f t="shared" si="380"/>
        <v/>
      </c>
      <c r="CB111" s="102" t="str">
        <f t="array" ref="CB111">SUM(SUMIFS(INDIRECT($A$3) ,OtrosR!$C$3:$C171,$A112,OtrosR!$B$3:$B171,CB$1))</f>
        <v>#VALUE!</v>
      </c>
      <c r="CC111" s="32" t="str">
        <f t="array" ref="CC111">SUM(SUMIFS(INDIRECT($A$9) ,OtrosR!$C$3:$C171,$A112,OtrosR!$B$3:$B171,CB$1))</f>
        <v>#VALUE!</v>
      </c>
      <c r="CD111" s="104" t="str">
        <f t="shared" si="381"/>
        <v/>
      </c>
      <c r="CE111" s="99" t="str">
        <f t="array" ref="CE111">SUM(SUMIFS(INDIRECT($A$3) ,OtrosR!$C$3:$C171,$A112,OtrosR!$B$3:$B171,CE$1))</f>
        <v>#VALUE!</v>
      </c>
      <c r="CF111" s="35" t="str">
        <f t="array" ref="CF111">SUM(SUMIFS(INDIRECT($A$9) ,OtrosR!$C$3:$C171,$A112,OtrosR!$B$3:$B171,CE$1))</f>
        <v>#VALUE!</v>
      </c>
      <c r="CG111" s="101" t="str">
        <f t="shared" si="382"/>
        <v/>
      </c>
      <c r="CH111" s="102" t="str">
        <f t="array" ref="CH111">SUM(SUMIFS(INDIRECT($A$3) ,OtrosR!$C$3:$C171,$A112,OtrosR!$B$3:$B171,CH$1))</f>
        <v>#VALUE!</v>
      </c>
      <c r="CI111" s="32" t="str">
        <f t="array" ref="CI111">SUM(SUMIFS(INDIRECT($A$9) ,OtrosR!$C$3:$C171,$A112,OtrosR!$B$3:$B171,CH$1))</f>
        <v>#VALUE!</v>
      </c>
      <c r="CJ111" s="104" t="str">
        <f t="shared" si="383"/>
        <v/>
      </c>
      <c r="CK111" s="99" t="str">
        <f t="array" ref="CK111">SUM(SUMIFS(INDIRECT($A$3) ,OtrosR!$C$3:$C171,$A112,OtrosR!$B$3:$B171,CK$1))</f>
        <v>#VALUE!</v>
      </c>
      <c r="CL111" s="35" t="str">
        <f t="array" ref="CL111">SUM(SUMIFS(INDIRECT($A$9) ,OtrosR!$C$3:$C171,$A112,OtrosR!$B$3:$B171,CK$1))</f>
        <v>#VALUE!</v>
      </c>
      <c r="CM111" s="101" t="str">
        <f t="shared" si="384"/>
        <v/>
      </c>
      <c r="CN111" s="102" t="str">
        <f t="array" ref="CN111">SUM(SUMIFS(INDIRECT($A$3) ,OtrosR!$C$3:$C171,$A112,OtrosR!$B$3:$B171,CN$1))</f>
        <v>#VALUE!</v>
      </c>
      <c r="CO111" s="32" t="str">
        <f t="array" ref="CO111">SUM(SUMIFS(INDIRECT($A$9) ,OtrosR!$C$3:$C171,$A112,OtrosR!$B$3:$B171,CN$1))</f>
        <v>#VALUE!</v>
      </c>
      <c r="CP111" s="104" t="str">
        <f t="shared" si="385"/>
        <v/>
      </c>
      <c r="CQ111" s="99" t="str">
        <f t="array" ref="CQ111">SUM(SUMIFS(INDIRECT($A$3) ,OtrosR!$C$3:$C171,$A112,OtrosR!$B$3:$B171,CQ$1))</f>
        <v>#VALUE!</v>
      </c>
      <c r="CR111" s="35" t="str">
        <f t="array" ref="CR111">SUM(SUMIFS(INDIRECT($A$9) ,OtrosR!$C$3:$C171,$A112,OtrosR!$B$3:$B171,CQ$1))</f>
        <v>#VALUE!</v>
      </c>
      <c r="CS111" s="101" t="str">
        <f t="shared" si="386"/>
        <v/>
      </c>
      <c r="CT111" s="102" t="str">
        <f t="array" ref="CT111">SUM(SUMIFS(INDIRECT($A$3) ,OtrosR!$C$3:$C171,$A112,OtrosR!$B$3:$B171,CT$1))</f>
        <v>#VALUE!</v>
      </c>
      <c r="CU111" s="32" t="str">
        <f t="array" ref="CU111">SUM(SUMIFS(INDIRECT($A$9) ,OtrosR!$C$3:$C171,$A112,OtrosR!$B$3:$B171,CT$1))</f>
        <v>#VALUE!</v>
      </c>
      <c r="CV111" s="104" t="str">
        <f t="shared" si="387"/>
        <v/>
      </c>
      <c r="CW111" s="99" t="str">
        <f t="array" ref="CW111">SUM(SUMIFS(INDIRECT($A$3) ,OtrosR!$C$3:$C171,$A112,OtrosR!$B$3:$B171,CW$1))</f>
        <v>#VALUE!</v>
      </c>
      <c r="CX111" s="35" t="str">
        <f t="array" ref="CX111">SUM(SUMIFS(INDIRECT($A$9) ,OtrosR!$C$3:$C171,$A112,OtrosR!$B$3:$B171,CW$1))</f>
        <v>#VALUE!</v>
      </c>
      <c r="CY111" s="101" t="str">
        <f t="shared" si="388"/>
        <v/>
      </c>
      <c r="CZ111" s="102" t="str">
        <f t="array" ref="CZ111">SUM(SUMIFS(INDIRECT($A$3) ,OtrosR!$C$3:$C171,$A112,OtrosR!$B$3:$B171,CZ$1))</f>
        <v>#VALUE!</v>
      </c>
      <c r="DA111" s="32" t="str">
        <f t="array" ref="DA111">SUM(SUMIFS(INDIRECT($A$9) ,OtrosR!$C$3:$C171,$A112,OtrosR!$B$3:$B171,CZ$1))</f>
        <v>#VALUE!</v>
      </c>
      <c r="DB111" s="104" t="str">
        <f t="shared" si="389"/>
        <v/>
      </c>
      <c r="DC111" s="99" t="str">
        <f t="array" ref="DC111">SUM(SUMIFS(INDIRECT($A$3) ,OtrosR!$C$3:$C171,$A112,OtrosR!$B$3:$B171,DC$1))</f>
        <v>#VALUE!</v>
      </c>
      <c r="DD111" s="35" t="str">
        <f t="array" ref="DD111">SUM(SUMIFS(INDIRECT($A$9) ,OtrosR!$C$3:$C171,$A112,OtrosR!$B$3:$B171,DC$1))</f>
        <v>#VALUE!</v>
      </c>
      <c r="DE111" s="101" t="str">
        <f t="shared" si="390"/>
        <v/>
      </c>
      <c r="DF111" s="102" t="str">
        <f t="array" ref="DF111">SUM(SUMIFS(INDIRECT($A$3) ,OtrosR!$C$3:$C171,$A112,OtrosR!$B$3:$B171,DF$1))</f>
        <v>#VALUE!</v>
      </c>
      <c r="DG111" s="32" t="str">
        <f t="array" ref="DG111">SUM(SUMIFS(INDIRECT($A$9) ,OtrosR!$C$3:$C171,$A112,OtrosR!$B$3:$B171,DF$1))</f>
        <v>#VALUE!</v>
      </c>
      <c r="DH111" s="104" t="str">
        <f t="shared" si="391"/>
        <v/>
      </c>
      <c r="DI111" s="99" t="str">
        <f t="array" ref="DI111">SUM(SUMIFS(INDIRECT($A$3) ,OtrosR!$C$3:$C171,$A112,OtrosR!$B$3:$B171,DI$1))</f>
        <v>#VALUE!</v>
      </c>
      <c r="DJ111" s="35" t="str">
        <f t="array" ref="DJ111">SUM(SUMIFS(INDIRECT($A$9) ,OtrosR!$C$3:$C171,$A112,OtrosR!$B$3:$B171,DI$1))</f>
        <v>#VALUE!</v>
      </c>
      <c r="DK111" s="101" t="str">
        <f t="shared" si="392"/>
        <v/>
      </c>
      <c r="DL111" s="102" t="str">
        <f t="array" ref="DL111">SUM(SUMIFS(INDIRECT($A$3) ,OtrosR!$C$3:$C171,$A112,OtrosR!$B$3:$B171,DL$1))</f>
        <v>#VALUE!</v>
      </c>
      <c r="DM111" s="32" t="str">
        <f t="array" ref="DM111">SUM(SUMIFS(INDIRECT($A$9) ,OtrosR!$C$3:$C171,$A112,OtrosR!$B$3:$B171,DL$1))</f>
        <v>#VALUE!</v>
      </c>
      <c r="DN111" s="104" t="str">
        <f t="shared" si="393"/>
        <v/>
      </c>
      <c r="DO111" s="99" t="str">
        <f t="array" ref="DO111">SUM(SUMIFS(INDIRECT($A$3) ,OtrosR!$C$3:$C171,$A112,OtrosR!$B$3:$B171,DO$1))</f>
        <v>#VALUE!</v>
      </c>
      <c r="DP111" s="35" t="str">
        <f t="array" ref="DP111">SUM(SUMIFS(INDIRECT($A$9) ,OtrosR!$C$3:$C171,$A112,OtrosR!$B$3:$B171,DO$1))</f>
        <v>#VALUE!</v>
      </c>
      <c r="DQ111" s="101" t="str">
        <f t="shared" si="394"/>
        <v/>
      </c>
      <c r="DR111" s="102" t="str">
        <f t="array" ref="DR111">SUM(SUMIFS(INDIRECT($A$3) ,OtrosR!$C$3:$C171,$A112,OtrosR!$B$3:$B171,DR$1))</f>
        <v>#VALUE!</v>
      </c>
      <c r="DS111" s="32" t="str">
        <f t="array" ref="DS111">SUM(SUMIFS(INDIRECT($A$9) ,OtrosR!$C$3:$C171,$A112,OtrosR!$B$3:$B171,DR$1))</f>
        <v>#VALUE!</v>
      </c>
      <c r="DT111" s="104" t="str">
        <f t="shared" si="395"/>
        <v/>
      </c>
    </row>
    <row r="112" ht="15.75" hidden="1" customHeight="1">
      <c r="A112" s="40" t="str">
        <f>Menus!Q7</f>
        <v/>
      </c>
      <c r="B112" s="32" t="str">
        <f t="shared" si="353"/>
        <v>#VALUE!</v>
      </c>
      <c r="C112" s="32" t="str">
        <f t="shared" si="354"/>
        <v>#VALUE!</v>
      </c>
      <c r="D112" s="32" t="str">
        <f t="shared" si="355"/>
        <v>#VALUE!</v>
      </c>
      <c r="E112" s="106" t="str">
        <f t="array" ref="E112">SUM(SUMIFS(INDIRECT($A$3) ,OtrosR!$C$3:$C171,#REF!,OtrosR!$B$3:$B171,E$1))</f>
        <v>#VALUE!</v>
      </c>
      <c r="F112" s="51" t="str">
        <f t="array" ref="F112">SUM(SUMIFS(INDIRECT($A$9) ,OtrosR!$C$3:$C171,#REF!,OtrosR!$B$3:$B171,E$1))</f>
        <v>#VALUE!</v>
      </c>
      <c r="G112" s="95" t="str">
        <f t="shared" si="356"/>
        <v/>
      </c>
      <c r="H112" s="96" t="str">
        <f t="array" ref="H112">SUM(SUMIFS(INDIRECT($A$3) ,OtrosR!$C$3:$C171,$A112,OtrosR!$B$3:$B171,H$1))</f>
        <v>#VALUE!</v>
      </c>
      <c r="I112" s="34" t="str">
        <f t="array" ref="I112">SUM(SUMIFS(INDIRECT($A$9) ,OtrosR!$C$3:$C171,#REF!,OtrosR!$B$3:$B171,H$1))</f>
        <v>#VALUE!</v>
      </c>
      <c r="J112" s="98" t="str">
        <f t="shared" si="357"/>
        <v/>
      </c>
      <c r="K112" s="99" t="str">
        <f t="array" ref="K112">SUM(SUMIFS(INDIRECT($A$3) ,OtrosR!$C$3:$C171,#REF!,OtrosR!$B$3:$B171,K$1))</f>
        <v>#VALUE!</v>
      </c>
      <c r="L112" s="35" t="str">
        <f t="array" ref="L112">SUM(SUMIFS(INDIRECT($A$9) ,OtrosR!$C$3:$C171,#REF!,OtrosR!$B$3:$B171,K$1))</f>
        <v>#VALUE!</v>
      </c>
      <c r="M112" s="101" t="str">
        <f t="shared" si="358"/>
        <v/>
      </c>
      <c r="N112" s="102" t="str">
        <f t="array" ref="N112">SUM(SUMIFS(INDIRECT($A$3) ,OtrosR!$C$3:$C171,#REF!,OtrosR!$B$3:$B171,N$1))</f>
        <v>#VALUE!</v>
      </c>
      <c r="O112" s="32" t="str">
        <f t="array" ref="O112">SUM(SUMIFS(INDIRECT($A$9) ,OtrosR!$C$3:$C171,#REF!,OtrosR!$B$3:$B171,N$1))</f>
        <v>#VALUE!</v>
      </c>
      <c r="P112" s="104" t="str">
        <f t="shared" si="359"/>
        <v/>
      </c>
      <c r="Q112" s="99" t="str">
        <f t="array" ref="Q112">SUM(SUMIFS(INDIRECT($A$3) ,OtrosR!$C$3:$C171,#REF!,OtrosR!$B$3:$B171,Q$1))</f>
        <v>#VALUE!</v>
      </c>
      <c r="R112" s="35" t="str">
        <f t="array" ref="R112">SUM(SUMIFS(INDIRECT($A$9) ,OtrosR!$C$3:$C171,#REF!,OtrosR!$B$3:$B171,Q$1))</f>
        <v>#VALUE!</v>
      </c>
      <c r="S112" s="101" t="str">
        <f t="shared" si="360"/>
        <v/>
      </c>
      <c r="T112" s="102" t="str">
        <f t="array" ref="T112">SUM(SUMIFS(INDIRECT($A$3) ,OtrosR!$C$3:$C171,#REF!,OtrosR!$B$3:$B171,T$1))</f>
        <v>#VALUE!</v>
      </c>
      <c r="U112" s="32" t="str">
        <f t="array" ref="U112">SUM(SUMIFS(INDIRECT($A$9) ,OtrosR!$C$3:$C171,#REF!,OtrosR!$B$3:$B171,T$1))</f>
        <v>#VALUE!</v>
      </c>
      <c r="V112" s="104" t="str">
        <f t="shared" si="361"/>
        <v/>
      </c>
      <c r="W112" s="99" t="str">
        <f t="array" ref="W112">SUM(SUMIFS(INDIRECT($A$3) ,OtrosR!$C$3:$C171,#REF!,OtrosR!$B$3:$B171,W$1))</f>
        <v>#VALUE!</v>
      </c>
      <c r="X112" s="35" t="str">
        <f t="array" ref="X112">SUM(SUMIFS(INDIRECT($A$9) ,OtrosR!$C$3:$C171,#REF!,OtrosR!$B$3:$B171,W$1))</f>
        <v>#VALUE!</v>
      </c>
      <c r="Y112" s="101" t="str">
        <f t="shared" si="362"/>
        <v/>
      </c>
      <c r="Z112" s="102" t="str">
        <f t="array" ref="Z112">SUM(SUMIFS(INDIRECT($A$3) ,OtrosR!$C$3:$C171,#REF!,OtrosR!$B$3:$B171,Z$1))</f>
        <v>#VALUE!</v>
      </c>
      <c r="AA112" s="32" t="str">
        <f t="array" ref="AA112">SUM(SUMIFS(INDIRECT($A$9) ,OtrosR!$C$3:$C171,#REF!,OtrosR!$B$3:$B171,Z$1))</f>
        <v>#VALUE!</v>
      </c>
      <c r="AB112" s="104" t="str">
        <f t="shared" si="363"/>
        <v/>
      </c>
      <c r="AC112" s="99" t="str">
        <f t="array" ref="AC112">SUM(SUMIFS(INDIRECT($A$3) ,OtrosR!$C$3:$C171,#REF!,OtrosR!$B$3:$B171,AC$1))</f>
        <v>#VALUE!</v>
      </c>
      <c r="AD112" s="35" t="str">
        <f t="array" ref="AD112">SUM(SUMIFS(INDIRECT($A$9) ,OtrosR!$C$3:$C171,#REF!,OtrosR!$B$3:$B171,AC$1))</f>
        <v>#VALUE!</v>
      </c>
      <c r="AE112" s="101" t="str">
        <f t="shared" si="364"/>
        <v/>
      </c>
      <c r="AF112" s="102" t="str">
        <f t="array" ref="AF112">SUM(SUMIFS(INDIRECT($A$3) ,OtrosR!$C$3:$C171,#REF!,OtrosR!$B$3:$B171,AF$1))</f>
        <v>#VALUE!</v>
      </c>
      <c r="AG112" s="32" t="str">
        <f t="array" ref="AG112">SUM(SUMIFS(INDIRECT($A$9) ,OtrosR!$C$3:$C171,#REF!,OtrosR!$B$3:$B171,AF$1))</f>
        <v>#VALUE!</v>
      </c>
      <c r="AH112" s="104" t="str">
        <f t="shared" si="365"/>
        <v/>
      </c>
      <c r="AI112" s="99" t="str">
        <f t="array" ref="AI112">SUM(SUMIFS(INDIRECT($A$3) ,OtrosR!$C$3:$C171,#REF!,OtrosR!$B$3:$B171,AI$1))</f>
        <v>#VALUE!</v>
      </c>
      <c r="AJ112" s="35" t="str">
        <f t="array" ref="AJ112">SUM(SUMIFS(INDIRECT($A$9) ,OtrosR!$C$3:$C171,#REF!,OtrosR!$B$3:$B171,AI$1))</f>
        <v>#VALUE!</v>
      </c>
      <c r="AK112" s="101" t="str">
        <f t="shared" si="366"/>
        <v/>
      </c>
      <c r="AL112" s="102" t="str">
        <f t="array" ref="AL112">SUM(SUMIFS(INDIRECT($A$3) ,OtrosR!$C$3:$C171,#REF!,OtrosR!$B$3:$B171,AL$1))</f>
        <v>#VALUE!</v>
      </c>
      <c r="AM112" s="32" t="str">
        <f t="array" ref="AM112">SUM(SUMIFS(INDIRECT($A$9) ,OtrosR!$C$3:$C171,#REF!,OtrosR!$B$3:$B171,AL$1))</f>
        <v>#VALUE!</v>
      </c>
      <c r="AN112" s="104" t="str">
        <f t="shared" si="367"/>
        <v/>
      </c>
      <c r="AO112" s="99" t="str">
        <f t="array" ref="AO112">SUM(SUMIFS(INDIRECT($A$3) ,OtrosR!$C$3:$C171,#REF!,OtrosR!$B$3:$B171,AO$1))</f>
        <v>#VALUE!</v>
      </c>
      <c r="AP112" s="35" t="str">
        <f t="array" ref="AP112">SUM(SUMIFS(INDIRECT($A$9) ,OtrosR!$C$3:$C171,#REF!,OtrosR!$B$3:$B171,AO$1))</f>
        <v>#VALUE!</v>
      </c>
      <c r="AQ112" s="101" t="str">
        <f t="shared" si="368"/>
        <v/>
      </c>
      <c r="AR112" s="102" t="str">
        <f t="array" ref="AR112">SUM(SUMIFS(INDIRECT($A$3) ,OtrosR!$C$3:$C171,#REF!,OtrosR!$B$3:$B171,AR$1))</f>
        <v>#VALUE!</v>
      </c>
      <c r="AS112" s="32" t="str">
        <f t="array" ref="AS112">SUM(SUMIFS(INDIRECT($A$9) ,OtrosR!$C$3:$C171,#REF!,OtrosR!$B$3:$B171,AR$1))</f>
        <v>#VALUE!</v>
      </c>
      <c r="AT112" s="104" t="str">
        <f t="shared" si="369"/>
        <v/>
      </c>
      <c r="AU112" s="99" t="str">
        <f t="array" ref="AU112">SUM(SUMIFS(INDIRECT($A$3) ,OtrosR!$C$3:$C171,#REF!,OtrosR!$B$3:$B171,AU$1))</f>
        <v>#VALUE!</v>
      </c>
      <c r="AV112" s="35" t="str">
        <f t="array" ref="AV112">SUM(SUMIFS(INDIRECT($A$9) ,OtrosR!$C$3:$C171,#REF!,OtrosR!$B$3:$B171,AU$1))</f>
        <v>#VALUE!</v>
      </c>
      <c r="AW112" s="101" t="str">
        <f t="shared" si="370"/>
        <v/>
      </c>
      <c r="AX112" s="102" t="str">
        <f t="array" ref="AX112">SUM(SUMIFS(INDIRECT($A$3) ,OtrosR!$C$3:$C171,#REF!,OtrosR!$B$3:$B171,AX$1))</f>
        <v>#VALUE!</v>
      </c>
      <c r="AY112" s="32" t="str">
        <f t="array" ref="AY112">SUM(SUMIFS(INDIRECT($A$9) ,OtrosR!$C$3:$C171,#REF!,OtrosR!$B$3:$B171,AX$1))</f>
        <v>#VALUE!</v>
      </c>
      <c r="AZ112" s="104" t="str">
        <f t="shared" si="371"/>
        <v/>
      </c>
      <c r="BA112" s="99" t="str">
        <f t="array" ref="BA112">SUM(SUMIFS(INDIRECT($A$3) ,OtrosR!$C$3:$C171,#REF!,OtrosR!$B$3:$B171,BA$1))</f>
        <v>#VALUE!</v>
      </c>
      <c r="BB112" s="35" t="str">
        <f t="array" ref="BB112">SUM(SUMIFS(INDIRECT($A$9) ,OtrosR!$C$3:$C171,#REF!,OtrosR!$B$3:$B171,BA$1))</f>
        <v>#VALUE!</v>
      </c>
      <c r="BC112" s="101" t="str">
        <f t="shared" si="372"/>
        <v/>
      </c>
      <c r="BD112" s="102" t="str">
        <f t="array" ref="BD112">SUM(SUMIFS(INDIRECT($A$3) ,OtrosR!$C$3:$C171,#REF!,OtrosR!$B$3:$B171,BD$1))</f>
        <v>#VALUE!</v>
      </c>
      <c r="BE112" s="32" t="str">
        <f t="array" ref="BE112">SUM(SUMIFS(INDIRECT($A$9) ,OtrosR!$C$3:$C171,#REF!,OtrosR!$B$3:$B171,BD$1))</f>
        <v>#VALUE!</v>
      </c>
      <c r="BF112" s="104" t="str">
        <f t="shared" si="373"/>
        <v/>
      </c>
      <c r="BG112" s="99" t="str">
        <f t="array" ref="BG112">SUM(SUMIFS(INDIRECT($A$3) ,OtrosR!$C$3:$C171,#REF!,OtrosR!$B$3:$B171,BG$1))</f>
        <v>#VALUE!</v>
      </c>
      <c r="BH112" s="35" t="str">
        <f t="array" ref="BH112">SUM(SUMIFS(INDIRECT($A$9) ,OtrosR!$C$3:$C171,#REF!,OtrosR!$B$3:$B171,BG$1))</f>
        <v>#VALUE!</v>
      </c>
      <c r="BI112" s="101" t="str">
        <f t="shared" si="374"/>
        <v/>
      </c>
      <c r="BJ112" s="102" t="str">
        <f t="array" ref="BJ112">SUM(SUMIFS(INDIRECT($A$3) ,OtrosR!$C$3:$C171,#REF!,OtrosR!$B$3:$B171,BJ$1))</f>
        <v>#VALUE!</v>
      </c>
      <c r="BK112" s="32" t="str">
        <f t="array" ref="BK112">SUM(SUMIFS(INDIRECT($A$9) ,OtrosR!$C$3:$C171,#REF!,OtrosR!$B$3:$B171,BJ$1))</f>
        <v>#VALUE!</v>
      </c>
      <c r="BL112" s="104" t="str">
        <f t="shared" si="375"/>
        <v/>
      </c>
      <c r="BM112" s="99" t="str">
        <f t="array" ref="BM112">SUM(SUMIFS(INDIRECT($A$3) ,OtrosR!$C$3:$C171,#REF!,OtrosR!$B$3:$B171,BM$1))</f>
        <v>#VALUE!</v>
      </c>
      <c r="BN112" s="35" t="str">
        <f t="array" ref="BN112">SUM(SUMIFS(INDIRECT($A$9) ,OtrosR!$C$3:$C171,#REF!,OtrosR!$B$3:$B171,BM$1))</f>
        <v>#VALUE!</v>
      </c>
      <c r="BO112" s="101" t="str">
        <f t="shared" si="376"/>
        <v/>
      </c>
      <c r="BP112" s="102" t="str">
        <f t="array" ref="BP112">SUM(SUMIFS(INDIRECT($A$3) ,OtrosR!$C$3:$C171,#REF!,OtrosR!$B$3:$B171,BP$1))</f>
        <v>#VALUE!</v>
      </c>
      <c r="BQ112" s="32" t="str">
        <f t="array" ref="BQ112">SUM(SUMIFS(INDIRECT($A$9) ,OtrosR!$C$3:$C171,#REF!,OtrosR!$B$3:$B171,BP$1))</f>
        <v>#VALUE!</v>
      </c>
      <c r="BR112" s="104" t="str">
        <f t="shared" si="377"/>
        <v/>
      </c>
      <c r="BS112" s="99" t="str">
        <f t="array" ref="BS112">SUM(SUMIFS(INDIRECT($A$3) ,OtrosR!$C$3:$C171,#REF!,OtrosR!$B$3:$B171,BS$1))</f>
        <v>#VALUE!</v>
      </c>
      <c r="BT112" s="35" t="str">
        <f t="array" ref="BT112">SUM(SUMIFS(INDIRECT($A$9) ,OtrosR!$C$3:$C171,#REF!,OtrosR!$B$3:$B171,BS$1))</f>
        <v>#VALUE!</v>
      </c>
      <c r="BU112" s="101" t="str">
        <f t="shared" si="378"/>
        <v/>
      </c>
      <c r="BV112" s="102" t="str">
        <f t="array" ref="BV112">SUM(SUMIFS(INDIRECT($A$3) ,OtrosR!$C$3:$C171,#REF!,OtrosR!$B$3:$B171,BV$1))</f>
        <v>#VALUE!</v>
      </c>
      <c r="BW112" s="32" t="str">
        <f t="array" ref="BW112">SUM(SUMIFS(INDIRECT($A$9) ,OtrosR!$C$3:$C171,#REF!,OtrosR!$B$3:$B171,BV$1))</f>
        <v>#VALUE!</v>
      </c>
      <c r="BX112" s="104" t="str">
        <f t="shared" si="379"/>
        <v/>
      </c>
      <c r="BY112" s="99" t="str">
        <f t="array" ref="BY112">SUM(SUMIFS(INDIRECT($A$3) ,OtrosR!$C$3:$C171,#REF!,OtrosR!$B$3:$B171,BY$1))</f>
        <v>#VALUE!</v>
      </c>
      <c r="BZ112" s="35" t="str">
        <f t="array" ref="BZ112">SUM(SUMIFS(INDIRECT($A$9) ,OtrosR!$C$3:$C171,#REF!,OtrosR!$B$3:$B171,BY$1))</f>
        <v>#VALUE!</v>
      </c>
      <c r="CA112" s="101" t="str">
        <f t="shared" si="380"/>
        <v/>
      </c>
      <c r="CB112" s="102" t="str">
        <f t="array" ref="CB112">SUM(SUMIFS(INDIRECT($A$3) ,OtrosR!$C$3:$C171,#REF!,OtrosR!$B$3:$B171,CB$1))</f>
        <v>#VALUE!</v>
      </c>
      <c r="CC112" s="32" t="str">
        <f t="array" ref="CC112">SUM(SUMIFS(INDIRECT($A$9) ,OtrosR!$C$3:$C171,#REF!,OtrosR!$B$3:$B171,CB$1))</f>
        <v>#VALUE!</v>
      </c>
      <c r="CD112" s="104" t="str">
        <f t="shared" si="381"/>
        <v/>
      </c>
      <c r="CE112" s="99" t="str">
        <f t="array" ref="CE112">SUM(SUMIFS(INDIRECT($A$3) ,OtrosR!$C$3:$C171,#REF!,OtrosR!$B$3:$B171,CE$1))</f>
        <v>#VALUE!</v>
      </c>
      <c r="CF112" s="35" t="str">
        <f t="array" ref="CF112">SUM(SUMIFS(INDIRECT($A$9) ,OtrosR!$C$3:$C171,#REF!,OtrosR!$B$3:$B171,CE$1))</f>
        <v>#VALUE!</v>
      </c>
      <c r="CG112" s="101" t="str">
        <f t="shared" si="382"/>
        <v/>
      </c>
      <c r="CH112" s="102" t="str">
        <f t="array" ref="CH112">SUM(SUMIFS(INDIRECT($A$3) ,OtrosR!$C$3:$C171,#REF!,OtrosR!$B$3:$B171,CH$1))</f>
        <v>#VALUE!</v>
      </c>
      <c r="CI112" s="32" t="str">
        <f t="array" ref="CI112">SUM(SUMIFS(INDIRECT($A$9) ,OtrosR!$C$3:$C171,#REF!,OtrosR!$B$3:$B171,CH$1))</f>
        <v>#VALUE!</v>
      </c>
      <c r="CJ112" s="104" t="str">
        <f t="shared" si="383"/>
        <v/>
      </c>
      <c r="CK112" s="99" t="str">
        <f t="array" ref="CK112">SUM(SUMIFS(INDIRECT($A$3) ,OtrosR!$C$3:$C171,#REF!,OtrosR!$B$3:$B171,CK$1))</f>
        <v>#VALUE!</v>
      </c>
      <c r="CL112" s="35" t="str">
        <f t="array" ref="CL112">SUM(SUMIFS(INDIRECT($A$9) ,OtrosR!$C$3:$C171,#REF!,OtrosR!$B$3:$B171,CK$1))</f>
        <v>#VALUE!</v>
      </c>
      <c r="CM112" s="101" t="str">
        <f t="shared" si="384"/>
        <v/>
      </c>
      <c r="CN112" s="102" t="str">
        <f t="array" ref="CN112">SUM(SUMIFS(INDIRECT($A$3) ,OtrosR!$C$3:$C171,#REF!,OtrosR!$B$3:$B171,CN$1))</f>
        <v>#VALUE!</v>
      </c>
      <c r="CO112" s="32" t="str">
        <f t="array" ref="CO112">SUM(SUMIFS(INDIRECT($A$9) ,OtrosR!$C$3:$C171,#REF!,OtrosR!$B$3:$B171,CN$1))</f>
        <v>#VALUE!</v>
      </c>
      <c r="CP112" s="104" t="str">
        <f t="shared" si="385"/>
        <v/>
      </c>
      <c r="CQ112" s="99" t="str">
        <f t="array" ref="CQ112">SUM(SUMIFS(INDIRECT($A$3) ,OtrosR!$C$3:$C171,#REF!,OtrosR!$B$3:$B171,CQ$1))</f>
        <v>#VALUE!</v>
      </c>
      <c r="CR112" s="35" t="str">
        <f t="array" ref="CR112">SUM(SUMIFS(INDIRECT($A$9) ,OtrosR!$C$3:$C171,#REF!,OtrosR!$B$3:$B171,CQ$1))</f>
        <v>#VALUE!</v>
      </c>
      <c r="CS112" s="101" t="str">
        <f t="shared" si="386"/>
        <v/>
      </c>
      <c r="CT112" s="102" t="str">
        <f t="array" ref="CT112">SUM(SUMIFS(INDIRECT($A$3) ,OtrosR!$C$3:$C171,#REF!,OtrosR!$B$3:$B171,CT$1))</f>
        <v>#VALUE!</v>
      </c>
      <c r="CU112" s="32" t="str">
        <f t="array" ref="CU112">SUM(SUMIFS(INDIRECT($A$9) ,OtrosR!$C$3:$C171,#REF!,OtrosR!$B$3:$B171,CT$1))</f>
        <v>#VALUE!</v>
      </c>
      <c r="CV112" s="104" t="str">
        <f t="shared" si="387"/>
        <v/>
      </c>
      <c r="CW112" s="99" t="str">
        <f t="array" ref="CW112">SUM(SUMIFS(INDIRECT($A$3) ,OtrosR!$C$3:$C171,#REF!,OtrosR!$B$3:$B171,CW$1))</f>
        <v>#VALUE!</v>
      </c>
      <c r="CX112" s="35" t="str">
        <f t="array" ref="CX112">SUM(SUMIFS(INDIRECT($A$9) ,OtrosR!$C$3:$C171,#REF!,OtrosR!$B$3:$B171,CW$1))</f>
        <v>#VALUE!</v>
      </c>
      <c r="CY112" s="101" t="str">
        <f t="shared" si="388"/>
        <v/>
      </c>
      <c r="CZ112" s="102" t="str">
        <f t="array" ref="CZ112">SUM(SUMIFS(INDIRECT($A$3) ,OtrosR!$C$3:$C171,#REF!,OtrosR!$B$3:$B171,CZ$1))</f>
        <v>#VALUE!</v>
      </c>
      <c r="DA112" s="32" t="str">
        <f t="array" ref="DA112">SUM(SUMIFS(INDIRECT($A$9) ,OtrosR!$C$3:$C171,#REF!,OtrosR!$B$3:$B171,CZ$1))</f>
        <v>#VALUE!</v>
      </c>
      <c r="DB112" s="104" t="str">
        <f t="shared" si="389"/>
        <v/>
      </c>
      <c r="DC112" s="99" t="str">
        <f t="array" ref="DC112">SUM(SUMIFS(INDIRECT($A$3) ,OtrosR!$C$3:$C171,#REF!,OtrosR!$B$3:$B171,DC$1))</f>
        <v>#VALUE!</v>
      </c>
      <c r="DD112" s="35" t="str">
        <f t="array" ref="DD112">SUM(SUMIFS(INDIRECT($A$9) ,OtrosR!$C$3:$C171,#REF!,OtrosR!$B$3:$B171,DC$1))</f>
        <v>#VALUE!</v>
      </c>
      <c r="DE112" s="101" t="str">
        <f t="shared" si="390"/>
        <v/>
      </c>
      <c r="DF112" s="102" t="str">
        <f t="array" ref="DF112">SUM(SUMIFS(INDIRECT($A$3) ,OtrosR!$C$3:$C171,#REF!,OtrosR!$B$3:$B171,DF$1))</f>
        <v>#VALUE!</v>
      </c>
      <c r="DG112" s="32" t="str">
        <f t="array" ref="DG112">SUM(SUMIFS(INDIRECT($A$9) ,OtrosR!$C$3:$C171,#REF!,OtrosR!$B$3:$B171,DF$1))</f>
        <v>#VALUE!</v>
      </c>
      <c r="DH112" s="104" t="str">
        <f t="shared" si="391"/>
        <v/>
      </c>
      <c r="DI112" s="99" t="str">
        <f t="array" ref="DI112">SUM(SUMIFS(INDIRECT($A$3) ,OtrosR!$C$3:$C171,#REF!,OtrosR!$B$3:$B171,DI$1))</f>
        <v>#VALUE!</v>
      </c>
      <c r="DJ112" s="35" t="str">
        <f t="array" ref="DJ112">SUM(SUMIFS(INDIRECT($A$9) ,OtrosR!$C$3:$C171,#REF!,OtrosR!$B$3:$B171,DI$1))</f>
        <v>#VALUE!</v>
      </c>
      <c r="DK112" s="101" t="str">
        <f t="shared" si="392"/>
        <v/>
      </c>
      <c r="DL112" s="102" t="str">
        <f t="array" ref="DL112">SUM(SUMIFS(INDIRECT($A$3) ,OtrosR!$C$3:$C171,#REF!,OtrosR!$B$3:$B171,DL$1))</f>
        <v>#VALUE!</v>
      </c>
      <c r="DM112" s="32" t="str">
        <f t="array" ref="DM112">SUM(SUMIFS(INDIRECT($A$9) ,OtrosR!$C$3:$C171,#REF!,OtrosR!$B$3:$B171,DL$1))</f>
        <v>#VALUE!</v>
      </c>
      <c r="DN112" s="104" t="str">
        <f t="shared" si="393"/>
        <v/>
      </c>
      <c r="DO112" s="99" t="str">
        <f t="array" ref="DO112">SUM(SUMIFS(INDIRECT($A$3) ,OtrosR!$C$3:$C171,#REF!,OtrosR!$B$3:$B171,DO$1))</f>
        <v>#VALUE!</v>
      </c>
      <c r="DP112" s="35" t="str">
        <f t="array" ref="DP112">SUM(SUMIFS(INDIRECT($A$9) ,OtrosR!$C$3:$C171,#REF!,OtrosR!$B$3:$B171,DO$1))</f>
        <v>#VALUE!</v>
      </c>
      <c r="DQ112" s="101" t="str">
        <f t="shared" si="394"/>
        <v/>
      </c>
      <c r="DR112" s="102" t="str">
        <f t="array" ref="DR112">SUM(SUMIFS(INDIRECT($A$3) ,OtrosR!$C$3:$C171,#REF!,OtrosR!$B$3:$B171,DR$1))</f>
        <v>#VALUE!</v>
      </c>
      <c r="DS112" s="32" t="str">
        <f t="array" ref="DS112">SUM(SUMIFS(INDIRECT($A$9) ,OtrosR!$C$3:$C171,#REF!,OtrosR!$B$3:$B171,DR$1))</f>
        <v>#VALUE!</v>
      </c>
      <c r="DT112" s="104" t="str">
        <f t="shared" si="395"/>
        <v/>
      </c>
    </row>
    <row r="113" ht="15.75" hidden="1" customHeight="1">
      <c r="A113" s="40" t="str">
        <f>Menus!Q8</f>
        <v/>
      </c>
      <c r="B113" s="32" t="str">
        <f t="shared" si="353"/>
        <v>#VALUE!</v>
      </c>
      <c r="C113" s="32" t="str">
        <f t="shared" si="354"/>
        <v>#VALUE!</v>
      </c>
      <c r="D113" s="32" t="str">
        <f t="shared" si="355"/>
        <v>#VALUE!</v>
      </c>
      <c r="E113" s="106" t="str">
        <f t="array" ref="E113">SUM(SUMIFS(INDIRECT($A$3) ,OtrosR!$C$3:$C171,$A113,OtrosR!$B$3:$B171,E$1))</f>
        <v>#VALUE!</v>
      </c>
      <c r="F113" s="51" t="str">
        <f t="array" ref="F113">SUM(SUMIFS(INDIRECT($A$9) ,OtrosR!$C$3:$C171,$A113,OtrosR!$B$3:$B171,E$1))</f>
        <v>#VALUE!</v>
      </c>
      <c r="G113" s="95" t="str">
        <f t="shared" si="356"/>
        <v/>
      </c>
      <c r="H113" s="96" t="str">
        <f t="array" ref="H113">SUM(SUMIFS(INDIRECT($A$3) ,OtrosR!$C$3:$C171,$A113,OtrosR!$B$3:$B171,H$1))</f>
        <v>#VALUE!</v>
      </c>
      <c r="I113" s="34" t="str">
        <f t="array" ref="I113">SUM(SUMIFS(INDIRECT($A$9) ,OtrosR!$C$3:$C171,$A113,OtrosR!$B$3:$B171,H$1))</f>
        <v>#VALUE!</v>
      </c>
      <c r="J113" s="98" t="str">
        <f t="shared" si="357"/>
        <v/>
      </c>
      <c r="K113" s="99" t="str">
        <f t="array" ref="K113">SUM(SUMIFS(INDIRECT($A$3) ,OtrosR!$C$3:$C171,$A113,OtrosR!$B$3:$B171,K$1))</f>
        <v>#VALUE!</v>
      </c>
      <c r="L113" s="35" t="str">
        <f t="array" ref="L113">SUM(SUMIFS(INDIRECT($A$9) ,OtrosR!$C$3:$C171,$A113,OtrosR!$B$3:$B171,K$1))</f>
        <v>#VALUE!</v>
      </c>
      <c r="M113" s="101" t="str">
        <f t="shared" si="358"/>
        <v/>
      </c>
      <c r="N113" s="102" t="str">
        <f t="array" ref="N113">SUM(SUMIFS(INDIRECT($A$3) ,OtrosR!$C$3:$C171,$A113,OtrosR!$B$3:$B171,N$1))</f>
        <v>#VALUE!</v>
      </c>
      <c r="O113" s="32" t="str">
        <f t="array" ref="O113">SUM(SUMIFS(INDIRECT($A$9) ,OtrosR!$C$3:$C171,$A113,OtrosR!$B$3:$B171,N$1))</f>
        <v>#VALUE!</v>
      </c>
      <c r="P113" s="104" t="str">
        <f t="shared" si="359"/>
        <v/>
      </c>
      <c r="Q113" s="99" t="str">
        <f t="array" ref="Q113">SUM(SUMIFS(INDIRECT($A$3) ,OtrosR!$C$3:$C171,$A113,OtrosR!$B$3:$B171,Q$1))</f>
        <v>#VALUE!</v>
      </c>
      <c r="R113" s="35" t="str">
        <f t="array" ref="R113">SUM(SUMIFS(INDIRECT($A$9) ,OtrosR!$C$3:$C171,$A113,OtrosR!$B$3:$B171,Q$1))</f>
        <v>#VALUE!</v>
      </c>
      <c r="S113" s="101" t="str">
        <f t="shared" si="360"/>
        <v/>
      </c>
      <c r="T113" s="102" t="str">
        <f t="array" ref="T113">SUM(SUMIFS(INDIRECT($A$3) ,OtrosR!$C$3:$C171,$A113,OtrosR!$B$3:$B171,T$1))</f>
        <v>#VALUE!</v>
      </c>
      <c r="U113" s="32" t="str">
        <f t="array" ref="U113">SUM(SUMIFS(INDIRECT($A$9) ,OtrosR!$C$3:$C171,$A113,OtrosR!$B$3:$B171,T$1))</f>
        <v>#VALUE!</v>
      </c>
      <c r="V113" s="104" t="str">
        <f t="shared" si="361"/>
        <v/>
      </c>
      <c r="W113" s="99" t="str">
        <f t="array" ref="W113">SUM(SUMIFS(INDIRECT($A$3) ,OtrosR!$C$3:$C171,$A113,OtrosR!$B$3:$B171,W$1))</f>
        <v>#VALUE!</v>
      </c>
      <c r="X113" s="35" t="str">
        <f t="array" ref="X113">SUM(SUMIFS(INDIRECT($A$9) ,OtrosR!$C$3:$C171,$A113,OtrosR!$B$3:$B171,W$1))</f>
        <v>#VALUE!</v>
      </c>
      <c r="Y113" s="101" t="str">
        <f t="shared" si="362"/>
        <v/>
      </c>
      <c r="Z113" s="102" t="str">
        <f t="array" ref="Z113">SUM(SUMIFS(INDIRECT($A$3) ,OtrosR!$C$3:$C171,$A113,OtrosR!$B$3:$B171,Z$1))</f>
        <v>#VALUE!</v>
      </c>
      <c r="AA113" s="32" t="str">
        <f t="array" ref="AA113">SUM(SUMIFS(INDIRECT($A$9) ,OtrosR!$C$3:$C171,$A113,OtrosR!$B$3:$B171,Z$1))</f>
        <v>#VALUE!</v>
      </c>
      <c r="AB113" s="104" t="str">
        <f t="shared" si="363"/>
        <v/>
      </c>
      <c r="AC113" s="99" t="str">
        <f t="array" ref="AC113">SUM(SUMIFS(INDIRECT($A$3) ,OtrosR!$C$3:$C171,$A113,OtrosR!$B$3:$B171,AC$1))</f>
        <v>#VALUE!</v>
      </c>
      <c r="AD113" s="35" t="str">
        <f t="array" ref="AD113">SUM(SUMIFS(INDIRECT($A$9) ,OtrosR!$C$3:$C171,$A113,OtrosR!$B$3:$B171,AC$1))</f>
        <v>#VALUE!</v>
      </c>
      <c r="AE113" s="101" t="str">
        <f t="shared" si="364"/>
        <v/>
      </c>
      <c r="AF113" s="102" t="str">
        <f t="array" ref="AF113">SUM(SUMIFS(INDIRECT($A$3) ,OtrosR!$C$3:$C171,$A113,OtrosR!$B$3:$B171,AF$1))</f>
        <v>#VALUE!</v>
      </c>
      <c r="AG113" s="32" t="str">
        <f t="array" ref="AG113">SUM(SUMIFS(INDIRECT($A$9) ,OtrosR!$C$3:$C171,$A113,OtrosR!$B$3:$B171,AF$1))</f>
        <v>#VALUE!</v>
      </c>
      <c r="AH113" s="104" t="str">
        <f t="shared" si="365"/>
        <v/>
      </c>
      <c r="AI113" s="99" t="str">
        <f t="array" ref="AI113">SUM(SUMIFS(INDIRECT($A$3) ,OtrosR!$C$3:$C171,$A113,OtrosR!$B$3:$B171,AI$1))</f>
        <v>#VALUE!</v>
      </c>
      <c r="AJ113" s="35" t="str">
        <f t="array" ref="AJ113">SUM(SUMIFS(INDIRECT($A$9) ,OtrosR!$C$3:$C171,$A113,OtrosR!$B$3:$B171,AI$1))</f>
        <v>#VALUE!</v>
      </c>
      <c r="AK113" s="101" t="str">
        <f t="shared" si="366"/>
        <v/>
      </c>
      <c r="AL113" s="102" t="str">
        <f t="array" ref="AL113">SUM(SUMIFS(INDIRECT($A$3) ,OtrosR!$C$3:$C171,$A113,OtrosR!$B$3:$B171,AL$1))</f>
        <v>#VALUE!</v>
      </c>
      <c r="AM113" s="32" t="str">
        <f t="array" ref="AM113">SUM(SUMIFS(INDIRECT($A$9) ,OtrosR!$C$3:$C171,$A113,OtrosR!$B$3:$B171,AL$1))</f>
        <v>#VALUE!</v>
      </c>
      <c r="AN113" s="104" t="str">
        <f t="shared" si="367"/>
        <v/>
      </c>
      <c r="AO113" s="99" t="str">
        <f t="array" ref="AO113">SUM(SUMIFS(INDIRECT($A$3) ,OtrosR!$C$3:$C171,$A113,OtrosR!$B$3:$B171,AO$1))</f>
        <v>#VALUE!</v>
      </c>
      <c r="AP113" s="35" t="str">
        <f t="array" ref="AP113">SUM(SUMIFS(INDIRECT($A$9) ,OtrosR!$C$3:$C171,$A113,OtrosR!$B$3:$B171,AO$1))</f>
        <v>#VALUE!</v>
      </c>
      <c r="AQ113" s="101" t="str">
        <f t="shared" si="368"/>
        <v/>
      </c>
      <c r="AR113" s="102" t="str">
        <f t="array" ref="AR113">SUM(SUMIFS(INDIRECT($A$3) ,OtrosR!$C$3:$C171,$A113,OtrosR!$B$3:$B171,AR$1))</f>
        <v>#VALUE!</v>
      </c>
      <c r="AS113" s="32" t="str">
        <f t="array" ref="AS113">SUM(SUMIFS(INDIRECT($A$9) ,OtrosR!$C$3:$C171,$A113,OtrosR!$B$3:$B171,AR$1))</f>
        <v>#VALUE!</v>
      </c>
      <c r="AT113" s="104" t="str">
        <f t="shared" si="369"/>
        <v/>
      </c>
      <c r="AU113" s="99" t="str">
        <f t="array" ref="AU113">SUM(SUMIFS(INDIRECT($A$3) ,OtrosR!$C$3:$C171,$A113,OtrosR!$B$3:$B171,AU$1))</f>
        <v>#VALUE!</v>
      </c>
      <c r="AV113" s="35" t="str">
        <f t="array" ref="AV113">SUM(SUMIFS(INDIRECT($A$9) ,OtrosR!$C$3:$C171,$A113,OtrosR!$B$3:$B171,AU$1))</f>
        <v>#VALUE!</v>
      </c>
      <c r="AW113" s="101" t="str">
        <f t="shared" si="370"/>
        <v/>
      </c>
      <c r="AX113" s="102" t="str">
        <f t="array" ref="AX113">SUM(SUMIFS(INDIRECT($A$3) ,OtrosR!$C$3:$C171,$A113,OtrosR!$B$3:$B171,AX$1))</f>
        <v>#VALUE!</v>
      </c>
      <c r="AY113" s="32" t="str">
        <f t="array" ref="AY113">SUM(SUMIFS(INDIRECT($A$9) ,OtrosR!$C$3:$C171,$A113,OtrosR!$B$3:$B171,AX$1))</f>
        <v>#VALUE!</v>
      </c>
      <c r="AZ113" s="104" t="str">
        <f t="shared" si="371"/>
        <v/>
      </c>
      <c r="BA113" s="99" t="str">
        <f t="array" ref="BA113">SUM(SUMIFS(INDIRECT($A$3) ,OtrosR!$C$3:$C171,$A113,OtrosR!$B$3:$B171,BA$1))</f>
        <v>#VALUE!</v>
      </c>
      <c r="BB113" s="35" t="str">
        <f t="array" ref="BB113">SUM(SUMIFS(INDIRECT($A$9) ,OtrosR!$C$3:$C171,$A113,OtrosR!$B$3:$B171,BA$1))</f>
        <v>#VALUE!</v>
      </c>
      <c r="BC113" s="101" t="str">
        <f t="shared" si="372"/>
        <v/>
      </c>
      <c r="BD113" s="102" t="str">
        <f t="array" ref="BD113">SUM(SUMIFS(INDIRECT($A$3) ,OtrosR!$C$3:$C171,$A113,OtrosR!$B$3:$B171,BD$1))</f>
        <v>#VALUE!</v>
      </c>
      <c r="BE113" s="32" t="str">
        <f t="array" ref="BE113">SUM(SUMIFS(INDIRECT($A$9) ,OtrosR!$C$3:$C171,$A113,OtrosR!$B$3:$B171,BD$1))</f>
        <v>#VALUE!</v>
      </c>
      <c r="BF113" s="104" t="str">
        <f t="shared" si="373"/>
        <v/>
      </c>
      <c r="BG113" s="99" t="str">
        <f t="array" ref="BG113">SUM(SUMIFS(INDIRECT($A$3) ,OtrosR!$C$3:$C171,$A113,OtrosR!$B$3:$B171,BG$1))</f>
        <v>#VALUE!</v>
      </c>
      <c r="BH113" s="35" t="str">
        <f t="array" ref="BH113">SUM(SUMIFS(INDIRECT($A$9) ,OtrosR!$C$3:$C171,$A113,OtrosR!$B$3:$B171,BG$1))</f>
        <v>#VALUE!</v>
      </c>
      <c r="BI113" s="101" t="str">
        <f t="shared" si="374"/>
        <v/>
      </c>
      <c r="BJ113" s="102" t="str">
        <f t="array" ref="BJ113">SUM(SUMIFS(INDIRECT($A$3) ,OtrosR!$C$3:$C171,$A113,OtrosR!$B$3:$B171,BJ$1))</f>
        <v>#VALUE!</v>
      </c>
      <c r="BK113" s="32" t="str">
        <f t="array" ref="BK113">SUM(SUMIFS(INDIRECT($A$9) ,OtrosR!$C$3:$C171,$A113,OtrosR!$B$3:$B171,BJ$1))</f>
        <v>#VALUE!</v>
      </c>
      <c r="BL113" s="104" t="str">
        <f t="shared" si="375"/>
        <v/>
      </c>
      <c r="BM113" s="99" t="str">
        <f t="array" ref="BM113">SUM(SUMIFS(INDIRECT($A$3) ,OtrosR!$C$3:$C171,$A113,OtrosR!$B$3:$B171,BM$1))</f>
        <v>#VALUE!</v>
      </c>
      <c r="BN113" s="35" t="str">
        <f t="array" ref="BN113">SUM(SUMIFS(INDIRECT($A$9) ,OtrosR!$C$3:$C171,$A113,OtrosR!$B$3:$B171,BM$1))</f>
        <v>#VALUE!</v>
      </c>
      <c r="BO113" s="101" t="str">
        <f t="shared" si="376"/>
        <v/>
      </c>
      <c r="BP113" s="102" t="str">
        <f t="array" ref="BP113">SUM(SUMIFS(INDIRECT($A$3) ,OtrosR!$C$3:$C171,$A113,OtrosR!$B$3:$B171,BP$1))</f>
        <v>#VALUE!</v>
      </c>
      <c r="BQ113" s="32" t="str">
        <f t="array" ref="BQ113">SUM(SUMIFS(INDIRECT($A$9) ,OtrosR!$C$3:$C171,$A113,OtrosR!$B$3:$B171,BP$1))</f>
        <v>#VALUE!</v>
      </c>
      <c r="BR113" s="104" t="str">
        <f t="shared" si="377"/>
        <v/>
      </c>
      <c r="BS113" s="99" t="str">
        <f t="array" ref="BS113">SUM(SUMIFS(INDIRECT($A$3) ,OtrosR!$C$3:$C171,$A113,OtrosR!$B$3:$B171,BS$1))</f>
        <v>#VALUE!</v>
      </c>
      <c r="BT113" s="35" t="str">
        <f t="array" ref="BT113">SUM(SUMIFS(INDIRECT($A$9) ,OtrosR!$C$3:$C171,$A113,OtrosR!$B$3:$B171,BS$1))</f>
        <v>#VALUE!</v>
      </c>
      <c r="BU113" s="101" t="str">
        <f t="shared" si="378"/>
        <v/>
      </c>
      <c r="BV113" s="102" t="str">
        <f t="array" ref="BV113">SUM(SUMIFS(INDIRECT($A$3) ,OtrosR!$C$3:$C171,$A113,OtrosR!$B$3:$B171,BV$1))</f>
        <v>#VALUE!</v>
      </c>
      <c r="BW113" s="32" t="str">
        <f t="array" ref="BW113">SUM(SUMIFS(INDIRECT($A$9) ,OtrosR!$C$3:$C171,$A113,OtrosR!$B$3:$B171,BV$1))</f>
        <v>#VALUE!</v>
      </c>
      <c r="BX113" s="104" t="str">
        <f t="shared" si="379"/>
        <v/>
      </c>
      <c r="BY113" s="99" t="str">
        <f t="array" ref="BY113">SUM(SUMIFS(INDIRECT($A$3) ,OtrosR!$C$3:$C171,$A113,OtrosR!$B$3:$B171,BY$1))</f>
        <v>#VALUE!</v>
      </c>
      <c r="BZ113" s="35" t="str">
        <f t="array" ref="BZ113">SUM(SUMIFS(INDIRECT($A$9) ,OtrosR!$C$3:$C171,$A113,OtrosR!$B$3:$B171,BY$1))</f>
        <v>#VALUE!</v>
      </c>
      <c r="CA113" s="101" t="str">
        <f t="shared" si="380"/>
        <v/>
      </c>
      <c r="CB113" s="102" t="str">
        <f t="array" ref="CB113">SUM(SUMIFS(INDIRECT($A$3) ,OtrosR!$C$3:$C171,$A113,OtrosR!$B$3:$B171,CB$1))</f>
        <v>#VALUE!</v>
      </c>
      <c r="CC113" s="32" t="str">
        <f t="array" ref="CC113">SUM(SUMIFS(INDIRECT($A$9) ,OtrosR!$C$3:$C171,$A113,OtrosR!$B$3:$B171,CB$1))</f>
        <v>#VALUE!</v>
      </c>
      <c r="CD113" s="104" t="str">
        <f t="shared" si="381"/>
        <v/>
      </c>
      <c r="CE113" s="99" t="str">
        <f t="array" ref="CE113">SUM(SUMIFS(INDIRECT($A$3) ,OtrosR!$C$3:$C171,$A113,OtrosR!$B$3:$B171,CE$1))</f>
        <v>#VALUE!</v>
      </c>
      <c r="CF113" s="35" t="str">
        <f t="array" ref="CF113">SUM(SUMIFS(INDIRECT($A$9) ,OtrosR!$C$3:$C171,$A113,OtrosR!$B$3:$B171,CE$1))</f>
        <v>#VALUE!</v>
      </c>
      <c r="CG113" s="101" t="str">
        <f t="shared" si="382"/>
        <v/>
      </c>
      <c r="CH113" s="102" t="str">
        <f t="array" ref="CH113">SUM(SUMIFS(INDIRECT($A$3) ,OtrosR!$C$3:$C171,$A113,OtrosR!$B$3:$B171,CH$1))</f>
        <v>#VALUE!</v>
      </c>
      <c r="CI113" s="32" t="str">
        <f t="array" ref="CI113">SUM(SUMIFS(INDIRECT($A$9) ,OtrosR!$C$3:$C171,$A113,OtrosR!$B$3:$B171,CH$1))</f>
        <v>#VALUE!</v>
      </c>
      <c r="CJ113" s="104" t="str">
        <f t="shared" si="383"/>
        <v/>
      </c>
      <c r="CK113" s="99" t="str">
        <f t="array" ref="CK113">SUM(SUMIFS(INDIRECT($A$3) ,OtrosR!$C$3:$C171,$A113,OtrosR!$B$3:$B171,CK$1))</f>
        <v>#VALUE!</v>
      </c>
      <c r="CL113" s="35" t="str">
        <f t="array" ref="CL113">SUM(SUMIFS(INDIRECT($A$9) ,OtrosR!$C$3:$C171,$A113,OtrosR!$B$3:$B171,CK$1))</f>
        <v>#VALUE!</v>
      </c>
      <c r="CM113" s="101" t="str">
        <f t="shared" si="384"/>
        <v/>
      </c>
      <c r="CN113" s="102" t="str">
        <f t="array" ref="CN113">SUM(SUMIFS(INDIRECT($A$3) ,OtrosR!$C$3:$C171,$A113,OtrosR!$B$3:$B171,CN$1))</f>
        <v>#VALUE!</v>
      </c>
      <c r="CO113" s="32" t="str">
        <f t="array" ref="CO113">SUM(SUMIFS(INDIRECT($A$9) ,OtrosR!$C$3:$C171,$A113,OtrosR!$B$3:$B171,CN$1))</f>
        <v>#VALUE!</v>
      </c>
      <c r="CP113" s="104" t="str">
        <f t="shared" si="385"/>
        <v/>
      </c>
      <c r="CQ113" s="99" t="str">
        <f t="array" ref="CQ113">SUM(SUMIFS(INDIRECT($A$3) ,OtrosR!$C$3:$C171,$A113,OtrosR!$B$3:$B171,CQ$1))</f>
        <v>#VALUE!</v>
      </c>
      <c r="CR113" s="35" t="str">
        <f t="array" ref="CR113">SUM(SUMIFS(INDIRECT($A$9) ,OtrosR!$C$3:$C171,$A113,OtrosR!$B$3:$B171,CQ$1))</f>
        <v>#VALUE!</v>
      </c>
      <c r="CS113" s="101" t="str">
        <f t="shared" si="386"/>
        <v/>
      </c>
      <c r="CT113" s="102" t="str">
        <f t="array" ref="CT113">SUM(SUMIFS(INDIRECT($A$3) ,OtrosR!$C$3:$C171,$A113,OtrosR!$B$3:$B171,CT$1))</f>
        <v>#VALUE!</v>
      </c>
      <c r="CU113" s="32" t="str">
        <f t="array" ref="CU113">SUM(SUMIFS(INDIRECT($A$9) ,OtrosR!$C$3:$C171,$A113,OtrosR!$B$3:$B171,CT$1))</f>
        <v>#VALUE!</v>
      </c>
      <c r="CV113" s="104" t="str">
        <f t="shared" si="387"/>
        <v/>
      </c>
      <c r="CW113" s="99" t="str">
        <f t="array" ref="CW113">SUM(SUMIFS(INDIRECT($A$3) ,OtrosR!$C$3:$C171,$A113,OtrosR!$B$3:$B171,CW$1))</f>
        <v>#VALUE!</v>
      </c>
      <c r="CX113" s="35" t="str">
        <f t="array" ref="CX113">SUM(SUMIFS(INDIRECT($A$9) ,OtrosR!$C$3:$C171,$A113,OtrosR!$B$3:$B171,CW$1))</f>
        <v>#VALUE!</v>
      </c>
      <c r="CY113" s="101" t="str">
        <f t="shared" si="388"/>
        <v/>
      </c>
      <c r="CZ113" s="102" t="str">
        <f t="array" ref="CZ113">SUM(SUMIFS(INDIRECT($A$3) ,OtrosR!$C$3:$C171,$A113,OtrosR!$B$3:$B171,CZ$1))</f>
        <v>#VALUE!</v>
      </c>
      <c r="DA113" s="32" t="str">
        <f t="array" ref="DA113">SUM(SUMIFS(INDIRECT($A$9) ,OtrosR!$C$3:$C171,$A113,OtrosR!$B$3:$B171,CZ$1))</f>
        <v>#VALUE!</v>
      </c>
      <c r="DB113" s="104" t="str">
        <f t="shared" si="389"/>
        <v/>
      </c>
      <c r="DC113" s="99" t="str">
        <f t="array" ref="DC113">SUM(SUMIFS(INDIRECT($A$3) ,OtrosR!$C$3:$C171,$A113,OtrosR!$B$3:$B171,DC$1))</f>
        <v>#VALUE!</v>
      </c>
      <c r="DD113" s="35" t="str">
        <f t="array" ref="DD113">SUM(SUMIFS(INDIRECT($A$9) ,OtrosR!$C$3:$C171,$A113,OtrosR!$B$3:$B171,DC$1))</f>
        <v>#VALUE!</v>
      </c>
      <c r="DE113" s="101" t="str">
        <f t="shared" si="390"/>
        <v/>
      </c>
      <c r="DF113" s="102" t="str">
        <f t="array" ref="DF113">SUM(SUMIFS(INDIRECT($A$3) ,OtrosR!$C$3:$C171,$A113,OtrosR!$B$3:$B171,DF$1))</f>
        <v>#VALUE!</v>
      </c>
      <c r="DG113" s="32" t="str">
        <f t="array" ref="DG113">SUM(SUMIFS(INDIRECT($A$9) ,OtrosR!$C$3:$C171,$A113,OtrosR!$B$3:$B171,DF$1))</f>
        <v>#VALUE!</v>
      </c>
      <c r="DH113" s="104" t="str">
        <f t="shared" si="391"/>
        <v/>
      </c>
      <c r="DI113" s="99" t="str">
        <f t="array" ref="DI113">SUM(SUMIFS(INDIRECT($A$3) ,OtrosR!$C$3:$C171,$A113,OtrosR!$B$3:$B171,DI$1))</f>
        <v>#VALUE!</v>
      </c>
      <c r="DJ113" s="35" t="str">
        <f t="array" ref="DJ113">SUM(SUMIFS(INDIRECT($A$9) ,OtrosR!$C$3:$C171,$A113,OtrosR!$B$3:$B171,DI$1))</f>
        <v>#VALUE!</v>
      </c>
      <c r="DK113" s="101" t="str">
        <f t="shared" si="392"/>
        <v/>
      </c>
      <c r="DL113" s="102" t="str">
        <f t="array" ref="DL113">SUM(SUMIFS(INDIRECT($A$3) ,OtrosR!$C$3:$C171,$A113,OtrosR!$B$3:$B171,DL$1))</f>
        <v>#VALUE!</v>
      </c>
      <c r="DM113" s="32" t="str">
        <f t="array" ref="DM113">SUM(SUMIFS(INDIRECT($A$9) ,OtrosR!$C$3:$C171,$A113,OtrosR!$B$3:$B171,DL$1))</f>
        <v>#VALUE!</v>
      </c>
      <c r="DN113" s="104" t="str">
        <f t="shared" si="393"/>
        <v/>
      </c>
      <c r="DO113" s="99" t="str">
        <f t="array" ref="DO113">SUM(SUMIFS(INDIRECT($A$3) ,OtrosR!$C$3:$C171,$A113,OtrosR!$B$3:$B171,DO$1))</f>
        <v>#VALUE!</v>
      </c>
      <c r="DP113" s="35" t="str">
        <f t="array" ref="DP113">SUM(SUMIFS(INDIRECT($A$9) ,OtrosR!$C$3:$C171,$A113,OtrosR!$B$3:$B171,DO$1))</f>
        <v>#VALUE!</v>
      </c>
      <c r="DQ113" s="101" t="str">
        <f t="shared" si="394"/>
        <v/>
      </c>
      <c r="DR113" s="102" t="str">
        <f t="array" ref="DR113">SUM(SUMIFS(INDIRECT($A$3) ,OtrosR!$C$3:$C171,$A113,OtrosR!$B$3:$B171,DR$1))</f>
        <v>#VALUE!</v>
      </c>
      <c r="DS113" s="32" t="str">
        <f t="array" ref="DS113">SUM(SUMIFS(INDIRECT($A$9) ,OtrosR!$C$3:$C171,$A113,OtrosR!$B$3:$B171,DR$1))</f>
        <v>#VALUE!</v>
      </c>
      <c r="DT113" s="104" t="str">
        <f t="shared" si="395"/>
        <v/>
      </c>
    </row>
    <row r="114" ht="15.75" hidden="1" customHeight="1">
      <c r="A114" s="40" t="str">
        <f>Menus!Q9</f>
        <v/>
      </c>
      <c r="B114" s="32" t="str">
        <f t="shared" si="353"/>
        <v>#VALUE!</v>
      </c>
      <c r="C114" s="32" t="str">
        <f t="shared" si="354"/>
        <v>#VALUE!</v>
      </c>
      <c r="D114" s="32" t="str">
        <f t="shared" si="355"/>
        <v>#VALUE!</v>
      </c>
      <c r="E114" s="106" t="str">
        <f t="array" ref="E114">SUM(SUMIFS(INDIRECT($A$3) ,OtrosR!$C$3:$C171,$A114,OtrosR!$B$3:$B171,E$1))</f>
        <v>#VALUE!</v>
      </c>
      <c r="F114" s="51" t="str">
        <f t="array" ref="F114">SUM(SUMIFS(INDIRECT($A$9) ,OtrosR!$C$3:$C171,$A114,OtrosR!$B$3:$B171,E$1))</f>
        <v>#VALUE!</v>
      </c>
      <c r="G114" s="95" t="str">
        <f t="shared" si="356"/>
        <v/>
      </c>
      <c r="H114" s="96" t="str">
        <f t="array" ref="H114">SUM(SUMIFS(INDIRECT($A$3) ,OtrosR!$C$3:$C171,$A114,OtrosR!$B$3:$B171,H$1))</f>
        <v>#VALUE!</v>
      </c>
      <c r="I114" s="34" t="str">
        <f t="array" ref="I114">SUM(SUMIFS(INDIRECT($A$9) ,OtrosR!$C$3:$C171,$A114,OtrosR!$B$3:$B171,H$1))</f>
        <v>#VALUE!</v>
      </c>
      <c r="J114" s="98" t="str">
        <f t="shared" si="357"/>
        <v/>
      </c>
      <c r="K114" s="99" t="str">
        <f t="array" ref="K114">SUM(SUMIFS(INDIRECT($A$3) ,OtrosR!$C$3:$C171,$A114,OtrosR!$B$3:$B171,K$1))</f>
        <v>#VALUE!</v>
      </c>
      <c r="L114" s="35" t="str">
        <f t="array" ref="L114">SUM(SUMIFS(INDIRECT($A$9) ,OtrosR!$C$3:$C171,$A114,OtrosR!$B$3:$B171,K$1))</f>
        <v>#VALUE!</v>
      </c>
      <c r="M114" s="101" t="str">
        <f t="shared" si="358"/>
        <v/>
      </c>
      <c r="N114" s="102" t="str">
        <f t="array" ref="N114">SUM(SUMIFS(INDIRECT($A$3) ,OtrosR!$C$3:$C171,$A114,OtrosR!$B$3:$B171,N$1))</f>
        <v>#VALUE!</v>
      </c>
      <c r="O114" s="32" t="str">
        <f t="array" ref="O114">SUM(SUMIFS(INDIRECT($A$9) ,OtrosR!$C$3:$C171,$A114,OtrosR!$B$3:$B171,N$1))</f>
        <v>#VALUE!</v>
      </c>
      <c r="P114" s="104" t="str">
        <f t="shared" si="359"/>
        <v/>
      </c>
      <c r="Q114" s="99" t="str">
        <f t="array" ref="Q114">SUM(SUMIFS(INDIRECT($A$3) ,OtrosR!$C$3:$C171,$A114,OtrosR!$B$3:$B171,Q$1))</f>
        <v>#VALUE!</v>
      </c>
      <c r="R114" s="35" t="str">
        <f t="array" ref="R114">SUM(SUMIFS(INDIRECT($A$9) ,OtrosR!$C$3:$C171,$A114,OtrosR!$B$3:$B171,Q$1))</f>
        <v>#VALUE!</v>
      </c>
      <c r="S114" s="101" t="str">
        <f t="shared" si="360"/>
        <v/>
      </c>
      <c r="T114" s="102" t="str">
        <f t="array" ref="T114">SUM(SUMIFS(INDIRECT($A$3) ,OtrosR!$C$3:$C171,$A114,OtrosR!$B$3:$B171,T$1))</f>
        <v>#VALUE!</v>
      </c>
      <c r="U114" s="32" t="str">
        <f t="array" ref="U114">SUM(SUMIFS(INDIRECT($A$9) ,OtrosR!$C$3:$C171,$A114,OtrosR!$B$3:$B171,T$1))</f>
        <v>#VALUE!</v>
      </c>
      <c r="V114" s="104" t="str">
        <f t="shared" si="361"/>
        <v/>
      </c>
      <c r="W114" s="99" t="str">
        <f t="array" ref="W114">SUM(SUMIFS(INDIRECT($A$3) ,OtrosR!$C$3:$C171,$A114,OtrosR!$B$3:$B171,W$1))</f>
        <v>#VALUE!</v>
      </c>
      <c r="X114" s="35" t="str">
        <f t="array" ref="X114">SUM(SUMIFS(INDIRECT($A$9) ,OtrosR!$C$3:$C171,$A114,OtrosR!$B$3:$B171,W$1))</f>
        <v>#VALUE!</v>
      </c>
      <c r="Y114" s="101" t="str">
        <f t="shared" si="362"/>
        <v/>
      </c>
      <c r="Z114" s="102" t="str">
        <f t="array" ref="Z114">SUM(SUMIFS(INDIRECT($A$3) ,OtrosR!$C$3:$C171,$A114,OtrosR!$B$3:$B171,Z$1))</f>
        <v>#VALUE!</v>
      </c>
      <c r="AA114" s="32" t="str">
        <f t="array" ref="AA114">SUM(SUMIFS(INDIRECT($A$9) ,OtrosR!$C$3:$C171,$A114,OtrosR!$B$3:$B171,Z$1))</f>
        <v>#VALUE!</v>
      </c>
      <c r="AB114" s="104" t="str">
        <f t="shared" si="363"/>
        <v/>
      </c>
      <c r="AC114" s="99" t="str">
        <f t="array" ref="AC114">SUM(SUMIFS(INDIRECT($A$3) ,OtrosR!$C$3:$C171,$A114,OtrosR!$B$3:$B171,AC$1))</f>
        <v>#VALUE!</v>
      </c>
      <c r="AD114" s="35" t="str">
        <f t="array" ref="AD114">SUM(SUMIFS(INDIRECT($A$9) ,OtrosR!$C$3:$C171,$A114,OtrosR!$B$3:$B171,AC$1))</f>
        <v>#VALUE!</v>
      </c>
      <c r="AE114" s="101" t="str">
        <f t="shared" si="364"/>
        <v/>
      </c>
      <c r="AF114" s="102" t="str">
        <f t="array" ref="AF114">SUM(SUMIFS(INDIRECT($A$3) ,OtrosR!$C$3:$C171,$A114,OtrosR!$B$3:$B171,AF$1))</f>
        <v>#VALUE!</v>
      </c>
      <c r="AG114" s="32" t="str">
        <f t="array" ref="AG114">SUM(SUMIFS(INDIRECT($A$9) ,OtrosR!$C$3:$C171,$A114,OtrosR!$B$3:$B171,AF$1))</f>
        <v>#VALUE!</v>
      </c>
      <c r="AH114" s="104" t="str">
        <f t="shared" si="365"/>
        <v/>
      </c>
      <c r="AI114" s="99" t="str">
        <f t="array" ref="AI114">SUM(SUMIFS(INDIRECT($A$3) ,OtrosR!$C$3:$C171,$A114,OtrosR!$B$3:$B171,AI$1))</f>
        <v>#VALUE!</v>
      </c>
      <c r="AJ114" s="35" t="str">
        <f t="array" ref="AJ114">SUM(SUMIFS(INDIRECT($A$9) ,OtrosR!$C$3:$C171,$A114,OtrosR!$B$3:$B171,AI$1))</f>
        <v>#VALUE!</v>
      </c>
      <c r="AK114" s="101" t="str">
        <f t="shared" si="366"/>
        <v/>
      </c>
      <c r="AL114" s="102" t="str">
        <f t="array" ref="AL114">SUM(SUMIFS(INDIRECT($A$3) ,OtrosR!$C$3:$C171,$A114,OtrosR!$B$3:$B171,AL$1))</f>
        <v>#VALUE!</v>
      </c>
      <c r="AM114" s="32" t="str">
        <f t="array" ref="AM114">SUM(SUMIFS(INDIRECT($A$9) ,OtrosR!$C$3:$C171,$A114,OtrosR!$B$3:$B171,AL$1))</f>
        <v>#VALUE!</v>
      </c>
      <c r="AN114" s="104" t="str">
        <f t="shared" si="367"/>
        <v/>
      </c>
      <c r="AO114" s="99" t="str">
        <f t="array" ref="AO114">SUM(SUMIFS(INDIRECT($A$3) ,OtrosR!$C$3:$C171,$A114,OtrosR!$B$3:$B171,AO$1))</f>
        <v>#VALUE!</v>
      </c>
      <c r="AP114" s="35" t="str">
        <f t="array" ref="AP114">SUM(SUMIFS(INDIRECT($A$9) ,OtrosR!$C$3:$C171,$A114,OtrosR!$B$3:$B171,AO$1))</f>
        <v>#VALUE!</v>
      </c>
      <c r="AQ114" s="101" t="str">
        <f t="shared" si="368"/>
        <v/>
      </c>
      <c r="AR114" s="102" t="str">
        <f t="array" ref="AR114">SUM(SUMIFS(INDIRECT($A$3) ,OtrosR!$C$3:$C171,$A114,OtrosR!$B$3:$B171,AR$1))</f>
        <v>#VALUE!</v>
      </c>
      <c r="AS114" s="32" t="str">
        <f t="array" ref="AS114">SUM(SUMIFS(INDIRECT($A$9) ,OtrosR!$C$3:$C171,$A114,OtrosR!$B$3:$B171,AR$1))</f>
        <v>#VALUE!</v>
      </c>
      <c r="AT114" s="104" t="str">
        <f t="shared" si="369"/>
        <v/>
      </c>
      <c r="AU114" s="99" t="str">
        <f t="array" ref="AU114">SUM(SUMIFS(INDIRECT($A$3) ,OtrosR!$C$3:$C171,$A114,OtrosR!$B$3:$B171,AU$1))</f>
        <v>#VALUE!</v>
      </c>
      <c r="AV114" s="35" t="str">
        <f t="array" ref="AV114">SUM(SUMIFS(INDIRECT($A$9) ,OtrosR!$C$3:$C171,$A114,OtrosR!$B$3:$B171,AU$1))</f>
        <v>#VALUE!</v>
      </c>
      <c r="AW114" s="101" t="str">
        <f t="shared" si="370"/>
        <v/>
      </c>
      <c r="AX114" s="102" t="str">
        <f t="array" ref="AX114">SUM(SUMIFS(INDIRECT($A$3) ,OtrosR!$C$3:$C171,$A114,OtrosR!$B$3:$B171,AX$1))</f>
        <v>#VALUE!</v>
      </c>
      <c r="AY114" s="32" t="str">
        <f t="array" ref="AY114">SUM(SUMIFS(INDIRECT($A$9) ,OtrosR!$C$3:$C171,$A114,OtrosR!$B$3:$B171,AX$1))</f>
        <v>#VALUE!</v>
      </c>
      <c r="AZ114" s="104" t="str">
        <f t="shared" si="371"/>
        <v/>
      </c>
      <c r="BA114" s="99" t="str">
        <f t="array" ref="BA114">SUM(SUMIFS(INDIRECT($A$3) ,OtrosR!$C$3:$C171,$A114,OtrosR!$B$3:$B171,BA$1))</f>
        <v>#VALUE!</v>
      </c>
      <c r="BB114" s="35" t="str">
        <f t="array" ref="BB114">SUM(SUMIFS(INDIRECT($A$9) ,OtrosR!$C$3:$C171,$A114,OtrosR!$B$3:$B171,BA$1))</f>
        <v>#VALUE!</v>
      </c>
      <c r="BC114" s="101" t="str">
        <f t="shared" si="372"/>
        <v/>
      </c>
      <c r="BD114" s="102" t="str">
        <f t="array" ref="BD114">SUM(SUMIFS(INDIRECT($A$3) ,OtrosR!$C$3:$C171,$A114,OtrosR!$B$3:$B171,BD$1))</f>
        <v>#VALUE!</v>
      </c>
      <c r="BE114" s="32" t="str">
        <f t="array" ref="BE114">SUM(SUMIFS(INDIRECT($A$9) ,OtrosR!$C$3:$C171,$A114,OtrosR!$B$3:$B171,BD$1))</f>
        <v>#VALUE!</v>
      </c>
      <c r="BF114" s="104" t="str">
        <f t="shared" si="373"/>
        <v/>
      </c>
      <c r="BG114" s="99" t="str">
        <f t="array" ref="BG114">SUM(SUMIFS(INDIRECT($A$3) ,OtrosR!$C$3:$C171,$A114,OtrosR!$B$3:$B171,BG$1))</f>
        <v>#VALUE!</v>
      </c>
      <c r="BH114" s="35" t="str">
        <f t="array" ref="BH114">SUM(SUMIFS(INDIRECT($A$9) ,OtrosR!$C$3:$C171,$A114,OtrosR!$B$3:$B171,BG$1))</f>
        <v>#VALUE!</v>
      </c>
      <c r="BI114" s="101" t="str">
        <f t="shared" si="374"/>
        <v/>
      </c>
      <c r="BJ114" s="102" t="str">
        <f t="array" ref="BJ114">SUM(SUMIFS(INDIRECT($A$3) ,OtrosR!$C$3:$C171,$A114,OtrosR!$B$3:$B171,BJ$1))</f>
        <v>#VALUE!</v>
      </c>
      <c r="BK114" s="32" t="str">
        <f t="array" ref="BK114">SUM(SUMIFS(INDIRECT($A$9) ,OtrosR!$C$3:$C171,$A114,OtrosR!$B$3:$B171,BJ$1))</f>
        <v>#VALUE!</v>
      </c>
      <c r="BL114" s="104" t="str">
        <f t="shared" si="375"/>
        <v/>
      </c>
      <c r="BM114" s="99" t="str">
        <f t="array" ref="BM114">SUM(SUMIFS(INDIRECT($A$3) ,OtrosR!$C$3:$C171,$A114,OtrosR!$B$3:$B171,BM$1))</f>
        <v>#VALUE!</v>
      </c>
      <c r="BN114" s="35" t="str">
        <f t="array" ref="BN114">SUM(SUMIFS(INDIRECT($A$9) ,OtrosR!$C$3:$C171,$A114,OtrosR!$B$3:$B171,BM$1))</f>
        <v>#VALUE!</v>
      </c>
      <c r="BO114" s="101" t="str">
        <f t="shared" si="376"/>
        <v/>
      </c>
      <c r="BP114" s="102" t="str">
        <f t="array" ref="BP114">SUM(SUMIFS(INDIRECT($A$3) ,OtrosR!$C$3:$C171,$A114,OtrosR!$B$3:$B171,BP$1))</f>
        <v>#VALUE!</v>
      </c>
      <c r="BQ114" s="32" t="str">
        <f t="array" ref="BQ114">SUM(SUMIFS(INDIRECT($A$9) ,OtrosR!$C$3:$C171,$A114,OtrosR!$B$3:$B171,BP$1))</f>
        <v>#VALUE!</v>
      </c>
      <c r="BR114" s="104" t="str">
        <f t="shared" si="377"/>
        <v/>
      </c>
      <c r="BS114" s="99" t="str">
        <f t="array" ref="BS114">SUM(SUMIFS(INDIRECT($A$3) ,OtrosR!$C$3:$C171,$A114,OtrosR!$B$3:$B171,BS$1))</f>
        <v>#VALUE!</v>
      </c>
      <c r="BT114" s="35" t="str">
        <f t="array" ref="BT114">SUM(SUMIFS(INDIRECT($A$9) ,OtrosR!$C$3:$C171,$A114,OtrosR!$B$3:$B171,BS$1))</f>
        <v>#VALUE!</v>
      </c>
      <c r="BU114" s="101" t="str">
        <f t="shared" si="378"/>
        <v/>
      </c>
      <c r="BV114" s="102" t="str">
        <f t="array" ref="BV114">SUM(SUMIFS(INDIRECT($A$3) ,OtrosR!$C$3:$C171,$A114,OtrosR!$B$3:$B171,BV$1))</f>
        <v>#VALUE!</v>
      </c>
      <c r="BW114" s="32" t="str">
        <f t="array" ref="BW114">SUM(SUMIFS(INDIRECT($A$9) ,OtrosR!$C$3:$C171,$A114,OtrosR!$B$3:$B171,BV$1))</f>
        <v>#VALUE!</v>
      </c>
      <c r="BX114" s="104" t="str">
        <f t="shared" si="379"/>
        <v/>
      </c>
      <c r="BY114" s="99" t="str">
        <f t="array" ref="BY114">SUM(SUMIFS(INDIRECT($A$3) ,OtrosR!$C$3:$C171,$A114,OtrosR!$B$3:$B171,BY$1))</f>
        <v>#VALUE!</v>
      </c>
      <c r="BZ114" s="35" t="str">
        <f t="array" ref="BZ114">SUM(SUMIFS(INDIRECT($A$9) ,OtrosR!$C$3:$C171,$A114,OtrosR!$B$3:$B171,BY$1))</f>
        <v>#VALUE!</v>
      </c>
      <c r="CA114" s="101" t="str">
        <f t="shared" si="380"/>
        <v/>
      </c>
      <c r="CB114" s="102" t="str">
        <f t="array" ref="CB114">SUM(SUMIFS(INDIRECT($A$3) ,OtrosR!$C$3:$C171,$A114,OtrosR!$B$3:$B171,CB$1))</f>
        <v>#VALUE!</v>
      </c>
      <c r="CC114" s="32" t="str">
        <f t="array" ref="CC114">SUM(SUMIFS(INDIRECT($A$9) ,OtrosR!$C$3:$C171,$A114,OtrosR!$B$3:$B171,CB$1))</f>
        <v>#VALUE!</v>
      </c>
      <c r="CD114" s="104" t="str">
        <f t="shared" si="381"/>
        <v/>
      </c>
      <c r="CE114" s="99" t="str">
        <f t="array" ref="CE114">SUM(SUMIFS(INDIRECT($A$3) ,OtrosR!$C$3:$C171,$A114,OtrosR!$B$3:$B171,CE$1))</f>
        <v>#VALUE!</v>
      </c>
      <c r="CF114" s="35" t="str">
        <f t="array" ref="CF114">SUM(SUMIFS(INDIRECT($A$9) ,OtrosR!$C$3:$C171,$A114,OtrosR!$B$3:$B171,CE$1))</f>
        <v>#VALUE!</v>
      </c>
      <c r="CG114" s="101" t="str">
        <f t="shared" si="382"/>
        <v/>
      </c>
      <c r="CH114" s="102" t="str">
        <f t="array" ref="CH114">SUM(SUMIFS(INDIRECT($A$3) ,OtrosR!$C$3:$C171,$A114,OtrosR!$B$3:$B171,CH$1))</f>
        <v>#VALUE!</v>
      </c>
      <c r="CI114" s="32" t="str">
        <f t="array" ref="CI114">SUM(SUMIFS(INDIRECT($A$9) ,OtrosR!$C$3:$C171,$A114,OtrosR!$B$3:$B171,CH$1))</f>
        <v>#VALUE!</v>
      </c>
      <c r="CJ114" s="104" t="str">
        <f t="shared" si="383"/>
        <v/>
      </c>
      <c r="CK114" s="99" t="str">
        <f t="array" ref="CK114">SUM(SUMIFS(INDIRECT($A$3) ,OtrosR!$C$3:$C171,$A114,OtrosR!$B$3:$B171,CK$1))</f>
        <v>#VALUE!</v>
      </c>
      <c r="CL114" s="35" t="str">
        <f t="array" ref="CL114">SUM(SUMIFS(INDIRECT($A$9) ,OtrosR!$C$3:$C171,$A114,OtrosR!$B$3:$B171,CK$1))</f>
        <v>#VALUE!</v>
      </c>
      <c r="CM114" s="101" t="str">
        <f t="shared" si="384"/>
        <v/>
      </c>
      <c r="CN114" s="102" t="str">
        <f t="array" ref="CN114">SUM(SUMIFS(INDIRECT($A$3) ,OtrosR!$C$3:$C171,$A114,OtrosR!$B$3:$B171,CN$1))</f>
        <v>#VALUE!</v>
      </c>
      <c r="CO114" s="32" t="str">
        <f t="array" ref="CO114">SUM(SUMIFS(INDIRECT($A$9) ,OtrosR!$C$3:$C171,$A114,OtrosR!$B$3:$B171,CN$1))</f>
        <v>#VALUE!</v>
      </c>
      <c r="CP114" s="104" t="str">
        <f t="shared" si="385"/>
        <v/>
      </c>
      <c r="CQ114" s="99" t="str">
        <f t="array" ref="CQ114">SUM(SUMIFS(INDIRECT($A$3) ,OtrosR!$C$3:$C171,$A114,OtrosR!$B$3:$B171,CQ$1))</f>
        <v>#VALUE!</v>
      </c>
      <c r="CR114" s="35" t="str">
        <f t="array" ref="CR114">SUM(SUMIFS(INDIRECT($A$9) ,OtrosR!$C$3:$C171,$A114,OtrosR!$B$3:$B171,CQ$1))</f>
        <v>#VALUE!</v>
      </c>
      <c r="CS114" s="101" t="str">
        <f t="shared" si="386"/>
        <v/>
      </c>
      <c r="CT114" s="102" t="str">
        <f t="array" ref="CT114">SUM(SUMIFS(INDIRECT($A$3) ,OtrosR!$C$3:$C171,$A114,OtrosR!$B$3:$B171,CT$1))</f>
        <v>#VALUE!</v>
      </c>
      <c r="CU114" s="32" t="str">
        <f t="array" ref="CU114">SUM(SUMIFS(INDIRECT($A$9) ,OtrosR!$C$3:$C171,$A114,OtrosR!$B$3:$B171,CT$1))</f>
        <v>#VALUE!</v>
      </c>
      <c r="CV114" s="104" t="str">
        <f t="shared" si="387"/>
        <v/>
      </c>
      <c r="CW114" s="99" t="str">
        <f t="array" ref="CW114">SUM(SUMIFS(INDIRECT($A$3) ,OtrosR!$C$3:$C171,$A114,OtrosR!$B$3:$B171,CW$1))</f>
        <v>#VALUE!</v>
      </c>
      <c r="CX114" s="35" t="str">
        <f t="array" ref="CX114">SUM(SUMIFS(INDIRECT($A$9) ,OtrosR!$C$3:$C171,$A114,OtrosR!$B$3:$B171,CW$1))</f>
        <v>#VALUE!</v>
      </c>
      <c r="CY114" s="101" t="str">
        <f t="shared" si="388"/>
        <v/>
      </c>
      <c r="CZ114" s="102" t="str">
        <f t="array" ref="CZ114">SUM(SUMIFS(INDIRECT($A$3) ,OtrosR!$C$3:$C171,$A114,OtrosR!$B$3:$B171,CZ$1))</f>
        <v>#VALUE!</v>
      </c>
      <c r="DA114" s="32" t="str">
        <f t="array" ref="DA114">SUM(SUMIFS(INDIRECT($A$9) ,OtrosR!$C$3:$C171,$A114,OtrosR!$B$3:$B171,CZ$1))</f>
        <v>#VALUE!</v>
      </c>
      <c r="DB114" s="104" t="str">
        <f t="shared" si="389"/>
        <v/>
      </c>
      <c r="DC114" s="99" t="str">
        <f t="array" ref="DC114">SUM(SUMIFS(INDIRECT($A$3) ,OtrosR!$C$3:$C171,$A114,OtrosR!$B$3:$B171,DC$1))</f>
        <v>#VALUE!</v>
      </c>
      <c r="DD114" s="35" t="str">
        <f t="array" ref="DD114">SUM(SUMIFS(INDIRECT($A$9) ,OtrosR!$C$3:$C171,$A114,OtrosR!$B$3:$B171,DC$1))</f>
        <v>#VALUE!</v>
      </c>
      <c r="DE114" s="101" t="str">
        <f t="shared" si="390"/>
        <v/>
      </c>
      <c r="DF114" s="102" t="str">
        <f t="array" ref="DF114">SUM(SUMIFS(INDIRECT($A$3) ,OtrosR!$C$3:$C171,$A114,OtrosR!$B$3:$B171,DF$1))</f>
        <v>#VALUE!</v>
      </c>
      <c r="DG114" s="32" t="str">
        <f t="array" ref="DG114">SUM(SUMIFS(INDIRECT($A$9) ,OtrosR!$C$3:$C171,$A114,OtrosR!$B$3:$B171,DF$1))</f>
        <v>#VALUE!</v>
      </c>
      <c r="DH114" s="104" t="str">
        <f t="shared" si="391"/>
        <v/>
      </c>
      <c r="DI114" s="99" t="str">
        <f t="array" ref="DI114">SUM(SUMIFS(INDIRECT($A$3) ,OtrosR!$C$3:$C171,$A114,OtrosR!$B$3:$B171,DI$1))</f>
        <v>#VALUE!</v>
      </c>
      <c r="DJ114" s="35" t="str">
        <f t="array" ref="DJ114">SUM(SUMIFS(INDIRECT($A$9) ,OtrosR!$C$3:$C171,$A114,OtrosR!$B$3:$B171,DI$1))</f>
        <v>#VALUE!</v>
      </c>
      <c r="DK114" s="101" t="str">
        <f t="shared" si="392"/>
        <v/>
      </c>
      <c r="DL114" s="102" t="str">
        <f t="array" ref="DL114">SUM(SUMIFS(INDIRECT($A$3) ,OtrosR!$C$3:$C171,$A114,OtrosR!$B$3:$B171,DL$1))</f>
        <v>#VALUE!</v>
      </c>
      <c r="DM114" s="32" t="str">
        <f t="array" ref="DM114">SUM(SUMIFS(INDIRECT($A$9) ,OtrosR!$C$3:$C171,$A114,OtrosR!$B$3:$B171,DL$1))</f>
        <v>#VALUE!</v>
      </c>
      <c r="DN114" s="104" t="str">
        <f t="shared" si="393"/>
        <v/>
      </c>
      <c r="DO114" s="99" t="str">
        <f t="array" ref="DO114">SUM(SUMIFS(INDIRECT($A$3) ,OtrosR!$C$3:$C171,$A114,OtrosR!$B$3:$B171,DO$1))</f>
        <v>#VALUE!</v>
      </c>
      <c r="DP114" s="35" t="str">
        <f t="array" ref="DP114">SUM(SUMIFS(INDIRECT($A$9) ,OtrosR!$C$3:$C171,$A114,OtrosR!$B$3:$B171,DO$1))</f>
        <v>#VALUE!</v>
      </c>
      <c r="DQ114" s="101" t="str">
        <f t="shared" si="394"/>
        <v/>
      </c>
      <c r="DR114" s="102" t="str">
        <f t="array" ref="DR114">SUM(SUMIFS(INDIRECT($A$3) ,OtrosR!$C$3:$C171,$A114,OtrosR!$B$3:$B171,DR$1))</f>
        <v>#VALUE!</v>
      </c>
      <c r="DS114" s="32" t="str">
        <f t="array" ref="DS114">SUM(SUMIFS(INDIRECT($A$9) ,OtrosR!$C$3:$C171,$A114,OtrosR!$B$3:$B171,DR$1))</f>
        <v>#VALUE!</v>
      </c>
      <c r="DT114" s="104" t="str">
        <f t="shared" si="395"/>
        <v/>
      </c>
    </row>
    <row r="115" ht="15.75" hidden="1" customHeight="1">
      <c r="A115" s="40" t="str">
        <f>Menus!Q10</f>
        <v/>
      </c>
      <c r="B115" s="32" t="str">
        <f t="shared" si="353"/>
        <v>#VALUE!</v>
      </c>
      <c r="C115" s="32" t="str">
        <f t="shared" si="354"/>
        <v>#VALUE!</v>
      </c>
      <c r="D115" s="32" t="str">
        <f t="shared" si="355"/>
        <v>#VALUE!</v>
      </c>
      <c r="E115" s="106" t="str">
        <f t="array" ref="E115">SUM(SUMIFS(INDIRECT($A$3) ,OtrosR!$C$3:$C171,$A115,OtrosR!$B$3:$B171,E$1))</f>
        <v>#VALUE!</v>
      </c>
      <c r="F115" s="51" t="str">
        <f t="array" ref="F115">SUM(SUMIFS(INDIRECT($A$9) ,OtrosR!$C$3:$C171,$A115,OtrosR!$B$3:$B171,E$1))</f>
        <v>#VALUE!</v>
      </c>
      <c r="G115" s="95" t="str">
        <f t="shared" si="356"/>
        <v/>
      </c>
      <c r="H115" s="96" t="str">
        <f t="array" ref="H115">SUM(SUMIFS(INDIRECT($A$3) ,OtrosR!$C$3:$C171,$A115,OtrosR!$B$3:$B171,H$1))</f>
        <v>#VALUE!</v>
      </c>
      <c r="I115" s="34" t="str">
        <f t="array" ref="I115">SUM(SUMIFS(INDIRECT($A$9) ,OtrosR!$C$3:$C171,$A115,OtrosR!$B$3:$B171,H$1))</f>
        <v>#VALUE!</v>
      </c>
      <c r="J115" s="98" t="str">
        <f t="shared" si="357"/>
        <v/>
      </c>
      <c r="K115" s="99" t="str">
        <f t="array" ref="K115">SUM(SUMIFS(INDIRECT($A$3) ,OtrosR!$C$3:$C171,$A115,OtrosR!$B$3:$B171,K$1))</f>
        <v>#VALUE!</v>
      </c>
      <c r="L115" s="35" t="str">
        <f t="array" ref="L115">SUM(SUMIFS(INDIRECT($A$9) ,OtrosR!$C$3:$C171,$A115,OtrosR!$B$3:$B171,K$1))</f>
        <v>#VALUE!</v>
      </c>
      <c r="M115" s="101" t="str">
        <f t="shared" si="358"/>
        <v/>
      </c>
      <c r="N115" s="102" t="str">
        <f t="array" ref="N115">SUM(SUMIFS(INDIRECT($A$3) ,OtrosR!$C$3:$C171,$A115,OtrosR!$B$3:$B171,N$1))</f>
        <v>#VALUE!</v>
      </c>
      <c r="O115" s="32" t="str">
        <f t="array" ref="O115">SUM(SUMIFS(INDIRECT($A$9) ,OtrosR!$C$3:$C171,$A115,OtrosR!$B$3:$B171,N$1))</f>
        <v>#VALUE!</v>
      </c>
      <c r="P115" s="104" t="str">
        <f t="shared" si="359"/>
        <v/>
      </c>
      <c r="Q115" s="99" t="str">
        <f t="array" ref="Q115">SUM(SUMIFS(INDIRECT($A$3) ,OtrosR!$C$3:$C171,$A115,OtrosR!$B$3:$B171,Q$1))</f>
        <v>#VALUE!</v>
      </c>
      <c r="R115" s="35" t="str">
        <f t="array" ref="R115">SUM(SUMIFS(INDIRECT($A$9) ,OtrosR!$C$3:$C171,$A115,OtrosR!$B$3:$B171,Q$1))</f>
        <v>#VALUE!</v>
      </c>
      <c r="S115" s="101" t="str">
        <f t="shared" si="360"/>
        <v/>
      </c>
      <c r="T115" s="102" t="str">
        <f t="array" ref="T115">SUM(SUMIFS(INDIRECT($A$3) ,OtrosR!$C$3:$C171,$A115,OtrosR!$B$3:$B171,T$1))</f>
        <v>#VALUE!</v>
      </c>
      <c r="U115" s="32" t="str">
        <f t="array" ref="U115">SUM(SUMIFS(INDIRECT($A$9) ,OtrosR!$C$3:$C171,$A115,OtrosR!$B$3:$B171,T$1))</f>
        <v>#VALUE!</v>
      </c>
      <c r="V115" s="104" t="str">
        <f t="shared" si="361"/>
        <v/>
      </c>
      <c r="W115" s="99" t="str">
        <f t="array" ref="W115">SUM(SUMIFS(INDIRECT($A$3) ,OtrosR!$C$3:$C171,$A115,OtrosR!$B$3:$B171,W$1))</f>
        <v>#VALUE!</v>
      </c>
      <c r="X115" s="35" t="str">
        <f t="array" ref="X115">SUM(SUMIFS(INDIRECT($A$9) ,OtrosR!$C$3:$C171,$A115,OtrosR!$B$3:$B171,W$1))</f>
        <v>#VALUE!</v>
      </c>
      <c r="Y115" s="101" t="str">
        <f t="shared" si="362"/>
        <v/>
      </c>
      <c r="Z115" s="102" t="str">
        <f t="array" ref="Z115">SUM(SUMIFS(INDIRECT($A$3) ,OtrosR!$C$3:$C171,$A115,OtrosR!$B$3:$B171,Z$1))</f>
        <v>#VALUE!</v>
      </c>
      <c r="AA115" s="32" t="str">
        <f t="array" ref="AA115">SUM(SUMIFS(INDIRECT($A$9) ,OtrosR!$C$3:$C171,$A115,OtrosR!$B$3:$B171,Z$1))</f>
        <v>#VALUE!</v>
      </c>
      <c r="AB115" s="104" t="str">
        <f t="shared" si="363"/>
        <v/>
      </c>
      <c r="AC115" s="99" t="str">
        <f t="array" ref="AC115">SUM(SUMIFS(INDIRECT($A$3) ,OtrosR!$C$3:$C171,$A115,OtrosR!$B$3:$B171,AC$1))</f>
        <v>#VALUE!</v>
      </c>
      <c r="AD115" s="35" t="str">
        <f t="array" ref="AD115">SUM(SUMIFS(INDIRECT($A$9) ,OtrosR!$C$3:$C171,$A115,OtrosR!$B$3:$B171,AC$1))</f>
        <v>#VALUE!</v>
      </c>
      <c r="AE115" s="101" t="str">
        <f t="shared" si="364"/>
        <v/>
      </c>
      <c r="AF115" s="102" t="str">
        <f t="array" ref="AF115">SUM(SUMIFS(INDIRECT($A$3) ,OtrosR!$C$3:$C171,$A115,OtrosR!$B$3:$B171,AF$1))</f>
        <v>#VALUE!</v>
      </c>
      <c r="AG115" s="32" t="str">
        <f t="array" ref="AG115">SUM(SUMIFS(INDIRECT($A$9) ,OtrosR!$C$3:$C171,$A115,OtrosR!$B$3:$B171,AF$1))</f>
        <v>#VALUE!</v>
      </c>
      <c r="AH115" s="104" t="str">
        <f t="shared" si="365"/>
        <v/>
      </c>
      <c r="AI115" s="99" t="str">
        <f t="array" ref="AI115">SUM(SUMIFS(INDIRECT($A$3) ,OtrosR!$C$3:$C171,$A115,OtrosR!$B$3:$B171,AI$1))</f>
        <v>#VALUE!</v>
      </c>
      <c r="AJ115" s="35" t="str">
        <f t="array" ref="AJ115">SUM(SUMIFS(INDIRECT($A$9) ,OtrosR!$C$3:$C171,$A115,OtrosR!$B$3:$B171,AI$1))</f>
        <v>#VALUE!</v>
      </c>
      <c r="AK115" s="101" t="str">
        <f t="shared" si="366"/>
        <v/>
      </c>
      <c r="AL115" s="102" t="str">
        <f t="array" ref="AL115">SUM(SUMIFS(INDIRECT($A$3) ,OtrosR!$C$3:$C171,$A115,OtrosR!$B$3:$B171,AL$1))</f>
        <v>#VALUE!</v>
      </c>
      <c r="AM115" s="32" t="str">
        <f t="array" ref="AM115">SUM(SUMIFS(INDIRECT($A$9) ,OtrosR!$C$3:$C171,$A115,OtrosR!$B$3:$B171,AL$1))</f>
        <v>#VALUE!</v>
      </c>
      <c r="AN115" s="104" t="str">
        <f t="shared" si="367"/>
        <v/>
      </c>
      <c r="AO115" s="99" t="str">
        <f t="array" ref="AO115">SUM(SUMIFS(INDIRECT($A$3) ,OtrosR!$C$3:$C171,$A115,OtrosR!$B$3:$B171,AO$1))</f>
        <v>#VALUE!</v>
      </c>
      <c r="AP115" s="35" t="str">
        <f t="array" ref="AP115">SUM(SUMIFS(INDIRECT($A$9) ,OtrosR!$C$3:$C171,$A115,OtrosR!$B$3:$B171,AO$1))</f>
        <v>#VALUE!</v>
      </c>
      <c r="AQ115" s="101" t="str">
        <f t="shared" si="368"/>
        <v/>
      </c>
      <c r="AR115" s="102" t="str">
        <f t="array" ref="AR115">SUM(SUMIFS(INDIRECT($A$3) ,OtrosR!$C$3:$C171,$A115,OtrosR!$B$3:$B171,AR$1))</f>
        <v>#VALUE!</v>
      </c>
      <c r="AS115" s="32" t="str">
        <f t="array" ref="AS115">SUM(SUMIFS(INDIRECT($A$9) ,OtrosR!$C$3:$C171,$A115,OtrosR!$B$3:$B171,AR$1))</f>
        <v>#VALUE!</v>
      </c>
      <c r="AT115" s="104" t="str">
        <f t="shared" si="369"/>
        <v/>
      </c>
      <c r="AU115" s="99" t="str">
        <f t="array" ref="AU115">SUM(SUMIFS(INDIRECT($A$3) ,OtrosR!$C$3:$C171,$A115,OtrosR!$B$3:$B171,AU$1))</f>
        <v>#VALUE!</v>
      </c>
      <c r="AV115" s="35" t="str">
        <f t="array" ref="AV115">SUM(SUMIFS(INDIRECT($A$9) ,OtrosR!$C$3:$C171,$A115,OtrosR!$B$3:$B171,AU$1))</f>
        <v>#VALUE!</v>
      </c>
      <c r="AW115" s="101" t="str">
        <f t="shared" si="370"/>
        <v/>
      </c>
      <c r="AX115" s="102" t="str">
        <f t="array" ref="AX115">SUM(SUMIFS(INDIRECT($A$3) ,OtrosR!$C$3:$C171,$A115,OtrosR!$B$3:$B171,AX$1))</f>
        <v>#VALUE!</v>
      </c>
      <c r="AY115" s="32" t="str">
        <f t="array" ref="AY115">SUM(SUMIFS(INDIRECT($A$9) ,OtrosR!$C$3:$C171,$A115,OtrosR!$B$3:$B171,AX$1))</f>
        <v>#VALUE!</v>
      </c>
      <c r="AZ115" s="104" t="str">
        <f t="shared" si="371"/>
        <v/>
      </c>
      <c r="BA115" s="99" t="str">
        <f t="array" ref="BA115">SUM(SUMIFS(INDIRECT($A$3) ,OtrosR!$C$3:$C171,$A115,OtrosR!$B$3:$B171,BA$1))</f>
        <v>#VALUE!</v>
      </c>
      <c r="BB115" s="35" t="str">
        <f t="array" ref="BB115">SUM(SUMIFS(INDIRECT($A$9) ,OtrosR!$C$3:$C171,$A115,OtrosR!$B$3:$B171,BA$1))</f>
        <v>#VALUE!</v>
      </c>
      <c r="BC115" s="101" t="str">
        <f t="shared" si="372"/>
        <v/>
      </c>
      <c r="BD115" s="102" t="str">
        <f t="array" ref="BD115">SUM(SUMIFS(INDIRECT($A$3) ,OtrosR!$C$3:$C171,$A115,OtrosR!$B$3:$B171,BD$1))</f>
        <v>#VALUE!</v>
      </c>
      <c r="BE115" s="32" t="str">
        <f t="array" ref="BE115">SUM(SUMIFS(INDIRECT($A$9) ,OtrosR!$C$3:$C171,$A115,OtrosR!$B$3:$B171,BD$1))</f>
        <v>#VALUE!</v>
      </c>
      <c r="BF115" s="104" t="str">
        <f t="shared" si="373"/>
        <v/>
      </c>
      <c r="BG115" s="99" t="str">
        <f t="array" ref="BG115">SUM(SUMIFS(INDIRECT($A$3) ,OtrosR!$C$3:$C171,$A115,OtrosR!$B$3:$B171,BG$1))</f>
        <v>#VALUE!</v>
      </c>
      <c r="BH115" s="35" t="str">
        <f t="array" ref="BH115">SUM(SUMIFS(INDIRECT($A$9) ,OtrosR!$C$3:$C171,$A115,OtrosR!$B$3:$B171,BG$1))</f>
        <v>#VALUE!</v>
      </c>
      <c r="BI115" s="101" t="str">
        <f t="shared" si="374"/>
        <v/>
      </c>
      <c r="BJ115" s="102" t="str">
        <f t="array" ref="BJ115">SUM(SUMIFS(INDIRECT($A$3) ,OtrosR!$C$3:$C171,$A115,OtrosR!$B$3:$B171,BJ$1))</f>
        <v>#VALUE!</v>
      </c>
      <c r="BK115" s="32" t="str">
        <f t="array" ref="BK115">SUM(SUMIFS(INDIRECT($A$9) ,OtrosR!$C$3:$C171,$A115,OtrosR!$B$3:$B171,BJ$1))</f>
        <v>#VALUE!</v>
      </c>
      <c r="BL115" s="104" t="str">
        <f t="shared" si="375"/>
        <v/>
      </c>
      <c r="BM115" s="99" t="str">
        <f t="array" ref="BM115">SUM(SUMIFS(INDIRECT($A$3) ,OtrosR!$C$3:$C171,$A115,OtrosR!$B$3:$B171,BM$1))</f>
        <v>#VALUE!</v>
      </c>
      <c r="BN115" s="35" t="str">
        <f t="array" ref="BN115">SUM(SUMIFS(INDIRECT($A$9) ,OtrosR!$C$3:$C171,$A115,OtrosR!$B$3:$B171,BM$1))</f>
        <v>#VALUE!</v>
      </c>
      <c r="BO115" s="101" t="str">
        <f t="shared" si="376"/>
        <v/>
      </c>
      <c r="BP115" s="102" t="str">
        <f t="array" ref="BP115">SUM(SUMIFS(INDIRECT($A$3) ,OtrosR!$C$3:$C171,$A115,OtrosR!$B$3:$B171,BP$1))</f>
        <v>#VALUE!</v>
      </c>
      <c r="BQ115" s="32" t="str">
        <f t="array" ref="BQ115">SUM(SUMIFS(INDIRECT($A$9) ,OtrosR!$C$3:$C171,$A115,OtrosR!$B$3:$B171,BP$1))</f>
        <v>#VALUE!</v>
      </c>
      <c r="BR115" s="104" t="str">
        <f t="shared" si="377"/>
        <v/>
      </c>
      <c r="BS115" s="99" t="str">
        <f t="array" ref="BS115">SUM(SUMIFS(INDIRECT($A$3) ,OtrosR!$C$3:$C171,$A115,OtrosR!$B$3:$B171,BS$1))</f>
        <v>#VALUE!</v>
      </c>
      <c r="BT115" s="35" t="str">
        <f t="array" ref="BT115">SUM(SUMIFS(INDIRECT($A$9) ,OtrosR!$C$3:$C171,$A115,OtrosR!$B$3:$B171,BS$1))</f>
        <v>#VALUE!</v>
      </c>
      <c r="BU115" s="101" t="str">
        <f t="shared" si="378"/>
        <v/>
      </c>
      <c r="BV115" s="102" t="str">
        <f t="array" ref="BV115">SUM(SUMIFS(INDIRECT($A$3) ,OtrosR!$C$3:$C171,$A115,OtrosR!$B$3:$B171,BV$1))</f>
        <v>#VALUE!</v>
      </c>
      <c r="BW115" s="32" t="str">
        <f t="array" ref="BW115">SUM(SUMIFS(INDIRECT($A$9) ,OtrosR!$C$3:$C171,$A115,OtrosR!$B$3:$B171,BV$1))</f>
        <v>#VALUE!</v>
      </c>
      <c r="BX115" s="104" t="str">
        <f t="shared" si="379"/>
        <v/>
      </c>
      <c r="BY115" s="99" t="str">
        <f t="array" ref="BY115">SUM(SUMIFS(INDIRECT($A$3) ,OtrosR!$C$3:$C171,$A115,OtrosR!$B$3:$B171,BY$1))</f>
        <v>#VALUE!</v>
      </c>
      <c r="BZ115" s="35" t="str">
        <f t="array" ref="BZ115">SUM(SUMIFS(INDIRECT($A$9) ,OtrosR!$C$3:$C171,$A115,OtrosR!$B$3:$B171,BY$1))</f>
        <v>#VALUE!</v>
      </c>
      <c r="CA115" s="101" t="str">
        <f t="shared" si="380"/>
        <v/>
      </c>
      <c r="CB115" s="102" t="str">
        <f t="array" ref="CB115">SUM(SUMIFS(INDIRECT($A$3) ,OtrosR!$C$3:$C171,$A115,OtrosR!$B$3:$B171,CB$1))</f>
        <v>#VALUE!</v>
      </c>
      <c r="CC115" s="32" t="str">
        <f t="array" ref="CC115">SUM(SUMIFS(INDIRECT($A$9) ,OtrosR!$C$3:$C171,$A115,OtrosR!$B$3:$B171,CB$1))</f>
        <v>#VALUE!</v>
      </c>
      <c r="CD115" s="104" t="str">
        <f t="shared" si="381"/>
        <v/>
      </c>
      <c r="CE115" s="99" t="str">
        <f t="array" ref="CE115">SUM(SUMIFS(INDIRECT($A$3) ,OtrosR!$C$3:$C171,$A115,OtrosR!$B$3:$B171,CE$1))</f>
        <v>#VALUE!</v>
      </c>
      <c r="CF115" s="35" t="str">
        <f t="array" ref="CF115">SUM(SUMIFS(INDIRECT($A$9) ,OtrosR!$C$3:$C171,$A115,OtrosR!$B$3:$B171,CE$1))</f>
        <v>#VALUE!</v>
      </c>
      <c r="CG115" s="101" t="str">
        <f t="shared" si="382"/>
        <v/>
      </c>
      <c r="CH115" s="102" t="str">
        <f t="array" ref="CH115">SUM(SUMIFS(INDIRECT($A$3) ,OtrosR!$C$3:$C171,$A115,OtrosR!$B$3:$B171,CH$1))</f>
        <v>#VALUE!</v>
      </c>
      <c r="CI115" s="32" t="str">
        <f t="array" ref="CI115">SUM(SUMIFS(INDIRECT($A$9) ,OtrosR!$C$3:$C171,$A115,OtrosR!$B$3:$B171,CH$1))</f>
        <v>#VALUE!</v>
      </c>
      <c r="CJ115" s="104" t="str">
        <f t="shared" si="383"/>
        <v/>
      </c>
      <c r="CK115" s="99" t="str">
        <f t="array" ref="CK115">SUM(SUMIFS(INDIRECT($A$3) ,OtrosR!$C$3:$C171,$A115,OtrosR!$B$3:$B171,CK$1))</f>
        <v>#VALUE!</v>
      </c>
      <c r="CL115" s="35" t="str">
        <f t="array" ref="CL115">SUM(SUMIFS(INDIRECT($A$9) ,OtrosR!$C$3:$C171,$A115,OtrosR!$B$3:$B171,CK$1))</f>
        <v>#VALUE!</v>
      </c>
      <c r="CM115" s="101" t="str">
        <f t="shared" si="384"/>
        <v/>
      </c>
      <c r="CN115" s="102" t="str">
        <f t="array" ref="CN115">SUM(SUMIFS(INDIRECT($A$3) ,OtrosR!$C$3:$C171,$A115,OtrosR!$B$3:$B171,CN$1))</f>
        <v>#VALUE!</v>
      </c>
      <c r="CO115" s="32" t="str">
        <f t="array" ref="CO115">SUM(SUMIFS(INDIRECT($A$9) ,OtrosR!$C$3:$C171,$A115,OtrosR!$B$3:$B171,CN$1))</f>
        <v>#VALUE!</v>
      </c>
      <c r="CP115" s="104" t="str">
        <f t="shared" si="385"/>
        <v/>
      </c>
      <c r="CQ115" s="99" t="str">
        <f t="array" ref="CQ115">SUM(SUMIFS(INDIRECT($A$3) ,OtrosR!$C$3:$C171,$A115,OtrosR!$B$3:$B171,CQ$1))</f>
        <v>#VALUE!</v>
      </c>
      <c r="CR115" s="35" t="str">
        <f t="array" ref="CR115">SUM(SUMIFS(INDIRECT($A$9) ,OtrosR!$C$3:$C171,$A115,OtrosR!$B$3:$B171,CQ$1))</f>
        <v>#VALUE!</v>
      </c>
      <c r="CS115" s="101" t="str">
        <f t="shared" si="386"/>
        <v/>
      </c>
      <c r="CT115" s="102" t="str">
        <f t="array" ref="CT115">SUM(SUMIFS(INDIRECT($A$3) ,OtrosR!$C$3:$C171,$A115,OtrosR!$B$3:$B171,CT$1))</f>
        <v>#VALUE!</v>
      </c>
      <c r="CU115" s="32" t="str">
        <f t="array" ref="CU115">SUM(SUMIFS(INDIRECT($A$9) ,OtrosR!$C$3:$C171,$A115,OtrosR!$B$3:$B171,CT$1))</f>
        <v>#VALUE!</v>
      </c>
      <c r="CV115" s="104" t="str">
        <f t="shared" si="387"/>
        <v/>
      </c>
      <c r="CW115" s="99" t="str">
        <f t="array" ref="CW115">SUM(SUMIFS(INDIRECT($A$3) ,OtrosR!$C$3:$C171,$A115,OtrosR!$B$3:$B171,CW$1))</f>
        <v>#VALUE!</v>
      </c>
      <c r="CX115" s="35" t="str">
        <f t="array" ref="CX115">SUM(SUMIFS(INDIRECT($A$9) ,OtrosR!$C$3:$C171,$A115,OtrosR!$B$3:$B171,CW$1))</f>
        <v>#VALUE!</v>
      </c>
      <c r="CY115" s="101" t="str">
        <f t="shared" si="388"/>
        <v/>
      </c>
      <c r="CZ115" s="102" t="str">
        <f t="array" ref="CZ115">SUM(SUMIFS(INDIRECT($A$3) ,OtrosR!$C$3:$C171,$A115,OtrosR!$B$3:$B171,CZ$1))</f>
        <v>#VALUE!</v>
      </c>
      <c r="DA115" s="32" t="str">
        <f t="array" ref="DA115">SUM(SUMIFS(INDIRECT($A$9) ,OtrosR!$C$3:$C171,$A115,OtrosR!$B$3:$B171,CZ$1))</f>
        <v>#VALUE!</v>
      </c>
      <c r="DB115" s="104" t="str">
        <f t="shared" si="389"/>
        <v/>
      </c>
      <c r="DC115" s="99" t="str">
        <f t="array" ref="DC115">SUM(SUMIFS(INDIRECT($A$3) ,OtrosR!$C$3:$C171,$A115,OtrosR!$B$3:$B171,DC$1))</f>
        <v>#VALUE!</v>
      </c>
      <c r="DD115" s="35" t="str">
        <f t="array" ref="DD115">SUM(SUMIFS(INDIRECT($A$9) ,OtrosR!$C$3:$C171,$A115,OtrosR!$B$3:$B171,DC$1))</f>
        <v>#VALUE!</v>
      </c>
      <c r="DE115" s="101" t="str">
        <f t="shared" si="390"/>
        <v/>
      </c>
      <c r="DF115" s="102" t="str">
        <f t="array" ref="DF115">SUM(SUMIFS(INDIRECT($A$3) ,OtrosR!$C$3:$C171,$A115,OtrosR!$B$3:$B171,DF$1))</f>
        <v>#VALUE!</v>
      </c>
      <c r="DG115" s="32" t="str">
        <f t="array" ref="DG115">SUM(SUMIFS(INDIRECT($A$9) ,OtrosR!$C$3:$C171,$A115,OtrosR!$B$3:$B171,DF$1))</f>
        <v>#VALUE!</v>
      </c>
      <c r="DH115" s="104" t="str">
        <f t="shared" si="391"/>
        <v/>
      </c>
      <c r="DI115" s="99" t="str">
        <f t="array" ref="DI115">SUM(SUMIFS(INDIRECT($A$3) ,OtrosR!$C$3:$C171,$A115,OtrosR!$B$3:$B171,DI$1))</f>
        <v>#VALUE!</v>
      </c>
      <c r="DJ115" s="35" t="str">
        <f t="array" ref="DJ115">SUM(SUMIFS(INDIRECT($A$9) ,OtrosR!$C$3:$C171,$A115,OtrosR!$B$3:$B171,DI$1))</f>
        <v>#VALUE!</v>
      </c>
      <c r="DK115" s="101" t="str">
        <f t="shared" si="392"/>
        <v/>
      </c>
      <c r="DL115" s="102" t="str">
        <f t="array" ref="DL115">SUM(SUMIFS(INDIRECT($A$3) ,OtrosR!$C$3:$C171,$A115,OtrosR!$B$3:$B171,DL$1))</f>
        <v>#VALUE!</v>
      </c>
      <c r="DM115" s="32" t="str">
        <f t="array" ref="DM115">SUM(SUMIFS(INDIRECT($A$9) ,OtrosR!$C$3:$C171,$A115,OtrosR!$B$3:$B171,DL$1))</f>
        <v>#VALUE!</v>
      </c>
      <c r="DN115" s="104" t="str">
        <f t="shared" si="393"/>
        <v/>
      </c>
      <c r="DO115" s="99" t="str">
        <f t="array" ref="DO115">SUM(SUMIFS(INDIRECT($A$3) ,OtrosR!$C$3:$C171,$A115,OtrosR!$B$3:$B171,DO$1))</f>
        <v>#VALUE!</v>
      </c>
      <c r="DP115" s="35" t="str">
        <f t="array" ref="DP115">SUM(SUMIFS(INDIRECT($A$9) ,OtrosR!$C$3:$C171,$A115,OtrosR!$B$3:$B171,DO$1))</f>
        <v>#VALUE!</v>
      </c>
      <c r="DQ115" s="101" t="str">
        <f t="shared" si="394"/>
        <v/>
      </c>
      <c r="DR115" s="102" t="str">
        <f t="array" ref="DR115">SUM(SUMIFS(INDIRECT($A$3) ,OtrosR!$C$3:$C171,$A115,OtrosR!$B$3:$B171,DR$1))</f>
        <v>#VALUE!</v>
      </c>
      <c r="DS115" s="32" t="str">
        <f t="array" ref="DS115">SUM(SUMIFS(INDIRECT($A$9) ,OtrosR!$C$3:$C171,$A115,OtrosR!$B$3:$B171,DR$1))</f>
        <v>#VALUE!</v>
      </c>
      <c r="DT115" s="104" t="str">
        <f t="shared" si="395"/>
        <v/>
      </c>
    </row>
    <row r="116" ht="15.75" hidden="1" customHeight="1">
      <c r="A116" s="40" t="str">
        <f>Menus!Q11</f>
        <v/>
      </c>
      <c r="B116" s="32" t="str">
        <f t="shared" si="353"/>
        <v>#VALUE!</v>
      </c>
      <c r="C116" s="32" t="str">
        <f t="shared" si="354"/>
        <v>#VALUE!</v>
      </c>
      <c r="D116" s="32" t="str">
        <f t="shared" si="355"/>
        <v>#VALUE!</v>
      </c>
      <c r="E116" s="106" t="str">
        <f t="array" ref="E116">SUM(SUMIFS(INDIRECT($A$3) ,OtrosR!$C$3:$C171,$A116,OtrosR!$B$3:$B171,E$1))</f>
        <v>#VALUE!</v>
      </c>
      <c r="F116" s="51" t="str">
        <f t="array" ref="F116">SUM(SUMIFS(INDIRECT($A$9) ,OtrosR!$C$3:$C171,$A116,OtrosR!$B$3:$B171,E$1))</f>
        <v>#VALUE!</v>
      </c>
      <c r="G116" s="95" t="str">
        <f t="shared" si="356"/>
        <v/>
      </c>
      <c r="H116" s="96" t="str">
        <f t="array" ref="H116">SUM(SUMIFS(INDIRECT($A$3) ,OtrosR!$C$3:$C171,$A116,OtrosR!$B$3:$B171,H$1))</f>
        <v>#VALUE!</v>
      </c>
      <c r="I116" s="34" t="str">
        <f t="array" ref="I116">SUM(SUMIFS(INDIRECT($A$9) ,OtrosR!$C$3:$C171,$A116,OtrosR!$B$3:$B171,H$1))</f>
        <v>#VALUE!</v>
      </c>
      <c r="J116" s="98" t="str">
        <f t="shared" si="357"/>
        <v/>
      </c>
      <c r="K116" s="99" t="str">
        <f t="array" ref="K116">SUM(SUMIFS(INDIRECT($A$3) ,OtrosR!$C$3:$C171,$A116,OtrosR!$B$3:$B171,K$1))</f>
        <v>#VALUE!</v>
      </c>
      <c r="L116" s="35" t="str">
        <f t="array" ref="L116">SUM(SUMIFS(INDIRECT($A$9) ,OtrosR!$C$3:$C171,$A116,OtrosR!$B$3:$B171,K$1))</f>
        <v>#VALUE!</v>
      </c>
      <c r="M116" s="101" t="str">
        <f t="shared" si="358"/>
        <v/>
      </c>
      <c r="N116" s="102" t="str">
        <f t="array" ref="N116">SUM(SUMIFS(INDIRECT($A$3) ,OtrosR!$C$3:$C171,$A116,OtrosR!$B$3:$B171,N$1))</f>
        <v>#VALUE!</v>
      </c>
      <c r="O116" s="32" t="str">
        <f t="array" ref="O116">SUM(SUMIFS(INDIRECT($A$9) ,OtrosR!$C$3:$C171,$A116,OtrosR!$B$3:$B171,N$1))</f>
        <v>#VALUE!</v>
      </c>
      <c r="P116" s="104" t="str">
        <f t="shared" si="359"/>
        <v/>
      </c>
      <c r="Q116" s="99" t="str">
        <f t="array" ref="Q116">SUM(SUMIFS(INDIRECT($A$3) ,OtrosR!$C$3:$C171,$A116,OtrosR!$B$3:$B171,Q$1))</f>
        <v>#VALUE!</v>
      </c>
      <c r="R116" s="35" t="str">
        <f t="array" ref="R116">SUM(SUMIFS(INDIRECT($A$9) ,OtrosR!$C$3:$C171,$A116,OtrosR!$B$3:$B171,Q$1))</f>
        <v>#VALUE!</v>
      </c>
      <c r="S116" s="101" t="str">
        <f t="shared" si="360"/>
        <v/>
      </c>
      <c r="T116" s="102" t="str">
        <f t="array" ref="T116">SUM(SUMIFS(INDIRECT($A$3) ,OtrosR!$C$3:$C171,$A116,OtrosR!$B$3:$B171,T$1))</f>
        <v>#VALUE!</v>
      </c>
      <c r="U116" s="32" t="str">
        <f t="array" ref="U116">SUM(SUMIFS(INDIRECT($A$9) ,OtrosR!$C$3:$C171,$A116,OtrosR!$B$3:$B171,T$1))</f>
        <v>#VALUE!</v>
      </c>
      <c r="V116" s="104" t="str">
        <f t="shared" si="361"/>
        <v/>
      </c>
      <c r="W116" s="99" t="str">
        <f t="array" ref="W116">SUM(SUMIFS(INDIRECT($A$3) ,OtrosR!$C$3:$C171,$A116,OtrosR!$B$3:$B171,W$1))</f>
        <v>#VALUE!</v>
      </c>
      <c r="X116" s="35" t="str">
        <f t="array" ref="X116">SUM(SUMIFS(INDIRECT($A$9) ,OtrosR!$C$3:$C171,$A116,OtrosR!$B$3:$B171,W$1))</f>
        <v>#VALUE!</v>
      </c>
      <c r="Y116" s="101" t="str">
        <f t="shared" si="362"/>
        <v/>
      </c>
      <c r="Z116" s="102" t="str">
        <f t="array" ref="Z116">SUM(SUMIFS(INDIRECT($A$3) ,OtrosR!$C$3:$C171,$A116,OtrosR!$B$3:$B171,Z$1))</f>
        <v>#VALUE!</v>
      </c>
      <c r="AA116" s="32" t="str">
        <f t="array" ref="AA116">SUM(SUMIFS(INDIRECT($A$9) ,OtrosR!$C$3:$C171,$A116,OtrosR!$B$3:$B171,Z$1))</f>
        <v>#VALUE!</v>
      </c>
      <c r="AB116" s="104" t="str">
        <f t="shared" si="363"/>
        <v/>
      </c>
      <c r="AC116" s="99" t="str">
        <f t="array" ref="AC116">SUM(SUMIFS(INDIRECT($A$3) ,OtrosR!$C$3:$C171,$A116,OtrosR!$B$3:$B171,AC$1))</f>
        <v>#VALUE!</v>
      </c>
      <c r="AD116" s="35" t="str">
        <f t="array" ref="AD116">SUM(SUMIFS(INDIRECT($A$9) ,OtrosR!$C$3:$C171,$A116,OtrosR!$B$3:$B171,AC$1))</f>
        <v>#VALUE!</v>
      </c>
      <c r="AE116" s="101" t="str">
        <f t="shared" si="364"/>
        <v/>
      </c>
      <c r="AF116" s="102" t="str">
        <f t="array" ref="AF116">SUM(SUMIFS(INDIRECT($A$3) ,OtrosR!$C$3:$C171,$A116,OtrosR!$B$3:$B171,AF$1))</f>
        <v>#VALUE!</v>
      </c>
      <c r="AG116" s="32" t="str">
        <f t="array" ref="AG116">SUM(SUMIFS(INDIRECT($A$9) ,OtrosR!$C$3:$C171,$A116,OtrosR!$B$3:$B171,AF$1))</f>
        <v>#VALUE!</v>
      </c>
      <c r="AH116" s="104" t="str">
        <f t="shared" si="365"/>
        <v/>
      </c>
      <c r="AI116" s="99" t="str">
        <f t="array" ref="AI116">SUM(SUMIFS(INDIRECT($A$3) ,OtrosR!$C$3:$C171,$A116,OtrosR!$B$3:$B171,AI$1))</f>
        <v>#VALUE!</v>
      </c>
      <c r="AJ116" s="35" t="str">
        <f t="array" ref="AJ116">SUM(SUMIFS(INDIRECT($A$9) ,OtrosR!$C$3:$C171,$A116,OtrosR!$B$3:$B171,AI$1))</f>
        <v>#VALUE!</v>
      </c>
      <c r="AK116" s="101" t="str">
        <f t="shared" si="366"/>
        <v/>
      </c>
      <c r="AL116" s="102" t="str">
        <f t="array" ref="AL116">SUM(SUMIFS(INDIRECT($A$3) ,OtrosR!$C$3:$C171,$A116,OtrosR!$B$3:$B171,AL$1))</f>
        <v>#VALUE!</v>
      </c>
      <c r="AM116" s="32" t="str">
        <f t="array" ref="AM116">SUM(SUMIFS(INDIRECT($A$9) ,OtrosR!$C$3:$C171,$A116,OtrosR!$B$3:$B171,AL$1))</f>
        <v>#VALUE!</v>
      </c>
      <c r="AN116" s="104" t="str">
        <f t="shared" si="367"/>
        <v/>
      </c>
      <c r="AO116" s="99" t="str">
        <f t="array" ref="AO116">SUM(SUMIFS(INDIRECT($A$3) ,OtrosR!$C$3:$C171,$A116,OtrosR!$B$3:$B171,AO$1))</f>
        <v>#VALUE!</v>
      </c>
      <c r="AP116" s="35" t="str">
        <f t="array" ref="AP116">SUM(SUMIFS(INDIRECT($A$9) ,OtrosR!$C$3:$C171,$A116,OtrosR!$B$3:$B171,AO$1))</f>
        <v>#VALUE!</v>
      </c>
      <c r="AQ116" s="101" t="str">
        <f t="shared" si="368"/>
        <v/>
      </c>
      <c r="AR116" s="102" t="str">
        <f t="array" ref="AR116">SUM(SUMIFS(INDIRECT($A$3) ,OtrosR!$C$3:$C171,$A116,OtrosR!$B$3:$B171,AR$1))</f>
        <v>#VALUE!</v>
      </c>
      <c r="AS116" s="32" t="str">
        <f t="array" ref="AS116">SUM(SUMIFS(INDIRECT($A$9) ,OtrosR!$C$3:$C171,$A116,OtrosR!$B$3:$B171,AR$1))</f>
        <v>#VALUE!</v>
      </c>
      <c r="AT116" s="104" t="str">
        <f t="shared" si="369"/>
        <v/>
      </c>
      <c r="AU116" s="99" t="str">
        <f t="array" ref="AU116">SUM(SUMIFS(INDIRECT($A$3) ,OtrosR!$C$3:$C171,$A116,OtrosR!$B$3:$B171,AU$1))</f>
        <v>#VALUE!</v>
      </c>
      <c r="AV116" s="35" t="str">
        <f t="array" ref="AV116">SUM(SUMIFS(INDIRECT($A$9) ,OtrosR!$C$3:$C171,$A116,OtrosR!$B$3:$B171,AU$1))</f>
        <v>#VALUE!</v>
      </c>
      <c r="AW116" s="101" t="str">
        <f t="shared" si="370"/>
        <v/>
      </c>
      <c r="AX116" s="102" t="str">
        <f t="array" ref="AX116">SUM(SUMIFS(INDIRECT($A$3) ,OtrosR!$C$3:$C171,$A116,OtrosR!$B$3:$B171,AX$1))</f>
        <v>#VALUE!</v>
      </c>
      <c r="AY116" s="32" t="str">
        <f t="array" ref="AY116">SUM(SUMIFS(INDIRECT($A$9) ,OtrosR!$C$3:$C171,$A116,OtrosR!$B$3:$B171,AX$1))</f>
        <v>#VALUE!</v>
      </c>
      <c r="AZ116" s="104" t="str">
        <f t="shared" si="371"/>
        <v/>
      </c>
      <c r="BA116" s="99" t="str">
        <f t="array" ref="BA116">SUM(SUMIFS(INDIRECT($A$3) ,OtrosR!$C$3:$C171,$A116,OtrosR!$B$3:$B171,BA$1))</f>
        <v>#VALUE!</v>
      </c>
      <c r="BB116" s="35" t="str">
        <f t="array" ref="BB116">SUM(SUMIFS(INDIRECT($A$9) ,OtrosR!$C$3:$C171,$A116,OtrosR!$B$3:$B171,BA$1))</f>
        <v>#VALUE!</v>
      </c>
      <c r="BC116" s="101" t="str">
        <f t="shared" si="372"/>
        <v/>
      </c>
      <c r="BD116" s="102" t="str">
        <f t="array" ref="BD116">SUM(SUMIFS(INDIRECT($A$3) ,OtrosR!$C$3:$C171,$A116,OtrosR!$B$3:$B171,BD$1))</f>
        <v>#VALUE!</v>
      </c>
      <c r="BE116" s="32" t="str">
        <f t="array" ref="BE116">SUM(SUMIFS(INDIRECT($A$9) ,OtrosR!$C$3:$C171,$A116,OtrosR!$B$3:$B171,BD$1))</f>
        <v>#VALUE!</v>
      </c>
      <c r="BF116" s="104" t="str">
        <f t="shared" si="373"/>
        <v/>
      </c>
      <c r="BG116" s="99" t="str">
        <f t="array" ref="BG116">SUM(SUMIFS(INDIRECT($A$3) ,OtrosR!$C$3:$C171,$A116,OtrosR!$B$3:$B171,BG$1))</f>
        <v>#VALUE!</v>
      </c>
      <c r="BH116" s="35" t="str">
        <f t="array" ref="BH116">SUM(SUMIFS(INDIRECT($A$9) ,OtrosR!$C$3:$C171,$A116,OtrosR!$B$3:$B171,BG$1))</f>
        <v>#VALUE!</v>
      </c>
      <c r="BI116" s="101" t="str">
        <f t="shared" si="374"/>
        <v/>
      </c>
      <c r="BJ116" s="102" t="str">
        <f t="array" ref="BJ116">SUM(SUMIFS(INDIRECT($A$3) ,OtrosR!$C$3:$C171,$A116,OtrosR!$B$3:$B171,BJ$1))</f>
        <v>#VALUE!</v>
      </c>
      <c r="BK116" s="32" t="str">
        <f t="array" ref="BK116">SUM(SUMIFS(INDIRECT($A$9) ,OtrosR!$C$3:$C171,$A116,OtrosR!$B$3:$B171,BJ$1))</f>
        <v>#VALUE!</v>
      </c>
      <c r="BL116" s="104" t="str">
        <f t="shared" si="375"/>
        <v/>
      </c>
      <c r="BM116" s="99" t="str">
        <f t="array" ref="BM116">SUM(SUMIFS(INDIRECT($A$3) ,OtrosR!$C$3:$C171,$A116,OtrosR!$B$3:$B171,BM$1))</f>
        <v>#VALUE!</v>
      </c>
      <c r="BN116" s="35" t="str">
        <f t="array" ref="BN116">SUM(SUMIFS(INDIRECT($A$9) ,OtrosR!$C$3:$C171,$A116,OtrosR!$B$3:$B171,BM$1))</f>
        <v>#VALUE!</v>
      </c>
      <c r="BO116" s="101" t="str">
        <f t="shared" si="376"/>
        <v/>
      </c>
      <c r="BP116" s="102" t="str">
        <f t="array" ref="BP116">SUM(SUMIFS(INDIRECT($A$3) ,OtrosR!$C$3:$C171,$A116,OtrosR!$B$3:$B171,BP$1))</f>
        <v>#VALUE!</v>
      </c>
      <c r="BQ116" s="32" t="str">
        <f t="array" ref="BQ116">SUM(SUMIFS(INDIRECT($A$9) ,OtrosR!$C$3:$C171,$A116,OtrosR!$B$3:$B171,BP$1))</f>
        <v>#VALUE!</v>
      </c>
      <c r="BR116" s="104" t="str">
        <f t="shared" si="377"/>
        <v/>
      </c>
      <c r="BS116" s="99" t="str">
        <f t="array" ref="BS116">SUM(SUMIFS(INDIRECT($A$3) ,OtrosR!$C$3:$C171,$A116,OtrosR!$B$3:$B171,BS$1))</f>
        <v>#VALUE!</v>
      </c>
      <c r="BT116" s="35" t="str">
        <f t="array" ref="BT116">SUM(SUMIFS(INDIRECT($A$9) ,OtrosR!$C$3:$C171,$A116,OtrosR!$B$3:$B171,BS$1))</f>
        <v>#VALUE!</v>
      </c>
      <c r="BU116" s="101" t="str">
        <f t="shared" si="378"/>
        <v/>
      </c>
      <c r="BV116" s="102" t="str">
        <f t="array" ref="BV116">SUM(SUMIFS(INDIRECT($A$3) ,OtrosR!$C$3:$C171,$A116,OtrosR!$B$3:$B171,BV$1))</f>
        <v>#VALUE!</v>
      </c>
      <c r="BW116" s="32" t="str">
        <f t="array" ref="BW116">SUM(SUMIFS(INDIRECT($A$9) ,OtrosR!$C$3:$C171,$A116,OtrosR!$B$3:$B171,BV$1))</f>
        <v>#VALUE!</v>
      </c>
      <c r="BX116" s="104" t="str">
        <f t="shared" si="379"/>
        <v/>
      </c>
      <c r="BY116" s="99" t="str">
        <f t="array" ref="BY116">SUM(SUMIFS(INDIRECT($A$3) ,OtrosR!$C$3:$C171,$A116,OtrosR!$B$3:$B171,BY$1))</f>
        <v>#VALUE!</v>
      </c>
      <c r="BZ116" s="35" t="str">
        <f t="array" ref="BZ116">SUM(SUMIFS(INDIRECT($A$9) ,OtrosR!$C$3:$C171,$A116,OtrosR!$B$3:$B171,BY$1))</f>
        <v>#VALUE!</v>
      </c>
      <c r="CA116" s="101" t="str">
        <f t="shared" si="380"/>
        <v/>
      </c>
      <c r="CB116" s="102" t="str">
        <f t="array" ref="CB116">SUM(SUMIFS(INDIRECT($A$3) ,OtrosR!$C$3:$C171,$A116,OtrosR!$B$3:$B171,CB$1))</f>
        <v>#VALUE!</v>
      </c>
      <c r="CC116" s="32" t="str">
        <f t="array" ref="CC116">SUM(SUMIFS(INDIRECT($A$9) ,OtrosR!$C$3:$C171,$A116,OtrosR!$B$3:$B171,CB$1))</f>
        <v>#VALUE!</v>
      </c>
      <c r="CD116" s="104" t="str">
        <f t="shared" si="381"/>
        <v/>
      </c>
      <c r="CE116" s="99" t="str">
        <f t="array" ref="CE116">SUM(SUMIFS(INDIRECT($A$3) ,OtrosR!$C$3:$C171,$A116,OtrosR!$B$3:$B171,CE$1))</f>
        <v>#VALUE!</v>
      </c>
      <c r="CF116" s="35" t="str">
        <f t="array" ref="CF116">SUM(SUMIFS(INDIRECT($A$9) ,OtrosR!$C$3:$C171,$A116,OtrosR!$B$3:$B171,CE$1))</f>
        <v>#VALUE!</v>
      </c>
      <c r="CG116" s="101" t="str">
        <f t="shared" si="382"/>
        <v/>
      </c>
      <c r="CH116" s="102" t="str">
        <f t="array" ref="CH116">SUM(SUMIFS(INDIRECT($A$3) ,OtrosR!$C$3:$C171,$A116,OtrosR!$B$3:$B171,CH$1))</f>
        <v>#VALUE!</v>
      </c>
      <c r="CI116" s="32" t="str">
        <f t="array" ref="CI116">SUM(SUMIFS(INDIRECT($A$9) ,OtrosR!$C$3:$C171,$A116,OtrosR!$B$3:$B171,CH$1))</f>
        <v>#VALUE!</v>
      </c>
      <c r="CJ116" s="104" t="str">
        <f t="shared" si="383"/>
        <v/>
      </c>
      <c r="CK116" s="99" t="str">
        <f t="array" ref="CK116">SUM(SUMIFS(INDIRECT($A$3) ,OtrosR!$C$3:$C171,$A116,OtrosR!$B$3:$B171,CK$1))</f>
        <v>#VALUE!</v>
      </c>
      <c r="CL116" s="35" t="str">
        <f t="array" ref="CL116">SUM(SUMIFS(INDIRECT($A$9) ,OtrosR!$C$3:$C171,$A116,OtrosR!$B$3:$B171,CK$1))</f>
        <v>#VALUE!</v>
      </c>
      <c r="CM116" s="101" t="str">
        <f t="shared" si="384"/>
        <v/>
      </c>
      <c r="CN116" s="102" t="str">
        <f t="array" ref="CN116">SUM(SUMIFS(INDIRECT($A$3) ,OtrosR!$C$3:$C171,$A116,OtrosR!$B$3:$B171,CN$1))</f>
        <v>#VALUE!</v>
      </c>
      <c r="CO116" s="32" t="str">
        <f t="array" ref="CO116">SUM(SUMIFS(INDIRECT($A$9) ,OtrosR!$C$3:$C171,$A116,OtrosR!$B$3:$B171,CN$1))</f>
        <v>#VALUE!</v>
      </c>
      <c r="CP116" s="104" t="str">
        <f t="shared" si="385"/>
        <v/>
      </c>
      <c r="CQ116" s="99" t="str">
        <f t="array" ref="CQ116">SUM(SUMIFS(INDIRECT($A$3) ,OtrosR!$C$3:$C171,$A116,OtrosR!$B$3:$B171,CQ$1))</f>
        <v>#VALUE!</v>
      </c>
      <c r="CR116" s="35" t="str">
        <f t="array" ref="CR116">SUM(SUMIFS(INDIRECT($A$9) ,OtrosR!$C$3:$C171,$A116,OtrosR!$B$3:$B171,CQ$1))</f>
        <v>#VALUE!</v>
      </c>
      <c r="CS116" s="101" t="str">
        <f t="shared" si="386"/>
        <v/>
      </c>
      <c r="CT116" s="102" t="str">
        <f t="array" ref="CT116">SUM(SUMIFS(INDIRECT($A$3) ,OtrosR!$C$3:$C171,$A116,OtrosR!$B$3:$B171,CT$1))</f>
        <v>#VALUE!</v>
      </c>
      <c r="CU116" s="32" t="str">
        <f t="array" ref="CU116">SUM(SUMIFS(INDIRECT($A$9) ,OtrosR!$C$3:$C171,$A116,OtrosR!$B$3:$B171,CT$1))</f>
        <v>#VALUE!</v>
      </c>
      <c r="CV116" s="104" t="str">
        <f t="shared" si="387"/>
        <v/>
      </c>
      <c r="CW116" s="99" t="str">
        <f t="array" ref="CW116">SUM(SUMIFS(INDIRECT($A$3) ,OtrosR!$C$3:$C171,$A116,OtrosR!$B$3:$B171,CW$1))</f>
        <v>#VALUE!</v>
      </c>
      <c r="CX116" s="35" t="str">
        <f t="array" ref="CX116">SUM(SUMIFS(INDIRECT($A$9) ,OtrosR!$C$3:$C171,$A116,OtrosR!$B$3:$B171,CW$1))</f>
        <v>#VALUE!</v>
      </c>
      <c r="CY116" s="101" t="str">
        <f t="shared" si="388"/>
        <v/>
      </c>
      <c r="CZ116" s="102" t="str">
        <f t="array" ref="CZ116">SUM(SUMIFS(INDIRECT($A$3) ,OtrosR!$C$3:$C171,$A116,OtrosR!$B$3:$B171,CZ$1))</f>
        <v>#VALUE!</v>
      </c>
      <c r="DA116" s="32" t="str">
        <f t="array" ref="DA116">SUM(SUMIFS(INDIRECT($A$9) ,OtrosR!$C$3:$C171,$A116,OtrosR!$B$3:$B171,CZ$1))</f>
        <v>#VALUE!</v>
      </c>
      <c r="DB116" s="104" t="str">
        <f t="shared" si="389"/>
        <v/>
      </c>
      <c r="DC116" s="99" t="str">
        <f t="array" ref="DC116">SUM(SUMIFS(INDIRECT($A$3) ,OtrosR!$C$3:$C171,$A116,OtrosR!$B$3:$B171,DC$1))</f>
        <v>#VALUE!</v>
      </c>
      <c r="DD116" s="35" t="str">
        <f t="array" ref="DD116">SUM(SUMIFS(INDIRECT($A$9) ,OtrosR!$C$3:$C171,$A116,OtrosR!$B$3:$B171,DC$1))</f>
        <v>#VALUE!</v>
      </c>
      <c r="DE116" s="101" t="str">
        <f t="shared" si="390"/>
        <v/>
      </c>
      <c r="DF116" s="102" t="str">
        <f t="array" ref="DF116">SUM(SUMIFS(INDIRECT($A$3) ,OtrosR!$C$3:$C171,$A116,OtrosR!$B$3:$B171,DF$1))</f>
        <v>#VALUE!</v>
      </c>
      <c r="DG116" s="32" t="str">
        <f t="array" ref="DG116">SUM(SUMIFS(INDIRECT($A$9) ,OtrosR!$C$3:$C171,$A116,OtrosR!$B$3:$B171,DF$1))</f>
        <v>#VALUE!</v>
      </c>
      <c r="DH116" s="104" t="str">
        <f t="shared" si="391"/>
        <v/>
      </c>
      <c r="DI116" s="99" t="str">
        <f t="array" ref="DI116">SUM(SUMIFS(INDIRECT($A$3) ,OtrosR!$C$3:$C171,$A116,OtrosR!$B$3:$B171,DI$1))</f>
        <v>#VALUE!</v>
      </c>
      <c r="DJ116" s="35" t="str">
        <f t="array" ref="DJ116">SUM(SUMIFS(INDIRECT($A$9) ,OtrosR!$C$3:$C171,$A116,OtrosR!$B$3:$B171,DI$1))</f>
        <v>#VALUE!</v>
      </c>
      <c r="DK116" s="101" t="str">
        <f t="shared" si="392"/>
        <v/>
      </c>
      <c r="DL116" s="102" t="str">
        <f t="array" ref="DL116">SUM(SUMIFS(INDIRECT($A$3) ,OtrosR!$C$3:$C171,$A116,OtrosR!$B$3:$B171,DL$1))</f>
        <v>#VALUE!</v>
      </c>
      <c r="DM116" s="32" t="str">
        <f t="array" ref="DM116">SUM(SUMIFS(INDIRECT($A$9) ,OtrosR!$C$3:$C171,$A116,OtrosR!$B$3:$B171,DL$1))</f>
        <v>#VALUE!</v>
      </c>
      <c r="DN116" s="104" t="str">
        <f t="shared" si="393"/>
        <v/>
      </c>
      <c r="DO116" s="99" t="str">
        <f t="array" ref="DO116">SUM(SUMIFS(INDIRECT($A$3) ,OtrosR!$C$3:$C171,$A116,OtrosR!$B$3:$B171,DO$1))</f>
        <v>#VALUE!</v>
      </c>
      <c r="DP116" s="35" t="str">
        <f t="array" ref="DP116">SUM(SUMIFS(INDIRECT($A$9) ,OtrosR!$C$3:$C171,$A116,OtrosR!$B$3:$B171,DO$1))</f>
        <v>#VALUE!</v>
      </c>
      <c r="DQ116" s="101" t="str">
        <f t="shared" si="394"/>
        <v/>
      </c>
      <c r="DR116" s="102" t="str">
        <f t="array" ref="DR116">SUM(SUMIFS(INDIRECT($A$3) ,OtrosR!$C$3:$C171,$A116,OtrosR!$B$3:$B171,DR$1))</f>
        <v>#VALUE!</v>
      </c>
      <c r="DS116" s="32" t="str">
        <f t="array" ref="DS116">SUM(SUMIFS(INDIRECT($A$9) ,OtrosR!$C$3:$C171,$A116,OtrosR!$B$3:$B171,DR$1))</f>
        <v>#VALUE!</v>
      </c>
      <c r="DT116" s="104" t="str">
        <f t="shared" si="395"/>
        <v/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DF1:DH1"/>
    <mergeCell ref="DI1:DK1"/>
    <mergeCell ref="DL1:DN1"/>
    <mergeCell ref="DO1:DQ1"/>
    <mergeCell ref="DR1:DT1"/>
    <mergeCell ref="CK1:CM1"/>
    <mergeCell ref="CN1:CP1"/>
    <mergeCell ref="CQ1:CS1"/>
    <mergeCell ref="CT1:CV1"/>
    <mergeCell ref="CW1:CY1"/>
    <mergeCell ref="CZ1:DB1"/>
    <mergeCell ref="DC1:DE1"/>
  </mergeCells>
  <conditionalFormatting sqref="C1 C3 C5 C7 D1:D104 D106:D1000 G2 G4:G104 G107:G116 J2 J4:J104 J106:J1000 M2 M4:M104 M106:M1000 P2 P4:P104 P106:P1000 S2 S4:S104 S106:S1000 V2 V4:V104 V106:V1000 Y2 Y4:Y104 Y106:Y1000 AB2 AB4:AB104 AB106:AB1000 AE2 AE4:AE104 AE106:AE1000 AH2 AH4:AH104 AH106:AH1000 AK2 AK4:AK104 AK106:AK1000 AN2 AN4:AN104 AN106:AN1000 AQ2 AQ4:AQ104 AQ106:AQ1000 AT2 AT4:AT104 AT106:AT1000 AW2 AW4:AW104 AW106:AW1000 AZ2 AZ4:AZ104 AZ106:AZ1000 BC2 BC4:BC104 BC106:BC1000 BF2 BF4:BF104 BF106:BF1000 BI2 BI4:BI104 BI106:BI1000 BL2 BL4:BL104 BL106:BL1000 BO2 BO4:BO104 BO106:BO1000 BR2 BR4:BR104 BR106:BR1000 BU2 BU4:BU104 BU106:BU1000 BX2 BX4:BX104 BX106:BX1000 CA2 CA4:CA104 CA106:CA1000 CD2 CD4:CD104 CD106:CD1000 CG2 CG4:CG104 CG106:CG1000 CJ2 CJ4:CJ104 CJ106:CJ1000 CM2 CM4:CM104 CM106:CM1000 CP2 CP4:CP104 CP106:CP1000 CS2 CS4:CS104 CS106:CS1000 CV2 CV4:CV104 CV106:CV1000 CY2:CY104 CY106:CY1000 DB2:DB104 DB106:DB1000 DE2:DE104 DE106:DE1000 DH2:DH104 DH106:DH1000 DK2:DK104 DK106:DK1000 DN2:DN1000 DQ2:DQ1000 DT2:DT104 DT106:DT1000">
    <cfRule type="cellIs" dxfId="0" priority="1" operator="greaterThanOrEqual">
      <formula>0</formula>
    </cfRule>
  </conditionalFormatting>
  <conditionalFormatting sqref="C1 C3 C5 C7 D1:D104 D106:D1000 G2 G4:G104 G107:G116 J2 J4:J104 J106:J1000 M2 M4:M104 M106:M1000 P2 P4:P104 P106:P1000 S2 S4:S104 S106:S1000 V2 V4:V104 V106:V1000 Y2 Y4:Y104 Y106:Y1000 AB2 AB4:AB104 AB106:AB1000 AE2 AE4:AE104 AE106:AE1000 AH2 AH4:AH104 AH106:AH1000 AK2 AK4:AK104 AK106:AK1000 AN2 AN4:AN104 AN106:AN1000 AQ2 AQ4:AQ104 AQ106:AQ1000 AT2 AT4:AT104 AT106:AT1000 AW2 AW4:AW104 AW106:AW1000 AZ2 AZ4:AZ104 AZ106:AZ1000 BC2 BC4:BC104 BC106:BC1000 BF2 BF4:BF104 BF106:BF1000 BI2 BI4:BI104 BI106:BI1000 BL2 BL4:BL104 BL106:BL1000 BO2 BO4:BO104 BO106:BO1000 BR2 BR4:BR104 BR106:BR1000 BU2 BU4:BU104 BU106:BU1000 BX2 BX4:BX104 BX106:BX1000 CA2 CA4:CA104 CA106:CA1000 CD2 CD4:CD104 CD106:CD1000 CG2 CG4:CG104 CG106:CG1000 CJ2 CJ4:CJ104 CJ106:CJ1000 CM2 CM4:CM104 CM106:CM1000 CP2 CP4:CP104 CP106:CP1000 CS2 CS4:CS104 CS106:CS1000 CV2 CV4:CV104 CV106:CV1000 CY2:CY104 CY106:CY1000 DB2:DB104 DB106:DB1000 DE2:DE104 DE106:DE1000 DH2:DH104 DH106:DH1000 DK2:DK104 DK106:DK1000 DN2:DN1000 DQ2:DQ1000 DT2:DT104 DT106:DT1000">
    <cfRule type="cellIs" dxfId="1" priority="2" operator="lessThan">
      <formula>0</formula>
    </cfRule>
  </conditionalFormatting>
  <dataValidations>
    <dataValidation type="list" allowBlank="1" showErrorMessage="1" sqref="A1:A2">
      <formula1>Menus!$E$2:$E171</formula1>
    </dataValidation>
    <dataValidation type="list" allowBlank="1" showErrorMessage="1" sqref="E1">
      <formula1>Menus!$A$3:$A171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6.13"/>
    <col customWidth="1" min="2" max="4" width="12.25"/>
    <col customWidth="1" min="5" max="5" width="11.63"/>
    <col customWidth="1" min="6" max="6" width="12.25"/>
    <col customWidth="1" min="7" max="7" width="12.5"/>
    <col customWidth="1" min="8" max="8" width="11.63"/>
    <col customWidth="1" min="9" max="9" width="12.25"/>
    <col customWidth="1" min="10" max="10" width="10.88"/>
    <col customWidth="1" min="11" max="11" width="9.88"/>
    <col customWidth="1" min="12" max="12" width="12.25"/>
    <col customWidth="1" min="13" max="13" width="9.63"/>
    <col customWidth="1" min="14" max="14" width="9.38"/>
    <col customWidth="1" min="15" max="15" width="6.25"/>
    <col customWidth="1" min="16" max="16" width="10.25"/>
    <col customWidth="1" min="17" max="17" width="9.88"/>
    <col customWidth="1" min="18" max="18" width="6.25"/>
    <col customWidth="1" min="19" max="19" width="10.5"/>
    <col customWidth="1" min="20" max="20" width="9.88"/>
    <col customWidth="1" min="21" max="21" width="6.25"/>
    <col customWidth="1" min="22" max="22" width="9.75"/>
    <col customWidth="1" min="23" max="23" width="9.88"/>
    <col customWidth="1" min="24" max="24" width="6.25"/>
    <col customWidth="1" min="25" max="25" width="12.0"/>
    <col customWidth="1" min="26" max="26" width="9.88"/>
    <col customWidth="1" min="27" max="27" width="6.25"/>
    <col customWidth="1" min="28" max="28" width="16.0"/>
    <col customWidth="1" min="29" max="29" width="9.88"/>
    <col customWidth="1" min="30" max="30" width="6.25"/>
    <col customWidth="1" min="31" max="31" width="12.75"/>
    <col customWidth="1" min="32" max="32" width="9.88"/>
    <col customWidth="1" min="33" max="33" width="6.25"/>
    <col customWidth="1" min="34" max="34" width="15.38"/>
    <col customWidth="1" min="35" max="35" width="9.88"/>
    <col customWidth="1" min="36" max="36" width="6.25"/>
    <col customWidth="1" min="37" max="37" width="14.75"/>
    <col customWidth="1" min="38" max="38" width="9.88"/>
    <col customWidth="1" min="39" max="39" width="7.88"/>
    <col customWidth="1" min="40" max="40" width="7.63"/>
    <col customWidth="1" min="41" max="41" width="12.5"/>
  </cols>
  <sheetData>
    <row r="1" ht="15.75" customHeight="1">
      <c r="A1" s="1" t="s">
        <v>15</v>
      </c>
      <c r="B1" s="107"/>
      <c r="C1" s="108"/>
      <c r="D1" s="108" t="s">
        <v>10</v>
      </c>
      <c r="E1" s="109">
        <v>44957.0</v>
      </c>
      <c r="F1" s="110"/>
      <c r="G1" s="110" t="s">
        <v>16</v>
      </c>
      <c r="H1" s="111">
        <v>44985.0</v>
      </c>
      <c r="I1" s="112"/>
      <c r="J1" s="108" t="s">
        <v>12</v>
      </c>
      <c r="K1" s="109">
        <v>45016.0</v>
      </c>
      <c r="L1" s="110"/>
      <c r="M1" s="110" t="s">
        <v>17</v>
      </c>
      <c r="N1" s="113">
        <v>45046.0</v>
      </c>
      <c r="O1" s="108"/>
      <c r="P1" s="108" t="s">
        <v>18</v>
      </c>
      <c r="Q1" s="109">
        <v>45077.0</v>
      </c>
      <c r="R1" s="110"/>
      <c r="S1" s="110" t="s">
        <v>9</v>
      </c>
      <c r="T1" s="113">
        <v>45107.0</v>
      </c>
      <c r="U1" s="108"/>
      <c r="V1" s="108" t="s">
        <v>19</v>
      </c>
      <c r="W1" s="109">
        <v>45138.0</v>
      </c>
      <c r="X1" s="110"/>
      <c r="Y1" s="110" t="s">
        <v>20</v>
      </c>
      <c r="Z1" s="113">
        <v>45169.0</v>
      </c>
      <c r="AA1" s="108"/>
      <c r="AB1" s="108" t="s">
        <v>21</v>
      </c>
      <c r="AC1" s="109">
        <v>45199.0</v>
      </c>
      <c r="AD1" s="110"/>
      <c r="AE1" s="110" t="s">
        <v>22</v>
      </c>
      <c r="AF1" s="114">
        <v>45230.0</v>
      </c>
      <c r="AG1" s="108"/>
      <c r="AH1" s="108" t="s">
        <v>23</v>
      </c>
      <c r="AI1" s="115">
        <v>45260.0</v>
      </c>
      <c r="AJ1" s="110"/>
      <c r="AK1" s="110" t="s">
        <v>24</v>
      </c>
      <c r="AL1" s="114">
        <v>45291.0</v>
      </c>
      <c r="AM1" s="107"/>
      <c r="AN1" s="116"/>
      <c r="AO1" s="116"/>
    </row>
    <row r="2" ht="15.75" customHeight="1">
      <c r="A2" s="53"/>
      <c r="B2" s="107" t="s">
        <v>25</v>
      </c>
      <c r="C2" s="108" t="s">
        <v>26</v>
      </c>
      <c r="D2" s="108" t="s">
        <v>27</v>
      </c>
      <c r="E2" s="108" t="s">
        <v>28</v>
      </c>
      <c r="F2" s="110" t="s">
        <v>26</v>
      </c>
      <c r="G2" s="110" t="s">
        <v>27</v>
      </c>
      <c r="H2" s="110" t="s">
        <v>28</v>
      </c>
      <c r="I2" s="108" t="s">
        <v>26</v>
      </c>
      <c r="J2" s="108" t="s">
        <v>27</v>
      </c>
      <c r="K2" s="108" t="s">
        <v>28</v>
      </c>
      <c r="L2" s="110" t="s">
        <v>26</v>
      </c>
      <c r="M2" s="110" t="s">
        <v>27</v>
      </c>
      <c r="N2" s="110" t="s">
        <v>28</v>
      </c>
      <c r="O2" s="108" t="s">
        <v>26</v>
      </c>
      <c r="P2" s="108" t="s">
        <v>27</v>
      </c>
      <c r="Q2" s="108" t="s">
        <v>28</v>
      </c>
      <c r="R2" s="110" t="s">
        <v>26</v>
      </c>
      <c r="S2" s="110" t="s">
        <v>27</v>
      </c>
      <c r="T2" s="110" t="s">
        <v>28</v>
      </c>
      <c r="U2" s="108" t="s">
        <v>26</v>
      </c>
      <c r="V2" s="108" t="s">
        <v>27</v>
      </c>
      <c r="W2" s="108" t="s">
        <v>28</v>
      </c>
      <c r="X2" s="110" t="s">
        <v>26</v>
      </c>
      <c r="Y2" s="110" t="s">
        <v>27</v>
      </c>
      <c r="Z2" s="110" t="s">
        <v>28</v>
      </c>
      <c r="AA2" s="108" t="s">
        <v>26</v>
      </c>
      <c r="AB2" s="108" t="s">
        <v>27</v>
      </c>
      <c r="AC2" s="108" t="s">
        <v>28</v>
      </c>
      <c r="AD2" s="110" t="s">
        <v>26</v>
      </c>
      <c r="AE2" s="110" t="s">
        <v>27</v>
      </c>
      <c r="AF2" s="110" t="s">
        <v>28</v>
      </c>
      <c r="AG2" s="108" t="s">
        <v>26</v>
      </c>
      <c r="AH2" s="108" t="s">
        <v>27</v>
      </c>
      <c r="AI2" s="108" t="s">
        <v>28</v>
      </c>
      <c r="AJ2" s="110" t="s">
        <v>26</v>
      </c>
      <c r="AK2" s="110" t="s">
        <v>27</v>
      </c>
      <c r="AL2" s="110" t="s">
        <v>28</v>
      </c>
      <c r="AM2" s="107"/>
      <c r="AN2" s="116"/>
      <c r="AO2" s="116"/>
    </row>
    <row r="3" ht="15.75" customHeight="1">
      <c r="A3" s="12" t="s">
        <v>29</v>
      </c>
      <c r="B3" s="51">
        <f t="shared" ref="B3:B80" si="1">IFERROR(IF(D3+G3+J3+M3+P3+S3+V3+Y3+AB3=0, "", D3+G3+J3+M3+P3+S3+V3+Y3+AB3), "")</f>
        <v>-5798331.67</v>
      </c>
      <c r="C3" s="51">
        <f t="array" ref="C3">IFERROR(INDEX(EneR!$A$1:$AO96,MATCH("Utilidad Bruta",EneR!$A$1:$A96,0),MATCH($A3,EneR!$A$6:AO$6,0),),"")</f>
        <v>-1437169.88</v>
      </c>
      <c r="D3" s="51">
        <f>C3</f>
        <v>-1437169.88</v>
      </c>
      <c r="E3" s="51">
        <f t="shared" ref="E3:E26" si="2">C3-D3</f>
        <v>0</v>
      </c>
      <c r="F3" s="51">
        <f t="array" ref="F3">IFERROR(INDEX(FebR!$A$1:$AP96,MATCH("Utilidad Bruta",FebR!$A$1:$A96,0),MATCH($A3,FebR!$A$6:AO$6,0),),"")</f>
        <v>-1452842.16</v>
      </c>
      <c r="G3" s="51">
        <f>F3</f>
        <v>-1452842.16</v>
      </c>
      <c r="H3" s="51">
        <f t="shared" ref="H3:H26" si="3">F3-G3</f>
        <v>0</v>
      </c>
      <c r="I3" s="51">
        <f t="array" ref="I3">IFERROR(INDEX(MarR!$A$1:$AP96,MATCH("Utilidad Bruta",MarR!$A$1:$A96,0),MATCH($A3,MarR!$A$6:AO$6,0),),"")</f>
        <v>-1424736.38</v>
      </c>
      <c r="J3" s="51">
        <f>I3</f>
        <v>-1424736.38</v>
      </c>
      <c r="K3" s="51">
        <f t="shared" ref="K3:K26" si="4">I3-J3</f>
        <v>0</v>
      </c>
      <c r="L3" s="51">
        <f t="array" ref="L3">IFERROR(INDEX(AbrR!$A$1:$AP96,MATCH("Utilidad Bruta",AbrR!$A$1:$A96,0),MATCH($A3,AbrR!$A$6:AO$6,0),),"")</f>
        <v>1454549.77</v>
      </c>
      <c r="M3" s="51">
        <f>L3</f>
        <v>1454549.77</v>
      </c>
      <c r="N3" s="51">
        <f t="shared" ref="N3:N8" si="5">L3-M3</f>
        <v>0</v>
      </c>
      <c r="O3" s="51">
        <f t="array" ref="O3">IFERROR(INDEX(MayR!$A$1:$BK96,MATCH("Utilidad Bruta",MayR!$A$1:$A96,0),MATCH($A3,MayR!$A$6:AO$6,0),),"")</f>
        <v>-1459527.4</v>
      </c>
      <c r="P3" s="51">
        <f>O3</f>
        <v>-1459527.4</v>
      </c>
      <c r="Q3" s="51">
        <f t="shared" ref="Q3:Q26" si="6">O3-P3</f>
        <v>0</v>
      </c>
      <c r="R3" s="51">
        <f t="array" ref="R3">IFERROR(INDEX(JunR!$A$1:$AP96,MATCH("Utilidad Bruta",JunR!$A$1:$A96,0),MATCH($A3,JunR!$A$6:AO$6,0),),"")</f>
        <v>-1478605.62</v>
      </c>
      <c r="S3" s="51">
        <f>R3</f>
        <v>-1478605.62</v>
      </c>
      <c r="T3" s="51">
        <f t="shared" ref="T3:T26" si="7">R3-S3</f>
        <v>0</v>
      </c>
      <c r="U3" s="51" t="str">
        <f t="array" ref="U3">IFERROR(INDEX(JulR!$A$1:$AP96,MATCH("Utilidad Bruta",JulR!$A$1:$A96,0),MATCH($A3,JulR!$A$6:AO$6,0),),"")</f>
        <v/>
      </c>
      <c r="V3" s="51" t="str">
        <f>U3</f>
        <v/>
      </c>
      <c r="W3" s="51">
        <f t="shared" ref="W3:W26" si="8">U3-V3</f>
        <v>0</v>
      </c>
      <c r="X3" s="51" t="str">
        <f t="array" ref="X3">IFERROR(INDEX(AgoR!$A$1:$AP96,MATCH("Utilidad Bruta",AgoR!$A$1:$A96,0),MATCH($A3,AgoR!$A$6:AO$6,0),),"")</f>
        <v/>
      </c>
      <c r="Y3" s="51" t="str">
        <f>X3</f>
        <v/>
      </c>
      <c r="Z3" s="51">
        <f t="shared" ref="Z3:Z26" si="9">X3-Y3</f>
        <v>0</v>
      </c>
      <c r="AA3" s="51" t="str">
        <f t="array" ref="AA3">IFERROR(INDEX(SepR!$A$1:$AV96,MATCH("Utilidad Bruta",SepR!$A$1:$A96,0),MATCH($A3,SepR!$A$6:AO$6,0),),"")</f>
        <v/>
      </c>
      <c r="AB3" s="51" t="str">
        <f>AA3</f>
        <v/>
      </c>
      <c r="AC3" s="51">
        <f t="shared" ref="AC3:AC26" si="10">AA3-AB3</f>
        <v>0</v>
      </c>
      <c r="AD3" s="51" t="str">
        <f t="array" ref="AD3">IFERROR(INDEX(OctR!$A$1:$AP96,MATCH("Utilidad Bruta",OctR!$A$1:$A96,0),MATCH($A3,OctR!$A$6:AO$6,0),),"")</f>
        <v/>
      </c>
      <c r="AE3" s="51" t="str">
        <f>AD3</f>
        <v/>
      </c>
      <c r="AF3" s="51">
        <f t="shared" ref="AF3:AF26" si="11">AD3-AE3</f>
        <v>0</v>
      </c>
      <c r="AG3" s="51" t="str">
        <f t="array" ref="AG3">IFERROR(INDEX(NovR!$A$1:$AP96,MATCH("Utilidad Bruta",NovR!$A$1:$A96,0),MATCH($A3,NovR!$A$6:AO$6,0),),"")</f>
        <v/>
      </c>
      <c r="AH3" s="51" t="str">
        <f>AG3</f>
        <v/>
      </c>
      <c r="AI3" s="51">
        <f t="shared" ref="AI3:AI26" si="12">AG3-AH3</f>
        <v>0</v>
      </c>
      <c r="AJ3" s="51" t="str">
        <f t="array" ref="AJ3">IFERROR(INDEX(DicR!$A$1:$AP96,MATCH("Utilidad Bruta",DicR!$A$1:$A96,0),MATCH($A3,DicR!$A$6:AO$6,0),),"")</f>
        <v/>
      </c>
      <c r="AK3" s="51" t="str">
        <f>AJ3</f>
        <v/>
      </c>
      <c r="AL3" s="51">
        <f t="shared" ref="AL3:AL26" si="13">AJ3-AK3</f>
        <v>0</v>
      </c>
      <c r="AM3" s="51"/>
      <c r="AN3" s="51"/>
      <c r="AO3" s="51"/>
    </row>
    <row r="4" ht="15.75" customHeight="1">
      <c r="A4" s="12" t="str">
        <f>IFERROR(__xludf.DUMMYFUNCTION("QUERY(Menus!A3:A96)"),"")</f>
        <v/>
      </c>
      <c r="B4" s="51" t="str">
        <f t="shared" si="1"/>
        <v/>
      </c>
      <c r="C4" s="51" t="str">
        <f t="array" ref="C4">IFERROR(INDEX(EneR!$A$1:$AO96,MATCH("Utilidad Bruta",EneR!$A$1:$A96,0),MATCH($A4,EneR!$A$6:AO$6,0),),"")</f>
        <v/>
      </c>
      <c r="D4" s="51" t="str">
        <f>IF(OR(C4 &lt;= 0, C4 = ""), "", IF(C4 &lt;= 1000000, (C4)*30%, 1000000*30% + (C4-1000000)*25%))
</f>
        <v/>
      </c>
      <c r="E4" s="51">
        <f t="shared" si="2"/>
        <v>0</v>
      </c>
      <c r="F4" s="51" t="str">
        <f t="array" ref="F4">IFERROR(INDEX(FebR!$A$1:$AP96,MATCH("Utilidad Bruta",FebR!$A$1:$A96,0),MATCH($A4,FebR!$A$6:AO$6,0),),"")</f>
        <v/>
      </c>
      <c r="G4" s="51" t="str">
        <f>IF(OR(F4 &lt;= 0, F4 = ""), "", IF(F4 &lt;= 1000000, (F4)*30%, 1000000*30% + (F4-1000000)*25%))
</f>
        <v/>
      </c>
      <c r="H4" s="51">
        <f t="shared" si="3"/>
        <v>0</v>
      </c>
      <c r="I4" s="51" t="str">
        <f t="array" ref="I4">IFERROR(INDEX(MarR!$A$1:$AP96,MATCH("Utilidad Bruta",MarR!$A$1:$A96,0),MATCH($A4,MarR!$A$6:AO$6,0),),"")</f>
        <v/>
      </c>
      <c r="J4" s="51" t="str">
        <f>IF(OR(I4 &lt;= 0, I4 = ""), "", IF(I4 &lt;= 1000000, (I4)*30%, 1000000*30% + (I4-1000000)*25%))
</f>
        <v/>
      </c>
      <c r="K4" s="51">
        <f t="shared" si="4"/>
        <v>0</v>
      </c>
      <c r="L4" s="51" t="str">
        <f t="array" ref="L4">IFERROR(INDEX(AbrR!$A$1:$AP96,MATCH("Utilidad Bruta",AbrR!$A$1:$A96,0),MATCH($A4,AbrR!$A$6:AO$6,0),),"")</f>
        <v/>
      </c>
      <c r="M4" s="51" t="str">
        <f>IF(OR(L4 &lt;= 0, L4 = ""), "", IF(L4 &lt;= 1000000, (L4)*30%, 1000000*30% + (L4-1000000)*25%))
</f>
        <v/>
      </c>
      <c r="N4" s="51">
        <f t="shared" si="5"/>
        <v>0</v>
      </c>
      <c r="O4" s="51" t="str">
        <f t="array" ref="O4">IFERROR(INDEX(MayR!$A$1:$BK96,MATCH("Utilidad Bruta",MayR!$A$1:$A96,0),MATCH($A4,MayR!$A$6:AO$6,0),),"")</f>
        <v/>
      </c>
      <c r="P4" s="51" t="str">
        <f>IF(OR(O4 &lt;= 0, O4 = ""), "", IF(O4 &lt;= 1000000, (O4)*30%, 1000000*30% + (O4-1000000)*25%))
</f>
        <v/>
      </c>
      <c r="Q4" s="51">
        <f t="shared" si="6"/>
        <v>0</v>
      </c>
      <c r="R4" s="51" t="str">
        <f t="array" ref="R4">IFERROR(INDEX(JunR!$A$1:$AP96,MATCH("Utilidad Bruta",JunR!$A$1:$A96,0),MATCH($A4,JunR!$A$6:AO$6,0),),"")</f>
        <v/>
      </c>
      <c r="S4" s="51" t="str">
        <f>IF(OR(R4 &lt;= 0, R4 = ""), "", IF(R4 &lt;= 1000000, (R4)*30%, 1000000*30% + (R4-1000000)*25%))
</f>
        <v/>
      </c>
      <c r="T4" s="51">
        <f t="shared" si="7"/>
        <v>0</v>
      </c>
      <c r="U4" s="51" t="str">
        <f t="array" ref="U4">IFERROR(INDEX(JulR!$A$1:$AP96,MATCH("Utilidad Bruta",JulR!$A$1:$A96,0),MATCH($A4,JulR!$A$6:AO$6,0),),"")</f>
        <v/>
      </c>
      <c r="V4" s="51" t="str">
        <f>IF(OR(U4 &lt;= 0, U4 = ""), "", IF(U4 &lt;= 1000000, (U4)*30%, 1000000*30% + (U4-1000000)*25%))
</f>
        <v/>
      </c>
      <c r="W4" s="51">
        <f t="shared" si="8"/>
        <v>0</v>
      </c>
      <c r="X4" s="51" t="str">
        <f t="array" ref="X4">IFERROR(INDEX(AgoR!$A$1:$AP96,MATCH("Utilidad Bruta",AgoR!$A$1:$A96,0),MATCH($A4,AgoR!$A$6:AO$6,0),),"")</f>
        <v/>
      </c>
      <c r="Y4" s="51" t="str">
        <f>IF(OR(X4 &lt;= 0, X4 = ""), "", IF(X4 &lt;= 1000000, (X4)*30%, 1000000*30% + (X4-1000000)*25%))
</f>
        <v/>
      </c>
      <c r="Z4" s="51">
        <f t="shared" si="9"/>
        <v>0</v>
      </c>
      <c r="AA4" s="51" t="str">
        <f t="array" ref="AA4">IFERROR(INDEX(SepR!$A$1:$AV96,MATCH("Utilidad Bruta",SepR!$A$1:$A96,0),MATCH($A4,SepR!$A$6:AO$6,0),),"")</f>
        <v/>
      </c>
      <c r="AB4" s="51" t="str">
        <f>IF(OR(AA4 &lt;= 0, AA4 = ""), "", IF(AA4 &lt;= 1000000, (AA4)*30%, 1000000*30% + (AA4-1000000)*25%))
</f>
        <v/>
      </c>
      <c r="AC4" s="51">
        <f t="shared" si="10"/>
        <v>0</v>
      </c>
      <c r="AD4" s="51" t="str">
        <f t="array" ref="AD4">IFERROR(INDEX(OctR!$A$1:$AP96,MATCH("Utilidad Bruta",OctR!$A$1:$A96,0),MATCH($A4,OctR!$A$6:AO$6,0),),"")</f>
        <v/>
      </c>
      <c r="AE4" s="51" t="str">
        <f>IF(OR(AD4 &lt;= 0, AD4 = ""), "", IF(AD4 &lt;= 1000000, (AD4)*30%, 1000000*30% + (AD4-1000000)*25%))
</f>
        <v/>
      </c>
      <c r="AF4" s="51">
        <f t="shared" si="11"/>
        <v>0</v>
      </c>
      <c r="AG4" s="51" t="str">
        <f t="array" ref="AG4">IFERROR(INDEX(NovR!$A$1:$AP96,MATCH("Utilidad Bruta",NovR!$A$1:$A96,0),MATCH($A4,NovR!$A$6:AO$6,0),),"")</f>
        <v/>
      </c>
      <c r="AH4" s="51" t="str">
        <f>IF(OR(AG4 &lt;= 0, AG4 = ""), "", IF(AG4 &lt;= 1000000, (AG4)*30%, 1000000*30% + (AG4-1000000)*25%))
</f>
        <v/>
      </c>
      <c r="AI4" s="51">
        <f t="shared" si="12"/>
        <v>0</v>
      </c>
      <c r="AJ4" s="51" t="str">
        <f t="array" ref="AJ4">IFERROR(INDEX(DicR!$A$1:$AP96,MATCH("Utilidad Bruta",DicR!$A$1:$A96,0),MATCH($A4,DicR!$A$6:AO$6,0),),"")</f>
        <v/>
      </c>
      <c r="AK4" s="51" t="str">
        <f>IF(OR(AJ4 &lt;= 0, AJ4 = ""), "", IF(AJ4 &lt;= 1000000, (AJ4)*30%, 1000000*30% + (AJ4-1000000)*25%))
</f>
        <v/>
      </c>
      <c r="AL4" s="51">
        <f t="shared" si="13"/>
        <v>0</v>
      </c>
      <c r="AM4" s="117"/>
      <c r="AN4" s="117"/>
      <c r="AO4" s="117"/>
    </row>
    <row r="5" ht="15.75" customHeight="1">
      <c r="A5" s="12"/>
      <c r="B5" s="51" t="str">
        <f t="shared" si="1"/>
        <v/>
      </c>
      <c r="C5" s="51" t="str">
        <f t="array" ref="C5">IFERROR(INDEX(EneR!$A$1:$AO96,MATCH("Utilidad Bruta",EneR!$A$1:$A96,0),MATCH($A5,EneR!$A$6:AO$6,0),),"")</f>
        <v/>
      </c>
      <c r="D5" s="51" t="str">
        <f>IF(OR(C5 &lt;= 0, C5 = ""), "", IF(C5 &lt;= 1000000, (C5)*25%, 1000000*25% + (C5-1000000)*25%))
</f>
        <v/>
      </c>
      <c r="E5" s="51">
        <f t="shared" si="2"/>
        <v>0</v>
      </c>
      <c r="F5" s="51" t="str">
        <f t="array" ref="F5">IFERROR(INDEX(FebR!$A$1:$AP96,MATCH("Utilidad Bruta",FebR!$A$1:$A96,0),MATCH($A5,FebR!$A$6:AO$6,0),),"")</f>
        <v/>
      </c>
      <c r="G5" s="51" t="str">
        <f>IF(OR(F5 &lt;= 0, F5 = ""), "", IF(F5 &lt;= 1000000, (F5)*25%, 1000000*25% + (F5-1000000)*25%))
</f>
        <v/>
      </c>
      <c r="H5" s="51">
        <f t="shared" si="3"/>
        <v>0</v>
      </c>
      <c r="I5" s="51" t="str">
        <f t="array" ref="I5">IFERROR(INDEX(MarR!$A$1:$AP96,MATCH("Utilidad Bruta",MarR!$A$1:$A96,0),MATCH($A5,MarR!$A$6:AO$6,0),),"")</f>
        <v/>
      </c>
      <c r="J5" s="51" t="str">
        <f>IF(OR(I5 &lt;= 0, I5 = ""), "", IF(I5 &lt;= 1000000, (I5)*25%, 1000000*25% + (I5-1000000)*25%))
</f>
        <v/>
      </c>
      <c r="K5" s="51">
        <f t="shared" si="4"/>
        <v>0</v>
      </c>
      <c r="L5" s="51" t="str">
        <f t="array" ref="L5">IFERROR(INDEX(AbrR!$A$1:$AP96,MATCH("Utilidad Bruta",AbrR!$A$1:$A96,0),MATCH($A5,AbrR!$A$6:AO$6,0),),"")</f>
        <v/>
      </c>
      <c r="M5" s="51" t="str">
        <f>IF(OR(L5 &lt;= 0, L5 = ""), "", IF(L5 &lt;= 1000000, (L5)*25%, 1000000*25% + (L5-1000000)*25%))
</f>
        <v/>
      </c>
      <c r="N5" s="51">
        <f t="shared" si="5"/>
        <v>0</v>
      </c>
      <c r="O5" s="51" t="str">
        <f t="array" ref="O5">IFERROR(INDEX(MayR!$A$1:$BK96,MATCH("Utilidad Bruta",MayR!$A$1:$A96,0),MATCH($A5,MayR!$A$6:AO$6,0),),"")</f>
        <v/>
      </c>
      <c r="P5" s="51" t="str">
        <f>IF(OR(O5 &lt;= 0, O5 = ""), "", IF(O5 &lt;= 1000000, (O5)*25%, 1000000*25% + (O5-1000000)*25%))
</f>
        <v/>
      </c>
      <c r="Q5" s="51">
        <f t="shared" si="6"/>
        <v>0</v>
      </c>
      <c r="R5" s="51" t="str">
        <f t="array" ref="R5">IFERROR(INDEX(JunR!$A$1:$AP96,MATCH("Utilidad Bruta",JunR!$A$1:$A96,0),MATCH($A5,JunR!$A$6:AO$6,0),),"")</f>
        <v/>
      </c>
      <c r="S5" s="51" t="str">
        <f>IF(OR(R5 &lt;= 0, R5 = ""), "", IF(R5 &lt;= 1000000, (R5)*25%, 1000000*25% + (R5-1000000)*25%))
</f>
        <v/>
      </c>
      <c r="T5" s="51">
        <f t="shared" si="7"/>
        <v>0</v>
      </c>
      <c r="U5" s="51" t="str">
        <f t="array" ref="U5">IFERROR(INDEX(JulR!$A$1:$AP96,MATCH("Utilidad Bruta",JulR!$A$1:$A96,0),MATCH($A5,JulR!$A$6:AO$6,0),),"")</f>
        <v/>
      </c>
      <c r="V5" s="51" t="str">
        <f>IF(OR(U5 &lt;= 0, U5 = ""), "", IF(U5 &lt;= 1000000, (U5)*25%, 1000000*25% + (U5-1000000)*25%))
</f>
        <v/>
      </c>
      <c r="W5" s="51">
        <f t="shared" si="8"/>
        <v>0</v>
      </c>
      <c r="X5" s="51" t="str">
        <f t="array" ref="X5">IFERROR(INDEX(AgoR!$A$1:$AP96,MATCH("Utilidad Bruta",AgoR!$A$1:$A96,0),MATCH($A5,AgoR!$A$6:AO$6,0),),"")</f>
        <v/>
      </c>
      <c r="Y5" s="51" t="str">
        <f>IF(OR(X5 &lt;= 0, X5 = ""), "", IF(X5 &lt;= 1000000, (X5)*25%, 1000000*25% + (X5-1000000)*25%))
</f>
        <v/>
      </c>
      <c r="Z5" s="51">
        <f t="shared" si="9"/>
        <v>0</v>
      </c>
      <c r="AA5" s="51" t="str">
        <f t="array" ref="AA5">IFERROR(INDEX(SepR!$A$1:$AV96,MATCH("Utilidad Bruta",SepR!$A$1:$A96,0),MATCH($A5,SepR!$A$6:AO$6,0),),"")</f>
        <v/>
      </c>
      <c r="AB5" s="51" t="str">
        <f>IF(OR(AA5 &lt;= 0, AA5 = ""), "", IF(AA5 &lt;= 1000000, (AA5)*25%, 1000000*25% + (AA5-1000000)*25%))
</f>
        <v/>
      </c>
      <c r="AC5" s="51">
        <f t="shared" si="10"/>
        <v>0</v>
      </c>
      <c r="AD5" s="51" t="str">
        <f t="array" ref="AD5">IFERROR(INDEX(OctR!$A$1:$AP96,MATCH("Utilidad Bruta",OctR!$A$1:$A96,0),MATCH($A5,OctR!$A$6:AO$6,0),),"")</f>
        <v/>
      </c>
      <c r="AE5" s="51" t="str">
        <f>IF(OR(AD5 &lt;= 0, AD5 = ""), "", IF(AD5 &lt;= 1000000, (AD5)*25%, 1000000*25% + (AD5-1000000)*25%))
</f>
        <v/>
      </c>
      <c r="AF5" s="51">
        <f t="shared" si="11"/>
        <v>0</v>
      </c>
      <c r="AG5" s="51" t="str">
        <f t="array" ref="AG5">IFERROR(INDEX(NovR!$A$1:$AP96,MATCH("Utilidad Bruta",NovR!$A$1:$A96,0),MATCH($A5,NovR!$A$6:AO$6,0),),"")</f>
        <v/>
      </c>
      <c r="AH5" s="51" t="str">
        <f>IF(OR(AG5 &lt;= 0, AG5 = ""), "", IF(AG5 &lt;= 1000000, (AG5)*25%, 1000000*25% + (AG5-1000000)*25%))
</f>
        <v/>
      </c>
      <c r="AI5" s="51">
        <f t="shared" si="12"/>
        <v>0</v>
      </c>
      <c r="AJ5" s="51" t="str">
        <f t="array" ref="AJ5">IFERROR(INDEX(DicR!$A$1:$AP96,MATCH("Utilidad Bruta",DicR!$A$1:$A96,0),MATCH($A5,DicR!$A$6:AO$6,0),),"")</f>
        <v/>
      </c>
      <c r="AK5" s="51" t="str">
        <f>IF(OR(AJ5 &lt;= 0, AJ5 = ""), "", IF(AJ5 &lt;= 1000000, (AJ5)*25%, 1000000*25% + (AJ5-1000000)*25%))
</f>
        <v/>
      </c>
      <c r="AL5" s="51">
        <f t="shared" si="13"/>
        <v>0</v>
      </c>
      <c r="AM5" s="117"/>
      <c r="AN5" s="117"/>
      <c r="AO5" s="117"/>
    </row>
    <row r="6" ht="15.75" customHeight="1">
      <c r="A6" s="51"/>
      <c r="B6" s="51" t="str">
        <f t="shared" si="1"/>
        <v/>
      </c>
      <c r="C6" s="51" t="str">
        <f t="array" ref="C6">IFERROR(INDEX(EneR!$A$1:$AO96,MATCH("Utilidad Bruta",EneR!$A$1:$A96,0),MATCH($A6,EneR!$A$6:AO$6,0),),"")</f>
        <v/>
      </c>
      <c r="D6" s="51" t="str">
        <f t="shared" ref="D6:D8" si="14">C6</f>
        <v/>
      </c>
      <c r="E6" s="51">
        <f t="shared" si="2"/>
        <v>0</v>
      </c>
      <c r="F6" s="51" t="str">
        <f t="array" ref="F6">IFERROR(INDEX(FebR!$A$1:$AP96,MATCH("Utilidad Bruta",FebR!$A$1:$A96,0),MATCH($A6,FebR!$A$6:AO$6,0),),"")</f>
        <v/>
      </c>
      <c r="G6" s="51" t="str">
        <f t="shared" ref="G6:G8" si="15">F6</f>
        <v/>
      </c>
      <c r="H6" s="51">
        <f t="shared" si="3"/>
        <v>0</v>
      </c>
      <c r="I6" s="51" t="str">
        <f t="array" ref="I6">IFERROR(INDEX(MarR!$A$1:$AP96,MATCH("Utilidad Bruta",MarR!$A$1:$A96,0),MATCH($A6,MarR!$A$6:AO$6,0),),"")</f>
        <v/>
      </c>
      <c r="J6" s="51" t="str">
        <f t="shared" ref="J6:J8" si="16">I6</f>
        <v/>
      </c>
      <c r="K6" s="51">
        <f t="shared" si="4"/>
        <v>0</v>
      </c>
      <c r="L6" s="51" t="str">
        <f t="array" ref="L6">IFERROR(INDEX(AbrR!$A$1:$AP96,MATCH("Utilidad Bruta",AbrR!$A$1:$A96,0),MATCH($A6,AbrR!$A$6:AO$6,0),),"")</f>
        <v/>
      </c>
      <c r="M6" s="51" t="str">
        <f t="shared" ref="M6:M8" si="17">L6</f>
        <v/>
      </c>
      <c r="N6" s="51">
        <f t="shared" si="5"/>
        <v>0</v>
      </c>
      <c r="O6" s="51" t="str">
        <f t="array" ref="O6">IFERROR(INDEX(MayR!$A$1:$BK96,MATCH("Utilidad Bruta",MayR!$A$1:$A96,0),MATCH($A6,MayR!$A$6:AO$6,0),),"")</f>
        <v/>
      </c>
      <c r="P6" s="51" t="str">
        <f t="shared" ref="P6:P8" si="18">O6</f>
        <v/>
      </c>
      <c r="Q6" s="51">
        <f t="shared" si="6"/>
        <v>0</v>
      </c>
      <c r="R6" s="51" t="str">
        <f t="array" ref="R6">IFERROR(INDEX(JunR!$A$1:$AP96,MATCH("Utilidad Bruta",JunR!$A$1:$A96,0),MATCH($A6,JunR!$A$6:AO$6,0),),"")</f>
        <v/>
      </c>
      <c r="S6" s="51" t="str">
        <f t="shared" ref="S6:S8" si="19">R6</f>
        <v/>
      </c>
      <c r="T6" s="51">
        <f t="shared" si="7"/>
        <v>0</v>
      </c>
      <c r="U6" s="51" t="str">
        <f t="array" ref="U6">IFERROR(INDEX(JulR!$A$1:$AP96,MATCH("Utilidad Bruta",JulR!$A$1:$A96,0),MATCH($A6,JulR!$A$6:AO$6,0),),"")</f>
        <v/>
      </c>
      <c r="V6" s="51" t="str">
        <f t="shared" ref="V6:V8" si="20">U6</f>
        <v/>
      </c>
      <c r="W6" s="51">
        <f t="shared" si="8"/>
        <v>0</v>
      </c>
      <c r="X6" s="51" t="str">
        <f t="array" ref="X6">IFERROR(INDEX(AgoR!$A$1:$AP96,MATCH("Utilidad Bruta",AgoR!$A$1:$A96,0),MATCH($A6,AgoR!$A$6:AO$6,0),),"")</f>
        <v/>
      </c>
      <c r="Y6" s="51" t="str">
        <f t="shared" ref="Y6:Y8" si="21">X6</f>
        <v/>
      </c>
      <c r="Z6" s="51">
        <f t="shared" si="9"/>
        <v>0</v>
      </c>
      <c r="AA6" s="51" t="str">
        <f t="array" ref="AA6">IFERROR(INDEX(SepR!$A$1:$AV96,MATCH("Utilidad Bruta",SepR!$A$1:$A96,0),MATCH($A6,SepR!$A$6:AO$6,0),),"")</f>
        <v/>
      </c>
      <c r="AB6" s="51" t="str">
        <f t="shared" ref="AB6:AB8" si="22">AA6</f>
        <v/>
      </c>
      <c r="AC6" s="51">
        <f t="shared" si="10"/>
        <v>0</v>
      </c>
      <c r="AD6" s="51" t="str">
        <f t="array" ref="AD6">IFERROR(INDEX(OctR!$A$1:$AP96,MATCH("Utilidad Bruta",OctR!$A$1:$A96,0),MATCH($A6,OctR!$A$6:AO$6,0),),"")</f>
        <v/>
      </c>
      <c r="AE6" s="51" t="str">
        <f t="shared" ref="AE6:AE8" si="23">AD6</f>
        <v/>
      </c>
      <c r="AF6" s="51">
        <f t="shared" si="11"/>
        <v>0</v>
      </c>
      <c r="AG6" s="51" t="str">
        <f t="array" ref="AG6">IFERROR(INDEX(NovR!$A$1:$AP96,MATCH("Utilidad Bruta",NovR!$A$1:$A96,0),MATCH($A6,NovR!$A$6:AO$6,0),),"")</f>
        <v/>
      </c>
      <c r="AH6" s="51" t="str">
        <f t="shared" ref="AH6:AH8" si="24">AG6</f>
        <v/>
      </c>
      <c r="AI6" s="51">
        <f t="shared" si="12"/>
        <v>0</v>
      </c>
      <c r="AJ6" s="51" t="str">
        <f t="array" ref="AJ6">IFERROR(INDEX(DicR!$A$1:$AP96,MATCH("Utilidad Bruta",DicR!$A$1:$A96,0),MATCH($A6,DicR!$A$6:AO$6,0),),"")</f>
        <v/>
      </c>
      <c r="AK6" s="51" t="str">
        <f t="shared" ref="AK6:AK8" si="25">AJ6</f>
        <v/>
      </c>
      <c r="AL6" s="51">
        <f t="shared" si="13"/>
        <v>0</v>
      </c>
      <c r="AM6" s="51"/>
      <c r="AN6" s="51"/>
      <c r="AO6" s="51"/>
    </row>
    <row r="7" ht="15.75" customHeight="1">
      <c r="A7" s="51"/>
      <c r="B7" s="51" t="str">
        <f t="shared" si="1"/>
        <v/>
      </c>
      <c r="C7" s="51" t="str">
        <f t="array" ref="C7">IFERROR(INDEX(EneR!$A$1:$AO96,MATCH("Utilidad Bruta",EneR!$A$1:$A96,0),MATCH($A7,EneR!$A$6:AO$6,0),),"")</f>
        <v/>
      </c>
      <c r="D7" s="51" t="str">
        <f t="shared" si="14"/>
        <v/>
      </c>
      <c r="E7" s="51">
        <f t="shared" si="2"/>
        <v>0</v>
      </c>
      <c r="F7" s="51" t="str">
        <f t="array" ref="F7">IFERROR(INDEX(FebR!$A$1:$AP96,MATCH("Utilidad Bruta",FebR!$A$1:$A96,0),MATCH($A7,FebR!$A$6:AO$6,0),),"")</f>
        <v/>
      </c>
      <c r="G7" s="51" t="str">
        <f t="shared" si="15"/>
        <v/>
      </c>
      <c r="H7" s="51">
        <f t="shared" si="3"/>
        <v>0</v>
      </c>
      <c r="I7" s="51" t="str">
        <f t="array" ref="I7">IFERROR(INDEX(MarR!$A$1:$AP96,MATCH("Utilidad Bruta",MarR!$A$1:$A96,0),MATCH($A7,MarR!$A$6:AO$6,0),),"")</f>
        <v/>
      </c>
      <c r="J7" s="51" t="str">
        <f t="shared" si="16"/>
        <v/>
      </c>
      <c r="K7" s="51">
        <f t="shared" si="4"/>
        <v>0</v>
      </c>
      <c r="L7" s="51" t="str">
        <f t="array" ref="L7">IFERROR(INDEX(AbrR!$A$1:$AP96,MATCH("Utilidad Bruta",AbrR!$A$1:$A96,0),MATCH($A7,AbrR!$A$6:AO$6,0),),"")</f>
        <v/>
      </c>
      <c r="M7" s="51" t="str">
        <f t="shared" si="17"/>
        <v/>
      </c>
      <c r="N7" s="51">
        <f t="shared" si="5"/>
        <v>0</v>
      </c>
      <c r="O7" s="51" t="str">
        <f t="array" ref="O7">IFERROR(INDEX(MayR!$A$1:$BK96,MATCH("Utilidad Bruta",MayR!$A$1:$A96,0),MATCH($A7,MayR!$A$6:AO$6,0),),"")</f>
        <v/>
      </c>
      <c r="P7" s="51" t="str">
        <f t="shared" si="18"/>
        <v/>
      </c>
      <c r="Q7" s="51">
        <f t="shared" si="6"/>
        <v>0</v>
      </c>
      <c r="R7" s="51" t="str">
        <f t="array" ref="R7">IFERROR(INDEX(JunR!$A$1:$AP96,MATCH("Utilidad Bruta",JunR!$A$1:$A96,0),MATCH($A7,JunR!$A$6:AO$6,0),),"")</f>
        <v/>
      </c>
      <c r="S7" s="51" t="str">
        <f t="shared" si="19"/>
        <v/>
      </c>
      <c r="T7" s="51">
        <f t="shared" si="7"/>
        <v>0</v>
      </c>
      <c r="U7" s="51" t="str">
        <f t="array" ref="U7">IFERROR(INDEX(JulR!$A$1:$AP96,MATCH("Utilidad Bruta",JulR!$A$1:$A96,0),MATCH($A7,JulR!$A$6:AO$6,0),),"")</f>
        <v/>
      </c>
      <c r="V7" s="51" t="str">
        <f t="shared" si="20"/>
        <v/>
      </c>
      <c r="W7" s="51">
        <f t="shared" si="8"/>
        <v>0</v>
      </c>
      <c r="X7" s="51" t="str">
        <f t="array" ref="X7">IFERROR(INDEX(AgoR!$A$1:$AP96,MATCH("Utilidad Bruta",AgoR!$A$1:$A96,0),MATCH($A7,AgoR!$A$6:AO$6,0),),"")</f>
        <v/>
      </c>
      <c r="Y7" s="51" t="str">
        <f t="shared" si="21"/>
        <v/>
      </c>
      <c r="Z7" s="51">
        <f t="shared" si="9"/>
        <v>0</v>
      </c>
      <c r="AA7" s="51" t="str">
        <f t="array" ref="AA7">IFERROR(INDEX(SepR!$A$1:$AV96,MATCH("Utilidad Bruta",SepR!$A$1:$A96,0),MATCH($A7,SepR!$A$6:AO$6,0),),"")</f>
        <v/>
      </c>
      <c r="AB7" s="51" t="str">
        <f t="shared" si="22"/>
        <v/>
      </c>
      <c r="AC7" s="51">
        <f t="shared" si="10"/>
        <v>0</v>
      </c>
      <c r="AD7" s="51" t="str">
        <f t="array" ref="AD7">IFERROR(INDEX(OctR!$A$1:$AP96,MATCH("Utilidad Bruta",OctR!$A$1:$A96,0),MATCH($A7,OctR!$A$6:AO$6,0),),"")</f>
        <v/>
      </c>
      <c r="AE7" s="51" t="str">
        <f t="shared" si="23"/>
        <v/>
      </c>
      <c r="AF7" s="51">
        <f t="shared" si="11"/>
        <v>0</v>
      </c>
      <c r="AG7" s="51" t="str">
        <f t="array" ref="AG7">IFERROR(INDEX(NovR!$A$1:$AP96,MATCH("Utilidad Bruta",NovR!$A$1:$A96,0),MATCH($A7,NovR!$A$6:AO$6,0),),"")</f>
        <v/>
      </c>
      <c r="AH7" s="51" t="str">
        <f t="shared" si="24"/>
        <v/>
      </c>
      <c r="AI7" s="51">
        <f t="shared" si="12"/>
        <v>0</v>
      </c>
      <c r="AJ7" s="51" t="str">
        <f t="array" ref="AJ7">IFERROR(INDEX(DicR!$A$1:$AP96,MATCH("Utilidad Bruta",DicR!$A$1:$A96,0),MATCH($A7,DicR!$A$6:AO$6,0),),"")</f>
        <v/>
      </c>
      <c r="AK7" s="51" t="str">
        <f t="shared" si="25"/>
        <v/>
      </c>
      <c r="AL7" s="51">
        <f t="shared" si="13"/>
        <v>0</v>
      </c>
      <c r="AM7" s="51"/>
      <c r="AN7" s="51"/>
      <c r="AO7" s="51"/>
    </row>
    <row r="8" ht="15.75" customHeight="1">
      <c r="A8" s="12"/>
      <c r="B8" s="51" t="str">
        <f t="shared" si="1"/>
        <v/>
      </c>
      <c r="C8" s="51" t="str">
        <f t="array" ref="C8">IFERROR(INDEX(EneR!$A$1:$AO96,MATCH("Utilidad Bruta",EneR!$A$1:$A96,0),MATCH($A8,EneR!$A$6:AO$6,0),),"")</f>
        <v/>
      </c>
      <c r="D8" s="51" t="str">
        <f t="shared" si="14"/>
        <v/>
      </c>
      <c r="E8" s="51">
        <f t="shared" si="2"/>
        <v>0</v>
      </c>
      <c r="F8" s="51" t="str">
        <f t="array" ref="F8">IFERROR(INDEX(FebR!$A$1:$AP96,MATCH("Utilidad Bruta",FebR!$A$1:$A96,0),MATCH($A8,FebR!$A$6:AO$6,0),),"")</f>
        <v/>
      </c>
      <c r="G8" s="51" t="str">
        <f t="shared" si="15"/>
        <v/>
      </c>
      <c r="H8" s="51">
        <f t="shared" si="3"/>
        <v>0</v>
      </c>
      <c r="I8" s="51" t="str">
        <f t="array" ref="I8">IFERROR(INDEX(MarR!$A$1:$AP96,MATCH("Utilidad Bruta",MarR!$A$1:$A96,0),MATCH($A8,MarR!$A$6:AO$6,0),),"")</f>
        <v/>
      </c>
      <c r="J8" s="51" t="str">
        <f t="shared" si="16"/>
        <v/>
      </c>
      <c r="K8" s="51">
        <f t="shared" si="4"/>
        <v>0</v>
      </c>
      <c r="L8" s="51" t="str">
        <f t="array" ref="L8">IFERROR(INDEX(AbrR!$A$1:$AP96,MATCH("Utilidad Bruta",AbrR!$A$1:$A96,0),MATCH($A8,AbrR!$A$6:AO$6,0),),"")</f>
        <v/>
      </c>
      <c r="M8" s="51" t="str">
        <f t="shared" si="17"/>
        <v/>
      </c>
      <c r="N8" s="51">
        <f t="shared" si="5"/>
        <v>0</v>
      </c>
      <c r="O8" s="51" t="str">
        <f t="array" ref="O8">IFERROR(INDEX(MayR!$A$1:$BK96,MATCH("Utilidad Bruta",MayR!$A$1:$A96,0),MATCH($A8,MayR!$A$6:AO$6,0),),"")</f>
        <v/>
      </c>
      <c r="P8" s="51" t="str">
        <f t="shared" si="18"/>
        <v/>
      </c>
      <c r="Q8" s="51">
        <f t="shared" si="6"/>
        <v>0</v>
      </c>
      <c r="R8" s="51" t="str">
        <f t="array" ref="R8">IFERROR(INDEX(JunR!$A$1:$AP96,MATCH("Utilidad Bruta",JunR!$A$1:$A96,0),MATCH($A8,JunR!$A$6:AO$6,0),),"")</f>
        <v/>
      </c>
      <c r="S8" s="51" t="str">
        <f t="shared" si="19"/>
        <v/>
      </c>
      <c r="T8" s="51">
        <f t="shared" si="7"/>
        <v>0</v>
      </c>
      <c r="U8" s="51" t="str">
        <f t="array" ref="U8">IFERROR(INDEX(JulR!$A$1:$AP96,MATCH("Utilidad Bruta",JulR!$A$1:$A96,0),MATCH($A8,JulR!$A$6:AO$6,0),),"")</f>
        <v/>
      </c>
      <c r="V8" s="51" t="str">
        <f t="shared" si="20"/>
        <v/>
      </c>
      <c r="W8" s="51">
        <f t="shared" si="8"/>
        <v>0</v>
      </c>
      <c r="X8" s="51" t="str">
        <f t="array" ref="X8">IFERROR(INDEX(AgoR!$A$1:$AP96,MATCH("Utilidad Bruta",AgoR!$A$1:$A96,0),MATCH($A8,AgoR!$A$6:AO$6,0),),"")</f>
        <v/>
      </c>
      <c r="Y8" s="51" t="str">
        <f t="shared" si="21"/>
        <v/>
      </c>
      <c r="Z8" s="51">
        <f t="shared" si="9"/>
        <v>0</v>
      </c>
      <c r="AA8" s="51" t="str">
        <f t="array" ref="AA8">IFERROR(INDEX(SepR!$A$1:$AV96,MATCH("Utilidad Bruta",SepR!$A$1:$A96,0),MATCH($A8,SepR!$A$6:AO$6,0),),"")</f>
        <v/>
      </c>
      <c r="AB8" s="51" t="str">
        <f t="shared" si="22"/>
        <v/>
      </c>
      <c r="AC8" s="51">
        <f t="shared" si="10"/>
        <v>0</v>
      </c>
      <c r="AD8" s="51" t="str">
        <f t="array" ref="AD8">IFERROR(INDEX(OctR!$A$1:$AP96,MATCH("Utilidad Bruta",OctR!$A$1:$A96,0),MATCH($A8,OctR!$A$6:AO$6,0),),"")</f>
        <v/>
      </c>
      <c r="AE8" s="51" t="str">
        <f t="shared" si="23"/>
        <v/>
      </c>
      <c r="AF8" s="51">
        <f t="shared" si="11"/>
        <v>0</v>
      </c>
      <c r="AG8" s="51" t="str">
        <f t="array" ref="AG8">IFERROR(INDEX(NovR!$A$1:$AP96,MATCH("Utilidad Bruta",NovR!$A$1:$A96,0),MATCH($A8,NovR!$A$6:AO$6,0),),"")</f>
        <v/>
      </c>
      <c r="AH8" s="51" t="str">
        <f t="shared" si="24"/>
        <v/>
      </c>
      <c r="AI8" s="51">
        <f t="shared" si="12"/>
        <v>0</v>
      </c>
      <c r="AJ8" s="51" t="str">
        <f t="array" ref="AJ8">IFERROR(INDEX(DicR!$A$1:$AP96,MATCH("Utilidad Bruta",DicR!$A$1:$A96,0),MATCH($A8,DicR!$A$6:AO$6,0),),"")</f>
        <v/>
      </c>
      <c r="AK8" s="51" t="str">
        <f t="shared" si="25"/>
        <v/>
      </c>
      <c r="AL8" s="51">
        <f t="shared" si="13"/>
        <v>0</v>
      </c>
      <c r="AM8" s="51"/>
      <c r="AN8" s="51"/>
      <c r="AO8" s="51"/>
    </row>
    <row r="9" ht="15.75" customHeight="1">
      <c r="A9" s="12"/>
      <c r="B9" s="51" t="str">
        <f t="shared" si="1"/>
        <v/>
      </c>
      <c r="C9" s="51" t="str">
        <f t="array" ref="C9">IFERROR(INDEX(EneR!$A$1:$AO96,MATCH("Utilidad Bruta",EneR!$A$1:$A96,0),MATCH($A9,EneR!$A$6:AO$6,0),),"")</f>
        <v/>
      </c>
      <c r="D9" s="51">
        <f>IF(C9&gt;0, C9*0.15, 0)</f>
        <v>0</v>
      </c>
      <c r="E9" s="51">
        <f t="shared" si="2"/>
        <v>0</v>
      </c>
      <c r="F9" s="51" t="str">
        <f t="array" ref="F9">IFERROR(INDEX(FebR!$A$1:$AP96,MATCH("Utilidad Bruta",FebR!$A$1:$A96,0),MATCH($A9,FebR!$A$6:AO$6,0),),"")</f>
        <v/>
      </c>
      <c r="G9" s="51">
        <f>IF(F9&gt;0, F9*0.15, 0)</f>
        <v>0</v>
      </c>
      <c r="H9" s="51">
        <f t="shared" si="3"/>
        <v>0</v>
      </c>
      <c r="I9" s="51" t="str">
        <f t="array" ref="I9">IFERROR(INDEX(MarR!$A$1:$AP96,MATCH("Utilidad Bruta",MarR!$A$1:$A96,0),MATCH($A9,MarR!$A$6:AO$6,0),),"")</f>
        <v/>
      </c>
      <c r="J9" s="51">
        <f>IF(I9&gt;0, I9*0.15, 0)</f>
        <v>0</v>
      </c>
      <c r="K9" s="51">
        <f t="shared" si="4"/>
        <v>0</v>
      </c>
      <c r="L9" s="51" t="str">
        <f t="array" ref="L9">IFERROR(INDEX(AbrR!$A$1:$AP96,MATCH("Utilidad Bruta",AbrR!$A$1:$A96,0),MATCH($A9,AbrR!$A$6:AO$6,0),),"")</f>
        <v/>
      </c>
      <c r="M9" s="51">
        <f>IF(L9&gt;0, L9*0.15, 0)</f>
        <v>0</v>
      </c>
      <c r="N9" s="51">
        <f>M9*15%</f>
        <v>0</v>
      </c>
      <c r="O9" s="51" t="str">
        <f t="array" ref="O9">IFERROR(INDEX(MayR!$A$1:$BK96,MATCH("Utilidad Bruta",MayR!$A$1:$A96,0),MATCH($A9,MayR!$A$6:AO$6,0),),"")</f>
        <v/>
      </c>
      <c r="P9" s="51">
        <f>IF(O9&gt;0, O9*0.15, 0)</f>
        <v>0</v>
      </c>
      <c r="Q9" s="51">
        <f t="shared" si="6"/>
        <v>0</v>
      </c>
      <c r="R9" s="51" t="str">
        <f t="array" ref="R9">IFERROR(INDEX(JunR!$A$1:$AP96,MATCH("Utilidad Bruta",JunR!$A$1:$A96,0),MATCH($A9,JunR!$A$6:AO$6,0),),"")</f>
        <v/>
      </c>
      <c r="S9" s="51">
        <f>IF(R9&gt;0, R9*0.15, 0)</f>
        <v>0</v>
      </c>
      <c r="T9" s="51">
        <f t="shared" si="7"/>
        <v>0</v>
      </c>
      <c r="U9" s="51" t="str">
        <f t="array" ref="U9">IFERROR(INDEX(JulR!$A$1:$AP96,MATCH("Utilidad Bruta",JulR!$A$1:$A96,0),MATCH($A9,JulR!$A$6:AO$6,0),),"")</f>
        <v/>
      </c>
      <c r="V9" s="51">
        <f>IF(U9&gt;0, U9*0.15, 0)</f>
        <v>0</v>
      </c>
      <c r="W9" s="51">
        <f t="shared" si="8"/>
        <v>0</v>
      </c>
      <c r="X9" s="51" t="str">
        <f t="array" ref="X9">IFERROR(INDEX(AgoR!$A$1:$AP96,MATCH("Utilidad Bruta",AgoR!$A$1:$A96,0),MATCH($A9,AgoR!$A$6:AO$6,0),),"")</f>
        <v/>
      </c>
      <c r="Y9" s="51">
        <f>IF(X9&gt;0, X9*0.15, 0)</f>
        <v>0</v>
      </c>
      <c r="Z9" s="51">
        <f t="shared" si="9"/>
        <v>0</v>
      </c>
      <c r="AA9" s="51" t="str">
        <f t="array" ref="AA9">IFERROR(INDEX(SepR!$A$1:$AV96,MATCH("Utilidad Bruta",SepR!$A$1:$A96,0),MATCH($A9,SepR!$A$6:AO$6,0),),"")</f>
        <v/>
      </c>
      <c r="AB9" s="51">
        <f>IF(AA9&gt;0, AA9*0.15, 0)</f>
        <v>0</v>
      </c>
      <c r="AC9" s="51">
        <f t="shared" si="10"/>
        <v>0</v>
      </c>
      <c r="AD9" s="51" t="str">
        <f t="array" ref="AD9">IFERROR(INDEX(OctR!$A$1:$AP96,MATCH("Utilidad Bruta",OctR!$A$1:$A96,0),MATCH($A9,OctR!$A$6:AO$6,0),),"")</f>
        <v/>
      </c>
      <c r="AE9" s="51">
        <f>IF(AD9&gt;0, AD9*0.15, 0)</f>
        <v>0</v>
      </c>
      <c r="AF9" s="51">
        <f t="shared" si="11"/>
        <v>0</v>
      </c>
      <c r="AG9" s="51" t="str">
        <f t="array" ref="AG9">IFERROR(INDEX(NovR!$A$1:$AP96,MATCH("Utilidad Bruta",NovR!$A$1:$A96,0),MATCH($A9,NovR!$A$6:AO$6,0),),"")</f>
        <v/>
      </c>
      <c r="AH9" s="51">
        <f>IF(AG9&gt;0, AG9*0.15, 0)</f>
        <v>0</v>
      </c>
      <c r="AI9" s="51">
        <f t="shared" si="12"/>
        <v>0</v>
      </c>
      <c r="AJ9" s="51" t="str">
        <f t="array" ref="AJ9">IFERROR(INDEX(DicR!$A$1:$AP96,MATCH("Utilidad Bruta",DicR!$A$1:$A96,0),MATCH($A9,DicR!$A$6:AO$6,0),),"")</f>
        <v/>
      </c>
      <c r="AK9" s="51">
        <f>IF(AJ9&gt;0, AJ9*0.15, 0)</f>
        <v>0</v>
      </c>
      <c r="AL9" s="51">
        <f t="shared" si="13"/>
        <v>0</v>
      </c>
      <c r="AM9" s="51"/>
      <c r="AN9" s="51"/>
      <c r="AO9" s="51"/>
    </row>
    <row r="10" ht="15.75" customHeight="1">
      <c r="A10" s="12"/>
      <c r="B10" s="51">
        <f t="shared" si="1"/>
        <v>195087.06</v>
      </c>
      <c r="C10" s="51" t="str">
        <f t="array" ref="C10">IFERROR(INDEX(EneR!$A$1:$AO96,MATCH("Utilidad Bruta",EneR!$A$1:$A96,0),MATCH($A10,EneR!$A$6:AO$6,0),),"")</f>
        <v/>
      </c>
      <c r="D10" s="51">
        <f>IF(C10&gt;0, (C10*6%)+'Fijos y Variables'!$B$5, 'Fijos y Variables'!$B$5)
</f>
        <v>21676.34</v>
      </c>
      <c r="E10" s="51">
        <f t="shared" si="2"/>
        <v>-21676.34</v>
      </c>
      <c r="F10" s="51" t="str">
        <f t="array" ref="F10">IFERROR(INDEX(FebR!$A$1:$AP96,MATCH("Utilidad Bruta",FebR!$A$1:$A96,0),MATCH($A10,FebR!$A$6:AO$6,0),),"")</f>
        <v/>
      </c>
      <c r="G10" s="51">
        <f>IF(F10&gt;0, (F10*6%)+'Fijos y Variables'!$B$5, 'Fijos y Variables'!$B$5)
</f>
        <v>21676.34</v>
      </c>
      <c r="H10" s="51">
        <f t="shared" si="3"/>
        <v>-21676.34</v>
      </c>
      <c r="I10" s="51" t="str">
        <f t="array" ref="I10">IFERROR(INDEX(MarR!$A$1:$AP96,MATCH("Utilidad Bruta",MarR!$A$1:$A96,0),MATCH($A10,MarR!$A$6:AO$6,0),),"")</f>
        <v/>
      </c>
      <c r="J10" s="51">
        <f>IF(I10&gt;0, (I10*6%)+'Fijos y Variables'!$B$5, 'Fijos y Variables'!$B$5)
</f>
        <v>21676.34</v>
      </c>
      <c r="K10" s="51">
        <f t="shared" si="4"/>
        <v>-21676.34</v>
      </c>
      <c r="L10" s="51" t="str">
        <f t="array" ref="L10">IFERROR(INDEX(AbrR!$A$1:$AP96,MATCH("Utilidad Bruta",AbrR!$A$1:$A96,0),MATCH($A10,AbrR!$A$6:AO$6,0),),"")</f>
        <v/>
      </c>
      <c r="M10" s="51">
        <f>IF(L10&gt;0, (L10*6%)+'Fijos y Variables'!$B$5, 'Fijos y Variables'!$B$5)
</f>
        <v>21676.34</v>
      </c>
      <c r="N10" s="51">
        <f>(M10*6%)+20644.13</f>
        <v>21944.7104</v>
      </c>
      <c r="O10" s="51" t="str">
        <f t="array" ref="O10">IFERROR(INDEX(MayR!$A$1:$BK96,MATCH("Utilidad Bruta",MayR!$A$1:$A96,0),MATCH($A10,MayR!$A$6:AO$6,0),),"")</f>
        <v/>
      </c>
      <c r="P10" s="51">
        <f>IF(O10&gt;0, (O10*6%)+'Fijos y Variables'!$B$5, 'Fijos y Variables'!$B$5)
</f>
        <v>21676.34</v>
      </c>
      <c r="Q10" s="51">
        <f t="shared" si="6"/>
        <v>-21676.34</v>
      </c>
      <c r="R10" s="51" t="str">
        <f t="array" ref="R10">IFERROR(INDEX(JunR!$A$1:$AP96,MATCH("Utilidad Bruta",JunR!$A$1:$A96,0),MATCH($A10,JunR!$A$6:AO$6,0),),"")</f>
        <v/>
      </c>
      <c r="S10" s="51">
        <f>IF(R10&gt;0, (R10*6%)+'Fijos y Variables'!$B$5, 'Fijos y Variables'!$B$5)
</f>
        <v>21676.34</v>
      </c>
      <c r="T10" s="51">
        <f t="shared" si="7"/>
        <v>-21676.34</v>
      </c>
      <c r="U10" s="51" t="str">
        <f t="array" ref="U10">IFERROR(INDEX(JulR!$A$1:$AP96,MATCH("Utilidad Bruta",JulR!$A$1:$A96,0),MATCH($A10,JulR!$A$6:AO$6,0),),"")</f>
        <v/>
      </c>
      <c r="V10" s="51">
        <f>IF(U10&gt;0, (U10*6%)+'Fijos y Variables'!$B$5, 'Fijos y Variables'!$B$5)
</f>
        <v>21676.34</v>
      </c>
      <c r="W10" s="51">
        <f t="shared" si="8"/>
        <v>-21676.34</v>
      </c>
      <c r="X10" s="51" t="str">
        <f t="array" ref="X10">IFERROR(INDEX(AgoR!$A$1:$AP96,MATCH("Utilidad Bruta",AgoR!$A$1:$A96,0),MATCH($A10,AgoR!$A$6:AO$6,0),),"")</f>
        <v/>
      </c>
      <c r="Y10" s="51">
        <f>IF(X10&gt;0, (X10*6%)+'Fijos y Variables'!$B$5, 'Fijos y Variables'!$B$5)
</f>
        <v>21676.34</v>
      </c>
      <c r="Z10" s="51">
        <f t="shared" si="9"/>
        <v>-21676.34</v>
      </c>
      <c r="AA10" s="51" t="str">
        <f t="array" ref="AA10">IFERROR(INDEX(SepR!$A$1:$AV96,MATCH("Utilidad Bruta",SepR!$A$1:$A96,0),MATCH($A10,SepR!$A$6:AO$6,0),),"")</f>
        <v/>
      </c>
      <c r="AB10" s="51">
        <f>IF(AA10&gt;0, (AA10*6%)+'Fijos y Variables'!$B$5, 'Fijos y Variables'!$B$5)
</f>
        <v>21676.34</v>
      </c>
      <c r="AC10" s="51">
        <f t="shared" si="10"/>
        <v>-21676.34</v>
      </c>
      <c r="AD10" s="51" t="str">
        <f t="array" ref="AD10">IFERROR(INDEX(OctR!$A$1:$AP96,MATCH("Utilidad Bruta",OctR!$A$1:$A96,0),MATCH($A10,OctR!$A$6:AO$6,0),),"")</f>
        <v/>
      </c>
      <c r="AE10" s="51">
        <f>IF(AD10&gt;0, (AD10*6%)+'Fijos y Variables'!$B$5, 'Fijos y Variables'!$B$5)
</f>
        <v>21676.34</v>
      </c>
      <c r="AF10" s="51">
        <f t="shared" si="11"/>
        <v>-21676.34</v>
      </c>
      <c r="AG10" s="51" t="str">
        <f t="array" ref="AG10">IFERROR(INDEX(NovR!$A$1:$AP96,MATCH("Utilidad Bruta",NovR!$A$1:$A96,0),MATCH($A10,NovR!$A$6:AO$6,0),),"")</f>
        <v/>
      </c>
      <c r="AH10" s="51">
        <f>IF(AG10&gt;0, (AG10*6%)+'Fijos y Variables'!$B$5, 'Fijos y Variables'!$B$5)
</f>
        <v>21676.34</v>
      </c>
      <c r="AI10" s="51">
        <f t="shared" si="12"/>
        <v>-21676.34</v>
      </c>
      <c r="AJ10" s="51" t="str">
        <f t="array" ref="AJ10">IFERROR(INDEX(DicR!$A$1:$AP96,MATCH("Utilidad Bruta",DicR!$A$1:$A96,0),MATCH($A10,DicR!$A$6:AO$6,0),),"")</f>
        <v/>
      </c>
      <c r="AK10" s="51">
        <f>IF(AJ10&gt;0, (AJ10*6%)+'Fijos y Variables'!$B$5, 'Fijos y Variables'!$B$5)
</f>
        <v>21676.34</v>
      </c>
      <c r="AL10" s="51">
        <f t="shared" si="13"/>
        <v>-21676.34</v>
      </c>
      <c r="AM10" s="51"/>
      <c r="AN10" s="51"/>
      <c r="AO10" s="51"/>
    </row>
    <row r="11" ht="15.75" customHeight="1">
      <c r="A11" s="12"/>
      <c r="B11" s="51">
        <f t="shared" si="1"/>
        <v>108000</v>
      </c>
      <c r="C11" s="51" t="str">
        <f t="array" ref="C11">IFERROR(INDEX(EneR!$A$1:$AO96,MATCH("Utilidad Bruta",EneR!$A$1:$A96,0),MATCH($A11,EneR!$A$6:AO$6,0),),"")</f>
        <v/>
      </c>
      <c r="D11" s="51">
        <f>'Fijos y Variables'!$B$6</f>
        <v>12000</v>
      </c>
      <c r="E11" s="51">
        <f t="shared" si="2"/>
        <v>-12000</v>
      </c>
      <c r="F11" s="51" t="str">
        <f t="array" ref="F11">IFERROR(INDEX(FebR!$A$1:$AP96,MATCH("Utilidad Bruta",FebR!$A$1:$A96,0),MATCH($A11,FebR!$A$6:AO$6,0),),"")</f>
        <v/>
      </c>
      <c r="G11" s="51">
        <f>'Fijos y Variables'!$B$6</f>
        <v>12000</v>
      </c>
      <c r="H11" s="51">
        <f t="shared" si="3"/>
        <v>-12000</v>
      </c>
      <c r="I11" s="51" t="str">
        <f t="array" ref="I11">IFERROR(INDEX(MarR!$A$1:$AP96,MATCH("Utilidad Bruta",MarR!$A$1:$A96,0),MATCH($A11,MarR!$A$6:AO$6,0),),"")</f>
        <v/>
      </c>
      <c r="J11" s="51">
        <f>'Fijos y Variables'!$B$6</f>
        <v>12000</v>
      </c>
      <c r="K11" s="51">
        <f t="shared" si="4"/>
        <v>-12000</v>
      </c>
      <c r="L11" s="51" t="str">
        <f t="array" ref="L11">IFERROR(INDEX(AbrR!$A$1:$AP96,MATCH("Utilidad Bruta",AbrR!$A$1:$A96,0),MATCH($A11,AbrR!$A$6:AO$6,0),),"")</f>
        <v/>
      </c>
      <c r="M11" s="51">
        <f>'Fijos y Variables'!$B$6</f>
        <v>12000</v>
      </c>
      <c r="N11" s="51">
        <v>12000.0</v>
      </c>
      <c r="O11" s="51" t="str">
        <f t="array" ref="O11">IFERROR(INDEX(MayR!$A$1:$BK96,MATCH("Utilidad Bruta",MayR!$A$1:$A96,0),MATCH($A11,MayR!$A$6:AO$6,0),),"")</f>
        <v/>
      </c>
      <c r="P11" s="51">
        <f>'Fijos y Variables'!$B$6</f>
        <v>12000</v>
      </c>
      <c r="Q11" s="51">
        <f t="shared" si="6"/>
        <v>-12000</v>
      </c>
      <c r="R11" s="51" t="str">
        <f t="array" ref="R11">IFERROR(INDEX(JunR!$A$1:$AP96,MATCH("Utilidad Bruta",JunR!$A$1:$A96,0),MATCH($A11,JunR!$A$6:AO$6,0),),"")</f>
        <v/>
      </c>
      <c r="S11" s="51">
        <f>'Fijos y Variables'!$B$6</f>
        <v>12000</v>
      </c>
      <c r="T11" s="51">
        <f t="shared" si="7"/>
        <v>-12000</v>
      </c>
      <c r="U11" s="51" t="str">
        <f t="array" ref="U11">IFERROR(INDEX(JulR!$A$1:$AP96,MATCH("Utilidad Bruta",JulR!$A$1:$A96,0),MATCH($A11,JulR!$A$6:AO$6,0),),"")</f>
        <v/>
      </c>
      <c r="V11" s="51">
        <f>'Fijos y Variables'!$B$6</f>
        <v>12000</v>
      </c>
      <c r="W11" s="51">
        <f t="shared" si="8"/>
        <v>-12000</v>
      </c>
      <c r="X11" s="51" t="str">
        <f t="array" ref="X11">IFERROR(INDEX(AgoR!$A$1:$AP96,MATCH("Utilidad Bruta",AgoR!$A$1:$A96,0),MATCH($A11,AgoR!$A$6:AO$6,0),),"")</f>
        <v/>
      </c>
      <c r="Y11" s="51">
        <f>'Fijos y Variables'!$B$6</f>
        <v>12000</v>
      </c>
      <c r="Z11" s="51">
        <f t="shared" si="9"/>
        <v>-12000</v>
      </c>
      <c r="AA11" s="51" t="str">
        <f t="array" ref="AA11">IFERROR(INDEX(SepR!$A$1:$AV96,MATCH("Utilidad Bruta",SepR!$A$1:$A96,0),MATCH($A11,SepR!$A$6:AO$6,0),),"")</f>
        <v/>
      </c>
      <c r="AB11" s="51">
        <f>'Fijos y Variables'!$B$6</f>
        <v>12000</v>
      </c>
      <c r="AC11" s="51">
        <f t="shared" si="10"/>
        <v>-12000</v>
      </c>
      <c r="AD11" s="51" t="str">
        <f t="array" ref="AD11">IFERROR(INDEX(OctR!$A$1:$AP96,MATCH("Utilidad Bruta",OctR!$A$1:$A96,0),MATCH($A11,OctR!$A$6:AO$6,0),),"")</f>
        <v/>
      </c>
      <c r="AE11" s="51">
        <f>'Fijos y Variables'!$B$6</f>
        <v>12000</v>
      </c>
      <c r="AF11" s="51">
        <f t="shared" si="11"/>
        <v>-12000</v>
      </c>
      <c r="AG11" s="51" t="str">
        <f t="array" ref="AG11">IFERROR(INDEX(NovR!$A$1:$AP96,MATCH("Utilidad Bruta",NovR!$A$1:$A96,0),MATCH($A11,NovR!$A$6:AO$6,0),),"")</f>
        <v/>
      </c>
      <c r="AH11" s="51">
        <f>'Fijos y Variables'!$B$6</f>
        <v>12000</v>
      </c>
      <c r="AI11" s="51">
        <f t="shared" si="12"/>
        <v>-12000</v>
      </c>
      <c r="AJ11" s="51" t="str">
        <f t="array" ref="AJ11">IFERROR(INDEX(DicR!$A$1:$AP96,MATCH("Utilidad Bruta",DicR!$A$1:$A96,0),MATCH($A11,DicR!$A$6:AO$6,0),),"")</f>
        <v/>
      </c>
      <c r="AK11" s="51">
        <f>'Fijos y Variables'!$B$6</f>
        <v>12000</v>
      </c>
      <c r="AL11" s="51">
        <f t="shared" si="13"/>
        <v>-12000</v>
      </c>
      <c r="AM11" s="51"/>
      <c r="AN11" s="51"/>
      <c r="AO11" s="51"/>
    </row>
    <row r="12" ht="15.75" customHeight="1">
      <c r="A12" s="12"/>
      <c r="B12" s="51">
        <f t="shared" si="1"/>
        <v>38201.625</v>
      </c>
      <c r="C12" s="51" t="str">
        <f t="array" ref="C12">IFERROR(INDEX(EneR!$A$1:$AO96,MATCH("Utilidad Bruta",EneR!$A$1:$A96,0),MATCH($A12,EneR!$A$6:AO$6,0),),"")</f>
        <v/>
      </c>
      <c r="D12" s="51">
        <f>(C12 - 'Fijos y Variables'!$B$7) * 30% + 'Fijos y Variables'!$B$7
</f>
        <v>4244.625</v>
      </c>
      <c r="E12" s="51">
        <f t="shared" si="2"/>
        <v>-4244.625</v>
      </c>
      <c r="F12" s="51" t="str">
        <f t="array" ref="F12">IFERROR(INDEX(FebR!$A$1:$AP96,MATCH("Utilidad Bruta",FebR!$A$1:$A96,0),MATCH($A12,FebR!$A$6:AO$6,0),),"")</f>
        <v/>
      </c>
      <c r="G12" s="51">
        <f>(F12 - 'Fijos y Variables'!$B$7) * 30% + 'Fijos y Variables'!$B$7
</f>
        <v>4244.625</v>
      </c>
      <c r="H12" s="51">
        <f t="shared" si="3"/>
        <v>-4244.625</v>
      </c>
      <c r="I12" s="51" t="str">
        <f t="array" ref="I12">IFERROR(INDEX(MarR!$A$1:$AP96,MATCH("Utilidad Bruta",MarR!$A$1:$A96,0),MATCH($A12,MarR!$A$6:AO$6,0),),"")</f>
        <v/>
      </c>
      <c r="J12" s="51">
        <f>(I12 - 'Fijos y Variables'!$B$7) * 30% + 'Fijos y Variables'!$B$7
</f>
        <v>4244.625</v>
      </c>
      <c r="K12" s="51">
        <f t="shared" si="4"/>
        <v>-4244.625</v>
      </c>
      <c r="L12" s="51" t="str">
        <f t="array" ref="L12">IFERROR(INDEX(AbrR!$A$1:$AP96,MATCH("Utilidad Bruta",AbrR!$A$1:$A96,0),MATCH($A12,AbrR!$A$6:AO$6,0),),"")</f>
        <v/>
      </c>
      <c r="M12" s="51">
        <f>(L12 - 'Fijos y Variables'!$B$7) * 30% + 'Fijos y Variables'!$B$7
</f>
        <v>4244.625</v>
      </c>
      <c r="N12" s="51">
        <f>MAX(5775, 5775 + (M12 * 0.3 - 5775))
</f>
        <v>5775</v>
      </c>
      <c r="O12" s="51" t="str">
        <f t="array" ref="O12">IFERROR(INDEX(MayR!$A$1:$BK96,MATCH("Utilidad Bruta",MayR!$A$1:$A96,0),MATCH($A12,MayR!$A$6:AO$6,0),),"")</f>
        <v/>
      </c>
      <c r="P12" s="51">
        <f>(O12 - 'Fijos y Variables'!$B$7) * 30% + 'Fijos y Variables'!$B$7
</f>
        <v>4244.625</v>
      </c>
      <c r="Q12" s="51">
        <f t="shared" si="6"/>
        <v>-4244.625</v>
      </c>
      <c r="R12" s="51" t="str">
        <f t="array" ref="R12">IFERROR(INDEX(JunR!$A$1:$AP96,MATCH("Utilidad Bruta",JunR!$A$1:$A96,0),MATCH($A12,JunR!$A$6:AO$6,0),),"")</f>
        <v/>
      </c>
      <c r="S12" s="51">
        <f>(R12 - 'Fijos y Variables'!$B$7) * 30% + 'Fijos y Variables'!$B$7
</f>
        <v>4244.625</v>
      </c>
      <c r="T12" s="51">
        <f t="shared" si="7"/>
        <v>-4244.625</v>
      </c>
      <c r="U12" s="51" t="str">
        <f t="array" ref="U12">IFERROR(INDEX(JulR!$A$1:$AP96,MATCH("Utilidad Bruta",JulR!$A$1:$A96,0),MATCH($A12,JulR!$A$6:AO$6,0),),"")</f>
        <v/>
      </c>
      <c r="V12" s="51">
        <f>(U12 - 'Fijos y Variables'!$B$7) * 30% + 'Fijos y Variables'!$B$7
</f>
        <v>4244.625</v>
      </c>
      <c r="W12" s="51">
        <f t="shared" si="8"/>
        <v>-4244.625</v>
      </c>
      <c r="X12" s="51" t="str">
        <f t="array" ref="X12">IFERROR(INDEX(AgoR!$A$1:$AP96,MATCH("Utilidad Bruta",AgoR!$A$1:$A96,0),MATCH($A12,AgoR!$A$6:AO$6,0),),"")</f>
        <v/>
      </c>
      <c r="Y12" s="51">
        <f>(X12 - 'Fijos y Variables'!$B$7) * 30% + 'Fijos y Variables'!$B$7
</f>
        <v>4244.625</v>
      </c>
      <c r="Z12" s="51">
        <f t="shared" si="9"/>
        <v>-4244.625</v>
      </c>
      <c r="AA12" s="51" t="str">
        <f t="array" ref="AA12">IFERROR(INDEX(SepR!$A$1:$AV96,MATCH("Utilidad Bruta",SepR!$A$1:$A96,0),MATCH($A12,SepR!$A$6:AO$6,0),),"")</f>
        <v/>
      </c>
      <c r="AB12" s="51">
        <f>(AA12 - 'Fijos y Variables'!$B$7) * 30% + 'Fijos y Variables'!$B$7
</f>
        <v>4244.625</v>
      </c>
      <c r="AC12" s="51">
        <f t="shared" si="10"/>
        <v>-4244.625</v>
      </c>
      <c r="AD12" s="51" t="str">
        <f t="array" ref="AD12">IFERROR(INDEX(OctR!$A$1:$AP96,MATCH("Utilidad Bruta",OctR!$A$1:$A96,0),MATCH($A12,OctR!$A$6:AO$6,0),),"")</f>
        <v/>
      </c>
      <c r="AE12" s="51">
        <f>(AD12 - 'Fijos y Variables'!$B$7) * 30% + 'Fijos y Variables'!$B$7
</f>
        <v>4244.625</v>
      </c>
      <c r="AF12" s="51">
        <f t="shared" si="11"/>
        <v>-4244.625</v>
      </c>
      <c r="AG12" s="51" t="str">
        <f t="array" ref="AG12">IFERROR(INDEX(NovR!$A$1:$AP96,MATCH("Utilidad Bruta",NovR!$A$1:$A96,0),MATCH($A12,NovR!$A$6:AO$6,0),),"")</f>
        <v/>
      </c>
      <c r="AH12" s="51">
        <f>(AG12 - 'Fijos y Variables'!$B$7) * 30% + 'Fijos y Variables'!$B$7
</f>
        <v>4244.625</v>
      </c>
      <c r="AI12" s="51">
        <f t="shared" si="12"/>
        <v>-4244.625</v>
      </c>
      <c r="AJ12" s="51" t="str">
        <f t="array" ref="AJ12">IFERROR(INDEX(DicR!$A$1:$AP96,MATCH("Utilidad Bruta",DicR!$A$1:$A96,0),MATCH($A12,DicR!$A$6:AO$6,0),),"")</f>
        <v/>
      </c>
      <c r="AK12" s="51">
        <f>(AJ12 - 'Fijos y Variables'!$B$7) * 30% + 'Fijos y Variables'!$B$7
</f>
        <v>4244.625</v>
      </c>
      <c r="AL12" s="51">
        <f t="shared" si="13"/>
        <v>-4244.625</v>
      </c>
      <c r="AM12" s="51"/>
      <c r="AN12" s="51"/>
      <c r="AO12" s="51"/>
    </row>
    <row r="13" ht="15.75" customHeight="1">
      <c r="A13" s="12"/>
      <c r="B13" s="51">
        <f t="shared" si="1"/>
        <v>146475</v>
      </c>
      <c r="C13" s="51" t="str">
        <f t="array" ref="C13">IFERROR(INDEX(EneR!$A$1:$AO96,MATCH("Utilidad Bruta",EneR!$A$1:$A96,0),MATCH($A13,EneR!$A$6:AO$6,0),),"")</f>
        <v/>
      </c>
      <c r="D13" s="51">
        <f>IF(C13&gt;0, (C13*5%)+'Fijos y Variables'!$B$8, 'Fijos y Variables'!$B$8)
</f>
        <v>16275</v>
      </c>
      <c r="E13" s="51">
        <f t="shared" si="2"/>
        <v>-16275</v>
      </c>
      <c r="F13" s="51" t="str">
        <f t="array" ref="F13">IFERROR(INDEX(FebR!$A$1:$AP96,MATCH("Utilidad Bruta",FebR!$A$1:$A96,0),MATCH($A13,FebR!$A$6:AO$6,0),),"")</f>
        <v/>
      </c>
      <c r="G13" s="51">
        <f>IF(F13&gt;0, (F13*5%)+'Fijos y Variables'!$B$8, 'Fijos y Variables'!$B$8)
</f>
        <v>16275</v>
      </c>
      <c r="H13" s="51">
        <f t="shared" si="3"/>
        <v>-16275</v>
      </c>
      <c r="I13" s="51" t="str">
        <f t="array" ref="I13">IFERROR(INDEX(MarR!$A$1:$AP96,MATCH("Utilidad Bruta",MarR!$A$1:$A96,0),MATCH($A13,MarR!$A$6:AO$6,0),),"")</f>
        <v/>
      </c>
      <c r="J13" s="51">
        <f>IF(I13&gt;0, (I13*5%)+'Fijos y Variables'!$B$8, 'Fijos y Variables'!$B$8)
</f>
        <v>16275</v>
      </c>
      <c r="K13" s="51">
        <f t="shared" si="4"/>
        <v>-16275</v>
      </c>
      <c r="L13" s="51" t="str">
        <f t="array" ref="L13">IFERROR(INDEX(AbrR!$A$1:$AP96,MATCH("Utilidad Bruta",AbrR!$A$1:$A96,0),MATCH($A13,AbrR!$A$6:AO$6,0),),"")</f>
        <v/>
      </c>
      <c r="M13" s="51">
        <f>IF(L13&gt;0, (L13*5%)+'Fijos y Variables'!$B$8, 'Fijos y Variables'!$B$8)
</f>
        <v>16275</v>
      </c>
      <c r="N13" s="51">
        <f>(M13*5%)+15500</f>
        <v>16313.75</v>
      </c>
      <c r="O13" s="51" t="str">
        <f t="array" ref="O13">IFERROR(INDEX(MayR!$A$1:$BK96,MATCH("Utilidad Bruta",MayR!$A$1:$A96,0),MATCH($A13,MayR!$A$6:AO$6,0),),"")</f>
        <v/>
      </c>
      <c r="P13" s="51">
        <f>IF(O13&gt;0, (O13*5%)+'Fijos y Variables'!$B$8, 'Fijos y Variables'!$B$8)
</f>
        <v>16275</v>
      </c>
      <c r="Q13" s="51">
        <f t="shared" si="6"/>
        <v>-16275</v>
      </c>
      <c r="R13" s="51" t="str">
        <f t="array" ref="R13">IFERROR(INDEX(JunR!$A$1:$AP96,MATCH("Utilidad Bruta",JunR!$A$1:$A96,0),MATCH($A13,JunR!$A$6:AO$6,0),),"")</f>
        <v/>
      </c>
      <c r="S13" s="51">
        <f>IF(R13&gt;0, (R13*5%)+'Fijos y Variables'!$B$8, 'Fijos y Variables'!$B$8)
</f>
        <v>16275</v>
      </c>
      <c r="T13" s="51">
        <f t="shared" si="7"/>
        <v>-16275</v>
      </c>
      <c r="U13" s="51" t="str">
        <f t="array" ref="U13">IFERROR(INDEX(JulR!$A$1:$AP96,MATCH("Utilidad Bruta",JulR!$A$1:$A96,0),MATCH($A13,JulR!$A$6:AO$6,0),),"")</f>
        <v/>
      </c>
      <c r="V13" s="51">
        <f>IF(U13&gt;0, (U13*5%)+'Fijos y Variables'!$B$8, 'Fijos y Variables'!$B$8)
</f>
        <v>16275</v>
      </c>
      <c r="W13" s="51">
        <f t="shared" si="8"/>
        <v>-16275</v>
      </c>
      <c r="X13" s="51" t="str">
        <f t="array" ref="X13">IFERROR(INDEX(AgoR!$A$1:$AP96,MATCH("Utilidad Bruta",AgoR!$A$1:$A96,0),MATCH($A13,AgoR!$A$6:AO$6,0),),"")</f>
        <v/>
      </c>
      <c r="Y13" s="51">
        <f>IF(X13&gt;0, (X13*5%)+'Fijos y Variables'!$B$8, 'Fijos y Variables'!$B$8)
</f>
        <v>16275</v>
      </c>
      <c r="Z13" s="51">
        <f t="shared" si="9"/>
        <v>-16275</v>
      </c>
      <c r="AA13" s="51" t="str">
        <f t="array" ref="AA13">IFERROR(INDEX(SepR!$A$1:$AV96,MATCH("Utilidad Bruta",SepR!$A$1:$A96,0),MATCH($A13,SepR!$A$6:AO$6,0),),"")</f>
        <v/>
      </c>
      <c r="AB13" s="51">
        <f>IF(AA13&gt;0, (AA13*5%)+'Fijos y Variables'!$B$8, 'Fijos y Variables'!$B$8)
</f>
        <v>16275</v>
      </c>
      <c r="AC13" s="51">
        <f t="shared" si="10"/>
        <v>-16275</v>
      </c>
      <c r="AD13" s="51" t="str">
        <f t="array" ref="AD13">IFERROR(INDEX(OctR!$A$1:$AP96,MATCH("Utilidad Bruta",OctR!$A$1:$A96,0),MATCH($A13,OctR!$A$6:AO$6,0),),"")</f>
        <v/>
      </c>
      <c r="AE13" s="51">
        <f>IF(AD13&gt;0, (AD13*5%)+'Fijos y Variables'!$B$8, 'Fijos y Variables'!$B$8)
</f>
        <v>16275</v>
      </c>
      <c r="AF13" s="51">
        <f t="shared" si="11"/>
        <v>-16275</v>
      </c>
      <c r="AG13" s="51" t="str">
        <f t="array" ref="AG13">IFERROR(INDEX(NovR!$A$1:$AP96,MATCH("Utilidad Bruta",NovR!$A$1:$A96,0),MATCH($A13,NovR!$A$6:AO$6,0),),"")</f>
        <v/>
      </c>
      <c r="AH13" s="51">
        <f>IF(AG13&gt;0, (AG13*5%)+'Fijos y Variables'!$B$8, 'Fijos y Variables'!$B$8)
</f>
        <v>16275</v>
      </c>
      <c r="AI13" s="51">
        <f t="shared" si="12"/>
        <v>-16275</v>
      </c>
      <c r="AJ13" s="51" t="str">
        <f t="array" ref="AJ13">IFERROR(INDEX(DicR!$A$1:$AP96,MATCH("Utilidad Bruta",DicR!$A$1:$A96,0),MATCH($A13,DicR!$A$6:AO$6,0),),"")</f>
        <v/>
      </c>
      <c r="AK13" s="51">
        <f>IF(AJ13&gt;0, (AJ13*5%)+'Fijos y Variables'!$B$8, 'Fijos y Variables'!$B$8)
</f>
        <v>16275</v>
      </c>
      <c r="AL13" s="51">
        <f t="shared" si="13"/>
        <v>-16275</v>
      </c>
      <c r="AM13" s="51"/>
      <c r="AN13" s="51"/>
      <c r="AO13" s="51"/>
    </row>
    <row r="14" ht="15.75" customHeight="1">
      <c r="A14" s="12"/>
      <c r="B14" s="51" t="str">
        <f t="shared" si="1"/>
        <v/>
      </c>
      <c r="C14" s="51" t="str">
        <f t="array" ref="C14">IFERROR(INDEX(EneR!$A$1:$AO96,MATCH("Utilidad Bruta",EneR!$A$1:$A96,0),MATCH($A14,EneR!$A$6:AO$6,0),),"")</f>
        <v/>
      </c>
      <c r="D14" s="51">
        <f>IF(C14&gt;0, C14*8.5%, 0)</f>
        <v>0</v>
      </c>
      <c r="E14" s="51">
        <f t="shared" si="2"/>
        <v>0</v>
      </c>
      <c r="F14" s="51" t="str">
        <f t="array" ref="F14">IFERROR(INDEX(FebR!$A$1:$AP96,MATCH("Utilidad Bruta",FebR!$A$1:$A96,0),MATCH($A14,FebR!$A$6:AO$6,0),),"")</f>
        <v/>
      </c>
      <c r="G14" s="51">
        <f>IF(F14&gt;0, F14*8.5%, 0)</f>
        <v>0</v>
      </c>
      <c r="H14" s="51">
        <f t="shared" si="3"/>
        <v>0</v>
      </c>
      <c r="I14" s="51" t="str">
        <f t="array" ref="I14">IFERROR(INDEX(MarR!$A$1:$AP96,MATCH("Utilidad Bruta",MarR!$A$1:$A96,0),MATCH($A14,MarR!$A$6:AO$6,0),),"")</f>
        <v/>
      </c>
      <c r="J14" s="51">
        <f>IF(I14&gt;0, I14*8.5%, 0)</f>
        <v>0</v>
      </c>
      <c r="K14" s="51">
        <f t="shared" si="4"/>
        <v>0</v>
      </c>
      <c r="L14" s="51" t="str">
        <f t="array" ref="L14">IFERROR(INDEX(AbrR!$A$1:$AP96,MATCH("Utilidad Bruta",AbrR!$A$1:$A96,0),MATCH($A14,AbrR!$A$6:AO$6,0),),"")</f>
        <v/>
      </c>
      <c r="M14" s="51">
        <f>IF(L14&gt;0, L14*8.5%, 0)</f>
        <v>0</v>
      </c>
      <c r="N14" s="51">
        <f>M14*8.5%</f>
        <v>0</v>
      </c>
      <c r="O14" s="51" t="str">
        <f t="array" ref="O14">IFERROR(INDEX(MayR!$A$1:$BK96,MATCH("Utilidad Bruta",MayR!$A$1:$A96,0),MATCH($A14,MayR!$A$6:AO$6,0),),"")</f>
        <v/>
      </c>
      <c r="P14" s="51">
        <f>IF(O14&gt;0, O14*8.5%, 0)</f>
        <v>0</v>
      </c>
      <c r="Q14" s="51">
        <f t="shared" si="6"/>
        <v>0</v>
      </c>
      <c r="R14" s="51" t="str">
        <f t="array" ref="R14">IFERROR(INDEX(JunR!$A$1:$AP96,MATCH("Utilidad Bruta",JunR!$A$1:$A96,0),MATCH($A14,JunR!$A$6:AO$6,0),),"")</f>
        <v/>
      </c>
      <c r="S14" s="51">
        <f>IF(R14&gt;0, R14*8.5%, 0)</f>
        <v>0</v>
      </c>
      <c r="T14" s="51">
        <f t="shared" si="7"/>
        <v>0</v>
      </c>
      <c r="U14" s="51" t="str">
        <f t="array" ref="U14">IFERROR(INDEX(JulR!$A$1:$AP96,MATCH("Utilidad Bruta",JulR!$A$1:$A96,0),MATCH($A14,JulR!$A$6:AO$6,0),),"")</f>
        <v/>
      </c>
      <c r="V14" s="51">
        <f>IF(U14&gt;0, U14*8.5%, 0)</f>
        <v>0</v>
      </c>
      <c r="W14" s="51">
        <f t="shared" si="8"/>
        <v>0</v>
      </c>
      <c r="X14" s="51" t="str">
        <f t="array" ref="X14">IFERROR(INDEX(AgoR!$A$1:$AP96,MATCH("Utilidad Bruta",AgoR!$A$1:$A96,0),MATCH($A14,AgoR!$A$6:AO$6,0),),"")</f>
        <v/>
      </c>
      <c r="Y14" s="51">
        <f>IF(X14&gt;0, X14*8.5%, 0)</f>
        <v>0</v>
      </c>
      <c r="Z14" s="51">
        <f t="shared" si="9"/>
        <v>0</v>
      </c>
      <c r="AA14" s="51" t="str">
        <f t="array" ref="AA14">IFERROR(INDEX(SepR!$A$1:$AV96,MATCH("Utilidad Bruta",SepR!$A$1:$A96,0),MATCH($A14,SepR!$A$6:AO$6,0),),"")</f>
        <v/>
      </c>
      <c r="AB14" s="51">
        <f>IF(AA14&gt;0, AA14*8.5%, 0)</f>
        <v>0</v>
      </c>
      <c r="AC14" s="51">
        <f t="shared" si="10"/>
        <v>0</v>
      </c>
      <c r="AD14" s="51" t="str">
        <f t="array" ref="AD14">IFERROR(INDEX(OctR!$A$1:$AP96,MATCH("Utilidad Bruta",OctR!$A$1:$A96,0),MATCH($A14,OctR!$A$6:AO$6,0),),"")</f>
        <v/>
      </c>
      <c r="AE14" s="51">
        <f>IF(AD14&gt;0, AD14*8.5%, 0)</f>
        <v>0</v>
      </c>
      <c r="AF14" s="51">
        <f t="shared" si="11"/>
        <v>0</v>
      </c>
      <c r="AG14" s="51" t="str">
        <f t="array" ref="AG14">IFERROR(INDEX(NovR!$A$1:$AP96,MATCH("Utilidad Bruta",NovR!$A$1:$A96,0),MATCH($A14,NovR!$A$6:AO$6,0),),"")</f>
        <v/>
      </c>
      <c r="AH14" s="51">
        <f>IF(AG14&gt;0, AG14*8.5%, 0)</f>
        <v>0</v>
      </c>
      <c r="AI14" s="51">
        <f t="shared" si="12"/>
        <v>0</v>
      </c>
      <c r="AJ14" s="51" t="str">
        <f t="array" ref="AJ14">IFERROR(INDEX(DicR!$A$1:$AP96,MATCH("Utilidad Bruta",DicR!$A$1:$A96,0),MATCH($A14,DicR!$A$6:AO$6,0),),"")</f>
        <v/>
      </c>
      <c r="AK14" s="51">
        <f>IF(AJ14&gt;0, AJ14*8.5%, 0)</f>
        <v>0</v>
      </c>
      <c r="AL14" s="51">
        <f t="shared" si="13"/>
        <v>0</v>
      </c>
      <c r="AM14" s="51"/>
      <c r="AN14" s="51"/>
      <c r="AO14" s="51"/>
    </row>
    <row r="15" ht="15.75" customHeight="1">
      <c r="A15" s="12"/>
      <c r="B15" s="51" t="str">
        <f t="shared" si="1"/>
        <v/>
      </c>
      <c r="C15" s="51" t="str">
        <f t="array" ref="C15">IFERROR(INDEX(EneR!$A$1:$AO96,MATCH("Utilidad Bruta",EneR!$A$1:$A96,0),MATCH($A15,EneR!$A$6:AO$6,0),),"")</f>
        <v/>
      </c>
      <c r="D15" s="51" t="str">
        <f>C15</f>
        <v/>
      </c>
      <c r="E15" s="51">
        <f t="shared" si="2"/>
        <v>0</v>
      </c>
      <c r="F15" s="51" t="str">
        <f t="array" ref="F15">IFERROR(INDEX(FebR!$A$1:$AP96,MATCH("Utilidad Bruta",FebR!$A$1:$A96,0),MATCH($A15,FebR!$A$6:AO$6,0),),"")</f>
        <v/>
      </c>
      <c r="G15" s="51" t="str">
        <f>F15</f>
        <v/>
      </c>
      <c r="H15" s="51">
        <f t="shared" si="3"/>
        <v>0</v>
      </c>
      <c r="I15" s="51" t="str">
        <f t="array" ref="I15">IFERROR(INDEX(MarR!$A$1:$AP96,MATCH("Utilidad Bruta",MarR!$A$1:$A96,0),MATCH($A15,MarR!$A$6:AO$6,0),),"")</f>
        <v/>
      </c>
      <c r="J15" s="51" t="str">
        <f>I15</f>
        <v/>
      </c>
      <c r="K15" s="51">
        <f t="shared" si="4"/>
        <v>0</v>
      </c>
      <c r="L15" s="51" t="str">
        <f t="array" ref="L15">IFERROR(INDEX(AbrR!$A$1:$AP96,MATCH("Utilidad Bruta",AbrR!$A$1:$A96,0),MATCH($A15,AbrR!$A$6:AO$6,0),),"")</f>
        <v/>
      </c>
      <c r="M15" s="51" t="str">
        <f t="shared" ref="M15:N15" si="26">L15</f>
        <v/>
      </c>
      <c r="N15" s="51" t="str">
        <f t="shared" si="26"/>
        <v/>
      </c>
      <c r="O15" s="51" t="str">
        <f t="array" ref="O15">IFERROR(INDEX(MayR!$A$1:$BK96,MATCH("Utilidad Bruta",MayR!$A$1:$A96,0),MATCH($A15,MayR!$A$6:AO$6,0),),"")</f>
        <v/>
      </c>
      <c r="P15" s="51" t="str">
        <f>O15</f>
        <v/>
      </c>
      <c r="Q15" s="51">
        <f t="shared" si="6"/>
        <v>0</v>
      </c>
      <c r="R15" s="51" t="str">
        <f t="array" ref="R15">IFERROR(INDEX(JunR!$A$1:$AP96,MATCH("Utilidad Bruta",JunR!$A$1:$A96,0),MATCH($A15,JunR!$A$6:AO$6,0),),"")</f>
        <v/>
      </c>
      <c r="S15" s="51" t="str">
        <f>R15</f>
        <v/>
      </c>
      <c r="T15" s="51">
        <f t="shared" si="7"/>
        <v>0</v>
      </c>
      <c r="U15" s="51" t="str">
        <f t="array" ref="U15">IFERROR(INDEX(JulR!$A$1:$AP96,MATCH("Utilidad Bruta",JulR!$A$1:$A96,0),MATCH($A15,JulR!$A$6:AO$6,0),),"")</f>
        <v/>
      </c>
      <c r="V15" s="51" t="str">
        <f>U15</f>
        <v/>
      </c>
      <c r="W15" s="51">
        <f t="shared" si="8"/>
        <v>0</v>
      </c>
      <c r="X15" s="51" t="str">
        <f t="array" ref="X15">IFERROR(INDEX(AgoR!$A$1:$AP96,MATCH("Utilidad Bruta",AgoR!$A$1:$A96,0),MATCH($A15,AgoR!$A$6:AO$6,0),),"")</f>
        <v/>
      </c>
      <c r="Y15" s="51" t="str">
        <f>X15</f>
        <v/>
      </c>
      <c r="Z15" s="51">
        <f t="shared" si="9"/>
        <v>0</v>
      </c>
      <c r="AA15" s="51" t="str">
        <f t="array" ref="AA15">IFERROR(INDEX(SepR!$A$1:$AV96,MATCH("Utilidad Bruta",SepR!$A$1:$A96,0),MATCH($A15,SepR!$A$6:AO$6,0),),"")</f>
        <v/>
      </c>
      <c r="AB15" s="51" t="str">
        <f>AA15</f>
        <v/>
      </c>
      <c r="AC15" s="51">
        <f t="shared" si="10"/>
        <v>0</v>
      </c>
      <c r="AD15" s="51" t="str">
        <f t="array" ref="AD15">IFERROR(INDEX(OctR!$A$1:$AP96,MATCH("Utilidad Bruta",OctR!$A$1:$A96,0),MATCH($A15,OctR!$A$6:AO$6,0),),"")</f>
        <v/>
      </c>
      <c r="AE15" s="51" t="str">
        <f>AD15</f>
        <v/>
      </c>
      <c r="AF15" s="51">
        <f t="shared" si="11"/>
        <v>0</v>
      </c>
      <c r="AG15" s="51" t="str">
        <f t="array" ref="AG15">IFERROR(INDEX(NovR!$A$1:$AP96,MATCH("Utilidad Bruta",NovR!$A$1:$A96,0),MATCH($A15,NovR!$A$6:AO$6,0),),"")</f>
        <v/>
      </c>
      <c r="AH15" s="51" t="str">
        <f>AG15</f>
        <v/>
      </c>
      <c r="AI15" s="51">
        <f t="shared" si="12"/>
        <v>0</v>
      </c>
      <c r="AJ15" s="51" t="str">
        <f t="array" ref="AJ15">IFERROR(INDEX(DicR!$A$1:$AP96,MATCH("Utilidad Bruta",DicR!$A$1:$A96,0),MATCH($A15,DicR!$A$6:AO$6,0),),"")</f>
        <v/>
      </c>
      <c r="AK15" s="51" t="str">
        <f>AJ15</f>
        <v/>
      </c>
      <c r="AL15" s="51">
        <f t="shared" si="13"/>
        <v>0</v>
      </c>
      <c r="AM15" s="51"/>
      <c r="AN15" s="51"/>
      <c r="AO15" s="51"/>
    </row>
    <row r="16" ht="15.75" customHeight="1">
      <c r="A16" s="12"/>
      <c r="B16" s="51" t="str">
        <f t="shared" si="1"/>
        <v/>
      </c>
      <c r="C16" s="51" t="str">
        <f t="array" ref="C16">IFERROR(INDEX(EneR!$A$1:$AO96,MATCH("Utilidad Bruta",EneR!$A$1:$A96,0),MATCH($A16,EneR!$A$6:AO$6,0),),"")</f>
        <v/>
      </c>
      <c r="D16" s="51" t="str">
        <f>VLOOKUP($A16,'Fijos y Variables'!$A$2:$B96,2,false)</f>
        <v>#N/A</v>
      </c>
      <c r="E16" s="51" t="str">
        <f t="shared" si="2"/>
        <v>#N/A</v>
      </c>
      <c r="F16" s="51" t="str">
        <f t="array" ref="F16">IFERROR(INDEX(FebR!$A$1:$AP96,MATCH("Utilidad Bruta",FebR!$A$1:$A96,0),MATCH($A16,FebR!$A$6:AO$6,0),),"")</f>
        <v/>
      </c>
      <c r="G16" s="51" t="str">
        <f>VLOOKUP($A16,'Fijos y Variables'!$A$2:$B96,2,false)</f>
        <v>#N/A</v>
      </c>
      <c r="H16" s="51" t="str">
        <f t="shared" si="3"/>
        <v>#N/A</v>
      </c>
      <c r="I16" s="51" t="str">
        <f t="array" ref="I16">IFERROR(INDEX(MarR!$A$1:$AP96,MATCH("Utilidad Bruta",MarR!$A$1:$A96,0),MATCH($A16,MarR!$A$6:AO$6,0),),"")</f>
        <v/>
      </c>
      <c r="J16" s="51" t="str">
        <f>VLOOKUP($A16,'Fijos y Variables'!$A$2:$B96,2,false)</f>
        <v>#N/A</v>
      </c>
      <c r="K16" s="51" t="str">
        <f t="shared" si="4"/>
        <v>#N/A</v>
      </c>
      <c r="L16" s="51" t="str">
        <f t="array" ref="L16">IFERROR(INDEX(AbrR!$A$1:$AP96,MATCH("Utilidad Bruta",AbrR!$A$1:$A96,0),MATCH($A16,AbrR!$A$6:AO$6,0),),"")</f>
        <v/>
      </c>
      <c r="M16" s="51" t="str">
        <f>VLOOKUP($A16,'Fijos y Variables'!$A$2:$B96,2,false)</f>
        <v>#N/A</v>
      </c>
      <c r="N16" s="51">
        <v>15500.0</v>
      </c>
      <c r="O16" s="51" t="str">
        <f t="array" ref="O16">IFERROR(INDEX(MayR!$A$1:$BK96,MATCH("Utilidad Bruta",MayR!$A$1:$A96,0),MATCH($A16,MayR!$A$6:AO$6,0),),"")</f>
        <v/>
      </c>
      <c r="P16" s="51" t="str">
        <f>VLOOKUP($A16,'Fijos y Variables'!$A$2:$B96,2,false)</f>
        <v>#N/A</v>
      </c>
      <c r="Q16" s="51" t="str">
        <f t="shared" si="6"/>
        <v>#N/A</v>
      </c>
      <c r="R16" s="51" t="str">
        <f t="array" ref="R16">IFERROR(INDEX(JunR!$A$1:$AP96,MATCH("Utilidad Bruta",JunR!$A$1:$A96,0),MATCH($A16,JunR!$A$6:AO$6,0),),"")</f>
        <v/>
      </c>
      <c r="S16" s="51" t="str">
        <f>VLOOKUP($A16,'Fijos y Variables'!$A$2:$B96,2,false)</f>
        <v>#N/A</v>
      </c>
      <c r="T16" s="51" t="str">
        <f t="shared" si="7"/>
        <v>#N/A</v>
      </c>
      <c r="U16" s="51" t="str">
        <f t="array" ref="U16">IFERROR(INDEX(JulR!$A$1:$AP96,MATCH("Utilidad Bruta",JulR!$A$1:$A96,0),MATCH($A16,JulR!$A$6:AO$6,0),),"")</f>
        <v/>
      </c>
      <c r="V16" s="51" t="str">
        <f>VLOOKUP($A16,'Fijos y Variables'!$A$2:$B96,2,false)</f>
        <v>#N/A</v>
      </c>
      <c r="W16" s="51" t="str">
        <f t="shared" si="8"/>
        <v>#N/A</v>
      </c>
      <c r="X16" s="51" t="str">
        <f t="array" ref="X16">IFERROR(INDEX(AgoR!$A$1:$AP96,MATCH("Utilidad Bruta",AgoR!$A$1:$A96,0),MATCH($A16,AgoR!$A$6:AO$6,0),),"")</f>
        <v/>
      </c>
      <c r="Y16" s="51" t="str">
        <f>VLOOKUP($A16,'Fijos y Variables'!$A$2:$B96,2,false)</f>
        <v>#N/A</v>
      </c>
      <c r="Z16" s="51" t="str">
        <f t="shared" si="9"/>
        <v>#N/A</v>
      </c>
      <c r="AA16" s="51" t="str">
        <f t="array" ref="AA16">IFERROR(INDEX(SepR!$A$1:$AV96,MATCH("Utilidad Bruta",SepR!$A$1:$A96,0),MATCH($A16,SepR!$A$6:AO$6,0),),"")</f>
        <v/>
      </c>
      <c r="AB16" s="51" t="str">
        <f>VLOOKUP($A16,'Fijos y Variables'!$A$2:$B96,2,false)</f>
        <v>#N/A</v>
      </c>
      <c r="AC16" s="51" t="str">
        <f t="shared" si="10"/>
        <v>#N/A</v>
      </c>
      <c r="AD16" s="51" t="str">
        <f t="array" ref="AD16">IFERROR(INDEX(OctR!$A$1:$AP96,MATCH("Utilidad Bruta",OctR!$A$1:$A96,0),MATCH($A16,OctR!$A$6:AO$6,0),),"")</f>
        <v/>
      </c>
      <c r="AE16" s="51" t="str">
        <f>VLOOKUP($A16,'Fijos y Variables'!$A$2:$B96,2,false)</f>
        <v>#N/A</v>
      </c>
      <c r="AF16" s="51" t="str">
        <f t="shared" si="11"/>
        <v>#N/A</v>
      </c>
      <c r="AG16" s="51" t="str">
        <f t="array" ref="AG16">IFERROR(INDEX(NovR!$A$1:$AP96,MATCH("Utilidad Bruta",NovR!$A$1:$A96,0),MATCH($A16,NovR!$A$6:AO$6,0),),"")</f>
        <v/>
      </c>
      <c r="AH16" s="51" t="str">
        <f>VLOOKUP($A16,'Fijos y Variables'!$A$2:$B96,2,false)</f>
        <v>#N/A</v>
      </c>
      <c r="AI16" s="51" t="str">
        <f t="shared" si="12"/>
        <v>#N/A</v>
      </c>
      <c r="AJ16" s="51" t="str">
        <f t="array" ref="AJ16">IFERROR(INDEX(DicR!$A$1:$AP96,MATCH("Utilidad Bruta",DicR!$A$1:$A96,0),MATCH($A16,DicR!$A$6:AO$6,0),),"")</f>
        <v/>
      </c>
      <c r="AK16" s="51" t="str">
        <f>VLOOKUP($A16,'Fijos y Variables'!$A$2:$B96,2,false)</f>
        <v>#N/A</v>
      </c>
      <c r="AL16" s="51" t="str">
        <f t="shared" si="13"/>
        <v>#N/A</v>
      </c>
      <c r="AM16" s="51"/>
      <c r="AN16" s="51"/>
      <c r="AO16" s="51"/>
    </row>
    <row r="17" ht="15.75" customHeight="1">
      <c r="A17" s="12"/>
      <c r="B17" s="51" t="str">
        <f t="shared" si="1"/>
        <v/>
      </c>
      <c r="C17" s="51" t="str">
        <f t="array" ref="C17">IFERROR(INDEX(EneR!$A$1:$AO96,MATCH("Utilidad Bruta",EneR!$A$1:$A96,0),MATCH($A17,EneR!$A$6:AO$6,0),),"")</f>
        <v/>
      </c>
      <c r="D17" s="51" t="str">
        <f>VLOOKUP($A17,'Fijos y Variables'!$A$2:$B96,2,false)</f>
        <v>#N/A</v>
      </c>
      <c r="E17" s="51" t="str">
        <f t="shared" si="2"/>
        <v>#N/A</v>
      </c>
      <c r="F17" s="51" t="str">
        <f t="array" ref="F17">IFERROR(INDEX(FebR!$A$1:$AP96,MATCH("Utilidad Bruta",FebR!$A$1:$A96,0),MATCH($A17,FebR!$A$6:AO$6,0),),"")</f>
        <v/>
      </c>
      <c r="G17" s="51" t="str">
        <f>VLOOKUP($A17,'Fijos y Variables'!$A$2:$B96,2,false)</f>
        <v>#N/A</v>
      </c>
      <c r="H17" s="51" t="str">
        <f t="shared" si="3"/>
        <v>#N/A</v>
      </c>
      <c r="I17" s="51" t="str">
        <f t="array" ref="I17">IFERROR(INDEX(MarR!$A$1:$AP96,MATCH("Utilidad Bruta",MarR!$A$1:$A96,0),MATCH($A17,MarR!$A$6:AO$6,0),),"")</f>
        <v/>
      </c>
      <c r="J17" s="51" t="str">
        <f>VLOOKUP($A17,'Fijos y Variables'!$A$2:$B96,2,false)</f>
        <v>#N/A</v>
      </c>
      <c r="K17" s="51" t="str">
        <f t="shared" si="4"/>
        <v>#N/A</v>
      </c>
      <c r="L17" s="51" t="str">
        <f t="array" ref="L17">IFERROR(INDEX(AbrR!$A$1:$AP96,MATCH("Utilidad Bruta",AbrR!$A$1:$A96,0),MATCH($A17,AbrR!$A$6:AO$6,0),),"")</f>
        <v/>
      </c>
      <c r="M17" s="51" t="str">
        <f>VLOOKUP($A17,'Fijos y Variables'!$A$2:$B96,2,false)</f>
        <v>#N/A</v>
      </c>
      <c r="N17" s="51">
        <v>61188.75</v>
      </c>
      <c r="O17" s="51" t="str">
        <f t="array" ref="O17">IFERROR(INDEX(MayR!$A$1:$BK96,MATCH("Utilidad Bruta",MayR!$A$1:$A96,0),MATCH($A17,MayR!$A$6:AO$6,0),),"")</f>
        <v/>
      </c>
      <c r="P17" s="51" t="str">
        <f>VLOOKUP($A17,'Fijos y Variables'!$A$2:$B96,2,false)</f>
        <v>#N/A</v>
      </c>
      <c r="Q17" s="51" t="str">
        <f t="shared" si="6"/>
        <v>#N/A</v>
      </c>
      <c r="R17" s="51" t="str">
        <f t="array" ref="R17">IFERROR(INDEX(JunR!$A$1:$AP96,MATCH("Utilidad Bruta",JunR!$A$1:$A96,0),MATCH($A17,JunR!$A$6:AO$6,0),),"")</f>
        <v/>
      </c>
      <c r="S17" s="51" t="str">
        <f>VLOOKUP($A17,'Fijos y Variables'!$A$2:$B96,2,false)</f>
        <v>#N/A</v>
      </c>
      <c r="T17" s="51" t="str">
        <f t="shared" si="7"/>
        <v>#N/A</v>
      </c>
      <c r="U17" s="51" t="str">
        <f t="array" ref="U17">IFERROR(INDEX(JulR!$A$1:$AP96,MATCH("Utilidad Bruta",JulR!$A$1:$A96,0),MATCH($A17,JulR!$A$6:AO$6,0),),"")</f>
        <v/>
      </c>
      <c r="V17" s="51" t="str">
        <f>VLOOKUP($A17,'Fijos y Variables'!$A$2:$B96,2,false)</f>
        <v>#N/A</v>
      </c>
      <c r="W17" s="51" t="str">
        <f t="shared" si="8"/>
        <v>#N/A</v>
      </c>
      <c r="X17" s="51" t="str">
        <f t="array" ref="X17">IFERROR(INDEX(AgoR!$A$1:$AP96,MATCH("Utilidad Bruta",AgoR!$A$1:$A96,0),MATCH($A17,AgoR!$A$6:AO$6,0),),"")</f>
        <v/>
      </c>
      <c r="Y17" s="51" t="str">
        <f>VLOOKUP($A17,'Fijos y Variables'!$A$2:$B96,2,false)</f>
        <v>#N/A</v>
      </c>
      <c r="Z17" s="51" t="str">
        <f t="shared" si="9"/>
        <v>#N/A</v>
      </c>
      <c r="AA17" s="51" t="str">
        <f t="array" ref="AA17">IFERROR(INDEX(SepR!$A$1:$AV96,MATCH("Utilidad Bruta",SepR!$A$1:$A96,0),MATCH($A17,SepR!$A$6:AO$6,0),),"")</f>
        <v/>
      </c>
      <c r="AB17" s="51" t="str">
        <f>VLOOKUP($A17,'Fijos y Variables'!$A$2:$B96,2,false)</f>
        <v>#N/A</v>
      </c>
      <c r="AC17" s="51" t="str">
        <f t="shared" si="10"/>
        <v>#N/A</v>
      </c>
      <c r="AD17" s="51" t="str">
        <f t="array" ref="AD17">IFERROR(INDEX(OctR!$A$1:$AP96,MATCH("Utilidad Bruta",OctR!$A$1:$A96,0),MATCH($A17,OctR!$A$6:AO$6,0),),"")</f>
        <v/>
      </c>
      <c r="AE17" s="51" t="str">
        <f>VLOOKUP($A17,'Fijos y Variables'!$A$2:$B96,2,false)</f>
        <v>#N/A</v>
      </c>
      <c r="AF17" s="51" t="str">
        <f t="shared" si="11"/>
        <v>#N/A</v>
      </c>
      <c r="AG17" s="51" t="str">
        <f t="array" ref="AG17">IFERROR(INDEX(NovR!$A$1:$AP96,MATCH("Utilidad Bruta",NovR!$A$1:$A96,0),MATCH($A17,NovR!$A$6:AO$6,0),),"")</f>
        <v/>
      </c>
      <c r="AH17" s="51" t="str">
        <f>VLOOKUP($A17,'Fijos y Variables'!$A$2:$B96,2,false)</f>
        <v>#N/A</v>
      </c>
      <c r="AI17" s="51" t="str">
        <f t="shared" si="12"/>
        <v>#N/A</v>
      </c>
      <c r="AJ17" s="51" t="str">
        <f t="array" ref="AJ17">IFERROR(INDEX(DicR!$A$1:$AP96,MATCH("Utilidad Bruta",DicR!$A$1:$A96,0),MATCH($A17,DicR!$A$6:AO$6,0),),"")</f>
        <v/>
      </c>
      <c r="AK17" s="51" t="str">
        <f>VLOOKUP($A17,'Fijos y Variables'!$A$2:$B96,2,false)</f>
        <v>#N/A</v>
      </c>
      <c r="AL17" s="51" t="str">
        <f t="shared" si="13"/>
        <v>#N/A</v>
      </c>
      <c r="AM17" s="51"/>
      <c r="AN17" s="51"/>
      <c r="AO17" s="51"/>
    </row>
    <row r="18" ht="15.75" customHeight="1">
      <c r="A18" s="12"/>
      <c r="B18" s="51" t="str">
        <f t="shared" si="1"/>
        <v/>
      </c>
      <c r="C18" s="51" t="str">
        <f t="array" ref="C18">IFERROR(INDEX(EneR!$A$1:$AO96,MATCH("Utilidad Bruta",EneR!$A$1:$A96,0),MATCH($A18,EneR!$A$6:AO$6,0),),"")</f>
        <v/>
      </c>
      <c r="D18" s="51" t="str">
        <f>VLOOKUP($A18,'Fijos y Variables'!$A$2:$B96,2,false)</f>
        <v>#N/A</v>
      </c>
      <c r="E18" s="51" t="str">
        <f t="shared" si="2"/>
        <v>#N/A</v>
      </c>
      <c r="F18" s="51" t="str">
        <f t="array" ref="F18">IFERROR(INDEX(FebR!$A$1:$AP96,MATCH("Utilidad Bruta",FebR!$A$1:$A96,0),MATCH($A18,FebR!$A$6:AO$6,0),),"")</f>
        <v/>
      </c>
      <c r="G18" s="51" t="str">
        <f>VLOOKUP($A18,'Fijos y Variables'!$A$2:$B96,2,false)</f>
        <v>#N/A</v>
      </c>
      <c r="H18" s="51" t="str">
        <f t="shared" si="3"/>
        <v>#N/A</v>
      </c>
      <c r="I18" s="51" t="str">
        <f t="array" ref="I18">IFERROR(INDEX(MarR!$A$1:$AP96,MATCH("Utilidad Bruta",MarR!$A$1:$A96,0),MATCH($A18,MarR!$A$6:AO$6,0),),"")</f>
        <v/>
      </c>
      <c r="J18" s="51" t="str">
        <f>VLOOKUP($A18,'Fijos y Variables'!$A$2:$B96,2,false)</f>
        <v>#N/A</v>
      </c>
      <c r="K18" s="51" t="str">
        <f t="shared" si="4"/>
        <v>#N/A</v>
      </c>
      <c r="L18" s="51" t="str">
        <f t="array" ref="L18">IFERROR(INDEX(AbrR!$A$1:$AP96,MATCH("Utilidad Bruta",AbrR!$A$1:$A96,0),MATCH($A18,AbrR!$A$6:AO$6,0),),"")</f>
        <v/>
      </c>
      <c r="M18" s="51" t="str">
        <f>VLOOKUP($A18,'Fijos y Variables'!$A$2:$B96,2,false)</f>
        <v>#N/A</v>
      </c>
      <c r="N18" s="51">
        <v>13781.25</v>
      </c>
      <c r="O18" s="51" t="str">
        <f t="array" ref="O18">IFERROR(INDEX(MayR!$A$1:$BK96,MATCH("Utilidad Bruta",MayR!$A$1:$A96,0),MATCH($A18,MayR!$A$6:AO$6,0),),"")</f>
        <v/>
      </c>
      <c r="P18" s="51" t="str">
        <f>VLOOKUP($A18,'Fijos y Variables'!$A$2:$B96,2,false)</f>
        <v>#N/A</v>
      </c>
      <c r="Q18" s="51" t="str">
        <f t="shared" si="6"/>
        <v>#N/A</v>
      </c>
      <c r="R18" s="51" t="str">
        <f t="array" ref="R18">IFERROR(INDEX(JunR!$A$1:$AP96,MATCH("Utilidad Bruta",JunR!$A$1:$A96,0),MATCH($A18,JunR!$A$6:AO$6,0),),"")</f>
        <v/>
      </c>
      <c r="S18" s="51" t="str">
        <f>VLOOKUP($A18,'Fijos y Variables'!$A$2:$B96,2,false)</f>
        <v>#N/A</v>
      </c>
      <c r="T18" s="51" t="str">
        <f t="shared" si="7"/>
        <v>#N/A</v>
      </c>
      <c r="U18" s="51" t="str">
        <f t="array" ref="U18">IFERROR(INDEX(JulR!$A$1:$AP96,MATCH("Utilidad Bruta",JulR!$A$1:$A96,0),MATCH($A18,JulR!$A$6:AO$6,0),),"")</f>
        <v/>
      </c>
      <c r="V18" s="51" t="str">
        <f>VLOOKUP($A18,'Fijos y Variables'!$A$2:$B96,2,false)</f>
        <v>#N/A</v>
      </c>
      <c r="W18" s="51" t="str">
        <f t="shared" si="8"/>
        <v>#N/A</v>
      </c>
      <c r="X18" s="51" t="str">
        <f t="array" ref="X18">IFERROR(INDEX(AgoR!$A$1:$AP96,MATCH("Utilidad Bruta",AgoR!$A$1:$A96,0),MATCH($A18,AgoR!$A$6:AO$6,0),),"")</f>
        <v/>
      </c>
      <c r="Y18" s="51" t="str">
        <f>VLOOKUP($A18,'Fijos y Variables'!$A$2:$B96,2,false)</f>
        <v>#N/A</v>
      </c>
      <c r="Z18" s="51" t="str">
        <f t="shared" si="9"/>
        <v>#N/A</v>
      </c>
      <c r="AA18" s="51" t="str">
        <f t="array" ref="AA18">IFERROR(INDEX(SepR!$A$1:$AV96,MATCH("Utilidad Bruta",SepR!$A$1:$A96,0),MATCH($A18,SepR!$A$6:AO$6,0),),"")</f>
        <v/>
      </c>
      <c r="AB18" s="51" t="str">
        <f>VLOOKUP($A18,'Fijos y Variables'!$A$2:$B96,2,false)</f>
        <v>#N/A</v>
      </c>
      <c r="AC18" s="51" t="str">
        <f t="shared" si="10"/>
        <v>#N/A</v>
      </c>
      <c r="AD18" s="51" t="str">
        <f t="array" ref="AD18">IFERROR(INDEX(OctR!$A$1:$AP96,MATCH("Utilidad Bruta",OctR!$A$1:$A96,0),MATCH($A18,OctR!$A$6:AO$6,0),),"")</f>
        <v/>
      </c>
      <c r="AE18" s="51" t="str">
        <f>VLOOKUP($A18,'Fijos y Variables'!$A$2:$B96,2,false)</f>
        <v>#N/A</v>
      </c>
      <c r="AF18" s="51" t="str">
        <f t="shared" si="11"/>
        <v>#N/A</v>
      </c>
      <c r="AG18" s="51" t="str">
        <f t="array" ref="AG18">IFERROR(INDEX(NovR!$A$1:$AP96,MATCH("Utilidad Bruta",NovR!$A$1:$A96,0),MATCH($A18,NovR!$A$6:AO$6,0),),"")</f>
        <v/>
      </c>
      <c r="AH18" s="51" t="str">
        <f>VLOOKUP($A18,'Fijos y Variables'!$A$2:$B96,2,false)</f>
        <v>#N/A</v>
      </c>
      <c r="AI18" s="51" t="str">
        <f t="shared" si="12"/>
        <v>#N/A</v>
      </c>
      <c r="AJ18" s="51" t="str">
        <f t="array" ref="AJ18">IFERROR(INDEX(DicR!$A$1:$AP96,MATCH("Utilidad Bruta",DicR!$A$1:$A96,0),MATCH($A18,DicR!$A$6:AO$6,0),),"")</f>
        <v/>
      </c>
      <c r="AK18" s="51" t="str">
        <f>VLOOKUP($A18,'Fijos y Variables'!$A$2:$B96,2,false)</f>
        <v>#N/A</v>
      </c>
      <c r="AL18" s="51" t="str">
        <f t="shared" si="13"/>
        <v>#N/A</v>
      </c>
      <c r="AM18" s="51"/>
      <c r="AN18" s="51"/>
      <c r="AO18" s="51"/>
    </row>
    <row r="19" ht="15.75" customHeight="1">
      <c r="A19" s="12"/>
      <c r="B19" s="51">
        <f t="shared" si="1"/>
        <v>151200</v>
      </c>
      <c r="C19" s="51" t="str">
        <f t="array" ref="C19">IFERROR(INDEX(EneR!$A$1:$AO96,MATCH("Utilidad Bruta",EneR!$A$1:$A96,0),MATCH($A19,EneR!$A$6:AO$6,0),),"")</f>
        <v/>
      </c>
      <c r="D19" s="51">
        <f>IF(C19&gt;0, (C19*7%)+'Fijos y Variables'!$B$13, 'Fijos y Variables'!$B$13)
</f>
        <v>16800</v>
      </c>
      <c r="E19" s="51">
        <f t="shared" si="2"/>
        <v>-16800</v>
      </c>
      <c r="F19" s="51" t="str">
        <f t="array" ref="F19">IFERROR(INDEX(FebR!$A$1:$AP96,MATCH("Utilidad Bruta",FebR!$A$1:$A96,0),MATCH($A19,FebR!$A$6:AO$6,0),),"")</f>
        <v/>
      </c>
      <c r="G19" s="51">
        <f>IF(F19&gt;0, (F19*7%)+'Fijos y Variables'!$B$13, 'Fijos y Variables'!$B$13)
</f>
        <v>16800</v>
      </c>
      <c r="H19" s="51">
        <f t="shared" si="3"/>
        <v>-16800</v>
      </c>
      <c r="I19" s="51" t="str">
        <f t="array" ref="I19">IFERROR(INDEX(MarR!$A$1:$AP96,MATCH("Utilidad Bruta",MarR!$A$1:$A96,0),MATCH($A19,MarR!$A$6:AO$6,0),),"")</f>
        <v/>
      </c>
      <c r="J19" s="51">
        <f>IF(I19&gt;0, (I19*7%)+'Fijos y Variables'!$B$13, 'Fijos y Variables'!$B$13)
</f>
        <v>16800</v>
      </c>
      <c r="K19" s="51">
        <f t="shared" si="4"/>
        <v>-16800</v>
      </c>
      <c r="L19" s="51" t="str">
        <f t="array" ref="L19">IFERROR(INDEX(AbrR!$A$1:$AP96,MATCH("Utilidad Bruta",AbrR!$A$1:$A96,0),MATCH($A19,AbrR!$A$6:AO$6,0),),"")</f>
        <v/>
      </c>
      <c r="M19" s="51">
        <f>IF(L19&gt;0, (L19*7%)+'Fijos y Variables'!$B$13, 'Fijos y Variables'!$B$13)
</f>
        <v>16800</v>
      </c>
      <c r="N19" s="51">
        <f>(M19*7%)+16000</f>
        <v>17176</v>
      </c>
      <c r="O19" s="51" t="str">
        <f t="array" ref="O19">IFERROR(INDEX(MayR!$A$1:$BK96,MATCH("Utilidad Bruta",MayR!$A$1:$A96,0),MATCH($A19,MayR!$A$6:AO$6,0),),"")</f>
        <v/>
      </c>
      <c r="P19" s="51">
        <f>IF(O19&gt;0, (O19*7%)+'Fijos y Variables'!$B$13, 'Fijos y Variables'!$B$13)
</f>
        <v>16800</v>
      </c>
      <c r="Q19" s="51">
        <f t="shared" si="6"/>
        <v>-16800</v>
      </c>
      <c r="R19" s="51" t="str">
        <f t="array" ref="R19">IFERROR(INDEX(JunR!$A$1:$AP96,MATCH("Utilidad Bruta",JunR!$A$1:$A96,0),MATCH($A19,JunR!$A$6:AO$6,0),),"")</f>
        <v/>
      </c>
      <c r="S19" s="51">
        <f>IF(R19&gt;0, (R19*7%)+'Fijos y Variables'!$B$13, 'Fijos y Variables'!$B$13)
</f>
        <v>16800</v>
      </c>
      <c r="T19" s="51">
        <f t="shared" si="7"/>
        <v>-16800</v>
      </c>
      <c r="U19" s="51" t="str">
        <f t="array" ref="U19">IFERROR(INDEX(JulR!$A$1:$AP96,MATCH("Utilidad Bruta",JulR!$A$1:$A96,0),MATCH($A19,JulR!$A$6:AO$6,0),),"")</f>
        <v/>
      </c>
      <c r="V19" s="51">
        <f>IF(U19&gt;0, (U19*7%)+'Fijos y Variables'!$B$13, 'Fijos y Variables'!$B$13)
</f>
        <v>16800</v>
      </c>
      <c r="W19" s="51">
        <f t="shared" si="8"/>
        <v>-16800</v>
      </c>
      <c r="X19" s="51" t="str">
        <f t="array" ref="X19">IFERROR(INDEX(AgoR!$A$1:$AP96,MATCH("Utilidad Bruta",AgoR!$A$1:$A96,0),MATCH($A19,AgoR!$A$6:AO$6,0),),"")</f>
        <v/>
      </c>
      <c r="Y19" s="51">
        <f>IF(X19&gt;0, (X19*7%)+'Fijos y Variables'!$B$13, 'Fijos y Variables'!$B$13)
</f>
        <v>16800</v>
      </c>
      <c r="Z19" s="51">
        <f t="shared" si="9"/>
        <v>-16800</v>
      </c>
      <c r="AA19" s="51" t="str">
        <f t="array" ref="AA19">IFERROR(INDEX(SepR!$A$1:$AV96,MATCH("Utilidad Bruta",SepR!$A$1:$A96,0),MATCH($A19,SepR!$A$6:AO$6,0),),"")</f>
        <v/>
      </c>
      <c r="AB19" s="51">
        <f>IF(AA19&gt;0, (AA19*7%)+'Fijos y Variables'!$B$13, 'Fijos y Variables'!$B$13)
</f>
        <v>16800</v>
      </c>
      <c r="AC19" s="51">
        <f t="shared" si="10"/>
        <v>-16800</v>
      </c>
      <c r="AD19" s="51" t="str">
        <f t="array" ref="AD19">IFERROR(INDEX(OctR!$A$1:$AP96,MATCH("Utilidad Bruta",OctR!$A$1:$A96,0),MATCH($A19,OctR!$A$6:AO$6,0),),"")</f>
        <v/>
      </c>
      <c r="AE19" s="51">
        <f>IF(AD19&gt;0, (AD19*7%)+'Fijos y Variables'!$B$13, 'Fijos y Variables'!$B$13)
</f>
        <v>16800</v>
      </c>
      <c r="AF19" s="51">
        <f t="shared" si="11"/>
        <v>-16800</v>
      </c>
      <c r="AG19" s="51" t="str">
        <f t="array" ref="AG19">IFERROR(INDEX(NovR!$A$1:$AP96,MATCH("Utilidad Bruta",NovR!$A$1:$A96,0),MATCH($A19,NovR!$A$6:AO$6,0),),"")</f>
        <v/>
      </c>
      <c r="AH19" s="51">
        <f>IF(AG19&gt;0, (AG19*7%)+16000, 16000)
</f>
        <v>16000</v>
      </c>
      <c r="AI19" s="51">
        <f t="shared" si="12"/>
        <v>-16000</v>
      </c>
      <c r="AJ19" s="51" t="str">
        <f t="array" ref="AJ19">IFERROR(INDEX(DicR!$A$1:$AP96,MATCH("Utilidad Bruta",DicR!$A$1:$A96,0),MATCH($A19,DicR!$A$6:AO$6,0),),"")</f>
        <v/>
      </c>
      <c r="AK19" s="51">
        <f>IF(AJ19&gt;0, (AJ19*7%)+16000, 16000)
</f>
        <v>16000</v>
      </c>
      <c r="AL19" s="51">
        <f t="shared" si="13"/>
        <v>-16000</v>
      </c>
      <c r="AM19" s="51"/>
      <c r="AN19" s="51"/>
      <c r="AO19" s="51"/>
    </row>
    <row r="20" ht="15.75" customHeight="1">
      <c r="A20" s="12"/>
      <c r="B20" s="51" t="str">
        <f t="shared" si="1"/>
        <v/>
      </c>
      <c r="C20" s="51" t="str">
        <f t="array" ref="C20">IFERROR(INDEX(EneR!$A$1:$AO96,MATCH("Utilidad Bruta",EneR!$A$1:$A96,0),MATCH($A20,EneR!$A$6:AO$6,0),),"")</f>
        <v/>
      </c>
      <c r="D20" s="51">
        <f>IF(C20&gt;0, C20*20%, 0)
</f>
        <v>0</v>
      </c>
      <c r="E20" s="51">
        <f t="shared" si="2"/>
        <v>0</v>
      </c>
      <c r="F20" s="51" t="str">
        <f t="array" ref="F20">IFERROR(INDEX(FebR!$A$1:$AP96,MATCH("Utilidad Bruta",FebR!$A$1:$A96,0),MATCH($A20,FebR!$A$6:AO$6,0),),"")</f>
        <v/>
      </c>
      <c r="G20" s="51">
        <f>IF(F20&gt;0, F20*20%, 0)
</f>
        <v>0</v>
      </c>
      <c r="H20" s="51">
        <f t="shared" si="3"/>
        <v>0</v>
      </c>
      <c r="I20" s="51" t="str">
        <f t="array" ref="I20">IFERROR(INDEX(MarR!$A$1:$AP96,MATCH("Utilidad Bruta",MarR!$A$1:$A96,0),MATCH($A20,MarR!$A$6:AO$6,0),),"")</f>
        <v/>
      </c>
      <c r="J20" s="51">
        <f>IF(I20&gt;0, I20*20%, 0)
</f>
        <v>0</v>
      </c>
      <c r="K20" s="51">
        <f t="shared" si="4"/>
        <v>0</v>
      </c>
      <c r="L20" s="51" t="str">
        <f t="array" ref="L20">IFERROR(INDEX(AbrR!$A$1:$AP96,MATCH("Utilidad Bruta",AbrR!$A$1:$A96,0),MATCH($A20,AbrR!$A$6:AO$6,0),),"")</f>
        <v/>
      </c>
      <c r="M20" s="51">
        <f>IF(L20&gt;0, L20*20%, 0)
</f>
        <v>0</v>
      </c>
      <c r="N20" s="51">
        <f>M20*20%</f>
        <v>0</v>
      </c>
      <c r="O20" s="51" t="str">
        <f t="array" ref="O20">IFERROR(INDEX(MayR!$A$1:$BK96,MATCH("Utilidad Bruta",MayR!$A$1:$A96,0),MATCH($A20,MayR!$A$6:AO$6,0),),"")</f>
        <v/>
      </c>
      <c r="P20" s="51">
        <f>IF(O20&gt;0, O20*20%, 0)
</f>
        <v>0</v>
      </c>
      <c r="Q20" s="51">
        <f t="shared" si="6"/>
        <v>0</v>
      </c>
      <c r="R20" s="51" t="str">
        <f t="array" ref="R20">IFERROR(INDEX(JunR!$A$1:$AP96,MATCH("Utilidad Bruta",JunR!$A$1:$A96,0),MATCH($A20,JunR!$A$6:AO$6,0),),"")</f>
        <v/>
      </c>
      <c r="S20" s="51">
        <f>IF(R20&gt;0, R20*20%, 0)
</f>
        <v>0</v>
      </c>
      <c r="T20" s="51">
        <f t="shared" si="7"/>
        <v>0</v>
      </c>
      <c r="U20" s="51" t="str">
        <f t="array" ref="U20">IFERROR(INDEX(JulR!$A$1:$AP96,MATCH("Utilidad Bruta",JulR!$A$1:$A96,0),MATCH($A20,JulR!$A$6:AO$6,0),),"")</f>
        <v/>
      </c>
      <c r="V20" s="51">
        <f>IF(U20&gt;0, U20*20%, 0)
</f>
        <v>0</v>
      </c>
      <c r="W20" s="51">
        <f t="shared" si="8"/>
        <v>0</v>
      </c>
      <c r="X20" s="51" t="str">
        <f t="array" ref="X20">IFERROR(INDEX(AgoR!$A$1:$AP96,MATCH("Utilidad Bruta",AgoR!$A$1:$A96,0),MATCH($A20,AgoR!$A$6:AO$6,0),),"")</f>
        <v/>
      </c>
      <c r="Y20" s="51">
        <f>IF(X20&gt;0, X20*20%, 0)
</f>
        <v>0</v>
      </c>
      <c r="Z20" s="51">
        <f t="shared" si="9"/>
        <v>0</v>
      </c>
      <c r="AA20" s="51" t="str">
        <f t="array" ref="AA20">IFERROR(INDEX(SepR!$A$1:$AV96,MATCH("Utilidad Bruta",SepR!$A$1:$A96,0),MATCH($A20,SepR!$A$6:AO$6,0),),"")</f>
        <v/>
      </c>
      <c r="AB20" s="51">
        <f>IF(AA20&gt;0, AA20*20%, 0)
</f>
        <v>0</v>
      </c>
      <c r="AC20" s="51">
        <f t="shared" si="10"/>
        <v>0</v>
      </c>
      <c r="AD20" s="51" t="str">
        <f t="array" ref="AD20">IFERROR(INDEX(OctR!$A$1:$AP96,MATCH("Utilidad Bruta",OctR!$A$1:$A96,0),MATCH($A20,OctR!$A$6:AO$6,0),),"")</f>
        <v/>
      </c>
      <c r="AE20" s="51">
        <f>IF(AD20&gt;0, AD20*20%, 0)
</f>
        <v>0</v>
      </c>
      <c r="AF20" s="51">
        <f t="shared" si="11"/>
        <v>0</v>
      </c>
      <c r="AG20" s="51" t="str">
        <f t="array" ref="AG20">IFERROR(INDEX(NovR!$A$1:$AP96,MATCH("Utilidad Bruta",NovR!$A$1:$A96,0),MATCH($A20,NovR!$A$6:AO$6,0),),"")</f>
        <v/>
      </c>
      <c r="AH20" s="51">
        <f>IF(AG20&gt;0, AG20*20%, 0)
</f>
        <v>0</v>
      </c>
      <c r="AI20" s="51">
        <f t="shared" si="12"/>
        <v>0</v>
      </c>
      <c r="AJ20" s="51" t="str">
        <f t="array" ref="AJ20">IFERROR(INDEX(DicR!$A$1:$AP96,MATCH("Utilidad Bruta",DicR!$A$1:$A96,0),MATCH($A20,DicR!$A$6:AO$6,0),),"")</f>
        <v/>
      </c>
      <c r="AK20" s="51">
        <f>IF(AJ20&gt;0, AJ20*20%, 0)
</f>
        <v>0</v>
      </c>
      <c r="AL20" s="51">
        <f t="shared" si="13"/>
        <v>0</v>
      </c>
      <c r="AM20" s="51"/>
      <c r="AN20" s="51"/>
      <c r="AO20" s="51"/>
    </row>
    <row r="21" ht="15.75" customHeight="1">
      <c r="A21" s="12"/>
      <c r="B21" s="51" t="str">
        <f t="shared" si="1"/>
        <v/>
      </c>
      <c r="C21" s="51" t="str">
        <f t="array" ref="C21">IFERROR(INDEX(EneR!$A$1:$AO96,MATCH("Utilidad Bruta",EneR!$A$1:$A96,0),MATCH($A21,EneR!$A$6:AO$6,0),),"")</f>
        <v/>
      </c>
      <c r="D21" s="51" t="str">
        <f>VLOOKUP($A21,'Fijos y Variables'!$A$2:$B96,2,false)</f>
        <v>#N/A</v>
      </c>
      <c r="E21" s="51" t="str">
        <f t="shared" si="2"/>
        <v>#N/A</v>
      </c>
      <c r="F21" s="51" t="str">
        <f t="array" ref="F21">IFERROR(INDEX(FebR!$A$1:$AP96,MATCH("Utilidad Bruta",FebR!$A$1:$A96,0),MATCH($A21,FebR!$A$6:AO$6,0),),"")</f>
        <v/>
      </c>
      <c r="G21" s="51" t="str">
        <f>VLOOKUP($A21,'Fijos y Variables'!$A$2:$B96,2,false)</f>
        <v>#N/A</v>
      </c>
      <c r="H21" s="51" t="str">
        <f t="shared" si="3"/>
        <v>#N/A</v>
      </c>
      <c r="I21" s="51" t="str">
        <f t="array" ref="I21">IFERROR(INDEX(MarR!$A$1:$AP96,MATCH("Utilidad Bruta",MarR!$A$1:$A96,0),MATCH($A21,MarR!$A$6:AO$6,0),),"")</f>
        <v/>
      </c>
      <c r="J21" s="51" t="str">
        <f>VLOOKUP($A21,'Fijos y Variables'!$A$2:$B96,2,false)</f>
        <v>#N/A</v>
      </c>
      <c r="K21" s="51" t="str">
        <f t="shared" si="4"/>
        <v>#N/A</v>
      </c>
      <c r="L21" s="51" t="str">
        <f t="array" ref="L21">IFERROR(INDEX(AbrR!$A$1:$AP96,MATCH("Utilidad Bruta",AbrR!$A$1:$A96,0),MATCH($A21,AbrR!$A$6:AO$6,0),),"")</f>
        <v/>
      </c>
      <c r="M21" s="51" t="str">
        <f>VLOOKUP($A21,'Fijos y Variables'!$A$2:$B96,2,false)</f>
        <v>#N/A</v>
      </c>
      <c r="N21" s="51">
        <v>15000.0</v>
      </c>
      <c r="O21" s="51" t="str">
        <f t="array" ref="O21">IFERROR(INDEX(MayR!$A$1:$BK96,MATCH("Utilidad Bruta",MayR!$A$1:$A96,0),MATCH($A21,MayR!$A$6:AO$6,0),),"")</f>
        <v/>
      </c>
      <c r="P21" s="51" t="str">
        <f>VLOOKUP($A21,'Fijos y Variables'!$A$2:$B96,2,false)</f>
        <v>#N/A</v>
      </c>
      <c r="Q21" s="51" t="str">
        <f t="shared" si="6"/>
        <v>#N/A</v>
      </c>
      <c r="R21" s="51" t="str">
        <f t="array" ref="R21">IFERROR(INDEX(JunR!$A$1:$AP96,MATCH("Utilidad Bruta",JunR!$A$1:$A96,0),MATCH($A21,JunR!$A$6:AO$6,0),),"")</f>
        <v/>
      </c>
      <c r="S21" s="51" t="str">
        <f>VLOOKUP($A21,'Fijos y Variables'!$A$2:$B96,2,false)</f>
        <v>#N/A</v>
      </c>
      <c r="T21" s="51" t="str">
        <f t="shared" si="7"/>
        <v>#N/A</v>
      </c>
      <c r="U21" s="51" t="str">
        <f t="array" ref="U21">IFERROR(INDEX(JulR!$A$1:$AP96,MATCH("Utilidad Bruta",JulR!$A$1:$A96,0),MATCH($A21,JulR!$A$6:AO$6,0),),"")</f>
        <v/>
      </c>
      <c r="V21" s="51" t="str">
        <f>VLOOKUP($A21,'Fijos y Variables'!$A$2:$B96,2,false)</f>
        <v>#N/A</v>
      </c>
      <c r="W21" s="51" t="str">
        <f t="shared" si="8"/>
        <v>#N/A</v>
      </c>
      <c r="X21" s="51" t="str">
        <f t="array" ref="X21">IFERROR(INDEX(AgoR!$A$1:$AP96,MATCH("Utilidad Bruta",AgoR!$A$1:$A96,0),MATCH($A21,AgoR!$A$6:AO$6,0),),"")</f>
        <v/>
      </c>
      <c r="Y21" s="51" t="str">
        <f>VLOOKUP($A21,'Fijos y Variables'!$A$2:$B96,2,false)</f>
        <v>#N/A</v>
      </c>
      <c r="Z21" s="51" t="str">
        <f t="shared" si="9"/>
        <v>#N/A</v>
      </c>
      <c r="AA21" s="51" t="str">
        <f t="array" ref="AA21">IFERROR(INDEX(SepR!$A$1:$AV96,MATCH("Utilidad Bruta",SepR!$A$1:$A96,0),MATCH($A21,SepR!$A$6:AO$6,0),),"")</f>
        <v/>
      </c>
      <c r="AB21" s="51" t="str">
        <f>VLOOKUP($A21,'Fijos y Variables'!$A$2:$B96,2,false)</f>
        <v>#N/A</v>
      </c>
      <c r="AC21" s="51" t="str">
        <f t="shared" si="10"/>
        <v>#N/A</v>
      </c>
      <c r="AD21" s="51" t="str">
        <f t="array" ref="AD21">IFERROR(INDEX(OctR!$A$1:$AP96,MATCH("Utilidad Bruta",OctR!$A$1:$A96,0),MATCH($A21,OctR!$A$6:AO$6,0),),"")</f>
        <v/>
      </c>
      <c r="AE21" s="51" t="str">
        <f>VLOOKUP($A21,'Fijos y Variables'!$A$2:$B96,2,false)</f>
        <v>#N/A</v>
      </c>
      <c r="AF21" s="51" t="str">
        <f t="shared" si="11"/>
        <v>#N/A</v>
      </c>
      <c r="AG21" s="51" t="str">
        <f t="array" ref="AG21">IFERROR(INDEX(NovR!$A$1:$AP96,MATCH("Utilidad Bruta",NovR!$A$1:$A96,0),MATCH($A21,NovR!$A$6:AO$6,0),),"")</f>
        <v/>
      </c>
      <c r="AH21" s="51" t="str">
        <f>VLOOKUP($A21,'Fijos y Variables'!$A$2:$B96,2,false)</f>
        <v>#N/A</v>
      </c>
      <c r="AI21" s="51" t="str">
        <f t="shared" si="12"/>
        <v>#N/A</v>
      </c>
      <c r="AJ21" s="51" t="str">
        <f t="array" ref="AJ21">IFERROR(INDEX(DicR!$A$1:$AP96,MATCH("Utilidad Bruta",DicR!$A$1:$A96,0),MATCH($A21,DicR!$A$6:AO$6,0),),"")</f>
        <v/>
      </c>
      <c r="AK21" s="51" t="str">
        <f>VLOOKUP($A21,'Fijos y Variables'!$A$2:$B96,2,false)</f>
        <v>#N/A</v>
      </c>
      <c r="AL21" s="51" t="str">
        <f t="shared" si="13"/>
        <v>#N/A</v>
      </c>
      <c r="AM21" s="51"/>
      <c r="AN21" s="51"/>
      <c r="AO21" s="51"/>
    </row>
    <row r="22" ht="15.75" customHeight="1">
      <c r="A22" s="12"/>
      <c r="B22" s="51" t="str">
        <f t="shared" si="1"/>
        <v/>
      </c>
      <c r="C22" s="51" t="str">
        <f t="array" ref="C22">IFERROR(INDEX(EneR!$A$1:$AO96,MATCH("Utilidad Bruta",EneR!$A$1:$A96,0),MATCH($A22,EneR!$A$6:AO$6,0),),"")</f>
        <v/>
      </c>
      <c r="D22" s="51" t="str">
        <f>VLOOKUP($A22,'Fijos y Variables'!$A$2:$B96,2,false)</f>
        <v>#N/A</v>
      </c>
      <c r="E22" s="51" t="str">
        <f t="shared" si="2"/>
        <v>#N/A</v>
      </c>
      <c r="F22" s="51" t="str">
        <f t="array" ref="F22">IFERROR(INDEX(FebR!$A$1:$AP96,MATCH("Utilidad Bruta",FebR!$A$1:$A96,0),MATCH($A22,FebR!$A$6:AO$6,0),),"")</f>
        <v/>
      </c>
      <c r="G22" s="51" t="str">
        <f>VLOOKUP($A22,'Fijos y Variables'!$A$2:$B96,2,false)</f>
        <v>#N/A</v>
      </c>
      <c r="H22" s="51" t="str">
        <f t="shared" si="3"/>
        <v>#N/A</v>
      </c>
      <c r="I22" s="51" t="str">
        <f t="array" ref="I22">IFERROR(INDEX(MarR!$A$1:$AP96,MATCH("Utilidad Bruta",MarR!$A$1:$A96,0),MATCH($A22,MarR!$A$6:AO$6,0),),"")</f>
        <v/>
      </c>
      <c r="J22" s="51" t="str">
        <f>VLOOKUP($A22,'Fijos y Variables'!$A$2:$B96,2,false)</f>
        <v>#N/A</v>
      </c>
      <c r="K22" s="51" t="str">
        <f t="shared" si="4"/>
        <v>#N/A</v>
      </c>
      <c r="L22" s="51" t="str">
        <f t="array" ref="L22">IFERROR(INDEX(AbrR!$A$1:$AP96,MATCH("Utilidad Bruta",AbrR!$A$1:$A96,0),MATCH($A22,AbrR!$A$6:AO$6,0),),"")</f>
        <v/>
      </c>
      <c r="M22" s="51" t="str">
        <f>VLOOKUP($A22,'Fijos y Variables'!$A$2:$B96,2,false)</f>
        <v>#N/A</v>
      </c>
      <c r="N22" s="51">
        <v>15000.0</v>
      </c>
      <c r="O22" s="51" t="str">
        <f t="array" ref="O22">IFERROR(INDEX(MayR!$A$1:$BK96,MATCH("Utilidad Bruta",MayR!$A$1:$A96,0),MATCH($A22,MayR!$A$6:AO$6,0),),"")</f>
        <v/>
      </c>
      <c r="P22" s="51" t="str">
        <f>VLOOKUP($A22,'Fijos y Variables'!$A$2:$B96,2,false)</f>
        <v>#N/A</v>
      </c>
      <c r="Q22" s="51" t="str">
        <f t="shared" si="6"/>
        <v>#N/A</v>
      </c>
      <c r="R22" s="51" t="str">
        <f t="array" ref="R22">IFERROR(INDEX(JunR!$A$1:$AP96,MATCH("Utilidad Bruta",JunR!$A$1:$A96,0),MATCH($A22,JunR!$A$6:AO$6,0),),"")</f>
        <v/>
      </c>
      <c r="S22" s="51" t="str">
        <f>VLOOKUP($A22,'Fijos y Variables'!$A$2:$B96,2,false)</f>
        <v>#N/A</v>
      </c>
      <c r="T22" s="51" t="str">
        <f t="shared" si="7"/>
        <v>#N/A</v>
      </c>
      <c r="U22" s="51" t="str">
        <f t="array" ref="U22">IFERROR(INDEX(JulR!$A$1:$AP96,MATCH("Utilidad Bruta",JulR!$A$1:$A96,0),MATCH($A22,JulR!$A$6:AO$6,0),),"")</f>
        <v/>
      </c>
      <c r="V22" s="51" t="str">
        <f>VLOOKUP($A22,'Fijos y Variables'!$A$2:$B96,2,false)</f>
        <v>#N/A</v>
      </c>
      <c r="W22" s="51" t="str">
        <f t="shared" si="8"/>
        <v>#N/A</v>
      </c>
      <c r="X22" s="51" t="str">
        <f t="array" ref="X22">IFERROR(INDEX(AgoR!$A$1:$AP96,MATCH("Utilidad Bruta",AgoR!$A$1:$A96,0),MATCH($A22,AgoR!$A$6:AO$6,0),),"")</f>
        <v/>
      </c>
      <c r="Y22" s="51" t="str">
        <f>VLOOKUP($A22,'Fijos y Variables'!$A$2:$B96,2,false)</f>
        <v>#N/A</v>
      </c>
      <c r="Z22" s="51" t="str">
        <f t="shared" si="9"/>
        <v>#N/A</v>
      </c>
      <c r="AA22" s="51" t="str">
        <f t="array" ref="AA22">IFERROR(INDEX(SepR!$A$1:$AV96,MATCH("Utilidad Bruta",SepR!$A$1:$A96,0),MATCH($A22,SepR!$A$6:AO$6,0),),"")</f>
        <v/>
      </c>
      <c r="AB22" s="51" t="str">
        <f>VLOOKUP($A22,'Fijos y Variables'!$A$2:$B96,2,false)</f>
        <v>#N/A</v>
      </c>
      <c r="AC22" s="51" t="str">
        <f t="shared" si="10"/>
        <v>#N/A</v>
      </c>
      <c r="AD22" s="51" t="str">
        <f t="array" ref="AD22">IFERROR(INDEX(OctR!$A$1:$AP96,MATCH("Utilidad Bruta",OctR!$A$1:$A96,0),MATCH($A22,OctR!$A$6:AO$6,0),),"")</f>
        <v/>
      </c>
      <c r="AE22" s="51" t="str">
        <f>VLOOKUP($A22,'Fijos y Variables'!$A$2:$B96,2,false)</f>
        <v>#N/A</v>
      </c>
      <c r="AF22" s="51" t="str">
        <f t="shared" si="11"/>
        <v>#N/A</v>
      </c>
      <c r="AG22" s="51" t="str">
        <f t="array" ref="AG22">IFERROR(INDEX(NovR!$A$1:$AP96,MATCH("Utilidad Bruta",NovR!$A$1:$A96,0),MATCH($A22,NovR!$A$6:AO$6,0),),"")</f>
        <v/>
      </c>
      <c r="AH22" s="51" t="str">
        <f>VLOOKUP($A22,'Fijos y Variables'!$A$2:$B96,2,false)</f>
        <v>#N/A</v>
      </c>
      <c r="AI22" s="51" t="str">
        <f t="shared" si="12"/>
        <v>#N/A</v>
      </c>
      <c r="AJ22" s="51" t="str">
        <f t="array" ref="AJ22">IFERROR(INDEX(DicR!$A$1:$AP96,MATCH("Utilidad Bruta",DicR!$A$1:$A96,0),MATCH($A22,DicR!$A$6:AO$6,0),),"")</f>
        <v/>
      </c>
      <c r="AK22" s="51" t="str">
        <f>VLOOKUP($A22,'Fijos y Variables'!$A$2:$B96,2,false)</f>
        <v>#N/A</v>
      </c>
      <c r="AL22" s="51" t="str">
        <f t="shared" si="13"/>
        <v>#N/A</v>
      </c>
      <c r="AM22" s="51"/>
      <c r="AN22" s="51"/>
      <c r="AO22" s="51"/>
    </row>
    <row r="23" ht="15.75" customHeight="1">
      <c r="A23" s="12"/>
      <c r="B23" s="51">
        <f t="shared" si="1"/>
        <v>450000</v>
      </c>
      <c r="C23" s="51" t="str">
        <f t="array" ref="C23">IFERROR(INDEX(EneR!$A$1:$AO96,MATCH("Utilidad Bruta",EneR!$A$1:$A96,0),MATCH($A23,EneR!$A$6:AO$6,0),),"")</f>
        <v/>
      </c>
      <c r="D23" s="51">
        <f>IF(C23&lt;=1000000, C23*30%, 1000000*30% + (C23-1000000)*25%)</f>
        <v>50000</v>
      </c>
      <c r="E23" s="51">
        <f t="shared" si="2"/>
        <v>-50000</v>
      </c>
      <c r="F23" s="51" t="str">
        <f t="array" ref="F23">IFERROR(INDEX(FebR!$A$1:$AP96,MATCH("Utilidad Bruta",FebR!$A$1:$A96,0),MATCH($A23,FebR!$A$6:AO$6,0),),"")</f>
        <v/>
      </c>
      <c r="G23" s="51">
        <f>IF(F23&lt;=1000000, F23*30%, 1000000*30% + (F23-1000000)*25%)</f>
        <v>50000</v>
      </c>
      <c r="H23" s="51">
        <f t="shared" si="3"/>
        <v>-50000</v>
      </c>
      <c r="I23" s="51" t="str">
        <f t="array" ref="I23">IFERROR(INDEX(MarR!$A$1:$AP96,MATCH("Utilidad Bruta",MarR!$A$1:$A96,0),MATCH($A23,MarR!$A$6:AO$6,0),),"")</f>
        <v/>
      </c>
      <c r="J23" s="51">
        <f>IF(I23&lt;=1000000, I23*30%, 1000000*30% + (I23-1000000)*25%)</f>
        <v>50000</v>
      </c>
      <c r="K23" s="51">
        <f t="shared" si="4"/>
        <v>-50000</v>
      </c>
      <c r="L23" s="51" t="str">
        <f t="array" ref="L23">IFERROR(INDEX(AbrR!$A$1:$AP96,MATCH("Utilidad Bruta",AbrR!$A$1:$A96,0),MATCH($A23,AbrR!$A$6:AO$6,0),),"")</f>
        <v/>
      </c>
      <c r="M23" s="51">
        <f t="shared" ref="M23:N23" si="27">IF(L23&lt;=1000000, L23*30%, 1000000*30% + (L23-1000000)*25%)</f>
        <v>50000</v>
      </c>
      <c r="N23" s="51">
        <f t="shared" si="27"/>
        <v>15000</v>
      </c>
      <c r="O23" s="51" t="str">
        <f t="array" ref="O23">IFERROR(INDEX(MayR!$A$1:$BK96,MATCH("Utilidad Bruta",MayR!$A$1:$A96,0),MATCH($A23,MayR!$A$6:AO$6,0),),"")</f>
        <v/>
      </c>
      <c r="P23" s="51">
        <f>IF(O23&lt;=1000000, O23*30%, 1000000*30% + (O23-1000000)*25%)</f>
        <v>50000</v>
      </c>
      <c r="Q23" s="51">
        <f t="shared" si="6"/>
        <v>-50000</v>
      </c>
      <c r="R23" s="51" t="str">
        <f t="array" ref="R23">IFERROR(INDEX(JunR!$A$1:$AP96,MATCH("Utilidad Bruta",JunR!$A$1:$A96,0),MATCH($A23,JunR!$A$6:AO$6,0),),"")</f>
        <v/>
      </c>
      <c r="S23" s="51">
        <f>IF(R23&lt;=1000000, R23*30%, 1000000*30% + (R23-1000000)*25%)</f>
        <v>50000</v>
      </c>
      <c r="T23" s="51">
        <f t="shared" si="7"/>
        <v>-50000</v>
      </c>
      <c r="U23" s="51" t="str">
        <f t="array" ref="U23">IFERROR(INDEX(JulR!$A$1:$AP96,MATCH("Utilidad Bruta",JulR!$A$1:$A96,0),MATCH($A23,JulR!$A$6:AO$6,0),),"")</f>
        <v/>
      </c>
      <c r="V23" s="51">
        <f>IF(U23&lt;=1000000, U23*30%, 1000000*30% + (U23-1000000)*25%)</f>
        <v>50000</v>
      </c>
      <c r="W23" s="51">
        <f t="shared" si="8"/>
        <v>-50000</v>
      </c>
      <c r="X23" s="51" t="str">
        <f t="array" ref="X23">IFERROR(INDEX(AgoR!$A$1:$AP96,MATCH("Utilidad Bruta",AgoR!$A$1:$A96,0),MATCH($A23,AgoR!$A$6:AO$6,0),),"")</f>
        <v/>
      </c>
      <c r="Y23" s="51">
        <f>IF(X23&lt;=1000000, X23*30%, 1000000*30% + (X23-1000000)*25%)</f>
        <v>50000</v>
      </c>
      <c r="Z23" s="51">
        <f t="shared" si="9"/>
        <v>-50000</v>
      </c>
      <c r="AA23" s="51" t="str">
        <f t="array" ref="AA23">IFERROR(INDEX(SepR!$A$1:$AV96,MATCH("Utilidad Bruta",SepR!$A$1:$A96,0),MATCH($A23,SepR!$A$6:AO$6,0),),"")</f>
        <v/>
      </c>
      <c r="AB23" s="51">
        <f>IF(AA23&lt;=1000000, AA23*30%, 1000000*30% + (AA23-1000000)*25%)</f>
        <v>50000</v>
      </c>
      <c r="AC23" s="51">
        <f t="shared" si="10"/>
        <v>-50000</v>
      </c>
      <c r="AD23" s="51" t="str">
        <f t="array" ref="AD23">IFERROR(INDEX(OctR!$A$1:$AP96,MATCH("Utilidad Bruta",OctR!$A$1:$A96,0),MATCH($A23,OctR!$A$6:AO$6,0),),"")</f>
        <v/>
      </c>
      <c r="AE23" s="51">
        <f>IF(AD23&lt;=1000000, AD23*30%, 1000000*30% + (AD23-1000000)*25%)</f>
        <v>50000</v>
      </c>
      <c r="AF23" s="51">
        <f t="shared" si="11"/>
        <v>-50000</v>
      </c>
      <c r="AG23" s="51" t="str">
        <f t="array" ref="AG23">IFERROR(INDEX(NovR!$A$1:$AP96,MATCH("Utilidad Bruta",NovR!$A$1:$A96,0),MATCH($A23,NovR!$A$6:AO$6,0),),"")</f>
        <v/>
      </c>
      <c r="AH23" s="51">
        <f>IF(AG23&lt;=1000000, AG23*30%, 1000000*30% + (AG23-1000000)*25%)</f>
        <v>50000</v>
      </c>
      <c r="AI23" s="51">
        <f t="shared" si="12"/>
        <v>-50000</v>
      </c>
      <c r="AJ23" s="51" t="str">
        <f t="array" ref="AJ23">IFERROR(INDEX(DicR!$A$1:$AP96,MATCH("Utilidad Bruta",DicR!$A$1:$A96,0),MATCH($A23,DicR!$A$6:AO$6,0),),"")</f>
        <v/>
      </c>
      <c r="AK23" s="51">
        <f>IF(AJ23&lt;=1000000, AJ23*30%, 1000000*30% + (AJ23-1000000)*25%)</f>
        <v>50000</v>
      </c>
      <c r="AL23" s="51">
        <f t="shared" si="13"/>
        <v>-50000</v>
      </c>
      <c r="AM23" s="51"/>
      <c r="AN23" s="51"/>
      <c r="AO23" s="51"/>
    </row>
    <row r="24" ht="15.75" customHeight="1">
      <c r="A24" s="12"/>
      <c r="B24" s="51" t="str">
        <f t="shared" si="1"/>
        <v/>
      </c>
      <c r="C24" s="51" t="str">
        <f t="array" ref="C24">IFERROR(INDEX(EneR!$A$1:$AO96,MATCH("Utilidad Bruta",EneR!$A$1:$A96,0),MATCH($A24,EneR!$A$6:AO$6,0),),"")</f>
        <v/>
      </c>
      <c r="D24" s="51">
        <f>IF(C24&gt;0, C24*9%, 0)
</f>
        <v>0</v>
      </c>
      <c r="E24" s="51">
        <f t="shared" si="2"/>
        <v>0</v>
      </c>
      <c r="F24" s="51" t="str">
        <f t="array" ref="F24">IFERROR(INDEX(FebR!$A$1:$AP96,MATCH("Utilidad Bruta",FebR!$A$1:$A96,0),MATCH($A24,FebR!$A$6:AO$6,0),),"")</f>
        <v/>
      </c>
      <c r="G24" s="51">
        <f>IF(F24&gt;0, F24*9%, 0)
</f>
        <v>0</v>
      </c>
      <c r="H24" s="51">
        <f t="shared" si="3"/>
        <v>0</v>
      </c>
      <c r="I24" s="51" t="str">
        <f t="array" ref="I24">IFERROR(INDEX(MarR!$A$1:$AP96,MATCH("Utilidad Bruta",MarR!$A$1:$A96,0),MATCH($A24,MarR!$A$6:AO$6,0),),"")</f>
        <v/>
      </c>
      <c r="J24" s="51">
        <f>IF(I24&gt;0, I24*9%, 0)
</f>
        <v>0</v>
      </c>
      <c r="K24" s="51">
        <f t="shared" si="4"/>
        <v>0</v>
      </c>
      <c r="L24" s="51" t="str">
        <f t="array" ref="L24">IFERROR(INDEX(AbrR!$A$1:$AP96,MATCH("Utilidad Bruta",AbrR!$A$1:$A96,0),MATCH($A24,AbrR!$A$6:AO$6,0),),"")</f>
        <v/>
      </c>
      <c r="M24" s="51">
        <f>IF(L24&gt;0, L24*9%, 0)
</f>
        <v>0</v>
      </c>
      <c r="N24" s="51">
        <f>M24*9%</f>
        <v>0</v>
      </c>
      <c r="O24" s="51" t="str">
        <f t="array" ref="O24">IFERROR(INDEX(MayR!$A$1:$BK96,MATCH("Utilidad Bruta",MayR!$A$1:$A96,0),MATCH($A24,MayR!$A$6:AO$6,0),),"")</f>
        <v/>
      </c>
      <c r="P24" s="51">
        <f>IF(O24&gt;0, O24*9%, 0)
</f>
        <v>0</v>
      </c>
      <c r="Q24" s="51">
        <f t="shared" si="6"/>
        <v>0</v>
      </c>
      <c r="R24" s="51" t="str">
        <f t="array" ref="R24">IFERROR(INDEX(JunR!$A$1:$AP96,MATCH("Utilidad Bruta",JunR!$A$1:$A96,0),MATCH($A24,JunR!$A$6:AO$6,0),),"")</f>
        <v/>
      </c>
      <c r="S24" s="51">
        <f>IF(R24&gt;0, R24*9%, 0)
</f>
        <v>0</v>
      </c>
      <c r="T24" s="51">
        <f t="shared" si="7"/>
        <v>0</v>
      </c>
      <c r="U24" s="51" t="str">
        <f t="array" ref="U24">IFERROR(INDEX(JulR!$A$1:$AP96,MATCH("Utilidad Bruta",JulR!$A$1:$A96,0),MATCH($A24,JulR!$A$6:AO$6,0),),"")</f>
        <v/>
      </c>
      <c r="V24" s="51">
        <f>IF(U24&gt;0, U24*9%, 0)
</f>
        <v>0</v>
      </c>
      <c r="W24" s="51">
        <f t="shared" si="8"/>
        <v>0</v>
      </c>
      <c r="X24" s="51" t="str">
        <f t="array" ref="X24">IFERROR(INDEX(AgoR!$A$1:$AP96,MATCH("Utilidad Bruta",AgoR!$A$1:$A96,0),MATCH($A24,AgoR!$A$6:AO$6,0),),"")</f>
        <v/>
      </c>
      <c r="Y24" s="51">
        <f>IF(X24&gt;0, X24*9%, 0)
</f>
        <v>0</v>
      </c>
      <c r="Z24" s="51">
        <f t="shared" si="9"/>
        <v>0</v>
      </c>
      <c r="AA24" s="51" t="str">
        <f t="array" ref="AA24">IFERROR(INDEX(SepR!$A$1:$AV96,MATCH("Utilidad Bruta",SepR!$A$1:$A96,0),MATCH($A24,SepR!$A$6:AO$6,0),),"")</f>
        <v/>
      </c>
      <c r="AB24" s="51">
        <f>IF(AA24&gt;0, AA24*9%, 0)
</f>
        <v>0</v>
      </c>
      <c r="AC24" s="51">
        <f t="shared" si="10"/>
        <v>0</v>
      </c>
      <c r="AD24" s="51" t="str">
        <f t="array" ref="AD24">IFERROR(INDEX(OctR!$A$1:$AP96,MATCH("Utilidad Bruta",OctR!$A$1:$A96,0),MATCH($A24,OctR!$A$6:AO$6,0),),"")</f>
        <v/>
      </c>
      <c r="AE24" s="51">
        <f>IF(AD24&gt;0, AD24*9%, 0)
</f>
        <v>0</v>
      </c>
      <c r="AF24" s="51">
        <f t="shared" si="11"/>
        <v>0</v>
      </c>
      <c r="AG24" s="51" t="str">
        <f t="array" ref="AG24">IFERROR(INDEX(NovR!$A$1:$AP96,MATCH("Utilidad Bruta",NovR!$A$1:$A96,0),MATCH($A24,NovR!$A$6:AO$6,0),),"")</f>
        <v/>
      </c>
      <c r="AH24" s="51">
        <f>IF(AG24&gt;0, AG24*9%, 0)
</f>
        <v>0</v>
      </c>
      <c r="AI24" s="51">
        <f t="shared" si="12"/>
        <v>0</v>
      </c>
      <c r="AJ24" s="51" t="str">
        <f t="array" ref="AJ24">IFERROR(INDEX(DicR!$A$1:$AP96,MATCH("Utilidad Bruta",DicR!$A$1:$A96,0),MATCH($A24,DicR!$A$6:AO$6,0),),"")</f>
        <v/>
      </c>
      <c r="AK24" s="51">
        <f>IF(AJ24&gt;0, AJ24*9%, 0)
</f>
        <v>0</v>
      </c>
      <c r="AL24" s="51">
        <f t="shared" si="13"/>
        <v>0</v>
      </c>
      <c r="AM24" s="51"/>
      <c r="AN24" s="51"/>
      <c r="AO24" s="51"/>
    </row>
    <row r="25" ht="15.75" customHeight="1">
      <c r="A25" s="12"/>
      <c r="B25" s="51" t="str">
        <f t="shared" si="1"/>
        <v/>
      </c>
      <c r="C25" s="51" t="str">
        <f t="array" ref="C25">IFERROR(INDEX(EneR!$A$1:$AO96,MATCH("Utilidad Bruta",EneR!$A$1:$A96,0),MATCH($A25,EneR!$A$6:AO$6,0),),"")</f>
        <v/>
      </c>
      <c r="D25" s="51"/>
      <c r="E25" s="51">
        <f t="shared" si="2"/>
        <v>0</v>
      </c>
      <c r="F25" s="51" t="str">
        <f t="array" ref="F25">IFERROR(INDEX(FebR!$A$1:$AP96,MATCH("Utilidad Bruta",FebR!$A$1:$A96,0),MATCH($A25,FebR!$A$6:AO$6,0),),"")</f>
        <v/>
      </c>
      <c r="G25" s="51"/>
      <c r="H25" s="51">
        <f t="shared" si="3"/>
        <v>0</v>
      </c>
      <c r="I25" s="51" t="str">
        <f t="array" ref="I25">IFERROR(INDEX(MarR!$A$1:$AP96,MATCH("Utilidad Bruta",MarR!$A$1:$A96,0),MATCH($A25,MarR!$A$6:AO$6,0),),"")</f>
        <v/>
      </c>
      <c r="J25" s="51"/>
      <c r="K25" s="51">
        <f t="shared" si="4"/>
        <v>0</v>
      </c>
      <c r="L25" s="51" t="str">
        <f t="array" ref="L25">IFERROR(INDEX(AbrR!$A$1:$AP96,MATCH("Utilidad Bruta",AbrR!$A$1:$A96,0),MATCH($A25,AbrR!$A$6:AO$6,0),),"")</f>
        <v/>
      </c>
      <c r="M25" s="51"/>
      <c r="N25" s="51" t="str">
        <f>M25</f>
        <v/>
      </c>
      <c r="O25" s="51" t="str">
        <f t="array" ref="O25">IFERROR(INDEX(MayR!$A$1:$BK96,MATCH("Utilidad Bruta",MayR!$A$1:$A96,0),MATCH($A25,MayR!$A$6:AO$6,0),),"")</f>
        <v/>
      </c>
      <c r="P25" s="51"/>
      <c r="Q25" s="51">
        <f t="shared" si="6"/>
        <v>0</v>
      </c>
      <c r="R25" s="51" t="str">
        <f t="array" ref="R25">IFERROR(INDEX(JunR!$A$1:$AP96,MATCH("Utilidad Bruta",JunR!$A$1:$A96,0),MATCH($A25,JunR!$A$6:AO$6,0),),"")</f>
        <v/>
      </c>
      <c r="S25" s="51"/>
      <c r="T25" s="51">
        <f t="shared" si="7"/>
        <v>0</v>
      </c>
      <c r="U25" s="51" t="str">
        <f t="array" ref="U25">IFERROR(INDEX(JulR!$A$1:$AP96,MATCH("Utilidad Bruta",JulR!$A$1:$A96,0),MATCH($A25,JulR!$A$6:AO$6,0),),"")</f>
        <v/>
      </c>
      <c r="V25" s="51" t="str">
        <f>VLOOKUP($A25,'Fijos y Variables'!$A$2:$B96,2,false)</f>
        <v>#N/A</v>
      </c>
      <c r="W25" s="51" t="str">
        <f t="shared" si="8"/>
        <v>#N/A</v>
      </c>
      <c r="X25" s="51" t="str">
        <f t="array" ref="X25">IFERROR(INDEX(AgoR!$A$1:$AP96,MATCH("Utilidad Bruta",AgoR!$A$1:$A96,0),MATCH($A25,AgoR!$A$6:AO$6,0),),"")</f>
        <v/>
      </c>
      <c r="Y25" s="51" t="str">
        <f>VLOOKUP($A25,'Fijos y Variables'!$A$2:$B96,2,false)</f>
        <v>#N/A</v>
      </c>
      <c r="Z25" s="51" t="str">
        <f t="shared" si="9"/>
        <v>#N/A</v>
      </c>
      <c r="AA25" s="51" t="str">
        <f t="array" ref="AA25">IFERROR(INDEX(SepR!$A$1:$AV96,MATCH("Utilidad Bruta",SepR!$A$1:$A96,0),MATCH($A25,SepR!$A$6:AO$6,0),),"")</f>
        <v/>
      </c>
      <c r="AB25" s="51" t="str">
        <f>VLOOKUP($A25,'Fijos y Variables'!$A$2:$B96,2,false)</f>
        <v>#N/A</v>
      </c>
      <c r="AC25" s="51" t="str">
        <f t="shared" si="10"/>
        <v>#N/A</v>
      </c>
      <c r="AD25" s="51" t="str">
        <f t="array" ref="AD25">IFERROR(INDEX(OctR!$A$1:$AP96,MATCH("Utilidad Bruta",OctR!$A$1:$A96,0),MATCH($A25,OctR!$A$6:AO$6,0),),"")</f>
        <v/>
      </c>
      <c r="AE25" s="51" t="str">
        <f>VLOOKUP($A25,'Fijos y Variables'!$A$2:$B96,2,false)</f>
        <v>#N/A</v>
      </c>
      <c r="AF25" s="51" t="str">
        <f t="shared" si="11"/>
        <v>#N/A</v>
      </c>
      <c r="AG25" s="51" t="str">
        <f t="array" ref="AG25">IFERROR(INDEX(NovR!$A$1:$AP96,MATCH("Utilidad Bruta",NovR!$A$1:$A96,0),MATCH($A25,NovR!$A$6:AO$6,0),),"")</f>
        <v/>
      </c>
      <c r="AH25" s="51" t="str">
        <f>VLOOKUP($A25,'Fijos y Variables'!$A$2:$B96,2,false)</f>
        <v>#N/A</v>
      </c>
      <c r="AI25" s="51" t="str">
        <f t="shared" si="12"/>
        <v>#N/A</v>
      </c>
      <c r="AJ25" s="51" t="str">
        <f t="array" ref="AJ25">IFERROR(INDEX(DicR!$A$1:$AP96,MATCH("Utilidad Bruta",DicR!$A$1:$A96,0),MATCH($A25,DicR!$A$6:AO$6,0),),"")</f>
        <v/>
      </c>
      <c r="AK25" s="51" t="str">
        <f>VLOOKUP($A25,'Fijos y Variables'!$A$2:$B96,2,false)</f>
        <v>#N/A</v>
      </c>
      <c r="AL25" s="51" t="str">
        <f t="shared" si="13"/>
        <v>#N/A</v>
      </c>
      <c r="AM25" s="51"/>
      <c r="AN25" s="51"/>
      <c r="AO25" s="51"/>
    </row>
    <row r="26" ht="15.75" customHeight="1">
      <c r="A26" s="12"/>
      <c r="B26" s="51" t="str">
        <f t="shared" si="1"/>
        <v/>
      </c>
      <c r="C26" s="51" t="str">
        <f t="array" ref="C26">IFERROR(INDEX(EneR!$A$1:$AO96,MATCH("Utilidad Bruta",EneR!$A$1:$A96,0),MATCH($A26,EneR!$A$6:AO$6,0),),"")</f>
        <v/>
      </c>
      <c r="D26" s="51" t="str">
        <f>C26</f>
        <v/>
      </c>
      <c r="E26" s="51">
        <f t="shared" si="2"/>
        <v>0</v>
      </c>
      <c r="F26" s="51" t="str">
        <f t="array" ref="F26">IFERROR(INDEX(FebR!$A$1:$AP96,MATCH("Utilidad Bruta",FebR!$A$1:$A96,0),MATCH($A26,FebR!$A$6:AO$6,0),),"")</f>
        <v/>
      </c>
      <c r="G26" s="51" t="str">
        <f>F26</f>
        <v/>
      </c>
      <c r="H26" s="51">
        <f t="shared" si="3"/>
        <v>0</v>
      </c>
      <c r="I26" s="51" t="str">
        <f t="array" ref="I26">IFERROR(INDEX(MarR!$A$1:$AP96,MATCH("Utilidad Bruta",MarR!$A$1:$A96,0),MATCH($A26,MarR!$A$6:AO$6,0),),"")</f>
        <v/>
      </c>
      <c r="J26" s="51" t="str">
        <f>I26</f>
        <v/>
      </c>
      <c r="K26" s="51">
        <f t="shared" si="4"/>
        <v>0</v>
      </c>
      <c r="L26" s="51" t="str">
        <f t="array" ref="L26">IFERROR(INDEX(AbrR!$A$1:$AP96,MATCH("Utilidad Bruta",AbrR!$A$1:$A96,0),MATCH($A26,AbrR!$A$6:AO$6,0),),"")</f>
        <v/>
      </c>
      <c r="M26" s="51" t="str">
        <f t="shared" ref="M26:N26" si="28">L26</f>
        <v/>
      </c>
      <c r="N26" s="51" t="str">
        <f t="shared" si="28"/>
        <v/>
      </c>
      <c r="O26" s="51" t="str">
        <f t="array" ref="O26">IFERROR(INDEX(MayR!$A$1:$BK96,MATCH("Utilidad Bruta",MayR!$A$1:$A96,0),MATCH($A26,MayR!$A$6:AO$6,0),),"")</f>
        <v/>
      </c>
      <c r="P26" s="51" t="str">
        <f>O26</f>
        <v/>
      </c>
      <c r="Q26" s="51">
        <f t="shared" si="6"/>
        <v>0</v>
      </c>
      <c r="R26" s="51" t="str">
        <f t="array" ref="R26">IFERROR(INDEX(JunR!$A$1:$AP96,MATCH("Utilidad Bruta",JunR!$A$1:$A96,0),MATCH($A26,JunR!$A$6:AO$6,0),),"")</f>
        <v/>
      </c>
      <c r="S26" s="51" t="str">
        <f>R26</f>
        <v/>
      </c>
      <c r="T26" s="51">
        <f t="shared" si="7"/>
        <v>0</v>
      </c>
      <c r="U26" s="51" t="str">
        <f t="array" ref="U26">IFERROR(INDEX(JulR!$A$1:$AP96,MATCH("Utilidad Bruta",JulR!$A$1:$A96,0),MATCH($A26,JulR!$A$6:AO$6,0),),"")</f>
        <v/>
      </c>
      <c r="V26" s="51" t="str">
        <f>U26</f>
        <v/>
      </c>
      <c r="W26" s="51">
        <f t="shared" si="8"/>
        <v>0</v>
      </c>
      <c r="X26" s="51" t="str">
        <f t="array" ref="X26">IFERROR(INDEX(AgoR!$A$1:$AP96,MATCH("Utilidad Bruta",AgoR!$A$1:$A96,0),MATCH($A26,AgoR!$A$6:AO$6,0),),"")</f>
        <v/>
      </c>
      <c r="Y26" s="51" t="str">
        <f>X26</f>
        <v/>
      </c>
      <c r="Z26" s="51">
        <f t="shared" si="9"/>
        <v>0</v>
      </c>
      <c r="AA26" s="51" t="str">
        <f t="array" ref="AA26">IFERROR(INDEX(SepR!$A$1:$AV96,MATCH("Utilidad Bruta",SepR!$A$1:$A96,0),MATCH($A26,SepR!$A$6:AO$6,0),),"")</f>
        <v/>
      </c>
      <c r="AB26" s="51" t="str">
        <f>AA26</f>
        <v/>
      </c>
      <c r="AC26" s="51">
        <f t="shared" si="10"/>
        <v>0</v>
      </c>
      <c r="AD26" s="51" t="str">
        <f t="array" ref="AD26">IFERROR(INDEX(OctR!$A$1:$AP96,MATCH("Utilidad Bruta",OctR!$A$1:$A96,0),MATCH($A26,OctR!$A$6:AO$6,0),),"")</f>
        <v/>
      </c>
      <c r="AE26" s="51" t="str">
        <f>AD26</f>
        <v/>
      </c>
      <c r="AF26" s="51">
        <f t="shared" si="11"/>
        <v>0</v>
      </c>
      <c r="AG26" s="51" t="str">
        <f t="array" ref="AG26">IFERROR(INDEX(NovR!$A$1:$AP96,MATCH("Utilidad Bruta",NovR!$A$1:$A96,0),MATCH($A26,NovR!$A$6:AO$6,0),),"")</f>
        <v/>
      </c>
      <c r="AH26" s="51" t="str">
        <f>AG26</f>
        <v/>
      </c>
      <c r="AI26" s="51">
        <f t="shared" si="12"/>
        <v>0</v>
      </c>
      <c r="AJ26" s="51" t="str">
        <f t="array" ref="AJ26">IFERROR(INDEX(DicR!$A$1:$AP96,MATCH("Utilidad Bruta",DicR!$A$1:$A96,0),MATCH($A26,DicR!$A$6:AO$6,0),),"")</f>
        <v/>
      </c>
      <c r="AK26" s="51" t="str">
        <f>AJ26</f>
        <v/>
      </c>
      <c r="AL26" s="51">
        <f t="shared" si="13"/>
        <v>0</v>
      </c>
      <c r="AM26" s="51"/>
      <c r="AN26" s="51"/>
      <c r="AO26" s="51"/>
    </row>
    <row r="27" ht="15.75" customHeight="1">
      <c r="A27" s="12"/>
      <c r="B27" s="51" t="str">
        <f t="shared" si="1"/>
        <v/>
      </c>
      <c r="C27" s="51" t="str">
        <f t="array" ref="C27">IFERROR(INDEX(EneR!$A$1:$AO96,MATCH("Utilidad Bruta",EneR!$A$1:$A96,0),MATCH($A27,EneR!$A$6:AO$6,0),),"")</f>
        <v/>
      </c>
      <c r="D27" s="51"/>
      <c r="E27" s="51"/>
      <c r="F27" s="51" t="str">
        <f t="array" ref="F27">IFERROR(INDEX(FebR!$A$1:$AP96,MATCH("Utilidad Bruta",FebR!$A$1:$A96,0),MATCH($A27,FebR!$A$6:AO$6,0),),"")</f>
        <v/>
      </c>
      <c r="G27" s="51"/>
      <c r="H27" s="51"/>
      <c r="I27" s="51" t="str">
        <f t="array" ref="I27">IFERROR(INDEX(MarR!$A$1:$AP96,MATCH("Utilidad Bruta",MarR!$A$1:$A96,0),MATCH($A27,MarR!$A$6:AO$6,0),),"")</f>
        <v/>
      </c>
      <c r="J27" s="51"/>
      <c r="K27" s="51"/>
      <c r="L27" s="51" t="str">
        <f t="array" ref="L27">IFERROR(INDEX(AbrR!$A$1:$AP96,MATCH("Utilidad Bruta",AbrR!$A$1:$A96,0),MATCH($A27,AbrR!$A$6:AO$6,0),),"")</f>
        <v/>
      </c>
      <c r="M27" s="51"/>
      <c r="N27" s="51"/>
      <c r="O27" s="51" t="str">
        <f t="array" ref="O27">IFERROR(INDEX(MayR!$A$1:$BK96,MATCH("Utilidad Bruta",MayR!$A$1:$A96,0),MATCH($A27,MayR!$A$6:AO$6,0),),"")</f>
        <v/>
      </c>
      <c r="P27" s="51"/>
      <c r="Q27" s="51"/>
      <c r="R27" s="51" t="str">
        <f t="array" ref="R27">IFERROR(INDEX(JunR!$A$1:$AP96,MATCH("Utilidad Bruta",JunR!$A$1:$A96,0),MATCH($A27,JunR!$A$6:AO$6,0),),"")</f>
        <v/>
      </c>
      <c r="S27" s="51"/>
      <c r="T27" s="51"/>
      <c r="U27" s="51" t="str">
        <f t="array" ref="U27">IFERROR(INDEX(JulR!$A$1:$AP96,MATCH("Utilidad Bruta",JulR!$A$1:$A96,0),MATCH($A27,JulR!$A$6:AO$6,0),),"")</f>
        <v/>
      </c>
      <c r="V27" s="51"/>
      <c r="W27" s="51"/>
      <c r="X27" s="51" t="str">
        <f t="array" ref="X27">IFERROR(INDEX(AgoR!$A$1:$AP96,MATCH("Utilidad Bruta",AgoR!$A$1:$A96,0),MATCH($A27,AgoR!$A$6:AO$6,0),),"")</f>
        <v/>
      </c>
      <c r="Y27" s="51"/>
      <c r="Z27" s="51"/>
      <c r="AA27" s="51" t="str">
        <f t="array" ref="AA27">IFERROR(INDEX(SepR!$A$1:$AV96,MATCH("Utilidad Bruta",SepR!$A$1:$A96,0),MATCH($A27,SepR!$A$6:AO$6,0),),"")</f>
        <v/>
      </c>
      <c r="AB27" s="51"/>
      <c r="AC27" s="51"/>
      <c r="AD27" s="51" t="str">
        <f t="array" ref="AD27">IFERROR(INDEX(OctR!$A$1:$AP96,MATCH("Utilidad Bruta",OctR!$A$1:$A96,0),MATCH($A27,OctR!$A$6:AO$6,0),),"")</f>
        <v/>
      </c>
      <c r="AE27" s="51"/>
      <c r="AF27" s="51"/>
      <c r="AG27" s="51" t="str">
        <f t="array" ref="AG27">IFERROR(INDEX(NovR!$A$1:$AP96,MATCH("Utilidad Bruta",NovR!$A$1:$A96,0),MATCH($A27,NovR!$A$6:AO$6,0),),"")</f>
        <v/>
      </c>
      <c r="AH27" s="51"/>
      <c r="AI27" s="51"/>
      <c r="AJ27" s="51" t="str">
        <f t="array" ref="AJ27">IFERROR(INDEX(DicR!$A$1:$AP96,MATCH("Utilidad Bruta",DicR!$A$1:$A96,0),MATCH($A27,DicR!$A$6:AO$6,0),),"")</f>
        <v/>
      </c>
      <c r="AK27" s="51"/>
      <c r="AL27" s="51"/>
      <c r="AM27" s="51"/>
      <c r="AN27" s="51"/>
      <c r="AO27" s="51"/>
    </row>
    <row r="28" ht="15.75" customHeight="1">
      <c r="A28" s="12"/>
      <c r="B28" s="51" t="str">
        <f t="shared" si="1"/>
        <v/>
      </c>
      <c r="C28" s="51" t="str">
        <f t="array" ref="C28">IFERROR(INDEX(EneR!$A$1:$AO96,MATCH("Utilidad Bruta",EneR!$A$1:$A96,0),MATCH($A28,EneR!$A$6:AO$6,0),),"")</f>
        <v/>
      </c>
      <c r="F28" s="51" t="str">
        <f t="array" ref="F28">IFERROR(INDEX(FebR!$A$1:$AP96,MATCH("Utilidad Bruta",FebR!$A$1:$A96,0),MATCH($A28,FebR!$A$6:AO$6,0),),"")</f>
        <v/>
      </c>
      <c r="I28" s="51" t="str">
        <f t="array" ref="I28">IFERROR(INDEX(MarR!$A$1:$AP96,MATCH("Utilidad Bruta",MarR!$A$1:$A96,0),MATCH($A28,MarR!$A$6:AO$6,0),),"")</f>
        <v/>
      </c>
      <c r="L28" s="51" t="str">
        <f t="array" ref="L28">IFERROR(INDEX(AbrR!$A$1:$AP96,MATCH("Utilidad Bruta",AbrR!$A$1:$A96,0),MATCH($A28,AbrR!$A$6:AO$6,0),),"")</f>
        <v/>
      </c>
      <c r="O28" s="51" t="str">
        <f t="array" ref="O28">IFERROR(INDEX(MayR!$A$1:$BK96,MATCH("Utilidad Bruta",MayR!$A$1:$A96,0),MATCH($A28,MayR!$A$6:AO$6,0),),"")</f>
        <v/>
      </c>
      <c r="R28" s="51" t="str">
        <f t="array" ref="R28">IFERROR(INDEX(JunR!$A$1:$AP96,MATCH("Utilidad Bruta",JunR!$A$1:$A96,0),MATCH($A28,JunR!$A$6:AO$6,0),),"")</f>
        <v/>
      </c>
      <c r="U28" s="51" t="str">
        <f t="array" ref="U28">IFERROR(INDEX(JulR!$A$1:$AP96,MATCH("Utilidad Bruta",JulR!$A$1:$A96,0),MATCH($A28,JulR!$A$6:AO$6,0),),"")</f>
        <v/>
      </c>
      <c r="X28" s="51" t="str">
        <f t="array" ref="X28">IFERROR(INDEX(AgoR!$A$1:$AP96,MATCH("Utilidad Bruta",AgoR!$A$1:$A96,0),MATCH($A28,AgoR!$A$6:AO$6,0),),"")</f>
        <v/>
      </c>
      <c r="AA28" s="51" t="str">
        <f t="array" ref="AA28">IFERROR(INDEX(SepR!$A$1:$AV96,MATCH("Utilidad Bruta",SepR!$A$1:$A96,0),MATCH($A28,SepR!$A$6:AO$6,0),),"")</f>
        <v/>
      </c>
      <c r="AD28" s="51" t="str">
        <f t="array" ref="AD28">IFERROR(INDEX(OctR!$A$1:$AP96,MATCH("Utilidad Bruta",OctR!$A$1:$A96,0),MATCH($A28,OctR!$A$6:AO$6,0),),"")</f>
        <v/>
      </c>
      <c r="AG28" s="51" t="str">
        <f t="array" ref="AG28">IFERROR(INDEX(NovR!$A$1:$AP96,MATCH("Utilidad Bruta",NovR!$A$1:$A96,0),MATCH($A28,NovR!$A$6:AO$6,0),),"")</f>
        <v/>
      </c>
      <c r="AJ28" s="51" t="str">
        <f t="array" ref="AJ28">IFERROR(INDEX(DicR!$A$1:$AP96,MATCH("Utilidad Bruta",DicR!$A$1:$A96,0),MATCH($A28,DicR!$A$6:AO$6,0),),"")</f>
        <v/>
      </c>
    </row>
    <row r="29" ht="15.75" customHeight="1">
      <c r="A29" s="12"/>
      <c r="B29" s="51" t="str">
        <f t="shared" si="1"/>
        <v/>
      </c>
      <c r="C29" s="51" t="str">
        <f t="array" ref="C29">IFERROR(INDEX(EneR!$A$1:$AO96,MATCH("Utilidad Bruta",EneR!$A$1:$A96,0),MATCH($A29,EneR!$A$6:AO$6,0),),"")</f>
        <v/>
      </c>
      <c r="E29" s="51"/>
      <c r="F29" s="51" t="str">
        <f t="array" ref="F29">IFERROR(INDEX(FebR!$A$1:$AP96,MATCH("Utilidad Bruta",FebR!$A$1:$A96,0),MATCH($A29,FebR!$A$6:AO$6,0),),"")</f>
        <v/>
      </c>
      <c r="I29" s="51" t="str">
        <f t="array" ref="I29">IFERROR(INDEX(MarR!$A$1:$AP96,MATCH("Utilidad Bruta",MarR!$A$1:$A96,0),MATCH($A29,MarR!$A$6:AO$6,0),),"")</f>
        <v/>
      </c>
      <c r="L29" s="51" t="str">
        <f t="array" ref="L29">IFERROR(INDEX(AbrR!$A$1:$AP96,MATCH("Utilidad Bruta",AbrR!$A$1:$A96,0),MATCH($A29,AbrR!$A$6:AO$6,0),),"")</f>
        <v/>
      </c>
      <c r="O29" s="51" t="str">
        <f t="array" ref="O29">IFERROR(INDEX(MayR!$A$1:$BK96,MATCH("Utilidad Bruta",MayR!$A$1:$A96,0),MATCH($A29,MayR!$A$6:AO$6,0),),"")</f>
        <v/>
      </c>
      <c r="R29" s="51" t="str">
        <f t="array" ref="R29">IFERROR(INDEX(JunR!$A$1:$AP96,MATCH("Utilidad Bruta",JunR!$A$1:$A96,0),MATCH($A29,JunR!$A$6:AO$6,0),),"")</f>
        <v/>
      </c>
      <c r="U29" s="51" t="str">
        <f t="array" ref="U29">IFERROR(INDEX(JulR!$A$1:$AP96,MATCH("Utilidad Bruta",JulR!$A$1:$A96,0),MATCH($A29,JulR!$A$6:AO$6,0),),"")</f>
        <v/>
      </c>
      <c r="X29" s="51" t="str">
        <f t="array" ref="X29">IFERROR(INDEX(AgoR!$A$1:$AP96,MATCH("Utilidad Bruta",AgoR!$A$1:$A96,0),MATCH($A29,AgoR!$A$6:AO$6,0),),"")</f>
        <v/>
      </c>
      <c r="AA29" s="51" t="str">
        <f t="array" ref="AA29">IFERROR(INDEX(SepR!$A$1:$AV96,MATCH("Utilidad Bruta",SepR!$A$1:$A96,0),MATCH($A29,SepR!$A$6:AO$6,0),),"")</f>
        <v/>
      </c>
      <c r="AD29" s="51" t="str">
        <f t="array" ref="AD29">IFERROR(INDEX(OctR!$A$1:$AP96,MATCH("Utilidad Bruta",OctR!$A$1:$A96,0),MATCH($A29,OctR!$A$6:AO$6,0),),"")</f>
        <v/>
      </c>
      <c r="AG29" s="51" t="str">
        <f t="array" ref="AG29">IFERROR(INDEX(NovR!$A$1:$AP96,MATCH("Utilidad Bruta",NovR!$A$1:$A96,0),MATCH($A29,NovR!$A$6:AO$6,0),),"")</f>
        <v/>
      </c>
      <c r="AJ29" s="51" t="str">
        <f t="array" ref="AJ29">IFERROR(INDEX(DicR!$A$1:$AP96,MATCH("Utilidad Bruta",DicR!$A$1:$A96,0),MATCH($A29,DicR!$A$6:AO$6,0),),"")</f>
        <v/>
      </c>
    </row>
    <row r="30" ht="15.75" customHeight="1">
      <c r="A30" s="12"/>
      <c r="B30" s="51" t="str">
        <f t="shared" si="1"/>
        <v/>
      </c>
      <c r="C30" s="51" t="str">
        <f t="array" ref="C30">IFERROR(INDEX(EneR!$A$1:$AO96,MATCH("Utilidad Bruta",EneR!$A$1:$A96,0),MATCH($A30,EneR!$A$6:AO$6,0),),"")</f>
        <v/>
      </c>
      <c r="D30" s="51"/>
      <c r="E30" s="51"/>
      <c r="F30" s="51" t="str">
        <f t="array" ref="F30">IFERROR(INDEX(FebR!$A$1:$AP96,MATCH("Utilidad Bruta",FebR!$A$1:$A96,0),MATCH($A30,FebR!$A$6:AO$6,0),),"")</f>
        <v/>
      </c>
      <c r="I30" s="51" t="str">
        <f t="array" ref="I30">IFERROR(INDEX(MarR!$A$1:$AP96,MATCH("Utilidad Bruta",MarR!$A$1:$A96,0),MATCH($A30,MarR!$A$6:AO$6,0),),"")</f>
        <v/>
      </c>
      <c r="L30" s="51" t="str">
        <f t="array" ref="L30">IFERROR(INDEX(AbrR!$A$1:$AP96,MATCH("Utilidad Bruta",AbrR!$A$1:$A96,0),MATCH($A30,AbrR!$A$6:AO$6,0),),"")</f>
        <v/>
      </c>
      <c r="O30" s="51" t="str">
        <f t="array" ref="O30">IFERROR(INDEX(MayR!$A$1:$BK96,MATCH("Utilidad Bruta",MayR!$A$1:$A96,0),MATCH($A30,MayR!$A$6:AO$6,0),),"")</f>
        <v/>
      </c>
      <c r="R30" s="51" t="str">
        <f t="array" ref="R30">IFERROR(INDEX(JunR!$A$1:$AP96,MATCH("Utilidad Bruta",JunR!$A$1:$A96,0),MATCH($A30,JunR!$A$6:AO$6,0),),"")</f>
        <v/>
      </c>
      <c r="U30" s="51" t="str">
        <f t="array" ref="U30">IFERROR(INDEX(JulR!$A$1:$AP96,MATCH("Utilidad Bruta",JulR!$A$1:$A96,0),MATCH($A30,JulR!$A$6:AO$6,0),),"")</f>
        <v/>
      </c>
      <c r="X30" s="51" t="str">
        <f t="array" ref="X30">IFERROR(INDEX(AgoR!$A$1:$AP96,MATCH("Utilidad Bruta",AgoR!$A$1:$A96,0),MATCH($A30,AgoR!$A$6:AO$6,0),),"")</f>
        <v/>
      </c>
      <c r="AA30" s="51" t="str">
        <f t="array" ref="AA30">IFERROR(INDEX(SepR!$A$1:$AV96,MATCH("Utilidad Bruta",SepR!$A$1:$A96,0),MATCH($A30,SepR!$A$6:AO$6,0),),"")</f>
        <v/>
      </c>
      <c r="AD30" s="51" t="str">
        <f t="array" ref="AD30">IFERROR(INDEX(OctR!$A$1:$AP96,MATCH("Utilidad Bruta",OctR!$A$1:$A96,0),MATCH($A30,OctR!$A$6:AO$6,0),),"")</f>
        <v/>
      </c>
      <c r="AG30" s="51" t="str">
        <f t="array" ref="AG30">IFERROR(INDEX(NovR!$A$1:$AP96,MATCH("Utilidad Bruta",NovR!$A$1:$A96,0),MATCH($A30,NovR!$A$6:AO$6,0),),"")</f>
        <v/>
      </c>
      <c r="AJ30" s="51" t="str">
        <f t="array" ref="AJ30">IFERROR(INDEX(DicR!$A$1:$AP96,MATCH("Utilidad Bruta",DicR!$A$1:$A96,0),MATCH($A30,DicR!$A$6:AO$6,0),),"")</f>
        <v/>
      </c>
    </row>
    <row r="31" ht="15.75" customHeight="1">
      <c r="A31" s="12"/>
      <c r="B31" s="51" t="str">
        <f t="shared" si="1"/>
        <v/>
      </c>
      <c r="F31" s="51" t="str">
        <f t="array" ref="F31">IFERROR(INDEX(FebR!$A$1:$AP96,MATCH("Utilidad Bruta",FebR!$A$1:$A96,0),MATCH($A31,FebR!$A$6:AO$6,0),),"")</f>
        <v/>
      </c>
      <c r="I31" s="51" t="str">
        <f t="array" ref="I31">IFERROR(INDEX(MarR!$A$1:$AP96,MATCH("Utilidad Bruta",MarR!$A$1:$A96,0),MATCH($A31,MarR!$A$6:AO$6,0),),"")</f>
        <v/>
      </c>
      <c r="L31" s="51" t="str">
        <f t="array" ref="L31">IFERROR(INDEX(AbrR!$A$1:$AP96,MATCH("Utilidad Bruta",AbrR!$A$1:$A96,0),MATCH($A31,AbrR!$A$6:AO$6,0),),"")</f>
        <v/>
      </c>
      <c r="O31" s="51" t="str">
        <f t="array" ref="O31">IFERROR(INDEX(MayR!$A$1:$BK96,MATCH("Utilidad Bruta",MayR!$A$1:$A96,0),MATCH($A31,MayR!$A$6:AO$6,0),),"")</f>
        <v/>
      </c>
      <c r="R31" s="51" t="str">
        <f t="array" ref="R31">IFERROR(INDEX(JunR!$A$1:$AP96,MATCH("Utilidad Bruta",JunR!$A$1:$A96,0),MATCH($A31,JunR!$A$6:AO$6,0),),"")</f>
        <v/>
      </c>
      <c r="U31" s="51" t="str">
        <f t="array" ref="U31">IFERROR(INDEX(JulR!$A$1:$AP96,MATCH("Utilidad Bruta",JulR!$A$1:$A96,0),MATCH($A31,JulR!$A$6:AO$6,0),),"")</f>
        <v/>
      </c>
      <c r="X31" s="51" t="str">
        <f t="array" ref="X31">IFERROR(INDEX(AgoR!$A$1:$AP96,MATCH("Utilidad Bruta",AgoR!$A$1:$A96,0),MATCH($A31,AgoR!$A$6:AO$6,0),),"")</f>
        <v/>
      </c>
      <c r="AA31" s="51" t="str">
        <f t="array" ref="AA31">IFERROR(INDEX(SepR!$A$1:$AV96,MATCH("Utilidad Bruta",SepR!$A$1:$A96,0),MATCH($A31,SepR!$A$6:AO$6,0),),"")</f>
        <v/>
      </c>
      <c r="AD31" s="51" t="str">
        <f t="array" ref="AD31">IFERROR(INDEX(OctR!$A$1:$AP96,MATCH("Utilidad Bruta",OctR!$A$1:$A96,0),MATCH($A31,OctR!$A$6:AO$6,0),),"")</f>
        <v/>
      </c>
      <c r="AG31" s="51" t="str">
        <f t="array" ref="AG31">IFERROR(INDEX(NovR!$A$1:$AP96,MATCH("Utilidad Bruta",NovR!$A$1:$A96,0),MATCH($A31,NovR!$A$6:AO$6,0),),"")</f>
        <v/>
      </c>
      <c r="AJ31" s="51" t="str">
        <f t="array" ref="AJ31">IFERROR(INDEX(DicR!$A$1:$AP96,MATCH("Utilidad Bruta",DicR!$A$1:$A96,0),MATCH($A31,DicR!$A$6:AO$6,0),),"")</f>
        <v/>
      </c>
    </row>
    <row r="32" ht="15.75" customHeight="1">
      <c r="A32" s="12"/>
      <c r="B32" s="51" t="str">
        <f t="shared" si="1"/>
        <v/>
      </c>
      <c r="C32" s="51" t="str">
        <f t="array" ref="C32">IFERROR(INDEX(EneR!$A$1:$AO96,MATCH("Utilidad Bruta",EneR!$A$1:$A96,0),MATCH($A32,EneR!$A$6:AO$6,0),),"")</f>
        <v/>
      </c>
      <c r="F32" s="51" t="str">
        <f t="array" ref="F32">IFERROR(INDEX(FebR!$A$1:$AP96,MATCH("Utilidad Bruta",FebR!$A$1:$A96,0),MATCH($A32,FebR!$A$6:AO$6,0),),"")</f>
        <v/>
      </c>
      <c r="I32" s="51" t="str">
        <f t="array" ref="I32">IFERROR(INDEX(MarR!$A$1:$AP96,MATCH("Utilidad Bruta",MarR!$A$1:$A96,0),MATCH($A32,MarR!$A$6:AO$6,0),),"")</f>
        <v/>
      </c>
      <c r="L32" s="51" t="str">
        <f t="array" ref="L32">IFERROR(INDEX(AbrR!$A$1:$AP96,MATCH("Utilidad Bruta",AbrR!$A$1:$A96,0),MATCH($A32,AbrR!$A$6:AO$6,0),),"")</f>
        <v/>
      </c>
      <c r="O32" s="51" t="str">
        <f t="array" ref="O32">IFERROR(INDEX(MayR!$A$1:$BK96,MATCH("Utilidad Bruta",MayR!$A$1:$A96,0),MATCH($A32,MayR!$A$6:AO$6,0),),"")</f>
        <v/>
      </c>
      <c r="R32" s="51" t="str">
        <f t="array" ref="R32">IFERROR(INDEX(JunR!$A$1:$AP96,MATCH("Utilidad Bruta",JunR!$A$1:$A96,0),MATCH($A32,JunR!$A$6:AO$6,0),),"")</f>
        <v/>
      </c>
      <c r="U32" s="51" t="str">
        <f t="array" ref="U32">IFERROR(INDEX(JulR!$A$1:$AP96,MATCH("Utilidad Bruta",JulR!$A$1:$A96,0),MATCH($A32,JulR!$A$6:AO$6,0),),"")</f>
        <v/>
      </c>
      <c r="X32" s="51" t="str">
        <f t="array" ref="X32">IFERROR(INDEX(AgoR!$A$1:$AP96,MATCH("Utilidad Bruta",AgoR!$A$1:$A96,0),MATCH($A32,AgoR!$A$6:AO$6,0),),"")</f>
        <v/>
      </c>
      <c r="AA32" s="51" t="str">
        <f t="array" ref="AA32">IFERROR(INDEX(SepR!$A$1:$AV96,MATCH("Utilidad Bruta",SepR!$A$1:$A96,0),MATCH($A32,SepR!$A$6:AO$6,0),),"")</f>
        <v/>
      </c>
      <c r="AD32" s="51" t="str">
        <f t="array" ref="AD32">IFERROR(INDEX(OctR!$A$1:$AP96,MATCH("Utilidad Bruta",OctR!$A$1:$A96,0),MATCH($A32,OctR!$A$6:AO$6,0),),"")</f>
        <v/>
      </c>
      <c r="AG32" s="51" t="str">
        <f t="array" ref="AG32">IFERROR(INDEX(NovR!$A$1:$AP96,MATCH("Utilidad Bruta",NovR!$A$1:$A96,0),MATCH($A32,NovR!$A$6:AO$6,0),),"")</f>
        <v/>
      </c>
      <c r="AJ32" s="51" t="str">
        <f t="array" ref="AJ32">IFERROR(INDEX(DicR!$A$1:$AP96,MATCH("Utilidad Bruta",DicR!$A$1:$A96,0),MATCH($A32,DicR!$A$6:AO$6,0),),"")</f>
        <v/>
      </c>
    </row>
    <row r="33" ht="15.75" customHeight="1">
      <c r="A33" s="12"/>
      <c r="B33" s="51" t="str">
        <f t="shared" si="1"/>
        <v/>
      </c>
      <c r="C33" s="51" t="str">
        <f t="array" ref="C33">IFERROR(INDEX(EneR!$A$1:$AO96,MATCH("Utilidad Bruta",EneR!$A$1:$A96,0),MATCH($A33,EneR!$A$6:AO$6,0),),"")</f>
        <v/>
      </c>
      <c r="D33" s="118"/>
      <c r="E33" s="118"/>
      <c r="F33" s="51" t="str">
        <f t="array" ref="F33">IFERROR(INDEX(FebR!$A$1:$AP96,MATCH("Utilidad Bruta",FebR!$A$1:$A96,0),MATCH($A33,FebR!$A$6:AO$6,0),),"")</f>
        <v/>
      </c>
      <c r="I33" s="51" t="str">
        <f t="array" ref="I33">IFERROR(INDEX(MarR!$A$1:$AP96,MATCH("Utilidad Bruta",MarR!$A$1:$A96,0),MATCH($A33,MarR!$A$6:AO$6,0),),"")</f>
        <v/>
      </c>
      <c r="L33" s="51" t="str">
        <f t="array" ref="L33">IFERROR(INDEX(AbrR!$A$1:$AP96,MATCH("Utilidad Bruta",AbrR!$A$1:$A96,0),MATCH($A33,AbrR!$A$6:AO$6,0),),"")</f>
        <v/>
      </c>
      <c r="O33" s="51" t="str">
        <f t="array" ref="O33">IFERROR(INDEX(MayR!$A$1:$BK96,MATCH("Utilidad Bruta",MayR!$A$1:$A96,0),MATCH($A33,MayR!$A$6:AO$6,0),),"")</f>
        <v/>
      </c>
      <c r="R33" s="51" t="str">
        <f t="array" ref="R33">IFERROR(INDEX(JunR!$A$1:$AP96,MATCH("Utilidad Bruta",JunR!$A$1:$A96,0),MATCH($A33,JunR!$A$6:AO$6,0),),"")</f>
        <v/>
      </c>
      <c r="U33" s="51" t="str">
        <f t="array" ref="U33">IFERROR(INDEX(JulR!$A$1:$AP96,MATCH("Utilidad Bruta",JulR!$A$1:$A96,0),MATCH($A33,JulR!$A$6:AO$6,0),),"")</f>
        <v/>
      </c>
      <c r="X33" s="51" t="str">
        <f t="array" ref="X33">IFERROR(INDEX(AgoR!$A$1:$AP96,MATCH("Utilidad Bruta",AgoR!$A$1:$A96,0),MATCH($A33,AgoR!$A$6:AO$6,0),),"")</f>
        <v/>
      </c>
      <c r="AA33" s="51" t="str">
        <f t="array" ref="AA33">IFERROR(INDEX(SepR!$A$1:$AV96,MATCH("Utilidad Bruta",SepR!$A$1:$A96,0),MATCH($A33,SepR!$A$6:AO$6,0),),"")</f>
        <v/>
      </c>
      <c r="AD33" s="51" t="str">
        <f t="array" ref="AD33">IFERROR(INDEX(OctR!$A$1:$AP96,MATCH("Utilidad Bruta",OctR!$A$1:$A96,0),MATCH($A33,OctR!$A$6:AO$6,0),),"")</f>
        <v/>
      </c>
      <c r="AG33" s="51" t="str">
        <f t="array" ref="AG33">IFERROR(INDEX(NovR!$A$1:$AP96,MATCH("Utilidad Bruta",NovR!$A$1:$A96,0),MATCH($A33,NovR!$A$6:AO$6,0),),"")</f>
        <v/>
      </c>
      <c r="AJ33" s="51" t="str">
        <f t="array" ref="AJ33">IFERROR(INDEX(DicR!$A$1:$AP96,MATCH("Utilidad Bruta",DicR!$A$1:$A96,0),MATCH($A33,DicR!$A$6:AO$6,0),),"")</f>
        <v/>
      </c>
    </row>
    <row r="34" ht="15.75" customHeight="1">
      <c r="A34" s="12"/>
      <c r="B34" s="51" t="str">
        <f t="shared" si="1"/>
        <v/>
      </c>
      <c r="C34" s="51" t="str">
        <f t="array" ref="C34">IFERROR(INDEX(EneR!$A$1:$AO96,MATCH("Utilidad Bruta",EneR!$A$1:$A96,0),MATCH($A34,EneR!$A$6:AO$6,0),),"")</f>
        <v/>
      </c>
      <c r="F34" s="51" t="str">
        <f t="array" ref="F34">IFERROR(INDEX(FebR!$A$1:$AP96,MATCH("Utilidad Bruta",FebR!$A$1:$A96,0),MATCH($A34,FebR!$A$6:AO$6,0),),"")</f>
        <v/>
      </c>
      <c r="I34" s="51" t="str">
        <f t="array" ref="I34">IFERROR(INDEX(MarR!$A$1:$AP96,MATCH("Utilidad Bruta",MarR!$A$1:$A96,0),MATCH($A34,MarR!$A$6:AO$6,0),),"")</f>
        <v/>
      </c>
      <c r="L34" s="51" t="str">
        <f t="array" ref="L34">IFERROR(INDEX(AbrR!$A$1:$AP96,MATCH("Utilidad Bruta",AbrR!$A$1:$A96,0),MATCH($A34,AbrR!$A$6:AO$6,0),),"")</f>
        <v/>
      </c>
      <c r="O34" s="51" t="str">
        <f t="array" ref="O34">IFERROR(INDEX(MayR!$A$1:$BK96,MATCH("Utilidad Bruta",MayR!$A$1:$A96,0),MATCH($A34,MayR!$A$6:AO$6,0),),"")</f>
        <v/>
      </c>
      <c r="R34" s="51" t="str">
        <f t="array" ref="R34">IFERROR(INDEX(JunR!$A$1:$AP96,MATCH("Utilidad Bruta",JunR!$A$1:$A96,0),MATCH($A34,JunR!$A$6:AO$6,0),),"")</f>
        <v/>
      </c>
      <c r="U34" s="51" t="str">
        <f t="array" ref="U34">IFERROR(INDEX(JulR!$A$1:$AP96,MATCH("Utilidad Bruta",JulR!$A$1:$A96,0),MATCH($A34,JulR!$A$6:AO$6,0),),"")</f>
        <v/>
      </c>
      <c r="X34" s="51" t="str">
        <f t="array" ref="X34">IFERROR(INDEX(AgoR!$A$1:$AP96,MATCH("Utilidad Bruta",AgoR!$A$1:$A96,0),MATCH($A34,AgoR!$A$6:AO$6,0),),"")</f>
        <v/>
      </c>
      <c r="AA34" s="51" t="str">
        <f t="array" ref="AA34">IFERROR(INDEX(SepR!$A$1:$AV96,MATCH("Utilidad Bruta",SepR!$A$1:$A96,0),MATCH($A34,SepR!$A$6:AO$6,0),),"")</f>
        <v/>
      </c>
      <c r="AD34" s="51" t="str">
        <f t="array" ref="AD34">IFERROR(INDEX(OctR!$A$1:$AP96,MATCH("Utilidad Bruta",OctR!$A$1:$A96,0),MATCH($A34,OctR!$A$6:AO$6,0),),"")</f>
        <v/>
      </c>
      <c r="AG34" s="51" t="str">
        <f t="array" ref="AG34">IFERROR(INDEX(NovR!$A$1:$AP96,MATCH("Utilidad Bruta",NovR!$A$1:$A96,0),MATCH($A34,NovR!$A$6:AO$6,0),),"")</f>
        <v/>
      </c>
      <c r="AJ34" s="51" t="str">
        <f t="array" ref="AJ34">IFERROR(INDEX(DicR!$A$1:$AP96,MATCH("Utilidad Bruta",DicR!$A$1:$A96,0),MATCH($A34,DicR!$A$6:AO$6,0),),"")</f>
        <v/>
      </c>
    </row>
    <row r="35" ht="15.75" customHeight="1">
      <c r="A35" s="12"/>
      <c r="B35" s="51" t="str">
        <f t="shared" si="1"/>
        <v/>
      </c>
      <c r="C35" s="51" t="str">
        <f t="array" ref="C35">IFERROR(INDEX(EneR!$A$1:$AO96,MATCH("Utilidad Bruta",EneR!$A$1:$A96,0),MATCH($A35,EneR!$A$6:AO$6,0),),"")</f>
        <v/>
      </c>
      <c r="F35" s="51" t="str">
        <f t="array" ref="F35">IFERROR(INDEX(FebR!$A$1:$AP96,MATCH("Utilidad Bruta",FebR!$A$1:$A96,0),MATCH($A35,FebR!$A$6:AO$6,0),),"")</f>
        <v/>
      </c>
      <c r="I35" s="51" t="str">
        <f t="array" ref="I35">IFERROR(INDEX(MarR!$A$1:$AP96,MATCH("Utilidad Bruta",MarR!$A$1:$A96,0),MATCH($A35,MarR!$A$6:AO$6,0),),"")</f>
        <v/>
      </c>
      <c r="L35" s="51" t="str">
        <f t="array" ref="L35">IFERROR(INDEX(AbrR!$A$1:$AP96,MATCH("Utilidad Bruta",AbrR!$A$1:$A96,0),MATCH($A35,AbrR!$A$6:AO$6,0),),"")</f>
        <v/>
      </c>
      <c r="O35" s="51" t="str">
        <f t="array" ref="O35">IFERROR(INDEX(MayR!$A$1:$BK96,MATCH("Utilidad Bruta",MayR!$A$1:$A96,0),MATCH($A35,MayR!$A$6:AO$6,0),),"")</f>
        <v/>
      </c>
      <c r="R35" s="51" t="str">
        <f t="array" ref="R35">IFERROR(INDEX(JunR!$A$1:$AP96,MATCH("Utilidad Bruta",JunR!$A$1:$A96,0),MATCH($A35,JunR!$A$6:AO$6,0),),"")</f>
        <v/>
      </c>
      <c r="U35" s="51" t="str">
        <f t="array" ref="U35">IFERROR(INDEX(JulR!$A$1:$AP96,MATCH("Utilidad Bruta",JulR!$A$1:$A96,0),MATCH($A35,JulR!$A$6:AO$6,0),),"")</f>
        <v/>
      </c>
      <c r="X35" s="51" t="str">
        <f t="array" ref="X35">IFERROR(INDEX(AgoR!$A$1:$AP96,MATCH("Utilidad Bruta",AgoR!$A$1:$A96,0),MATCH($A35,AgoR!$A$6:AO$6,0),),"")</f>
        <v/>
      </c>
      <c r="AA35" s="51" t="str">
        <f t="array" ref="AA35">IFERROR(INDEX(SepR!$A$1:$AV96,MATCH("Utilidad Bruta",SepR!$A$1:$A96,0),MATCH($A35,SepR!$A$6:AO$6,0),),"")</f>
        <v/>
      </c>
      <c r="AD35" s="51" t="str">
        <f t="array" ref="AD35">IFERROR(INDEX(OctR!$A$1:$AP96,MATCH("Utilidad Bruta",OctR!$A$1:$A96,0),MATCH($A35,OctR!$A$6:AO$6,0),),"")</f>
        <v/>
      </c>
      <c r="AG35" s="51" t="str">
        <f t="array" ref="AG35">IFERROR(INDEX(NovR!$A$1:$AP96,MATCH("Utilidad Bruta",NovR!$A$1:$A96,0),MATCH($A35,NovR!$A$6:AO$6,0),),"")</f>
        <v/>
      </c>
      <c r="AJ35" s="51" t="str">
        <f t="array" ref="AJ35">IFERROR(INDEX(DicR!$A$1:$AP96,MATCH("Utilidad Bruta",DicR!$A$1:$A96,0),MATCH($A35,DicR!$A$6:AO$6,0),),"")</f>
        <v/>
      </c>
    </row>
    <row r="36" ht="15.75" customHeight="1">
      <c r="A36" s="12"/>
      <c r="B36" s="51" t="str">
        <f t="shared" si="1"/>
        <v/>
      </c>
      <c r="C36" s="51" t="str">
        <f t="array" ref="C36">IFERROR(INDEX(EneR!$A$1:$AO96,MATCH("Utilidad Bruta",EneR!$A$1:$A96,0),MATCH($A36,EneR!$A$6:AO$6,0),),"")</f>
        <v/>
      </c>
      <c r="F36" s="51" t="str">
        <f t="array" ref="F36">IFERROR(INDEX(FebR!$A$1:$AP96,MATCH("Utilidad Bruta",FebR!$A$1:$A96,0),MATCH($A36,FebR!$A$6:AO$6,0),),"")</f>
        <v/>
      </c>
      <c r="I36" s="51" t="str">
        <f t="array" ref="I36">IFERROR(INDEX(MarR!$A$1:$AP96,MATCH("Utilidad Bruta",MarR!$A$1:$A96,0),MATCH($A36,MarR!$A$6:AO$6,0),),"")</f>
        <v/>
      </c>
      <c r="L36" s="51" t="str">
        <f t="array" ref="L36">IFERROR(INDEX(AbrR!$A$1:$AP96,MATCH("Utilidad Bruta",AbrR!$A$1:$A96,0),MATCH($A36,AbrR!$A$6:AO$6,0),),"")</f>
        <v/>
      </c>
      <c r="O36" s="51" t="str">
        <f t="array" ref="O36">IFERROR(INDEX(MayR!$A$1:$BK96,MATCH("Utilidad Bruta",MayR!$A$1:$A96,0),MATCH($A36,MayR!$A$6:AO$6,0),),"")</f>
        <v/>
      </c>
      <c r="R36" s="51" t="str">
        <f t="array" ref="R36">IFERROR(INDEX(JunR!$A$1:$AP96,MATCH("Utilidad Bruta",JunR!$A$1:$A96,0),MATCH($A36,JunR!$A$6:AO$6,0),),"")</f>
        <v/>
      </c>
      <c r="U36" s="51" t="str">
        <f t="array" ref="U36">IFERROR(INDEX(JulR!$A$1:$AP96,MATCH("Utilidad Bruta",JulR!$A$1:$A96,0),MATCH($A36,JulR!$A$6:AO$6,0),),"")</f>
        <v/>
      </c>
      <c r="X36" s="51" t="str">
        <f t="array" ref="X36">IFERROR(INDEX(AgoR!$A$1:$AP96,MATCH("Utilidad Bruta",AgoR!$A$1:$A96,0),MATCH($A36,AgoR!$A$6:AO$6,0),),"")</f>
        <v/>
      </c>
      <c r="AA36" s="51" t="str">
        <f t="array" ref="AA36">IFERROR(INDEX(SepR!$A$1:$AV96,MATCH("Utilidad Bruta",SepR!$A$1:$A96,0),MATCH($A36,SepR!$A$6:AO$6,0),),"")</f>
        <v/>
      </c>
      <c r="AD36" s="51" t="str">
        <f t="array" ref="AD36">IFERROR(INDEX(OctR!$A$1:$AP96,MATCH("Utilidad Bruta",OctR!$A$1:$A96,0),MATCH($A36,OctR!$A$6:AO$6,0),),"")</f>
        <v/>
      </c>
      <c r="AG36" s="51" t="str">
        <f t="array" ref="AG36">IFERROR(INDEX(NovR!$A$1:$AP96,MATCH("Utilidad Bruta",NovR!$A$1:$A96,0),MATCH($A36,NovR!$A$6:AO$6,0),),"")</f>
        <v/>
      </c>
      <c r="AJ36" s="51" t="str">
        <f t="array" ref="AJ36">IFERROR(INDEX(DicR!$A$1:$AP96,MATCH("Utilidad Bruta",DicR!$A$1:$A96,0),MATCH($A36,DicR!$A$6:AO$6,0),),"")</f>
        <v/>
      </c>
    </row>
    <row r="37" ht="15.75" customHeight="1">
      <c r="A37" s="12"/>
      <c r="B37" s="51" t="str">
        <f t="shared" si="1"/>
        <v/>
      </c>
      <c r="C37" s="51" t="str">
        <f t="array" ref="C37">IFERROR(INDEX(EneR!$A$1:$AO96,MATCH("Utilidad Bruta",EneR!$A$1:$A96,0),MATCH($A37,EneR!$A$6:AO$6,0),),"")</f>
        <v/>
      </c>
      <c r="F37" s="51" t="str">
        <f t="array" ref="F37">IFERROR(INDEX(FebR!$A$1:$AP96,MATCH("Utilidad Bruta",FebR!$A$1:$A96,0),MATCH($A37,FebR!$A$6:AO$6,0),),"")</f>
        <v/>
      </c>
      <c r="I37" s="51" t="str">
        <f t="array" ref="I37">IFERROR(INDEX(MarR!$A$1:$AP96,MATCH("Utilidad Bruta",MarR!$A$1:$A96,0),MATCH($A37,MarR!$A$6:AO$6,0),),"")</f>
        <v/>
      </c>
      <c r="L37" s="51" t="str">
        <f t="array" ref="L37">IFERROR(INDEX(AbrR!$A$1:$AP96,MATCH("Utilidad Bruta",AbrR!$A$1:$A96,0),MATCH($A37,AbrR!$A$6:AO$6,0),),"")</f>
        <v/>
      </c>
      <c r="O37" s="51" t="str">
        <f t="array" ref="O37">IFERROR(INDEX(MayR!$A$1:$BK96,MATCH("Utilidad Bruta",MayR!$A$1:$A96,0),MATCH($A37,MayR!$A$6:AO$6,0),),"")</f>
        <v/>
      </c>
      <c r="R37" s="51" t="str">
        <f t="array" ref="R37">IFERROR(INDEX(JunR!$A$1:$AP96,MATCH("Utilidad Bruta",JunR!$A$1:$A96,0),MATCH($A37,JunR!$A$6:AO$6,0),),"")</f>
        <v/>
      </c>
      <c r="U37" s="51" t="str">
        <f t="array" ref="U37">IFERROR(INDEX(JulR!$A$1:$AP96,MATCH("Utilidad Bruta",JulR!$A$1:$A96,0),MATCH($A37,JulR!$A$6:AO$6,0),),"")</f>
        <v/>
      </c>
      <c r="X37" s="51" t="str">
        <f t="array" ref="X37">IFERROR(INDEX(AgoR!$A$1:$AP96,MATCH("Utilidad Bruta",AgoR!$A$1:$A96,0),MATCH($A37,AgoR!$A$6:AO$6,0),),"")</f>
        <v/>
      </c>
      <c r="AA37" s="51" t="str">
        <f t="array" ref="AA37">IFERROR(INDEX(SepR!$A$1:$AV96,MATCH("Utilidad Bruta",SepR!$A$1:$A96,0),MATCH($A37,SepR!$A$6:AO$6,0),),"")</f>
        <v/>
      </c>
      <c r="AD37" s="51" t="str">
        <f t="array" ref="AD37">IFERROR(INDEX(OctR!$A$1:$AP96,MATCH("Utilidad Bruta",OctR!$A$1:$A96,0),MATCH($A37,OctR!$A$6:AO$6,0),),"")</f>
        <v/>
      </c>
      <c r="AG37" s="51" t="str">
        <f t="array" ref="AG37">IFERROR(INDEX(NovR!$A$1:$AP96,MATCH("Utilidad Bruta",NovR!$A$1:$A96,0),MATCH($A37,NovR!$A$6:AO$6,0),),"")</f>
        <v/>
      </c>
      <c r="AJ37" s="51" t="str">
        <f t="array" ref="AJ37">IFERROR(INDEX(DicR!$A$1:$AP96,MATCH("Utilidad Bruta",DicR!$A$1:$A96,0),MATCH($A37,DicR!$A$6:AO$6,0),),"")</f>
        <v/>
      </c>
    </row>
    <row r="38" ht="15.75" customHeight="1">
      <c r="A38" s="12"/>
      <c r="B38" s="51" t="str">
        <f t="shared" si="1"/>
        <v/>
      </c>
      <c r="C38" s="51" t="str">
        <f t="array" ref="C38">IFERROR(INDEX(EneR!$A$1:$AO96,MATCH("Utilidad Bruta",EneR!$A$1:$A96,0),MATCH($A38,EneR!$A$6:AO$6,0),),"")</f>
        <v/>
      </c>
      <c r="F38" s="51" t="str">
        <f t="array" ref="F38">IFERROR(INDEX(FebR!$A$1:$AP96,MATCH("Utilidad Bruta",FebR!$A$1:$A96,0),MATCH($A38,FebR!$A$6:AO$6,0),),"")</f>
        <v/>
      </c>
      <c r="I38" s="51" t="str">
        <f t="array" ref="I38">IFERROR(INDEX(MarR!$A$1:$AP96,MATCH("Utilidad Bruta",MarR!$A$1:$A96,0),MATCH($A38,MarR!$A$6:AO$6,0),),"")</f>
        <v/>
      </c>
      <c r="L38" s="51" t="str">
        <f t="array" ref="L38">IFERROR(INDEX(AbrR!$A$1:$AP96,MATCH("Utilidad Bruta",AbrR!$A$1:$A96,0),MATCH($A38,AbrR!$A$6:AO$6,0),),"")</f>
        <v/>
      </c>
      <c r="O38" s="51" t="str">
        <f t="array" ref="O38">IFERROR(INDEX(MayR!$A$1:$BK96,MATCH("Utilidad Bruta",MayR!$A$1:$A96,0),MATCH($A38,MayR!$A$6:AO$6,0),),"")</f>
        <v/>
      </c>
      <c r="R38" s="51" t="str">
        <f t="array" ref="R38">IFERROR(INDEX(JunR!$A$1:$AP96,MATCH("Utilidad Bruta",JunR!$A$1:$A96,0),MATCH($A38,JunR!$A$6:AO$6,0),),"")</f>
        <v/>
      </c>
      <c r="U38" s="51" t="str">
        <f t="array" ref="U38">IFERROR(INDEX(JulR!$A$1:$AP96,MATCH("Utilidad Bruta",JulR!$A$1:$A96,0),MATCH($A38,JulR!$A$6:AO$6,0),),"")</f>
        <v/>
      </c>
      <c r="X38" s="51" t="str">
        <f t="array" ref="X38">IFERROR(INDEX(AgoR!$A$1:$AP96,MATCH("Utilidad Bruta",AgoR!$A$1:$A96,0),MATCH($A38,AgoR!$A$6:AO$6,0),),"")</f>
        <v/>
      </c>
      <c r="AA38" s="51" t="str">
        <f t="array" ref="AA38">IFERROR(INDEX(SepR!$A$1:$AV96,MATCH("Utilidad Bruta",SepR!$A$1:$A96,0),MATCH($A38,SepR!$A$6:AO$6,0),),"")</f>
        <v/>
      </c>
      <c r="AD38" s="51" t="str">
        <f t="array" ref="AD38">IFERROR(INDEX(OctR!$A$1:$AP96,MATCH("Utilidad Bruta",OctR!$A$1:$A96,0),MATCH($A38,OctR!$A$6:AO$6,0),),"")</f>
        <v/>
      </c>
      <c r="AG38" s="51" t="str">
        <f t="array" ref="AG38">IFERROR(INDEX(NovR!$A$1:$AP96,MATCH("Utilidad Bruta",NovR!$A$1:$A96,0),MATCH($A38,NovR!$A$6:AO$6,0),),"")</f>
        <v/>
      </c>
      <c r="AJ38" s="51" t="str">
        <f t="array" ref="AJ38">IFERROR(INDEX(DicR!$A$1:$AP96,MATCH("Utilidad Bruta",DicR!$A$1:$A96,0),MATCH($A38,DicR!$A$6:AO$6,0),),"")</f>
        <v/>
      </c>
    </row>
    <row r="39" ht="15.75" customHeight="1">
      <c r="A39" s="12"/>
      <c r="B39" s="51" t="str">
        <f t="shared" si="1"/>
        <v/>
      </c>
      <c r="C39" s="51" t="str">
        <f t="array" ref="C39">IFERROR(INDEX(EneR!$A$1:$AO96,MATCH("Utilidad Bruta",EneR!$A$1:$A96,0),MATCH($A39,EneR!$A$6:AO$6,0),),"")</f>
        <v/>
      </c>
      <c r="F39" s="51" t="str">
        <f t="array" ref="F39">IFERROR(INDEX(FebR!$A$1:$AP96,MATCH("Utilidad Bruta",FebR!$A$1:$A96,0),MATCH($A39,FebR!$A$6:AO$6,0),),"")</f>
        <v/>
      </c>
      <c r="I39" s="51" t="str">
        <f t="array" ref="I39">IFERROR(INDEX(MarR!$A$1:$AP96,MATCH("Utilidad Bruta",MarR!$A$1:$A96,0),MATCH($A39,MarR!$A$6:AO$6,0),),"")</f>
        <v/>
      </c>
      <c r="L39" s="51" t="str">
        <f t="array" ref="L39">IFERROR(INDEX(AbrR!$A$1:$AP96,MATCH("Utilidad Bruta",AbrR!$A$1:$A96,0),MATCH($A39,AbrR!$A$6:AO$6,0),),"")</f>
        <v/>
      </c>
      <c r="O39" s="51" t="str">
        <f t="array" ref="O39">IFERROR(INDEX(MayR!$A$1:$BK96,MATCH("Utilidad Bruta",MayR!$A$1:$A96,0),MATCH($A39,MayR!$A$6:AO$6,0),),"")</f>
        <v/>
      </c>
      <c r="R39" s="51" t="str">
        <f t="array" ref="R39">IFERROR(INDEX(JunR!$A$1:$AP96,MATCH("Utilidad Bruta",JunR!$A$1:$A96,0),MATCH($A39,JunR!$A$6:AO$6,0),),"")</f>
        <v/>
      </c>
      <c r="U39" s="51" t="str">
        <f t="array" ref="U39">IFERROR(INDEX(JulR!$A$1:$AP96,MATCH("Utilidad Bruta",JulR!$A$1:$A96,0),MATCH($A39,JulR!$A$6:AO$6,0),),"")</f>
        <v/>
      </c>
      <c r="X39" s="51" t="str">
        <f t="array" ref="X39">IFERROR(INDEX(AgoR!$A$1:$AP96,MATCH("Utilidad Bruta",AgoR!$A$1:$A96,0),MATCH($A39,AgoR!$A$6:AO$6,0),),"")</f>
        <v/>
      </c>
      <c r="AA39" s="51" t="str">
        <f t="array" ref="AA39">IFERROR(INDEX(SepR!$A$1:$AV96,MATCH("Utilidad Bruta",SepR!$A$1:$A96,0),MATCH($A39,SepR!$A$6:AO$6,0),),"")</f>
        <v/>
      </c>
      <c r="AD39" s="51" t="str">
        <f t="array" ref="AD39">IFERROR(INDEX(OctR!$A$1:$AP96,MATCH("Utilidad Bruta",OctR!$A$1:$A96,0),MATCH($A39,OctR!$A$6:AO$6,0),),"")</f>
        <v/>
      </c>
      <c r="AG39" s="51" t="str">
        <f t="array" ref="AG39">IFERROR(INDEX(NovR!$A$1:$AP96,MATCH("Utilidad Bruta",NovR!$A$1:$A96,0),MATCH($A39,NovR!$A$6:AO$6,0),),"")</f>
        <v/>
      </c>
      <c r="AJ39" s="51" t="str">
        <f t="array" ref="AJ39">IFERROR(INDEX(DicR!$A$1:$AP96,MATCH("Utilidad Bruta",DicR!$A$1:$A96,0),MATCH($A39,DicR!$A$6:AO$6,0),),"")</f>
        <v/>
      </c>
    </row>
    <row r="40" ht="15.75" customHeight="1">
      <c r="A40" s="12"/>
      <c r="B40" s="51" t="str">
        <f t="shared" si="1"/>
        <v/>
      </c>
      <c r="C40" s="51" t="str">
        <f t="array" ref="C40">IFERROR(INDEX(EneR!$A$1:$AO96,MATCH("Utilidad Bruta",EneR!$A$1:$A96,0),MATCH($A40,EneR!$A$6:AO$6,0),),"")</f>
        <v/>
      </c>
      <c r="F40" s="51" t="str">
        <f t="array" ref="F40">IFERROR(INDEX(FebR!$A$1:$AP96,MATCH("Utilidad Bruta",FebR!$A$1:$A96,0),MATCH($A40,FebR!$A$6:AO$6,0),),"")</f>
        <v/>
      </c>
      <c r="I40" s="51" t="str">
        <f t="array" ref="I40">IFERROR(INDEX(MarR!$A$1:$AP96,MATCH("Utilidad Bruta",MarR!$A$1:$A96,0),MATCH($A40,MarR!$A$6:AO$6,0),),"")</f>
        <v/>
      </c>
      <c r="L40" s="51" t="str">
        <f t="array" ref="L40">IFERROR(INDEX(AbrR!$A$1:$AP96,MATCH("Utilidad Bruta",AbrR!$A$1:$A96,0),MATCH($A40,AbrR!$A$6:AO$6,0),),"")</f>
        <v/>
      </c>
      <c r="O40" s="51" t="str">
        <f t="array" ref="O40">IFERROR(INDEX(MayR!$A$1:$BK96,MATCH("Utilidad Bruta",MayR!$A$1:$A96,0),MATCH($A40,MayR!$A$6:AO$6,0),),"")</f>
        <v/>
      </c>
      <c r="R40" s="51" t="str">
        <f t="array" ref="R40">IFERROR(INDEX(JunR!$A$1:$AP96,MATCH("Utilidad Bruta",JunR!$A$1:$A96,0),MATCH($A40,JunR!$A$6:AO$6,0),),"")</f>
        <v/>
      </c>
      <c r="U40" s="51" t="str">
        <f t="array" ref="U40">IFERROR(INDEX(JulR!$A$1:$AP96,MATCH("Utilidad Bruta",JulR!$A$1:$A96,0),MATCH($A40,JulR!$A$6:AO$6,0),),"")</f>
        <v/>
      </c>
      <c r="X40" s="51" t="str">
        <f t="array" ref="X40">IFERROR(INDEX(AgoR!$A$1:$AP96,MATCH("Utilidad Bruta",AgoR!$A$1:$A96,0),MATCH($A40,AgoR!$A$6:AO$6,0),),"")</f>
        <v/>
      </c>
      <c r="AA40" s="51" t="str">
        <f t="array" ref="AA40">IFERROR(INDEX(SepR!$A$1:$AV96,MATCH("Utilidad Bruta",SepR!$A$1:$A96,0),MATCH($A40,SepR!$A$6:AO$6,0),),"")</f>
        <v/>
      </c>
      <c r="AD40" s="51" t="str">
        <f t="array" ref="AD40">IFERROR(INDEX(OctR!$A$1:$AP96,MATCH("Utilidad Bruta",OctR!$A$1:$A96,0),MATCH($A40,OctR!$A$6:AO$6,0),),"")</f>
        <v/>
      </c>
      <c r="AG40" s="51" t="str">
        <f t="array" ref="AG40">IFERROR(INDEX(NovR!$A$1:$AP96,MATCH("Utilidad Bruta",NovR!$A$1:$A96,0),MATCH($A40,NovR!$A$6:AO$6,0),),"")</f>
        <v/>
      </c>
      <c r="AJ40" s="51" t="str">
        <f t="array" ref="AJ40">IFERROR(INDEX(DicR!$A$1:$AP96,MATCH("Utilidad Bruta",DicR!$A$1:$A96,0),MATCH($A40,DicR!$A$6:AO$6,0),),"")</f>
        <v/>
      </c>
    </row>
    <row r="41" ht="15.75" customHeight="1">
      <c r="A41" s="12"/>
      <c r="B41" s="51" t="str">
        <f t="shared" si="1"/>
        <v/>
      </c>
      <c r="C41" s="51" t="str">
        <f t="array" ref="C41">IFERROR(INDEX(EneR!$A$1:$AO96,MATCH("Utilidad Bruta",EneR!$A$1:$A96,0),MATCH($A41,EneR!$A$6:AO$6,0),),"")</f>
        <v/>
      </c>
      <c r="F41" s="51" t="str">
        <f t="array" ref="F41">IFERROR(INDEX(FebR!$A$1:$AP96,MATCH("Utilidad Bruta",FebR!$A$1:$A96,0),MATCH($A41,FebR!$A$6:AO$6,0),),"")</f>
        <v/>
      </c>
      <c r="I41" s="51" t="str">
        <f t="array" ref="I41">IFERROR(INDEX(MarR!$A$1:$AP96,MATCH("Utilidad Bruta",MarR!$A$1:$A96,0),MATCH($A41,MarR!$A$6:AO$6,0),),"")</f>
        <v/>
      </c>
      <c r="L41" s="51" t="str">
        <f t="array" ref="L41">IFERROR(INDEX(AbrR!$A$1:$AP96,MATCH("Utilidad Bruta",AbrR!$A$1:$A96,0),MATCH($A41,AbrR!$A$6:AO$6,0),),"")</f>
        <v/>
      </c>
      <c r="O41" s="51" t="str">
        <f t="array" ref="O41">IFERROR(INDEX(MayR!$A$1:$BK96,MATCH("Utilidad Bruta",MayR!$A$1:$A96,0),MATCH($A41,MayR!$A$6:AO$6,0),),"")</f>
        <v/>
      </c>
      <c r="R41" s="51" t="str">
        <f t="array" ref="R41">IFERROR(INDEX(JunR!$A$1:$AP96,MATCH("Utilidad Bruta",JunR!$A$1:$A96,0),MATCH($A41,JunR!$A$6:AO$6,0),),"")</f>
        <v/>
      </c>
      <c r="U41" s="51" t="str">
        <f t="array" ref="U41">IFERROR(INDEX(JulR!$A$1:$AP96,MATCH("Utilidad Bruta",JulR!$A$1:$A96,0),MATCH($A41,JulR!$A$6:AO$6,0),),"")</f>
        <v/>
      </c>
      <c r="X41" s="51" t="str">
        <f t="array" ref="X41">IFERROR(INDEX(AgoR!$A$1:$AP96,MATCH("Utilidad Bruta",AgoR!$A$1:$A96,0),MATCH($A41,AgoR!$A$6:AO$6,0),),"")</f>
        <v/>
      </c>
      <c r="AA41" s="51" t="str">
        <f t="array" ref="AA41">IFERROR(INDEX(SepR!$A$1:$AV96,MATCH("Utilidad Bruta",SepR!$A$1:$A96,0),MATCH($A41,SepR!$A$6:AO$6,0),),"")</f>
        <v/>
      </c>
      <c r="AD41" s="51" t="str">
        <f t="array" ref="AD41">IFERROR(INDEX(OctR!$A$1:$AP96,MATCH("Utilidad Bruta",OctR!$A$1:$A96,0),MATCH($A41,OctR!$A$6:AO$6,0),),"")</f>
        <v/>
      </c>
      <c r="AG41" s="51" t="str">
        <f t="array" ref="AG41">IFERROR(INDEX(NovR!$A$1:$AP96,MATCH("Utilidad Bruta",NovR!$A$1:$A96,0),MATCH($A41,NovR!$A$6:AO$6,0),),"")</f>
        <v/>
      </c>
      <c r="AJ41" s="51" t="str">
        <f t="array" ref="AJ41">IFERROR(INDEX(DicR!$A$1:$AP96,MATCH("Utilidad Bruta",DicR!$A$1:$A96,0),MATCH($A41,DicR!$A$6:AO$6,0),),"")</f>
        <v/>
      </c>
    </row>
    <row r="42" ht="15.75" customHeight="1">
      <c r="A42" s="12"/>
      <c r="B42" s="51" t="str">
        <f t="shared" si="1"/>
        <v/>
      </c>
      <c r="C42" s="51" t="str">
        <f t="array" ref="C42">IFERROR(INDEX(EneR!$A$1:$AO96,MATCH("Utilidad Bruta",EneR!$A$1:$A96,0),MATCH($A42,EneR!$A$6:AO$6,0),),"")</f>
        <v/>
      </c>
      <c r="F42" s="51" t="str">
        <f t="array" ref="F42">IFERROR(INDEX(FebR!$A$1:$AP96,MATCH("Utilidad Bruta",FebR!$A$1:$A96,0),MATCH($A42,FebR!$A$6:AO$6,0),),"")</f>
        <v/>
      </c>
      <c r="I42" s="51" t="str">
        <f t="array" ref="I42">IFERROR(INDEX(MarR!$A$1:$AP96,MATCH("Utilidad Bruta",MarR!$A$1:$A96,0),MATCH($A42,MarR!$A$6:AO$6,0),),"")</f>
        <v/>
      </c>
      <c r="L42" s="51" t="str">
        <f t="array" ref="L42">IFERROR(INDEX(AbrR!$A$1:$AP96,MATCH("Utilidad Bruta",AbrR!$A$1:$A96,0),MATCH($A42,AbrR!$A$6:AO$6,0),),"")</f>
        <v/>
      </c>
      <c r="O42" s="51" t="str">
        <f t="array" ref="O42">IFERROR(INDEX(MayR!$A$1:$BK96,MATCH("Utilidad Bruta",MayR!$A$1:$A96,0),MATCH($A42,MayR!$A$6:AO$6,0),),"")</f>
        <v/>
      </c>
      <c r="R42" s="51" t="str">
        <f t="array" ref="R42">IFERROR(INDEX(JunR!$A$1:$AP96,MATCH("Utilidad Bruta",JunR!$A$1:$A96,0),MATCH($A42,JunR!$A$6:AO$6,0),),"")</f>
        <v/>
      </c>
      <c r="U42" s="51" t="str">
        <f t="array" ref="U42">IFERROR(INDEX(JulR!$A$1:$AP96,MATCH("Utilidad Bruta",JulR!$A$1:$A96,0),MATCH($A42,JulR!$A$6:AO$6,0),),"")</f>
        <v/>
      </c>
      <c r="X42" s="51" t="str">
        <f t="array" ref="X42">IFERROR(INDEX(AgoR!$A$1:$AP96,MATCH("Utilidad Bruta",AgoR!$A$1:$A96,0),MATCH($A42,AgoR!$A$6:AO$6,0),),"")</f>
        <v/>
      </c>
      <c r="AA42" s="51" t="str">
        <f t="array" ref="AA42">IFERROR(INDEX(SepR!$A$1:$AV96,MATCH("Utilidad Bruta",SepR!$A$1:$A96,0),MATCH($A42,SepR!$A$6:AO$6,0),),"")</f>
        <v/>
      </c>
      <c r="AD42" s="51" t="str">
        <f t="array" ref="AD42">IFERROR(INDEX(OctR!$A$1:$AP96,MATCH("Utilidad Bruta",OctR!$A$1:$A96,0),MATCH($A42,OctR!$A$6:AO$6,0),),"")</f>
        <v/>
      </c>
      <c r="AG42" s="51" t="str">
        <f t="array" ref="AG42">IFERROR(INDEX(NovR!$A$1:$AP96,MATCH("Utilidad Bruta",NovR!$A$1:$A96,0),MATCH($A42,NovR!$A$6:AO$6,0),),"")</f>
        <v/>
      </c>
      <c r="AJ42" s="51" t="str">
        <f t="array" ref="AJ42">IFERROR(INDEX(DicR!$A$1:$AP96,MATCH("Utilidad Bruta",DicR!$A$1:$A96,0),MATCH($A42,DicR!$A$6:AO$6,0),),"")</f>
        <v/>
      </c>
    </row>
    <row r="43" ht="15.75" customHeight="1">
      <c r="A43" s="12"/>
      <c r="B43" s="51" t="str">
        <f t="shared" si="1"/>
        <v/>
      </c>
      <c r="C43" s="51" t="str">
        <f t="array" ref="C43">IFERROR(INDEX(EneR!$A$1:$AO96,MATCH("Utilidad Bruta",EneR!$A$1:$A96,0),MATCH($A43,EneR!$A$6:AO$6,0),),"")</f>
        <v/>
      </c>
      <c r="F43" s="51" t="str">
        <f t="array" ref="F43">IFERROR(INDEX(FebR!$A$1:$AP96,MATCH("Utilidad Bruta",FebR!$A$1:$A96,0),MATCH($A43,FebR!$A$6:AO$6,0),),"")</f>
        <v/>
      </c>
      <c r="I43" s="51" t="str">
        <f t="array" ref="I43">IFERROR(INDEX(MarR!$A$1:$AP96,MATCH("Utilidad Bruta",MarR!$A$1:$A96,0),MATCH($A43,MarR!$A$6:AO$6,0),),"")</f>
        <v/>
      </c>
      <c r="L43" s="51" t="str">
        <f t="array" ref="L43">IFERROR(INDEX(AbrR!$A$1:$AP96,MATCH("Utilidad Bruta",AbrR!$A$1:$A96,0),MATCH($A43,AbrR!$A$6:AO$6,0),),"")</f>
        <v/>
      </c>
      <c r="O43" s="51" t="str">
        <f t="array" ref="O43">IFERROR(INDEX(MayR!$A$1:$BK96,MATCH("Utilidad Bruta",MayR!$A$1:$A96,0),MATCH($A43,MayR!$A$6:AO$6,0),),"")</f>
        <v/>
      </c>
      <c r="R43" s="51" t="str">
        <f t="array" ref="R43">IFERROR(INDEX(JunR!$A$1:$AP96,MATCH("Utilidad Bruta",JunR!$A$1:$A96,0),MATCH($A43,JunR!$A$6:AO$6,0),),"")</f>
        <v/>
      </c>
      <c r="U43" s="51" t="str">
        <f t="array" ref="U43">IFERROR(INDEX(JulR!$A$1:$AP96,MATCH("Utilidad Bruta",JulR!$A$1:$A96,0),MATCH($A43,JulR!$A$6:AO$6,0),),"")</f>
        <v/>
      </c>
      <c r="X43" s="51" t="str">
        <f t="array" ref="X43">IFERROR(INDEX(AgoR!$A$1:$AP96,MATCH("Utilidad Bruta",AgoR!$A$1:$A96,0),MATCH($A43,AgoR!$A$6:AO$6,0),),"")</f>
        <v/>
      </c>
      <c r="AA43" s="51" t="str">
        <f t="array" ref="AA43">IFERROR(INDEX(SepR!$A$1:$AV96,MATCH("Utilidad Bruta",SepR!$A$1:$A96,0),MATCH($A43,SepR!$A$6:AO$6,0),),"")</f>
        <v/>
      </c>
      <c r="AD43" s="51" t="str">
        <f t="array" ref="AD43">IFERROR(INDEX(OctR!$A$1:$AP96,MATCH("Utilidad Bruta",OctR!$A$1:$A96,0),MATCH($A43,OctR!$A$6:AO$6,0),),"")</f>
        <v/>
      </c>
      <c r="AG43" s="51" t="str">
        <f t="array" ref="AG43">IFERROR(INDEX(NovR!$A$1:$AP96,MATCH("Utilidad Bruta",NovR!$A$1:$A96,0),MATCH($A43,NovR!$A$6:AO$6,0),),"")</f>
        <v/>
      </c>
      <c r="AJ43" s="51" t="str">
        <f t="array" ref="AJ43">IFERROR(INDEX(DicR!$A$1:$AP96,MATCH("Utilidad Bruta",DicR!$A$1:$A96,0),MATCH($A43,DicR!$A$6:AO$6,0),),"")</f>
        <v/>
      </c>
    </row>
    <row r="44" ht="15.75" customHeight="1">
      <c r="A44" s="12"/>
      <c r="B44" s="51" t="str">
        <f t="shared" si="1"/>
        <v/>
      </c>
      <c r="C44" s="51" t="str">
        <f t="array" ref="C44">IFERROR(INDEX(EneR!$A$1:$AO96,MATCH("Utilidad Bruta",EneR!$A$1:$A96,0),MATCH($A44,EneR!$A$6:AO$6,0),),"")</f>
        <v/>
      </c>
      <c r="F44" s="51" t="str">
        <f t="array" ref="F44">IFERROR(INDEX(FebR!$A$1:$AP96,MATCH("Utilidad Bruta",FebR!$A$1:$A96,0),MATCH($A44,FebR!$A$6:AO$6,0),),"")</f>
        <v/>
      </c>
      <c r="I44" s="51" t="str">
        <f t="array" ref="I44">IFERROR(INDEX(MarR!$A$1:$AP96,MATCH("Utilidad Bruta",MarR!$A$1:$A96,0),MATCH($A44,MarR!$A$6:AO$6,0),),"")</f>
        <v/>
      </c>
      <c r="L44" s="51" t="str">
        <f t="array" ref="L44">IFERROR(INDEX(AbrR!$A$1:$AP96,MATCH("Utilidad Bruta",AbrR!$A$1:$A96,0),MATCH($A44,AbrR!$A$6:AO$6,0),),"")</f>
        <v/>
      </c>
      <c r="O44" s="51" t="str">
        <f t="array" ref="O44">IFERROR(INDEX(MayR!$A$1:$BK96,MATCH("Utilidad Bruta",MayR!$A$1:$A96,0),MATCH($A44,MayR!$A$6:AO$6,0),),"")</f>
        <v/>
      </c>
      <c r="R44" s="51" t="str">
        <f t="array" ref="R44">IFERROR(INDEX(JunR!$A$1:$AP96,MATCH("Utilidad Bruta",JunR!$A$1:$A96,0),MATCH($A44,JunR!$A$6:AO$6,0),),"")</f>
        <v/>
      </c>
      <c r="U44" s="51" t="str">
        <f t="array" ref="U44">IFERROR(INDEX(JulR!$A$1:$AP96,MATCH("Utilidad Bruta",JulR!$A$1:$A96,0),MATCH($A44,JulR!$A$6:AO$6,0),),"")</f>
        <v/>
      </c>
      <c r="X44" s="51" t="str">
        <f t="array" ref="X44">IFERROR(INDEX(AgoR!$A$1:$AP96,MATCH("Utilidad Bruta",AgoR!$A$1:$A96,0),MATCH($A44,AgoR!$A$6:AO$6,0),),"")</f>
        <v/>
      </c>
      <c r="AA44" s="51" t="str">
        <f t="array" ref="AA44">IFERROR(INDEX(SepR!$A$1:$AV96,MATCH("Utilidad Bruta",SepR!$A$1:$A96,0),MATCH($A44,SepR!$A$6:AO$6,0),),"")</f>
        <v/>
      </c>
      <c r="AD44" s="51" t="str">
        <f t="array" ref="AD44">IFERROR(INDEX(OctR!$A$1:$AP96,MATCH("Utilidad Bruta",OctR!$A$1:$A96,0),MATCH($A44,OctR!$A$6:AO$6,0),),"")</f>
        <v/>
      </c>
      <c r="AG44" s="51" t="str">
        <f t="array" ref="AG44">IFERROR(INDEX(NovR!$A$1:$AP96,MATCH("Utilidad Bruta",NovR!$A$1:$A96,0),MATCH($A44,NovR!$A$6:AO$6,0),),"")</f>
        <v/>
      </c>
      <c r="AJ44" s="51" t="str">
        <f t="array" ref="AJ44">IFERROR(INDEX(DicR!$A$1:$AP96,MATCH("Utilidad Bruta",DicR!$A$1:$A96,0),MATCH($A44,DicR!$A$6:AO$6,0),),"")</f>
        <v/>
      </c>
    </row>
    <row r="45" ht="15.75" customHeight="1">
      <c r="A45" s="12"/>
      <c r="B45" s="51" t="str">
        <f t="shared" si="1"/>
        <v/>
      </c>
      <c r="C45" s="51" t="str">
        <f t="array" ref="C45">IFERROR(INDEX(EneR!$A$1:$AO96,MATCH("Utilidad Bruta",EneR!$A$1:$A96,0),MATCH($A45,EneR!$A$6:AO$6,0),),"")</f>
        <v/>
      </c>
      <c r="F45" s="51" t="str">
        <f t="array" ref="F45">IFERROR(INDEX(FebR!$A$1:$AP96,MATCH("Utilidad Bruta",FebR!$A$1:$A96,0),MATCH($A45,FebR!$A$6:AO$6,0),),"")</f>
        <v/>
      </c>
      <c r="I45" s="51" t="str">
        <f t="array" ref="I45">IFERROR(INDEX(MarR!$A$1:$AP96,MATCH("Utilidad Bruta",MarR!$A$1:$A96,0),MATCH($A45,MarR!$A$6:AO$6,0),),"")</f>
        <v/>
      </c>
      <c r="L45" s="51" t="str">
        <f t="array" ref="L45">IFERROR(INDEX(AbrR!$A$1:$AP96,MATCH("Utilidad Bruta",AbrR!$A$1:$A96,0),MATCH($A45,AbrR!$A$6:AO$6,0),),"")</f>
        <v/>
      </c>
      <c r="O45" s="51" t="str">
        <f t="array" ref="O45">IFERROR(INDEX(MayR!$A$1:$BK96,MATCH("Utilidad Bruta",MayR!$A$1:$A96,0),MATCH($A45,MayR!$A$6:AO$6,0),),"")</f>
        <v/>
      </c>
      <c r="R45" s="51" t="str">
        <f t="array" ref="R45">IFERROR(INDEX(JunR!$A$1:$AP96,MATCH("Utilidad Bruta",JunR!$A$1:$A96,0),MATCH($A45,JunR!$A$6:AO$6,0),),"")</f>
        <v/>
      </c>
      <c r="U45" s="51" t="str">
        <f t="array" ref="U45">IFERROR(INDEX(JulR!$A$1:$AP96,MATCH("Utilidad Bruta",JulR!$A$1:$A96,0),MATCH($A45,JulR!$A$6:AO$6,0),),"")</f>
        <v/>
      </c>
      <c r="X45" s="51" t="str">
        <f t="array" ref="X45">IFERROR(INDEX(AgoR!$A$1:$AP96,MATCH("Utilidad Bruta",AgoR!$A$1:$A96,0),MATCH($A45,AgoR!$A$6:AO$6,0),),"")</f>
        <v/>
      </c>
      <c r="AA45" s="51" t="str">
        <f t="array" ref="AA45">IFERROR(INDEX(SepR!$A$1:$AV96,MATCH("Utilidad Bruta",SepR!$A$1:$A96,0),MATCH($A45,SepR!$A$6:AO$6,0),),"")</f>
        <v/>
      </c>
      <c r="AD45" s="51" t="str">
        <f t="array" ref="AD45">IFERROR(INDEX(OctR!$A$1:$AP96,MATCH("Utilidad Bruta",OctR!$A$1:$A96,0),MATCH($A45,OctR!$A$6:AO$6,0),),"")</f>
        <v/>
      </c>
      <c r="AG45" s="51" t="str">
        <f t="array" ref="AG45">IFERROR(INDEX(NovR!$A$1:$AP96,MATCH("Utilidad Bruta",NovR!$A$1:$A96,0),MATCH($A45,NovR!$A$6:AO$6,0),),"")</f>
        <v/>
      </c>
      <c r="AJ45" s="51" t="str">
        <f t="array" ref="AJ45">IFERROR(INDEX(DicR!$A$1:$AP96,MATCH("Utilidad Bruta",DicR!$A$1:$A96,0),MATCH($A45,DicR!$A$6:AO$6,0),),"")</f>
        <v/>
      </c>
    </row>
    <row r="46" ht="15.75" customHeight="1">
      <c r="A46" s="12"/>
      <c r="B46" s="51" t="str">
        <f t="shared" si="1"/>
        <v/>
      </c>
      <c r="C46" s="51" t="str">
        <f t="array" ref="C46">IFERROR(INDEX(EneR!$A$1:$AO96,MATCH("Utilidad Bruta",EneR!$A$1:$A96,0),MATCH($A46,EneR!$A$6:AO$6,0),),"")</f>
        <v/>
      </c>
      <c r="F46" s="51" t="str">
        <f t="array" ref="F46">IFERROR(INDEX(FebR!$A$1:$AP96,MATCH("Utilidad Bruta",FebR!$A$1:$A96,0),MATCH($A46,FebR!$A$6:AO$6,0),),"")</f>
        <v/>
      </c>
      <c r="I46" s="51" t="str">
        <f t="array" ref="I46">IFERROR(INDEX(MarR!$A$1:$AP96,MATCH("Utilidad Bruta",MarR!$A$1:$A96,0),MATCH($A46,MarR!$A$6:AO$6,0),),"")</f>
        <v/>
      </c>
      <c r="L46" s="51" t="str">
        <f t="array" ref="L46">IFERROR(INDEX(AbrR!$A$1:$AP96,MATCH("Utilidad Bruta",AbrR!$A$1:$A96,0),MATCH($A46,AbrR!$A$6:AO$6,0),),"")</f>
        <v/>
      </c>
      <c r="O46" s="51" t="str">
        <f t="array" ref="O46">IFERROR(INDEX(MayR!$A$1:$BK96,MATCH("Utilidad Bruta",MayR!$A$1:$A96,0),MATCH($A46,MayR!$A$6:AO$6,0),),"")</f>
        <v/>
      </c>
      <c r="R46" s="51" t="str">
        <f t="array" ref="R46">IFERROR(INDEX(JunR!$A$1:$AP96,MATCH("Utilidad Bruta",JunR!$A$1:$A96,0),MATCH($A46,JunR!$A$6:AO$6,0),),"")</f>
        <v/>
      </c>
      <c r="U46" s="51" t="str">
        <f t="array" ref="U46">IFERROR(INDEX(JulR!$A$1:$AP96,MATCH("Utilidad Bruta",JulR!$A$1:$A96,0),MATCH($A46,JulR!$A$6:AO$6,0),),"")</f>
        <v/>
      </c>
      <c r="X46" s="51" t="str">
        <f t="array" ref="X46">IFERROR(INDEX(AgoR!$A$1:$AP96,MATCH("Utilidad Bruta",AgoR!$A$1:$A96,0),MATCH($A46,AgoR!$A$6:AO$6,0),),"")</f>
        <v/>
      </c>
      <c r="AA46" s="51" t="str">
        <f t="array" ref="AA46">IFERROR(INDEX(SepR!$A$1:$AV96,MATCH("Utilidad Bruta",SepR!$A$1:$A96,0),MATCH($A46,SepR!$A$6:AO$6,0),),"")</f>
        <v/>
      </c>
      <c r="AD46" s="51" t="str">
        <f t="array" ref="AD46">IFERROR(INDEX(OctR!$A$1:$AP96,MATCH("Utilidad Bruta",OctR!$A$1:$A96,0),MATCH($A46,OctR!$A$6:AO$6,0),),"")</f>
        <v/>
      </c>
      <c r="AG46" s="51" t="str">
        <f t="array" ref="AG46">IFERROR(INDEX(NovR!$A$1:$AP96,MATCH("Utilidad Bruta",NovR!$A$1:$A96,0),MATCH($A46,NovR!$A$6:AO$6,0),),"")</f>
        <v/>
      </c>
      <c r="AJ46" s="51" t="str">
        <f t="array" ref="AJ46">IFERROR(INDEX(DicR!$A$1:$AP96,MATCH("Utilidad Bruta",DicR!$A$1:$A96,0),MATCH($A46,DicR!$A$6:AO$6,0),),"")</f>
        <v/>
      </c>
    </row>
    <row r="47" ht="15.75" customHeight="1">
      <c r="A47" s="12"/>
      <c r="B47" s="51" t="str">
        <f t="shared" si="1"/>
        <v/>
      </c>
      <c r="C47" s="51" t="str">
        <f t="array" ref="C47">IFERROR(INDEX(EneR!$A$1:$AO96,MATCH("Utilidad Bruta",EneR!$A$1:$A96,0),MATCH($A47,EneR!$A$6:AO$6,0),),"")</f>
        <v/>
      </c>
      <c r="F47" s="51" t="str">
        <f t="array" ref="F47">IFERROR(INDEX(FebR!$A$1:$AP96,MATCH("Utilidad Bruta",FebR!$A$1:$A96,0),MATCH($A47,FebR!$A$6:AO$6,0),),"")</f>
        <v/>
      </c>
      <c r="I47" s="51" t="str">
        <f t="array" ref="I47">IFERROR(INDEX(MarR!$A$1:$AP96,MATCH("Utilidad Bruta",MarR!$A$1:$A96,0),MATCH($A47,MarR!$A$6:AO$6,0),),"")</f>
        <v/>
      </c>
      <c r="L47" s="51" t="str">
        <f t="array" ref="L47">IFERROR(INDEX(AbrR!$A$1:$AP96,MATCH("Utilidad Bruta",AbrR!$A$1:$A96,0),MATCH($A47,AbrR!$A$6:AO$6,0),),"")</f>
        <v/>
      </c>
      <c r="O47" s="51" t="str">
        <f t="array" ref="O47">IFERROR(INDEX(MayR!$A$1:$BK96,MATCH("Utilidad Bruta",MayR!$A$1:$A96,0),MATCH($A47,MayR!$A$6:AO$6,0),),"")</f>
        <v/>
      </c>
      <c r="R47" s="51" t="str">
        <f t="array" ref="R47">IFERROR(INDEX(JunR!$A$1:$AP96,MATCH("Utilidad Bruta",JunR!$A$1:$A96,0),MATCH($A47,JunR!$A$6:AO$6,0),),"")</f>
        <v/>
      </c>
      <c r="U47" s="51" t="str">
        <f t="array" ref="U47">IFERROR(INDEX(JulR!$A$1:$AP96,MATCH("Utilidad Bruta",JulR!$A$1:$A96,0),MATCH($A47,JulR!$A$6:AO$6,0),),"")</f>
        <v/>
      </c>
      <c r="X47" s="51" t="str">
        <f t="array" ref="X47">IFERROR(INDEX(AgoR!$A$1:$AP96,MATCH("Utilidad Bruta",AgoR!$A$1:$A96,0),MATCH($A47,AgoR!$A$6:AO$6,0),),"")</f>
        <v/>
      </c>
      <c r="AA47" s="51" t="str">
        <f t="array" ref="AA47">IFERROR(INDEX(SepR!$A$1:$AV96,MATCH("Utilidad Bruta",SepR!$A$1:$A96,0),MATCH($A47,SepR!$A$6:AO$6,0),),"")</f>
        <v/>
      </c>
      <c r="AD47" s="51" t="str">
        <f t="array" ref="AD47">IFERROR(INDEX(OctR!$A$1:$AP96,MATCH("Utilidad Bruta",OctR!$A$1:$A96,0),MATCH($A47,OctR!$A$6:AO$6,0),),"")</f>
        <v/>
      </c>
      <c r="AG47" s="51" t="str">
        <f t="array" ref="AG47">IFERROR(INDEX(NovR!$A$1:$AP96,MATCH("Utilidad Bruta",NovR!$A$1:$A96,0),MATCH($A47,NovR!$A$6:AO$6,0),),"")</f>
        <v/>
      </c>
      <c r="AJ47" s="51" t="str">
        <f t="array" ref="AJ47">IFERROR(INDEX(DicR!$A$1:$AP96,MATCH("Utilidad Bruta",DicR!$A$1:$A96,0),MATCH($A47,DicR!$A$6:AO$6,0),),"")</f>
        <v/>
      </c>
    </row>
    <row r="48" ht="15.75" customHeight="1">
      <c r="A48" s="12"/>
      <c r="B48" s="51" t="str">
        <f t="shared" si="1"/>
        <v/>
      </c>
      <c r="C48" s="51" t="str">
        <f t="array" ref="C48">IFERROR(INDEX(EneR!$A$1:$AO96,MATCH("Utilidad Bruta",EneR!$A$1:$A96,0),MATCH($A48,EneR!$A$6:AO$6,0),),"")</f>
        <v/>
      </c>
      <c r="F48" s="51" t="str">
        <f t="array" ref="F48">IFERROR(INDEX(FebR!$A$1:$AP96,MATCH("Utilidad Bruta",FebR!$A$1:$A96,0),MATCH($A48,FebR!$A$6:AO$6,0),),"")</f>
        <v/>
      </c>
      <c r="I48" s="51" t="str">
        <f t="array" ref="I48">IFERROR(INDEX(MarR!$A$1:$AP96,MATCH("Utilidad Bruta",MarR!$A$1:$A96,0),MATCH($A48,MarR!$A$6:AO$6,0),),"")</f>
        <v/>
      </c>
      <c r="L48" s="51" t="str">
        <f t="array" ref="L48">IFERROR(INDEX(AbrR!$A$1:$AP96,MATCH("Utilidad Bruta",AbrR!$A$1:$A96,0),MATCH($A48,AbrR!$A$6:AO$6,0),),"")</f>
        <v/>
      </c>
      <c r="O48" s="51" t="str">
        <f t="array" ref="O48">IFERROR(INDEX(MayR!$A$1:$BK96,MATCH("Utilidad Bruta",MayR!$A$1:$A96,0),MATCH($A48,MayR!$A$6:AO$6,0),),"")</f>
        <v/>
      </c>
      <c r="R48" s="51" t="str">
        <f t="array" ref="R48">IFERROR(INDEX(JunR!$A$1:$AP96,MATCH("Utilidad Bruta",JunR!$A$1:$A96,0),MATCH($A48,JunR!$A$6:AO$6,0),),"")</f>
        <v/>
      </c>
      <c r="U48" s="51" t="str">
        <f t="array" ref="U48">IFERROR(INDEX(JulR!$A$1:$AP96,MATCH("Utilidad Bruta",JulR!$A$1:$A96,0),MATCH($A48,JulR!$A$6:AO$6,0),),"")</f>
        <v/>
      </c>
      <c r="X48" s="51" t="str">
        <f t="array" ref="X48">IFERROR(INDEX(AgoR!$A$1:$AP96,MATCH("Utilidad Bruta",AgoR!$A$1:$A96,0),MATCH($A48,AgoR!$A$6:AO$6,0),),"")</f>
        <v/>
      </c>
      <c r="AA48" s="51" t="str">
        <f t="array" ref="AA48">IFERROR(INDEX(SepR!$A$1:$AV96,MATCH("Utilidad Bruta",SepR!$A$1:$A96,0),MATCH($A48,SepR!$A$6:AO$6,0),),"")</f>
        <v/>
      </c>
      <c r="AD48" s="51" t="str">
        <f t="array" ref="AD48">IFERROR(INDEX(OctR!$A$1:$AP96,MATCH("Utilidad Bruta",OctR!$A$1:$A96,0),MATCH($A48,OctR!$A$6:AO$6,0),),"")</f>
        <v/>
      </c>
      <c r="AG48" s="51" t="str">
        <f t="array" ref="AG48">IFERROR(INDEX(NovR!$A$1:$AP96,MATCH("Utilidad Bruta",NovR!$A$1:$A96,0),MATCH($A48,NovR!$A$6:AO$6,0),),"")</f>
        <v/>
      </c>
      <c r="AJ48" s="51" t="str">
        <f t="array" ref="AJ48">IFERROR(INDEX(DicR!$A$1:$AP96,MATCH("Utilidad Bruta",DicR!$A$1:$A96,0),MATCH($A48,DicR!$A$6:AO$6,0),),"")</f>
        <v/>
      </c>
    </row>
    <row r="49" ht="15.75" customHeight="1">
      <c r="A49" s="12"/>
      <c r="B49" s="51" t="str">
        <f t="shared" si="1"/>
        <v/>
      </c>
      <c r="C49" s="51" t="str">
        <f t="array" ref="C49">IFERROR(INDEX(EneR!$A$1:$AO96,MATCH("Utilidad Bruta",EneR!$A$1:$A96,0),MATCH($A49,EneR!$A$6:AO$6,0),),"")</f>
        <v/>
      </c>
      <c r="F49" s="51" t="str">
        <f t="array" ref="F49">IFERROR(INDEX(FebR!$A$1:$AP96,MATCH("Utilidad Bruta",FebR!$A$1:$A96,0),MATCH($A49,FebR!$A$6:AO$6,0),),"")</f>
        <v/>
      </c>
      <c r="I49" s="51" t="str">
        <f t="array" ref="I49">IFERROR(INDEX(MarR!$A$1:$AP96,MATCH("Utilidad Bruta",MarR!$A$1:$A96,0),MATCH($A49,MarR!$A$6:AO$6,0),),"")</f>
        <v/>
      </c>
      <c r="L49" s="51" t="str">
        <f t="array" ref="L49">IFERROR(INDEX(AbrR!$A$1:$AP96,MATCH("Utilidad Bruta",AbrR!$A$1:$A96,0),MATCH($A49,AbrR!$A$6:AO$6,0),),"")</f>
        <v/>
      </c>
      <c r="O49" s="51" t="str">
        <f t="array" ref="O49">IFERROR(INDEX(MayR!$A$1:$BK96,MATCH("Utilidad Bruta",MayR!$A$1:$A96,0),MATCH($A49,MayR!$A$6:AO$6,0),),"")</f>
        <v/>
      </c>
      <c r="R49" s="51" t="str">
        <f t="array" ref="R49">IFERROR(INDEX(JunR!$A$1:$AP96,MATCH("Utilidad Bruta",JunR!$A$1:$A96,0),MATCH($A49,JunR!$A$6:AO$6,0),),"")</f>
        <v/>
      </c>
      <c r="U49" s="51" t="str">
        <f t="array" ref="U49">IFERROR(INDEX(JulR!$A$1:$AP96,MATCH("Utilidad Bruta",JulR!$A$1:$A96,0),MATCH($A49,JulR!$A$6:AO$6,0),),"")</f>
        <v/>
      </c>
      <c r="X49" s="51" t="str">
        <f t="array" ref="X49">IFERROR(INDEX(AgoR!$A$1:$AP96,MATCH("Utilidad Bruta",AgoR!$A$1:$A96,0),MATCH($A49,AgoR!$A$6:AO$6,0),),"")</f>
        <v/>
      </c>
      <c r="AA49" s="51" t="str">
        <f t="array" ref="AA49">IFERROR(INDEX(SepR!$A$1:$AV96,MATCH("Utilidad Bruta",SepR!$A$1:$A96,0),MATCH($A49,SepR!$A$6:AO$6,0),),"")</f>
        <v/>
      </c>
      <c r="AD49" s="51" t="str">
        <f t="array" ref="AD49">IFERROR(INDEX(OctR!$A$1:$AP96,MATCH("Utilidad Bruta",OctR!$A$1:$A96,0),MATCH($A49,OctR!$A$6:AO$6,0),),"")</f>
        <v/>
      </c>
      <c r="AG49" s="51" t="str">
        <f t="array" ref="AG49">IFERROR(INDEX(NovR!$A$1:$AP96,MATCH("Utilidad Bruta",NovR!$A$1:$A96,0),MATCH($A49,NovR!$A$6:AO$6,0),),"")</f>
        <v/>
      </c>
      <c r="AJ49" s="51" t="str">
        <f t="array" ref="AJ49">IFERROR(INDEX(DicR!$A$1:$AP96,MATCH("Utilidad Bruta",DicR!$A$1:$A96,0),MATCH($A49,DicR!$A$6:AO$6,0),),"")</f>
        <v/>
      </c>
    </row>
    <row r="50" ht="15.75" customHeight="1">
      <c r="A50" s="12"/>
      <c r="B50" s="51" t="str">
        <f t="shared" si="1"/>
        <v/>
      </c>
      <c r="C50" s="51" t="str">
        <f t="array" ref="C50">IFERROR(INDEX(EneR!$A$1:$AO96,MATCH("Utilidad Bruta",EneR!$A$1:$A96,0),MATCH($A50,EneR!$A$6:AO$6,0),),"")</f>
        <v/>
      </c>
      <c r="F50" s="51" t="str">
        <f t="array" ref="F50">IFERROR(INDEX(FebR!$A$1:$AP96,MATCH("Utilidad Bruta",FebR!$A$1:$A96,0),MATCH($A50,FebR!$A$6:AO$6,0),),"")</f>
        <v/>
      </c>
      <c r="I50" s="51" t="str">
        <f t="array" ref="I50">IFERROR(INDEX(MarR!$A$1:$AP96,MATCH("Utilidad Bruta",MarR!$A$1:$A96,0),MATCH($A50,MarR!$A$6:AO$6,0),),"")</f>
        <v/>
      </c>
      <c r="L50" s="51" t="str">
        <f t="array" ref="L50">IFERROR(INDEX(AbrR!$A$1:$AP96,MATCH("Utilidad Bruta",AbrR!$A$1:$A96,0),MATCH($A50,AbrR!$A$6:AO$6,0),),"")</f>
        <v/>
      </c>
      <c r="O50" s="51" t="str">
        <f t="array" ref="O50">IFERROR(INDEX(MayR!$A$1:$BK96,MATCH("Utilidad Bruta",MayR!$A$1:$A96,0),MATCH($A50,MayR!$A$6:AO$6,0),),"")</f>
        <v/>
      </c>
      <c r="R50" s="51" t="str">
        <f t="array" ref="R50">IFERROR(INDEX(JunR!$A$1:$AP96,MATCH("Utilidad Bruta",JunR!$A$1:$A96,0),MATCH($A50,JunR!$A$6:AO$6,0),),"")</f>
        <v/>
      </c>
      <c r="U50" s="51" t="str">
        <f t="array" ref="U50">IFERROR(INDEX(JulR!$A$1:$AP96,MATCH("Utilidad Bruta",JulR!$A$1:$A96,0),MATCH($A50,JulR!$A$6:AO$6,0),),"")</f>
        <v/>
      </c>
      <c r="X50" s="51" t="str">
        <f t="array" ref="X50">IFERROR(INDEX(AgoR!$A$1:$AP96,MATCH("Utilidad Bruta",AgoR!$A$1:$A96,0),MATCH($A50,AgoR!$A$6:AO$6,0),),"")</f>
        <v/>
      </c>
      <c r="AA50" s="51" t="str">
        <f t="array" ref="AA50">IFERROR(INDEX(SepR!$A$1:$AV96,MATCH("Utilidad Bruta",SepR!$A$1:$A96,0),MATCH($A50,SepR!$A$6:AO$6,0),),"")</f>
        <v/>
      </c>
      <c r="AD50" s="51" t="str">
        <f t="array" ref="AD50">IFERROR(INDEX(OctR!$A$1:$AP96,MATCH("Utilidad Bruta",OctR!$A$1:$A96,0),MATCH($A50,OctR!$A$6:AO$6,0),),"")</f>
        <v/>
      </c>
      <c r="AG50" s="51" t="str">
        <f t="array" ref="AG50">IFERROR(INDEX(NovR!$A$1:$AP96,MATCH("Utilidad Bruta",NovR!$A$1:$A96,0),MATCH($A50,NovR!$A$6:AO$6,0),),"")</f>
        <v/>
      </c>
      <c r="AJ50" s="51" t="str">
        <f t="array" ref="AJ50">IFERROR(INDEX(DicR!$A$1:$AP96,MATCH("Utilidad Bruta",DicR!$A$1:$A96,0),MATCH($A50,DicR!$A$6:AO$6,0),),"")</f>
        <v/>
      </c>
    </row>
    <row r="51" ht="15.75" customHeight="1">
      <c r="A51" s="12"/>
      <c r="B51" s="51" t="str">
        <f t="shared" si="1"/>
        <v/>
      </c>
      <c r="C51" s="51" t="str">
        <f t="array" ref="C51">IFERROR(INDEX(EneR!$A$1:$AO96,MATCH("Utilidad Bruta",EneR!$A$1:$A96,0),MATCH($A51,EneR!$A$6:AO$6,0),),"")</f>
        <v/>
      </c>
      <c r="F51" s="51" t="str">
        <f t="array" ref="F51">IFERROR(INDEX(FebR!$A$1:$AP96,MATCH("Utilidad Bruta",FebR!$A$1:$A96,0),MATCH($A51,FebR!$A$6:AO$6,0),),"")</f>
        <v/>
      </c>
      <c r="I51" s="51" t="str">
        <f t="array" ref="I51">IFERROR(INDEX(MarR!$A$1:$AP96,MATCH("Utilidad Bruta",MarR!$A$1:$A96,0),MATCH($A51,MarR!$A$6:AO$6,0),),"")</f>
        <v/>
      </c>
      <c r="L51" s="51" t="str">
        <f t="array" ref="L51">IFERROR(INDEX(AbrR!$A$1:$AP96,MATCH("Utilidad Bruta",AbrR!$A$1:$A96,0),MATCH($A51,AbrR!$A$6:AO$6,0),),"")</f>
        <v/>
      </c>
      <c r="O51" s="51" t="str">
        <f t="array" ref="O51">IFERROR(INDEX(MayR!$A$1:$BK96,MATCH("Utilidad Bruta",MayR!$A$1:$A96,0),MATCH($A51,MayR!$A$6:AO$6,0),),"")</f>
        <v/>
      </c>
      <c r="R51" s="51" t="str">
        <f t="array" ref="R51">IFERROR(INDEX(JunR!$A$1:$AP96,MATCH("Utilidad Bruta",JunR!$A$1:$A96,0),MATCH($A51,JunR!$A$6:AO$6,0),),"")</f>
        <v/>
      </c>
      <c r="U51" s="51" t="str">
        <f t="array" ref="U51">IFERROR(INDEX(JulR!$A$1:$AP96,MATCH("Utilidad Bruta",JulR!$A$1:$A96,0),MATCH($A51,JulR!$A$6:AO$6,0),),"")</f>
        <v/>
      </c>
      <c r="X51" s="51" t="str">
        <f t="array" ref="X51">IFERROR(INDEX(AgoR!$A$1:$AP96,MATCH("Utilidad Bruta",AgoR!$A$1:$A96,0),MATCH($A51,AgoR!$A$6:AO$6,0),),"")</f>
        <v/>
      </c>
      <c r="AA51" s="51" t="str">
        <f t="array" ref="AA51">IFERROR(INDEX(SepR!$A$1:$AV96,MATCH("Utilidad Bruta",SepR!$A$1:$A96,0),MATCH($A51,SepR!$A$6:AO$6,0),),"")</f>
        <v/>
      </c>
      <c r="AD51" s="51" t="str">
        <f t="array" ref="AD51">IFERROR(INDEX(OctR!$A$1:$AP96,MATCH("Utilidad Bruta",OctR!$A$1:$A96,0),MATCH($A51,OctR!$A$6:AO$6,0),),"")</f>
        <v/>
      </c>
      <c r="AG51" s="51" t="str">
        <f t="array" ref="AG51">IFERROR(INDEX(NovR!$A$1:$AP96,MATCH("Utilidad Bruta",NovR!$A$1:$A96,0),MATCH($A51,NovR!$A$6:AO$6,0),),"")</f>
        <v/>
      </c>
      <c r="AJ51" s="51" t="str">
        <f t="array" ref="AJ51">IFERROR(INDEX(DicR!$A$1:$AP96,MATCH("Utilidad Bruta",DicR!$A$1:$A96,0),MATCH($A51,DicR!$A$6:AO$6,0),),"")</f>
        <v/>
      </c>
    </row>
    <row r="52" ht="15.75" customHeight="1">
      <c r="A52" s="12"/>
      <c r="B52" s="51" t="str">
        <f t="shared" si="1"/>
        <v/>
      </c>
      <c r="C52" s="51" t="str">
        <f t="array" ref="C52">IFERROR(INDEX(EneR!$A$1:$AO96,MATCH("Utilidad Bruta",EneR!$A$1:$A96,0),MATCH($A52,EneR!$A$6:AO$6,0),),"")</f>
        <v/>
      </c>
      <c r="F52" s="51" t="str">
        <f t="array" ref="F52">IFERROR(INDEX(FebR!$A$1:$AP96,MATCH("Utilidad Bruta",FebR!$A$1:$A96,0),MATCH($A52,FebR!$A$6:AO$6,0),),"")</f>
        <v/>
      </c>
      <c r="I52" s="51" t="str">
        <f t="array" ref="I52">IFERROR(INDEX(MarR!$A$1:$AP96,MATCH("Utilidad Bruta",MarR!$A$1:$A96,0),MATCH($A52,MarR!$A$6:AO$6,0),),"")</f>
        <v/>
      </c>
      <c r="L52" s="51" t="str">
        <f t="array" ref="L52">IFERROR(INDEX(AbrR!$A$1:$AP96,MATCH("Utilidad Bruta",AbrR!$A$1:$A96,0),MATCH($A52,AbrR!$A$6:AO$6,0),),"")</f>
        <v/>
      </c>
      <c r="O52" s="51" t="str">
        <f t="array" ref="O52">IFERROR(INDEX(MayR!$A$1:$BK96,MATCH("Utilidad Bruta",MayR!$A$1:$A96,0),MATCH($A52,MayR!$A$6:AO$6,0),),"")</f>
        <v/>
      </c>
      <c r="R52" s="51" t="str">
        <f t="array" ref="R52">IFERROR(INDEX(JunR!$A$1:$AP96,MATCH("Utilidad Bruta",JunR!$A$1:$A96,0),MATCH($A52,JunR!$A$6:AO$6,0),),"")</f>
        <v/>
      </c>
      <c r="U52" s="51" t="str">
        <f t="array" ref="U52">IFERROR(INDEX(JulR!$A$1:$AP96,MATCH("Utilidad Bruta",JulR!$A$1:$A96,0),MATCH($A52,JulR!$A$6:AO$6,0),),"")</f>
        <v/>
      </c>
      <c r="X52" s="51" t="str">
        <f t="array" ref="X52">IFERROR(INDEX(AgoR!$A$1:$AP96,MATCH("Utilidad Bruta",AgoR!$A$1:$A96,0),MATCH($A52,AgoR!$A$6:AO$6,0),),"")</f>
        <v/>
      </c>
      <c r="AA52" s="51" t="str">
        <f t="array" ref="AA52">IFERROR(INDEX(SepR!$A$1:$AV96,MATCH("Utilidad Bruta",SepR!$A$1:$A96,0),MATCH($A52,SepR!$A$6:AO$6,0),),"")</f>
        <v/>
      </c>
      <c r="AD52" s="51" t="str">
        <f t="array" ref="AD52">IFERROR(INDEX(OctR!$A$1:$AP96,MATCH("Utilidad Bruta",OctR!$A$1:$A96,0),MATCH($A52,OctR!$A$6:AO$6,0),),"")</f>
        <v/>
      </c>
      <c r="AG52" s="51" t="str">
        <f t="array" ref="AG52">IFERROR(INDEX(NovR!$A$1:$AP96,MATCH("Utilidad Bruta",NovR!$A$1:$A96,0),MATCH($A52,NovR!$A$6:AO$6,0),),"")</f>
        <v/>
      </c>
      <c r="AJ52" s="51" t="str">
        <f t="array" ref="AJ52">IFERROR(INDEX(DicR!$A$1:$AP96,MATCH("Utilidad Bruta",DicR!$A$1:$A96,0),MATCH($A52,DicR!$A$6:AO$6,0),),"")</f>
        <v/>
      </c>
    </row>
    <row r="53" ht="15.75" customHeight="1">
      <c r="A53" s="12"/>
      <c r="B53" s="51" t="str">
        <f t="shared" si="1"/>
        <v/>
      </c>
      <c r="C53" s="51" t="str">
        <f t="array" ref="C53">IFERROR(INDEX(EneR!$A$1:$AO96,MATCH("Utilidad Bruta",EneR!$A$1:$A96,0),MATCH($A53,EneR!$A$6:AO$6,0),),"")</f>
        <v/>
      </c>
      <c r="F53" s="51" t="str">
        <f t="array" ref="F53">IFERROR(INDEX(FebR!$A$1:$AP96,MATCH("Utilidad Bruta",FebR!$A$1:$A96,0),MATCH($A53,FebR!$A$6:AO$6,0),),"")</f>
        <v/>
      </c>
      <c r="I53" s="51" t="str">
        <f t="array" ref="I53">IFERROR(INDEX(MarR!$A$1:$AP96,MATCH("Utilidad Bruta",MarR!$A$1:$A96,0),MATCH($A53,MarR!$A$6:AO$6,0),),"")</f>
        <v/>
      </c>
      <c r="L53" s="51" t="str">
        <f t="array" ref="L53">IFERROR(INDEX(AbrR!$A$1:$AP96,MATCH("Utilidad Bruta",AbrR!$A$1:$A96,0),MATCH($A53,AbrR!$A$6:AO$6,0),),"")</f>
        <v/>
      </c>
      <c r="O53" s="51" t="str">
        <f t="array" ref="O53">IFERROR(INDEX(MayR!$A$1:$BK96,MATCH("Utilidad Bruta",MayR!$A$1:$A96,0),MATCH($A53,MayR!$A$6:AO$6,0),),"")</f>
        <v/>
      </c>
      <c r="R53" s="51" t="str">
        <f t="array" ref="R53">IFERROR(INDEX(JunR!$A$1:$AP96,MATCH("Utilidad Bruta",JunR!$A$1:$A96,0),MATCH($A53,JunR!$A$6:AO$6,0),),"")</f>
        <v/>
      </c>
      <c r="U53" s="51" t="str">
        <f t="array" ref="U53">IFERROR(INDEX(JulR!$A$1:$AP96,MATCH("Utilidad Bruta",JulR!$A$1:$A96,0),MATCH($A53,JulR!$A$6:AO$6,0),),"")</f>
        <v/>
      </c>
      <c r="X53" s="51" t="str">
        <f t="array" ref="X53">IFERROR(INDEX(AgoR!$A$1:$AP96,MATCH("Utilidad Bruta",AgoR!$A$1:$A96,0),MATCH($A53,AgoR!$A$6:AO$6,0),),"")</f>
        <v/>
      </c>
      <c r="AA53" s="51" t="str">
        <f t="array" ref="AA53">IFERROR(INDEX(SepR!$A$1:$AV96,MATCH("Utilidad Bruta",SepR!$A$1:$A96,0),MATCH($A53,SepR!$A$6:AO$6,0),),"")</f>
        <v/>
      </c>
      <c r="AD53" s="51" t="str">
        <f t="array" ref="AD53">IFERROR(INDEX(OctR!$A$1:$AP96,MATCH("Utilidad Bruta",OctR!$A$1:$A96,0),MATCH($A53,OctR!$A$6:AO$6,0),),"")</f>
        <v/>
      </c>
      <c r="AG53" s="51" t="str">
        <f t="array" ref="AG53">IFERROR(INDEX(NovR!$A$1:$AP96,MATCH("Utilidad Bruta",NovR!$A$1:$A96,0),MATCH($A53,NovR!$A$6:AO$6,0),),"")</f>
        <v/>
      </c>
      <c r="AJ53" s="51" t="str">
        <f t="array" ref="AJ53">IFERROR(INDEX(DicR!$A$1:$AP96,MATCH("Utilidad Bruta",DicR!$A$1:$A96,0),MATCH($A53,DicR!$A$6:AO$6,0),),"")</f>
        <v/>
      </c>
    </row>
    <row r="54" ht="15.75" customHeight="1">
      <c r="A54" s="12"/>
      <c r="B54" s="51" t="str">
        <f t="shared" si="1"/>
        <v/>
      </c>
      <c r="C54" s="51" t="str">
        <f t="array" ref="C54">IFERROR(INDEX(EneR!$A$1:$AO96,MATCH("Utilidad Bruta",EneR!$A$1:$A96,0),MATCH($A54,EneR!$A$6:AO$6,0),),"")</f>
        <v/>
      </c>
      <c r="F54" s="51" t="str">
        <f t="array" ref="F54">IFERROR(INDEX(FebR!$A$1:$AP96,MATCH("Utilidad Bruta",FebR!$A$1:$A96,0),MATCH($A54,FebR!$A$6:AO$6,0),),"")</f>
        <v/>
      </c>
      <c r="I54" s="51" t="str">
        <f t="array" ref="I54">IFERROR(INDEX(MarR!$A$1:$AP96,MATCH("Utilidad Bruta",MarR!$A$1:$A96,0),MATCH($A54,MarR!$A$6:AO$6,0),),"")</f>
        <v/>
      </c>
      <c r="L54" s="51" t="str">
        <f t="array" ref="L54">IFERROR(INDEX(AbrR!$A$1:$AP96,MATCH("Utilidad Bruta",AbrR!$A$1:$A96,0),MATCH($A54,AbrR!$A$6:AO$6,0),),"")</f>
        <v/>
      </c>
      <c r="O54" s="51" t="str">
        <f t="array" ref="O54">IFERROR(INDEX(MayR!$A$1:$BK96,MATCH("Utilidad Bruta",MayR!$A$1:$A96,0),MATCH($A54,MayR!$A$6:AO$6,0),),"")</f>
        <v/>
      </c>
      <c r="R54" s="51" t="str">
        <f t="array" ref="R54">IFERROR(INDEX(JunR!$A$1:$AP96,MATCH("Utilidad Bruta",JunR!$A$1:$A96,0),MATCH($A54,JunR!$A$6:AO$6,0),),"")</f>
        <v/>
      </c>
      <c r="U54" s="51" t="str">
        <f t="array" ref="U54">IFERROR(INDEX(JulR!$A$1:$AP96,MATCH("Utilidad Bruta",JulR!$A$1:$A96,0),MATCH($A54,JulR!$A$6:AO$6,0),),"")</f>
        <v/>
      </c>
      <c r="X54" s="51" t="str">
        <f t="array" ref="X54">IFERROR(INDEX(AgoR!$A$1:$AP96,MATCH("Utilidad Bruta",AgoR!$A$1:$A96,0),MATCH($A54,AgoR!$A$6:AO$6,0),),"")</f>
        <v/>
      </c>
      <c r="AA54" s="51" t="str">
        <f t="array" ref="AA54">IFERROR(INDEX(SepR!$A$1:$AV96,MATCH("Utilidad Bruta",SepR!$A$1:$A96,0),MATCH($A54,SepR!$A$6:AO$6,0),),"")</f>
        <v/>
      </c>
      <c r="AD54" s="51" t="str">
        <f t="array" ref="AD54">IFERROR(INDEX(OctR!$A$1:$AP96,MATCH("Utilidad Bruta",OctR!$A$1:$A96,0),MATCH($A54,OctR!$A$6:AO$6,0),),"")</f>
        <v/>
      </c>
      <c r="AG54" s="51" t="str">
        <f t="array" ref="AG54">IFERROR(INDEX(NovR!$A$1:$AP96,MATCH("Utilidad Bruta",NovR!$A$1:$A96,0),MATCH($A54,NovR!$A$6:AO$6,0),),"")</f>
        <v/>
      </c>
      <c r="AJ54" s="51" t="str">
        <f t="array" ref="AJ54">IFERROR(INDEX(DicR!$A$1:$AP96,MATCH("Utilidad Bruta",DicR!$A$1:$A96,0),MATCH($A54,DicR!$A$6:AO$6,0),),"")</f>
        <v/>
      </c>
    </row>
    <row r="55" ht="15.75" customHeight="1">
      <c r="A55" s="12"/>
      <c r="B55" s="51" t="str">
        <f t="shared" si="1"/>
        <v/>
      </c>
      <c r="C55" s="51" t="str">
        <f t="array" ref="C55">IFERROR(INDEX(EneR!$A$1:$AO96,MATCH("Utilidad Bruta",EneR!$A$1:$A96,0),MATCH($A55,EneR!$A$6:AO$6,0),),"")</f>
        <v/>
      </c>
      <c r="F55" s="51" t="str">
        <f t="array" ref="F55">IFERROR(INDEX(FebR!$A$1:$AP96,MATCH("Utilidad Bruta",FebR!$A$1:$A96,0),MATCH($A55,FebR!$A$6:AO$6,0),),"")</f>
        <v/>
      </c>
      <c r="I55" s="51" t="str">
        <f t="array" ref="I55">IFERROR(INDEX(MarR!$A$1:$AP96,MATCH("Utilidad Bruta",MarR!$A$1:$A96,0),MATCH($A55,MarR!$A$6:AO$6,0),),"")</f>
        <v/>
      </c>
      <c r="L55" s="51" t="str">
        <f t="array" ref="L55">IFERROR(INDEX(AbrR!$A$1:$AP96,MATCH("Utilidad Bruta",AbrR!$A$1:$A96,0),MATCH($A55,AbrR!$A$6:AO$6,0),),"")</f>
        <v/>
      </c>
      <c r="O55" s="51" t="str">
        <f t="array" ref="O55">IFERROR(INDEX(MayR!$A$1:$BK96,MATCH("Utilidad Bruta",MayR!$A$1:$A96,0),MATCH($A55,MayR!$A$6:AO$6,0),),"")</f>
        <v/>
      </c>
      <c r="R55" s="51" t="str">
        <f t="array" ref="R55">IFERROR(INDEX(JunR!$A$1:$AP96,MATCH("Utilidad Bruta",JunR!$A$1:$A96,0),MATCH($A55,JunR!$A$6:AO$6,0),),"")</f>
        <v/>
      </c>
      <c r="U55" s="51" t="str">
        <f t="array" ref="U55">IFERROR(INDEX(JulR!$A$1:$AP96,MATCH("Utilidad Bruta",JulR!$A$1:$A96,0),MATCH($A55,JulR!$A$6:AO$6,0),),"")</f>
        <v/>
      </c>
      <c r="X55" s="51" t="str">
        <f t="array" ref="X55">IFERROR(INDEX(AgoR!$A$1:$AP96,MATCH("Utilidad Bruta",AgoR!$A$1:$A96,0),MATCH($A55,AgoR!$A$6:AO$6,0),),"")</f>
        <v/>
      </c>
      <c r="AA55" s="51" t="str">
        <f t="array" ref="AA55">IFERROR(INDEX(SepR!$A$1:$AV96,MATCH("Utilidad Bruta",SepR!$A$1:$A96,0),MATCH($A55,SepR!$A$6:AO$6,0),),"")</f>
        <v/>
      </c>
      <c r="AD55" s="51" t="str">
        <f t="array" ref="AD55">IFERROR(INDEX(OctR!$A$1:$AP96,MATCH("Utilidad Bruta",OctR!$A$1:$A96,0),MATCH($A55,OctR!$A$6:AO$6,0),),"")</f>
        <v/>
      </c>
      <c r="AG55" s="51" t="str">
        <f t="array" ref="AG55">IFERROR(INDEX(NovR!$A$1:$AP96,MATCH("Utilidad Bruta",NovR!$A$1:$A96,0),MATCH($A55,NovR!$A$6:AO$6,0),),"")</f>
        <v/>
      </c>
      <c r="AJ55" s="51" t="str">
        <f t="array" ref="AJ55">IFERROR(INDEX(DicR!$A$1:$AP96,MATCH("Utilidad Bruta",DicR!$A$1:$A96,0),MATCH($A55,DicR!$A$6:AO$6,0),),"")</f>
        <v/>
      </c>
    </row>
    <row r="56" ht="15.75" customHeight="1">
      <c r="A56" s="12"/>
      <c r="B56" s="51" t="str">
        <f t="shared" si="1"/>
        <v/>
      </c>
      <c r="C56" s="51" t="str">
        <f t="array" ref="C56">IFERROR(INDEX(EneR!$A$1:$AO96,MATCH("Utilidad Bruta",EneR!$A$1:$A96,0),MATCH($A56,EneR!$A$6:AO$6,0),),"")</f>
        <v/>
      </c>
      <c r="F56" s="51" t="str">
        <f t="array" ref="F56">IFERROR(INDEX(FebR!$A$1:$AP96,MATCH("Utilidad Bruta",FebR!$A$1:$A96,0),MATCH($A56,FebR!$A$6:AO$6,0),),"")</f>
        <v/>
      </c>
      <c r="I56" s="51" t="str">
        <f t="array" ref="I56">IFERROR(INDEX(MarR!$A$1:$AP96,MATCH("Utilidad Bruta",MarR!$A$1:$A96,0),MATCH($A56,MarR!$A$6:AO$6,0),),"")</f>
        <v/>
      </c>
      <c r="L56" s="51" t="str">
        <f t="array" ref="L56">IFERROR(INDEX(AbrR!$A$1:$AP96,MATCH("Utilidad Bruta",AbrR!$A$1:$A96,0),MATCH($A56,AbrR!$A$6:AO$6,0),),"")</f>
        <v/>
      </c>
      <c r="O56" s="51" t="str">
        <f t="array" ref="O56">IFERROR(INDEX(MayR!$A$1:$BK96,MATCH("Utilidad Bruta",MayR!$A$1:$A96,0),MATCH($A56,MayR!$A$6:AO$6,0),),"")</f>
        <v/>
      </c>
      <c r="R56" s="51" t="str">
        <f t="array" ref="R56">IFERROR(INDEX(JunR!$A$1:$AP96,MATCH("Utilidad Bruta",JunR!$A$1:$A96,0),MATCH($A56,JunR!$A$6:AO$6,0),),"")</f>
        <v/>
      </c>
      <c r="U56" s="51" t="str">
        <f t="array" ref="U56">IFERROR(INDEX(JulR!$A$1:$AP96,MATCH("Utilidad Bruta",JulR!$A$1:$A96,0),MATCH($A56,JulR!$A$6:AO$6,0),),"")</f>
        <v/>
      </c>
      <c r="X56" s="51" t="str">
        <f t="array" ref="X56">IFERROR(INDEX(AgoR!$A$1:$AP96,MATCH("Utilidad Bruta",AgoR!$A$1:$A96,0),MATCH($A56,AgoR!$A$6:AO$6,0),),"")</f>
        <v/>
      </c>
      <c r="AA56" s="51" t="str">
        <f t="array" ref="AA56">IFERROR(INDEX(SepR!$A$1:$AV96,MATCH("Utilidad Bruta",SepR!$A$1:$A96,0),MATCH($A56,SepR!$A$6:AO$6,0),),"")</f>
        <v/>
      </c>
      <c r="AD56" s="51" t="str">
        <f t="array" ref="AD56">IFERROR(INDEX(OctR!$A$1:$AP96,MATCH("Utilidad Bruta",OctR!$A$1:$A96,0),MATCH($A56,OctR!$A$6:AO$6,0),),"")</f>
        <v/>
      </c>
      <c r="AG56" s="51" t="str">
        <f t="array" ref="AG56">IFERROR(INDEX(NovR!$A$1:$AP96,MATCH("Utilidad Bruta",NovR!$A$1:$A96,0),MATCH($A56,NovR!$A$6:AO$6,0),),"")</f>
        <v/>
      </c>
      <c r="AJ56" s="51" t="str">
        <f t="array" ref="AJ56">IFERROR(INDEX(DicR!$A$1:$AP96,MATCH("Utilidad Bruta",DicR!$A$1:$A96,0),MATCH($A56,DicR!$A$6:AO$6,0),),"")</f>
        <v/>
      </c>
    </row>
    <row r="57" ht="15.75" customHeight="1">
      <c r="A57" s="12"/>
      <c r="B57" s="51" t="str">
        <f t="shared" si="1"/>
        <v/>
      </c>
      <c r="C57" s="51" t="str">
        <f t="array" ref="C57">IFERROR(INDEX(EneR!$A$1:$AO96,MATCH("Utilidad Bruta",EneR!$A$1:$A96,0),MATCH($A57,EneR!$A$6:AO$6,0),),"")</f>
        <v/>
      </c>
      <c r="F57" s="51" t="str">
        <f t="array" ref="F57">IFERROR(INDEX(FebR!$A$1:$AP96,MATCH("Utilidad Bruta",FebR!$A$1:$A96,0),MATCH($A57,FebR!$A$6:AO$6,0),),"")</f>
        <v/>
      </c>
      <c r="I57" s="51" t="str">
        <f t="array" ref="I57">IFERROR(INDEX(MarR!$A$1:$AP96,MATCH("Utilidad Bruta",MarR!$A$1:$A96,0),MATCH($A57,MarR!$A$6:AO$6,0),),"")</f>
        <v/>
      </c>
      <c r="L57" s="51" t="str">
        <f t="array" ref="L57">IFERROR(INDEX(AbrR!$A$1:$AP96,MATCH("Utilidad Bruta",AbrR!$A$1:$A96,0),MATCH($A57,AbrR!$A$6:AO$6,0),),"")</f>
        <v/>
      </c>
      <c r="O57" s="51" t="str">
        <f t="array" ref="O57">IFERROR(INDEX(MayR!$A$1:$BK96,MATCH("Utilidad Bruta",MayR!$A$1:$A96,0),MATCH($A57,MayR!$A$6:AO$6,0),),"")</f>
        <v/>
      </c>
      <c r="R57" s="51" t="str">
        <f t="array" ref="R57">IFERROR(INDEX(JunR!$A$1:$AP96,MATCH("Utilidad Bruta",JunR!$A$1:$A96,0),MATCH($A57,JunR!$A$6:AO$6,0),),"")</f>
        <v/>
      </c>
      <c r="U57" s="51" t="str">
        <f t="array" ref="U57">IFERROR(INDEX(JulR!$A$1:$AP96,MATCH("Utilidad Bruta",JulR!$A$1:$A96,0),MATCH($A57,JulR!$A$6:AO$6,0),),"")</f>
        <v/>
      </c>
      <c r="X57" s="51" t="str">
        <f t="array" ref="X57">IFERROR(INDEX(AgoR!$A$1:$AP96,MATCH("Utilidad Bruta",AgoR!$A$1:$A96,0),MATCH($A57,AgoR!$A$6:AO$6,0),),"")</f>
        <v/>
      </c>
      <c r="AA57" s="51" t="str">
        <f t="array" ref="AA57">IFERROR(INDEX(SepR!$A$1:$AV96,MATCH("Utilidad Bruta",SepR!$A$1:$A96,0),MATCH($A57,SepR!$A$6:AO$6,0),),"")</f>
        <v/>
      </c>
      <c r="AD57" s="51" t="str">
        <f t="array" ref="AD57">IFERROR(INDEX(OctR!$A$1:$AP96,MATCH("Utilidad Bruta",OctR!$A$1:$A96,0),MATCH($A57,OctR!$A$6:AO$6,0),),"")</f>
        <v/>
      </c>
      <c r="AG57" s="51" t="str">
        <f t="array" ref="AG57">IFERROR(INDEX(NovR!$A$1:$AP96,MATCH("Utilidad Bruta",NovR!$A$1:$A96,0),MATCH($A57,NovR!$A$6:AO$6,0),),"")</f>
        <v/>
      </c>
      <c r="AJ57" s="51" t="str">
        <f t="array" ref="AJ57">IFERROR(INDEX(DicR!$A$1:$AP96,MATCH("Utilidad Bruta",DicR!$A$1:$A96,0),MATCH($A57,DicR!$A$6:AO$6,0),),"")</f>
        <v/>
      </c>
    </row>
    <row r="58" ht="15.75" customHeight="1">
      <c r="A58" s="12"/>
      <c r="B58" s="51" t="str">
        <f t="shared" si="1"/>
        <v/>
      </c>
      <c r="C58" s="51" t="str">
        <f t="array" ref="C58">IFERROR(INDEX(EneR!$A$1:$AO96,MATCH("Utilidad Bruta",EneR!$A$1:$A96,0),MATCH($A58,EneR!$A$6:AO$6,0),),"")</f>
        <v/>
      </c>
      <c r="F58" s="51" t="str">
        <f t="array" ref="F58">IFERROR(INDEX(FebR!$A$1:$AP96,MATCH("Utilidad Bruta",FebR!$A$1:$A96,0),MATCH($A58,FebR!$A$6:AO$6,0),),"")</f>
        <v/>
      </c>
      <c r="I58" s="51" t="str">
        <f t="array" ref="I58">IFERROR(INDEX(MarR!$A$1:$AP96,MATCH("Utilidad Bruta",MarR!$A$1:$A96,0),MATCH($A58,MarR!$A$6:AO$6,0),),"")</f>
        <v/>
      </c>
      <c r="L58" s="51" t="str">
        <f t="array" ref="L58">IFERROR(INDEX(AbrR!$A$1:$AP96,MATCH("Utilidad Bruta",AbrR!$A$1:$A96,0),MATCH($A58,AbrR!$A$6:AO$6,0),),"")</f>
        <v/>
      </c>
      <c r="O58" s="51" t="str">
        <f t="array" ref="O58">IFERROR(INDEX(MayR!$A$1:$BK96,MATCH("Utilidad Bruta",MayR!$A$1:$A96,0),MATCH($A58,MayR!$A$6:AO$6,0),),"")</f>
        <v/>
      </c>
      <c r="R58" s="51" t="str">
        <f t="array" ref="R58">IFERROR(INDEX(JunR!$A$1:$AP96,MATCH("Utilidad Bruta",JunR!$A$1:$A96,0),MATCH($A58,JunR!$A$6:AO$6,0),),"")</f>
        <v/>
      </c>
      <c r="U58" s="51" t="str">
        <f t="array" ref="U58">IFERROR(INDEX(JulR!$A$1:$AP96,MATCH("Utilidad Bruta",JulR!$A$1:$A96,0),MATCH($A58,JulR!$A$6:AO$6,0),),"")</f>
        <v/>
      </c>
      <c r="X58" s="51" t="str">
        <f t="array" ref="X58">IFERROR(INDEX(AgoR!$A$1:$AP96,MATCH("Utilidad Bruta",AgoR!$A$1:$A96,0),MATCH($A58,AgoR!$A$6:AO$6,0),),"")</f>
        <v/>
      </c>
      <c r="AA58" s="51" t="str">
        <f t="array" ref="AA58">IFERROR(INDEX(SepR!$A$1:$AV96,MATCH("Utilidad Bruta",SepR!$A$1:$A96,0),MATCH($A58,SepR!$A$6:AO$6,0),),"")</f>
        <v/>
      </c>
      <c r="AD58" s="51" t="str">
        <f t="array" ref="AD58">IFERROR(INDEX(OctR!$A$1:$AP96,MATCH("Utilidad Bruta",OctR!$A$1:$A96,0),MATCH($A58,OctR!$A$6:AO$6,0),),"")</f>
        <v/>
      </c>
      <c r="AG58" s="51" t="str">
        <f t="array" ref="AG58">IFERROR(INDEX(NovR!$A$1:$AP96,MATCH("Utilidad Bruta",NovR!$A$1:$A96,0),MATCH($A58,NovR!$A$6:AO$6,0),),"")</f>
        <v/>
      </c>
      <c r="AJ58" s="51" t="str">
        <f t="array" ref="AJ58">IFERROR(INDEX(DicR!$A$1:$AP96,MATCH("Utilidad Bruta",DicR!$A$1:$A96,0),MATCH($A58,DicR!$A$6:AO$6,0),),"")</f>
        <v/>
      </c>
    </row>
    <row r="59" ht="15.75" customHeight="1">
      <c r="A59" s="12"/>
      <c r="B59" s="51" t="str">
        <f t="shared" si="1"/>
        <v/>
      </c>
      <c r="C59" s="51" t="str">
        <f t="array" ref="C59">IFERROR(INDEX(EneR!$A$1:$AO96,MATCH("Utilidad Bruta",EneR!$A$1:$A96,0),MATCH($A59,EneR!$A$6:AO$6,0),),"")</f>
        <v/>
      </c>
      <c r="F59" s="51" t="str">
        <f t="array" ref="F59">IFERROR(INDEX(FebR!$A$1:$AP96,MATCH("Utilidad Bruta",FebR!$A$1:$A96,0),MATCH($A59,FebR!$A$6:AO$6,0),),"")</f>
        <v/>
      </c>
      <c r="I59" s="51" t="str">
        <f t="array" ref="I59">IFERROR(INDEX(MarR!$A$1:$AP96,MATCH("Utilidad Bruta",MarR!$A$1:$A96,0),MATCH($A59,MarR!$A$6:AO$6,0),),"")</f>
        <v/>
      </c>
      <c r="L59" s="51" t="str">
        <f t="array" ref="L59">IFERROR(INDEX(AbrR!$A$1:$AP96,MATCH("Utilidad Bruta",AbrR!$A$1:$A96,0),MATCH($A59,AbrR!$A$6:AO$6,0),),"")</f>
        <v/>
      </c>
      <c r="O59" s="51" t="str">
        <f t="array" ref="O59">IFERROR(INDEX(MayR!$A$1:$BK96,MATCH("Utilidad Bruta",MayR!$A$1:$A96,0),MATCH($A59,MayR!$A$6:AO$6,0),),"")</f>
        <v/>
      </c>
      <c r="R59" s="51" t="str">
        <f t="array" ref="R59">IFERROR(INDEX(JunR!$A$1:$AP96,MATCH("Utilidad Bruta",JunR!$A$1:$A96,0),MATCH($A59,JunR!$A$6:AO$6,0),),"")</f>
        <v/>
      </c>
      <c r="U59" s="51" t="str">
        <f t="array" ref="U59">IFERROR(INDEX(JulR!$A$1:$AP96,MATCH("Utilidad Bruta",JulR!$A$1:$A96,0),MATCH($A59,JulR!$A$6:AO$6,0),),"")</f>
        <v/>
      </c>
      <c r="X59" s="51" t="str">
        <f t="array" ref="X59">IFERROR(INDEX(AgoR!$A$1:$AP96,MATCH("Utilidad Bruta",AgoR!$A$1:$A96,0),MATCH($A59,AgoR!$A$6:AO$6,0),),"")</f>
        <v/>
      </c>
      <c r="AA59" s="51" t="str">
        <f t="array" ref="AA59">IFERROR(INDEX(SepR!$A$1:$AV96,MATCH("Utilidad Bruta",SepR!$A$1:$A96,0),MATCH($A59,SepR!$A$6:AO$6,0),),"")</f>
        <v/>
      </c>
      <c r="AD59" s="51" t="str">
        <f t="array" ref="AD59">IFERROR(INDEX(OctR!$A$1:$AP96,MATCH("Utilidad Bruta",OctR!$A$1:$A96,0),MATCH($A59,OctR!$A$6:AO$6,0),),"")</f>
        <v/>
      </c>
      <c r="AG59" s="51" t="str">
        <f t="array" ref="AG59">IFERROR(INDEX(NovR!$A$1:$AP96,MATCH("Utilidad Bruta",NovR!$A$1:$A96,0),MATCH($A59,NovR!$A$6:AO$6,0),),"")</f>
        <v/>
      </c>
      <c r="AJ59" s="51" t="str">
        <f t="array" ref="AJ59">IFERROR(INDEX(DicR!$A$1:$AP96,MATCH("Utilidad Bruta",DicR!$A$1:$A96,0),MATCH($A59,DicR!$A$6:AO$6,0),),"")</f>
        <v/>
      </c>
    </row>
    <row r="60" ht="15.75" customHeight="1">
      <c r="A60" s="12"/>
      <c r="B60" s="51" t="str">
        <f t="shared" si="1"/>
        <v/>
      </c>
      <c r="C60" s="51" t="str">
        <f t="array" ref="C60">IFERROR(INDEX(EneR!$A$1:$AO96,MATCH("Utilidad Bruta",EneR!$A$1:$A96,0),MATCH($A60,EneR!$A$6:AO$6,0),),"")</f>
        <v/>
      </c>
      <c r="F60" s="51" t="str">
        <f t="array" ref="F60">IFERROR(INDEX(FebR!$A$1:$AP96,MATCH("Utilidad Bruta",FebR!$A$1:$A96,0),MATCH($A60,FebR!$A$6:AO$6,0),),"")</f>
        <v/>
      </c>
      <c r="I60" s="51" t="str">
        <f t="array" ref="I60">IFERROR(INDEX(MarR!$A$1:$AP96,MATCH("Utilidad Bruta",MarR!$A$1:$A96,0),MATCH($A60,MarR!$A$6:AO$6,0),),"")</f>
        <v/>
      </c>
      <c r="L60" s="51" t="str">
        <f t="array" ref="L60">IFERROR(INDEX(AbrR!$A$1:$AP96,MATCH("Utilidad Bruta",AbrR!$A$1:$A96,0),MATCH($A60,AbrR!$A$6:AO$6,0),),"")</f>
        <v/>
      </c>
      <c r="O60" s="51" t="str">
        <f t="array" ref="O60">IFERROR(INDEX(MayR!$A$1:$BK96,MATCH("Utilidad Bruta",MayR!$A$1:$A96,0),MATCH($A60,MayR!$A$6:AO$6,0),),"")</f>
        <v/>
      </c>
      <c r="R60" s="51" t="str">
        <f t="array" ref="R60">IFERROR(INDEX(JunR!$A$1:$AP96,MATCH("Utilidad Bruta",JunR!$A$1:$A96,0),MATCH($A60,JunR!$A$6:AO$6,0),),"")</f>
        <v/>
      </c>
      <c r="U60" s="51" t="str">
        <f t="array" ref="U60">IFERROR(INDEX(JulR!$A$1:$AP96,MATCH("Utilidad Bruta",JulR!$A$1:$A96,0),MATCH($A60,JulR!$A$6:AO$6,0),),"")</f>
        <v/>
      </c>
      <c r="X60" s="51" t="str">
        <f t="array" ref="X60">IFERROR(INDEX(AgoR!$A$1:$AP96,MATCH("Utilidad Bruta",AgoR!$A$1:$A96,0),MATCH($A60,AgoR!$A$6:AO$6,0),),"")</f>
        <v/>
      </c>
      <c r="AA60" s="51" t="str">
        <f t="array" ref="AA60">IFERROR(INDEX(SepR!$A$1:$AV96,MATCH("Utilidad Bruta",SepR!$A$1:$A96,0),MATCH($A60,SepR!$A$6:AO$6,0),),"")</f>
        <v/>
      </c>
      <c r="AD60" s="51" t="str">
        <f t="array" ref="AD60">IFERROR(INDEX(OctR!$A$1:$AP96,MATCH("Utilidad Bruta",OctR!$A$1:$A96,0),MATCH($A60,OctR!$A$6:AO$6,0),),"")</f>
        <v/>
      </c>
      <c r="AG60" s="51" t="str">
        <f t="array" ref="AG60">IFERROR(INDEX(NovR!$A$1:$AP96,MATCH("Utilidad Bruta",NovR!$A$1:$A96,0),MATCH($A60,NovR!$A$6:AO$6,0),),"")</f>
        <v/>
      </c>
      <c r="AJ60" s="51" t="str">
        <f t="array" ref="AJ60">IFERROR(INDEX(DicR!$A$1:$AP96,MATCH("Utilidad Bruta",DicR!$A$1:$A96,0),MATCH($A60,DicR!$A$6:AO$6,0),),"")</f>
        <v/>
      </c>
    </row>
    <row r="61" ht="15.75" customHeight="1">
      <c r="A61" s="12"/>
      <c r="B61" s="51" t="str">
        <f t="shared" si="1"/>
        <v/>
      </c>
      <c r="C61" s="51" t="str">
        <f t="array" ref="C61">IFERROR(INDEX(EneR!$A$1:$AO96,MATCH("Utilidad Bruta",EneR!$A$1:$A96,0),MATCH($A61,EneR!$A$6:AO$6,0),),"")</f>
        <v/>
      </c>
      <c r="F61" s="51" t="str">
        <f t="array" ref="F61">IFERROR(INDEX(FebR!$A$1:$AP96,MATCH("Utilidad Bruta",FebR!$A$1:$A96,0),MATCH($A61,FebR!$A$6:AO$6,0),),"")</f>
        <v/>
      </c>
      <c r="I61" s="51" t="str">
        <f t="array" ref="I61">IFERROR(INDEX(MarR!$A$1:$AP96,MATCH("Utilidad Bruta",MarR!$A$1:$A96,0),MATCH($A61,MarR!$A$6:AO$6,0),),"")</f>
        <v/>
      </c>
      <c r="L61" s="51" t="str">
        <f t="array" ref="L61">IFERROR(INDEX(AbrR!$A$1:$AP96,MATCH("Utilidad Bruta",AbrR!$A$1:$A96,0),MATCH($A61,AbrR!$A$6:AO$6,0),),"")</f>
        <v/>
      </c>
      <c r="O61" s="51" t="str">
        <f t="array" ref="O61">IFERROR(INDEX(MayR!$A$1:$BK96,MATCH("Utilidad Bruta",MayR!$A$1:$A96,0),MATCH($A61,MayR!$A$6:AO$6,0),),"")</f>
        <v/>
      </c>
      <c r="R61" s="51" t="str">
        <f t="array" ref="R61">IFERROR(INDEX(JunR!$A$1:$AP96,MATCH("Utilidad Bruta",JunR!$A$1:$A96,0),MATCH($A61,JunR!$A$6:AO$6,0),),"")</f>
        <v/>
      </c>
      <c r="U61" s="51" t="str">
        <f t="array" ref="U61">IFERROR(INDEX(JulR!$A$1:$AP96,MATCH("Utilidad Bruta",JulR!$A$1:$A96,0),MATCH($A61,JulR!$A$6:AO$6,0),),"")</f>
        <v/>
      </c>
      <c r="X61" s="51" t="str">
        <f t="array" ref="X61">IFERROR(INDEX(AgoR!$A$1:$AP96,MATCH("Utilidad Bruta",AgoR!$A$1:$A96,0),MATCH($A61,AgoR!$A$6:AO$6,0),),"")</f>
        <v/>
      </c>
      <c r="AA61" s="51" t="str">
        <f t="array" ref="AA61">IFERROR(INDEX(SepR!$A$1:$AV96,MATCH("Utilidad Bruta",SepR!$A$1:$A96,0),MATCH($A61,SepR!$A$6:AO$6,0),),"")</f>
        <v/>
      </c>
      <c r="AD61" s="51" t="str">
        <f t="array" ref="AD61">IFERROR(INDEX(OctR!$A$1:$AP96,MATCH("Utilidad Bruta",OctR!$A$1:$A96,0),MATCH($A61,OctR!$A$6:AO$6,0),),"")</f>
        <v/>
      </c>
      <c r="AG61" s="51" t="str">
        <f t="array" ref="AG61">IFERROR(INDEX(NovR!$A$1:$AP96,MATCH("Utilidad Bruta",NovR!$A$1:$A96,0),MATCH($A61,NovR!$A$6:AO$6,0),),"")</f>
        <v/>
      </c>
      <c r="AJ61" s="51" t="str">
        <f t="array" ref="AJ61">IFERROR(INDEX(DicR!$A$1:$AP96,MATCH("Utilidad Bruta",DicR!$A$1:$A96,0),MATCH($A61,DicR!$A$6:AO$6,0),),"")</f>
        <v/>
      </c>
    </row>
    <row r="62" ht="15.75" customHeight="1">
      <c r="A62" s="12"/>
      <c r="B62" s="51" t="str">
        <f t="shared" si="1"/>
        <v/>
      </c>
      <c r="C62" s="51" t="str">
        <f t="array" ref="C62">IFERROR(INDEX(EneR!$A$1:$AO96,MATCH("Utilidad Bruta",EneR!$A$1:$A96,0),MATCH($A62,EneR!$A$6:AO$6,0),),"")</f>
        <v/>
      </c>
      <c r="F62" s="51" t="str">
        <f t="array" ref="F62">IFERROR(INDEX(FebR!$A$1:$AP96,MATCH("Utilidad Bruta",FebR!$A$1:$A96,0),MATCH($A62,FebR!$A$6:AO$6,0),),"")</f>
        <v/>
      </c>
      <c r="I62" s="51" t="str">
        <f t="array" ref="I62">IFERROR(INDEX(MarR!$A$1:$AP96,MATCH("Utilidad Bruta",MarR!$A$1:$A96,0),MATCH($A62,MarR!$A$6:AO$6,0),),"")</f>
        <v/>
      </c>
      <c r="L62" s="51" t="str">
        <f t="array" ref="L62">IFERROR(INDEX(AbrR!$A$1:$AP96,MATCH("Utilidad Bruta",AbrR!$A$1:$A96,0),MATCH($A62,AbrR!$A$6:AO$6,0),),"")</f>
        <v/>
      </c>
      <c r="O62" s="51" t="str">
        <f t="array" ref="O62">IFERROR(INDEX(MayR!$A$1:$BK96,MATCH("Utilidad Bruta",MayR!$A$1:$A96,0),MATCH($A62,MayR!$A$6:AO$6,0),),"")</f>
        <v/>
      </c>
      <c r="R62" s="51" t="str">
        <f t="array" ref="R62">IFERROR(INDEX(JunR!$A$1:$AP96,MATCH("Utilidad Bruta",JunR!$A$1:$A96,0),MATCH($A62,JunR!$A$6:AO$6,0),),"")</f>
        <v/>
      </c>
      <c r="U62" s="51" t="str">
        <f t="array" ref="U62">IFERROR(INDEX(JulR!$A$1:$AP96,MATCH("Utilidad Bruta",JulR!$A$1:$A96,0),MATCH($A62,JulR!$A$6:AO$6,0),),"")</f>
        <v/>
      </c>
      <c r="X62" s="51" t="str">
        <f t="array" ref="X62">IFERROR(INDEX(AgoR!$A$1:$AP96,MATCH("Utilidad Bruta",AgoR!$A$1:$A96,0),MATCH($A62,AgoR!$A$6:AO$6,0),),"")</f>
        <v/>
      </c>
      <c r="AA62" s="51" t="str">
        <f t="array" ref="AA62">IFERROR(INDEX(SepR!$A$1:$AV96,MATCH("Utilidad Bruta",SepR!$A$1:$A96,0),MATCH($A62,SepR!$A$6:AO$6,0),),"")</f>
        <v/>
      </c>
      <c r="AD62" s="51" t="str">
        <f t="array" ref="AD62">IFERROR(INDEX(OctR!$A$1:$AP96,MATCH("Utilidad Bruta",OctR!$A$1:$A96,0),MATCH($A62,OctR!$A$6:AO$6,0),),"")</f>
        <v/>
      </c>
      <c r="AG62" s="51" t="str">
        <f t="array" ref="AG62">IFERROR(INDEX(NovR!$A$1:$AP96,MATCH("Utilidad Bruta",NovR!$A$1:$A96,0),MATCH($A62,NovR!$A$6:AO$6,0),),"")</f>
        <v/>
      </c>
      <c r="AJ62" s="51" t="str">
        <f t="array" ref="AJ62">IFERROR(INDEX(DicR!$A$1:$AP96,MATCH("Utilidad Bruta",DicR!$A$1:$A96,0),MATCH($A62,DicR!$A$6:AO$6,0),),"")</f>
        <v/>
      </c>
    </row>
    <row r="63" ht="15.75" customHeight="1">
      <c r="A63" s="12"/>
      <c r="B63" s="51" t="str">
        <f t="shared" si="1"/>
        <v/>
      </c>
      <c r="C63" s="51" t="str">
        <f t="array" ref="C63">IFERROR(INDEX(EneR!$A$1:$AO96,MATCH("Utilidad Bruta",EneR!$A$1:$A96,0),MATCH($A63,EneR!$A$6:AO$6,0),),"")</f>
        <v/>
      </c>
      <c r="F63" s="51" t="str">
        <f t="array" ref="F63">IFERROR(INDEX(FebR!$A$1:$AP96,MATCH("Utilidad Bruta",FebR!$A$1:$A96,0),MATCH($A63,FebR!$A$6:AO$6,0),),"")</f>
        <v/>
      </c>
      <c r="I63" s="51" t="str">
        <f t="array" ref="I63">IFERROR(INDEX(MarR!$A$1:$AP96,MATCH("Utilidad Bruta",MarR!$A$1:$A96,0),MATCH($A63,MarR!$A$6:AO$6,0),),"")</f>
        <v/>
      </c>
      <c r="L63" s="51" t="str">
        <f t="array" ref="L63">IFERROR(INDEX(AbrR!$A$1:$AP96,MATCH("Utilidad Bruta",AbrR!$A$1:$A96,0),MATCH($A63,AbrR!$A$6:AO$6,0),),"")</f>
        <v/>
      </c>
      <c r="O63" s="51" t="str">
        <f t="array" ref="O63">IFERROR(INDEX(MayR!$A$1:$BK96,MATCH("Utilidad Bruta",MayR!$A$1:$A96,0),MATCH($A63,MayR!$A$6:AO$6,0),),"")</f>
        <v/>
      </c>
      <c r="R63" s="51" t="str">
        <f t="array" ref="R63">IFERROR(INDEX(JunR!$A$1:$AP96,MATCH("Utilidad Bruta",JunR!$A$1:$A96,0),MATCH($A63,JunR!$A$6:AO$6,0),),"")</f>
        <v/>
      </c>
      <c r="U63" s="51" t="str">
        <f t="array" ref="U63">IFERROR(INDEX(JulR!$A$1:$AP96,MATCH("Utilidad Bruta",JulR!$A$1:$A96,0),MATCH($A63,JulR!$A$6:AO$6,0),),"")</f>
        <v/>
      </c>
      <c r="X63" s="51" t="str">
        <f t="array" ref="X63">IFERROR(INDEX(AgoR!$A$1:$AP96,MATCH("Utilidad Bruta",AgoR!$A$1:$A96,0),MATCH($A63,AgoR!$A$6:AO$6,0),),"")</f>
        <v/>
      </c>
      <c r="AA63" s="51" t="str">
        <f t="array" ref="AA63">IFERROR(INDEX(SepR!$A$1:$AV96,MATCH("Utilidad Bruta",SepR!$A$1:$A96,0),MATCH($A63,SepR!$A$6:AO$6,0),),"")</f>
        <v/>
      </c>
      <c r="AD63" s="51" t="str">
        <f t="array" ref="AD63">IFERROR(INDEX(OctR!$A$1:$AP96,MATCH("Utilidad Bruta",OctR!$A$1:$A96,0),MATCH($A63,OctR!$A$6:AO$6,0),),"")</f>
        <v/>
      </c>
      <c r="AG63" s="51" t="str">
        <f t="array" ref="AG63">IFERROR(INDEX(NovR!$A$1:$AP96,MATCH("Utilidad Bruta",NovR!$A$1:$A96,0),MATCH($A63,NovR!$A$6:AO$6,0),),"")</f>
        <v/>
      </c>
      <c r="AJ63" s="51" t="str">
        <f t="array" ref="AJ63">IFERROR(INDEX(DicR!$A$1:$AP96,MATCH("Utilidad Bruta",DicR!$A$1:$A96,0),MATCH($A63,DicR!$A$6:AO$6,0),),"")</f>
        <v/>
      </c>
    </row>
    <row r="64" ht="15.75" customHeight="1">
      <c r="A64" s="12"/>
      <c r="B64" s="51" t="str">
        <f t="shared" si="1"/>
        <v/>
      </c>
      <c r="C64" s="51" t="str">
        <f t="array" ref="C64">IFERROR(INDEX(EneR!$A$1:$AO96,MATCH("Utilidad Bruta",EneR!$A$1:$A96,0),MATCH($A64,EneR!$A$6:AO$6,0),),"")</f>
        <v/>
      </c>
      <c r="F64" s="51" t="str">
        <f t="array" ref="F64">IFERROR(INDEX(FebR!$A$1:$AP96,MATCH("Utilidad Bruta",FebR!$A$1:$A96,0),MATCH($A64,FebR!$A$6:AO$6,0),),"")</f>
        <v/>
      </c>
      <c r="I64" s="51" t="str">
        <f t="array" ref="I64">IFERROR(INDEX(MarR!$A$1:$AP96,MATCH("Utilidad Bruta",MarR!$A$1:$A96,0),MATCH($A64,MarR!$A$6:AO$6,0),),"")</f>
        <v/>
      </c>
      <c r="L64" s="51" t="str">
        <f t="array" ref="L64">IFERROR(INDEX(AbrR!$A$1:$AP96,MATCH("Utilidad Bruta",AbrR!$A$1:$A96,0),MATCH($A64,AbrR!$A$6:AO$6,0),),"")</f>
        <v/>
      </c>
      <c r="O64" s="51" t="str">
        <f t="array" ref="O64">IFERROR(INDEX(MayR!$A$1:$BK96,MATCH("Utilidad Bruta",MayR!$A$1:$A96,0),MATCH($A64,MayR!$A$6:AO$6,0),),"")</f>
        <v/>
      </c>
      <c r="R64" s="51" t="str">
        <f t="array" ref="R64">IFERROR(INDEX(JunR!$A$1:$AP96,MATCH("Utilidad Bruta",JunR!$A$1:$A96,0),MATCH($A64,JunR!$A$6:AO$6,0),),"")</f>
        <v/>
      </c>
      <c r="U64" s="51" t="str">
        <f t="array" ref="U64">IFERROR(INDEX(JulR!$A$1:$AP96,MATCH("Utilidad Bruta",JulR!$A$1:$A96,0),MATCH($A64,JulR!$A$6:AO$6,0),),"")</f>
        <v/>
      </c>
      <c r="X64" s="51" t="str">
        <f t="array" ref="X64">IFERROR(INDEX(AgoR!$A$1:$AP96,MATCH("Utilidad Bruta",AgoR!$A$1:$A96,0),MATCH($A64,AgoR!$A$6:AO$6,0),),"")</f>
        <v/>
      </c>
      <c r="AA64" s="51" t="str">
        <f t="array" ref="AA64">IFERROR(INDEX(SepR!$A$1:$AV96,MATCH("Utilidad Bruta",SepR!$A$1:$A96,0),MATCH($A64,SepR!$A$6:AO$6,0),),"")</f>
        <v/>
      </c>
      <c r="AD64" s="51" t="str">
        <f t="array" ref="AD64">IFERROR(INDEX(OctR!$A$1:$AP96,MATCH("Utilidad Bruta",OctR!$A$1:$A96,0),MATCH($A64,OctR!$A$6:AO$6,0),),"")</f>
        <v/>
      </c>
      <c r="AG64" s="51" t="str">
        <f t="array" ref="AG64">IFERROR(INDEX(NovR!$A$1:$AP96,MATCH("Utilidad Bruta",NovR!$A$1:$A96,0),MATCH($A64,NovR!$A$6:AO$6,0),),"")</f>
        <v/>
      </c>
      <c r="AJ64" s="51" t="str">
        <f t="array" ref="AJ64">IFERROR(INDEX(DicR!$A$1:$AP96,MATCH("Utilidad Bruta",DicR!$A$1:$A96,0),MATCH($A64,DicR!$A$6:AO$6,0),),"")</f>
        <v/>
      </c>
    </row>
    <row r="65" ht="15.75" customHeight="1">
      <c r="A65" s="12"/>
      <c r="B65" s="51" t="str">
        <f t="shared" si="1"/>
        <v/>
      </c>
      <c r="C65" s="51" t="str">
        <f t="array" ref="C65">IFERROR(INDEX(EneR!$A$1:$AO96,MATCH("Utilidad Bruta",EneR!$A$1:$A96,0),MATCH($A65,EneR!$A$6:AO$6,0),),"")</f>
        <v/>
      </c>
      <c r="F65" s="51" t="str">
        <f t="array" ref="F65">IFERROR(INDEX(FebR!$A$1:$AP96,MATCH("Utilidad Bruta",FebR!$A$1:$A96,0),MATCH($A65,FebR!$A$6:AO$6,0),),"")</f>
        <v/>
      </c>
      <c r="I65" s="51" t="str">
        <f t="array" ref="I65">IFERROR(INDEX(MarR!$A$1:$AP96,MATCH("Utilidad Bruta",MarR!$A$1:$A96,0),MATCH($A65,MarR!$A$6:AO$6,0),),"")</f>
        <v/>
      </c>
      <c r="L65" s="51" t="str">
        <f t="array" ref="L65">IFERROR(INDEX(AbrR!$A$1:$AP96,MATCH("Utilidad Bruta",AbrR!$A$1:$A96,0),MATCH($A65,AbrR!$A$6:AO$6,0),),"")</f>
        <v/>
      </c>
      <c r="O65" s="51" t="str">
        <f t="array" ref="O65">IFERROR(INDEX(MayR!$A$1:$BK96,MATCH("Utilidad Bruta",MayR!$A$1:$A96,0),MATCH($A65,MayR!$A$6:AO$6,0),),"")</f>
        <v/>
      </c>
      <c r="R65" s="51" t="str">
        <f t="array" ref="R65">IFERROR(INDEX(JunR!$A$1:$AP96,MATCH("Utilidad Bruta",JunR!$A$1:$A96,0),MATCH($A65,JunR!$A$6:AO$6,0),),"")</f>
        <v/>
      </c>
      <c r="U65" s="51" t="str">
        <f t="array" ref="U65">IFERROR(INDEX(JulR!$A$1:$AP96,MATCH("Utilidad Bruta",JulR!$A$1:$A96,0),MATCH($A65,JulR!$A$6:AO$6,0),),"")</f>
        <v/>
      </c>
      <c r="X65" s="51" t="str">
        <f t="array" ref="X65">IFERROR(INDEX(AgoR!$A$1:$AP96,MATCH("Utilidad Bruta",AgoR!$A$1:$A96,0),MATCH($A65,AgoR!$A$6:AO$6,0),),"")</f>
        <v/>
      </c>
      <c r="AA65" s="51" t="str">
        <f t="array" ref="AA65">IFERROR(INDEX(SepR!$A$1:$AV96,MATCH("Utilidad Bruta",SepR!$A$1:$A96,0),MATCH($A65,SepR!$A$6:AO$6,0),),"")</f>
        <v/>
      </c>
      <c r="AD65" s="51" t="str">
        <f t="array" ref="AD65">IFERROR(INDEX(OctR!$A$1:$AP96,MATCH("Utilidad Bruta",OctR!$A$1:$A96,0),MATCH($A65,OctR!$A$6:AO$6,0),),"")</f>
        <v/>
      </c>
      <c r="AG65" s="51" t="str">
        <f t="array" ref="AG65">IFERROR(INDEX(NovR!$A$1:$AP96,MATCH("Utilidad Bruta",NovR!$A$1:$A96,0),MATCH($A65,NovR!$A$6:AO$6,0),),"")</f>
        <v/>
      </c>
      <c r="AJ65" s="51" t="str">
        <f t="array" ref="AJ65">IFERROR(INDEX(DicR!$A$1:$AP96,MATCH("Utilidad Bruta",DicR!$A$1:$A96,0),MATCH($A65,DicR!$A$6:AO$6,0),),"")</f>
        <v/>
      </c>
    </row>
    <row r="66" ht="15.75" customHeight="1">
      <c r="A66" s="12"/>
      <c r="B66" s="51" t="str">
        <f t="shared" si="1"/>
        <v/>
      </c>
      <c r="C66" s="51" t="str">
        <f t="array" ref="C66">IFERROR(INDEX(EneR!$A$1:$AO96,MATCH("Utilidad Bruta",EneR!$A$1:$A96,0),MATCH($A66,EneR!$A$6:AO$6,0),),"")</f>
        <v/>
      </c>
      <c r="F66" s="51" t="str">
        <f t="array" ref="F66">IFERROR(INDEX(FebR!$A$1:$AP96,MATCH("Utilidad Bruta",FebR!$A$1:$A96,0),MATCH($A66,FebR!$A$6:AO$6,0),),"")</f>
        <v/>
      </c>
      <c r="I66" s="51" t="str">
        <f t="array" ref="I66">IFERROR(INDEX(MarR!$A$1:$AP96,MATCH("Utilidad Bruta",MarR!$A$1:$A96,0),MATCH($A66,MarR!$A$6:AO$6,0),),"")</f>
        <v/>
      </c>
      <c r="L66" s="51" t="str">
        <f t="array" ref="L66">IFERROR(INDEX(AbrR!$A$1:$AP96,MATCH("Utilidad Bruta",AbrR!$A$1:$A96,0),MATCH($A66,AbrR!$A$6:AO$6,0),),"")</f>
        <v/>
      </c>
      <c r="O66" s="51" t="str">
        <f t="array" ref="O66">IFERROR(INDEX(MayR!$A$1:$BK96,MATCH("Utilidad Bruta",MayR!$A$1:$A96,0),MATCH($A66,MayR!$A$6:AO$6,0),),"")</f>
        <v/>
      </c>
      <c r="R66" s="51" t="str">
        <f t="array" ref="R66">IFERROR(INDEX(JunR!$A$1:$AP96,MATCH("Utilidad Bruta",JunR!$A$1:$A96,0),MATCH($A66,JunR!$A$6:AO$6,0),),"")</f>
        <v/>
      </c>
      <c r="U66" s="51" t="str">
        <f t="array" ref="U66">IFERROR(INDEX(JulR!$A$1:$AP96,MATCH("Utilidad Bruta",JulR!$A$1:$A96,0),MATCH($A66,JulR!$A$6:AO$6,0),),"")</f>
        <v/>
      </c>
      <c r="X66" s="51" t="str">
        <f t="array" ref="X66">IFERROR(INDEX(AgoR!$A$1:$AP96,MATCH("Utilidad Bruta",AgoR!$A$1:$A96,0),MATCH($A66,AgoR!$A$6:AO$6,0),),"")</f>
        <v/>
      </c>
      <c r="AA66" s="51" t="str">
        <f t="array" ref="AA66">IFERROR(INDEX(SepR!$A$1:$AV96,MATCH("Utilidad Bruta",SepR!$A$1:$A96,0),MATCH($A66,SepR!$A$6:AO$6,0),),"")</f>
        <v/>
      </c>
      <c r="AD66" s="51" t="str">
        <f t="array" ref="AD66">IFERROR(INDEX(OctR!$A$1:$AP96,MATCH("Utilidad Bruta",OctR!$A$1:$A96,0),MATCH($A66,OctR!$A$6:AO$6,0),),"")</f>
        <v/>
      </c>
      <c r="AG66" s="51" t="str">
        <f t="array" ref="AG66">IFERROR(INDEX(NovR!$A$1:$AP96,MATCH("Utilidad Bruta",NovR!$A$1:$A96,0),MATCH($A66,NovR!$A$6:AO$6,0),),"")</f>
        <v/>
      </c>
      <c r="AJ66" s="51" t="str">
        <f t="array" ref="AJ66">IFERROR(INDEX(DicR!$A$1:$AP96,MATCH("Utilidad Bruta",DicR!$A$1:$A96,0),MATCH($A66,DicR!$A$6:AO$6,0),),"")</f>
        <v/>
      </c>
    </row>
    <row r="67" ht="15.75" customHeight="1">
      <c r="A67" s="12"/>
      <c r="B67" s="51" t="str">
        <f t="shared" si="1"/>
        <v/>
      </c>
      <c r="C67" s="51" t="str">
        <f t="array" ref="C67">IFERROR(INDEX(EneR!$A$1:$AO96,MATCH("Utilidad Bruta",EneR!$A$1:$A96,0),MATCH($A67,EneR!$A$6:AO$6,0),),"")</f>
        <v/>
      </c>
      <c r="F67" s="51" t="str">
        <f t="array" ref="F67">IFERROR(INDEX(FebR!$A$1:$AP96,MATCH("Utilidad Bruta",FebR!$A$1:$A96,0),MATCH($A67,FebR!$A$6:AO$6,0),),"")</f>
        <v/>
      </c>
      <c r="I67" s="51" t="str">
        <f t="array" ref="I67">IFERROR(INDEX(MarR!$A$1:$AP96,MATCH("Utilidad Bruta",MarR!$A$1:$A96,0),MATCH($A67,MarR!$A$6:AO$6,0),),"")</f>
        <v/>
      </c>
      <c r="L67" s="51" t="str">
        <f t="array" ref="L67">IFERROR(INDEX(AbrR!$A$1:$AP96,MATCH("Utilidad Bruta",AbrR!$A$1:$A96,0),MATCH($A67,AbrR!$A$6:AO$6,0),),"")</f>
        <v/>
      </c>
      <c r="O67" s="51" t="str">
        <f t="array" ref="O67">IFERROR(INDEX(MayR!$A$1:$BK96,MATCH("Utilidad Bruta",MayR!$A$1:$A96,0),MATCH($A67,MayR!$A$6:AO$6,0),),"")</f>
        <v/>
      </c>
      <c r="R67" s="51" t="str">
        <f t="array" ref="R67">IFERROR(INDEX(JunR!$A$1:$AP96,MATCH("Utilidad Bruta",JunR!$A$1:$A96,0),MATCH($A67,JunR!$A$6:AO$6,0),),"")</f>
        <v/>
      </c>
      <c r="U67" s="51" t="str">
        <f t="array" ref="U67">IFERROR(INDEX(JulR!$A$1:$AP96,MATCH("Utilidad Bruta",JulR!$A$1:$A96,0),MATCH($A67,JulR!$A$6:AO$6,0),),"")</f>
        <v/>
      </c>
      <c r="X67" s="51" t="str">
        <f t="array" ref="X67">IFERROR(INDEX(AgoR!$A$1:$AP96,MATCH("Utilidad Bruta",AgoR!$A$1:$A96,0),MATCH($A67,AgoR!$A$6:AO$6,0),),"")</f>
        <v/>
      </c>
      <c r="AA67" s="51" t="str">
        <f t="array" ref="AA67">IFERROR(INDEX(SepR!$A$1:$AV96,MATCH("Utilidad Bruta",SepR!$A$1:$A96,0),MATCH($A67,SepR!$A$6:AO$6,0),),"")</f>
        <v/>
      </c>
      <c r="AD67" s="51" t="str">
        <f t="array" ref="AD67">IFERROR(INDEX(OctR!$A$1:$AP96,MATCH("Utilidad Bruta",OctR!$A$1:$A96,0),MATCH($A67,OctR!$A$6:AO$6,0),),"")</f>
        <v/>
      </c>
      <c r="AG67" s="51" t="str">
        <f t="array" ref="AG67">IFERROR(INDEX(NovR!$A$1:$AP96,MATCH("Utilidad Bruta",NovR!$A$1:$A96,0),MATCH($A67,NovR!$A$6:AO$6,0),),"")</f>
        <v/>
      </c>
      <c r="AJ67" s="51" t="str">
        <f t="array" ref="AJ67">IFERROR(INDEX(DicR!$A$1:$AP96,MATCH("Utilidad Bruta",DicR!$A$1:$A96,0),MATCH($A67,DicR!$A$6:AO$6,0),),"")</f>
        <v/>
      </c>
    </row>
    <row r="68" ht="15.75" customHeight="1">
      <c r="A68" s="12"/>
      <c r="B68" s="51" t="str">
        <f t="shared" si="1"/>
        <v/>
      </c>
      <c r="C68" s="51" t="str">
        <f t="array" ref="C68">IFERROR(INDEX(EneR!$A$1:$AO96,MATCH("Utilidad Bruta",EneR!$A$1:$A96,0),MATCH($A68,EneR!$A$6:AO$6,0),),"")</f>
        <v/>
      </c>
      <c r="F68" s="51" t="str">
        <f t="array" ref="F68">IFERROR(INDEX(FebR!$A$1:$AP96,MATCH("Utilidad Bruta",FebR!$A$1:$A96,0),MATCH($A68,FebR!$A$6:AO$6,0),),"")</f>
        <v/>
      </c>
      <c r="I68" s="51" t="str">
        <f t="array" ref="I68">IFERROR(INDEX(MarR!$A$1:$AP96,MATCH("Utilidad Bruta",MarR!$A$1:$A96,0),MATCH($A68,MarR!$A$6:AO$6,0),),"")</f>
        <v/>
      </c>
      <c r="L68" s="51" t="str">
        <f t="array" ref="L68">IFERROR(INDEX(AbrR!$A$1:$AP96,MATCH("Utilidad Bruta",AbrR!$A$1:$A96,0),MATCH($A68,AbrR!$A$6:AO$6,0),),"")</f>
        <v/>
      </c>
      <c r="O68" s="51" t="str">
        <f t="array" ref="O68">IFERROR(INDEX(MayR!$A$1:$BK96,MATCH("Utilidad Bruta",MayR!$A$1:$A96,0),MATCH($A68,MayR!$A$6:AO$6,0),),"")</f>
        <v/>
      </c>
      <c r="R68" s="51" t="str">
        <f t="array" ref="R68">IFERROR(INDEX(JunR!$A$1:$AP96,MATCH("Utilidad Bruta",JunR!$A$1:$A96,0),MATCH($A68,JunR!$A$6:AO$6,0),),"")</f>
        <v/>
      </c>
      <c r="U68" s="51" t="str">
        <f t="array" ref="U68">IFERROR(INDEX(JulR!$A$1:$AP96,MATCH("Utilidad Bruta",JulR!$A$1:$A96,0),MATCH($A68,JulR!$A$6:AO$6,0),),"")</f>
        <v/>
      </c>
      <c r="X68" s="51" t="str">
        <f t="array" ref="X68">IFERROR(INDEX(AgoR!$A$1:$AP96,MATCH("Utilidad Bruta",AgoR!$A$1:$A96,0),MATCH($A68,AgoR!$A$6:AO$6,0),),"")</f>
        <v/>
      </c>
      <c r="AA68" s="51" t="str">
        <f t="array" ref="AA68">IFERROR(INDEX(SepR!$A$1:$AV96,MATCH("Utilidad Bruta",SepR!$A$1:$A96,0),MATCH($A68,SepR!$A$6:AO$6,0),),"")</f>
        <v/>
      </c>
      <c r="AD68" s="51" t="str">
        <f t="array" ref="AD68">IFERROR(INDEX(OctR!$A$1:$AP96,MATCH("Utilidad Bruta",OctR!$A$1:$A96,0),MATCH($A68,OctR!$A$6:AO$6,0),),"")</f>
        <v/>
      </c>
      <c r="AG68" s="51" t="str">
        <f t="array" ref="AG68">IFERROR(INDEX(NovR!$A$1:$AP96,MATCH("Utilidad Bruta",NovR!$A$1:$A96,0),MATCH($A68,NovR!$A$6:AO$6,0),),"")</f>
        <v/>
      </c>
      <c r="AJ68" s="51" t="str">
        <f t="array" ref="AJ68">IFERROR(INDEX(DicR!$A$1:$AP96,MATCH("Utilidad Bruta",DicR!$A$1:$A96,0),MATCH($A68,DicR!$A$6:AO$6,0),),"")</f>
        <v/>
      </c>
    </row>
    <row r="69" ht="15.75" customHeight="1">
      <c r="A69" s="12"/>
      <c r="B69" s="51" t="str">
        <f t="shared" si="1"/>
        <v/>
      </c>
      <c r="C69" s="51" t="str">
        <f t="array" ref="C69">IFERROR(INDEX(EneR!$A$1:$AO96,MATCH("Utilidad Bruta",EneR!$A$1:$A96,0),MATCH($A69,EneR!$A$6:AO$6,0),),"")</f>
        <v/>
      </c>
      <c r="F69" s="51" t="str">
        <f t="array" ref="F69">IFERROR(INDEX(FebR!$A$1:$AP96,MATCH("Utilidad Bruta",FebR!$A$1:$A96,0),MATCH($A69,FebR!$A$6:AO$6,0),),"")</f>
        <v/>
      </c>
      <c r="I69" s="51" t="str">
        <f t="array" ref="I69">IFERROR(INDEX(MarR!$A$1:$AP96,MATCH("Utilidad Bruta",MarR!$A$1:$A96,0),MATCH($A69,MarR!$A$6:AO$6,0),),"")</f>
        <v/>
      </c>
      <c r="L69" s="51" t="str">
        <f t="array" ref="L69">IFERROR(INDEX(AbrR!$A$1:$AP96,MATCH("Utilidad Bruta",AbrR!$A$1:$A96,0),MATCH($A69,AbrR!$A$6:AO$6,0),),"")</f>
        <v/>
      </c>
      <c r="O69" s="51" t="str">
        <f t="array" ref="O69">IFERROR(INDEX(MayR!$A$1:$BK96,MATCH("Utilidad Bruta",MayR!$A$1:$A96,0),MATCH($A69,MayR!$A$6:AO$6,0),),"")</f>
        <v/>
      </c>
      <c r="R69" s="51" t="str">
        <f t="array" ref="R69">IFERROR(INDEX(JunR!$A$1:$AP96,MATCH("Utilidad Bruta",JunR!$A$1:$A96,0),MATCH($A69,JunR!$A$6:AO$6,0),),"")</f>
        <v/>
      </c>
      <c r="U69" s="51" t="str">
        <f t="array" ref="U69">IFERROR(INDEX(JulR!$A$1:$AP96,MATCH("Utilidad Bruta",JulR!$A$1:$A96,0),MATCH($A69,JulR!$A$6:AO$6,0),),"")</f>
        <v/>
      </c>
      <c r="X69" s="51" t="str">
        <f t="array" ref="X69">IFERROR(INDEX(AgoR!$A$1:$AP96,MATCH("Utilidad Bruta",AgoR!$A$1:$A96,0),MATCH($A69,AgoR!$A$6:AO$6,0),),"")</f>
        <v/>
      </c>
      <c r="AA69" s="51" t="str">
        <f t="array" ref="AA69">IFERROR(INDEX(SepR!$A$1:$AV96,MATCH("Utilidad Bruta",SepR!$A$1:$A96,0),MATCH($A69,SepR!$A$6:AO$6,0),),"")</f>
        <v/>
      </c>
      <c r="AD69" s="51" t="str">
        <f t="array" ref="AD69">IFERROR(INDEX(OctR!$A$1:$AP96,MATCH("Utilidad Bruta",OctR!$A$1:$A96,0),MATCH($A69,OctR!$A$6:AO$6,0),),"")</f>
        <v/>
      </c>
      <c r="AG69" s="51" t="str">
        <f t="array" ref="AG69">IFERROR(INDEX(NovR!$A$1:$AP96,MATCH("Utilidad Bruta",NovR!$A$1:$A96,0),MATCH($A69,NovR!$A$6:AO$6,0),),"")</f>
        <v/>
      </c>
      <c r="AJ69" s="51" t="str">
        <f t="array" ref="AJ69">IFERROR(INDEX(DicR!$A$1:$AP96,MATCH("Utilidad Bruta",DicR!$A$1:$A96,0),MATCH($A69,DicR!$A$6:AO$6,0),),"")</f>
        <v/>
      </c>
    </row>
    <row r="70" ht="15.75" customHeight="1">
      <c r="A70" s="12"/>
      <c r="B70" s="51" t="str">
        <f t="shared" si="1"/>
        <v/>
      </c>
      <c r="C70" s="51" t="str">
        <f t="array" ref="C70">IFERROR(INDEX(EneR!$A$1:$AO96,MATCH("Utilidad Bruta",EneR!$A$1:$A96,0),MATCH($A70,EneR!$A$6:AO$6,0),),"")</f>
        <v/>
      </c>
      <c r="F70" s="51" t="str">
        <f t="array" ref="F70">IFERROR(INDEX(FebR!$A$1:$AP96,MATCH("Utilidad Bruta",FebR!$A$1:$A96,0),MATCH($A70,FebR!$A$6:AO$6,0),),"")</f>
        <v/>
      </c>
      <c r="I70" s="51" t="str">
        <f t="array" ref="I70">IFERROR(INDEX(MarR!$A$1:$AP96,MATCH("Utilidad Bruta",MarR!$A$1:$A96,0),MATCH($A70,MarR!$A$6:AO$6,0),),"")</f>
        <v/>
      </c>
      <c r="L70" s="51" t="str">
        <f t="array" ref="L70">IFERROR(INDEX(AbrR!$A$1:$AP96,MATCH("Utilidad Bruta",AbrR!$A$1:$A96,0),MATCH($A70,AbrR!$A$6:AO$6,0),),"")</f>
        <v/>
      </c>
      <c r="O70" s="51" t="str">
        <f t="array" ref="O70">IFERROR(INDEX(MayR!$A$1:$BK96,MATCH("Utilidad Bruta",MayR!$A$1:$A96,0),MATCH($A70,MayR!$A$6:AO$6,0),),"")</f>
        <v/>
      </c>
      <c r="R70" s="51" t="str">
        <f t="array" ref="R70">IFERROR(INDEX(JunR!$A$1:$AP96,MATCH("Utilidad Bruta",JunR!$A$1:$A96,0),MATCH($A70,JunR!$A$6:AO$6,0),),"")</f>
        <v/>
      </c>
      <c r="U70" s="51" t="str">
        <f t="array" ref="U70">IFERROR(INDEX(JulR!$A$1:$AP96,MATCH("Utilidad Bruta",JulR!$A$1:$A96,0),MATCH($A70,JulR!$A$6:AO$6,0),),"")</f>
        <v/>
      </c>
      <c r="X70" s="51" t="str">
        <f t="array" ref="X70">IFERROR(INDEX(AgoR!$A$1:$AP96,MATCH("Utilidad Bruta",AgoR!$A$1:$A96,0),MATCH($A70,AgoR!$A$6:AO$6,0),),"")</f>
        <v/>
      </c>
      <c r="AA70" s="51" t="str">
        <f t="array" ref="AA70">IFERROR(INDEX(SepR!$A$1:$AV96,MATCH("Utilidad Bruta",SepR!$A$1:$A96,0),MATCH($A70,SepR!$A$6:AO$6,0),),"")</f>
        <v/>
      </c>
      <c r="AD70" s="51" t="str">
        <f t="array" ref="AD70">IFERROR(INDEX(OctR!$A$1:$AP96,MATCH("Utilidad Bruta",OctR!$A$1:$A96,0),MATCH($A70,OctR!$A$6:AO$6,0),),"")</f>
        <v/>
      </c>
      <c r="AG70" s="51" t="str">
        <f t="array" ref="AG70">IFERROR(INDEX(NovR!$A$1:$AP96,MATCH("Utilidad Bruta",NovR!$A$1:$A96,0),MATCH($A70,NovR!$A$6:AO$6,0),),"")</f>
        <v/>
      </c>
      <c r="AJ70" s="51" t="str">
        <f t="array" ref="AJ70">IFERROR(INDEX(DicR!$A$1:$AP96,MATCH("Utilidad Bruta",DicR!$A$1:$A96,0),MATCH($A70,DicR!$A$6:AO$6,0),),"")</f>
        <v/>
      </c>
    </row>
    <row r="71" ht="15.75" customHeight="1">
      <c r="A71" s="12"/>
      <c r="B71" s="51" t="str">
        <f t="shared" si="1"/>
        <v/>
      </c>
      <c r="C71" s="51" t="str">
        <f t="array" ref="C71">IFERROR(INDEX(EneR!$A$1:$AO96,MATCH("Utilidad Bruta",EneR!$A$1:$A96,0),MATCH($A71,EneR!$A$6:AO$6,0),),"")</f>
        <v/>
      </c>
      <c r="F71" s="51" t="str">
        <f t="array" ref="F71">IFERROR(INDEX(FebR!$A$1:$AP96,MATCH("Utilidad Bruta",FebR!$A$1:$A96,0),MATCH($A71,FebR!$A$6:AO$6,0),),"")</f>
        <v/>
      </c>
      <c r="I71" s="51" t="str">
        <f t="array" ref="I71">IFERROR(INDEX(MarR!$A$1:$AP96,MATCH("Utilidad Bruta",MarR!$A$1:$A96,0),MATCH($A71,MarR!$A$6:AO$6,0),),"")</f>
        <v/>
      </c>
      <c r="L71" s="51" t="str">
        <f t="array" ref="L71">IFERROR(INDEX(AbrR!$A$1:$AP96,MATCH("Utilidad Bruta",AbrR!$A$1:$A96,0),MATCH($A71,AbrR!$A$6:AO$6,0),),"")</f>
        <v/>
      </c>
      <c r="O71" s="51" t="str">
        <f t="array" ref="O71">IFERROR(INDEX(MayR!$A$1:$BK96,MATCH("Utilidad Bruta",MayR!$A$1:$A96,0),MATCH($A71,MayR!$A$6:AO$6,0),),"")</f>
        <v/>
      </c>
      <c r="R71" s="51" t="str">
        <f t="array" ref="R71">IFERROR(INDEX(JunR!$A$1:$AP96,MATCH("Utilidad Bruta",JunR!$A$1:$A96,0),MATCH($A71,JunR!$A$6:AO$6,0),),"")</f>
        <v/>
      </c>
      <c r="U71" s="51" t="str">
        <f t="array" ref="U71">IFERROR(INDEX(JulR!$A$1:$AP96,MATCH("Utilidad Bruta",JulR!$A$1:$A96,0),MATCH($A71,JulR!$A$6:AO$6,0),),"")</f>
        <v/>
      </c>
      <c r="X71" s="51" t="str">
        <f t="array" ref="X71">IFERROR(INDEX(AgoR!$A$1:$AP96,MATCH("Utilidad Bruta",AgoR!$A$1:$A96,0),MATCH($A71,AgoR!$A$6:AO$6,0),),"")</f>
        <v/>
      </c>
      <c r="AA71" s="51" t="str">
        <f t="array" ref="AA71">IFERROR(INDEX(SepR!$A$1:$AV96,MATCH("Utilidad Bruta",SepR!$A$1:$A96,0),MATCH($A71,SepR!$A$6:AO$6,0),),"")</f>
        <v/>
      </c>
      <c r="AD71" s="51" t="str">
        <f t="array" ref="AD71">IFERROR(INDEX(OctR!$A$1:$AP96,MATCH("Utilidad Bruta",OctR!$A$1:$A96,0),MATCH($A71,OctR!$A$6:AO$6,0),),"")</f>
        <v/>
      </c>
      <c r="AG71" s="51" t="str">
        <f t="array" ref="AG71">IFERROR(INDEX(NovR!$A$1:$AP96,MATCH("Utilidad Bruta",NovR!$A$1:$A96,0),MATCH($A71,NovR!$A$6:AO$6,0),),"")</f>
        <v/>
      </c>
      <c r="AJ71" s="51" t="str">
        <f t="array" ref="AJ71">IFERROR(INDEX(DicR!$A$1:$AP96,MATCH("Utilidad Bruta",DicR!$A$1:$A96,0),MATCH($A71,DicR!$A$6:AO$6,0),),"")</f>
        <v/>
      </c>
    </row>
    <row r="72" ht="15.75" customHeight="1">
      <c r="A72" s="12"/>
      <c r="B72" s="51" t="str">
        <f t="shared" si="1"/>
        <v/>
      </c>
      <c r="C72" s="51" t="str">
        <f t="array" ref="C72">IFERROR(INDEX(EneR!$A$1:$AO96,MATCH("Utilidad Bruta",EneR!$A$1:$A96,0),MATCH($A72,EneR!$A$6:AO$6,0),),"")</f>
        <v/>
      </c>
      <c r="F72" s="51" t="str">
        <f t="array" ref="F72">IFERROR(INDEX(FebR!$A$1:$AP96,MATCH("Utilidad Bruta",FebR!$A$1:$A96,0),MATCH($A72,FebR!$A$6:AO$6,0),),"")</f>
        <v/>
      </c>
      <c r="I72" s="51" t="str">
        <f t="array" ref="I72">IFERROR(INDEX(MarR!$A$1:$AP96,MATCH("Utilidad Bruta",MarR!$A$1:$A96,0),MATCH($A72,MarR!$A$6:AO$6,0),),"")</f>
        <v/>
      </c>
      <c r="L72" s="51" t="str">
        <f t="array" ref="L72">IFERROR(INDEX(AbrR!$A$1:$AP96,MATCH("Utilidad Bruta",AbrR!$A$1:$A96,0),MATCH($A72,AbrR!$A$6:AO$6,0),),"")</f>
        <v/>
      </c>
      <c r="O72" s="51" t="str">
        <f t="array" ref="O72">IFERROR(INDEX(MayR!$A$1:$BK96,MATCH("Utilidad Bruta",MayR!$A$1:$A96,0),MATCH($A72,MayR!$A$6:AO$6,0),),"")</f>
        <v/>
      </c>
      <c r="R72" s="51" t="str">
        <f t="array" ref="R72">IFERROR(INDEX(JunR!$A$1:$AP96,MATCH("Utilidad Bruta",JunR!$A$1:$A96,0),MATCH($A72,JunR!$A$6:AO$6,0),),"")</f>
        <v/>
      </c>
      <c r="U72" s="51" t="str">
        <f t="array" ref="U72">IFERROR(INDEX(JulR!$A$1:$AP96,MATCH("Utilidad Bruta",JulR!$A$1:$A96,0),MATCH($A72,JulR!$A$6:AO$6,0),),"")</f>
        <v/>
      </c>
      <c r="X72" s="51" t="str">
        <f t="array" ref="X72">IFERROR(INDEX(AgoR!$A$1:$AP96,MATCH("Utilidad Bruta",AgoR!$A$1:$A96,0),MATCH($A72,AgoR!$A$6:AO$6,0),),"")</f>
        <v/>
      </c>
      <c r="AA72" s="51" t="str">
        <f t="array" ref="AA72">IFERROR(INDEX(SepR!$A$1:$AV96,MATCH("Utilidad Bruta",SepR!$A$1:$A96,0),MATCH($A72,SepR!$A$6:AO$6,0),),"")</f>
        <v/>
      </c>
      <c r="AD72" s="51" t="str">
        <f t="array" ref="AD72">IFERROR(INDEX(OctR!$A$1:$AP96,MATCH("Utilidad Bruta",OctR!$A$1:$A96,0),MATCH($A72,OctR!$A$6:AO$6,0),),"")</f>
        <v/>
      </c>
      <c r="AG72" s="51" t="str">
        <f t="array" ref="AG72">IFERROR(INDEX(NovR!$A$1:$AP96,MATCH("Utilidad Bruta",NovR!$A$1:$A96,0),MATCH($A72,NovR!$A$6:AO$6,0),),"")</f>
        <v/>
      </c>
      <c r="AJ72" s="51" t="str">
        <f t="array" ref="AJ72">IFERROR(INDEX(DicR!$A$1:$AP96,MATCH("Utilidad Bruta",DicR!$A$1:$A96,0),MATCH($A72,DicR!$A$6:AO$6,0),),"")</f>
        <v/>
      </c>
    </row>
    <row r="73" ht="15.75" customHeight="1">
      <c r="A73" s="12"/>
      <c r="B73" s="51" t="str">
        <f t="shared" si="1"/>
        <v/>
      </c>
      <c r="C73" s="51" t="str">
        <f t="array" ref="C73">IFERROR(INDEX(EneR!$A$1:$AO96,MATCH("Utilidad Bruta",EneR!$A$1:$A96,0),MATCH($A73,EneR!$A$6:AO$6,0),),"")</f>
        <v/>
      </c>
      <c r="F73" s="51" t="str">
        <f t="array" ref="F73">IFERROR(INDEX(FebR!$A$1:$AP96,MATCH("Utilidad Bruta",FebR!$A$1:$A96,0),MATCH($A73,FebR!$A$6:AO$6,0),),"")</f>
        <v/>
      </c>
      <c r="I73" s="51" t="str">
        <f t="array" ref="I73">IFERROR(INDEX(MarR!$A$1:$AP96,MATCH("Utilidad Bruta",MarR!$A$1:$A96,0),MATCH($A73,MarR!$A$6:AO$6,0),),"")</f>
        <v/>
      </c>
      <c r="L73" s="51" t="str">
        <f t="array" ref="L73">IFERROR(INDEX(AbrR!$A$1:$AP96,MATCH("Utilidad Bruta",AbrR!$A$1:$A96,0),MATCH($A73,AbrR!$A$6:AO$6,0),),"")</f>
        <v/>
      </c>
      <c r="O73" s="51" t="str">
        <f t="array" ref="O73">IFERROR(INDEX(MayR!$A$1:$BK96,MATCH("Utilidad Bruta",MayR!$A$1:$A96,0),MATCH($A73,MayR!$A$6:AO$6,0),),"")</f>
        <v/>
      </c>
      <c r="R73" s="51" t="str">
        <f t="array" ref="R73">IFERROR(INDEX(JunR!$A$1:$AP96,MATCH("Utilidad Bruta",JunR!$A$1:$A96,0),MATCH($A73,JunR!$A$6:AO$6,0),),"")</f>
        <v/>
      </c>
      <c r="U73" s="51" t="str">
        <f t="array" ref="U73">IFERROR(INDEX(JulR!$A$1:$AP96,MATCH("Utilidad Bruta",JulR!$A$1:$A96,0),MATCH($A73,JulR!$A$6:AO$6,0),),"")</f>
        <v/>
      </c>
      <c r="X73" s="51" t="str">
        <f t="array" ref="X73">IFERROR(INDEX(AgoR!$A$1:$AP96,MATCH("Utilidad Bruta",AgoR!$A$1:$A96,0),MATCH($A73,AgoR!$A$6:AO$6,0),),"")</f>
        <v/>
      </c>
      <c r="AA73" s="51" t="str">
        <f t="array" ref="AA73">IFERROR(INDEX(SepR!$A$1:$AV96,MATCH("Utilidad Bruta",SepR!$A$1:$A96,0),MATCH($A73,SepR!$A$6:AO$6,0),),"")</f>
        <v/>
      </c>
      <c r="AD73" s="51" t="str">
        <f t="array" ref="AD73">IFERROR(INDEX(OctR!$A$1:$AP96,MATCH("Utilidad Bruta",OctR!$A$1:$A96,0),MATCH($A73,OctR!$A$6:AO$6,0),),"")</f>
        <v/>
      </c>
      <c r="AG73" s="51" t="str">
        <f t="array" ref="AG73">IFERROR(INDEX(NovR!$A$1:$AP96,MATCH("Utilidad Bruta",NovR!$A$1:$A96,0),MATCH($A73,NovR!$A$6:AO$6,0),),"")</f>
        <v/>
      </c>
      <c r="AJ73" s="51" t="str">
        <f t="array" ref="AJ73">IFERROR(INDEX(DicR!$A$1:$AP96,MATCH("Utilidad Bruta",DicR!$A$1:$A96,0),MATCH($A73,DicR!$A$6:AO$6,0),),"")</f>
        <v/>
      </c>
    </row>
    <row r="74" ht="15.75" customHeight="1">
      <c r="A74" s="12"/>
      <c r="B74" s="51" t="str">
        <f t="shared" si="1"/>
        <v/>
      </c>
      <c r="C74" s="51" t="str">
        <f t="array" ref="C74">IFERROR(INDEX(EneR!$A$1:$AO96,MATCH("Utilidad Bruta",EneR!$A$1:$A96,0),MATCH($A74,EneR!$A$6:AO$6,0),),"")</f>
        <v/>
      </c>
      <c r="F74" s="51" t="str">
        <f t="array" ref="F74">IFERROR(INDEX(FebR!$A$1:$AP96,MATCH("Utilidad Bruta",FebR!$A$1:$A96,0),MATCH($A74,FebR!$A$6:AO$6,0),),"")</f>
        <v/>
      </c>
      <c r="I74" s="51" t="str">
        <f t="array" ref="I74">IFERROR(INDEX(MarR!$A$1:$AP96,MATCH("Utilidad Bruta",MarR!$A$1:$A96,0),MATCH($A74,MarR!$A$6:AO$6,0),),"")</f>
        <v/>
      </c>
      <c r="L74" s="51" t="str">
        <f t="array" ref="L74">IFERROR(INDEX(AbrR!$A$1:$AP96,MATCH("Utilidad Bruta",AbrR!$A$1:$A96,0),MATCH($A74,AbrR!$A$6:AO$6,0),),"")</f>
        <v/>
      </c>
      <c r="O74" s="51" t="str">
        <f t="array" ref="O74">IFERROR(INDEX(MayR!$A$1:$BK96,MATCH("Utilidad Bruta",MayR!$A$1:$A96,0),MATCH($A74,MayR!$A$6:AO$6,0),),"")</f>
        <v/>
      </c>
      <c r="R74" s="51" t="str">
        <f t="array" ref="R74">IFERROR(INDEX(JunR!$A$1:$AP96,MATCH("Utilidad Bruta",JunR!$A$1:$A96,0),MATCH($A74,JunR!$A$6:AO$6,0),),"")</f>
        <v/>
      </c>
      <c r="U74" s="51" t="str">
        <f t="array" ref="U74">IFERROR(INDEX(JulR!$A$1:$AP96,MATCH("Utilidad Bruta",JulR!$A$1:$A96,0),MATCH($A74,JulR!$A$6:AO$6,0),),"")</f>
        <v/>
      </c>
      <c r="X74" s="51" t="str">
        <f t="array" ref="X74">IFERROR(INDEX(AgoR!$A$1:$AP96,MATCH("Utilidad Bruta",AgoR!$A$1:$A96,0),MATCH($A74,AgoR!$A$6:AO$6,0),),"")</f>
        <v/>
      </c>
      <c r="AA74" s="51" t="str">
        <f t="array" ref="AA74">IFERROR(INDEX(SepR!$A$1:$AV96,MATCH("Utilidad Bruta",SepR!$A$1:$A96,0),MATCH($A74,SepR!$A$6:AO$6,0),),"")</f>
        <v/>
      </c>
      <c r="AD74" s="51" t="str">
        <f t="array" ref="AD74">IFERROR(INDEX(OctR!$A$1:$AP96,MATCH("Utilidad Bruta",OctR!$A$1:$A96,0),MATCH($A74,OctR!$A$6:AO$6,0),),"")</f>
        <v/>
      </c>
      <c r="AG74" s="51" t="str">
        <f t="array" ref="AG74">IFERROR(INDEX(NovR!$A$1:$AP96,MATCH("Utilidad Bruta",NovR!$A$1:$A96,0),MATCH($A74,NovR!$A$6:AO$6,0),),"")</f>
        <v/>
      </c>
      <c r="AJ74" s="51" t="str">
        <f t="array" ref="AJ74">IFERROR(INDEX(DicR!$A$1:$AP96,MATCH("Utilidad Bruta",DicR!$A$1:$A96,0),MATCH($A74,DicR!$A$6:AO$6,0),),"")</f>
        <v/>
      </c>
    </row>
    <row r="75" ht="15.75" customHeight="1">
      <c r="A75" s="12"/>
      <c r="B75" s="51" t="str">
        <f t="shared" si="1"/>
        <v/>
      </c>
      <c r="C75" s="51" t="str">
        <f t="array" ref="C75">IFERROR(INDEX(EneR!$A$1:$AO96,MATCH("Utilidad Bruta",EneR!$A$1:$A96,0),MATCH($A75,EneR!$A$6:AO$6,0),),"")</f>
        <v/>
      </c>
      <c r="F75" s="51" t="str">
        <f t="array" ref="F75">IFERROR(INDEX(FebR!$A$1:$AP96,MATCH("Utilidad Bruta",FebR!$A$1:$A96,0),MATCH($A75,FebR!$A$6:AO$6,0),),"")</f>
        <v/>
      </c>
      <c r="I75" s="51" t="str">
        <f t="array" ref="I75">IFERROR(INDEX(MarR!$A$1:$AP96,MATCH("Utilidad Bruta",MarR!$A$1:$A96,0),MATCH($A75,MarR!$A$6:AO$6,0),),"")</f>
        <v/>
      </c>
      <c r="L75" s="51" t="str">
        <f t="array" ref="L75">IFERROR(INDEX(AbrR!$A$1:$AP96,MATCH("Utilidad Bruta",AbrR!$A$1:$A96,0),MATCH($A75,AbrR!$A$6:AO$6,0),),"")</f>
        <v/>
      </c>
      <c r="O75" s="51" t="str">
        <f t="array" ref="O75">IFERROR(INDEX(MayR!$A$1:$BK96,MATCH("Utilidad Bruta",MayR!$A$1:$A96,0),MATCH($A75,MayR!$A$6:AO$6,0),),"")</f>
        <v/>
      </c>
      <c r="R75" s="51" t="str">
        <f t="array" ref="R75">IFERROR(INDEX(JunR!$A$1:$AP96,MATCH("Utilidad Bruta",JunR!$A$1:$A96,0),MATCH($A75,JunR!$A$6:AO$6,0),),"")</f>
        <v/>
      </c>
      <c r="U75" s="51" t="str">
        <f t="array" ref="U75">IFERROR(INDEX(JulR!$A$1:$AP96,MATCH("Utilidad Bruta",JulR!$A$1:$A96,0),MATCH($A75,JulR!$A$6:AO$6,0),),"")</f>
        <v/>
      </c>
      <c r="X75" s="51" t="str">
        <f t="array" ref="X75">IFERROR(INDEX(AgoR!$A$1:$AP96,MATCH("Utilidad Bruta",AgoR!$A$1:$A96,0),MATCH($A75,AgoR!$A$6:AO$6,0),),"")</f>
        <v/>
      </c>
      <c r="AA75" s="51" t="str">
        <f t="array" ref="AA75">IFERROR(INDEX(SepR!$A$1:$AV96,MATCH("Utilidad Bruta",SepR!$A$1:$A96,0),MATCH($A75,SepR!$A$6:AO$6,0),),"")</f>
        <v/>
      </c>
      <c r="AD75" s="51" t="str">
        <f t="array" ref="AD75">IFERROR(INDEX(OctR!$A$1:$AP96,MATCH("Utilidad Bruta",OctR!$A$1:$A96,0),MATCH($A75,OctR!$A$6:AO$6,0),),"")</f>
        <v/>
      </c>
      <c r="AG75" s="51" t="str">
        <f t="array" ref="AG75">IFERROR(INDEX(NovR!$A$1:$AP96,MATCH("Utilidad Bruta",NovR!$A$1:$A96,0),MATCH($A75,NovR!$A$6:AO$6,0),),"")</f>
        <v/>
      </c>
      <c r="AJ75" s="51" t="str">
        <f t="array" ref="AJ75">IFERROR(INDEX(DicR!$A$1:$AP96,MATCH("Utilidad Bruta",DicR!$A$1:$A96,0),MATCH($A75,DicR!$A$6:AO$6,0),),"")</f>
        <v/>
      </c>
    </row>
    <row r="76" ht="15.75" customHeight="1">
      <c r="A76" s="12"/>
      <c r="B76" s="51" t="str">
        <f t="shared" si="1"/>
        <v/>
      </c>
      <c r="C76" s="51" t="str">
        <f t="array" ref="C76">IFERROR(INDEX(EneR!$A$1:$AO96,MATCH("Utilidad Bruta",EneR!$A$1:$A96,0),MATCH($A76,EneR!$A$6:AO$6,0),),"")</f>
        <v/>
      </c>
      <c r="F76" s="51" t="str">
        <f t="array" ref="F76">IFERROR(INDEX(FebR!$A$1:$AP96,MATCH("Utilidad Bruta",FebR!$A$1:$A96,0),MATCH($A76,FebR!$A$6:AO$6,0),),"")</f>
        <v/>
      </c>
      <c r="I76" s="51" t="str">
        <f t="array" ref="I76">IFERROR(INDEX(MarR!$A$1:$AP96,MATCH("Utilidad Bruta",MarR!$A$1:$A96,0),MATCH($A76,MarR!$A$6:AO$6,0),),"")</f>
        <v/>
      </c>
      <c r="L76" s="51" t="str">
        <f t="array" ref="L76">IFERROR(INDEX(AbrR!$A$1:$AP96,MATCH("Utilidad Bruta",AbrR!$A$1:$A96,0),MATCH($A76,AbrR!$A$6:AO$6,0),),"")</f>
        <v/>
      </c>
      <c r="O76" s="51" t="str">
        <f t="array" ref="O76">IFERROR(INDEX(MayR!$A$1:$BK96,MATCH("Utilidad Bruta",MayR!$A$1:$A96,0),MATCH($A76,MayR!$A$6:AO$6,0),),"")</f>
        <v/>
      </c>
      <c r="R76" s="51" t="str">
        <f t="array" ref="R76">IFERROR(INDEX(JunR!$A$1:$AP96,MATCH("Utilidad Bruta",JunR!$A$1:$A96,0),MATCH($A76,JunR!$A$6:AO$6,0),),"")</f>
        <v/>
      </c>
      <c r="U76" s="51" t="str">
        <f t="array" ref="U76">IFERROR(INDEX(JulR!$A$1:$AP96,MATCH("Utilidad Bruta",JulR!$A$1:$A96,0),MATCH($A76,JulR!$A$6:AO$6,0),),"")</f>
        <v/>
      </c>
      <c r="X76" s="51" t="str">
        <f t="array" ref="X76">IFERROR(INDEX(AgoR!$A$1:$AP96,MATCH("Utilidad Bruta",AgoR!$A$1:$A96,0),MATCH($A76,AgoR!$A$6:AO$6,0),),"")</f>
        <v/>
      </c>
      <c r="AA76" s="51" t="str">
        <f t="array" ref="AA76">IFERROR(INDEX(SepR!$A$1:$AV96,MATCH("Utilidad Bruta",SepR!$A$1:$A96,0),MATCH($A76,SepR!$A$6:AO$6,0),),"")</f>
        <v/>
      </c>
      <c r="AD76" s="51" t="str">
        <f t="array" ref="AD76">IFERROR(INDEX(OctR!$A$1:$AP96,MATCH("Utilidad Bruta",OctR!$A$1:$A96,0),MATCH($A76,OctR!$A$6:AO$6,0),),"")</f>
        <v/>
      </c>
      <c r="AG76" s="51" t="str">
        <f t="array" ref="AG76">IFERROR(INDEX(NovR!$A$1:$AP96,MATCH("Utilidad Bruta",NovR!$A$1:$A96,0),MATCH($A76,NovR!$A$6:AO$6,0),),"")</f>
        <v/>
      </c>
      <c r="AJ76" s="51" t="str">
        <f t="array" ref="AJ76">IFERROR(INDEX(DicR!$A$1:$AP96,MATCH("Utilidad Bruta",DicR!$A$1:$A96,0),MATCH($A76,DicR!$A$6:AO$6,0),),"")</f>
        <v/>
      </c>
    </row>
    <row r="77" ht="15.75" customHeight="1">
      <c r="A77" s="12"/>
      <c r="B77" s="51" t="str">
        <f t="shared" si="1"/>
        <v/>
      </c>
      <c r="C77" s="51" t="str">
        <f t="array" ref="C77">IFERROR(INDEX(EneR!$A$1:$AO96,MATCH("Utilidad Bruta",EneR!$A$1:$A96,0),MATCH($A77,EneR!$A$6:AO$6,0),),"")</f>
        <v/>
      </c>
      <c r="F77" s="51" t="str">
        <f t="array" ref="F77">IFERROR(INDEX(FebR!$A$1:$AP96,MATCH("Utilidad Bruta",FebR!$A$1:$A96,0),MATCH($A77,FebR!$A$6:AO$6,0),),"")</f>
        <v/>
      </c>
      <c r="I77" s="51" t="str">
        <f t="array" ref="I77">IFERROR(INDEX(MarR!$A$1:$AP96,MATCH("Utilidad Bruta",MarR!$A$1:$A96,0),MATCH($A77,MarR!$A$6:AO$6,0),),"")</f>
        <v/>
      </c>
      <c r="L77" s="51" t="str">
        <f t="array" ref="L77">IFERROR(INDEX(AbrR!$A$1:$AP96,MATCH("Utilidad Bruta",AbrR!$A$1:$A96,0),MATCH($A77,AbrR!$A$6:AO$6,0),),"")</f>
        <v/>
      </c>
      <c r="O77" s="51" t="str">
        <f t="array" ref="O77">IFERROR(INDEX(MayR!$A$1:$BK96,MATCH("Utilidad Bruta",MayR!$A$1:$A96,0),MATCH($A77,MayR!$A$6:AO$6,0),),"")</f>
        <v/>
      </c>
      <c r="R77" s="51" t="str">
        <f t="array" ref="R77">IFERROR(INDEX(JunR!$A$1:$AP96,MATCH("Utilidad Bruta",JunR!$A$1:$A96,0),MATCH($A77,JunR!$A$6:AO$6,0),),"")</f>
        <v/>
      </c>
      <c r="U77" s="51" t="str">
        <f t="array" ref="U77">IFERROR(INDEX(JulR!$A$1:$AP96,MATCH("Utilidad Bruta",JulR!$A$1:$A96,0),MATCH($A77,JulR!$A$6:AO$6,0),),"")</f>
        <v/>
      </c>
      <c r="X77" s="51" t="str">
        <f t="array" ref="X77">IFERROR(INDEX(AgoR!$A$1:$AP96,MATCH("Utilidad Bruta",AgoR!$A$1:$A96,0),MATCH($A77,AgoR!$A$6:AO$6,0),),"")</f>
        <v/>
      </c>
      <c r="AA77" s="51" t="str">
        <f t="array" ref="AA77">IFERROR(INDEX(SepR!$A$1:$AV96,MATCH("Utilidad Bruta",SepR!$A$1:$A96,0),MATCH($A77,SepR!$A$6:AO$6,0),),"")</f>
        <v/>
      </c>
      <c r="AD77" s="51" t="str">
        <f t="array" ref="AD77">IFERROR(INDEX(OctR!$A$1:$AP96,MATCH("Utilidad Bruta",OctR!$A$1:$A96,0),MATCH($A77,OctR!$A$6:AO$6,0),),"")</f>
        <v/>
      </c>
      <c r="AG77" s="51" t="str">
        <f t="array" ref="AG77">IFERROR(INDEX(NovR!$A$1:$AP96,MATCH("Utilidad Bruta",NovR!$A$1:$A96,0),MATCH($A77,NovR!$A$6:AO$6,0),),"")</f>
        <v/>
      </c>
      <c r="AJ77" s="51" t="str">
        <f t="array" ref="AJ77">IFERROR(INDEX(DicR!$A$1:$AP96,MATCH("Utilidad Bruta",DicR!$A$1:$A96,0),MATCH($A77,DicR!$A$6:AO$6,0),),"")</f>
        <v/>
      </c>
    </row>
    <row r="78" ht="15.75" customHeight="1">
      <c r="A78" s="12"/>
      <c r="B78" s="51" t="str">
        <f t="shared" si="1"/>
        <v/>
      </c>
      <c r="C78" s="51" t="str">
        <f t="array" ref="C78">IFERROR(INDEX(EneR!$A$1:$AO96,MATCH("Utilidad Bruta",EneR!$A$1:$A96,0),MATCH($A78,EneR!$A$6:AO$6,0),),"")</f>
        <v/>
      </c>
      <c r="F78" s="51" t="str">
        <f t="array" ref="F78">IFERROR(INDEX(FebR!$A$1:$AP96,MATCH("Utilidad Bruta",FebR!$A$1:$A96,0),MATCH($A78,FebR!$A$6:AO$6,0),),"")</f>
        <v/>
      </c>
      <c r="I78" s="51" t="str">
        <f t="array" ref="I78">IFERROR(INDEX(MarR!$A$1:$AP96,MATCH("Utilidad Bruta",MarR!$A$1:$A96,0),MATCH($A78,MarR!$A$6:AO$6,0),),"")</f>
        <v/>
      </c>
      <c r="L78" s="51" t="str">
        <f t="array" ref="L78">IFERROR(INDEX(AbrR!$A$1:$AP96,MATCH("Utilidad Bruta",AbrR!$A$1:$A96,0),MATCH($A78,AbrR!$A$6:AO$6,0),),"")</f>
        <v/>
      </c>
      <c r="O78" s="51" t="str">
        <f t="array" ref="O78">IFERROR(INDEX(MayR!$A$1:$BK96,MATCH("Utilidad Bruta",MayR!$A$1:$A96,0),MATCH($A78,MayR!$A$6:AO$6,0),),"")</f>
        <v/>
      </c>
      <c r="R78" s="51" t="str">
        <f t="array" ref="R78">IFERROR(INDEX(JunR!$A$1:$AP96,MATCH("Utilidad Bruta",JunR!$A$1:$A96,0),MATCH($A78,JunR!$A$6:AO$6,0),),"")</f>
        <v/>
      </c>
      <c r="U78" s="51" t="str">
        <f t="array" ref="U78">IFERROR(INDEX(JulR!$A$1:$AP96,MATCH("Utilidad Bruta",JulR!$A$1:$A96,0),MATCH($A78,JulR!$A$6:AO$6,0),),"")</f>
        <v/>
      </c>
      <c r="X78" s="51" t="str">
        <f t="array" ref="X78">IFERROR(INDEX(AgoR!$A$1:$AP96,MATCH("Utilidad Bruta",AgoR!$A$1:$A96,0),MATCH($A78,AgoR!$A$6:AO$6,0),),"")</f>
        <v/>
      </c>
      <c r="AA78" s="51" t="str">
        <f t="array" ref="AA78">IFERROR(INDEX(SepR!$A$1:$AV96,MATCH("Utilidad Bruta",SepR!$A$1:$A96,0),MATCH($A78,SepR!$A$6:AO$6,0),),"")</f>
        <v/>
      </c>
      <c r="AD78" s="51" t="str">
        <f t="array" ref="AD78">IFERROR(INDEX(OctR!$A$1:$AP96,MATCH("Utilidad Bruta",OctR!$A$1:$A96,0),MATCH($A78,OctR!$A$6:AO$6,0),),"")</f>
        <v/>
      </c>
      <c r="AG78" s="51" t="str">
        <f t="array" ref="AG78">IFERROR(INDEX(NovR!$A$1:$AP96,MATCH("Utilidad Bruta",NovR!$A$1:$A96,0),MATCH($A78,NovR!$A$6:AO$6,0),),"")</f>
        <v/>
      </c>
      <c r="AJ78" s="51" t="str">
        <f t="array" ref="AJ78">IFERROR(INDEX(DicR!$A$1:$AP96,MATCH("Utilidad Bruta",DicR!$A$1:$A96,0),MATCH($A78,DicR!$A$6:AO$6,0),),"")</f>
        <v/>
      </c>
    </row>
    <row r="79" ht="15.75" customHeight="1">
      <c r="A79" s="12"/>
      <c r="B79" s="51" t="str">
        <f t="shared" si="1"/>
        <v/>
      </c>
      <c r="C79" s="51" t="str">
        <f t="array" ref="C79">IFERROR(INDEX(EneR!$A$1:$AO96,MATCH("Utilidad Bruta",EneR!$A$1:$A96,0),MATCH($A79,EneR!$A$6:AO$6,0),),"")</f>
        <v/>
      </c>
      <c r="F79" s="51" t="str">
        <f t="array" ref="F79">IFERROR(INDEX(FebR!$A$1:$AP96,MATCH("Utilidad Bruta",FebR!$A$1:$A96,0),MATCH($A79,FebR!$A$6:AO$6,0),),"")</f>
        <v/>
      </c>
      <c r="I79" s="51" t="str">
        <f t="array" ref="I79">IFERROR(INDEX(MarR!$A$1:$AP96,MATCH("Utilidad Bruta",MarR!$A$1:$A96,0),MATCH($A79,MarR!$A$6:AO$6,0),),"")</f>
        <v/>
      </c>
      <c r="L79" s="51" t="str">
        <f t="array" ref="L79">IFERROR(INDEX(AbrR!$A$1:$AP96,MATCH("Utilidad Bruta",AbrR!$A$1:$A96,0),MATCH($A79,AbrR!$A$6:AO$6,0),),"")</f>
        <v/>
      </c>
      <c r="O79" s="51" t="str">
        <f t="array" ref="O79">IFERROR(INDEX(MayR!$A$1:$BK96,MATCH("Utilidad Bruta",MayR!$A$1:$A96,0),MATCH($A79,MayR!$A$6:AO$6,0),),"")</f>
        <v/>
      </c>
      <c r="R79" s="51" t="str">
        <f t="array" ref="R79">IFERROR(INDEX(JunR!$A$1:$AP96,MATCH("Utilidad Bruta",JunR!$A$1:$A96,0),MATCH($A79,JunR!$A$6:AO$6,0),),"")</f>
        <v/>
      </c>
      <c r="U79" s="51" t="str">
        <f t="array" ref="U79">IFERROR(INDEX(JulR!$A$1:$AP96,MATCH("Utilidad Bruta",JulR!$A$1:$A96,0),MATCH($A79,JulR!$A$6:AO$6,0),),"")</f>
        <v/>
      </c>
      <c r="X79" s="51" t="str">
        <f t="array" ref="X79">IFERROR(INDEX(AgoR!$A$1:$AP96,MATCH("Utilidad Bruta",AgoR!$A$1:$A96,0),MATCH($A79,AgoR!$A$6:AO$6,0),),"")</f>
        <v/>
      </c>
      <c r="AA79" s="51" t="str">
        <f t="array" ref="AA79">IFERROR(INDEX(SepR!$A$1:$AV96,MATCH("Utilidad Bruta",SepR!$A$1:$A96,0),MATCH($A79,SepR!$A$6:AO$6,0),),"")</f>
        <v/>
      </c>
      <c r="AD79" s="51" t="str">
        <f t="array" ref="AD79">IFERROR(INDEX(OctR!$A$1:$AP96,MATCH("Utilidad Bruta",OctR!$A$1:$A96,0),MATCH($A79,OctR!$A$6:AO$6,0),),"")</f>
        <v/>
      </c>
      <c r="AG79" s="51" t="str">
        <f t="array" ref="AG79">IFERROR(INDEX(NovR!$A$1:$AP96,MATCH("Utilidad Bruta",NovR!$A$1:$A96,0),MATCH($A79,NovR!$A$6:AO$6,0),),"")</f>
        <v/>
      </c>
      <c r="AJ79" s="51" t="str">
        <f t="array" ref="AJ79">IFERROR(INDEX(DicR!$A$1:$AP96,MATCH("Utilidad Bruta",DicR!$A$1:$A96,0),MATCH($A79,DicR!$A$6:AO$6,0),),"")</f>
        <v/>
      </c>
    </row>
    <row r="80" ht="15.75" customHeight="1">
      <c r="A80" s="12"/>
      <c r="B80" s="51" t="str">
        <f t="shared" si="1"/>
        <v/>
      </c>
      <c r="C80" s="51" t="str">
        <f t="array" ref="C80">IFERROR(INDEX(EneR!$A$1:$AO96,MATCH("Utilidad Bruta",EneR!$A$1:$A96,0),MATCH($A80,EneR!$A$6:AO$6,0),),"")</f>
        <v/>
      </c>
      <c r="F80" s="51" t="str">
        <f t="array" ref="F80">IFERROR(INDEX(FebR!$A$1:$AP96,MATCH("Utilidad Bruta",FebR!$A$1:$A96,0),MATCH($A80,FebR!$A$6:AO$6,0),),"")</f>
        <v/>
      </c>
      <c r="I80" s="51" t="str">
        <f t="array" ref="I80">IFERROR(INDEX(MarR!$A$1:$AP96,MATCH("Utilidad Bruta",MarR!$A$1:$A96,0),MATCH($A80,MarR!$A$6:AO$6,0),),"")</f>
        <v/>
      </c>
      <c r="L80" s="51" t="str">
        <f t="array" ref="L80">IFERROR(INDEX(AbrR!$A$1:$AP96,MATCH("Utilidad Bruta",AbrR!$A$1:$A96,0),MATCH($A80,AbrR!$A$6:AO$6,0),),"")</f>
        <v/>
      </c>
      <c r="O80" s="51" t="str">
        <f t="array" ref="O80">IFERROR(INDEX(MayR!$A$1:$BK96,MATCH("Utilidad Bruta",MayR!$A$1:$A96,0),MATCH($A80,MayR!$A$6:AO$6,0),),"")</f>
        <v/>
      </c>
      <c r="R80" s="51" t="str">
        <f t="array" ref="R80">IFERROR(INDEX(JunR!$A$1:$AP96,MATCH("Utilidad Bruta",JunR!$A$1:$A96,0),MATCH($A80,JunR!$A$6:AO$6,0),),"")</f>
        <v/>
      </c>
      <c r="U80" s="51" t="str">
        <f t="array" ref="U80">IFERROR(INDEX(JulR!$A$1:$AP96,MATCH("Utilidad Bruta",JulR!$A$1:$A96,0),MATCH($A80,JulR!$A$6:AO$6,0),),"")</f>
        <v/>
      </c>
      <c r="X80" s="51" t="str">
        <f t="array" ref="X80">IFERROR(INDEX(AgoR!$A$1:$AP96,MATCH("Utilidad Bruta",AgoR!$A$1:$A96,0),MATCH($A80,AgoR!$A$6:AO$6,0),),"")</f>
        <v/>
      </c>
      <c r="AA80" s="51" t="str">
        <f t="array" ref="AA80">IFERROR(INDEX(SepR!$A$1:$AV96,MATCH("Utilidad Bruta",SepR!$A$1:$A96,0),MATCH($A80,SepR!$A$6:AO$6,0),),"")</f>
        <v/>
      </c>
      <c r="AD80" s="51" t="str">
        <f t="array" ref="AD80">IFERROR(INDEX(OctR!$A$1:$AP96,MATCH("Utilidad Bruta",OctR!$A$1:$A96,0),MATCH($A80,OctR!$A$6:AO$6,0),),"")</f>
        <v/>
      </c>
      <c r="AG80" s="51" t="str">
        <f t="array" ref="AG80">IFERROR(INDEX(NovR!$A$1:$AP96,MATCH("Utilidad Bruta",NovR!$A$1:$A96,0),MATCH($A80,NovR!$A$6:AO$6,0),),"")</f>
        <v/>
      </c>
      <c r="AJ80" s="51" t="str">
        <f t="array" ref="AJ80">IFERROR(INDEX(DicR!$A$1:$AP96,MATCH("Utilidad Bruta",DicR!$A$1:$A96,0),MATCH($A80,DicR!$A$6:AO$6,0),),"")</f>
        <v/>
      </c>
    </row>
    <row r="81" ht="15.75" customHeight="1">
      <c r="A81" s="12"/>
      <c r="B81" s="51"/>
      <c r="C81" s="51" t="str">
        <f t="array" ref="C81">IFERROR(INDEX(EneR!$A$1:$AO96,MATCH("Utilidad Bruta",EneR!$A$1:$A96,0),MATCH($A81,EneR!$A$6:AO$6,0),),"")</f>
        <v/>
      </c>
      <c r="F81" s="51" t="str">
        <f t="array" ref="F81">IFERROR(INDEX(FebR!$A$1:$AP96,MATCH("Utilidad Bruta",FebR!$A$1:$A96,0),MATCH($A81,FebR!$A$6:AO$6,0),),"")</f>
        <v/>
      </c>
      <c r="I81" s="51" t="str">
        <f t="array" ref="I81">IFERROR(INDEX(MarR!$A$1:$AP96,MATCH("Utilidad Bruta",MarR!$A$1:$A96,0),MATCH($A81,MarR!$A$6:AO$6,0),),"")</f>
        <v/>
      </c>
      <c r="L81" s="51" t="str">
        <f t="array" ref="L81">IFERROR(INDEX(AbrR!$A$1:$AP96,MATCH("Utilidad Bruta",AbrR!$A$1:$A96,0),MATCH($A81,AbrR!$A$6:AO$6,0),),"")</f>
        <v/>
      </c>
      <c r="O81" s="51" t="str">
        <f t="array" ref="O81">IFERROR(INDEX(MayR!$A$1:$BK96,MATCH("Utilidad Bruta",MayR!$A$1:$A96,0),MATCH($A81,MayR!$A$6:AO$6,0),),"")</f>
        <v/>
      </c>
      <c r="R81" s="51" t="str">
        <f t="array" ref="R81">IFERROR(INDEX(JunR!$A$1:$AP96,MATCH("Utilidad Bruta",JunR!$A$1:$A96,0),MATCH($A81,JunR!$A$6:AO$6,0),),"")</f>
        <v/>
      </c>
      <c r="U81" s="51" t="str">
        <f t="array" ref="U81">IFERROR(INDEX(JulR!$A$1:$AP96,MATCH("Utilidad Bruta",JulR!$A$1:$A96,0),MATCH($A81,JulR!$A$6:AO$6,0),),"")</f>
        <v/>
      </c>
      <c r="X81" s="51" t="str">
        <f t="array" ref="X81">IFERROR(INDEX(AgoR!$A$1:$AP96,MATCH("Utilidad Bruta",AgoR!$A$1:$A96,0),MATCH($A81,AgoR!$A$6:AO$6,0),),"")</f>
        <v/>
      </c>
      <c r="AA81" s="51" t="str">
        <f t="array" ref="AA81">IFERROR(INDEX(SepR!$A$1:$AV96,MATCH("Utilidad Bruta",SepR!$A$1:$A96,0),MATCH($A81,SepR!$A$6:AO$6,0),),"")</f>
        <v/>
      </c>
      <c r="AD81" s="51" t="str">
        <f t="array" ref="AD81">IFERROR(INDEX(OctR!$A$1:$AP96,MATCH("Utilidad Bruta",OctR!$A$1:$A96,0),MATCH($A81,OctR!$A$6:AO$6,0),),"")</f>
        <v/>
      </c>
      <c r="AG81" s="51" t="str">
        <f t="array" ref="AG81">IFERROR(INDEX(NovR!$A$1:$AP96,MATCH("Utilidad Bruta",NovR!$A$1:$A96,0),MATCH($A81,NovR!$A$6:AO$6,0),),"")</f>
        <v/>
      </c>
      <c r="AJ81" s="51" t="str">
        <f t="array" ref="AJ81">IFERROR(INDEX(DicR!$A$1:$AP96,MATCH("Utilidad Bruta",DicR!$A$1:$A96,0),MATCH($A81,DicR!$A$6:AO$6,0),),"")</f>
        <v/>
      </c>
    </row>
    <row r="82" ht="15.75" customHeight="1">
      <c r="A82" s="12"/>
      <c r="B82" s="51"/>
      <c r="C82" s="51" t="str">
        <f t="array" ref="C82">IFERROR(INDEX(EneR!$A$1:$AO96,MATCH("Utilidad Bruta",EneR!$A$1:$A96,0),MATCH($A82,EneR!$A$6:AO$6,0),),"")</f>
        <v/>
      </c>
      <c r="F82" s="51" t="str">
        <f t="array" ref="F82">IFERROR(INDEX(FebR!$A$1:$AP96,MATCH("Utilidad Bruta",FebR!$A$1:$A96,0),MATCH($A82,FebR!$A$6:AO$6,0),),"")</f>
        <v/>
      </c>
      <c r="I82" s="51" t="str">
        <f t="array" ref="I82">IFERROR(INDEX(MarR!$A$1:$AP96,MATCH("Utilidad Bruta",MarR!$A$1:$A96,0),MATCH($A82,MarR!$A$6:AO$6,0),),"")</f>
        <v/>
      </c>
      <c r="L82" s="51" t="str">
        <f t="array" ref="L82">IFERROR(INDEX(AbrR!$A$1:$AP96,MATCH("Utilidad Bruta",AbrR!$A$1:$A96,0),MATCH($A82,AbrR!$A$6:AO$6,0),),"")</f>
        <v/>
      </c>
      <c r="O82" s="51" t="str">
        <f t="array" ref="O82">IFERROR(INDEX(MayR!$A$1:$BK96,MATCH("Utilidad Bruta",MayR!$A$1:$A96,0),MATCH($A82,MayR!$A$6:AO$6,0),),"")</f>
        <v/>
      </c>
      <c r="R82" s="51" t="str">
        <f t="array" ref="R82">IFERROR(INDEX(JunR!$A$1:$AP96,MATCH("Utilidad Bruta",JunR!$A$1:$A96,0),MATCH($A82,JunR!$A$6:AO$6,0),),"")</f>
        <v/>
      </c>
      <c r="U82" s="51" t="str">
        <f t="array" ref="U82">IFERROR(INDEX(JulR!$A$1:$AP96,MATCH("Utilidad Bruta",JulR!$A$1:$A96,0),MATCH($A82,JulR!$A$6:AO$6,0),),"")</f>
        <v/>
      </c>
      <c r="X82" s="51" t="str">
        <f t="array" ref="X82">IFERROR(INDEX(AgoR!$A$1:$AP96,MATCH("Utilidad Bruta",AgoR!$A$1:$A96,0),MATCH($A82,AgoR!$A$6:AO$6,0),),"")</f>
        <v/>
      </c>
      <c r="AA82" s="51" t="str">
        <f t="array" ref="AA82">IFERROR(INDEX(SepR!$A$1:$AV96,MATCH("Utilidad Bruta",SepR!$A$1:$A96,0),MATCH($A82,SepR!$A$6:AO$6,0),),"")</f>
        <v/>
      </c>
      <c r="AD82" s="51" t="str">
        <f t="array" ref="AD82">IFERROR(INDEX(OctR!$A$1:$AP96,MATCH("Utilidad Bruta",OctR!$A$1:$A96,0),MATCH($A82,OctR!$A$6:AO$6,0),),"")</f>
        <v/>
      </c>
      <c r="AG82" s="51" t="str">
        <f t="array" ref="AG82">IFERROR(INDEX(NovR!$A$1:$AP96,MATCH("Utilidad Bruta",NovR!$A$1:$A96,0),MATCH($A82,NovR!$A$6:AO$6,0),),"")</f>
        <v/>
      </c>
      <c r="AJ82" s="51" t="str">
        <f t="array" ref="AJ82">IFERROR(INDEX(DicR!$A$1:$AP96,MATCH("Utilidad Bruta",DicR!$A$1:$A96,0),MATCH($A82,DicR!$A$6:AO$6,0),),"")</f>
        <v/>
      </c>
    </row>
    <row r="83" ht="15.75" customHeight="1">
      <c r="A83" s="12"/>
      <c r="B83" s="51"/>
      <c r="C83" s="51" t="str">
        <f t="array" ref="C83">IFERROR(INDEX(EneR!$A$1:$AO96,MATCH("Utilidad Bruta",EneR!$A$1:$A96,0),MATCH($A83,EneR!$A$6:AO$6,0),),"")</f>
        <v/>
      </c>
      <c r="F83" s="51" t="str">
        <f t="array" ref="F83">IFERROR(INDEX(FebR!$A$1:$AP96,MATCH("Utilidad Bruta",FebR!$A$1:$A96,0),MATCH($A83,FebR!$A$6:AO$6,0),),"")</f>
        <v/>
      </c>
      <c r="I83" s="51" t="str">
        <f t="array" ref="I83">IFERROR(INDEX(MarR!$A$1:$AP96,MATCH("Utilidad Bruta",MarR!$A$1:$A96,0),MATCH($A83,MarR!$A$6:AO$6,0),),"")</f>
        <v/>
      </c>
      <c r="L83" s="51" t="str">
        <f t="array" ref="L83">IFERROR(INDEX(AbrR!$A$1:$AP96,MATCH("Utilidad Bruta",AbrR!$A$1:$A96,0),MATCH($A83,AbrR!$A$6:AO$6,0),),"")</f>
        <v/>
      </c>
      <c r="O83" s="51" t="str">
        <f t="array" ref="O83">IFERROR(INDEX(MayR!$A$1:$BK96,MATCH("Utilidad Bruta",MayR!$A$1:$A96,0),MATCH($A83,MayR!$A$6:AO$6,0),),"")</f>
        <v/>
      </c>
      <c r="R83" s="51" t="str">
        <f t="array" ref="R83">IFERROR(INDEX(JunR!$A$1:$AP96,MATCH("Utilidad Bruta",JunR!$A$1:$A96,0),MATCH($A83,JunR!$A$6:AO$6,0),),"")</f>
        <v/>
      </c>
      <c r="U83" s="51" t="str">
        <f t="array" ref="U83">IFERROR(INDEX(JulR!$A$1:$AP96,MATCH("Utilidad Bruta",JulR!$A$1:$A96,0),MATCH($A83,JulR!$A$6:AO$6,0),),"")</f>
        <v/>
      </c>
      <c r="X83" s="51" t="str">
        <f t="array" ref="X83">IFERROR(INDEX(AgoR!$A$1:$AP96,MATCH("Utilidad Bruta",AgoR!$A$1:$A96,0),MATCH($A83,AgoR!$A$6:AO$6,0),),"")</f>
        <v/>
      </c>
      <c r="AA83" s="51" t="str">
        <f t="array" ref="AA83">IFERROR(INDEX(SepR!$A$1:$AV96,MATCH("Utilidad Bruta",SepR!$A$1:$A96,0),MATCH($A83,SepR!$A$6:AO$6,0),),"")</f>
        <v/>
      </c>
      <c r="AD83" s="51" t="str">
        <f t="array" ref="AD83">IFERROR(INDEX(OctR!$A$1:$AP96,MATCH("Utilidad Bruta",OctR!$A$1:$A96,0),MATCH($A83,OctR!$A$6:AO$6,0),),"")</f>
        <v/>
      </c>
      <c r="AG83" s="51" t="str">
        <f t="array" ref="AG83">IFERROR(INDEX(NovR!$A$1:$AP96,MATCH("Utilidad Bruta",NovR!$A$1:$A96,0),MATCH($A83,NovR!$A$6:AO$6,0),),"")</f>
        <v/>
      </c>
      <c r="AJ83" s="51" t="str">
        <f t="array" ref="AJ83">IFERROR(INDEX(DicR!$A$1:$AP96,MATCH("Utilidad Bruta",DicR!$A$1:$A96,0),MATCH($A83,DicR!$A$6:AO$6,0),),"")</f>
        <v/>
      </c>
    </row>
    <row r="84" ht="15.75" customHeight="1">
      <c r="A84" s="12"/>
      <c r="B84" s="51"/>
      <c r="C84" s="51" t="str">
        <f t="array" ref="C84">IFERROR(INDEX(EneR!$A$1:$AO96,MATCH("Utilidad Bruta",EneR!$A$1:$A96,0),MATCH($A84,EneR!$A$6:AO$6,0),),"")</f>
        <v/>
      </c>
      <c r="F84" s="51" t="str">
        <f t="array" ref="F84">IFERROR(INDEX(FebR!$A$1:$AP96,MATCH("Utilidad Bruta",FebR!$A$1:$A96,0),MATCH($A84,FebR!$A$6:AO$6,0),),"")</f>
        <v/>
      </c>
      <c r="I84" s="51" t="str">
        <f t="array" ref="I84">IFERROR(INDEX(MarR!$A$1:$AP96,MATCH("Utilidad Bruta",MarR!$A$1:$A96,0),MATCH($A84,MarR!$A$6:AO$6,0),),"")</f>
        <v/>
      </c>
      <c r="L84" s="51" t="str">
        <f t="array" ref="L84">IFERROR(INDEX(AbrR!$A$1:$AP96,MATCH("Utilidad Bruta",AbrR!$A$1:$A96,0),MATCH($A84,AbrR!$A$6:AO$6,0),),"")</f>
        <v/>
      </c>
      <c r="O84" s="51" t="str">
        <f t="array" ref="O84">IFERROR(INDEX(MayR!$A$1:$BK96,MATCH("Utilidad Bruta",MayR!$A$1:$A96,0),MATCH($A84,MayR!$A$6:AO$6,0),),"")</f>
        <v/>
      </c>
      <c r="R84" s="51" t="str">
        <f t="array" ref="R84">IFERROR(INDEX(JunR!$A$1:$AP96,MATCH("Utilidad Bruta",JunR!$A$1:$A96,0),MATCH($A84,JunR!$A$6:AO$6,0),),"")</f>
        <v/>
      </c>
      <c r="U84" s="51" t="str">
        <f t="array" ref="U84">IFERROR(INDEX(JulR!$A$1:$AP96,MATCH("Utilidad Bruta",JulR!$A$1:$A96,0),MATCH($A84,JulR!$A$6:AO$6,0),),"")</f>
        <v/>
      </c>
      <c r="X84" s="51" t="str">
        <f t="array" ref="X84">IFERROR(INDEX(AgoR!$A$1:$AP96,MATCH("Utilidad Bruta",AgoR!$A$1:$A96,0),MATCH($A84,AgoR!$A$6:AO$6,0),),"")</f>
        <v/>
      </c>
      <c r="AA84" s="51" t="str">
        <f t="array" ref="AA84">IFERROR(INDEX(SepR!$A$1:$AV96,MATCH("Utilidad Bruta",SepR!$A$1:$A96,0),MATCH($A84,SepR!$A$6:AO$6,0),),"")</f>
        <v/>
      </c>
      <c r="AD84" s="51" t="str">
        <f t="array" ref="AD84">IFERROR(INDEX(OctR!$A$1:$AP96,MATCH("Utilidad Bruta",OctR!$A$1:$A96,0),MATCH($A84,OctR!$A$6:AO$6,0),),"")</f>
        <v/>
      </c>
      <c r="AG84" s="51" t="str">
        <f t="array" ref="AG84">IFERROR(INDEX(NovR!$A$1:$AP96,MATCH("Utilidad Bruta",NovR!$A$1:$A96,0),MATCH($A84,NovR!$A$6:AO$6,0),),"")</f>
        <v/>
      </c>
      <c r="AJ84" s="51" t="str">
        <f t="array" ref="AJ84">IFERROR(INDEX(DicR!$A$1:$AP96,MATCH("Utilidad Bruta",DicR!$A$1:$A96,0),MATCH($A84,DicR!$A$6:AO$6,0),),"")</f>
        <v/>
      </c>
    </row>
    <row r="85" ht="15.75" customHeight="1">
      <c r="A85" s="12"/>
      <c r="B85" s="51"/>
      <c r="C85" s="51" t="str">
        <f t="array" ref="C85">IFERROR(INDEX(EneR!$A$1:$AO96,MATCH("Utilidad Bruta",EneR!$A$1:$A96,0),MATCH($A85,EneR!$A$6:AO$6,0),),"")</f>
        <v/>
      </c>
      <c r="F85" s="51" t="str">
        <f t="array" ref="F85">IFERROR(INDEX(FebR!$A$1:$AP96,MATCH("Utilidad Bruta",FebR!$A$1:$A96,0),MATCH($A85,FebR!$A$6:AO$6,0),),"")</f>
        <v/>
      </c>
      <c r="I85" s="51" t="str">
        <f t="array" ref="I85">IFERROR(INDEX(MarR!$A$1:$AP96,MATCH("Utilidad Bruta",MarR!$A$1:$A96,0),MATCH($A85,MarR!$A$6:AO$6,0),),"")</f>
        <v/>
      </c>
      <c r="L85" s="51" t="str">
        <f t="array" ref="L85">IFERROR(INDEX(AbrR!$A$1:$AP96,MATCH("Utilidad Bruta",AbrR!$A$1:$A96,0),MATCH($A85,AbrR!$A$6:AO$6,0),),"")</f>
        <v/>
      </c>
      <c r="O85" s="51" t="str">
        <f t="array" ref="O85">IFERROR(INDEX(MayR!$A$1:$BK96,MATCH("Utilidad Bruta",MayR!$A$1:$A96,0),MATCH($A85,MayR!$A$6:AO$6,0),),"")</f>
        <v/>
      </c>
      <c r="R85" s="51" t="str">
        <f t="array" ref="R85">IFERROR(INDEX(JunR!$A$1:$AP96,MATCH("Utilidad Bruta",JunR!$A$1:$A96,0),MATCH($A85,JunR!$A$6:AO$6,0),),"")</f>
        <v/>
      </c>
      <c r="U85" s="51" t="str">
        <f t="array" ref="U85">IFERROR(INDEX(JulR!$A$1:$AP96,MATCH("Utilidad Bruta",JulR!$A$1:$A96,0),MATCH($A85,JulR!$A$6:AO$6,0),),"")</f>
        <v/>
      </c>
      <c r="X85" s="51" t="str">
        <f t="array" ref="X85">IFERROR(INDEX(AgoR!$A$1:$AP96,MATCH("Utilidad Bruta",AgoR!$A$1:$A96,0),MATCH($A85,AgoR!$A$6:AO$6,0),),"")</f>
        <v/>
      </c>
      <c r="AA85" s="51" t="str">
        <f t="array" ref="AA85">IFERROR(INDEX(SepR!$A$1:$AV96,MATCH("Utilidad Bruta",SepR!$A$1:$A96,0),MATCH($A85,SepR!$A$6:AO$6,0),),"")</f>
        <v/>
      </c>
      <c r="AD85" s="51" t="str">
        <f t="array" ref="AD85">IFERROR(INDEX(OctR!$A$1:$AP96,MATCH("Utilidad Bruta",OctR!$A$1:$A96,0),MATCH($A85,OctR!$A$6:AO$6,0),),"")</f>
        <v/>
      </c>
      <c r="AG85" s="51" t="str">
        <f t="array" ref="AG85">IFERROR(INDEX(NovR!$A$1:$AP96,MATCH("Utilidad Bruta",NovR!$A$1:$A96,0),MATCH($A85,NovR!$A$6:AO$6,0),),"")</f>
        <v/>
      </c>
      <c r="AJ85" s="51" t="str">
        <f t="array" ref="AJ85">IFERROR(INDEX(DicR!$A$1:$AP96,MATCH("Utilidad Bruta",DicR!$A$1:$A96,0),MATCH($A85,DicR!$A$6:AO$6,0),),"")</f>
        <v/>
      </c>
    </row>
    <row r="86" ht="15.75" customHeight="1">
      <c r="A86" s="12"/>
      <c r="B86" s="51"/>
      <c r="C86" s="51" t="str">
        <f t="array" ref="C86">IFERROR(INDEX(EneR!$A$1:$AO96,MATCH("Utilidad Bruta",EneR!$A$1:$A96,0),MATCH($A86,EneR!$A$6:AO$6,0),),"")</f>
        <v/>
      </c>
      <c r="F86" s="51" t="str">
        <f t="array" ref="F86">IFERROR(INDEX(FebR!$A$1:$AP96,MATCH("Utilidad Bruta",FebR!$A$1:$A96,0),MATCH($A86,FebR!$A$6:AO$6,0),),"")</f>
        <v/>
      </c>
      <c r="I86" s="51" t="str">
        <f t="array" ref="I86">IFERROR(INDEX(MarR!$A$1:$AP96,MATCH("Utilidad Bruta",MarR!$A$1:$A96,0),MATCH($A86,MarR!$A$6:AO$6,0),),"")</f>
        <v/>
      </c>
      <c r="L86" s="51" t="str">
        <f t="array" ref="L86">IFERROR(INDEX(AbrR!$A$1:$AP96,MATCH("Utilidad Bruta",AbrR!$A$1:$A96,0),MATCH($A86,AbrR!$A$6:AO$6,0),),"")</f>
        <v/>
      </c>
      <c r="O86" s="51" t="str">
        <f t="array" ref="O86">IFERROR(INDEX(MayR!$A$1:$BK96,MATCH("Utilidad Bruta",MayR!$A$1:$A96,0),MATCH($A86,MayR!$A$6:AO$6,0),),"")</f>
        <v/>
      </c>
      <c r="R86" s="51" t="str">
        <f t="array" ref="R86">IFERROR(INDEX(JunR!$A$1:$AP96,MATCH("Utilidad Bruta",JunR!$A$1:$A96,0),MATCH($A86,JunR!$A$6:AO$6,0),),"")</f>
        <v/>
      </c>
      <c r="U86" s="51" t="str">
        <f t="array" ref="U86">IFERROR(INDEX(JulR!$A$1:$AP96,MATCH("Utilidad Bruta",JulR!$A$1:$A96,0),MATCH($A86,JulR!$A$6:AO$6,0),),"")</f>
        <v/>
      </c>
      <c r="X86" s="51" t="str">
        <f t="array" ref="X86">IFERROR(INDEX(AgoR!$A$1:$AP96,MATCH("Utilidad Bruta",AgoR!$A$1:$A96,0),MATCH($A86,AgoR!$A$6:AO$6,0),),"")</f>
        <v/>
      </c>
      <c r="AA86" s="51" t="str">
        <f t="array" ref="AA86">IFERROR(INDEX(SepR!$A$1:$AV96,MATCH("Utilidad Bruta",SepR!$A$1:$A96,0),MATCH($A86,SepR!$A$6:AO$6,0),),"")</f>
        <v/>
      </c>
      <c r="AD86" s="51" t="str">
        <f t="array" ref="AD86">IFERROR(INDEX(OctR!$A$1:$AP96,MATCH("Utilidad Bruta",OctR!$A$1:$A96,0),MATCH($A86,OctR!$A$6:AO$6,0),),"")</f>
        <v/>
      </c>
      <c r="AG86" s="51" t="str">
        <f t="array" ref="AG86">IFERROR(INDEX(NovR!$A$1:$AP96,MATCH("Utilidad Bruta",NovR!$A$1:$A96,0),MATCH($A86,NovR!$A$6:AO$6,0),),"")</f>
        <v/>
      </c>
      <c r="AJ86" s="51" t="str">
        <f t="array" ref="AJ86">IFERROR(INDEX(DicR!$A$1:$AP96,MATCH("Utilidad Bruta",DicR!$A$1:$A96,0),MATCH($A86,DicR!$A$6:AO$6,0),),"")</f>
        <v/>
      </c>
    </row>
    <row r="87" ht="15.75" customHeight="1">
      <c r="A87" s="12"/>
      <c r="B87" s="51"/>
      <c r="C87" s="51" t="str">
        <f t="array" ref="C87">IFERROR(INDEX(EneR!$A$1:$AO96,MATCH("Utilidad Bruta",EneR!$A$1:$A96,0),MATCH($A87,EneR!$A$6:AO$6,0),),"")</f>
        <v/>
      </c>
      <c r="F87" s="51" t="str">
        <f t="array" ref="F87">IFERROR(INDEX(FebR!$A$1:$AP96,MATCH("Utilidad Bruta",FebR!$A$1:$A96,0),MATCH($A87,FebR!$A$6:AO$6,0),),"")</f>
        <v/>
      </c>
      <c r="I87" s="51" t="str">
        <f t="array" ref="I87">IFERROR(INDEX(MarR!$A$1:$AP96,MATCH("Utilidad Bruta",MarR!$A$1:$A96,0),MATCH($A87,MarR!$A$6:AO$6,0),),"")</f>
        <v/>
      </c>
      <c r="L87" s="51" t="str">
        <f t="array" ref="L87">IFERROR(INDEX(AbrR!$A$1:$AP96,MATCH("Utilidad Bruta",AbrR!$A$1:$A96,0),MATCH($A87,AbrR!$A$6:AO$6,0),),"")</f>
        <v/>
      </c>
      <c r="O87" s="51" t="str">
        <f t="array" ref="O87">IFERROR(INDEX(MayR!$A$1:$BK96,MATCH("Utilidad Bruta",MayR!$A$1:$A96,0),MATCH($A87,MayR!$A$6:AO$6,0),),"")</f>
        <v/>
      </c>
      <c r="R87" s="51" t="str">
        <f t="array" ref="R87">IFERROR(INDEX(JunR!$A$1:$AP96,MATCH("Utilidad Bruta",JunR!$A$1:$A96,0),MATCH($A87,JunR!$A$6:AO$6,0),),"")</f>
        <v/>
      </c>
      <c r="U87" s="51" t="str">
        <f t="array" ref="U87">IFERROR(INDEX(JulR!$A$1:$AP96,MATCH("Utilidad Bruta",JulR!$A$1:$A96,0),MATCH($A87,JulR!$A$6:AO$6,0),),"")</f>
        <v/>
      </c>
      <c r="X87" s="51" t="str">
        <f t="array" ref="X87">IFERROR(INDEX(AgoR!$A$1:$AP96,MATCH("Utilidad Bruta",AgoR!$A$1:$A96,0),MATCH($A87,AgoR!$A$6:AO$6,0),),"")</f>
        <v/>
      </c>
      <c r="AA87" s="51" t="str">
        <f t="array" ref="AA87">IFERROR(INDEX(SepR!$A$1:$AV96,MATCH("Utilidad Bruta",SepR!$A$1:$A96,0),MATCH($A87,SepR!$A$6:AO$6,0),),"")</f>
        <v/>
      </c>
      <c r="AD87" s="51" t="str">
        <f t="array" ref="AD87">IFERROR(INDEX(OctR!$A$1:$AP96,MATCH("Utilidad Bruta",OctR!$A$1:$A96,0),MATCH($A87,OctR!$A$6:AO$6,0),),"")</f>
        <v/>
      </c>
      <c r="AG87" s="51" t="str">
        <f t="array" ref="AG87">IFERROR(INDEX(NovR!$A$1:$AP96,MATCH("Utilidad Bruta",NovR!$A$1:$A96,0),MATCH($A87,NovR!$A$6:AO$6,0),),"")</f>
        <v/>
      </c>
      <c r="AJ87" s="51" t="str">
        <f t="array" ref="AJ87">IFERROR(INDEX(DicR!$A$1:$AP96,MATCH("Utilidad Bruta",DicR!$A$1:$A96,0),MATCH($A87,DicR!$A$6:AO$6,0),),"")</f>
        <v/>
      </c>
    </row>
    <row r="88" ht="15.75" customHeight="1">
      <c r="A88" s="12"/>
      <c r="B88" s="51"/>
      <c r="C88" s="51" t="str">
        <f t="array" ref="C88">IFERROR(INDEX(EneR!$A$1:$AO96,MATCH("Utilidad Bruta",EneR!$A$1:$A96,0),MATCH($A88,EneR!$A$6:AO$6,0),),"")</f>
        <v/>
      </c>
      <c r="F88" s="51" t="str">
        <f t="array" ref="F88">IFERROR(INDEX(FebR!$A$1:$AP96,MATCH("Utilidad Bruta",FebR!$A$1:$A96,0),MATCH($A88,FebR!$A$6:AO$6,0),),"")</f>
        <v/>
      </c>
      <c r="I88" s="51" t="str">
        <f t="array" ref="I88">IFERROR(INDEX(MarR!$A$1:$AP96,MATCH("Utilidad Bruta",MarR!$A$1:$A96,0),MATCH($A88,MarR!$A$6:AO$6,0),),"")</f>
        <v/>
      </c>
      <c r="L88" s="51" t="str">
        <f t="array" ref="L88">IFERROR(INDEX(AbrR!$A$1:$AP96,MATCH("Utilidad Bruta",AbrR!$A$1:$A96,0),MATCH($A88,AbrR!$A$6:AO$6,0),),"")</f>
        <v/>
      </c>
      <c r="O88" s="51" t="str">
        <f t="array" ref="O88">IFERROR(INDEX(MayR!$A$1:$BK96,MATCH("Utilidad Bruta",MayR!$A$1:$A96,0),MATCH($A88,MayR!$A$6:AO$6,0),),"")</f>
        <v/>
      </c>
      <c r="R88" s="51" t="str">
        <f t="array" ref="R88">IFERROR(INDEX(JunR!$A$1:$AP96,MATCH("Utilidad Bruta",JunR!$A$1:$A96,0),MATCH($A88,JunR!$A$6:AO$6,0),),"")</f>
        <v/>
      </c>
      <c r="U88" s="51" t="str">
        <f t="array" ref="U88">IFERROR(INDEX(JulR!$A$1:$AP96,MATCH("Utilidad Bruta",JulR!$A$1:$A96,0),MATCH($A88,JulR!$A$6:AO$6,0),),"")</f>
        <v/>
      </c>
      <c r="X88" s="51" t="str">
        <f t="array" ref="X88">IFERROR(INDEX(AgoR!$A$1:$AP96,MATCH("Utilidad Bruta",AgoR!$A$1:$A96,0),MATCH($A88,AgoR!$A$6:AO$6,0),),"")</f>
        <v/>
      </c>
      <c r="AA88" s="51" t="str">
        <f t="array" ref="AA88">IFERROR(INDEX(SepR!$A$1:$AV96,MATCH("Utilidad Bruta",SepR!$A$1:$A96,0),MATCH($A88,SepR!$A$6:AO$6,0),),"")</f>
        <v/>
      </c>
      <c r="AD88" s="51" t="str">
        <f t="array" ref="AD88">IFERROR(INDEX(OctR!$A$1:$AP96,MATCH("Utilidad Bruta",OctR!$A$1:$A96,0),MATCH($A88,OctR!$A$6:AO$6,0),),"")</f>
        <v/>
      </c>
      <c r="AG88" s="51" t="str">
        <f t="array" ref="AG88">IFERROR(INDEX(NovR!$A$1:$AP96,MATCH("Utilidad Bruta",NovR!$A$1:$A96,0),MATCH($A88,NovR!$A$6:AO$6,0),),"")</f>
        <v/>
      </c>
      <c r="AJ88" s="51" t="str">
        <f t="array" ref="AJ88">IFERROR(INDEX(DicR!$A$1:$AP96,MATCH("Utilidad Bruta",DicR!$A$1:$A96,0),MATCH($A88,DicR!$A$6:AO$6,0),),"")</f>
        <v/>
      </c>
    </row>
    <row r="89" ht="15.75" customHeight="1">
      <c r="A89" s="12"/>
      <c r="B89" s="51"/>
      <c r="C89" s="51" t="str">
        <f t="array" ref="C89">IFERROR(INDEX(EneR!$A$1:$AO96,MATCH("Utilidad Bruta",EneR!$A$1:$A96,0),MATCH($A89,EneR!$A$6:AO$6,0),),"")</f>
        <v/>
      </c>
      <c r="F89" s="51" t="str">
        <f t="array" ref="F89">IFERROR(INDEX(FebR!$A$1:$AP96,MATCH("Utilidad Bruta",FebR!$A$1:$A96,0),MATCH($A89,FebR!$A$6:AO$6,0),),"")</f>
        <v/>
      </c>
      <c r="I89" s="51" t="str">
        <f t="array" ref="I89">IFERROR(INDEX(MarR!$A$1:$AP96,MATCH("Utilidad Bruta",MarR!$A$1:$A96,0),MATCH($A89,MarR!$A$6:AO$6,0),),"")</f>
        <v/>
      </c>
      <c r="L89" s="51" t="str">
        <f t="array" ref="L89">IFERROR(INDEX(AbrR!$A$1:$AP96,MATCH("Utilidad Bruta",AbrR!$A$1:$A96,0),MATCH($A89,AbrR!$A$6:AO$6,0),),"")</f>
        <v/>
      </c>
      <c r="O89" s="51" t="str">
        <f t="array" ref="O89">IFERROR(INDEX(MayR!$A$1:$BK96,MATCH("Utilidad Bruta",MayR!$A$1:$A96,0),MATCH($A89,MayR!$A$6:AO$6,0),),"")</f>
        <v/>
      </c>
      <c r="R89" s="51" t="str">
        <f t="array" ref="R89">IFERROR(INDEX(JunR!$A$1:$AP96,MATCH("Utilidad Bruta",JunR!$A$1:$A96,0),MATCH($A89,JunR!$A$6:AO$6,0),),"")</f>
        <v/>
      </c>
      <c r="U89" s="51" t="str">
        <f t="array" ref="U89">IFERROR(INDEX(JulR!$A$1:$AP96,MATCH("Utilidad Bruta",JulR!$A$1:$A96,0),MATCH($A89,JulR!$A$6:AO$6,0),),"")</f>
        <v/>
      </c>
      <c r="X89" s="51" t="str">
        <f t="array" ref="X89">IFERROR(INDEX(AgoR!$A$1:$AP96,MATCH("Utilidad Bruta",AgoR!$A$1:$A96,0),MATCH($A89,AgoR!$A$6:AO$6,0),),"")</f>
        <v/>
      </c>
      <c r="AA89" s="51" t="str">
        <f t="array" ref="AA89">IFERROR(INDEX(SepR!$A$1:$AV96,MATCH("Utilidad Bruta",SepR!$A$1:$A96,0),MATCH($A89,SepR!$A$6:AO$6,0),),"")</f>
        <v/>
      </c>
      <c r="AD89" s="51" t="str">
        <f t="array" ref="AD89">IFERROR(INDEX(OctR!$A$1:$AP96,MATCH("Utilidad Bruta",OctR!$A$1:$A96,0),MATCH($A89,OctR!$A$6:AO$6,0),),"")</f>
        <v/>
      </c>
      <c r="AG89" s="51" t="str">
        <f t="array" ref="AG89">IFERROR(INDEX(NovR!$A$1:$AP96,MATCH("Utilidad Bruta",NovR!$A$1:$A96,0),MATCH($A89,NovR!$A$6:AO$6,0),),"")</f>
        <v/>
      </c>
      <c r="AJ89" s="51" t="str">
        <f t="array" ref="AJ89">IFERROR(INDEX(DicR!$A$1:$AP96,MATCH("Utilidad Bruta",DicR!$A$1:$A96,0),MATCH($A89,DicR!$A$6:AO$6,0),),"")</f>
        <v/>
      </c>
    </row>
    <row r="90" ht="15.75" customHeight="1">
      <c r="A90" s="12"/>
      <c r="B90" s="51"/>
      <c r="C90" s="51" t="str">
        <f t="array" ref="C90">IFERROR(INDEX(EneR!$A$1:$AO96,MATCH("Utilidad Bruta",EneR!$A$1:$A96,0),MATCH($A90,EneR!$A$6:AO$6,0),),"")</f>
        <v/>
      </c>
      <c r="F90" s="51" t="str">
        <f t="array" ref="F90">IFERROR(INDEX(FebR!$A$1:$AP96,MATCH("Utilidad Bruta",FebR!$A$1:$A96,0),MATCH($A90,FebR!$A$6:AO$6,0),),"")</f>
        <v/>
      </c>
      <c r="I90" s="51" t="str">
        <f t="array" ref="I90">IFERROR(INDEX(MarR!$A$1:$AP96,MATCH("Utilidad Bruta",MarR!$A$1:$A96,0),MATCH($A90,MarR!$A$6:AO$6,0),),"")</f>
        <v/>
      </c>
      <c r="L90" s="51" t="str">
        <f t="array" ref="L90">IFERROR(INDEX(AbrR!$A$1:$AP96,MATCH("Utilidad Bruta",AbrR!$A$1:$A96,0),MATCH($A90,AbrR!$A$6:AO$6,0),),"")</f>
        <v/>
      </c>
      <c r="O90" s="51" t="str">
        <f t="array" ref="O90">IFERROR(INDEX(MayR!$A$1:$BK96,MATCH("Utilidad Bruta",MayR!$A$1:$A96,0),MATCH($A90,MayR!$A$6:AO$6,0),),"")</f>
        <v/>
      </c>
      <c r="R90" s="51" t="str">
        <f t="array" ref="R90">IFERROR(INDEX(JunR!$A$1:$AP96,MATCH("Utilidad Bruta",JunR!$A$1:$A96,0),MATCH($A90,JunR!$A$6:AO$6,0),),"")</f>
        <v/>
      </c>
      <c r="U90" s="51" t="str">
        <f t="array" ref="U90">IFERROR(INDEX(JulR!$A$1:$AP96,MATCH("Utilidad Bruta",JulR!$A$1:$A96,0),MATCH($A90,JulR!$A$6:AO$6,0),),"")</f>
        <v/>
      </c>
      <c r="X90" s="51" t="str">
        <f t="array" ref="X90">IFERROR(INDEX(AgoR!$A$1:$AP96,MATCH("Utilidad Bruta",AgoR!$A$1:$A96,0),MATCH($A90,AgoR!$A$6:AO$6,0),),"")</f>
        <v/>
      </c>
      <c r="AA90" s="51" t="str">
        <f t="array" ref="AA90">IFERROR(INDEX(SepR!$A$1:$AV96,MATCH("Utilidad Bruta",SepR!$A$1:$A96,0),MATCH($A90,SepR!$A$6:AO$6,0),),"")</f>
        <v/>
      </c>
      <c r="AD90" s="51" t="str">
        <f t="array" ref="AD90">IFERROR(INDEX(OctR!$A$1:$AP96,MATCH("Utilidad Bruta",OctR!$A$1:$A96,0),MATCH($A90,OctR!$A$6:AO$6,0),),"")</f>
        <v/>
      </c>
      <c r="AG90" s="51" t="str">
        <f t="array" ref="AG90">IFERROR(INDEX(NovR!$A$1:$AP96,MATCH("Utilidad Bruta",NovR!$A$1:$A96,0),MATCH($A90,NovR!$A$6:AO$6,0),),"")</f>
        <v/>
      </c>
      <c r="AJ90" s="51" t="str">
        <f t="array" ref="AJ90">IFERROR(INDEX(DicR!$A$1:$AP96,MATCH("Utilidad Bruta",DicR!$A$1:$A96,0),MATCH($A90,DicR!$A$6:AO$6,0),),"")</f>
        <v/>
      </c>
    </row>
    <row r="91" ht="15.75" customHeight="1">
      <c r="A91" s="12"/>
      <c r="B91" s="51"/>
      <c r="C91" s="51" t="str">
        <f t="array" ref="C91">IFERROR(INDEX(EneR!$A$1:$AO96,MATCH("Utilidad Bruta",EneR!$A$1:$A96,0),MATCH($A91,EneR!$A$6:AO$6,0),),"")</f>
        <v/>
      </c>
      <c r="F91" s="51" t="str">
        <f t="array" ref="F91">IFERROR(INDEX(FebR!$A$1:$AP96,MATCH("Utilidad Bruta",FebR!$A$1:$A96,0),MATCH($A91,FebR!$A$6:AO$6,0),),"")</f>
        <v/>
      </c>
      <c r="I91" s="51" t="str">
        <f t="array" ref="I91">IFERROR(INDEX(MarR!$A$1:$AP96,MATCH("Utilidad Bruta",MarR!$A$1:$A96,0),MATCH($A91,MarR!$A$6:AO$6,0),),"")</f>
        <v/>
      </c>
      <c r="L91" s="51" t="str">
        <f t="array" ref="L91">IFERROR(INDEX(AbrR!$A$1:$AP96,MATCH("Utilidad Bruta",AbrR!$A$1:$A96,0),MATCH($A91,AbrR!$A$6:AO$6,0),),"")</f>
        <v/>
      </c>
      <c r="O91" s="51" t="str">
        <f t="array" ref="O91">IFERROR(INDEX(MayR!$A$1:$BK96,MATCH("Utilidad Bruta",MayR!$A$1:$A96,0),MATCH($A91,MayR!$A$6:AO$6,0),),"")</f>
        <v/>
      </c>
      <c r="R91" s="51" t="str">
        <f t="array" ref="R91">IFERROR(INDEX(JunR!$A$1:$AP96,MATCH("Utilidad Bruta",JunR!$A$1:$A96,0),MATCH($A91,JunR!$A$6:AO$6,0),),"")</f>
        <v/>
      </c>
      <c r="U91" s="51" t="str">
        <f t="array" ref="U91">IFERROR(INDEX(JulR!$A$1:$AP96,MATCH("Utilidad Bruta",JulR!$A$1:$A96,0),MATCH($A91,JulR!$A$6:AO$6,0),),"")</f>
        <v/>
      </c>
      <c r="X91" s="51" t="str">
        <f t="array" ref="X91">IFERROR(INDEX(AgoR!$A$1:$AP96,MATCH("Utilidad Bruta",AgoR!$A$1:$A96,0),MATCH($A91,AgoR!$A$6:AO$6,0),),"")</f>
        <v/>
      </c>
      <c r="AA91" s="51" t="str">
        <f t="array" ref="AA91">IFERROR(INDEX(SepR!$A$1:$AV96,MATCH("Utilidad Bruta",SepR!$A$1:$A96,0),MATCH($A91,SepR!$A$6:AO$6,0),),"")</f>
        <v/>
      </c>
      <c r="AD91" s="51" t="str">
        <f t="array" ref="AD91">IFERROR(INDEX(OctR!$A$1:$AP96,MATCH("Utilidad Bruta",OctR!$A$1:$A96,0),MATCH($A91,OctR!$A$6:AO$6,0),),"")</f>
        <v/>
      </c>
      <c r="AG91" s="51" t="str">
        <f t="array" ref="AG91">IFERROR(INDEX(NovR!$A$1:$AP96,MATCH("Utilidad Bruta",NovR!$A$1:$A96,0),MATCH($A91,NovR!$A$6:AO$6,0),),"")</f>
        <v/>
      </c>
      <c r="AJ91" s="51" t="str">
        <f t="array" ref="AJ91">IFERROR(INDEX(DicR!$A$1:$AP96,MATCH("Utilidad Bruta",DicR!$A$1:$A96,0),MATCH($A91,DicR!$A$6:AO$6,0),),"")</f>
        <v/>
      </c>
    </row>
    <row r="92" ht="15.75" customHeight="1">
      <c r="A92" s="12"/>
      <c r="B92" s="51"/>
      <c r="C92" s="51" t="str">
        <f t="array" ref="C92">IFERROR(INDEX(EneR!$A$1:$AO96,MATCH("Utilidad Bruta",EneR!$A$1:$A96,0),MATCH($A92,EneR!$A$6:AO$6,0),),"")</f>
        <v/>
      </c>
      <c r="F92" s="51" t="str">
        <f t="array" ref="F92">IFERROR(INDEX(FebR!$A$1:$AP96,MATCH("Utilidad Bruta",FebR!$A$1:$A96,0),MATCH($A92,FebR!$A$6:AO$6,0),),"")</f>
        <v/>
      </c>
      <c r="I92" s="51" t="str">
        <f t="array" ref="I92">IFERROR(INDEX(MarR!$A$1:$AP96,MATCH("Utilidad Bruta",MarR!$A$1:$A96,0),MATCH($A92,MarR!$A$6:AO$6,0),),"")</f>
        <v/>
      </c>
      <c r="L92" s="51" t="str">
        <f t="array" ref="L92">IFERROR(INDEX(AbrR!$A$1:$AP96,MATCH("Utilidad Bruta",AbrR!$A$1:$A96,0),MATCH($A92,AbrR!$A$6:AO$6,0),),"")</f>
        <v/>
      </c>
      <c r="O92" s="51" t="str">
        <f t="array" ref="O92">IFERROR(INDEX(MayR!$A$1:$BK96,MATCH("Utilidad Bruta",MayR!$A$1:$A96,0),MATCH($A92,MayR!$A$6:AO$6,0),),"")</f>
        <v/>
      </c>
      <c r="R92" s="51" t="str">
        <f t="array" ref="R92">IFERROR(INDEX(JunR!$A$1:$AP96,MATCH("Utilidad Bruta",JunR!$A$1:$A96,0),MATCH($A92,JunR!$A$6:AO$6,0),),"")</f>
        <v/>
      </c>
      <c r="U92" s="51" t="str">
        <f t="array" ref="U92">IFERROR(INDEX(JulR!$A$1:$AP96,MATCH("Utilidad Bruta",JulR!$A$1:$A96,0),MATCH($A92,JulR!$A$6:AO$6,0),),"")</f>
        <v/>
      </c>
      <c r="X92" s="51" t="str">
        <f t="array" ref="X92">IFERROR(INDEX(AgoR!$A$1:$AP96,MATCH("Utilidad Bruta",AgoR!$A$1:$A96,0),MATCH($A92,AgoR!$A$6:AO$6,0),),"")</f>
        <v/>
      </c>
      <c r="AA92" s="51" t="str">
        <f t="array" ref="AA92">IFERROR(INDEX(SepR!$A$1:$AV96,MATCH("Utilidad Bruta",SepR!$A$1:$A96,0),MATCH($A92,SepR!$A$6:AO$6,0),),"")</f>
        <v/>
      </c>
      <c r="AD92" s="51" t="str">
        <f t="array" ref="AD92">IFERROR(INDEX(OctR!$A$1:$AP96,MATCH("Utilidad Bruta",OctR!$A$1:$A96,0),MATCH($A92,OctR!$A$6:AO$6,0),),"")</f>
        <v/>
      </c>
      <c r="AG92" s="51" t="str">
        <f t="array" ref="AG92">IFERROR(INDEX(NovR!$A$1:$AP96,MATCH("Utilidad Bruta",NovR!$A$1:$A96,0),MATCH($A92,NovR!$A$6:AO$6,0),),"")</f>
        <v/>
      </c>
      <c r="AJ92" s="51" t="str">
        <f t="array" ref="AJ92">IFERROR(INDEX(DicR!$A$1:$AP96,MATCH("Utilidad Bruta",DicR!$A$1:$A96,0),MATCH($A92,DicR!$A$6:AO$6,0),),"")</f>
        <v/>
      </c>
    </row>
    <row r="93" ht="15.75" customHeight="1">
      <c r="A93" s="12"/>
      <c r="B93" s="51"/>
      <c r="C93" s="51" t="str">
        <f t="array" ref="C93">IFERROR(INDEX(EneR!$A$1:$AO96,MATCH("Utilidad Bruta",EneR!$A$1:$A96,0),MATCH($A93,EneR!$A$6:AO$6,0),),"")</f>
        <v/>
      </c>
      <c r="F93" s="51" t="str">
        <f t="array" ref="F93">IFERROR(INDEX(FebR!$A$1:$AP96,MATCH("Utilidad Bruta",FebR!$A$1:$A96,0),MATCH($A93,FebR!$A$6:AO$6,0),),"")</f>
        <v/>
      </c>
      <c r="I93" s="51" t="str">
        <f t="array" ref="I93">IFERROR(INDEX(MarR!$A$1:$AP96,MATCH("Utilidad Bruta",MarR!$A$1:$A96,0),MATCH($A93,MarR!$A$6:AO$6,0),),"")</f>
        <v/>
      </c>
      <c r="L93" s="51" t="str">
        <f t="array" ref="L93">IFERROR(INDEX(AbrR!$A$1:$AP96,MATCH("Utilidad Bruta",AbrR!$A$1:$A96,0),MATCH($A93,AbrR!$A$6:AO$6,0),),"")</f>
        <v/>
      </c>
      <c r="O93" s="51" t="str">
        <f t="array" ref="O93">IFERROR(INDEX(MayR!$A$1:$BK96,MATCH("Utilidad Bruta",MayR!$A$1:$A96,0),MATCH($A93,MayR!$A$6:AO$6,0),),"")</f>
        <v/>
      </c>
      <c r="R93" s="51" t="str">
        <f t="array" ref="R93">IFERROR(INDEX(JunR!$A$1:$AP96,MATCH("Utilidad Bruta",JunR!$A$1:$A96,0),MATCH($A93,JunR!$A$6:AO$6,0),),"")</f>
        <v/>
      </c>
      <c r="U93" s="51" t="str">
        <f t="array" ref="U93">IFERROR(INDEX(JulR!$A$1:$AP96,MATCH("Utilidad Bruta",JulR!$A$1:$A96,0),MATCH($A93,JulR!$A$6:AO$6,0),),"")</f>
        <v/>
      </c>
      <c r="X93" s="51" t="str">
        <f t="array" ref="X93">IFERROR(INDEX(AgoR!$A$1:$AP96,MATCH("Utilidad Bruta",AgoR!$A$1:$A96,0),MATCH($A93,AgoR!$A$6:AO$6,0),),"")</f>
        <v/>
      </c>
      <c r="AA93" s="51" t="str">
        <f t="array" ref="AA93">IFERROR(INDEX(SepR!$A$1:$AV96,MATCH("Utilidad Bruta",SepR!$A$1:$A96,0),MATCH($A93,SepR!$A$6:AO$6,0),),"")</f>
        <v/>
      </c>
      <c r="AD93" s="51" t="str">
        <f t="array" ref="AD93">IFERROR(INDEX(OctR!$A$1:$AP96,MATCH("Utilidad Bruta",OctR!$A$1:$A96,0),MATCH($A93,OctR!$A$6:AO$6,0),),"")</f>
        <v/>
      </c>
      <c r="AG93" s="51" t="str">
        <f t="array" ref="AG93">IFERROR(INDEX(NovR!$A$1:$AP96,MATCH("Utilidad Bruta",NovR!$A$1:$A96,0),MATCH($A93,NovR!$A$6:AO$6,0),),"")</f>
        <v/>
      </c>
      <c r="AJ93" s="51" t="str">
        <f t="array" ref="AJ93">IFERROR(INDEX(DicR!$A$1:$AP96,MATCH("Utilidad Bruta",DicR!$A$1:$A96,0),MATCH($A93,DicR!$A$6:AO$6,0),),"")</f>
        <v/>
      </c>
    </row>
    <row r="94" ht="15.75" customHeight="1">
      <c r="A94" s="12"/>
      <c r="B94" s="51"/>
      <c r="C94" s="51" t="str">
        <f t="array" ref="C94">IFERROR(INDEX(EneR!$A$1:$AO96,MATCH("Utilidad Bruta",EneR!$A$1:$A96,0),MATCH($A94,EneR!$A$6:AO$6,0),),"")</f>
        <v/>
      </c>
      <c r="F94" s="51" t="str">
        <f t="array" ref="F94">IFERROR(INDEX(FebR!$A$1:$AP96,MATCH("Utilidad Bruta",FebR!$A$1:$A96,0),MATCH($A94,FebR!$A$6:AO$6,0),),"")</f>
        <v/>
      </c>
      <c r="I94" s="51" t="str">
        <f t="array" ref="I94">IFERROR(INDEX(MarR!$A$1:$AP96,MATCH("Utilidad Bruta",MarR!$A$1:$A96,0),MATCH($A94,MarR!$A$6:AO$6,0),),"")</f>
        <v/>
      </c>
      <c r="L94" s="51" t="str">
        <f t="array" ref="L94">IFERROR(INDEX(AbrR!$A$1:$AP96,MATCH("Utilidad Bruta",AbrR!$A$1:$A96,0),MATCH($A94,AbrR!$A$6:AO$6,0),),"")</f>
        <v/>
      </c>
      <c r="O94" s="51" t="str">
        <f t="array" ref="O94">IFERROR(INDEX(MayR!$A$1:$BK96,MATCH("Utilidad Bruta",MayR!$A$1:$A96,0),MATCH($A94,MayR!$A$6:AO$6,0),),"")</f>
        <v/>
      </c>
      <c r="R94" s="51" t="str">
        <f t="array" ref="R94">IFERROR(INDEX(JunR!$A$1:$AP96,MATCH("Utilidad Bruta",JunR!$A$1:$A96,0),MATCH($A94,JunR!$A$6:AO$6,0),),"")</f>
        <v/>
      </c>
      <c r="U94" s="51" t="str">
        <f t="array" ref="U94">IFERROR(INDEX(JulR!$A$1:$AP96,MATCH("Utilidad Bruta",JulR!$A$1:$A96,0),MATCH($A94,JulR!$A$6:AO$6,0),),"")</f>
        <v/>
      </c>
      <c r="X94" s="51" t="str">
        <f t="array" ref="X94">IFERROR(INDEX(AgoR!$A$1:$AP96,MATCH("Utilidad Bruta",AgoR!$A$1:$A96,0),MATCH($A94,AgoR!$A$6:AO$6,0),),"")</f>
        <v/>
      </c>
      <c r="AA94" s="51" t="str">
        <f t="array" ref="AA94">IFERROR(INDEX(SepR!$A$1:$AV96,MATCH("Utilidad Bruta",SepR!$A$1:$A96,0),MATCH($A94,SepR!$A$6:AO$6,0),),"")</f>
        <v/>
      </c>
      <c r="AD94" s="51" t="str">
        <f t="array" ref="AD94">IFERROR(INDEX(OctR!$A$1:$AP96,MATCH("Utilidad Bruta",OctR!$A$1:$A96,0),MATCH($A94,OctR!$A$6:AO$6,0),),"")</f>
        <v/>
      </c>
      <c r="AG94" s="51" t="str">
        <f t="array" ref="AG94">IFERROR(INDEX(NovR!$A$1:$AP96,MATCH("Utilidad Bruta",NovR!$A$1:$A96,0),MATCH($A94,NovR!$A$6:AO$6,0),),"")</f>
        <v/>
      </c>
      <c r="AJ94" s="51" t="str">
        <f t="array" ref="AJ94">IFERROR(INDEX(DicR!$A$1:$AP96,MATCH("Utilidad Bruta",DicR!$A$1:$A96,0),MATCH($A94,DicR!$A$6:AO$6,0),),"")</f>
        <v/>
      </c>
    </row>
    <row r="95" ht="15.75" customHeight="1">
      <c r="A95" s="12"/>
      <c r="B95" s="51"/>
      <c r="C95" s="51" t="str">
        <f t="array" ref="C95">IFERROR(INDEX(EneR!$A$1:$AO96,MATCH("Utilidad Bruta",EneR!$A$1:$A96,0),MATCH($A95,EneR!$A$6:AO$6,0),),"")</f>
        <v/>
      </c>
      <c r="F95" s="51" t="str">
        <f t="array" ref="F95">IFERROR(INDEX(FebR!$A$1:$AP96,MATCH("Utilidad Bruta",FebR!$A$1:$A96,0),MATCH($A95,FebR!$A$6:AO$6,0),),"")</f>
        <v/>
      </c>
      <c r="I95" s="51" t="str">
        <f t="array" ref="I95">IFERROR(INDEX(MarR!$A$1:$AP96,MATCH("Utilidad Bruta",MarR!$A$1:$A96,0),MATCH($A95,MarR!$A$6:AO$6,0),),"")</f>
        <v/>
      </c>
      <c r="L95" s="51" t="str">
        <f t="array" ref="L95">IFERROR(INDEX(AbrR!$A$1:$AP96,MATCH("Utilidad Bruta",AbrR!$A$1:$A96,0),MATCH($A95,AbrR!$A$6:AO$6,0),),"")</f>
        <v/>
      </c>
      <c r="O95" s="51" t="str">
        <f t="array" ref="O95">IFERROR(INDEX(MayR!$A$1:$BK96,MATCH("Utilidad Bruta",MayR!$A$1:$A96,0),MATCH($A95,MayR!$A$6:AO$6,0),),"")</f>
        <v/>
      </c>
      <c r="R95" s="51" t="str">
        <f t="array" ref="R95">IFERROR(INDEX(JunR!$A$1:$AP96,MATCH("Utilidad Bruta",JunR!$A$1:$A96,0),MATCH($A95,JunR!$A$6:AO$6,0),),"")</f>
        <v/>
      </c>
      <c r="U95" s="51" t="str">
        <f t="array" ref="U95">IFERROR(INDEX(JulR!$A$1:$AP96,MATCH("Utilidad Bruta",JulR!$A$1:$A96,0),MATCH($A95,JulR!$A$6:AO$6,0),),"")</f>
        <v/>
      </c>
      <c r="X95" s="51" t="str">
        <f t="array" ref="X95">IFERROR(INDEX(AgoR!$A$1:$AP96,MATCH("Utilidad Bruta",AgoR!$A$1:$A96,0),MATCH($A95,AgoR!$A$6:AO$6,0),),"")</f>
        <v/>
      </c>
      <c r="AA95" s="51" t="str">
        <f t="array" ref="AA95">IFERROR(INDEX(SepR!$A$1:$AV96,MATCH("Utilidad Bruta",SepR!$A$1:$A96,0),MATCH($A95,SepR!$A$6:AO$6,0),),"")</f>
        <v/>
      </c>
      <c r="AD95" s="51" t="str">
        <f t="array" ref="AD95">IFERROR(INDEX(OctR!$A$1:$AP96,MATCH("Utilidad Bruta",OctR!$A$1:$A96,0),MATCH($A95,OctR!$A$6:AO$6,0),),"")</f>
        <v/>
      </c>
      <c r="AG95" s="51" t="str">
        <f t="array" ref="AG95">IFERROR(INDEX(NovR!$A$1:$AP96,MATCH("Utilidad Bruta",NovR!$A$1:$A96,0),MATCH($A95,NovR!$A$6:AO$6,0),),"")</f>
        <v/>
      </c>
      <c r="AJ95" s="51" t="str">
        <f t="array" ref="AJ95">IFERROR(INDEX(DicR!$A$1:$AP96,MATCH("Utilidad Bruta",DicR!$A$1:$A96,0),MATCH($A95,DicR!$A$6:AO$6,0),),"")</f>
        <v/>
      </c>
    </row>
    <row r="96" ht="15.75" customHeight="1">
      <c r="A96" s="12"/>
      <c r="B96" s="51"/>
      <c r="C96" s="51" t="str">
        <f t="array" ref="C96">IFERROR(INDEX(EneR!$A$1:$AO96,MATCH("Utilidad Bruta",EneR!$A$1:$A96,0),MATCH($A96,EneR!$A$6:AO$6,0),),"")</f>
        <v/>
      </c>
      <c r="F96" s="51" t="str">
        <f t="array" ref="F96">IFERROR(INDEX(FebR!$A$1:$AP96,MATCH("Utilidad Bruta",FebR!$A$1:$A96,0),MATCH($A96,FebR!$A$6:AO$6,0),),"")</f>
        <v/>
      </c>
      <c r="I96" s="51" t="str">
        <f t="array" ref="I96">IFERROR(INDEX(MarR!$A$1:$AP96,MATCH("Utilidad Bruta",MarR!$A$1:$A96,0),MATCH($A96,MarR!$A$6:AO$6,0),),"")</f>
        <v/>
      </c>
      <c r="L96" s="51" t="str">
        <f t="array" ref="L96">IFERROR(INDEX(AbrR!$A$1:$AP96,MATCH("Utilidad Bruta",AbrR!$A$1:$A96,0),MATCH($A96,AbrR!$A$6:AO$6,0),),"")</f>
        <v/>
      </c>
      <c r="O96" s="51" t="str">
        <f t="array" ref="O96">IFERROR(INDEX(MayR!$A$1:$BK96,MATCH("Utilidad Bruta",MayR!$A$1:$A96,0),MATCH($A96,MayR!$A$6:AO$6,0),),"")</f>
        <v/>
      </c>
      <c r="R96" s="51" t="str">
        <f t="array" ref="R96">IFERROR(INDEX(JunR!$A$1:$AP96,MATCH("Utilidad Bruta",JunR!$A$1:$A96,0),MATCH($A96,JunR!$A$6:AO$6,0),),"")</f>
        <v/>
      </c>
      <c r="U96" s="51" t="str">
        <f t="array" ref="U96">IFERROR(INDEX(JulR!$A$1:$AP96,MATCH("Utilidad Bruta",JulR!$A$1:$A96,0),MATCH($A96,JulR!$A$6:AO$6,0),),"")</f>
        <v/>
      </c>
      <c r="X96" s="51" t="str">
        <f t="array" ref="X96">IFERROR(INDEX(AgoR!$A$1:$AP96,MATCH("Utilidad Bruta",AgoR!$A$1:$A96,0),MATCH($A96,AgoR!$A$6:AO$6,0),),"")</f>
        <v/>
      </c>
      <c r="AA96" s="51" t="str">
        <f t="array" ref="AA96">IFERROR(INDEX(SepR!$A$1:$AV96,MATCH("Utilidad Bruta",SepR!$A$1:$A96,0),MATCH($A96,SepR!$A$6:AO$6,0),),"")</f>
        <v/>
      </c>
      <c r="AD96" s="51" t="str">
        <f t="array" ref="AD96">IFERROR(INDEX(OctR!$A$1:$AP96,MATCH("Utilidad Bruta",OctR!$A$1:$A96,0),MATCH($A96,OctR!$A$6:AO$6,0),),"")</f>
        <v/>
      </c>
      <c r="AG96" s="51" t="str">
        <f t="array" ref="AG96">IFERROR(INDEX(NovR!$A$1:$AP96,MATCH("Utilidad Bruta",NovR!$A$1:$A96,0),MATCH($A96,NovR!$A$6:AO$6,0),),"")</f>
        <v/>
      </c>
      <c r="AJ96" s="51" t="str">
        <f t="array" ref="AJ96">IFERROR(INDEX(DicR!$A$1:$AP96,MATCH("Utilidad Bruta",DicR!$A$1:$A96,0),MATCH($A96,DicR!$A$6:AO$6,0),),"")</f>
        <v/>
      </c>
    </row>
    <row r="97" ht="15.75" customHeight="1">
      <c r="A97" s="10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8" width="12.75"/>
    <col customWidth="1" min="9" max="9" width="7.25"/>
    <col customWidth="1" min="10" max="10" width="11.0"/>
    <col customWidth="1" min="11" max="11" width="8.0"/>
    <col customWidth="1" min="12" max="12" width="10.5"/>
    <col customWidth="1" min="13" max="13" width="9.88"/>
    <col customWidth="1" min="14" max="14" width="12.75"/>
    <col customWidth="1" min="15" max="15" width="5.63"/>
    <col customWidth="1" min="16" max="16" width="1.63"/>
  </cols>
  <sheetData>
    <row r="1" ht="15.7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15.75" customHeight="1">
      <c r="A2" s="119" t="s">
        <v>30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ht="15.75" customHeight="1">
      <c r="A3" s="120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</row>
    <row r="4" ht="15.75" customHeight="1">
      <c r="A4" s="120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ht="15.7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ht="15.75" customHeight="1">
      <c r="A6" s="121" t="s">
        <v>33</v>
      </c>
      <c r="B6" s="122" t="s">
        <v>34</v>
      </c>
      <c r="C6" s="123" t="s">
        <v>35</v>
      </c>
      <c r="D6" s="122" t="s">
        <v>36</v>
      </c>
      <c r="E6" s="123" t="s">
        <v>37</v>
      </c>
      <c r="F6" s="122" t="s">
        <v>38</v>
      </c>
      <c r="G6" s="123" t="s">
        <v>39</v>
      </c>
      <c r="H6" s="122" t="s">
        <v>40</v>
      </c>
      <c r="I6" s="123" t="s">
        <v>41</v>
      </c>
      <c r="J6" s="122" t="s">
        <v>42</v>
      </c>
      <c r="K6" s="123" t="s">
        <v>43</v>
      </c>
      <c r="L6" s="122" t="s">
        <v>44</v>
      </c>
      <c r="M6" s="123" t="s">
        <v>45</v>
      </c>
      <c r="N6" s="121" t="s">
        <v>25</v>
      </c>
      <c r="O6" s="121" t="s">
        <v>46</v>
      </c>
      <c r="P6" s="121"/>
      <c r="Q6" s="121"/>
    </row>
    <row r="7" ht="15.75" customHeight="1">
      <c r="A7" s="51" t="s">
        <v>47</v>
      </c>
      <c r="B7" s="124">
        <v>101548.11</v>
      </c>
      <c r="C7" s="35">
        <v>670929.28</v>
      </c>
      <c r="D7" s="32">
        <v>662041.07</v>
      </c>
      <c r="E7" s="35"/>
      <c r="F7" s="32"/>
      <c r="G7" s="35"/>
      <c r="H7" s="32"/>
      <c r="I7" s="35"/>
      <c r="J7" s="32"/>
      <c r="K7" s="35"/>
      <c r="L7" s="32"/>
      <c r="M7" s="35"/>
      <c r="N7" s="51">
        <f t="shared" ref="N7:N51" si="1">SUM(B7:M7)</f>
        <v>1434518.46</v>
      </c>
      <c r="O7" s="125">
        <v>0.45</v>
      </c>
      <c r="P7" s="51"/>
      <c r="Q7" s="51"/>
    </row>
    <row r="8" ht="15.75" customHeight="1">
      <c r="A8" s="51" t="s">
        <v>48</v>
      </c>
      <c r="B8" s="124">
        <v>550916.54</v>
      </c>
      <c r="C8" s="35">
        <v>0.0</v>
      </c>
      <c r="D8" s="32">
        <v>0.0</v>
      </c>
      <c r="E8" s="35"/>
      <c r="F8" s="32"/>
      <c r="G8" s="35"/>
      <c r="H8" s="32"/>
      <c r="I8" s="35"/>
      <c r="J8" s="32"/>
      <c r="K8" s="35"/>
      <c r="L8" s="32"/>
      <c r="M8" s="35"/>
      <c r="N8" s="51">
        <f t="shared" si="1"/>
        <v>550916.54</v>
      </c>
      <c r="O8" s="125">
        <v>0.0</v>
      </c>
      <c r="P8" s="51"/>
      <c r="Q8" s="51"/>
    </row>
    <row r="9" ht="15.75" customHeight="1">
      <c r="A9" s="51" t="s">
        <v>49</v>
      </c>
      <c r="B9" s="124">
        <v>27529.11</v>
      </c>
      <c r="C9" s="35">
        <v>28905.57</v>
      </c>
      <c r="D9" s="32">
        <v>28905.57</v>
      </c>
      <c r="E9" s="35"/>
      <c r="F9" s="32"/>
      <c r="G9" s="35"/>
      <c r="H9" s="32"/>
      <c r="I9" s="35"/>
      <c r="J9" s="32"/>
      <c r="K9" s="35"/>
      <c r="L9" s="32"/>
      <c r="M9" s="35"/>
      <c r="N9" s="51">
        <f t="shared" si="1"/>
        <v>85340.25</v>
      </c>
      <c r="O9" s="125">
        <v>0.02</v>
      </c>
      <c r="P9" s="51"/>
      <c r="Q9" s="51"/>
    </row>
    <row r="10" ht="15.75" customHeight="1">
      <c r="A10" s="51" t="s">
        <v>50</v>
      </c>
      <c r="B10" s="124">
        <v>70953.14</v>
      </c>
      <c r="C10" s="35">
        <v>70953.14</v>
      </c>
      <c r="D10" s="32">
        <v>70953.14</v>
      </c>
      <c r="E10" s="35"/>
      <c r="F10" s="32"/>
      <c r="G10" s="35"/>
      <c r="H10" s="32"/>
      <c r="I10" s="35"/>
      <c r="J10" s="32"/>
      <c r="K10" s="35"/>
      <c r="L10" s="32"/>
      <c r="M10" s="35"/>
      <c r="N10" s="51">
        <f t="shared" si="1"/>
        <v>212859.42</v>
      </c>
      <c r="O10" s="125">
        <v>0.05</v>
      </c>
      <c r="P10" s="51"/>
      <c r="Q10" s="51"/>
    </row>
    <row r="11" ht="15.75" customHeight="1">
      <c r="A11" s="51" t="s">
        <v>51</v>
      </c>
      <c r="B11" s="124">
        <v>0.0</v>
      </c>
      <c r="C11" s="35">
        <v>0.0</v>
      </c>
      <c r="D11" s="32">
        <v>0.0</v>
      </c>
      <c r="E11" s="35"/>
      <c r="F11" s="32"/>
      <c r="G11" s="35"/>
      <c r="H11" s="32"/>
      <c r="I11" s="35"/>
      <c r="J11" s="32"/>
      <c r="K11" s="35"/>
      <c r="L11" s="32"/>
      <c r="M11" s="35"/>
      <c r="N11" s="51">
        <f t="shared" si="1"/>
        <v>0</v>
      </c>
      <c r="O11" s="125">
        <v>0.0</v>
      </c>
      <c r="P11" s="51"/>
      <c r="Q11" s="51"/>
    </row>
    <row r="12" ht="15.75" customHeight="1">
      <c r="A12" s="51" t="s">
        <v>52</v>
      </c>
      <c r="B12" s="124">
        <v>10360.83</v>
      </c>
      <c r="C12" s="35">
        <v>9160.83</v>
      </c>
      <c r="D12" s="32">
        <v>9160.83</v>
      </c>
      <c r="E12" s="35"/>
      <c r="F12" s="32"/>
      <c r="G12" s="35"/>
      <c r="H12" s="32"/>
      <c r="I12" s="35"/>
      <c r="J12" s="32"/>
      <c r="K12" s="35"/>
      <c r="L12" s="32"/>
      <c r="M12" s="35"/>
      <c r="N12" s="51">
        <f t="shared" si="1"/>
        <v>28682.49</v>
      </c>
      <c r="O12" s="125">
        <v>0.01</v>
      </c>
      <c r="P12" s="51"/>
      <c r="Q12" s="51"/>
    </row>
    <row r="13" ht="15.75" customHeight="1">
      <c r="A13" s="51" t="s">
        <v>53</v>
      </c>
      <c r="B13" s="124">
        <v>0.0</v>
      </c>
      <c r="C13" s="35">
        <v>8468.97</v>
      </c>
      <c r="D13" s="32">
        <v>0.0</v>
      </c>
      <c r="E13" s="35"/>
      <c r="F13" s="32"/>
      <c r="G13" s="35"/>
      <c r="H13" s="32"/>
      <c r="I13" s="35"/>
      <c r="J13" s="32"/>
      <c r="K13" s="35"/>
      <c r="L13" s="32"/>
      <c r="M13" s="35"/>
      <c r="N13" s="51">
        <f t="shared" si="1"/>
        <v>8468.97</v>
      </c>
      <c r="O13" s="125">
        <v>0.0</v>
      </c>
      <c r="P13" s="51"/>
      <c r="Q13" s="51"/>
    </row>
    <row r="14" ht="15.75" customHeight="1">
      <c r="A14" s="51" t="s">
        <v>54</v>
      </c>
      <c r="B14" s="124">
        <v>23139.89</v>
      </c>
      <c r="C14" s="35">
        <v>22799.91</v>
      </c>
      <c r="D14" s="32">
        <v>22791.36</v>
      </c>
      <c r="E14" s="35"/>
      <c r="F14" s="32"/>
      <c r="G14" s="35"/>
      <c r="H14" s="32"/>
      <c r="I14" s="35"/>
      <c r="J14" s="32"/>
      <c r="K14" s="35"/>
      <c r="L14" s="32"/>
      <c r="M14" s="35"/>
      <c r="N14" s="51">
        <f t="shared" si="1"/>
        <v>68731.16</v>
      </c>
      <c r="O14" s="125">
        <v>0.02</v>
      </c>
      <c r="P14" s="51"/>
      <c r="Q14" s="51"/>
    </row>
    <row r="15" ht="15.75" customHeight="1">
      <c r="A15" s="51" t="s">
        <v>55</v>
      </c>
      <c r="B15" s="124" t="s">
        <v>56</v>
      </c>
      <c r="C15" s="35">
        <v>0.0</v>
      </c>
      <c r="D15" s="32">
        <v>0.0</v>
      </c>
      <c r="E15" s="35"/>
      <c r="F15" s="32"/>
      <c r="G15" s="35"/>
      <c r="H15" s="32"/>
      <c r="I15" s="35"/>
      <c r="J15" s="32"/>
      <c r="K15" s="35"/>
      <c r="L15" s="32"/>
      <c r="M15" s="35"/>
      <c r="N15" s="51">
        <f t="shared" si="1"/>
        <v>0</v>
      </c>
      <c r="O15" s="125">
        <v>0.0</v>
      </c>
      <c r="P15" s="51"/>
      <c r="Q15" s="51"/>
    </row>
    <row r="16" ht="15.75" customHeight="1">
      <c r="A16" s="51" t="s">
        <v>57</v>
      </c>
      <c r="B16" s="124">
        <v>220.58</v>
      </c>
      <c r="C16" s="35">
        <v>0.0</v>
      </c>
      <c r="D16" s="32">
        <v>441.16</v>
      </c>
      <c r="E16" s="35"/>
      <c r="F16" s="32"/>
      <c r="G16" s="35"/>
      <c r="H16" s="32"/>
      <c r="I16" s="35"/>
      <c r="J16" s="32"/>
      <c r="K16" s="35"/>
      <c r="L16" s="32"/>
      <c r="M16" s="35"/>
      <c r="N16" s="51">
        <f t="shared" si="1"/>
        <v>661.74</v>
      </c>
      <c r="O16" s="125">
        <v>0.0</v>
      </c>
      <c r="P16" s="51"/>
      <c r="Q16" s="51"/>
    </row>
    <row r="17" ht="15.75" customHeight="1">
      <c r="A17" s="51" t="s">
        <v>58</v>
      </c>
      <c r="B17" s="124">
        <v>0.0</v>
      </c>
      <c r="C17" s="35">
        <v>0.0</v>
      </c>
      <c r="D17" s="32">
        <v>0.0</v>
      </c>
      <c r="E17" s="35"/>
      <c r="F17" s="32"/>
      <c r="G17" s="35"/>
      <c r="H17" s="32"/>
      <c r="I17" s="35"/>
      <c r="J17" s="32"/>
      <c r="K17" s="35"/>
      <c r="L17" s="32"/>
      <c r="M17" s="35"/>
      <c r="N17" s="51">
        <f t="shared" si="1"/>
        <v>0</v>
      </c>
      <c r="O17" s="125">
        <v>0.0</v>
      </c>
      <c r="P17" s="51"/>
      <c r="Q17" s="51"/>
    </row>
    <row r="18" ht="15.75" customHeight="1">
      <c r="A18" s="51" t="s">
        <v>59</v>
      </c>
      <c r="B18" s="124">
        <v>0.0</v>
      </c>
      <c r="C18" s="35">
        <v>0.0</v>
      </c>
      <c r="D18" s="32">
        <v>0.0</v>
      </c>
      <c r="E18" s="35"/>
      <c r="F18" s="32"/>
      <c r="G18" s="35"/>
      <c r="H18" s="32"/>
      <c r="I18" s="35"/>
      <c r="J18" s="32"/>
      <c r="K18" s="35"/>
      <c r="L18" s="32"/>
      <c r="M18" s="35"/>
      <c r="N18" s="51">
        <f t="shared" si="1"/>
        <v>0</v>
      </c>
      <c r="O18" s="125">
        <v>0.0</v>
      </c>
      <c r="P18" s="51"/>
      <c r="Q18" s="51"/>
    </row>
    <row r="19" ht="15.75" customHeight="1">
      <c r="A19" s="51" t="s">
        <v>60</v>
      </c>
      <c r="B19" s="124">
        <v>0.0</v>
      </c>
      <c r="C19" s="35">
        <v>0.0</v>
      </c>
      <c r="D19" s="32">
        <v>1900.0</v>
      </c>
      <c r="E19" s="35"/>
      <c r="F19" s="32"/>
      <c r="G19" s="35"/>
      <c r="H19" s="32"/>
      <c r="I19" s="35"/>
      <c r="J19" s="32"/>
      <c r="K19" s="35"/>
      <c r="L19" s="32"/>
      <c r="M19" s="35"/>
      <c r="N19" s="51">
        <f t="shared" si="1"/>
        <v>1900</v>
      </c>
      <c r="O19" s="125">
        <v>0.0</v>
      </c>
      <c r="P19" s="51"/>
      <c r="Q19" s="51"/>
    </row>
    <row r="20" ht="15.75" customHeight="1">
      <c r="A20" s="51" t="s">
        <v>61</v>
      </c>
      <c r="B20" s="124">
        <v>0.0</v>
      </c>
      <c r="C20" s="35">
        <v>0.0</v>
      </c>
      <c r="D20" s="32">
        <v>0.0</v>
      </c>
      <c r="E20" s="35"/>
      <c r="F20" s="32"/>
      <c r="G20" s="35"/>
      <c r="H20" s="32"/>
      <c r="I20" s="35"/>
      <c r="J20" s="32"/>
      <c r="K20" s="35"/>
      <c r="L20" s="32"/>
      <c r="M20" s="35"/>
      <c r="N20" s="51">
        <f t="shared" si="1"/>
        <v>0</v>
      </c>
      <c r="O20" s="125">
        <v>0.0</v>
      </c>
      <c r="P20" s="51"/>
      <c r="Q20" s="51"/>
    </row>
    <row r="21" ht="15.75" customHeight="1">
      <c r="A21" s="51" t="s">
        <v>62</v>
      </c>
      <c r="B21" s="124">
        <v>500.0</v>
      </c>
      <c r="C21" s="35">
        <v>0.0</v>
      </c>
      <c r="D21" s="32">
        <v>0.0</v>
      </c>
      <c r="E21" s="35"/>
      <c r="F21" s="32"/>
      <c r="G21" s="35"/>
      <c r="H21" s="32"/>
      <c r="I21" s="35"/>
      <c r="J21" s="32"/>
      <c r="K21" s="35"/>
      <c r="L21" s="32"/>
      <c r="M21" s="35"/>
      <c r="N21" s="51">
        <f t="shared" si="1"/>
        <v>500</v>
      </c>
      <c r="O21" s="125">
        <v>0.0</v>
      </c>
      <c r="P21" s="51"/>
      <c r="Q21" s="51"/>
    </row>
    <row r="22" ht="15.75" customHeight="1">
      <c r="A22" s="51" t="s">
        <v>63</v>
      </c>
      <c r="B22" s="124">
        <v>1350.0</v>
      </c>
      <c r="C22" s="35">
        <v>1350.0</v>
      </c>
      <c r="D22" s="32">
        <v>1350.0</v>
      </c>
      <c r="E22" s="35"/>
      <c r="F22" s="32"/>
      <c r="G22" s="35"/>
      <c r="H22" s="32"/>
      <c r="I22" s="35"/>
      <c r="J22" s="32"/>
      <c r="K22" s="35"/>
      <c r="L22" s="32"/>
      <c r="M22" s="35"/>
      <c r="N22" s="51">
        <f t="shared" si="1"/>
        <v>4050</v>
      </c>
      <c r="O22" s="125">
        <v>0.0</v>
      </c>
      <c r="P22" s="51"/>
      <c r="Q22" s="51"/>
    </row>
    <row r="23" ht="15.75" customHeight="1">
      <c r="A23" s="51" t="s">
        <v>64</v>
      </c>
      <c r="B23" s="124">
        <v>0.0</v>
      </c>
      <c r="C23" s="35">
        <v>0.0</v>
      </c>
      <c r="D23" s="32">
        <v>0.0</v>
      </c>
      <c r="E23" s="35"/>
      <c r="F23" s="32"/>
      <c r="G23" s="35"/>
      <c r="H23" s="32"/>
      <c r="I23" s="35"/>
      <c r="J23" s="32"/>
      <c r="K23" s="35"/>
      <c r="L23" s="32"/>
      <c r="M23" s="35"/>
      <c r="N23" s="51">
        <f t="shared" si="1"/>
        <v>0</v>
      </c>
      <c r="O23" s="125">
        <v>0.0</v>
      </c>
      <c r="P23" s="51"/>
      <c r="Q23" s="51"/>
    </row>
    <row r="24" ht="15.75" customHeight="1">
      <c r="A24" s="51" t="s">
        <v>65</v>
      </c>
      <c r="B24" s="124">
        <v>1090.0</v>
      </c>
      <c r="C24" s="35">
        <v>3752.0</v>
      </c>
      <c r="D24" s="32">
        <v>0.0</v>
      </c>
      <c r="E24" s="35"/>
      <c r="F24" s="32"/>
      <c r="G24" s="35"/>
      <c r="H24" s="32"/>
      <c r="I24" s="35"/>
      <c r="J24" s="32"/>
      <c r="K24" s="35"/>
      <c r="L24" s="32"/>
      <c r="M24" s="35"/>
      <c r="N24" s="51">
        <f t="shared" si="1"/>
        <v>4842</v>
      </c>
      <c r="O24" s="125">
        <v>0.0</v>
      </c>
      <c r="P24" s="51"/>
      <c r="Q24" s="51"/>
    </row>
    <row r="25" ht="15.75" customHeight="1">
      <c r="A25" s="51" t="s">
        <v>66</v>
      </c>
      <c r="B25" s="124">
        <v>9054.1</v>
      </c>
      <c r="C25" s="35">
        <v>9450.0</v>
      </c>
      <c r="D25" s="32">
        <v>23520.0</v>
      </c>
      <c r="E25" s="35"/>
      <c r="F25" s="32"/>
      <c r="G25" s="35"/>
      <c r="H25" s="32"/>
      <c r="I25" s="35"/>
      <c r="J25" s="32"/>
      <c r="K25" s="35"/>
      <c r="L25" s="32"/>
      <c r="M25" s="35"/>
      <c r="N25" s="51">
        <f t="shared" si="1"/>
        <v>42024.1</v>
      </c>
      <c r="O25" s="125">
        <v>0.02</v>
      </c>
      <c r="P25" s="51"/>
      <c r="Q25" s="51"/>
    </row>
    <row r="26" ht="15.75" customHeight="1">
      <c r="A26" s="51" t="s">
        <v>67</v>
      </c>
      <c r="B26" s="124">
        <v>6099.88</v>
      </c>
      <c r="C26" s="35">
        <v>2509.28</v>
      </c>
      <c r="D26" s="32">
        <v>2977.92</v>
      </c>
      <c r="E26" s="35"/>
      <c r="F26" s="32"/>
      <c r="G26" s="35"/>
      <c r="H26" s="32"/>
      <c r="I26" s="35"/>
      <c r="J26" s="32"/>
      <c r="K26" s="35"/>
      <c r="L26" s="32"/>
      <c r="M26" s="35"/>
      <c r="N26" s="51">
        <f t="shared" si="1"/>
        <v>11587.08</v>
      </c>
      <c r="O26" s="125">
        <v>0.0</v>
      </c>
      <c r="P26" s="51"/>
      <c r="Q26" s="51"/>
    </row>
    <row r="27" ht="15.75" customHeight="1">
      <c r="A27" s="51" t="s">
        <v>68</v>
      </c>
      <c r="B27" s="124">
        <v>805.0</v>
      </c>
      <c r="C27" s="35">
        <v>763.91</v>
      </c>
      <c r="D27" s="32">
        <v>1601.05</v>
      </c>
      <c r="E27" s="35"/>
      <c r="F27" s="32"/>
      <c r="G27" s="35"/>
      <c r="H27" s="32"/>
      <c r="I27" s="35"/>
      <c r="J27" s="32"/>
      <c r="K27" s="35"/>
      <c r="L27" s="32"/>
      <c r="M27" s="35"/>
      <c r="N27" s="51">
        <f t="shared" si="1"/>
        <v>3169.96</v>
      </c>
      <c r="O27" s="125">
        <v>0.0</v>
      </c>
      <c r="P27" s="51"/>
      <c r="Q27" s="51"/>
    </row>
    <row r="28" ht="15.75" customHeight="1">
      <c r="A28" s="51" t="s">
        <v>69</v>
      </c>
      <c r="B28" s="124">
        <v>0.0</v>
      </c>
      <c r="C28" s="35">
        <v>0.0</v>
      </c>
      <c r="D28" s="32">
        <v>0.0</v>
      </c>
      <c r="E28" s="35"/>
      <c r="F28" s="32"/>
      <c r="G28" s="35"/>
      <c r="H28" s="32"/>
      <c r="I28" s="35"/>
      <c r="J28" s="32"/>
      <c r="K28" s="35"/>
      <c r="L28" s="32"/>
      <c r="M28" s="35"/>
      <c r="N28" s="51">
        <f t="shared" si="1"/>
        <v>0</v>
      </c>
      <c r="O28" s="125">
        <v>0.0</v>
      </c>
      <c r="P28" s="51"/>
      <c r="Q28" s="51"/>
    </row>
    <row r="29" ht="15.75" customHeight="1">
      <c r="A29" s="51" t="s">
        <v>70</v>
      </c>
      <c r="B29" s="124">
        <v>0.0</v>
      </c>
      <c r="C29" s="35">
        <v>0.0</v>
      </c>
      <c r="D29" s="32">
        <v>0.0</v>
      </c>
      <c r="E29" s="35"/>
      <c r="F29" s="32"/>
      <c r="G29" s="35"/>
      <c r="H29" s="32"/>
      <c r="I29" s="35"/>
      <c r="J29" s="32"/>
      <c r="K29" s="35"/>
      <c r="L29" s="32"/>
      <c r="M29" s="35"/>
      <c r="N29" s="51">
        <f t="shared" si="1"/>
        <v>0</v>
      </c>
      <c r="O29" s="125">
        <v>0.0</v>
      </c>
      <c r="P29" s="51"/>
      <c r="Q29" s="51"/>
    </row>
    <row r="30" ht="15.75" customHeight="1">
      <c r="A30" s="51" t="s">
        <v>71</v>
      </c>
      <c r="B30" s="124">
        <v>0.0</v>
      </c>
      <c r="C30" s="35">
        <v>0.0</v>
      </c>
      <c r="D30" s="32">
        <v>0.0</v>
      </c>
      <c r="E30" s="35"/>
      <c r="F30" s="32"/>
      <c r="G30" s="35"/>
      <c r="H30" s="32"/>
      <c r="I30" s="35"/>
      <c r="J30" s="32"/>
      <c r="K30" s="35"/>
      <c r="L30" s="32"/>
      <c r="M30" s="35"/>
      <c r="N30" s="51">
        <f t="shared" si="1"/>
        <v>0</v>
      </c>
      <c r="O30" s="125">
        <v>0.0</v>
      </c>
      <c r="P30" s="51"/>
      <c r="Q30" s="51"/>
    </row>
    <row r="31" ht="15.75" customHeight="1">
      <c r="A31" s="51" t="s">
        <v>72</v>
      </c>
      <c r="B31" s="124">
        <v>0.0</v>
      </c>
      <c r="C31" s="35">
        <v>0.0</v>
      </c>
      <c r="D31" s="32">
        <v>0.0</v>
      </c>
      <c r="E31" s="35"/>
      <c r="F31" s="32"/>
      <c r="G31" s="35"/>
      <c r="H31" s="32"/>
      <c r="I31" s="35"/>
      <c r="J31" s="32"/>
      <c r="K31" s="35"/>
      <c r="L31" s="32"/>
      <c r="M31" s="35"/>
      <c r="N31" s="51">
        <f t="shared" si="1"/>
        <v>0</v>
      </c>
      <c r="O31" s="125">
        <v>0.0</v>
      </c>
      <c r="P31" s="51"/>
      <c r="Q31" s="51"/>
    </row>
    <row r="32" ht="15.75" customHeight="1">
      <c r="A32" s="51" t="s">
        <v>73</v>
      </c>
      <c r="B32" s="124">
        <v>0.0</v>
      </c>
      <c r="C32" s="35">
        <v>1014.67</v>
      </c>
      <c r="D32" s="32">
        <v>0.0</v>
      </c>
      <c r="E32" s="35"/>
      <c r="F32" s="32"/>
      <c r="G32" s="35"/>
      <c r="H32" s="32"/>
      <c r="I32" s="35"/>
      <c r="J32" s="32"/>
      <c r="K32" s="35"/>
      <c r="L32" s="32"/>
      <c r="M32" s="35"/>
      <c r="N32" s="51">
        <f t="shared" si="1"/>
        <v>1014.67</v>
      </c>
      <c r="O32" s="125">
        <v>0.0</v>
      </c>
      <c r="P32" s="51"/>
      <c r="Q32" s="51"/>
    </row>
    <row r="33" ht="15.75" customHeight="1">
      <c r="A33" s="51" t="s">
        <v>74</v>
      </c>
      <c r="B33" s="124">
        <v>0.0</v>
      </c>
      <c r="C33" s="35">
        <v>6548.28</v>
      </c>
      <c r="D33" s="32">
        <v>0.0</v>
      </c>
      <c r="E33" s="35"/>
      <c r="F33" s="32"/>
      <c r="G33" s="35"/>
      <c r="H33" s="32"/>
      <c r="I33" s="35"/>
      <c r="J33" s="32"/>
      <c r="K33" s="35"/>
      <c r="L33" s="32"/>
      <c r="M33" s="35"/>
      <c r="N33" s="51">
        <f t="shared" si="1"/>
        <v>6548.28</v>
      </c>
      <c r="O33" s="125">
        <v>0.0</v>
      </c>
      <c r="P33" s="51"/>
      <c r="Q33" s="51"/>
    </row>
    <row r="34" ht="15.75" customHeight="1">
      <c r="A34" s="51" t="s">
        <v>75</v>
      </c>
      <c r="B34" s="124">
        <v>0.0</v>
      </c>
      <c r="C34" s="35">
        <v>2231.14</v>
      </c>
      <c r="D34" s="32">
        <v>0.0</v>
      </c>
      <c r="E34" s="35"/>
      <c r="F34" s="32"/>
      <c r="G34" s="35"/>
      <c r="H34" s="32"/>
      <c r="I34" s="35"/>
      <c r="J34" s="32"/>
      <c r="K34" s="35"/>
      <c r="L34" s="32"/>
      <c r="M34" s="35"/>
      <c r="N34" s="51">
        <f t="shared" si="1"/>
        <v>2231.14</v>
      </c>
      <c r="O34" s="125">
        <v>0.0</v>
      </c>
      <c r="P34" s="51"/>
      <c r="Q34" s="51"/>
    </row>
    <row r="35" ht="15.75" customHeight="1">
      <c r="A35" s="51" t="s">
        <v>76</v>
      </c>
      <c r="B35" s="124">
        <v>0.0</v>
      </c>
      <c r="C35" s="35">
        <v>0.0</v>
      </c>
      <c r="D35" s="32">
        <v>2001.18</v>
      </c>
      <c r="E35" s="35"/>
      <c r="F35" s="32"/>
      <c r="G35" s="35"/>
      <c r="H35" s="32"/>
      <c r="I35" s="35"/>
      <c r="J35" s="32"/>
      <c r="K35" s="35"/>
      <c r="L35" s="32"/>
      <c r="M35" s="35"/>
      <c r="N35" s="51">
        <f t="shared" si="1"/>
        <v>2001.18</v>
      </c>
      <c r="O35" s="125">
        <v>0.0</v>
      </c>
      <c r="P35" s="51"/>
      <c r="Q35" s="51"/>
    </row>
    <row r="36" ht="15.75" customHeight="1">
      <c r="A36" s="51" t="s">
        <v>77</v>
      </c>
      <c r="B36" s="124">
        <v>3682.36</v>
      </c>
      <c r="C36" s="35">
        <v>1867.66</v>
      </c>
      <c r="D36" s="32">
        <v>3513.5</v>
      </c>
      <c r="E36" s="35"/>
      <c r="F36" s="32"/>
      <c r="G36" s="35"/>
      <c r="H36" s="32"/>
      <c r="I36" s="35"/>
      <c r="J36" s="32"/>
      <c r="K36" s="35"/>
      <c r="L36" s="32"/>
      <c r="M36" s="35"/>
      <c r="N36" s="51">
        <f t="shared" si="1"/>
        <v>9063.52</v>
      </c>
      <c r="O36" s="125">
        <v>0.0</v>
      </c>
      <c r="P36" s="51"/>
      <c r="Q36" s="51"/>
    </row>
    <row r="37" ht="15.75" customHeight="1">
      <c r="A37" s="51" t="s">
        <v>78</v>
      </c>
      <c r="B37" s="124">
        <v>6606.02</v>
      </c>
      <c r="C37" s="35">
        <v>0.0</v>
      </c>
      <c r="D37" s="32">
        <v>2231.14</v>
      </c>
      <c r="E37" s="35"/>
      <c r="F37" s="32"/>
      <c r="G37" s="35"/>
      <c r="H37" s="32"/>
      <c r="I37" s="35"/>
      <c r="J37" s="32"/>
      <c r="K37" s="35"/>
      <c r="L37" s="32"/>
      <c r="M37" s="35"/>
      <c r="N37" s="51">
        <f t="shared" si="1"/>
        <v>8837.16</v>
      </c>
      <c r="O37" s="125">
        <v>0.0</v>
      </c>
      <c r="P37" s="51"/>
      <c r="Q37" s="51"/>
    </row>
    <row r="38" ht="15.75" customHeight="1">
      <c r="A38" s="51" t="s">
        <v>79</v>
      </c>
      <c r="B38" s="124">
        <v>2231.14</v>
      </c>
      <c r="C38" s="35">
        <v>1738.38</v>
      </c>
      <c r="D38" s="32">
        <v>0.0</v>
      </c>
      <c r="E38" s="35"/>
      <c r="F38" s="32"/>
      <c r="G38" s="35"/>
      <c r="H38" s="32"/>
      <c r="I38" s="35"/>
      <c r="J38" s="32"/>
      <c r="K38" s="35"/>
      <c r="L38" s="32"/>
      <c r="M38" s="35"/>
      <c r="N38" s="51">
        <f t="shared" si="1"/>
        <v>3969.52</v>
      </c>
      <c r="O38" s="125">
        <v>0.0</v>
      </c>
      <c r="P38" s="51"/>
      <c r="Q38" s="51"/>
    </row>
    <row r="39" ht="15.75" customHeight="1">
      <c r="A39" s="51" t="s">
        <v>80</v>
      </c>
      <c r="B39" s="124">
        <v>0.0</v>
      </c>
      <c r="C39" s="35">
        <v>7543.28</v>
      </c>
      <c r="D39" s="32">
        <v>1715.93</v>
      </c>
      <c r="E39" s="35"/>
      <c r="F39" s="32"/>
      <c r="G39" s="35"/>
      <c r="H39" s="32"/>
      <c r="I39" s="35"/>
      <c r="J39" s="32"/>
      <c r="K39" s="35"/>
      <c r="L39" s="32"/>
      <c r="M39" s="35"/>
      <c r="N39" s="51">
        <f t="shared" si="1"/>
        <v>9259.21</v>
      </c>
      <c r="O39" s="125">
        <v>0.0</v>
      </c>
      <c r="P39" s="51"/>
      <c r="Q39" s="51"/>
    </row>
    <row r="40" ht="15.75" customHeight="1">
      <c r="A40" s="51" t="s">
        <v>81</v>
      </c>
      <c r="B40" s="124">
        <v>2368.81</v>
      </c>
      <c r="C40" s="35">
        <v>505000.0</v>
      </c>
      <c r="D40" s="32">
        <v>0.0</v>
      </c>
      <c r="E40" s="35"/>
      <c r="F40" s="32"/>
      <c r="G40" s="35"/>
      <c r="H40" s="32"/>
      <c r="I40" s="35"/>
      <c r="J40" s="32"/>
      <c r="K40" s="35"/>
      <c r="L40" s="32"/>
      <c r="M40" s="35"/>
      <c r="N40" s="51">
        <f t="shared" si="1"/>
        <v>507368.81</v>
      </c>
      <c r="O40" s="125">
        <v>0.0</v>
      </c>
      <c r="P40" s="51"/>
      <c r="Q40" s="51"/>
    </row>
    <row r="41" ht="15.75" customHeight="1">
      <c r="A41" s="51" t="s">
        <v>82</v>
      </c>
      <c r="B41" s="124">
        <v>0.0</v>
      </c>
      <c r="C41" s="35">
        <v>27541.61</v>
      </c>
      <c r="D41" s="32">
        <v>1738.38</v>
      </c>
      <c r="E41" s="35"/>
      <c r="F41" s="32"/>
      <c r="G41" s="35"/>
      <c r="H41" s="32"/>
      <c r="I41" s="35"/>
      <c r="J41" s="32"/>
      <c r="K41" s="35"/>
      <c r="L41" s="32"/>
      <c r="M41" s="35"/>
      <c r="N41" s="51">
        <f t="shared" si="1"/>
        <v>29279.99</v>
      </c>
      <c r="O41" s="125">
        <v>0.0</v>
      </c>
      <c r="P41" s="51"/>
      <c r="Q41" s="51"/>
    </row>
    <row r="42" ht="15.75" customHeight="1">
      <c r="A42" s="51" t="s">
        <v>83</v>
      </c>
      <c r="B42" s="124">
        <v>2201.59</v>
      </c>
      <c r="C42" s="35">
        <v>16578.57</v>
      </c>
      <c r="D42" s="32">
        <v>8196.26</v>
      </c>
      <c r="E42" s="35"/>
      <c r="F42" s="32"/>
      <c r="G42" s="35"/>
      <c r="H42" s="32"/>
      <c r="I42" s="35"/>
      <c r="J42" s="32"/>
      <c r="K42" s="35"/>
      <c r="L42" s="32"/>
      <c r="M42" s="35"/>
      <c r="N42" s="51">
        <f t="shared" si="1"/>
        <v>26976.42</v>
      </c>
      <c r="O42" s="125">
        <v>0.01</v>
      </c>
      <c r="P42" s="51"/>
      <c r="Q42" s="51"/>
    </row>
    <row r="43" ht="15.75" customHeight="1">
      <c r="A43" s="51" t="s">
        <v>84</v>
      </c>
      <c r="B43" s="124">
        <v>7847.45</v>
      </c>
      <c r="C43" s="35">
        <v>29638.1</v>
      </c>
      <c r="D43" s="32">
        <v>505000.0</v>
      </c>
      <c r="E43" s="35"/>
      <c r="F43" s="32"/>
      <c r="G43" s="35"/>
      <c r="H43" s="32"/>
      <c r="I43" s="35"/>
      <c r="J43" s="32"/>
      <c r="K43" s="35"/>
      <c r="L43" s="32"/>
      <c r="M43" s="35"/>
      <c r="N43" s="51">
        <f t="shared" si="1"/>
        <v>542485.55</v>
      </c>
      <c r="O43" s="125">
        <v>0.31</v>
      </c>
      <c r="P43" s="51"/>
      <c r="Q43" s="51"/>
    </row>
    <row r="44" ht="15.75" customHeight="1">
      <c r="A44" s="51" t="s">
        <v>85</v>
      </c>
      <c r="B44" s="124">
        <v>505000.0</v>
      </c>
      <c r="C44" s="35">
        <v>19189.0</v>
      </c>
      <c r="D44" s="32">
        <v>29651.46</v>
      </c>
      <c r="E44" s="35"/>
      <c r="F44" s="32"/>
      <c r="G44" s="35"/>
      <c r="H44" s="32"/>
      <c r="I44" s="35"/>
      <c r="J44" s="32"/>
      <c r="K44" s="35"/>
      <c r="L44" s="32"/>
      <c r="M44" s="35"/>
      <c r="N44" s="51">
        <f t="shared" si="1"/>
        <v>553840.46</v>
      </c>
      <c r="O44" s="125">
        <v>0.03</v>
      </c>
      <c r="P44" s="51"/>
      <c r="Q44" s="51"/>
    </row>
    <row r="45" ht="15.75" customHeight="1">
      <c r="A45" s="51" t="s">
        <v>86</v>
      </c>
      <c r="B45" s="124">
        <v>35383.91</v>
      </c>
      <c r="C45" s="35">
        <v>2240.0</v>
      </c>
      <c r="D45" s="32">
        <v>16973.31</v>
      </c>
      <c r="E45" s="35"/>
      <c r="F45" s="32"/>
      <c r="G45" s="35"/>
      <c r="H45" s="32"/>
      <c r="I45" s="35"/>
      <c r="J45" s="32"/>
      <c r="K45" s="35"/>
      <c r="L45" s="32"/>
      <c r="M45" s="35"/>
      <c r="N45" s="51">
        <f t="shared" si="1"/>
        <v>54597.22</v>
      </c>
      <c r="O45" s="125">
        <v>0.01</v>
      </c>
      <c r="P45" s="51"/>
      <c r="Q45" s="51"/>
    </row>
    <row r="46" ht="15.75" customHeight="1">
      <c r="A46" s="51" t="s">
        <v>87</v>
      </c>
      <c r="B46" s="124">
        <v>16869.38</v>
      </c>
      <c r="C46" s="35">
        <v>13811.89</v>
      </c>
      <c r="D46" s="32">
        <v>30768.97</v>
      </c>
      <c r="E46" s="35"/>
      <c r="F46" s="32"/>
      <c r="G46" s="35"/>
      <c r="H46" s="32"/>
      <c r="I46" s="35"/>
      <c r="J46" s="32"/>
      <c r="K46" s="35"/>
      <c r="L46" s="32"/>
      <c r="M46" s="35"/>
      <c r="N46" s="51">
        <f t="shared" si="1"/>
        <v>61450.24</v>
      </c>
      <c r="O46" s="125">
        <v>0.02</v>
      </c>
      <c r="P46" s="51"/>
      <c r="Q46" s="51"/>
    </row>
    <row r="47" ht="15.75" customHeight="1">
      <c r="A47" s="51" t="s">
        <v>88</v>
      </c>
      <c r="B47" s="124">
        <v>30128.57</v>
      </c>
      <c r="C47" s="35">
        <v>17592.21</v>
      </c>
      <c r="D47" s="32">
        <v>18994.37</v>
      </c>
      <c r="E47" s="35"/>
      <c r="F47" s="32"/>
      <c r="G47" s="35"/>
      <c r="H47" s="32"/>
      <c r="I47" s="35"/>
      <c r="J47" s="32"/>
      <c r="K47" s="35"/>
      <c r="L47" s="32"/>
      <c r="M47" s="35"/>
      <c r="N47" s="51">
        <f t="shared" si="1"/>
        <v>66715.15</v>
      </c>
      <c r="O47" s="125">
        <v>0.01</v>
      </c>
      <c r="P47" s="51"/>
      <c r="Q47" s="51"/>
    </row>
    <row r="48" ht="15.75" customHeight="1">
      <c r="A48" s="12" t="s">
        <v>89</v>
      </c>
      <c r="B48" s="124">
        <v>14481.37</v>
      </c>
      <c r="C48" s="35"/>
      <c r="D48" s="32"/>
      <c r="E48" s="35"/>
      <c r="F48" s="32"/>
      <c r="G48" s="35"/>
      <c r="H48" s="32"/>
      <c r="I48" s="35"/>
      <c r="J48" s="32"/>
      <c r="K48" s="35"/>
      <c r="L48" s="32"/>
      <c r="M48" s="35"/>
      <c r="N48" s="51">
        <f t="shared" si="1"/>
        <v>14481.37</v>
      </c>
      <c r="O48" s="125">
        <v>0.01</v>
      </c>
      <c r="P48" s="51"/>
      <c r="Q48" s="51"/>
    </row>
    <row r="49" ht="15.75" customHeight="1">
      <c r="A49" s="12" t="s">
        <v>90</v>
      </c>
      <c r="B49" s="124">
        <v>560.0</v>
      </c>
      <c r="C49" s="35"/>
      <c r="D49" s="32">
        <v>390.86</v>
      </c>
      <c r="E49" s="35"/>
      <c r="F49" s="32"/>
      <c r="G49" s="35"/>
      <c r="H49" s="32"/>
      <c r="I49" s="35"/>
      <c r="J49" s="32"/>
      <c r="K49" s="35"/>
      <c r="L49" s="32"/>
      <c r="M49" s="35"/>
      <c r="N49" s="51">
        <f t="shared" si="1"/>
        <v>950.86</v>
      </c>
      <c r="O49" s="125">
        <v>0.01</v>
      </c>
      <c r="P49" s="51"/>
      <c r="Q49" s="51"/>
    </row>
    <row r="50" ht="15.75" customHeight="1">
      <c r="A50" s="51" t="s">
        <v>91</v>
      </c>
      <c r="B50" s="126">
        <v>16734.0</v>
      </c>
      <c r="C50" s="35"/>
      <c r="D50" s="32">
        <v>5324.27</v>
      </c>
      <c r="E50" s="35"/>
      <c r="F50" s="32"/>
      <c r="G50" s="35"/>
      <c r="H50" s="32"/>
      <c r="I50" s="35"/>
      <c r="J50" s="32"/>
      <c r="K50" s="35"/>
      <c r="L50" s="32"/>
      <c r="M50" s="35"/>
      <c r="N50" s="51">
        <f t="shared" si="1"/>
        <v>22058.27</v>
      </c>
      <c r="O50" s="125">
        <v>0.01</v>
      </c>
      <c r="P50" s="51"/>
      <c r="Q50" s="51"/>
    </row>
    <row r="51" ht="15.75" customHeight="1">
      <c r="A51" s="51" t="s">
        <v>92</v>
      </c>
      <c r="B51" s="124">
        <v>24567.47</v>
      </c>
      <c r="C51" s="35"/>
      <c r="D51" s="32"/>
      <c r="E51" s="35"/>
      <c r="F51" s="32"/>
      <c r="G51" s="35"/>
      <c r="H51" s="32"/>
      <c r="I51" s="35"/>
      <c r="J51" s="32"/>
      <c r="K51" s="35"/>
      <c r="L51" s="32"/>
      <c r="M51" s="35"/>
      <c r="N51" s="51">
        <f t="shared" si="1"/>
        <v>24567.47</v>
      </c>
      <c r="O51" s="125">
        <v>0.01</v>
      </c>
      <c r="P51" s="51"/>
      <c r="Q51" s="51"/>
    </row>
    <row r="52" ht="15.75" customHeight="1">
      <c r="A52" s="50" t="s">
        <v>93</v>
      </c>
      <c r="B52" s="26">
        <f t="shared" ref="B52:O52" si="2">SUM(B7:B51)</f>
        <v>1472229.25</v>
      </c>
      <c r="C52" s="26">
        <f t="shared" si="2"/>
        <v>1481577.68</v>
      </c>
      <c r="D52" s="26">
        <f t="shared" si="2"/>
        <v>1452141.73</v>
      </c>
      <c r="E52" s="26">
        <f t="shared" si="2"/>
        <v>0</v>
      </c>
      <c r="F52" s="26">
        <f t="shared" si="2"/>
        <v>0</v>
      </c>
      <c r="G52" s="26">
        <f t="shared" si="2"/>
        <v>0</v>
      </c>
      <c r="H52" s="26">
        <f t="shared" si="2"/>
        <v>0</v>
      </c>
      <c r="I52" s="26">
        <f t="shared" si="2"/>
        <v>0</v>
      </c>
      <c r="J52" s="26">
        <f t="shared" si="2"/>
        <v>0</v>
      </c>
      <c r="K52" s="26">
        <f t="shared" si="2"/>
        <v>0</v>
      </c>
      <c r="L52" s="26">
        <f t="shared" si="2"/>
        <v>0</v>
      </c>
      <c r="M52" s="26">
        <f t="shared" si="2"/>
        <v>0</v>
      </c>
      <c r="N52" s="50">
        <f t="shared" si="2"/>
        <v>4405948.66</v>
      </c>
      <c r="O52" s="127">
        <f t="shared" si="2"/>
        <v>1</v>
      </c>
      <c r="P52" s="50"/>
      <c r="Q52" s="50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9.38"/>
    <col customWidth="1" min="3" max="3" width="31.5"/>
    <col customWidth="1" min="4" max="4" width="17.25"/>
    <col customWidth="1" min="5" max="6" width="28.75"/>
  </cols>
  <sheetData>
    <row r="1" ht="15.75" customHeight="1">
      <c r="A1" s="53" t="s">
        <v>94</v>
      </c>
      <c r="B1" s="108" t="s">
        <v>95</v>
      </c>
      <c r="C1" s="110" t="s">
        <v>96</v>
      </c>
      <c r="D1" s="110" t="s">
        <v>97</v>
      </c>
      <c r="E1" s="108" t="s">
        <v>98</v>
      </c>
      <c r="F1" s="108" t="s">
        <v>99</v>
      </c>
    </row>
    <row r="2" ht="15.75" customHeight="1">
      <c r="A2" s="128" t="s">
        <v>100</v>
      </c>
      <c r="B2" s="129"/>
      <c r="C2" s="128" t="s">
        <v>101</v>
      </c>
      <c r="D2" s="128" t="s">
        <v>102</v>
      </c>
      <c r="E2" s="130" t="s">
        <v>103</v>
      </c>
      <c r="F2" s="130" t="s">
        <v>104</v>
      </c>
    </row>
    <row r="3" ht="15.75" customHeight="1">
      <c r="A3" s="128" t="s">
        <v>11</v>
      </c>
      <c r="B3" s="129"/>
      <c r="C3" s="128" t="s">
        <v>101</v>
      </c>
      <c r="D3" s="128" t="s">
        <v>102</v>
      </c>
      <c r="E3" s="130" t="s">
        <v>103</v>
      </c>
      <c r="F3" s="130" t="s">
        <v>104</v>
      </c>
    </row>
    <row r="4" ht="15.75" customHeight="1">
      <c r="A4" s="128" t="s">
        <v>105</v>
      </c>
      <c r="B4" s="129"/>
      <c r="C4" s="128" t="s">
        <v>106</v>
      </c>
      <c r="D4" s="128"/>
      <c r="E4" s="130"/>
      <c r="F4" s="130"/>
    </row>
    <row r="5" ht="15.75" customHeight="1">
      <c r="A5" s="128" t="s">
        <v>107</v>
      </c>
      <c r="B5" s="129">
        <v>21676.34</v>
      </c>
      <c r="C5" s="128" t="s">
        <v>108</v>
      </c>
      <c r="D5" s="128"/>
      <c r="E5" s="130"/>
      <c r="F5" s="130"/>
    </row>
    <row r="6" ht="15.75" customHeight="1">
      <c r="A6" s="128" t="s">
        <v>109</v>
      </c>
      <c r="B6" s="129">
        <v>12000.0</v>
      </c>
      <c r="C6" s="128"/>
      <c r="D6" s="128"/>
      <c r="E6" s="130"/>
      <c r="F6" s="130"/>
    </row>
    <row r="7" ht="15.75" customHeight="1">
      <c r="A7" s="128" t="s">
        <v>110</v>
      </c>
      <c r="B7" s="129">
        <v>6063.75</v>
      </c>
      <c r="C7" s="128" t="s">
        <v>111</v>
      </c>
      <c r="D7" s="128"/>
      <c r="E7" s="130"/>
      <c r="F7" s="130" t="s">
        <v>112</v>
      </c>
    </row>
    <row r="8" ht="15.75" customHeight="1">
      <c r="A8" s="128" t="s">
        <v>113</v>
      </c>
      <c r="B8" s="129">
        <v>16275.0</v>
      </c>
      <c r="C8" s="128" t="s">
        <v>114</v>
      </c>
      <c r="D8" s="128"/>
      <c r="E8" s="130"/>
      <c r="F8" s="130"/>
    </row>
    <row r="9" ht="15.75" customHeight="1">
      <c r="A9" s="128" t="s">
        <v>115</v>
      </c>
      <c r="B9" s="129"/>
      <c r="C9" s="128" t="s">
        <v>116</v>
      </c>
      <c r="D9" s="128"/>
      <c r="E9" s="130"/>
      <c r="F9" s="130"/>
    </row>
    <row r="10" ht="15.75" customHeight="1">
      <c r="A10" s="128" t="s">
        <v>117</v>
      </c>
      <c r="B10" s="129">
        <v>13125.0</v>
      </c>
      <c r="C10" s="128"/>
      <c r="D10" s="128"/>
      <c r="E10" s="130"/>
      <c r="F10" s="130"/>
    </row>
    <row r="11" ht="15.75" customHeight="1">
      <c r="A11" s="128" t="s">
        <v>118</v>
      </c>
      <c r="B11" s="129">
        <v>65471.97</v>
      </c>
      <c r="C11" s="128"/>
      <c r="D11" s="128"/>
      <c r="E11" s="130"/>
      <c r="F11" s="130"/>
    </row>
    <row r="12" ht="15.75" customHeight="1">
      <c r="A12" s="128" t="s">
        <v>119</v>
      </c>
      <c r="B12" s="129">
        <v>14745.94</v>
      </c>
      <c r="C12" s="128"/>
      <c r="D12" s="128"/>
      <c r="E12" s="130"/>
      <c r="F12" s="130"/>
    </row>
    <row r="13" ht="15.75" customHeight="1">
      <c r="A13" s="128" t="s">
        <v>120</v>
      </c>
      <c r="B13" s="129">
        <v>16800.0</v>
      </c>
      <c r="C13" s="128" t="s">
        <v>121</v>
      </c>
      <c r="D13" s="128"/>
      <c r="E13" s="130"/>
      <c r="F13" s="130"/>
    </row>
    <row r="14" ht="15.75" customHeight="1">
      <c r="A14" s="128" t="s">
        <v>122</v>
      </c>
      <c r="B14" s="129"/>
      <c r="C14" s="128" t="s">
        <v>123</v>
      </c>
      <c r="D14" s="128"/>
      <c r="E14" s="130"/>
      <c r="F14" s="130"/>
    </row>
    <row r="15" ht="15.75" customHeight="1">
      <c r="A15" s="128" t="s">
        <v>124</v>
      </c>
      <c r="B15" s="129">
        <v>15750.0</v>
      </c>
      <c r="C15" s="128"/>
      <c r="D15" s="128"/>
      <c r="E15" s="130"/>
      <c r="F15" s="130"/>
    </row>
    <row r="16" ht="15.75" customHeight="1">
      <c r="A16" s="128" t="s">
        <v>125</v>
      </c>
      <c r="B16" s="129"/>
      <c r="C16" s="128" t="s">
        <v>126</v>
      </c>
      <c r="D16" s="128"/>
      <c r="E16" s="130"/>
      <c r="F16" s="130"/>
    </row>
    <row r="17" ht="15.75" customHeight="1">
      <c r="A17" s="128" t="s">
        <v>127</v>
      </c>
      <c r="B17" s="129">
        <v>16050.0</v>
      </c>
      <c r="C17" s="128"/>
      <c r="D17" s="128"/>
      <c r="E17" s="130" t="s">
        <v>128</v>
      </c>
      <c r="F17" s="130"/>
    </row>
    <row r="18" ht="15.75" customHeight="1">
      <c r="A18" s="128" t="s">
        <v>129</v>
      </c>
      <c r="B18" s="129"/>
      <c r="C18" s="128" t="s">
        <v>101</v>
      </c>
      <c r="D18" s="128" t="s">
        <v>102</v>
      </c>
      <c r="E18" s="130" t="s">
        <v>130</v>
      </c>
      <c r="F18" s="130"/>
    </row>
    <row r="19" ht="15.75" customHeight="1">
      <c r="A19" s="128" t="s">
        <v>131</v>
      </c>
      <c r="B19" s="129">
        <v>15750.0</v>
      </c>
      <c r="C19" s="128"/>
      <c r="D19" s="128"/>
      <c r="E19" s="130"/>
      <c r="F19" s="130"/>
    </row>
    <row r="20" ht="15.75" customHeight="1">
      <c r="A20" s="128"/>
      <c r="B20" s="129"/>
      <c r="C20" s="128"/>
      <c r="D20" s="128"/>
      <c r="E20" s="130"/>
      <c r="F20" s="130"/>
    </row>
    <row r="21" ht="15.75" customHeight="1">
      <c r="A21" s="128"/>
      <c r="B21" s="129"/>
      <c r="C21" s="128"/>
      <c r="D21" s="128"/>
      <c r="E21" s="130"/>
      <c r="F21" s="13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2.38"/>
    <col customWidth="1" min="3" max="3" width="45.0"/>
    <col customWidth="1" min="4" max="4" width="31.63"/>
    <col customWidth="1" min="5" max="5" width="11.5"/>
    <col customWidth="1" min="6" max="6" width="13.0"/>
    <col customWidth="1" min="7" max="7" width="29.75"/>
    <col customWidth="1" min="8" max="8" width="28.75"/>
    <col customWidth="1" min="9" max="9" width="28.0"/>
    <col customWidth="1" min="10" max="10" width="18.13"/>
    <col customWidth="1" min="11" max="11" width="28.25"/>
    <col customWidth="1" min="12" max="12" width="19.75"/>
    <col customWidth="1" min="13" max="13" width="13.0"/>
    <col customWidth="1" min="14" max="14" width="17.0"/>
    <col customWidth="1" min="15" max="15" width="15.88"/>
    <col customWidth="1" min="16" max="16" width="15.13"/>
    <col customWidth="1" min="17" max="17" width="5.38"/>
    <col customWidth="1" min="18" max="18" width="22.25"/>
  </cols>
  <sheetData>
    <row r="1" ht="15.75" customHeight="1">
      <c r="A1" s="49" t="s">
        <v>132</v>
      </c>
      <c r="B1" s="49" t="s">
        <v>133</v>
      </c>
      <c r="C1" s="49" t="s">
        <v>134</v>
      </c>
      <c r="D1" s="49" t="s">
        <v>135</v>
      </c>
      <c r="F1" s="49" t="s">
        <v>136</v>
      </c>
      <c r="G1" s="118" t="str">
        <f>VLOOKUP(Mensual!A1,$F$2:$I$13,2)</f>
        <v>JunR!$B$2:$AS$100</v>
      </c>
      <c r="H1" s="118" t="str">
        <f>VLOOKUP(Mensual!A1,$F$2:$I$13,3)</f>
        <v>JunR!$A$2:$A$100</v>
      </c>
      <c r="I1" s="118" t="str">
        <f>VLOOKUP(Mensual!A1,$F$2:$I$13,4)</f>
        <v>JunR!$B$6:$AS$6</v>
      </c>
      <c r="J1" s="49"/>
      <c r="K1" s="118" t="str">
        <f>VLOOKUP(Mensual!A1,$F$2:$K$13,6)</f>
        <v>Utilidades!$S$1:$S$100</v>
      </c>
      <c r="M1" s="49"/>
      <c r="N1" s="118"/>
      <c r="O1" s="118"/>
      <c r="P1" s="118"/>
      <c r="Q1" s="49"/>
      <c r="R1" s="118"/>
      <c r="S1" s="49"/>
      <c r="T1" s="49"/>
      <c r="U1" s="49"/>
      <c r="V1" s="49"/>
      <c r="W1" s="49"/>
      <c r="X1" s="49"/>
      <c r="Y1" s="49"/>
    </row>
    <row r="2" ht="15.75" customHeight="1">
      <c r="A2" s="12" t="s">
        <v>137</v>
      </c>
      <c r="B2" s="12" t="s">
        <v>138</v>
      </c>
      <c r="C2" s="131" t="s">
        <v>139</v>
      </c>
      <c r="D2" s="12" t="s">
        <v>140</v>
      </c>
      <c r="F2" s="12" t="s">
        <v>10</v>
      </c>
      <c r="G2" s="12" t="s">
        <v>141</v>
      </c>
      <c r="H2" s="12" t="s">
        <v>142</v>
      </c>
      <c r="I2" s="12" t="s">
        <v>143</v>
      </c>
      <c r="J2" s="12" t="s">
        <v>144</v>
      </c>
      <c r="K2" s="12" t="s">
        <v>145</v>
      </c>
    </row>
    <row r="3" ht="15.75" customHeight="1">
      <c r="A3" s="12" t="s">
        <v>146</v>
      </c>
      <c r="B3" s="12" t="s">
        <v>138</v>
      </c>
      <c r="C3" s="131" t="s">
        <v>139</v>
      </c>
      <c r="D3" s="12" t="s">
        <v>147</v>
      </c>
      <c r="F3" s="12" t="s">
        <v>16</v>
      </c>
      <c r="G3" s="12" t="s">
        <v>148</v>
      </c>
      <c r="H3" s="12" t="s">
        <v>149</v>
      </c>
      <c r="I3" s="12" t="s">
        <v>150</v>
      </c>
      <c r="J3" s="12" t="s">
        <v>151</v>
      </c>
      <c r="K3" s="12" t="s">
        <v>152</v>
      </c>
    </row>
    <row r="4" ht="15.75" customHeight="1">
      <c r="C4" s="131"/>
      <c r="F4" s="12" t="s">
        <v>12</v>
      </c>
      <c r="G4" s="12" t="s">
        <v>153</v>
      </c>
      <c r="H4" s="12" t="s">
        <v>154</v>
      </c>
      <c r="I4" s="12" t="s">
        <v>155</v>
      </c>
      <c r="J4" s="12" t="s">
        <v>156</v>
      </c>
      <c r="K4" s="12" t="s">
        <v>157</v>
      </c>
    </row>
    <row r="5" ht="15.75" customHeight="1">
      <c r="A5" s="12" t="s">
        <v>158</v>
      </c>
      <c r="B5" s="12" t="s">
        <v>159</v>
      </c>
      <c r="C5" s="131" t="s">
        <v>160</v>
      </c>
      <c r="D5" s="12" t="s">
        <v>161</v>
      </c>
      <c r="F5" s="12" t="s">
        <v>17</v>
      </c>
      <c r="G5" s="12" t="s">
        <v>162</v>
      </c>
      <c r="H5" s="12" t="s">
        <v>163</v>
      </c>
      <c r="I5" s="12" t="s">
        <v>164</v>
      </c>
      <c r="J5" s="12" t="s">
        <v>165</v>
      </c>
      <c r="K5" s="12" t="s">
        <v>166</v>
      </c>
    </row>
    <row r="6" ht="15.75" customHeight="1">
      <c r="A6" s="132"/>
      <c r="C6" s="131"/>
      <c r="F6" s="12" t="s">
        <v>18</v>
      </c>
      <c r="G6" s="12" t="s">
        <v>167</v>
      </c>
      <c r="H6" s="12" t="s">
        <v>168</v>
      </c>
      <c r="I6" s="12" t="s">
        <v>169</v>
      </c>
      <c r="J6" s="12" t="s">
        <v>170</v>
      </c>
      <c r="K6" s="12" t="s">
        <v>171</v>
      </c>
    </row>
    <row r="7" ht="15.75" customHeight="1">
      <c r="A7" s="132"/>
      <c r="C7" s="131"/>
      <c r="F7" s="12" t="s">
        <v>9</v>
      </c>
      <c r="G7" s="12" t="s">
        <v>172</v>
      </c>
      <c r="H7" s="12" t="s">
        <v>173</v>
      </c>
      <c r="I7" s="12" t="s">
        <v>174</v>
      </c>
      <c r="J7" s="12" t="s">
        <v>175</v>
      </c>
      <c r="K7" s="12" t="s">
        <v>176</v>
      </c>
    </row>
    <row r="8" ht="15.75" customHeight="1">
      <c r="A8" s="132"/>
      <c r="C8" s="131"/>
      <c r="F8" s="12" t="s">
        <v>19</v>
      </c>
      <c r="G8" s="12" t="s">
        <v>177</v>
      </c>
      <c r="H8" s="12" t="s">
        <v>178</v>
      </c>
      <c r="I8" s="12" t="s">
        <v>179</v>
      </c>
      <c r="J8" s="12" t="s">
        <v>180</v>
      </c>
      <c r="K8" s="12" t="s">
        <v>181</v>
      </c>
    </row>
    <row r="9" ht="15.75" customHeight="1">
      <c r="A9" s="132"/>
      <c r="C9" s="131"/>
      <c r="F9" s="12" t="s">
        <v>20</v>
      </c>
      <c r="G9" s="12" t="s">
        <v>182</v>
      </c>
      <c r="H9" s="12" t="s">
        <v>183</v>
      </c>
      <c r="I9" s="12" t="s">
        <v>184</v>
      </c>
      <c r="J9" s="12" t="s">
        <v>185</v>
      </c>
      <c r="K9" s="12" t="s">
        <v>186</v>
      </c>
    </row>
    <row r="10" ht="15.75" customHeight="1">
      <c r="A10" s="132"/>
      <c r="C10" s="131"/>
      <c r="F10" s="12" t="s">
        <v>21</v>
      </c>
      <c r="G10" s="12" t="s">
        <v>187</v>
      </c>
      <c r="H10" s="12" t="s">
        <v>188</v>
      </c>
      <c r="I10" s="12" t="s">
        <v>189</v>
      </c>
      <c r="J10" s="12" t="s">
        <v>190</v>
      </c>
      <c r="K10" s="12" t="s">
        <v>191</v>
      </c>
    </row>
    <row r="11" ht="15.75" customHeight="1">
      <c r="A11" s="132"/>
      <c r="C11" s="131"/>
      <c r="F11" s="12" t="s">
        <v>22</v>
      </c>
      <c r="G11" s="12" t="s">
        <v>192</v>
      </c>
      <c r="H11" s="12" t="s">
        <v>193</v>
      </c>
      <c r="I11" s="12" t="s">
        <v>194</v>
      </c>
      <c r="J11" s="12" t="s">
        <v>195</v>
      </c>
      <c r="K11" s="12" t="s">
        <v>196</v>
      </c>
    </row>
    <row r="12" ht="15.75" customHeight="1">
      <c r="A12" s="132"/>
      <c r="C12" s="131"/>
      <c r="F12" s="12" t="s">
        <v>23</v>
      </c>
      <c r="G12" s="12" t="s">
        <v>197</v>
      </c>
      <c r="H12" s="12" t="s">
        <v>198</v>
      </c>
      <c r="I12" s="12" t="s">
        <v>199</v>
      </c>
      <c r="J12" s="12" t="s">
        <v>200</v>
      </c>
      <c r="K12" s="12" t="s">
        <v>201</v>
      </c>
    </row>
    <row r="13" ht="15.75" customHeight="1">
      <c r="A13" s="132"/>
      <c r="C13" s="131"/>
      <c r="F13" s="12" t="s">
        <v>24</v>
      </c>
      <c r="G13" s="12" t="s">
        <v>202</v>
      </c>
      <c r="H13" s="12" t="s">
        <v>203</v>
      </c>
      <c r="I13" s="12" t="s">
        <v>204</v>
      </c>
      <c r="J13" s="12" t="s">
        <v>205</v>
      </c>
      <c r="K13" s="12" t="s">
        <v>206</v>
      </c>
    </row>
    <row r="14" ht="15.75" customHeight="1">
      <c r="A14" s="132"/>
      <c r="C14" s="131"/>
    </row>
    <row r="15" ht="15.75" customHeight="1">
      <c r="A15" s="132"/>
      <c r="C15" s="131"/>
      <c r="F15" s="12" t="s">
        <v>207</v>
      </c>
      <c r="G15" s="118" t="s">
        <v>208</v>
      </c>
      <c r="H15" s="118" t="s">
        <v>208</v>
      </c>
      <c r="I15" s="118" t="s">
        <v>209</v>
      </c>
      <c r="K15" s="118" t="s">
        <v>210</v>
      </c>
      <c r="M15" s="49"/>
      <c r="N15" s="118"/>
      <c r="O15" s="118"/>
      <c r="P15" s="118"/>
      <c r="Q15" s="49"/>
      <c r="R15" s="118"/>
    </row>
    <row r="16" ht="15.75" customHeight="1">
      <c r="A16" s="132"/>
      <c r="C16" s="131"/>
    </row>
    <row r="17" ht="15.75" customHeight="1">
      <c r="C17" s="131"/>
      <c r="G17" s="133"/>
      <c r="H17" s="132"/>
      <c r="I17" s="132"/>
      <c r="J17" s="12" t="s">
        <v>211</v>
      </c>
      <c r="K17" s="134" t="str">
        <f>VLOOKUP('Mes vs Mes'!A1,$F$2:$K$13,6)</f>
        <v>Utilidades!$D$1:$D$100</v>
      </c>
    </row>
    <row r="18" ht="15.75" customHeight="1">
      <c r="G18" s="132"/>
      <c r="H18" s="132"/>
      <c r="I18" s="132"/>
      <c r="J18" s="12" t="s">
        <v>212</v>
      </c>
      <c r="K18" s="134" t="str">
        <f>VLOOKUP('Mes vs Mes'!A2,$F$2:$K$13,6)</f>
        <v>Utilidades!$J$1:$J$100</v>
      </c>
    </row>
    <row r="19" ht="15.75" customHeight="1">
      <c r="C19" s="131"/>
      <c r="G19" s="132"/>
      <c r="H19" s="132"/>
      <c r="I19" s="132"/>
    </row>
    <row r="20" ht="15.75" customHeight="1">
      <c r="C20" s="131"/>
      <c r="D20" s="12" t="s">
        <v>213</v>
      </c>
      <c r="E20" s="132" t="s">
        <v>214</v>
      </c>
      <c r="F20" s="132" t="s">
        <v>215</v>
      </c>
      <c r="G20" s="132" t="str">
        <f t="shared" ref="G20:I20" si="1">$J20&amp;D20</f>
        <v>EneR!$B$2:$AS$100</v>
      </c>
      <c r="H20" s="132" t="str">
        <f t="shared" si="1"/>
        <v>EneR!$A$2:$A$100</v>
      </c>
      <c r="I20" s="132" t="str">
        <f t="shared" si="1"/>
        <v>EneR!$B$6:$AS$6</v>
      </c>
      <c r="J20" s="12" t="s">
        <v>144</v>
      </c>
    </row>
    <row r="21" ht="15.75" customHeight="1">
      <c r="C21" s="131"/>
      <c r="D21" s="12" t="s">
        <v>213</v>
      </c>
      <c r="E21" s="132" t="s">
        <v>214</v>
      </c>
      <c r="F21" s="132" t="s">
        <v>215</v>
      </c>
      <c r="G21" s="132" t="str">
        <f t="shared" ref="G21:I21" si="2">$J21&amp;D21</f>
        <v>FebR!$B$2:$AS$100</v>
      </c>
      <c r="H21" s="132" t="str">
        <f t="shared" si="2"/>
        <v>FebR!$A$2:$A$100</v>
      </c>
      <c r="I21" s="132" t="str">
        <f t="shared" si="2"/>
        <v>FebR!$B$6:$AS$6</v>
      </c>
      <c r="J21" s="12" t="s">
        <v>151</v>
      </c>
    </row>
    <row r="22" ht="15.75" customHeight="1">
      <c r="C22" s="131"/>
      <c r="D22" s="12" t="s">
        <v>213</v>
      </c>
      <c r="E22" s="132" t="s">
        <v>214</v>
      </c>
      <c r="F22" s="132" t="s">
        <v>215</v>
      </c>
      <c r="G22" s="132" t="str">
        <f t="shared" ref="G22:I22" si="3">$J22&amp;D22</f>
        <v>MarR!$B$2:$AS$100</v>
      </c>
      <c r="H22" s="132" t="str">
        <f t="shared" si="3"/>
        <v>MarR!$A$2:$A$100</v>
      </c>
      <c r="I22" s="132" t="str">
        <f t="shared" si="3"/>
        <v>MarR!$B$6:$AS$6</v>
      </c>
      <c r="J22" s="12" t="s">
        <v>156</v>
      </c>
    </row>
    <row r="23" ht="15.75" customHeight="1">
      <c r="C23" s="131"/>
      <c r="D23" s="12" t="s">
        <v>213</v>
      </c>
      <c r="E23" s="132" t="s">
        <v>214</v>
      </c>
      <c r="F23" s="132" t="s">
        <v>215</v>
      </c>
      <c r="G23" s="132" t="str">
        <f t="shared" ref="G23:I23" si="4">$J23&amp;D23</f>
        <v>AbrR!$B$2:$AS$100</v>
      </c>
      <c r="H23" s="132" t="str">
        <f t="shared" si="4"/>
        <v>AbrR!$A$2:$A$100</v>
      </c>
      <c r="I23" s="132" t="str">
        <f t="shared" si="4"/>
        <v>AbrR!$B$6:$AS$6</v>
      </c>
      <c r="J23" s="12" t="s">
        <v>165</v>
      </c>
    </row>
    <row r="24" ht="15.75" customHeight="1">
      <c r="C24" s="131"/>
      <c r="D24" s="12" t="s">
        <v>213</v>
      </c>
      <c r="E24" s="132" t="s">
        <v>214</v>
      </c>
      <c r="F24" s="132" t="s">
        <v>215</v>
      </c>
      <c r="G24" s="132" t="str">
        <f t="shared" ref="G24:I24" si="5">$J24&amp;D24</f>
        <v>MayR!$B$2:$AS$100</v>
      </c>
      <c r="H24" s="132" t="str">
        <f t="shared" si="5"/>
        <v>MayR!$A$2:$A$100</v>
      </c>
      <c r="I24" s="132" t="str">
        <f t="shared" si="5"/>
        <v>MayR!$B$6:$AS$6</v>
      </c>
      <c r="J24" s="12" t="s">
        <v>170</v>
      </c>
    </row>
    <row r="25" ht="15.75" customHeight="1">
      <c r="C25" s="131"/>
      <c r="D25" s="12" t="s">
        <v>213</v>
      </c>
      <c r="E25" s="132" t="s">
        <v>214</v>
      </c>
      <c r="F25" s="132" t="s">
        <v>215</v>
      </c>
      <c r="G25" s="132" t="str">
        <f t="shared" ref="G25:I25" si="6">$J25&amp;D25</f>
        <v>JunR!$B$2:$AS$100</v>
      </c>
      <c r="H25" s="132" t="str">
        <f t="shared" si="6"/>
        <v>JunR!$A$2:$A$100</v>
      </c>
      <c r="I25" s="132" t="str">
        <f t="shared" si="6"/>
        <v>JunR!$B$6:$AS$6</v>
      </c>
      <c r="J25" s="12" t="s">
        <v>175</v>
      </c>
    </row>
    <row r="26" ht="15.75" customHeight="1">
      <c r="C26" s="131"/>
      <c r="D26" s="12" t="s">
        <v>213</v>
      </c>
      <c r="E26" s="132" t="s">
        <v>214</v>
      </c>
      <c r="F26" s="132" t="s">
        <v>215</v>
      </c>
      <c r="G26" s="132" t="str">
        <f t="shared" ref="G26:I26" si="7">$J26&amp;D26</f>
        <v>JulR!$B$2:$AS$100</v>
      </c>
      <c r="H26" s="132" t="str">
        <f t="shared" si="7"/>
        <v>JulR!$A$2:$A$100</v>
      </c>
      <c r="I26" s="132" t="str">
        <f t="shared" si="7"/>
        <v>JulR!$B$6:$AS$6</v>
      </c>
      <c r="J26" s="12" t="s">
        <v>180</v>
      </c>
    </row>
    <row r="27" ht="15.75" customHeight="1">
      <c r="C27" s="131"/>
      <c r="D27" s="12" t="s">
        <v>213</v>
      </c>
      <c r="E27" s="132" t="s">
        <v>214</v>
      </c>
      <c r="F27" s="132" t="s">
        <v>215</v>
      </c>
      <c r="G27" s="132" t="str">
        <f t="shared" ref="G27:I27" si="8">$J27&amp;D27</f>
        <v>AgoR!$B$2:$AS$100</v>
      </c>
      <c r="H27" s="132" t="str">
        <f t="shared" si="8"/>
        <v>AgoR!$A$2:$A$100</v>
      </c>
      <c r="I27" s="132" t="str">
        <f t="shared" si="8"/>
        <v>AgoR!$B$6:$AS$6</v>
      </c>
      <c r="J27" s="12" t="s">
        <v>185</v>
      </c>
    </row>
    <row r="28" ht="15.75" customHeight="1">
      <c r="C28" s="131"/>
      <c r="D28" s="12" t="s">
        <v>213</v>
      </c>
      <c r="E28" s="132" t="s">
        <v>214</v>
      </c>
      <c r="F28" s="132" t="s">
        <v>215</v>
      </c>
      <c r="G28" s="132" t="str">
        <f t="shared" ref="G28:I28" si="9">$J28&amp;D28</f>
        <v>SepR!$B$2:$AS$100</v>
      </c>
      <c r="H28" s="132" t="str">
        <f t="shared" si="9"/>
        <v>SepR!$A$2:$A$100</v>
      </c>
      <c r="I28" s="132" t="str">
        <f t="shared" si="9"/>
        <v>SepR!$B$6:$AS$6</v>
      </c>
      <c r="J28" s="12" t="s">
        <v>190</v>
      </c>
    </row>
    <row r="29" ht="15.75" customHeight="1">
      <c r="C29" s="131"/>
      <c r="D29" s="12" t="s">
        <v>213</v>
      </c>
      <c r="E29" s="132" t="s">
        <v>214</v>
      </c>
      <c r="F29" s="132" t="s">
        <v>215</v>
      </c>
      <c r="G29" s="132" t="str">
        <f t="shared" ref="G29:I29" si="10">$J29&amp;D29</f>
        <v>OctR!$B$2:$AS$100</v>
      </c>
      <c r="H29" s="132" t="str">
        <f t="shared" si="10"/>
        <v>OctR!$A$2:$A$100</v>
      </c>
      <c r="I29" s="132" t="str">
        <f t="shared" si="10"/>
        <v>OctR!$B$6:$AS$6</v>
      </c>
      <c r="J29" s="12" t="s">
        <v>195</v>
      </c>
    </row>
    <row r="30" ht="15.75" customHeight="1">
      <c r="C30" s="131"/>
      <c r="D30" s="12" t="s">
        <v>213</v>
      </c>
      <c r="E30" s="132" t="s">
        <v>214</v>
      </c>
      <c r="F30" s="132" t="s">
        <v>215</v>
      </c>
      <c r="G30" s="132" t="str">
        <f t="shared" ref="G30:I30" si="11">$J30&amp;D30</f>
        <v>NovR!$B$2:$AS$100</v>
      </c>
      <c r="H30" s="132" t="str">
        <f t="shared" si="11"/>
        <v>NovR!$A$2:$A$100</v>
      </c>
      <c r="I30" s="132" t="str">
        <f t="shared" si="11"/>
        <v>NovR!$B$6:$AS$6</v>
      </c>
      <c r="J30" s="12" t="s">
        <v>200</v>
      </c>
    </row>
    <row r="31" ht="15.75" customHeight="1">
      <c r="C31" s="131"/>
      <c r="D31" s="12" t="s">
        <v>213</v>
      </c>
      <c r="E31" s="132" t="s">
        <v>214</v>
      </c>
      <c r="F31" s="132" t="s">
        <v>215</v>
      </c>
      <c r="G31" s="132" t="str">
        <f t="shared" ref="G31:I31" si="12">$J31&amp;D31</f>
        <v>DicR!$B$2:$AS$100</v>
      </c>
      <c r="H31" s="132" t="str">
        <f t="shared" si="12"/>
        <v>DicR!$A$2:$A$100</v>
      </c>
      <c r="I31" s="132" t="str">
        <f t="shared" si="12"/>
        <v>DicR!$B$6:$AS$6</v>
      </c>
      <c r="J31" s="12" t="s">
        <v>205</v>
      </c>
    </row>
    <row r="32" ht="15.75" customHeight="1">
      <c r="C32" s="131"/>
    </row>
    <row r="33" ht="15.75" customHeight="1">
      <c r="C33" s="131"/>
      <c r="G33" s="12" t="s">
        <v>141</v>
      </c>
      <c r="H33" s="12" t="s">
        <v>142</v>
      </c>
      <c r="I33" s="12" t="s">
        <v>143</v>
      </c>
    </row>
    <row r="34" ht="15.75" customHeight="1">
      <c r="C34" s="131"/>
      <c r="G34" s="12" t="s">
        <v>148</v>
      </c>
      <c r="H34" s="12" t="s">
        <v>149</v>
      </c>
      <c r="I34" s="12" t="s">
        <v>150</v>
      </c>
    </row>
    <row r="35" ht="15.75" customHeight="1">
      <c r="C35" s="131"/>
      <c r="G35" s="12" t="s">
        <v>153</v>
      </c>
      <c r="H35" s="12" t="s">
        <v>154</v>
      </c>
      <c r="I35" s="12" t="s">
        <v>155</v>
      </c>
    </row>
    <row r="36" ht="15.75" customHeight="1">
      <c r="C36" s="131"/>
      <c r="G36" s="12" t="s">
        <v>162</v>
      </c>
      <c r="H36" s="12" t="s">
        <v>163</v>
      </c>
      <c r="I36" s="12" t="s">
        <v>164</v>
      </c>
    </row>
    <row r="37" ht="15.75" customHeight="1">
      <c r="C37" s="131"/>
      <c r="G37" s="12" t="s">
        <v>167</v>
      </c>
      <c r="H37" s="12" t="s">
        <v>168</v>
      </c>
      <c r="I37" s="12" t="s">
        <v>169</v>
      </c>
    </row>
    <row r="38" ht="15.75" customHeight="1">
      <c r="C38" s="131"/>
      <c r="G38" s="12" t="s">
        <v>172</v>
      </c>
      <c r="H38" s="12" t="s">
        <v>173</v>
      </c>
      <c r="I38" s="12" t="s">
        <v>174</v>
      </c>
    </row>
    <row r="39" ht="15.75" customHeight="1">
      <c r="C39" s="131"/>
      <c r="G39" s="12" t="s">
        <v>177</v>
      </c>
      <c r="H39" s="12" t="s">
        <v>178</v>
      </c>
      <c r="I39" s="12" t="s">
        <v>179</v>
      </c>
    </row>
    <row r="40" ht="15.75" customHeight="1">
      <c r="C40" s="131"/>
      <c r="G40" s="12" t="s">
        <v>182</v>
      </c>
      <c r="H40" s="12" t="s">
        <v>183</v>
      </c>
      <c r="I40" s="12" t="s">
        <v>184</v>
      </c>
    </row>
    <row r="41" ht="15.75" customHeight="1">
      <c r="C41" s="131"/>
      <c r="G41" s="12" t="s">
        <v>187</v>
      </c>
      <c r="H41" s="12" t="s">
        <v>188</v>
      </c>
      <c r="I41" s="12" t="s">
        <v>189</v>
      </c>
    </row>
    <row r="42" ht="15.75" customHeight="1">
      <c r="C42" s="131"/>
      <c r="G42" s="12" t="s">
        <v>192</v>
      </c>
      <c r="H42" s="12" t="s">
        <v>193</v>
      </c>
      <c r="I42" s="12" t="s">
        <v>194</v>
      </c>
    </row>
    <row r="43" ht="15.75" customHeight="1">
      <c r="C43" s="131"/>
      <c r="G43" s="12" t="s">
        <v>197</v>
      </c>
      <c r="H43" s="12" t="s">
        <v>198</v>
      </c>
      <c r="I43" s="12" t="s">
        <v>199</v>
      </c>
    </row>
    <row r="44" ht="15.75" customHeight="1">
      <c r="C44" s="131"/>
      <c r="G44" s="12" t="s">
        <v>202</v>
      </c>
      <c r="H44" s="12" t="s">
        <v>203</v>
      </c>
      <c r="I44" s="12" t="s">
        <v>204</v>
      </c>
    </row>
    <row r="45" ht="15.75" customHeight="1">
      <c r="C45" s="131"/>
    </row>
    <row r="46" ht="15.75" customHeight="1">
      <c r="C46" s="131"/>
    </row>
    <row r="47" ht="15.75" customHeight="1">
      <c r="C47" s="131"/>
      <c r="F47" s="12" t="s">
        <v>10</v>
      </c>
      <c r="G47" s="12" t="s">
        <v>216</v>
      </c>
      <c r="H47" s="12" t="s">
        <v>217</v>
      </c>
      <c r="I47" s="12" t="s">
        <v>34</v>
      </c>
    </row>
    <row r="48" ht="15.75" customHeight="1">
      <c r="C48" s="131"/>
      <c r="F48" s="12" t="s">
        <v>16</v>
      </c>
      <c r="G48" s="12" t="s">
        <v>218</v>
      </c>
      <c r="H48" s="12" t="s">
        <v>219</v>
      </c>
      <c r="I48" s="12" t="s">
        <v>35</v>
      </c>
    </row>
    <row r="49" ht="15.75" customHeight="1">
      <c r="C49" s="131"/>
      <c r="F49" s="12" t="s">
        <v>12</v>
      </c>
      <c r="G49" s="12" t="s">
        <v>220</v>
      </c>
      <c r="H49" s="12" t="s">
        <v>221</v>
      </c>
      <c r="I49" s="12" t="s">
        <v>36</v>
      </c>
    </row>
    <row r="50" ht="15.75" customHeight="1">
      <c r="C50" s="131"/>
      <c r="F50" s="12" t="s">
        <v>17</v>
      </c>
      <c r="G50" s="12" t="s">
        <v>222</v>
      </c>
      <c r="H50" s="12" t="s">
        <v>223</v>
      </c>
      <c r="I50" s="12" t="s">
        <v>37</v>
      </c>
    </row>
    <row r="51" ht="15.75" customHeight="1">
      <c r="C51" s="131"/>
      <c r="F51" s="12" t="s">
        <v>18</v>
      </c>
      <c r="G51" s="12" t="s">
        <v>224</v>
      </c>
      <c r="H51" s="12" t="s">
        <v>225</v>
      </c>
      <c r="I51" s="12" t="s">
        <v>38</v>
      </c>
    </row>
    <row r="52" ht="15.75" customHeight="1">
      <c r="C52" s="131"/>
      <c r="F52" s="12" t="s">
        <v>9</v>
      </c>
      <c r="G52" s="12" t="s">
        <v>226</v>
      </c>
      <c r="H52" s="12" t="s">
        <v>227</v>
      </c>
      <c r="I52" s="12" t="s">
        <v>39</v>
      </c>
    </row>
    <row r="53" ht="15.75" customHeight="1">
      <c r="C53" s="131"/>
      <c r="F53" s="12" t="s">
        <v>19</v>
      </c>
      <c r="G53" s="12" t="s">
        <v>228</v>
      </c>
      <c r="H53" s="12" t="s">
        <v>229</v>
      </c>
      <c r="I53" s="12" t="s">
        <v>230</v>
      </c>
    </row>
    <row r="54" ht="15.75" customHeight="1">
      <c r="C54" s="131"/>
      <c r="F54" s="12" t="s">
        <v>20</v>
      </c>
      <c r="G54" s="12" t="s">
        <v>231</v>
      </c>
      <c r="H54" s="12" t="s">
        <v>232</v>
      </c>
      <c r="I54" s="12" t="s">
        <v>41</v>
      </c>
    </row>
    <row r="55" ht="15.75" customHeight="1">
      <c r="C55" s="131"/>
      <c r="F55" s="12" t="s">
        <v>21</v>
      </c>
      <c r="G55" s="12" t="s">
        <v>233</v>
      </c>
      <c r="H55" s="12" t="s">
        <v>234</v>
      </c>
      <c r="I55" s="12" t="s">
        <v>42</v>
      </c>
    </row>
    <row r="56" ht="15.75" customHeight="1">
      <c r="C56" s="131"/>
      <c r="F56" s="12" t="s">
        <v>22</v>
      </c>
      <c r="G56" s="12" t="s">
        <v>235</v>
      </c>
      <c r="H56" s="12" t="s">
        <v>236</v>
      </c>
      <c r="I56" s="12" t="s">
        <v>43</v>
      </c>
    </row>
    <row r="57" ht="15.75" customHeight="1">
      <c r="C57" s="131"/>
      <c r="F57" s="12" t="s">
        <v>23</v>
      </c>
      <c r="G57" s="12" t="s">
        <v>237</v>
      </c>
      <c r="H57" s="12" t="s">
        <v>238</v>
      </c>
      <c r="I57" s="12" t="s">
        <v>44</v>
      </c>
    </row>
    <row r="58" ht="15.75" customHeight="1">
      <c r="C58" s="131"/>
      <c r="F58" s="12" t="s">
        <v>24</v>
      </c>
      <c r="G58" s="12" t="s">
        <v>239</v>
      </c>
      <c r="H58" s="12" t="s">
        <v>240</v>
      </c>
      <c r="I58" s="12" t="s">
        <v>45</v>
      </c>
    </row>
    <row r="59" ht="15.75" customHeight="1">
      <c r="C59" s="131"/>
    </row>
    <row r="60" ht="15.75" customHeight="1">
      <c r="C60" s="131"/>
    </row>
    <row r="61" ht="15.75" customHeight="1">
      <c r="C61" s="131"/>
    </row>
    <row r="62" ht="15.75" customHeight="1">
      <c r="C62" s="131"/>
    </row>
    <row r="63" ht="15.75" customHeight="1">
      <c r="C63" s="131"/>
    </row>
    <row r="64" ht="15.75" customHeight="1">
      <c r="C64" s="131"/>
    </row>
    <row r="65" ht="15.75" customHeight="1">
      <c r="C65" s="131"/>
    </row>
    <row r="66" ht="15.75" customHeight="1">
      <c r="C66" s="131"/>
    </row>
    <row r="67" ht="15.75" customHeight="1">
      <c r="C67" s="131"/>
    </row>
    <row r="68" ht="15.75" customHeight="1">
      <c r="C68" s="131"/>
    </row>
    <row r="69" ht="15.75" customHeight="1">
      <c r="C69" s="131"/>
    </row>
    <row r="70" ht="15.75" customHeight="1">
      <c r="C70" s="131"/>
    </row>
    <row r="71" ht="15.75" customHeight="1">
      <c r="C71" s="131"/>
    </row>
    <row r="72" ht="15.75" customHeight="1">
      <c r="C72" s="131"/>
    </row>
    <row r="73" ht="15.75" customHeight="1">
      <c r="C73" s="131"/>
    </row>
    <row r="74" ht="15.75" customHeight="1">
      <c r="C74" s="131"/>
    </row>
    <row r="75" ht="15.75" customHeight="1">
      <c r="C75" s="131"/>
    </row>
    <row r="76" ht="15.75" customHeight="1">
      <c r="C76" s="131"/>
    </row>
    <row r="77" ht="15.75" customHeight="1">
      <c r="C77" s="131"/>
    </row>
    <row r="78" ht="15.75" customHeight="1">
      <c r="C78" s="131"/>
    </row>
    <row r="79" ht="15.75" customHeight="1">
      <c r="C79" s="131"/>
    </row>
    <row r="80" ht="15.75" customHeight="1">
      <c r="C80" s="131"/>
    </row>
    <row r="81" ht="15.75" customHeight="1">
      <c r="C81" s="131"/>
    </row>
    <row r="82" ht="15.75" customHeight="1">
      <c r="C82" s="131"/>
    </row>
    <row r="83" ht="15.75" customHeight="1">
      <c r="C83" s="131"/>
    </row>
    <row r="84" ht="15.75" customHeight="1">
      <c r="C84" s="131"/>
    </row>
    <row r="85" ht="15.75" customHeight="1">
      <c r="C85" s="131"/>
    </row>
    <row r="86" ht="15.75" customHeight="1">
      <c r="C86" s="131"/>
    </row>
    <row r="87" ht="15.75" customHeight="1">
      <c r="C87" s="131"/>
    </row>
    <row r="88" ht="15.75" customHeight="1">
      <c r="C88" s="131"/>
    </row>
    <row r="89" ht="15.75" customHeight="1">
      <c r="C89" s="131"/>
    </row>
    <row r="90" ht="15.75" customHeight="1">
      <c r="C90" s="131"/>
    </row>
    <row r="91" ht="15.75" customHeight="1">
      <c r="C91" s="131"/>
    </row>
    <row r="92" ht="15.75" customHeight="1">
      <c r="C92" s="131"/>
    </row>
    <row r="93" ht="15.75" customHeight="1">
      <c r="C93" s="131"/>
    </row>
    <row r="94" ht="15.75" customHeight="1">
      <c r="C94" s="131"/>
    </row>
    <row r="95" ht="15.75" customHeight="1">
      <c r="C95" s="131"/>
    </row>
    <row r="96" ht="15.75" customHeight="1">
      <c r="C96" s="131"/>
    </row>
    <row r="97" ht="15.75" customHeight="1">
      <c r="C97" s="131"/>
    </row>
    <row r="98" ht="15.75" customHeight="1">
      <c r="C98" s="131"/>
    </row>
    <row r="99" ht="15.75" customHeight="1">
      <c r="C99" s="131"/>
    </row>
    <row r="100" ht="15.75" customHeight="1">
      <c r="C100" s="131"/>
    </row>
    <row r="101" ht="15.75" customHeight="1">
      <c r="C101" s="131"/>
    </row>
    <row r="102" ht="15.75" customHeight="1">
      <c r="C102" s="131"/>
    </row>
    <row r="103" ht="15.75" customHeight="1">
      <c r="C103" s="131"/>
    </row>
    <row r="104" ht="15.75" customHeight="1">
      <c r="C104" s="131"/>
    </row>
    <row r="105" ht="15.75" customHeight="1">
      <c r="C105" s="131"/>
    </row>
    <row r="106" ht="15.75" customHeight="1">
      <c r="C106" s="131"/>
    </row>
    <row r="107" ht="15.75" customHeight="1">
      <c r="C107" s="131"/>
    </row>
    <row r="108" ht="15.75" customHeight="1">
      <c r="C108" s="131"/>
    </row>
    <row r="109" ht="15.75" customHeight="1">
      <c r="C109" s="131"/>
    </row>
    <row r="110" ht="15.75" customHeight="1">
      <c r="C110" s="131"/>
    </row>
    <row r="111" ht="15.75" customHeight="1">
      <c r="C111" s="131"/>
    </row>
    <row r="112" ht="15.75" customHeight="1">
      <c r="C112" s="131"/>
    </row>
    <row r="113" ht="15.75" customHeight="1">
      <c r="C113" s="131"/>
    </row>
    <row r="114" ht="15.75" customHeight="1">
      <c r="C114" s="131"/>
    </row>
    <row r="115" ht="15.75" customHeight="1">
      <c r="C115" s="131"/>
    </row>
    <row r="116" ht="15.75" customHeight="1">
      <c r="C116" s="131"/>
    </row>
    <row r="117" ht="15.75" customHeight="1">
      <c r="C117" s="131"/>
    </row>
    <row r="118" ht="15.75" customHeight="1">
      <c r="C118" s="131"/>
    </row>
    <row r="119" ht="15.75" customHeight="1">
      <c r="C119" s="131"/>
    </row>
    <row r="120" ht="15.75" customHeight="1">
      <c r="C120" s="131"/>
    </row>
    <row r="121" ht="15.75" customHeight="1">
      <c r="C121" s="131"/>
    </row>
    <row r="122" ht="15.75" customHeight="1">
      <c r="C122" s="131"/>
    </row>
    <row r="123" ht="15.75" customHeight="1">
      <c r="C123" s="131"/>
    </row>
    <row r="124" ht="15.75" customHeight="1">
      <c r="C124" s="131"/>
    </row>
    <row r="125" ht="15.75" customHeight="1">
      <c r="C125" s="131"/>
    </row>
    <row r="126" ht="15.75" customHeight="1">
      <c r="C126" s="131"/>
    </row>
    <row r="127" ht="15.75" customHeight="1">
      <c r="C127" s="131"/>
    </row>
    <row r="128" ht="15.75" customHeight="1">
      <c r="C128" s="131"/>
    </row>
    <row r="129" ht="15.75" customHeight="1">
      <c r="C129" s="131"/>
    </row>
    <row r="130" ht="15.75" customHeight="1">
      <c r="C130" s="131"/>
    </row>
    <row r="131" ht="15.75" customHeight="1">
      <c r="C131" s="131"/>
    </row>
    <row r="132" ht="15.75" customHeight="1">
      <c r="C132" s="131"/>
    </row>
    <row r="133" ht="15.75" customHeight="1">
      <c r="C133" s="131"/>
    </row>
    <row r="134" ht="15.75" customHeight="1">
      <c r="C134" s="131"/>
    </row>
    <row r="135" ht="15.75" customHeight="1">
      <c r="C135" s="131"/>
    </row>
    <row r="136" ht="15.75" customHeight="1">
      <c r="C136" s="131"/>
    </row>
    <row r="137" ht="15.75" customHeight="1">
      <c r="C137" s="131"/>
    </row>
    <row r="138" ht="15.75" customHeight="1">
      <c r="C138" s="131"/>
    </row>
    <row r="139" ht="15.75" customHeight="1">
      <c r="C139" s="131"/>
    </row>
    <row r="140" ht="15.75" customHeight="1">
      <c r="C140" s="131"/>
    </row>
    <row r="141" ht="15.75" customHeight="1">
      <c r="C141" s="131"/>
    </row>
    <row r="142" ht="15.75" customHeight="1">
      <c r="C142" s="131"/>
    </row>
    <row r="143" ht="15.75" customHeight="1">
      <c r="C143" s="131"/>
    </row>
    <row r="144" ht="15.75" customHeight="1">
      <c r="C144" s="131"/>
    </row>
    <row r="145" ht="15.75" customHeight="1">
      <c r="C145" s="131"/>
    </row>
    <row r="146" ht="15.75" customHeight="1">
      <c r="C146" s="131"/>
    </row>
    <row r="147" ht="15.75" customHeight="1">
      <c r="C147" s="131"/>
    </row>
    <row r="148" ht="15.75" customHeight="1">
      <c r="C148" s="131"/>
    </row>
    <row r="149" ht="15.75" customHeight="1">
      <c r="C149" s="131"/>
    </row>
    <row r="150" ht="15.75" customHeight="1">
      <c r="C150" s="131"/>
    </row>
    <row r="151" ht="15.75" customHeight="1">
      <c r="C151" s="131"/>
    </row>
    <row r="152" ht="15.75" customHeight="1">
      <c r="C152" s="131"/>
    </row>
    <row r="153" ht="15.75" customHeight="1">
      <c r="C153" s="131"/>
    </row>
    <row r="154" ht="15.75" customHeight="1">
      <c r="C154" s="131"/>
    </row>
    <row r="155" ht="15.75" customHeight="1">
      <c r="C155" s="131"/>
    </row>
    <row r="156" ht="15.75" customHeight="1">
      <c r="C156" s="131"/>
    </row>
    <row r="157" ht="15.75" customHeight="1">
      <c r="C157" s="131"/>
    </row>
    <row r="158" ht="15.75" customHeight="1">
      <c r="C158" s="131"/>
    </row>
    <row r="159" ht="15.75" customHeight="1">
      <c r="C159" s="131"/>
    </row>
    <row r="160" ht="15.75" customHeight="1">
      <c r="C160" s="131"/>
    </row>
    <row r="161" ht="15.75" customHeight="1">
      <c r="C161" s="131"/>
    </row>
    <row r="162" ht="15.75" customHeight="1">
      <c r="C162" s="131"/>
    </row>
    <row r="163" ht="15.75" customHeight="1">
      <c r="C163" s="131"/>
    </row>
    <row r="164" ht="15.75" customHeight="1">
      <c r="C164" s="131"/>
    </row>
    <row r="165" ht="15.75" customHeight="1">
      <c r="C165" s="131"/>
    </row>
    <row r="166" ht="15.75" customHeight="1">
      <c r="C166" s="131"/>
    </row>
    <row r="167" ht="15.75" customHeight="1">
      <c r="C167" s="131"/>
    </row>
    <row r="168" ht="15.75" customHeight="1">
      <c r="C168" s="131"/>
    </row>
    <row r="169" ht="15.75" customHeight="1">
      <c r="C169" s="131"/>
    </row>
    <row r="170" ht="15.75" customHeight="1">
      <c r="C170" s="131"/>
    </row>
    <row r="171" ht="15.75" customHeight="1">
      <c r="C171" s="131"/>
    </row>
    <row r="172" ht="15.75" customHeight="1">
      <c r="C172" s="131"/>
    </row>
    <row r="173" ht="15.75" customHeight="1">
      <c r="C173" s="131"/>
    </row>
    <row r="174" ht="15.75" customHeight="1">
      <c r="C174" s="131"/>
    </row>
    <row r="175" ht="15.75" customHeight="1">
      <c r="C175" s="131"/>
    </row>
    <row r="176" ht="15.75" customHeight="1">
      <c r="C176" s="131"/>
    </row>
    <row r="177" ht="15.75" customHeight="1">
      <c r="C177" s="131"/>
    </row>
    <row r="178" ht="15.75" customHeight="1">
      <c r="C178" s="131"/>
    </row>
    <row r="179" ht="15.75" customHeight="1">
      <c r="C179" s="131"/>
    </row>
    <row r="180" ht="15.75" customHeight="1">
      <c r="C180" s="131"/>
    </row>
    <row r="181" ht="15.75" customHeight="1">
      <c r="C181" s="131"/>
    </row>
    <row r="182" ht="15.75" customHeight="1">
      <c r="C182" s="131"/>
    </row>
    <row r="183" ht="15.75" customHeight="1">
      <c r="C183" s="131"/>
    </row>
    <row r="184" ht="15.75" customHeight="1">
      <c r="C184" s="131"/>
    </row>
    <row r="185" ht="15.75" customHeight="1">
      <c r="C185" s="131"/>
    </row>
    <row r="186" ht="15.75" customHeight="1">
      <c r="C186" s="131"/>
    </row>
    <row r="187" ht="15.75" customHeight="1">
      <c r="C187" s="131"/>
    </row>
    <row r="188" ht="15.75" customHeight="1">
      <c r="C188" s="131"/>
    </row>
    <row r="189" ht="15.75" customHeight="1">
      <c r="C189" s="131"/>
    </row>
    <row r="190" ht="15.75" customHeight="1">
      <c r="C190" s="131"/>
    </row>
    <row r="191" ht="15.75" customHeight="1">
      <c r="C191" s="131"/>
    </row>
    <row r="192" ht="15.75" customHeight="1">
      <c r="C192" s="131"/>
    </row>
    <row r="193" ht="15.75" customHeight="1">
      <c r="C193" s="131"/>
    </row>
    <row r="194" ht="15.75" customHeight="1">
      <c r="C194" s="131"/>
    </row>
    <row r="195" ht="15.75" customHeight="1">
      <c r="C195" s="131"/>
    </row>
    <row r="196" ht="15.75" customHeight="1">
      <c r="C196" s="131"/>
    </row>
    <row r="197" ht="15.75" customHeight="1">
      <c r="C197" s="131"/>
    </row>
    <row r="198" ht="15.75" customHeight="1">
      <c r="C198" s="131"/>
    </row>
    <row r="199" ht="15.75" customHeight="1">
      <c r="C199" s="131"/>
    </row>
    <row r="200" ht="15.75" customHeight="1">
      <c r="C200" s="131"/>
    </row>
    <row r="201" ht="15.75" customHeight="1">
      <c r="C201" s="131"/>
    </row>
    <row r="202" ht="15.75" customHeight="1">
      <c r="C202" s="131"/>
    </row>
    <row r="203" ht="15.75" customHeight="1">
      <c r="C203" s="131"/>
    </row>
    <row r="204" ht="15.75" customHeight="1">
      <c r="C204" s="131"/>
    </row>
    <row r="205" ht="15.75" customHeight="1">
      <c r="C205" s="131"/>
    </row>
    <row r="206" ht="15.75" customHeight="1">
      <c r="C206" s="131"/>
    </row>
    <row r="207" ht="15.75" customHeight="1">
      <c r="C207" s="131"/>
    </row>
    <row r="208" ht="15.75" customHeight="1">
      <c r="C208" s="131"/>
    </row>
    <row r="209" ht="15.75" customHeight="1">
      <c r="C209" s="131"/>
    </row>
    <row r="210" ht="15.75" customHeight="1">
      <c r="C210" s="131"/>
    </row>
    <row r="211" ht="15.75" customHeight="1">
      <c r="C211" s="131"/>
    </row>
    <row r="212" ht="15.75" customHeight="1">
      <c r="C212" s="131"/>
    </row>
    <row r="213" ht="15.75" customHeight="1">
      <c r="C213" s="131"/>
    </row>
    <row r="214" ht="15.75" customHeight="1">
      <c r="C214" s="131"/>
    </row>
    <row r="215" ht="15.75" customHeight="1">
      <c r="C215" s="131"/>
    </row>
    <row r="216" ht="15.75" customHeight="1">
      <c r="C216" s="131"/>
    </row>
    <row r="217" ht="15.75" customHeight="1">
      <c r="C217" s="131"/>
    </row>
    <row r="218" ht="15.75" customHeight="1">
      <c r="C218" s="131"/>
    </row>
    <row r="219" ht="15.75" customHeight="1">
      <c r="C219" s="131"/>
    </row>
    <row r="220" ht="15.75" customHeight="1">
      <c r="C220" s="131"/>
    </row>
    <row r="221" ht="15.75" customHeight="1">
      <c r="C221" s="131"/>
    </row>
    <row r="222" ht="15.75" customHeight="1">
      <c r="C222" s="131"/>
    </row>
    <row r="223" ht="15.75" customHeight="1">
      <c r="C223" s="131"/>
    </row>
    <row r="224" ht="15.75" customHeight="1">
      <c r="C224" s="131"/>
    </row>
    <row r="225" ht="15.75" customHeight="1">
      <c r="C225" s="131"/>
    </row>
    <row r="226" ht="15.75" customHeight="1">
      <c r="C226" s="131"/>
    </row>
    <row r="227" ht="15.75" customHeight="1">
      <c r="C227" s="131"/>
    </row>
    <row r="228" ht="15.75" customHeight="1">
      <c r="C228" s="131"/>
    </row>
    <row r="229" ht="15.75" customHeight="1">
      <c r="C229" s="131"/>
    </row>
    <row r="230" ht="15.75" customHeight="1">
      <c r="C230" s="131"/>
    </row>
    <row r="231" ht="15.75" customHeight="1">
      <c r="C231" s="131"/>
    </row>
    <row r="232" ht="15.75" customHeight="1">
      <c r="C232" s="131"/>
    </row>
    <row r="233" ht="15.75" customHeight="1">
      <c r="C233" s="131"/>
    </row>
    <row r="234" ht="15.75" customHeight="1">
      <c r="C234" s="131"/>
    </row>
    <row r="235" ht="15.75" customHeight="1">
      <c r="C235" s="131"/>
    </row>
    <row r="236" ht="15.75" customHeight="1">
      <c r="C236" s="131"/>
    </row>
    <row r="237" ht="15.75" customHeight="1">
      <c r="C237" s="131"/>
    </row>
    <row r="238" ht="15.75" customHeight="1">
      <c r="C238" s="131"/>
    </row>
    <row r="239" ht="15.75" customHeight="1">
      <c r="C239" s="131"/>
    </row>
    <row r="240" ht="15.75" customHeight="1">
      <c r="C240" s="131"/>
    </row>
    <row r="241" ht="15.75" customHeight="1">
      <c r="C241" s="131"/>
    </row>
    <row r="242" ht="15.75" customHeight="1">
      <c r="C242" s="131"/>
    </row>
    <row r="243" ht="15.75" customHeight="1">
      <c r="C243" s="131"/>
    </row>
    <row r="244" ht="15.75" customHeight="1">
      <c r="C244" s="131"/>
    </row>
    <row r="245" ht="15.75" customHeight="1">
      <c r="C245" s="131"/>
    </row>
    <row r="246" ht="15.75" customHeight="1">
      <c r="C246" s="131"/>
    </row>
    <row r="247" ht="15.75" customHeight="1">
      <c r="C247" s="131"/>
    </row>
    <row r="248" ht="15.75" customHeight="1">
      <c r="C248" s="131"/>
    </row>
    <row r="249" ht="15.75" customHeight="1">
      <c r="C249" s="131"/>
    </row>
    <row r="250" ht="15.75" customHeight="1">
      <c r="C250" s="131"/>
    </row>
    <row r="251" ht="15.75" customHeight="1">
      <c r="C251" s="131"/>
    </row>
    <row r="252" ht="15.75" customHeight="1">
      <c r="C252" s="131"/>
    </row>
    <row r="253" ht="15.75" customHeight="1">
      <c r="C253" s="131"/>
    </row>
    <row r="254" ht="15.75" customHeight="1">
      <c r="C254" s="131"/>
    </row>
    <row r="255" ht="15.75" customHeight="1">
      <c r="C255" s="131"/>
    </row>
    <row r="256" ht="15.75" customHeight="1">
      <c r="C256" s="131"/>
    </row>
    <row r="257" ht="15.75" customHeight="1">
      <c r="C257" s="131"/>
    </row>
    <row r="258" ht="15.75" customHeight="1">
      <c r="C258" s="13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7.5"/>
    <col customWidth="1" min="3" max="3" width="12.13"/>
    <col customWidth="1" min="4" max="4" width="2.88"/>
    <col customWidth="1" min="5" max="5" width="13.0"/>
    <col customWidth="1" min="6" max="6" width="9.5"/>
    <col customWidth="1" min="7" max="8" width="5.88"/>
    <col customWidth="1" min="9" max="9" width="17.63"/>
    <col customWidth="1" min="10" max="10" width="9.63"/>
    <col customWidth="1" min="11" max="11" width="13.38"/>
    <col customWidth="1" min="12" max="12" width="13.13"/>
    <col customWidth="1" min="13" max="13" width="5.38"/>
    <col customWidth="1" min="14" max="14" width="3.88"/>
    <col customWidth="1" min="15" max="15" width="31.0"/>
    <col customWidth="1" min="16" max="16" width="17.63"/>
    <col customWidth="1" min="17" max="17" width="23.75"/>
  </cols>
  <sheetData>
    <row r="1" ht="15.75" customHeight="1">
      <c r="A1" s="49" t="str">
        <f>IFERROR(__xludf.DUMMYFUNCTION("IMPORTRANGE(""1lUMxYVcEVNKpOa1tumnMmCE101pUTdKVkp0E_m8xIqk"",""Menus!A1:Z"")"),"#REF!")</f>
        <v>#REF!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39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3" width="7.75"/>
    <col customWidth="1" min="24" max="25" width="10.0"/>
    <col customWidth="1" min="26" max="26" width="9.0"/>
    <col customWidth="1" min="27" max="27" width="8.63"/>
    <col customWidth="1" min="28" max="29" width="4.38"/>
    <col customWidth="1" min="30" max="30" width="10.88"/>
    <col customWidth="1" min="31" max="31" width="9.63"/>
    <col customWidth="1" min="32" max="32" width="4.75"/>
    <col customWidth="1" min="33" max="33" width="1.5"/>
    <col customWidth="1" min="34" max="34" width="5.25"/>
    <col customWidth="1" min="35" max="35" width="5.13"/>
    <col customWidth="1" min="36" max="36" width="19.63"/>
    <col customWidth="1" min="37" max="37" width="15.13"/>
    <col customWidth="1" min="38" max="38" width="6.75"/>
    <col customWidth="1" min="39" max="39" width="2.5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</row>
    <row r="2" ht="15.75" customHeight="1">
      <c r="A2" s="137" t="s">
        <v>30</v>
      </c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</row>
    <row r="3" ht="15.75" customHeight="1">
      <c r="A3" s="137" t="s">
        <v>241</v>
      </c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</row>
    <row r="4" ht="15.75" customHeight="1">
      <c r="A4" s="137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</row>
    <row r="5" ht="15.75" customHeight="1">
      <c r="A5" s="136"/>
      <c r="B5" s="138">
        <v>1.0</v>
      </c>
      <c r="C5" s="138">
        <v>2.0</v>
      </c>
      <c r="D5" s="138">
        <v>3.0</v>
      </c>
      <c r="E5" s="138">
        <v>4.0</v>
      </c>
      <c r="F5" s="138">
        <v>5.0</v>
      </c>
      <c r="G5" s="138">
        <v>6.0</v>
      </c>
      <c r="H5" s="138">
        <v>7.0</v>
      </c>
      <c r="I5" s="138">
        <v>8.0</v>
      </c>
      <c r="J5" s="138">
        <v>9.0</v>
      </c>
      <c r="K5" s="138">
        <v>10.0</v>
      </c>
      <c r="L5" s="138">
        <v>11.0</v>
      </c>
      <c r="M5" s="138">
        <v>12.0</v>
      </c>
      <c r="N5" s="138">
        <v>13.0</v>
      </c>
      <c r="O5" s="138">
        <v>14.0</v>
      </c>
      <c r="P5" s="138">
        <v>15.0</v>
      </c>
      <c r="Q5" s="138">
        <v>16.0</v>
      </c>
      <c r="R5" s="138">
        <v>17.0</v>
      </c>
      <c r="S5" s="138">
        <v>18.0</v>
      </c>
      <c r="T5" s="138">
        <v>19.0</v>
      </c>
      <c r="U5" s="138">
        <v>20.0</v>
      </c>
      <c r="V5" s="138">
        <v>21.0</v>
      </c>
      <c r="W5" s="138">
        <v>22.0</v>
      </c>
      <c r="X5" s="138">
        <v>24.0</v>
      </c>
      <c r="Y5" s="138">
        <v>25.0</v>
      </c>
      <c r="Z5" s="136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</row>
    <row r="6" ht="15.75" customHeight="1">
      <c r="A6" s="137" t="s">
        <v>242</v>
      </c>
      <c r="B6" s="137" t="s">
        <v>100</v>
      </c>
      <c r="C6" s="137" t="s">
        <v>11</v>
      </c>
      <c r="D6" s="137" t="s">
        <v>243</v>
      </c>
      <c r="E6" s="137" t="s">
        <v>244</v>
      </c>
      <c r="F6" s="137" t="s">
        <v>2</v>
      </c>
      <c r="G6" s="137" t="s">
        <v>245</v>
      </c>
      <c r="H6" s="137" t="s">
        <v>107</v>
      </c>
      <c r="I6" s="137" t="s">
        <v>246</v>
      </c>
      <c r="J6" s="137" t="s">
        <v>247</v>
      </c>
      <c r="K6" s="137" t="s">
        <v>129</v>
      </c>
      <c r="L6" s="137" t="s">
        <v>110</v>
      </c>
      <c r="M6" s="137" t="s">
        <v>248</v>
      </c>
      <c r="N6" s="137" t="s">
        <v>249</v>
      </c>
      <c r="O6" s="137" t="s">
        <v>117</v>
      </c>
      <c r="P6" s="137" t="s">
        <v>250</v>
      </c>
      <c r="Q6" s="137" t="s">
        <v>118</v>
      </c>
      <c r="R6" s="137" t="s">
        <v>119</v>
      </c>
      <c r="S6" s="137" t="s">
        <v>251</v>
      </c>
      <c r="T6" s="137" t="s">
        <v>122</v>
      </c>
      <c r="U6" s="137" t="s">
        <v>127</v>
      </c>
      <c r="V6" s="137" t="s">
        <v>124</v>
      </c>
      <c r="W6" s="137" t="s">
        <v>125</v>
      </c>
      <c r="X6" s="137" t="s">
        <v>252</v>
      </c>
      <c r="Y6" s="137" t="s">
        <v>29</v>
      </c>
      <c r="Z6" s="137" t="s">
        <v>25</v>
      </c>
      <c r="AA6" s="137" t="s">
        <v>46</v>
      </c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</row>
    <row r="7" ht="15.75" customHeight="1">
      <c r="A7" s="139"/>
      <c r="B7" s="140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</row>
    <row r="8" ht="15.75" customHeight="1">
      <c r="A8" s="139" t="s">
        <v>253</v>
      </c>
      <c r="B8" s="141">
        <v>226972.41</v>
      </c>
      <c r="C8" s="141">
        <v>29653.45</v>
      </c>
      <c r="D8" s="141">
        <v>32496.55</v>
      </c>
      <c r="E8" s="141">
        <v>0.0</v>
      </c>
      <c r="F8" s="141">
        <v>27659.49</v>
      </c>
      <c r="G8" s="141">
        <v>108862.14</v>
      </c>
      <c r="H8" s="141">
        <v>82991.38</v>
      </c>
      <c r="I8" s="141">
        <v>41878.45</v>
      </c>
      <c r="J8" s="141">
        <v>1892870.67</v>
      </c>
      <c r="K8" s="141">
        <v>262794.83</v>
      </c>
      <c r="L8" s="141">
        <v>8655.17</v>
      </c>
      <c r="M8" s="141">
        <v>164875.86</v>
      </c>
      <c r="N8" s="141">
        <v>4788.79</v>
      </c>
      <c r="O8" s="141">
        <v>88570.68</v>
      </c>
      <c r="P8" s="141">
        <v>0.0</v>
      </c>
      <c r="Q8" s="141">
        <v>26618.1</v>
      </c>
      <c r="R8" s="141">
        <v>17551.74</v>
      </c>
      <c r="S8" s="141">
        <v>150303.87</v>
      </c>
      <c r="T8" s="141">
        <v>106343.97</v>
      </c>
      <c r="U8" s="141">
        <v>18594.83</v>
      </c>
      <c r="V8" s="141">
        <v>93750.0</v>
      </c>
      <c r="W8" s="141">
        <v>432505.17</v>
      </c>
      <c r="X8" s="139"/>
      <c r="Y8" s="139">
        <v>8674.0</v>
      </c>
      <c r="Z8" s="142">
        <f t="shared" ref="Z8:Z23" si="1">SUM(B8:Y8)</f>
        <v>3827411.55</v>
      </c>
      <c r="AA8" s="143">
        <v>0.5</v>
      </c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</row>
    <row r="9" ht="15.75" customHeight="1">
      <c r="A9" s="139" t="s">
        <v>254</v>
      </c>
      <c r="B9" s="141">
        <v>1538805.17</v>
      </c>
      <c r="C9" s="141">
        <v>0.0</v>
      </c>
      <c r="D9" s="141">
        <v>188586.21</v>
      </c>
      <c r="E9" s="141">
        <v>0.0</v>
      </c>
      <c r="F9" s="141">
        <v>16712.94</v>
      </c>
      <c r="G9" s="141">
        <v>121741.38</v>
      </c>
      <c r="H9" s="141">
        <v>170244.4</v>
      </c>
      <c r="I9" s="141">
        <v>0.0</v>
      </c>
      <c r="J9" s="141">
        <v>328568.99</v>
      </c>
      <c r="K9" s="141">
        <v>24103.44</v>
      </c>
      <c r="L9" s="141">
        <v>31560.35</v>
      </c>
      <c r="M9" s="141">
        <v>20468.98</v>
      </c>
      <c r="N9" s="141">
        <v>24500.0</v>
      </c>
      <c r="O9" s="141">
        <v>1724.14</v>
      </c>
      <c r="P9" s="141">
        <v>0.0</v>
      </c>
      <c r="Q9" s="141">
        <v>0.0</v>
      </c>
      <c r="R9" s="141">
        <v>71458.79</v>
      </c>
      <c r="S9" s="141">
        <v>750.0</v>
      </c>
      <c r="T9" s="141">
        <v>10750.0</v>
      </c>
      <c r="U9" s="141">
        <v>10741.37</v>
      </c>
      <c r="V9" s="141">
        <v>19124.0</v>
      </c>
      <c r="W9" s="141">
        <v>380550.0</v>
      </c>
      <c r="X9" s="139"/>
      <c r="Y9" s="139">
        <v>7700.0</v>
      </c>
      <c r="Z9" s="142">
        <f t="shared" si="1"/>
        <v>2968090.16</v>
      </c>
      <c r="AA9" s="143">
        <v>0.39</v>
      </c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</row>
    <row r="10" ht="15.75" customHeight="1">
      <c r="A10" s="139" t="s">
        <v>59</v>
      </c>
      <c r="B10" s="144">
        <v>200172.39</v>
      </c>
      <c r="C10" s="141">
        <v>0.0</v>
      </c>
      <c r="D10" s="141">
        <v>0.0</v>
      </c>
      <c r="E10" s="141">
        <v>0.0</v>
      </c>
      <c r="F10" s="141">
        <v>0.0</v>
      </c>
      <c r="G10" s="141">
        <v>5603.46</v>
      </c>
      <c r="H10" s="141">
        <v>0.0</v>
      </c>
      <c r="I10" s="141">
        <v>0.0</v>
      </c>
      <c r="J10" s="141">
        <v>0.0</v>
      </c>
      <c r="K10" s="141">
        <v>0.0</v>
      </c>
      <c r="L10" s="141">
        <v>0.0</v>
      </c>
      <c r="M10" s="141">
        <v>0.0</v>
      </c>
      <c r="N10" s="141">
        <v>0.0</v>
      </c>
      <c r="O10" s="141">
        <v>0.0</v>
      </c>
      <c r="P10" s="141">
        <v>0.0</v>
      </c>
      <c r="Q10" s="141">
        <v>39482.75</v>
      </c>
      <c r="R10" s="141">
        <v>3448.28</v>
      </c>
      <c r="S10" s="141">
        <v>0.0</v>
      </c>
      <c r="T10" s="141">
        <v>315689.66</v>
      </c>
      <c r="U10" s="141">
        <v>0.0</v>
      </c>
      <c r="V10" s="139"/>
      <c r="W10" s="141">
        <v>0.0</v>
      </c>
      <c r="X10" s="139"/>
      <c r="Y10" s="139"/>
      <c r="Z10" s="145">
        <f t="shared" si="1"/>
        <v>564396.54</v>
      </c>
      <c r="AA10" s="143">
        <v>0.07</v>
      </c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</row>
    <row r="11" ht="15.75" customHeight="1">
      <c r="A11" s="139" t="s">
        <v>255</v>
      </c>
      <c r="B11" s="141">
        <v>0.0</v>
      </c>
      <c r="C11" s="141">
        <v>0.0</v>
      </c>
      <c r="D11" s="141">
        <v>28784.48</v>
      </c>
      <c r="E11" s="141">
        <v>0.0</v>
      </c>
      <c r="F11" s="141">
        <v>0.0</v>
      </c>
      <c r="G11" s="141">
        <v>0.0</v>
      </c>
      <c r="H11" s="141">
        <v>0.0</v>
      </c>
      <c r="I11" s="141">
        <v>0.0</v>
      </c>
      <c r="J11" s="141">
        <v>0.0</v>
      </c>
      <c r="K11" s="141">
        <v>0.0</v>
      </c>
      <c r="L11" s="141">
        <v>0.0</v>
      </c>
      <c r="M11" s="141">
        <v>0.0</v>
      </c>
      <c r="N11" s="141">
        <v>0.0</v>
      </c>
      <c r="O11" s="141">
        <v>962.07</v>
      </c>
      <c r="P11" s="141">
        <v>0.0</v>
      </c>
      <c r="Q11" s="141">
        <v>0.0</v>
      </c>
      <c r="R11" s="141">
        <v>0.0</v>
      </c>
      <c r="S11" s="141">
        <v>0.0</v>
      </c>
      <c r="T11" s="141">
        <v>13520.76</v>
      </c>
      <c r="U11" s="141">
        <v>0.0</v>
      </c>
      <c r="V11" s="139"/>
      <c r="W11" s="141">
        <v>18881.03</v>
      </c>
      <c r="X11" s="139"/>
      <c r="Y11" s="139"/>
      <c r="Z11" s="142">
        <f t="shared" si="1"/>
        <v>62148.34</v>
      </c>
      <c r="AA11" s="143">
        <v>0.01</v>
      </c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</row>
    <row r="12" ht="15.75" customHeight="1">
      <c r="A12" s="139" t="s">
        <v>256</v>
      </c>
      <c r="B12" s="141">
        <v>0.0</v>
      </c>
      <c r="C12" s="141">
        <v>0.0</v>
      </c>
      <c r="D12" s="141">
        <v>0.0</v>
      </c>
      <c r="E12" s="141">
        <v>27603.0</v>
      </c>
      <c r="F12" s="141">
        <v>0.0</v>
      </c>
      <c r="G12" s="141">
        <v>0.0</v>
      </c>
      <c r="H12" s="141">
        <v>0.0</v>
      </c>
      <c r="I12" s="141">
        <v>0.0</v>
      </c>
      <c r="J12" s="141">
        <v>0.0</v>
      </c>
      <c r="K12" s="141">
        <v>2538.13</v>
      </c>
      <c r="L12" s="141">
        <v>0.0</v>
      </c>
      <c r="M12" s="141">
        <v>0.0</v>
      </c>
      <c r="N12" s="141">
        <v>0.0</v>
      </c>
      <c r="O12" s="141">
        <v>0.0</v>
      </c>
      <c r="P12" s="141">
        <v>0.0</v>
      </c>
      <c r="Q12" s="141">
        <v>0.0</v>
      </c>
      <c r="R12" s="141">
        <v>0.0</v>
      </c>
      <c r="S12" s="141">
        <v>0.0</v>
      </c>
      <c r="T12" s="141">
        <v>0.0</v>
      </c>
      <c r="U12" s="141">
        <v>0.0</v>
      </c>
      <c r="V12" s="141">
        <v>15000.0</v>
      </c>
      <c r="W12" s="141">
        <v>0.0</v>
      </c>
      <c r="X12" s="139"/>
      <c r="Y12" s="141">
        <v>2075.18</v>
      </c>
      <c r="Z12" s="142">
        <f t="shared" si="1"/>
        <v>47216.31</v>
      </c>
      <c r="AA12" s="143">
        <v>0.01</v>
      </c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</row>
    <row r="13" ht="15.75" customHeight="1">
      <c r="A13" s="139" t="s">
        <v>257</v>
      </c>
      <c r="B13" s="141">
        <v>0.0</v>
      </c>
      <c r="C13" s="141">
        <v>0.0</v>
      </c>
      <c r="D13" s="141">
        <v>0.0</v>
      </c>
      <c r="E13" s="141">
        <v>0.0</v>
      </c>
      <c r="F13" s="141">
        <v>0.0</v>
      </c>
      <c r="G13" s="141">
        <v>0.0</v>
      </c>
      <c r="H13" s="141">
        <v>1206.88</v>
      </c>
      <c r="I13" s="141">
        <v>0.0</v>
      </c>
      <c r="J13" s="141">
        <v>4396.55</v>
      </c>
      <c r="K13" s="141">
        <v>0.0</v>
      </c>
      <c r="L13" s="141">
        <v>0.0</v>
      </c>
      <c r="M13" s="141">
        <v>0.0</v>
      </c>
      <c r="N13" s="141">
        <v>0.0</v>
      </c>
      <c r="O13" s="141">
        <v>0.0</v>
      </c>
      <c r="P13" s="141">
        <v>0.0</v>
      </c>
      <c r="Q13" s="141">
        <v>0.0</v>
      </c>
      <c r="R13" s="141">
        <v>0.0</v>
      </c>
      <c r="S13" s="141">
        <v>0.0</v>
      </c>
      <c r="T13" s="141">
        <v>0.0</v>
      </c>
      <c r="U13" s="141">
        <v>0.0</v>
      </c>
      <c r="V13" s="139"/>
      <c r="W13" s="141">
        <v>0.0</v>
      </c>
      <c r="X13" s="139"/>
      <c r="Y13" s="139"/>
      <c r="Z13" s="142">
        <f t="shared" si="1"/>
        <v>5603.43</v>
      </c>
      <c r="AA13" s="143">
        <v>0.0</v>
      </c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</row>
    <row r="14" ht="15.75" customHeight="1">
      <c r="A14" s="139" t="s">
        <v>258</v>
      </c>
      <c r="B14" s="141">
        <v>775.86</v>
      </c>
      <c r="C14" s="141">
        <v>0.0</v>
      </c>
      <c r="D14" s="141">
        <v>0.0</v>
      </c>
      <c r="E14" s="141">
        <v>0.0</v>
      </c>
      <c r="F14" s="141">
        <v>0.0</v>
      </c>
      <c r="G14" s="141">
        <v>0.0</v>
      </c>
      <c r="H14" s="141">
        <v>0.0</v>
      </c>
      <c r="I14" s="141">
        <v>0.0</v>
      </c>
      <c r="J14" s="141">
        <v>2586.21</v>
      </c>
      <c r="K14" s="141">
        <v>0.0</v>
      </c>
      <c r="L14" s="141">
        <v>43.1</v>
      </c>
      <c r="M14" s="141">
        <v>129.31</v>
      </c>
      <c r="N14" s="141">
        <v>0.0</v>
      </c>
      <c r="O14" s="141">
        <v>0.0</v>
      </c>
      <c r="P14" s="141">
        <v>0.0</v>
      </c>
      <c r="Q14" s="141">
        <v>0.0</v>
      </c>
      <c r="R14" s="141">
        <v>0.0</v>
      </c>
      <c r="S14" s="141">
        <v>0.0</v>
      </c>
      <c r="T14" s="141">
        <v>0.0</v>
      </c>
      <c r="U14" s="141">
        <v>0.0</v>
      </c>
      <c r="V14" s="139"/>
      <c r="W14" s="141">
        <v>258.62</v>
      </c>
      <c r="X14" s="139"/>
      <c r="Y14" s="139"/>
      <c r="Z14" s="142">
        <f t="shared" si="1"/>
        <v>3793.1</v>
      </c>
      <c r="AA14" s="143">
        <v>0.0</v>
      </c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</row>
    <row r="15" ht="15.75" customHeight="1">
      <c r="A15" s="139" t="s">
        <v>259</v>
      </c>
      <c r="B15" s="141">
        <v>0.0</v>
      </c>
      <c r="C15" s="141">
        <v>0.0</v>
      </c>
      <c r="D15" s="141">
        <v>0.0</v>
      </c>
      <c r="E15" s="141">
        <v>0.0</v>
      </c>
      <c r="F15" s="141">
        <v>0.0</v>
      </c>
      <c r="G15" s="141">
        <v>0.0</v>
      </c>
      <c r="H15" s="141">
        <v>0.0</v>
      </c>
      <c r="I15" s="141">
        <v>0.0</v>
      </c>
      <c r="J15" s="141">
        <v>0.0</v>
      </c>
      <c r="K15" s="141">
        <v>55014.66</v>
      </c>
      <c r="L15" s="141">
        <v>0.0</v>
      </c>
      <c r="M15" s="141">
        <v>0.0</v>
      </c>
      <c r="N15" s="141">
        <v>0.0</v>
      </c>
      <c r="O15" s="141">
        <v>0.0</v>
      </c>
      <c r="P15" s="141">
        <v>0.0</v>
      </c>
      <c r="Q15" s="141">
        <v>0.0</v>
      </c>
      <c r="R15" s="141">
        <v>0.0</v>
      </c>
      <c r="S15" s="141">
        <v>0.0</v>
      </c>
      <c r="T15" s="141">
        <v>0.0</v>
      </c>
      <c r="U15" s="141">
        <v>0.0</v>
      </c>
      <c r="V15" s="139"/>
      <c r="W15" s="141">
        <v>0.0</v>
      </c>
      <c r="X15" s="139"/>
      <c r="Y15" s="139"/>
      <c r="Z15" s="142">
        <f t="shared" si="1"/>
        <v>55014.66</v>
      </c>
      <c r="AA15" s="143">
        <v>0.01</v>
      </c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</row>
    <row r="16" ht="15.75" customHeight="1">
      <c r="A16" s="139" t="s">
        <v>260</v>
      </c>
      <c r="B16" s="141">
        <v>0.0</v>
      </c>
      <c r="C16" s="141">
        <v>0.0</v>
      </c>
      <c r="D16" s="141">
        <v>0.0</v>
      </c>
      <c r="E16" s="141">
        <v>0.0</v>
      </c>
      <c r="F16" s="141">
        <v>0.0</v>
      </c>
      <c r="G16" s="141">
        <v>0.0</v>
      </c>
      <c r="H16" s="141">
        <v>0.0</v>
      </c>
      <c r="I16" s="141">
        <v>0.0</v>
      </c>
      <c r="J16" s="141">
        <v>4456.9</v>
      </c>
      <c r="K16" s="141">
        <v>0.0</v>
      </c>
      <c r="L16" s="141">
        <v>0.0</v>
      </c>
      <c r="M16" s="141">
        <v>0.0</v>
      </c>
      <c r="N16" s="141">
        <v>0.0</v>
      </c>
      <c r="O16" s="141">
        <v>0.0</v>
      </c>
      <c r="P16" s="141">
        <v>0.0</v>
      </c>
      <c r="Q16" s="141">
        <v>0.0</v>
      </c>
      <c r="R16" s="141">
        <v>0.0</v>
      </c>
      <c r="S16" s="141">
        <v>0.0</v>
      </c>
      <c r="T16" s="141">
        <v>0.0</v>
      </c>
      <c r="U16" s="141">
        <v>0.0</v>
      </c>
      <c r="V16" s="139"/>
      <c r="W16" s="141">
        <v>0.0</v>
      </c>
      <c r="X16" s="139"/>
      <c r="Y16" s="139"/>
      <c r="Z16" s="142">
        <f t="shared" si="1"/>
        <v>4456.9</v>
      </c>
      <c r="AA16" s="143">
        <v>0.0</v>
      </c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</row>
    <row r="17" ht="15.75" customHeight="1">
      <c r="A17" s="139" t="s">
        <v>261</v>
      </c>
      <c r="B17" s="141">
        <v>0.0</v>
      </c>
      <c r="C17" s="141">
        <v>0.0</v>
      </c>
      <c r="D17" s="141">
        <v>0.0</v>
      </c>
      <c r="E17" s="141">
        <v>0.0</v>
      </c>
      <c r="F17" s="141">
        <v>0.0</v>
      </c>
      <c r="G17" s="141">
        <v>0.0</v>
      </c>
      <c r="H17" s="141">
        <v>0.0</v>
      </c>
      <c r="I17" s="141">
        <v>0.0</v>
      </c>
      <c r="J17" s="141">
        <v>0.0</v>
      </c>
      <c r="K17" s="141">
        <v>0.0</v>
      </c>
      <c r="L17" s="141">
        <v>0.0</v>
      </c>
      <c r="M17" s="141">
        <v>0.0</v>
      </c>
      <c r="N17" s="141">
        <v>0.0</v>
      </c>
      <c r="O17" s="141">
        <v>0.0</v>
      </c>
      <c r="P17" s="141">
        <v>32000.0</v>
      </c>
      <c r="Q17" s="141">
        <v>0.0</v>
      </c>
      <c r="R17" s="141">
        <v>0.0</v>
      </c>
      <c r="S17" s="141">
        <v>0.0</v>
      </c>
      <c r="T17" s="141">
        <v>0.0</v>
      </c>
      <c r="U17" s="141">
        <v>0.0</v>
      </c>
      <c r="V17" s="139"/>
      <c r="W17" s="141">
        <v>0.0</v>
      </c>
      <c r="X17" s="139">
        <v>36000.0</v>
      </c>
      <c r="Y17" s="141">
        <v>12000.0</v>
      </c>
      <c r="Z17" s="142">
        <f t="shared" si="1"/>
        <v>80000</v>
      </c>
      <c r="AA17" s="143">
        <v>0.01</v>
      </c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</row>
    <row r="18" ht="15.75" hidden="1" customHeight="1">
      <c r="A18" s="139" t="s">
        <v>262</v>
      </c>
      <c r="B18" s="141">
        <v>0.0</v>
      </c>
      <c r="C18" s="141">
        <v>0.0</v>
      </c>
      <c r="D18" s="141">
        <v>0.0</v>
      </c>
      <c r="E18" s="141">
        <v>0.0</v>
      </c>
      <c r="F18" s="141">
        <v>0.0</v>
      </c>
      <c r="G18" s="141">
        <v>0.0</v>
      </c>
      <c r="H18" s="141">
        <v>0.0</v>
      </c>
      <c r="I18" s="141">
        <v>0.0</v>
      </c>
      <c r="J18" s="141">
        <v>0.0</v>
      </c>
      <c r="K18" s="141">
        <v>0.0</v>
      </c>
      <c r="L18" s="141">
        <v>0.0</v>
      </c>
      <c r="M18" s="141">
        <v>0.0</v>
      </c>
      <c r="N18" s="141">
        <v>0.0</v>
      </c>
      <c r="O18" s="141">
        <v>0.0</v>
      </c>
      <c r="P18" s="141">
        <v>0.0</v>
      </c>
      <c r="Q18" s="141">
        <v>0.0</v>
      </c>
      <c r="R18" s="141">
        <v>0.0</v>
      </c>
      <c r="S18" s="141">
        <v>0.0</v>
      </c>
      <c r="T18" s="141">
        <v>0.0</v>
      </c>
      <c r="U18" s="141">
        <v>0.0</v>
      </c>
      <c r="V18" s="139"/>
      <c r="W18" s="141">
        <v>0.0</v>
      </c>
      <c r="X18" s="139"/>
      <c r="Y18" s="139"/>
      <c r="Z18" s="142">
        <f t="shared" si="1"/>
        <v>0</v>
      </c>
      <c r="AA18" s="143">
        <v>0.0</v>
      </c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</row>
    <row r="19" ht="15.75" hidden="1" customHeight="1">
      <c r="A19" s="139" t="s">
        <v>263</v>
      </c>
      <c r="B19" s="141">
        <v>0.0</v>
      </c>
      <c r="C19" s="141">
        <v>0.0</v>
      </c>
      <c r="D19" s="141">
        <v>0.0</v>
      </c>
      <c r="E19" s="141">
        <v>0.0</v>
      </c>
      <c r="F19" s="141">
        <v>0.0</v>
      </c>
      <c r="G19" s="141">
        <v>0.0</v>
      </c>
      <c r="H19" s="141">
        <v>0.0</v>
      </c>
      <c r="I19" s="141">
        <v>0.0</v>
      </c>
      <c r="J19" s="141">
        <v>0.0</v>
      </c>
      <c r="K19" s="141">
        <v>0.0</v>
      </c>
      <c r="L19" s="141">
        <v>0.0</v>
      </c>
      <c r="M19" s="141">
        <v>0.0</v>
      </c>
      <c r="N19" s="141">
        <v>0.0</v>
      </c>
      <c r="O19" s="141">
        <v>0.0</v>
      </c>
      <c r="P19" s="141">
        <v>0.0</v>
      </c>
      <c r="Q19" s="141">
        <v>0.0</v>
      </c>
      <c r="R19" s="141">
        <v>0.0</v>
      </c>
      <c r="S19" s="141">
        <v>0.0</v>
      </c>
      <c r="T19" s="141">
        <v>0.0</v>
      </c>
      <c r="U19" s="139"/>
      <c r="V19" s="139"/>
      <c r="W19" s="139"/>
      <c r="X19" s="139"/>
      <c r="Y19" s="139"/>
      <c r="Z19" s="142">
        <f t="shared" si="1"/>
        <v>0</v>
      </c>
      <c r="AA19" s="143">
        <v>0.0</v>
      </c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</row>
    <row r="20" ht="15.75" customHeight="1">
      <c r="A20" s="139" t="s">
        <v>264</v>
      </c>
      <c r="B20" s="141">
        <v>0.0</v>
      </c>
      <c r="C20" s="141">
        <v>0.0</v>
      </c>
      <c r="D20" s="141">
        <v>0.0</v>
      </c>
      <c r="E20" s="141">
        <v>0.0</v>
      </c>
      <c r="F20" s="141">
        <v>0.0</v>
      </c>
      <c r="G20" s="141">
        <v>0.0</v>
      </c>
      <c r="H20" s="141">
        <v>1758.62</v>
      </c>
      <c r="I20" s="141">
        <v>0.0</v>
      </c>
      <c r="J20" s="141">
        <v>0.0</v>
      </c>
      <c r="K20" s="141">
        <v>2413.79</v>
      </c>
      <c r="L20" s="141">
        <v>0.0</v>
      </c>
      <c r="M20" s="141">
        <v>0.0</v>
      </c>
      <c r="N20" s="141">
        <v>0.0</v>
      </c>
      <c r="O20" s="141">
        <v>0.0</v>
      </c>
      <c r="P20" s="141">
        <v>0.0</v>
      </c>
      <c r="Q20" s="141">
        <v>0.0</v>
      </c>
      <c r="R20" s="141">
        <v>0.0</v>
      </c>
      <c r="S20" s="141">
        <v>0.0</v>
      </c>
      <c r="T20" s="141">
        <v>0.0</v>
      </c>
      <c r="U20" s="139"/>
      <c r="V20" s="139"/>
      <c r="W20" s="139"/>
      <c r="X20" s="139"/>
      <c r="Y20" s="139"/>
      <c r="Z20" s="142">
        <f t="shared" si="1"/>
        <v>4172.41</v>
      </c>
      <c r="AA20" s="143">
        <v>0.0</v>
      </c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</row>
    <row r="21" ht="15.75" customHeight="1">
      <c r="A21" s="139" t="s">
        <v>265</v>
      </c>
      <c r="B21" s="141">
        <v>0.0</v>
      </c>
      <c r="C21" s="141">
        <v>0.0</v>
      </c>
      <c r="D21" s="141">
        <v>0.0</v>
      </c>
      <c r="E21" s="141">
        <v>0.0</v>
      </c>
      <c r="F21" s="141">
        <v>0.0</v>
      </c>
      <c r="G21" s="141">
        <v>0.0</v>
      </c>
      <c r="H21" s="141">
        <v>0.0</v>
      </c>
      <c r="I21" s="141">
        <v>0.0</v>
      </c>
      <c r="J21" s="141">
        <v>0.0</v>
      </c>
      <c r="K21" s="141">
        <v>0.0</v>
      </c>
      <c r="L21" s="141">
        <v>0.0</v>
      </c>
      <c r="M21" s="141">
        <v>0.0</v>
      </c>
      <c r="N21" s="141">
        <v>0.0</v>
      </c>
      <c r="O21" s="141">
        <v>0.0</v>
      </c>
      <c r="P21" s="141">
        <v>0.0</v>
      </c>
      <c r="Q21" s="141">
        <v>0.0</v>
      </c>
      <c r="R21" s="141">
        <v>0.0</v>
      </c>
      <c r="S21" s="141">
        <v>0.0</v>
      </c>
      <c r="T21" s="141">
        <v>0.0</v>
      </c>
      <c r="U21" s="139"/>
      <c r="V21" s="139"/>
      <c r="W21" s="139"/>
      <c r="X21" s="139"/>
      <c r="Y21" s="139"/>
      <c r="Z21" s="142">
        <f t="shared" si="1"/>
        <v>0</v>
      </c>
      <c r="AA21" s="143">
        <v>0.0</v>
      </c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</row>
    <row r="22" ht="15.75" customHeight="1">
      <c r="A22" s="139" t="s">
        <v>266</v>
      </c>
      <c r="B22" s="141">
        <v>0.0</v>
      </c>
      <c r="C22" s="141">
        <v>0.0</v>
      </c>
      <c r="D22" s="141">
        <v>31.9</v>
      </c>
      <c r="E22" s="141">
        <v>0.0</v>
      </c>
      <c r="F22" s="141">
        <v>0.0</v>
      </c>
      <c r="G22" s="141">
        <v>0.0</v>
      </c>
      <c r="H22" s="141">
        <v>34.48</v>
      </c>
      <c r="I22" s="141">
        <v>0.0</v>
      </c>
      <c r="J22" s="141">
        <v>418.97</v>
      </c>
      <c r="K22" s="141">
        <v>12.93</v>
      </c>
      <c r="L22" s="141">
        <v>0.0</v>
      </c>
      <c r="M22" s="141">
        <v>248.28</v>
      </c>
      <c r="N22" s="141">
        <v>0.0</v>
      </c>
      <c r="O22" s="141">
        <v>16.38</v>
      </c>
      <c r="P22" s="141">
        <v>0.0</v>
      </c>
      <c r="Q22" s="141">
        <v>0.0</v>
      </c>
      <c r="R22" s="141">
        <v>25.86</v>
      </c>
      <c r="S22" s="141">
        <v>0.0</v>
      </c>
      <c r="T22" s="141">
        <v>0.0</v>
      </c>
      <c r="U22" s="139"/>
      <c r="V22" s="139"/>
      <c r="W22" s="139"/>
      <c r="X22" s="139"/>
      <c r="Y22" s="139"/>
      <c r="Z22" s="142">
        <f t="shared" si="1"/>
        <v>788.8</v>
      </c>
      <c r="AA22" s="143">
        <v>0.0</v>
      </c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</row>
    <row r="23" ht="15.75" customHeight="1">
      <c r="A23" s="139" t="s">
        <v>267</v>
      </c>
      <c r="B23" s="141">
        <v>0.0</v>
      </c>
      <c r="C23" s="141">
        <v>0.0</v>
      </c>
      <c r="D23" s="141">
        <v>0.0</v>
      </c>
      <c r="E23" s="141">
        <v>0.0</v>
      </c>
      <c r="F23" s="141">
        <v>0.0</v>
      </c>
      <c r="G23" s="141">
        <v>0.0</v>
      </c>
      <c r="H23" s="141">
        <v>0.0</v>
      </c>
      <c r="I23" s="141">
        <v>0.0</v>
      </c>
      <c r="J23" s="141">
        <v>0.0</v>
      </c>
      <c r="K23" s="141">
        <v>0.0</v>
      </c>
      <c r="L23" s="141">
        <v>0.0</v>
      </c>
      <c r="M23" s="141">
        <v>0.0</v>
      </c>
      <c r="N23" s="141">
        <v>0.0</v>
      </c>
      <c r="O23" s="141">
        <v>0.0</v>
      </c>
      <c r="P23" s="141">
        <v>0.0</v>
      </c>
      <c r="Q23" s="141">
        <v>0.0</v>
      </c>
      <c r="R23" s="141">
        <v>0.0</v>
      </c>
      <c r="S23" s="141">
        <v>0.0</v>
      </c>
      <c r="T23" s="141">
        <v>0.0</v>
      </c>
      <c r="U23" s="139"/>
      <c r="V23" s="139"/>
      <c r="W23" s="139"/>
      <c r="X23" s="139"/>
      <c r="Y23" s="139"/>
      <c r="Z23" s="142">
        <f t="shared" si="1"/>
        <v>0</v>
      </c>
      <c r="AA23" s="143">
        <v>0.0</v>
      </c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</row>
    <row r="24" ht="15.75" hidden="1" customHeight="1">
      <c r="A24" s="139" t="s">
        <v>268</v>
      </c>
      <c r="B24" s="141">
        <v>0.0</v>
      </c>
      <c r="C24" s="141">
        <v>0.0</v>
      </c>
      <c r="D24" s="141">
        <v>0.0</v>
      </c>
      <c r="E24" s="141">
        <v>0.0</v>
      </c>
      <c r="F24" s="141">
        <v>0.0</v>
      </c>
      <c r="G24" s="141">
        <v>0.0</v>
      </c>
      <c r="H24" s="141">
        <v>0.0</v>
      </c>
      <c r="I24" s="141">
        <v>0.0</v>
      </c>
      <c r="J24" s="141">
        <v>0.0</v>
      </c>
      <c r="K24" s="141">
        <v>0.0</v>
      </c>
      <c r="L24" s="141">
        <v>0.0</v>
      </c>
      <c r="M24" s="141">
        <v>0.0</v>
      </c>
      <c r="N24" s="141">
        <v>0.0</v>
      </c>
      <c r="O24" s="141">
        <v>0.0</v>
      </c>
      <c r="P24" s="141">
        <v>0.0</v>
      </c>
      <c r="Q24" s="141">
        <v>0.0</v>
      </c>
      <c r="R24" s="141">
        <v>0.0</v>
      </c>
      <c r="S24" s="141">
        <v>0.0</v>
      </c>
      <c r="T24" s="141">
        <v>0.0</v>
      </c>
      <c r="U24" s="139"/>
      <c r="V24" s="139"/>
      <c r="W24" s="139"/>
      <c r="X24" s="139"/>
      <c r="Y24" s="139"/>
      <c r="Z24" s="142">
        <v>0.0</v>
      </c>
      <c r="AA24" s="143">
        <v>0.0</v>
      </c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</row>
    <row r="25" ht="15.75" hidden="1" customHeight="1">
      <c r="A25" s="139" t="s">
        <v>269</v>
      </c>
      <c r="B25" s="141">
        <v>0.0</v>
      </c>
      <c r="C25" s="141">
        <v>0.0</v>
      </c>
      <c r="D25" s="141">
        <v>0.0</v>
      </c>
      <c r="E25" s="141">
        <v>0.0</v>
      </c>
      <c r="F25" s="141">
        <v>0.0</v>
      </c>
      <c r="G25" s="141">
        <v>0.0</v>
      </c>
      <c r="H25" s="141">
        <v>0.0</v>
      </c>
      <c r="I25" s="141">
        <v>0.0</v>
      </c>
      <c r="J25" s="141">
        <v>0.0</v>
      </c>
      <c r="K25" s="141">
        <v>0.0</v>
      </c>
      <c r="L25" s="141">
        <v>0.0</v>
      </c>
      <c r="M25" s="141">
        <v>0.0</v>
      </c>
      <c r="N25" s="141">
        <v>0.0</v>
      </c>
      <c r="O25" s="141">
        <v>0.0</v>
      </c>
      <c r="P25" s="141">
        <v>0.0</v>
      </c>
      <c r="Q25" s="141">
        <v>0.0</v>
      </c>
      <c r="R25" s="141">
        <v>0.0</v>
      </c>
      <c r="S25" s="141">
        <v>0.0</v>
      </c>
      <c r="T25" s="141">
        <v>0.0</v>
      </c>
      <c r="U25" s="139"/>
      <c r="V25" s="139"/>
      <c r="W25" s="139"/>
      <c r="X25" s="139"/>
      <c r="Y25" s="139"/>
      <c r="Z25" s="142">
        <v>0.0</v>
      </c>
      <c r="AA25" s="143">
        <v>0.0</v>
      </c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</row>
    <row r="26" ht="15.75" hidden="1" customHeight="1">
      <c r="A26" s="139" t="s">
        <v>270</v>
      </c>
      <c r="B26" s="141">
        <v>0.0</v>
      </c>
      <c r="C26" s="141">
        <v>0.0</v>
      </c>
      <c r="D26" s="141">
        <v>0.0</v>
      </c>
      <c r="E26" s="141">
        <v>0.0</v>
      </c>
      <c r="F26" s="141">
        <v>0.0</v>
      </c>
      <c r="G26" s="141">
        <v>0.0</v>
      </c>
      <c r="H26" s="141">
        <v>0.0</v>
      </c>
      <c r="I26" s="141">
        <v>0.0</v>
      </c>
      <c r="J26" s="141">
        <v>0.0</v>
      </c>
      <c r="K26" s="141">
        <v>0.0</v>
      </c>
      <c r="L26" s="141">
        <v>0.0</v>
      </c>
      <c r="M26" s="141">
        <v>0.0</v>
      </c>
      <c r="N26" s="141">
        <v>0.0</v>
      </c>
      <c r="O26" s="141">
        <v>0.0</v>
      </c>
      <c r="P26" s="141">
        <v>0.0</v>
      </c>
      <c r="Q26" s="141">
        <v>0.0</v>
      </c>
      <c r="R26" s="141">
        <v>0.0</v>
      </c>
      <c r="S26" s="141">
        <v>0.0</v>
      </c>
      <c r="T26" s="141">
        <v>0.0</v>
      </c>
      <c r="U26" s="139"/>
      <c r="V26" s="139"/>
      <c r="W26" s="139"/>
      <c r="X26" s="139"/>
      <c r="Y26" s="139"/>
      <c r="Z26" s="142">
        <v>0.0</v>
      </c>
      <c r="AA26" s="143">
        <v>0.0</v>
      </c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</row>
    <row r="27" ht="15.75" customHeight="1">
      <c r="A27" s="146" t="s">
        <v>271</v>
      </c>
      <c r="B27" s="147">
        <v>1966725.83</v>
      </c>
      <c r="C27" s="147">
        <v>29653.45</v>
      </c>
      <c r="D27" s="147">
        <v>249899.14</v>
      </c>
      <c r="E27" s="147">
        <v>27603.0</v>
      </c>
      <c r="F27" s="147">
        <v>44372.43</v>
      </c>
      <c r="G27" s="147">
        <v>236206.98</v>
      </c>
      <c r="H27" s="147">
        <v>256235.76</v>
      </c>
      <c r="I27" s="147">
        <v>41878.45</v>
      </c>
      <c r="J27" s="147">
        <v>2233298.29</v>
      </c>
      <c r="K27" s="147">
        <v>346877.78</v>
      </c>
      <c r="L27" s="147">
        <v>40258.62</v>
      </c>
      <c r="M27" s="147">
        <v>185722.43</v>
      </c>
      <c r="N27" s="147">
        <v>29288.79</v>
      </c>
      <c r="O27" s="147">
        <v>91273.27</v>
      </c>
      <c r="P27" s="147">
        <v>32000.0</v>
      </c>
      <c r="Q27" s="147">
        <v>66100.85</v>
      </c>
      <c r="R27" s="147">
        <v>92484.67</v>
      </c>
      <c r="S27" s="147">
        <v>151053.87</v>
      </c>
      <c r="T27" s="147">
        <v>446304.39</v>
      </c>
      <c r="U27" s="147">
        <v>29336.2</v>
      </c>
      <c r="V27" s="147">
        <v>127874.0</v>
      </c>
      <c r="W27" s="147">
        <v>832194.82</v>
      </c>
      <c r="X27" s="146">
        <v>36000.0</v>
      </c>
      <c r="Y27" s="147">
        <v>14075.18</v>
      </c>
      <c r="Z27" s="147">
        <v>7587092.2</v>
      </c>
      <c r="AA27" s="148">
        <v>1.0</v>
      </c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</row>
    <row r="29" ht="15.75" customHeight="1">
      <c r="A29" s="139" t="s">
        <v>47</v>
      </c>
      <c r="B29" s="141">
        <v>41116.94</v>
      </c>
      <c r="C29" s="141">
        <v>0.0</v>
      </c>
      <c r="D29" s="141">
        <v>19267.28</v>
      </c>
      <c r="E29" s="141">
        <v>0.0</v>
      </c>
      <c r="F29" s="141">
        <v>10988.58</v>
      </c>
      <c r="G29" s="141">
        <v>21148.08</v>
      </c>
      <c r="H29" s="141">
        <v>12644.78</v>
      </c>
      <c r="I29" s="141">
        <v>10112.54</v>
      </c>
      <c r="J29" s="141">
        <v>148474.15</v>
      </c>
      <c r="K29" s="141">
        <v>59067.92</v>
      </c>
      <c r="L29" s="141">
        <v>10566.48</v>
      </c>
      <c r="M29" s="141">
        <v>35042.69</v>
      </c>
      <c r="N29" s="141">
        <v>9980.36</v>
      </c>
      <c r="O29" s="141">
        <v>38371.1</v>
      </c>
      <c r="P29" s="141">
        <v>19510.0</v>
      </c>
      <c r="Q29" s="141">
        <v>164784.15</v>
      </c>
      <c r="R29" s="141">
        <v>32167.46</v>
      </c>
      <c r="S29" s="141">
        <v>39011.96</v>
      </c>
      <c r="T29" s="141">
        <v>41312.96</v>
      </c>
      <c r="U29" s="141">
        <v>33814.52</v>
      </c>
      <c r="V29" s="141">
        <v>22226.52</v>
      </c>
      <c r="W29" s="141">
        <v>65944.43</v>
      </c>
      <c r="X29" s="141">
        <v>15023.24</v>
      </c>
      <c r="Y29" s="141">
        <f>85964.48+15583.63</f>
        <v>101548.11</v>
      </c>
      <c r="Z29" s="142">
        <f t="shared" ref="Z29:Z73" si="2">SUM(B29:Y29)</f>
        <v>952124.25</v>
      </c>
      <c r="AA29" s="143">
        <v>0.29</v>
      </c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</row>
    <row r="30" ht="15.75" customHeight="1">
      <c r="A30" s="139" t="s">
        <v>48</v>
      </c>
      <c r="B30" s="141">
        <v>0.0</v>
      </c>
      <c r="C30" s="141">
        <v>0.0</v>
      </c>
      <c r="D30" s="141">
        <v>0.0</v>
      </c>
      <c r="E30" s="141">
        <v>0.0</v>
      </c>
      <c r="F30" s="141">
        <v>0.0</v>
      </c>
      <c r="G30" s="141">
        <v>0.0</v>
      </c>
      <c r="H30" s="141">
        <v>0.0</v>
      </c>
      <c r="I30" s="141">
        <v>0.0</v>
      </c>
      <c r="J30" s="141">
        <v>0.0</v>
      </c>
      <c r="K30" s="141">
        <v>0.0</v>
      </c>
      <c r="L30" s="141">
        <v>0.0</v>
      </c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141">
        <v>550916.54</v>
      </c>
      <c r="Z30" s="142">
        <f t="shared" si="2"/>
        <v>550916.54</v>
      </c>
      <c r="AA30" s="143">
        <v>0.17</v>
      </c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</row>
    <row r="31" ht="15.75" customHeight="1">
      <c r="A31" s="139" t="s">
        <v>49</v>
      </c>
      <c r="B31" s="141">
        <v>0.0</v>
      </c>
      <c r="C31" s="141">
        <v>0.0</v>
      </c>
      <c r="D31" s="141">
        <v>0.0</v>
      </c>
      <c r="E31" s="141">
        <v>0.0</v>
      </c>
      <c r="F31" s="141">
        <v>0.0</v>
      </c>
      <c r="G31" s="141">
        <v>0.0</v>
      </c>
      <c r="H31" s="141">
        <v>0.0</v>
      </c>
      <c r="I31" s="141">
        <v>0.0</v>
      </c>
      <c r="J31" s="141">
        <v>0.0</v>
      </c>
      <c r="K31" s="141">
        <v>0.0</v>
      </c>
      <c r="L31" s="141">
        <v>0.0</v>
      </c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1">
        <v>0.0</v>
      </c>
      <c r="V31" s="141">
        <v>0.0</v>
      </c>
      <c r="W31" s="141">
        <v>0.0</v>
      </c>
      <c r="X31" s="141">
        <v>0.0</v>
      </c>
      <c r="Y31" s="141">
        <v>27529.11</v>
      </c>
      <c r="Z31" s="142">
        <f t="shared" si="2"/>
        <v>27529.11</v>
      </c>
      <c r="AA31" s="143">
        <v>0.01</v>
      </c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</row>
    <row r="32" ht="15.75" customHeight="1">
      <c r="A32" s="139" t="s">
        <v>50</v>
      </c>
      <c r="B32" s="141">
        <v>0.0</v>
      </c>
      <c r="C32" s="141">
        <v>0.0</v>
      </c>
      <c r="D32" s="141">
        <v>0.0</v>
      </c>
      <c r="E32" s="141">
        <v>0.0</v>
      </c>
      <c r="F32" s="141">
        <v>16140.0</v>
      </c>
      <c r="G32" s="141">
        <v>0.0</v>
      </c>
      <c r="H32" s="141">
        <v>0.0</v>
      </c>
      <c r="I32" s="141">
        <v>0.0</v>
      </c>
      <c r="J32" s="141">
        <v>0.0</v>
      </c>
      <c r="K32" s="141">
        <v>0.0</v>
      </c>
      <c r="L32" s="141">
        <v>0.0</v>
      </c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0.0</v>
      </c>
      <c r="T32" s="141">
        <v>0.0</v>
      </c>
      <c r="U32" s="141">
        <v>0.0</v>
      </c>
      <c r="V32" s="141">
        <v>0.0</v>
      </c>
      <c r="W32" s="141">
        <v>0.0</v>
      </c>
      <c r="X32" s="141">
        <v>0.0</v>
      </c>
      <c r="Y32" s="141">
        <v>70953.14</v>
      </c>
      <c r="Z32" s="142">
        <f t="shared" si="2"/>
        <v>87093.14</v>
      </c>
      <c r="AA32" s="143">
        <v>0.03</v>
      </c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</row>
    <row r="33" ht="15.75" customHeight="1">
      <c r="A33" s="139" t="s">
        <v>51</v>
      </c>
      <c r="B33" s="141">
        <v>0.0</v>
      </c>
      <c r="C33" s="141">
        <v>0.0</v>
      </c>
      <c r="D33" s="141">
        <v>170000.0</v>
      </c>
      <c r="E33" s="141">
        <v>0.0</v>
      </c>
      <c r="F33" s="141">
        <v>0.0</v>
      </c>
      <c r="G33" s="141">
        <v>0.0</v>
      </c>
      <c r="H33" s="141">
        <v>0.0</v>
      </c>
      <c r="I33" s="141">
        <v>0.0</v>
      </c>
      <c r="J33" s="141">
        <v>0.0</v>
      </c>
      <c r="K33" s="141">
        <v>0.0</v>
      </c>
      <c r="L33" s="141">
        <v>0.0</v>
      </c>
      <c r="M33" s="141">
        <v>0.0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0.0</v>
      </c>
      <c r="T33" s="141">
        <v>0.0</v>
      </c>
      <c r="U33" s="141">
        <v>0.0</v>
      </c>
      <c r="V33" s="141">
        <v>0.0</v>
      </c>
      <c r="W33" s="141">
        <v>0.0</v>
      </c>
      <c r="X33" s="141">
        <v>0.0</v>
      </c>
      <c r="Y33" s="141">
        <v>0.0</v>
      </c>
      <c r="Z33" s="142">
        <f t="shared" si="2"/>
        <v>170000</v>
      </c>
      <c r="AA33" s="143">
        <v>0.05</v>
      </c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</row>
    <row r="34" ht="15.75" customHeight="1">
      <c r="A34" s="139" t="s">
        <v>52</v>
      </c>
      <c r="B34" s="141">
        <v>37113.71</v>
      </c>
      <c r="C34" s="141">
        <v>0.0</v>
      </c>
      <c r="D34" s="141">
        <v>0.0</v>
      </c>
      <c r="E34" s="141">
        <v>0.0</v>
      </c>
      <c r="F34" s="141">
        <v>0.0</v>
      </c>
      <c r="G34" s="141">
        <v>0.0</v>
      </c>
      <c r="H34" s="141">
        <v>0.0</v>
      </c>
      <c r="I34" s="141">
        <v>0.0</v>
      </c>
      <c r="J34" s="141">
        <v>0.0</v>
      </c>
      <c r="K34" s="141">
        <v>0.0</v>
      </c>
      <c r="L34" s="141">
        <v>0.0</v>
      </c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0.0</v>
      </c>
      <c r="T34" s="141">
        <v>0.0</v>
      </c>
      <c r="U34" s="141">
        <v>0.0</v>
      </c>
      <c r="V34" s="141">
        <v>0.0</v>
      </c>
      <c r="W34" s="141">
        <v>0.0</v>
      </c>
      <c r="X34" s="141">
        <v>0.0</v>
      </c>
      <c r="Y34" s="141">
        <v>10360.83</v>
      </c>
      <c r="Z34" s="142">
        <f t="shared" si="2"/>
        <v>47474.54</v>
      </c>
      <c r="AA34" s="143">
        <v>0.01</v>
      </c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</row>
    <row r="35" ht="15.75" customHeight="1">
      <c r="A35" s="139" t="s">
        <v>53</v>
      </c>
      <c r="B35" s="141">
        <v>0.0</v>
      </c>
      <c r="C35" s="141">
        <v>0.0</v>
      </c>
      <c r="D35" s="141">
        <v>0.0</v>
      </c>
      <c r="E35" s="141">
        <v>0.0</v>
      </c>
      <c r="F35" s="141">
        <v>0.0</v>
      </c>
      <c r="G35" s="141">
        <v>0.0</v>
      </c>
      <c r="H35" s="141">
        <v>0.0</v>
      </c>
      <c r="I35" s="141">
        <v>0.0</v>
      </c>
      <c r="J35" s="141">
        <v>0.0</v>
      </c>
      <c r="K35" s="141">
        <v>0.0</v>
      </c>
      <c r="L35" s="141">
        <v>0.0</v>
      </c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41">
        <v>0.0</v>
      </c>
      <c r="Z35" s="142">
        <f t="shared" si="2"/>
        <v>0</v>
      </c>
      <c r="AA35" s="143">
        <v>0.0</v>
      </c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</row>
    <row r="36" ht="15.75" customHeight="1">
      <c r="A36" s="139" t="s">
        <v>54</v>
      </c>
      <c r="B36" s="141">
        <v>627.59</v>
      </c>
      <c r="C36" s="141">
        <v>0.0</v>
      </c>
      <c r="D36" s="141">
        <v>627.59</v>
      </c>
      <c r="E36" s="141">
        <v>0.0</v>
      </c>
      <c r="F36" s="141">
        <v>584.48</v>
      </c>
      <c r="G36" s="141">
        <v>627.58</v>
      </c>
      <c r="H36" s="141">
        <v>283.62</v>
      </c>
      <c r="I36" s="141">
        <v>343.97</v>
      </c>
      <c r="J36" s="141">
        <v>688.8</v>
      </c>
      <c r="K36" s="141">
        <v>283.62</v>
      </c>
      <c r="L36" s="141">
        <v>283.62</v>
      </c>
      <c r="M36" s="141">
        <v>627.59</v>
      </c>
      <c r="N36" s="141">
        <v>283.62</v>
      </c>
      <c r="O36" s="141">
        <v>627.59</v>
      </c>
      <c r="P36" s="141">
        <v>850.85</v>
      </c>
      <c r="Q36" s="141">
        <v>283.62</v>
      </c>
      <c r="R36" s="141">
        <v>283.62</v>
      </c>
      <c r="S36" s="141">
        <v>283.06</v>
      </c>
      <c r="T36" s="141">
        <v>283.62</v>
      </c>
      <c r="U36" s="141">
        <v>283.62</v>
      </c>
      <c r="V36" s="141">
        <v>2641.59</v>
      </c>
      <c r="W36" s="141">
        <v>584.48</v>
      </c>
      <c r="X36" s="141">
        <v>0.0</v>
      </c>
      <c r="Y36" s="141">
        <v>23139.89</v>
      </c>
      <c r="Z36" s="142">
        <f t="shared" si="2"/>
        <v>34524.02</v>
      </c>
      <c r="AA36" s="143">
        <v>0.01</v>
      </c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</row>
    <row r="37" ht="15.75" customHeight="1">
      <c r="A37" s="139" t="s">
        <v>55</v>
      </c>
      <c r="B37" s="144">
        <v>105500.0</v>
      </c>
      <c r="C37" s="141">
        <v>0.0</v>
      </c>
      <c r="D37" s="141">
        <v>0.0</v>
      </c>
      <c r="E37" s="141">
        <v>0.0</v>
      </c>
      <c r="F37" s="141">
        <v>0.0</v>
      </c>
      <c r="G37" s="141">
        <v>0.0</v>
      </c>
      <c r="H37" s="141">
        <v>0.0</v>
      </c>
      <c r="I37" s="141">
        <v>0.0</v>
      </c>
      <c r="J37" s="141">
        <v>0.0</v>
      </c>
      <c r="K37" s="141">
        <v>0.0</v>
      </c>
      <c r="L37" s="141">
        <v>0.0</v>
      </c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141">
        <v>0.0</v>
      </c>
      <c r="Z37" s="145">
        <f t="shared" si="2"/>
        <v>105500</v>
      </c>
      <c r="AA37" s="143">
        <v>0.03</v>
      </c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</row>
    <row r="38" ht="15.75" customHeight="1">
      <c r="A38" s="139" t="s">
        <v>57</v>
      </c>
      <c r="B38" s="141">
        <v>1628.56</v>
      </c>
      <c r="C38" s="141">
        <v>0.0</v>
      </c>
      <c r="D38" s="141">
        <v>552.05</v>
      </c>
      <c r="E38" s="141">
        <v>0.0</v>
      </c>
      <c r="F38" s="141">
        <v>138.01</v>
      </c>
      <c r="G38" s="141">
        <v>690.07</v>
      </c>
      <c r="H38" s="141">
        <v>552.05</v>
      </c>
      <c r="I38" s="141">
        <v>115.01</v>
      </c>
      <c r="J38" s="141">
        <v>6900.67</v>
      </c>
      <c r="K38" s="141">
        <v>920.09</v>
      </c>
      <c r="L38" s="141">
        <v>101.21</v>
      </c>
      <c r="M38" s="141">
        <v>381.84</v>
      </c>
      <c r="N38" s="141">
        <v>50.6</v>
      </c>
      <c r="O38" s="141">
        <v>409.44</v>
      </c>
      <c r="P38" s="141">
        <v>460.04</v>
      </c>
      <c r="Q38" s="141">
        <v>3450.33</v>
      </c>
      <c r="R38" s="141">
        <v>179.42</v>
      </c>
      <c r="S38" s="141">
        <v>460.04</v>
      </c>
      <c r="T38" s="141">
        <v>547.45</v>
      </c>
      <c r="U38" s="141">
        <v>161.02</v>
      </c>
      <c r="V38" s="141">
        <v>161.02</v>
      </c>
      <c r="W38" s="141">
        <v>828.08</v>
      </c>
      <c r="X38" s="141">
        <v>0.0</v>
      </c>
      <c r="Y38" s="141">
        <v>220.58</v>
      </c>
      <c r="Z38" s="142">
        <f t="shared" si="2"/>
        <v>18907.58</v>
      </c>
      <c r="AA38" s="143">
        <v>0.01</v>
      </c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</row>
    <row r="39" ht="15.75" customHeight="1">
      <c r="A39" s="139" t="s">
        <v>58</v>
      </c>
      <c r="B39" s="141">
        <v>0.0</v>
      </c>
      <c r="C39" s="141">
        <v>0.0</v>
      </c>
      <c r="D39" s="141">
        <v>0.0</v>
      </c>
      <c r="E39" s="141">
        <v>0.0</v>
      </c>
      <c r="F39" s="141">
        <v>0.0</v>
      </c>
      <c r="G39" s="141">
        <v>0.0</v>
      </c>
      <c r="H39" s="141">
        <v>0.0</v>
      </c>
      <c r="I39" s="141">
        <v>1875.0</v>
      </c>
      <c r="J39" s="141">
        <v>66666.66</v>
      </c>
      <c r="K39" s="141">
        <v>0.0</v>
      </c>
      <c r="L39" s="141">
        <v>0.0</v>
      </c>
      <c r="M39" s="141">
        <v>0.0</v>
      </c>
      <c r="N39" s="141">
        <v>0.0</v>
      </c>
      <c r="O39" s="141">
        <v>12150.0</v>
      </c>
      <c r="P39" s="141">
        <v>2130.0</v>
      </c>
      <c r="Q39" s="141">
        <v>0.0</v>
      </c>
      <c r="R39" s="141">
        <v>0.0</v>
      </c>
      <c r="S39" s="141">
        <v>13145.0</v>
      </c>
      <c r="T39" s="141">
        <v>4410.0</v>
      </c>
      <c r="U39" s="141">
        <v>1500.0</v>
      </c>
      <c r="V39" s="141">
        <v>0.0</v>
      </c>
      <c r="W39" s="141">
        <v>0.0</v>
      </c>
      <c r="X39" s="141">
        <v>0.0</v>
      </c>
      <c r="Y39" s="141">
        <v>0.0</v>
      </c>
      <c r="Z39" s="142">
        <f t="shared" si="2"/>
        <v>101876.66</v>
      </c>
      <c r="AA39" s="143">
        <v>0.03</v>
      </c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</row>
    <row r="40" ht="15.75" customHeight="1">
      <c r="A40" s="139" t="s">
        <v>59</v>
      </c>
      <c r="B40" s="141">
        <v>0.0</v>
      </c>
      <c r="C40" s="141">
        <v>0.0</v>
      </c>
      <c r="D40" s="141">
        <v>0.0</v>
      </c>
      <c r="E40" s="141">
        <v>0.0</v>
      </c>
      <c r="F40" s="141">
        <v>0.0</v>
      </c>
      <c r="G40" s="141">
        <v>0.0</v>
      </c>
      <c r="H40" s="141">
        <v>0.0</v>
      </c>
      <c r="I40" s="141">
        <v>0.0</v>
      </c>
      <c r="J40" s="141">
        <v>0.0</v>
      </c>
      <c r="K40" s="141">
        <v>0.0</v>
      </c>
      <c r="L40" s="141">
        <v>0.0</v>
      </c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1">
        <v>0.0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141">
        <v>0.0</v>
      </c>
      <c r="Z40" s="142">
        <f t="shared" si="2"/>
        <v>0</v>
      </c>
      <c r="AA40" s="143">
        <v>0.0</v>
      </c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</row>
    <row r="41" ht="15.75" customHeight="1">
      <c r="A41" s="139" t="s">
        <v>60</v>
      </c>
      <c r="B41" s="141">
        <v>0.0</v>
      </c>
      <c r="C41" s="141">
        <v>0.0</v>
      </c>
      <c r="D41" s="141">
        <v>0.0</v>
      </c>
      <c r="E41" s="141">
        <v>0.0</v>
      </c>
      <c r="F41" s="141">
        <v>0.0</v>
      </c>
      <c r="G41" s="141">
        <v>0.0</v>
      </c>
      <c r="H41" s="141">
        <v>0.0</v>
      </c>
      <c r="I41" s="141">
        <v>0.0</v>
      </c>
      <c r="J41" s="141">
        <v>0.0</v>
      </c>
      <c r="K41" s="141">
        <v>0.0</v>
      </c>
      <c r="L41" s="141">
        <v>0.0</v>
      </c>
      <c r="M41" s="141">
        <v>0.0</v>
      </c>
      <c r="N41" s="141">
        <v>0.0</v>
      </c>
      <c r="O41" s="141">
        <v>0.0</v>
      </c>
      <c r="P41" s="141">
        <v>0.0</v>
      </c>
      <c r="Q41" s="141">
        <v>0.0</v>
      </c>
      <c r="R41" s="141">
        <v>0.0</v>
      </c>
      <c r="S41" s="141">
        <v>0.0</v>
      </c>
      <c r="T41" s="141">
        <v>0.0</v>
      </c>
      <c r="U41" s="141">
        <v>0.0</v>
      </c>
      <c r="V41" s="141">
        <v>0.0</v>
      </c>
      <c r="W41" s="141">
        <v>0.0</v>
      </c>
      <c r="X41" s="141">
        <v>0.0</v>
      </c>
      <c r="Y41" s="141">
        <v>0.0</v>
      </c>
      <c r="Z41" s="142">
        <f t="shared" si="2"/>
        <v>0</v>
      </c>
      <c r="AA41" s="143">
        <v>0.0</v>
      </c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</row>
    <row r="42" ht="15.75" customHeight="1">
      <c r="A42" s="139" t="s">
        <v>61</v>
      </c>
      <c r="B42" s="141">
        <v>0.0</v>
      </c>
      <c r="C42" s="141">
        <v>0.0</v>
      </c>
      <c r="D42" s="141">
        <v>0.0</v>
      </c>
      <c r="E42" s="141">
        <v>0.0</v>
      </c>
      <c r="F42" s="141">
        <v>0.0</v>
      </c>
      <c r="G42" s="141">
        <v>0.0</v>
      </c>
      <c r="H42" s="141">
        <v>0.0</v>
      </c>
      <c r="I42" s="141">
        <v>0.0</v>
      </c>
      <c r="J42" s="141">
        <v>0.0</v>
      </c>
      <c r="K42" s="141">
        <v>0.0</v>
      </c>
      <c r="L42" s="141">
        <v>0.0</v>
      </c>
      <c r="M42" s="141">
        <v>0.0</v>
      </c>
      <c r="N42" s="141">
        <v>0.0</v>
      </c>
      <c r="O42" s="141">
        <v>0.0</v>
      </c>
      <c r="P42" s="141">
        <v>0.0</v>
      </c>
      <c r="Q42" s="141">
        <v>0.0</v>
      </c>
      <c r="R42" s="141">
        <v>0.0</v>
      </c>
      <c r="S42" s="141">
        <v>0.0</v>
      </c>
      <c r="T42" s="141">
        <v>0.0</v>
      </c>
      <c r="U42" s="141">
        <v>0.0</v>
      </c>
      <c r="V42" s="141">
        <v>0.0</v>
      </c>
      <c r="W42" s="141">
        <v>0.0</v>
      </c>
      <c r="X42" s="141">
        <v>0.0</v>
      </c>
      <c r="Y42" s="141">
        <v>0.0</v>
      </c>
      <c r="Z42" s="142">
        <f t="shared" si="2"/>
        <v>0</v>
      </c>
      <c r="AA42" s="143">
        <v>0.0</v>
      </c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</row>
    <row r="43" ht="15.75" customHeight="1">
      <c r="A43" s="139" t="s">
        <v>62</v>
      </c>
      <c r="B43" s="141">
        <v>0.0</v>
      </c>
      <c r="C43" s="141">
        <v>0.0</v>
      </c>
      <c r="D43" s="141">
        <v>0.0</v>
      </c>
      <c r="E43" s="141">
        <v>0.0</v>
      </c>
      <c r="F43" s="141">
        <v>0.0</v>
      </c>
      <c r="G43" s="141">
        <v>0.0</v>
      </c>
      <c r="H43" s="141">
        <v>600.0</v>
      </c>
      <c r="I43" s="141">
        <v>0.0</v>
      </c>
      <c r="J43" s="141">
        <v>0.0</v>
      </c>
      <c r="K43" s="141">
        <v>0.0</v>
      </c>
      <c r="L43" s="141">
        <v>0.0</v>
      </c>
      <c r="M43" s="141">
        <v>0.0</v>
      </c>
      <c r="N43" s="141">
        <v>0.0</v>
      </c>
      <c r="O43" s="141">
        <v>0.0</v>
      </c>
      <c r="P43" s="141">
        <v>0.0</v>
      </c>
      <c r="Q43" s="141">
        <v>0.0</v>
      </c>
      <c r="R43" s="141">
        <v>0.0</v>
      </c>
      <c r="S43" s="141">
        <v>0.0</v>
      </c>
      <c r="T43" s="141">
        <v>0.0</v>
      </c>
      <c r="U43" s="141">
        <v>0.0</v>
      </c>
      <c r="V43" s="141">
        <v>5715.0</v>
      </c>
      <c r="W43" s="141">
        <v>0.0</v>
      </c>
      <c r="X43" s="141">
        <v>0.0</v>
      </c>
      <c r="Y43" s="141">
        <v>500.0</v>
      </c>
      <c r="Z43" s="142">
        <f t="shared" si="2"/>
        <v>6815</v>
      </c>
      <c r="AA43" s="143">
        <v>0.0</v>
      </c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</row>
    <row r="44" ht="15.75" customHeight="1">
      <c r="A44" s="139" t="s">
        <v>63</v>
      </c>
      <c r="B44" s="141">
        <v>2808.75</v>
      </c>
      <c r="C44" s="141">
        <v>0.0</v>
      </c>
      <c r="D44" s="141">
        <v>0.0</v>
      </c>
      <c r="E44" s="141">
        <v>0.0</v>
      </c>
      <c r="F44" s="141">
        <v>0.0</v>
      </c>
      <c r="G44" s="141">
        <v>0.0</v>
      </c>
      <c r="H44" s="141">
        <v>3500.0</v>
      </c>
      <c r="I44" s="141">
        <v>1500.0</v>
      </c>
      <c r="J44" s="141">
        <v>16000.0</v>
      </c>
      <c r="K44" s="141">
        <v>5000.0</v>
      </c>
      <c r="L44" s="141">
        <v>0.0</v>
      </c>
      <c r="M44" s="141">
        <v>3500.0</v>
      </c>
      <c r="N44" s="141">
        <v>0.0</v>
      </c>
      <c r="O44" s="141">
        <v>0.0</v>
      </c>
      <c r="P44" s="141">
        <v>0.0</v>
      </c>
      <c r="Q44" s="141">
        <v>0.0</v>
      </c>
      <c r="R44" s="141">
        <v>0.0</v>
      </c>
      <c r="S44" s="141">
        <v>1850.0</v>
      </c>
      <c r="T44" s="141">
        <v>5040.0</v>
      </c>
      <c r="U44" s="141">
        <v>0.0</v>
      </c>
      <c r="V44" s="141">
        <v>0.0</v>
      </c>
      <c r="W44" s="141">
        <v>4536.0</v>
      </c>
      <c r="X44" s="141">
        <v>0.0</v>
      </c>
      <c r="Y44" s="141">
        <v>1350.0</v>
      </c>
      <c r="Z44" s="142">
        <f t="shared" si="2"/>
        <v>45084.75</v>
      </c>
      <c r="AA44" s="143">
        <v>0.01</v>
      </c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</row>
    <row r="45" ht="15.75" customHeight="1">
      <c r="A45" s="139" t="s">
        <v>64</v>
      </c>
      <c r="B45" s="141">
        <v>0.0</v>
      </c>
      <c r="C45" s="141">
        <v>0.0</v>
      </c>
      <c r="D45" s="141">
        <v>0.0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141">
        <v>0.0</v>
      </c>
      <c r="Z45" s="142">
        <f t="shared" si="2"/>
        <v>0</v>
      </c>
      <c r="AA45" s="143">
        <v>0.0</v>
      </c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</row>
    <row r="46" ht="15.75" customHeight="1">
      <c r="A46" s="139" t="s">
        <v>65</v>
      </c>
      <c r="B46" s="141">
        <v>0.0</v>
      </c>
      <c r="C46" s="141">
        <v>0.0</v>
      </c>
      <c r="D46" s="141">
        <v>0.0</v>
      </c>
      <c r="E46" s="141">
        <v>0.0</v>
      </c>
      <c r="F46" s="141">
        <v>222.48</v>
      </c>
      <c r="G46" s="141">
        <v>0.0</v>
      </c>
      <c r="H46" s="141">
        <v>0.0</v>
      </c>
      <c r="I46" s="141">
        <v>0.0</v>
      </c>
      <c r="J46" s="141">
        <v>0.0</v>
      </c>
      <c r="K46" s="141">
        <v>1557.36</v>
      </c>
      <c r="L46" s="141">
        <v>0.0</v>
      </c>
      <c r="M46" s="141">
        <v>444.96</v>
      </c>
      <c r="N46" s="141">
        <v>0.0</v>
      </c>
      <c r="O46" s="141">
        <v>222.48</v>
      </c>
      <c r="P46" s="141">
        <v>0.0</v>
      </c>
      <c r="Q46" s="141">
        <v>0.0</v>
      </c>
      <c r="R46" s="141">
        <v>0.0</v>
      </c>
      <c r="S46" s="141">
        <v>0.0</v>
      </c>
      <c r="T46" s="141">
        <v>0.0</v>
      </c>
      <c r="U46" s="141">
        <v>0.0</v>
      </c>
      <c r="V46" s="141">
        <v>0.0</v>
      </c>
      <c r="W46" s="141">
        <v>0.0</v>
      </c>
      <c r="X46" s="141">
        <v>0.0</v>
      </c>
      <c r="Y46" s="141">
        <v>1090.0</v>
      </c>
      <c r="Z46" s="142">
        <f t="shared" si="2"/>
        <v>3537.28</v>
      </c>
      <c r="AA46" s="143">
        <v>0.0</v>
      </c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</row>
    <row r="47" ht="15.75" customHeight="1">
      <c r="A47" s="135" t="s">
        <v>66</v>
      </c>
      <c r="B47" s="141">
        <v>0.0</v>
      </c>
      <c r="C47" s="141">
        <v>0.0</v>
      </c>
      <c r="D47" s="141">
        <v>0.0</v>
      </c>
      <c r="E47" s="141">
        <v>0.0</v>
      </c>
      <c r="F47" s="141">
        <v>0.0</v>
      </c>
      <c r="G47" s="141">
        <v>0.0</v>
      </c>
      <c r="H47" s="141">
        <v>0.0</v>
      </c>
      <c r="I47" s="141">
        <v>0.0</v>
      </c>
      <c r="J47" s="141">
        <v>0.0</v>
      </c>
      <c r="K47" s="141">
        <v>0.0</v>
      </c>
      <c r="L47" s="141">
        <v>0.0</v>
      </c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1">
        <v>0.0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141">
        <v>9054.1</v>
      </c>
      <c r="Z47" s="142">
        <f t="shared" si="2"/>
        <v>9054.1</v>
      </c>
      <c r="AA47" s="143">
        <v>0.0</v>
      </c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</row>
    <row r="48" ht="15.75" customHeight="1">
      <c r="A48" s="139" t="s">
        <v>67</v>
      </c>
      <c r="B48" s="141">
        <v>385.73</v>
      </c>
      <c r="C48" s="141">
        <v>0.0</v>
      </c>
      <c r="D48" s="141">
        <v>379.99</v>
      </c>
      <c r="E48" s="141">
        <v>0.0</v>
      </c>
      <c r="F48" s="141">
        <v>172.56</v>
      </c>
      <c r="G48" s="141">
        <v>80.54</v>
      </c>
      <c r="H48" s="141">
        <v>1099.67</v>
      </c>
      <c r="I48" s="141">
        <v>647.83</v>
      </c>
      <c r="J48" s="141">
        <v>741.38</v>
      </c>
      <c r="K48" s="141">
        <v>514.25</v>
      </c>
      <c r="L48" s="141">
        <v>0.0</v>
      </c>
      <c r="M48" s="141">
        <v>239.69</v>
      </c>
      <c r="N48" s="141">
        <v>70.81</v>
      </c>
      <c r="O48" s="141">
        <v>477.69</v>
      </c>
      <c r="P48" s="141">
        <v>60.6</v>
      </c>
      <c r="Q48" s="141">
        <v>673.33</v>
      </c>
      <c r="R48" s="141">
        <v>370.33</v>
      </c>
      <c r="S48" s="141">
        <v>1382.53</v>
      </c>
      <c r="T48" s="141">
        <v>186.88</v>
      </c>
      <c r="U48" s="141">
        <v>406.88</v>
      </c>
      <c r="V48" s="141">
        <v>30.79</v>
      </c>
      <c r="W48" s="141">
        <v>421.39</v>
      </c>
      <c r="X48" s="141">
        <v>0.0</v>
      </c>
      <c r="Y48" s="141">
        <f>6074.74+25.14</f>
        <v>6099.88</v>
      </c>
      <c r="Z48" s="142">
        <f t="shared" si="2"/>
        <v>14442.75</v>
      </c>
      <c r="AA48" s="143">
        <v>0.0</v>
      </c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</row>
    <row r="49" ht="15.75" customHeight="1">
      <c r="A49" s="139" t="s">
        <v>68</v>
      </c>
      <c r="B49" s="141">
        <v>447.67</v>
      </c>
      <c r="C49" s="141">
        <v>0.0</v>
      </c>
      <c r="D49" s="141">
        <v>79.8</v>
      </c>
      <c r="E49" s="141">
        <v>0.0</v>
      </c>
      <c r="F49" s="141">
        <v>108.39</v>
      </c>
      <c r="G49" s="141">
        <v>115.4</v>
      </c>
      <c r="H49" s="141">
        <v>175.15</v>
      </c>
      <c r="I49" s="141">
        <v>80.26</v>
      </c>
      <c r="J49" s="141">
        <v>272.06</v>
      </c>
      <c r="K49" s="141">
        <v>202.67</v>
      </c>
      <c r="L49" s="141">
        <v>98.48</v>
      </c>
      <c r="M49" s="141">
        <v>175.84</v>
      </c>
      <c r="N49" s="141">
        <v>175.15</v>
      </c>
      <c r="O49" s="141">
        <v>228.6</v>
      </c>
      <c r="P49" s="141">
        <v>0.0</v>
      </c>
      <c r="Q49" s="141">
        <v>180.58</v>
      </c>
      <c r="R49" s="141">
        <v>111.7</v>
      </c>
      <c r="S49" s="141">
        <v>197.0</v>
      </c>
      <c r="T49" s="141">
        <v>202.13</v>
      </c>
      <c r="U49" s="141">
        <v>97.19</v>
      </c>
      <c r="V49" s="141">
        <v>147.3</v>
      </c>
      <c r="W49" s="141">
        <v>203.33</v>
      </c>
      <c r="X49" s="141">
        <v>0.0</v>
      </c>
      <c r="Y49" s="141">
        <f>614.07+190.93</f>
        <v>805</v>
      </c>
      <c r="Z49" s="142">
        <f t="shared" si="2"/>
        <v>4103.7</v>
      </c>
      <c r="AA49" s="143">
        <v>0.0</v>
      </c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</row>
    <row r="50" ht="15.75" customHeight="1">
      <c r="A50" s="139" t="s">
        <v>69</v>
      </c>
      <c r="B50" s="141">
        <v>0.0</v>
      </c>
      <c r="C50" s="141">
        <v>0.0</v>
      </c>
      <c r="D50" s="141">
        <v>0.0</v>
      </c>
      <c r="E50" s="141">
        <v>0.0</v>
      </c>
      <c r="F50" s="141">
        <v>0.0</v>
      </c>
      <c r="G50" s="141">
        <v>0.0</v>
      </c>
      <c r="H50" s="141">
        <v>0.0</v>
      </c>
      <c r="I50" s="141">
        <v>0.0</v>
      </c>
      <c r="J50" s="141">
        <v>0.0</v>
      </c>
      <c r="K50" s="141">
        <v>0.0</v>
      </c>
      <c r="L50" s="141">
        <v>0.0</v>
      </c>
      <c r="M50" s="141">
        <v>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0.0</v>
      </c>
      <c r="T50" s="141">
        <v>0.0</v>
      </c>
      <c r="U50" s="141">
        <v>0.0</v>
      </c>
      <c r="V50" s="141">
        <v>0.0</v>
      </c>
      <c r="W50" s="141">
        <v>0.0</v>
      </c>
      <c r="X50" s="141">
        <v>0.0</v>
      </c>
      <c r="Y50" s="141">
        <v>0.0</v>
      </c>
      <c r="Z50" s="142">
        <f t="shared" si="2"/>
        <v>0</v>
      </c>
      <c r="AA50" s="143">
        <v>0.0</v>
      </c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</row>
    <row r="51" ht="15.75" customHeight="1">
      <c r="A51" s="139" t="s">
        <v>70</v>
      </c>
      <c r="B51" s="141">
        <v>0.0</v>
      </c>
      <c r="C51" s="141">
        <v>0.0</v>
      </c>
      <c r="D51" s="141">
        <v>0.0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1">
        <v>0.0</v>
      </c>
      <c r="Q51" s="141">
        <v>0.0</v>
      </c>
      <c r="R51" s="141">
        <v>0.0</v>
      </c>
      <c r="S51" s="141">
        <v>0.0</v>
      </c>
      <c r="T51" s="141">
        <v>0.0</v>
      </c>
      <c r="U51" s="141">
        <v>0.0</v>
      </c>
      <c r="V51" s="141">
        <v>0.0</v>
      </c>
      <c r="W51" s="141">
        <v>0.0</v>
      </c>
      <c r="X51" s="141">
        <v>0.0</v>
      </c>
      <c r="Y51" s="141">
        <v>0.0</v>
      </c>
      <c r="Z51" s="142">
        <f t="shared" si="2"/>
        <v>0</v>
      </c>
      <c r="AA51" s="143">
        <v>0.0</v>
      </c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</row>
    <row r="52" ht="15.75" customHeight="1">
      <c r="A52" s="139" t="s">
        <v>273</v>
      </c>
      <c r="B52" s="141">
        <v>0.0</v>
      </c>
      <c r="C52" s="141">
        <v>0.0</v>
      </c>
      <c r="D52" s="141">
        <v>0.0</v>
      </c>
      <c r="E52" s="141">
        <v>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141">
        <v>0.0</v>
      </c>
      <c r="N52" s="141">
        <v>0.0</v>
      </c>
      <c r="O52" s="141">
        <v>0.0</v>
      </c>
      <c r="P52" s="141">
        <v>0.0</v>
      </c>
      <c r="Q52" s="141">
        <v>0.0</v>
      </c>
      <c r="R52" s="141">
        <v>0.0</v>
      </c>
      <c r="S52" s="141">
        <v>0.0</v>
      </c>
      <c r="T52" s="141">
        <v>0.0</v>
      </c>
      <c r="U52" s="141">
        <v>0.0</v>
      </c>
      <c r="V52" s="141">
        <v>0.0</v>
      </c>
      <c r="W52" s="141">
        <v>0.0</v>
      </c>
      <c r="X52" s="141">
        <v>0.0</v>
      </c>
      <c r="Y52" s="141">
        <v>0.0</v>
      </c>
      <c r="Z52" s="142">
        <f t="shared" si="2"/>
        <v>0</v>
      </c>
      <c r="AA52" s="143">
        <v>0.0</v>
      </c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</row>
    <row r="53" ht="15.75" customHeight="1">
      <c r="A53" s="139" t="s">
        <v>71</v>
      </c>
      <c r="B53" s="141">
        <v>0.0</v>
      </c>
      <c r="C53" s="141">
        <v>0.0</v>
      </c>
      <c r="D53" s="141">
        <v>0.0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1">
        <v>0.0</v>
      </c>
      <c r="Q53" s="141">
        <v>0.0</v>
      </c>
      <c r="R53" s="141">
        <v>0.0</v>
      </c>
      <c r="S53" s="141">
        <v>0.0</v>
      </c>
      <c r="T53" s="141">
        <v>0.0</v>
      </c>
      <c r="U53" s="141">
        <v>0.0</v>
      </c>
      <c r="V53" s="141">
        <v>0.0</v>
      </c>
      <c r="W53" s="141">
        <v>0.0</v>
      </c>
      <c r="X53" s="141">
        <v>0.0</v>
      </c>
      <c r="Y53" s="141">
        <v>0.0</v>
      </c>
      <c r="Z53" s="142">
        <f t="shared" si="2"/>
        <v>0</v>
      </c>
      <c r="AA53" s="143">
        <v>0.0</v>
      </c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</row>
    <row r="54" ht="15.75" customHeight="1">
      <c r="A54" s="139" t="s">
        <v>72</v>
      </c>
      <c r="B54" s="141">
        <v>0.0</v>
      </c>
      <c r="C54" s="141">
        <v>0.0</v>
      </c>
      <c r="D54" s="141">
        <v>0.0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1">
        <v>0.0</v>
      </c>
      <c r="Q54" s="141">
        <v>0.0</v>
      </c>
      <c r="R54" s="141">
        <v>0.0</v>
      </c>
      <c r="S54" s="141">
        <v>0.0</v>
      </c>
      <c r="T54" s="141">
        <v>0.0</v>
      </c>
      <c r="U54" s="141">
        <v>0.0</v>
      </c>
      <c r="V54" s="141">
        <v>0.0</v>
      </c>
      <c r="W54" s="141">
        <v>0.0</v>
      </c>
      <c r="X54" s="141">
        <v>0.0</v>
      </c>
      <c r="Y54" s="141">
        <v>0.0</v>
      </c>
      <c r="Z54" s="142">
        <f t="shared" si="2"/>
        <v>0</v>
      </c>
      <c r="AA54" s="143">
        <v>0.0</v>
      </c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</row>
    <row r="55" ht="15.75" customHeight="1">
      <c r="A55" s="139" t="s">
        <v>73</v>
      </c>
      <c r="B55" s="141">
        <v>0.0</v>
      </c>
      <c r="C55" s="141">
        <v>0.0</v>
      </c>
      <c r="D55" s="141">
        <v>0.0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1">
        <v>0.0</v>
      </c>
      <c r="Q55" s="141">
        <v>0.0</v>
      </c>
      <c r="R55" s="141">
        <v>0.0</v>
      </c>
      <c r="S55" s="141">
        <v>0.0</v>
      </c>
      <c r="T55" s="141">
        <v>0.0</v>
      </c>
      <c r="U55" s="141">
        <v>0.0</v>
      </c>
      <c r="V55" s="141">
        <v>0.0</v>
      </c>
      <c r="W55" s="141">
        <v>0.0</v>
      </c>
      <c r="X55" s="141">
        <v>0.0</v>
      </c>
      <c r="Y55" s="141">
        <v>0.0</v>
      </c>
      <c r="Z55" s="142">
        <f t="shared" si="2"/>
        <v>0</v>
      </c>
      <c r="AA55" s="143">
        <v>0.0</v>
      </c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</row>
    <row r="56" ht="15.75" customHeight="1">
      <c r="A56" s="139" t="s">
        <v>74</v>
      </c>
      <c r="B56" s="141">
        <v>0.0</v>
      </c>
      <c r="C56" s="141">
        <v>0.0</v>
      </c>
      <c r="D56" s="141">
        <v>0.0</v>
      </c>
      <c r="E56" s="141">
        <v>0.0</v>
      </c>
      <c r="F56" s="141">
        <v>0.0</v>
      </c>
      <c r="G56" s="141">
        <v>0.0</v>
      </c>
      <c r="H56" s="141">
        <v>0.0</v>
      </c>
      <c r="I56" s="141">
        <v>0.0</v>
      </c>
      <c r="J56" s="141">
        <v>0.0</v>
      </c>
      <c r="K56" s="141">
        <v>0.0</v>
      </c>
      <c r="L56" s="141">
        <v>0.0</v>
      </c>
      <c r="M56" s="141">
        <v>0.0</v>
      </c>
      <c r="N56" s="141">
        <v>0.0</v>
      </c>
      <c r="O56" s="141">
        <v>0.0</v>
      </c>
      <c r="P56" s="141">
        <v>0.0</v>
      </c>
      <c r="Q56" s="141">
        <v>0.0</v>
      </c>
      <c r="R56" s="141">
        <v>0.0</v>
      </c>
      <c r="S56" s="141">
        <v>0.0</v>
      </c>
      <c r="T56" s="141">
        <v>0.0</v>
      </c>
      <c r="U56" s="141">
        <v>0.0</v>
      </c>
      <c r="V56" s="141">
        <v>0.0</v>
      </c>
      <c r="W56" s="141">
        <v>0.0</v>
      </c>
      <c r="X56" s="141">
        <v>0.0</v>
      </c>
      <c r="Y56" s="141">
        <v>0.0</v>
      </c>
      <c r="Z56" s="142">
        <f t="shared" si="2"/>
        <v>0</v>
      </c>
      <c r="AA56" s="143">
        <v>0.0</v>
      </c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</row>
    <row r="57" ht="15.75" customHeight="1">
      <c r="A57" s="139" t="s">
        <v>75</v>
      </c>
      <c r="B57" s="141">
        <v>0.0</v>
      </c>
      <c r="C57" s="141">
        <v>0.0</v>
      </c>
      <c r="D57" s="141">
        <v>0.0</v>
      </c>
      <c r="E57" s="141">
        <v>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0.0</v>
      </c>
      <c r="K57" s="141">
        <v>0.0</v>
      </c>
      <c r="L57" s="141">
        <v>0.0</v>
      </c>
      <c r="M57" s="141">
        <v>0.0</v>
      </c>
      <c r="N57" s="141">
        <v>0.0</v>
      </c>
      <c r="O57" s="141">
        <v>0.0</v>
      </c>
      <c r="P57" s="141">
        <v>0.0</v>
      </c>
      <c r="Q57" s="141">
        <v>0.0</v>
      </c>
      <c r="R57" s="141">
        <v>0.0</v>
      </c>
      <c r="S57" s="141">
        <v>0.0</v>
      </c>
      <c r="T57" s="141">
        <v>0.0</v>
      </c>
      <c r="U57" s="141">
        <v>0.0</v>
      </c>
      <c r="V57" s="141">
        <v>0.0</v>
      </c>
      <c r="W57" s="141">
        <v>0.0</v>
      </c>
      <c r="X57" s="141">
        <v>0.0</v>
      </c>
      <c r="Y57" s="141">
        <v>0.0</v>
      </c>
      <c r="Z57" s="142">
        <f t="shared" si="2"/>
        <v>0</v>
      </c>
      <c r="AA57" s="143">
        <v>0.0</v>
      </c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</row>
    <row r="58" ht="15.75" customHeight="1">
      <c r="A58" s="139" t="s">
        <v>76</v>
      </c>
      <c r="B58" s="141">
        <v>0.0</v>
      </c>
      <c r="C58" s="141">
        <v>0.0</v>
      </c>
      <c r="D58" s="141">
        <v>0.0</v>
      </c>
      <c r="E58" s="141">
        <v>0.0</v>
      </c>
      <c r="F58" s="141">
        <v>0.0</v>
      </c>
      <c r="G58" s="141">
        <v>0.0</v>
      </c>
      <c r="H58" s="141">
        <v>0.0</v>
      </c>
      <c r="I58" s="141">
        <v>0.0</v>
      </c>
      <c r="J58" s="141">
        <v>1414.8</v>
      </c>
      <c r="K58" s="141">
        <v>0.0</v>
      </c>
      <c r="L58" s="141">
        <v>0.0</v>
      </c>
      <c r="M58" s="141">
        <v>0.0</v>
      </c>
      <c r="N58" s="141">
        <v>0.0</v>
      </c>
      <c r="O58" s="141">
        <v>0.0</v>
      </c>
      <c r="P58" s="141">
        <v>0.0</v>
      </c>
      <c r="Q58" s="141">
        <v>0.0</v>
      </c>
      <c r="R58" s="141">
        <v>0.0</v>
      </c>
      <c r="S58" s="141">
        <v>0.0</v>
      </c>
      <c r="T58" s="141">
        <v>0.0</v>
      </c>
      <c r="U58" s="141">
        <v>390.0</v>
      </c>
      <c r="V58" s="141">
        <v>0.0</v>
      </c>
      <c r="W58" s="141">
        <v>0.0</v>
      </c>
      <c r="X58" s="141">
        <v>0.0</v>
      </c>
      <c r="Y58" s="141">
        <v>3682.36</v>
      </c>
      <c r="Z58" s="142">
        <f t="shared" si="2"/>
        <v>5487.16</v>
      </c>
      <c r="AA58" s="143">
        <v>0.0</v>
      </c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</row>
    <row r="59" ht="15.75" customHeight="1">
      <c r="A59" s="139" t="s">
        <v>77</v>
      </c>
      <c r="B59" s="141">
        <v>0.0</v>
      </c>
      <c r="C59" s="141">
        <v>0.0</v>
      </c>
      <c r="D59" s="141">
        <v>0.0</v>
      </c>
      <c r="E59" s="141">
        <v>0.0</v>
      </c>
      <c r="F59" s="141">
        <v>0.0</v>
      </c>
      <c r="G59" s="141">
        <v>0.0</v>
      </c>
      <c r="H59" s="141">
        <v>0.0</v>
      </c>
      <c r="I59" s="141">
        <v>0.0</v>
      </c>
      <c r="J59" s="141">
        <v>0.0</v>
      </c>
      <c r="K59" s="141">
        <v>0.0</v>
      </c>
      <c r="L59" s="141">
        <v>0.0</v>
      </c>
      <c r="M59" s="141">
        <v>0.0</v>
      </c>
      <c r="N59" s="141">
        <v>0.0</v>
      </c>
      <c r="O59" s="141">
        <v>0.0</v>
      </c>
      <c r="P59" s="141">
        <v>0.0</v>
      </c>
      <c r="Q59" s="141">
        <v>0.0</v>
      </c>
      <c r="R59" s="141">
        <v>0.0</v>
      </c>
      <c r="S59" s="141">
        <v>0.0</v>
      </c>
      <c r="T59" s="141">
        <v>0.0</v>
      </c>
      <c r="U59" s="141">
        <v>0.0</v>
      </c>
      <c r="V59" s="141">
        <v>0.0</v>
      </c>
      <c r="W59" s="141">
        <v>0.0</v>
      </c>
      <c r="X59" s="141">
        <v>0.0</v>
      </c>
      <c r="Y59" s="141">
        <v>6606.02</v>
      </c>
      <c r="Z59" s="142">
        <f t="shared" si="2"/>
        <v>6606.02</v>
      </c>
      <c r="AA59" s="143">
        <v>0.0</v>
      </c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</row>
    <row r="60" ht="15.75" customHeight="1">
      <c r="A60" s="139" t="s">
        <v>78</v>
      </c>
      <c r="B60" s="141">
        <v>0.0</v>
      </c>
      <c r="C60" s="141">
        <v>0.0</v>
      </c>
      <c r="D60" s="141">
        <v>0.0</v>
      </c>
      <c r="E60" s="141">
        <v>0.0</v>
      </c>
      <c r="F60" s="141">
        <v>0.0</v>
      </c>
      <c r="G60" s="141">
        <v>0.0</v>
      </c>
      <c r="H60" s="141">
        <v>0.0</v>
      </c>
      <c r="I60" s="141">
        <v>0.0</v>
      </c>
      <c r="J60" s="141">
        <v>0.0</v>
      </c>
      <c r="K60" s="141">
        <v>0.0</v>
      </c>
      <c r="L60" s="141">
        <v>0.0</v>
      </c>
      <c r="M60" s="141">
        <v>0.0</v>
      </c>
      <c r="N60" s="141">
        <v>0.0</v>
      </c>
      <c r="O60" s="141">
        <v>0.0</v>
      </c>
      <c r="P60" s="141">
        <v>0.0</v>
      </c>
      <c r="Q60" s="141">
        <v>0.0</v>
      </c>
      <c r="R60" s="141">
        <v>0.0</v>
      </c>
      <c r="S60" s="141">
        <v>0.0</v>
      </c>
      <c r="T60" s="141">
        <v>0.0</v>
      </c>
      <c r="U60" s="141">
        <v>0.0</v>
      </c>
      <c r="V60" s="141">
        <v>0.0</v>
      </c>
      <c r="W60" s="141">
        <v>0.0</v>
      </c>
      <c r="X60" s="141">
        <v>0.0</v>
      </c>
      <c r="Y60" s="141">
        <v>2231.14</v>
      </c>
      <c r="Z60" s="142">
        <f t="shared" si="2"/>
        <v>2231.14</v>
      </c>
      <c r="AA60" s="143">
        <v>0.0</v>
      </c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</row>
    <row r="61" ht="15.75" customHeight="1">
      <c r="A61" s="139" t="s">
        <v>79</v>
      </c>
      <c r="B61" s="141">
        <v>0.0</v>
      </c>
      <c r="C61" s="141">
        <v>0.0</v>
      </c>
      <c r="D61" s="141">
        <v>0.0</v>
      </c>
      <c r="E61" s="141">
        <v>0.0</v>
      </c>
      <c r="F61" s="141">
        <v>1288.0</v>
      </c>
      <c r="G61" s="141">
        <v>120.0</v>
      </c>
      <c r="H61" s="141">
        <v>380.0</v>
      </c>
      <c r="I61" s="141">
        <v>1120.0</v>
      </c>
      <c r="J61" s="141">
        <v>109872.37</v>
      </c>
      <c r="K61" s="141">
        <v>0.0</v>
      </c>
      <c r="L61" s="141">
        <v>736.0</v>
      </c>
      <c r="M61" s="141">
        <v>4640.0</v>
      </c>
      <c r="N61" s="141">
        <v>0.0</v>
      </c>
      <c r="O61" s="141">
        <v>1440.0</v>
      </c>
      <c r="P61" s="141">
        <v>0.0</v>
      </c>
      <c r="Q61" s="141">
        <v>924.0</v>
      </c>
      <c r="R61" s="141">
        <v>1232.0</v>
      </c>
      <c r="S61" s="141">
        <v>7794.0</v>
      </c>
      <c r="T61" s="141">
        <v>5350.0</v>
      </c>
      <c r="U61" s="141">
        <v>792.0</v>
      </c>
      <c r="V61" s="141">
        <v>0.0</v>
      </c>
      <c r="W61" s="141">
        <v>9500.0</v>
      </c>
      <c r="X61" s="141">
        <v>0.0</v>
      </c>
      <c r="Y61" s="141">
        <v>0.0</v>
      </c>
      <c r="Z61" s="142">
        <f t="shared" si="2"/>
        <v>145188.37</v>
      </c>
      <c r="AA61" s="143">
        <v>0.04</v>
      </c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</row>
    <row r="62" ht="15.75" customHeight="1">
      <c r="A62" s="139" t="s">
        <v>80</v>
      </c>
      <c r="B62" s="141">
        <v>0.0</v>
      </c>
      <c r="C62" s="141">
        <v>0.0</v>
      </c>
      <c r="D62" s="141">
        <v>0.0</v>
      </c>
      <c r="E62" s="141">
        <v>0.0</v>
      </c>
      <c r="F62" s="141">
        <v>0.0</v>
      </c>
      <c r="G62" s="141">
        <v>0.0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0.0</v>
      </c>
      <c r="N62" s="141">
        <v>0.0</v>
      </c>
      <c r="O62" s="141">
        <v>0.0</v>
      </c>
      <c r="P62" s="141">
        <v>0.0</v>
      </c>
      <c r="Q62" s="141">
        <v>0.0</v>
      </c>
      <c r="R62" s="141">
        <v>0.0</v>
      </c>
      <c r="S62" s="141">
        <v>0.0</v>
      </c>
      <c r="T62" s="141">
        <v>0.0</v>
      </c>
      <c r="U62" s="141">
        <v>0.0</v>
      </c>
      <c r="V62" s="141">
        <v>0.0</v>
      </c>
      <c r="W62" s="141">
        <v>0.0</v>
      </c>
      <c r="X62" s="141">
        <v>0.0</v>
      </c>
      <c r="Y62" s="141">
        <v>2368.81</v>
      </c>
      <c r="Z62" s="142">
        <f t="shared" si="2"/>
        <v>2368.81</v>
      </c>
      <c r="AA62" s="143">
        <v>0.0</v>
      </c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</row>
    <row r="63" ht="15.75" customHeight="1">
      <c r="A63" s="139" t="s">
        <v>81</v>
      </c>
      <c r="B63" s="141">
        <v>0.0</v>
      </c>
      <c r="C63" s="141">
        <v>0.0</v>
      </c>
      <c r="D63" s="141">
        <v>0.0</v>
      </c>
      <c r="E63" s="141">
        <v>0.0</v>
      </c>
      <c r="F63" s="141">
        <v>0.0</v>
      </c>
      <c r="G63" s="141">
        <v>2860.0</v>
      </c>
      <c r="H63" s="141">
        <v>0.0</v>
      </c>
      <c r="I63" s="141">
        <v>0.0</v>
      </c>
      <c r="J63" s="141">
        <v>0.0</v>
      </c>
      <c r="K63" s="141">
        <v>0.0</v>
      </c>
      <c r="L63" s="141">
        <v>0.0</v>
      </c>
      <c r="M63" s="141">
        <v>0.0</v>
      </c>
      <c r="N63" s="141">
        <v>0.0</v>
      </c>
      <c r="O63" s="141">
        <v>0.0</v>
      </c>
      <c r="P63" s="141">
        <v>0.0</v>
      </c>
      <c r="Q63" s="141">
        <v>0.0</v>
      </c>
      <c r="R63" s="141">
        <v>0.0</v>
      </c>
      <c r="S63" s="141">
        <v>0.0</v>
      </c>
      <c r="T63" s="141">
        <v>0.0</v>
      </c>
      <c r="U63" s="141">
        <v>0.0</v>
      </c>
      <c r="V63" s="141">
        <v>0.0</v>
      </c>
      <c r="W63" s="141">
        <v>0.0</v>
      </c>
      <c r="X63" s="141">
        <v>0.0</v>
      </c>
      <c r="Y63" s="141">
        <v>0.0</v>
      </c>
      <c r="Z63" s="142">
        <f t="shared" si="2"/>
        <v>2860</v>
      </c>
      <c r="AA63" s="143">
        <v>0.0</v>
      </c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</row>
    <row r="64" ht="15.75" customHeight="1">
      <c r="A64" s="139" t="s">
        <v>82</v>
      </c>
      <c r="B64" s="141">
        <v>970.0</v>
      </c>
      <c r="C64" s="141">
        <v>970.0</v>
      </c>
      <c r="D64" s="141">
        <v>970.0</v>
      </c>
      <c r="E64" s="141">
        <v>0.0</v>
      </c>
      <c r="F64" s="141">
        <v>966.36</v>
      </c>
      <c r="G64" s="141">
        <v>970.0</v>
      </c>
      <c r="H64" s="141">
        <v>970.0</v>
      </c>
      <c r="I64" s="141">
        <v>970.0</v>
      </c>
      <c r="J64" s="141">
        <v>970.0</v>
      </c>
      <c r="K64" s="141">
        <v>970.0</v>
      </c>
      <c r="L64" s="141">
        <v>970.0</v>
      </c>
      <c r="M64" s="141">
        <v>970.0</v>
      </c>
      <c r="N64" s="141">
        <v>970.0</v>
      </c>
      <c r="O64" s="141">
        <v>970.0</v>
      </c>
      <c r="P64" s="141">
        <v>970.0</v>
      </c>
      <c r="Q64" s="141">
        <v>970.0</v>
      </c>
      <c r="R64" s="141">
        <v>970.0</v>
      </c>
      <c r="S64" s="141">
        <v>970.0</v>
      </c>
      <c r="T64" s="141">
        <v>970.0</v>
      </c>
      <c r="U64" s="141">
        <v>970.0</v>
      </c>
      <c r="V64" s="141">
        <v>970.0</v>
      </c>
      <c r="W64" s="141">
        <v>970.0</v>
      </c>
      <c r="X64" s="141">
        <v>970.0</v>
      </c>
      <c r="Y64" s="141">
        <v>2201.59</v>
      </c>
      <c r="Z64" s="142">
        <f t="shared" si="2"/>
        <v>23537.95</v>
      </c>
      <c r="AA64" s="143">
        <v>0.01</v>
      </c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</row>
    <row r="65" ht="15.75" customHeight="1">
      <c r="A65" s="139" t="s">
        <v>83</v>
      </c>
      <c r="B65" s="141">
        <v>0.0</v>
      </c>
      <c r="C65" s="141">
        <v>0.0</v>
      </c>
      <c r="D65" s="141">
        <v>0.0</v>
      </c>
      <c r="E65" s="141">
        <v>0.0</v>
      </c>
      <c r="F65" s="141">
        <v>0.0</v>
      </c>
      <c r="G65" s="141">
        <v>0.0</v>
      </c>
      <c r="H65" s="141">
        <v>0.0</v>
      </c>
      <c r="I65" s="141">
        <v>0.0</v>
      </c>
      <c r="J65" s="141">
        <v>0.0</v>
      </c>
      <c r="K65" s="141">
        <v>0.0</v>
      </c>
      <c r="L65" s="141">
        <v>0.0</v>
      </c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0.0</v>
      </c>
      <c r="T65" s="141">
        <v>0.0</v>
      </c>
      <c r="U65" s="141">
        <v>0.0</v>
      </c>
      <c r="V65" s="141">
        <v>0.0</v>
      </c>
      <c r="W65" s="141">
        <v>0.0</v>
      </c>
      <c r="X65" s="141">
        <v>0.0</v>
      </c>
      <c r="Y65" s="141">
        <v>7847.45</v>
      </c>
      <c r="Z65" s="142">
        <f t="shared" si="2"/>
        <v>7847.45</v>
      </c>
      <c r="AA65" s="143">
        <v>0.0</v>
      </c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</row>
    <row r="66" ht="15.75" customHeight="1">
      <c r="A66" s="139" t="s">
        <v>84</v>
      </c>
      <c r="B66" s="141">
        <v>0.0</v>
      </c>
      <c r="C66" s="141">
        <v>0.0</v>
      </c>
      <c r="D66" s="141">
        <v>0.0</v>
      </c>
      <c r="E66" s="141">
        <v>0.0</v>
      </c>
      <c r="F66" s="141">
        <v>0.0</v>
      </c>
      <c r="G66" s="141">
        <v>0.0</v>
      </c>
      <c r="H66" s="141">
        <v>0.0</v>
      </c>
      <c r="I66" s="141">
        <v>0.0</v>
      </c>
      <c r="J66" s="141">
        <v>0.0</v>
      </c>
      <c r="K66" s="141">
        <v>0.0</v>
      </c>
      <c r="L66" s="141">
        <v>0.0</v>
      </c>
      <c r="M66" s="141">
        <v>0.0</v>
      </c>
      <c r="N66" s="141">
        <v>0.0</v>
      </c>
      <c r="O66" s="141">
        <v>0.0</v>
      </c>
      <c r="P66" s="141">
        <v>0.0</v>
      </c>
      <c r="Q66" s="141">
        <v>0.0</v>
      </c>
      <c r="R66" s="141">
        <v>0.0</v>
      </c>
      <c r="S66" s="141">
        <v>0.0</v>
      </c>
      <c r="T66" s="141">
        <v>0.0</v>
      </c>
      <c r="U66" s="141">
        <v>0.0</v>
      </c>
      <c r="V66" s="141">
        <v>0.0</v>
      </c>
      <c r="W66" s="141">
        <v>0.0</v>
      </c>
      <c r="X66" s="141">
        <v>0.0</v>
      </c>
      <c r="Y66" s="141">
        <v>505000.0</v>
      </c>
      <c r="Z66" s="142">
        <f t="shared" si="2"/>
        <v>505000</v>
      </c>
      <c r="AA66" s="143">
        <v>0.15</v>
      </c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</row>
    <row r="67" ht="15.75" customHeight="1">
      <c r="A67" s="139" t="s">
        <v>85</v>
      </c>
      <c r="B67" s="141">
        <v>4457.99</v>
      </c>
      <c r="C67" s="141">
        <v>0.0</v>
      </c>
      <c r="D67" s="141">
        <v>2132.91</v>
      </c>
      <c r="E67" s="141">
        <v>0.0</v>
      </c>
      <c r="F67" s="141">
        <v>1047.08</v>
      </c>
      <c r="G67" s="141">
        <v>2136.76</v>
      </c>
      <c r="H67" s="141">
        <v>1336.87</v>
      </c>
      <c r="I67" s="141">
        <v>1072.5</v>
      </c>
      <c r="J67" s="141">
        <v>10791.96</v>
      </c>
      <c r="K67" s="141">
        <v>6692.28</v>
      </c>
      <c r="L67" s="141">
        <v>1053.16</v>
      </c>
      <c r="M67" s="141">
        <v>4295.33</v>
      </c>
      <c r="N67" s="141">
        <v>0.0</v>
      </c>
      <c r="O67" s="141">
        <v>3288.64</v>
      </c>
      <c r="P67" s="141">
        <v>1763.07</v>
      </c>
      <c r="Q67" s="141">
        <v>20963.25</v>
      </c>
      <c r="R67" s="141">
        <v>1907.87</v>
      </c>
      <c r="S67" s="141">
        <v>4256.39</v>
      </c>
      <c r="T67" s="141">
        <v>5529.94</v>
      </c>
      <c r="U67" s="141">
        <v>3308.37</v>
      </c>
      <c r="V67" s="141">
        <v>2119.88</v>
      </c>
      <c r="W67" s="141">
        <v>7500.35</v>
      </c>
      <c r="X67" s="141">
        <v>1357.08</v>
      </c>
      <c r="Y67" s="141">
        <f>31331.65+4052.26</f>
        <v>35383.91</v>
      </c>
      <c r="Z67" s="142">
        <f t="shared" si="2"/>
        <v>122395.59</v>
      </c>
      <c r="AA67" s="143">
        <v>0.04</v>
      </c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</row>
    <row r="68" ht="15.75" customHeight="1">
      <c r="A68" s="139" t="s">
        <v>86</v>
      </c>
      <c r="B68" s="141">
        <v>2543.91</v>
      </c>
      <c r="C68" s="141">
        <v>0.0</v>
      </c>
      <c r="D68" s="141">
        <v>917.19</v>
      </c>
      <c r="E68" s="141">
        <v>0.0</v>
      </c>
      <c r="F68" s="141">
        <v>453.45</v>
      </c>
      <c r="G68" s="141">
        <v>926.73</v>
      </c>
      <c r="H68" s="141">
        <v>727.87</v>
      </c>
      <c r="I68" s="141">
        <v>472.81</v>
      </c>
      <c r="J68" s="141">
        <v>5362.57</v>
      </c>
      <c r="K68" s="141">
        <v>2919.96</v>
      </c>
      <c r="L68" s="141">
        <v>441.78</v>
      </c>
      <c r="M68" s="141">
        <v>1806.23</v>
      </c>
      <c r="N68" s="141">
        <v>0.0</v>
      </c>
      <c r="O68" s="141">
        <v>1336.02</v>
      </c>
      <c r="P68" s="141">
        <v>918.0</v>
      </c>
      <c r="Q68" s="141">
        <v>8625.57</v>
      </c>
      <c r="R68" s="141">
        <v>915.01</v>
      </c>
      <c r="S68" s="141">
        <v>1795.01</v>
      </c>
      <c r="T68" s="141">
        <v>2260.77</v>
      </c>
      <c r="U68" s="141">
        <v>1504.01</v>
      </c>
      <c r="V68" s="141">
        <v>904.95</v>
      </c>
      <c r="W68" s="141">
        <v>2828.29</v>
      </c>
      <c r="X68" s="141">
        <v>528.08</v>
      </c>
      <c r="Y68" s="141">
        <v>16869.38</v>
      </c>
      <c r="Z68" s="142">
        <f t="shared" si="2"/>
        <v>55057.59</v>
      </c>
      <c r="AA68" s="143">
        <v>0.02</v>
      </c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</row>
    <row r="69" ht="15.75" customHeight="1">
      <c r="A69" s="139" t="s">
        <v>87</v>
      </c>
      <c r="B69" s="141">
        <v>4265.35</v>
      </c>
      <c r="C69" s="141">
        <v>0.0</v>
      </c>
      <c r="D69" s="141">
        <v>1546.74</v>
      </c>
      <c r="E69" s="141">
        <v>0.0</v>
      </c>
      <c r="F69" s="141">
        <v>764.69</v>
      </c>
      <c r="G69" s="141">
        <v>1562.85</v>
      </c>
      <c r="H69" s="141">
        <v>1227.48</v>
      </c>
      <c r="I69" s="141">
        <v>797.34</v>
      </c>
      <c r="J69" s="141">
        <v>9471.3</v>
      </c>
      <c r="K69" s="141">
        <v>4972.5</v>
      </c>
      <c r="L69" s="141">
        <v>745.02</v>
      </c>
      <c r="M69" s="141">
        <v>3046.03</v>
      </c>
      <c r="N69" s="141">
        <v>0.0</v>
      </c>
      <c r="O69" s="141">
        <v>2253.05</v>
      </c>
      <c r="P69" s="141">
        <v>1548.12</v>
      </c>
      <c r="Q69" s="141">
        <v>14546.23</v>
      </c>
      <c r="R69" s="141">
        <v>1543.08</v>
      </c>
      <c r="S69" s="141">
        <v>3027.12</v>
      </c>
      <c r="T69" s="141">
        <v>3812.59</v>
      </c>
      <c r="U69" s="141">
        <v>2595.6</v>
      </c>
      <c r="V69" s="141">
        <v>1526.12</v>
      </c>
      <c r="W69" s="141">
        <v>4795.2</v>
      </c>
      <c r="X69" s="141">
        <v>842.31</v>
      </c>
      <c r="Y69" s="141">
        <v>30128.57</v>
      </c>
      <c r="Z69" s="142">
        <f t="shared" si="2"/>
        <v>95017.29</v>
      </c>
      <c r="AA69" s="143">
        <v>0.03</v>
      </c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</row>
    <row r="70" ht="15.75" customHeight="1">
      <c r="A70" s="139" t="s">
        <v>88</v>
      </c>
      <c r="B70" s="141">
        <v>1461.63</v>
      </c>
      <c r="C70" s="141">
        <v>0.0</v>
      </c>
      <c r="D70" s="141">
        <v>684.91</v>
      </c>
      <c r="E70" s="141">
        <v>0.0</v>
      </c>
      <c r="F70" s="141">
        <v>390.62</v>
      </c>
      <c r="G70" s="141">
        <v>751.77</v>
      </c>
      <c r="H70" s="141">
        <v>449.5</v>
      </c>
      <c r="I70" s="141">
        <v>359.48</v>
      </c>
      <c r="J70" s="141">
        <v>3679.0</v>
      </c>
      <c r="K70" s="141">
        <v>2099.75</v>
      </c>
      <c r="L70" s="141">
        <v>375.62</v>
      </c>
      <c r="M70" s="141">
        <v>1245.7</v>
      </c>
      <c r="N70" s="141">
        <v>354.78</v>
      </c>
      <c r="O70" s="141">
        <v>1364.02</v>
      </c>
      <c r="P70" s="141">
        <v>693.54</v>
      </c>
      <c r="Q70" s="141">
        <v>5699.95</v>
      </c>
      <c r="R70" s="141">
        <v>1143.49</v>
      </c>
      <c r="S70" s="141">
        <v>1386.8</v>
      </c>
      <c r="T70" s="141">
        <v>1468.6</v>
      </c>
      <c r="U70" s="141">
        <v>1202.04</v>
      </c>
      <c r="V70" s="141">
        <v>790.11</v>
      </c>
      <c r="W70" s="141">
        <v>2344.2</v>
      </c>
      <c r="X70" s="141">
        <v>534.05</v>
      </c>
      <c r="Y70" s="141">
        <v>14481.37</v>
      </c>
      <c r="Z70" s="142">
        <f t="shared" si="2"/>
        <v>42960.93</v>
      </c>
      <c r="AA70" s="143">
        <v>0.01</v>
      </c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</row>
    <row r="71" ht="15.75" customHeight="1">
      <c r="A71" s="40" t="s">
        <v>89</v>
      </c>
      <c r="B71" s="151">
        <v>5320.0</v>
      </c>
      <c r="C71" s="152"/>
      <c r="D71" s="152"/>
      <c r="E71" s="151">
        <v>4500.0</v>
      </c>
      <c r="F71" s="152"/>
      <c r="G71" s="153">
        <v>3900.0</v>
      </c>
      <c r="H71" s="151">
        <v>280.0</v>
      </c>
      <c r="I71" s="152"/>
      <c r="J71" s="152"/>
      <c r="K71" s="151">
        <v>3080.0</v>
      </c>
      <c r="L71" s="152"/>
      <c r="M71" s="151">
        <v>280.0</v>
      </c>
      <c r="N71" s="152"/>
      <c r="O71" s="152"/>
      <c r="P71" s="152"/>
      <c r="Q71" s="151">
        <v>1680.0</v>
      </c>
      <c r="R71" s="152"/>
      <c r="S71" s="151">
        <v>280.0</v>
      </c>
      <c r="T71" s="151"/>
      <c r="U71" s="151"/>
      <c r="V71" s="151"/>
      <c r="W71" s="151">
        <v>2520.0</v>
      </c>
      <c r="X71" s="152"/>
      <c r="Y71" s="151">
        <v>560.0</v>
      </c>
      <c r="Z71" s="142">
        <f t="shared" si="2"/>
        <v>22400</v>
      </c>
      <c r="AA71" s="143">
        <v>0.01</v>
      </c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</row>
    <row r="72" ht="15.75" customHeight="1">
      <c r="A72" s="139" t="s">
        <v>91</v>
      </c>
      <c r="B72" s="151">
        <v>0.0</v>
      </c>
      <c r="C72" s="151">
        <v>0.0</v>
      </c>
      <c r="D72" s="151">
        <v>0.0</v>
      </c>
      <c r="E72" s="151">
        <v>0.0</v>
      </c>
      <c r="F72" s="151">
        <v>0.0</v>
      </c>
      <c r="G72" s="151">
        <v>628.0</v>
      </c>
      <c r="H72" s="151">
        <v>0.0</v>
      </c>
      <c r="I72" s="151">
        <v>0.0</v>
      </c>
      <c r="J72" s="151">
        <v>0.0</v>
      </c>
      <c r="K72" s="151">
        <v>0.0</v>
      </c>
      <c r="L72" s="151">
        <v>0.0</v>
      </c>
      <c r="M72" s="151">
        <v>0.0</v>
      </c>
      <c r="N72" s="151">
        <v>0.0</v>
      </c>
      <c r="O72" s="151">
        <v>0.0</v>
      </c>
      <c r="P72" s="151">
        <v>0.0</v>
      </c>
      <c r="Q72" s="151">
        <v>0.0</v>
      </c>
      <c r="R72" s="151">
        <v>0.0</v>
      </c>
      <c r="S72" s="151">
        <v>0.0</v>
      </c>
      <c r="T72" s="151">
        <v>0.0</v>
      </c>
      <c r="U72" s="151">
        <v>0.0</v>
      </c>
      <c r="V72" s="151">
        <v>0.0</v>
      </c>
      <c r="W72" s="151">
        <v>0.0</v>
      </c>
      <c r="X72" s="151">
        <v>0.0</v>
      </c>
      <c r="Y72" s="153">
        <v>16734.0</v>
      </c>
      <c r="Z72" s="142">
        <f t="shared" si="2"/>
        <v>17362</v>
      </c>
      <c r="AA72" s="143">
        <v>0.01</v>
      </c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</row>
    <row r="73" ht="15.75" customHeight="1">
      <c r="A73" s="139" t="s">
        <v>92</v>
      </c>
      <c r="B73" s="141">
        <v>422.0</v>
      </c>
      <c r="C73" s="141">
        <v>0.0</v>
      </c>
      <c r="D73" s="141">
        <v>0.0</v>
      </c>
      <c r="E73" s="141">
        <v>0.0</v>
      </c>
      <c r="F73" s="141">
        <v>60.0</v>
      </c>
      <c r="G73" s="141">
        <v>127.0</v>
      </c>
      <c r="H73" s="141">
        <v>313.0</v>
      </c>
      <c r="I73" s="141">
        <v>138.0</v>
      </c>
      <c r="J73" s="141">
        <v>0.0</v>
      </c>
      <c r="K73" s="141">
        <v>0.0</v>
      </c>
      <c r="L73" s="141">
        <v>0.0</v>
      </c>
      <c r="M73" s="141">
        <v>343.0</v>
      </c>
      <c r="N73" s="141">
        <v>0.0</v>
      </c>
      <c r="O73" s="141">
        <v>350.0</v>
      </c>
      <c r="P73" s="141">
        <v>0.0</v>
      </c>
      <c r="Q73" s="141">
        <v>650.0</v>
      </c>
      <c r="R73" s="141">
        <v>350.0</v>
      </c>
      <c r="S73" s="141">
        <v>350.0</v>
      </c>
      <c r="T73" s="141">
        <v>350.0</v>
      </c>
      <c r="U73" s="141">
        <v>350.0</v>
      </c>
      <c r="V73" s="141">
        <v>350.0</v>
      </c>
      <c r="W73" s="141">
        <v>350.0</v>
      </c>
      <c r="X73" s="141">
        <v>0.0</v>
      </c>
      <c r="Y73" s="141">
        <f>24495.47+72</f>
        <v>24567.47</v>
      </c>
      <c r="Z73" s="142">
        <f t="shared" si="2"/>
        <v>29070.47</v>
      </c>
      <c r="AA73" s="143">
        <v>0.01</v>
      </c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</row>
    <row r="74" ht="15.75" customHeight="1">
      <c r="A74" s="146" t="s">
        <v>93</v>
      </c>
      <c r="B74" s="148">
        <f t="shared" ref="B74:Z74" si="3">SUM(B29:B73)</f>
        <v>209069.83</v>
      </c>
      <c r="C74" s="148">
        <f t="shared" si="3"/>
        <v>970</v>
      </c>
      <c r="D74" s="148">
        <f t="shared" si="3"/>
        <v>197158.46</v>
      </c>
      <c r="E74" s="148">
        <f t="shared" si="3"/>
        <v>4500</v>
      </c>
      <c r="F74" s="148">
        <f t="shared" si="3"/>
        <v>33324.7</v>
      </c>
      <c r="G74" s="148">
        <f t="shared" si="3"/>
        <v>36644.78</v>
      </c>
      <c r="H74" s="148">
        <f t="shared" si="3"/>
        <v>24539.99</v>
      </c>
      <c r="I74" s="148">
        <f t="shared" si="3"/>
        <v>19604.74</v>
      </c>
      <c r="J74" s="148">
        <f t="shared" si="3"/>
        <v>381305.72</v>
      </c>
      <c r="K74" s="148">
        <f t="shared" si="3"/>
        <v>88280.4</v>
      </c>
      <c r="L74" s="148">
        <f t="shared" si="3"/>
        <v>15371.37</v>
      </c>
      <c r="M74" s="148">
        <f t="shared" si="3"/>
        <v>57038.9</v>
      </c>
      <c r="N74" s="148">
        <f t="shared" si="3"/>
        <v>11885.32</v>
      </c>
      <c r="O74" s="148">
        <f t="shared" si="3"/>
        <v>63488.63</v>
      </c>
      <c r="P74" s="148">
        <f t="shared" si="3"/>
        <v>28904.22</v>
      </c>
      <c r="Q74" s="148">
        <f t="shared" si="3"/>
        <v>223431.01</v>
      </c>
      <c r="R74" s="148">
        <f t="shared" si="3"/>
        <v>41173.98</v>
      </c>
      <c r="S74" s="148">
        <f t="shared" si="3"/>
        <v>76188.91</v>
      </c>
      <c r="T74" s="148">
        <f t="shared" si="3"/>
        <v>71724.94</v>
      </c>
      <c r="U74" s="148">
        <f t="shared" si="3"/>
        <v>47375.25</v>
      </c>
      <c r="V74" s="148">
        <f t="shared" si="3"/>
        <v>37583.28</v>
      </c>
      <c r="W74" s="148">
        <f t="shared" si="3"/>
        <v>103325.75</v>
      </c>
      <c r="X74" s="148">
        <f t="shared" si="3"/>
        <v>19254.76</v>
      </c>
      <c r="Y74" s="148">
        <f t="shared" si="3"/>
        <v>1472229.25</v>
      </c>
      <c r="Z74" s="147">
        <f t="shared" si="3"/>
        <v>3264374.19</v>
      </c>
      <c r="AA74" s="148">
        <v>1.0</v>
      </c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54"/>
      <c r="AA75" s="139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</row>
    <row r="76" ht="15.75" customHeight="1">
      <c r="A76" s="146" t="s">
        <v>5</v>
      </c>
      <c r="B76" s="147">
        <v>1757656.0</v>
      </c>
      <c r="C76" s="147">
        <v>28683.45</v>
      </c>
      <c r="D76" s="148">
        <v>52740.68</v>
      </c>
      <c r="E76" s="148">
        <v>23953.0</v>
      </c>
      <c r="F76" s="148">
        <v>11047.73</v>
      </c>
      <c r="G76" s="148">
        <v>199561.76</v>
      </c>
      <c r="H76" s="148">
        <v>231695.77</v>
      </c>
      <c r="I76" s="148">
        <v>22273.71</v>
      </c>
      <c r="J76" s="148">
        <v>1851992.57</v>
      </c>
      <c r="K76" s="148">
        <v>258597.38</v>
      </c>
      <c r="L76" s="147">
        <v>24887.25</v>
      </c>
      <c r="M76" s="148">
        <v>128683.53</v>
      </c>
      <c r="N76" s="148">
        <v>17403.47</v>
      </c>
      <c r="O76" s="148">
        <v>27784.64</v>
      </c>
      <c r="P76" s="148">
        <v>3095.78</v>
      </c>
      <c r="Q76" s="148">
        <v>-157330.16</v>
      </c>
      <c r="R76" s="148">
        <v>51310.69</v>
      </c>
      <c r="S76" s="148">
        <v>74864.96</v>
      </c>
      <c r="T76" s="148">
        <v>374579.45</v>
      </c>
      <c r="U76" s="148">
        <v>-18039.05</v>
      </c>
      <c r="V76" s="148">
        <v>90290.72</v>
      </c>
      <c r="W76" s="148">
        <v>728869.07</v>
      </c>
      <c r="X76" s="148">
        <v>-19254.76</v>
      </c>
      <c r="Y76" s="147">
        <v>-1437169.88</v>
      </c>
      <c r="Z76" s="147">
        <v>4323567.8</v>
      </c>
      <c r="AA76" s="139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6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</row>
    <row r="78" ht="15.75" customHeight="1">
      <c r="A78" s="155" t="s">
        <v>3</v>
      </c>
      <c r="B78" s="156">
        <v>489414.0</v>
      </c>
      <c r="C78" s="156">
        <v>7170.86</v>
      </c>
      <c r="D78" s="156">
        <v>52740.68</v>
      </c>
      <c r="E78" s="156">
        <v>23953.0</v>
      </c>
      <c r="F78" s="156">
        <v>11047.73</v>
      </c>
      <c r="G78" s="156">
        <v>29934.26</v>
      </c>
      <c r="H78" s="156">
        <v>39629.15</v>
      </c>
      <c r="I78" s="156">
        <v>12000.0</v>
      </c>
      <c r="J78" s="156">
        <v>157419.37</v>
      </c>
      <c r="K78" s="156">
        <v>77579.21</v>
      </c>
      <c r="L78" s="156">
        <v>11923.03</v>
      </c>
      <c r="M78" s="156">
        <v>25135.26</v>
      </c>
      <c r="N78" s="156">
        <v>17403.47</v>
      </c>
      <c r="O78" s="156">
        <v>17722.77</v>
      </c>
      <c r="P78" s="156">
        <v>3095.78</v>
      </c>
      <c r="Q78" s="156">
        <v>70382.37</v>
      </c>
      <c r="R78" s="156">
        <v>15851.89</v>
      </c>
      <c r="S78" s="156">
        <v>23965.2</v>
      </c>
      <c r="T78" s="156">
        <v>74915.89</v>
      </c>
      <c r="U78" s="156">
        <v>17254.0</v>
      </c>
      <c r="V78" s="156">
        <v>16900.0</v>
      </c>
      <c r="W78" s="156">
        <v>65598.22</v>
      </c>
      <c r="X78" s="156">
        <v>-19254.76</v>
      </c>
      <c r="Y78" s="156">
        <v>-1437169.88</v>
      </c>
      <c r="Z78" s="157">
        <v>-199998.46</v>
      </c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</row>
    <row r="79" ht="15.75" customHeight="1">
      <c r="A79" s="158" t="s">
        <v>274</v>
      </c>
      <c r="B79" s="159">
        <v>1268242.0</v>
      </c>
      <c r="C79" s="159">
        <v>21512.59</v>
      </c>
      <c r="D79" s="160"/>
      <c r="E79" s="160"/>
      <c r="F79" s="160"/>
      <c r="G79" s="159">
        <v>169627.5</v>
      </c>
      <c r="H79" s="159">
        <v>192066.62</v>
      </c>
      <c r="I79" s="159">
        <v>10273.71</v>
      </c>
      <c r="J79" s="159">
        <v>1694573.2</v>
      </c>
      <c r="K79" s="159">
        <v>181018.17</v>
      </c>
      <c r="L79" s="159">
        <v>12964.22</v>
      </c>
      <c r="M79" s="159">
        <v>103548.27</v>
      </c>
      <c r="N79" s="160"/>
      <c r="O79" s="159">
        <v>10061.87</v>
      </c>
      <c r="P79" s="160"/>
      <c r="Q79" s="159">
        <v>-227712.53</v>
      </c>
      <c r="R79" s="159">
        <v>35458.8</v>
      </c>
      <c r="S79" s="159">
        <v>50899.76</v>
      </c>
      <c r="T79" s="159">
        <v>299663.56</v>
      </c>
      <c r="U79" s="159">
        <v>-35293.05</v>
      </c>
      <c r="V79" s="159">
        <v>73390.72</v>
      </c>
      <c r="W79" s="159">
        <v>663270.85</v>
      </c>
      <c r="X79" s="160"/>
      <c r="Y79" s="160"/>
      <c r="Z79" s="161">
        <v>4523566.26</v>
      </c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</row>
    <row r="80" ht="15.75" customHeight="1">
      <c r="A80" s="158" t="s">
        <v>275</v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2">
        <v>5982.5</v>
      </c>
      <c r="R80" s="162">
        <v>1347.41</v>
      </c>
      <c r="S80" s="160"/>
      <c r="T80" s="162">
        <v>6367.85</v>
      </c>
      <c r="U80" s="162">
        <v>1466.59</v>
      </c>
      <c r="V80" s="162">
        <v>1436.5</v>
      </c>
      <c r="W80" s="160"/>
      <c r="X80" s="160"/>
      <c r="Y80" s="160"/>
      <c r="Z80" s="161">
        <v>16600.85</v>
      </c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</row>
    <row r="81" ht="15.7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6"/>
      <c r="W81" s="135"/>
      <c r="X81" s="135"/>
      <c r="Y81" s="163" t="s">
        <v>3</v>
      </c>
      <c r="Z81" s="164">
        <v>-217643.31</v>
      </c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</row>
    <row r="82" ht="15.7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6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</row>
    <row r="83" ht="15.75" customHeight="1">
      <c r="A83" s="155" t="s">
        <v>276</v>
      </c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6"/>
      <c r="W83" s="165"/>
      <c r="X83" s="165"/>
      <c r="Y83" s="165"/>
      <c r="Z83" s="167" t="s">
        <v>56</v>
      </c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</row>
    <row r="84" ht="15.75" customHeight="1">
      <c r="A84" s="158" t="s">
        <v>277</v>
      </c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8"/>
      <c r="W84" s="160"/>
      <c r="X84" s="160"/>
      <c r="Y84" s="159">
        <v>1044.0</v>
      </c>
      <c r="Z84" s="161">
        <v>1044.0</v>
      </c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</row>
    <row r="85" ht="15.7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6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</row>
    <row r="86" ht="15.7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6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</row>
    <row r="87" ht="15.7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6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A2"/>
    <mergeCell ref="A3:AA3"/>
    <mergeCell ref="A4:AA4"/>
    <mergeCell ref="B7:AA7"/>
    <mergeCell ref="A28:AA28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6.13"/>
    <col customWidth="1" min="3" max="3" width="20.13"/>
    <col customWidth="1" min="4" max="10" width="12.25"/>
    <col customWidth="1" min="11" max="11" width="6.13"/>
    <col customWidth="1" min="12" max="12" width="9.5"/>
    <col customWidth="1" min="13" max="13" width="6.88"/>
    <col customWidth="1" min="14" max="14" width="9.0"/>
    <col customWidth="1" min="15" max="15" width="8.5"/>
    <col customWidth="1" min="16" max="16" width="13.13"/>
    <col customWidth="1" min="17" max="17" width="9.75"/>
    <col customWidth="1" min="18" max="18" width="17.63"/>
    <col customWidth="1" min="19" max="19" width="11.13"/>
    <col customWidth="1" min="20" max="20" width="14.0"/>
    <col customWidth="1" min="21" max="21" width="9.5"/>
    <col customWidth="1" min="22" max="22" width="22.25"/>
    <col customWidth="1" min="23" max="23" width="12.0"/>
    <col customWidth="1" min="24" max="24" width="17.75"/>
    <col customWidth="1" min="25" max="25" width="17.13"/>
    <col customWidth="1" min="26" max="26" width="10.5"/>
    <col customWidth="1" min="27" max="27" width="13.13"/>
    <col customWidth="1" min="28" max="28" width="15.0"/>
    <col customWidth="1" min="29" max="29" width="17.63"/>
    <col customWidth="1" min="30" max="30" width="10.88"/>
    <col customWidth="1" min="31" max="31" width="12.88"/>
    <col customWidth="1" min="32" max="32" width="15.5"/>
    <col customWidth="1" min="33" max="33" width="12.0"/>
    <col customWidth="1" min="34" max="34" width="18.38"/>
    <col customWidth="1" min="35" max="35" width="16.88"/>
    <col customWidth="1" min="36" max="36" width="11.63"/>
    <col customWidth="1" min="37" max="37" width="19.63"/>
  </cols>
  <sheetData>
    <row r="1" ht="15.75" customHeight="1">
      <c r="A1" s="169" t="str">
        <f>IFERROR(__xludf.DUMMYFUNCTION("IMPORTRANGE(Config!C5,Config!D5)"),"#REF!")</f>
        <v>#REF!</v>
      </c>
      <c r="B1" s="169"/>
      <c r="C1" s="169"/>
      <c r="D1" s="169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</row>
    <row r="2" ht="15.7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</row>
    <row r="3" ht="15.75" customHeight="1">
      <c r="A3" s="169"/>
      <c r="B3" s="169"/>
      <c r="C3" s="169"/>
      <c r="D3" s="169"/>
      <c r="E3" s="171"/>
      <c r="F3" s="171"/>
      <c r="G3" s="170"/>
      <c r="H3" s="171"/>
      <c r="I3" s="171"/>
      <c r="J3" s="171"/>
      <c r="K3" s="171"/>
      <c r="L3" s="169"/>
      <c r="M3" s="169"/>
      <c r="N3" s="169"/>
      <c r="O3" s="169"/>
      <c r="P3" s="169"/>
      <c r="Q3" s="170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</row>
    <row r="4" ht="15.75" customHeight="1">
      <c r="A4" s="169"/>
      <c r="B4" s="169"/>
      <c r="C4" s="169"/>
      <c r="D4" s="169"/>
      <c r="E4" s="171"/>
      <c r="F4" s="171"/>
      <c r="G4" s="170"/>
      <c r="H4" s="171"/>
      <c r="I4" s="171"/>
      <c r="J4" s="171"/>
      <c r="K4" s="171"/>
      <c r="L4" s="169"/>
      <c r="M4" s="169"/>
      <c r="N4" s="169"/>
      <c r="O4" s="169"/>
      <c r="P4" s="169"/>
      <c r="Q4" s="170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</row>
    <row r="5" ht="15.75" customHeight="1">
      <c r="A5" s="169"/>
      <c r="B5" s="169"/>
      <c r="C5" s="169"/>
      <c r="D5" s="169"/>
      <c r="E5" s="171"/>
      <c r="F5" s="171"/>
      <c r="G5" s="170"/>
      <c r="H5" s="171"/>
      <c r="I5" s="171"/>
      <c r="J5" s="171"/>
      <c r="K5" s="171"/>
      <c r="L5" s="169"/>
      <c r="M5" s="169"/>
      <c r="N5" s="169"/>
      <c r="O5" s="169"/>
      <c r="P5" s="169"/>
      <c r="Q5" s="170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72"/>
      <c r="AE5" s="169"/>
      <c r="AF5" s="169"/>
      <c r="AG5" s="169"/>
      <c r="AH5" s="169"/>
      <c r="AI5" s="169"/>
      <c r="AJ5" s="169"/>
      <c r="AK5" s="169"/>
    </row>
    <row r="6" ht="15.75" customHeight="1">
      <c r="A6" s="169"/>
      <c r="B6" s="169"/>
      <c r="C6" s="169"/>
      <c r="D6" s="169"/>
      <c r="E6" s="171"/>
      <c r="F6" s="171"/>
      <c r="G6" s="170"/>
      <c r="H6" s="171"/>
      <c r="I6" s="171"/>
      <c r="J6" s="171"/>
      <c r="K6" s="171"/>
      <c r="L6" s="169"/>
      <c r="M6" s="169"/>
      <c r="N6" s="169"/>
      <c r="O6" s="169"/>
      <c r="P6" s="169"/>
      <c r="Q6" s="170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72"/>
      <c r="AH6" s="169"/>
      <c r="AI6" s="169"/>
      <c r="AJ6" s="169"/>
      <c r="AK6" s="169"/>
    </row>
    <row r="7" ht="15.75" customHeight="1">
      <c r="A7" s="169"/>
      <c r="B7" s="169"/>
      <c r="C7" s="169"/>
      <c r="D7" s="169"/>
      <c r="E7" s="171"/>
      <c r="F7" s="171"/>
      <c r="G7" s="170"/>
      <c r="H7" s="171"/>
      <c r="I7" s="171"/>
      <c r="J7" s="171"/>
      <c r="K7" s="171"/>
      <c r="L7" s="169"/>
      <c r="M7" s="169"/>
      <c r="N7" s="169"/>
      <c r="O7" s="169"/>
      <c r="P7" s="169"/>
      <c r="Q7" s="170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</row>
    <row r="8" ht="15.75" customHeight="1">
      <c r="A8" s="169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0"/>
      <c r="R8" s="173"/>
      <c r="S8" s="169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69"/>
      <c r="AG8" s="173"/>
      <c r="AH8" s="173"/>
      <c r="AI8" s="173"/>
      <c r="AJ8" s="173"/>
      <c r="AK8" s="169"/>
    </row>
    <row r="9" ht="15.75" customHeight="1">
      <c r="A9" s="169"/>
      <c r="B9" s="169"/>
      <c r="C9" s="169"/>
      <c r="D9" s="169"/>
      <c r="E9" s="171"/>
      <c r="F9" s="171"/>
      <c r="G9" s="170"/>
      <c r="H9" s="171"/>
      <c r="I9" s="171"/>
      <c r="J9" s="171"/>
      <c r="K9" s="171"/>
      <c r="L9" s="169"/>
      <c r="M9" s="169"/>
      <c r="N9" s="169"/>
      <c r="O9" s="169"/>
      <c r="P9" s="169"/>
      <c r="Q9" s="170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</row>
    <row r="10" ht="15.75" customHeight="1">
      <c r="A10" s="169"/>
      <c r="B10" s="169"/>
      <c r="C10" s="169"/>
      <c r="D10" s="169"/>
      <c r="E10" s="171"/>
      <c r="F10" s="171"/>
      <c r="G10" s="170"/>
      <c r="H10" s="171"/>
      <c r="I10" s="170"/>
      <c r="J10" s="171"/>
      <c r="K10" s="171"/>
      <c r="L10" s="169"/>
      <c r="M10" s="169"/>
      <c r="N10" s="169"/>
      <c r="O10" s="169"/>
      <c r="P10" s="169"/>
      <c r="Q10" s="170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</row>
    <row r="11" ht="15.75" customHeight="1">
      <c r="A11" s="169"/>
      <c r="B11" s="169"/>
      <c r="C11" s="169"/>
      <c r="D11" s="169"/>
      <c r="E11" s="171"/>
      <c r="F11" s="171"/>
      <c r="G11" s="170"/>
      <c r="H11" s="171"/>
      <c r="I11" s="170"/>
      <c r="J11" s="171"/>
      <c r="K11" s="171"/>
      <c r="L11" s="169"/>
      <c r="M11" s="169"/>
      <c r="N11" s="169"/>
      <c r="O11" s="169"/>
      <c r="P11" s="169"/>
      <c r="Q11" s="170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</row>
    <row r="12" ht="15.75" customHeight="1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70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</row>
    <row r="13" ht="15.75" customHeight="1">
      <c r="A13" s="169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0"/>
      <c r="R13" s="173"/>
      <c r="S13" s="169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69"/>
      <c r="AG13" s="173"/>
      <c r="AH13" s="173"/>
      <c r="AI13" s="173"/>
      <c r="AJ13" s="173"/>
      <c r="AK13" s="169"/>
    </row>
    <row r="14" ht="15.75" customHeight="1">
      <c r="A14" s="169"/>
      <c r="B14" s="169"/>
      <c r="C14" s="169"/>
      <c r="D14" s="169"/>
      <c r="E14" s="171"/>
      <c r="F14" s="171"/>
      <c r="G14" s="170"/>
      <c r="H14" s="171"/>
      <c r="I14" s="170"/>
      <c r="J14" s="171"/>
      <c r="K14" s="171"/>
      <c r="L14" s="169"/>
      <c r="M14" s="169"/>
      <c r="N14" s="169"/>
      <c r="O14" s="169"/>
      <c r="P14" s="169"/>
      <c r="Q14" s="170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</row>
    <row r="15" ht="15.75" customHeight="1">
      <c r="A15" s="169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0"/>
      <c r="R15" s="173"/>
      <c r="S15" s="169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69"/>
      <c r="AG15" s="173"/>
      <c r="AH15" s="173"/>
      <c r="AI15" s="173"/>
      <c r="AJ15" s="173"/>
      <c r="AK15" s="169"/>
    </row>
    <row r="16" ht="15.75" customHeight="1">
      <c r="A16" s="169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69"/>
      <c r="M16" s="173"/>
      <c r="N16" s="173"/>
      <c r="O16" s="173"/>
      <c r="P16" s="173"/>
      <c r="Q16" s="170"/>
      <c r="R16" s="173"/>
      <c r="S16" s="169"/>
      <c r="T16" s="173"/>
      <c r="U16" s="173"/>
      <c r="V16" s="173"/>
      <c r="W16" s="173"/>
      <c r="X16" s="169"/>
      <c r="Y16" s="173"/>
      <c r="Z16" s="173"/>
      <c r="AA16" s="173"/>
      <c r="AB16" s="173"/>
      <c r="AC16" s="173"/>
      <c r="AD16" s="173"/>
      <c r="AE16" s="173"/>
      <c r="AF16" s="169"/>
      <c r="AG16" s="169"/>
      <c r="AH16" s="173"/>
      <c r="AI16" s="173"/>
      <c r="AJ16" s="169"/>
      <c r="AK16" s="169"/>
    </row>
    <row r="17" ht="15.75" customHeight="1">
      <c r="A17" s="169"/>
      <c r="B17" s="173"/>
      <c r="C17" s="173"/>
      <c r="D17" s="173"/>
      <c r="E17" s="173"/>
      <c r="F17" s="173"/>
      <c r="G17" s="173"/>
      <c r="H17" s="173"/>
      <c r="I17" s="171"/>
      <c r="J17" s="173"/>
      <c r="K17" s="173"/>
      <c r="L17" s="169"/>
      <c r="M17" s="173"/>
      <c r="N17" s="173"/>
      <c r="O17" s="173"/>
      <c r="P17" s="173"/>
      <c r="Q17" s="170"/>
      <c r="R17" s="169"/>
      <c r="S17" s="169"/>
      <c r="T17" s="169"/>
      <c r="U17" s="173"/>
      <c r="V17" s="169"/>
      <c r="W17" s="173"/>
      <c r="X17" s="169"/>
      <c r="Y17" s="173"/>
      <c r="Z17" s="173"/>
      <c r="AA17" s="173"/>
      <c r="AB17" s="173"/>
      <c r="AC17" s="173"/>
      <c r="AD17" s="173"/>
      <c r="AE17" s="173"/>
      <c r="AF17" s="169"/>
      <c r="AG17" s="169"/>
      <c r="AH17" s="173"/>
      <c r="AI17" s="173"/>
      <c r="AJ17" s="169"/>
      <c r="AK17" s="169"/>
    </row>
    <row r="18" ht="15.75" customHeight="1">
      <c r="A18" s="169"/>
      <c r="B18" s="173"/>
      <c r="C18" s="173"/>
      <c r="D18" s="173"/>
      <c r="E18" s="173"/>
      <c r="F18" s="173"/>
      <c r="G18" s="170"/>
      <c r="H18" s="173"/>
      <c r="I18" s="171"/>
      <c r="J18" s="173"/>
      <c r="K18" s="173"/>
      <c r="L18" s="169"/>
      <c r="M18" s="173"/>
      <c r="N18" s="173"/>
      <c r="O18" s="169"/>
      <c r="P18" s="173"/>
      <c r="Q18" s="170"/>
      <c r="R18" s="169"/>
      <c r="S18" s="169"/>
      <c r="T18" s="169"/>
      <c r="U18" s="173"/>
      <c r="V18" s="169"/>
      <c r="W18" s="173"/>
      <c r="X18" s="169"/>
      <c r="Y18" s="173"/>
      <c r="Z18" s="173"/>
      <c r="AA18" s="173"/>
      <c r="AB18" s="173"/>
      <c r="AC18" s="169"/>
      <c r="AD18" s="173"/>
      <c r="AE18" s="169"/>
      <c r="AF18" s="169"/>
      <c r="AG18" s="169"/>
      <c r="AH18" s="173"/>
      <c r="AI18" s="169"/>
      <c r="AJ18" s="169"/>
      <c r="AK18" s="169"/>
    </row>
    <row r="19" ht="15.75" customHeight="1">
      <c r="A19" s="169"/>
      <c r="B19" s="173"/>
      <c r="C19" s="173"/>
      <c r="D19" s="173"/>
      <c r="E19" s="173"/>
      <c r="F19" s="173"/>
      <c r="G19" s="173"/>
      <c r="H19" s="173"/>
      <c r="I19" s="171"/>
      <c r="J19" s="173"/>
      <c r="K19" s="171"/>
      <c r="L19" s="169"/>
      <c r="M19" s="173"/>
      <c r="N19" s="173"/>
      <c r="O19" s="169"/>
      <c r="P19" s="169"/>
      <c r="Q19" s="170"/>
      <c r="R19" s="169"/>
      <c r="S19" s="169"/>
      <c r="T19" s="169"/>
      <c r="U19" s="173"/>
      <c r="V19" s="169"/>
      <c r="W19" s="173"/>
      <c r="X19" s="169"/>
      <c r="Y19" s="173"/>
      <c r="Z19" s="173"/>
      <c r="AA19" s="169"/>
      <c r="AB19" s="173"/>
      <c r="AC19" s="169"/>
      <c r="AD19" s="169"/>
      <c r="AE19" s="169"/>
      <c r="AF19" s="169"/>
      <c r="AG19" s="169"/>
      <c r="AH19" s="169"/>
      <c r="AI19" s="169"/>
      <c r="AJ19" s="169"/>
      <c r="AK19" s="169"/>
    </row>
    <row r="20" ht="15.75" customHeight="1">
      <c r="A20" s="169"/>
      <c r="B20" s="169"/>
      <c r="C20" s="169"/>
      <c r="D20" s="169"/>
      <c r="E20" s="171"/>
      <c r="F20" s="171"/>
      <c r="G20" s="170"/>
      <c r="H20" s="171"/>
      <c r="I20" s="171"/>
      <c r="J20" s="171"/>
      <c r="K20" s="171"/>
      <c r="L20" s="169"/>
      <c r="M20" s="169"/>
      <c r="N20" s="169"/>
      <c r="O20" s="169"/>
      <c r="P20" s="169"/>
      <c r="Q20" s="170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</row>
    <row r="21" ht="15.75" customHeight="1">
      <c r="A21" s="169"/>
      <c r="B21" s="169"/>
      <c r="C21" s="169"/>
      <c r="D21" s="169"/>
      <c r="E21" s="171"/>
      <c r="F21" s="171"/>
      <c r="G21" s="171"/>
      <c r="H21" s="171"/>
      <c r="I21" s="171"/>
      <c r="J21" s="171"/>
      <c r="K21" s="171"/>
      <c r="L21" s="169"/>
      <c r="M21" s="169"/>
      <c r="N21" s="169"/>
      <c r="O21" s="169"/>
      <c r="P21" s="169"/>
      <c r="Q21" s="170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</row>
    <row r="22" ht="15.75" customHeight="1">
      <c r="A22" s="169"/>
      <c r="B22" s="169"/>
      <c r="C22" s="169"/>
      <c r="D22" s="169"/>
      <c r="E22" s="171"/>
      <c r="F22" s="171"/>
      <c r="G22" s="171"/>
      <c r="H22" s="171"/>
      <c r="I22" s="171"/>
      <c r="J22" s="171"/>
      <c r="K22" s="171"/>
      <c r="L22" s="169"/>
      <c r="M22" s="169"/>
      <c r="N22" s="169"/>
      <c r="O22" s="169"/>
      <c r="P22" s="169"/>
      <c r="Q22" s="170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</row>
    <row r="23" ht="15.75" customHeight="1">
      <c r="A23" s="169"/>
      <c r="B23" s="169"/>
      <c r="C23" s="169"/>
      <c r="D23" s="169"/>
      <c r="E23" s="171"/>
      <c r="F23" s="171"/>
      <c r="G23" s="170"/>
      <c r="H23" s="171"/>
      <c r="I23" s="170"/>
      <c r="J23" s="170"/>
      <c r="K23" s="170"/>
      <c r="L23" s="169"/>
      <c r="M23" s="169"/>
      <c r="N23" s="169"/>
      <c r="O23" s="169"/>
      <c r="P23" s="169"/>
      <c r="Q23" s="170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</row>
    <row r="24" ht="15.75" customHeight="1">
      <c r="A24" s="169"/>
      <c r="B24" s="169"/>
      <c r="C24" s="169"/>
      <c r="D24" s="169"/>
      <c r="E24" s="171"/>
      <c r="F24" s="171"/>
      <c r="G24" s="171"/>
      <c r="H24" s="171"/>
      <c r="I24" s="171"/>
      <c r="J24" s="171"/>
      <c r="K24" s="171"/>
      <c r="L24" s="169"/>
      <c r="M24" s="169"/>
      <c r="N24" s="169"/>
      <c r="O24" s="169"/>
      <c r="P24" s="169"/>
      <c r="Q24" s="170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</row>
    <row r="25" ht="15.75" customHeight="1">
      <c r="A25" s="169"/>
      <c r="B25" s="169"/>
      <c r="C25" s="169"/>
      <c r="D25" s="169"/>
      <c r="E25" s="171"/>
      <c r="F25" s="171"/>
      <c r="G25" s="171"/>
      <c r="H25" s="171"/>
      <c r="I25" s="171"/>
      <c r="J25" s="171"/>
      <c r="K25" s="171"/>
      <c r="L25" s="169"/>
      <c r="M25" s="169"/>
      <c r="N25" s="169"/>
      <c r="O25" s="169"/>
      <c r="P25" s="169"/>
      <c r="Q25" s="170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</row>
    <row r="26" ht="15.75" customHeight="1">
      <c r="A26" s="169"/>
      <c r="B26" s="169"/>
      <c r="C26" s="169"/>
      <c r="D26" s="169"/>
      <c r="E26" s="171"/>
      <c r="F26" s="171"/>
      <c r="G26" s="171"/>
      <c r="H26" s="169"/>
      <c r="I26" s="169"/>
      <c r="J26" s="170"/>
      <c r="K26" s="170"/>
      <c r="L26" s="169"/>
      <c r="M26" s="169"/>
      <c r="N26" s="169"/>
      <c r="O26" s="169"/>
      <c r="P26" s="169"/>
      <c r="Q26" s="170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</row>
    <row r="27" ht="15.75" customHeight="1">
      <c r="A27" s="169"/>
      <c r="B27" s="169"/>
      <c r="C27" s="169"/>
      <c r="D27" s="169"/>
      <c r="E27" s="171"/>
      <c r="F27" s="171"/>
      <c r="G27" s="171"/>
      <c r="H27" s="170"/>
      <c r="I27" s="170"/>
      <c r="J27" s="170"/>
      <c r="K27" s="170"/>
      <c r="L27" s="169"/>
      <c r="M27" s="169"/>
      <c r="N27" s="169"/>
      <c r="O27" s="169"/>
      <c r="P27" s="169"/>
      <c r="Q27" s="170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</row>
    <row r="28" ht="15.75" customHeight="1">
      <c r="A28" s="169"/>
      <c r="B28" s="169"/>
      <c r="C28" s="169"/>
      <c r="D28" s="170"/>
      <c r="E28" s="169"/>
      <c r="F28" s="169"/>
      <c r="G28" s="169"/>
      <c r="H28" s="170"/>
      <c r="I28" s="169"/>
      <c r="J28" s="170"/>
      <c r="K28" s="169"/>
      <c r="L28" s="169"/>
      <c r="M28" s="169"/>
      <c r="N28" s="169"/>
      <c r="O28" s="169"/>
      <c r="P28" s="169"/>
      <c r="Q28" s="170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</row>
    <row r="29" ht="15.7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70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</row>
    <row r="30" ht="15.7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70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</row>
    <row r="31" ht="15.7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70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</row>
    <row r="32" ht="15.7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70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</row>
    <row r="33" ht="15.7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70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</row>
    <row r="34" ht="15.75" customHeight="1">
      <c r="A34" s="169"/>
      <c r="B34" s="169"/>
      <c r="C34" s="169"/>
      <c r="D34" s="169"/>
      <c r="E34" s="169"/>
      <c r="F34" s="169"/>
      <c r="G34" s="173"/>
      <c r="H34" s="169"/>
      <c r="I34" s="169"/>
      <c r="J34" s="169"/>
      <c r="K34" s="169"/>
      <c r="L34" s="169"/>
      <c r="M34" s="169"/>
      <c r="N34" s="169"/>
      <c r="O34" s="169"/>
      <c r="P34" s="169"/>
      <c r="Q34" s="170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</row>
    <row r="35" ht="15.7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70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</row>
    <row r="36" ht="15.7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70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</row>
    <row r="37" ht="15.7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70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</row>
    <row r="38" ht="15.7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70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</row>
    <row r="39" ht="15.7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70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</row>
    <row r="40" ht="15.7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70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</row>
    <row r="41" ht="15.7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70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</row>
    <row r="42" ht="15.75" customHeight="1">
      <c r="A42" s="169"/>
      <c r="B42" s="169"/>
      <c r="C42" s="169"/>
      <c r="D42" s="169"/>
      <c r="E42" s="169"/>
      <c r="F42" s="169"/>
      <c r="G42" s="173"/>
      <c r="H42" s="169"/>
      <c r="I42" s="169"/>
      <c r="J42" s="169"/>
      <c r="K42" s="169"/>
      <c r="L42" s="169"/>
      <c r="M42" s="169"/>
      <c r="N42" s="169"/>
      <c r="O42" s="169"/>
      <c r="P42" s="169"/>
      <c r="Q42" s="170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</row>
    <row r="43" ht="15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70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</row>
    <row r="44" ht="15.75" customHeight="1">
      <c r="A44" s="169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/>
      <c r="R44" s="173"/>
      <c r="S44" s="169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69"/>
      <c r="AG44" s="173"/>
      <c r="AH44" s="173"/>
      <c r="AI44" s="173"/>
      <c r="AJ44" s="173"/>
      <c r="AK44" s="169"/>
    </row>
    <row r="45" ht="15.7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70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</row>
    <row r="46" ht="15.75" customHeight="1">
      <c r="A46" s="169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/>
      <c r="R46" s="173"/>
      <c r="S46" s="169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69"/>
      <c r="AG46" s="173"/>
      <c r="AH46" s="173"/>
      <c r="AI46" s="173"/>
      <c r="AJ46" s="173"/>
      <c r="AK46" s="169"/>
    </row>
    <row r="47" ht="15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70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</row>
    <row r="48" ht="15.7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70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</row>
    <row r="49" ht="15.7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70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</row>
    <row r="50" ht="15.7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</row>
    <row r="51" ht="15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70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</row>
    <row r="52" ht="15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70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</row>
    <row r="53" ht="15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70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</row>
    <row r="54" ht="15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70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</row>
    <row r="55" ht="15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70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</row>
    <row r="56" ht="15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70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</row>
    <row r="57" ht="15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70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</row>
    <row r="58" ht="15.7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70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</row>
    <row r="59" ht="15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70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</row>
    <row r="60" ht="15.7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70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</row>
    <row r="61" ht="15.7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70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</row>
    <row r="62" ht="15.7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70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</row>
    <row r="63" ht="15.7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70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</row>
    <row r="64" ht="15.7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</row>
    <row r="65" ht="15.7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70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</row>
    <row r="66" ht="15.7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70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</row>
    <row r="67" ht="15.7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70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</row>
    <row r="68" ht="15.7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70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</row>
    <row r="69" ht="15.7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70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</row>
    <row r="70" ht="15.7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70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</row>
    <row r="71" ht="15.7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70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</row>
    <row r="72" ht="15.7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70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</row>
    <row r="73" ht="15.7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70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</row>
    <row r="74" ht="15.7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70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</row>
    <row r="75" ht="15.7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70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</row>
    <row r="76" ht="15.7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70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</row>
    <row r="77" ht="15.7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70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</row>
    <row r="78" ht="15.7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70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</row>
    <row r="79" ht="15.7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70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</row>
    <row r="80" ht="15.7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70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</row>
    <row r="81" ht="15.7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70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</row>
    <row r="82" ht="15.7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70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</row>
    <row r="83" ht="15.7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70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</row>
    <row r="84" ht="15.7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70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</row>
    <row r="85" ht="15.7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70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</row>
    <row r="86" ht="15.7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70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</row>
    <row r="87" ht="15.7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70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</row>
    <row r="88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70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</row>
    <row r="89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70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</row>
    <row r="90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70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</row>
    <row r="91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70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</row>
    <row r="92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70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</row>
    <row r="93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70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</row>
    <row r="94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70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</row>
    <row r="95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70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</row>
    <row r="9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70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</row>
    <row r="97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70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</row>
    <row r="98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70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</row>
    <row r="99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70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</row>
    <row r="100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70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</row>
    <row r="101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70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</row>
    <row r="102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70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</row>
    <row r="103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70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</row>
    <row r="104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70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</row>
    <row r="105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70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</row>
    <row r="10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70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</row>
    <row r="107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70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</row>
    <row r="108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70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</row>
    <row r="109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70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</row>
    <row r="110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70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</row>
    <row r="111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70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</row>
    <row r="112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70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</row>
    <row r="113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70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</row>
    <row r="114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70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</row>
    <row r="115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70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</row>
    <row r="11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70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</row>
    <row r="117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70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</row>
    <row r="118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70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</row>
    <row r="119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70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</row>
    <row r="120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70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</row>
    <row r="121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70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</row>
    <row r="122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70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</row>
    <row r="123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70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</row>
    <row r="124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70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</row>
    <row r="125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70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</row>
    <row r="1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70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</row>
    <row r="127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70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</row>
    <row r="128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70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</row>
    <row r="129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70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</row>
    <row r="130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70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</row>
    <row r="131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70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</row>
    <row r="132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70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</row>
    <row r="133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70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</row>
    <row r="134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70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</row>
    <row r="135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70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</row>
    <row r="13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70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</row>
    <row r="137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70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</row>
    <row r="138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70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</row>
    <row r="139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70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</row>
    <row r="140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70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</row>
    <row r="141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70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</row>
    <row r="142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70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</row>
    <row r="143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70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</row>
    <row r="144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70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</row>
    <row r="145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70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</row>
    <row r="14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70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</row>
    <row r="147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70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</row>
    <row r="148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70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</row>
    <row r="149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70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</row>
    <row r="150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70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</row>
    <row r="151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70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</row>
    <row r="152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70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</row>
    <row r="153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70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</row>
    <row r="154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70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</row>
    <row r="155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70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</row>
    <row r="15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70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</row>
    <row r="157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70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</row>
    <row r="158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70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</row>
    <row r="159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70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</row>
    <row r="160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70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</row>
    <row r="161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70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</row>
    <row r="162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70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</row>
    <row r="163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70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</row>
    <row r="164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70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</row>
    <row r="165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70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</row>
    <row r="16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70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</row>
    <row r="167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70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</row>
    <row r="168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70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</row>
    <row r="169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70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</row>
    <row r="170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70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</row>
    <row r="171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70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</row>
    <row r="172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70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</row>
    <row r="173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70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</row>
    <row r="174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70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</row>
    <row r="175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70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</row>
    <row r="17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70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</row>
    <row r="177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70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</row>
    <row r="178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70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</row>
    <row r="179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70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</row>
    <row r="180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70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</row>
    <row r="181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70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</row>
    <row r="182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70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</row>
    <row r="183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70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</row>
    <row r="184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70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</row>
    <row r="185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70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</row>
    <row r="18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70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</row>
    <row r="187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70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</row>
    <row r="188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70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</row>
    <row r="189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70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</row>
    <row r="190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70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</row>
    <row r="191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70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</row>
    <row r="192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70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</row>
    <row r="193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70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</row>
    <row r="194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70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</row>
    <row r="195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70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</row>
    <row r="19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70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</row>
    <row r="197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70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</row>
    <row r="198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70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</row>
    <row r="199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70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</row>
    <row r="200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70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</row>
    <row r="201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70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</row>
    <row r="202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70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</row>
    <row r="203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70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</row>
    <row r="204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70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</row>
    <row r="205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70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</row>
    <row r="20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70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</row>
    <row r="207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70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</row>
    <row r="208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70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</row>
    <row r="209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70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</row>
    <row r="210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70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</row>
    <row r="211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70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</row>
    <row r="212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70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</row>
    <row r="213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70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</row>
    <row r="214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70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</row>
    <row r="215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70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</row>
    <row r="21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70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</row>
    <row r="217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70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</row>
    <row r="218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70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</row>
    <row r="219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70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</row>
    <row r="220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70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</row>
    <row r="221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70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</row>
    <row r="222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70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</row>
    <row r="223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70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</row>
    <row r="224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70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</row>
    <row r="225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70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</row>
    <row r="2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70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</row>
    <row r="2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70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</row>
    <row r="228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70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</row>
    <row r="229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70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</row>
    <row r="230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70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</row>
    <row r="231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70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</row>
    <row r="232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70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</row>
    <row r="233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70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</row>
    <row r="234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70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</row>
    <row r="235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70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</row>
    <row r="23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70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</row>
    <row r="23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70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</row>
    <row r="238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70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</row>
    <row r="239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70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</row>
    <row r="240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70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</row>
    <row r="241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70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</row>
    <row r="242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70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</row>
    <row r="243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70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</row>
    <row r="244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70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</row>
    <row r="245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70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</row>
    <row r="24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70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</row>
    <row r="24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70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</row>
    <row r="248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70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</row>
    <row r="249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70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</row>
    <row r="250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70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</row>
    <row r="251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70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</row>
    <row r="252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70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</row>
    <row r="253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70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</row>
    <row r="254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70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</row>
    <row r="255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70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</row>
    <row r="25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70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</row>
    <row r="25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70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</row>
    <row r="258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70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</row>
    <row r="259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70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</row>
    <row r="260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</row>
    <row r="261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</row>
    <row r="262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</row>
    <row r="263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</row>
    <row r="264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</row>
    <row r="265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</row>
    <row r="26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</row>
    <row r="26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</row>
    <row r="268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</row>
    <row r="269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</row>
    <row r="270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</row>
    <row r="271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</row>
    <row r="272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</row>
    <row r="273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</row>
    <row r="274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</row>
    <row r="275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</row>
    <row r="27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</row>
    <row r="27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</row>
    <row r="278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</row>
    <row r="279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</row>
    <row r="280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</row>
    <row r="281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</row>
    <row r="282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</row>
    <row r="283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</row>
    <row r="284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</row>
    <row r="285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</row>
    <row r="28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</row>
    <row r="28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</row>
    <row r="288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</row>
    <row r="289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</row>
    <row r="290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</row>
    <row r="291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</row>
    <row r="292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</row>
    <row r="293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</row>
    <row r="294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</row>
    <row r="295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</row>
    <row r="296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</row>
    <row r="29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</row>
    <row r="298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</row>
    <row r="299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</row>
    <row r="300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</row>
    <row r="301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</row>
    <row r="302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</row>
    <row r="303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</row>
    <row r="304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</row>
    <row r="305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</row>
    <row r="306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</row>
    <row r="30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</row>
    <row r="308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</row>
    <row r="309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</row>
    <row r="310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</row>
    <row r="311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</row>
    <row r="312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</row>
    <row r="313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</row>
    <row r="314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</row>
    <row r="315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</row>
    <row r="316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</row>
    <row r="31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</row>
    <row r="318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</row>
    <row r="319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</row>
    <row r="320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</row>
    <row r="321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</row>
    <row r="322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</row>
    <row r="323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</row>
    <row r="324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</row>
    <row r="325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</row>
    <row r="326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</row>
    <row r="3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</row>
    <row r="328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</row>
    <row r="329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</row>
    <row r="330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</row>
    <row r="331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</row>
    <row r="332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</row>
    <row r="333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</row>
    <row r="334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</row>
    <row r="335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</row>
    <row r="336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</row>
    <row r="33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</row>
    <row r="338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</row>
    <row r="339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</row>
    <row r="340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</row>
    <row r="341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</row>
    <row r="342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</row>
    <row r="343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</row>
    <row r="344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</row>
    <row r="345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</row>
    <row r="346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</row>
    <row r="34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</row>
    <row r="348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</row>
    <row r="349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</row>
    <row r="350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</row>
    <row r="351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</row>
    <row r="352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</row>
    <row r="353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</row>
    <row r="354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</row>
    <row r="355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</row>
    <row r="356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</row>
    <row r="35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</row>
    <row r="358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</row>
    <row r="359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</row>
    <row r="360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</row>
    <row r="361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</row>
    <row r="362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</row>
    <row r="363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</row>
    <row r="364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</row>
    <row r="365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</row>
    <row r="366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</row>
    <row r="36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</row>
    <row r="368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</row>
    <row r="369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</row>
    <row r="370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</row>
    <row r="371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</row>
    <row r="372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</row>
    <row r="373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</row>
    <row r="374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</row>
    <row r="375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</row>
    <row r="376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</row>
    <row r="37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</row>
    <row r="378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</row>
    <row r="379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</row>
    <row r="380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</row>
    <row r="381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</row>
    <row r="382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</row>
    <row r="383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</row>
    <row r="384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</row>
    <row r="385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</row>
    <row r="386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</row>
    <row r="38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</row>
    <row r="388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</row>
    <row r="389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</row>
    <row r="390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</row>
    <row r="391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</row>
    <row r="392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</row>
    <row r="393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</row>
    <row r="394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</row>
    <row r="395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</row>
    <row r="396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</row>
    <row r="39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</row>
    <row r="398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</row>
    <row r="399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</row>
    <row r="400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</row>
    <row r="401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</row>
    <row r="402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</row>
    <row r="403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</row>
    <row r="404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</row>
    <row r="405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</row>
    <row r="406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</row>
    <row r="40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</row>
    <row r="408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</row>
    <row r="409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</row>
    <row r="410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</row>
    <row r="411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</row>
    <row r="412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</row>
    <row r="413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</row>
    <row r="414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</row>
    <row r="415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</row>
    <row r="416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</row>
    <row r="41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</row>
    <row r="418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</row>
    <row r="419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</row>
    <row r="420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</row>
    <row r="421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</row>
    <row r="422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</row>
    <row r="423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</row>
    <row r="424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</row>
    <row r="425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</row>
    <row r="426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</row>
    <row r="4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</row>
    <row r="428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</row>
    <row r="429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</row>
    <row r="430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</row>
    <row r="431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</row>
    <row r="432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</row>
    <row r="433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</row>
    <row r="434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</row>
    <row r="435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</row>
    <row r="436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</row>
    <row r="43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</row>
    <row r="438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</row>
    <row r="439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</row>
    <row r="440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</row>
    <row r="441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</row>
    <row r="442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</row>
    <row r="443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</row>
    <row r="444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</row>
    <row r="445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</row>
    <row r="446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</row>
    <row r="44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</row>
    <row r="448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</row>
    <row r="449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</row>
    <row r="450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</row>
    <row r="451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</row>
    <row r="452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</row>
    <row r="453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</row>
    <row r="454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</row>
    <row r="455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</row>
    <row r="456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</row>
    <row r="45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</row>
    <row r="458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</row>
    <row r="459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</row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4" width="7.75"/>
    <col customWidth="1" min="25" max="25" width="10.0"/>
    <col customWidth="1" min="26" max="26" width="8.38"/>
    <col customWidth="1" min="27" max="27" width="9.0"/>
    <col customWidth="1" min="28" max="28" width="8.63"/>
    <col customWidth="1" min="29" max="30" width="4.38"/>
    <col customWidth="1" min="31" max="31" width="10.88"/>
    <col customWidth="1" min="32" max="32" width="9.63"/>
    <col customWidth="1" min="33" max="33" width="4.75"/>
    <col customWidth="1" min="34" max="34" width="1.5"/>
    <col customWidth="1" min="35" max="35" width="5.25"/>
    <col customWidth="1" min="36" max="36" width="5.13"/>
    <col customWidth="1" min="37" max="37" width="19.63"/>
    <col customWidth="1" min="38" max="38" width="15.13"/>
    <col customWidth="1" min="39" max="39" width="6.75"/>
    <col customWidth="1" min="40" max="40" width="2.5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6"/>
      <c r="AF1" s="135"/>
      <c r="AG1" s="135"/>
      <c r="AH1" s="135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</row>
    <row r="2" ht="15.75" customHeight="1">
      <c r="A2" s="137" t="s">
        <v>30</v>
      </c>
      <c r="AG2" s="135"/>
      <c r="AH2" s="135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</row>
    <row r="3" ht="15.75" customHeight="1">
      <c r="A3" s="137" t="s">
        <v>241</v>
      </c>
      <c r="AG3" s="135"/>
      <c r="AH3" s="135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</row>
    <row r="4" ht="15.75" customHeight="1">
      <c r="A4" s="137"/>
      <c r="AG4" s="135"/>
      <c r="AH4" s="135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6"/>
      <c r="AF5" s="135"/>
      <c r="AG5" s="135"/>
      <c r="AH5" s="135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</row>
    <row r="6" ht="15.75" customHeight="1">
      <c r="A6" s="137" t="s">
        <v>242</v>
      </c>
      <c r="B6" s="137" t="s">
        <v>100</v>
      </c>
      <c r="C6" s="137" t="s">
        <v>11</v>
      </c>
      <c r="D6" s="137" t="s">
        <v>243</v>
      </c>
      <c r="E6" s="137" t="s">
        <v>244</v>
      </c>
      <c r="F6" s="137" t="s">
        <v>2</v>
      </c>
      <c r="G6" s="137" t="s">
        <v>245</v>
      </c>
      <c r="H6" s="137" t="s">
        <v>107</v>
      </c>
      <c r="I6" s="137" t="s">
        <v>246</v>
      </c>
      <c r="J6" s="137" t="s">
        <v>247</v>
      </c>
      <c r="K6" s="137" t="s">
        <v>129</v>
      </c>
      <c r="L6" s="137"/>
      <c r="M6" s="137" t="s">
        <v>110</v>
      </c>
      <c r="N6" s="137" t="s">
        <v>248</v>
      </c>
      <c r="O6" s="137" t="s">
        <v>249</v>
      </c>
      <c r="P6" s="137" t="s">
        <v>117</v>
      </c>
      <c r="Q6" s="137" t="s">
        <v>250</v>
      </c>
      <c r="R6" s="137" t="s">
        <v>118</v>
      </c>
      <c r="S6" s="137" t="s">
        <v>119</v>
      </c>
      <c r="T6" s="137" t="s">
        <v>251</v>
      </c>
      <c r="U6" s="137" t="s">
        <v>122</v>
      </c>
      <c r="V6" s="137" t="s">
        <v>127</v>
      </c>
      <c r="W6" s="137" t="s">
        <v>124</v>
      </c>
      <c r="X6" s="137" t="s">
        <v>125</v>
      </c>
      <c r="Y6" s="137"/>
      <c r="Z6" s="137" t="s">
        <v>252</v>
      </c>
      <c r="AA6" s="137"/>
      <c r="AB6" s="137"/>
      <c r="AC6" s="137"/>
      <c r="AD6" s="137" t="s">
        <v>29</v>
      </c>
      <c r="AE6" s="137" t="s">
        <v>25</v>
      </c>
      <c r="AF6" s="137" t="s">
        <v>46</v>
      </c>
      <c r="AG6" s="135"/>
      <c r="AH6" s="135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</row>
    <row r="7" ht="15.75" customHeight="1">
      <c r="A7" s="139"/>
      <c r="B7" s="140"/>
      <c r="AG7" s="135"/>
      <c r="AH7" s="135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</row>
    <row r="8" ht="15.75" customHeight="1">
      <c r="A8" s="139" t="s">
        <v>253</v>
      </c>
      <c r="B8" s="144">
        <v>211286.21</v>
      </c>
      <c r="C8" s="144">
        <v>16684.48</v>
      </c>
      <c r="D8" s="144">
        <v>42450.86</v>
      </c>
      <c r="E8" s="144">
        <v>0.0</v>
      </c>
      <c r="F8" s="144">
        <v>26022.41</v>
      </c>
      <c r="G8" s="144">
        <v>83711.21</v>
      </c>
      <c r="H8" s="144">
        <v>79363.79</v>
      </c>
      <c r="I8" s="144">
        <v>36310.34</v>
      </c>
      <c r="J8" s="144">
        <v>1599094.79</v>
      </c>
      <c r="K8" s="144">
        <v>242301.58</v>
      </c>
      <c r="L8" s="144"/>
      <c r="M8" s="144">
        <v>9637.93</v>
      </c>
      <c r="N8" s="144">
        <v>141383.62</v>
      </c>
      <c r="O8" s="144">
        <v>4762.93</v>
      </c>
      <c r="P8" s="144">
        <v>72567.24</v>
      </c>
      <c r="Q8" s="144">
        <v>0.0</v>
      </c>
      <c r="R8" s="144">
        <v>25565.52</v>
      </c>
      <c r="S8" s="144">
        <v>13275.86</v>
      </c>
      <c r="T8" s="144">
        <v>143213.81</v>
      </c>
      <c r="U8" s="144">
        <v>78870.69</v>
      </c>
      <c r="V8" s="144">
        <v>16422.41</v>
      </c>
      <c r="W8" s="144">
        <v>88820.0</v>
      </c>
      <c r="X8" s="144">
        <v>348754.31</v>
      </c>
      <c r="Y8" s="175"/>
      <c r="Z8" s="175"/>
      <c r="AA8" s="175"/>
      <c r="AB8" s="175"/>
      <c r="AC8" s="175"/>
      <c r="AD8" s="175"/>
      <c r="AE8" s="176">
        <v>3280499.99</v>
      </c>
      <c r="AF8" s="143">
        <v>0.5</v>
      </c>
      <c r="AG8" s="135"/>
      <c r="AH8" s="135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</row>
    <row r="9" ht="15.75" customHeight="1">
      <c r="A9" s="139" t="s">
        <v>254</v>
      </c>
      <c r="B9" s="144">
        <v>1442794.83</v>
      </c>
      <c r="C9" s="144">
        <v>0.0</v>
      </c>
      <c r="D9" s="144">
        <v>229831.91</v>
      </c>
      <c r="E9" s="144">
        <v>0.0</v>
      </c>
      <c r="F9" s="144">
        <v>14612.94</v>
      </c>
      <c r="G9" s="144">
        <v>123034.48</v>
      </c>
      <c r="H9" s="144">
        <v>184767.24</v>
      </c>
      <c r="I9" s="144">
        <v>0.0</v>
      </c>
      <c r="J9" s="144">
        <v>320491.38</v>
      </c>
      <c r="K9" s="144">
        <v>13577.58</v>
      </c>
      <c r="L9" s="144"/>
      <c r="M9" s="144">
        <v>31500.0</v>
      </c>
      <c r="N9" s="144">
        <v>21417.25</v>
      </c>
      <c r="O9" s="144">
        <v>28000.0</v>
      </c>
      <c r="P9" s="144">
        <v>0.0</v>
      </c>
      <c r="Q9" s="144">
        <v>0.0</v>
      </c>
      <c r="R9" s="144">
        <v>0.0</v>
      </c>
      <c r="S9" s="144">
        <v>72313.19</v>
      </c>
      <c r="T9" s="144">
        <v>750.0</v>
      </c>
      <c r="U9" s="144">
        <v>10900.0</v>
      </c>
      <c r="V9" s="144">
        <v>18025.85</v>
      </c>
      <c r="W9" s="144">
        <v>14624.0</v>
      </c>
      <c r="X9" s="144">
        <v>375913.8</v>
      </c>
      <c r="Y9" s="175"/>
      <c r="Z9" s="175"/>
      <c r="AA9" s="175"/>
      <c r="AB9" s="175"/>
      <c r="AC9" s="175"/>
      <c r="AD9" s="175"/>
      <c r="AE9" s="176">
        <v>2902554.45</v>
      </c>
      <c r="AF9" s="143">
        <v>0.44</v>
      </c>
      <c r="AG9" s="135"/>
      <c r="AH9" s="135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</row>
    <row r="10" ht="15.75" customHeight="1">
      <c r="A10" s="139" t="s">
        <v>59</v>
      </c>
      <c r="B10" s="144">
        <v>3793.1</v>
      </c>
      <c r="C10" s="144">
        <v>0.0</v>
      </c>
      <c r="D10" s="144">
        <v>0.0</v>
      </c>
      <c r="E10" s="144">
        <v>0.0</v>
      </c>
      <c r="F10" s="144">
        <v>0.0</v>
      </c>
      <c r="G10" s="144">
        <v>0.0</v>
      </c>
      <c r="H10" s="144">
        <v>0.0</v>
      </c>
      <c r="I10" s="144">
        <v>0.0</v>
      </c>
      <c r="J10" s="144">
        <v>0.0</v>
      </c>
      <c r="K10" s="144">
        <v>0.0</v>
      </c>
      <c r="L10" s="144"/>
      <c r="M10" s="144">
        <v>0.0</v>
      </c>
      <c r="N10" s="144">
        <v>0.0</v>
      </c>
      <c r="O10" s="144">
        <v>0.0</v>
      </c>
      <c r="P10" s="144">
        <v>0.0</v>
      </c>
      <c r="Q10" s="144">
        <v>0.0</v>
      </c>
      <c r="R10" s="144">
        <v>15327.58</v>
      </c>
      <c r="S10" s="144">
        <v>6896.56</v>
      </c>
      <c r="T10" s="144">
        <v>0.0</v>
      </c>
      <c r="U10" s="144">
        <v>9482.76</v>
      </c>
      <c r="V10" s="144">
        <v>3448.28</v>
      </c>
      <c r="W10" s="144">
        <v>0.0</v>
      </c>
      <c r="X10" s="144">
        <v>3793.1</v>
      </c>
      <c r="Y10" s="175"/>
      <c r="Z10" s="175"/>
      <c r="AA10" s="175"/>
      <c r="AB10" s="175"/>
      <c r="AC10" s="175"/>
      <c r="AD10" s="175"/>
      <c r="AE10" s="176">
        <v>42741.38</v>
      </c>
      <c r="AF10" s="143">
        <v>0.01</v>
      </c>
      <c r="AG10" s="135"/>
      <c r="AH10" s="135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</row>
    <row r="11" ht="15.75" customHeight="1">
      <c r="A11" s="139" t="s">
        <v>255</v>
      </c>
      <c r="B11" s="144">
        <v>0.0</v>
      </c>
      <c r="C11" s="144">
        <v>0.0</v>
      </c>
      <c r="D11" s="144">
        <v>48146.55</v>
      </c>
      <c r="E11" s="144">
        <v>0.0</v>
      </c>
      <c r="F11" s="144">
        <v>0.0</v>
      </c>
      <c r="G11" s="144">
        <v>0.0</v>
      </c>
      <c r="H11" s="144">
        <v>0.0</v>
      </c>
      <c r="I11" s="144">
        <v>9590.51</v>
      </c>
      <c r="J11" s="144">
        <v>0.0</v>
      </c>
      <c r="K11" s="144">
        <v>0.0</v>
      </c>
      <c r="L11" s="144"/>
      <c r="M11" s="144">
        <v>0.0</v>
      </c>
      <c r="N11" s="144">
        <v>0.0</v>
      </c>
      <c r="O11" s="144">
        <v>0.0</v>
      </c>
      <c r="P11" s="144">
        <v>836.21</v>
      </c>
      <c r="Q11" s="144">
        <v>0.0</v>
      </c>
      <c r="R11" s="144">
        <v>455.17</v>
      </c>
      <c r="S11" s="144">
        <v>0.0</v>
      </c>
      <c r="T11" s="144">
        <v>0.0</v>
      </c>
      <c r="U11" s="144">
        <v>17313.52</v>
      </c>
      <c r="V11" s="144">
        <v>0.0</v>
      </c>
      <c r="W11" s="144">
        <v>0.0</v>
      </c>
      <c r="X11" s="144">
        <v>19418.97</v>
      </c>
      <c r="Y11" s="175"/>
      <c r="Z11" s="175"/>
      <c r="AA11" s="175"/>
      <c r="AB11" s="175"/>
      <c r="AC11" s="175"/>
      <c r="AD11" s="175"/>
      <c r="AE11" s="176">
        <v>95760.93</v>
      </c>
      <c r="AF11" s="143">
        <v>0.01</v>
      </c>
      <c r="AG11" s="135"/>
      <c r="AH11" s="135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</row>
    <row r="12" ht="15.75" customHeight="1">
      <c r="A12" s="139" t="s">
        <v>256</v>
      </c>
      <c r="B12" s="144">
        <v>9262.93</v>
      </c>
      <c r="C12" s="144">
        <v>0.0</v>
      </c>
      <c r="D12" s="144">
        <v>0.0</v>
      </c>
      <c r="E12" s="144">
        <v>30549.0</v>
      </c>
      <c r="F12" s="144">
        <v>0.0</v>
      </c>
      <c r="G12" s="144">
        <v>34810.34</v>
      </c>
      <c r="H12" s="144">
        <v>0.0</v>
      </c>
      <c r="I12" s="144">
        <v>0.0</v>
      </c>
      <c r="J12" s="144">
        <v>0.0</v>
      </c>
      <c r="K12" s="144">
        <v>0.0</v>
      </c>
      <c r="L12" s="144"/>
      <c r="M12" s="144">
        <v>0.0</v>
      </c>
      <c r="N12" s="144">
        <v>0.0</v>
      </c>
      <c r="O12" s="144">
        <v>0.0</v>
      </c>
      <c r="P12" s="144">
        <v>0.0</v>
      </c>
      <c r="Q12" s="144">
        <v>0.0</v>
      </c>
      <c r="R12" s="144">
        <v>0.0</v>
      </c>
      <c r="S12" s="144">
        <v>0.0</v>
      </c>
      <c r="T12" s="144">
        <v>0.0</v>
      </c>
      <c r="U12" s="144">
        <v>0.0</v>
      </c>
      <c r="V12" s="144">
        <v>0.0</v>
      </c>
      <c r="W12" s="144">
        <v>20000.0</v>
      </c>
      <c r="X12" s="144">
        <v>0.0</v>
      </c>
      <c r="Y12" s="175"/>
      <c r="Z12" s="175"/>
      <c r="AA12" s="175"/>
      <c r="AB12" s="175"/>
      <c r="AC12" s="175"/>
      <c r="AD12" s="175"/>
      <c r="AE12" s="176">
        <v>94622.27</v>
      </c>
      <c r="AF12" s="143">
        <v>0.01</v>
      </c>
      <c r="AG12" s="135"/>
      <c r="AH12" s="135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</row>
    <row r="13" ht="15.75" customHeight="1">
      <c r="A13" s="139" t="s">
        <v>257</v>
      </c>
      <c r="B13" s="144">
        <v>0.0</v>
      </c>
      <c r="C13" s="144">
        <v>0.0</v>
      </c>
      <c r="D13" s="144">
        <v>1293.1</v>
      </c>
      <c r="E13" s="144">
        <v>0.0</v>
      </c>
      <c r="F13" s="144">
        <v>0.0</v>
      </c>
      <c r="G13" s="144">
        <v>0.0</v>
      </c>
      <c r="H13" s="144">
        <v>0.0</v>
      </c>
      <c r="I13" s="144">
        <v>0.0</v>
      </c>
      <c r="J13" s="144">
        <v>3362.07</v>
      </c>
      <c r="K13" s="144">
        <v>0.0</v>
      </c>
      <c r="L13" s="144"/>
      <c r="M13" s="144">
        <v>0.0</v>
      </c>
      <c r="N13" s="144">
        <v>0.0</v>
      </c>
      <c r="O13" s="144">
        <v>0.0</v>
      </c>
      <c r="P13" s="144">
        <v>0.0</v>
      </c>
      <c r="Q13" s="144">
        <v>0.0</v>
      </c>
      <c r="R13" s="144">
        <v>0.0</v>
      </c>
      <c r="S13" s="144">
        <v>0.0</v>
      </c>
      <c r="T13" s="144">
        <v>0.0</v>
      </c>
      <c r="U13" s="144">
        <v>0.0</v>
      </c>
      <c r="V13" s="144">
        <v>0.0</v>
      </c>
      <c r="W13" s="144">
        <v>0.0</v>
      </c>
      <c r="X13" s="144">
        <v>0.0</v>
      </c>
      <c r="Y13" s="175"/>
      <c r="Z13" s="175"/>
      <c r="AA13" s="175"/>
      <c r="AB13" s="175"/>
      <c r="AC13" s="175"/>
      <c r="AD13" s="175"/>
      <c r="AE13" s="176">
        <v>4655.17</v>
      </c>
      <c r="AF13" s="143">
        <v>0.0</v>
      </c>
      <c r="AG13" s="135"/>
      <c r="AH13" s="135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</row>
    <row r="14" ht="15.75" customHeight="1">
      <c r="A14" s="139" t="s">
        <v>258</v>
      </c>
      <c r="B14" s="144">
        <v>258.62</v>
      </c>
      <c r="C14" s="144">
        <v>0.0</v>
      </c>
      <c r="D14" s="144">
        <v>0.0</v>
      </c>
      <c r="E14" s="144">
        <v>0.0</v>
      </c>
      <c r="F14" s="144">
        <v>0.0</v>
      </c>
      <c r="G14" s="144">
        <v>0.0</v>
      </c>
      <c r="H14" s="144">
        <v>0.0</v>
      </c>
      <c r="I14" s="144">
        <v>0.0</v>
      </c>
      <c r="J14" s="144">
        <v>1034.48</v>
      </c>
      <c r="K14" s="144">
        <v>0.0</v>
      </c>
      <c r="L14" s="144"/>
      <c r="M14" s="144">
        <v>215.52</v>
      </c>
      <c r="N14" s="144">
        <v>0.0</v>
      </c>
      <c r="O14" s="144">
        <v>0.0</v>
      </c>
      <c r="P14" s="144">
        <v>0.0</v>
      </c>
      <c r="Q14" s="144">
        <v>0.0</v>
      </c>
      <c r="R14" s="144">
        <v>0.0</v>
      </c>
      <c r="S14" s="144">
        <v>0.0</v>
      </c>
      <c r="T14" s="144">
        <v>0.0</v>
      </c>
      <c r="U14" s="144">
        <v>0.0</v>
      </c>
      <c r="V14" s="144">
        <v>0.0</v>
      </c>
      <c r="W14" s="144">
        <v>0.0</v>
      </c>
      <c r="X14" s="144">
        <v>0.0</v>
      </c>
      <c r="Y14" s="175"/>
      <c r="Z14" s="175"/>
      <c r="AA14" s="175"/>
      <c r="AB14" s="175"/>
      <c r="AC14" s="175"/>
      <c r="AD14" s="175"/>
      <c r="AE14" s="176">
        <v>1508.62</v>
      </c>
      <c r="AF14" s="143">
        <v>0.0</v>
      </c>
      <c r="AG14" s="135"/>
      <c r="AH14" s="135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</row>
    <row r="15" ht="15.75" customHeight="1">
      <c r="A15" s="139" t="s">
        <v>259</v>
      </c>
      <c r="B15" s="144">
        <v>0.0</v>
      </c>
      <c r="C15" s="144">
        <v>0.0</v>
      </c>
      <c r="D15" s="144">
        <v>0.0</v>
      </c>
      <c r="E15" s="144">
        <v>0.0</v>
      </c>
      <c r="F15" s="144">
        <v>0.0</v>
      </c>
      <c r="G15" s="144">
        <v>0.0</v>
      </c>
      <c r="H15" s="144">
        <v>0.0</v>
      </c>
      <c r="I15" s="144">
        <v>0.0</v>
      </c>
      <c r="J15" s="144">
        <v>0.0</v>
      </c>
      <c r="K15" s="144">
        <v>51253.45</v>
      </c>
      <c r="L15" s="144"/>
      <c r="M15" s="144">
        <v>0.0</v>
      </c>
      <c r="N15" s="144">
        <v>0.0</v>
      </c>
      <c r="O15" s="144">
        <v>0.0</v>
      </c>
      <c r="P15" s="144">
        <v>0.0</v>
      </c>
      <c r="Q15" s="144">
        <v>40000.0</v>
      </c>
      <c r="R15" s="144">
        <v>0.0</v>
      </c>
      <c r="S15" s="144">
        <v>0.0</v>
      </c>
      <c r="T15" s="144">
        <v>0.0</v>
      </c>
      <c r="U15" s="144">
        <v>0.0</v>
      </c>
      <c r="V15" s="144">
        <v>0.0</v>
      </c>
      <c r="W15" s="144">
        <v>0.0</v>
      </c>
      <c r="X15" s="144">
        <v>0.0</v>
      </c>
      <c r="Y15" s="175"/>
      <c r="Z15" s="175"/>
      <c r="AA15" s="175"/>
      <c r="AB15" s="175"/>
      <c r="AC15" s="175"/>
      <c r="AD15" s="175"/>
      <c r="AE15" s="176">
        <v>91253.45</v>
      </c>
      <c r="AF15" s="143">
        <v>0.01</v>
      </c>
      <c r="AG15" s="135"/>
      <c r="AH15" s="135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</row>
    <row r="16" ht="15.75" customHeight="1">
      <c r="A16" s="139" t="s">
        <v>260</v>
      </c>
      <c r="B16" s="144">
        <v>0.0</v>
      </c>
      <c r="C16" s="144">
        <v>0.0</v>
      </c>
      <c r="D16" s="144">
        <v>0.0</v>
      </c>
      <c r="E16" s="144">
        <v>0.0</v>
      </c>
      <c r="F16" s="144">
        <v>0.0</v>
      </c>
      <c r="G16" s="144">
        <v>0.0</v>
      </c>
      <c r="H16" s="144">
        <v>0.0</v>
      </c>
      <c r="I16" s="144">
        <v>0.0</v>
      </c>
      <c r="J16" s="144">
        <v>2547.41</v>
      </c>
      <c r="K16" s="144">
        <v>0.0</v>
      </c>
      <c r="L16" s="144"/>
      <c r="M16" s="144">
        <v>0.0</v>
      </c>
      <c r="N16" s="144">
        <v>0.0</v>
      </c>
      <c r="O16" s="144">
        <v>0.0</v>
      </c>
      <c r="P16" s="144">
        <v>0.0</v>
      </c>
      <c r="Q16" s="144">
        <v>0.0</v>
      </c>
      <c r="R16" s="144">
        <v>0.0</v>
      </c>
      <c r="S16" s="144">
        <v>0.0</v>
      </c>
      <c r="T16" s="144">
        <v>0.0</v>
      </c>
      <c r="U16" s="144">
        <v>0.0</v>
      </c>
      <c r="V16" s="144">
        <v>0.0</v>
      </c>
      <c r="W16" s="144">
        <v>0.0</v>
      </c>
      <c r="X16" s="144">
        <v>0.0</v>
      </c>
      <c r="Y16" s="175"/>
      <c r="Z16" s="175"/>
      <c r="AA16" s="175"/>
      <c r="AB16" s="175"/>
      <c r="AC16" s="175"/>
      <c r="AD16" s="175"/>
      <c r="AE16" s="176">
        <v>2547.41</v>
      </c>
      <c r="AF16" s="143">
        <v>0.0</v>
      </c>
      <c r="AG16" s="135"/>
      <c r="AH16" s="135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</row>
    <row r="17" ht="15.75" customHeight="1">
      <c r="A17" s="139" t="s">
        <v>261</v>
      </c>
      <c r="B17" s="144">
        <v>0.0</v>
      </c>
      <c r="C17" s="144">
        <v>0.0</v>
      </c>
      <c r="D17" s="144">
        <v>0.0</v>
      </c>
      <c r="E17" s="144">
        <v>0.0</v>
      </c>
      <c r="F17" s="144">
        <v>0.0</v>
      </c>
      <c r="G17" s="144">
        <v>0.0</v>
      </c>
      <c r="H17" s="144">
        <v>0.0</v>
      </c>
      <c r="I17" s="144">
        <v>0.0</v>
      </c>
      <c r="J17" s="144">
        <v>0.0</v>
      </c>
      <c r="K17" s="144">
        <v>0.0</v>
      </c>
      <c r="L17" s="144"/>
      <c r="M17" s="144">
        <v>0.0</v>
      </c>
      <c r="N17" s="144">
        <v>0.0</v>
      </c>
      <c r="O17" s="144">
        <v>0.0</v>
      </c>
      <c r="P17" s="144">
        <v>0.0</v>
      </c>
      <c r="Q17" s="144">
        <v>0.0</v>
      </c>
      <c r="R17" s="144">
        <v>0.0</v>
      </c>
      <c r="S17" s="144">
        <v>0.0</v>
      </c>
      <c r="T17" s="144">
        <v>0.0</v>
      </c>
      <c r="U17" s="144">
        <v>0.0</v>
      </c>
      <c r="V17" s="144">
        <v>0.0</v>
      </c>
      <c r="W17" s="144">
        <v>0.0</v>
      </c>
      <c r="X17" s="144">
        <v>0.0</v>
      </c>
      <c r="Y17" s="175"/>
      <c r="Z17" s="175">
        <v>36000.0</v>
      </c>
      <c r="AA17" s="175"/>
      <c r="AB17" s="175"/>
      <c r="AC17" s="175"/>
      <c r="AD17" s="144">
        <v>2075.18</v>
      </c>
      <c r="AE17" s="176">
        <v>2075.18</v>
      </c>
      <c r="AF17" s="143">
        <v>0.0</v>
      </c>
      <c r="AG17" s="135"/>
      <c r="AH17" s="135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</row>
    <row r="18" ht="15.75" hidden="1" customHeight="1">
      <c r="A18" s="139" t="s">
        <v>262</v>
      </c>
      <c r="B18" s="144">
        <v>0.0</v>
      </c>
      <c r="C18" s="144">
        <v>0.0</v>
      </c>
      <c r="D18" s="144">
        <v>0.0</v>
      </c>
      <c r="E18" s="144">
        <v>0.0</v>
      </c>
      <c r="F18" s="144">
        <v>0.0</v>
      </c>
      <c r="G18" s="144">
        <v>0.0</v>
      </c>
      <c r="H18" s="144">
        <v>0.0</v>
      </c>
      <c r="I18" s="144">
        <v>0.0</v>
      </c>
      <c r="J18" s="144">
        <v>0.0</v>
      </c>
      <c r="K18" s="144">
        <v>0.0</v>
      </c>
      <c r="L18" s="144"/>
      <c r="M18" s="144">
        <v>0.0</v>
      </c>
      <c r="N18" s="144">
        <v>0.0</v>
      </c>
      <c r="O18" s="144">
        <v>0.0</v>
      </c>
      <c r="P18" s="144">
        <v>0.0</v>
      </c>
      <c r="Q18" s="144">
        <v>0.0</v>
      </c>
      <c r="R18" s="144">
        <v>0.0</v>
      </c>
      <c r="S18" s="144">
        <v>0.0</v>
      </c>
      <c r="T18" s="144">
        <v>0.0</v>
      </c>
      <c r="U18" s="144">
        <v>0.0</v>
      </c>
      <c r="V18" s="144">
        <v>0.0</v>
      </c>
      <c r="W18" s="144">
        <v>0.0</v>
      </c>
      <c r="X18" s="144">
        <v>0.0</v>
      </c>
      <c r="Y18" s="175"/>
      <c r="Z18" s="175"/>
      <c r="AA18" s="175"/>
      <c r="AB18" s="175"/>
      <c r="AC18" s="175"/>
      <c r="AD18" s="175"/>
      <c r="AE18" s="176" t="s">
        <v>56</v>
      </c>
      <c r="AF18" s="143">
        <v>0.0</v>
      </c>
      <c r="AG18" s="135"/>
      <c r="AH18" s="135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</row>
    <row r="19" ht="15.75" hidden="1" customHeight="1">
      <c r="A19" s="139" t="s">
        <v>263</v>
      </c>
      <c r="B19" s="144">
        <v>0.0</v>
      </c>
      <c r="C19" s="144">
        <v>0.0</v>
      </c>
      <c r="D19" s="144">
        <v>0.0</v>
      </c>
      <c r="E19" s="144">
        <v>0.0</v>
      </c>
      <c r="F19" s="144">
        <v>0.0</v>
      </c>
      <c r="G19" s="144">
        <v>0.0</v>
      </c>
      <c r="H19" s="144">
        <v>0.0</v>
      </c>
      <c r="I19" s="144">
        <v>0.0</v>
      </c>
      <c r="J19" s="144">
        <v>0.0</v>
      </c>
      <c r="K19" s="144">
        <v>0.0</v>
      </c>
      <c r="L19" s="144"/>
      <c r="M19" s="144">
        <v>0.0</v>
      </c>
      <c r="N19" s="144">
        <v>0.0</v>
      </c>
      <c r="O19" s="144">
        <v>0.0</v>
      </c>
      <c r="P19" s="144">
        <v>0.0</v>
      </c>
      <c r="Q19" s="144">
        <v>0.0</v>
      </c>
      <c r="R19" s="144">
        <v>0.0</v>
      </c>
      <c r="S19" s="144">
        <v>0.0</v>
      </c>
      <c r="T19" s="144">
        <v>0.0</v>
      </c>
      <c r="U19" s="144">
        <v>0.0</v>
      </c>
      <c r="V19" s="144">
        <v>0.0</v>
      </c>
      <c r="W19" s="144">
        <v>0.0</v>
      </c>
      <c r="X19" s="144">
        <v>0.0</v>
      </c>
      <c r="Y19" s="175"/>
      <c r="Z19" s="175"/>
      <c r="AA19" s="175"/>
      <c r="AB19" s="175"/>
      <c r="AC19" s="175"/>
      <c r="AD19" s="175"/>
      <c r="AE19" s="176" t="s">
        <v>56</v>
      </c>
      <c r="AF19" s="143">
        <v>0.0</v>
      </c>
      <c r="AG19" s="135"/>
      <c r="AH19" s="135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</row>
    <row r="20" ht="15.75" customHeight="1">
      <c r="A20" s="139" t="s">
        <v>264</v>
      </c>
      <c r="B20" s="144">
        <v>0.0</v>
      </c>
      <c r="C20" s="144">
        <v>0.0</v>
      </c>
      <c r="D20" s="144">
        <v>0.0</v>
      </c>
      <c r="E20" s="144">
        <v>0.0</v>
      </c>
      <c r="F20" s="144">
        <v>0.0</v>
      </c>
      <c r="G20" s="144">
        <v>0.0</v>
      </c>
      <c r="H20" s="144">
        <v>1758.62</v>
      </c>
      <c r="I20" s="144">
        <v>0.0</v>
      </c>
      <c r="J20" s="144">
        <v>0.0</v>
      </c>
      <c r="K20" s="144">
        <v>0.0</v>
      </c>
      <c r="L20" s="144"/>
      <c r="M20" s="144">
        <v>0.0</v>
      </c>
      <c r="N20" s="144">
        <v>0.0</v>
      </c>
      <c r="O20" s="144">
        <v>0.0</v>
      </c>
      <c r="P20" s="144">
        <v>0.0</v>
      </c>
      <c r="Q20" s="144">
        <v>0.0</v>
      </c>
      <c r="R20" s="144">
        <v>0.0</v>
      </c>
      <c r="S20" s="144">
        <v>0.0</v>
      </c>
      <c r="T20" s="144">
        <v>0.0</v>
      </c>
      <c r="U20" s="144">
        <v>0.0</v>
      </c>
      <c r="V20" s="144">
        <v>0.0</v>
      </c>
      <c r="W20" s="144">
        <v>0.0</v>
      </c>
      <c r="X20" s="144">
        <v>0.0</v>
      </c>
      <c r="Y20" s="175"/>
      <c r="Z20" s="175"/>
      <c r="AA20" s="175"/>
      <c r="AB20" s="175"/>
      <c r="AC20" s="175"/>
      <c r="AD20" s="175"/>
      <c r="AE20" s="176">
        <v>1758.62</v>
      </c>
      <c r="AF20" s="143">
        <v>0.0</v>
      </c>
      <c r="AG20" s="135"/>
      <c r="AH20" s="135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</row>
    <row r="21" ht="15.75" customHeight="1">
      <c r="A21" s="139" t="s">
        <v>265</v>
      </c>
      <c r="B21" s="144">
        <v>0.0</v>
      </c>
      <c r="C21" s="144">
        <v>0.0</v>
      </c>
      <c r="D21" s="144">
        <v>0.0</v>
      </c>
      <c r="E21" s="144">
        <v>0.0</v>
      </c>
      <c r="F21" s="144">
        <v>0.0</v>
      </c>
      <c r="G21" s="144">
        <v>0.0</v>
      </c>
      <c r="H21" s="144">
        <v>0.0</v>
      </c>
      <c r="I21" s="144">
        <v>0.0</v>
      </c>
      <c r="J21" s="144">
        <v>0.0</v>
      </c>
      <c r="K21" s="144">
        <v>0.0</v>
      </c>
      <c r="L21" s="144"/>
      <c r="M21" s="144">
        <v>0.0</v>
      </c>
      <c r="N21" s="144">
        <v>0.0</v>
      </c>
      <c r="O21" s="144">
        <v>0.0</v>
      </c>
      <c r="P21" s="144">
        <v>0.0</v>
      </c>
      <c r="Q21" s="144">
        <v>0.0</v>
      </c>
      <c r="R21" s="144">
        <v>0.0</v>
      </c>
      <c r="S21" s="144">
        <v>0.0</v>
      </c>
      <c r="T21" s="144">
        <v>0.0</v>
      </c>
      <c r="U21" s="144">
        <v>0.0</v>
      </c>
      <c r="V21" s="144">
        <v>0.0</v>
      </c>
      <c r="W21" s="144">
        <v>0.0</v>
      </c>
      <c r="X21" s="144">
        <v>0.0</v>
      </c>
      <c r="Y21" s="175"/>
      <c r="Z21" s="175"/>
      <c r="AA21" s="175"/>
      <c r="AB21" s="175"/>
      <c r="AC21" s="175"/>
      <c r="AD21" s="175"/>
      <c r="AE21" s="176" t="s">
        <v>56</v>
      </c>
      <c r="AF21" s="143">
        <v>0.0</v>
      </c>
      <c r="AG21" s="135"/>
      <c r="AH21" s="135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</row>
    <row r="22" ht="15.75" customHeight="1">
      <c r="A22" s="139" t="s">
        <v>266</v>
      </c>
      <c r="B22" s="144">
        <v>0.0</v>
      </c>
      <c r="C22" s="144">
        <v>0.0</v>
      </c>
      <c r="D22" s="144">
        <v>0.0</v>
      </c>
      <c r="E22" s="144">
        <v>0.0</v>
      </c>
      <c r="F22" s="144">
        <v>0.0</v>
      </c>
      <c r="G22" s="144">
        <v>0.0</v>
      </c>
      <c r="H22" s="144">
        <v>0.86</v>
      </c>
      <c r="I22" s="144">
        <v>0.0</v>
      </c>
      <c r="J22" s="144">
        <v>616.38</v>
      </c>
      <c r="K22" s="144">
        <v>6.9</v>
      </c>
      <c r="L22" s="144"/>
      <c r="M22" s="144">
        <v>12.93</v>
      </c>
      <c r="N22" s="144">
        <v>121.55</v>
      </c>
      <c r="O22" s="144">
        <v>0.0</v>
      </c>
      <c r="P22" s="144">
        <v>0.0</v>
      </c>
      <c r="Q22" s="144">
        <v>0.0</v>
      </c>
      <c r="R22" s="144">
        <v>9.48</v>
      </c>
      <c r="S22" s="144">
        <v>34.48</v>
      </c>
      <c r="T22" s="144">
        <v>0.0</v>
      </c>
      <c r="U22" s="144">
        <v>0.0</v>
      </c>
      <c r="V22" s="144">
        <v>0.0</v>
      </c>
      <c r="W22" s="144">
        <v>0.0</v>
      </c>
      <c r="X22" s="144">
        <v>0.0</v>
      </c>
      <c r="Y22" s="175"/>
      <c r="Z22" s="175"/>
      <c r="AA22" s="175"/>
      <c r="AB22" s="175"/>
      <c r="AC22" s="175"/>
      <c r="AD22" s="175"/>
      <c r="AE22" s="176">
        <v>802.58</v>
      </c>
      <c r="AF22" s="143">
        <v>0.0</v>
      </c>
      <c r="AG22" s="135"/>
      <c r="AH22" s="135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</row>
    <row r="23" ht="15.75" customHeight="1">
      <c r="A23" s="139" t="s">
        <v>267</v>
      </c>
      <c r="B23" s="144">
        <v>0.0</v>
      </c>
      <c r="C23" s="144">
        <v>0.0</v>
      </c>
      <c r="D23" s="144">
        <v>0.0</v>
      </c>
      <c r="E23" s="144">
        <v>0.0</v>
      </c>
      <c r="F23" s="144">
        <v>0.0</v>
      </c>
      <c r="G23" s="144">
        <v>0.0</v>
      </c>
      <c r="H23" s="144">
        <v>0.0</v>
      </c>
      <c r="I23" s="144">
        <v>0.0</v>
      </c>
      <c r="J23" s="144">
        <v>0.0</v>
      </c>
      <c r="K23" s="144">
        <v>0.0</v>
      </c>
      <c r="L23" s="144"/>
      <c r="M23" s="144">
        <v>0.0</v>
      </c>
      <c r="N23" s="144">
        <v>0.0</v>
      </c>
      <c r="O23" s="144">
        <v>0.0</v>
      </c>
      <c r="P23" s="144">
        <v>0.0</v>
      </c>
      <c r="Q23" s="144">
        <v>0.0</v>
      </c>
      <c r="R23" s="144">
        <v>0.0</v>
      </c>
      <c r="S23" s="144">
        <v>0.0</v>
      </c>
      <c r="T23" s="144">
        <v>0.0</v>
      </c>
      <c r="U23" s="144">
        <v>0.0</v>
      </c>
      <c r="V23" s="144">
        <v>0.0</v>
      </c>
      <c r="W23" s="144">
        <v>0.0</v>
      </c>
      <c r="X23" s="144">
        <v>0.0</v>
      </c>
      <c r="Y23" s="175"/>
      <c r="Z23" s="175"/>
      <c r="AA23" s="175"/>
      <c r="AB23" s="175"/>
      <c r="AC23" s="175"/>
      <c r="AD23" s="175"/>
      <c r="AE23" s="176" t="s">
        <v>56</v>
      </c>
      <c r="AF23" s="143">
        <v>0.0</v>
      </c>
      <c r="AG23" s="135"/>
      <c r="AH23" s="135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</row>
    <row r="24" ht="15.75" hidden="1" customHeight="1">
      <c r="A24" s="139" t="s">
        <v>268</v>
      </c>
      <c r="B24" s="144">
        <v>0.0</v>
      </c>
      <c r="C24" s="144">
        <v>0.0</v>
      </c>
      <c r="D24" s="144">
        <v>0.0</v>
      </c>
      <c r="E24" s="144">
        <v>0.0</v>
      </c>
      <c r="F24" s="144">
        <v>0.0</v>
      </c>
      <c r="G24" s="144">
        <v>0.0</v>
      </c>
      <c r="H24" s="144">
        <v>0.0</v>
      </c>
      <c r="I24" s="144">
        <v>0.0</v>
      </c>
      <c r="J24" s="144">
        <v>0.0</v>
      </c>
      <c r="K24" s="144">
        <v>0.0</v>
      </c>
      <c r="L24" s="144"/>
      <c r="M24" s="144">
        <v>0.0</v>
      </c>
      <c r="N24" s="144">
        <v>0.0</v>
      </c>
      <c r="O24" s="144">
        <v>0.0</v>
      </c>
      <c r="P24" s="144">
        <v>0.0</v>
      </c>
      <c r="Q24" s="144">
        <v>0.0</v>
      </c>
      <c r="R24" s="144">
        <v>0.0</v>
      </c>
      <c r="S24" s="144">
        <v>0.0</v>
      </c>
      <c r="T24" s="144">
        <v>0.0</v>
      </c>
      <c r="U24" s="144">
        <v>0.0</v>
      </c>
      <c r="V24" s="144">
        <v>0.0</v>
      </c>
      <c r="W24" s="144">
        <v>0.0</v>
      </c>
      <c r="X24" s="144">
        <v>0.0</v>
      </c>
      <c r="Y24" s="175"/>
      <c r="Z24" s="175"/>
      <c r="AA24" s="175"/>
      <c r="AB24" s="175"/>
      <c r="AC24" s="175"/>
      <c r="AD24" s="175"/>
      <c r="AE24" s="176" t="s">
        <v>56</v>
      </c>
      <c r="AF24" s="143">
        <v>0.0</v>
      </c>
      <c r="AG24" s="135"/>
      <c r="AH24" s="135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</row>
    <row r="25" ht="15.75" hidden="1" customHeight="1">
      <c r="A25" s="139" t="s">
        <v>269</v>
      </c>
      <c r="B25" s="144">
        <v>0.0</v>
      </c>
      <c r="C25" s="144">
        <v>0.0</v>
      </c>
      <c r="D25" s="144">
        <v>0.0</v>
      </c>
      <c r="E25" s="144">
        <v>0.0</v>
      </c>
      <c r="F25" s="144">
        <v>0.0</v>
      </c>
      <c r="G25" s="144">
        <v>0.0</v>
      </c>
      <c r="H25" s="144">
        <v>0.0</v>
      </c>
      <c r="I25" s="144">
        <v>0.0</v>
      </c>
      <c r="J25" s="144">
        <v>0.0</v>
      </c>
      <c r="K25" s="144">
        <v>0.0</v>
      </c>
      <c r="L25" s="175"/>
      <c r="M25" s="144">
        <v>0.0</v>
      </c>
      <c r="N25" s="144">
        <v>0.0</v>
      </c>
      <c r="O25" s="144">
        <v>0.0</v>
      </c>
      <c r="P25" s="144">
        <v>0.0</v>
      </c>
      <c r="Q25" s="144">
        <v>0.0</v>
      </c>
      <c r="R25" s="144">
        <v>0.0</v>
      </c>
      <c r="S25" s="144">
        <v>0.0</v>
      </c>
      <c r="T25" s="144">
        <v>0.0</v>
      </c>
      <c r="U25" s="144">
        <v>0.0</v>
      </c>
      <c r="V25" s="144">
        <v>0.0</v>
      </c>
      <c r="W25" s="144">
        <v>0.0</v>
      </c>
      <c r="X25" s="144">
        <v>0.0</v>
      </c>
      <c r="Y25" s="175"/>
      <c r="Z25" s="175"/>
      <c r="AA25" s="175"/>
      <c r="AB25" s="175"/>
      <c r="AC25" s="175"/>
      <c r="AD25" s="144">
        <v>26660.34</v>
      </c>
      <c r="AE25" s="176">
        <v>26660.34</v>
      </c>
      <c r="AF25" s="143">
        <v>0.0</v>
      </c>
      <c r="AG25" s="135"/>
      <c r="AH25" s="135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</row>
    <row r="26" ht="15.75" hidden="1" customHeight="1">
      <c r="A26" s="139" t="s">
        <v>270</v>
      </c>
      <c r="B26" s="144">
        <v>0.0</v>
      </c>
      <c r="C26" s="144">
        <v>0.0</v>
      </c>
      <c r="D26" s="144">
        <v>0.0</v>
      </c>
      <c r="E26" s="144">
        <v>0.0</v>
      </c>
      <c r="F26" s="144">
        <v>0.0</v>
      </c>
      <c r="G26" s="144">
        <v>0.0</v>
      </c>
      <c r="H26" s="144">
        <v>0.0</v>
      </c>
      <c r="I26" s="144">
        <v>0.0</v>
      </c>
      <c r="J26" s="144">
        <v>0.0</v>
      </c>
      <c r="K26" s="144">
        <v>0.0</v>
      </c>
      <c r="L26" s="175"/>
      <c r="M26" s="144">
        <v>0.0</v>
      </c>
      <c r="N26" s="144">
        <v>0.0</v>
      </c>
      <c r="O26" s="144">
        <v>0.0</v>
      </c>
      <c r="P26" s="144">
        <v>0.0</v>
      </c>
      <c r="Q26" s="144">
        <v>0.0</v>
      </c>
      <c r="R26" s="144">
        <v>0.0</v>
      </c>
      <c r="S26" s="144">
        <v>0.0</v>
      </c>
      <c r="T26" s="144">
        <v>0.0</v>
      </c>
      <c r="U26" s="144">
        <v>0.0</v>
      </c>
      <c r="V26" s="144">
        <v>0.0</v>
      </c>
      <c r="W26" s="144">
        <v>0.0</v>
      </c>
      <c r="X26" s="144">
        <v>0.0</v>
      </c>
      <c r="Y26" s="175"/>
      <c r="Z26" s="175"/>
      <c r="AA26" s="175"/>
      <c r="AB26" s="175"/>
      <c r="AC26" s="175"/>
      <c r="AD26" s="175"/>
      <c r="AE26" s="176" t="s">
        <v>56</v>
      </c>
      <c r="AF26" s="143">
        <v>0.0</v>
      </c>
      <c r="AG26" s="135"/>
      <c r="AH26" s="135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</row>
    <row r="27" ht="15.75" customHeight="1">
      <c r="A27" s="146" t="s">
        <v>271</v>
      </c>
      <c r="B27" s="147">
        <v>1667395.69</v>
      </c>
      <c r="C27" s="147">
        <v>16684.48</v>
      </c>
      <c r="D27" s="147">
        <v>321722.42</v>
      </c>
      <c r="E27" s="147">
        <v>30549.0</v>
      </c>
      <c r="F27" s="147">
        <v>40635.35</v>
      </c>
      <c r="G27" s="147">
        <v>241556.03</v>
      </c>
      <c r="H27" s="147">
        <v>265890.51</v>
      </c>
      <c r="I27" s="147">
        <v>45900.85</v>
      </c>
      <c r="J27" s="147">
        <v>1927146.51</v>
      </c>
      <c r="K27" s="147">
        <v>307139.51</v>
      </c>
      <c r="L27" s="147"/>
      <c r="M27" s="147">
        <v>41366.38</v>
      </c>
      <c r="N27" s="147">
        <v>162922.42</v>
      </c>
      <c r="O27" s="147">
        <v>32762.93</v>
      </c>
      <c r="P27" s="147">
        <v>73403.45</v>
      </c>
      <c r="Q27" s="147">
        <v>40000.0</v>
      </c>
      <c r="R27" s="147">
        <v>41357.75</v>
      </c>
      <c r="S27" s="147">
        <v>92520.09</v>
      </c>
      <c r="T27" s="147">
        <v>143963.81</v>
      </c>
      <c r="U27" s="147">
        <v>116566.97</v>
      </c>
      <c r="V27" s="147">
        <v>37896.54</v>
      </c>
      <c r="W27" s="147">
        <v>123444.0</v>
      </c>
      <c r="X27" s="147">
        <v>747880.18</v>
      </c>
      <c r="Y27" s="147"/>
      <c r="Z27" s="147">
        <v>36000.0</v>
      </c>
      <c r="AA27" s="147"/>
      <c r="AB27" s="147"/>
      <c r="AC27" s="147"/>
      <c r="AD27" s="147">
        <v>28735.52</v>
      </c>
      <c r="AE27" s="147">
        <v>6547440.39</v>
      </c>
      <c r="AF27" s="146">
        <v>1.0</v>
      </c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35"/>
      <c r="AH28" s="135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</row>
    <row r="29" ht="15.75" customHeight="1">
      <c r="A29" s="139" t="s">
        <v>47</v>
      </c>
      <c r="B29" s="144">
        <v>40561.75</v>
      </c>
      <c r="C29" s="144">
        <v>0.0</v>
      </c>
      <c r="D29" s="144">
        <v>19440.28</v>
      </c>
      <c r="E29" s="144">
        <v>0.0</v>
      </c>
      <c r="F29" s="144">
        <v>10988.58</v>
      </c>
      <c r="G29" s="144">
        <v>21078.08</v>
      </c>
      <c r="H29" s="144">
        <v>20333.62</v>
      </c>
      <c r="I29" s="144">
        <v>14138.14</v>
      </c>
      <c r="J29" s="144">
        <v>144792.81</v>
      </c>
      <c r="K29" s="144">
        <v>58610.33</v>
      </c>
      <c r="L29" s="144"/>
      <c r="M29" s="144">
        <v>10797.24</v>
      </c>
      <c r="N29" s="144">
        <v>38404.52</v>
      </c>
      <c r="O29" s="144">
        <v>10050.36</v>
      </c>
      <c r="P29" s="144">
        <v>26004.99</v>
      </c>
      <c r="Q29" s="144">
        <v>17690.0</v>
      </c>
      <c r="R29" s="144">
        <v>196453.61</v>
      </c>
      <c r="S29" s="144">
        <v>31167.19</v>
      </c>
      <c r="T29" s="144">
        <v>39715.2</v>
      </c>
      <c r="U29" s="144">
        <v>41102.96</v>
      </c>
      <c r="V29" s="144">
        <v>33790.49</v>
      </c>
      <c r="W29" s="144">
        <v>21876.52</v>
      </c>
      <c r="X29" s="144">
        <v>61517.04</v>
      </c>
      <c r="Y29" s="144">
        <v>0.0</v>
      </c>
      <c r="Z29" s="144">
        <v>16459.24</v>
      </c>
      <c r="AA29" s="144"/>
      <c r="AB29" s="144"/>
      <c r="AC29" s="144"/>
      <c r="AD29" s="144">
        <v>670929.28</v>
      </c>
      <c r="AE29" s="176">
        <v>1545902.0</v>
      </c>
      <c r="AF29" s="143">
        <v>0.48</v>
      </c>
      <c r="AG29" s="135"/>
      <c r="AH29" s="141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</row>
    <row r="30" ht="15.75" customHeight="1">
      <c r="A30" s="139" t="s">
        <v>48</v>
      </c>
      <c r="B30" s="144">
        <v>0.0</v>
      </c>
      <c r="C30" s="144">
        <v>0.0</v>
      </c>
      <c r="D30" s="144">
        <v>0.0</v>
      </c>
      <c r="E30" s="144">
        <v>0.0</v>
      </c>
      <c r="F30" s="144">
        <v>0.0</v>
      </c>
      <c r="G30" s="144">
        <v>0.0</v>
      </c>
      <c r="H30" s="144">
        <v>0.0</v>
      </c>
      <c r="I30" s="144">
        <v>0.0</v>
      </c>
      <c r="J30" s="144">
        <v>0.0</v>
      </c>
      <c r="K30" s="144">
        <v>0.0</v>
      </c>
      <c r="L30" s="144"/>
      <c r="M30" s="144">
        <v>0.0</v>
      </c>
      <c r="N30" s="144">
        <v>0.0</v>
      </c>
      <c r="O30" s="144">
        <v>0.0</v>
      </c>
      <c r="P30" s="144">
        <v>0.0</v>
      </c>
      <c r="Q30" s="144">
        <v>0.0</v>
      </c>
      <c r="R30" s="144">
        <v>0.0</v>
      </c>
      <c r="S30" s="144">
        <v>0.0</v>
      </c>
      <c r="T30" s="144">
        <v>0.0</v>
      </c>
      <c r="U30" s="144">
        <v>0.0</v>
      </c>
      <c r="V30" s="144">
        <v>0.0</v>
      </c>
      <c r="W30" s="144">
        <v>0.0</v>
      </c>
      <c r="X30" s="144">
        <v>0.0</v>
      </c>
      <c r="Y30" s="144">
        <v>0.0</v>
      </c>
      <c r="Z30" s="144">
        <v>0.0</v>
      </c>
      <c r="AA30" s="144"/>
      <c r="AB30" s="144"/>
      <c r="AC30" s="144"/>
      <c r="AD30" s="144">
        <v>0.0</v>
      </c>
      <c r="AE30" s="176" t="s">
        <v>56</v>
      </c>
      <c r="AF30" s="143">
        <v>0.0</v>
      </c>
      <c r="AG30" s="135"/>
      <c r="AH30" s="141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</row>
    <row r="31" ht="15.75" customHeight="1">
      <c r="A31" s="139" t="s">
        <v>49</v>
      </c>
      <c r="B31" s="144">
        <v>0.0</v>
      </c>
      <c r="C31" s="144">
        <v>0.0</v>
      </c>
      <c r="D31" s="144">
        <v>0.0</v>
      </c>
      <c r="E31" s="144">
        <v>0.0</v>
      </c>
      <c r="F31" s="144">
        <v>0.0</v>
      </c>
      <c r="G31" s="144">
        <v>0.0</v>
      </c>
      <c r="H31" s="144">
        <v>0.0</v>
      </c>
      <c r="I31" s="144">
        <v>0.0</v>
      </c>
      <c r="J31" s="144">
        <v>0.0</v>
      </c>
      <c r="K31" s="144">
        <v>0.0</v>
      </c>
      <c r="L31" s="144"/>
      <c r="M31" s="144">
        <v>0.0</v>
      </c>
      <c r="N31" s="144">
        <v>0.0</v>
      </c>
      <c r="O31" s="144">
        <v>0.0</v>
      </c>
      <c r="P31" s="144">
        <v>0.0</v>
      </c>
      <c r="Q31" s="144">
        <v>0.0</v>
      </c>
      <c r="R31" s="144">
        <v>0.0</v>
      </c>
      <c r="S31" s="144">
        <v>0.0</v>
      </c>
      <c r="T31" s="144">
        <v>0.0</v>
      </c>
      <c r="U31" s="144">
        <v>0.0</v>
      </c>
      <c r="V31" s="144">
        <v>0.0</v>
      </c>
      <c r="W31" s="144">
        <v>0.0</v>
      </c>
      <c r="X31" s="144">
        <v>0.0</v>
      </c>
      <c r="Y31" s="144">
        <v>0.0</v>
      </c>
      <c r="Z31" s="144">
        <v>0.0</v>
      </c>
      <c r="AA31" s="144"/>
      <c r="AB31" s="144"/>
      <c r="AC31" s="144"/>
      <c r="AD31" s="144">
        <v>28905.57</v>
      </c>
      <c r="AE31" s="176">
        <v>28906.0</v>
      </c>
      <c r="AF31" s="143">
        <v>0.01</v>
      </c>
      <c r="AG31" s="135"/>
      <c r="AH31" s="135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</row>
    <row r="32" ht="15.75" customHeight="1">
      <c r="A32" s="139" t="s">
        <v>50</v>
      </c>
      <c r="B32" s="144">
        <v>0.0</v>
      </c>
      <c r="C32" s="144">
        <v>0.0</v>
      </c>
      <c r="D32" s="144">
        <v>177160.0</v>
      </c>
      <c r="E32" s="144">
        <v>0.0</v>
      </c>
      <c r="F32" s="144">
        <v>16140.0</v>
      </c>
      <c r="G32" s="144">
        <v>0.0</v>
      </c>
      <c r="H32" s="144">
        <v>0.0</v>
      </c>
      <c r="I32" s="144">
        <v>0.0</v>
      </c>
      <c r="J32" s="144">
        <v>0.0</v>
      </c>
      <c r="K32" s="144">
        <v>0.0</v>
      </c>
      <c r="L32" s="144"/>
      <c r="M32" s="144">
        <v>0.0</v>
      </c>
      <c r="N32" s="144">
        <v>0.0</v>
      </c>
      <c r="O32" s="144">
        <v>0.0</v>
      </c>
      <c r="P32" s="144">
        <v>0.0</v>
      </c>
      <c r="Q32" s="144">
        <v>0.0</v>
      </c>
      <c r="R32" s="144">
        <v>0.0</v>
      </c>
      <c r="S32" s="144">
        <v>0.0</v>
      </c>
      <c r="T32" s="144">
        <v>0.0</v>
      </c>
      <c r="U32" s="144">
        <v>0.0</v>
      </c>
      <c r="V32" s="144">
        <v>0.0</v>
      </c>
      <c r="W32" s="144">
        <v>0.0</v>
      </c>
      <c r="X32" s="144">
        <v>0.0</v>
      </c>
      <c r="Y32" s="144">
        <v>0.0</v>
      </c>
      <c r="Z32" s="144">
        <v>0.0</v>
      </c>
      <c r="AA32" s="144"/>
      <c r="AB32" s="144"/>
      <c r="AC32" s="144"/>
      <c r="AD32" s="144">
        <v>70953.14</v>
      </c>
      <c r="AE32" s="176">
        <v>264253.0</v>
      </c>
      <c r="AF32" s="143">
        <v>0.08</v>
      </c>
      <c r="AG32" s="135"/>
      <c r="AH32" s="135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</row>
    <row r="33" ht="15.75" customHeight="1">
      <c r="A33" s="139" t="s">
        <v>51</v>
      </c>
      <c r="B33" s="144">
        <v>0.0</v>
      </c>
      <c r="C33" s="144">
        <v>0.0</v>
      </c>
      <c r="D33" s="144">
        <v>0.0</v>
      </c>
      <c r="E33" s="144">
        <v>0.0</v>
      </c>
      <c r="F33" s="144">
        <v>0.0</v>
      </c>
      <c r="G33" s="144">
        <v>0.0</v>
      </c>
      <c r="H33" s="144">
        <v>0.0</v>
      </c>
      <c r="I33" s="144">
        <v>0.0</v>
      </c>
      <c r="J33" s="144">
        <v>0.0</v>
      </c>
      <c r="K33" s="144">
        <v>0.0</v>
      </c>
      <c r="L33" s="144"/>
      <c r="M33" s="144">
        <v>0.0</v>
      </c>
      <c r="N33" s="144">
        <v>0.0</v>
      </c>
      <c r="O33" s="144">
        <v>0.0</v>
      </c>
      <c r="P33" s="144">
        <v>0.0</v>
      </c>
      <c r="Q33" s="144">
        <v>0.0</v>
      </c>
      <c r="R33" s="144">
        <v>0.0</v>
      </c>
      <c r="S33" s="144">
        <v>0.0</v>
      </c>
      <c r="T33" s="144">
        <v>0.0</v>
      </c>
      <c r="U33" s="144">
        <v>0.0</v>
      </c>
      <c r="V33" s="144">
        <v>0.0</v>
      </c>
      <c r="W33" s="144">
        <v>0.0</v>
      </c>
      <c r="X33" s="144">
        <v>0.0</v>
      </c>
      <c r="Y33" s="144">
        <v>0.0</v>
      </c>
      <c r="Z33" s="144">
        <v>0.0</v>
      </c>
      <c r="AA33" s="144"/>
      <c r="AB33" s="144"/>
      <c r="AC33" s="144"/>
      <c r="AD33" s="144">
        <v>0.0</v>
      </c>
      <c r="AE33" s="176" t="s">
        <v>56</v>
      </c>
      <c r="AF33" s="143">
        <v>0.0</v>
      </c>
      <c r="AG33" s="135"/>
      <c r="AH33" s="135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</row>
    <row r="34" ht="15.75" customHeight="1">
      <c r="A34" s="139" t="s">
        <v>52</v>
      </c>
      <c r="B34" s="144">
        <v>37113.71</v>
      </c>
      <c r="C34" s="144">
        <v>0.0</v>
      </c>
      <c r="D34" s="144">
        <v>0.0</v>
      </c>
      <c r="E34" s="144">
        <v>0.0</v>
      </c>
      <c r="F34" s="144">
        <v>0.0</v>
      </c>
      <c r="G34" s="144">
        <v>0.0</v>
      </c>
      <c r="H34" s="144">
        <v>0.0</v>
      </c>
      <c r="I34" s="144">
        <v>0.0</v>
      </c>
      <c r="J34" s="144">
        <v>0.0</v>
      </c>
      <c r="K34" s="144">
        <v>0.0</v>
      </c>
      <c r="L34" s="144"/>
      <c r="M34" s="144">
        <v>0.0</v>
      </c>
      <c r="N34" s="144">
        <v>0.0</v>
      </c>
      <c r="O34" s="144">
        <v>0.0</v>
      </c>
      <c r="P34" s="144">
        <v>0.0</v>
      </c>
      <c r="Q34" s="144">
        <v>0.0</v>
      </c>
      <c r="R34" s="144">
        <v>0.0</v>
      </c>
      <c r="S34" s="144">
        <v>0.0</v>
      </c>
      <c r="T34" s="144">
        <v>0.0</v>
      </c>
      <c r="U34" s="144">
        <v>0.0</v>
      </c>
      <c r="V34" s="144">
        <v>0.0</v>
      </c>
      <c r="W34" s="144">
        <v>0.0</v>
      </c>
      <c r="X34" s="144">
        <v>0.0</v>
      </c>
      <c r="Y34" s="144">
        <v>0.0</v>
      </c>
      <c r="Z34" s="144">
        <v>0.0</v>
      </c>
      <c r="AA34" s="144"/>
      <c r="AB34" s="144"/>
      <c r="AC34" s="144"/>
      <c r="AD34" s="144">
        <v>9160.83</v>
      </c>
      <c r="AE34" s="176">
        <v>46275.0</v>
      </c>
      <c r="AF34" s="143">
        <v>0.01</v>
      </c>
      <c r="AG34" s="135"/>
      <c r="AH34" s="135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</row>
    <row r="35" ht="15.75" customHeight="1">
      <c r="A35" s="139" t="s">
        <v>53</v>
      </c>
      <c r="B35" s="144">
        <v>11487.17</v>
      </c>
      <c r="C35" s="144">
        <v>0.0</v>
      </c>
      <c r="D35" s="144">
        <v>0.0</v>
      </c>
      <c r="E35" s="144">
        <v>0.0</v>
      </c>
      <c r="F35" s="144">
        <v>0.0</v>
      </c>
      <c r="G35" s="144">
        <v>0.0</v>
      </c>
      <c r="H35" s="144">
        <v>0.0</v>
      </c>
      <c r="I35" s="144">
        <v>0.0</v>
      </c>
      <c r="J35" s="144">
        <v>0.0</v>
      </c>
      <c r="K35" s="144">
        <v>0.0</v>
      </c>
      <c r="L35" s="144"/>
      <c r="M35" s="144">
        <v>0.0</v>
      </c>
      <c r="N35" s="144">
        <v>0.0</v>
      </c>
      <c r="O35" s="144">
        <v>0.0</v>
      </c>
      <c r="P35" s="144">
        <v>0.0</v>
      </c>
      <c r="Q35" s="144">
        <v>0.0</v>
      </c>
      <c r="R35" s="144">
        <v>0.0</v>
      </c>
      <c r="S35" s="144">
        <v>0.0</v>
      </c>
      <c r="T35" s="144">
        <v>0.0</v>
      </c>
      <c r="U35" s="144">
        <v>0.0</v>
      </c>
      <c r="V35" s="144">
        <v>0.0</v>
      </c>
      <c r="W35" s="144">
        <v>0.0</v>
      </c>
      <c r="X35" s="144">
        <v>0.0</v>
      </c>
      <c r="Y35" s="144">
        <v>0.0</v>
      </c>
      <c r="Z35" s="144">
        <v>0.0</v>
      </c>
      <c r="AA35" s="144"/>
      <c r="AB35" s="144"/>
      <c r="AC35" s="144"/>
      <c r="AD35" s="144">
        <v>8468.97</v>
      </c>
      <c r="AE35" s="176">
        <v>19956.0</v>
      </c>
      <c r="AF35" s="143">
        <v>0.01</v>
      </c>
      <c r="AG35" s="135"/>
      <c r="AH35" s="135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</row>
    <row r="36" ht="15.75" customHeight="1">
      <c r="A36" s="139" t="s">
        <v>54</v>
      </c>
      <c r="B36" s="144">
        <v>627.59</v>
      </c>
      <c r="C36" s="144">
        <v>0.0</v>
      </c>
      <c r="D36" s="144">
        <v>627.59</v>
      </c>
      <c r="E36" s="144">
        <v>0.0</v>
      </c>
      <c r="F36" s="144">
        <v>584.48</v>
      </c>
      <c r="G36" s="144">
        <v>713.79</v>
      </c>
      <c r="H36" s="144">
        <v>283.62</v>
      </c>
      <c r="I36" s="144">
        <v>343.97</v>
      </c>
      <c r="J36" s="144">
        <v>688.8</v>
      </c>
      <c r="K36" s="144">
        <v>283.62</v>
      </c>
      <c r="L36" s="144"/>
      <c r="M36" s="144">
        <v>283.62</v>
      </c>
      <c r="N36" s="144">
        <v>627.59</v>
      </c>
      <c r="O36" s="144">
        <v>283.62</v>
      </c>
      <c r="P36" s="144">
        <v>627.59</v>
      </c>
      <c r="Q36" s="144">
        <v>850.86</v>
      </c>
      <c r="R36" s="144">
        <v>283.62</v>
      </c>
      <c r="S36" s="144">
        <v>283.62</v>
      </c>
      <c r="T36" s="144">
        <v>713.78</v>
      </c>
      <c r="U36" s="144">
        <v>283.62</v>
      </c>
      <c r="V36" s="144">
        <v>283.62</v>
      </c>
      <c r="W36" s="144">
        <v>627.59</v>
      </c>
      <c r="X36" s="144">
        <v>584.48</v>
      </c>
      <c r="Y36" s="144">
        <v>0.0</v>
      </c>
      <c r="Z36" s="144">
        <v>0.0</v>
      </c>
      <c r="AA36" s="144"/>
      <c r="AB36" s="144"/>
      <c r="AC36" s="144"/>
      <c r="AD36" s="144">
        <v>22799.91</v>
      </c>
      <c r="AE36" s="176">
        <v>32687.0</v>
      </c>
      <c r="AF36" s="143">
        <v>0.01</v>
      </c>
      <c r="AG36" s="135"/>
      <c r="AH36" s="135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</row>
    <row r="37" ht="15.75" customHeight="1">
      <c r="A37" s="139" t="s">
        <v>55</v>
      </c>
      <c r="B37" s="144">
        <v>105500.0</v>
      </c>
      <c r="C37" s="144">
        <v>0.0</v>
      </c>
      <c r="D37" s="144">
        <v>0.0</v>
      </c>
      <c r="E37" s="144">
        <v>0.0</v>
      </c>
      <c r="F37" s="144">
        <v>0.0</v>
      </c>
      <c r="G37" s="144">
        <v>0.0</v>
      </c>
      <c r="H37" s="144">
        <v>0.0</v>
      </c>
      <c r="I37" s="144">
        <v>0.0</v>
      </c>
      <c r="J37" s="144">
        <v>0.0</v>
      </c>
      <c r="K37" s="144">
        <v>0.0</v>
      </c>
      <c r="L37" s="144"/>
      <c r="M37" s="144">
        <v>0.0</v>
      </c>
      <c r="N37" s="144">
        <v>0.0</v>
      </c>
      <c r="O37" s="144">
        <v>0.0</v>
      </c>
      <c r="P37" s="144">
        <v>0.0</v>
      </c>
      <c r="Q37" s="144">
        <v>0.0</v>
      </c>
      <c r="R37" s="144">
        <v>0.0</v>
      </c>
      <c r="S37" s="144">
        <v>0.0</v>
      </c>
      <c r="T37" s="144">
        <v>0.0</v>
      </c>
      <c r="U37" s="144">
        <v>0.0</v>
      </c>
      <c r="V37" s="144">
        <v>0.0</v>
      </c>
      <c r="W37" s="144">
        <v>0.0</v>
      </c>
      <c r="X37" s="144">
        <v>0.0</v>
      </c>
      <c r="Y37" s="144">
        <v>0.0</v>
      </c>
      <c r="Z37" s="144">
        <v>0.0</v>
      </c>
      <c r="AA37" s="144"/>
      <c r="AB37" s="144"/>
      <c r="AC37" s="144"/>
      <c r="AD37" s="144">
        <v>0.0</v>
      </c>
      <c r="AE37" s="176">
        <v>105500.0</v>
      </c>
      <c r="AF37" s="143">
        <v>0.03</v>
      </c>
      <c r="AG37" s="135"/>
      <c r="AH37" s="135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</row>
    <row r="38" ht="15.75" customHeight="1">
      <c r="A38" s="139" t="s">
        <v>57</v>
      </c>
      <c r="B38" s="144">
        <v>1628.56</v>
      </c>
      <c r="C38" s="144">
        <v>0.0</v>
      </c>
      <c r="D38" s="144">
        <v>552.05</v>
      </c>
      <c r="E38" s="144">
        <v>0.0</v>
      </c>
      <c r="F38" s="144">
        <v>138.01</v>
      </c>
      <c r="G38" s="144">
        <v>690.07</v>
      </c>
      <c r="H38" s="144">
        <v>552.05</v>
      </c>
      <c r="I38" s="144">
        <v>115.01</v>
      </c>
      <c r="J38" s="144">
        <v>6900.67</v>
      </c>
      <c r="K38" s="144">
        <v>920.09</v>
      </c>
      <c r="L38" s="144"/>
      <c r="M38" s="144">
        <v>101.21</v>
      </c>
      <c r="N38" s="144">
        <v>381.84</v>
      </c>
      <c r="O38" s="144">
        <v>50.6</v>
      </c>
      <c r="P38" s="144">
        <v>409.44</v>
      </c>
      <c r="Q38" s="144">
        <v>460.04</v>
      </c>
      <c r="R38" s="144">
        <v>3450.33</v>
      </c>
      <c r="S38" s="144">
        <v>179.42</v>
      </c>
      <c r="T38" s="144">
        <v>460.04</v>
      </c>
      <c r="U38" s="144">
        <v>547.45</v>
      </c>
      <c r="V38" s="144">
        <v>161.02</v>
      </c>
      <c r="W38" s="144">
        <v>161.02</v>
      </c>
      <c r="X38" s="144">
        <v>828.08</v>
      </c>
      <c r="Y38" s="144">
        <v>0.0</v>
      </c>
      <c r="Z38" s="144">
        <v>0.0</v>
      </c>
      <c r="AA38" s="144"/>
      <c r="AB38" s="144"/>
      <c r="AC38" s="144"/>
      <c r="AD38" s="144">
        <v>0.0</v>
      </c>
      <c r="AE38" s="176">
        <v>18687.0</v>
      </c>
      <c r="AF38" s="143">
        <v>0.01</v>
      </c>
      <c r="AG38" s="135"/>
      <c r="AH38" s="135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</row>
    <row r="39" ht="15.75" customHeight="1">
      <c r="A39" s="139" t="s">
        <v>58</v>
      </c>
      <c r="B39" s="144">
        <v>0.0</v>
      </c>
      <c r="C39" s="144">
        <v>0.0</v>
      </c>
      <c r="D39" s="144">
        <v>0.0</v>
      </c>
      <c r="E39" s="144">
        <v>2130.0</v>
      </c>
      <c r="F39" s="144">
        <v>2760.0</v>
      </c>
      <c r="G39" s="144">
        <v>0.0</v>
      </c>
      <c r="H39" s="144">
        <v>11357.85</v>
      </c>
      <c r="I39" s="144">
        <v>0.0</v>
      </c>
      <c r="J39" s="144">
        <v>66666.68</v>
      </c>
      <c r="K39" s="144">
        <v>0.0</v>
      </c>
      <c r="L39" s="144"/>
      <c r="M39" s="144">
        <v>0.0</v>
      </c>
      <c r="N39" s="144">
        <v>0.0</v>
      </c>
      <c r="O39" s="144">
        <v>0.0</v>
      </c>
      <c r="P39" s="144">
        <v>0.0</v>
      </c>
      <c r="Q39" s="144">
        <v>0.0</v>
      </c>
      <c r="R39" s="144">
        <v>1500.0</v>
      </c>
      <c r="S39" s="144">
        <v>0.0</v>
      </c>
      <c r="T39" s="144">
        <v>0.0</v>
      </c>
      <c r="U39" s="144">
        <v>0.0</v>
      </c>
      <c r="V39" s="144">
        <v>0.0</v>
      </c>
      <c r="W39" s="144">
        <v>0.0</v>
      </c>
      <c r="X39" s="144">
        <v>10815.0</v>
      </c>
      <c r="Y39" s="144">
        <v>0.0</v>
      </c>
      <c r="Z39" s="144">
        <v>0.0</v>
      </c>
      <c r="AA39" s="144"/>
      <c r="AB39" s="144"/>
      <c r="AC39" s="144"/>
      <c r="AD39" s="144">
        <v>0.0</v>
      </c>
      <c r="AE39" s="176">
        <v>95230.0</v>
      </c>
      <c r="AF39" s="143">
        <v>0.03</v>
      </c>
      <c r="AG39" s="135"/>
      <c r="AH39" s="135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</row>
    <row r="40" ht="15.75" customHeight="1">
      <c r="A40" s="139" t="s">
        <v>59</v>
      </c>
      <c r="B40" s="144">
        <v>0.0</v>
      </c>
      <c r="C40" s="144">
        <v>0.0</v>
      </c>
      <c r="D40" s="144">
        <v>0.0</v>
      </c>
      <c r="E40" s="144">
        <v>0.0</v>
      </c>
      <c r="F40" s="144">
        <v>0.0</v>
      </c>
      <c r="G40" s="144">
        <v>0.0</v>
      </c>
      <c r="H40" s="144">
        <v>0.0</v>
      </c>
      <c r="I40" s="144">
        <v>0.0</v>
      </c>
      <c r="J40" s="144">
        <v>0.0</v>
      </c>
      <c r="K40" s="144">
        <v>0.0</v>
      </c>
      <c r="L40" s="144"/>
      <c r="M40" s="144">
        <v>0.0</v>
      </c>
      <c r="N40" s="144">
        <v>0.0</v>
      </c>
      <c r="O40" s="144">
        <v>0.0</v>
      </c>
      <c r="P40" s="144">
        <v>0.0</v>
      </c>
      <c r="Q40" s="144">
        <v>0.0</v>
      </c>
      <c r="R40" s="144">
        <v>0.0</v>
      </c>
      <c r="S40" s="144">
        <v>0.0</v>
      </c>
      <c r="T40" s="144">
        <v>0.0</v>
      </c>
      <c r="U40" s="144">
        <v>0.0</v>
      </c>
      <c r="V40" s="144">
        <v>0.0</v>
      </c>
      <c r="W40" s="144">
        <v>0.0</v>
      </c>
      <c r="X40" s="144">
        <v>0.0</v>
      </c>
      <c r="Y40" s="144">
        <v>0.0</v>
      </c>
      <c r="Z40" s="144">
        <v>0.0</v>
      </c>
      <c r="AA40" s="144"/>
      <c r="AB40" s="144"/>
      <c r="AC40" s="144"/>
      <c r="AD40" s="144">
        <v>0.0</v>
      </c>
      <c r="AE40" s="176" t="s">
        <v>56</v>
      </c>
      <c r="AF40" s="143">
        <v>0.0</v>
      </c>
      <c r="AG40" s="135"/>
      <c r="AH40" s="135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</row>
    <row r="41" ht="15.75" customHeight="1">
      <c r="A41" s="139" t="s">
        <v>60</v>
      </c>
      <c r="B41" s="144">
        <v>0.0</v>
      </c>
      <c r="C41" s="144">
        <v>0.0</v>
      </c>
      <c r="D41" s="144">
        <v>0.0</v>
      </c>
      <c r="E41" s="144">
        <v>0.0</v>
      </c>
      <c r="F41" s="144">
        <v>0.0</v>
      </c>
      <c r="G41" s="144">
        <v>0.0</v>
      </c>
      <c r="H41" s="144">
        <v>0.0</v>
      </c>
      <c r="I41" s="144">
        <v>0.0</v>
      </c>
      <c r="J41" s="144">
        <v>0.0</v>
      </c>
      <c r="K41" s="144">
        <v>0.0</v>
      </c>
      <c r="L41" s="144"/>
      <c r="M41" s="144">
        <v>0.0</v>
      </c>
      <c r="N41" s="144">
        <v>0.0</v>
      </c>
      <c r="O41" s="144">
        <v>0.0</v>
      </c>
      <c r="P41" s="144">
        <v>0.0</v>
      </c>
      <c r="Q41" s="144">
        <v>0.0</v>
      </c>
      <c r="R41" s="144">
        <v>0.0</v>
      </c>
      <c r="S41" s="144">
        <v>0.0</v>
      </c>
      <c r="T41" s="144">
        <v>0.0</v>
      </c>
      <c r="U41" s="144">
        <v>0.0</v>
      </c>
      <c r="V41" s="144">
        <v>0.0</v>
      </c>
      <c r="W41" s="144">
        <v>0.0</v>
      </c>
      <c r="X41" s="144">
        <v>0.0</v>
      </c>
      <c r="Y41" s="144">
        <v>0.0</v>
      </c>
      <c r="Z41" s="144">
        <v>0.0</v>
      </c>
      <c r="AA41" s="144"/>
      <c r="AB41" s="144"/>
      <c r="AC41" s="144"/>
      <c r="AD41" s="144">
        <v>0.0</v>
      </c>
      <c r="AE41" s="176" t="s">
        <v>56</v>
      </c>
      <c r="AF41" s="143">
        <v>0.0</v>
      </c>
      <c r="AG41" s="135"/>
      <c r="AH41" s="135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</row>
    <row r="42" ht="15.75" customHeight="1">
      <c r="A42" s="139" t="s">
        <v>61</v>
      </c>
      <c r="B42" s="144">
        <v>0.0</v>
      </c>
      <c r="C42" s="144">
        <v>0.0</v>
      </c>
      <c r="D42" s="144">
        <v>0.0</v>
      </c>
      <c r="E42" s="144">
        <v>0.0</v>
      </c>
      <c r="F42" s="144">
        <v>0.0</v>
      </c>
      <c r="G42" s="144">
        <v>0.0</v>
      </c>
      <c r="H42" s="144">
        <v>0.0</v>
      </c>
      <c r="I42" s="144">
        <v>0.0</v>
      </c>
      <c r="J42" s="144">
        <v>0.0</v>
      </c>
      <c r="K42" s="144">
        <v>0.0</v>
      </c>
      <c r="L42" s="144"/>
      <c r="M42" s="144">
        <v>0.0</v>
      </c>
      <c r="N42" s="144">
        <v>0.0</v>
      </c>
      <c r="O42" s="144">
        <v>0.0</v>
      </c>
      <c r="P42" s="144">
        <v>0.0</v>
      </c>
      <c r="Q42" s="144">
        <v>0.0</v>
      </c>
      <c r="R42" s="144">
        <v>0.0</v>
      </c>
      <c r="S42" s="144">
        <v>0.0</v>
      </c>
      <c r="T42" s="144">
        <v>0.0</v>
      </c>
      <c r="U42" s="144">
        <v>0.0</v>
      </c>
      <c r="V42" s="144">
        <v>0.0</v>
      </c>
      <c r="W42" s="144">
        <v>0.0</v>
      </c>
      <c r="X42" s="144">
        <v>0.0</v>
      </c>
      <c r="Y42" s="144">
        <v>0.0</v>
      </c>
      <c r="Z42" s="144">
        <v>0.0</v>
      </c>
      <c r="AA42" s="144"/>
      <c r="AB42" s="144"/>
      <c r="AC42" s="144"/>
      <c r="AD42" s="144">
        <v>0.0</v>
      </c>
      <c r="AE42" s="176" t="s">
        <v>56</v>
      </c>
      <c r="AF42" s="143">
        <v>0.0</v>
      </c>
      <c r="AG42" s="135"/>
      <c r="AH42" s="135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</row>
    <row r="43" ht="15.75" customHeight="1">
      <c r="A43" s="139" t="s">
        <v>62</v>
      </c>
      <c r="B43" s="144">
        <v>0.0</v>
      </c>
      <c r="C43" s="144">
        <v>0.0</v>
      </c>
      <c r="D43" s="144">
        <v>0.0</v>
      </c>
      <c r="E43" s="144">
        <v>0.0</v>
      </c>
      <c r="F43" s="144">
        <v>0.0</v>
      </c>
      <c r="G43" s="144">
        <v>0.0</v>
      </c>
      <c r="H43" s="144">
        <v>2400.0</v>
      </c>
      <c r="I43" s="144">
        <v>0.0</v>
      </c>
      <c r="J43" s="144">
        <v>0.0</v>
      </c>
      <c r="K43" s="144">
        <v>0.0</v>
      </c>
      <c r="L43" s="144"/>
      <c r="M43" s="144">
        <v>0.0</v>
      </c>
      <c r="N43" s="144">
        <v>0.0</v>
      </c>
      <c r="O43" s="144">
        <v>0.0</v>
      </c>
      <c r="P43" s="144">
        <v>0.0</v>
      </c>
      <c r="Q43" s="144">
        <v>0.0</v>
      </c>
      <c r="R43" s="144">
        <v>0.0</v>
      </c>
      <c r="S43" s="144">
        <v>0.0</v>
      </c>
      <c r="T43" s="144">
        <v>5765.0</v>
      </c>
      <c r="U43" s="144">
        <v>0.0</v>
      </c>
      <c r="V43" s="144">
        <v>0.0</v>
      </c>
      <c r="W43" s="144">
        <v>0.0</v>
      </c>
      <c r="X43" s="144">
        <v>28475.55</v>
      </c>
      <c r="Y43" s="144">
        <v>0.0</v>
      </c>
      <c r="Z43" s="144">
        <v>0.0</v>
      </c>
      <c r="AA43" s="144"/>
      <c r="AB43" s="144"/>
      <c r="AC43" s="144"/>
      <c r="AD43" s="144">
        <v>0.0</v>
      </c>
      <c r="AE43" s="176">
        <v>36641.0</v>
      </c>
      <c r="AF43" s="143">
        <v>0.01</v>
      </c>
      <c r="AG43" s="135"/>
      <c r="AH43" s="135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</row>
    <row r="44" ht="15.75" customHeight="1">
      <c r="A44" s="139" t="s">
        <v>63</v>
      </c>
      <c r="B44" s="144">
        <v>2808.75</v>
      </c>
      <c r="C44" s="144">
        <v>0.0</v>
      </c>
      <c r="D44" s="144">
        <v>0.0</v>
      </c>
      <c r="E44" s="144">
        <v>0.0</v>
      </c>
      <c r="F44" s="144">
        <v>640.0</v>
      </c>
      <c r="G44" s="144">
        <v>0.0</v>
      </c>
      <c r="H44" s="144">
        <v>3500.0</v>
      </c>
      <c r="I44" s="144">
        <v>1500.0</v>
      </c>
      <c r="J44" s="144">
        <v>18500.0</v>
      </c>
      <c r="K44" s="144">
        <v>5000.0</v>
      </c>
      <c r="L44" s="144"/>
      <c r="M44" s="144">
        <v>0.0</v>
      </c>
      <c r="N44" s="144">
        <v>3500.0</v>
      </c>
      <c r="O44" s="144">
        <v>0.0</v>
      </c>
      <c r="P44" s="144">
        <v>0.0</v>
      </c>
      <c r="Q44" s="144">
        <v>0.0</v>
      </c>
      <c r="R44" s="144">
        <v>0.0</v>
      </c>
      <c r="S44" s="144">
        <v>0.0</v>
      </c>
      <c r="T44" s="144">
        <v>1850.0</v>
      </c>
      <c r="U44" s="144">
        <v>3150.0</v>
      </c>
      <c r="V44" s="144">
        <v>0.0</v>
      </c>
      <c r="W44" s="144">
        <v>0.0</v>
      </c>
      <c r="X44" s="144">
        <v>4536.0</v>
      </c>
      <c r="Y44" s="144">
        <v>0.0</v>
      </c>
      <c r="Z44" s="144">
        <v>0.0</v>
      </c>
      <c r="AA44" s="144"/>
      <c r="AB44" s="144"/>
      <c r="AC44" s="144"/>
      <c r="AD44" s="144">
        <v>1350.0</v>
      </c>
      <c r="AE44" s="176">
        <v>46335.0</v>
      </c>
      <c r="AF44" s="143">
        <v>0.01</v>
      </c>
      <c r="AG44" s="135"/>
      <c r="AH44" s="135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</row>
    <row r="45" ht="15.75" customHeight="1">
      <c r="A45" s="139" t="s">
        <v>64</v>
      </c>
      <c r="B45" s="144">
        <v>0.0</v>
      </c>
      <c r="C45" s="144">
        <v>0.0</v>
      </c>
      <c r="D45" s="144">
        <v>0.0</v>
      </c>
      <c r="E45" s="144">
        <v>0.0</v>
      </c>
      <c r="F45" s="144">
        <v>0.0</v>
      </c>
      <c r="G45" s="144">
        <v>0.0</v>
      </c>
      <c r="H45" s="144">
        <v>0.0</v>
      </c>
      <c r="I45" s="144">
        <v>0.0</v>
      </c>
      <c r="J45" s="144">
        <v>0.0</v>
      </c>
      <c r="K45" s="144">
        <v>0.0</v>
      </c>
      <c r="L45" s="144"/>
      <c r="M45" s="144">
        <v>0.0</v>
      </c>
      <c r="N45" s="144">
        <v>0.0</v>
      </c>
      <c r="O45" s="144">
        <v>0.0</v>
      </c>
      <c r="P45" s="144">
        <v>0.0</v>
      </c>
      <c r="Q45" s="144">
        <v>0.0</v>
      </c>
      <c r="R45" s="144">
        <v>0.0</v>
      </c>
      <c r="S45" s="144">
        <v>0.0</v>
      </c>
      <c r="T45" s="144">
        <v>0.0</v>
      </c>
      <c r="U45" s="144">
        <v>0.0</v>
      </c>
      <c r="V45" s="144">
        <v>0.0</v>
      </c>
      <c r="W45" s="144">
        <v>0.0</v>
      </c>
      <c r="X45" s="144">
        <v>0.0</v>
      </c>
      <c r="Y45" s="144">
        <v>0.0</v>
      </c>
      <c r="Z45" s="144">
        <v>0.0</v>
      </c>
      <c r="AA45" s="144"/>
      <c r="AB45" s="144"/>
      <c r="AC45" s="144"/>
      <c r="AD45" s="144">
        <v>0.0</v>
      </c>
      <c r="AE45" s="176" t="s">
        <v>56</v>
      </c>
      <c r="AF45" s="143">
        <v>0.0</v>
      </c>
      <c r="AG45" s="135"/>
      <c r="AH45" s="135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</row>
    <row r="46" ht="15.75" customHeight="1">
      <c r="A46" s="139" t="s">
        <v>65</v>
      </c>
      <c r="B46" s="144">
        <v>667.44</v>
      </c>
      <c r="C46" s="144">
        <v>0.0</v>
      </c>
      <c r="D46" s="144">
        <v>444.96</v>
      </c>
      <c r="E46" s="144">
        <v>0.0</v>
      </c>
      <c r="F46" s="144">
        <v>11949.0</v>
      </c>
      <c r="G46" s="144">
        <v>0.0</v>
      </c>
      <c r="H46" s="144">
        <v>1112.4</v>
      </c>
      <c r="I46" s="144">
        <v>667.44</v>
      </c>
      <c r="J46" s="144">
        <v>0.0</v>
      </c>
      <c r="K46" s="144">
        <v>0.0</v>
      </c>
      <c r="L46" s="144"/>
      <c r="M46" s="144">
        <v>0.0</v>
      </c>
      <c r="N46" s="144">
        <v>0.0</v>
      </c>
      <c r="O46" s="144">
        <v>222.48</v>
      </c>
      <c r="P46" s="144">
        <v>0.0</v>
      </c>
      <c r="Q46" s="144">
        <v>0.0</v>
      </c>
      <c r="R46" s="144">
        <v>667.44</v>
      </c>
      <c r="S46" s="144">
        <v>222.48</v>
      </c>
      <c r="T46" s="144">
        <v>667.44</v>
      </c>
      <c r="U46" s="144">
        <v>889.92</v>
      </c>
      <c r="V46" s="144">
        <v>222.48</v>
      </c>
      <c r="W46" s="144">
        <v>0.0</v>
      </c>
      <c r="X46" s="144">
        <v>889.92</v>
      </c>
      <c r="Y46" s="144">
        <v>0.0</v>
      </c>
      <c r="Z46" s="144">
        <v>0.0</v>
      </c>
      <c r="AA46" s="144"/>
      <c r="AB46" s="144"/>
      <c r="AC46" s="144"/>
      <c r="AD46" s="144">
        <v>3752.0</v>
      </c>
      <c r="AE46" s="176">
        <v>22375.0</v>
      </c>
      <c r="AF46" s="143">
        <v>0.01</v>
      </c>
      <c r="AG46" s="135"/>
      <c r="AH46" s="135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</row>
    <row r="47" ht="15.75" customHeight="1">
      <c r="A47" s="135" t="s">
        <v>66</v>
      </c>
      <c r="B47" s="144">
        <v>0.0</v>
      </c>
      <c r="C47" s="144">
        <v>0.0</v>
      </c>
      <c r="D47" s="144">
        <v>0.0</v>
      </c>
      <c r="E47" s="144">
        <v>0.0</v>
      </c>
      <c r="F47" s="144">
        <v>0.0</v>
      </c>
      <c r="G47" s="144">
        <v>0.0</v>
      </c>
      <c r="H47" s="144">
        <v>0.0</v>
      </c>
      <c r="I47" s="144">
        <v>0.0</v>
      </c>
      <c r="J47" s="144">
        <v>0.0</v>
      </c>
      <c r="K47" s="144">
        <v>0.0</v>
      </c>
      <c r="L47" s="144"/>
      <c r="M47" s="144">
        <v>0.0</v>
      </c>
      <c r="N47" s="144">
        <v>0.0</v>
      </c>
      <c r="O47" s="144">
        <v>0.0</v>
      </c>
      <c r="P47" s="144">
        <v>0.0</v>
      </c>
      <c r="Q47" s="144">
        <v>0.0</v>
      </c>
      <c r="R47" s="144">
        <v>0.0</v>
      </c>
      <c r="S47" s="144">
        <v>0.0</v>
      </c>
      <c r="T47" s="144">
        <v>0.0</v>
      </c>
      <c r="U47" s="144">
        <v>0.0</v>
      </c>
      <c r="V47" s="144">
        <v>0.0</v>
      </c>
      <c r="W47" s="144">
        <v>0.0</v>
      </c>
      <c r="X47" s="144">
        <v>0.0</v>
      </c>
      <c r="Y47" s="144">
        <v>0.0</v>
      </c>
      <c r="Z47" s="144">
        <v>0.0</v>
      </c>
      <c r="AA47" s="144"/>
      <c r="AB47" s="144"/>
      <c r="AC47" s="144"/>
      <c r="AD47" s="144">
        <v>9450.0</v>
      </c>
      <c r="AE47" s="176">
        <v>9450.0</v>
      </c>
      <c r="AF47" s="143">
        <v>0.0</v>
      </c>
      <c r="AG47" s="135"/>
      <c r="AH47" s="135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</row>
    <row r="48" ht="15.75" customHeight="1">
      <c r="A48" s="139" t="s">
        <v>67</v>
      </c>
      <c r="B48" s="144">
        <v>118.11</v>
      </c>
      <c r="C48" s="144">
        <v>0.0</v>
      </c>
      <c r="D48" s="144">
        <v>166.15</v>
      </c>
      <c r="E48" s="144">
        <v>0.0</v>
      </c>
      <c r="F48" s="144">
        <v>8.33</v>
      </c>
      <c r="G48" s="144">
        <v>34.7</v>
      </c>
      <c r="H48" s="144">
        <v>316.41</v>
      </c>
      <c r="I48" s="144">
        <v>61.25</v>
      </c>
      <c r="J48" s="144">
        <v>0.0</v>
      </c>
      <c r="K48" s="144">
        <v>396.57</v>
      </c>
      <c r="L48" s="144"/>
      <c r="M48" s="144">
        <v>0.0</v>
      </c>
      <c r="N48" s="144">
        <v>199.73</v>
      </c>
      <c r="O48" s="144">
        <v>95.35</v>
      </c>
      <c r="P48" s="144">
        <v>8.8</v>
      </c>
      <c r="Q48" s="144">
        <v>0.0</v>
      </c>
      <c r="R48" s="144">
        <v>221.06</v>
      </c>
      <c r="S48" s="144">
        <v>17.13</v>
      </c>
      <c r="T48" s="144">
        <v>243.3</v>
      </c>
      <c r="U48" s="144">
        <v>438.36</v>
      </c>
      <c r="V48" s="144">
        <v>31.97</v>
      </c>
      <c r="W48" s="144">
        <v>8.8</v>
      </c>
      <c r="X48" s="144">
        <v>479.14</v>
      </c>
      <c r="Y48" s="144">
        <v>0.0</v>
      </c>
      <c r="Z48" s="144">
        <v>0.0</v>
      </c>
      <c r="AA48" s="144"/>
      <c r="AB48" s="144"/>
      <c r="AC48" s="144"/>
      <c r="AD48" s="144">
        <v>2509.28</v>
      </c>
      <c r="AE48" s="176">
        <v>5354.0</v>
      </c>
      <c r="AF48" s="143">
        <v>0.0</v>
      </c>
      <c r="AG48" s="135"/>
      <c r="AH48" s="135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</row>
    <row r="49" ht="15.75" customHeight="1">
      <c r="A49" s="139" t="s">
        <v>68</v>
      </c>
      <c r="B49" s="144">
        <v>429.42</v>
      </c>
      <c r="C49" s="144">
        <v>0.0</v>
      </c>
      <c r="D49" s="144">
        <v>25.98</v>
      </c>
      <c r="E49" s="144">
        <v>0.0</v>
      </c>
      <c r="F49" s="144">
        <v>75.44</v>
      </c>
      <c r="G49" s="144">
        <v>115.4</v>
      </c>
      <c r="H49" s="144">
        <v>180.19</v>
      </c>
      <c r="I49" s="144">
        <v>10.15</v>
      </c>
      <c r="J49" s="144">
        <v>0.0</v>
      </c>
      <c r="K49" s="144">
        <v>171.83</v>
      </c>
      <c r="L49" s="144"/>
      <c r="M49" s="144">
        <v>99.58</v>
      </c>
      <c r="N49" s="144">
        <v>39.31</v>
      </c>
      <c r="O49" s="144">
        <v>99.58</v>
      </c>
      <c r="P49" s="144">
        <v>0.0</v>
      </c>
      <c r="Q49" s="144">
        <v>0.0</v>
      </c>
      <c r="R49" s="144">
        <v>183.73</v>
      </c>
      <c r="S49" s="144">
        <v>111.57</v>
      </c>
      <c r="T49" s="144">
        <v>172.15</v>
      </c>
      <c r="U49" s="144">
        <v>205.72</v>
      </c>
      <c r="V49" s="144">
        <v>45.87</v>
      </c>
      <c r="W49" s="144">
        <v>220.71</v>
      </c>
      <c r="X49" s="144">
        <v>168.72</v>
      </c>
      <c r="Y49" s="144">
        <v>0.0</v>
      </c>
      <c r="Z49" s="144">
        <v>0.0</v>
      </c>
      <c r="AA49" s="144"/>
      <c r="AB49" s="144"/>
      <c r="AC49" s="144"/>
      <c r="AD49" s="144">
        <v>763.91</v>
      </c>
      <c r="AE49" s="176">
        <v>3119.0</v>
      </c>
      <c r="AF49" s="143">
        <v>0.0</v>
      </c>
      <c r="AG49" s="135"/>
      <c r="AH49" s="135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</row>
    <row r="50" ht="15.75" customHeight="1">
      <c r="A50" s="139" t="s">
        <v>69</v>
      </c>
      <c r="B50" s="144">
        <v>0.0</v>
      </c>
      <c r="C50" s="144">
        <v>0.0</v>
      </c>
      <c r="D50" s="144">
        <v>0.0</v>
      </c>
      <c r="E50" s="144">
        <v>0.0</v>
      </c>
      <c r="F50" s="144">
        <v>0.0</v>
      </c>
      <c r="G50" s="144">
        <v>0.0</v>
      </c>
      <c r="H50" s="144">
        <v>0.0</v>
      </c>
      <c r="I50" s="144">
        <v>0.0</v>
      </c>
      <c r="J50" s="144">
        <v>0.0</v>
      </c>
      <c r="K50" s="144">
        <v>0.0</v>
      </c>
      <c r="L50" s="144"/>
      <c r="M50" s="144">
        <v>0.0</v>
      </c>
      <c r="N50" s="144">
        <v>0.0</v>
      </c>
      <c r="O50" s="144">
        <v>0.0</v>
      </c>
      <c r="P50" s="144">
        <v>6300.0</v>
      </c>
      <c r="Q50" s="144">
        <v>0.0</v>
      </c>
      <c r="R50" s="144">
        <v>0.0</v>
      </c>
      <c r="S50" s="144">
        <v>0.0</v>
      </c>
      <c r="T50" s="144">
        <v>0.0</v>
      </c>
      <c r="U50" s="144">
        <v>0.0</v>
      </c>
      <c r="V50" s="144">
        <v>0.0</v>
      </c>
      <c r="W50" s="144">
        <v>0.0</v>
      </c>
      <c r="X50" s="144">
        <v>0.0</v>
      </c>
      <c r="Y50" s="144">
        <v>0.0</v>
      </c>
      <c r="Z50" s="144">
        <v>0.0</v>
      </c>
      <c r="AA50" s="144"/>
      <c r="AB50" s="144"/>
      <c r="AC50" s="144"/>
      <c r="AD50" s="144">
        <v>0.0</v>
      </c>
      <c r="AE50" s="176">
        <v>6300.0</v>
      </c>
      <c r="AF50" s="143">
        <v>0.0</v>
      </c>
      <c r="AG50" s="135"/>
      <c r="AH50" s="135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</row>
    <row r="51" ht="15.75" customHeight="1">
      <c r="A51" s="139" t="s">
        <v>70</v>
      </c>
      <c r="B51" s="144">
        <v>0.0</v>
      </c>
      <c r="C51" s="144">
        <v>0.0</v>
      </c>
      <c r="D51" s="144">
        <v>0.0</v>
      </c>
      <c r="E51" s="144">
        <v>0.0</v>
      </c>
      <c r="F51" s="144">
        <v>0.0</v>
      </c>
      <c r="G51" s="144">
        <v>0.0</v>
      </c>
      <c r="H51" s="144">
        <v>0.0</v>
      </c>
      <c r="I51" s="144">
        <v>0.0</v>
      </c>
      <c r="J51" s="144">
        <v>0.0</v>
      </c>
      <c r="K51" s="144">
        <v>0.0</v>
      </c>
      <c r="L51" s="144"/>
      <c r="M51" s="144">
        <v>0.0</v>
      </c>
      <c r="N51" s="144">
        <v>0.0</v>
      </c>
      <c r="O51" s="144">
        <v>0.0</v>
      </c>
      <c r="P51" s="144">
        <v>0.0</v>
      </c>
      <c r="Q51" s="144">
        <v>0.0</v>
      </c>
      <c r="R51" s="144">
        <v>0.0</v>
      </c>
      <c r="S51" s="144">
        <v>0.0</v>
      </c>
      <c r="T51" s="144">
        <v>0.0</v>
      </c>
      <c r="U51" s="144">
        <v>0.0</v>
      </c>
      <c r="V51" s="144">
        <v>0.0</v>
      </c>
      <c r="W51" s="144">
        <v>0.0</v>
      </c>
      <c r="X51" s="144">
        <v>0.0</v>
      </c>
      <c r="Y51" s="144">
        <v>0.0</v>
      </c>
      <c r="Z51" s="144">
        <v>0.0</v>
      </c>
      <c r="AA51" s="144"/>
      <c r="AB51" s="144"/>
      <c r="AC51" s="144"/>
      <c r="AD51" s="144">
        <v>0.0</v>
      </c>
      <c r="AE51" s="176" t="s">
        <v>56</v>
      </c>
      <c r="AF51" s="143">
        <v>0.0</v>
      </c>
      <c r="AG51" s="135"/>
      <c r="AH51" s="135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</row>
    <row r="52" ht="15.75" customHeight="1">
      <c r="A52" s="139" t="s">
        <v>273</v>
      </c>
      <c r="B52" s="144">
        <v>0.0</v>
      </c>
      <c r="C52" s="144">
        <v>0.0</v>
      </c>
      <c r="D52" s="144">
        <v>0.0</v>
      </c>
      <c r="E52" s="144">
        <v>0.0</v>
      </c>
      <c r="F52" s="144">
        <v>0.0</v>
      </c>
      <c r="G52" s="144">
        <v>0.0</v>
      </c>
      <c r="H52" s="144">
        <v>0.0</v>
      </c>
      <c r="I52" s="144">
        <v>0.0</v>
      </c>
      <c r="J52" s="144">
        <v>0.0</v>
      </c>
      <c r="K52" s="144">
        <v>0.0</v>
      </c>
      <c r="L52" s="144"/>
      <c r="M52" s="144">
        <v>0.0</v>
      </c>
      <c r="N52" s="144">
        <v>0.0</v>
      </c>
      <c r="O52" s="144">
        <v>0.0</v>
      </c>
      <c r="P52" s="144">
        <v>0.0</v>
      </c>
      <c r="Q52" s="144">
        <v>0.0</v>
      </c>
      <c r="R52" s="144">
        <v>0.0</v>
      </c>
      <c r="S52" s="144">
        <v>0.0</v>
      </c>
      <c r="T52" s="144">
        <v>0.0</v>
      </c>
      <c r="U52" s="144">
        <v>0.0</v>
      </c>
      <c r="V52" s="144">
        <v>0.0</v>
      </c>
      <c r="W52" s="144">
        <v>0.0</v>
      </c>
      <c r="X52" s="144">
        <v>0.0</v>
      </c>
      <c r="Y52" s="144">
        <v>0.0</v>
      </c>
      <c r="Z52" s="144">
        <v>0.0</v>
      </c>
      <c r="AA52" s="144"/>
      <c r="AB52" s="144"/>
      <c r="AC52" s="144"/>
      <c r="AD52" s="144">
        <v>0.0</v>
      </c>
      <c r="AE52" s="176" t="s">
        <v>56</v>
      </c>
      <c r="AF52" s="143">
        <v>0.0</v>
      </c>
      <c r="AG52" s="135"/>
      <c r="AH52" s="135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</row>
    <row r="53" ht="15.75" customHeight="1">
      <c r="A53" s="139" t="s">
        <v>75</v>
      </c>
      <c r="B53" s="144">
        <v>0.0</v>
      </c>
      <c r="C53" s="144">
        <v>0.0</v>
      </c>
      <c r="D53" s="144">
        <v>0.0</v>
      </c>
      <c r="E53" s="144">
        <v>0.0</v>
      </c>
      <c r="F53" s="144">
        <v>0.0</v>
      </c>
      <c r="G53" s="144">
        <v>0.0</v>
      </c>
      <c r="H53" s="144">
        <v>0.0</v>
      </c>
      <c r="I53" s="144">
        <v>0.0</v>
      </c>
      <c r="J53" s="144">
        <v>1413.38</v>
      </c>
      <c r="K53" s="144">
        <v>0.0</v>
      </c>
      <c r="L53" s="144"/>
      <c r="M53" s="144">
        <v>0.0</v>
      </c>
      <c r="N53" s="144">
        <v>0.0</v>
      </c>
      <c r="O53" s="144">
        <v>0.0</v>
      </c>
      <c r="P53" s="144">
        <v>0.0</v>
      </c>
      <c r="Q53" s="144">
        <v>0.0</v>
      </c>
      <c r="R53" s="144">
        <v>0.0</v>
      </c>
      <c r="S53" s="144">
        <v>0.0</v>
      </c>
      <c r="T53" s="144">
        <v>0.0</v>
      </c>
      <c r="U53" s="144">
        <v>0.0</v>
      </c>
      <c r="V53" s="144">
        <v>0.0</v>
      </c>
      <c r="W53" s="144">
        <v>0.0</v>
      </c>
      <c r="X53" s="144">
        <v>0.0</v>
      </c>
      <c r="Y53" s="144">
        <v>0.0</v>
      </c>
      <c r="Z53" s="144">
        <v>0.0</v>
      </c>
      <c r="AA53" s="144"/>
      <c r="AB53" s="144"/>
      <c r="AC53" s="144"/>
      <c r="AD53" s="144">
        <v>0.0</v>
      </c>
      <c r="AE53" s="176">
        <v>1413.0</v>
      </c>
      <c r="AF53" s="143">
        <v>0.0</v>
      </c>
      <c r="AG53" s="135"/>
      <c r="AH53" s="135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</row>
    <row r="54" ht="15.75" customHeight="1">
      <c r="A54" s="139" t="s">
        <v>76</v>
      </c>
      <c r="B54" s="144">
        <v>0.0</v>
      </c>
      <c r="C54" s="144">
        <v>0.0</v>
      </c>
      <c r="D54" s="144">
        <v>0.0</v>
      </c>
      <c r="E54" s="144">
        <v>0.0</v>
      </c>
      <c r="F54" s="144">
        <v>0.0</v>
      </c>
      <c r="G54" s="144">
        <v>0.0</v>
      </c>
      <c r="H54" s="144">
        <v>0.0</v>
      </c>
      <c r="I54" s="144">
        <v>0.0</v>
      </c>
      <c r="J54" s="144">
        <v>0.0</v>
      </c>
      <c r="K54" s="144">
        <v>0.0</v>
      </c>
      <c r="L54" s="144"/>
      <c r="M54" s="144">
        <v>0.0</v>
      </c>
      <c r="N54" s="144">
        <v>0.0</v>
      </c>
      <c r="O54" s="144">
        <v>0.0</v>
      </c>
      <c r="P54" s="144">
        <v>0.0</v>
      </c>
      <c r="Q54" s="144">
        <v>0.0</v>
      </c>
      <c r="R54" s="144">
        <v>0.0</v>
      </c>
      <c r="S54" s="144">
        <v>0.0</v>
      </c>
      <c r="T54" s="144">
        <v>0.0</v>
      </c>
      <c r="U54" s="144">
        <v>0.0</v>
      </c>
      <c r="V54" s="144">
        <v>0.0</v>
      </c>
      <c r="W54" s="144">
        <v>0.0</v>
      </c>
      <c r="X54" s="144">
        <v>0.0</v>
      </c>
      <c r="Y54" s="144">
        <v>0.0</v>
      </c>
      <c r="Z54" s="144">
        <v>0.0</v>
      </c>
      <c r="AA54" s="144"/>
      <c r="AB54" s="144"/>
      <c r="AC54" s="144"/>
      <c r="AD54" s="144">
        <v>1014.67</v>
      </c>
      <c r="AE54" s="176">
        <v>1015.0</v>
      </c>
      <c r="AF54" s="143">
        <v>0.0</v>
      </c>
      <c r="AG54" s="135"/>
      <c r="AH54" s="135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</row>
    <row r="55" ht="15.75" customHeight="1">
      <c r="A55" s="139" t="s">
        <v>77</v>
      </c>
      <c r="B55" s="144">
        <v>0.0</v>
      </c>
      <c r="C55" s="144">
        <v>0.0</v>
      </c>
      <c r="D55" s="144">
        <v>0.0</v>
      </c>
      <c r="E55" s="144">
        <v>0.0</v>
      </c>
      <c r="F55" s="144">
        <v>0.0</v>
      </c>
      <c r="G55" s="144">
        <v>0.0</v>
      </c>
      <c r="H55" s="144">
        <v>0.0</v>
      </c>
      <c r="I55" s="144">
        <v>0.0</v>
      </c>
      <c r="J55" s="144">
        <v>0.0</v>
      </c>
      <c r="K55" s="144">
        <v>0.0</v>
      </c>
      <c r="L55" s="144"/>
      <c r="M55" s="144">
        <v>0.0</v>
      </c>
      <c r="N55" s="144">
        <v>0.0</v>
      </c>
      <c r="O55" s="144">
        <v>0.0</v>
      </c>
      <c r="P55" s="144">
        <v>0.0</v>
      </c>
      <c r="Q55" s="144">
        <v>0.0</v>
      </c>
      <c r="R55" s="144">
        <v>0.0</v>
      </c>
      <c r="S55" s="144">
        <v>0.0</v>
      </c>
      <c r="T55" s="144">
        <v>0.0</v>
      </c>
      <c r="U55" s="144">
        <v>0.0</v>
      </c>
      <c r="V55" s="144">
        <v>0.0</v>
      </c>
      <c r="W55" s="144">
        <v>0.0</v>
      </c>
      <c r="X55" s="144">
        <v>0.0</v>
      </c>
      <c r="Y55" s="144">
        <v>0.0</v>
      </c>
      <c r="Z55" s="144">
        <v>0.0</v>
      </c>
      <c r="AA55" s="144"/>
      <c r="AB55" s="144"/>
      <c r="AC55" s="144"/>
      <c r="AD55" s="144">
        <v>6548.28</v>
      </c>
      <c r="AE55" s="176">
        <v>6548.0</v>
      </c>
      <c r="AF55" s="143">
        <v>0.0</v>
      </c>
      <c r="AG55" s="135"/>
      <c r="AH55" s="135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</row>
    <row r="56" ht="15.75" customHeight="1">
      <c r="A56" s="139" t="s">
        <v>78</v>
      </c>
      <c r="B56" s="144">
        <v>0.0</v>
      </c>
      <c r="C56" s="144">
        <v>0.0</v>
      </c>
      <c r="D56" s="144">
        <v>0.0</v>
      </c>
      <c r="E56" s="144">
        <v>0.0</v>
      </c>
      <c r="F56" s="144">
        <v>0.0</v>
      </c>
      <c r="G56" s="144">
        <v>0.0</v>
      </c>
      <c r="H56" s="144">
        <v>0.0</v>
      </c>
      <c r="I56" s="144">
        <v>0.0</v>
      </c>
      <c r="J56" s="144">
        <v>0.0</v>
      </c>
      <c r="K56" s="144">
        <v>0.0</v>
      </c>
      <c r="L56" s="144"/>
      <c r="M56" s="144">
        <v>0.0</v>
      </c>
      <c r="N56" s="144">
        <v>0.0</v>
      </c>
      <c r="O56" s="144">
        <v>0.0</v>
      </c>
      <c r="P56" s="144">
        <v>0.0</v>
      </c>
      <c r="Q56" s="144">
        <v>0.0</v>
      </c>
      <c r="R56" s="144">
        <v>0.0</v>
      </c>
      <c r="S56" s="144">
        <v>0.0</v>
      </c>
      <c r="T56" s="144">
        <v>0.0</v>
      </c>
      <c r="U56" s="144">
        <v>0.0</v>
      </c>
      <c r="V56" s="144">
        <v>0.0</v>
      </c>
      <c r="W56" s="144">
        <v>0.0</v>
      </c>
      <c r="X56" s="144">
        <v>0.0</v>
      </c>
      <c r="Y56" s="144">
        <v>0.0</v>
      </c>
      <c r="Z56" s="144">
        <v>0.0</v>
      </c>
      <c r="AA56" s="144"/>
      <c r="AB56" s="144"/>
      <c r="AC56" s="144"/>
      <c r="AD56" s="144">
        <v>2231.14</v>
      </c>
      <c r="AE56" s="176">
        <v>2231.0</v>
      </c>
      <c r="AF56" s="143">
        <v>0.0</v>
      </c>
      <c r="AG56" s="135"/>
      <c r="AH56" s="135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</row>
    <row r="57" ht="15.75" customHeight="1">
      <c r="A57" s="139" t="s">
        <v>79</v>
      </c>
      <c r="B57" s="144">
        <v>0.0</v>
      </c>
      <c r="C57" s="144">
        <v>0.0</v>
      </c>
      <c r="D57" s="144">
        <v>0.0</v>
      </c>
      <c r="E57" s="144">
        <v>0.0</v>
      </c>
      <c r="F57" s="144">
        <v>0.0</v>
      </c>
      <c r="G57" s="144">
        <v>0.0</v>
      </c>
      <c r="H57" s="144">
        <v>0.0</v>
      </c>
      <c r="I57" s="144">
        <v>0.0</v>
      </c>
      <c r="J57" s="144">
        <v>0.0</v>
      </c>
      <c r="K57" s="144">
        <v>0.0</v>
      </c>
      <c r="L57" s="144"/>
      <c r="M57" s="144">
        <v>0.0</v>
      </c>
      <c r="N57" s="144">
        <v>1999.98</v>
      </c>
      <c r="O57" s="144">
        <v>0.0</v>
      </c>
      <c r="P57" s="144">
        <v>0.0</v>
      </c>
      <c r="Q57" s="144">
        <v>0.0</v>
      </c>
      <c r="R57" s="144">
        <v>0.0</v>
      </c>
      <c r="S57" s="144">
        <v>0.0</v>
      </c>
      <c r="T57" s="144">
        <v>2400.0</v>
      </c>
      <c r="U57" s="144">
        <v>0.0</v>
      </c>
      <c r="V57" s="144">
        <v>0.0</v>
      </c>
      <c r="W57" s="144">
        <v>0.0</v>
      </c>
      <c r="X57" s="144">
        <v>3400.0</v>
      </c>
      <c r="Y57" s="144">
        <v>0.0</v>
      </c>
      <c r="Z57" s="144">
        <v>0.0</v>
      </c>
      <c r="AA57" s="144"/>
      <c r="AB57" s="144"/>
      <c r="AC57" s="144"/>
      <c r="AD57" s="144">
        <v>0.0</v>
      </c>
      <c r="AE57" s="176">
        <v>7800.0</v>
      </c>
      <c r="AF57" s="143">
        <v>0.0</v>
      </c>
      <c r="AG57" s="135"/>
      <c r="AH57" s="135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</row>
    <row r="58" ht="15.75" customHeight="1">
      <c r="A58" s="139" t="s">
        <v>80</v>
      </c>
      <c r="B58" s="144">
        <v>0.0</v>
      </c>
      <c r="C58" s="144">
        <v>0.0</v>
      </c>
      <c r="D58" s="144">
        <v>0.0</v>
      </c>
      <c r="E58" s="144">
        <v>0.0</v>
      </c>
      <c r="F58" s="144">
        <v>0.0</v>
      </c>
      <c r="G58" s="144">
        <v>0.0</v>
      </c>
      <c r="H58" s="144">
        <v>0.0</v>
      </c>
      <c r="I58" s="144">
        <v>0.0</v>
      </c>
      <c r="J58" s="144">
        <v>1040.0</v>
      </c>
      <c r="K58" s="144">
        <v>0.0</v>
      </c>
      <c r="L58" s="144"/>
      <c r="M58" s="144">
        <v>0.0</v>
      </c>
      <c r="N58" s="144">
        <v>0.0</v>
      </c>
      <c r="O58" s="144">
        <v>0.0</v>
      </c>
      <c r="P58" s="144">
        <v>0.0</v>
      </c>
      <c r="Q58" s="144">
        <v>0.0</v>
      </c>
      <c r="R58" s="144">
        <v>0.0</v>
      </c>
      <c r="S58" s="144">
        <v>0.0</v>
      </c>
      <c r="T58" s="144">
        <v>0.0</v>
      </c>
      <c r="U58" s="144">
        <v>0.0</v>
      </c>
      <c r="V58" s="144">
        <v>0.0</v>
      </c>
      <c r="W58" s="144">
        <v>0.0</v>
      </c>
      <c r="X58" s="144">
        <v>0.0</v>
      </c>
      <c r="Y58" s="144">
        <v>0.0</v>
      </c>
      <c r="Z58" s="144">
        <v>0.0</v>
      </c>
      <c r="AA58" s="144"/>
      <c r="AB58" s="144"/>
      <c r="AC58" s="144"/>
      <c r="AD58" s="144">
        <v>1867.66</v>
      </c>
      <c r="AE58" s="176">
        <v>2908.0</v>
      </c>
      <c r="AF58" s="143">
        <v>0.0</v>
      </c>
      <c r="AG58" s="135"/>
      <c r="AH58" s="135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</row>
    <row r="59" ht="15.75" customHeight="1">
      <c r="A59" s="139" t="s">
        <v>81</v>
      </c>
      <c r="B59" s="144">
        <v>0.0</v>
      </c>
      <c r="C59" s="144">
        <v>0.0</v>
      </c>
      <c r="D59" s="144">
        <v>0.0</v>
      </c>
      <c r="E59" s="144">
        <v>0.0</v>
      </c>
      <c r="F59" s="144">
        <v>0.0</v>
      </c>
      <c r="G59" s="144">
        <v>2860.0</v>
      </c>
      <c r="H59" s="144">
        <v>0.0</v>
      </c>
      <c r="I59" s="144">
        <v>0.0</v>
      </c>
      <c r="J59" s="144">
        <v>0.0</v>
      </c>
      <c r="K59" s="144">
        <v>0.0</v>
      </c>
      <c r="L59" s="144"/>
      <c r="M59" s="144">
        <v>0.0</v>
      </c>
      <c r="N59" s="144">
        <v>0.0</v>
      </c>
      <c r="O59" s="144">
        <v>0.0</v>
      </c>
      <c r="P59" s="144">
        <v>0.0</v>
      </c>
      <c r="Q59" s="144">
        <v>0.0</v>
      </c>
      <c r="R59" s="144">
        <v>0.0</v>
      </c>
      <c r="S59" s="144">
        <v>0.0</v>
      </c>
      <c r="T59" s="144">
        <v>0.0</v>
      </c>
      <c r="U59" s="144">
        <v>0.0</v>
      </c>
      <c r="V59" s="144">
        <v>0.0</v>
      </c>
      <c r="W59" s="144">
        <v>0.0</v>
      </c>
      <c r="X59" s="144">
        <v>0.0</v>
      </c>
      <c r="Y59" s="144">
        <v>0.0</v>
      </c>
      <c r="Z59" s="144">
        <v>0.0</v>
      </c>
      <c r="AA59" s="144"/>
      <c r="AB59" s="144"/>
      <c r="AC59" s="144"/>
      <c r="AD59" s="144">
        <v>0.0</v>
      </c>
      <c r="AE59" s="176">
        <v>2860.0</v>
      </c>
      <c r="AF59" s="143">
        <v>0.0</v>
      </c>
      <c r="AG59" s="135"/>
      <c r="AH59" s="135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</row>
    <row r="60" ht="15.75" customHeight="1">
      <c r="A60" s="139" t="s">
        <v>82</v>
      </c>
      <c r="B60" s="144">
        <v>1010.0</v>
      </c>
      <c r="C60" s="144">
        <v>1010.0</v>
      </c>
      <c r="D60" s="144">
        <v>1010.0</v>
      </c>
      <c r="E60" s="144">
        <v>0.0</v>
      </c>
      <c r="F60" s="144">
        <v>1006.36</v>
      </c>
      <c r="G60" s="144">
        <v>1010.0</v>
      </c>
      <c r="H60" s="144">
        <v>1010.0</v>
      </c>
      <c r="I60" s="144">
        <v>1010.0</v>
      </c>
      <c r="J60" s="144">
        <v>1010.0</v>
      </c>
      <c r="K60" s="144">
        <v>1010.0</v>
      </c>
      <c r="L60" s="144"/>
      <c r="M60" s="144">
        <v>1010.0</v>
      </c>
      <c r="N60" s="144">
        <v>1010.0</v>
      </c>
      <c r="O60" s="144">
        <v>1010.0</v>
      </c>
      <c r="P60" s="144">
        <v>1010.0</v>
      </c>
      <c r="Q60" s="144">
        <v>1010.0</v>
      </c>
      <c r="R60" s="144">
        <v>1010.0</v>
      </c>
      <c r="S60" s="144">
        <v>1010.0</v>
      </c>
      <c r="T60" s="144">
        <v>1010.0</v>
      </c>
      <c r="U60" s="144">
        <v>1010.0</v>
      </c>
      <c r="V60" s="144">
        <v>1010.0</v>
      </c>
      <c r="W60" s="144">
        <v>1010.0</v>
      </c>
      <c r="X60" s="144">
        <v>1010.0</v>
      </c>
      <c r="Y60" s="144">
        <v>0.0</v>
      </c>
      <c r="Z60" s="144">
        <v>1010.0</v>
      </c>
      <c r="AA60" s="144"/>
      <c r="AB60" s="144"/>
      <c r="AC60" s="144"/>
      <c r="AD60" s="144">
        <v>1738.38</v>
      </c>
      <c r="AE60" s="176">
        <v>23955.0</v>
      </c>
      <c r="AF60" s="143">
        <v>0.01</v>
      </c>
      <c r="AG60" s="135"/>
      <c r="AH60" s="135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</row>
    <row r="61" ht="15.75" customHeight="1">
      <c r="A61" s="139" t="s">
        <v>83</v>
      </c>
      <c r="B61" s="144">
        <v>0.0</v>
      </c>
      <c r="C61" s="144">
        <v>0.0</v>
      </c>
      <c r="D61" s="144">
        <v>0.0</v>
      </c>
      <c r="E61" s="144">
        <v>0.0</v>
      </c>
      <c r="F61" s="144">
        <v>0.0</v>
      </c>
      <c r="G61" s="144">
        <v>0.0</v>
      </c>
      <c r="H61" s="144">
        <v>0.0</v>
      </c>
      <c r="I61" s="144">
        <v>0.0</v>
      </c>
      <c r="J61" s="144">
        <v>0.0</v>
      </c>
      <c r="K61" s="144">
        <v>0.0</v>
      </c>
      <c r="L61" s="144"/>
      <c r="M61" s="144">
        <v>0.0</v>
      </c>
      <c r="N61" s="144">
        <v>0.0</v>
      </c>
      <c r="O61" s="144">
        <v>0.0</v>
      </c>
      <c r="P61" s="144">
        <v>0.0</v>
      </c>
      <c r="Q61" s="144">
        <v>0.0</v>
      </c>
      <c r="R61" s="144">
        <v>0.0</v>
      </c>
      <c r="S61" s="144">
        <v>0.0</v>
      </c>
      <c r="T61" s="144">
        <v>0.0</v>
      </c>
      <c r="U61" s="144">
        <v>0.0</v>
      </c>
      <c r="V61" s="144">
        <v>0.0</v>
      </c>
      <c r="W61" s="144">
        <v>0.0</v>
      </c>
      <c r="X61" s="144">
        <v>0.0</v>
      </c>
      <c r="Y61" s="144">
        <v>0.0</v>
      </c>
      <c r="Z61" s="144">
        <v>0.0</v>
      </c>
      <c r="AA61" s="144"/>
      <c r="AB61" s="144"/>
      <c r="AC61" s="144"/>
      <c r="AD61" s="144">
        <v>7543.28</v>
      </c>
      <c r="AE61" s="176">
        <v>7543.0</v>
      </c>
      <c r="AF61" s="143">
        <v>0.0</v>
      </c>
      <c r="AG61" s="135"/>
      <c r="AH61" s="135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</row>
    <row r="62" ht="15.75" customHeight="1">
      <c r="A62" s="139" t="s">
        <v>84</v>
      </c>
      <c r="B62" s="144">
        <v>0.0</v>
      </c>
      <c r="C62" s="144">
        <v>0.0</v>
      </c>
      <c r="D62" s="144">
        <v>0.0</v>
      </c>
      <c r="E62" s="144">
        <v>0.0</v>
      </c>
      <c r="F62" s="144">
        <v>0.0</v>
      </c>
      <c r="G62" s="144">
        <v>0.0</v>
      </c>
      <c r="H62" s="144">
        <v>0.0</v>
      </c>
      <c r="I62" s="144">
        <v>0.0</v>
      </c>
      <c r="J62" s="144">
        <v>0.0</v>
      </c>
      <c r="K62" s="144">
        <v>0.0</v>
      </c>
      <c r="L62" s="144"/>
      <c r="M62" s="144">
        <v>0.0</v>
      </c>
      <c r="N62" s="144">
        <v>0.0</v>
      </c>
      <c r="O62" s="144">
        <v>0.0</v>
      </c>
      <c r="P62" s="144">
        <v>0.0</v>
      </c>
      <c r="Q62" s="144">
        <v>0.0</v>
      </c>
      <c r="R62" s="144">
        <v>0.0</v>
      </c>
      <c r="S62" s="144">
        <v>0.0</v>
      </c>
      <c r="T62" s="144">
        <v>0.0</v>
      </c>
      <c r="U62" s="144">
        <v>0.0</v>
      </c>
      <c r="V62" s="144">
        <v>0.0</v>
      </c>
      <c r="W62" s="144">
        <v>0.0</v>
      </c>
      <c r="X62" s="144">
        <v>0.0</v>
      </c>
      <c r="Y62" s="144">
        <v>0.0</v>
      </c>
      <c r="Z62" s="144">
        <v>0.0</v>
      </c>
      <c r="AA62" s="144"/>
      <c r="AB62" s="144"/>
      <c r="AC62" s="144"/>
      <c r="AD62" s="144">
        <v>505000.0</v>
      </c>
      <c r="AE62" s="176">
        <v>505000.0</v>
      </c>
      <c r="AF62" s="143">
        <v>0.16</v>
      </c>
      <c r="AG62" s="135"/>
      <c r="AH62" s="135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</row>
    <row r="63" ht="15.75" customHeight="1">
      <c r="A63" s="139" t="s">
        <v>85</v>
      </c>
      <c r="B63" s="144">
        <v>5286.52</v>
      </c>
      <c r="C63" s="144">
        <v>0.0</v>
      </c>
      <c r="D63" s="144">
        <v>1994.75</v>
      </c>
      <c r="E63" s="144">
        <v>0.0</v>
      </c>
      <c r="F63" s="144">
        <v>972.45</v>
      </c>
      <c r="G63" s="144">
        <v>1996.17</v>
      </c>
      <c r="H63" s="144">
        <v>1972.2</v>
      </c>
      <c r="I63" s="144">
        <v>1354.43</v>
      </c>
      <c r="J63" s="144">
        <v>10076.45</v>
      </c>
      <c r="K63" s="144">
        <v>5993.27</v>
      </c>
      <c r="L63" s="144"/>
      <c r="M63" s="144">
        <v>973.16</v>
      </c>
      <c r="N63" s="144">
        <v>3897.53</v>
      </c>
      <c r="O63" s="144">
        <v>0.0</v>
      </c>
      <c r="P63" s="144">
        <v>2737.19</v>
      </c>
      <c r="Q63" s="144">
        <v>1566.33</v>
      </c>
      <c r="R63" s="144">
        <v>20557.31</v>
      </c>
      <c r="S63" s="144">
        <v>1819.68</v>
      </c>
      <c r="T63" s="144">
        <v>3951.34</v>
      </c>
      <c r="U63" s="144">
        <v>5157.24</v>
      </c>
      <c r="V63" s="144">
        <v>3097.18</v>
      </c>
      <c r="W63" s="144">
        <v>1979.89</v>
      </c>
      <c r="X63" s="144">
        <v>6223.93</v>
      </c>
      <c r="Y63" s="144">
        <v>0.0</v>
      </c>
      <c r="Z63" s="144">
        <v>803.89</v>
      </c>
      <c r="AA63" s="144"/>
      <c r="AB63" s="144"/>
      <c r="AC63" s="144"/>
      <c r="AD63" s="144">
        <f>27541.61+204.86</f>
        <v>27746.47</v>
      </c>
      <c r="AE63" s="176">
        <v>110157.0</v>
      </c>
      <c r="AF63" s="143">
        <v>0.03</v>
      </c>
      <c r="AG63" s="135"/>
      <c r="AH63" s="135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4"/>
      <c r="AU63" s="174"/>
      <c r="AV63" s="174"/>
      <c r="AW63" s="174"/>
      <c r="AX63" s="174"/>
      <c r="AY63" s="174"/>
      <c r="AZ63" s="174"/>
    </row>
    <row r="64" ht="15.75" customHeight="1">
      <c r="A64" s="139" t="s">
        <v>86</v>
      </c>
      <c r="B64" s="144">
        <v>-1162.8</v>
      </c>
      <c r="C64" s="144">
        <v>0.0</v>
      </c>
      <c r="D64" s="144">
        <v>917.19</v>
      </c>
      <c r="E64" s="144">
        <v>0.0</v>
      </c>
      <c r="F64" s="144">
        <v>453.45</v>
      </c>
      <c r="G64" s="144">
        <v>926.73</v>
      </c>
      <c r="H64" s="144">
        <v>727.87</v>
      </c>
      <c r="I64" s="144">
        <v>619.72</v>
      </c>
      <c r="J64" s="144">
        <v>5438.03</v>
      </c>
      <c r="K64" s="144">
        <v>2448.33</v>
      </c>
      <c r="L64" s="144"/>
      <c r="M64" s="144">
        <v>101.77</v>
      </c>
      <c r="N64" s="144">
        <v>1759.79</v>
      </c>
      <c r="O64" s="144">
        <v>0.0</v>
      </c>
      <c r="P64" s="144">
        <v>1227.86</v>
      </c>
      <c r="Q64" s="144">
        <v>918.0</v>
      </c>
      <c r="R64" s="144">
        <v>9923.17</v>
      </c>
      <c r="S64" s="144">
        <v>915.01</v>
      </c>
      <c r="T64" s="144">
        <v>1795.01</v>
      </c>
      <c r="U64" s="144">
        <v>2260.77</v>
      </c>
      <c r="V64" s="144">
        <v>1504.01</v>
      </c>
      <c r="W64" s="144">
        <v>904.95</v>
      </c>
      <c r="X64" s="144">
        <v>5738.8</v>
      </c>
      <c r="Y64" s="144">
        <v>0.0</v>
      </c>
      <c r="Z64" s="144">
        <v>999.71</v>
      </c>
      <c r="AA64" s="144"/>
      <c r="AB64" s="144"/>
      <c r="AC64" s="144"/>
      <c r="AD64" s="144">
        <f>16578.57-341.25</f>
        <v>16237.32</v>
      </c>
      <c r="AE64" s="176">
        <v>54655.0</v>
      </c>
      <c r="AF64" s="143">
        <v>0.02</v>
      </c>
      <c r="AG64" s="135"/>
      <c r="AH64" s="135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</row>
    <row r="65" ht="15.75" customHeight="1">
      <c r="A65" s="139" t="s">
        <v>87</v>
      </c>
      <c r="B65" s="144">
        <v>-1973.83</v>
      </c>
      <c r="C65" s="144">
        <v>0.0</v>
      </c>
      <c r="D65" s="144">
        <v>1546.74</v>
      </c>
      <c r="E65" s="144">
        <v>0.0</v>
      </c>
      <c r="F65" s="144">
        <v>764.69</v>
      </c>
      <c r="G65" s="144">
        <v>1562.85</v>
      </c>
      <c r="H65" s="144">
        <v>1227.48</v>
      </c>
      <c r="I65" s="144">
        <v>1045.07</v>
      </c>
      <c r="J65" s="144">
        <v>9618.57</v>
      </c>
      <c r="K65" s="144">
        <v>4080.64</v>
      </c>
      <c r="L65" s="144"/>
      <c r="M65" s="144">
        <v>171.62</v>
      </c>
      <c r="N65" s="144">
        <v>2967.73</v>
      </c>
      <c r="O65" s="144">
        <v>0.0</v>
      </c>
      <c r="P65" s="144">
        <v>2070.64</v>
      </c>
      <c r="Q65" s="144">
        <v>1487.63</v>
      </c>
      <c r="R65" s="144">
        <v>16566.11</v>
      </c>
      <c r="S65" s="144">
        <v>1543.08</v>
      </c>
      <c r="T65" s="144">
        <v>3027.12</v>
      </c>
      <c r="U65" s="144">
        <v>3812.59</v>
      </c>
      <c r="V65" s="144">
        <v>2595.6</v>
      </c>
      <c r="W65" s="144">
        <v>1526.12</v>
      </c>
      <c r="X65" s="144">
        <v>9644.64</v>
      </c>
      <c r="Y65" s="144">
        <v>0.0</v>
      </c>
      <c r="Z65" s="144">
        <v>1734.17</v>
      </c>
      <c r="AA65" s="144"/>
      <c r="AB65" s="144"/>
      <c r="AC65" s="144"/>
      <c r="AD65" s="144">
        <f>29638.1-575.47</f>
        <v>29062.63</v>
      </c>
      <c r="AE65" s="176">
        <v>94082.0</v>
      </c>
      <c r="AF65" s="143">
        <v>0.03</v>
      </c>
      <c r="AG65" s="135"/>
      <c r="AH65" s="135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4"/>
      <c r="AX65" s="174"/>
      <c r="AY65" s="174"/>
      <c r="AZ65" s="174"/>
    </row>
    <row r="66" ht="15.75" customHeight="1">
      <c r="A66" s="139" t="s">
        <v>88</v>
      </c>
      <c r="B66" s="144">
        <v>2000.0</v>
      </c>
      <c r="C66" s="144">
        <v>0.0</v>
      </c>
      <c r="D66" s="144">
        <v>958.0</v>
      </c>
      <c r="E66" s="144">
        <v>0.0</v>
      </c>
      <c r="F66" s="144">
        <v>541.0</v>
      </c>
      <c r="G66" s="144">
        <v>1039.0</v>
      </c>
      <c r="H66" s="144">
        <v>1002.0</v>
      </c>
      <c r="I66" s="144">
        <v>697.0</v>
      </c>
      <c r="J66" s="144">
        <v>3587.0</v>
      </c>
      <c r="K66" s="144">
        <v>2890.0</v>
      </c>
      <c r="L66" s="144"/>
      <c r="M66" s="144">
        <v>532.0</v>
      </c>
      <c r="N66" s="144">
        <v>1893.0</v>
      </c>
      <c r="O66" s="144">
        <v>495.0</v>
      </c>
      <c r="P66" s="144">
        <v>1282.0</v>
      </c>
      <c r="Q66" s="144">
        <v>872.0</v>
      </c>
      <c r="R66" s="144">
        <v>9586.0</v>
      </c>
      <c r="S66" s="144">
        <v>1536.0</v>
      </c>
      <c r="T66" s="144">
        <v>1958.0</v>
      </c>
      <c r="U66" s="144">
        <v>2026.0</v>
      </c>
      <c r="V66" s="144">
        <v>1666.0</v>
      </c>
      <c r="W66" s="144">
        <v>1078.0</v>
      </c>
      <c r="X66" s="144">
        <v>3033.0</v>
      </c>
      <c r="Y66" s="144">
        <v>0.0</v>
      </c>
      <c r="Z66" s="144">
        <v>811.0</v>
      </c>
      <c r="AA66" s="144"/>
      <c r="AB66" s="144"/>
      <c r="AC66" s="144"/>
      <c r="AD66" s="144">
        <f>19189+101</f>
        <v>19290</v>
      </c>
      <c r="AE66" s="176">
        <v>58772.0</v>
      </c>
      <c r="AF66" s="143">
        <v>0.02</v>
      </c>
      <c r="AG66" s="135"/>
      <c r="AH66" s="135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</row>
    <row r="67" ht="15.75" customHeight="1">
      <c r="A67" s="139" t="s">
        <v>89</v>
      </c>
      <c r="B67" s="144">
        <v>3360.0</v>
      </c>
      <c r="C67" s="144"/>
      <c r="D67" s="144"/>
      <c r="E67" s="144">
        <v>5910.0</v>
      </c>
      <c r="F67" s="144">
        <v>700.0</v>
      </c>
      <c r="G67" s="144">
        <v>3600.0</v>
      </c>
      <c r="H67" s="144"/>
      <c r="I67" s="144"/>
      <c r="J67" s="144"/>
      <c r="K67" s="144">
        <v>3080.0</v>
      </c>
      <c r="L67" s="144"/>
      <c r="M67" s="144"/>
      <c r="N67" s="144"/>
      <c r="O67" s="144"/>
      <c r="P67" s="144">
        <v>1400.0</v>
      </c>
      <c r="Q67" s="144">
        <v>0.0</v>
      </c>
      <c r="R67" s="144">
        <v>2380.0</v>
      </c>
      <c r="S67" s="144">
        <v>1120.0</v>
      </c>
      <c r="T67" s="144">
        <v>280.0</v>
      </c>
      <c r="U67" s="144"/>
      <c r="V67" s="144"/>
      <c r="W67" s="144"/>
      <c r="X67" s="144">
        <v>2240.0</v>
      </c>
      <c r="Y67" s="144"/>
      <c r="Z67" s="144"/>
      <c r="AA67" s="144"/>
      <c r="AB67" s="144"/>
      <c r="AC67" s="144"/>
      <c r="AD67" s="144">
        <v>2240.0</v>
      </c>
      <c r="AE67" s="176">
        <v>26310.0</v>
      </c>
      <c r="AF67" s="143">
        <v>0.01</v>
      </c>
      <c r="AG67" s="135"/>
      <c r="AH67" s="135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</row>
    <row r="68" ht="15.75" customHeight="1">
      <c r="A68" s="139" t="s">
        <v>91</v>
      </c>
      <c r="B68" s="144">
        <v>0.0</v>
      </c>
      <c r="C68" s="144">
        <v>0.0</v>
      </c>
      <c r="D68" s="144">
        <v>1633.66</v>
      </c>
      <c r="E68" s="144">
        <v>0.0</v>
      </c>
      <c r="F68" s="144">
        <v>0.0</v>
      </c>
      <c r="G68" s="144">
        <v>628.44</v>
      </c>
      <c r="H68" s="144">
        <v>0.0</v>
      </c>
      <c r="I68" s="144">
        <v>0.0</v>
      </c>
      <c r="J68" s="144">
        <v>0.0</v>
      </c>
      <c r="K68" s="144">
        <v>0.0</v>
      </c>
      <c r="L68" s="144"/>
      <c r="M68" s="144">
        <v>0.0</v>
      </c>
      <c r="N68" s="144">
        <v>0.0</v>
      </c>
      <c r="O68" s="144">
        <v>0.0</v>
      </c>
      <c r="P68" s="144">
        <v>0.0</v>
      </c>
      <c r="Q68" s="144">
        <v>0.0</v>
      </c>
      <c r="R68" s="144">
        <v>25.0</v>
      </c>
      <c r="S68" s="144">
        <v>0.0</v>
      </c>
      <c r="T68" s="144">
        <v>0.0</v>
      </c>
      <c r="U68" s="144">
        <v>25.0</v>
      </c>
      <c r="V68" s="144">
        <v>0.0</v>
      </c>
      <c r="W68" s="144">
        <v>0.0</v>
      </c>
      <c r="X68" s="144">
        <v>50.0</v>
      </c>
      <c r="Y68" s="144">
        <v>0.0</v>
      </c>
      <c r="Z68" s="144">
        <v>0.0</v>
      </c>
      <c r="AA68" s="144"/>
      <c r="AB68" s="144"/>
      <c r="AC68" s="144"/>
      <c r="AD68" s="144">
        <v>13811.89</v>
      </c>
      <c r="AE68" s="176">
        <v>16174.0</v>
      </c>
      <c r="AF68" s="143">
        <v>0.01</v>
      </c>
      <c r="AG68" s="135"/>
      <c r="AH68" s="135"/>
      <c r="AI68" s="174"/>
      <c r="AJ68" s="174"/>
      <c r="AK68" s="174"/>
      <c r="AL68" s="174"/>
      <c r="AM68" s="174"/>
      <c r="AN68" s="174"/>
      <c r="AO68" s="174"/>
      <c r="AP68" s="174"/>
      <c r="AQ68" s="174"/>
      <c r="AR68" s="174"/>
      <c r="AS68" s="174"/>
      <c r="AT68" s="174"/>
      <c r="AU68" s="174"/>
      <c r="AV68" s="174"/>
      <c r="AW68" s="174"/>
      <c r="AX68" s="174"/>
      <c r="AY68" s="174"/>
      <c r="AZ68" s="174"/>
    </row>
    <row r="69" ht="15.75" customHeight="1">
      <c r="A69" s="139" t="s">
        <v>92</v>
      </c>
      <c r="B69" s="144">
        <v>0.0</v>
      </c>
      <c r="C69" s="144">
        <v>0.0</v>
      </c>
      <c r="D69" s="144">
        <v>0.0</v>
      </c>
      <c r="E69" s="144">
        <v>0.0</v>
      </c>
      <c r="F69" s="144">
        <v>0.0</v>
      </c>
      <c r="G69" s="144">
        <v>350.0</v>
      </c>
      <c r="H69" s="144">
        <v>0.0</v>
      </c>
      <c r="I69" s="144">
        <v>0.0</v>
      </c>
      <c r="J69" s="144">
        <v>0.0</v>
      </c>
      <c r="K69" s="144">
        <v>350.0</v>
      </c>
      <c r="L69" s="144"/>
      <c r="M69" s="144">
        <v>0.0</v>
      </c>
      <c r="N69" s="144">
        <v>350.0</v>
      </c>
      <c r="O69" s="144">
        <v>0.0</v>
      </c>
      <c r="P69" s="144">
        <v>293.0</v>
      </c>
      <c r="Q69" s="144">
        <v>0.0</v>
      </c>
      <c r="R69" s="144">
        <v>0.0</v>
      </c>
      <c r="S69" s="144">
        <v>0.0</v>
      </c>
      <c r="T69" s="144">
        <v>350.0</v>
      </c>
      <c r="U69" s="144">
        <v>350.0</v>
      </c>
      <c r="V69" s="144">
        <v>350.0</v>
      </c>
      <c r="W69" s="144">
        <v>350.0</v>
      </c>
      <c r="X69" s="144">
        <v>350.0</v>
      </c>
      <c r="Y69" s="144">
        <v>0.0</v>
      </c>
      <c r="Z69" s="144">
        <v>0.0</v>
      </c>
      <c r="AA69" s="144"/>
      <c r="AB69" s="144"/>
      <c r="AC69" s="144"/>
      <c r="AD69" s="144">
        <v>17592.21</v>
      </c>
      <c r="AE69" s="176">
        <v>20685.0</v>
      </c>
      <c r="AF69" s="143">
        <v>0.01</v>
      </c>
      <c r="AG69" s="135"/>
      <c r="AH69" s="135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</row>
    <row r="70" ht="15.75" customHeight="1">
      <c r="A70" s="146" t="s">
        <v>93</v>
      </c>
      <c r="B70" s="147">
        <v>209462.39</v>
      </c>
      <c r="C70" s="177">
        <v>1010.0</v>
      </c>
      <c r="D70" s="177">
        <v>206477.35</v>
      </c>
      <c r="E70" s="177">
        <v>8040.0</v>
      </c>
      <c r="F70" s="177">
        <v>47721.79</v>
      </c>
      <c r="G70" s="177">
        <v>36605.23</v>
      </c>
      <c r="H70" s="177">
        <v>45975.69</v>
      </c>
      <c r="I70" s="177">
        <v>21562.18</v>
      </c>
      <c r="J70" s="177">
        <v>269732.39</v>
      </c>
      <c r="K70" s="177">
        <v>85234.68</v>
      </c>
      <c r="L70" s="177">
        <v>0.0</v>
      </c>
      <c r="M70" s="177">
        <v>14070.2</v>
      </c>
      <c r="N70" s="177">
        <v>57031.02</v>
      </c>
      <c r="O70" s="177">
        <v>12306.99</v>
      </c>
      <c r="P70" s="177">
        <v>43371.51</v>
      </c>
      <c r="Q70" s="177">
        <v>24854.86</v>
      </c>
      <c r="R70" s="177">
        <v>262807.38</v>
      </c>
      <c r="S70" s="177">
        <v>39925.18</v>
      </c>
      <c r="T70" s="177">
        <v>64358.38</v>
      </c>
      <c r="U70" s="177">
        <v>61259.63</v>
      </c>
      <c r="V70" s="177">
        <v>44758.24</v>
      </c>
      <c r="W70" s="177">
        <v>29743.6</v>
      </c>
      <c r="X70" s="177">
        <v>139984.3</v>
      </c>
      <c r="Y70" s="177">
        <v>-610.86</v>
      </c>
      <c r="Z70" s="177">
        <v>21818.01</v>
      </c>
      <c r="AA70" s="177">
        <v>0.0</v>
      </c>
      <c r="AB70" s="177">
        <v>0.0</v>
      </c>
      <c r="AC70" s="177">
        <v>0.0</v>
      </c>
      <c r="AD70" s="177">
        <v>1481577.68</v>
      </c>
      <c r="AE70" s="147">
        <v>3229077.82</v>
      </c>
      <c r="AF70" s="178">
        <v>1.0</v>
      </c>
      <c r="AG70" s="135"/>
      <c r="AH70" s="135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4"/>
      <c r="AV70" s="174"/>
      <c r="AW70" s="174"/>
      <c r="AX70" s="174"/>
      <c r="AY70" s="174"/>
      <c r="AZ70" s="174"/>
    </row>
    <row r="71" ht="15.75" customHeight="1">
      <c r="A71" s="139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6"/>
      <c r="AF71" s="139"/>
      <c r="AG71" s="135"/>
      <c r="AH71" s="135"/>
      <c r="AI71" s="174"/>
      <c r="AJ71" s="174"/>
      <c r="AK71" s="174"/>
      <c r="AL71" s="174"/>
      <c r="AM71" s="174"/>
      <c r="AN71" s="174"/>
      <c r="AO71" s="174"/>
      <c r="AP71" s="174"/>
      <c r="AQ71" s="174"/>
      <c r="AR71" s="174"/>
      <c r="AS71" s="174"/>
      <c r="AT71" s="174"/>
      <c r="AU71" s="174"/>
      <c r="AV71" s="174"/>
      <c r="AW71" s="174"/>
      <c r="AX71" s="174"/>
      <c r="AY71" s="174"/>
      <c r="AZ71" s="174"/>
    </row>
    <row r="72" ht="15.75" customHeight="1">
      <c r="A72" s="146" t="s">
        <v>5</v>
      </c>
      <c r="B72" s="147">
        <v>1457933.3</v>
      </c>
      <c r="C72" s="177">
        <v>15674.48</v>
      </c>
      <c r="D72" s="147">
        <v>115245.07</v>
      </c>
      <c r="E72" s="177">
        <v>22509.0</v>
      </c>
      <c r="F72" s="177">
        <v>-7086.44</v>
      </c>
      <c r="G72" s="177">
        <v>204950.8</v>
      </c>
      <c r="H72" s="177">
        <v>219914.82</v>
      </c>
      <c r="I72" s="177">
        <v>24338.67</v>
      </c>
      <c r="J72" s="177">
        <v>1657414.12</v>
      </c>
      <c r="K72" s="177">
        <v>221904.83</v>
      </c>
      <c r="L72" s="177">
        <v>0.0</v>
      </c>
      <c r="M72" s="177">
        <v>27296.18</v>
      </c>
      <c r="N72" s="177">
        <v>105891.4</v>
      </c>
      <c r="O72" s="177">
        <v>20455.94</v>
      </c>
      <c r="P72" s="177">
        <v>30031.94</v>
      </c>
      <c r="Q72" s="177">
        <v>15145.14</v>
      </c>
      <c r="R72" s="177">
        <v>-221449.63</v>
      </c>
      <c r="S72" s="177">
        <v>52594.91</v>
      </c>
      <c r="T72" s="177">
        <v>79605.43</v>
      </c>
      <c r="U72" s="177">
        <v>55307.34</v>
      </c>
      <c r="V72" s="177">
        <v>-6861.7</v>
      </c>
      <c r="W72" s="177">
        <v>93700.4</v>
      </c>
      <c r="X72" s="177">
        <v>607895.88</v>
      </c>
      <c r="Y72" s="177">
        <v>610.86</v>
      </c>
      <c r="Z72" s="177">
        <v>-21818.01</v>
      </c>
      <c r="AA72" s="177">
        <v>0.0</v>
      </c>
      <c r="AB72" s="177">
        <v>0.0</v>
      </c>
      <c r="AC72" s="177">
        <v>0.0</v>
      </c>
      <c r="AD72" s="177">
        <v>-1452842.16</v>
      </c>
      <c r="AE72" s="177">
        <v>3318362.57</v>
      </c>
      <c r="AF72" s="139"/>
      <c r="AG72" s="135"/>
      <c r="AH72" s="135"/>
      <c r="AI72" s="174"/>
      <c r="AJ72" s="174"/>
      <c r="AK72" s="174"/>
      <c r="AL72" s="174"/>
      <c r="AM72" s="174"/>
      <c r="AN72" s="174"/>
      <c r="AO72" s="174"/>
      <c r="AP72" s="174"/>
      <c r="AQ72" s="174"/>
      <c r="AR72" s="174"/>
      <c r="AS72" s="174"/>
      <c r="AT72" s="174"/>
      <c r="AU72" s="174"/>
      <c r="AV72" s="174"/>
      <c r="AW72" s="174"/>
      <c r="AX72" s="174"/>
      <c r="AY72" s="174"/>
      <c r="AZ72" s="174"/>
    </row>
    <row r="73" ht="15.7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6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  <c r="AW73" s="174"/>
      <c r="AX73" s="174"/>
      <c r="AY73" s="174"/>
      <c r="AZ73" s="17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F2"/>
    <mergeCell ref="A3:AF3"/>
    <mergeCell ref="A4:AF4"/>
    <mergeCell ref="B7:AF7"/>
    <mergeCell ref="A28:AF2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4" width="7.75"/>
    <col customWidth="1" min="25" max="25" width="10.0"/>
    <col customWidth="1" min="26" max="26" width="8.38"/>
    <col customWidth="1" min="27" max="27" width="9.0"/>
    <col customWidth="1" min="28" max="28" width="8.63"/>
    <col customWidth="1" min="29" max="30" width="4.38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  <c r="AB1" s="135"/>
      <c r="AC1" s="135"/>
      <c r="AD1" s="135"/>
    </row>
    <row r="2" ht="15.75" customHeight="1">
      <c r="A2" s="137" t="s">
        <v>30</v>
      </c>
      <c r="AC2" s="135"/>
      <c r="AD2" s="135"/>
    </row>
    <row r="3" ht="15.75" customHeight="1">
      <c r="A3" s="137" t="s">
        <v>241</v>
      </c>
      <c r="AC3" s="135"/>
      <c r="AD3" s="135"/>
    </row>
    <row r="4" ht="15.75" customHeight="1">
      <c r="A4" s="137"/>
      <c r="AC4" s="135"/>
      <c r="AD4" s="135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6"/>
      <c r="AB5" s="135"/>
      <c r="AC5" s="135"/>
      <c r="AD5" s="135"/>
    </row>
    <row r="6" ht="15.75" customHeight="1">
      <c r="A6" s="179" t="s">
        <v>242</v>
      </c>
      <c r="B6" s="179" t="s">
        <v>100</v>
      </c>
      <c r="C6" s="179" t="s">
        <v>11</v>
      </c>
      <c r="D6" s="179" t="s">
        <v>243</v>
      </c>
      <c r="E6" s="179" t="s">
        <v>244</v>
      </c>
      <c r="F6" s="179" t="s">
        <v>2</v>
      </c>
      <c r="G6" s="179" t="s">
        <v>245</v>
      </c>
      <c r="H6" s="179" t="s">
        <v>107</v>
      </c>
      <c r="I6" s="179" t="s">
        <v>246</v>
      </c>
      <c r="J6" s="179" t="s">
        <v>247</v>
      </c>
      <c r="K6" s="179" t="s">
        <v>129</v>
      </c>
      <c r="L6" s="179"/>
      <c r="M6" s="179" t="s">
        <v>110</v>
      </c>
      <c r="N6" s="179" t="s">
        <v>248</v>
      </c>
      <c r="O6" s="179" t="s">
        <v>249</v>
      </c>
      <c r="P6" s="179" t="s">
        <v>117</v>
      </c>
      <c r="Q6" s="179" t="s">
        <v>250</v>
      </c>
      <c r="R6" s="179" t="s">
        <v>118</v>
      </c>
      <c r="S6" s="179" t="s">
        <v>119</v>
      </c>
      <c r="T6" s="179" t="s">
        <v>251</v>
      </c>
      <c r="U6" s="179" t="s">
        <v>122</v>
      </c>
      <c r="V6" s="179" t="s">
        <v>127</v>
      </c>
      <c r="W6" s="179" t="s">
        <v>124</v>
      </c>
      <c r="X6" s="179" t="s">
        <v>125</v>
      </c>
      <c r="Y6" s="179" t="s">
        <v>252</v>
      </c>
      <c r="Z6" s="179" t="s">
        <v>29</v>
      </c>
      <c r="AA6" s="179" t="s">
        <v>25</v>
      </c>
      <c r="AB6" s="179" t="s">
        <v>46</v>
      </c>
      <c r="AC6" s="180"/>
      <c r="AD6" s="180"/>
    </row>
    <row r="7" ht="15.75" customHeight="1">
      <c r="A7" s="139"/>
      <c r="B7" s="140"/>
      <c r="AC7" s="135"/>
      <c r="AD7" s="135"/>
    </row>
    <row r="8" ht="15.75" customHeight="1">
      <c r="A8" s="139" t="s">
        <v>253</v>
      </c>
      <c r="B8" s="144">
        <v>236518.1</v>
      </c>
      <c r="C8" s="144">
        <v>52738.79</v>
      </c>
      <c r="D8" s="144">
        <v>36063.79</v>
      </c>
      <c r="E8" s="144">
        <v>0.0</v>
      </c>
      <c r="F8" s="144">
        <v>27619.83</v>
      </c>
      <c r="G8" s="144">
        <v>109547.41</v>
      </c>
      <c r="H8" s="144">
        <v>87639.66</v>
      </c>
      <c r="I8" s="144">
        <v>41893.1</v>
      </c>
      <c r="J8" s="144">
        <v>1828698.26</v>
      </c>
      <c r="K8" s="144">
        <v>278180.17</v>
      </c>
      <c r="L8" s="144"/>
      <c r="M8" s="144">
        <v>9452.59</v>
      </c>
      <c r="N8" s="144">
        <v>198943.12</v>
      </c>
      <c r="O8" s="144">
        <v>8103.45</v>
      </c>
      <c r="P8" s="144">
        <v>89394.83</v>
      </c>
      <c r="Q8" s="144">
        <v>0.0</v>
      </c>
      <c r="R8" s="144">
        <v>28903.45</v>
      </c>
      <c r="S8" s="144">
        <v>13431.03</v>
      </c>
      <c r="T8" s="144">
        <v>161402.59</v>
      </c>
      <c r="U8" s="144">
        <v>76958.62</v>
      </c>
      <c r="V8" s="144">
        <v>16974.14</v>
      </c>
      <c r="W8" s="144">
        <v>105250.0</v>
      </c>
      <c r="X8" s="144">
        <v>381988.79</v>
      </c>
      <c r="Y8" s="175"/>
      <c r="Z8" s="175"/>
      <c r="AA8" s="145">
        <v>3789701.72</v>
      </c>
      <c r="AB8" s="143">
        <v>0.51</v>
      </c>
      <c r="AC8" s="135"/>
      <c r="AD8" s="135"/>
    </row>
    <row r="9" ht="15.75" customHeight="1">
      <c r="A9" s="139" t="s">
        <v>254</v>
      </c>
      <c r="B9" s="144">
        <v>1456744.83</v>
      </c>
      <c r="C9" s="144">
        <v>0.0</v>
      </c>
      <c r="D9" s="144">
        <v>255048.28</v>
      </c>
      <c r="E9" s="144">
        <v>0.0</v>
      </c>
      <c r="F9" s="144">
        <v>10627.6</v>
      </c>
      <c r="G9" s="144">
        <v>123120.69</v>
      </c>
      <c r="H9" s="144">
        <v>171770.69</v>
      </c>
      <c r="I9" s="144">
        <v>0.0</v>
      </c>
      <c r="J9" s="144">
        <v>332387.94</v>
      </c>
      <c r="K9" s="144">
        <v>13577.58</v>
      </c>
      <c r="L9" s="144"/>
      <c r="M9" s="144">
        <v>31543.1</v>
      </c>
      <c r="N9" s="144">
        <v>21417.25</v>
      </c>
      <c r="O9" s="144">
        <v>26250.0</v>
      </c>
      <c r="P9" s="144">
        <v>3448.28</v>
      </c>
      <c r="Q9" s="144">
        <v>0.0</v>
      </c>
      <c r="R9" s="144">
        <v>0.0</v>
      </c>
      <c r="S9" s="144">
        <v>72533.19</v>
      </c>
      <c r="T9" s="144">
        <v>750.0</v>
      </c>
      <c r="U9" s="144">
        <v>56500.0</v>
      </c>
      <c r="V9" s="144">
        <v>18025.84</v>
      </c>
      <c r="W9" s="144">
        <v>11608.0</v>
      </c>
      <c r="X9" s="144">
        <v>369017.24</v>
      </c>
      <c r="Y9" s="175"/>
      <c r="Z9" s="175"/>
      <c r="AA9" s="145">
        <v>2974370.51</v>
      </c>
      <c r="AB9" s="143">
        <v>0.4</v>
      </c>
      <c r="AC9" s="135"/>
      <c r="AD9" s="135"/>
    </row>
    <row r="10" ht="15.75" customHeight="1">
      <c r="A10" s="139" t="s">
        <v>59</v>
      </c>
      <c r="B10" s="144">
        <v>7586.2</v>
      </c>
      <c r="C10" s="144">
        <v>0.0</v>
      </c>
      <c r="D10" s="144">
        <v>0.0</v>
      </c>
      <c r="E10" s="144">
        <v>0.0</v>
      </c>
      <c r="F10" s="144">
        <v>0.0</v>
      </c>
      <c r="G10" s="144">
        <v>0.0</v>
      </c>
      <c r="H10" s="144">
        <v>0.0</v>
      </c>
      <c r="I10" s="144">
        <v>0.0</v>
      </c>
      <c r="J10" s="144">
        <v>0.0</v>
      </c>
      <c r="K10" s="144">
        <v>0.0</v>
      </c>
      <c r="L10" s="144"/>
      <c r="M10" s="144">
        <v>0.0</v>
      </c>
      <c r="N10" s="144">
        <v>0.0</v>
      </c>
      <c r="O10" s="144">
        <v>0.0</v>
      </c>
      <c r="P10" s="144">
        <v>0.0</v>
      </c>
      <c r="Q10" s="144">
        <v>0.0</v>
      </c>
      <c r="R10" s="144">
        <v>26551.72</v>
      </c>
      <c r="S10" s="144">
        <v>0.0</v>
      </c>
      <c r="T10" s="144">
        <v>0.0</v>
      </c>
      <c r="U10" s="144">
        <v>21724.14</v>
      </c>
      <c r="V10" s="144">
        <v>0.0</v>
      </c>
      <c r="W10" s="175"/>
      <c r="X10" s="144">
        <v>0.0</v>
      </c>
      <c r="Y10" s="175"/>
      <c r="Z10" s="175"/>
      <c r="AA10" s="145">
        <v>55862.06</v>
      </c>
      <c r="AB10" s="143">
        <v>0.01</v>
      </c>
      <c r="AC10" s="135"/>
      <c r="AD10" s="135"/>
    </row>
    <row r="11" ht="15.75" customHeight="1">
      <c r="A11" s="139" t="s">
        <v>255</v>
      </c>
      <c r="B11" s="144">
        <v>3171.55</v>
      </c>
      <c r="C11" s="144">
        <v>0.0</v>
      </c>
      <c r="D11" s="144">
        <v>50339.65</v>
      </c>
      <c r="E11" s="144">
        <v>0.0</v>
      </c>
      <c r="F11" s="144">
        <v>0.0</v>
      </c>
      <c r="G11" s="144">
        <v>0.0</v>
      </c>
      <c r="H11" s="144">
        <v>0.0</v>
      </c>
      <c r="I11" s="144">
        <v>5455.17</v>
      </c>
      <c r="J11" s="144">
        <v>0.0</v>
      </c>
      <c r="K11" s="144">
        <v>0.0</v>
      </c>
      <c r="L11" s="144"/>
      <c r="M11" s="144">
        <v>0.0</v>
      </c>
      <c r="N11" s="144">
        <v>0.0</v>
      </c>
      <c r="O11" s="144">
        <v>0.0</v>
      </c>
      <c r="P11" s="144">
        <v>862.07</v>
      </c>
      <c r="Q11" s="144">
        <v>0.0</v>
      </c>
      <c r="R11" s="144">
        <v>483.62</v>
      </c>
      <c r="S11" s="144">
        <v>0.0</v>
      </c>
      <c r="T11" s="144">
        <v>0.0</v>
      </c>
      <c r="U11" s="144">
        <v>14787.0</v>
      </c>
      <c r="V11" s="144">
        <v>0.0</v>
      </c>
      <c r="W11" s="175"/>
      <c r="X11" s="144">
        <v>17208.63</v>
      </c>
      <c r="Y11" s="175"/>
      <c r="Z11" s="175"/>
      <c r="AA11" s="145">
        <v>92307.69</v>
      </c>
      <c r="AB11" s="143">
        <v>0.01</v>
      </c>
      <c r="AC11" s="135"/>
      <c r="AD11" s="135"/>
    </row>
    <row r="12" ht="15.75" customHeight="1">
      <c r="A12" s="139" t="s">
        <v>256</v>
      </c>
      <c r="B12" s="144">
        <v>0.0</v>
      </c>
      <c r="C12" s="144">
        <v>603.45</v>
      </c>
      <c r="D12" s="144">
        <v>0.0</v>
      </c>
      <c r="E12" s="144">
        <v>67878.0</v>
      </c>
      <c r="F12" s="144">
        <v>0.0</v>
      </c>
      <c r="G12" s="144">
        <v>234982.75</v>
      </c>
      <c r="H12" s="144">
        <v>0.0</v>
      </c>
      <c r="I12" s="144">
        <v>0.0</v>
      </c>
      <c r="J12" s="144">
        <v>0.0</v>
      </c>
      <c r="K12" s="144">
        <v>6892.79</v>
      </c>
      <c r="L12" s="144"/>
      <c r="M12" s="144">
        <v>0.0</v>
      </c>
      <c r="N12" s="144">
        <v>0.0</v>
      </c>
      <c r="O12" s="144">
        <v>0.0</v>
      </c>
      <c r="P12" s="144">
        <v>0.0</v>
      </c>
      <c r="Q12" s="144">
        <v>0.0</v>
      </c>
      <c r="R12" s="144">
        <v>0.0</v>
      </c>
      <c r="S12" s="144">
        <v>0.0</v>
      </c>
      <c r="T12" s="144">
        <v>0.0</v>
      </c>
      <c r="U12" s="144">
        <v>0.0</v>
      </c>
      <c r="V12" s="144">
        <v>0.0</v>
      </c>
      <c r="W12" s="144">
        <v>20000.0</v>
      </c>
      <c r="X12" s="144">
        <v>0.0</v>
      </c>
      <c r="Y12" s="175"/>
      <c r="Z12" s="144">
        <v>12000.0</v>
      </c>
      <c r="AA12" s="145">
        <v>342356.99</v>
      </c>
      <c r="AB12" s="143">
        <v>0.05</v>
      </c>
      <c r="AC12" s="135"/>
      <c r="AD12" s="135"/>
    </row>
    <row r="13" ht="15.75" customHeight="1">
      <c r="A13" s="139" t="s">
        <v>257</v>
      </c>
      <c r="B13" s="144">
        <v>258.62</v>
      </c>
      <c r="C13" s="144">
        <v>0.0</v>
      </c>
      <c r="D13" s="144">
        <v>2844.83</v>
      </c>
      <c r="E13" s="144">
        <v>0.0</v>
      </c>
      <c r="F13" s="144">
        <v>0.0</v>
      </c>
      <c r="G13" s="144">
        <v>0.0</v>
      </c>
      <c r="H13" s="144">
        <v>905.17</v>
      </c>
      <c r="I13" s="144">
        <v>0.0</v>
      </c>
      <c r="J13" s="144">
        <v>5689.65</v>
      </c>
      <c r="K13" s="144">
        <v>0.0</v>
      </c>
      <c r="L13" s="144"/>
      <c r="M13" s="144">
        <v>0.0</v>
      </c>
      <c r="N13" s="144">
        <v>0.0</v>
      </c>
      <c r="O13" s="144">
        <v>0.0</v>
      </c>
      <c r="P13" s="144">
        <v>0.0</v>
      </c>
      <c r="Q13" s="144">
        <v>0.0</v>
      </c>
      <c r="R13" s="144">
        <v>0.0</v>
      </c>
      <c r="S13" s="144">
        <v>0.0</v>
      </c>
      <c r="T13" s="144">
        <v>0.0</v>
      </c>
      <c r="U13" s="144">
        <v>0.0</v>
      </c>
      <c r="V13" s="144">
        <v>0.0</v>
      </c>
      <c r="W13" s="175"/>
      <c r="X13" s="144">
        <v>258.62</v>
      </c>
      <c r="Y13" s="175"/>
      <c r="Z13" s="175"/>
      <c r="AA13" s="145">
        <v>9956.89</v>
      </c>
      <c r="AB13" s="143">
        <v>0.0</v>
      </c>
      <c r="AC13" s="135"/>
      <c r="AD13" s="135"/>
    </row>
    <row r="14" ht="15.75" customHeight="1">
      <c r="A14" s="139" t="s">
        <v>258</v>
      </c>
      <c r="B14" s="144">
        <v>0.0</v>
      </c>
      <c r="C14" s="144">
        <v>0.0</v>
      </c>
      <c r="D14" s="144">
        <v>0.0</v>
      </c>
      <c r="E14" s="144">
        <v>0.0</v>
      </c>
      <c r="F14" s="144">
        <v>0.0</v>
      </c>
      <c r="G14" s="144">
        <v>0.0</v>
      </c>
      <c r="H14" s="144">
        <v>0.0</v>
      </c>
      <c r="I14" s="144">
        <v>0.0</v>
      </c>
      <c r="J14" s="144">
        <v>2327.58</v>
      </c>
      <c r="K14" s="144">
        <v>0.0</v>
      </c>
      <c r="L14" s="144"/>
      <c r="M14" s="144">
        <v>0.0</v>
      </c>
      <c r="N14" s="144">
        <v>0.0</v>
      </c>
      <c r="O14" s="144">
        <v>0.0</v>
      </c>
      <c r="P14" s="144">
        <v>0.0</v>
      </c>
      <c r="Q14" s="144">
        <v>0.0</v>
      </c>
      <c r="R14" s="144">
        <v>0.0</v>
      </c>
      <c r="S14" s="144">
        <v>0.0</v>
      </c>
      <c r="T14" s="144">
        <v>0.0</v>
      </c>
      <c r="U14" s="144">
        <v>0.0</v>
      </c>
      <c r="V14" s="144">
        <v>0.0</v>
      </c>
      <c r="W14" s="175"/>
      <c r="X14" s="144">
        <v>0.0</v>
      </c>
      <c r="Y14" s="175"/>
      <c r="Z14" s="175"/>
      <c r="AA14" s="145">
        <v>2327.58</v>
      </c>
      <c r="AB14" s="143">
        <v>0.0</v>
      </c>
      <c r="AC14" s="135"/>
      <c r="AD14" s="135"/>
    </row>
    <row r="15" ht="15.75" customHeight="1">
      <c r="A15" s="139" t="s">
        <v>259</v>
      </c>
      <c r="B15" s="144">
        <v>0.0</v>
      </c>
      <c r="C15" s="144">
        <v>0.0</v>
      </c>
      <c r="D15" s="144">
        <v>0.0</v>
      </c>
      <c r="E15" s="144">
        <v>0.0</v>
      </c>
      <c r="F15" s="144">
        <v>0.0</v>
      </c>
      <c r="G15" s="144">
        <v>0.0</v>
      </c>
      <c r="H15" s="144">
        <v>0.0</v>
      </c>
      <c r="I15" s="144">
        <v>0.0</v>
      </c>
      <c r="J15" s="144">
        <v>0.0</v>
      </c>
      <c r="K15" s="144">
        <v>65107.76</v>
      </c>
      <c r="L15" s="144"/>
      <c r="M15" s="144">
        <v>0.0</v>
      </c>
      <c r="N15" s="144">
        <v>0.0</v>
      </c>
      <c r="O15" s="144">
        <v>0.0</v>
      </c>
      <c r="P15" s="144">
        <v>0.0</v>
      </c>
      <c r="Q15" s="144">
        <v>36000.0</v>
      </c>
      <c r="R15" s="144">
        <v>0.0</v>
      </c>
      <c r="S15" s="144">
        <v>0.0</v>
      </c>
      <c r="T15" s="144">
        <v>0.0</v>
      </c>
      <c r="U15" s="144">
        <v>0.0</v>
      </c>
      <c r="V15" s="144">
        <v>0.0</v>
      </c>
      <c r="W15" s="175"/>
      <c r="X15" s="144">
        <v>0.0</v>
      </c>
      <c r="Y15" s="175"/>
      <c r="Z15" s="175"/>
      <c r="AA15" s="145">
        <v>101107.76</v>
      </c>
      <c r="AB15" s="143">
        <v>0.01</v>
      </c>
      <c r="AC15" s="135"/>
      <c r="AD15" s="135"/>
    </row>
    <row r="16" ht="15.75" customHeight="1">
      <c r="A16" s="139" t="s">
        <v>260</v>
      </c>
      <c r="B16" s="144">
        <v>0.0</v>
      </c>
      <c r="C16" s="144">
        <v>0.0</v>
      </c>
      <c r="D16" s="144">
        <v>0.0</v>
      </c>
      <c r="E16" s="144">
        <v>0.0</v>
      </c>
      <c r="F16" s="144">
        <v>0.0</v>
      </c>
      <c r="G16" s="144">
        <v>0.0</v>
      </c>
      <c r="H16" s="144">
        <v>0.0</v>
      </c>
      <c r="I16" s="144">
        <v>0.0</v>
      </c>
      <c r="J16" s="144">
        <v>3612.07</v>
      </c>
      <c r="K16" s="144">
        <v>0.0</v>
      </c>
      <c r="L16" s="144"/>
      <c r="M16" s="144">
        <v>0.0</v>
      </c>
      <c r="N16" s="144">
        <v>0.0</v>
      </c>
      <c r="O16" s="144">
        <v>0.0</v>
      </c>
      <c r="P16" s="144">
        <v>0.0</v>
      </c>
      <c r="Q16" s="144">
        <v>0.0</v>
      </c>
      <c r="R16" s="144">
        <v>0.0</v>
      </c>
      <c r="S16" s="144">
        <v>0.0</v>
      </c>
      <c r="T16" s="144">
        <v>0.0</v>
      </c>
      <c r="U16" s="144">
        <v>0.0</v>
      </c>
      <c r="V16" s="144">
        <v>0.0</v>
      </c>
      <c r="W16" s="175"/>
      <c r="X16" s="144">
        <v>0.0</v>
      </c>
      <c r="Y16" s="175"/>
      <c r="Z16" s="175"/>
      <c r="AA16" s="145">
        <v>3612.07</v>
      </c>
      <c r="AB16" s="143">
        <v>0.0</v>
      </c>
      <c r="AC16" s="135"/>
      <c r="AD16" s="135"/>
    </row>
    <row r="17" ht="15.75" customHeight="1">
      <c r="A17" s="139" t="s">
        <v>261</v>
      </c>
      <c r="B17" s="144">
        <v>0.0</v>
      </c>
      <c r="C17" s="144">
        <v>0.0</v>
      </c>
      <c r="D17" s="144">
        <v>0.0</v>
      </c>
      <c r="E17" s="144">
        <v>0.0</v>
      </c>
      <c r="F17" s="144">
        <v>0.0</v>
      </c>
      <c r="G17" s="144">
        <v>0.0</v>
      </c>
      <c r="H17" s="144">
        <v>0.0</v>
      </c>
      <c r="I17" s="144">
        <v>0.0</v>
      </c>
      <c r="J17" s="144">
        <v>0.0</v>
      </c>
      <c r="K17" s="144">
        <v>0.0</v>
      </c>
      <c r="L17" s="144"/>
      <c r="M17" s="144">
        <v>0.0</v>
      </c>
      <c r="N17" s="144">
        <v>0.0</v>
      </c>
      <c r="O17" s="144">
        <v>0.0</v>
      </c>
      <c r="P17" s="144">
        <v>0.0</v>
      </c>
      <c r="Q17" s="144">
        <v>0.0</v>
      </c>
      <c r="R17" s="144">
        <v>0.0</v>
      </c>
      <c r="S17" s="144">
        <v>0.0</v>
      </c>
      <c r="T17" s="144">
        <v>0.0</v>
      </c>
      <c r="U17" s="144">
        <v>0.0</v>
      </c>
      <c r="V17" s="144">
        <v>0.0</v>
      </c>
      <c r="W17" s="175"/>
      <c r="X17" s="144">
        <v>0.0</v>
      </c>
      <c r="Y17" s="175">
        <v>36000.0</v>
      </c>
      <c r="Z17" s="144">
        <v>2075.18</v>
      </c>
      <c r="AA17" s="145">
        <v>2075.18</v>
      </c>
      <c r="AB17" s="143">
        <v>0.0</v>
      </c>
      <c r="AC17" s="135"/>
      <c r="AD17" s="135"/>
    </row>
    <row r="18" ht="15.75" customHeight="1">
      <c r="A18" s="139" t="s">
        <v>262</v>
      </c>
      <c r="B18" s="144">
        <v>0.0</v>
      </c>
      <c r="C18" s="144">
        <v>0.0</v>
      </c>
      <c r="D18" s="144">
        <v>0.0</v>
      </c>
      <c r="E18" s="144">
        <v>0.0</v>
      </c>
      <c r="F18" s="144">
        <v>0.0</v>
      </c>
      <c r="G18" s="144">
        <v>0.0</v>
      </c>
      <c r="H18" s="144">
        <v>0.0</v>
      </c>
      <c r="I18" s="144">
        <v>0.0</v>
      </c>
      <c r="J18" s="144">
        <v>0.0</v>
      </c>
      <c r="K18" s="144">
        <v>0.0</v>
      </c>
      <c r="L18" s="144"/>
      <c r="M18" s="144">
        <v>0.0</v>
      </c>
      <c r="N18" s="144">
        <v>0.0</v>
      </c>
      <c r="O18" s="144">
        <v>0.0</v>
      </c>
      <c r="P18" s="144">
        <v>0.0</v>
      </c>
      <c r="Q18" s="144">
        <v>0.0</v>
      </c>
      <c r="R18" s="144">
        <v>0.0</v>
      </c>
      <c r="S18" s="144">
        <v>0.0</v>
      </c>
      <c r="T18" s="144">
        <v>0.0</v>
      </c>
      <c r="U18" s="144">
        <v>0.0</v>
      </c>
      <c r="V18" s="144">
        <v>0.0</v>
      </c>
      <c r="W18" s="175"/>
      <c r="X18" s="144">
        <v>0.0</v>
      </c>
      <c r="Y18" s="175"/>
      <c r="Z18" s="175"/>
      <c r="AA18" s="145">
        <v>0.0</v>
      </c>
      <c r="AB18" s="143">
        <v>0.0</v>
      </c>
      <c r="AC18" s="135"/>
      <c r="AD18" s="135"/>
    </row>
    <row r="19" ht="15.75" customHeight="1">
      <c r="A19" s="139" t="s">
        <v>263</v>
      </c>
      <c r="B19" s="144">
        <v>0.0</v>
      </c>
      <c r="C19" s="144">
        <v>0.0</v>
      </c>
      <c r="D19" s="144">
        <v>0.0</v>
      </c>
      <c r="E19" s="144">
        <v>0.0</v>
      </c>
      <c r="F19" s="144">
        <v>0.0</v>
      </c>
      <c r="G19" s="144">
        <v>0.0</v>
      </c>
      <c r="H19" s="144">
        <v>0.0</v>
      </c>
      <c r="I19" s="144">
        <v>0.0</v>
      </c>
      <c r="J19" s="144">
        <v>0.0</v>
      </c>
      <c r="K19" s="144">
        <v>0.0</v>
      </c>
      <c r="L19" s="144"/>
      <c r="M19" s="144">
        <v>0.0</v>
      </c>
      <c r="N19" s="144">
        <v>0.0</v>
      </c>
      <c r="O19" s="144">
        <v>0.0</v>
      </c>
      <c r="P19" s="144">
        <v>0.0</v>
      </c>
      <c r="Q19" s="144">
        <v>0.0</v>
      </c>
      <c r="R19" s="144">
        <v>0.0</v>
      </c>
      <c r="S19" s="144">
        <v>0.0</v>
      </c>
      <c r="T19" s="144">
        <v>0.0</v>
      </c>
      <c r="U19" s="144">
        <v>0.0</v>
      </c>
      <c r="V19" s="144">
        <v>0.0</v>
      </c>
      <c r="W19" s="175"/>
      <c r="X19" s="144">
        <v>0.0</v>
      </c>
      <c r="Y19" s="175"/>
      <c r="Z19" s="175"/>
      <c r="AA19" s="145">
        <v>0.0</v>
      </c>
      <c r="AB19" s="143">
        <v>0.0</v>
      </c>
      <c r="AC19" s="135"/>
      <c r="AD19" s="135"/>
    </row>
    <row r="20" ht="15.75" customHeight="1">
      <c r="A20" s="139" t="s">
        <v>264</v>
      </c>
      <c r="B20" s="144">
        <v>0.0</v>
      </c>
      <c r="C20" s="144">
        <v>0.0</v>
      </c>
      <c r="D20" s="144">
        <v>0.0</v>
      </c>
      <c r="E20" s="144">
        <v>0.0</v>
      </c>
      <c r="F20" s="144">
        <v>0.0</v>
      </c>
      <c r="G20" s="144">
        <v>0.0</v>
      </c>
      <c r="H20" s="144">
        <v>5568.97</v>
      </c>
      <c r="I20" s="144">
        <v>0.0</v>
      </c>
      <c r="J20" s="144">
        <v>0.0</v>
      </c>
      <c r="K20" s="144">
        <v>0.0</v>
      </c>
      <c r="L20" s="144"/>
      <c r="M20" s="144">
        <v>0.0</v>
      </c>
      <c r="N20" s="144">
        <v>0.0</v>
      </c>
      <c r="O20" s="144">
        <v>0.0</v>
      </c>
      <c r="P20" s="144">
        <v>0.0</v>
      </c>
      <c r="Q20" s="144">
        <v>0.0</v>
      </c>
      <c r="R20" s="144">
        <v>0.0</v>
      </c>
      <c r="S20" s="144">
        <v>0.0</v>
      </c>
      <c r="T20" s="144">
        <v>0.0</v>
      </c>
      <c r="U20" s="144">
        <v>0.0</v>
      </c>
      <c r="V20" s="144">
        <v>0.0</v>
      </c>
      <c r="W20" s="175"/>
      <c r="X20" s="144">
        <v>3793.1</v>
      </c>
      <c r="Y20" s="175"/>
      <c r="Z20" s="175"/>
      <c r="AA20" s="145">
        <v>9362.07</v>
      </c>
      <c r="AB20" s="143">
        <v>0.0</v>
      </c>
      <c r="AC20" s="135"/>
      <c r="AD20" s="135"/>
    </row>
    <row r="21" ht="15.75" customHeight="1">
      <c r="A21" s="139" t="s">
        <v>265</v>
      </c>
      <c r="B21" s="144">
        <v>0.0</v>
      </c>
      <c r="C21" s="144">
        <v>0.0</v>
      </c>
      <c r="D21" s="144">
        <v>0.0</v>
      </c>
      <c r="E21" s="144">
        <v>0.0</v>
      </c>
      <c r="F21" s="144">
        <v>0.0</v>
      </c>
      <c r="G21" s="144">
        <v>0.0</v>
      </c>
      <c r="H21" s="144">
        <v>0.0</v>
      </c>
      <c r="I21" s="144">
        <v>0.0</v>
      </c>
      <c r="J21" s="144">
        <v>0.0</v>
      </c>
      <c r="K21" s="144">
        <v>0.0</v>
      </c>
      <c r="L21" s="144"/>
      <c r="M21" s="144">
        <v>0.0</v>
      </c>
      <c r="N21" s="144">
        <v>0.0</v>
      </c>
      <c r="O21" s="144">
        <v>0.0</v>
      </c>
      <c r="P21" s="144">
        <v>0.0</v>
      </c>
      <c r="Q21" s="144">
        <v>0.0</v>
      </c>
      <c r="R21" s="144">
        <v>0.0</v>
      </c>
      <c r="S21" s="144">
        <v>0.0</v>
      </c>
      <c r="T21" s="144">
        <v>0.0</v>
      </c>
      <c r="U21" s="144">
        <v>0.0</v>
      </c>
      <c r="V21" s="144">
        <v>0.0</v>
      </c>
      <c r="W21" s="175"/>
      <c r="X21" s="144">
        <v>0.0</v>
      </c>
      <c r="Y21" s="175"/>
      <c r="Z21" s="175"/>
      <c r="AA21" s="145">
        <v>0.0</v>
      </c>
      <c r="AB21" s="143">
        <v>0.0</v>
      </c>
      <c r="AC21" s="135"/>
      <c r="AD21" s="135"/>
    </row>
    <row r="22" ht="15.75" customHeight="1">
      <c r="A22" s="139" t="s">
        <v>266</v>
      </c>
      <c r="B22" s="144">
        <v>0.0</v>
      </c>
      <c r="C22" s="144">
        <v>0.0</v>
      </c>
      <c r="D22" s="144">
        <v>8.62</v>
      </c>
      <c r="E22" s="144">
        <v>0.0</v>
      </c>
      <c r="F22" s="144">
        <v>0.0</v>
      </c>
      <c r="G22" s="144">
        <v>0.0</v>
      </c>
      <c r="H22" s="144">
        <v>68.97</v>
      </c>
      <c r="I22" s="144">
        <v>0.0</v>
      </c>
      <c r="J22" s="144">
        <v>1303.45</v>
      </c>
      <c r="K22" s="144">
        <v>0.0</v>
      </c>
      <c r="L22" s="144"/>
      <c r="M22" s="144">
        <v>0.0</v>
      </c>
      <c r="N22" s="144">
        <v>145.69</v>
      </c>
      <c r="O22" s="144">
        <v>0.0</v>
      </c>
      <c r="P22" s="144">
        <v>382.76</v>
      </c>
      <c r="Q22" s="144">
        <v>0.0</v>
      </c>
      <c r="R22" s="144">
        <v>0.0</v>
      </c>
      <c r="S22" s="144">
        <v>17.24</v>
      </c>
      <c r="T22" s="144">
        <v>0.0</v>
      </c>
      <c r="U22" s="144">
        <v>0.0</v>
      </c>
      <c r="V22" s="144">
        <v>0.0</v>
      </c>
      <c r="W22" s="175"/>
      <c r="X22" s="144">
        <v>0.0</v>
      </c>
      <c r="Y22" s="175"/>
      <c r="Z22" s="175"/>
      <c r="AA22" s="145">
        <v>1926.73</v>
      </c>
      <c r="AB22" s="143">
        <v>0.0</v>
      </c>
      <c r="AC22" s="135"/>
      <c r="AD22" s="135"/>
    </row>
    <row r="23" ht="15.75" hidden="1" customHeight="1">
      <c r="A23" s="139" t="s">
        <v>267</v>
      </c>
      <c r="B23" s="144">
        <v>0.0</v>
      </c>
      <c r="C23" s="144">
        <v>0.0</v>
      </c>
      <c r="D23" s="144">
        <v>0.0</v>
      </c>
      <c r="E23" s="144">
        <v>0.0</v>
      </c>
      <c r="F23" s="144">
        <v>0.0</v>
      </c>
      <c r="G23" s="144">
        <v>0.0</v>
      </c>
      <c r="H23" s="144">
        <v>0.0</v>
      </c>
      <c r="I23" s="144">
        <v>0.0</v>
      </c>
      <c r="J23" s="144">
        <v>0.0</v>
      </c>
      <c r="K23" s="144">
        <v>0.0</v>
      </c>
      <c r="L23" s="144"/>
      <c r="M23" s="144">
        <v>0.0</v>
      </c>
      <c r="N23" s="144">
        <v>0.0</v>
      </c>
      <c r="O23" s="144">
        <v>0.0</v>
      </c>
      <c r="P23" s="144">
        <v>0.0</v>
      </c>
      <c r="Q23" s="144">
        <v>0.0</v>
      </c>
      <c r="R23" s="144">
        <v>0.0</v>
      </c>
      <c r="S23" s="144">
        <v>0.0</v>
      </c>
      <c r="T23" s="144">
        <v>0.0</v>
      </c>
      <c r="U23" s="144">
        <v>0.0</v>
      </c>
      <c r="V23" s="144">
        <v>0.0</v>
      </c>
      <c r="W23" s="175"/>
      <c r="X23" s="144">
        <v>0.0</v>
      </c>
      <c r="Y23" s="175"/>
      <c r="Z23" s="175"/>
      <c r="AA23" s="145">
        <v>0.0</v>
      </c>
      <c r="AB23" s="143">
        <v>0.0</v>
      </c>
      <c r="AC23" s="135"/>
      <c r="AD23" s="135"/>
    </row>
    <row r="24" ht="15.75" hidden="1" customHeight="1">
      <c r="A24" s="139" t="s">
        <v>268</v>
      </c>
      <c r="B24" s="144">
        <v>0.0</v>
      </c>
      <c r="C24" s="144">
        <v>0.0</v>
      </c>
      <c r="D24" s="144">
        <v>0.0</v>
      </c>
      <c r="E24" s="144">
        <v>0.0</v>
      </c>
      <c r="F24" s="144">
        <v>0.0</v>
      </c>
      <c r="G24" s="144">
        <v>0.0</v>
      </c>
      <c r="H24" s="144">
        <v>0.0</v>
      </c>
      <c r="I24" s="144">
        <v>0.0</v>
      </c>
      <c r="J24" s="144">
        <v>0.0</v>
      </c>
      <c r="K24" s="144">
        <v>0.0</v>
      </c>
      <c r="L24" s="144"/>
      <c r="M24" s="144">
        <v>0.0</v>
      </c>
      <c r="N24" s="144">
        <v>0.0</v>
      </c>
      <c r="O24" s="144">
        <v>0.0</v>
      </c>
      <c r="P24" s="144">
        <v>0.0</v>
      </c>
      <c r="Q24" s="144">
        <v>0.0</v>
      </c>
      <c r="R24" s="144">
        <v>0.0</v>
      </c>
      <c r="S24" s="144">
        <v>0.0</v>
      </c>
      <c r="T24" s="144">
        <v>0.0</v>
      </c>
      <c r="U24" s="144">
        <v>0.0</v>
      </c>
      <c r="V24" s="144">
        <v>0.0</v>
      </c>
      <c r="W24" s="175"/>
      <c r="X24" s="144">
        <v>0.0</v>
      </c>
      <c r="Y24" s="175"/>
      <c r="Z24" s="175"/>
      <c r="AA24" s="145">
        <v>0.0</v>
      </c>
      <c r="AB24" s="143">
        <v>0.0</v>
      </c>
      <c r="AC24" s="135"/>
      <c r="AD24" s="135"/>
    </row>
    <row r="25" ht="15.75" hidden="1" customHeight="1">
      <c r="A25" s="139" t="s">
        <v>269</v>
      </c>
      <c r="B25" s="144">
        <v>0.0</v>
      </c>
      <c r="C25" s="144">
        <v>0.0</v>
      </c>
      <c r="D25" s="144">
        <v>0.0</v>
      </c>
      <c r="E25" s="144">
        <v>0.0</v>
      </c>
      <c r="F25" s="144">
        <v>0.0</v>
      </c>
      <c r="G25" s="144">
        <v>0.0</v>
      </c>
      <c r="H25" s="144">
        <v>0.0</v>
      </c>
      <c r="I25" s="144">
        <v>0.0</v>
      </c>
      <c r="J25" s="144">
        <v>0.0</v>
      </c>
      <c r="K25" s="144">
        <v>0.0</v>
      </c>
      <c r="L25" s="175"/>
      <c r="M25" s="144">
        <v>0.0</v>
      </c>
      <c r="N25" s="144">
        <v>0.0</v>
      </c>
      <c r="O25" s="144">
        <v>0.0</v>
      </c>
      <c r="P25" s="144">
        <v>0.0</v>
      </c>
      <c r="Q25" s="144">
        <v>0.0</v>
      </c>
      <c r="R25" s="144">
        <v>0.0</v>
      </c>
      <c r="S25" s="144">
        <v>0.0</v>
      </c>
      <c r="T25" s="144">
        <v>0.0</v>
      </c>
      <c r="U25" s="144">
        <v>0.0</v>
      </c>
      <c r="V25" s="144">
        <v>0.0</v>
      </c>
      <c r="W25" s="175"/>
      <c r="X25" s="144">
        <v>0.0</v>
      </c>
      <c r="Y25" s="175"/>
      <c r="Z25" s="144">
        <v>13330.17</v>
      </c>
      <c r="AA25" s="145">
        <v>13330.17</v>
      </c>
      <c r="AB25" s="143">
        <v>0.0</v>
      </c>
      <c r="AC25" s="135"/>
      <c r="AD25" s="135"/>
    </row>
    <row r="26" ht="15.75" hidden="1" customHeight="1">
      <c r="A26" s="139" t="s">
        <v>270</v>
      </c>
      <c r="B26" s="144">
        <v>0.0</v>
      </c>
      <c r="C26" s="144">
        <v>0.0</v>
      </c>
      <c r="D26" s="144">
        <v>0.0</v>
      </c>
      <c r="E26" s="144">
        <v>0.0</v>
      </c>
      <c r="F26" s="144">
        <v>0.0</v>
      </c>
      <c r="G26" s="144">
        <v>0.0</v>
      </c>
      <c r="H26" s="144">
        <v>0.0</v>
      </c>
      <c r="I26" s="144">
        <v>0.0</v>
      </c>
      <c r="J26" s="144">
        <v>0.0</v>
      </c>
      <c r="K26" s="144">
        <v>0.0</v>
      </c>
      <c r="L26" s="175"/>
      <c r="M26" s="144">
        <v>0.0</v>
      </c>
      <c r="N26" s="144">
        <v>0.0</v>
      </c>
      <c r="O26" s="144">
        <v>0.0</v>
      </c>
      <c r="P26" s="144">
        <v>0.0</v>
      </c>
      <c r="Q26" s="144">
        <v>0.0</v>
      </c>
      <c r="R26" s="144">
        <v>0.0</v>
      </c>
      <c r="S26" s="144">
        <v>0.0</v>
      </c>
      <c r="T26" s="144">
        <v>0.0</v>
      </c>
      <c r="U26" s="144">
        <v>0.0</v>
      </c>
      <c r="V26" s="144">
        <v>0.0</v>
      </c>
      <c r="W26" s="175"/>
      <c r="X26" s="144">
        <v>0.0</v>
      </c>
      <c r="Y26" s="175"/>
      <c r="Z26" s="175"/>
      <c r="AA26" s="145">
        <v>0.0</v>
      </c>
      <c r="AB26" s="143">
        <v>0.0</v>
      </c>
      <c r="AC26" s="135"/>
      <c r="AD26" s="135"/>
    </row>
    <row r="27" ht="15.75" customHeight="1">
      <c r="A27" s="146" t="s">
        <v>271</v>
      </c>
      <c r="B27" s="147">
        <v>1704279.3</v>
      </c>
      <c r="C27" s="147">
        <v>53342.24</v>
      </c>
      <c r="D27" s="147">
        <v>344305.17</v>
      </c>
      <c r="E27" s="147">
        <v>67878.0</v>
      </c>
      <c r="F27" s="147">
        <v>38247.43</v>
      </c>
      <c r="G27" s="147">
        <v>467650.85</v>
      </c>
      <c r="H27" s="147">
        <v>265953.45</v>
      </c>
      <c r="I27" s="147">
        <v>47348.27</v>
      </c>
      <c r="J27" s="147">
        <v>2174018.95</v>
      </c>
      <c r="K27" s="147">
        <v>363758.3</v>
      </c>
      <c r="L27" s="147"/>
      <c r="M27" s="147">
        <v>40995.69</v>
      </c>
      <c r="N27" s="147">
        <v>220506.06</v>
      </c>
      <c r="O27" s="147">
        <v>34353.45</v>
      </c>
      <c r="P27" s="147">
        <v>94087.94</v>
      </c>
      <c r="Q27" s="147">
        <v>36000.0</v>
      </c>
      <c r="R27" s="147">
        <v>55938.79</v>
      </c>
      <c r="S27" s="147">
        <v>85981.46</v>
      </c>
      <c r="T27" s="147">
        <v>162152.59</v>
      </c>
      <c r="U27" s="147">
        <v>169969.76</v>
      </c>
      <c r="V27" s="147">
        <v>34999.98</v>
      </c>
      <c r="W27" s="147">
        <v>136858.0</v>
      </c>
      <c r="X27" s="147">
        <v>772266.38</v>
      </c>
      <c r="Y27" s="147">
        <v>36000.0</v>
      </c>
      <c r="Z27" s="147">
        <v>27405.35</v>
      </c>
      <c r="AA27" s="147">
        <v>7398297.42</v>
      </c>
      <c r="AB27" s="178">
        <v>1.0</v>
      </c>
      <c r="AC27" s="135"/>
      <c r="AD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35"/>
      <c r="AD28" s="135"/>
    </row>
    <row r="29" ht="15.75" customHeight="1">
      <c r="A29" s="139" t="s">
        <v>47</v>
      </c>
      <c r="B29" s="144">
        <v>48209.14</v>
      </c>
      <c r="C29" s="144">
        <v>0.0</v>
      </c>
      <c r="D29" s="144">
        <v>19066.02</v>
      </c>
      <c r="E29" s="144">
        <v>0.0</v>
      </c>
      <c r="F29" s="144">
        <v>10988.58</v>
      </c>
      <c r="G29" s="144">
        <v>20868.08</v>
      </c>
      <c r="H29" s="144">
        <v>21394.47</v>
      </c>
      <c r="I29" s="144">
        <v>20596.54</v>
      </c>
      <c r="J29" s="144">
        <v>141712.27</v>
      </c>
      <c r="K29" s="144">
        <v>61500.89</v>
      </c>
      <c r="L29" s="144"/>
      <c r="M29" s="144">
        <v>9131.83</v>
      </c>
      <c r="N29" s="144">
        <v>37442.68</v>
      </c>
      <c r="O29" s="144">
        <v>9980.36</v>
      </c>
      <c r="P29" s="144">
        <v>21710.52</v>
      </c>
      <c r="Q29" s="144">
        <v>19510.0</v>
      </c>
      <c r="R29" s="144">
        <v>186210.2</v>
      </c>
      <c r="S29" s="144">
        <v>21514.46</v>
      </c>
      <c r="T29" s="144">
        <v>38882.39</v>
      </c>
      <c r="U29" s="144">
        <v>41032.96</v>
      </c>
      <c r="V29" s="144">
        <v>34308.96</v>
      </c>
      <c r="W29" s="144">
        <v>21946.52</v>
      </c>
      <c r="X29" s="144">
        <v>59892.14</v>
      </c>
      <c r="Y29" s="144">
        <v>15017.6</v>
      </c>
      <c r="Z29" s="144">
        <v>662041.07</v>
      </c>
      <c r="AA29" s="145">
        <v>1522957.68</v>
      </c>
      <c r="AB29" s="143">
        <v>0.48</v>
      </c>
      <c r="AC29" s="135"/>
      <c r="AD29" s="141"/>
    </row>
    <row r="30" ht="15.75" customHeight="1">
      <c r="A30" s="139" t="s">
        <v>48</v>
      </c>
      <c r="B30" s="144">
        <v>0.0</v>
      </c>
      <c r="C30" s="144">
        <v>0.0</v>
      </c>
      <c r="D30" s="144">
        <v>0.0</v>
      </c>
      <c r="E30" s="144">
        <v>0.0</v>
      </c>
      <c r="F30" s="144">
        <v>0.0</v>
      </c>
      <c r="G30" s="144">
        <v>0.0</v>
      </c>
      <c r="H30" s="144">
        <v>0.0</v>
      </c>
      <c r="I30" s="144">
        <v>0.0</v>
      </c>
      <c r="J30" s="144">
        <v>0.0</v>
      </c>
      <c r="K30" s="144">
        <v>0.0</v>
      </c>
      <c r="L30" s="144"/>
      <c r="M30" s="144">
        <v>0.0</v>
      </c>
      <c r="N30" s="144">
        <v>0.0</v>
      </c>
      <c r="O30" s="144">
        <v>0.0</v>
      </c>
      <c r="P30" s="144">
        <v>0.0</v>
      </c>
      <c r="Q30" s="144">
        <v>0.0</v>
      </c>
      <c r="R30" s="144">
        <v>0.0</v>
      </c>
      <c r="S30" s="144">
        <v>0.0</v>
      </c>
      <c r="T30" s="144">
        <v>0.0</v>
      </c>
      <c r="U30" s="144">
        <v>0.0</v>
      </c>
      <c r="V30" s="144">
        <v>0.0</v>
      </c>
      <c r="W30" s="144">
        <v>0.0</v>
      </c>
      <c r="X30" s="144">
        <v>0.0</v>
      </c>
      <c r="Y30" s="144">
        <v>0.0</v>
      </c>
      <c r="Z30" s="144">
        <v>0.0</v>
      </c>
      <c r="AA30" s="145">
        <v>0.0</v>
      </c>
      <c r="AB30" s="143">
        <v>0.0</v>
      </c>
      <c r="AC30" s="135"/>
      <c r="AD30" s="135"/>
    </row>
    <row r="31" ht="15.75" customHeight="1">
      <c r="A31" s="139" t="s">
        <v>49</v>
      </c>
      <c r="B31" s="144">
        <v>0.0</v>
      </c>
      <c r="C31" s="144">
        <v>0.0</v>
      </c>
      <c r="D31" s="144">
        <v>0.0</v>
      </c>
      <c r="E31" s="144">
        <v>0.0</v>
      </c>
      <c r="F31" s="144">
        <v>0.0</v>
      </c>
      <c r="G31" s="144">
        <v>0.0</v>
      </c>
      <c r="H31" s="144">
        <v>0.0</v>
      </c>
      <c r="I31" s="144">
        <v>0.0</v>
      </c>
      <c r="J31" s="144">
        <v>0.0</v>
      </c>
      <c r="K31" s="144">
        <v>0.0</v>
      </c>
      <c r="L31" s="144"/>
      <c r="M31" s="144">
        <v>0.0</v>
      </c>
      <c r="N31" s="144">
        <v>0.0</v>
      </c>
      <c r="O31" s="144">
        <v>0.0</v>
      </c>
      <c r="P31" s="144">
        <v>0.0</v>
      </c>
      <c r="Q31" s="144">
        <v>0.0</v>
      </c>
      <c r="R31" s="144">
        <v>0.0</v>
      </c>
      <c r="S31" s="144">
        <v>0.0</v>
      </c>
      <c r="T31" s="144">
        <v>0.0</v>
      </c>
      <c r="U31" s="144">
        <v>0.0</v>
      </c>
      <c r="V31" s="144">
        <v>0.0</v>
      </c>
      <c r="W31" s="144">
        <v>0.0</v>
      </c>
      <c r="X31" s="144">
        <v>0.0</v>
      </c>
      <c r="Y31" s="144">
        <v>0.0</v>
      </c>
      <c r="Z31" s="144">
        <v>28905.57</v>
      </c>
      <c r="AA31" s="145">
        <v>28905.57</v>
      </c>
      <c r="AB31" s="143">
        <v>0.01</v>
      </c>
      <c r="AC31" s="135"/>
      <c r="AD31" s="135"/>
    </row>
    <row r="32" ht="15.75" customHeight="1">
      <c r="A32" s="139" t="s">
        <v>50</v>
      </c>
      <c r="B32" s="144">
        <v>0.0</v>
      </c>
      <c r="C32" s="144">
        <v>0.0</v>
      </c>
      <c r="D32" s="144">
        <v>177160.0</v>
      </c>
      <c r="E32" s="144">
        <v>0.0</v>
      </c>
      <c r="F32" s="144">
        <v>16140.0</v>
      </c>
      <c r="G32" s="144">
        <v>0.0</v>
      </c>
      <c r="H32" s="144">
        <v>0.0</v>
      </c>
      <c r="I32" s="144">
        <v>0.0</v>
      </c>
      <c r="J32" s="144">
        <v>0.0</v>
      </c>
      <c r="K32" s="144">
        <v>0.0</v>
      </c>
      <c r="L32" s="144"/>
      <c r="M32" s="144">
        <v>0.0</v>
      </c>
      <c r="N32" s="144">
        <v>0.0</v>
      </c>
      <c r="O32" s="144">
        <v>0.0</v>
      </c>
      <c r="P32" s="144">
        <v>0.0</v>
      </c>
      <c r="Q32" s="144">
        <v>0.0</v>
      </c>
      <c r="R32" s="144">
        <v>0.0</v>
      </c>
      <c r="S32" s="144">
        <v>0.0</v>
      </c>
      <c r="T32" s="144">
        <v>0.0</v>
      </c>
      <c r="U32" s="144">
        <v>0.0</v>
      </c>
      <c r="V32" s="144">
        <v>0.0</v>
      </c>
      <c r="W32" s="144">
        <v>0.0</v>
      </c>
      <c r="X32" s="144">
        <v>0.0</v>
      </c>
      <c r="Y32" s="144">
        <v>0.0</v>
      </c>
      <c r="Z32" s="144">
        <v>70953.14</v>
      </c>
      <c r="AA32" s="145">
        <v>264253.14</v>
      </c>
      <c r="AB32" s="143">
        <v>0.08</v>
      </c>
      <c r="AC32" s="135"/>
      <c r="AD32" s="135"/>
    </row>
    <row r="33" ht="15.75" customHeight="1">
      <c r="A33" s="139" t="s">
        <v>51</v>
      </c>
      <c r="B33" s="144">
        <v>0.0</v>
      </c>
      <c r="C33" s="144">
        <v>0.0</v>
      </c>
      <c r="D33" s="144">
        <v>0.0</v>
      </c>
      <c r="E33" s="144">
        <v>0.0</v>
      </c>
      <c r="F33" s="144">
        <v>0.0</v>
      </c>
      <c r="G33" s="144">
        <v>0.0</v>
      </c>
      <c r="H33" s="144">
        <v>0.0</v>
      </c>
      <c r="I33" s="144">
        <v>0.0</v>
      </c>
      <c r="J33" s="144">
        <v>0.0</v>
      </c>
      <c r="K33" s="144">
        <v>0.0</v>
      </c>
      <c r="L33" s="144"/>
      <c r="M33" s="144">
        <v>0.0</v>
      </c>
      <c r="N33" s="144">
        <v>0.0</v>
      </c>
      <c r="O33" s="144">
        <v>0.0</v>
      </c>
      <c r="P33" s="144">
        <v>0.0</v>
      </c>
      <c r="Q33" s="144">
        <v>0.0</v>
      </c>
      <c r="R33" s="144">
        <v>0.0</v>
      </c>
      <c r="S33" s="144">
        <v>0.0</v>
      </c>
      <c r="T33" s="144">
        <v>0.0</v>
      </c>
      <c r="U33" s="144">
        <v>0.0</v>
      </c>
      <c r="V33" s="144">
        <v>0.0</v>
      </c>
      <c r="W33" s="144">
        <v>0.0</v>
      </c>
      <c r="X33" s="144">
        <v>0.0</v>
      </c>
      <c r="Y33" s="144">
        <v>0.0</v>
      </c>
      <c r="Z33" s="144">
        <v>0.0</v>
      </c>
      <c r="AA33" s="145">
        <v>0.0</v>
      </c>
      <c r="AB33" s="143">
        <v>0.0</v>
      </c>
      <c r="AC33" s="135"/>
      <c r="AD33" s="135"/>
    </row>
    <row r="34" ht="15.75" customHeight="1">
      <c r="A34" s="139" t="s">
        <v>52</v>
      </c>
      <c r="B34" s="144">
        <v>37113.71</v>
      </c>
      <c r="C34" s="144">
        <v>0.0</v>
      </c>
      <c r="D34" s="144">
        <v>0.0</v>
      </c>
      <c r="E34" s="144">
        <v>0.0</v>
      </c>
      <c r="F34" s="144">
        <v>0.0</v>
      </c>
      <c r="G34" s="144">
        <v>0.0</v>
      </c>
      <c r="H34" s="144">
        <v>0.0</v>
      </c>
      <c r="I34" s="144">
        <v>0.0</v>
      </c>
      <c r="J34" s="144">
        <v>0.0</v>
      </c>
      <c r="K34" s="144">
        <v>0.0</v>
      </c>
      <c r="L34" s="144"/>
      <c r="M34" s="144">
        <v>0.0</v>
      </c>
      <c r="N34" s="144">
        <v>0.0</v>
      </c>
      <c r="O34" s="144">
        <v>0.0</v>
      </c>
      <c r="P34" s="144">
        <v>0.0</v>
      </c>
      <c r="Q34" s="144">
        <v>0.0</v>
      </c>
      <c r="R34" s="144">
        <v>0.0</v>
      </c>
      <c r="S34" s="144">
        <v>0.0</v>
      </c>
      <c r="T34" s="144">
        <v>0.0</v>
      </c>
      <c r="U34" s="144">
        <v>0.0</v>
      </c>
      <c r="V34" s="144">
        <v>0.0</v>
      </c>
      <c r="W34" s="144">
        <v>0.0</v>
      </c>
      <c r="X34" s="144">
        <v>0.0</v>
      </c>
      <c r="Y34" s="144">
        <v>0.0</v>
      </c>
      <c r="Z34" s="144">
        <v>9160.83</v>
      </c>
      <c r="AA34" s="145">
        <v>46274.54</v>
      </c>
      <c r="AB34" s="143">
        <v>0.01</v>
      </c>
      <c r="AC34" s="135"/>
      <c r="AD34" s="135"/>
    </row>
    <row r="35" ht="15.75" customHeight="1">
      <c r="A35" s="139" t="s">
        <v>53</v>
      </c>
      <c r="B35" s="144">
        <v>0.0</v>
      </c>
      <c r="C35" s="144">
        <v>0.0</v>
      </c>
      <c r="D35" s="144">
        <v>0.0</v>
      </c>
      <c r="E35" s="144">
        <v>0.0</v>
      </c>
      <c r="F35" s="144">
        <v>0.0</v>
      </c>
      <c r="G35" s="144">
        <v>0.0</v>
      </c>
      <c r="H35" s="144">
        <v>0.0</v>
      </c>
      <c r="I35" s="144">
        <v>0.0</v>
      </c>
      <c r="J35" s="144">
        <v>0.0</v>
      </c>
      <c r="K35" s="144">
        <v>0.0</v>
      </c>
      <c r="L35" s="144"/>
      <c r="M35" s="144">
        <v>0.0</v>
      </c>
      <c r="N35" s="144">
        <v>0.0</v>
      </c>
      <c r="O35" s="144">
        <v>0.0</v>
      </c>
      <c r="P35" s="144">
        <v>0.0</v>
      </c>
      <c r="Q35" s="144">
        <v>0.0</v>
      </c>
      <c r="R35" s="144">
        <v>0.0</v>
      </c>
      <c r="S35" s="144">
        <v>0.0</v>
      </c>
      <c r="T35" s="144">
        <v>0.0</v>
      </c>
      <c r="U35" s="144">
        <v>0.0</v>
      </c>
      <c r="V35" s="144">
        <v>0.0</v>
      </c>
      <c r="W35" s="144">
        <v>0.0</v>
      </c>
      <c r="X35" s="144">
        <v>0.0</v>
      </c>
      <c r="Y35" s="144">
        <v>0.0</v>
      </c>
      <c r="Z35" s="144">
        <v>0.0</v>
      </c>
      <c r="AA35" s="145">
        <v>0.0</v>
      </c>
      <c r="AB35" s="143">
        <v>0.0</v>
      </c>
      <c r="AC35" s="135"/>
      <c r="AD35" s="135"/>
    </row>
    <row r="36" ht="15.75" customHeight="1">
      <c r="A36" s="139" t="s">
        <v>54</v>
      </c>
      <c r="B36" s="144">
        <v>627.59</v>
      </c>
      <c r="C36" s="144">
        <v>0.0</v>
      </c>
      <c r="D36" s="144">
        <v>627.59</v>
      </c>
      <c r="E36" s="144">
        <v>0.0</v>
      </c>
      <c r="F36" s="144">
        <v>584.48</v>
      </c>
      <c r="G36" s="144">
        <v>627.58</v>
      </c>
      <c r="H36" s="144">
        <v>283.62</v>
      </c>
      <c r="I36" s="144">
        <v>343.97</v>
      </c>
      <c r="J36" s="144">
        <v>688.8</v>
      </c>
      <c r="K36" s="144">
        <v>283.62</v>
      </c>
      <c r="L36" s="144"/>
      <c r="M36" s="144">
        <v>283.62</v>
      </c>
      <c r="N36" s="144">
        <v>627.59</v>
      </c>
      <c r="O36" s="144">
        <v>283.62</v>
      </c>
      <c r="P36" s="144">
        <v>627.59</v>
      </c>
      <c r="Q36" s="144">
        <v>850.86</v>
      </c>
      <c r="R36" s="144">
        <v>283.62</v>
      </c>
      <c r="S36" s="144">
        <v>283.62</v>
      </c>
      <c r="T36" s="144">
        <v>627.58</v>
      </c>
      <c r="U36" s="144">
        <v>283.62</v>
      </c>
      <c r="V36" s="144">
        <v>283.62</v>
      </c>
      <c r="W36" s="144">
        <v>627.59</v>
      </c>
      <c r="X36" s="144">
        <v>584.48</v>
      </c>
      <c r="Y36" s="144">
        <v>0.0</v>
      </c>
      <c r="Z36" s="144">
        <v>22791.36</v>
      </c>
      <c r="AA36" s="145">
        <v>32506.02</v>
      </c>
      <c r="AB36" s="143">
        <v>0.01</v>
      </c>
      <c r="AC36" s="135"/>
      <c r="AD36" s="135"/>
    </row>
    <row r="37" ht="15.75" customHeight="1">
      <c r="A37" s="139" t="s">
        <v>55</v>
      </c>
      <c r="B37" s="144">
        <v>105500.0</v>
      </c>
      <c r="C37" s="144">
        <v>0.0</v>
      </c>
      <c r="D37" s="144">
        <v>0.0</v>
      </c>
      <c r="E37" s="144">
        <v>0.0</v>
      </c>
      <c r="F37" s="144">
        <v>0.0</v>
      </c>
      <c r="G37" s="144">
        <v>0.0</v>
      </c>
      <c r="H37" s="144">
        <v>0.0</v>
      </c>
      <c r="I37" s="144">
        <v>0.0</v>
      </c>
      <c r="J37" s="144">
        <v>0.0</v>
      </c>
      <c r="K37" s="144">
        <v>0.0</v>
      </c>
      <c r="L37" s="144"/>
      <c r="M37" s="144">
        <v>0.0</v>
      </c>
      <c r="N37" s="144">
        <v>0.0</v>
      </c>
      <c r="O37" s="144">
        <v>0.0</v>
      </c>
      <c r="P37" s="144">
        <v>0.0</v>
      </c>
      <c r="Q37" s="144">
        <v>0.0</v>
      </c>
      <c r="R37" s="144">
        <v>0.0</v>
      </c>
      <c r="S37" s="144">
        <v>0.0</v>
      </c>
      <c r="T37" s="144">
        <v>0.0</v>
      </c>
      <c r="U37" s="144">
        <v>0.0</v>
      </c>
      <c r="V37" s="144">
        <v>0.0</v>
      </c>
      <c r="W37" s="144">
        <v>0.0</v>
      </c>
      <c r="X37" s="144">
        <v>0.0</v>
      </c>
      <c r="Y37" s="144">
        <v>0.0</v>
      </c>
      <c r="Z37" s="144">
        <v>0.0</v>
      </c>
      <c r="AA37" s="145">
        <v>105500.0</v>
      </c>
      <c r="AB37" s="143">
        <v>0.03</v>
      </c>
      <c r="AC37" s="135"/>
      <c r="AD37" s="135"/>
    </row>
    <row r="38" ht="15.75" customHeight="1">
      <c r="A38" s="139" t="s">
        <v>57</v>
      </c>
      <c r="B38" s="144">
        <v>1628.56</v>
      </c>
      <c r="C38" s="144">
        <v>0.0</v>
      </c>
      <c r="D38" s="144">
        <v>552.05</v>
      </c>
      <c r="E38" s="144">
        <v>0.0</v>
      </c>
      <c r="F38" s="144">
        <v>138.01</v>
      </c>
      <c r="G38" s="144">
        <v>690.07</v>
      </c>
      <c r="H38" s="144">
        <v>552.05</v>
      </c>
      <c r="I38" s="144">
        <v>115.01</v>
      </c>
      <c r="J38" s="144">
        <v>6900.67</v>
      </c>
      <c r="K38" s="144">
        <v>3144.38</v>
      </c>
      <c r="L38" s="144"/>
      <c r="M38" s="144">
        <v>101.21</v>
      </c>
      <c r="N38" s="144">
        <v>381.84</v>
      </c>
      <c r="O38" s="144">
        <v>50.6</v>
      </c>
      <c r="P38" s="144">
        <v>409.44</v>
      </c>
      <c r="Q38" s="144">
        <v>460.04</v>
      </c>
      <c r="R38" s="144">
        <v>3450.33</v>
      </c>
      <c r="S38" s="144">
        <v>179.42</v>
      </c>
      <c r="T38" s="144">
        <v>460.04</v>
      </c>
      <c r="U38" s="144">
        <v>547.45</v>
      </c>
      <c r="V38" s="144">
        <v>161.02</v>
      </c>
      <c r="W38" s="144">
        <v>161.02</v>
      </c>
      <c r="X38" s="144">
        <v>828.08</v>
      </c>
      <c r="Y38" s="144">
        <v>0.0</v>
      </c>
      <c r="Z38" s="144">
        <v>441.16</v>
      </c>
      <c r="AA38" s="145">
        <v>21352.45</v>
      </c>
      <c r="AB38" s="143">
        <v>0.01</v>
      </c>
      <c r="AC38" s="135"/>
      <c r="AD38" s="135"/>
    </row>
    <row r="39" ht="15.75" customHeight="1">
      <c r="A39" s="139" t="s">
        <v>58</v>
      </c>
      <c r="B39" s="144">
        <v>0.0</v>
      </c>
      <c r="C39" s="144">
        <v>0.0</v>
      </c>
      <c r="D39" s="144">
        <v>0.0</v>
      </c>
      <c r="E39" s="144">
        <v>0.0</v>
      </c>
      <c r="F39" s="144">
        <v>0.0</v>
      </c>
      <c r="G39" s="144">
        <v>0.0</v>
      </c>
      <c r="H39" s="144">
        <v>0.0</v>
      </c>
      <c r="I39" s="144">
        <v>0.0</v>
      </c>
      <c r="J39" s="144">
        <v>0.0</v>
      </c>
      <c r="K39" s="144">
        <v>2130.0</v>
      </c>
      <c r="L39" s="144"/>
      <c r="M39" s="144">
        <v>0.0</v>
      </c>
      <c r="N39" s="144">
        <v>0.0</v>
      </c>
      <c r="O39" s="144">
        <v>0.0</v>
      </c>
      <c r="P39" s="144">
        <v>0.0</v>
      </c>
      <c r="Q39" s="144">
        <v>0.0</v>
      </c>
      <c r="R39" s="144">
        <v>2130.0</v>
      </c>
      <c r="S39" s="144">
        <v>2130.0</v>
      </c>
      <c r="T39" s="144">
        <v>0.0</v>
      </c>
      <c r="U39" s="144">
        <v>0.0</v>
      </c>
      <c r="V39" s="144">
        <v>0.0</v>
      </c>
      <c r="W39" s="144">
        <v>0.0</v>
      </c>
      <c r="X39" s="144">
        <v>13300.0</v>
      </c>
      <c r="Y39" s="144">
        <v>0.0</v>
      </c>
      <c r="Z39" s="144">
        <v>0.0</v>
      </c>
      <c r="AA39" s="145">
        <v>19690.0</v>
      </c>
      <c r="AB39" s="143">
        <v>0.01</v>
      </c>
      <c r="AC39" s="135"/>
      <c r="AD39" s="135"/>
    </row>
    <row r="40" ht="15.75" customHeight="1">
      <c r="A40" s="139" t="s">
        <v>59</v>
      </c>
      <c r="B40" s="144">
        <v>0.0</v>
      </c>
      <c r="C40" s="144">
        <v>0.0</v>
      </c>
      <c r="D40" s="144">
        <v>0.0</v>
      </c>
      <c r="E40" s="144">
        <v>0.0</v>
      </c>
      <c r="F40" s="144">
        <v>0.0</v>
      </c>
      <c r="G40" s="144">
        <v>0.0</v>
      </c>
      <c r="H40" s="144">
        <v>0.0</v>
      </c>
      <c r="I40" s="144">
        <v>0.0</v>
      </c>
      <c r="J40" s="144">
        <v>0.0</v>
      </c>
      <c r="K40" s="144">
        <v>0.0</v>
      </c>
      <c r="L40" s="144"/>
      <c r="M40" s="144">
        <v>0.0</v>
      </c>
      <c r="N40" s="144">
        <v>0.0</v>
      </c>
      <c r="O40" s="144">
        <v>0.0</v>
      </c>
      <c r="P40" s="144">
        <v>0.0</v>
      </c>
      <c r="Q40" s="144">
        <v>0.0</v>
      </c>
      <c r="R40" s="144">
        <v>0.0</v>
      </c>
      <c r="S40" s="144">
        <v>0.0</v>
      </c>
      <c r="T40" s="144">
        <v>0.0</v>
      </c>
      <c r="U40" s="144">
        <v>0.0</v>
      </c>
      <c r="V40" s="144">
        <v>0.0</v>
      </c>
      <c r="W40" s="144">
        <v>0.0</v>
      </c>
      <c r="X40" s="144">
        <v>0.0</v>
      </c>
      <c r="Y40" s="144">
        <v>0.0</v>
      </c>
      <c r="Z40" s="144">
        <v>0.0</v>
      </c>
      <c r="AA40" s="145">
        <v>0.0</v>
      </c>
      <c r="AB40" s="143">
        <v>0.0</v>
      </c>
      <c r="AC40" s="135"/>
      <c r="AD40" s="135"/>
    </row>
    <row r="41" ht="15.75" customHeight="1">
      <c r="A41" s="139" t="s">
        <v>60</v>
      </c>
      <c r="B41" s="144">
        <v>2905.0</v>
      </c>
      <c r="C41" s="144">
        <v>0.0</v>
      </c>
      <c r="D41" s="144">
        <v>1310.0</v>
      </c>
      <c r="E41" s="144">
        <v>0.0</v>
      </c>
      <c r="F41" s="144">
        <v>1195.0</v>
      </c>
      <c r="G41" s="144">
        <v>1420.0</v>
      </c>
      <c r="H41" s="144">
        <v>1360.0</v>
      </c>
      <c r="I41" s="144">
        <v>725.0</v>
      </c>
      <c r="J41" s="144">
        <v>0.0</v>
      </c>
      <c r="K41" s="144">
        <v>4850.0</v>
      </c>
      <c r="L41" s="144"/>
      <c r="M41" s="144">
        <v>725.0</v>
      </c>
      <c r="N41" s="144">
        <v>2390.0</v>
      </c>
      <c r="O41" s="144">
        <v>725.0</v>
      </c>
      <c r="P41" s="144">
        <v>2620.0</v>
      </c>
      <c r="Q41" s="144">
        <v>1150.0</v>
      </c>
      <c r="R41" s="144">
        <v>16165.0</v>
      </c>
      <c r="S41" s="144">
        <v>2175.0</v>
      </c>
      <c r="T41" s="144">
        <v>3020.0</v>
      </c>
      <c r="U41" s="144">
        <v>2975.0</v>
      </c>
      <c r="V41" s="144">
        <v>1895.0</v>
      </c>
      <c r="W41" s="144">
        <v>1450.0</v>
      </c>
      <c r="X41" s="144">
        <v>4235.0</v>
      </c>
      <c r="Y41" s="144">
        <v>1150.0</v>
      </c>
      <c r="Z41" s="144">
        <v>1900.0</v>
      </c>
      <c r="AA41" s="145">
        <v>56340.0</v>
      </c>
      <c r="AB41" s="143">
        <v>0.02</v>
      </c>
      <c r="AC41" s="135"/>
      <c r="AD41" s="135"/>
    </row>
    <row r="42" ht="15.75" customHeight="1">
      <c r="A42" s="139" t="s">
        <v>61</v>
      </c>
      <c r="B42" s="144">
        <v>0.0</v>
      </c>
      <c r="C42" s="144">
        <v>0.0</v>
      </c>
      <c r="D42" s="144">
        <v>0.0</v>
      </c>
      <c r="E42" s="144">
        <v>0.0</v>
      </c>
      <c r="F42" s="144">
        <v>0.0</v>
      </c>
      <c r="G42" s="144">
        <v>0.0</v>
      </c>
      <c r="H42" s="144">
        <v>0.0</v>
      </c>
      <c r="I42" s="144">
        <v>0.0</v>
      </c>
      <c r="J42" s="144">
        <v>0.0</v>
      </c>
      <c r="K42" s="144">
        <v>0.0</v>
      </c>
      <c r="L42" s="144"/>
      <c r="M42" s="144">
        <v>0.0</v>
      </c>
      <c r="N42" s="144">
        <v>0.0</v>
      </c>
      <c r="O42" s="144">
        <v>0.0</v>
      </c>
      <c r="P42" s="144">
        <v>0.0</v>
      </c>
      <c r="Q42" s="144">
        <v>0.0</v>
      </c>
      <c r="R42" s="144">
        <v>0.0</v>
      </c>
      <c r="S42" s="144">
        <v>0.0</v>
      </c>
      <c r="T42" s="144">
        <v>0.0</v>
      </c>
      <c r="U42" s="144">
        <v>0.0</v>
      </c>
      <c r="V42" s="144">
        <v>0.0</v>
      </c>
      <c r="W42" s="144">
        <v>0.0</v>
      </c>
      <c r="X42" s="144">
        <v>0.0</v>
      </c>
      <c r="Y42" s="144">
        <v>0.0</v>
      </c>
      <c r="Z42" s="144">
        <v>0.0</v>
      </c>
      <c r="AA42" s="145">
        <v>0.0</v>
      </c>
      <c r="AB42" s="143">
        <v>0.0</v>
      </c>
      <c r="AC42" s="135"/>
      <c r="AD42" s="135"/>
    </row>
    <row r="43" ht="15.75" customHeight="1">
      <c r="A43" s="139" t="s">
        <v>62</v>
      </c>
      <c r="B43" s="144">
        <v>0.0</v>
      </c>
      <c r="C43" s="144">
        <v>0.0</v>
      </c>
      <c r="D43" s="144">
        <v>0.0</v>
      </c>
      <c r="E43" s="144">
        <v>0.0</v>
      </c>
      <c r="F43" s="144">
        <v>0.0</v>
      </c>
      <c r="G43" s="144">
        <v>0.0</v>
      </c>
      <c r="H43" s="144">
        <v>0.0</v>
      </c>
      <c r="I43" s="144">
        <v>0.0</v>
      </c>
      <c r="J43" s="144">
        <v>17500.0</v>
      </c>
      <c r="K43" s="144">
        <v>13600.0</v>
      </c>
      <c r="L43" s="144"/>
      <c r="M43" s="144">
        <v>0.0</v>
      </c>
      <c r="N43" s="144">
        <v>0.0</v>
      </c>
      <c r="O43" s="144">
        <v>0.0</v>
      </c>
      <c r="P43" s="144">
        <v>0.0</v>
      </c>
      <c r="Q43" s="144">
        <v>0.0</v>
      </c>
      <c r="R43" s="144">
        <v>0.0</v>
      </c>
      <c r="S43" s="144">
        <v>0.0</v>
      </c>
      <c r="T43" s="144">
        <v>0.0</v>
      </c>
      <c r="U43" s="144">
        <v>0.0</v>
      </c>
      <c r="V43" s="144">
        <v>0.0</v>
      </c>
      <c r="W43" s="144">
        <v>0.0</v>
      </c>
      <c r="X43" s="144">
        <v>575.01</v>
      </c>
      <c r="Y43" s="144">
        <v>0.0</v>
      </c>
      <c r="Z43" s="144">
        <v>0.0</v>
      </c>
      <c r="AA43" s="145">
        <v>31675.01</v>
      </c>
      <c r="AB43" s="143">
        <v>0.01</v>
      </c>
      <c r="AC43" s="135"/>
      <c r="AD43" s="135"/>
    </row>
    <row r="44" ht="15.75" customHeight="1">
      <c r="A44" s="139" t="s">
        <v>63</v>
      </c>
      <c r="B44" s="144">
        <v>2808.75</v>
      </c>
      <c r="C44" s="144">
        <v>0.0</v>
      </c>
      <c r="D44" s="144">
        <v>0.0</v>
      </c>
      <c r="E44" s="144">
        <v>0.0</v>
      </c>
      <c r="F44" s="144">
        <v>0.0</v>
      </c>
      <c r="G44" s="144">
        <v>0.0</v>
      </c>
      <c r="H44" s="144">
        <v>3500.0</v>
      </c>
      <c r="I44" s="144">
        <v>1500.0</v>
      </c>
      <c r="J44" s="144">
        <v>16000.0</v>
      </c>
      <c r="K44" s="144">
        <v>5000.0</v>
      </c>
      <c r="L44" s="144"/>
      <c r="M44" s="144">
        <v>0.0</v>
      </c>
      <c r="N44" s="144">
        <v>3500.0</v>
      </c>
      <c r="O44" s="144">
        <v>850.0</v>
      </c>
      <c r="P44" s="144">
        <v>0.0</v>
      </c>
      <c r="Q44" s="144">
        <v>0.0</v>
      </c>
      <c r="R44" s="144">
        <v>0.0</v>
      </c>
      <c r="S44" s="144">
        <v>0.0</v>
      </c>
      <c r="T44" s="144">
        <v>1850.0</v>
      </c>
      <c r="U44" s="144">
        <v>5040.0</v>
      </c>
      <c r="V44" s="144">
        <v>0.0</v>
      </c>
      <c r="W44" s="144">
        <v>0.0</v>
      </c>
      <c r="X44" s="144">
        <v>0.0</v>
      </c>
      <c r="Y44" s="144">
        <v>0.0</v>
      </c>
      <c r="Z44" s="144">
        <v>1350.0</v>
      </c>
      <c r="AA44" s="145">
        <v>41398.75</v>
      </c>
      <c r="AB44" s="143">
        <v>0.01</v>
      </c>
      <c r="AC44" s="135"/>
      <c r="AD44" s="135"/>
    </row>
    <row r="45" ht="15.75" customHeight="1">
      <c r="A45" s="139" t="s">
        <v>64</v>
      </c>
      <c r="B45" s="144">
        <v>0.0</v>
      </c>
      <c r="C45" s="144">
        <v>0.0</v>
      </c>
      <c r="D45" s="144">
        <v>0.0</v>
      </c>
      <c r="E45" s="144">
        <v>0.0</v>
      </c>
      <c r="F45" s="144">
        <v>0.0</v>
      </c>
      <c r="G45" s="144">
        <v>0.0</v>
      </c>
      <c r="H45" s="144">
        <v>0.0</v>
      </c>
      <c r="I45" s="144">
        <v>0.0</v>
      </c>
      <c r="J45" s="144">
        <v>0.0</v>
      </c>
      <c r="K45" s="144">
        <v>0.0</v>
      </c>
      <c r="L45" s="144"/>
      <c r="M45" s="144">
        <v>0.0</v>
      </c>
      <c r="N45" s="144">
        <v>0.0</v>
      </c>
      <c r="O45" s="144">
        <v>0.0</v>
      </c>
      <c r="P45" s="144">
        <v>0.0</v>
      </c>
      <c r="Q45" s="144">
        <v>0.0</v>
      </c>
      <c r="R45" s="144">
        <v>0.0</v>
      </c>
      <c r="S45" s="144">
        <v>0.0</v>
      </c>
      <c r="T45" s="144">
        <v>0.0</v>
      </c>
      <c r="U45" s="144">
        <v>0.0</v>
      </c>
      <c r="V45" s="144">
        <v>0.0</v>
      </c>
      <c r="W45" s="144">
        <v>0.0</v>
      </c>
      <c r="X45" s="144">
        <v>0.0</v>
      </c>
      <c r="Y45" s="144">
        <v>0.0</v>
      </c>
      <c r="Z45" s="144">
        <v>0.0</v>
      </c>
      <c r="AA45" s="145">
        <v>0.0</v>
      </c>
      <c r="AB45" s="143">
        <v>0.0</v>
      </c>
      <c r="AC45" s="135"/>
      <c r="AD45" s="135"/>
    </row>
    <row r="46" ht="15.75" customHeight="1">
      <c r="A46" s="139" t="s">
        <v>65</v>
      </c>
      <c r="B46" s="144">
        <v>0.0</v>
      </c>
      <c r="C46" s="144">
        <v>0.0</v>
      </c>
      <c r="D46" s="144">
        <v>0.0</v>
      </c>
      <c r="E46" s="144">
        <v>0.0</v>
      </c>
      <c r="F46" s="144">
        <v>0.0</v>
      </c>
      <c r="G46" s="144">
        <v>0.0</v>
      </c>
      <c r="H46" s="144">
        <v>0.0</v>
      </c>
      <c r="I46" s="144">
        <v>0.0</v>
      </c>
      <c r="J46" s="144">
        <v>0.0</v>
      </c>
      <c r="K46" s="144">
        <v>0.0</v>
      </c>
      <c r="L46" s="144"/>
      <c r="M46" s="144">
        <v>0.0</v>
      </c>
      <c r="N46" s="144">
        <v>0.0</v>
      </c>
      <c r="O46" s="144">
        <v>0.0</v>
      </c>
      <c r="P46" s="144">
        <v>0.0</v>
      </c>
      <c r="Q46" s="144">
        <v>0.0</v>
      </c>
      <c r="R46" s="144">
        <v>0.0</v>
      </c>
      <c r="S46" s="144">
        <v>0.0</v>
      </c>
      <c r="T46" s="144">
        <v>0.0</v>
      </c>
      <c r="U46" s="144">
        <v>0.0</v>
      </c>
      <c r="V46" s="144">
        <v>0.0</v>
      </c>
      <c r="W46" s="144">
        <v>0.0</v>
      </c>
      <c r="X46" s="144">
        <v>0.0</v>
      </c>
      <c r="Y46" s="144">
        <v>0.0</v>
      </c>
      <c r="Z46" s="144">
        <v>0.0</v>
      </c>
      <c r="AA46" s="145">
        <v>0.0</v>
      </c>
      <c r="AB46" s="143">
        <v>0.0</v>
      </c>
      <c r="AC46" s="135"/>
      <c r="AD46" s="135"/>
    </row>
    <row r="47" ht="15.75" customHeight="1">
      <c r="A47" s="135" t="s">
        <v>66</v>
      </c>
      <c r="B47" s="144">
        <v>0.0</v>
      </c>
      <c r="C47" s="144">
        <v>0.0</v>
      </c>
      <c r="D47" s="144">
        <v>0.0</v>
      </c>
      <c r="E47" s="144">
        <v>0.0</v>
      </c>
      <c r="F47" s="144">
        <v>0.0</v>
      </c>
      <c r="G47" s="144">
        <v>0.0</v>
      </c>
      <c r="H47" s="144">
        <v>0.0</v>
      </c>
      <c r="I47" s="144">
        <v>0.0</v>
      </c>
      <c r="J47" s="144">
        <v>0.0</v>
      </c>
      <c r="K47" s="144">
        <v>0.0</v>
      </c>
      <c r="L47" s="144"/>
      <c r="M47" s="144">
        <v>0.0</v>
      </c>
      <c r="N47" s="144">
        <v>0.0</v>
      </c>
      <c r="O47" s="144">
        <v>0.0</v>
      </c>
      <c r="P47" s="144">
        <v>0.0</v>
      </c>
      <c r="Q47" s="144">
        <v>0.0</v>
      </c>
      <c r="R47" s="144">
        <v>0.0</v>
      </c>
      <c r="S47" s="144">
        <v>0.0</v>
      </c>
      <c r="T47" s="144">
        <v>0.0</v>
      </c>
      <c r="U47" s="144">
        <v>0.0</v>
      </c>
      <c r="V47" s="144">
        <v>0.0</v>
      </c>
      <c r="W47" s="144">
        <v>0.0</v>
      </c>
      <c r="X47" s="144">
        <v>0.0</v>
      </c>
      <c r="Y47" s="144">
        <v>0.0</v>
      </c>
      <c r="Z47" s="144">
        <v>23520.0</v>
      </c>
      <c r="AA47" s="145">
        <v>23520.0</v>
      </c>
      <c r="AB47" s="143">
        <v>0.01</v>
      </c>
      <c r="AC47" s="135"/>
      <c r="AD47" s="135"/>
    </row>
    <row r="48" ht="15.75" customHeight="1">
      <c r="A48" s="139" t="s">
        <v>67</v>
      </c>
      <c r="B48" s="144">
        <v>215.66</v>
      </c>
      <c r="C48" s="144">
        <v>0.0</v>
      </c>
      <c r="D48" s="144">
        <v>8.8</v>
      </c>
      <c r="E48" s="144">
        <v>0.0</v>
      </c>
      <c r="F48" s="144">
        <v>0.0</v>
      </c>
      <c r="G48" s="144">
        <v>51.53</v>
      </c>
      <c r="H48" s="144">
        <v>311.52</v>
      </c>
      <c r="I48" s="144">
        <v>84.49</v>
      </c>
      <c r="J48" s="144">
        <v>0.0</v>
      </c>
      <c r="K48" s="144">
        <v>263.65</v>
      </c>
      <c r="L48" s="144"/>
      <c r="M48" s="144">
        <v>0.0</v>
      </c>
      <c r="N48" s="144">
        <v>55.76</v>
      </c>
      <c r="O48" s="144">
        <v>81.34</v>
      </c>
      <c r="P48" s="144">
        <v>63.75</v>
      </c>
      <c r="Q48" s="144">
        <v>0.0</v>
      </c>
      <c r="R48" s="144">
        <v>302.03</v>
      </c>
      <c r="S48" s="144">
        <v>67.68</v>
      </c>
      <c r="T48" s="144">
        <v>486.16</v>
      </c>
      <c r="U48" s="144">
        <v>107.71</v>
      </c>
      <c r="V48" s="144">
        <v>0.0</v>
      </c>
      <c r="W48" s="144">
        <v>299.43</v>
      </c>
      <c r="X48" s="144">
        <v>0.0</v>
      </c>
      <c r="Y48" s="144">
        <v>0.0</v>
      </c>
      <c r="Z48" s="144">
        <v>2977.92</v>
      </c>
      <c r="AA48" s="145">
        <v>5377.43</v>
      </c>
      <c r="AB48" s="143">
        <v>0.0</v>
      </c>
      <c r="AC48" s="135"/>
      <c r="AD48" s="135"/>
    </row>
    <row r="49" ht="15.75" customHeight="1">
      <c r="A49" s="139" t="s">
        <v>68</v>
      </c>
      <c r="B49" s="144">
        <v>330.25</v>
      </c>
      <c r="C49" s="144">
        <v>0.0</v>
      </c>
      <c r="D49" s="144">
        <v>62.1</v>
      </c>
      <c r="E49" s="144">
        <v>0.0</v>
      </c>
      <c r="F49" s="144">
        <v>0.0</v>
      </c>
      <c r="G49" s="144">
        <v>118.68</v>
      </c>
      <c r="H49" s="144">
        <v>195.02</v>
      </c>
      <c r="I49" s="144">
        <v>65.32</v>
      </c>
      <c r="J49" s="144">
        <v>109.23</v>
      </c>
      <c r="K49" s="144">
        <v>173.3</v>
      </c>
      <c r="L49" s="144"/>
      <c r="M49" s="144">
        <v>0.0</v>
      </c>
      <c r="N49" s="144">
        <v>139.3</v>
      </c>
      <c r="O49" s="144">
        <v>160.73</v>
      </c>
      <c r="P49" s="144">
        <v>62.1</v>
      </c>
      <c r="Q49" s="144">
        <v>0.0</v>
      </c>
      <c r="R49" s="144">
        <v>104.57</v>
      </c>
      <c r="S49" s="144">
        <v>124.58</v>
      </c>
      <c r="T49" s="144">
        <v>296.06</v>
      </c>
      <c r="U49" s="144">
        <v>187.7</v>
      </c>
      <c r="V49" s="144">
        <v>0.0</v>
      </c>
      <c r="W49" s="144">
        <v>256.49</v>
      </c>
      <c r="X49" s="144">
        <v>0.0</v>
      </c>
      <c r="Y49" s="144">
        <v>0.0</v>
      </c>
      <c r="Z49" s="144">
        <v>1601.05</v>
      </c>
      <c r="AA49" s="145">
        <v>3986.48</v>
      </c>
      <c r="AB49" s="143">
        <v>0.0</v>
      </c>
      <c r="AC49" s="135"/>
      <c r="AD49" s="135"/>
    </row>
    <row r="50" ht="15.75" customHeight="1">
      <c r="A50" s="139" t="s">
        <v>69</v>
      </c>
      <c r="B50" s="144">
        <v>0.0</v>
      </c>
      <c r="C50" s="144">
        <v>0.0</v>
      </c>
      <c r="D50" s="144">
        <v>0.0</v>
      </c>
      <c r="E50" s="144">
        <v>0.0</v>
      </c>
      <c r="F50" s="144">
        <v>0.0</v>
      </c>
      <c r="G50" s="144">
        <v>0.0</v>
      </c>
      <c r="H50" s="144">
        <v>0.0</v>
      </c>
      <c r="I50" s="144">
        <v>0.0</v>
      </c>
      <c r="J50" s="144">
        <v>0.0</v>
      </c>
      <c r="K50" s="144">
        <v>0.0</v>
      </c>
      <c r="L50" s="144"/>
      <c r="M50" s="144">
        <v>0.0</v>
      </c>
      <c r="N50" s="144">
        <v>0.0</v>
      </c>
      <c r="O50" s="144">
        <v>0.0</v>
      </c>
      <c r="P50" s="144">
        <v>0.0</v>
      </c>
      <c r="Q50" s="144">
        <v>0.0</v>
      </c>
      <c r="R50" s="144">
        <v>0.0</v>
      </c>
      <c r="S50" s="144">
        <v>0.0</v>
      </c>
      <c r="T50" s="144">
        <v>0.0</v>
      </c>
      <c r="U50" s="144">
        <v>0.0</v>
      </c>
      <c r="V50" s="144">
        <v>0.0</v>
      </c>
      <c r="W50" s="144">
        <v>0.0</v>
      </c>
      <c r="X50" s="144">
        <v>0.0</v>
      </c>
      <c r="Y50" s="144">
        <v>0.0</v>
      </c>
      <c r="Z50" s="144">
        <v>0.0</v>
      </c>
      <c r="AA50" s="145">
        <v>0.0</v>
      </c>
      <c r="AB50" s="143">
        <v>0.0</v>
      </c>
      <c r="AC50" s="135"/>
      <c r="AD50" s="135"/>
    </row>
    <row r="51" ht="15.75" customHeight="1">
      <c r="A51" s="139" t="s">
        <v>70</v>
      </c>
      <c r="B51" s="144">
        <v>0.0</v>
      </c>
      <c r="C51" s="144">
        <v>0.0</v>
      </c>
      <c r="D51" s="144">
        <v>0.0</v>
      </c>
      <c r="E51" s="144">
        <v>0.0</v>
      </c>
      <c r="F51" s="144">
        <v>0.0</v>
      </c>
      <c r="G51" s="144">
        <v>0.0</v>
      </c>
      <c r="H51" s="144">
        <v>0.0</v>
      </c>
      <c r="I51" s="144">
        <v>0.0</v>
      </c>
      <c r="J51" s="144">
        <v>0.0</v>
      </c>
      <c r="K51" s="144">
        <v>0.0</v>
      </c>
      <c r="L51" s="144"/>
      <c r="M51" s="144">
        <v>0.0</v>
      </c>
      <c r="N51" s="144">
        <v>0.0</v>
      </c>
      <c r="O51" s="144">
        <v>0.0</v>
      </c>
      <c r="P51" s="144">
        <v>0.0</v>
      </c>
      <c r="Q51" s="144">
        <v>0.0</v>
      </c>
      <c r="R51" s="144">
        <v>0.0</v>
      </c>
      <c r="S51" s="144">
        <v>0.0</v>
      </c>
      <c r="T51" s="144">
        <v>0.0</v>
      </c>
      <c r="U51" s="144">
        <v>0.0</v>
      </c>
      <c r="V51" s="144">
        <v>0.0</v>
      </c>
      <c r="W51" s="144">
        <v>0.0</v>
      </c>
      <c r="X51" s="144">
        <v>0.0</v>
      </c>
      <c r="Y51" s="144">
        <v>0.0</v>
      </c>
      <c r="Z51" s="144">
        <v>0.0</v>
      </c>
      <c r="AA51" s="145">
        <v>0.0</v>
      </c>
      <c r="AB51" s="143">
        <v>0.0</v>
      </c>
      <c r="AC51" s="135"/>
      <c r="AD51" s="135"/>
    </row>
    <row r="52" ht="15.75" customHeight="1">
      <c r="A52" s="139" t="s">
        <v>71</v>
      </c>
      <c r="B52" s="144">
        <v>0.0</v>
      </c>
      <c r="C52" s="144">
        <v>0.0</v>
      </c>
      <c r="D52" s="144">
        <v>0.0</v>
      </c>
      <c r="E52" s="144">
        <v>0.0</v>
      </c>
      <c r="F52" s="144">
        <v>0.0</v>
      </c>
      <c r="G52" s="144">
        <v>0.0</v>
      </c>
      <c r="H52" s="144">
        <v>0.0</v>
      </c>
      <c r="I52" s="144">
        <v>0.0</v>
      </c>
      <c r="J52" s="144">
        <v>0.0</v>
      </c>
      <c r="K52" s="144">
        <v>0.0</v>
      </c>
      <c r="L52" s="144"/>
      <c r="M52" s="144">
        <v>0.0</v>
      </c>
      <c r="N52" s="144">
        <v>0.0</v>
      </c>
      <c r="O52" s="144">
        <v>0.0</v>
      </c>
      <c r="P52" s="144">
        <v>0.0</v>
      </c>
      <c r="Q52" s="144">
        <v>0.0</v>
      </c>
      <c r="R52" s="144">
        <v>0.0</v>
      </c>
      <c r="S52" s="144">
        <v>0.0</v>
      </c>
      <c r="T52" s="144">
        <v>0.0</v>
      </c>
      <c r="U52" s="144">
        <v>0.0</v>
      </c>
      <c r="V52" s="144">
        <v>0.0</v>
      </c>
      <c r="W52" s="144">
        <v>0.0</v>
      </c>
      <c r="X52" s="144">
        <v>0.0</v>
      </c>
      <c r="Y52" s="144">
        <v>0.0</v>
      </c>
      <c r="Z52" s="144">
        <v>0.0</v>
      </c>
      <c r="AA52" s="145">
        <v>0.0</v>
      </c>
      <c r="AB52" s="143">
        <v>0.0</v>
      </c>
      <c r="AC52" s="135"/>
      <c r="AD52" s="135"/>
    </row>
    <row r="53" ht="15.75" customHeight="1">
      <c r="A53" s="139" t="s">
        <v>72</v>
      </c>
      <c r="B53" s="144">
        <v>0.0</v>
      </c>
      <c r="C53" s="144">
        <v>0.0</v>
      </c>
      <c r="D53" s="144">
        <v>0.0</v>
      </c>
      <c r="E53" s="144">
        <v>0.0</v>
      </c>
      <c r="F53" s="144">
        <v>0.0</v>
      </c>
      <c r="G53" s="144">
        <v>0.0</v>
      </c>
      <c r="H53" s="144">
        <v>0.0</v>
      </c>
      <c r="I53" s="144">
        <v>0.0</v>
      </c>
      <c r="J53" s="144">
        <v>0.0</v>
      </c>
      <c r="K53" s="144">
        <v>0.0</v>
      </c>
      <c r="L53" s="144"/>
      <c r="M53" s="144">
        <v>0.0</v>
      </c>
      <c r="N53" s="144">
        <v>0.0</v>
      </c>
      <c r="O53" s="144">
        <v>0.0</v>
      </c>
      <c r="P53" s="144">
        <v>0.0</v>
      </c>
      <c r="Q53" s="144">
        <v>0.0</v>
      </c>
      <c r="R53" s="144">
        <v>0.0</v>
      </c>
      <c r="S53" s="144">
        <v>0.0</v>
      </c>
      <c r="T53" s="144">
        <v>0.0</v>
      </c>
      <c r="U53" s="144">
        <v>0.0</v>
      </c>
      <c r="V53" s="144">
        <v>0.0</v>
      </c>
      <c r="W53" s="144">
        <v>0.0</v>
      </c>
      <c r="X53" s="144">
        <v>0.0</v>
      </c>
      <c r="Y53" s="144">
        <v>0.0</v>
      </c>
      <c r="Z53" s="144">
        <v>0.0</v>
      </c>
      <c r="AA53" s="145">
        <v>0.0</v>
      </c>
      <c r="AB53" s="143">
        <v>0.0</v>
      </c>
      <c r="AC53" s="135"/>
      <c r="AD53" s="135"/>
    </row>
    <row r="54" ht="15.75" customHeight="1">
      <c r="A54" s="139" t="s">
        <v>73</v>
      </c>
      <c r="B54" s="144">
        <v>0.0</v>
      </c>
      <c r="C54" s="144">
        <v>0.0</v>
      </c>
      <c r="D54" s="144">
        <v>0.0</v>
      </c>
      <c r="E54" s="144">
        <v>0.0</v>
      </c>
      <c r="F54" s="144">
        <v>0.0</v>
      </c>
      <c r="G54" s="144">
        <v>0.0</v>
      </c>
      <c r="H54" s="144">
        <v>0.0</v>
      </c>
      <c r="I54" s="144">
        <v>0.0</v>
      </c>
      <c r="J54" s="144">
        <v>0.0</v>
      </c>
      <c r="K54" s="144">
        <v>0.0</v>
      </c>
      <c r="L54" s="144"/>
      <c r="M54" s="144">
        <v>0.0</v>
      </c>
      <c r="N54" s="144">
        <v>0.0</v>
      </c>
      <c r="O54" s="144">
        <v>0.0</v>
      </c>
      <c r="P54" s="144">
        <v>0.0</v>
      </c>
      <c r="Q54" s="144">
        <v>0.0</v>
      </c>
      <c r="R54" s="144">
        <v>0.0</v>
      </c>
      <c r="S54" s="144">
        <v>0.0</v>
      </c>
      <c r="T54" s="144">
        <v>0.0</v>
      </c>
      <c r="U54" s="144">
        <v>0.0</v>
      </c>
      <c r="V54" s="144">
        <v>0.0</v>
      </c>
      <c r="W54" s="144">
        <v>0.0</v>
      </c>
      <c r="X54" s="144">
        <v>0.0</v>
      </c>
      <c r="Y54" s="144">
        <v>0.0</v>
      </c>
      <c r="Z54" s="144">
        <v>0.0</v>
      </c>
      <c r="AA54" s="145">
        <v>0.0</v>
      </c>
      <c r="AB54" s="143">
        <v>0.0</v>
      </c>
      <c r="AC54" s="135"/>
      <c r="AD54" s="135"/>
    </row>
    <row r="55" ht="15.75" customHeight="1">
      <c r="A55" s="139" t="s">
        <v>74</v>
      </c>
      <c r="B55" s="144">
        <v>0.0</v>
      </c>
      <c r="C55" s="144">
        <v>0.0</v>
      </c>
      <c r="D55" s="144">
        <v>0.0</v>
      </c>
      <c r="E55" s="144">
        <v>0.0</v>
      </c>
      <c r="F55" s="144">
        <v>0.0</v>
      </c>
      <c r="G55" s="144">
        <v>0.0</v>
      </c>
      <c r="H55" s="144">
        <v>0.0</v>
      </c>
      <c r="I55" s="144">
        <v>0.0</v>
      </c>
      <c r="J55" s="144">
        <v>0.0</v>
      </c>
      <c r="K55" s="144">
        <v>0.0</v>
      </c>
      <c r="L55" s="144"/>
      <c r="M55" s="144">
        <v>0.0</v>
      </c>
      <c r="N55" s="144">
        <v>0.0</v>
      </c>
      <c r="O55" s="144">
        <v>0.0</v>
      </c>
      <c r="P55" s="144">
        <v>0.0</v>
      </c>
      <c r="Q55" s="144">
        <v>0.0</v>
      </c>
      <c r="R55" s="144">
        <v>0.0</v>
      </c>
      <c r="S55" s="144">
        <v>0.0</v>
      </c>
      <c r="T55" s="144">
        <v>0.0</v>
      </c>
      <c r="U55" s="144">
        <v>0.0</v>
      </c>
      <c r="V55" s="144">
        <v>0.0</v>
      </c>
      <c r="W55" s="144">
        <v>0.0</v>
      </c>
      <c r="X55" s="144">
        <v>0.0</v>
      </c>
      <c r="Y55" s="144">
        <v>0.0</v>
      </c>
      <c r="Z55" s="144">
        <v>0.0</v>
      </c>
      <c r="AA55" s="145">
        <v>0.0</v>
      </c>
      <c r="AB55" s="143">
        <v>0.0</v>
      </c>
      <c r="AC55" s="135"/>
      <c r="AD55" s="135"/>
    </row>
    <row r="56" ht="15.75" customHeight="1">
      <c r="A56" s="139" t="s">
        <v>75</v>
      </c>
      <c r="B56" s="144">
        <v>0.0</v>
      </c>
      <c r="C56" s="144">
        <v>0.0</v>
      </c>
      <c r="D56" s="144">
        <v>0.0</v>
      </c>
      <c r="E56" s="144">
        <v>0.0</v>
      </c>
      <c r="F56" s="144">
        <v>0.0</v>
      </c>
      <c r="G56" s="144">
        <v>0.0</v>
      </c>
      <c r="H56" s="144">
        <v>0.0</v>
      </c>
      <c r="I56" s="144">
        <v>0.0</v>
      </c>
      <c r="J56" s="144">
        <v>0.0</v>
      </c>
      <c r="K56" s="144">
        <v>0.0</v>
      </c>
      <c r="L56" s="144"/>
      <c r="M56" s="144">
        <v>0.0</v>
      </c>
      <c r="N56" s="144">
        <v>0.0</v>
      </c>
      <c r="O56" s="144">
        <v>0.0</v>
      </c>
      <c r="P56" s="144">
        <v>0.0</v>
      </c>
      <c r="Q56" s="144">
        <v>0.0</v>
      </c>
      <c r="R56" s="144">
        <v>0.0</v>
      </c>
      <c r="S56" s="144">
        <v>0.0</v>
      </c>
      <c r="T56" s="144">
        <v>0.0</v>
      </c>
      <c r="U56" s="144">
        <v>0.0</v>
      </c>
      <c r="V56" s="144">
        <v>0.0</v>
      </c>
      <c r="W56" s="144">
        <v>0.0</v>
      </c>
      <c r="X56" s="144">
        <v>0.0</v>
      </c>
      <c r="Y56" s="144">
        <v>0.0</v>
      </c>
      <c r="Z56" s="144">
        <v>0.0</v>
      </c>
      <c r="AA56" s="145">
        <v>0.0</v>
      </c>
      <c r="AB56" s="143">
        <v>0.0</v>
      </c>
      <c r="AC56" s="135"/>
      <c r="AD56" s="135"/>
    </row>
    <row r="57" ht="15.75" customHeight="1">
      <c r="A57" s="139" t="s">
        <v>76</v>
      </c>
      <c r="B57" s="144">
        <v>0.0</v>
      </c>
      <c r="C57" s="144">
        <v>0.0</v>
      </c>
      <c r="D57" s="144">
        <v>0.0</v>
      </c>
      <c r="E57" s="144">
        <v>0.0</v>
      </c>
      <c r="F57" s="144">
        <v>0.0</v>
      </c>
      <c r="G57" s="144">
        <v>37.94</v>
      </c>
      <c r="H57" s="144">
        <v>0.0</v>
      </c>
      <c r="I57" s="144">
        <v>0.0</v>
      </c>
      <c r="J57" s="144">
        <v>1423.13</v>
      </c>
      <c r="K57" s="144">
        <v>0.0</v>
      </c>
      <c r="L57" s="144"/>
      <c r="M57" s="144">
        <v>0.0</v>
      </c>
      <c r="N57" s="144">
        <v>0.0</v>
      </c>
      <c r="O57" s="144">
        <v>0.0</v>
      </c>
      <c r="P57" s="144">
        <v>0.0</v>
      </c>
      <c r="Q57" s="144">
        <v>0.0</v>
      </c>
      <c r="R57" s="144">
        <v>799.5</v>
      </c>
      <c r="S57" s="144">
        <v>0.0</v>
      </c>
      <c r="T57" s="144">
        <v>37.94</v>
      </c>
      <c r="U57" s="144">
        <v>0.0</v>
      </c>
      <c r="V57" s="144">
        <v>0.0</v>
      </c>
      <c r="W57" s="144">
        <v>0.0</v>
      </c>
      <c r="X57" s="144">
        <v>0.0</v>
      </c>
      <c r="Y57" s="144">
        <v>0.0</v>
      </c>
      <c r="Z57" s="144">
        <v>2001.18</v>
      </c>
      <c r="AA57" s="145">
        <v>4299.69</v>
      </c>
      <c r="AB57" s="143">
        <v>0.0</v>
      </c>
      <c r="AC57" s="135"/>
      <c r="AD57" s="135"/>
    </row>
    <row r="58" ht="15.75" customHeight="1">
      <c r="A58" s="139" t="s">
        <v>77</v>
      </c>
      <c r="B58" s="144">
        <v>0.0</v>
      </c>
      <c r="C58" s="144">
        <v>0.0</v>
      </c>
      <c r="D58" s="144">
        <v>0.0</v>
      </c>
      <c r="E58" s="144">
        <v>0.0</v>
      </c>
      <c r="F58" s="144">
        <v>0.0</v>
      </c>
      <c r="G58" s="144">
        <v>0.0</v>
      </c>
      <c r="H58" s="144">
        <v>0.0</v>
      </c>
      <c r="I58" s="144">
        <v>0.0</v>
      </c>
      <c r="J58" s="144">
        <v>0.0</v>
      </c>
      <c r="K58" s="144">
        <v>0.0</v>
      </c>
      <c r="L58" s="144"/>
      <c r="M58" s="144">
        <v>0.0</v>
      </c>
      <c r="N58" s="144">
        <v>0.0</v>
      </c>
      <c r="O58" s="144">
        <v>0.0</v>
      </c>
      <c r="P58" s="144">
        <v>0.0</v>
      </c>
      <c r="Q58" s="144">
        <v>0.0</v>
      </c>
      <c r="R58" s="144">
        <v>0.0</v>
      </c>
      <c r="S58" s="144">
        <v>0.0</v>
      </c>
      <c r="T58" s="144">
        <v>0.0</v>
      </c>
      <c r="U58" s="144">
        <v>0.0</v>
      </c>
      <c r="V58" s="144">
        <v>0.0</v>
      </c>
      <c r="W58" s="144">
        <v>0.0</v>
      </c>
      <c r="X58" s="144">
        <v>0.0</v>
      </c>
      <c r="Y58" s="144">
        <v>0.0</v>
      </c>
      <c r="Z58" s="144">
        <v>3513.5</v>
      </c>
      <c r="AA58" s="145">
        <v>3513.5</v>
      </c>
      <c r="AB58" s="143">
        <v>0.0</v>
      </c>
      <c r="AC58" s="135"/>
      <c r="AD58" s="135"/>
    </row>
    <row r="59" ht="15.75" customHeight="1">
      <c r="A59" s="139" t="s">
        <v>78</v>
      </c>
      <c r="B59" s="144">
        <v>0.0</v>
      </c>
      <c r="C59" s="144">
        <v>0.0</v>
      </c>
      <c r="D59" s="144">
        <v>0.0</v>
      </c>
      <c r="E59" s="144">
        <v>0.0</v>
      </c>
      <c r="F59" s="144">
        <v>0.0</v>
      </c>
      <c r="G59" s="144">
        <v>0.0</v>
      </c>
      <c r="H59" s="144">
        <v>0.0</v>
      </c>
      <c r="I59" s="144">
        <v>0.0</v>
      </c>
      <c r="J59" s="144">
        <v>0.0</v>
      </c>
      <c r="K59" s="144">
        <v>0.0</v>
      </c>
      <c r="L59" s="144"/>
      <c r="M59" s="144">
        <v>0.0</v>
      </c>
      <c r="N59" s="144">
        <v>0.0</v>
      </c>
      <c r="O59" s="144">
        <v>0.0</v>
      </c>
      <c r="P59" s="144">
        <v>0.0</v>
      </c>
      <c r="Q59" s="144">
        <v>0.0</v>
      </c>
      <c r="R59" s="144">
        <v>0.0</v>
      </c>
      <c r="S59" s="144">
        <v>0.0</v>
      </c>
      <c r="T59" s="144">
        <v>0.0</v>
      </c>
      <c r="U59" s="144">
        <v>0.0</v>
      </c>
      <c r="V59" s="144">
        <v>0.0</v>
      </c>
      <c r="W59" s="144">
        <v>0.0</v>
      </c>
      <c r="X59" s="144">
        <v>0.0</v>
      </c>
      <c r="Y59" s="144">
        <v>0.0</v>
      </c>
      <c r="Z59" s="144">
        <v>2231.14</v>
      </c>
      <c r="AA59" s="145">
        <v>2231.14</v>
      </c>
      <c r="AB59" s="143">
        <v>0.0</v>
      </c>
      <c r="AC59" s="135"/>
      <c r="AD59" s="135"/>
    </row>
    <row r="60" ht="15.75" customHeight="1">
      <c r="A60" s="139" t="s">
        <v>79</v>
      </c>
      <c r="B60" s="144">
        <v>0.0</v>
      </c>
      <c r="C60" s="144">
        <v>0.0</v>
      </c>
      <c r="D60" s="144">
        <v>0.0</v>
      </c>
      <c r="E60" s="144">
        <v>0.0</v>
      </c>
      <c r="F60" s="144">
        <v>0.0</v>
      </c>
      <c r="G60" s="144">
        <v>1034.48</v>
      </c>
      <c r="H60" s="144">
        <v>0.0</v>
      </c>
      <c r="I60" s="144">
        <v>0.0</v>
      </c>
      <c r="J60" s="144">
        <v>0.0</v>
      </c>
      <c r="K60" s="144">
        <v>0.0</v>
      </c>
      <c r="L60" s="144"/>
      <c r="M60" s="144">
        <v>0.0</v>
      </c>
      <c r="N60" s="144">
        <v>0.0</v>
      </c>
      <c r="O60" s="144">
        <v>0.0</v>
      </c>
      <c r="P60" s="144">
        <v>0.0</v>
      </c>
      <c r="Q60" s="144">
        <v>0.0</v>
      </c>
      <c r="R60" s="144">
        <v>0.0</v>
      </c>
      <c r="S60" s="144">
        <v>0.0</v>
      </c>
      <c r="T60" s="144">
        <v>950.0</v>
      </c>
      <c r="U60" s="144">
        <v>0.0</v>
      </c>
      <c r="V60" s="144">
        <v>0.0</v>
      </c>
      <c r="W60" s="144">
        <v>0.0</v>
      </c>
      <c r="X60" s="144">
        <v>0.0</v>
      </c>
      <c r="Y60" s="144">
        <v>0.0</v>
      </c>
      <c r="Z60" s="144">
        <v>0.0</v>
      </c>
      <c r="AA60" s="145">
        <v>1984.48</v>
      </c>
      <c r="AB60" s="143">
        <v>0.0</v>
      </c>
      <c r="AC60" s="135"/>
      <c r="AD60" s="135"/>
    </row>
    <row r="61" ht="15.75" customHeight="1">
      <c r="A61" s="139" t="s">
        <v>80</v>
      </c>
      <c r="B61" s="144">
        <v>0.0</v>
      </c>
      <c r="C61" s="144">
        <v>0.0</v>
      </c>
      <c r="D61" s="144">
        <v>0.0</v>
      </c>
      <c r="E61" s="144">
        <v>0.0</v>
      </c>
      <c r="F61" s="144">
        <v>0.0</v>
      </c>
      <c r="G61" s="144">
        <v>0.0</v>
      </c>
      <c r="H61" s="144">
        <v>0.0</v>
      </c>
      <c r="I61" s="144">
        <v>0.0</v>
      </c>
      <c r="J61" s="144">
        <v>520.0</v>
      </c>
      <c r="K61" s="144">
        <v>0.0</v>
      </c>
      <c r="L61" s="144"/>
      <c r="M61" s="144">
        <v>0.0</v>
      </c>
      <c r="N61" s="144">
        <v>0.0</v>
      </c>
      <c r="O61" s="144">
        <v>0.0</v>
      </c>
      <c r="P61" s="144">
        <v>0.0</v>
      </c>
      <c r="Q61" s="144">
        <v>0.0</v>
      </c>
      <c r="R61" s="144">
        <v>0.0</v>
      </c>
      <c r="S61" s="144">
        <v>0.0</v>
      </c>
      <c r="T61" s="144">
        <v>0.0</v>
      </c>
      <c r="U61" s="144">
        <v>0.0</v>
      </c>
      <c r="V61" s="144">
        <v>0.0</v>
      </c>
      <c r="W61" s="144">
        <v>0.0</v>
      </c>
      <c r="X61" s="144">
        <v>0.0</v>
      </c>
      <c r="Y61" s="144">
        <v>0.0</v>
      </c>
      <c r="Z61" s="144">
        <v>1715.93</v>
      </c>
      <c r="AA61" s="145">
        <v>2235.93</v>
      </c>
      <c r="AB61" s="143">
        <v>0.0</v>
      </c>
      <c r="AC61" s="135"/>
      <c r="AD61" s="135"/>
    </row>
    <row r="62" ht="15.75" customHeight="1">
      <c r="A62" s="139" t="s">
        <v>81</v>
      </c>
      <c r="B62" s="144">
        <v>0.0</v>
      </c>
      <c r="C62" s="144">
        <v>0.0</v>
      </c>
      <c r="D62" s="144">
        <v>0.0</v>
      </c>
      <c r="E62" s="144">
        <v>0.0</v>
      </c>
      <c r="F62" s="144">
        <v>0.0</v>
      </c>
      <c r="G62" s="144">
        <v>2860.0</v>
      </c>
      <c r="H62" s="144">
        <v>0.0</v>
      </c>
      <c r="I62" s="144">
        <v>0.0</v>
      </c>
      <c r="J62" s="144">
        <v>0.0</v>
      </c>
      <c r="K62" s="144">
        <v>0.0</v>
      </c>
      <c r="L62" s="144"/>
      <c r="M62" s="144">
        <v>0.0</v>
      </c>
      <c r="N62" s="144">
        <v>0.0</v>
      </c>
      <c r="O62" s="144">
        <v>0.0</v>
      </c>
      <c r="P62" s="144">
        <v>0.0</v>
      </c>
      <c r="Q62" s="144">
        <v>0.0</v>
      </c>
      <c r="R62" s="144">
        <v>0.0</v>
      </c>
      <c r="S62" s="144">
        <v>0.0</v>
      </c>
      <c r="T62" s="144">
        <v>0.0</v>
      </c>
      <c r="U62" s="144">
        <v>0.0</v>
      </c>
      <c r="V62" s="144">
        <v>0.0</v>
      </c>
      <c r="W62" s="144">
        <v>0.0</v>
      </c>
      <c r="X62" s="144">
        <v>0.0</v>
      </c>
      <c r="Y62" s="144">
        <v>0.0</v>
      </c>
      <c r="Z62" s="144">
        <v>0.0</v>
      </c>
      <c r="AA62" s="145">
        <v>2860.0</v>
      </c>
      <c r="AB62" s="143">
        <v>0.0</v>
      </c>
      <c r="AC62" s="135"/>
      <c r="AD62" s="135"/>
    </row>
    <row r="63" ht="15.75" customHeight="1">
      <c r="A63" s="139" t="s">
        <v>82</v>
      </c>
      <c r="B63" s="144">
        <v>1010.0</v>
      </c>
      <c r="C63" s="144">
        <v>1010.0</v>
      </c>
      <c r="D63" s="144">
        <v>1010.0</v>
      </c>
      <c r="E63" s="144">
        <v>0.0</v>
      </c>
      <c r="F63" s="144">
        <v>1006.36</v>
      </c>
      <c r="G63" s="144">
        <v>1010.0</v>
      </c>
      <c r="H63" s="144">
        <v>1010.0</v>
      </c>
      <c r="I63" s="144">
        <v>1010.0</v>
      </c>
      <c r="J63" s="144">
        <v>1010.0</v>
      </c>
      <c r="K63" s="144">
        <v>1010.0</v>
      </c>
      <c r="L63" s="144"/>
      <c r="M63" s="144">
        <v>1010.0</v>
      </c>
      <c r="N63" s="144">
        <v>1010.0</v>
      </c>
      <c r="O63" s="144">
        <v>1010.0</v>
      </c>
      <c r="P63" s="144">
        <v>1010.0</v>
      </c>
      <c r="Q63" s="144">
        <v>1010.0</v>
      </c>
      <c r="R63" s="144">
        <v>1010.0</v>
      </c>
      <c r="S63" s="144">
        <v>1010.0</v>
      </c>
      <c r="T63" s="144">
        <v>1010.0</v>
      </c>
      <c r="U63" s="144">
        <v>1010.0</v>
      </c>
      <c r="V63" s="144">
        <v>1010.0</v>
      </c>
      <c r="W63" s="144">
        <v>1010.0</v>
      </c>
      <c r="X63" s="144">
        <v>1010.0</v>
      </c>
      <c r="Y63" s="144">
        <v>1010.0</v>
      </c>
      <c r="Z63" s="144">
        <v>1738.38</v>
      </c>
      <c r="AA63" s="145">
        <v>23954.74</v>
      </c>
      <c r="AB63" s="143">
        <v>0.01</v>
      </c>
      <c r="AC63" s="135"/>
      <c r="AD63" s="135"/>
    </row>
    <row r="64" ht="15.75" customHeight="1">
      <c r="A64" s="139" t="s">
        <v>83</v>
      </c>
      <c r="B64" s="144">
        <v>0.0</v>
      </c>
      <c r="C64" s="144">
        <v>0.0</v>
      </c>
      <c r="D64" s="144">
        <v>0.0</v>
      </c>
      <c r="E64" s="144">
        <v>0.0</v>
      </c>
      <c r="F64" s="144">
        <v>0.0</v>
      </c>
      <c r="G64" s="144">
        <v>0.0</v>
      </c>
      <c r="H64" s="144">
        <v>0.0</v>
      </c>
      <c r="I64" s="144">
        <v>0.0</v>
      </c>
      <c r="J64" s="144">
        <v>0.0</v>
      </c>
      <c r="K64" s="144">
        <v>0.0</v>
      </c>
      <c r="L64" s="144"/>
      <c r="M64" s="144">
        <v>0.0</v>
      </c>
      <c r="N64" s="144">
        <v>0.0</v>
      </c>
      <c r="O64" s="144">
        <v>0.0</v>
      </c>
      <c r="P64" s="144">
        <v>0.0</v>
      </c>
      <c r="Q64" s="144">
        <v>0.0</v>
      </c>
      <c r="R64" s="144">
        <v>0.0</v>
      </c>
      <c r="S64" s="144">
        <v>0.0</v>
      </c>
      <c r="T64" s="144">
        <v>0.0</v>
      </c>
      <c r="U64" s="144">
        <v>0.0</v>
      </c>
      <c r="V64" s="144">
        <v>0.0</v>
      </c>
      <c r="W64" s="144">
        <v>0.0</v>
      </c>
      <c r="X64" s="144">
        <v>0.0</v>
      </c>
      <c r="Y64" s="144">
        <v>0.0</v>
      </c>
      <c r="Z64" s="144">
        <v>8196.26</v>
      </c>
      <c r="AA64" s="145">
        <v>8196.26</v>
      </c>
      <c r="AB64" s="143">
        <v>0.0</v>
      </c>
      <c r="AC64" s="135"/>
      <c r="AD64" s="135"/>
    </row>
    <row r="65" ht="15.75" customHeight="1">
      <c r="A65" s="139" t="s">
        <v>84</v>
      </c>
      <c r="B65" s="144">
        <v>0.0</v>
      </c>
      <c r="C65" s="144">
        <v>0.0</v>
      </c>
      <c r="D65" s="144">
        <v>0.0</v>
      </c>
      <c r="E65" s="144">
        <v>0.0</v>
      </c>
      <c r="F65" s="144">
        <v>0.0</v>
      </c>
      <c r="G65" s="144">
        <v>0.0</v>
      </c>
      <c r="H65" s="144">
        <v>0.0</v>
      </c>
      <c r="I65" s="144">
        <v>0.0</v>
      </c>
      <c r="J65" s="144">
        <v>0.0</v>
      </c>
      <c r="K65" s="144">
        <v>0.0</v>
      </c>
      <c r="L65" s="144"/>
      <c r="M65" s="144">
        <v>0.0</v>
      </c>
      <c r="N65" s="144">
        <v>0.0</v>
      </c>
      <c r="O65" s="144">
        <v>0.0</v>
      </c>
      <c r="P65" s="144">
        <v>0.0</v>
      </c>
      <c r="Q65" s="144">
        <v>0.0</v>
      </c>
      <c r="R65" s="144">
        <v>0.0</v>
      </c>
      <c r="S65" s="144">
        <v>0.0</v>
      </c>
      <c r="T65" s="144">
        <v>0.0</v>
      </c>
      <c r="U65" s="144">
        <v>0.0</v>
      </c>
      <c r="V65" s="144">
        <v>0.0</v>
      </c>
      <c r="W65" s="144">
        <v>0.0</v>
      </c>
      <c r="X65" s="144">
        <v>0.0</v>
      </c>
      <c r="Y65" s="144">
        <v>0.0</v>
      </c>
      <c r="Z65" s="144">
        <v>505000.0</v>
      </c>
      <c r="AA65" s="145">
        <v>505000.0</v>
      </c>
      <c r="AB65" s="143">
        <v>0.16</v>
      </c>
      <c r="AC65" s="135"/>
      <c r="AD65" s="135"/>
    </row>
    <row r="66" ht="15.75" customHeight="1">
      <c r="A66" s="139" t="s">
        <v>85</v>
      </c>
      <c r="B66" s="144">
        <v>5384.85</v>
      </c>
      <c r="C66" s="144">
        <v>0.0</v>
      </c>
      <c r="D66" s="144">
        <v>3557.98</v>
      </c>
      <c r="E66" s="144">
        <v>0.0</v>
      </c>
      <c r="F66" s="144">
        <v>1115.21</v>
      </c>
      <c r="G66" s="144">
        <v>2216.92</v>
      </c>
      <c r="H66" s="144">
        <v>2201.2</v>
      </c>
      <c r="I66" s="144">
        <v>2194.82</v>
      </c>
      <c r="J66" s="144">
        <v>12015.91</v>
      </c>
      <c r="K66" s="144">
        <v>5366.3</v>
      </c>
      <c r="L66" s="144"/>
      <c r="M66" s="144">
        <v>1114.38</v>
      </c>
      <c r="N66" s="144">
        <v>4256.94</v>
      </c>
      <c r="O66" s="144">
        <v>0.0</v>
      </c>
      <c r="P66" s="144">
        <v>4759.85</v>
      </c>
      <c r="Q66" s="144">
        <v>1816.68</v>
      </c>
      <c r="R66" s="144">
        <v>22395.93</v>
      </c>
      <c r="S66" s="144">
        <v>2225.67</v>
      </c>
      <c r="T66" s="144">
        <v>4418.4</v>
      </c>
      <c r="U66" s="144">
        <v>5665.2</v>
      </c>
      <c r="V66" s="144">
        <v>3390.87</v>
      </c>
      <c r="W66" s="144">
        <v>2205.9</v>
      </c>
      <c r="X66" s="144">
        <v>6517.49</v>
      </c>
      <c r="Y66" s="144">
        <v>1850.38</v>
      </c>
      <c r="Z66" s="144">
        <v>29651.46</v>
      </c>
      <c r="AA66" s="145">
        <v>124322.34</v>
      </c>
      <c r="AB66" s="143">
        <v>0.04</v>
      </c>
      <c r="AC66" s="135"/>
      <c r="AD66" s="135"/>
    </row>
    <row r="67" ht="15.75" customHeight="1">
      <c r="A67" s="139" t="s">
        <v>86</v>
      </c>
      <c r="B67" s="144">
        <v>2330.64</v>
      </c>
      <c r="C67" s="144">
        <v>0.0</v>
      </c>
      <c r="D67" s="144">
        <v>963.5</v>
      </c>
      <c r="E67" s="144">
        <v>0.0</v>
      </c>
      <c r="F67" s="144">
        <v>507.46</v>
      </c>
      <c r="G67" s="144">
        <v>997.77</v>
      </c>
      <c r="H67" s="144">
        <v>970.68</v>
      </c>
      <c r="I67" s="144">
        <v>969.69</v>
      </c>
      <c r="J67" s="144">
        <v>6573.44</v>
      </c>
      <c r="K67" s="144">
        <v>2975.71</v>
      </c>
      <c r="L67" s="144"/>
      <c r="M67" s="144">
        <v>485.2</v>
      </c>
      <c r="N67" s="144">
        <v>1903.99</v>
      </c>
      <c r="O67" s="144">
        <v>0.0</v>
      </c>
      <c r="P67" s="144">
        <v>1872.93</v>
      </c>
      <c r="Q67" s="144">
        <v>958.31</v>
      </c>
      <c r="R67" s="144">
        <v>10657.8</v>
      </c>
      <c r="S67" s="144">
        <v>1008.84</v>
      </c>
      <c r="T67" s="144">
        <v>1943.79</v>
      </c>
      <c r="U67" s="144">
        <v>2353.98</v>
      </c>
      <c r="V67" s="144">
        <v>2073.84</v>
      </c>
      <c r="W67" s="144">
        <v>975.85</v>
      </c>
      <c r="X67" s="144">
        <v>2860.68</v>
      </c>
      <c r="Y67" s="144">
        <v>830.98</v>
      </c>
      <c r="Z67" s="144">
        <v>16973.31</v>
      </c>
      <c r="AA67" s="145">
        <v>61188.39</v>
      </c>
      <c r="AB67" s="143">
        <v>0.02</v>
      </c>
      <c r="AC67" s="135"/>
      <c r="AD67" s="135"/>
    </row>
    <row r="68" ht="15.75" customHeight="1">
      <c r="A68" s="139" t="s">
        <v>87</v>
      </c>
      <c r="B68" s="144">
        <v>3930.4</v>
      </c>
      <c r="C68" s="144">
        <v>0.0</v>
      </c>
      <c r="D68" s="144">
        <v>1624.84</v>
      </c>
      <c r="E68" s="144">
        <v>0.0</v>
      </c>
      <c r="F68" s="144">
        <v>855.78</v>
      </c>
      <c r="G68" s="144">
        <v>1682.63</v>
      </c>
      <c r="H68" s="144">
        <v>1636.95</v>
      </c>
      <c r="I68" s="144">
        <v>1635.29</v>
      </c>
      <c r="J68" s="144">
        <v>11952.74</v>
      </c>
      <c r="K68" s="144">
        <v>5044.61</v>
      </c>
      <c r="L68" s="144"/>
      <c r="M68" s="144">
        <v>818.24</v>
      </c>
      <c r="N68" s="144">
        <v>3210.91</v>
      </c>
      <c r="O68" s="144">
        <v>0.0</v>
      </c>
      <c r="P68" s="144">
        <v>3158.51</v>
      </c>
      <c r="Q68" s="144">
        <v>1616.1</v>
      </c>
      <c r="R68" s="144">
        <v>17584.74</v>
      </c>
      <c r="S68" s="144">
        <v>1701.3</v>
      </c>
      <c r="T68" s="144">
        <v>3278.01</v>
      </c>
      <c r="U68" s="144">
        <v>3969.75</v>
      </c>
      <c r="V68" s="144">
        <v>2709.02</v>
      </c>
      <c r="W68" s="144">
        <v>1645.67</v>
      </c>
      <c r="X68" s="144">
        <v>4850.9</v>
      </c>
      <c r="Y68" s="144">
        <v>1401.36</v>
      </c>
      <c r="Z68" s="144">
        <v>30768.97</v>
      </c>
      <c r="AA68" s="145">
        <v>105076.72</v>
      </c>
      <c r="AB68" s="143">
        <v>0.03</v>
      </c>
      <c r="AC68" s="135"/>
      <c r="AD68" s="135"/>
    </row>
    <row r="69" ht="15.75" customHeight="1">
      <c r="A69" s="139" t="s">
        <v>88</v>
      </c>
      <c r="B69" s="144">
        <v>2373.48</v>
      </c>
      <c r="C69" s="144">
        <v>0.0</v>
      </c>
      <c r="D69" s="144">
        <v>938.68</v>
      </c>
      <c r="E69" s="144">
        <v>0.0</v>
      </c>
      <c r="F69" s="144">
        <v>541.0</v>
      </c>
      <c r="G69" s="144">
        <v>1027.4</v>
      </c>
      <c r="H69" s="144">
        <v>1053.31</v>
      </c>
      <c r="I69" s="144">
        <v>1014.03</v>
      </c>
      <c r="J69" s="144">
        <v>3510.0</v>
      </c>
      <c r="K69" s="144">
        <v>3027.87</v>
      </c>
      <c r="L69" s="144"/>
      <c r="M69" s="144">
        <v>449.59</v>
      </c>
      <c r="N69" s="144">
        <v>1843.41</v>
      </c>
      <c r="O69" s="144">
        <v>491.36</v>
      </c>
      <c r="P69" s="144">
        <v>1068.87</v>
      </c>
      <c r="Q69" s="144">
        <v>960.53</v>
      </c>
      <c r="R69" s="144">
        <v>9167.67</v>
      </c>
      <c r="S69" s="144">
        <v>1059.22</v>
      </c>
      <c r="T69" s="144">
        <v>1914.29</v>
      </c>
      <c r="U69" s="144">
        <v>2020.17</v>
      </c>
      <c r="V69" s="144">
        <v>1689.13</v>
      </c>
      <c r="W69" s="144">
        <v>1080.49</v>
      </c>
      <c r="X69" s="144">
        <v>2948.66</v>
      </c>
      <c r="Y69" s="144">
        <v>739.36</v>
      </c>
      <c r="Z69" s="144">
        <v>18994.37</v>
      </c>
      <c r="AA69" s="145">
        <v>57912.89</v>
      </c>
      <c r="AB69" s="143">
        <v>0.02</v>
      </c>
      <c r="AC69" s="135"/>
      <c r="AD69" s="135"/>
    </row>
    <row r="70" ht="15.75" customHeight="1">
      <c r="A70" s="139" t="s">
        <v>89</v>
      </c>
      <c r="B70" s="144">
        <v>280.0</v>
      </c>
      <c r="C70" s="144">
        <v>350.0</v>
      </c>
      <c r="D70" s="144">
        <v>280.0</v>
      </c>
      <c r="E70" s="144">
        <v>18950.0</v>
      </c>
      <c r="F70" s="144"/>
      <c r="G70" s="144">
        <v>4200.0</v>
      </c>
      <c r="H70" s="144"/>
      <c r="I70" s="144"/>
      <c r="J70" s="144"/>
      <c r="K70" s="144">
        <v>1120.0</v>
      </c>
      <c r="L70" s="144"/>
      <c r="M70" s="144"/>
      <c r="N70" s="144">
        <v>280.0</v>
      </c>
      <c r="O70" s="144"/>
      <c r="P70" s="144"/>
      <c r="Q70" s="144"/>
      <c r="R70" s="144"/>
      <c r="S70" s="144"/>
      <c r="T70" s="144">
        <v>840.0</v>
      </c>
      <c r="U70" s="144"/>
      <c r="V70" s="144"/>
      <c r="W70" s="144">
        <v>2800.0</v>
      </c>
      <c r="X70" s="144">
        <v>8680.0</v>
      </c>
      <c r="Y70" s="144"/>
      <c r="Z70" s="144"/>
      <c r="AA70" s="145">
        <v>37780.0</v>
      </c>
      <c r="AB70" s="143">
        <v>0.01</v>
      </c>
      <c r="AC70" s="135"/>
      <c r="AD70" s="135"/>
    </row>
    <row r="71" ht="15.75" customHeight="1">
      <c r="A71" s="139" t="s">
        <v>91</v>
      </c>
      <c r="B71" s="144">
        <v>0.0</v>
      </c>
      <c r="C71" s="144">
        <v>0.0</v>
      </c>
      <c r="D71" s="144">
        <v>0.0</v>
      </c>
      <c r="E71" s="144">
        <v>0.0</v>
      </c>
      <c r="F71" s="144">
        <v>0.0</v>
      </c>
      <c r="G71" s="144">
        <v>0.0</v>
      </c>
      <c r="H71" s="144">
        <v>0.0</v>
      </c>
      <c r="I71" s="144">
        <v>0.0</v>
      </c>
      <c r="J71" s="144">
        <v>0.0</v>
      </c>
      <c r="K71" s="144">
        <v>25.86</v>
      </c>
      <c r="L71" s="144"/>
      <c r="M71" s="144">
        <v>0.0</v>
      </c>
      <c r="N71" s="144">
        <v>0.0</v>
      </c>
      <c r="O71" s="144">
        <v>0.0</v>
      </c>
      <c r="P71" s="144">
        <v>0.0</v>
      </c>
      <c r="Q71" s="144">
        <v>0.0</v>
      </c>
      <c r="R71" s="144">
        <v>0.0</v>
      </c>
      <c r="S71" s="144">
        <v>0.0</v>
      </c>
      <c r="T71" s="144">
        <v>0.0</v>
      </c>
      <c r="U71" s="144">
        <v>0.0</v>
      </c>
      <c r="V71" s="144">
        <v>0.0</v>
      </c>
      <c r="W71" s="144">
        <v>0.0</v>
      </c>
      <c r="X71" s="144">
        <v>0.0</v>
      </c>
      <c r="Y71" s="144">
        <v>0.0</v>
      </c>
      <c r="Z71" s="144">
        <v>390.86</v>
      </c>
      <c r="AA71" s="145">
        <v>416.72</v>
      </c>
      <c r="AB71" s="143">
        <v>0.0</v>
      </c>
      <c r="AC71" s="135"/>
      <c r="AD71" s="135"/>
    </row>
    <row r="72" ht="15.75" customHeight="1">
      <c r="A72" s="139" t="s">
        <v>92</v>
      </c>
      <c r="B72" s="144">
        <v>429.5</v>
      </c>
      <c r="C72" s="144">
        <v>0.0</v>
      </c>
      <c r="D72" s="144">
        <v>0.0</v>
      </c>
      <c r="E72" s="144">
        <v>0.0</v>
      </c>
      <c r="F72" s="144">
        <v>40.0</v>
      </c>
      <c r="G72" s="144">
        <v>350.0</v>
      </c>
      <c r="H72" s="144">
        <v>232.5</v>
      </c>
      <c r="I72" s="144">
        <v>23.0</v>
      </c>
      <c r="J72" s="144">
        <v>0.0</v>
      </c>
      <c r="K72" s="144">
        <v>992.0</v>
      </c>
      <c r="L72" s="144"/>
      <c r="M72" s="144">
        <v>0.0</v>
      </c>
      <c r="N72" s="144">
        <v>350.0</v>
      </c>
      <c r="O72" s="144">
        <v>0.0</v>
      </c>
      <c r="P72" s="144">
        <v>350.0</v>
      </c>
      <c r="Q72" s="144">
        <v>0.0</v>
      </c>
      <c r="R72" s="144">
        <v>0.0</v>
      </c>
      <c r="S72" s="144">
        <v>0.0</v>
      </c>
      <c r="T72" s="144">
        <v>350.0</v>
      </c>
      <c r="U72" s="144">
        <v>795.0</v>
      </c>
      <c r="V72" s="144">
        <v>350.0</v>
      </c>
      <c r="W72" s="144">
        <v>350.0</v>
      </c>
      <c r="X72" s="144">
        <v>361.98</v>
      </c>
      <c r="Y72" s="144">
        <v>0.0</v>
      </c>
      <c r="Z72" s="144">
        <v>5324.27</v>
      </c>
      <c r="AA72" s="145">
        <v>10298.25</v>
      </c>
      <c r="AB72" s="154">
        <v>0.0</v>
      </c>
      <c r="AC72" s="135"/>
      <c r="AD72" s="135"/>
    </row>
    <row r="73" ht="15.75" customHeight="1">
      <c r="A73" s="146" t="s">
        <v>93</v>
      </c>
      <c r="B73" s="147">
        <v>215077.53</v>
      </c>
      <c r="C73" s="147">
        <v>1360.0</v>
      </c>
      <c r="D73" s="147">
        <v>207161.56</v>
      </c>
      <c r="E73" s="147">
        <v>18950.0</v>
      </c>
      <c r="F73" s="147">
        <v>33111.88</v>
      </c>
      <c r="G73" s="147">
        <v>39193.08</v>
      </c>
      <c r="H73" s="147">
        <v>34701.32</v>
      </c>
      <c r="I73" s="147">
        <v>30277.16</v>
      </c>
      <c r="J73" s="147">
        <v>219916.19</v>
      </c>
      <c r="K73" s="147">
        <v>110508.19</v>
      </c>
      <c r="L73" s="147" t="s">
        <v>56</v>
      </c>
      <c r="M73" s="147">
        <v>14119.07</v>
      </c>
      <c r="N73" s="147">
        <v>57392.42</v>
      </c>
      <c r="O73" s="147">
        <v>13633.01</v>
      </c>
      <c r="P73" s="147">
        <v>37713.56</v>
      </c>
      <c r="Q73" s="147">
        <v>28332.52</v>
      </c>
      <c r="R73" s="147">
        <v>270261.39</v>
      </c>
      <c r="S73" s="147">
        <v>33479.79</v>
      </c>
      <c r="T73" s="147">
        <v>60364.66</v>
      </c>
      <c r="U73" s="147">
        <v>65988.54</v>
      </c>
      <c r="V73" s="147">
        <v>47871.46</v>
      </c>
      <c r="W73" s="147">
        <v>34808.96</v>
      </c>
      <c r="X73" s="147">
        <v>106644.42</v>
      </c>
      <c r="Y73" s="147">
        <v>21999.68</v>
      </c>
      <c r="Z73" s="147">
        <v>1452141.73</v>
      </c>
      <c r="AA73" s="147">
        <v>3155008.12</v>
      </c>
      <c r="AB73" s="146">
        <v>1.0</v>
      </c>
      <c r="AC73" s="135"/>
      <c r="AD73" s="135"/>
    </row>
    <row r="74" ht="15.75" customHeight="1">
      <c r="A74" s="139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  <c r="AB74" s="139"/>
      <c r="AC74" s="135"/>
      <c r="AD74" s="135"/>
    </row>
    <row r="75" ht="15.75" customHeight="1">
      <c r="A75" s="146" t="s">
        <v>5</v>
      </c>
      <c r="B75" s="147">
        <v>1489201.77</v>
      </c>
      <c r="C75" s="147">
        <v>51982.24</v>
      </c>
      <c r="D75" s="147">
        <v>137143.61</v>
      </c>
      <c r="E75" s="147">
        <v>48928.0</v>
      </c>
      <c r="F75" s="147">
        <v>5135.55</v>
      </c>
      <c r="G75" s="147">
        <v>428457.77</v>
      </c>
      <c r="H75" s="147">
        <v>231252.13</v>
      </c>
      <c r="I75" s="147">
        <v>17071.11</v>
      </c>
      <c r="J75" s="147">
        <v>1954102.76</v>
      </c>
      <c r="K75" s="147">
        <v>253250.11</v>
      </c>
      <c r="L75" s="147" t="s">
        <v>56</v>
      </c>
      <c r="M75" s="147">
        <v>26876.62</v>
      </c>
      <c r="N75" s="147">
        <v>163113.64</v>
      </c>
      <c r="O75" s="147">
        <v>20720.44</v>
      </c>
      <c r="P75" s="147">
        <v>56374.38</v>
      </c>
      <c r="Q75" s="147">
        <v>7667.48</v>
      </c>
      <c r="R75" s="147">
        <v>-214322.6</v>
      </c>
      <c r="S75" s="147">
        <v>52501.67</v>
      </c>
      <c r="T75" s="147">
        <v>101787.93</v>
      </c>
      <c r="U75" s="147">
        <v>103981.22</v>
      </c>
      <c r="V75" s="147">
        <v>-12871.48</v>
      </c>
      <c r="W75" s="147">
        <v>102049.04</v>
      </c>
      <c r="X75" s="147">
        <v>665621.96</v>
      </c>
      <c r="Y75" s="147">
        <v>-21999.68</v>
      </c>
      <c r="Z75" s="147">
        <v>-1424736.38</v>
      </c>
      <c r="AA75" s="147">
        <v>4243289.3</v>
      </c>
      <c r="AB75" s="139"/>
      <c r="AC75" s="135"/>
      <c r="AD75" s="135"/>
    </row>
    <row r="76" ht="15.7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6"/>
      <c r="X76" s="135"/>
      <c r="Y76" s="135"/>
      <c r="Z76" s="135"/>
      <c r="AA76" s="135"/>
      <c r="AB76" s="135"/>
      <c r="AC76" s="135"/>
      <c r="AD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6"/>
      <c r="X77" s="135"/>
      <c r="Y77" s="135"/>
      <c r="Z77" s="135"/>
      <c r="AA77" s="135"/>
      <c r="AB77" s="135"/>
      <c r="AC77" s="135"/>
      <c r="AD77" s="135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6"/>
      <c r="X78" s="135"/>
      <c r="Y78" s="135"/>
      <c r="Z78" s="135"/>
      <c r="AA78" s="135"/>
      <c r="AB78" s="135"/>
      <c r="AC78" s="135"/>
      <c r="AD78" s="135"/>
    </row>
    <row r="79" ht="15.7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6"/>
      <c r="X79" s="135"/>
      <c r="Y79" s="135"/>
      <c r="Z79" s="135"/>
      <c r="AA79" s="135"/>
      <c r="AB79" s="135"/>
      <c r="AC79" s="135"/>
      <c r="AD79" s="13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B2"/>
    <mergeCell ref="A3:AB3"/>
    <mergeCell ref="A4:AB4"/>
    <mergeCell ref="B7:AB7"/>
    <mergeCell ref="A28:AB2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4" width="7.75"/>
    <col customWidth="1" min="25" max="25" width="10.0"/>
    <col customWidth="1" min="26" max="26" width="8.38"/>
    <col customWidth="1" min="27" max="27" width="9.0"/>
    <col customWidth="1" min="28" max="28" width="8.63"/>
    <col customWidth="1" min="29" max="29" width="4.38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  <c r="AA1" s="135"/>
      <c r="AB1" s="135"/>
      <c r="AC1" s="135"/>
    </row>
    <row r="2" ht="15.75" customHeight="1">
      <c r="A2" s="137" t="s">
        <v>30</v>
      </c>
      <c r="AB2" s="135"/>
      <c r="AC2" s="135"/>
    </row>
    <row r="3" ht="15.75" customHeight="1">
      <c r="A3" s="137" t="s">
        <v>241</v>
      </c>
      <c r="AB3" s="135"/>
      <c r="AC3" s="135"/>
    </row>
    <row r="4" ht="15.75" customHeight="1">
      <c r="A4" s="137"/>
      <c r="AB4" s="135"/>
      <c r="AC4" s="135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6"/>
      <c r="AA5" s="135"/>
      <c r="AB5" s="135"/>
      <c r="AC5" s="135"/>
    </row>
    <row r="6" ht="15.75" customHeight="1">
      <c r="A6" s="179" t="s">
        <v>242</v>
      </c>
      <c r="B6" s="179" t="s">
        <v>100</v>
      </c>
      <c r="C6" s="179" t="s">
        <v>11</v>
      </c>
      <c r="D6" s="179" t="s">
        <v>243</v>
      </c>
      <c r="E6" s="179" t="s">
        <v>244</v>
      </c>
      <c r="F6" s="179" t="s">
        <v>2</v>
      </c>
      <c r="G6" s="179" t="s">
        <v>245</v>
      </c>
      <c r="H6" s="179" t="s">
        <v>107</v>
      </c>
      <c r="I6" s="179" t="s">
        <v>246</v>
      </c>
      <c r="J6" s="179" t="s">
        <v>247</v>
      </c>
      <c r="K6" s="179" t="s">
        <v>129</v>
      </c>
      <c r="L6" s="179" t="s">
        <v>110</v>
      </c>
      <c r="M6" s="179" t="s">
        <v>248</v>
      </c>
      <c r="N6" s="179" t="s">
        <v>249</v>
      </c>
      <c r="O6" s="179" t="s">
        <v>117</v>
      </c>
      <c r="P6" s="179" t="s">
        <v>250</v>
      </c>
      <c r="Q6" s="179" t="s">
        <v>118</v>
      </c>
      <c r="R6" s="179" t="s">
        <v>119</v>
      </c>
      <c r="S6" s="179" t="s">
        <v>251</v>
      </c>
      <c r="T6" s="179" t="s">
        <v>122</v>
      </c>
      <c r="U6" s="179" t="s">
        <v>127</v>
      </c>
      <c r="V6" s="179" t="s">
        <v>124</v>
      </c>
      <c r="W6" s="179" t="s">
        <v>125</v>
      </c>
      <c r="X6" s="179" t="s">
        <v>252</v>
      </c>
      <c r="Y6" s="179" t="s">
        <v>29</v>
      </c>
      <c r="Z6" s="179" t="s">
        <v>25</v>
      </c>
      <c r="AA6" s="179" t="s">
        <v>46</v>
      </c>
      <c r="AB6" s="180"/>
      <c r="AC6" s="180"/>
    </row>
    <row r="7" ht="15.75" customHeight="1">
      <c r="A7" s="139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35"/>
      <c r="AC7" s="135"/>
    </row>
    <row r="8" ht="15.75" customHeight="1">
      <c r="A8" s="139" t="s">
        <v>253</v>
      </c>
      <c r="B8" s="144">
        <v>206944.83</v>
      </c>
      <c r="C8" s="144">
        <v>18589.65</v>
      </c>
      <c r="D8" s="144">
        <v>33225.86</v>
      </c>
      <c r="E8" s="139">
        <v>0.0</v>
      </c>
      <c r="F8" s="144">
        <v>24750.86</v>
      </c>
      <c r="G8" s="144">
        <v>92038.79</v>
      </c>
      <c r="H8" s="144">
        <v>96731.9</v>
      </c>
      <c r="I8" s="144">
        <v>40088.84</v>
      </c>
      <c r="J8" s="144">
        <v>1840293.07</v>
      </c>
      <c r="K8" s="144">
        <v>264860.34</v>
      </c>
      <c r="L8" s="144">
        <v>9681.03</v>
      </c>
      <c r="M8" s="175">
        <v>138170.69</v>
      </c>
      <c r="N8" s="175">
        <v>7788.79</v>
      </c>
      <c r="O8" s="175">
        <v>85370.69</v>
      </c>
      <c r="P8" s="139">
        <v>0.0</v>
      </c>
      <c r="Q8" s="175">
        <v>26039.66</v>
      </c>
      <c r="R8" s="175">
        <v>13620.69</v>
      </c>
      <c r="S8" s="175">
        <v>147383.62</v>
      </c>
      <c r="T8" s="175">
        <v>70775.86</v>
      </c>
      <c r="U8" s="175">
        <v>13655.17</v>
      </c>
      <c r="V8" s="175">
        <v>91900.0</v>
      </c>
      <c r="W8" s="175">
        <v>402016.38</v>
      </c>
      <c r="X8" s="139"/>
      <c r="Y8" s="139"/>
      <c r="Z8" s="176">
        <v>3623926.72</v>
      </c>
      <c r="AA8" s="143">
        <v>0.52</v>
      </c>
      <c r="AB8" s="135"/>
      <c r="AC8" s="135"/>
    </row>
    <row r="9" ht="15.75" customHeight="1">
      <c r="A9" s="139" t="s">
        <v>254</v>
      </c>
      <c r="B9" s="144">
        <v>1376494.83</v>
      </c>
      <c r="C9" s="141">
        <v>0.0</v>
      </c>
      <c r="D9" s="144">
        <v>336000.0</v>
      </c>
      <c r="E9" s="139">
        <v>0.0</v>
      </c>
      <c r="F9" s="144">
        <v>29225.88</v>
      </c>
      <c r="G9" s="144">
        <v>123120.69</v>
      </c>
      <c r="H9" s="144">
        <v>181598.28</v>
      </c>
      <c r="I9" s="141">
        <v>0.0</v>
      </c>
      <c r="J9" s="144">
        <v>328370.72</v>
      </c>
      <c r="K9" s="144">
        <v>13577.58</v>
      </c>
      <c r="L9" s="144">
        <v>31500.0</v>
      </c>
      <c r="M9" s="175">
        <v>22365.54</v>
      </c>
      <c r="N9" s="175">
        <v>26250.0</v>
      </c>
      <c r="O9" s="175">
        <v>1724.14</v>
      </c>
      <c r="P9" s="139">
        <v>0.0</v>
      </c>
      <c r="Q9" s="139">
        <v>0.0</v>
      </c>
      <c r="R9" s="175">
        <v>65694.38</v>
      </c>
      <c r="S9" s="139">
        <v>750.0</v>
      </c>
      <c r="T9" s="175">
        <v>7600.0</v>
      </c>
      <c r="U9" s="175">
        <v>7206.89</v>
      </c>
      <c r="V9" s="175">
        <v>14608.0</v>
      </c>
      <c r="W9" s="175">
        <v>390000.0</v>
      </c>
      <c r="X9" s="139"/>
      <c r="Y9" s="175">
        <v>12856.9</v>
      </c>
      <c r="Z9" s="176">
        <v>2968943.83</v>
      </c>
      <c r="AA9" s="143">
        <v>0.42</v>
      </c>
      <c r="AB9" s="135"/>
      <c r="AC9" s="135"/>
    </row>
    <row r="10" ht="15.75" customHeight="1">
      <c r="A10" s="139" t="s">
        <v>59</v>
      </c>
      <c r="B10" s="144">
        <v>3793.1</v>
      </c>
      <c r="C10" s="141">
        <v>0.0</v>
      </c>
      <c r="D10" s="141">
        <v>0.0</v>
      </c>
      <c r="E10" s="139">
        <v>0.0</v>
      </c>
      <c r="F10" s="141">
        <v>0.0</v>
      </c>
      <c r="G10" s="141">
        <v>0.0</v>
      </c>
      <c r="H10" s="141">
        <v>0.0</v>
      </c>
      <c r="I10" s="141">
        <v>0.0</v>
      </c>
      <c r="J10" s="141">
        <v>0.0</v>
      </c>
      <c r="K10" s="141">
        <v>0.0</v>
      </c>
      <c r="L10" s="141">
        <v>0.0</v>
      </c>
      <c r="M10" s="139">
        <v>0.0</v>
      </c>
      <c r="N10" s="139">
        <v>0.0</v>
      </c>
      <c r="O10" s="139">
        <v>0.0</v>
      </c>
      <c r="P10" s="139">
        <v>0.0</v>
      </c>
      <c r="Q10" s="175">
        <v>26551.72</v>
      </c>
      <c r="R10" s="175">
        <v>3448.28</v>
      </c>
      <c r="S10" s="139">
        <v>0.0</v>
      </c>
      <c r="T10" s="175">
        <v>12241.38</v>
      </c>
      <c r="U10" s="139">
        <v>0.0</v>
      </c>
      <c r="V10" s="139"/>
      <c r="W10" s="139">
        <v>0.0</v>
      </c>
      <c r="X10" s="139"/>
      <c r="Y10" s="139"/>
      <c r="Z10" s="176">
        <v>46034.48</v>
      </c>
      <c r="AA10" s="143">
        <v>0.01</v>
      </c>
      <c r="AB10" s="135"/>
      <c r="AC10" s="135"/>
    </row>
    <row r="11" ht="15.75" customHeight="1">
      <c r="A11" s="139" t="s">
        <v>255</v>
      </c>
      <c r="B11" s="141">
        <v>0.0</v>
      </c>
      <c r="C11" s="141">
        <v>0.0</v>
      </c>
      <c r="D11" s="144">
        <v>48816.38</v>
      </c>
      <c r="E11" s="139">
        <v>0.0</v>
      </c>
      <c r="F11" s="141">
        <v>0.0</v>
      </c>
      <c r="G11" s="141">
        <v>0.0</v>
      </c>
      <c r="H11" s="141">
        <v>0.0</v>
      </c>
      <c r="I11" s="144">
        <v>3662.93</v>
      </c>
      <c r="J11" s="141">
        <v>0.0</v>
      </c>
      <c r="K11" s="141">
        <v>0.0</v>
      </c>
      <c r="L11" s="141">
        <v>0.0</v>
      </c>
      <c r="M11" s="139">
        <v>0.0</v>
      </c>
      <c r="N11" s="139">
        <v>0.0</v>
      </c>
      <c r="O11" s="139">
        <v>944.83</v>
      </c>
      <c r="P11" s="139">
        <v>0.0</v>
      </c>
      <c r="Q11" s="175">
        <v>2095.69</v>
      </c>
      <c r="R11" s="139">
        <v>0.0</v>
      </c>
      <c r="S11" s="139">
        <v>0.0</v>
      </c>
      <c r="T11" s="175">
        <v>15470.21</v>
      </c>
      <c r="U11" s="139">
        <v>0.0</v>
      </c>
      <c r="V11" s="139"/>
      <c r="W11" s="175">
        <v>14948.28</v>
      </c>
      <c r="X11" s="139"/>
      <c r="Y11" s="139"/>
      <c r="Z11" s="176">
        <v>85938.32</v>
      </c>
      <c r="AA11" s="143">
        <v>0.01</v>
      </c>
      <c r="AB11" s="135"/>
      <c r="AC11" s="135"/>
    </row>
    <row r="12" ht="15.75" customHeight="1">
      <c r="A12" s="139" t="s">
        <v>256</v>
      </c>
      <c r="B12" s="141">
        <v>0.0</v>
      </c>
      <c r="C12" s="141">
        <v>0.0</v>
      </c>
      <c r="D12" s="141">
        <v>0.0</v>
      </c>
      <c r="E12" s="175">
        <v>42465.0</v>
      </c>
      <c r="F12" s="141">
        <v>0.0</v>
      </c>
      <c r="G12" s="141">
        <v>0.0</v>
      </c>
      <c r="H12" s="141">
        <v>0.0</v>
      </c>
      <c r="I12" s="141">
        <v>0.0</v>
      </c>
      <c r="J12" s="141">
        <v>0.0</v>
      </c>
      <c r="K12" s="144">
        <v>4617.51</v>
      </c>
      <c r="L12" s="141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75">
        <v>20000.0</v>
      </c>
      <c r="W12" s="139">
        <v>0.0</v>
      </c>
      <c r="X12" s="139"/>
      <c r="Y12" s="144">
        <v>5400.0</v>
      </c>
      <c r="Z12" s="176">
        <v>72482.51</v>
      </c>
      <c r="AA12" s="143">
        <v>0.01</v>
      </c>
      <c r="AB12" s="135"/>
      <c r="AC12" s="135"/>
    </row>
    <row r="13" ht="15.75" customHeight="1">
      <c r="A13" s="139" t="s">
        <v>257</v>
      </c>
      <c r="B13" s="141">
        <v>517.24</v>
      </c>
      <c r="C13" s="141">
        <v>0.0</v>
      </c>
      <c r="D13" s="141">
        <v>0.0</v>
      </c>
      <c r="E13" s="139">
        <v>0.0</v>
      </c>
      <c r="F13" s="141">
        <v>0.0</v>
      </c>
      <c r="G13" s="141">
        <v>0.0</v>
      </c>
      <c r="H13" s="141">
        <v>0.0</v>
      </c>
      <c r="I13" s="141">
        <v>0.0</v>
      </c>
      <c r="J13" s="144">
        <v>5086.2</v>
      </c>
      <c r="K13" s="141">
        <v>0.0</v>
      </c>
      <c r="L13" s="141">
        <v>0.0</v>
      </c>
      <c r="M13" s="139">
        <v>387.93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/>
      <c r="W13" s="175">
        <v>2586.2</v>
      </c>
      <c r="X13" s="139"/>
      <c r="Y13" s="139"/>
      <c r="Z13" s="176">
        <v>8577.57</v>
      </c>
      <c r="AA13" s="143">
        <v>0.0</v>
      </c>
      <c r="AB13" s="135"/>
      <c r="AC13" s="135"/>
    </row>
    <row r="14" ht="15.75" customHeight="1">
      <c r="A14" s="139" t="s">
        <v>258</v>
      </c>
      <c r="B14" s="141">
        <v>0.0</v>
      </c>
      <c r="C14" s="141">
        <v>0.0</v>
      </c>
      <c r="D14" s="141">
        <v>0.0</v>
      </c>
      <c r="E14" s="139">
        <v>0.0</v>
      </c>
      <c r="F14" s="141">
        <v>0.0</v>
      </c>
      <c r="G14" s="141">
        <v>862.07</v>
      </c>
      <c r="H14" s="141">
        <v>0.0</v>
      </c>
      <c r="I14" s="141">
        <v>0.0</v>
      </c>
      <c r="J14" s="144">
        <v>3103.45</v>
      </c>
      <c r="K14" s="141">
        <v>0.0</v>
      </c>
      <c r="L14" s="141">
        <v>172.41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/>
      <c r="W14" s="139">
        <v>258.62</v>
      </c>
      <c r="X14" s="139"/>
      <c r="Y14" s="139"/>
      <c r="Z14" s="176">
        <v>4396.55</v>
      </c>
      <c r="AA14" s="143">
        <v>0.0</v>
      </c>
      <c r="AB14" s="135"/>
      <c r="AC14" s="135"/>
    </row>
    <row r="15" ht="15.75" customHeight="1">
      <c r="A15" s="139" t="s">
        <v>259</v>
      </c>
      <c r="B15" s="141">
        <v>0.0</v>
      </c>
      <c r="C15" s="141">
        <v>0.0</v>
      </c>
      <c r="D15" s="141">
        <v>0.0</v>
      </c>
      <c r="E15" s="139">
        <v>0.0</v>
      </c>
      <c r="F15" s="141">
        <v>0.0</v>
      </c>
      <c r="G15" s="144">
        <v>67564.65</v>
      </c>
      <c r="H15" s="141">
        <v>0.0</v>
      </c>
      <c r="I15" s="141">
        <v>0.0</v>
      </c>
      <c r="J15" s="141">
        <v>0.0</v>
      </c>
      <c r="K15" s="144">
        <v>41796.55</v>
      </c>
      <c r="L15" s="141">
        <v>0.0</v>
      </c>
      <c r="M15" s="139">
        <v>0.0</v>
      </c>
      <c r="N15" s="139">
        <v>0.0</v>
      </c>
      <c r="O15" s="139">
        <v>0.0</v>
      </c>
      <c r="P15" s="175">
        <v>36000.0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/>
      <c r="W15" s="139">
        <v>0.0</v>
      </c>
      <c r="X15" s="139"/>
      <c r="Y15" s="175">
        <v>6000.0</v>
      </c>
      <c r="Z15" s="176">
        <v>151361.2</v>
      </c>
      <c r="AA15" s="143">
        <v>0.02</v>
      </c>
      <c r="AB15" s="135"/>
      <c r="AC15" s="135"/>
    </row>
    <row r="16" ht="15.75" customHeight="1">
      <c r="A16" s="139" t="s">
        <v>260</v>
      </c>
      <c r="B16" s="141">
        <v>0.0</v>
      </c>
      <c r="C16" s="141">
        <v>0.0</v>
      </c>
      <c r="D16" s="141">
        <v>0.0</v>
      </c>
      <c r="E16" s="139">
        <v>0.0</v>
      </c>
      <c r="F16" s="141">
        <v>0.0</v>
      </c>
      <c r="G16" s="141">
        <v>0.0</v>
      </c>
      <c r="H16" s="141">
        <v>0.0</v>
      </c>
      <c r="I16" s="141">
        <v>0.0</v>
      </c>
      <c r="J16" s="144">
        <v>2629.31</v>
      </c>
      <c r="K16" s="141">
        <v>0.0</v>
      </c>
      <c r="L16" s="141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/>
      <c r="W16" s="139">
        <v>0.0</v>
      </c>
      <c r="X16" s="139"/>
      <c r="Y16" s="139"/>
      <c r="Z16" s="176">
        <v>2629.31</v>
      </c>
      <c r="AA16" s="143">
        <v>0.0</v>
      </c>
      <c r="AB16" s="135"/>
      <c r="AC16" s="135"/>
    </row>
    <row r="17" ht="15.75" customHeight="1">
      <c r="A17" s="139" t="s">
        <v>261</v>
      </c>
      <c r="B17" s="141">
        <v>0.0</v>
      </c>
      <c r="C17" s="141">
        <v>0.0</v>
      </c>
      <c r="D17" s="141">
        <v>0.0</v>
      </c>
      <c r="E17" s="139">
        <v>0.0</v>
      </c>
      <c r="F17" s="141">
        <v>0.0</v>
      </c>
      <c r="G17" s="141">
        <v>0.0</v>
      </c>
      <c r="H17" s="141">
        <v>0.0</v>
      </c>
      <c r="I17" s="141">
        <v>0.0</v>
      </c>
      <c r="J17" s="141">
        <v>0.0</v>
      </c>
      <c r="K17" s="141">
        <v>0.0</v>
      </c>
      <c r="L17" s="141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/>
      <c r="W17" s="139">
        <v>0.0</v>
      </c>
      <c r="X17" s="141">
        <v>36000.0</v>
      </c>
      <c r="Y17" s="175">
        <v>2075.18</v>
      </c>
      <c r="Z17" s="176">
        <v>38075.18</v>
      </c>
      <c r="AA17" s="143">
        <v>0.01</v>
      </c>
      <c r="AB17" s="135"/>
      <c r="AC17" s="135"/>
    </row>
    <row r="18" ht="15.75" hidden="1" customHeight="1">
      <c r="A18" s="139" t="s">
        <v>262</v>
      </c>
      <c r="B18" s="141">
        <v>0.0</v>
      </c>
      <c r="C18" s="141">
        <v>0.0</v>
      </c>
      <c r="D18" s="141">
        <v>0.0</v>
      </c>
      <c r="E18" s="139">
        <v>0.0</v>
      </c>
      <c r="F18" s="141">
        <v>0.0</v>
      </c>
      <c r="G18" s="141">
        <v>0.0</v>
      </c>
      <c r="H18" s="141">
        <v>0.0</v>
      </c>
      <c r="I18" s="141">
        <v>0.0</v>
      </c>
      <c r="J18" s="141">
        <v>0.0</v>
      </c>
      <c r="K18" s="141">
        <v>0.0</v>
      </c>
      <c r="L18" s="141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/>
      <c r="W18" s="139">
        <v>0.0</v>
      </c>
      <c r="X18" s="139"/>
      <c r="Y18" s="139"/>
      <c r="Z18" s="154">
        <v>0.0</v>
      </c>
      <c r="AA18" s="143">
        <v>0.0</v>
      </c>
      <c r="AB18" s="135"/>
      <c r="AC18" s="135"/>
    </row>
    <row r="19" ht="15.75" hidden="1" customHeight="1">
      <c r="A19" s="139" t="s">
        <v>263</v>
      </c>
      <c r="B19" s="141">
        <v>0.0</v>
      </c>
      <c r="C19" s="141">
        <v>0.0</v>
      </c>
      <c r="D19" s="141">
        <v>0.0</v>
      </c>
      <c r="E19" s="139">
        <v>0.0</v>
      </c>
      <c r="F19" s="141">
        <v>0.0</v>
      </c>
      <c r="G19" s="141">
        <v>0.0</v>
      </c>
      <c r="H19" s="141">
        <v>0.0</v>
      </c>
      <c r="I19" s="141">
        <v>0.0</v>
      </c>
      <c r="J19" s="141">
        <v>0.0</v>
      </c>
      <c r="K19" s="141">
        <v>0.0</v>
      </c>
      <c r="L19" s="141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/>
      <c r="W19" s="139">
        <v>0.0</v>
      </c>
      <c r="X19" s="139"/>
      <c r="Y19" s="139"/>
      <c r="Z19" s="154">
        <v>0.0</v>
      </c>
      <c r="AA19" s="143">
        <v>0.0</v>
      </c>
      <c r="AB19" s="135"/>
      <c r="AC19" s="135"/>
    </row>
    <row r="20" ht="15.75" customHeight="1">
      <c r="A20" s="139" t="s">
        <v>264</v>
      </c>
      <c r="B20" s="141">
        <v>0.0</v>
      </c>
      <c r="C20" s="141">
        <v>0.0</v>
      </c>
      <c r="D20" s="141">
        <v>0.0</v>
      </c>
      <c r="E20" s="139">
        <v>0.0</v>
      </c>
      <c r="F20" s="141">
        <v>0.0</v>
      </c>
      <c r="G20" s="141">
        <v>0.0</v>
      </c>
      <c r="H20" s="144">
        <v>2931.04</v>
      </c>
      <c r="I20" s="141">
        <v>0.0</v>
      </c>
      <c r="J20" s="141">
        <v>0.0</v>
      </c>
      <c r="K20" s="141">
        <v>0.0</v>
      </c>
      <c r="L20" s="141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/>
      <c r="W20" s="139">
        <v>0.0</v>
      </c>
      <c r="X20" s="139"/>
      <c r="Y20" s="139"/>
      <c r="Z20" s="176">
        <v>2931.04</v>
      </c>
      <c r="AA20" s="143">
        <v>0.0</v>
      </c>
      <c r="AB20" s="135"/>
      <c r="AC20" s="135"/>
    </row>
    <row r="21" ht="15.75" customHeight="1">
      <c r="A21" s="139" t="s">
        <v>265</v>
      </c>
      <c r="B21" s="141">
        <v>0.0</v>
      </c>
      <c r="C21" s="141">
        <v>0.0</v>
      </c>
      <c r="D21" s="141">
        <v>0.0</v>
      </c>
      <c r="E21" s="139">
        <v>0.0</v>
      </c>
      <c r="F21" s="141">
        <v>0.0</v>
      </c>
      <c r="G21" s="141">
        <v>0.0</v>
      </c>
      <c r="H21" s="141">
        <v>0.0</v>
      </c>
      <c r="I21" s="141">
        <v>0.0</v>
      </c>
      <c r="J21" s="141">
        <v>0.0</v>
      </c>
      <c r="K21" s="141">
        <v>0.0</v>
      </c>
      <c r="L21" s="141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/>
      <c r="W21" s="139">
        <v>0.0</v>
      </c>
      <c r="X21" s="139"/>
      <c r="Y21" s="139"/>
      <c r="Z21" s="154">
        <v>0.0</v>
      </c>
      <c r="AA21" s="143">
        <v>0.0</v>
      </c>
      <c r="AB21" s="135"/>
      <c r="AC21" s="135"/>
    </row>
    <row r="22" ht="15.75" customHeight="1">
      <c r="A22" s="139" t="s">
        <v>266</v>
      </c>
      <c r="B22" s="141">
        <v>0.0</v>
      </c>
      <c r="C22" s="141">
        <v>0.0</v>
      </c>
      <c r="D22" s="141">
        <v>6.03</v>
      </c>
      <c r="E22" s="139">
        <v>0.0</v>
      </c>
      <c r="F22" s="141">
        <v>2.59</v>
      </c>
      <c r="G22" s="141">
        <v>0.0</v>
      </c>
      <c r="H22" s="141">
        <v>43.1</v>
      </c>
      <c r="I22" s="141">
        <v>0.0</v>
      </c>
      <c r="J22" s="141">
        <v>282.76</v>
      </c>
      <c r="K22" s="141">
        <v>0.0</v>
      </c>
      <c r="L22" s="141">
        <v>0.0</v>
      </c>
      <c r="M22" s="139">
        <v>141.38</v>
      </c>
      <c r="N22" s="139">
        <v>0.0</v>
      </c>
      <c r="O22" s="139">
        <v>170.69</v>
      </c>
      <c r="P22" s="139">
        <v>0.0</v>
      </c>
      <c r="Q22" s="139">
        <v>0.0</v>
      </c>
      <c r="R22" s="139">
        <v>81.9</v>
      </c>
      <c r="S22" s="139">
        <v>0.0</v>
      </c>
      <c r="T22" s="139">
        <v>0.0</v>
      </c>
      <c r="U22" s="139">
        <v>0.0</v>
      </c>
      <c r="V22" s="139"/>
      <c r="W22" s="139">
        <v>0.0</v>
      </c>
      <c r="X22" s="139"/>
      <c r="Y22" s="139"/>
      <c r="Z22" s="154">
        <v>728.45</v>
      </c>
      <c r="AA22" s="143">
        <v>0.0</v>
      </c>
      <c r="AB22" s="135"/>
      <c r="AC22" s="135"/>
    </row>
    <row r="23" ht="15.75" customHeight="1">
      <c r="A23" s="139" t="s">
        <v>267</v>
      </c>
      <c r="B23" s="141">
        <v>0.0</v>
      </c>
      <c r="C23" s="141">
        <v>0.0</v>
      </c>
      <c r="D23" s="141">
        <v>0.0</v>
      </c>
      <c r="E23" s="139">
        <v>0.0</v>
      </c>
      <c r="F23" s="139">
        <v>0.0</v>
      </c>
      <c r="G23" s="141">
        <v>0.0</v>
      </c>
      <c r="H23" s="139">
        <v>0.0</v>
      </c>
      <c r="I23" s="139">
        <v>0.0</v>
      </c>
      <c r="J23" s="139">
        <v>0.0</v>
      </c>
      <c r="K23" s="139">
        <v>0.0</v>
      </c>
      <c r="L23" s="141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/>
      <c r="W23" s="139">
        <v>0.0</v>
      </c>
      <c r="X23" s="139"/>
      <c r="Y23" s="139"/>
      <c r="Z23" s="154">
        <v>0.0</v>
      </c>
      <c r="AA23" s="143">
        <v>0.0</v>
      </c>
      <c r="AB23" s="135"/>
      <c r="AC23" s="135"/>
    </row>
    <row r="24" ht="15.75" hidden="1" customHeight="1">
      <c r="A24" s="139" t="s">
        <v>268</v>
      </c>
      <c r="B24" s="141">
        <v>0.0</v>
      </c>
      <c r="C24" s="141">
        <v>0.0</v>
      </c>
      <c r="D24" s="141">
        <v>0.0</v>
      </c>
      <c r="E24" s="139">
        <v>0.0</v>
      </c>
      <c r="F24" s="139">
        <v>0.0</v>
      </c>
      <c r="G24" s="141">
        <v>0.0</v>
      </c>
      <c r="H24" s="139">
        <v>0.0</v>
      </c>
      <c r="I24" s="139">
        <v>0.0</v>
      </c>
      <c r="J24" s="139">
        <v>0.0</v>
      </c>
      <c r="K24" s="139">
        <v>0.0</v>
      </c>
      <c r="L24" s="141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/>
      <c r="W24" s="139">
        <v>0.0</v>
      </c>
      <c r="X24" s="139"/>
      <c r="Y24" s="139"/>
      <c r="Z24" s="154">
        <v>0.0</v>
      </c>
      <c r="AA24" s="143">
        <v>0.0</v>
      </c>
      <c r="AB24" s="135"/>
      <c r="AC24" s="135"/>
    </row>
    <row r="25" ht="15.75" hidden="1" customHeight="1">
      <c r="A25" s="139" t="s">
        <v>269</v>
      </c>
      <c r="B25" s="141">
        <v>0.0</v>
      </c>
      <c r="C25" s="139">
        <v>0.0</v>
      </c>
      <c r="D25" s="139">
        <v>0.0</v>
      </c>
      <c r="E25" s="139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41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/>
      <c r="W25" s="139">
        <v>0.0</v>
      </c>
      <c r="X25" s="139"/>
      <c r="Y25" s="144">
        <v>13330.17</v>
      </c>
      <c r="Z25" s="176">
        <v>13330.17</v>
      </c>
      <c r="AA25" s="143">
        <v>0.0</v>
      </c>
      <c r="AB25" s="135"/>
      <c r="AC25" s="135"/>
    </row>
    <row r="26" ht="15.75" hidden="1" customHeight="1">
      <c r="A26" s="139" t="s">
        <v>270</v>
      </c>
      <c r="B26" s="141">
        <v>0.0</v>
      </c>
      <c r="C26" s="139">
        <v>0.0</v>
      </c>
      <c r="D26" s="139">
        <v>0.0</v>
      </c>
      <c r="E26" s="139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/>
      <c r="W26" s="139">
        <v>0.0</v>
      </c>
      <c r="X26" s="139"/>
      <c r="Y26" s="139"/>
      <c r="Z26" s="154">
        <v>0.0</v>
      </c>
      <c r="AA26" s="143">
        <v>0.0</v>
      </c>
      <c r="AB26" s="135"/>
      <c r="AC26" s="135"/>
    </row>
    <row r="27" ht="15.75" customHeight="1">
      <c r="A27" s="146" t="s">
        <v>271</v>
      </c>
      <c r="B27" s="147">
        <v>1587750.0</v>
      </c>
      <c r="C27" s="147">
        <v>18589.65</v>
      </c>
      <c r="D27" s="147">
        <v>418048.27</v>
      </c>
      <c r="E27" s="147">
        <v>42465.0</v>
      </c>
      <c r="F27" s="147">
        <v>53979.33</v>
      </c>
      <c r="G27" s="147">
        <v>283586.2</v>
      </c>
      <c r="H27" s="147">
        <v>281304.32</v>
      </c>
      <c r="I27" s="147">
        <v>43751.77</v>
      </c>
      <c r="J27" s="147">
        <v>2179765.51</v>
      </c>
      <c r="K27" s="147">
        <v>324851.98</v>
      </c>
      <c r="L27" s="147">
        <v>41353.44</v>
      </c>
      <c r="M27" s="147">
        <v>161065.54</v>
      </c>
      <c r="N27" s="147">
        <v>34038.79</v>
      </c>
      <c r="O27" s="147">
        <v>88210.35</v>
      </c>
      <c r="P27" s="147">
        <v>36000.0</v>
      </c>
      <c r="Q27" s="147">
        <v>54687.07</v>
      </c>
      <c r="R27" s="147">
        <v>82845.25</v>
      </c>
      <c r="S27" s="147">
        <v>148133.62</v>
      </c>
      <c r="T27" s="147">
        <v>106087.45</v>
      </c>
      <c r="U27" s="147">
        <v>20862.06</v>
      </c>
      <c r="V27" s="147">
        <v>126508.0</v>
      </c>
      <c r="W27" s="147">
        <v>809809.48</v>
      </c>
      <c r="X27" s="147">
        <v>36000.0</v>
      </c>
      <c r="Y27" s="147">
        <v>39662.25</v>
      </c>
      <c r="Z27" s="147">
        <v>7019355.33</v>
      </c>
      <c r="AA27" s="178">
        <v>1.0</v>
      </c>
      <c r="AB27" s="135"/>
      <c r="AC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35"/>
      <c r="AC28" s="135"/>
    </row>
    <row r="29" ht="15.75" customHeight="1">
      <c r="A29" s="139" t="s">
        <v>47</v>
      </c>
      <c r="B29" s="141">
        <v>49243.76</v>
      </c>
      <c r="C29" s="141">
        <v>0.0</v>
      </c>
      <c r="D29" s="141">
        <v>19674.54</v>
      </c>
      <c r="E29" s="141">
        <v>0.0</v>
      </c>
      <c r="F29" s="141">
        <v>10988.58</v>
      </c>
      <c r="G29" s="141">
        <v>20242.08</v>
      </c>
      <c r="H29" s="141">
        <v>20820.19</v>
      </c>
      <c r="I29" s="141">
        <v>28814.07</v>
      </c>
      <c r="J29" s="141">
        <v>141497.35</v>
      </c>
      <c r="K29" s="141">
        <v>50187.64</v>
      </c>
      <c r="L29" s="141">
        <v>9808.26</v>
      </c>
      <c r="M29" s="141">
        <v>37375.63</v>
      </c>
      <c r="N29" s="141">
        <v>9980.36</v>
      </c>
      <c r="O29" s="141">
        <v>23900.18</v>
      </c>
      <c r="P29" s="141">
        <v>19510.0</v>
      </c>
      <c r="Q29" s="141">
        <v>170978.91</v>
      </c>
      <c r="R29" s="141">
        <v>20138.0</v>
      </c>
      <c r="S29" s="141">
        <v>38521.29</v>
      </c>
      <c r="T29" s="141">
        <v>40682.96</v>
      </c>
      <c r="U29" s="141">
        <v>33548.98</v>
      </c>
      <c r="V29" s="141">
        <v>21526.52</v>
      </c>
      <c r="W29" s="141">
        <v>68524.03</v>
      </c>
      <c r="X29" s="141">
        <v>11699.13</v>
      </c>
      <c r="Y29" s="141">
        <v>79416.04</v>
      </c>
      <c r="Z29" s="142">
        <v>927078.5</v>
      </c>
      <c r="AA29" s="143">
        <v>0.29</v>
      </c>
      <c r="AB29" s="135"/>
      <c r="AC29" s="141"/>
    </row>
    <row r="30" ht="15.75" customHeight="1">
      <c r="A30" s="139" t="s">
        <v>48</v>
      </c>
      <c r="B30" s="141">
        <v>0.0</v>
      </c>
      <c r="C30" s="141">
        <v>0.0</v>
      </c>
      <c r="D30" s="141">
        <v>0.0</v>
      </c>
      <c r="E30" s="141">
        <v>0.0</v>
      </c>
      <c r="F30" s="141">
        <v>0.0</v>
      </c>
      <c r="G30" s="141">
        <v>0.0</v>
      </c>
      <c r="H30" s="141">
        <v>0.0</v>
      </c>
      <c r="I30" s="141">
        <v>0.0</v>
      </c>
      <c r="J30" s="141">
        <v>0.0</v>
      </c>
      <c r="K30" s="141">
        <v>0.0</v>
      </c>
      <c r="L30" s="141">
        <v>0.0</v>
      </c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141">
        <v>607887.48</v>
      </c>
      <c r="Z30" s="142">
        <v>607887.48</v>
      </c>
      <c r="AA30" s="143">
        <v>0.19</v>
      </c>
      <c r="AB30" s="135"/>
      <c r="AC30" s="135"/>
    </row>
    <row r="31" ht="15.75" customHeight="1">
      <c r="A31" s="139" t="s">
        <v>49</v>
      </c>
      <c r="B31" s="141">
        <v>0.0</v>
      </c>
      <c r="C31" s="141">
        <v>0.0</v>
      </c>
      <c r="D31" s="141">
        <v>0.0</v>
      </c>
      <c r="E31" s="141">
        <v>0.0</v>
      </c>
      <c r="F31" s="141">
        <v>0.0</v>
      </c>
      <c r="G31" s="141">
        <v>0.0</v>
      </c>
      <c r="H31" s="141">
        <v>0.0</v>
      </c>
      <c r="I31" s="141">
        <v>0.0</v>
      </c>
      <c r="J31" s="141">
        <v>0.0</v>
      </c>
      <c r="K31" s="141">
        <v>0.0</v>
      </c>
      <c r="L31" s="141">
        <v>0.0</v>
      </c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1">
        <v>0.0</v>
      </c>
      <c r="V31" s="141">
        <v>0.0</v>
      </c>
      <c r="W31" s="141">
        <v>0.0</v>
      </c>
      <c r="X31" s="141">
        <v>0.0</v>
      </c>
      <c r="Y31" s="141">
        <v>28905.57</v>
      </c>
      <c r="Z31" s="142">
        <v>28905.57</v>
      </c>
      <c r="AA31" s="143">
        <v>0.01</v>
      </c>
      <c r="AB31" s="135"/>
      <c r="AC31" s="135"/>
    </row>
    <row r="32" ht="15.75" customHeight="1">
      <c r="A32" s="139" t="s">
        <v>50</v>
      </c>
      <c r="B32" s="141">
        <v>0.0</v>
      </c>
      <c r="C32" s="141">
        <v>0.0</v>
      </c>
      <c r="D32" s="141">
        <v>177160.0</v>
      </c>
      <c r="E32" s="141">
        <v>0.0</v>
      </c>
      <c r="F32" s="141">
        <v>16140.0</v>
      </c>
      <c r="G32" s="141">
        <v>0.0</v>
      </c>
      <c r="H32" s="141">
        <v>0.0</v>
      </c>
      <c r="I32" s="141">
        <v>0.0</v>
      </c>
      <c r="J32" s="141">
        <v>0.0</v>
      </c>
      <c r="K32" s="141">
        <v>0.0</v>
      </c>
      <c r="L32" s="141">
        <v>0.0</v>
      </c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0.0</v>
      </c>
      <c r="T32" s="141">
        <v>0.0</v>
      </c>
      <c r="U32" s="141">
        <v>0.0</v>
      </c>
      <c r="V32" s="141">
        <v>0.0</v>
      </c>
      <c r="W32" s="141">
        <v>0.0</v>
      </c>
      <c r="X32" s="141">
        <v>0.0</v>
      </c>
      <c r="Y32" s="141">
        <v>70953.14</v>
      </c>
      <c r="Z32" s="142">
        <v>264253.14</v>
      </c>
      <c r="AA32" s="143">
        <v>0.08</v>
      </c>
      <c r="AB32" s="135"/>
      <c r="AC32" s="135"/>
    </row>
    <row r="33" ht="15.75" customHeight="1">
      <c r="A33" s="139" t="s">
        <v>51</v>
      </c>
      <c r="B33" s="141">
        <v>0.0</v>
      </c>
      <c r="C33" s="141">
        <v>0.0</v>
      </c>
      <c r="D33" s="141">
        <v>0.0</v>
      </c>
      <c r="E33" s="141">
        <v>0.0</v>
      </c>
      <c r="F33" s="141">
        <v>0.0</v>
      </c>
      <c r="G33" s="141">
        <v>0.0</v>
      </c>
      <c r="H33" s="141">
        <v>0.0</v>
      </c>
      <c r="I33" s="141">
        <v>0.0</v>
      </c>
      <c r="J33" s="141">
        <v>0.0</v>
      </c>
      <c r="K33" s="141">
        <v>0.0</v>
      </c>
      <c r="L33" s="141">
        <v>0.0</v>
      </c>
      <c r="M33" s="141">
        <v>0.0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0.0</v>
      </c>
      <c r="T33" s="141">
        <v>0.0</v>
      </c>
      <c r="U33" s="141">
        <v>0.0</v>
      </c>
      <c r="V33" s="141">
        <v>0.0</v>
      </c>
      <c r="W33" s="141">
        <v>0.0</v>
      </c>
      <c r="X33" s="141">
        <v>0.0</v>
      </c>
      <c r="Y33" s="141">
        <v>0.0</v>
      </c>
      <c r="Z33" s="142">
        <v>0.0</v>
      </c>
      <c r="AA33" s="143">
        <v>0.0</v>
      </c>
      <c r="AB33" s="135"/>
      <c r="AC33" s="135"/>
    </row>
    <row r="34" ht="15.75" customHeight="1">
      <c r="A34" s="139" t="s">
        <v>52</v>
      </c>
      <c r="B34" s="141">
        <v>37113.71</v>
      </c>
      <c r="C34" s="141">
        <v>0.0</v>
      </c>
      <c r="D34" s="141">
        <v>0.0</v>
      </c>
      <c r="E34" s="141">
        <v>0.0</v>
      </c>
      <c r="F34" s="141">
        <v>0.0</v>
      </c>
      <c r="G34" s="141">
        <v>0.0</v>
      </c>
      <c r="H34" s="141">
        <v>0.0</v>
      </c>
      <c r="I34" s="141">
        <v>0.0</v>
      </c>
      <c r="J34" s="141">
        <v>0.0</v>
      </c>
      <c r="K34" s="141">
        <v>0.0</v>
      </c>
      <c r="L34" s="141">
        <v>0.0</v>
      </c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0.0</v>
      </c>
      <c r="T34" s="141">
        <v>0.0</v>
      </c>
      <c r="U34" s="141">
        <v>0.0</v>
      </c>
      <c r="V34" s="141">
        <v>0.0</v>
      </c>
      <c r="W34" s="141">
        <v>0.0</v>
      </c>
      <c r="X34" s="141">
        <v>0.0</v>
      </c>
      <c r="Y34" s="141">
        <v>9160.83</v>
      </c>
      <c r="Z34" s="142">
        <v>46274.54</v>
      </c>
      <c r="AA34" s="143">
        <v>0.01</v>
      </c>
      <c r="AB34" s="135"/>
      <c r="AC34" s="135"/>
    </row>
    <row r="35" ht="15.75" customHeight="1">
      <c r="A35" s="139" t="s">
        <v>53</v>
      </c>
      <c r="B35" s="141">
        <v>19600.8</v>
      </c>
      <c r="C35" s="141">
        <v>0.0</v>
      </c>
      <c r="D35" s="141">
        <v>0.0</v>
      </c>
      <c r="E35" s="141">
        <v>0.0</v>
      </c>
      <c r="F35" s="141">
        <v>0.0</v>
      </c>
      <c r="G35" s="141">
        <v>0.0</v>
      </c>
      <c r="H35" s="141">
        <v>0.0</v>
      </c>
      <c r="I35" s="141">
        <v>0.0</v>
      </c>
      <c r="J35" s="141">
        <v>0.0</v>
      </c>
      <c r="K35" s="141">
        <v>0.0</v>
      </c>
      <c r="L35" s="141">
        <v>0.0</v>
      </c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41">
        <v>10528.4</v>
      </c>
      <c r="Z35" s="142">
        <v>30129.2</v>
      </c>
      <c r="AA35" s="143">
        <v>0.01</v>
      </c>
      <c r="AB35" s="135"/>
      <c r="AC35" s="135"/>
    </row>
    <row r="36" ht="15.75" customHeight="1">
      <c r="A36" s="139" t="s">
        <v>54</v>
      </c>
      <c r="B36" s="141">
        <v>627.59</v>
      </c>
      <c r="C36" s="141">
        <v>0.0</v>
      </c>
      <c r="D36" s="141">
        <v>627.59</v>
      </c>
      <c r="E36" s="141">
        <v>0.0</v>
      </c>
      <c r="F36" s="141">
        <v>584.48</v>
      </c>
      <c r="G36" s="141">
        <v>627.58</v>
      </c>
      <c r="H36" s="141">
        <v>283.62</v>
      </c>
      <c r="I36" s="141">
        <v>343.97</v>
      </c>
      <c r="J36" s="141">
        <v>688.8</v>
      </c>
      <c r="K36" s="141">
        <v>283.62</v>
      </c>
      <c r="L36" s="141">
        <v>283.62</v>
      </c>
      <c r="M36" s="141">
        <v>627.59</v>
      </c>
      <c r="N36" s="141">
        <v>283.62</v>
      </c>
      <c r="O36" s="141">
        <v>627.59</v>
      </c>
      <c r="P36" s="141">
        <v>850.86</v>
      </c>
      <c r="Q36" s="141">
        <v>283.62</v>
      </c>
      <c r="R36" s="141">
        <v>283.62</v>
      </c>
      <c r="S36" s="141">
        <v>627.58</v>
      </c>
      <c r="T36" s="141">
        <v>283.62</v>
      </c>
      <c r="U36" s="141">
        <v>283.62</v>
      </c>
      <c r="V36" s="141">
        <v>627.59</v>
      </c>
      <c r="W36" s="141">
        <v>584.48</v>
      </c>
      <c r="X36" s="141">
        <v>0.0</v>
      </c>
      <c r="Y36" s="141">
        <v>22861.23</v>
      </c>
      <c r="Z36" s="142">
        <v>32575.89</v>
      </c>
      <c r="AA36" s="143">
        <v>0.01</v>
      </c>
      <c r="AB36" s="135"/>
      <c r="AC36" s="135"/>
    </row>
    <row r="37" ht="15.75" customHeight="1">
      <c r="A37" s="139" t="s">
        <v>55</v>
      </c>
      <c r="B37" s="141">
        <v>105500.0</v>
      </c>
      <c r="C37" s="141">
        <v>0.0</v>
      </c>
      <c r="D37" s="141">
        <v>0.0</v>
      </c>
      <c r="E37" s="141">
        <v>0.0</v>
      </c>
      <c r="F37" s="141">
        <v>0.0</v>
      </c>
      <c r="G37" s="141">
        <v>0.0</v>
      </c>
      <c r="H37" s="141">
        <v>0.0</v>
      </c>
      <c r="I37" s="141">
        <v>0.0</v>
      </c>
      <c r="J37" s="141">
        <v>0.0</v>
      </c>
      <c r="K37" s="141">
        <v>0.0</v>
      </c>
      <c r="L37" s="141">
        <v>0.0</v>
      </c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141">
        <v>0.0</v>
      </c>
      <c r="Z37" s="142">
        <v>105500.0</v>
      </c>
      <c r="AA37" s="143">
        <v>0.03</v>
      </c>
      <c r="AB37" s="135"/>
      <c r="AC37" s="135"/>
    </row>
    <row r="38" ht="15.75" customHeight="1">
      <c r="A38" s="139" t="s">
        <v>57</v>
      </c>
      <c r="B38" s="141">
        <v>1628.56</v>
      </c>
      <c r="C38" s="141">
        <v>0.0</v>
      </c>
      <c r="D38" s="141">
        <v>552.05</v>
      </c>
      <c r="E38" s="141">
        <v>0.0</v>
      </c>
      <c r="F38" s="141">
        <v>138.01</v>
      </c>
      <c r="G38" s="141">
        <v>690.07</v>
      </c>
      <c r="H38" s="141">
        <v>552.05</v>
      </c>
      <c r="I38" s="141">
        <v>115.01</v>
      </c>
      <c r="J38" s="141">
        <v>6900.67</v>
      </c>
      <c r="K38" s="141">
        <v>3144.38</v>
      </c>
      <c r="L38" s="141">
        <v>101.21</v>
      </c>
      <c r="M38" s="141">
        <v>381.84</v>
      </c>
      <c r="N38" s="141">
        <v>50.6</v>
      </c>
      <c r="O38" s="141">
        <v>409.44</v>
      </c>
      <c r="P38" s="141">
        <v>460.04</v>
      </c>
      <c r="Q38" s="141">
        <v>3450.33</v>
      </c>
      <c r="R38" s="141">
        <v>179.42</v>
      </c>
      <c r="S38" s="141">
        <v>460.04</v>
      </c>
      <c r="T38" s="141">
        <v>547.45</v>
      </c>
      <c r="U38" s="141">
        <v>161.02</v>
      </c>
      <c r="V38" s="141">
        <v>161.02</v>
      </c>
      <c r="W38" s="141">
        <v>828.08</v>
      </c>
      <c r="X38" s="141">
        <v>0.0</v>
      </c>
      <c r="Y38" s="141">
        <v>220.58</v>
      </c>
      <c r="Z38" s="142">
        <v>21131.87</v>
      </c>
      <c r="AA38" s="143">
        <v>0.01</v>
      </c>
      <c r="AB38" s="135"/>
      <c r="AC38" s="135"/>
    </row>
    <row r="39" ht="15.75" customHeight="1">
      <c r="A39" s="139" t="s">
        <v>58</v>
      </c>
      <c r="B39" s="141">
        <v>0.0</v>
      </c>
      <c r="C39" s="141">
        <v>0.0</v>
      </c>
      <c r="D39" s="141">
        <v>0.0</v>
      </c>
      <c r="E39" s="141">
        <v>0.0</v>
      </c>
      <c r="F39" s="141">
        <v>0.0</v>
      </c>
      <c r="G39" s="141">
        <v>0.0</v>
      </c>
      <c r="H39" s="141">
        <v>0.0</v>
      </c>
      <c r="I39" s="141">
        <v>0.0</v>
      </c>
      <c r="J39" s="141">
        <v>0.0</v>
      </c>
      <c r="K39" s="141">
        <v>0.0</v>
      </c>
      <c r="L39" s="141">
        <v>0.0</v>
      </c>
      <c r="M39" s="141">
        <v>19267.2</v>
      </c>
      <c r="N39" s="141">
        <v>0.0</v>
      </c>
      <c r="O39" s="141">
        <v>0.0</v>
      </c>
      <c r="P39" s="141">
        <v>0.0</v>
      </c>
      <c r="Q39" s="141">
        <v>0.0</v>
      </c>
      <c r="R39" s="141">
        <v>0.0</v>
      </c>
      <c r="S39" s="141">
        <v>0.0</v>
      </c>
      <c r="T39" s="141">
        <v>0.0</v>
      </c>
      <c r="U39" s="141">
        <v>0.0</v>
      </c>
      <c r="V39" s="141">
        <v>2720.0</v>
      </c>
      <c r="W39" s="141">
        <v>0.0</v>
      </c>
      <c r="X39" s="141">
        <v>0.0</v>
      </c>
      <c r="Y39" s="141">
        <v>0.0</v>
      </c>
      <c r="Z39" s="142">
        <v>21987.2</v>
      </c>
      <c r="AA39" s="143">
        <v>0.01</v>
      </c>
      <c r="AB39" s="135"/>
      <c r="AC39" s="135"/>
    </row>
    <row r="40" ht="15.75" customHeight="1">
      <c r="A40" s="139" t="s">
        <v>59</v>
      </c>
      <c r="B40" s="141">
        <v>0.0</v>
      </c>
      <c r="C40" s="141">
        <v>0.0</v>
      </c>
      <c r="D40" s="141">
        <v>0.0</v>
      </c>
      <c r="E40" s="141">
        <v>0.0</v>
      </c>
      <c r="F40" s="141">
        <v>0.0</v>
      </c>
      <c r="G40" s="141">
        <v>0.0</v>
      </c>
      <c r="H40" s="141">
        <v>0.0</v>
      </c>
      <c r="I40" s="141">
        <v>0.0</v>
      </c>
      <c r="J40" s="141">
        <v>0.0</v>
      </c>
      <c r="K40" s="141">
        <v>0.0</v>
      </c>
      <c r="L40" s="141">
        <v>0.0</v>
      </c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1">
        <v>0.0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141">
        <v>0.0</v>
      </c>
      <c r="Z40" s="142">
        <v>0.0</v>
      </c>
      <c r="AA40" s="143">
        <v>0.0</v>
      </c>
      <c r="AB40" s="135"/>
      <c r="AC40" s="135"/>
    </row>
    <row r="41" ht="15.75" customHeight="1">
      <c r="A41" s="139" t="s">
        <v>60</v>
      </c>
      <c r="B41" s="141">
        <v>3070.0</v>
      </c>
      <c r="C41" s="141">
        <v>0.0</v>
      </c>
      <c r="D41" s="141">
        <v>1375.0</v>
      </c>
      <c r="E41" s="141">
        <v>0.0</v>
      </c>
      <c r="F41" s="141">
        <v>1255.0</v>
      </c>
      <c r="G41" s="141">
        <v>1490.0</v>
      </c>
      <c r="H41" s="141">
        <v>1420.0</v>
      </c>
      <c r="I41" s="141">
        <v>755.0</v>
      </c>
      <c r="J41" s="141">
        <v>0.0</v>
      </c>
      <c r="K41" s="141">
        <v>5060.0</v>
      </c>
      <c r="L41" s="141">
        <v>755.0</v>
      </c>
      <c r="M41" s="141">
        <v>2510.0</v>
      </c>
      <c r="N41" s="141">
        <v>755.0</v>
      </c>
      <c r="O41" s="141">
        <v>2750.0</v>
      </c>
      <c r="P41" s="141">
        <v>1210.0</v>
      </c>
      <c r="Q41" s="141">
        <v>16765.0</v>
      </c>
      <c r="R41" s="141">
        <v>2275.0</v>
      </c>
      <c r="S41" s="141">
        <v>3140.0</v>
      </c>
      <c r="T41" s="141">
        <v>3095.0</v>
      </c>
      <c r="U41" s="141">
        <v>1995.0</v>
      </c>
      <c r="V41" s="141">
        <v>1510.0</v>
      </c>
      <c r="W41" s="141">
        <v>4475.0</v>
      </c>
      <c r="X41" s="141">
        <v>1210.0</v>
      </c>
      <c r="Y41" s="141">
        <v>3210.0</v>
      </c>
      <c r="Z41" s="142">
        <v>60080.0</v>
      </c>
      <c r="AA41" s="143">
        <v>0.02</v>
      </c>
      <c r="AB41" s="135"/>
      <c r="AC41" s="135"/>
    </row>
    <row r="42" ht="15.75" customHeight="1">
      <c r="A42" s="139" t="s">
        <v>61</v>
      </c>
      <c r="B42" s="141">
        <v>0.0</v>
      </c>
      <c r="C42" s="141">
        <v>0.0</v>
      </c>
      <c r="D42" s="141">
        <v>0.0</v>
      </c>
      <c r="E42" s="141">
        <v>0.0</v>
      </c>
      <c r="F42" s="141">
        <v>0.0</v>
      </c>
      <c r="G42" s="141">
        <v>0.0</v>
      </c>
      <c r="H42" s="141">
        <v>0.0</v>
      </c>
      <c r="I42" s="141">
        <v>0.0</v>
      </c>
      <c r="J42" s="141">
        <v>0.0</v>
      </c>
      <c r="K42" s="141">
        <v>0.0</v>
      </c>
      <c r="L42" s="141">
        <v>0.0</v>
      </c>
      <c r="M42" s="141">
        <v>0.0</v>
      </c>
      <c r="N42" s="141">
        <v>0.0</v>
      </c>
      <c r="O42" s="141">
        <v>0.0</v>
      </c>
      <c r="P42" s="141">
        <v>0.0</v>
      </c>
      <c r="Q42" s="141">
        <v>0.0</v>
      </c>
      <c r="R42" s="141">
        <v>0.0</v>
      </c>
      <c r="S42" s="141">
        <v>0.0</v>
      </c>
      <c r="T42" s="141">
        <v>0.0</v>
      </c>
      <c r="U42" s="141">
        <v>0.0</v>
      </c>
      <c r="V42" s="141">
        <v>0.0</v>
      </c>
      <c r="W42" s="141">
        <v>0.0</v>
      </c>
      <c r="X42" s="141">
        <v>0.0</v>
      </c>
      <c r="Y42" s="141">
        <v>0.0</v>
      </c>
      <c r="Z42" s="142">
        <v>0.0</v>
      </c>
      <c r="AA42" s="143">
        <v>0.0</v>
      </c>
      <c r="AB42" s="135"/>
      <c r="AC42" s="135"/>
    </row>
    <row r="43" ht="15.75" customHeight="1">
      <c r="A43" s="139" t="s">
        <v>62</v>
      </c>
      <c r="B43" s="141">
        <v>0.0</v>
      </c>
      <c r="C43" s="141">
        <v>0.0</v>
      </c>
      <c r="D43" s="141">
        <v>0.0</v>
      </c>
      <c r="E43" s="141">
        <v>0.0</v>
      </c>
      <c r="F43" s="141">
        <v>0.0</v>
      </c>
      <c r="G43" s="141">
        <v>0.0</v>
      </c>
      <c r="H43" s="141">
        <v>0.0</v>
      </c>
      <c r="I43" s="141">
        <v>0.0</v>
      </c>
      <c r="J43" s="141">
        <v>0.0</v>
      </c>
      <c r="K43" s="141">
        <v>1538.12</v>
      </c>
      <c r="L43" s="141">
        <v>0.0</v>
      </c>
      <c r="M43" s="141">
        <v>0.0</v>
      </c>
      <c r="N43" s="141">
        <v>0.0</v>
      </c>
      <c r="O43" s="141">
        <v>0.0</v>
      </c>
      <c r="P43" s="141">
        <v>0.0</v>
      </c>
      <c r="Q43" s="141">
        <v>0.0</v>
      </c>
      <c r="R43" s="141">
        <v>0.0</v>
      </c>
      <c r="S43" s="141">
        <v>4800.0</v>
      </c>
      <c r="T43" s="141">
        <v>0.0</v>
      </c>
      <c r="U43" s="141">
        <v>0.0</v>
      </c>
      <c r="V43" s="141">
        <v>0.0</v>
      </c>
      <c r="W43" s="141">
        <v>2400.0</v>
      </c>
      <c r="X43" s="141">
        <v>0.0</v>
      </c>
      <c r="Y43" s="141">
        <v>0.0</v>
      </c>
      <c r="Z43" s="142">
        <v>8738.12</v>
      </c>
      <c r="AA43" s="143">
        <v>0.0</v>
      </c>
      <c r="AB43" s="135"/>
      <c r="AC43" s="135"/>
    </row>
    <row r="44" ht="15.75" customHeight="1">
      <c r="A44" s="139" t="s">
        <v>63</v>
      </c>
      <c r="B44" s="141">
        <v>2808.75</v>
      </c>
      <c r="C44" s="141">
        <v>0.0</v>
      </c>
      <c r="D44" s="141">
        <v>0.0</v>
      </c>
      <c r="E44" s="141">
        <v>0.0</v>
      </c>
      <c r="F44" s="141">
        <v>0.0</v>
      </c>
      <c r="G44" s="141">
        <v>12500.0</v>
      </c>
      <c r="H44" s="141">
        <v>3500.0</v>
      </c>
      <c r="I44" s="141">
        <v>1500.0</v>
      </c>
      <c r="J44" s="141">
        <v>16000.0</v>
      </c>
      <c r="K44" s="141">
        <v>18514.29</v>
      </c>
      <c r="L44" s="141">
        <v>0.0</v>
      </c>
      <c r="M44" s="141">
        <v>3500.0</v>
      </c>
      <c r="N44" s="141">
        <v>0.0</v>
      </c>
      <c r="O44" s="141">
        <v>0.0</v>
      </c>
      <c r="P44" s="141">
        <v>0.0</v>
      </c>
      <c r="Q44" s="141">
        <v>0.0</v>
      </c>
      <c r="R44" s="141">
        <v>0.0</v>
      </c>
      <c r="S44" s="141">
        <v>1850.0</v>
      </c>
      <c r="T44" s="141">
        <v>3150.0</v>
      </c>
      <c r="U44" s="141">
        <v>0.0</v>
      </c>
      <c r="V44" s="141">
        <v>0.0</v>
      </c>
      <c r="W44" s="141">
        <v>0.0</v>
      </c>
      <c r="X44" s="141">
        <v>0.0</v>
      </c>
      <c r="Y44" s="141">
        <v>1350.0</v>
      </c>
      <c r="Z44" s="142">
        <v>64673.04</v>
      </c>
      <c r="AA44" s="143">
        <v>0.02</v>
      </c>
      <c r="AB44" s="135"/>
      <c r="AC44" s="135"/>
    </row>
    <row r="45" ht="15.75" customHeight="1">
      <c r="A45" s="139" t="s">
        <v>64</v>
      </c>
      <c r="B45" s="141">
        <v>0.0</v>
      </c>
      <c r="C45" s="141">
        <v>0.0</v>
      </c>
      <c r="D45" s="141">
        <v>0.0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141">
        <v>0.0</v>
      </c>
      <c r="Z45" s="142">
        <v>0.0</v>
      </c>
      <c r="AA45" s="143">
        <v>0.0</v>
      </c>
      <c r="AB45" s="135"/>
      <c r="AC45" s="135"/>
    </row>
    <row r="46" ht="15.75" customHeight="1">
      <c r="A46" s="139" t="s">
        <v>65</v>
      </c>
      <c r="B46" s="141">
        <v>0.0</v>
      </c>
      <c r="C46" s="141">
        <v>0.0</v>
      </c>
      <c r="D46" s="141">
        <v>0.0</v>
      </c>
      <c r="E46" s="141">
        <v>0.0</v>
      </c>
      <c r="F46" s="141">
        <v>566.0</v>
      </c>
      <c r="G46" s="141">
        <v>0.0</v>
      </c>
      <c r="H46" s="141">
        <v>0.0</v>
      </c>
      <c r="I46" s="141">
        <v>0.0</v>
      </c>
      <c r="J46" s="141">
        <v>0.0</v>
      </c>
      <c r="K46" s="141">
        <v>0.0</v>
      </c>
      <c r="L46" s="141">
        <v>0.0</v>
      </c>
      <c r="M46" s="141">
        <v>0.0</v>
      </c>
      <c r="N46" s="141">
        <v>0.0</v>
      </c>
      <c r="O46" s="141">
        <v>0.0</v>
      </c>
      <c r="P46" s="141">
        <v>0.0</v>
      </c>
      <c r="Q46" s="141">
        <v>0.0</v>
      </c>
      <c r="R46" s="141">
        <v>0.0</v>
      </c>
      <c r="S46" s="141">
        <v>0.0</v>
      </c>
      <c r="T46" s="141">
        <v>0.0</v>
      </c>
      <c r="U46" s="141">
        <v>0.0</v>
      </c>
      <c r="V46" s="141">
        <v>0.0</v>
      </c>
      <c r="W46" s="141">
        <v>0.0</v>
      </c>
      <c r="X46" s="141">
        <v>0.0</v>
      </c>
      <c r="Y46" s="141">
        <v>0.0</v>
      </c>
      <c r="Z46" s="142">
        <v>566.0</v>
      </c>
      <c r="AA46" s="143">
        <v>0.0</v>
      </c>
      <c r="AB46" s="135"/>
      <c r="AC46" s="135"/>
    </row>
    <row r="47" ht="15.75" customHeight="1">
      <c r="A47" s="135" t="s">
        <v>66</v>
      </c>
      <c r="B47" s="141">
        <v>0.0</v>
      </c>
      <c r="C47" s="141">
        <v>0.0</v>
      </c>
      <c r="D47" s="141">
        <v>0.0</v>
      </c>
      <c r="E47" s="141">
        <v>0.0</v>
      </c>
      <c r="F47" s="141">
        <v>0.0</v>
      </c>
      <c r="G47" s="141">
        <v>0.0</v>
      </c>
      <c r="H47" s="141">
        <v>0.0</v>
      </c>
      <c r="I47" s="141">
        <v>0.0</v>
      </c>
      <c r="J47" s="141">
        <v>0.0</v>
      </c>
      <c r="K47" s="141">
        <v>0.0</v>
      </c>
      <c r="L47" s="141">
        <v>0.0</v>
      </c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1">
        <v>0.0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141">
        <v>9450.0</v>
      </c>
      <c r="Z47" s="142">
        <v>9450.0</v>
      </c>
      <c r="AA47" s="143">
        <v>0.0</v>
      </c>
      <c r="AB47" s="135"/>
      <c r="AC47" s="135"/>
    </row>
    <row r="48" ht="15.75" customHeight="1">
      <c r="A48" s="139" t="s">
        <v>67</v>
      </c>
      <c r="B48" s="141">
        <v>467.81</v>
      </c>
      <c r="C48" s="141">
        <v>0.0</v>
      </c>
      <c r="D48" s="141">
        <v>131.3</v>
      </c>
      <c r="E48" s="141">
        <v>0.0</v>
      </c>
      <c r="F48" s="141">
        <v>0.0</v>
      </c>
      <c r="G48" s="141">
        <v>8.8</v>
      </c>
      <c r="H48" s="141">
        <v>58.88</v>
      </c>
      <c r="I48" s="141">
        <v>59.35</v>
      </c>
      <c r="J48" s="141">
        <v>961.54</v>
      </c>
      <c r="K48" s="141">
        <v>553.37</v>
      </c>
      <c r="L48" s="141">
        <v>0.0</v>
      </c>
      <c r="M48" s="141">
        <v>47.43</v>
      </c>
      <c r="N48" s="141">
        <v>24.65</v>
      </c>
      <c r="O48" s="141">
        <v>399.35</v>
      </c>
      <c r="P48" s="141">
        <v>0.0</v>
      </c>
      <c r="Q48" s="141">
        <v>228.87</v>
      </c>
      <c r="R48" s="141">
        <v>407.68</v>
      </c>
      <c r="S48" s="141">
        <v>230.06</v>
      </c>
      <c r="T48" s="141">
        <v>68.15</v>
      </c>
      <c r="U48" s="141">
        <v>0.0</v>
      </c>
      <c r="V48" s="141">
        <v>8.8</v>
      </c>
      <c r="W48" s="141">
        <v>299.61</v>
      </c>
      <c r="X48" s="141">
        <v>0.0</v>
      </c>
      <c r="Y48" s="141">
        <v>2067.49</v>
      </c>
      <c r="Z48" s="142">
        <v>6023.14</v>
      </c>
      <c r="AA48" s="143">
        <v>0.0</v>
      </c>
      <c r="AB48" s="135"/>
      <c r="AC48" s="135"/>
    </row>
    <row r="49" ht="15.75" customHeight="1">
      <c r="A49" s="139" t="s">
        <v>68</v>
      </c>
      <c r="B49" s="141">
        <v>290.86</v>
      </c>
      <c r="C49" s="141">
        <v>0.0</v>
      </c>
      <c r="D49" s="141">
        <v>62.1</v>
      </c>
      <c r="E49" s="141">
        <v>0.0</v>
      </c>
      <c r="F49" s="141">
        <v>0.0</v>
      </c>
      <c r="G49" s="141">
        <v>156.62</v>
      </c>
      <c r="H49" s="141">
        <v>195.02</v>
      </c>
      <c r="I49" s="141">
        <v>52.74</v>
      </c>
      <c r="J49" s="141">
        <v>412.94</v>
      </c>
      <c r="K49" s="141">
        <v>124.99</v>
      </c>
      <c r="L49" s="141">
        <v>0.0</v>
      </c>
      <c r="M49" s="141">
        <v>88.86</v>
      </c>
      <c r="N49" s="141">
        <v>72.26</v>
      </c>
      <c r="O49" s="141">
        <v>62.1</v>
      </c>
      <c r="P49" s="141">
        <v>0.0</v>
      </c>
      <c r="Q49" s="141">
        <v>86.56</v>
      </c>
      <c r="R49" s="141">
        <v>114.84</v>
      </c>
      <c r="S49" s="141">
        <v>213.05</v>
      </c>
      <c r="T49" s="141">
        <v>175.11</v>
      </c>
      <c r="U49" s="141">
        <v>0.0</v>
      </c>
      <c r="V49" s="141">
        <v>269.88</v>
      </c>
      <c r="W49" s="141">
        <v>0.0</v>
      </c>
      <c r="X49" s="141">
        <v>0.0</v>
      </c>
      <c r="Y49" s="141">
        <v>579.09</v>
      </c>
      <c r="Z49" s="142">
        <v>2957.02</v>
      </c>
      <c r="AA49" s="143">
        <v>0.0</v>
      </c>
      <c r="AB49" s="135"/>
      <c r="AC49" s="135"/>
    </row>
    <row r="50" ht="15.75" customHeight="1">
      <c r="A50" s="139" t="s">
        <v>69</v>
      </c>
      <c r="B50" s="141">
        <v>0.0</v>
      </c>
      <c r="C50" s="141">
        <v>0.0</v>
      </c>
      <c r="D50" s="141">
        <v>0.0</v>
      </c>
      <c r="E50" s="141">
        <v>0.0</v>
      </c>
      <c r="F50" s="141">
        <v>0.0</v>
      </c>
      <c r="G50" s="141">
        <v>0.0</v>
      </c>
      <c r="H50" s="141">
        <v>0.0</v>
      </c>
      <c r="I50" s="141">
        <v>0.0</v>
      </c>
      <c r="J50" s="141">
        <v>0.0</v>
      </c>
      <c r="K50" s="141">
        <v>0.0</v>
      </c>
      <c r="L50" s="141">
        <v>0.0</v>
      </c>
      <c r="M50" s="141">
        <v>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0.0</v>
      </c>
      <c r="T50" s="141">
        <v>0.0</v>
      </c>
      <c r="U50" s="141">
        <v>0.0</v>
      </c>
      <c r="V50" s="141">
        <v>0.0</v>
      </c>
      <c r="W50" s="141">
        <v>2700.0</v>
      </c>
      <c r="X50" s="141">
        <v>0.0</v>
      </c>
      <c r="Y50" s="141">
        <v>0.0</v>
      </c>
      <c r="Z50" s="142">
        <v>2700.0</v>
      </c>
      <c r="AA50" s="143">
        <v>0.0</v>
      </c>
      <c r="AB50" s="135"/>
      <c r="AC50" s="135"/>
    </row>
    <row r="51" ht="15.75" customHeight="1">
      <c r="A51" s="139" t="s">
        <v>70</v>
      </c>
      <c r="B51" s="141">
        <v>0.0</v>
      </c>
      <c r="C51" s="141">
        <v>0.0</v>
      </c>
      <c r="D51" s="141">
        <v>0.0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1">
        <v>0.0</v>
      </c>
      <c r="Q51" s="141">
        <v>0.0</v>
      </c>
      <c r="R51" s="141">
        <v>0.0</v>
      </c>
      <c r="S51" s="141">
        <v>0.0</v>
      </c>
      <c r="T51" s="141">
        <v>0.0</v>
      </c>
      <c r="U51" s="141">
        <v>0.0</v>
      </c>
      <c r="V51" s="141">
        <v>0.0</v>
      </c>
      <c r="W51" s="141">
        <v>0.0</v>
      </c>
      <c r="X51" s="141">
        <v>0.0</v>
      </c>
      <c r="Y51" s="141">
        <v>1293.0</v>
      </c>
      <c r="Z51" s="142">
        <v>1293.0</v>
      </c>
      <c r="AA51" s="143">
        <v>0.0</v>
      </c>
      <c r="AB51" s="135"/>
      <c r="AC51" s="135"/>
    </row>
    <row r="52" ht="15.75" customHeight="1">
      <c r="A52" s="139" t="s">
        <v>71</v>
      </c>
      <c r="B52" s="141">
        <v>0.0</v>
      </c>
      <c r="C52" s="141">
        <v>0.0</v>
      </c>
      <c r="D52" s="141">
        <v>0.0</v>
      </c>
      <c r="E52" s="141">
        <v>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141">
        <v>0.0</v>
      </c>
      <c r="N52" s="141">
        <v>0.0</v>
      </c>
      <c r="O52" s="141">
        <v>0.0</v>
      </c>
      <c r="P52" s="141">
        <v>0.0</v>
      </c>
      <c r="Q52" s="141">
        <v>0.0</v>
      </c>
      <c r="R52" s="141">
        <v>0.0</v>
      </c>
      <c r="S52" s="141">
        <v>0.0</v>
      </c>
      <c r="T52" s="141">
        <v>0.0</v>
      </c>
      <c r="U52" s="141">
        <v>0.0</v>
      </c>
      <c r="V52" s="141">
        <v>0.0</v>
      </c>
      <c r="W52" s="141">
        <v>0.0</v>
      </c>
      <c r="X52" s="141">
        <v>0.0</v>
      </c>
      <c r="Y52" s="141">
        <v>0.0</v>
      </c>
      <c r="Z52" s="142">
        <v>0.0</v>
      </c>
      <c r="AA52" s="143">
        <v>0.0</v>
      </c>
      <c r="AB52" s="135"/>
      <c r="AC52" s="135"/>
    </row>
    <row r="53" ht="15.75" customHeight="1">
      <c r="A53" s="139" t="s">
        <v>72</v>
      </c>
      <c r="B53" s="141">
        <v>0.0</v>
      </c>
      <c r="C53" s="141">
        <v>0.0</v>
      </c>
      <c r="D53" s="141">
        <v>0.0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1">
        <v>0.0</v>
      </c>
      <c r="Q53" s="141">
        <v>0.0</v>
      </c>
      <c r="R53" s="141">
        <v>0.0</v>
      </c>
      <c r="S53" s="141">
        <v>0.0</v>
      </c>
      <c r="T53" s="141">
        <v>0.0</v>
      </c>
      <c r="U53" s="141">
        <v>0.0</v>
      </c>
      <c r="V53" s="141">
        <v>0.0</v>
      </c>
      <c r="W53" s="141">
        <v>0.0</v>
      </c>
      <c r="X53" s="141">
        <v>0.0</v>
      </c>
      <c r="Y53" s="141">
        <v>0.0</v>
      </c>
      <c r="Z53" s="142">
        <v>0.0</v>
      </c>
      <c r="AA53" s="143">
        <v>0.0</v>
      </c>
      <c r="AB53" s="135"/>
      <c r="AC53" s="135"/>
    </row>
    <row r="54" ht="15.75" customHeight="1">
      <c r="A54" s="139" t="s">
        <v>73</v>
      </c>
      <c r="B54" s="141">
        <v>0.0</v>
      </c>
      <c r="C54" s="141">
        <v>0.0</v>
      </c>
      <c r="D54" s="141">
        <v>0.0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1">
        <v>0.0</v>
      </c>
      <c r="Q54" s="141">
        <v>0.0</v>
      </c>
      <c r="R54" s="141">
        <v>0.0</v>
      </c>
      <c r="S54" s="141">
        <v>0.0</v>
      </c>
      <c r="T54" s="141">
        <v>0.0</v>
      </c>
      <c r="U54" s="141">
        <v>0.0</v>
      </c>
      <c r="V54" s="141">
        <v>0.0</v>
      </c>
      <c r="W54" s="141">
        <v>0.0</v>
      </c>
      <c r="X54" s="141">
        <v>0.0</v>
      </c>
      <c r="Y54" s="141">
        <v>0.0</v>
      </c>
      <c r="Z54" s="142">
        <v>0.0</v>
      </c>
      <c r="AA54" s="143">
        <v>0.0</v>
      </c>
      <c r="AB54" s="135"/>
      <c r="AC54" s="135"/>
    </row>
    <row r="55" ht="15.75" customHeight="1">
      <c r="A55" s="139" t="s">
        <v>74</v>
      </c>
      <c r="B55" s="141">
        <v>0.0</v>
      </c>
      <c r="C55" s="141">
        <v>0.0</v>
      </c>
      <c r="D55" s="141">
        <v>0.0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1">
        <v>0.0</v>
      </c>
      <c r="Q55" s="141">
        <v>0.0</v>
      </c>
      <c r="R55" s="141">
        <v>0.0</v>
      </c>
      <c r="S55" s="141">
        <v>0.0</v>
      </c>
      <c r="T55" s="141">
        <v>0.0</v>
      </c>
      <c r="U55" s="141">
        <v>0.0</v>
      </c>
      <c r="V55" s="141">
        <v>0.0</v>
      </c>
      <c r="W55" s="141">
        <v>0.0</v>
      </c>
      <c r="X55" s="141">
        <v>0.0</v>
      </c>
      <c r="Y55" s="141">
        <v>0.0</v>
      </c>
      <c r="Z55" s="142">
        <v>0.0</v>
      </c>
      <c r="AA55" s="143">
        <v>0.0</v>
      </c>
      <c r="AB55" s="135"/>
      <c r="AC55" s="135"/>
    </row>
    <row r="56" ht="15.75" customHeight="1">
      <c r="A56" s="139" t="s">
        <v>75</v>
      </c>
      <c r="B56" s="141">
        <v>0.0</v>
      </c>
      <c r="C56" s="141">
        <v>0.0</v>
      </c>
      <c r="D56" s="141">
        <v>0.0</v>
      </c>
      <c r="E56" s="141">
        <v>0.0</v>
      </c>
      <c r="F56" s="141">
        <v>0.0</v>
      </c>
      <c r="G56" s="141">
        <v>0.0</v>
      </c>
      <c r="H56" s="141">
        <v>0.0</v>
      </c>
      <c r="I56" s="141">
        <v>0.0</v>
      </c>
      <c r="J56" s="141">
        <v>1298.64</v>
      </c>
      <c r="K56" s="141">
        <v>0.0</v>
      </c>
      <c r="L56" s="141">
        <v>0.0</v>
      </c>
      <c r="M56" s="141">
        <v>0.0</v>
      </c>
      <c r="N56" s="141">
        <v>0.0</v>
      </c>
      <c r="O56" s="141">
        <v>0.0</v>
      </c>
      <c r="P56" s="141">
        <v>0.0</v>
      </c>
      <c r="Q56" s="141">
        <v>0.0</v>
      </c>
      <c r="R56" s="141">
        <v>0.0</v>
      </c>
      <c r="S56" s="141">
        <v>0.0</v>
      </c>
      <c r="T56" s="141">
        <v>0.0</v>
      </c>
      <c r="U56" s="141">
        <v>0.0</v>
      </c>
      <c r="V56" s="141">
        <v>0.0</v>
      </c>
      <c r="W56" s="141">
        <v>0.0</v>
      </c>
      <c r="X56" s="141">
        <v>0.0</v>
      </c>
      <c r="Y56" s="141">
        <v>0.0</v>
      </c>
      <c r="Z56" s="142">
        <v>1298.64</v>
      </c>
      <c r="AA56" s="143">
        <v>0.0</v>
      </c>
      <c r="AB56" s="135"/>
      <c r="AC56" s="135"/>
    </row>
    <row r="57" ht="15.75" customHeight="1">
      <c r="A57" s="139" t="s">
        <v>76</v>
      </c>
      <c r="B57" s="141">
        <v>0.0</v>
      </c>
      <c r="C57" s="141">
        <v>0.0</v>
      </c>
      <c r="D57" s="141">
        <v>0.0</v>
      </c>
      <c r="E57" s="141">
        <v>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1010.41</v>
      </c>
      <c r="K57" s="141">
        <v>0.0</v>
      </c>
      <c r="L57" s="141">
        <v>0.0</v>
      </c>
      <c r="M57" s="141">
        <v>0.0</v>
      </c>
      <c r="N57" s="141">
        <v>0.0</v>
      </c>
      <c r="O57" s="141">
        <v>0.0</v>
      </c>
      <c r="P57" s="141">
        <v>0.0</v>
      </c>
      <c r="Q57" s="141">
        <v>0.0</v>
      </c>
      <c r="R57" s="141">
        <v>0.0</v>
      </c>
      <c r="S57" s="141">
        <v>0.0</v>
      </c>
      <c r="T57" s="141">
        <v>0.0</v>
      </c>
      <c r="U57" s="141">
        <v>0.0</v>
      </c>
      <c r="V57" s="141">
        <v>0.0</v>
      </c>
      <c r="W57" s="141">
        <v>0.0</v>
      </c>
      <c r="X57" s="141">
        <v>0.0</v>
      </c>
      <c r="Y57" s="141">
        <v>2113.22</v>
      </c>
      <c r="Z57" s="142">
        <v>3123.63</v>
      </c>
      <c r="AA57" s="143">
        <v>0.0</v>
      </c>
      <c r="AB57" s="135"/>
      <c r="AC57" s="135"/>
    </row>
    <row r="58" ht="15.75" customHeight="1">
      <c r="A58" s="139" t="s">
        <v>77</v>
      </c>
      <c r="B58" s="141">
        <v>0.0</v>
      </c>
      <c r="C58" s="141">
        <v>0.0</v>
      </c>
      <c r="D58" s="141">
        <v>0.0</v>
      </c>
      <c r="E58" s="141">
        <v>0.0</v>
      </c>
      <c r="F58" s="141">
        <v>0.0</v>
      </c>
      <c r="G58" s="141">
        <v>0.0</v>
      </c>
      <c r="H58" s="141">
        <v>0.0</v>
      </c>
      <c r="I58" s="141">
        <v>0.0</v>
      </c>
      <c r="J58" s="141">
        <v>0.0</v>
      </c>
      <c r="K58" s="141">
        <v>0.0</v>
      </c>
      <c r="L58" s="141">
        <v>0.0</v>
      </c>
      <c r="M58" s="141">
        <v>0.0</v>
      </c>
      <c r="N58" s="141">
        <v>0.0</v>
      </c>
      <c r="O58" s="141">
        <v>0.0</v>
      </c>
      <c r="P58" s="141">
        <v>0.0</v>
      </c>
      <c r="Q58" s="141">
        <v>0.0</v>
      </c>
      <c r="R58" s="141">
        <v>0.0</v>
      </c>
      <c r="S58" s="141">
        <v>0.0</v>
      </c>
      <c r="T58" s="141">
        <v>0.0</v>
      </c>
      <c r="U58" s="141">
        <v>0.0</v>
      </c>
      <c r="V58" s="141">
        <v>0.0</v>
      </c>
      <c r="W58" s="141">
        <v>0.0</v>
      </c>
      <c r="X58" s="141">
        <v>0.0</v>
      </c>
      <c r="Y58" s="141">
        <v>770.0</v>
      </c>
      <c r="Z58" s="142">
        <v>770.0</v>
      </c>
      <c r="AA58" s="143">
        <v>0.0</v>
      </c>
      <c r="AB58" s="135"/>
      <c r="AC58" s="135"/>
    </row>
    <row r="59" ht="15.75" customHeight="1">
      <c r="A59" s="139" t="s">
        <v>78</v>
      </c>
      <c r="B59" s="141">
        <v>0.0</v>
      </c>
      <c r="C59" s="141">
        <v>0.0</v>
      </c>
      <c r="D59" s="141">
        <v>0.0</v>
      </c>
      <c r="E59" s="141">
        <v>0.0</v>
      </c>
      <c r="F59" s="141">
        <v>0.0</v>
      </c>
      <c r="G59" s="141">
        <v>0.0</v>
      </c>
      <c r="H59" s="141">
        <v>0.0</v>
      </c>
      <c r="I59" s="141">
        <v>0.0</v>
      </c>
      <c r="J59" s="141">
        <v>0.0</v>
      </c>
      <c r="K59" s="141">
        <v>0.0</v>
      </c>
      <c r="L59" s="141">
        <v>0.0</v>
      </c>
      <c r="M59" s="141">
        <v>0.0</v>
      </c>
      <c r="N59" s="141">
        <v>0.0</v>
      </c>
      <c r="O59" s="141">
        <v>0.0</v>
      </c>
      <c r="P59" s="141">
        <v>0.0</v>
      </c>
      <c r="Q59" s="141">
        <v>0.0</v>
      </c>
      <c r="R59" s="141">
        <v>0.0</v>
      </c>
      <c r="S59" s="141">
        <v>0.0</v>
      </c>
      <c r="T59" s="141">
        <v>0.0</v>
      </c>
      <c r="U59" s="141">
        <v>0.0</v>
      </c>
      <c r="V59" s="141">
        <v>0.0</v>
      </c>
      <c r="W59" s="141">
        <v>0.0</v>
      </c>
      <c r="X59" s="141">
        <v>0.0</v>
      </c>
      <c r="Y59" s="141">
        <v>2934.96</v>
      </c>
      <c r="Z59" s="142">
        <v>2934.96</v>
      </c>
      <c r="AA59" s="143">
        <v>0.0</v>
      </c>
      <c r="AB59" s="135"/>
      <c r="AC59" s="135"/>
    </row>
    <row r="60" ht="15.75" customHeight="1">
      <c r="A60" s="139" t="s">
        <v>79</v>
      </c>
      <c r="B60" s="141">
        <v>0.0</v>
      </c>
      <c r="C60" s="141">
        <v>0.0</v>
      </c>
      <c r="D60" s="141">
        <v>0.0</v>
      </c>
      <c r="E60" s="141">
        <v>0.0</v>
      </c>
      <c r="F60" s="141">
        <v>0.0</v>
      </c>
      <c r="G60" s="141">
        <v>0.0</v>
      </c>
      <c r="H60" s="141">
        <v>0.0</v>
      </c>
      <c r="I60" s="141">
        <v>0.0</v>
      </c>
      <c r="J60" s="141">
        <v>24473.0</v>
      </c>
      <c r="K60" s="141">
        <v>0.0</v>
      </c>
      <c r="L60" s="141">
        <v>0.0</v>
      </c>
      <c r="M60" s="141">
        <v>430.0</v>
      </c>
      <c r="N60" s="141">
        <v>0.0</v>
      </c>
      <c r="O60" s="141">
        <v>0.0</v>
      </c>
      <c r="P60" s="141">
        <v>0.0</v>
      </c>
      <c r="Q60" s="141">
        <v>0.0</v>
      </c>
      <c r="R60" s="141">
        <v>0.0</v>
      </c>
      <c r="S60" s="141">
        <v>0.0</v>
      </c>
      <c r="T60" s="141">
        <v>0.0</v>
      </c>
      <c r="U60" s="141">
        <v>0.0</v>
      </c>
      <c r="V60" s="141">
        <v>0.0</v>
      </c>
      <c r="W60" s="141">
        <v>570.0</v>
      </c>
      <c r="X60" s="141">
        <v>0.0</v>
      </c>
      <c r="Y60" s="141">
        <v>0.0</v>
      </c>
      <c r="Z60" s="142">
        <v>25473.0</v>
      </c>
      <c r="AA60" s="143">
        <v>0.01</v>
      </c>
      <c r="AB60" s="135"/>
      <c r="AC60" s="135"/>
    </row>
    <row r="61" ht="15.75" customHeight="1">
      <c r="A61" s="139" t="s">
        <v>80</v>
      </c>
      <c r="B61" s="141">
        <v>0.0</v>
      </c>
      <c r="C61" s="141">
        <v>0.0</v>
      </c>
      <c r="D61" s="141">
        <v>0.0</v>
      </c>
      <c r="E61" s="141">
        <v>0.0</v>
      </c>
      <c r="F61" s="141">
        <v>0.0</v>
      </c>
      <c r="G61" s="141">
        <v>0.0</v>
      </c>
      <c r="H61" s="141">
        <v>0.0</v>
      </c>
      <c r="I61" s="141">
        <v>0.0</v>
      </c>
      <c r="J61" s="141">
        <v>0.0</v>
      </c>
      <c r="K61" s="141">
        <v>0.0</v>
      </c>
      <c r="L61" s="141">
        <v>0.0</v>
      </c>
      <c r="M61" s="141">
        <v>0.0</v>
      </c>
      <c r="N61" s="141">
        <v>0.0</v>
      </c>
      <c r="O61" s="141">
        <v>0.0</v>
      </c>
      <c r="P61" s="141">
        <v>0.0</v>
      </c>
      <c r="Q61" s="141">
        <v>0.0</v>
      </c>
      <c r="R61" s="141">
        <v>0.0</v>
      </c>
      <c r="S61" s="141">
        <v>0.0</v>
      </c>
      <c r="T61" s="141">
        <v>0.0</v>
      </c>
      <c r="U61" s="141">
        <v>0.0</v>
      </c>
      <c r="V61" s="141">
        <v>0.0</v>
      </c>
      <c r="W61" s="141">
        <v>0.0</v>
      </c>
      <c r="X61" s="141">
        <v>0.0</v>
      </c>
      <c r="Y61" s="141">
        <v>1904.75</v>
      </c>
      <c r="Z61" s="142">
        <v>1904.75</v>
      </c>
      <c r="AA61" s="143">
        <v>0.0</v>
      </c>
      <c r="AB61" s="135"/>
      <c r="AC61" s="135"/>
    </row>
    <row r="62" ht="15.75" customHeight="1">
      <c r="A62" s="139" t="s">
        <v>81</v>
      </c>
      <c r="B62" s="141">
        <v>0.0</v>
      </c>
      <c r="C62" s="141">
        <v>0.0</v>
      </c>
      <c r="D62" s="141">
        <v>0.0</v>
      </c>
      <c r="E62" s="141">
        <v>0.0</v>
      </c>
      <c r="F62" s="141">
        <v>0.0</v>
      </c>
      <c r="G62" s="141">
        <v>2860.0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0.0</v>
      </c>
      <c r="N62" s="141">
        <v>0.0</v>
      </c>
      <c r="O62" s="141">
        <v>0.0</v>
      </c>
      <c r="P62" s="141">
        <v>0.0</v>
      </c>
      <c r="Q62" s="141">
        <v>0.0</v>
      </c>
      <c r="R62" s="141">
        <v>0.0</v>
      </c>
      <c r="S62" s="141">
        <v>0.0</v>
      </c>
      <c r="T62" s="141">
        <v>0.0</v>
      </c>
      <c r="U62" s="141">
        <v>0.0</v>
      </c>
      <c r="V62" s="141">
        <v>0.0</v>
      </c>
      <c r="W62" s="141">
        <v>0.0</v>
      </c>
      <c r="X62" s="141">
        <v>0.0</v>
      </c>
      <c r="Y62" s="141">
        <v>0.0</v>
      </c>
      <c r="Z62" s="142">
        <v>2860.0</v>
      </c>
      <c r="AA62" s="143">
        <v>0.0</v>
      </c>
      <c r="AB62" s="135"/>
      <c r="AC62" s="135"/>
    </row>
    <row r="63" ht="15.75" customHeight="1">
      <c r="A63" s="139" t="s">
        <v>82</v>
      </c>
      <c r="B63" s="141">
        <v>1010.0</v>
      </c>
      <c r="C63" s="141">
        <v>1010.0</v>
      </c>
      <c r="D63" s="141">
        <v>1010.0</v>
      </c>
      <c r="E63" s="141">
        <v>0.0</v>
      </c>
      <c r="F63" s="141">
        <v>1006.36</v>
      </c>
      <c r="G63" s="141">
        <v>1010.0</v>
      </c>
      <c r="H63" s="141">
        <v>1010.0</v>
      </c>
      <c r="I63" s="141">
        <v>1010.0</v>
      </c>
      <c r="J63" s="141">
        <v>1010.0</v>
      </c>
      <c r="K63" s="141">
        <v>1010.0</v>
      </c>
      <c r="L63" s="141">
        <v>1010.0</v>
      </c>
      <c r="M63" s="141">
        <v>1010.0</v>
      </c>
      <c r="N63" s="141">
        <v>1010.0</v>
      </c>
      <c r="O63" s="141">
        <v>1010.0</v>
      </c>
      <c r="P63" s="141">
        <v>1010.0</v>
      </c>
      <c r="Q63" s="141">
        <v>1010.0</v>
      </c>
      <c r="R63" s="141">
        <v>1010.0</v>
      </c>
      <c r="S63" s="141">
        <v>1010.0</v>
      </c>
      <c r="T63" s="141">
        <v>1010.0</v>
      </c>
      <c r="U63" s="141">
        <v>1010.0</v>
      </c>
      <c r="V63" s="141">
        <v>1010.0</v>
      </c>
      <c r="W63" s="141">
        <v>1010.0</v>
      </c>
      <c r="X63" s="141">
        <v>1010.0</v>
      </c>
      <c r="Y63" s="141">
        <v>1738.38</v>
      </c>
      <c r="Z63" s="142">
        <v>23954.74</v>
      </c>
      <c r="AA63" s="143">
        <v>0.01</v>
      </c>
      <c r="AB63" s="135"/>
      <c r="AC63" s="135"/>
    </row>
    <row r="64" ht="15.75" customHeight="1">
      <c r="A64" s="139" t="s">
        <v>83</v>
      </c>
      <c r="B64" s="141">
        <v>0.0</v>
      </c>
      <c r="C64" s="141">
        <v>0.0</v>
      </c>
      <c r="D64" s="141">
        <v>0.0</v>
      </c>
      <c r="E64" s="141">
        <v>0.0</v>
      </c>
      <c r="F64" s="141">
        <v>0.0</v>
      </c>
      <c r="G64" s="141">
        <v>0.0</v>
      </c>
      <c r="H64" s="141">
        <v>0.0</v>
      </c>
      <c r="I64" s="141">
        <v>0.0</v>
      </c>
      <c r="J64" s="141">
        <v>0.0</v>
      </c>
      <c r="K64" s="141">
        <v>0.0</v>
      </c>
      <c r="L64" s="141">
        <v>0.0</v>
      </c>
      <c r="M64" s="141">
        <v>0.0</v>
      </c>
      <c r="N64" s="141">
        <v>0.0</v>
      </c>
      <c r="O64" s="141">
        <v>0.0</v>
      </c>
      <c r="P64" s="141">
        <v>0.0</v>
      </c>
      <c r="Q64" s="141">
        <v>0.0</v>
      </c>
      <c r="R64" s="141">
        <v>0.0</v>
      </c>
      <c r="S64" s="141">
        <v>0.0</v>
      </c>
      <c r="T64" s="141">
        <v>0.0</v>
      </c>
      <c r="U64" s="141">
        <v>0.0</v>
      </c>
      <c r="V64" s="141">
        <v>0.0</v>
      </c>
      <c r="W64" s="141">
        <v>0.0</v>
      </c>
      <c r="X64" s="141">
        <v>0.0</v>
      </c>
      <c r="Y64" s="141">
        <v>9385.03</v>
      </c>
      <c r="Z64" s="142">
        <v>9385.03</v>
      </c>
      <c r="AA64" s="143">
        <v>0.0</v>
      </c>
      <c r="AB64" s="135"/>
      <c r="AC64" s="135"/>
    </row>
    <row r="65" ht="15.75" customHeight="1">
      <c r="A65" s="139" t="s">
        <v>84</v>
      </c>
      <c r="B65" s="141">
        <v>0.0</v>
      </c>
      <c r="C65" s="141">
        <v>0.0</v>
      </c>
      <c r="D65" s="141">
        <v>0.0</v>
      </c>
      <c r="E65" s="141">
        <v>0.0</v>
      </c>
      <c r="F65" s="141">
        <v>0.0</v>
      </c>
      <c r="G65" s="141">
        <v>0.0</v>
      </c>
      <c r="H65" s="141">
        <v>0.0</v>
      </c>
      <c r="I65" s="141">
        <v>0.0</v>
      </c>
      <c r="J65" s="141">
        <v>0.0</v>
      </c>
      <c r="K65" s="141">
        <v>0.0</v>
      </c>
      <c r="L65" s="141">
        <v>0.0</v>
      </c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0.0</v>
      </c>
      <c r="T65" s="141">
        <v>0.0</v>
      </c>
      <c r="U65" s="141">
        <v>0.0</v>
      </c>
      <c r="V65" s="141">
        <v>0.0</v>
      </c>
      <c r="W65" s="141">
        <v>0.0</v>
      </c>
      <c r="X65" s="141">
        <v>0.0</v>
      </c>
      <c r="Y65" s="141">
        <v>505000.0</v>
      </c>
      <c r="Z65" s="142">
        <v>505000.0</v>
      </c>
      <c r="AA65" s="143">
        <v>0.16</v>
      </c>
      <c r="AB65" s="135"/>
      <c r="AC65" s="135"/>
    </row>
    <row r="66" ht="15.75" customHeight="1">
      <c r="A66" s="139" t="s">
        <v>85</v>
      </c>
      <c r="B66" s="141">
        <v>5341.67</v>
      </c>
      <c r="C66" s="141">
        <v>0.0</v>
      </c>
      <c r="D66" s="141">
        <v>2243.69</v>
      </c>
      <c r="E66" s="141">
        <v>0.0</v>
      </c>
      <c r="F66" s="141">
        <v>1079.25</v>
      </c>
      <c r="G66" s="141">
        <v>2145.42</v>
      </c>
      <c r="H66" s="141">
        <v>2130.32</v>
      </c>
      <c r="I66" s="141">
        <v>1652.73</v>
      </c>
      <c r="J66" s="141">
        <v>11481.94</v>
      </c>
      <c r="K66" s="141">
        <v>4474.35</v>
      </c>
      <c r="L66" s="141">
        <v>1067.83</v>
      </c>
      <c r="M66" s="141">
        <v>4255.01</v>
      </c>
      <c r="N66" s="141">
        <v>0.0</v>
      </c>
      <c r="O66" s="141">
        <v>2050.42</v>
      </c>
      <c r="P66" s="141">
        <v>1758.09</v>
      </c>
      <c r="Q66" s="141">
        <v>20737.17</v>
      </c>
      <c r="R66" s="141">
        <v>2171.51</v>
      </c>
      <c r="S66" s="141">
        <v>4271.01</v>
      </c>
      <c r="T66" s="141">
        <v>5482.48</v>
      </c>
      <c r="U66" s="141">
        <v>2947.14</v>
      </c>
      <c r="V66" s="141">
        <v>831.88</v>
      </c>
      <c r="W66" s="141">
        <v>7562.39</v>
      </c>
      <c r="X66" s="141">
        <v>1138.9</v>
      </c>
      <c r="Y66" s="141">
        <v>30758.12</v>
      </c>
      <c r="Z66" s="142">
        <v>115581.32</v>
      </c>
      <c r="AA66" s="143">
        <v>0.04</v>
      </c>
      <c r="AB66" s="135"/>
      <c r="AC66" s="135"/>
    </row>
    <row r="67" ht="15.75" customHeight="1">
      <c r="A67" s="139" t="s">
        <v>86</v>
      </c>
      <c r="B67" s="141">
        <v>2968.06</v>
      </c>
      <c r="C67" s="141">
        <v>0.0</v>
      </c>
      <c r="D67" s="141">
        <v>1095.71</v>
      </c>
      <c r="E67" s="141">
        <v>0.0</v>
      </c>
      <c r="F67" s="141">
        <v>507.46</v>
      </c>
      <c r="G67" s="141">
        <v>997.77</v>
      </c>
      <c r="H67" s="141">
        <v>970.68</v>
      </c>
      <c r="I67" s="141">
        <v>804.87</v>
      </c>
      <c r="J67" s="141">
        <v>6573.44</v>
      </c>
      <c r="K67" s="141">
        <v>2057.41</v>
      </c>
      <c r="L67" s="141">
        <v>485.2</v>
      </c>
      <c r="M67" s="141">
        <v>1903.99</v>
      </c>
      <c r="N67" s="141">
        <v>0.0</v>
      </c>
      <c r="O67" s="141">
        <v>958.33</v>
      </c>
      <c r="P67" s="141">
        <v>958.31</v>
      </c>
      <c r="Q67" s="141">
        <v>9655.1</v>
      </c>
      <c r="R67" s="141">
        <v>1008.84</v>
      </c>
      <c r="S67" s="141">
        <v>1943.79</v>
      </c>
      <c r="T67" s="141">
        <v>2353.98</v>
      </c>
      <c r="U67" s="141">
        <v>912.94</v>
      </c>
      <c r="V67" s="141">
        <v>17.14</v>
      </c>
      <c r="W67" s="141">
        <v>3374.84</v>
      </c>
      <c r="X67" s="141">
        <v>449.03</v>
      </c>
      <c r="Y67" s="141">
        <v>17296.5</v>
      </c>
      <c r="Z67" s="142">
        <v>57259.11</v>
      </c>
      <c r="AA67" s="143">
        <v>0.02</v>
      </c>
      <c r="AB67" s="135"/>
      <c r="AC67" s="135"/>
    </row>
    <row r="68" ht="15.75" customHeight="1">
      <c r="A68" s="139" t="s">
        <v>87</v>
      </c>
      <c r="B68" s="141">
        <v>5060.8</v>
      </c>
      <c r="C68" s="141">
        <v>0.0</v>
      </c>
      <c r="D68" s="141">
        <v>1847.81</v>
      </c>
      <c r="E68" s="141">
        <v>0.0</v>
      </c>
      <c r="F68" s="141">
        <v>855.78</v>
      </c>
      <c r="G68" s="141">
        <v>1682.63</v>
      </c>
      <c r="H68" s="141">
        <v>1636.95</v>
      </c>
      <c r="I68" s="141">
        <v>1357.32</v>
      </c>
      <c r="J68" s="141">
        <v>11859.64</v>
      </c>
      <c r="K68" s="141">
        <v>3495.99</v>
      </c>
      <c r="L68" s="141">
        <v>818.24</v>
      </c>
      <c r="M68" s="141">
        <v>3210.91</v>
      </c>
      <c r="N68" s="141">
        <v>0.0</v>
      </c>
      <c r="O68" s="141">
        <v>1616.13</v>
      </c>
      <c r="P68" s="141">
        <v>1616.1</v>
      </c>
      <c r="Q68" s="141">
        <v>14309.93</v>
      </c>
      <c r="R68" s="141">
        <v>1701.3</v>
      </c>
      <c r="S68" s="141">
        <v>3278.01</v>
      </c>
      <c r="T68" s="141">
        <v>3969.75</v>
      </c>
      <c r="U68" s="141">
        <v>2437.67</v>
      </c>
      <c r="V68" s="141">
        <v>28.91</v>
      </c>
      <c r="W68" s="141">
        <v>5717.99</v>
      </c>
      <c r="X68" s="141">
        <v>757.24</v>
      </c>
      <c r="Y68" s="141">
        <v>31314.0</v>
      </c>
      <c r="Z68" s="142">
        <v>98515.28</v>
      </c>
      <c r="AA68" s="143">
        <v>0.03</v>
      </c>
      <c r="AB68" s="135"/>
      <c r="AC68" s="135"/>
    </row>
    <row r="69" ht="15.75" customHeight="1">
      <c r="A69" s="139" t="s">
        <v>88</v>
      </c>
      <c r="B69" s="141">
        <v>2549.21</v>
      </c>
      <c r="C69" s="141">
        <v>0.0</v>
      </c>
      <c r="D69" s="141">
        <v>966.12</v>
      </c>
      <c r="E69" s="141">
        <v>0.0</v>
      </c>
      <c r="F69" s="141">
        <v>539.6</v>
      </c>
      <c r="G69" s="141">
        <v>993.99</v>
      </c>
      <c r="H69" s="141">
        <v>1022.38</v>
      </c>
      <c r="I69" s="141">
        <v>990.77</v>
      </c>
      <c r="J69" s="141">
        <v>3505.0</v>
      </c>
      <c r="K69" s="141">
        <v>2464.47</v>
      </c>
      <c r="L69" s="141">
        <v>481.64</v>
      </c>
      <c r="M69" s="141">
        <v>1835.34</v>
      </c>
      <c r="N69" s="141">
        <v>490.09</v>
      </c>
      <c r="O69" s="141">
        <v>1597.77</v>
      </c>
      <c r="P69" s="141">
        <v>958.04</v>
      </c>
      <c r="Q69" s="141">
        <v>8264.85</v>
      </c>
      <c r="R69" s="141">
        <v>988.88</v>
      </c>
      <c r="S69" s="141">
        <v>1891.59</v>
      </c>
      <c r="T69" s="141">
        <v>1997.74</v>
      </c>
      <c r="U69" s="141">
        <v>1647.43</v>
      </c>
      <c r="V69" s="141">
        <v>1057.06</v>
      </c>
      <c r="W69" s="141">
        <v>3364.88</v>
      </c>
      <c r="X69" s="141">
        <v>574.49</v>
      </c>
      <c r="Y69" s="141">
        <v>20181.67</v>
      </c>
      <c r="Z69" s="142">
        <v>58363.01</v>
      </c>
      <c r="AA69" s="143">
        <v>0.02</v>
      </c>
      <c r="AB69" s="135"/>
      <c r="AC69" s="135"/>
    </row>
    <row r="70" ht="15.75" customHeight="1">
      <c r="A70" s="139" t="s">
        <v>89</v>
      </c>
      <c r="B70" s="141">
        <v>2240.0</v>
      </c>
      <c r="C70" s="141"/>
      <c r="D70" s="141">
        <v>280.0</v>
      </c>
      <c r="E70" s="141">
        <v>2100.0</v>
      </c>
      <c r="F70" s="141">
        <v>6160.0</v>
      </c>
      <c r="G70" s="141">
        <v>4960.0</v>
      </c>
      <c r="H70" s="141">
        <v>280.0</v>
      </c>
      <c r="I70" s="141">
        <v>3360.0</v>
      </c>
      <c r="J70" s="141"/>
      <c r="K70" s="141">
        <v>1960.0</v>
      </c>
      <c r="L70" s="141"/>
      <c r="M70" s="141">
        <v>840.0</v>
      </c>
      <c r="N70" s="141"/>
      <c r="O70" s="141"/>
      <c r="P70" s="141"/>
      <c r="Q70" s="141"/>
      <c r="R70" s="141"/>
      <c r="S70" s="141">
        <v>280.0</v>
      </c>
      <c r="T70" s="141"/>
      <c r="U70" s="141">
        <v>560.0</v>
      </c>
      <c r="V70" s="141"/>
      <c r="W70" s="141">
        <v>1646.0</v>
      </c>
      <c r="X70" s="141">
        <v>1400.0</v>
      </c>
      <c r="Y70" s="141">
        <v>9250.0</v>
      </c>
      <c r="Z70" s="142">
        <v>35316.0</v>
      </c>
      <c r="AA70" s="143">
        <v>0.01</v>
      </c>
      <c r="AB70" s="135"/>
      <c r="AC70" s="135"/>
    </row>
    <row r="71" ht="15.75" customHeight="1">
      <c r="A71" s="139" t="s">
        <v>91</v>
      </c>
      <c r="B71" s="141">
        <v>0.0</v>
      </c>
      <c r="C71" s="141">
        <v>0.0</v>
      </c>
      <c r="D71" s="141">
        <v>0.0</v>
      </c>
      <c r="E71" s="141">
        <v>0.0</v>
      </c>
      <c r="F71" s="141">
        <v>0.0</v>
      </c>
      <c r="G71" s="141">
        <v>628.45</v>
      </c>
      <c r="H71" s="141">
        <v>0.0</v>
      </c>
      <c r="I71" s="141">
        <v>0.0</v>
      </c>
      <c r="J71" s="141">
        <v>0.0</v>
      </c>
      <c r="K71" s="141">
        <v>0.0</v>
      </c>
      <c r="L71" s="141">
        <v>0.0</v>
      </c>
      <c r="M71" s="141">
        <v>0.0</v>
      </c>
      <c r="N71" s="141">
        <v>0.0</v>
      </c>
      <c r="O71" s="141">
        <v>0.0</v>
      </c>
      <c r="P71" s="141">
        <v>0.0</v>
      </c>
      <c r="Q71" s="141">
        <v>0.0</v>
      </c>
      <c r="R71" s="141">
        <v>0.0</v>
      </c>
      <c r="S71" s="141">
        <v>0.0</v>
      </c>
      <c r="T71" s="141">
        <v>0.0</v>
      </c>
      <c r="U71" s="141">
        <v>0.0</v>
      </c>
      <c r="V71" s="141">
        <v>0.0</v>
      </c>
      <c r="W71" s="141">
        <v>0.0</v>
      </c>
      <c r="X71" s="141">
        <v>0.0</v>
      </c>
      <c r="Y71" s="141">
        <v>7482.7</v>
      </c>
      <c r="Z71" s="142">
        <v>8111.15</v>
      </c>
      <c r="AA71" s="143">
        <v>0.0</v>
      </c>
      <c r="AB71" s="135"/>
      <c r="AC71" s="135"/>
    </row>
    <row r="72" ht="15.75" customHeight="1">
      <c r="A72" s="139" t="s">
        <v>92</v>
      </c>
      <c r="B72" s="141">
        <v>387.0</v>
      </c>
      <c r="C72" s="141">
        <v>0.0</v>
      </c>
      <c r="D72" s="141">
        <v>0.0</v>
      </c>
      <c r="E72" s="141">
        <v>0.0</v>
      </c>
      <c r="F72" s="141">
        <v>120.0</v>
      </c>
      <c r="G72" s="141">
        <v>357.0</v>
      </c>
      <c r="H72" s="141">
        <v>317.0</v>
      </c>
      <c r="I72" s="141">
        <v>0.0</v>
      </c>
      <c r="J72" s="141">
        <v>400.0</v>
      </c>
      <c r="K72" s="141">
        <v>430.0</v>
      </c>
      <c r="L72" s="141">
        <v>317.0</v>
      </c>
      <c r="M72" s="141">
        <v>502.0</v>
      </c>
      <c r="N72" s="141">
        <v>0.0</v>
      </c>
      <c r="O72" s="141">
        <v>350.0</v>
      </c>
      <c r="P72" s="141">
        <v>0.0</v>
      </c>
      <c r="Q72" s="141">
        <v>0.0</v>
      </c>
      <c r="R72" s="141">
        <v>350.0</v>
      </c>
      <c r="S72" s="141">
        <v>350.0</v>
      </c>
      <c r="T72" s="141">
        <v>390.0</v>
      </c>
      <c r="U72" s="141">
        <v>350.0</v>
      </c>
      <c r="V72" s="141">
        <v>350.0</v>
      </c>
      <c r="W72" s="141">
        <v>350.0</v>
      </c>
      <c r="X72" s="141">
        <v>0.0</v>
      </c>
      <c r="Y72" s="141">
        <v>6199.84</v>
      </c>
      <c r="Z72" s="142">
        <v>11519.84</v>
      </c>
      <c r="AA72" s="154">
        <v>0.0</v>
      </c>
      <c r="AB72" s="135"/>
      <c r="AC72" s="135"/>
    </row>
    <row r="73" ht="15.75" customHeight="1">
      <c r="A73" s="146" t="s">
        <v>93</v>
      </c>
      <c r="B73" s="147">
        <v>239908.58</v>
      </c>
      <c r="C73" s="147">
        <v>1010.0</v>
      </c>
      <c r="D73" s="147">
        <v>207025.91</v>
      </c>
      <c r="E73" s="147">
        <v>2100.0</v>
      </c>
      <c r="F73" s="147">
        <v>39940.52</v>
      </c>
      <c r="G73" s="147">
        <v>51350.41</v>
      </c>
      <c r="H73" s="147">
        <v>34197.09</v>
      </c>
      <c r="I73" s="147">
        <v>40815.83</v>
      </c>
      <c r="J73" s="147">
        <v>228073.37</v>
      </c>
      <c r="K73" s="147">
        <v>95298.63</v>
      </c>
      <c r="L73" s="147">
        <v>15128.0</v>
      </c>
      <c r="M73" s="147">
        <v>77785.8</v>
      </c>
      <c r="N73" s="147">
        <v>12666.58</v>
      </c>
      <c r="O73" s="147">
        <v>35731.31</v>
      </c>
      <c r="P73" s="147">
        <v>28331.44</v>
      </c>
      <c r="Q73" s="147">
        <v>245770.34</v>
      </c>
      <c r="R73" s="147">
        <v>30629.09</v>
      </c>
      <c r="S73" s="147">
        <v>62866.42</v>
      </c>
      <c r="T73" s="147">
        <v>63206.24</v>
      </c>
      <c r="U73" s="147">
        <v>45853.8</v>
      </c>
      <c r="V73" s="147">
        <v>30026.7</v>
      </c>
      <c r="W73" s="147">
        <v>103407.3</v>
      </c>
      <c r="X73" s="147">
        <v>18238.79</v>
      </c>
      <c r="Y73" s="147">
        <v>1494212.02</v>
      </c>
      <c r="Z73" s="147">
        <v>3203574.17</v>
      </c>
      <c r="AA73" s="146">
        <v>1.0</v>
      </c>
      <c r="AB73" s="135"/>
      <c r="AC73" s="135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54"/>
      <c r="AA74" s="139"/>
      <c r="AB74" s="135"/>
      <c r="AC74" s="135"/>
    </row>
    <row r="75" ht="15.75" customHeight="1">
      <c r="A75" s="146" t="s">
        <v>5</v>
      </c>
      <c r="B75" s="147">
        <v>1347841.42</v>
      </c>
      <c r="C75" s="147">
        <v>17579.65</v>
      </c>
      <c r="D75" s="147">
        <v>211022.36</v>
      </c>
      <c r="E75" s="147">
        <v>40365.0</v>
      </c>
      <c r="F75" s="147">
        <v>14038.81</v>
      </c>
      <c r="G75" s="147">
        <v>232235.79</v>
      </c>
      <c r="H75" s="147">
        <v>247107.23</v>
      </c>
      <c r="I75" s="147">
        <v>2935.94</v>
      </c>
      <c r="J75" s="147">
        <v>1951692.14</v>
      </c>
      <c r="K75" s="147">
        <v>229553.35</v>
      </c>
      <c r="L75" s="147">
        <v>26225.44</v>
      </c>
      <c r="M75" s="147">
        <v>83279.74</v>
      </c>
      <c r="N75" s="147">
        <v>21372.21</v>
      </c>
      <c r="O75" s="147">
        <v>52479.04</v>
      </c>
      <c r="P75" s="147">
        <v>7668.56</v>
      </c>
      <c r="Q75" s="147">
        <v>191083.27</v>
      </c>
      <c r="R75" s="147">
        <v>52216.16</v>
      </c>
      <c r="S75" s="147">
        <v>85267.2</v>
      </c>
      <c r="T75" s="147">
        <v>42881.21</v>
      </c>
      <c r="U75" s="147">
        <v>24991.74</v>
      </c>
      <c r="V75" s="147">
        <v>96481.3</v>
      </c>
      <c r="W75" s="147">
        <v>706402.18</v>
      </c>
      <c r="X75" s="147">
        <v>17761.21</v>
      </c>
      <c r="Y75" s="147">
        <v>1454549.77</v>
      </c>
      <c r="Z75" s="147">
        <v>3815781.16</v>
      </c>
      <c r="AA75" s="139"/>
      <c r="AB75" s="135"/>
      <c r="AC75" s="135"/>
    </row>
    <row r="76" ht="15.7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6"/>
      <c r="W76" s="135"/>
      <c r="X76" s="135"/>
      <c r="Y76" s="135"/>
      <c r="Z76" s="135"/>
      <c r="AA76" s="135"/>
      <c r="AB76" s="135"/>
      <c r="AC76" s="13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A2"/>
    <mergeCell ref="A3:AA3"/>
    <mergeCell ref="A4:AA4"/>
    <mergeCell ref="A28:AA2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6.13"/>
    <col customWidth="1" min="3" max="3" width="10.38"/>
    <col customWidth="1" min="4" max="4" width="10.5"/>
    <col customWidth="1" min="5" max="5" width="8.5"/>
    <col customWidth="1" min="6" max="6" width="11.88"/>
    <col customWidth="1" min="7" max="7" width="27.88"/>
    <col customWidth="1" min="8" max="8" width="14.38"/>
    <col customWidth="1" min="9" max="9" width="8.75"/>
    <col customWidth="1" min="10" max="10" width="9.5"/>
    <col customWidth="1" min="11" max="11" width="7.75"/>
    <col customWidth="1" min="12" max="12" width="8.0"/>
    <col customWidth="1" min="13" max="14" width="8.5"/>
    <col customWidth="1" min="15" max="15" width="7.75"/>
    <col customWidth="1" min="16" max="16" width="9.63"/>
    <col customWidth="1" min="17" max="17" width="8.5"/>
    <col customWidth="1" min="18" max="18" width="7.75"/>
    <col customWidth="1" min="19" max="19" width="7.0"/>
    <col customWidth="1" min="20" max="20" width="10.63"/>
    <col customWidth="1" min="21" max="21" width="11.5"/>
    <col customWidth="1" min="22" max="22" width="7.75"/>
    <col customWidth="1" min="23" max="23" width="8.25"/>
    <col customWidth="1" min="24" max="24" width="8.5"/>
    <col customWidth="1" min="25" max="25" width="9.25"/>
    <col customWidth="1" min="26" max="26" width="7.75"/>
    <col customWidth="1" min="27" max="28" width="8.5"/>
    <col customWidth="1" min="29" max="30" width="7.75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  <c r="AB1" s="135"/>
      <c r="AC1" s="135"/>
      <c r="AD1" s="135"/>
    </row>
    <row r="2" ht="15.75" customHeight="1">
      <c r="A2" s="137" t="s">
        <v>30</v>
      </c>
      <c r="AC2" s="135"/>
      <c r="AD2" s="135"/>
    </row>
    <row r="3" ht="15.75" customHeight="1">
      <c r="A3" s="137" t="s">
        <v>241</v>
      </c>
      <c r="AC3" s="135"/>
      <c r="AD3" s="135"/>
    </row>
    <row r="4" ht="15.75" customHeight="1">
      <c r="A4" s="137"/>
      <c r="AC4" s="135"/>
      <c r="AD4" s="135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6"/>
      <c r="AB5" s="135"/>
      <c r="AC5" s="135"/>
      <c r="AD5" s="135"/>
    </row>
    <row r="6" ht="15.75" customHeight="1">
      <c r="A6" s="179" t="s">
        <v>242</v>
      </c>
      <c r="B6" s="179" t="s">
        <v>100</v>
      </c>
      <c r="C6" s="179" t="s">
        <v>11</v>
      </c>
      <c r="D6" s="179" t="s">
        <v>243</v>
      </c>
      <c r="E6" s="179" t="s">
        <v>244</v>
      </c>
      <c r="F6" s="179" t="s">
        <v>2</v>
      </c>
      <c r="G6" s="179" t="s">
        <v>245</v>
      </c>
      <c r="H6" s="179" t="s">
        <v>107</v>
      </c>
      <c r="I6" s="179" t="s">
        <v>246</v>
      </c>
      <c r="J6" s="179" t="s">
        <v>247</v>
      </c>
      <c r="K6" s="179" t="s">
        <v>129</v>
      </c>
      <c r="L6" s="179"/>
      <c r="M6" s="179" t="s">
        <v>110</v>
      </c>
      <c r="N6" s="179" t="s">
        <v>248</v>
      </c>
      <c r="O6" s="179" t="s">
        <v>249</v>
      </c>
      <c r="P6" s="179" t="s">
        <v>117</v>
      </c>
      <c r="Q6" s="179" t="s">
        <v>250</v>
      </c>
      <c r="R6" s="179" t="s">
        <v>118</v>
      </c>
      <c r="S6" s="179" t="s">
        <v>119</v>
      </c>
      <c r="T6" s="179" t="s">
        <v>251</v>
      </c>
      <c r="U6" s="179" t="s">
        <v>122</v>
      </c>
      <c r="V6" s="179" t="s">
        <v>127</v>
      </c>
      <c r="W6" s="179" t="s">
        <v>124</v>
      </c>
      <c r="X6" s="179" t="s">
        <v>125</v>
      </c>
      <c r="Y6" s="179" t="s">
        <v>252</v>
      </c>
      <c r="Z6" s="179" t="s">
        <v>29</v>
      </c>
      <c r="AA6" s="179" t="s">
        <v>25</v>
      </c>
      <c r="AB6" s="179" t="s">
        <v>46</v>
      </c>
      <c r="AC6" s="180"/>
      <c r="AD6" s="180"/>
    </row>
    <row r="7" ht="15.75" customHeight="1">
      <c r="A7" s="139"/>
      <c r="B7" s="140"/>
      <c r="AC7" s="135"/>
      <c r="AD7" s="135"/>
    </row>
    <row r="8" ht="15.75" customHeight="1">
      <c r="A8" s="139" t="s">
        <v>253</v>
      </c>
      <c r="B8" s="141">
        <v>221698.28</v>
      </c>
      <c r="C8" s="141">
        <v>37716.39</v>
      </c>
      <c r="D8" s="141">
        <v>35851.72</v>
      </c>
      <c r="E8" s="141">
        <v>0.0</v>
      </c>
      <c r="F8" s="141">
        <v>28446.55</v>
      </c>
      <c r="G8" s="141">
        <v>86961.21</v>
      </c>
      <c r="H8" s="141">
        <v>93730.17</v>
      </c>
      <c r="I8" s="141">
        <v>35950.86</v>
      </c>
      <c r="J8" s="141">
        <v>1822905.13</v>
      </c>
      <c r="K8" s="141">
        <v>332308.62</v>
      </c>
      <c r="L8" s="141"/>
      <c r="M8" s="141">
        <v>10068.97</v>
      </c>
      <c r="N8" s="141">
        <v>186858.62</v>
      </c>
      <c r="O8" s="141">
        <v>6000.0</v>
      </c>
      <c r="P8" s="141">
        <v>88240.52</v>
      </c>
      <c r="Q8" s="141">
        <v>0.0</v>
      </c>
      <c r="R8" s="141">
        <v>30818.97</v>
      </c>
      <c r="S8" s="141">
        <v>11681.03</v>
      </c>
      <c r="T8" s="141">
        <v>158041.84</v>
      </c>
      <c r="U8" s="141">
        <v>74998.28</v>
      </c>
      <c r="V8" s="141">
        <v>14344.83</v>
      </c>
      <c r="W8" s="141">
        <v>99900.0</v>
      </c>
      <c r="X8" s="141">
        <v>434398.82</v>
      </c>
      <c r="Y8" s="141">
        <v>0.0</v>
      </c>
      <c r="Z8" s="141">
        <v>0.0</v>
      </c>
      <c r="AA8" s="142">
        <v>3810920.81</v>
      </c>
      <c r="AB8" s="143">
        <v>0.53</v>
      </c>
      <c r="AC8" s="135"/>
      <c r="AD8" s="135"/>
    </row>
    <row r="9" ht="15.75" customHeight="1">
      <c r="A9" s="139" t="s">
        <v>254</v>
      </c>
      <c r="B9" s="141">
        <v>1372743.11</v>
      </c>
      <c r="C9" s="141">
        <v>0.0</v>
      </c>
      <c r="D9" s="141">
        <v>240000.0</v>
      </c>
      <c r="E9" s="141">
        <v>0.0</v>
      </c>
      <c r="F9" s="141">
        <v>18598.29</v>
      </c>
      <c r="G9" s="141">
        <v>127258.62</v>
      </c>
      <c r="H9" s="141">
        <v>169048.28</v>
      </c>
      <c r="I9" s="141">
        <v>0.0</v>
      </c>
      <c r="J9" s="141">
        <v>347362.1</v>
      </c>
      <c r="K9" s="141">
        <v>7543.1</v>
      </c>
      <c r="L9" s="141"/>
      <c r="M9" s="141">
        <v>31500.0</v>
      </c>
      <c r="N9" s="141">
        <v>22396.57</v>
      </c>
      <c r="O9" s="141">
        <v>26250.0</v>
      </c>
      <c r="P9" s="141">
        <v>1724.14</v>
      </c>
      <c r="Q9" s="141">
        <v>0.0</v>
      </c>
      <c r="R9" s="141">
        <v>0.0</v>
      </c>
      <c r="S9" s="141">
        <v>61100.0</v>
      </c>
      <c r="T9" s="141">
        <v>750.0</v>
      </c>
      <c r="U9" s="141">
        <v>11400.0</v>
      </c>
      <c r="V9" s="141">
        <v>14431.02</v>
      </c>
      <c r="W9" s="141">
        <v>15758.0</v>
      </c>
      <c r="X9" s="141">
        <v>390000.0</v>
      </c>
      <c r="Y9" s="141">
        <v>0.0</v>
      </c>
      <c r="Z9" s="141">
        <v>0.0</v>
      </c>
      <c r="AA9" s="142">
        <v>2857863.23</v>
      </c>
      <c r="AB9" s="143">
        <v>0.39</v>
      </c>
      <c r="AC9" s="135"/>
      <c r="AD9" s="135"/>
    </row>
    <row r="10" ht="15.75" customHeight="1">
      <c r="A10" s="139" t="s">
        <v>59</v>
      </c>
      <c r="B10" s="141">
        <v>152758.61</v>
      </c>
      <c r="C10" s="141">
        <v>0.0</v>
      </c>
      <c r="D10" s="141">
        <v>0.0</v>
      </c>
      <c r="E10" s="141">
        <v>0.0</v>
      </c>
      <c r="F10" s="141">
        <v>0.0</v>
      </c>
      <c r="G10" s="141">
        <v>0.0</v>
      </c>
      <c r="H10" s="141">
        <v>0.0</v>
      </c>
      <c r="I10" s="141">
        <v>0.0</v>
      </c>
      <c r="J10" s="141">
        <v>0.0</v>
      </c>
      <c r="K10" s="141">
        <v>0.0</v>
      </c>
      <c r="L10" s="141"/>
      <c r="M10" s="141">
        <v>0.0</v>
      </c>
      <c r="N10" s="141">
        <v>0.0</v>
      </c>
      <c r="O10" s="141">
        <v>0.0</v>
      </c>
      <c r="P10" s="141">
        <v>0.0</v>
      </c>
      <c r="Q10" s="141">
        <v>0.0</v>
      </c>
      <c r="R10" s="141">
        <v>15172.41</v>
      </c>
      <c r="S10" s="141">
        <v>3448.28</v>
      </c>
      <c r="T10" s="141">
        <v>0.0</v>
      </c>
      <c r="U10" s="141">
        <v>12241.38</v>
      </c>
      <c r="V10" s="141">
        <v>0.0</v>
      </c>
      <c r="W10" s="139"/>
      <c r="X10" s="141">
        <v>0.0</v>
      </c>
      <c r="Y10" s="141">
        <v>0.0</v>
      </c>
      <c r="Z10" s="141">
        <v>0.0</v>
      </c>
      <c r="AA10" s="142">
        <v>183620.68</v>
      </c>
      <c r="AB10" s="143">
        <v>0.03</v>
      </c>
      <c r="AC10" s="135"/>
      <c r="AD10" s="135"/>
    </row>
    <row r="11" ht="15.75" customHeight="1">
      <c r="A11" s="139" t="s">
        <v>255</v>
      </c>
      <c r="B11" s="141">
        <v>3052.59</v>
      </c>
      <c r="C11" s="141">
        <v>0.0</v>
      </c>
      <c r="D11" s="141">
        <v>54104.31</v>
      </c>
      <c r="E11" s="141">
        <v>0.0</v>
      </c>
      <c r="F11" s="141">
        <v>0.0</v>
      </c>
      <c r="G11" s="141">
        <v>0.0</v>
      </c>
      <c r="H11" s="141">
        <v>0.0</v>
      </c>
      <c r="I11" s="141">
        <v>1043.1</v>
      </c>
      <c r="J11" s="141">
        <v>0.0</v>
      </c>
      <c r="K11" s="141">
        <v>0.0</v>
      </c>
      <c r="L11" s="141"/>
      <c r="M11" s="141">
        <v>0.0</v>
      </c>
      <c r="N11" s="141">
        <v>0.0</v>
      </c>
      <c r="O11" s="141">
        <v>0.0</v>
      </c>
      <c r="P11" s="141">
        <v>634.48</v>
      </c>
      <c r="Q11" s="141">
        <v>0.0</v>
      </c>
      <c r="R11" s="141">
        <v>0.0</v>
      </c>
      <c r="S11" s="141">
        <v>0.0</v>
      </c>
      <c r="T11" s="141">
        <v>10096.55</v>
      </c>
      <c r="U11" s="141">
        <v>20222.0</v>
      </c>
      <c r="V11" s="141">
        <v>0.0</v>
      </c>
      <c r="W11" s="139"/>
      <c r="X11" s="141">
        <v>9583.62</v>
      </c>
      <c r="Y11" s="141">
        <v>0.0</v>
      </c>
      <c r="Z11" s="141">
        <v>0.0</v>
      </c>
      <c r="AA11" s="142">
        <v>98736.65</v>
      </c>
      <c r="AB11" s="143">
        <v>0.01</v>
      </c>
      <c r="AC11" s="135"/>
      <c r="AD11" s="135"/>
    </row>
    <row r="12" ht="15.75" customHeight="1">
      <c r="A12" s="139" t="s">
        <v>256</v>
      </c>
      <c r="B12" s="141">
        <v>0.0</v>
      </c>
      <c r="C12" s="141">
        <v>0.0</v>
      </c>
      <c r="D12" s="141">
        <v>0.0</v>
      </c>
      <c r="E12" s="141">
        <v>34365.0</v>
      </c>
      <c r="F12" s="141">
        <v>0.0</v>
      </c>
      <c r="G12" s="141">
        <v>86767.24</v>
      </c>
      <c r="H12" s="141">
        <v>0.0</v>
      </c>
      <c r="I12" s="141">
        <v>0.0</v>
      </c>
      <c r="J12" s="141">
        <v>0.0</v>
      </c>
      <c r="K12" s="141">
        <v>0.0</v>
      </c>
      <c r="L12" s="141"/>
      <c r="M12" s="141">
        <v>0.0</v>
      </c>
      <c r="N12" s="141">
        <v>0.0</v>
      </c>
      <c r="O12" s="141">
        <v>0.0</v>
      </c>
      <c r="P12" s="141">
        <v>0.0</v>
      </c>
      <c r="Q12" s="141">
        <v>0.0</v>
      </c>
      <c r="R12" s="141">
        <v>0.0</v>
      </c>
      <c r="S12" s="141">
        <v>0.0</v>
      </c>
      <c r="T12" s="141">
        <v>0.0</v>
      </c>
      <c r="U12" s="141">
        <v>0.0</v>
      </c>
      <c r="V12" s="141">
        <v>0.0</v>
      </c>
      <c r="W12" s="141">
        <v>20000.0</v>
      </c>
      <c r="X12" s="141">
        <v>0.0</v>
      </c>
      <c r="Y12" s="141">
        <v>0.0</v>
      </c>
      <c r="Z12" s="141">
        <v>0.0</v>
      </c>
      <c r="AA12" s="142">
        <v>141132.24</v>
      </c>
      <c r="AB12" s="143">
        <v>0.02</v>
      </c>
      <c r="AC12" s="135"/>
      <c r="AD12" s="135"/>
    </row>
    <row r="13" ht="15.75" customHeight="1">
      <c r="A13" s="139" t="s">
        <v>257</v>
      </c>
      <c r="B13" s="141">
        <v>1810.34</v>
      </c>
      <c r="C13" s="141">
        <v>0.0</v>
      </c>
      <c r="D13" s="141">
        <v>0.0</v>
      </c>
      <c r="E13" s="141">
        <v>0.0</v>
      </c>
      <c r="F13" s="141">
        <v>0.0</v>
      </c>
      <c r="G13" s="141">
        <v>0.0</v>
      </c>
      <c r="H13" s="141">
        <v>0.0</v>
      </c>
      <c r="I13" s="141">
        <v>0.0</v>
      </c>
      <c r="J13" s="141">
        <v>8534.48</v>
      </c>
      <c r="K13" s="141">
        <v>0.0</v>
      </c>
      <c r="L13" s="141"/>
      <c r="M13" s="141">
        <v>0.0</v>
      </c>
      <c r="N13" s="141">
        <v>129.31</v>
      </c>
      <c r="O13" s="141">
        <v>0.0</v>
      </c>
      <c r="P13" s="141">
        <v>0.0</v>
      </c>
      <c r="Q13" s="141">
        <v>0.0</v>
      </c>
      <c r="R13" s="141">
        <v>0.0</v>
      </c>
      <c r="S13" s="141">
        <v>0.0</v>
      </c>
      <c r="T13" s="141">
        <v>0.0</v>
      </c>
      <c r="U13" s="141">
        <v>517.24</v>
      </c>
      <c r="V13" s="141">
        <v>0.0</v>
      </c>
      <c r="W13" s="139"/>
      <c r="X13" s="141">
        <v>258.62</v>
      </c>
      <c r="Y13" s="141">
        <v>0.0</v>
      </c>
      <c r="Z13" s="141">
        <v>0.0</v>
      </c>
      <c r="AA13" s="142">
        <v>11249.99</v>
      </c>
      <c r="AB13" s="143">
        <v>0.0</v>
      </c>
      <c r="AC13" s="135"/>
      <c r="AD13" s="135"/>
    </row>
    <row r="14" ht="15.75" customHeight="1">
      <c r="A14" s="139" t="s">
        <v>258</v>
      </c>
      <c r="B14" s="141">
        <v>0.0</v>
      </c>
      <c r="C14" s="141">
        <v>0.0</v>
      </c>
      <c r="D14" s="141">
        <v>258.62</v>
      </c>
      <c r="E14" s="141">
        <v>0.0</v>
      </c>
      <c r="F14" s="141">
        <v>0.0</v>
      </c>
      <c r="G14" s="141">
        <v>0.0</v>
      </c>
      <c r="H14" s="141">
        <v>0.0</v>
      </c>
      <c r="I14" s="141">
        <v>0.0</v>
      </c>
      <c r="J14" s="141">
        <v>1551.72</v>
      </c>
      <c r="K14" s="141">
        <v>0.0</v>
      </c>
      <c r="L14" s="141"/>
      <c r="M14" s="141">
        <v>0.0</v>
      </c>
      <c r="N14" s="141">
        <v>0.0</v>
      </c>
      <c r="O14" s="141">
        <v>43.1</v>
      </c>
      <c r="P14" s="141">
        <v>0.0</v>
      </c>
      <c r="Q14" s="141">
        <v>0.0</v>
      </c>
      <c r="R14" s="141">
        <v>0.0</v>
      </c>
      <c r="S14" s="141">
        <v>0.0</v>
      </c>
      <c r="T14" s="141">
        <v>0.0</v>
      </c>
      <c r="U14" s="141">
        <v>0.0</v>
      </c>
      <c r="V14" s="141">
        <v>0.0</v>
      </c>
      <c r="W14" s="139"/>
      <c r="X14" s="141">
        <v>0.0</v>
      </c>
      <c r="Y14" s="141">
        <v>0.0</v>
      </c>
      <c r="Z14" s="141">
        <v>0.0</v>
      </c>
      <c r="AA14" s="142">
        <v>1853.44</v>
      </c>
      <c r="AB14" s="143">
        <v>0.0</v>
      </c>
      <c r="AC14" s="135"/>
      <c r="AD14" s="135"/>
    </row>
    <row r="15" ht="15.75" customHeight="1">
      <c r="A15" s="139" t="s">
        <v>259</v>
      </c>
      <c r="B15" s="141">
        <v>0.0</v>
      </c>
      <c r="C15" s="141">
        <v>603.44</v>
      </c>
      <c r="D15" s="141">
        <v>0.0</v>
      </c>
      <c r="E15" s="141">
        <v>0.0</v>
      </c>
      <c r="F15" s="141">
        <v>0.0</v>
      </c>
      <c r="G15" s="141">
        <v>0.0</v>
      </c>
      <c r="H15" s="141">
        <v>0.0</v>
      </c>
      <c r="I15" s="141">
        <v>0.0</v>
      </c>
      <c r="J15" s="141">
        <v>0.0</v>
      </c>
      <c r="K15" s="141">
        <v>46535.34</v>
      </c>
      <c r="L15" s="141"/>
      <c r="M15" s="141">
        <v>0.0</v>
      </c>
      <c r="N15" s="141">
        <v>0.0</v>
      </c>
      <c r="O15" s="141">
        <v>0.0</v>
      </c>
      <c r="P15" s="141">
        <v>0.0</v>
      </c>
      <c r="Q15" s="141">
        <v>36000.0</v>
      </c>
      <c r="R15" s="141">
        <v>0.0</v>
      </c>
      <c r="S15" s="141">
        <v>0.0</v>
      </c>
      <c r="T15" s="141">
        <v>0.0</v>
      </c>
      <c r="U15" s="141">
        <v>0.0</v>
      </c>
      <c r="V15" s="141">
        <v>0.0</v>
      </c>
      <c r="W15" s="139"/>
      <c r="X15" s="141">
        <v>0.0</v>
      </c>
      <c r="Y15" s="141">
        <v>36000.0</v>
      </c>
      <c r="Z15" s="141">
        <v>9450.0</v>
      </c>
      <c r="AA15" s="142">
        <v>128588.78</v>
      </c>
      <c r="AB15" s="143">
        <v>0.02</v>
      </c>
      <c r="AC15" s="135"/>
      <c r="AD15" s="135"/>
    </row>
    <row r="16" ht="15.75" customHeight="1">
      <c r="A16" s="139" t="s">
        <v>260</v>
      </c>
      <c r="B16" s="141">
        <v>0.0</v>
      </c>
      <c r="C16" s="141">
        <v>0.0</v>
      </c>
      <c r="D16" s="141">
        <v>0.0</v>
      </c>
      <c r="E16" s="141">
        <v>0.0</v>
      </c>
      <c r="F16" s="141">
        <v>0.0</v>
      </c>
      <c r="G16" s="141">
        <v>0.0</v>
      </c>
      <c r="H16" s="141">
        <v>0.0</v>
      </c>
      <c r="I16" s="141">
        <v>0.0</v>
      </c>
      <c r="J16" s="141">
        <v>2573.28</v>
      </c>
      <c r="K16" s="141">
        <v>0.0</v>
      </c>
      <c r="L16" s="141"/>
      <c r="M16" s="141">
        <v>0.0</v>
      </c>
      <c r="N16" s="141">
        <v>0.0</v>
      </c>
      <c r="O16" s="141">
        <v>0.0</v>
      </c>
      <c r="P16" s="141">
        <v>0.0</v>
      </c>
      <c r="Q16" s="141">
        <v>0.0</v>
      </c>
      <c r="R16" s="141">
        <v>0.0</v>
      </c>
      <c r="S16" s="141">
        <v>0.0</v>
      </c>
      <c r="T16" s="141">
        <v>0.0</v>
      </c>
      <c r="U16" s="141">
        <v>0.0</v>
      </c>
      <c r="V16" s="141">
        <v>0.0</v>
      </c>
      <c r="W16" s="139"/>
      <c r="X16" s="141">
        <v>0.0</v>
      </c>
      <c r="Y16" s="141">
        <v>0.0</v>
      </c>
      <c r="Z16" s="141">
        <v>0.0</v>
      </c>
      <c r="AA16" s="142">
        <v>2573.28</v>
      </c>
      <c r="AB16" s="143">
        <v>0.0</v>
      </c>
      <c r="AC16" s="135"/>
      <c r="AD16" s="135"/>
    </row>
    <row r="17" ht="15.75" customHeight="1">
      <c r="A17" s="139" t="s">
        <v>261</v>
      </c>
      <c r="B17" s="141">
        <v>0.0</v>
      </c>
      <c r="C17" s="141">
        <v>0.0</v>
      </c>
      <c r="D17" s="141">
        <v>0.0</v>
      </c>
      <c r="E17" s="141">
        <v>0.0</v>
      </c>
      <c r="F17" s="141">
        <v>0.0</v>
      </c>
      <c r="G17" s="141">
        <v>0.0</v>
      </c>
      <c r="H17" s="141">
        <v>0.0</v>
      </c>
      <c r="I17" s="141">
        <v>0.0</v>
      </c>
      <c r="J17" s="141">
        <v>0.0</v>
      </c>
      <c r="K17" s="141">
        <v>0.0</v>
      </c>
      <c r="L17" s="141"/>
      <c r="M17" s="141">
        <v>0.0</v>
      </c>
      <c r="N17" s="141">
        <v>0.0</v>
      </c>
      <c r="O17" s="141">
        <v>0.0</v>
      </c>
      <c r="P17" s="141">
        <v>0.0</v>
      </c>
      <c r="Q17" s="141">
        <v>0.0</v>
      </c>
      <c r="R17" s="141">
        <v>0.0</v>
      </c>
      <c r="S17" s="141">
        <v>0.0</v>
      </c>
      <c r="T17" s="141">
        <v>0.0</v>
      </c>
      <c r="U17" s="141">
        <v>0.0</v>
      </c>
      <c r="V17" s="141">
        <v>0.0</v>
      </c>
      <c r="W17" s="139"/>
      <c r="X17" s="141">
        <v>0.0</v>
      </c>
      <c r="Y17" s="141">
        <v>0.0</v>
      </c>
      <c r="Z17" s="141">
        <v>2075.18</v>
      </c>
      <c r="AA17" s="142">
        <v>2075.18</v>
      </c>
      <c r="AB17" s="143">
        <v>0.0</v>
      </c>
      <c r="AC17" s="135"/>
      <c r="AD17" s="135"/>
    </row>
    <row r="18" ht="15.75" hidden="1" customHeight="1">
      <c r="A18" s="139" t="s">
        <v>262</v>
      </c>
      <c r="B18" s="141">
        <v>0.0</v>
      </c>
      <c r="C18" s="141">
        <v>0.0</v>
      </c>
      <c r="D18" s="141">
        <v>0.0</v>
      </c>
      <c r="E18" s="141">
        <v>0.0</v>
      </c>
      <c r="F18" s="141">
        <v>0.0</v>
      </c>
      <c r="G18" s="141">
        <v>0.0</v>
      </c>
      <c r="H18" s="141">
        <v>0.0</v>
      </c>
      <c r="I18" s="141">
        <v>0.0</v>
      </c>
      <c r="J18" s="141">
        <v>0.0</v>
      </c>
      <c r="K18" s="141">
        <v>0.0</v>
      </c>
      <c r="L18" s="141"/>
      <c r="M18" s="141">
        <v>0.0</v>
      </c>
      <c r="N18" s="141">
        <v>0.0</v>
      </c>
      <c r="O18" s="141">
        <v>0.0</v>
      </c>
      <c r="P18" s="141">
        <v>0.0</v>
      </c>
      <c r="Q18" s="141">
        <v>0.0</v>
      </c>
      <c r="R18" s="141">
        <v>0.0</v>
      </c>
      <c r="S18" s="141">
        <v>0.0</v>
      </c>
      <c r="T18" s="141">
        <v>0.0</v>
      </c>
      <c r="U18" s="141">
        <v>0.0</v>
      </c>
      <c r="V18" s="141">
        <v>0.0</v>
      </c>
      <c r="W18" s="139"/>
      <c r="X18" s="141">
        <v>0.0</v>
      </c>
      <c r="Y18" s="141">
        <v>0.0</v>
      </c>
      <c r="Z18" s="141">
        <v>0.0</v>
      </c>
      <c r="AA18" s="142">
        <v>0.0</v>
      </c>
      <c r="AB18" s="143">
        <v>0.0</v>
      </c>
      <c r="AC18" s="135"/>
      <c r="AD18" s="135"/>
    </row>
    <row r="19" ht="15.75" hidden="1" customHeight="1">
      <c r="A19" s="139" t="s">
        <v>263</v>
      </c>
      <c r="B19" s="141">
        <v>0.0</v>
      </c>
      <c r="C19" s="141">
        <v>0.0</v>
      </c>
      <c r="D19" s="141">
        <v>0.0</v>
      </c>
      <c r="E19" s="141">
        <v>0.0</v>
      </c>
      <c r="F19" s="141">
        <v>0.0</v>
      </c>
      <c r="G19" s="141">
        <v>0.0</v>
      </c>
      <c r="H19" s="141">
        <v>0.0</v>
      </c>
      <c r="I19" s="141">
        <v>0.0</v>
      </c>
      <c r="J19" s="141">
        <v>0.0</v>
      </c>
      <c r="K19" s="141">
        <v>0.0</v>
      </c>
      <c r="L19" s="141"/>
      <c r="M19" s="141">
        <v>0.0</v>
      </c>
      <c r="N19" s="141">
        <v>0.0</v>
      </c>
      <c r="O19" s="141">
        <v>0.0</v>
      </c>
      <c r="P19" s="141">
        <v>0.0</v>
      </c>
      <c r="Q19" s="141">
        <v>0.0</v>
      </c>
      <c r="R19" s="141">
        <v>0.0</v>
      </c>
      <c r="S19" s="141">
        <v>0.0</v>
      </c>
      <c r="T19" s="141">
        <v>0.0</v>
      </c>
      <c r="U19" s="141">
        <v>0.0</v>
      </c>
      <c r="V19" s="141">
        <v>0.0</v>
      </c>
      <c r="W19" s="139"/>
      <c r="X19" s="141">
        <v>0.0</v>
      </c>
      <c r="Y19" s="141">
        <v>0.0</v>
      </c>
      <c r="Z19" s="141">
        <v>0.0</v>
      </c>
      <c r="AA19" s="142">
        <v>0.0</v>
      </c>
      <c r="AB19" s="143">
        <v>0.0</v>
      </c>
      <c r="AC19" s="135"/>
      <c r="AD19" s="135"/>
    </row>
    <row r="20" ht="15.75" customHeight="1">
      <c r="A20" s="139" t="s">
        <v>264</v>
      </c>
      <c r="B20" s="141">
        <v>0.0</v>
      </c>
      <c r="C20" s="141">
        <v>0.0</v>
      </c>
      <c r="D20" s="141">
        <v>0.0</v>
      </c>
      <c r="E20" s="141">
        <v>0.0</v>
      </c>
      <c r="F20" s="141">
        <v>0.0</v>
      </c>
      <c r="G20" s="141">
        <v>0.0</v>
      </c>
      <c r="H20" s="141">
        <v>3810.34</v>
      </c>
      <c r="I20" s="141">
        <v>0.0</v>
      </c>
      <c r="J20" s="141">
        <v>0.0</v>
      </c>
      <c r="K20" s="141">
        <v>0.0</v>
      </c>
      <c r="L20" s="141"/>
      <c r="M20" s="141">
        <v>0.0</v>
      </c>
      <c r="N20" s="141">
        <v>0.0</v>
      </c>
      <c r="O20" s="141">
        <v>0.0</v>
      </c>
      <c r="P20" s="141">
        <v>0.0</v>
      </c>
      <c r="Q20" s="141">
        <v>0.0</v>
      </c>
      <c r="R20" s="141">
        <v>0.0</v>
      </c>
      <c r="S20" s="141">
        <v>0.0</v>
      </c>
      <c r="T20" s="141">
        <v>0.0</v>
      </c>
      <c r="U20" s="141">
        <v>0.0</v>
      </c>
      <c r="V20" s="141">
        <v>0.0</v>
      </c>
      <c r="W20" s="139"/>
      <c r="X20" s="141">
        <v>0.0</v>
      </c>
      <c r="Y20" s="141">
        <v>0.0</v>
      </c>
      <c r="Z20" s="141">
        <v>0.0</v>
      </c>
      <c r="AA20" s="142">
        <v>3810.34</v>
      </c>
      <c r="AB20" s="143">
        <v>0.0</v>
      </c>
      <c r="AC20" s="135"/>
      <c r="AD20" s="135"/>
    </row>
    <row r="21" ht="15.75" customHeight="1">
      <c r="A21" s="139" t="s">
        <v>265</v>
      </c>
      <c r="B21" s="141">
        <v>0.0</v>
      </c>
      <c r="C21" s="141">
        <v>0.0</v>
      </c>
      <c r="D21" s="141">
        <v>0.0</v>
      </c>
      <c r="E21" s="141">
        <v>0.0</v>
      </c>
      <c r="F21" s="141">
        <v>0.0</v>
      </c>
      <c r="G21" s="141">
        <v>0.0</v>
      </c>
      <c r="H21" s="141">
        <v>0.0</v>
      </c>
      <c r="I21" s="141">
        <v>0.0</v>
      </c>
      <c r="J21" s="141">
        <v>0.0</v>
      </c>
      <c r="K21" s="141">
        <v>0.0</v>
      </c>
      <c r="L21" s="141"/>
      <c r="M21" s="141">
        <v>0.0</v>
      </c>
      <c r="N21" s="141">
        <v>0.0</v>
      </c>
      <c r="O21" s="141">
        <v>0.0</v>
      </c>
      <c r="P21" s="141">
        <v>0.0</v>
      </c>
      <c r="Q21" s="141">
        <v>0.0</v>
      </c>
      <c r="R21" s="141">
        <v>0.0</v>
      </c>
      <c r="S21" s="141">
        <v>0.0</v>
      </c>
      <c r="T21" s="141">
        <v>0.0</v>
      </c>
      <c r="U21" s="141">
        <v>0.0</v>
      </c>
      <c r="V21" s="141">
        <v>0.0</v>
      </c>
      <c r="W21" s="139"/>
      <c r="X21" s="141">
        <v>0.0</v>
      </c>
      <c r="Y21" s="141">
        <v>0.0</v>
      </c>
      <c r="Z21" s="141">
        <v>0.0</v>
      </c>
      <c r="AA21" s="142">
        <v>0.0</v>
      </c>
      <c r="AB21" s="143">
        <v>0.0</v>
      </c>
      <c r="AC21" s="135"/>
      <c r="AD21" s="135"/>
    </row>
    <row r="22" ht="15.75" customHeight="1">
      <c r="A22" s="139" t="s">
        <v>266</v>
      </c>
      <c r="B22" s="141">
        <v>0.0</v>
      </c>
      <c r="C22" s="141">
        <v>0.0</v>
      </c>
      <c r="D22" s="141">
        <v>0.0</v>
      </c>
      <c r="E22" s="141">
        <v>0.0</v>
      </c>
      <c r="F22" s="141">
        <v>0.0</v>
      </c>
      <c r="G22" s="141">
        <v>0.0</v>
      </c>
      <c r="H22" s="141">
        <v>25.86</v>
      </c>
      <c r="I22" s="141">
        <v>0.0</v>
      </c>
      <c r="J22" s="141">
        <v>483.62</v>
      </c>
      <c r="K22" s="141">
        <v>0.0</v>
      </c>
      <c r="L22" s="141"/>
      <c r="M22" s="141">
        <v>21.55</v>
      </c>
      <c r="N22" s="141">
        <v>55.17</v>
      </c>
      <c r="O22" s="141">
        <v>0.0</v>
      </c>
      <c r="P22" s="141">
        <v>149.14</v>
      </c>
      <c r="Q22" s="141">
        <v>0.0</v>
      </c>
      <c r="R22" s="141">
        <v>0.0</v>
      </c>
      <c r="S22" s="141">
        <v>25.86</v>
      </c>
      <c r="T22" s="141">
        <v>0.0</v>
      </c>
      <c r="U22" s="141">
        <v>0.0</v>
      </c>
      <c r="V22" s="141">
        <v>0.0</v>
      </c>
      <c r="W22" s="139"/>
      <c r="X22" s="141">
        <v>0.0</v>
      </c>
      <c r="Y22" s="141">
        <v>0.0</v>
      </c>
      <c r="Z22" s="141">
        <v>0.0</v>
      </c>
      <c r="AA22" s="142">
        <v>761.2</v>
      </c>
      <c r="AB22" s="143">
        <v>0.0</v>
      </c>
      <c r="AC22" s="135"/>
      <c r="AD22" s="135"/>
    </row>
    <row r="23" ht="15.75" customHeight="1">
      <c r="A23" s="139" t="s">
        <v>267</v>
      </c>
      <c r="B23" s="141">
        <v>0.0</v>
      </c>
      <c r="C23" s="141">
        <v>0.0</v>
      </c>
      <c r="D23" s="141">
        <v>0.0</v>
      </c>
      <c r="E23" s="141">
        <v>0.0</v>
      </c>
      <c r="F23" s="141">
        <v>0.0</v>
      </c>
      <c r="G23" s="141">
        <v>0.0</v>
      </c>
      <c r="H23" s="141">
        <v>0.0</v>
      </c>
      <c r="I23" s="141">
        <v>0.0</v>
      </c>
      <c r="J23" s="141">
        <v>0.0</v>
      </c>
      <c r="K23" s="141">
        <v>0.0</v>
      </c>
      <c r="L23" s="141"/>
      <c r="M23" s="141">
        <v>0.0</v>
      </c>
      <c r="N23" s="141">
        <v>0.0</v>
      </c>
      <c r="O23" s="141">
        <v>0.0</v>
      </c>
      <c r="P23" s="141">
        <v>0.0</v>
      </c>
      <c r="Q23" s="141">
        <v>0.0</v>
      </c>
      <c r="R23" s="141">
        <v>0.0</v>
      </c>
      <c r="S23" s="141">
        <v>0.0</v>
      </c>
      <c r="T23" s="141">
        <v>0.0</v>
      </c>
      <c r="U23" s="141">
        <v>0.0</v>
      </c>
      <c r="V23" s="141">
        <v>0.0</v>
      </c>
      <c r="W23" s="139"/>
      <c r="X23" s="141">
        <v>0.0</v>
      </c>
      <c r="Y23" s="141">
        <v>0.0</v>
      </c>
      <c r="Z23" s="141">
        <v>0.0</v>
      </c>
      <c r="AA23" s="142">
        <v>0.0</v>
      </c>
      <c r="AB23" s="143">
        <v>0.0</v>
      </c>
      <c r="AC23" s="135"/>
      <c r="AD23" s="135"/>
    </row>
    <row r="24" ht="15.75" hidden="1" customHeight="1">
      <c r="A24" s="139" t="s">
        <v>268</v>
      </c>
      <c r="B24" s="141">
        <v>0.0</v>
      </c>
      <c r="C24" s="141">
        <v>0.0</v>
      </c>
      <c r="D24" s="141">
        <v>0.0</v>
      </c>
      <c r="E24" s="141">
        <v>0.0</v>
      </c>
      <c r="F24" s="141">
        <v>0.0</v>
      </c>
      <c r="G24" s="141">
        <v>0.0</v>
      </c>
      <c r="H24" s="141">
        <v>0.0</v>
      </c>
      <c r="I24" s="141">
        <v>0.0</v>
      </c>
      <c r="J24" s="141">
        <v>0.0</v>
      </c>
      <c r="K24" s="141">
        <v>0.0</v>
      </c>
      <c r="L24" s="141"/>
      <c r="M24" s="141">
        <v>0.0</v>
      </c>
      <c r="N24" s="141">
        <v>0.0</v>
      </c>
      <c r="O24" s="141">
        <v>0.0</v>
      </c>
      <c r="P24" s="141">
        <v>0.0</v>
      </c>
      <c r="Q24" s="141">
        <v>0.0</v>
      </c>
      <c r="R24" s="141">
        <v>0.0</v>
      </c>
      <c r="S24" s="141">
        <v>0.0</v>
      </c>
      <c r="T24" s="141">
        <v>0.0</v>
      </c>
      <c r="U24" s="141">
        <v>0.0</v>
      </c>
      <c r="V24" s="141">
        <v>0.0</v>
      </c>
      <c r="W24" s="139"/>
      <c r="X24" s="141">
        <v>0.0</v>
      </c>
      <c r="Y24" s="141">
        <v>0.0</v>
      </c>
      <c r="Z24" s="141">
        <v>0.0</v>
      </c>
      <c r="AA24" s="142">
        <v>0.0</v>
      </c>
      <c r="AB24" s="143">
        <v>0.0</v>
      </c>
      <c r="AC24" s="135"/>
      <c r="AD24" s="135"/>
    </row>
    <row r="25" ht="15.75" hidden="1" customHeight="1">
      <c r="A25" s="139" t="s">
        <v>269</v>
      </c>
      <c r="B25" s="141">
        <v>0.0</v>
      </c>
      <c r="C25" s="141">
        <v>0.0</v>
      </c>
      <c r="D25" s="141">
        <v>0.0</v>
      </c>
      <c r="E25" s="141">
        <v>0.0</v>
      </c>
      <c r="F25" s="141">
        <v>0.0</v>
      </c>
      <c r="G25" s="141">
        <v>0.0</v>
      </c>
      <c r="H25" s="141">
        <v>0.0</v>
      </c>
      <c r="I25" s="141">
        <v>0.0</v>
      </c>
      <c r="J25" s="141">
        <v>0.0</v>
      </c>
      <c r="K25" s="141">
        <v>0.0</v>
      </c>
      <c r="L25" s="139"/>
      <c r="M25" s="141">
        <v>0.0</v>
      </c>
      <c r="N25" s="141">
        <v>0.0</v>
      </c>
      <c r="O25" s="141">
        <v>0.0</v>
      </c>
      <c r="P25" s="141">
        <v>0.0</v>
      </c>
      <c r="Q25" s="141">
        <v>0.0</v>
      </c>
      <c r="R25" s="141">
        <v>0.0</v>
      </c>
      <c r="S25" s="141">
        <v>0.0</v>
      </c>
      <c r="T25" s="141">
        <v>0.0</v>
      </c>
      <c r="U25" s="141">
        <v>0.0</v>
      </c>
      <c r="V25" s="141">
        <v>0.0</v>
      </c>
      <c r="W25" s="139"/>
      <c r="X25" s="141">
        <v>0.0</v>
      </c>
      <c r="Y25" s="141">
        <v>0.0</v>
      </c>
      <c r="Z25" s="141">
        <v>11344.83</v>
      </c>
      <c r="AA25" s="142">
        <v>11344.83</v>
      </c>
      <c r="AB25" s="143">
        <v>0.0</v>
      </c>
      <c r="AC25" s="135"/>
      <c r="AD25" s="135"/>
    </row>
    <row r="26" ht="15.75" hidden="1" customHeight="1">
      <c r="A26" s="139" t="s">
        <v>270</v>
      </c>
      <c r="B26" s="141">
        <v>0.0</v>
      </c>
      <c r="C26" s="141">
        <v>0.0</v>
      </c>
      <c r="D26" s="141">
        <v>0.0</v>
      </c>
      <c r="E26" s="141">
        <v>0.0</v>
      </c>
      <c r="F26" s="141">
        <v>0.0</v>
      </c>
      <c r="G26" s="141">
        <v>0.0</v>
      </c>
      <c r="H26" s="141">
        <v>0.0</v>
      </c>
      <c r="I26" s="141">
        <v>0.0</v>
      </c>
      <c r="J26" s="141">
        <v>0.0</v>
      </c>
      <c r="K26" s="141">
        <v>0.0</v>
      </c>
      <c r="L26" s="139"/>
      <c r="M26" s="141">
        <v>0.0</v>
      </c>
      <c r="N26" s="141">
        <v>0.0</v>
      </c>
      <c r="O26" s="141">
        <v>0.0</v>
      </c>
      <c r="P26" s="141">
        <v>0.0</v>
      </c>
      <c r="Q26" s="141">
        <v>0.0</v>
      </c>
      <c r="R26" s="141">
        <v>0.0</v>
      </c>
      <c r="S26" s="141">
        <v>0.0</v>
      </c>
      <c r="T26" s="141">
        <v>0.0</v>
      </c>
      <c r="U26" s="141">
        <v>0.0</v>
      </c>
      <c r="V26" s="141">
        <v>0.0</v>
      </c>
      <c r="W26" s="139"/>
      <c r="X26" s="141">
        <v>0.0</v>
      </c>
      <c r="Y26" s="141">
        <v>0.0</v>
      </c>
      <c r="Z26" s="141">
        <v>0.0</v>
      </c>
      <c r="AA26" s="142">
        <v>0.0</v>
      </c>
      <c r="AB26" s="143">
        <v>0.0</v>
      </c>
      <c r="AC26" s="135"/>
      <c r="AD26" s="135"/>
    </row>
    <row r="27" ht="15.75" customHeight="1">
      <c r="A27" s="146" t="s">
        <v>271</v>
      </c>
      <c r="B27" s="147">
        <v>1752062.93</v>
      </c>
      <c r="C27" s="147">
        <v>38319.83</v>
      </c>
      <c r="D27" s="147">
        <v>330214.65</v>
      </c>
      <c r="E27" s="147">
        <v>34365.0</v>
      </c>
      <c r="F27" s="147">
        <v>47044.84</v>
      </c>
      <c r="G27" s="147">
        <v>300987.07</v>
      </c>
      <c r="H27" s="147">
        <v>266614.65</v>
      </c>
      <c r="I27" s="147">
        <v>36993.96</v>
      </c>
      <c r="J27" s="147">
        <v>2183410.33</v>
      </c>
      <c r="K27" s="147">
        <v>386387.06</v>
      </c>
      <c r="L27" s="146" t="s">
        <v>56</v>
      </c>
      <c r="M27" s="147">
        <v>41590.52</v>
      </c>
      <c r="N27" s="147">
        <v>209439.67</v>
      </c>
      <c r="O27" s="147">
        <v>32293.1</v>
      </c>
      <c r="P27" s="147">
        <v>90748.28</v>
      </c>
      <c r="Q27" s="147">
        <v>36000.0</v>
      </c>
      <c r="R27" s="147">
        <v>45991.38</v>
      </c>
      <c r="S27" s="147">
        <v>76255.17</v>
      </c>
      <c r="T27" s="147">
        <v>168888.39</v>
      </c>
      <c r="U27" s="147">
        <v>119378.9</v>
      </c>
      <c r="V27" s="147">
        <v>28775.85</v>
      </c>
      <c r="W27" s="147">
        <v>135658.0</v>
      </c>
      <c r="X27" s="147">
        <v>834241.06</v>
      </c>
      <c r="Y27" s="147">
        <v>36000.0</v>
      </c>
      <c r="Z27" s="147">
        <v>22870.01</v>
      </c>
      <c r="AA27" s="147">
        <v>7254530.65</v>
      </c>
      <c r="AB27" s="178">
        <v>1.0</v>
      </c>
      <c r="AC27" s="135"/>
      <c r="AD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35"/>
      <c r="AD28" s="135"/>
    </row>
    <row r="29" ht="15.75" customHeight="1">
      <c r="A29" s="139" t="s">
        <v>47</v>
      </c>
      <c r="B29" s="141">
        <v>49319.22</v>
      </c>
      <c r="C29" s="141">
        <v>0.0</v>
      </c>
      <c r="D29" s="141">
        <v>18761.81</v>
      </c>
      <c r="E29" s="141">
        <v>0.0</v>
      </c>
      <c r="F29" s="141">
        <v>10988.58</v>
      </c>
      <c r="G29" s="141">
        <v>21078.08</v>
      </c>
      <c r="H29" s="141">
        <v>21312.92</v>
      </c>
      <c r="I29" s="141">
        <v>25544.0</v>
      </c>
      <c r="J29" s="141">
        <v>141858.33</v>
      </c>
      <c r="K29" s="141">
        <v>35898.8</v>
      </c>
      <c r="L29" s="141"/>
      <c r="M29" s="141">
        <v>7358.58</v>
      </c>
      <c r="N29" s="141">
        <v>36737.11</v>
      </c>
      <c r="O29" s="141">
        <v>9980.36</v>
      </c>
      <c r="P29" s="141">
        <v>19374.42</v>
      </c>
      <c r="Q29" s="141">
        <v>19510.0</v>
      </c>
      <c r="R29" s="141">
        <v>155749.0</v>
      </c>
      <c r="S29" s="141">
        <v>29331.94</v>
      </c>
      <c r="T29" s="141">
        <v>38661.95</v>
      </c>
      <c r="U29" s="141">
        <v>40962.96</v>
      </c>
      <c r="V29" s="141">
        <v>33068.96</v>
      </c>
      <c r="W29" s="141">
        <v>21876.52</v>
      </c>
      <c r="X29" s="141">
        <v>62722.71</v>
      </c>
      <c r="Y29" s="141">
        <v>8236.7</v>
      </c>
      <c r="Z29" s="141">
        <v>687628.03</v>
      </c>
      <c r="AA29" s="142">
        <v>1495960.98</v>
      </c>
      <c r="AB29" s="143">
        <v>0.48</v>
      </c>
      <c r="AC29" s="135"/>
      <c r="AD29" s="141"/>
    </row>
    <row r="30" ht="15.75" customHeight="1">
      <c r="A30" s="139" t="s">
        <v>48</v>
      </c>
      <c r="B30" s="141">
        <v>0.0</v>
      </c>
      <c r="C30" s="141">
        <v>0.0</v>
      </c>
      <c r="D30" s="141">
        <v>0.0</v>
      </c>
      <c r="E30" s="141">
        <v>0.0</v>
      </c>
      <c r="F30" s="141">
        <v>0.0</v>
      </c>
      <c r="G30" s="141">
        <v>0.0</v>
      </c>
      <c r="H30" s="141">
        <v>0.0</v>
      </c>
      <c r="I30" s="141">
        <v>0.0</v>
      </c>
      <c r="J30" s="141">
        <v>0.0</v>
      </c>
      <c r="K30" s="141">
        <v>0.0</v>
      </c>
      <c r="L30" s="141"/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141">
        <v>0.0</v>
      </c>
      <c r="Z30" s="141">
        <v>0.0</v>
      </c>
      <c r="AA30" s="142">
        <v>0.0</v>
      </c>
      <c r="AB30" s="143">
        <v>0.0</v>
      </c>
      <c r="AC30" s="135"/>
      <c r="AD30" s="135"/>
    </row>
    <row r="31" ht="15.75" customHeight="1">
      <c r="A31" s="139" t="s">
        <v>49</v>
      </c>
      <c r="B31" s="141">
        <v>0.0</v>
      </c>
      <c r="C31" s="141">
        <v>0.0</v>
      </c>
      <c r="D31" s="141">
        <v>0.0</v>
      </c>
      <c r="E31" s="141">
        <v>0.0</v>
      </c>
      <c r="F31" s="141">
        <v>0.0</v>
      </c>
      <c r="G31" s="141">
        <v>0.0</v>
      </c>
      <c r="H31" s="141">
        <v>0.0</v>
      </c>
      <c r="I31" s="141">
        <v>0.0</v>
      </c>
      <c r="J31" s="141">
        <v>0.0</v>
      </c>
      <c r="K31" s="141">
        <v>0.0</v>
      </c>
      <c r="L31" s="141"/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1">
        <v>0.0</v>
      </c>
      <c r="V31" s="141">
        <v>0.0</v>
      </c>
      <c r="W31" s="141">
        <v>0.0</v>
      </c>
      <c r="X31" s="141">
        <v>0.0</v>
      </c>
      <c r="Y31" s="141">
        <v>0.0</v>
      </c>
      <c r="Z31" s="141">
        <v>28905.57</v>
      </c>
      <c r="AA31" s="142">
        <v>28905.57</v>
      </c>
      <c r="AB31" s="143">
        <v>0.01</v>
      </c>
      <c r="AC31" s="135"/>
      <c r="AD31" s="135"/>
    </row>
    <row r="32" ht="15.75" customHeight="1">
      <c r="A32" s="139" t="s">
        <v>50</v>
      </c>
      <c r="B32" s="141">
        <v>0.0</v>
      </c>
      <c r="C32" s="141">
        <v>0.0</v>
      </c>
      <c r="D32" s="141">
        <v>177160.0</v>
      </c>
      <c r="E32" s="141">
        <v>0.0</v>
      </c>
      <c r="F32" s="141">
        <v>16140.0</v>
      </c>
      <c r="G32" s="141">
        <v>0.0</v>
      </c>
      <c r="H32" s="141">
        <v>0.0</v>
      </c>
      <c r="I32" s="141">
        <v>0.0</v>
      </c>
      <c r="J32" s="141">
        <v>0.0</v>
      </c>
      <c r="K32" s="141">
        <v>0.0</v>
      </c>
      <c r="L32" s="141"/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0.0</v>
      </c>
      <c r="T32" s="141">
        <v>0.0</v>
      </c>
      <c r="U32" s="141">
        <v>0.0</v>
      </c>
      <c r="V32" s="141">
        <v>0.0</v>
      </c>
      <c r="W32" s="141">
        <v>0.0</v>
      </c>
      <c r="X32" s="141">
        <v>0.0</v>
      </c>
      <c r="Y32" s="141">
        <v>0.0</v>
      </c>
      <c r="Z32" s="141">
        <v>70953.14</v>
      </c>
      <c r="AA32" s="142">
        <v>264253.14</v>
      </c>
      <c r="AB32" s="143">
        <v>0.08</v>
      </c>
      <c r="AC32" s="135"/>
      <c r="AD32" s="135"/>
    </row>
    <row r="33" ht="15.75" customHeight="1">
      <c r="A33" s="139" t="s">
        <v>51</v>
      </c>
      <c r="B33" s="141">
        <v>0.0</v>
      </c>
      <c r="C33" s="141">
        <v>0.0</v>
      </c>
      <c r="D33" s="141">
        <v>0.0</v>
      </c>
      <c r="E33" s="141">
        <v>0.0</v>
      </c>
      <c r="F33" s="141">
        <v>0.0</v>
      </c>
      <c r="G33" s="141">
        <v>0.0</v>
      </c>
      <c r="H33" s="141">
        <v>0.0</v>
      </c>
      <c r="I33" s="141">
        <v>0.0</v>
      </c>
      <c r="J33" s="141">
        <v>0.0</v>
      </c>
      <c r="K33" s="141">
        <v>0.0</v>
      </c>
      <c r="L33" s="141"/>
      <c r="M33" s="141">
        <v>0.0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0.0</v>
      </c>
      <c r="T33" s="141">
        <v>0.0</v>
      </c>
      <c r="U33" s="141">
        <v>0.0</v>
      </c>
      <c r="V33" s="141">
        <v>0.0</v>
      </c>
      <c r="W33" s="141">
        <v>0.0</v>
      </c>
      <c r="X33" s="141">
        <v>0.0</v>
      </c>
      <c r="Y33" s="141">
        <v>0.0</v>
      </c>
      <c r="Z33" s="141">
        <v>0.0</v>
      </c>
      <c r="AA33" s="142">
        <v>0.0</v>
      </c>
      <c r="AB33" s="143">
        <v>0.0</v>
      </c>
      <c r="AC33" s="135"/>
      <c r="AD33" s="135"/>
    </row>
    <row r="34" ht="15.75" customHeight="1">
      <c r="A34" s="139" t="s">
        <v>52</v>
      </c>
      <c r="B34" s="141">
        <v>37113.71</v>
      </c>
      <c r="C34" s="141">
        <v>0.0</v>
      </c>
      <c r="D34" s="141">
        <v>0.0</v>
      </c>
      <c r="E34" s="141">
        <v>0.0</v>
      </c>
      <c r="F34" s="141">
        <v>0.0</v>
      </c>
      <c r="G34" s="141">
        <v>0.0</v>
      </c>
      <c r="H34" s="141">
        <v>0.0</v>
      </c>
      <c r="I34" s="141">
        <v>0.0</v>
      </c>
      <c r="J34" s="141">
        <v>0.0</v>
      </c>
      <c r="K34" s="141">
        <v>0.0</v>
      </c>
      <c r="L34" s="141"/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0.0</v>
      </c>
      <c r="T34" s="141">
        <v>0.0</v>
      </c>
      <c r="U34" s="141">
        <v>0.0</v>
      </c>
      <c r="V34" s="141">
        <v>0.0</v>
      </c>
      <c r="W34" s="141">
        <v>0.0</v>
      </c>
      <c r="X34" s="141">
        <v>0.0</v>
      </c>
      <c r="Y34" s="141">
        <v>0.0</v>
      </c>
      <c r="Z34" s="141">
        <v>9160.83</v>
      </c>
      <c r="AA34" s="142">
        <v>46274.54</v>
      </c>
      <c r="AB34" s="143">
        <v>0.01</v>
      </c>
      <c r="AC34" s="135"/>
      <c r="AD34" s="135"/>
    </row>
    <row r="35" ht="15.75" customHeight="1">
      <c r="A35" s="139" t="s">
        <v>53</v>
      </c>
      <c r="B35" s="141">
        <v>0.0</v>
      </c>
      <c r="C35" s="141">
        <v>0.0</v>
      </c>
      <c r="D35" s="141">
        <v>0.0</v>
      </c>
      <c r="E35" s="141">
        <v>0.0</v>
      </c>
      <c r="F35" s="141">
        <v>0.0</v>
      </c>
      <c r="G35" s="141">
        <v>0.0</v>
      </c>
      <c r="H35" s="141">
        <v>0.0</v>
      </c>
      <c r="I35" s="141">
        <v>0.0</v>
      </c>
      <c r="J35" s="141">
        <v>0.0</v>
      </c>
      <c r="K35" s="141">
        <v>0.0</v>
      </c>
      <c r="L35" s="141"/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41">
        <v>0.0</v>
      </c>
      <c r="Z35" s="141">
        <v>0.0</v>
      </c>
      <c r="AA35" s="142">
        <v>0.0</v>
      </c>
      <c r="AB35" s="143">
        <v>0.0</v>
      </c>
      <c r="AC35" s="135"/>
      <c r="AD35" s="135"/>
    </row>
    <row r="36" ht="15.75" customHeight="1">
      <c r="A36" s="139" t="s">
        <v>54</v>
      </c>
      <c r="B36" s="141">
        <v>627.59</v>
      </c>
      <c r="C36" s="141">
        <v>0.0</v>
      </c>
      <c r="D36" s="141">
        <v>627.59</v>
      </c>
      <c r="E36" s="141">
        <v>0.0</v>
      </c>
      <c r="F36" s="141">
        <v>584.48</v>
      </c>
      <c r="G36" s="141">
        <v>627.58</v>
      </c>
      <c r="H36" s="141">
        <v>283.62</v>
      </c>
      <c r="I36" s="141">
        <v>343.97</v>
      </c>
      <c r="J36" s="141">
        <v>688.8</v>
      </c>
      <c r="K36" s="141">
        <v>283.62</v>
      </c>
      <c r="L36" s="141"/>
      <c r="M36" s="141">
        <v>283.62</v>
      </c>
      <c r="N36" s="141">
        <v>627.59</v>
      </c>
      <c r="O36" s="141">
        <v>283.62</v>
      </c>
      <c r="P36" s="141">
        <v>627.59</v>
      </c>
      <c r="Q36" s="141">
        <v>850.86</v>
      </c>
      <c r="R36" s="141">
        <v>283.62</v>
      </c>
      <c r="S36" s="141">
        <v>283.62</v>
      </c>
      <c r="T36" s="141">
        <v>627.58</v>
      </c>
      <c r="U36" s="141">
        <v>283.62</v>
      </c>
      <c r="V36" s="141">
        <v>283.62</v>
      </c>
      <c r="W36" s="141">
        <v>627.59</v>
      </c>
      <c r="X36" s="141">
        <v>584.48</v>
      </c>
      <c r="Y36" s="141">
        <v>0.0</v>
      </c>
      <c r="Z36" s="141">
        <v>22516.98</v>
      </c>
      <c r="AA36" s="142">
        <v>32231.64</v>
      </c>
      <c r="AB36" s="143">
        <v>0.01</v>
      </c>
      <c r="AC36" s="135"/>
      <c r="AD36" s="135"/>
    </row>
    <row r="37" ht="15.75" customHeight="1">
      <c r="A37" s="139" t="s">
        <v>55</v>
      </c>
      <c r="B37" s="141">
        <v>105500.0</v>
      </c>
      <c r="C37" s="141">
        <v>0.0</v>
      </c>
      <c r="D37" s="141">
        <v>0.0</v>
      </c>
      <c r="E37" s="141">
        <v>0.0</v>
      </c>
      <c r="F37" s="141">
        <v>0.0</v>
      </c>
      <c r="G37" s="141">
        <v>0.0</v>
      </c>
      <c r="H37" s="141">
        <v>0.0</v>
      </c>
      <c r="I37" s="141">
        <v>0.0</v>
      </c>
      <c r="J37" s="141">
        <v>0.0</v>
      </c>
      <c r="K37" s="141">
        <v>0.0</v>
      </c>
      <c r="L37" s="141"/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141">
        <v>0.0</v>
      </c>
      <c r="Z37" s="141">
        <v>0.0</v>
      </c>
      <c r="AA37" s="142">
        <v>105500.0</v>
      </c>
      <c r="AB37" s="143">
        <v>0.03</v>
      </c>
      <c r="AC37" s="135"/>
      <c r="AD37" s="135"/>
    </row>
    <row r="38" ht="15.75" customHeight="1">
      <c r="A38" s="139" t="s">
        <v>57</v>
      </c>
      <c r="B38" s="141">
        <v>1628.56</v>
      </c>
      <c r="C38" s="141">
        <v>0.0</v>
      </c>
      <c r="D38" s="141">
        <v>552.05</v>
      </c>
      <c r="E38" s="141">
        <v>0.0</v>
      </c>
      <c r="F38" s="141">
        <v>138.01</v>
      </c>
      <c r="G38" s="141">
        <v>690.07</v>
      </c>
      <c r="H38" s="141">
        <v>552.05</v>
      </c>
      <c r="I38" s="141">
        <v>115.01</v>
      </c>
      <c r="J38" s="141">
        <v>6900.67</v>
      </c>
      <c r="K38" s="141">
        <v>3144.38</v>
      </c>
      <c r="L38" s="141"/>
      <c r="M38" s="141">
        <v>101.21</v>
      </c>
      <c r="N38" s="141">
        <v>381.84</v>
      </c>
      <c r="O38" s="141">
        <v>50.6</v>
      </c>
      <c r="P38" s="141">
        <v>409.44</v>
      </c>
      <c r="Q38" s="141">
        <v>460.04</v>
      </c>
      <c r="R38" s="141">
        <v>3450.33</v>
      </c>
      <c r="S38" s="141">
        <v>179.42</v>
      </c>
      <c r="T38" s="141">
        <v>460.04</v>
      </c>
      <c r="U38" s="141">
        <v>547.45</v>
      </c>
      <c r="V38" s="141">
        <v>161.02</v>
      </c>
      <c r="W38" s="141">
        <v>161.02</v>
      </c>
      <c r="X38" s="141">
        <v>828.08</v>
      </c>
      <c r="Y38" s="141">
        <v>0.0</v>
      </c>
      <c r="Z38" s="141">
        <v>220.58</v>
      </c>
      <c r="AA38" s="142">
        <v>21131.87</v>
      </c>
      <c r="AB38" s="143">
        <v>0.01</v>
      </c>
      <c r="AC38" s="135"/>
      <c r="AD38" s="135"/>
    </row>
    <row r="39" ht="15.75" customHeight="1">
      <c r="A39" s="139" t="s">
        <v>58</v>
      </c>
      <c r="B39" s="141">
        <v>0.0</v>
      </c>
      <c r="C39" s="141">
        <v>0.0</v>
      </c>
      <c r="D39" s="141">
        <v>2130.0</v>
      </c>
      <c r="E39" s="141">
        <v>0.0</v>
      </c>
      <c r="F39" s="141">
        <v>0.0</v>
      </c>
      <c r="G39" s="141">
        <v>3660.0</v>
      </c>
      <c r="H39" s="141">
        <v>0.0</v>
      </c>
      <c r="I39" s="141">
        <v>0.0</v>
      </c>
      <c r="J39" s="141">
        <v>0.0</v>
      </c>
      <c r="K39" s="141">
        <v>10279.5</v>
      </c>
      <c r="L39" s="141"/>
      <c r="M39" s="141">
        <v>0.0</v>
      </c>
      <c r="N39" s="141">
        <v>19267.2</v>
      </c>
      <c r="O39" s="141">
        <v>0.0</v>
      </c>
      <c r="P39" s="141">
        <v>0.0</v>
      </c>
      <c r="Q39" s="141">
        <v>0.0</v>
      </c>
      <c r="R39" s="141">
        <v>0.0</v>
      </c>
      <c r="S39" s="141">
        <v>0.0</v>
      </c>
      <c r="T39" s="141">
        <v>0.0</v>
      </c>
      <c r="U39" s="141">
        <v>0.0</v>
      </c>
      <c r="V39" s="141">
        <v>0.0</v>
      </c>
      <c r="W39" s="141">
        <v>0.0</v>
      </c>
      <c r="X39" s="141">
        <v>0.0</v>
      </c>
      <c r="Y39" s="141">
        <v>0.0</v>
      </c>
      <c r="Z39" s="141">
        <v>0.0</v>
      </c>
      <c r="AA39" s="142">
        <v>35336.7</v>
      </c>
      <c r="AB39" s="143">
        <v>0.01</v>
      </c>
      <c r="AC39" s="135"/>
      <c r="AD39" s="135"/>
    </row>
    <row r="40" ht="15.75" customHeight="1">
      <c r="A40" s="139" t="s">
        <v>59</v>
      </c>
      <c r="B40" s="141">
        <v>0.0</v>
      </c>
      <c r="C40" s="141">
        <v>0.0</v>
      </c>
      <c r="D40" s="141">
        <v>0.0</v>
      </c>
      <c r="E40" s="141">
        <v>0.0</v>
      </c>
      <c r="F40" s="141">
        <v>0.0</v>
      </c>
      <c r="G40" s="141">
        <v>0.0</v>
      </c>
      <c r="H40" s="141">
        <v>0.0</v>
      </c>
      <c r="I40" s="141">
        <v>0.0</v>
      </c>
      <c r="J40" s="141">
        <v>0.0</v>
      </c>
      <c r="K40" s="141">
        <v>0.0</v>
      </c>
      <c r="L40" s="141"/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1">
        <v>0.0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141">
        <v>0.0</v>
      </c>
      <c r="Z40" s="141">
        <v>0.0</v>
      </c>
      <c r="AA40" s="142">
        <v>0.0</v>
      </c>
      <c r="AB40" s="143">
        <v>0.0</v>
      </c>
      <c r="AC40" s="135"/>
      <c r="AD40" s="135"/>
    </row>
    <row r="41" ht="15.75" customHeight="1">
      <c r="A41" s="139" t="s">
        <v>60</v>
      </c>
      <c r="B41" s="141">
        <v>0.0</v>
      </c>
      <c r="C41" s="141">
        <v>0.0</v>
      </c>
      <c r="D41" s="141">
        <v>0.0</v>
      </c>
      <c r="E41" s="141">
        <v>0.0</v>
      </c>
      <c r="F41" s="141">
        <v>0.0</v>
      </c>
      <c r="G41" s="141">
        <v>0.0</v>
      </c>
      <c r="H41" s="141">
        <v>0.0</v>
      </c>
      <c r="I41" s="141">
        <v>0.0</v>
      </c>
      <c r="J41" s="141">
        <v>0.0</v>
      </c>
      <c r="K41" s="141">
        <v>0.0</v>
      </c>
      <c r="L41" s="141"/>
      <c r="M41" s="141">
        <v>0.0</v>
      </c>
      <c r="N41" s="141">
        <v>0.0</v>
      </c>
      <c r="O41" s="141">
        <v>0.0</v>
      </c>
      <c r="P41" s="141">
        <v>0.0</v>
      </c>
      <c r="Q41" s="141">
        <v>0.0</v>
      </c>
      <c r="R41" s="141">
        <v>0.0</v>
      </c>
      <c r="S41" s="141">
        <v>0.0</v>
      </c>
      <c r="T41" s="141">
        <v>0.0</v>
      </c>
      <c r="U41" s="141">
        <v>0.0</v>
      </c>
      <c r="V41" s="141">
        <v>0.0</v>
      </c>
      <c r="W41" s="141">
        <v>0.0</v>
      </c>
      <c r="X41" s="141">
        <v>0.0</v>
      </c>
      <c r="Y41" s="141">
        <v>0.0</v>
      </c>
      <c r="Z41" s="141">
        <v>0.0</v>
      </c>
      <c r="AA41" s="142">
        <v>0.0</v>
      </c>
      <c r="AB41" s="143">
        <v>0.0</v>
      </c>
      <c r="AC41" s="135"/>
      <c r="AD41" s="135"/>
    </row>
    <row r="42" ht="15.75" customHeight="1">
      <c r="A42" s="139" t="s">
        <v>61</v>
      </c>
      <c r="B42" s="141">
        <v>0.0</v>
      </c>
      <c r="C42" s="141">
        <v>0.0</v>
      </c>
      <c r="D42" s="141">
        <v>0.0</v>
      </c>
      <c r="E42" s="141">
        <v>0.0</v>
      </c>
      <c r="F42" s="141">
        <v>0.0</v>
      </c>
      <c r="G42" s="141">
        <v>0.0</v>
      </c>
      <c r="H42" s="141">
        <v>0.0</v>
      </c>
      <c r="I42" s="141">
        <v>0.0</v>
      </c>
      <c r="J42" s="141">
        <v>0.0</v>
      </c>
      <c r="K42" s="141">
        <v>0.0</v>
      </c>
      <c r="L42" s="141"/>
      <c r="M42" s="141">
        <v>0.0</v>
      </c>
      <c r="N42" s="141">
        <v>0.0</v>
      </c>
      <c r="O42" s="141">
        <v>0.0</v>
      </c>
      <c r="P42" s="141">
        <v>0.0</v>
      </c>
      <c r="Q42" s="141">
        <v>0.0</v>
      </c>
      <c r="R42" s="141">
        <v>0.0</v>
      </c>
      <c r="S42" s="141">
        <v>0.0</v>
      </c>
      <c r="T42" s="141">
        <v>0.0</v>
      </c>
      <c r="U42" s="141">
        <v>0.0</v>
      </c>
      <c r="V42" s="141">
        <v>0.0</v>
      </c>
      <c r="W42" s="141">
        <v>0.0</v>
      </c>
      <c r="X42" s="141">
        <v>0.0</v>
      </c>
      <c r="Y42" s="141">
        <v>0.0</v>
      </c>
      <c r="Z42" s="141">
        <v>0.0</v>
      </c>
      <c r="AA42" s="142">
        <v>0.0</v>
      </c>
      <c r="AB42" s="143">
        <v>0.0</v>
      </c>
      <c r="AC42" s="135"/>
      <c r="AD42" s="135"/>
    </row>
    <row r="43" ht="15.75" customHeight="1">
      <c r="A43" s="139" t="s">
        <v>62</v>
      </c>
      <c r="B43" s="141">
        <v>0.0</v>
      </c>
      <c r="C43" s="141">
        <v>0.0</v>
      </c>
      <c r="D43" s="141">
        <v>0.0</v>
      </c>
      <c r="E43" s="141">
        <v>0.0</v>
      </c>
      <c r="F43" s="141">
        <v>0.0</v>
      </c>
      <c r="G43" s="141">
        <v>0.0</v>
      </c>
      <c r="H43" s="141">
        <v>0.0</v>
      </c>
      <c r="I43" s="141">
        <v>0.0</v>
      </c>
      <c r="J43" s="141">
        <v>0.0</v>
      </c>
      <c r="K43" s="141">
        <v>0.0</v>
      </c>
      <c r="L43" s="141"/>
      <c r="M43" s="141">
        <v>0.0</v>
      </c>
      <c r="N43" s="141">
        <v>0.0</v>
      </c>
      <c r="O43" s="141">
        <v>0.0</v>
      </c>
      <c r="P43" s="141">
        <v>0.0</v>
      </c>
      <c r="Q43" s="141">
        <v>0.0</v>
      </c>
      <c r="R43" s="141">
        <v>0.0</v>
      </c>
      <c r="S43" s="141">
        <v>0.0</v>
      </c>
      <c r="T43" s="141">
        <v>0.0</v>
      </c>
      <c r="U43" s="141">
        <v>0.0</v>
      </c>
      <c r="V43" s="141">
        <v>0.0</v>
      </c>
      <c r="W43" s="141">
        <v>0.0</v>
      </c>
      <c r="X43" s="141">
        <v>0.0</v>
      </c>
      <c r="Y43" s="141">
        <v>0.0</v>
      </c>
      <c r="Z43" s="141">
        <v>0.0</v>
      </c>
      <c r="AA43" s="142">
        <v>0.0</v>
      </c>
      <c r="AB43" s="143">
        <v>0.0</v>
      </c>
      <c r="AC43" s="135"/>
      <c r="AD43" s="135"/>
    </row>
    <row r="44" ht="15.75" customHeight="1">
      <c r="A44" s="139" t="s">
        <v>63</v>
      </c>
      <c r="B44" s="141">
        <v>2808.75</v>
      </c>
      <c r="C44" s="141">
        <v>0.0</v>
      </c>
      <c r="D44" s="141">
        <v>0.0</v>
      </c>
      <c r="E44" s="141">
        <v>0.0</v>
      </c>
      <c r="F44" s="141">
        <v>0.0</v>
      </c>
      <c r="G44" s="141">
        <v>0.0</v>
      </c>
      <c r="H44" s="141">
        <v>3500.0</v>
      </c>
      <c r="I44" s="141">
        <v>1500.0</v>
      </c>
      <c r="J44" s="141">
        <v>16000.0</v>
      </c>
      <c r="K44" s="141">
        <v>0.0</v>
      </c>
      <c r="L44" s="141"/>
      <c r="M44" s="141">
        <v>0.0</v>
      </c>
      <c r="N44" s="141">
        <v>3500.0</v>
      </c>
      <c r="O44" s="141">
        <v>0.0</v>
      </c>
      <c r="P44" s="141">
        <v>0.0</v>
      </c>
      <c r="Q44" s="141">
        <v>0.0</v>
      </c>
      <c r="R44" s="141">
        <v>0.0</v>
      </c>
      <c r="S44" s="141">
        <v>0.0</v>
      </c>
      <c r="T44" s="141">
        <v>1850.0</v>
      </c>
      <c r="U44" s="141">
        <v>5040.0</v>
      </c>
      <c r="V44" s="141">
        <v>0.0</v>
      </c>
      <c r="W44" s="141">
        <v>0.0</v>
      </c>
      <c r="X44" s="141">
        <v>0.0</v>
      </c>
      <c r="Y44" s="141">
        <v>0.0</v>
      </c>
      <c r="Z44" s="141">
        <v>1350.0</v>
      </c>
      <c r="AA44" s="142">
        <v>35548.75</v>
      </c>
      <c r="AB44" s="143">
        <v>0.01</v>
      </c>
      <c r="AC44" s="135"/>
      <c r="AD44" s="135"/>
    </row>
    <row r="45" ht="15.75" customHeight="1">
      <c r="A45" s="139" t="s">
        <v>64</v>
      </c>
      <c r="B45" s="141">
        <v>0.0</v>
      </c>
      <c r="C45" s="141">
        <v>0.0</v>
      </c>
      <c r="D45" s="141">
        <v>0.0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/>
      <c r="M45" s="141">
        <v>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141">
        <v>0.0</v>
      </c>
      <c r="Z45" s="141">
        <v>0.0</v>
      </c>
      <c r="AA45" s="142">
        <v>0.0</v>
      </c>
      <c r="AB45" s="143">
        <v>0.0</v>
      </c>
      <c r="AC45" s="135"/>
      <c r="AD45" s="135"/>
    </row>
    <row r="46" ht="15.75" customHeight="1">
      <c r="A46" s="139" t="s">
        <v>65</v>
      </c>
      <c r="B46" s="141">
        <v>0.0</v>
      </c>
      <c r="C46" s="141">
        <v>0.0</v>
      </c>
      <c r="D46" s="141">
        <v>0.0</v>
      </c>
      <c r="E46" s="141">
        <v>0.0</v>
      </c>
      <c r="F46" s="141">
        <v>0.0</v>
      </c>
      <c r="G46" s="141">
        <v>0.0</v>
      </c>
      <c r="H46" s="141">
        <v>0.0</v>
      </c>
      <c r="I46" s="141">
        <v>0.0</v>
      </c>
      <c r="J46" s="141">
        <v>6400.0</v>
      </c>
      <c r="K46" s="141">
        <v>0.0</v>
      </c>
      <c r="L46" s="141"/>
      <c r="M46" s="141">
        <v>0.0</v>
      </c>
      <c r="N46" s="141">
        <v>0.0</v>
      </c>
      <c r="O46" s="141">
        <v>0.0</v>
      </c>
      <c r="P46" s="141">
        <v>0.0</v>
      </c>
      <c r="Q46" s="141">
        <v>0.0</v>
      </c>
      <c r="R46" s="141">
        <v>0.0</v>
      </c>
      <c r="S46" s="141">
        <v>0.0</v>
      </c>
      <c r="T46" s="141">
        <v>0.0</v>
      </c>
      <c r="U46" s="141">
        <v>0.0</v>
      </c>
      <c r="V46" s="141">
        <v>0.0</v>
      </c>
      <c r="W46" s="141">
        <v>0.0</v>
      </c>
      <c r="X46" s="141">
        <v>0.0</v>
      </c>
      <c r="Y46" s="141">
        <v>0.0</v>
      </c>
      <c r="Z46" s="141">
        <v>0.0</v>
      </c>
      <c r="AA46" s="142">
        <v>6400.0</v>
      </c>
      <c r="AB46" s="143">
        <v>0.0</v>
      </c>
      <c r="AC46" s="135"/>
      <c r="AD46" s="135"/>
    </row>
    <row r="47" ht="15.75" customHeight="1">
      <c r="A47" s="135" t="s">
        <v>66</v>
      </c>
      <c r="B47" s="141">
        <v>0.0</v>
      </c>
      <c r="C47" s="141">
        <v>0.0</v>
      </c>
      <c r="D47" s="141">
        <v>0.0</v>
      </c>
      <c r="E47" s="141">
        <v>0.0</v>
      </c>
      <c r="F47" s="141">
        <v>0.0</v>
      </c>
      <c r="G47" s="141">
        <v>0.0</v>
      </c>
      <c r="H47" s="141">
        <v>0.0</v>
      </c>
      <c r="I47" s="141">
        <v>0.0</v>
      </c>
      <c r="J47" s="141">
        <v>0.0</v>
      </c>
      <c r="K47" s="141">
        <v>0.0</v>
      </c>
      <c r="L47" s="141"/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1">
        <v>0.0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141">
        <v>0.0</v>
      </c>
      <c r="Z47" s="141">
        <v>10050.0</v>
      </c>
      <c r="AA47" s="142">
        <v>10050.0</v>
      </c>
      <c r="AB47" s="143">
        <v>0.0</v>
      </c>
      <c r="AC47" s="135"/>
      <c r="AD47" s="135"/>
    </row>
    <row r="48" ht="15.75" customHeight="1">
      <c r="A48" s="139" t="s">
        <v>67</v>
      </c>
      <c r="B48" s="141">
        <v>189.83</v>
      </c>
      <c r="C48" s="141">
        <v>0.0</v>
      </c>
      <c r="D48" s="141">
        <v>259.9</v>
      </c>
      <c r="E48" s="141">
        <v>0.0</v>
      </c>
      <c r="F48" s="141">
        <v>58.88</v>
      </c>
      <c r="G48" s="141">
        <v>26.86</v>
      </c>
      <c r="H48" s="141">
        <v>194.58</v>
      </c>
      <c r="I48" s="141">
        <v>384.35</v>
      </c>
      <c r="J48" s="141">
        <v>0.0</v>
      </c>
      <c r="K48" s="141">
        <v>267.31</v>
      </c>
      <c r="L48" s="141"/>
      <c r="M48" s="141">
        <v>0.0</v>
      </c>
      <c r="N48" s="141">
        <v>212.17</v>
      </c>
      <c r="O48" s="141">
        <v>191.74</v>
      </c>
      <c r="P48" s="141">
        <v>88.4</v>
      </c>
      <c r="Q48" s="141">
        <v>0.0</v>
      </c>
      <c r="R48" s="141">
        <v>557.04</v>
      </c>
      <c r="S48" s="141">
        <v>383.2</v>
      </c>
      <c r="T48" s="141">
        <v>260.26</v>
      </c>
      <c r="U48" s="141">
        <v>73.01</v>
      </c>
      <c r="V48" s="141">
        <v>0.0</v>
      </c>
      <c r="W48" s="141">
        <v>56.23</v>
      </c>
      <c r="X48" s="141">
        <v>97.22</v>
      </c>
      <c r="Y48" s="141">
        <v>0.0</v>
      </c>
      <c r="Z48" s="141">
        <v>8693.63</v>
      </c>
      <c r="AA48" s="142">
        <v>11994.61</v>
      </c>
      <c r="AB48" s="143">
        <v>0.0</v>
      </c>
      <c r="AC48" s="135"/>
      <c r="AD48" s="135"/>
    </row>
    <row r="49" ht="15.75" customHeight="1">
      <c r="A49" s="139" t="s">
        <v>68</v>
      </c>
      <c r="B49" s="141">
        <v>464.51</v>
      </c>
      <c r="C49" s="141">
        <v>0.0</v>
      </c>
      <c r="D49" s="141">
        <v>151.57</v>
      </c>
      <c r="E49" s="141">
        <v>0.0</v>
      </c>
      <c r="F49" s="141">
        <v>78.71</v>
      </c>
      <c r="G49" s="141">
        <v>94.54</v>
      </c>
      <c r="H49" s="141">
        <v>220.63</v>
      </c>
      <c r="I49" s="141">
        <v>91.3</v>
      </c>
      <c r="J49" s="141">
        <v>0.0</v>
      </c>
      <c r="K49" s="141">
        <v>183.47</v>
      </c>
      <c r="L49" s="141"/>
      <c r="M49" s="141">
        <v>0.0</v>
      </c>
      <c r="N49" s="141">
        <v>186.74</v>
      </c>
      <c r="O49" s="141">
        <v>102.85</v>
      </c>
      <c r="P49" s="141">
        <v>8.71</v>
      </c>
      <c r="Q49" s="141">
        <v>0.0</v>
      </c>
      <c r="R49" s="141">
        <v>256.4</v>
      </c>
      <c r="S49" s="141">
        <v>138.98</v>
      </c>
      <c r="T49" s="141">
        <v>240.62</v>
      </c>
      <c r="U49" s="141">
        <v>175.71</v>
      </c>
      <c r="V49" s="141">
        <v>0.0</v>
      </c>
      <c r="W49" s="141">
        <v>170.88</v>
      </c>
      <c r="X49" s="141">
        <v>565.46</v>
      </c>
      <c r="Y49" s="141">
        <v>0.0</v>
      </c>
      <c r="Z49" s="141">
        <v>1620.79</v>
      </c>
      <c r="AA49" s="142">
        <v>4751.87</v>
      </c>
      <c r="AB49" s="143">
        <v>0.0</v>
      </c>
      <c r="AC49" s="135"/>
      <c r="AD49" s="135"/>
    </row>
    <row r="50" ht="15.75" customHeight="1">
      <c r="A50" s="139" t="s">
        <v>69</v>
      </c>
      <c r="B50" s="141">
        <v>0.0</v>
      </c>
      <c r="C50" s="141">
        <v>0.0</v>
      </c>
      <c r="D50" s="141">
        <v>0.0</v>
      </c>
      <c r="E50" s="141">
        <v>0.0</v>
      </c>
      <c r="F50" s="141">
        <v>0.0</v>
      </c>
      <c r="G50" s="141">
        <v>2600.0</v>
      </c>
      <c r="H50" s="141">
        <v>0.0</v>
      </c>
      <c r="I50" s="141">
        <v>0.0</v>
      </c>
      <c r="J50" s="141">
        <v>0.0</v>
      </c>
      <c r="K50" s="141">
        <v>0.0</v>
      </c>
      <c r="L50" s="141"/>
      <c r="M50" s="141">
        <v>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3000.0</v>
      </c>
      <c r="T50" s="141">
        <v>0.0</v>
      </c>
      <c r="U50" s="141">
        <v>0.0</v>
      </c>
      <c r="V50" s="141">
        <v>0.0</v>
      </c>
      <c r="W50" s="141">
        <v>0.0</v>
      </c>
      <c r="X50" s="141">
        <v>0.0</v>
      </c>
      <c r="Y50" s="141">
        <v>0.0</v>
      </c>
      <c r="Z50" s="141">
        <v>0.0</v>
      </c>
      <c r="AA50" s="142">
        <v>5600.0</v>
      </c>
      <c r="AB50" s="143">
        <v>0.0</v>
      </c>
      <c r="AC50" s="135"/>
      <c r="AD50" s="135"/>
    </row>
    <row r="51" ht="15.75" customHeight="1">
      <c r="A51" s="139" t="s">
        <v>70</v>
      </c>
      <c r="B51" s="141">
        <v>0.0</v>
      </c>
      <c r="C51" s="141">
        <v>0.0</v>
      </c>
      <c r="D51" s="141">
        <v>0.0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/>
      <c r="M51" s="141">
        <v>0.0</v>
      </c>
      <c r="N51" s="141">
        <v>0.0</v>
      </c>
      <c r="O51" s="141">
        <v>0.0</v>
      </c>
      <c r="P51" s="141">
        <v>0.0</v>
      </c>
      <c r="Q51" s="141">
        <v>0.0</v>
      </c>
      <c r="R51" s="141">
        <v>0.0</v>
      </c>
      <c r="S51" s="141">
        <v>0.0</v>
      </c>
      <c r="T51" s="141">
        <v>0.0</v>
      </c>
      <c r="U51" s="141">
        <v>0.0</v>
      </c>
      <c r="V51" s="141">
        <v>0.0</v>
      </c>
      <c r="W51" s="141">
        <v>0.0</v>
      </c>
      <c r="X51" s="141">
        <v>0.0</v>
      </c>
      <c r="Y51" s="141">
        <v>0.0</v>
      </c>
      <c r="Z51" s="141">
        <v>0.0</v>
      </c>
      <c r="AA51" s="142">
        <v>0.0</v>
      </c>
      <c r="AB51" s="143">
        <v>0.0</v>
      </c>
      <c r="AC51" s="135"/>
      <c r="AD51" s="135"/>
    </row>
    <row r="52" ht="15.75" customHeight="1">
      <c r="A52" s="139" t="s">
        <v>273</v>
      </c>
      <c r="B52" s="141">
        <v>0.0</v>
      </c>
      <c r="C52" s="141">
        <v>0.0</v>
      </c>
      <c r="D52" s="141">
        <v>0.0</v>
      </c>
      <c r="E52" s="141">
        <v>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/>
      <c r="M52" s="141">
        <v>0.0</v>
      </c>
      <c r="N52" s="141">
        <v>0.0</v>
      </c>
      <c r="O52" s="141">
        <v>0.0</v>
      </c>
      <c r="P52" s="141">
        <v>0.0</v>
      </c>
      <c r="Q52" s="141">
        <v>0.0</v>
      </c>
      <c r="R52" s="141">
        <v>0.0</v>
      </c>
      <c r="S52" s="141">
        <v>0.0</v>
      </c>
      <c r="T52" s="141">
        <v>0.0</v>
      </c>
      <c r="U52" s="141">
        <v>0.0</v>
      </c>
      <c r="V52" s="141">
        <v>0.0</v>
      </c>
      <c r="W52" s="141">
        <v>0.0</v>
      </c>
      <c r="X52" s="141">
        <v>0.0</v>
      </c>
      <c r="Y52" s="141">
        <v>0.0</v>
      </c>
      <c r="Z52" s="141">
        <v>0.0</v>
      </c>
      <c r="AA52" s="142">
        <v>0.0</v>
      </c>
      <c r="AB52" s="143">
        <v>0.0</v>
      </c>
      <c r="AC52" s="135"/>
      <c r="AD52" s="135"/>
    </row>
    <row r="53" ht="15.75" customHeight="1">
      <c r="A53" s="139" t="s">
        <v>71</v>
      </c>
      <c r="B53" s="141">
        <v>0.0</v>
      </c>
      <c r="C53" s="141">
        <v>0.0</v>
      </c>
      <c r="D53" s="141">
        <v>0.0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6859.83</v>
      </c>
      <c r="K53" s="141">
        <v>0.0</v>
      </c>
      <c r="L53" s="141"/>
      <c r="M53" s="141">
        <v>0.0</v>
      </c>
      <c r="N53" s="141">
        <v>0.0</v>
      </c>
      <c r="O53" s="141">
        <v>0.0</v>
      </c>
      <c r="P53" s="141">
        <v>0.0</v>
      </c>
      <c r="Q53" s="141">
        <v>0.0</v>
      </c>
      <c r="R53" s="141">
        <v>0.0</v>
      </c>
      <c r="S53" s="141">
        <v>0.0</v>
      </c>
      <c r="T53" s="141">
        <v>0.0</v>
      </c>
      <c r="U53" s="141">
        <v>0.0</v>
      </c>
      <c r="V53" s="141">
        <v>0.0</v>
      </c>
      <c r="W53" s="141">
        <v>0.0</v>
      </c>
      <c r="X53" s="141">
        <v>0.0</v>
      </c>
      <c r="Y53" s="141">
        <v>0.0</v>
      </c>
      <c r="Z53" s="141">
        <v>0.0</v>
      </c>
      <c r="AA53" s="142">
        <v>6859.83</v>
      </c>
      <c r="AB53" s="143">
        <v>0.0</v>
      </c>
      <c r="AC53" s="135"/>
      <c r="AD53" s="135"/>
    </row>
    <row r="54" ht="15.75" customHeight="1">
      <c r="A54" s="139" t="s">
        <v>72</v>
      </c>
      <c r="B54" s="141">
        <v>0.0</v>
      </c>
      <c r="C54" s="141">
        <v>0.0</v>
      </c>
      <c r="D54" s="141">
        <v>0.0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0.0</v>
      </c>
      <c r="L54" s="141"/>
      <c r="M54" s="141">
        <v>0.0</v>
      </c>
      <c r="N54" s="141">
        <v>0.0</v>
      </c>
      <c r="O54" s="141">
        <v>0.0</v>
      </c>
      <c r="P54" s="141">
        <v>0.0</v>
      </c>
      <c r="Q54" s="141">
        <v>0.0</v>
      </c>
      <c r="R54" s="141">
        <v>0.0</v>
      </c>
      <c r="S54" s="141">
        <v>0.0</v>
      </c>
      <c r="T54" s="141">
        <v>0.0</v>
      </c>
      <c r="U54" s="141">
        <v>0.0</v>
      </c>
      <c r="V54" s="141">
        <v>0.0</v>
      </c>
      <c r="W54" s="141">
        <v>0.0</v>
      </c>
      <c r="X54" s="141">
        <v>0.0</v>
      </c>
      <c r="Y54" s="141">
        <v>0.0</v>
      </c>
      <c r="Z54" s="141">
        <v>0.0</v>
      </c>
      <c r="AA54" s="142">
        <v>0.0</v>
      </c>
      <c r="AB54" s="143">
        <v>0.0</v>
      </c>
      <c r="AC54" s="135"/>
      <c r="AD54" s="135"/>
    </row>
    <row r="55" ht="15.75" customHeight="1">
      <c r="A55" s="139" t="s">
        <v>73</v>
      </c>
      <c r="B55" s="141">
        <v>0.0</v>
      </c>
      <c r="C55" s="141">
        <v>0.0</v>
      </c>
      <c r="D55" s="141">
        <v>0.0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/>
      <c r="M55" s="141">
        <v>0.0</v>
      </c>
      <c r="N55" s="141">
        <v>0.0</v>
      </c>
      <c r="O55" s="141">
        <v>0.0</v>
      </c>
      <c r="P55" s="141">
        <v>0.0</v>
      </c>
      <c r="Q55" s="141">
        <v>0.0</v>
      </c>
      <c r="R55" s="141">
        <v>0.0</v>
      </c>
      <c r="S55" s="141">
        <v>0.0</v>
      </c>
      <c r="T55" s="141">
        <v>0.0</v>
      </c>
      <c r="U55" s="141">
        <v>0.0</v>
      </c>
      <c r="V55" s="141">
        <v>0.0</v>
      </c>
      <c r="W55" s="141">
        <v>0.0</v>
      </c>
      <c r="X55" s="141">
        <v>0.0</v>
      </c>
      <c r="Y55" s="141">
        <v>0.0</v>
      </c>
      <c r="Z55" s="141">
        <v>0.0</v>
      </c>
      <c r="AA55" s="142">
        <v>0.0</v>
      </c>
      <c r="AB55" s="143">
        <v>0.0</v>
      </c>
      <c r="AC55" s="135"/>
      <c r="AD55" s="135"/>
    </row>
    <row r="56" ht="15.75" customHeight="1">
      <c r="A56" s="139" t="s">
        <v>74</v>
      </c>
      <c r="B56" s="141">
        <v>0.0</v>
      </c>
      <c r="C56" s="141">
        <v>0.0</v>
      </c>
      <c r="D56" s="141">
        <v>0.0</v>
      </c>
      <c r="E56" s="141">
        <v>0.0</v>
      </c>
      <c r="F56" s="141">
        <v>0.0</v>
      </c>
      <c r="G56" s="141">
        <v>0.0</v>
      </c>
      <c r="H56" s="141">
        <v>0.0</v>
      </c>
      <c r="I56" s="141">
        <v>0.0</v>
      </c>
      <c r="J56" s="141">
        <v>0.0</v>
      </c>
      <c r="K56" s="141">
        <v>0.0</v>
      </c>
      <c r="L56" s="141"/>
      <c r="M56" s="141">
        <v>0.0</v>
      </c>
      <c r="N56" s="141">
        <v>0.0</v>
      </c>
      <c r="O56" s="141">
        <v>0.0</v>
      </c>
      <c r="P56" s="141">
        <v>0.0</v>
      </c>
      <c r="Q56" s="141">
        <v>0.0</v>
      </c>
      <c r="R56" s="141">
        <v>0.0</v>
      </c>
      <c r="S56" s="141">
        <v>0.0</v>
      </c>
      <c r="T56" s="141">
        <v>0.0</v>
      </c>
      <c r="U56" s="141">
        <v>0.0</v>
      </c>
      <c r="V56" s="141">
        <v>0.0</v>
      </c>
      <c r="W56" s="141">
        <v>0.0</v>
      </c>
      <c r="X56" s="141">
        <v>0.0</v>
      </c>
      <c r="Y56" s="141">
        <v>0.0</v>
      </c>
      <c r="Z56" s="141">
        <v>0.0</v>
      </c>
      <c r="AA56" s="142">
        <v>0.0</v>
      </c>
      <c r="AB56" s="143">
        <v>0.0</v>
      </c>
      <c r="AC56" s="135"/>
      <c r="AD56" s="135"/>
    </row>
    <row r="57" ht="15.75" customHeight="1">
      <c r="A57" s="139" t="s">
        <v>75</v>
      </c>
      <c r="B57" s="141">
        <v>0.0</v>
      </c>
      <c r="C57" s="141">
        <v>0.0</v>
      </c>
      <c r="D57" s="141">
        <v>0.0</v>
      </c>
      <c r="E57" s="141">
        <v>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4148.38</v>
      </c>
      <c r="K57" s="141">
        <v>0.0</v>
      </c>
      <c r="L57" s="141"/>
      <c r="M57" s="141">
        <v>0.0</v>
      </c>
      <c r="N57" s="141">
        <v>0.0</v>
      </c>
      <c r="O57" s="141">
        <v>0.0</v>
      </c>
      <c r="P57" s="141">
        <v>0.0</v>
      </c>
      <c r="Q57" s="141">
        <v>0.0</v>
      </c>
      <c r="R57" s="141">
        <v>0.0</v>
      </c>
      <c r="S57" s="141">
        <v>0.0</v>
      </c>
      <c r="T57" s="141">
        <v>0.0</v>
      </c>
      <c r="U57" s="141">
        <v>0.0</v>
      </c>
      <c r="V57" s="141">
        <v>0.0</v>
      </c>
      <c r="W57" s="141">
        <v>0.0</v>
      </c>
      <c r="X57" s="141">
        <v>0.0</v>
      </c>
      <c r="Y57" s="141">
        <v>0.0</v>
      </c>
      <c r="Z57" s="141">
        <v>0.0</v>
      </c>
      <c r="AA57" s="142">
        <v>4148.38</v>
      </c>
      <c r="AB57" s="143">
        <v>0.0</v>
      </c>
      <c r="AC57" s="135"/>
      <c r="AD57" s="135"/>
    </row>
    <row r="58" ht="15.75" customHeight="1">
      <c r="A58" s="139" t="s">
        <v>76</v>
      </c>
      <c r="B58" s="141">
        <v>0.0</v>
      </c>
      <c r="C58" s="141">
        <v>0.0</v>
      </c>
      <c r="D58" s="141">
        <v>0.0</v>
      </c>
      <c r="E58" s="141">
        <v>0.0</v>
      </c>
      <c r="F58" s="141">
        <v>0.0</v>
      </c>
      <c r="G58" s="141">
        <v>0.0</v>
      </c>
      <c r="H58" s="141">
        <v>0.0</v>
      </c>
      <c r="I58" s="141">
        <v>0.0</v>
      </c>
      <c r="J58" s="141">
        <v>374.23</v>
      </c>
      <c r="K58" s="141">
        <v>0.0</v>
      </c>
      <c r="L58" s="141"/>
      <c r="M58" s="141">
        <v>0.0</v>
      </c>
      <c r="N58" s="141">
        <v>0.0</v>
      </c>
      <c r="O58" s="141">
        <v>0.0</v>
      </c>
      <c r="P58" s="141">
        <v>0.0</v>
      </c>
      <c r="Q58" s="141">
        <v>0.0</v>
      </c>
      <c r="R58" s="141">
        <v>0.0</v>
      </c>
      <c r="S58" s="141">
        <v>0.0</v>
      </c>
      <c r="T58" s="141">
        <v>0.0</v>
      </c>
      <c r="U58" s="141">
        <v>0.0</v>
      </c>
      <c r="V58" s="141">
        <v>0.0</v>
      </c>
      <c r="W58" s="141">
        <v>0.0</v>
      </c>
      <c r="X58" s="141">
        <v>0.0</v>
      </c>
      <c r="Y58" s="141">
        <v>0.0</v>
      </c>
      <c r="Z58" s="141">
        <v>869.72</v>
      </c>
      <c r="AA58" s="142">
        <v>1243.95</v>
      </c>
      <c r="AB58" s="143">
        <v>0.0</v>
      </c>
      <c r="AC58" s="135"/>
      <c r="AD58" s="135"/>
    </row>
    <row r="59" ht="15.75" customHeight="1">
      <c r="A59" s="139" t="s">
        <v>77</v>
      </c>
      <c r="B59" s="141">
        <v>0.0</v>
      </c>
      <c r="C59" s="141">
        <v>0.0</v>
      </c>
      <c r="D59" s="141">
        <v>0.0</v>
      </c>
      <c r="E59" s="141">
        <v>0.0</v>
      </c>
      <c r="F59" s="141">
        <v>0.0</v>
      </c>
      <c r="G59" s="141">
        <v>0.0</v>
      </c>
      <c r="H59" s="141">
        <v>0.0</v>
      </c>
      <c r="I59" s="141">
        <v>0.0</v>
      </c>
      <c r="J59" s="141">
        <v>0.0</v>
      </c>
      <c r="K59" s="141">
        <v>0.0</v>
      </c>
      <c r="L59" s="141"/>
      <c r="M59" s="141">
        <v>0.0</v>
      </c>
      <c r="N59" s="141">
        <v>0.0</v>
      </c>
      <c r="O59" s="141">
        <v>0.0</v>
      </c>
      <c r="P59" s="141">
        <v>0.0</v>
      </c>
      <c r="Q59" s="141">
        <v>0.0</v>
      </c>
      <c r="R59" s="141">
        <v>0.0</v>
      </c>
      <c r="S59" s="141">
        <v>0.0</v>
      </c>
      <c r="T59" s="141">
        <v>0.0</v>
      </c>
      <c r="U59" s="141">
        <v>0.0</v>
      </c>
      <c r="V59" s="141">
        <v>0.0</v>
      </c>
      <c r="W59" s="141">
        <v>0.0</v>
      </c>
      <c r="X59" s="141">
        <v>0.0</v>
      </c>
      <c r="Y59" s="141">
        <v>0.0</v>
      </c>
      <c r="Z59" s="141">
        <v>1015.5</v>
      </c>
      <c r="AA59" s="142">
        <v>1015.5</v>
      </c>
      <c r="AB59" s="143">
        <v>0.0</v>
      </c>
      <c r="AC59" s="135"/>
      <c r="AD59" s="135"/>
    </row>
    <row r="60" ht="15.75" customHeight="1">
      <c r="A60" s="139" t="s">
        <v>78</v>
      </c>
      <c r="B60" s="141">
        <v>0.0</v>
      </c>
      <c r="C60" s="141">
        <v>0.0</v>
      </c>
      <c r="D60" s="141">
        <v>0.0</v>
      </c>
      <c r="E60" s="141">
        <v>0.0</v>
      </c>
      <c r="F60" s="141">
        <v>0.0</v>
      </c>
      <c r="G60" s="141">
        <v>0.0</v>
      </c>
      <c r="H60" s="141">
        <v>0.0</v>
      </c>
      <c r="I60" s="141">
        <v>0.0</v>
      </c>
      <c r="J60" s="141">
        <v>0.0</v>
      </c>
      <c r="K60" s="141">
        <v>0.0</v>
      </c>
      <c r="L60" s="141"/>
      <c r="M60" s="141">
        <v>0.0</v>
      </c>
      <c r="N60" s="141">
        <v>0.0</v>
      </c>
      <c r="O60" s="141">
        <v>0.0</v>
      </c>
      <c r="P60" s="141">
        <v>0.0</v>
      </c>
      <c r="Q60" s="141">
        <v>0.0</v>
      </c>
      <c r="R60" s="141">
        <v>0.0</v>
      </c>
      <c r="S60" s="141">
        <v>0.0</v>
      </c>
      <c r="T60" s="141">
        <v>0.0</v>
      </c>
      <c r="U60" s="141">
        <v>0.0</v>
      </c>
      <c r="V60" s="141">
        <v>0.0</v>
      </c>
      <c r="W60" s="141">
        <v>0.0</v>
      </c>
      <c r="X60" s="141">
        <v>0.0</v>
      </c>
      <c r="Y60" s="141">
        <v>0.0</v>
      </c>
      <c r="Z60" s="141">
        <v>2934.96</v>
      </c>
      <c r="AA60" s="142">
        <v>2934.96</v>
      </c>
      <c r="AB60" s="143">
        <v>0.0</v>
      </c>
      <c r="AC60" s="135"/>
      <c r="AD60" s="135"/>
    </row>
    <row r="61" ht="15.75" customHeight="1">
      <c r="A61" s="139" t="s">
        <v>79</v>
      </c>
      <c r="B61" s="141">
        <v>0.0</v>
      </c>
      <c r="C61" s="141">
        <v>0.0</v>
      </c>
      <c r="D61" s="141">
        <v>0.0</v>
      </c>
      <c r="E61" s="141">
        <v>0.0</v>
      </c>
      <c r="F61" s="141">
        <v>0.0</v>
      </c>
      <c r="G61" s="141">
        <v>0.0</v>
      </c>
      <c r="H61" s="141">
        <v>20076.89</v>
      </c>
      <c r="I61" s="141">
        <v>15200.0</v>
      </c>
      <c r="J61" s="141">
        <v>21943.0</v>
      </c>
      <c r="K61" s="141">
        <v>0.0</v>
      </c>
      <c r="L61" s="141"/>
      <c r="M61" s="141">
        <v>0.0</v>
      </c>
      <c r="N61" s="141">
        <v>19780.0</v>
      </c>
      <c r="O61" s="141">
        <v>0.0</v>
      </c>
      <c r="P61" s="141">
        <v>0.0</v>
      </c>
      <c r="Q61" s="141">
        <v>0.0</v>
      </c>
      <c r="R61" s="141">
        <v>0.0</v>
      </c>
      <c r="S61" s="141">
        <v>0.0</v>
      </c>
      <c r="T61" s="141">
        <v>0.0</v>
      </c>
      <c r="U61" s="141">
        <v>0.0</v>
      </c>
      <c r="V61" s="141">
        <v>0.0</v>
      </c>
      <c r="W61" s="141">
        <v>0.0</v>
      </c>
      <c r="X61" s="141">
        <v>0.0</v>
      </c>
      <c r="Y61" s="141">
        <v>0.0</v>
      </c>
      <c r="Z61" s="141">
        <v>0.0</v>
      </c>
      <c r="AA61" s="142">
        <v>76999.89</v>
      </c>
      <c r="AB61" s="143">
        <v>0.02</v>
      </c>
      <c r="AC61" s="135"/>
      <c r="AD61" s="135"/>
    </row>
    <row r="62" ht="15.75" customHeight="1">
      <c r="A62" s="139" t="s">
        <v>80</v>
      </c>
      <c r="B62" s="141">
        <v>0.0</v>
      </c>
      <c r="C62" s="141">
        <v>0.0</v>
      </c>
      <c r="D62" s="141">
        <v>0.0</v>
      </c>
      <c r="E62" s="141">
        <v>0.0</v>
      </c>
      <c r="F62" s="141">
        <v>0.0</v>
      </c>
      <c r="G62" s="141">
        <v>0.0</v>
      </c>
      <c r="H62" s="141">
        <v>0.0</v>
      </c>
      <c r="I62" s="141">
        <v>0.0</v>
      </c>
      <c r="J62" s="141">
        <v>0.0</v>
      </c>
      <c r="K62" s="141">
        <v>0.0</v>
      </c>
      <c r="L62" s="141"/>
      <c r="M62" s="141">
        <v>0.0</v>
      </c>
      <c r="N62" s="141">
        <v>0.0</v>
      </c>
      <c r="O62" s="141">
        <v>0.0</v>
      </c>
      <c r="P62" s="141">
        <v>0.0</v>
      </c>
      <c r="Q62" s="141">
        <v>0.0</v>
      </c>
      <c r="R62" s="141">
        <v>0.0</v>
      </c>
      <c r="S62" s="141">
        <v>0.0</v>
      </c>
      <c r="T62" s="141">
        <v>0.0</v>
      </c>
      <c r="U62" s="141">
        <v>0.0</v>
      </c>
      <c r="V62" s="141">
        <v>0.0</v>
      </c>
      <c r="W62" s="141">
        <v>0.0</v>
      </c>
      <c r="X62" s="141">
        <v>0.0</v>
      </c>
      <c r="Y62" s="141">
        <v>0.0</v>
      </c>
      <c r="Z62" s="141">
        <v>2377.89</v>
      </c>
      <c r="AA62" s="142">
        <v>2377.89</v>
      </c>
      <c r="AB62" s="143">
        <v>0.0</v>
      </c>
      <c r="AC62" s="135"/>
      <c r="AD62" s="135"/>
    </row>
    <row r="63" ht="15.75" customHeight="1">
      <c r="A63" s="139" t="s">
        <v>81</v>
      </c>
      <c r="B63" s="141">
        <v>0.0</v>
      </c>
      <c r="C63" s="141">
        <v>0.0</v>
      </c>
      <c r="D63" s="141">
        <v>0.0</v>
      </c>
      <c r="E63" s="141">
        <v>0.0</v>
      </c>
      <c r="F63" s="141">
        <v>0.0</v>
      </c>
      <c r="G63" s="141">
        <v>2860.0</v>
      </c>
      <c r="H63" s="141">
        <v>0.0</v>
      </c>
      <c r="I63" s="141">
        <v>0.0</v>
      </c>
      <c r="J63" s="141">
        <v>0.0</v>
      </c>
      <c r="K63" s="141">
        <v>0.0</v>
      </c>
      <c r="L63" s="141"/>
      <c r="M63" s="141">
        <v>0.0</v>
      </c>
      <c r="N63" s="141">
        <v>0.0</v>
      </c>
      <c r="O63" s="141">
        <v>0.0</v>
      </c>
      <c r="P63" s="141">
        <v>0.0</v>
      </c>
      <c r="Q63" s="141">
        <v>0.0</v>
      </c>
      <c r="R63" s="141">
        <v>0.0</v>
      </c>
      <c r="S63" s="141">
        <v>0.0</v>
      </c>
      <c r="T63" s="141">
        <v>0.0</v>
      </c>
      <c r="U63" s="141">
        <v>0.0</v>
      </c>
      <c r="V63" s="141">
        <v>0.0</v>
      </c>
      <c r="W63" s="141">
        <v>0.0</v>
      </c>
      <c r="X63" s="141">
        <v>0.0</v>
      </c>
      <c r="Y63" s="141">
        <v>0.0</v>
      </c>
      <c r="Z63" s="141">
        <v>0.0</v>
      </c>
      <c r="AA63" s="142">
        <v>2860.0</v>
      </c>
      <c r="AB63" s="143">
        <v>0.0</v>
      </c>
      <c r="AC63" s="135"/>
      <c r="AD63" s="135"/>
    </row>
    <row r="64" ht="15.75" customHeight="1">
      <c r="A64" s="139" t="s">
        <v>82</v>
      </c>
      <c r="B64" s="141">
        <v>1010.0</v>
      </c>
      <c r="C64" s="141">
        <v>1010.0</v>
      </c>
      <c r="D64" s="141">
        <v>1010.0</v>
      </c>
      <c r="E64" s="141">
        <v>0.0</v>
      </c>
      <c r="F64" s="141">
        <v>686.36</v>
      </c>
      <c r="G64" s="141">
        <v>1010.0</v>
      </c>
      <c r="H64" s="141">
        <v>1010.0</v>
      </c>
      <c r="I64" s="141">
        <v>1010.0</v>
      </c>
      <c r="J64" s="141">
        <v>1010.0</v>
      </c>
      <c r="K64" s="141">
        <v>1010.0</v>
      </c>
      <c r="L64" s="141"/>
      <c r="M64" s="141">
        <v>1010.0</v>
      </c>
      <c r="N64" s="141">
        <v>1010.0</v>
      </c>
      <c r="O64" s="141">
        <v>1010.0</v>
      </c>
      <c r="P64" s="141">
        <v>1010.0</v>
      </c>
      <c r="Q64" s="141">
        <v>1010.0</v>
      </c>
      <c r="R64" s="141">
        <v>1010.0</v>
      </c>
      <c r="S64" s="141">
        <v>1010.0</v>
      </c>
      <c r="T64" s="141">
        <v>1010.0</v>
      </c>
      <c r="U64" s="141">
        <v>1010.0</v>
      </c>
      <c r="V64" s="141">
        <v>1010.0</v>
      </c>
      <c r="W64" s="141">
        <v>1010.0</v>
      </c>
      <c r="X64" s="141">
        <v>1010.0</v>
      </c>
      <c r="Y64" s="141">
        <v>1010.0</v>
      </c>
      <c r="Z64" s="141">
        <v>931.59</v>
      </c>
      <c r="AA64" s="142">
        <v>22827.95</v>
      </c>
      <c r="AB64" s="143">
        <v>0.01</v>
      </c>
      <c r="AC64" s="135"/>
      <c r="AD64" s="135"/>
    </row>
    <row r="65" ht="15.75" customHeight="1">
      <c r="A65" s="139" t="s">
        <v>83</v>
      </c>
      <c r="B65" s="141">
        <v>0.0</v>
      </c>
      <c r="C65" s="141">
        <v>0.0</v>
      </c>
      <c r="D65" s="141">
        <v>0.0</v>
      </c>
      <c r="E65" s="141">
        <v>0.0</v>
      </c>
      <c r="F65" s="141">
        <v>0.0</v>
      </c>
      <c r="G65" s="141">
        <v>0.0</v>
      </c>
      <c r="H65" s="141">
        <v>0.0</v>
      </c>
      <c r="I65" s="141">
        <v>0.0</v>
      </c>
      <c r="J65" s="141">
        <v>0.0</v>
      </c>
      <c r="K65" s="141">
        <v>0.0</v>
      </c>
      <c r="L65" s="141"/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0.0</v>
      </c>
      <c r="T65" s="141">
        <v>0.0</v>
      </c>
      <c r="U65" s="141">
        <v>0.0</v>
      </c>
      <c r="V65" s="141">
        <v>0.0</v>
      </c>
      <c r="W65" s="141">
        <v>0.0</v>
      </c>
      <c r="X65" s="141">
        <v>0.0</v>
      </c>
      <c r="Y65" s="141">
        <v>0.0</v>
      </c>
      <c r="Z65" s="141">
        <v>8323.9</v>
      </c>
      <c r="AA65" s="142">
        <v>8323.9</v>
      </c>
      <c r="AB65" s="143">
        <v>0.0</v>
      </c>
      <c r="AC65" s="135"/>
      <c r="AD65" s="135"/>
    </row>
    <row r="66" ht="15.75" customHeight="1">
      <c r="A66" s="139" t="s">
        <v>84</v>
      </c>
      <c r="B66" s="141">
        <v>0.0</v>
      </c>
      <c r="C66" s="141">
        <v>0.0</v>
      </c>
      <c r="D66" s="141">
        <v>0.0</v>
      </c>
      <c r="E66" s="141">
        <v>0.0</v>
      </c>
      <c r="F66" s="141">
        <v>0.0</v>
      </c>
      <c r="G66" s="141">
        <v>0.0</v>
      </c>
      <c r="H66" s="141">
        <v>0.0</v>
      </c>
      <c r="I66" s="141">
        <v>0.0</v>
      </c>
      <c r="J66" s="141">
        <v>0.0</v>
      </c>
      <c r="K66" s="141">
        <v>0.0</v>
      </c>
      <c r="L66" s="141"/>
      <c r="M66" s="141">
        <v>0.0</v>
      </c>
      <c r="N66" s="141">
        <v>0.0</v>
      </c>
      <c r="O66" s="141">
        <v>0.0</v>
      </c>
      <c r="P66" s="141">
        <v>0.0</v>
      </c>
      <c r="Q66" s="141">
        <v>0.0</v>
      </c>
      <c r="R66" s="141">
        <v>0.0</v>
      </c>
      <c r="S66" s="141">
        <v>0.0</v>
      </c>
      <c r="T66" s="141">
        <v>0.0</v>
      </c>
      <c r="U66" s="141">
        <v>0.0</v>
      </c>
      <c r="V66" s="141">
        <v>0.0</v>
      </c>
      <c r="W66" s="141">
        <v>0.0</v>
      </c>
      <c r="X66" s="141">
        <v>0.0</v>
      </c>
      <c r="Y66" s="141">
        <v>0.0</v>
      </c>
      <c r="Z66" s="141">
        <v>505000.0</v>
      </c>
      <c r="AA66" s="142">
        <v>505000.0</v>
      </c>
      <c r="AB66" s="143">
        <v>0.16</v>
      </c>
      <c r="AC66" s="135"/>
      <c r="AD66" s="135"/>
    </row>
    <row r="67" ht="15.75" customHeight="1">
      <c r="A67" s="139" t="s">
        <v>85</v>
      </c>
      <c r="B67" s="141">
        <v>5480.92</v>
      </c>
      <c r="C67" s="141">
        <v>0.0</v>
      </c>
      <c r="D67" s="141">
        <v>2126.25</v>
      </c>
      <c r="E67" s="141">
        <v>0.0</v>
      </c>
      <c r="F67" s="141">
        <v>1114.38</v>
      </c>
      <c r="G67" s="141">
        <v>2202.67</v>
      </c>
      <c r="H67" s="141">
        <v>2265.23</v>
      </c>
      <c r="I67" s="141">
        <v>1466.94</v>
      </c>
      <c r="J67" s="141">
        <v>12012.92</v>
      </c>
      <c r="K67" s="141">
        <v>4165.58</v>
      </c>
      <c r="L67" s="141"/>
      <c r="M67" s="141">
        <v>576.98</v>
      </c>
      <c r="N67" s="141">
        <v>4443.08</v>
      </c>
      <c r="O67" s="141">
        <v>0.0</v>
      </c>
      <c r="P67" s="141">
        <v>2198.75</v>
      </c>
      <c r="Q67" s="141">
        <v>1814.93</v>
      </c>
      <c r="R67" s="141">
        <v>20417.08</v>
      </c>
      <c r="S67" s="141">
        <v>2051.42</v>
      </c>
      <c r="T67" s="141">
        <v>4397.29</v>
      </c>
      <c r="U67" s="141">
        <v>5645.03</v>
      </c>
      <c r="V67" s="141">
        <v>3446.39</v>
      </c>
      <c r="W67" s="141">
        <v>865.41</v>
      </c>
      <c r="X67" s="141">
        <v>8318.92</v>
      </c>
      <c r="Y67" s="141">
        <v>1079.21</v>
      </c>
      <c r="Z67" s="141">
        <v>32110.41</v>
      </c>
      <c r="AA67" s="142">
        <v>118199.79</v>
      </c>
      <c r="AB67" s="143">
        <v>0.04</v>
      </c>
      <c r="AC67" s="135"/>
      <c r="AD67" s="135"/>
    </row>
    <row r="68" ht="15.75" customHeight="1">
      <c r="A68" s="139" t="s">
        <v>86</v>
      </c>
      <c r="B68" s="141">
        <v>2382.96</v>
      </c>
      <c r="C68" s="141">
        <v>0.0</v>
      </c>
      <c r="D68" s="141">
        <v>964.38</v>
      </c>
      <c r="E68" s="141">
        <v>0.0</v>
      </c>
      <c r="F68" s="141">
        <v>505.86</v>
      </c>
      <c r="G68" s="141">
        <v>970.88</v>
      </c>
      <c r="H68" s="141">
        <v>1043.13</v>
      </c>
      <c r="I68" s="141">
        <v>856.56</v>
      </c>
      <c r="J68" s="141">
        <v>6461.49</v>
      </c>
      <c r="K68" s="141">
        <v>2157.38</v>
      </c>
      <c r="L68" s="141"/>
      <c r="M68" s="141">
        <v>126.39</v>
      </c>
      <c r="N68" s="141">
        <v>1960.72</v>
      </c>
      <c r="O68" s="141">
        <v>0.0</v>
      </c>
      <c r="P68" s="141">
        <v>967.64</v>
      </c>
      <c r="Q68" s="141">
        <v>954.03</v>
      </c>
      <c r="R68" s="141">
        <v>9312.65</v>
      </c>
      <c r="S68" s="141">
        <v>989.93</v>
      </c>
      <c r="T68" s="141">
        <v>1918.84</v>
      </c>
      <c r="U68" s="141">
        <v>2327.84</v>
      </c>
      <c r="V68" s="141">
        <v>1372.68</v>
      </c>
      <c r="W68" s="141">
        <v>476.98</v>
      </c>
      <c r="X68" s="141">
        <v>3413.97</v>
      </c>
      <c r="Y68" s="141">
        <v>448.66</v>
      </c>
      <c r="Z68" s="141">
        <v>17572.15</v>
      </c>
      <c r="AA68" s="142">
        <v>57185.12</v>
      </c>
      <c r="AB68" s="143">
        <v>0.02</v>
      </c>
      <c r="AC68" s="135"/>
      <c r="AD68" s="135"/>
    </row>
    <row r="69" ht="15.75" customHeight="1">
      <c r="A69" s="139" t="s">
        <v>87</v>
      </c>
      <c r="B69" s="141">
        <v>4045.93</v>
      </c>
      <c r="C69" s="141">
        <v>0.0</v>
      </c>
      <c r="D69" s="141">
        <v>1606.77</v>
      </c>
      <c r="E69" s="141">
        <v>0.0</v>
      </c>
      <c r="F69" s="141">
        <v>853.08</v>
      </c>
      <c r="G69" s="141">
        <v>1637.29</v>
      </c>
      <c r="H69" s="141">
        <v>1786.77</v>
      </c>
      <c r="I69" s="141">
        <v>1444.52</v>
      </c>
      <c r="J69" s="141">
        <v>11662.71</v>
      </c>
      <c r="K69" s="141">
        <v>3374.87</v>
      </c>
      <c r="L69" s="141"/>
      <c r="M69" s="141">
        <v>213.15</v>
      </c>
      <c r="N69" s="141">
        <v>3306.57</v>
      </c>
      <c r="O69" s="141">
        <v>0.0</v>
      </c>
      <c r="P69" s="141">
        <v>1631.84</v>
      </c>
      <c r="Q69" s="141">
        <v>1608.88</v>
      </c>
      <c r="R69" s="141">
        <v>15672.3</v>
      </c>
      <c r="S69" s="141">
        <v>1669.42</v>
      </c>
      <c r="T69" s="141">
        <v>3235.92</v>
      </c>
      <c r="U69" s="141">
        <v>3925.68</v>
      </c>
      <c r="V69" s="141">
        <v>2368.54</v>
      </c>
      <c r="W69" s="141">
        <v>804.38</v>
      </c>
      <c r="X69" s="141">
        <v>5783.94</v>
      </c>
      <c r="Y69" s="141">
        <v>756.61</v>
      </c>
      <c r="Z69" s="141">
        <v>32022.77</v>
      </c>
      <c r="AA69" s="142">
        <v>99411.94</v>
      </c>
      <c r="AB69" s="143">
        <v>0.03</v>
      </c>
      <c r="AC69" s="135"/>
      <c r="AD69" s="135"/>
    </row>
    <row r="70" ht="15.75" customHeight="1">
      <c r="A70" s="139" t="s">
        <v>88</v>
      </c>
      <c r="B70" s="141">
        <v>2426.81</v>
      </c>
      <c r="C70" s="141">
        <v>0.0</v>
      </c>
      <c r="D70" s="141">
        <v>923.2</v>
      </c>
      <c r="E70" s="141">
        <v>0.0</v>
      </c>
      <c r="F70" s="141">
        <v>540.71</v>
      </c>
      <c r="G70" s="141">
        <v>1037.17</v>
      </c>
      <c r="H70" s="141">
        <v>1048.73</v>
      </c>
      <c r="I70" s="141">
        <v>1256.92</v>
      </c>
      <c r="J70" s="141">
        <v>3514.0</v>
      </c>
      <c r="K70" s="141">
        <v>1766.45</v>
      </c>
      <c r="L70" s="141"/>
      <c r="M70" s="141">
        <v>362.09</v>
      </c>
      <c r="N70" s="141">
        <v>1807.7</v>
      </c>
      <c r="O70" s="141">
        <v>491.1</v>
      </c>
      <c r="P70" s="141">
        <v>953.34</v>
      </c>
      <c r="Q70" s="141">
        <v>960.01</v>
      </c>
      <c r="R70" s="141">
        <v>7663.83</v>
      </c>
      <c r="S70" s="141">
        <v>1443.32</v>
      </c>
      <c r="T70" s="141">
        <v>1902.41</v>
      </c>
      <c r="U70" s="141">
        <v>2015.63</v>
      </c>
      <c r="V70" s="141">
        <v>1627.2</v>
      </c>
      <c r="W70" s="141">
        <v>1076.46</v>
      </c>
      <c r="X70" s="141">
        <v>3086.35</v>
      </c>
      <c r="Y70" s="141">
        <v>405.3</v>
      </c>
      <c r="Z70" s="141">
        <v>20243.26</v>
      </c>
      <c r="AA70" s="142">
        <v>56551.99</v>
      </c>
      <c r="AB70" s="143">
        <v>0.02</v>
      </c>
      <c r="AC70" s="135"/>
      <c r="AD70" s="135"/>
    </row>
    <row r="71" ht="15.75" customHeight="1">
      <c r="A71" s="139" t="s">
        <v>89</v>
      </c>
      <c r="B71" s="141">
        <v>910.0</v>
      </c>
      <c r="C71" s="141"/>
      <c r="D71" s="141"/>
      <c r="E71" s="141">
        <v>9550.0</v>
      </c>
      <c r="F71" s="141"/>
      <c r="G71" s="141">
        <v>3900.0</v>
      </c>
      <c r="H71" s="141"/>
      <c r="I71" s="141"/>
      <c r="J71" s="141"/>
      <c r="K71" s="141">
        <v>5880.0</v>
      </c>
      <c r="L71" s="141"/>
      <c r="M71" s="141"/>
      <c r="N71" s="141">
        <v>2800.0</v>
      </c>
      <c r="O71" s="141"/>
      <c r="P71" s="141">
        <v>840.0</v>
      </c>
      <c r="Q71" s="141"/>
      <c r="R71" s="141">
        <v>280.0</v>
      </c>
      <c r="S71" s="141">
        <v>280.0</v>
      </c>
      <c r="T71" s="141">
        <v>560.0</v>
      </c>
      <c r="U71" s="141"/>
      <c r="V71" s="141">
        <v>3080.0</v>
      </c>
      <c r="W71" s="141"/>
      <c r="X71" s="141">
        <v>1400.0</v>
      </c>
      <c r="Y71" s="141"/>
      <c r="Z71" s="141">
        <v>2450.0</v>
      </c>
      <c r="AA71" s="142">
        <v>31930.0</v>
      </c>
      <c r="AB71" s="143">
        <v>0.01</v>
      </c>
      <c r="AC71" s="135"/>
      <c r="AD71" s="135"/>
    </row>
    <row r="72" ht="15.75" customHeight="1">
      <c r="A72" s="139" t="s">
        <v>91</v>
      </c>
      <c r="B72" s="141">
        <v>0.0</v>
      </c>
      <c r="C72" s="141">
        <v>0.0</v>
      </c>
      <c r="D72" s="141">
        <v>96.61</v>
      </c>
      <c r="E72" s="141">
        <v>0.0</v>
      </c>
      <c r="F72" s="141">
        <v>0.0</v>
      </c>
      <c r="G72" s="141">
        <v>662.87</v>
      </c>
      <c r="H72" s="141">
        <v>0.0</v>
      </c>
      <c r="I72" s="141">
        <v>0.0</v>
      </c>
      <c r="J72" s="141">
        <v>0.0</v>
      </c>
      <c r="K72" s="141">
        <v>25.0</v>
      </c>
      <c r="L72" s="141"/>
      <c r="M72" s="141">
        <v>0.0</v>
      </c>
      <c r="N72" s="141">
        <v>0.0</v>
      </c>
      <c r="O72" s="141">
        <v>0.0</v>
      </c>
      <c r="P72" s="141">
        <v>0.0</v>
      </c>
      <c r="Q72" s="141">
        <v>0.0</v>
      </c>
      <c r="R72" s="141">
        <v>25.0</v>
      </c>
      <c r="S72" s="141">
        <v>0.0</v>
      </c>
      <c r="T72" s="141">
        <v>0.0</v>
      </c>
      <c r="U72" s="141">
        <v>0.0</v>
      </c>
      <c r="V72" s="141">
        <v>0.0</v>
      </c>
      <c r="W72" s="141">
        <v>0.0</v>
      </c>
      <c r="X72" s="141">
        <v>0.0</v>
      </c>
      <c r="Y72" s="141">
        <v>0.0</v>
      </c>
      <c r="Z72" s="141">
        <v>15190.71</v>
      </c>
      <c r="AA72" s="142">
        <v>16000.19</v>
      </c>
      <c r="AB72" s="143">
        <v>0.01</v>
      </c>
      <c r="AC72" s="135"/>
      <c r="AD72" s="135"/>
    </row>
    <row r="73" ht="15.75" customHeight="1">
      <c r="A73" s="139" t="s">
        <v>92</v>
      </c>
      <c r="B73" s="141">
        <v>800.98</v>
      </c>
      <c r="C73" s="141">
        <v>0.0</v>
      </c>
      <c r="D73" s="141">
        <v>188.0</v>
      </c>
      <c r="E73" s="141">
        <v>0.0</v>
      </c>
      <c r="F73" s="141">
        <v>130.5</v>
      </c>
      <c r="G73" s="141">
        <v>984.5</v>
      </c>
      <c r="H73" s="141">
        <v>350.0</v>
      </c>
      <c r="I73" s="141">
        <v>164.0</v>
      </c>
      <c r="J73" s="141">
        <v>300.0</v>
      </c>
      <c r="K73" s="141">
        <v>583.5</v>
      </c>
      <c r="L73" s="141"/>
      <c r="M73" s="141">
        <v>0.0</v>
      </c>
      <c r="N73" s="141">
        <v>400.0</v>
      </c>
      <c r="O73" s="141">
        <v>0.0</v>
      </c>
      <c r="P73" s="141">
        <v>350.0</v>
      </c>
      <c r="Q73" s="141">
        <v>0.0</v>
      </c>
      <c r="R73" s="141">
        <v>0.0</v>
      </c>
      <c r="S73" s="141">
        <v>350.0</v>
      </c>
      <c r="T73" s="141">
        <v>350.0</v>
      </c>
      <c r="U73" s="141">
        <v>350.0</v>
      </c>
      <c r="V73" s="141">
        <v>350.0</v>
      </c>
      <c r="W73" s="141">
        <v>350.0</v>
      </c>
      <c r="X73" s="141">
        <v>350.0</v>
      </c>
      <c r="Y73" s="141">
        <v>0.0</v>
      </c>
      <c r="Z73" s="141">
        <v>255.0</v>
      </c>
      <c r="AA73" s="142">
        <v>6606.48</v>
      </c>
      <c r="AB73" s="154">
        <v>0.0</v>
      </c>
      <c r="AC73" s="135"/>
      <c r="AD73" s="135"/>
    </row>
    <row r="74" ht="15.75" customHeight="1">
      <c r="A74" s="146" t="s">
        <v>93</v>
      </c>
      <c r="B74" s="147">
        <v>214709.77</v>
      </c>
      <c r="C74" s="147">
        <v>1010.0</v>
      </c>
      <c r="D74" s="147">
        <v>206558.13</v>
      </c>
      <c r="E74" s="147">
        <v>9550.0</v>
      </c>
      <c r="F74" s="147">
        <v>31819.55</v>
      </c>
      <c r="G74" s="147">
        <v>44042.51</v>
      </c>
      <c r="H74" s="147">
        <v>53644.55</v>
      </c>
      <c r="I74" s="147">
        <v>49377.57</v>
      </c>
      <c r="J74" s="147">
        <v>240134.36</v>
      </c>
      <c r="K74" s="147">
        <v>69019.86</v>
      </c>
      <c r="L74" s="146" t="s">
        <v>56</v>
      </c>
      <c r="M74" s="147">
        <v>10032.02</v>
      </c>
      <c r="N74" s="147">
        <v>96420.72</v>
      </c>
      <c r="O74" s="147">
        <v>12110.27</v>
      </c>
      <c r="P74" s="147">
        <v>28460.13</v>
      </c>
      <c r="Q74" s="147">
        <v>27168.75</v>
      </c>
      <c r="R74" s="147">
        <v>214677.25</v>
      </c>
      <c r="S74" s="147">
        <v>41111.25</v>
      </c>
      <c r="T74" s="147">
        <v>55474.91</v>
      </c>
      <c r="U74" s="147">
        <v>62356.93</v>
      </c>
      <c r="V74" s="147">
        <v>46768.41</v>
      </c>
      <c r="W74" s="147">
        <v>27475.47</v>
      </c>
      <c r="X74" s="147">
        <v>88161.13</v>
      </c>
      <c r="Y74" s="147">
        <v>11936.48</v>
      </c>
      <c r="Z74" s="147">
        <v>1482397.41</v>
      </c>
      <c r="AA74" s="147">
        <v>3124417.43</v>
      </c>
      <c r="AB74" s="146">
        <v>1.0</v>
      </c>
      <c r="AC74" s="135"/>
      <c r="AD74" s="135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54"/>
      <c r="AB75" s="139"/>
      <c r="AC75" s="135"/>
      <c r="AD75" s="135"/>
    </row>
    <row r="76" ht="15.75" customHeight="1">
      <c r="A76" s="146" t="s">
        <v>5</v>
      </c>
      <c r="B76" s="147">
        <v>1537353.16</v>
      </c>
      <c r="C76" s="147">
        <v>37309.83</v>
      </c>
      <c r="D76" s="147">
        <v>123656.52</v>
      </c>
      <c r="E76" s="147">
        <v>24815.0</v>
      </c>
      <c r="F76" s="147">
        <v>15225.29</v>
      </c>
      <c r="G76" s="147">
        <v>256944.56</v>
      </c>
      <c r="H76" s="147">
        <v>212970.1</v>
      </c>
      <c r="I76" s="147">
        <v>-12383.61</v>
      </c>
      <c r="J76" s="147">
        <v>1943275.97</v>
      </c>
      <c r="K76" s="147">
        <v>317367.2</v>
      </c>
      <c r="L76" s="146" t="s">
        <v>56</v>
      </c>
      <c r="M76" s="147">
        <v>31558.5</v>
      </c>
      <c r="N76" s="147">
        <v>113018.95</v>
      </c>
      <c r="O76" s="147">
        <v>20182.83</v>
      </c>
      <c r="P76" s="147">
        <v>62288.15</v>
      </c>
      <c r="Q76" s="147">
        <v>8831.25</v>
      </c>
      <c r="R76" s="147">
        <v>-168685.87</v>
      </c>
      <c r="S76" s="147">
        <v>35143.92</v>
      </c>
      <c r="T76" s="147">
        <v>113413.48</v>
      </c>
      <c r="U76" s="147">
        <v>57021.97</v>
      </c>
      <c r="V76" s="147">
        <v>-17992.56</v>
      </c>
      <c r="W76" s="147">
        <v>108182.53</v>
      </c>
      <c r="X76" s="147">
        <v>746079.93</v>
      </c>
      <c r="Y76" s="147">
        <v>24063.52</v>
      </c>
      <c r="Z76" s="147">
        <v>-1459527.4</v>
      </c>
      <c r="AA76" s="147">
        <v>4130113.22</v>
      </c>
      <c r="AB76" s="139"/>
      <c r="AC76" s="135"/>
      <c r="AD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6"/>
      <c r="X77" s="135"/>
      <c r="Y77" s="135"/>
      <c r="Z77" s="135"/>
      <c r="AA77" s="135"/>
      <c r="AB77" s="135"/>
      <c r="AC77" s="135"/>
      <c r="AD77" s="135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6"/>
      <c r="X78" s="135"/>
      <c r="Y78" s="135"/>
      <c r="Z78" s="135"/>
      <c r="AA78" s="135"/>
      <c r="AB78" s="135"/>
      <c r="AC78" s="135"/>
      <c r="AD78" s="135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B2"/>
    <mergeCell ref="A3:AB3"/>
    <mergeCell ref="A4:AB4"/>
    <mergeCell ref="B7:AB7"/>
    <mergeCell ref="A28:AB2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4" width="7.75"/>
    <col customWidth="1" min="25" max="25" width="10.0"/>
    <col customWidth="1" min="26" max="26" width="8.38"/>
    <col customWidth="1" min="27" max="27" width="9.0"/>
    <col customWidth="1" min="28" max="28" width="8.63"/>
    <col customWidth="1" min="29" max="30" width="4.38"/>
    <col customWidth="1" min="31" max="31" width="10.88"/>
    <col customWidth="1" min="32" max="32" width="9.63"/>
    <col customWidth="1" min="33" max="33" width="4.75"/>
    <col customWidth="1" min="34" max="34" width="1.5"/>
    <col customWidth="1" min="35" max="35" width="5.25"/>
    <col customWidth="1" min="36" max="36" width="5.13"/>
    <col customWidth="1" min="37" max="37" width="19.63"/>
    <col customWidth="1" min="38" max="38" width="15.13"/>
    <col customWidth="1" min="39" max="39" width="6.75"/>
    <col customWidth="1" min="40" max="40" width="2.5"/>
    <col customWidth="1" min="41" max="41" width="5.25"/>
    <col customWidth="1" min="42" max="42" width="5.75"/>
    <col customWidth="1" min="43" max="43" width="6.75"/>
    <col customWidth="1" min="44" max="44" width="2.5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  <c r="AB1" s="135"/>
      <c r="AC1" s="135"/>
      <c r="AD1" s="135"/>
    </row>
    <row r="2" ht="15.75" customHeight="1">
      <c r="A2" s="137" t="s">
        <v>30</v>
      </c>
      <c r="AC2" s="135"/>
      <c r="AD2" s="135"/>
    </row>
    <row r="3" ht="15.75" customHeight="1">
      <c r="A3" s="137" t="s">
        <v>241</v>
      </c>
      <c r="AC3" s="135"/>
      <c r="AD3" s="135"/>
    </row>
    <row r="4" ht="15.75" customHeight="1">
      <c r="A4" s="137"/>
      <c r="AC4" s="135"/>
      <c r="AD4" s="135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6"/>
      <c r="AB5" s="135"/>
      <c r="AC5" s="135"/>
      <c r="AD5" s="135"/>
    </row>
    <row r="6" ht="15.75" customHeight="1">
      <c r="A6" s="179" t="s">
        <v>242</v>
      </c>
      <c r="B6" s="179" t="s">
        <v>100</v>
      </c>
      <c r="C6" s="179" t="s">
        <v>11</v>
      </c>
      <c r="D6" s="179" t="s">
        <v>243</v>
      </c>
      <c r="E6" s="179" t="s">
        <v>244</v>
      </c>
      <c r="F6" s="179" t="s">
        <v>2</v>
      </c>
      <c r="G6" s="179" t="s">
        <v>245</v>
      </c>
      <c r="H6" s="179" t="s">
        <v>107</v>
      </c>
      <c r="I6" s="179" t="s">
        <v>246</v>
      </c>
      <c r="J6" s="179" t="s">
        <v>247</v>
      </c>
      <c r="K6" s="179" t="s">
        <v>129</v>
      </c>
      <c r="L6" s="179" t="s">
        <v>110</v>
      </c>
      <c r="M6" s="179" t="s">
        <v>248</v>
      </c>
      <c r="N6" s="179" t="s">
        <v>249</v>
      </c>
      <c r="O6" s="179" t="s">
        <v>117</v>
      </c>
      <c r="P6" s="179" t="s">
        <v>250</v>
      </c>
      <c r="Q6" s="179" t="s">
        <v>118</v>
      </c>
      <c r="R6" s="179" t="s">
        <v>119</v>
      </c>
      <c r="S6" s="179" t="s">
        <v>251</v>
      </c>
      <c r="T6" s="179" t="s">
        <v>122</v>
      </c>
      <c r="U6" s="179" t="s">
        <v>127</v>
      </c>
      <c r="V6" s="179" t="s">
        <v>124</v>
      </c>
      <c r="W6" s="179" t="s">
        <v>125</v>
      </c>
      <c r="X6" s="179" t="s">
        <v>252</v>
      </c>
      <c r="Y6" s="179" t="s">
        <v>278</v>
      </c>
      <c r="Z6" s="179" t="s">
        <v>29</v>
      </c>
      <c r="AA6" s="179" t="s">
        <v>25</v>
      </c>
      <c r="AB6" s="179" t="s">
        <v>46</v>
      </c>
      <c r="AC6" s="180"/>
      <c r="AD6" s="180"/>
    </row>
    <row r="7" ht="15.75" customHeight="1">
      <c r="A7" s="139"/>
      <c r="B7" s="140"/>
      <c r="AC7" s="135"/>
      <c r="AD7" s="135"/>
    </row>
    <row r="8" ht="15.75" customHeight="1">
      <c r="A8" s="139" t="s">
        <v>253</v>
      </c>
      <c r="B8" s="141">
        <v>255859.48</v>
      </c>
      <c r="C8" s="141">
        <v>43368.97</v>
      </c>
      <c r="D8" s="141">
        <v>42811.21</v>
      </c>
      <c r="E8" s="139"/>
      <c r="F8" s="141">
        <v>31633.62</v>
      </c>
      <c r="G8" s="141">
        <v>107504.31</v>
      </c>
      <c r="H8" s="141">
        <v>110225.86</v>
      </c>
      <c r="I8" s="141">
        <v>39856.9</v>
      </c>
      <c r="J8" s="141">
        <v>1880176.12</v>
      </c>
      <c r="K8" s="141">
        <v>333786.22</v>
      </c>
      <c r="L8" s="141">
        <v>12762.93</v>
      </c>
      <c r="M8" s="141">
        <v>218778.45</v>
      </c>
      <c r="N8" s="141">
        <v>6146.55</v>
      </c>
      <c r="O8" s="141">
        <v>85950.0</v>
      </c>
      <c r="P8" s="139"/>
      <c r="Q8" s="141">
        <v>36252.59</v>
      </c>
      <c r="R8" s="141">
        <v>9206.9</v>
      </c>
      <c r="S8" s="141">
        <v>158287.94</v>
      </c>
      <c r="T8" s="141">
        <v>79396.55</v>
      </c>
      <c r="U8" s="141">
        <v>17353.45</v>
      </c>
      <c r="V8" s="141">
        <v>88700.0</v>
      </c>
      <c r="W8" s="141">
        <v>549548.5</v>
      </c>
      <c r="X8" s="139"/>
      <c r="Y8" s="139"/>
      <c r="Z8" s="139"/>
      <c r="AA8" s="142">
        <v>4107606.55</v>
      </c>
      <c r="AB8" s="143">
        <v>0.54</v>
      </c>
      <c r="AC8" s="135"/>
      <c r="AD8" s="135"/>
    </row>
    <row r="9" ht="15.75" customHeight="1">
      <c r="A9" s="139" t="s">
        <v>254</v>
      </c>
      <c r="B9" s="141">
        <v>1433344.77</v>
      </c>
      <c r="C9" s="141"/>
      <c r="D9" s="141">
        <v>237000.0</v>
      </c>
      <c r="E9" s="139"/>
      <c r="F9" s="141">
        <v>18598.29</v>
      </c>
      <c r="G9" s="141">
        <v>137702.58</v>
      </c>
      <c r="H9" s="141">
        <v>165698.28</v>
      </c>
      <c r="I9" s="141"/>
      <c r="J9" s="141">
        <v>342698.31</v>
      </c>
      <c r="K9" s="141">
        <v>10560.34</v>
      </c>
      <c r="L9" s="141">
        <v>31500.0</v>
      </c>
      <c r="M9" s="141">
        <v>22396.56</v>
      </c>
      <c r="N9" s="141">
        <v>26250.0</v>
      </c>
      <c r="O9" s="141">
        <v>1724.14</v>
      </c>
      <c r="P9" s="139"/>
      <c r="Q9" s="139"/>
      <c r="R9" s="141">
        <v>94000.0</v>
      </c>
      <c r="S9" s="141">
        <v>750.0</v>
      </c>
      <c r="T9" s="141">
        <v>11400.0</v>
      </c>
      <c r="U9" s="141">
        <v>10810.33</v>
      </c>
      <c r="V9" s="141">
        <v>14608.0</v>
      </c>
      <c r="W9" s="141">
        <v>392208.62</v>
      </c>
      <c r="X9" s="139"/>
      <c r="Y9" s="139"/>
      <c r="Z9" s="139"/>
      <c r="AA9" s="176">
        <v>2951250.22</v>
      </c>
      <c r="AB9" s="143">
        <v>0.39</v>
      </c>
      <c r="AC9" s="135"/>
      <c r="AD9" s="135"/>
    </row>
    <row r="10" ht="15.75" customHeight="1">
      <c r="A10" s="139" t="s">
        <v>59</v>
      </c>
      <c r="B10" s="141">
        <v>15172.41</v>
      </c>
      <c r="C10" s="141"/>
      <c r="D10" s="141"/>
      <c r="E10" s="139"/>
      <c r="F10" s="141"/>
      <c r="G10" s="141"/>
      <c r="H10" s="141"/>
      <c r="I10" s="141"/>
      <c r="J10" s="141"/>
      <c r="K10" s="141"/>
      <c r="L10" s="141"/>
      <c r="M10" s="139"/>
      <c r="N10" s="139"/>
      <c r="O10" s="139"/>
      <c r="P10" s="139"/>
      <c r="Q10" s="141">
        <v>26551.72</v>
      </c>
      <c r="R10" s="141">
        <v>6896.56</v>
      </c>
      <c r="S10" s="139"/>
      <c r="T10" s="141">
        <v>47413.8</v>
      </c>
      <c r="U10" s="139"/>
      <c r="V10" s="139"/>
      <c r="W10" s="139"/>
      <c r="X10" s="139"/>
      <c r="Y10" s="139"/>
      <c r="Z10" s="139"/>
      <c r="AA10" s="176">
        <v>96034.49</v>
      </c>
      <c r="AB10" s="143">
        <v>0.01</v>
      </c>
      <c r="AC10" s="135"/>
      <c r="AD10" s="135"/>
    </row>
    <row r="11" ht="15.75" customHeight="1">
      <c r="A11" s="139" t="s">
        <v>255</v>
      </c>
      <c r="B11" s="141"/>
      <c r="C11" s="141"/>
      <c r="D11" s="141">
        <v>52071.55</v>
      </c>
      <c r="E11" s="139"/>
      <c r="F11" s="141"/>
      <c r="G11" s="141"/>
      <c r="H11" s="141"/>
      <c r="I11" s="141">
        <v>134.48</v>
      </c>
      <c r="J11" s="141"/>
      <c r="K11" s="141"/>
      <c r="L11" s="141"/>
      <c r="M11" s="139"/>
      <c r="N11" s="139"/>
      <c r="O11" s="141">
        <v>979.31</v>
      </c>
      <c r="P11" s="139"/>
      <c r="Q11" s="141">
        <v>1137.93</v>
      </c>
      <c r="R11" s="139"/>
      <c r="S11" s="141">
        <v>11786.21</v>
      </c>
      <c r="T11" s="141">
        <v>18895.0</v>
      </c>
      <c r="U11" s="139"/>
      <c r="V11" s="139"/>
      <c r="W11" s="141">
        <v>10734.49</v>
      </c>
      <c r="X11" s="139"/>
      <c r="Y11" s="139"/>
      <c r="Z11" s="139"/>
      <c r="AA11" s="176">
        <v>95738.97</v>
      </c>
      <c r="AB11" s="143">
        <v>0.01</v>
      </c>
      <c r="AC11" s="135"/>
      <c r="AD11" s="135"/>
    </row>
    <row r="12" ht="15.75" customHeight="1">
      <c r="A12" s="139" t="s">
        <v>256</v>
      </c>
      <c r="B12" s="141"/>
      <c r="C12" s="141">
        <v>11403.44</v>
      </c>
      <c r="D12" s="141"/>
      <c r="E12" s="141">
        <v>46491.0</v>
      </c>
      <c r="F12" s="141"/>
      <c r="G12" s="141"/>
      <c r="H12" s="141"/>
      <c r="I12" s="141"/>
      <c r="J12" s="141"/>
      <c r="K12" s="141"/>
      <c r="L12" s="141"/>
      <c r="M12" s="139"/>
      <c r="N12" s="139"/>
      <c r="O12" s="139"/>
      <c r="P12" s="139"/>
      <c r="Q12" s="139"/>
      <c r="R12" s="139"/>
      <c r="S12" s="139"/>
      <c r="T12" s="139"/>
      <c r="U12" s="141">
        <v>8906.9</v>
      </c>
      <c r="V12" s="141">
        <v>20000.0</v>
      </c>
      <c r="W12" s="139"/>
      <c r="X12" s="139"/>
      <c r="Y12" s="139"/>
      <c r="Z12" s="139"/>
      <c r="AA12" s="176">
        <v>86801.34</v>
      </c>
      <c r="AB12" s="143">
        <v>0.01</v>
      </c>
      <c r="AC12" s="135"/>
      <c r="AD12" s="135"/>
    </row>
    <row r="13" ht="15.75" customHeight="1">
      <c r="A13" s="139" t="s">
        <v>257</v>
      </c>
      <c r="B13" s="141">
        <v>3620.68</v>
      </c>
      <c r="C13" s="141"/>
      <c r="D13" s="141"/>
      <c r="E13" s="139"/>
      <c r="F13" s="141"/>
      <c r="G13" s="141"/>
      <c r="H13" s="141"/>
      <c r="I13" s="141"/>
      <c r="J13" s="141">
        <v>6465.51</v>
      </c>
      <c r="K13" s="141"/>
      <c r="L13" s="141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76">
        <v>10086.19</v>
      </c>
      <c r="AB13" s="143">
        <v>0.0</v>
      </c>
      <c r="AC13" s="135"/>
      <c r="AD13" s="135"/>
    </row>
    <row r="14" ht="15.75" customHeight="1">
      <c r="A14" s="139" t="s">
        <v>258</v>
      </c>
      <c r="B14" s="141">
        <v>1034.48</v>
      </c>
      <c r="C14" s="141"/>
      <c r="D14" s="141"/>
      <c r="E14" s="139"/>
      <c r="F14" s="141"/>
      <c r="G14" s="141"/>
      <c r="H14" s="141"/>
      <c r="I14" s="141"/>
      <c r="J14" s="141">
        <v>2844.83</v>
      </c>
      <c r="K14" s="141"/>
      <c r="L14" s="141"/>
      <c r="M14" s="139"/>
      <c r="N14" s="141">
        <v>43.1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76">
        <v>3922.41</v>
      </c>
      <c r="AB14" s="143">
        <v>0.0</v>
      </c>
      <c r="AC14" s="135"/>
      <c r="AD14" s="135"/>
    </row>
    <row r="15" ht="15.75" customHeight="1">
      <c r="A15" s="139" t="s">
        <v>259</v>
      </c>
      <c r="B15" s="141"/>
      <c r="C15" s="141"/>
      <c r="D15" s="141"/>
      <c r="E15" s="139"/>
      <c r="F15" s="141"/>
      <c r="G15" s="141"/>
      <c r="H15" s="141"/>
      <c r="I15" s="141"/>
      <c r="J15" s="141"/>
      <c r="K15" s="141">
        <v>39609.48</v>
      </c>
      <c r="L15" s="141"/>
      <c r="M15" s="139"/>
      <c r="N15" s="139"/>
      <c r="O15" s="139"/>
      <c r="P15" s="141">
        <v>36000.0</v>
      </c>
      <c r="Q15" s="139"/>
      <c r="R15" s="139"/>
      <c r="S15" s="139"/>
      <c r="T15" s="139"/>
      <c r="U15" s="139"/>
      <c r="V15" s="139"/>
      <c r="W15" s="139"/>
      <c r="X15" s="141">
        <v>36000.0</v>
      </c>
      <c r="Y15" s="141">
        <v>59000.0</v>
      </c>
      <c r="Z15" s="139"/>
      <c r="AA15" s="176">
        <v>170609.48</v>
      </c>
      <c r="AB15" s="143">
        <v>0.02</v>
      </c>
      <c r="AC15" s="135"/>
      <c r="AD15" s="135"/>
    </row>
    <row r="16" ht="15.75" customHeight="1">
      <c r="A16" s="139" t="s">
        <v>260</v>
      </c>
      <c r="B16" s="141"/>
      <c r="C16" s="141"/>
      <c r="D16" s="141"/>
      <c r="E16" s="139"/>
      <c r="F16" s="141"/>
      <c r="G16" s="141"/>
      <c r="H16" s="141"/>
      <c r="I16" s="141"/>
      <c r="J16" s="141">
        <v>1931.03</v>
      </c>
      <c r="K16" s="141"/>
      <c r="L16" s="141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76">
        <v>1931.03</v>
      </c>
      <c r="AB16" s="143">
        <v>0.0</v>
      </c>
      <c r="AC16" s="135"/>
      <c r="AD16" s="135"/>
    </row>
    <row r="17" ht="15.75" customHeight="1">
      <c r="A17" s="139" t="s">
        <v>261</v>
      </c>
      <c r="B17" s="141"/>
      <c r="C17" s="141"/>
      <c r="D17" s="141"/>
      <c r="E17" s="139"/>
      <c r="F17" s="141"/>
      <c r="G17" s="141"/>
      <c r="H17" s="141"/>
      <c r="I17" s="141"/>
      <c r="J17" s="141"/>
      <c r="K17" s="141"/>
      <c r="L17" s="141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41">
        <v>2075.01</v>
      </c>
      <c r="AA17" s="176">
        <v>2075.01</v>
      </c>
      <c r="AB17" s="143">
        <v>0.0</v>
      </c>
      <c r="AC17" s="135"/>
      <c r="AD17" s="135"/>
    </row>
    <row r="18" ht="15.75" hidden="1" customHeight="1">
      <c r="A18" s="139" t="s">
        <v>262</v>
      </c>
      <c r="B18" s="141"/>
      <c r="C18" s="141"/>
      <c r="D18" s="141"/>
      <c r="E18" s="139"/>
      <c r="F18" s="141"/>
      <c r="G18" s="141"/>
      <c r="H18" s="141"/>
      <c r="I18" s="141"/>
      <c r="J18" s="141"/>
      <c r="K18" s="141"/>
      <c r="L18" s="141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54" t="s">
        <v>56</v>
      </c>
      <c r="AB18" s="143">
        <v>0.0</v>
      </c>
      <c r="AC18" s="135"/>
      <c r="AD18" s="135"/>
    </row>
    <row r="19" ht="15.75" hidden="1" customHeight="1">
      <c r="A19" s="139" t="s">
        <v>263</v>
      </c>
      <c r="B19" s="141"/>
      <c r="C19" s="141"/>
      <c r="D19" s="141"/>
      <c r="E19" s="139"/>
      <c r="F19" s="141"/>
      <c r="G19" s="141"/>
      <c r="H19" s="141"/>
      <c r="I19" s="141"/>
      <c r="J19" s="141"/>
      <c r="K19" s="141"/>
      <c r="L19" s="141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54" t="s">
        <v>56</v>
      </c>
      <c r="AB19" s="143">
        <v>0.0</v>
      </c>
      <c r="AC19" s="135"/>
      <c r="AD19" s="135"/>
    </row>
    <row r="20" ht="15.75" customHeight="1">
      <c r="A20" s="139" t="s">
        <v>264</v>
      </c>
      <c r="B20" s="141"/>
      <c r="C20" s="141"/>
      <c r="D20" s="141"/>
      <c r="E20" s="139"/>
      <c r="F20" s="141"/>
      <c r="G20" s="141"/>
      <c r="H20" s="141">
        <v>2931.04</v>
      </c>
      <c r="I20" s="141"/>
      <c r="J20" s="141"/>
      <c r="K20" s="141"/>
      <c r="L20" s="141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76">
        <v>2931.04</v>
      </c>
      <c r="AB20" s="143">
        <v>0.0</v>
      </c>
      <c r="AC20" s="135"/>
      <c r="AD20" s="135"/>
    </row>
    <row r="21" ht="15.75" customHeight="1">
      <c r="A21" s="139" t="s">
        <v>265</v>
      </c>
      <c r="B21" s="141"/>
      <c r="C21" s="141"/>
      <c r="D21" s="141"/>
      <c r="E21" s="139"/>
      <c r="F21" s="141"/>
      <c r="G21" s="141"/>
      <c r="H21" s="141"/>
      <c r="I21" s="141"/>
      <c r="J21" s="141"/>
      <c r="K21" s="141"/>
      <c r="L21" s="141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54" t="s">
        <v>56</v>
      </c>
      <c r="AB21" s="143">
        <v>0.0</v>
      </c>
      <c r="AC21" s="135"/>
      <c r="AD21" s="135"/>
    </row>
    <row r="22" ht="15.75" customHeight="1">
      <c r="A22" s="139" t="s">
        <v>266</v>
      </c>
      <c r="B22" s="141"/>
      <c r="C22" s="141"/>
      <c r="D22" s="141">
        <v>9.48</v>
      </c>
      <c r="E22" s="139"/>
      <c r="F22" s="141">
        <v>2.59</v>
      </c>
      <c r="G22" s="141">
        <v>8.62</v>
      </c>
      <c r="H22" s="141">
        <v>17.24</v>
      </c>
      <c r="I22" s="141">
        <v>181.89</v>
      </c>
      <c r="J22" s="141">
        <v>1424.14</v>
      </c>
      <c r="K22" s="141"/>
      <c r="L22" s="141">
        <v>86.21</v>
      </c>
      <c r="M22" s="141">
        <v>406.03</v>
      </c>
      <c r="N22" s="139"/>
      <c r="O22" s="141">
        <v>52.59</v>
      </c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76">
        <v>2188.79</v>
      </c>
      <c r="AB22" s="143">
        <v>0.0</v>
      </c>
      <c r="AC22" s="135"/>
      <c r="AD22" s="135"/>
    </row>
    <row r="23" ht="15.75" customHeight="1">
      <c r="A23" s="139" t="s">
        <v>267</v>
      </c>
      <c r="B23" s="141"/>
      <c r="C23" s="141"/>
      <c r="D23" s="141"/>
      <c r="E23" s="139"/>
      <c r="F23" s="139"/>
      <c r="G23" s="141"/>
      <c r="H23" s="139"/>
      <c r="I23" s="139"/>
      <c r="J23" s="139"/>
      <c r="K23" s="139"/>
      <c r="L23" s="141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54" t="s">
        <v>56</v>
      </c>
      <c r="AB23" s="143">
        <v>0.0</v>
      </c>
      <c r="AC23" s="135"/>
      <c r="AD23" s="135"/>
    </row>
    <row r="24" ht="15.75" hidden="1" customHeight="1">
      <c r="A24" s="139" t="s">
        <v>268</v>
      </c>
      <c r="B24" s="141"/>
      <c r="C24" s="141"/>
      <c r="D24" s="141"/>
      <c r="E24" s="139"/>
      <c r="F24" s="139"/>
      <c r="G24" s="141"/>
      <c r="H24" s="139"/>
      <c r="I24" s="139"/>
      <c r="J24" s="139"/>
      <c r="K24" s="139"/>
      <c r="L24" s="141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54" t="s">
        <v>56</v>
      </c>
      <c r="AB24" s="143">
        <v>0.0</v>
      </c>
      <c r="AC24" s="135"/>
      <c r="AD24" s="135"/>
    </row>
    <row r="25" ht="15.75" hidden="1" customHeight="1">
      <c r="A25" s="139" t="s">
        <v>269</v>
      </c>
      <c r="B25" s="141"/>
      <c r="C25" s="139"/>
      <c r="D25" s="139"/>
      <c r="E25" s="139"/>
      <c r="F25" s="139"/>
      <c r="G25" s="139"/>
      <c r="H25" s="139"/>
      <c r="I25" s="139"/>
      <c r="J25" s="139"/>
      <c r="K25" s="139"/>
      <c r="L25" s="141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41">
        <v>11912.07</v>
      </c>
      <c r="AA25" s="176">
        <v>11912.07</v>
      </c>
      <c r="AB25" s="143">
        <v>0.0</v>
      </c>
      <c r="AC25" s="135"/>
      <c r="AD25" s="135"/>
    </row>
    <row r="26" ht="15.75" hidden="1" customHeight="1">
      <c r="A26" s="139" t="s">
        <v>270</v>
      </c>
      <c r="B26" s="141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54" t="s">
        <v>56</v>
      </c>
      <c r="AB26" s="143">
        <v>0.0</v>
      </c>
      <c r="AC26" s="135"/>
      <c r="AD26" s="135"/>
    </row>
    <row r="27" ht="15.75" customHeight="1">
      <c r="A27" s="146" t="s">
        <v>271</v>
      </c>
      <c r="B27" s="147">
        <v>1709031.82</v>
      </c>
      <c r="C27" s="147">
        <v>54772.41</v>
      </c>
      <c r="D27" s="147">
        <v>331892.24</v>
      </c>
      <c r="E27" s="147">
        <v>46491.0</v>
      </c>
      <c r="F27" s="147">
        <v>50234.5</v>
      </c>
      <c r="G27" s="147">
        <v>245215.51</v>
      </c>
      <c r="H27" s="147">
        <v>278872.42</v>
      </c>
      <c r="I27" s="147">
        <v>40173.27</v>
      </c>
      <c r="J27" s="147">
        <v>2235539.94</v>
      </c>
      <c r="K27" s="147">
        <v>383956.04</v>
      </c>
      <c r="L27" s="147">
        <v>44349.14</v>
      </c>
      <c r="M27" s="147">
        <v>241581.04</v>
      </c>
      <c r="N27" s="147">
        <v>32439.65</v>
      </c>
      <c r="O27" s="147">
        <v>88706.04</v>
      </c>
      <c r="P27" s="147">
        <v>36000.0</v>
      </c>
      <c r="Q27" s="147">
        <v>63942.24</v>
      </c>
      <c r="R27" s="147">
        <v>110103.46</v>
      </c>
      <c r="S27" s="147">
        <v>170824.15</v>
      </c>
      <c r="T27" s="147">
        <v>157105.35</v>
      </c>
      <c r="U27" s="147">
        <v>37070.68</v>
      </c>
      <c r="V27" s="147">
        <v>123308.0</v>
      </c>
      <c r="W27" s="147">
        <v>952491.61</v>
      </c>
      <c r="X27" s="147">
        <v>36000.0</v>
      </c>
      <c r="Y27" s="147">
        <v>59000.0</v>
      </c>
      <c r="Z27" s="147">
        <v>13987.08</v>
      </c>
      <c r="AA27" s="147">
        <v>7543087.59</v>
      </c>
      <c r="AB27" s="178">
        <v>1.0</v>
      </c>
      <c r="AC27" s="135"/>
      <c r="AD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35"/>
      <c r="AD28" s="135"/>
    </row>
    <row r="29" ht="15.75" customHeight="1">
      <c r="A29" s="139" t="s">
        <v>47</v>
      </c>
      <c r="B29" s="141">
        <v>44945.25</v>
      </c>
      <c r="C29" s="141">
        <v>0.0</v>
      </c>
      <c r="D29" s="141">
        <v>19061.28</v>
      </c>
      <c r="E29" s="141">
        <v>0.0</v>
      </c>
      <c r="F29" s="141">
        <v>10988.58</v>
      </c>
      <c r="G29" s="141">
        <v>20588.08</v>
      </c>
      <c r="H29" s="141">
        <v>20789.5</v>
      </c>
      <c r="I29" s="141">
        <v>32541.21</v>
      </c>
      <c r="J29" s="141">
        <v>140762.32</v>
      </c>
      <c r="K29" s="141">
        <v>34580.92</v>
      </c>
      <c r="L29" s="141">
        <v>5143.24</v>
      </c>
      <c r="M29" s="141">
        <v>43271.4</v>
      </c>
      <c r="N29" s="141">
        <v>9980.36</v>
      </c>
      <c r="O29" s="141">
        <v>17543.86</v>
      </c>
      <c r="P29" s="141">
        <v>19510.0</v>
      </c>
      <c r="Q29" s="141">
        <v>156492.87</v>
      </c>
      <c r="R29" s="141">
        <v>26018.7</v>
      </c>
      <c r="S29" s="141">
        <v>39506.36</v>
      </c>
      <c r="T29" s="141">
        <v>54582.52</v>
      </c>
      <c r="U29" s="141">
        <v>36388.18</v>
      </c>
      <c r="V29" s="141">
        <v>21666.52</v>
      </c>
      <c r="W29" s="141">
        <v>64616.95</v>
      </c>
      <c r="X29" s="141">
        <v>16473.41</v>
      </c>
      <c r="Y29" s="141">
        <v>54435.73</v>
      </c>
      <c r="Z29" s="141">
        <v>71365.9</v>
      </c>
      <c r="AA29" s="176">
        <v>1572279.81</v>
      </c>
      <c r="AB29" s="143">
        <v>0.49</v>
      </c>
      <c r="AC29" s="135"/>
      <c r="AD29" s="141"/>
    </row>
    <row r="30" ht="15.75" customHeight="1">
      <c r="A30" s="139" t="s">
        <v>48</v>
      </c>
      <c r="B30" s="141">
        <v>0.0</v>
      </c>
      <c r="C30" s="141">
        <v>0.0</v>
      </c>
      <c r="D30" s="141">
        <v>0.0</v>
      </c>
      <c r="E30" s="141">
        <v>0.0</v>
      </c>
      <c r="F30" s="141">
        <v>0.0</v>
      </c>
      <c r="G30" s="141">
        <v>0.0</v>
      </c>
      <c r="H30" s="141">
        <v>0.0</v>
      </c>
      <c r="I30" s="141">
        <v>0.0</v>
      </c>
      <c r="J30" s="141">
        <v>0.0</v>
      </c>
      <c r="K30" s="141">
        <v>0.0</v>
      </c>
      <c r="L30" s="141">
        <v>0.0</v>
      </c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141">
        <v>0.0</v>
      </c>
      <c r="Z30" s="141">
        <v>611026.67</v>
      </c>
      <c r="AA30" s="154" t="s">
        <v>56</v>
      </c>
      <c r="AB30" s="143">
        <v>0.0</v>
      </c>
      <c r="AC30" s="135"/>
      <c r="AD30" s="141"/>
    </row>
    <row r="31" ht="15.75" customHeight="1">
      <c r="A31" s="139" t="s">
        <v>49</v>
      </c>
      <c r="B31" s="141">
        <v>0.0</v>
      </c>
      <c r="C31" s="141">
        <v>0.0</v>
      </c>
      <c r="D31" s="141">
        <v>0.0</v>
      </c>
      <c r="E31" s="141">
        <v>0.0</v>
      </c>
      <c r="F31" s="141">
        <v>0.0</v>
      </c>
      <c r="G31" s="141">
        <v>0.0</v>
      </c>
      <c r="H31" s="141">
        <v>0.0</v>
      </c>
      <c r="I31" s="141">
        <v>0.0</v>
      </c>
      <c r="J31" s="141">
        <v>0.0</v>
      </c>
      <c r="K31" s="141">
        <v>0.0</v>
      </c>
      <c r="L31" s="141">
        <v>0.0</v>
      </c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1">
        <v>0.0</v>
      </c>
      <c r="V31" s="141">
        <v>0.0</v>
      </c>
      <c r="W31" s="141">
        <v>0.0</v>
      </c>
      <c r="X31" s="141">
        <v>0.0</v>
      </c>
      <c r="Y31" s="141">
        <v>0.0</v>
      </c>
      <c r="Z31" s="141">
        <v>28905.57</v>
      </c>
      <c r="AA31" s="176">
        <v>28905.57</v>
      </c>
      <c r="AB31" s="143">
        <v>0.01</v>
      </c>
      <c r="AC31" s="135"/>
      <c r="AD31" s="141"/>
    </row>
    <row r="32" ht="15.75" customHeight="1">
      <c r="A32" s="139" t="s">
        <v>50</v>
      </c>
      <c r="B32" s="141">
        <v>0.0</v>
      </c>
      <c r="C32" s="141">
        <v>0.0</v>
      </c>
      <c r="D32" s="141">
        <v>177160.0</v>
      </c>
      <c r="E32" s="141">
        <v>0.0</v>
      </c>
      <c r="F32" s="141">
        <v>16140.0</v>
      </c>
      <c r="G32" s="141">
        <v>0.0</v>
      </c>
      <c r="H32" s="141">
        <v>0.0</v>
      </c>
      <c r="I32" s="141">
        <v>0.0</v>
      </c>
      <c r="J32" s="141">
        <v>0.0</v>
      </c>
      <c r="K32" s="141">
        <v>0.0</v>
      </c>
      <c r="L32" s="141">
        <v>0.0</v>
      </c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0.0</v>
      </c>
      <c r="T32" s="141">
        <v>0.0</v>
      </c>
      <c r="U32" s="141">
        <v>0.0</v>
      </c>
      <c r="V32" s="141">
        <v>0.0</v>
      </c>
      <c r="W32" s="141">
        <v>0.0</v>
      </c>
      <c r="X32" s="141">
        <v>0.0</v>
      </c>
      <c r="Y32" s="141">
        <v>0.0</v>
      </c>
      <c r="Z32" s="141">
        <v>70953.14</v>
      </c>
      <c r="AA32" s="176">
        <v>264253.14</v>
      </c>
      <c r="AB32" s="143">
        <v>0.08</v>
      </c>
      <c r="AC32" s="135"/>
      <c r="AD32" s="141"/>
    </row>
    <row r="33" ht="15.75" customHeight="1">
      <c r="A33" s="139" t="s">
        <v>51</v>
      </c>
      <c r="B33" s="141">
        <v>0.0</v>
      </c>
      <c r="C33" s="141">
        <v>0.0</v>
      </c>
      <c r="D33" s="141">
        <v>0.0</v>
      </c>
      <c r="E33" s="141">
        <v>0.0</v>
      </c>
      <c r="F33" s="141">
        <v>0.0</v>
      </c>
      <c r="G33" s="141">
        <v>0.0</v>
      </c>
      <c r="H33" s="141">
        <v>0.0</v>
      </c>
      <c r="I33" s="141">
        <v>0.0</v>
      </c>
      <c r="J33" s="141">
        <v>0.0</v>
      </c>
      <c r="K33" s="141">
        <v>0.0</v>
      </c>
      <c r="L33" s="141">
        <v>0.0</v>
      </c>
      <c r="M33" s="141">
        <v>0.0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0.0</v>
      </c>
      <c r="T33" s="141">
        <v>0.0</v>
      </c>
      <c r="U33" s="141">
        <v>0.0</v>
      </c>
      <c r="V33" s="141">
        <v>0.0</v>
      </c>
      <c r="W33" s="141">
        <v>0.0</v>
      </c>
      <c r="X33" s="141">
        <v>0.0</v>
      </c>
      <c r="Y33" s="141">
        <v>0.0</v>
      </c>
      <c r="Z33" s="141">
        <v>0.0</v>
      </c>
      <c r="AA33" s="154" t="s">
        <v>56</v>
      </c>
      <c r="AB33" s="143">
        <v>0.0</v>
      </c>
      <c r="AC33" s="135"/>
      <c r="AD33" s="135"/>
    </row>
    <row r="34" ht="15.75" customHeight="1">
      <c r="A34" s="139" t="s">
        <v>52</v>
      </c>
      <c r="B34" s="141">
        <v>37113.71</v>
      </c>
      <c r="C34" s="141">
        <v>0.0</v>
      </c>
      <c r="D34" s="141">
        <v>0.0</v>
      </c>
      <c r="E34" s="141">
        <v>0.0</v>
      </c>
      <c r="F34" s="141">
        <v>0.0</v>
      </c>
      <c r="G34" s="141">
        <v>0.0</v>
      </c>
      <c r="H34" s="141">
        <v>0.0</v>
      </c>
      <c r="I34" s="141">
        <v>0.0</v>
      </c>
      <c r="J34" s="141">
        <v>0.0</v>
      </c>
      <c r="K34" s="141">
        <v>0.0</v>
      </c>
      <c r="L34" s="141">
        <v>0.0</v>
      </c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0.0</v>
      </c>
      <c r="T34" s="141">
        <v>0.0</v>
      </c>
      <c r="U34" s="141">
        <v>0.0</v>
      </c>
      <c r="V34" s="141">
        <v>0.0</v>
      </c>
      <c r="W34" s="141">
        <v>0.0</v>
      </c>
      <c r="X34" s="141">
        <v>0.0</v>
      </c>
      <c r="Y34" s="141">
        <v>0.0</v>
      </c>
      <c r="Z34" s="141">
        <v>9160.83</v>
      </c>
      <c r="AA34" s="176">
        <v>46274.54</v>
      </c>
      <c r="AB34" s="143">
        <v>0.01</v>
      </c>
      <c r="AC34" s="135"/>
      <c r="AD34" s="135"/>
    </row>
    <row r="35" ht="15.75" customHeight="1">
      <c r="A35" s="139" t="s">
        <v>53</v>
      </c>
      <c r="B35" s="141">
        <v>41245.69</v>
      </c>
      <c r="C35" s="141">
        <v>0.0</v>
      </c>
      <c r="D35" s="141">
        <v>0.0</v>
      </c>
      <c r="E35" s="141">
        <v>0.0</v>
      </c>
      <c r="F35" s="141">
        <v>0.0</v>
      </c>
      <c r="G35" s="141">
        <v>0.0</v>
      </c>
      <c r="H35" s="141">
        <v>0.0</v>
      </c>
      <c r="I35" s="141">
        <v>0.0</v>
      </c>
      <c r="J35" s="141">
        <v>0.0</v>
      </c>
      <c r="K35" s="141">
        <v>0.0</v>
      </c>
      <c r="L35" s="141">
        <v>0.0</v>
      </c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41">
        <v>0.0</v>
      </c>
      <c r="Z35" s="141">
        <v>12826.79</v>
      </c>
      <c r="AA35" s="176">
        <v>54072.48</v>
      </c>
      <c r="AB35" s="143">
        <v>0.02</v>
      </c>
      <c r="AC35" s="135"/>
      <c r="AD35" s="135"/>
    </row>
    <row r="36" ht="15.75" customHeight="1">
      <c r="A36" s="139" t="s">
        <v>54</v>
      </c>
      <c r="B36" s="141">
        <v>318.59</v>
      </c>
      <c r="C36" s="141">
        <v>0.0</v>
      </c>
      <c r="D36" s="141">
        <v>627.59</v>
      </c>
      <c r="E36" s="141">
        <v>0.0</v>
      </c>
      <c r="F36" s="141">
        <v>584.48</v>
      </c>
      <c r="G36" s="141">
        <v>627.58</v>
      </c>
      <c r="H36" s="141">
        <v>283.62</v>
      </c>
      <c r="I36" s="141">
        <v>343.97</v>
      </c>
      <c r="J36" s="141">
        <v>688.8</v>
      </c>
      <c r="K36" s="141">
        <v>283.62</v>
      </c>
      <c r="L36" s="141">
        <v>283.62</v>
      </c>
      <c r="M36" s="141">
        <v>627.59</v>
      </c>
      <c r="N36" s="141">
        <v>283.62</v>
      </c>
      <c r="O36" s="141">
        <v>627.59</v>
      </c>
      <c r="P36" s="141">
        <v>850.86</v>
      </c>
      <c r="Q36" s="141">
        <v>283.62</v>
      </c>
      <c r="R36" s="141">
        <v>283.62</v>
      </c>
      <c r="S36" s="141">
        <v>627.58</v>
      </c>
      <c r="T36" s="141">
        <v>283.62</v>
      </c>
      <c r="U36" s="141">
        <v>283.62</v>
      </c>
      <c r="V36" s="141">
        <v>627.59</v>
      </c>
      <c r="W36" s="141">
        <v>584.48</v>
      </c>
      <c r="X36" s="141">
        <v>0.0</v>
      </c>
      <c r="Y36" s="141">
        <v>0.0</v>
      </c>
      <c r="Z36" s="141">
        <v>22636.18</v>
      </c>
      <c r="AA36" s="176">
        <v>32041.84</v>
      </c>
      <c r="AB36" s="143">
        <v>0.01</v>
      </c>
      <c r="AC36" s="135"/>
      <c r="AD36" s="135"/>
    </row>
    <row r="37" ht="15.75" customHeight="1">
      <c r="A37" s="139" t="s">
        <v>55</v>
      </c>
      <c r="B37" s="141">
        <v>105500.0</v>
      </c>
      <c r="C37" s="141">
        <v>0.0</v>
      </c>
      <c r="D37" s="141">
        <v>0.0</v>
      </c>
      <c r="E37" s="141">
        <v>0.0</v>
      </c>
      <c r="F37" s="141">
        <v>0.0</v>
      </c>
      <c r="G37" s="141">
        <v>0.0</v>
      </c>
      <c r="H37" s="141">
        <v>0.0</v>
      </c>
      <c r="I37" s="141">
        <v>0.0</v>
      </c>
      <c r="J37" s="141">
        <v>0.0</v>
      </c>
      <c r="K37" s="141">
        <v>0.0</v>
      </c>
      <c r="L37" s="141">
        <v>0.0</v>
      </c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141">
        <v>0.0</v>
      </c>
      <c r="Z37" s="141">
        <v>0.0</v>
      </c>
      <c r="AA37" s="176">
        <v>105500.0</v>
      </c>
      <c r="AB37" s="143">
        <v>0.03</v>
      </c>
      <c r="AC37" s="135"/>
      <c r="AD37" s="135"/>
    </row>
    <row r="38" ht="15.75" customHeight="1">
      <c r="A38" s="139" t="s">
        <v>57</v>
      </c>
      <c r="B38" s="141">
        <v>1628.56</v>
      </c>
      <c r="C38" s="141">
        <v>0.0</v>
      </c>
      <c r="D38" s="141">
        <v>552.05</v>
      </c>
      <c r="E38" s="141">
        <v>0.0</v>
      </c>
      <c r="F38" s="141">
        <v>138.01</v>
      </c>
      <c r="G38" s="141">
        <v>690.07</v>
      </c>
      <c r="H38" s="141">
        <v>552.05</v>
      </c>
      <c r="I38" s="141">
        <v>115.01</v>
      </c>
      <c r="J38" s="141">
        <v>6900.67</v>
      </c>
      <c r="K38" s="141">
        <v>3144.38</v>
      </c>
      <c r="L38" s="141">
        <v>101.21</v>
      </c>
      <c r="M38" s="141">
        <v>381.84</v>
      </c>
      <c r="N38" s="141">
        <v>50.6</v>
      </c>
      <c r="O38" s="141">
        <v>409.44</v>
      </c>
      <c r="P38" s="141">
        <v>460.04</v>
      </c>
      <c r="Q38" s="141">
        <v>3450.33</v>
      </c>
      <c r="R38" s="141">
        <v>179.42</v>
      </c>
      <c r="S38" s="141">
        <v>460.04</v>
      </c>
      <c r="T38" s="141">
        <v>547.45</v>
      </c>
      <c r="U38" s="141">
        <v>161.02</v>
      </c>
      <c r="V38" s="141">
        <v>161.02</v>
      </c>
      <c r="W38" s="141">
        <v>828.08</v>
      </c>
      <c r="X38" s="141">
        <v>0.0</v>
      </c>
      <c r="Y38" s="141">
        <v>682.86</v>
      </c>
      <c r="Z38" s="141">
        <v>0.0</v>
      </c>
      <c r="AA38" s="176">
        <v>21594.15</v>
      </c>
      <c r="AB38" s="143">
        <v>0.01</v>
      </c>
      <c r="AC38" s="135"/>
      <c r="AD38" s="135"/>
    </row>
    <row r="39" ht="15.75" customHeight="1">
      <c r="A39" s="139" t="s">
        <v>58</v>
      </c>
      <c r="B39" s="141">
        <v>0.0</v>
      </c>
      <c r="C39" s="141">
        <v>0.0</v>
      </c>
      <c r="D39" s="141">
        <v>0.0</v>
      </c>
      <c r="E39" s="141">
        <v>0.0</v>
      </c>
      <c r="F39" s="141">
        <v>0.0</v>
      </c>
      <c r="G39" s="141">
        <v>0.0</v>
      </c>
      <c r="H39" s="141">
        <v>0.0</v>
      </c>
      <c r="I39" s="141">
        <v>3630.0</v>
      </c>
      <c r="J39" s="141">
        <v>0.0</v>
      </c>
      <c r="K39" s="141">
        <v>12284.5</v>
      </c>
      <c r="L39" s="141">
        <v>0.0</v>
      </c>
      <c r="M39" s="141">
        <v>0.0</v>
      </c>
      <c r="N39" s="141">
        <v>0.0</v>
      </c>
      <c r="O39" s="141">
        <v>14850.0</v>
      </c>
      <c r="P39" s="141">
        <v>0.0</v>
      </c>
      <c r="Q39" s="141">
        <v>0.0</v>
      </c>
      <c r="R39" s="141">
        <v>0.0</v>
      </c>
      <c r="S39" s="141">
        <v>0.0</v>
      </c>
      <c r="T39" s="141">
        <v>0.0</v>
      </c>
      <c r="U39" s="141">
        <v>1500.0</v>
      </c>
      <c r="V39" s="141">
        <v>0.0</v>
      </c>
      <c r="W39" s="141">
        <v>0.0</v>
      </c>
      <c r="X39" s="141">
        <v>0.0</v>
      </c>
      <c r="Y39" s="141">
        <v>0.0</v>
      </c>
      <c r="Z39" s="141">
        <v>0.0</v>
      </c>
      <c r="AA39" s="176">
        <v>32264.5</v>
      </c>
      <c r="AB39" s="143">
        <v>0.01</v>
      </c>
      <c r="AC39" s="135"/>
      <c r="AD39" s="135"/>
    </row>
    <row r="40" ht="15.75" customHeight="1">
      <c r="A40" s="139" t="s">
        <v>59</v>
      </c>
      <c r="B40" s="141">
        <v>0.0</v>
      </c>
      <c r="C40" s="141">
        <v>0.0</v>
      </c>
      <c r="D40" s="141">
        <v>0.0</v>
      </c>
      <c r="E40" s="141">
        <v>0.0</v>
      </c>
      <c r="F40" s="141">
        <v>0.0</v>
      </c>
      <c r="G40" s="141">
        <v>0.0</v>
      </c>
      <c r="H40" s="141">
        <v>0.0</v>
      </c>
      <c r="I40" s="141">
        <v>0.0</v>
      </c>
      <c r="J40" s="141">
        <v>0.0</v>
      </c>
      <c r="K40" s="141">
        <v>0.0</v>
      </c>
      <c r="L40" s="141">
        <v>0.0</v>
      </c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1">
        <v>0.0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141">
        <v>0.0</v>
      </c>
      <c r="Z40" s="141">
        <v>0.0</v>
      </c>
      <c r="AA40" s="154" t="s">
        <v>56</v>
      </c>
      <c r="AB40" s="143">
        <v>0.0</v>
      </c>
      <c r="AC40" s="135"/>
      <c r="AD40" s="135"/>
    </row>
    <row r="41" ht="15.75" customHeight="1">
      <c r="A41" s="139" t="s">
        <v>60</v>
      </c>
      <c r="B41" s="141">
        <v>0.0</v>
      </c>
      <c r="C41" s="141">
        <v>0.0</v>
      </c>
      <c r="D41" s="141">
        <v>0.0</v>
      </c>
      <c r="E41" s="141">
        <v>0.0</v>
      </c>
      <c r="F41" s="141">
        <v>0.0</v>
      </c>
      <c r="G41" s="141">
        <v>0.0</v>
      </c>
      <c r="H41" s="141">
        <v>0.0</v>
      </c>
      <c r="I41" s="141">
        <v>0.0</v>
      </c>
      <c r="J41" s="141">
        <v>0.0</v>
      </c>
      <c r="K41" s="141">
        <v>0.0</v>
      </c>
      <c r="L41" s="141">
        <v>0.0</v>
      </c>
      <c r="M41" s="141">
        <v>0.0</v>
      </c>
      <c r="N41" s="141">
        <v>0.0</v>
      </c>
      <c r="O41" s="141">
        <v>0.0</v>
      </c>
      <c r="P41" s="141">
        <v>0.0</v>
      </c>
      <c r="Q41" s="141">
        <v>0.0</v>
      </c>
      <c r="R41" s="141">
        <v>0.0</v>
      </c>
      <c r="S41" s="141">
        <v>0.0</v>
      </c>
      <c r="T41" s="141">
        <v>0.0</v>
      </c>
      <c r="U41" s="141">
        <v>0.0</v>
      </c>
      <c r="V41" s="141">
        <v>0.0</v>
      </c>
      <c r="W41" s="141">
        <v>0.0</v>
      </c>
      <c r="X41" s="141">
        <v>0.0</v>
      </c>
      <c r="Y41" s="141">
        <v>0.0</v>
      </c>
      <c r="Z41" s="141">
        <v>0.0</v>
      </c>
      <c r="AA41" s="154" t="s">
        <v>56</v>
      </c>
      <c r="AB41" s="143">
        <v>0.0</v>
      </c>
      <c r="AC41" s="135"/>
      <c r="AD41" s="135"/>
    </row>
    <row r="42" ht="15.75" customHeight="1">
      <c r="A42" s="139" t="s">
        <v>61</v>
      </c>
      <c r="B42" s="141">
        <v>0.0</v>
      </c>
      <c r="C42" s="141">
        <v>0.0</v>
      </c>
      <c r="D42" s="141">
        <v>0.0</v>
      </c>
      <c r="E42" s="141">
        <v>0.0</v>
      </c>
      <c r="F42" s="141">
        <v>0.0</v>
      </c>
      <c r="G42" s="141">
        <v>0.0</v>
      </c>
      <c r="H42" s="141">
        <v>0.0</v>
      </c>
      <c r="I42" s="141">
        <v>0.0</v>
      </c>
      <c r="J42" s="141">
        <v>0.0</v>
      </c>
      <c r="K42" s="141">
        <v>0.0</v>
      </c>
      <c r="L42" s="141">
        <v>0.0</v>
      </c>
      <c r="M42" s="141">
        <v>0.0</v>
      </c>
      <c r="N42" s="141">
        <v>0.0</v>
      </c>
      <c r="O42" s="141">
        <v>0.0</v>
      </c>
      <c r="P42" s="141">
        <v>0.0</v>
      </c>
      <c r="Q42" s="141">
        <v>0.0</v>
      </c>
      <c r="R42" s="141">
        <v>0.0</v>
      </c>
      <c r="S42" s="141">
        <v>0.0</v>
      </c>
      <c r="T42" s="141">
        <v>0.0</v>
      </c>
      <c r="U42" s="141">
        <v>0.0</v>
      </c>
      <c r="V42" s="141">
        <v>0.0</v>
      </c>
      <c r="W42" s="141">
        <v>0.0</v>
      </c>
      <c r="X42" s="141">
        <v>0.0</v>
      </c>
      <c r="Y42" s="141">
        <v>0.0</v>
      </c>
      <c r="Z42" s="141">
        <v>0.0</v>
      </c>
      <c r="AA42" s="154" t="s">
        <v>56</v>
      </c>
      <c r="AB42" s="143">
        <v>0.0</v>
      </c>
      <c r="AC42" s="135"/>
      <c r="AD42" s="135"/>
    </row>
    <row r="43" ht="15.75" customHeight="1">
      <c r="A43" s="139" t="s">
        <v>62</v>
      </c>
      <c r="B43" s="141">
        <v>0.0</v>
      </c>
      <c r="C43" s="141">
        <v>0.0</v>
      </c>
      <c r="D43" s="141">
        <v>0.0</v>
      </c>
      <c r="E43" s="141">
        <v>0.0</v>
      </c>
      <c r="F43" s="141">
        <v>0.0</v>
      </c>
      <c r="G43" s="141">
        <v>0.0</v>
      </c>
      <c r="H43" s="141">
        <v>14000.0</v>
      </c>
      <c r="I43" s="141">
        <v>0.0</v>
      </c>
      <c r="J43" s="141">
        <v>0.0</v>
      </c>
      <c r="K43" s="141">
        <v>0.0</v>
      </c>
      <c r="L43" s="141">
        <v>0.0</v>
      </c>
      <c r="M43" s="141">
        <v>0.0</v>
      </c>
      <c r="N43" s="141">
        <v>0.0</v>
      </c>
      <c r="O43" s="141">
        <v>0.0</v>
      </c>
      <c r="P43" s="141">
        <v>0.0</v>
      </c>
      <c r="Q43" s="141">
        <v>0.0</v>
      </c>
      <c r="R43" s="141">
        <v>0.0</v>
      </c>
      <c r="S43" s="141">
        <v>0.0</v>
      </c>
      <c r="T43" s="141">
        <v>0.0</v>
      </c>
      <c r="U43" s="141">
        <v>0.0</v>
      </c>
      <c r="V43" s="141">
        <v>0.0</v>
      </c>
      <c r="W43" s="141">
        <v>0.0</v>
      </c>
      <c r="X43" s="141">
        <v>0.0</v>
      </c>
      <c r="Y43" s="141">
        <v>500.0</v>
      </c>
      <c r="Z43" s="141">
        <v>0.0</v>
      </c>
      <c r="AA43" s="176">
        <v>14500.0</v>
      </c>
      <c r="AB43" s="143">
        <v>0.0</v>
      </c>
      <c r="AC43" s="135"/>
      <c r="AD43" s="135"/>
    </row>
    <row r="44" ht="15.75" customHeight="1">
      <c r="A44" s="139" t="s">
        <v>63</v>
      </c>
      <c r="B44" s="141">
        <v>2808.75</v>
      </c>
      <c r="C44" s="141">
        <v>0.0</v>
      </c>
      <c r="D44" s="141">
        <v>0.0</v>
      </c>
      <c r="E44" s="141">
        <v>0.0</v>
      </c>
      <c r="F44" s="141">
        <v>0.0</v>
      </c>
      <c r="G44" s="141">
        <v>3000.0</v>
      </c>
      <c r="H44" s="141">
        <v>3500.0</v>
      </c>
      <c r="I44" s="141">
        <v>1500.0</v>
      </c>
      <c r="J44" s="141">
        <v>16000.0</v>
      </c>
      <c r="K44" s="141">
        <v>0.0</v>
      </c>
      <c r="L44" s="141">
        <v>0.0</v>
      </c>
      <c r="M44" s="141">
        <v>3500.0</v>
      </c>
      <c r="N44" s="141">
        <v>0.0</v>
      </c>
      <c r="O44" s="141">
        <v>0.0</v>
      </c>
      <c r="P44" s="141">
        <v>0.0</v>
      </c>
      <c r="Q44" s="141">
        <v>0.0</v>
      </c>
      <c r="R44" s="141">
        <v>0.0</v>
      </c>
      <c r="S44" s="141">
        <v>1850.0</v>
      </c>
      <c r="T44" s="141">
        <v>3150.0</v>
      </c>
      <c r="U44" s="141">
        <v>0.0</v>
      </c>
      <c r="V44" s="141">
        <v>0.0</v>
      </c>
      <c r="W44" s="141">
        <v>0.0</v>
      </c>
      <c r="X44" s="141">
        <v>0.0</v>
      </c>
      <c r="Y44" s="141">
        <v>0.0</v>
      </c>
      <c r="Z44" s="141">
        <v>1350.0</v>
      </c>
      <c r="AA44" s="176">
        <v>36658.75</v>
      </c>
      <c r="AB44" s="143">
        <v>0.01</v>
      </c>
      <c r="AC44" s="135"/>
      <c r="AD44" s="135"/>
    </row>
    <row r="45" ht="15.75" customHeight="1">
      <c r="A45" s="139" t="s">
        <v>64</v>
      </c>
      <c r="B45" s="141">
        <v>0.0</v>
      </c>
      <c r="C45" s="141">
        <v>0.0</v>
      </c>
      <c r="D45" s="141">
        <v>0.0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141">
        <v>0.0</v>
      </c>
      <c r="Z45" s="141">
        <v>0.0</v>
      </c>
      <c r="AA45" s="154" t="s">
        <v>56</v>
      </c>
      <c r="AB45" s="143">
        <v>0.0</v>
      </c>
      <c r="AC45" s="135"/>
      <c r="AD45" s="135"/>
    </row>
    <row r="46" ht="15.75" customHeight="1">
      <c r="A46" s="139" t="s">
        <v>65</v>
      </c>
      <c r="B46" s="141">
        <v>0.0</v>
      </c>
      <c r="C46" s="141">
        <v>0.0</v>
      </c>
      <c r="D46" s="141">
        <v>0.0</v>
      </c>
      <c r="E46" s="141">
        <v>0.0</v>
      </c>
      <c r="F46" s="141">
        <v>0.0</v>
      </c>
      <c r="G46" s="141">
        <v>0.0</v>
      </c>
      <c r="H46" s="141">
        <v>0.0</v>
      </c>
      <c r="I46" s="141">
        <v>0.0</v>
      </c>
      <c r="J46" s="141">
        <v>0.0</v>
      </c>
      <c r="K46" s="141">
        <v>0.0</v>
      </c>
      <c r="L46" s="141">
        <v>0.0</v>
      </c>
      <c r="M46" s="141">
        <v>0.0</v>
      </c>
      <c r="N46" s="141">
        <v>0.0</v>
      </c>
      <c r="O46" s="141">
        <v>0.0</v>
      </c>
      <c r="P46" s="141">
        <v>0.0</v>
      </c>
      <c r="Q46" s="141">
        <v>0.0</v>
      </c>
      <c r="R46" s="141">
        <v>0.0</v>
      </c>
      <c r="S46" s="141">
        <v>0.0</v>
      </c>
      <c r="T46" s="141">
        <v>0.0</v>
      </c>
      <c r="U46" s="141">
        <v>0.0</v>
      </c>
      <c r="V46" s="141">
        <v>0.0</v>
      </c>
      <c r="W46" s="141">
        <v>0.0</v>
      </c>
      <c r="X46" s="141">
        <v>0.0</v>
      </c>
      <c r="Y46" s="141">
        <v>0.0</v>
      </c>
      <c r="Z46" s="141">
        <v>0.0</v>
      </c>
      <c r="AA46" s="154" t="s">
        <v>56</v>
      </c>
      <c r="AB46" s="143">
        <v>0.0</v>
      </c>
      <c r="AC46" s="135"/>
      <c r="AD46" s="135"/>
    </row>
    <row r="47" ht="15.75" customHeight="1">
      <c r="A47" s="135" t="s">
        <v>66</v>
      </c>
      <c r="B47" s="141">
        <v>0.0</v>
      </c>
      <c r="C47" s="141">
        <v>0.0</v>
      </c>
      <c r="D47" s="141">
        <v>0.0</v>
      </c>
      <c r="E47" s="141">
        <v>0.0</v>
      </c>
      <c r="F47" s="141">
        <v>0.0</v>
      </c>
      <c r="G47" s="141">
        <v>0.0</v>
      </c>
      <c r="H47" s="141">
        <v>0.0</v>
      </c>
      <c r="I47" s="141">
        <v>0.0</v>
      </c>
      <c r="J47" s="141">
        <v>0.0</v>
      </c>
      <c r="K47" s="141">
        <v>0.0</v>
      </c>
      <c r="L47" s="141">
        <v>0.0</v>
      </c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1">
        <v>0.0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141">
        <v>0.0</v>
      </c>
      <c r="Z47" s="141">
        <v>9800.0</v>
      </c>
      <c r="AA47" s="176">
        <v>9800.0</v>
      </c>
      <c r="AB47" s="143">
        <v>0.0</v>
      </c>
      <c r="AC47" s="135"/>
      <c r="AD47" s="135"/>
    </row>
    <row r="48" ht="15.75" customHeight="1">
      <c r="A48" s="139" t="s">
        <v>67</v>
      </c>
      <c r="B48" s="141">
        <v>48.17</v>
      </c>
      <c r="C48" s="141">
        <v>0.0</v>
      </c>
      <c r="D48" s="141">
        <v>81.74</v>
      </c>
      <c r="E48" s="141">
        <v>0.0</v>
      </c>
      <c r="F48" s="141">
        <v>8.33</v>
      </c>
      <c r="G48" s="141">
        <v>17.13</v>
      </c>
      <c r="H48" s="141">
        <v>186.65</v>
      </c>
      <c r="I48" s="141">
        <v>110.03</v>
      </c>
      <c r="J48" s="141">
        <v>796.6</v>
      </c>
      <c r="K48" s="141">
        <v>271.65</v>
      </c>
      <c r="L48" s="141">
        <v>0.0</v>
      </c>
      <c r="M48" s="141">
        <v>256.62</v>
      </c>
      <c r="N48" s="141">
        <v>93.22</v>
      </c>
      <c r="O48" s="141">
        <v>214.65</v>
      </c>
      <c r="P48" s="141">
        <v>0.0</v>
      </c>
      <c r="Q48" s="141">
        <v>76.88</v>
      </c>
      <c r="R48" s="141">
        <v>64.56</v>
      </c>
      <c r="S48" s="141">
        <v>502.85</v>
      </c>
      <c r="T48" s="141">
        <v>0.0</v>
      </c>
      <c r="U48" s="141">
        <v>0.0</v>
      </c>
      <c r="V48" s="141">
        <v>0.0</v>
      </c>
      <c r="W48" s="141">
        <v>181.78</v>
      </c>
      <c r="X48" s="141">
        <v>0.0</v>
      </c>
      <c r="Y48" s="141">
        <v>25.14</v>
      </c>
      <c r="Z48" s="141">
        <v>5347.97</v>
      </c>
      <c r="AA48" s="176">
        <v>8283.97</v>
      </c>
      <c r="AB48" s="143">
        <v>0.0</v>
      </c>
      <c r="AC48" s="135"/>
      <c r="AD48" s="135"/>
    </row>
    <row r="49" ht="15.75" customHeight="1">
      <c r="A49" s="139" t="s">
        <v>68</v>
      </c>
      <c r="B49" s="141">
        <v>531.75</v>
      </c>
      <c r="C49" s="141">
        <v>0.0</v>
      </c>
      <c r="D49" s="141">
        <v>72.26</v>
      </c>
      <c r="E49" s="141">
        <v>0.0</v>
      </c>
      <c r="F49" s="141">
        <v>104.32</v>
      </c>
      <c r="G49" s="141">
        <v>94.54</v>
      </c>
      <c r="H49" s="141">
        <v>172.86</v>
      </c>
      <c r="I49" s="141">
        <v>62.89</v>
      </c>
      <c r="J49" s="141">
        <v>0.0</v>
      </c>
      <c r="K49" s="141">
        <v>162.78</v>
      </c>
      <c r="L49" s="141">
        <v>0.0</v>
      </c>
      <c r="M49" s="141">
        <v>170.88</v>
      </c>
      <c r="N49" s="141">
        <v>88.46</v>
      </c>
      <c r="O49" s="141">
        <v>130.19</v>
      </c>
      <c r="P49" s="141">
        <v>0.0</v>
      </c>
      <c r="Q49" s="141">
        <v>164.76</v>
      </c>
      <c r="R49" s="141">
        <v>104.16</v>
      </c>
      <c r="S49" s="141">
        <v>337.44</v>
      </c>
      <c r="T49" s="141">
        <v>0.0</v>
      </c>
      <c r="U49" s="141">
        <v>0.0</v>
      </c>
      <c r="V49" s="141">
        <v>0.0</v>
      </c>
      <c r="W49" s="141">
        <v>206.4</v>
      </c>
      <c r="X49" s="141">
        <v>0.0</v>
      </c>
      <c r="Y49" s="141">
        <v>190.93</v>
      </c>
      <c r="Z49" s="141">
        <v>1464.12</v>
      </c>
      <c r="AA49" s="176">
        <v>4058.74</v>
      </c>
      <c r="AB49" s="143">
        <v>0.0</v>
      </c>
      <c r="AC49" s="135"/>
      <c r="AD49" s="135"/>
    </row>
    <row r="50" ht="15.75" customHeight="1">
      <c r="A50" s="139" t="s">
        <v>69</v>
      </c>
      <c r="B50" s="141">
        <v>0.0</v>
      </c>
      <c r="C50" s="141">
        <v>0.0</v>
      </c>
      <c r="D50" s="141">
        <v>0.0</v>
      </c>
      <c r="E50" s="141">
        <v>6000.0</v>
      </c>
      <c r="F50" s="141">
        <v>0.0</v>
      </c>
      <c r="G50" s="141">
        <v>0.0</v>
      </c>
      <c r="H50" s="141">
        <v>0.0</v>
      </c>
      <c r="I50" s="141">
        <v>0.0</v>
      </c>
      <c r="J50" s="141">
        <v>0.0</v>
      </c>
      <c r="K50" s="141">
        <v>0.0</v>
      </c>
      <c r="L50" s="141">
        <v>0.0</v>
      </c>
      <c r="M50" s="141">
        <v>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0.0</v>
      </c>
      <c r="T50" s="141">
        <v>0.0</v>
      </c>
      <c r="U50" s="141">
        <v>0.0</v>
      </c>
      <c r="V50" s="141">
        <v>0.0</v>
      </c>
      <c r="W50" s="141">
        <v>0.0</v>
      </c>
      <c r="X50" s="141">
        <v>0.0</v>
      </c>
      <c r="Y50" s="141">
        <v>0.0</v>
      </c>
      <c r="Z50" s="141">
        <v>0.0</v>
      </c>
      <c r="AA50" s="176">
        <v>6000.0</v>
      </c>
      <c r="AB50" s="143">
        <v>0.0</v>
      </c>
      <c r="AC50" s="135"/>
      <c r="AD50" s="135"/>
    </row>
    <row r="51" ht="15.75" customHeight="1">
      <c r="A51" s="139" t="s">
        <v>70</v>
      </c>
      <c r="B51" s="141">
        <v>0.0</v>
      </c>
      <c r="C51" s="141">
        <v>0.0</v>
      </c>
      <c r="D51" s="141">
        <v>0.0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1">
        <v>0.0</v>
      </c>
      <c r="Q51" s="141">
        <v>0.0</v>
      </c>
      <c r="R51" s="141">
        <v>0.0</v>
      </c>
      <c r="S51" s="141">
        <v>0.0</v>
      </c>
      <c r="T51" s="141">
        <v>0.0</v>
      </c>
      <c r="U51" s="141">
        <v>0.0</v>
      </c>
      <c r="V51" s="141">
        <v>0.0</v>
      </c>
      <c r="W51" s="141">
        <v>0.0</v>
      </c>
      <c r="X51" s="141">
        <v>0.0</v>
      </c>
      <c r="Y51" s="141">
        <v>0.0</v>
      </c>
      <c r="Z51" s="141">
        <v>1293.0</v>
      </c>
      <c r="AA51" s="176">
        <v>1293.0</v>
      </c>
      <c r="AB51" s="143">
        <v>0.0</v>
      </c>
      <c r="AC51" s="135"/>
      <c r="AD51" s="135"/>
    </row>
    <row r="52" ht="15.75" customHeight="1">
      <c r="A52" s="139" t="s">
        <v>273</v>
      </c>
      <c r="B52" s="141">
        <v>0.0</v>
      </c>
      <c r="C52" s="141">
        <v>0.0</v>
      </c>
      <c r="D52" s="141">
        <v>0.0</v>
      </c>
      <c r="E52" s="141">
        <v>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141">
        <v>0.0</v>
      </c>
      <c r="N52" s="141">
        <v>0.0</v>
      </c>
      <c r="O52" s="141">
        <v>0.0</v>
      </c>
      <c r="P52" s="141">
        <v>0.0</v>
      </c>
      <c r="Q52" s="141">
        <v>0.0</v>
      </c>
      <c r="R52" s="141">
        <v>0.0</v>
      </c>
      <c r="S52" s="141">
        <v>0.0</v>
      </c>
      <c r="T52" s="141">
        <v>0.0</v>
      </c>
      <c r="U52" s="141">
        <v>0.0</v>
      </c>
      <c r="V52" s="141">
        <v>0.0</v>
      </c>
      <c r="W52" s="141">
        <v>0.0</v>
      </c>
      <c r="X52" s="141">
        <v>0.0</v>
      </c>
      <c r="Y52" s="141">
        <v>0.0</v>
      </c>
      <c r="Z52" s="141">
        <v>0.0</v>
      </c>
      <c r="AA52" s="154" t="s">
        <v>56</v>
      </c>
      <c r="AB52" s="143">
        <v>0.0</v>
      </c>
      <c r="AC52" s="135"/>
      <c r="AD52" s="135"/>
    </row>
    <row r="53" ht="15.75" customHeight="1">
      <c r="A53" s="139" t="s">
        <v>71</v>
      </c>
      <c r="B53" s="141">
        <v>0.0</v>
      </c>
      <c r="C53" s="141">
        <v>0.0</v>
      </c>
      <c r="D53" s="141">
        <v>0.0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1">
        <v>0.0</v>
      </c>
      <c r="Q53" s="141">
        <v>0.0</v>
      </c>
      <c r="R53" s="141">
        <v>0.0</v>
      </c>
      <c r="S53" s="141">
        <v>0.0</v>
      </c>
      <c r="T53" s="141">
        <v>0.0</v>
      </c>
      <c r="U53" s="141">
        <v>0.0</v>
      </c>
      <c r="V53" s="141">
        <v>0.0</v>
      </c>
      <c r="W53" s="141">
        <v>0.0</v>
      </c>
      <c r="X53" s="141">
        <v>0.0</v>
      </c>
      <c r="Y53" s="141">
        <v>0.0</v>
      </c>
      <c r="Z53" s="141">
        <v>0.0</v>
      </c>
      <c r="AA53" s="154" t="s">
        <v>56</v>
      </c>
      <c r="AB53" s="143">
        <v>0.0</v>
      </c>
      <c r="AC53" s="135"/>
      <c r="AD53" s="135"/>
    </row>
    <row r="54" ht="15.75" customHeight="1">
      <c r="A54" s="139" t="s">
        <v>72</v>
      </c>
      <c r="B54" s="141">
        <v>0.0</v>
      </c>
      <c r="C54" s="141">
        <v>0.0</v>
      </c>
      <c r="D54" s="141">
        <v>0.0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2166.67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1">
        <v>0.0</v>
      </c>
      <c r="Q54" s="141">
        <v>0.0</v>
      </c>
      <c r="R54" s="141">
        <v>0.0</v>
      </c>
      <c r="S54" s="141">
        <v>0.0</v>
      </c>
      <c r="T54" s="141">
        <v>0.0</v>
      </c>
      <c r="U54" s="141">
        <v>0.0</v>
      </c>
      <c r="V54" s="141">
        <v>0.0</v>
      </c>
      <c r="W54" s="141">
        <v>0.0</v>
      </c>
      <c r="X54" s="141">
        <v>0.0</v>
      </c>
      <c r="Y54" s="141">
        <v>0.0</v>
      </c>
      <c r="Z54" s="141">
        <v>0.0</v>
      </c>
      <c r="AA54" s="176">
        <v>2166.67</v>
      </c>
      <c r="AB54" s="143">
        <v>0.0</v>
      </c>
      <c r="AC54" s="135"/>
      <c r="AD54" s="135"/>
    </row>
    <row r="55" ht="15.75" customHeight="1">
      <c r="A55" s="139" t="s">
        <v>73</v>
      </c>
      <c r="B55" s="141">
        <v>0.0</v>
      </c>
      <c r="C55" s="141">
        <v>0.0</v>
      </c>
      <c r="D55" s="141">
        <v>0.0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1">
        <v>0.0</v>
      </c>
      <c r="Q55" s="141">
        <v>0.0</v>
      </c>
      <c r="R55" s="141">
        <v>0.0</v>
      </c>
      <c r="S55" s="141">
        <v>0.0</v>
      </c>
      <c r="T55" s="141">
        <v>0.0</v>
      </c>
      <c r="U55" s="141">
        <v>0.0</v>
      </c>
      <c r="V55" s="141">
        <v>0.0</v>
      </c>
      <c r="W55" s="141">
        <v>0.0</v>
      </c>
      <c r="X55" s="141">
        <v>0.0</v>
      </c>
      <c r="Y55" s="141">
        <v>0.0</v>
      </c>
      <c r="Z55" s="141">
        <v>0.0</v>
      </c>
      <c r="AA55" s="154" t="s">
        <v>56</v>
      </c>
      <c r="AB55" s="143">
        <v>0.0</v>
      </c>
      <c r="AC55" s="135"/>
      <c r="AD55" s="135"/>
    </row>
    <row r="56" ht="15.75" customHeight="1">
      <c r="A56" s="139" t="s">
        <v>74</v>
      </c>
      <c r="B56" s="141">
        <v>0.0</v>
      </c>
      <c r="C56" s="141">
        <v>0.0</v>
      </c>
      <c r="D56" s="141">
        <v>0.0</v>
      </c>
      <c r="E56" s="141">
        <v>0.0</v>
      </c>
      <c r="F56" s="141">
        <v>0.0</v>
      </c>
      <c r="G56" s="141">
        <v>0.0</v>
      </c>
      <c r="H56" s="141">
        <v>0.0</v>
      </c>
      <c r="I56" s="141">
        <v>0.0</v>
      </c>
      <c r="J56" s="141">
        <v>0.0</v>
      </c>
      <c r="K56" s="141">
        <v>0.0</v>
      </c>
      <c r="L56" s="141">
        <v>0.0</v>
      </c>
      <c r="M56" s="141">
        <v>0.0</v>
      </c>
      <c r="N56" s="141">
        <v>0.0</v>
      </c>
      <c r="O56" s="141">
        <v>0.0</v>
      </c>
      <c r="P56" s="141">
        <v>0.0</v>
      </c>
      <c r="Q56" s="141">
        <v>0.0</v>
      </c>
      <c r="R56" s="141">
        <v>0.0</v>
      </c>
      <c r="S56" s="141">
        <v>0.0</v>
      </c>
      <c r="T56" s="141">
        <v>0.0</v>
      </c>
      <c r="U56" s="141">
        <v>0.0</v>
      </c>
      <c r="V56" s="141">
        <v>0.0</v>
      </c>
      <c r="W56" s="141">
        <v>0.0</v>
      </c>
      <c r="X56" s="141">
        <v>0.0</v>
      </c>
      <c r="Y56" s="141">
        <v>0.0</v>
      </c>
      <c r="Z56" s="141">
        <v>0.0</v>
      </c>
      <c r="AA56" s="154" t="s">
        <v>56</v>
      </c>
      <c r="AB56" s="143">
        <v>0.0</v>
      </c>
      <c r="AC56" s="135"/>
      <c r="AD56" s="135"/>
    </row>
    <row r="57" ht="15.75" customHeight="1">
      <c r="A57" s="139" t="s">
        <v>75</v>
      </c>
      <c r="B57" s="141">
        <v>0.0</v>
      </c>
      <c r="C57" s="141">
        <v>0.0</v>
      </c>
      <c r="D57" s="141">
        <v>0.0</v>
      </c>
      <c r="E57" s="141">
        <v>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0.0</v>
      </c>
      <c r="K57" s="141">
        <v>0.0</v>
      </c>
      <c r="L57" s="141">
        <v>0.0</v>
      </c>
      <c r="M57" s="141">
        <v>0.0</v>
      </c>
      <c r="N57" s="141">
        <v>0.0</v>
      </c>
      <c r="O57" s="141">
        <v>0.0</v>
      </c>
      <c r="P57" s="141">
        <v>0.0</v>
      </c>
      <c r="Q57" s="141">
        <v>0.0</v>
      </c>
      <c r="R57" s="141">
        <v>0.0</v>
      </c>
      <c r="S57" s="141">
        <v>0.0</v>
      </c>
      <c r="T57" s="141">
        <v>0.0</v>
      </c>
      <c r="U57" s="141">
        <v>0.0</v>
      </c>
      <c r="V57" s="141">
        <v>0.0</v>
      </c>
      <c r="W57" s="141">
        <v>0.0</v>
      </c>
      <c r="X57" s="141">
        <v>0.0</v>
      </c>
      <c r="Y57" s="141">
        <v>0.0</v>
      </c>
      <c r="Z57" s="141">
        <v>0.0</v>
      </c>
      <c r="AA57" s="154" t="s">
        <v>56</v>
      </c>
      <c r="AB57" s="143">
        <v>0.0</v>
      </c>
      <c r="AC57" s="135"/>
      <c r="AD57" s="135"/>
    </row>
    <row r="58" ht="15.75" customHeight="1">
      <c r="A58" s="139" t="s">
        <v>76</v>
      </c>
      <c r="B58" s="141">
        <v>0.0</v>
      </c>
      <c r="C58" s="141">
        <v>0.0</v>
      </c>
      <c r="D58" s="141">
        <v>0.0</v>
      </c>
      <c r="E58" s="141">
        <v>0.0</v>
      </c>
      <c r="F58" s="141">
        <v>0.0</v>
      </c>
      <c r="G58" s="141">
        <v>0.0</v>
      </c>
      <c r="H58" s="141">
        <v>0.0</v>
      </c>
      <c r="I58" s="141">
        <v>0.0</v>
      </c>
      <c r="J58" s="141">
        <v>1191.88</v>
      </c>
      <c r="K58" s="141">
        <v>0.0</v>
      </c>
      <c r="L58" s="141">
        <v>0.0</v>
      </c>
      <c r="M58" s="141">
        <v>0.0</v>
      </c>
      <c r="N58" s="141">
        <v>0.0</v>
      </c>
      <c r="O58" s="141">
        <v>0.0</v>
      </c>
      <c r="P58" s="141">
        <v>0.0</v>
      </c>
      <c r="Q58" s="141">
        <v>799.5</v>
      </c>
      <c r="R58" s="141">
        <v>0.0</v>
      </c>
      <c r="S58" s="141">
        <v>0.0</v>
      </c>
      <c r="T58" s="141">
        <v>0.0</v>
      </c>
      <c r="U58" s="141">
        <v>0.0</v>
      </c>
      <c r="V58" s="141">
        <v>0.0</v>
      </c>
      <c r="W58" s="141">
        <v>0.0</v>
      </c>
      <c r="X58" s="141">
        <v>0.0</v>
      </c>
      <c r="Y58" s="141">
        <v>0.0</v>
      </c>
      <c r="Z58" s="141">
        <v>2134.38</v>
      </c>
      <c r="AA58" s="176">
        <v>4125.76</v>
      </c>
      <c r="AB58" s="143">
        <v>0.0</v>
      </c>
      <c r="AC58" s="135"/>
      <c r="AD58" s="135"/>
    </row>
    <row r="59" ht="15.75" customHeight="1">
      <c r="A59" s="139" t="s">
        <v>77</v>
      </c>
      <c r="B59" s="141">
        <v>0.0</v>
      </c>
      <c r="C59" s="141">
        <v>0.0</v>
      </c>
      <c r="D59" s="141">
        <v>0.0</v>
      </c>
      <c r="E59" s="141">
        <v>0.0</v>
      </c>
      <c r="F59" s="141">
        <v>0.0</v>
      </c>
      <c r="G59" s="141">
        <v>0.0</v>
      </c>
      <c r="H59" s="141">
        <v>0.0</v>
      </c>
      <c r="I59" s="141">
        <v>0.0</v>
      </c>
      <c r="J59" s="141">
        <v>0.0</v>
      </c>
      <c r="K59" s="141">
        <v>0.0</v>
      </c>
      <c r="L59" s="141">
        <v>0.0</v>
      </c>
      <c r="M59" s="141">
        <v>0.0</v>
      </c>
      <c r="N59" s="141">
        <v>0.0</v>
      </c>
      <c r="O59" s="141">
        <v>0.0</v>
      </c>
      <c r="P59" s="141">
        <v>0.0</v>
      </c>
      <c r="Q59" s="141">
        <v>0.0</v>
      </c>
      <c r="R59" s="141">
        <v>0.0</v>
      </c>
      <c r="S59" s="141">
        <v>0.0</v>
      </c>
      <c r="T59" s="141">
        <v>0.0</v>
      </c>
      <c r="U59" s="141">
        <v>0.0</v>
      </c>
      <c r="V59" s="141">
        <v>0.0</v>
      </c>
      <c r="W59" s="141">
        <v>0.0</v>
      </c>
      <c r="X59" s="141">
        <v>0.0</v>
      </c>
      <c r="Y59" s="141">
        <v>0.0</v>
      </c>
      <c r="Z59" s="141">
        <v>1110.75</v>
      </c>
      <c r="AA59" s="176">
        <v>1110.75</v>
      </c>
      <c r="AB59" s="143">
        <v>0.0</v>
      </c>
      <c r="AC59" s="135"/>
      <c r="AD59" s="135"/>
    </row>
    <row r="60" ht="15.75" customHeight="1">
      <c r="A60" s="139" t="s">
        <v>78</v>
      </c>
      <c r="B60" s="141">
        <v>0.0</v>
      </c>
      <c r="C60" s="141">
        <v>0.0</v>
      </c>
      <c r="D60" s="141">
        <v>0.0</v>
      </c>
      <c r="E60" s="141">
        <v>0.0</v>
      </c>
      <c r="F60" s="141">
        <v>0.0</v>
      </c>
      <c r="G60" s="141">
        <v>0.0</v>
      </c>
      <c r="H60" s="141">
        <v>0.0</v>
      </c>
      <c r="I60" s="141">
        <v>0.0</v>
      </c>
      <c r="J60" s="141">
        <v>0.0</v>
      </c>
      <c r="K60" s="141">
        <v>0.0</v>
      </c>
      <c r="L60" s="141">
        <v>0.0</v>
      </c>
      <c r="M60" s="141">
        <v>0.0</v>
      </c>
      <c r="N60" s="141">
        <v>0.0</v>
      </c>
      <c r="O60" s="141">
        <v>0.0</v>
      </c>
      <c r="P60" s="141">
        <v>0.0</v>
      </c>
      <c r="Q60" s="141">
        <v>0.0</v>
      </c>
      <c r="R60" s="141">
        <v>0.0</v>
      </c>
      <c r="S60" s="141">
        <v>0.0</v>
      </c>
      <c r="T60" s="141">
        <v>0.0</v>
      </c>
      <c r="U60" s="141">
        <v>0.0</v>
      </c>
      <c r="V60" s="141">
        <v>0.0</v>
      </c>
      <c r="W60" s="141">
        <v>0.0</v>
      </c>
      <c r="X60" s="141">
        <v>0.0</v>
      </c>
      <c r="Y60" s="141">
        <v>0.0</v>
      </c>
      <c r="Z60" s="141">
        <v>2934.96</v>
      </c>
      <c r="AA60" s="176">
        <v>2934.96</v>
      </c>
      <c r="AB60" s="143">
        <v>0.0</v>
      </c>
      <c r="AC60" s="135"/>
      <c r="AD60" s="135"/>
    </row>
    <row r="61" ht="15.75" customHeight="1">
      <c r="A61" s="139" t="s">
        <v>79</v>
      </c>
      <c r="B61" s="141">
        <v>0.0</v>
      </c>
      <c r="C61" s="141">
        <v>0.0</v>
      </c>
      <c r="D61" s="141">
        <v>0.0</v>
      </c>
      <c r="E61" s="141">
        <v>0.0</v>
      </c>
      <c r="F61" s="141">
        <v>0.0</v>
      </c>
      <c r="G61" s="141">
        <v>0.0</v>
      </c>
      <c r="H61" s="141">
        <v>0.0</v>
      </c>
      <c r="I61" s="141">
        <v>0.0</v>
      </c>
      <c r="J61" s="141">
        <v>0.0</v>
      </c>
      <c r="K61" s="141">
        <v>0.0</v>
      </c>
      <c r="L61" s="141">
        <v>0.0</v>
      </c>
      <c r="M61" s="141">
        <v>0.0</v>
      </c>
      <c r="N61" s="141">
        <v>0.0</v>
      </c>
      <c r="O61" s="141">
        <v>0.0</v>
      </c>
      <c r="P61" s="141">
        <v>0.0</v>
      </c>
      <c r="Q61" s="141">
        <v>0.0</v>
      </c>
      <c r="R61" s="141">
        <v>0.0</v>
      </c>
      <c r="S61" s="141">
        <v>0.0</v>
      </c>
      <c r="T61" s="141">
        <v>0.0</v>
      </c>
      <c r="U61" s="141">
        <v>0.0</v>
      </c>
      <c r="V61" s="141">
        <v>0.0</v>
      </c>
      <c r="W61" s="141">
        <v>0.0</v>
      </c>
      <c r="X61" s="141">
        <v>0.0</v>
      </c>
      <c r="Y61" s="141">
        <v>0.0</v>
      </c>
      <c r="Z61" s="141">
        <v>0.0</v>
      </c>
      <c r="AA61" s="154" t="s">
        <v>56</v>
      </c>
      <c r="AB61" s="143">
        <v>0.0</v>
      </c>
      <c r="AC61" s="135"/>
      <c r="AD61" s="135"/>
    </row>
    <row r="62" ht="15.75" customHeight="1">
      <c r="A62" s="139" t="s">
        <v>80</v>
      </c>
      <c r="B62" s="141">
        <v>0.0</v>
      </c>
      <c r="C62" s="141">
        <v>0.0</v>
      </c>
      <c r="D62" s="141">
        <v>0.0</v>
      </c>
      <c r="E62" s="141">
        <v>0.0</v>
      </c>
      <c r="F62" s="141">
        <v>0.0</v>
      </c>
      <c r="G62" s="141">
        <v>0.0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0.0</v>
      </c>
      <c r="N62" s="141">
        <v>0.0</v>
      </c>
      <c r="O62" s="141">
        <v>0.0</v>
      </c>
      <c r="P62" s="141">
        <v>0.0</v>
      </c>
      <c r="Q62" s="141">
        <v>0.0</v>
      </c>
      <c r="R62" s="141">
        <v>0.0</v>
      </c>
      <c r="S62" s="141">
        <v>0.0</v>
      </c>
      <c r="T62" s="141">
        <v>0.0</v>
      </c>
      <c r="U62" s="141">
        <v>0.0</v>
      </c>
      <c r="V62" s="141">
        <v>0.0</v>
      </c>
      <c r="W62" s="141">
        <v>0.0</v>
      </c>
      <c r="X62" s="141">
        <v>0.0</v>
      </c>
      <c r="Y62" s="141">
        <v>0.0</v>
      </c>
      <c r="Z62" s="141">
        <v>2075.07</v>
      </c>
      <c r="AA62" s="176">
        <v>2075.07</v>
      </c>
      <c r="AB62" s="143">
        <v>0.0</v>
      </c>
      <c r="AC62" s="135"/>
      <c r="AD62" s="135"/>
    </row>
    <row r="63" ht="15.75" customHeight="1">
      <c r="A63" s="139" t="s">
        <v>81</v>
      </c>
      <c r="B63" s="141">
        <v>0.0</v>
      </c>
      <c r="C63" s="141">
        <v>0.0</v>
      </c>
      <c r="D63" s="141">
        <v>0.0</v>
      </c>
      <c r="E63" s="141">
        <v>0.0</v>
      </c>
      <c r="F63" s="141">
        <v>0.0</v>
      </c>
      <c r="G63" s="141">
        <v>2860.0</v>
      </c>
      <c r="H63" s="141">
        <v>0.0</v>
      </c>
      <c r="I63" s="141">
        <v>0.0</v>
      </c>
      <c r="J63" s="141">
        <v>0.0</v>
      </c>
      <c r="K63" s="141">
        <v>0.0</v>
      </c>
      <c r="L63" s="141">
        <v>0.0</v>
      </c>
      <c r="M63" s="141">
        <v>0.0</v>
      </c>
      <c r="N63" s="141">
        <v>0.0</v>
      </c>
      <c r="O63" s="141">
        <v>0.0</v>
      </c>
      <c r="P63" s="141">
        <v>0.0</v>
      </c>
      <c r="Q63" s="141">
        <v>0.0</v>
      </c>
      <c r="R63" s="141">
        <v>0.0</v>
      </c>
      <c r="S63" s="141">
        <v>0.0</v>
      </c>
      <c r="T63" s="141">
        <v>0.0</v>
      </c>
      <c r="U63" s="141">
        <v>0.0</v>
      </c>
      <c r="V63" s="141">
        <v>0.0</v>
      </c>
      <c r="W63" s="141">
        <v>0.0</v>
      </c>
      <c r="X63" s="141">
        <v>0.0</v>
      </c>
      <c r="Y63" s="141">
        <v>0.0</v>
      </c>
      <c r="Z63" s="141">
        <v>0.0</v>
      </c>
      <c r="AA63" s="176">
        <v>2860.0</v>
      </c>
      <c r="AB63" s="143">
        <v>0.0</v>
      </c>
      <c r="AC63" s="135"/>
      <c r="AD63" s="135"/>
    </row>
    <row r="64" ht="15.75" customHeight="1">
      <c r="A64" s="139" t="s">
        <v>82</v>
      </c>
      <c r="B64" s="141">
        <v>1010.0</v>
      </c>
      <c r="C64" s="141">
        <v>1010.0</v>
      </c>
      <c r="D64" s="141">
        <v>1010.0</v>
      </c>
      <c r="E64" s="141">
        <v>0.0</v>
      </c>
      <c r="F64" s="141">
        <v>686.36</v>
      </c>
      <c r="G64" s="141">
        <v>1010.0</v>
      </c>
      <c r="H64" s="141">
        <v>1010.0</v>
      </c>
      <c r="I64" s="141">
        <v>1010.0</v>
      </c>
      <c r="J64" s="141">
        <v>1010.0</v>
      </c>
      <c r="K64" s="141">
        <v>1010.0</v>
      </c>
      <c r="L64" s="141">
        <v>1010.0</v>
      </c>
      <c r="M64" s="141">
        <v>1010.0</v>
      </c>
      <c r="N64" s="141">
        <v>1010.0</v>
      </c>
      <c r="O64" s="141">
        <v>1010.0</v>
      </c>
      <c r="P64" s="141">
        <v>1010.0</v>
      </c>
      <c r="Q64" s="141">
        <v>1010.0</v>
      </c>
      <c r="R64" s="141">
        <v>1010.0</v>
      </c>
      <c r="S64" s="141">
        <v>1010.0</v>
      </c>
      <c r="T64" s="141">
        <v>1010.0</v>
      </c>
      <c r="U64" s="141">
        <v>1010.0</v>
      </c>
      <c r="V64" s="141">
        <v>1010.0</v>
      </c>
      <c r="W64" s="141">
        <v>1010.0</v>
      </c>
      <c r="X64" s="141">
        <v>1010.0</v>
      </c>
      <c r="Y64" s="141">
        <v>710.0</v>
      </c>
      <c r="Z64" s="141">
        <v>1348.38</v>
      </c>
      <c r="AA64" s="176">
        <v>23954.74</v>
      </c>
      <c r="AB64" s="143">
        <v>0.01</v>
      </c>
      <c r="AC64" s="135"/>
      <c r="AD64" s="135"/>
    </row>
    <row r="65" ht="15.75" customHeight="1">
      <c r="A65" s="139" t="s">
        <v>83</v>
      </c>
      <c r="B65" s="141">
        <v>0.0</v>
      </c>
      <c r="C65" s="141">
        <v>0.0</v>
      </c>
      <c r="D65" s="141">
        <v>0.0</v>
      </c>
      <c r="E65" s="141">
        <v>0.0</v>
      </c>
      <c r="F65" s="141">
        <v>0.0</v>
      </c>
      <c r="G65" s="141">
        <v>0.0</v>
      </c>
      <c r="H65" s="141">
        <v>0.0</v>
      </c>
      <c r="I65" s="141">
        <v>0.0</v>
      </c>
      <c r="J65" s="141">
        <v>0.0</v>
      </c>
      <c r="K65" s="141">
        <v>0.0</v>
      </c>
      <c r="L65" s="141">
        <v>0.0</v>
      </c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0.0</v>
      </c>
      <c r="T65" s="141">
        <v>0.0</v>
      </c>
      <c r="U65" s="141">
        <v>0.0</v>
      </c>
      <c r="V65" s="141">
        <v>0.0</v>
      </c>
      <c r="W65" s="141">
        <v>0.0</v>
      </c>
      <c r="X65" s="141">
        <v>0.0</v>
      </c>
      <c r="Y65" s="141">
        <v>0.0</v>
      </c>
      <c r="Z65" s="141">
        <v>7279.19</v>
      </c>
      <c r="AA65" s="176">
        <v>7279.19</v>
      </c>
      <c r="AB65" s="143">
        <v>0.0</v>
      </c>
      <c r="AC65" s="135"/>
      <c r="AD65" s="135"/>
    </row>
    <row r="66" ht="15.75" customHeight="1">
      <c r="A66" s="139" t="s">
        <v>84</v>
      </c>
      <c r="B66" s="141">
        <v>0.0</v>
      </c>
      <c r="C66" s="141">
        <v>0.0</v>
      </c>
      <c r="D66" s="141">
        <v>0.0</v>
      </c>
      <c r="E66" s="141">
        <v>0.0</v>
      </c>
      <c r="F66" s="141">
        <v>0.0</v>
      </c>
      <c r="G66" s="141">
        <v>0.0</v>
      </c>
      <c r="H66" s="141">
        <v>0.0</v>
      </c>
      <c r="I66" s="141">
        <v>0.0</v>
      </c>
      <c r="J66" s="141">
        <v>0.0</v>
      </c>
      <c r="K66" s="141">
        <v>0.0</v>
      </c>
      <c r="L66" s="141">
        <v>0.0</v>
      </c>
      <c r="M66" s="141">
        <v>0.0</v>
      </c>
      <c r="N66" s="141">
        <v>0.0</v>
      </c>
      <c r="O66" s="141">
        <v>0.0</v>
      </c>
      <c r="P66" s="141">
        <v>0.0</v>
      </c>
      <c r="Q66" s="141">
        <v>0.0</v>
      </c>
      <c r="R66" s="141">
        <v>0.0</v>
      </c>
      <c r="S66" s="141">
        <v>0.0</v>
      </c>
      <c r="T66" s="141">
        <v>0.0</v>
      </c>
      <c r="U66" s="141">
        <v>0.0</v>
      </c>
      <c r="V66" s="141">
        <v>0.0</v>
      </c>
      <c r="W66" s="141">
        <v>0.0</v>
      </c>
      <c r="X66" s="141">
        <v>0.0</v>
      </c>
      <c r="Y66" s="141">
        <v>0.0</v>
      </c>
      <c r="Z66" s="141">
        <v>505000.0</v>
      </c>
      <c r="AA66" s="176">
        <v>505000.0</v>
      </c>
      <c r="AB66" s="143">
        <v>0.16</v>
      </c>
      <c r="AC66" s="135"/>
      <c r="AD66" s="135"/>
    </row>
    <row r="67" ht="15.75" customHeight="1">
      <c r="A67" s="139" t="s">
        <v>85</v>
      </c>
      <c r="B67" s="141">
        <v>5228.84</v>
      </c>
      <c r="C67" s="141">
        <v>0.0</v>
      </c>
      <c r="D67" s="141">
        <v>2125.34</v>
      </c>
      <c r="E67" s="141">
        <v>0.0</v>
      </c>
      <c r="F67" s="141">
        <v>1077.87</v>
      </c>
      <c r="G67" s="141">
        <v>2121.8</v>
      </c>
      <c r="H67" s="141">
        <v>2192.98</v>
      </c>
      <c r="I67" s="141">
        <v>1387.04</v>
      </c>
      <c r="J67" s="141">
        <v>11532.24</v>
      </c>
      <c r="K67" s="141">
        <v>3942.88</v>
      </c>
      <c r="L67" s="141">
        <v>517.0</v>
      </c>
      <c r="M67" s="141">
        <v>4402.43</v>
      </c>
      <c r="N67" s="141">
        <v>0.0</v>
      </c>
      <c r="O67" s="141">
        <v>2155.7</v>
      </c>
      <c r="P67" s="141">
        <v>1755.03</v>
      </c>
      <c r="Q67" s="141">
        <v>22436.49</v>
      </c>
      <c r="R67" s="141">
        <v>1369.94</v>
      </c>
      <c r="S67" s="141">
        <v>4229.09</v>
      </c>
      <c r="T67" s="141">
        <v>6049.18</v>
      </c>
      <c r="U67" s="141">
        <v>3111.77</v>
      </c>
      <c r="V67" s="141">
        <v>836.62</v>
      </c>
      <c r="W67" s="141">
        <v>6553.11</v>
      </c>
      <c r="X67" s="141">
        <v>1930.55</v>
      </c>
      <c r="Y67" s="141">
        <v>6182.93</v>
      </c>
      <c r="Z67" s="141">
        <v>31054.16</v>
      </c>
      <c r="AA67" s="176">
        <v>122192.99</v>
      </c>
      <c r="AB67" s="143">
        <v>0.04</v>
      </c>
      <c r="AC67" s="135"/>
      <c r="AD67" s="135"/>
    </row>
    <row r="68" ht="15.75" customHeight="1">
      <c r="A68" s="139" t="s">
        <v>86</v>
      </c>
      <c r="B68" s="141">
        <v>2382.96</v>
      </c>
      <c r="C68" s="141">
        <v>0.0</v>
      </c>
      <c r="D68" s="141">
        <v>964.38</v>
      </c>
      <c r="E68" s="141">
        <v>0.0</v>
      </c>
      <c r="F68" s="141">
        <v>505.86</v>
      </c>
      <c r="G68" s="141">
        <v>970.88</v>
      </c>
      <c r="H68" s="141">
        <v>1043.13</v>
      </c>
      <c r="I68" s="141">
        <v>856.56</v>
      </c>
      <c r="J68" s="141">
        <v>6461.49</v>
      </c>
      <c r="K68" s="141">
        <v>2157.38</v>
      </c>
      <c r="L68" s="141">
        <v>126.39</v>
      </c>
      <c r="M68" s="141">
        <v>1960.72</v>
      </c>
      <c r="N68" s="141">
        <v>0.0</v>
      </c>
      <c r="O68" s="141">
        <v>967.64</v>
      </c>
      <c r="P68" s="141">
        <v>954.03</v>
      </c>
      <c r="Q68" s="141">
        <v>9312.65</v>
      </c>
      <c r="R68" s="141">
        <v>989.93</v>
      </c>
      <c r="S68" s="141">
        <v>1918.84</v>
      </c>
      <c r="T68" s="141">
        <v>2327.84</v>
      </c>
      <c r="U68" s="141">
        <v>1372.68</v>
      </c>
      <c r="V68" s="141">
        <v>476.98</v>
      </c>
      <c r="W68" s="141">
        <v>3413.97</v>
      </c>
      <c r="X68" s="141">
        <v>448.66</v>
      </c>
      <c r="Y68" s="141">
        <v>2057.84</v>
      </c>
      <c r="Z68" s="141">
        <v>17572.15</v>
      </c>
      <c r="AA68" s="176">
        <v>59242.96</v>
      </c>
      <c r="AB68" s="143">
        <v>0.02</v>
      </c>
      <c r="AC68" s="135"/>
      <c r="AD68" s="135"/>
    </row>
    <row r="69" ht="15.75" customHeight="1">
      <c r="A69" s="139" t="s">
        <v>87</v>
      </c>
      <c r="B69" s="141">
        <v>3917.34</v>
      </c>
      <c r="C69" s="141">
        <v>0.0</v>
      </c>
      <c r="D69" s="141">
        <v>1606.77</v>
      </c>
      <c r="E69" s="141">
        <v>0.0</v>
      </c>
      <c r="F69" s="141">
        <v>853.08</v>
      </c>
      <c r="G69" s="141">
        <v>1637.29</v>
      </c>
      <c r="H69" s="141">
        <v>1786.77</v>
      </c>
      <c r="I69" s="141">
        <v>1048.85</v>
      </c>
      <c r="J69" s="141">
        <v>11662.71</v>
      </c>
      <c r="K69" s="141">
        <v>3077.57</v>
      </c>
      <c r="L69" s="141">
        <v>584.76</v>
      </c>
      <c r="M69" s="141">
        <v>3290.97</v>
      </c>
      <c r="N69" s="141">
        <v>0.0</v>
      </c>
      <c r="O69" s="141">
        <v>1631.84</v>
      </c>
      <c r="P69" s="141">
        <v>1608.88</v>
      </c>
      <c r="Q69" s="141">
        <v>14532.7</v>
      </c>
      <c r="R69" s="141">
        <v>341.71</v>
      </c>
      <c r="S69" s="141">
        <v>3235.92</v>
      </c>
      <c r="T69" s="141">
        <v>5275.14</v>
      </c>
      <c r="U69" s="141">
        <v>3607.24</v>
      </c>
      <c r="V69" s="141">
        <v>804.38</v>
      </c>
      <c r="W69" s="141">
        <v>4779.12</v>
      </c>
      <c r="X69" s="141">
        <v>1400.73</v>
      </c>
      <c r="Y69" s="141">
        <v>3742.88</v>
      </c>
      <c r="Z69" s="141">
        <v>32022.77</v>
      </c>
      <c r="AA69" s="176">
        <v>102449.42</v>
      </c>
      <c r="AB69" s="143">
        <v>0.03</v>
      </c>
      <c r="AC69" s="135"/>
      <c r="AD69" s="135"/>
    </row>
    <row r="70" ht="15.75" customHeight="1">
      <c r="A70" s="139" t="s">
        <v>88</v>
      </c>
      <c r="B70" s="141">
        <v>2197.86</v>
      </c>
      <c r="C70" s="141">
        <v>0.0</v>
      </c>
      <c r="D70" s="141">
        <v>932.11</v>
      </c>
      <c r="E70" s="141">
        <v>0.0</v>
      </c>
      <c r="F70" s="141">
        <v>537.35</v>
      </c>
      <c r="G70" s="141">
        <v>1006.77</v>
      </c>
      <c r="H70" s="141">
        <v>1016.62</v>
      </c>
      <c r="I70" s="141">
        <v>1591.29</v>
      </c>
      <c r="J70" s="141">
        <v>3486.0</v>
      </c>
      <c r="K70" s="141">
        <v>1691.03</v>
      </c>
      <c r="L70" s="141">
        <v>251.51</v>
      </c>
      <c r="M70" s="141">
        <v>2116.01</v>
      </c>
      <c r="N70" s="141">
        <v>488.05</v>
      </c>
      <c r="O70" s="141">
        <v>857.91</v>
      </c>
      <c r="P70" s="141">
        <v>954.05</v>
      </c>
      <c r="Q70" s="141">
        <v>7652.62</v>
      </c>
      <c r="R70" s="141">
        <v>1272.33</v>
      </c>
      <c r="S70" s="141">
        <v>1931.89</v>
      </c>
      <c r="T70" s="141">
        <v>2669.13</v>
      </c>
      <c r="U70" s="141">
        <v>1779.41</v>
      </c>
      <c r="V70" s="141">
        <v>1059.51</v>
      </c>
      <c r="W70" s="141">
        <v>3159.82</v>
      </c>
      <c r="X70" s="141">
        <v>805.56</v>
      </c>
      <c r="Y70" s="141">
        <v>2488.87</v>
      </c>
      <c r="Z70" s="141">
        <v>19904.34</v>
      </c>
      <c r="AA70" s="176">
        <v>59850.04</v>
      </c>
      <c r="AB70" s="143">
        <v>0.02</v>
      </c>
      <c r="AC70" s="135"/>
      <c r="AD70" s="135"/>
    </row>
    <row r="71" ht="15.75" customHeight="1">
      <c r="A71" s="139" t="s">
        <v>89</v>
      </c>
      <c r="B71" s="141">
        <v>280.0</v>
      </c>
      <c r="C71" s="141">
        <v>3150.0</v>
      </c>
      <c r="D71" s="141"/>
      <c r="E71" s="141">
        <v>5300.0</v>
      </c>
      <c r="F71" s="141"/>
      <c r="G71" s="141">
        <v>3820.0</v>
      </c>
      <c r="H71" s="141">
        <v>6720.0</v>
      </c>
      <c r="I71" s="141">
        <v>1120.0</v>
      </c>
      <c r="J71" s="141"/>
      <c r="K71" s="141">
        <v>7210.0</v>
      </c>
      <c r="L71" s="141"/>
      <c r="M71" s="141">
        <v>560.0</v>
      </c>
      <c r="N71" s="141">
        <v>5040.0</v>
      </c>
      <c r="O71" s="141">
        <v>1690.0</v>
      </c>
      <c r="P71" s="141"/>
      <c r="Q71" s="141">
        <v>571.2</v>
      </c>
      <c r="R71" s="141"/>
      <c r="S71" s="141"/>
      <c r="T71" s="141">
        <v>1400.0</v>
      </c>
      <c r="U71" s="141"/>
      <c r="V71" s="141"/>
      <c r="W71" s="141">
        <v>1960.0</v>
      </c>
      <c r="X71" s="141"/>
      <c r="Y71" s="141"/>
      <c r="Z71" s="141"/>
      <c r="AA71" s="176">
        <v>38821.2</v>
      </c>
      <c r="AB71" s="143">
        <v>0.01</v>
      </c>
      <c r="AC71" s="135"/>
      <c r="AD71" s="135"/>
    </row>
    <row r="72" ht="15.75" customHeight="1">
      <c r="A72" s="139" t="s">
        <v>91</v>
      </c>
      <c r="B72" s="141">
        <v>0.0</v>
      </c>
      <c r="C72" s="141">
        <v>0.0</v>
      </c>
      <c r="D72" s="141">
        <v>0.0</v>
      </c>
      <c r="E72" s="141">
        <v>0.0</v>
      </c>
      <c r="F72" s="141">
        <v>0.0</v>
      </c>
      <c r="G72" s="141">
        <v>662.93</v>
      </c>
      <c r="H72" s="141">
        <v>0.0</v>
      </c>
      <c r="I72" s="141">
        <v>0.0</v>
      </c>
      <c r="J72" s="141">
        <v>1592.76</v>
      </c>
      <c r="K72" s="141">
        <v>0.0</v>
      </c>
      <c r="L72" s="141">
        <v>0.0</v>
      </c>
      <c r="M72" s="141">
        <v>0.0</v>
      </c>
      <c r="N72" s="141">
        <v>0.0</v>
      </c>
      <c r="O72" s="141">
        <v>0.0</v>
      </c>
      <c r="P72" s="141">
        <v>0.0</v>
      </c>
      <c r="Q72" s="141">
        <v>0.0</v>
      </c>
      <c r="R72" s="141">
        <v>0.0</v>
      </c>
      <c r="S72" s="141">
        <v>0.0</v>
      </c>
      <c r="T72" s="141">
        <v>0.0</v>
      </c>
      <c r="U72" s="141">
        <v>0.0</v>
      </c>
      <c r="V72" s="141">
        <v>0.0</v>
      </c>
      <c r="W72" s="141">
        <v>0.0</v>
      </c>
      <c r="X72" s="141">
        <v>0.0</v>
      </c>
      <c r="Y72" s="141">
        <v>0.0</v>
      </c>
      <c r="Z72" s="141">
        <v>11655.48</v>
      </c>
      <c r="AA72" s="176">
        <v>13911.17</v>
      </c>
      <c r="AB72" s="143">
        <v>0.0</v>
      </c>
      <c r="AC72" s="135"/>
      <c r="AD72" s="135"/>
    </row>
    <row r="73" ht="15.75" customHeight="1">
      <c r="A73" s="139" t="s">
        <v>92</v>
      </c>
      <c r="B73" s="141">
        <v>345.5</v>
      </c>
      <c r="C73" s="141">
        <v>0.0</v>
      </c>
      <c r="D73" s="141">
        <v>0.0</v>
      </c>
      <c r="E73" s="141">
        <v>0.0</v>
      </c>
      <c r="F73" s="141">
        <v>20.0</v>
      </c>
      <c r="G73" s="141">
        <v>480.0</v>
      </c>
      <c r="H73" s="141">
        <v>460.0</v>
      </c>
      <c r="I73" s="141">
        <v>0.0</v>
      </c>
      <c r="J73" s="141">
        <v>5260.0</v>
      </c>
      <c r="K73" s="141">
        <v>350.0</v>
      </c>
      <c r="L73" s="141">
        <v>115.5</v>
      </c>
      <c r="M73" s="141">
        <v>513.5</v>
      </c>
      <c r="N73" s="141">
        <v>0.0</v>
      </c>
      <c r="O73" s="141">
        <v>350.0</v>
      </c>
      <c r="P73" s="141">
        <v>0.0</v>
      </c>
      <c r="Q73" s="141">
        <v>0.0</v>
      </c>
      <c r="R73" s="141">
        <v>350.0</v>
      </c>
      <c r="S73" s="141">
        <v>351.0</v>
      </c>
      <c r="T73" s="141">
        <v>490.0</v>
      </c>
      <c r="U73" s="141">
        <v>350.0</v>
      </c>
      <c r="V73" s="141">
        <v>350.0</v>
      </c>
      <c r="W73" s="141">
        <v>350.0</v>
      </c>
      <c r="X73" s="141">
        <v>0.0</v>
      </c>
      <c r="Y73" s="141">
        <v>72.0</v>
      </c>
      <c r="Z73" s="141">
        <v>12370.9</v>
      </c>
      <c r="AA73" s="176">
        <v>22578.4</v>
      </c>
      <c r="AB73" s="154">
        <v>0.0</v>
      </c>
      <c r="AC73" s="135"/>
      <c r="AD73" s="135"/>
    </row>
    <row r="74" ht="15.75" customHeight="1">
      <c r="A74" s="146" t="s">
        <v>93</v>
      </c>
      <c r="B74" s="147">
        <v>249502.97</v>
      </c>
      <c r="C74" s="147">
        <v>4160.0</v>
      </c>
      <c r="D74" s="147">
        <v>204193.52</v>
      </c>
      <c r="E74" s="147">
        <v>11300.0</v>
      </c>
      <c r="F74" s="147">
        <v>31644.24</v>
      </c>
      <c r="G74" s="147">
        <v>39587.07</v>
      </c>
      <c r="H74" s="147">
        <v>53714.18</v>
      </c>
      <c r="I74" s="147">
        <v>45316.85</v>
      </c>
      <c r="J74" s="147">
        <v>209512.14</v>
      </c>
      <c r="K74" s="147">
        <v>70166.71</v>
      </c>
      <c r="L74" s="147">
        <v>8133.23</v>
      </c>
      <c r="M74" s="147">
        <v>62061.96</v>
      </c>
      <c r="N74" s="147">
        <v>17034.31</v>
      </c>
      <c r="O74" s="147">
        <v>42438.82</v>
      </c>
      <c r="P74" s="147">
        <v>27102.89</v>
      </c>
      <c r="Q74" s="147">
        <v>216783.62</v>
      </c>
      <c r="R74" s="147">
        <v>31984.37</v>
      </c>
      <c r="S74" s="147">
        <v>55961.01</v>
      </c>
      <c r="T74" s="147">
        <v>77784.88</v>
      </c>
      <c r="U74" s="147">
        <v>49563.92</v>
      </c>
      <c r="V74" s="147">
        <v>26992.62</v>
      </c>
      <c r="W74" s="147">
        <v>87643.71</v>
      </c>
      <c r="X74" s="147">
        <v>22068.91</v>
      </c>
      <c r="Y74" s="147">
        <v>71089.18</v>
      </c>
      <c r="Z74" s="147">
        <v>1492592.7</v>
      </c>
      <c r="AA74" s="147">
        <v>3208333.81</v>
      </c>
      <c r="AB74" s="146">
        <v>1.0</v>
      </c>
      <c r="AC74" s="135"/>
      <c r="AD74" s="135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54"/>
      <c r="AB75" s="139"/>
      <c r="AC75" s="135"/>
      <c r="AD75" s="135"/>
    </row>
    <row r="76" ht="15.75" customHeight="1">
      <c r="A76" s="146" t="s">
        <v>5</v>
      </c>
      <c r="B76" s="147">
        <v>1459528.85</v>
      </c>
      <c r="C76" s="147">
        <v>50612.41</v>
      </c>
      <c r="D76" s="147">
        <v>127698.72</v>
      </c>
      <c r="E76" s="147">
        <v>35191.0</v>
      </c>
      <c r="F76" s="147">
        <v>18590.26</v>
      </c>
      <c r="G76" s="147">
        <v>205628.44</v>
      </c>
      <c r="H76" s="147">
        <v>225158.24</v>
      </c>
      <c r="I76" s="147">
        <v>-5143.58</v>
      </c>
      <c r="J76" s="147">
        <v>2026027.8</v>
      </c>
      <c r="K76" s="147">
        <v>313789.33</v>
      </c>
      <c r="L76" s="147">
        <v>36215.91</v>
      </c>
      <c r="M76" s="147">
        <v>179519.08</v>
      </c>
      <c r="N76" s="147">
        <v>15405.34</v>
      </c>
      <c r="O76" s="147">
        <v>46267.22</v>
      </c>
      <c r="P76" s="147">
        <v>8897.11</v>
      </c>
      <c r="Q76" s="147">
        <v>-152841.38</v>
      </c>
      <c r="R76" s="147">
        <v>78119.09</v>
      </c>
      <c r="S76" s="147">
        <v>114863.14</v>
      </c>
      <c r="T76" s="147">
        <v>79320.47</v>
      </c>
      <c r="U76" s="147">
        <v>-12493.24</v>
      </c>
      <c r="V76" s="147">
        <v>96315.38</v>
      </c>
      <c r="W76" s="147">
        <v>864847.9</v>
      </c>
      <c r="X76" s="147">
        <v>13931.09</v>
      </c>
      <c r="Y76" s="147">
        <v>-12089.18</v>
      </c>
      <c r="Z76" s="147">
        <v>-1478605.62</v>
      </c>
      <c r="AA76" s="147">
        <v>4334753.78</v>
      </c>
      <c r="AB76" s="139"/>
      <c r="AC76" s="135"/>
      <c r="AD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6"/>
      <c r="W77" s="135"/>
      <c r="X77" s="135"/>
      <c r="Y77" s="135"/>
      <c r="Z77" s="135"/>
      <c r="AA77" s="135"/>
      <c r="AB77" s="135"/>
      <c r="AC77" s="135"/>
      <c r="AD77" s="13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B2"/>
    <mergeCell ref="A3:AB3"/>
    <mergeCell ref="A4:AB4"/>
    <mergeCell ref="B7:AB7"/>
    <mergeCell ref="A28:AB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  <col customWidth="1" min="7" max="8" width="8.5"/>
    <col customWidth="1" min="9" max="9" width="7.75"/>
    <col customWidth="1" min="10" max="10" width="9.63"/>
    <col customWidth="1" min="11" max="11" width="8.5"/>
    <col customWidth="1" min="12" max="12" width="7.75"/>
    <col customWidth="1" min="13" max="13" width="7.0"/>
    <col customWidth="1" min="14" max="14" width="10.63"/>
    <col customWidth="1" min="15" max="15" width="11.5"/>
    <col customWidth="1" min="16" max="16" width="7.75"/>
    <col customWidth="1" min="17" max="17" width="8.25"/>
    <col customWidth="1" min="18" max="18" width="8.5"/>
    <col customWidth="1" min="19" max="19" width="9.25"/>
    <col customWidth="1" min="20" max="20" width="7.75"/>
    <col customWidth="1" min="21" max="22" width="8.5"/>
    <col customWidth="1" min="23" max="24" width="7.75"/>
    <col customWidth="1" min="25" max="25" width="10.0"/>
    <col customWidth="1" min="26" max="26" width="8.38"/>
    <col customWidth="1" min="27" max="27" width="9.0"/>
    <col customWidth="1" min="28" max="28" width="8.63"/>
    <col customWidth="1" min="29" max="30" width="4.38"/>
  </cols>
  <sheetData>
    <row r="1" ht="15.7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  <c r="AB1" s="135"/>
      <c r="AC1" s="135"/>
      <c r="AD1" s="135"/>
    </row>
    <row r="2" ht="15.75" customHeight="1">
      <c r="A2" s="137" t="s">
        <v>30</v>
      </c>
      <c r="AC2" s="135"/>
      <c r="AD2" s="135"/>
    </row>
    <row r="3" ht="15.75" customHeight="1">
      <c r="A3" s="137" t="s">
        <v>241</v>
      </c>
      <c r="AC3" s="135"/>
      <c r="AD3" s="135"/>
    </row>
    <row r="4" ht="15.75" customHeight="1">
      <c r="A4" s="137"/>
      <c r="AC4" s="135"/>
      <c r="AD4" s="135"/>
    </row>
    <row r="5" ht="15.75" customHeight="1">
      <c r="A5" s="136"/>
      <c r="B5" s="136"/>
      <c r="C5" s="136"/>
      <c r="D5" s="136"/>
      <c r="E5" s="136"/>
      <c r="F5" s="136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6"/>
      <c r="AB5" s="135"/>
      <c r="AC5" s="135"/>
      <c r="AD5" s="135"/>
    </row>
    <row r="6" ht="15.75" customHeight="1">
      <c r="A6" s="179" t="s">
        <v>242</v>
      </c>
      <c r="B6" s="179" t="s">
        <v>100</v>
      </c>
      <c r="C6" s="179" t="s">
        <v>11</v>
      </c>
      <c r="D6" s="179" t="s">
        <v>243</v>
      </c>
      <c r="E6" s="179" t="s">
        <v>244</v>
      </c>
      <c r="F6" s="179" t="s">
        <v>2</v>
      </c>
      <c r="G6" s="179" t="s">
        <v>245</v>
      </c>
      <c r="H6" s="179" t="s">
        <v>107</v>
      </c>
      <c r="I6" s="179" t="s">
        <v>246</v>
      </c>
      <c r="J6" s="179" t="s">
        <v>247</v>
      </c>
      <c r="K6" s="179" t="s">
        <v>129</v>
      </c>
      <c r="L6" s="179" t="s">
        <v>110</v>
      </c>
      <c r="M6" s="179" t="s">
        <v>248</v>
      </c>
      <c r="N6" s="179" t="s">
        <v>249</v>
      </c>
      <c r="O6" s="179" t="s">
        <v>117</v>
      </c>
      <c r="P6" s="179" t="s">
        <v>250</v>
      </c>
      <c r="Q6" s="179" t="s">
        <v>118</v>
      </c>
      <c r="R6" s="179" t="s">
        <v>119</v>
      </c>
      <c r="S6" s="179" t="s">
        <v>251</v>
      </c>
      <c r="T6" s="179" t="s">
        <v>122</v>
      </c>
      <c r="U6" s="179" t="s">
        <v>127</v>
      </c>
      <c r="V6" s="179" t="s">
        <v>124</v>
      </c>
      <c r="W6" s="179" t="s">
        <v>125</v>
      </c>
      <c r="X6" s="179" t="s">
        <v>252</v>
      </c>
      <c r="Y6" s="179" t="s">
        <v>278</v>
      </c>
      <c r="Z6" s="179" t="s">
        <v>29</v>
      </c>
      <c r="AA6" s="179" t="s">
        <v>25</v>
      </c>
      <c r="AB6" s="179" t="s">
        <v>46</v>
      </c>
      <c r="AC6" s="180"/>
      <c r="AD6" s="180"/>
    </row>
    <row r="7" ht="15.75" customHeight="1">
      <c r="A7" s="139"/>
      <c r="B7" s="140"/>
      <c r="AC7" s="135"/>
      <c r="AD7" s="135"/>
    </row>
    <row r="8" ht="15.75" customHeight="1">
      <c r="A8" s="139" t="s">
        <v>253</v>
      </c>
      <c r="B8" s="141">
        <v>283509.48</v>
      </c>
      <c r="C8" s="141">
        <v>44215.52</v>
      </c>
      <c r="D8" s="141">
        <v>36281.9</v>
      </c>
      <c r="E8" s="139"/>
      <c r="F8" s="141">
        <v>31647.42</v>
      </c>
      <c r="G8" s="141">
        <v>79931.03</v>
      </c>
      <c r="H8" s="141">
        <v>98181.01</v>
      </c>
      <c r="I8" s="141">
        <v>43485.34</v>
      </c>
      <c r="J8" s="141">
        <v>2076025.86</v>
      </c>
      <c r="K8" s="141">
        <v>332937.05</v>
      </c>
      <c r="L8" s="141">
        <v>13887.98</v>
      </c>
      <c r="M8" s="141">
        <v>181431.03</v>
      </c>
      <c r="N8" s="141">
        <v>7422.41</v>
      </c>
      <c r="O8" s="141">
        <v>93740.52</v>
      </c>
      <c r="P8" s="139"/>
      <c r="Q8" s="141">
        <v>32261.21</v>
      </c>
      <c r="R8" s="141">
        <v>12681.03</v>
      </c>
      <c r="S8" s="141">
        <v>156873.71</v>
      </c>
      <c r="T8" s="141">
        <v>90903.45</v>
      </c>
      <c r="U8" s="141">
        <v>21379.31</v>
      </c>
      <c r="V8" s="141">
        <v>101560.0</v>
      </c>
      <c r="W8" s="141">
        <v>525225.6</v>
      </c>
      <c r="X8" s="139"/>
      <c r="Y8" s="139"/>
      <c r="Z8" s="139"/>
      <c r="AA8" s="176">
        <v>4263580.86</v>
      </c>
      <c r="AB8" s="143">
        <v>0.51</v>
      </c>
      <c r="AC8" s="135"/>
      <c r="AD8" s="135"/>
    </row>
    <row r="9" ht="15.75" customHeight="1">
      <c r="A9" s="139" t="s">
        <v>254</v>
      </c>
      <c r="B9" s="141">
        <v>1457159.61</v>
      </c>
      <c r="C9" s="141"/>
      <c r="D9" s="141">
        <v>234000.0</v>
      </c>
      <c r="E9" s="139"/>
      <c r="F9" s="141">
        <v>22583.63</v>
      </c>
      <c r="G9" s="141">
        <v>130017.24</v>
      </c>
      <c r="H9" s="141">
        <v>168448.28</v>
      </c>
      <c r="I9" s="141"/>
      <c r="J9" s="141">
        <v>354724.15</v>
      </c>
      <c r="K9" s="141">
        <v>6034.48</v>
      </c>
      <c r="L9" s="141">
        <v>31500.0</v>
      </c>
      <c r="M9" s="141">
        <v>23820.7</v>
      </c>
      <c r="N9" s="141">
        <v>24500.0</v>
      </c>
      <c r="O9" s="141">
        <v>1724.14</v>
      </c>
      <c r="P9" s="139"/>
      <c r="Q9" s="141">
        <v>0.0</v>
      </c>
      <c r="R9" s="141">
        <v>63450.0</v>
      </c>
      <c r="S9" s="141">
        <v>750.0</v>
      </c>
      <c r="T9" s="141">
        <v>11400.0</v>
      </c>
      <c r="U9" s="141">
        <v>12620.68</v>
      </c>
      <c r="V9" s="141">
        <v>16108.0</v>
      </c>
      <c r="W9" s="141">
        <v>389946.55</v>
      </c>
      <c r="X9" s="139"/>
      <c r="Y9" s="139"/>
      <c r="Z9" s="139"/>
      <c r="AA9" s="176">
        <v>2948787.46</v>
      </c>
      <c r="AB9" s="143">
        <v>0.35</v>
      </c>
      <c r="AC9" s="135"/>
      <c r="AD9" s="135"/>
    </row>
    <row r="10" ht="15.75" customHeight="1">
      <c r="A10" s="139" t="s">
        <v>59</v>
      </c>
      <c r="B10" s="141">
        <v>15172.41</v>
      </c>
      <c r="C10" s="141"/>
      <c r="D10" s="141"/>
      <c r="E10" s="139"/>
      <c r="F10" s="141"/>
      <c r="G10" s="141"/>
      <c r="H10" s="141">
        <v>0.0</v>
      </c>
      <c r="I10" s="141"/>
      <c r="J10" s="141">
        <v>0.0</v>
      </c>
      <c r="K10" s="141"/>
      <c r="L10" s="141"/>
      <c r="M10" s="139"/>
      <c r="N10" s="139"/>
      <c r="O10" s="139"/>
      <c r="P10" s="139"/>
      <c r="Q10" s="141">
        <v>49310.34</v>
      </c>
      <c r="R10" s="139"/>
      <c r="S10" s="139"/>
      <c r="T10" s="141">
        <v>173448.27</v>
      </c>
      <c r="U10" s="139"/>
      <c r="V10" s="139"/>
      <c r="W10" s="139"/>
      <c r="X10" s="139"/>
      <c r="Y10" s="139"/>
      <c r="Z10" s="139"/>
      <c r="AA10" s="176">
        <v>237931.02</v>
      </c>
      <c r="AB10" s="143">
        <v>0.03</v>
      </c>
      <c r="AC10" s="135"/>
      <c r="AD10" s="135"/>
    </row>
    <row r="11" ht="15.75" customHeight="1">
      <c r="A11" s="139" t="s">
        <v>255</v>
      </c>
      <c r="B11" s="141"/>
      <c r="C11" s="141"/>
      <c r="D11" s="141">
        <v>51340.52</v>
      </c>
      <c r="E11" s="139"/>
      <c r="F11" s="141"/>
      <c r="G11" s="141"/>
      <c r="H11" s="141"/>
      <c r="I11" s="141"/>
      <c r="J11" s="141"/>
      <c r="K11" s="141"/>
      <c r="L11" s="141"/>
      <c r="M11" s="139"/>
      <c r="N11" s="139"/>
      <c r="O11" s="139"/>
      <c r="P11" s="139"/>
      <c r="Q11" s="139"/>
      <c r="R11" s="139"/>
      <c r="S11" s="141">
        <v>8731.03</v>
      </c>
      <c r="T11" s="141">
        <v>25308.0</v>
      </c>
      <c r="U11" s="139"/>
      <c r="V11" s="139"/>
      <c r="W11" s="141">
        <v>15503.44</v>
      </c>
      <c r="X11" s="139"/>
      <c r="Y11" s="139"/>
      <c r="Z11" s="139"/>
      <c r="AA11" s="176">
        <v>100882.99</v>
      </c>
      <c r="AB11" s="143">
        <v>0.01</v>
      </c>
      <c r="AC11" s="135"/>
      <c r="AD11" s="135"/>
    </row>
    <row r="12" ht="15.75" customHeight="1">
      <c r="A12" s="139" t="s">
        <v>256</v>
      </c>
      <c r="B12" s="141"/>
      <c r="C12" s="141"/>
      <c r="D12" s="141"/>
      <c r="E12" s="141">
        <v>30525.0</v>
      </c>
      <c r="F12" s="141"/>
      <c r="G12" s="141">
        <v>173676.71</v>
      </c>
      <c r="H12" s="141"/>
      <c r="I12" s="141"/>
      <c r="J12" s="141"/>
      <c r="K12" s="141"/>
      <c r="L12" s="141"/>
      <c r="M12" s="139"/>
      <c r="N12" s="139"/>
      <c r="O12" s="139"/>
      <c r="P12" s="139"/>
      <c r="Q12" s="139"/>
      <c r="R12" s="139"/>
      <c r="S12" s="139"/>
      <c r="T12" s="141">
        <v>0.0</v>
      </c>
      <c r="U12" s="141">
        <v>9222.41</v>
      </c>
      <c r="V12" s="141">
        <v>20000.0</v>
      </c>
      <c r="W12" s="139"/>
      <c r="X12" s="141">
        <v>9193.1</v>
      </c>
      <c r="Y12" s="139"/>
      <c r="Z12" s="139"/>
      <c r="AA12" s="176">
        <v>242617.22</v>
      </c>
      <c r="AB12" s="143">
        <v>0.03</v>
      </c>
      <c r="AC12" s="135"/>
      <c r="AD12" s="135"/>
    </row>
    <row r="13" ht="15.75" customHeight="1">
      <c r="A13" s="139" t="s">
        <v>257</v>
      </c>
      <c r="B13" s="141">
        <v>258.62</v>
      </c>
      <c r="C13" s="141"/>
      <c r="D13" s="141"/>
      <c r="E13" s="139"/>
      <c r="F13" s="141"/>
      <c r="G13" s="141"/>
      <c r="H13" s="141"/>
      <c r="I13" s="141"/>
      <c r="J13" s="141">
        <v>3103.45</v>
      </c>
      <c r="K13" s="141"/>
      <c r="L13" s="141"/>
      <c r="M13" s="141">
        <v>129.31</v>
      </c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76">
        <v>3491.38</v>
      </c>
      <c r="AB13" s="143">
        <v>0.0</v>
      </c>
      <c r="AC13" s="135"/>
      <c r="AD13" s="135"/>
    </row>
    <row r="14" ht="15.75" customHeight="1">
      <c r="A14" s="139" t="s">
        <v>258</v>
      </c>
      <c r="B14" s="141"/>
      <c r="C14" s="141"/>
      <c r="D14" s="141"/>
      <c r="E14" s="139"/>
      <c r="F14" s="141"/>
      <c r="G14" s="141">
        <v>86.21</v>
      </c>
      <c r="H14" s="141"/>
      <c r="I14" s="141"/>
      <c r="J14" s="141">
        <v>2844.83</v>
      </c>
      <c r="K14" s="141"/>
      <c r="L14" s="141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41">
        <v>517.24</v>
      </c>
      <c r="X14" s="139"/>
      <c r="Y14" s="139"/>
      <c r="Z14" s="139"/>
      <c r="AA14" s="176">
        <v>3448.28</v>
      </c>
      <c r="AB14" s="143">
        <v>0.0</v>
      </c>
      <c r="AC14" s="135"/>
      <c r="AD14" s="135"/>
    </row>
    <row r="15" ht="15.75" customHeight="1">
      <c r="A15" s="139" t="s">
        <v>259</v>
      </c>
      <c r="B15" s="141"/>
      <c r="C15" s="141"/>
      <c r="D15" s="141"/>
      <c r="E15" s="139"/>
      <c r="F15" s="141"/>
      <c r="G15" s="141"/>
      <c r="H15" s="141"/>
      <c r="I15" s="141"/>
      <c r="J15" s="141"/>
      <c r="K15" s="141">
        <v>49350.86</v>
      </c>
      <c r="L15" s="141"/>
      <c r="M15" s="139"/>
      <c r="N15" s="139"/>
      <c r="O15" s="139"/>
      <c r="P15" s="141">
        <v>36000.0</v>
      </c>
      <c r="Q15" s="139"/>
      <c r="R15" s="139"/>
      <c r="S15" s="139"/>
      <c r="T15" s="139"/>
      <c r="U15" s="139"/>
      <c r="V15" s="139"/>
      <c r="W15" s="139"/>
      <c r="X15" s="141">
        <v>36000.0</v>
      </c>
      <c r="Y15" s="141">
        <v>59000.0</v>
      </c>
      <c r="Z15" s="139"/>
      <c r="AA15" s="176">
        <v>180350.86</v>
      </c>
      <c r="AB15" s="143">
        <v>0.02</v>
      </c>
      <c r="AC15" s="135"/>
      <c r="AD15" s="135"/>
    </row>
    <row r="16" ht="15.75" customHeight="1">
      <c r="A16" s="139" t="s">
        <v>260</v>
      </c>
      <c r="B16" s="141"/>
      <c r="C16" s="141"/>
      <c r="D16" s="141"/>
      <c r="E16" s="139"/>
      <c r="F16" s="141"/>
      <c r="G16" s="141"/>
      <c r="H16" s="141"/>
      <c r="I16" s="141"/>
      <c r="J16" s="141">
        <v>3767.24</v>
      </c>
      <c r="K16" s="141"/>
      <c r="L16" s="141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76">
        <v>3767.24</v>
      </c>
      <c r="AB16" s="143">
        <v>0.0</v>
      </c>
      <c r="AC16" s="135"/>
      <c r="AD16" s="135"/>
    </row>
    <row r="17" ht="15.75" customHeight="1">
      <c r="A17" s="139" t="s">
        <v>261</v>
      </c>
      <c r="B17" s="141"/>
      <c r="C17" s="141"/>
      <c r="D17" s="141"/>
      <c r="E17" s="139"/>
      <c r="F17" s="141"/>
      <c r="G17" s="141"/>
      <c r="H17" s="141"/>
      <c r="I17" s="141"/>
      <c r="J17" s="141">
        <v>384095.69</v>
      </c>
      <c r="K17" s="141"/>
      <c r="L17" s="141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75">
        <v>8075.18</v>
      </c>
      <c r="AA17" s="176">
        <v>392170.87</v>
      </c>
      <c r="AB17" s="143">
        <v>0.05</v>
      </c>
      <c r="AC17" s="135"/>
      <c r="AD17" s="135"/>
    </row>
    <row r="18" ht="15.75" hidden="1" customHeight="1">
      <c r="A18" s="139" t="s">
        <v>262</v>
      </c>
      <c r="B18" s="141"/>
      <c r="C18" s="141"/>
      <c r="D18" s="141"/>
      <c r="E18" s="139"/>
      <c r="F18" s="141"/>
      <c r="G18" s="141"/>
      <c r="H18" s="141"/>
      <c r="I18" s="141"/>
      <c r="J18" s="141"/>
      <c r="K18" s="141"/>
      <c r="L18" s="141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54" t="s">
        <v>56</v>
      </c>
      <c r="AB18" s="143">
        <v>0.0</v>
      </c>
      <c r="AC18" s="135"/>
      <c r="AD18" s="135"/>
    </row>
    <row r="19" ht="15.75" hidden="1" customHeight="1">
      <c r="A19" s="139" t="s">
        <v>263</v>
      </c>
      <c r="B19" s="141"/>
      <c r="C19" s="141"/>
      <c r="D19" s="141"/>
      <c r="E19" s="139"/>
      <c r="F19" s="141"/>
      <c r="G19" s="141"/>
      <c r="H19" s="141"/>
      <c r="I19" s="141"/>
      <c r="J19" s="141"/>
      <c r="K19" s="141"/>
      <c r="L19" s="141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54" t="s">
        <v>56</v>
      </c>
      <c r="AB19" s="143">
        <v>0.0</v>
      </c>
      <c r="AC19" s="135"/>
      <c r="AD19" s="135"/>
    </row>
    <row r="20" ht="15.75" customHeight="1">
      <c r="A20" s="139" t="s">
        <v>264</v>
      </c>
      <c r="B20" s="141"/>
      <c r="C20" s="141"/>
      <c r="D20" s="141"/>
      <c r="E20" s="139"/>
      <c r="F20" s="141"/>
      <c r="G20" s="141"/>
      <c r="H20" s="141">
        <v>2931.04</v>
      </c>
      <c r="I20" s="141"/>
      <c r="J20" s="141"/>
      <c r="K20" s="141">
        <v>1206.9</v>
      </c>
      <c r="L20" s="141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76">
        <v>4137.94</v>
      </c>
      <c r="AB20" s="143">
        <v>0.0</v>
      </c>
      <c r="AC20" s="135"/>
      <c r="AD20" s="135"/>
    </row>
    <row r="21" ht="15.75" customHeight="1">
      <c r="A21" s="139" t="s">
        <v>265</v>
      </c>
      <c r="B21" s="141"/>
      <c r="C21" s="141"/>
      <c r="D21" s="141"/>
      <c r="E21" s="139"/>
      <c r="F21" s="141"/>
      <c r="G21" s="141"/>
      <c r="H21" s="141"/>
      <c r="I21" s="141"/>
      <c r="J21" s="141"/>
      <c r="K21" s="141"/>
      <c r="L21" s="141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54" t="s">
        <v>56</v>
      </c>
      <c r="AB21" s="143">
        <v>0.0</v>
      </c>
      <c r="AC21" s="135"/>
      <c r="AD21" s="135"/>
    </row>
    <row r="22" ht="15.75" customHeight="1">
      <c r="A22" s="139" t="s">
        <v>266</v>
      </c>
      <c r="B22" s="141">
        <v>5.17</v>
      </c>
      <c r="C22" s="141"/>
      <c r="D22" s="141">
        <v>23.28</v>
      </c>
      <c r="E22" s="139"/>
      <c r="F22" s="141">
        <v>0.86</v>
      </c>
      <c r="G22" s="141">
        <v>2.59</v>
      </c>
      <c r="H22" s="141">
        <v>22.41</v>
      </c>
      <c r="I22" s="141">
        <v>10.35</v>
      </c>
      <c r="J22" s="141">
        <v>575.86</v>
      </c>
      <c r="K22" s="141"/>
      <c r="L22" s="141"/>
      <c r="M22" s="141">
        <v>623.88</v>
      </c>
      <c r="N22" s="139"/>
      <c r="O22" s="141">
        <v>124.14</v>
      </c>
      <c r="P22" s="139"/>
      <c r="Q22" s="141">
        <v>9.48</v>
      </c>
      <c r="R22" s="141">
        <v>8.63</v>
      </c>
      <c r="S22" s="141">
        <v>5.17</v>
      </c>
      <c r="T22" s="139"/>
      <c r="U22" s="139"/>
      <c r="V22" s="139"/>
      <c r="W22" s="139"/>
      <c r="X22" s="139"/>
      <c r="Y22" s="139"/>
      <c r="Z22" s="139"/>
      <c r="AA22" s="176">
        <v>1411.82</v>
      </c>
      <c r="AB22" s="143">
        <v>0.0</v>
      </c>
      <c r="AC22" s="135"/>
      <c r="AD22" s="135"/>
    </row>
    <row r="23" ht="15.75" customHeight="1">
      <c r="A23" s="139" t="s">
        <v>267</v>
      </c>
      <c r="B23" s="141"/>
      <c r="C23" s="141"/>
      <c r="D23" s="141"/>
      <c r="E23" s="139"/>
      <c r="F23" s="139"/>
      <c r="G23" s="141"/>
      <c r="H23" s="139"/>
      <c r="I23" s="139"/>
      <c r="J23" s="139"/>
      <c r="K23" s="139"/>
      <c r="L23" s="141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54" t="s">
        <v>56</v>
      </c>
      <c r="AB23" s="143">
        <v>0.0</v>
      </c>
      <c r="AC23" s="135"/>
      <c r="AD23" s="135"/>
    </row>
    <row r="24" ht="15.75" hidden="1" customHeight="1">
      <c r="A24" s="139" t="s">
        <v>268</v>
      </c>
      <c r="B24" s="141"/>
      <c r="C24" s="141"/>
      <c r="D24" s="141"/>
      <c r="E24" s="139"/>
      <c r="F24" s="139"/>
      <c r="G24" s="141"/>
      <c r="H24" s="139"/>
      <c r="I24" s="139"/>
      <c r="J24" s="139"/>
      <c r="K24" s="139"/>
      <c r="L24" s="141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41"/>
      <c r="Z24" s="139"/>
      <c r="AA24" s="154" t="s">
        <v>56</v>
      </c>
      <c r="AB24" s="143">
        <v>0.0</v>
      </c>
      <c r="AC24" s="135"/>
      <c r="AD24" s="135"/>
    </row>
    <row r="25" ht="15.75" hidden="1" customHeight="1">
      <c r="A25" s="139" t="s">
        <v>269</v>
      </c>
      <c r="B25" s="141"/>
      <c r="C25" s="139"/>
      <c r="D25" s="139"/>
      <c r="E25" s="139"/>
      <c r="F25" s="139"/>
      <c r="G25" s="139"/>
      <c r="H25" s="139"/>
      <c r="I25" s="139"/>
      <c r="J25" s="139"/>
      <c r="K25" s="139"/>
      <c r="L25" s="141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41">
        <v>23824.14</v>
      </c>
      <c r="AA25" s="176">
        <v>23824.14</v>
      </c>
      <c r="AB25" s="143">
        <v>0.0</v>
      </c>
      <c r="AC25" s="135"/>
      <c r="AD25" s="135"/>
    </row>
    <row r="26" ht="15.75" hidden="1" customHeight="1">
      <c r="A26" s="139" t="s">
        <v>270</v>
      </c>
      <c r="B26" s="141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54" t="s">
        <v>56</v>
      </c>
      <c r="AB26" s="143">
        <v>0.0</v>
      </c>
      <c r="AC26" s="135"/>
      <c r="AD26" s="135"/>
    </row>
    <row r="27" ht="15.75" customHeight="1">
      <c r="A27" s="146" t="s">
        <v>271</v>
      </c>
      <c r="B27" s="147">
        <v>1756105.29</v>
      </c>
      <c r="C27" s="147">
        <v>44215.52</v>
      </c>
      <c r="D27" s="147">
        <v>321645.7</v>
      </c>
      <c r="E27" s="147">
        <v>30525.0</v>
      </c>
      <c r="F27" s="147">
        <v>54231.91</v>
      </c>
      <c r="G27" s="147">
        <v>383713.78</v>
      </c>
      <c r="H27" s="147">
        <v>269582.74</v>
      </c>
      <c r="I27" s="147">
        <v>43495.69</v>
      </c>
      <c r="J27" s="147">
        <v>2825137.08</v>
      </c>
      <c r="K27" s="147">
        <v>389529.29</v>
      </c>
      <c r="L27" s="147">
        <v>45387.98</v>
      </c>
      <c r="M27" s="147">
        <v>206004.92</v>
      </c>
      <c r="N27" s="147">
        <v>31922.41</v>
      </c>
      <c r="O27" s="147">
        <v>95588.8</v>
      </c>
      <c r="P27" s="147">
        <v>36000.0</v>
      </c>
      <c r="Q27" s="147">
        <v>81581.03</v>
      </c>
      <c r="R27" s="147">
        <v>76139.66</v>
      </c>
      <c r="S27" s="147">
        <v>166359.91</v>
      </c>
      <c r="T27" s="147">
        <v>301059.72</v>
      </c>
      <c r="U27" s="147">
        <v>43222.4</v>
      </c>
      <c r="V27" s="147">
        <v>137668.0</v>
      </c>
      <c r="W27" s="147">
        <v>931192.83</v>
      </c>
      <c r="X27" s="147">
        <v>45193.1</v>
      </c>
      <c r="Y27" s="147">
        <v>59000.0</v>
      </c>
      <c r="Z27" s="147">
        <v>31899.32</v>
      </c>
      <c r="AA27" s="147">
        <v>8406402.08</v>
      </c>
      <c r="AB27" s="178">
        <v>1.0</v>
      </c>
      <c r="AC27" s="135"/>
      <c r="AD27" s="135"/>
    </row>
    <row r="28" ht="15.75" customHeight="1">
      <c r="A28" s="149" t="s">
        <v>272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35"/>
      <c r="AD28" s="135"/>
    </row>
    <row r="29" ht="15.75" customHeight="1">
      <c r="A29" s="139" t="s">
        <v>47</v>
      </c>
      <c r="B29" s="141">
        <v>62272.95</v>
      </c>
      <c r="C29" s="141">
        <v>0.0</v>
      </c>
      <c r="D29" s="141">
        <v>19370.28</v>
      </c>
      <c r="E29" s="141">
        <v>0.0</v>
      </c>
      <c r="F29" s="141">
        <v>10988.58</v>
      </c>
      <c r="G29" s="141">
        <v>20378.08</v>
      </c>
      <c r="H29" s="141">
        <v>20717.19</v>
      </c>
      <c r="I29" s="141">
        <v>10064.0</v>
      </c>
      <c r="J29" s="141">
        <v>140667.48</v>
      </c>
      <c r="K29" s="141">
        <v>38227.05</v>
      </c>
      <c r="L29" s="141">
        <v>6577.8</v>
      </c>
      <c r="M29" s="141">
        <v>38874.81</v>
      </c>
      <c r="N29" s="141">
        <v>9980.36</v>
      </c>
      <c r="O29" s="141">
        <v>24661.61</v>
      </c>
      <c r="P29" s="141">
        <v>19510.0</v>
      </c>
      <c r="Q29" s="141">
        <v>170746.07</v>
      </c>
      <c r="R29" s="141">
        <v>31153.7</v>
      </c>
      <c r="S29" s="141">
        <v>39434.05</v>
      </c>
      <c r="T29" s="141">
        <v>52047.9</v>
      </c>
      <c r="U29" s="141">
        <v>32226.2</v>
      </c>
      <c r="V29" s="141">
        <v>21526.52</v>
      </c>
      <c r="W29" s="141">
        <v>64614.16</v>
      </c>
      <c r="X29" s="141">
        <v>17650.08</v>
      </c>
      <c r="Y29" s="141">
        <v>42235.29</v>
      </c>
      <c r="Z29" s="141">
        <v>71012.9</v>
      </c>
      <c r="AA29" s="176">
        <v>964937.06</v>
      </c>
      <c r="AB29" s="143">
        <v>0.29</v>
      </c>
      <c r="AC29" s="135"/>
      <c r="AD29" s="141"/>
    </row>
    <row r="30" ht="15.75" customHeight="1">
      <c r="A30" s="139" t="s">
        <v>48</v>
      </c>
      <c r="B30" s="141"/>
      <c r="C30" s="141">
        <v>0.0</v>
      </c>
      <c r="D30" s="141">
        <v>0.0</v>
      </c>
      <c r="E30" s="141">
        <v>0.0</v>
      </c>
      <c r="F30" s="141">
        <v>0.0</v>
      </c>
      <c r="G30" s="141">
        <v>0.0</v>
      </c>
      <c r="H30" s="141">
        <v>0.0</v>
      </c>
      <c r="I30" s="141">
        <v>0.0</v>
      </c>
      <c r="J30" s="141">
        <v>0.0</v>
      </c>
      <c r="K30" s="141">
        <v>0.0</v>
      </c>
      <c r="L30" s="141">
        <v>0.0</v>
      </c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0.0</v>
      </c>
      <c r="T30" s="141">
        <v>0.0</v>
      </c>
      <c r="U30" s="141">
        <v>0.0</v>
      </c>
      <c r="V30" s="141">
        <v>0.0</v>
      </c>
      <c r="W30" s="141">
        <v>0.0</v>
      </c>
      <c r="X30" s="141">
        <v>0.0</v>
      </c>
      <c r="Y30" s="141">
        <v>0.0</v>
      </c>
      <c r="Z30" s="141">
        <v>648710.74</v>
      </c>
      <c r="AA30" s="176">
        <v>648710.74</v>
      </c>
      <c r="AB30" s="143">
        <v>0.2</v>
      </c>
      <c r="AC30" s="135"/>
      <c r="AD30" s="135"/>
    </row>
    <row r="31" ht="15.75" customHeight="1">
      <c r="A31" s="139" t="s">
        <v>49</v>
      </c>
      <c r="B31" s="141"/>
      <c r="C31" s="141">
        <v>0.0</v>
      </c>
      <c r="D31" s="141">
        <v>0.0</v>
      </c>
      <c r="E31" s="141">
        <v>0.0</v>
      </c>
      <c r="F31" s="141">
        <v>0.0</v>
      </c>
      <c r="G31" s="141">
        <v>0.0</v>
      </c>
      <c r="H31" s="141">
        <v>0.0</v>
      </c>
      <c r="I31" s="141">
        <v>0.0</v>
      </c>
      <c r="J31" s="141">
        <v>0.0</v>
      </c>
      <c r="K31" s="141">
        <v>0.0</v>
      </c>
      <c r="L31" s="141">
        <v>0.0</v>
      </c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0.0</v>
      </c>
      <c r="T31" s="141">
        <v>0.0</v>
      </c>
      <c r="U31" s="141">
        <v>0.0</v>
      </c>
      <c r="V31" s="141">
        <v>0.0</v>
      </c>
      <c r="W31" s="141">
        <v>0.0</v>
      </c>
      <c r="X31" s="141">
        <v>0.0</v>
      </c>
      <c r="Y31" s="141">
        <v>0.0</v>
      </c>
      <c r="Z31" s="141">
        <v>28905.57</v>
      </c>
      <c r="AA31" s="176">
        <v>28905.57</v>
      </c>
      <c r="AB31" s="143">
        <v>0.01</v>
      </c>
      <c r="AC31" s="135"/>
      <c r="AD31" s="141"/>
    </row>
    <row r="32" ht="15.75" customHeight="1">
      <c r="A32" s="139" t="s">
        <v>50</v>
      </c>
      <c r="B32" s="141"/>
      <c r="C32" s="141">
        <v>0.0</v>
      </c>
      <c r="D32" s="141">
        <v>195160.0</v>
      </c>
      <c r="E32" s="141">
        <v>0.0</v>
      </c>
      <c r="F32" s="141">
        <v>16800.0</v>
      </c>
      <c r="G32" s="141">
        <v>0.0</v>
      </c>
      <c r="H32" s="141">
        <v>0.0</v>
      </c>
      <c r="I32" s="141">
        <v>0.0</v>
      </c>
      <c r="J32" s="141">
        <v>0.0</v>
      </c>
      <c r="K32" s="141">
        <v>0.0</v>
      </c>
      <c r="L32" s="141">
        <v>0.0</v>
      </c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0.0</v>
      </c>
      <c r="T32" s="141">
        <v>0.0</v>
      </c>
      <c r="U32" s="141">
        <v>0.0</v>
      </c>
      <c r="V32" s="141">
        <v>0.0</v>
      </c>
      <c r="W32" s="141">
        <v>0.0</v>
      </c>
      <c r="X32" s="141">
        <v>0.0</v>
      </c>
      <c r="Y32" s="141">
        <v>0.0</v>
      </c>
      <c r="Z32" s="141">
        <v>70953.14</v>
      </c>
      <c r="AA32" s="176">
        <v>282913.14</v>
      </c>
      <c r="AB32" s="143">
        <v>0.09</v>
      </c>
      <c r="AC32" s="135"/>
      <c r="AD32" s="135"/>
    </row>
    <row r="33" ht="15.75" customHeight="1">
      <c r="A33" s="139" t="s">
        <v>51</v>
      </c>
      <c r="B33" s="141"/>
      <c r="C33" s="141">
        <v>0.0</v>
      </c>
      <c r="D33" s="141">
        <v>0.0</v>
      </c>
      <c r="E33" s="141">
        <v>0.0</v>
      </c>
      <c r="F33" s="141">
        <v>0.0</v>
      </c>
      <c r="G33" s="141">
        <v>0.0</v>
      </c>
      <c r="H33" s="141">
        <v>0.0</v>
      </c>
      <c r="I33" s="141">
        <v>0.0</v>
      </c>
      <c r="J33" s="141">
        <v>0.0</v>
      </c>
      <c r="K33" s="141">
        <v>0.0</v>
      </c>
      <c r="L33" s="141">
        <v>0.0</v>
      </c>
      <c r="M33" s="141">
        <v>0.0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0.0</v>
      </c>
      <c r="T33" s="141">
        <v>0.0</v>
      </c>
      <c r="U33" s="141">
        <v>0.0</v>
      </c>
      <c r="V33" s="141">
        <v>0.0</v>
      </c>
      <c r="W33" s="141">
        <v>0.0</v>
      </c>
      <c r="X33" s="141">
        <v>0.0</v>
      </c>
      <c r="Y33" s="141">
        <v>0.0</v>
      </c>
      <c r="Z33" s="141">
        <v>0.0</v>
      </c>
      <c r="AA33" s="154" t="s">
        <v>56</v>
      </c>
      <c r="AB33" s="143">
        <v>0.0</v>
      </c>
      <c r="AC33" s="135"/>
      <c r="AD33" s="135"/>
    </row>
    <row r="34" ht="15.75" customHeight="1">
      <c r="A34" s="139" t="s">
        <v>52</v>
      </c>
      <c r="B34" s="141">
        <v>37113.71</v>
      </c>
      <c r="C34" s="141">
        <v>0.0</v>
      </c>
      <c r="D34" s="141">
        <v>0.0</v>
      </c>
      <c r="E34" s="141">
        <v>0.0</v>
      </c>
      <c r="F34" s="141">
        <v>0.0</v>
      </c>
      <c r="G34" s="141">
        <v>0.0</v>
      </c>
      <c r="H34" s="141">
        <v>0.0</v>
      </c>
      <c r="I34" s="141">
        <v>0.0</v>
      </c>
      <c r="J34" s="141">
        <v>0.0</v>
      </c>
      <c r="K34" s="141">
        <v>0.0</v>
      </c>
      <c r="L34" s="141">
        <v>0.0</v>
      </c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0.0</v>
      </c>
      <c r="T34" s="141">
        <v>0.0</v>
      </c>
      <c r="U34" s="141">
        <v>0.0</v>
      </c>
      <c r="V34" s="141">
        <v>0.0</v>
      </c>
      <c r="W34" s="141">
        <v>0.0</v>
      </c>
      <c r="X34" s="141">
        <v>0.0</v>
      </c>
      <c r="Y34" s="141">
        <v>0.0</v>
      </c>
      <c r="Z34" s="141">
        <v>9160.83</v>
      </c>
      <c r="AA34" s="176">
        <v>46274.54</v>
      </c>
      <c r="AB34" s="143">
        <v>0.01</v>
      </c>
      <c r="AC34" s="135"/>
      <c r="AD34" s="135"/>
    </row>
    <row r="35" ht="15.75" customHeight="1">
      <c r="A35" s="139" t="s">
        <v>53</v>
      </c>
      <c r="B35" s="141"/>
      <c r="C35" s="141">
        <v>0.0</v>
      </c>
      <c r="D35" s="141">
        <v>0.0</v>
      </c>
      <c r="E35" s="141">
        <v>0.0</v>
      </c>
      <c r="F35" s="141">
        <v>0.0</v>
      </c>
      <c r="G35" s="141">
        <v>358.6</v>
      </c>
      <c r="H35" s="141">
        <v>0.0</v>
      </c>
      <c r="I35" s="141">
        <v>0.0</v>
      </c>
      <c r="J35" s="141">
        <v>0.0</v>
      </c>
      <c r="K35" s="141">
        <v>0.0</v>
      </c>
      <c r="L35" s="141">
        <v>0.0</v>
      </c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0.0</v>
      </c>
      <c r="T35" s="141">
        <v>0.0</v>
      </c>
      <c r="U35" s="141">
        <v>0.0</v>
      </c>
      <c r="V35" s="141">
        <v>0.0</v>
      </c>
      <c r="W35" s="141">
        <v>0.0</v>
      </c>
      <c r="X35" s="141">
        <v>0.0</v>
      </c>
      <c r="Y35" s="141">
        <v>0.0</v>
      </c>
      <c r="Z35" s="141">
        <v>0.0</v>
      </c>
      <c r="AA35" s="154">
        <v>358.6</v>
      </c>
      <c r="AB35" s="143">
        <v>0.0</v>
      </c>
      <c r="AC35" s="135"/>
      <c r="AD35" s="135"/>
    </row>
    <row r="36" ht="15.75" customHeight="1">
      <c r="A36" s="139" t="s">
        <v>54</v>
      </c>
      <c r="B36" s="141">
        <v>911.21</v>
      </c>
      <c r="C36" s="141">
        <v>0.0</v>
      </c>
      <c r="D36" s="141">
        <v>911.21</v>
      </c>
      <c r="E36" s="141">
        <v>0.0</v>
      </c>
      <c r="F36" s="141">
        <v>868.1</v>
      </c>
      <c r="G36" s="141">
        <v>911.2</v>
      </c>
      <c r="H36" s="141">
        <v>567.24</v>
      </c>
      <c r="I36" s="141">
        <v>343.97</v>
      </c>
      <c r="J36" s="141">
        <v>688.8</v>
      </c>
      <c r="K36" s="141">
        <v>567.24</v>
      </c>
      <c r="L36" s="141">
        <v>567.24</v>
      </c>
      <c r="M36" s="141">
        <v>911.21</v>
      </c>
      <c r="N36" s="141">
        <v>567.24</v>
      </c>
      <c r="O36" s="141">
        <v>911.21</v>
      </c>
      <c r="P36" s="141">
        <v>1701.72</v>
      </c>
      <c r="Q36" s="141">
        <v>567.24</v>
      </c>
      <c r="R36" s="141">
        <v>567.24</v>
      </c>
      <c r="S36" s="141">
        <v>911.2</v>
      </c>
      <c r="T36" s="141">
        <v>567.24</v>
      </c>
      <c r="U36" s="141">
        <v>567.24</v>
      </c>
      <c r="V36" s="141">
        <v>911.21</v>
      </c>
      <c r="W36" s="141">
        <v>868.1</v>
      </c>
      <c r="X36" s="141">
        <v>0.0</v>
      </c>
      <c r="Y36" s="141">
        <v>0.0</v>
      </c>
      <c r="Z36" s="141">
        <v>32042.07</v>
      </c>
      <c r="AA36" s="176">
        <v>47429.13</v>
      </c>
      <c r="AB36" s="143">
        <v>0.01</v>
      </c>
      <c r="AC36" s="135"/>
      <c r="AD36" s="135"/>
    </row>
    <row r="37" ht="15.75" customHeight="1">
      <c r="A37" s="139" t="s">
        <v>55</v>
      </c>
      <c r="B37" s="141">
        <v>105500.0</v>
      </c>
      <c r="C37" s="141">
        <v>0.0</v>
      </c>
      <c r="D37" s="141">
        <v>0.0</v>
      </c>
      <c r="E37" s="141">
        <v>0.0</v>
      </c>
      <c r="F37" s="141">
        <v>0.0</v>
      </c>
      <c r="G37" s="141">
        <v>0.0</v>
      </c>
      <c r="H37" s="141">
        <v>0.0</v>
      </c>
      <c r="I37" s="141">
        <v>0.0</v>
      </c>
      <c r="J37" s="141">
        <v>0.0</v>
      </c>
      <c r="K37" s="141">
        <v>0.0</v>
      </c>
      <c r="L37" s="141">
        <v>0.0</v>
      </c>
      <c r="M37" s="141">
        <v>0.0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41">
        <v>0.0</v>
      </c>
      <c r="V37" s="141">
        <v>0.0</v>
      </c>
      <c r="W37" s="141">
        <v>0.0</v>
      </c>
      <c r="X37" s="141">
        <v>0.0</v>
      </c>
      <c r="Y37" s="141">
        <v>0.0</v>
      </c>
      <c r="Z37" s="141">
        <v>0.0</v>
      </c>
      <c r="AA37" s="176">
        <v>105500.0</v>
      </c>
      <c r="AB37" s="143">
        <v>0.03</v>
      </c>
      <c r="AC37" s="135"/>
      <c r="AD37" s="135"/>
    </row>
    <row r="38" ht="15.75" customHeight="1">
      <c r="A38" s="139" t="s">
        <v>57</v>
      </c>
      <c r="B38" s="141">
        <v>1628.56</v>
      </c>
      <c r="C38" s="141">
        <v>0.0</v>
      </c>
      <c r="D38" s="141">
        <v>552.05</v>
      </c>
      <c r="E38" s="141">
        <v>0.0</v>
      </c>
      <c r="F38" s="141">
        <v>138.01</v>
      </c>
      <c r="G38" s="141">
        <v>690.07</v>
      </c>
      <c r="H38" s="141">
        <v>552.05</v>
      </c>
      <c r="I38" s="141">
        <v>115.01</v>
      </c>
      <c r="J38" s="141">
        <v>6900.67</v>
      </c>
      <c r="K38" s="141">
        <v>3144.38</v>
      </c>
      <c r="L38" s="141">
        <v>101.21</v>
      </c>
      <c r="M38" s="141">
        <v>381.84</v>
      </c>
      <c r="N38" s="141">
        <v>50.6</v>
      </c>
      <c r="O38" s="141">
        <v>409.44</v>
      </c>
      <c r="P38" s="141">
        <v>460.04</v>
      </c>
      <c r="Q38" s="141">
        <v>3450.33</v>
      </c>
      <c r="R38" s="141">
        <v>179.42</v>
      </c>
      <c r="S38" s="141">
        <v>460.04</v>
      </c>
      <c r="T38" s="141">
        <v>547.45</v>
      </c>
      <c r="U38" s="141">
        <v>161.02</v>
      </c>
      <c r="V38" s="141">
        <v>161.02</v>
      </c>
      <c r="W38" s="141">
        <v>828.08</v>
      </c>
      <c r="X38" s="141">
        <v>0.0</v>
      </c>
      <c r="Y38" s="141">
        <v>682.86</v>
      </c>
      <c r="Z38" s="141">
        <v>441.16</v>
      </c>
      <c r="AA38" s="176">
        <v>22035.31</v>
      </c>
      <c r="AB38" s="143">
        <v>0.01</v>
      </c>
      <c r="AC38" s="135"/>
      <c r="AD38" s="135"/>
    </row>
    <row r="39" ht="15.75" customHeight="1">
      <c r="A39" s="139" t="s">
        <v>58</v>
      </c>
      <c r="B39" s="141">
        <v>2130.0</v>
      </c>
      <c r="C39" s="141">
        <v>0.0</v>
      </c>
      <c r="D39" s="141">
        <v>0.0</v>
      </c>
      <c r="E39" s="141">
        <v>0.0</v>
      </c>
      <c r="F39" s="141">
        <v>0.0</v>
      </c>
      <c r="G39" s="141">
        <v>0.0</v>
      </c>
      <c r="H39" s="141">
        <v>0.0</v>
      </c>
      <c r="I39" s="141">
        <v>0.0</v>
      </c>
      <c r="J39" s="141">
        <v>0.0</v>
      </c>
      <c r="K39" s="141">
        <v>1825.0</v>
      </c>
      <c r="L39" s="141">
        <v>0.0</v>
      </c>
      <c r="M39" s="141">
        <v>8848.0</v>
      </c>
      <c r="N39" s="141">
        <v>0.0</v>
      </c>
      <c r="O39" s="141">
        <v>0.0</v>
      </c>
      <c r="P39" s="141">
        <v>2130.0</v>
      </c>
      <c r="Q39" s="141">
        <v>2130.0</v>
      </c>
      <c r="R39" s="141">
        <v>0.0</v>
      </c>
      <c r="S39" s="141">
        <v>0.0</v>
      </c>
      <c r="T39" s="141">
        <v>4410.0</v>
      </c>
      <c r="U39" s="141">
        <v>0.0</v>
      </c>
      <c r="V39" s="141">
        <v>0.0</v>
      </c>
      <c r="W39" s="141">
        <v>0.0</v>
      </c>
      <c r="X39" s="141">
        <v>0.0</v>
      </c>
      <c r="Y39" s="141">
        <v>0.0</v>
      </c>
      <c r="Z39" s="141">
        <v>0.0</v>
      </c>
      <c r="AA39" s="176">
        <v>21473.0</v>
      </c>
      <c r="AB39" s="143">
        <v>0.01</v>
      </c>
      <c r="AC39" s="135"/>
      <c r="AD39" s="135"/>
    </row>
    <row r="40" ht="15.75" customHeight="1">
      <c r="A40" s="139" t="s">
        <v>59</v>
      </c>
      <c r="B40" s="141"/>
      <c r="C40" s="141">
        <v>0.0</v>
      </c>
      <c r="D40" s="141">
        <v>0.0</v>
      </c>
      <c r="E40" s="141">
        <v>0.0</v>
      </c>
      <c r="F40" s="141">
        <v>0.0</v>
      </c>
      <c r="G40" s="141">
        <v>0.0</v>
      </c>
      <c r="H40" s="141">
        <v>0.0</v>
      </c>
      <c r="I40" s="141">
        <v>0.0</v>
      </c>
      <c r="J40" s="141">
        <v>0.0</v>
      </c>
      <c r="K40" s="141">
        <v>0.0</v>
      </c>
      <c r="L40" s="141">
        <v>0.0</v>
      </c>
      <c r="M40" s="141">
        <v>0.0</v>
      </c>
      <c r="N40" s="141">
        <v>0.0</v>
      </c>
      <c r="O40" s="141">
        <v>0.0</v>
      </c>
      <c r="P40" s="141"/>
      <c r="Q40" s="141">
        <v>0.0</v>
      </c>
      <c r="R40" s="141">
        <v>0.0</v>
      </c>
      <c r="S40" s="141">
        <v>0.0</v>
      </c>
      <c r="T40" s="141">
        <v>0.0</v>
      </c>
      <c r="U40" s="141">
        <v>0.0</v>
      </c>
      <c r="V40" s="141">
        <v>0.0</v>
      </c>
      <c r="W40" s="141">
        <v>0.0</v>
      </c>
      <c r="X40" s="141">
        <v>0.0</v>
      </c>
      <c r="Y40" s="141">
        <v>0.0</v>
      </c>
      <c r="Z40" s="141">
        <v>0.0</v>
      </c>
      <c r="AA40" s="154" t="s">
        <v>56</v>
      </c>
      <c r="AB40" s="143">
        <v>0.0</v>
      </c>
      <c r="AC40" s="135"/>
      <c r="AD40" s="135"/>
    </row>
    <row r="41" ht="15.75" customHeight="1">
      <c r="A41" s="139" t="s">
        <v>60</v>
      </c>
      <c r="B41" s="141"/>
      <c r="C41" s="141">
        <v>0.0</v>
      </c>
      <c r="D41" s="141">
        <v>0.0</v>
      </c>
      <c r="E41" s="141">
        <v>0.0</v>
      </c>
      <c r="F41" s="141">
        <v>0.0</v>
      </c>
      <c r="G41" s="141">
        <v>0.0</v>
      </c>
      <c r="H41" s="141">
        <v>0.0</v>
      </c>
      <c r="I41" s="141">
        <v>0.0</v>
      </c>
      <c r="J41" s="141">
        <v>9500.0</v>
      </c>
      <c r="K41" s="141">
        <v>0.0</v>
      </c>
      <c r="L41" s="141">
        <v>0.0</v>
      </c>
      <c r="M41" s="141">
        <v>0.0</v>
      </c>
      <c r="N41" s="141">
        <v>0.0</v>
      </c>
      <c r="O41" s="141">
        <v>0.0</v>
      </c>
      <c r="P41" s="141"/>
      <c r="Q41" s="141">
        <v>0.0</v>
      </c>
      <c r="R41" s="141">
        <v>0.0</v>
      </c>
      <c r="S41" s="141">
        <v>0.0</v>
      </c>
      <c r="T41" s="141">
        <v>0.0</v>
      </c>
      <c r="U41" s="141">
        <v>0.0</v>
      </c>
      <c r="V41" s="141">
        <v>0.0</v>
      </c>
      <c r="W41" s="141">
        <v>0.0</v>
      </c>
      <c r="X41" s="141">
        <v>0.0</v>
      </c>
      <c r="Y41" s="141">
        <v>0.0</v>
      </c>
      <c r="Z41" s="141">
        <v>0.0</v>
      </c>
      <c r="AA41" s="176">
        <v>9500.0</v>
      </c>
      <c r="AB41" s="143">
        <v>0.0</v>
      </c>
      <c r="AC41" s="135"/>
      <c r="AD41" s="135"/>
    </row>
    <row r="42" ht="15.75" customHeight="1">
      <c r="A42" s="139" t="s">
        <v>61</v>
      </c>
      <c r="B42" s="141"/>
      <c r="C42" s="141">
        <v>0.0</v>
      </c>
      <c r="D42" s="141">
        <v>0.0</v>
      </c>
      <c r="E42" s="141">
        <v>0.0</v>
      </c>
      <c r="F42" s="141">
        <v>0.0</v>
      </c>
      <c r="G42" s="141">
        <v>0.0</v>
      </c>
      <c r="H42" s="141">
        <v>0.0</v>
      </c>
      <c r="I42" s="141">
        <v>0.0</v>
      </c>
      <c r="J42" s="141">
        <v>0.0</v>
      </c>
      <c r="K42" s="141">
        <v>0.0</v>
      </c>
      <c r="L42" s="141">
        <v>0.0</v>
      </c>
      <c r="M42" s="141">
        <v>0.0</v>
      </c>
      <c r="N42" s="141">
        <v>0.0</v>
      </c>
      <c r="O42" s="141">
        <v>0.0</v>
      </c>
      <c r="P42" s="141"/>
      <c r="Q42" s="141">
        <v>0.0</v>
      </c>
      <c r="R42" s="141">
        <v>0.0</v>
      </c>
      <c r="S42" s="141">
        <v>0.0</v>
      </c>
      <c r="T42" s="141">
        <v>0.0</v>
      </c>
      <c r="U42" s="141">
        <v>0.0</v>
      </c>
      <c r="V42" s="141">
        <v>0.0</v>
      </c>
      <c r="W42" s="141">
        <v>0.0</v>
      </c>
      <c r="X42" s="141">
        <v>0.0</v>
      </c>
      <c r="Y42" s="141">
        <v>0.0</v>
      </c>
      <c r="Z42" s="141">
        <v>0.0</v>
      </c>
      <c r="AA42" s="154" t="s">
        <v>56</v>
      </c>
      <c r="AB42" s="143">
        <v>0.0</v>
      </c>
      <c r="AC42" s="135"/>
      <c r="AD42" s="135"/>
    </row>
    <row r="43" ht="15.75" customHeight="1">
      <c r="A43" s="139" t="s">
        <v>62</v>
      </c>
      <c r="B43" s="141"/>
      <c r="C43" s="141">
        <v>0.0</v>
      </c>
      <c r="D43" s="141">
        <v>0.0</v>
      </c>
      <c r="E43" s="141">
        <v>0.0</v>
      </c>
      <c r="F43" s="141">
        <v>0.0</v>
      </c>
      <c r="G43" s="141">
        <v>0.0</v>
      </c>
      <c r="H43" s="141">
        <v>0.0</v>
      </c>
      <c r="I43" s="141">
        <v>0.0</v>
      </c>
      <c r="J43" s="141">
        <v>0.0</v>
      </c>
      <c r="K43" s="141">
        <v>0.0</v>
      </c>
      <c r="L43" s="141">
        <v>0.0</v>
      </c>
      <c r="M43" s="141">
        <v>0.0</v>
      </c>
      <c r="N43" s="141">
        <v>0.0</v>
      </c>
      <c r="O43" s="141">
        <v>0.0</v>
      </c>
      <c r="P43" s="141"/>
      <c r="Q43" s="141">
        <v>0.0</v>
      </c>
      <c r="R43" s="141">
        <v>0.0</v>
      </c>
      <c r="S43" s="141">
        <v>5763.46</v>
      </c>
      <c r="T43" s="141">
        <v>0.0</v>
      </c>
      <c r="U43" s="141">
        <v>0.0</v>
      </c>
      <c r="V43" s="141">
        <v>0.0</v>
      </c>
      <c r="W43" s="141">
        <v>0.0</v>
      </c>
      <c r="X43" s="141">
        <v>0.0</v>
      </c>
      <c r="Y43" s="141">
        <v>0.0</v>
      </c>
      <c r="Z43" s="141">
        <v>0.0</v>
      </c>
      <c r="AA43" s="176">
        <v>5763.46</v>
      </c>
      <c r="AB43" s="143">
        <v>0.0</v>
      </c>
      <c r="AC43" s="135"/>
      <c r="AD43" s="135"/>
    </row>
    <row r="44" ht="15.75" customHeight="1">
      <c r="A44" s="139" t="s">
        <v>63</v>
      </c>
      <c r="B44" s="141">
        <v>2808.75</v>
      </c>
      <c r="C44" s="141">
        <v>0.0</v>
      </c>
      <c r="D44" s="141">
        <v>0.0</v>
      </c>
      <c r="E44" s="141">
        <v>0.0</v>
      </c>
      <c r="F44" s="141">
        <v>0.0</v>
      </c>
      <c r="G44" s="141">
        <v>3500.0</v>
      </c>
      <c r="H44" s="141">
        <v>3500.0</v>
      </c>
      <c r="I44" s="141">
        <v>1500.0</v>
      </c>
      <c r="J44" s="141">
        <v>21120.0</v>
      </c>
      <c r="K44" s="141">
        <v>0.0</v>
      </c>
      <c r="L44" s="141">
        <v>0.0</v>
      </c>
      <c r="M44" s="141">
        <v>0.0</v>
      </c>
      <c r="N44" s="141">
        <v>0.0</v>
      </c>
      <c r="O44" s="141">
        <v>0.0</v>
      </c>
      <c r="P44" s="141"/>
      <c r="Q44" s="141">
        <v>0.0</v>
      </c>
      <c r="R44" s="141">
        <v>0.0</v>
      </c>
      <c r="S44" s="141">
        <v>1850.0</v>
      </c>
      <c r="T44" s="141">
        <v>5040.0</v>
      </c>
      <c r="U44" s="141">
        <v>0.0</v>
      </c>
      <c r="V44" s="141">
        <v>0.0</v>
      </c>
      <c r="W44" s="141">
        <v>0.0</v>
      </c>
      <c r="X44" s="141">
        <v>0.0</v>
      </c>
      <c r="Y44" s="141">
        <v>0.0</v>
      </c>
      <c r="Z44" s="141">
        <v>1350.0</v>
      </c>
      <c r="AA44" s="176">
        <v>40668.75</v>
      </c>
      <c r="AB44" s="143">
        <v>0.01</v>
      </c>
      <c r="AC44" s="135"/>
      <c r="AD44" s="135"/>
    </row>
    <row r="45" ht="15.75" customHeight="1">
      <c r="A45" s="139" t="s">
        <v>64</v>
      </c>
      <c r="B45" s="141"/>
      <c r="C45" s="141">
        <v>0.0</v>
      </c>
      <c r="D45" s="141">
        <v>0.0</v>
      </c>
      <c r="E45" s="141">
        <v>0.0</v>
      </c>
      <c r="F45" s="141">
        <v>0.0</v>
      </c>
      <c r="G45" s="141">
        <v>0.0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1"/>
      <c r="Q45" s="141">
        <v>0.0</v>
      </c>
      <c r="R45" s="141">
        <v>0.0</v>
      </c>
      <c r="S45" s="141">
        <v>0.0</v>
      </c>
      <c r="T45" s="141">
        <v>0.0</v>
      </c>
      <c r="U45" s="141">
        <v>0.0</v>
      </c>
      <c r="V45" s="141">
        <v>0.0</v>
      </c>
      <c r="W45" s="141">
        <v>0.0</v>
      </c>
      <c r="X45" s="141">
        <v>0.0</v>
      </c>
      <c r="Y45" s="141">
        <v>0.0</v>
      </c>
      <c r="Z45" s="141">
        <v>0.0</v>
      </c>
      <c r="AA45" s="154" t="s">
        <v>56</v>
      </c>
      <c r="AB45" s="143">
        <v>0.0</v>
      </c>
      <c r="AC45" s="135"/>
      <c r="AD45" s="135"/>
    </row>
    <row r="46" ht="15.75" customHeight="1">
      <c r="A46" s="139" t="s">
        <v>65</v>
      </c>
      <c r="B46" s="141"/>
      <c r="C46" s="141">
        <v>0.0</v>
      </c>
      <c r="D46" s="141">
        <v>222.48</v>
      </c>
      <c r="E46" s="141">
        <v>0.0</v>
      </c>
      <c r="F46" s="141">
        <v>222.48</v>
      </c>
      <c r="G46" s="141">
        <v>0.0</v>
      </c>
      <c r="H46" s="141">
        <v>1112.4</v>
      </c>
      <c r="I46" s="141">
        <v>667.44</v>
      </c>
      <c r="J46" s="141">
        <v>0.0</v>
      </c>
      <c r="K46" s="141">
        <v>0.0</v>
      </c>
      <c r="L46" s="141">
        <v>222.48</v>
      </c>
      <c r="M46" s="141">
        <v>667.44</v>
      </c>
      <c r="N46" s="141">
        <v>222.48</v>
      </c>
      <c r="O46" s="141">
        <v>0.0</v>
      </c>
      <c r="P46" s="141"/>
      <c r="Q46" s="141">
        <v>0.0</v>
      </c>
      <c r="R46" s="141">
        <v>0.0</v>
      </c>
      <c r="S46" s="141">
        <v>667.44</v>
      </c>
      <c r="T46" s="141">
        <v>0.0</v>
      </c>
      <c r="U46" s="141">
        <v>0.0</v>
      </c>
      <c r="V46" s="141">
        <v>0.0</v>
      </c>
      <c r="W46" s="141">
        <v>0.0</v>
      </c>
      <c r="X46" s="141">
        <v>0.0</v>
      </c>
      <c r="Y46" s="141">
        <v>0.0</v>
      </c>
      <c r="Z46" s="141">
        <v>0.0</v>
      </c>
      <c r="AA46" s="176">
        <v>4004.64</v>
      </c>
      <c r="AB46" s="143">
        <v>0.0</v>
      </c>
      <c r="AC46" s="135"/>
      <c r="AD46" s="135"/>
    </row>
    <row r="47" ht="15.75" customHeight="1">
      <c r="A47" s="135" t="s">
        <v>66</v>
      </c>
      <c r="B47" s="141"/>
      <c r="C47" s="141">
        <v>0.0</v>
      </c>
      <c r="D47" s="141">
        <v>0.0</v>
      </c>
      <c r="E47" s="141">
        <v>0.0</v>
      </c>
      <c r="F47" s="141">
        <v>0.0</v>
      </c>
      <c r="G47" s="141">
        <v>0.0</v>
      </c>
      <c r="H47" s="141">
        <v>0.0</v>
      </c>
      <c r="I47" s="141">
        <v>0.0</v>
      </c>
      <c r="J47" s="141">
        <v>0.0</v>
      </c>
      <c r="K47" s="141">
        <v>0.0</v>
      </c>
      <c r="L47" s="141">
        <v>0.0</v>
      </c>
      <c r="M47" s="141">
        <v>0.0</v>
      </c>
      <c r="N47" s="141">
        <v>0.0</v>
      </c>
      <c r="O47" s="141">
        <v>0.0</v>
      </c>
      <c r="P47" s="141"/>
      <c r="Q47" s="141">
        <v>0.0</v>
      </c>
      <c r="R47" s="141">
        <v>0.0</v>
      </c>
      <c r="S47" s="141">
        <v>0.0</v>
      </c>
      <c r="T47" s="141">
        <v>0.0</v>
      </c>
      <c r="U47" s="141">
        <v>0.0</v>
      </c>
      <c r="V47" s="141">
        <v>0.0</v>
      </c>
      <c r="W47" s="141">
        <v>0.0</v>
      </c>
      <c r="X47" s="141">
        <v>0.0</v>
      </c>
      <c r="Y47" s="141">
        <v>0.0</v>
      </c>
      <c r="Z47" s="141">
        <v>10500.0</v>
      </c>
      <c r="AA47" s="176">
        <v>10500.0</v>
      </c>
      <c r="AB47" s="143">
        <v>0.0</v>
      </c>
      <c r="AC47" s="135"/>
      <c r="AD47" s="135"/>
    </row>
    <row r="48" ht="15.75" customHeight="1">
      <c r="A48" s="139" t="s">
        <v>67</v>
      </c>
      <c r="B48" s="141">
        <v>78.49</v>
      </c>
      <c r="C48" s="141">
        <v>0.0</v>
      </c>
      <c r="D48" s="141">
        <v>178.87</v>
      </c>
      <c r="E48" s="141">
        <v>0.0</v>
      </c>
      <c r="F48" s="141">
        <v>8.33</v>
      </c>
      <c r="G48" s="141">
        <v>22.46</v>
      </c>
      <c r="H48" s="141">
        <v>1050.16</v>
      </c>
      <c r="I48" s="141">
        <v>421.55</v>
      </c>
      <c r="J48" s="141">
        <v>0.0</v>
      </c>
      <c r="K48" s="141">
        <v>222.62</v>
      </c>
      <c r="L48" s="141">
        <v>344.4</v>
      </c>
      <c r="M48" s="141">
        <v>325.55</v>
      </c>
      <c r="N48" s="141">
        <v>81.9</v>
      </c>
      <c r="O48" s="141">
        <v>340.0</v>
      </c>
      <c r="P48" s="141"/>
      <c r="Q48" s="141">
        <v>174.68</v>
      </c>
      <c r="R48" s="141">
        <v>355.06</v>
      </c>
      <c r="S48" s="141">
        <v>0.0</v>
      </c>
      <c r="T48" s="141">
        <v>0.0</v>
      </c>
      <c r="U48" s="141">
        <v>64.31</v>
      </c>
      <c r="V48" s="141">
        <v>0.0</v>
      </c>
      <c r="W48" s="141">
        <v>459.82</v>
      </c>
      <c r="X48" s="141">
        <v>0.0</v>
      </c>
      <c r="Y48" s="141">
        <v>0.0</v>
      </c>
      <c r="Z48" s="141">
        <v>2382.3</v>
      </c>
      <c r="AA48" s="176">
        <v>6510.5</v>
      </c>
      <c r="AB48" s="143">
        <v>0.0</v>
      </c>
      <c r="AC48" s="135"/>
      <c r="AD48" s="135"/>
    </row>
    <row r="49" ht="15.75" customHeight="1">
      <c r="A49" s="139" t="s">
        <v>68</v>
      </c>
      <c r="B49" s="141">
        <v>553.1</v>
      </c>
      <c r="C49" s="141">
        <v>0.0</v>
      </c>
      <c r="D49" s="141">
        <v>70.01</v>
      </c>
      <c r="E49" s="141">
        <v>0.0</v>
      </c>
      <c r="F49" s="141">
        <v>78.71</v>
      </c>
      <c r="G49" s="141">
        <v>94.54</v>
      </c>
      <c r="H49" s="141">
        <v>212.12</v>
      </c>
      <c r="I49" s="141">
        <v>0.0</v>
      </c>
      <c r="J49" s="141">
        <v>0.0</v>
      </c>
      <c r="K49" s="141">
        <v>0.0</v>
      </c>
      <c r="L49" s="141">
        <v>36.13</v>
      </c>
      <c r="M49" s="141">
        <v>98.05</v>
      </c>
      <c r="N49" s="141">
        <v>150.04</v>
      </c>
      <c r="O49" s="141">
        <v>0.0</v>
      </c>
      <c r="P49" s="141"/>
      <c r="Q49" s="141">
        <v>199.25</v>
      </c>
      <c r="R49" s="141">
        <v>148.72</v>
      </c>
      <c r="S49" s="141">
        <v>0.0</v>
      </c>
      <c r="T49" s="141">
        <v>0.0</v>
      </c>
      <c r="U49" s="141">
        <v>21.58</v>
      </c>
      <c r="V49" s="141">
        <v>0.0</v>
      </c>
      <c r="W49" s="141">
        <v>300.42</v>
      </c>
      <c r="X49" s="141">
        <v>0.0</v>
      </c>
      <c r="Y49" s="141">
        <v>0.0</v>
      </c>
      <c r="Z49" s="141">
        <v>1179.53</v>
      </c>
      <c r="AA49" s="176">
        <v>3142.2</v>
      </c>
      <c r="AB49" s="143">
        <v>0.0</v>
      </c>
      <c r="AC49" s="135"/>
      <c r="AD49" s="135"/>
    </row>
    <row r="50" ht="15.75" customHeight="1">
      <c r="A50" s="139" t="s">
        <v>69</v>
      </c>
      <c r="B50" s="141"/>
      <c r="C50" s="141">
        <v>0.0</v>
      </c>
      <c r="D50" s="141">
        <v>0.0</v>
      </c>
      <c r="E50" s="141">
        <v>0.0</v>
      </c>
      <c r="F50" s="141">
        <v>0.0</v>
      </c>
      <c r="G50" s="141">
        <v>0.0</v>
      </c>
      <c r="H50" s="141">
        <v>0.0</v>
      </c>
      <c r="I50" s="141">
        <v>0.0</v>
      </c>
      <c r="J50" s="141">
        <v>0.0</v>
      </c>
      <c r="K50" s="141">
        <v>0.0</v>
      </c>
      <c r="L50" s="141">
        <v>0.0</v>
      </c>
      <c r="M50" s="141">
        <v>0.0</v>
      </c>
      <c r="N50" s="141">
        <v>0.0</v>
      </c>
      <c r="O50" s="141">
        <v>0.0</v>
      </c>
      <c r="P50" s="141"/>
      <c r="Q50" s="141">
        <v>0.0</v>
      </c>
      <c r="R50" s="141">
        <v>0.0</v>
      </c>
      <c r="S50" s="141">
        <v>0.0</v>
      </c>
      <c r="T50" s="141">
        <v>0.0</v>
      </c>
      <c r="U50" s="141">
        <v>0.0</v>
      </c>
      <c r="V50" s="141">
        <v>0.0</v>
      </c>
      <c r="W50" s="141">
        <v>0.0</v>
      </c>
      <c r="X50" s="141">
        <v>0.0</v>
      </c>
      <c r="Y50" s="141">
        <v>0.0</v>
      </c>
      <c r="Z50" s="141">
        <v>0.0</v>
      </c>
      <c r="AA50" s="154" t="s">
        <v>56</v>
      </c>
      <c r="AB50" s="143">
        <v>0.0</v>
      </c>
      <c r="AC50" s="135"/>
      <c r="AD50" s="135"/>
    </row>
    <row r="51" ht="15.75" customHeight="1">
      <c r="A51" s="139" t="s">
        <v>70</v>
      </c>
      <c r="B51" s="141"/>
      <c r="C51" s="141">
        <v>0.0</v>
      </c>
      <c r="D51" s="141">
        <v>0.0</v>
      </c>
      <c r="E51" s="141">
        <v>0.0</v>
      </c>
      <c r="F51" s="141">
        <v>0.0</v>
      </c>
      <c r="G51" s="141">
        <v>0.0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1"/>
      <c r="Q51" s="141">
        <v>0.0</v>
      </c>
      <c r="R51" s="141">
        <v>0.0</v>
      </c>
      <c r="S51" s="141">
        <v>0.0</v>
      </c>
      <c r="T51" s="141">
        <v>0.0</v>
      </c>
      <c r="U51" s="141">
        <v>0.0</v>
      </c>
      <c r="V51" s="141">
        <v>0.0</v>
      </c>
      <c r="W51" s="141">
        <v>0.0</v>
      </c>
      <c r="X51" s="141">
        <v>0.0</v>
      </c>
      <c r="Y51" s="141">
        <v>0.0</v>
      </c>
      <c r="Z51" s="141">
        <v>1292.9</v>
      </c>
      <c r="AA51" s="176">
        <v>1292.9</v>
      </c>
      <c r="AB51" s="143">
        <v>0.0</v>
      </c>
      <c r="AC51" s="135"/>
      <c r="AD51" s="135"/>
    </row>
    <row r="52" ht="15.75" customHeight="1">
      <c r="A52" s="139" t="s">
        <v>71</v>
      </c>
      <c r="B52" s="141"/>
      <c r="C52" s="141">
        <v>0.0</v>
      </c>
      <c r="D52" s="141">
        <v>0.0</v>
      </c>
      <c r="E52" s="141">
        <v>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141">
        <v>0.0</v>
      </c>
      <c r="N52" s="141">
        <v>0.0</v>
      </c>
      <c r="O52" s="141">
        <v>0.0</v>
      </c>
      <c r="P52" s="141"/>
      <c r="Q52" s="141">
        <v>0.0</v>
      </c>
      <c r="R52" s="141">
        <v>0.0</v>
      </c>
      <c r="S52" s="141">
        <v>0.0</v>
      </c>
      <c r="T52" s="141">
        <v>0.0</v>
      </c>
      <c r="U52" s="141">
        <v>0.0</v>
      </c>
      <c r="V52" s="141">
        <v>0.0</v>
      </c>
      <c r="W52" s="141">
        <v>0.0</v>
      </c>
      <c r="X52" s="141">
        <v>0.0</v>
      </c>
      <c r="Y52" s="141">
        <v>0.0</v>
      </c>
      <c r="Z52" s="141">
        <v>0.0</v>
      </c>
      <c r="AA52" s="154" t="s">
        <v>56</v>
      </c>
      <c r="AB52" s="143">
        <v>0.0</v>
      </c>
      <c r="AC52" s="135"/>
      <c r="AD52" s="135"/>
    </row>
    <row r="53" ht="15.75" customHeight="1">
      <c r="A53" s="139" t="s">
        <v>72</v>
      </c>
      <c r="B53" s="141"/>
      <c r="C53" s="141">
        <v>0.0</v>
      </c>
      <c r="D53" s="141">
        <v>0.0</v>
      </c>
      <c r="E53" s="141">
        <v>0.0</v>
      </c>
      <c r="F53" s="141">
        <v>0.0</v>
      </c>
      <c r="G53" s="141">
        <v>0.0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1"/>
      <c r="Q53" s="141">
        <v>0.0</v>
      </c>
      <c r="R53" s="141">
        <v>0.0</v>
      </c>
      <c r="S53" s="141">
        <v>0.0</v>
      </c>
      <c r="T53" s="141">
        <v>0.0</v>
      </c>
      <c r="U53" s="141">
        <v>0.0</v>
      </c>
      <c r="V53" s="141">
        <v>0.0</v>
      </c>
      <c r="W53" s="141">
        <v>0.0</v>
      </c>
      <c r="X53" s="141">
        <v>0.0</v>
      </c>
      <c r="Y53" s="141">
        <v>0.0</v>
      </c>
      <c r="Z53" s="141">
        <v>0.0</v>
      </c>
      <c r="AA53" s="154" t="s">
        <v>56</v>
      </c>
      <c r="AB53" s="143">
        <v>0.0</v>
      </c>
      <c r="AC53" s="135"/>
      <c r="AD53" s="135"/>
    </row>
    <row r="54" ht="15.75" customHeight="1">
      <c r="A54" s="139" t="s">
        <v>73</v>
      </c>
      <c r="B54" s="141"/>
      <c r="C54" s="141">
        <v>0.0</v>
      </c>
      <c r="D54" s="141">
        <v>0.0</v>
      </c>
      <c r="E54" s="141">
        <v>0.0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1"/>
      <c r="Q54" s="141">
        <v>0.0</v>
      </c>
      <c r="R54" s="141">
        <v>0.0</v>
      </c>
      <c r="S54" s="141">
        <v>0.0</v>
      </c>
      <c r="T54" s="141">
        <v>0.0</v>
      </c>
      <c r="U54" s="141">
        <v>0.0</v>
      </c>
      <c r="V54" s="141">
        <v>0.0</v>
      </c>
      <c r="W54" s="141">
        <v>0.0</v>
      </c>
      <c r="X54" s="141">
        <v>0.0</v>
      </c>
      <c r="Y54" s="141">
        <v>0.0</v>
      </c>
      <c r="Z54" s="141">
        <v>0.0</v>
      </c>
      <c r="AA54" s="154" t="s">
        <v>56</v>
      </c>
      <c r="AB54" s="143">
        <v>0.0</v>
      </c>
      <c r="AC54" s="135"/>
      <c r="AD54" s="135"/>
    </row>
    <row r="55" ht="15.75" customHeight="1">
      <c r="A55" s="139" t="s">
        <v>74</v>
      </c>
      <c r="B55" s="141"/>
      <c r="C55" s="141">
        <v>0.0</v>
      </c>
      <c r="D55" s="141">
        <v>0.0</v>
      </c>
      <c r="E55" s="141">
        <v>0.0</v>
      </c>
      <c r="F55" s="141">
        <v>0.0</v>
      </c>
      <c r="G55" s="141">
        <v>0.0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1"/>
      <c r="Q55" s="141">
        <v>0.0</v>
      </c>
      <c r="R55" s="141">
        <v>0.0</v>
      </c>
      <c r="S55" s="141">
        <v>0.0</v>
      </c>
      <c r="T55" s="141">
        <v>0.0</v>
      </c>
      <c r="U55" s="141">
        <v>0.0</v>
      </c>
      <c r="V55" s="141">
        <v>0.0</v>
      </c>
      <c r="W55" s="141">
        <v>0.0</v>
      </c>
      <c r="X55" s="141">
        <v>0.0</v>
      </c>
      <c r="Y55" s="141">
        <v>0.0</v>
      </c>
      <c r="Z55" s="141">
        <v>0.0</v>
      </c>
      <c r="AA55" s="154" t="s">
        <v>56</v>
      </c>
      <c r="AB55" s="143">
        <v>0.0</v>
      </c>
      <c r="AC55" s="135"/>
      <c r="AD55" s="135"/>
    </row>
    <row r="56" ht="15.75" customHeight="1">
      <c r="A56" s="139" t="s">
        <v>75</v>
      </c>
      <c r="B56" s="141"/>
      <c r="C56" s="141">
        <v>0.0</v>
      </c>
      <c r="D56" s="141">
        <v>0.0</v>
      </c>
      <c r="E56" s="141">
        <v>0.0</v>
      </c>
      <c r="F56" s="141">
        <v>0.0</v>
      </c>
      <c r="G56" s="141">
        <v>0.0</v>
      </c>
      <c r="H56" s="141">
        <v>0.0</v>
      </c>
      <c r="I56" s="141">
        <v>0.0</v>
      </c>
      <c r="J56" s="141">
        <v>2825.86</v>
      </c>
      <c r="K56" s="141">
        <v>0.0</v>
      </c>
      <c r="L56" s="141">
        <v>0.0</v>
      </c>
      <c r="M56" s="141">
        <v>0.0</v>
      </c>
      <c r="N56" s="141">
        <v>0.0</v>
      </c>
      <c r="O56" s="141">
        <v>0.0</v>
      </c>
      <c r="P56" s="141"/>
      <c r="Q56" s="141">
        <v>0.0</v>
      </c>
      <c r="R56" s="141">
        <v>0.0</v>
      </c>
      <c r="S56" s="141">
        <v>0.0</v>
      </c>
      <c r="T56" s="141">
        <v>0.0</v>
      </c>
      <c r="U56" s="141">
        <v>0.0</v>
      </c>
      <c r="V56" s="141">
        <v>0.0</v>
      </c>
      <c r="W56" s="141">
        <v>0.0</v>
      </c>
      <c r="X56" s="141">
        <v>0.0</v>
      </c>
      <c r="Y56" s="141">
        <v>0.0</v>
      </c>
      <c r="Z56" s="141">
        <v>0.0</v>
      </c>
      <c r="AA56" s="176">
        <v>2825.86</v>
      </c>
      <c r="AB56" s="143">
        <v>0.0</v>
      </c>
      <c r="AC56" s="135"/>
      <c r="AD56" s="135"/>
    </row>
    <row r="57" ht="15.75" customHeight="1">
      <c r="A57" s="139" t="s">
        <v>76</v>
      </c>
      <c r="B57" s="141">
        <v>242.0</v>
      </c>
      <c r="C57" s="141">
        <v>0.0</v>
      </c>
      <c r="D57" s="141">
        <v>121.0</v>
      </c>
      <c r="E57" s="141">
        <v>0.0</v>
      </c>
      <c r="F57" s="141">
        <v>0.0</v>
      </c>
      <c r="G57" s="141">
        <v>0.0</v>
      </c>
      <c r="H57" s="141">
        <v>181.5</v>
      </c>
      <c r="I57" s="141">
        <v>121.0</v>
      </c>
      <c r="J57" s="141">
        <v>0.0</v>
      </c>
      <c r="K57" s="141">
        <v>796.5</v>
      </c>
      <c r="L57" s="141">
        <v>0.0</v>
      </c>
      <c r="M57" s="141">
        <v>1295.5</v>
      </c>
      <c r="N57" s="141">
        <v>0.0</v>
      </c>
      <c r="O57" s="141">
        <v>0.0</v>
      </c>
      <c r="P57" s="141"/>
      <c r="Q57" s="141">
        <v>181.5</v>
      </c>
      <c r="R57" s="141">
        <v>0.0</v>
      </c>
      <c r="S57" s="141">
        <v>847.0</v>
      </c>
      <c r="T57" s="141">
        <v>121.0</v>
      </c>
      <c r="U57" s="141">
        <v>0.0</v>
      </c>
      <c r="V57" s="141">
        <v>0.0</v>
      </c>
      <c r="W57" s="141">
        <v>857.0</v>
      </c>
      <c r="X57" s="141">
        <v>0.0</v>
      </c>
      <c r="Y57" s="141">
        <v>0.0</v>
      </c>
      <c r="Z57" s="141">
        <v>403.7</v>
      </c>
      <c r="AA57" s="176">
        <v>5167.7</v>
      </c>
      <c r="AB57" s="143">
        <v>0.0</v>
      </c>
      <c r="AC57" s="135"/>
      <c r="AD57" s="135"/>
    </row>
    <row r="58" ht="15.75" customHeight="1">
      <c r="A58" s="139" t="s">
        <v>77</v>
      </c>
      <c r="B58" s="141"/>
      <c r="C58" s="141">
        <v>0.0</v>
      </c>
      <c r="D58" s="141">
        <v>0.0</v>
      </c>
      <c r="E58" s="141">
        <v>0.0</v>
      </c>
      <c r="F58" s="141">
        <v>0.0</v>
      </c>
      <c r="G58" s="141">
        <v>0.0</v>
      </c>
      <c r="H58" s="141">
        <v>0.0</v>
      </c>
      <c r="I58" s="141">
        <v>0.0</v>
      </c>
      <c r="J58" s="141">
        <v>0.0</v>
      </c>
      <c r="K58" s="141">
        <v>0.0</v>
      </c>
      <c r="L58" s="141">
        <v>0.0</v>
      </c>
      <c r="M58" s="141">
        <v>0.0</v>
      </c>
      <c r="N58" s="141">
        <v>0.0</v>
      </c>
      <c r="O58" s="141">
        <v>0.0</v>
      </c>
      <c r="P58" s="141"/>
      <c r="Q58" s="141">
        <v>0.0</v>
      </c>
      <c r="R58" s="141">
        <v>0.0</v>
      </c>
      <c r="S58" s="141">
        <v>0.0</v>
      </c>
      <c r="T58" s="141">
        <v>0.0</v>
      </c>
      <c r="U58" s="141">
        <v>0.0</v>
      </c>
      <c r="V58" s="141">
        <v>0.0</v>
      </c>
      <c r="W58" s="141">
        <v>0.0</v>
      </c>
      <c r="X58" s="141">
        <v>0.0</v>
      </c>
      <c r="Y58" s="141">
        <v>0.0</v>
      </c>
      <c r="Z58" s="141">
        <v>908.75</v>
      </c>
      <c r="AA58" s="154">
        <v>908.75</v>
      </c>
      <c r="AB58" s="143">
        <v>0.0</v>
      </c>
      <c r="AC58" s="135"/>
      <c r="AD58" s="135"/>
    </row>
    <row r="59" ht="15.75" customHeight="1">
      <c r="A59" s="139" t="s">
        <v>78</v>
      </c>
      <c r="B59" s="141"/>
      <c r="C59" s="141">
        <v>0.0</v>
      </c>
      <c r="D59" s="141">
        <v>0.0</v>
      </c>
      <c r="E59" s="141">
        <v>0.0</v>
      </c>
      <c r="F59" s="141">
        <v>0.0</v>
      </c>
      <c r="G59" s="141">
        <v>0.0</v>
      </c>
      <c r="H59" s="141">
        <v>0.0</v>
      </c>
      <c r="I59" s="141">
        <v>0.0</v>
      </c>
      <c r="J59" s="141">
        <v>0.0</v>
      </c>
      <c r="K59" s="141">
        <v>0.0</v>
      </c>
      <c r="L59" s="141">
        <v>0.0</v>
      </c>
      <c r="M59" s="141">
        <v>0.0</v>
      </c>
      <c r="N59" s="141">
        <v>0.0</v>
      </c>
      <c r="O59" s="141">
        <v>0.0</v>
      </c>
      <c r="P59" s="141"/>
      <c r="Q59" s="141">
        <v>0.0</v>
      </c>
      <c r="R59" s="141">
        <v>0.0</v>
      </c>
      <c r="S59" s="141">
        <v>0.0</v>
      </c>
      <c r="T59" s="141">
        <v>0.0</v>
      </c>
      <c r="U59" s="141">
        <v>0.0</v>
      </c>
      <c r="V59" s="141">
        <v>0.0</v>
      </c>
      <c r="W59" s="141">
        <v>0.0</v>
      </c>
      <c r="X59" s="141">
        <v>0.0</v>
      </c>
      <c r="Y59" s="141">
        <v>0.0</v>
      </c>
      <c r="Z59" s="141">
        <v>2934.96</v>
      </c>
      <c r="AA59" s="176">
        <v>2934.96</v>
      </c>
      <c r="AB59" s="143">
        <v>0.0</v>
      </c>
      <c r="AC59" s="135"/>
      <c r="AD59" s="135"/>
    </row>
    <row r="60" ht="15.75" customHeight="1">
      <c r="A60" s="139" t="s">
        <v>79</v>
      </c>
      <c r="B60" s="141"/>
      <c r="C60" s="141">
        <v>0.0</v>
      </c>
      <c r="D60" s="141">
        <v>0.0</v>
      </c>
      <c r="E60" s="141">
        <v>0.0</v>
      </c>
      <c r="F60" s="141">
        <v>0.0</v>
      </c>
      <c r="G60" s="141">
        <v>0.0</v>
      </c>
      <c r="H60" s="141">
        <v>0.0</v>
      </c>
      <c r="I60" s="141">
        <v>0.0</v>
      </c>
      <c r="J60" s="141">
        <v>18350.0</v>
      </c>
      <c r="K60" s="141">
        <v>0.0</v>
      </c>
      <c r="L60" s="141">
        <v>0.0</v>
      </c>
      <c r="M60" s="141">
        <v>0.0</v>
      </c>
      <c r="N60" s="141">
        <v>0.0</v>
      </c>
      <c r="O60" s="141">
        <v>0.0</v>
      </c>
      <c r="P60" s="141"/>
      <c r="Q60" s="141">
        <v>0.0</v>
      </c>
      <c r="R60" s="141">
        <v>0.0</v>
      </c>
      <c r="S60" s="141">
        <v>0.0</v>
      </c>
      <c r="T60" s="141">
        <v>0.0</v>
      </c>
      <c r="U60" s="141">
        <v>0.0</v>
      </c>
      <c r="V60" s="141">
        <v>0.0</v>
      </c>
      <c r="W60" s="141">
        <v>0.0</v>
      </c>
      <c r="X60" s="141">
        <v>0.0</v>
      </c>
      <c r="Y60" s="141">
        <v>0.0</v>
      </c>
      <c r="Z60" s="141">
        <v>0.0</v>
      </c>
      <c r="AA60" s="176">
        <v>18350.0</v>
      </c>
      <c r="AB60" s="143">
        <v>0.01</v>
      </c>
      <c r="AC60" s="135"/>
      <c r="AD60" s="135"/>
    </row>
    <row r="61" ht="15.75" customHeight="1">
      <c r="A61" s="139" t="s">
        <v>80</v>
      </c>
      <c r="B61" s="141"/>
      <c r="C61" s="141">
        <v>0.0</v>
      </c>
      <c r="D61" s="141">
        <v>0.0</v>
      </c>
      <c r="E61" s="141">
        <v>0.0</v>
      </c>
      <c r="F61" s="141">
        <v>0.0</v>
      </c>
      <c r="G61" s="141">
        <v>0.0</v>
      </c>
      <c r="H61" s="141">
        <v>0.0</v>
      </c>
      <c r="I61" s="141">
        <v>0.0</v>
      </c>
      <c r="J61" s="141">
        <v>0.0</v>
      </c>
      <c r="K61" s="141">
        <v>0.0</v>
      </c>
      <c r="L61" s="141">
        <v>0.0</v>
      </c>
      <c r="M61" s="141">
        <v>0.0</v>
      </c>
      <c r="N61" s="141">
        <v>0.0</v>
      </c>
      <c r="O61" s="141">
        <v>0.0</v>
      </c>
      <c r="P61" s="141"/>
      <c r="Q61" s="141">
        <v>0.0</v>
      </c>
      <c r="R61" s="141">
        <v>0.0</v>
      </c>
      <c r="S61" s="141">
        <v>0.0</v>
      </c>
      <c r="T61" s="141">
        <v>0.0</v>
      </c>
      <c r="U61" s="141">
        <v>0.0</v>
      </c>
      <c r="V61" s="141">
        <v>0.0</v>
      </c>
      <c r="W61" s="141">
        <v>0.0</v>
      </c>
      <c r="X61" s="141">
        <v>0.0</v>
      </c>
      <c r="Y61" s="141">
        <v>0.0</v>
      </c>
      <c r="Z61" s="141">
        <v>4363.69</v>
      </c>
      <c r="AA61" s="176">
        <v>4363.69</v>
      </c>
      <c r="AB61" s="143">
        <v>0.0</v>
      </c>
      <c r="AC61" s="135"/>
      <c r="AD61" s="135"/>
    </row>
    <row r="62" ht="15.75" customHeight="1">
      <c r="A62" s="139" t="s">
        <v>81</v>
      </c>
      <c r="B62" s="141"/>
      <c r="C62" s="141">
        <v>0.0</v>
      </c>
      <c r="D62" s="141">
        <v>0.0</v>
      </c>
      <c r="E62" s="141">
        <v>0.0</v>
      </c>
      <c r="F62" s="141">
        <v>0.0</v>
      </c>
      <c r="G62" s="141">
        <v>2860.0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0.0</v>
      </c>
      <c r="N62" s="141">
        <v>0.0</v>
      </c>
      <c r="O62" s="141">
        <v>0.0</v>
      </c>
      <c r="P62" s="141"/>
      <c r="Q62" s="141">
        <v>0.0</v>
      </c>
      <c r="R62" s="141">
        <v>0.0</v>
      </c>
      <c r="S62" s="141">
        <v>0.0</v>
      </c>
      <c r="T62" s="141">
        <v>0.0</v>
      </c>
      <c r="U62" s="141">
        <v>0.0</v>
      </c>
      <c r="V62" s="141">
        <v>0.0</v>
      </c>
      <c r="W62" s="141">
        <v>0.0</v>
      </c>
      <c r="X62" s="141">
        <v>0.0</v>
      </c>
      <c r="Y62" s="141">
        <v>0.0</v>
      </c>
      <c r="Z62" s="141">
        <v>0.0</v>
      </c>
      <c r="AA62" s="176">
        <v>2860.0</v>
      </c>
      <c r="AB62" s="143">
        <v>0.0</v>
      </c>
      <c r="AC62" s="135"/>
      <c r="AD62" s="135"/>
    </row>
    <row r="63" ht="15.75" customHeight="1">
      <c r="A63" s="139" t="s">
        <v>82</v>
      </c>
      <c r="B63" s="141">
        <v>1010.0</v>
      </c>
      <c r="C63" s="141">
        <v>1010.0</v>
      </c>
      <c r="D63" s="141">
        <v>1010.0</v>
      </c>
      <c r="E63" s="141">
        <v>0.0</v>
      </c>
      <c r="F63" s="141">
        <v>686.36</v>
      </c>
      <c r="G63" s="141">
        <v>1010.0</v>
      </c>
      <c r="H63" s="141">
        <v>1010.0</v>
      </c>
      <c r="I63" s="141">
        <v>1010.0</v>
      </c>
      <c r="J63" s="141">
        <v>1010.0</v>
      </c>
      <c r="K63" s="141">
        <v>1010.0</v>
      </c>
      <c r="L63" s="141">
        <v>1010.0</v>
      </c>
      <c r="M63" s="141">
        <v>1010.0</v>
      </c>
      <c r="N63" s="141">
        <v>1010.0</v>
      </c>
      <c r="O63" s="141">
        <v>1010.0</v>
      </c>
      <c r="P63" s="141">
        <v>1010.0</v>
      </c>
      <c r="Q63" s="141">
        <v>1010.0</v>
      </c>
      <c r="R63" s="141">
        <v>1010.0</v>
      </c>
      <c r="S63" s="141">
        <v>1010.0</v>
      </c>
      <c r="T63" s="141">
        <v>1010.0</v>
      </c>
      <c r="U63" s="141">
        <v>1010.0</v>
      </c>
      <c r="V63" s="141">
        <v>1010.0</v>
      </c>
      <c r="W63" s="141">
        <v>1010.0</v>
      </c>
      <c r="X63" s="141">
        <v>1010.0</v>
      </c>
      <c r="Y63" s="141">
        <v>710.0</v>
      </c>
      <c r="Z63" s="141">
        <v>1348.38</v>
      </c>
      <c r="AA63" s="176">
        <v>23954.74</v>
      </c>
      <c r="AB63" s="143">
        <v>0.01</v>
      </c>
      <c r="AC63" s="135"/>
      <c r="AD63" s="135"/>
    </row>
    <row r="64" ht="15.75" customHeight="1">
      <c r="A64" s="139" t="s">
        <v>83</v>
      </c>
      <c r="B64" s="141"/>
      <c r="C64" s="141">
        <v>0.0</v>
      </c>
      <c r="D64" s="141">
        <v>0.0</v>
      </c>
      <c r="E64" s="141">
        <v>0.0</v>
      </c>
      <c r="F64" s="141">
        <v>0.0</v>
      </c>
      <c r="G64" s="141">
        <v>0.0</v>
      </c>
      <c r="H64" s="141">
        <v>0.0</v>
      </c>
      <c r="I64" s="141">
        <v>0.0</v>
      </c>
      <c r="J64" s="141">
        <v>0.0</v>
      </c>
      <c r="K64" s="141">
        <v>0.0</v>
      </c>
      <c r="L64" s="141">
        <v>0.0</v>
      </c>
      <c r="M64" s="141">
        <v>0.0</v>
      </c>
      <c r="N64" s="141">
        <v>0.0</v>
      </c>
      <c r="O64" s="141">
        <v>0.0</v>
      </c>
      <c r="P64" s="141">
        <v>0.0</v>
      </c>
      <c r="Q64" s="141">
        <v>0.0</v>
      </c>
      <c r="R64" s="141">
        <v>0.0</v>
      </c>
      <c r="S64" s="141">
        <v>0.0</v>
      </c>
      <c r="T64" s="141">
        <v>0.0</v>
      </c>
      <c r="U64" s="141">
        <v>0.0</v>
      </c>
      <c r="V64" s="141">
        <v>0.0</v>
      </c>
      <c r="W64" s="141">
        <v>0.0</v>
      </c>
      <c r="X64" s="141">
        <v>0.0</v>
      </c>
      <c r="Y64" s="141">
        <v>0.0</v>
      </c>
      <c r="Z64" s="141">
        <v>8960.64</v>
      </c>
      <c r="AA64" s="176">
        <v>8960.64</v>
      </c>
      <c r="AB64" s="143">
        <v>0.0</v>
      </c>
      <c r="AC64" s="135"/>
      <c r="AD64" s="135"/>
    </row>
    <row r="65" ht="15.75" customHeight="1">
      <c r="A65" s="139" t="s">
        <v>84</v>
      </c>
      <c r="B65" s="141"/>
      <c r="C65" s="141">
        <v>0.0</v>
      </c>
      <c r="D65" s="141">
        <v>0.0</v>
      </c>
      <c r="E65" s="141">
        <v>0.0</v>
      </c>
      <c r="F65" s="141">
        <v>0.0</v>
      </c>
      <c r="G65" s="141">
        <v>0.0</v>
      </c>
      <c r="H65" s="141">
        <v>0.0</v>
      </c>
      <c r="I65" s="141">
        <v>0.0</v>
      </c>
      <c r="J65" s="141">
        <v>0.0</v>
      </c>
      <c r="K65" s="141">
        <v>0.0</v>
      </c>
      <c r="L65" s="141">
        <v>0.0</v>
      </c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0.0</v>
      </c>
      <c r="T65" s="141">
        <v>0.0</v>
      </c>
      <c r="U65" s="141">
        <v>0.0</v>
      </c>
      <c r="V65" s="141">
        <v>0.0</v>
      </c>
      <c r="W65" s="141">
        <v>0.0</v>
      </c>
      <c r="X65" s="141">
        <v>0.0</v>
      </c>
      <c r="Y65" s="141">
        <v>0.0</v>
      </c>
      <c r="Z65" s="141">
        <v>505000.0</v>
      </c>
      <c r="AA65" s="176">
        <v>505000.0</v>
      </c>
      <c r="AB65" s="143">
        <v>0.15</v>
      </c>
      <c r="AC65" s="135"/>
      <c r="AD65" s="135"/>
    </row>
    <row r="66" ht="15.75" customHeight="1">
      <c r="A66" s="139" t="s">
        <v>85</v>
      </c>
      <c r="B66" s="141">
        <v>7289.54</v>
      </c>
      <c r="C66" s="141">
        <v>0.0</v>
      </c>
      <c r="D66" s="141">
        <v>2190.24</v>
      </c>
      <c r="E66" s="141">
        <v>0.0</v>
      </c>
      <c r="F66" s="141">
        <v>1113.79</v>
      </c>
      <c r="G66" s="141">
        <v>2203.04</v>
      </c>
      <c r="H66" s="141">
        <v>2266.86</v>
      </c>
      <c r="I66" s="141">
        <v>0.0</v>
      </c>
      <c r="J66" s="141">
        <v>11844.31</v>
      </c>
      <c r="K66" s="141">
        <v>2898.13</v>
      </c>
      <c r="L66" s="141">
        <v>815.29</v>
      </c>
      <c r="M66" s="141">
        <v>4347.08</v>
      </c>
      <c r="N66" s="141">
        <v>0.0</v>
      </c>
      <c r="O66" s="141">
        <v>2609.57</v>
      </c>
      <c r="P66" s="141">
        <v>1813.53</v>
      </c>
      <c r="Q66" s="141">
        <v>23977.07</v>
      </c>
      <c r="R66" s="141">
        <v>1932.62</v>
      </c>
      <c r="S66" s="141">
        <v>4361.82</v>
      </c>
      <c r="T66" s="141">
        <v>5994.45</v>
      </c>
      <c r="U66" s="141">
        <v>3395.08</v>
      </c>
      <c r="V66" s="141">
        <v>857.06</v>
      </c>
      <c r="W66" s="141">
        <v>7662.13</v>
      </c>
      <c r="X66" s="141">
        <v>2137.36</v>
      </c>
      <c r="Y66" s="141">
        <v>4638.16</v>
      </c>
      <c r="Z66" s="141">
        <v>31379.65</v>
      </c>
      <c r="AA66" s="176">
        <v>125726.78</v>
      </c>
      <c r="AB66" s="143">
        <v>0.04</v>
      </c>
      <c r="AC66" s="135"/>
      <c r="AD66" s="135"/>
    </row>
    <row r="67" ht="15.75" customHeight="1">
      <c r="A67" s="139" t="s">
        <v>86</v>
      </c>
      <c r="B67" s="141">
        <v>3029.62</v>
      </c>
      <c r="C67" s="141">
        <v>0.0</v>
      </c>
      <c r="D67" s="141">
        <v>972.69</v>
      </c>
      <c r="E67" s="141">
        <v>0.0</v>
      </c>
      <c r="F67" s="141">
        <v>513.91</v>
      </c>
      <c r="G67" s="141">
        <v>996.43</v>
      </c>
      <c r="H67" s="141">
        <v>1058.25</v>
      </c>
      <c r="I67" s="141">
        <v>0.0</v>
      </c>
      <c r="J67" s="141">
        <v>6515.4</v>
      </c>
      <c r="K67" s="141">
        <v>1404.69</v>
      </c>
      <c r="L67" s="141">
        <v>397.72</v>
      </c>
      <c r="M67" s="141">
        <v>1916.25</v>
      </c>
      <c r="N67" s="141">
        <v>0.0</v>
      </c>
      <c r="O67" s="141">
        <v>1279.35</v>
      </c>
      <c r="P67" s="141">
        <v>969.02</v>
      </c>
      <c r="Q67" s="141">
        <v>9793.77</v>
      </c>
      <c r="R67" s="141">
        <v>949.87</v>
      </c>
      <c r="S67" s="141">
        <v>1935.02</v>
      </c>
      <c r="T67" s="141">
        <v>2473.23</v>
      </c>
      <c r="U67" s="141">
        <v>1585.25</v>
      </c>
      <c r="V67" s="141">
        <v>479.18</v>
      </c>
      <c r="W67" s="141">
        <v>3406.83</v>
      </c>
      <c r="X67" s="141">
        <v>911.42</v>
      </c>
      <c r="Y67" s="141">
        <v>2450.79</v>
      </c>
      <c r="Z67" s="141">
        <v>61635.63</v>
      </c>
      <c r="AA67" s="176">
        <v>104674.32</v>
      </c>
      <c r="AB67" s="143">
        <v>0.03</v>
      </c>
      <c r="AC67" s="135"/>
      <c r="AD67" s="135"/>
    </row>
    <row r="68" ht="15.75" customHeight="1">
      <c r="A68" s="139" t="s">
        <v>87</v>
      </c>
      <c r="B68" s="141">
        <v>5137.18</v>
      </c>
      <c r="C68" s="141">
        <v>0.0</v>
      </c>
      <c r="D68" s="141">
        <v>1640.34</v>
      </c>
      <c r="E68" s="141">
        <v>0.0</v>
      </c>
      <c r="F68" s="141">
        <v>866.65</v>
      </c>
      <c r="G68" s="141">
        <v>1680.37</v>
      </c>
      <c r="H68" s="141">
        <v>1812.98</v>
      </c>
      <c r="I68" s="141">
        <v>0.0</v>
      </c>
      <c r="J68" s="141">
        <v>11627.45</v>
      </c>
      <c r="K68" s="141">
        <v>2369.3</v>
      </c>
      <c r="L68" s="141">
        <v>670.72</v>
      </c>
      <c r="M68" s="141">
        <v>3231.56</v>
      </c>
      <c r="N68" s="141">
        <v>0.0</v>
      </c>
      <c r="O68" s="141">
        <v>2157.5</v>
      </c>
      <c r="P68" s="141">
        <v>1634.14</v>
      </c>
      <c r="Q68" s="141">
        <v>16598.58</v>
      </c>
      <c r="R68" s="141">
        <v>1601.86</v>
      </c>
      <c r="S68" s="141">
        <v>3263.21</v>
      </c>
      <c r="T68" s="141">
        <v>4170.83</v>
      </c>
      <c r="U68" s="141">
        <v>2727.56</v>
      </c>
      <c r="V68" s="141">
        <v>808.09</v>
      </c>
      <c r="W68" s="141">
        <v>5752.51</v>
      </c>
      <c r="X68" s="141">
        <v>1537.01</v>
      </c>
      <c r="Y68" s="141">
        <v>4133.0</v>
      </c>
      <c r="Z68" s="141">
        <v>32840.37</v>
      </c>
      <c r="AA68" s="176">
        <v>106261.21</v>
      </c>
      <c r="AB68" s="143">
        <v>0.03</v>
      </c>
      <c r="AC68" s="135"/>
      <c r="AD68" s="135"/>
    </row>
    <row r="69" ht="15.75" customHeight="1">
      <c r="A69" s="139" t="s">
        <v>88</v>
      </c>
      <c r="B69" s="141">
        <v>3037.13</v>
      </c>
      <c r="C69" s="141">
        <v>0.0</v>
      </c>
      <c r="D69" s="141">
        <v>944.71</v>
      </c>
      <c r="E69" s="141">
        <v>0.0</v>
      </c>
      <c r="F69" s="141">
        <v>535.93</v>
      </c>
      <c r="G69" s="141">
        <v>993.87</v>
      </c>
      <c r="H69" s="141">
        <v>1010.4</v>
      </c>
      <c r="I69" s="141">
        <v>490.83</v>
      </c>
      <c r="J69" s="141">
        <v>3484.0</v>
      </c>
      <c r="K69" s="141">
        <v>1864.38</v>
      </c>
      <c r="L69" s="141">
        <v>320.81</v>
      </c>
      <c r="M69" s="141">
        <v>1895.98</v>
      </c>
      <c r="N69" s="141">
        <v>486.76</v>
      </c>
      <c r="O69" s="141">
        <v>1202.78</v>
      </c>
      <c r="P69" s="141">
        <v>951.53</v>
      </c>
      <c r="Q69" s="141">
        <v>8327.51</v>
      </c>
      <c r="R69" s="141">
        <v>1519.41</v>
      </c>
      <c r="S69" s="141">
        <v>1923.25</v>
      </c>
      <c r="T69" s="141">
        <v>2538.44</v>
      </c>
      <c r="U69" s="141">
        <v>1571.71</v>
      </c>
      <c r="V69" s="141">
        <v>1049.88</v>
      </c>
      <c r="W69" s="141">
        <v>3151.32</v>
      </c>
      <c r="X69" s="141">
        <v>860.82</v>
      </c>
      <c r="Y69" s="141">
        <v>2059.87</v>
      </c>
      <c r="Z69" s="141">
        <v>19596.69</v>
      </c>
      <c r="AA69" s="176">
        <v>59818.01</v>
      </c>
      <c r="AB69" s="143">
        <v>0.02</v>
      </c>
      <c r="AC69" s="135"/>
      <c r="AD69" s="135"/>
    </row>
    <row r="70" ht="15.75" customHeight="1">
      <c r="A70" s="139" t="s">
        <v>89</v>
      </c>
      <c r="B70" s="141">
        <v>1680.0</v>
      </c>
      <c r="C70" s="141"/>
      <c r="D70" s="141"/>
      <c r="E70" s="141">
        <v>3900.0</v>
      </c>
      <c r="F70" s="141"/>
      <c r="G70" s="141">
        <v>3640.0</v>
      </c>
      <c r="H70" s="141"/>
      <c r="I70" s="141">
        <v>1120.0</v>
      </c>
      <c r="J70" s="141"/>
      <c r="K70" s="141">
        <v>10080.0</v>
      </c>
      <c r="L70" s="141"/>
      <c r="M70" s="141"/>
      <c r="N70" s="141"/>
      <c r="O70" s="141">
        <v>3360.0</v>
      </c>
      <c r="P70" s="141">
        <v>1680.0</v>
      </c>
      <c r="Q70" s="141"/>
      <c r="R70" s="141">
        <v>1960.0</v>
      </c>
      <c r="S70" s="141"/>
      <c r="T70" s="141">
        <v>3920.0</v>
      </c>
      <c r="U70" s="141">
        <v>700.0</v>
      </c>
      <c r="V70" s="141">
        <v>1400.0</v>
      </c>
      <c r="W70" s="141">
        <v>1120.0</v>
      </c>
      <c r="X70" s="141"/>
      <c r="Y70" s="141"/>
      <c r="Z70" s="141">
        <v>8726.0</v>
      </c>
      <c r="AA70" s="176">
        <v>43286.0</v>
      </c>
      <c r="AB70" s="143">
        <v>0.01</v>
      </c>
      <c r="AC70" s="135"/>
      <c r="AD70" s="135"/>
    </row>
    <row r="71" ht="15.75" customHeight="1">
      <c r="A71" s="139" t="s">
        <v>91</v>
      </c>
      <c r="B71" s="141"/>
      <c r="C71" s="141">
        <v>0.0</v>
      </c>
      <c r="D71" s="141">
        <v>0.0</v>
      </c>
      <c r="E71" s="141">
        <v>0.0</v>
      </c>
      <c r="F71" s="141">
        <v>0.0</v>
      </c>
      <c r="G71" s="141">
        <v>2462.93</v>
      </c>
      <c r="H71" s="141">
        <v>0.0</v>
      </c>
      <c r="I71" s="141">
        <v>0.0</v>
      </c>
      <c r="J71" s="141">
        <v>46.55</v>
      </c>
      <c r="K71" s="141">
        <v>25.0</v>
      </c>
      <c r="L71" s="141">
        <v>0.0</v>
      </c>
      <c r="M71" s="141">
        <v>0.0</v>
      </c>
      <c r="N71" s="141">
        <v>0.0</v>
      </c>
      <c r="O71" s="141">
        <v>0.0</v>
      </c>
      <c r="P71" s="141"/>
      <c r="Q71" s="141">
        <v>25.0</v>
      </c>
      <c r="R71" s="141"/>
      <c r="S71" s="141"/>
      <c r="T71" s="141"/>
      <c r="U71" s="141"/>
      <c r="V71" s="141"/>
      <c r="W71" s="141"/>
      <c r="X71" s="141">
        <v>0.0</v>
      </c>
      <c r="Y71" s="141">
        <v>0.0</v>
      </c>
      <c r="Z71" s="141">
        <v>9547.51</v>
      </c>
      <c r="AA71" s="176">
        <v>12106.99</v>
      </c>
      <c r="AB71" s="143">
        <v>0.0</v>
      </c>
      <c r="AC71" s="135"/>
      <c r="AD71" s="135"/>
    </row>
    <row r="72" ht="15.75" customHeight="1">
      <c r="A72" s="139" t="s">
        <v>92</v>
      </c>
      <c r="B72" s="141">
        <v>343.5</v>
      </c>
      <c r="C72" s="141">
        <v>0.0</v>
      </c>
      <c r="D72" s="141">
        <v>179.35</v>
      </c>
      <c r="E72" s="141">
        <v>0.0</v>
      </c>
      <c r="F72" s="141">
        <v>373.5</v>
      </c>
      <c r="G72" s="141">
        <v>350.0</v>
      </c>
      <c r="H72" s="141">
        <v>350.0</v>
      </c>
      <c r="I72" s="141">
        <v>255.0</v>
      </c>
      <c r="J72" s="141">
        <v>0.0</v>
      </c>
      <c r="K72" s="141">
        <v>350.0</v>
      </c>
      <c r="L72" s="141">
        <v>376.0</v>
      </c>
      <c r="M72" s="141">
        <v>850.0</v>
      </c>
      <c r="N72" s="141">
        <v>195.5</v>
      </c>
      <c r="O72" s="141">
        <v>350.0</v>
      </c>
      <c r="P72" s="141"/>
      <c r="Q72" s="141"/>
      <c r="R72" s="141">
        <v>350.0</v>
      </c>
      <c r="S72" s="141"/>
      <c r="T72" s="141">
        <v>350.0</v>
      </c>
      <c r="U72" s="141">
        <v>350.0</v>
      </c>
      <c r="V72" s="141">
        <v>350.0</v>
      </c>
      <c r="W72" s="141">
        <v>350.0</v>
      </c>
      <c r="X72" s="141">
        <v>0.0</v>
      </c>
      <c r="Y72" s="141">
        <v>2850.0</v>
      </c>
      <c r="Z72" s="141">
        <v>16029.02</v>
      </c>
      <c r="AA72" s="176">
        <v>24601.87</v>
      </c>
      <c r="AB72" s="154">
        <v>0.0</v>
      </c>
      <c r="AC72" s="135"/>
      <c r="AD72" s="135"/>
    </row>
    <row r="73" ht="15.75" customHeight="1">
      <c r="A73" s="146" t="s">
        <v>93</v>
      </c>
      <c r="B73" s="147">
        <v>234765.74</v>
      </c>
      <c r="C73" s="147">
        <v>1010.0</v>
      </c>
      <c r="D73" s="147">
        <v>223523.23</v>
      </c>
      <c r="E73" s="147">
        <v>3900.0</v>
      </c>
      <c r="F73" s="147">
        <v>33194.35</v>
      </c>
      <c r="G73" s="147">
        <v>42151.59</v>
      </c>
      <c r="H73" s="147">
        <v>35401.15</v>
      </c>
      <c r="I73" s="147">
        <v>16108.8</v>
      </c>
      <c r="J73" s="147">
        <v>234580.52</v>
      </c>
      <c r="K73" s="147">
        <v>64784.29</v>
      </c>
      <c r="L73" s="147">
        <v>11439.8</v>
      </c>
      <c r="M73" s="147">
        <v>64653.27</v>
      </c>
      <c r="N73" s="147">
        <v>12744.88</v>
      </c>
      <c r="O73" s="147">
        <v>38291.46</v>
      </c>
      <c r="P73" s="147">
        <v>31859.98</v>
      </c>
      <c r="Q73" s="147">
        <v>237181.0</v>
      </c>
      <c r="R73" s="147">
        <v>41727.9</v>
      </c>
      <c r="S73" s="147">
        <v>62426.49</v>
      </c>
      <c r="T73" s="147">
        <v>83190.54</v>
      </c>
      <c r="U73" s="147">
        <v>44379.95</v>
      </c>
      <c r="V73" s="147">
        <v>28552.96</v>
      </c>
      <c r="W73" s="147">
        <v>90380.37</v>
      </c>
      <c r="X73" s="147">
        <v>24106.69</v>
      </c>
      <c r="Y73" s="147">
        <v>59759.97</v>
      </c>
      <c r="Z73" s="147">
        <v>1581606.13</v>
      </c>
      <c r="AA73" s="147">
        <v>3301721.06</v>
      </c>
      <c r="AB73" s="146">
        <v>1.0</v>
      </c>
      <c r="AC73" s="135"/>
      <c r="AD73" s="13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B2"/>
    <mergeCell ref="A3:AB3"/>
    <mergeCell ref="A4:AB4"/>
    <mergeCell ref="B7:AB7"/>
    <mergeCell ref="A28:AB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38"/>
    <col customWidth="1" min="3" max="3" width="8.75"/>
    <col customWidth="1" min="4" max="4" width="9.5"/>
    <col customWidth="1" min="5" max="5" width="7.75"/>
    <col customWidth="1" min="6" max="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hidden="1" customHeight="1"/>
    <row r="19" ht="15.75" hidden="1" customHeight="1"/>
    <row r="20" ht="15.75" customHeight="1"/>
    <row r="21" ht="15.75" customHeight="1"/>
    <row r="22" ht="15.75" customHeight="1"/>
    <row r="23" ht="15.75" customHeight="1"/>
    <row r="24" ht="15.75" hidden="1" customHeight="1"/>
    <row r="25" ht="15.75" hidden="1" customHeight="1"/>
    <row r="26" ht="15.75" hidden="1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B8" s="182"/>
      <c r="C8" s="182"/>
      <c r="D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X8" s="183"/>
      <c r="Y8" s="183"/>
      <c r="Z8" s="183"/>
    </row>
    <row r="9" ht="15.75" customHeight="1">
      <c r="B9" s="183"/>
      <c r="D9" s="183"/>
      <c r="F9" s="183"/>
      <c r="G9" s="183"/>
      <c r="H9" s="183"/>
      <c r="J9" s="183"/>
      <c r="K9" s="183"/>
      <c r="L9" s="183"/>
      <c r="Q9" s="183"/>
      <c r="R9" s="183"/>
      <c r="S9" s="183"/>
      <c r="T9" s="183"/>
      <c r="X9" s="183"/>
      <c r="Y9" s="183"/>
    </row>
    <row r="10" ht="15.75" customHeight="1">
      <c r="B10" s="183"/>
      <c r="P10" s="183"/>
      <c r="S10" s="183"/>
      <c r="Y10" s="183"/>
    </row>
    <row r="11" ht="15.75" customHeight="1">
      <c r="B11" s="182"/>
      <c r="D11" s="183"/>
      <c r="R11" s="183"/>
      <c r="S11" s="183"/>
      <c r="Y11" s="182"/>
    </row>
    <row r="12" ht="15.75" customHeight="1">
      <c r="E12" s="183"/>
      <c r="I12" s="183"/>
      <c r="O12" s="183"/>
      <c r="R12" s="183"/>
    </row>
    <row r="13" ht="15.75" customHeight="1">
      <c r="B13" s="183"/>
      <c r="L13" s="183"/>
    </row>
    <row r="14" ht="15.75" customHeight="1">
      <c r="L14" s="183"/>
    </row>
    <row r="15" ht="15.75" customHeight="1">
      <c r="S15" s="183"/>
      <c r="V15" s="183"/>
    </row>
    <row r="16" ht="15.75" customHeight="1">
      <c r="L16" s="183"/>
    </row>
    <row r="17" ht="15.75" customHeight="1"/>
    <row r="18" ht="15.75" customHeight="1"/>
    <row r="19" ht="15.75" customHeight="1"/>
    <row r="20" ht="15.75" customHeight="1">
      <c r="H20" s="183"/>
      <c r="K20" s="183"/>
    </row>
    <row r="21" ht="15.75" customHeight="1"/>
    <row r="22" ht="15.75" customHeight="1">
      <c r="L22" s="183"/>
    </row>
    <row r="23" ht="15.75" customHeight="1"/>
    <row r="24" ht="15.75" customHeight="1"/>
    <row r="25" ht="15.75" customHeight="1">
      <c r="B25" s="183"/>
    </row>
    <row r="26" ht="15.75" customHeight="1"/>
    <row r="27" ht="15.75" customHeight="1"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V27" s="183"/>
      <c r="X27" s="183"/>
      <c r="Y27" s="183"/>
      <c r="Z27" s="183"/>
    </row>
    <row r="28" ht="15.75" customHeight="1"/>
    <row r="29" ht="15.75" customHeight="1">
      <c r="B29" s="183"/>
      <c r="D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X29" s="183"/>
      <c r="Y29" s="183"/>
      <c r="Z29" s="183"/>
    </row>
    <row r="30" ht="15.75" customHeight="1"/>
    <row r="31" ht="15.75" customHeight="1"/>
    <row r="32" ht="15.75" customHeight="1">
      <c r="D32" s="183"/>
      <c r="F32" s="183"/>
    </row>
    <row r="33" ht="15.75" customHeight="1"/>
    <row r="34" ht="15.75" customHeight="1">
      <c r="B34" s="183"/>
    </row>
    <row r="35" ht="15.75" customHeight="1"/>
    <row r="36" ht="15.75" customHeight="1">
      <c r="I36" s="183"/>
    </row>
    <row r="37" ht="15.75" customHeight="1">
      <c r="B37" s="183"/>
    </row>
    <row r="38" ht="15.75" customHeight="1">
      <c r="L38" s="183"/>
      <c r="P38" s="183"/>
      <c r="X38" s="183"/>
    </row>
    <row r="39" ht="15.75" customHeight="1">
      <c r="G39" s="183"/>
      <c r="I39" s="183"/>
      <c r="O39" s="183"/>
      <c r="Q39" s="183"/>
      <c r="S39" s="183"/>
    </row>
    <row r="40" ht="15.75" customHeight="1"/>
    <row r="41" ht="15.75" customHeight="1"/>
    <row r="42" ht="15.75" customHeight="1"/>
    <row r="43" ht="15.75" customHeight="1">
      <c r="B43" s="183"/>
    </row>
    <row r="44" ht="15.75" customHeight="1">
      <c r="B44" s="183"/>
      <c r="H44" s="183"/>
      <c r="I44" s="183"/>
      <c r="K44" s="183"/>
      <c r="L44" s="183"/>
      <c r="R44" s="183"/>
      <c r="S44" s="183"/>
      <c r="Y44" s="18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L57" s="183"/>
    </row>
    <row r="58" ht="15.75" customHeight="1"/>
    <row r="59" ht="15.75" customHeight="1"/>
    <row r="60" ht="15.75" customHeight="1">
      <c r="K60" s="183"/>
      <c r="S60" s="183"/>
    </row>
    <row r="61" ht="15.75" customHeight="1"/>
    <row r="62" ht="15.75" customHeight="1">
      <c r="G62" s="183"/>
    </row>
    <row r="63" ht="15.75" customHeight="1"/>
    <row r="64" ht="15.75" customHeight="1"/>
    <row r="65" ht="15.75" customHeight="1"/>
    <row r="66" ht="15.75" customHeight="1">
      <c r="B66" s="183"/>
      <c r="D66" s="183"/>
      <c r="F66" s="183"/>
      <c r="G66" s="183"/>
      <c r="H66" s="183"/>
      <c r="I66" s="183"/>
      <c r="K66" s="183"/>
      <c r="L66" s="183"/>
      <c r="N66" s="183"/>
      <c r="P66" s="183"/>
      <c r="Q66" s="183"/>
      <c r="R66" s="183"/>
      <c r="S66" s="183"/>
      <c r="T66" s="183"/>
      <c r="U66" s="183"/>
      <c r="X66" s="183"/>
      <c r="Y66" s="183"/>
      <c r="Z66" s="183"/>
    </row>
    <row r="67" ht="15.75" customHeight="1">
      <c r="B67" s="183"/>
      <c r="K67" s="183"/>
      <c r="L67" s="183"/>
      <c r="N67" s="183"/>
      <c r="P67" s="183"/>
      <c r="Q67" s="183"/>
      <c r="R67" s="183"/>
      <c r="S67" s="183"/>
      <c r="T67" s="183"/>
      <c r="X67" s="183"/>
      <c r="Y67" s="183"/>
    </row>
    <row r="68" ht="15.75" customHeight="1">
      <c r="B68" s="183"/>
      <c r="K68" s="183"/>
      <c r="L68" s="183"/>
      <c r="N68" s="183"/>
      <c r="P68" s="183"/>
      <c r="Q68" s="183"/>
      <c r="R68" s="183"/>
      <c r="S68" s="183"/>
      <c r="T68" s="183"/>
      <c r="U68" s="183"/>
      <c r="X68" s="183"/>
      <c r="Y68" s="183"/>
    </row>
    <row r="69" ht="15.75" customHeight="1">
      <c r="L69" s="183"/>
      <c r="P69" s="183"/>
      <c r="R69" s="183"/>
      <c r="S69" s="183"/>
      <c r="X69" s="183"/>
      <c r="Y69" s="183"/>
    </row>
    <row r="70" ht="15.75" customHeight="1">
      <c r="G70" s="183"/>
    </row>
    <row r="71" ht="15.75" customHeight="1"/>
    <row r="72" ht="15.75" customHeight="1">
      <c r="B72" s="183"/>
      <c r="D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X72" s="183"/>
      <c r="Y72" s="183"/>
      <c r="Z72" s="183"/>
    </row>
    <row r="73" ht="15.75" customHeight="1">
      <c r="B73" s="183"/>
      <c r="G73" s="183"/>
      <c r="H73" s="183"/>
      <c r="J73" s="183"/>
      <c r="K73" s="183"/>
      <c r="L73" s="183"/>
      <c r="O73" s="183"/>
      <c r="Q73" s="183"/>
      <c r="R73" s="183"/>
      <c r="S73" s="183"/>
      <c r="X73" s="183"/>
      <c r="Y73" s="183"/>
    </row>
    <row r="74" ht="15.75" customHeight="1"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X74" s="183"/>
      <c r="Y74" s="183"/>
      <c r="Z74" s="18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88"/>
    <col customWidth="1" min="3" max="3" width="12.63"/>
    <col customWidth="1" min="4" max="5" width="12.13"/>
    <col customWidth="1" min="6" max="6" width="12.63"/>
    <col customWidth="1" min="8" max="8" width="3.63"/>
    <col customWidth="1" min="9" max="9" width="4.13"/>
  </cols>
  <sheetData>
    <row r="1" ht="43.5" customHeight="1">
      <c r="A1" s="184" t="s">
        <v>279</v>
      </c>
      <c r="B1" s="184" t="s">
        <v>280</v>
      </c>
      <c r="C1" s="184" t="s">
        <v>281</v>
      </c>
      <c r="D1" s="185" t="s">
        <v>282</v>
      </c>
      <c r="E1" s="185" t="s">
        <v>283</v>
      </c>
      <c r="F1" s="184" t="s">
        <v>284</v>
      </c>
      <c r="G1" s="184" t="s">
        <v>285</v>
      </c>
      <c r="H1" s="184" t="s">
        <v>286</v>
      </c>
      <c r="I1" s="184" t="s">
        <v>287</v>
      </c>
      <c r="J1" s="184"/>
      <c r="K1" s="184"/>
      <c r="L1" s="184"/>
      <c r="M1" s="184"/>
    </row>
    <row r="2" ht="23.25" customHeight="1">
      <c r="A2" s="128" t="str">
        <f>IFERROR(__xludf.DUMMYFUNCTION("QUERY(TRANSPOSE(xProyecto!A1:AZ1))"),"Wepark S.A. de C.V.")</f>
        <v>Wepark S.A. de C.V.</v>
      </c>
      <c r="B2" s="128" t="s">
        <v>0</v>
      </c>
      <c r="C2" s="128" t="s">
        <v>288</v>
      </c>
      <c r="D2" s="186" t="b">
        <v>1</v>
      </c>
      <c r="E2" s="186"/>
      <c r="F2" s="128" t="b">
        <v>1</v>
      </c>
      <c r="G2" s="128" t="s">
        <v>289</v>
      </c>
      <c r="H2" s="128"/>
      <c r="I2" s="128"/>
      <c r="J2" s="128"/>
      <c r="K2" s="128"/>
      <c r="L2" s="128"/>
      <c r="M2" s="128"/>
    </row>
    <row r="3" ht="23.25" customHeight="1">
      <c r="A3" s="128" t="str">
        <f>IFERROR(__xludf.DUMMYFUNCTION("""COMPUTED_VALUE"""),"Total")</f>
        <v>Total</v>
      </c>
      <c r="B3" s="128" t="s">
        <v>1</v>
      </c>
      <c r="C3" s="128" t="s">
        <v>290</v>
      </c>
      <c r="D3" s="186" t="b">
        <v>0</v>
      </c>
      <c r="E3" s="186"/>
      <c r="F3" s="128" t="b">
        <v>1</v>
      </c>
      <c r="G3" s="128" t="s">
        <v>291</v>
      </c>
      <c r="H3" s="128"/>
      <c r="I3" s="128"/>
      <c r="J3" s="128"/>
      <c r="K3" s="128"/>
      <c r="L3" s="128"/>
      <c r="M3" s="128"/>
    </row>
    <row r="4" ht="23.25" customHeight="1">
      <c r="A4" s="128" t="str">
        <f>IFERROR(__xludf.DUMMYFUNCTION("""COMPUTED_VALUE"""),"Interlomas")</f>
        <v>Interlomas</v>
      </c>
      <c r="B4" s="128" t="s">
        <v>107</v>
      </c>
      <c r="C4" s="128" t="s">
        <v>290</v>
      </c>
      <c r="D4" s="186" t="b">
        <v>0</v>
      </c>
      <c r="E4" s="186"/>
      <c r="F4" s="128" t="b">
        <v>1</v>
      </c>
      <c r="G4" s="128" t="s">
        <v>291</v>
      </c>
      <c r="H4" s="128"/>
      <c r="I4" s="128"/>
      <c r="J4" s="128"/>
      <c r="K4" s="128"/>
      <c r="L4" s="128"/>
      <c r="M4" s="128"/>
    </row>
    <row r="5" ht="23.25" customHeight="1">
      <c r="A5" s="128"/>
      <c r="B5" s="128" t="s">
        <v>29</v>
      </c>
      <c r="C5" s="128" t="s">
        <v>290</v>
      </c>
      <c r="D5" s="186" t="b">
        <v>0</v>
      </c>
      <c r="E5" s="186"/>
      <c r="F5" s="128" t="b">
        <v>1</v>
      </c>
      <c r="G5" s="128" t="s">
        <v>291</v>
      </c>
      <c r="H5" s="128"/>
      <c r="I5" s="128"/>
      <c r="J5" s="128"/>
      <c r="K5" s="128"/>
      <c r="L5" s="128"/>
      <c r="M5" s="128"/>
    </row>
    <row r="6" ht="23.25" customHeight="1">
      <c r="A6" s="128"/>
      <c r="B6" s="128" t="s">
        <v>100</v>
      </c>
      <c r="C6" s="128" t="s">
        <v>290</v>
      </c>
      <c r="D6" s="186" t="b">
        <v>0</v>
      </c>
      <c r="E6" s="128"/>
      <c r="F6" s="128" t="b">
        <v>1</v>
      </c>
      <c r="G6" s="128" t="s">
        <v>291</v>
      </c>
      <c r="H6" s="128"/>
      <c r="I6" s="128"/>
      <c r="J6" s="128"/>
      <c r="K6" s="128"/>
      <c r="L6" s="128"/>
      <c r="M6" s="128"/>
    </row>
    <row r="7" ht="23.25" customHeight="1">
      <c r="A7" s="128"/>
      <c r="B7" s="128" t="s">
        <v>11</v>
      </c>
      <c r="C7" s="128" t="s">
        <v>290</v>
      </c>
      <c r="D7" s="186" t="b">
        <v>0</v>
      </c>
      <c r="E7" s="186"/>
      <c r="F7" s="128" t="b">
        <v>1</v>
      </c>
      <c r="G7" s="128" t="s">
        <v>291</v>
      </c>
      <c r="H7" s="128"/>
      <c r="I7" s="128"/>
      <c r="J7" s="128"/>
      <c r="K7" s="128"/>
      <c r="L7" s="128"/>
      <c r="M7" s="128"/>
    </row>
    <row r="8" ht="23.25" customHeight="1">
      <c r="A8" s="128"/>
      <c r="B8" s="128" t="s">
        <v>243</v>
      </c>
      <c r="C8" s="128" t="s">
        <v>290</v>
      </c>
      <c r="D8" s="186" t="b">
        <v>0</v>
      </c>
      <c r="E8" s="186"/>
      <c r="F8" s="128" t="b">
        <v>1</v>
      </c>
      <c r="G8" s="128" t="s">
        <v>291</v>
      </c>
      <c r="H8" s="128"/>
      <c r="I8" s="128"/>
      <c r="J8" s="128"/>
      <c r="K8" s="128"/>
      <c r="L8" s="128"/>
      <c r="M8" s="128"/>
    </row>
    <row r="9" ht="23.25" customHeight="1">
      <c r="A9" s="128"/>
      <c r="B9" s="128" t="s">
        <v>244</v>
      </c>
      <c r="C9" s="128" t="s">
        <v>290</v>
      </c>
      <c r="D9" s="186" t="b">
        <v>0</v>
      </c>
      <c r="E9" s="186"/>
      <c r="F9" s="128" t="b">
        <v>1</v>
      </c>
      <c r="G9" s="128" t="s">
        <v>291</v>
      </c>
      <c r="H9" s="128"/>
      <c r="I9" s="128"/>
      <c r="J9" s="128"/>
      <c r="K9" s="128"/>
      <c r="L9" s="128"/>
      <c r="M9" s="128"/>
    </row>
    <row r="10" ht="23.25" customHeight="1">
      <c r="A10" s="128"/>
      <c r="B10" s="128" t="s">
        <v>2</v>
      </c>
      <c r="C10" s="128" t="s">
        <v>290</v>
      </c>
      <c r="D10" s="186" t="b">
        <v>0</v>
      </c>
      <c r="E10" s="186"/>
      <c r="F10" s="128" t="b">
        <v>1</v>
      </c>
      <c r="G10" s="128" t="s">
        <v>291</v>
      </c>
      <c r="H10" s="128"/>
      <c r="I10" s="128"/>
      <c r="J10" s="128"/>
      <c r="K10" s="128"/>
      <c r="L10" s="128"/>
      <c r="M10" s="128"/>
    </row>
    <row r="11" ht="23.25" customHeight="1">
      <c r="A11" s="128"/>
      <c r="B11" s="128" t="s">
        <v>245</v>
      </c>
      <c r="C11" s="128" t="s">
        <v>290</v>
      </c>
      <c r="D11" s="186" t="b">
        <v>0</v>
      </c>
      <c r="E11" s="186"/>
      <c r="F11" s="128" t="b">
        <v>1</v>
      </c>
      <c r="G11" s="128" t="s">
        <v>291</v>
      </c>
      <c r="H11" s="128"/>
      <c r="I11" s="128"/>
      <c r="J11" s="128"/>
      <c r="K11" s="128"/>
      <c r="L11" s="128"/>
      <c r="M11" s="128"/>
    </row>
    <row r="12" ht="23.25" customHeight="1">
      <c r="A12" s="128"/>
      <c r="B12" s="128" t="s">
        <v>107</v>
      </c>
      <c r="C12" s="128" t="s">
        <v>290</v>
      </c>
      <c r="D12" s="186" t="b">
        <v>0</v>
      </c>
      <c r="E12" s="186"/>
      <c r="F12" s="128" t="b">
        <v>1</v>
      </c>
      <c r="G12" s="128" t="s">
        <v>291</v>
      </c>
      <c r="H12" s="128"/>
      <c r="I12" s="128"/>
      <c r="J12" s="128"/>
      <c r="K12" s="128"/>
      <c r="L12" s="128"/>
      <c r="M12" s="128"/>
    </row>
    <row r="13" ht="23.25" customHeight="1">
      <c r="A13" s="128"/>
      <c r="B13" s="128" t="s">
        <v>246</v>
      </c>
      <c r="C13" s="128" t="s">
        <v>290</v>
      </c>
      <c r="D13" s="186" t="b">
        <v>0</v>
      </c>
      <c r="E13" s="186"/>
      <c r="F13" s="128" t="b">
        <v>1</v>
      </c>
      <c r="G13" s="128" t="s">
        <v>291</v>
      </c>
      <c r="H13" s="128"/>
      <c r="I13" s="128"/>
      <c r="J13" s="128"/>
      <c r="K13" s="128"/>
      <c r="L13" s="128"/>
      <c r="M13" s="128"/>
    </row>
    <row r="14" ht="23.25" customHeight="1">
      <c r="A14" s="128"/>
      <c r="B14" s="128" t="s">
        <v>110</v>
      </c>
      <c r="C14" s="128" t="s">
        <v>290</v>
      </c>
      <c r="D14" s="186" t="b">
        <v>0</v>
      </c>
      <c r="E14" s="186"/>
      <c r="F14" s="128" t="b">
        <v>1</v>
      </c>
      <c r="G14" s="128" t="s">
        <v>291</v>
      </c>
      <c r="H14" s="128"/>
      <c r="I14" s="128"/>
      <c r="J14" s="128"/>
      <c r="K14" s="128"/>
      <c r="L14" s="128"/>
      <c r="M14" s="128"/>
    </row>
    <row r="15" ht="23.25" customHeight="1">
      <c r="A15" s="128"/>
      <c r="B15" s="128" t="s">
        <v>248</v>
      </c>
      <c r="C15" s="128" t="s">
        <v>290</v>
      </c>
      <c r="D15" s="186" t="b">
        <v>0</v>
      </c>
      <c r="E15" s="186"/>
      <c r="F15" s="128" t="b">
        <v>1</v>
      </c>
      <c r="G15" s="128" t="s">
        <v>291</v>
      </c>
      <c r="H15" s="128"/>
      <c r="I15" s="128"/>
      <c r="J15" s="128"/>
      <c r="K15" s="128"/>
      <c r="L15" s="128"/>
      <c r="M15" s="128"/>
    </row>
    <row r="16" ht="23.25" customHeight="1">
      <c r="A16" s="128"/>
      <c r="B16" s="128" t="s">
        <v>247</v>
      </c>
      <c r="C16" s="128" t="s">
        <v>290</v>
      </c>
      <c r="D16" s="186" t="b">
        <v>0</v>
      </c>
      <c r="E16" s="186"/>
      <c r="F16" s="128" t="b">
        <v>1</v>
      </c>
      <c r="G16" s="128" t="s">
        <v>291</v>
      </c>
      <c r="H16" s="128"/>
      <c r="I16" s="128"/>
      <c r="J16" s="128"/>
      <c r="K16" s="128"/>
      <c r="L16" s="128"/>
      <c r="M16" s="128"/>
    </row>
    <row r="17" ht="23.25" customHeight="1">
      <c r="A17" s="128"/>
      <c r="B17" s="128" t="s">
        <v>249</v>
      </c>
      <c r="C17" s="128" t="s">
        <v>290</v>
      </c>
      <c r="D17" s="186" t="b">
        <v>0</v>
      </c>
      <c r="E17" s="186"/>
      <c r="F17" s="128" t="b">
        <v>1</v>
      </c>
      <c r="G17" s="128" t="s">
        <v>291</v>
      </c>
      <c r="H17" s="128"/>
      <c r="I17" s="128"/>
      <c r="J17" s="128"/>
      <c r="K17" s="128"/>
      <c r="L17" s="128"/>
      <c r="M17" s="128"/>
    </row>
    <row r="18" ht="23.25" customHeight="1">
      <c r="A18" s="128"/>
      <c r="B18" s="128" t="s">
        <v>117</v>
      </c>
      <c r="C18" s="128" t="s">
        <v>290</v>
      </c>
      <c r="D18" s="186" t="b">
        <v>0</v>
      </c>
      <c r="E18" s="186"/>
      <c r="F18" s="128" t="b">
        <v>1</v>
      </c>
      <c r="G18" s="128" t="s">
        <v>291</v>
      </c>
      <c r="H18" s="128"/>
      <c r="I18" s="128"/>
      <c r="J18" s="128"/>
      <c r="K18" s="128"/>
      <c r="L18" s="128"/>
      <c r="M18" s="128"/>
    </row>
    <row r="19" ht="23.25" customHeight="1">
      <c r="A19" s="128"/>
      <c r="B19" s="128" t="s">
        <v>118</v>
      </c>
      <c r="C19" s="128" t="s">
        <v>290</v>
      </c>
      <c r="D19" s="186" t="b">
        <v>0</v>
      </c>
      <c r="E19" s="186"/>
      <c r="F19" s="128" t="b">
        <v>1</v>
      </c>
      <c r="G19" s="128" t="s">
        <v>291</v>
      </c>
      <c r="H19" s="128"/>
      <c r="I19" s="128"/>
      <c r="J19" s="128"/>
      <c r="K19" s="128"/>
      <c r="L19" s="128"/>
      <c r="M19" s="128"/>
    </row>
    <row r="20" ht="23.25" customHeight="1">
      <c r="A20" s="128"/>
      <c r="B20" s="128" t="s">
        <v>119</v>
      </c>
      <c r="C20" s="128" t="s">
        <v>290</v>
      </c>
      <c r="D20" s="186" t="b">
        <v>0</v>
      </c>
      <c r="E20" s="186"/>
      <c r="F20" s="128" t="b">
        <v>1</v>
      </c>
      <c r="G20" s="128" t="s">
        <v>291</v>
      </c>
      <c r="H20" s="128"/>
      <c r="I20" s="128"/>
      <c r="J20" s="128"/>
      <c r="K20" s="128"/>
      <c r="L20" s="128"/>
      <c r="M20" s="128"/>
    </row>
    <row r="21" ht="23.25" customHeight="1">
      <c r="A21" s="128"/>
      <c r="B21" s="128" t="s">
        <v>120</v>
      </c>
      <c r="C21" s="128" t="s">
        <v>290</v>
      </c>
      <c r="D21" s="186" t="b">
        <v>0</v>
      </c>
      <c r="E21" s="186"/>
      <c r="F21" s="128" t="b">
        <v>1</v>
      </c>
      <c r="G21" s="128" t="s">
        <v>291</v>
      </c>
      <c r="H21" s="128"/>
      <c r="I21" s="128"/>
      <c r="J21" s="128"/>
      <c r="K21" s="128"/>
      <c r="L21" s="128"/>
      <c r="M21" s="128"/>
    </row>
    <row r="22" ht="23.25" customHeight="1">
      <c r="A22" s="128"/>
      <c r="B22" s="128" t="s">
        <v>122</v>
      </c>
      <c r="C22" s="128" t="s">
        <v>290</v>
      </c>
      <c r="D22" s="186" t="b">
        <v>0</v>
      </c>
      <c r="E22" s="186"/>
      <c r="F22" s="128" t="b">
        <v>1</v>
      </c>
      <c r="G22" s="128" t="s">
        <v>291</v>
      </c>
      <c r="H22" s="128"/>
      <c r="I22" s="128"/>
      <c r="J22" s="128"/>
      <c r="K22" s="128"/>
      <c r="L22" s="128"/>
      <c r="M22" s="128"/>
    </row>
    <row r="23" ht="23.25" customHeight="1">
      <c r="A23" s="128"/>
      <c r="B23" s="128" t="s">
        <v>127</v>
      </c>
      <c r="C23" s="128" t="s">
        <v>290</v>
      </c>
      <c r="D23" s="186" t="b">
        <v>0</v>
      </c>
      <c r="E23" s="186"/>
      <c r="F23" s="128" t="b">
        <v>1</v>
      </c>
      <c r="G23" s="128" t="s">
        <v>291</v>
      </c>
      <c r="H23" s="128"/>
      <c r="I23" s="128"/>
      <c r="J23" s="128"/>
      <c r="K23" s="128"/>
      <c r="L23" s="128"/>
      <c r="M23" s="128"/>
    </row>
    <row r="24" ht="23.25" customHeight="1">
      <c r="A24" s="128"/>
      <c r="B24" s="128" t="s">
        <v>124</v>
      </c>
      <c r="C24" s="128" t="s">
        <v>290</v>
      </c>
      <c r="D24" s="186" t="b">
        <v>0</v>
      </c>
      <c r="E24" s="186"/>
      <c r="F24" s="128" t="b">
        <v>1</v>
      </c>
      <c r="G24" s="128" t="s">
        <v>291</v>
      </c>
      <c r="H24" s="128"/>
      <c r="I24" s="128"/>
      <c r="J24" s="128"/>
      <c r="K24" s="128"/>
      <c r="L24" s="128"/>
      <c r="M24" s="128"/>
    </row>
    <row r="25" ht="23.25" customHeight="1">
      <c r="A25" s="128"/>
      <c r="B25" s="128" t="s">
        <v>129</v>
      </c>
      <c r="C25" s="128" t="s">
        <v>290</v>
      </c>
      <c r="D25" s="186" t="b">
        <v>0</v>
      </c>
      <c r="E25" s="186"/>
      <c r="F25" s="128" t="b">
        <v>1</v>
      </c>
      <c r="G25" s="128" t="s">
        <v>291</v>
      </c>
      <c r="H25" s="128"/>
      <c r="I25" s="128"/>
      <c r="J25" s="128"/>
      <c r="K25" s="128"/>
      <c r="L25" s="128"/>
      <c r="M25" s="128"/>
    </row>
    <row r="26" ht="23.25" customHeight="1">
      <c r="A26" s="128"/>
      <c r="B26" s="128" t="s">
        <v>125</v>
      </c>
      <c r="C26" s="128" t="s">
        <v>290</v>
      </c>
      <c r="D26" s="186" t="b">
        <v>0</v>
      </c>
      <c r="E26" s="186"/>
      <c r="F26" s="128" t="b">
        <v>1</v>
      </c>
      <c r="G26" s="128" t="s">
        <v>291</v>
      </c>
      <c r="H26" s="128"/>
      <c r="I26" s="128"/>
      <c r="J26" s="128"/>
      <c r="K26" s="128"/>
      <c r="L26" s="128"/>
      <c r="M26" s="128"/>
    </row>
    <row r="27" ht="23.25" customHeight="1">
      <c r="A27" s="128"/>
      <c r="B27" s="128" t="s">
        <v>131</v>
      </c>
      <c r="C27" s="128" t="s">
        <v>290</v>
      </c>
      <c r="D27" s="186" t="b">
        <v>0</v>
      </c>
      <c r="E27" s="186"/>
      <c r="F27" s="128" t="b">
        <v>1</v>
      </c>
      <c r="G27" s="128" t="s">
        <v>291</v>
      </c>
      <c r="H27" s="128"/>
      <c r="I27" s="128"/>
      <c r="J27" s="128"/>
      <c r="K27" s="128"/>
      <c r="L27" s="128"/>
      <c r="M27" s="128"/>
    </row>
    <row r="28" ht="23.25" customHeight="1">
      <c r="A28" s="128"/>
      <c r="B28" s="128" t="s">
        <v>250</v>
      </c>
      <c r="C28" s="128" t="s">
        <v>290</v>
      </c>
      <c r="D28" s="186" t="b">
        <v>0</v>
      </c>
      <c r="E28" s="186"/>
      <c r="F28" s="128" t="b">
        <v>1</v>
      </c>
      <c r="G28" s="128" t="s">
        <v>291</v>
      </c>
      <c r="H28" s="128"/>
      <c r="I28" s="128"/>
      <c r="J28" s="128"/>
      <c r="K28" s="128"/>
      <c r="L28" s="128"/>
      <c r="M28" s="128"/>
    </row>
    <row r="29" ht="15.75" customHeight="1">
      <c r="A29" s="12"/>
      <c r="C29" s="128"/>
      <c r="D29" s="186"/>
      <c r="E29" s="187"/>
      <c r="F29" s="128"/>
      <c r="G29" s="128"/>
    </row>
    <row r="30" ht="15.75" customHeight="1">
      <c r="A30" s="12"/>
      <c r="C30" s="128"/>
      <c r="D30" s="186"/>
      <c r="E30" s="187"/>
      <c r="F30" s="128"/>
      <c r="G30" s="128"/>
    </row>
    <row r="31" ht="15.75" customHeight="1">
      <c r="A31" s="12"/>
      <c r="C31" s="128"/>
      <c r="D31" s="186"/>
      <c r="E31" s="187"/>
      <c r="F31" s="128"/>
      <c r="G31" s="128"/>
    </row>
    <row r="32" ht="15.75" customHeight="1">
      <c r="A32" s="12"/>
      <c r="C32" s="128"/>
      <c r="D32" s="186"/>
      <c r="E32" s="187"/>
      <c r="F32" s="128"/>
      <c r="G32" s="128"/>
    </row>
    <row r="33" ht="15.75" customHeight="1">
      <c r="A33" s="12"/>
      <c r="C33" s="128"/>
      <c r="D33" s="186"/>
      <c r="E33" s="187"/>
      <c r="F33" s="128"/>
      <c r="G33" s="128"/>
    </row>
    <row r="34" ht="15.75" customHeight="1">
      <c r="A34" s="12"/>
      <c r="C34" s="128"/>
      <c r="D34" s="186"/>
      <c r="E34" s="187"/>
      <c r="F34" s="128"/>
      <c r="G34" s="128"/>
    </row>
    <row r="35" ht="15.75" customHeight="1">
      <c r="A35" s="12"/>
      <c r="C35" s="128"/>
      <c r="D35" s="186"/>
      <c r="E35" s="187"/>
      <c r="F35" s="128"/>
      <c r="G35" s="128"/>
    </row>
    <row r="36" ht="15.75" customHeight="1">
      <c r="A36" s="12"/>
      <c r="C36" s="128"/>
      <c r="D36" s="186"/>
      <c r="E36" s="187"/>
      <c r="F36" s="128"/>
      <c r="G36" s="128"/>
    </row>
    <row r="37" ht="15.75" customHeight="1">
      <c r="A37" s="12"/>
      <c r="C37" s="128"/>
      <c r="D37" s="186"/>
      <c r="E37" s="187"/>
      <c r="F37" s="128"/>
      <c r="G37" s="128"/>
    </row>
    <row r="38" ht="15.75" customHeight="1">
      <c r="A38" s="12"/>
      <c r="C38" s="128"/>
      <c r="D38" s="186"/>
      <c r="E38" s="187"/>
      <c r="F38" s="128"/>
      <c r="G38" s="128"/>
    </row>
    <row r="39" ht="15.75" customHeight="1">
      <c r="A39" s="12"/>
      <c r="C39" s="128"/>
      <c r="D39" s="186"/>
      <c r="E39" s="187"/>
      <c r="F39" s="128"/>
      <c r="G39" s="128"/>
    </row>
    <row r="40" ht="15.75" customHeight="1">
      <c r="A40" s="12"/>
      <c r="C40" s="128"/>
      <c r="D40" s="186"/>
      <c r="E40" s="187"/>
      <c r="F40" s="128"/>
      <c r="G40" s="128"/>
    </row>
    <row r="41" ht="15.75" customHeight="1">
      <c r="A41" s="12"/>
      <c r="C41" s="128"/>
      <c r="D41" s="186"/>
      <c r="E41" s="187"/>
      <c r="F41" s="128"/>
      <c r="G41" s="128"/>
    </row>
    <row r="42" ht="15.75" customHeight="1">
      <c r="A42" s="12"/>
      <c r="D42" s="187"/>
      <c r="E42" s="187"/>
    </row>
    <row r="43" ht="15.75" customHeight="1">
      <c r="A43" s="12"/>
      <c r="D43" s="187"/>
      <c r="E43" s="187"/>
    </row>
    <row r="44" ht="15.75" customHeight="1">
      <c r="A44" s="12"/>
      <c r="D44" s="187"/>
      <c r="E44" s="187"/>
    </row>
    <row r="45" ht="15.75" customHeight="1">
      <c r="A45" s="12"/>
      <c r="D45" s="187"/>
      <c r="E45" s="187"/>
    </row>
    <row r="46" ht="15.75" customHeight="1">
      <c r="A46" s="12"/>
      <c r="D46" s="187"/>
      <c r="E46" s="187"/>
    </row>
    <row r="47" ht="15.75" customHeight="1">
      <c r="A47" s="12"/>
      <c r="D47" s="187"/>
      <c r="E47" s="187"/>
    </row>
    <row r="48" ht="15.75" customHeight="1">
      <c r="A48" s="12"/>
      <c r="D48" s="187"/>
      <c r="E48" s="187"/>
    </row>
    <row r="49" ht="15.75" customHeight="1">
      <c r="A49" s="12"/>
      <c r="D49" s="187"/>
      <c r="E49" s="187"/>
    </row>
    <row r="50" ht="15.75" customHeight="1">
      <c r="A50" s="12"/>
      <c r="D50" s="187"/>
      <c r="E50" s="187"/>
    </row>
    <row r="51" ht="15.75" customHeight="1">
      <c r="A51" s="12"/>
      <c r="D51" s="187"/>
      <c r="E51" s="187"/>
    </row>
    <row r="52" ht="15.75" customHeight="1">
      <c r="A52" s="12"/>
      <c r="D52" s="187"/>
      <c r="E52" s="187"/>
    </row>
    <row r="53" ht="15.75" customHeight="1">
      <c r="A53" s="12"/>
      <c r="D53" s="187"/>
      <c r="E53" s="187"/>
    </row>
    <row r="54" ht="15.75" customHeight="1">
      <c r="D54" s="187"/>
      <c r="E54" s="187"/>
    </row>
    <row r="55" ht="15.75" customHeight="1">
      <c r="D55" s="187"/>
      <c r="E55" s="187"/>
    </row>
    <row r="56" ht="15.75" customHeight="1">
      <c r="D56" s="187"/>
      <c r="E56" s="187"/>
    </row>
    <row r="57" ht="15.75" customHeight="1">
      <c r="D57" s="187"/>
      <c r="E57" s="187"/>
    </row>
    <row r="58" ht="15.75" customHeight="1">
      <c r="D58" s="187"/>
      <c r="E58" s="187"/>
    </row>
    <row r="59" ht="15.75" customHeight="1">
      <c r="D59" s="187"/>
      <c r="E59" s="187"/>
    </row>
    <row r="60" ht="15.75" customHeight="1">
      <c r="D60" s="187"/>
      <c r="E60" s="187"/>
    </row>
    <row r="61" ht="15.75" customHeight="1">
      <c r="D61" s="187"/>
      <c r="E61" s="187"/>
    </row>
    <row r="62" ht="15.75" customHeight="1">
      <c r="D62" s="187"/>
      <c r="E62" s="187"/>
    </row>
    <row r="63" ht="15.75" customHeight="1">
      <c r="D63" s="187"/>
      <c r="E63" s="187"/>
    </row>
    <row r="64" ht="15.75" customHeight="1">
      <c r="D64" s="187"/>
      <c r="E64" s="187"/>
    </row>
    <row r="65" ht="15.75" customHeight="1">
      <c r="D65" s="187"/>
      <c r="E65" s="187"/>
    </row>
    <row r="66" ht="15.75" customHeight="1">
      <c r="D66" s="187"/>
      <c r="E66" s="187"/>
    </row>
    <row r="67" ht="15.75" customHeight="1">
      <c r="D67" s="187"/>
      <c r="E67" s="187"/>
    </row>
    <row r="68" ht="15.75" customHeight="1">
      <c r="D68" s="187"/>
      <c r="E68" s="187"/>
    </row>
    <row r="69" ht="15.75" customHeight="1">
      <c r="D69" s="187"/>
      <c r="E69" s="187"/>
    </row>
    <row r="70" ht="15.75" customHeight="1">
      <c r="D70" s="187"/>
      <c r="E70" s="187"/>
    </row>
    <row r="71" ht="15.75" customHeight="1">
      <c r="D71" s="187"/>
      <c r="E71" s="187"/>
    </row>
    <row r="72" ht="15.75" customHeight="1">
      <c r="D72" s="187"/>
      <c r="E72" s="187"/>
    </row>
    <row r="73" ht="15.75" customHeight="1">
      <c r="D73" s="187"/>
      <c r="E73" s="187"/>
    </row>
    <row r="74" ht="15.75" customHeight="1">
      <c r="D74" s="187"/>
      <c r="E74" s="187"/>
    </row>
    <row r="75" ht="15.75" customHeight="1">
      <c r="D75" s="187"/>
      <c r="E75" s="187"/>
    </row>
    <row r="76" ht="15.75" customHeight="1">
      <c r="D76" s="187"/>
      <c r="E76" s="187"/>
    </row>
    <row r="77" ht="15.75" customHeight="1">
      <c r="D77" s="187"/>
      <c r="E77" s="187"/>
    </row>
    <row r="78" ht="15.75" customHeight="1">
      <c r="D78" s="187"/>
      <c r="E78" s="187"/>
    </row>
    <row r="79" ht="15.75" customHeight="1">
      <c r="D79" s="187"/>
      <c r="E79" s="187"/>
    </row>
    <row r="80" ht="15.75" customHeight="1">
      <c r="D80" s="187"/>
      <c r="E80" s="187"/>
    </row>
    <row r="81" ht="15.75" customHeight="1">
      <c r="D81" s="187"/>
      <c r="E81" s="187"/>
    </row>
    <row r="82" ht="15.75" customHeight="1">
      <c r="D82" s="187"/>
      <c r="E82" s="187"/>
    </row>
    <row r="83" ht="15.75" customHeight="1">
      <c r="D83" s="187"/>
      <c r="E83" s="187"/>
    </row>
    <row r="84" ht="15.75" customHeight="1">
      <c r="D84" s="187"/>
      <c r="E84" s="187"/>
    </row>
    <row r="85" ht="15.75" customHeight="1">
      <c r="D85" s="187"/>
      <c r="E85" s="187"/>
    </row>
    <row r="86" ht="15.75" customHeight="1">
      <c r="D86" s="187"/>
      <c r="E86" s="187"/>
    </row>
    <row r="87" ht="15.75" customHeight="1">
      <c r="D87" s="187"/>
      <c r="E87" s="187"/>
    </row>
    <row r="88" ht="15.75" customHeight="1">
      <c r="D88" s="187"/>
      <c r="E88" s="187"/>
    </row>
    <row r="89" ht="15.75" customHeight="1">
      <c r="D89" s="187"/>
      <c r="E89" s="187"/>
    </row>
    <row r="90" ht="15.75" customHeight="1">
      <c r="D90" s="187"/>
      <c r="E90" s="187"/>
    </row>
    <row r="91" ht="15.75" customHeight="1">
      <c r="D91" s="187"/>
      <c r="E91" s="187"/>
    </row>
    <row r="92" ht="15.75" customHeight="1">
      <c r="D92" s="187"/>
      <c r="E92" s="187"/>
    </row>
    <row r="93" ht="15.75" customHeight="1">
      <c r="D93" s="187"/>
      <c r="E93" s="187"/>
    </row>
    <row r="94" ht="15.75" customHeight="1">
      <c r="D94" s="187"/>
      <c r="E94" s="187"/>
    </row>
    <row r="95" ht="15.75" customHeight="1">
      <c r="D95" s="187"/>
      <c r="E95" s="187"/>
    </row>
    <row r="96" ht="15.75" customHeight="1">
      <c r="D96" s="187"/>
      <c r="E96" s="187"/>
    </row>
    <row r="97" ht="15.75" customHeight="1">
      <c r="D97" s="187"/>
      <c r="E97" s="187"/>
    </row>
    <row r="98" ht="15.75" customHeight="1">
      <c r="D98" s="187"/>
      <c r="E98" s="187"/>
    </row>
    <row r="99" ht="15.75" customHeight="1">
      <c r="D99" s="187"/>
      <c r="E99" s="187"/>
    </row>
    <row r="100" ht="15.75" customHeight="1">
      <c r="D100" s="187"/>
      <c r="E100" s="187"/>
    </row>
    <row r="101" ht="15.75" customHeight="1">
      <c r="D101" s="187"/>
      <c r="E101" s="187"/>
    </row>
    <row r="102" ht="15.75" customHeight="1">
      <c r="D102" s="187"/>
      <c r="E102" s="187"/>
    </row>
    <row r="103" ht="15.75" customHeight="1">
      <c r="D103" s="187"/>
      <c r="E103" s="187"/>
    </row>
    <row r="104" ht="15.75" customHeight="1">
      <c r="D104" s="187"/>
      <c r="E104" s="187"/>
    </row>
    <row r="105" ht="15.75" customHeight="1">
      <c r="D105" s="187"/>
      <c r="E105" s="187"/>
    </row>
    <row r="106" ht="15.75" customHeight="1">
      <c r="D106" s="187"/>
      <c r="E106" s="187"/>
    </row>
    <row r="107" ht="15.75" customHeight="1">
      <c r="D107" s="187"/>
      <c r="E107" s="187"/>
    </row>
    <row r="108" ht="15.75" customHeight="1">
      <c r="D108" s="187"/>
      <c r="E108" s="187"/>
    </row>
    <row r="109" ht="15.75" customHeight="1">
      <c r="D109" s="187"/>
      <c r="E109" s="187"/>
    </row>
    <row r="110" ht="15.75" customHeight="1">
      <c r="D110" s="187"/>
      <c r="E110" s="187"/>
    </row>
    <row r="111" ht="15.75" customHeight="1">
      <c r="D111" s="187"/>
      <c r="E111" s="187"/>
    </row>
    <row r="112" ht="15.75" customHeight="1">
      <c r="D112" s="187"/>
      <c r="E112" s="187"/>
    </row>
    <row r="113" ht="15.75" customHeight="1">
      <c r="D113" s="187"/>
      <c r="E113" s="187"/>
    </row>
    <row r="114" ht="15.75" customHeight="1">
      <c r="D114" s="187"/>
      <c r="E114" s="187"/>
    </row>
    <row r="115" ht="15.75" customHeight="1">
      <c r="D115" s="187"/>
      <c r="E115" s="187"/>
    </row>
    <row r="116" ht="15.75" customHeight="1">
      <c r="D116" s="187"/>
      <c r="E116" s="187"/>
    </row>
    <row r="117" ht="15.75" customHeight="1">
      <c r="D117" s="187"/>
      <c r="E117" s="187"/>
    </row>
    <row r="118" ht="15.75" customHeight="1">
      <c r="D118" s="187"/>
      <c r="E118" s="187"/>
    </row>
    <row r="119" ht="15.75" customHeight="1">
      <c r="D119" s="187"/>
      <c r="E119" s="187"/>
    </row>
    <row r="120" ht="15.75" customHeight="1">
      <c r="D120" s="187"/>
      <c r="E120" s="187"/>
    </row>
    <row r="121" ht="15.75" customHeight="1">
      <c r="D121" s="187"/>
      <c r="E121" s="187"/>
    </row>
    <row r="122" ht="15.75" customHeight="1">
      <c r="D122" s="187"/>
      <c r="E122" s="187"/>
    </row>
    <row r="123" ht="15.75" customHeight="1">
      <c r="D123" s="187"/>
      <c r="E123" s="187"/>
    </row>
    <row r="124" ht="15.75" customHeight="1">
      <c r="D124" s="187"/>
      <c r="E124" s="187"/>
    </row>
    <row r="125" ht="15.75" customHeight="1">
      <c r="D125" s="187"/>
      <c r="E125" s="187"/>
    </row>
    <row r="126" ht="15.75" customHeight="1">
      <c r="D126" s="187"/>
      <c r="E126" s="187"/>
    </row>
    <row r="127" ht="15.75" customHeight="1">
      <c r="D127" s="187"/>
      <c r="E127" s="187"/>
    </row>
    <row r="128" ht="15.75" customHeight="1">
      <c r="D128" s="187"/>
      <c r="E128" s="187"/>
    </row>
    <row r="129" ht="15.75" customHeight="1">
      <c r="D129" s="187"/>
      <c r="E129" s="187"/>
    </row>
    <row r="130" ht="15.75" customHeight="1">
      <c r="D130" s="187"/>
      <c r="E130" s="187"/>
    </row>
    <row r="131" ht="15.75" customHeight="1">
      <c r="D131" s="187"/>
      <c r="E131" s="187"/>
    </row>
    <row r="132" ht="15.75" customHeight="1">
      <c r="D132" s="187"/>
      <c r="E132" s="187"/>
    </row>
    <row r="133" ht="15.75" customHeight="1">
      <c r="D133" s="187"/>
      <c r="E133" s="187"/>
    </row>
    <row r="134" ht="15.75" customHeight="1">
      <c r="D134" s="187"/>
      <c r="E134" s="187"/>
    </row>
    <row r="135" ht="15.75" customHeight="1">
      <c r="D135" s="187"/>
      <c r="E135" s="187"/>
    </row>
    <row r="136" ht="15.75" customHeight="1">
      <c r="D136" s="187"/>
      <c r="E136" s="187"/>
    </row>
    <row r="137" ht="15.75" customHeight="1">
      <c r="D137" s="187"/>
      <c r="E137" s="187"/>
    </row>
    <row r="138" ht="15.75" customHeight="1">
      <c r="D138" s="187"/>
      <c r="E138" s="187"/>
    </row>
    <row r="139" ht="15.75" customHeight="1">
      <c r="D139" s="187"/>
      <c r="E139" s="187"/>
    </row>
    <row r="140" ht="15.75" customHeight="1">
      <c r="D140" s="187"/>
      <c r="E140" s="187"/>
    </row>
    <row r="141" ht="15.75" customHeight="1">
      <c r="D141" s="187"/>
      <c r="E141" s="187"/>
    </row>
    <row r="142" ht="15.75" customHeight="1">
      <c r="D142" s="187"/>
      <c r="E142" s="187"/>
    </row>
    <row r="143" ht="15.75" customHeight="1">
      <c r="D143" s="187"/>
      <c r="E143" s="187"/>
    </row>
    <row r="144" ht="15.75" customHeight="1">
      <c r="D144" s="187"/>
      <c r="E144" s="187"/>
    </row>
    <row r="145" ht="15.75" customHeight="1">
      <c r="D145" s="187"/>
      <c r="E145" s="187"/>
    </row>
    <row r="146" ht="15.75" customHeight="1">
      <c r="D146" s="187"/>
      <c r="E146" s="187"/>
    </row>
    <row r="147" ht="15.75" customHeight="1">
      <c r="D147" s="187"/>
      <c r="E147" s="187"/>
    </row>
    <row r="148" ht="15.75" customHeight="1">
      <c r="D148" s="187"/>
      <c r="E148" s="187"/>
    </row>
    <row r="149" ht="15.75" customHeight="1">
      <c r="D149" s="187"/>
      <c r="E149" s="187"/>
    </row>
    <row r="150" ht="15.75" customHeight="1">
      <c r="D150" s="187"/>
      <c r="E150" s="187"/>
    </row>
    <row r="151" ht="15.75" customHeight="1">
      <c r="D151" s="187"/>
      <c r="E151" s="187"/>
    </row>
    <row r="152" ht="15.75" customHeight="1">
      <c r="D152" s="187"/>
      <c r="E152" s="187"/>
    </row>
    <row r="153" ht="15.75" customHeight="1">
      <c r="D153" s="187"/>
      <c r="E153" s="187"/>
    </row>
    <row r="154" ht="15.75" customHeight="1">
      <c r="D154" s="187"/>
      <c r="E154" s="187"/>
    </row>
    <row r="155" ht="15.75" customHeight="1">
      <c r="D155" s="187"/>
      <c r="E155" s="187"/>
    </row>
    <row r="156" ht="15.75" customHeight="1">
      <c r="D156" s="187"/>
      <c r="E156" s="187"/>
    </row>
    <row r="157" ht="15.75" customHeight="1">
      <c r="D157" s="187"/>
      <c r="E157" s="187"/>
    </row>
    <row r="158" ht="15.75" customHeight="1">
      <c r="D158" s="187"/>
      <c r="E158" s="187"/>
    </row>
    <row r="159" ht="15.75" customHeight="1">
      <c r="D159" s="187"/>
      <c r="E159" s="187"/>
    </row>
    <row r="160" ht="15.75" customHeight="1">
      <c r="D160" s="187"/>
      <c r="E160" s="187"/>
    </row>
    <row r="161" ht="15.75" customHeight="1">
      <c r="D161" s="187"/>
      <c r="E161" s="187"/>
    </row>
    <row r="162" ht="15.75" customHeight="1">
      <c r="D162" s="187"/>
      <c r="E162" s="187"/>
    </row>
    <row r="163" ht="15.75" customHeight="1">
      <c r="D163" s="187"/>
      <c r="E163" s="187"/>
    </row>
    <row r="164" ht="15.75" customHeight="1">
      <c r="D164" s="187"/>
      <c r="E164" s="187"/>
    </row>
    <row r="165" ht="15.75" customHeight="1">
      <c r="D165" s="187"/>
      <c r="E165" s="187"/>
    </row>
    <row r="166" ht="15.75" customHeight="1">
      <c r="D166" s="187"/>
      <c r="E166" s="187"/>
    </row>
    <row r="167" ht="15.75" customHeight="1">
      <c r="D167" s="187"/>
      <c r="E167" s="187"/>
    </row>
    <row r="168" ht="15.75" customHeight="1">
      <c r="D168" s="187"/>
      <c r="E168" s="187"/>
    </row>
    <row r="169" ht="15.75" customHeight="1">
      <c r="D169" s="187"/>
      <c r="E169" s="187"/>
    </row>
    <row r="170" ht="15.75" customHeight="1">
      <c r="D170" s="187"/>
      <c r="E170" s="187"/>
    </row>
    <row r="171" ht="15.75" customHeight="1">
      <c r="D171" s="187"/>
      <c r="E171" s="187"/>
    </row>
    <row r="172" ht="15.75" customHeight="1">
      <c r="D172" s="187"/>
      <c r="E172" s="187"/>
    </row>
    <row r="173" ht="15.75" customHeight="1">
      <c r="D173" s="187"/>
      <c r="E173" s="187"/>
    </row>
    <row r="174" ht="15.75" customHeight="1">
      <c r="D174" s="187"/>
      <c r="E174" s="187"/>
    </row>
    <row r="175" ht="15.75" customHeight="1">
      <c r="D175" s="187"/>
      <c r="E175" s="187"/>
    </row>
    <row r="176" ht="15.75" customHeight="1">
      <c r="D176" s="187"/>
      <c r="E176" s="187"/>
    </row>
    <row r="177" ht="15.75" customHeight="1">
      <c r="D177" s="187"/>
      <c r="E177" s="187"/>
    </row>
    <row r="178" ht="15.75" customHeight="1">
      <c r="D178" s="187"/>
      <c r="E178" s="187"/>
    </row>
    <row r="179" ht="15.75" customHeight="1">
      <c r="D179" s="187"/>
      <c r="E179" s="187"/>
    </row>
    <row r="180" ht="15.75" customHeight="1">
      <c r="D180" s="187"/>
      <c r="E180" s="187"/>
    </row>
    <row r="181" ht="15.75" customHeight="1">
      <c r="D181" s="187"/>
      <c r="E181" s="187"/>
    </row>
    <row r="182" ht="15.75" customHeight="1">
      <c r="D182" s="187"/>
      <c r="E182" s="187"/>
    </row>
    <row r="183" ht="15.75" customHeight="1">
      <c r="D183" s="187"/>
      <c r="E183" s="187"/>
    </row>
    <row r="184" ht="15.75" customHeight="1">
      <c r="D184" s="187"/>
      <c r="E184" s="187"/>
    </row>
    <row r="185" ht="15.75" customHeight="1">
      <c r="D185" s="187"/>
      <c r="E185" s="187"/>
    </row>
    <row r="186" ht="15.75" customHeight="1">
      <c r="D186" s="187"/>
      <c r="E186" s="187"/>
    </row>
    <row r="187" ht="15.75" customHeight="1">
      <c r="D187" s="187"/>
      <c r="E187" s="187"/>
    </row>
    <row r="188" ht="15.75" customHeight="1">
      <c r="D188" s="187"/>
      <c r="E188" s="187"/>
    </row>
    <row r="189" ht="15.75" customHeight="1">
      <c r="D189" s="187"/>
      <c r="E189" s="187"/>
    </row>
    <row r="190" ht="15.75" customHeight="1">
      <c r="D190" s="187"/>
      <c r="E190" s="187"/>
    </row>
    <row r="191" ht="15.75" customHeight="1">
      <c r="D191" s="187"/>
      <c r="E191" s="187"/>
    </row>
    <row r="192" ht="15.75" customHeight="1">
      <c r="D192" s="187"/>
      <c r="E192" s="187"/>
    </row>
    <row r="193" ht="15.75" customHeight="1">
      <c r="D193" s="187"/>
      <c r="E193" s="187"/>
    </row>
    <row r="194" ht="15.75" customHeight="1">
      <c r="D194" s="187"/>
      <c r="E194" s="187"/>
    </row>
    <row r="195" ht="15.75" customHeight="1">
      <c r="D195" s="187"/>
      <c r="E195" s="187"/>
    </row>
    <row r="196" ht="15.75" customHeight="1">
      <c r="D196" s="187"/>
      <c r="E196" s="187"/>
    </row>
    <row r="197" ht="15.75" customHeight="1">
      <c r="D197" s="187"/>
      <c r="E197" s="187"/>
    </row>
    <row r="198" ht="15.75" customHeight="1">
      <c r="D198" s="187"/>
      <c r="E198" s="187"/>
    </row>
    <row r="199" ht="15.75" customHeight="1">
      <c r="D199" s="187"/>
      <c r="E199" s="187"/>
    </row>
    <row r="200" ht="15.75" customHeight="1">
      <c r="D200" s="187"/>
      <c r="E200" s="187"/>
    </row>
    <row r="201" ht="15.75" customHeight="1">
      <c r="D201" s="187"/>
      <c r="E201" s="187"/>
    </row>
    <row r="202" ht="15.75" customHeight="1">
      <c r="D202" s="187"/>
      <c r="E202" s="187"/>
    </row>
    <row r="203" ht="15.75" customHeight="1">
      <c r="D203" s="187"/>
      <c r="E203" s="187"/>
    </row>
    <row r="204" ht="15.75" customHeight="1">
      <c r="D204" s="187"/>
      <c r="E204" s="187"/>
    </row>
    <row r="205" ht="15.75" customHeight="1">
      <c r="D205" s="187"/>
      <c r="E205" s="187"/>
    </row>
    <row r="206" ht="15.75" customHeight="1">
      <c r="D206" s="187"/>
      <c r="E206" s="187"/>
    </row>
    <row r="207" ht="15.75" customHeight="1">
      <c r="D207" s="187"/>
      <c r="E207" s="187"/>
    </row>
    <row r="208" ht="15.75" customHeight="1">
      <c r="D208" s="187"/>
      <c r="E208" s="187"/>
    </row>
    <row r="209" ht="15.75" customHeight="1">
      <c r="D209" s="187"/>
      <c r="E209" s="187"/>
    </row>
    <row r="210" ht="15.75" customHeight="1">
      <c r="D210" s="187"/>
      <c r="E210" s="187"/>
    </row>
    <row r="211" ht="15.75" customHeight="1">
      <c r="D211" s="187"/>
      <c r="E211" s="187"/>
    </row>
    <row r="212" ht="15.75" customHeight="1">
      <c r="D212" s="187"/>
      <c r="E212" s="187"/>
    </row>
    <row r="213" ht="15.75" customHeight="1">
      <c r="D213" s="187"/>
      <c r="E213" s="187"/>
    </row>
    <row r="214" ht="15.75" customHeight="1">
      <c r="D214" s="187"/>
      <c r="E214" s="187"/>
    </row>
    <row r="215" ht="15.75" customHeight="1">
      <c r="D215" s="187"/>
      <c r="E215" s="187"/>
    </row>
    <row r="216" ht="15.75" customHeight="1">
      <c r="D216" s="187"/>
      <c r="E216" s="187"/>
    </row>
    <row r="217" ht="15.75" customHeight="1">
      <c r="D217" s="187"/>
      <c r="E217" s="187"/>
    </row>
    <row r="218" ht="15.75" customHeight="1">
      <c r="D218" s="187"/>
      <c r="E218" s="187"/>
    </row>
    <row r="219" ht="15.75" customHeight="1">
      <c r="D219" s="187"/>
      <c r="E219" s="187"/>
    </row>
    <row r="220" ht="15.75" customHeight="1">
      <c r="D220" s="187"/>
      <c r="E220" s="187"/>
    </row>
    <row r="221" ht="15.75" customHeight="1">
      <c r="D221" s="187"/>
      <c r="E221" s="187"/>
    </row>
    <row r="222" ht="15.75" customHeight="1">
      <c r="D222" s="187"/>
      <c r="E222" s="187"/>
    </row>
    <row r="223" ht="15.75" customHeight="1">
      <c r="D223" s="187"/>
      <c r="E223" s="187"/>
    </row>
    <row r="224" ht="15.75" customHeight="1">
      <c r="D224" s="187"/>
      <c r="E224" s="187"/>
    </row>
    <row r="225" ht="15.75" customHeight="1">
      <c r="D225" s="187"/>
      <c r="E225" s="187"/>
    </row>
    <row r="226" ht="15.75" customHeight="1">
      <c r="D226" s="187"/>
      <c r="E226" s="187"/>
    </row>
    <row r="227" ht="15.75" customHeight="1">
      <c r="D227" s="187"/>
      <c r="E227" s="187"/>
    </row>
    <row r="228" ht="15.75" customHeight="1">
      <c r="D228" s="187"/>
      <c r="E228" s="187"/>
    </row>
    <row r="229" ht="15.75" customHeight="1">
      <c r="D229" s="187"/>
      <c r="E229" s="187"/>
    </row>
    <row r="230" ht="15.75" customHeight="1">
      <c r="D230" s="187"/>
      <c r="E230" s="18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41">
      <formula1>"text,date,number,textarea,select,radio,checkbox"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.5"/>
    <col customWidth="1" min="3" max="3" width="20.25"/>
    <col customWidth="1" min="4" max="4" width="4.5"/>
    <col customWidth="1" min="5" max="6" width="12.63"/>
  </cols>
  <sheetData>
    <row r="1" ht="15.75" customHeight="1">
      <c r="A1" s="188" t="s">
        <v>292</v>
      </c>
      <c r="C1" s="188" t="s">
        <v>293</v>
      </c>
      <c r="E1" s="188" t="s">
        <v>294</v>
      </c>
    </row>
    <row r="2" ht="15.75" customHeight="1">
      <c r="A2" s="189" t="s">
        <v>295</v>
      </c>
      <c r="C2" s="189" t="s">
        <v>296</v>
      </c>
      <c r="E2" s="189" t="s">
        <v>297</v>
      </c>
    </row>
    <row r="3" ht="15.75" customHeight="1">
      <c r="A3" s="189" t="s">
        <v>298</v>
      </c>
      <c r="C3" s="189" t="s">
        <v>299</v>
      </c>
      <c r="E3" s="189" t="s">
        <v>300</v>
      </c>
    </row>
    <row r="4" ht="15.75" customHeight="1">
      <c r="A4" s="189" t="s">
        <v>301</v>
      </c>
      <c r="C4" s="189" t="s">
        <v>302</v>
      </c>
      <c r="E4" s="189" t="s">
        <v>303</v>
      </c>
    </row>
    <row r="5" ht="15.75" customHeight="1">
      <c r="A5" s="189" t="s">
        <v>304</v>
      </c>
      <c r="C5" s="189" t="s">
        <v>305</v>
      </c>
      <c r="E5" s="189" t="s">
        <v>306</v>
      </c>
    </row>
    <row r="6" ht="15.75" customHeight="1">
      <c r="C6" s="189" t="s">
        <v>307</v>
      </c>
      <c r="E6" s="189" t="s">
        <v>308</v>
      </c>
    </row>
    <row r="7" ht="15.75" customHeight="1">
      <c r="C7" s="189" t="s">
        <v>309</v>
      </c>
    </row>
    <row r="8" ht="15.75" customHeight="1">
      <c r="C8" s="189" t="s">
        <v>310</v>
      </c>
    </row>
    <row r="9" ht="15.75" customHeight="1">
      <c r="C9" s="189" t="s">
        <v>311</v>
      </c>
    </row>
    <row r="10" ht="15.75" customHeight="1">
      <c r="C10" s="189" t="s">
        <v>312</v>
      </c>
    </row>
    <row r="11" ht="15.75" customHeight="1">
      <c r="C11" s="189" t="s">
        <v>313</v>
      </c>
    </row>
    <row r="12" ht="15.75" customHeight="1">
      <c r="C12" s="189" t="s">
        <v>314</v>
      </c>
    </row>
    <row r="13" ht="15.75" customHeight="1">
      <c r="C13" s="189" t="s">
        <v>315</v>
      </c>
    </row>
    <row r="14" ht="15.75" customHeight="1">
      <c r="C14" s="189" t="s">
        <v>316</v>
      </c>
    </row>
    <row r="15" ht="15.75" customHeight="1">
      <c r="C15" s="189" t="s">
        <v>317</v>
      </c>
    </row>
    <row r="16" ht="15.75" customHeight="1">
      <c r="C16" s="189" t="s">
        <v>318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88"/>
    <col customWidth="1" min="3" max="3" width="12.63"/>
    <col customWidth="1" min="4" max="4" width="12.13"/>
    <col customWidth="1" min="5" max="5" width="12.5"/>
    <col customWidth="1" min="6" max="6" width="12.63"/>
    <col customWidth="1" min="8" max="8" width="3.63"/>
    <col customWidth="1" min="9" max="9" width="4.13"/>
  </cols>
  <sheetData>
    <row r="1" ht="43.5" customHeight="1">
      <c r="A1" s="184" t="s">
        <v>279</v>
      </c>
      <c r="B1" s="184" t="s">
        <v>280</v>
      </c>
      <c r="C1" s="184" t="s">
        <v>281</v>
      </c>
      <c r="D1" s="185" t="s">
        <v>282</v>
      </c>
      <c r="E1" s="185" t="s">
        <v>283</v>
      </c>
      <c r="F1" s="184" t="s">
        <v>284</v>
      </c>
      <c r="G1" s="184" t="s">
        <v>285</v>
      </c>
      <c r="H1" s="184" t="s">
        <v>286</v>
      </c>
      <c r="I1" s="184" t="s">
        <v>287</v>
      </c>
      <c r="J1" s="184"/>
      <c r="K1" s="184"/>
      <c r="L1" s="184"/>
      <c r="M1" s="184"/>
    </row>
    <row r="2" ht="23.25" customHeight="1">
      <c r="A2" s="128" t="s">
        <v>319</v>
      </c>
      <c r="B2" s="128" t="s">
        <v>320</v>
      </c>
      <c r="C2" s="128" t="s">
        <v>288</v>
      </c>
      <c r="D2" s="186" t="b">
        <v>1</v>
      </c>
      <c r="E2" s="186"/>
      <c r="F2" s="128" t="b">
        <v>1</v>
      </c>
      <c r="G2" s="128" t="s">
        <v>289</v>
      </c>
      <c r="H2" s="128"/>
      <c r="I2" s="128"/>
      <c r="J2" s="128"/>
      <c r="K2" s="128"/>
      <c r="L2" s="128"/>
      <c r="M2" s="128"/>
    </row>
    <row r="3" ht="23.25" customHeight="1">
      <c r="A3" s="128" t="s">
        <v>321</v>
      </c>
      <c r="B3" s="128" t="s">
        <v>322</v>
      </c>
      <c r="C3" s="128" t="s">
        <v>290</v>
      </c>
      <c r="D3" s="186" t="b">
        <v>1</v>
      </c>
      <c r="E3" s="186"/>
      <c r="F3" s="128" t="b">
        <v>1</v>
      </c>
      <c r="G3" s="128" t="s">
        <v>289</v>
      </c>
      <c r="H3" s="128">
        <v>10.0</v>
      </c>
      <c r="I3" s="128">
        <v>100.0</v>
      </c>
      <c r="J3" s="128"/>
      <c r="K3" s="128"/>
      <c r="L3" s="128"/>
      <c r="M3" s="128"/>
    </row>
    <row r="4" ht="23.25" customHeight="1">
      <c r="A4" s="128" t="s">
        <v>323</v>
      </c>
      <c r="B4" s="128" t="s">
        <v>324</v>
      </c>
      <c r="C4" s="128" t="s">
        <v>325</v>
      </c>
      <c r="D4" s="186" t="b">
        <v>1</v>
      </c>
      <c r="E4" s="186" t="s">
        <v>326</v>
      </c>
      <c r="F4" s="128" t="b">
        <v>1</v>
      </c>
      <c r="G4" s="128" t="s">
        <v>289</v>
      </c>
      <c r="H4" s="128"/>
      <c r="I4" s="128"/>
      <c r="J4" s="128"/>
      <c r="K4" s="128"/>
      <c r="L4" s="128"/>
      <c r="M4" s="128"/>
    </row>
    <row r="5" ht="23.25" customHeight="1">
      <c r="A5" s="128" t="s">
        <v>327</v>
      </c>
      <c r="B5" s="128" t="s">
        <v>328</v>
      </c>
      <c r="C5" s="128" t="s">
        <v>290</v>
      </c>
      <c r="D5" s="186" t="b">
        <v>0</v>
      </c>
      <c r="E5" s="186"/>
      <c r="F5" s="128" t="b">
        <v>1</v>
      </c>
      <c r="G5" s="128" t="s">
        <v>291</v>
      </c>
      <c r="H5" s="128"/>
      <c r="I5" s="128"/>
      <c r="J5" s="128"/>
      <c r="K5" s="128"/>
      <c r="L5" s="128"/>
      <c r="M5" s="128"/>
    </row>
    <row r="6" ht="23.25" customHeight="1">
      <c r="A6" s="128" t="s">
        <v>329</v>
      </c>
      <c r="B6" s="128" t="s">
        <v>330</v>
      </c>
      <c r="C6" s="128" t="s">
        <v>329</v>
      </c>
      <c r="D6" s="186" t="b">
        <v>1</v>
      </c>
      <c r="E6" s="128"/>
      <c r="F6" s="128" t="b">
        <v>1</v>
      </c>
      <c r="G6" s="128" t="s">
        <v>331</v>
      </c>
      <c r="H6" s="128"/>
      <c r="I6" s="128"/>
      <c r="J6" s="128"/>
      <c r="K6" s="128"/>
      <c r="L6" s="128"/>
      <c r="M6" s="128"/>
    </row>
    <row r="7" ht="23.25" customHeight="1">
      <c r="A7" s="128" t="s">
        <v>332</v>
      </c>
      <c r="B7" s="128" t="s">
        <v>333</v>
      </c>
      <c r="C7" s="128" t="s">
        <v>334</v>
      </c>
      <c r="D7" s="186" t="b">
        <v>1</v>
      </c>
      <c r="E7" s="186" t="str">
        <f>IFERROR(__xludf.DUMMYFUNCTION("Join("","",Unique(Dropdowns!A2:A1000))"),"IT,Finance,HR,Marketing,")</f>
        <v>IT,Finance,HR,Marketing,</v>
      </c>
      <c r="F7" s="128" t="b">
        <v>1</v>
      </c>
      <c r="G7" s="128" t="s">
        <v>289</v>
      </c>
      <c r="H7" s="128"/>
      <c r="I7" s="128"/>
      <c r="J7" s="128"/>
      <c r="K7" s="128"/>
      <c r="L7" s="128"/>
      <c r="M7" s="128"/>
    </row>
    <row r="8" ht="23.25" customHeight="1">
      <c r="A8" s="128" t="s">
        <v>335</v>
      </c>
      <c r="B8" s="128" t="s">
        <v>336</v>
      </c>
      <c r="C8" s="128" t="s">
        <v>288</v>
      </c>
      <c r="D8" s="186" t="b">
        <v>1</v>
      </c>
      <c r="E8" s="186"/>
      <c r="F8" s="128" t="b">
        <v>1</v>
      </c>
      <c r="G8" s="128" t="s">
        <v>289</v>
      </c>
      <c r="H8" s="128"/>
      <c r="I8" s="128"/>
      <c r="J8" s="128"/>
      <c r="K8" s="128"/>
      <c r="L8" s="128"/>
      <c r="M8" s="128"/>
    </row>
    <row r="9" ht="23.25" customHeight="1">
      <c r="A9" s="128" t="s">
        <v>337</v>
      </c>
      <c r="B9" s="128" t="s">
        <v>338</v>
      </c>
      <c r="C9" s="128" t="s">
        <v>288</v>
      </c>
      <c r="D9" s="186" t="b">
        <v>1</v>
      </c>
      <c r="E9" s="186"/>
      <c r="F9" s="128" t="b">
        <v>1</v>
      </c>
      <c r="G9" s="128" t="s">
        <v>289</v>
      </c>
      <c r="H9" s="128"/>
      <c r="I9" s="128"/>
      <c r="J9" s="128"/>
      <c r="K9" s="128"/>
      <c r="L9" s="128"/>
      <c r="M9" s="128"/>
    </row>
    <row r="10" ht="23.25" customHeight="1">
      <c r="A10" s="128" t="s">
        <v>339</v>
      </c>
      <c r="B10" s="128" t="s">
        <v>340</v>
      </c>
      <c r="C10" s="128" t="s">
        <v>290</v>
      </c>
      <c r="D10" s="186" t="b">
        <v>1</v>
      </c>
      <c r="E10" s="186"/>
      <c r="F10" s="128" t="b">
        <v>1</v>
      </c>
      <c r="G10" s="128" t="s">
        <v>331</v>
      </c>
      <c r="H10" s="128">
        <v>1.0</v>
      </c>
      <c r="I10" s="128">
        <v>5.0</v>
      </c>
      <c r="J10" s="128"/>
      <c r="K10" s="128"/>
      <c r="L10" s="128"/>
      <c r="M10" s="128"/>
    </row>
    <row r="11" ht="23.25" customHeight="1">
      <c r="A11" s="128"/>
      <c r="B11" s="128"/>
      <c r="C11" s="128"/>
      <c r="D11" s="186"/>
      <c r="E11" s="186"/>
      <c r="F11" s="128"/>
      <c r="G11" s="128"/>
      <c r="H11" s="128"/>
      <c r="I11" s="128"/>
      <c r="J11" s="128"/>
      <c r="K11" s="128"/>
      <c r="L11" s="128"/>
      <c r="M11" s="128"/>
    </row>
    <row r="12" ht="23.25" customHeight="1">
      <c r="A12" s="128"/>
      <c r="B12" s="128"/>
      <c r="C12" s="128"/>
      <c r="D12" s="186"/>
      <c r="E12" s="186"/>
      <c r="F12" s="128"/>
      <c r="G12" s="128"/>
      <c r="H12" s="128"/>
      <c r="I12" s="128"/>
      <c r="J12" s="128"/>
      <c r="K12" s="128"/>
      <c r="L12" s="128"/>
      <c r="M12" s="128"/>
    </row>
    <row r="13" ht="23.25" customHeight="1">
      <c r="A13" s="128"/>
      <c r="B13" s="128"/>
      <c r="C13" s="128"/>
      <c r="D13" s="186"/>
      <c r="E13" s="186"/>
      <c r="F13" s="128"/>
      <c r="G13" s="128"/>
      <c r="H13" s="128"/>
      <c r="I13" s="128"/>
      <c r="J13" s="128"/>
      <c r="K13" s="128"/>
      <c r="L13" s="128"/>
      <c r="M13" s="128"/>
    </row>
    <row r="14" ht="23.25" customHeight="1">
      <c r="A14" s="128"/>
      <c r="B14" s="128"/>
      <c r="C14" s="128"/>
      <c r="D14" s="186"/>
      <c r="E14" s="186"/>
      <c r="F14" s="128"/>
      <c r="G14" s="128"/>
      <c r="H14" s="128"/>
      <c r="I14" s="128"/>
      <c r="J14" s="128"/>
      <c r="K14" s="128"/>
      <c r="L14" s="128"/>
      <c r="M14" s="128"/>
    </row>
    <row r="15" ht="23.25" customHeight="1">
      <c r="A15" s="128"/>
      <c r="B15" s="128"/>
      <c r="C15" s="128"/>
      <c r="D15" s="186"/>
      <c r="E15" s="186"/>
      <c r="F15" s="128"/>
      <c r="G15" s="128"/>
      <c r="H15" s="128"/>
      <c r="I15" s="128"/>
      <c r="J15" s="128"/>
      <c r="K15" s="128"/>
      <c r="L15" s="128"/>
      <c r="M15" s="128"/>
    </row>
    <row r="16" ht="23.25" customHeight="1">
      <c r="A16" s="128"/>
      <c r="B16" s="128"/>
      <c r="C16" s="128"/>
      <c r="D16" s="186"/>
      <c r="E16" s="186"/>
      <c r="F16" s="128"/>
      <c r="G16" s="128"/>
      <c r="H16" s="128"/>
      <c r="I16" s="128"/>
      <c r="J16" s="128"/>
      <c r="K16" s="128"/>
      <c r="L16" s="128"/>
      <c r="M16" s="128"/>
    </row>
    <row r="17" ht="15.75" customHeight="1">
      <c r="A17" s="128"/>
      <c r="B17" s="128"/>
      <c r="C17" s="128"/>
      <c r="D17" s="186"/>
      <c r="E17" s="186"/>
      <c r="F17" s="128"/>
      <c r="G17" s="128"/>
      <c r="H17" s="128"/>
      <c r="I17" s="128"/>
      <c r="J17" s="128"/>
      <c r="K17" s="128"/>
      <c r="L17" s="128"/>
      <c r="M17" s="128"/>
    </row>
    <row r="18" ht="15.75" customHeight="1">
      <c r="D18" s="187"/>
      <c r="E18" s="187"/>
    </row>
    <row r="19" ht="15.75" customHeight="1">
      <c r="D19" s="187"/>
      <c r="E19" s="187"/>
    </row>
    <row r="20" ht="15.75" customHeight="1">
      <c r="D20" s="187"/>
      <c r="E20" s="187"/>
    </row>
    <row r="21" ht="15.75" customHeight="1">
      <c r="D21" s="187"/>
      <c r="E21" s="187"/>
    </row>
    <row r="22" ht="15.75" customHeight="1">
      <c r="D22" s="187"/>
      <c r="E22" s="187"/>
    </row>
    <row r="23" ht="15.75" customHeight="1">
      <c r="D23" s="187"/>
      <c r="E23" s="187"/>
    </row>
    <row r="24" ht="15.75" customHeight="1">
      <c r="D24" s="187"/>
      <c r="E24" s="187"/>
    </row>
    <row r="25" ht="15.75" customHeight="1">
      <c r="D25" s="187"/>
      <c r="E25" s="187"/>
    </row>
    <row r="26" ht="15.75" customHeight="1">
      <c r="D26" s="187"/>
      <c r="E26" s="187"/>
    </row>
    <row r="27" ht="15.75" customHeight="1">
      <c r="D27" s="187"/>
      <c r="E27" s="187"/>
    </row>
    <row r="28" ht="15.75" customHeight="1">
      <c r="D28" s="187"/>
      <c r="E28" s="187"/>
    </row>
    <row r="29" ht="15.75" customHeight="1">
      <c r="D29" s="187"/>
      <c r="E29" s="187"/>
    </row>
    <row r="30" ht="15.75" customHeight="1">
      <c r="D30" s="187"/>
      <c r="E30" s="187"/>
    </row>
    <row r="31" ht="15.75" customHeight="1">
      <c r="D31" s="187"/>
      <c r="E31" s="187"/>
    </row>
    <row r="32" ht="15.75" customHeight="1">
      <c r="D32" s="187"/>
      <c r="E32" s="187"/>
    </row>
    <row r="33" ht="15.75" customHeight="1">
      <c r="D33" s="187"/>
      <c r="E33" s="187"/>
    </row>
    <row r="34" ht="15.75" customHeight="1">
      <c r="D34" s="187"/>
      <c r="E34" s="187"/>
    </row>
    <row r="35" ht="15.75" customHeight="1">
      <c r="D35" s="187"/>
      <c r="E35" s="187"/>
    </row>
    <row r="36" ht="15.75" customHeight="1">
      <c r="D36" s="187"/>
      <c r="E36" s="187"/>
    </row>
    <row r="37" ht="15.75" customHeight="1">
      <c r="D37" s="187"/>
      <c r="E37" s="187"/>
    </row>
    <row r="38" ht="15.75" customHeight="1">
      <c r="D38" s="187"/>
      <c r="E38" s="187"/>
    </row>
    <row r="39" ht="15.75" customHeight="1">
      <c r="D39" s="187"/>
      <c r="E39" s="187"/>
    </row>
    <row r="40" ht="15.75" customHeight="1">
      <c r="D40" s="187"/>
      <c r="E40" s="187"/>
    </row>
    <row r="41" ht="15.75" customHeight="1">
      <c r="D41" s="187"/>
      <c r="E41" s="187"/>
    </row>
    <row r="42" ht="15.75" customHeight="1">
      <c r="D42" s="187"/>
      <c r="E42" s="187"/>
    </row>
    <row r="43" ht="15.75" customHeight="1">
      <c r="D43" s="187"/>
      <c r="E43" s="187"/>
    </row>
    <row r="44" ht="15.75" customHeight="1">
      <c r="D44" s="187"/>
      <c r="E44" s="187"/>
    </row>
    <row r="45" ht="15.75" customHeight="1">
      <c r="D45" s="187"/>
      <c r="E45" s="187"/>
    </row>
    <row r="46" ht="15.75" customHeight="1">
      <c r="D46" s="187"/>
      <c r="E46" s="187"/>
    </row>
    <row r="47" ht="15.75" customHeight="1">
      <c r="D47" s="187"/>
      <c r="E47" s="187"/>
    </row>
    <row r="48" ht="15.75" customHeight="1">
      <c r="D48" s="187"/>
      <c r="E48" s="187"/>
    </row>
    <row r="49" ht="15.75" customHeight="1">
      <c r="D49" s="187"/>
      <c r="E49" s="187"/>
    </row>
    <row r="50" ht="15.75" customHeight="1">
      <c r="D50" s="187"/>
      <c r="E50" s="187"/>
    </row>
    <row r="51" ht="15.75" customHeight="1">
      <c r="D51" s="187"/>
      <c r="E51" s="187"/>
    </row>
    <row r="52" ht="15.75" customHeight="1">
      <c r="D52" s="187"/>
      <c r="E52" s="187"/>
    </row>
    <row r="53" ht="15.75" customHeight="1">
      <c r="D53" s="187"/>
      <c r="E53" s="187"/>
    </row>
    <row r="54" ht="15.75" customHeight="1">
      <c r="D54" s="187"/>
      <c r="E54" s="187"/>
    </row>
    <row r="55" ht="15.75" customHeight="1">
      <c r="D55" s="187"/>
      <c r="E55" s="187"/>
    </row>
    <row r="56" ht="15.75" customHeight="1">
      <c r="D56" s="187"/>
      <c r="E56" s="187"/>
    </row>
    <row r="57" ht="15.75" customHeight="1">
      <c r="D57" s="187"/>
      <c r="E57" s="187"/>
    </row>
    <row r="58" ht="15.75" customHeight="1">
      <c r="D58" s="187"/>
      <c r="E58" s="187"/>
    </row>
    <row r="59" ht="15.75" customHeight="1">
      <c r="D59" s="187"/>
      <c r="E59" s="187"/>
    </row>
    <row r="60" ht="15.75" customHeight="1">
      <c r="D60" s="187"/>
      <c r="E60" s="187"/>
    </row>
    <row r="61" ht="15.75" customHeight="1">
      <c r="D61" s="187"/>
      <c r="E61" s="187"/>
    </row>
    <row r="62" ht="15.75" customHeight="1">
      <c r="D62" s="187"/>
      <c r="E62" s="187"/>
    </row>
    <row r="63" ht="15.75" customHeight="1">
      <c r="D63" s="187"/>
      <c r="E63" s="187"/>
    </row>
    <row r="64" ht="15.75" customHeight="1">
      <c r="D64" s="187"/>
      <c r="E64" s="187"/>
    </row>
    <row r="65" ht="15.75" customHeight="1">
      <c r="D65" s="187"/>
      <c r="E65" s="187"/>
    </row>
    <row r="66" ht="15.75" customHeight="1">
      <c r="D66" s="187"/>
      <c r="E66" s="187"/>
    </row>
    <row r="67" ht="15.75" customHeight="1">
      <c r="D67" s="187"/>
      <c r="E67" s="187"/>
    </row>
    <row r="68" ht="15.75" customHeight="1">
      <c r="D68" s="187"/>
      <c r="E68" s="187"/>
    </row>
    <row r="69" ht="15.75" customHeight="1">
      <c r="D69" s="187"/>
      <c r="E69" s="187"/>
    </row>
    <row r="70" ht="15.75" customHeight="1">
      <c r="D70" s="187"/>
      <c r="E70" s="187"/>
    </row>
    <row r="71" ht="15.75" customHeight="1">
      <c r="D71" s="187"/>
      <c r="E71" s="187"/>
    </row>
    <row r="72" ht="15.75" customHeight="1">
      <c r="D72" s="187"/>
      <c r="E72" s="187"/>
    </row>
    <row r="73" ht="15.75" customHeight="1">
      <c r="D73" s="187"/>
      <c r="E73" s="187"/>
    </row>
    <row r="74" ht="15.75" customHeight="1">
      <c r="D74" s="187"/>
      <c r="E74" s="187"/>
    </row>
    <row r="75" ht="15.75" customHeight="1">
      <c r="D75" s="187"/>
      <c r="E75" s="187"/>
    </row>
    <row r="76" ht="15.75" customHeight="1">
      <c r="D76" s="187"/>
      <c r="E76" s="187"/>
    </row>
    <row r="77" ht="15.75" customHeight="1">
      <c r="D77" s="187"/>
      <c r="E77" s="187"/>
    </row>
    <row r="78" ht="15.75" customHeight="1">
      <c r="D78" s="187"/>
      <c r="E78" s="187"/>
    </row>
    <row r="79" ht="15.75" customHeight="1">
      <c r="D79" s="187"/>
      <c r="E79" s="187"/>
    </row>
    <row r="80" ht="15.75" customHeight="1">
      <c r="D80" s="187"/>
      <c r="E80" s="187"/>
    </row>
    <row r="81" ht="15.75" customHeight="1">
      <c r="D81" s="187"/>
      <c r="E81" s="187"/>
    </row>
    <row r="82" ht="15.75" customHeight="1">
      <c r="D82" s="187"/>
      <c r="E82" s="187"/>
    </row>
    <row r="83" ht="15.75" customHeight="1">
      <c r="D83" s="187"/>
      <c r="E83" s="187"/>
    </row>
    <row r="84" ht="15.75" customHeight="1">
      <c r="D84" s="187"/>
      <c r="E84" s="187"/>
    </row>
    <row r="85" ht="15.75" customHeight="1">
      <c r="D85" s="187"/>
      <c r="E85" s="187"/>
    </row>
    <row r="86" ht="15.75" customHeight="1">
      <c r="D86" s="187"/>
      <c r="E86" s="187"/>
    </row>
    <row r="87" ht="15.75" customHeight="1">
      <c r="D87" s="187"/>
      <c r="E87" s="187"/>
    </row>
    <row r="88" ht="15.75" customHeight="1">
      <c r="D88" s="187"/>
      <c r="E88" s="187"/>
    </row>
    <row r="89" ht="15.75" customHeight="1">
      <c r="D89" s="187"/>
      <c r="E89" s="187"/>
    </row>
    <row r="90" ht="15.75" customHeight="1">
      <c r="D90" s="187"/>
      <c r="E90" s="187"/>
    </row>
    <row r="91" ht="15.75" customHeight="1">
      <c r="D91" s="187"/>
      <c r="E91" s="187"/>
    </row>
    <row r="92" ht="15.75" customHeight="1">
      <c r="D92" s="187"/>
      <c r="E92" s="187"/>
    </row>
    <row r="93" ht="15.75" customHeight="1">
      <c r="D93" s="187"/>
      <c r="E93" s="187"/>
    </row>
    <row r="94" ht="15.75" customHeight="1">
      <c r="D94" s="187"/>
      <c r="E94" s="187"/>
    </row>
    <row r="95" ht="15.75" customHeight="1">
      <c r="D95" s="187"/>
      <c r="E95" s="187"/>
    </row>
    <row r="96" ht="15.75" customHeight="1">
      <c r="D96" s="187"/>
      <c r="E96" s="187"/>
    </row>
    <row r="97" ht="15.75" customHeight="1">
      <c r="D97" s="187"/>
      <c r="E97" s="187"/>
    </row>
    <row r="98" ht="15.75" customHeight="1">
      <c r="D98" s="187"/>
      <c r="E98" s="187"/>
    </row>
    <row r="99" ht="15.75" customHeight="1">
      <c r="D99" s="187"/>
      <c r="E99" s="187"/>
    </row>
    <row r="100" ht="15.75" customHeight="1">
      <c r="D100" s="187"/>
      <c r="E100" s="187"/>
    </row>
    <row r="101" ht="15.75" customHeight="1">
      <c r="D101" s="187"/>
      <c r="E101" s="187"/>
    </row>
    <row r="102" ht="15.75" customHeight="1">
      <c r="D102" s="187"/>
      <c r="E102" s="187"/>
    </row>
    <row r="103" ht="15.75" customHeight="1">
      <c r="D103" s="187"/>
      <c r="E103" s="187"/>
    </row>
    <row r="104" ht="15.75" customHeight="1">
      <c r="D104" s="187"/>
      <c r="E104" s="187"/>
    </row>
    <row r="105" ht="15.75" customHeight="1">
      <c r="D105" s="187"/>
      <c r="E105" s="187"/>
    </row>
    <row r="106" ht="15.75" customHeight="1">
      <c r="D106" s="187"/>
      <c r="E106" s="187"/>
    </row>
    <row r="107" ht="15.75" customHeight="1">
      <c r="D107" s="187"/>
      <c r="E107" s="187"/>
    </row>
    <row r="108" ht="15.75" customHeight="1">
      <c r="D108" s="187"/>
      <c r="E108" s="187"/>
    </row>
    <row r="109" ht="15.75" customHeight="1">
      <c r="D109" s="187"/>
      <c r="E109" s="187"/>
    </row>
    <row r="110" ht="15.75" customHeight="1">
      <c r="D110" s="187"/>
      <c r="E110" s="187"/>
    </row>
    <row r="111" ht="15.75" customHeight="1">
      <c r="D111" s="187"/>
      <c r="E111" s="187"/>
    </row>
    <row r="112" ht="15.75" customHeight="1">
      <c r="D112" s="187"/>
      <c r="E112" s="187"/>
    </row>
    <row r="113" ht="15.75" customHeight="1">
      <c r="D113" s="187"/>
      <c r="E113" s="187"/>
    </row>
    <row r="114" ht="15.75" customHeight="1">
      <c r="D114" s="187"/>
      <c r="E114" s="187"/>
    </row>
    <row r="115" ht="15.75" customHeight="1">
      <c r="D115" s="187"/>
      <c r="E115" s="187"/>
    </row>
    <row r="116" ht="15.75" customHeight="1">
      <c r="D116" s="187"/>
      <c r="E116" s="187"/>
    </row>
    <row r="117" ht="15.75" customHeight="1">
      <c r="D117" s="187"/>
      <c r="E117" s="187"/>
    </row>
    <row r="118" ht="15.75" customHeight="1">
      <c r="D118" s="187"/>
      <c r="E118" s="187"/>
    </row>
    <row r="119" ht="15.75" customHeight="1">
      <c r="D119" s="187"/>
      <c r="E119" s="187"/>
    </row>
    <row r="120" ht="15.75" customHeight="1">
      <c r="D120" s="187"/>
      <c r="E120" s="187"/>
    </row>
    <row r="121" ht="15.75" customHeight="1">
      <c r="D121" s="187"/>
      <c r="E121" s="187"/>
    </row>
    <row r="122" ht="15.75" customHeight="1">
      <c r="D122" s="187"/>
      <c r="E122" s="187"/>
    </row>
    <row r="123" ht="15.75" customHeight="1">
      <c r="D123" s="187"/>
      <c r="E123" s="187"/>
    </row>
    <row r="124" ht="15.75" customHeight="1">
      <c r="D124" s="187"/>
      <c r="E124" s="187"/>
    </row>
    <row r="125" ht="15.75" customHeight="1">
      <c r="D125" s="187"/>
      <c r="E125" s="187"/>
    </row>
    <row r="126" ht="15.75" customHeight="1">
      <c r="D126" s="187"/>
      <c r="E126" s="187"/>
    </row>
    <row r="127" ht="15.75" customHeight="1">
      <c r="D127" s="187"/>
      <c r="E127" s="187"/>
    </row>
    <row r="128" ht="15.75" customHeight="1">
      <c r="D128" s="187"/>
      <c r="E128" s="187"/>
    </row>
    <row r="129" ht="15.75" customHeight="1">
      <c r="D129" s="187"/>
      <c r="E129" s="187"/>
    </row>
    <row r="130" ht="15.75" customHeight="1">
      <c r="D130" s="187"/>
      <c r="E130" s="187"/>
    </row>
    <row r="131" ht="15.75" customHeight="1">
      <c r="D131" s="187"/>
      <c r="E131" s="187"/>
    </row>
    <row r="132" ht="15.75" customHeight="1">
      <c r="D132" s="187"/>
      <c r="E132" s="187"/>
    </row>
    <row r="133" ht="15.75" customHeight="1">
      <c r="D133" s="187"/>
      <c r="E133" s="187"/>
    </row>
    <row r="134" ht="15.75" customHeight="1">
      <c r="D134" s="187"/>
      <c r="E134" s="187"/>
    </row>
    <row r="135" ht="15.75" customHeight="1">
      <c r="D135" s="187"/>
      <c r="E135" s="187"/>
    </row>
    <row r="136" ht="15.75" customHeight="1">
      <c r="D136" s="187"/>
      <c r="E136" s="187"/>
    </row>
    <row r="137" ht="15.75" customHeight="1">
      <c r="D137" s="187"/>
      <c r="E137" s="187"/>
    </row>
    <row r="138" ht="15.75" customHeight="1">
      <c r="D138" s="187"/>
      <c r="E138" s="187"/>
    </row>
    <row r="139" ht="15.75" customHeight="1">
      <c r="D139" s="187"/>
      <c r="E139" s="187"/>
    </row>
    <row r="140" ht="15.75" customHeight="1">
      <c r="D140" s="187"/>
      <c r="E140" s="187"/>
    </row>
    <row r="141" ht="15.75" customHeight="1">
      <c r="D141" s="187"/>
      <c r="E141" s="187"/>
    </row>
    <row r="142" ht="15.75" customHeight="1">
      <c r="D142" s="187"/>
      <c r="E142" s="187"/>
    </row>
    <row r="143" ht="15.75" customHeight="1">
      <c r="D143" s="187"/>
      <c r="E143" s="187"/>
    </row>
    <row r="144" ht="15.75" customHeight="1">
      <c r="D144" s="187"/>
      <c r="E144" s="187"/>
    </row>
    <row r="145" ht="15.75" customHeight="1">
      <c r="D145" s="187"/>
      <c r="E145" s="187"/>
    </row>
    <row r="146" ht="15.75" customHeight="1">
      <c r="D146" s="187"/>
      <c r="E146" s="187"/>
    </row>
    <row r="147" ht="15.75" customHeight="1">
      <c r="D147" s="187"/>
      <c r="E147" s="187"/>
    </row>
    <row r="148" ht="15.75" customHeight="1">
      <c r="D148" s="187"/>
      <c r="E148" s="187"/>
    </row>
    <row r="149" ht="15.75" customHeight="1">
      <c r="D149" s="187"/>
      <c r="E149" s="187"/>
    </row>
    <row r="150" ht="15.75" customHeight="1">
      <c r="D150" s="187"/>
      <c r="E150" s="187"/>
    </row>
    <row r="151" ht="15.75" customHeight="1">
      <c r="D151" s="187"/>
      <c r="E151" s="187"/>
    </row>
    <row r="152" ht="15.75" customHeight="1">
      <c r="D152" s="187"/>
      <c r="E152" s="187"/>
    </row>
    <row r="153" ht="15.75" customHeight="1">
      <c r="D153" s="187"/>
      <c r="E153" s="187"/>
    </row>
    <row r="154" ht="15.75" customHeight="1">
      <c r="D154" s="187"/>
      <c r="E154" s="187"/>
    </row>
    <row r="155" ht="15.75" customHeight="1">
      <c r="D155" s="187"/>
      <c r="E155" s="187"/>
    </row>
    <row r="156" ht="15.75" customHeight="1">
      <c r="D156" s="187"/>
      <c r="E156" s="187"/>
    </row>
    <row r="157" ht="15.75" customHeight="1">
      <c r="D157" s="187"/>
      <c r="E157" s="187"/>
    </row>
    <row r="158" ht="15.75" customHeight="1">
      <c r="D158" s="187"/>
      <c r="E158" s="187"/>
    </row>
    <row r="159" ht="15.75" customHeight="1">
      <c r="D159" s="187"/>
      <c r="E159" s="187"/>
    </row>
    <row r="160" ht="15.75" customHeight="1">
      <c r="D160" s="187"/>
      <c r="E160" s="187"/>
    </row>
    <row r="161" ht="15.75" customHeight="1">
      <c r="D161" s="187"/>
      <c r="E161" s="187"/>
    </row>
    <row r="162" ht="15.75" customHeight="1">
      <c r="D162" s="187"/>
      <c r="E162" s="187"/>
    </row>
    <row r="163" ht="15.75" customHeight="1">
      <c r="D163" s="187"/>
      <c r="E163" s="187"/>
    </row>
    <row r="164" ht="15.75" customHeight="1">
      <c r="D164" s="187"/>
      <c r="E164" s="187"/>
    </row>
    <row r="165" ht="15.75" customHeight="1">
      <c r="D165" s="187"/>
      <c r="E165" s="187"/>
    </row>
    <row r="166" ht="15.75" customHeight="1">
      <c r="D166" s="187"/>
      <c r="E166" s="187"/>
    </row>
    <row r="167" ht="15.75" customHeight="1">
      <c r="D167" s="187"/>
      <c r="E167" s="187"/>
    </row>
    <row r="168" ht="15.75" customHeight="1">
      <c r="D168" s="187"/>
      <c r="E168" s="187"/>
    </row>
    <row r="169" ht="15.75" customHeight="1">
      <c r="D169" s="187"/>
      <c r="E169" s="187"/>
    </row>
    <row r="170" ht="15.75" customHeight="1">
      <c r="D170" s="187"/>
      <c r="E170" s="187"/>
    </row>
    <row r="171" ht="15.75" customHeight="1">
      <c r="D171" s="187"/>
      <c r="E171" s="187"/>
    </row>
    <row r="172" ht="15.75" customHeight="1">
      <c r="D172" s="187"/>
      <c r="E172" s="187"/>
    </row>
    <row r="173" ht="15.75" customHeight="1">
      <c r="D173" s="187"/>
      <c r="E173" s="187"/>
    </row>
    <row r="174" ht="15.75" customHeight="1">
      <c r="D174" s="187"/>
      <c r="E174" s="187"/>
    </row>
    <row r="175" ht="15.75" customHeight="1">
      <c r="D175" s="187"/>
      <c r="E175" s="187"/>
    </row>
    <row r="176" ht="15.75" customHeight="1">
      <c r="D176" s="187"/>
      <c r="E176" s="187"/>
    </row>
    <row r="177" ht="15.75" customHeight="1">
      <c r="D177" s="187"/>
      <c r="E177" s="187"/>
    </row>
    <row r="178" ht="15.75" customHeight="1">
      <c r="D178" s="187"/>
      <c r="E178" s="187"/>
    </row>
    <row r="179" ht="15.75" customHeight="1">
      <c r="D179" s="187"/>
      <c r="E179" s="187"/>
    </row>
    <row r="180" ht="15.75" customHeight="1">
      <c r="D180" s="187"/>
      <c r="E180" s="187"/>
    </row>
    <row r="181" ht="15.75" customHeight="1">
      <c r="D181" s="187"/>
      <c r="E181" s="187"/>
    </row>
    <row r="182" ht="15.75" customHeight="1">
      <c r="D182" s="187"/>
      <c r="E182" s="187"/>
    </row>
    <row r="183" ht="15.75" customHeight="1">
      <c r="D183" s="187"/>
      <c r="E183" s="187"/>
    </row>
    <row r="184" ht="15.75" customHeight="1">
      <c r="D184" s="187"/>
      <c r="E184" s="187"/>
    </row>
    <row r="185" ht="15.75" customHeight="1">
      <c r="D185" s="187"/>
      <c r="E185" s="187"/>
    </row>
    <row r="186" ht="15.75" customHeight="1">
      <c r="D186" s="187"/>
      <c r="E186" s="187"/>
    </row>
    <row r="187" ht="15.75" customHeight="1">
      <c r="D187" s="187"/>
      <c r="E187" s="187"/>
    </row>
    <row r="188" ht="15.75" customHeight="1">
      <c r="D188" s="187"/>
      <c r="E188" s="187"/>
    </row>
    <row r="189" ht="15.75" customHeight="1">
      <c r="D189" s="187"/>
      <c r="E189" s="187"/>
    </row>
    <row r="190" ht="15.75" customHeight="1">
      <c r="D190" s="187"/>
      <c r="E190" s="187"/>
    </row>
    <row r="191" ht="15.75" customHeight="1">
      <c r="D191" s="187"/>
      <c r="E191" s="187"/>
    </row>
    <row r="192" ht="15.75" customHeight="1">
      <c r="D192" s="187"/>
      <c r="E192" s="187"/>
    </row>
    <row r="193" ht="15.75" customHeight="1">
      <c r="D193" s="187"/>
      <c r="E193" s="187"/>
    </row>
    <row r="194" ht="15.75" customHeight="1">
      <c r="D194" s="187"/>
      <c r="E194" s="187"/>
    </row>
    <row r="195" ht="15.75" customHeight="1">
      <c r="D195" s="187"/>
      <c r="E195" s="187"/>
    </row>
    <row r="196" ht="15.75" customHeight="1">
      <c r="D196" s="187"/>
      <c r="E196" s="187"/>
    </row>
    <row r="197" ht="15.75" customHeight="1">
      <c r="D197" s="187"/>
      <c r="E197" s="187"/>
    </row>
    <row r="198" ht="15.75" customHeight="1">
      <c r="D198" s="187"/>
      <c r="E198" s="187"/>
    </row>
    <row r="199" ht="15.75" customHeight="1">
      <c r="D199" s="187"/>
      <c r="E199" s="187"/>
    </row>
    <row r="200" ht="15.75" customHeight="1">
      <c r="D200" s="187"/>
      <c r="E200" s="187"/>
    </row>
    <row r="201" ht="15.75" customHeight="1">
      <c r="D201" s="187"/>
      <c r="E201" s="187"/>
    </row>
    <row r="202" ht="15.75" customHeight="1">
      <c r="D202" s="187"/>
      <c r="E202" s="187"/>
    </row>
    <row r="203" ht="15.75" customHeight="1">
      <c r="D203" s="187"/>
      <c r="E203" s="187"/>
    </row>
    <row r="204" ht="15.75" customHeight="1">
      <c r="D204" s="187"/>
      <c r="E204" s="187"/>
    </row>
    <row r="205" ht="15.75" customHeight="1">
      <c r="D205" s="187"/>
      <c r="E205" s="187"/>
    </row>
    <row r="206" ht="15.75" customHeight="1">
      <c r="D206" s="187"/>
      <c r="E206" s="187"/>
    </row>
    <row r="207" ht="15.75" customHeight="1">
      <c r="D207" s="187"/>
      <c r="E207" s="187"/>
    </row>
    <row r="208" ht="15.75" customHeight="1">
      <c r="D208" s="187"/>
      <c r="E208" s="187"/>
    </row>
    <row r="209" ht="15.75" customHeight="1">
      <c r="D209" s="187"/>
      <c r="E209" s="187"/>
    </row>
    <row r="210" ht="15.75" customHeight="1">
      <c r="D210" s="187"/>
      <c r="E210" s="187"/>
    </row>
    <row r="211" ht="15.75" customHeight="1">
      <c r="D211" s="187"/>
      <c r="E211" s="187"/>
    </row>
    <row r="212" ht="15.75" customHeight="1">
      <c r="D212" s="187"/>
      <c r="E212" s="187"/>
    </row>
    <row r="213" ht="15.75" customHeight="1">
      <c r="D213" s="187"/>
      <c r="E213" s="187"/>
    </row>
    <row r="214" ht="15.75" customHeight="1">
      <c r="D214" s="187"/>
      <c r="E214" s="187"/>
    </row>
    <row r="215" ht="15.75" customHeight="1">
      <c r="D215" s="187"/>
      <c r="E215" s="187"/>
    </row>
    <row r="216" ht="15.75" customHeight="1">
      <c r="D216" s="187"/>
      <c r="E216" s="187"/>
    </row>
    <row r="217" ht="15.75" customHeight="1">
      <c r="D217" s="187"/>
      <c r="E217" s="187"/>
    </row>
    <row r="218" ht="15.75" customHeight="1">
      <c r="D218" s="187"/>
      <c r="E218" s="187"/>
    </row>
    <row r="219" ht="15.75" customHeight="1">
      <c r="D219" s="187"/>
      <c r="E219" s="187"/>
    </row>
    <row r="220" ht="15.75" customHeight="1">
      <c r="D220" s="187"/>
      <c r="E220" s="18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0">
      <formula1>"text,date,number,textarea,select,radio,checkbox"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9.5"/>
    <col customWidth="1" min="3" max="3" width="18.88"/>
    <col customWidth="1" min="4" max="5" width="19.13"/>
    <col customWidth="1" min="6" max="6" width="12.63"/>
  </cols>
  <sheetData>
    <row r="1" ht="37.5" customHeight="1">
      <c r="A1" s="190" t="s">
        <v>341</v>
      </c>
      <c r="B1" s="191" t="s">
        <v>342</v>
      </c>
      <c r="C1" s="192" t="s">
        <v>343</v>
      </c>
      <c r="D1" s="193" t="s">
        <v>344</v>
      </c>
      <c r="E1" s="193" t="s">
        <v>345</v>
      </c>
      <c r="F1" s="193" t="s">
        <v>346</v>
      </c>
    </row>
    <row r="2" ht="27.75" customHeight="1">
      <c r="A2" s="194" t="s">
        <v>347</v>
      </c>
      <c r="B2" s="195" t="s">
        <v>348</v>
      </c>
      <c r="C2" s="195" t="s">
        <v>349</v>
      </c>
      <c r="D2" s="196" t="s">
        <v>207</v>
      </c>
      <c r="E2" s="197" t="s">
        <v>350</v>
      </c>
      <c r="F2" s="198" t="s">
        <v>351</v>
      </c>
    </row>
    <row r="3" ht="15.75" customHeight="1">
      <c r="D3" s="199"/>
    </row>
    <row r="4" ht="15.75" customHeight="1">
      <c r="D4" s="199"/>
    </row>
    <row r="5" ht="15.75" customHeight="1">
      <c r="D5" s="199"/>
    </row>
    <row r="6" ht="15.75" customHeight="1">
      <c r="D6" s="199"/>
    </row>
    <row r="7" ht="15.75" customHeight="1">
      <c r="D7" s="199"/>
    </row>
    <row r="8" ht="15.75" customHeight="1">
      <c r="D8" s="199"/>
    </row>
    <row r="9" ht="15.75" customHeight="1">
      <c r="D9" s="199"/>
    </row>
    <row r="10" ht="15.75" customHeight="1">
      <c r="D10" s="199"/>
    </row>
    <row r="11" ht="15.75" customHeight="1">
      <c r="D11" s="19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">
      <formula1>"USD,GBP,INR,JPY,AUD,NZD,EUR"</formula1>
    </dataValidation>
    <dataValidation type="list" allowBlank="1" showErrorMessage="1" sqref="B2">
      <formula1>"en-US,en-GB,es-ES,fr-FR,de-DE,ja-JP,zh-CN,ru-RU,pt-BR,it-IT,ar-SA"</formula1>
    </dataValidation>
    <dataValidation type="list" allowBlank="1" sqref="D2:E2">
      <formula1>"Acumulado,Mensual,Mes vs Mes,Utilidades,Gastos Admon,Fijos y Variables,Config,Menus,OtrosR,EneR,FebR,MarR,AbrR,MayR,JunR,JulR,AgoR,SepR,OctR,NovR,DicR,AcumuladoSchema,Schema,App Settings"</formula1>
    </dataValidation>
  </dataValidations>
  <drawing r:id="rId1"/>
</worksheet>
</file>